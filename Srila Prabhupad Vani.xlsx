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abhupadvani" sheetId="1" r:id="rId4"/>
    <sheet state="visible" name="SP-Iskcon desire tree" sheetId="2" r:id="rId5"/>
    <sheet state="visible" name="HHRNSM" sheetId="3" r:id="rId6"/>
    <sheet state="visible" name="HG RSP" sheetId="4" r:id="rId7"/>
  </sheets>
  <definedNames/>
  <calcPr/>
</workbook>
</file>

<file path=xl/sharedStrings.xml><?xml version="1.0" encoding="utf-8"?>
<sst xmlns="http://schemas.openxmlformats.org/spreadsheetml/2006/main" count="41202" uniqueCount="19988">
  <si>
    <t>date</t>
  </si>
  <si>
    <t>location</t>
  </si>
  <si>
    <t>title</t>
  </si>
  <si>
    <t>link</t>
  </si>
  <si>
    <t>New York</t>
  </si>
  <si>
    <t>Bhagavad-Gita Introduction</t>
  </si>
  <si>
    <t>https://prabhupadavani.org/transcriptions/bhagavad-g%C4%ABt%C4%81-introduction/</t>
  </si>
  <si>
    <t>Bhagavad-Gita 2.7-11</t>
  </si>
  <si>
    <t>https://prabhupadavani.org/transcriptions/bhagavad-g%C4%ABt%C4%81-2711/</t>
  </si>
  <si>
    <t>Bhagavad-Gita 2.11</t>
  </si>
  <si>
    <t>https://prabhupadavani.org/transcriptions/bhagavad-g%C4%ABt%C4%81-211/</t>
  </si>
  <si>
    <t>Bhagavad-Gita 2.12</t>
  </si>
  <si>
    <t>https://prabhupadavani.org/transcriptions/bhagavad-g%C4%ABt%C4%81-212/</t>
  </si>
  <si>
    <t>https://prabhupadavani.org/transcriptions/bhagavad-g%C4%ABt%C4%81-212-ii/</t>
  </si>
  <si>
    <t>Bhagavad-Gita 2.13</t>
  </si>
  <si>
    <t>https://prabhupadavani.org/transcriptions/bhagavad-g%C4%ABt%C4%81-213-ii/</t>
  </si>
  <si>
    <t>Bhagavad-Gita 2.44-45</t>
  </si>
  <si>
    <t>https://prabhupadavani.org/transcriptions/bhagavad-g%C4%ABt%C4%81-24445/</t>
  </si>
  <si>
    <t>Bhagavad-Gita 2.46-47</t>
  </si>
  <si>
    <t>https://prabhupadavani.org/transcriptions/bhagavad-g%C4%ABt%C4%81-24647/</t>
  </si>
  <si>
    <t>Purport to Bhajahu Re Mana</t>
  </si>
  <si>
    <t>https://prabhupadavani.org/transcriptions/purport-to-bhajah%C5%AB-re-mana/</t>
  </si>
  <si>
    <t>Bhagavad-Gita 2.48-49</t>
  </si>
  <si>
    <t>https://prabhupadavani.org/transcriptions/bhagavad-g%C4%ABt%C4%81-24849/</t>
  </si>
  <si>
    <t>Bhagavad-Gita 2.49-51</t>
  </si>
  <si>
    <t>https://prabhupadavani.org/transcriptions/bhagavad-g%C4%ABt%C4%81-24951/</t>
  </si>
  <si>
    <t>Bhagavad-Gita 2.51-55</t>
  </si>
  <si>
    <t>https://prabhupadavani.org/transcriptions/bhagavad-g%C4%ABt%C4%81-25155/</t>
  </si>
  <si>
    <t>Bhagavad-Gita 2.55-56</t>
  </si>
  <si>
    <t>https://prabhupadavani.org/transcriptions/bhagavad-g%C4%ABt%C4%81-25556/</t>
  </si>
  <si>
    <t>Bhagavad-Gita 2.55-58</t>
  </si>
  <si>
    <t>https://prabhupadavani.org/transcriptions/bhagavad-g%C4%ABt%C4%81-25558/</t>
  </si>
  <si>
    <t>Bhagavad-Gita 2.58-59</t>
  </si>
  <si>
    <t>https://prabhupadavani.org/transcriptions/bhagavad-g%C4%ABt%C4%81-25859/</t>
  </si>
  <si>
    <t>Bhagavad-Gita 2.59-69</t>
  </si>
  <si>
    <t>https://prabhupadavani.org/transcriptions/bhagavad-g%C4%ABt%C4%81-25969/</t>
  </si>
  <si>
    <t>Bhagavad-Gita 3.8-13</t>
  </si>
  <si>
    <t>https://prabhupadavani.org/transcriptions/bhagavad-g%C4%ABt%C4%81-3813/</t>
  </si>
  <si>
    <t>Bhagavad-Gita 3.13-16</t>
  </si>
  <si>
    <r>
      <rPr>
        <rFont val="&quot;Aptos Narrow&quot;, sans-serif"/>
        <color rgb="FF1155CC"/>
        <sz val="11.0"/>
        <u/>
      </rPr>
      <t>https://prabhupadavani.org/transcriptions/bhagavad-g%C4%ABt%C4%81-31316/</t>
    </r>
  </si>
  <si>
    <t>Bhagavad-Gita 3.16-17</t>
  </si>
  <si>
    <t>https://prabhupadavani.org/transcriptions/bhagavad-g%C4%ABt%C4%81-31617/</t>
  </si>
  <si>
    <t>Bhagavad-Gita 3.17-20</t>
  </si>
  <si>
    <t>https://prabhupadavani.org/transcriptions/bhagavad-g%C4%ABt%C4%81-31720/</t>
  </si>
  <si>
    <t>Bhagavad-Gita 3.21-25</t>
  </si>
  <si>
    <t>https://prabhupadavani.org/transcriptions/bhagavad-g%C4%ABt%C4%81-32125/</t>
  </si>
  <si>
    <t>Bhagavad-Gita 4.1 and Review</t>
  </si>
  <si>
    <t>https://prabhupadavani.org/transcriptions/bhagavad-g%C4%ABt%C4%81-41-and-review/</t>
  </si>
  <si>
    <t>Bhagavad-Gita 4.3-6</t>
  </si>
  <si>
    <t>https://prabhupadavani.org/transcriptions/bhagavad-g%C4%ABt%C4%81-436/</t>
  </si>
  <si>
    <t>Bhagavad-Gita 4.6-8</t>
  </si>
  <si>
    <t>https://prabhupadavani.org/transcriptions/bhagavad-g%C4%ABt%C4%81-468/</t>
  </si>
  <si>
    <t>Bhagavad-Gita 4.7-9</t>
  </si>
  <si>
    <t>https://prabhupadavani.org/transcriptions/bhagavad-g%C4%ABt%C4%81-479/</t>
  </si>
  <si>
    <t>Bhagavad-Gita 4.9-11</t>
  </si>
  <si>
    <t>https://prabhupadavani.org/transcriptions/bhagavad-g%C4%ABt%C4%81-4911/</t>
  </si>
  <si>
    <t>Bhagavad-Gita 4.11</t>
  </si>
  <si>
    <t>https://prabhupadavani.org/transcriptions/bhagavad-g%C4%ABt%C4%81-411/</t>
  </si>
  <si>
    <t>Bhagavad-Gita 4.11-12</t>
  </si>
  <si>
    <t>https://prabhupadavani.org/transcriptions/bhagavad-g%C4%ABt%C4%81-41112/</t>
  </si>
  <si>
    <t>Bhagavad-Gita 4.12-13</t>
  </si>
  <si>
    <t>https://prabhupadavani.org/transcriptions/bhagavad-g%C4%ABt%C4%81-41213/</t>
  </si>
  <si>
    <t>Bhagavad-Gita 4.13-14</t>
  </si>
  <si>
    <t>https://prabhupadavani.org/transcriptions/bhagavad-g%C4%ABt%C4%81-41314/</t>
  </si>
  <si>
    <t>Bhagavad-Gita 4.14-19</t>
  </si>
  <si>
    <t>https://prabhupadavani.org/transcriptions/bhagavad-g%C4%ABt%C4%81-41419/</t>
  </si>
  <si>
    <t>Bhagavad-Gita 4.19</t>
  </si>
  <si>
    <t>https://prabhupadavani.org/transcriptions/bhagavad-g%C4%ABt%C4%81-419-66-05-08/</t>
  </si>
  <si>
    <t>Bhagavad-Gita 4.19-22</t>
  </si>
  <si>
    <t>https://prabhupadavani.org/transcriptions/bhagavad-g%C4%ABt%C4%81-41922/</t>
  </si>
  <si>
    <t>Bhagavad-Gita 4.20-24</t>
  </si>
  <si>
    <t>https://prabhupadavani.org/transcriptions/bhagavad-g%C4%ABt%C4%81-42024/</t>
  </si>
  <si>
    <t>Bhagavad-Gita 4.24-34</t>
  </si>
  <si>
    <t>https://prabhupadavani.org/transcriptions/bhagavad-g%C4%ABt%C4%81-42434/</t>
  </si>
  <si>
    <t>Bhagavad-Gita 4.34</t>
  </si>
  <si>
    <t>https://prabhupadavani.org/transcriptions/bhagavad-g%C4%ABt%C4%81-434/</t>
  </si>
  <si>
    <t>Bhagavad-Gita 4.34-38</t>
  </si>
  <si>
    <t>https://prabhupadavani.org/transcriptions/bhagavad-g%C4%ABt%C4%81-43438/</t>
  </si>
  <si>
    <t>Bhagavad-Gita 4.37-40</t>
  </si>
  <si>
    <t>https://prabhupadavani.org/transcriptions/bhagavad-g%C4%ABt%C4%81-43740/</t>
  </si>
  <si>
    <t>Bhagavad-Gita 4.39-5.3</t>
  </si>
  <si>
    <t>https://prabhupadavani.org/transcriptions/bhagavad-g%C4%ABt%C4%81-43953/</t>
  </si>
  <si>
    <t>Lecture</t>
  </si>
  <si>
    <t>https://prabhupadavani.org/transcriptions/lecture-66-08-22/</t>
  </si>
  <si>
    <t>Bhagavad-Gita 5.3-7</t>
  </si>
  <si>
    <t>https://prabhupadavani.org/transcriptions/bhagavad-g%C4%ABt%C4%81-537/</t>
  </si>
  <si>
    <t>Bhagavad-Gita 5.7-13</t>
  </si>
  <si>
    <t>https://prabhupadavani.org/transcriptions/bhagavad-g%C4%ABt%C4%81-5713/</t>
  </si>
  <si>
    <t>Bhagavad-Gita 5.14-22</t>
  </si>
  <si>
    <t>https://prabhupadavani.org/transcriptions/bhagavad-g%C4%ABt%C4%81-514-22/</t>
  </si>
  <si>
    <t>Bhagavad-Gita 5.22-29</t>
  </si>
  <si>
    <t>https://prabhupadavani.org/transcriptions/bhagavad-g%C4%ABt%C4%81-52229/</t>
  </si>
  <si>
    <t>Sept. 2, 1966</t>
  </si>
  <si>
    <t>Bhagavad-Gita 6.1-4</t>
  </si>
  <si>
    <t>https://prabhupadavani.org/transcriptions/bhagavad-g%C4%ABt%C4%81-614/</t>
  </si>
  <si>
    <t>Sept. 5, 1966</t>
  </si>
  <si>
    <t>Bhagavad-Gita 6.4-12</t>
  </si>
  <si>
    <t>https://prabhupadavani.org/transcriptions/bhagavad-g%C4%ABt%C4%81-6412/</t>
  </si>
  <si>
    <t>Sept. 7, 1966</t>
  </si>
  <si>
    <t>Bhagavad-Gita 6.11-21</t>
  </si>
  <si>
    <t>https://prabhupadavani.org/transcriptions/bhagavad-g%C4%ABt%C4%81-61121/</t>
  </si>
  <si>
    <t>Sept. 9, 1966</t>
  </si>
  <si>
    <t>Lecture on Maha-mantra</t>
  </si>
  <si>
    <t>https://prabhupadavani.org/transcriptions/lecture-on-mah%C4%81-mantra/</t>
  </si>
  <si>
    <t>Sept. 14, 1966</t>
  </si>
  <si>
    <t>Bhagavad-Gita 6.21-27</t>
  </si>
  <si>
    <t>https://prabhupadavani.org/transcriptions/bhagavad-g%C4%ABt%C4%81-62127/</t>
  </si>
  <si>
    <t>Sept. 16, 1966</t>
  </si>
  <si>
    <t>Bhagavad-Gita 6.32-40</t>
  </si>
  <si>
    <t>https://prabhupadavani.org/transcriptions/bhagavad-g%C4%ABt%C4%81-63240/</t>
  </si>
  <si>
    <t>Sept. 19, 1966</t>
  </si>
  <si>
    <t>Bhagavad-Gita 6.40-43</t>
  </si>
  <si>
    <t>https://prabhupadavani.org/transcriptions/bhagavad-g%C4%ABt%C4%81-64043/</t>
  </si>
  <si>
    <t>Bhagavad-Gita 7.8-14</t>
  </si>
  <si>
    <t>https://prabhupadavani.org/transcriptions/bhagavad-g%C4%ABt%C4%81-7814/</t>
  </si>
  <si>
    <t>Bhagavad-Gita 7.11-16</t>
  </si>
  <si>
    <t>https://prabhupadavani.org/transcriptions/bhagavad-g%C4%ABt%C4%81-71116/</t>
  </si>
  <si>
    <t>Bhagavad-Gita 7.15-18</t>
  </si>
  <si>
    <t>https://prabhupadavani.org/transcriptions/bhagavad-g%C4%ABt%C4%81-71518/</t>
  </si>
  <si>
    <t>Bhagavad-Gita 7.18-20</t>
  </si>
  <si>
    <t>https://prabhupadavani.org/transcriptions/bhagavad-g%C4%ABt%C4%81-71820/</t>
  </si>
  <si>
    <t>Bhagavad-Gita 7.28-8.6</t>
  </si>
  <si>
    <t>https://prabhupadavani.org/transcriptions/bhagavad-g%C4%ABt%C4%81-72886/</t>
  </si>
  <si>
    <t>Bhagavad-Gita 8.12-14</t>
  </si>
  <si>
    <t>https://prabhupadavani.org/transcriptions/bhagavad-g%C4%ABt%C4%81-81214/</t>
  </si>
  <si>
    <t>Bhagavad-Gita 8.14-15</t>
  </si>
  <si>
    <t>https://prabhupadavani.org/transcriptions/bhagavad-g%C4%ABt%C4%81-81415/</t>
  </si>
  <si>
    <t>Bhagavad-Gita 8.15-20</t>
  </si>
  <si>
    <t>https://prabhupadavani.org/transcriptions/bhagavad-g%C4%ABt%C4%81-81520/</t>
  </si>
  <si>
    <t>Bhagavad-Gita 8.20-22</t>
  </si>
  <si>
    <t>https://prabhupadavani.org/transcriptions/bhagavad-g%C4%ABt%C4%81-82022/</t>
  </si>
  <si>
    <t>Bhagavad-Gita 8.21-22</t>
  </si>
  <si>
    <t>https://prabhupadavani.org/transcriptions/bhagavad-g%C4%ABt%C4%81-82122/</t>
  </si>
  <si>
    <t>Brahma-samhita 5.29-41 &amp; Purport</t>
  </si>
  <si>
    <t>https://prabhupadavani.org/transcriptions/brahma-sa%E1%B9%81hit%C4%81-52941-purport/</t>
  </si>
  <si>
    <t>Bhagavad-Gita 8.22-27</t>
  </si>
  <si>
    <t>https://prabhupadavani.org/transcriptions/bhagavad-g%C4%ABt%C4%81-82227/</t>
  </si>
  <si>
    <t>Bhagavad-Gita 8.28-9.2</t>
  </si>
  <si>
    <t>https://prabhupadavani.org/transcriptions/bhagavad-g%C4%ABt%C4%81-82892/</t>
  </si>
  <si>
    <t>Bhagavad-Gita 9.2</t>
  </si>
  <si>
    <t>https://prabhupadavani.org/transcriptions/bhagavad-g%C4%ABt%C4%81-92/</t>
  </si>
  <si>
    <t>Govardhana Puja Lecture</t>
  </si>
  <si>
    <t>https://prabhupadavani.org/transcriptions/govardhana-p%C5%ABj%C4%81-lecture/</t>
  </si>
  <si>
    <t>Bhagavad-Gita 9.2-4</t>
  </si>
  <si>
    <t>https://prabhupadavani.org/transcriptions/bhagavad-g%C4%ABt%C4%81-924/</t>
  </si>
  <si>
    <t>Bhagavad-Gita 9.4-7</t>
  </si>
  <si>
    <t>https://prabhupadavani.org/transcriptions/bhagavad-g%C4%ABt%C4%81-947/</t>
  </si>
  <si>
    <t>Bhagavad-Gita 9.7-10</t>
  </si>
  <si>
    <t>https://prabhupadavani.org/transcriptions/bhagavad-g%C4%ABt%C4%81-9710/</t>
  </si>
  <si>
    <t>Bhagavad-Gita 9.11-14</t>
  </si>
  <si>
    <t>https://prabhupadavani.org/transcriptions/bhagavad-g%C4%ABt%C4%81-91114/</t>
  </si>
  <si>
    <t>Bhagavad-Gita 9.13</t>
  </si>
  <si>
    <t>https://prabhupadavani.org/transcriptions/bhagavad-g%C4%ABt%C4%81-913/</t>
  </si>
  <si>
    <t>Sri Caitanya-caritamrta, Madhya-lila 20.66-96</t>
  </si>
  <si>
    <t>https://prabhupadavani.org/transcriptions/%C5%9Br%C4%AB-caitanya-carit%C4%81m%E1%B9%9Bta-madhya-l%C4%ABl%C4%81-206696/</t>
  </si>
  <si>
    <t>Sri Caitanya-caritamrta, Madhya-lila 20.97-99</t>
  </si>
  <si>
    <t>https://prabhupadavani.org/transcriptions/%C5%9Br%C4%AB-caitanya-carit%C4%81m%E1%B9%9Bta-madhya-l%C4%ABl%C4%81-209799/</t>
  </si>
  <si>
    <t>Bhagavad-Gita 9.14-15</t>
  </si>
  <si>
    <t>https://prabhupadavani.org/transcriptions/bhagavad-g%C4%ABt%C4%81-91415/</t>
  </si>
  <si>
    <t>Sri Caitanya-caritamrta, Madhya-lila 20.100-108</t>
  </si>
  <si>
    <t>https://prabhupadavani.org/transcriptions/%C5%9Br%C4%AB-caitanya-carit%C4%81m%E1%B9%9Bta-madhya-l%C4%ABl%C4%81-20100108/</t>
  </si>
  <si>
    <t>Sri Caitanya-caritamrta, Madhya-lila 20.100-118</t>
  </si>
  <si>
    <t>https://prabhupadavani.org/transcriptions/%C5%9Br%C4%AB-caitanya-carit%C4%81m%E1%B9%9Bta-madhya-l%C4%ABl%C4%81-20100118/</t>
  </si>
  <si>
    <t>Bhagavad-Gita 9.15</t>
  </si>
  <si>
    <t>https://prabhupadavani.org/transcriptions/bhagavad-g%C4%ABt%C4%81-915/</t>
  </si>
  <si>
    <t>Sri Caitanya-caritamrta, Madhya-lila 20.118-119</t>
  </si>
  <si>
    <t>https://prabhupadavani.org/transcriptions/%C5%9Br%C4%AB-caitanya-carit%C4%81m%E1%B9%9Bta-madhya-l%C4%ABl%C4%81-20118119/</t>
  </si>
  <si>
    <t>Sri Caitanya-caritamrta, Madhya-lila 20.119-121</t>
  </si>
  <si>
    <t>https://prabhupadavani.org/transcriptions/%C5%9Br%C4%AB-caitanya-carit%C4%81m%E1%B9%9Bta-madhya-l%C4%ABl%C4%81-20119121/</t>
  </si>
  <si>
    <t>Bhagavad-Gita 9.15-18</t>
  </si>
  <si>
    <t>https://prabhupadavani.org/transcriptions/bhagavad-g%C4%ABt%C4%81-91518/</t>
  </si>
  <si>
    <t>Sri Caitanya-caritamrta, Madhya-lila 20.121-124</t>
  </si>
  <si>
    <t>https://prabhupadavani.org/transcriptions/%C5%9Br%C4%AB-caitanya-carit%C4%81m%E1%B9%9Bta-madhya-l%C4%ABl%C4%81-20121124/</t>
  </si>
  <si>
    <t>Sri Caitanya-caritamrta, Madhya-lila 20.124-125</t>
  </si>
  <si>
    <t>https://prabhupadavani.org/transcriptions/%C5%9Br%C4%AB-caitanya-carit%C4%81m%E1%B9%9Bta-madhya-l%C4%ABl%C4%81-20124125/</t>
  </si>
  <si>
    <t>Sri Caitanya-caritamrta, Madhya-lila 20.125-136</t>
  </si>
  <si>
    <t>https://prabhupadavani.org/transcriptions/%C5%9Br%C4%AB-caitanya-carit%C4%81m%E1%B9%9Bta-madhya-l%C4%ABl%C4%81-20125136/</t>
  </si>
  <si>
    <t>Bhagavad-Gita 9.18-19</t>
  </si>
  <si>
    <t>https://prabhupadavani.org/transcriptions/bhagavad-g%C4%ABt%C4%81-91819/</t>
  </si>
  <si>
    <t>Sri Caitanya-caritamrta, Madhya-lila 20.137</t>
  </si>
  <si>
    <t>https://prabhupadavani.org/transcriptions/%C5%9Br%C4%AB-caitanya-carit%C4%81m%E1%B9%9Bta-madhya-l%C4%ABl%C4%81-20137/</t>
  </si>
  <si>
    <t>Sri Caitanya-caritamrta, Madhya-lila 20.137-142</t>
  </si>
  <si>
    <t>https://prabhupadavani.org/transcriptions/%C5%9Br%C4%AB-caitanya-carit%C4%81m%E1%B9%9Bta-madhya-l%C4%ABl%C4%81-20137142/</t>
  </si>
  <si>
    <t>Bhagavad-Gita 9.20-22</t>
  </si>
  <si>
    <t>https://prabhupadavani.org/transcriptions/bhagavad-g%C4%ABt%C4%81-92022/</t>
  </si>
  <si>
    <t>Sri Caitanya-caritamrta, Madhya-lila 20.142-144</t>
  </si>
  <si>
    <t>https://prabhupadavani.org/transcriptions/%C5%9Br%C4%AB-caitanya-carit%C4%81m%E1%B9%9Bta-madhya-l%C4%ABl%C4%81-20142144/</t>
  </si>
  <si>
    <t>Sri Caitanya-caritamrta, Madhya-lila 20.144-146</t>
  </si>
  <si>
    <t>https://prabhupadavani.org/transcriptions/%C5%9Br%C4%AB-caitanya-carit%C4%81m%E1%B9%9Bta-madhya-l%C4%ABl%C4%81-20144146/</t>
  </si>
  <si>
    <t>Bhagavad-Gita 9.22-23</t>
  </si>
  <si>
    <t>https://prabhupadavani.org/transcriptions/bhagavad-g%C4%ABt%C4%81-92223/</t>
  </si>
  <si>
    <t>Sri Caitanya-caritamrta, Madhya-lila 20.146, 149-51</t>
  </si>
  <si>
    <t>https://prabhupadavani.org/transcriptions/%C5%9Br%C4%AB-caitanya-carit%C4%81m%E1%B9%9Bta-madhya-l%C4%ABl%C4%81-20146-14951/</t>
  </si>
  <si>
    <t>Sri Caitanya-caritamrta, Madhya-lila 20.152-154</t>
  </si>
  <si>
    <t>https://prabhupadavani.org/transcriptions/%C5%9Br%C4%AB-caitanya-carit%C4%81m%E1%B9%9Bta-madhya-l%C4%ABl%C4%81-20152154/</t>
  </si>
  <si>
    <t>Sri Caitanya-caritamrta, Madhya-lila 20.154-157</t>
  </si>
  <si>
    <t>https://prabhupadavani.org/transcriptions/%C5%9Br%C4%AB-caitanya-carit%C4%81m%E1%B9%9Bta-madhya-l%C4%ABl%C4%81-20154157/</t>
  </si>
  <si>
    <t>Bhagavad-Gita 9.23-24</t>
  </si>
  <si>
    <t>https://prabhupadavani.org/transcriptions/bhagavad-g%C4%ABt%C4%81-92324/</t>
  </si>
  <si>
    <t>Sri Caitanya-caritamrta, Madhya-lila 20.156-162 [Partial Recording]</t>
  </si>
  <si>
    <t>https://prabhupadavani.org/transcriptions/%C5%9Br%C4%AB-caitanya-carit%C4%81m%E1%B9%9Bta-madhya-l%C4%ABl%C4%81-20156162-partial-recording/</t>
  </si>
  <si>
    <t>Bhagavad-Gita 9.24-26</t>
  </si>
  <si>
    <t>https://prabhupadavani.org/transcriptions/bhagavad-g%C4%ABt%C4%81-92426/</t>
  </si>
  <si>
    <t>Sri Caitanya-caritamrta, Madhya-lila 20.164-173</t>
  </si>
  <si>
    <t>https://prabhupadavani.org/transcriptions/%C5%9Br%C4%AB-caitanya-carit%C4%81m%E1%B9%9Bta-madhya-l%C4%ABl%C4%81-20164173/</t>
  </si>
  <si>
    <t>Sri Caitanya-caritamrta, Madhya-lila 20.172-244</t>
  </si>
  <si>
    <t>https://prabhupadavani.org/transcriptions/%C5%9Br%C4%AB-caitanya-carit%C4%81m%E1%B9%9Bta-madhya-l%C4%ABl%C4%81-20172244/</t>
  </si>
  <si>
    <t>Bhagavad-Gita 9.26-27</t>
  </si>
  <si>
    <t>https://prabhupadavani.org/transcriptions/bhagavad-g%C4%ABt%C4%81-92627/</t>
  </si>
  <si>
    <t>Sri Caitanya-caritamrta, Madhya-lila 20.245-255</t>
  </si>
  <si>
    <t>https://prabhupadavani.org/transcriptions/%C5%9Br%C4%AB-caitanya-carit%C4%81m%E1%B9%9Bta-madhya-l%C4%ABl%C4%81-20245255/</t>
  </si>
  <si>
    <t>Sri Caitanya-caritamrta, Madhya-lila 20.255-281</t>
  </si>
  <si>
    <t>https://prabhupadavani.org/transcriptions/%C5%9Br%C4%AB-caitanya-carit%C4%81m%E1%B9%9Bta-madhya-l%C4%ABl%C4%81-20255281/</t>
  </si>
  <si>
    <t>Sri Caitanya-caritamrta, Madhya-lila 20.281-293</t>
  </si>
  <si>
    <t>https://prabhupadavani.org/transcriptions/%C5%9Br%C4%AB-caitanya-carit%C4%81m%E1%B9%9Bta-madhya-l%C4%ABl%C4%81-20281293/</t>
  </si>
  <si>
    <t>Bhagavad-Gita 9.27-29</t>
  </si>
  <si>
    <t>https://prabhupadavani.org/transcriptions/bhagavad-g%C4%ABt%C4%81-92729/</t>
  </si>
  <si>
    <t>Sri Caitanya-caritamrta, Madhya-lila 20.294-298</t>
  </si>
  <si>
    <t>https://prabhupadavani.org/transcriptions/%C5%9Br%C4%AB-caitanya-carit%C4%81m%E1%B9%9Bta-madhya-l%C4%ABl%C4%81-20294298/</t>
  </si>
  <si>
    <t>Sri Caitanya-caritamrta, Madhya-lila 20.298-313</t>
  </si>
  <si>
    <t>https://prabhupadavani.org/transcriptions/%C5%9Br%C4%AB-caitanya-carit%C4%81m%E1%B9%9Bta-madhya-l%C4%ABl%C4%81-20298313/</t>
  </si>
  <si>
    <t>Bhagavad-Gita 9.29-32</t>
  </si>
  <si>
    <t>https://prabhupadavani.org/transcriptions/bhagavad-g%C4%ABt%C4%81-92932/</t>
  </si>
  <si>
    <t>Sri Caitanya-caritamrta, Madhya-lila 20.313-317</t>
  </si>
  <si>
    <t>https://prabhupadavani.org/transcriptions/%C5%9Br%C4%AB-caitanya-carit%C4%81m%E1%B9%9Bta-madhya-l%C4%ABl%C4%81-20313317/</t>
  </si>
  <si>
    <t>Sri Caitanya-caritamrta, Madhya-lila 20.318-329</t>
  </si>
  <si>
    <t>https://prabhupadavani.org/transcriptions/%C5%9Br%C4%AB-caitanya-carit%C4%81m%E1%B9%9Bta-madhya-l%C4%ABl%C4%81-20318329/</t>
  </si>
  <si>
    <t>Sri Caitanya-caritamrta, Madhya-lila 20.330-335</t>
  </si>
  <si>
    <t>https://prabhupadavani.org/transcriptions/%C5%9Br%C4%AB-caitanya-carit%C4%81m%E1%B9%9Bta-madhya-l%C4%ABl%C4%81-20330335/</t>
  </si>
  <si>
    <t>Sri Caitanya-caritamrta, Madhya-lila 20.334-341</t>
  </si>
  <si>
    <t>https://prabhupadavani.org/transcriptions/%C5%9Br%C4%AB-caitanya-carit%C4%81m%E1%B9%9Bta-madhya-l%C4%ABl%C4%81-20334341/</t>
  </si>
  <si>
    <t>Sri Caitanya-caritamrta, Madhya-lila 20.337-353</t>
  </si>
  <si>
    <t>https://prabhupadavani.org/transcriptions/%C5%9Br%C4%AB-caitanya-carit%C4%81m%E1%B9%9Bta-madhya-l%C4%ABl%C4%81-20337353/</t>
  </si>
  <si>
    <t>Bhagavad-Gita 9.34</t>
  </si>
  <si>
    <t>https://prabhupadavani.org/transcriptions/bhagavad-g%C4%ABt%C4%81-934/</t>
  </si>
  <si>
    <t>Sri Caitanya-caritamrta, Madhya-lila 20.353-354</t>
  </si>
  <si>
    <t>https://prabhupadavani.org/transcriptions/%C5%9Br%C4%AB-caitanya-carit%C4%81m%E1%B9%9Bta-madhya-l%C4%ABl%C4%81-20353354/</t>
  </si>
  <si>
    <t>Sri Caitanya-caritamrta, Madhya-lila 20.354-358</t>
  </si>
  <si>
    <t>https://prabhupadavani.org/transcriptions/%C5%9Br%C4%AB-caitanya-carit%C4%81m%E1%B9%9Bta-madhya-l%C4%ABl%C4%81-20354358/</t>
  </si>
  <si>
    <t>Bhagavad-Gita 10.1</t>
  </si>
  <si>
    <t>https://prabhupadavani.org/transcriptions/bhagavad-g%C4%ABt%C4%81-101/</t>
  </si>
  <si>
    <t>Sri Caitanya-caritamrta, Madhya-lila 20.358-359</t>
  </si>
  <si>
    <t>https://prabhupadavani.org/transcriptions/%C5%9Br%C4%AB-caitanya-carit%C4%81m%E1%B9%9Bta-madhya-l%C4%ABl%C4%81-20358359/</t>
  </si>
  <si>
    <t>Sri Caitanya-caritamrta, Madhya-lila 20.360 [partial recording]</t>
  </si>
  <si>
    <t>https://prabhupadavani.org/transcriptions/%C5%9Br%C4%AB-caitanya-carit%C4%81m%E1%B9%9Bta-madhya-l%C4%ABl%C4%81-20360-partial-recording/</t>
  </si>
  <si>
    <t>Bhagavad-Gita 10.1-3</t>
  </si>
  <si>
    <t>https://prabhupadavani.org/transcriptions/bhagavad-g%C4%ABt%C4%81-1013/</t>
  </si>
  <si>
    <t>Sri Caitanya-caritamrta, Madhya-lila 20.367-384</t>
  </si>
  <si>
    <t>https://prabhupadavani.org/transcriptions/%C5%9Br%C4%AB-caitanya-carit%C4%81m%E1%B9%9Bta-madhya-l%C4%ABl%C4%81-20367384/</t>
  </si>
  <si>
    <t>Sri Caitanya-caritamrta, Madhya-lila 20.385-395</t>
  </si>
  <si>
    <t>https://prabhupadavani.org/transcriptions/670101ccny/</t>
  </si>
  <si>
    <t>Sri Caitanya-caritamrta, Madhya-lila 20.391-405</t>
  </si>
  <si>
    <t>https://prabhupadavani.org/transcriptions/670102ccny/</t>
  </si>
  <si>
    <t>Bhagavad-Gita 10.2-3</t>
  </si>
  <si>
    <t>https://prabhupadavani.org/transcriptions/670102bgny/</t>
  </si>
  <si>
    <t>Sri Caitanya-caritamrta, Madhya-lila 21.1-10</t>
  </si>
  <si>
    <t>https://prabhupadavani.org/transcriptions/670103ccny/</t>
  </si>
  <si>
    <t>Bhagavad-Gita 10.4</t>
  </si>
  <si>
    <t>https://prabhupadavani.org/transcriptions/670104bgnyi/</t>
  </si>
  <si>
    <t>Sri Caitanya-caritamrta, Madhya-lila 21.13-48</t>
  </si>
  <si>
    <t>https://prabhupadavani.org/transcriptions/670104ccny/</t>
  </si>
  <si>
    <t>Sri Caitanya-caritamrta, Madhya-lila 21.49-60</t>
  </si>
  <si>
    <t>https://prabhupadavani.org/transcriptions/670105ccny/</t>
  </si>
  <si>
    <t>Bhagavad-Gita 10.4-5</t>
  </si>
  <si>
    <t>https://prabhupadavani.org/transcriptions/670106bgnyi/</t>
  </si>
  <si>
    <t>Sri Caitanya-caritamrta, Madhya-lila 21.62-67</t>
  </si>
  <si>
    <t>https://prabhupadavani.org/transcriptions/670106ccny/</t>
  </si>
  <si>
    <t>Sri Caitanya-caritamrta, Madhya-lila 22.5</t>
  </si>
  <si>
    <t>https://prabhupadavani.org/transcriptions/670107ccny/</t>
  </si>
  <si>
    <t>Sri Caitanya-caritamrta, Madhya-lila 22.6-10</t>
  </si>
  <si>
    <t>https://prabhupadavani.org/transcriptions/670108ccny/</t>
  </si>
  <si>
    <t>Sri Caitanya-caritamrta, Madhya-lila 22.11-15</t>
  </si>
  <si>
    <t>https://prabhupadavani.org/transcriptions/670109ccny/</t>
  </si>
  <si>
    <t>Sri Caitanya-caritamrta, Madhya-lila 22.14-19</t>
  </si>
  <si>
    <t>https://prabhupadavani.org/transcriptions/670110ccny/</t>
  </si>
  <si>
    <t>Sri Caitanya-caritamrta, Madhya-lila 22.21-28</t>
  </si>
  <si>
    <t>https://prabhupadavani.org/transcriptions/670111ccny/</t>
  </si>
  <si>
    <t>Bhagavad-Gita 10.8</t>
  </si>
  <si>
    <t>https://prabhupadavani.org/transcriptions/670111bgny/</t>
  </si>
  <si>
    <t>Sri Caitanya-caritamrta, Madhya-lila 22.27-31</t>
  </si>
  <si>
    <t>https://prabhupadavani.org/transcriptions/670115ccny/</t>
  </si>
  <si>
    <t>Sri Caitanya-caritamrta, Madhya-lila 22.31-33</t>
  </si>
  <si>
    <t>https://prabhupadavani.org/transcriptions/670116ccny/</t>
  </si>
  <si>
    <t>San Francisco</t>
  </si>
  <si>
    <t>Sri Caitanya-caritamrta, Madhya-lila 25.19-30</t>
  </si>
  <si>
    <t>https://prabhupadavani.org/transcriptions/670120ccsf/</t>
  </si>
  <si>
    <t>Sri Caitanya-caritamrta, Madhya-lila 25.29</t>
  </si>
  <si>
    <t>https://prabhupadavani.org/transcriptions/670121ccsf/</t>
  </si>
  <si>
    <t>Sri Caitanya-caritamrta, Madhya-lila 25.31-38</t>
  </si>
  <si>
    <t>https://prabhupadavani.org/transcriptions/670122ccsf/</t>
  </si>
  <si>
    <t>Sri Caitanya-caritamrta, Madhya-lila 25.36-40</t>
  </si>
  <si>
    <t>https://prabhupadavani.org/transcriptions/670123ccsf/</t>
  </si>
  <si>
    <t>Sri Caitanya-caritamrta, Madhya-lila 25.40-50</t>
  </si>
  <si>
    <t>https://prabhupadavani.org/transcriptions/670124ccsf/</t>
  </si>
  <si>
    <t>Sri Caitanya-caritamrta, Adi-lila 7.39-47</t>
  </si>
  <si>
    <t>https://prabhupadavani.org/transcriptions/670205ccsf/</t>
  </si>
  <si>
    <t>Sri Caitanya-caritamrta, Adi-lila 7.49-65</t>
  </si>
  <si>
    <t>https://prabhupadavani.org/transcriptions/670207ccsf/</t>
  </si>
  <si>
    <t>Sri Caitanya-caritamrta, Adi-lila 7.66-76</t>
  </si>
  <si>
    <t>https://prabhupadavani.org/transcriptions/670208ccsfi/</t>
  </si>
  <si>
    <t>Sri Caitanya-caritamrta, Adi-lila 7.77-81</t>
  </si>
  <si>
    <t>https://prabhupadavani.org/transcriptions/670209ccsf/</t>
  </si>
  <si>
    <t>Sri Caitanya-caritamrta, Adi-lila 7.80-95</t>
  </si>
  <si>
    <t>https://prabhupadavani.org/transcriptions/670210ccsf/</t>
  </si>
  <si>
    <t>Sri Caitanya-caritamrta, Adi-lila 7.106-107</t>
  </si>
  <si>
    <t>https://prabhupadavani.org/transcriptions/670217ccsf/</t>
  </si>
  <si>
    <t>Sri Caitanya-caritamrta, Adi-lila 7.108</t>
  </si>
  <si>
    <t>https://prabhupadavani.org/transcriptions/670218ccsf/</t>
  </si>
  <si>
    <t>Sri Caitanya-caritamrta, Adi-lila 7.113-17</t>
  </si>
  <si>
    <t>https://prabhupadavani.org/transcriptions/670223ccsf/</t>
  </si>
  <si>
    <t>Sri Caitanya-caritamrta, Adi-lila 7.118-120 [Partial Recording]</t>
  </si>
  <si>
    <t>https://prabhupadavani.org/transcriptions/670224ccsf/</t>
  </si>
  <si>
    <t>Srimad-Bhagavatam 7.6.1</t>
  </si>
  <si>
    <t>https://prabhupadavani.org/transcriptions/670303sbsf/</t>
  </si>
  <si>
    <t>Srimad-Bhagavatam 7.7.22-26</t>
  </si>
  <si>
    <t>https://prabhupadavani.org/transcriptions/670310sbsf/</t>
  </si>
  <si>
    <t>Srimad-Bhagavatam 7.7.25-28</t>
  </si>
  <si>
    <t>https://prabhupadavani.org/transcriptions/670313sbsf/</t>
  </si>
  <si>
    <t>Srimad-Bhagavatam 7.7.29-31</t>
  </si>
  <si>
    <t>https://prabhupadavani.org/transcriptions/670315sbsf/</t>
  </si>
  <si>
    <t>https://prabhupadavani.org/transcriptions/670316pusf/</t>
  </si>
  <si>
    <t>Srimad-Bhagavatam 7.7.32-35 [Partial Recording]</t>
  </si>
  <si>
    <t>https://prabhupadavani.org/transcriptions/670317sbsf/</t>
  </si>
  <si>
    <t>Sri Caitanya-caritamrta, Adi-lila 7.149-171</t>
  </si>
  <si>
    <t>https://prabhupadavani.org/transcriptions/670318ccsf/</t>
  </si>
  <si>
    <t>Srimad-Bhagavatam 7.7.40-44 [partially recorded]</t>
  </si>
  <si>
    <t>https://prabhupadavani.org/transcriptions/670320sbsf/</t>
  </si>
  <si>
    <t>Srimad-Bhagavatam 7.7.46 [Partial Recording]</t>
  </si>
  <si>
    <t>https://prabhupadavani.org/transcriptions/670322sbsf/</t>
  </si>
  <si>
    <t>Srimad-Bhagavatam 1.2.12-14 Jagannatha Deities Installation</t>
  </si>
  <si>
    <t>https://prabhupadavani.org/transcriptions/670326sbsf/</t>
  </si>
  <si>
    <t>Srimad-Bhagavatam 1.2.14-16</t>
  </si>
  <si>
    <t>https://prabhupadavani.org/transcriptions/670327sbsf/</t>
  </si>
  <si>
    <t>Srimad-Bhagavatam 1.2.17</t>
  </si>
  <si>
    <t>https://prabhupadavani.org/transcriptions/670329sbsf/</t>
  </si>
  <si>
    <t>Lecture [Partial Recording]</t>
  </si>
  <si>
    <t>https://prabhupadavani.org/transcriptions/670329lesf/</t>
  </si>
  <si>
    <t>Bhagavad-Gita 10.8 [Partial Recording]</t>
  </si>
  <si>
    <t>https://prabhupadavani.org/transcriptions/670331bgsf/</t>
  </si>
  <si>
    <t>Discourse on Lord Caitanya Play Between Srila Prabhupada and Hayagriva</t>
  </si>
  <si>
    <t>https://prabhupadavani.org/transcriptions/670405lcsf/</t>
  </si>
  <si>
    <t>Sri Caitanya-caritamrta, Adi-lila 7.108-109</t>
  </si>
  <si>
    <t>https://prabhupadavani.org/transcriptions/670415ccsf/</t>
  </si>
  <si>
    <t>Sri Caitanya-caritamrta, Adi-lila 7.109-114</t>
  </si>
  <si>
    <t>https://prabhupadavani.org/transcriptions/670416ccny/</t>
  </si>
  <si>
    <t>Los Angeles</t>
  </si>
  <si>
    <t>Purport to Gauranga Bolite Habe</t>
  </si>
  <si>
    <t>https://prabhupadavani.org/transcriptions/680106pula/</t>
  </si>
  <si>
    <t>Sri Caitanya-caritamrta, Madhya-lila 6.254</t>
  </si>
  <si>
    <t>https://prabhupadavani.org/transcriptions/680108ccla/</t>
  </si>
  <si>
    <t>Srimad-Bhagavatam 1.5.2</t>
  </si>
  <si>
    <t>https://prabhupadavani.org/transcriptions/680110sbla/</t>
  </si>
  <si>
    <t>Srimad-Bhagavatam 1.5.4</t>
  </si>
  <si>
    <t>https://prabhupadavani.org/transcriptions/680112sbla/</t>
  </si>
  <si>
    <t>https://prabhupadavani.org/transcriptions/680202lela/</t>
  </si>
  <si>
    <t>https://prabhupadavani.org/transcriptions/680306sbsf/</t>
  </si>
  <si>
    <t>Srimad-Bhagavatam 7.6.3-4</t>
  </si>
  <si>
    <t>https://prabhupadavani.org/transcriptions/680309sbsf/</t>
  </si>
  <si>
    <t>Interview</t>
  </si>
  <si>
    <t>https://prabhupadavani.org/transcriptions/680309ivsf/</t>
  </si>
  <si>
    <t>Initiation Lecture</t>
  </si>
  <si>
    <t>https://prabhupadavani.org/transcriptions/680310insf/</t>
  </si>
  <si>
    <t>Radio Interview</t>
  </si>
  <si>
    <t>https://prabhupadavani.org/transcriptions/680312ivsf/</t>
  </si>
  <si>
    <t>Talk in Studio</t>
  </si>
  <si>
    <t>https://prabhupadavani.org/transcriptions/680313tasf/</t>
  </si>
  <si>
    <t>https://prabhupadavani.org/transcriptions/680315sbsf/</t>
  </si>
  <si>
    <t>Lecture [partially recorded]</t>
  </si>
  <si>
    <t>https://prabhupadavani.org/transcriptions/680316sbsf/</t>
  </si>
  <si>
    <t>Bhagavad-Gita 7.1</t>
  </si>
  <si>
    <t>https://prabhupadavani.org/transcriptions/680317bgsf/</t>
  </si>
  <si>
    <t>Srimad-Bhagavatam 12.2.1</t>
  </si>
  <si>
    <t>https://prabhupadavani.org/transcriptions/680318sbsf/</t>
  </si>
  <si>
    <t>Morning Walk [partially recorded]</t>
  </si>
  <si>
    <t>https://prabhupadavani.org/transcriptions/680320mesf/</t>
  </si>
  <si>
    <t>Morning Walk at Stow Lake</t>
  </si>
  <si>
    <t>https://prabhupadavani.org/transcriptions/680323mesf/</t>
  </si>
  <si>
    <t>Initiation Ceremony of Visnujana</t>
  </si>
  <si>
    <t>https://prabhupadavani.org/transcriptions/680324insf/</t>
  </si>
  <si>
    <t>Room Conversation</t>
  </si>
  <si>
    <t>https://prabhupadavani.org/transcriptions/680325rcsf/</t>
  </si>
  <si>
    <t>https://prabhupadavani.org/transcriptions/680326bgsf/</t>
  </si>
  <si>
    <t>https://prabhupadavani.org/transcriptions/680327mwsf/</t>
  </si>
  <si>
    <t>Srimad-Bhagavatam 1.3.1-3</t>
  </si>
  <si>
    <t>https://prabhupadavani.org/transcriptions/680328sbsf/</t>
  </si>
  <si>
    <t>https://prabhupadavani.org/transcriptions/680402lesf/</t>
  </si>
  <si>
    <t>Boston</t>
  </si>
  <si>
    <t>Srimad-Bhagavatam 5.5.1-3</t>
  </si>
  <si>
    <t>https://prabhupadavani.org/transcriptions/680504sbbos/</t>
  </si>
  <si>
    <t>Brahmana Initiation Lecture with Professor O'Connell</t>
  </si>
  <si>
    <t>https://prabhupadavani.org/transcriptions/680506inbos/</t>
  </si>
  <si>
    <t>Talk After Lecture</t>
  </si>
  <si>
    <t>https://prabhupadavani.org/transcriptions/talk-after-lecture/</t>
  </si>
  <si>
    <t>Lecture to Technology Students [M.I.T.]</t>
  </si>
  <si>
    <t>https://prabhupadavani.org/transcriptions/680505lebos/</t>
  </si>
  <si>
    <t>https://prabhupadavani.org/transcriptions/680508sbbos/</t>
  </si>
  <si>
    <t>Engagement Lecture at Boston College</t>
  </si>
  <si>
    <t>https://prabhupadavani.org/transcriptions/engagement-lecture-boston-college/</t>
  </si>
  <si>
    <t>https://prabhupadavani.org/transcriptions/initiation-lecture-i/</t>
  </si>
  <si>
    <t>Montreal</t>
  </si>
  <si>
    <t>Bhagavad-Gita 7.3</t>
  </si>
  <si>
    <t>https://prabhupadavani.org/transcriptions/680603bgmon/</t>
  </si>
  <si>
    <t>https://prabhupadavani.org/transcriptions/680610sbmon/</t>
  </si>
  <si>
    <t>Bhagavad-Gita 4.5</t>
  </si>
  <si>
    <t>https://prabhupadavani.org/transcriptions/680610bgmon/</t>
  </si>
  <si>
    <t>Lecture at a School</t>
  </si>
  <si>
    <t>https://prabhupadavani.org/transcriptions/680611lemon/</t>
  </si>
  <si>
    <t>https://prabhupadavani.org/transcriptions/680612sbmon/</t>
  </si>
  <si>
    <t>Bhagavad-Gita 4.7</t>
  </si>
  <si>
    <t>https://prabhupadavani.org/transcriptions/680613bgmon/</t>
  </si>
  <si>
    <t>Bhagavad-Gita 4.8</t>
  </si>
  <si>
    <t>https://prabhupadavani.org/transcriptions/680614bgmon/</t>
  </si>
  <si>
    <t>Lecture Engagement</t>
  </si>
  <si>
    <t>https://prabhupadavani.org/transcriptions/680615lemon/</t>
  </si>
  <si>
    <t>Srimad-Bhagavatam 7.6.3</t>
  </si>
  <si>
    <t>https://prabhupadavani.org/transcriptions/680616sbmon/</t>
  </si>
  <si>
    <t>Bhagavad-Gita 4.9</t>
  </si>
  <si>
    <t>https://prabhupadavani.org/transcriptions/680619bgmon/</t>
  </si>
  <si>
    <t>Srimad-Bhagavatam 1.4.25</t>
  </si>
  <si>
    <t>https://prabhupadavani.org/transcriptions/680620sbmon/</t>
  </si>
  <si>
    <t>Srimad-Bhagavatam 7.6.6-9</t>
  </si>
  <si>
    <t>https://prabhupadavani.org/transcriptions/680623sbmon/</t>
  </si>
  <si>
    <t>Sri Isopanisad, Mantra 1</t>
  </si>
  <si>
    <t>https://prabhupadavani.org/transcriptions/%C5%9Br%C4%AB-%C4%AB%C5%9Bopani%E1%B9%A3ad-mantra-1-i/</t>
  </si>
  <si>
    <t>Sri Brahma-samhita 5.35 [Partially Recorded]</t>
  </si>
  <si>
    <t>https://prabhupadavani.org/transcriptions/680629lemon/</t>
  </si>
  <si>
    <t>Kirtana</t>
  </si>
  <si>
    <t>https://prabhupadavani.org/transcriptions/k%C4%ABrtana/</t>
  </si>
  <si>
    <t>Srimad-Bhagavatam 7.9.8</t>
  </si>
  <si>
    <t>https://prabhupadavani.org/transcriptions/680701sbmon/</t>
  </si>
  <si>
    <t>https://prabhupadavani.org/transcriptions/680702sbmon/</t>
  </si>
  <si>
    <t>Srimad-Bhagavatam 7.9.9</t>
  </si>
  <si>
    <t>https://prabhupadavani.org/transcriptions/680704sbmon/</t>
  </si>
  <si>
    <t>https://prabhupadavani.org/transcriptions/680706sbmon/</t>
  </si>
  <si>
    <t>Srimad-Bhagavatam 7.9.10</t>
  </si>
  <si>
    <t>https://prabhupadavani.org/transcriptions/680709sbmon/</t>
  </si>
  <si>
    <t>https://prabhupadavani.org/transcriptions/680710sbmon/</t>
  </si>
  <si>
    <t>https://prabhupadavani.org/transcriptions/680712sbmon/</t>
  </si>
  <si>
    <t>https://prabhupadavani.org/transcriptions/680716rcmon/</t>
  </si>
  <si>
    <t>Purport excerpt to Sri-Krsna-Caitanya Prabhu, Partially Recorded</t>
  </si>
  <si>
    <t>https://prabhupadavani.org/transcriptions/680717pumon/</t>
  </si>
  <si>
    <t>https://prabhupadavani.org/transcriptions/680718lemon/</t>
  </si>
  <si>
    <t>Bhagavad-Gita Lecture [partially recorded]</t>
  </si>
  <si>
    <t>https://prabhupadavani.org/transcriptions/bhagavad-g%C4%ABt%C4%81-lecture-partially-recorded/</t>
  </si>
  <si>
    <t>Paramananda &amp; Satyabhama's Wedding</t>
  </si>
  <si>
    <t>https://prabhupadavani.org/transcriptions/680722wlmon/</t>
  </si>
  <si>
    <t>Initiation of Jayapataka Dasa</t>
  </si>
  <si>
    <t>https://prabhupadavani.org/transcriptions/680724inmon/</t>
  </si>
  <si>
    <t>https://prabhupadavani.org/transcriptions/680727lemon/</t>
  </si>
  <si>
    <t>Conversation with Religious Group</t>
  </si>
  <si>
    <t>https://prabhupadavani.org/transcriptions/680727rcmon/</t>
  </si>
  <si>
    <t>Speech to Indian Audience</t>
  </si>
  <si>
    <t>https://prabhupadavani.org/transcriptions/680728spmon/</t>
  </si>
  <si>
    <t>Initiation of Bali-mardana Dasa</t>
  </si>
  <si>
    <t>https://prabhupadavani.org/transcriptions/680729inmon/</t>
  </si>
  <si>
    <t>Srimad-Bhagavatam 1.2.5</t>
  </si>
  <si>
    <t>https://prabhupadavani.org/transcriptions/680802sbmon/</t>
  </si>
  <si>
    <t>Srimad-Bhagavatam 1.2.6</t>
  </si>
  <si>
    <t>https://prabhupadavani.org/transcriptions/680803sbmon/</t>
  </si>
  <si>
    <t>Initiations and Gayatri of Devotees Going to London</t>
  </si>
  <si>
    <t>https://prabhupadavani.org/transcriptions/initiations-and-g%C4%81yatr%C4%AB-devotees-going-london/</t>
  </si>
  <si>
    <t>https://prabhupadavani.org/transcriptions/lecture-school/</t>
  </si>
  <si>
    <t>Srimad-Bhagavatam 7.9.10-11</t>
  </si>
  <si>
    <t>https://prabhupadavani.org/transcriptions/%C5%9Br%C4%ABmad-bh%C4%81gavatam-791011/</t>
  </si>
  <si>
    <t>Conversation with Devotees</t>
  </si>
  <si>
    <t>https://prabhupadavani.org/transcriptions/680815rcmon/</t>
  </si>
  <si>
    <t>Initiation of Rukmini Dasi</t>
  </si>
  <si>
    <t>https://prabhupadavani.org/transcriptions/initiation-rukmi%E1%B9%87%C4%AB-d%C4%81s%C4%AB/</t>
  </si>
  <si>
    <t>Janmastami Lord Sri Krsna's Appearance Day</t>
  </si>
  <si>
    <t>https://prabhupadavani.org/transcriptions/680816jmmon/</t>
  </si>
  <si>
    <t>Srimad-Bhagavatam 7.9.11</t>
  </si>
  <si>
    <t>https://prabhupadavani.org/transcriptions/680817sbmon/</t>
  </si>
  <si>
    <t>Sri Vyasa-puja</t>
  </si>
  <si>
    <t>https://prabhupadavani.org/transcriptions/%C5%9Br%C4%AB-vy%C4%81sa-p%C5%ABj%C4%81/</t>
  </si>
  <si>
    <t>Srimad-Bhagavatam 7.9.12</t>
  </si>
  <si>
    <t>https://prabhupadavani.org/transcriptions/680818sbmon/</t>
  </si>
  <si>
    <t>Room Conversation [First Devotees Going to London on Evening Before Their Departure]</t>
  </si>
  <si>
    <t>https://prabhupadavani.org/transcriptions/room-conversation-first-devotees-going-london-evening-their-departure/</t>
  </si>
  <si>
    <t>https://prabhupadavani.org/transcriptions/680819sbmon/</t>
  </si>
  <si>
    <t>Srimad-Bhagavatam 7.9.12-13</t>
  </si>
  <si>
    <t>https://prabhupadavani.org/transcriptions/680820sbmon/</t>
  </si>
  <si>
    <t>Srimad-Bhagavatam 7.9.13</t>
  </si>
  <si>
    <t>https://prabhupadavani.org/transcriptions/680821sbmon/</t>
  </si>
  <si>
    <t>https://prabhupadavani.org/transcriptions/680823lemon/</t>
  </si>
  <si>
    <t>Bhagavad-Gita 4.1</t>
  </si>
  <si>
    <t>https://prabhupadavani.org/transcriptions/680824bgmon/</t>
  </si>
  <si>
    <t>Prabhupada Comments on Prahlada Maharaja Slides</t>
  </si>
  <si>
    <t>https://prabhupadavani.org/transcriptions/680825cmmon/</t>
  </si>
  <si>
    <t>Questions and Answers</t>
  </si>
  <si>
    <t>https://prabhupadavani.org/transcriptions/680826qamon/</t>
  </si>
  <si>
    <t>Srimad-Bhagavatam 7.9.13-14</t>
  </si>
  <si>
    <t>https://prabhupadavani.org/transcriptions/%C5%9Br%C4%ABmad-bh%C4%81gavatam-791314/</t>
  </si>
  <si>
    <t>Radhastami Lecture</t>
  </si>
  <si>
    <t>https://prabhupadavani.org/transcriptions/680830ramon/</t>
  </si>
  <si>
    <t>Sept. 4, 1968</t>
  </si>
  <si>
    <t>Kirtana and Room Conversation</t>
  </si>
  <si>
    <t>https://prabhupadavani.org/transcriptions/k%C4%ABrtana-and-room-conversation/</t>
  </si>
  <si>
    <t>https://prabhupadavani.org/transcriptions/lecture-partially-recorded-iii/</t>
  </si>
  <si>
    <t>Sept. 5, 1968</t>
  </si>
  <si>
    <t>Initiation of Hrsikesa Dasa, Marriage of Satsvarupa and Jadurani</t>
  </si>
  <si>
    <t>https://prabhupadavani.org/transcriptions/680905inny/</t>
  </si>
  <si>
    <t>Sept. 10, 1968</t>
  </si>
  <si>
    <t>https://prabhupadavani.org/transcriptions/680910bgsf/</t>
  </si>
  <si>
    <t>Srimad-Bhagavatam 6.1.7</t>
  </si>
  <si>
    <t>https://prabhupadavani.org/transcriptions/680910sbsf/</t>
  </si>
  <si>
    <t>Sept. 11, 1968</t>
  </si>
  <si>
    <t>Bhagavad-Gita 7.2</t>
  </si>
  <si>
    <t>https://prabhupadavani.org/transcriptions/680911bgsf/</t>
  </si>
  <si>
    <t>Sept. 12, 1968</t>
  </si>
  <si>
    <t>Srimad-Bhagavatam 6.1.6-15</t>
  </si>
  <si>
    <t>https://prabhupadavani.org/transcriptions/680912sbsf/</t>
  </si>
  <si>
    <t>Sept. 13, 1968</t>
  </si>
  <si>
    <t>Sri Brahma-samhita, Verse 34</t>
  </si>
  <si>
    <t>https://prabhupadavani.org/transcriptions/680913bssf/</t>
  </si>
  <si>
    <t>Sept. 14, 1968</t>
  </si>
  <si>
    <t>https://prabhupadavani.org/transcriptions/680914lesf/</t>
  </si>
  <si>
    <t>Sept. 24, 1968</t>
  </si>
  <si>
    <t>Seattle</t>
  </si>
  <si>
    <t>Recorded Interview</t>
  </si>
  <si>
    <t>https://prabhupadavani.org/transcriptions/680924ivsea/</t>
  </si>
  <si>
    <t>Room Conversation about Marriage</t>
  </si>
  <si>
    <t>https://prabhupadavani.org/transcriptions/680924rcsea/</t>
  </si>
  <si>
    <t>Sept. 25, 1968</t>
  </si>
  <si>
    <t>Lecture on Teachings of Lord Caitanya</t>
  </si>
  <si>
    <t>https://prabhupadavani.org/transcriptions/680925lesea/</t>
  </si>
  <si>
    <t>Sept. 27, 1968</t>
  </si>
  <si>
    <t>https://prabhupadavani.org/transcriptions/680927lesea/</t>
  </si>
  <si>
    <t>Sept. 29, 1968</t>
  </si>
  <si>
    <t>Kirtana Excerpt [partially recorded]</t>
  </si>
  <si>
    <t>https://prabhupadavani.org/transcriptions/k%C4%ABrtana-excerpt-partially-recorded/</t>
  </si>
  <si>
    <t>Sept. 30, 1968</t>
  </si>
  <si>
    <t>https://prabhupadavani.org/transcriptions/680930lesea/</t>
  </si>
  <si>
    <t>https://prabhupadavani.org/transcriptions/681002lesea/</t>
  </si>
  <si>
    <t>https://prabhupadavani.org/transcriptions/681004lesea/</t>
  </si>
  <si>
    <t>https://prabhupadavani.org/transcriptions/681007lesea/</t>
  </si>
  <si>
    <t>https://prabhupadavani.org/transcriptions/681009lesea/</t>
  </si>
  <si>
    <t>https://prabhupadavani.org/transcriptions/681011lesea/</t>
  </si>
  <si>
    <t>Bhagavad-Gita 2.19-25</t>
  </si>
  <si>
    <t>https://prabhupadavani.org/transcriptions/681014bgsea/</t>
  </si>
  <si>
    <t>https://prabhupadavani.org/transcriptions/681018lesea/</t>
  </si>
  <si>
    <t>Lecture &amp; Initiation</t>
  </si>
  <si>
    <t>https://prabhupadavani.org/transcriptions/681020insea/</t>
  </si>
  <si>
    <t>https://prabhupadavani.org/transcriptions/681020rcsea/</t>
  </si>
  <si>
    <t>Lecture to College Students</t>
  </si>
  <si>
    <t>https://prabhupadavani.org/transcriptions/681020lesea/</t>
  </si>
  <si>
    <t>https://prabhupadavani.org/transcriptions/681021sbsea/</t>
  </si>
  <si>
    <t>Bhaktiprajnana Kesava Maharaja's Disappearance Day Lecture,</t>
  </si>
  <si>
    <t>https://prabhupadavani.org/transcriptions/681021dksea/</t>
  </si>
  <si>
    <t>Sri Caitanya-caritamrta Dictation</t>
  </si>
  <si>
    <t>https://prabhupadavani.org/transcriptions/%C5%9Br%C4%AB-caitanya-carit%C4%81m%E1%B9%9Bta-dictation/</t>
  </si>
  <si>
    <t>Srimad-Bhagavatam 2.1.2-5</t>
  </si>
  <si>
    <t>https://prabhupadavani.org/transcriptions/681023sbmon/</t>
  </si>
  <si>
    <t>Bhagavad-Gita 13.6-7</t>
  </si>
  <si>
    <t>https://prabhupadavani.org/transcriptions/681025bgmon/</t>
  </si>
  <si>
    <t>https://prabhupadavani.org/transcriptions/681026lemon/</t>
  </si>
  <si>
    <t>https://prabhupadavani.org/transcriptions/681030ipla/</t>
  </si>
  <si>
    <t>Sri Brahma-samhita, Verse 29</t>
  </si>
  <si>
    <t>https://prabhupadavani.org/transcriptions/681105bsla/</t>
  </si>
  <si>
    <t>Sri Brahma-samhita 5.29</t>
  </si>
  <si>
    <t>https://prabhupadavani.org/transcriptions/%C5%9Br%C4%AB-brahma-sa%E1%B9%81hit%C4%81-529/</t>
  </si>
  <si>
    <t>Sri Brahma-samhita, Lecture</t>
  </si>
  <si>
    <t>https://prabhupadavani.org/transcriptions/681109bsla/</t>
  </si>
  <si>
    <t>Srimad-Bhagavatam 3.25.13</t>
  </si>
  <si>
    <t>https://prabhupadavani.org/transcriptions/681110sbla/</t>
  </si>
  <si>
    <t>Lecture on Hari Hari Biphale</t>
  </si>
  <si>
    <t>https://prabhupadavani.org/transcriptions/681113lela/</t>
  </si>
  <si>
    <t>Lecture on Twenty-four Elements [partially recorded]</t>
  </si>
  <si>
    <t>https://prabhupadavani.org/transcriptions/681114lela/</t>
  </si>
  <si>
    <t>https://prabhupadavani.org/transcriptions/681115lela/</t>
  </si>
  <si>
    <t>Six Gosvamis Lecture, Sri Sri Sad-govamy-astaka</t>
  </si>
  <si>
    <t>https://prabhupadavani.org/transcriptions/681118lela/</t>
  </si>
  <si>
    <t>Introduction to Bhagavad-Gita As It Is</t>
  </si>
  <si>
    <t>https://prabhupadavani.org/transcriptions/681123bgla/</t>
  </si>
  <si>
    <t>Bhagavad-Gita 2.1-10 and Talk</t>
  </si>
  <si>
    <t>https://prabhupadavani.org/transcriptions/681125bgla/</t>
  </si>
  <si>
    <t>Bhagavad-Gita 2.8-12</t>
  </si>
  <si>
    <t>https://prabhupadavani.org/transcriptions/681127bgla/</t>
  </si>
  <si>
    <t>Bhagavad-Gita 2.13-17</t>
  </si>
  <si>
    <t>https://prabhupadavani.org/transcriptions/681129bgla/</t>
  </si>
  <si>
    <t>Talk, Initiation Lecture, and Ten Offenses Lecture</t>
  </si>
  <si>
    <t>https://prabhupadavani.org/transcriptions/681201inla/</t>
  </si>
  <si>
    <t>https://prabhupadavani.org/transcriptions/681202bgla/</t>
  </si>
  <si>
    <t>Srimad-Bhagavatam 2.2.5</t>
  </si>
  <si>
    <t>https://prabhupadavani.org/transcriptions/681202sbla/</t>
  </si>
  <si>
    <t>https://prabhupadavani.org/transcriptions/681204lela/</t>
  </si>
  <si>
    <t>Bhagavad-Gita 2.26</t>
  </si>
  <si>
    <t>https://prabhupadavani.org/transcriptions/681206bgla/</t>
  </si>
  <si>
    <t>Bhaktisiddhanta Sarasvati Disappearance Day, Lecture</t>
  </si>
  <si>
    <t>https://prabhupadavani.org/transcriptions/681209dbla/</t>
  </si>
  <si>
    <t>Bhagavad-Gita 2.27-38</t>
  </si>
  <si>
    <t>https://prabhupadavani.org/transcriptions/681211bgla/</t>
  </si>
  <si>
    <t>Bhagavad-Gita 2.40-45</t>
  </si>
  <si>
    <t>https://prabhupadavani.org/transcriptions/681213bgla/</t>
  </si>
  <si>
    <t>Bhagavad-Gita 2.46-62</t>
  </si>
  <si>
    <t>https://prabhupadavani.org/transcriptions/681216bgla/</t>
  </si>
  <si>
    <t>https://prabhupadavani.org/transcriptions/680201ivla/</t>
  </si>
  <si>
    <t>Bhagavad-Gita 2.62-72</t>
  </si>
  <si>
    <t>https://prabhupadavani.org/transcriptions/681219bgla/</t>
  </si>
  <si>
    <t>https://prabhupadavani.org/transcriptions/681219inla/</t>
  </si>
  <si>
    <t>Bhagavad-Gita 3.1-5</t>
  </si>
  <si>
    <t>https://prabhupadavani.org/transcriptions/681220bgla/</t>
  </si>
  <si>
    <t>Purport to Nitai-Pada-Kamala</t>
  </si>
  <si>
    <t>https://prabhupadavani.org/transcriptions/681221pula/</t>
  </si>
  <si>
    <t>Press Release "Manifesto of Krsna Consciousness."</t>
  </si>
  <si>
    <t>https://prabhupadavani.org/transcriptions/681222lela/</t>
  </si>
  <si>
    <t>Recorded Speech to Members of ISKCON London</t>
  </si>
  <si>
    <t>https://prabhupadavani.org/transcriptions/681223spla/</t>
  </si>
  <si>
    <t>Bhagavad-Gita 3.6-10</t>
  </si>
  <si>
    <t>https://prabhupadavani.org/transcriptions/681223bgla/</t>
  </si>
  <si>
    <t>Purport to Prayers by King Kulasekhara</t>
  </si>
  <si>
    <t>https://prabhupadavani.org/transcriptions/681225pula/</t>
  </si>
  <si>
    <t>Wedding of Syama dasi and Hayagriva</t>
  </si>
  <si>
    <t>https://prabhupadavani.org/transcriptions/681225wela/</t>
  </si>
  <si>
    <t>Spelling of Prayers to the Six Gosvamis</t>
  </si>
  <si>
    <t>https://prabhupadavani.org/transcriptions/681226p2la/</t>
  </si>
  <si>
    <t>Purport &amp; Explanation to Hari Hari Biphale</t>
  </si>
  <si>
    <t>https://prabhupadavani.org/transcriptions/681226pula/</t>
  </si>
  <si>
    <t>Interview with LA Times Reporter About Moon Trip</t>
  </si>
  <si>
    <t>https://prabhupadavani.org/transcriptions/681226ivla/</t>
  </si>
  <si>
    <t>Bhagavad-Gita 3.11-19</t>
  </si>
  <si>
    <t>https://prabhupadavani.org/transcriptions/681227bgla/</t>
  </si>
  <si>
    <t>Purport to Sri Sri Siksastakam [partially recorded]</t>
  </si>
  <si>
    <t>https://prabhupadavani.org/transcriptions/681228pula/</t>
  </si>
  <si>
    <t>Initiations</t>
  </si>
  <si>
    <t>https://prabhupadavani.org/transcriptions/initiations/</t>
  </si>
  <si>
    <t>https://prabhupadavani.org/transcriptions/681229pula/</t>
  </si>
  <si>
    <t>Bhagavad-Gita 3.18-30</t>
  </si>
  <si>
    <t>https://prabhupadavani.org/transcriptions/681230bgla/</t>
  </si>
  <si>
    <t>Press Interview</t>
  </si>
  <si>
    <t>https://prabhupadavani.org/transcriptions/681230ivla/</t>
  </si>
  <si>
    <t>Spelling of Arati Song</t>
  </si>
  <si>
    <t>https://prabhupadavani.org/transcriptions/681231pula/</t>
  </si>
  <si>
    <t>Bhagavad-Gita 3.31-43</t>
  </si>
  <si>
    <t>https://prabhupadavani.org/transcriptions/690101bg-los-angeles/</t>
  </si>
  <si>
    <t>Bhajan &amp; Purport to Sri-Sri-Gurv-astakam</t>
  </si>
  <si>
    <t>https://prabhupadavani.org/transcriptions/bhajan-purport-%C5%9Br%C4%AB-%C5%9Br%C4%AB-gurv-%E1%B9%A3%E1%B9%ADakam/</t>
  </si>
  <si>
    <t>Bhagavad-Gita 4.1-6</t>
  </si>
  <si>
    <t>https://prabhupadavani.org/transcriptions/bhagavad-g%C4%ABt%C4%81-416/</t>
  </si>
  <si>
    <t>Bhajan &amp; Purport to Parama Koruna</t>
  </si>
  <si>
    <t>https://prabhupadavani.org/transcriptions/bhajan-purport-parama-koru%E1%B9%87/</t>
  </si>
  <si>
    <t>Bhagavad-Gita 4.7-10</t>
  </si>
  <si>
    <t>https://prabhupadavani.org/transcriptions/bhagavad-g%C4%ABt%C4%81-4710/</t>
  </si>
  <si>
    <t>Bhajan &amp; Purport to Gaurangera Duti Pada</t>
  </si>
  <si>
    <t>https://prabhupadavani.org/transcriptions/bhajan-purport-gaur%C4%81%E1%B9%87gera-du%E1%B9%ADi-pada/</t>
  </si>
  <si>
    <t>Bhagavad-Gita 4.11-18</t>
  </si>
  <si>
    <t>https://prabhupadavani.org/transcriptions/bhagavad-g%C4%ABt%C4%81-41118/</t>
  </si>
  <si>
    <t>Bhajan &amp; Purport to the Mangalacarana Prayers</t>
  </si>
  <si>
    <t>https://prabhupadavani.org/transcriptions/bhajan-purport-ma%E1%B9%85gal%C4%81cara%E1%B9%87-prayers/</t>
  </si>
  <si>
    <t>Bhagavad-Gita 4.19-25</t>
  </si>
  <si>
    <t>https://prabhupadavani.org/transcriptions/bhagavad-g%C4%ABt%C4%81-41925/</t>
  </si>
  <si>
    <t>Bhajan &amp; Purport to Gauranga Bolite Habe</t>
  </si>
  <si>
    <t>https://prabhupadavani.org/transcriptions/bhajan-purport-gaur%C4%81%E1%B9%85ga-bolite-habe/</t>
  </si>
  <si>
    <t>Initiations &amp; Weddings</t>
  </si>
  <si>
    <t>https://prabhupadavani.org/transcriptions/initiations-weddings/</t>
  </si>
  <si>
    <t>Bhajan &amp; Purport to Gaura Pahu</t>
  </si>
  <si>
    <t>https://prabhupadavani.org/transcriptions/bhajan-purport-gaura-pah%C5%AB/</t>
  </si>
  <si>
    <t>Bhagavad-Gita 4.31</t>
  </si>
  <si>
    <t>https://prabhupadavani.org/transcriptions/bhagavad-g%C4%ABt%C4%81-431/</t>
  </si>
  <si>
    <t>Purport to Sri Krsna Caitanya Prabhu</t>
  </si>
  <si>
    <t>https://prabhupadavani.org/transcriptions/purport-%C5%9Br%C4%AB-k%E1%B9%9B%E1%B9%A3%E1%B9%87-caitanya-prabhu/</t>
  </si>
  <si>
    <t>Bhagavad-Gita 4.34-39</t>
  </si>
  <si>
    <t>https://prabhupadavani.org/transcriptions/bhagavad-g%C4%ABt%C4%81-43439/</t>
  </si>
  <si>
    <t>Bhagavad-Gita 4.26-30</t>
  </si>
  <si>
    <t>https://prabhupadavani.org/transcriptions/bhagavad-g%C4%ABt%C4%81-42630/</t>
  </si>
  <si>
    <t>https://prabhupadavani.org/transcriptions/lecture-partially-recorded/</t>
  </si>
  <si>
    <t>Bhagavad-Gita 4.39-42</t>
  </si>
  <si>
    <t>https://prabhupadavani.org/transcriptions/bhagavad-g%C4%ABt%C4%81-43942/</t>
  </si>
  <si>
    <t>https://prabhupadavani.org/transcriptions/lecture_690115/</t>
  </si>
  <si>
    <t>https://prabhupadavani.org/transcriptions/bhajan-purport-parama-koru%E1%B9%87_690119/</t>
  </si>
  <si>
    <t>Sunday Feast Lecture</t>
  </si>
  <si>
    <t>https://prabhupadavani.org/transcriptions/sunday-feast-lecture/</t>
  </si>
  <si>
    <t>Srimad-Bhagavatam 5.5.1</t>
  </si>
  <si>
    <t>https://prabhupadavani.org/transcriptions/%C5%9Br%C4%ABmad-bh%C4%81gavatam-551/</t>
  </si>
  <si>
    <t>Talk</t>
  </si>
  <si>
    <t>https://prabhupadavani.org/transcriptions/talk_690120/</t>
  </si>
  <si>
    <t>Bhagavad-Gita 5.1-2 [radio interference]</t>
  </si>
  <si>
    <t>https://prabhupadavani.org/transcriptions/bhagavad-g%C4%ABt%C4%81-512-radio-interference/</t>
  </si>
  <si>
    <t>Lord Nityananda Prabhu's Appearance Day Bhajan &amp; Nitai-Pada-Kamala Purport</t>
  </si>
  <si>
    <t>https://prabhupadavani.org/transcriptions/lord-nity%C4%81nanda-prabhus-appearance-day-bhajan-nit%C4%81i-pada-kamala-purport/</t>
  </si>
  <si>
    <t>His Divine Grace Srila Bhaktisiddhanta Sarasvati Gosvami Prabhupada's Appearance Day Lecture</t>
  </si>
  <si>
    <t>https://prabhupadavani.org/transcriptions/his-divine-grace-%C5%9Br%C4%ABla-bhaktisiddh%C4%81nta-sarasvat%C4%AB-gosv%C4%81m%C4%AB-prabhup%C4%81das-appearance-day-lecture/</t>
  </si>
  <si>
    <t>Bhagavad-Gita 5.17-25</t>
  </si>
  <si>
    <t>https://prabhupadavani.org/transcriptions/bhagavad-g%C4%ABt%C4%81-51725/</t>
  </si>
  <si>
    <t>https://prabhupadavani.org/transcriptions/lecture-partially-recorded-690209/</t>
  </si>
  <si>
    <t>https://prabhupadavani.org/transcriptions/lecture-partially-recorded-690210/</t>
  </si>
  <si>
    <t>https://prabhupadavani.org/transcriptions/lecture-partially-recorded-690211/</t>
  </si>
  <si>
    <t>Bhagavad-Gita 5.26-29</t>
  </si>
  <si>
    <t>https://prabhupadavani.org/transcriptions/bhagavad-g%C4%ABt%C4%81-52629/</t>
  </si>
  <si>
    <t>https://prabhupadavani.org/transcriptions/radio-interview/</t>
  </si>
  <si>
    <t>Bhagavad-Gita 6.1 [SAa1khya Yoga System]</t>
  </si>
  <si>
    <t>https://prabhupadavani.org/transcriptions/bhagavad-g%C4%ABt%C4%81-61-s%C4%81%E1%B9%85khya-yoga-system/</t>
  </si>
  <si>
    <t>Bhagavad-Gita 6.2-5 [SAa1khya Yoga System]</t>
  </si>
  <si>
    <t>https://prabhupadavani.org/transcriptions/bhagavad-g%C4%ABt%C4%81-625-s%C4%81%E1%B9%85khya-yoga-system/</t>
  </si>
  <si>
    <t>Bhagavad-Gita 6.6-12 [SAa1khya Yoga System]</t>
  </si>
  <si>
    <t>https://prabhupadavani.org/transcriptions/bhagavad-g%C4%ABt%C4%81-6612-s%C4%81%E1%B9%85khya-yoga-system/</t>
  </si>
  <si>
    <t>Bhagavad-Gita 6.13-15 [SAa1khya Yoga System]</t>
  </si>
  <si>
    <t>https://prabhupadavani.org/transcriptions/bhagavad-g%C4%ABt%C4%81-61315-s%C4%81%E1%B9%85khya-yoga-system/</t>
  </si>
  <si>
    <t>Bhagavad-Gita 6.16-24 [SAa1khya Yoga System]</t>
  </si>
  <si>
    <t>https://prabhupadavani.org/transcriptions/bhagavad-g%C4%ABt%C4%81-61624-s%C4%81%E1%B9%85khya-yoga-system/</t>
  </si>
  <si>
    <t>Bhagavad-Gita 6.25-29 [SAa1khya Yoga System]</t>
  </si>
  <si>
    <t>https://prabhupadavani.org/transcriptions/bhagavad-g%C4%ABt%C4%81-62529-s%C4%81%E1%B9%85khya-yoga-system/</t>
  </si>
  <si>
    <t>Bhagavad-Gita 6.30-34 [SAa1khya Yoga System]</t>
  </si>
  <si>
    <t>https://prabhupadavani.org/transcriptions/bhagavad-g%C4%ABt%C4%81-63034-s%C4%81%E1%B9%85khya-yoga-system/</t>
  </si>
  <si>
    <t>Bhagavad-Gita 6.35-45 [SAa1khya Yoga System]</t>
  </si>
  <si>
    <t>https://prabhupadavani.org/transcriptions/bhagavad-g%C4%ABt%C4%81-63545-s%C4%81%E1%B9%85khya-yoga-system/</t>
  </si>
  <si>
    <t>https://prabhupadavani.org/transcriptions/bhagavad-g%C4%ABt%C4%81-71/</t>
  </si>
  <si>
    <t>Hawaii</t>
  </si>
  <si>
    <t>Day after Sri Gaura-Purnima Lecture</t>
  </si>
  <si>
    <t>https://prabhupadavani.org/transcriptions/day-after-%C5%9Br%C4%AB-gaura-p%C5%ABr%E1%B9%87im%C4%81-lecture/</t>
  </si>
  <si>
    <t>https://prabhupadavani.org/transcriptions/%C5%9Br%C4%ABmad-bh%C4%81gavatam-798/</t>
  </si>
  <si>
    <t>Srimad-Bhagavatam 7.9.8-10</t>
  </si>
  <si>
    <t>https://prabhupadavani.org/transcriptions/%C5%9Br%C4%ABmad-bh%C4%81gavatam-79810/</t>
  </si>
  <si>
    <t>https://prabhupadavani.org/transcriptions/%C5%9Br%C4%ABmad-bh%C4%81gavatam-7910/</t>
  </si>
  <si>
    <t>https://prabhupadavani.org/transcriptions/lecture-690314/</t>
  </si>
  <si>
    <t>Sri Krsna Caitanya Prabhu Bhajan</t>
  </si>
  <si>
    <t>https://prabhupadavani.org/transcriptions/%C5%9Br%C4%AB-k%E1%B9%9B%E1%B9%A3%E1%B9%87-caitanya-prabhu-bhajan/</t>
  </si>
  <si>
    <t>Srimad-Bhagavatam 7.9.8-11</t>
  </si>
  <si>
    <t>https://prabhupadavani.org/transcriptions/%C5%9Br%C4%ABmad-bh%C4%81gavatam-79811/</t>
  </si>
  <si>
    <t>Hare Krsna Bhajan</t>
  </si>
  <si>
    <t>https://prabhupadavani.org/transcriptions/hare-k%E1%B9%9B%E1%B9%A3%E1%B9%87-bhajan/</t>
  </si>
  <si>
    <t>https://prabhupadavani.org/transcriptions/lecture-690322/</t>
  </si>
  <si>
    <t>Lecture, Questions and Answers</t>
  </si>
  <si>
    <t>https://prabhupadavani.org/transcriptions/lecture-questions-and-answers/</t>
  </si>
  <si>
    <t>Srimad-Bhagavatam 7.9.11-13</t>
  </si>
  <si>
    <t>https://prabhupadavani.org/transcriptions/%C5%9Br%C4%ABmad-bh%C4%81gavatam-791113/</t>
  </si>
  <si>
    <t>Initiation</t>
  </si>
  <si>
    <t>https://prabhupadavani.org/transcriptions/initiation/</t>
  </si>
  <si>
    <t>Sri Rama-Navami, Lord Ramacandra's Appearance Day</t>
  </si>
  <si>
    <t>https://prabhupadavani.org/transcriptions/%C5%9Br%C4%AB-r%C4%81ma-navam%C4%AB-lord-r%C4%81macandras-appearance-day/</t>
  </si>
  <si>
    <t>https://prabhupadavani.org/transcriptions/%C5%9Br%C4%ABmad-bh%C4%81gavatam-126-690328/</t>
  </si>
  <si>
    <t>Conversation</t>
  </si>
  <si>
    <t>https://prabhupadavani.org/transcriptions/conversation/</t>
  </si>
  <si>
    <t>https://prabhupadavani.org/transcriptions/lecture-690330/</t>
  </si>
  <si>
    <t>Srimad-Bhagavatam 7.6.9-17</t>
  </si>
  <si>
    <t>https://prabhupadavani.org/transcriptions/%C5%9Br%C4%ABmad-bh%C4%81gavatam-76917/</t>
  </si>
  <si>
    <t>Conversation Including Srimad-Bhagavatam 1.2.2-34 Recitation &amp; Purport</t>
  </si>
  <si>
    <t>https://prabhupadavani.org/transcriptions/conversation-including-%C5%9Br%C4%ABmad-bh%C4%81gavatam-12234-recitation-purport/</t>
  </si>
  <si>
    <t>Srila Prabhupada and Devotees Speak</t>
  </si>
  <si>
    <t>https://prabhupadavani.org/transcriptions/%C5%9Br%C4%ABla-prabhup%C4%81da-and-devotees-speak/</t>
  </si>
  <si>
    <t>https://prabhupadavani.org/transcriptions/%C5%9Br%C4%ABmad-bh%C4%81gavatam-761/</t>
  </si>
  <si>
    <t>Srimad-Bhagavatam 2.1.1-4</t>
  </si>
  <si>
    <t>https://prabhupadavani.org/transcriptions/%C5%9Br%C4%ABmad-bh%C4%81gavatam-2114-690410/</t>
  </si>
  <si>
    <t>Srimad-Bhagavatam Lecture [partially recorded]</t>
  </si>
  <si>
    <t>https://prabhupadavani.org/transcriptions/%C5%9Br%C4%ABmad-bh%C4%81gavatam-lecture-partially-recorded/</t>
  </si>
  <si>
    <t>https://prabhupadavani.org/transcriptions/room-conversation-690411/</t>
  </si>
  <si>
    <t>https://prabhupadavani.org/transcriptions/room-conversation-690412r1/</t>
  </si>
  <si>
    <t>https://prabhupadavani.org/transcriptions/lecture-690412le/</t>
  </si>
  <si>
    <t>Srimad-Bhagavatam 11.3.21, Initiations</t>
  </si>
  <si>
    <t>https://prabhupadavani.org/transcriptions/%C5%9Br%C4%ABmad-bh%C4%81gavatam-11321-initiations/</t>
  </si>
  <si>
    <t>Srimad-Bhagavatam Lecture, Birabhadra Initiation</t>
  </si>
  <si>
    <t>https://prabhupadavani.org/transcriptions/%C5%9Br%C4%ABmad-bh%C4%81gavatam-lecture-b%C4%ABrabhadra-initiation/</t>
  </si>
  <si>
    <t>https://prabhupadavani.org/transcriptions/lecture-690417le/</t>
  </si>
  <si>
    <t>Lecture, Srila Prabhupada Listening to His Own Recorded Lecture</t>
  </si>
  <si>
    <t>https://prabhupadavani.org/transcriptions/lecture-%C5%9Br%C4%ABla-prabhup%C4%81da-listening-his-own-recorded-lecture/</t>
  </si>
  <si>
    <t>https://prabhupadavani.org/transcriptions/room-conversation-690424r2/</t>
  </si>
  <si>
    <t>https://prabhupadavani.org/transcriptions/room-conversation-690424r2-boston/</t>
  </si>
  <si>
    <t>https://prabhupadavani.org/transcriptions/room-conversation-690424r3-boston/</t>
  </si>
  <si>
    <t>https://prabhupadavani.org/transcriptions/lecture-690425le-boston/</t>
  </si>
  <si>
    <t>Prabhupada Listening to Recording of His Own Room Conversation with Students</t>
  </si>
  <si>
    <t>https://prabhupadavani.org/transcriptions/prabhup%C4%81da-listening-recording-his-own-room-conversation-students/</t>
  </si>
  <si>
    <t>Lecture Engagement and Prasada Distribution</t>
  </si>
  <si>
    <t>https://prabhupadavani.org/transcriptions/lecture-engagement-and-pras%C4%81da-distribution/</t>
  </si>
  <si>
    <t>Brandeis University Lecture</t>
  </si>
  <si>
    <t>https://prabhupadavani.org/transcriptions/brandeis-university-lecture/</t>
  </si>
  <si>
    <t>Conversation Before Lecture Brandeis University</t>
  </si>
  <si>
    <t>https://prabhupadavani.org/transcriptions/conversation-lecture-brandeis-university/</t>
  </si>
  <si>
    <t>Northeastern University Lecture</t>
  </si>
  <si>
    <t>https://prabhupadavani.org/transcriptions/northeastern-university-lecture/</t>
  </si>
  <si>
    <t>https://prabhupadavani.org/transcriptions/room-conversation-690430r1-boston/</t>
  </si>
  <si>
    <t>Nrsimha-caturdasi Lord Nrsimhadeva's Appearance Day</t>
  </si>
  <si>
    <t>https://prabhupadavani.org/transcriptions/n%E1%B9%9Bsi%E1%B9%81ha-caturda%C5%9B%C4%AB-lord-n%E1%B9%9Bsi%E1%B9%81hadevas-appearance-day/</t>
  </si>
  <si>
    <t>Lecture at International Student Association Cambridge [near Boston]</t>
  </si>
  <si>
    <t>https://prabhupadavani.org/transcriptions/lecture-international-student-association-cambridge-near-boston/</t>
  </si>
  <si>
    <t>Lecture at Arlington Street Church</t>
  </si>
  <si>
    <t>https://prabhupadavani.org/transcriptions/lecture-arlington-street-church/</t>
  </si>
  <si>
    <t>Initiation of Baradraj and Chandanacarya</t>
  </si>
  <si>
    <t>https://prabhupadavani.org/transcriptions/initiation-baradr%C4%81j-and-chandan%C4%81c%C4%81rya/</t>
  </si>
  <si>
    <t>https://prabhupadavani.org/transcriptions/lecture-partially-recorded-690505le-boston/</t>
  </si>
  <si>
    <t>Wedding Ceremony and Lecture</t>
  </si>
  <si>
    <t>https://prabhupadavani.org/transcriptions/wedding-ceremony-and-lecture/</t>
  </si>
  <si>
    <t>Lecture at Harvard University Divinity School, Cambridge</t>
  </si>
  <si>
    <t>https://prabhupadavani.org/transcriptions/lecture-harvard-university-divinity-school-cambridge/</t>
  </si>
  <si>
    <t>Colombus</t>
  </si>
  <si>
    <t>Temple Opening</t>
  </si>
  <si>
    <t>https://prabhupadavani.org/transcriptions/temple-opening/</t>
  </si>
  <si>
    <t>Bhagavad-Gita 4.1-2</t>
  </si>
  <si>
    <t>https://prabhupadavani.org/transcriptions/bhagavad-g%C4%ABt%C4%81-412/</t>
  </si>
  <si>
    <t>https://prabhupadavani.org/transcriptions/room-conversation-690510r1-columbus/</t>
  </si>
  <si>
    <t>Address to Indian Association</t>
  </si>
  <si>
    <t>https://prabhupadavani.org/transcriptions/address-indian-association/</t>
  </si>
  <si>
    <t>Room Conversation with Allen Ginsberg</t>
  </si>
  <si>
    <t>https://prabhupadavani.org/transcriptions/room-conversation-allen-ginsberg/</t>
  </si>
  <si>
    <t>Lecture with Allen Ginsberg at Ohio State University</t>
  </si>
  <si>
    <t>https://prabhupadavani.org/transcriptions/lecture-allen-ginsberg-ohio-state-university/</t>
  </si>
  <si>
    <t>https://prabhupadavani.org/transcriptions/room-conversation-allen-ginsberg-690512r1-columbus/</t>
  </si>
  <si>
    <t>https://prabhupadavani.org/transcriptions/room-conversation-allen-ginsberg-690513r1-columbus/</t>
  </si>
  <si>
    <t>Initiation of Sri Caitanya and Wedding of Pradyumna and Arundhati</t>
  </si>
  <si>
    <t>https://prabhupadavani.org/transcriptions/xxxinitiation-%C3%A7r%C3%A9-caitanya-d%C3%A4sa-and-wedding-pradyumna-and-arundhat%C3%A9-may-14-1969-columbus-690514wecol-initiation-%C5%9Br%C4%AB-caitanya-and-wedding-pradyumna-and-arundhat%C4%AB/</t>
  </si>
  <si>
    <t>https://prabhupadavani.org/transcriptions/room-conversation-allen-ginsberg-690514r1-columbus/</t>
  </si>
  <si>
    <t>Lecture at Engagement</t>
  </si>
  <si>
    <t>https://prabhupadavani.org/transcriptions/lecture-engagement-690519le-columbus/</t>
  </si>
  <si>
    <t>Bhajan &amp; Purport to Jiv Jago</t>
  </si>
  <si>
    <t>https://prabhupadavani.org/transcriptions/bhajan-purport-j%C4%ABv-j%C4%81go/</t>
  </si>
  <si>
    <t>New Vrindavan</t>
  </si>
  <si>
    <t>Initiation lecture [partially recorded]</t>
  </si>
  <si>
    <t>https://prabhupadavani.org/transcriptions/initiation-lecture-partially-recorded/</t>
  </si>
  <si>
    <t>Srimad-Bhagavatam 1.5.1-4</t>
  </si>
  <si>
    <t>https://prabhupadavani.org/transcriptions/%C5%9Br%C4%ABmad-bh%C4%81gavatam-1514/</t>
  </si>
  <si>
    <t>Srimad-Bhagavatam 1.5.1-8</t>
  </si>
  <si>
    <t>https://prabhupadavani.org/transcriptions/%C5%9Br%C4%ABmad-bh%C4%81gavatam-1518/</t>
  </si>
  <si>
    <t>Srimad-Bhagavatam 1.5.8-9</t>
  </si>
  <si>
    <t>https://prabhupadavani.org/transcriptions/%C5%9Br%C4%ABmad-bh%C4%81gavatam-1589/</t>
  </si>
  <si>
    <t>Brahmana Initiation Lecture</t>
  </si>
  <si>
    <t>https://prabhupadavani.org/transcriptions/br%C4%81hma%E1%B9%87-initiation-lecture/</t>
  </si>
  <si>
    <t>Initiation Lecture, Bhagavan &amp; Krsna-bhamini Marriage Ceremony</t>
  </si>
  <si>
    <t>https://prabhupadavani.org/transcriptions/initiation-lecture-bhagav%C4%81n-k%E1%B9%9B%E1%B9%A3%E1%B9%87-bh%C4%81mini-marriage-ceremony/</t>
  </si>
  <si>
    <t>Srimad-Bhagavatam 1.5.9-11</t>
  </si>
  <si>
    <t>https://prabhupadavani.org/transcriptions/%C5%9Br%C4%ABmad-bh%C4%81gavatam-15911/</t>
  </si>
  <si>
    <t>Sri Caitanya-caritamrta, Adi-lila 17.21</t>
  </si>
  <si>
    <t>https://prabhupadavani.org/transcriptions/%C5%9Br%C4%AB-caitanya-carit%C4%81m%E1%B9%9Bta-%C4%81di-l%C4%ABl%C4%81-1721/</t>
  </si>
  <si>
    <t>Meeting with Devotees</t>
  </si>
  <si>
    <t>https://prabhupadavani.org/transcriptions/meeting-devotees/</t>
  </si>
  <si>
    <t>Srimad-Bhagavatam 1.5.11</t>
  </si>
  <si>
    <t>https://prabhupadavani.org/transcriptions/%C5%9Br%C4%ABmad-bh%C4%81gavatam-1511/</t>
  </si>
  <si>
    <t>Srimad-Bhagavatam 1.5.12-13</t>
  </si>
  <si>
    <t>https://prabhupadavani.org/transcriptions/%C5%9Br%C4%ABmad-bh%C4%81gavatam-151213/</t>
  </si>
  <si>
    <t>Srimad-Bhagavatam 1.5.13</t>
  </si>
  <si>
    <t>https://prabhupadavani.org/transcriptions/%C5%9Br%C4%ABmad-bh%C4%81gavatam-1513/</t>
  </si>
  <si>
    <t>https://prabhupadavani.org/transcriptions/%C5%9Br%C4%ABmad-bh%C4%81gavatam-1513-690616sb-new-vrindavan/</t>
  </si>
  <si>
    <t>Srimad-Bhagavatam 1.5.14</t>
  </si>
  <si>
    <t>https://prabhupadavani.org/transcriptions/%C5%9Br%C4%ABmad-bh%C4%81gavatam-1514-690618sb-new-vrindavan/</t>
  </si>
  <si>
    <t>Srimad-Bhagavatam 1.5.15-17</t>
  </si>
  <si>
    <t>https://prabhupadavani.org/transcriptions/%C5%9Br%C4%ABmad-bh%C4%81gavatam-151517/</t>
  </si>
  <si>
    <t>Srimad-Bhagavatam 1.5.17-18</t>
  </si>
  <si>
    <t>https://prabhupadavani.org/transcriptions/%C5%9Br%C4%ABmad-bh%C4%81gavatam-151718/</t>
  </si>
  <si>
    <t>https://prabhupadavani.org/transcriptions/initiation-lecture-690622le-new-vrindavan/</t>
  </si>
  <si>
    <t>Srimad-Bhagavatam 1.5.18-19</t>
  </si>
  <si>
    <t>https://prabhupadavani.org/transcriptions/%C5%9Br%C4%ABmad-bh%C4%81gavatam-151819/</t>
  </si>
  <si>
    <t>Srimad-Bhagavatam Lecture</t>
  </si>
  <si>
    <t>https://prabhupadavani.org/transcriptions/%C5%9Br%C4%ABmad-bh%C4%81gavatam-lecture/</t>
  </si>
  <si>
    <t>Sri Sri Rukmini Dvarakanatha Deity Installation</t>
  </si>
  <si>
    <t>https://prabhupadavani.org/transcriptions/%C5%9Br%C4%AB-%C5%9Br%C4%AB-rukmi%E1%B9%87%C4%AB-dv%C4%81rak%C4%81n%C4%81tha-deity-installation/</t>
  </si>
  <si>
    <t>Lecture at Initiation Fire Sacrifice</t>
  </si>
  <si>
    <t>https://prabhupadavani.org/transcriptions/lecture-initiation-fire-sacrifice/</t>
  </si>
  <si>
    <t>Lord Caitanya Play Told to Tamala Krsna</t>
  </si>
  <si>
    <t>https://prabhupadavani.org/transcriptions/lord-caitanya-play-told-tam%C4%81la-k%E1%B9%9B%E1%B9%A3%E1%B9%87/</t>
  </si>
  <si>
    <t>Hamburg</t>
  </si>
  <si>
    <t>https://prabhupadavani.org/transcriptions/initiation-lecture/</t>
  </si>
  <si>
    <t>Sept. 1, 1969</t>
  </si>
  <si>
    <t>London</t>
  </si>
  <si>
    <t>Srimad-Bhagavatam 5.5.2</t>
  </si>
  <si>
    <t>https://prabhupadavani.org/transcriptions/%C5%9Br%C4%ABmad-bh%C4%81gavatam-552-690914sb-london/</t>
  </si>
  <si>
    <t>Sept. 4, 1969</t>
  </si>
  <si>
    <t>https://prabhupadavani.org/transcriptions/lecture-partially-recorded-ii/</t>
  </si>
  <si>
    <t>Sept. 5, 1969</t>
  </si>
  <si>
    <t>Sri Vyasa-puja Lecture Conclusion</t>
  </si>
  <si>
    <t>https://prabhupadavani.org/transcriptions/%C5%9Br%C4%AB-vy%C4%81sa-p%C5%ABj%C4%81-lecture-conclusion/</t>
  </si>
  <si>
    <t>Sept. 7, 1969</t>
  </si>
  <si>
    <t>Srimad-Bhagavatam 7.9.19 [with German Translator]</t>
  </si>
  <si>
    <t>https://prabhupadavani.org/transcriptions/%C5%9Br%C4%ABmad-bh%C4%81gavatam-7919-german-translator/</t>
  </si>
  <si>
    <t>Sept. 8, 1969</t>
  </si>
  <si>
    <t>https://prabhupadavani.org/transcriptions/room-conversation690908r1-hamburg/</t>
  </si>
  <si>
    <t>Sept. 10, 1969</t>
  </si>
  <si>
    <t>Bhajan &amp; Purport to Hari Hari Biphale</t>
  </si>
  <si>
    <t>https://prabhupadavani.org/transcriptions/bhajan-purport-hari-hari-biphale/</t>
  </si>
  <si>
    <t>Sept. 11, 1969</t>
  </si>
  <si>
    <t>Arrival Address</t>
  </si>
  <si>
    <t>https://prabhupadavani.org/transcriptions/arrival-address-690911ar-london/</t>
  </si>
  <si>
    <t>Room Conversation With John Lennon, Yoko Ono, and George Harrison</t>
  </si>
  <si>
    <t>https://prabhupadavani.org/transcriptions/room-conversation-john-lennon-yoko-ono-and-george-harrison/</t>
  </si>
  <si>
    <t>Sept. 12, 1969</t>
  </si>
  <si>
    <t>https://prabhupadavani.org/transcriptions/%C5%9Br%C4%ABmad-bh%C4%81gavatam-551-690912sb-london/</t>
  </si>
  <si>
    <t>Sept. 13, 1969</t>
  </si>
  <si>
    <t>Srimad-Bhagavatam 5.5.1-2</t>
  </si>
  <si>
    <t>https://prabhupadavani.org/transcriptions/%C5%9Br%C4%ABmad-bh%C4%81gavatam-5512/</t>
  </si>
  <si>
    <t>Sept. 15, 1969</t>
  </si>
  <si>
    <t>Conway Hall Lecture</t>
  </si>
  <si>
    <t>https://prabhupadavani.org/transcriptions/conway-hall-lecture/</t>
  </si>
  <si>
    <t>Sept. 16, 1969</t>
  </si>
  <si>
    <t>https://prabhupadavani.org/transcriptions/lecture-engagement-690916le-london/</t>
  </si>
  <si>
    <t>Sept. 17, 1969</t>
  </si>
  <si>
    <t>https://prabhupadavani.org/transcriptions/%C5%9Br%C4%ABmad-bh%C4%81gavatam-552-690917sb-london/</t>
  </si>
  <si>
    <t>Sept. 24, 1969</t>
  </si>
  <si>
    <t>https://prabhupadavani.org/transcriptions/room-conversation-690924r1-london/</t>
  </si>
  <si>
    <t>Sept. 26, 1969</t>
  </si>
  <si>
    <t>https://prabhupadavani.org/transcriptions/lecture-690926le-london/</t>
  </si>
  <si>
    <t>Initiations &amp; Wedding</t>
  </si>
  <si>
    <t>https://prabhupadavani.org/transcriptions/initiations-wedding-691001in-london/</t>
  </si>
  <si>
    <t>Lecture on Sankirtana</t>
  </si>
  <si>
    <t>https://prabhupadavani.org/transcriptions/lecture-sa%E1%B9%85k%C4%ABrtana/</t>
  </si>
  <si>
    <t>https://prabhupadavani.org/transcriptions/lecture-691201le-london/</t>
  </si>
  <si>
    <t>Srimad-Bhagavatam 2.1.1-5 [First Return from Europe]</t>
  </si>
  <si>
    <t>https://prabhupadavani.org/transcriptions/%C5%9Br%C4%ABmad-bh%C4%81gavatam-2115-first-return-europe/</t>
  </si>
  <si>
    <t>https://prabhupadavani.org/transcriptions/lecture-691223le-boston/</t>
  </si>
  <si>
    <t>Discussion with BTG Staff</t>
  </si>
  <si>
    <t>https://prabhupadavani.org/transcriptions/discussion-btg-staff/</t>
  </si>
  <si>
    <t>Discussion about New Vrindavan Gurukula</t>
  </si>
  <si>
    <t>https://prabhupadavani.org/transcriptions/discussion-about-new-vrindavan-gurukula/</t>
  </si>
  <si>
    <t>https://prabhupadavani.org/transcriptions/initiation-lecture-691226in-boston/</t>
  </si>
  <si>
    <t>Srimad-Bhagavatam 6.1.6</t>
  </si>
  <si>
    <t>https://prabhupadavani.org/transcriptions/%C5%9Br%C4%ABmad-bh%C4%81gavatam-616/</t>
  </si>
  <si>
    <t>Srimad-Bhagavatam 6.1.15</t>
  </si>
  <si>
    <t>https://prabhupadavani.org/transcriptions/%C5%9Br%C4%ABmad-bh%C4%81gavatam-6115b/</t>
  </si>
  <si>
    <t>Srimad-Bhagavatam 6.1.19</t>
  </si>
  <si>
    <t>https://prabhupadavani.org/transcriptions/%C5%9Br%C4%ABmad-bh%C4%81gavatam-6119/</t>
  </si>
  <si>
    <t>Srimad-Bhagavatam 6.1.21</t>
  </si>
  <si>
    <t>https://prabhupadavani.org/transcriptions/%C5%9Br%C4%ABmad-bh%C4%81gavatam-6121/</t>
  </si>
  <si>
    <t>Lord Varaha's Appearance Day Lecture Dasavatara-stotra Purport</t>
  </si>
  <si>
    <t>https://prabhupadavani.org/transcriptions/lord-var%C4%81has-appearance-day-lecture-das%C4%81vat%C4%81ra-stotra-purport/</t>
  </si>
  <si>
    <t>Sannyasa Initiation</t>
  </si>
  <si>
    <t>https://prabhupadavani.org/transcriptions/sanny%C4%81sa-initiation/</t>
  </si>
  <si>
    <t>Ten Offenses Lecture</t>
  </si>
  <si>
    <t>https://prabhupadavani.org/transcriptions/ten-offenses-lecture/</t>
  </si>
  <si>
    <t>Lord Buddha's Appearance Day Lecture</t>
  </si>
  <si>
    <t>https://prabhupadavani.org/transcriptions/lord-buddhas-appearance-day-lecture/</t>
  </si>
  <si>
    <t>Sri Isopanisad Invocation [partially recorded]</t>
  </si>
  <si>
    <t>https://prabhupadavani.org/transcriptions/%C5%9Br%C4%AB-%C4%AB%C5%9Bopani%E1%B9%A3ad-invocation-partially-recorded/</t>
  </si>
  <si>
    <t>Sri Isopanisad Invocation</t>
  </si>
  <si>
    <t>https://prabhupadavani.org/transcriptions/%C5%9Br%C4%AB-%C4%AB%C5%9Bopani%E1%B9%A3ad-invocation/</t>
  </si>
  <si>
    <t>Sri Isopanisad and Initiations</t>
  </si>
  <si>
    <t>https://prabhupadavani.org/transcriptions/%C5%9Br%C4%AB-%C4%AB%C5%9Bopani%E1%B9%A3ad-and-initiations/</t>
  </si>
  <si>
    <t>https://prabhupadavani.org/transcriptions/%C5%9Br%C4%AB-%C4%AB%C5%9Bopani%E1%B9%A3ad-mantra-1b/</t>
  </si>
  <si>
    <t>https://prabhupadavani.org/transcriptions/%C5%9Br%C4%AB-%C4%AB%C5%9Bopani%E1%B9%A3ad-mantra-1c/</t>
  </si>
  <si>
    <t>https://prabhupadavani.org/transcriptions/%C5%9Br%C4%AB-%C4%AB%C5%9Bopani%E1%B9%A3ad-mantra-1d/</t>
  </si>
  <si>
    <t>https://prabhupadavani.org/transcriptions/%C5%9Br%C4%AB-%C4%AB%C5%9Bopani%E1%B9%A3ad-mantra-1e/</t>
  </si>
  <si>
    <t>Sri Isopanisad, Mantra 3</t>
  </si>
  <si>
    <t>https://prabhupadavani.org/transcriptions/%C5%9Br%C4%AB-%C4%AB%C5%9Bopani%E1%B9%A3ad-mantra-3/</t>
  </si>
  <si>
    <t>Sri Isopanisad, Mantra 1-4</t>
  </si>
  <si>
    <t>https://prabhupadavani.org/transcriptions/%C5%9Br%C4%AB-%C4%AB%C5%9Bopani%E1%B9%A3ad-mantra-14/</t>
  </si>
  <si>
    <t>Sri Isopanisad, Mantra 5</t>
  </si>
  <si>
    <t>https://prabhupadavani.org/transcriptions/%C5%9Br%C4%AB-%C4%AB%C5%9Bopani%E1%B9%A3ad-mantra-5/</t>
  </si>
  <si>
    <t>Sri Isopanisad, Mantra 6</t>
  </si>
  <si>
    <t>https://prabhupadavani.org/transcriptions/%C5%9Br%C4%AB-%C4%AB%C5%9Bopani%E1%B9%A3ad-mantra-6/</t>
  </si>
  <si>
    <t>Sri Isopanisad, Mantra 7</t>
  </si>
  <si>
    <t>https://prabhupadavani.org/transcriptions/%C5%9Br%C4%AB-%C4%AB%C5%9Bopani%E1%B9%A3ad-mantra-7/</t>
  </si>
  <si>
    <t>https://prabhupadavani.org/transcriptions/%C5%9Br%C4%AB-%C4%AB%C5%9Bopani%E1%B9%A3ad-mantra-7b/</t>
  </si>
  <si>
    <t>Sri Isopanisad, Mantra 8</t>
  </si>
  <si>
    <t>https://prabhupadavani.org/transcriptions/%C5%9Br%C4%AB-%C4%AB%C5%9Bopani%E1%B9%A3ad-mantra-8/</t>
  </si>
  <si>
    <t>https://prabhupadavani.org/transcriptions/%C5%9Br%C4%AB-%C4%AB%C5%9Bopani%E1%B9%A3ad-mantra-8b/</t>
  </si>
  <si>
    <t>Sri Isopanisad, Mantra 9</t>
  </si>
  <si>
    <t>https://prabhupadavani.org/transcriptions/%C5%9Br%C4%AB-%C4%AB%C5%9Bopani%E1%B9%A3ad-mantra-9/</t>
  </si>
  <si>
    <t>Sri Isopanisad, Mantra 9-10</t>
  </si>
  <si>
    <t>https://prabhupadavani.org/transcriptions/%C5%9Br%C4%AB-%C4%AB%C5%9Bopani%E1%B9%A3ad-mantra-910/</t>
  </si>
  <si>
    <t>Sri Isopanisad, Mantra 10</t>
  </si>
  <si>
    <t>https://prabhupadavani.org/transcriptions/%C5%9Br%C4%AB-%C4%AB%C5%9Bopani%E1%B9%A3ad-mantra-10b/</t>
  </si>
  <si>
    <t>Sri Isopanisad, Mantra 11</t>
  </si>
  <si>
    <t>https://prabhupadavani.org/transcriptions/%C5%9Br%C4%AB-%C4%AB%C5%9Bopani%E1%B9%A3ad-mantra-11/</t>
  </si>
  <si>
    <t>Sri Isopanisad mantra 11</t>
  </si>
  <si>
    <t>https://prabhupadavani.org/transcriptions/%C5%9Br%C4%AB-%C4%AB%C5%9Bopani%E1%B9%A3ad-mantra-11b/</t>
  </si>
  <si>
    <t>Sri Isopanisad, Mantra 13-15</t>
  </si>
  <si>
    <t>https://prabhupadavani.org/transcriptions/%C5%9Br%C4%AB-%C4%AB%C5%9Bopani%E1%B9%A3ad-mantra-1315/</t>
  </si>
  <si>
    <t>Srila Baladeva Vidyabhusana Appearance</t>
  </si>
  <si>
    <t>https://prabhupadavani.org/transcriptions/%C5%9Br%C4%ABla-baladeva-vidy%C4%81bh%C5%AB%E1%B9%A3ana-appearance/</t>
  </si>
  <si>
    <t>Initiation of Laksmi-priya &amp; Mrga-netri Dasi</t>
  </si>
  <si>
    <t>https://prabhupadavani.org/transcriptions/initiation-lak%E1%B9%A3m%C4%AB-priy%C4%81-m%E1%B9%9Bga-netr%C4%AB-d%C4%81s%C4%AB/</t>
  </si>
  <si>
    <t>The Nectar of Devotion [First Publication]</t>
  </si>
  <si>
    <t>https://prabhupadavani.org/transcriptions/nectar-devotion-first-publication/</t>
  </si>
  <si>
    <t>Srimad-Bhagavatam 2.1.1</t>
  </si>
  <si>
    <t>https://prabhupadavani.org/transcriptions/%C5%9Br%C4%ABmad-bh%C4%81gavatam-211/</t>
  </si>
  <si>
    <t>https://prabhupadavani.org/transcriptions/%C5%9Br%C4%ABmad-bh%C4%81gavatam-211b/</t>
  </si>
  <si>
    <t>https://prabhupadavani.org/transcriptions/%C5%9Br%C4%ABmad-bh%C4%81gavatam-2114/</t>
  </si>
  <si>
    <t>Srimad-Bhagavatam 2.1.1-6 [Partially Recorded]</t>
  </si>
  <si>
    <t>https://prabhupadavani.org/transcriptions/%C5%9Br%C4%ABmad-bh%C4%81gavatam-2116-partially-recorded/</t>
  </si>
  <si>
    <t>Initiations Sri Ranga, Romaharsana, Sridhara and Gopala</t>
  </si>
  <si>
    <t>https://prabhupadavani.org/transcriptions/initiations-%C5%9Br%C4%AB-ra%E1%B9%85ga-romahar%E1%B9%A3%E1%B9%87-%C5%9Br%C4%ABdhara-and-gop%C4%81la/</t>
  </si>
  <si>
    <t>Gundica Marjanam Cleansing of the Gundica Temple [Gurvastakam]</t>
  </si>
  <si>
    <t>https://prabhupadavani.org/transcriptions/gu%E1%B9%87%E1%B8%8Dic%C4%81-m%C4%81rjanam-cleansing-gu%E1%B9%87%E1%B8%8Dic%C4%81-temple-gurva%E1%B9%A3%E1%B9%ADakam/</t>
  </si>
  <si>
    <t>Ratha-yatra Address and Press Conference</t>
  </si>
  <si>
    <t>https://prabhupadavani.org/transcriptions/ratha-y%C4%81tr%C4%81-address-and-press-conference/</t>
  </si>
  <si>
    <t>Ratha-yatra Address</t>
  </si>
  <si>
    <t>https://prabhupadavani.org/transcriptions/ratha-y%C4%81tr%C4%81-address-b/</t>
  </si>
  <si>
    <t>https://prabhupadavani.org/transcriptions/sanny%C4%81sa-initiation-b/</t>
  </si>
  <si>
    <t>Srimad-Bhagavatam 2.1.11 Prabhupada Teaching Nrsimha Prayers</t>
  </si>
  <si>
    <t>https://prabhupadavani.org/transcriptions/%C5%9Br%C4%ABmad-bh%C4%81gavatam-2111-prabhup%C4%81d700801sb-los-angelesa-teaching-n%E1%B9%9Bsi%E1%B9%81ha-prayers/</t>
  </si>
  <si>
    <t>Srila Prabhupada leaving for Japan Purport to Nrsimha Prayers</t>
  </si>
  <si>
    <t>https://prabhupadavani.org/transcriptions/%C5%9Br%C4%ABla-prabhup%C4%81da-leaving-japan-purport-n%E1%B9%9Bsi%E1%B9%81ha-prayers/</t>
  </si>
  <si>
    <t>Sept. 2, 1970</t>
  </si>
  <si>
    <t>Calcutta</t>
  </si>
  <si>
    <t>Vaisnava Calendar Description</t>
  </si>
  <si>
    <t>https://prabhupadavani.org/transcriptions/vai%E1%B9%A3%E1%B9%87ava-calendar-description/</t>
  </si>
  <si>
    <t>Bombay</t>
  </si>
  <si>
    <t>https://prabhupadavani.org/transcriptions/room-conversation-o/</t>
  </si>
  <si>
    <t>https://prabhupadavani.org/transcriptions/%C5%9Br%C4%ABmad-bh%C4%81gavatam-616-b/</t>
  </si>
  <si>
    <t>https://prabhupadavani.org/transcriptions/room-conversation-c/</t>
  </si>
  <si>
    <t>https://prabhupadavani.org/transcriptions/room-conversation-d/</t>
  </si>
  <si>
    <t>Srimad-Bhagavatam 6.1.14</t>
  </si>
  <si>
    <t>https://prabhupadavani.org/transcriptions/%C5%9Br%C4%ABmad-bh%C4%81gavatam-6114/</t>
  </si>
  <si>
    <t>Srimad-Bhagavatam 6.1.19 and Conversation</t>
  </si>
  <si>
    <t>https://prabhupadavani.org/transcriptions/%C5%9Br%C4%ABmad-bh%C4%81gavatam-6119-and-conversation/</t>
  </si>
  <si>
    <t>Indore</t>
  </si>
  <si>
    <t>Speech to Maharaja and Maharani</t>
  </si>
  <si>
    <t>https://prabhupadavani.org/transcriptions/speech-mah%C4%81r%C4%81ja-and-mah%C4%81r%C4%81%E1%B9%87%C4%AB/</t>
  </si>
  <si>
    <t>Srimad-Bhagavatam 6.1.21 &amp; Room Conversation</t>
  </si>
  <si>
    <t>https://prabhupadavani.org/transcriptions/%C5%9Br%C4%ABmad-bh%C4%81gavatam-6121-room-conversation/</t>
  </si>
  <si>
    <t>Room Conversation [Partially Recorded]</t>
  </si>
  <si>
    <t>https://prabhupadavani.org/transcriptions/room-conversation-partially-recorded-b/</t>
  </si>
  <si>
    <t>Srimad-Bhagavatam 6.1.22-25</t>
  </si>
  <si>
    <t>https://prabhupadavani.org/transcriptions/%C5%9Br%C4%ABmad-bh%C4%81gavatam-612225/</t>
  </si>
  <si>
    <t>https://prabhupadavani.org/transcriptions/room-conversation-f/</t>
  </si>
  <si>
    <t>https://prabhupadavani.org/transcriptions/room-conversation-g/</t>
  </si>
  <si>
    <t>https://prabhupadavani.org/transcriptions/room-conversation-h/</t>
  </si>
  <si>
    <t>Lecture in Hindi</t>
  </si>
  <si>
    <t>https://prabhupadavani.org/transcriptions/lecture-hindi-b/</t>
  </si>
  <si>
    <t>Srimad-Bhagavatam 6.1.27</t>
  </si>
  <si>
    <t>https://prabhupadavani.org/transcriptions/%C5%9Br%C4%ABmad-bh%C4%81gavatam-6127/</t>
  </si>
  <si>
    <t>https://prabhupadavani.org/transcriptions/room-conversation-j/</t>
  </si>
  <si>
    <t>Surat</t>
  </si>
  <si>
    <t>https://prabhupadavani.org/transcriptions/room-conversation-k/</t>
  </si>
  <si>
    <t>Srimad-Bhagavatam 6.1.27-34</t>
  </si>
  <si>
    <t>https://prabhupadavani.org/transcriptions/%C5%9Br%C4%ABmad-bh%C4%81gavatam-612734/</t>
  </si>
  <si>
    <t>Srimad-Bhagavatam 6.1.32-33</t>
  </si>
  <si>
    <t>https://prabhupadavani.org/transcriptions/%C5%9Br%C4%ABmad-bh%C4%81gavatam-613233/</t>
  </si>
  <si>
    <t>https://prabhupadavani.org/transcriptions/room-conversation-l/</t>
  </si>
  <si>
    <t>https://prabhupadavani.org/transcriptions/lecture-hindi-c/</t>
  </si>
  <si>
    <t>Srimad-Bhagavatam 6.1.34-39</t>
  </si>
  <si>
    <t>https://prabhupadavani.org/transcriptions/%C5%9Br%C4%ABmad-bh%C4%81gavatam-613439/</t>
  </si>
  <si>
    <t>https://prabhupadavani.org/transcriptions/lecture-hindi-d/</t>
  </si>
  <si>
    <t>Srimad-Bhagavatam 6.1.38</t>
  </si>
  <si>
    <t>https://prabhupadavani.org/transcriptions/%C5%9Br%C4%ABmad-bh%C4%81gavatam-6138/</t>
  </si>
  <si>
    <t>Srimad-Bhagavatam 6.1.39-40</t>
  </si>
  <si>
    <t>https://prabhupadavani.org/transcriptions/%C5%9Br%C4%ABmad-bh%C4%81gavatam-613940/</t>
  </si>
  <si>
    <t>https://prabhupadavani.org/transcriptions/room-conversation-n/</t>
  </si>
  <si>
    <t>Lecture in Room</t>
  </si>
  <si>
    <t>https://prabhupadavani.org/transcriptions/lecture-room/</t>
  </si>
  <si>
    <t>https://prabhupadavani.org/transcriptions/lecture-hindi-e/</t>
  </si>
  <si>
    <t>Srimad-Bhagavatam 6.1.40</t>
  </si>
  <si>
    <t>https://prabhupadavani.org/transcriptions/%C5%9Br%C4%ABmad-bh%C4%81gavatam-6140/</t>
  </si>
  <si>
    <t>Srimad-Bhagavatam 6.1.41-42</t>
  </si>
  <si>
    <t>https://prabhupadavani.org/transcriptions/%C5%9Br%C4%ABmad-bh%C4%81gavatam-614142/</t>
  </si>
  <si>
    <t>Srimad-Bhagavatam 6.1.42-43</t>
  </si>
  <si>
    <t>https://prabhupadavani.org/transcriptions/%C5%9Br%C4%ABmad-bh%C4%81gavatam-614243/</t>
  </si>
  <si>
    <t>Lecture at MPV College</t>
  </si>
  <si>
    <t>https://prabhupadavani.org/transcriptions/lecture-mpv-college/</t>
  </si>
  <si>
    <t>Srimad-Bhagavatam 6.1.44</t>
  </si>
  <si>
    <t>https://prabhupadavani.org/transcriptions/%C5%9Br%C4%ABmad-bh%C4%81gavatam-6144/</t>
  </si>
  <si>
    <t>Conversation [Partially Recorded]</t>
  </si>
  <si>
    <t>https://prabhupadavani.org/transcriptions/conversation-partially-recorded-c/</t>
  </si>
  <si>
    <t>https://prabhupadavani.org/transcriptions/%C5%9Br%C4%ABmad-bh%C4%81gavatam-6144-b/</t>
  </si>
  <si>
    <t>https://prabhupadavani.org/transcriptions/lecture-hindi-f/</t>
  </si>
  <si>
    <t>https://prabhupadavani.org/transcriptions/lecture-hindi-g/</t>
  </si>
  <si>
    <t>https://prabhupadavani.org/transcriptions/lecture-hindi-h/</t>
  </si>
  <si>
    <t>https://prabhupadavani.org/transcriptions/lecture-hindi-i/</t>
  </si>
  <si>
    <t>Srimad-Bhagavatam 6.1.45-50</t>
  </si>
  <si>
    <t>https://prabhupadavani.org/transcriptions/%C5%9Br%C4%ABmad-bh%C4%81gavatam-614550/</t>
  </si>
  <si>
    <t>Srimad-Bhagavatam 6.1.56-62 at Adubhai Patel's House</t>
  </si>
  <si>
    <t>https://prabhupadavani.org/transcriptions/%C5%9Br%C4%ABmad-bh%C4%81gavatam-615662-adubhai-patels-house/</t>
  </si>
  <si>
    <t>Room Conversation with John Griesser [later initiated as Yadubara Dasa] and Devotees at the Sea Palace Hotel in Collaba</t>
  </si>
  <si>
    <t>https://prabhupadavani.org/transcriptions/room-conversation-john-griesser-later-initiated-yadubara-d%C4%81sa-and-devotees-sea-palace-hotel-collaba/</t>
  </si>
  <si>
    <t>Srimad-Bhagavatam 6.2.1-5</t>
  </si>
  <si>
    <t>https://prabhupadavani.org/transcriptions/%C5%9Br%C4%ABmad-bh%C4%81gavatam-6215/</t>
  </si>
  <si>
    <t>Room Conversation [partially recorded]</t>
  </si>
  <si>
    <t>https://prabhupadavani.org/transcriptions/room-conversation-partially-recorded/</t>
  </si>
  <si>
    <t>Srimad-Bhagavatam 6.2.5-8</t>
  </si>
  <si>
    <t>https://prabhupadavani.org/transcriptions/%C5%9Br%C4%ABmad-bh%C4%81gavatam-6258-710110sb-calcutta/</t>
  </si>
  <si>
    <t>Allahabad</t>
  </si>
  <si>
    <t>Srimad-Bhagavatam 6.2.9-10</t>
  </si>
  <si>
    <t>https://prabhupadavani.org/transcriptions/%C5%9Br%C4%ABmad-bh%C4%81gavat%C4%81m-62910/</t>
  </si>
  <si>
    <t>Srimad-Bhagavatam 6.2.11</t>
  </si>
  <si>
    <t>https://prabhupadavani.org/transcriptions/%C5%9Br%C4%ABmad-bh%C4%81gavatam-6211-710116sb-allahabad/</t>
  </si>
  <si>
    <t>https://prabhupadavani.org/transcriptions/lecture-hindi/</t>
  </si>
  <si>
    <t>Srimad-Bhagavatam 6.2.12-14 at Kumbha-mela</t>
  </si>
  <si>
    <t>https://prabhupadavani.org/transcriptions/%C5%9Br%C4%ABmad-bh%C4%81gavatam-621214-kumbha-mel%C4%81/</t>
  </si>
  <si>
    <t>https://prabhupadavani.org/transcriptions/room-conversation-710117r1-allahabad/</t>
  </si>
  <si>
    <t>https://prabhupadavani.org/transcriptions/lecture-in-hindi/</t>
  </si>
  <si>
    <t>https://prabhupadavani.org/transcriptions/room-conversation/</t>
  </si>
  <si>
    <t>Prayaga</t>
  </si>
  <si>
    <t>Srimad-Bhagavatam 6.2.45 Magha-mela</t>
  </si>
  <si>
    <t>https://prabhupadavani.org/transcriptions/%C5%9Br%C4%ABmad-bh%C4%81gavatam-6245-m%C4%81gha-mel%C4%81/</t>
  </si>
  <si>
    <t>Lecture at the House of Mr. Mitra</t>
  </si>
  <si>
    <t>https://prabhupadavani.org/transcriptions/lecture-house-mr-mitra/</t>
  </si>
  <si>
    <t>Srimad-Bhagavatam 6.2.46 Magha-mela</t>
  </si>
  <si>
    <t>https://prabhupadavani.org/transcriptions/%C5%9Br%C4%ABmad-bh%C4%81gavatam-6246-m%C4%81gha-mel%C4%81/</t>
  </si>
  <si>
    <t>Lecture at the Home of Mr. Mitra</t>
  </si>
  <si>
    <t>https://prabhupadavani.org/transcriptions/lecture-home-mr-mitra/</t>
  </si>
  <si>
    <t>Lecture at Magha-mela</t>
  </si>
  <si>
    <t>https://prabhupadavani.org/transcriptions/lecture-m%C4%81gha-mel%C4%81/</t>
  </si>
  <si>
    <t>Lecture by Hansadutta in Srila Prabhupada's Presence</t>
  </si>
  <si>
    <t>https://prabhupadavani.org/transcriptions/lecture-hansadutta-%C5%9Br%C4%ABla-prabhup%C4%81das-presence/</t>
  </si>
  <si>
    <t>https://prabhupadavani.org/transcriptions/lecture-a-hindi/</t>
  </si>
  <si>
    <t>Srimad-Bhagavatam 6.2.48 Magha-mela</t>
  </si>
  <si>
    <t>https://prabhupadavani.org/transcriptions/%C5%9Br%C4%ABmad-bh%C4%81gavatam-6248-m%C4%81gha-mel%C4%81/</t>
  </si>
  <si>
    <t>Srimad-Bhagavatam 6.3.1-11</t>
  </si>
  <si>
    <t>https://prabhupadavani.org/transcriptions/sr%C4%ABmad-bh%C4%81gavatam-63111/</t>
  </si>
  <si>
    <t>Sri Caitanya-caritamrta Lecture in Hindi</t>
  </si>
  <si>
    <t>https://prabhupadavani.org/transcriptions/%C5%9Br%C4%AB-caitanya-carit%C4%81m%E1%B9%9Bta-lecture-hindi/</t>
  </si>
  <si>
    <t>Lecture in Hindi [Partially Recorded]</t>
  </si>
  <si>
    <t>https://prabhupadavani.org/transcriptions/lecture-hindi-partially-recorded/</t>
  </si>
  <si>
    <t>Pandal Lecture [Partially Recorded]</t>
  </si>
  <si>
    <t>https://prabhupadavani.org/transcriptions/pa%E1%B9%87%E1%B8%8D%C4%81l-lecture-partially-recorded/</t>
  </si>
  <si>
    <t>https://prabhupadavani.org/transcriptions/lecture-b-hindi/</t>
  </si>
  <si>
    <t>Lecture at Government Center, Pedagogical Institute [Partially Recorded]</t>
  </si>
  <si>
    <t>https://prabhupadavani.org/transcriptions/lecture-government-center-pedagogical-institute-partially-recorded-710201l1/</t>
  </si>
  <si>
    <t>Srimad-Bhagavatam 6.3.11-12</t>
  </si>
  <si>
    <t>https://prabhupadavani.org/transcriptions/%C5%9Br%C4%ABmad-bh%C4%81gavatam-631112/</t>
  </si>
  <si>
    <t>Gorakphur</t>
  </si>
  <si>
    <t>Srimad-Bhagavatam 6.3.12</t>
  </si>
  <si>
    <t>https://prabhupadavani.org/transcriptions/%C5%9Br%C4%ABmad-bh%C4%81gavatam-6312/</t>
  </si>
  <si>
    <t>Room Conversation with Hanuman Prasad Poddar [Hindi and English]</t>
  </si>
  <si>
    <t>https://prabhupadavani.org/transcriptions/room-conversation-hanuman-prasad-poddar-hindi-and-english/</t>
  </si>
  <si>
    <t>Sri Caitanya-caritamrta 6.124 in Hindi with Hanuman Prasad Poddar</t>
  </si>
  <si>
    <t>https://prabhupadavani.org/transcriptions/%C5%9Br%C4%AB-caitanya-carit%C4%81m%E1%B9%9Bta-6124-hindi-hanuman-prasad-poddar/</t>
  </si>
  <si>
    <t>Srimad-Bhagavatam 6.3.12-15</t>
  </si>
  <si>
    <t>https://prabhupadavani.org/transcriptions/%C5%9Br%C4%ABmad-bh%C4%81gavatam-631215/</t>
  </si>
  <si>
    <t>Sri Caitanya-caritamrta, Lecture in Hindi</t>
  </si>
  <si>
    <t>https://prabhupadavani.org/transcriptions/%C5%9Br%C4%AB-caitanya-carit%C4%81m%E1%B9%9Bta-lecture-a-hindi/</t>
  </si>
  <si>
    <t>Srimad-Bhagavatam 6.3.16-17</t>
  </si>
  <si>
    <t>https://prabhupadavani.org/transcriptions/%C5%9Br%C4%ABmad-bh%C4%81gavatam-631617/</t>
  </si>
  <si>
    <t>https://prabhupadavani.org/transcriptions/lecture-c-hindi/</t>
  </si>
  <si>
    <t>Srimad-Bhagavatam 6.3.18</t>
  </si>
  <si>
    <t>https://prabhupadavani.org/transcriptions/%C5%9Br%C4%ABmad-bh%C4%81gavatam-6318/</t>
  </si>
  <si>
    <t>https://prabhupadavani.org/transcriptions/lecture-d-hindi/</t>
  </si>
  <si>
    <t>Srimad-Bhagavatam 6.3.18-19 at Sri Krsna-niketana</t>
  </si>
  <si>
    <t>https://prabhupadavani.org/transcriptions/%C5%9Br%C4%ABmad-bh%C4%81gavatam-631819-%C5%9Br%C4%AB-k%E1%B9%9B%E1%B9%A3%E1%B9%87-niketana/</t>
  </si>
  <si>
    <t>Sri Caitanya-caritamrta, Madhya-lila 6.149-50</t>
  </si>
  <si>
    <t>https://prabhupadavani.org/transcriptions/%C5%9Br%C4%AB-caitanya-carit%C4%81m%E1%B9%9Bta-madhya-l%C4%ABl%C4%81-614950/</t>
  </si>
  <si>
    <t>https://prabhupadavani.org/transcriptions/lecture-e-hindi/</t>
  </si>
  <si>
    <t>Engagement in Hindi</t>
  </si>
  <si>
    <t>https://prabhupadavani.org/transcriptions/engagement-hindi/</t>
  </si>
  <si>
    <t>Sri Caitanya-caritamrta, Madhya-lila 6.151-154</t>
  </si>
  <si>
    <t>https://prabhupadavani.org/transcriptions/%C5%9Br%C4%AB-caitanya-carit%C4%81m%E1%B9%9Bta-madhya-l%C4%ABl%C4%81-6151154/</t>
  </si>
  <si>
    <t>Srimad-Bhagavatam 6.3.20-23</t>
  </si>
  <si>
    <t>https://prabhupadavani.org/transcriptions/%C5%9Br%C4%ABmad-bh%C4%81gavatam-632023/</t>
  </si>
  <si>
    <t>Jaya Radha-Madhava &amp; Purport</t>
  </si>
  <si>
    <t>https://prabhupadavani.org/transcriptions/jaya-r%C4%81dh%C4%81-m%C4%81dhava-purport/</t>
  </si>
  <si>
    <t>https://prabhupadavani.org/transcriptions/room-a-conversation/</t>
  </si>
  <si>
    <t>Bhaktisiddhanta Sarasvati Gosvami Appearance Day, Srimad-Bhagavatam 6.3.24</t>
  </si>
  <si>
    <t>https://prabhupadavani.org/transcriptions/bhaktisiddh%C4%81nta-sarasvat%C4%AB-gosv%C4%81m%C4%AB-appearance-day-%C5%9Br%C4%ABmad-bh%C4%81gavatam-6324/</t>
  </si>
  <si>
    <t>Bhaktisiddhanta Sarasvati Gosvami Appearance Day Offerings in Hindi and English</t>
  </si>
  <si>
    <t>https://prabhupadavani.org/transcriptions/bhaktisiddh%C4%81nta-sarasvat%C4%AB-gosv%C4%81m%C4%AB-appearance-day-offerings-hindi-and-english/</t>
  </si>
  <si>
    <t>Bhaktisiddhanta Sarasvati Gosvami Appearance Day, Evening</t>
  </si>
  <si>
    <t>https://prabhupadavani.org/transcriptions/bhaktisiddh%C4%81nta-sarasvat%C4%AB-gosv%C4%81m%C4%AB-appearance-day-evening/</t>
  </si>
  <si>
    <t>Sri Caitanya-caritamrta, Madhya-lila 6.154</t>
  </si>
  <si>
    <t>https://prabhupadavani.org/transcriptions/%C5%9Br%C4%AB-caitanya-carit%C4%81m%E1%B9%9Bta-madhya-l%C4%ABl%C4%81-6154/</t>
  </si>
  <si>
    <t>Lecture at Sri Krsna-niketana</t>
  </si>
  <si>
    <t>https://prabhupadavani.org/transcriptions/lecture-%C5%9Br%C4%AB-k%E1%B9%9B%E1%B9%A3%E1%B9%87-niketana/</t>
  </si>
  <si>
    <t>Srimad-Bhagavatam 11.3.27</t>
  </si>
  <si>
    <t>https://prabhupadavani.org/transcriptions/%C5%9Br%C4%ABmad-bh%C4%81gavatam-11327/</t>
  </si>
  <si>
    <t>Sri Caitanya-caritamrta, Adi-lila 7.119</t>
  </si>
  <si>
    <t>https://prabhupadavani.org/transcriptions/%C5%9Br%C4%AB-caitanya-carit%C4%81m%E1%B9%9Bta-%C4%81di-l%C4%ABl%C4%81-7119/</t>
  </si>
  <si>
    <t>https://prabhupadavani.org/transcriptions/room-b-conversation/</t>
  </si>
  <si>
    <t>https://prabhupadavani.org/transcriptions/lecture-710217l2/</t>
  </si>
  <si>
    <t>https://prabhupadavani.org/transcriptions/lecture-710218le/</t>
  </si>
  <si>
    <t>Srimad-Bhagavatam 6.3.25-26</t>
  </si>
  <si>
    <t>https://prabhupadavani.org/transcriptions/%C5%9Br%C4%ABmad-bh%C4%81gavatam-632526/</t>
  </si>
  <si>
    <t>Sri Caitanya-caritamrta, Madhya-lila 6.154-155 [Sri Krsna-niketana]</t>
  </si>
  <si>
    <t>https://prabhupadavani.org/transcriptions/%C5%9Br%C4%AB-caitanya-carit%C4%81m%E1%B9%9Bta-madhya-l%C4%ABl%C4%81-6154155-%C5%9Br%C4%AB-k%E1%B9%9B%E1%B9%A3%E1%B9%87-niketana/</t>
  </si>
  <si>
    <t>Srimad-Bhagavatam 6.3.27-28</t>
  </si>
  <si>
    <t>https://prabhupadavani.org/transcriptions/%C5%9Br%C4%ABmad-bh%C4%81gavatam-632728/</t>
  </si>
  <si>
    <t>Pandal Lecture</t>
  </si>
  <si>
    <t>https://prabhupadavani.org/transcriptions/pa%E1%B9%87%E1%B8%8Dal-lecture/</t>
  </si>
  <si>
    <t>Conversation [partially recorded]</t>
  </si>
  <si>
    <t>https://prabhupadavani.org/transcriptions/conversation-partially-recorded-710316r1/</t>
  </si>
  <si>
    <t>https://prabhupadavani.org/transcriptions/lecture-teachings-lord-caitanya/</t>
  </si>
  <si>
    <t>Srimad-Bhagavatam 7.7.19-20</t>
  </si>
  <si>
    <t>https://prabhupadavani.org/transcriptions/%C5%9Br%C4%ABmad-bh%C4%81gavatam-771920/</t>
  </si>
  <si>
    <t>https://prabhupadavani.org/transcriptions/room-conversation-partially-recorded-710318r1/</t>
  </si>
  <si>
    <t>Srimad-Bhagavatam 10.22.35</t>
  </si>
  <si>
    <t>https://prabhupadavani.org/transcriptions/%C5%9Br%C4%ABmad-bh%C4%81gavatam-102235/</t>
  </si>
  <si>
    <t>https://prabhupadavani.org/transcriptions/lecture-710320le/</t>
  </si>
  <si>
    <t>Room Conversation about Siddhasvarupa</t>
  </si>
  <si>
    <t>https://prabhupadavani.org/transcriptions/room-conversation-about-siddhasvar%C5%ABpa/</t>
  </si>
  <si>
    <t>Sri Caitanya-caritamrta, Madhya-lila 20.137-146</t>
  </si>
  <si>
    <t>https://prabhupadavani.org/transcriptions/%C5%9Br%C4%AB-caitanya-carit%C4%81m%E1%B9%9Bta-madhya-l%C4%ABl%C4%81-20137146/</t>
  </si>
  <si>
    <t>Pandal Lecture at Cross Maidan</t>
  </si>
  <si>
    <t>https://prabhupadavani.org/transcriptions/pa%E1%B9%87%E1%B8%8D%C4%81l-lecture-cross-maidan/</t>
  </si>
  <si>
    <t>Bhagavad-Gita 7.1-2</t>
  </si>
  <si>
    <t>https://prabhupadavani.org/transcriptions/bhagavad-g%C4%ABt%C4%81-712/</t>
  </si>
  <si>
    <t>Bhagavad-Gita 7.3 Paa1a Al Wedding and Initiations at Cross Maidan</t>
  </si>
  <si>
    <t>https://prabhupadavani.org/transcriptions/bhagavad-g%C4%ABt%C4%81-73-pa%E1%B9%87%E1%B8%8D%C4%81l-wedding-and-initiations-cross-maidan/</t>
  </si>
  <si>
    <t>Bhagavad-Gita 7.4-5</t>
  </si>
  <si>
    <t>https://prabhupadavani.org/transcriptions/bhagavad-g%C4%ABt%C4%81-745/</t>
  </si>
  <si>
    <t>https://prabhupadavani.org/transcriptions/pa%E1%B9%87%E1%B8%8D%C4%81l-lecture-710331le/</t>
  </si>
  <si>
    <t>Bhagavad-Gita 7.7</t>
  </si>
  <si>
    <t>https://prabhupadavani.org/transcriptions/bhagavad-g%C4%ABt%C4%81-77/</t>
  </si>
  <si>
    <t>Bhagavad-Gita 7.11-13</t>
  </si>
  <si>
    <t>https://prabhupadavani.org/transcriptions/bhagavad-g%C4%ABt%C4%81-71113/</t>
  </si>
  <si>
    <t>https://prabhupadavani.org/transcriptions/pa%E1%B9%87%E1%B8%8D%C4%81l-lecture-710406le/</t>
  </si>
  <si>
    <t>https://prabhupadavani.org/transcriptions/room-conversation-710406r1/</t>
  </si>
  <si>
    <t>Bhagavad-Gita 7.16</t>
  </si>
  <si>
    <t>https://prabhupadavani.org/transcriptions/bhagavad-g%C4%ABt%C4%81-716/</t>
  </si>
  <si>
    <t>https://prabhupadavani.org/transcriptions/pa%E1%B9%87%E1%B8%8D%C4%81l-lecture-710407le/</t>
  </si>
  <si>
    <t>Bhagavad-Gita 16.2-7</t>
  </si>
  <si>
    <t>https://prabhupadavani.org/transcriptions/bhagavad-g%C4%ABt%C4%81-1627/</t>
  </si>
  <si>
    <t>Srimad-Bhagavatam 1.8.18-19</t>
  </si>
  <si>
    <t>https://prabhupadavani.org/transcriptions/%C5%9Br%C4%ABmad-bh%C4%81gavatam-181819/</t>
  </si>
  <si>
    <t>https://prabhupadavani.org/transcriptions/pa%E1%B9%87%E1%B8%8D%C4%81l-lecture-710410le/</t>
  </si>
  <si>
    <t>https://prabhupadavani.org/transcriptions/pa%E1%B9%87%E1%B8%8D%C4%81l-lecture-710411le/</t>
  </si>
  <si>
    <t>Kuala Lumpur</t>
  </si>
  <si>
    <t>Lecture at Town Hall</t>
  </si>
  <si>
    <t>https://prabhupadavani.org/transcriptions/lecture-town-hall/</t>
  </si>
  <si>
    <t>Sydney</t>
  </si>
  <si>
    <t>Lecture at Boys' School</t>
  </si>
  <si>
    <t>https://prabhupadavani.org/transcriptions/lecture-boys-school/</t>
  </si>
  <si>
    <t>Lecture at Wayside Chapel</t>
  </si>
  <si>
    <t>https://prabhupadavani.org/transcriptions/lecture-wayside-chapel/</t>
  </si>
  <si>
    <t>https://prabhupadavani.org/transcriptions/morning-walk-partially-recorded/</t>
  </si>
  <si>
    <t>https://prabhupadavani.org/transcriptions/interview-710516iv/</t>
  </si>
  <si>
    <t>Moscow</t>
  </si>
  <si>
    <t>Conversation with Prof. Kotovsky</t>
  </si>
  <si>
    <t>https://prabhupadavani.org/transcriptions/conversation-prof-kotovsky/</t>
  </si>
  <si>
    <t>Paris</t>
  </si>
  <si>
    <t>https://prabhupadavani.org/transcriptions/lecture-710626le/</t>
  </si>
  <si>
    <t>Press Conference [with translator]</t>
  </si>
  <si>
    <t>https://prabhupadavani.org/transcriptions/press-conference-translator/</t>
  </si>
  <si>
    <t>Speech at Olympia Theatre [with translator]</t>
  </si>
  <si>
    <t>https://prabhupadavani.org/transcriptions/speech-olympia-theatre-translator/</t>
  </si>
  <si>
    <t>https://prabhupadavani.org/transcriptions/ratha-y%C4%81tr%C4%81-address/</t>
  </si>
  <si>
    <t>https://prabhupadavani.org/transcriptions/ratha-y%C4%81tr%C4%81-address-710627r2/</t>
  </si>
  <si>
    <t>https://prabhupadavani.org/transcriptions/lecture-710628le/</t>
  </si>
  <si>
    <t>Disciple Darsana</t>
  </si>
  <si>
    <t>https://prabhupadavani.org/transcriptions/disciple-dar%C5%9Bana/</t>
  </si>
  <si>
    <t>Arrival Lecture</t>
  </si>
  <si>
    <t>https://prabhupadavani.org/transcriptions/arrival-lecture/</t>
  </si>
  <si>
    <t>https://prabhupadavani.org/transcriptions/room-conversation-710629r1/</t>
  </si>
  <si>
    <t>Sri Brahma-samhita verse 39 [partially recorded]</t>
  </si>
  <si>
    <t>https://prabhupadavani.org/transcriptions/%C5%9Br%C4%AB-brahma-sa%E1%B9%81hit%C4%81-verse-39-partially-recorded/</t>
  </si>
  <si>
    <t>Room Conversation with Govinda dasi</t>
  </si>
  <si>
    <t>https://prabhupadavani.org/transcriptions/room-conversation-govinda-d%C4%81s%C4%AB/</t>
  </si>
  <si>
    <t>Room Conversation with Govinda dasi and Gaurasundara</t>
  </si>
  <si>
    <t>https://prabhupadavani.org/transcriptions/room-conversation-govinda-d%C4%81s%C4%AB-and-gaurasundara/</t>
  </si>
  <si>
    <t>Room Conversation on Srimad-Bhagavatam 2.7.42</t>
  </si>
  <si>
    <t>https://prabhupadavani.org/transcriptions/room-conversation-%C5%9Br%C4%ABmad-bh%C4%81gavatam-2742/</t>
  </si>
  <si>
    <t>Initiation Lecture [partially recorded]</t>
  </si>
  <si>
    <t>https://prabhupadavani.org/transcriptions/710702inla/</t>
  </si>
  <si>
    <t>https://prabhupadavani.org/transcriptions/room-conversation-govinda-d%C4%81s%C4%AB-and-gaurasundara-710702r1/</t>
  </si>
  <si>
    <t>Caitanya-bhagavata, Antya-khanda 4.126</t>
  </si>
  <si>
    <t>https://prabhupadavani.org/transcriptions/caitanya-bh%C4%81gavata-antya-kha%E1%B9%87%E1%B8%8D-4126/</t>
  </si>
  <si>
    <t>https://prabhupadavani.org/transcriptions/lecture-710704le/</t>
  </si>
  <si>
    <t>https://prabhupadavani.org/transcriptions/room-conversation-710704r1/</t>
  </si>
  <si>
    <t>https://prabhupadavani.org/transcriptions/initiation-lecture-710703in/</t>
  </si>
  <si>
    <t>https://prabhupadavani.org/transcriptions/room-conversation-710705r1/</t>
  </si>
  <si>
    <t>Initiation of Rama-ranjana</t>
  </si>
  <si>
    <t>https://prabhupadavani.org/transcriptions/initiation-r%C4%81ma-ra%C3%B1jana/</t>
  </si>
  <si>
    <t>https://prabhupadavani.org/transcriptions/lecture-partially-recorded-710705le/</t>
  </si>
  <si>
    <t>https://prabhupadavani.org/transcriptions/lecture-710707le/</t>
  </si>
  <si>
    <t>Sri Isopanisad Lecture [recites verses 1-12]</t>
  </si>
  <si>
    <t>https://prabhupadavani.org/transcriptions/%C5%9Br%C4%AB-%C4%AB%C5%9Bopani%E1%B9%A3ad-lecture-recites-verses-112/</t>
  </si>
  <si>
    <t>Sri Isopanisad Mantra 4</t>
  </si>
  <si>
    <t>https://prabhupadavani.org/transcriptions/%C5%9Br%C4%AB-%C4%AB%C5%9Bopani%E1%B9%A3ad-mantra-4/</t>
  </si>
  <si>
    <t>Wedding of Prabhavati and Hari-nama</t>
  </si>
  <si>
    <t>https://prabhupadavani.org/transcriptions/wedding-prabh%C4%81vat%C4%AB-and-hari-n%C4%81ma/</t>
  </si>
  <si>
    <t>Srimad-Bhagavatam 5.18.12</t>
  </si>
  <si>
    <t>https://prabhupadavani.org/transcriptions/%C5%9Br%C4%ABmad-bh%C4%81gavatam-51812/</t>
  </si>
  <si>
    <t>https://prabhupadavani.org/transcriptions/lecture-710711le/</t>
  </si>
  <si>
    <t>https://prabhupadavani.org/transcriptions/lecture-710712le/</t>
  </si>
  <si>
    <t>https://prabhupadavani.org/transcriptions/initiation-lecture-710713in/</t>
  </si>
  <si>
    <t>Detroit</t>
  </si>
  <si>
    <t>Arrival Address [Airport]</t>
  </si>
  <si>
    <t>https://prabhupadavani.org/transcriptions/arrival-address-airport-710716ar/</t>
  </si>
  <si>
    <t>https://prabhupadavani.org/transcriptions/lecture-710716le/</t>
  </si>
  <si>
    <t>Bhagavad-Gita 6.41</t>
  </si>
  <si>
    <t>https://prabhupadavani.org/transcriptions/bhagavad-g%C4%ABt%C4%81-641/</t>
  </si>
  <si>
    <t>https://prabhupadavani.org/transcriptions/initiations-710717in/</t>
  </si>
  <si>
    <t>https://prabhupadavani.org/transcriptions/initiations-710718in/</t>
  </si>
  <si>
    <t>Room Conversation with Mohsin Hassan</t>
  </si>
  <si>
    <t>https://prabhupadavani.org/transcriptions/room-conversation-mohsin-hassan/</t>
  </si>
  <si>
    <t>Sri Brahma-samhita, Verse 33</t>
  </si>
  <si>
    <t>https://prabhupadavani.org/transcriptions/%C5%9Br%C4%AB-brahma-sa%E1%B9%81hit%C4%81-verse-33/</t>
  </si>
  <si>
    <t>https://prabhupadavani.org/transcriptions/room-conversation-710720r1/</t>
  </si>
  <si>
    <t>https://prabhupadavani.org/transcriptions/lecture-710720le/</t>
  </si>
  <si>
    <t>https://prabhupadavani.org/transcriptions/jaya-r%C4%81dh%C4%81-m%C4%81dhava-purport-710720pu/</t>
  </si>
  <si>
    <t>https://prabhupadavani.org/transcriptions/initiations-710721in/</t>
  </si>
  <si>
    <t>Srimad-Bhagavatam 6.1.6-8</t>
  </si>
  <si>
    <t>https://prabhupadavani.org/transcriptions/%C5%9Br%C4%ABmad-bh%C4%81gavatam-6168/</t>
  </si>
  <si>
    <t>https://prabhupadavani.org/transcriptions/initiations-710722in/</t>
  </si>
  <si>
    <t>Srimad-Bhagavatam 6.1.8</t>
  </si>
  <si>
    <t>https://prabhupadavani.org/transcriptions/%C5%9Br%C4%ABmad-bh%C4%81gavatam-618/</t>
  </si>
  <si>
    <t>https://prabhupadavani.org/transcriptions/initiations-710723in/</t>
  </si>
  <si>
    <t>Srimad-Bhagavatam 6.1.8-13</t>
  </si>
  <si>
    <t>https://prabhupadavani.org/transcriptions/%C5%9Br%C4%ABmad-bh%C4%81gavatam-61813/</t>
  </si>
  <si>
    <t>https://prabhupadavani.org/transcriptions/initiations-710724in/</t>
  </si>
  <si>
    <t>Srimad-Bhagavatam 6.1.11</t>
  </si>
  <si>
    <t>https://prabhupadavani.org/transcriptions/%C5%9Br%C4%ABmad-bh%C4%81gavatam-6111/</t>
  </si>
  <si>
    <t>Sri Brahma-samhita, Verse 32</t>
  </si>
  <si>
    <t>https://prabhupadavani.org/transcriptions/%C5%9Br%C4%AB-brahma-sa%E1%B9%81hit%C4%81-verse-32/</t>
  </si>
  <si>
    <t>https://prabhupadavani.org/transcriptions/initiations-710725in/</t>
  </si>
  <si>
    <t>Sri Brahma-samhita Lecture</t>
  </si>
  <si>
    <t>https://prabhupadavani.org/transcriptions/%C5%9Br%C4%AB-brahma-sa%E1%B9%81hit%C4%81-lecture/</t>
  </si>
  <si>
    <t>https://prabhupadavani.org/transcriptions/initiations-710726in/</t>
  </si>
  <si>
    <t>Initiations and Trivikrama Sannyas</t>
  </si>
  <si>
    <t>https://prabhupadavani.org/transcriptions/initiations-and-trivikrama-sannyas/</t>
  </si>
  <si>
    <t>Srimad-Bhagavatam 6.1.13-14</t>
  </si>
  <si>
    <t>https://prabhupadavani.org/transcriptions/%C5%9Br%C4%ABmad-bh%C4%81gavatam-611314/</t>
  </si>
  <si>
    <t>https://prabhupadavani.org/transcriptions/%C5%9Br%C4%AB-brahma-sa%E1%B9%81hit%C4%81-lecture-710728bs/</t>
  </si>
  <si>
    <t>https://prabhupadavani.org/transcriptions/initiation-lecture-710728in/</t>
  </si>
  <si>
    <t>Gainesville</t>
  </si>
  <si>
    <t>https://prabhupadavani.org/transcriptions/arrival-lecture-710729ar/</t>
  </si>
  <si>
    <t>Television Interview</t>
  </si>
  <si>
    <t>https://prabhupadavani.org/transcriptions/television-interview-710729iv/</t>
  </si>
  <si>
    <t>Bhagavad-Gita 7.1 University of Florida</t>
  </si>
  <si>
    <t>https://prabhupadavani.org/transcriptions/bhagavad-g%C4%ABt%C4%81-71-university-florida/</t>
  </si>
  <si>
    <t>Sri Brahma-samhita, Verse 35</t>
  </si>
  <si>
    <t>https://prabhupadavani.org/transcriptions/%C5%9Br%C4%AB-brahma-sa%E1%B9%81hit%C4%81-verse-35-710731bs/</t>
  </si>
  <si>
    <t>https://prabhupadavani.org/transcriptions/%C5%9Br%C4%ABmad-bh%C4%81gavatam-6115/</t>
  </si>
  <si>
    <t>Srimad-Bhagavatam 6.1.16-20</t>
  </si>
  <si>
    <t>https://prabhupadavani.org/transcriptions/%C5%9Br%C4%ABmad-bh%C4%81gavatam-611620/</t>
  </si>
  <si>
    <t>https://prabhupadavani.org/transcriptions/%C5%9Br%C4%ABmad-bh%C4%81gavatam-6115-710803sb/</t>
  </si>
  <si>
    <t>Bhagavad-Gita 7.1-3</t>
  </si>
  <si>
    <t>https://prabhupadavani.org/transcriptions/bhagavad-g%C4%ABt%C4%81-713/</t>
  </si>
  <si>
    <t>Room Conversation with Apa Pante High Commissioner for United Kingdom</t>
  </si>
  <si>
    <t>https://prabhupadavani.org/transcriptions/room-conversation-apa-pante-high-commissioner-united-kingdom/</t>
  </si>
  <si>
    <t>https://prabhupadavani.org/transcriptions/lecture-engagement/</t>
  </si>
  <si>
    <t>Temple Press Conference</t>
  </si>
  <si>
    <t>https://prabhupadavani.org/transcriptions/temple-press-conference/</t>
  </si>
  <si>
    <t>Srimad-Bhagavatam 1.1.1</t>
  </si>
  <si>
    <t>https://prabhupadavani.org/transcriptions/%C5%9Br%C4%ABmad-bh%C4%81gavatam-111/</t>
  </si>
  <si>
    <t>Srimad-Bhagavatam 1.2.6 Hampstead Hall</t>
  </si>
  <si>
    <t>https://prabhupadavani.org/transcriptions/%C5%9Br%C4%ABmad-bh%C4%81gavatam-126-hampstead-hall/</t>
  </si>
  <si>
    <t>https://prabhupadavani.org/transcriptions/%C5%9Br%C4%ABmad-bh%C4%81gavatam-111-710807sb/</t>
  </si>
  <si>
    <t>Room Conversation with Mr. Arnold</t>
  </si>
  <si>
    <t>https://prabhupadavani.org/transcriptions/room-conversation-mr-arnold/</t>
  </si>
  <si>
    <t>Lunch Engagement</t>
  </si>
  <si>
    <t>https://prabhupadavani.org/transcriptions/lunch-engagement/</t>
  </si>
  <si>
    <t>https://prabhupadavani.org/transcriptions/room-conversation-partially-recorded-710809r1/</t>
  </si>
  <si>
    <t>Srimad-Bhagavatam 1.2.2 Purport on Guruvastakam</t>
  </si>
  <si>
    <t>https://prabhupadavani.org/transcriptions/%C5%9Br%C4%ABmad-bh%C4%81gavatam-122-purport-guruva%E1%B9%A3%E1%B9%ADakam/</t>
  </si>
  <si>
    <t>Sri Brahma-samhita, Verse 37</t>
  </si>
  <si>
    <t>https://prabhupadavani.org/transcriptions/%C5%9Br%C4%AB-brahma-sa%E1%B9%81hit%C4%81-verse-37/</t>
  </si>
  <si>
    <t>Janmastami Morning Lecture [partially recorded]</t>
  </si>
  <si>
    <t>https://prabhupadavani.org/transcriptions/janm%C4%81%E1%B9%A3%E1%B9%ADam%C4%AB-morning-lecture-partially-recorded/</t>
  </si>
  <si>
    <t>Janmastami Lecture</t>
  </si>
  <si>
    <t>https://prabhupadavani.org/transcriptions/janm%C4%81%E1%B9%A3%E1%B9%ADam%C4%AB-lecture-710813l2/</t>
  </si>
  <si>
    <t>Srimad-Bhagavatam 1.1.2</t>
  </si>
  <si>
    <t>https://prabhupadavani.org/transcriptions/%C5%9Br%C4%ABmad-bh%C4%81gavatam-112/</t>
  </si>
  <si>
    <t>https://prabhupadavani.org/transcriptions/%C5%9Br%C4%ABmad-bh%C4%81gavatam-112-710816sb/</t>
  </si>
  <si>
    <t>https://prabhupadavani.org/transcriptions/%C5%9Br%C4%ABmad-bh%C4%81gavatam-112-710817sb/</t>
  </si>
  <si>
    <t>Srimad-Bhagavatam 1.1.3</t>
  </si>
  <si>
    <t>https://prabhupadavani.org/transcriptions/%C5%9Br%C4%ABmad-bh%C4%81gavatam-113/</t>
  </si>
  <si>
    <t>https://prabhupadavani.org/transcriptions/%C5%9Br%C4%ABmad-bh%C4%81gavatam-113-710820sb/</t>
  </si>
  <si>
    <t>https://prabhupadavani.org/transcriptions/initiation-lecture-710822in/</t>
  </si>
  <si>
    <t>Srimad-Bhagavatam 1.2.3</t>
  </si>
  <si>
    <t>https://prabhupadavani.org/transcriptions/%C5%9Br%C4%ABmad-bh%C4%81gavatam-123-710824sb/</t>
  </si>
  <si>
    <t>https://prabhupadavani.org/transcriptions/%C5%9Br%C4%ABmad-bh%C4%81gavatam-126/</t>
  </si>
  <si>
    <t>https://prabhupadavani.org/transcriptions/%C5%9Br%C4%ABmad-bh%C4%81gavatam-126-710827sb/</t>
  </si>
  <si>
    <t>Radhastami Srimati Radharani's Appearance Day</t>
  </si>
  <si>
    <t>https://prabhupadavani.org/transcriptions/r%C4%81dh%C4%81%E1%B9%A3%E1%B9%ADam%C4%AB-%C5%9Br%C4%ABmat%C4%AB-r%C4%81dh%C4%81r%C4%81%E1%B9%87%C4%ABs-appearance-day/</t>
  </si>
  <si>
    <t>Sept. 1, 1971</t>
  </si>
  <si>
    <t>Srila Bhaktivinoda Thakura's Appearance Day Lecture</t>
  </si>
  <si>
    <t>https://prabhupadavani.org/transcriptions/%C5%9Br%C4%ABla-bhaktivinoda-%E1%B9%ADh%C4%81kuras-appearance-day-lecture/</t>
  </si>
  <si>
    <t>Sept. 3, 1971</t>
  </si>
  <si>
    <t>Srimad-Bhagavatam 5.5.5</t>
  </si>
  <si>
    <t>https://prabhupadavani.org/transcriptions/%C5%9Br%C4%ABmad-bh%C4%81gavatam-555/</t>
  </si>
  <si>
    <t>Sept. 5, 1971</t>
  </si>
  <si>
    <t>Room Conversation with Dr. Ware of the Mensa Society</t>
  </si>
  <si>
    <t>https://prabhupadavani.org/transcriptions/room-conversation-dr-ware-mensa-society/</t>
  </si>
  <si>
    <t>Sept. 7, 1971</t>
  </si>
  <si>
    <t>https://prabhupadavani.org/transcriptions/initiation-lecture--710907in/</t>
  </si>
  <si>
    <t>Sept. 8, 1971</t>
  </si>
  <si>
    <t>Srimad-Bhagavatam 7.5.22-30</t>
  </si>
  <si>
    <t>https://prabhupadavani.org/transcriptions/%C5%9Br%C4%ABmad-bh%C4%81gavatam-752230/</t>
  </si>
  <si>
    <t>Sept. 9, 1971</t>
  </si>
  <si>
    <t>Srimad-Bhagavatam 7.5.30</t>
  </si>
  <si>
    <t>https://prabhupadavani.org/transcriptions/%C5%9Br%C4%ABmad-bh%C4%81gavatam-7530/</t>
  </si>
  <si>
    <t>Sept. 11, 1971</t>
  </si>
  <si>
    <t>https://prabhupadavani.org/transcriptions/lecture-hindi-710911le/</t>
  </si>
  <si>
    <t>Sept. 12, 1971</t>
  </si>
  <si>
    <t>Mombasa</t>
  </si>
  <si>
    <t>Srimad-Bhagavatam 7.7.30-31</t>
  </si>
  <si>
    <t>https://prabhupadavani.org/transcriptions/%C5%9Br%C4%ABmad-bh%C4%81gavatam-773031/</t>
  </si>
  <si>
    <t>https://prabhupadavani.org/transcriptions/lecture-hindi-710912le/</t>
  </si>
  <si>
    <t>Sept. 13, 1971</t>
  </si>
  <si>
    <t>https://prabhupadavani.org/transcriptions/bhagavad-g%C4%ABt%C4%81-213/</t>
  </si>
  <si>
    <t>Srimad-Bhagavatam 2.1.2</t>
  </si>
  <si>
    <t>https://prabhupadavani.org/transcriptions/%C5%9Br%C4%ABmad-bh%C4%81gavatam-212/</t>
  </si>
  <si>
    <t>Sept. 14, 1971</t>
  </si>
  <si>
    <t>https://prabhupadavani.org/transcriptions/lecture-hindi-710914le-mombasa/</t>
  </si>
  <si>
    <t>Sept. 15, 1971</t>
  </si>
  <si>
    <t>Srimad-Bhagavatam 7th Canto</t>
  </si>
  <si>
    <t>https://prabhupadavani.org/transcriptions/%C5%9Br%C4%ABmad-bh%C4%81gavatam-7th-canto/</t>
  </si>
  <si>
    <t>Sept. 16, 1971</t>
  </si>
  <si>
    <t>Evening Lecture at Pandiya House Meeting with Community Leaders</t>
  </si>
  <si>
    <t>https://prabhupadavani.org/transcriptions/evening-lecture-pandiya-house-meeting-community-leaders/</t>
  </si>
  <si>
    <t>Sept. 17, 1971</t>
  </si>
  <si>
    <t>Srimad-Bhagavatam 1.2.6 Engagement</t>
  </si>
  <si>
    <t>https://prabhupadavani.org/transcriptions/%C5%9Br%C4%ABmad-bh%C4%81gavatam-126-engagement/</t>
  </si>
  <si>
    <t>Sept. 18, 1971</t>
  </si>
  <si>
    <t>Nairobi</t>
  </si>
  <si>
    <t>Engagement</t>
  </si>
  <si>
    <t>https://prabhupadavani.org/transcriptions/engagement-710918le-nairobi/</t>
  </si>
  <si>
    <t>Sept. 19, 1971</t>
  </si>
  <si>
    <t>Lecture on Sri Sri Gurv-astaka</t>
  </si>
  <si>
    <t>https://prabhupadavani.org/transcriptions/lecture-%C5%9Br%C4%AB-%C5%9Br%C4%AB-gurv-%E1%B9%A3%E1%B9%ADaka-710919le-nairobi/</t>
  </si>
  <si>
    <t>Sept. 22, 1971</t>
  </si>
  <si>
    <t>Room Conversation with African Intelligentsia</t>
  </si>
  <si>
    <t>https://prabhupadavani.org/transcriptions/room-conversation-african-intelligentsia-710922r1-nairobi/</t>
  </si>
  <si>
    <t>Sept. 23, 1971</t>
  </si>
  <si>
    <t>https://prabhupadavani.org/transcriptions/room-conversation-african-intelligentsia-710923r1-nairobi/</t>
  </si>
  <si>
    <t>Sept. 24, 1971</t>
  </si>
  <si>
    <t>https://prabhupadavani.org/transcriptions/room-conversation-african-intelligentsia-710924r1-nairobi/</t>
  </si>
  <si>
    <t>Sept. 25, 1971</t>
  </si>
  <si>
    <t>Bhagavad-Gita 13.2</t>
  </si>
  <si>
    <t>https://prabhupadavani.org/transcriptions/bhagavad-g%C4%ABt%C4%81-132-710925bg-nairobi/</t>
  </si>
  <si>
    <t>Delhi</t>
  </si>
  <si>
    <t>https://prabhupadavani.org/transcriptions/arrival-lecture-711110ar-delhi/</t>
  </si>
  <si>
    <t>https://prabhupadavani.org/transcriptions/bhagavad-g%C4%ABt%C4%81-41/</t>
  </si>
  <si>
    <t>Room Conversation with Mayor</t>
  </si>
  <si>
    <t>https://prabhupadavani.org/transcriptions/room-conversation-mayor-711110r1-delhi/</t>
  </si>
  <si>
    <t>https://prabhupadavani.org/transcriptions/interview-711110iv-delhi/</t>
  </si>
  <si>
    <t>https://prabhupadavani.org/transcriptions/pa%E1%B9%87%E1%B8%8D%C4%81l-lecture-711111le-delhi/</t>
  </si>
  <si>
    <t>https://prabhupadavani.org/transcriptions/conversation-711111r1-delhi/</t>
  </si>
  <si>
    <t>Room Conversation [English / Hindi]</t>
  </si>
  <si>
    <t>https://prabhupadavani.org/transcriptions/room-conversation-english-hindi-711111r2-delhi/</t>
  </si>
  <si>
    <t>https://prabhupadavani.org/transcriptions/pa%E1%B9%87%E1%B8%8D%C4%81l-lecture-711112le-delhi/</t>
  </si>
  <si>
    <t>Conversation with Guru Dasa</t>
  </si>
  <si>
    <t>https://prabhupadavani.org/transcriptions/conversation-guru-dasa-711112r1-delhi/</t>
  </si>
  <si>
    <t>https://prabhupadavani.org/transcriptions/pa%E1%B9%87%E1%B8%8D%C4%81l-lecture-711113le-delhi/</t>
  </si>
  <si>
    <t>https://prabhupadavani.org/transcriptions/pa%E1%B9%87%E1%B8%8D%C4%81l-lecture-711114le-delhi/</t>
  </si>
  <si>
    <t>https://prabhupadavani.org/transcriptions/%C5%9Br%C4%ABmad-bh%C4%81gavatam-761-711115sb-delhi/</t>
  </si>
  <si>
    <t>Srimad-Bhagavatam 4.14.14</t>
  </si>
  <si>
    <t>https://prabhupadavani.org/transcriptions/%C5%9Br%C4%ABmad-bh%C4%81gavatam-41414/</t>
  </si>
  <si>
    <t>Wedding Lecture [partially recorded]</t>
  </si>
  <si>
    <t>https://prabhupadavani.org/transcriptions/wedding-lecture-partially-recorded-711117we-delhi/</t>
  </si>
  <si>
    <t>https://prabhupadavani.org/transcriptions/pa%E1%B9%87%E1%B8%8D%C4%81l-lecture-711119le-delhi/</t>
  </si>
  <si>
    <t>https://prabhupadavani.org/transcriptions/pa%E1%B9%87%E1%B8%8D%C4%81l-lecture-711120le-delhi/</t>
  </si>
  <si>
    <t>https://prabhupadavani.org/transcriptions/pa%E1%B9%87%E1%B8%8D%C4%81l-lecture-711121le-delhi/</t>
  </si>
  <si>
    <t>Room Conversation with Dr. Karan Singh, Former Cabinet Minister in the Indian Government and Member of the Royal Family of Kashmir</t>
  </si>
  <si>
    <t>https://prabhupadavani.org/transcriptions/room-conversation-dr-karan-singh-former-cabinet-minister-indian-government-and-member-royal-family-kashmir/</t>
  </si>
  <si>
    <t>Vrindavan</t>
  </si>
  <si>
    <t>Parikrama on the Way to Gokula</t>
  </si>
  <si>
    <t>https://prabhupadavani.org/transcriptions/parikram%C4%81-way-gokula-711128pk-vrindavan/</t>
  </si>
  <si>
    <t>https://prabhupadavani.org/transcriptions/parikram%C4%81-way-gokula-711129pk-vrindavan/</t>
  </si>
  <si>
    <t>Lecture Engagement [Intro by the Governor and Mayor]</t>
  </si>
  <si>
    <t>https://prabhupadavani.org/transcriptions/lecture-engagement-intro-governor-and-mayor-711129le-vrindavan/</t>
  </si>
  <si>
    <t>https://prabhupadavani.org/transcriptions/room-conversation-711203r1-delhi/</t>
  </si>
  <si>
    <t>https://prabhupadavani.org/transcriptions/conversation-711204r1-delhi/</t>
  </si>
  <si>
    <t>https://prabhupadavani.org/transcriptions/conversation-711204r2-delhi/</t>
  </si>
  <si>
    <t>https://prabhupadavani.org/transcriptions/room-conversation-711205r3-delhi/</t>
  </si>
  <si>
    <t>Visit to Museum</t>
  </si>
  <si>
    <t>https://prabhupadavani.org/transcriptions/visit-museum/</t>
  </si>
  <si>
    <t>Conversation in Car</t>
  </si>
  <si>
    <t>https://prabhupadavani.org/transcriptions/conversation-car-711205r2-delhi/</t>
  </si>
  <si>
    <t>https://prabhupadavani.org/transcriptions/room-conversation-711206r1-delhi/</t>
  </si>
  <si>
    <t>Srimad-Bhagavatam 10.84.13</t>
  </si>
  <si>
    <t>https://prabhupadavani.org/transcriptions/%C5%9Br%C4%ABmad-bh%C4%81gavatam-108413/</t>
  </si>
  <si>
    <t>Srimad-Bhagavatam 1.7.4</t>
  </si>
  <si>
    <t>https://prabhupadavani.org/transcriptions/%C5%9Br%C4%ABmad-bh%C4%81gavatam-174/</t>
  </si>
  <si>
    <t>https://prabhupadavani.org/transcriptions/room-conversation-711212r1-delhi/</t>
  </si>
  <si>
    <t>https://prabhupadavani.org/transcriptions/lecture-711213le-delhi/</t>
  </si>
  <si>
    <t>Jaipur</t>
  </si>
  <si>
    <t>https://prabhupadavani.org/transcriptions/720114lejai/</t>
  </si>
  <si>
    <t>https://prabhupadavani.org/transcriptions/720117lejai/</t>
  </si>
  <si>
    <t>Room Conversation on SB 4.13.48-14.11</t>
  </si>
  <si>
    <t>https://prabhupadavani.org/transcriptions/720118r1jai/</t>
  </si>
  <si>
    <t>Room Conversation in Bengali</t>
  </si>
  <si>
    <t>https://prabhupadavani.org/transcriptions/720118r2jai/</t>
  </si>
  <si>
    <t>Sannyasa Initiation of Tamal Krsna</t>
  </si>
  <si>
    <t>https://prabhupadavani.org/transcriptions/720118injai/</t>
  </si>
  <si>
    <t>https://prabhupadavani.org/transcriptions/720118lejai/</t>
  </si>
  <si>
    <t>Room Conversation on SB 1.5.11</t>
  </si>
  <si>
    <t>https://prabhupadavani.org/transcriptions/720119r1jai/</t>
  </si>
  <si>
    <t>https://prabhupadavani.org/transcriptions/720119lejai/</t>
  </si>
  <si>
    <t>https://prabhupadavani.org/transcriptions/720120lejai/</t>
  </si>
  <si>
    <t>https://prabhupadavani.org/transcriptions/720121lejai/</t>
  </si>
  <si>
    <t>https://prabhupadavani.org/transcriptions/720122lejai/</t>
  </si>
  <si>
    <t>Room Conversation in Hindi</t>
  </si>
  <si>
    <t>https://prabhupadavani.org/transcriptions/720206r1bom/</t>
  </si>
  <si>
    <t>Madras</t>
  </si>
  <si>
    <t>Room Conversation with Rajaji</t>
  </si>
  <si>
    <t>https://prabhupadavani.org/transcriptions/720212r1mad/</t>
  </si>
  <si>
    <t>https://prabhupadavani.org/transcriptions/720214bgmad/</t>
  </si>
  <si>
    <t>https://prabhupadavani.org/transcriptions/720215r1mad/</t>
  </si>
  <si>
    <t>https://prabhupadavani.org/transcriptions/720216r1mad/</t>
  </si>
  <si>
    <t>Visakhapatnam</t>
  </si>
  <si>
    <t>https://prabhupadavani.org/transcriptions/720217levis/</t>
  </si>
  <si>
    <t>https://prabhupadavani.org/transcriptions/720218levis/</t>
  </si>
  <si>
    <t>Speech at Sri Caitanya Matha</t>
  </si>
  <si>
    <t>https://prabhupadavani.org/transcriptions/720219advis/</t>
  </si>
  <si>
    <t>Lecture at Sri Caitanya Matha</t>
  </si>
  <si>
    <t>https://prabhupadavani.org/transcriptions/720219levis/</t>
  </si>
  <si>
    <t>Lecture at Krsna Caitanya Matha</t>
  </si>
  <si>
    <t>https://prabhupadavani.org/transcriptions/720220levis/</t>
  </si>
  <si>
    <t>https://prabhupadavani.org/transcriptions/720220sbvis/</t>
  </si>
  <si>
    <t>Lecture at Andhra College</t>
  </si>
  <si>
    <t>https://prabhupadavani.org/transcriptions/720221levis/</t>
  </si>
  <si>
    <t>Srimad-Bhagavatam 7.9.43</t>
  </si>
  <si>
    <t>https://prabhupadavani.org/transcriptions/720222sbvis/</t>
  </si>
  <si>
    <t>Lecture to Railway Workers</t>
  </si>
  <si>
    <t>https://prabhupadavani.org/transcriptions/720222levis/</t>
  </si>
  <si>
    <t>Bhagavad-Gita 16.5</t>
  </si>
  <si>
    <t>https://prabhupadavani.org/transcriptions/720223bgcal/</t>
  </si>
  <si>
    <t>https://prabhupadavani.org/transcriptions/720223sbcal/</t>
  </si>
  <si>
    <t>https://prabhupadavani.org/transcriptions/720224lecal/</t>
  </si>
  <si>
    <t>Mayapur</t>
  </si>
  <si>
    <t>Lecture in Bengali</t>
  </si>
  <si>
    <t>https://prabhupadavani.org/transcriptions/720226lemay/</t>
  </si>
  <si>
    <t>MAyApur</t>
  </si>
  <si>
    <t>Lecture in Bengali Intro by Puri Maharaja</t>
  </si>
  <si>
    <t>https://prabhupadavani.org/transcriptions/720227lemay/</t>
  </si>
  <si>
    <t>Talk with Bob Cohen</t>
  </si>
  <si>
    <t>https://prabhupadavani.org/transcriptions/720227tamay/</t>
  </si>
  <si>
    <t>https://prabhupadavani.org/transcriptions/720228tamay/</t>
  </si>
  <si>
    <t>https://prabhupadavani.org/transcriptions/720229tamay/</t>
  </si>
  <si>
    <t>Gaura-Purnima</t>
  </si>
  <si>
    <t>https://prabhupadavani.org/transcriptions/720229gpmay/</t>
  </si>
  <si>
    <t>Birnagar</t>
  </si>
  <si>
    <t>Talk with Lalita Prasad</t>
  </si>
  <si>
    <t>https://prabhupadavani.org/transcriptions/720302tabir/</t>
  </si>
  <si>
    <t>https://prabhupadavani.org/transcriptions/720304lecal/</t>
  </si>
  <si>
    <t>https://prabhupadavani.org/transcriptions/720305sbcal/</t>
  </si>
  <si>
    <t>Srimad-Bhagavatam 7.9.8-9</t>
  </si>
  <si>
    <t>https://prabhupadavani.org/transcriptions/720306sbcal/</t>
  </si>
  <si>
    <t>https://prabhupadavani.org/transcriptions/720307bgcal/</t>
  </si>
  <si>
    <t>https://prabhupadavani.org/transcriptions/720307sbcal/</t>
  </si>
  <si>
    <t>Bhagavad-Gita 9.2-3</t>
  </si>
  <si>
    <t>https://prabhupadavani.org/transcriptions/720308bgcal/</t>
  </si>
  <si>
    <t>Bhagavad-Gita 9.4-6</t>
  </si>
  <si>
    <t>https://prabhupadavani.org/transcriptions/720309bgcal/</t>
  </si>
  <si>
    <t>Room Conversation with Gaurachand Gosvami</t>
  </si>
  <si>
    <t>https://prabhupadavani.org/transcriptions/720311r1vrn/</t>
  </si>
  <si>
    <t>Mathura</t>
  </si>
  <si>
    <t>https://prabhupadavani.org/transcriptions/720311r1mat/</t>
  </si>
  <si>
    <t>Room Conversation with Dr. Kapoor</t>
  </si>
  <si>
    <t>https://prabhupadavani.org/transcriptions/720312r1vrn/</t>
  </si>
  <si>
    <t>https://prabhupadavani.org/transcriptions/720317lebom/</t>
  </si>
  <si>
    <t>Initiations and Lecture</t>
  </si>
  <si>
    <t>https://prabhupadavani.org/transcriptions/720317inbom/</t>
  </si>
  <si>
    <t>https://prabhupadavani.org/transcriptions/720318lebom/</t>
  </si>
  <si>
    <t>https://prabhupadavani.org/transcriptions/720319lebom/</t>
  </si>
  <si>
    <t>https://prabhupadavani.org/transcriptions/720320lebom/</t>
  </si>
  <si>
    <t>https://prabhupadavani.org/transcriptions/720321sbbom/</t>
  </si>
  <si>
    <t>Srimad-Bhagavatam 1.1.1-2</t>
  </si>
  <si>
    <t>https://prabhupadavani.org/transcriptions/720322sbbom/</t>
  </si>
  <si>
    <t>Srimad-Bhagavatam 1.3.43 [partially recorded]</t>
  </si>
  <si>
    <t>https://prabhupadavani.org/transcriptions/720324sbbom/</t>
  </si>
  <si>
    <t>Bhagavad-Gita 7.6</t>
  </si>
  <si>
    <t>https://prabhupadavani.org/transcriptions/720325bgbom/</t>
  </si>
  <si>
    <t>Srimad-Bhagavatam 1.2.5 [partially recorded]</t>
  </si>
  <si>
    <t>https://prabhupadavani.org/transcriptions/720325sbbom/</t>
  </si>
  <si>
    <t>https://prabhupadavani.org/transcriptions/720326sbbom/</t>
  </si>
  <si>
    <t>Bhagavad-Gita 7.9</t>
  </si>
  <si>
    <t>https://prabhupadavani.org/transcriptions/720326bgbom/</t>
  </si>
  <si>
    <t>https://prabhupadavani.org/transcriptions/720327lebom/</t>
  </si>
  <si>
    <t>Bhagavad-Gita 7.10</t>
  </si>
  <si>
    <t>https://prabhupadavani.org/transcriptions/720327bgbom/</t>
  </si>
  <si>
    <t>Bhagavad-Gita 7.1 in Hindi</t>
  </si>
  <si>
    <t>https://prabhupadavani.org/transcriptions/720328bgbom/</t>
  </si>
  <si>
    <t>https://prabhupadavani.org/transcriptions/720329bgbom/</t>
  </si>
  <si>
    <t>Pandal Lecture in Hindi</t>
  </si>
  <si>
    <t>https://prabhupadavani.org/transcriptions/720330lebom/</t>
  </si>
  <si>
    <t>Conversation with Author</t>
  </si>
  <si>
    <t>https://prabhupadavani.org/transcriptions/720401r1syd/</t>
  </si>
  <si>
    <t>https://prabhupadavani.org/transcriptions/720402r1syd/</t>
  </si>
  <si>
    <t>https://prabhupadavani.org/transcriptions/720402lesyd/</t>
  </si>
  <si>
    <t>Hari Hari Biphale</t>
  </si>
  <si>
    <t>https://prabhupadavani.org/transcriptions/720402musyd/</t>
  </si>
  <si>
    <t>https://prabhupadavani.org/transcriptions/720403sbsyd/</t>
  </si>
  <si>
    <t>Melbourne</t>
  </si>
  <si>
    <t>https://prabhupadavani.org/transcriptions/720405bgmel/</t>
  </si>
  <si>
    <t>Deity Installation, Wedding and Initiations</t>
  </si>
  <si>
    <t>https://prabhupadavani.org/transcriptions/720406inmel/</t>
  </si>
  <si>
    <t>Lecture at Tarrawarra Abbey</t>
  </si>
  <si>
    <t>https://prabhupadavani.org/transcriptions/720406lemel/</t>
  </si>
  <si>
    <t>Room Conversation with Maharishi Impersonalists</t>
  </si>
  <si>
    <t>https://prabhupadavani.org/transcriptions/720407r1mel/</t>
  </si>
  <si>
    <t>Initiations and Wedding</t>
  </si>
  <si>
    <t>https://prabhupadavani.org/transcriptions/720409insyd/</t>
  </si>
  <si>
    <t>Auckland</t>
  </si>
  <si>
    <t>Town Hall Lecture</t>
  </si>
  <si>
    <t>https://prabhupadavani.org/transcriptions/720414leauc/</t>
  </si>
  <si>
    <t>Bhagavad-Gita 7.1, Public Lecture</t>
  </si>
  <si>
    <t>https://prabhupadavani.org/transcriptions/720415bgauc/</t>
  </si>
  <si>
    <t>Deity Installation</t>
  </si>
  <si>
    <t>https://prabhupadavani.org/transcriptions/720415diauc/</t>
  </si>
  <si>
    <t>Lecture at Art Gallery</t>
  </si>
  <si>
    <t>https://prabhupadavani.org/transcriptions/720416leauc/</t>
  </si>
  <si>
    <t>Lecture at Auckland University</t>
  </si>
  <si>
    <t>https://prabhupadavani.org/transcriptions/720417leauc/</t>
  </si>
  <si>
    <t>https://prabhupadavani.org/transcriptions/720417r1auc/</t>
  </si>
  <si>
    <t>Hong Kong</t>
  </si>
  <si>
    <t>Arrival and Interview</t>
  </si>
  <si>
    <t>https://prabhupadavani.org/transcriptions/720419arhk/</t>
  </si>
  <si>
    <t>https://prabhupadavani.org/transcriptions/720420sbhk/</t>
  </si>
  <si>
    <t>https://prabhupadavani.org/transcriptions/720420r1hk/</t>
  </si>
  <si>
    <t>Tokyo</t>
  </si>
  <si>
    <t>Arrival Conversation</t>
  </si>
  <si>
    <t>https://prabhupadavani.org/transcriptions/720420r1tok/</t>
  </si>
  <si>
    <t>https://prabhupadavani.org/transcriptions/720420letok/</t>
  </si>
  <si>
    <t>Srimad-Bhagavatam 2.9.1-7</t>
  </si>
  <si>
    <t>https://prabhupadavani.org/transcriptions/720421sbtok/</t>
  </si>
  <si>
    <t>Conversation with Dai Nippon Representative</t>
  </si>
  <si>
    <t>https://prabhupadavani.org/transcriptions/720421r1tok/</t>
  </si>
  <si>
    <t>Srimad-Bhagavatam 2.9.2</t>
  </si>
  <si>
    <t>https://prabhupadavani.org/transcriptions/720422sbtok/</t>
  </si>
  <si>
    <t>https://prabhupadavani.org/transcriptions/720422r1tok/</t>
  </si>
  <si>
    <t>https://prabhupadavani.org/transcriptions/720422r2tok/</t>
  </si>
  <si>
    <t>Room Conversation with Dai Nippon Representative</t>
  </si>
  <si>
    <t>https://prabhupadavani.org/transcriptions/720422r3tok/</t>
  </si>
  <si>
    <t>Conversation in car</t>
  </si>
  <si>
    <t>https://prabhupadavani.org/transcriptions/720422crtok/</t>
  </si>
  <si>
    <t>Srimad-Bhagavatam 2.9.1</t>
  </si>
  <si>
    <t>https://prabhupadavani.org/transcriptions/720423sbtok/</t>
  </si>
  <si>
    <t>Srimad-Bhagavatam 2.9.1-4</t>
  </si>
  <si>
    <t>https://prabhupadavani.org/transcriptions/720424sbtok/</t>
  </si>
  <si>
    <t>Srimad-Bhagavatam 2.9.1-8</t>
  </si>
  <si>
    <t>https://prabhupadavani.org/transcriptions/720425sbtok/</t>
  </si>
  <si>
    <t>Srimad-Bhagavatam 2.9.7</t>
  </si>
  <si>
    <t>https://prabhupadavani.org/transcriptions/720426sbtok/</t>
  </si>
  <si>
    <t>Srimad-Bhagavatam 2.9.1-9</t>
  </si>
  <si>
    <t>https://prabhupadavani.org/transcriptions/720427sbtok/</t>
  </si>
  <si>
    <t>Srimad-Bhagavatam 2.9.10</t>
  </si>
  <si>
    <t>https://prabhupadavani.org/transcriptions/720428sbtok/</t>
  </si>
  <si>
    <t>Srimad-Bhagavatam 2.9.1-12</t>
  </si>
  <si>
    <t>https://prabhupadavani.org/transcriptions/720429sbtok/</t>
  </si>
  <si>
    <t>https://prabhupadavani.org/transcriptions/720429letok/</t>
  </si>
  <si>
    <t>Srimad-Bhagavatam 2.9.1-5</t>
  </si>
  <si>
    <t>https://prabhupadavani.org/transcriptions/720430sbtok/</t>
  </si>
  <si>
    <t>Srimad-Bhagavatam 11.23.57, Initiations and Sannyasa of Sudama</t>
  </si>
  <si>
    <t>https://prabhupadavani.org/transcriptions/720430intok/</t>
  </si>
  <si>
    <t>Srimad-Bhagavatam 2.9.2-3</t>
  </si>
  <si>
    <t>https://prabhupadavani.org/transcriptions/720501sbtok/</t>
  </si>
  <si>
    <t>https://prabhupadavani.org/transcriptions/720501letok/</t>
  </si>
  <si>
    <t>Srimad-Bhagavatam 2.9.6-14</t>
  </si>
  <si>
    <t>https://prabhupadavani.org/transcriptions/720502sbtok/</t>
  </si>
  <si>
    <t>Srimad-Bhagavatam 2.9.13</t>
  </si>
  <si>
    <t>https://prabhupadavani.org/transcriptions/720503sbtok/</t>
  </si>
  <si>
    <t>Srimad-Bhagavatam 2.9.15</t>
  </si>
  <si>
    <t>https://prabhupadavani.org/transcriptions/720504sbtok/</t>
  </si>
  <si>
    <t>Srimad-Bhagavatam 2.9.16</t>
  </si>
  <si>
    <t>https://prabhupadavani.org/transcriptions/720505sbtok/</t>
  </si>
  <si>
    <t>Kyoto</t>
  </si>
  <si>
    <t>Room Conversation, "Definition of Chance"</t>
  </si>
  <si>
    <t>https://prabhupadavani.org/transcriptions/720505r1kyo/</t>
  </si>
  <si>
    <t>Honolulu</t>
  </si>
  <si>
    <t>https://prabhupadavani.org/transcriptions/720506arhon/</t>
  </si>
  <si>
    <t>https://prabhupadavani.org/transcriptions/720510lehon/</t>
  </si>
  <si>
    <t>https://prabhupadavani.org/transcriptions/720518arla/</t>
  </si>
  <si>
    <t>https://prabhupadavani.org/transcriptions/720518lela/</t>
  </si>
  <si>
    <t>Srimad-Bhagavatam 2.3.1</t>
  </si>
  <si>
    <t>https://prabhupadavani.org/transcriptions/720519sbla/</t>
  </si>
  <si>
    <t>Srimad-Bhagavatam 2.3.1-2</t>
  </si>
  <si>
    <t>https://prabhupadavani.org/transcriptions/720520sbla/</t>
  </si>
  <si>
    <t>https://prabhupadavani.org/transcriptions/720521lela/</t>
  </si>
  <si>
    <t>Srimad-Bhagavatam 2.3.1-3</t>
  </si>
  <si>
    <t>https://prabhupadavani.org/transcriptions/720522sbla/</t>
  </si>
  <si>
    <t>https://prabhupadavani.org/transcriptions/720523inla/</t>
  </si>
  <si>
    <t>Srimad-Bhagavatam 2.3.2-7</t>
  </si>
  <si>
    <t>https://prabhupadavani.org/transcriptions/720524sbla/</t>
  </si>
  <si>
    <t>Srimad-Bhagavatam 2.3.8 and Initiations</t>
  </si>
  <si>
    <t>https://prabhupadavani.org/transcriptions/720525sbla/</t>
  </si>
  <si>
    <t>Conversation with the GBC</t>
  </si>
  <si>
    <t>https://prabhupadavani.org/transcriptions/720525r1la/</t>
  </si>
  <si>
    <t>Srimad-Bhagavatam 2.3.9</t>
  </si>
  <si>
    <t>https://prabhupadavani.org/transcriptions/720526sbla/</t>
  </si>
  <si>
    <t>https://prabhupadavani.org/transcriptions/720526r1la/</t>
  </si>
  <si>
    <t>Sannyasa Initiation Lecture</t>
  </si>
  <si>
    <t>https://prabhupadavani.org/transcriptions/720527inla/</t>
  </si>
  <si>
    <t>https://prabhupadavani.org/transcriptions/720527pula/</t>
  </si>
  <si>
    <t>Nrsimha-caturdasi, Srimad-Bhagavatam 7.5.22-32</t>
  </si>
  <si>
    <t>https://prabhupadavani.org/transcriptions/720527sbla/</t>
  </si>
  <si>
    <t>Srimad-Bhagavatam 2.3.10</t>
  </si>
  <si>
    <t>https://prabhupadavani.org/transcriptions/720528sbla/</t>
  </si>
  <si>
    <t>Srimad-Bhagavatam 2.3.11-12</t>
  </si>
  <si>
    <t>https://prabhupadavani.org/transcriptions/720529sbla/</t>
  </si>
  <si>
    <t>Srimad-Bhagavatam 2.3.13</t>
  </si>
  <si>
    <t>https://prabhupadavani.org/transcriptions/720530sbla/</t>
  </si>
  <si>
    <t>Srimad-Bhagavatam 2.3.14-15</t>
  </si>
  <si>
    <t>https://prabhupadavani.org/transcriptions/720531sbla/</t>
  </si>
  <si>
    <t>Srimad-Bhagavatam 2.3.15</t>
  </si>
  <si>
    <t>https://prabhupadavani.org/transcriptions/720601sbla/</t>
  </si>
  <si>
    <t>Mexico City</t>
  </si>
  <si>
    <t>Room Conversation with Martin, Marine Biologist</t>
  </si>
  <si>
    <t>https://prabhupadavani.org/transcriptions/720604r1mex/</t>
  </si>
  <si>
    <t>Room Conversation Excerpt</t>
  </si>
  <si>
    <t>https://prabhupadavani.org/transcriptions/720604r2mex/</t>
  </si>
  <si>
    <t>https://prabhupadavani.org/transcriptions/720604r3mex/</t>
  </si>
  <si>
    <t>https://prabhupadavani.org/transcriptions/720607lela/</t>
  </si>
  <si>
    <t>https://prabhupadavani.org/transcriptions/720608lela/</t>
  </si>
  <si>
    <t>Srimad-Bhagavatam 2.3.17</t>
  </si>
  <si>
    <t>https://prabhupadavani.org/transcriptions/720612sbla/</t>
  </si>
  <si>
    <t>Srimad-Bhagavatam 2.3.18-19</t>
  </si>
  <si>
    <t>https://prabhupadavani.org/transcriptions/720613sbla/</t>
  </si>
  <si>
    <t>Morning Walk</t>
  </si>
  <si>
    <t>https://prabhupadavani.org/transcriptions/720614mwla/</t>
  </si>
  <si>
    <t>Srimad-Bhagavatam 2.3.19</t>
  </si>
  <si>
    <t>https://prabhupadavani.org/transcriptions/720614sbla/</t>
  </si>
  <si>
    <t>Garden Conversation, Krsna, 'Songs by the Gopis.'</t>
  </si>
  <si>
    <t>https://prabhupadavani.org/transcriptions/720614gcla/</t>
  </si>
  <si>
    <t>Room Conversation with John Fahey</t>
  </si>
  <si>
    <t>https://prabhupadavani.org/transcriptions/720614r1la/</t>
  </si>
  <si>
    <t>https://prabhupadavani.org/transcriptions/720615sbla/</t>
  </si>
  <si>
    <t>Room Conversation about Science</t>
  </si>
  <si>
    <t>https://prabhupadavani.org/transcriptions/720615r1la/</t>
  </si>
  <si>
    <t>Srimad-Bhagavatam 2.3.20</t>
  </si>
  <si>
    <t>https://prabhupadavani.org/transcriptions/720616sbla/</t>
  </si>
  <si>
    <t>Srimad-Bhagavatam 2.3.20-21</t>
  </si>
  <si>
    <t>https://prabhupadavani.org/transcriptions/720617sbla/</t>
  </si>
  <si>
    <t>Srimad-Bhagavatam 2.3.21</t>
  </si>
  <si>
    <t>https://prabhupadavani.org/transcriptions/720618sbla/</t>
  </si>
  <si>
    <t>https://prabhupadavani.org/transcriptions/720618r1la/</t>
  </si>
  <si>
    <t>Garden Conversation, Krsna book, "Delivery of the Message of Krsna to the Gopis"</t>
  </si>
  <si>
    <t>https://prabhupadavani.org/transcriptions/720618gcla/</t>
  </si>
  <si>
    <t>Srimad-Bhagavatam 2.3.22</t>
  </si>
  <si>
    <t>https://prabhupadavani.org/transcriptions/720619sbla/</t>
  </si>
  <si>
    <t>Srimad-Bhagavatam 2.3.23</t>
  </si>
  <si>
    <t>https://prabhupadavani.org/transcriptions/720620sbla/</t>
  </si>
  <si>
    <t>https://prabhupadavani.org/transcriptions/720621inla/</t>
  </si>
  <si>
    <t>Srimad-Bhagavatam 2.3.24</t>
  </si>
  <si>
    <t>https://prabhupadavani.org/transcriptions/720622sbla/</t>
  </si>
  <si>
    <t>Letter Dictation by Syamasundara</t>
  </si>
  <si>
    <t>https://prabhupadavani.org/transcriptions/720622dtla/</t>
  </si>
  <si>
    <t>Srimad-Bhagavatam 2.3.25</t>
  </si>
  <si>
    <t>https://prabhupadavani.org/transcriptions/720623sbla/</t>
  </si>
  <si>
    <t>Srimad-Bhagavatam 2.4.1, SB 2.3.1---25 Recitation</t>
  </si>
  <si>
    <t>https://prabhupadavani.org/transcriptions/720624sbla/</t>
  </si>
  <si>
    <t>https://prabhupadavani.org/transcriptions/720624r1la/</t>
  </si>
  <si>
    <t>Garden Conversation</t>
  </si>
  <si>
    <t>https://prabhupadavani.org/transcriptions/720625gcla/</t>
  </si>
  <si>
    <t>Srimad-Bhagavatam 2.4.2</t>
  </si>
  <si>
    <t>https://prabhupadavani.org/transcriptions/720625sbla/</t>
  </si>
  <si>
    <t>https://prabhupadavani.org/transcriptions/720626sbla/</t>
  </si>
  <si>
    <t>https://prabhupadavani.org/transcriptions/720626gcla/</t>
  </si>
  <si>
    <t>Srimad-Bhagavatam 2.4.3-4</t>
  </si>
  <si>
    <t>https://prabhupadavani.org/transcriptions/720627sbla/</t>
  </si>
  <si>
    <t>Srimad-Bhagavatam 2.4.3-4 and Initiations</t>
  </si>
  <si>
    <t>https://prabhupadavani.org/transcriptions/720628sbla/</t>
  </si>
  <si>
    <t>San Diego</t>
  </si>
  <si>
    <t>Arrival Interview</t>
  </si>
  <si>
    <t>https://prabhupadavani.org/transcriptions/720629arsd/</t>
  </si>
  <si>
    <t>Lecture at San Diego University</t>
  </si>
  <si>
    <t>https://prabhupadavani.org/transcriptions/720629lesd/</t>
  </si>
  <si>
    <t>https://prabhupadavani.org/transcriptions/720629r1sd/</t>
  </si>
  <si>
    <t>https://prabhupadavani.org/transcriptions/720629bgsd/</t>
  </si>
  <si>
    <t>Lecture at Indians Home</t>
  </si>
  <si>
    <t>https://prabhupadavani.org/transcriptions/720630lesd/</t>
  </si>
  <si>
    <t>https://prabhupadavani.org/transcriptions/720630ivsd/</t>
  </si>
  <si>
    <t>Bhagavad-Gita 7.1 and Initiations</t>
  </si>
  <si>
    <t>https://prabhupadavani.org/transcriptions/720630insd/</t>
  </si>
  <si>
    <t>https://prabhupadavani.org/transcriptions/720701mwsd/</t>
  </si>
  <si>
    <t>Hare Krishna Festival Address</t>
  </si>
  <si>
    <t>https://prabhupadavani.org/transcriptions/720701adsd/</t>
  </si>
  <si>
    <t>https://prabhupadavani.org/transcriptions/720701r1sd/</t>
  </si>
  <si>
    <t>https://prabhupadavani.org/transcriptions/720702bgsd/</t>
  </si>
  <si>
    <t>Departure Address</t>
  </si>
  <si>
    <t>https://prabhupadavani.org/transcriptions/720703dpla/</t>
  </si>
  <si>
    <t>Room Conversation and Interview</t>
  </si>
  <si>
    <t>https://prabhupadavani.org/transcriptions/720703r1ny/</t>
  </si>
  <si>
    <t>https://prabhupadavani.org/transcriptions/720704r1ny/</t>
  </si>
  <si>
    <t>Room Conversation with Yadurani</t>
  </si>
  <si>
    <t>https://prabhupadavani.org/transcriptions/720704r2ny/</t>
  </si>
  <si>
    <t>https://prabhupadavani.org/transcriptions/720704r3ny/</t>
  </si>
  <si>
    <t>Room Conversation with Bob Cohen</t>
  </si>
  <si>
    <t>https://prabhupadavani.org/transcriptions/720704r4ny/</t>
  </si>
  <si>
    <t>https://prabhupadavani.org/transcriptions/720706sblon/</t>
  </si>
  <si>
    <t>https://prabhupadavani.org/transcriptions/720707sblon/</t>
  </si>
  <si>
    <t>Room Conversation with Sumati Morarjee</t>
  </si>
  <si>
    <t>https://prabhupadavani.org/transcriptions/720711r1lon/</t>
  </si>
  <si>
    <t>https://prabhupadavani.org/transcriptions/720712lelon/</t>
  </si>
  <si>
    <t>Srimad-Bhagavatam 1.1.4</t>
  </si>
  <si>
    <t>https://prabhupadavani.org/transcriptions/720714sblon/</t>
  </si>
  <si>
    <t>Srimad-Bhagavatam 1.1.5</t>
  </si>
  <si>
    <t>https://prabhupadavani.org/transcriptions/720715sblon/</t>
  </si>
  <si>
    <t>https://prabhupadavani.org/transcriptions/720716adlon/</t>
  </si>
  <si>
    <t>https://prabhupadavani.org/transcriptions/720716a2lon/</t>
  </si>
  <si>
    <t>https://prabhupadavani.org/transcriptions/720717r1lon/</t>
  </si>
  <si>
    <t>Srimad-Bhagavatam 1.1.10</t>
  </si>
  <si>
    <t>https://prabhupadavani.org/transcriptions/720720sblon/</t>
  </si>
  <si>
    <t>https://prabhupadavani.org/transcriptions/720720arpar/</t>
  </si>
  <si>
    <t>https://prabhupadavani.org/transcriptions/720720ivpar/</t>
  </si>
  <si>
    <t>https://prabhupadavani.org/transcriptions/720720i2par/</t>
  </si>
  <si>
    <t>https://prabhupadavani.org/transcriptions/720725r1par/</t>
  </si>
  <si>
    <t>Glasgow</t>
  </si>
  <si>
    <t>https://prabhupadavani.org/transcriptions/720731sbgla/</t>
  </si>
  <si>
    <t>https://prabhupadavani.org/transcriptions/720801bggla/</t>
  </si>
  <si>
    <t>https://prabhupadavani.org/transcriptions/720801r1lon/</t>
  </si>
  <si>
    <t>Srimad-Bhagavatam 1.1.23</t>
  </si>
  <si>
    <t>https://prabhupadavani.org/transcriptions/720802sblon/</t>
  </si>
  <si>
    <t>Room Conversation with Ian Polsen</t>
  </si>
  <si>
    <t>https://prabhupadavani.org/transcriptions/720802r1lon/</t>
  </si>
  <si>
    <t>Srimad-Bhagavatam 5.5.1, Engagement</t>
  </si>
  <si>
    <t>https://prabhupadavani.org/transcriptions/720803sblon/</t>
  </si>
  <si>
    <t>https://prabhupadavani.org/transcriptions/720807r1lon/</t>
  </si>
  <si>
    <t>https://prabhupadavani.org/transcriptions/720808r1lon/</t>
  </si>
  <si>
    <t>Srimad-Bhagavatam 1.2.11</t>
  </si>
  <si>
    <t>https://prabhupadavani.org/transcriptions/720809sblon/</t>
  </si>
  <si>
    <t>https://prabhupadavani.org/transcriptions/720809r1lon/</t>
  </si>
  <si>
    <t>Srimad-Bhagavatam 1.2.11-12</t>
  </si>
  <si>
    <t>https://prabhupadavani.org/transcriptions/720810sblon/</t>
  </si>
  <si>
    <t>Interview with Journalists</t>
  </si>
  <si>
    <t>https://prabhupadavani.org/transcriptions/720811ivlon/</t>
  </si>
  <si>
    <t>https://prabhupadavani.org/transcriptions/720812r1lon/</t>
  </si>
  <si>
    <t>Room Conversation with Sister Mary</t>
  </si>
  <si>
    <t>https://prabhupadavani.org/transcriptions/720813r1lon/</t>
  </si>
  <si>
    <t>https://prabhupadavani.org/transcriptions/720814bsla/</t>
  </si>
  <si>
    <t>Srimad-Bhagavatam 1.2.12</t>
  </si>
  <si>
    <t>https://prabhupadavani.org/transcriptions/720815sbla/</t>
  </si>
  <si>
    <t>Srimad-Bhagavatam 1.2.14</t>
  </si>
  <si>
    <t>https://prabhupadavani.org/transcriptions/720817sbla/</t>
  </si>
  <si>
    <t>Bhagavad-Gita 7.1 [Staged before Camera]</t>
  </si>
  <si>
    <t>https://prabhupadavani.org/transcriptions/720817bgla/</t>
  </si>
  <si>
    <t>Srimad-Bhagavatam 1.2.15</t>
  </si>
  <si>
    <t>https://prabhupadavani.org/transcriptions/720818sbla/</t>
  </si>
  <si>
    <t>Srimad-Bhagavatam 1.2.16</t>
  </si>
  <si>
    <t>https://prabhupadavani.org/transcriptions/720819sbla/</t>
  </si>
  <si>
    <t>https://prabhupadavani.org/transcriptions/720820sbla/</t>
  </si>
  <si>
    <t>Srimad-Bhagavatam 1.2.18</t>
  </si>
  <si>
    <t>https://prabhupadavani.org/transcriptions/720821sbla/</t>
  </si>
  <si>
    <t>Srimad-Bhagavatam 1.2.19</t>
  </si>
  <si>
    <t>https://prabhupadavani.org/transcriptions/720822sbla/</t>
  </si>
  <si>
    <t>Srimad-Bhagavatam 1.2.20</t>
  </si>
  <si>
    <t>https://prabhupadavani.org/transcriptions/720823sbla/</t>
  </si>
  <si>
    <t>Srimad-Bhagavatam 1.2.21 and Initiations</t>
  </si>
  <si>
    <t>https://prabhupadavani.org/transcriptions/720824sbla/</t>
  </si>
  <si>
    <t>Srimad-Bhagavatam 1.2.22</t>
  </si>
  <si>
    <t>https://prabhupadavani.org/transcriptions/720825sbla/</t>
  </si>
  <si>
    <t>Srimad-Bhagavatam 1.2.23</t>
  </si>
  <si>
    <t>https://prabhupadavani.org/transcriptions/720826sbla/</t>
  </si>
  <si>
    <t>Srimad-Bhagavatam 1.2.24</t>
  </si>
  <si>
    <t>https://prabhupadavani.org/transcriptions/720827sbla/</t>
  </si>
  <si>
    <t>Srimad-Bhagavatam 1.2.25</t>
  </si>
  <si>
    <t>https://prabhupadavani.org/transcriptions/720828sbla/</t>
  </si>
  <si>
    <t>Initiations, SB 1.1.1---SB 1.3.44 Recitation</t>
  </si>
  <si>
    <t>https://prabhupadavani.org/transcriptions/720829inla/</t>
  </si>
  <si>
    <t>Speech [Bhagavata-dharma Discourse]</t>
  </si>
  <si>
    <t>https://prabhupadavani.org/transcriptions/720831spnv/</t>
  </si>
  <si>
    <t>Sept. 1, 1972</t>
  </si>
  <si>
    <t>Janmastami, Krsna Book Reading</t>
  </si>
  <si>
    <t>https://prabhupadavani.org/transcriptions/720901renv/</t>
  </si>
  <si>
    <t>Srimad-Bhagavatam 1.2.1</t>
  </si>
  <si>
    <t>https://prabhupadavani.org/transcriptions/720901sbnv/</t>
  </si>
  <si>
    <t>https://prabhupadavani.org/transcriptions/720901innv/</t>
  </si>
  <si>
    <t>Sept. 2, 1972</t>
  </si>
  <si>
    <t>Sri Vyasa-puja Address</t>
  </si>
  <si>
    <t>https://prabhupadavani.org/transcriptions/720902vpnv/</t>
  </si>
  <si>
    <t>Sept. 3, 1972</t>
  </si>
  <si>
    <t>https://prabhupadavani.org/transcriptions/720903sbnv/</t>
  </si>
  <si>
    <t>Sept. 4, 1972</t>
  </si>
  <si>
    <t>https://prabhupadavani.org/transcriptions/720904sbnv/</t>
  </si>
  <si>
    <t>Sept. 5, 1972</t>
  </si>
  <si>
    <t>Srimad-Bhagavatam 1.2.7</t>
  </si>
  <si>
    <t>https://prabhupadavani.org/transcriptions/720905sbnv/</t>
  </si>
  <si>
    <t>Sept. 6, 1972</t>
  </si>
  <si>
    <t>Srimad-Bhagavatam 1.2.8</t>
  </si>
  <si>
    <t>https://prabhupadavani.org/transcriptions/720906sbnv/</t>
  </si>
  <si>
    <t>Sept. 7, 1972</t>
  </si>
  <si>
    <t>Srimad-Bhagavatam 1.2.9</t>
  </si>
  <si>
    <t>https://prabhupadavani.org/transcriptions/720907sbnv/</t>
  </si>
  <si>
    <t>Sept. 8, 1972</t>
  </si>
  <si>
    <t>Pittsburgh</t>
  </si>
  <si>
    <t>https://prabhupadavani.org/transcriptions/720908bgpit/</t>
  </si>
  <si>
    <t>Sept. 9, 1972</t>
  </si>
  <si>
    <t>https://prabhupadavani.org/transcriptions/720909lepit/</t>
  </si>
  <si>
    <t>https://prabhupadavani.org/transcriptions/720909ivpit/</t>
  </si>
  <si>
    <t>https://prabhupadavani.org/transcriptions/720909r1pit/</t>
  </si>
  <si>
    <t>Sept. 10, 1972</t>
  </si>
  <si>
    <t>Dallas</t>
  </si>
  <si>
    <t>https://prabhupadavani.org/transcriptions/720910ledal/</t>
  </si>
  <si>
    <t>Sept. 11, 1972</t>
  </si>
  <si>
    <t>https://prabhupadavani.org/transcriptions/720911sbla/</t>
  </si>
  <si>
    <t>Sept. 12, 1972</t>
  </si>
  <si>
    <t>Teaching Children, Conversation</t>
  </si>
  <si>
    <t>https://prabhupadavani.org/transcriptions/720912r1dal/</t>
  </si>
  <si>
    <t>https://prabhupadavani.org/transcriptions/720912sbdal/</t>
  </si>
  <si>
    <t>Sept. 13, 1972</t>
  </si>
  <si>
    <t>https://prabhupadavani.org/transcriptions/720913r2dal/</t>
  </si>
  <si>
    <t>Arlington</t>
  </si>
  <si>
    <t>Conversation with Bajaj and Bhusan</t>
  </si>
  <si>
    <t>https://prabhupadavani.org/transcriptions/720913r1arl/</t>
  </si>
  <si>
    <t>Sept. 14, 1972</t>
  </si>
  <si>
    <t>https://prabhupadavani.org/transcriptions/720914mwla/</t>
  </si>
  <si>
    <t>Srimad-Bhagavatam 1.3.7</t>
  </si>
  <si>
    <t>https://prabhupadavani.org/transcriptions/720914sbla/</t>
  </si>
  <si>
    <t>Srimad-Bhagavatam 1.3.8</t>
  </si>
  <si>
    <t>https://prabhupadavani.org/transcriptions/%C5%9Br%C4%ABmad-bh%C4%81gavatam-138/</t>
  </si>
  <si>
    <t>Sept. 15, 1972</t>
  </si>
  <si>
    <t>https://prabhupadavani.org/transcriptions/720915mwla/</t>
  </si>
  <si>
    <t>Sept. 16, 1972</t>
  </si>
  <si>
    <t>https://prabhupadavani.org/transcriptions/720916mwla/</t>
  </si>
  <si>
    <t>Srimad-Bhagavatam 1.3.10, Radhastami</t>
  </si>
  <si>
    <t>https://prabhupadavani.org/transcriptions/720916sbla/</t>
  </si>
  <si>
    <t>Sept. 17, 1972</t>
  </si>
  <si>
    <t>https://prabhupadavani.org/transcriptions/720917mwla/</t>
  </si>
  <si>
    <t>Srimad-Bhagavatam 1.3.11-12</t>
  </si>
  <si>
    <t>https://prabhupadavani.org/transcriptions/720917sbla/</t>
  </si>
  <si>
    <t>Sept. 18, 1972</t>
  </si>
  <si>
    <t>https://prabhupadavani.org/transcriptions/720918mwla/</t>
  </si>
  <si>
    <t>Srimad-Bhagavatam 1.3.13</t>
  </si>
  <si>
    <t>https://prabhupadavani.org/transcriptions/720918sbla/</t>
  </si>
  <si>
    <t>Sept. 19, 1972</t>
  </si>
  <si>
    <t>https://prabhupadavani.org/transcriptions/720919mwla/</t>
  </si>
  <si>
    <t>Srimad-Bhagavatam 1.3.14</t>
  </si>
  <si>
    <t>https://prabhupadavani.org/transcriptions/720919sbla/</t>
  </si>
  <si>
    <t>Sept. 20, 1972</t>
  </si>
  <si>
    <t>https://prabhupadavani.org/transcriptions/720920mwla/</t>
  </si>
  <si>
    <t>Srimad-Bhagavatam 1.3.15</t>
  </si>
  <si>
    <t>https://prabhupadavani.org/transcriptions/720920sbla/</t>
  </si>
  <si>
    <t>Sept. 21, 1972</t>
  </si>
  <si>
    <t>https://prabhupadavani.org/transcriptions/720921mwla/</t>
  </si>
  <si>
    <t>Srimad-Bhagavatam 1.3.16 and Initiations</t>
  </si>
  <si>
    <t>https://prabhupadavani.org/transcriptions/720921sbla/</t>
  </si>
  <si>
    <t>Sept. 22, 1972</t>
  </si>
  <si>
    <t>https://prabhupadavani.org/transcriptions/720922mwla/</t>
  </si>
  <si>
    <t>Srimad-Bhagavatam 1.3.17</t>
  </si>
  <si>
    <t>https://prabhupadavani.org/transcriptions/720922sbla/</t>
  </si>
  <si>
    <t>Manasa Deha Geha and Purport</t>
  </si>
  <si>
    <t>https://prabhupadavani.org/transcriptions/720922mula/</t>
  </si>
  <si>
    <t>Sept. 23, 1972</t>
  </si>
  <si>
    <t>https://prabhupadavani.org/transcriptions/720923mwla/</t>
  </si>
  <si>
    <t>Nitai Guna Mani Amara</t>
  </si>
  <si>
    <t>https://prabhupadavani.org/transcriptions/720923mula/</t>
  </si>
  <si>
    <t>Sept. 24, 1972</t>
  </si>
  <si>
    <t>https://prabhupadavani.org/transcriptions/720924mwla/</t>
  </si>
  <si>
    <t>Srimad-Bhagavatam 1.3.19</t>
  </si>
  <si>
    <t>https://prabhupadavani.org/transcriptions/720924sbla/</t>
  </si>
  <si>
    <t>Nitai Guna Mani Amara and Purport</t>
  </si>
  <si>
    <t>https://prabhupadavani.org/transcriptions/720924mula/</t>
  </si>
  <si>
    <t>Sept. 25, 1972</t>
  </si>
  <si>
    <t>https://prabhupadavani.org/transcriptions/720925mwla/</t>
  </si>
  <si>
    <t>Srimad-Bhagavatam 1.3.20</t>
  </si>
  <si>
    <t>https://prabhupadavani.org/transcriptions/720925sbla/</t>
  </si>
  <si>
    <t>Jaya Radhe Jaya Krsna</t>
  </si>
  <si>
    <t>https://prabhupadavani.org/transcriptions/720925mula/</t>
  </si>
  <si>
    <t>Sept. 26, 1972</t>
  </si>
  <si>
    <t>https://prabhupadavani.org/transcriptions/720926mwla/</t>
  </si>
  <si>
    <t>Srimad-Bhagavatam 1.3.21</t>
  </si>
  <si>
    <t>https://prabhupadavani.org/transcriptions/720926sbla/</t>
  </si>
  <si>
    <t>Anadi karama-phale and Purport</t>
  </si>
  <si>
    <t>https://prabhupadavani.org/transcriptions/720926mula/</t>
  </si>
  <si>
    <t>https://prabhupadavani.org/transcriptions/720926tala/</t>
  </si>
  <si>
    <t>Sept. 27, 1972</t>
  </si>
  <si>
    <t>https://prabhupadavani.org/transcriptions/720927mwla/</t>
  </si>
  <si>
    <t>Srimad-Bhagavatam 1.3.22</t>
  </si>
  <si>
    <t>https://prabhupadavani.org/transcriptions/720927sbla/</t>
  </si>
  <si>
    <t>Suddha-bhakata-carana-renu and Purport</t>
  </si>
  <si>
    <t>https://prabhupadavani.org/transcriptions/720927mula/</t>
  </si>
  <si>
    <t>Sept. 28, 1972</t>
  </si>
  <si>
    <t>https://prabhupadavani.org/transcriptions/720928mwla/</t>
  </si>
  <si>
    <t>Srimad-Bhagavatam 1.3.23</t>
  </si>
  <si>
    <t>https://prabhupadavani.org/transcriptions/720928sbla/</t>
  </si>
  <si>
    <t>Sept. 29, 1972</t>
  </si>
  <si>
    <t>https://prabhupadavani.org/transcriptions/720929mwla/</t>
  </si>
  <si>
    <t>https://prabhupadavani.org/transcriptions/720929tala/</t>
  </si>
  <si>
    <t>https://prabhupadavani.org/transcriptions/720929r1la/</t>
  </si>
  <si>
    <t>Srimad-Bhagavatam 1.3.24</t>
  </si>
  <si>
    <t>https://prabhupadavani.org/transcriptions/720929sbla/</t>
  </si>
  <si>
    <t>Sept. 30, 1972</t>
  </si>
  <si>
    <t>https://prabhupadavani.org/transcriptions/720930mwla/</t>
  </si>
  <si>
    <t>Srimad-Bhagavatam 1.3.25</t>
  </si>
  <si>
    <t>https://prabhupadavani.org/transcriptions/720930sbla/</t>
  </si>
  <si>
    <t>Laguna Beach</t>
  </si>
  <si>
    <t>https://prabhupadavani.org/transcriptions/720930lelb/</t>
  </si>
  <si>
    <t>https://prabhupadavani.org/transcriptions/721001mwla/</t>
  </si>
  <si>
    <t>Srimad-Bhagavatam 1.3.26</t>
  </si>
  <si>
    <t>https://prabhupadavani.org/transcriptions/721001sbla/</t>
  </si>
  <si>
    <t>https://prabhupadavani.org/transcriptions/721002mwla/</t>
  </si>
  <si>
    <t>Srimad-Bhagavatam 1.3.27</t>
  </si>
  <si>
    <t>https://prabhupadavani.org/transcriptions/721002sbla/</t>
  </si>
  <si>
    <t>Amar Jivan with Purport</t>
  </si>
  <si>
    <t>https://prabhupadavani.org/transcriptions/721002mula/</t>
  </si>
  <si>
    <t>https://prabhupadavani.org/transcriptions/721003mwla/</t>
  </si>
  <si>
    <t>Srimad-Bhagavatam 1.3.28</t>
  </si>
  <si>
    <t>https://prabhupadavani.org/transcriptions/721003sbla/</t>
  </si>
  <si>
    <t>Room Conversation with Psychiatrist</t>
  </si>
  <si>
    <t>https://prabhupadavani.org/transcriptions/721003r1la/</t>
  </si>
  <si>
    <t>Srimad-Bhagavatam 1.3.29</t>
  </si>
  <si>
    <t>https://prabhupadavani.org/transcriptions/721004sbla/</t>
  </si>
  <si>
    <t>Srimad-Bhagavatam 1.3.30</t>
  </si>
  <si>
    <t>https://prabhupadavani.org/transcriptions/721005sbla/</t>
  </si>
  <si>
    <t>Departure, Brahma-samhita 5.1</t>
  </si>
  <si>
    <t>https://prabhupadavani.org/transcriptions/721005dpla/</t>
  </si>
  <si>
    <t>Berkeley</t>
  </si>
  <si>
    <t>Arrival</t>
  </si>
  <si>
    <t>https://prabhupadavani.org/transcriptions/721005arber/</t>
  </si>
  <si>
    <t>Tour</t>
  </si>
  <si>
    <t>https://prabhupadavani.org/transcriptions/721006trber/</t>
  </si>
  <si>
    <t>Meeting at University</t>
  </si>
  <si>
    <t>https://prabhupadavani.org/transcriptions/721006meber/</t>
  </si>
  <si>
    <t>https://prabhupadavani.org/transcriptions/721006r1ber/</t>
  </si>
  <si>
    <t>https://prabhupadavani.org/transcriptions/721007mwber/</t>
  </si>
  <si>
    <t>https://prabhupadavani.org/transcriptions/721008mwber/</t>
  </si>
  <si>
    <t>https://prabhupadavani.org/transcriptions/721009arhon/</t>
  </si>
  <si>
    <t>Manila</t>
  </si>
  <si>
    <t>https://prabhupadavani.org/transcriptions/721012bgman/</t>
  </si>
  <si>
    <t>Room Conversation with Kenneth Keating</t>
  </si>
  <si>
    <t>https://prabhupadavani.org/transcriptions/721014r1del/</t>
  </si>
  <si>
    <t>https://prabhupadavani.org/transcriptions/721014ledel/</t>
  </si>
  <si>
    <t>https://prabhupadavani.org/transcriptions/721015mwvrn/</t>
  </si>
  <si>
    <t>Lecture [Intro by Dr. Kapoor]</t>
  </si>
  <si>
    <t>https://prabhupadavani.org/transcriptions/721015levrn/</t>
  </si>
  <si>
    <t>https://prabhupadavani.org/transcriptions/721016sbvrn/</t>
  </si>
  <si>
    <t>The Nectar of Devotion</t>
  </si>
  <si>
    <t>https://prabhupadavani.org/transcriptions/721016ndvrn/</t>
  </si>
  <si>
    <t>https://prabhupadavani.org/transcriptions/721017sbvrn/</t>
  </si>
  <si>
    <t>https://prabhupadavani.org/transcriptions/721017ndvrn/</t>
  </si>
  <si>
    <t>https://prabhupadavani.org/transcriptions/721018sbvrn/</t>
  </si>
  <si>
    <t>https://prabhupadavani.org/transcriptions/721018ndvrn/</t>
  </si>
  <si>
    <t>https://prabhupadavani.org/transcriptions/721019sbvrn/</t>
  </si>
  <si>
    <t>Krsnadasa Kaviraja Gosvami's Appearance Day</t>
  </si>
  <si>
    <t>https://prabhupadavani.org/transcriptions/721019akvrn/</t>
  </si>
  <si>
    <t>https://prabhupadavani.org/transcriptions/721020sbvrn/</t>
  </si>
  <si>
    <t>https://prabhupadavani.org/transcriptions/721020ndvrn/</t>
  </si>
  <si>
    <t>Srimad-Bhagavatam 1.2.10</t>
  </si>
  <si>
    <t>https://prabhupadavani.org/transcriptions/721021sbvrn/</t>
  </si>
  <si>
    <t>https://prabhupadavani.org/transcriptions/721021ndvrn/</t>
  </si>
  <si>
    <t>https://prabhupadavani.org/transcriptions/721022invrn/</t>
  </si>
  <si>
    <t>https://prabhupadavani.org/transcriptions/721022sbvrn/</t>
  </si>
  <si>
    <t>https://prabhupadavani.org/transcriptions/721023sbvrn/</t>
  </si>
  <si>
    <t>https://prabhupadavani.org/transcriptions/721023ndvrn/</t>
  </si>
  <si>
    <t>Srimad-Bhagavatam 1.2.13</t>
  </si>
  <si>
    <t>https://prabhupadavani.org/transcriptions/721024sbvrn/</t>
  </si>
  <si>
    <t>https://prabhupadavani.org/transcriptions/721024ndvrn/</t>
  </si>
  <si>
    <t>https://prabhupadavani.org/transcriptions/721024r1vrn/</t>
  </si>
  <si>
    <t>https://prabhupadavani.org/transcriptions/721025r1vrn/</t>
  </si>
  <si>
    <t>https://prabhupadavani.org/transcriptions/721025r2vrn/</t>
  </si>
  <si>
    <t>https://prabhupadavani.org/transcriptions/721025r3vrn/</t>
  </si>
  <si>
    <t>https://prabhupadavani.org/transcriptions/721026sbvrn/</t>
  </si>
  <si>
    <t>https://prabhupadavani.org/transcriptions/721026ndvrn/</t>
  </si>
  <si>
    <t>https://prabhupadavani.org/transcriptions/721027sbvrn/</t>
  </si>
  <si>
    <t>https://prabhupadavani.org/transcriptions/721027r1vrn/</t>
  </si>
  <si>
    <t>https://prabhupadavani.org/transcriptions/721027ndvrn/</t>
  </si>
  <si>
    <t>https://prabhupadavani.org/transcriptions/721028sbvrn/</t>
  </si>
  <si>
    <t>https://prabhupadavani.org/transcriptions/721028ndvrn/</t>
  </si>
  <si>
    <t>https://prabhupadavani.org/transcriptions/721029sbvrn/</t>
  </si>
  <si>
    <t>https://prabhupadavani.org/transcriptions/721029ndvrn/</t>
  </si>
  <si>
    <t>https://prabhupadavani.org/transcriptions/721030sbvrn/</t>
  </si>
  <si>
    <t>https://prabhupadavani.org/transcriptions/721030ndvrn/</t>
  </si>
  <si>
    <t>https://prabhupadavani.org/transcriptions/721031sbvrn/</t>
  </si>
  <si>
    <t>https://prabhupadavani.org/transcriptions/721031ndvrn/</t>
  </si>
  <si>
    <t>Srimad-Bhagavatam 1.2.21</t>
  </si>
  <si>
    <t>https://prabhupadavani.org/transcriptions/721101sbvrn/</t>
  </si>
  <si>
    <t>https://prabhupadavani.org/transcriptions/721101r1vrn/</t>
  </si>
  <si>
    <t>https://prabhupadavani.org/transcriptions/721101ndvrn/</t>
  </si>
  <si>
    <t>https://prabhupadavani.org/transcriptions/721102sbvrn/</t>
  </si>
  <si>
    <t>https://prabhupadavani.org/transcriptions/721102ndvrn/</t>
  </si>
  <si>
    <t>https://prabhupadavani.org/transcriptions/721103sbvrn/</t>
  </si>
  <si>
    <t>https://prabhupadavani.org/transcriptions/721103ndvrn/</t>
  </si>
  <si>
    <t>https://prabhupadavani.org/transcriptions/721104sbvrn/</t>
  </si>
  <si>
    <t>https://prabhupadavani.org/transcriptions/721104ndvrn/</t>
  </si>
  <si>
    <t>https://prabhupadavani.org/transcriptions/721105sbvrn/</t>
  </si>
  <si>
    <t>https://prabhupadavani.org/transcriptions/721105ndvrn/</t>
  </si>
  <si>
    <t>Srimad-Bhagavatam 1.2.26</t>
  </si>
  <si>
    <t>https://prabhupadavani.org/transcriptions/721106sbvrn/</t>
  </si>
  <si>
    <t>https://prabhupadavani.org/transcriptions/721106ndvrn/</t>
  </si>
  <si>
    <t>Srimad-Bhagavatam 1.2.27</t>
  </si>
  <si>
    <t>https://prabhupadavani.org/transcriptions/721107sbvrn/</t>
  </si>
  <si>
    <t>https://prabhupadavani.org/transcriptions/721107r1vrn/</t>
  </si>
  <si>
    <t>https://prabhupadavani.org/transcriptions/721107ndvrn/</t>
  </si>
  <si>
    <t>Srimad-Bhagavatam 1.2.28-29</t>
  </si>
  <si>
    <t>https://prabhupadavani.org/transcriptions/721108sbvrn/</t>
  </si>
  <si>
    <t>https://prabhupadavani.org/transcriptions/721108ndvrn/</t>
  </si>
  <si>
    <t>Srimad-Bhagavatam 1.2.30</t>
  </si>
  <si>
    <t>https://prabhupadavani.org/transcriptions/721109sbvrn/</t>
  </si>
  <si>
    <t>https://prabhupadavani.org/transcriptions/721109ndvrn/</t>
  </si>
  <si>
    <t>https://prabhupadavani.org/transcriptions/721110mwvrn/</t>
  </si>
  <si>
    <t>Srimad-Bhagavatam 1.2.31</t>
  </si>
  <si>
    <t>https://prabhupadavani.org/transcriptions/721110sbvrn/</t>
  </si>
  <si>
    <t>https://prabhupadavani.org/transcriptions/721110ndvrn/</t>
  </si>
  <si>
    <t>Srimad-Bhagavatam 1.2.32</t>
  </si>
  <si>
    <t>https://prabhupadavani.org/transcriptions/721111sbvrn/</t>
  </si>
  <si>
    <t>https://prabhupadavani.org/transcriptions/721111ndvrn/</t>
  </si>
  <si>
    <t>Srimad-Bhagavatam 1.2.33</t>
  </si>
  <si>
    <t>https://prabhupadavani.org/transcriptions/721112sbvrn/</t>
  </si>
  <si>
    <t>https://prabhupadavani.org/transcriptions/721112ndvrn/</t>
  </si>
  <si>
    <t>Srimad-Bhagavatam 1.2.34</t>
  </si>
  <si>
    <t>https://prabhupadavani.org/transcriptions/721113sbvrn/</t>
  </si>
  <si>
    <t>https://prabhupadavani.org/transcriptions/721113ndvrn/</t>
  </si>
  <si>
    <t>Srimad-Bhagavatam 1.3.1</t>
  </si>
  <si>
    <t>https://prabhupadavani.org/transcriptions/721114sbvrn/</t>
  </si>
  <si>
    <t>https://prabhupadavani.org/transcriptions/721114ndvrn/</t>
  </si>
  <si>
    <t>Hyderabad</t>
  </si>
  <si>
    <t>https://prabhupadavani.org/transcriptions/721117bghyd/</t>
  </si>
  <si>
    <t>https://prabhupadavani.org/transcriptions/721118bghyd/</t>
  </si>
  <si>
    <t>https://prabhupadavani.org/transcriptions/721119bghyd/</t>
  </si>
  <si>
    <t>Bhagavad-Gita 2.15</t>
  </si>
  <si>
    <t>https://prabhupadavani.org/transcriptions/721121bghyd/</t>
  </si>
  <si>
    <t>Bhagavad-Gita 2.17</t>
  </si>
  <si>
    <t>https://prabhupadavani.org/transcriptions/721122bghyd/</t>
  </si>
  <si>
    <t>Bhagavad-Gita 2.18</t>
  </si>
  <si>
    <t>https://prabhupadavani.org/transcriptions/721123bghyd/</t>
  </si>
  <si>
    <t>Bhagavad-Gita 2.20</t>
  </si>
  <si>
    <t>https://prabhupadavani.org/transcriptions/721125bghyd/</t>
  </si>
  <si>
    <t>https://prabhupadavani.org/transcriptions/721126sbhyd/</t>
  </si>
  <si>
    <t>Bhagavad-Gita 2.22</t>
  </si>
  <si>
    <t>https://prabhupadavani.org/transcriptions/721126bghyd/</t>
  </si>
  <si>
    <t>Bhagavad-Gita 2.23</t>
  </si>
  <si>
    <t>https://prabhupadavani.org/transcriptions/721127bghyd/</t>
  </si>
  <si>
    <t>Bhagavad-Gita 2.24</t>
  </si>
  <si>
    <t>https://prabhupadavani.org/transcriptions/721128bghyd/</t>
  </si>
  <si>
    <t>Rotary Club Lecture, Bhagavad-Gita 3.21</t>
  </si>
  <si>
    <t>https://prabhupadavani.org/transcriptions/721129lehyd/</t>
  </si>
  <si>
    <t>Bhagavad-Gita 2.25</t>
  </si>
  <si>
    <t>https://prabhupadavani.org/transcriptions/721129bghyd/</t>
  </si>
  <si>
    <t>https://prabhupadavani.org/transcriptions/721130bghyd/</t>
  </si>
  <si>
    <t>Ahmedabad</t>
  </si>
  <si>
    <t>Rotary Club Lecture, Bhagavad-Gita 2.24</t>
  </si>
  <si>
    <t>https://prabhupadavani.org/transcriptions/721205leahm/</t>
  </si>
  <si>
    <t>Bhagavad-Gita 2.1</t>
  </si>
  <si>
    <t>https://prabhupadavani.org/transcriptions/721206bgahm/</t>
  </si>
  <si>
    <t>https://prabhupadavani.org/transcriptions/721207bgahm/</t>
  </si>
  <si>
    <t>Rotary Club Address</t>
  </si>
  <si>
    <t>https://prabhupadavani.org/transcriptions/721208adahm/</t>
  </si>
  <si>
    <t>https://prabhupadavani.org/transcriptions/721208leahm/</t>
  </si>
  <si>
    <t>Bhagavad-Gita 18.67-69</t>
  </si>
  <si>
    <t>https://prabhupadavani.org/transcriptions/721209bgahm/</t>
  </si>
  <si>
    <t>Bhagavad-Gita 18.67</t>
  </si>
  <si>
    <t>https://prabhupadavani.org/transcriptions/721210bgahm/</t>
  </si>
  <si>
    <t>https://prabhupadavani.org/transcriptions/721210leahm/</t>
  </si>
  <si>
    <t>https://prabhupadavani.org/transcriptions/721210r1ahm/</t>
  </si>
  <si>
    <t>Bhagavad-Gita 2.2-6</t>
  </si>
  <si>
    <t>https://prabhupadavani.org/transcriptions/721211bgahm/</t>
  </si>
  <si>
    <t>Bhagavad-Gita 6.47</t>
  </si>
  <si>
    <t>https://prabhupadavani.org/transcriptions/721212bgahm/</t>
  </si>
  <si>
    <t>https://prabhupadavani.org/transcriptions/721213bgahm/</t>
  </si>
  <si>
    <t>https://prabhupadavani.org/transcriptions/721214bgahm/</t>
  </si>
  <si>
    <t>Bhagavad-Gita 7.4</t>
  </si>
  <si>
    <t>https://prabhupadavani.org/transcriptions/721219bgbom/</t>
  </si>
  <si>
    <t>Lecture, Manipurin Dancing Group, the Zaveri Sisters</t>
  </si>
  <si>
    <t>https://prabhupadavani.org/transcriptions/721220lebom/</t>
  </si>
  <si>
    <t>https://prabhupadavani.org/transcriptions/721226sbbom/</t>
  </si>
  <si>
    <t>https://prabhupadavani.org/transcriptions/721226ndbom/</t>
  </si>
  <si>
    <t>https://prabhupadavani.org/transcriptions/721227r1bom/</t>
  </si>
  <si>
    <t>https://prabhupadavani.org/transcriptions/721227ndbom/</t>
  </si>
  <si>
    <t>https://prabhupadavani.org/transcriptions/721228sbbom/</t>
  </si>
  <si>
    <t>https://prabhupadavani.org/transcriptions/721228ndbom/</t>
  </si>
  <si>
    <t>Bhagavad-Gita 13.1-2</t>
  </si>
  <si>
    <t>https://prabhupadavani.org/transcriptions/721229bgbom/</t>
  </si>
  <si>
    <t>Srimad-Bhagavatam in Hindi</t>
  </si>
  <si>
    <t>https://prabhupadavani.org/transcriptions/721229sbbom/</t>
  </si>
  <si>
    <t>https://prabhupadavani.org/transcriptions/721230r1bom/</t>
  </si>
  <si>
    <t>Bhagavad-Gita 13.3</t>
  </si>
  <si>
    <t>https://prabhupadavani.org/transcriptions/721230bgbom/</t>
  </si>
  <si>
    <t>Bhagavad-Gita 13.2-4</t>
  </si>
  <si>
    <t>https://prabhupadavani.org/transcriptions/721231bgbom/</t>
  </si>
  <si>
    <t>Bhagavad-Gita 7.13--Hindi</t>
  </si>
  <si>
    <t>https://prabhupadavani.org/transcriptions/730101bgbom/</t>
  </si>
  <si>
    <t>https://prabhupadavani.org/transcriptions/730101ndbom/</t>
  </si>
  <si>
    <t>https://prabhupadavani.org/transcriptions/730102ndbom/</t>
  </si>
  <si>
    <t>Sri Brahma-samhita</t>
  </si>
  <si>
    <t>https://prabhupadavani.org/transcriptions/730103bsbom/</t>
  </si>
  <si>
    <t>https://prabhupadavani.org/transcriptions/730104ndbom/</t>
  </si>
  <si>
    <t>https://prabhupadavani.org/transcriptions/730105ndbom/</t>
  </si>
  <si>
    <t>https://prabhupadavani.org/transcriptions/730106ndbom/</t>
  </si>
  <si>
    <t>https://prabhupadavani.org/transcriptions/730107ndbom/</t>
  </si>
  <si>
    <t>Srimad-Bhagavatam 1.2.6--Hindi</t>
  </si>
  <si>
    <t>https://prabhupadavani.org/transcriptions/730108sbbom/</t>
  </si>
  <si>
    <t>https://prabhupadavani.org/transcriptions/730108ndbom/</t>
  </si>
  <si>
    <t>https://prabhupadavani.org/transcriptions/730109ndbom/</t>
  </si>
  <si>
    <t>https://prabhupadavani.org/transcriptions/730110ndbom/</t>
  </si>
  <si>
    <t>https://prabhupadavani.org/transcriptions/730111ndbom/</t>
  </si>
  <si>
    <t>Srimad-Bhagavatam 5th Canto, Pandal Lecture</t>
  </si>
  <si>
    <t>https://prabhupadavani.org/transcriptions/730112sbbom/</t>
  </si>
  <si>
    <t>https://prabhupadavani.org/transcriptions/730113bgbom/</t>
  </si>
  <si>
    <t>Srimad-Bhagavatam Preface, Pandal Lecture</t>
  </si>
  <si>
    <t>https://prabhupadavani.org/transcriptions/730114sbbom/</t>
  </si>
  <si>
    <t>https://prabhupadavani.org/transcriptions/730125ndcal/</t>
  </si>
  <si>
    <t>https://prabhupadavani.org/transcriptions/730126incal/</t>
  </si>
  <si>
    <t>https://prabhupadavani.org/transcriptions/730127bgcal/</t>
  </si>
  <si>
    <t>https://prabhupadavani.org/transcriptions/730127ndcal/</t>
  </si>
  <si>
    <t>https://prabhupadavani.org/transcriptions/730128ndcal/</t>
  </si>
  <si>
    <t>Lecture at University</t>
  </si>
  <si>
    <t>https://prabhupadavani.org/transcriptions/730129lecal/</t>
  </si>
  <si>
    <t>https://prabhupadavani.org/transcriptions/730129ndcal/</t>
  </si>
  <si>
    <t>Lecture at Bharata Chamber of Commerce</t>
  </si>
  <si>
    <t>https://prabhupadavani.org/transcriptions/730130lecal/</t>
  </si>
  <si>
    <t>https://prabhupadavani.org/transcriptions/730130ndcal/</t>
  </si>
  <si>
    <t>Lecture at Indo-American Society</t>
  </si>
  <si>
    <t>https://prabhupadavani.org/transcriptions/730131lecal/</t>
  </si>
  <si>
    <t>https://prabhupadavani.org/transcriptions/730131ndcal/</t>
  </si>
  <si>
    <t>Bhagavad-Gita 3.36-37</t>
  </si>
  <si>
    <t>https://prabhupadavani.org/transcriptions/730211bgmel/</t>
  </si>
  <si>
    <t>Arrival talk</t>
  </si>
  <si>
    <t>https://prabhupadavani.org/transcriptions/730212arsyd/</t>
  </si>
  <si>
    <t>https://prabhupadavani.org/transcriptions/730214lesyd/</t>
  </si>
  <si>
    <t>Bhagavad-Gita 7.1, Engagement</t>
  </si>
  <si>
    <t>https://prabhupadavani.org/transcriptions/730216bgsyd/</t>
  </si>
  <si>
    <t>https://prabhupadavani.org/transcriptions/730217sbsyd/</t>
  </si>
  <si>
    <t>Srimad-Bhagavatam 1.1.9</t>
  </si>
  <si>
    <t>https://prabhupadavani.org/transcriptions/730220sbauc/</t>
  </si>
  <si>
    <t>https://prabhupadavani.org/transcriptions/730221bgauc/</t>
  </si>
  <si>
    <t>Srimad-Bhagavatam 6.1.13-15</t>
  </si>
  <si>
    <t>https://prabhupadavani.org/transcriptions/730221sbauc/</t>
  </si>
  <si>
    <t>Jakarta</t>
  </si>
  <si>
    <t>https://prabhupadavani.org/transcriptions/730225lejkt/</t>
  </si>
  <si>
    <t>Room Conversation, Bhagavad-Gita 9.34</t>
  </si>
  <si>
    <t>https://prabhupadavani.org/transcriptions/730225r1jkt/</t>
  </si>
  <si>
    <t>Room Conversation, Srimad-Bhagavatam 7.5.31-33</t>
  </si>
  <si>
    <t>https://prabhupadavani.org/transcriptions/730226r1jkt/</t>
  </si>
  <si>
    <t>Room Conversation--Hindi and English</t>
  </si>
  <si>
    <t>https://prabhupadavani.org/transcriptions/730226r2jkt/</t>
  </si>
  <si>
    <t>Bhagavad-Gita 2.12--Hindi</t>
  </si>
  <si>
    <t>https://prabhupadavani.org/transcriptions/730226bgjkt/</t>
  </si>
  <si>
    <t>https://prabhupadavani.org/transcriptions/730227sbjkt/</t>
  </si>
  <si>
    <t>Room Conversation with Indonesian Scholar</t>
  </si>
  <si>
    <t>https://prabhupadavani.org/transcriptions/730227r1jkt/</t>
  </si>
  <si>
    <t>https://prabhupadavani.org/transcriptions/730227r2jkt/</t>
  </si>
  <si>
    <t>https://prabhupadavani.org/transcriptions/730227r3jkt/</t>
  </si>
  <si>
    <t>https://prabhupadavani.org/transcriptions/730228mwjkt/</t>
  </si>
  <si>
    <t>https://prabhupadavani.org/transcriptions/730228lejkt/</t>
  </si>
  <si>
    <t>https://prabhupadavani.org/transcriptions/730228r1jkt/</t>
  </si>
  <si>
    <t>https://prabhupadavani.org/transcriptions/730228r2jkt/</t>
  </si>
  <si>
    <t>Room Conversation--Hindi</t>
  </si>
  <si>
    <t>https://prabhupadavani.org/transcriptions/730228r3jkt/</t>
  </si>
  <si>
    <t>Car Conversation</t>
  </si>
  <si>
    <t>https://prabhupadavani.org/transcriptions/730301crjkt/</t>
  </si>
  <si>
    <t>Conversation--Hindi</t>
  </si>
  <si>
    <t>https://prabhupadavani.org/transcriptions/730301r1jkt/</t>
  </si>
  <si>
    <t>https://prabhupadavani.org/transcriptions/730301lejkt/</t>
  </si>
  <si>
    <t>https://prabhupadavani.org/transcriptions/730302lejkt/</t>
  </si>
  <si>
    <t>https://prabhupadavani.org/transcriptions/730305bgcal/</t>
  </si>
  <si>
    <t>https://prabhupadavani.org/transcriptions/730306bgcal/</t>
  </si>
  <si>
    <t>Lecture--Bengali</t>
  </si>
  <si>
    <t>https://prabhupadavani.org/transcriptions/730312lecal/</t>
  </si>
  <si>
    <t>https://prabhupadavani.org/transcriptions/730313lecal/</t>
  </si>
  <si>
    <t>https://prabhupadavani.org/transcriptions/730316lemay/</t>
  </si>
  <si>
    <t>Mayapur Temple Inauguration with Sridhara Maharaja, plus Mahamsa Sanyass Initiation</t>
  </si>
  <si>
    <t>https://prabhupadavani.org/transcriptions/730317tomay/</t>
  </si>
  <si>
    <t>Mayapur Temple Inauguration Lecture--Bengali</t>
  </si>
  <si>
    <t>https://prabhupadavani.org/transcriptions/730317t2may/</t>
  </si>
  <si>
    <t>https://prabhupadavani.org/transcriptions/730318lecal/</t>
  </si>
  <si>
    <t>https://prabhupadavani.org/transcriptions/730405arny/</t>
  </si>
  <si>
    <t>Srimad-Bhagavatam 2.1.1-2</t>
  </si>
  <si>
    <t>https://prabhupadavani.org/transcriptions/730406sbny/</t>
  </si>
  <si>
    <t>Srimad-Bhagavatam 1.14.43</t>
  </si>
  <si>
    <t>https://prabhupadavani.org/transcriptions/730407sbny/</t>
  </si>
  <si>
    <t>Bhagavad-Gita 4.13</t>
  </si>
  <si>
    <t>https://prabhupadavani.org/transcriptions/730408bgny/</t>
  </si>
  <si>
    <t>Srimad-Bhagavatam 1.14.44</t>
  </si>
  <si>
    <t>https://prabhupadavani.org/transcriptions/730408sbny/</t>
  </si>
  <si>
    <t>Srimad-Bhagavatam 1.8.18</t>
  </si>
  <si>
    <t>https://prabhupadavani.org/transcriptions/730410sbny/</t>
  </si>
  <si>
    <t>https://prabhupadavani.org/transcriptions/730411bgny/</t>
  </si>
  <si>
    <t>Srimad-Bhagavatam 1.8.20</t>
  </si>
  <si>
    <t>https://prabhupadavani.org/transcriptions/730412sbny/</t>
  </si>
  <si>
    <t>Srimad-Bhagavatam 1.8.21</t>
  </si>
  <si>
    <t>https://prabhupadavani.org/transcriptions/730413sbny/</t>
  </si>
  <si>
    <t>https://prabhupadavani.org/transcriptions/730413arla/</t>
  </si>
  <si>
    <t>Srimad-Bhagavatam 1.8.22</t>
  </si>
  <si>
    <t>https://prabhupadavani.org/transcriptions/730414sbla/</t>
  </si>
  <si>
    <t>Srimad-Bhagavatam 1.8.23</t>
  </si>
  <si>
    <t>https://prabhupadavani.org/transcriptions/730415sbla/</t>
  </si>
  <si>
    <t>Srimad-Bhagavatam 1.8.24</t>
  </si>
  <si>
    <t>https://prabhupadavani.org/transcriptions/730416sbla/</t>
  </si>
  <si>
    <t>https://prabhupadavani.org/transcriptions/730416inla/</t>
  </si>
  <si>
    <t>Srimad-Bhagavatam 1.8.25</t>
  </si>
  <si>
    <t>https://prabhupadavani.org/transcriptions/730417sbla/</t>
  </si>
  <si>
    <t>Srimad-Bhagavatam 1.8.26</t>
  </si>
  <si>
    <t>https://prabhupadavani.org/transcriptions/730418sbla/</t>
  </si>
  <si>
    <t>Morning Walk at Cheviot Hills Park</t>
  </si>
  <si>
    <t>https://prabhupadavani.org/transcriptions/730419mwla/</t>
  </si>
  <si>
    <t>Srimad-Bhagavatam 1.8.27</t>
  </si>
  <si>
    <t>https://prabhupadavani.org/transcriptions/730419sbla/</t>
  </si>
  <si>
    <t>https://prabhupadavani.org/transcriptions/730420mwla/</t>
  </si>
  <si>
    <t>Srimad-Bhagavatam 1.8.28</t>
  </si>
  <si>
    <t>https://prabhupadavani.org/transcriptions/730420sbla/</t>
  </si>
  <si>
    <t>https://prabhupadavani.org/transcriptions/730421mwla/</t>
  </si>
  <si>
    <t>Srimad-Bhagavatam 1.8.29</t>
  </si>
  <si>
    <t>https://prabhupadavani.org/transcriptions/730421sbla/</t>
  </si>
  <si>
    <t>Srimad-Bhagavatam 1.8.30</t>
  </si>
  <si>
    <t>https://prabhupadavani.org/transcriptions/730422sbla/</t>
  </si>
  <si>
    <t>Srimad-Bhagavatam 1.8.31</t>
  </si>
  <si>
    <t>https://prabhupadavani.org/transcriptions/730423sbla/</t>
  </si>
  <si>
    <t>Srimad-Bhagavatam 1.8.32</t>
  </si>
  <si>
    <t>https://prabhupadavani.org/transcriptions/730424sbla/</t>
  </si>
  <si>
    <t>https://prabhupadavani.org/transcriptions/730425mwla/</t>
  </si>
  <si>
    <t>Srimad-Bhagavatam 1.8.33</t>
  </si>
  <si>
    <t>https://prabhupadavani.org/transcriptions/730425sbla/</t>
  </si>
  <si>
    <t>https://prabhupadavani.org/transcriptions/730426mwla/</t>
  </si>
  <si>
    <t>Srimad-Bhagavatam 1.8.34</t>
  </si>
  <si>
    <t>https://prabhupadavani.org/transcriptions/730426sbla/</t>
  </si>
  <si>
    <t>https://prabhupadavani.org/transcriptions/730427mwla/</t>
  </si>
  <si>
    <t>Srimad-Bhagavatam 1.8.35</t>
  </si>
  <si>
    <t>https://prabhupadavani.org/transcriptions/730427sbla/</t>
  </si>
  <si>
    <t>https://prabhupadavani.org/transcriptions/730428mwla/</t>
  </si>
  <si>
    <t>Srimad-Bhagavatam 1.8.36</t>
  </si>
  <si>
    <t>https://prabhupadavani.org/transcriptions/730428sbla/</t>
  </si>
  <si>
    <t>https://prabhupadavani.org/transcriptions/730429mwla/</t>
  </si>
  <si>
    <t>Srimad-Bhagavatam 1.8.37</t>
  </si>
  <si>
    <t>https://prabhupadavani.org/transcriptions/730429sbla/</t>
  </si>
  <si>
    <t>https://prabhupadavani.org/transcriptions/730430mwla/</t>
  </si>
  <si>
    <t>Srimad-Bhagavatam 1.8.38</t>
  </si>
  <si>
    <t>https://prabhupadavani.org/transcriptions/730430sbla/</t>
  </si>
  <si>
    <t>https://prabhupadavani.org/transcriptions/730501mwla/</t>
  </si>
  <si>
    <t>Srimad-Bhagavatam 1.8.39</t>
  </si>
  <si>
    <t>https://prabhupadavani.org/transcriptions/730501sbla/</t>
  </si>
  <si>
    <t>https://prabhupadavani.org/transcriptions/730501inla/</t>
  </si>
  <si>
    <t>https://prabhupadavani.org/transcriptions/730502mwla/</t>
  </si>
  <si>
    <t>Srimad-Bhagavatam 1.8.40</t>
  </si>
  <si>
    <t>https://prabhupadavani.org/transcriptions/730502sbla/</t>
  </si>
  <si>
    <t>https://prabhupadavani.org/transcriptions/730503mwla/</t>
  </si>
  <si>
    <t>Srimad-Bhagavatam 1.8.41</t>
  </si>
  <si>
    <t>https://prabhupadavani.org/transcriptions/730503sbla/</t>
  </si>
  <si>
    <t>https://prabhupadavani.org/transcriptions/730504mwla/</t>
  </si>
  <si>
    <t>Srimad-Bhagavatam 1.8.42</t>
  </si>
  <si>
    <t>https://prabhupadavani.org/transcriptions/730504sbla/</t>
  </si>
  <si>
    <t>https://prabhupadavani.org/transcriptions/730505mwla/</t>
  </si>
  <si>
    <t>Srimad-Bhagavatam 1.8.43</t>
  </si>
  <si>
    <t>https://prabhupadavani.org/transcriptions/730505sbla/</t>
  </si>
  <si>
    <t>Srimad-Bhagavatam 1.8.44</t>
  </si>
  <si>
    <t>https://prabhupadavani.org/transcriptions/730506sbla/</t>
  </si>
  <si>
    <t>Srimad-Bhagavatam 1.8.45</t>
  </si>
  <si>
    <t>https://prabhupadavani.org/transcriptions/730507sbla/</t>
  </si>
  <si>
    <t>Srimad-Bhagavatam 1.8.46</t>
  </si>
  <si>
    <t>https://prabhupadavani.org/transcriptions/730508sbla/</t>
  </si>
  <si>
    <t>https://prabhupadavani.org/transcriptions/730509mwla/</t>
  </si>
  <si>
    <t>Srimad-Bhagavatam 1.8.47</t>
  </si>
  <si>
    <t>https://prabhupadavani.org/transcriptions/730509sbla/</t>
  </si>
  <si>
    <t>Srimad-Bhagavatam 1.8.48</t>
  </si>
  <si>
    <t>https://prabhupadavani.org/transcriptions/730510sbla/</t>
  </si>
  <si>
    <t>https://prabhupadavani.org/transcriptions/730511mwla/</t>
  </si>
  <si>
    <t>Srimad-Bhagavatam 1.8.50</t>
  </si>
  <si>
    <t>https://prabhupadavani.org/transcriptions/730512sbla/</t>
  </si>
  <si>
    <t>Morning Walk at Cheviot Hills Golf Course</t>
  </si>
  <si>
    <t>https://prabhupadavani.org/transcriptions/730513mwla/</t>
  </si>
  <si>
    <t>Srimad-Bhagavatam 1.8.51</t>
  </si>
  <si>
    <t>https://prabhupadavani.org/transcriptions/730513sbla/</t>
  </si>
  <si>
    <t>https://prabhupadavani.org/transcriptions/730514mwla/</t>
  </si>
  <si>
    <t>Srimad-Bhagavatam 1.8.52</t>
  </si>
  <si>
    <t>https://prabhupadavani.org/transcriptions/730514sbla/</t>
  </si>
  <si>
    <t>https://prabhupadavani.org/transcriptions/730515mwla/</t>
  </si>
  <si>
    <t>Srimad-Bhagavatam 1.9.1</t>
  </si>
  <si>
    <t>https://prabhupadavani.org/transcriptions/730515sbla/</t>
  </si>
  <si>
    <t>Initiation Ceremony</t>
  </si>
  <si>
    <t>https://prabhupadavani.org/transcriptions/730515inla/</t>
  </si>
  <si>
    <t>Srimad-Bhagavatam 1.9.2</t>
  </si>
  <si>
    <t>https://prabhupadavani.org/transcriptions/730516sbla/</t>
  </si>
  <si>
    <t>Room Conversation with Krishna Tiwari</t>
  </si>
  <si>
    <t>https://prabhupadavani.org/transcriptions/730516r1la/</t>
  </si>
  <si>
    <t>Morning Walk At Cheviot Hills Golf Course</t>
  </si>
  <si>
    <t>https://prabhupadavani.org/transcriptions/730517mwla/</t>
  </si>
  <si>
    <t>Srimad-Bhagavatam 1.9.3</t>
  </si>
  <si>
    <t>https://prabhupadavani.org/transcriptions/730517sbla/</t>
  </si>
  <si>
    <t>https://prabhupadavani.org/transcriptions/730519addal/</t>
  </si>
  <si>
    <t>Srimad-Bhagavatam 3.1.10</t>
  </si>
  <si>
    <t>https://prabhupadavani.org/transcriptions/730521sbdal/</t>
  </si>
  <si>
    <t>Srimad-Bhagavatam 1.9.40</t>
  </si>
  <si>
    <t>https://prabhupadavani.org/transcriptions/730522sbny/</t>
  </si>
  <si>
    <t>Srimad-Bhagavatam 1.10.20</t>
  </si>
  <si>
    <t>https://prabhupadavani.org/transcriptions/730524sblon/</t>
  </si>
  <si>
    <t>Srimad-Bhagavatam 1.9.48</t>
  </si>
  <si>
    <t>https://prabhupadavani.org/transcriptions/730614sbmay/</t>
  </si>
  <si>
    <t>Srimad-Bhagavatam 1.9.49</t>
  </si>
  <si>
    <t>https://prabhupadavani.org/transcriptions/730615sbmay/</t>
  </si>
  <si>
    <t>Srimad-Bhagavatam 1.10.1</t>
  </si>
  <si>
    <t>https://prabhupadavani.org/transcriptions/730616sbmay/</t>
  </si>
  <si>
    <t>Srimad-Bhagavatam 1.10.2</t>
  </si>
  <si>
    <t>https://prabhupadavani.org/transcriptions/730617sbmay/</t>
  </si>
  <si>
    <t>Srimad-Bhagavatam 1.10.3</t>
  </si>
  <si>
    <t>https://prabhupadavani.org/transcriptions/730618sbmay/</t>
  </si>
  <si>
    <t>Srimad-Bhagavatam 1.10.4</t>
  </si>
  <si>
    <t>https://prabhupadavani.org/transcriptions/730619sbmay/</t>
  </si>
  <si>
    <t>Srimad-Bhagavatam 1.10.5</t>
  </si>
  <si>
    <t>https://prabhupadavani.org/transcriptions/730620sbmay/</t>
  </si>
  <si>
    <t>Srimad-Bhagavatam 1.10.6</t>
  </si>
  <si>
    <t>https://prabhupadavani.org/transcriptions/730621sbmay/</t>
  </si>
  <si>
    <t>Srimad-Bhagavatam 1.10.7</t>
  </si>
  <si>
    <t>https://prabhupadavani.org/transcriptions/730622sbmay/</t>
  </si>
  <si>
    <t>Srimad-Bhagavatam 1.10.11-12</t>
  </si>
  <si>
    <t>https://prabhupadavani.org/transcriptions/730625sbmay/</t>
  </si>
  <si>
    <t>Srimad-Bhagavatam 1.10.13</t>
  </si>
  <si>
    <t>https://prabhupadavani.org/transcriptions/730626sbmay/</t>
  </si>
  <si>
    <t>Srimad-Bhagavatam 1.10.14</t>
  </si>
  <si>
    <t>https://prabhupadavani.org/transcriptions/730627sbmay/</t>
  </si>
  <si>
    <t>NavadvApa</t>
  </si>
  <si>
    <t>Conversation with Sridhara Maharaja</t>
  </si>
  <si>
    <t>https://prabhupadavani.org/transcriptions/730627r1nav/</t>
  </si>
  <si>
    <t>Bhagavad-Gita 9.10</t>
  </si>
  <si>
    <t>https://prabhupadavani.org/transcriptions/730629bgcal/</t>
  </si>
  <si>
    <t>Bhagavad-Gita 9.11</t>
  </si>
  <si>
    <t>https://prabhupadavani.org/transcriptions/730630bgcal/</t>
  </si>
  <si>
    <t>Arrival Address at Bhaktivedanta Manor</t>
  </si>
  <si>
    <t>https://prabhupadavani.org/transcriptions/730707arlon/</t>
  </si>
  <si>
    <t>Bhagavad-Gita 1.1</t>
  </si>
  <si>
    <t>https://prabhupadavani.org/transcriptions/730707bglon/</t>
  </si>
  <si>
    <t>Bhagavad-Gita 1.2-3</t>
  </si>
  <si>
    <t>https://prabhupadavani.org/transcriptions/730709bglon/</t>
  </si>
  <si>
    <t>Room Conversation with David Wynne, Sculptor</t>
  </si>
  <si>
    <t>https://prabhupadavani.org/transcriptions/730709r1lon/</t>
  </si>
  <si>
    <t>https://prabhupadavani.org/transcriptions/730709r2lon/</t>
  </si>
  <si>
    <t>Bhagavad-Gita 1.4-5</t>
  </si>
  <si>
    <t>https://prabhupadavani.org/transcriptions/730710bglon/</t>
  </si>
  <si>
    <t>Conversation with Mr Wadell, Boy School Teacher</t>
  </si>
  <si>
    <t>https://prabhupadavani.org/transcriptions/730710r1lon/</t>
  </si>
  <si>
    <t>Bhagavad-Gita 1.6-7</t>
  </si>
  <si>
    <t>https://prabhupadavani.org/transcriptions/730711bglon/</t>
  </si>
  <si>
    <t>Room Conversation with Guest</t>
  </si>
  <si>
    <t>https://prabhupadavani.org/transcriptions/730711r1lon/</t>
  </si>
  <si>
    <t>Room Conversation with Indian Guest</t>
  </si>
  <si>
    <t>https://prabhupadavani.org/transcriptions/730711r2lon/</t>
  </si>
  <si>
    <t>Room Conversation with Father Tanner and Mrs. Wells</t>
  </si>
  <si>
    <t>https://prabhupadavani.org/transcriptions/730711r3lon/</t>
  </si>
  <si>
    <t>https://prabhupadavani.org/transcriptions/730711r4lon/</t>
  </si>
  <si>
    <t>Room Conversation with David Lawrence</t>
  </si>
  <si>
    <t>https://prabhupadavani.org/transcriptions/730712r1lon/</t>
  </si>
  <si>
    <t>Room Conversation with Two Buddhist Monks</t>
  </si>
  <si>
    <t>https://prabhupadavani.org/transcriptions/730712r2lon/</t>
  </si>
  <si>
    <t>Bhagavad-Gita 1.8-10</t>
  </si>
  <si>
    <t>https://prabhupadavani.org/transcriptions/730712bglon/</t>
  </si>
  <si>
    <t>Bhagavad-Gita 1.11-12</t>
  </si>
  <si>
    <t>https://prabhupadavani.org/transcriptions/730713bglon/</t>
  </si>
  <si>
    <t>Room Conversation with Educationists</t>
  </si>
  <si>
    <t>https://prabhupadavani.org/transcriptions/730713r1lon/</t>
  </si>
  <si>
    <t>Bhagavad-Gita 1.13-14</t>
  </si>
  <si>
    <t>https://prabhupadavani.org/transcriptions/730714bglon/</t>
  </si>
  <si>
    <t>Room Conversation with Indian Guests</t>
  </si>
  <si>
    <t>https://prabhupadavani.org/transcriptions/730714r1lon/</t>
  </si>
  <si>
    <t>Bhagavad-Gita 1.15</t>
  </si>
  <si>
    <t>https://prabhupadavani.org/transcriptions/730715bglon/</t>
  </si>
  <si>
    <t>Room Conversation With Three College Students</t>
  </si>
  <si>
    <t>https://prabhupadavani.org/transcriptions/730715r1lon/</t>
  </si>
  <si>
    <t>Bhagavad-Gita 1.16-19</t>
  </si>
  <si>
    <t>https://prabhupadavani.org/transcriptions/730716bglon/</t>
  </si>
  <si>
    <t>https://prabhupadavani.org/transcriptions/730716r1lon/</t>
  </si>
  <si>
    <t>Bhagavad-Gita 1.20</t>
  </si>
  <si>
    <t>https://prabhupadavani.org/transcriptions/730717bglon/</t>
  </si>
  <si>
    <t>Bhagavad-Gita 1.21-22</t>
  </si>
  <si>
    <t>https://prabhupadavani.org/transcriptions/730718bglon/</t>
  </si>
  <si>
    <t>Room Conversation with Malcolm</t>
  </si>
  <si>
    <t>https://prabhupadavani.org/transcriptions/730718r1lon/</t>
  </si>
  <si>
    <t>Bhagavad-Gita 1.23</t>
  </si>
  <si>
    <t>https://prabhupadavani.org/transcriptions/730719bglon/</t>
  </si>
  <si>
    <t>https://prabhupadavani.org/transcriptions/730719r1lon/</t>
  </si>
  <si>
    <t>https://prabhupadavani.org/transcriptions/730719r2lon/</t>
  </si>
  <si>
    <t>Bhagavad-Gita 1.24-25</t>
  </si>
  <si>
    <t>https://prabhupadavani.org/transcriptions/730720bglon/</t>
  </si>
  <si>
    <t>Bhagavad-Gita 1.26-27</t>
  </si>
  <si>
    <t>https://prabhupadavani.org/transcriptions/730721bglon/</t>
  </si>
  <si>
    <t>Room Conversation with Sir Alistair Hardy</t>
  </si>
  <si>
    <t>https://prabhupadavani.org/transcriptions/730721r1lon/</t>
  </si>
  <si>
    <t>Bhagavad-Gita 1.28-29</t>
  </si>
  <si>
    <t>https://prabhupadavani.org/transcriptions/730722bglon/</t>
  </si>
  <si>
    <t>Conversation with George Harrison</t>
  </si>
  <si>
    <t>https://prabhupadavani.org/transcriptions/730722r2lon/</t>
  </si>
  <si>
    <t>Room Conversation with Dr. Arnold Toynbee</t>
  </si>
  <si>
    <t>https://prabhupadavani.org/transcriptions/730722r1lon/</t>
  </si>
  <si>
    <t>https://prabhupadavani.org/transcriptions/730723sblon/</t>
  </si>
  <si>
    <t>Presentation Excerpt</t>
  </si>
  <si>
    <t>https://prabhupadavani.org/transcriptions/730723aplon/</t>
  </si>
  <si>
    <t>Room Conversation with Lord Fenner Brockway</t>
  </si>
  <si>
    <t>https://prabhupadavani.org/transcriptions/730723r1lon/</t>
  </si>
  <si>
    <t>Bhagavad-Gita 1.30</t>
  </si>
  <si>
    <t>https://prabhupadavani.org/transcriptions/730723bglon/</t>
  </si>
  <si>
    <t>Room Conversation with Mr. &amp; Mrs James Williams</t>
  </si>
  <si>
    <t>https://prabhupadavani.org/transcriptions/730723r2lon/</t>
  </si>
  <si>
    <t>Bhagavad-Gita 1.31</t>
  </si>
  <si>
    <t>https://prabhupadavani.org/transcriptions/730724bglon/</t>
  </si>
  <si>
    <t>Bhagavad-Gita 1.32-35</t>
  </si>
  <si>
    <t>https://prabhupadavani.org/transcriptions/730725bglon/</t>
  </si>
  <si>
    <t>Bhagavad-Gita 1.36</t>
  </si>
  <si>
    <t>https://prabhupadavani.org/transcriptions/730726bglon/</t>
  </si>
  <si>
    <t>Room Conversation with Graham Hill</t>
  </si>
  <si>
    <t>https://prabhupadavani.org/transcriptions/730726r1lon/</t>
  </si>
  <si>
    <t>Bhagavad-Gita 1.37-39</t>
  </si>
  <si>
    <t>https://prabhupadavani.org/transcriptions/730727bglon/</t>
  </si>
  <si>
    <t>Conversation with Sir Alistair Hardy</t>
  </si>
  <si>
    <t>https://prabhupadavani.org/transcriptions/730727r1lon/</t>
  </si>
  <si>
    <t>Bhagavad-Gita 1.40</t>
  </si>
  <si>
    <t>https://prabhupadavani.org/transcriptions/730728bglon/</t>
  </si>
  <si>
    <t>Bhagavad-Gita 1.41-42</t>
  </si>
  <si>
    <t>https://prabhupadavani.org/transcriptions/730729bglon/</t>
  </si>
  <si>
    <t>Bhagavad-Gita 1.43</t>
  </si>
  <si>
    <t>https://prabhupadavani.org/transcriptions/730730bglon/</t>
  </si>
  <si>
    <t>Room Conversation with Satish Kumar, Editor of Resurgence Magazine</t>
  </si>
  <si>
    <t>https://prabhupadavani.org/transcriptions/730730r1lon/</t>
  </si>
  <si>
    <t>Bhagavad-Gita 1.44</t>
  </si>
  <si>
    <t>https://prabhupadavani.org/transcriptions/730731bglon/</t>
  </si>
  <si>
    <t>Bhagavad-Gita 1.45-46</t>
  </si>
  <si>
    <t>https://prabhupadavani.org/transcriptions/730801bglon/</t>
  </si>
  <si>
    <t>Bhagavad-Gita 2.2</t>
  </si>
  <si>
    <t>https://prabhupadavani.org/transcriptions/730803bglon/</t>
  </si>
  <si>
    <t>Garden Conversation with Mahadeva's Mother, Mrs. Critchley and Jesuit Priest</t>
  </si>
  <si>
    <t>https://prabhupadavani.org/transcriptions/730803gclon/</t>
  </si>
  <si>
    <t>Bhagavad-Gita 2.3</t>
  </si>
  <si>
    <t>https://prabhupadavani.org/transcriptions/730804bglon/</t>
  </si>
  <si>
    <t>Room Conversation with John Papworth and Schumacher</t>
  </si>
  <si>
    <t>https://prabhupadavani.org/transcriptions/730804r1lon/</t>
  </si>
  <si>
    <t>Bhagavad-Gita 2.4-5</t>
  </si>
  <si>
    <t>https://prabhupadavani.org/transcriptions/730805bglon/</t>
  </si>
  <si>
    <t>Room Conversation with George Harrison &amp; the Shankars</t>
  </si>
  <si>
    <t>https://prabhupadavani.org/transcriptions/730805r1lon/</t>
  </si>
  <si>
    <t>Room Conversation with Professor Lewcock and other guest</t>
  </si>
  <si>
    <t>https://prabhupadavani.org/transcriptions/730805r2lon/</t>
  </si>
  <si>
    <t>Bhagavad-Gita 2.6</t>
  </si>
  <si>
    <t>https://prabhupadavani.org/transcriptions/730806bglon/</t>
  </si>
  <si>
    <t>Interview with Reporters</t>
  </si>
  <si>
    <t>https://prabhupadavani.org/transcriptions/730806ivlon/</t>
  </si>
  <si>
    <t>Bhagavad-Gita 2.7</t>
  </si>
  <si>
    <t>https://prabhupadavani.org/transcriptions/730807bglon/</t>
  </si>
  <si>
    <t>Room Conversation with Reporter</t>
  </si>
  <si>
    <t>https://prabhupadavani.org/transcriptions/730807r1lon/</t>
  </si>
  <si>
    <t>Bhagavad-Gita 2.8</t>
  </si>
  <si>
    <t>https://prabhupadavani.org/transcriptions/730808bglon/</t>
  </si>
  <si>
    <t>https://prabhupadavani.org/transcriptions/730808arpar/</t>
  </si>
  <si>
    <t>Lecture at Hotel de Ville</t>
  </si>
  <si>
    <t>https://prabhupadavani.org/transcriptions/730809lepar/</t>
  </si>
  <si>
    <t>Room Conversation with German and Hamsaduta</t>
  </si>
  <si>
    <t>https://prabhupadavani.org/transcriptions/730809r1par/</t>
  </si>
  <si>
    <t>Room Conversation with Cardinal Danielou</t>
  </si>
  <si>
    <t>https://prabhupadavani.org/transcriptions/730809r2par/</t>
  </si>
  <si>
    <t>Car Conversation after meeting with Cardinal Danielou</t>
  </si>
  <si>
    <t>https://prabhupadavani.org/transcriptions/730809crpar/</t>
  </si>
  <si>
    <t>https://prabhupadavani.org/transcriptions/730810bgpar/</t>
  </si>
  <si>
    <t>Room Conversation with Anna Conan Doyle</t>
  </si>
  <si>
    <t>https://prabhupadavani.org/transcriptions/730810r1par/</t>
  </si>
  <si>
    <t>Room Conversation with French Journalist</t>
  </si>
  <si>
    <t>https://prabhupadavani.org/transcriptions/730810r2par/</t>
  </si>
  <si>
    <t>Room Conversation with Dr. Inger, UNESCO Worker</t>
  </si>
  <si>
    <t>https://prabhupadavani.org/transcriptions/730810r3par/</t>
  </si>
  <si>
    <t>https://prabhupadavani.org/transcriptions/730811bgpar/</t>
  </si>
  <si>
    <t>https://prabhupadavani.org/transcriptions/730811r1par/</t>
  </si>
  <si>
    <t>https://prabhupadavani.org/transcriptions/730812sbpar/</t>
  </si>
  <si>
    <t>Room Conversation with Yadurabara About Early Life</t>
  </si>
  <si>
    <t>https://prabhupadavani.org/transcriptions/730812r1par/</t>
  </si>
  <si>
    <t>Bhagavad-Gita 13.4</t>
  </si>
  <si>
    <t>https://prabhupadavani.org/transcriptions/730812bgpar/</t>
  </si>
  <si>
    <t>Bhagavad-Gita 13.5</t>
  </si>
  <si>
    <t>https://prabhupadavani.org/transcriptions/730813bgpar/</t>
  </si>
  <si>
    <t>Room Conversation with Sanskrit Professor</t>
  </si>
  <si>
    <t>https://prabhupadavani.org/transcriptions/730813r1par/</t>
  </si>
  <si>
    <t>Room Conversation with Rosicrucians</t>
  </si>
  <si>
    <t>https://prabhupadavani.org/transcriptions/730813r2par/</t>
  </si>
  <si>
    <t>Discussion about Guru Maharaj-ji</t>
  </si>
  <si>
    <t>https://prabhupadavani.org/transcriptions/730813r3par/</t>
  </si>
  <si>
    <t>Room Conversation with French Nun</t>
  </si>
  <si>
    <t>https://prabhupadavani.org/transcriptions/730813r4par/</t>
  </si>
  <si>
    <t>Bhagavad-Gita 2.9</t>
  </si>
  <si>
    <t>https://prabhupadavani.org/transcriptions/730815bglon/</t>
  </si>
  <si>
    <t>Bhagavad-Gita 2.10</t>
  </si>
  <si>
    <t>https://prabhupadavani.org/transcriptions/730816bglon/</t>
  </si>
  <si>
    <t>Bhagavad-Gita 2.11-12</t>
  </si>
  <si>
    <t>https://prabhupadavani.org/transcriptions/730817b2lon/</t>
  </si>
  <si>
    <t>https://prabhupadavani.org/transcriptions/730817bglon/</t>
  </si>
  <si>
    <t>https://prabhupadavani.org/transcriptions/730818bglon/</t>
  </si>
  <si>
    <t>https://prabhupadavani.org/transcriptions/730819bglon/</t>
  </si>
  <si>
    <t>Bhagavad-Gita 2.14</t>
  </si>
  <si>
    <t>https://prabhupadavani.org/transcriptions/730820bglon/</t>
  </si>
  <si>
    <t>https://prabhupadavani.org/transcriptions/730821bglon/</t>
  </si>
  <si>
    <t>Sri Sri Radha Gokulananda Deity Installation, Brahma-samhita 5.43</t>
  </si>
  <si>
    <t>https://prabhupadavani.org/transcriptions/730821dilon/</t>
  </si>
  <si>
    <t>https://prabhupadavani.org/transcriptions/730821jmlon/</t>
  </si>
  <si>
    <t>Bhagavad-Gita 2.16</t>
  </si>
  <si>
    <t>https://prabhupadavani.org/transcriptions/730822bglon/</t>
  </si>
  <si>
    <t>Lecture, "What is a Guru?"</t>
  </si>
  <si>
    <t>https://prabhupadavani.org/transcriptions/730822lelon/</t>
  </si>
  <si>
    <t>Sri Vyasa-puja Lecture</t>
  </si>
  <si>
    <t>https://prabhupadavani.org/transcriptions/730822vplon/</t>
  </si>
  <si>
    <t>https://prabhupadavani.org/transcriptions/730823bglon/</t>
  </si>
  <si>
    <t>Lecture, "What is Religion?"</t>
  </si>
  <si>
    <t>https://prabhupadavani.org/transcriptions/730823lelon/</t>
  </si>
  <si>
    <t>https://prabhupadavani.org/transcriptions/730824bglon/</t>
  </si>
  <si>
    <t>Bhagavad-Gita 2.19-20</t>
  </si>
  <si>
    <t>https://prabhupadavani.org/transcriptions/730825bglon/</t>
  </si>
  <si>
    <t>Bhagavad-Gita 2.21-22</t>
  </si>
  <si>
    <t>https://prabhupadavani.org/transcriptions/730826bglon/</t>
  </si>
  <si>
    <t>https://prabhupadavani.org/transcriptions/730826r2lon/</t>
  </si>
  <si>
    <t>https://prabhupadavani.org/transcriptions/730826lelon/</t>
  </si>
  <si>
    <t>https://prabhupadavani.org/transcriptions/730827sblon/</t>
  </si>
  <si>
    <t>Bhagavad-Gita 2.23-24</t>
  </si>
  <si>
    <t>https://prabhupadavani.org/transcriptions/730827bglon/</t>
  </si>
  <si>
    <t>https://prabhupadavani.org/transcriptions/730828sblon/</t>
  </si>
  <si>
    <t>https://prabhupadavani.org/transcriptions/730828bglon/</t>
  </si>
  <si>
    <t>Bhagavad-Gita 2.26-27</t>
  </si>
  <si>
    <t>https://prabhupadavani.org/transcriptions/730829bglon/</t>
  </si>
  <si>
    <t>https://prabhupadavani.org/transcriptions/730830mwlon/</t>
  </si>
  <si>
    <t>Bhagavad-Gita 2.28</t>
  </si>
  <si>
    <t>https://prabhupadavani.org/transcriptions/730830bglon/</t>
  </si>
  <si>
    <t>Room Conversation with Police Officer</t>
  </si>
  <si>
    <t>https://prabhupadavani.org/transcriptions/730830r1lon/</t>
  </si>
  <si>
    <t>Bhagavad-Gita 2.30</t>
  </si>
  <si>
    <t>https://prabhupadavani.org/transcriptions/730831bglon/</t>
  </si>
  <si>
    <t>Room Conversation with British Man</t>
  </si>
  <si>
    <t>https://prabhupadavani.org/transcriptions/730831r1lon/</t>
  </si>
  <si>
    <t>Sept. 1, 1973</t>
  </si>
  <si>
    <t>Bhagavad-Gita 2.31</t>
  </si>
  <si>
    <t>https://prabhupadavani.org/transcriptions/730901bglon/</t>
  </si>
  <si>
    <t>Room Conversation with Peter</t>
  </si>
  <si>
    <t>https://prabhupadavani.org/transcriptions/730901r1lon/</t>
  </si>
  <si>
    <t>https://prabhupadavani.org/transcriptions/730901r2lon/</t>
  </si>
  <si>
    <t>Sept. 2, 1973</t>
  </si>
  <si>
    <t>Bhagavad-Gita 2.32</t>
  </si>
  <si>
    <t>https://prabhupadavani.org/transcriptions/730902bglon/</t>
  </si>
  <si>
    <t>https://prabhupadavani.org/transcriptions/730902r1lon/</t>
  </si>
  <si>
    <t>Sept. 3, 1973</t>
  </si>
  <si>
    <t>Bhagavad-Gita 2.33-35</t>
  </si>
  <si>
    <t>https://prabhupadavani.org/transcriptions/730903bglon/</t>
  </si>
  <si>
    <t>Sept. 4, 1973</t>
  </si>
  <si>
    <t>Bhagavad-Gita 2.36-37</t>
  </si>
  <si>
    <t>https://prabhupadavani.org/transcriptions/730904bglon/</t>
  </si>
  <si>
    <t>Sept. 5, 1973</t>
  </si>
  <si>
    <t>ArAmatA RAdhArAa1A's Appearance Day, Bhagavad-Gita 18.5</t>
  </si>
  <si>
    <t>https://prabhupadavani.org/transcriptions/730905bglon/</t>
  </si>
  <si>
    <t>Stockholm</t>
  </si>
  <si>
    <t>Arrival Speech</t>
  </si>
  <si>
    <t>https://prabhupadavani.org/transcriptions/730905arsto/</t>
  </si>
  <si>
    <t>Room Conversation with Indian Ambassador</t>
  </si>
  <si>
    <t>https://prabhupadavani.org/transcriptions/730905r1sto/</t>
  </si>
  <si>
    <t>Room Conversation with Sanskrit Professor Dr. Suneson, Chanting of Adi-lila 7.2-59</t>
  </si>
  <si>
    <t>https://prabhupadavani.org/transcriptions/730905r2sto/</t>
  </si>
  <si>
    <t>Sept. 6, 1973</t>
  </si>
  <si>
    <t>Srimad-Bhagavatam 7.6.1-2</t>
  </si>
  <si>
    <t>https://prabhupadavani.org/transcriptions/730906s2sto/</t>
  </si>
  <si>
    <t>Srimad-Bhagavatam 5.5.1-8</t>
  </si>
  <si>
    <t>https://prabhupadavani.org/transcriptions/730906sbsto/</t>
  </si>
  <si>
    <t>Sept. 7, 1973</t>
  </si>
  <si>
    <t>https://prabhupadavani.org/transcriptions/730907sbsto/</t>
  </si>
  <si>
    <t>Lecture at Uppsala University Faculty, Bhagavad-Gita 13.1</t>
  </si>
  <si>
    <t>https://prabhupadavani.org/transcriptions/730907lesto/</t>
  </si>
  <si>
    <t>Bhagavad-Gita 18.41</t>
  </si>
  <si>
    <t>https://prabhupadavani.org/transcriptions/730907bgsto/</t>
  </si>
  <si>
    <t>Sept. 8, 1973</t>
  </si>
  <si>
    <t>https://prabhupadavani.org/transcriptions/730908sbsto/</t>
  </si>
  <si>
    <t>Uppsala University, Stockholm</t>
  </si>
  <si>
    <t>https://prabhupadavani.org/transcriptions/730908bgsto/</t>
  </si>
  <si>
    <t>Sept. 9, 1973</t>
  </si>
  <si>
    <t>Srimad-Bhagavatam 5.5.3</t>
  </si>
  <si>
    <t>https://prabhupadavani.org/transcriptions/730909sbsto/</t>
  </si>
  <si>
    <t>Sri Brahma-samhita 5.33, at Uppsala University, excerpt</t>
  </si>
  <si>
    <t>https://prabhupadavani.org/transcriptions/730909bssto/</t>
  </si>
  <si>
    <t>Lecture on Gurvastakam at Uppsala University</t>
  </si>
  <si>
    <t>https://prabhupadavani.org/transcriptions/730909lesto/</t>
  </si>
  <si>
    <t>Sept. 10, 1973</t>
  </si>
  <si>
    <t>https://prabhupadavani.org/transcriptions/730910bgsto/</t>
  </si>
  <si>
    <t>Room Conversation on Cc with Dr. Christian Hauser, Psychiatrist</t>
  </si>
  <si>
    <t>https://prabhupadavani.org/transcriptions/730910r1sto/</t>
  </si>
  <si>
    <t>https://prabhupadavani.org/transcriptions/730910sbsto/</t>
  </si>
  <si>
    <t>Sept. 12, 1973</t>
  </si>
  <si>
    <t>https://prabhupadavani.org/transcriptions/730912sblon/</t>
  </si>
  <si>
    <t>Bhagavad-Gita 2.39</t>
  </si>
  <si>
    <t>https://prabhupadavani.org/transcriptions/730912bglon/</t>
  </si>
  <si>
    <t>Interview with Macmillan, Professor Gombrich and English Reporters</t>
  </si>
  <si>
    <t>https://prabhupadavani.org/transcriptions/730912ivlon/</t>
  </si>
  <si>
    <t>Sept. 13, 1973</t>
  </si>
  <si>
    <t>Bhagavad-Gita 2.40</t>
  </si>
  <si>
    <t>https://prabhupadavani.org/transcriptions/730913bglon/</t>
  </si>
  <si>
    <t>Sept. 18, 1973</t>
  </si>
  <si>
    <t>Arrival in Hindi</t>
  </si>
  <si>
    <t>https://prabhupadavani.org/transcriptions/730918arbom/</t>
  </si>
  <si>
    <t>https://prabhupadavani.org/transcriptions/730918r1bom/</t>
  </si>
  <si>
    <t>Sept. 19, 1973</t>
  </si>
  <si>
    <t>https://prabhupadavani.org/transcriptions/730919r1bom/</t>
  </si>
  <si>
    <t>Sept. 21, 1973</t>
  </si>
  <si>
    <t>https://prabhupadavani.org/transcriptions/730921lebom/</t>
  </si>
  <si>
    <t>https://prabhupadavani.org/transcriptions/730921r1bom/</t>
  </si>
  <si>
    <t>Room Conversation with American Banker</t>
  </si>
  <si>
    <t>https://prabhupadavani.org/transcriptions/730921r2bom/</t>
  </si>
  <si>
    <t>Sept. 24, 1973</t>
  </si>
  <si>
    <t>https://prabhupadavani.org/transcriptions/730924bgbom/</t>
  </si>
  <si>
    <t>Sept. 25, 1973</t>
  </si>
  <si>
    <t>https://prabhupadavani.org/transcriptions/730925bgbom/</t>
  </si>
  <si>
    <t>Sept. 26, 1973</t>
  </si>
  <si>
    <t>https://prabhupadavani.org/transcriptions/730926bgbom/</t>
  </si>
  <si>
    <t>Sept. 27, 1973</t>
  </si>
  <si>
    <t>https://prabhupadavani.org/transcriptions/730927bgbom/</t>
  </si>
  <si>
    <t>Sept. 28, 1973</t>
  </si>
  <si>
    <t>https://prabhupadavani.org/transcriptions/730928bgbom/</t>
  </si>
  <si>
    <t>Sept. 29, 1973</t>
  </si>
  <si>
    <t>https://prabhupadavani.org/transcriptions/730929bgbom/</t>
  </si>
  <si>
    <t>Sept. 30, 1973</t>
  </si>
  <si>
    <t>Bhagavad-Gita 13.8-12</t>
  </si>
  <si>
    <t>https://prabhupadavani.org/transcriptions/730930bgbom/</t>
  </si>
  <si>
    <t>https://prabhupadavani.org/transcriptions/731002bgbom/</t>
  </si>
  <si>
    <t>https://prabhupadavani.org/transcriptions/731003bgbom/</t>
  </si>
  <si>
    <t>https://prabhupadavani.org/transcriptions/731004r1bom/</t>
  </si>
  <si>
    <t>https://prabhupadavani.org/transcriptions/731005bgbom/</t>
  </si>
  <si>
    <t>Bhagavad-Gita 13.13</t>
  </si>
  <si>
    <t>https://prabhupadavani.org/transcriptions/731006bgbom/</t>
  </si>
  <si>
    <t>Bhagavad-Gita 13.14</t>
  </si>
  <si>
    <t>https://prabhupadavani.org/transcriptions/731007bgbom/</t>
  </si>
  <si>
    <t>Bhagavad-Gita 13.15</t>
  </si>
  <si>
    <t>https://prabhupadavani.org/transcriptions/731009bgbom/</t>
  </si>
  <si>
    <t>Bhagavad-Gita 13.16</t>
  </si>
  <si>
    <t>https://prabhupadavani.org/transcriptions/731010bgbom/</t>
  </si>
  <si>
    <t>Bhagavad-Gita 13.17</t>
  </si>
  <si>
    <t>https://prabhupadavani.org/transcriptions/731011bgbom/</t>
  </si>
  <si>
    <t>Bhagavad-Gita 13.18</t>
  </si>
  <si>
    <t>https://prabhupadavani.org/transcriptions/731012bgbom/</t>
  </si>
  <si>
    <t>Bhagavad-Gita 13.19</t>
  </si>
  <si>
    <t>https://prabhupadavani.org/transcriptions/731013bgbom/</t>
  </si>
  <si>
    <t>Bhagavad-Gita 13.20</t>
  </si>
  <si>
    <t>https://prabhupadavani.org/transcriptions/731014bgbom/</t>
  </si>
  <si>
    <t>Bhagavad-Gita 13.21</t>
  </si>
  <si>
    <t>https://prabhupadavani.org/transcriptions/731015bgbom/</t>
  </si>
  <si>
    <t>Lecture at Bharatiya Vidya Bhavan</t>
  </si>
  <si>
    <t>https://prabhupadavani.org/transcriptions/731018lebom/</t>
  </si>
  <si>
    <t>Bhagavad-Gita 13.22</t>
  </si>
  <si>
    <t>https://prabhupadavani.org/transcriptions/731020bgbom/</t>
  </si>
  <si>
    <t>Bhagavad-Gita 13.23</t>
  </si>
  <si>
    <t>https://prabhupadavani.org/transcriptions/731022bgbom/</t>
  </si>
  <si>
    <t>Bhagavad-Gita 13.24</t>
  </si>
  <si>
    <t>https://prabhupadavani.org/transcriptions/731023bgbom/</t>
  </si>
  <si>
    <t>Bhagavad-Gita 13.26</t>
  </si>
  <si>
    <t>https://prabhupadavani.org/transcriptions/731025bgbom/</t>
  </si>
  <si>
    <t>Bhagavad-Gita 7.1--Hindi</t>
  </si>
  <si>
    <t>https://prabhupadavani.org/transcriptions/731026bgbom/</t>
  </si>
  <si>
    <t>https://prabhupadavani.org/transcriptions/731026r1bom/</t>
  </si>
  <si>
    <t>Conversation at Airport</t>
  </si>
  <si>
    <t>https://prabhupadavani.org/transcriptions/731026dpbom/</t>
  </si>
  <si>
    <t>Bhagavad-Gita 15.1</t>
  </si>
  <si>
    <t>https://prabhupadavani.org/transcriptions/731028bgvrn/</t>
  </si>
  <si>
    <t>https://prabhupadavani.org/transcriptions/731029bgvrn/</t>
  </si>
  <si>
    <t>Bhagavad-Gita 7.2--Hindi</t>
  </si>
  <si>
    <t>https://prabhupadavani.org/transcriptions/731030bgvrn/</t>
  </si>
  <si>
    <t>https://prabhupadavani.org/transcriptions/731031bgvrn/</t>
  </si>
  <si>
    <t>https://prabhupadavani.org/transcriptions/731031r1vrn/</t>
  </si>
  <si>
    <t>https://prabhupadavani.org/transcriptions/731101ardel/</t>
  </si>
  <si>
    <t>https://prabhupadavani.org/transcriptions/731101r1del/</t>
  </si>
  <si>
    <t>Room Conversation about Radha-Damodara Property</t>
  </si>
  <si>
    <t>https://prabhupadavani.org/transcriptions/731101r2del/</t>
  </si>
  <si>
    <t>https://prabhupadavani.org/transcriptions/731102r1del/</t>
  </si>
  <si>
    <t>Bhagavad-Gita 3.9</t>
  </si>
  <si>
    <t>https://prabhupadavani.org/transcriptions/731103bgdel/</t>
  </si>
  <si>
    <t>Room Conversation on Srimad-Bhagavatam 1.10.11</t>
  </si>
  <si>
    <t>https://prabhupadavani.org/transcriptions/731103r1del/</t>
  </si>
  <si>
    <t>https://prabhupadavani.org/transcriptions/731104sbdel/</t>
  </si>
  <si>
    <t>https://prabhupadavani.org/transcriptions/731104r1del/</t>
  </si>
  <si>
    <t>https://prabhupadavani.org/transcriptions/731105r1del/</t>
  </si>
  <si>
    <t>https://prabhupadavani.org/transcriptions/731105r2del/</t>
  </si>
  <si>
    <t>Srimad-Bhagavatam 2.1.3</t>
  </si>
  <si>
    <t>https://prabhupadavani.org/transcriptions/731106sbdel/</t>
  </si>
  <si>
    <t>https://prabhupadavani.org/transcriptions/731106r1del/</t>
  </si>
  <si>
    <t>Srimad-Bhagavatam 2.1.4</t>
  </si>
  <si>
    <t>https://prabhupadavani.org/transcriptions/731107sbdel/</t>
  </si>
  <si>
    <t>Srimad-Bhagavatam 2.1.5</t>
  </si>
  <si>
    <t>https://prabhupadavani.org/transcriptions/731108sbdel/</t>
  </si>
  <si>
    <t>Pandal Speech</t>
  </si>
  <si>
    <t>https://prabhupadavani.org/transcriptions/731110ledel/</t>
  </si>
  <si>
    <t>Bhajana with Harmonium, Room Conversation</t>
  </si>
  <si>
    <t>https://prabhupadavani.org/transcriptions/731110r1del/</t>
  </si>
  <si>
    <t>https://prabhupadavani.org/transcriptions/731111sbdel/</t>
  </si>
  <si>
    <t>Chanting Srimad-Bhagavatam 5.5.6-16</t>
  </si>
  <si>
    <t>https://prabhupadavani.org/transcriptions/731111chdel/</t>
  </si>
  <si>
    <t>https://prabhupadavani.org/transcriptions/731112sbdel/</t>
  </si>
  <si>
    <t>https://prabhupadavani.org/transcriptions/731113sbdel/</t>
  </si>
  <si>
    <t>Srimad-Bhagavatam 1.2.9-10</t>
  </si>
  <si>
    <t>https://prabhupadavani.org/transcriptions/731114sbdel/</t>
  </si>
  <si>
    <t>Srimad-Bhagavatam 1.2.10--Hindi</t>
  </si>
  <si>
    <t>https://prabhupadavani.org/transcriptions/731115sbdel/</t>
  </si>
  <si>
    <t>Lecture at Pandal</t>
  </si>
  <si>
    <t>https://prabhupadavani.org/transcriptions/731116sbdel/</t>
  </si>
  <si>
    <t>https://prabhupadavani.org/transcriptions/731117sbdel/</t>
  </si>
  <si>
    <t>https://prabhupadavani.org/transcriptions/731118sbdel/</t>
  </si>
  <si>
    <t>https://prabhupadavani.org/transcriptions/731125sblon/</t>
  </si>
  <si>
    <t>Srimad-Bhagavatam 1.15.1</t>
  </si>
  <si>
    <t>https://prabhupadavani.org/transcriptions/731129sbny/</t>
  </si>
  <si>
    <t>Srimad-Bhagavatam 1.15.20</t>
  </si>
  <si>
    <t>https://prabhupadavani.org/transcriptions/731130sbla/</t>
  </si>
  <si>
    <t>Srimad-Bhagavatam 1.15.21</t>
  </si>
  <si>
    <t>https://prabhupadavani.org/transcriptions/731201sbla/</t>
  </si>
  <si>
    <t>https://prabhupadavani.org/transcriptions/731202mwla/</t>
  </si>
  <si>
    <t>Srimad-Bhagavatam 1.15.22-23</t>
  </si>
  <si>
    <t>https://prabhupadavani.org/transcriptions/731202sbla/</t>
  </si>
  <si>
    <t>https://prabhupadavani.org/transcriptions/731203mwla/</t>
  </si>
  <si>
    <t>Srimad-Bhagavatam 1.15.24</t>
  </si>
  <si>
    <t>https://prabhupadavani.org/transcriptions/731203sbla/</t>
  </si>
  <si>
    <t>Comment</t>
  </si>
  <si>
    <t>https://prabhupadavani.org/transcriptions/731203cmla/</t>
  </si>
  <si>
    <t>https://prabhupadavani.org/transcriptions/731204mwla/</t>
  </si>
  <si>
    <t>Srimad-Bhagavatam 1.15.25-26</t>
  </si>
  <si>
    <t>https://prabhupadavani.org/transcriptions/731204sbla/</t>
  </si>
  <si>
    <t>Wedding of Bali-mardana and Initiation of Taittireya dasi</t>
  </si>
  <si>
    <t>https://prabhupadavani.org/transcriptions/731204wela/</t>
  </si>
  <si>
    <t>https://prabhupadavani.org/transcriptions/731205mwla/</t>
  </si>
  <si>
    <t>Srimad-Bhagavatam 1.15.27</t>
  </si>
  <si>
    <t>https://prabhupadavani.org/transcriptions/731205sbla/</t>
  </si>
  <si>
    <t>https://prabhupadavani.org/transcriptions/731205inla/</t>
  </si>
  <si>
    <t>https://prabhupadavani.org/transcriptions/731206mwla/</t>
  </si>
  <si>
    <t>Srimad-Bhagavatam 1.15.28</t>
  </si>
  <si>
    <t>https://prabhupadavani.org/transcriptions/731206sbla/</t>
  </si>
  <si>
    <t>https://prabhupadavani.org/transcriptions/731207mwla/</t>
  </si>
  <si>
    <t>Srimad-Bhagavatam 1.15.29</t>
  </si>
  <si>
    <t>https://prabhupadavani.org/transcriptions/731207sbla/</t>
  </si>
  <si>
    <t>https://prabhupadavani.org/transcriptions/731208mwla/</t>
  </si>
  <si>
    <t>Srimad-Bhagavatam 1.15.30</t>
  </si>
  <si>
    <t>https://prabhupadavani.org/transcriptions/731208sbla/</t>
  </si>
  <si>
    <t>https://prabhupadavani.org/transcriptions/731209mwla/</t>
  </si>
  <si>
    <t>Srimad-Bhagavatam 1.15.31</t>
  </si>
  <si>
    <t>https://prabhupadavani.org/transcriptions/731209sbla/</t>
  </si>
  <si>
    <t>Chanting Cc Adi-lila 7th Chapter</t>
  </si>
  <si>
    <t>https://prabhupadavani.org/transcriptions/731209chla/</t>
  </si>
  <si>
    <t>Room Conversation with British Professor</t>
  </si>
  <si>
    <t>https://prabhupadavani.org/transcriptions/731209r1la/</t>
  </si>
  <si>
    <t>https://prabhupadavani.org/transcriptions/731210mwla/</t>
  </si>
  <si>
    <t>Srimad-Bhagavatam 1.15.32</t>
  </si>
  <si>
    <t>https://prabhupadavani.org/transcriptions/731210sbla/</t>
  </si>
  <si>
    <t>https://prabhupadavani.org/transcriptions/731210inla/</t>
  </si>
  <si>
    <t>https://prabhupadavani.org/transcriptions/731211mwla/</t>
  </si>
  <si>
    <t>Srimad-Bhagavatam 1.15.33</t>
  </si>
  <si>
    <t>https://prabhupadavani.org/transcriptions/731211sbla/</t>
  </si>
  <si>
    <t>https://prabhupadavani.org/transcriptions/731212mwla/</t>
  </si>
  <si>
    <t>Srimad-Bhagavatam 1.15.34</t>
  </si>
  <si>
    <t>https://prabhupadavani.org/transcriptions/731212sbla/</t>
  </si>
  <si>
    <t>Srila Bhaktisiddhanta Sarasvati Disappearance Day Lecture</t>
  </si>
  <si>
    <t>https://prabhupadavani.org/transcriptions/731213dbla/</t>
  </si>
  <si>
    <t>https://prabhupadavani.org/transcriptions/731213mwla/</t>
  </si>
  <si>
    <t>Srimad-Bhagavatam 1.15.35</t>
  </si>
  <si>
    <t>https://prabhupadavani.org/transcriptions/731213sbla/</t>
  </si>
  <si>
    <t>https://prabhupadavani.org/transcriptions/731214mwla/</t>
  </si>
  <si>
    <t>Srimad-Bhagavatam 1.15.36</t>
  </si>
  <si>
    <t>https://prabhupadavani.org/transcriptions/731214sbla/</t>
  </si>
  <si>
    <t>Chanting Cc Adi-lila 8th Chapter</t>
  </si>
  <si>
    <t>https://prabhupadavani.org/transcriptions/731214chla/</t>
  </si>
  <si>
    <t>https://prabhupadavani.org/transcriptions/731215mwla/</t>
  </si>
  <si>
    <t>Srimad-Bhagavatam 1.15.37</t>
  </si>
  <si>
    <t>https://prabhupadavani.org/transcriptions/731215sbla/</t>
  </si>
  <si>
    <t>https://prabhupadavani.org/transcriptions/731216mwla/</t>
  </si>
  <si>
    <t>Srimad-Bhagavatam 1.15.38</t>
  </si>
  <si>
    <t>https://prabhupadavani.org/transcriptions/731216sbla/</t>
  </si>
  <si>
    <t>https://prabhupadavani.org/transcriptions/731217mwla/</t>
  </si>
  <si>
    <t>Srimad-Bhagavatam 1.15.39</t>
  </si>
  <si>
    <t>https://prabhupadavani.org/transcriptions/731217sbla/</t>
  </si>
  <si>
    <t>Chanting Cc Adi-lila 10th and 11th Chapter</t>
  </si>
  <si>
    <t>https://prabhupadavani.org/transcriptions/731217chla/</t>
  </si>
  <si>
    <t>https://prabhupadavani.org/transcriptions/731218mwla/</t>
  </si>
  <si>
    <t>Srimad-Bhagavatam 1.15.40</t>
  </si>
  <si>
    <t>https://prabhupadavani.org/transcriptions/731218sbla/</t>
  </si>
  <si>
    <t>https://prabhupadavani.org/transcriptions/731219mwla/</t>
  </si>
  <si>
    <t>Srimad-Bhagavatam 1.15.41</t>
  </si>
  <si>
    <t>https://prabhupadavani.org/transcriptions/731219sbla/</t>
  </si>
  <si>
    <t>https://prabhupadavani.org/transcriptions/731220mwla/</t>
  </si>
  <si>
    <t>Srimad-Bhagavatam 1.15.42</t>
  </si>
  <si>
    <t>https://prabhupadavani.org/transcriptions/731220sbla/</t>
  </si>
  <si>
    <t>https://prabhupadavani.org/transcriptions/731221mwla/</t>
  </si>
  <si>
    <t>Srimad-Bhagavatam 1.15.44</t>
  </si>
  <si>
    <t>https://prabhupadavani.org/transcriptions/731222sbla/</t>
  </si>
  <si>
    <t>Srimad-Bhagavatam 1.15.45</t>
  </si>
  <si>
    <t>https://prabhupadavani.org/transcriptions/731223sbla/</t>
  </si>
  <si>
    <t>Srimad-Bhagavatam 1.15.46</t>
  </si>
  <si>
    <t>https://prabhupadavani.org/transcriptions/731224sbla/</t>
  </si>
  <si>
    <t>Srimad-Bhagavatam 1.15.47-48</t>
  </si>
  <si>
    <t>https://prabhupadavani.org/transcriptions/731225sbla/</t>
  </si>
  <si>
    <t>https://prabhupadavani.org/transcriptions/731225inla/</t>
  </si>
  <si>
    <t>Srimad-Bhagavatam 1.15.49</t>
  </si>
  <si>
    <t>https://prabhupadavani.org/transcriptions/731226sbla/</t>
  </si>
  <si>
    <t>Srimad-Bhagavatam 1.15.50</t>
  </si>
  <si>
    <t>https://prabhupadavani.org/transcriptions/731227sbla/</t>
  </si>
  <si>
    <t>Srimad-Bhagavatam 1.15.51</t>
  </si>
  <si>
    <t>https://prabhupadavani.org/transcriptions/731228sbla/</t>
  </si>
  <si>
    <t>https://prabhupadavani.org/transcriptions/731229mwla/</t>
  </si>
  <si>
    <t>Srimad-Bhagavatam 1.16.1</t>
  </si>
  <si>
    <t>https://prabhupadavani.org/transcriptions/731229sbla/</t>
  </si>
  <si>
    <t>https://prabhupadavani.org/transcriptions/731230mwla/</t>
  </si>
  <si>
    <t>Srimad-Bhagavatam 1.16.2</t>
  </si>
  <si>
    <t>https://prabhupadavani.org/transcriptions/731230sbla/</t>
  </si>
  <si>
    <t>https://prabhupadavani.org/transcriptions/731231mwla/</t>
  </si>
  <si>
    <t>Srimad-Bhagavatam 1.16.3</t>
  </si>
  <si>
    <t>https://prabhupadavani.org/transcriptions/731231sbla/</t>
  </si>
  <si>
    <t>Srimad-Bhagavatam 1.16.4</t>
  </si>
  <si>
    <t>https://prabhupadavani.org/transcriptions/740101sbla/</t>
  </si>
  <si>
    <t>Srimad-Bhagavatam 1.16.5</t>
  </si>
  <si>
    <t>https://prabhupadavani.org/transcriptions/740102sbla/</t>
  </si>
  <si>
    <t>https://prabhupadavani.org/transcriptions/740103mwla/</t>
  </si>
  <si>
    <t>Srimad-Bhagavatam 1.16.6</t>
  </si>
  <si>
    <t>https://prabhupadavani.org/transcriptions/740103sbla/</t>
  </si>
  <si>
    <t>Srimad-Bhagavatam 1.16.7</t>
  </si>
  <si>
    <t>https://prabhupadavani.org/transcriptions/740104sbla/</t>
  </si>
  <si>
    <t>https://prabhupadavani.org/transcriptions/740105mwla/</t>
  </si>
  <si>
    <t>Srimad-Bhagavatam 1.16.8</t>
  </si>
  <si>
    <t>https://prabhupadavani.org/transcriptions/740105sbla/</t>
  </si>
  <si>
    <t>Morning Walk, partially recorded</t>
  </si>
  <si>
    <t>https://prabhupadavani.org/transcriptions/740107mwla/</t>
  </si>
  <si>
    <t>Srimad-Bhagavatam 1.16.10</t>
  </si>
  <si>
    <t>https://prabhupadavani.org/transcriptions/740107sbla/</t>
  </si>
  <si>
    <t>https://prabhupadavani.org/transcriptions/740108mwla/</t>
  </si>
  <si>
    <t>Srimad-Bhagavatam 1.16.11</t>
  </si>
  <si>
    <t>https://prabhupadavani.org/transcriptions/740108sbla/</t>
  </si>
  <si>
    <t>https://prabhupadavani.org/transcriptions/740109mwla/</t>
  </si>
  <si>
    <t>Srimad-Bhagavatam 1.16.12</t>
  </si>
  <si>
    <t>https://prabhupadavani.org/transcriptions/740109sbla/</t>
  </si>
  <si>
    <t>https://prabhupadavani.org/transcriptions/740110mwla/</t>
  </si>
  <si>
    <t>Srimad-Bhagavatam 1.16.13-15</t>
  </si>
  <si>
    <t>https://prabhupadavani.org/transcriptions/740110sbla/</t>
  </si>
  <si>
    <t>https://prabhupadavani.org/transcriptions/740110inla/</t>
  </si>
  <si>
    <t>https://prabhupadavani.org/transcriptions/740111mwla/</t>
  </si>
  <si>
    <t>Srimad-Bhagavatam 1.16.16</t>
  </si>
  <si>
    <t>https://prabhupadavani.org/transcriptions/740111sbla/</t>
  </si>
  <si>
    <t>https://prabhupadavani.org/transcriptions/740112mwla/</t>
  </si>
  <si>
    <t>Srimad-Bhagavatam 1.16.17</t>
  </si>
  <si>
    <t>https://prabhupadavani.org/transcriptions/740112sbla/</t>
  </si>
  <si>
    <t>Srimad-Bhagavatam 1.16.18</t>
  </si>
  <si>
    <t>https://prabhupadavani.org/transcriptions/740113sbla/</t>
  </si>
  <si>
    <t>https://prabhupadavani.org/transcriptions/740115mwhon/</t>
  </si>
  <si>
    <t>Srimad-Bhagavatam 1.16.19</t>
  </si>
  <si>
    <t>https://prabhupadavani.org/transcriptions/740115sbhon/</t>
  </si>
  <si>
    <t>https://prabhupadavani.org/transcriptions/740116mwhon/</t>
  </si>
  <si>
    <t>Srimad-Bhagavatam 1.16.20</t>
  </si>
  <si>
    <t>https://prabhupadavani.org/transcriptions/740116sbhon/</t>
  </si>
  <si>
    <t>Srimad-Bhagavatam 1.16.21</t>
  </si>
  <si>
    <t>https://prabhupadavani.org/transcriptions/740117sbhon/</t>
  </si>
  <si>
    <t>https://prabhupadavani.org/transcriptions/740118mwhon/</t>
  </si>
  <si>
    <t>Srimad-Bhagavatam 1.16.22</t>
  </si>
  <si>
    <t>https://prabhupadavani.org/transcriptions/740118sbhon/</t>
  </si>
  <si>
    <t>https://prabhupadavani.org/transcriptions/740119mwhon/</t>
  </si>
  <si>
    <t>Srimad-Bhagavatam 1.16.23</t>
  </si>
  <si>
    <t>https://prabhupadavani.org/transcriptions/740119sbhon/</t>
  </si>
  <si>
    <t>https://prabhupadavani.org/transcriptions/740120mwhon/</t>
  </si>
  <si>
    <t>Srimad-Bhagavatam 1.16.24</t>
  </si>
  <si>
    <t>https://prabhupadavani.org/transcriptions/740120sbhon/</t>
  </si>
  <si>
    <t>https://prabhupadavani.org/transcriptions/740121mwhon/</t>
  </si>
  <si>
    <t>Srimad-Bhagavatam 1.16.25-30</t>
  </si>
  <si>
    <t>https://prabhupadavani.org/transcriptions/740121sbhon/</t>
  </si>
  <si>
    <t>https://prabhupadavani.org/transcriptions/740122mwhon/</t>
  </si>
  <si>
    <t>https://prabhupadavani.org/transcriptions/740123mwhon/</t>
  </si>
  <si>
    <t>Srimad-Bhagavatam 1.16.26-30</t>
  </si>
  <si>
    <t>https://prabhupadavani.org/transcriptions/740123sbhon/</t>
  </si>
  <si>
    <t>Srimad-Bhagavatam 1.16.35</t>
  </si>
  <si>
    <t>https://prabhupadavani.org/transcriptions/740128sbhon/</t>
  </si>
  <si>
    <t>https://prabhupadavani.org/transcriptions/740128inhon/</t>
  </si>
  <si>
    <t>https://prabhupadavani.org/transcriptions/740129artok/</t>
  </si>
  <si>
    <t>https://prabhupadavani.org/transcriptions/740130mwtok/</t>
  </si>
  <si>
    <t>Srimad-Bhagavatam 1.16.36</t>
  </si>
  <si>
    <t>https://prabhupadavani.org/transcriptions/740130sbtok/</t>
  </si>
  <si>
    <t>https://prabhupadavani.org/transcriptions/740130r1tok/</t>
  </si>
  <si>
    <t>Bhagavad-Gita 7.1-5</t>
  </si>
  <si>
    <t>https://prabhupadavani.org/transcriptions/740131bghk/</t>
  </si>
  <si>
    <t>https://prabhupadavani.org/transcriptions/740206r1vrn/</t>
  </si>
  <si>
    <t>Bhagavad-Gita 3.9-14</t>
  </si>
  <si>
    <t>https://prabhupadavani.org/transcriptions/740206bgvrn/</t>
  </si>
  <si>
    <t>https://prabhupadavani.org/transcriptions/740207bgvrn/</t>
  </si>
  <si>
    <t>https://prabhupadavani.org/transcriptions/740208r1vrn/</t>
  </si>
  <si>
    <t>https://prabhupadavani.org/transcriptions/740208r2vrn/</t>
  </si>
  <si>
    <t>Bhagavad-Gita 4.2</t>
  </si>
  <si>
    <t>https://prabhupadavani.org/transcriptions/740208bgvrn/</t>
  </si>
  <si>
    <t>https://prabhupadavani.org/transcriptions/740209r1vrn/</t>
  </si>
  <si>
    <t>Bhagavad-Gita 4.3</t>
  </si>
  <si>
    <t>https://prabhupadavani.org/transcriptions/740210bgvrn/</t>
  </si>
  <si>
    <t>https://prabhupadavani.org/transcriptions/740211mwvrn/</t>
  </si>
  <si>
    <t>Appearance Day of Srila Bhaktisiddhanta Sarasvati Thakura</t>
  </si>
  <si>
    <t>https://prabhupadavani.org/transcriptions/740211bavrn/</t>
  </si>
  <si>
    <t>Bhagavad-Gita 4.4</t>
  </si>
  <si>
    <t>https://prabhupadavani.org/transcriptions/740212bgvrn/</t>
  </si>
  <si>
    <t>Lecture, partially recorded</t>
  </si>
  <si>
    <t>https://prabhupadavani.org/transcriptions/740212levrn/</t>
  </si>
  <si>
    <t>https://prabhupadavani.org/transcriptions/740213bgvrn/</t>
  </si>
  <si>
    <t>https://prabhupadavani.org/transcriptions/740213r1vrn/</t>
  </si>
  <si>
    <t>https://prabhupadavani.org/transcriptions/740213r2vrn/</t>
  </si>
  <si>
    <t>https://prabhupadavani.org/transcriptions/740213levrn/</t>
  </si>
  <si>
    <t>https://prabhupadavani.org/transcriptions/740214r1vrn/</t>
  </si>
  <si>
    <t>https://prabhupadavani.org/transcriptions/740217mwbom/</t>
  </si>
  <si>
    <t>https://prabhupadavani.org/transcriptions/740218bgbom/</t>
  </si>
  <si>
    <t>https://prabhupadavani.org/transcriptions/740219mwbom/</t>
  </si>
  <si>
    <t>https://prabhupadavani.org/transcriptions/740219bgbom/</t>
  </si>
  <si>
    <t>https://prabhupadavani.org/transcriptions/740220mwbom/</t>
  </si>
  <si>
    <t>Bhagavad-Gita 7.5</t>
  </si>
  <si>
    <t>https://prabhupadavani.org/transcriptions/740220bgbom/</t>
  </si>
  <si>
    <t>https://prabhupadavani.org/transcriptions/740222mwbom/</t>
  </si>
  <si>
    <t>https://prabhupadavani.org/transcriptions/740222bgbom/</t>
  </si>
  <si>
    <t>https://prabhupadavani.org/transcriptions/740223mwbom/</t>
  </si>
  <si>
    <t>Bhagavad-Gita 7.8</t>
  </si>
  <si>
    <t>https://prabhupadavani.org/transcriptions/740223bgbom/</t>
  </si>
  <si>
    <t>Bhagavad-Gita 7.9-10</t>
  </si>
  <si>
    <t>https://prabhupadavani.org/transcriptions/740224bgbom/</t>
  </si>
  <si>
    <t>https://prabhupadavani.org/transcriptions/740225mwbom/</t>
  </si>
  <si>
    <t>Bhagavad-Gita 7.11-12</t>
  </si>
  <si>
    <t>https://prabhupadavani.org/transcriptions/740225bgbom/</t>
  </si>
  <si>
    <t>https://prabhupadavani.org/transcriptions/740226bgcal/</t>
  </si>
  <si>
    <t>https://prabhupadavani.org/transcriptions/740227sbcal/</t>
  </si>
  <si>
    <t>Sri Caitanya-caritamrta, Adi-lila 7.1</t>
  </si>
  <si>
    <t>https://prabhupadavani.org/transcriptions/740301ccmay/</t>
  </si>
  <si>
    <t>Morning Walk, [partially recorded]</t>
  </si>
  <si>
    <t>https://prabhupadavani.org/transcriptions/740302mwmay/</t>
  </si>
  <si>
    <t>Sri Caitanya-caritamrta, Adi-lila 7.2</t>
  </si>
  <si>
    <t>https://prabhupadavani.org/transcriptions/740302ccmay/</t>
  </si>
  <si>
    <t>https://prabhupadavani.org/transcriptions/740303mwmay/</t>
  </si>
  <si>
    <t>Sri Caitanya-caritamrta, Adi-lila 7.3</t>
  </si>
  <si>
    <t>https://prabhupadavani.org/transcriptions/740303ccmay/</t>
  </si>
  <si>
    <t>https://prabhupadavani.org/transcriptions/740304mwmay/</t>
  </si>
  <si>
    <t>Sri Caitanya-caritamrta, Adi-lila 7.4</t>
  </si>
  <si>
    <t>https://prabhupadavani.org/transcriptions/740304ccmay/</t>
  </si>
  <si>
    <t>https://prabhupadavani.org/transcriptions/740305mwmay/</t>
  </si>
  <si>
    <t>https://prabhupadavani.org/transcriptions/740306mwmay/</t>
  </si>
  <si>
    <t>https://prabhupadavani.org/transcriptions/740307mwmay/</t>
  </si>
  <si>
    <t>Sri Caitanya-caritamrta, Adi-lila 7.5</t>
  </si>
  <si>
    <t>https://prabhupadavani.org/transcriptions/740307ccmay/</t>
  </si>
  <si>
    <t>https://prabhupadavani.org/transcriptions/740309mwmay/</t>
  </si>
  <si>
    <t>Sri Caitanya-caritamrta, Adi-lila 7.7</t>
  </si>
  <si>
    <t>https://prabhupadavani.org/transcriptions/740309ccmay/</t>
  </si>
  <si>
    <t>https://prabhupadavani.org/transcriptions/740310lecal/</t>
  </si>
  <si>
    <t>https://prabhupadavani.org/transcriptions/740312mwvrn/</t>
  </si>
  <si>
    <t>https://prabhupadavani.org/transcriptions/740313mwvrn/</t>
  </si>
  <si>
    <t>Sri Caitanya-caritamrta, Adi-lila 7.91-2</t>
  </si>
  <si>
    <t>https://prabhupadavani.org/transcriptions/740313ccvrn/</t>
  </si>
  <si>
    <t>Morning Walk, "Varnasrama College"</t>
  </si>
  <si>
    <t>https://prabhupadavani.org/transcriptions/740314mwvrn/</t>
  </si>
  <si>
    <t>https://prabhupadavani.org/transcriptions/740314levrn/</t>
  </si>
  <si>
    <t>https://prabhupadavani.org/transcriptions/740315mwvrn/</t>
  </si>
  <si>
    <t>Sri Caitanya-caritamrta, Adi-lila 7.8</t>
  </si>
  <si>
    <t>https://prabhupadavani.org/transcriptions/740315ccvrn/</t>
  </si>
  <si>
    <t>Room Conversation with Sannyasis</t>
  </si>
  <si>
    <t>https://prabhupadavani.org/transcriptions/740315r1vrn/</t>
  </si>
  <si>
    <t>https://prabhupadavani.org/transcriptions/740316mwvrn/</t>
  </si>
  <si>
    <t>https://prabhupadavani.org/transcriptions/740316sbvrn/</t>
  </si>
  <si>
    <t>https://prabhupadavani.org/transcriptions/740316r1vrn/</t>
  </si>
  <si>
    <t>https://prabhupadavani.org/transcriptions/740316r2vrn/</t>
  </si>
  <si>
    <t>https://prabhupadavani.org/transcriptions/740317mwvrn/</t>
  </si>
  <si>
    <t>Srimad-Bhagavatam 2.1.2 [Significance of Sad-gosvamy-astaka]</t>
  </si>
  <si>
    <t>https://prabhupadavani.org/transcriptions/740317sbvrn/</t>
  </si>
  <si>
    <t>https://prabhupadavani.org/transcriptions/740318mwvrn/</t>
  </si>
  <si>
    <t>https://prabhupadavani.org/transcriptions/740318sbvrn/</t>
  </si>
  <si>
    <t>https://prabhupadavani.org/transcriptions/740319sbvrn/</t>
  </si>
  <si>
    <t>https://prabhupadavani.org/transcriptions/740320r1bom/</t>
  </si>
  <si>
    <t>https://prabhupadavani.org/transcriptions/740321bgbom/</t>
  </si>
  <si>
    <t>https://prabhupadavani.org/transcriptions/740322bgbom/</t>
  </si>
  <si>
    <t>https://prabhupadavani.org/transcriptions/740323mwbom/</t>
  </si>
  <si>
    <t>https://prabhupadavani.org/transcriptions/740323bgbom/</t>
  </si>
  <si>
    <t>https://prabhupadavani.org/transcriptions/740324mwbom/</t>
  </si>
  <si>
    <t>https://prabhupadavani.org/transcriptions/740324bgbom/</t>
  </si>
  <si>
    <t>https://prabhupadavani.org/transcriptions/740325mwbom/</t>
  </si>
  <si>
    <t>https://prabhupadavani.org/transcriptions/740325bgbom/</t>
  </si>
  <si>
    <t>https://prabhupadavani.org/transcriptions/740326mwbom/</t>
  </si>
  <si>
    <t>Bhagavad-Gita 4.6</t>
  </si>
  <si>
    <t>https://prabhupadavani.org/transcriptions/740326bgbom/</t>
  </si>
  <si>
    <t>https://prabhupadavani.org/transcriptions/740327mwbom/</t>
  </si>
  <si>
    <t>https://prabhupadavani.org/transcriptions/740327bgbom/</t>
  </si>
  <si>
    <t>Roof Conversation</t>
  </si>
  <si>
    <t>https://prabhupadavani.org/transcriptions/740327rfbom/</t>
  </si>
  <si>
    <t>https://prabhupadavani.org/transcriptions/740328mwbom/</t>
  </si>
  <si>
    <t>https://prabhupadavani.org/transcriptions/740328bgbom/</t>
  </si>
  <si>
    <t>https://prabhupadavani.org/transcriptions/740329mwbom/</t>
  </si>
  <si>
    <t>https://prabhupadavani.org/transcriptions/740329bgbom/</t>
  </si>
  <si>
    <t>https://prabhupadavani.org/transcriptions/740330mwbom/</t>
  </si>
  <si>
    <t>Bhagavad-Gita 4.10</t>
  </si>
  <si>
    <t>https://prabhupadavani.org/transcriptions/740330bgbom/</t>
  </si>
  <si>
    <t>https://prabhupadavani.org/transcriptions/740331mwbom/</t>
  </si>
  <si>
    <t>https://prabhupadavani.org/transcriptions/740331bgbom/</t>
  </si>
  <si>
    <t>https://prabhupadavani.org/transcriptions/740401mwbom/</t>
  </si>
  <si>
    <t>Bhagavad-Gita 4.12, Appearance Day of Lord RAmacandra</t>
  </si>
  <si>
    <t>https://prabhupadavani.org/transcriptions/740401bgbom/</t>
  </si>
  <si>
    <t>Sri Rama-navami, Cornerstone Laying</t>
  </si>
  <si>
    <t>https://prabhupadavani.org/transcriptions/740401csbom/</t>
  </si>
  <si>
    <t>https://prabhupadavani.org/transcriptions/740402mwbom/</t>
  </si>
  <si>
    <t>https://prabhupadavani.org/transcriptions/740402bgbom/</t>
  </si>
  <si>
    <t>https://prabhupadavani.org/transcriptions/740403mwbom/</t>
  </si>
  <si>
    <t>Bhagavad-Gita 4.14</t>
  </si>
  <si>
    <t>https://prabhupadavani.org/transcriptions/740403bgbom/</t>
  </si>
  <si>
    <t>https://prabhupadavani.org/transcriptions/740404mwbom/</t>
  </si>
  <si>
    <t>Bhagavad-Gita 4.15</t>
  </si>
  <si>
    <t>https://prabhupadavani.org/transcriptions/740404bgbom/</t>
  </si>
  <si>
    <t>https://prabhupadavani.org/transcriptions/740405mwbom/</t>
  </si>
  <si>
    <t>Bhagavad-Gita 4.16</t>
  </si>
  <si>
    <t>https://prabhupadavani.org/transcriptions/740405bgbom/</t>
  </si>
  <si>
    <t>https://prabhupadavani.org/transcriptions/740406mwbom/</t>
  </si>
  <si>
    <t>Bhagavad-Gita 4.17</t>
  </si>
  <si>
    <t>https://prabhupadavani.org/transcriptions/740406bgbom/</t>
  </si>
  <si>
    <t>https://prabhupadavani.org/transcriptions/740407mwbom/</t>
  </si>
  <si>
    <t>Bhagavad-Gita 4.18</t>
  </si>
  <si>
    <t>https://prabhupadavani.org/transcriptions/740407bgbom/</t>
  </si>
  <si>
    <t>https://prabhupadavani.org/transcriptions/740408mwbom/</t>
  </si>
  <si>
    <t>https://prabhupadavani.org/transcriptions/740408bgbom/</t>
  </si>
  <si>
    <t>Bhagavad-Gita 4.20</t>
  </si>
  <si>
    <t>https://prabhupadavani.org/transcriptions/740409bgbom/</t>
  </si>
  <si>
    <t>https://prabhupadavani.org/transcriptions/740410mwbom/</t>
  </si>
  <si>
    <t>Bhagavad-Gita 4.21</t>
  </si>
  <si>
    <t>https://prabhupadavani.org/transcriptions/740410bgbom/</t>
  </si>
  <si>
    <t>https://prabhupadavani.org/transcriptions/740411mwbom/</t>
  </si>
  <si>
    <t>Bhagavad-Gita 4.22</t>
  </si>
  <si>
    <t>https://prabhupadavani.org/transcriptions/740411bgbom/</t>
  </si>
  <si>
    <t>https://prabhupadavani.org/transcriptions/740412mwbom/</t>
  </si>
  <si>
    <t>Bhagavad-Gita 4.23</t>
  </si>
  <si>
    <t>https://prabhupadavani.org/transcriptions/740412bgbom/</t>
  </si>
  <si>
    <t>https://prabhupadavani.org/transcriptions/740413mwbom/</t>
  </si>
  <si>
    <t>Bhagavad-Gita 4.24</t>
  </si>
  <si>
    <t>https://prabhupadavani.org/transcriptions/740413bgbom/</t>
  </si>
  <si>
    <t>https://prabhupadavani.org/transcriptions/740414mwbom/</t>
  </si>
  <si>
    <t>Bhagavad-Gita 4.25</t>
  </si>
  <si>
    <t>https://prabhupadavani.org/transcriptions/740414bgbom/</t>
  </si>
  <si>
    <t>Bhagavad-Gita 4.26</t>
  </si>
  <si>
    <t>https://prabhupadavani.org/transcriptions/740415bgbom/</t>
  </si>
  <si>
    <t>https://prabhupadavani.org/transcriptions/740416mwbom/</t>
  </si>
  <si>
    <t>Bhagavad-Gita 4.27</t>
  </si>
  <si>
    <t>https://prabhupadavani.org/transcriptions/740416bgbom/</t>
  </si>
  <si>
    <t>https://prabhupadavani.org/transcriptions/740417mwbom/</t>
  </si>
  <si>
    <t>Bhagavad-Gita 4.28</t>
  </si>
  <si>
    <t>https://prabhupadavani.org/transcriptions/740417bgbom/</t>
  </si>
  <si>
    <t>https://prabhupadavani.org/transcriptions/740418mwbom/</t>
  </si>
  <si>
    <t>https://prabhupadavani.org/transcriptions/740418sbhyd/</t>
  </si>
  <si>
    <t>Press Conference</t>
  </si>
  <si>
    <t>https://prabhupadavani.org/transcriptions/740418pchyd/</t>
  </si>
  <si>
    <t>https://prabhupadavani.org/transcriptions/740419mwhyd/</t>
  </si>
  <si>
    <t>https://prabhupadavani.org/transcriptions/740419lehyd/</t>
  </si>
  <si>
    <t>https://prabhupadavani.org/transcriptions/740419bghyd/</t>
  </si>
  <si>
    <t>https://prabhupadavani.org/transcriptions/740420mwhyd/</t>
  </si>
  <si>
    <t>https://prabhupadavani.org/transcriptions/740420r1hyd/</t>
  </si>
  <si>
    <t>https://prabhupadavani.org/transcriptions/740420bghyd/</t>
  </si>
  <si>
    <t>https://prabhupadavani.org/transcriptions/740421sbhyd/</t>
  </si>
  <si>
    <t>https://prabhupadavani.org/transcriptions/740422mwhyd/</t>
  </si>
  <si>
    <t>https://prabhupadavani.org/transcriptions/740422sbhyd/</t>
  </si>
  <si>
    <t>https://prabhupadavani.org/transcriptions/740423mwhyd/</t>
  </si>
  <si>
    <t>https://prabhupadavani.org/transcriptions/740423sbhyd/</t>
  </si>
  <si>
    <t>https://prabhupadavani.org/transcriptions/740423lehyd/</t>
  </si>
  <si>
    <t>https://prabhupadavani.org/transcriptions/740424mwhyd/</t>
  </si>
  <si>
    <t>https://prabhupadavani.org/transcriptions/740424sbhyd/</t>
  </si>
  <si>
    <t>Tirupati</t>
  </si>
  <si>
    <t>https://prabhupadavani.org/transcriptions/740425letir/</t>
  </si>
  <si>
    <t>https://prabhupadavani.org/transcriptions/740426sbtir/</t>
  </si>
  <si>
    <t>Interview with Minister</t>
  </si>
  <si>
    <t>https://prabhupadavani.org/transcriptions/740426ivtir/</t>
  </si>
  <si>
    <t>https://prabhupadavani.org/transcriptions/740426r1tir/</t>
  </si>
  <si>
    <t>https://prabhupadavani.org/transcriptions/740427bghyd/</t>
  </si>
  <si>
    <t>https://prabhupadavani.org/transcriptions/740428bghyd/</t>
  </si>
  <si>
    <t>https://prabhupadavani.org/transcriptions/740429mwhyd/</t>
  </si>
  <si>
    <t>https://prabhupadavani.org/transcriptions/740501mwbom/</t>
  </si>
  <si>
    <t>https://prabhupadavani.org/transcriptions/740502mwbom/</t>
  </si>
  <si>
    <t>https://prabhupadavani.org/transcriptions/740503mwbom/</t>
  </si>
  <si>
    <t>https://prabhupadavani.org/transcriptions/740504mwbom/</t>
  </si>
  <si>
    <t>https://prabhupadavani.org/transcriptions/740505mwbom/</t>
  </si>
  <si>
    <t>Nrsimha-caturdasi</t>
  </si>
  <si>
    <t>https://prabhupadavani.org/transcriptions/740505nabom/</t>
  </si>
  <si>
    <t>https://prabhupadavani.org/transcriptions/740506mwbom/</t>
  </si>
  <si>
    <t>https://prabhupadavani.org/transcriptions/740508mwbom/</t>
  </si>
  <si>
    <t>https://prabhupadavani.org/transcriptions/740509mwbom/</t>
  </si>
  <si>
    <t>Bhagavad-Gita 12.13-14</t>
  </si>
  <si>
    <t>https://prabhupadavani.org/transcriptions/740512bgbom/</t>
  </si>
  <si>
    <t>Rome</t>
  </si>
  <si>
    <t>Room Conversation with Irish Poet Desmond O'Grady</t>
  </si>
  <si>
    <t>https://prabhupadavani.org/transcriptions/740523r1rom/</t>
  </si>
  <si>
    <t>Room Conversation with Catholic Cardinal</t>
  </si>
  <si>
    <t>https://prabhupadavani.org/transcriptions/740524r1rom/</t>
  </si>
  <si>
    <t>https://prabhupadavani.org/transcriptions/740524mwrom/</t>
  </si>
  <si>
    <t>https://prabhupadavani.org/transcriptions/740524sbrom/</t>
  </si>
  <si>
    <t>Room Conversation with Richard Webster</t>
  </si>
  <si>
    <t>https://prabhupadavani.org/transcriptions/740524r2rom/</t>
  </si>
  <si>
    <t>Morning Walk at Villa Borghese</t>
  </si>
  <si>
    <t>https://prabhupadavani.org/transcriptions/740525mwrom/</t>
  </si>
  <si>
    <t>Bhagavad-Gita 4.10, Public Lecture</t>
  </si>
  <si>
    <t>https://prabhupadavani.org/transcriptions/740525bgrom/</t>
  </si>
  <si>
    <t>https://prabhupadavani.org/transcriptions/740526mwrom/</t>
  </si>
  <si>
    <t>Srimad-Bhagavatam 1.2.2</t>
  </si>
  <si>
    <t>https://prabhupadavani.org/transcriptions/740526sbrom/</t>
  </si>
  <si>
    <t>https://prabhupadavani.org/transcriptions/740527mwrom/</t>
  </si>
  <si>
    <t>https://prabhupadavani.org/transcriptions/740527sbrom/</t>
  </si>
  <si>
    <t>https://prabhupadavani.org/transcriptions/740528mwrom/</t>
  </si>
  <si>
    <t>Srimad-Bhagavatam 1.2.4</t>
  </si>
  <si>
    <t>https://prabhupadavani.org/transcriptions/740528sbrom/</t>
  </si>
  <si>
    <t>https://prabhupadavani.org/transcriptions/740529mwrom/</t>
  </si>
  <si>
    <t>https://prabhupadavani.org/transcriptions/740530mwrom/</t>
  </si>
  <si>
    <t>Geneva</t>
  </si>
  <si>
    <t>Srila Prabhupada Welcomed by Governor at Hotel de Ville</t>
  </si>
  <si>
    <t>https://prabhupadavani.org/transcriptions/740530argen/</t>
  </si>
  <si>
    <t>Srimad-Bhagavatam 1.7.6</t>
  </si>
  <si>
    <t>https://prabhupadavani.org/transcriptions/740531sbgen/</t>
  </si>
  <si>
    <t>Room Conversation with Monsieur Roost, Hatha-yogi</t>
  </si>
  <si>
    <t>https://prabhupadavani.org/transcriptions/740531r1gen/</t>
  </si>
  <si>
    <t>Room Conversation with Mr. C. Hennis</t>
  </si>
  <si>
    <t>https://prabhupadavani.org/transcriptions/740531r2gen/</t>
  </si>
  <si>
    <t>Bhagavad-Gita 4.10, Festival at Maison de Faubourg</t>
  </si>
  <si>
    <t>https://prabhupadavani.org/transcriptions/740531bggen/</t>
  </si>
  <si>
    <t>Morning Walk, Partial Recording</t>
  </si>
  <si>
    <t>https://prabhupadavani.org/transcriptions/740601mwgen/</t>
  </si>
  <si>
    <t>Srimad-Bhagavatam 1.13.10</t>
  </si>
  <si>
    <t>https://prabhupadavani.org/transcriptions/740601sbgen/</t>
  </si>
  <si>
    <t>https://prabhupadavani.org/transcriptions/740601bggen/</t>
  </si>
  <si>
    <t>https://prabhupadavani.org/transcriptions/740602mwgen/</t>
  </si>
  <si>
    <t>Srimad-Bhagavatam 1.13.11</t>
  </si>
  <si>
    <t>https://prabhupadavani.org/transcriptions/740602sbgen/</t>
  </si>
  <si>
    <t>https://prabhupadavani.org/transcriptions/740603mwgen/</t>
  </si>
  <si>
    <t>Srimad-Bhagavatam 1.13.12-14</t>
  </si>
  <si>
    <t>https://prabhupadavani.org/transcriptions/740603sbgen/</t>
  </si>
  <si>
    <t>Srimad-Bhagavatam 1.13.15</t>
  </si>
  <si>
    <t>https://prabhupadavani.org/transcriptions/740604sbgen/</t>
  </si>
  <si>
    <t>Room Conversation with Prof. Regamay</t>
  </si>
  <si>
    <t>https://prabhupadavani.org/transcriptions/740604r1gen/</t>
  </si>
  <si>
    <t>Room Conversation with Biochemist Dr. Sallaz</t>
  </si>
  <si>
    <t>https://prabhupadavani.org/transcriptions/740604r2gen/</t>
  </si>
  <si>
    <t>https://prabhupadavani.org/transcriptions/740605mwgen/</t>
  </si>
  <si>
    <t>https://prabhupadavani.org/transcriptions/740605r1gen/</t>
  </si>
  <si>
    <t>Room Conversation with Robert Gouiran</t>
  </si>
  <si>
    <t>https://prabhupadavani.org/transcriptions/740605r2gen/</t>
  </si>
  <si>
    <t>https://prabhupadavani.org/transcriptions/740606mwgen/</t>
  </si>
  <si>
    <t>Bhagavad-Gita 13.35</t>
  </si>
  <si>
    <t>https://prabhupadavani.org/transcriptions/740606bggen/</t>
  </si>
  <si>
    <t>Lecture at World Health Organization</t>
  </si>
  <si>
    <t>https://prabhupadavani.org/transcriptions/740606legen/</t>
  </si>
  <si>
    <t>Bhagavad-Gita 8.1</t>
  </si>
  <si>
    <t>https://prabhupadavani.org/transcriptions/740607bggen/</t>
  </si>
  <si>
    <t>https://prabhupadavani.org/transcriptions/740608mwgen/</t>
  </si>
  <si>
    <t>https://prabhupadavani.org/transcriptions/740608arpar/</t>
  </si>
  <si>
    <t>https://prabhupadavani.org/transcriptions/740609mwpar/</t>
  </si>
  <si>
    <t>https://prabhupadavani.org/transcriptions/740609sbpar/</t>
  </si>
  <si>
    <t>Room Conversation with Christian Priest, Mr. Chenique</t>
  </si>
  <si>
    <t>https://prabhupadavani.org/transcriptions/740610r1par/</t>
  </si>
  <si>
    <t>https://prabhupadavani.org/transcriptions/740611mwpar/</t>
  </si>
  <si>
    <t>https://prabhupadavani.org/transcriptions/740611sbpar/</t>
  </si>
  <si>
    <t>Room Conversation with Monsieur Mesman</t>
  </si>
  <si>
    <t>https://prabhupadavani.org/transcriptions/740611r1par/</t>
  </si>
  <si>
    <t>https://prabhupadavani.org/transcriptions/740612mwpar/</t>
  </si>
  <si>
    <t>https://prabhupadavani.org/transcriptions/740612sbpar/</t>
  </si>
  <si>
    <t>https://prabhupadavani.org/transcriptions/740612crpar/</t>
  </si>
  <si>
    <t>Room Conversation with Roger Maria</t>
  </si>
  <si>
    <t>https://prabhupadavani.org/transcriptions/740612r1par/</t>
  </si>
  <si>
    <t>Room Conversation with M. Lallier, noted French Poet</t>
  </si>
  <si>
    <t>https://prabhupadavani.org/transcriptions/740612r2par/</t>
  </si>
  <si>
    <t>https://prabhupadavani.org/transcriptions/740613mwpar/</t>
  </si>
  <si>
    <t>https://prabhupadavani.org/transcriptions/740613sbpar/</t>
  </si>
  <si>
    <t>Room Conversation with Mr. Deshimaru</t>
  </si>
  <si>
    <t>https://prabhupadavani.org/transcriptions/740613r1par/</t>
  </si>
  <si>
    <t>Room Conversation with Russian Orthodox Church Representative</t>
  </si>
  <si>
    <t>https://prabhupadavani.org/transcriptions/740613r2par/</t>
  </si>
  <si>
    <t>https://prabhupadavani.org/transcriptions/740613bgpar/</t>
  </si>
  <si>
    <t>https://prabhupadavani.org/transcriptions/740614mwpar/</t>
  </si>
  <si>
    <t>Srimad-Bhagavatam 2.1.6</t>
  </si>
  <si>
    <t>https://prabhupadavani.org/transcriptions/740614sbpar/</t>
  </si>
  <si>
    <t>Room Conversation with Professor Olivier Lacombe</t>
  </si>
  <si>
    <t>https://prabhupadavani.org/transcriptions/740614r1par/</t>
  </si>
  <si>
    <t>Lecture at the Hare Krsna Festival at La Salle Pleyel</t>
  </si>
  <si>
    <t>https://prabhupadavani.org/transcriptions/740614lepar/</t>
  </si>
  <si>
    <t>Srimad-Bhagavatam 2.1.7</t>
  </si>
  <si>
    <t>https://prabhupadavani.org/transcriptions/740615sbpar/</t>
  </si>
  <si>
    <t>https://prabhupadavani.org/transcriptions/740615r1par/</t>
  </si>
  <si>
    <t>Room Conversation with Mr. Tran-Van-Kha</t>
  </si>
  <si>
    <t>https://prabhupadavani.org/transcriptions/740615r2par/</t>
  </si>
  <si>
    <t>Germany</t>
  </si>
  <si>
    <t>Bhagavad-Gita 2.1-5</t>
  </si>
  <si>
    <t>https://prabhupadavani.org/transcriptions/740616bgger/</t>
  </si>
  <si>
    <t>https://prabhupadavani.org/transcriptions/740617mwger/</t>
  </si>
  <si>
    <t>Room Conversation with German Women Philosophers</t>
  </si>
  <si>
    <t>https://prabhupadavani.org/transcriptions/740617r1ger/</t>
  </si>
  <si>
    <t>https://prabhupadavani.org/transcriptions/740618bgger/</t>
  </si>
  <si>
    <t>https://prabhupadavani.org/transcriptions/740619mwger/</t>
  </si>
  <si>
    <t>Room Conversation with Professor Durckheim, Dr. P. J. Saher and Professor Porsch</t>
  </si>
  <si>
    <t>https://prabhupadavani.org/transcriptions/740619r1ger/</t>
  </si>
  <si>
    <t>https://prabhupadavani.org/transcriptions/740620mwger/</t>
  </si>
  <si>
    <t>https://prabhupadavani.org/transcriptions/740620r1ger/</t>
  </si>
  <si>
    <t>Morning Walk with Professor Durckheim</t>
  </si>
  <si>
    <t>https://prabhupadavani.org/transcriptions/740621mwger/</t>
  </si>
  <si>
    <t>https://prabhupadavani.org/transcriptions/740622mwger/</t>
  </si>
  <si>
    <t>Room Conversation with Benedictine Monk Pater Emmanuel</t>
  </si>
  <si>
    <t>https://prabhupadavani.org/transcriptions/740622r1ger/</t>
  </si>
  <si>
    <t>Bad Homburg, Germany</t>
  </si>
  <si>
    <t>https://prabhupadavani.org/transcriptions/740622bgger/</t>
  </si>
  <si>
    <t>https://prabhupadavani.org/transcriptions/740623bgger/</t>
  </si>
  <si>
    <t>Bhagavad-Gita 13.22-24</t>
  </si>
  <si>
    <t>https://prabhupadavani.org/transcriptions/740625bgmel/</t>
  </si>
  <si>
    <t>Srimad-Bhagavatam 2.1.1-5</t>
  </si>
  <si>
    <t>https://prabhupadavani.org/transcriptions/740626sbmel/</t>
  </si>
  <si>
    <t>https://prabhupadavani.org/transcriptions/740627mwmel/</t>
  </si>
  <si>
    <t>Bhagavad-Gita 3.27 at Town Hall</t>
  </si>
  <si>
    <t>https://prabhupadavani.org/transcriptions/740627bgmel/</t>
  </si>
  <si>
    <t>Room Conversation with Reverend Gordon Powell</t>
  </si>
  <si>
    <t>https://prabhupadavani.org/transcriptions/740628r1mel/</t>
  </si>
  <si>
    <t>Lecture at St. Pascal's Franciscan Seminary</t>
  </si>
  <si>
    <t>https://prabhupadavani.org/transcriptions/740628lemel/</t>
  </si>
  <si>
    <t>https://prabhupadavani.org/transcriptions/740629mwmel/</t>
  </si>
  <si>
    <t>https://prabhupadavani.org/transcriptions/740629r1mel/</t>
  </si>
  <si>
    <t>Room Conversation with Bishop Kelly</t>
  </si>
  <si>
    <t>https://prabhupadavani.org/transcriptions/740629r2mel/</t>
  </si>
  <si>
    <t>Reporters' Interview</t>
  </si>
  <si>
    <t>https://prabhupadavani.org/transcriptions/740629ivmel/</t>
  </si>
  <si>
    <t>https://prabhupadavani.org/transcriptions/740629bgmel/</t>
  </si>
  <si>
    <t>Bhagavad-Gita 9.1-2</t>
  </si>
  <si>
    <t>https://prabhupadavani.org/transcriptions/740630bgmel/</t>
  </si>
  <si>
    <t>https://prabhupadavani.org/transcriptions/740701inmel/</t>
  </si>
  <si>
    <t>Room Conversation with Bhurijana and Other Devotees</t>
  </si>
  <si>
    <t>https://prabhupadavani.org/transcriptions/740701r1mel/</t>
  </si>
  <si>
    <t>La Trobe University Lecture</t>
  </si>
  <si>
    <t>https://prabhupadavani.org/transcriptions/740701lemel/</t>
  </si>
  <si>
    <t>Room Conversation with Scientists</t>
  </si>
  <si>
    <t>https://prabhupadavani.org/transcriptions/740702r1mel/</t>
  </si>
  <si>
    <t>Room Conversation, Bhagavad-Gita 16.7-23</t>
  </si>
  <si>
    <t>https://prabhupadavani.org/transcriptions/740702r2mel/</t>
  </si>
  <si>
    <t>Chicago</t>
  </si>
  <si>
    <t>https://prabhupadavani.org/transcriptions/740704sbchi/</t>
  </si>
  <si>
    <t>Interview with Envious Reporter</t>
  </si>
  <si>
    <t>https://prabhupadavani.org/transcriptions/740704ivchi/</t>
  </si>
  <si>
    <t>Srimad-Bhagavatam 1.8.19</t>
  </si>
  <si>
    <t>https://prabhupadavani.org/transcriptions/740705sbchi/</t>
  </si>
  <si>
    <t>https://prabhupadavani.org/transcriptions/740708arla/</t>
  </si>
  <si>
    <t>https://prabhupadavani.org/transcriptions/740708r1la/</t>
  </si>
  <si>
    <t>https://prabhupadavani.org/transcriptions/740709mwla/</t>
  </si>
  <si>
    <t>https://prabhupadavani.org/transcriptions/740709sbla/</t>
  </si>
  <si>
    <t>https://prabhupadavani.org/transcriptions/740710sbla/</t>
  </si>
  <si>
    <t>https://prabhupadavani.org/transcriptions/740711sbla/</t>
  </si>
  <si>
    <t>Morning Walk at Marina del Rey</t>
  </si>
  <si>
    <t>https://prabhupadavani.org/transcriptions/740712mwla/</t>
  </si>
  <si>
    <t>https://prabhupadavani.org/transcriptions/740712sbla/</t>
  </si>
  <si>
    <t>Chanting Cc Adi-lila 12th Chapter Verses 1-96</t>
  </si>
  <si>
    <t>https://prabhupadavani.org/transcriptions/740712chla/</t>
  </si>
  <si>
    <t>Morning Walk at Marine del Rey</t>
  </si>
  <si>
    <t>https://prabhupadavani.org/transcriptions/740713mwla/</t>
  </si>
  <si>
    <t>https://prabhupadavani.org/transcriptions/740713sbla/</t>
  </si>
  <si>
    <t>Chanting Cc Adi-lila 13th Chapter Verses 1-124</t>
  </si>
  <si>
    <t>https://prabhupadavani.org/transcriptions/740713chla/</t>
  </si>
  <si>
    <t>https://prabhupadavani.org/transcriptions/740714mwla/</t>
  </si>
  <si>
    <t>https://prabhupadavani.org/transcriptions/740714sbla/</t>
  </si>
  <si>
    <t>Chanting Cc Adi-lila 14th Chapter Verse 1-97</t>
  </si>
  <si>
    <t>https://prabhupadavani.org/transcriptions/740714chla/</t>
  </si>
  <si>
    <t>https://prabhupadavani.org/transcriptions/740715dpla/</t>
  </si>
  <si>
    <t>https://prabhupadavani.org/transcriptions/740718sbnv/</t>
  </si>
  <si>
    <t>https://prabhupadavani.org/transcriptions/740719sbnv/</t>
  </si>
  <si>
    <t>Srimad-Bhagavatam 1.2.19, and Initiation Lecture</t>
  </si>
  <si>
    <t>https://prabhupadavani.org/transcriptions/740721sbnv/</t>
  </si>
  <si>
    <t>https://prabhupadavani.org/transcriptions/740724sbny/</t>
  </si>
  <si>
    <t>https://prabhupadavani.org/transcriptions/740725dpny/</t>
  </si>
  <si>
    <t>https://prabhupadavani.org/transcriptions/740802bgvrn/</t>
  </si>
  <si>
    <t>Srimad-Bhagavatam 1.5.22</t>
  </si>
  <si>
    <t>https://prabhupadavani.org/transcriptions/740803sbvrn/</t>
  </si>
  <si>
    <t>https://prabhupadavani.org/transcriptions/740803bgvrn/</t>
  </si>
  <si>
    <t>Srimad-Bhagavatam 1.5.23</t>
  </si>
  <si>
    <t>https://prabhupadavani.org/transcriptions/740804sbvrn/</t>
  </si>
  <si>
    <t>Bhagavad-Gita 4.12</t>
  </si>
  <si>
    <t>https://prabhupadavani.org/transcriptions/740804bgvrn/</t>
  </si>
  <si>
    <t>Srimad-Bhagavatam 1.5.24</t>
  </si>
  <si>
    <t>https://prabhupadavani.org/transcriptions/740805sbvrn/</t>
  </si>
  <si>
    <t>https://prabhupadavani.org/transcriptions/740805bgvrn/</t>
  </si>
  <si>
    <t>https://prabhupadavani.org/transcriptions/740805r1vrn/</t>
  </si>
  <si>
    <t>https://prabhupadavani.org/transcriptions/740806bgvrn/</t>
  </si>
  <si>
    <t>Srimad-Bhagavatam 1.5.25</t>
  </si>
  <si>
    <t>https://prabhupadavani.org/transcriptions/740806sbvrn/</t>
  </si>
  <si>
    <t>Srimad-Bhagavatam 1.5.28</t>
  </si>
  <si>
    <t>https://prabhupadavani.org/transcriptions/740809sbvrn/</t>
  </si>
  <si>
    <t>https://prabhupadavani.org/transcriptions/740809bgvrn/</t>
  </si>
  <si>
    <t>Srimad-Bhagavatam 1.5.29</t>
  </si>
  <si>
    <t>https://prabhupadavani.org/transcriptions/740810sbvrn/</t>
  </si>
  <si>
    <t>https://prabhupadavani.org/transcriptions/740810bgvrn/</t>
  </si>
  <si>
    <t>Srimad-Bhagavatam 1.5.30</t>
  </si>
  <si>
    <t>https://prabhupadavani.org/transcriptions/740811sbvrn/</t>
  </si>
  <si>
    <t>JanmAa1a1amA, Bhagavad-Gita 7.5</t>
  </si>
  <si>
    <t>https://prabhupadavani.org/transcriptions/740811bgvrn/</t>
  </si>
  <si>
    <t>Srimad-Bhagavatam 1.5.31, partially recorded</t>
  </si>
  <si>
    <t>https://prabhupadavani.org/transcriptions/740812sbvrn/</t>
  </si>
  <si>
    <t>https://prabhupadavani.org/transcriptions/740812bgvrn/</t>
  </si>
  <si>
    <t>Srimad-Bhagavatam 1.5.32</t>
  </si>
  <si>
    <t>https://prabhupadavani.org/transcriptions/740813sbvrn/</t>
  </si>
  <si>
    <t>https://prabhupadavani.org/transcriptions/740813bgvrn/</t>
  </si>
  <si>
    <t>Srimad-Bhagavatam 1.5.33</t>
  </si>
  <si>
    <t>https://prabhupadavani.org/transcriptions/740814sbvrn/</t>
  </si>
  <si>
    <t>https://prabhupadavani.org/transcriptions/740815bgvrn/</t>
  </si>
  <si>
    <t>Srimad-Bhagavatam 1.5.35</t>
  </si>
  <si>
    <t>https://prabhupadavani.org/transcriptions/740816sbvrn/</t>
  </si>
  <si>
    <t>https://prabhupadavani.org/transcriptions/740816bgvrn/</t>
  </si>
  <si>
    <t>Srimad-Bhagavatam 1.5.36</t>
  </si>
  <si>
    <t>https://prabhupadavani.org/transcriptions/740817sbvrn/</t>
  </si>
  <si>
    <t>Ceremony Speech, partially recorded</t>
  </si>
  <si>
    <t>https://prabhupadavani.org/transcriptions/740818spvrn/</t>
  </si>
  <si>
    <t>Sept. 10, 1974</t>
  </si>
  <si>
    <t>https://prabhupadavani.org/transcriptions/740910gcvrn/</t>
  </si>
  <si>
    <t>Sept. 11, 1974</t>
  </si>
  <si>
    <t>https://prabhupadavani.org/transcriptions/740911gcvrn/</t>
  </si>
  <si>
    <t>Sept. 22, 1974</t>
  </si>
  <si>
    <t>https://prabhupadavani.org/transcriptions/740922bgdel/</t>
  </si>
  <si>
    <t>Sept. 23, 1974</t>
  </si>
  <si>
    <t>Radhastami, Bhagavad-Gita 4.10</t>
  </si>
  <si>
    <t>https://prabhupadavani.org/transcriptions/740923bgcal/</t>
  </si>
  <si>
    <t>Sept. 26, 1974</t>
  </si>
  <si>
    <t>https://prabhupadavani.org/transcriptions/740926sbcal/</t>
  </si>
  <si>
    <t>Sept. 27, 1974</t>
  </si>
  <si>
    <t>https://prabhupadavani.org/transcriptions/740927sbcal/</t>
  </si>
  <si>
    <t>Arrival Talk</t>
  </si>
  <si>
    <t>https://prabhupadavani.org/transcriptions/740927armay/</t>
  </si>
  <si>
    <t>Sept. 28, 1974</t>
  </si>
  <si>
    <t>https://prabhupadavani.org/transcriptions/740928sbmay/</t>
  </si>
  <si>
    <t>Sept. 29, 1974</t>
  </si>
  <si>
    <t>https://prabhupadavani.org/transcriptions/740929sbmay/</t>
  </si>
  <si>
    <t>https://prabhupadavani.org/transcriptions/740929lemay/</t>
  </si>
  <si>
    <t>Sept. 30, 1974</t>
  </si>
  <si>
    <t>https://prabhupadavani.org/transcriptions/740930sbmay/</t>
  </si>
  <si>
    <t>https://prabhupadavani.org/transcriptions/741001sbmay/</t>
  </si>
  <si>
    <t>https://prabhupadavani.org/transcriptions/741003sbmay/</t>
  </si>
  <si>
    <t>https://prabhupadavani.org/transcriptions/741003lemay/</t>
  </si>
  <si>
    <t>https://prabhupadavani.org/transcriptions/741004sbmay/</t>
  </si>
  <si>
    <t>https://prabhupadavani.org/transcriptions/741005sbmay/</t>
  </si>
  <si>
    <t>https://prabhupadavani.org/transcriptions/741006sbmay/</t>
  </si>
  <si>
    <t>https://prabhupadavani.org/transcriptions/741007lemay/</t>
  </si>
  <si>
    <t>https://prabhupadavani.org/transcriptions/741008sbmay/</t>
  </si>
  <si>
    <t>https://prabhupadavani.org/transcriptions/741009sbmay/</t>
  </si>
  <si>
    <t>https://prabhupadavani.org/transcriptions/741010sbmay/</t>
  </si>
  <si>
    <t>https://prabhupadavani.org/transcriptions/741011sbmay/</t>
  </si>
  <si>
    <t>https://prabhupadavani.org/transcriptions/741012sbmay/</t>
  </si>
  <si>
    <t>https://prabhupadavani.org/transcriptions/741013sbmay/</t>
  </si>
  <si>
    <t>https://prabhupadavani.org/transcriptions/741014sbmay/</t>
  </si>
  <si>
    <t>https://prabhupadavani.org/transcriptions/741015sbmay/</t>
  </si>
  <si>
    <t>https://prabhupadavani.org/transcriptions/741015lemay/</t>
  </si>
  <si>
    <t>https://prabhupadavani.org/transcriptions/741016sbmay/</t>
  </si>
  <si>
    <t>https://prabhupadavani.org/transcriptions/741016lemay/</t>
  </si>
  <si>
    <t>https://prabhupadavani.org/transcriptions/741019sbmay/</t>
  </si>
  <si>
    <t>https://prabhupadavani.org/transcriptions/741020sbmay/</t>
  </si>
  <si>
    <t>https://prabhupadavani.org/transcriptions/741021sbmay/</t>
  </si>
  <si>
    <t>https://prabhupadavani.org/transcriptions/741022sbmay/</t>
  </si>
  <si>
    <t>https://prabhupadavani.org/transcriptions/741023sbmay/</t>
  </si>
  <si>
    <t>https://prabhupadavani.org/transcriptions/741024sbmay/</t>
  </si>
  <si>
    <t>https://prabhupadavani.org/transcriptions/741025sbmay/</t>
  </si>
  <si>
    <t>https://prabhupadavani.org/transcriptions/741026sbmay/</t>
  </si>
  <si>
    <t>https://prabhupadavani.org/transcriptions/741027sbmay/</t>
  </si>
  <si>
    <t>https://prabhupadavani.org/transcriptions/741028sbmay/</t>
  </si>
  <si>
    <t>Srimad-Bhagavatam 1.8.49</t>
  </si>
  <si>
    <t>https://prabhupadavani.org/transcriptions/741029sbmay/</t>
  </si>
  <si>
    <t>Srimad-Bhagavatam 3.25.1</t>
  </si>
  <si>
    <t>https://prabhupadavani.org/transcriptions/741101sbbom/</t>
  </si>
  <si>
    <t>Srimad-Bhagavatam 3.25.2</t>
  </si>
  <si>
    <t>https://prabhupadavani.org/transcriptions/741102sbbom/</t>
  </si>
  <si>
    <t>Srimad-Bhagavatam 3.25.3</t>
  </si>
  <si>
    <t>https://prabhupadavani.org/transcriptions/741103sbbom/</t>
  </si>
  <si>
    <t>Srimad-Bhagavatam 3.25.4</t>
  </si>
  <si>
    <t>https://prabhupadavani.org/transcriptions/741104sbbom/</t>
  </si>
  <si>
    <t>Srimad-Bhagavatam 3.25.5-6</t>
  </si>
  <si>
    <t>https://prabhupadavani.org/transcriptions/741105sbbom/</t>
  </si>
  <si>
    <t>Srimad-Bhagavatam 3.25.7</t>
  </si>
  <si>
    <t>https://prabhupadavani.org/transcriptions/741107sbbom/</t>
  </si>
  <si>
    <t>Srimad-Bhagavatam 3.25.8</t>
  </si>
  <si>
    <t>https://prabhupadavani.org/transcriptions/741108sbbom/</t>
  </si>
  <si>
    <t>Srimad-Bhagavatam 3.25.9</t>
  </si>
  <si>
    <t>https://prabhupadavani.org/transcriptions/741109sbbom/</t>
  </si>
  <si>
    <t>Srimad-Bhagavatam 3.25.10</t>
  </si>
  <si>
    <t>https://prabhupadavani.org/transcriptions/741110sbbom/</t>
  </si>
  <si>
    <t>Srimad-Bhagavatam 3.25.11</t>
  </si>
  <si>
    <t>https://prabhupadavani.org/transcriptions/741111sbbom/</t>
  </si>
  <si>
    <t>Srimad-Bhagavatam 3.25.12</t>
  </si>
  <si>
    <t>https://prabhupadavani.org/transcriptions/741112sbbom/</t>
  </si>
  <si>
    <t>https://prabhupadavani.org/transcriptions/741113sbbom/</t>
  </si>
  <si>
    <t>Srimad-Bhagavatam 3.25.14</t>
  </si>
  <si>
    <t>https://prabhupadavani.org/transcriptions/741114sbbom/</t>
  </si>
  <si>
    <t>Srimad-Bhagavatam 3.25.15</t>
  </si>
  <si>
    <t>https://prabhupadavani.org/transcriptions/741115sbbom/</t>
  </si>
  <si>
    <t>Srimad-Bhagavatam 3.25.16</t>
  </si>
  <si>
    <t>https://prabhupadavani.org/transcriptions/741116sbbom/</t>
  </si>
  <si>
    <t>Srimad-Bhagavatam 3.25.17</t>
  </si>
  <si>
    <t>https://prabhupadavani.org/transcriptions/741117sbbom/</t>
  </si>
  <si>
    <t>Srimad-Bhagavatam 3.25.18</t>
  </si>
  <si>
    <t>https://prabhupadavani.org/transcriptions/741118sbbom/</t>
  </si>
  <si>
    <t>Srimad-Bhagavatam 3.25.19</t>
  </si>
  <si>
    <t>https://prabhupadavani.org/transcriptions/741119sbbom/</t>
  </si>
  <si>
    <t>Srimad-Bhagavatam 3.25.20</t>
  </si>
  <si>
    <t>https://prabhupadavani.org/transcriptions/741120sbbom/</t>
  </si>
  <si>
    <t>Srimad-Bhagavatam 3.25.21</t>
  </si>
  <si>
    <t>https://prabhupadavani.org/transcriptions/741121sbbom/</t>
  </si>
  <si>
    <t>Srimad-Bhagavatam 3.25.22</t>
  </si>
  <si>
    <t>https://prabhupadavani.org/transcriptions/741122sbbom/</t>
  </si>
  <si>
    <t>Srimad-Bhagavatam 3.25.23</t>
  </si>
  <si>
    <t>https://prabhupadavani.org/transcriptions/741123sbbom/</t>
  </si>
  <si>
    <t>Srimad-Bhagavatam 3.25.24</t>
  </si>
  <si>
    <t>https://prabhupadavani.org/transcriptions/741124sbbom/</t>
  </si>
  <si>
    <t>Srimad-Bhagavatam 3.25.25</t>
  </si>
  <si>
    <t>https://prabhupadavani.org/transcriptions/741125sbbom/</t>
  </si>
  <si>
    <t>Srimad-Bhagavatam 3.25.26</t>
  </si>
  <si>
    <t>https://prabhupadavani.org/transcriptions/741126sbbom/</t>
  </si>
  <si>
    <t>Srimad-Bhagavatam 3.25.27</t>
  </si>
  <si>
    <t>https://prabhupadavani.org/transcriptions/741127sbbom/</t>
  </si>
  <si>
    <t>Srimad-Bhagavatam 3.25.28</t>
  </si>
  <si>
    <t>https://prabhupadavani.org/transcriptions/741128sbbom/</t>
  </si>
  <si>
    <t>Srimad-Bhagavatam 3.25.29</t>
  </si>
  <si>
    <t>https://prabhupadavani.org/transcriptions/741129sbbom/</t>
  </si>
  <si>
    <t>Srimad-Bhagavatam 3.25.30</t>
  </si>
  <si>
    <t>https://prabhupadavani.org/transcriptions/741130sbbom/</t>
  </si>
  <si>
    <t>Srimad-Bhagavatam 3.25.31</t>
  </si>
  <si>
    <t>https://prabhupadavani.org/transcriptions/741201sbbom/</t>
  </si>
  <si>
    <t>Srimad-Bhagavatam 3.25.32</t>
  </si>
  <si>
    <t>https://prabhupadavani.org/transcriptions/741202sbbom/</t>
  </si>
  <si>
    <t>Srimad-Bhagavatam 3.25.33-34</t>
  </si>
  <si>
    <t>https://prabhupadavani.org/transcriptions/741203sbbom/</t>
  </si>
  <si>
    <t>Srimad-Bhagavatam 3.25.35</t>
  </si>
  <si>
    <t>https://prabhupadavani.org/transcriptions/741204sbbom/</t>
  </si>
  <si>
    <t>Srimad-Bhagavatam 3.25.36</t>
  </si>
  <si>
    <t>https://prabhupadavani.org/transcriptions/741205sbbom/</t>
  </si>
  <si>
    <t>Srimad-Bhagavatam 3.25.37</t>
  </si>
  <si>
    <t>https://prabhupadavani.org/transcriptions/741206sbbom/</t>
  </si>
  <si>
    <t>Srimad-Bhagavatam 3.25.38</t>
  </si>
  <si>
    <t>https://prabhupadavani.org/transcriptions/741207sbbom/</t>
  </si>
  <si>
    <t>Srimad-Bhagavatam 3.25.39-40</t>
  </si>
  <si>
    <t>https://prabhupadavani.org/transcriptions/741208sbbom/</t>
  </si>
  <si>
    <t>Srimad-Bhagavatam 3.25.41</t>
  </si>
  <si>
    <t>https://prabhupadavani.org/transcriptions/741209sbbom/</t>
  </si>
  <si>
    <t>Srimad-Bhagavatam 3.25.42</t>
  </si>
  <si>
    <t>https://prabhupadavani.org/transcriptions/741210sbbom/</t>
  </si>
  <si>
    <t>Srimad-Bhagavatam 3.25.43</t>
  </si>
  <si>
    <t>https://prabhupadavani.org/transcriptions/741211sbbom/</t>
  </si>
  <si>
    <t>Srimad-Bhagavatam 3.25.44</t>
  </si>
  <si>
    <t>https://prabhupadavani.org/transcriptions/741212sbbom/</t>
  </si>
  <si>
    <t>Srimad-Bhagavatam 3.26.1</t>
  </si>
  <si>
    <t>https://prabhupadavani.org/transcriptions/741213sbbom/</t>
  </si>
  <si>
    <t>Srimad-Bhagavatam 3.26.2</t>
  </si>
  <si>
    <t>https://prabhupadavani.org/transcriptions/741214sbbom/</t>
  </si>
  <si>
    <t>Srimad-Bhagavatam 3.26.3</t>
  </si>
  <si>
    <t>https://prabhupadavani.org/transcriptions/741215sbbom/</t>
  </si>
  <si>
    <t>Srimad-Bhagavatam 3.26.4</t>
  </si>
  <si>
    <t>https://prabhupadavani.org/transcriptions/741216sbbom/</t>
  </si>
  <si>
    <t>Srimad-Bhagavatam 3.26.5</t>
  </si>
  <si>
    <t>https://prabhupadavani.org/transcriptions/741217sbbom/</t>
  </si>
  <si>
    <t>Srimad-Bhagavatam 3.26.6</t>
  </si>
  <si>
    <t>https://prabhupadavani.org/transcriptions/741218sbbom/</t>
  </si>
  <si>
    <t>Srimad-Bhagavatam 3.26.7</t>
  </si>
  <si>
    <t>https://prabhupadavani.org/transcriptions/741219sbbom/</t>
  </si>
  <si>
    <t>Srimad-Bhagavatam 3.26.8</t>
  </si>
  <si>
    <t>https://prabhupadavani.org/transcriptions/741220sbbom/</t>
  </si>
  <si>
    <t>Srimad-Bhagavatam 3.26.9</t>
  </si>
  <si>
    <t>https://prabhupadavani.org/transcriptions/741221sbbom/</t>
  </si>
  <si>
    <t>Srimad-Bhagavatam 3.26.10</t>
  </si>
  <si>
    <t>https://prabhupadavani.org/transcriptions/741222sbbom/</t>
  </si>
  <si>
    <t>Srimad-Bhagavatam 3.26.11-14</t>
  </si>
  <si>
    <t>https://prabhupadavani.org/transcriptions/741223sbbom/</t>
  </si>
  <si>
    <t>Srimad-Bhagavatam 3.26.15</t>
  </si>
  <si>
    <t>https://prabhupadavani.org/transcriptions/741224sbbom/</t>
  </si>
  <si>
    <t>Srimad-Bhagavatam 3.26.16</t>
  </si>
  <si>
    <t>https://prabhupadavani.org/transcriptions/741225sbbom/</t>
  </si>
  <si>
    <t>Srimad-Bhagavatam 3.26.17</t>
  </si>
  <si>
    <t>https://prabhupadavani.org/transcriptions/741226sbbom/</t>
  </si>
  <si>
    <t>Srimad-Bhagavatam 3.26.18</t>
  </si>
  <si>
    <t>https://prabhupadavani.org/transcriptions/741227sbbom/</t>
  </si>
  <si>
    <t>Srimad-Bhagavatam 3.26.19</t>
  </si>
  <si>
    <t>https://prabhupadavani.org/transcriptions/741228sbbom/</t>
  </si>
  <si>
    <t>Srimad-Bhagavatam 3.26.20</t>
  </si>
  <si>
    <t>https://prabhupadavani.org/transcriptions/741229sbbom/</t>
  </si>
  <si>
    <t>Srimad-Bhagavatam 3.26.21</t>
  </si>
  <si>
    <t>https://prabhupadavani.org/transcriptions/741230sbbom/</t>
  </si>
  <si>
    <t>Srimad-Bhagavatam 3.26.22</t>
  </si>
  <si>
    <t>https://prabhupadavani.org/transcriptions/741231sbbom/</t>
  </si>
  <si>
    <t>Srimad-Bhagavatam 3.26.23-4</t>
  </si>
  <si>
    <t>https://prabhupadavani.org/transcriptions/750101sbbom/</t>
  </si>
  <si>
    <t>Srimad-Bhagavatam 3.26.25</t>
  </si>
  <si>
    <t>https://prabhupadavani.org/transcriptions/750102sbbom/</t>
  </si>
  <si>
    <t>Srimad-Bhagavatam 3.26.26</t>
  </si>
  <si>
    <t>https://prabhupadavani.org/transcriptions/750103sbbom/</t>
  </si>
  <si>
    <t>https://prabhupadavani.org/transcriptions/750103r1bom/</t>
  </si>
  <si>
    <t>Srimad-Bhagavatam 3.26.27</t>
  </si>
  <si>
    <t>https://prabhupadavani.org/transcriptions/750104sbbom/</t>
  </si>
  <si>
    <t>Srimad-Bhagavatam 3.26.28</t>
  </si>
  <si>
    <t>https://prabhupadavani.org/transcriptions/750105sbbom/</t>
  </si>
  <si>
    <t>Srimad-Bhagavatam 3.26.29</t>
  </si>
  <si>
    <t>https://prabhupadavani.org/transcriptions/750106sbbom/</t>
  </si>
  <si>
    <t>Srimad-Bhagavatam 3.26.30</t>
  </si>
  <si>
    <t>https://prabhupadavani.org/transcriptions/750107sbbom/</t>
  </si>
  <si>
    <t>Srimad-Bhagavatam 3.26.31</t>
  </si>
  <si>
    <t>https://prabhupadavani.org/transcriptions/750108sbbom/</t>
  </si>
  <si>
    <t>Srimad-Bhagavatam 3.26.32</t>
  </si>
  <si>
    <t>https://prabhupadavani.org/transcriptions/750109sbbom/</t>
  </si>
  <si>
    <t>Srimad-Bhagavatam 3.26.34</t>
  </si>
  <si>
    <t>https://prabhupadavani.org/transcriptions/750111sbbom/</t>
  </si>
  <si>
    <t>Srimad-Bhagavatam 3.26.35-36</t>
  </si>
  <si>
    <t>https://prabhupadavani.org/transcriptions/750112sbbom/</t>
  </si>
  <si>
    <t>Srimad-Bhagavatam 3.26.39</t>
  </si>
  <si>
    <t>https://prabhupadavani.org/transcriptions/750114sbbom/</t>
  </si>
  <si>
    <t>Srimad-Bhagavatam 3.26.40</t>
  </si>
  <si>
    <t>https://prabhupadavani.org/transcriptions/750115sbbom/</t>
  </si>
  <si>
    <t>Srimad-Bhagavatam 3.26.41</t>
  </si>
  <si>
    <t>https://prabhupadavani.org/transcriptions/750116sbbom/</t>
  </si>
  <si>
    <t>Srimad-Bhagavatam 3.26.42</t>
  </si>
  <si>
    <t>https://prabhupadavani.org/transcriptions/750117sbbom/</t>
  </si>
  <si>
    <t>Srimad-Bhagavatam 3.26.43</t>
  </si>
  <si>
    <t>https://prabhupadavani.org/transcriptions/750118sbbom/</t>
  </si>
  <si>
    <t>Srimad-Bhagavatam 3.26.44</t>
  </si>
  <si>
    <t>https://prabhupadavani.org/transcriptions/750119sbbom/</t>
  </si>
  <si>
    <t>Srimad-Bhagavatam 3.26.45</t>
  </si>
  <si>
    <t>https://prabhupadavani.org/transcriptions/750120sbbom/</t>
  </si>
  <si>
    <t>Srimad-Bhagavatam 3.26.46</t>
  </si>
  <si>
    <t>https://prabhupadavani.org/transcriptions/750121sbbom/</t>
  </si>
  <si>
    <t>Srimad-Bhagavatam 3.26.47</t>
  </si>
  <si>
    <t>https://prabhupadavani.org/transcriptions/750122sbbom/</t>
  </si>
  <si>
    <t>Cornerstone Laying, Bhagavad-Gita 16.7-9</t>
  </si>
  <si>
    <t>https://prabhupadavani.org/transcriptions/750123csbom/</t>
  </si>
  <si>
    <t>https://prabhupadavani.org/transcriptions/750125bghk/</t>
  </si>
  <si>
    <t>Childrens Darsana</t>
  </si>
  <si>
    <t>https://prabhupadavani.org/transcriptions/750126cdhk/</t>
  </si>
  <si>
    <t>Bhagavad-Gita 16.7</t>
  </si>
  <si>
    <t>https://prabhupadavani.org/transcriptions/750127bgtok/</t>
  </si>
  <si>
    <t>https://prabhupadavani.org/transcriptions/750127r1tok/</t>
  </si>
  <si>
    <t>Bhagavad-Gita 16.8</t>
  </si>
  <si>
    <t>https://prabhupadavani.org/transcriptions/750128bgtok/</t>
  </si>
  <si>
    <t>Bhagavad-Gita 16.1-3</t>
  </si>
  <si>
    <t>https://prabhupadavani.org/transcriptions/750129bghon/</t>
  </si>
  <si>
    <t>Bhagavad-Gita 16.4</t>
  </si>
  <si>
    <t>https://prabhupadavani.org/transcriptions/750130bghon/</t>
  </si>
  <si>
    <t>https://prabhupadavani.org/transcriptions/750131bghon/</t>
  </si>
  <si>
    <t>Bhagavad-Gita 16.6</t>
  </si>
  <si>
    <t>https://prabhupadavani.org/transcriptions/750202bghon/</t>
  </si>
  <si>
    <t>https://prabhupadavani.org/transcriptions/750203mwhon/</t>
  </si>
  <si>
    <t>https://prabhupadavani.org/transcriptions/750203bghon/</t>
  </si>
  <si>
    <t>https://prabhupadavani.org/transcriptions/750204mwhon/</t>
  </si>
  <si>
    <t>https://prabhupadavani.org/transcriptions/750204bghon/</t>
  </si>
  <si>
    <t>Bhagavad-Gita 16.9</t>
  </si>
  <si>
    <t>https://prabhupadavani.org/transcriptions/750205bghon/</t>
  </si>
  <si>
    <t>Bhagavad-Gita 16.10</t>
  </si>
  <si>
    <t>https://prabhupadavani.org/transcriptions/750206bghon/</t>
  </si>
  <si>
    <t>Bhagavad-Gita 16.11-12</t>
  </si>
  <si>
    <t>https://prabhupadavani.org/transcriptions/750207bghon/</t>
  </si>
  <si>
    <t>Bhagavad-Gita 16.13-15</t>
  </si>
  <si>
    <t>https://prabhupadavani.org/transcriptions/750208bghon/</t>
  </si>
  <si>
    <t>https://prabhupadavani.org/transcriptions/750209arla/</t>
  </si>
  <si>
    <t>Morning Walk Through the BBT Warehouse</t>
  </si>
  <si>
    <t>https://prabhupadavani.org/transcriptions/750210mwla/</t>
  </si>
  <si>
    <t>Srimad-Bhagavatam 2.8.7</t>
  </si>
  <si>
    <t>https://prabhupadavani.org/transcriptions/750210sbla/</t>
  </si>
  <si>
    <t>https://prabhupadavani.org/transcriptions/750211armex/</t>
  </si>
  <si>
    <t>https://prabhupadavani.org/transcriptions/750211bgmex/</t>
  </si>
  <si>
    <t>https://prabhupadavani.org/transcriptions/750212bgmex/</t>
  </si>
  <si>
    <t>https://prabhupadavani.org/transcriptions/750212r1mex/</t>
  </si>
  <si>
    <t>Room Conversation with Woman Sanskrit Professor</t>
  </si>
  <si>
    <t>https://prabhupadavani.org/transcriptions/750213r1mex/</t>
  </si>
  <si>
    <t>https://prabhupadavani.org/transcriptions/750214bgmex/</t>
  </si>
  <si>
    <t>https://prabhupadavani.org/transcriptions/750214qamex/</t>
  </si>
  <si>
    <t>https://prabhupadavani.org/transcriptions/750215r1mex/</t>
  </si>
  <si>
    <t>https://prabhupadavani.org/transcriptions/750215bgmex/</t>
  </si>
  <si>
    <t>https://prabhupadavani.org/transcriptions/750216bgmex/</t>
  </si>
  <si>
    <t>https://prabhupadavani.org/transcriptions/750217bgmex/</t>
  </si>
  <si>
    <t>Departure Lecture</t>
  </si>
  <si>
    <t>https://prabhupadavani.org/transcriptions/750218dpmex/</t>
  </si>
  <si>
    <t>Caracas</t>
  </si>
  <si>
    <t>Room Conversation with Professors</t>
  </si>
  <si>
    <t>https://prabhupadavani.org/transcriptions/750219r1car/</t>
  </si>
  <si>
    <t>https://prabhupadavani.org/transcriptions/750220sbcar/</t>
  </si>
  <si>
    <t>https://prabhupadavani.org/transcriptions/750221mwcar/</t>
  </si>
  <si>
    <t>https://prabhupadavani.org/transcriptions/750221sbcar/</t>
  </si>
  <si>
    <t>Room Conversation with Metaphysics Society</t>
  </si>
  <si>
    <t>https://prabhupadavani.org/transcriptions/750221r1car/</t>
  </si>
  <si>
    <t>Room Conversation with Psychiatrists</t>
  </si>
  <si>
    <t>https://prabhupadavani.org/transcriptions/750222r1car/</t>
  </si>
  <si>
    <t>https://prabhupadavani.org/transcriptions/750222incar/</t>
  </si>
  <si>
    <t>https://prabhupadavani.org/transcriptions/750223mwcar/</t>
  </si>
  <si>
    <t>https://prabhupadavani.org/transcriptions/750223sbcar/</t>
  </si>
  <si>
    <t>https://prabhupadavani.org/transcriptions/750224sbcar/</t>
  </si>
  <si>
    <t>https://prabhupadavani.org/transcriptions/750225dpcar/</t>
  </si>
  <si>
    <t>Miami</t>
  </si>
  <si>
    <t>https://prabhupadavani.org/transcriptions/750225armia/</t>
  </si>
  <si>
    <t>https://prabhupadavani.org/transcriptions/750225bgmia/</t>
  </si>
  <si>
    <t>https://prabhupadavani.org/transcriptions/750226bgmia/</t>
  </si>
  <si>
    <t>https://prabhupadavani.org/transcriptions/750227bgmia/</t>
  </si>
  <si>
    <t>Atlanta</t>
  </si>
  <si>
    <t>https://prabhupadavani.org/transcriptions/750228aratl/</t>
  </si>
  <si>
    <t>Room Conversation with Svarupa Damodara</t>
  </si>
  <si>
    <t>https://prabhupadavani.org/transcriptions/750228r1atl/</t>
  </si>
  <si>
    <t>Purport to Parama Koruna</t>
  </si>
  <si>
    <t>https://prabhupadavani.org/transcriptions/750228puatl/</t>
  </si>
  <si>
    <t>https://prabhupadavani.org/transcriptions/750301mwatl/</t>
  </si>
  <si>
    <t>Room Conversation with three Trappist Monks</t>
  </si>
  <si>
    <t>https://prabhupadavani.org/transcriptions/750301r1atl/</t>
  </si>
  <si>
    <t>https://prabhupadavani.org/transcriptions/750301r2atl/</t>
  </si>
  <si>
    <t>https://prabhupadavani.org/transcriptions/750301ccatl/</t>
  </si>
  <si>
    <t>https://prabhupadavani.org/transcriptions/750302mwatl/</t>
  </si>
  <si>
    <t>Srila Bhaktisiddhanta Appearance Day Lecture</t>
  </si>
  <si>
    <t>https://prabhupadavani.org/transcriptions/750302baatl/</t>
  </si>
  <si>
    <t>https://prabhupadavani.org/transcriptions/750302r2atl/</t>
  </si>
  <si>
    <t>Room Conversation with Tripurari</t>
  </si>
  <si>
    <t>https://prabhupadavani.org/transcriptions/750302r1atl/</t>
  </si>
  <si>
    <t>https://prabhupadavani.org/transcriptions/750302leatl/</t>
  </si>
  <si>
    <t>https://prabhupadavani.org/transcriptions/750303ledal/</t>
  </si>
  <si>
    <t>Srimad-Bhagavatam 3.12.19</t>
  </si>
  <si>
    <t>https://prabhupadavani.org/transcriptions/750303sbdal/</t>
  </si>
  <si>
    <t>https://prabhupadavani.org/transcriptions/750304mwdal/</t>
  </si>
  <si>
    <t>Sri Caitanya-caritamrta, Adi-lila 1.15</t>
  </si>
  <si>
    <t>https://prabhupadavani.org/transcriptions/750304ccdal/</t>
  </si>
  <si>
    <t>https://prabhupadavani.org/transcriptions/750305sbny/</t>
  </si>
  <si>
    <t>https://prabhupadavani.org/transcriptions/750305ivny/</t>
  </si>
  <si>
    <t>https://prabhupadavani.org/transcriptions/750306s2ny/</t>
  </si>
  <si>
    <t>Srimad-Bhagavatam 2.2.6</t>
  </si>
  <si>
    <t>https://prabhupadavani.org/transcriptions/750306sbny/</t>
  </si>
  <si>
    <t>Srimad-Bhagavatam [partially recorded]</t>
  </si>
  <si>
    <t>https://prabhupadavani.org/transcriptions/750307sbny/</t>
  </si>
  <si>
    <t>https://prabhupadavani.org/transcriptions/750308arlon/</t>
  </si>
  <si>
    <t>Bhajans and Room Conversation</t>
  </si>
  <si>
    <t>https://prabhupadavani.org/transcriptions/750308r1lon/</t>
  </si>
  <si>
    <t>https://prabhupadavani.org/transcriptions/750309r1lon/</t>
  </si>
  <si>
    <t>https://prabhupadavani.org/transcriptions/750309bglon/</t>
  </si>
  <si>
    <t>https://prabhupadavani.org/transcriptions/750310bglon/</t>
  </si>
  <si>
    <t>https://prabhupadavani.org/transcriptions/750311mwlon/</t>
  </si>
  <si>
    <t>https://prabhupadavani.org/transcriptions/750311bglon/</t>
  </si>
  <si>
    <t>https://prabhupadavani.org/transcriptions/750312dplon/</t>
  </si>
  <si>
    <t>Tehran</t>
  </si>
  <si>
    <t>https://prabhupadavani.org/transcriptions/750313mwteh/</t>
  </si>
  <si>
    <t>Srimad-Bhagavatam 1.10.3-4</t>
  </si>
  <si>
    <t>https://prabhupadavani.org/transcriptions/750313sbteh/</t>
  </si>
  <si>
    <t>https://prabhupadavani.org/transcriptions/750313r2teh/</t>
  </si>
  <si>
    <t>Room Conversation with Canadian Ambassador to Iran</t>
  </si>
  <si>
    <t>https://prabhupadavani.org/transcriptions/750313r1teh/</t>
  </si>
  <si>
    <t>https://prabhupadavani.org/transcriptions/750314mwteh/</t>
  </si>
  <si>
    <t>Room Conversation with Yoga Student and Other Guests</t>
  </si>
  <si>
    <t>https://prabhupadavani.org/transcriptions/750314r1teh/</t>
  </si>
  <si>
    <t>https://prabhupadavani.org/transcriptions/750314r2teh/</t>
  </si>
  <si>
    <t>https://prabhupadavani.org/transcriptions/750315mwteh/</t>
  </si>
  <si>
    <t>https://prabhupadavani.org/transcriptions/750315r1teh/</t>
  </si>
  <si>
    <t>https://prabhupadavani.org/transcriptions/750320arcal/</t>
  </si>
  <si>
    <t>Room Conversation with Press Representative</t>
  </si>
  <si>
    <t>https://prabhupadavani.org/transcriptions/750321r1cal/</t>
  </si>
  <si>
    <t>Srimad-Bhagavatam 1.2.6 -- [Hindi-Translated into English]</t>
  </si>
  <si>
    <t>https://prabhupadavani.org/transcriptions/750321sbcal/</t>
  </si>
  <si>
    <t>Srimad-Bhagavatam 1.2.7 -- [Hindi Translated into English]</t>
  </si>
  <si>
    <t>https://prabhupadavani.org/transcriptions/750322sbcal/</t>
  </si>
  <si>
    <t>Arrival Talk in Room</t>
  </si>
  <si>
    <t>https://prabhupadavani.org/transcriptions/750323armay/</t>
  </si>
  <si>
    <t>Srimad-Bhagavatam 1.2.8 -- [Hindi--final proofreading pending]</t>
  </si>
  <si>
    <t>https://prabhupadavani.org/transcriptions/750323sbcal/</t>
  </si>
  <si>
    <t>https://prabhupadavani.org/transcriptions/750325mwmay/</t>
  </si>
  <si>
    <t>Sri Caitanya-caritamrta, Adi-lila 1.1</t>
  </si>
  <si>
    <t>https://prabhupadavani.org/transcriptions/750325ccmay/</t>
  </si>
  <si>
    <t>https://prabhupadavani.org/transcriptions/750326mwmay/</t>
  </si>
  <si>
    <t>Sri Caitanya-caritamrta, Adi-lila 1.2</t>
  </si>
  <si>
    <t>https://prabhupadavani.org/transcriptions/750326ccmay/</t>
  </si>
  <si>
    <t>Sri Caitanya-caritamrta, Adi-lila 1.3</t>
  </si>
  <si>
    <t>https://prabhupadavani.org/transcriptions/750327ccmay/</t>
  </si>
  <si>
    <t>https://prabhupadavani.org/transcriptions/750327r1may/</t>
  </si>
  <si>
    <t>Sri Caitanya-caritamrta, Adi-lila 1.4</t>
  </si>
  <si>
    <t>https://prabhupadavani.org/transcriptions/750328ccmay/</t>
  </si>
  <si>
    <t>Sri Caitanya-caritamrta, Adi-lila 1.5</t>
  </si>
  <si>
    <t>https://prabhupadavani.org/transcriptions/750329ccmay/</t>
  </si>
  <si>
    <t>Lecture after Manipur Dancing</t>
  </si>
  <si>
    <t>https://prabhupadavani.org/transcriptions/750329lemay/</t>
  </si>
  <si>
    <t>Conversation with a German Girl and Devotees</t>
  </si>
  <si>
    <t>https://prabhupadavani.org/transcriptions/750330r1may/</t>
  </si>
  <si>
    <t>Sri Caitanya-caritamrta, Adi-lila 1.6</t>
  </si>
  <si>
    <t>https://prabhupadavani.org/transcriptions/750330ccmay/</t>
  </si>
  <si>
    <t>Meeting with GBC</t>
  </si>
  <si>
    <t>https://prabhupadavani.org/transcriptions/750330r2may/</t>
  </si>
  <si>
    <t>Sri Caitanya-caritamrta, Adi-lila 1.7</t>
  </si>
  <si>
    <t>https://prabhupadavani.org/transcriptions/750331ccmay/</t>
  </si>
  <si>
    <t>https://prabhupadavani.org/transcriptions/750331r1may/</t>
  </si>
  <si>
    <t>https://prabhupadavani.org/transcriptions/750401mwmay/</t>
  </si>
  <si>
    <t>Sri Caitanya-caritamrta, Adi-lila 1.8</t>
  </si>
  <si>
    <t>https://prabhupadavani.org/transcriptions/750401ccmay/</t>
  </si>
  <si>
    <t>Conversation with Devotees on Theology</t>
  </si>
  <si>
    <t>https://prabhupadavani.org/transcriptions/750401r1may/</t>
  </si>
  <si>
    <t>https://prabhupadavani.org/transcriptions/750402mwmay/</t>
  </si>
  <si>
    <t>Sri Caitanya-caritamrta, Adi-lila 1.9</t>
  </si>
  <si>
    <t>https://prabhupadavani.org/transcriptions/750402ccmay/</t>
  </si>
  <si>
    <t>https://prabhupadavani.org/transcriptions/750403mwmay/</t>
  </si>
  <si>
    <t>Sri Caitanya-caritamrta, Adi-lila 1.10</t>
  </si>
  <si>
    <t>https://prabhupadavani.org/transcriptions/750403ccmay/</t>
  </si>
  <si>
    <t>Morning Walk [World War III]</t>
  </si>
  <si>
    <t>https://prabhupadavani.org/transcriptions/750404mwmay/</t>
  </si>
  <si>
    <t>Sri Caitanya-caritamrta, Adi-lila 1.11</t>
  </si>
  <si>
    <t>https://prabhupadavani.org/transcriptions/750404ccmay/</t>
  </si>
  <si>
    <t>https://prabhupadavani.org/transcriptions/750404r1may/</t>
  </si>
  <si>
    <t>https://prabhupadavani.org/transcriptions/750405mwmay/</t>
  </si>
  <si>
    <t>Sri Caitanya-caritamrta, Adi-lila 1.12</t>
  </si>
  <si>
    <t>https://prabhupadavani.org/transcriptions/750405ccmay/</t>
  </si>
  <si>
    <t>https://prabhupadavani.org/transcriptions/750406mwmay/</t>
  </si>
  <si>
    <t>Sri Caitanya-caritamrta, Adi-lila 1.13</t>
  </si>
  <si>
    <t>https://prabhupadavani.org/transcriptions/750406ccmay/</t>
  </si>
  <si>
    <t>Lecture After Play</t>
  </si>
  <si>
    <t>https://prabhupadavani.org/transcriptions/750406lemay/</t>
  </si>
  <si>
    <t>https://prabhupadavani.org/transcriptions/750407mwmay/</t>
  </si>
  <si>
    <t>Sri Caitanya-caritamrta, Adi-lila 1.14</t>
  </si>
  <si>
    <t>https://prabhupadavani.org/transcriptions/750407ccmay/</t>
  </si>
  <si>
    <t>https://prabhupadavani.org/transcriptions/750408mwmay/</t>
  </si>
  <si>
    <t>https://prabhupadavani.org/transcriptions/750408ccmay/</t>
  </si>
  <si>
    <t>https://prabhupadavani.org/transcriptions/750409mwmay/</t>
  </si>
  <si>
    <t>Sri Caitanya-caritamrta, Adi-lila 1.16</t>
  </si>
  <si>
    <t>https://prabhupadavani.org/transcriptions/750409ccmay/</t>
  </si>
  <si>
    <t>https://prabhupadavani.org/transcriptions/750410sbhyd/</t>
  </si>
  <si>
    <t>https://prabhupadavani.org/transcriptions/750411sbhyd/</t>
  </si>
  <si>
    <t>https://prabhupadavani.org/transcriptions/750412sbhyd/</t>
  </si>
  <si>
    <t>Conversation with Indian Guests</t>
  </si>
  <si>
    <t>https://prabhupadavani.org/transcriptions/750412r1hyd/</t>
  </si>
  <si>
    <t>https://prabhupadavani.org/transcriptions/750412r2hyd/</t>
  </si>
  <si>
    <t>https://prabhupadavani.org/transcriptions/750412r3hyd/</t>
  </si>
  <si>
    <t>https://prabhupadavani.org/transcriptions/750413sbhyd/</t>
  </si>
  <si>
    <t>https://prabhupadavani.org/transcriptions/750414r1hyd/</t>
  </si>
  <si>
    <t>Lecture on Science of Krsna</t>
  </si>
  <si>
    <t>https://prabhupadavani.org/transcriptions/750414lehyd/</t>
  </si>
  <si>
    <t>Life Member House Lecture</t>
  </si>
  <si>
    <t>https://prabhupadavani.org/transcriptions/750414l2hyd/</t>
  </si>
  <si>
    <t>https://prabhupadavani.org/transcriptions/750415sbhyd/</t>
  </si>
  <si>
    <t>https://prabhupadavani.org/transcriptions/750417mwvrn/</t>
  </si>
  <si>
    <t>Bhagavad-Gita 9.1</t>
  </si>
  <si>
    <t>https://prabhupadavani.org/transcriptions/750417bgvrn/</t>
  </si>
  <si>
    <t>https://prabhupadavani.org/transcriptions/750418sbvrn/</t>
  </si>
  <si>
    <t>https://prabhupadavani.org/transcriptions/750419mwvrn/</t>
  </si>
  <si>
    <t>https://prabhupadavani.org/transcriptions/750419r1vrn/</t>
  </si>
  <si>
    <t>Speech, Sri Caitanya-caritamrta, Madhya 19.53</t>
  </si>
  <si>
    <t>https://prabhupadavani.org/transcriptions/750420spvrn/</t>
  </si>
  <si>
    <t>Conversation with Governor</t>
  </si>
  <si>
    <t>https://prabhupadavani.org/transcriptions/750420r1vrn/</t>
  </si>
  <si>
    <t>https://prabhupadavani.org/transcriptions/750423mwvrn/</t>
  </si>
  <si>
    <t>https://prabhupadavani.org/transcriptions/750423sbvrn/</t>
  </si>
  <si>
    <t>Srimad-Bhagavatam 1.7.7</t>
  </si>
  <si>
    <t>https://prabhupadavani.org/transcriptions/750424sbvrn/</t>
  </si>
  <si>
    <t>Explanation of Nrsimha-vallabha Gosvami Speech</t>
  </si>
  <si>
    <t>https://prabhupadavani.org/transcriptions/750427spvrn/</t>
  </si>
  <si>
    <t>https://prabhupadavani.org/transcriptions/750428mwvrn/</t>
  </si>
  <si>
    <t>Perth</t>
  </si>
  <si>
    <t>Evening Discussion</t>
  </si>
  <si>
    <t>https://prabhupadavani.org/transcriptions/750506edper/</t>
  </si>
  <si>
    <t>https://prabhupadavani.org/transcriptions/750507mwper/</t>
  </si>
  <si>
    <t>https://prabhupadavani.org/transcriptions/750508mwper/</t>
  </si>
  <si>
    <t>Room Conversation with Kim Cornish</t>
  </si>
  <si>
    <t>https://prabhupadavani.org/transcriptions/750508r1per/</t>
  </si>
  <si>
    <t>Morning Walk on Beach</t>
  </si>
  <si>
    <t>https://prabhupadavani.org/transcriptions/750509mwper/</t>
  </si>
  <si>
    <t>Room Conversation with Carol Cameron</t>
  </si>
  <si>
    <t>https://prabhupadavani.org/transcriptions/750510r1per/</t>
  </si>
  <si>
    <t>https://prabhupadavani.org/transcriptions/750510mwper/</t>
  </si>
  <si>
    <t>https://prabhupadavani.org/transcriptions/750511mwper/</t>
  </si>
  <si>
    <t>https://prabhupadavani.org/transcriptions/750512mwper/</t>
  </si>
  <si>
    <t>Room Coversation with Psychiatrist and Indian Boy</t>
  </si>
  <si>
    <t>https://prabhupadavani.org/transcriptions/750512r1per/</t>
  </si>
  <si>
    <t>https://prabhupadavani.org/transcriptions/750513mwper/</t>
  </si>
  <si>
    <t>Room Conversation with Justin Murphy [Geographer]</t>
  </si>
  <si>
    <t>https://prabhupadavani.org/transcriptions/750513r1per/</t>
  </si>
  <si>
    <t>Room Conversation with Ganesa dasa's Mother and Sister</t>
  </si>
  <si>
    <t>https://prabhupadavani.org/transcriptions/750513r3per/</t>
  </si>
  <si>
    <t>https://prabhupadavani.org/transcriptions/750513r2per/</t>
  </si>
  <si>
    <t>https://prabhupadavani.org/transcriptions/750514mwper/</t>
  </si>
  <si>
    <t>https://prabhupadavani.org/transcriptions/750515mwper/</t>
  </si>
  <si>
    <t>https://prabhupadavani.org/transcriptions/750516mwper/</t>
  </si>
  <si>
    <t>https://prabhupadavani.org/transcriptions/750516r1per/</t>
  </si>
  <si>
    <t>Room Conversation with Alcohol and Drug Hospital People</t>
  </si>
  <si>
    <t>https://prabhupadavani.org/transcriptions/750516r2per/</t>
  </si>
  <si>
    <t>https://prabhupadavani.org/transcriptions/750517mwper/</t>
  </si>
  <si>
    <t>https://prabhupadavani.org/transcriptions/750517r1per/</t>
  </si>
  <si>
    <t>https://prabhupadavani.org/transcriptions/750519mwmel/</t>
  </si>
  <si>
    <t>https://prabhupadavani.org/transcriptions/750519sbmel/</t>
  </si>
  <si>
    <t>Room Conversation with Jesuit</t>
  </si>
  <si>
    <t>https://prabhupadavani.org/transcriptions/750519r2mel/</t>
  </si>
  <si>
    <t>Room Conversation with Journalist</t>
  </si>
  <si>
    <t>https://prabhupadavani.org/transcriptions/750519r1mel/</t>
  </si>
  <si>
    <t>Morning Walk in the Botanical Gardens</t>
  </si>
  <si>
    <t>https://prabhupadavani.org/transcriptions/750520mwmel/</t>
  </si>
  <si>
    <t>Srimad-Bhagavatam 6.1.1-4</t>
  </si>
  <si>
    <t>https://prabhupadavani.org/transcriptions/750520sbmel/</t>
  </si>
  <si>
    <t>Room Conversation with Dr. Copeland, Professor of Modern Indian History</t>
  </si>
  <si>
    <t>https://prabhupadavani.org/transcriptions/750520r1mel/</t>
  </si>
  <si>
    <t>https://prabhupadavani.org/transcriptions/750521mwmel/</t>
  </si>
  <si>
    <t>Srimad-Bhagavatam 6.1.1</t>
  </si>
  <si>
    <t>https://prabhupadavani.org/transcriptions/750521sbmel/</t>
  </si>
  <si>
    <t>Room Conversation with Director of Research of the Dept. of Social Welfare</t>
  </si>
  <si>
    <t>https://prabhupadavani.org/transcriptions/750521r1mel/</t>
  </si>
  <si>
    <t>Room Conversation with Raymond Lopez, Wally Strauss, Bob Bourne</t>
  </si>
  <si>
    <t>https://prabhupadavani.org/transcriptions/750522r2mel/</t>
  </si>
  <si>
    <t>Morning Walk in Botanical Gardens</t>
  </si>
  <si>
    <t>https://prabhupadavani.org/transcriptions/750522mwmel/</t>
  </si>
  <si>
    <t>Srimad-Bhagavatam 6.1.1-2</t>
  </si>
  <si>
    <t>https://prabhupadavani.org/transcriptions/750522sbmel/</t>
  </si>
  <si>
    <t>Room Conversation with Two Lawyers and Photographer</t>
  </si>
  <si>
    <t>https://prabhupadavani.org/transcriptions/750522r1mel/</t>
  </si>
  <si>
    <t>Room Conversation with Raymond Lopez, Wally Strobes, Bob Bourne</t>
  </si>
  <si>
    <t>https://prabhupadavani.org/transcriptions/750523mwmel/</t>
  </si>
  <si>
    <t>Fiji</t>
  </si>
  <si>
    <t>https://prabhupadavani.org/transcriptions/750524bgfij/</t>
  </si>
  <si>
    <t>https://prabhupadavani.org/transcriptions/750525ivfij/</t>
  </si>
  <si>
    <t>https://prabhupadavani.org/transcriptions/750525arhon/</t>
  </si>
  <si>
    <t>Lecture after Prahlada-caritra Play</t>
  </si>
  <si>
    <t>https://prabhupadavani.org/transcriptions/750525lehon/</t>
  </si>
  <si>
    <t>Morning Walk on Waikiki Beach</t>
  </si>
  <si>
    <t>https://prabhupadavani.org/transcriptions/750527mwhon/</t>
  </si>
  <si>
    <t>https://prabhupadavani.org/transcriptions/750528mwhon/</t>
  </si>
  <si>
    <t>https://prabhupadavani.org/transcriptions/750529mwhon/</t>
  </si>
  <si>
    <t>https://prabhupadavani.org/transcriptions/750531mwhon/</t>
  </si>
  <si>
    <t>Srimad-Bhagavatam 3.28.1--Sunday Feast</t>
  </si>
  <si>
    <t>https://prabhupadavani.org/transcriptions/750601sbhon/</t>
  </si>
  <si>
    <t>https://prabhupadavani.org/transcriptions/750602mwhon/</t>
  </si>
  <si>
    <t>Initiation of Ambarisa dasa</t>
  </si>
  <si>
    <t>https://prabhupadavani.org/transcriptions/750603inhon/</t>
  </si>
  <si>
    <t>Morning Walk at Waikiki Beach</t>
  </si>
  <si>
    <t>https://prabhupadavani.org/transcriptions/750604mwhon/</t>
  </si>
  <si>
    <t>Morning Walk on Kailua Beach</t>
  </si>
  <si>
    <t>https://prabhupadavani.org/transcriptions/750607mwhon/</t>
  </si>
  <si>
    <t>Room Conversation with Yogi Bhajan</t>
  </si>
  <si>
    <t>https://prabhupadavani.org/transcriptions/750607r1hon/</t>
  </si>
  <si>
    <t>Morning Walk at Kailua Beach</t>
  </si>
  <si>
    <t>https://prabhupadavani.org/transcriptions/750608mwhon/</t>
  </si>
  <si>
    <t>Srimad-Bhagavatam 6.1.6-7</t>
  </si>
  <si>
    <t>https://prabhupadavani.org/transcriptions/750608sbhon/</t>
  </si>
  <si>
    <t>https://prabhupadavani.org/transcriptions/750610mwhon/</t>
  </si>
  <si>
    <t>https://prabhupadavani.org/transcriptions/750611mwhon/</t>
  </si>
  <si>
    <t>Talk during massage</t>
  </si>
  <si>
    <t>https://prabhupadavani.org/transcriptions/750611r1hon/</t>
  </si>
  <si>
    <t>https://prabhupadavani.org/transcriptions/750612r1hon/</t>
  </si>
  <si>
    <t>https://prabhupadavani.org/transcriptions/750614mwhon/</t>
  </si>
  <si>
    <t>https://prabhupadavani.org/transcriptions/750614r1hon/</t>
  </si>
  <si>
    <t>https://prabhupadavani.org/transcriptions/750615mwhon/</t>
  </si>
  <si>
    <t>Conversation About Educational System</t>
  </si>
  <si>
    <t>https://prabhupadavani.org/transcriptions/750615r1hon/</t>
  </si>
  <si>
    <t>https://prabhupadavani.org/transcriptions/750615r2hon/</t>
  </si>
  <si>
    <t>https://prabhupadavani.org/transcriptions/750615r3hon/</t>
  </si>
  <si>
    <t>https://prabhupadavani.org/transcriptions/750615r4hon/</t>
  </si>
  <si>
    <t>https://prabhupadavani.org/transcriptions/750615sbhon/</t>
  </si>
  <si>
    <t>https://prabhupadavani.org/transcriptions/750616mwhon/</t>
  </si>
  <si>
    <t>Room Conversation with Govinda Dasi</t>
  </si>
  <si>
    <t>https://prabhupadavani.org/transcriptions/750616r1hon/</t>
  </si>
  <si>
    <t>https://prabhupadavani.org/transcriptions/750616r2hon/</t>
  </si>
  <si>
    <t>Room Conversation About Making Deities</t>
  </si>
  <si>
    <t>https://prabhupadavani.org/transcriptions/750616r3hon/</t>
  </si>
  <si>
    <t>Room Conversation about Modern Soceity</t>
  </si>
  <si>
    <t>https://prabhupadavani.org/transcriptions/750616r4hon/</t>
  </si>
  <si>
    <t>https://prabhupadavani.org/transcriptions/750617mwhon/</t>
  </si>
  <si>
    <t>https://prabhupadavani.org/transcriptions/750617r1hon/</t>
  </si>
  <si>
    <t>Honolulu,</t>
  </si>
  <si>
    <t>https://prabhupadavani.org/transcriptions/750618mwhon/</t>
  </si>
  <si>
    <t>https://prabhupadavani.org/transcriptions/750618r1hon/</t>
  </si>
  <si>
    <t>https://prabhupadavani.org/transcriptions/750619mwhon/</t>
  </si>
  <si>
    <t>Departure</t>
  </si>
  <si>
    <t>https://prabhupadavani.org/transcriptions/750620dphon/</t>
  </si>
  <si>
    <t>https://prabhupadavani.org/transcriptions/750620crhon/</t>
  </si>
  <si>
    <t>Arrival Conversation in Car &amp; Room</t>
  </si>
  <si>
    <t>https://prabhupadavani.org/transcriptions/750620arla/</t>
  </si>
  <si>
    <t>https://prabhupadavani.org/transcriptions/750620a2la/</t>
  </si>
  <si>
    <t>https://prabhupadavani.org/transcriptions/750621mwla/</t>
  </si>
  <si>
    <t>https://prabhupadavani.org/transcriptions/750621sbla/</t>
  </si>
  <si>
    <t>https://prabhupadavani.org/transcriptions/750622mwla/</t>
  </si>
  <si>
    <t>Srimad-Bhagavatam 6.1.9</t>
  </si>
  <si>
    <t>https://prabhupadavani.org/transcriptions/750622sbla/</t>
  </si>
  <si>
    <t>Garden Conversation with Dr. Allen Gerson</t>
  </si>
  <si>
    <t>https://prabhupadavani.org/transcriptions/750622gcla/</t>
  </si>
  <si>
    <t>https://prabhupadavani.org/transcriptions/750623mwla/</t>
  </si>
  <si>
    <t>Srimad-Bhagavatam 6.1.10</t>
  </si>
  <si>
    <t>https://prabhupadavani.org/transcriptions/750623sbla/</t>
  </si>
  <si>
    <t>Room Conversation with Dr. John Mize</t>
  </si>
  <si>
    <t>https://prabhupadavani.org/transcriptions/750623r1la/</t>
  </si>
  <si>
    <t>https://prabhupadavani.org/transcriptions/750624mwla/</t>
  </si>
  <si>
    <t>Garden Conversation with Professors</t>
  </si>
  <si>
    <t>https://prabhupadavani.org/transcriptions/750624gcla/</t>
  </si>
  <si>
    <t>https://prabhupadavani.org/transcriptions/750625mwla/</t>
  </si>
  <si>
    <t>Srimad-Bhagavatam 6.1.12</t>
  </si>
  <si>
    <t>https://prabhupadavani.org/transcriptions/750625sbla/</t>
  </si>
  <si>
    <t>https://prabhupadavani.org/transcriptions/750626mwla/</t>
  </si>
  <si>
    <t>https://prabhupadavani.org/transcriptions/750626sbla/</t>
  </si>
  <si>
    <t>https://prabhupadavani.org/transcriptions/750626r2la/</t>
  </si>
  <si>
    <t>https://prabhupadavani.org/transcriptions/750626r1la/</t>
  </si>
  <si>
    <t>https://prabhupadavani.org/transcriptions/750627mwla/</t>
  </si>
  <si>
    <t>https://prabhupadavani.org/transcriptions/750627sbla/</t>
  </si>
  <si>
    <t>Departure Conversation</t>
  </si>
  <si>
    <t>https://prabhupadavani.org/transcriptions/750627dpla/</t>
  </si>
  <si>
    <t>Denver</t>
  </si>
  <si>
    <t>https://prabhupadavani.org/transcriptions/750627arden/</t>
  </si>
  <si>
    <t>https://prabhupadavani.org/transcriptions/750628mwden/</t>
  </si>
  <si>
    <t>https://prabhupadavani.org/transcriptions/750628sbden/</t>
  </si>
  <si>
    <t>https://prabhupadavani.org/transcriptions/750629mwden/</t>
  </si>
  <si>
    <t>Srimad-Bhagavatam 6.1.16</t>
  </si>
  <si>
    <t>https://prabhupadavani.org/transcriptions/750629sbden/</t>
  </si>
  <si>
    <t>Srimad-Bhagavatam 1.2.6 -- Sunday Feast</t>
  </si>
  <si>
    <t>https://prabhupadavani.org/transcriptions/750629sfden/</t>
  </si>
  <si>
    <t>https://prabhupadavani.org/transcriptions/750630mwden/</t>
  </si>
  <si>
    <t>Srimad-Bhagavatam 6.1.17</t>
  </si>
  <si>
    <t>https://prabhupadavani.org/transcriptions/750630sbden/</t>
  </si>
  <si>
    <t>https://prabhupadavani.org/transcriptions/750701mwden/</t>
  </si>
  <si>
    <t>Srimad-Bhagavatam 6.1.18</t>
  </si>
  <si>
    <t>https://prabhupadavani.org/transcriptions/750701sbden/</t>
  </si>
  <si>
    <t>https://prabhupadavani.org/transcriptions/750702mwden/</t>
  </si>
  <si>
    <t>https://prabhupadavani.org/transcriptions/750702sbden/</t>
  </si>
  <si>
    <t>https://prabhupadavani.org/transcriptions/750703mwden/</t>
  </si>
  <si>
    <t>https://prabhupadavani.org/transcriptions/750703archi/</t>
  </si>
  <si>
    <t>https://prabhupadavani.org/transcriptions/750704mwchi/</t>
  </si>
  <si>
    <t>Srimad-Bhagavatam 6.1.20</t>
  </si>
  <si>
    <t>https://prabhupadavani.org/transcriptions/750704sbchi/</t>
  </si>
  <si>
    <t>Room Conversation with the Mayor of Evanston</t>
  </si>
  <si>
    <t>https://prabhupadavani.org/transcriptions/750704r1chi/</t>
  </si>
  <si>
    <t>https://prabhupadavani.org/transcriptions/750705mwchi/</t>
  </si>
  <si>
    <t>https://prabhupadavani.org/transcriptions/750705sbchi/</t>
  </si>
  <si>
    <t>Room Conversation with Lt. Mozee, Policeman</t>
  </si>
  <si>
    <t>https://prabhupadavani.org/transcriptions/750705r2chi/</t>
  </si>
  <si>
    <t>Room Conversation with Mr. &amp; Mrs. Wax</t>
  </si>
  <si>
    <t>https://prabhupadavani.org/transcriptions/750705r1chi/</t>
  </si>
  <si>
    <t>https://prabhupadavani.org/transcriptions/750706mwchi/</t>
  </si>
  <si>
    <t>Srimad-Bhagavatam 6.1.22</t>
  </si>
  <si>
    <t>https://prabhupadavani.org/transcriptions/750706sbchi/</t>
  </si>
  <si>
    <t>https://prabhupadavani.org/transcriptions/750707mwchi/</t>
  </si>
  <si>
    <t>Srimad-Bhagavatam 6.1.23</t>
  </si>
  <si>
    <t>https://prabhupadavani.org/transcriptions/750707sbchi/</t>
  </si>
  <si>
    <t>https://prabhupadavani.org/transcriptions/750708mwchi/</t>
  </si>
  <si>
    <t>Srimad-Bhagavatam 6.1.24</t>
  </si>
  <si>
    <t>https://prabhupadavani.org/transcriptions/750708sbchi/</t>
  </si>
  <si>
    <t>https://prabhupadavani.org/transcriptions/750709ivchi/</t>
  </si>
  <si>
    <t>https://prabhupadavani.org/transcriptions/750709mwchi/</t>
  </si>
  <si>
    <t>Srimad-Bhagavatam 6.1.25</t>
  </si>
  <si>
    <t>https://prabhupadavani.org/transcriptions/750709sbchi/</t>
  </si>
  <si>
    <t>https://prabhupadavani.org/transcriptions/750709pcchi/</t>
  </si>
  <si>
    <t>Room Conversation after Press Conference</t>
  </si>
  <si>
    <t>https://prabhupadavani.org/transcriptions/750709r1chi/</t>
  </si>
  <si>
    <t>https://prabhupadavani.org/transcriptions/750710mwchi/</t>
  </si>
  <si>
    <t>Lecture and Initiation</t>
  </si>
  <si>
    <t>https://prabhupadavani.org/transcriptions/750710inchi/</t>
  </si>
  <si>
    <t>Room Conversation with City Counselor</t>
  </si>
  <si>
    <t>https://prabhupadavani.org/transcriptions/750710r1chi/</t>
  </si>
  <si>
    <t>https://prabhupadavani.org/transcriptions/750711mwchi/</t>
  </si>
  <si>
    <t>Srimad-Bhagavatam 6.1.26</t>
  </si>
  <si>
    <t>https://prabhupadavani.org/transcriptions/750711sbchi/</t>
  </si>
  <si>
    <t>Babaji Initiation</t>
  </si>
  <si>
    <t>https://prabhupadavani.org/transcriptions/750711inchi/</t>
  </si>
  <si>
    <t>Philadelphia</t>
  </si>
  <si>
    <t>https://prabhupadavani.org/transcriptions/750711arphi/</t>
  </si>
  <si>
    <t>https://prabhupadavani.org/transcriptions/750711a2phi/</t>
  </si>
  <si>
    <t>https://prabhupadavani.org/transcriptions/750712mwphi/</t>
  </si>
  <si>
    <t>Srimad-Bhagavatam 6.1.26-27</t>
  </si>
  <si>
    <t>https://prabhupadavani.org/transcriptions/750712sbphi/</t>
  </si>
  <si>
    <t>Ratha-yatra</t>
  </si>
  <si>
    <t>https://prabhupadavani.org/transcriptions/750712ryphi/</t>
  </si>
  <si>
    <t>Srimad-Bhagavatam 6.1.28-29</t>
  </si>
  <si>
    <t>https://prabhupadavani.org/transcriptions/750713sbphi/</t>
  </si>
  <si>
    <t>Room Conversation with Reporter Sandy Nixon and Anne Jackson</t>
  </si>
  <si>
    <t>https://prabhupadavani.org/transcriptions/750713r2phi/</t>
  </si>
  <si>
    <t>Room Conversation with Bernard Manischewitz</t>
  </si>
  <si>
    <t>https://prabhupadavani.org/transcriptions/750713r3phi/</t>
  </si>
  <si>
    <t>Conversation with Professor Hopkins</t>
  </si>
  <si>
    <t>https://prabhupadavani.org/transcriptions/750713r1phi/</t>
  </si>
  <si>
    <t>https://prabhupadavani.org/transcriptions/750714mwphi/</t>
  </si>
  <si>
    <t>Srimad-Bhagavatam 6.1.30</t>
  </si>
  <si>
    <t>https://prabhupadavani.org/transcriptions/750714sbphi/</t>
  </si>
  <si>
    <t>https://prabhupadavani.org/transcriptions/750715arsf/</t>
  </si>
  <si>
    <t>https://prabhupadavani.org/transcriptions/750716mwsf/</t>
  </si>
  <si>
    <t>Srimad-Bhagavatam 6.1.31</t>
  </si>
  <si>
    <t>https://prabhupadavani.org/transcriptions/750716sbsf/</t>
  </si>
  <si>
    <t>https://prabhupadavani.org/transcriptions/750716pcsf/</t>
  </si>
  <si>
    <t>https://prabhupadavani.org/transcriptions/750717mwsf/</t>
  </si>
  <si>
    <t>Srimad-Bhagavatam 6.1.32</t>
  </si>
  <si>
    <t>https://prabhupadavani.org/transcriptions/750717sbsf/</t>
  </si>
  <si>
    <t>https://prabhupadavani.org/transcriptions/750718mwsf/</t>
  </si>
  <si>
    <t>Srimad-Bhagavatam 6.1.33</t>
  </si>
  <si>
    <t>https://prabhupadavani.org/transcriptions/750718sbsf/</t>
  </si>
  <si>
    <t>https://prabhupadavani.org/transcriptions/750719mwsf/</t>
  </si>
  <si>
    <t>Srimad-Bhagavatam 6.1.37</t>
  </si>
  <si>
    <t>https://prabhupadavani.org/transcriptions/750719sbsf/</t>
  </si>
  <si>
    <t>https://prabhupadavani.org/transcriptions/750720mwsf/</t>
  </si>
  <si>
    <t>Srimad-Bhagavatam 6.1.39</t>
  </si>
  <si>
    <t>https://prabhupadavani.org/transcriptions/750720sbsf/</t>
  </si>
  <si>
    <t>https://prabhupadavani.org/transcriptions/750721mwsf/</t>
  </si>
  <si>
    <t>https://prabhupadavani.org/transcriptions/750721sbsf/</t>
  </si>
  <si>
    <t>Gurudasa Sannyasa and Harinama Initiations</t>
  </si>
  <si>
    <t>https://prabhupadavani.org/transcriptions/750721insf/</t>
  </si>
  <si>
    <t>Room Conversation With Yogi Bhajan and Jain Muni</t>
  </si>
  <si>
    <t>https://prabhupadavani.org/transcriptions/750721r1sf/</t>
  </si>
  <si>
    <t>Srimad-Bhagavatam 6.1.41</t>
  </si>
  <si>
    <t>https://prabhupadavani.org/transcriptions/750722sbla/</t>
  </si>
  <si>
    <t>Srimad-Bhagavatam 6.1.42</t>
  </si>
  <si>
    <t>https://prabhupadavani.org/transcriptions/750723sbla/</t>
  </si>
  <si>
    <t>https://prabhupadavani.org/transcriptions/750724mwla/</t>
  </si>
  <si>
    <t>Srimad-Bhagavatam 6.1.43</t>
  </si>
  <si>
    <t>https://prabhupadavani.org/transcriptions/750724sbla/</t>
  </si>
  <si>
    <t>https://prabhupadavani.org/transcriptions/750725mwla/</t>
  </si>
  <si>
    <t>https://prabhupadavani.org/transcriptions/750725sbla/</t>
  </si>
  <si>
    <t>https://prabhupadavani.org/transcriptions/750726mwlb/</t>
  </si>
  <si>
    <t>Srimad-Bhagavatam 6.1.45</t>
  </si>
  <si>
    <t>https://prabhupadavani.org/transcriptions/750726sblb/</t>
  </si>
  <si>
    <t>Room Conversation with Prof. Servas</t>
  </si>
  <si>
    <t>https://prabhupadavani.org/transcriptions/750726r1lb/</t>
  </si>
  <si>
    <t>https://prabhupadavani.org/transcriptions/750727mwsd/</t>
  </si>
  <si>
    <t>Srimad-Bhagavatam 6.1.46</t>
  </si>
  <si>
    <t>https://prabhupadavani.org/transcriptions/750727sbsd/</t>
  </si>
  <si>
    <t>https://prabhupadavani.org/transcriptions/750728mwsd/</t>
  </si>
  <si>
    <t>Press Conference at Airport</t>
  </si>
  <si>
    <t>https://prabhupadavani.org/transcriptions/750728pcdal/</t>
  </si>
  <si>
    <t>https://prabhupadavani.org/transcriptions/750729mwdal/</t>
  </si>
  <si>
    <t>Srimad-Bhagavatam 6.1.47</t>
  </si>
  <si>
    <t>https://prabhupadavani.org/transcriptions/750729sbdal/</t>
  </si>
  <si>
    <t>https://prabhupadavani.org/transcriptions/750730mwdal/</t>
  </si>
  <si>
    <t>Srimad-Bhagavatam 6.1.48</t>
  </si>
  <si>
    <t>https://prabhupadavani.org/transcriptions/750730sbdal/</t>
  </si>
  <si>
    <t>https://prabhupadavani.org/transcriptions/750731mwdal/</t>
  </si>
  <si>
    <t>New Orleans</t>
  </si>
  <si>
    <t>https://prabhupadavani.org/transcriptions/750731r1no/</t>
  </si>
  <si>
    <t>Walk Around Farm</t>
  </si>
  <si>
    <t>https://prabhupadavani.org/transcriptions/750801mfno/</t>
  </si>
  <si>
    <t>New Orleans Farm</t>
  </si>
  <si>
    <t>Srimad-Bhagavatam 6.1.49</t>
  </si>
  <si>
    <t>https://prabhupadavani.org/transcriptions/750801sbno/</t>
  </si>
  <si>
    <t>Room Conversation with Devotees</t>
  </si>
  <si>
    <t>https://prabhupadavani.org/transcriptions/750801r1no/</t>
  </si>
  <si>
    <t>https://prabhupadavani.org/transcriptions/750803ccdet/</t>
  </si>
  <si>
    <t>Srimad-Bhagavatam 6.1.50</t>
  </si>
  <si>
    <t>https://prabhupadavani.org/transcriptions/750803sbdet/</t>
  </si>
  <si>
    <t>Srimad-Bhagavatam 1.2.9 University Lecture</t>
  </si>
  <si>
    <t>https://prabhupadavani.org/transcriptions/750803s2det/</t>
  </si>
  <si>
    <t>https://prabhupadavani.org/transcriptions/750804mwdet/</t>
  </si>
  <si>
    <t>Srimad-Bhagavatam 6.1.51</t>
  </si>
  <si>
    <t>https://prabhupadavani.org/transcriptions/750804sbdet/</t>
  </si>
  <si>
    <t>https://prabhupadavani.org/transcriptions/750805mwdet/</t>
  </si>
  <si>
    <t>Srimad-Bhagavatam 6.1.52</t>
  </si>
  <si>
    <t>https://prabhupadavani.org/transcriptions/750805sbdet/</t>
  </si>
  <si>
    <t>https://prabhupadavani.org/transcriptions/750806mwdet/</t>
  </si>
  <si>
    <t>Toronto</t>
  </si>
  <si>
    <t>https://prabhupadavani.org/transcriptions/750807mwtor/</t>
  </si>
  <si>
    <t>Srimad-Bhagavatam, Canto Six Dictation</t>
  </si>
  <si>
    <t>https://prabhupadavani.org/transcriptions/750811dtpar/</t>
  </si>
  <si>
    <t>https://prabhupadavani.org/transcriptions/750811arpar/</t>
  </si>
  <si>
    <t>Srimad-Bhagavatam 6.1.55</t>
  </si>
  <si>
    <t>https://prabhupadavani.org/transcriptions/750811sbpar/</t>
  </si>
  <si>
    <t>https://prabhupadavani.org/transcriptions/750812mwpar/</t>
  </si>
  <si>
    <t>Room Conversation [with French translator]</t>
  </si>
  <si>
    <t>https://prabhupadavani.org/transcriptions/750812r1par/</t>
  </si>
  <si>
    <t>https://prabhupadavani.org/transcriptions/750813mwlon/</t>
  </si>
  <si>
    <t>https://prabhupadavani.org/transcriptions/750813sblon/</t>
  </si>
  <si>
    <t>Srimad-Bhagavatam 6.1.56-57</t>
  </si>
  <si>
    <t>https://prabhupadavani.org/transcriptions/750814sbbom/</t>
  </si>
  <si>
    <t>https://prabhupadavani.org/transcriptions/750815mwbom/</t>
  </si>
  <si>
    <t>https://prabhupadavani.org/transcriptions/750817mwbom/</t>
  </si>
  <si>
    <t>Srimad-Bhagavatam 6.1.58 -- [Hindi--final proofreading pending]</t>
  </si>
  <si>
    <t>https://prabhupadavani.org/transcriptions/750819sbbom/</t>
  </si>
  <si>
    <t>Room Conversation with Lalita Bose</t>
  </si>
  <si>
    <t>https://prabhupadavani.org/transcriptions/750821r1bom/</t>
  </si>
  <si>
    <t>https://prabhupadavani.org/transcriptions/750824mwdel/</t>
  </si>
  <si>
    <t>https://prabhupadavani.org/transcriptions/750825mwvrn/</t>
  </si>
  <si>
    <t>https://prabhupadavani.org/transcriptions/750826r1vrn/</t>
  </si>
  <si>
    <t>Bhagavad-Gita 7.1 in [Hindi--final proofreading pending]</t>
  </si>
  <si>
    <t>https://prabhupadavani.org/transcriptions/750826bgvrn/</t>
  </si>
  <si>
    <t>https://prabhupadavani.org/transcriptions/750827mwvrn/</t>
  </si>
  <si>
    <t>https://prabhupadavani.org/transcriptions/750828mwvrn/</t>
  </si>
  <si>
    <t>Srimad-Bhagavatam 6.1.61</t>
  </si>
  <si>
    <t>https://prabhupadavani.org/transcriptions/750828sbvrn/</t>
  </si>
  <si>
    <t>https://prabhupadavani.org/transcriptions/750829mwvrn/</t>
  </si>
  <si>
    <t>Srimad-Bhagavatam 6.1.62</t>
  </si>
  <si>
    <t>https://prabhupadavani.org/transcriptions/750829sbvrn/</t>
  </si>
  <si>
    <t>Bhagavad-Gita Lecture -- [Hindi--final proofreading pending]</t>
  </si>
  <si>
    <t>https://prabhupadavani.org/transcriptions/750829bgvrn/</t>
  </si>
  <si>
    <t>Srimad-Bhagavatam 6.1.63</t>
  </si>
  <si>
    <t>https://prabhupadavani.org/transcriptions/750830sbvrn/</t>
  </si>
  <si>
    <t>Bhagavad-Gita 7.3 -- [Hindi--final proofreading pending]</t>
  </si>
  <si>
    <t>https://prabhupadavani.org/transcriptions/750830bgvrn/</t>
  </si>
  <si>
    <t>Lecture -- [Hindi--final proofreading pending]</t>
  </si>
  <si>
    <t>https://prabhupadavani.org/transcriptions/750831levrn/</t>
  </si>
  <si>
    <t>Sept. 1, 1975</t>
  </si>
  <si>
    <t>https://prabhupadavani.org/transcriptions/750901mwvrn/</t>
  </si>
  <si>
    <t>Srimad-Bhagavatam 6.1.64-65</t>
  </si>
  <si>
    <t>https://prabhupadavani.org/transcriptions/750901sbvrn/</t>
  </si>
  <si>
    <t>Sept. 2, 1975</t>
  </si>
  <si>
    <t>Srimad-Bhagavatam 6.1.66</t>
  </si>
  <si>
    <t>https://prabhupadavani.org/transcriptions/750902sbvrn/</t>
  </si>
  <si>
    <t>Sept. 3, 1975</t>
  </si>
  <si>
    <t>https://prabhupadavani.org/transcriptions/750903mwvrn/</t>
  </si>
  <si>
    <t>Srimad-Bhagavatam 6.1.67</t>
  </si>
  <si>
    <t>https://prabhupadavani.org/transcriptions/750903sbvrn/</t>
  </si>
  <si>
    <t>Sept. 4, 1975</t>
  </si>
  <si>
    <t>https://prabhupadavani.org/transcriptions/750904mwvrn/</t>
  </si>
  <si>
    <t>Srimad-Bhagavatam 6.1.68</t>
  </si>
  <si>
    <t>https://prabhupadavani.org/transcriptions/750904sbvrn/</t>
  </si>
  <si>
    <t>Sept. 5, 1975</t>
  </si>
  <si>
    <t>https://prabhupadavani.org/transcriptions/750905mwvrn/</t>
  </si>
  <si>
    <t>Srimad-Bhagavatam 6.2.1</t>
  </si>
  <si>
    <t>https://prabhupadavani.org/transcriptions/750905sbvrn/</t>
  </si>
  <si>
    <t>Sept. 6, 1975</t>
  </si>
  <si>
    <t>https://prabhupadavani.org/transcriptions/750906mwvrn/</t>
  </si>
  <si>
    <t>Srimad-Bhagavatam 6.2.2</t>
  </si>
  <si>
    <t>https://prabhupadavani.org/transcriptions/750906sbvrn/</t>
  </si>
  <si>
    <t>Sept. 7, 1975</t>
  </si>
  <si>
    <t>Srimad-Bhagavatam 6.2.3</t>
  </si>
  <si>
    <t>https://prabhupadavani.org/transcriptions/750907sbvrn/</t>
  </si>
  <si>
    <t>Sept. 8, 1975</t>
  </si>
  <si>
    <t>Srimad-Bhagavatam 6.2.4</t>
  </si>
  <si>
    <t>https://prabhupadavani.org/transcriptions/750908sbvrn/</t>
  </si>
  <si>
    <t>Sept. 9, 1975</t>
  </si>
  <si>
    <t>https://prabhupadavani.org/transcriptions/750909mwvrn/</t>
  </si>
  <si>
    <t>Srimad-Bhagavatam 6.2.5-6</t>
  </si>
  <si>
    <t>https://prabhupadavani.org/transcriptions/750909sbvrn/</t>
  </si>
  <si>
    <t>Sept. 10, 1975</t>
  </si>
  <si>
    <t>Srimad-Bhagavatam 6.2.7</t>
  </si>
  <si>
    <t>https://prabhupadavani.org/transcriptions/750910sbvrn/</t>
  </si>
  <si>
    <t>Sept. 11, 1975</t>
  </si>
  <si>
    <t>Srimad-Bhagavatam 6.2.8</t>
  </si>
  <si>
    <t>https://prabhupadavani.org/transcriptions/750911sbvrn/</t>
  </si>
  <si>
    <t>Sept. 13, 1975</t>
  </si>
  <si>
    <t>https://prabhupadavani.org/transcriptions/750913mwvrn/</t>
  </si>
  <si>
    <t>https://prabhupadavani.org/transcriptions/750913sbvrn/</t>
  </si>
  <si>
    <t>https://prabhupadavani.org/transcriptions/750913levrn/</t>
  </si>
  <si>
    <t>Sept. 15, 1975</t>
  </si>
  <si>
    <t>https://prabhupadavani.org/transcriptions/750915mwvrn/</t>
  </si>
  <si>
    <t>Srimad-Bhagavatam 6.2.13</t>
  </si>
  <si>
    <t>https://prabhupadavani.org/transcriptions/750915sbvrn/</t>
  </si>
  <si>
    <t>Sept. 17, 1975</t>
  </si>
  <si>
    <t>https://prabhupadavani.org/transcriptions/750917mwvrn/</t>
  </si>
  <si>
    <t>Srimad-Bhagavatam 6.2.14</t>
  </si>
  <si>
    <t>https://prabhupadavani.org/transcriptions/750917sbvrn/</t>
  </si>
  <si>
    <t>Sept. 18, 1975</t>
  </si>
  <si>
    <t>https://prabhupadavani.org/transcriptions/750918mwvrn/</t>
  </si>
  <si>
    <t>Srimad-Bhagavatam 6.2.15</t>
  </si>
  <si>
    <t>https://prabhupadavani.org/transcriptions/750918sbvrn/</t>
  </si>
  <si>
    <t>Sept. 19, 1975</t>
  </si>
  <si>
    <t>https://prabhupadavani.org/transcriptions/750919mwvrn/</t>
  </si>
  <si>
    <t>Srimad-Bhagavatam 6.2.16</t>
  </si>
  <si>
    <t>https://prabhupadavani.org/transcriptions/750919sbvrn/</t>
  </si>
  <si>
    <t>Sept. 20, 1975</t>
  </si>
  <si>
    <t>Srimad-Bhagavatam 6.2.17</t>
  </si>
  <si>
    <t>https://prabhupadavani.org/transcriptions/750920sbvrn/</t>
  </si>
  <si>
    <t>Sept. 25, 1975</t>
  </si>
  <si>
    <t>https://prabhupadavani.org/transcriptions/750925mwahm/</t>
  </si>
  <si>
    <t>https://prabhupadavani.org/transcriptions/750925bgahm/</t>
  </si>
  <si>
    <t>Sept. 26, 1975</t>
  </si>
  <si>
    <t>https://prabhupadavani.org/transcriptions/750926mwahm/</t>
  </si>
  <si>
    <t>Sept. 27, 1975</t>
  </si>
  <si>
    <t>https://prabhupadavani.org/transcriptions/750927mwahm/</t>
  </si>
  <si>
    <t>Srimad-Bhagavatam 1.2.6 in [Hindi--final proofreading pending]</t>
  </si>
  <si>
    <t>https://prabhupadavani.org/transcriptions/750927sbahm/</t>
  </si>
  <si>
    <t>Room Conversation in [Hindi--final proofreading pending]</t>
  </si>
  <si>
    <t>https://prabhupadavani.org/transcriptions/750927r1ahm/</t>
  </si>
  <si>
    <t>Sept. 29, 1975</t>
  </si>
  <si>
    <t>https://prabhupadavani.org/transcriptions/750929mwahm/</t>
  </si>
  <si>
    <t>Sept. 30, 1975</t>
  </si>
  <si>
    <t>https://prabhupadavani.org/transcriptions/750930mwbom/</t>
  </si>
  <si>
    <t>Mauritius</t>
  </si>
  <si>
    <t>Arrival Reception</t>
  </si>
  <si>
    <t>https://prabhupadavani.org/transcriptions/751001a2mau/</t>
  </si>
  <si>
    <t>https://prabhupadavani.org/transcriptions/751001armau/</t>
  </si>
  <si>
    <t>https://prabhupadavani.org/transcriptions/751001bgmau/</t>
  </si>
  <si>
    <t>https://prabhupadavani.org/transcriptions/751002mwmau/</t>
  </si>
  <si>
    <t>https://prabhupadavani.org/transcriptions/751002sbmau/</t>
  </si>
  <si>
    <t>https://prabhupadavani.org/transcriptions/751002pcmau/</t>
  </si>
  <si>
    <t>https://prabhupadavani.org/transcriptions/751003mwmau/</t>
  </si>
  <si>
    <t>https://prabhupadavani.org/transcriptions/751004mwmau/</t>
  </si>
  <si>
    <t>Srimad-Bhagavatam 7.5.31</t>
  </si>
  <si>
    <t>https://prabhupadavani.org/transcriptions/751004sbmau/</t>
  </si>
  <si>
    <t>https://prabhupadavani.org/transcriptions/751004r1mau/</t>
  </si>
  <si>
    <t>https://prabhupadavani.org/transcriptions/751005mwmau/</t>
  </si>
  <si>
    <t>https://prabhupadavani.org/transcriptions/751005sbmau/</t>
  </si>
  <si>
    <t>https://prabhupadavani.org/transcriptions/751005r1mau/</t>
  </si>
  <si>
    <t>Durban</t>
  </si>
  <si>
    <t>https://prabhupadavani.org/transcriptions/751006mwdur/</t>
  </si>
  <si>
    <t>https://prabhupadavani.org/transcriptions/751007mwdur/</t>
  </si>
  <si>
    <t>City Hall Lecture</t>
  </si>
  <si>
    <t>https://prabhupadavani.org/transcriptions/751007ledur/</t>
  </si>
  <si>
    <t>https://prabhupadavani.org/transcriptions/751008mwdur/</t>
  </si>
  <si>
    <t>Room Conversation with Professors of the University of Durban</t>
  </si>
  <si>
    <t>https://prabhupadavani.org/transcriptions/751008r2dur/</t>
  </si>
  <si>
    <t>Room Conversation with Bill Faill [reporter]</t>
  </si>
  <si>
    <t>https://prabhupadavani.org/transcriptions/751008r1dur/</t>
  </si>
  <si>
    <t>https://prabhupadavani.org/transcriptions/751009mwdur/</t>
  </si>
  <si>
    <t>https://prabhupadavani.org/transcriptions/751009bgdur/</t>
  </si>
  <si>
    <t>https://prabhupadavani.org/transcriptions/751010mwdur/</t>
  </si>
  <si>
    <t>Room Conversation with Professor Olivier</t>
  </si>
  <si>
    <t>https://prabhupadavani.org/transcriptions/751010r1dur/</t>
  </si>
  <si>
    <t>Bhagavad-Gita 18.45</t>
  </si>
  <si>
    <t>https://prabhupadavani.org/transcriptions/751011bgdur/</t>
  </si>
  <si>
    <t>https://prabhupadavani.org/transcriptions/751012mwdur/</t>
  </si>
  <si>
    <t>https://prabhupadavani.org/transcriptions/751013mwdur/</t>
  </si>
  <si>
    <t>Bhagavad-Gita 13.1-3</t>
  </si>
  <si>
    <t>https://prabhupadavani.org/transcriptions/751013bgdur/</t>
  </si>
  <si>
    <t>Car ride from Durban to Johannesburg</t>
  </si>
  <si>
    <t>https://prabhupadavani.org/transcriptions/751013crdur/</t>
  </si>
  <si>
    <t>Johannesburg</t>
  </si>
  <si>
    <t>Srimad-Bhagavatam 1.7.2-4</t>
  </si>
  <si>
    <t>https://prabhupadavani.org/transcriptions/751014sbjoh/</t>
  </si>
  <si>
    <t>https://prabhupadavani.org/transcriptions/751014lejoh/</t>
  </si>
  <si>
    <t>https://prabhupadavani.org/transcriptions/751014r1joh/</t>
  </si>
  <si>
    <t>Srimad-Bhagavatam 1.7.5-6</t>
  </si>
  <si>
    <t>https://prabhupadavani.org/transcriptions/751015sbjoh/</t>
  </si>
  <si>
    <t>https://prabhupadavani.org/transcriptions/751015r1joh/</t>
  </si>
  <si>
    <t>https://prabhupadavani.org/transcriptions/751016mwjoh/</t>
  </si>
  <si>
    <t>Room Conversation with Reporter of The Star</t>
  </si>
  <si>
    <t>https://prabhupadavani.org/transcriptions/751016r1joh/</t>
  </si>
  <si>
    <t>https://prabhupadavani.org/transcriptions/751017r1joh/</t>
  </si>
  <si>
    <t>https://prabhupadavani.org/transcriptions/751017mwjoh/</t>
  </si>
  <si>
    <t>Bhagavad-Gita 2.1-11</t>
  </si>
  <si>
    <t>https://prabhupadavani.org/transcriptions/751017bgjoh/</t>
  </si>
  <si>
    <t>https://prabhupadavani.org/transcriptions/751018mwjoh/</t>
  </si>
  <si>
    <t>https://prabhupadavani.org/transcriptions/751018bgjoh/</t>
  </si>
  <si>
    <t>https://prabhupadavani.org/transcriptions/751019mwjoh/</t>
  </si>
  <si>
    <t>https://prabhupadavani.org/transcriptions/751019bgjoh/</t>
  </si>
  <si>
    <t>https://prabhupadavani.org/transcriptions/751020mwjoh/</t>
  </si>
  <si>
    <t>https://prabhupadavani.org/transcriptions/751020sbjoh/</t>
  </si>
  <si>
    <t>https://prabhupadavani.org/transcriptions/751021mwjoh/</t>
  </si>
  <si>
    <t>Room Conversation with Documentary Maker</t>
  </si>
  <si>
    <t>https://prabhupadavani.org/transcriptions/751021r1joh/</t>
  </si>
  <si>
    <t>https://prabhupadavani.org/transcriptions/751022sbjoh/</t>
  </si>
  <si>
    <t>https://prabhupadavani.org/transcriptions/751025mwmau/</t>
  </si>
  <si>
    <t>https://prabhupadavani.org/transcriptions/751026mwmau/</t>
  </si>
  <si>
    <t>Srimad-Bhagavatam 3.28.17</t>
  </si>
  <si>
    <t>https://prabhupadavani.org/transcriptions/751026sbnai/</t>
  </si>
  <si>
    <t>Srimad-Bhagavatam 3.28.18</t>
  </si>
  <si>
    <t>https://prabhupadavani.org/transcriptions/751027sbnai/</t>
  </si>
  <si>
    <t>https://prabhupadavani.org/transcriptions/751027bgnai/</t>
  </si>
  <si>
    <t>https://prabhupadavani.org/transcriptions/751028mwnai/</t>
  </si>
  <si>
    <t>https://prabhupadavani.org/transcriptions/751028bgnai/</t>
  </si>
  <si>
    <t>https://prabhupadavani.org/transcriptions/751029mwnai/</t>
  </si>
  <si>
    <t>Srimad-Bhagavatam 3.28.19</t>
  </si>
  <si>
    <t>https://prabhupadavani.org/transcriptions/751029sbnai/</t>
  </si>
  <si>
    <t>https://prabhupadavani.org/transcriptions/751029r2nai/</t>
  </si>
  <si>
    <t>https://prabhupadavani.org/transcriptions/751029r1nai/</t>
  </si>
  <si>
    <t>https://prabhupadavani.org/transcriptions/751029bgnai/</t>
  </si>
  <si>
    <t>Srimad-Bhagavatam 3.28.20</t>
  </si>
  <si>
    <t>https://prabhupadavani.org/transcriptions/751030sbnai/</t>
  </si>
  <si>
    <t>https://prabhupadavani.org/transcriptions/751031bgnai/</t>
  </si>
  <si>
    <t>https://prabhupadavani.org/transcriptions/751101mwnai/</t>
  </si>
  <si>
    <t>Srimad-Bhagavatam 3.28.21</t>
  </si>
  <si>
    <t>https://prabhupadavani.org/transcriptions/751101sbnai/</t>
  </si>
  <si>
    <t>https://prabhupadavani.org/transcriptions/751101bgnai/</t>
  </si>
  <si>
    <t>https://prabhupadavani.org/transcriptions/751102mwnai/</t>
  </si>
  <si>
    <t>Lecture in [Hindi--final proofreading pending]</t>
  </si>
  <si>
    <t>https://prabhupadavani.org/transcriptions/751102lebom/</t>
  </si>
  <si>
    <t>https://prabhupadavani.org/transcriptions/751103mwbom/</t>
  </si>
  <si>
    <t>Sri Caitanya-caritamrta, Madhya-lila 20.101-104</t>
  </si>
  <si>
    <t>https://prabhupadavani.org/transcriptions/751103ccbom/</t>
  </si>
  <si>
    <t>https://prabhupadavani.org/transcriptions/751104mwbom/</t>
  </si>
  <si>
    <t>https://prabhupadavani.org/transcriptions/751107mwbom/</t>
  </si>
  <si>
    <t>https://prabhupadavani.org/transcriptions/751108mwbom/</t>
  </si>
  <si>
    <t>https://prabhupadavani.org/transcriptions/751109ccbom/</t>
  </si>
  <si>
    <t>https://prabhupadavani.org/transcriptions/751110mwbom/</t>
  </si>
  <si>
    <t>https://prabhupadavani.org/transcriptions/751111mwbom/</t>
  </si>
  <si>
    <t>https://prabhupadavani.org/transcriptions/751112mwbom/</t>
  </si>
  <si>
    <t>Sri Caitanya-caritamrta, Madhya-lila 20.120</t>
  </si>
  <si>
    <t>https://prabhupadavani.org/transcriptions/751112ccbom/</t>
  </si>
  <si>
    <t>https://prabhupadavani.org/transcriptions/751113mwbom/</t>
  </si>
  <si>
    <t>https://prabhupadavani.org/transcriptions/751114mwbom/</t>
  </si>
  <si>
    <t>Srimad-Bhagavatam 5.5.1 in Hindi</t>
  </si>
  <si>
    <t>https://prabhupadavani.org/transcriptions/751114sbbom/</t>
  </si>
  <si>
    <t>https://prabhupadavani.org/transcriptions/751115mwbom/</t>
  </si>
  <si>
    <t>Lecture [Hindi and English--final proofreading pending]</t>
  </si>
  <si>
    <t>https://prabhupadavani.org/transcriptions/751115lebom/</t>
  </si>
  <si>
    <t>https://prabhupadavani.org/transcriptions/751116mwbom/</t>
  </si>
  <si>
    <t>Sri Caitanya-caritamrta, Madhya-lila 20.108</t>
  </si>
  <si>
    <t>https://prabhupadavani.org/transcriptions/751116ccbom/</t>
  </si>
  <si>
    <t>https://prabhupadavani.org/transcriptions/751117mwbom/</t>
  </si>
  <si>
    <t>Sri Caitanya-caritamrta, Madhya-lila 20.110-111</t>
  </si>
  <si>
    <t>https://prabhupadavani.org/transcriptions/751117ccbom/</t>
  </si>
  <si>
    <t>https://prabhupadavani.org/transcriptions/751118mwbom/</t>
  </si>
  <si>
    <t>https://prabhupadavani.org/transcriptions/751118inbom/</t>
  </si>
  <si>
    <t>https://prabhupadavani.org/transcriptions/751119mwbom/</t>
  </si>
  <si>
    <t>https://prabhupadavani.org/transcriptions/751120mwbom/</t>
  </si>
  <si>
    <t>https://prabhupadavani.org/transcriptions/751121mwbom/</t>
  </si>
  <si>
    <t>https://prabhupadavani.org/transcriptions/751124mwbom/</t>
  </si>
  <si>
    <t>https://prabhupadavani.org/transcriptions/751124ccbom/</t>
  </si>
  <si>
    <t>https://prabhupadavani.org/transcriptions/751125r1del/</t>
  </si>
  <si>
    <t>https://prabhupadavani.org/transcriptions/751126mwdel/</t>
  </si>
  <si>
    <t>https://prabhupadavani.org/transcriptions/751128sbdel/</t>
  </si>
  <si>
    <t>https://prabhupadavani.org/transcriptions/751129mwdel/</t>
  </si>
  <si>
    <t>https://prabhupadavani.org/transcriptions/751130mwdel/</t>
  </si>
  <si>
    <t>https://prabhupadavani.org/transcriptions/751202sbvrn/</t>
  </si>
  <si>
    <t>https://prabhupadavani.org/transcriptions/751203mwvrn/</t>
  </si>
  <si>
    <t>Srimad-Bhagavatam 7.6.2</t>
  </si>
  <si>
    <t>https://prabhupadavani.org/transcriptions/751203sbvrn/</t>
  </si>
  <si>
    <t>https://prabhupadavani.org/transcriptions/751204mwvrn/</t>
  </si>
  <si>
    <t>https://prabhupadavani.org/transcriptions/751204sbvrn/</t>
  </si>
  <si>
    <t>Srimad-Bhagavatam 7.6.4</t>
  </si>
  <si>
    <t>https://prabhupadavani.org/transcriptions/751205sbvrn/</t>
  </si>
  <si>
    <t>https://prabhupadavani.org/transcriptions/751206levrn/</t>
  </si>
  <si>
    <t>https://prabhupadavani.org/transcriptions/751207mwvrn/</t>
  </si>
  <si>
    <t>Srimad-Bhagavatam 7.6.5</t>
  </si>
  <si>
    <t>https://prabhupadavani.org/transcriptions/751207sbvrn/</t>
  </si>
  <si>
    <t>Srimad-Bhagavatam 7.6.6</t>
  </si>
  <si>
    <t>https://prabhupadavani.org/transcriptions/751208sbvrn/</t>
  </si>
  <si>
    <t>https://prabhupadavani.org/transcriptions/751209mwvrn/</t>
  </si>
  <si>
    <t>Srimad-Bhagavatam 7.6.7</t>
  </si>
  <si>
    <t>https://prabhupadavani.org/transcriptions/751209sbvrn/</t>
  </si>
  <si>
    <t>https://prabhupadavani.org/transcriptions/751210mwvrn/</t>
  </si>
  <si>
    <t>Srimad-Bhagavatam 7.6.8</t>
  </si>
  <si>
    <t>https://prabhupadavani.org/transcriptions/751210sbvrn/</t>
  </si>
  <si>
    <t>https://prabhupadavani.org/transcriptions/751211mwvrn/</t>
  </si>
  <si>
    <t>Srimad-Bhagavatam 7.6.9</t>
  </si>
  <si>
    <t>https://prabhupadavani.org/transcriptions/751211sbvrn/</t>
  </si>
  <si>
    <t>https://prabhupadavani.org/transcriptions/751212mwvrn/</t>
  </si>
  <si>
    <t>Srimad-Bhagavatam 7.6.10</t>
  </si>
  <si>
    <t>https://prabhupadavani.org/transcriptions/751212sbvrn/</t>
  </si>
  <si>
    <t>New Delhi</t>
  </si>
  <si>
    <t>https://prabhupadavani.org/transcriptions/751214mwdel/</t>
  </si>
  <si>
    <t>https://prabhupadavani.org/transcriptions/751214r1del/</t>
  </si>
  <si>
    <t>https://prabhupadavani.org/transcriptions/751216mwbom/</t>
  </si>
  <si>
    <t>Engagement at Birla House, Srimad-Bhagavatam 7.6.1</t>
  </si>
  <si>
    <t>https://prabhupadavani.org/transcriptions/751216lebom/</t>
  </si>
  <si>
    <t>https://prabhupadavani.org/transcriptions/751217mwbom/</t>
  </si>
  <si>
    <t>https://prabhupadavani.org/transcriptions/751218mwbom/</t>
  </si>
  <si>
    <t>https://prabhupadavani.org/transcriptions/751219mwbom/</t>
  </si>
  <si>
    <t>https://prabhupadavani.org/transcriptions/751220mwbom/</t>
  </si>
  <si>
    <t>https://prabhupadavani.org/transcriptions/751220bgbom/</t>
  </si>
  <si>
    <t>BhaktisiddhAnta SarasvatA Disappearance Day, Bhagavad-Gita 16.7</t>
  </si>
  <si>
    <t>https://prabhupadavani.org/transcriptions/751222dbbom/</t>
  </si>
  <si>
    <t>https://prabhupadavani.org/transcriptions/751223mwbom/</t>
  </si>
  <si>
    <t>https://prabhupadavani.org/transcriptions/751224mwbom/</t>
  </si>
  <si>
    <t>Sanand</t>
  </si>
  <si>
    <t>Lecture in Hindi [final proofreading pending]</t>
  </si>
  <si>
    <t>https://prabhupadavani.org/transcriptions/751224lesan/</t>
  </si>
  <si>
    <t>https://prabhupadavani.org/transcriptions/751225mwsan/</t>
  </si>
  <si>
    <t>Bhagavad-Gita 7.1 [with Translator]</t>
  </si>
  <si>
    <t>https://prabhupadavani.org/transcriptions/751225bgsan/</t>
  </si>
  <si>
    <t>https://prabhupadavani.org/transcriptions/751226mwsan/</t>
  </si>
  <si>
    <t>Kirtan &amp; Lecture in Hindi [final proofreading pending]</t>
  </si>
  <si>
    <t>https://prabhupadavani.org/transcriptions/751226lesan/</t>
  </si>
  <si>
    <t>Bhagavad-Gita 16.7 [with translator]</t>
  </si>
  <si>
    <t>https://prabhupadavani.org/transcriptions/751226bgsan/</t>
  </si>
  <si>
    <t>Conversation on Roof</t>
  </si>
  <si>
    <t>https://prabhupadavani.org/transcriptions/751226rfsan/</t>
  </si>
  <si>
    <t>Bhagavad-Gita 7.7 [with Translator]</t>
  </si>
  <si>
    <t>https://prabhupadavani.org/transcriptions/751227b2san/</t>
  </si>
  <si>
    <t>Bhagavad-Gita 3.14 [with translator]</t>
  </si>
  <si>
    <t>https://prabhupadavani.org/transcriptions/751227bgsan/</t>
  </si>
  <si>
    <t>Bhagvad-Gita 7.2 in Hindi [final proofreading pending]</t>
  </si>
  <si>
    <t>https://prabhupadavani.org/transcriptions/751228bgsan/</t>
  </si>
  <si>
    <t>Bhagavad-Gita 3.27</t>
  </si>
  <si>
    <t>https://prabhupadavani.org/transcriptions/760101bgmad/</t>
  </si>
  <si>
    <t>https://prabhupadavani.org/transcriptions/760102mwmad/</t>
  </si>
  <si>
    <t>https://prabhupadavani.org/transcriptions/760102sbmad/</t>
  </si>
  <si>
    <t>Nellore</t>
  </si>
  <si>
    <t>https://prabhupadavani.org/transcriptions/760103mwnel/</t>
  </si>
  <si>
    <t>https://prabhupadavani.org/transcriptions/760103r1nel/</t>
  </si>
  <si>
    <t>https://prabhupadavani.org/transcriptions/760104mwnel/</t>
  </si>
  <si>
    <t>https://prabhupadavani.org/transcriptions/760104lenel/</t>
  </si>
  <si>
    <t>https://prabhupadavani.org/transcriptions/760105sbnel/</t>
  </si>
  <si>
    <t>https://prabhupadavani.org/transcriptions/760106mwnel/</t>
  </si>
  <si>
    <t>https://prabhupadavani.org/transcriptions/760107sbnel/</t>
  </si>
  <si>
    <t>https://prabhupadavani.org/transcriptions/760107r1nel/</t>
  </si>
  <si>
    <t>https://prabhupadavani.org/transcriptions/760108mwnel/</t>
  </si>
  <si>
    <t>https://prabhupadavani.org/transcriptions/760108sbnel/</t>
  </si>
  <si>
    <t>https://prabhupadavani.org/transcriptions/760108r1nel/</t>
  </si>
  <si>
    <t>https://prabhupadavani.org/transcriptions/760109mwmad/</t>
  </si>
  <si>
    <t>https://prabhupadavani.org/transcriptions/760112mwbom/</t>
  </si>
  <si>
    <t>https://prabhupadavani.org/transcriptions/760112sbbom/</t>
  </si>
  <si>
    <t>https://prabhupadavani.org/transcriptions/760113mwcal/</t>
  </si>
  <si>
    <t>Srimad-Bhagavatam 5.5.2 in Hindi</t>
  </si>
  <si>
    <t>https://prabhupadavani.org/transcriptions/760113sbcal/</t>
  </si>
  <si>
    <t>https://prabhupadavani.org/transcriptions/760114sbcal/</t>
  </si>
  <si>
    <t>https://prabhupadavani.org/transcriptions/760115mwcal/</t>
  </si>
  <si>
    <t>Speech [partially recorded]</t>
  </si>
  <si>
    <t>https://prabhupadavani.org/transcriptions/760115semay/</t>
  </si>
  <si>
    <t>https://prabhupadavani.org/transcriptions/760115r1may/</t>
  </si>
  <si>
    <t>Morning Walk. Tour of Mayapur Grounds</t>
  </si>
  <si>
    <t>https://prabhupadavani.org/transcriptions/760116mwmay/</t>
  </si>
  <si>
    <t>https://prabhupadavani.org/transcriptions/760116r1may/</t>
  </si>
  <si>
    <t>https://prabhupadavani.org/transcriptions/760117mwmay/</t>
  </si>
  <si>
    <t>https://prabhupadavani.org/transcriptions/760117r1may/</t>
  </si>
  <si>
    <t>https://prabhupadavani.org/transcriptions/760118mwmay/</t>
  </si>
  <si>
    <t>https://prabhupadavani.org/transcriptions/760118r1may/</t>
  </si>
  <si>
    <t>https://prabhupadavani.org/transcriptions/760119mwmay/</t>
  </si>
  <si>
    <t>https://prabhupadavani.org/transcriptions/760119r1may/</t>
  </si>
  <si>
    <t>https://prabhupadavani.org/transcriptions/760120mwmay/</t>
  </si>
  <si>
    <t>https://prabhupadavani.org/transcriptions/760121mwmay/</t>
  </si>
  <si>
    <t>https://prabhupadavani.org/transcriptions/760122mwmay/</t>
  </si>
  <si>
    <t>https://prabhupadavani.org/transcriptions/760123mwmay/</t>
  </si>
  <si>
    <t>https://prabhupadavani.org/transcriptions/760203mwmay/</t>
  </si>
  <si>
    <t>https://prabhupadavani.org/transcriptions/760204mwmay/</t>
  </si>
  <si>
    <t>https://prabhupadavani.org/transcriptions/760205mwmay/</t>
  </si>
  <si>
    <t>Sannyasa Initiation of Viraha Prakasa Swami</t>
  </si>
  <si>
    <t>https://prabhupadavani.org/transcriptions/760205inmay/</t>
  </si>
  <si>
    <t>https://prabhupadavani.org/transcriptions/760206mwmay/</t>
  </si>
  <si>
    <t>Srimad-Bhagavatam 7.9.1</t>
  </si>
  <si>
    <t>https://prabhupadavani.org/transcriptions/760208sbmay/</t>
  </si>
  <si>
    <t>https://prabhupadavani.org/transcriptions/760209mwmay/</t>
  </si>
  <si>
    <t>https://prabhupadavani.org/transcriptions/760210mwmay/</t>
  </si>
  <si>
    <t>Srimad-Bhagavatam 7.9.3</t>
  </si>
  <si>
    <t>https://prabhupadavani.org/transcriptions/760210sbmay/</t>
  </si>
  <si>
    <t>https://prabhupadavani.org/transcriptions/760211mwmay/</t>
  </si>
  <si>
    <t>Srimad-Bhagavatam 7.9.4</t>
  </si>
  <si>
    <t>https://prabhupadavani.org/transcriptions/760211sbmay/</t>
  </si>
  <si>
    <t>https://prabhupadavani.org/transcriptions/760212mwmay/</t>
  </si>
  <si>
    <t>Srimad-Bhagavatam 7.9.5</t>
  </si>
  <si>
    <t>https://prabhupadavani.org/transcriptions/760212sbmay/</t>
  </si>
  <si>
    <t>Srimad-Bhagavatam 7.9.7</t>
  </si>
  <si>
    <t>https://prabhupadavani.org/transcriptions/760214sbmay/</t>
  </si>
  <si>
    <t>https://prabhupadavani.org/transcriptions/760215sbmay/</t>
  </si>
  <si>
    <t>https://prabhupadavani.org/transcriptions/760216sbmay/</t>
  </si>
  <si>
    <t>https://prabhupadavani.org/transcriptions/760217sbmay/</t>
  </si>
  <si>
    <t>https://prabhupadavani.org/transcriptions/760218mwmay/</t>
  </si>
  <si>
    <t>https://prabhupadavani.org/transcriptions/760218sbmay/</t>
  </si>
  <si>
    <t>https://prabhupadavani.org/transcriptions/760219mwmay/</t>
  </si>
  <si>
    <t>https://prabhupadavani.org/transcriptions/760219sbmay/</t>
  </si>
  <si>
    <t>https://prabhupadavani.org/transcriptions/760220mwmay/</t>
  </si>
  <si>
    <t>https://prabhupadavani.org/transcriptions/760220sbmay/</t>
  </si>
  <si>
    <t>https://prabhupadavani.org/transcriptions/760221mwmay/</t>
  </si>
  <si>
    <t>Srimad-Bhagavatam 7.9.14</t>
  </si>
  <si>
    <t>https://prabhupadavani.org/transcriptions/760221sbmay/</t>
  </si>
  <si>
    <t>Srila Bhaktisiddhanta Sarasvati Appearance Day Lecture</t>
  </si>
  <si>
    <t>https://prabhupadavani.org/transcriptions/760221bamay/</t>
  </si>
  <si>
    <t>https://prabhupadavani.org/transcriptions/760222mwmay/</t>
  </si>
  <si>
    <t>Srimad-Bhagavatam 7.9.15</t>
  </si>
  <si>
    <t>https://prabhupadavani.org/transcriptions/760222sbmay/</t>
  </si>
  <si>
    <t>Srimad-Bhagavatam 7.9.16</t>
  </si>
  <si>
    <t>https://prabhupadavani.org/transcriptions/760223sbmay/</t>
  </si>
  <si>
    <t>Srimad-Bhagavatam 7.9.17</t>
  </si>
  <si>
    <t>https://prabhupadavani.org/transcriptions/760224sbmay/</t>
  </si>
  <si>
    <t>https://prabhupadavani.org/transcriptions/760225mwmay/</t>
  </si>
  <si>
    <t>Srimad-Bhagavatam 7.9.18</t>
  </si>
  <si>
    <t>https://prabhupadavani.org/transcriptions/760225sbmay/</t>
  </si>
  <si>
    <t>https://prabhupadavani.org/transcriptions/760226mwmay/</t>
  </si>
  <si>
    <t>Srimad-Bhagavatam 7.9.19</t>
  </si>
  <si>
    <t>https://prabhupadavani.org/transcriptions/760226sbmay/</t>
  </si>
  <si>
    <t>https://prabhupadavani.org/transcriptions/760227mwmay/</t>
  </si>
  <si>
    <t>Srimad-Bhagavatam 7.9.20</t>
  </si>
  <si>
    <t>https://prabhupadavani.org/transcriptions/760227sbmay/</t>
  </si>
  <si>
    <t>https://prabhupadavani.org/transcriptions/760228mwmay/</t>
  </si>
  <si>
    <t>Srimad-Bhagavatam 7.9.21</t>
  </si>
  <si>
    <t>https://prabhupadavani.org/transcriptions/760228sbmay/</t>
  </si>
  <si>
    <t>https://prabhupadavani.org/transcriptions/760229mwmay/</t>
  </si>
  <si>
    <t>Srimad-Bhagavatam 7.9.22</t>
  </si>
  <si>
    <t>https://prabhupadavani.org/transcriptions/760229sbmay/</t>
  </si>
  <si>
    <t>https://prabhupadavani.org/transcriptions/760301mwmay/</t>
  </si>
  <si>
    <t>Srimad-Bhagavatam 7.9.23</t>
  </si>
  <si>
    <t>https://prabhupadavani.org/transcriptions/760301sbmay/</t>
  </si>
  <si>
    <t>https://prabhupadavani.org/transcriptions/760302mwmay/</t>
  </si>
  <si>
    <t>Srimad-Bhagavatam 7.9.24</t>
  </si>
  <si>
    <t>https://prabhupadavani.org/transcriptions/760302sbmay/</t>
  </si>
  <si>
    <t>https://prabhupadavani.org/transcriptions/760303mwmay/</t>
  </si>
  <si>
    <t>Srimad-Bhagavatam 7.9.26</t>
  </si>
  <si>
    <t>https://prabhupadavani.org/transcriptions/760304sbmay/</t>
  </si>
  <si>
    <t>https://prabhupadavani.org/transcriptions/760305mwmay/</t>
  </si>
  <si>
    <t>Srimad-Bhagavatam 7.9.27</t>
  </si>
  <si>
    <t>https://prabhupadavani.org/transcriptions/760305sbmay/</t>
  </si>
  <si>
    <t>Srimad-Bhagavatam 7.9.28</t>
  </si>
  <si>
    <t>https://prabhupadavani.org/transcriptions/760306sbmay/</t>
  </si>
  <si>
    <t>Meeting with Godbrothers in Bengali</t>
  </si>
  <si>
    <t>https://prabhupadavani.org/transcriptions/760306memay/</t>
  </si>
  <si>
    <t>https://prabhupadavani.org/transcriptions/760307mwmay/</t>
  </si>
  <si>
    <t>Srimad-Bhagavatam 7.9.29</t>
  </si>
  <si>
    <t>https://prabhupadavani.org/transcriptions/760307sbmay/</t>
  </si>
  <si>
    <t>https://prabhupadavani.org/transcriptions/760308mwmay/</t>
  </si>
  <si>
    <t>Srimad-Bhagavatam 7.9.30</t>
  </si>
  <si>
    <t>https://prabhupadavani.org/transcriptions/760308sbmay/</t>
  </si>
  <si>
    <t>https://prabhupadavani.org/transcriptions/760309mwmay/</t>
  </si>
  <si>
    <t>Srimad-Bhagavatam 7.9.31</t>
  </si>
  <si>
    <t>https://prabhupadavani.org/transcriptions/760309sbmay/</t>
  </si>
  <si>
    <t>https://prabhupadavani.org/transcriptions/760310mwmay/</t>
  </si>
  <si>
    <t>Srimad-Bhagavatam 7.9.32</t>
  </si>
  <si>
    <t>https://prabhupadavani.org/transcriptions/760310sbmay/</t>
  </si>
  <si>
    <t>https://prabhupadavani.org/transcriptions/760311mwmay/</t>
  </si>
  <si>
    <t>Srimad-Bhagavatam 7.9.33</t>
  </si>
  <si>
    <t>https://prabhupadavani.org/transcriptions/760311sbmay/</t>
  </si>
  <si>
    <t>https://prabhupadavani.org/transcriptions/760312mwmay/</t>
  </si>
  <si>
    <t>Srimad-Bhagavatam 7.9.34</t>
  </si>
  <si>
    <t>https://prabhupadavani.org/transcriptions/760312sbmay/</t>
  </si>
  <si>
    <t>https://prabhupadavani.org/transcriptions/760313mwmay/</t>
  </si>
  <si>
    <t>Srimad-Bhagavatam 7.9.35</t>
  </si>
  <si>
    <t>https://prabhupadavani.org/transcriptions/760313sbmay/</t>
  </si>
  <si>
    <t>https://prabhupadavani.org/transcriptions/760314mwmay/</t>
  </si>
  <si>
    <t>Srimad-Bhagavatam 7.9.36</t>
  </si>
  <si>
    <t>https://prabhupadavani.org/transcriptions/760314sbmay/</t>
  </si>
  <si>
    <t>https://prabhupadavani.org/transcriptions/760315mwmay/</t>
  </si>
  <si>
    <t>Srimad-Bhagavatam 7.9.37</t>
  </si>
  <si>
    <t>https://prabhupadavani.org/transcriptions/760315sbmay/</t>
  </si>
  <si>
    <t>https://prabhupadavani.org/transcriptions/760316mwmay/</t>
  </si>
  <si>
    <t>Srimad-Bhagavatam 7.9.38, Sri Gaura-Purnima</t>
  </si>
  <si>
    <t>https://prabhupadavani.org/transcriptions/760316sbmay/</t>
  </si>
  <si>
    <t>Sannyasa and Harinama Initiations</t>
  </si>
  <si>
    <t>https://prabhupadavani.org/transcriptions/760316inmay/</t>
  </si>
  <si>
    <t>Room Conversation With Radha-Damodara Sankirtana Party</t>
  </si>
  <si>
    <t>https://prabhupadavani.org/transcriptions/760316r1may/</t>
  </si>
  <si>
    <t>https://prabhupadavani.org/transcriptions/760317mwmay/</t>
  </si>
  <si>
    <t>Srimad-Bhagavatam 7.9.39</t>
  </si>
  <si>
    <t>https://prabhupadavani.org/transcriptions/760317sbmay/</t>
  </si>
  <si>
    <t>https://prabhupadavani.org/transcriptions/760318mwmay/</t>
  </si>
  <si>
    <t>Srimad-Bhagavatam 7.9.40</t>
  </si>
  <si>
    <t>https://prabhupadavani.org/transcriptions/760318sbmay/</t>
  </si>
  <si>
    <t>https://prabhupadavani.org/transcriptions/760319mwmay/</t>
  </si>
  <si>
    <t>Srimad-Bhagavatam 7.9.41</t>
  </si>
  <si>
    <t>https://prabhupadavani.org/transcriptions/760319sbmay/</t>
  </si>
  <si>
    <t>Haridaspur</t>
  </si>
  <si>
    <t>https://prabhupadavani.org/transcriptions/760320lehar/</t>
  </si>
  <si>
    <t>https://prabhupadavani.org/transcriptions/760321mwmay/</t>
  </si>
  <si>
    <t>https://prabhupadavani.org/transcriptions/760322r1may/</t>
  </si>
  <si>
    <t>Srimad-Bhagavatam 7.9.42</t>
  </si>
  <si>
    <t>https://prabhupadavani.org/transcriptions/760322sbmay/</t>
  </si>
  <si>
    <t>https://prabhupadavani.org/transcriptions/760322arcal/</t>
  </si>
  <si>
    <t>https://prabhupadavani.org/transcriptions/760323sbcal/</t>
  </si>
  <si>
    <t>Talk at Radha-Govinda Mandir</t>
  </si>
  <si>
    <t>https://prabhupadavani.org/transcriptions/760324r1cal/</t>
  </si>
  <si>
    <t>https://prabhupadavani.org/transcriptions/760325mwdel/</t>
  </si>
  <si>
    <t>Bhagavad-Gita 2.11 -- Rotary Club Address at Hotel Imperial</t>
  </si>
  <si>
    <t>https://prabhupadavani.org/transcriptions/760325bgdel/</t>
  </si>
  <si>
    <t>Conversation with Newspaper Reporters</t>
  </si>
  <si>
    <t>https://prabhupadavani.org/transcriptions/760325r1del/</t>
  </si>
  <si>
    <t>https://prabhupadavani.org/transcriptions/760326mwdel/</t>
  </si>
  <si>
    <t>Srimad-Bhagavatam 7.9.44</t>
  </si>
  <si>
    <t>https://prabhupadavani.org/transcriptions/760326sbdel/</t>
  </si>
  <si>
    <t>Srimad-Bhagavatam 7.5.23-24</t>
  </si>
  <si>
    <t>https://prabhupadavani.org/transcriptions/760331sbvrn/</t>
  </si>
  <si>
    <t>Srimad-Bhagavatam 7.9.46</t>
  </si>
  <si>
    <t>https://prabhupadavani.org/transcriptions/760401sbvrn/</t>
  </si>
  <si>
    <t>Morning Walk in the Vrndavana Municipal Park [partially recorded]</t>
  </si>
  <si>
    <t>https://prabhupadavani.org/transcriptions/760402mwvrn/</t>
  </si>
  <si>
    <t>Srimad-Bhagavatam 7.9.47</t>
  </si>
  <si>
    <t>https://prabhupadavani.org/transcriptions/760402sbvrn/</t>
  </si>
  <si>
    <t>https://prabhupadavani.org/transcriptions/760403mwvrn/</t>
  </si>
  <si>
    <t>Srimad-Bhagavatam 7.9.48</t>
  </si>
  <si>
    <t>https://prabhupadavani.org/transcriptions/760403sbvrn/</t>
  </si>
  <si>
    <t>Srimad-Bhagavatam 7.9.49</t>
  </si>
  <si>
    <t>https://prabhupadavani.org/transcriptions/760404sbvrn/</t>
  </si>
  <si>
    <t>Initiation Talk [partially recorded]</t>
  </si>
  <si>
    <t>https://prabhupadavani.org/transcriptions/760404invrn/</t>
  </si>
  <si>
    <t>https://prabhupadavani.org/transcriptions/760404r1vrn/</t>
  </si>
  <si>
    <t>https://prabhupadavani.org/transcriptions/760405mwvrn/</t>
  </si>
  <si>
    <t>Srimad-Bhagavatam 7.9.50</t>
  </si>
  <si>
    <t>https://prabhupadavani.org/transcriptions/760405sbvrn/</t>
  </si>
  <si>
    <t>https://prabhupadavani.org/transcriptions/760405r1vrn/</t>
  </si>
  <si>
    <t>https://prabhupadavani.org/transcriptions/760406mwvrn/</t>
  </si>
  <si>
    <t>Srimad-Bhagavatam 7.9.51</t>
  </si>
  <si>
    <t>https://prabhupadavani.org/transcriptions/760406sbvrn/</t>
  </si>
  <si>
    <t>Meeting with Bankers</t>
  </si>
  <si>
    <t>https://prabhupadavani.org/transcriptions/760406mevrn/</t>
  </si>
  <si>
    <t>Conversation in Hindi</t>
  </si>
  <si>
    <t>https://prabhupadavani.org/transcriptions/760406r1vrn/</t>
  </si>
  <si>
    <t>https://prabhupadavani.org/transcriptions/760406r2vrn/</t>
  </si>
  <si>
    <t>Morning Walk in Ranga Gardens</t>
  </si>
  <si>
    <t>https://prabhupadavani.org/transcriptions/760407mwvrn/</t>
  </si>
  <si>
    <t>Srimad-Bhagavatam 7.9.52</t>
  </si>
  <si>
    <t>https://prabhupadavani.org/transcriptions/760407sbvrn/</t>
  </si>
  <si>
    <t>Lecture to Devotees</t>
  </si>
  <si>
    <t>https://prabhupadavani.org/transcriptions/760407levrn/</t>
  </si>
  <si>
    <t>https://prabhupadavani.org/transcriptions/760408mwvrn/</t>
  </si>
  <si>
    <t>Srimad-Bhagavatam 7.9.53</t>
  </si>
  <si>
    <t>https://prabhupadavani.org/transcriptions/760408sbvrn/</t>
  </si>
  <si>
    <t>https://prabhupadavani.org/transcriptions/760408levrn/</t>
  </si>
  <si>
    <t>Speech in Hindi [partially recorded]</t>
  </si>
  <si>
    <t>https://prabhupadavani.org/transcriptions/760408spvrn/</t>
  </si>
  <si>
    <t>https://prabhupadavani.org/transcriptions/760409mwvrn/</t>
  </si>
  <si>
    <t>Srimad-Bhagavatam 7.9.54</t>
  </si>
  <si>
    <t>https://prabhupadavani.org/transcriptions/760409sbvrn/</t>
  </si>
  <si>
    <t>https://prabhupadavani.org/transcriptions/760409levrn/</t>
  </si>
  <si>
    <t>https://prabhupadavani.org/transcriptions/760410mwvrn/</t>
  </si>
  <si>
    <t>Srimad-Bhagavatam 7.9.55</t>
  </si>
  <si>
    <t>https://prabhupadavani.org/transcriptions/760410sbvrn/</t>
  </si>
  <si>
    <t>https://prabhupadavani.org/transcriptions/760412mwbom/</t>
  </si>
  <si>
    <t>Srimad-Bhagavatam 7.12.1</t>
  </si>
  <si>
    <t>https://prabhupadavani.org/transcriptions/760412sbbom/</t>
  </si>
  <si>
    <t>https://prabhupadavani.org/transcriptions/760413mwbom/</t>
  </si>
  <si>
    <t>Srimad-Bhagavatam 7.12.2</t>
  </si>
  <si>
    <t>https://prabhupadavani.org/transcriptions/760413sbbom/</t>
  </si>
  <si>
    <t>https://prabhupadavani.org/transcriptions/760414mwbom/</t>
  </si>
  <si>
    <t>Srimad-Bhagavatam 7.12.3</t>
  </si>
  <si>
    <t>https://prabhupadavani.org/transcriptions/760414sbbom/</t>
  </si>
  <si>
    <t>https://prabhupadavani.org/transcriptions/760414r1bom/</t>
  </si>
  <si>
    <t>https://prabhupadavani.org/transcriptions/760415mwbom/</t>
  </si>
  <si>
    <t>Srimad-Bhagavatam 7.12.4</t>
  </si>
  <si>
    <t>https://prabhupadavani.org/transcriptions/760415sbbom/</t>
  </si>
  <si>
    <t>https://prabhupadavani.org/transcriptions/760416mwbom/</t>
  </si>
  <si>
    <t>Srimad-Bhagavatam 7.12.5</t>
  </si>
  <si>
    <t>https://prabhupadavani.org/transcriptions/760416sbbom/</t>
  </si>
  <si>
    <t>https://prabhupadavani.org/transcriptions/760417mwbom/</t>
  </si>
  <si>
    <t>Srimad-Bhagavatam 7.12.6</t>
  </si>
  <si>
    <t>https://prabhupadavani.org/transcriptions/760417sbbom/</t>
  </si>
  <si>
    <t>https://prabhupadavani.org/transcriptions/760417r1bom/</t>
  </si>
  <si>
    <t>https://prabhupadavani.org/transcriptions/760419bgmel/</t>
  </si>
  <si>
    <t>https://prabhupadavani.org/transcriptions/760419armel/</t>
  </si>
  <si>
    <t>Room Conversation &amp; TV Interview with Mike Barron</t>
  </si>
  <si>
    <t>https://prabhupadavani.org/transcriptions/760420r1mel/</t>
  </si>
  <si>
    <t>Recording of TV Interview [partially recorded]</t>
  </si>
  <si>
    <t>https://prabhupadavani.org/transcriptions/760420r2mel/</t>
  </si>
  <si>
    <t>https://prabhupadavani.org/transcriptions/760420bgmel/</t>
  </si>
  <si>
    <t>https://prabhupadavani.org/transcriptions/760421mwmel/</t>
  </si>
  <si>
    <t>Bhagavad-Gita 9.3</t>
  </si>
  <si>
    <t>https://prabhupadavani.org/transcriptions/760421bgmel/</t>
  </si>
  <si>
    <t>Bhagavad-Gita 9.4</t>
  </si>
  <si>
    <t>https://prabhupadavani.org/transcriptions/760422bgmel/</t>
  </si>
  <si>
    <t>https://prabhupadavani.org/transcriptions/760422r1mel/</t>
  </si>
  <si>
    <t>https://prabhupadavani.org/transcriptions/760422r2mel/</t>
  </si>
  <si>
    <t>Room Conversation with Guests</t>
  </si>
  <si>
    <t>https://prabhupadavani.org/transcriptions/760422r3mel/</t>
  </si>
  <si>
    <t>https://prabhupadavani.org/transcriptions/760423inmel/</t>
  </si>
  <si>
    <t>Room Conversation with Minister Dixon, State Minister for Social Services</t>
  </si>
  <si>
    <t>https://prabhupadavani.org/transcriptions/760423r1mel/</t>
  </si>
  <si>
    <t>Room Conversation with Mormons</t>
  </si>
  <si>
    <t>https://prabhupadavani.org/transcriptions/760423r2mel/</t>
  </si>
  <si>
    <t>https://prabhupadavani.org/transcriptions/760423bgmel/</t>
  </si>
  <si>
    <t>https://prabhupadavani.org/transcriptions/760424mwmel/</t>
  </si>
  <si>
    <t>Bhagavad-Gita 9.5</t>
  </si>
  <si>
    <t>https://prabhupadavani.org/transcriptions/760424bgmel/</t>
  </si>
  <si>
    <t>https://prabhupadavani.org/transcriptions/760426mwmel/</t>
  </si>
  <si>
    <t>https://prabhupadavani.org/transcriptions/760426bgmel/</t>
  </si>
  <si>
    <t>Auckland, New Zealand</t>
  </si>
  <si>
    <t>https://prabhupadavani.org/transcriptions/760427arauc/</t>
  </si>
  <si>
    <t>https://prabhupadavani.org/transcriptions/760427pcauc/</t>
  </si>
  <si>
    <t>https://prabhupadavani.org/transcriptions/760427r1auc/</t>
  </si>
  <si>
    <t>Sri Caitanya-caritamrta, Madhya-lila 20.98-102</t>
  </si>
  <si>
    <t>https://prabhupadavani.org/transcriptions/760427ccauc/</t>
  </si>
  <si>
    <t>https://prabhupadavani.org/transcriptions/760430r1fij/</t>
  </si>
  <si>
    <t>https://prabhupadavani.org/transcriptions/760501r1fij/</t>
  </si>
  <si>
    <t>Lautoka, Fiji</t>
  </si>
  <si>
    <t>Sri Sri Kaliya Krsna Deity Installation</t>
  </si>
  <si>
    <t>https://prabhupadavani.org/transcriptions/760502difij/</t>
  </si>
  <si>
    <t>https://prabhupadavani.org/transcriptions/760502r1fij/</t>
  </si>
  <si>
    <t>https://prabhupadavani.org/transcriptions/760503mwfij/</t>
  </si>
  <si>
    <t>https://prabhupadavani.org/transcriptions/760503r1fij/</t>
  </si>
  <si>
    <t>https://prabhupadavani.org/transcriptions/760503arhon/</t>
  </si>
  <si>
    <t>Room Conversation with Siddha-svarupa Follower</t>
  </si>
  <si>
    <t>https://prabhupadavani.org/transcriptions/760503r1hon/</t>
  </si>
  <si>
    <t>https://prabhupadavani.org/transcriptions/760504r1hon/</t>
  </si>
  <si>
    <t>https://prabhupadavani.org/transcriptions/760505sbhon/</t>
  </si>
  <si>
    <t>https://prabhupadavani.org/transcriptions/760505r1hon/</t>
  </si>
  <si>
    <t>Srimad-Bhagavatam 6.1.2</t>
  </si>
  <si>
    <t>https://prabhupadavani.org/transcriptions/760506sbhon/</t>
  </si>
  <si>
    <t>https://prabhupadavani.org/transcriptions/760506lehon/</t>
  </si>
  <si>
    <t>https://prabhupadavani.org/transcriptions/760507sbhon/</t>
  </si>
  <si>
    <t>https://prabhupadavani.org/transcriptions/760507r1hon/</t>
  </si>
  <si>
    <t>https://prabhupadavani.org/transcriptions/760508sbhon/</t>
  </si>
  <si>
    <t>https://prabhupadavani.org/transcriptions/760509sbhon/</t>
  </si>
  <si>
    <t>https://prabhupadavani.org/transcriptions/760510sbhon/</t>
  </si>
  <si>
    <t>https://prabhupadavani.org/transcriptions/760511sbhon/</t>
  </si>
  <si>
    <t>https://prabhupadavani.org/transcriptions/760511lehon/</t>
  </si>
  <si>
    <t>https://prabhupadavani.org/transcriptions/760512mwhon/</t>
  </si>
  <si>
    <t>https://prabhupadavani.org/transcriptions/760512sbhon/</t>
  </si>
  <si>
    <t>https://prabhupadavani.org/transcriptions/760512r1hon/</t>
  </si>
  <si>
    <t>https://prabhupadavani.org/transcriptions/760513sbhon/</t>
  </si>
  <si>
    <t>https://prabhupadavani.org/transcriptions/760513r2hon/</t>
  </si>
  <si>
    <t>https://prabhupadavani.org/transcriptions/760514sbhon/</t>
  </si>
  <si>
    <t>https://prabhupadavani.org/transcriptions/760515mwhon/</t>
  </si>
  <si>
    <t>https://prabhupadavani.org/transcriptions/760515sbhon/</t>
  </si>
  <si>
    <t>https://prabhupadavani.org/transcriptions/760515r1hon/</t>
  </si>
  <si>
    <t>https://prabhupadavani.org/transcriptions/760516sbhon/</t>
  </si>
  <si>
    <t>https://prabhupadavani.org/transcriptions/760517sbhon/</t>
  </si>
  <si>
    <t>Lecture about Mayavada Philosophy</t>
  </si>
  <si>
    <t>https://prabhupadavani.org/transcriptions/760517lehon/</t>
  </si>
  <si>
    <t>https://prabhupadavani.org/transcriptions/760518sbhon/</t>
  </si>
  <si>
    <t>https://prabhupadavani.org/transcriptions/760518r2bom/</t>
  </si>
  <si>
    <t>Room Conversation about New Vrindavan</t>
  </si>
  <si>
    <t>https://prabhupadavani.org/transcriptions/760518r1bom/</t>
  </si>
  <si>
    <t>https://prabhupadavani.org/transcriptions/760519sbhon/</t>
  </si>
  <si>
    <t>https://prabhupadavani.org/transcriptions/760519r1hon/</t>
  </si>
  <si>
    <t>https://prabhupadavani.org/transcriptions/760520sbhon/</t>
  </si>
  <si>
    <t>https://prabhupadavani.org/transcriptions/760520r1hon/</t>
  </si>
  <si>
    <t>https://prabhupadavani.org/transcriptions/760520r2hon/</t>
  </si>
  <si>
    <t>https://prabhupadavani.org/transcriptions/760521sbhon/</t>
  </si>
  <si>
    <t>Room Conversation About Deity-Making and Tulasi Tea</t>
  </si>
  <si>
    <t>https://prabhupadavani.org/transcriptions/760521r1hon/</t>
  </si>
  <si>
    <t>https://prabhupadavani.org/transcriptions/760522sbhon/</t>
  </si>
  <si>
    <t>https://prabhupadavani.org/transcriptions/760523sbhon/</t>
  </si>
  <si>
    <t>https://prabhupadavani.org/transcriptions/760524sbhon/</t>
  </si>
  <si>
    <t>https://prabhupadavani.org/transcriptions/760524r1hon/</t>
  </si>
  <si>
    <t>https://prabhupadavani.org/transcriptions/760525mwhon/</t>
  </si>
  <si>
    <t>https://prabhupadavani.org/transcriptions/760525sbhon/</t>
  </si>
  <si>
    <t>https://prabhupadavani.org/transcriptions/760526mwhon/</t>
  </si>
  <si>
    <t>https://prabhupadavani.org/transcriptions/760526sbhon/</t>
  </si>
  <si>
    <t>https://prabhupadavani.org/transcriptions/760527mwhon/</t>
  </si>
  <si>
    <t>https://prabhupadavani.org/transcriptions/760527sbhon/</t>
  </si>
  <si>
    <t>https://prabhupadavani.org/transcriptions/760528mwhon/</t>
  </si>
  <si>
    <t>https://prabhupadavani.org/transcriptions/760528sbhon/</t>
  </si>
  <si>
    <t>https://prabhupadavani.org/transcriptions/760529mwhon/</t>
  </si>
  <si>
    <t>https://prabhupadavani.org/transcriptions/760529sbhon/</t>
  </si>
  <si>
    <t>https://prabhupadavani.org/transcriptions/760530mwhon/</t>
  </si>
  <si>
    <t>https://prabhupadavani.org/transcriptions/760530sbhon/</t>
  </si>
  <si>
    <t>https://prabhupadavani.org/transcriptions/760530r1hon/</t>
  </si>
  <si>
    <t>https://prabhupadavani.org/transcriptions/760531mwhon/</t>
  </si>
  <si>
    <t>https://prabhupadavani.org/transcriptions/760531sbhon/</t>
  </si>
  <si>
    <t>Philosophy Discussion with Hayagriva</t>
  </si>
  <si>
    <t>https://prabhupadavani.org/transcriptions/760531r1hon/</t>
  </si>
  <si>
    <t>https://prabhupadavani.org/transcriptions/760601sbhon/</t>
  </si>
  <si>
    <t>Srimad-Bhagavatam 6.1.34-36</t>
  </si>
  <si>
    <t>https://prabhupadavani.org/transcriptions/760602sbla/</t>
  </si>
  <si>
    <t>https://prabhupadavani.org/transcriptions/760603ivla/</t>
  </si>
  <si>
    <t>https://prabhupadavani.org/transcriptions/760603mwla/</t>
  </si>
  <si>
    <t>https://prabhupadavani.org/transcriptions/760603sbla/</t>
  </si>
  <si>
    <t>https://prabhupadavani.org/transcriptions/760604ivla/</t>
  </si>
  <si>
    <t>https://prabhupadavani.org/transcriptions/760604mwla/</t>
  </si>
  <si>
    <t>https://prabhupadavani.org/transcriptions/760604sbla/</t>
  </si>
  <si>
    <t>https://prabhupadavani.org/transcriptions/760605mwla/</t>
  </si>
  <si>
    <t>https://prabhupadavani.org/transcriptions/760605sbla/</t>
  </si>
  <si>
    <t>https://prabhupadavani.org/transcriptions/760606mwla/</t>
  </si>
  <si>
    <t>https://prabhupadavani.org/transcriptions/760606sbla/</t>
  </si>
  <si>
    <t>https://prabhupadavani.org/transcriptions/760607mwla/</t>
  </si>
  <si>
    <t>https://prabhupadavani.org/transcriptions/760607sbla/</t>
  </si>
  <si>
    <t>https://prabhupadavani.org/transcriptions/760608mwla/</t>
  </si>
  <si>
    <t>https://prabhupadavani.org/transcriptions/760608sbla/</t>
  </si>
  <si>
    <t>https://prabhupadavani.org/transcriptions/760608gcla/</t>
  </si>
  <si>
    <t>https://prabhupadavani.org/transcriptions/760608r1la/</t>
  </si>
  <si>
    <t>https://prabhupadavani.org/transcriptions/760609mwla/</t>
  </si>
  <si>
    <t>https://prabhupadavani.org/transcriptions/760609sbla/</t>
  </si>
  <si>
    <t>https://prabhupadavani.org/transcriptions/760609r1la/</t>
  </si>
  <si>
    <t>https://prabhupadavani.org/transcriptions/760609gcla/</t>
  </si>
  <si>
    <t>https://prabhupadavani.org/transcriptions/760609r2la/</t>
  </si>
  <si>
    <t>https://prabhupadavani.org/transcriptions/760610mwla/</t>
  </si>
  <si>
    <t>https://prabhupadavani.org/transcriptions/760610sbla/</t>
  </si>
  <si>
    <t>Room Conversation and Interview with Richard from Coronet Magazine</t>
  </si>
  <si>
    <t>https://prabhupadavani.org/transcriptions/760610i2la/</t>
  </si>
  <si>
    <t>https://prabhupadavani.org/transcriptions/760610gcla/</t>
  </si>
  <si>
    <t>L.A. Magazine Interview</t>
  </si>
  <si>
    <t>https://prabhupadavani.org/transcriptions/760610i1la/</t>
  </si>
  <si>
    <t>https://prabhupadavani.org/transcriptions/760610r1la/</t>
  </si>
  <si>
    <t>https://prabhupadavani.org/transcriptions/760610r2la/</t>
  </si>
  <si>
    <t>https://prabhupadavani.org/transcriptions/760611mwla/</t>
  </si>
  <si>
    <t>https://prabhupadavani.org/transcriptions/760611sbla/</t>
  </si>
  <si>
    <t>https://prabhupadavani.org/transcriptions/760611ardet/</t>
  </si>
  <si>
    <t>https://prabhupadavani.org/transcriptions/760612sbdet/</t>
  </si>
  <si>
    <t>Interview with Jackie Vaughn, State Representative</t>
  </si>
  <si>
    <t>https://prabhupadavani.org/transcriptions/760612ivdet/</t>
  </si>
  <si>
    <t>https://prabhupadavani.org/transcriptions/760613mwdet/</t>
  </si>
  <si>
    <t>https://prabhupadavani.org/transcriptions/760613sbdet/</t>
  </si>
  <si>
    <t>Room Conversation with Mother and Son</t>
  </si>
  <si>
    <t>https://prabhupadavani.org/transcriptions/760613r1det/</t>
  </si>
  <si>
    <t>https://prabhupadavani.org/transcriptions/760614mwdet/</t>
  </si>
  <si>
    <t>https://prabhupadavani.org/transcriptions/760614sbdet/</t>
  </si>
  <si>
    <t>Room Conversation with Ambarisa and Catholic Priest</t>
  </si>
  <si>
    <t>https://prabhupadavani.org/transcriptions/760614r1det/</t>
  </si>
  <si>
    <t>https://prabhupadavani.org/transcriptions/760614gcdet/</t>
  </si>
  <si>
    <t>https://prabhupadavani.org/transcriptions/760615mwdet/</t>
  </si>
  <si>
    <t>https://prabhupadavani.org/transcriptions/760615sbdet/</t>
  </si>
  <si>
    <t>https://prabhupadavani.org/transcriptions/760615indet/</t>
  </si>
  <si>
    <t>Room Conversation with George Gullen, President of Wayne State University</t>
  </si>
  <si>
    <t>https://prabhupadavani.org/transcriptions/760615r1det/</t>
  </si>
  <si>
    <t>https://prabhupadavani.org/transcriptions/760615r2det/</t>
  </si>
  <si>
    <t>Bhagavad-Gita 2.1--2.12 Reading</t>
  </si>
  <si>
    <t>https://prabhupadavani.org/transcriptions/760615bgdet/</t>
  </si>
  <si>
    <t>Conversation with Clergymen</t>
  </si>
  <si>
    <t>https://prabhupadavani.org/transcriptions/760615r3det/</t>
  </si>
  <si>
    <t>https://prabhupadavani.org/transcriptions/760616sbdet/</t>
  </si>
  <si>
    <t>https://prabhupadavani.org/transcriptions/760616r1det/</t>
  </si>
  <si>
    <t>https://prabhupadavani.org/transcriptions/760617sbtor/</t>
  </si>
  <si>
    <t>https://prabhupadavani.org/transcriptions/760617r1tor/</t>
  </si>
  <si>
    <t>https://prabhupadavani.org/transcriptions/760617r2tor/</t>
  </si>
  <si>
    <t>https://prabhupadavani.org/transcriptions/760618mwtor/</t>
  </si>
  <si>
    <t>https://prabhupadavani.org/transcriptions/760618sbtor/</t>
  </si>
  <si>
    <t>Interview with Professors O'Connell, Motilal and Shivaram</t>
  </si>
  <si>
    <t>https://prabhupadavani.org/transcriptions/760618i2tor/</t>
  </si>
  <si>
    <t>https://prabhupadavani.org/transcriptions/760618intor/</t>
  </si>
  <si>
    <t>Interview with Kathy Kerr Reporter from The Star</t>
  </si>
  <si>
    <t>https://prabhupadavani.org/transcriptions/760618ivtor/</t>
  </si>
  <si>
    <t>https://prabhupadavani.org/transcriptions/760618r1tor/</t>
  </si>
  <si>
    <t>https://prabhupadavani.org/transcriptions/760619mwtor/</t>
  </si>
  <si>
    <t>https://prabhupadavani.org/transcriptions/760619sbtor/</t>
  </si>
  <si>
    <t>Subhavilasa Home Engagement</t>
  </si>
  <si>
    <t>https://prabhupadavani.org/transcriptions/760619letor/</t>
  </si>
  <si>
    <t>https://prabhupadavani.org/transcriptions/760620mwtor/</t>
  </si>
  <si>
    <t>https://prabhupadavani.org/transcriptions/760620sbtor/</t>
  </si>
  <si>
    <t>https://prabhupadavani.org/transcriptions/760620bgtor/</t>
  </si>
  <si>
    <t>https://prabhupadavani.org/transcriptions/760621mwtor/</t>
  </si>
  <si>
    <t>https://prabhupadavani.org/transcriptions/760621sbtor/</t>
  </si>
  <si>
    <t>Toronto, New Vrindavan</t>
  </si>
  <si>
    <t>Conversation in Airport and Car to New Vrindavan</t>
  </si>
  <si>
    <t>https://prabhupadavani.org/transcriptions/760621crtor/</t>
  </si>
  <si>
    <t>https://prabhupadavani.org/transcriptions/760621arnv/</t>
  </si>
  <si>
    <t>https://prabhupadavani.org/transcriptions/760622mwnv/</t>
  </si>
  <si>
    <t>https://prabhupadavani.org/transcriptions/760622sbnv/</t>
  </si>
  <si>
    <t>Prabhupada Visits Palace and Garden</t>
  </si>
  <si>
    <t>https://prabhupadavani.org/transcriptions/760622vinv/</t>
  </si>
  <si>
    <t>https://prabhupadavani.org/transcriptions/760622gcnv/</t>
  </si>
  <si>
    <t>https://prabhupadavani.org/transcriptions/760623gcnv/</t>
  </si>
  <si>
    <t>https://prabhupadavani.org/transcriptions/760624sbnv/</t>
  </si>
  <si>
    <t>https://prabhupadavani.org/transcriptions/760624r1nv/</t>
  </si>
  <si>
    <t>Prabhupada Inspects New BTG</t>
  </si>
  <si>
    <t>https://prabhupadavani.org/transcriptions/760624binv/</t>
  </si>
  <si>
    <t>Morning Talk in Car [partially recorded]</t>
  </si>
  <si>
    <t>https://prabhupadavani.org/transcriptions/760625mwnv/</t>
  </si>
  <si>
    <t>https://prabhupadavani.org/transcriptions/760625sbnv/</t>
  </si>
  <si>
    <t>Room Conversation and Reading from SB 1.5.1-16 and 12th Canto</t>
  </si>
  <si>
    <t>https://prabhupadavani.org/transcriptions/760625r1nv/</t>
  </si>
  <si>
    <t>https://prabhupadavani.org/transcriptions/760626sbnv/</t>
  </si>
  <si>
    <t>Bhagavad-Gita 16.1-16 Garden Discussion</t>
  </si>
  <si>
    <t>https://prabhupadavani.org/transcriptions/760626gdnv/</t>
  </si>
  <si>
    <t>https://prabhupadavani.org/transcriptions/760626r2nv/</t>
  </si>
  <si>
    <t>https://prabhupadavani.org/transcriptions/760626r1nv/</t>
  </si>
  <si>
    <t>Marble Shop Visit</t>
  </si>
  <si>
    <t>https://prabhupadavani.org/transcriptions/760626vinv/</t>
  </si>
  <si>
    <t>https://prabhupadavani.org/transcriptions/760627mwnv/</t>
  </si>
  <si>
    <t>https://prabhupadavani.org/transcriptions/760627gcnv/</t>
  </si>
  <si>
    <t>Srimad-Bhagavatam 7.6.11-13</t>
  </si>
  <si>
    <t>https://prabhupadavani.org/transcriptions/760627sbnv/</t>
  </si>
  <si>
    <t>Srimad-Bhagavatam 7.6.14</t>
  </si>
  <si>
    <t>https://prabhupadavani.org/transcriptions/760628sbnv/</t>
  </si>
  <si>
    <t>https://prabhupadavani.org/transcriptions/760628r2nv/</t>
  </si>
  <si>
    <t>Bhagavad-Gita 16.17-19, Garden Conversation</t>
  </si>
  <si>
    <t>https://prabhupadavani.org/transcriptions/760628bgnv/</t>
  </si>
  <si>
    <t>Room Conversation After Film</t>
  </si>
  <si>
    <t>https://prabhupadavani.org/transcriptions/760628r1nv/</t>
  </si>
  <si>
    <t>Srimad-Bhagavatam 7.6.15</t>
  </si>
  <si>
    <t>https://prabhupadavani.org/transcriptions/760629sbnv/</t>
  </si>
  <si>
    <t>https://prabhupadavani.org/transcriptions/760629r1nv/</t>
  </si>
  <si>
    <t>Bhavan's Journal, Answers to a Questionnaire 1</t>
  </si>
  <si>
    <t>https://prabhupadavani.org/transcriptions/760629bjnv/</t>
  </si>
  <si>
    <t>Srimad-Bhagavatam 7.6.16</t>
  </si>
  <si>
    <t>https://prabhupadavani.org/transcriptions/760630sbnv/</t>
  </si>
  <si>
    <t>Wheeling, W. Virginia</t>
  </si>
  <si>
    <t>Interview with Mike Darby, Wheeling Intelligencer</t>
  </si>
  <si>
    <t>https://prabhupadavani.org/transcriptions/760630ivwhe/</t>
  </si>
  <si>
    <t>Bhavan's Journal, Answers to a Questionnaire 2</t>
  </si>
  <si>
    <t>https://prabhupadavani.org/transcriptions/760630bjnv/</t>
  </si>
  <si>
    <t>Srimad-Bhagavatam 7.6.17-18</t>
  </si>
  <si>
    <t>https://prabhupadavani.org/transcriptions/760701sbnv/</t>
  </si>
  <si>
    <t>https://prabhupadavani.org/transcriptions/760701r1nv/</t>
  </si>
  <si>
    <t>Bhavan's Journal, Answers to a Questionnaire 3</t>
  </si>
  <si>
    <t>https://prabhupadavani.org/transcriptions/760701bjnv/</t>
  </si>
  <si>
    <t>Srimad-Bhagavatam 7.6.19</t>
  </si>
  <si>
    <t>https://prabhupadavani.org/transcriptions/760702sbnv/</t>
  </si>
  <si>
    <t>https://prabhupadavani.org/transcriptions/760702r1nv/</t>
  </si>
  <si>
    <t>Washington, D.C.</t>
  </si>
  <si>
    <t>Car Journey and Arrival</t>
  </si>
  <si>
    <t>https://prabhupadavani.org/transcriptions/760702arwdc/</t>
  </si>
  <si>
    <t>https://prabhupadavani.org/transcriptions/760703mwwdc/</t>
  </si>
  <si>
    <t>Washington D.C.</t>
  </si>
  <si>
    <t>Srimad-Bhagavatam 7.6.20-23</t>
  </si>
  <si>
    <t>https://prabhupadavani.org/transcriptions/760703sbwdc/</t>
  </si>
  <si>
    <t>https://prabhupadavani.org/transcriptions/760703r1wdc/</t>
  </si>
  <si>
    <t>"Life Comes From Life" Slideshow Discussions</t>
  </si>
  <si>
    <t>https://prabhupadavani.org/transcriptions/760703sswdc/</t>
  </si>
  <si>
    <t>https://prabhupadavani.org/transcriptions/760704mwwdc/</t>
  </si>
  <si>
    <t>Sri Caitanya-caritamrta, Madhya-lila 20.98-99</t>
  </si>
  <si>
    <t>https://prabhupadavani.org/transcriptions/760704ccwdc/</t>
  </si>
  <si>
    <t>https://prabhupadavani.org/transcriptions/760704sswdc/</t>
  </si>
  <si>
    <t>https://prabhupadavani.org/transcriptions/760704r1wdc/</t>
  </si>
  <si>
    <t>https://prabhupadavani.org/transcriptions/760705mwwdc/</t>
  </si>
  <si>
    <t>Sri Caitanya-caritamrta, Madhya-lila 20.100</t>
  </si>
  <si>
    <t>https://prabhupadavani.org/transcriptions/760705ccwdc/</t>
  </si>
  <si>
    <t>Conversation with Dr. Shaligram Shukla--Part 1</t>
  </si>
  <si>
    <t>https://prabhupadavani.org/transcriptions/760705r1wdc/</t>
  </si>
  <si>
    <t>Conversation with Dr. Shaligram Shukla--Part 2</t>
  </si>
  <si>
    <t>https://prabhupadavani.org/transcriptions/760705r2wdc/</t>
  </si>
  <si>
    <t>https://prabhupadavani.org/transcriptions/760705r3wdc/</t>
  </si>
  <si>
    <t>https://prabhupadavani.org/transcriptions/760705r4wdc/</t>
  </si>
  <si>
    <t>Evening Darsana</t>
  </si>
  <si>
    <t>https://prabhupadavani.org/transcriptions/760706edwdc/</t>
  </si>
  <si>
    <t>Tenth Anniversary Address</t>
  </si>
  <si>
    <t>https://prabhupadavani.org/transcriptions/760706adwdc/</t>
  </si>
  <si>
    <t>https://prabhupadavani.org/transcriptions/760706r1wdc/</t>
  </si>
  <si>
    <t>Room Conversation With Scientists</t>
  </si>
  <si>
    <t>https://prabhupadavani.org/transcriptions/760706r2wdc/</t>
  </si>
  <si>
    <t>https://prabhupadavani.org/transcriptions/760706r3wdc/</t>
  </si>
  <si>
    <t>https://prabhupadavani.org/transcriptions/760706r4wdc/</t>
  </si>
  <si>
    <t>Sri Caitanya-caritamrta, Madhya-lila 20.101</t>
  </si>
  <si>
    <t>https://prabhupadavani.org/transcriptions/760706ccwdc/</t>
  </si>
  <si>
    <t>https://prabhupadavani.org/transcriptions/760707edwdc/</t>
  </si>
  <si>
    <t>Baltimore</t>
  </si>
  <si>
    <t>https://prabhupadavani.org/transcriptions/760707r1bal/</t>
  </si>
  <si>
    <t>https://prabhupadavani.org/transcriptions/760707r2bal/</t>
  </si>
  <si>
    <t>Sri Caitanya-caritamrta, Madhya-lila 20.102</t>
  </si>
  <si>
    <t>https://prabhupadavani.org/transcriptions/760707ccbal/</t>
  </si>
  <si>
    <t>https://prabhupadavani.org/transcriptions/760708edwdc/</t>
  </si>
  <si>
    <t>Interview and Conversation</t>
  </si>
  <si>
    <t>https://prabhupadavani.org/transcriptions/760708ivwdc/</t>
  </si>
  <si>
    <t>Room Conversation with Dr. Sharma</t>
  </si>
  <si>
    <t>https://prabhupadavani.org/transcriptions/760708r1wdc/</t>
  </si>
  <si>
    <t>https://prabhupadavani.org/transcriptions/760708r2wdc/</t>
  </si>
  <si>
    <t>Sri Caitanya-caritamrta, Madhya-lila 20.103</t>
  </si>
  <si>
    <t>https://prabhupadavani.org/transcriptions/760708ccwdc/</t>
  </si>
  <si>
    <t>https://prabhupadavani.org/transcriptions/760709mwwdc/</t>
  </si>
  <si>
    <t>Arrival Comments in Car to Temple</t>
  </si>
  <si>
    <t>https://prabhupadavani.org/transcriptions/760709arny/</t>
  </si>
  <si>
    <t>https://prabhupadavani.org/transcriptions/760709adny/</t>
  </si>
  <si>
    <t>https://prabhupadavani.org/transcriptions/760709r1ny/</t>
  </si>
  <si>
    <t>https://prabhupadavani.org/transcriptions/760710mwny/</t>
  </si>
  <si>
    <t>Sri Caitanya-caritamrta, Madhya-lila 20.104</t>
  </si>
  <si>
    <t>https://prabhupadavani.org/transcriptions/760710ccny/</t>
  </si>
  <si>
    <t>https://prabhupadavani.org/transcriptions/760710r1ny/</t>
  </si>
  <si>
    <t>https://prabhupadavani.org/transcriptions/760711mwny/</t>
  </si>
  <si>
    <t>Sri Caitanya-caritamrta, Madhya-lila 20.105</t>
  </si>
  <si>
    <t>https://prabhupadavani.org/transcriptions/760711ccny/</t>
  </si>
  <si>
    <t>https://prabhupadavani.org/transcriptions/760711edny/</t>
  </si>
  <si>
    <t>Comments on Bhagavad-Gita Play</t>
  </si>
  <si>
    <t>https://prabhupadavani.org/transcriptions/760712bgny/</t>
  </si>
  <si>
    <t>https://prabhupadavani.org/transcriptions/760712mwny/</t>
  </si>
  <si>
    <t>Sri Caitanya-caritamrta, Madhya-lila 20.106</t>
  </si>
  <si>
    <t>https://prabhupadavani.org/transcriptions/760712ccny/</t>
  </si>
  <si>
    <t>https://prabhupadavani.org/transcriptions/760713mwny/</t>
  </si>
  <si>
    <t>Sri Caitanya-caritamrta, Madhya-lila 20.107</t>
  </si>
  <si>
    <t>https://prabhupadavani.org/transcriptions/760713ccny/</t>
  </si>
  <si>
    <t>https://prabhupadavani.org/transcriptions/760713edny/</t>
  </si>
  <si>
    <t>https://prabhupadavani.org/transcriptions/760714mwny/</t>
  </si>
  <si>
    <t>Interview with Newsweek</t>
  </si>
  <si>
    <t>https://prabhupadavani.org/transcriptions/760714ivny/</t>
  </si>
  <si>
    <t>Interview with Newsday Newspaper</t>
  </si>
  <si>
    <t>https://prabhupadavani.org/transcriptions/760714i2ny/</t>
  </si>
  <si>
    <t>Room Conversation with Drstadyumnas Parents</t>
  </si>
  <si>
    <t>https://prabhupadavani.org/transcriptions/760714r1ny/</t>
  </si>
  <si>
    <t>Sri Caitanya-caritamrta, Madhya-lila 20.108-109</t>
  </si>
  <si>
    <t>https://prabhupadavani.org/transcriptions/760715ccny/</t>
  </si>
  <si>
    <t>Ride on RAdhA-DAmodara Bus to Gita-nagarA Farm</t>
  </si>
  <si>
    <t>https://prabhupadavani.org/transcriptions/760715cvny/</t>
  </si>
  <si>
    <t>Interview with Religious Editor of the Associated Press</t>
  </si>
  <si>
    <t>https://prabhupadavani.org/transcriptions/760716ivny/</t>
  </si>
  <si>
    <t>Conversation after Interview with Religious Editor, Associated Press</t>
  </si>
  <si>
    <t>https://prabhupadavani.org/transcriptions/760716r1ny/</t>
  </si>
  <si>
    <t>Port Royal</t>
  </si>
  <si>
    <t>Evening Lecture at Gita-NagarA Farm</t>
  </si>
  <si>
    <t>https://prabhupadavani.org/transcriptions/760716lepr/</t>
  </si>
  <si>
    <t>https://prabhupadavani.org/transcriptions/760717mwny/</t>
  </si>
  <si>
    <t>Interview with Trans-India Magazine</t>
  </si>
  <si>
    <t>https://prabhupadavani.org/transcriptions/760717ivny/</t>
  </si>
  <si>
    <t>Sri Caitanya-caritamrta, Madhya-lila 20.110</t>
  </si>
  <si>
    <t>https://prabhupadavani.org/transcriptions/760717ccny/</t>
  </si>
  <si>
    <t>https://prabhupadavani.org/transcriptions/760717r1ny/</t>
  </si>
  <si>
    <t>https://prabhupadavani.org/transcriptions/760718mwny/</t>
  </si>
  <si>
    <t>https://prabhupadavani.org/transcriptions/760718ryny/</t>
  </si>
  <si>
    <t>https://prabhupadavani.org/transcriptions/760718r1ny/</t>
  </si>
  <si>
    <t>https://prabhupadavani.org/transcriptions/760719r2ny/</t>
  </si>
  <si>
    <t>Sri Caitanya-caritamrta, Madhya-lila 20.111</t>
  </si>
  <si>
    <t>https://prabhupadavani.org/transcriptions/760719ccny/</t>
  </si>
  <si>
    <t>https://prabhupadavani.org/transcriptions/760719r1ny/</t>
  </si>
  <si>
    <t>https://prabhupadavani.org/transcriptions/760720mwny/</t>
  </si>
  <si>
    <t>Car Ride</t>
  </si>
  <si>
    <t>https://prabhupadavani.org/transcriptions/760720crny/</t>
  </si>
  <si>
    <t>Sri Caitanya-caritamrta, Madhya-lila 20.112</t>
  </si>
  <si>
    <t>https://prabhupadavani.org/transcriptions/760720ccny/</t>
  </si>
  <si>
    <t>https://prabhupadavani.org/transcriptions/760721crny/</t>
  </si>
  <si>
    <t>Interview with Colin Cross Religion Editor of The Observer</t>
  </si>
  <si>
    <t>https://prabhupadavani.org/transcriptions/760723ivlon/</t>
  </si>
  <si>
    <t>Sri Caitanya-caritamrta, Madhya-lila 20.113</t>
  </si>
  <si>
    <t>https://prabhupadavani.org/transcriptions/760723cclon/</t>
  </si>
  <si>
    <t>Conversation at Bhaktivedanta Manor</t>
  </si>
  <si>
    <t>https://prabhupadavani.org/transcriptions/760724r1lon/</t>
  </si>
  <si>
    <t>Conversation and Lecture at the House of Ksirodakasayi dasa</t>
  </si>
  <si>
    <t>https://prabhupadavani.org/transcriptions/760725l1lon/</t>
  </si>
  <si>
    <t>https://prabhupadavani.org/transcriptions/760725l2lon/</t>
  </si>
  <si>
    <t>Lecture at 7 Bury Place [partially recorded]</t>
  </si>
  <si>
    <t>https://prabhupadavani.org/transcriptions/760725l3lon/</t>
  </si>
  <si>
    <t>https://prabhupadavani.org/transcriptions/760726r2lon/</t>
  </si>
  <si>
    <t>https://prabhupadavani.org/transcriptions/760726r1lon/</t>
  </si>
  <si>
    <t>Radio Interview with Mike Robinson</t>
  </si>
  <si>
    <t>https://prabhupadavani.org/transcriptions/760727ivlon/</t>
  </si>
  <si>
    <t>https://prabhupadavani.org/transcriptions/760727r1lon/</t>
  </si>
  <si>
    <t>https://prabhupadavani.org/transcriptions/760727r2lon/</t>
  </si>
  <si>
    <t>https://prabhupadavani.org/transcriptions/760728arpar/</t>
  </si>
  <si>
    <t>New MAyApur</t>
  </si>
  <si>
    <t>Arrival at Farm</t>
  </si>
  <si>
    <t>https://prabhupadavani.org/transcriptions/760729arnmr/</t>
  </si>
  <si>
    <t>Morning Walk Around Farm</t>
  </si>
  <si>
    <t>https://prabhupadavani.org/transcriptions/760731mwnmr/</t>
  </si>
  <si>
    <t>https://prabhupadavani.org/transcriptions/760731bgnmr/</t>
  </si>
  <si>
    <t>https://prabhupadavani.org/transcriptions/760731r2nmr/</t>
  </si>
  <si>
    <t>https://prabhupadavani.org/transcriptions/760731r1nmr/</t>
  </si>
  <si>
    <t>Morning Walk Around Grounds</t>
  </si>
  <si>
    <t>https://prabhupadavani.org/transcriptions/760802mwnmr/</t>
  </si>
  <si>
    <t>Lecture During Walk [partially recorded]</t>
  </si>
  <si>
    <t>https://prabhupadavani.org/transcriptions/760802lenmr/</t>
  </si>
  <si>
    <t>https://prabhupadavani.org/transcriptions/760802r2nmr/</t>
  </si>
  <si>
    <t>https://prabhupadavani.org/transcriptions/760802r3nmr/</t>
  </si>
  <si>
    <t>https://prabhupadavani.org/transcriptions/760802r1nmr/</t>
  </si>
  <si>
    <t>https://prabhupadavani.org/transcriptions/760803r2nmr/</t>
  </si>
  <si>
    <t>https://prabhupadavani.org/transcriptions/760803r1nmr/</t>
  </si>
  <si>
    <t>Room Conversation With French Commander</t>
  </si>
  <si>
    <t>https://prabhupadavani.org/transcriptions/760803r3nmr/</t>
  </si>
  <si>
    <t>https://prabhupadavani.org/transcriptions/760803bgnmr/</t>
  </si>
  <si>
    <t>Evening Walk [partially recorded]</t>
  </si>
  <si>
    <t>https://prabhupadavani.org/transcriptions/760804ewnmr/</t>
  </si>
  <si>
    <t>https://prabhupadavani.org/transcriptions/760804r1nmr/</t>
  </si>
  <si>
    <t>https://prabhupadavani.org/transcriptions/760804bgnmr/</t>
  </si>
  <si>
    <t>Meeting with Bruno Gnan, Italian Printer</t>
  </si>
  <si>
    <t>https://prabhupadavani.org/transcriptions/760805r2nmr/</t>
  </si>
  <si>
    <t>Room Conversation with Professor Francois Chenique</t>
  </si>
  <si>
    <t>https://prabhupadavani.org/transcriptions/760805r1nmr/</t>
  </si>
  <si>
    <t>Bhagavad-Gita 15.15</t>
  </si>
  <si>
    <t>https://prabhupadavani.org/transcriptions/760805bgnmr/</t>
  </si>
  <si>
    <t>https://prabhupadavani.org/transcriptions/760807r1teh/</t>
  </si>
  <si>
    <t>Morning Walk at Niavaran Park</t>
  </si>
  <si>
    <t>https://prabhupadavani.org/transcriptions/760808mwteh/</t>
  </si>
  <si>
    <t>Srimad-Bhagavatam 3.22.19</t>
  </si>
  <si>
    <t>https://prabhupadavani.org/transcriptions/760808sbteh/</t>
  </si>
  <si>
    <t>Evening Conversation</t>
  </si>
  <si>
    <t>https://prabhupadavani.org/transcriptions/760808r1teh/</t>
  </si>
  <si>
    <t>Room Conversation with Nandarani and Ali</t>
  </si>
  <si>
    <t>https://prabhupadavani.org/transcriptions/760809r2teh/</t>
  </si>
  <si>
    <t>https://prabhupadavani.org/transcriptions/760809gcteh/</t>
  </si>
  <si>
    <t>https://prabhupadavani.org/transcriptions/760809r1teh/</t>
  </si>
  <si>
    <t>Srimad-Bhagavatam 3.22.20</t>
  </si>
  <si>
    <t>https://prabhupadavani.org/transcriptions/760809sbteh/</t>
  </si>
  <si>
    <t>Srimad-Bhagavatam 3.22.21</t>
  </si>
  <si>
    <t>https://prabhupadavani.org/transcriptions/760810sbteh/</t>
  </si>
  <si>
    <t>https://prabhupadavani.org/transcriptions/760810edteh/</t>
  </si>
  <si>
    <t>https://prabhupadavani.org/transcriptions/760810r1teh/</t>
  </si>
  <si>
    <t>https://prabhupadavani.org/transcriptions/760811r1teh/</t>
  </si>
  <si>
    <t>https://prabhupadavani.org/transcriptions/760811edteh/</t>
  </si>
  <si>
    <t>https://prabhupadavani.org/transcriptions/760811mwteh/</t>
  </si>
  <si>
    <t>https://prabhupadavani.org/transcriptions/760812edteh/</t>
  </si>
  <si>
    <t>https://prabhupadavani.org/transcriptions/760812mwteh/</t>
  </si>
  <si>
    <t>Srimad-Bhagavatam 3.22.22 and Initiations</t>
  </si>
  <si>
    <t>https://prabhupadavani.org/transcriptions/760812sbteh/</t>
  </si>
  <si>
    <t>https://prabhupadavani.org/transcriptions/760812r1teh/</t>
  </si>
  <si>
    <t>https://prabhupadavani.org/transcriptions/760812r4teh/</t>
  </si>
  <si>
    <t>Visit to Proposed Restaurant and Room Conversation</t>
  </si>
  <si>
    <t>https://prabhupadavani.org/transcriptions/760812r2teh/</t>
  </si>
  <si>
    <t>https://prabhupadavani.org/transcriptions/760812r3teh/</t>
  </si>
  <si>
    <t>Arrival Conversation in Car and at Temple</t>
  </si>
  <si>
    <t>https://prabhupadavani.org/transcriptions/760813arbom/</t>
  </si>
  <si>
    <t>https://prabhupadavani.org/transcriptions/760814edbom/</t>
  </si>
  <si>
    <t>https://prabhupadavani.org/transcriptions/760814r1bom/</t>
  </si>
  <si>
    <t>https://prabhupadavani.org/transcriptions/760814r2bom/</t>
  </si>
  <si>
    <t>https://prabhupadavani.org/transcriptions/760815mwbom/</t>
  </si>
  <si>
    <t>https://prabhupadavani.org/transcriptions/760815edbom/</t>
  </si>
  <si>
    <t>https://prabhupadavani.org/transcriptions/760816r1bom/</t>
  </si>
  <si>
    <t>Evening Darsana on night of arrival</t>
  </si>
  <si>
    <t>https://prabhupadavani.org/transcriptions/760816arhyd/</t>
  </si>
  <si>
    <t>https://prabhupadavani.org/transcriptions/760816r1hyd/</t>
  </si>
  <si>
    <t>Speech at Fire Yajna with South Indian Brahmanas [partially recorded]</t>
  </si>
  <si>
    <t>https://prabhupadavani.org/transcriptions/760816sphyd/</t>
  </si>
  <si>
    <t>https://prabhupadavani.org/transcriptions/760817bghyd/</t>
  </si>
  <si>
    <t>Press Interview at Muthilal Rao's House</t>
  </si>
  <si>
    <t>https://prabhupadavani.org/transcriptions/760817ivhyd/</t>
  </si>
  <si>
    <t>https://prabhupadavani.org/transcriptions/760817r1hyd/</t>
  </si>
  <si>
    <t>Sri Caitanya-caritamrta, Madhya-lila 20.395</t>
  </si>
  <si>
    <t>https://prabhupadavani.org/transcriptions/760817cchyd/</t>
  </si>
  <si>
    <t>Srimad-Bhagavatam 1.7.6, Temple Opening</t>
  </si>
  <si>
    <t>https://prabhupadavani.org/transcriptions/760818sbhyd/</t>
  </si>
  <si>
    <t>https://prabhupadavani.org/transcriptions/760819r2hyd/</t>
  </si>
  <si>
    <t>Room Conversation About Mayapur Construction</t>
  </si>
  <si>
    <t>https://prabhupadavani.org/transcriptions/760819r1hyd/</t>
  </si>
  <si>
    <t>https://prabhupadavani.org/transcriptions/760819vphyd/</t>
  </si>
  <si>
    <t>https://prabhupadavani.org/transcriptions/760820r1hyd/</t>
  </si>
  <si>
    <t>Room Conversation About Blitz News Clipping</t>
  </si>
  <si>
    <t>https://prabhupadavani.org/transcriptions/760821r2hyd/</t>
  </si>
  <si>
    <t>https://prabhupadavani.org/transcriptions/760821r1hyd/</t>
  </si>
  <si>
    <t>https://prabhupadavani.org/transcriptions/760822r2hyd/</t>
  </si>
  <si>
    <t>Conversation with Seven Ministers of Andhra Pradesh</t>
  </si>
  <si>
    <t>https://prabhupadavani.org/transcriptions/760822r3hyd/</t>
  </si>
  <si>
    <t>Room Conversation with Endowments Commissioner of Andhra Pradesh</t>
  </si>
  <si>
    <t>https://prabhupadavani.org/transcriptions/760822r1hyd/</t>
  </si>
  <si>
    <t>https://prabhupadavani.org/transcriptions/760822bghyd/</t>
  </si>
  <si>
    <t>https://prabhupadavani.org/transcriptions/760822inhyd/</t>
  </si>
  <si>
    <t>Morning Walk in Public Gardens</t>
  </si>
  <si>
    <t>https://prabhupadavani.org/transcriptions/760823mwhyd/</t>
  </si>
  <si>
    <t>https://prabhupadavani.org/transcriptions/760824mwhyd/</t>
  </si>
  <si>
    <t>https://prabhupadavani.org/transcriptions/760824r2hyd/</t>
  </si>
  <si>
    <t>Room Conversation with Tirupati Pandita and Government Minister</t>
  </si>
  <si>
    <t>https://prabhupadavani.org/transcriptions/760824r3hyd/</t>
  </si>
  <si>
    <t>Meeting with Mr. Raju, Endowments Commissioner</t>
  </si>
  <si>
    <t>https://prabhupadavani.org/transcriptions/760824r1hyd/</t>
  </si>
  <si>
    <t>https://prabhupadavani.org/transcriptions/760825r1hyd/</t>
  </si>
  <si>
    <t>Bhagavad-Gita 1.1 in Hindi</t>
  </si>
  <si>
    <t>https://prabhupadavani.org/transcriptions/760825bghyd/</t>
  </si>
  <si>
    <t>Morning Walk at Lodi Gardens</t>
  </si>
  <si>
    <t>https://prabhupadavani.org/transcriptions/760827mwdel/</t>
  </si>
  <si>
    <t>Morning Walk Conversation About Bombay</t>
  </si>
  <si>
    <t>https://prabhupadavani.org/transcriptions/760829mwdel/</t>
  </si>
  <si>
    <t>https://prabhupadavani.org/transcriptions/760829sbdel/</t>
  </si>
  <si>
    <t>Morning Walk at Buddha Jayanti Park</t>
  </si>
  <si>
    <t>https://prabhupadavani.org/transcriptions/760830mwdel/</t>
  </si>
  <si>
    <t>Meeting with Mr. Krishna Modi, Member of Parliament</t>
  </si>
  <si>
    <t>https://prabhupadavani.org/transcriptions/760831r1del/</t>
  </si>
  <si>
    <t>https://prabhupadavani.org/transcriptions/760831mwdel/</t>
  </si>
  <si>
    <t>https://prabhupadavani.org/transcriptions/760831indel/</t>
  </si>
  <si>
    <t>Sept. 1, 1976</t>
  </si>
  <si>
    <t>https://prabhupadavani.org/transcriptions/760901eddel/</t>
  </si>
  <si>
    <t>Sept. 2, 1976</t>
  </si>
  <si>
    <t>https://prabhupadavani.org/transcriptions/760902mwdel/</t>
  </si>
  <si>
    <t>Sept. 3, 1976</t>
  </si>
  <si>
    <t>Bhagavad-Gita 7.15, Arrival Address</t>
  </si>
  <si>
    <t>https://prabhupadavani.org/transcriptions/760903bgvrn/</t>
  </si>
  <si>
    <t>https://prabhupadavani.org/transcriptions/760903g1vrn/</t>
  </si>
  <si>
    <t>https://prabhupadavani.org/transcriptions/760903r1vrn/</t>
  </si>
  <si>
    <t>Sept. 4, 1976</t>
  </si>
  <si>
    <t>https://prabhupadavani.org/transcriptions/760904r1vrn/</t>
  </si>
  <si>
    <t>Srimad-Bhagavatam 1.7.5</t>
  </si>
  <si>
    <t>https://prabhupadavani.org/transcriptions/760904sbvrn/</t>
  </si>
  <si>
    <t>Sept. 5, 1976</t>
  </si>
  <si>
    <t>https://prabhupadavani.org/transcriptions/760905sbvrn/</t>
  </si>
  <si>
    <t>https://prabhupadavani.org/transcriptions/760905r2vrn/</t>
  </si>
  <si>
    <t>https://prabhupadavani.org/transcriptions/760905r1vrn/</t>
  </si>
  <si>
    <t>Sept. 6, 1976</t>
  </si>
  <si>
    <t>https://prabhupadavani.org/transcriptions/760906sbvrn/</t>
  </si>
  <si>
    <t>https://prabhupadavani.org/transcriptions/760906g1vrn/</t>
  </si>
  <si>
    <t>https://prabhupadavani.org/transcriptions/760906r1vrn/</t>
  </si>
  <si>
    <t>Sept. 7, 1976</t>
  </si>
  <si>
    <t>Srimad-Bhagavatam 1.7.8</t>
  </si>
  <si>
    <t>https://prabhupadavani.org/transcriptions/760907sbvrn/</t>
  </si>
  <si>
    <t>https://prabhupadavani.org/transcriptions/760907g2vrn/</t>
  </si>
  <si>
    <t>https://prabhupadavani.org/transcriptions/760907g1vrn/</t>
  </si>
  <si>
    <t>https://prabhupadavani.org/transcriptions/760907r1vrn/</t>
  </si>
  <si>
    <t>Sept. 8, 1976</t>
  </si>
  <si>
    <t>Srimad-Bhagavatam 1.7.9 [partially recorded]</t>
  </si>
  <si>
    <t>https://prabhupadavani.org/transcriptions/760908sbvrn/</t>
  </si>
  <si>
    <t>Sept. 9, 1976</t>
  </si>
  <si>
    <t>https://prabhupadavani.org/transcriptions/760909r2vrn/</t>
  </si>
  <si>
    <t>https://prabhupadavani.org/transcriptions/760909r1vrn/</t>
  </si>
  <si>
    <t>Srimad-Bhagavatam 1.7.10</t>
  </si>
  <si>
    <t>https://prabhupadavani.org/transcriptions/760909sbvrn/</t>
  </si>
  <si>
    <t>Sept. 10, 1976</t>
  </si>
  <si>
    <t>Srimad-Bhagavatam 1.7.11</t>
  </si>
  <si>
    <t>https://prabhupadavani.org/transcriptions/760910sbvrn/</t>
  </si>
  <si>
    <t>Sept. 11, 1976</t>
  </si>
  <si>
    <t>Srimad-Bhagavatam 1.7.12</t>
  </si>
  <si>
    <t>https://prabhupadavani.org/transcriptions/760911sbvrn/</t>
  </si>
  <si>
    <t>https://prabhupadavani.org/transcriptions/760911r2vrn/</t>
  </si>
  <si>
    <t>https://prabhupadavani.org/transcriptions/760911r1vrn/</t>
  </si>
  <si>
    <t>Sept. 12, 1976</t>
  </si>
  <si>
    <t>Srimad-Bhagavatam 1.7.13-14</t>
  </si>
  <si>
    <t>https://prabhupadavani.org/transcriptions/760912sbvrn/</t>
  </si>
  <si>
    <t>Room Conversation about Bullock Cart SKP</t>
  </si>
  <si>
    <t>https://prabhupadavani.org/transcriptions/760912r1vrn/</t>
  </si>
  <si>
    <t>Sept. 13, 1976</t>
  </si>
  <si>
    <t>Srimad-Bhagavatam 1.7.15</t>
  </si>
  <si>
    <t>https://prabhupadavani.org/transcriptions/760913sbvrn/</t>
  </si>
  <si>
    <t>Letter to Sai Baba</t>
  </si>
  <si>
    <t>https://prabhupadavani.org/transcriptions/760913lrvrn/</t>
  </si>
  <si>
    <t>Sept. 14, 1976</t>
  </si>
  <si>
    <t>Srimad-Bhagavatam 1.7.16</t>
  </si>
  <si>
    <t>https://prabhupadavani.org/transcriptions/760914sbvrn/</t>
  </si>
  <si>
    <t>Sept. 15, 1976</t>
  </si>
  <si>
    <t>Srimad-Bhagavatam 1.7.18</t>
  </si>
  <si>
    <t>https://prabhupadavani.org/transcriptions/760915sbvrn/</t>
  </si>
  <si>
    <t>Sept. 16, 1976</t>
  </si>
  <si>
    <t>Srimad-Bhagavatam 1.7.19</t>
  </si>
  <si>
    <t>https://prabhupadavani.org/transcriptions/760916sbvrn/</t>
  </si>
  <si>
    <t>https://prabhupadavani.org/transcriptions/760916r1vrn/</t>
  </si>
  <si>
    <t>Sept. 17, 1976</t>
  </si>
  <si>
    <t>https://prabhupadavani.org/transcriptions/760917r1vrn/</t>
  </si>
  <si>
    <t>Srimad-Bhagavatam 1.7.20-21</t>
  </si>
  <si>
    <t>https://prabhupadavani.org/transcriptions/760917sbvrn/</t>
  </si>
  <si>
    <t>Sept. 18, 1976</t>
  </si>
  <si>
    <t>Srimad-Bhagavatam 1.7.22</t>
  </si>
  <si>
    <t>https://prabhupadavani.org/transcriptions/760918sbvrn/</t>
  </si>
  <si>
    <t>Sept. 20, 1976</t>
  </si>
  <si>
    <t>Srimad-Bhagavatam 1.7.23</t>
  </si>
  <si>
    <t>https://prabhupadavani.org/transcriptions/760920sbvrn/</t>
  </si>
  <si>
    <t>Sept. 21, 1976</t>
  </si>
  <si>
    <t>Srimad-Bhagavatam 1.7.24</t>
  </si>
  <si>
    <t>https://prabhupadavani.org/transcriptions/760921sbvrn/</t>
  </si>
  <si>
    <t>Sept. 22, 1976</t>
  </si>
  <si>
    <t>Srimad-Bhagavatam 1.7.25</t>
  </si>
  <si>
    <t>https://prabhupadavani.org/transcriptions/760922sbvrn/</t>
  </si>
  <si>
    <t>Sept. 23, 1976</t>
  </si>
  <si>
    <t>Srimad-Bhagavatam 1.7.26</t>
  </si>
  <si>
    <t>https://prabhupadavani.org/transcriptions/760923sbvrn/</t>
  </si>
  <si>
    <t>Sept. 24, 1976</t>
  </si>
  <si>
    <t>Srimad-Bhagavatam 1.7.27</t>
  </si>
  <si>
    <t>https://prabhupadavani.org/transcriptions/760924sbvrn/</t>
  </si>
  <si>
    <t>Sept. 25, 1976</t>
  </si>
  <si>
    <t>Srimad-Bhagavatam 1.7.28-29</t>
  </si>
  <si>
    <t>https://prabhupadavani.org/transcriptions/760925sbvrn/</t>
  </si>
  <si>
    <t>Sept. 26, 1976</t>
  </si>
  <si>
    <t>Srimad-Bhagavatam 1.7.30-31</t>
  </si>
  <si>
    <t>https://prabhupadavani.org/transcriptions/760926sbvrn/</t>
  </si>
  <si>
    <t>https://prabhupadavani.org/transcriptions/760926r1vrn/</t>
  </si>
  <si>
    <t>Sept. 27, 1976</t>
  </si>
  <si>
    <t>Srimad-Bhagavatam 1.7.32-33</t>
  </si>
  <si>
    <t>https://prabhupadavani.org/transcriptions/760927sbvrn/</t>
  </si>
  <si>
    <t>Sept. 28, 1976</t>
  </si>
  <si>
    <t>Srimad-Bhagavatam 1.7.34-35</t>
  </si>
  <si>
    <t>https://prabhupadavani.org/transcriptions/760928sbvrn/</t>
  </si>
  <si>
    <t>Sept. 29, 1976</t>
  </si>
  <si>
    <t>Srimad-Bhagavatam 1.7.36-37</t>
  </si>
  <si>
    <t>https://prabhupadavani.org/transcriptions/760929sbvrn/</t>
  </si>
  <si>
    <t>Room Conversation with U.N. Doctor</t>
  </si>
  <si>
    <t>https://prabhupadavani.org/transcriptions/760929r1vrn/</t>
  </si>
  <si>
    <t>Sept. 30, 1976</t>
  </si>
  <si>
    <t>Srimad-Bhagavatam 1.7.38-39</t>
  </si>
  <si>
    <t>https://prabhupadavani.org/transcriptions/760930sbvrn/</t>
  </si>
  <si>
    <t>https://prabhupadavani.org/transcriptions/760930r1vrn/</t>
  </si>
  <si>
    <t>Srimad-Bhagavatam 1.7.40</t>
  </si>
  <si>
    <t>https://prabhupadavani.org/transcriptions/761001sbvrn/</t>
  </si>
  <si>
    <t>https://prabhupadavani.org/transcriptions/761002mwvrn/</t>
  </si>
  <si>
    <t>Srimad-Bhagavatam 1.7.41-42</t>
  </si>
  <si>
    <t>https://prabhupadavani.org/transcriptions/761002sbvrn/</t>
  </si>
  <si>
    <t>Srimad-Bhagavatam 1.7.43</t>
  </si>
  <si>
    <t>https://prabhupadavani.org/transcriptions/761003sbvrn/</t>
  </si>
  <si>
    <t>https://prabhupadavani.org/transcriptions/761003r1vrn/</t>
  </si>
  <si>
    <t>Srimad-Bhagavatam 1.7.44</t>
  </si>
  <si>
    <t>https://prabhupadavani.org/transcriptions/761004sbvrn/</t>
  </si>
  <si>
    <t>https://prabhupadavani.org/transcriptions/761004r1vrn/</t>
  </si>
  <si>
    <t>Srimad-Bhagavatam 1.7.45-46</t>
  </si>
  <si>
    <t>https://prabhupadavani.org/transcriptions/761005sbvrn/</t>
  </si>
  <si>
    <t>Srimad-Bhagavatam 1.7.47-48</t>
  </si>
  <si>
    <t>https://prabhupadavani.org/transcriptions/761006sbvrn/</t>
  </si>
  <si>
    <t>Srimad-Bhagavatam 1.7.49-50</t>
  </si>
  <si>
    <t>https://prabhupadavani.org/transcriptions/761007sbvrn/</t>
  </si>
  <si>
    <t>Srimad-Bhagavatam 1.7.51-52</t>
  </si>
  <si>
    <t>https://prabhupadavani.org/transcriptions/761008sbvrn/</t>
  </si>
  <si>
    <t>Aligarh</t>
  </si>
  <si>
    <t>https://prabhupadavani.org/transcriptions/761009arali/</t>
  </si>
  <si>
    <t>https://prabhupadavani.org/transcriptions/761009sbali/</t>
  </si>
  <si>
    <t>https://prabhupadavani.org/transcriptions/761009g1ali/</t>
  </si>
  <si>
    <t>https://prabhupadavani.org/transcriptions/761009r1ali/</t>
  </si>
  <si>
    <t>Srimad-Bhagavatam 1.2.6 in Hindi</t>
  </si>
  <si>
    <t>https://prabhupadavani.org/transcriptions/761010sbali/</t>
  </si>
  <si>
    <t>https://prabhupadavani.org/transcriptions/761010leali/</t>
  </si>
  <si>
    <t>Chandigarh</t>
  </si>
  <si>
    <t>https://prabhupadavani.org/transcriptions/761013lecha/</t>
  </si>
  <si>
    <t>https://prabhupadavani.org/transcriptions/761014mwcha/</t>
  </si>
  <si>
    <t>Address in Hindi</t>
  </si>
  <si>
    <t>https://prabhupadavani.org/transcriptions/761014adcha/</t>
  </si>
  <si>
    <t>https://prabhupadavani.org/transcriptions/761015bgcha/</t>
  </si>
  <si>
    <t>https://prabhupadavani.org/transcriptions/761016ivcha/</t>
  </si>
  <si>
    <t>Bhagavad-Gita 9.3 in Hindi</t>
  </si>
  <si>
    <t>https://prabhupadavani.org/transcriptions/761016bgcha/</t>
  </si>
  <si>
    <t>Address to Rotary Club</t>
  </si>
  <si>
    <t>https://prabhupadavani.org/transcriptions/761017lecha/</t>
  </si>
  <si>
    <t>Bhagavad-Gita 13.8-12 in Hindi</t>
  </si>
  <si>
    <t>https://prabhupadavani.org/transcriptions/761018bgcha/</t>
  </si>
  <si>
    <t>https://prabhupadavani.org/transcriptions/761022sbvrn/</t>
  </si>
  <si>
    <t>https://prabhupadavani.org/transcriptions/761023sbvrn/</t>
  </si>
  <si>
    <t>https://prabhupadavani.org/transcriptions/761024sbvrn/</t>
  </si>
  <si>
    <t>https://prabhupadavani.org/transcriptions/761025sbvrn/</t>
  </si>
  <si>
    <t>Srimad-Bhagavatam 5.5.4</t>
  </si>
  <si>
    <t>https://prabhupadavani.org/transcriptions/761026sbvrn/</t>
  </si>
  <si>
    <t>https://prabhupadavani.org/transcriptions/761026r1vrn/</t>
  </si>
  <si>
    <t>https://prabhupadavani.org/transcriptions/761027sbvrn/</t>
  </si>
  <si>
    <t>Srimad-Bhagavatam 5.5.6</t>
  </si>
  <si>
    <t>https://prabhupadavani.org/transcriptions/761028sbvrn/</t>
  </si>
  <si>
    <t>Srimad-Bhagavatam 5.5.7</t>
  </si>
  <si>
    <t>https://prabhupadavani.org/transcriptions/761029sbvrn/</t>
  </si>
  <si>
    <t>Srimad-Bhagavatam 5.5.8</t>
  </si>
  <si>
    <t>https://prabhupadavani.org/transcriptions/761030sbvrn/</t>
  </si>
  <si>
    <t>Srimad-Bhagavatam 5.5.9</t>
  </si>
  <si>
    <t>https://prabhupadavani.org/transcriptions/761031sbvrn/</t>
  </si>
  <si>
    <t>https://prabhupadavani.org/transcriptions/761031r1vrn/</t>
  </si>
  <si>
    <t>Srimad-Bhagavatam 5.5.10-13</t>
  </si>
  <si>
    <t>https://prabhupadavani.org/transcriptions/761101sbvrn/</t>
  </si>
  <si>
    <t>Srimad-Bhagavatam 5.5.14</t>
  </si>
  <si>
    <t>https://prabhupadavani.org/transcriptions/761102sbvrn/</t>
  </si>
  <si>
    <t>https://prabhupadavani.org/transcriptions/761102r2vrn/</t>
  </si>
  <si>
    <t>Room Conversation about New York Court Case</t>
  </si>
  <si>
    <t>https://prabhupadavani.org/transcriptions/761102r1vrn/</t>
  </si>
  <si>
    <t>Srimad-Bhagavatam 5.5.15</t>
  </si>
  <si>
    <t>https://prabhupadavani.org/transcriptions/761103sbvrn/</t>
  </si>
  <si>
    <t>https://prabhupadavani.org/transcriptions/761103r2vrn/</t>
  </si>
  <si>
    <t>https://prabhupadavani.org/transcriptions/761103r1vrn/</t>
  </si>
  <si>
    <t>Srimad-Bhagavatam 5.5.16</t>
  </si>
  <si>
    <t>https://prabhupadavani.org/transcriptions/761104sbvrn/</t>
  </si>
  <si>
    <t>https://prabhupadavani.org/transcriptions/761104r1vrn/</t>
  </si>
  <si>
    <t>Srimad-Bhagavatam 5.5.17</t>
  </si>
  <si>
    <t>https://prabhupadavani.org/transcriptions/761105sbvrn/</t>
  </si>
  <si>
    <t>Room Conversation about Gurukula</t>
  </si>
  <si>
    <t>https://prabhupadavani.org/transcriptions/761105r1vrn/</t>
  </si>
  <si>
    <t>Srimad-Bhagavatam 5.5.18</t>
  </si>
  <si>
    <t>https://prabhupadavani.org/transcriptions/761106sbvrn/</t>
  </si>
  <si>
    <t>Room Conversation with Dr. Theodore Kneupper</t>
  </si>
  <si>
    <t>https://prabhupadavani.org/transcriptions/761106r1vrn/</t>
  </si>
  <si>
    <t>Srimad-Bhagavatam 5.5.19</t>
  </si>
  <si>
    <t>https://prabhupadavani.org/transcriptions/761107sbvrn/</t>
  </si>
  <si>
    <t>Srimad-Bhagavatam 5.5.20</t>
  </si>
  <si>
    <t>https://prabhupadavani.org/transcriptions/761108sbvrn/</t>
  </si>
  <si>
    <t>Srimad-Bhagavatam 5.5.21-22</t>
  </si>
  <si>
    <t>https://prabhupadavani.org/transcriptions/761109sbvrn/</t>
  </si>
  <si>
    <t>Srimad-Bhagavatam 5.5.23</t>
  </si>
  <si>
    <t>https://prabhupadavani.org/transcriptions/761110sbvrn/</t>
  </si>
  <si>
    <t>https://prabhupadavani.org/transcriptions/761110r1vrn/</t>
  </si>
  <si>
    <t>Srimad-Bhagavatam 5.5.24</t>
  </si>
  <si>
    <t>https://prabhupadavani.org/transcriptions/761111sbvrn/</t>
  </si>
  <si>
    <t>https://prabhupadavani.org/transcriptions/761111r1vrn/</t>
  </si>
  <si>
    <t>Srimad-Bhagavatam 5.5.25</t>
  </si>
  <si>
    <t>https://prabhupadavani.org/transcriptions/761112sbvrn/</t>
  </si>
  <si>
    <t>Srimad-Bhagavatam 5.5.26</t>
  </si>
  <si>
    <t>https://prabhupadavani.org/transcriptions/761113sbvrn/</t>
  </si>
  <si>
    <t>https://prabhupadavani.org/transcriptions/761113r1vrn/</t>
  </si>
  <si>
    <t>Srimad-Bhagavatam 5.5.27</t>
  </si>
  <si>
    <t>https://prabhupadavani.org/transcriptions/761114sbvrn/</t>
  </si>
  <si>
    <t>https://prabhupadavani.org/transcriptions/761114levrn/</t>
  </si>
  <si>
    <t>https://prabhupadavani.org/transcriptions/761114r1vrn/</t>
  </si>
  <si>
    <t>https://prabhupadavani.org/transcriptions/761114r2vrn/</t>
  </si>
  <si>
    <t>Srimad-Bhagavatam 5.5.28</t>
  </si>
  <si>
    <t>https://prabhupadavani.org/transcriptions/761115sbvrn/</t>
  </si>
  <si>
    <t>https://prabhupadavani.org/transcriptions/761115r1vrn/</t>
  </si>
  <si>
    <t>Srimad-Bhagavatam 5.5.29</t>
  </si>
  <si>
    <t>https://prabhupadavani.org/transcriptions/761116sbvrn/</t>
  </si>
  <si>
    <t>https://prabhupadavani.org/transcriptions/761117mwvrn/</t>
  </si>
  <si>
    <t>Srimad-Bhagavatam 5.5.30</t>
  </si>
  <si>
    <t>https://prabhupadavani.org/transcriptions/761117sbvrn/</t>
  </si>
  <si>
    <t>Srimad-Bhagavatam 5.5.31</t>
  </si>
  <si>
    <t>https://prabhupadavani.org/transcriptions/761118sbvrn/</t>
  </si>
  <si>
    <t>https://prabhupadavani.org/transcriptions/761118r1vrn/</t>
  </si>
  <si>
    <t>Srimad-Bhagavatam 5.5.32</t>
  </si>
  <si>
    <t>https://prabhupadavani.org/transcriptions/761119sbvrn/</t>
  </si>
  <si>
    <t>Srimad-Bhagavatam 5.5.33</t>
  </si>
  <si>
    <t>https://prabhupadavani.org/transcriptions/761120sbvrn/</t>
  </si>
  <si>
    <t>https://prabhupadavani.org/transcriptions/761120r1vrn/</t>
  </si>
  <si>
    <t>Srimad-Bhagavatam 5.5.34</t>
  </si>
  <si>
    <t>https://prabhupadavani.org/transcriptions/761121sbvrn/</t>
  </si>
  <si>
    <t>Srimad-Bhagavatam 5.5.35</t>
  </si>
  <si>
    <t>https://prabhupadavani.org/transcriptions/761122sbvrn/</t>
  </si>
  <si>
    <t>Srimad-Bhagavatam 5.6.1</t>
  </si>
  <si>
    <t>https://prabhupadavani.org/transcriptions/761123sbvrn/</t>
  </si>
  <si>
    <t>Srimad-Bhagavatam 5.6.2</t>
  </si>
  <si>
    <t>https://prabhupadavani.org/transcriptions/761124sbvrn/</t>
  </si>
  <si>
    <t>https://prabhupadavani.org/transcriptions/761124r1vrn/</t>
  </si>
  <si>
    <t>Srimad-Bhagavatam 5.6.3</t>
  </si>
  <si>
    <t>https://prabhupadavani.org/transcriptions/761125sbvrn/</t>
  </si>
  <si>
    <t>https://prabhupadavani.org/transcriptions/761125r1vrn/</t>
  </si>
  <si>
    <t>Srimad-Bhagavatam 5.6.4</t>
  </si>
  <si>
    <t>https://prabhupadavani.org/transcriptions/761126sbvrn/</t>
  </si>
  <si>
    <t>Srimad-Bhagavatam 5.6.5</t>
  </si>
  <si>
    <t>https://prabhupadavani.org/transcriptions/761127sbvrn/</t>
  </si>
  <si>
    <t>Srimad-Bhagavatam 5.6.6</t>
  </si>
  <si>
    <t>https://prabhupadavani.org/transcriptions/761128sbvrn/</t>
  </si>
  <si>
    <t>Srimad-Bhagavatam 5.6.7</t>
  </si>
  <si>
    <t>https://prabhupadavani.org/transcriptions/761129sbvrn/</t>
  </si>
  <si>
    <t>Srimad-Bhagavatam 5.6.8</t>
  </si>
  <si>
    <t>https://prabhupadavani.org/transcriptions/761130sbvrn/</t>
  </si>
  <si>
    <t>https://prabhupadavani.org/transcriptions/761203edhyd/</t>
  </si>
  <si>
    <t>https://prabhupadavani.org/transcriptions/761204mwhyd/</t>
  </si>
  <si>
    <t>Evening Darsana in Hindi</t>
  </si>
  <si>
    <t>https://prabhupadavani.org/transcriptions/761204edhyd/</t>
  </si>
  <si>
    <t>https://prabhupadavani.org/transcriptions/761205mwhyd/</t>
  </si>
  <si>
    <t>https://prabhupadavani.org/transcriptions/761205r1hyd/</t>
  </si>
  <si>
    <t>https://prabhupadavani.org/transcriptions/761207mwhyd/</t>
  </si>
  <si>
    <t>https://prabhupadavani.org/transcriptions/761207r1hyd/</t>
  </si>
  <si>
    <t>Preparation for Gita Pratia1a1hAna (Conference)</t>
  </si>
  <si>
    <t>https://prabhupadavani.org/transcriptions/761209r1hyd/</t>
  </si>
  <si>
    <t>https://prabhupadavani.org/transcriptions/761210dbhyd/</t>
  </si>
  <si>
    <t>Room Conversation on Farm Management</t>
  </si>
  <si>
    <t>https://prabhupadavani.org/transcriptions/761210r1hyd/</t>
  </si>
  <si>
    <t>https://prabhupadavani.org/transcriptions/761211bghyd/</t>
  </si>
  <si>
    <t>https://prabhupadavani.org/transcriptions/761212bghyd/</t>
  </si>
  <si>
    <t>https://prabhupadavani.org/transcriptions/761212r1hyd/</t>
  </si>
  <si>
    <t>https://prabhupadavani.org/transcriptions/761213bghyd/</t>
  </si>
  <si>
    <t>https://prabhupadavani.org/transcriptions/761214bghyd/</t>
  </si>
  <si>
    <t>https://prabhupadavani.org/transcriptions/761215bghyd/</t>
  </si>
  <si>
    <t>https://prabhupadavani.org/transcriptions/761216pchyd/</t>
  </si>
  <si>
    <t>https://prabhupadavani.org/transcriptions/761216r1hyd/</t>
  </si>
  <si>
    <t>https://prabhupadavani.org/transcriptions/761216bghyd/</t>
  </si>
  <si>
    <t>Bhagavad-Gita 3.25</t>
  </si>
  <si>
    <t>https://prabhupadavani.org/transcriptions/761217bghyd/</t>
  </si>
  <si>
    <t>https://prabhupadavani.org/transcriptions/761220arbom/</t>
  </si>
  <si>
    <t>Wardha</t>
  </si>
  <si>
    <t>https://prabhupadavani.org/transcriptions/761220lewar/</t>
  </si>
  <si>
    <t>Conversation with Radha-vallabha dasa</t>
  </si>
  <si>
    <t>https://prabhupadavani.org/transcriptions/761220r1bom/</t>
  </si>
  <si>
    <t>Conversation at the Gita Pratia1a1hAna (Conference)</t>
  </si>
  <si>
    <t>https://prabhupadavani.org/transcriptions/761220r1war/</t>
  </si>
  <si>
    <t>Poona</t>
  </si>
  <si>
    <t>Room Conversation with Indian Man</t>
  </si>
  <si>
    <t>https://prabhupadavani.org/transcriptions/761222r2poo/</t>
  </si>
  <si>
    <t>Room and Car Conversation with Life Member, Mr. Malhotra</t>
  </si>
  <si>
    <t>https://prabhupadavani.org/transcriptions/761222r1poo/</t>
  </si>
  <si>
    <t>https://prabhupadavani.org/transcriptions/761224sbbom/</t>
  </si>
  <si>
    <t>https://prabhupadavani.org/transcriptions/761225mwbom/</t>
  </si>
  <si>
    <t>https://prabhupadavani.org/transcriptions/761225sbbom/</t>
  </si>
  <si>
    <t>Room Conversation with Mr. Tombe M.L.A.</t>
  </si>
  <si>
    <t>https://prabhupadavani.org/transcriptions/761225r1bom/</t>
  </si>
  <si>
    <t>https://prabhupadavani.org/transcriptions/761226sbbom/</t>
  </si>
  <si>
    <t>Morning Walk and Room Conversation</t>
  </si>
  <si>
    <t>https://prabhupadavani.org/transcriptions/761226r1bom/</t>
  </si>
  <si>
    <t>https://prabhupadavani.org/transcriptions/761226r3bom/</t>
  </si>
  <si>
    <t>https://prabhupadavani.org/transcriptions/761226r2bom/</t>
  </si>
  <si>
    <t>https://prabhupadavani.org/transcriptions/761227r1bom/</t>
  </si>
  <si>
    <t>https://prabhupadavani.org/transcriptions/761227r3bom/</t>
  </si>
  <si>
    <t>Room Conversation about F.A.T.E.</t>
  </si>
  <si>
    <t>https://prabhupadavani.org/transcriptions/761227r2bom/</t>
  </si>
  <si>
    <t>https://prabhupadavani.org/transcriptions/761228r1bom/</t>
  </si>
  <si>
    <t>Srimad-Bhagavatam 5.6.10</t>
  </si>
  <si>
    <t>https://prabhupadavani.org/transcriptions/761228sbbom/</t>
  </si>
  <si>
    <t>https://prabhupadavani.org/transcriptions/761228r2bom/</t>
  </si>
  <si>
    <t>https://prabhupadavani.org/transcriptions/761229mwbom/</t>
  </si>
  <si>
    <t>Srimad-Bhagavatam 5.6.11</t>
  </si>
  <si>
    <t>https://prabhupadavani.org/transcriptions/761229sbbom/</t>
  </si>
  <si>
    <t>https://prabhupadavani.org/transcriptions/761229r1bom/</t>
  </si>
  <si>
    <t>https://prabhupadavani.org/transcriptions/761230r1bom/</t>
  </si>
  <si>
    <t>https://prabhupadavani.org/transcriptions/761231ivbom/</t>
  </si>
  <si>
    <t>https://prabhupadavani.org/transcriptions/761231r1bom/</t>
  </si>
  <si>
    <t>https://prabhupadavani.org/transcriptions/761231r2bom/</t>
  </si>
  <si>
    <t>https://prabhupadavani.org/transcriptions/770102mwbom/</t>
  </si>
  <si>
    <t>https://prabhupadavani.org/transcriptions/770102r1bom/</t>
  </si>
  <si>
    <t>Conversation with Yogi Amrit Desai of Kripalu Ashram, Pennsylvania, USA</t>
  </si>
  <si>
    <t>https://prabhupadavani.org/transcriptions/770102r2bom/</t>
  </si>
  <si>
    <t>https://prabhupadavani.org/transcriptions/770102r3bom/</t>
  </si>
  <si>
    <t>Room Conversation with C.I.D. Chief</t>
  </si>
  <si>
    <t>https://prabhupadavani.org/transcriptions/770103r1bom/</t>
  </si>
  <si>
    <t>https://prabhupadavani.org/transcriptions/770103r2bom/</t>
  </si>
  <si>
    <t>https://prabhupadavani.org/transcriptions/770104mwbom/</t>
  </si>
  <si>
    <t>https://prabhupadavani.org/transcriptions/770104r1bom/</t>
  </si>
  <si>
    <t>https://prabhupadavani.org/transcriptions/770105r1bom/</t>
  </si>
  <si>
    <t>https://prabhupadavani.org/transcriptions/770105r2bom/</t>
  </si>
  <si>
    <t>Letter to Russian</t>
  </si>
  <si>
    <t>https://prabhupadavani.org/transcriptions/770105r3bom/</t>
  </si>
  <si>
    <t>https://prabhupadavani.org/transcriptions/770106r1bom/</t>
  </si>
  <si>
    <t>https://prabhupadavani.org/transcriptions/770106r2bom/</t>
  </si>
  <si>
    <t>https://prabhupadavani.org/transcriptions/770107edbom/</t>
  </si>
  <si>
    <t>https://prabhupadavani.org/transcriptions/770107r1bom/</t>
  </si>
  <si>
    <t>https://prabhupadavani.org/transcriptions/770108mwbom/</t>
  </si>
  <si>
    <t>Morning Discussion about Kumbha Mela</t>
  </si>
  <si>
    <t>https://prabhupadavani.org/transcriptions/770108r1bom/</t>
  </si>
  <si>
    <t>https://prabhupadavani.org/transcriptions/770108r2bom/</t>
  </si>
  <si>
    <t>https://prabhupadavani.org/transcriptions/770108r3bom/</t>
  </si>
  <si>
    <t>https://prabhupadavani.org/transcriptions/770108r4bom/</t>
  </si>
  <si>
    <t>https://prabhupadavani.org/transcriptions/770108r5bom/</t>
  </si>
  <si>
    <t>https://prabhupadavani.org/transcriptions/770108r6bom/</t>
  </si>
  <si>
    <t>Arrival of BBT manager</t>
  </si>
  <si>
    <t>https://prabhupadavani.org/transcriptions/770108r7bom/</t>
  </si>
  <si>
    <t>https://prabhupadavani.org/transcriptions/770109mwbom/</t>
  </si>
  <si>
    <t>Morning Darsana with Ramkrishna Bajaj and friends</t>
  </si>
  <si>
    <t>https://prabhupadavani.org/transcriptions/770109r1bom/</t>
  </si>
  <si>
    <t>https://prabhupadavani.org/transcriptions/770109r2bom/</t>
  </si>
  <si>
    <t>Discussion on Deprogrammers</t>
  </si>
  <si>
    <t>https://prabhupadavani.org/transcriptions/770109r3bom/</t>
  </si>
  <si>
    <t>https://prabhupadavani.org/transcriptions/770110r1bom/</t>
  </si>
  <si>
    <t>India</t>
  </si>
  <si>
    <t>Conversation on Train to Allahabad</t>
  </si>
  <si>
    <t>https://prabhupadavani.org/transcriptions/770111ttida/</t>
  </si>
  <si>
    <t>Lecture at Kumbha-mela</t>
  </si>
  <si>
    <t>https://prabhupadavani.org/transcriptions/770113leall/</t>
  </si>
  <si>
    <t>Conversation and Instruction On New Movie</t>
  </si>
  <si>
    <t>https://prabhupadavani.org/transcriptions/770113r1all/</t>
  </si>
  <si>
    <t>Morning Lecture at Kumbha-mela</t>
  </si>
  <si>
    <t>https://prabhupadavani.org/transcriptions/770115leall/</t>
  </si>
  <si>
    <t>https://prabhupadavani.org/transcriptions/770115r1all/</t>
  </si>
  <si>
    <t>https://prabhupadavani.org/transcriptions/770116r1cal/</t>
  </si>
  <si>
    <t>Room Conversation on 1976 Book Scores</t>
  </si>
  <si>
    <t>https://prabhupadavani.org/transcriptions/770116r2cal/</t>
  </si>
  <si>
    <t>https://prabhupadavani.org/transcriptions/770116r3cal/</t>
  </si>
  <si>
    <t>Bhubaneswar</t>
  </si>
  <si>
    <t>Arrival [partially recorded]</t>
  </si>
  <si>
    <t>https://prabhupadavani.org/transcriptions/770119arbhu/</t>
  </si>
  <si>
    <t>Evening Lecture</t>
  </si>
  <si>
    <t>https://prabhupadavani.org/transcriptions/770119lebhu/</t>
  </si>
  <si>
    <t>https://prabhupadavani.org/transcriptions/770119r1bhu/</t>
  </si>
  <si>
    <t>https://prabhupadavani.org/transcriptions/770119r2bhu/</t>
  </si>
  <si>
    <t>https://prabhupadavani.org/transcriptions/770120mwbhu/</t>
  </si>
  <si>
    <t>https://prabhupadavani.org/transcriptions/770120r1bhu/</t>
  </si>
  <si>
    <t>https://prabhupadavani.org/transcriptions/770120r2bhu/</t>
  </si>
  <si>
    <t>https://prabhupadavani.org/transcriptions/770121mwbhu/</t>
  </si>
  <si>
    <t>Bhubanesvara</t>
  </si>
  <si>
    <t>https://prabhupadavani.org/transcriptions/770121lebhu/</t>
  </si>
  <si>
    <t>https://prabhupadavani.org/transcriptions/770121r1bhu/</t>
  </si>
  <si>
    <t>https://prabhupadavani.org/transcriptions/770121r2bhu/</t>
  </si>
  <si>
    <t>https://prabhupadavani.org/transcriptions/770121r3bhu/</t>
  </si>
  <si>
    <t>https://prabhupadavani.org/transcriptions/770121r4bhu/</t>
  </si>
  <si>
    <t>https://prabhupadavani.org/transcriptions/770121r5bhu/</t>
  </si>
  <si>
    <t>https://prabhupadavani.org/transcriptions/770121r6bhu/</t>
  </si>
  <si>
    <t>https://prabhupadavani.org/transcriptions/770122bgbhu/</t>
  </si>
  <si>
    <t>Room Conversation with Film Producer about Krsna Lila</t>
  </si>
  <si>
    <t>https://prabhupadavani.org/transcriptions/770122r1bhu/</t>
  </si>
  <si>
    <t>https://prabhupadavani.org/transcriptions/770122r2bhu/</t>
  </si>
  <si>
    <t>https://prabhupadavani.org/transcriptions/770122r3bhu/</t>
  </si>
  <si>
    <t>https://prabhupadavani.org/transcriptions/770123lebhu/</t>
  </si>
  <si>
    <t>https://prabhupadavani.org/transcriptions/770123edbhu/</t>
  </si>
  <si>
    <t>Conversation During Massage</t>
  </si>
  <si>
    <t>https://prabhupadavani.org/transcriptions/770123r1bhu/</t>
  </si>
  <si>
    <t>https://prabhupadavani.org/transcriptions/770123r2bhu/</t>
  </si>
  <si>
    <t>https://prabhupadavani.org/transcriptions/770124mwbhu/</t>
  </si>
  <si>
    <t>Sri Caitanya-caritamrta, Madhya-lila 8.128</t>
  </si>
  <si>
    <t>https://prabhupadavani.org/transcriptions/770124ccbhu/</t>
  </si>
  <si>
    <t>https://prabhupadavani.org/transcriptions/770124r1bhu/</t>
  </si>
  <si>
    <t>https://prabhupadavani.org/transcriptions/770124r2bhu/</t>
  </si>
  <si>
    <t>JagannAtha PurA</t>
  </si>
  <si>
    <t>https://prabhupadavani.org/transcriptions/770125mwpur/</t>
  </si>
  <si>
    <t>https://prabhupadavani.org/transcriptions/770125r1pur/</t>
  </si>
  <si>
    <t>https://prabhupadavani.org/transcriptions/770125r2pur/</t>
  </si>
  <si>
    <t>https://prabhupadavani.org/transcriptions/770126r1pur/</t>
  </si>
  <si>
    <t>Prayer Chants by Puri Brahmanas</t>
  </si>
  <si>
    <t>https://prabhupadavani.org/transcriptions/770126r2pur/</t>
  </si>
  <si>
    <t>Evening Address to Pandas and Scholars</t>
  </si>
  <si>
    <t>https://prabhupadavani.org/transcriptions/770126adpur/</t>
  </si>
  <si>
    <t>https://prabhupadavani.org/transcriptions/770127r1pur/</t>
  </si>
  <si>
    <t>Room Conversation with Two Indian Guests</t>
  </si>
  <si>
    <t>https://prabhupadavani.org/transcriptions/770127r2pur/</t>
  </si>
  <si>
    <t>https://prabhupadavani.org/transcriptions/770127r1bhu/</t>
  </si>
  <si>
    <t>https://prabhupadavani.org/transcriptions/770127r2bhu/</t>
  </si>
  <si>
    <t>https://prabhupadavani.org/transcriptions/770128mwbhu/</t>
  </si>
  <si>
    <t>https://prabhupadavani.org/transcriptions/770128r1bhu/</t>
  </si>
  <si>
    <t>https://prabhupadavani.org/transcriptions/770128r2bhu/</t>
  </si>
  <si>
    <t>https://prabhupadavani.org/transcriptions/770129mwbhu/</t>
  </si>
  <si>
    <t>https://prabhupadavani.org/transcriptions/770129r1bhu/</t>
  </si>
  <si>
    <t>https://prabhupadavani.org/transcriptions/770129r2bhu/</t>
  </si>
  <si>
    <t>https://prabhupadavani.org/transcriptions/770129bgbhu/</t>
  </si>
  <si>
    <t>https://prabhupadavani.org/transcriptions/770130mwbhu/</t>
  </si>
  <si>
    <t>https://prabhupadavani.org/transcriptions/770130r1bhu/</t>
  </si>
  <si>
    <t>https://prabhupadavani.org/transcriptions/770130r2bhu/</t>
  </si>
  <si>
    <t>https://prabhupadavani.org/transcriptions/770131mwbhu/</t>
  </si>
  <si>
    <t>Varaha-dvadasi, Lord Varaha's Appearance Day Lecture</t>
  </si>
  <si>
    <t>https://prabhupadavani.org/transcriptions/770131vabhu/</t>
  </si>
  <si>
    <t>https://prabhupadavani.org/transcriptions/770131r1bhu/</t>
  </si>
  <si>
    <t>https://prabhupadavani.org/transcriptions/770131r2bhu/</t>
  </si>
  <si>
    <t>https://prabhupadavani.org/transcriptions/770131r3bhu/</t>
  </si>
  <si>
    <t>https://prabhupadavani.org/transcriptions/770201mwbhu/</t>
  </si>
  <si>
    <t>https://prabhupadavani.org/transcriptions/770202mwbhu/</t>
  </si>
  <si>
    <t>Foundation Stone Ceremony Speech</t>
  </si>
  <si>
    <t>https://prabhupadavani.org/transcriptions/770202cmbhu/</t>
  </si>
  <si>
    <t>Lord Nityananda Prabhu's Avirbhava Appearance Day Lecture</t>
  </si>
  <si>
    <t>https://prabhupadavani.org/transcriptions/770202nabhu/</t>
  </si>
  <si>
    <t>https://prabhupadavani.org/transcriptions/770202r1bhu/</t>
  </si>
  <si>
    <t>https://prabhupadavani.org/transcriptions/770202r2bhu/</t>
  </si>
  <si>
    <t>https://prabhupadavani.org/transcriptions/770203r1bhu/</t>
  </si>
  <si>
    <t>Conversation on Train</t>
  </si>
  <si>
    <t>https://prabhupadavani.org/transcriptions/770203r2bhu/</t>
  </si>
  <si>
    <t>https://prabhupadavani.org/transcriptions/770204arcal/</t>
  </si>
  <si>
    <t>https://prabhupadavani.org/transcriptions/770204r1cal/</t>
  </si>
  <si>
    <t>https://prabhupadavani.org/transcriptions/770204r2cal/</t>
  </si>
  <si>
    <t>https://prabhupadavani.org/transcriptions/770205crcal/</t>
  </si>
  <si>
    <t>Srimad-Bhagavatam 1.8.18-Hindi</t>
  </si>
  <si>
    <t>https://prabhupadavani.org/transcriptions/770206sbcal/</t>
  </si>
  <si>
    <t>https://prabhupadavani.org/transcriptions/770207armay/</t>
  </si>
  <si>
    <t>Srila Bhaktisiddhanta Sarasvati Gosvami Prabhupada's Appearance Day Lecture</t>
  </si>
  <si>
    <t>https://prabhupadavani.org/transcriptions/770208bamay/</t>
  </si>
  <si>
    <t>https://prabhupadavani.org/transcriptions/770210mwmay/</t>
  </si>
  <si>
    <t>https://prabhupadavani.org/transcriptions/770210sbmay/</t>
  </si>
  <si>
    <t>https://prabhupadavani.org/transcriptions/770211r1may/</t>
  </si>
  <si>
    <t>Srimad-Bhagavatam 7.9.2</t>
  </si>
  <si>
    <t>https://prabhupadavani.org/transcriptions/770212sbmay/</t>
  </si>
  <si>
    <t>https://prabhupadavani.org/transcriptions/770212r1may/</t>
  </si>
  <si>
    <t>https://prabhupadavani.org/transcriptions/770214r1may/</t>
  </si>
  <si>
    <t>Room Conversation Varnasrama System Must Be Introduced</t>
  </si>
  <si>
    <t>https://prabhupadavani.org/transcriptions/770214r2may/</t>
  </si>
  <si>
    <t>https://prabhupadavani.org/transcriptions/770214romay/</t>
  </si>
  <si>
    <t>https://prabhupadavani.org/transcriptions/770215edmay/</t>
  </si>
  <si>
    <t>Morning Room Conversation</t>
  </si>
  <si>
    <t>https://prabhupadavani.org/transcriptions/770216r1may/</t>
  </si>
  <si>
    <t>https://prabhupadavani.org/transcriptions/770216r2may/</t>
  </si>
  <si>
    <t>https://prabhupadavani.org/transcriptions/770217sbmay/</t>
  </si>
  <si>
    <t>https://prabhupadavani.org/transcriptions/770217r1may/</t>
  </si>
  <si>
    <t>https://prabhupadavani.org/transcriptions/770218sbmay/</t>
  </si>
  <si>
    <t>https://prabhupadavani.org/transcriptions/770218r1may/</t>
  </si>
  <si>
    <t>https://prabhupadavani.org/transcriptions/770218r2may/</t>
  </si>
  <si>
    <t>Room Conversation about BTG</t>
  </si>
  <si>
    <t>https://prabhupadavani.org/transcriptions/770218r3may/</t>
  </si>
  <si>
    <t>https://prabhupadavani.org/transcriptions/770218r4may/</t>
  </si>
  <si>
    <t>https://prabhupadavani.org/transcriptions/770219edmay/</t>
  </si>
  <si>
    <t>https://prabhupadavani.org/transcriptions/770219r1may/</t>
  </si>
  <si>
    <t>Room Conversation with Adi-kesava Swami</t>
  </si>
  <si>
    <t>https://prabhupadavani.org/transcriptions/770219r2may/</t>
  </si>
  <si>
    <t>https://prabhupadavani.org/transcriptions/770219r3may/</t>
  </si>
  <si>
    <t>https://prabhupadavani.org/transcriptions/770219r4may/</t>
  </si>
  <si>
    <t>https://prabhupadavani.org/transcriptions/770221r1may/</t>
  </si>
  <si>
    <t>Arrival of Devotees</t>
  </si>
  <si>
    <t>https://prabhupadavani.org/transcriptions/770224r1may/</t>
  </si>
  <si>
    <t>https://prabhupadavani.org/transcriptions/770224edmay/</t>
  </si>
  <si>
    <t>https://prabhupadavani.org/transcriptions/770225sbmay/</t>
  </si>
  <si>
    <t>https://prabhupadavani.org/transcriptions/770225edmay/</t>
  </si>
  <si>
    <t>https://prabhupadavani.org/transcriptions/770225r1may/</t>
  </si>
  <si>
    <t>Room Conversation With Artists and About BTG</t>
  </si>
  <si>
    <t>https://prabhupadavani.org/transcriptions/770225r2may/</t>
  </si>
  <si>
    <t>Srimad-Bhagavatam 7.9.6</t>
  </si>
  <si>
    <t>https://prabhupadavani.org/transcriptions/770226sbmay/</t>
  </si>
  <si>
    <t>https://prabhupadavani.org/transcriptions/770226ivmay/</t>
  </si>
  <si>
    <t>https://prabhupadavani.org/transcriptions/770226edmay/</t>
  </si>
  <si>
    <t>https://prabhupadavani.org/transcriptions/770227sbmay/</t>
  </si>
  <si>
    <t>https://prabhupadavani.org/transcriptions/770227r1may/</t>
  </si>
  <si>
    <t>https://prabhupadavani.org/transcriptions/770227r2may/</t>
  </si>
  <si>
    <t>https://prabhupadavani.org/transcriptions/770228sbmay/</t>
  </si>
  <si>
    <t>https://prabhupadavani.org/transcriptions/770228r1may/</t>
  </si>
  <si>
    <t>Conversation with Italian Woman with Translator</t>
  </si>
  <si>
    <t>https://prabhupadavani.org/transcriptions/770228r2may/</t>
  </si>
  <si>
    <t>https://prabhupadavani.org/transcriptions/770228r3may/</t>
  </si>
  <si>
    <t>https://prabhupadavani.org/transcriptions/770301sbmay/</t>
  </si>
  <si>
    <t>Room Conversation "GBC Resolutions"</t>
  </si>
  <si>
    <t>https://prabhupadavani.org/transcriptions/770301r1may/</t>
  </si>
  <si>
    <t>https://prabhupadavani.org/transcriptions/770301r2may/</t>
  </si>
  <si>
    <t>https://prabhupadavani.org/transcriptions/770302r1may/</t>
  </si>
  <si>
    <t>Room Conversation with GBC members</t>
  </si>
  <si>
    <t>https://prabhupadavani.org/transcriptions/770304r1may/</t>
  </si>
  <si>
    <t>Room Conversations</t>
  </si>
  <si>
    <t>https://prabhupadavani.org/transcriptions/770320r1may/</t>
  </si>
  <si>
    <t>https://prabhupadavani.org/transcriptions/770322r1bom/</t>
  </si>
  <si>
    <t>Bombay, At Cross Maidan Pandal</t>
  </si>
  <si>
    <t>https://prabhupadavani.org/transcriptions/770323sbbom/</t>
  </si>
  <si>
    <t>Bombay At Cross Maidan Pandal</t>
  </si>
  <si>
    <t>https://prabhupadavani.org/transcriptions/770324sbbom/</t>
  </si>
  <si>
    <t>https://prabhupadavani.org/transcriptions/770324r1bom/</t>
  </si>
  <si>
    <t>https://prabhupadavani.org/transcriptions/770325sbbom/</t>
  </si>
  <si>
    <t>https://prabhupadavani.org/transcriptions/770326lebom/</t>
  </si>
  <si>
    <t>https://prabhupadavani.org/transcriptions/770326r1bom/</t>
  </si>
  <si>
    <t>https://prabhupadavani.org/transcriptions/770326r2bom/</t>
  </si>
  <si>
    <t>https://prabhupadavani.org/transcriptions/770326r3bom/</t>
  </si>
  <si>
    <t>https://prabhupadavani.org/transcriptions/770327r1bom/</t>
  </si>
  <si>
    <t>https://prabhupadavani.org/transcriptions/770327r2bom/</t>
  </si>
  <si>
    <t>Room Conversation with Ratan Singh Rajda (Member of Parliament)</t>
  </si>
  <si>
    <t>https://prabhupadavani.org/transcriptions/770327r3bom/</t>
  </si>
  <si>
    <t>https://prabhupadavani.org/transcriptions/770327r4bom/</t>
  </si>
  <si>
    <t>Room Conversation with Kuwaiti Guests</t>
  </si>
  <si>
    <t>https://prabhupadavani.org/transcriptions/770329r1bom/</t>
  </si>
  <si>
    <t>Srimad-Bhagavatam 5.5.3-4</t>
  </si>
  <si>
    <t>https://prabhupadavani.org/transcriptions/770329sbbom/</t>
  </si>
  <si>
    <t>Room Conversation First Day in Juhu Quarters</t>
  </si>
  <si>
    <t>https://prabhupadavani.org/transcriptions/770330r1bom/</t>
  </si>
  <si>
    <t>https://prabhupadavani.org/transcriptions/770331r1bom/</t>
  </si>
  <si>
    <t>https://prabhupadavani.org/transcriptions/770331r2bom/</t>
  </si>
  <si>
    <t>Room Conversation with Scientists, Svarupa Damodara and Dr. Sharma</t>
  </si>
  <si>
    <t>https://prabhupadavani.org/transcriptions/770331r3bom/</t>
  </si>
  <si>
    <t>https://prabhupadavani.org/transcriptions/770401lebom/</t>
  </si>
  <si>
    <t>https://prabhupadavani.org/transcriptions/770402r1bom/</t>
  </si>
  <si>
    <t>Interview with Mr. Koshi (Asst. Editor of The Current Weekly)</t>
  </si>
  <si>
    <t>https://prabhupadavani.org/transcriptions/770405ivbom/</t>
  </si>
  <si>
    <t>Morning Talk</t>
  </si>
  <si>
    <t>https://prabhupadavani.org/transcriptions/770405r1bom/</t>
  </si>
  <si>
    <t>https://prabhupadavani.org/transcriptions/770405r2bom/</t>
  </si>
  <si>
    <t>https://prabhupadavani.org/transcriptions/770405r3bom/</t>
  </si>
  <si>
    <t>https://prabhupadavani.org/transcriptions/770410r1bom/</t>
  </si>
  <si>
    <t>Room Conversation about Harijanas</t>
  </si>
  <si>
    <t>https://prabhupadavani.org/transcriptions/770410r2bom/</t>
  </si>
  <si>
    <t>Morning Conversation About Newspaper Articles</t>
  </si>
  <si>
    <t>https://prabhupadavani.org/transcriptions/770411r1bom/</t>
  </si>
  <si>
    <t>https://prabhupadavani.org/transcriptions/770413r1bom/</t>
  </si>
  <si>
    <t>Room Conversation with Ratan Singh Rajda M.P. "Nationalism and Cheating"</t>
  </si>
  <si>
    <t>https://prabhupadavani.org/transcriptions/770415r1bom/</t>
  </si>
  <si>
    <t>Room Conversation with Ram Jethmalani (Parliament Member)</t>
  </si>
  <si>
    <t>https://prabhupadavani.org/transcriptions/770416r1bom/</t>
  </si>
  <si>
    <t>Room Conversation Meeting with Dr. Sharma (from Russia)</t>
  </si>
  <si>
    <t>https://prabhupadavani.org/transcriptions/770417r1bom/</t>
  </si>
  <si>
    <t>Conversation with Yadubara (after seeing film)</t>
  </si>
  <si>
    <t>https://prabhupadavani.org/transcriptions/770417r2bom/</t>
  </si>
  <si>
    <t>Talk with Svarupa Damodara</t>
  </si>
  <si>
    <t>https://prabhupadavani.org/transcriptions/770418r1bom/</t>
  </si>
  <si>
    <t>https://prabhupadavani.org/transcriptions/770418r2bom/</t>
  </si>
  <si>
    <t>Morning Conversation</t>
  </si>
  <si>
    <t>https://prabhupadavani.org/transcriptions/770419r1bom/</t>
  </si>
  <si>
    <t>Conversations</t>
  </si>
  <si>
    <t>https://prabhupadavani.org/transcriptions/770419r2bom/</t>
  </si>
  <si>
    <t>https://prabhupadavani.org/transcriptions/770419r3bom/</t>
  </si>
  <si>
    <t>Conversation with Patita-pavana</t>
  </si>
  <si>
    <t>https://prabhupadavani.org/transcriptions/770420r1bom/</t>
  </si>
  <si>
    <t>Conversation with Tamala Krsna about Yadubara</t>
  </si>
  <si>
    <t>https://prabhupadavani.org/transcriptions/770422r1bom/</t>
  </si>
  <si>
    <t>Conversation with disciples of Chinmayananda and Shivananda Ashram</t>
  </si>
  <si>
    <t>https://prabhupadavani.org/transcriptions/770422r2bom/</t>
  </si>
  <si>
    <t>https://prabhupadavani.org/transcriptions/770422r3bom/</t>
  </si>
  <si>
    <t>Meeting with Mr. Dwivedi</t>
  </si>
  <si>
    <t>https://prabhupadavani.org/transcriptions/770423mebom/</t>
  </si>
  <si>
    <t>https://prabhupadavani.org/transcriptions/770423r1bom/</t>
  </si>
  <si>
    <t>Second Meeting with Mr. Dwivedi</t>
  </si>
  <si>
    <t>https://prabhupadavani.org/transcriptions/770424mebom/</t>
  </si>
  <si>
    <t>https://prabhupadavani.org/transcriptions/770425r1bom/</t>
  </si>
  <si>
    <t>Conversation = Bogus Gurus</t>
  </si>
  <si>
    <t>https://prabhupadavani.org/transcriptions/770425r2bom/</t>
  </si>
  <si>
    <t>Conversation = Vairagya, Salaries, and Political Etiquette</t>
  </si>
  <si>
    <t>https://prabhupadavani.org/transcriptions/770428r1bom/</t>
  </si>
  <si>
    <t>Conversation = Animals' Expertise</t>
  </si>
  <si>
    <t>https://prabhupadavani.org/transcriptions/770428r2bom/</t>
  </si>
  <si>
    <t>https://prabhupadavani.org/transcriptions/770429r1bom/</t>
  </si>
  <si>
    <t>https://prabhupadavani.org/transcriptions/770430r1bom/</t>
  </si>
  <si>
    <t>Conversation with Vedic Astronomer</t>
  </si>
  <si>
    <t>https://prabhupadavani.org/transcriptions/770430r2bom/</t>
  </si>
  <si>
    <t>Conversation with Shri Narayan</t>
  </si>
  <si>
    <t>https://prabhupadavani.org/transcriptions/770502r1bom/</t>
  </si>
  <si>
    <t>https://prabhupadavani.org/transcriptions/770502r2bom/</t>
  </si>
  <si>
    <t>Rishikesh</t>
  </si>
  <si>
    <t>https://prabhupadavani.org/transcriptions/770508r1hri/</t>
  </si>
  <si>
    <t>https://prabhupadavani.org/transcriptions/770508r2hri/</t>
  </si>
  <si>
    <t>https://prabhupadavani.org/transcriptions/770508r3hri/</t>
  </si>
  <si>
    <t>https://prabhupadavani.org/transcriptions/770509edhri/</t>
  </si>
  <si>
    <t>https://prabhupadavani.org/transcriptions/770511edhri/</t>
  </si>
  <si>
    <t>https://prabhupadavani.org/transcriptions/770512edhri/</t>
  </si>
  <si>
    <t>https://prabhupadavani.org/transcriptions/770513edhri/</t>
  </si>
  <si>
    <t>https://prabhupadavani.org/transcriptions/770514edhri/</t>
  </si>
  <si>
    <t>https://prabhupadavani.org/transcriptions/770515edhri/</t>
  </si>
  <si>
    <t>https://prabhupadavani.org/transcriptions/770517arvrn/</t>
  </si>
  <si>
    <t>https://prabhupadavani.org/transcriptions/770517r1vrn/</t>
  </si>
  <si>
    <t>Conversation with M.P., Shri Sita Ram Singh</t>
  </si>
  <si>
    <t>https://prabhupadavani.org/transcriptions/770519r1vrn/</t>
  </si>
  <si>
    <t>https://prabhupadavani.org/transcriptions/770520r1vrn/</t>
  </si>
  <si>
    <t>https://prabhupadavani.org/transcriptions/770521r1vrn/</t>
  </si>
  <si>
    <t>https://prabhupadavani.org/transcriptions/770522r1vrn/</t>
  </si>
  <si>
    <t>Short Discussions</t>
  </si>
  <si>
    <t>https://prabhupadavani.org/transcriptions/770524r1vrn/</t>
  </si>
  <si>
    <t>https://prabhupadavani.org/transcriptions/770524r2vrn/</t>
  </si>
  <si>
    <t>https://prabhupadavani.org/transcriptions/770524r3vrn/</t>
  </si>
  <si>
    <t>https://prabhupadavani.org/transcriptions/770524r4vrn/</t>
  </si>
  <si>
    <t>https://prabhupadavani.org/transcriptions/770525r1vrn/</t>
  </si>
  <si>
    <t>https://prabhupadavani.org/transcriptions/770525r2vrn/</t>
  </si>
  <si>
    <t>Conversation Pieces</t>
  </si>
  <si>
    <t>https://prabhupadavani.org/transcriptions/770527r1vrn/</t>
  </si>
  <si>
    <t>https://prabhupadavani.org/transcriptions/770527r2vrn/</t>
  </si>
  <si>
    <t>Srila Prabhupada Vigil</t>
  </si>
  <si>
    <t>https://prabhupadavani.org/transcriptions/770527vgvrn/</t>
  </si>
  <si>
    <t>GBC Meets with Srila Prabhupada</t>
  </si>
  <si>
    <t>https://prabhupadavani.org/transcriptions/770528mevrn/</t>
  </si>
  <si>
    <t>https://prabhupadavani.org/transcriptions/770528r1vrn/</t>
  </si>
  <si>
    <t>https://prabhupadavani.org/transcriptions/770528vgvrn/</t>
  </si>
  <si>
    <t>https://prabhupadavani.org/transcriptions/770529r1vrn/</t>
  </si>
  <si>
    <t>Conversations with Kirtana Groups and Sannyasa Initiation</t>
  </si>
  <si>
    <t>https://prabhupadavani.org/transcriptions/770529r2vrn/</t>
  </si>
  <si>
    <t>https://prabhupadavani.org/transcriptions/770531r1vrn/</t>
  </si>
  <si>
    <t>Discussions with Devotees and Conversation with Dr. Ghosh</t>
  </si>
  <si>
    <t>https://prabhupadavani.org/transcriptions/770601dcvrn/</t>
  </si>
  <si>
    <t>Discussions Will &amp; Affidavit</t>
  </si>
  <si>
    <t>https://prabhupadavani.org/transcriptions/770602dcvrn/</t>
  </si>
  <si>
    <t>https://prabhupadavani.org/transcriptions/770617r1vrn/</t>
  </si>
  <si>
    <t>https://prabhupadavani.org/transcriptions/770618r1vrn/</t>
  </si>
  <si>
    <t>https://prabhupadavani.org/transcriptions/770619r1vrn/</t>
  </si>
  <si>
    <t>https://prabhupadavani.org/transcriptions/770619r2vrn/</t>
  </si>
  <si>
    <t>https://prabhupadavani.org/transcriptions/770620r1vrn/</t>
  </si>
  <si>
    <t>https://prabhupadavani.org/transcriptions/770620r2vrn/</t>
  </si>
  <si>
    <t>Description of New York Temple and Conversation with Svarupa Damodara</t>
  </si>
  <si>
    <t>https://prabhupadavani.org/transcriptions/770621r1vrn/</t>
  </si>
  <si>
    <t>Conversation, "Rascal Editors," and Morning Talk</t>
  </si>
  <si>
    <t>https://prabhupadavani.org/transcriptions/770622r1vrn/</t>
  </si>
  <si>
    <t>https://prabhupadavani.org/transcriptions/770623r1vrn/</t>
  </si>
  <si>
    <t>Conversation = "How to Secure Brahmacaris"</t>
  </si>
  <si>
    <t>https://prabhupadavani.org/transcriptions/770624r1vrn/</t>
  </si>
  <si>
    <t>Gurukula Inspection</t>
  </si>
  <si>
    <t>https://prabhupadavani.org/transcriptions/770626givrn/</t>
  </si>
  <si>
    <t>Conversation with Surendra Kumar and O.B.L. Kapoor</t>
  </si>
  <si>
    <t>https://prabhupadavani.org/transcriptions/770626r1vrn/</t>
  </si>
  <si>
    <t>https://prabhupadavani.org/transcriptions/770627r1vrn/</t>
  </si>
  <si>
    <t>Talk About Varnasrama, S.B. 2.1.1-5</t>
  </si>
  <si>
    <t>https://prabhupadavani.org/transcriptions/770628r1vrn/</t>
  </si>
  <si>
    <t>https://prabhupadavani.org/transcriptions/770628r2vrn/</t>
  </si>
  <si>
    <t>https://prabhupadavani.org/transcriptions/770628r3vrn/</t>
  </si>
  <si>
    <t>Showing of Planetary Sketches</t>
  </si>
  <si>
    <t>https://prabhupadavani.org/transcriptions/770628r4vrn/</t>
  </si>
  <si>
    <t>https://prabhupadavani.org/transcriptions/770630r1vrn/</t>
  </si>
  <si>
    <t>Conversation with Bhakti-caitanya Swami-New GBC</t>
  </si>
  <si>
    <t>https://prabhupadavani.org/transcriptions/770630r2vrn/</t>
  </si>
  <si>
    <t>Letter from Yugoslavia---"Books!"</t>
  </si>
  <si>
    <t>https://prabhupadavani.org/transcriptions/770630r3vrn/</t>
  </si>
  <si>
    <t>https://prabhupadavani.org/transcriptions/770701r1vrn/</t>
  </si>
  <si>
    <t>Room Conversation with Alice Coltrane</t>
  </si>
  <si>
    <t>https://prabhupadavani.org/transcriptions/770701r2vrn/</t>
  </si>
  <si>
    <t>https://prabhupadavani.org/transcriptions/770701r3vrn/</t>
  </si>
  <si>
    <t>https://prabhupadavani.org/transcriptions/770701r4vrn/</t>
  </si>
  <si>
    <t>Conversation about Old Days in Calcutta</t>
  </si>
  <si>
    <t>https://prabhupadavani.org/transcriptions/770701r5vrn/</t>
  </si>
  <si>
    <t>https://prabhupadavani.org/transcriptions/770701r6vrn/</t>
  </si>
  <si>
    <t>Bhu-mandala Diagram Discussion</t>
  </si>
  <si>
    <t>https://prabhupadavani.org/transcriptions/770702dcvrn/</t>
  </si>
  <si>
    <t>Room Conversation with Mr. Myer</t>
  </si>
  <si>
    <t>https://prabhupadavani.org/transcriptions/770702r1vrn/</t>
  </si>
  <si>
    <t>Discussion about Bhu-mandala</t>
  </si>
  <si>
    <t>https://prabhupadavani.org/transcriptions/770703dcvrn/</t>
  </si>
  <si>
    <t>https://prabhupadavani.org/transcriptions/770705dcvrn/</t>
  </si>
  <si>
    <t>https://prabhupadavani.org/transcriptions/770705r1vrn/</t>
  </si>
  <si>
    <t>Room Conversation with Vrindavan De</t>
  </si>
  <si>
    <t>https://prabhupadavani.org/transcriptions/770706r1vrn/</t>
  </si>
  <si>
    <t>https://prabhupadavani.org/transcriptions/770707r1vrn/</t>
  </si>
  <si>
    <t>https://prabhupadavani.org/transcriptions/770707r2vrn/</t>
  </si>
  <si>
    <t>https://prabhupadavani.org/transcriptions/770707r3vrn/</t>
  </si>
  <si>
    <t>Room Conversation during Lunchtime</t>
  </si>
  <si>
    <t>https://prabhupadavani.org/transcriptions/770708r1vrn/</t>
  </si>
  <si>
    <t>Room Conversation about Mayapur Attack Talk with Vrindavan De</t>
  </si>
  <si>
    <t>https://prabhupadavani.org/transcriptions/770708r2vrn/</t>
  </si>
  <si>
    <t>https://prabhupadavani.org/transcriptions/770710r1vrn/</t>
  </si>
  <si>
    <t>Room Conversation = Varnasrama</t>
  </si>
  <si>
    <t>https://prabhupadavani.org/transcriptions/770714r1vrn/</t>
  </si>
  <si>
    <t>Room Conversation-Recent Mail</t>
  </si>
  <si>
    <t>https://prabhupadavani.org/transcriptions/770714r2vrn/</t>
  </si>
  <si>
    <t>Room Conversation Mayapur attack</t>
  </si>
  <si>
    <t>https://prabhupadavani.org/transcriptions/770715r1vrn/</t>
  </si>
  <si>
    <t>Room Conversation about Grhasthas</t>
  </si>
  <si>
    <t>https://prabhupadavani.org/transcriptions/770717r2vrn/</t>
  </si>
  <si>
    <t>https://prabhupadavani.org/transcriptions/770717r1vrn/</t>
  </si>
  <si>
    <t>Room Conversation with Pranavdas Gupta about Astrology Report</t>
  </si>
  <si>
    <t>https://prabhupadavani.org/transcriptions/770719r1vrn/</t>
  </si>
  <si>
    <t>https://prabhupadavani.org/transcriptions/770719r2vrn/</t>
  </si>
  <si>
    <t>Room Conversation Gaurasundara, Dr. Kapoor</t>
  </si>
  <si>
    <t>https://prabhupadavani.org/transcriptions/770726r1vrn/</t>
  </si>
  <si>
    <t>https://prabhupadavani.org/transcriptions/770727r1vrn/</t>
  </si>
  <si>
    <t>Meeting With Prabhudas P. Patwaria, Governor of Tamil Nadu</t>
  </si>
  <si>
    <t>https://prabhupadavani.org/transcriptions/770731r1vrn/</t>
  </si>
  <si>
    <t>https://prabhupadavani.org/transcriptions/770808r1vrn/</t>
  </si>
  <si>
    <t>https://prabhupadavani.org/transcriptions/770810r1vrn/</t>
  </si>
  <si>
    <t>Room Conversations Bangladesh Preaching, Prabhavisnu And Articles by Hamsaduta</t>
  </si>
  <si>
    <t>https://prabhupadavani.org/transcriptions/770811r1vrn/</t>
  </si>
  <si>
    <t>Room Conversation with Madhudvisa and others</t>
  </si>
  <si>
    <t>https://prabhupadavani.org/transcriptions/770817r1vrn/</t>
  </si>
  <si>
    <t>London at Bhaktivedanta Manor</t>
  </si>
  <si>
    <t>https://prabhupadavani.org/transcriptions/770829r1lon/</t>
  </si>
  <si>
    <t>https://prabhupadavani.org/transcriptions/771002r1vrn/</t>
  </si>
  <si>
    <t>https://prabhupadavani.org/transcriptions/771003r1vrn/</t>
  </si>
  <si>
    <t>https://prabhupadavani.org/transcriptions/771004r1vrn/</t>
  </si>
  <si>
    <t>Room Conversation &amp; arrivals from New Vrindavan</t>
  </si>
  <si>
    <t>https://prabhupadavani.org/transcriptions/771006r1vrn/</t>
  </si>
  <si>
    <t>https://prabhupadavani.org/transcriptions/771006r2vrn/</t>
  </si>
  <si>
    <t>Room Conversation Arrival of Jayatirtha and Harikesa</t>
  </si>
  <si>
    <t>https://prabhupadavani.org/transcriptions/771008r1vrn/</t>
  </si>
  <si>
    <t>Room Conversation Astrologer's Report</t>
  </si>
  <si>
    <t>https://prabhupadavani.org/transcriptions/771008r2vrn/</t>
  </si>
  <si>
    <t>https://prabhupadavani.org/transcriptions/771009r1vrn/</t>
  </si>
  <si>
    <t>https://prabhupadavani.org/transcriptions/771010r1vrn/</t>
  </si>
  <si>
    <t>Visit From Allopathic Doctor</t>
  </si>
  <si>
    <t>https://prabhupadavani.org/transcriptions/771010vivrn/</t>
  </si>
  <si>
    <t>https://prabhupadavani.org/transcriptions/771011r1vrn/</t>
  </si>
  <si>
    <t>https://prabhupadavani.org/transcriptions/771011r2vrn/</t>
  </si>
  <si>
    <t>https://prabhupadavani.org/transcriptions/771012r1vrn/</t>
  </si>
  <si>
    <t>https://prabhupadavani.org/transcriptions/771013r1vrn/</t>
  </si>
  <si>
    <t>https://prabhupadavani.org/transcriptions/771013r2vrn/</t>
  </si>
  <si>
    <t>https://prabhupadavani.org/transcriptions/771013r3vrn/</t>
  </si>
  <si>
    <t>https://prabhupadavani.org/transcriptions/771014r1vrn/</t>
  </si>
  <si>
    <t>https://prabhupadavani.org/transcriptions/771014r2vrn/</t>
  </si>
  <si>
    <t>https://prabhupadavani.org/transcriptions/771014r3vrn/</t>
  </si>
  <si>
    <t>https://prabhupadavani.org/transcriptions/771015r1vrn/</t>
  </si>
  <si>
    <t>https://prabhupadavani.org/transcriptions/771015r2vrn/</t>
  </si>
  <si>
    <t>Room Conversation With Svarupa Damodara</t>
  </si>
  <si>
    <t>https://prabhupadavani.org/transcriptions/771015r3vrn/</t>
  </si>
  <si>
    <t>Room Conversation About 10th Canto</t>
  </si>
  <si>
    <t>https://prabhupadavani.org/transcriptions/771016r1vrn/</t>
  </si>
  <si>
    <t>Room Conversation With Dr. G. Ghosh of Allahabad</t>
  </si>
  <si>
    <t>https://prabhupadavani.org/transcriptions/771016r2vrn/</t>
  </si>
  <si>
    <t>Room Conversation With Baradraj</t>
  </si>
  <si>
    <t>https://prabhupadavani.org/transcriptions/771016r3vrn/</t>
  </si>
  <si>
    <t>Room Conversation Visit from Dr. G. Ghosh and Dr. Gopal</t>
  </si>
  <si>
    <t>https://prabhupadavani.org/transcriptions/771017r1vrn/</t>
  </si>
  <si>
    <t>https://prabhupadavani.org/transcriptions/771017r2vrn/</t>
  </si>
  <si>
    <t>https://prabhupadavani.org/transcriptions/771018r1vrn/</t>
  </si>
  <si>
    <t>https://prabhupadavani.org/transcriptions/771018r2vrn/</t>
  </si>
  <si>
    <t>https://prabhupadavani.org/transcriptions/771018r3vrn/</t>
  </si>
  <si>
    <t>https://prabhupadavani.org/transcriptions/771019r1vrn/</t>
  </si>
  <si>
    <t>Doctor Visit and Conversation</t>
  </si>
  <si>
    <t>https://prabhupadavani.org/transcriptions/771020r1vrn/</t>
  </si>
  <si>
    <t>https://prabhupadavani.org/transcriptions/771021r1vrn/</t>
  </si>
  <si>
    <t>https://prabhupadavani.org/transcriptions/771021r2vrn/</t>
  </si>
  <si>
    <t>Srimad-Bhagavatam Dictation</t>
  </si>
  <si>
    <t>https://prabhupadavani.org/transcriptions/771022sbvrn/</t>
  </si>
  <si>
    <t>https://prabhupadavani.org/transcriptions/771022r1vrn/</t>
  </si>
  <si>
    <t>https://prabhupadavani.org/transcriptions/771024r1vrn/</t>
  </si>
  <si>
    <t>https://prabhupadavani.org/transcriptions/771025r1vrn/</t>
  </si>
  <si>
    <t>https://prabhupadavani.org/transcriptions/771025sbvrn/</t>
  </si>
  <si>
    <t>https://prabhupadavani.org/transcriptions/771026r1vrn/</t>
  </si>
  <si>
    <t>Srimad-Bhagavatam Dictation SB 10.13.62</t>
  </si>
  <si>
    <t>https://prabhupadavani.org/transcriptions/771027sbvrn/</t>
  </si>
  <si>
    <t>Room Conversation with Hari Prasad Badruka</t>
  </si>
  <si>
    <t>https://prabhupadavani.org/transcriptions/771027r1vrn/</t>
  </si>
  <si>
    <t>https://prabhupadavani.org/transcriptions/771028r1vrn/</t>
  </si>
  <si>
    <t>Room Conversation Kaviraja from Calcutta Arrives</t>
  </si>
  <si>
    <t>https://prabhupadavani.org/transcriptions/771028r2vrn/</t>
  </si>
  <si>
    <t>https://prabhupadavani.org/transcriptions/771029r1vrn/</t>
  </si>
  <si>
    <t>https://prabhupadavani.org/transcriptions/771030r1vrn/</t>
  </si>
  <si>
    <t>https://prabhupadavani.org/transcriptions/771030r2vrn/</t>
  </si>
  <si>
    <t>Srimad Bhagavatam Dictations 10.14.1</t>
  </si>
  <si>
    <t>https://prabhupadavani.org/transcriptions/771031sbvrn/</t>
  </si>
  <si>
    <t>https://prabhupadavani.org/transcriptions/771031r1vrn/</t>
  </si>
  <si>
    <t>Room Conversation With Shri Narayan and Ramkrishna Bajaj</t>
  </si>
  <si>
    <t>https://prabhupadavani.org/transcriptions/771031r2vrn/</t>
  </si>
  <si>
    <t>Prabhupada Vigil</t>
  </si>
  <si>
    <t>https://prabhupadavani.org/transcriptions/771101r1vrn/</t>
  </si>
  <si>
    <t>https://prabhupadavani.org/transcriptions/771101r3vrn/</t>
  </si>
  <si>
    <t>https://prabhupadavani.org/transcriptions/771101r2vrn/</t>
  </si>
  <si>
    <t>Room Conversation New Books</t>
  </si>
  <si>
    <t>https://prabhupadavani.org/transcriptions/771102r1vrn/</t>
  </si>
  <si>
    <t>https://prabhupadavani.org/transcriptions/771102r2vrn/</t>
  </si>
  <si>
    <t>https://prabhupadavani.org/transcriptions/771102r3vrn/</t>
  </si>
  <si>
    <t>Room Conversation with Jaidayal Dalmia</t>
  </si>
  <si>
    <t>https://prabhupadavani.org/transcriptions/771102r4vrn/</t>
  </si>
  <si>
    <t>Room Conversation with Aksayananda</t>
  </si>
  <si>
    <t>https://prabhupadavani.org/transcriptions/771102r5vrn/</t>
  </si>
  <si>
    <t>https://prabhupadavani.org/transcriptions/771102r6vrn/</t>
  </si>
  <si>
    <t>https://prabhupadavani.org/transcriptions/771102r7vrn/</t>
  </si>
  <si>
    <t>Room Conversation Kaviraja Visit</t>
  </si>
  <si>
    <t>https://prabhupadavani.org/transcriptions/771102r8vrn/</t>
  </si>
  <si>
    <t>https://prabhupadavani.org/transcriptions/771103r2vrn/</t>
  </si>
  <si>
    <t>https://prabhupadavani.org/transcriptions/771103r3vrn/</t>
  </si>
  <si>
    <t>https://prabhupadavani.org/transcriptions/771103r4vrn/</t>
  </si>
  <si>
    <t>Room Conversation with Gaura-Govinda and Giriraja</t>
  </si>
  <si>
    <t>https://prabhupadavani.org/transcriptions/771103r5vrn/</t>
  </si>
  <si>
    <t>Room Conversation with Gaura-Govinda</t>
  </si>
  <si>
    <t>https://prabhupadavani.org/transcriptions/771103r6vrn/</t>
  </si>
  <si>
    <t>Room Conversation with Satadhanya</t>
  </si>
  <si>
    <t>https://prabhupadavani.org/transcriptions/771103r7vrn/</t>
  </si>
  <si>
    <t>https://prabhupadavani.org/transcriptions/771103r1vrn/</t>
  </si>
  <si>
    <t>https://prabhupadavani.org/transcriptions/771103r8vrn/</t>
  </si>
  <si>
    <t>https://prabhupadavani.org/transcriptions/771104r1vrn/</t>
  </si>
  <si>
    <t>https://prabhupadavani.org/transcriptions/771105r1vrn/</t>
  </si>
  <si>
    <t>https://prabhupadavani.org/transcriptions/771105r2vrn/</t>
  </si>
  <si>
    <t>https://prabhupadavani.org/transcriptions/771105r3vrn/</t>
  </si>
  <si>
    <t>https://prabhupadavani.org/transcriptions/771105r4vrn/</t>
  </si>
  <si>
    <t>https://prabhupadavani.org/transcriptions/771105r5vrn/</t>
  </si>
  <si>
    <t>https://prabhupadavani.org/transcriptions/771105r6vrn/</t>
  </si>
  <si>
    <t>https://prabhupadavani.org/transcriptions/771106r1vrn/</t>
  </si>
  <si>
    <t>https://prabhupadavani.org/transcriptions/771106r2vrn/</t>
  </si>
  <si>
    <t>https://prabhupadavani.org/transcriptions/771106r3vrn/</t>
  </si>
  <si>
    <t>https://prabhupadavani.org/transcriptions/771107r1vrn/</t>
  </si>
  <si>
    <t>https://prabhupadavani.org/transcriptions/771107r2vrn/</t>
  </si>
  <si>
    <t>https://prabhupadavani.org/transcriptions/771107r3vrn/</t>
  </si>
  <si>
    <t>https://prabhupadavani.org/transcriptions/771107r4vrn/</t>
  </si>
  <si>
    <t>https://prabhupadavani.org/transcriptions/771107r5vrn/</t>
  </si>
  <si>
    <t>https://prabhupadavani.org/transcriptions/771108r1vrn/</t>
  </si>
  <si>
    <t>https://prabhupadavani.org/transcriptions/771108r2vrn/</t>
  </si>
  <si>
    <t>https://prabhupadavani.org/transcriptions/771109r1vrn/</t>
  </si>
  <si>
    <t>https://prabhupadavani.org/transcriptions/771109r2vrn/</t>
  </si>
  <si>
    <t>https://prabhupadavani.org/transcriptions/771109r3vrn/</t>
  </si>
  <si>
    <t>https://prabhupadavani.org/transcriptions/771109r4vrn/</t>
  </si>
  <si>
    <t>https://prabhupadavani.org/transcriptions/771110r1vrn/</t>
  </si>
  <si>
    <t>https://prabhupadavani.org/transcriptions/771110r2vrn/</t>
  </si>
  <si>
    <t>https://prabhupadavani.org/transcriptions/771110r3vrn/</t>
  </si>
  <si>
    <t>https://prabhupadavani.org/transcriptions/771111r1vrn/</t>
  </si>
  <si>
    <t>https://prabhupadavani.org/transcriptions/771112r1vrn/</t>
  </si>
  <si>
    <t>https://prabhupadavani.org/transcriptions/771112r2vrn/</t>
  </si>
  <si>
    <t>https://prabhupadavani.org/transcriptions/771113r1vrn/</t>
  </si>
  <si>
    <t>https://prabhupadavani.org/transcriptions/771113r2vrn/</t>
  </si>
  <si>
    <t>https://prabhupadavani.org/transcriptions/771114vgvrn/</t>
  </si>
  <si>
    <t>https://prabhupadavani.org/transcriptions/room-conversation-b/</t>
  </si>
  <si>
    <t>Theme</t>
  </si>
  <si>
    <t>Date</t>
  </si>
  <si>
    <t>More</t>
  </si>
  <si>
    <t>SP_BG_00-01_New_York_1966-02-19_-20_Intro_1_to_Bhagavad_Gita.mp3</t>
  </si>
  <si>
    <t>https://audio.iskcondesiretree.com/01_-_Srila_Prabhupada/01_-_Lectures/01_-_English/01_-_Topic_wise/Bhagavad_Gita/More/SP_BG_00-01_New_York_1966-02-19_-20_Intro_1_to_Bhagavad_Gita.mp3</t>
  </si>
  <si>
    <t>SP_BG_00-02_New_York_1966-02-19_-20_Intro_2_to_Bhagavad_Gita.mp3</t>
  </si>
  <si>
    <t>https://audio.iskcondesiretree.com/01_-_Srila_Prabhupada/01_-_Lectures/01_-_English/01_-_Topic_wise/Bhagavad_Gita/More/SP_BG_00-02_New_York_1966-02-19_-20_Intro_2_to_Bhagavad_Gita.mp3</t>
  </si>
  <si>
    <t>SP_BG_00-03_New_York_1966-02-19_-20_Intro_3_to_Bhagavad_Gita.mp3</t>
  </si>
  <si>
    <t>https://audio.iskcondesiretree.com/01_-_Srila_Prabhupada/01_-_Lectures/01_-_English/01_-_Topic_wise/Bhagavad_Gita/More/SP_BG_00-03_New_York_1966-02-19_-20_Intro_3_to_Bhagavad_Gita.mp3</t>
  </si>
  <si>
    <t>Bg_00-01_NY_1966-02-19_20_Intro_1--_to_Bhagavad_Gita.mp3</t>
  </si>
  <si>
    <t>https://audio.iskcondesiretree.com/01_-_Srila_Prabhupada/01_-_Lectures/01_-_English/02_-_Month_wise/02_-_Feburary/19/Bg_00-01_NY_1966-02-19_20_Intro_1--_to_Bhagavad_Gita.mp3</t>
  </si>
  <si>
    <t>Bg_00-02_NY_1966-02-19_20_Intro_2--_to_Bhagavad_Gita.mp3</t>
  </si>
  <si>
    <t>https://audio.iskcondesiretree.com/01_-_Srila_Prabhupada/01_-_Lectures/01_-_English/02_-_Month_wise/02_-_Feburary/19/Bg_00-02_NY_1966-02-19_20_Intro_2--_to_Bhagavad_Gita.mp3</t>
  </si>
  <si>
    <t>Bg_00-03_NY_1966-02-19_20_Intro_3--_to_Bhagavad_Gita.mp3</t>
  </si>
  <si>
    <t>https://audio.iskcondesiretree.com/01_-_Srila_Prabhupada/01_-_Lectures/01_-_English/02_-_Month_wise/02_-_Feburary/19/Bg_00-03_NY_1966-02-19_20_Intro_3--_to_Bhagavad_Gita.mp3</t>
  </si>
  <si>
    <t>Chapter-02</t>
  </si>
  <si>
    <t>SP_BG_02-07-11_New_York_1966-03-02-The_Unavoidable_Battle--etc.mp3</t>
  </si>
  <si>
    <t>https://audio.iskcondesiretree.com/01_-_Srila_Prabhupada/01_-_Lectures/01_-_English/01_-_Topic_wise/Bhagavad_Gita/Chapter-02/SP_BG_02-07-11_New_York_1966-03-02-The_Unavoidable_Battle--etc.mp3</t>
  </si>
  <si>
    <t>Bg_02-07_NY_1966-03-02_Part_1_The_Unavoidable_Battle_etc.mp3</t>
  </si>
  <si>
    <t>https://audio.iskcondesiretree.com/01_-_Srila_Prabhupada/01_-_Lectures/01_-_English/02_-_Month_wise/03_-_March/02/Bg_02-07_NY_1966-03-02_Part_1_The_Unavoidable_Battle_etc.mp3</t>
  </si>
  <si>
    <t>Bg_02-07_NY_1966-03-02_Part_2_The_Unavoidable_Battle_etc.mp3</t>
  </si>
  <si>
    <t>https://audio.iskcondesiretree.com/01_-_Srila_Prabhupada/01_-_Lectures/01_-_English/02_-_Month_wise/03_-_March/02/Bg_02-07_NY_1966-03-02_Part_2_The_Unavoidable_Battle_etc.mp3</t>
  </si>
  <si>
    <t>Bg_02-07_NY_1966-03-02_Part_3_The_Unavoidable_Battle_etc.mp3</t>
  </si>
  <si>
    <t>https://audio.iskcondesiretree.com/01_-_Srila_Prabhupada/01_-_Lectures/01_-_English/02_-_Month_wise/03_-_March/02/Bg_02-07_NY_1966-03-02_Part_3_The_Unavoidable_Battle_etc.mp3</t>
  </si>
  <si>
    <t>SP_BG_02-11_New_York_1966-03-04_The_Fragrance_of_the_Soul--etc.mp3</t>
  </si>
  <si>
    <t>https://audio.iskcondesiretree.com/01_-_Srila_Prabhupada/01_-_Lectures/01_-_English/01_-_Topic_wise/Bhagavad_Gita/Chapter-02/SP_BG_02-11_New_York_1966-03-04_The_Fragrance_of_the_Soul--etc.mp3</t>
  </si>
  <si>
    <t>Bg_02-11_NY_1966-03-04_The_Fragrance_of_the_Soul_etc.mp3</t>
  </si>
  <si>
    <t>https://audio.iskcondesiretree.com/01_-_Srila_Prabhupada/01_-_Lectures/01_-_English/02_-_Month_wise/03_-_March/04/Bg_02-11_NY_1966-03-04_The_Fragrance_of_the_Soul_etc.mp3</t>
  </si>
  <si>
    <t>SP_BG_02-12_New_York_1966-03-09_God_Is_Individual_Person.mp3</t>
  </si>
  <si>
    <t>https://audio.iskcondesiretree.com/01_-_Srila_Prabhupada/01_-_Lectures/01_-_English/01_-_Topic_wise/Bhagavad_Gita/Chapter-02/SP_BG_02-12_New_York_1966-03-09_God_Is_Individual_Person.mp3</t>
  </si>
  <si>
    <t>Bg_02-12_NY_1966-03-09_God_Is_Individual_Person.mp3</t>
  </si>
  <si>
    <t>https://audio.iskcondesiretree.com/01_-_Srila_Prabhupada/01_-_Lectures/01_-_English/02_-_Month_wise/03_-_March/09/Bg_02-12_NY_1966-03-09_God_Is_Individual_Person.mp3</t>
  </si>
  <si>
    <t>SP_BG_02-13_New_York_1966-03-11_A_Disturbed_Mind_Is_Due_to_Ignorance.mp3</t>
  </si>
  <si>
    <t>https://audio.iskcondesiretree.com/01_-_Srila_Prabhupada/01_-_Lectures/01_-_English/01_-_Topic_wise/Bhagavad_Gita/Chapter-02/SP_BG_02-13_New_York_1966-03-11_A_Disturbed_Mind_Is_Due_to_Ignorance.mp3</t>
  </si>
  <si>
    <t>Bg_02-13_NY_1966-03-11_A_Disturbed_Mind_Is_Due_to_Ignorance.mp3</t>
  </si>
  <si>
    <t>https://audio.iskcondesiretree.com/01_-_Srila_Prabhupada/01_-_Lectures/01_-_English/02_-_Month_wise/03_-_March/11/Bg_02-13_NY_1966-03-11_A_Disturbed_Mind_Is_Due_to_Ignorance.mp3</t>
  </si>
  <si>
    <t>by_Lilananda_Prabhu</t>
  </si>
  <si>
    <t>SP_BG_02-13_NY_1966-03-11_Uma_Mente_Perturbada_e_Devido_a_Ignorancia.mp3</t>
  </si>
  <si>
    <t>https://audio.iskcondesiretree.com/01_-_Srila_Prabhupada/01_-_Lectures/04_-_Translation/Portuguese/by_Lilananda_Prabhu/SP_BG_02-13_NY_1966-03-11_Uma_Mente_Perturbada_e_Devido_a_Ignorancia.mp3</t>
  </si>
  <si>
    <t>Canto-01</t>
  </si>
  <si>
    <t>SP_SB_1-02-17_New_York_1966-03-25_Krishna_Is_Omnipotent.mp3</t>
  </si>
  <si>
    <t>https://audio.iskcondesiretree.com/01_-_Srila_Prabhupada/01_-_Lectures/01_-_English/01_-_Topic_wise/Srimad_Bhagavatam/Canto-01/SP_SB_1-02-17_New_York_1966-03-25_Krishna_Is_Omnipotent.mp3</t>
  </si>
  <si>
    <t>SB_1-02-17_NY_1966-03-25_Krishna_Is_Omnipotent.mp3</t>
  </si>
  <si>
    <t>https://audio.iskcondesiretree.com/01_-_Srila_Prabhupada/01_-_Lectures/01_-_English/02_-_Month_wise/03_-_March/25/SB_1-02-17_NY_1966-03-25_Krishna_Is_Omnipotent.mp3</t>
  </si>
  <si>
    <t>SP_BG_02-47_New_York_1966-03-28_Soul%27s_Constitutional_Position.mp3</t>
  </si>
  <si>
    <t>https://audio.iskcondesiretree.com/01_-_Srila_Prabhupada/01_-_Lectures/01_-_English/01_-_Topic_wise/Bhagavad_Gita/Chapter-02/SP_BG_02-47_New_York_1966-03-28_Soul%27s_Constitutional_Position.mp3</t>
  </si>
  <si>
    <t>Bg_02-47_NY_1966-03-28_Soul%27s_Constitutional_Position.mp3</t>
  </si>
  <si>
    <t>https://audio.iskcondesiretree.com/01_-_Srila_Prabhupada/01_-_Lectures/01_-_English/02_-_Month_wise/03_-_March/28/Bg_02-47_NY_1966-03-28_Soul%27s_Constitutional_Position.mp3</t>
  </si>
  <si>
    <t>SP_BG_02-48_New_York_1966-04-01_Keeping_in_Touch_with_the_Supreme.mp3</t>
  </si>
  <si>
    <t>https://audio.iskcondesiretree.com/01_-_Srila_Prabhupada/01_-_Lectures/01_-_English/01_-_Topic_wise/Bhagavad_Gita/Chapter-02/SP_BG_02-48_New_York_1966-04-01_Keeping_in_Touch_with_the_Supreme.mp3</t>
  </si>
  <si>
    <t>Bg_02-48_NY_1966-04-01_Keeping_in_Touch_with_the_Supreme.mp3</t>
  </si>
  <si>
    <t>https://audio.iskcondesiretree.com/01_-_Srila_Prabhupada/01_-_Lectures/01_-_English/02_-_Month_wise/04_-_April/01/Bg_02-48_NY_1966-04-01_Keeping_in_Touch_with_the_Supreme.mp3</t>
  </si>
  <si>
    <t>SP_BG_02-49_New_York_1966-04-05_One_Should_Spend_All_Energies--etc.mp3</t>
  </si>
  <si>
    <t>https://audio.iskcondesiretree.com/01_-_Srila_Prabhupada/01_-_Lectures/01_-_English/01_-_Topic_wise/Bhagavad_Gita/Chapter-02/SP_BG_02-49_New_York_1966-04-05_One_Should_Spend_All_Energies--etc.mp3</t>
  </si>
  <si>
    <t>Bg_02-49_NY_1966-04-05_One_Should_Spend_All_Energies_etc.mp3</t>
  </si>
  <si>
    <t>https://audio.iskcondesiretree.com/01_-_Srila_Prabhupada/01_-_Lectures/01_-_English/02_-_Month_wise/04_-_April/05/Bg_02-49_NY_1966-04-05_One_Should_Spend_All_Energies_etc.mp3</t>
  </si>
  <si>
    <t>SP_BG_02-51-54_New_York_1966-04-12_Dovetailing_Yourself_with_the_Supreme.mp3</t>
  </si>
  <si>
    <t>https://audio.iskcondesiretree.com/01_-_Srila_Prabhupada/01_-_Lectures/01_-_English/01_-_Topic_wise/Bhagavad_Gita/Chapter-02/SP_BG_02-51-54_New_York_1966-04-12_Dovetailing_Yourself_with_the_Supreme.mp3</t>
  </si>
  <si>
    <t>Bg_02-51_NY_1966-04-12_Dovetailing_Yourself_with_the_Supreme.mp3</t>
  </si>
  <si>
    <t>https://audio.iskcondesiretree.com/01_-_Srila_Prabhupada/01_-_Lectures/01_-_English/02_-_Month_wise/04_-_April/12/Bg_02-51_NY_1966-04-12_Dovetailing_Yourself_with_the_Supreme.mp3</t>
  </si>
  <si>
    <t>SP_BG_02-55_New_York_1966-04-15_Coming_Off_the_Mental_Platform.mp3</t>
  </si>
  <si>
    <t>https://audio.iskcondesiretree.com/01_-_Srila_Prabhupada/01_-_Lectures/01_-_English/01_-_Topic_wise/Bhagavad_Gita/Chapter-02/SP_BG_02-55_New_York_1966-04-15_Coming_Off_the_Mental_Platform.mp3</t>
  </si>
  <si>
    <t>Bg_02-55_NY_1966-04-15_Coming_Off_the_Mental_Platform.mp3</t>
  </si>
  <si>
    <t>https://audio.iskcondesiretree.com/01_-_Srila_Prabhupada/01_-_Lectures/01_-_English/02_-_Month_wise/04_-_April/15/Bg_02-55_NY_1966-04-15_Coming_Off_the_Mental_Platform.mp3</t>
  </si>
  <si>
    <t>SP_BG_02-55_New_York_1966-04-19_Engaging_in_Devotional_Service--etc.mp3</t>
  </si>
  <si>
    <t>https://audio.iskcondesiretree.com/01_-_Srila_Prabhupada/01_-_Lectures/01_-_English/01_-_Topic_wise/Bhagavad_Gita/Chapter-02/SP_BG_02-55_New_York_1966-04-19_Engaging_in_Devotional_Service--etc.mp3</t>
  </si>
  <si>
    <t>Bg_02-55_NY_1966-04-19_Engaging_in_Devotional_Service_etc.mp3</t>
  </si>
  <si>
    <t>https://audio.iskcondesiretree.com/01_-_Srila_Prabhupada/01_-_Lectures/01_-_English/02_-_Month_wise/04_-_April/19/Bg_02-55_NY_1966-04-19_Engaging_in_Devotional_Service_etc.mp3</t>
  </si>
  <si>
    <t>SP_BG_02-58_New_York_1966-04-27_The_Secret_of_Detachment.mp3</t>
  </si>
  <si>
    <t>https://audio.iskcondesiretree.com/01_-_Srila_Prabhupada/01_-_Lectures/01_-_English/01_-_Topic_wise/Bhagavad_Gita/Chapter-02/SP_BG_02-58_New_York_1966-04-27_The_Secret_of_Detachment.mp3</t>
  </si>
  <si>
    <t>Bg_02-58_NY_1966-04-27_The_Secret_of_Detachment.mp3</t>
  </si>
  <si>
    <t>https://audio.iskcondesiretree.com/01_-_Srila_Prabhupada/01_-_Lectures/01_-_English/02_-_Month_wise/04_-_April/27/Bg_02-58_NY_1966-04-27_The_Secret_of_Detachment.mp3</t>
  </si>
  <si>
    <t>Chapter-03</t>
  </si>
  <si>
    <t>SP_BG_03-08-13_New_York_1966-05-20_Yajna_Means_Work_for_Vishnu.mp3</t>
  </si>
  <si>
    <t>https://audio.iskcondesiretree.com/01_-_Srila_Prabhupada/01_-_Lectures/01_-_English/01_-_Topic_wise/Bhagavad_Gita/Chapter-03/SP_BG_03-08-13_New_York_1966-05-20_Yajna_Means_Work_for_Vishnu.mp3</t>
  </si>
  <si>
    <t>Bg_03-08_NY_1966-05-20_Yajna_Means_Work_for_Vishnu.mp3</t>
  </si>
  <si>
    <t>https://audio.iskcondesiretree.com/01_-_Srila_Prabhupada/01_-_Lectures/01_-_English/02_-_Month_wise/05_-_May/20/Bg_03-08_NY_1966-05-20_Yajna_Means_Work_for_Vishnu.mp3</t>
  </si>
  <si>
    <t>SP_BG_03-13-16_New_York_1966-05-23_Karma-yoga-_Becoming_God%27s_Yes_Man.mp3</t>
  </si>
  <si>
    <t>https://audio.iskcondesiretree.com/01_-_Srila_Prabhupada/01_-_Lectures/01_-_English/01_-_Topic_wise/Bhagavad_Gita/Chapter-03/SP_BG_03-13-16_New_York_1966-05-23_Karma-yoga-_Becoming_God%27s_Yes_Man.mp3</t>
  </si>
  <si>
    <t>Bg_03-13_NY_1966-05-23_Karma-yoga_Becoming_God%27s_Yes_Man.mp3</t>
  </si>
  <si>
    <t>https://audio.iskcondesiretree.com/01_-_Srila_Prabhupada/01_-_Lectures/01_-_English/02_-_Month_wise/05_-_May/23/Bg_03-13_NY_1966-05-23_Karma-yoga_Becoming_God%27s_Yes_Man.mp3</t>
  </si>
  <si>
    <t>SP_BG_03-16_New_York_1966-05-25_You_Have_to_Love_Through_God.mp3</t>
  </si>
  <si>
    <t>https://audio.iskcondesiretree.com/01_-_Srila_Prabhupada/01_-_Lectures/01_-_English/01_-_Topic_wise/Bhagavad_Gita/Chapter-03/SP_BG_03-16_New_York_1966-05-25_You_Have_to_Love_Through_God.mp3</t>
  </si>
  <si>
    <t>Bg_03-16_NY_1966-05-25_You_Have_to_Love_Through_God.mp3</t>
  </si>
  <si>
    <t>https://audio.iskcondesiretree.com/01_-_Srila_Prabhupada/01_-_Lectures/01_-_English/02_-_Month_wise/05_-_May/25/Bg_03-16_NY_1966-05-25_You_Have_to_Love_Through_God.mp3</t>
  </si>
  <si>
    <t>SP_BG_03-17_New_York_1966-05-27_Bhagavad-gita--_for_the_Common_Man.mp3</t>
  </si>
  <si>
    <t>https://audio.iskcondesiretree.com/01_-_Srila_Prabhupada/01_-_Lectures/01_-_English/01_-_Topic_wise/Bhagavad_Gita/Chapter-03/SP_BG_03-17_New_York_1966-05-27_Bhagavad-gita--_for_the_Common_Man.mp3</t>
  </si>
  <si>
    <t>Bg_03-17_NY_1966-05-27_Bhagavad-gita_for_the_Common_Man.mp3</t>
  </si>
  <si>
    <t>https://audio.iskcondesiretree.com/01_-_Srila_Prabhupada/01_-_Lectures/01_-_English/02_-_Month_wise/05_-_May/27/Bg_03-17_NY_1966-05-27_Bhagavad-gita_for_the_Common_Man.mp3</t>
  </si>
  <si>
    <t>SP_BG_03-21-24_New_York_1966-05-30_How_to_Become_An_Ideal_Person.mp3</t>
  </si>
  <si>
    <t>https://audio.iskcondesiretree.com/01_-_Srila_Prabhupada/01_-_Lectures/01_-_English/01_-_Topic_wise/Bhagavad_Gita/Chapter-03/SP_BG_03-21-24_New_York_1966-05-30_How_to_Become_An_Ideal_Person.mp3</t>
  </si>
  <si>
    <t>Bg_03-21_NY_1966-05-30_How_to_Become_An_Ideal_Person.mp3</t>
  </si>
  <si>
    <t>https://audio.iskcondesiretree.com/01_-_Srila_Prabhupada/01_-_Lectures/01_-_English/02_-_Month_wise/05_-_May/30/Bg_03-21_NY_1966-05-30_How_to_Become_An_Ideal_Person.mp3</t>
  </si>
  <si>
    <t>Chapter-04</t>
  </si>
  <si>
    <t>SP_BG_04-03-06_New_York_1966-07-18_Forgetfulness_of_the_Lord.mp3</t>
  </si>
  <si>
    <t>https://audio.iskcondesiretree.com/01_-_Srila_Prabhupada/01_-_Lectures/01_-_English/01_-_Topic_wise/Bhagavad_Gita/Chapter-04/SP_BG_04-03-06_New_York_1966-07-18_Forgetfulness_of_the_Lord.mp3</t>
  </si>
  <si>
    <t>Bg_04-03_NY_1966-07-18_Forgetfulness_of_the_Lord.mp3</t>
  </si>
  <si>
    <t>https://audio.iskcondesiretree.com/01_-_Srila_Prabhupada/01_-_Lectures/01_-_English/02_-_Month_wise/07_-_July/18/Bg_04-03_NY_1966-07-18_Forgetfulness_of_the_Lord.mp3</t>
  </si>
  <si>
    <t>SP_BG_04-06-08_New_York_1966-07-20_Why_the_Lord_and_His--etc.mp3</t>
  </si>
  <si>
    <t>https://audio.iskcondesiretree.com/01_-_Srila_Prabhupada/01_-_Lectures/01_-_English/01_-_Topic_wise/Bhagavad_Gita/Chapter-04/SP_BG_04-06-08_New_York_1966-07-20_Why_the_Lord_and_His--etc.mp3</t>
  </si>
  <si>
    <t>Bg_04-06_NY_1966-07-20_Why_the_Lord_and_His_etc.mp3</t>
  </si>
  <si>
    <t>https://audio.iskcondesiretree.com/01_-_Srila_Prabhupada/01_-_Lectures/01_-_English/02_-_Month_wise/07_-_July/20/Bg_04-06_NY_1966-07-20_Why_the_Lord_and_His_etc.mp3</t>
  </si>
  <si>
    <t>SP_BG_04-09_New_York_1966-07-25_Take_Assistance_From_A_Person--etc.mp3</t>
  </si>
  <si>
    <t>https://audio.iskcondesiretree.com/01_-_Srila_Prabhupada/01_-_Lectures/01_-_English/01_-_Topic_wise/Bhagavad_Gita/Chapter-04/SP_BG_04-09_New_York_1966-07-25_Take_Assistance_From_A_Person--etc.mp3</t>
  </si>
  <si>
    <t>Bg_04-09_NY_1966-07-25_Take_Assistance_From_A_Person_etc.mp3</t>
  </si>
  <si>
    <t>https://audio.iskcondesiretree.com/01_-_Srila_Prabhupada/01_-_Lectures/01_-_English/02_-_Month_wise/07_-_July/25/Bg_04-09_NY_1966-07-25_Take_Assistance_From_A_Person_etc.mp3</t>
  </si>
  <si>
    <t>SP_BG_04-11_New_York_1966-07-28_Know_Krishna--Get_Liberation.mp3</t>
  </si>
  <si>
    <t>https://audio.iskcondesiretree.com/01_-_Srila_Prabhupada/01_-_Lectures/01_-_English/01_-_Topic_wise/Bhagavad_Gita/Chapter-04/SP_BG_04-11_New_York_1966-07-28_Know_Krishna--Get_Liberation.mp3</t>
  </si>
  <si>
    <t>Bg_04-11_NY_1966-07-28_Know_Krishna-Get_Liberation.mp3</t>
  </si>
  <si>
    <t>https://audio.iskcondesiretree.com/01_-_Srila_Prabhupada/01_-_Lectures/01_-_English/02_-_Month_wise/07_-_July/28/Bg_04-11_NY_1966-07-28_Know_Krishna-Get_Liberation.mp3</t>
  </si>
  <si>
    <t>SP_BG_04-12-13_New_York_1966-07-30_Become_Brahmana--Twice-born.mp3</t>
  </si>
  <si>
    <t>https://audio.iskcondesiretree.com/01_-_Srila_Prabhupada/01_-_Lectures/01_-_English/01_-_Topic_wise/Bhagavad_Gita/Chapter-04/SP_BG_04-12-13_New_York_1966-07-30_Become_Brahmana--Twice-born.mp3</t>
  </si>
  <si>
    <t>Bg_04-12_NY_1966-07-30_Become_Brahmana_Twice-born.mp3</t>
  </si>
  <si>
    <t>https://audio.iskcondesiretree.com/01_-_Srila_Prabhupada/01_-_Lectures/01_-_English/02_-_Month_wise/07_-_July/30/Bg_04-12_NY_1966-07-30_Become_Brahmana_Twice-born.mp3</t>
  </si>
  <si>
    <t>SP_BG_04-13-14_New_York_1966-08-01_Divisions_of_Human_Society.mp3</t>
  </si>
  <si>
    <t>https://audio.iskcondesiretree.com/01_-_Srila_Prabhupada/01_-_Lectures/01_-_English/01_-_Topic_wise/Bhagavad_Gita/Chapter-04/SP_BG_04-13-14_New_York_1966-08-01_Divisions_of_Human_Society.mp3</t>
  </si>
  <si>
    <t>Bg_04-13_NY_1966-08-01_Divisions_of_Human_Society.mp3</t>
  </si>
  <si>
    <t>https://audio.iskcondesiretree.com/01_-_Srila_Prabhupada/01_-_Lectures/01_-_English/02_-_Month_wise/08_-_August/01/Bg_04-13_NY_1966-08-01_Divisions_of_Human_Society.mp3</t>
  </si>
  <si>
    <t>SP_BG_04-14-19_New_York_1966-08-03_Karma-Akarma.mp3</t>
  </si>
  <si>
    <t>https://audio.iskcondesiretree.com/01_-_Srila_Prabhupada/01_-_Lectures/01_-_English/01_-_Topic_wise/Bhagavad_Gita/Chapter-04/SP_BG_04-14-19_New_York_1966-08-03_Karma-Akarma.mp3</t>
  </si>
  <si>
    <t>Bg_04-14_NY_1966-08-03_Karma_Akarma.mp3</t>
  </si>
  <si>
    <t>https://audio.iskcondesiretree.com/01_-_Srila_Prabhupada/01_-_Lectures/01_-_English/02_-_Month_wise/08_-_August/03/Bg_04-14_NY_1966-08-03_Karma_Akarma.mp3</t>
  </si>
  <si>
    <t>SP_BG_04-19-22_New_York_1966-08-08_How_to_Satisfy_Krishna.mp3</t>
  </si>
  <si>
    <t>https://audio.iskcondesiretree.com/01_-_Srila_Prabhupada/01_-_Lectures/01_-_English/01_-_Topic_wise/Bhagavad_Gita/Chapter-04/SP_BG_04-19-22_New_York_1966-08-08_How_to_Satisfy_Krishna.mp3</t>
  </si>
  <si>
    <t>SP_BG_04-19_New_York_1966-08-08_How_to_Satisfy_Krishna.mp3</t>
  </si>
  <si>
    <t>https://audio.iskcondesiretree.com/01_-_Srila_Prabhupada/01_-_Lectures/01_-_English/01_-_Topic_wise/Bhagavad_Gita/Chapter-04/SP_BG_04-19_New_York_1966-08-08_How_to_Satisfy_Krishna.mp3</t>
  </si>
  <si>
    <t>Bg_04-19_NY_1966-08-08_How_to_Satisfy_Krishna.mp3</t>
  </si>
  <si>
    <t>https://audio.iskcondesiretree.com/01_-_Srila_Prabhupada/01_-_Lectures/01_-_English/02_-_Month_wise/08_-_August/08/Bg_04-19_NY_1966-08-08_How_to_Satisfy_Krishna.mp3</t>
  </si>
  <si>
    <t>SP_BG_04-20-24_New_York_1966-08-09_Varieties_of_Sacrifice.mp3</t>
  </si>
  <si>
    <t>https://audio.iskcondesiretree.com/01_-_Srila_Prabhupada/01_-_Lectures/01_-_English/01_-_Topic_wise/Bhagavad_Gita/Chapter-04/SP_BG_04-20-24_New_York_1966-08-09_Varieties_of_Sacrifice.mp3</t>
  </si>
  <si>
    <t>Bg_04-20_NY_1966-08-09_Varieties_of_Sacrifice.mp3</t>
  </si>
  <si>
    <t>https://audio.iskcondesiretree.com/01_-_Srila_Prabhupada/01_-_Lectures/01_-_English/02_-_Month_wise/08_-_August/09/Bg_04-20_NY_1966-08-09_Varieties_of_Sacrifice.mp3</t>
  </si>
  <si>
    <t>SP_BG_04-24-34_New_York_1966-08-12_Varnasrama_Dharma.mp3</t>
  </si>
  <si>
    <t>https://audio.iskcondesiretree.com/01_-_Srila_Prabhupada/01_-_Lectures/01_-_English/01_-_Topic_wise/Bhagavad_Gita/Chapter-04/SP_BG_04-24-34_New_York_1966-08-12_Varnasrama_Dharma.mp3</t>
  </si>
  <si>
    <t>Bg_04-24_NY_1966-08-12_Varnasrama_Dharma.mp3</t>
  </si>
  <si>
    <t>https://audio.iskcondesiretree.com/01_-_Srila_Prabhupada/01_-_Lectures/01_-_English/02_-_Month_wise/08_-_August/12/Bg_04-24_NY_1966-08-12_Varnasrama_Dharma.mp3</t>
  </si>
  <si>
    <t>SP_BG_04-34_New_York_1966-08-17_Only_Think_of_Krishna.mp3</t>
  </si>
  <si>
    <t>https://audio.iskcondesiretree.com/01_-_Srila_Prabhupada/01_-_Lectures/01_-_English/01_-_Topic_wise/Bhagavad_Gita/Chapter-04/SP_BG_04-34_New_York_1966-08-17_Only_Think_of_Krishna.mp3</t>
  </si>
  <si>
    <t>Chapter-05</t>
  </si>
  <si>
    <t>SP_BG_05-07-14_New_York_1966-08-27_Krsna_and_We-Very_Intimately_Connected.mp3</t>
  </si>
  <si>
    <t>https://audio.iskcondesiretree.com/01_-_Srila_Prabhupada/01_-_Lectures/01_-_English/01_-_Topic_wise/Bhagavad_Gita/Chapter-05/SP_BG_05-07-14_New_York_1966-08-27_Krsna_and_We-Very_Intimately_Connected.mp3</t>
  </si>
  <si>
    <t>Bg_05-07_NY_1966-08-27_Krsna_and_We-Very_Intimately_Connected.mp3</t>
  </si>
  <si>
    <t>https://audio.iskcondesiretree.com/01_-_Srila_Prabhupada/01_-_Lectures/01_-_English/02_-_Month_wise/08_-_August/27/Bg_05-07_NY_1966-08-27_Krsna_and_We-Very_Intimately_Connected.mp3</t>
  </si>
  <si>
    <t>SP_BG_05-22_New_York_1966-08-31_Actual_Sense_Pleasure.mp3</t>
  </si>
  <si>
    <t>https://audio.iskcondesiretree.com/01_-_Srila_Prabhupada/01_-_Lectures/01_-_English/01_-_Topic_wise/Bhagavad_Gita/Chapter-05/SP_BG_05-22_New_York_1966-08-31_Actual_Sense_Pleasure.mp3</t>
  </si>
  <si>
    <t>Bg_05-22_NY_1966-08-31_Actual_Sense_Pleasure.mp3</t>
  </si>
  <si>
    <t>https://audio.iskcondesiretree.com/01_-_Srila_Prabhupada/01_-_Lectures/01_-_English/02_-_Month_wise/08_-_August/31/Bg_05-22_NY_1966-08-31_Actual_Sense_Pleasure.mp3</t>
  </si>
  <si>
    <t>Chapter-06</t>
  </si>
  <si>
    <t>SP_BG_06-01-04_New_York_1966-09-02_You_Serve_Krishna_or_Maya.mp3</t>
  </si>
  <si>
    <t>https://audio.iskcondesiretree.com/01_-_Srila_Prabhupada/01_-_Lectures/01_-_English/01_-_Topic_wise/Bhagavad_Gita/Chapter-06/SP_BG_06-01-04_New_York_1966-09-02_You_Serve_Krishna_or_Maya.mp3</t>
  </si>
  <si>
    <t>Bg_06-01_NY_1966-09-02_You_Serve_Krishna_or_Maya.mp3</t>
  </si>
  <si>
    <t>https://audio.iskcondesiretree.com/01_-_Srila_Prabhupada/01_-_Lectures/01_-_English/02_-_Month_wise/09_-_September/02/Bg_06-01_NY_1966-09-02_You_Serve_Krishna_or_Maya.mp3</t>
  </si>
  <si>
    <t>SP_BG_06-04-09_New_York_1966-09-04_Engaging_the_Mind_in_Krsna_Consciousness.mp3</t>
  </si>
  <si>
    <t>https://audio.iskcondesiretree.com/01_-_Srila_Prabhupada/01_-_Lectures/01_-_English/01_-_Topic_wise/Bhagavad_Gita/Chapter-06/SP_BG_06-04-09_New_York_1966-09-04_Engaging_the_Mind_in_Krsna_Consciousness.mp3</t>
  </si>
  <si>
    <t>Bg_06-04_NY_1966-09-04_Engaging_the_Mind_in_Krsna_Consciousness.mp3</t>
  </si>
  <si>
    <t>https://audio.iskcondesiretree.com/01_-_Srila_Prabhupada/01_-_Lectures/01_-_English/02_-_Month_wise/09_-_September/04/Bg_06-04_NY_1966-09-04_Engaging_the_Mind_in_Krsna_Consciousness.mp3</t>
  </si>
  <si>
    <t>SP_BG_06-04-09_New_York_1966-09-07_How_One_Should_Perform_Yoga.mp3</t>
  </si>
  <si>
    <t>https://audio.iskcondesiretree.com/01_-_Srila_Prabhupada/01_-_Lectures/01_-_English/01_-_Topic_wise/Bhagavad_Gita/Chapter-06/SP_BG_06-04-09_New_York_1966-09-07_How_One_Should_Perform_Yoga.mp3</t>
  </si>
  <si>
    <t>SP_BG_06-11-19_New_York_1966-09-07_Yoga_System--Chant_the_Holy--etc.mp3</t>
  </si>
  <si>
    <t>https://audio.iskcondesiretree.com/01_-_Srila_Prabhupada/01_-_Lectures/01_-_English/01_-_Topic_wise/Bhagavad_Gita/Chapter-06/SP_BG_06-11-19_New_York_1966-09-07_Yoga_System--Chant_the_Holy--etc.mp3</t>
  </si>
  <si>
    <t>Bg_06-04_NY_1966-09-07_How_One_Should_Perform_Yoga.mp3</t>
  </si>
  <si>
    <t>https://audio.iskcondesiretree.com/01_-_Srila_Prabhupada/01_-_Lectures/01_-_English/02_-_Month_wise/09_-_September/07/Bg_06-04_NY_1966-09-07_How_One_Should_Perform_Yoga.mp3</t>
  </si>
  <si>
    <t>Bg_06-11_NY_1966-09-07_Yoga_System-Chant_the_Holy_etc.mp3</t>
  </si>
  <si>
    <t>https://audio.iskcondesiretree.com/01_-_Srila_Prabhupada/01_-_Lectures/01_-_English/02_-_Month_wise/09_-_September/07/Bg_06-11_NY_1966-09-07_Yoga_System-Chant_the_Holy_etc.mp3</t>
  </si>
  <si>
    <t>Various</t>
  </si>
  <si>
    <t>SP_Lecture_New_York_1966-09-08_Introduction_to_Maha-mantra.mp3</t>
  </si>
  <si>
    <t>https://audio.iskcondesiretree.com/01_-_Srila_Prabhupada/01_-_Lectures/01_-_English/01_-_Topic_wise/Various/SP_Lecture_New_York_1966-09-08_Introduction_to_Maha-mantra.mp3</t>
  </si>
  <si>
    <t>Lect_NY_1966-09-08_Introduction_to_Maha_mantra.mp3</t>
  </si>
  <si>
    <t>https://audio.iskcondesiretree.com/01_-_Srila_Prabhupada/01_-_Lectures/01_-_English/02_-_Month_wise/09_-_September/08/Lect_NY_1966-09-08_Introduction_to_Maha_mantra.mp3</t>
  </si>
  <si>
    <t>SP_BG_06-21-25_New_York_1966-09-09_Yoga_System--Searching_After--etc.mp3</t>
  </si>
  <si>
    <t>https://audio.iskcondesiretree.com/01_-_Srila_Prabhupada/01_-_Lectures/01_-_English/01_-_Topic_wise/Bhagavad_Gita/Chapter-06/SP_BG_06-21-25_New_York_1966-09-09_Yoga_System--Searching_After--etc.mp3</t>
  </si>
  <si>
    <t>Bg_06-21_NY_1966-09-09_Yoga_System_Searching_After_etc.mp3</t>
  </si>
  <si>
    <t>https://audio.iskcondesiretree.com/01_-_Srila_Prabhupada/01_-_Lectures/01_-_English/02_-_Month_wise/09_-_September/09/Bg_06-21_NY_1966-09-09_Yoga_System_Searching_After_etc.mp3</t>
  </si>
  <si>
    <t>SP_BG_06-32_New_York_1966-09-14_Yoga_System--Vairagya_It%27s--etc.mp3</t>
  </si>
  <si>
    <t>https://audio.iskcondesiretree.com/01_-_Srila_Prabhupada/01_-_Lectures/01_-_English/01_-_Topic_wise/Bhagavad_Gita/Chapter-06/SP_BG_06-32_New_York_1966-09-14_Yoga_System--Vairagya_It%27s--etc.mp3</t>
  </si>
  <si>
    <t>Bg_06-32_NY_1966-09-14_Yoga_System-Vairagya_It%27s_etc.mp3</t>
  </si>
  <si>
    <t>https://audio.iskcondesiretree.com/01_-_Srila_Prabhupada/01_-_Lectures/01_-_English/02_-_Month_wise/09_-_September/14/Bg_06-32_NY_1966-09-14_Yoga_System-Vairagya_It%27s_etc.mp3</t>
  </si>
  <si>
    <t>SP_BG_06-40-43_New_York_1966-09-18_Yoga_System--There_Is_No_Loss--etc.mp3</t>
  </si>
  <si>
    <t>https://audio.iskcondesiretree.com/01_-_Srila_Prabhupada/01_-_Lectures/01_-_English/01_-_Topic_wise/Bhagavad_Gita/Chapter-06/SP_BG_06-40-43_New_York_1966-09-18_Yoga_System--There_Is_No_Loss--etc.mp3</t>
  </si>
  <si>
    <t>Bg_06-40_NY_1966-09-18_Yoga_System--There_Is_No_Loss_etc.mp3</t>
  </si>
  <si>
    <t>https://audio.iskcondesiretree.com/01_-_Srila_Prabhupada/01_-_Lectures/01_-_English/02_-_Month_wise/09_-_September/18/Bg_06-40_NY_1966-09-18_Yoga_System--There_Is_No_Loss_etc.mp3</t>
  </si>
  <si>
    <t>Chapter-07</t>
  </si>
  <si>
    <t>SP_BG_07-08-14_New_York_1966-10-02_Remembering_Krishna_24_Hours_a_Day.mp3</t>
  </si>
  <si>
    <t>https://audio.iskcondesiretree.com/01_-_Srila_Prabhupada/01_-_Lectures/01_-_English/01_-_Topic_wise/Bhagavad_Gita/Chapter-07/SP_BG_07-08-14_New_York_1966-10-02_Remembering_Krishna_24_Hours_a_Day.mp3</t>
  </si>
  <si>
    <t>Bg_07-08_NY_1966-10-02_Remembering_Krishna_24_Hours_a_Day.mp3</t>
  </si>
  <si>
    <t>https://audio.iskcondesiretree.com/01_-_Srila_Prabhupada/01_-_Lectures/01_-_English/02_-_Month_wise/10_-_October/02/Bg_07-08_NY_1966-10-02_Remembering_Krishna_24_Hours_a_Day.mp3</t>
  </si>
  <si>
    <t>SP_BG_07-15-18_New_York_1966-10-09_Four_Classes_of_Men_Come_to_God.mp3</t>
  </si>
  <si>
    <t>https://audio.iskcondesiretree.com/01_-_Srila_Prabhupada/01_-_Lectures/01_-_English/01_-_Topic_wise/Bhagavad_Gita/Chapter-07/SP_BG_07-15-18_New_York_1966-10-09_Four_Classes_of_Men_Come_to_God.mp3</t>
  </si>
  <si>
    <t>Bg_07-15_NY_1966-10-09_Four_Classes_of_Men_Come_to_God.mp3</t>
  </si>
  <si>
    <t>https://audio.iskcondesiretree.com/01_-_Srila_Prabhupada/01_-_Lectures/01_-_English/02_-_Month_wise/10_-_October/09/Bg_07-15_NY_1966-10-09_Four_Classes_of_Men_Come_to_God.mp3</t>
  </si>
  <si>
    <t>SP_BG_07-27-30_New_York_1966-10-23_Discovering_Your_REAL_Interest.mp3</t>
  </si>
  <si>
    <t>https://audio.iskcondesiretree.com/01_-_Srila_Prabhupada/01_-_Lectures/01_-_English/01_-_Topic_wise/Bhagavad_Gita/Chapter-07/SP_BG_07-27-30_New_York_1966-10-23_Discovering_Your_REAL_Interest.mp3</t>
  </si>
  <si>
    <t>Bg_07-28_NY_1966-10-23_Discovering_Your_REAL_Interest.mp3</t>
  </si>
  <si>
    <t>https://audio.iskcondesiretree.com/01_-_Srila_Prabhupada/01_-_Lectures/01_-_English/02_-_Month_wise/10_-_October/23/Bg_07-28_NY_1966-10-23_Discovering_Your_REAL_Interest.mp3</t>
  </si>
  <si>
    <t>Festivals</t>
  </si>
  <si>
    <t>SP_Festivals_New_York_1966-11-04_Govardhana_Puja.mp3</t>
  </si>
  <si>
    <t>https://audio.iskcondesiretree.com/01_-_Srila_Prabhupada/01_-_Lectures/01_-_English/01_-_Topic_wise/Festivals/SP_Festivals_New_York_1966-11-04_Govardhana_Puja.mp3</t>
  </si>
  <si>
    <t>Fest_NY_1966-11-04_Govardhana_Puja.mp3</t>
  </si>
  <si>
    <t>https://audio.iskcondesiretree.com/01_-_Srila_Prabhupada/01_-_Lectures/01_-_English/02_-_Month_wise/11_-_November/04/Fest_NY_1966-11-04_Govardhana_Puja.mp3</t>
  </si>
  <si>
    <t>Chapter-08</t>
  </si>
  <si>
    <t>SP_BG_08-12-14_New_York_1966-11-15_Make_Sure_to_Pass_that_Final--etc.mp3</t>
  </si>
  <si>
    <t>https://audio.iskcondesiretree.com/01_-_Srila_Prabhupada/01_-_Lectures/01_-_English/01_-_Topic_wise/Bhagavad_Gita/Chapter-08/SP_BG_08-12-14_New_York_1966-11-15_Make_Sure_to_Pass_that_Final--etc.mp3</t>
  </si>
  <si>
    <t>Bg_08-12_NY_1966-11-15_Make_Sure_to_Pass_that_Final_etc.mp3</t>
  </si>
  <si>
    <t>https://audio.iskcondesiretree.com/01_-_Srila_Prabhupada/01_-_Lectures/01_-_English/02_-_Month_wise/11_-_November/15/Bg_08-12_NY_1966-11-15_Make_Sure_to_Pass_that_Final_etc.mp3</t>
  </si>
  <si>
    <t>SP_BG_08-14-15_New_York_1966-11-16_Remember_Krishna_Without_Deviation.mp3</t>
  </si>
  <si>
    <t>https://audio.iskcondesiretree.com/01_-_Srila_Prabhupada/01_-_Lectures/01_-_English/01_-_Topic_wise/Bhagavad_Gita/Chapter-08/SP_BG_08-14-15_New_York_1966-11-16_Remember_Krishna_Without_Deviation.mp3</t>
  </si>
  <si>
    <t>Madhya_Lila</t>
  </si>
  <si>
    <t>SP_CC_M_20-125_New_York_1966-11-16_Engage_Your_Mind_Always_in--etc.mp3</t>
  </si>
  <si>
    <t>https://audio.iskcondesiretree.com/01_-_Srila_Prabhupada/01_-_Lectures/01_-_English/01_-_Topic_wise/Chaitanya_Charitamrita/Madhya_Lila/SP_CC_M_20-125_New_York_1966-11-16_Engage_Your_Mind_Always_in--etc.mp3</t>
  </si>
  <si>
    <t>Bg_08-14_NY_1966-11-16_Remember_Krishna_Without_Deviation.mp3</t>
  </si>
  <si>
    <t>https://audio.iskcondesiretree.com/01_-_Srila_Prabhupada/01_-_Lectures/01_-_English/02_-_Month_wise/11_-_November/16/Bg_08-14_NY_1966-11-16_Remember_Krishna_Without_Deviation.mp3</t>
  </si>
  <si>
    <t>Cc_M_20-125_NY_1966-11-16_Engage_Your_Mind_Always_in_etc.mp3</t>
  </si>
  <si>
    <t>https://audio.iskcondesiretree.com/01_-_Srila_Prabhupada/01_-_Lectures/01_-_English/02_-_Month_wise/11_-_November/16/Cc_M_20-125_NY_1966-11-16_Engage_Your_Mind_Always_in_etc.mp3</t>
  </si>
  <si>
    <t>SP_BG_08-15-20_New_York_1966-11-17_Nature_of_the_Material_World--etc.mp3</t>
  </si>
  <si>
    <t>https://audio.iskcondesiretree.com/01_-_Srila_Prabhupada/01_-_Lectures/01_-_English/01_-_Topic_wise/Bhagavad_Gita/Chapter-08/SP_BG_08-15-20_New_York_1966-11-17_Nature_of_the_Material_World--etc.mp3</t>
  </si>
  <si>
    <t>Bg_08-15_NY_1966-11-17_Nature_of_the_Material_World_etc.mp3</t>
  </si>
  <si>
    <t>https://audio.iskcondesiretree.com/01_-_Srila_Prabhupada/01_-_Lectures/01_-_English/02_-_Month_wise/11_-_November/17/Bg_08-15_NY_1966-11-17_Nature_of_the_Material_World_etc.mp3</t>
  </si>
  <si>
    <t>SP_BG_08-20-22_New_York_1966-11-18_There_Is_Another--etc.mp3</t>
  </si>
  <si>
    <t>https://audio.iskcondesiretree.com/01_-_Srila_Prabhupada/01_-_Lectures/01_-_English/01_-_Topic_wise/Bhagavad_Gita/Chapter-08/SP_BG_08-20-22_New_York_1966-11-18_There_Is_Another--etc.mp3</t>
  </si>
  <si>
    <t>Bg_08-20_NY_1966-11-18_There_Is_Another_etc.mp3</t>
  </si>
  <si>
    <t>https://audio.iskcondesiretree.com/01_-_Srila_Prabhupada/01_-_Lectures/01_-_English/02_-_Month_wise/11_-_November/18/Bg_08-20_NY_1966-11-18_There_Is_Another_etc.mp3</t>
  </si>
  <si>
    <t>SP_BG_08-21-22_New_York_1966-11-19_The_Supreme_Abode--Attainable--etc.mp3</t>
  </si>
  <si>
    <t>https://audio.iskcondesiretree.com/01_-_Srila_Prabhupada/01_-_Lectures/01_-_English/01_-_Topic_wise/Bhagavad_Gita/Chapter-08/SP_BG_08-21-22_New_York_1966-11-19_The_Supreme_Abode--Attainable--etc.mp3</t>
  </si>
  <si>
    <t>Bg_08-21_NY_1966-11-19_The_Supreme_Abode-Attainable_etc.mp3</t>
  </si>
  <si>
    <t>https://audio.iskcondesiretree.com/01_-_Srila_Prabhupada/01_-_Lectures/01_-_English/02_-_Month_wise/11_-_November/19/Bg_08-21_NY_1966-11-19_The_Supreme_Abode-Attainable_etc.mp3</t>
  </si>
  <si>
    <t>SP_BG_08-22-27_New_York_1966-11-20_Only_by_Bhakti_Can_One_Enter--etc.mp3</t>
  </si>
  <si>
    <t>https://audio.iskcondesiretree.com/01_-_Srila_Prabhupada/01_-_Lectures/01_-_English/01_-_Topic_wise/Bhagavad_Gita/Chapter-08/SP_BG_08-22-27_New_York_1966-11-20_Only_by_Bhakti_Can_One_Enter--etc.mp3</t>
  </si>
  <si>
    <t>Bg_08-22_NY_1966-11-20_Only_by_Bhakti_Can_One_Enter_etc.mp3</t>
  </si>
  <si>
    <t>https://audio.iskcondesiretree.com/01_-_Srila_Prabhupada/01_-_Lectures/01_-_English/02_-_Month_wise/11_-_November/20/Bg_08-22_NY_1966-11-20_Only_by_Bhakti_Can_One_Enter_etc.mp3</t>
  </si>
  <si>
    <t>SP_BG_08-28_09-01_New_York_1966-11-21_This_Knowledge_Is_the_King_of--etc.mp3</t>
  </si>
  <si>
    <t>https://audio.iskcondesiretree.com/01_-_Srila_Prabhupada/01_-_Lectures/01_-_English/01_-_Topic_wise/Bhagavad_Gita/Chapter-08/SP_BG_08-28_09-01_New_York_1966-11-21_This_Knowledge_Is_the_King_of--etc.mp3</t>
  </si>
  <si>
    <t>Bg_08-28_NY_1966-11-21_This_Knowledge_Is_the_King_of_etc.mp3</t>
  </si>
  <si>
    <t>https://audio.iskcondesiretree.com/01_-_Srila_Prabhupada/01_-_Lectures/01_-_English/02_-_Month_wise/11_-_November/21/Bg_08-28_NY_1966-11-21_This_Knowledge_Is_the_King_of_etc.mp3</t>
  </si>
  <si>
    <t>Chapter-09</t>
  </si>
  <si>
    <t>SP_BG_09-02_New_York_1966-11-22_It_Is_Everlasting_and_It_Is--etc.mp3</t>
  </si>
  <si>
    <t>https://audio.iskcondesiretree.com/01_-_Srila_Prabhupada/01_-_Lectures/01_-_English/01_-_Topic_wise/Bhagavad_Gita/Chapter-09/SP_BG_09-02_New_York_1966-11-22_It_Is_Everlasting_and_It_Is--etc.mp3</t>
  </si>
  <si>
    <t>SP_CC_M_20-097_New_York_1966-11-22_I_Shall_Give_You_Protection--etc.mp3</t>
  </si>
  <si>
    <t>https://audio.iskcondesiretree.com/01_-_Srila_Prabhupada/01_-_Lectures/01_-_English/01_-_Topic_wise/Chaitanya_Charitamrita/Madhya_Lila/SP_CC_M_20-097_New_York_1966-11-22_I_Shall_Give_You_Protection--etc.mp3</t>
  </si>
  <si>
    <t>SP_CC_M_20-100_New_York_1966-11-22_Sadhu_Inquires_for_the_Sake--etc.mp3</t>
  </si>
  <si>
    <t>https://audio.iskcondesiretree.com/01_-_Srila_Prabhupada/01_-_Lectures/01_-_English/01_-_Topic_wise/Chaitanya_Charitamrita/Madhya_Lila/SP_CC_M_20-100_New_York_1966-11-22_Sadhu_Inquires_for_the_Sake--etc.mp3</t>
  </si>
  <si>
    <t>Bg_09-02_NY_1966-11-22_It_Is_Everlasting%2C_and_It_Is_etc.mp3</t>
  </si>
  <si>
    <t>https://audio.iskcondesiretree.com/01_-_Srila_Prabhupada/01_-_Lectures/01_-_English/02_-_Month_wise/11_-_November/22/Bg_09-02_NY_1966-11-22_It_Is_Everlasting%2C_and_It_Is_etc.mp3</t>
  </si>
  <si>
    <t>Cc_M_20-097_NY_1966-11-22_I_Shall_Give_You_Protection_etc.mp3</t>
  </si>
  <si>
    <t>https://audio.iskcondesiretree.com/01_-_Srila_Prabhupada/01_-_Lectures/01_-_English/02_-_Month_wise/11_-_November/22/Cc_M_20-097_NY_1966-11-22_I_Shall_Give_You_Protection_etc.mp3</t>
  </si>
  <si>
    <t>Cc_M_20-100_NY_1966-11-22_Sadhu_Inquires_for_the_Sake_etc.mp3</t>
  </si>
  <si>
    <t>https://audio.iskcondesiretree.com/01_-_Srila_Prabhupada/01_-_Lectures/01_-_English/02_-_Month_wise/11_-_November/22/Cc_M_20-100_NY_1966-11-22_Sadhu_Inquires_for_the_Sake_etc.mp3</t>
  </si>
  <si>
    <t>SP_BG_09-02-05_New_York_1966-11-23_Everything_Is_Resting_On_Krishna-Shine.mp3</t>
  </si>
  <si>
    <t>https://audio.iskcondesiretree.com/01_-_Srila_Prabhupada/01_-_Lectures/01_-_English/01_-_Topic_wise/Bhagavad_Gita/Chapter-09/SP_BG_09-02-05_New_York_1966-11-23_Everything_Is_Resting_On_Krishna-Shine.mp3</t>
  </si>
  <si>
    <t>SP_CC_M_20-118_New_York_1966-11-23_Material_Infection_Equals--etc.mp3</t>
  </si>
  <si>
    <t>https://audio.iskcondesiretree.com/01_-_Srila_Prabhupada/01_-_Lectures/01_-_English/01_-_Topic_wise/Chaitanya_Charitamrita/Madhya_Lila/SP_CC_M_20-118_New_York_1966-11-23_Material_Infection_Equals--etc.mp3</t>
  </si>
  <si>
    <t>Bg_09-02_NY_1966-11-23_Everything_Is_Resting_On_Krishna-Shine.mp3</t>
  </si>
  <si>
    <t>https://audio.iskcondesiretree.com/01_-_Srila_Prabhupada/01_-_Lectures/01_-_English/02_-_Month_wise/11_-_November/23/Bg_09-02_NY_1966-11-23_Everything_Is_Resting_On_Krishna-Shine.mp3</t>
  </si>
  <si>
    <t>Cc_M_20-118_NY_1966-11-23_Material_Infection_Equals_etc.mp3</t>
  </si>
  <si>
    <t>https://audio.iskcondesiretree.com/01_-_Srila_Prabhupada/01_-_Lectures/01_-_English/02_-_Month_wise/11_-_November/23/Cc_M_20-118_NY_1966-11-23_Material_Infection_Equals_etc.mp3</t>
  </si>
  <si>
    <t>SP_BG_09-04-07_New_York_1966-11-24_Krishna_Is_Everywhere_and--etc.mp3</t>
  </si>
  <si>
    <t>https://audio.iskcondesiretree.com/01_-_Srila_Prabhupada/01_-_Lectures/01_-_English/01_-_Topic_wise/Bhagavad_Gita/Chapter-09/SP_BG_09-04-07_New_York_1966-11-24_Krishna_Is_Everywhere_and--etc.mp3</t>
  </si>
  <si>
    <t>SP_CC_M_20-119_New_York_1966-11-24_Are_We_Krishna%27s_Competitors.mp3</t>
  </si>
  <si>
    <t>https://audio.iskcondesiretree.com/01_-_Srila_Prabhupada/01_-_Lectures/01_-_English/01_-_Topic_wise/Chaitanya_Charitamrita/Madhya_Lila/SP_CC_M_20-119_New_York_1966-11-24_Are_We_Krishna%27s_Competitors.mp3</t>
  </si>
  <si>
    <t>Bg_09-04_NY_1966-11-24_Krishna_Is_Everywhere_and_etc.mp3</t>
  </si>
  <si>
    <t>https://audio.iskcondesiretree.com/01_-_Srila_Prabhupada/01_-_Lectures/01_-_English/02_-_Month_wise/11_-_November/24/Bg_09-04_NY_1966-11-24_Krishna_Is_Everywhere_and_etc.mp3</t>
  </si>
  <si>
    <t>Cc_M_20-119_NY_1966-11-24_Are_We_Krishna%27s_Competitors.mp3</t>
  </si>
  <si>
    <t>https://audio.iskcondesiretree.com/01_-_Srila_Prabhupada/01_-_Lectures/01_-_English/02_-_Month_wise/11_-_November/24/Cc_M_20-119_NY_1966-11-24_Are_We_Krishna%27s_Competitors.mp3</t>
  </si>
  <si>
    <t>SP_CC_M_20-121_New_York_1966-11-25_Vedas_Guru_and_Supersoul.mp3</t>
  </si>
  <si>
    <t>https://audio.iskcondesiretree.com/01_-_Srila_Prabhupada/01_-_Lectures/01_-_English/01_-_Topic_wise/Chaitanya_Charitamrita/Madhya_Lila/SP_CC_M_20-121_New_York_1966-11-25_Vedas_Guru_and_Supersoul.mp3</t>
  </si>
  <si>
    <t>Cc_M_20-121_NY_1966-11-25_Vedas%2C_Guru_and_Supersoul.mp3</t>
  </si>
  <si>
    <t>https://audio.iskcondesiretree.com/01_-_Srila_Prabhupada/01_-_Lectures/01_-_English/02_-_Month_wise/11_-_November/25/Cc_M_20-121_NY_1966-11-25_Vedas%2C_Guru_and_Supersoul.mp3</t>
  </si>
  <si>
    <t>SP_CC_M_20-124_New_York_1966-11-26_Back_to_Godhead--Life%27s_Ultimate_Goal.mp3</t>
  </si>
  <si>
    <t>https://audio.iskcondesiretree.com/01_-_Srila_Prabhupada/01_-_Lectures/01_-_English/01_-_Topic_wise/Chaitanya_Charitamrita/Madhya_Lila/SP_CC_M_20-124_New_York_1966-11-26_Back_to_Godhead--Life%27s_Ultimate_Goal.mp3</t>
  </si>
  <si>
    <t>Cc_M_20-124_NY_1966-11-26_Back_to_Godhead-Life%27s_Ultimate_Goal.mp3</t>
  </si>
  <si>
    <t>https://audio.iskcondesiretree.com/01_-_Srila_Prabhupada/01_-_Lectures/01_-_English/02_-_Month_wise/11_-_November/26/Cc_M_20-124_NY_1966-11-26_Back_to_Godhead-Life%27s_Ultimate_Goal.mp3</t>
  </si>
  <si>
    <t>SP_BG_09-11-14_New_York_1966-11-27_Find_Real_Pleasure_Serving_Krishna.mp3</t>
  </si>
  <si>
    <t>https://audio.iskcondesiretree.com/01_-_Srila_Prabhupada/01_-_Lectures/01_-_English/01_-_Topic_wise/Bhagavad_Gita/Chapter-09/SP_BG_09-11-14_New_York_1966-11-27_Find_Real_Pleasure_Serving_Krishna.mp3</t>
  </si>
  <si>
    <t>SP_CC_M_20-131_New_York_1966-11-27_The_Vedas_Are_Your_Astrologer.mp3</t>
  </si>
  <si>
    <t>https://audio.iskcondesiretree.com/01_-_Srila_Prabhupada/01_-_Lectures/01_-_English/01_-_Topic_wise/Chaitanya_Charitamrita/Madhya_Lila/SP_CC_M_20-131_New_York_1966-11-27_The_Vedas_Are_Your_Astrologer.mp3</t>
  </si>
  <si>
    <t>Bg_09-11_NY_1966-11-27_Find_Real_Pleasure_Serving_Krishna.mp3</t>
  </si>
  <si>
    <t>https://audio.iskcondesiretree.com/01_-_Srila_Prabhupada/01_-_Lectures/01_-_English/02_-_Month_wise/11_-_November/27/Bg_09-11_NY_1966-11-27_Find_Real_Pleasure_Serving_Krishna.mp3</t>
  </si>
  <si>
    <t>Cc_M_20-131_NY_1966-11-27_The_Vedas_Are_Your_Astrologer.mp3</t>
  </si>
  <si>
    <t>https://audio.iskcondesiretree.com/01_-_Srila_Prabhupada/01_-_Lectures/01_-_English/02_-_Month_wise/11_-_November/27/Cc_M_20-131_NY_1966-11-27_The_Vedas_Are_Your_Astrologer.mp3</t>
  </si>
  <si>
    <t>SP_CC_M_20-137_New_York_1966-11-28_I_Am_Attained_By--etc.mp3</t>
  </si>
  <si>
    <t>https://audio.iskcondesiretree.com/01_-_Srila_Prabhupada/01_-_Lectures/01_-_English/01_-_Topic_wise/Chaitanya_Charitamrita/Madhya_Lila/SP_CC_M_20-137_New_York_1966-11-28_I_Am_Attained_By--etc.mp3</t>
  </si>
  <si>
    <t>Cc_M_20-137_NY_1966-11-28_I_Am_Attained_By_etc.mp3</t>
  </si>
  <si>
    <t>https://audio.iskcondesiretree.com/01_-_Srila_Prabhupada/01_-_Lectures/01_-_English/02_-_Month_wise/11_-_November/28/Cc_M_20-137_NY_1966-11-28_I_Am_Attained_By_etc.mp3</t>
  </si>
  <si>
    <t>SP_CC_M_20-137_New_York_1966-11-29_This_System_Is_Called_Abhideya.mp3</t>
  </si>
  <si>
    <t>https://audio.iskcondesiretree.com/01_-_Srila_Prabhupada/01_-_Lectures/01_-_English/01_-_Topic_wise/Chaitanya_Charitamrita/Madhya_Lila/SP_CC_M_20-137_New_York_1966-11-29_This_System_Is_Called_Abhideya.mp3</t>
  </si>
  <si>
    <t>Cc_M_20-137_NY_1966-11-29_This_System_Is_Called_Abhideya.mp3</t>
  </si>
  <si>
    <t>https://audio.iskcondesiretree.com/01_-_Srila_Prabhupada/01_-_Lectures/01_-_English/02_-_Month_wise/11_-_November/29/Cc_M_20-137_NY_1966-11-29_This_System_Is_Called_Abhideya.mp3</t>
  </si>
  <si>
    <t>SP_CC_M_20-142_New_York_1966-11-30_Liberated-When_One_Tastes--etc.mp3</t>
  </si>
  <si>
    <t>https://audio.iskcondesiretree.com/01_-_Srila_Prabhupada/01_-_Lectures/01_-_English/01_-_Topic_wise/Chaitanya_Charitamrita/Madhya_Lila/SP_CC_M_20-142_New_York_1966-11-30_Liberated-When_One_Tastes--etc.mp3</t>
  </si>
  <si>
    <t>Cc_M_20-142_NY_1966-11-30_Liberated-When_One_Tastes_etc.mp3</t>
  </si>
  <si>
    <t>https://audio.iskcondesiretree.com/01_-_Srila_Prabhupada/01_-_Lectures/01_-_English/02_-_Month_wise/11_-_November/30/Cc_M_20-142_NY_1966-11-30_Liberated-When_One_Tastes_etc.mp3</t>
  </si>
  <si>
    <t>SP_BG_09-15_New_York_1966-12-01_Sravanam_Kirtanam_Vishnu.mp3</t>
  </si>
  <si>
    <t>https://audio.iskcondesiretree.com/01_-_Srila_Prabhupada/01_-_Lectures/01_-_English/01_-_Topic_wise/Bhagavad_Gita/Chapter-09/SP_BG_09-15_New_York_1966-12-01_Sravanam_Kirtanam_Vishnu.mp3</t>
  </si>
  <si>
    <t>SP_CC_M_20-144_New_York_1966-12-01_Central_Point_of_Attraction_is_Krsna.mp3</t>
  </si>
  <si>
    <t>https://audio.iskcondesiretree.com/01_-_Srila_Prabhupada/01_-_Lectures/01_-_English/01_-_Topic_wise/Chaitanya_Charitamrita/Madhya_Lila/SP_CC_M_20-144_New_York_1966-12-01_Central_Point_of_Attraction_is_Krsna.mp3</t>
  </si>
  <si>
    <t>Bg_09-15_NY_1966-12-01_Sravanam_Kirtanam_Vishnu.mp3</t>
  </si>
  <si>
    <t>https://audio.iskcondesiretree.com/01_-_Srila_Prabhupada/01_-_Lectures/01_-_English/02_-_Month_wise/12_-_December/01/Bg_09-15_NY_1966-12-01_Sravanam_Kirtanam_Vishnu.mp3</t>
  </si>
  <si>
    <t>Cc_M_20-144_NY_1966-12-01_Central_Point_of_Attraction_is_Krsna.mp3</t>
  </si>
  <si>
    <t>https://audio.iskcondesiretree.com/01_-_Srila_Prabhupada/01_-_Lectures/01_-_English/02_-_Month_wise/12_-_December/01/Cc_M_20-144_NY_1966-12-01_Central_Point_of_Attraction_is_Krsna.mp3</t>
  </si>
  <si>
    <t>SP_BG_09-15-18_New_York_1966-12-02_Everything_Comes_from_God_Including_Maya.mp3</t>
  </si>
  <si>
    <t>https://audio.iskcondesiretree.com/01_-_Srila_Prabhupada/01_-_Lectures/01_-_English/01_-_Topic_wise/Bhagavad_Gita/Chapter-09/SP_BG_09-15-18_New_York_1966-12-02_Everything_Comes_from_God_Including_Maya.mp3</t>
  </si>
  <si>
    <t>Bg_09-15_NY_1966-12-02_Everything_Comes_from_God_Including_Maya.mp3</t>
  </si>
  <si>
    <t>https://audio.iskcondesiretree.com/01_-_Srila_Prabhupada/01_-_Lectures/01_-_English/02_-_Month_wise/12_-_December/02/Bg_09-15_NY_1966-12-02_Everything_Comes_from_God_Including_Maya.mp3</t>
  </si>
  <si>
    <t>SP_CC_M_20-146_New_York_1966-12-03_Vedic_Knowledge_Points_to_Lord_Krsna.mp3</t>
  </si>
  <si>
    <t>https://audio.iskcondesiretree.com/01_-_Srila_Prabhupada/01_-_Lectures/01_-_English/01_-_Topic_wise/Chaitanya_Charitamrita/Madhya_Lila/SP_CC_M_20-146_New_York_1966-12-03_Vedic_Knowledge_Points_to_Lord_Krsna.mp3</t>
  </si>
  <si>
    <t>Cc_M_20-146_NY_1966-12-03_Vedic_Knowledge_Points_to_Lord_Krsna.mp3</t>
  </si>
  <si>
    <t>https://audio.iskcondesiretree.com/01_-_Srila_Prabhupada/01_-_Lectures/01_-_English/02_-_Month_wise/12_-_December/03/Cc_M_20-146_NY_1966-12-03_Vedic_Knowledge_Points_to_Lord_Krsna.mp3</t>
  </si>
  <si>
    <t>SP_BG_09-18-19_New_York_1966-12-04_One_Should_Directly_Approach_Krishna.mp3</t>
  </si>
  <si>
    <t>https://audio.iskcondesiretree.com/01_-_Srila_Prabhupada/01_-_Lectures/01_-_English/01_-_Topic_wise/Bhagavad_Gita/Chapter-09/SP_BG_09-18-19_New_York_1966-12-04_One_Should_Directly_Approach_Krishna.mp3</t>
  </si>
  <si>
    <t>Bg_09-18_NY_1966-12-04_One_Should_Directly_Approach_Krishna.mp3</t>
  </si>
  <si>
    <t>https://audio.iskcondesiretree.com/01_-_Srila_Prabhupada/01_-_Lectures/01_-_English/02_-_Month_wise/12_-_December/04/Bg_09-18_NY_1966-12-04_One_Should_Directly_Approach_Krishna.mp3</t>
  </si>
  <si>
    <t>SP_CC_M_20-152_New_York_1966-12-05_Krishna-Source_of_Everything.mp3</t>
  </si>
  <si>
    <t>https://audio.iskcondesiretree.com/01_-_Srila_Prabhupada/01_-_Lectures/01_-_English/01_-_Topic_wise/Chaitanya_Charitamrita/Madhya_Lila/SP_CC_M_20-152_New_York_1966-12-05_Krishna-Source_of_Everything.mp3</t>
  </si>
  <si>
    <t>Cc_M_20-152_NY_1966-12-05_Krishna-Source_of_Everything.mp3</t>
  </si>
  <si>
    <t>https://audio.iskcondesiretree.com/01_-_Srila_Prabhupada/01_-_Lectures/01_-_English/02_-_Month_wise/12_-_December/05/Cc_M_20-152_NY_1966-12-05_Krishna-Source_of_Everything.mp3</t>
  </si>
  <si>
    <t>SP_BG_09-20-21_New_York_1966-12-06_Heavenly_Planets--Temporary_Happiness.mp3</t>
  </si>
  <si>
    <t>https://audio.iskcondesiretree.com/01_-_Srila_Prabhupada/01_-_Lectures/01_-_English/01_-_Topic_wise/Bhagavad_Gita/Chapter-09/SP_BG_09-20-21_New_York_1966-12-06_Heavenly_Planets--Temporary_Happiness.mp3</t>
  </si>
  <si>
    <t>Bg_09-20_NY_1966-12-06_Heavenly_Planets-Temporary_Happiness.mp3</t>
  </si>
  <si>
    <t>https://audio.iskcondesiretree.com/01_-_Srila_Prabhupada/01_-_Lectures/01_-_English/02_-_Month_wise/12_-_December/06/Bg_09-20_NY_1966-12-06_Heavenly_Planets-Temporary_Happiness.mp3</t>
  </si>
  <si>
    <t>SP_CC_M_20-154_New_York_1966-12-07_Can_There_Be_Peace_Without--etc.mp3</t>
  </si>
  <si>
    <t>https://audio.iskcondesiretree.com/01_-_Srila_Prabhupada/01_-_Lectures/01_-_English/01_-_Topic_wise/Chaitanya_Charitamrita/Madhya_Lila/SP_CC_M_20-154_New_York_1966-12-07_Can_There_Be_Peace_Without--etc.mp3</t>
  </si>
  <si>
    <t>Cc_M_20-154_NY_1966-12-07_Can_There_Be_Peace_Without_etc.mp3</t>
  </si>
  <si>
    <t>https://audio.iskcondesiretree.com/01_-_Srila_Prabhupada/01_-_Lectures/01_-_English/02_-_Month_wise/12_-_December/07/Cc_M_20-154_NY_1966-12-07_Can_There_Be_Peace_Without_etc.mp3</t>
  </si>
  <si>
    <t>SP_BG_09-22-23_New_York_1966-12-08_God_Is_Open_for_Everyone.mp3</t>
  </si>
  <si>
    <t>https://audio.iskcondesiretree.com/01_-_Srila_Prabhupada/01_-_Lectures/01_-_English/01_-_Topic_wise/Bhagavad_Gita/Chapter-09/SP_BG_09-22-23_New_York_1966-12-08_God_Is_Open_for_Everyone.mp3</t>
  </si>
  <si>
    <t>Bg_09-22_NY_1966-12-08_God_Is_Open_for_Everyone.mp3</t>
  </si>
  <si>
    <t>https://audio.iskcondesiretree.com/01_-_Srila_Prabhupada/01_-_Lectures/01_-_English/02_-_Month_wise/12_-_December/08/Bg_09-22_NY_1966-12-08_God_Is_Open_for_Everyone.mp3</t>
  </si>
  <si>
    <t>SP_BG_09-23_New_York_1966-12-10_I_Am_the_Only_Enjoyer_and_the--etc.mp3</t>
  </si>
  <si>
    <t>https://audio.iskcondesiretree.com/01_-_Srila_Prabhupada/01_-_Lectures/01_-_English/01_-_Topic_wise/Bhagavad_Gita/Chapter-09/SP_BG_09-23_New_York_1966-12-10_I_Am_the_Only_Enjoyer_and_the--etc.mp3</t>
  </si>
  <si>
    <t>Bg_09-23_NY_1966-12-10_I_Am_the_Only_Enjoyer_and_the_etc.mp3</t>
  </si>
  <si>
    <t>https://audio.iskcondesiretree.com/01_-_Srila_Prabhupada/01_-_Lectures/01_-_English/02_-_Month_wise/12_-_December/10/Bg_09-23_NY_1966-12-10_I_Am_the_Only_Enjoyer_and_the_etc.mp3</t>
  </si>
  <si>
    <t>SP_CC_M_20-156_New_York_1966-12-11_Intimate_Association_with--etc.mp3</t>
  </si>
  <si>
    <t>https://audio.iskcondesiretree.com/01_-_Srila_Prabhupada/01_-_Lectures/01_-_English/01_-_Topic_wise/Chaitanya_Charitamrita/Madhya_Lila/SP_CC_M_20-156_New_York_1966-12-11_Intimate_Association_with--etc.mp3</t>
  </si>
  <si>
    <t>Cc_M_20-156_NY_1966-12-11_Intimate_Association_with_etc.mp3</t>
  </si>
  <si>
    <t>https://audio.iskcondesiretree.com/01_-_Srila_Prabhupada/01_-_Lectures/01_-_English/02_-_Month_wise/12_-_December/11/Cc_M_20-156_NY_1966-12-11_Intimate_Association_with_etc.mp3</t>
  </si>
  <si>
    <t>SP_BG_09-24-26_New_York_1966-12-12_Those_Who_Do_Not_Recognize_My--etc.mp3</t>
  </si>
  <si>
    <t>https://audio.iskcondesiretree.com/01_-_Srila_Prabhupada/01_-_Lectures/01_-_English/01_-_Topic_wise/Bhagavad_Gita/Chapter-09/SP_BG_09-24-26_New_York_1966-12-12_Those_Who_Do_Not_Recognize_My--etc.mp3</t>
  </si>
  <si>
    <t>Bg_09-24_NY_1966-12-12_Those_Who_Do_Not_Recognize_My_etc.mp3</t>
  </si>
  <si>
    <t>https://audio.iskcondesiretree.com/01_-_Srila_Prabhupada/01_-_Lectures/01_-_English/02_-_Month_wise/12_-_December/12/Bg_09-24_NY_1966-12-12_Those_Who_Do_Not_Recognize_My_etc.mp3</t>
  </si>
  <si>
    <t>SP_CC_M_20-164_New_York_1966-12-13_Only_by_Devotion_Can_One--etc.mp3</t>
  </si>
  <si>
    <t>https://audio.iskcondesiretree.com/01_-_Srila_Prabhupada/01_-_Lectures/01_-_English/01_-_Topic_wise/Chaitanya_Charitamrita/Madhya_Lila/SP_CC_M_20-164_New_York_1966-12-13_Only_by_Devotion_Can_One--etc.mp3</t>
  </si>
  <si>
    <t>Cc_M_20-164_NY_1966-12-13_Only_by_Devotion_Can_One_etc.mp3</t>
  </si>
  <si>
    <t>https://audio.iskcondesiretree.com/01_-_Srila_Prabhupada/01_-_Lectures/01_-_English/02_-_Month_wise/12_-_December/13/Cc_M_20-164_NY_1966-12-13_Only_by_Devotion_Can_One_etc.mp3</t>
  </si>
  <si>
    <t>SP_CC_M_20-172_New_York_1966-12-14_Krishna%27s_Original--etc.mp3</t>
  </si>
  <si>
    <t>https://audio.iskcondesiretree.com/01_-_Srila_Prabhupada/01_-_Lectures/01_-_English/01_-_Topic_wise/Chaitanya_Charitamrita/Madhya_Lila/SP_CC_M_20-172_New_York_1966-12-14_Krishna%27s_Original--etc.mp3</t>
  </si>
  <si>
    <t>Cc_M_20-172_NY_1966-12-14_Krishna%27s_Original_etc.mp3</t>
  </si>
  <si>
    <t>https://audio.iskcondesiretree.com/01_-_Srila_Prabhupada/01_-_Lectures/01_-_English/02_-_Month_wise/12_-_December/14/Cc_M_20-172_NY_1966-12-14_Krishna%27s_Original_etc.mp3</t>
  </si>
  <si>
    <t>SP_BG_09-26-27_New_York_1966-12-16_Do_Everything_As_An_Offering_to_Krsna.mp3</t>
  </si>
  <si>
    <t>https://audio.iskcondesiretree.com/01_-_Srila_Prabhupada/01_-_Lectures/01_-_English/01_-_Topic_wise/Bhagavad_Gita/Chapter-09/SP_BG_09-26-27_New_York_1966-12-16_Do_Everything_As_An_Offering_to_Krsna.mp3</t>
  </si>
  <si>
    <t>SP_CC_M_20-245_New_York_1966-12-16_Six_Types_of_Avataras.mp3</t>
  </si>
  <si>
    <t>https://audio.iskcondesiretree.com/01_-_Srila_Prabhupada/01_-_Lectures/01_-_English/01_-_Topic_wise/Chaitanya_Charitamrita/Madhya_Lila/SP_CC_M_20-245_New_York_1966-12-16_Six_Types_of_Avataras.mp3</t>
  </si>
  <si>
    <t>Bg_09-26_NY_1966-12-16_Do_Everything_As_An_Offering_to_Krsna.mp3</t>
  </si>
  <si>
    <t>https://audio.iskcondesiretree.com/01_-_Srila_Prabhupada/01_-_Lectures/01_-_English/02_-_Month_wise/12_-_December/16/Bg_09-26_NY_1966-12-16_Do_Everything_As_An_Offering_to_Krsna.mp3</t>
  </si>
  <si>
    <t>Cc_M_20-245_NY_1966-12-16_Six_Types_of_Avataras.mp3</t>
  </si>
  <si>
    <t>https://audio.iskcondesiretree.com/01_-_Srila_Prabhupada/01_-_Lectures/01_-_English/02_-_Month_wise/12_-_December/16/Cc_M_20-245_NY_1966-12-16_Six_Types_of_Avataras.mp3</t>
  </si>
  <si>
    <t>SP_CC_M_20-254_New_York_1966-12-17_Krishna%27s_Spiritual_%26_Material_World.mp3</t>
  </si>
  <si>
    <t>https://audio.iskcondesiretree.com/01_-_Srila_Prabhupada/01_-_Lectures/01_-_English/01_-_Topic_wise/Chaitanya_Charitamrita/Madhya_Lila/SP_CC_M_20-254_New_York_1966-12-17_Krishna%27s_Spiritual_%26_Material_World.mp3</t>
  </si>
  <si>
    <t>Cc_M_20-254_NY_1966-12-17_Krishna%27s_Spiritual_%26_Material_World.mp3</t>
  </si>
  <si>
    <t>https://audio.iskcondesiretree.com/01_-_Srila_Prabhupada/01_-_Lectures/01_-_English/02_-_Month_wise/12_-_December/17/Cc_M_20-254_NY_1966-12-17_Krishna%27s_Spiritual_%26_Material_World.mp3</t>
  </si>
  <si>
    <t>SP_CC_M_20-281_New_York_1966-12-18_Manifestation_of_Universe.mp3</t>
  </si>
  <si>
    <t>https://audio.iskcondesiretree.com/01_-_Srila_Prabhupada/01_-_Lectures/01_-_English/01_-_Topic_wise/Chaitanya_Charitamrita/Madhya_Lila/SP_CC_M_20-281_New_York_1966-12-18_Manifestation_of_Universe.mp3</t>
  </si>
  <si>
    <t>Cc_M_20-281_NY_1966-12-18_Manifestation_of_Universe.mp3</t>
  </si>
  <si>
    <t>https://audio.iskcondesiretree.com/01_-_Srila_Prabhupada/01_-_Lectures/01_-_English/02_-_Month_wise/12_-_December/18/Cc_M_20-281_NY_1966-12-18_Manifestation_of_Universe.mp3</t>
  </si>
  <si>
    <t>SP_BG_09-27-29_New_York_1966-12-19_Karma_Love_and_Devotion.mp3</t>
  </si>
  <si>
    <t>https://audio.iskcondesiretree.com/01_-_Srila_Prabhupada/01_-_Lectures/01_-_English/01_-_Topic_wise/Bhagavad_Gita/Chapter-09/SP_BG_09-27-29_New_York_1966-12-19_Karma_Love_and_Devotion.mp3</t>
  </si>
  <si>
    <t>SP_CC_M_20-294_New_York_1966-12-19_Lilavataras--No_End_to_Them.mp3</t>
  </si>
  <si>
    <t>https://audio.iskcondesiretree.com/01_-_Srila_Prabhupada/01_-_Lectures/01_-_English/01_-_Topic_wise/Chaitanya_Charitamrita/Madhya_Lila/SP_CC_M_20-294_New_York_1966-12-19_Lilavataras--No_End_to_Them.mp3</t>
  </si>
  <si>
    <t>Bg_09-27_NY_1966-12-19_Karma_Love_and_Devotion.mp3</t>
  </si>
  <si>
    <t>https://audio.iskcondesiretree.com/01_-_Srila_Prabhupada/01_-_Lectures/01_-_English/02_-_Month_wise/12_-_December/19/Bg_09-27_NY_1966-12-19_Karma_Love_and_Devotion.mp3</t>
  </si>
  <si>
    <t>Cc_M_20-294_NY_1966-12-19_Lilavataras-No_End_to_Them.mp3</t>
  </si>
  <si>
    <t>https://audio.iskcondesiretree.com/01_-_Srila_Prabhupada/01_-_Lectures/01_-_English/02_-_Month_wise/12_-_December/19/Cc_M_20-294_NY_1966-12-19_Lilavataras-No_End_to_Them.mp3</t>
  </si>
  <si>
    <t>SP_BG_09-29-32_New_York_1966-12-20_Krishna%27s_Devotion_to_His_Devotee.mp3</t>
  </si>
  <si>
    <t>https://audio.iskcondesiretree.com/01_-_Srila_Prabhupada/01_-_Lectures/01_-_English/01_-_Topic_wise/Bhagavad_Gita/Chapter-09/SP_BG_09-29-32_New_York_1966-12-20_Krishna%27s_Devotion_to_His_Devotee.mp3</t>
  </si>
  <si>
    <t>SP_CC_M_20-298_New_York_1966-12-20_Gunavataras--The--etc.mp3</t>
  </si>
  <si>
    <t>https://audio.iskcondesiretree.com/01_-_Srila_Prabhupada/01_-_Lectures/01_-_English/01_-_Topic_wise/Chaitanya_Charitamrita/Madhya_Lila/SP_CC_M_20-298_New_York_1966-12-20_Gunavataras--The--etc.mp3</t>
  </si>
  <si>
    <t>Bg_09-29_NY_1966-12-20_Krishna%27s_Devotion_to_His_Devotee.mp3</t>
  </si>
  <si>
    <t>https://audio.iskcondesiretree.com/01_-_Srila_Prabhupada/01_-_Lectures/01_-_English/02_-_Month_wise/12_-_December/20/Bg_09-29_NY_1966-12-20_Krishna%27s_Devotion_to_His_Devotee.mp3</t>
  </si>
  <si>
    <t>Cc_M_20-298_NY_1966-12-20_Gunavataras-The_etc.mp3</t>
  </si>
  <si>
    <t>https://audio.iskcondesiretree.com/01_-_Srila_Prabhupada/01_-_Lectures/01_-_English/02_-_Month_wise/12_-_December/20/Cc_M_20-298_NY_1966-12-20_Gunavataras-The_etc.mp3</t>
  </si>
  <si>
    <t>SP_CC_M_20-313_New_York_1966-12-21_Krishna_Can_See_Everything.mp3</t>
  </si>
  <si>
    <t>https://audio.iskcondesiretree.com/01_-_Srila_Prabhupada/01_-_Lectures/01_-_English/01_-_Topic_wise/Chaitanya_Charitamrita/Madhya_Lila/SP_CC_M_20-313_New_York_1966-12-21_Krishna_Can_See_Everything.mp3</t>
  </si>
  <si>
    <t>Cc_M_20-313_NY_1966-12-21_Krishna_Can_See_Everything.mp3</t>
  </si>
  <si>
    <t>https://audio.iskcondesiretree.com/01_-_Srila_Prabhupada/01_-_Lectures/01_-_English/02_-_Month_wise/12_-_December/21/Cc_M_20-313_NY_1966-12-21_Krishna_Can_See_Everything.mp3</t>
  </si>
  <si>
    <t>SP_CC_M_20-318_New_York_1966-12-22_Manvantara-Avataras----etc.mp3</t>
  </si>
  <si>
    <t>https://audio.iskcondesiretree.com/01_-_Srila_Prabhupada/01_-_Lectures/01_-_English/01_-_Topic_wise/Chaitanya_Charitamrita/Madhya_Lila/SP_CC_M_20-318_New_York_1966-12-22_Manvantara-Avataras----etc.mp3</t>
  </si>
  <si>
    <t>Cc_M_20-318_NY_1966-12-22_Manvantara-Avataras_etc.mp3</t>
  </si>
  <si>
    <t>https://audio.iskcondesiretree.com/01_-_Srila_Prabhupada/01_-_Lectures/01_-_English/02_-_Month_wise/12_-_December/22/Cc_M_20-318_NY_1966-12-22_Manvantara-Avataras_etc.mp3</t>
  </si>
  <si>
    <t>SP_CC_M_20-330_New_York_1966-12-23_Yugavataras--Incarnations--etc.mp3</t>
  </si>
  <si>
    <t>https://audio.iskcondesiretree.com/01_-_Srila_Prabhupada/01_-_Lectures/01_-_English/01_-_Topic_wise/Chaitanya_Charitamrita/Madhya_Lila/SP_CC_M_20-330_New_York_1966-12-23_Yugavataras--Incarnations--etc.mp3</t>
  </si>
  <si>
    <t>Cc_M_20-330_NY_1966-12-23_Yugavataras-Incarnations_etc.mp3</t>
  </si>
  <si>
    <t>https://audio.iskcondesiretree.com/01_-_Srila_Prabhupada/01_-_Lectures/01_-_English/02_-_Month_wise/12_-_December/23/Cc_M_20-330_NY_1966-12-23_Yugavataras-Incarnations_etc.mp3</t>
  </si>
  <si>
    <t>SP_CC_M_20-334_New_York_1966-12-24_Chant_Holy_Name_Together.mp3</t>
  </si>
  <si>
    <t>https://audio.iskcondesiretree.com/01_-_Srila_Prabhupada/01_-_Lectures/01_-_English/01_-_Topic_wise/Chaitanya_Charitamrita/Madhya_Lila/SP_CC_M_20-334_New_York_1966-12-24_Chant_Holy_Name_Together.mp3</t>
  </si>
  <si>
    <t>Cc_M_20-334_NY_1966-12-24_Chant_Holy_Name_Together.mp3</t>
  </si>
  <si>
    <t>https://audio.iskcondesiretree.com/01_-_Srila_Prabhupada/01_-_Lectures/01_-_English/02_-_Month_wise/12_-_December/24/Cc_M_20-334_NY_1966-12-24_Chant_Holy_Name_Together.mp3</t>
  </si>
  <si>
    <t>SP_CC_M_20-337_New_York_1966-12-25_One_Good_Quality_in_Kali-Yuga.mp3</t>
  </si>
  <si>
    <t>https://audio.iskcondesiretree.com/01_-_Srila_Prabhupada/01_-_Lectures/01_-_English/01_-_Topic_wise/Chaitanya_Charitamrita/Madhya_Lila/SP_CC_M_20-337_New_York_1966-12-25_One_Good_Quality_in_Kali-Yuga.mp3</t>
  </si>
  <si>
    <t>Cc_M_20-337_NY_1966-12-25_One_Good_Quality_in_Kali-Yuga.mp3</t>
  </si>
  <si>
    <t>https://audio.iskcondesiretree.com/01_-_Srila_Prabhupada/01_-_Lectures/01_-_English/02_-_Month_wise/12_-_December/25/Cc_M_20-337_NY_1966-12-25_One_Good_Quality_in_Kali-Yuga.mp3</t>
  </si>
  <si>
    <t>SP_BG_09-34_New_York_1966-12-26_Being_Completely_Absorbed_in--etc.mp3</t>
  </si>
  <si>
    <t>https://audio.iskcondesiretree.com/01_-_Srila_Prabhupada/01_-_Lectures/01_-_English/01_-_Topic_wise/Bhagavad_Gita/Chapter-09/SP_BG_09-34_New_York_1966-12-26_Being_Completely_Absorbed_in--etc.mp3</t>
  </si>
  <si>
    <t>SP_CC_M_20-353_New_York_1966-12-26_Scriptural_Test_for_Avataras.mp3</t>
  </si>
  <si>
    <t>https://audio.iskcondesiretree.com/01_-_Srila_Prabhupada/01_-_Lectures/01_-_English/01_-_Topic_wise/Chaitanya_Charitamrita/Madhya_Lila/SP_CC_M_20-353_New_York_1966-12-26_Scriptural_Test_for_Avataras.mp3</t>
  </si>
  <si>
    <t>Bg_09-34_NY_1966-12-26_Being_Completely_Absorbed_in_etc.mp3</t>
  </si>
  <si>
    <t>https://audio.iskcondesiretree.com/01_-_Srila_Prabhupada/01_-_Lectures/01_-_English/02_-_Month_wise/12_-_December/26/Bg_09-34_NY_1966-12-26_Being_Completely_Absorbed_in_etc.mp3</t>
  </si>
  <si>
    <t>Cc_M_20-353_NY_1966-12-26_Scriptural_Test_for_Avataras.mp3</t>
  </si>
  <si>
    <t>https://audio.iskcondesiretree.com/01_-_Srila_Prabhupada/01_-_Lectures/01_-_English/02_-_Month_wise/12_-_December/26/Cc_M_20-353_NY_1966-12-26_Scriptural_Test_for_Avataras.mp3</t>
  </si>
  <si>
    <t>SP_CC_M_20-354_New_York_1966-12-28_Symptoms_of_Saintly_Persons.mp3</t>
  </si>
  <si>
    <t>https://audio.iskcondesiretree.com/01_-_Srila_Prabhupada/01_-_Lectures/01_-_English/01_-_Topic_wise/Chaitanya_Charitamrita/Madhya_Lila/SP_CC_M_20-354_New_York_1966-12-28_Symptoms_of_Saintly_Persons.mp3</t>
  </si>
  <si>
    <t>Cc_M_20-354_NY_1966-12-28_Symptoms_of_Saintly_Persons.mp3</t>
  </si>
  <si>
    <t>https://audio.iskcondesiretree.com/01_-_Srila_Prabhupada/01_-_Lectures/01_-_English/02_-_Month_wise/12_-_December/28/Cc_M_20-354_NY_1966-12-28_Symptoms_of_Saintly_Persons.mp3</t>
  </si>
  <si>
    <t>SP_CC_M_20-360_New_York_1966-12-30_What_Is_the_Use_of_Becoming--etc.mp3</t>
  </si>
  <si>
    <t>https://audio.iskcondesiretree.com/01_-_Srila_Prabhupada/01_-_Lectures/01_-_English/01_-_Topic_wise/Chaitanya_Charitamrita/Madhya_Lila/SP_CC_M_20-360_New_York_1966-12-30_What_Is_the_Use_of_Becoming--etc.mp3</t>
  </si>
  <si>
    <t>Cc_M_20-360_NY_1966-12-30_What_Is_the_Use_of_Becoming_etc.mp3</t>
  </si>
  <si>
    <t>https://audio.iskcondesiretree.com/01_-_Srila_Prabhupada/01_-_Lectures/01_-_English/02_-_Month_wise/12_-_December/30/Cc_M_20-360_NY_1966-12-30_What_Is_the_Use_of_Becoming_etc.mp3</t>
  </si>
  <si>
    <t>SP_CC_M_20-367_New_York_1966-12-31_Chief_Saktyavesa_Avatara.mp3</t>
  </si>
  <si>
    <t>https://audio.iskcondesiretree.com/01_-_Srila_Prabhupada/01_-_Lectures/01_-_English/01_-_Topic_wise/Chaitanya_Charitamrita/Madhya_Lila/SP_CC_M_20-367_New_York_1966-12-31_Chief_Saktyavesa_Avatara.mp3</t>
  </si>
  <si>
    <t>Cc_M_20-367_NY_1966-12-31_Chief_Saktyavesa_Avatara.mp3</t>
  </si>
  <si>
    <t>https://audio.iskcondesiretree.com/01_-_Srila_Prabhupada/01_-_Lectures/01_-_English/02_-_Month_wise/12_-_December/31/Cc_M_20-367_NY_1966-12-31_Chief_Saktyavesa_Avatara.mp3</t>
  </si>
  <si>
    <t>Chapter-10</t>
  </si>
  <si>
    <t>SP_BG_10-02-03_New_York_1967-01-01_The_Process_for_Understanding_God.mp3</t>
  </si>
  <si>
    <t>https://audio.iskcondesiretree.com/01_-_Srila_Prabhupada/01_-_Lectures/01_-_English/01_-_Topic_wise/Bhagavad_Gita/Chapter-10/SP_BG_10-02-03_New_York_1967-01-01_The_Process_for_Understanding_God.mp3</t>
  </si>
  <si>
    <t>BG_10-02_NY_1967-01-01_The_Process_for_Understanding_God.mp3</t>
  </si>
  <si>
    <t>https://audio.iskcondesiretree.com/01_-_Srila_Prabhupada/01_-_Lectures/01_-_English/02_-_Month_wise/01_-_January/01/BG_10-02_NY_1967-01-01_The_Process_for_Understanding_God.mp3</t>
  </si>
  <si>
    <t>SP_CC_M_21-001_New_York_1967-01-03_They_Are_Very_Much_Serious--etc.mp3</t>
  </si>
  <si>
    <t>https://audio.iskcondesiretree.com/01_-_Srila_Prabhupada/01_-_Lectures/01_-_English/01_-_Topic_wise/Chaitanya_Charitamrita/Madhya_Lila/SP_CC_M_21-001_New_York_1967-01-03_They_Are_Very_Much_Serious--etc.mp3</t>
  </si>
  <si>
    <t>Cc_M_21-001_NY_1967-01-03_They_Are_Very_Much_Serious_etc.mp3</t>
  </si>
  <si>
    <t>https://audio.iskcondesiretree.com/01_-_Srila_Prabhupada/01_-_Lectures/01_-_English/02_-_Month_wise/01_-_January/03/Cc_M_21-001_NY_1967-01-03_They_Are_Very_Much_Serious_etc.mp3</t>
  </si>
  <si>
    <t>SP_BG_10-04-05_New_York_1967-01-04_Knowledge--Understanding--etc.mp3</t>
  </si>
  <si>
    <t>https://audio.iskcondesiretree.com/01_-_Srila_Prabhupada/01_-_Lectures/01_-_English/01_-_Topic_wise/Bhagavad_Gita/Chapter-10/SP_BG_10-04-05_New_York_1967-01-04_Knowledge--Understanding--etc.mp3</t>
  </si>
  <si>
    <t>SP_CC_M_21-013_New_York_1967-01-04_Brahma_and_Indra_Were_Astonished.mp3</t>
  </si>
  <si>
    <t>https://audio.iskcondesiretree.com/01_-_Srila_Prabhupada/01_-_Lectures/01_-_English/01_-_Topic_wise/Chaitanya_Charitamrita/Madhya_Lila/SP_CC_M_21-013_New_York_1967-01-04_Brahma_and_Indra_Were_Astonished.mp3</t>
  </si>
  <si>
    <t>Bg_10-04_NY_1967-01-04_Knowledge--Understanding_etc.mp3</t>
  </si>
  <si>
    <t>https://audio.iskcondesiretree.com/01_-_Srila_Prabhupada/01_-_Lectures/01_-_English/02_-_Month_wise/01_-_January/04/Bg_10-04_NY_1967-01-04_Knowledge--Understanding_etc.mp3</t>
  </si>
  <si>
    <t>Cc_M_21-013_NY_1967-01-04_Brahma_and_Indra_Were_Astonished.mp3</t>
  </si>
  <si>
    <t>https://audio.iskcondesiretree.com/01_-_Srila_Prabhupada/01_-_Lectures/01_-_English/02_-_Month_wise/01_-_January/04/Cc_M_21-013_NY_1967-01-04_Brahma_and_Indra_Were_Astonished.mp3</t>
  </si>
  <si>
    <t>SP_CC_M_22-011_New_York_1967-01-09_They_Think%2C_%E2%80%98We_Are_All_Right%E2%80%99.mp3</t>
  </si>
  <si>
    <t>https://audio.iskcondesiretree.com/01_-_Srila_Prabhupada/01_-_Lectures/01_-_English/01_-_Topic_wise/Chaitanya_Charitamrita/Madhya_Lila/SP_CC_M_22-011_New_York_1967-01-09_They_Think%2C_%E2%80%98We_Are_All_Right%E2%80%99.mp3</t>
  </si>
  <si>
    <t>Cc_M_22-011_NY_1967-01-09_They_Think_We_Are_All_Right.mp3</t>
  </si>
  <si>
    <t>https://audio.iskcondesiretree.com/01_-_Srila_Prabhupada/01_-_Lectures/01_-_English/02_-_Month_wise/01_-_January/09/Cc_M_22-011_NY_1967-01-09_They_Think_We_Are_All_Right.mp3</t>
  </si>
  <si>
    <t>SP_CC_M_22-014_New_York_1967-01-10_Nitya-baddhas_Nitya-muktas.mp3</t>
  </si>
  <si>
    <t>https://audio.iskcondesiretree.com/01_-_Srila_Prabhupada/01_-_Lectures/01_-_English/01_-_Topic_wise/Chaitanya_Charitamrita/Madhya_Lila/SP_CC_M_22-014_New_York_1967-01-10_Nitya-baddhas_Nitya-muktas.mp3</t>
  </si>
  <si>
    <t>Cc_M_22-014_NY_1967-01-10_Nitya-baddhas_Nitya-muktas.mp3</t>
  </si>
  <si>
    <t>https://audio.iskcondesiretree.com/01_-_Srila_Prabhupada/01_-_Lectures/01_-_English/02_-_Month_wise/01_-_January/10/Cc_M_22-014_NY_1967-01-10_Nitya-baddhas_Nitya-muktas.mp3</t>
  </si>
  <si>
    <t>SP_CC_M_22-021_New_York_1967-01-11_Devotional_Service_Will--etc.mp3</t>
  </si>
  <si>
    <t>https://audio.iskcondesiretree.com/01_-_Srila_Prabhupada/01_-_Lectures/01_-_English/01_-_Topic_wise/Chaitanya_Charitamrita/Madhya_Lila/SP_CC_M_22-021_New_York_1967-01-11_Devotional_Service_Will--etc.mp3</t>
  </si>
  <si>
    <t>Cc_M_22-021_NY_1967-01-11_Devotional_Service_Will_etc.mp3</t>
  </si>
  <si>
    <t>https://audio.iskcondesiretree.com/01_-_Srila_Prabhupada/01_-_Lectures/01_-_English/02_-_Month_wise/01_-_January/11/Cc_M_22-021_NY_1967-01-11_Devotional_Service_Will_etc.mp3</t>
  </si>
  <si>
    <t>SP_CC_M_22-031_New_York_1967-01-16_Krishna_Is_Sunshine_Maya_Is_Darkness.mp3</t>
  </si>
  <si>
    <t>https://audio.iskcondesiretree.com/01_-_Srila_Prabhupada/01_-_Lectures/01_-_English/01_-_Topic_wise/Chaitanya_Charitamrita/Madhya_Lila/SP_CC_M_22-031_New_York_1967-01-16_Krishna_Is_Sunshine_Maya_Is_Darkness.mp3</t>
  </si>
  <si>
    <t>Cc_M_22-031_NY_1967-01-16_Krishna_Is_Sunshine_Maya_Is_Darkness.mp3</t>
  </si>
  <si>
    <t>https://audio.iskcondesiretree.com/01_-_Srila_Prabhupada/01_-_Lectures/01_-_English/02_-_Month_wise/01_-_January/16/Cc_M_22-031_NY_1967-01-16_Krishna_Is_Sunshine_Maya_Is_Darkness.mp3</t>
  </si>
  <si>
    <t>Canto-07</t>
  </si>
  <si>
    <t>SP_SB_7-07-29_San_Francisco_1967-03-15_Here_Is_A_Personality_to--etc.mp3</t>
  </si>
  <si>
    <t>https://audio.iskcondesiretree.com/01_-_Srila_Prabhupada/01_-_Lectures/01_-_English/01_-_Topic_wise/Srimad_Bhagavatam/Canto-07/SP_SB_7-07-29_San_Francisco_1967-03-15_Here_Is_A_Personality_to--etc.mp3</t>
  </si>
  <si>
    <t>SB_7-07-29_SF_1967-03-15_Here_Is_A_Personality_to_etc.mp3</t>
  </si>
  <si>
    <t>https://audio.iskcondesiretree.com/01_-_Srila_Prabhupada/01_-_Lectures/01_-_English/02_-_Month_wise/03_-_March/15/SB_7-07-29_SF_1967-03-15_Here_Is_A_Personality_to_etc.mp3</t>
  </si>
  <si>
    <t>SP_CC_A_Intro_San_Francisco_1967-03-18_Introduction.mp3</t>
  </si>
  <si>
    <t>https://audio.iskcondesiretree.com/01_-_Srila_Prabhupada/01_-_Lectures/01_-_English/01_-_Topic_wise/Chaitanya_Charitamrita/More/SP_CC_A_Intro_San_Francisco_1967-03-18_Introduction.mp3</t>
  </si>
  <si>
    <t>Cc_A_Intro_SF_1967-03-18_Introduction.mp3</t>
  </si>
  <si>
    <t>https://audio.iskcondesiretree.com/01_-_Srila_Prabhupada/01_-_Lectures/01_-_English/02_-_Month_wise/03_-_March/18/Cc_A_Intro_SF_1967-03-18_Introduction.mp3</t>
  </si>
  <si>
    <t>Room_Conversation</t>
  </si>
  <si>
    <t>SP_Room_Conversation_Sanand_Francisco_1967-04-05_Part_1_Outline_of_Lord_Caitanya_Play.mp3</t>
  </si>
  <si>
    <t>https://audio.iskcondesiretree.com/01_-_Srila_Prabhupada/01_-_Lectures/01_-_English/01_-_Topic_wise/Room_Conversation/SP_Room_Conversation_Sanand_Francisco_1967-04-05_Part_1_Outline_of_Lord_Caitanya_Play.mp3</t>
  </si>
  <si>
    <t>SP_Room_Conversation_Sanand_Francisco_1967-04-05_Part_2_Outline_of_Lord_Caitanya_Play.mp3</t>
  </si>
  <si>
    <t>https://audio.iskcondesiretree.com/01_-_Srila_Prabhupada/01_-_Lectures/01_-_English/01_-_Topic_wise/Room_Conversation/SP_Room_Conversation_Sanand_Francisco_1967-04-05_Part_2_Outline_of_Lord_Caitanya_Play.mp3</t>
  </si>
  <si>
    <t>RC_SF_1967-04-05_Part_1_Outline_of_Lord_Caitanya_Play.mp3</t>
  </si>
  <si>
    <t>https://audio.iskcondesiretree.com/01_-_Srila_Prabhupada/01_-_Lectures/01_-_English/02_-_Month_wise/04_-_April/05/RC_SF_1967-04-05_Part_1_Outline_of_Lord_Caitanya_Play.mp3</t>
  </si>
  <si>
    <t>RC_SF_1967-04-05_Part_2_Outline_of_Lord_Caitanya_Play.mp3</t>
  </si>
  <si>
    <t>https://audio.iskcondesiretree.com/01_-_Srila_Prabhupada/01_-_Lectures/01_-_English/02_-_Month_wise/04_-_April/05/RC_SF_1967-04-05_Part_2_Outline_of_Lord_Caitanya_Play.mp3</t>
  </si>
  <si>
    <t>SP_Lecture_Los_Angeles_1968-02-02_Relish_of_Renunciation_Sweetness--etc.mp3</t>
  </si>
  <si>
    <t>https://audio.iskcondesiretree.com/01_-_Srila_Prabhupada/01_-_Lectures/01_-_English/01_-_Topic_wise/Various/SP_Lecture_Los_Angeles_1968-02-02_Relish_of_Renunciation_Sweetness--etc.mp3</t>
  </si>
  <si>
    <t>Lect_LA_1968-02-02_Relish_of_Renunciation_Sweetness_etc.mp3</t>
  </si>
  <si>
    <t>https://audio.iskcondesiretree.com/01_-_Srila_Prabhupada/01_-_Lectures/01_-_English/02_-_Month_wise/02_-_Feburary/02/Lect_LA_1968-02-02_Relish_of_Renunciation_Sweetness_etc.mp3</t>
  </si>
  <si>
    <t>SP_Interview_San_Francisco_1968-03-09_Radio--KPFK_LA--Transfer_Your--etc.mp3</t>
  </si>
  <si>
    <t>https://audio.iskcondesiretree.com/01_-_Srila_Prabhupada/01_-_Lectures/01_-_English/01_-_Topic_wise/Interview/SP_Interview_San_Francisco_1968-03-09_Radio--KPFK_LA--Transfer_Your--etc.mp3</t>
  </si>
  <si>
    <t>Interv_SF_1968-03-09_Radio--KPFK_LA--Transfer_Your_etc.mp3</t>
  </si>
  <si>
    <t>https://audio.iskcondesiretree.com/01_-_Srila_Prabhupada/01_-_Lectures/01_-_English/02_-_Month_wise/03_-_March/09/Interv_SF_1968-03-09_Radio--KPFK_LA--Transfer_Your_etc.mp3</t>
  </si>
  <si>
    <t>SP_SB_7-06-01_San_Francisco_1968-03-15_A_Way_to_Spend_Your_Time.mp3</t>
  </si>
  <si>
    <t>https://audio.iskcondesiretree.com/01_-_Srila_Prabhupada/01_-_Lectures/01_-_English/01_-_Topic_wise/Srimad_Bhagavatam/Canto-07/SP_SB_7-06-01_San_Francisco_1968-03-15_A_Way_to_Spend_Your_Time.mp3</t>
  </si>
  <si>
    <t>SB_7-06-01_SF_1968-03-15_A_Way_to_Spend_Your_Time.mp3</t>
  </si>
  <si>
    <t>https://audio.iskcondesiretree.com/01_-_Srila_Prabhupada/01_-_Lectures/01_-_English/02_-_Month_wise/03_-_March/15/SB_7-06-01_SF_1968-03-15_A_Way_to_Spend_Your_Time.mp3</t>
  </si>
  <si>
    <t>Morning_Walk</t>
  </si>
  <si>
    <t>SP_Morning_Walk_-_San_Francisco_1968-03-23_Prayer_for_a_Passionate_Planet.mp3</t>
  </si>
  <si>
    <t>https://audio.iskcondesiretree.com/01_-_Srila_Prabhupada/01_-_Lectures/01_-_English/01_-_Topic_wise/Morning_Walk/SP_Morning_Walk_-_San_Francisco_1968-03-23_Prayer_for_a_Passionate_Planet.mp3</t>
  </si>
  <si>
    <t>MW_SF_1968-03-23_Prayer_for_a_Passionate_Planet.mp3</t>
  </si>
  <si>
    <t>https://audio.iskcondesiretree.com/01_-_Srila_Prabhupada/01_-_Lectures/01_-_English/02_-_Month_wise/03_-_March/23/MW_SF_1968-03-23_Prayer_for_a_Passionate_Planet.mp3</t>
  </si>
  <si>
    <t>SP_SB_1-03-01_San_Francisco_1968-03-28_God_Has_New_Orleans_Body_Like_Ours.mp3</t>
  </si>
  <si>
    <t>https://audio.iskcondesiretree.com/01_-_Srila_Prabhupada/01_-_Lectures/01_-_English/01_-_Topic_wise/Srimad_Bhagavatam/Canto-01/SP_SB_1-03-01_San_Francisco_1968-03-28_God_Has_New_Orleans_Body_Like_Ours.mp3</t>
  </si>
  <si>
    <t>SB_1-03-01_SF_1968-03-28_God_Has_No_Body_Like_Ours.mp3</t>
  </si>
  <si>
    <t>https://audio.iskcondesiretree.com/01_-_Srila_Prabhupada/01_-_Lectures/01_-_English/02_-_Month_wise/03_-_March/28/SB_1-03-01_SF_1968-03-28_God_Has_No_Body_Like_Ours.mp3</t>
  </si>
  <si>
    <t>SP_Lecture_San_Francisco_1968-04-02_Skyscraper_Civilization_vs_Soul--etc.mp3</t>
  </si>
  <si>
    <t>https://audio.iskcondesiretree.com/01_-_Srila_Prabhupada/01_-_Lectures/01_-_English/01_-_Topic_wise/Various/SP_Lecture_San_Francisco_1968-04-02_Skyscraper_Civilization_vs_Soul--etc.mp3</t>
  </si>
  <si>
    <t>Lect_SF_1968-04-02_Skyscraper_Civilization_vs_Soul_etc.mp3</t>
  </si>
  <si>
    <t>https://audio.iskcondesiretree.com/01_-_Srila_Prabhupada/01_-_Lectures/01_-_English/02_-_Month_wise/04_-_April/02/Lect_SF_1968-04-02_Skyscraper_Civilization_vs_Soul_etc.mp3</t>
  </si>
  <si>
    <t>SP_Lecture_Montreal_1968-06-11_To_Students_%28young%29--My_and--etc.mp3</t>
  </si>
  <si>
    <t>https://audio.iskcondesiretree.com/01_-_Srila_Prabhupada/01_-_Lectures/01_-_English/01_-_Topic_wise/Various/SP_Lecture_Montreal_1968-06-11_To_Students_%28young%29--My_and--etc.mp3</t>
  </si>
  <si>
    <t>Lect_MON_1968-06-11_To_Students_%28young%29_My_and_etc.mp3</t>
  </si>
  <si>
    <t>https://audio.iskcondesiretree.com/01_-_Srila_Prabhupada/01_-_Lectures/01_-_English/02_-_Month_wise/06_-_June/11/Lect_MON_1968-06-11_To_Students_%28young%29_My_and_etc.mp3</t>
  </si>
  <si>
    <t>SP_SB_7-06-03_Montreal_1968-06-16_Stop_Adjusting_the_Material_World.mp3</t>
  </si>
  <si>
    <t>https://audio.iskcondesiretree.com/01_-_Srila_Prabhupada/01_-_Lectures/01_-_English/01_-_Topic_wise/Srimad_Bhagavatam/Canto-07/SP_SB_7-06-03_Montreal_1968-06-16_Stop_Adjusting_the_Material_World.mp3</t>
  </si>
  <si>
    <t>SB_7-06-03_MON_1968-06-16_Stop_Adjusting_the_Material_World.mp3</t>
  </si>
  <si>
    <t>https://audio.iskcondesiretree.com/01_-_Srila_Prabhupada/01_-_Lectures/01_-_English/02_-_Month_wise/06_-_June/16/SB_7-06-03_MON_1968-06-16_Stop_Adjusting_the_Material_World.mp3</t>
  </si>
  <si>
    <t>SP_SB_7-06-06_Montreal_1968-06-23_Center_Society_on_Spiritual_Profit.mp3</t>
  </si>
  <si>
    <t>https://audio.iskcondesiretree.com/01_-_Srila_Prabhupada/01_-_Lectures/01_-_English/01_-_Topic_wise/Srimad_Bhagavatam/Canto-07/SP_SB_7-06-06_Montreal_1968-06-23_Center_Society_on_Spiritual_Profit.mp3</t>
  </si>
  <si>
    <t>SB_7-06-06_MON_1968-06-23_Center_Society_on_Spiritual_Profit.mp3</t>
  </si>
  <si>
    <t>https://audio.iskcondesiretree.com/01_-_Srila_Prabhupada/01_-_Lectures/01_-_English/02_-_Month_wise/06_-_June/23/SB_7-06-06_MON_1968-06-23_Center_Society_on_Spiritual_Profit.mp3</t>
  </si>
  <si>
    <t>SP_SB_7-09-10_Montreal_1968-07-12_The_Difference_Between_a--etc.mp3</t>
  </si>
  <si>
    <t>https://audio.iskcondesiretree.com/01_-_Srila_Prabhupada/01_-_Lectures/01_-_English/01_-_Topic_wise/Srimad_Bhagavatam/Canto-07/SP_SB_7-09-10_Montreal_1968-07-12_The_Difference_Between_a--etc.mp3</t>
  </si>
  <si>
    <t>SB_7-09-10_MON_1968-07-12_The_Difference_Between_a_etc.mp3</t>
  </si>
  <si>
    <t>https://audio.iskcondesiretree.com/01_-_Srila_Prabhupada/01_-_Lectures/01_-_English/02_-_Month_wise/07_-_July/12/SB_7-09-10_MON_1968-07-12_The_Difference_Between_a_etc.mp3</t>
  </si>
  <si>
    <t>SP_BG_04-07_Montreal_1968-08-13_The_Divine_Descent_of_Our_Duty.mp3</t>
  </si>
  <si>
    <t>https://audio.iskcondesiretree.com/01_-_Srila_Prabhupada/01_-_Lectures/01_-_English/01_-_Topic_wise/Bhagavad_Gita/Chapter-04/SP_BG_04-07_Montreal_1968-08-13_The_Divine_Descent_of_Our_Duty.mp3</t>
  </si>
  <si>
    <t>Bg_04-07_MON_1968-08-13_The_Divine_Descent_of_Our_Duty.mp3</t>
  </si>
  <si>
    <t>https://audio.iskcondesiretree.com/01_-_Srila_Prabhupada/01_-_Lectures/01_-_English/02_-_Month_wise/08_-_August/13/Bg_04-07_MON_1968-08-13_The_Divine_Descent_of_Our_Duty.mp3</t>
  </si>
  <si>
    <t>SP_Festivals_Montreal_1968-08-16_Janmastami.mp3</t>
  </si>
  <si>
    <t>https://audio.iskcondesiretree.com/01_-_Srila_Prabhupada/01_-_Lectures/01_-_English/01_-_Topic_wise/Festivals/SP_Festivals_Montreal_1968-08-16_Janmastami.mp3</t>
  </si>
  <si>
    <t>Fest_MON_1968-08-16_Janmastami.mp3</t>
  </si>
  <si>
    <t>https://audio.iskcondesiretree.com/01_-_Srila_Prabhupada/01_-_Lectures/01_-_English/02_-_Month_wise/08_-_August/16/Fest_MON_1968-08-16_Janmastami.mp3</t>
  </si>
  <si>
    <t>SP_SB_7-09-11_Montreal_1968-08-17_Krishna_Is_Begging_Your_Love.mp3</t>
  </si>
  <si>
    <t>https://audio.iskcondesiretree.com/01_-_Srila_Prabhupada/01_-_Lectures/01_-_English/01_-_Topic_wise/Srimad_Bhagavatam/Canto-07/SP_SB_7-09-11_Montreal_1968-08-17_Krishna_Is_Begging_Your_Love.mp3</t>
  </si>
  <si>
    <t>SB_7-09-11_MON_1968-08-17_Krishna_Is_Begging_Your_Love.mp3</t>
  </si>
  <si>
    <t>https://audio.iskcondesiretree.com/01_-_Srila_Prabhupada/01_-_Lectures/01_-_English/02_-_Month_wise/08_-_August/17/SB_7-09-11_MON_1968-08-17_Krishna_Is_Begging_Your_Love.mp3</t>
  </si>
  <si>
    <t>SP_SB_7-09-12_Montreal_1968-08-18_God_is_Dead--The_Vulture%27s_Curse.mp3</t>
  </si>
  <si>
    <t>https://audio.iskcondesiretree.com/01_-_Srila_Prabhupada/01_-_Lectures/01_-_English/01_-_Topic_wise/Srimad_Bhagavatam/Canto-07/SP_SB_7-09-12_Montreal_1968-08-18_God_is_Dead--The_Vulture%27s_Curse.mp3</t>
  </si>
  <si>
    <t>SB_7-09-12_MON_1968-08-18_God_is_Dead_The_Vulture%27s_Curse.mp3</t>
  </si>
  <si>
    <t>https://audio.iskcondesiretree.com/01_-_Srila_Prabhupada/01_-_Lectures/01_-_English/02_-_Month_wise/08_-_August/18/SB_7-09-12_MON_1968-08-18_God_is_Dead_The_Vulture%27s_Curse.mp3</t>
  </si>
  <si>
    <t>SP_SB_7-09-12_Montreal_1968-08-19_God_Only_Cares_How_Much_You_LOVE_Him.mp3</t>
  </si>
  <si>
    <t>https://audio.iskcondesiretree.com/01_-_Srila_Prabhupada/01_-_Lectures/01_-_English/01_-_Topic_wise/Srimad_Bhagavatam/Canto-07/SP_SB_7-09-12_Montreal_1968-08-19_God_Only_Cares_How_Much_You_LOVE_Him.mp3</t>
  </si>
  <si>
    <t>SB_7-09-12_MON_1968-08-19_God_Only_Cares_How_Much_You_LOVE_Him.mp3</t>
  </si>
  <si>
    <t>https://audio.iskcondesiretree.com/01_-_Srila_Prabhupada/01_-_Lectures/01_-_English/02_-_Month_wise/08_-_August/19/SB_7-09-12_MON_1968-08-19_God_Only_Cares_How_Much_You_LOVE_Him.mp3</t>
  </si>
  <si>
    <t>SP_SB_7-09-13_Montreal_1968-08-20_Getting_a_Job_with_the--etc.mp3</t>
  </si>
  <si>
    <t>https://audio.iskcondesiretree.com/01_-_Srila_Prabhupada/01_-_Lectures/01_-_English/01_-_Topic_wise/Srimad_Bhagavatam/Canto-07/SP_SB_7-09-13_Montreal_1968-08-20_Getting_a_Job_with_the--etc.mp3</t>
  </si>
  <si>
    <t>SB_7-09-13_MON_1968-08-20_Getting_a_Job_with_the_etc.mp3</t>
  </si>
  <si>
    <t>https://audio.iskcondesiretree.com/01_-_Srila_Prabhupada/01_-_Lectures/01_-_English/02_-_Month_wise/08_-_August/20/SB_7-09-13_MON_1968-08-20_Getting_a_Job_with_the_etc.mp3</t>
  </si>
  <si>
    <t>SP_Festivals_Montreal_1968-08-30_Radhastami.mp3</t>
  </si>
  <si>
    <t>https://audio.iskcondesiretree.com/01_-_Srila_Prabhupada/01_-_Lectures/01_-_English/01_-_Topic_wise/Festivals/SP_Festivals_Montreal_1968-08-30_Radhastami.mp3</t>
  </si>
  <si>
    <t>Fest_MON_1968-08-30_Radhastami.mp3</t>
  </si>
  <si>
    <t>https://audio.iskcondesiretree.com/01_-_Srila_Prabhupada/01_-_Lectures/01_-_English/02_-_Month_wise/08_-_August/30/Fest_MON_1968-08-30_Radhastami.mp3</t>
  </si>
  <si>
    <t>SP_BG_07-01_San_Francisco_1968-09-10_Yoga--_Our_Confidential--etc.mp3</t>
  </si>
  <si>
    <t>https://audio.iskcondesiretree.com/01_-_Srila_Prabhupada/01_-_Lectures/01_-_English/01_-_Topic_wise/Bhagavad_Gita/Chapter-07/SP_BG_07-01_San_Francisco_1968-09-10_Yoga--_Our_Confidential--etc.mp3</t>
  </si>
  <si>
    <t>Bg_07-01_SF_1968-09-10_Yoga_Our_Confidential_etc.mp3</t>
  </si>
  <si>
    <t>https://audio.iskcondesiretree.com/01_-_Srila_Prabhupada/01_-_Lectures/01_-_English/02_-_Month_wise/09_-_September/10/Bg_07-01_SF_1968-09-10_Yoga_Our_Confidential_etc.mp3</t>
  </si>
  <si>
    <t>SP_BG_07-02_San_Francisco_1968-09-11_Ultimate_Understanding--etc.mp3</t>
  </si>
  <si>
    <t>https://audio.iskcondesiretree.com/01_-_Srila_Prabhupada/01_-_Lectures/01_-_English/01_-_Topic_wise/Bhagavad_Gita/Chapter-07/SP_BG_07-02_San_Francisco_1968-09-11_Ultimate_Understanding--etc.mp3</t>
  </si>
  <si>
    <t>Bg_07-02_SF_1968-09-11_Ultimate_Understanding_etc.mp3</t>
  </si>
  <si>
    <t>https://audio.iskcondesiretree.com/01_-_Srila_Prabhupada/01_-_Lectures/01_-_English/02_-_Month_wise/09_-_September/11/Bg_07-02_SF_1968-09-11_Ultimate_Understanding_etc.mp3</t>
  </si>
  <si>
    <t>SP_Lecture_Seattle_1968-09-25_Spiritual_Liberation_and_Beyond.mp3</t>
  </si>
  <si>
    <t>https://audio.iskcondesiretree.com/01_-_Srila_Prabhupada/01_-_Lectures/01_-_English/01_-_Topic_wise/Various/SP_Lecture_Seattle_1968-09-25_Spiritual_Liberation_and_Beyond.mp3</t>
  </si>
  <si>
    <t>Lect_SEA_1968-09-25_Spiritual_Liberation_and_Beyond.mp3</t>
  </si>
  <si>
    <t>https://audio.iskcondesiretree.com/01_-_Srila_Prabhupada/01_-_Lectures/01_-_English/02_-_Month_wise/09_-_September/25/Lect_SEA_1968-09-25_Spiritual_Liberation_and_Beyond.mp3</t>
  </si>
  <si>
    <t>SP_Lecture_Seattle_1968-09-27_How_to_Go_from_Misery_to_Mastery.mp3</t>
  </si>
  <si>
    <t>https://audio.iskcondesiretree.com/01_-_Srila_Prabhupada/01_-_Lectures/01_-_English/01_-_Topic_wise/Various/SP_Lecture_Seattle_1968-09-27_How_to_Go_from_Misery_to_Mastery.mp3</t>
  </si>
  <si>
    <t>Lect_SEA_1968-09-27_How_to_Go_from_Misery_to_Mastery.mp3</t>
  </si>
  <si>
    <t>https://audio.iskcondesiretree.com/01_-_Srila_Prabhupada/01_-_Lectures/01_-_English/02_-_Month_wise/09_-_September/27/Lect_SEA_1968-09-27_How_to_Go_from_Misery_to_Mastery.mp3</t>
  </si>
  <si>
    <t>SP_Lecture_Seattle_1968-09-30_Beyond_Frustration-Science_of_Loving_God.mp3</t>
  </si>
  <si>
    <t>https://audio.iskcondesiretree.com/01_-_Srila_Prabhupada/01_-_Lectures/01_-_English/01_-_Topic_wise/Various/SP_Lecture_Seattle_1968-09-30_Beyond_Frustration-Science_of_Loving_God.mp3</t>
  </si>
  <si>
    <t>Lect_SEA_1968-09-30_Beyond_Frustration-Science_of_Loving_God.mp3</t>
  </si>
  <si>
    <t>https://audio.iskcondesiretree.com/01_-_Srila_Prabhupada/01_-_Lectures/01_-_English/02_-_Month_wise/09_-_September/30/Lect_SEA_1968-09-30_Beyond_Frustration-Science_of_Loving_God.mp3</t>
  </si>
  <si>
    <t>SP_Lecture_Seattle_1968-10-02_The_Pulse_of_Universal_Body.mp3</t>
  </si>
  <si>
    <t>https://audio.iskcondesiretree.com/01_-_Srila_Prabhupada/01_-_Lectures/01_-_English/01_-_Topic_wise/Various/SP_Lecture_Seattle_1968-10-02_The_Pulse_of_Universal_Body.mp3</t>
  </si>
  <si>
    <t>Lect_SEA_1968-10-02_The_Pulse_of_Universal_Body.mp3</t>
  </si>
  <si>
    <t>https://audio.iskcondesiretree.com/01_-_Srila_Prabhupada/01_-_Lectures/01_-_English/02_-_Month_wise/10_-_October/02/Lect_SEA_1968-10-02_The_Pulse_of_Universal_Body.mp3</t>
  </si>
  <si>
    <t>SP_Lecture_Seattle_1968-10-04_If_You_Know_Krishna_You_Know_Everything.mp3</t>
  </si>
  <si>
    <t>https://audio.iskcondesiretree.com/01_-_Srila_Prabhupada/01_-_Lectures/01_-_English/01_-_Topic_wise/Various/SP_Lecture_Seattle_1968-10-04_If_You_Know_Krishna_You_Know_Everything.mp3</t>
  </si>
  <si>
    <t>Lect_SEA_1968-10-04_If_You_Know_Krishna%2C_You_Know_Everything.mp3</t>
  </si>
  <si>
    <t>https://audio.iskcondesiretree.com/01_-_Srila_Prabhupada/01_-_Lectures/01_-_English/02_-_Month_wise/10_-_October/04/Lect_SEA_1968-10-04_If_You_Know_Krishna%2C_You_Know_Everything.mp3</t>
  </si>
  <si>
    <t>SP_Lecture_Seattle_1968-10-07_It_is_Very_Pleasant_to_Become_a--etc.mp3</t>
  </si>
  <si>
    <t>https://audio.iskcondesiretree.com/01_-_Srila_Prabhupada/01_-_Lectures/01_-_English/01_-_Topic_wise/Various/SP_Lecture_Seattle_1968-10-07_It_is_Very_Pleasant_to_Become_a--etc.mp3</t>
  </si>
  <si>
    <t>Lect_SEA_1968-10-07_It_is_Very_Pleasant_to_Become_a_etc.mp3</t>
  </si>
  <si>
    <t>https://audio.iskcondesiretree.com/01_-_Srila_Prabhupada/01_-_Lectures/01_-_English/02_-_Month_wise/10_-_October/07/Lect_SEA_1968-10-07_It_is_Very_Pleasant_to_Become_a_etc.mp3</t>
  </si>
  <si>
    <t>SP_Lecture_Seattle_1968-10-18_Transcendental_Television.mp3</t>
  </si>
  <si>
    <t>https://audio.iskcondesiretree.com/01_-_Srila_Prabhupada/01_-_Lectures/01_-_English/01_-_Topic_wise/Various/SP_Lecture_Seattle_1968-10-18_Transcendental_Television.mp3</t>
  </si>
  <si>
    <t>Lect_SEA_1968-10-18_Transcendental_Television.mp3</t>
  </si>
  <si>
    <t>https://audio.iskcondesiretree.com/01_-_Srila_Prabhupada/01_-_Lectures/01_-_English/02_-_Month_wise/10_-_October/18/Lect_SEA_1968-10-18_Transcendental_Television.mp3</t>
  </si>
  <si>
    <t>SP_Lecture_Seattle_1968-10-20_Initiation--Counteract_Age_of_Quarrel.mp3</t>
  </si>
  <si>
    <t>https://audio.iskcondesiretree.com/01_-_Srila_Prabhupada/01_-_Lectures/01_-_English/01_-_Topic_wise/Various/SP_Lecture_Seattle_1968-10-20_Initiation--Counteract_Age_of_Quarrel.mp3</t>
  </si>
  <si>
    <t>SP_Lecture_Seattle_1968-10-20_Initiation--On_the_Maha-Mantra.mp3</t>
  </si>
  <si>
    <t>https://audio.iskcondesiretree.com/01_-_Srila_Prabhupada/01_-_Lectures/01_-_English/01_-_Topic_wise/Various/SP_Lecture_Seattle_1968-10-20_Initiation--On_the_Maha-Mantra.mp3</t>
  </si>
  <si>
    <t>SP_Lecture_Seattle_1968-10-20_To_Students--From_Tiger_to_Rat.mp3</t>
  </si>
  <si>
    <t>https://audio.iskcondesiretree.com/01_-_Srila_Prabhupada/01_-_Lectures/01_-_English/01_-_Topic_wise/Various/SP_Lecture_Seattle_1968-10-20_To_Students--From_Tiger_to_Rat.mp3</t>
  </si>
  <si>
    <t>Lect_SEA_1968-10-20_Initiation-Counteract_Age_of_Quarrel.mp3</t>
  </si>
  <si>
    <t>https://audio.iskcondesiretree.com/01_-_Srila_Prabhupada/01_-_Lectures/01_-_English/02_-_Month_wise/10_-_October/20/Lect_SEA_1968-10-20_Initiation-Counteract_Age_of_Quarrel.mp3</t>
  </si>
  <si>
    <t>Lect_SEA_1968-10-20_Initiation-On_the_Maha-Mantra.mp3</t>
  </si>
  <si>
    <t>https://audio.iskcondesiretree.com/01_-_Srila_Prabhupada/01_-_Lectures/01_-_English/02_-_Month_wise/10_-_October/20/Lect_SEA_1968-10-20_Initiation-On_the_Maha-Mantra.mp3</t>
  </si>
  <si>
    <t>Lect_SEA_1968-10-20_To_Students-From_Tiger_to_Rat.mp3</t>
  </si>
  <si>
    <t>https://audio.iskcondesiretree.com/01_-_Srila_Prabhupada/01_-_Lectures/01_-_English/02_-_Month_wise/10_-_October/20/Lect_SEA_1968-10-20_To_Students-From_Tiger_to_Rat.mp3</t>
  </si>
  <si>
    <t>SP_Festivals_Seattle_1968-10-21_Disappearance_of_Keshava_Maharaja.mp3</t>
  </si>
  <si>
    <t>https://audio.iskcondesiretree.com/01_-_Srila_Prabhupada/01_-_Lectures/01_-_English/01_-_Topic_wise/Festivals/SP_Festivals_Seattle_1968-10-21_Disappearance_of_Keshava_Maharaja.mp3</t>
  </si>
  <si>
    <t>SP_SB_7-09-08_Germany_1968-10-21_Nobody_Can_Exist_Without_God.mp3</t>
  </si>
  <si>
    <t>https://audio.iskcondesiretree.com/01_-_Srila_Prabhupada/01_-_Lectures/01_-_English/01_-_Topic_wise/Srimad_Bhagavatam/Canto-07/SP_SB_7-09-08_Germany_1968-10-21_Nobody_Can_Exist_Without_God.mp3</t>
  </si>
  <si>
    <t>Fest_SEA_1968-10-21_Disappearance_of_Keshava_Maharaja.mp3</t>
  </si>
  <si>
    <t>https://audio.iskcondesiretree.com/01_-_Srila_Prabhupada/01_-_Lectures/01_-_English/02_-_Month_wise/10_-_October/21/Fest_SEA_1968-10-21_Disappearance_of_Keshava_Maharaja.mp3</t>
  </si>
  <si>
    <t>SB_7-09-08_SEA_1968-10-21_Nobody_Can_Exist_Without_God.mp3</t>
  </si>
  <si>
    <t>https://audio.iskcondesiretree.com/01_-_Srila_Prabhupada/01_-_Lectures/01_-_English/02_-_Month_wise/10_-_October/21/SB_7-09-08_SEA_1968-10-21_Nobody_Can_Exist_Without_God.mp3</t>
  </si>
  <si>
    <t>Canto-02</t>
  </si>
  <si>
    <t>SP_SB_2-01-02_Montreal_1968-10-23_Leer_and_Fear...or_Hear.mp3</t>
  </si>
  <si>
    <t>https://audio.iskcondesiretree.com/01_-_Srila_Prabhupada/01_-_Lectures/01_-_English/01_-_Topic_wise/Srimad_Bhagavatam/Canto-02/SP_SB_2-01-02_Montreal_1968-10-23_Leer_and_Fear...or_Hear.mp3</t>
  </si>
  <si>
    <t>SB_2-01-02_MON_1968-10-23_Leer_and_Fear_or_Hear.mp3</t>
  </si>
  <si>
    <t>https://audio.iskcondesiretree.com/01_-_Srila_Prabhupada/01_-_Lectures/01_-_English/02_-_Month_wise/10_-_October/23/SB_2-01-02_MON_1968-10-23_Leer_and_Fear_or_Hear.mp3</t>
  </si>
  <si>
    <t>SP_Lecture_Los_Angeles_1968-11-08_Brahma_Samhita_29--The_Spiritual--etc.mp3</t>
  </si>
  <si>
    <t>https://audio.iskcondesiretree.com/01_-_Srila_Prabhupada/01_-_Lectures/01_-_English/01_-_Topic_wise/Various/SP_Lecture_Los_Angeles_1968-11-08_Brahma_Samhita_29--The_Spiritual--etc.mp3</t>
  </si>
  <si>
    <t>Lect_LA_1968-11-08_Brahma_Samhita_29-The_Spiritual_etc.mp3</t>
  </si>
  <si>
    <t>https://audio.iskcondesiretree.com/01_-_Srila_Prabhupada/01_-_Lectures/01_-_English/02_-_Month_wise/11_-_November/08/Lect_LA_1968-11-08_Brahma_Samhita_29-The_Spiritual_etc.mp3</t>
  </si>
  <si>
    <t>SP_Lecture_Los_Angeles_1968-11-13_I_Have_Passed_My_Life_Uselessly.mp3</t>
  </si>
  <si>
    <t>https://audio.iskcondesiretree.com/01_-_Srila_Prabhupada/01_-_Lectures/01_-_English/01_-_Topic_wise/Various/SP_Lecture_Los_Angeles_1968-11-13_I_Have_Passed_My_Life_Uselessly.mp3</t>
  </si>
  <si>
    <t>Lect_LA_1968-11-13_I_Have_Passed_My_Life_Uselessly.mp3</t>
  </si>
  <si>
    <t>https://audio.iskcondesiretree.com/01_-_Srila_Prabhupada/01_-_Lectures/01_-_English/02_-_Month_wise/11_-_November/13/Lect_LA_1968-11-13_I_Have_Passed_My_Life_Uselessly.mp3</t>
  </si>
  <si>
    <t>SP_Lecture_Los_Angeles_1968-11-15_Dipping_Into_Ocean_of_Love_of_Krishna.mp3</t>
  </si>
  <si>
    <t>https://audio.iskcondesiretree.com/01_-_Srila_Prabhupada/01_-_Lectures/01_-_English/01_-_Topic_wise/Various/SP_Lecture_Los_Angeles_1968-11-15_Dipping_Into_Ocean_of_Love_of_Krishna.mp3</t>
  </si>
  <si>
    <t>Lect_LA_1968-11-15_Dipping_Into_Ocean_of_Love_of_Krishna.mp3</t>
  </si>
  <si>
    <t>https://audio.iskcondesiretree.com/01_-_Srila_Prabhupada/01_-_Lectures/01_-_English/02_-_Month_wise/11_-_November/15/Lect_LA_1968-11-15_Dipping_Into_Ocean_of_Love_of_Krishna.mp3</t>
  </si>
  <si>
    <t>SP_Festivals_Los_Angeles_1968-11-18_Bhajan%2C_Lect%2C_Kirtan_on_Six_Goswamis.mp3</t>
  </si>
  <si>
    <t>https://audio.iskcondesiretree.com/01_-_Srila_Prabhupada/01_-_Lectures/01_-_English/01_-_Topic_wise/Festivals/SP_Festivals_Los_Angeles_1968-11-18_Bhajan%2C_Lect%2C_Kirtan_on_Six_Goswamis.mp3</t>
  </si>
  <si>
    <t>SP_Lecture_Los_Angeles_1968-11-18_Getting_Outside_of_the_Material_Boundaries.mp3</t>
  </si>
  <si>
    <t>https://audio.iskcondesiretree.com/01_-_Srila_Prabhupada/01_-_Lectures/01_-_English/01_-_Topic_wise/Various/SP_Lecture_Los_Angeles_1968-11-18_Getting_Outside_of_the_Material_Boundaries.mp3</t>
  </si>
  <si>
    <t>Fest_LA_1968-11-18_Bhajan%2C_Lect%2C_Kirtan_on_Six_Goswamis.mp3</t>
  </si>
  <si>
    <t>https://audio.iskcondesiretree.com/01_-_Srila_Prabhupada/01_-_Lectures/01_-_English/02_-_Month_wise/11_-_November/18/Fest_LA_1968-11-18_Bhajan%2C_Lect%2C_Kirtan_on_Six_Goswamis.mp3</t>
  </si>
  <si>
    <t>Lect_LA_1968-11-18_Getting_Outside_of_the_Material_Boundaries.mp3</t>
  </si>
  <si>
    <t>https://audio.iskcondesiretree.com/01_-_Srila_Prabhupada/01_-_Lectures/01_-_English/02_-_Month_wise/11_-_November/18/Lect_LA_1968-11-18_Getting_Outside_of_the_Material_Boundaries.mp3</t>
  </si>
  <si>
    <t>SP_BG_02-01-10_Los_Angeles_1968-11-25_The_Missing_Self-Understanding.mp3</t>
  </si>
  <si>
    <t>https://audio.iskcondesiretree.com/01_-_Srila_Prabhupada/01_-_Lectures/01_-_English/01_-_Topic_wise/Bhagavad_Gita/Chapter-02/SP_BG_02-01-10_Los_Angeles_1968-11-25_The_Missing_Self-Understanding.mp3</t>
  </si>
  <si>
    <t>Bg_02-01_LA_1968-11-25_The_Missing_Self-Understanding.mp3</t>
  </si>
  <si>
    <t>https://audio.iskcondesiretree.com/01_-_Srila_Prabhupada/01_-_Lectures/01_-_English/02_-_Month_wise/11_-_November/25/Bg_02-01_LA_1968-11-25_The_Missing_Self-Understanding.mp3</t>
  </si>
  <si>
    <t>SP_BG_02-08-12_Los_Angeles_1968-11-27_Revive_Our_Relationship_with_Krishna.mp3</t>
  </si>
  <si>
    <t>https://audio.iskcondesiretree.com/01_-_Srila_Prabhupada/01_-_Lectures/01_-_English/01_-_Topic_wise/Bhagavad_Gita/Chapter-02/SP_BG_02-08-12_Los_Angeles_1968-11-27_Revive_Our_Relationship_with_Krishna.mp3</t>
  </si>
  <si>
    <t>Bg_02-08_LA_1968-11-27_Revive_Our_Relationship_with_Krishna.mp3</t>
  </si>
  <si>
    <t>https://audio.iskcondesiretree.com/01_-_Srila_Prabhupada/01_-_Lectures/01_-_English/02_-_Month_wise/11_-_November/27/Bg_02-08_LA_1968-11-27_Revive_Our_Relationship_with_Krishna.mp3</t>
  </si>
  <si>
    <t>SP_BG_02-13-17_Los_Angeles_1968-11-29_Staying_Undisturbed_in_Distress.mp3</t>
  </si>
  <si>
    <t>https://audio.iskcondesiretree.com/01_-_Srila_Prabhupada/01_-_Lectures/01_-_English/01_-_Topic_wise/Bhagavad_Gita/Chapter-02/SP_BG_02-13-17_Los_Angeles_1968-11-29_Staying_Undisturbed_in_Distress.mp3</t>
  </si>
  <si>
    <t>Bg_02-13_LA_1968-11-29_Staying_Undisturbed_in_Distress.mp3</t>
  </si>
  <si>
    <t>https://audio.iskcondesiretree.com/01_-_Srila_Prabhupada/01_-_Lectures/01_-_English/02_-_Month_wise/11_-_November/29/Bg_02-13_LA_1968-11-29_Staying_Undisturbed_in_Distress.mp3</t>
  </si>
  <si>
    <t>SP_Lecture_Los_Angeles_1968-12-01_Initiation--The_Path_of_Purification.mp3</t>
  </si>
  <si>
    <t>https://audio.iskcondesiretree.com/01_-_Srila_Prabhupada/01_-_Lectures/01_-_English/01_-_Topic_wise/Various/SP_Lecture_Los_Angeles_1968-12-01_Initiation--The_Path_of_Purification.mp3</t>
  </si>
  <si>
    <t>Lect_LA_1968-12-01_Initiation-The_Path_of_Purification.mp3</t>
  </si>
  <si>
    <t>https://audio.iskcondesiretree.com/01_-_Srila_Prabhupada/01_-_Lectures/01_-_English/02_-_Month_wise/12_-_December/01/Lect_LA_1968-12-01_Initiation-The_Path_of_Purification.mp3</t>
  </si>
  <si>
    <t>SP_BG_07-01_Los_Angeles_1968-12-02_Pros_and_Cons_of_the_Material_World.mp3</t>
  </si>
  <si>
    <t>https://audio.iskcondesiretree.com/01_-_Srila_Prabhupada/01_-_Lectures/01_-_English/01_-_Topic_wise/Bhagavad_Gita/Chapter-07/SP_BG_07-01_Los_Angeles_1968-12-02_Pros_and_Cons_of_the_Material_World.mp3</t>
  </si>
  <si>
    <t>SP_SB_2-02-05_Los_Angeles_1968-12-02_Serving_Krishna_Not_Ordinary_Thing.mp3</t>
  </si>
  <si>
    <t>https://audio.iskcondesiretree.com/01_-_Srila_Prabhupada/01_-_Lectures/01_-_English/01_-_Topic_wise/Srimad_Bhagavatam/Canto-02/SP_SB_2-02-05_Los_Angeles_1968-12-02_Serving_Krishna_Not_Ordinary_Thing.mp3</t>
  </si>
  <si>
    <t>Bg_07-01_LA_1968-12-02_Pros_and_Cons_of_the_Material_World.mp3</t>
  </si>
  <si>
    <t>https://audio.iskcondesiretree.com/01_-_Srila_Prabhupada/01_-_Lectures/01_-_English/02_-_Month_wise/12_-_December/02/Bg_07-01_LA_1968-12-02_Pros_and_Cons_of_the_Material_World.mp3</t>
  </si>
  <si>
    <t>SB_2-02-05_LA_1968-12-02_Serving_Krishna_Not_Ordinary_Thing.mp3</t>
  </si>
  <si>
    <t>https://audio.iskcondesiretree.com/01_-_Srila_Prabhupada/01_-_Lectures/01_-_English/02_-_Month_wise/12_-_December/02/SB_2-02-05_LA_1968-12-02_Serving_Krishna_Not_Ordinary_Thing.mp3</t>
  </si>
  <si>
    <t>SP_BG_02-26_Los_Angeles_1968-12-06_Evolution_and_Other_Rubbish.mp3</t>
  </si>
  <si>
    <t>https://audio.iskcondesiretree.com/01_-_Srila_Prabhupada/01_-_Lectures/01_-_English/01_-_Topic_wise/Bhagavad_Gita/Chapter-02/SP_BG_02-26_Los_Angeles_1968-12-06_Evolution_and_Other_Rubbish.mp3</t>
  </si>
  <si>
    <t>Bg_02-26_LA_1968-12-06_Evolution_and_Other_Rubbish.mp3</t>
  </si>
  <si>
    <t>https://audio.iskcondesiretree.com/01_-_Srila_Prabhupada/01_-_Lectures/01_-_English/02_-_Month_wise/12_-_December/06/Bg_02-26_LA_1968-12-06_Evolution_and_Other_Rubbish.mp3</t>
  </si>
  <si>
    <t>SP_Festivals_Los_Angeles_1968-12-09_Disappearance--Bhaktisiddhanta_Sarasvati.mp3</t>
  </si>
  <si>
    <t>https://audio.iskcondesiretree.com/01_-_Srila_Prabhupada/01_-_Lectures/01_-_English/01_-_Topic_wise/Festivals/SP_Festivals_Los_Angeles_1968-12-09_Disappearance--Bhaktisiddhanta_Sarasvati.mp3</t>
  </si>
  <si>
    <t>Fest_LA_1968-12-09_Disappearance_Bhaktisiddhanta_Sarasvati.mp3</t>
  </si>
  <si>
    <t>https://audio.iskcondesiretree.com/01_-_Srila_Prabhupada/01_-_Lectures/01_-_English/02_-_Month_wise/12_-_December/09/Fest_LA_1968-12-09_Disappearance_Bhaktisiddhanta_Sarasvati.mp3</t>
  </si>
  <si>
    <t>SP_BG_02-28-38_Los_Angeles_1968-12-11_Some_Look_On_the_Soul_As_Amazing.mp3</t>
  </si>
  <si>
    <t>https://audio.iskcondesiretree.com/01_-_Srila_Prabhupada/01_-_Lectures/01_-_English/01_-_Topic_wise/Bhagavad_Gita/Chapter-02/SP_BG_02-28-38_Los_Angeles_1968-12-11_Some_Look_On_the_Soul_As_Amazing.mp3</t>
  </si>
  <si>
    <t>Bg_02-28_LA_1968-12-11_Some_Look_On_the_Soul_As_Amazing.mp3</t>
  </si>
  <si>
    <t>https://audio.iskcondesiretree.com/01_-_Srila_Prabhupada/01_-_Lectures/01_-_English/02_-_Month_wise/12_-_December/11/Bg_02-28_LA_1968-12-11_Some_Look_On_the_Soul_As_Amazing.mp3</t>
  </si>
  <si>
    <t>SP_BG_02-40-45_Los_Angeles_1968-12-13_Material_vs._Spiritual_Culture.mp3</t>
  </si>
  <si>
    <t>https://audio.iskcondesiretree.com/01_-_Srila_Prabhupada/01_-_Lectures/01_-_English/01_-_Topic_wise/Bhagavad_Gita/Chapter-02/SP_BG_02-40-45_Los_Angeles_1968-12-13_Material_vs._Spiritual_Culture.mp3</t>
  </si>
  <si>
    <t>SP_BG_02-40_Los_Angeles_1968-12-13_Material_vs._Spiritual_Culture.mp3</t>
  </si>
  <si>
    <t>https://audio.iskcondesiretree.com/01_-_Srila_Prabhupada/01_-_Lectures/01_-_English/01_-_Topic_wise/Bhagavad_Gita/Chapter-02/SP_BG_02-40_Los_Angeles_1968-12-13_Material_vs._Spiritual_Culture.mp3</t>
  </si>
  <si>
    <t>Bg_02-40_LA_1968-12-13_Material_vs_Spiritual_Culture.mp3</t>
  </si>
  <si>
    <t>https://audio.iskcondesiretree.com/01_-_Srila_Prabhupada/01_-_Lectures/01_-_English/02_-_Month_wise/12_-_December/13/Bg_02-40_LA_1968-12-13_Material_vs_Spiritual_Culture.mp3</t>
  </si>
  <si>
    <t>SP_BG_02-19-25_Los_Angeles_1968-12-14_Learning_the_Science_of_the_Soul.mp3</t>
  </si>
  <si>
    <t>https://audio.iskcondesiretree.com/01_-_Srila_Prabhupada/01_-_Lectures/01_-_English/01_-_Topic_wise/Bhagavad_Gita/Chapter-02/SP_BG_02-19-25_Los_Angeles_1968-12-14_Learning_the_Science_of_the_Soul.mp3</t>
  </si>
  <si>
    <t>Bg_02-19_LA_1968-12-14_Learning_the_Science_of_the_Soul.mp3</t>
  </si>
  <si>
    <t>https://audio.iskcondesiretree.com/01_-_Srila_Prabhupada/01_-_Lectures/01_-_English/02_-_Month_wise/12_-_December/14/Bg_02-19_LA_1968-12-14_Learning_the_Science_of_the_Soul.mp3</t>
  </si>
  <si>
    <t>SP_BG_02-46-62_Los_Angeles_1968-12-16_The_Miser_and_the_Mahatma.mp3</t>
  </si>
  <si>
    <t>https://audio.iskcondesiretree.com/01_-_Srila_Prabhupada/01_-_Lectures/01_-_English/01_-_Topic_wise/Bhagavad_Gita/Chapter-02/SP_BG_02-46-62_Los_Angeles_1968-12-16_The_Miser_and_the_Mahatma.mp3</t>
  </si>
  <si>
    <t>Bg_02-46_LA_1968-12-16_The_Miser_and_the_Mahatma.mp3</t>
  </si>
  <si>
    <t>https://audio.iskcondesiretree.com/01_-_Srila_Prabhupada/01_-_Lectures/01_-_English/02_-_Month_wise/12_-_December/16/Bg_02-46_LA_1968-12-16_The_Miser_and_the_Mahatma.mp3</t>
  </si>
  <si>
    <t>SP_BG_02-62-72_Los_Angeles_1968-12-19_Secret_of_Controlling_the_Senses.mp3</t>
  </si>
  <si>
    <t>https://audio.iskcondesiretree.com/01_-_Srila_Prabhupada/01_-_Lectures/01_-_English/01_-_Topic_wise/Bhagavad_Gita/Chapter-02/SP_BG_02-62-72_Los_Angeles_1968-12-19_Secret_of_Controlling_the_Senses.mp3</t>
  </si>
  <si>
    <t>SP_Lecture_Los_Angeles_1968-12-19_Initiation--Avoiding_the_Ten_Offenses.mp3</t>
  </si>
  <si>
    <t>https://audio.iskcondesiretree.com/01_-_Srila_Prabhupada/01_-_Lectures/01_-_English/01_-_Topic_wise/Various/SP_Lecture_Los_Angeles_1968-12-19_Initiation--Avoiding_the_Ten_Offenses.mp3</t>
  </si>
  <si>
    <t>Bg_02-62_LA_1968-12-19_Secret_of_Controlling_the_Senses.mp3</t>
  </si>
  <si>
    <t>https://audio.iskcondesiretree.com/01_-_Srila_Prabhupada/01_-_Lectures/01_-_English/02_-_Month_wise/12_-_December/19/Bg_02-62_LA_1968-12-19_Secret_of_Controlling_the_Senses.mp3</t>
  </si>
  <si>
    <t>Lect_LA_1968-12-19_Initiation-Avoiding_the_Ten_Offenses.mp3</t>
  </si>
  <si>
    <t>https://audio.iskcondesiretree.com/01_-_Srila_Prabhupada/01_-_Lectures/01_-_English/02_-_Month_wise/12_-_December/19/Lect_LA_1968-12-19_Initiation-Avoiding_the_Ten_Offenses.mp3</t>
  </si>
  <si>
    <t>SP_BG_03-01-05_Los_Angeles_1968-12-20_Philosophy_%26_Religion_Combined.mp3</t>
  </si>
  <si>
    <t>https://audio.iskcondesiretree.com/01_-_Srila_Prabhupada/01_-_Lectures/01_-_English/01_-_Topic_wise/Bhagavad_Gita/Chapter-03/SP_BG_03-01-05_Los_Angeles_1968-12-20_Philosophy_%26_Religion_Combined.mp3</t>
  </si>
  <si>
    <t>Bg_03-01_LA_1968-12-20_Philosophy_%26_Religion_Combined.mp3</t>
  </si>
  <si>
    <t>https://audio.iskcondesiretree.com/01_-_Srila_Prabhupada/01_-_Lectures/01_-_English/02_-_Month_wise/12_-_December/20/Bg_03-01_LA_1968-12-20_Philosophy_%26_Religion_Combined.mp3</t>
  </si>
  <si>
    <t>SP_Interview_Los_Angeles_1968-12-22_Press--Manifesto_of_Krsna_Consciousness.mp3</t>
  </si>
  <si>
    <t>https://audio.iskcondesiretree.com/01_-_Srila_Prabhupada/01_-_Lectures/01_-_English/01_-_Topic_wise/Interview/SP_Interview_Los_Angeles_1968-12-22_Press--Manifesto_of_Krsna_Consciousness.mp3</t>
  </si>
  <si>
    <t>Interv_LA_1968-12-22_Press--Manifesto_of_Krsna_Consciousness.mp3</t>
  </si>
  <si>
    <t>https://audio.iskcondesiretree.com/01_-_Srila_Prabhupada/01_-_Lectures/01_-_English/02_-_Month_wise/12_-_December/22/Interv_LA_1968-12-22_Press--Manifesto_of_Krsna_Consciousness.mp3</t>
  </si>
  <si>
    <t>SP_BG_03-06-10_Los_Angeles_1968-12-23_From_Pretension_to_Purity.mp3</t>
  </si>
  <si>
    <t>https://audio.iskcondesiretree.com/01_-_Srila_Prabhupada/01_-_Lectures/01_-_English/01_-_Topic_wise/Bhagavad_Gita/Chapter-03/SP_BG_03-06-10_Los_Angeles_1968-12-23_From_Pretension_to_Purity.mp3</t>
  </si>
  <si>
    <t>SP_Lecture_Los_Angeles_1968-12-23_Message_to_London_Temple.mp3</t>
  </si>
  <si>
    <t>https://audio.iskcondesiretree.com/01_-_Srila_Prabhupada/01_-_Lectures/01_-_English/01_-_Topic_wise/Various/SP_Lecture_Los_Angeles_1968-12-23_Message_to_London_Temple.mp3</t>
  </si>
  <si>
    <t>Bg_03-06_LA_1968-12-23_From_Pretension_to_Purity.mp3</t>
  </si>
  <si>
    <t>https://audio.iskcondesiretree.com/01_-_Srila_Prabhupada/01_-_Lectures/01_-_English/02_-_Month_wise/12_-_December/23/Bg_03-06_LA_1968-12-23_From_Pretension_to_Purity.mp3</t>
  </si>
  <si>
    <t>Lect_LA_1968-12-23_Message_to_London_Temple.mp3</t>
  </si>
  <si>
    <t>https://audio.iskcondesiretree.com/01_-_Srila_Prabhupada/01_-_Lectures/01_-_English/02_-_Month_wise/12_-_December/23/Lect_LA_1968-12-23_Message_to_London_Temple.mp3</t>
  </si>
  <si>
    <t>SP_Interview_Los_Angeles_1968-12-26_Press-LA_Times--Lunacy_of_Moon_Mission.mp3</t>
  </si>
  <si>
    <t>https://audio.iskcondesiretree.com/01_-_Srila_Prabhupada/01_-_Lectures/01_-_English/01_-_Topic_wise/Interview/SP_Interview_Los_Angeles_1968-12-26_Press-LA_Times--Lunacy_of_Moon_Mission.mp3</t>
  </si>
  <si>
    <t>Interv_LA_1968-12-26_Press-LA_Times-Lunacy_of_Moon_Mission.mp3</t>
  </si>
  <si>
    <t>https://audio.iskcondesiretree.com/01_-_Srila_Prabhupada/01_-_Lectures/01_-_English/02_-_Month_wise/12_-_December/26/Interv_LA_1968-12-26_Press-LA_Times-Lunacy_of_Moon_Mission.mp3</t>
  </si>
  <si>
    <t>SP_BG_03-11-19_Los_Angeles_1968-12-27_There_Is_No_Overpopulation.mp3</t>
  </si>
  <si>
    <t>https://audio.iskcondesiretree.com/01_-_Srila_Prabhupada/01_-_Lectures/01_-_English/01_-_Topic_wise/Bhagavad_Gita/Chapter-03/SP_BG_03-11-19_Los_Angeles_1968-12-27_There_Is_No_Overpopulation.mp3</t>
  </si>
  <si>
    <t>Bg_03-11_LA_1968-12-27_There_Is_No_Overpopulation.mp3</t>
  </si>
  <si>
    <t>https://audio.iskcondesiretree.com/01_-_Srila_Prabhupada/01_-_Lectures/01_-_English/02_-_Month_wise/12_-_December/27/Bg_03-11_LA_1968-12-27_There_Is_No_Overpopulation.mp3</t>
  </si>
  <si>
    <t>SP_BG_03-18-30_Los_Angeles_1968-12-30_How_a_Self_Realized_Soul_Acts.mp3</t>
  </si>
  <si>
    <t>https://audio.iskcondesiretree.com/01_-_Srila_Prabhupada/01_-_Lectures/01_-_English/01_-_Topic_wise/Bhagavad_Gita/Chapter-03/SP_BG_03-18-30_Los_Angeles_1968-12-30_How_a_Self_Realized_Soul_Acts.mp3</t>
  </si>
  <si>
    <t>SP_Interview_Los_Angeles_1968-12-30_Press-New_Cosmic_Star--Progress--etc.mp3</t>
  </si>
  <si>
    <t>https://audio.iskcondesiretree.com/01_-_Srila_Prabhupada/01_-_Lectures/01_-_English/01_-_Topic_wise/Interview/SP_Interview_Los_Angeles_1968-12-30_Press-New_Cosmic_Star--Progress--etc.mp3</t>
  </si>
  <si>
    <t>Bg_03-18_LA_1968-12-30_How_a_Self_Realized_Soul_Acts.mp3</t>
  </si>
  <si>
    <t>https://audio.iskcondesiretree.com/01_-_Srila_Prabhupada/01_-_Lectures/01_-_English/02_-_Month_wise/12_-_December/30/Bg_03-18_LA_1968-12-30_How_a_Self_Realized_Soul_Acts.mp3</t>
  </si>
  <si>
    <t>Interv_LA_1968-12-30_Press-New_Cosmic_Star_Progress_etc.mp3</t>
  </si>
  <si>
    <t>https://audio.iskcondesiretree.com/01_-_Srila_Prabhupada/01_-_Lectures/01_-_English/02_-_Month_wise/12_-_December/30/Interv_LA_1968-12-30_Press-New_Cosmic_Star_Progress_etc.mp3</t>
  </si>
  <si>
    <t>SP_BG_03-29-43_Los_Angeles_1969-01-01_Servant_of_God_or_Dog.mp3</t>
  </si>
  <si>
    <t>https://audio.iskcondesiretree.com/01_-_Srila_Prabhupada/01_-_Lectures/01_-_English/01_-_Topic_wise/Bhagavad_Gita/Chapter-03/SP_BG_03-29-43_Los_Angeles_1969-01-01_Servant_of_God_or_Dog.mp3</t>
  </si>
  <si>
    <t>BG_03-31_LA_1969-01-01_Servant_of_God_or_Dog.mp3</t>
  </si>
  <si>
    <t>https://audio.iskcondesiretree.com/01_-_Srila_Prabhupada/01_-_Lectures/01_-_English/02_-_Month_wise/01_-_January/01/BG_03-31_LA_1969-01-01_Servant_of_God_or_Dog.mp3</t>
  </si>
  <si>
    <t>SP_BG_04-01-06_Los_Angeles_1969-01-03_The_Most_Important_Knowledge.mp3</t>
  </si>
  <si>
    <t>https://audio.iskcondesiretree.com/01_-_Srila_Prabhupada/01_-_Lectures/01_-_English/01_-_Topic_wise/Bhagavad_Gita/Chapter-04/SP_BG_04-01-06_Los_Angeles_1969-01-03_The_Most_Important_Knowledge.mp3</t>
  </si>
  <si>
    <t>Bg_04-01_LA_1969-01-03_The_Most_Important_Knowledge.mp3</t>
  </si>
  <si>
    <t>https://audio.iskcondesiretree.com/01_-_Srila_Prabhupada/01_-_Lectures/01_-_English/02_-_Month_wise/01_-_January/03/Bg_04-01_LA_1969-01-03_The_Most_Important_Knowledge.mp3</t>
  </si>
  <si>
    <t>SP_Lecture_Los_Angeles_1969-01-05_Purport_to_a_Song_by_Narottama_dasa_Thakura.mp3</t>
  </si>
  <si>
    <t>https://audio.iskcondesiretree.com/01_-_Srila_Prabhupada/01_-_Lectures/01_-_English/01_-_Topic_wise/Various/SP_Lecture_Los_Angeles_1969-01-05_Purport_to_a_Song_by_Narottama_dasa_Thakura.mp3</t>
  </si>
  <si>
    <t>Lect_LA_1969-01-05_Purport_to_a_Song_by_Narottama_dasa_Thakura.mp3</t>
  </si>
  <si>
    <t>https://audio.iskcondesiretree.com/01_-_Srila_Prabhupada/01_-_Lectures/01_-_English/02_-_Month_wise/01_-_January/05/Lect_LA_1969-01-05_Purport_to_a_Song_by_Narottama_dasa_Thakura.mp3</t>
  </si>
  <si>
    <t>SP_BG_04-06-10_Los_Angeles_1969-01-06_The_Krishna_Consciousness--etc.mp3</t>
  </si>
  <si>
    <t>https://audio.iskcondesiretree.com/01_-_Srila_Prabhupada/01_-_Lectures/01_-_English/01_-_Topic_wise/Bhagavad_Gita/Chapter-04/SP_BG_04-06-10_Los_Angeles_1969-01-06_The_Krishna_Consciousness--etc.mp3</t>
  </si>
  <si>
    <t>Bg_04-07_LA_1969-01-06_The_Krishna_Consciousness_etc.mp3</t>
  </si>
  <si>
    <t>https://audio.iskcondesiretree.com/01_-_Srila_Prabhupada/01_-_Lectures/01_-_English/02_-_Month_wise/01_-_January/06/Bg_04-07_LA_1969-01-06_The_Krishna_Consciousness_etc.mp3</t>
  </si>
  <si>
    <t>SP_Lecture_New_York_1969-01-07_Purport_to_a_Song_by_Govinda_Dasa.mp3</t>
  </si>
  <si>
    <t>https://audio.iskcondesiretree.com/01_-_Srila_Prabhupada/01_-_Lectures/01_-_English/01_-_Topic_wise/Various/SP_Lecture_New_York_1969-01-07_Purport_to_a_Song_by_Govinda_Dasa.mp3</t>
  </si>
  <si>
    <t>Lect_NY_1969-01-07_Purport_to_a_Song_by_Govinda_Dasa.mp3</t>
  </si>
  <si>
    <t>https://audio.iskcondesiretree.com/01_-_Srila_Prabhupada/01_-_Lectures/01_-_English/02_-_Month_wise/01_-_January/07/Lect_NY_1969-01-07_Purport_to_a_Song_by_Govinda_Dasa.mp3</t>
  </si>
  <si>
    <t>SP_BG_04-11-18_Los_Angeles_1969-01-08_Krishna_Belongs_to_Everyone.mp3</t>
  </si>
  <si>
    <t>https://audio.iskcondesiretree.com/01_-_Srila_Prabhupada/01_-_Lectures/01_-_English/01_-_Topic_wise/Bhagavad_Gita/Chapter-04/SP_BG_04-11-18_Los_Angeles_1969-01-08_Krishna_Belongs_to_Everyone.mp3</t>
  </si>
  <si>
    <t>Bg_04-11_LA_1969-01-08_Krishna_Belongs_to_Everyone.mp3</t>
  </si>
  <si>
    <t>https://audio.iskcondesiretree.com/01_-_Srila_Prabhupada/01_-_Lectures/01_-_English/02_-_Month_wise/01_-_January/08/Bg_04-11_LA_1969-01-08_Krishna_Belongs_to_Everyone.mp3</t>
  </si>
  <si>
    <t>SP_BG_04-19-25_Los_Angeles_1969-01-10_Curing_the_Material_Disease.mp3</t>
  </si>
  <si>
    <t>https://audio.iskcondesiretree.com/01_-_Srila_Prabhupada/01_-_Lectures/01_-_English/01_-_Topic_wise/Bhagavad_Gita/Chapter-04/SP_BG_04-19-25_Los_Angeles_1969-01-10_Curing_the_Material_Disease.mp3</t>
  </si>
  <si>
    <t>Bg_04-19_LA_1969-01-10_Curing_the_Material_Disease.mp3</t>
  </si>
  <si>
    <t>https://audio.iskcondesiretree.com/01_-_Srila_Prabhupada/01_-_Lectures/01_-_English/02_-_Month_wise/01_-_January/10/Bg_04-19_LA_1969-01-10_Curing_the_Material_Disease.mp3</t>
  </si>
  <si>
    <t>SP_Festivals_Los_Angeles_1969-01-31_Nityananda_Appearance--Song_%26_Purport.mp3</t>
  </si>
  <si>
    <t>https://audio.iskcondesiretree.com/01_-_Srila_Prabhupada/01_-_Lectures/01_-_English/01_-_Topic_wise/Festivals/SP_Festivals_Los_Angeles_1969-01-31_Nityananda_Appearance--Song_%26_Purport.mp3</t>
  </si>
  <si>
    <t>Fest_LA_1969-01-31_Nityananda_Appearance--Song_%26_Purport.mp3</t>
  </si>
  <si>
    <t>https://audio.iskcondesiretree.com/01_-_Srila_Prabhupada/01_-_Lectures/01_-_English/02_-_Month_wise/01_-_January/31/Fest_LA_1969-01-31_Nityananda_Appearance--Song_%26_Purport.mp3</t>
  </si>
  <si>
    <t>SP_Festivals_Los_Angeles_1969-02-07_Bhaktisiddhanta_Appearance.mp3</t>
  </si>
  <si>
    <t>https://audio.iskcondesiretree.com/01_-_Srila_Prabhupada/01_-_Lectures/01_-_English/01_-_Topic_wise/Festivals/SP_Festivals_Los_Angeles_1969-02-07_Bhaktisiddhanta_Appearance.mp3</t>
  </si>
  <si>
    <t>Fest_LA_1969-02-07_Bhaktisiddhanta_Appearance.mp3</t>
  </si>
  <si>
    <t>https://audio.iskcondesiretree.com/01_-_Srila_Prabhupada/01_-_Lectures/01_-_English/02_-_Month_wise/02_-_Feburary/07/Fest_LA_1969-02-07_Bhaktisiddhanta_Appearance.mp3</t>
  </si>
  <si>
    <t>SP_Lecture_Los_Angeles_1969-02-09_Guaranteed_Relief.mp3</t>
  </si>
  <si>
    <t>https://audio.iskcondesiretree.com/01_-_Srila_Prabhupada/01_-_Lectures/01_-_English/01_-_Topic_wise/Various/SP_Lecture_Los_Angeles_1969-02-09_Guaranteed_Relief.mp3</t>
  </si>
  <si>
    <t>Lect_LA_1969-02-09_Guaranteed_Relief.mp3</t>
  </si>
  <si>
    <t>https://audio.iskcondesiretree.com/01_-_Srila_Prabhupada/01_-_Lectures/01_-_English/02_-_Month_wise/02_-_Feburary/09/Lect_LA_1969-02-09_Guaranteed_Relief.mp3</t>
  </si>
  <si>
    <t>SP_Lecture_Los_Angeles_1969-02-10_Our_Natural_Nectarean_Life.mp3</t>
  </si>
  <si>
    <t>https://audio.iskcondesiretree.com/01_-_Srila_Prabhupada/01_-_Lectures/01_-_English/01_-_Topic_wise/Various/SP_Lecture_Los_Angeles_1969-02-10_Our_Natural_Nectarean_Life.mp3</t>
  </si>
  <si>
    <t>Lect_LA_1969-02-10_Our_Natural_Nectarean_Life.mp3</t>
  </si>
  <si>
    <t>https://audio.iskcondesiretree.com/01_-_Srila_Prabhupada/01_-_Lectures/01_-_English/02_-_Month_wise/02_-_Feburary/10/Lect_LA_1969-02-10_Our_Natural_Nectarean_Life.mp3</t>
  </si>
  <si>
    <t>SP_BG_06-01_Los_Angeles_1969-02-13_Yoga_System--Everything_Is_Spiritual.mp3</t>
  </si>
  <si>
    <t>https://audio.iskcondesiretree.com/01_-_Srila_Prabhupada/01_-_Lectures/01_-_English/01_-_Topic_wise/Bhagavad_Gita/Chapter-06/SP_BG_06-01_Los_Angeles_1969-02-13_Yoga_System--Everything_Is_Spiritual.mp3</t>
  </si>
  <si>
    <t>Bg_06-01_LA_1969-02-13_Yoga_System--Everything_Is_Spiritual.mp3</t>
  </si>
  <si>
    <t>https://audio.iskcondesiretree.com/01_-_Srila_Prabhupada/01_-_Lectures/01_-_English/02_-_Month_wise/02_-_Feburary/13/Bg_06-01_LA_1969-02-13_Yoga_System--Everything_Is_Spiritual.mp3</t>
  </si>
  <si>
    <t>SP_BG_06-02-05_Los_Angeles_1969-02-14_Yoga_System--The_Yoga_Ladder.mp3</t>
  </si>
  <si>
    <t>https://audio.iskcondesiretree.com/01_-_Srila_Prabhupada/01_-_Lectures/01_-_English/01_-_Topic_wise/Bhagavad_Gita/Chapter-06/SP_BG_06-02-05_Los_Angeles_1969-02-14_Yoga_System--The_Yoga_Ladder.mp3</t>
  </si>
  <si>
    <t>Bg_06-02_LA_1969-02-14_Yoga_System--The_Yoga_Ladder.mp3</t>
  </si>
  <si>
    <t>https://audio.iskcondesiretree.com/01_-_Srila_Prabhupada/01_-_Lectures/01_-_English/02_-_Month_wise/02_-_Feburary/14/Bg_06-02_LA_1969-02-14_Yoga_System--The_Yoga_Ladder.mp3</t>
  </si>
  <si>
    <t>SP_BG_06-06_Los_Angeles_1969-02-15_Yoga_System--Conquering_the_Mind.mp3</t>
  </si>
  <si>
    <t>https://audio.iskcondesiretree.com/01_-_Srila_Prabhupada/01_-_Lectures/01_-_English/01_-_Topic_wise/Bhagavad_Gita/Chapter-06/SP_BG_06-06_Los_Angeles_1969-02-15_Yoga_System--Conquering_the_Mind.mp3</t>
  </si>
  <si>
    <t>Bg_06-06_LA_1969-02-15_Yoga_System--Conquering_the_Mind.mp3</t>
  </si>
  <si>
    <t>https://audio.iskcondesiretree.com/01_-_Srila_Prabhupada/01_-_Lectures/01_-_English/02_-_Month_wise/02_-_Feburary/15/Bg_06-06_LA_1969-02-15_Yoga_System--Conquering_the_Mind.mp3</t>
  </si>
  <si>
    <t>SP_BG_06-13-15_Los_Angeles_1969-02-16_Yoga_System--We_Want_Something--etc.mp3</t>
  </si>
  <si>
    <t>https://audio.iskcondesiretree.com/01_-_Srila_Prabhupada/01_-_Lectures/01_-_English/01_-_Topic_wise/Bhagavad_Gita/Chapter-06/SP_BG_06-13-15_Los_Angeles_1969-02-16_Yoga_System--We_Want_Something--etc.mp3</t>
  </si>
  <si>
    <t>Bg_06-13_LA_1969-02-16_Yoga_System--We_Want_Something_etc.mp3</t>
  </si>
  <si>
    <t>https://audio.iskcondesiretree.com/01_-_Srila_Prabhupada/01_-_Lectures/01_-_English/02_-_Month_wise/02_-_Feburary/16/Bg_06-13_LA_1969-02-16_Yoga_System--We_Want_Something_etc.mp3</t>
  </si>
  <si>
    <t>SP_BG_06-16-24_Los_Angeles_1969-02-17_Yoga_System--Keep_This_Useless_Body_Fit.mp3</t>
  </si>
  <si>
    <t>https://audio.iskcondesiretree.com/01_-_Srila_Prabhupada/01_-_Lectures/01_-_English/01_-_Topic_wise/Bhagavad_Gita/Chapter-06/SP_BG_06-16-24_Los_Angeles_1969-02-17_Yoga_System--Keep_This_Useless_Body_Fit.mp3</t>
  </si>
  <si>
    <t>Bg_06-16_LA_1969-02-17_Yoga_System--Keep_This_Useless_Body_Fit.mp3</t>
  </si>
  <si>
    <t>https://audio.iskcondesiretree.com/01_-_Srila_Prabhupada/01_-_Lectures/01_-_English/02_-_Month_wise/02_-_Feburary/17/Bg_06-16_LA_1969-02-17_Yoga_System--Keep_This_Useless_Body_Fit.mp3</t>
  </si>
  <si>
    <t>SP_BG_06-25-29_Los_Angeles_1969-02-18_Yoga_System--Be_Self-Centered.mp3</t>
  </si>
  <si>
    <t>https://audio.iskcondesiretree.com/01_-_Srila_Prabhupada/01_-_Lectures/01_-_English/01_-_Topic_wise/Bhagavad_Gita/Chapter-06/SP_BG_06-25-29_Los_Angeles_1969-02-18_Yoga_System--Be_Self-Centered.mp3</t>
  </si>
  <si>
    <t>Bg_06-25_LA_1969-02-18_Yoga_System--Be_Self-Centered.mp3</t>
  </si>
  <si>
    <t>https://audio.iskcondesiretree.com/01_-_Srila_Prabhupada/01_-_Lectures/01_-_English/02_-_Month_wise/02_-_Feburary/18/Bg_06-25_LA_1969-02-18_Yoga_System--Be_Self-Centered.mp3</t>
  </si>
  <si>
    <t>SP_BG_06-30-34_Los_Angeles_1969-02-19_Yoga_System--UNIVERSAL_LOVE----etc.mp3</t>
  </si>
  <si>
    <t>https://audio.iskcondesiretree.com/01_-_Srila_Prabhupada/01_-_Lectures/01_-_English/01_-_Topic_wise/Bhagavad_Gita/Chapter-06/SP_BG_06-30-34_Los_Angeles_1969-02-19_Yoga_System--UNIVERSAL_LOVE----etc.mp3</t>
  </si>
  <si>
    <t>Bg_06-30_LA_1969-02-19_Yoga_System--UNIVERSAL_LOVE_etc.mp3</t>
  </si>
  <si>
    <t>https://audio.iskcondesiretree.com/01_-_Srila_Prabhupada/01_-_Lectures/01_-_English/02_-_Month_wise/02_-_Feburary/19/Bg_06-30_LA_1969-02-19_Yoga_System--UNIVERSAL_LOVE_etc.mp3</t>
  </si>
  <si>
    <t>SP_Festivals_Hawaii_1969-03-05_Day_After_Gaura_Purnima-01.mp3</t>
  </si>
  <si>
    <t>https://audio.iskcondesiretree.com/01_-_Srila_Prabhupada/01_-_Lectures/01_-_English/01_-_Topic_wise/Festivals/SP_Festivals_Hawaii_1969-03-05_Day_After_Gaura_Purnima-01.mp3</t>
  </si>
  <si>
    <t>SP_Festivals_Hawaii_1969-03-05_Day_After_Gaura_Purnima-02.mp3</t>
  </si>
  <si>
    <t>https://audio.iskcondesiretree.com/01_-_Srila_Prabhupada/01_-_Lectures/01_-_English/01_-_Topic_wise/Festivals/SP_Festivals_Hawaii_1969-03-05_Day_After_Gaura_Purnima-02.mp3</t>
  </si>
  <si>
    <t>Fest_HAW_1969-03-05_Day_After_Gaura_Purnima-A.mp3</t>
  </si>
  <si>
    <t>https://audio.iskcondesiretree.com/01_-_Srila_Prabhupada/01_-_Lectures/01_-_English/02_-_Month_wise/03_-_March/05/Fest_HAW_1969-03-05_Day_After_Gaura_Purnima-A.mp3</t>
  </si>
  <si>
    <t>Fest_HAW_1969-03-05_Day_After_Gaura_Purnima-B.mp3</t>
  </si>
  <si>
    <t>https://audio.iskcondesiretree.com/01_-_Srila_Prabhupada/01_-_Lectures/01_-_English/02_-_Month_wise/03_-_March/05/Fest_HAW_1969-03-05_Day_After_Gaura_Purnima-B.mp3</t>
  </si>
  <si>
    <t>SP_Lecture_Honolulu_1969-03-23_Everyone_Can_Get_the_Highest--etc.mp3</t>
  </si>
  <si>
    <t>https://audio.iskcondesiretree.com/01_-_Srila_Prabhupada/01_-_Lectures/01_-_English/01_-_Topic_wise/Various/SP_Lecture_Honolulu_1969-03-23_Everyone_Can_Get_the_Highest--etc.mp3</t>
  </si>
  <si>
    <t>Lect_HON_1969-03-23_Everyone_Can_Get_the_Highest_etc.mp3</t>
  </si>
  <si>
    <t>https://audio.iskcondesiretree.com/01_-_Srila_Prabhupada/01_-_Lectures/01_-_English/02_-_Month_wise/03_-_March/23/Lect_HON_1969-03-23_Everyone_Can_Get_the_Highest_etc.mp3</t>
  </si>
  <si>
    <t>SP_SB_7-09-11_Honolulu_1969-03-24_Krishna_Help_Me_Forget_You.--etc.mp3</t>
  </si>
  <si>
    <t>https://audio.iskcondesiretree.com/01_-_Srila_Prabhupada/01_-_Lectures/01_-_English/01_-_Topic_wise/Srimad_Bhagavatam/Canto-07/SP_SB_7-09-11_Honolulu_1969-03-24_Krishna_Help_Me_Forget_You.--etc.mp3</t>
  </si>
  <si>
    <t>SB_7-09-11_HON_1969-03-24_Krishna_Help_Me_Forget_You_etc.mp3</t>
  </si>
  <si>
    <t>https://audio.iskcondesiretree.com/01_-_Srila_Prabhupada/01_-_Lectures/01_-_English/02_-_Month_wise/03_-_March/24/SB_7-09-11_HON_1969-03-24_Krishna_Help_Me_Forget_You_etc.mp3</t>
  </si>
  <si>
    <t>SP_Festivals_Hawaii_1969-03-27_Rama_Navami.mp3</t>
  </si>
  <si>
    <t>https://audio.iskcondesiretree.com/01_-_Srila_Prabhupada/01_-_Lectures/01_-_English/01_-_Topic_wise/Festivals/SP_Festivals_Hawaii_1969-03-27_Rama_Navami.mp3</t>
  </si>
  <si>
    <t>Fest_HAW_1969-03-27_Rama_Navami.mp3</t>
  </si>
  <si>
    <t>https://audio.iskcondesiretree.com/01_-_Srila_Prabhupada/01_-_Lectures/01_-_English/02_-_Month_wise/03_-_March/27/Fest_HAW_1969-03-27_Rama_Navami.mp3</t>
  </si>
  <si>
    <t>SP_SB_7-06-01_New_York_1969-04-09_Why_Are_You_Spoiling_My_Boy.mp3</t>
  </si>
  <si>
    <t>https://audio.iskcondesiretree.com/01_-_Srila_Prabhupada/01_-_Lectures/01_-_English/01_-_Topic_wise/Srimad_Bhagavatam/Canto-07/SP_SB_7-06-01_New_York_1969-04-09_Why_Are_You_Spoiling_My_Boy.mp3</t>
  </si>
  <si>
    <t>SP_Lecture_New_York_1969-04-09_Practical_Renunciation.mp3</t>
  </si>
  <si>
    <t>https://audio.iskcondesiretree.com/01_-_Srila_Prabhupada/01_-_Lectures/01_-_English/01_-_Topic_wise/Various/SP_Lecture_New_York_1969-04-09_Practical_Renunciation.mp3</t>
  </si>
  <si>
    <t>Lect_NY_1969-04-09_Practical_Renunciation.mp3</t>
  </si>
  <si>
    <t>https://audio.iskcondesiretree.com/01_-_Srila_Prabhupada/01_-_Lectures/01_-_English/02_-_Month_wise/04_-_April/09/Lect_NY_1969-04-09_Practical_Renunciation.mp3</t>
  </si>
  <si>
    <t>SB_7-06-01_NY_1969-04-09_Why_Are_You_Spoiling_My_Boy.mp3</t>
  </si>
  <si>
    <t>https://audio.iskcondesiretree.com/01_-_Srila_Prabhupada/01_-_Lectures/01_-_English/02_-_Month_wise/04_-_April/09/SB_7-06-01_NY_1969-04-09_Why_Are_You_Spoiling_My_Boy.mp3</t>
  </si>
  <si>
    <t>SP_SB_2-01-01_New_York_1969-04-10_The_Krishna-Approaching_Body.mp3</t>
  </si>
  <si>
    <t>https://audio.iskcondesiretree.com/01_-_Srila_Prabhupada/01_-_Lectures/01_-_English/01_-_Topic_wise/Srimad_Bhagavatam/Canto-02/SP_SB_2-01-01_New_York_1969-04-10_The_Krishna-Approaching_Body.mp3</t>
  </si>
  <si>
    <t>SB_2-01-01_NY_1969-04-10_The_Krishna-Approaching_Body.mp3</t>
  </si>
  <si>
    <t>https://audio.iskcondesiretree.com/01_-_Srila_Prabhupada/01_-_Lectures/01_-_English/02_-_Month_wise/04_-_April/10/SB_2-01-01_NY_1969-04-10_The_Krishna-Approaching_Body.mp3</t>
  </si>
  <si>
    <t>SP_Lecture_New_York_1969-04-11_One_Who_Does_Not_Understand--etc.mp3</t>
  </si>
  <si>
    <t>https://audio.iskcondesiretree.com/01_-_Srila_Prabhupada/01_-_Lectures/01_-_English/01_-_Topic_wise/Various/SP_Lecture_New_York_1969-04-11_One_Who_Does_Not_Understand--etc.mp3</t>
  </si>
  <si>
    <t>Lect_NY_1969-04-11_One_Who_Does_Not_Understand_etc.mp3</t>
  </si>
  <si>
    <t>https://audio.iskcondesiretree.com/01_-_Srila_Prabhupada/01_-_Lectures/01_-_English/02_-_Month_wise/04_-_April/11/Lect_NY_1969-04-11_One_Who_Does_Not_Understand_etc.mp3</t>
  </si>
  <si>
    <t>Canto-11</t>
  </si>
  <si>
    <t>SP_SB_11-03-21_New_York_1969-04-13_Commanders-in-Chief_in_the--etc.mp3</t>
  </si>
  <si>
    <t>https://audio.iskcondesiretree.com/01_-_Srila_Prabhupada/01_-_Lectures/01_-_English/01_-_Topic_wise/Srimad_Bhagavatam/Canto-11/SP_SB_11-03-21_New_York_1969-04-13_Commanders-in-Chief_in_the--etc.mp3</t>
  </si>
  <si>
    <t>SB_E-11-03-21_NY_1969-04-13_Commanders-in-Chief_in_the_etc.mp3</t>
  </si>
  <si>
    <t>https://audio.iskcondesiretree.com/01_-_Srila_Prabhupada/01_-_Lectures/01_-_English/02_-_Month_wise/04_-_April/13/SB_E-11-03-21_NY_1969-04-13_Commanders-in-Chief_in_the_etc.mp3</t>
  </si>
  <si>
    <t>SP_Lecture_New_York_1969-04-17_Krishna_Obliged_Me_to_Come_With--etc.mp3</t>
  </si>
  <si>
    <t>https://audio.iskcondesiretree.com/01_-_Srila_Prabhupada/01_-_Lectures/01_-_English/01_-_Topic_wise/Various/SP_Lecture_New_York_1969-04-17_Krishna_Obliged_Me_to_Come_With--etc.mp3</t>
  </si>
  <si>
    <t>Lect_NY_1969-04-17_Krishna_Obliged_Me_to_Come_With_etc.mp3</t>
  </si>
  <si>
    <t>https://audio.iskcondesiretree.com/01_-_Srila_Prabhupada/01_-_Lectures/01_-_English/02_-_Month_wise/04_-_April/17/Lect_NY_1969-04-17_Krishna_Obliged_Me_to_Come_With_etc.mp3</t>
  </si>
  <si>
    <t>SP_Room_Conversation_Boston_1969-04-29_Hippies_Mayapur_Be_Sinners_But_We_Raise_Them.mp3</t>
  </si>
  <si>
    <t>https://audio.iskcondesiretree.com/01_-_Srila_Prabhupada/01_-_Lectures/01_-_English/01_-_Topic_wise/Room_Conversation/SP_Room_Conversation_Boston_1969-04-29_Hippies_Mayapur_Be_Sinners_But_We_Raise_Them.mp3</t>
  </si>
  <si>
    <t>RC_BOS_1969-04-29_Hippies_May_Be_Sinners_But_We_Raise_Them.mp3</t>
  </si>
  <si>
    <t>https://audio.iskcondesiretree.com/01_-_Srila_Prabhupada/01_-_Lectures/01_-_English/02_-_Month_wise/04_-_April/29/RC_BOS_1969-04-29_Hippies_May_Be_Sinners_But_We_Raise_Them.mp3</t>
  </si>
  <si>
    <t>SP_Festivals_Boston_1969-05-01_Lord_Nrsimhadevas_Appearance.mp3</t>
  </si>
  <si>
    <t>https://audio.iskcondesiretree.com/01_-_Srila_Prabhupada/01_-_Lectures/01_-_English/01_-_Topic_wise/Festivals/SP_Festivals_Boston_1969-05-01_Lord_Nrsimhadevas_Appearance.mp3</t>
  </si>
  <si>
    <t>SP_Lecture_Boston_1969-05-01_Krishna_Conscious_-_Very_Kind.mp3</t>
  </si>
  <si>
    <t>https://audio.iskcondesiretree.com/01_-_Srila_Prabhupada/01_-_Lectures/01_-_English/01_-_Topic_wise/Various/SP_Lecture_Boston_1969-05-01_Krishna_Conscious_-_Very_Kind.mp3</t>
  </si>
  <si>
    <t>Fest_BOS_1969-05-01_Lord_Nrsimhadevas_Appearance.mp3</t>
  </si>
  <si>
    <t>https://audio.iskcondesiretree.com/01_-_Srila_Prabhupada/01_-_Lectures/01_-_English/02_-_Month_wise/05_-_May/01/Fest_BOS_1969-05-01_Lord_Nrsimhadevas_Appearance.mp3</t>
  </si>
  <si>
    <t>Lect_BOS_1969-05-01_Krishna_Conscious_Very_Kind.mp3</t>
  </si>
  <si>
    <t>https://audio.iskcondesiretree.com/01_-_Srila_Prabhupada/01_-_Lectures/01_-_English/02_-_Month_wise/05_-_May/01/Lect_BOS_1969-05-01_Krishna_Conscious_Very_Kind.mp3</t>
  </si>
  <si>
    <t>SP_Lecture_Boston_1969-05-03_To_Students--Well_Centered--etc.mp3</t>
  </si>
  <si>
    <t>https://audio.iskcondesiretree.com/01_-_Srila_Prabhupada/01_-_Lectures/01_-_English/01_-_Topic_wise/Various/SP_Lecture_Boston_1969-05-03_To_Students--Well_Centered--etc.mp3</t>
  </si>
  <si>
    <t>Lect_BOS_1969-05-03_To_Students_Well_Centered_etc.mp3</t>
  </si>
  <si>
    <t>https://audio.iskcondesiretree.com/01_-_Srila_Prabhupada/01_-_Lectures/01_-_English/02_-_Month_wise/05_-_May/03/Lect_BOS_1969-05-03_To_Students_Well_Centered_etc.mp3</t>
  </si>
  <si>
    <t>SP_BG_04-01-02_Columbus_1969-05-09_Big_Scholars_Can%27t_Get_What--etc.mp3</t>
  </si>
  <si>
    <t>https://audio.iskcondesiretree.com/01_-_Srila_Prabhupada/01_-_Lectures/01_-_English/01_-_Topic_wise/Bhagavad_Gita/Chapter-04/SP_BG_04-01-02_Columbus_1969-05-09_Big_Scholars_Can%27t_Get_What--etc.mp3</t>
  </si>
  <si>
    <t>SP_BG_04-01_Columbus_1969-05-09_Big_Scholars_Can%27t_Get_What--etc.mp3</t>
  </si>
  <si>
    <t>https://audio.iskcondesiretree.com/01_-_Srila_Prabhupada/01_-_Lectures/01_-_English/01_-_Topic_wise/Bhagavad_Gita/Chapter-04/SP_BG_04-01_Columbus_1969-05-09_Big_Scholars_Can%27t_Get_What--etc.mp3</t>
  </si>
  <si>
    <t>SP_Festivals_Columbus_1969-05-09_Temple_Opening--Religion_Means--etc.mp3</t>
  </si>
  <si>
    <t>https://audio.iskcondesiretree.com/01_-_Srila_Prabhupada/01_-_Lectures/01_-_English/01_-_Topic_wise/Festivals/SP_Festivals_Columbus_1969-05-09_Temple_Opening--Religion_Means--etc.mp3</t>
  </si>
  <si>
    <t>Bg_04-01_COL_1969-05-09_Big_Scholars_Can%27t_Get_What_etc.mp3</t>
  </si>
  <si>
    <t>https://audio.iskcondesiretree.com/01_-_Srila_Prabhupada/01_-_Lectures/01_-_English/02_-_Month_wise/05_-_May/09/Bg_04-01_COL_1969-05-09_Big_Scholars_Can%27t_Get_What_etc.mp3</t>
  </si>
  <si>
    <t>Fest_COL_1969-05-09_Temple_Opening--Religion_Means_etc.mp3</t>
  </si>
  <si>
    <t>https://audio.iskcondesiretree.com/01_-_Srila_Prabhupada/01_-_Lectures/01_-_English/02_-_Month_wise/05_-_May/09/Fest_COL_1969-05-09_Temple_Opening--Religion_Means_etc.mp3</t>
  </si>
  <si>
    <t>SP_Room_Conversation_Columbus_1969-05-10_Follow_Christ_or_Buddha_or_Krishna--etc.mp3</t>
  </si>
  <si>
    <t>https://audio.iskcondesiretree.com/01_-_Srila_Prabhupada/01_-_Lectures/01_-_English/01_-_Topic_wise/Room_Conversation/SP_Room_Conversation_Columbus_1969-05-10_Follow_Christ_or_Buddha_or_Krishna--etc.mp3</t>
  </si>
  <si>
    <t>SP_Room_Conversation_Columbus_1969-05-10_Seed_of_Frustration.mp3</t>
  </si>
  <si>
    <t>https://audio.iskcondesiretree.com/01_-_Srila_Prabhupada/01_-_Lectures/01_-_English/01_-_Topic_wise/Room_Conversation/SP_Room_Conversation_Columbus_1969-05-10_Seed_of_Frustration.mp3</t>
  </si>
  <si>
    <t>RC_COL_1969-05-10_Follow_Christ_or_Buddha_or_Krishna_etc.mp3</t>
  </si>
  <si>
    <t>https://audio.iskcondesiretree.com/01_-_Srila_Prabhupada/01_-_Lectures/01_-_English/02_-_Month_wise/05_-_May/10/RC_COL_1969-05-10_Follow_Christ_or_Buddha_or_Krishna_etc.mp3</t>
  </si>
  <si>
    <t>RC_COL_1969-05-10_Seed_of_Frustration.mp3</t>
  </si>
  <si>
    <t>https://audio.iskcondesiretree.com/01_-_Srila_Prabhupada/01_-_Lectures/01_-_English/02_-_Month_wise/05_-_May/10/RC_COL_1969-05-10_Seed_of_Frustration.mp3</t>
  </si>
  <si>
    <t>Arrival_Address</t>
  </si>
  <si>
    <t>SP_Address_Columbus_1969-05-11_Addr_to_Indian_Association.mp3</t>
  </si>
  <si>
    <t>https://audio.iskcondesiretree.com/01_-_Srila_Prabhupada/01_-_Lectures/01_-_English/01_-_Topic_wise/Arrival_Address/SP_Address_Columbus_1969-05-11_Addr_to_Indian_Association.mp3</t>
  </si>
  <si>
    <t>SP_Room_Conversation_Columbus_1969-05-11_Allen_Ginsberg--Freedom_Is_Frustration.mp3</t>
  </si>
  <si>
    <t>https://audio.iskcondesiretree.com/01_-_Srila_Prabhupada/01_-_Lectures/01_-_English/01_-_Topic_wise/Room_Conversation/SP_Room_Conversation_Columbus_1969-05-11_Allen_Ginsberg--Freedom_Is_Frustration.mp3</t>
  </si>
  <si>
    <t>Addr_COL_1969-05-11_Addr_to_Indian_Association.mp3</t>
  </si>
  <si>
    <t>https://audio.iskcondesiretree.com/01_-_Srila_Prabhupada/01_-_Lectures/01_-_English/02_-_Month_wise/05_-_May/11/Addr_COL_1969-05-11_Addr_to_Indian_Association.mp3</t>
  </si>
  <si>
    <t>RC_COL_1969-05-11_Allen_Ginsberg_Freedom_Is_Frustration.mp3</t>
  </si>
  <si>
    <t>https://audio.iskcondesiretree.com/01_-_Srila_Prabhupada/01_-_Lectures/01_-_English/02_-_Month_wise/05_-_May/11/RC_COL_1969-05-11_Allen_Ginsberg_Freedom_Is_Frustration.mp3</t>
  </si>
  <si>
    <t>SP_Room_Conversation_Columbus_1969-05-12_Allen_Ginsberg--Our_Krishna_is_Love.mp3</t>
  </si>
  <si>
    <t>https://audio.iskcondesiretree.com/01_-_Srila_Prabhupada/01_-_Lectures/01_-_English/01_-_Topic_wise/Room_Conversation/SP_Room_Conversation_Columbus_1969-05-12_Allen_Ginsberg--Our_Krishna_is_Love.mp3</t>
  </si>
  <si>
    <t>SP_Lecture_Columbus_1969-05-12_To_Students--We_Are_Begging--etc.mp3</t>
  </si>
  <si>
    <t>https://audio.iskcondesiretree.com/01_-_Srila_Prabhupada/01_-_Lectures/01_-_English/01_-_Topic_wise/Various/SP_Lecture_Columbus_1969-05-12_To_Students--We_Are_Begging--etc.mp3</t>
  </si>
  <si>
    <t>Lect_COL_1969-05-12_To_Students_We_Are_Begging_etc.mp3</t>
  </si>
  <si>
    <t>https://audio.iskcondesiretree.com/01_-_Srila_Prabhupada/01_-_Lectures/01_-_English/02_-_Month_wise/05_-_May/12/Lect_COL_1969-05-12_To_Students_We_Are_Begging_etc.mp3</t>
  </si>
  <si>
    <t>RC_COL_1969-05-12_Allen_Ginsberg_Our_Krishna_is_Love.mp3</t>
  </si>
  <si>
    <t>https://audio.iskcondesiretree.com/01_-_Srila_Prabhupada/01_-_Lectures/01_-_English/02_-_Month_wise/05_-_May/12/RC_COL_1969-05-12_Allen_Ginsberg_Our_Krishna_is_Love.mp3</t>
  </si>
  <si>
    <t>SP_Room_Conversation_Columbus_1969-05-13_Allen_Ginsberg--Walk_Through_Kali_Yuga.mp3</t>
  </si>
  <si>
    <t>https://audio.iskcondesiretree.com/01_-_Srila_Prabhupada/01_-_Lectures/01_-_English/01_-_Topic_wise/Room_Conversation/SP_Room_Conversation_Columbus_1969-05-13_Allen_Ginsberg--Walk_Through_Kali_Yuga.mp3</t>
  </si>
  <si>
    <t>RC_COL_1969-05-13_Allen_Ginsberg-Walk_Through_Kali_Yuga.mp3</t>
  </si>
  <si>
    <t>https://audio.iskcondesiretree.com/01_-_Srila_Prabhupada/01_-_Lectures/01_-_English/02_-_Month_wise/05_-_May/13/RC_COL_1969-05-13_Allen_Ginsberg-Walk_Through_Kali_Yuga.mp3</t>
  </si>
  <si>
    <t>SP_Room_Conversation_Columbus_1969-05-14_Allen_Ginsberg--The_Senses_Come_to--etc.mp3</t>
  </si>
  <si>
    <t>https://audio.iskcondesiretree.com/01_-_Srila_Prabhupada/01_-_Lectures/01_-_English/01_-_Topic_wise/Room_Conversation/SP_Room_Conversation_Columbus_1969-05-14_Allen_Ginsberg--The_Senses_Come_to--etc.mp3</t>
  </si>
  <si>
    <t>SP_Lecture_Columbus_1969-05-14_Caste_System_Cast_Out.mp3</t>
  </si>
  <si>
    <t>https://audio.iskcondesiretree.com/01_-_Srila_Prabhupada/01_-_Lectures/01_-_English/01_-_Topic_wise/Various/SP_Lecture_Columbus_1969-05-14_Caste_System_Cast_Out.mp3</t>
  </si>
  <si>
    <t>Lect_COL_1969-05-14_Caste_System_Cast_Out.mp3</t>
  </si>
  <si>
    <t>https://audio.iskcondesiretree.com/01_-_Srila_Prabhupada/01_-_Lectures/01_-_English/02_-_Month_wise/05_-_May/14/Lect_COL_1969-05-14_Caste_System_Cast_Out.mp3</t>
  </si>
  <si>
    <t>RC_COL_1969-05-14_Allen_Ginsberg-The_Senses_Come_to_etc.mp3</t>
  </si>
  <si>
    <t>https://audio.iskcondesiretree.com/01_-_Srila_Prabhupada/01_-_Lectures/01_-_English/02_-_Month_wise/05_-_May/14/RC_COL_1969-05-14_Allen_Ginsberg-The_Senses_Come_to_etc.mp3</t>
  </si>
  <si>
    <t>SP_SB_1-05-02_New_Vrindavan_1969-05-23_Don%27t_Change_Activities...--etc.mp3</t>
  </si>
  <si>
    <t>https://audio.iskcondesiretree.com/01_-_Srila_Prabhupada/01_-_Lectures/01_-_English/01_-_Topic_wise/Srimad_Bhagavatam/Canto-01/SP_SB_1-05-02_New_Vrindavan_1969-05-23_Don%27t_Change_Activities...--etc.mp3</t>
  </si>
  <si>
    <t>SB_1-05-02_NV_1969-05-23_Don%27t_Change_Activities_etc.mp3</t>
  </si>
  <si>
    <t>https://audio.iskcondesiretree.com/01_-_Srila_Prabhupada/01_-_Lectures/01_-_English/02_-_Month_wise/05_-_May/23/SB_1-05-02_NV_1969-05-23_Don%27t_Change_Activities_etc.mp3</t>
  </si>
  <si>
    <t>SP_SB_1-05-08_New_Vrindavan_1969-05-24_Sky_Flowers_and_Horse_Eggs.mp3</t>
  </si>
  <si>
    <t>https://audio.iskcondesiretree.com/01_-_Srila_Prabhupada/01_-_Lectures/01_-_English/01_-_Topic_wise/Srimad_Bhagavatam/Canto-01/SP_SB_1-05-08_New_Vrindavan_1969-05-24_Sky_Flowers_and_Horse_Eggs.mp3</t>
  </si>
  <si>
    <t>SB_1-05-08_NV_1969-05-24_Sky_Flowers_and_Horse_Eggs.mp3</t>
  </si>
  <si>
    <t>https://audio.iskcondesiretree.com/01_-_Srila_Prabhupada/01_-_Lectures/01_-_English/02_-_Month_wise/05_-_May/24/SB_1-05-08_NV_1969-05-24_Sky_Flowers_and_Horse_Eggs.mp3</t>
  </si>
  <si>
    <t>SP_Lecture_New_Vrindavan_1969-06-04_Initiation--This_World_Is_Hong_Kong_Flu.mp3</t>
  </si>
  <si>
    <t>https://audio.iskcondesiretree.com/01_-_Srila_Prabhupada/01_-_Lectures/01_-_English/01_-_Topic_wise/Various/SP_Lecture_New_Vrindavan_1969-06-04_Initiation--This_World_Is_Hong_Kong_Flu.mp3</t>
  </si>
  <si>
    <t>Lect_NV_1969-06-04_Initiation-This_World_Is_Hong_Kong_Flu.mp3</t>
  </si>
  <si>
    <t>https://audio.iskcondesiretree.com/01_-_Srila_Prabhupada/01_-_Lectures/01_-_English/02_-_Month_wise/06_-_June/04/Lect_NV_1969-06-04_Initiation-This_World_Is_Hong_Kong_Flu.mp3</t>
  </si>
  <si>
    <t>SP_SB_1-05-09_New_Vrindavan_1969-06-06_First_Business--Protect_Your_Soul.mp3</t>
  </si>
  <si>
    <t>https://audio.iskcondesiretree.com/01_-_Srila_Prabhupada/01_-_Lectures/01_-_English/01_-_Topic_wise/Srimad_Bhagavatam/Canto-01/SP_SB_1-05-09_New_Vrindavan_1969-06-06_First_Business--Protect_Your_Soul.mp3</t>
  </si>
  <si>
    <t>SB_1-05-09_NV_1969-06-06_First_Business_Protect_Your_Soul.mp3</t>
  </si>
  <si>
    <t>https://audio.iskcondesiretree.com/01_-_Srila_Prabhupada/01_-_Lectures/01_-_English/02_-_Month_wise/06_-_June/06/SB_1-05-09_NV_1969-06-06_First_Business_Protect_Your_Soul.mp3</t>
  </si>
  <si>
    <t>SP_SB_1-05-11_New_Vrindavan_1969-06-10_Spiritual_Aesthetics_-_Swanlike_Men.mp3</t>
  </si>
  <si>
    <t>https://audio.iskcondesiretree.com/01_-_Srila_Prabhupada/01_-_Lectures/01_-_English/01_-_Topic_wise/Srimad_Bhagavatam/Canto-01/SP_SB_1-05-11_New_Vrindavan_1969-06-10_Spiritual_Aesthetics_-_Swanlike_Men.mp3</t>
  </si>
  <si>
    <t>SB_1-05-11_NV_1969-06-10_Spiritual_Aesthetics-Swanlike_Men.mp3</t>
  </si>
  <si>
    <t>https://audio.iskcondesiretree.com/01_-_Srila_Prabhupada/01_-_Lectures/01_-_English/02_-_Month_wise/06_-_June/10/SB_1-05-11_NV_1969-06-10_Spiritual_Aesthetics-Swanlike_Men.mp3</t>
  </si>
  <si>
    <t>SP_SB_1-05-12_New_Vrindavan_1969-06-11_Unnecessary_Necessities_and--etc.mp3</t>
  </si>
  <si>
    <t>https://audio.iskcondesiretree.com/01_-_Srila_Prabhupada/01_-_Lectures/01_-_English/01_-_Topic_wise/Srimad_Bhagavatam/Canto-01/SP_SB_1-05-12_New_Vrindavan_1969-06-11_Unnecessary_Necessities_and--etc.mp3</t>
  </si>
  <si>
    <t>SB_1-05-12_NV_1969-06-11_Unnecessary_Necessities_and_etc.mp3</t>
  </si>
  <si>
    <t>https://audio.iskcondesiretree.com/01_-_Srila_Prabhupada/01_-_Lectures/01_-_English/02_-_Month_wise/06_-_June/11/SB_1-05-12_NV_1969-06-11_Unnecessary_Necessities_and_etc.mp3</t>
  </si>
  <si>
    <t>SP_SB_1-05-13_New_Vrindavan_1969-06-13_Wonderful_Cure_for_Illusion.mp3</t>
  </si>
  <si>
    <t>https://audio.iskcondesiretree.com/01_-_Srila_Prabhupada/01_-_Lectures/01_-_English/01_-_Topic_wise/Srimad_Bhagavatam/Canto-01/SP_SB_1-05-13_New_Vrindavan_1969-06-13_Wonderful_Cure_for_Illusion.mp3</t>
  </si>
  <si>
    <t>SB_1-05-13_NV_1969-06-13_Wonderful_Cure_for_Illusion.mp3</t>
  </si>
  <si>
    <t>https://audio.iskcondesiretree.com/01_-_Srila_Prabhupada/01_-_Lectures/01_-_English/02_-_Month_wise/06_-_June/13/SB_1-05-13_NV_1969-06-13_Wonderful_Cure_for_Illusion.mp3</t>
  </si>
  <si>
    <t>SP_SB_1-05-14_New_Vrindavan_1969-06-16_One_Has_to_Live_in_God.mp3</t>
  </si>
  <si>
    <t>https://audio.iskcondesiretree.com/01_-_Srila_Prabhupada/01_-_Lectures/01_-_English/01_-_Topic_wise/Srimad_Bhagavatam/Canto-01/SP_SB_1-05-14_New_Vrindavan_1969-06-16_One_Has_to_Live_in_God.mp3</t>
  </si>
  <si>
    <t>SB_1-05-14_NV_1969-06-16_One_Has_to_Live_in_God.mp3</t>
  </si>
  <si>
    <t>https://audio.iskcondesiretree.com/01_-_Srila_Prabhupada/01_-_Lectures/01_-_English/02_-_Month_wise/06_-_June/16/SB_1-05-14_NV_1969-06-16_One_Has_to_Live_in_God.mp3</t>
  </si>
  <si>
    <t>SP_SB_1-05-14_New_Vrindavan_1969-06-18_Abominable_Nonsense--Don%27t--etc.mp3</t>
  </si>
  <si>
    <t>https://audio.iskcondesiretree.com/01_-_Srila_Prabhupada/01_-_Lectures/01_-_English/01_-_Topic_wise/Srimad_Bhagavatam/Canto-01/SP_SB_1-05-14_New_Vrindavan_1969-06-18_Abominable_Nonsense--Don%27t--etc.mp3</t>
  </si>
  <si>
    <t>SB_1-05-14_NV_1969-06-18_Abominable_Nonsense_Don%27t_etc.mp3</t>
  </si>
  <si>
    <t>https://audio.iskcondesiretree.com/01_-_Srila_Prabhupada/01_-_Lectures/01_-_English/02_-_Month_wise/06_-_June/18/SB_1-05-14_NV_1969-06-18_Abominable_Nonsense_Don%27t_etc.mp3</t>
  </si>
  <si>
    <t>SP_SB_1-05-15_New_Vrindavan_1969-06-19_At_Least_Lift_Your_Anchor.mp3</t>
  </si>
  <si>
    <t>https://audio.iskcondesiretree.com/01_-_Srila_Prabhupada/01_-_Lectures/01_-_English/01_-_Topic_wise/Srimad_Bhagavatam/Canto-01/SP_SB_1-05-15_New_Vrindavan_1969-06-19_At_Least_Lift_Your_Anchor.mp3</t>
  </si>
  <si>
    <t>SB_1-05-15_NV_1969-06-19_At_Least_Lift_Your_Anchor.mp3</t>
  </si>
  <si>
    <t>https://audio.iskcondesiretree.com/01_-_Srila_Prabhupada/01_-_Lectures/01_-_English/02_-_Month_wise/06_-_June/19/SB_1-05-15_NV_1969-06-19_At_Least_Lift_Your_Anchor.mp3</t>
  </si>
  <si>
    <t>SP_SB_1-05-18_New_Vrindavan_1969-06-22_Krishna%27s_Hypnotism.mp3</t>
  </si>
  <si>
    <t>https://audio.iskcondesiretree.com/01_-_Srila_Prabhupada/01_-_Lectures/01_-_English/01_-_Topic_wise/Srimad_Bhagavatam/Canto-01/SP_SB_1-05-18_New_Vrindavan_1969-06-22_Krishna%27s_Hypnotism.mp3</t>
  </si>
  <si>
    <t>SB_1-05-18_NV_1969-06-22_Krishna%27s_Hypnotism.mp3</t>
  </si>
  <si>
    <t>https://audio.iskcondesiretree.com/01_-_Srila_Prabhupada/01_-_Lectures/01_-_English/02_-_Month_wise/06_-_June/22/SB_1-05-18_NV_1969-06-22_Krishna%27s_Hypnotism.mp3</t>
  </si>
  <si>
    <t>SP_SB_Lect_Los_Angeles_1969-07-12_This_Life_Is_Very_Valuable.mp3</t>
  </si>
  <si>
    <t>https://audio.iskcondesiretree.com/01_-_Srila_Prabhupada/01_-_Lectures/01_-_English/01_-_Topic_wise/Srimad_Bhagavatam/More/SP_SB_Lect_Los_Angeles_1969-07-12_This_Life_Is_Very_Valuable.mp3</t>
  </si>
  <si>
    <t>SB_Lect_LA_1969-07-12_This_Life_Is_Very_Valuable.mp3</t>
  </si>
  <si>
    <t>https://audio.iskcondesiretree.com/01_-_Srila_Prabhupada/01_-_Lectures/01_-_English/02_-_Month_wise/07_-_July/12/SB_Lect_LA_1969-07-12_This_Life_Is_Very_Valuable.mp3</t>
  </si>
  <si>
    <t>SP_Festivals_Los_Angeles_1969-07-16_Deity_Installation.mp3</t>
  </si>
  <si>
    <t>https://audio.iskcondesiretree.com/01_-_Srila_Prabhupada/01_-_Lectures/01_-_English/01_-_Topic_wise/Festivals/SP_Festivals_Los_Angeles_1969-07-16_Deity_Installation.mp3</t>
  </si>
  <si>
    <t>Fest_LA_1969-07-16_Deity_Installation.mp3</t>
  </si>
  <si>
    <t>https://audio.iskcondesiretree.com/01_-_Srila_Prabhupada/01_-_Lectures/01_-_English/02_-_Month_wise/07_-_July/16/Fest_LA_1969-07-16_Deity_Installation.mp3</t>
  </si>
  <si>
    <t>SP_Festivals_Hamburg_1969-09-04_Janmastami--Fearlessness--There--etc.mp3</t>
  </si>
  <si>
    <t>https://audio.iskcondesiretree.com/01_-_Srila_Prabhupada/01_-_Lectures/01_-_English/01_-_Topic_wise/Festivals/SP_Festivals_Hamburg_1969-09-04_Janmastami--Fearlessness--There--etc.mp3</t>
  </si>
  <si>
    <t>SP_Lecture_Hamburg_1969-09-04_Initiation--The_Sense_to--etc.mp3</t>
  </si>
  <si>
    <t>https://audio.iskcondesiretree.com/01_-_Srila_Prabhupada/01_-_Lectures/01_-_English/01_-_Topic_wise/Various/SP_Lecture_Hamburg_1969-09-04_Initiation--The_Sense_to--etc.mp3</t>
  </si>
  <si>
    <t>Fest_HAM_1969-09-04_Janmastami-Fearlessness_There_etc.mp3</t>
  </si>
  <si>
    <t>https://audio.iskcondesiretree.com/01_-_Srila_Prabhupada/01_-_Lectures/01_-_English/02_-_Month_wise/09_-_September/04/Fest_HAM_1969-09-04_Janmastami-Fearlessness_There_etc.mp3</t>
  </si>
  <si>
    <t>Lect_HAM_1969-09-04_Initiation-The_Sense_to_etc.mp3</t>
  </si>
  <si>
    <t>https://audio.iskcondesiretree.com/01_-_Srila_Prabhupada/01_-_Lectures/01_-_English/02_-_Month_wise/09_-_September/04/Lect_HAM_1969-09-04_Initiation-The_Sense_to_etc.mp3</t>
  </si>
  <si>
    <t>SP_Festivals_Hamburg_1969-09-05_Vyasa-puja.mp3</t>
  </si>
  <si>
    <t>https://audio.iskcondesiretree.com/01_-_Srila_Prabhupada/01_-_Lectures/01_-_English/01_-_Topic_wise/Festivals/SP_Festivals_Hamburg_1969-09-05_Vyasa-puja.mp3</t>
  </si>
  <si>
    <t>Fest_HAM_1969-09-05_Vyasa-puja.mp3</t>
  </si>
  <si>
    <t>https://audio.iskcondesiretree.com/01_-_Srila_Prabhupada/01_-_Lectures/01_-_English/02_-_Month_wise/09_-_September/05/Fest_HAM_1969-09-05_Vyasa-puja.mp3</t>
  </si>
  <si>
    <t>SP_BG_07-14_Hamburg_1969-09-08_Let_Us_Die_Like--etc.mp3</t>
  </si>
  <si>
    <t>https://audio.iskcondesiretree.com/01_-_Srila_Prabhupada/01_-_Lectures/01_-_English/01_-_Topic_wise/Bhagavad_Gita/Chapter-07/SP_BG_07-14_Hamburg_1969-09-08_Let_Us_Die_Like--etc.mp3</t>
  </si>
  <si>
    <t>Bg_07-14_HAM_1969-09-08_Let_Us_Die_Like_etc.mp3</t>
  </si>
  <si>
    <t>https://audio.iskcondesiretree.com/01_-_Srila_Prabhupada/01_-_Lectures/01_-_English/02_-_Month_wise/09_-_September/08/Bg_07-14_HAM_1969-09-08_Let_Us_Die_Like_etc.mp3</t>
  </si>
  <si>
    <t>SP_Arrival_London_1969-09-11_I_Teach_What_You_Have_Forgotten.mp3</t>
  </si>
  <si>
    <t>https://audio.iskcondesiretree.com/01_-_Srila_Prabhupada/01_-_Lectures/01_-_English/01_-_Topic_wise/Arrival_Address/SP_Arrival_London_1969-09-11_I_Teach_What_You_Have_Forgotten.mp3</t>
  </si>
  <si>
    <t>SP_Room_Conversation_London_1969-09-11_Harrison_Lennon_%26_Yoko_Ono.mp3</t>
  </si>
  <si>
    <t>https://audio.iskcondesiretree.com/01_-_Srila_Prabhupada/01_-_Lectures/01_-_English/01_-_Topic_wise/Room_Conversation/SP_Room_Conversation_London_1969-09-11_Harrison_Lennon_%26_Yoko_Ono.mp3</t>
  </si>
  <si>
    <t>Arr_LON_1969-09-11_I_Teach_What_You_Have_Forgotten.mp3</t>
  </si>
  <si>
    <t>https://audio.iskcondesiretree.com/01_-_Srila_Prabhupada/01_-_Lectures/01_-_English/02_-_Month_wise/09_-_September/11/Arr_LON_1969-09-11_I_Teach_What_You_Have_Forgotten.mp3</t>
  </si>
  <si>
    <t>RC_LON_1969-09-11_Harrison_Lennon_%26_Yoko_Ono.mp3</t>
  </si>
  <si>
    <t>https://audio.iskcondesiretree.com/01_-_Srila_Prabhupada/01_-_Lectures/01_-_English/02_-_Month_wise/09_-_September/11/RC_LON_1969-09-11_Harrison_Lennon_%26_Yoko_Ono.mp3</t>
  </si>
  <si>
    <t>Canto-05</t>
  </si>
  <si>
    <t>SP_SB_5-05-01_London_1969-09-12_Depend_On_Krishna.mp3</t>
  </si>
  <si>
    <t>https://audio.iskcondesiretree.com/01_-_Srila_Prabhupada/01_-_Lectures/01_-_English/01_-_Topic_wise/Srimad_Bhagavatam/Canto-05/SP_SB_5-05-01_London_1969-09-12_Depend_On_Krishna.mp3</t>
  </si>
  <si>
    <t>SB_5-05-01_LON_1969-09-12_Depend_On_Krishna.mp3</t>
  </si>
  <si>
    <t>https://audio.iskcondesiretree.com/01_-_Srila_Prabhupada/01_-_Lectures/01_-_English/02_-_Month_wise/09_-_September/12/SB_5-05-01_LON_1969-09-12_Depend_On_Krishna.mp3</t>
  </si>
  <si>
    <t>SP_Lecture_London_1969-09-15_At_Conway_Hall--I_Teach_What_You--etc.mp3</t>
  </si>
  <si>
    <t>https://audio.iskcondesiretree.com/01_-_Srila_Prabhupada/01_-_Lectures/01_-_English/01_-_Topic_wise/Various/SP_Lecture_London_1969-09-15_At_Conway_Hall--I_Teach_What_You--etc.mp3</t>
  </si>
  <si>
    <t>Lect_LON_1969-09-15_At_Conway_Hall-I_Teach_What_You_etc.mp3</t>
  </si>
  <si>
    <t>https://audio.iskcondesiretree.com/01_-_Srila_Prabhupada/01_-_Lectures/01_-_English/02_-_Month_wise/09_-_September/15/Lect_LON_1969-09-15_At_Conway_Hall-I_Teach_What_You_etc.mp3</t>
  </si>
  <si>
    <t>SP_Address_London_1969-09-16_Go_to_the_Dazzling-bright_Sky_of_Freedom.mp3</t>
  </si>
  <si>
    <t>https://audio.iskcondesiretree.com/01_-_Srila_Prabhupada/01_-_Lectures/01_-_English/01_-_Topic_wise/Arrival_Address/SP_Address_London_1969-09-16_Go_to_the_Dazzling-bright_Sky_of_Freedom.mp3</t>
  </si>
  <si>
    <t>Addr_LON_1969-09-16_Go_to_the_Dazzling-bright_Sky_of_Freedom.mp3</t>
  </si>
  <si>
    <t>https://audio.iskcondesiretree.com/01_-_Srila_Prabhupada/01_-_Lectures/01_-_English/02_-_Month_wise/09_-_September/16/Addr_LON_1969-09-16_Go_to_the_Dazzling-bright_Sky_of_Freedom.mp3</t>
  </si>
  <si>
    <t>SP_SB_5-05-02_London_1969-09-17_We_Spirit_Souls_Have_Immense_Power.mp3</t>
  </si>
  <si>
    <t>https://audio.iskcondesiretree.com/01_-_Srila_Prabhupada/01_-_Lectures/01_-_English/01_-_Topic_wise/Srimad_Bhagavatam/Canto-05/SP_SB_5-05-02_London_1969-09-17_We_Spirit_Souls_Have_Immense_Power.mp3</t>
  </si>
  <si>
    <t>SB_5-05-02_LON_1969-09-17_We_Spirit_Souls_Have_Immense_Power.mp3</t>
  </si>
  <si>
    <t>https://audio.iskcondesiretree.com/01_-_Srila_Prabhupada/01_-_Lectures/01_-_English/02_-_Month_wise/09_-_September/17/SB_5-05-02_LON_1969-09-17_We_Spirit_Souls_Have_Immense_Power.mp3</t>
  </si>
  <si>
    <t>SP_Festivals_London_1969-09-18_Radhastami.mp3</t>
  </si>
  <si>
    <t>https://audio.iskcondesiretree.com/01_-_Srila_Prabhupada/01_-_Lectures/01_-_English/01_-_Topic_wise/Festivals/SP_Festivals_London_1969-09-18_Radhastami.mp3</t>
  </si>
  <si>
    <t>Fest_LON_1969-09-18_Radhastami.mp3</t>
  </si>
  <si>
    <t>https://audio.iskcondesiretree.com/01_-_Srila_Prabhupada/01_-_Lectures/01_-_English/02_-_Month_wise/09_-_September/18/Fest_LON_1969-09-18_Radhastami.mp3</t>
  </si>
  <si>
    <t>SP_Festivals_London_1969-09-23_Bhaktivinode_Appearance.mp3</t>
  </si>
  <si>
    <t>https://audio.iskcondesiretree.com/01_-_Srila_Prabhupada/01_-_Lectures/01_-_English/01_-_Topic_wise/Festivals/SP_Festivals_London_1969-09-23_Bhaktivinode_Appearance.mp3</t>
  </si>
  <si>
    <t>Fest_LON_1969-09-23_Bhaktivinode_Appearance.mp3</t>
  </si>
  <si>
    <t>https://audio.iskcondesiretree.com/01_-_Srila_Prabhupada/01_-_Lectures/01_-_English/02_-_Month_wise/09_-_September/23/Fest_LON_1969-09-23_Bhaktivinode_Appearance.mp3</t>
  </si>
  <si>
    <t>SP_Festivals_Los_Angeles_1969-12-09_Bhaktisiddhanta_Disappearance.mp3</t>
  </si>
  <si>
    <t>https://audio.iskcondesiretree.com/01_-_Srila_Prabhupada/01_-_Lectures/01_-_English/01_-_Topic_wise/Festivals/SP_Festivals_Los_Angeles_1969-12-09_Bhaktisiddhanta_Disappearance.mp3</t>
  </si>
  <si>
    <t>Fest_LA_1969-12-09_Bhaktisiddhanta_Disappearance.mp3</t>
  </si>
  <si>
    <t>https://audio.iskcondesiretree.com/01_-_Srila_Prabhupada/01_-_Lectures/01_-_English/02_-_Month_wise/12_-_December/09/Fest_LA_1969-12-09_Bhaktisiddhanta_Disappearance.mp3</t>
  </si>
  <si>
    <t>SP_SB_2-01-01_Boston_1969-12-22_Self-Realized_vs._Body-Realized.mp3</t>
  </si>
  <si>
    <t>https://audio.iskcondesiretree.com/01_-_Srila_Prabhupada/01_-_Lectures/01_-_English/01_-_Topic_wise/Srimad_Bhagavatam/Canto-02/SP_SB_2-01-01_Boston_1969-12-22_Self-Realized_vs._Body-Realized.mp3</t>
  </si>
  <si>
    <t>SB_2-01-01_BOS_1969-12-22_Self-Realized_vs_Body_Realized.mp3</t>
  </si>
  <si>
    <t>https://audio.iskcondesiretree.com/01_-_Srila_Prabhupada/01_-_Lectures/01_-_English/02_-_Month_wise/12_-_December/22/SB_2-01-01_BOS_1969-12-22_Self-Realized_vs_Body_Realized.mp3</t>
  </si>
  <si>
    <t>Canto-06</t>
  </si>
  <si>
    <t>SP_SB_6-01-12_Los_Angeles_1970-01-09_Vedic_Culture_vs._Industrialism.mp3</t>
  </si>
  <si>
    <t>https://audio.iskcondesiretree.com/01_-_Srila_Prabhupada/01_-_Lectures/01_-_English/01_-_Topic_wise/Srimad_Bhagavatam/Canto-06/SP_SB_6-01-12_Los_Angeles_1970-01-09_Vedic_Culture_vs._Industrialism.mp3</t>
  </si>
  <si>
    <t>SB_6-01-12_LA_1970-01-09_Vedic_Culture_vs_Industrialism.mp3</t>
  </si>
  <si>
    <t>https://audio.iskcondesiretree.com/01_-_Srila_Prabhupada/01_-_Lectures/01_-_English/02_-_Month_wise/01_-_January/09/SB_6-01-12_LA_1970-01-09_Vedic_Culture_vs_Industrialism.mp3</t>
  </si>
  <si>
    <t>SP_SB_6-01-21_Los_Angeles_1970-01-17_Purity_Made_Easy.mp3</t>
  </si>
  <si>
    <t>https://audio.iskcondesiretree.com/01_-_Srila_Prabhupada/01_-_Lectures/01_-_English/01_-_Topic_wise/Srimad_Bhagavatam/Canto-06/SP_SB_6-01-21_Los_Angeles_1970-01-17_Purity_Made_Easy.mp3</t>
  </si>
  <si>
    <t>SB_6-01-21_LA_1970-01-17_Purity_Made_Easy.mp3</t>
  </si>
  <si>
    <t>https://audio.iskcondesiretree.com/01_-_Srila_Prabhupada/01_-_Lectures/01_-_English/02_-_Month_wise/01_-_January/17/SB_6-01-21_LA_1970-01-17_Purity_Made_Easy.mp3</t>
  </si>
  <si>
    <t>SP_Festivals_Los_Angeles_1970-02-18_Varaha_Appearance.mp3</t>
  </si>
  <si>
    <t>https://audio.iskcondesiretree.com/01_-_Srila_Prabhupada/01_-_Lectures/01_-_English/01_-_Topic_wise/Festivals/SP_Festivals_Los_Angeles_1970-02-18_Varaha_Appearance.mp3</t>
  </si>
  <si>
    <t>Fest_LA_1970-02-18_Varaha_Appearance.mp3</t>
  </si>
  <si>
    <t>https://audio.iskcondesiretree.com/01_-_Srila_Prabhupada/01_-_Lectures/01_-_English/02_-_Month_wise/02_-_Feburary/18/Fest_LA_1970-02-18_Varaha_Appearance.mp3</t>
  </si>
  <si>
    <t>SP_Lecture_Los_Angeles_1970-02-20_Initiation--Ten_Offenses_to_be_Avoided.mp3</t>
  </si>
  <si>
    <t>https://audio.iskcondesiretree.com/01_-_Srila_Prabhupada/01_-_Lectures/01_-_English/01_-_Topic_wise/Various/SP_Lecture_Los_Angeles_1970-02-20_Initiation--Ten_Offenses_to_be_Avoided.mp3</t>
  </si>
  <si>
    <t>SP_Lecture_Los_Angeles_1970-02-20_Initiation_Sannyasa--The_Spiritual--etc.mp3</t>
  </si>
  <si>
    <t>https://audio.iskcondesiretree.com/01_-_Srila_Prabhupada/01_-_Lectures/01_-_English/01_-_Topic_wise/Various/SP_Lecture_Los_Angeles_1970-02-20_Initiation_Sannyasa--The_Spiritual--etc.mp3</t>
  </si>
  <si>
    <t>Lect_LA_1970-02-20_Initiation--Ten_Offenses_to_be_Avoided.mp3</t>
  </si>
  <si>
    <t>https://audio.iskcondesiretree.com/01_-_Srila_Prabhupada/01_-_Lectures/01_-_English/02_-_Month_wise/02_-_Feburary/20/Lect_LA_1970-02-20_Initiation--Ten_Offenses_to_be_Avoided.mp3</t>
  </si>
  <si>
    <t>Lect_LA_1970-02-20_Initiation_Sannyasa--The_Spiritual_etc.mp3</t>
  </si>
  <si>
    <t>https://audio.iskcondesiretree.com/01_-_Srila_Prabhupada/01_-_Lectures/01_-_English/02_-_Month_wise/02_-_Feburary/20/Lect_LA_1970-02-20_Initiation_Sannyasa--The_Spiritual_etc.mp3</t>
  </si>
  <si>
    <t>SP_Lecture_Los_Angeles_1970-04-16_Get_Some_Land_and_a_Cow_and_Find_Your_Spirit.mp3</t>
  </si>
  <si>
    <t>https://audio.iskcondesiretree.com/01_-_Srila_Prabhupada/01_-_Lectures/01_-_English/01_-_Topic_wise/Various/SP_Lecture_Los_Angeles_1970-04-16_Get_Some_Land_and_a_Cow_and_Find_Your_Spirit.mp3</t>
  </si>
  <si>
    <t>Lect_LA_1970-04-16_Get_Some_Land_and_a_Cow_and_Find_Your_Spirit.mp3</t>
  </si>
  <si>
    <t>https://audio.iskcondesiretree.com/01_-_Srila_Prabhupada/01_-_Lectures/01_-_English/02_-_Month_wise/04_-_April/16/Lect_LA_1970-04-16_Get_Some_Land_and_a_Cow_and_Find_Your_Spirit.mp3</t>
  </si>
  <si>
    <t>Isopanishad</t>
  </si>
  <si>
    <t>SP_Isopanisad_00_Los_Angeles_1970-04-27_Our_Foolishness_Equals_Our_Defeat.mp3</t>
  </si>
  <si>
    <t>https://audio.iskcondesiretree.com/01_-_Srila_Prabhupada/01_-_Lectures/01_-_English/01_-_Topic_wise/Isopanishad/SP_Isopanisad_00_Los_Angeles_1970-04-27_Our_Foolishness_Equals_Our_Defeat.mp3</t>
  </si>
  <si>
    <t>Iso_00_LA_1970-04-27_Our_Foolishness_Equals_Our_Defeat.mp3</t>
  </si>
  <si>
    <t>https://audio.iskcondesiretree.com/01_-_Srila_Prabhupada/01_-_Lectures/01_-_English/02_-_Month_wise/04_-_April/27/Iso_00_LA_1970-04-27_Our_Foolishness_Equals_Our_Defeat.mp3</t>
  </si>
  <si>
    <t>SP_Isopanisad_01_Los_Angeles_1970-04-29_Our_Foolishness.mp3</t>
  </si>
  <si>
    <t>https://audio.iskcondesiretree.com/01_-_Srila_Prabhupada/01_-_Lectures/01_-_English/01_-_Topic_wise/Isopanishad/SP_Isopanisad_01_Los_Angeles_1970-04-29_Our_Foolishness.mp3</t>
  </si>
  <si>
    <t>Iso_01_LA_1970-04-29_Our_Foolishness.mp3</t>
  </si>
  <si>
    <t>https://audio.iskcondesiretree.com/01_-_Srila_Prabhupada/01_-_Lectures/01_-_English/02_-_Month_wise/04_-_April/29/Iso_01_LA_1970-04-29_Our_Foolishness.mp3</t>
  </si>
  <si>
    <t>SP_Isopanisad_01_Los_Angeles_1970-04-30_Our_Defeat.mp3</t>
  </si>
  <si>
    <t>https://audio.iskcondesiretree.com/01_-_Srila_Prabhupada/01_-_Lectures/01_-_English/01_-_Topic_wise/Isopanishad/SP_Isopanisad_01_Los_Angeles_1970-04-30_Our_Defeat.mp3</t>
  </si>
  <si>
    <t>Iso_01_LA_1970-04-30_Our_Defeat.mp3</t>
  </si>
  <si>
    <t>https://audio.iskcondesiretree.com/01_-_Srila_Prabhupada/01_-_Lectures/01_-_English/02_-_Month_wise/04_-_April/30/Iso_01_LA_1970-04-30_Our_Defeat.mp3</t>
  </si>
  <si>
    <t>SP_Isopanisad_00_Los_Angeles_1970-05-02_Matter_Has_No_Power.mp3</t>
  </si>
  <si>
    <t>https://audio.iskcondesiretree.com/01_-_Srila_Prabhupada/01_-_Lectures/01_-_English/01_-_Topic_wise/Isopanishad/SP_Isopanisad_00_Los_Angeles_1970-05-02_Matter_Has_No_Power.mp3</t>
  </si>
  <si>
    <t>Iso_00_LA_1970-05-02_Matter_Has_No_Power.mp3</t>
  </si>
  <si>
    <t>https://audio.iskcondesiretree.com/01_-_Srila_Prabhupada/01_-_Lectures/01_-_English/02_-_Month_wise/05_-_May/02/Iso_00_LA_1970-05-02_Matter_Has_No_Power.mp3</t>
  </si>
  <si>
    <t>SP_Isopanisad_02_Los_Angeles_1970-05-06_Everyone_Is_Seeing_Krishna.mp3</t>
  </si>
  <si>
    <t>https://audio.iskcondesiretree.com/01_-_Srila_Prabhupada/01_-_Lectures/01_-_English/01_-_Topic_wise/Isopanishad/SP_Isopanisad_02_Los_Angeles_1970-05-06_Everyone_Is_Seeing_Krishna.mp3</t>
  </si>
  <si>
    <t>Iso_02_LA_1970-05-06_Everyone_Is_Seeing_Krishna.mp3</t>
  </si>
  <si>
    <t>https://audio.iskcondesiretree.com/01_-_Srila_Prabhupada/01_-_Lectures/01_-_English/02_-_Month_wise/05_-_May/06/Iso_02_LA_1970-05-06_Everyone_Is_Seeing_Krishna.mp3</t>
  </si>
  <si>
    <t>SP_Isopanisad_10_Los_Angeles_1970-05-14_The_Senses.mp3</t>
  </si>
  <si>
    <t>https://audio.iskcondesiretree.com/01_-_Srila_Prabhupada/01_-_Lectures/01_-_English/01_-_Topic_wise/Isopanishad/SP_Isopanisad_10_Los_Angeles_1970-05-14_The_Senses.mp3</t>
  </si>
  <si>
    <t>Iso_10_LA_1970-05-14_The_Senses.mp3</t>
  </si>
  <si>
    <t>https://audio.iskcondesiretree.com/01_-_Srila_Prabhupada/01_-_Lectures/01_-_English/02_-_Month_wise/05_-_May/14/Iso_10_LA_1970-05-14_The_Senses.mp3</t>
  </si>
  <si>
    <t>SP_Isopanisad_15_Los_Angeles_1970-05-18_The_Senses_Defanged.mp3</t>
  </si>
  <si>
    <t>https://audio.iskcondesiretree.com/01_-_Srila_Prabhupada/01_-_Lectures/01_-_English/01_-_Topic_wise/Isopanishad/SP_Isopanisad_15_Los_Angeles_1970-05-18_The_Senses_Defanged.mp3</t>
  </si>
  <si>
    <t>Iso_15_LA_1970-05-18_The_Senses_Defanged.mp3</t>
  </si>
  <si>
    <t>https://audio.iskcondesiretree.com/01_-_Srila_Prabhupada/01_-_Lectures/01_-_English/02_-_Month_wise/05_-_May/18/Iso_15_LA_1970-05-18_The_Senses_Defanged.mp3</t>
  </si>
  <si>
    <t>Nectar_Of_Devotion</t>
  </si>
  <si>
    <t>SP_NOD_Los_Angles_1970-06-23_-_We_Don%27t_Want_Petty_Gods.mp3</t>
  </si>
  <si>
    <t>https://audio.iskcondesiretree.com/01_-_Srila_Prabhupada/01_-_Lectures/01_-_English/01_-_Topic_wise/Nectar_Of_Devotion/SP_NOD_Los_Angles_1970-06-23_-_We_Don%27t_Want_Petty_Gods.mp3</t>
  </si>
  <si>
    <t>NOD_Lect_LA_1970-06-23_We_Don%27t_Want_Petty_Gods.mp3</t>
  </si>
  <si>
    <t>https://audio.iskcondesiretree.com/01_-_Srila_Prabhupada/01_-_Lectures/01_-_English/02_-_Month_wise/06_-_June/23/NOD_Lect_LA_1970-06-23_We_Don%27t_Want_Petty_Gods.mp3</t>
  </si>
  <si>
    <t>SP_SB_2-01-01_Los_Angeles_1970-07-01_Death_Is_As_Sure_As_Death.mp3</t>
  </si>
  <si>
    <t>https://audio.iskcondesiretree.com/01_-_Srila_Prabhupada/01_-_Lectures/01_-_English/01_-_Topic_wise/Srimad_Bhagavatam/Canto-02/SP_SB_2-01-01_Los_Angeles_1970-07-01_Death_Is_As_Sure_As_Death.mp3</t>
  </si>
  <si>
    <t>SB_2-01-01_LA_1970-07-01_Death_Is_As_Sure_As_Death.mp3</t>
  </si>
  <si>
    <t>https://audio.iskcondesiretree.com/01_-_Srila_Prabhupada/01_-_Lectures/01_-_English/02_-_Month_wise/07_-_July/01/SB_2-01-01_LA_1970-07-01_Death_Is_As_Sure_As_Death.mp3</t>
  </si>
  <si>
    <t>SP_Festivals_San_Francisco_1970-07-04_Gundica_Marjana.mp3</t>
  </si>
  <si>
    <t>https://audio.iskcondesiretree.com/01_-_Srila_Prabhupada/01_-_Lectures/01_-_English/01_-_Topic_wise/Festivals/SP_Festivals_San_Francisco_1970-07-04_Gundica_Marjana.mp3</t>
  </si>
  <si>
    <t>Fest_SF_1970-07-04_Gundica_Marjana.mp3</t>
  </si>
  <si>
    <t>https://audio.iskcondesiretree.com/01_-_Srila_Prabhupada/01_-_Lectures/01_-_English/02_-_Month_wise/07_-_July/04/Fest_SF_1970-07-04_Gundica_Marjana.mp3</t>
  </si>
  <si>
    <t>SP_Festivals_Gorakhpur_1971-02-15_Bhaktisiddhanta_Appearance_AM.mp3</t>
  </si>
  <si>
    <t>https://audio.iskcondesiretree.com/01_-_Srila_Prabhupada/01_-_Lectures/01_-_English/01_-_Topic_wise/Festivals/SP_Festivals_Gorakhpur_1971-02-15_Bhaktisiddhanta_Appearance_AM.mp3</t>
  </si>
  <si>
    <t>SP_Festivals_Gorakhpur_1971-02-15_Bhaktisiddhanta_Appearance_PM.mp3</t>
  </si>
  <si>
    <t>https://audio.iskcondesiretree.com/01_-_Srila_Prabhupada/01_-_Lectures/01_-_English/01_-_Topic_wise/Festivals/SP_Festivals_Gorakhpur_1971-02-15_Bhaktisiddhanta_Appearance_PM.mp3</t>
  </si>
  <si>
    <t>Fest_GOR_1971-02-15_Bhaktisiddhanta_Appearance_AM.mp3</t>
  </si>
  <si>
    <t>https://audio.iskcondesiretree.com/01_-_Srila_Prabhupada/01_-_Lectures/01_-_English/02_-_Month_wise/02_-_Feburary/15/Fest_GOR_1971-02-15_Bhaktisiddhanta_Appearance_AM.mp3</t>
  </si>
  <si>
    <t>Fest_GOR_1971-02-15_Bhaktisiddhanta_Appearance_PM.mp3</t>
  </si>
  <si>
    <t>https://audio.iskcondesiretree.com/01_-_Srila_Prabhupada/01_-_Lectures/01_-_English/02_-_Month_wise/02_-_Feburary/15/Fest_GOR_1971-02-15_Bhaktisiddhanta_Appearance_PM.mp3</t>
  </si>
  <si>
    <t>SP_Lecture_Bombay_1971-03-17_Take_Shelter_of_the_Six_Goswamis.mp3</t>
  </si>
  <si>
    <t>https://audio.iskcondesiretree.com/01_-_Srila_Prabhupada/01_-_Lectures/01_-_English/01_-_Topic_wise/Various/SP_Lecture_Bombay_1971-03-17_Take_Shelter_of_the_Six_Goswamis.mp3</t>
  </si>
  <si>
    <t>Lect_BOM_1971-03-17_Take_Shelter_of_the_Six_Goswamis.mp3</t>
  </si>
  <si>
    <t>https://audio.iskcondesiretree.com/01_-_Srila_Prabhupada/01_-_Lectures/01_-_English/02_-_Month_wise/03_-_March/17/Lect_BOM_1971-03-17_Take_Shelter_of_the_Six_Goswamis.mp3</t>
  </si>
  <si>
    <t>SP_SB_7-07-19_Bombay_1971-03-18_Designations_-_Demoniac.mp3</t>
  </si>
  <si>
    <t>https://audio.iskcondesiretree.com/01_-_Srila_Prabhupada/01_-_Lectures/01_-_English/01_-_Topic_wise/Srimad_Bhagavatam/Canto-07/SP_SB_7-07-19_Bombay_1971-03-18_Designations_-_Demoniac.mp3</t>
  </si>
  <si>
    <t>SB_7-07-19_BOM_1971-03-18_Designations_Demoniac.mp3</t>
  </si>
  <si>
    <t>https://audio.iskcondesiretree.com/01_-_Srila_Prabhupada/01_-_Lectures/01_-_English/02_-_Month_wise/03_-_March/18/SB_7-07-19_BOM_1971-03-18_Designations_Demoniac.mp3</t>
  </si>
  <si>
    <t>SP_Lecture_Los_Angeles_1971-05-28_Just_Learn_How_to_Love_Krishna.mp3</t>
  </si>
  <si>
    <t>https://audio.iskcondesiretree.com/01_-_Srila_Prabhupada/01_-_Lectures/01_-_English/01_-_Topic_wise/Various/SP_Lecture_Los_Angeles_1971-05-28_Just_Learn_How_to_Love_Krishna.mp3</t>
  </si>
  <si>
    <t>SP_Lecture_Los_Angeles_1971-05-28_The_Most_Wonderful_Thing--And_One--etc.mp3</t>
  </si>
  <si>
    <t>https://audio.iskcondesiretree.com/01_-_Srila_Prabhupada/01_-_Lectures/01_-_English/01_-_Topic_wise/Various/SP_Lecture_Los_Angeles_1971-05-28_The_Most_Wonderful_Thing--And_One--etc.mp3</t>
  </si>
  <si>
    <t>Lect_LA_1971-05-28_Just_Learn_How_to_Love_Krishna.mp3</t>
  </si>
  <si>
    <t>https://audio.iskcondesiretree.com/01_-_Srila_Prabhupada/01_-_Lectures/01_-_English/02_-_Month_wise/05_-_May/28/Lect_LA_1971-05-28_Just_Learn_How_to_Love_Krishna.mp3</t>
  </si>
  <si>
    <t>Lect_LA_1971-05-28_The_Most_Wonderful_Thing_And_One_etc.mp3</t>
  </si>
  <si>
    <t>https://audio.iskcondesiretree.com/01_-_Srila_Prabhupada/01_-_Lectures/01_-_English/02_-_Month_wise/05_-_May/28/Lect_LA_1971-05-28_The_Most_Wonderful_Thing_And_One_etc.mp3</t>
  </si>
  <si>
    <t>SP_Festivals_San_Francisco_1971-06-27_Ratha-yatra--Do_Not_Think_There_is--etc.mp3</t>
  </si>
  <si>
    <t>https://audio.iskcondesiretree.com/01_-_Srila_Prabhupada/01_-_Lectures/01_-_English/01_-_Topic_wise/Festivals/SP_Festivals_San_Francisco_1971-06-27_Ratha-yatra--Do_Not_Think_There_is--etc.mp3</t>
  </si>
  <si>
    <t>SP_Festivals_San_Francisco_1971-06-27_Ratha-yatra--Spiritualize_Your--etc.mp3</t>
  </si>
  <si>
    <t>https://audio.iskcondesiretree.com/01_-_Srila_Prabhupada/01_-_Lectures/01_-_English/01_-_Topic_wise/Festivals/SP_Festivals_San_Francisco_1971-06-27_Ratha-yatra--Spiritualize_Your--etc.mp3</t>
  </si>
  <si>
    <t>SP_Lecture_San_Francisco_1971-06-27_On_Six_Goswamis--etc.mp3</t>
  </si>
  <si>
    <t>https://audio.iskcondesiretree.com/01_-_Srila_Prabhupada/01_-_Lectures/01_-_English/01_-_Topic_wise/Various/SP_Lecture_San_Francisco_1971-06-27_On_Six_Goswamis--etc.mp3</t>
  </si>
  <si>
    <t>Fest_SF_1971-06-27_Ratha-yatra-Do_Not_Think_There_is_etc.mp3</t>
  </si>
  <si>
    <t>https://audio.iskcondesiretree.com/01_-_Srila_Prabhupada/01_-_Lectures/01_-_English/02_-_Month_wise/06_-_June/27/Fest_SF_1971-06-27_Ratha-yatra-Do_Not_Think_There_is_etc.mp3</t>
  </si>
  <si>
    <t>Fest_SF_1971-06-27_Ratha-yatra-Spiritualize_Your_etc.mp3</t>
  </si>
  <si>
    <t>https://audio.iskcondesiretree.com/01_-_Srila_Prabhupada/01_-_Lectures/01_-_English/02_-_Month_wise/06_-_June/27/Fest_SF_1971-06-27_Ratha-yatra-Spiritualize_Your_etc.mp3</t>
  </si>
  <si>
    <t>Lect_SF_1971-06-27_On_Six_Goswamis_etc.mp3</t>
  </si>
  <si>
    <t>https://audio.iskcondesiretree.com/01_-_Srila_Prabhupada/01_-_Lectures/01_-_English/02_-_Month_wise/06_-_June/27/Lect_SF_1971-06-27_On_Six_Goswamis_etc.mp3</t>
  </si>
  <si>
    <t>SP_Festivals_Los_Angeles_1971-07-01_Ratha_Yatra.mp3</t>
  </si>
  <si>
    <t>https://audio.iskcondesiretree.com/01_-_Srila_Prabhupada/01_-_Lectures/01_-_English/01_-_Topic_wise/Festivals/SP_Festivals_Los_Angeles_1971-07-01_Ratha_Yatra.mp3</t>
  </si>
  <si>
    <t>Fest_LA_1971-07-01_Ratha_Yatra.mp3</t>
  </si>
  <si>
    <t>https://audio.iskcondesiretree.com/01_-_Srila_Prabhupada/01_-_Lectures/01_-_English/02_-_Month_wise/07_-_July/01/Fest_LA_1971-07-01_Ratha_Yatra.mp3</t>
  </si>
  <si>
    <t>SP_SB_6-01-11_New_York_1971-07-15_Karma_and_Again-and-Again_Cures.mp3</t>
  </si>
  <si>
    <t>https://audio.iskcondesiretree.com/01_-_Srila_Prabhupada/01_-_Lectures/01_-_English/01_-_Topic_wise/Srimad_Bhagavatam/Canto-06/SP_SB_6-01-11_New_York_1971-07-15_Karma_and_Again-and-Again_Cures.mp3</t>
  </si>
  <si>
    <t>SB_6-01-11_NY_1971-07-15_Karma_and_Again-and-Again_Cures.mp3</t>
  </si>
  <si>
    <t>https://audio.iskcondesiretree.com/01_-_Srila_Prabhupada/01_-_Lectures/01_-_English/02_-_Month_wise/07_-_July/15/SB_6-01-11_NY_1971-07-15_Karma_and_Again-and-Again_Cures.mp3</t>
  </si>
  <si>
    <t>SP_Lecture_Detroit_1971-07-17_Initiation--This_Kartala-Playing--etc.mp3</t>
  </si>
  <si>
    <t>https://audio.iskcondesiretree.com/01_-_Srila_Prabhupada/01_-_Lectures/01_-_English/01_-_Topic_wise/Various/SP_Lecture_Detroit_1971-07-17_Initiation--This_Kartala-Playing--etc.mp3</t>
  </si>
  <si>
    <t>Lect_DET_1971-07-17_Initiation-This_Kartala_Playing_etc.mp3</t>
  </si>
  <si>
    <t>https://audio.iskcondesiretree.com/01_-_Srila_Prabhupada/01_-_Lectures/01_-_English/02_-_Month_wise/07_-_July/17/Lect_DET_1971-07-17_Initiation-This_Kartala_Playing_etc.mp3</t>
  </si>
  <si>
    <t>SP_Lecture_New_York_1971-07-20_Horseless_Carriage_-_Wingless--etc.mp3</t>
  </si>
  <si>
    <t>https://audio.iskcondesiretree.com/01_-_Srila_Prabhupada/01_-_Lectures/01_-_English/01_-_Topic_wise/Various/SP_Lecture_New_York_1971-07-20_Horseless_Carriage_-_Wingless--etc.mp3</t>
  </si>
  <si>
    <t>Lect_NY_1971-07-20_Horseless_Carriage_Wingless_etc.mp3</t>
  </si>
  <si>
    <t>https://audio.iskcondesiretree.com/01_-_Srila_Prabhupada/01_-_Lectures/01_-_English/02_-_Month_wise/07_-_July/20/Lect_NY_1971-07-20_Horseless_Carriage_Wingless_etc.mp3</t>
  </si>
  <si>
    <t>SP_SB_6-01-08_New_York_1971-07-22_Krishna_Is--etc.mp3</t>
  </si>
  <si>
    <t>https://audio.iskcondesiretree.com/01_-_Srila_Prabhupada/01_-_Lectures/01_-_English/01_-_Topic_wise/Srimad_Bhagavatam/Canto-06/SP_SB_6-01-08_New_York_1971-07-22_Krishna_Is--etc.mp3</t>
  </si>
  <si>
    <t>SB_6-01-08_NY_1971-07-22_Krishna_Is_etc.mp3</t>
  </si>
  <si>
    <t>https://audio.iskcondesiretree.com/01_-_Srila_Prabhupada/01_-_Lectures/01_-_English/02_-_Month_wise/07_-_July/22/SB_6-01-08_NY_1971-07-22_Krishna_Is_etc.mp3</t>
  </si>
  <si>
    <t>SP_SB_6-01-09_New_York_1971-07-24_Heinous_Proposals_-_Heinous_Habits.mp3</t>
  </si>
  <si>
    <t>https://audio.iskcondesiretree.com/01_-_Srila_Prabhupada/01_-_Lectures/01_-_English/01_-_Topic_wise/Srimad_Bhagavatam/Canto-06/SP_SB_6-01-09_New_York_1971-07-24_Heinous_Proposals_-_Heinous_Habits.mp3</t>
  </si>
  <si>
    <t>SB_6-01-09_NY_1971-07-24_Heinous_Proposals_Heinous_Habits.mp3</t>
  </si>
  <si>
    <t>https://audio.iskcondesiretree.com/01_-_Srila_Prabhupada/01_-_Lectures/01_-_English/02_-_Month_wise/07_-_July/24/SB_6-01-09_NY_1971-07-24_Heinous_Proposals_Heinous_Habits.mp3</t>
  </si>
  <si>
    <t>SP_Arrival_Gainesville_1971-07-29_Everyone_Has_Got_Love_For_Krishna.mp3</t>
  </si>
  <si>
    <t>https://audio.iskcondesiretree.com/01_-_Srila_Prabhupada/01_-_Lectures/01_-_English/01_-_Topic_wise/Arrival_Address/SP_Arrival_Gainesville_1971-07-29_Everyone_Has_Got_Love_For_Krishna.mp3</t>
  </si>
  <si>
    <t>SP_BG_07-01_Gainesville_1971-07-29_This_Movement_Appeals--etc.mp3</t>
  </si>
  <si>
    <t>https://audio.iskcondesiretree.com/01_-_Srila_Prabhupada/01_-_Lectures/01_-_English/01_-_Topic_wise/Bhagavad_Gita/Chapter-07/SP_BG_07-01_Gainesville_1971-07-29_This_Movement_Appeals--etc.mp3</t>
  </si>
  <si>
    <t>SP_Interview_Gainesville_1971-07-29_The_Only_Way_to_Love_God_In_This_Age.mp3</t>
  </si>
  <si>
    <t>https://audio.iskcondesiretree.com/01_-_Srila_Prabhupada/01_-_Lectures/01_-_English/01_-_Topic_wise/Interview/SP_Interview_Gainesville_1971-07-29_The_Only_Way_to_Love_God_In_This_Age.mp3</t>
  </si>
  <si>
    <t>Arr_GAI_1971-07-29_Everyone_Has_Got_Love_For_Krishna.mp3</t>
  </si>
  <si>
    <t>https://audio.iskcondesiretree.com/01_-_Srila_Prabhupada/01_-_Lectures/01_-_English/02_-_Month_wise/07_-_July/29/Arr_GAI_1971-07-29_Everyone_Has_Got_Love_For_Krishna.mp3</t>
  </si>
  <si>
    <t>Bg_07-01_GAI_1971-07-29_This_Movement_Appeals_etc.mp3</t>
  </si>
  <si>
    <t>https://audio.iskcondesiretree.com/01_-_Srila_Prabhupada/01_-_Lectures/01_-_English/02_-_Month_wise/07_-_July/29/Bg_07-01_GAI_1971-07-29_This_Movement_Appeals_etc.mp3</t>
  </si>
  <si>
    <t>Interv_GAI_1971-07-29_The_Only_Way_to_Love_God_In_This_Age.mp3</t>
  </si>
  <si>
    <t>https://audio.iskcondesiretree.com/01_-_Srila_Prabhupada/01_-_Lectures/01_-_English/02_-_Month_wise/07_-_July/29/Interv_GAI_1971-07-29_The_Only_Way_to_Love_God_In_This_Age.mp3</t>
  </si>
  <si>
    <t>SP_SB_6-01-15_London_1971-08-03_Understand_Krishna-Be_Liberated.mp3</t>
  </si>
  <si>
    <t>https://audio.iskcondesiretree.com/01_-_Srila_Prabhupada/01_-_Lectures/01_-_English/01_-_Topic_wise/Srimad_Bhagavatam/Canto-06/SP_SB_6-01-15_London_1971-08-03_Understand_Krishna-Be_Liberated.mp3</t>
  </si>
  <si>
    <t>SB_6-01-15_LON_1971-08-03_Understand_Krishna-Be_Liberated.mp3</t>
  </si>
  <si>
    <t>https://audio.iskcondesiretree.com/01_-_Srila_Prabhupada/01_-_Lectures/01_-_English/02_-_Month_wise/08_-_August/03/SB_6-01-15_LON_1971-08-03_Understand_Krishna-Be_Liberated.mp3</t>
  </si>
  <si>
    <t>SP_BG_07-01_London_1971-08-04_Beauty_of_Brahminical_Culture.mp3</t>
  </si>
  <si>
    <t>https://audio.iskcondesiretree.com/01_-_Srila_Prabhupada/01_-_Lectures/01_-_English/01_-_Topic_wise/Bhagavad_Gita/Chapter-07/SP_BG_07-01_London_1971-08-04_Beauty_of_Brahminical_Culture.mp3</t>
  </si>
  <si>
    <t>Bg_07-01_LON_1971-08-04_Beauty_of_Brahminical_Culture.mp3</t>
  </si>
  <si>
    <t>https://audio.iskcondesiretree.com/01_-_Srila_Prabhupada/01_-_Lectures/01_-_English/02_-_Month_wise/08_-_August/04/Bg_07-01_LON_1971-08-04_Beauty_of_Brahminical_Culture.mp3</t>
  </si>
  <si>
    <t>Chapter-16</t>
  </si>
  <si>
    <t>SP_BG_16-05_Calcutta_1972-02-23_Some_Way_or_Other_Become--etc.mp3</t>
  </si>
  <si>
    <t>https://audio.iskcondesiretree.com/01_-_Srila_Prabhupada/01_-_Lectures/01_-_English/01_-_Topic_wise/Bhagavad_Gita/Chapter-16/SP_BG_16-05_Calcutta_1972-02-23_Some_Way_or_Other_Become--etc.mp3</t>
  </si>
  <si>
    <t>SP_SB_1-02-06_Calcutta_1972-02-23_The_Spirit_of_Giving_to--etc.mp3</t>
  </si>
  <si>
    <t>https://audio.iskcondesiretree.com/01_-_Srila_Prabhupada/01_-_Lectures/01_-_English/01_-_Topic_wise/Srimad_Bhagavatam/Canto-01/SP_SB_1-02-06_Calcutta_1972-02-23_The_Spirit_of_Giving_to--etc.mp3</t>
  </si>
  <si>
    <t>Bg_16-05_CAL_1972-02-23_Some_Way_or_Other_Become_etc.mp3</t>
  </si>
  <si>
    <t>https://audio.iskcondesiretree.com/01_-_Srila_Prabhupada/01_-_Lectures/01_-_English/02_-_Month_wise/02_-_Feburary/23/Bg_16-05_CAL_1972-02-23_Some_Way_or_Other_Become_etc.mp3</t>
  </si>
  <si>
    <t>SB_1-02-06_CAL_1972-02-23_The_Spirit_of_Giving_to_etc.mp3</t>
  </si>
  <si>
    <t>https://audio.iskcondesiretree.com/01_-_Srila_Prabhupada/01_-_Lectures/01_-_English/02_-_Month_wise/02_-_Feburary/23/SB_1-02-06_CAL_1972-02-23_The_Spirit_of_Giving_to_etc.mp3</t>
  </si>
  <si>
    <t>SP_Lecture_Calcutta_1972-02-24_The_Origin_Was_A_Chunk--We_Are--etc.mp3</t>
  </si>
  <si>
    <t>https://audio.iskcondesiretree.com/01_-_Srila_Prabhupada/01_-_Lectures/01_-_English/01_-_Topic_wise/Various/SP_Lecture_Calcutta_1972-02-24_The_Origin_Was_A_Chunk--We_Are--etc.mp3</t>
  </si>
  <si>
    <t>Lect_CAL_1972-02-24_The_Origin_Was_A_Chunk--We_Are_etc.mp3</t>
  </si>
  <si>
    <t>https://audio.iskcondesiretree.com/01_-_Srila_Prabhupada/01_-_Lectures/01_-_English/02_-_Month_wise/02_-_Feburary/24/Lect_CAL_1972-02-24_The_Origin_Was_A_Chunk--We_Are_etc.mp3</t>
  </si>
  <si>
    <t>SP_Lecture_Calcutta_1972-03-06_Elevating_The_Low-Born--_and_the_High-Born.mp3</t>
  </si>
  <si>
    <t>https://audio.iskcondesiretree.com/01_-_Srila_Prabhupada/01_-_Lectures/01_-_English/01_-_Topic_wise/Various/SP_Lecture_Calcutta_1972-03-06_Elevating_The_Low-Born--_and_the_High-Born.mp3</t>
  </si>
  <si>
    <t>Lect_CAL_1972-03-06_Elevating_The_Low-Born--_and_the_High-Born.mp3</t>
  </si>
  <si>
    <t>https://audio.iskcondesiretree.com/01_-_Srila_Prabhupada/01_-_Lectures/01_-_English/02_-_Month_wise/03_-_March/06/Lect_CAL_1972-03-06_Elevating_The_Low-Born--_and_the_High-Born.mp3</t>
  </si>
  <si>
    <t>SP_Arrival_Los_Angeles_1972-05-18_Seeing_the_Source_of_This_Love.mp3</t>
  </si>
  <si>
    <t>https://audio.iskcondesiretree.com/01_-_Srila_Prabhupada/01_-_Lectures/01_-_English/01_-_Topic_wise/Arrival_Address/SP_Arrival_Los_Angeles_1972-05-18_Seeing_the_Source_of_This_Love.mp3</t>
  </si>
  <si>
    <t>SP_Lecture_Los_Angeles_1972-05-18_Krishna-All_Attractive_Just_Imagine.mp3</t>
  </si>
  <si>
    <t>https://audio.iskcondesiretree.com/01_-_Srila_Prabhupada/01_-_Lectures/01_-_English/01_-_Topic_wise/Various/SP_Lecture_Los_Angeles_1972-05-18_Krishna-All_Attractive_Just_Imagine.mp3</t>
  </si>
  <si>
    <t>Arr_LA_1972-05-18_Seeing_the_Source_of_This_Love.mp3</t>
  </si>
  <si>
    <t>https://audio.iskcondesiretree.com/01_-_Srila_Prabhupada/01_-_Lectures/01_-_English/02_-_Month_wise/05_-_May/18/Arr_LA_1972-05-18_Seeing_the_Source_of_This_Love.mp3</t>
  </si>
  <si>
    <t>Lect_LA_1972-05-18_Krishna-All_Attractive_Just_Imagine.mp3</t>
  </si>
  <si>
    <t>https://audio.iskcondesiretree.com/01_-_Srila_Prabhupada/01_-_Lectures/01_-_English/02_-_Month_wise/05_-_May/18/Lect_LA_1972-05-18_Krishna-All_Attractive_Just_Imagine.mp3</t>
  </si>
  <si>
    <t>SP_SB_2-03-01_Los_Angeles_1972-05-19_Who_Can_Say_%27I%27m_Not_on_the--etc.mp3</t>
  </si>
  <si>
    <t>https://audio.iskcondesiretree.com/01_-_Srila_Prabhupada/01_-_Lectures/01_-_English/01_-_Topic_wise/Srimad_Bhagavatam/Canto-02/SP_SB_2-03-01_Los_Angeles_1972-05-19_Who_Can_Say_%27I%27m_Not_on_the--etc.mp3</t>
  </si>
  <si>
    <t>SB_2-03-01_LA_1972-05-19_Who_Can_Say_I_m_Not_on_the_etc.mp3</t>
  </si>
  <si>
    <t>https://audio.iskcondesiretree.com/01_-_Srila_Prabhupada/01_-_Lectures/01_-_English/02_-_Month_wise/05_-_May/19/SB_2-03-01_LA_1972-05-19_Who_Can_Say_I_m_Not_on_the_etc.mp3</t>
  </si>
  <si>
    <t>SP_SB_2-03-02_Los_Angeles_1972-05-20_Why_Are_You_Going_to_Hell.mp3</t>
  </si>
  <si>
    <t>https://audio.iskcondesiretree.com/01_-_Srila_Prabhupada/01_-_Lectures/01_-_English/01_-_Topic_wise/Srimad_Bhagavatam/Canto-02/SP_SB_2-03-02_Los_Angeles_1972-05-20_Why_Are_You_Going_to_Hell.mp3</t>
  </si>
  <si>
    <t>SB_2-03-02_LA_1972-05-20_Why_Are_You_Going_to_Hell.mp3</t>
  </si>
  <si>
    <t>https://audio.iskcondesiretree.com/01_-_Srila_Prabhupada/01_-_Lectures/01_-_English/02_-_Month_wise/05_-_May/20/SB_2-03-02_LA_1972-05-20_Why_Are_You_Going_to_Hell.mp3</t>
  </si>
  <si>
    <t>SP_Lecture_Los_Angeles_1972-05-21_Sunday_Feast--The_Higher_Science.mp3</t>
  </si>
  <si>
    <t>https://audio.iskcondesiretree.com/01_-_Srila_Prabhupada/01_-_Lectures/01_-_English/01_-_Topic_wise/Various/SP_Lecture_Los_Angeles_1972-05-21_Sunday_Feast--The_Higher_Science.mp3</t>
  </si>
  <si>
    <t>Lect_LA_1972-05-21_Sunday_Feast--The_Higher_Science.mp3</t>
  </si>
  <si>
    <t>https://audio.iskcondesiretree.com/01_-_Srila_Prabhupada/01_-_Lectures/01_-_English/02_-_Month_wise/05_-_May/21/Lect_LA_1972-05-21_Sunday_Feast--The_Higher_Science.mp3</t>
  </si>
  <si>
    <t>SP_SB_2-03-01_Los_Angeles_1972-05-22_If_You_Want_Vagina_Instead_of_Krishna.mp3</t>
  </si>
  <si>
    <t>https://audio.iskcondesiretree.com/01_-_Srila_Prabhupada/01_-_Lectures/01_-_English/01_-_Topic_wise/Srimad_Bhagavatam/Canto-02/SP_SB_2-03-01_Los_Angeles_1972-05-22_If_You_Want_Vagina_Instead_of_Krishna.mp3</t>
  </si>
  <si>
    <t>SB_2-03-01_LA_1972-05-22_If_You_Want_Vagina_Instead_of_Krishna.mp3</t>
  </si>
  <si>
    <t>https://audio.iskcondesiretree.com/01_-_Srila_Prabhupada/01_-_Lectures/01_-_English/02_-_Month_wise/05_-_May/22/SB_2-03-01_LA_1972-05-22_If_You_Want_Vagina_Instead_of_Krishna.mp3</t>
  </si>
  <si>
    <t>SP_SB_2-03-09_Los_Angeles_1972-05-26_If_You_Actually_Want_Freedom--etc.mp3</t>
  </si>
  <si>
    <t>https://audio.iskcondesiretree.com/01_-_Srila_Prabhupada/01_-_Lectures/01_-_English/01_-_Topic_wise/Srimad_Bhagavatam/Canto-02/SP_SB_2-03-09_Los_Angeles_1972-05-26_If_You_Actually_Want_Freedom--etc.mp3</t>
  </si>
  <si>
    <t>SB_2-03-09_LA_1972-05-26_If_You_Actually_Want_Freedom_etc.mp3</t>
  </si>
  <si>
    <t>https://audio.iskcondesiretree.com/01_-_Srila_Prabhupada/01_-_Lectures/01_-_English/02_-_Month_wise/05_-_May/26/SB_2-03-09_LA_1972-05-26_If_You_Actually_Want_Freedom_etc.mp3</t>
  </si>
  <si>
    <t>SP_Festivals_Los_Angeles_1972-05-27_Nrsimhadeva_Appearance--Divinity%2C--etc.mp3</t>
  </si>
  <si>
    <t>https://audio.iskcondesiretree.com/01_-_Srila_Prabhupada/01_-_Lectures/01_-_English/01_-_Topic_wise/Festivals/SP_Festivals_Los_Angeles_1972-05-27_Nrsimhadeva_Appearance--Divinity%2C--etc.mp3</t>
  </si>
  <si>
    <t>SP_Lecture_Los_Angeles_1972-05-27_Initiation--This_Foolish_Civilization.mp3</t>
  </si>
  <si>
    <t>https://audio.iskcondesiretree.com/01_-_Srila_Prabhupada/01_-_Lectures/01_-_English/01_-_Topic_wise/Various/SP_Lecture_Los_Angeles_1972-05-27_Initiation--This_Foolish_Civilization.mp3</t>
  </si>
  <si>
    <t>Fest_LA_1972-05-27_Nrsimhadeva_Appearance_Divinity_etc.mp3</t>
  </si>
  <si>
    <t>https://audio.iskcondesiretree.com/01_-_Srila_Prabhupada/01_-_Lectures/01_-_English/02_-_Month_wise/05_-_May/27/Fest_LA_1972-05-27_Nrsimhadeva_Appearance_Divinity_etc.mp3</t>
  </si>
  <si>
    <t>Lect_LA_1972-05-27_Initiation-This_Foolish_Civilization.mp3</t>
  </si>
  <si>
    <t>https://audio.iskcondesiretree.com/01_-_Srila_Prabhupada/01_-_Lectures/01_-_English/02_-_Month_wise/05_-_May/27/Lect_LA_1972-05-27_Initiation-This_Foolish_Civilization.mp3</t>
  </si>
  <si>
    <t>Lect_LA_1972-05-27_Initiation_Sannyasa.mp3</t>
  </si>
  <si>
    <t>https://audio.iskcondesiretree.com/01_-_Srila_Prabhupada/01_-_Lectures/01_-_English/02_-_Month_wise/05_-_May/27/Lect_LA_1972-05-27_Initiation_Sannyasa.mp3</t>
  </si>
  <si>
    <t>SP_SB_2-03-10_Los_Angeles_1972-05-28_Only_a_Devotee_of_Krishna--etc.mp3</t>
  </si>
  <si>
    <t>https://audio.iskcondesiretree.com/01_-_Srila_Prabhupada/01_-_Lectures/01_-_English/01_-_Topic_wise/Srimad_Bhagavatam/Canto-02/SP_SB_2-03-10_Los_Angeles_1972-05-28_Only_a_Devotee_of_Krishna--etc.mp3</t>
  </si>
  <si>
    <t>SB_2-03-10_LA_1972-05-28_Only_a_Devotee_of_Krishna_etc.mp3</t>
  </si>
  <si>
    <t>https://audio.iskcondesiretree.com/01_-_Srila_Prabhupada/01_-_Lectures/01_-_English/02_-_Month_wise/05_-_May/28/SB_2-03-10_LA_1972-05-28_Only_a_Devotee_of_Krishna_etc.mp3</t>
  </si>
  <si>
    <t>SP_SB_2-03-13_Los_Angeles_1972-05-30_A_Devotee_Is_Kind.mp3</t>
  </si>
  <si>
    <t>https://audio.iskcondesiretree.com/01_-_Srila_Prabhupada/01_-_Lectures/01_-_English/01_-_Topic_wise/Srimad_Bhagavatam/Canto-02/SP_SB_2-03-13_Los_Angeles_1972-05-30_A_Devotee_Is_Kind.mp3</t>
  </si>
  <si>
    <t>SB_2-03-13_LA_1972-05-30_A_Devotee_Is_Kind.mp3</t>
  </si>
  <si>
    <t>https://audio.iskcondesiretree.com/01_-_Srila_Prabhupada/01_-_Lectures/01_-_English/02_-_Month_wise/05_-_May/30/SB_2-03-13_LA_1972-05-30_A_Devotee_Is_Kind.mp3</t>
  </si>
  <si>
    <t>SP_SB_2-03-14-15_Los_Angeles_1972-05-31_If_You_Actually_Feel_for_People.mp3</t>
  </si>
  <si>
    <t>https://audio.iskcondesiretree.com/01_-_Srila_Prabhupada/01_-_Lectures/01_-_English/01_-_Topic_wise/Srimad_Bhagavatam/Canto-02/SP_SB_2-03-14-15_Los_Angeles_1972-05-31_If_You_Actually_Feel_for_People.mp3</t>
  </si>
  <si>
    <t>SP_SB_2-03-14_Los_Angeles_1972-05-31_If_You_Actually_Feel_for_People.mp3</t>
  </si>
  <si>
    <t>https://audio.iskcondesiretree.com/01_-_Srila_Prabhupada/01_-_Lectures/01_-_English/01_-_Topic_wise/Srimad_Bhagavatam/Canto-02/SP_SB_2-03-14_Los_Angeles_1972-05-31_If_You_Actually_Feel_for_People.mp3</t>
  </si>
  <si>
    <t>SB_2-03-14_LA_1972-05-31_If_You_Actually_Feel_for_People.mp3</t>
  </si>
  <si>
    <t>https://audio.iskcondesiretree.com/01_-_Srila_Prabhupada/01_-_Lectures/01_-_English/02_-_Month_wise/05_-_May/31/SB_2-03-14_LA_1972-05-31_If_You_Actually_Feel_for_People.mp3</t>
  </si>
  <si>
    <t>SP_SB_2-03-15_Los_Angeles_1972-06-01_Devotion_to_Krishna.mp3</t>
  </si>
  <si>
    <t>https://audio.iskcondesiretree.com/01_-_Srila_Prabhupada/01_-_Lectures/01_-_English/01_-_Topic_wise/Srimad_Bhagavatam/Canto-02/SP_SB_2-03-15_Los_Angeles_1972-06-01_Devotion_to_Krishna.mp3</t>
  </si>
  <si>
    <t>SB_2-03-15_LA_1972-06-01_Devotion_to_Krishna.mp3</t>
  </si>
  <si>
    <t>https://audio.iskcondesiretree.com/01_-_Srila_Prabhupada/01_-_Lectures/01_-_English/02_-_Month_wise/06_-_June/01/SB_2-03-15_LA_1972-06-01_Devotion_to_Krishna.mp3</t>
  </si>
  <si>
    <t>SP_SB_2-03-17_Los_Angeles_1972-06-12_If_You_Want_to_Live_Forever.mp3</t>
  </si>
  <si>
    <t>https://audio.iskcondesiretree.com/01_-_Srila_Prabhupada/01_-_Lectures/01_-_English/01_-_Topic_wise/Srimad_Bhagavatam/Canto-02/SP_SB_2-03-17_Los_Angeles_1972-06-12_If_You_Want_to_Live_Forever.mp3</t>
  </si>
  <si>
    <t>SB_2-03-17_LA_1972-06-12_If_You_Want_to_Live_Forever.mp3</t>
  </si>
  <si>
    <t>https://audio.iskcondesiretree.com/01_-_Srila_Prabhupada/01_-_Lectures/01_-_English/02_-_Month_wise/06_-_June/12/SB_2-03-17_LA_1972-06-12_If_You_Want_to_Live_Forever.mp3</t>
  </si>
  <si>
    <t>SP_SB_2-03-18-19_Los_Angeles_1972-06-13_Hogs_Dogs_Camels_and_Asses.mp3</t>
  </si>
  <si>
    <t>https://audio.iskcondesiretree.com/01_-_Srila_Prabhupada/01_-_Lectures/01_-_English/01_-_Topic_wise/Srimad_Bhagavatam/Canto-02/SP_SB_2-03-18-19_Los_Angeles_1972-06-13_Hogs_Dogs_Camels_and_Asses.mp3</t>
  </si>
  <si>
    <t>SP_SB_2-03-18_Los_Angeles_1972-06-13_Hogs_Dogs_Camels_and_Asses.mp3</t>
  </si>
  <si>
    <t>https://audio.iskcondesiretree.com/01_-_Srila_Prabhupada/01_-_Lectures/01_-_English/01_-_Topic_wise/Srimad_Bhagavatam/Canto-02/SP_SB_2-03-18_Los_Angeles_1972-06-13_Hogs_Dogs_Camels_and_Asses.mp3</t>
  </si>
  <si>
    <t>SP_SB_2-03-19_Los_Angeles_1972-06-13_Doghouse_or_Igloo-_Home_Sweet_Home.mp3</t>
  </si>
  <si>
    <t>https://audio.iskcondesiretree.com/01_-_Srila_Prabhupada/01_-_Lectures/01_-_English/01_-_Topic_wise/Srimad_Bhagavatam/Canto-02/SP_SB_2-03-19_Los_Angeles_1972-06-13_Doghouse_or_Igloo-_Home_Sweet_Home.mp3</t>
  </si>
  <si>
    <t>SB_2-03-18_LA_1972-06-13_Hogs%2C_Dogs%2C_Camels_and_Asses.mp3</t>
  </si>
  <si>
    <t>https://audio.iskcondesiretree.com/01_-_Srila_Prabhupada/01_-_Lectures/01_-_English/02_-_Month_wise/06_-_June/13/SB_2-03-18_LA_1972-06-13_Hogs%2C_Dogs%2C_Camels_and_Asses.mp3</t>
  </si>
  <si>
    <t>SB_2-03-19_LA_1972-06-13_Doghouse_or_Igloo-_Home_Sweet_Home.mp3</t>
  </si>
  <si>
    <t>https://audio.iskcondesiretree.com/01_-_Srila_Prabhupada/01_-_Lectures/01_-_English/02_-_Month_wise/06_-_June/13/SB_2-03-19_LA_1972-06-13_Doghouse_or_Igloo-_Home_Sweet_Home.mp3</t>
  </si>
  <si>
    <t>SP_SB_2-03-19_Los_Angeles_1972-06-15_A_Thorn_Chewing--etc.mp3</t>
  </si>
  <si>
    <t>https://audio.iskcondesiretree.com/01_-_Srila_Prabhupada/01_-_Lectures/01_-_English/01_-_Topic_wise/Srimad_Bhagavatam/Canto-02/SP_SB_2-03-19_Los_Angeles_1972-06-15_A_Thorn_Chewing--etc.mp3</t>
  </si>
  <si>
    <t>SB_2-03-19_LA_1972-06-15_A_Thorn_Chewing_etc.mp3</t>
  </si>
  <si>
    <t>https://audio.iskcondesiretree.com/01_-_Srila_Prabhupada/01_-_Lectures/01_-_English/02_-_Month_wise/06_-_June/15/SB_2-03-19_LA_1972-06-15_A_Thorn_Chewing_etc.mp3</t>
  </si>
  <si>
    <t>SP_SB_2-03-20-21_Los_Angeles_1972-06-16_Ear_Holes_Like_Snake_Holes.mp3</t>
  </si>
  <si>
    <t>https://audio.iskcondesiretree.com/01_-_Srila_Prabhupada/01_-_Lectures/01_-_English/01_-_Topic_wise/Srimad_Bhagavatam/Canto-02/SP_SB_2-03-20-21_Los_Angeles_1972-06-16_Ear_Holes_Like_Snake_Holes.mp3</t>
  </si>
  <si>
    <t>SP_SB_2-03-20_Los_Angeles_1972-06-16_Ear_Holes_Like_Snake_Holes.mp3</t>
  </si>
  <si>
    <t>https://audio.iskcondesiretree.com/01_-_Srila_Prabhupada/01_-_Lectures/01_-_English/01_-_Topic_wise/Srimad_Bhagavatam/Canto-02/SP_SB_2-03-20_Los_Angeles_1972-06-16_Ear_Holes_Like_Snake_Holes.mp3</t>
  </si>
  <si>
    <t>SB_2-03-20_LA_1972-06-16_Ear_Holes_Like_Snake_Holes.mp3</t>
  </si>
  <si>
    <t>https://audio.iskcondesiretree.com/01_-_Srila_Prabhupada/01_-_Lectures/01_-_English/02_-_Month_wise/06_-_June/16/SB_2-03-20_LA_1972-06-16_Ear_Holes_Like_Snake_Holes.mp3</t>
  </si>
  <si>
    <t>SP_SB_2-03-20_Los_Angeles_1972-06-17_Criminal_Enjoyment.mp3</t>
  </si>
  <si>
    <t>https://audio.iskcondesiretree.com/01_-_Srila_Prabhupada/01_-_Lectures/01_-_English/01_-_Topic_wise/Srimad_Bhagavatam/Canto-02/SP_SB_2-03-20_Los_Angeles_1972-06-17_Criminal_Enjoyment.mp3</t>
  </si>
  <si>
    <t>SB_2-03-20_LA_1972-06-17_Criminal_Enjoyment.mp3</t>
  </si>
  <si>
    <t>https://audio.iskcondesiretree.com/01_-_Srila_Prabhupada/01_-_Lectures/01_-_English/02_-_Month_wise/06_-_June/17/SB_2-03-20_LA_1972-06-17_Criminal_Enjoyment.mp3</t>
  </si>
  <si>
    <t>SP_SB_2-03-21_Los_Angeles_1972-06-18_Lifting_the_Burden_from_Society.mp3</t>
  </si>
  <si>
    <t>https://audio.iskcondesiretree.com/01_-_Srila_Prabhupada/01_-_Lectures/01_-_English/01_-_Topic_wise/Srimad_Bhagavatam/Canto-02/SP_SB_2-03-21_Los_Angeles_1972-06-18_Lifting_the_Burden_from_Society.mp3</t>
  </si>
  <si>
    <t>SB_2-03-21_LA_1972-06-18_Lifting_the_Burden_from_Society.mp3</t>
  </si>
  <si>
    <t>https://audio.iskcondesiretree.com/01_-_Srila_Prabhupada/01_-_Lectures/01_-_English/02_-_Month_wise/06_-_June/18/SB_2-03-21_LA_1972-06-18_Lifting_the_Burden_from_Society.mp3</t>
  </si>
  <si>
    <t>SP_SB_2-03-22_Los_Angeles_1972-06-19_Peacock-plume_Eyes.mp3</t>
  </si>
  <si>
    <t>https://audio.iskcondesiretree.com/01_-_Srila_Prabhupada/01_-_Lectures/01_-_English/01_-_Topic_wise/Srimad_Bhagavatam/Canto-02/SP_SB_2-03-22_Los_Angeles_1972-06-19_Peacock-plume_Eyes.mp3</t>
  </si>
  <si>
    <t>SB_2-03-22_LA_1972-06-19_Peacock-plume_Eyes.mp3</t>
  </si>
  <si>
    <t>https://audio.iskcondesiretree.com/01_-_Srila_Prabhupada/01_-_Lectures/01_-_English/02_-_Month_wise/06_-_June/19/SB_2-03-22_LA_1972-06-19_Peacock-plume_Eyes.mp3</t>
  </si>
  <si>
    <t>SP_SB_2-03-23_Los_Angeles_1972-06-20_Only_a_Devotee_of_a_Devotee--etc.mp3</t>
  </si>
  <si>
    <t>https://audio.iskcondesiretree.com/01_-_Srila_Prabhupada/01_-_Lectures/01_-_English/01_-_Topic_wise/Srimad_Bhagavatam/Canto-02/SP_SB_2-03-23_Los_Angeles_1972-06-20_Only_a_Devotee_of_a_Devotee--etc.mp3</t>
  </si>
  <si>
    <t>SB_2-03-23_LA_1972-06-20_Only_a_Devotee_of_a_Devotee_etc.mp3</t>
  </si>
  <si>
    <t>https://audio.iskcondesiretree.com/01_-_Srila_Prabhupada/01_-_Lectures/01_-_English/02_-_Month_wise/06_-_June/20/SB_2-03-23_LA_1972-06-20_Only_a_Devotee_of_a_Devotee_etc.mp3</t>
  </si>
  <si>
    <t>SP_SB_2-03-24_Los_Angeles_1972-06-22_Steel-framed_Hearts.mp3</t>
  </si>
  <si>
    <t>https://audio.iskcondesiretree.com/01_-_Srila_Prabhupada/01_-_Lectures/01_-_English/01_-_Topic_wise/Srimad_Bhagavatam/Canto-02/SP_SB_2-03-24_Los_Angeles_1972-06-22_Steel-framed_Hearts.mp3</t>
  </si>
  <si>
    <t>SB_2-03-24_LA_1972-06-22_Steel_framed_Hearts.mp3</t>
  </si>
  <si>
    <t>https://audio.iskcondesiretree.com/01_-_Srila_Prabhupada/01_-_Lectures/01_-_English/02_-_Month_wise/06_-_June/22/SB_2-03-24_LA_1972-06-22_Steel_framed_Hearts.mp3</t>
  </si>
  <si>
    <t>SP_SB_2-03-25_Los_Angeles_1972-06-23_Spiritual_Realization--etc.mp3</t>
  </si>
  <si>
    <t>https://audio.iskcondesiretree.com/01_-_Srila_Prabhupada/01_-_Lectures/01_-_English/01_-_Topic_wise/Srimad_Bhagavatam/Canto-02/SP_SB_2-03-25_Los_Angeles_1972-06-23_Spiritual_Realization--etc.mp3</t>
  </si>
  <si>
    <t>SB_2-03-25_LA_1972-06-23_Spiritual_Realization_etc.mp3</t>
  </si>
  <si>
    <t>https://audio.iskcondesiretree.com/01_-_Srila_Prabhupada/01_-_Lectures/01_-_English/02_-_Month_wise/06_-_June/23/SB_2-03-25_LA_1972-06-23_Spiritual_Realization_etc.mp3</t>
  </si>
  <si>
    <t>SP_SB_2-04-01_Los_Angeles_1972-06-24_Searching_After_Krishna.mp3</t>
  </si>
  <si>
    <t>https://audio.iskcondesiretree.com/01_-_Srila_Prabhupada/01_-_Lectures/01_-_English/01_-_Topic_wise/Srimad_Bhagavatam/Canto-02/SP_SB_2-04-01_Los_Angeles_1972-06-24_Searching_After_Krishna.mp3</t>
  </si>
  <si>
    <t>SB_2-04-01_LA_1972-06-24_Searching_After_Krishna.mp3</t>
  </si>
  <si>
    <t>https://audio.iskcondesiretree.com/01_-_Srila_Prabhupada/01_-_Lectures/01_-_English/02_-_Month_wise/06_-_June/24/SB_2-04-01_LA_1972-06-24_Searching_After_Krishna.mp3</t>
  </si>
  <si>
    <t>SP_SB_2-04-02_Los_Angeles_1972-06-25_Simply_Negating_Is_New_Orleans_Good.mp3</t>
  </si>
  <si>
    <t>https://audio.iskcondesiretree.com/01_-_Srila_Prabhupada/01_-_Lectures/01_-_English/01_-_Topic_wise/Srimad_Bhagavatam/Canto-02/SP_SB_2-04-02_Los_Angeles_1972-06-25_Simply_Negating_Is_New_Orleans_Good.mp3</t>
  </si>
  <si>
    <t>SB_2-04-02_LA_1972-06-25_Simply_Negating_Is_No_Good.mp3</t>
  </si>
  <si>
    <t>https://audio.iskcondesiretree.com/01_-_Srila_Prabhupada/01_-_Lectures/01_-_English/02_-_Month_wise/06_-_June/25/SB_2-04-02_LA_1972-06-25_Simply_Negating_Is_No_Good.mp3</t>
  </si>
  <si>
    <t>SP_SB_2-04-02_Los_Angeles_1972-06-26_Fight_for_Freedom.mp3</t>
  </si>
  <si>
    <t>https://audio.iskcondesiretree.com/01_-_Srila_Prabhupada/01_-_Lectures/01_-_English/01_-_Topic_wise/Srimad_Bhagavatam/Canto-02/SP_SB_2-04-02_Los_Angeles_1972-06-26_Fight_for_Freedom.mp3</t>
  </si>
  <si>
    <t>SB_2-04-02_LA_1972-06-26_Fight_for_Freedom.mp3</t>
  </si>
  <si>
    <t>https://audio.iskcondesiretree.com/01_-_Srila_Prabhupada/01_-_Lectures/01_-_English/02_-_Month_wise/06_-_June/26/SB_2-04-02_LA_1972-06-26_Fight_for_Freedom.mp3</t>
  </si>
  <si>
    <t>SP_SB_2-04-03_Los_Angeles_1972-06-27_Make_Krishna_Your_Beloved.mp3</t>
  </si>
  <si>
    <t>https://audio.iskcondesiretree.com/01_-_Srila_Prabhupada/01_-_Lectures/01_-_English/01_-_Topic_wise/Srimad_Bhagavatam/Canto-02/SP_SB_2-04-03_Los_Angeles_1972-06-27_Make_Krishna_Your_Beloved.mp3</t>
  </si>
  <si>
    <t>SB_2-04-03_LA_1972-06-27_Make_Krishna_Your_Beloved.mp3</t>
  </si>
  <si>
    <t>https://audio.iskcondesiretree.com/01_-_Srila_Prabhupada/01_-_Lectures/01_-_English/02_-_Month_wise/06_-_June/27/SB_2-04-03_LA_1972-06-27_Make_Krishna_Your_Beloved.mp3</t>
  </si>
  <si>
    <t>SP_Room_Conversation_Sanand_Diego_1972-06-29_Wherever_You_Go_Your_Fortune_or--etc.mp3</t>
  </si>
  <si>
    <t>https://audio.iskcondesiretree.com/01_-_Srila_Prabhupada/01_-_Lectures/01_-_English/01_-_Topic_wise/Room_Conversation/SP_Room_Conversation_Sanand_Diego_1972-06-29_Wherever_You_Go_Your_Fortune_or--etc.mp3</t>
  </si>
  <si>
    <t>RC_SD_1972-06-29_Wherever_You_Go_Your_Fortune_or_etc.mp3</t>
  </si>
  <si>
    <t>https://audio.iskcondesiretree.com/01_-_Srila_Prabhupada/01_-_Lectures/01_-_English/02_-_Month_wise/06_-_June/29/RC_SD_1972-06-29_Wherever_You_Go_Your_Fortune_or_etc.mp3</t>
  </si>
  <si>
    <t>SP_Morning_Walk_-_San_Diego_1972-06-30_Scientists--Envious_Bombastic_Rascals.mp3</t>
  </si>
  <si>
    <t>https://audio.iskcondesiretree.com/01_-_Srila_Prabhupada/01_-_Lectures/01_-_English/01_-_Topic_wise/Morning_Walk/SP_Morning_Walk_-_San_Diego_1972-06-30_Scientists--Envious_Bombastic_Rascals.mp3</t>
  </si>
  <si>
    <t>SP_Lecture_San_Diego_1972-06-30_Initiation--Svaha_for_Krishna_or_for_Maya.mp3</t>
  </si>
  <si>
    <t>https://audio.iskcondesiretree.com/01_-_Srila_Prabhupada/01_-_Lectures/01_-_English/01_-_Topic_wise/Various/SP_Lecture_San_Diego_1972-06-30_Initiation--Svaha_for_Krishna_or_for_Maya.mp3</t>
  </si>
  <si>
    <t>Lect_SD_1972-06-30_Initiation-Svaha_for_Krishna_or_for_Maya.mp3</t>
  </si>
  <si>
    <t>https://audio.iskcondesiretree.com/01_-_Srila_Prabhupada/01_-_Lectures/01_-_English/02_-_Month_wise/06_-_June/30/Lect_SD_1972-06-30_Initiation-Svaha_for_Krishna_or_for_Maya.mp3</t>
  </si>
  <si>
    <t>MW_SD_1972-06-30_Scientists-Envious_Bombastic_Rascals.mp3</t>
  </si>
  <si>
    <t>https://audio.iskcondesiretree.com/01_-_Srila_Prabhupada/01_-_Lectures/01_-_English/02_-_Month_wise/06_-_June/30/MW_SD_1972-06-30_Scientists-Envious_Bombastic_Rascals.mp3</t>
  </si>
  <si>
    <t>SP_BG_07-01_San_Diego_1972-07-01_Life%27s_Aim_Is_Self-Realization.mp3</t>
  </si>
  <si>
    <t>https://audio.iskcondesiretree.com/01_-_Srila_Prabhupada/01_-_Lectures/01_-_English/01_-_Topic_wise/Bhagavad_Gita/Chapter-07/SP_BG_07-01_San_Diego_1972-07-01_Life%27s_Aim_Is_Self-Realization.mp3</t>
  </si>
  <si>
    <t>SP_Festivals_San_Diego_1972-07-01_At_Balboa_Park--World_Is_Enchanted_by_Sex.mp3</t>
  </si>
  <si>
    <t>https://audio.iskcondesiretree.com/01_-_Srila_Prabhupada/01_-_Lectures/01_-_English/01_-_Topic_wise/Festivals/SP_Festivals_San_Diego_1972-07-01_At_Balboa_Park--World_Is_Enchanted_by_Sex.mp3</t>
  </si>
  <si>
    <t>Bg_07-01_SD_1972-07-01_Life%27s_Aim_Is_Self-Realization.mp3</t>
  </si>
  <si>
    <t>https://audio.iskcondesiretree.com/01_-_Srila_Prabhupada/01_-_Lectures/01_-_English/02_-_Month_wise/07_-_July/01/Bg_07-01_SD_1972-07-01_Life%27s_Aim_Is_Self-Realization.mp3</t>
  </si>
  <si>
    <t>Fest_SD_1972-07-01_At_Balboa_Park-World_Is_Enchanted_by_Sex.mp3</t>
  </si>
  <si>
    <t>https://audio.iskcondesiretree.com/01_-_Srila_Prabhupada/01_-_Lectures/01_-_English/02_-_Month_wise/07_-_July/01/Fest_SD_1972-07-01_At_Balboa_Park-World_Is_Enchanted_by_Sex.mp3</t>
  </si>
  <si>
    <t>SP_Festivals_London_1972-07-13_Ratha_Yatra_Parts_1_%26_2.mp3</t>
  </si>
  <si>
    <t>https://audio.iskcondesiretree.com/01_-_Srila_Prabhupada/01_-_Lectures/01_-_English/01_-_Topic_wise/Festivals/SP_Festivals_London_1972-07-13_Ratha_Yatra_Parts_1_%26_2.mp3</t>
  </si>
  <si>
    <t>Fest_LON_1972-07-13_Ratha_Yatra_Parts_1_%26_2.mp3</t>
  </si>
  <si>
    <t>https://audio.iskcondesiretree.com/01_-_Srila_Prabhupada/01_-_Lectures/01_-_English/02_-_Month_wise/07_-_July/13/Fest_LON_1972-07-13_Ratha_Yatra_Parts_1_%26_2.mp3</t>
  </si>
  <si>
    <t>SP_Arrival_Paris_1972-07-20_Why_Study_the_Perishable.mp3</t>
  </si>
  <si>
    <t>https://audio.iskcondesiretree.com/01_-_Srila_Prabhupada/01_-_Lectures/01_-_English/01_-_Topic_wise/Arrival_Address/SP_Arrival_Paris_1972-07-20_Why_Study_the_Perishable.mp3</t>
  </si>
  <si>
    <t>Arr_PAR_1972-07-20_Why_Study_the_Perishable.mp3</t>
  </si>
  <si>
    <t>https://audio.iskcondesiretree.com/01_-_Srila_Prabhupada/01_-_Lectures/01_-_English/02_-_Month_wise/07_-_July/20/Arr_PAR_1972-07-20_Why_Study_the_Perishable.mp3</t>
  </si>
  <si>
    <t>SP_SB_1-02-12_Los_Angeles_1972-08-15_Become_Very_Eager_to_See_Krishna.mp3</t>
  </si>
  <si>
    <t>https://audio.iskcondesiretree.com/01_-_Srila_Prabhupada/01_-_Lectures/01_-_English/01_-_Topic_wise/Srimad_Bhagavatam/Canto-01/SP_SB_1-02-12_Los_Angeles_1972-08-15_Become_Very_Eager_to_See_Krishna.mp3</t>
  </si>
  <si>
    <t>SB_1-02-12_LA_1972-08-15_Become_Very_Eager_to_See_Krishna.mp3</t>
  </si>
  <si>
    <t>https://audio.iskcondesiretree.com/01_-_Srila_Prabhupada/01_-_Lectures/01_-_English/02_-_Month_wise/08_-_August/15/SB_1-02-12_LA_1972-08-15_Become_Very_Eager_to_See_Krishna.mp3</t>
  </si>
  <si>
    <t>SP_SB_1-02-14_Los_Angeles_1972-08-17_Make_Four_Social_Classes.mp3</t>
  </si>
  <si>
    <t>https://audio.iskcondesiretree.com/01_-_Srila_Prabhupada/01_-_Lectures/01_-_English/01_-_Topic_wise/Srimad_Bhagavatam/Canto-01/SP_SB_1-02-14_Los_Angeles_1972-08-17_Make_Four_Social_Classes.mp3</t>
  </si>
  <si>
    <t>SB_1-02-14_LA_1972-08-17_Make_Four_Social_Classes.mp3</t>
  </si>
  <si>
    <t>https://audio.iskcondesiretree.com/01_-_Srila_Prabhupada/01_-_Lectures/01_-_English/02_-_Month_wise/08_-_August/17/SB_1-02-14_LA_1972-08-17_Make_Four_Social_Classes.mp3</t>
  </si>
  <si>
    <t>SP_SB_1-02-15_Los_Angeles_1972-08-18_Cutting_the_Knots_of_Karma.mp3</t>
  </si>
  <si>
    <t>https://audio.iskcondesiretree.com/01_-_Srila_Prabhupada/01_-_Lectures/01_-_English/01_-_Topic_wise/Srimad_Bhagavatam/Canto-01/SP_SB_1-02-15_Los_Angeles_1972-08-18_Cutting_the_Knots_of_Karma.mp3</t>
  </si>
  <si>
    <t>SB_1-02-15_LA_1972-08-18_Cutting_the_Knots_of_Karma.mp3</t>
  </si>
  <si>
    <t>https://audio.iskcondesiretree.com/01_-_Srila_Prabhupada/01_-_Lectures/01_-_English/02_-_Month_wise/08_-_August/18/SB_1-02-15_LA_1972-08-18_Cutting_the_Knots_of_Karma.mp3</t>
  </si>
  <si>
    <t>SP_SB_1-02-16_Los_Angeles_1972-08-19_The_Way_to_Go_Back_to_Godhead.mp3</t>
  </si>
  <si>
    <t>https://audio.iskcondesiretree.com/01_-_Srila_Prabhupada/01_-_Lectures/01_-_English/01_-_Topic_wise/Srimad_Bhagavatam/Canto-01/SP_SB_1-02-16_Los_Angeles_1972-08-19_The_Way_to_Go_Back_to_Godhead.mp3</t>
  </si>
  <si>
    <t>SB_1-02-16_LA_1972-08-19_The_Way_to_Go_Back_to_Godhead.mp3</t>
  </si>
  <si>
    <t>https://audio.iskcondesiretree.com/01_-_Srila_Prabhupada/01_-_Lectures/01_-_English/02_-_Month_wise/08_-_August/19/SB_1-02-16_LA_1972-08-19_The_Way_to_Go_Back_to_Godhead.mp3</t>
  </si>
  <si>
    <t>SP_SB_1-02-17_Los_Angeles_1972-08-20_Krsna_Is_Selfish--_He_Wants--etc.mp3</t>
  </si>
  <si>
    <t>https://audio.iskcondesiretree.com/01_-_Srila_Prabhupada/01_-_Lectures/01_-_English/01_-_Topic_wise/Srimad_Bhagavatam/Canto-01/SP_SB_1-02-17_Los_Angeles_1972-08-20_Krsna_Is_Selfish--_He_Wants--etc.mp3</t>
  </si>
  <si>
    <t>SB_1-02-17_LA_1972-08-20_Krsna_Is_Selfish_He_Wants_etc.mp3</t>
  </si>
  <si>
    <t>https://audio.iskcondesiretree.com/01_-_Srila_Prabhupada/01_-_Lectures/01_-_English/02_-_Month_wise/08_-_August/20/SB_1-02-17_LA_1972-08-20_Krsna_Is_Selfish_He_Wants_etc.mp3</t>
  </si>
  <si>
    <t>SP_SB_1-02-18_Los_Angeles_1972-08-21_The_Choice-Krishna_or_Maya.mp3</t>
  </si>
  <si>
    <t>https://audio.iskcondesiretree.com/01_-_Srila_Prabhupada/01_-_Lectures/01_-_English/01_-_Topic_wise/Srimad_Bhagavatam/Canto-01/SP_SB_1-02-18_Los_Angeles_1972-08-21_The_Choice-Krishna_or_Maya.mp3</t>
  </si>
  <si>
    <t>SB_1-02-18_LA_1972-08-21_The_Choice-Krishna_or_Maya.mp3</t>
  </si>
  <si>
    <t>https://audio.iskcondesiretree.com/01_-_Srila_Prabhupada/01_-_Lectures/01_-_English/02_-_Month_wise/08_-_August/21/SB_1-02-18_LA_1972-08-21_The_Choice-Krishna_or_Maya.mp3</t>
  </si>
  <si>
    <t>SP_SB_1-02-19_Los_Angeles_1972-08-22_The_Bhakti_Lift_to_Love_and--etc.mp3</t>
  </si>
  <si>
    <t>https://audio.iskcondesiretree.com/01_-_Srila_Prabhupada/01_-_Lectures/01_-_English/01_-_Topic_wise/Srimad_Bhagavatam/Canto-01/SP_SB_1-02-19_Los_Angeles_1972-08-22_The_Bhakti_Lift_to_Love_and--etc.mp3</t>
  </si>
  <si>
    <t>SB_1-02-19_LA_1972-08-22_The_Bhakti_Lift_to_Love_and_etc.mp3</t>
  </si>
  <si>
    <t>https://audio.iskcondesiretree.com/01_-_Srila_Prabhupada/01_-_Lectures/01_-_English/02_-_Month_wise/08_-_August/22/SB_1-02-19_LA_1972-08-22_The_Bhakti_Lift_to_Love_and_etc.mp3</t>
  </si>
  <si>
    <t>SP_SB_1-02-20_Los_Angeles_1972-08-23_Spiritual_Life_Is_Scientific.mp3</t>
  </si>
  <si>
    <t>https://audio.iskcondesiretree.com/01_-_Srila_Prabhupada/01_-_Lectures/01_-_English/01_-_Topic_wise/Srimad_Bhagavatam/Canto-01/SP_SB_1-02-20_Los_Angeles_1972-08-23_Spiritual_Life_Is_Scientific.mp3</t>
  </si>
  <si>
    <t>SB_1-02-20_LA_1972-08-23_Spiritual_Life_Is_Scientific.mp3</t>
  </si>
  <si>
    <t>https://audio.iskcondesiretree.com/01_-_Srila_Prabhupada/01_-_Lectures/01_-_English/02_-_Month_wise/08_-_August/23/SB_1-02-20_LA_1972-08-23_Spiritual_Life_Is_Scientific.mp3</t>
  </si>
  <si>
    <t>SP_SB_1-02-21_Los_Angeles_1972-08-24_In_This_Material_World_We--etc.mp3</t>
  </si>
  <si>
    <t>https://audio.iskcondesiretree.com/01_-_Srila_Prabhupada/01_-_Lectures/01_-_English/01_-_Topic_wise/Srimad_Bhagavatam/Canto-01/SP_SB_1-02-21_Los_Angeles_1972-08-24_In_This_Material_World_We--etc.mp3</t>
  </si>
  <si>
    <t>SB_1-02-21_LA_1972-08-24_In_This_Material_World_We_etc.mp3</t>
  </si>
  <si>
    <t>https://audio.iskcondesiretree.com/01_-_Srila_Prabhupada/01_-_Lectures/01_-_English/02_-_Month_wise/08_-_August/24/SB_1-02-21_LA_1972-08-24_In_This_Material_World_We_etc.mp3</t>
  </si>
  <si>
    <t>SP_SB_1-02-22_Los_Angeles_1972-08-25_A_First-class_Devotee_Is--etc.mp3</t>
  </si>
  <si>
    <t>https://audio.iskcondesiretree.com/01_-_Srila_Prabhupada/01_-_Lectures/01_-_English/01_-_Topic_wise/Srimad_Bhagavatam/Canto-01/SP_SB_1-02-22_Los_Angeles_1972-08-25_A_First-class_Devotee_Is--etc.mp3</t>
  </si>
  <si>
    <t>SB_1-02-22_LA_1972-08-25_A_First-class_Devotee_Is_etc.mp3</t>
  </si>
  <si>
    <t>https://audio.iskcondesiretree.com/01_-_Srila_Prabhupada/01_-_Lectures/01_-_English/02_-_Month_wise/08_-_August/25/SB_1-02-22_LA_1972-08-25_A_First-class_Devotee_Is_etc.mp3</t>
  </si>
  <si>
    <t>SP_SB_1-02-23_Los_Angeles_1972-08-26_The_Material_World-A_Chance.mp3</t>
  </si>
  <si>
    <t>https://audio.iskcondesiretree.com/01_-_Srila_Prabhupada/01_-_Lectures/01_-_English/01_-_Topic_wise/Srimad_Bhagavatam/Canto-01/SP_SB_1-02-23_Los_Angeles_1972-08-26_The_Material_World-A_Chance.mp3</t>
  </si>
  <si>
    <t>SB_1-02-23_LA_1972-08-26_The_Material_World-A_Chance.mp3</t>
  </si>
  <si>
    <t>https://audio.iskcondesiretree.com/01_-_Srila_Prabhupada/01_-_Lectures/01_-_English/02_-_Month_wise/08_-_August/26/SB_1-02-23_LA_1972-08-26_The_Material_World-A_Chance.mp3</t>
  </si>
  <si>
    <t>SP_SB_1-02-24_Los_Angeles_1972-08-27_How_to_See_the_Absolute_Truth.mp3</t>
  </si>
  <si>
    <t>https://audio.iskcondesiretree.com/01_-_Srila_Prabhupada/01_-_Lectures/01_-_English/01_-_Topic_wise/Srimad_Bhagavatam/Canto-01/SP_SB_1-02-24_Los_Angeles_1972-08-27_How_to_See_the_Absolute_Truth.mp3</t>
  </si>
  <si>
    <t>SB_1-02-24_LA_1972-08-27_How_to_See_the_Absolute_Truth.mp3</t>
  </si>
  <si>
    <t>https://audio.iskcondesiretree.com/01_-_Srila_Prabhupada/01_-_Lectures/01_-_English/02_-_Month_wise/08_-_August/27/SB_1-02-24_LA_1972-08-27_How_to_See_the_Absolute_Truth.mp3</t>
  </si>
  <si>
    <t>SP_SB_1-02-25_Los_Angeles_1972-08-28_Paltry_Research_Work.mp3</t>
  </si>
  <si>
    <t>https://audio.iskcondesiretree.com/01_-_Srila_Prabhupada/01_-_Lectures/01_-_English/01_-_Topic_wise/Srimad_Bhagavatam/Canto-01/SP_SB_1-02-25_Los_Angeles_1972-08-28_Paltry_Research_Work.mp3</t>
  </si>
  <si>
    <t>SB_1-02-25_LA_1972-08-28_Paltry_Research_Work.mp3</t>
  </si>
  <si>
    <t>https://audio.iskcondesiretree.com/01_-_Srila_Prabhupada/01_-_Lectures/01_-_English/02_-_Month_wise/08_-_August/28/SB_1-02-25_LA_1972-08-28_Paltry_Research_Work.mp3</t>
  </si>
  <si>
    <t>SP_Address_New_Vrindavan_1972-08-31_Just_Hear_About_Krishna.mp3</t>
  </si>
  <si>
    <t>https://audio.iskcondesiretree.com/01_-_Srila_Prabhupada/01_-_Lectures/01_-_English/01_-_Topic_wise/Arrival_Address/SP_Address_New_Vrindavan_1972-08-31_Just_Hear_About_Krishna.mp3</t>
  </si>
  <si>
    <t>Addr_NV_1972-08-31_Just_Hear_About_Krishna.mp3</t>
  </si>
  <si>
    <t>https://audio.iskcondesiretree.com/01_-_Srila_Prabhupada/01_-_Lectures/01_-_English/02_-_Month_wise/08_-_August/31/Addr_NV_1972-08-31_Just_Hear_About_Krishna.mp3</t>
  </si>
  <si>
    <t>SP_Festivals_New_Vrindavan_1972-09-02_Vyasa-puja.mp3</t>
  </si>
  <si>
    <t>https://audio.iskcondesiretree.com/01_-_Srila_Prabhupada/01_-_Lectures/01_-_English/01_-_Topic_wise/Festivals/SP_Festivals_New_Vrindavan_1972-09-02_Vyasa-puja.mp3</t>
  </si>
  <si>
    <t>Fest_NV_1972-09-02_Vyasa-puja.mp3</t>
  </si>
  <si>
    <t>https://audio.iskcondesiretree.com/01_-_Srila_Prabhupada/01_-_Lectures/01_-_English/02_-_Month_wise/09_-_September/02/Fest_NV_1972-09-02_Vyasa-puja.mp3</t>
  </si>
  <si>
    <t>SP_SB_1-02-05_New_Vrindavan_1972-09-04_This_Bhagavatam_Culture_is--etc.mp3</t>
  </si>
  <si>
    <t>https://audio.iskcondesiretree.com/01_-_Srila_Prabhupada/01_-_Lectures/01_-_English/01_-_Topic_wise/Srimad_Bhagavatam/Canto-01/SP_SB_1-02-05_New_Vrindavan_1972-09-04_This_Bhagavatam_Culture_is--etc.mp3</t>
  </si>
  <si>
    <t>SB_1-02-05_NV_1972-09-04_This_Bhagavatam_Culture_is_etc.mp3</t>
  </si>
  <si>
    <t>https://audio.iskcondesiretree.com/01_-_Srila_Prabhupada/01_-_Lectures/01_-_English/02_-_Month_wise/09_-_September/04/SB_1-02-05_NV_1972-09-04_This_Bhagavatam_Culture_is_etc.mp3</t>
  </si>
  <si>
    <t>SP_SB_1-02-06_New_Vrindavan_1972-09-05_This_Nice_Caracas_Is_Rotten.mp3</t>
  </si>
  <si>
    <t>https://audio.iskcondesiretree.com/01_-_Srila_Prabhupada/01_-_Lectures/01_-_English/01_-_Topic_wise/Srimad_Bhagavatam/Canto-01/SP_SB_1-02-06_New_Vrindavan_1972-09-05_This_Nice_Caracas_Is_Rotten.mp3</t>
  </si>
  <si>
    <t>SB_1-02-06_NV_1972-09-05_This_Nice_Car_Is_Rotten.mp3</t>
  </si>
  <si>
    <t>https://audio.iskcondesiretree.com/01_-_Srila_Prabhupada/01_-_Lectures/01_-_English/02_-_Month_wise/09_-_September/05/SB_1-02-06_NV_1972-09-05_This_Nice_Car_Is_Rotten.mp3</t>
  </si>
  <si>
    <t>SP_SB_1-02-08_New_Vrindavan_1972-09-06_Spiritualize_Your_Subtle_Body.mp3</t>
  </si>
  <si>
    <t>https://audio.iskcondesiretree.com/01_-_Srila_Prabhupada/01_-_Lectures/01_-_English/01_-_Topic_wise/Srimad_Bhagavatam/Canto-01/SP_SB_1-02-08_New_Vrindavan_1972-09-06_Spiritualize_Your_Subtle_Body.mp3</t>
  </si>
  <si>
    <t>SB_1-02-08_NV_1972-09-06_Spiritualize_Your_Subtle_Body.mp3</t>
  </si>
  <si>
    <t>https://audio.iskcondesiretree.com/01_-_Srila_Prabhupada/01_-_Lectures/01_-_English/02_-_Month_wise/09_-_September/06/SB_1-02-08_NV_1972-09-06_Spiritualize_Your_Subtle_Body.mp3</t>
  </si>
  <si>
    <t>SP_SB_1-02-09_New_Vrindavan_1972-09-07_The_Art_of_Knowing_What_to--etc.mp3</t>
  </si>
  <si>
    <t>https://audio.iskcondesiretree.com/01_-_Srila_Prabhupada/01_-_Lectures/01_-_English/01_-_Topic_wise/Srimad_Bhagavatam/Canto-01/SP_SB_1-02-09_New_Vrindavan_1972-09-07_The_Art_of_Knowing_What_to--etc.mp3</t>
  </si>
  <si>
    <t>SB_1-02-09_NV_1972-09-07_The_Art_of_Knowing_What_to_etc.mp3</t>
  </si>
  <si>
    <t>https://audio.iskcondesiretree.com/01_-_Srila_Prabhupada/01_-_Lectures/01_-_English/02_-_Month_wise/09_-_September/07/SB_1-02-09_NV_1972-09-07_The_Art_of_Knowing_What_to_etc.mp3</t>
  </si>
  <si>
    <t>SP_BG_02-13_Pittsburgh_1972-09-08_Hear_from_the_Authority-Krishna.mp3</t>
  </si>
  <si>
    <t>https://audio.iskcondesiretree.com/01_-_Srila_Prabhupada/01_-_Lectures/01_-_English/01_-_Topic_wise/Bhagavad_Gita/Chapter-02/SP_BG_02-13_Pittsburgh_1972-09-08_Hear_from_the_Authority-Krishna.mp3</t>
  </si>
  <si>
    <t>Bg_02-13_PIT_1972-09-08_Hear_from_the_Authority-Krishna.mp3</t>
  </si>
  <si>
    <t>https://audio.iskcondesiretree.com/01_-_Srila_Prabhupada/01_-_Lectures/01_-_English/02_-_Month_wise/09_-_September/08/Bg_02-13_PIT_1972-09-08_Hear_from_the_Authority-Krishna.mp3</t>
  </si>
  <si>
    <t>SP_SB_1-03-07_Los_Angeles_1972-09-13_Krishna_Will_Save_You.mp3</t>
  </si>
  <si>
    <t>https://audio.iskcondesiretree.com/01_-_Srila_Prabhupada/01_-_Lectures/01_-_English/01_-_Topic_wise/Srimad_Bhagavatam/Canto-01/SP_SB_1-03-07_Los_Angeles_1972-09-13_Krishna_Will_Save_You.mp3</t>
  </si>
  <si>
    <t>SB_1-03-07_LA_1972-09-13_Krishna_Will_Save_You.mp3</t>
  </si>
  <si>
    <t>https://audio.iskcondesiretree.com/01_-_Srila_Prabhupada/01_-_Lectures/01_-_English/02_-_Month_wise/09_-_September/13/SB_1-03-07_LA_1972-09-13_Krishna_Will_Save_You.mp3</t>
  </si>
  <si>
    <t>SP_SB_1-03-10_Los_Angeles_1972-09-16_Modern_Facilities-Beneficial--etc.mp3</t>
  </si>
  <si>
    <t>https://audio.iskcondesiretree.com/01_-_Srila_Prabhupada/01_-_Lectures/01_-_English/01_-_Topic_wise/Srimad_Bhagavatam/Canto-01/SP_SB_1-03-10_Los_Angeles_1972-09-16_Modern_Facilities-Beneficial--etc.mp3</t>
  </si>
  <si>
    <t>SB_1-03-10_LA_1972-09-16_Modern_Facilities-Beneficial_etc.mp3</t>
  </si>
  <si>
    <t>https://audio.iskcondesiretree.com/01_-_Srila_Prabhupada/01_-_Lectures/01_-_English/02_-_Month_wise/09_-_September/16/SB_1-03-10_LA_1972-09-16_Modern_Facilities-Beneficial_etc.mp3</t>
  </si>
  <si>
    <t>SP_SB_1-03-11_Los_Angeles_1972-09-17_How_a_Devotee_Approaches_Krishna.mp3</t>
  </si>
  <si>
    <t>https://audio.iskcondesiretree.com/01_-_Srila_Prabhupada/01_-_Lectures/01_-_English/01_-_Topic_wise/Srimad_Bhagavatam/Canto-01/SP_SB_1-03-11_Los_Angeles_1972-09-17_How_a_Devotee_Approaches_Krishna.mp3</t>
  </si>
  <si>
    <t>SB_1-03-11_LA_1972-09-17_How_a_Devotee_Approaches_Krishna.mp3</t>
  </si>
  <si>
    <t>https://audio.iskcondesiretree.com/01_-_Srila_Prabhupada/01_-_Lectures/01_-_English/02_-_Month_wise/09_-_September/17/SB_1-03-11_LA_1972-09-17_How_a_Devotee_Approaches_Krishna.mp3</t>
  </si>
  <si>
    <t>SP_SB_1-03-13_Los_Angeles_1972-09-18_You_Must_First_Be_Gentle.mp3</t>
  </si>
  <si>
    <t>https://audio.iskcondesiretree.com/01_-_Srila_Prabhupada/01_-_Lectures/01_-_English/01_-_Topic_wise/Srimad_Bhagavatam/Canto-01/SP_SB_1-03-13_Los_Angeles_1972-09-18_You_Must_First_Be_Gentle.mp3</t>
  </si>
  <si>
    <t>SB_1-03-13_LA_1972-09-18_You_Must_First_Be_Gentle.mp3</t>
  </si>
  <si>
    <t>https://audio.iskcondesiretree.com/01_-_Srila_Prabhupada/01_-_Lectures/01_-_English/02_-_Month_wise/09_-_September/18/SB_1-03-13_LA_1972-09-18_You_Must_First_Be_Gentle.mp3</t>
  </si>
  <si>
    <t>SP_SB_1-03-14_Los_Angeles_1972-09-19_Today%27s_Civilized_Man--Less--etc.mp3</t>
  </si>
  <si>
    <t>https://audio.iskcondesiretree.com/01_-_Srila_Prabhupada/01_-_Lectures/01_-_English/01_-_Topic_wise/Srimad_Bhagavatam/Canto-01/SP_SB_1-03-14_Los_Angeles_1972-09-19_Today%27s_Civilized_Man--Less--etc.mp3</t>
  </si>
  <si>
    <t>SB_1-03-14_LA_1972-09-19_Today%27s_Civilized_Man_Less_etc.mp3</t>
  </si>
  <si>
    <t>https://audio.iskcondesiretree.com/01_-_Srila_Prabhupada/01_-_Lectures/01_-_English/02_-_Month_wise/09_-_September/19/SB_1-03-14_LA_1972-09-19_Today%27s_Civilized_Man_Less_etc.mp3</t>
  </si>
  <si>
    <t>SP_SB_1-03-15_Los_Angeles_1972-09-20_Don%27t_Be_Carried_Away_by_Maya.mp3</t>
  </si>
  <si>
    <t>https://audio.iskcondesiretree.com/01_-_Srila_Prabhupada/01_-_Lectures/01_-_English/01_-_Topic_wise/Srimad_Bhagavatam/Canto-01/SP_SB_1-03-15_Los_Angeles_1972-09-20_Don%27t_Be_Carried_Away_by_Maya.mp3</t>
  </si>
  <si>
    <t>SB_1-03-15_LA_1972-09-20_Don%27t_Be_Carried_Away_by_Maya.mp3</t>
  </si>
  <si>
    <t>https://audio.iskcondesiretree.com/01_-_Srila_Prabhupada/01_-_Lectures/01_-_English/02_-_Month_wise/09_-_September/20/SB_1-03-15_LA_1972-09-20_Don%27t_Be_Carried_Away_by_Maya.mp3</t>
  </si>
  <si>
    <t>SP_SB_1-03-16_Los_Angeles_1972-09-21_Don%27t_Think_You_Are_All_in_All.mp3</t>
  </si>
  <si>
    <t>https://audio.iskcondesiretree.com/01_-_Srila_Prabhupada/01_-_Lectures/01_-_English/01_-_Topic_wise/Srimad_Bhagavatam/Canto-01/SP_SB_1-03-16_Los_Angeles_1972-09-21_Don%27t_Think_You_Are_All_in_All.mp3</t>
  </si>
  <si>
    <t>SB_1-03-16_LA_1972-09-21_Don%27t_Think_You_Are_All_in_All.mp3</t>
  </si>
  <si>
    <t>https://audio.iskcondesiretree.com/01_-_Srila_Prabhupada/01_-_Lectures/01_-_English/02_-_Month_wise/09_-_September/21/SB_1-03-16_LA_1972-09-21_Don%27t_Think_You_Are_All_in_All.mp3</t>
  </si>
  <si>
    <t>SP_SB_1-03-17_Los_Angeles_1972-09-22_Ideal_Married_Life.mp3</t>
  </si>
  <si>
    <t>https://audio.iskcondesiretree.com/01_-_Srila_Prabhupada/01_-_Lectures/01_-_English/01_-_Topic_wise/Srimad_Bhagavatam/Canto-01/SP_SB_1-03-17_Los_Angeles_1972-09-22_Ideal_Married_Life.mp3</t>
  </si>
  <si>
    <t>SB_1-03-17_LA_1972-09-22_Ideal_Married_Life.mp3</t>
  </si>
  <si>
    <t>https://audio.iskcondesiretree.com/01_-_Srila_Prabhupada/01_-_Lectures/01_-_English/02_-_Month_wise/09_-_September/22/SB_1-03-17_LA_1972-09-22_Ideal_Married_Life.mp3</t>
  </si>
  <si>
    <t>SP_SB_1-03-19_Los_Angeles_1972-09-24_Offering_Everything_to_Krishna.mp3</t>
  </si>
  <si>
    <t>https://audio.iskcondesiretree.com/01_-_Srila_Prabhupada/01_-_Lectures/01_-_English/01_-_Topic_wise/Srimad_Bhagavatam/Canto-01/SP_SB_1-03-19_Los_Angeles_1972-09-24_Offering_Everything_to_Krishna.mp3</t>
  </si>
  <si>
    <t>SB_1-03-19_LA_1972-09-24_Offering_Everything_to_Krishna.mp3</t>
  </si>
  <si>
    <t>https://audio.iskcondesiretree.com/01_-_Srila_Prabhupada/01_-_Lectures/01_-_English/02_-_Month_wise/09_-_September/24/SB_1-03-19_LA_1972-09-24_Offering_Everything_to_Krishna.mp3</t>
  </si>
  <si>
    <t>SP_SB_1-03-20_Los_Angeles_1972-09-25_This_Tax_That_Tax-Tax_Tax_Tax.mp3</t>
  </si>
  <si>
    <t>https://audio.iskcondesiretree.com/01_-_Srila_Prabhupada/01_-_Lectures/01_-_English/01_-_Topic_wise/Srimad_Bhagavatam/Canto-01/SP_SB_1-03-20_Los_Angeles_1972-09-25_This_Tax_That_Tax-Tax_Tax_Tax.mp3</t>
  </si>
  <si>
    <t>SB_1-03-20_LA_1972-09-25_This_Tax_That_Tax-Tax_Tax_Tax.mp3</t>
  </si>
  <si>
    <t>https://audio.iskcondesiretree.com/01_-_Srila_Prabhupada/01_-_Lectures/01_-_English/02_-_Month_wise/09_-_September/25/SB_1-03-20_LA_1972-09-25_This_Tax_That_Tax-Tax_Tax_Tax.mp3</t>
  </si>
  <si>
    <t>SP_SB_1-03-21_Los_Angeles_1972-09-26_Intelligent_Words_for_This_Age.mp3</t>
  </si>
  <si>
    <t>https://audio.iskcondesiretree.com/01_-_Srila_Prabhupada/01_-_Lectures/01_-_English/01_-_Topic_wise/Srimad_Bhagavatam/Canto-01/SP_SB_1-03-21_Los_Angeles_1972-09-26_Intelligent_Words_for_This_Age.mp3</t>
  </si>
  <si>
    <t>SB_1-03-21_LA_1972-09-26_Intelligent_Words_for_This_Age.mp3</t>
  </si>
  <si>
    <t>https://audio.iskcondesiretree.com/01_-_Srila_Prabhupada/01_-_Lectures/01_-_English/02_-_Month_wise/09_-_September/26/SB_1-03-21_LA_1972-09-26_Intelligent_Words_for_This_Age.mp3</t>
  </si>
  <si>
    <t>SP_SB_1-03-22_Los_Angeles_1972-09-27_Incarnation_of_God_Isn%27t_Cheap.mp3</t>
  </si>
  <si>
    <t>https://audio.iskcondesiretree.com/01_-_Srila_Prabhupada/01_-_Lectures/01_-_English/01_-_Topic_wise/Srimad_Bhagavatam/Canto-01/SP_SB_1-03-22_Los_Angeles_1972-09-27_Incarnation_of_God_Isn%27t_Cheap.mp3</t>
  </si>
  <si>
    <t>SB_1-03-22_LA_1972-09-27_Incarnation_of_God_Isn%27t_Cheap.mp3</t>
  </si>
  <si>
    <t>https://audio.iskcondesiretree.com/01_-_Srila_Prabhupada/01_-_Lectures/01_-_English/02_-_Month_wise/09_-_September/27/SB_1-03-22_LA_1972-09-27_Incarnation_of_God_Isn%27t_Cheap.mp3</t>
  </si>
  <si>
    <t>SP_SB_1-03-23_Los_Angeles_1972-09-28_What_Is_Actual_Happiness.mp3</t>
  </si>
  <si>
    <t>https://audio.iskcondesiretree.com/01_-_Srila_Prabhupada/01_-_Lectures/01_-_English/01_-_Topic_wise/Srimad_Bhagavatam/Canto-01/SP_SB_1-03-23_Los_Angeles_1972-09-28_What_Is_Actual_Happiness.mp3</t>
  </si>
  <si>
    <t>SB_1-03-23_LA_1972-09-28_What_Is_Actual_Happiness.mp3</t>
  </si>
  <si>
    <t>https://audio.iskcondesiretree.com/01_-_Srila_Prabhupada/01_-_Lectures/01_-_English/02_-_Month_wise/09_-_September/28/SB_1-03-23_LA_1972-09-28_What_Is_Actual_Happiness.mp3</t>
  </si>
  <si>
    <t>SP_SB_1-03-24_Los_Angeles_1972-09-29_Lord_Buddha--Tricking_the--etc.mp3</t>
  </si>
  <si>
    <t>https://audio.iskcondesiretree.com/01_-_Srila_Prabhupada/01_-_Lectures/01_-_English/01_-_Topic_wise/Srimad_Bhagavatam/Canto-01/SP_SB_1-03-24_Los_Angeles_1972-09-29_Lord_Buddha--Tricking_the--etc.mp3</t>
  </si>
  <si>
    <t>SB_1-03-24_LA_1972-09-29_Lord_Buddha-Tricking_the_etc.mp3</t>
  </si>
  <si>
    <t>https://audio.iskcondesiretree.com/01_-_Srila_Prabhupada/01_-_Lectures/01_-_English/02_-_Month_wise/09_-_September/29/SB_1-03-24_LA_1972-09-29_Lord_Buddha-Tricking_the_etc.mp3</t>
  </si>
  <si>
    <t>SP_SB_1-03-25_Los_Angeles_1972-09-30_The_Folly_of_Our_Age.mp3</t>
  </si>
  <si>
    <t>https://audio.iskcondesiretree.com/01_-_Srila_Prabhupada/01_-_Lectures/01_-_English/01_-_Topic_wise/Srimad_Bhagavatam/Canto-01/SP_SB_1-03-25_Los_Angeles_1972-09-30_The_Folly_of_Our_Age.mp3</t>
  </si>
  <si>
    <t>SP_Lecture_Laguna_Beach_1972-09-30_Beyond_Mirage_to_the_Real_World.mp3</t>
  </si>
  <si>
    <t>https://audio.iskcondesiretree.com/01_-_Srila_Prabhupada/01_-_Lectures/01_-_English/01_-_Topic_wise/Various/SP_Lecture_Laguna_Beach_1972-09-30_Beyond_Mirage_to_the_Real_World.mp3</t>
  </si>
  <si>
    <t>Lect_LB_1972-09-30_Beyond_Mirage_to_the_Real_World.mp3</t>
  </si>
  <si>
    <t>https://audio.iskcondesiretree.com/01_-_Srila_Prabhupada/01_-_Lectures/01_-_English/02_-_Month_wise/09_-_September/30/Lect_LB_1972-09-30_Beyond_Mirage_to_the_Real_World.mp3</t>
  </si>
  <si>
    <t>SB_1-03-25_LA_1972-09-30_The_Folly_of_Our_Age.mp3</t>
  </si>
  <si>
    <t>https://audio.iskcondesiretree.com/01_-_Srila_Prabhupada/01_-_Lectures/01_-_English/02_-_Month_wise/09_-_September/30/SB_1-03-25_LA_1972-09-30_The_Folly_of_Our_Age.mp3</t>
  </si>
  <si>
    <t>SP_SB_1-03-26_Los_Angeles_1972-10-01_First_Educate_People.mp3</t>
  </si>
  <si>
    <t>https://audio.iskcondesiretree.com/01_-_Srila_Prabhupada/01_-_Lectures/01_-_English/01_-_Topic_wise/Srimad_Bhagavatam/Canto-01/SP_SB_1-03-26_Los_Angeles_1972-10-01_First_Educate_People.mp3</t>
  </si>
  <si>
    <t>SB_1-03-26_LA_1972-10-01_First_Educate_People.mp3</t>
  </si>
  <si>
    <t>https://audio.iskcondesiretree.com/01_-_Srila_Prabhupada/01_-_Lectures/01_-_English/02_-_Month_wise/10_-_October/01/SB_1-03-26_LA_1972-10-01_First_Educate_People.mp3</t>
  </si>
  <si>
    <t>SP_SB_1-03-27_Los_Angeles_1972-10-02_The_Perfect_Philosophy.mp3</t>
  </si>
  <si>
    <t>https://audio.iskcondesiretree.com/01_-_Srila_Prabhupada/01_-_Lectures/01_-_English/01_-_Topic_wise/Srimad_Bhagavatam/Canto-01/SP_SB_1-03-27_Los_Angeles_1972-10-02_The_Perfect_Philosophy.mp3</t>
  </si>
  <si>
    <t>SB_1-03-27_LA_1972-10-02_The_Perfect_Philosophy.mp3</t>
  </si>
  <si>
    <t>https://audio.iskcondesiretree.com/01_-_Srila_Prabhupada/01_-_Lectures/01_-_English/02_-_Month_wise/10_-_October/02/SB_1-03-27_LA_1972-10-02_The_Perfect_Philosophy.mp3</t>
  </si>
  <si>
    <t>SP_SB_1-03-28_Los_Angeles_1972-10-03_ISKCON_Is_Incarnation_of_Krishna.mp3</t>
  </si>
  <si>
    <t>https://audio.iskcondesiretree.com/01_-_Srila_Prabhupada/01_-_Lectures/01_-_English/01_-_Topic_wise/Srimad_Bhagavatam/Canto-01/SP_SB_1-03-28_Los_Angeles_1972-10-03_ISKCON_Is_Incarnation_of_Krishna.mp3</t>
  </si>
  <si>
    <t>SB_1-03-28_LA_1972-10-03_ISKCON_Is_Incarnation_of_Krishna.mp3</t>
  </si>
  <si>
    <t>https://audio.iskcondesiretree.com/01_-_Srila_Prabhupada/01_-_Lectures/01_-_English/02_-_Month_wise/10_-_October/03/SB_1-03-28_LA_1972-10-03_ISKCON_Is_Incarnation_of_Krishna.mp3</t>
  </si>
  <si>
    <t>SP_SB_1-03-29_Los_Angeles_1972-10-04_God_Is_Everywhere.mp3</t>
  </si>
  <si>
    <t>https://audio.iskcondesiretree.com/01_-_Srila_Prabhupada/01_-_Lectures/01_-_English/01_-_Topic_wise/Srimad_Bhagavatam/Canto-01/SP_SB_1-03-29_Los_Angeles_1972-10-04_God_Is_Everywhere.mp3</t>
  </si>
  <si>
    <t>SB_1-03-29_LA_1972-10-04_God_Is_Everywhere.mp3</t>
  </si>
  <si>
    <t>https://audio.iskcondesiretree.com/01_-_Srila_Prabhupada/01_-_Lectures/01_-_English/02_-_Month_wise/10_-_October/04/SB_1-03-29_LA_1972-10-04_God_Is_Everywhere.mp3</t>
  </si>
  <si>
    <t>SP_SB_1-03-30_Los_Angeles_1972-10-05_Krishna_Is_Within_Every_Atom.mp3</t>
  </si>
  <si>
    <t>https://audio.iskcondesiretree.com/01_-_Srila_Prabhupada/01_-_Lectures/01_-_English/01_-_Topic_wise/Srimad_Bhagavatam/Canto-01/SP_SB_1-03-30_Los_Angeles_1972-10-05_Krishna_Is_Within_Every_Atom.mp3</t>
  </si>
  <si>
    <t>SB_1-03-30_LA_1972-10-05_Krishna_Is_Within_Every_Atom.mp3</t>
  </si>
  <si>
    <t>https://audio.iskcondesiretree.com/01_-_Srila_Prabhupada/01_-_Lectures/01_-_English/02_-_Month_wise/10_-_October/05/SB_1-03-30_LA_1972-10-05_Krishna_Is_Within_Every_Atom.mp3</t>
  </si>
  <si>
    <t>SP_Address_Los_Angeles_1972-10-06_The_Original_Person--Perfect_Knowledge.mp3</t>
  </si>
  <si>
    <t>https://audio.iskcondesiretree.com/01_-_Srila_Prabhupada/01_-_Lectures/01_-_English/01_-_Topic_wise/Arrival_Address/SP_Address_Los_Angeles_1972-10-06_The_Original_Person--Perfect_Knowledge.mp3</t>
  </si>
  <si>
    <t>Addr_LA_1972-10-06_The_Original_Person-Perfect_Knowledge.mp3</t>
  </si>
  <si>
    <t>https://audio.iskcondesiretree.com/01_-_Srila_Prabhupada/01_-_Lectures/01_-_English/02_-_Month_wise/10_-_October/06/Addr_LA_1972-10-06_The_Original_Person-Perfect_Knowledge.mp3</t>
  </si>
  <si>
    <t>SP_Festivals_Vrindavan_1972-10-19_Krsna_Dasa_Kaviraja_Appearance.mp3</t>
  </si>
  <si>
    <t>https://audio.iskcondesiretree.com/01_-_Srila_Prabhupada/01_-_Lectures/01_-_English/01_-_Topic_wise/Festivals/SP_Festivals_Vrindavan_1972-10-19_Krsna_Dasa_Kaviraja_Appearance.mp3</t>
  </si>
  <si>
    <t>Fest_VRN_1972-10-19_Krsna_Dasa_Kaviraja_Appearance.mp3</t>
  </si>
  <si>
    <t>https://audio.iskcondesiretree.com/01_-_Srila_Prabhupada/01_-_Lectures/01_-_English/02_-_Month_wise/10_-_October/19/Fest_VRN_1972-10-19_Krsna_Dasa_Kaviraja_Appearance.mp3</t>
  </si>
  <si>
    <t>SP_NOD_01_Vrindavan_1972-10-20_-_The_Complete_Science_of_Bhakti_Yoga.mp3</t>
  </si>
  <si>
    <t>https://audio.iskcondesiretree.com/01_-_Srila_Prabhupada/01_-_Lectures/01_-_English/01_-_Topic_wise/Nectar_Of_Devotion/SP_NOD_01_Vrindavan_1972-10-20_-_The_Complete_Science_of_Bhakti_Yoga.mp3</t>
  </si>
  <si>
    <t>SP_SB_1-02-09_Vrindavan_1972-10-20_Everyone_Can_Serve_Krishna.mp3</t>
  </si>
  <si>
    <t>https://audio.iskcondesiretree.com/01_-_Srila_Prabhupada/01_-_Lectures/01_-_English/01_-_Topic_wise/Srimad_Bhagavatam/Canto-01/SP_SB_1-02-09_Vrindavan_1972-10-20_Everyone_Can_Serve_Krishna.mp3</t>
  </si>
  <si>
    <t>NOD_01_VRN_1972-10-20_The_Complete_Science_of_Bhakti-Yoga.mp3</t>
  </si>
  <si>
    <t>https://audio.iskcondesiretree.com/01_-_Srila_Prabhupada/01_-_Lectures/01_-_English/02_-_Month_wise/10_-_October/20/NOD_01_VRN_1972-10-20_The_Complete_Science_of_Bhakti-Yoga.mp3</t>
  </si>
  <si>
    <t>SB_1-02-09_VRN_1972-10-20_Everyone_Can_Serve_Krishna.mp3</t>
  </si>
  <si>
    <t>https://audio.iskcondesiretree.com/01_-_Srila_Prabhupada/01_-_Lectures/01_-_English/02_-_Month_wise/10_-_October/20/SB_1-02-09_VRN_1972-10-20_Everyone_Can_Serve_Krishna.mp3</t>
  </si>
  <si>
    <t>SP_NOD_02_Vrindavan_1972-10-21_-_The_Complete_Science_of_Bhakti_Yoga.mp3</t>
  </si>
  <si>
    <t>https://audio.iskcondesiretree.com/01_-_Srila_Prabhupada/01_-_Lectures/01_-_English/01_-_Topic_wise/Nectar_Of_Devotion/SP_NOD_02_Vrindavan_1972-10-21_-_The_Complete_Science_of_Bhakti_Yoga.mp3</t>
  </si>
  <si>
    <t>SP_SB_1-02-10_Vrindavan_1972-10-21_New_Orleans_Industrial_Development.mp3</t>
  </si>
  <si>
    <t>https://audio.iskcondesiretree.com/01_-_Srila_Prabhupada/01_-_Lectures/01_-_English/01_-_Topic_wise/Srimad_Bhagavatam/Canto-01/SP_SB_1-02-10_Vrindavan_1972-10-21_New_Orleans_Industrial_Development.mp3</t>
  </si>
  <si>
    <t>NOD_02_VRN_1972-10-21_The_Complete_Science_of_Bhakti-Yoga.mp3</t>
  </si>
  <si>
    <t>https://audio.iskcondesiretree.com/01_-_Srila_Prabhupada/01_-_Lectures/01_-_English/02_-_Month_wise/10_-_October/21/NOD_02_VRN_1972-10-21_The_Complete_Science_of_Bhakti-Yoga.mp3</t>
  </si>
  <si>
    <t>SB_1-02-10_VRN_1972-10-21_No_Industrial_Development.mp3</t>
  </si>
  <si>
    <t>https://audio.iskcondesiretree.com/01_-_Srila_Prabhupada/01_-_Lectures/01_-_English/02_-_Month_wise/10_-_October/21/SB_1-02-10_VRN_1972-10-21_No_Industrial_Development.mp3</t>
  </si>
  <si>
    <t>SP_SB_1-02-11_Vrindavan_1972-10-22_The_Last_Word_in_Understanding.mp3</t>
  </si>
  <si>
    <t>https://audio.iskcondesiretree.com/01_-_Srila_Prabhupada/01_-_Lectures/01_-_English/01_-_Topic_wise/Srimad_Bhagavatam/Canto-01/SP_SB_1-02-11_Vrindavan_1972-10-22_The_Last_Word_in_Understanding.mp3</t>
  </si>
  <si>
    <t>SB_1-02-11_VRN_1972-10-22_The_Last_Word_in_Understanding.mp3</t>
  </si>
  <si>
    <t>https://audio.iskcondesiretree.com/01_-_Srila_Prabhupada/01_-_Lectures/01_-_English/02_-_Month_wise/10_-_October/22/SB_1-02-11_VRN_1972-10-22_The_Last_Word_in_Understanding.mp3</t>
  </si>
  <si>
    <t>SP_NOD_Vrindavan_1972-10-23_-_An_Advanced_Devotee_Never-etc.mp3</t>
  </si>
  <si>
    <t>https://audio.iskcondesiretree.com/01_-_Srila_Prabhupada/01_-_Lectures/01_-_English/01_-_Topic_wise/Nectar_Of_Devotion/SP_NOD_Vrindavan_1972-10-23_-_An_Advanced_Devotee_Never-etc.mp3</t>
  </si>
  <si>
    <t>SP_SB_1-02-12_Vrindavan_1972-10-23_Beyond_Business_of_Hogs_and_Dogs.mp3</t>
  </si>
  <si>
    <t>https://audio.iskcondesiretree.com/01_-_Srila_Prabhupada/01_-_Lectures/01_-_English/01_-_Topic_wise/Srimad_Bhagavatam/Canto-01/SP_SB_1-02-12_Vrindavan_1972-10-23_Beyond_Business_of_Hogs_and_Dogs.mp3</t>
  </si>
  <si>
    <t>NOD_Lect_VRN_1972-10-23_An_Advanced_Devotee_Never_etc.mp3</t>
  </si>
  <si>
    <t>https://audio.iskcondesiretree.com/01_-_Srila_Prabhupada/01_-_Lectures/01_-_English/02_-_Month_wise/10_-_October/23/NOD_Lect_VRN_1972-10-23_An_Advanced_Devotee_Never_etc.mp3</t>
  </si>
  <si>
    <t>SB_1-02-12_VRN_1972-10-23_Beyond_Business_of_Hogs_and_Dogs.mp3</t>
  </si>
  <si>
    <t>https://audio.iskcondesiretree.com/01_-_Srila_Prabhupada/01_-_Lectures/01_-_English/02_-_Month_wise/10_-_October/23/SB_1-02-12_VRN_1972-10-23_Beyond_Business_of_Hogs_and_Dogs.mp3</t>
  </si>
  <si>
    <t>SP_NOD_03_Vrindavan_1972-10-24_-_The_Complete_Science_of_Bhakti_Yoga.mp3</t>
  </si>
  <si>
    <t>https://audio.iskcondesiretree.com/01_-_Srila_Prabhupada/01_-_Lectures/01_-_English/01_-_Topic_wise/Nectar_Of_Devotion/SP_NOD_03_Vrindavan_1972-10-24_-_The_Complete_Science_of_Bhakti_Yoga.mp3</t>
  </si>
  <si>
    <t>SP_SB_1-02-13_Vrindavan_1972-10-24_If_Krishna_Says_All--etc.mp3</t>
  </si>
  <si>
    <t>https://audio.iskcondesiretree.com/01_-_Srila_Prabhupada/01_-_Lectures/01_-_English/01_-_Topic_wise/Srimad_Bhagavatam/Canto-01/SP_SB_1-02-13_Vrindavan_1972-10-24_If_Krishna_Says_All--etc.mp3</t>
  </si>
  <si>
    <t>NOD_03_VRN_1972-10-24_The_Complete_Science_of_Bhakti_Yoga.mp3</t>
  </si>
  <si>
    <t>https://audio.iskcondesiretree.com/01_-_Srila_Prabhupada/01_-_Lectures/01_-_English/02_-_Month_wise/10_-_October/24/NOD_03_VRN_1972-10-24_The_Complete_Science_of_Bhakti_Yoga.mp3</t>
  </si>
  <si>
    <t>SB_1-02-13_VRN_1972-10-24_If_Krishna_Says_All_etc.mp3</t>
  </si>
  <si>
    <t>https://audio.iskcondesiretree.com/01_-_Srila_Prabhupada/01_-_Lectures/01_-_English/02_-_Month_wise/10_-_October/24/SB_1-02-13_VRN_1972-10-24_If_Krishna_Says_All_etc.mp3</t>
  </si>
  <si>
    <t>SP_NOD_04_Vrindavan_1972-10-26_-_The_Complete_Science_of_Bhakti_Yoga.mp3</t>
  </si>
  <si>
    <t>https://audio.iskcondesiretree.com/01_-_Srila_Prabhupada/01_-_Lectures/01_-_English/01_-_Topic_wise/Nectar_Of_Devotion/SP_NOD_04_Vrindavan_1972-10-26_-_The_Complete_Science_of_Bhakti_Yoga.mp3</t>
  </si>
  <si>
    <t>NOD_04_VRN_1972-10-26_The_Complete_Science_of_Bhakti-Yoga.mp3</t>
  </si>
  <si>
    <t>https://audio.iskcondesiretree.com/01_-_Srila_Prabhupada/01_-_Lectures/01_-_English/02_-_Month_wise/10_-_October/26/NOD_04_VRN_1972-10-26_The_Complete_Science_of_Bhakti-Yoga.mp3</t>
  </si>
  <si>
    <t>SP_NOD_Vrindavan_1972-10-27_-_From_Low_Grade_Society_to_the-etc.mp3</t>
  </si>
  <si>
    <t>https://audio.iskcondesiretree.com/01_-_Srila_Prabhupada/01_-_Lectures/01_-_English/01_-_Topic_wise/Nectar_Of_Devotion/SP_NOD_Vrindavan_1972-10-27_-_From_Low_Grade_Society_to_the-etc.mp3</t>
  </si>
  <si>
    <t>SP_SB_1-02-16_Vrindavan_1972-10-27_Developing_Taste_for_the--etc.mp3</t>
  </si>
  <si>
    <t>https://audio.iskcondesiretree.com/01_-_Srila_Prabhupada/01_-_Lectures/01_-_English/01_-_Topic_wise/Srimad_Bhagavatam/Canto-01/SP_SB_1-02-16_Vrindavan_1972-10-27_Developing_Taste_for_the--etc.mp3</t>
  </si>
  <si>
    <t>NOD_Lect_VRN_1972-10-27_From_Low-Grade_Society_to_the_etc.mp3</t>
  </si>
  <si>
    <t>https://audio.iskcondesiretree.com/01_-_Srila_Prabhupada/01_-_Lectures/01_-_English/02_-_Month_wise/10_-_October/27/NOD_Lect_VRN_1972-10-27_From_Low-Grade_Society_to_the_etc.mp3</t>
  </si>
  <si>
    <t>SB_1-02-16_VRN_1972-10-27_Developing_Taste_for_the_etc.mp3</t>
  </si>
  <si>
    <t>https://audio.iskcondesiretree.com/01_-_Srila_Prabhupada/01_-_Lectures/01_-_English/02_-_Month_wise/10_-_October/27/SB_1-02-16_VRN_1972-10-27_Developing_Taste_for_the_etc.mp3</t>
  </si>
  <si>
    <t>SP_NOD_05_Vrindavan_1972-10-28_-_The_Complete_Science_of_Bhakti_Yoga.mp3</t>
  </si>
  <si>
    <t>https://audio.iskcondesiretree.com/01_-_Srila_Prabhupada/01_-_Lectures/01_-_English/01_-_Topic_wise/Nectar_Of_Devotion/SP_NOD_05_Vrindavan_1972-10-28_-_The_Complete_Science_of_Bhakti_Yoga.mp3</t>
  </si>
  <si>
    <t>SP_SB_1-02-17_Vrindavan_1972-10-28_Taking_Help_from_the_Friend--etc.mp3</t>
  </si>
  <si>
    <t>https://audio.iskcondesiretree.com/01_-_Srila_Prabhupada/01_-_Lectures/01_-_English/01_-_Topic_wise/Srimad_Bhagavatam/Canto-01/SP_SB_1-02-17_Vrindavan_1972-10-28_Taking_Help_from_the_Friend--etc.mp3</t>
  </si>
  <si>
    <t>NOD_05_VRN_1972-10-28_The_Complete_Science_of_Bhakti-Yoga.mp3</t>
  </si>
  <si>
    <t>https://audio.iskcondesiretree.com/01_-_Srila_Prabhupada/01_-_Lectures/01_-_English/02_-_Month_wise/10_-_October/28/NOD_05_VRN_1972-10-28_The_Complete_Science_of_Bhakti-Yoga.mp3</t>
  </si>
  <si>
    <t>SB_1-02-17_VRN_1972-10-28_Taking_Help_from_the_Friend_etc.mp3</t>
  </si>
  <si>
    <t>https://audio.iskcondesiretree.com/01_-_Srila_Prabhupada/01_-_Lectures/01_-_English/02_-_Month_wise/10_-_October/28/SB_1-02-17_VRN_1972-10-28_Taking_Help_from_the_Friend_etc.mp3</t>
  </si>
  <si>
    <t>SP_NOD_Vrindavan_1972-10-29_-_The_Mental_Culture_of_Krsna-etc.mp3</t>
  </si>
  <si>
    <t>https://audio.iskcondesiretree.com/01_-_Srila_Prabhupada/01_-_Lectures/01_-_English/01_-_Topic_wise/Nectar_Of_Devotion/SP_NOD_Vrindavan_1972-10-29_-_The_Mental_Culture_of_Krsna-etc.mp3</t>
  </si>
  <si>
    <t>SP_SB_1-02-18_Vrindavan_1972-10-29_All_That_Is_Troublesome_to--etc.mp3</t>
  </si>
  <si>
    <t>https://audio.iskcondesiretree.com/01_-_Srila_Prabhupada/01_-_Lectures/01_-_English/01_-_Topic_wise/Srimad_Bhagavatam/Canto-01/SP_SB_1-02-18_Vrindavan_1972-10-29_All_That_Is_Troublesome_to--etc.mp3</t>
  </si>
  <si>
    <t>NOD_Lect_VRN_1972-10-29_The_Mental_Culture_of_Krsna_etc.mp3</t>
  </si>
  <si>
    <t>https://audio.iskcondesiretree.com/01_-_Srila_Prabhupada/01_-_Lectures/01_-_English/02_-_Month_wise/10_-_October/29/NOD_Lect_VRN_1972-10-29_The_Mental_Culture_of_Krsna_etc.mp3</t>
  </si>
  <si>
    <t>SB_1-02-18_VRN_1972-10-29_All_That_Is_Troublesome_to_etc.mp3</t>
  </si>
  <si>
    <t>https://audio.iskcondesiretree.com/01_-_Srila_Prabhupada/01_-_Lectures/01_-_English/02_-_Month_wise/10_-_October/29/SB_1-02-18_VRN_1972-10-29_All_That_Is_Troublesome_to_etc.mp3</t>
  </si>
  <si>
    <t>SP_NOD_07_Vrindavan_1972-10-30_-_The_Complete_Science_of_Bhakti_Yoga.mp3</t>
  </si>
  <si>
    <t>https://audio.iskcondesiretree.com/01_-_Srila_Prabhupada/01_-_Lectures/01_-_English/01_-_Topic_wise/Nectar_Of_Devotion/SP_NOD_07_Vrindavan_1972-10-30_-_The_Complete_Science_of_Bhakti_Yoga.mp3</t>
  </si>
  <si>
    <t>SP_SB_1-02-19_Vrindavan_1972-10-30_Above_Nature%27s_Modes_to_Happiness.mp3</t>
  </si>
  <si>
    <t>https://audio.iskcondesiretree.com/01_-_Srila_Prabhupada/01_-_Lectures/01_-_English/01_-_Topic_wise/Srimad_Bhagavatam/Canto-01/SP_SB_1-02-19_Vrindavan_1972-10-30_Above_Nature%27s_Modes_to_Happiness.mp3</t>
  </si>
  <si>
    <t>NOD_07_VRN_1972-10-30_The_Complete_Science_of_Bhakti-Yoga.mp3</t>
  </si>
  <si>
    <t>https://audio.iskcondesiretree.com/01_-_Srila_Prabhupada/01_-_Lectures/01_-_English/02_-_Month_wise/10_-_October/30/NOD_07_VRN_1972-10-30_The_Complete_Science_of_Bhakti-Yoga.mp3</t>
  </si>
  <si>
    <t>SB_1-02-19_VRN_1972-10-30_Above_Nature%27s_Modes_to_Happiness.mp3</t>
  </si>
  <si>
    <t>https://audio.iskcondesiretree.com/01_-_Srila_Prabhupada/01_-_Lectures/01_-_English/02_-_Month_wise/10_-_October/30/SB_1-02-19_VRN_1972-10-30_Above_Nature%27s_Modes_to_Happiness.mp3</t>
  </si>
  <si>
    <t>SP_NOD_06_Vrindavan_1972-10-31_-_The_Complete_Science_of_Bhakti_Yoga.mp3</t>
  </si>
  <si>
    <t>https://audio.iskcondesiretree.com/01_-_Srila_Prabhupada/01_-_Lectures/01_-_English/01_-_Topic_wise/Nectar_Of_Devotion/SP_NOD_06_Vrindavan_1972-10-31_-_The_Complete_Science_of_Bhakti_Yoga.mp3</t>
  </si>
  <si>
    <t>SP_SB_1-02-20_Vrindavan_1972-10-31_Spiritual_Life_Means_Joyfulness.mp3</t>
  </si>
  <si>
    <t>https://audio.iskcondesiretree.com/01_-_Srila_Prabhupada/01_-_Lectures/01_-_English/01_-_Topic_wise/Srimad_Bhagavatam/Canto-01/SP_SB_1-02-20_Vrindavan_1972-10-31_Spiritual_Life_Means_Joyfulness.mp3</t>
  </si>
  <si>
    <t>NOD_06_VRN_1972-10-31_The_Complete_Science_of_Bhakti-Yoga.mp3</t>
  </si>
  <si>
    <t>https://audio.iskcondesiretree.com/01_-_Srila_Prabhupada/01_-_Lectures/01_-_English/02_-_Month_wise/10_-_October/31/NOD_06_VRN_1972-10-31_The_Complete_Science_of_Bhakti-Yoga.mp3</t>
  </si>
  <si>
    <t>SB_1-02-20_VRN_1972-10-31_Spiritual_Life_Means_Joyfulness.mp3</t>
  </si>
  <si>
    <t>https://audio.iskcondesiretree.com/01_-_Srila_Prabhupada/01_-_Lectures/01_-_English/02_-_Month_wise/10_-_October/31/SB_1-02-20_VRN_1972-10-31_Spiritual_Life_Means_Joyfulness.mp3</t>
  </si>
  <si>
    <t>SP_NOD_Vrindavan_1972-11-01_-_Devotion_Is_Action_Without_Designation.mp3</t>
  </si>
  <si>
    <t>https://audio.iskcondesiretree.com/01_-_Srila_Prabhupada/01_-_Lectures/01_-_English/01_-_Topic_wise/Nectar_Of_Devotion/SP_NOD_Vrindavan_1972-11-01_-_Devotion_Is_Action_Without_Designation.mp3</t>
  </si>
  <si>
    <t>SP_SB_1-02-21_Vrindavan_1972-11-01_Untying_the_Knot_Between--etc.mp3</t>
  </si>
  <si>
    <t>https://audio.iskcondesiretree.com/01_-_Srila_Prabhupada/01_-_Lectures/01_-_English/01_-_Topic_wise/Srimad_Bhagavatam/Canto-01/SP_SB_1-02-21_Vrindavan_1972-11-01_Untying_the_Knot_Between--etc.mp3</t>
  </si>
  <si>
    <t>NOD_Lect_VRN_1972-11-01_Devotion_Is_Action_Without_Designation.mp3</t>
  </si>
  <si>
    <t>https://audio.iskcondesiretree.com/01_-_Srila_Prabhupada/01_-_Lectures/01_-_English/02_-_Month_wise/11_-_November/01/NOD_Lect_VRN_1972-11-01_Devotion_Is_Action_Without_Designation.mp3</t>
  </si>
  <si>
    <t>SB_1-02-21_VRN_1972-11-01_Untying_the_Knot_Between_etc.mp3</t>
  </si>
  <si>
    <t>https://audio.iskcondesiretree.com/01_-_Srila_Prabhupada/01_-_Lectures/01_-_English/02_-_Month_wise/11_-_November/01/SB_1-02-21_VRN_1972-11-01_Untying_the_Knot_Between_etc.mp3</t>
  </si>
  <si>
    <t>SP_NOD_08_Vrindavan_1972-11-02_-_The_Complete_Science_of_Bhakti_Yoga.mp3</t>
  </si>
  <si>
    <t>https://audio.iskcondesiretree.com/01_-_Srila_Prabhupada/01_-_Lectures/01_-_English/01_-_Topic_wise/Nectar_Of_Devotion/SP_NOD_08_Vrindavan_1972-11-02_-_The_Complete_Science_of_Bhakti_Yoga.mp3</t>
  </si>
  <si>
    <t>SP_SB_1-02-22_Vrindavan_1972-11-02_Enlivening_to_the_Self.mp3</t>
  </si>
  <si>
    <t>https://audio.iskcondesiretree.com/01_-_Srila_Prabhupada/01_-_Lectures/01_-_English/01_-_Topic_wise/Srimad_Bhagavatam/Canto-01/SP_SB_1-02-22_Vrindavan_1972-11-02_Enlivening_to_the_Self.mp3</t>
  </si>
  <si>
    <t>NOD_08_VRN_1972-11-02_The_Complete_Science_of_Bhakti-Yoga.mp3</t>
  </si>
  <si>
    <t>https://audio.iskcondesiretree.com/01_-_Srila_Prabhupada/01_-_Lectures/01_-_English/02_-_Month_wise/11_-_November/02/NOD_08_VRN_1972-11-02_The_Complete_Science_of_Bhakti-Yoga.mp3</t>
  </si>
  <si>
    <t>SB_1-02-22_VRN_1972-11-02_Enlivening_to_the_Self.mp3</t>
  </si>
  <si>
    <t>https://audio.iskcondesiretree.com/01_-_Srila_Prabhupada/01_-_Lectures/01_-_English/02_-_Month_wise/11_-_November/02/SB_1-02-22_VRN_1972-11-02_Enlivening_to_the_Self.mp3</t>
  </si>
  <si>
    <t>SP_NOD_Vrindavan_1972-11-03_-_People_Want_Hodge_podge_Not-etc.mp3</t>
  </si>
  <si>
    <t>https://audio.iskcondesiretree.com/01_-_Srila_Prabhupada/01_-_Lectures/01_-_English/01_-_Topic_wise/Nectar_Of_Devotion/SP_NOD_Vrindavan_1972-11-03_-_People_Want_Hodge_podge_Not-etc.mp3</t>
  </si>
  <si>
    <t>SP_SB_1-02-23_Vrindavan_1972-11-03_How_to_Derive_the_Ultimate_Benefit.mp3</t>
  </si>
  <si>
    <t>https://audio.iskcondesiretree.com/01_-_Srila_Prabhupada/01_-_Lectures/01_-_English/01_-_Topic_wise/Srimad_Bhagavatam/Canto-01/SP_SB_1-02-23_Vrindavan_1972-11-03_How_to_Derive_the_Ultimate_Benefit.mp3</t>
  </si>
  <si>
    <t>NOD_Lect_VRN_1972-11-03_People_Want_Hodgepodge_Not_etc.mp3</t>
  </si>
  <si>
    <t>https://audio.iskcondesiretree.com/01_-_Srila_Prabhupada/01_-_Lectures/01_-_English/02_-_Month_wise/11_-_November/03/NOD_Lect_VRN_1972-11-03_People_Want_Hodgepodge_Not_etc.mp3</t>
  </si>
  <si>
    <t>SB_1-02-23_VRN_1972-11-03_How_to_Derive_the_Ultimate_Benefit.mp3</t>
  </si>
  <si>
    <t>https://audio.iskcondesiretree.com/01_-_Srila_Prabhupada/01_-_Lectures/01_-_English/02_-_Month_wise/11_-_November/03/SB_1-02-23_VRN_1972-11-03_How_to_Derive_the_Ultimate_Benefit.mp3</t>
  </si>
  <si>
    <t>SP_NOD_09_Vrindavan_1972-11-04_-_The_Complete_Science_of_Bhakti_Yoga.mp3</t>
  </si>
  <si>
    <t>https://audio.iskcondesiretree.com/01_-_Srila_Prabhupada/01_-_Lectures/01_-_English/01_-_Topic_wise/Nectar_Of_Devotion/SP_NOD_09_Vrindavan_1972-11-04_-_The_Complete_Science_of_Bhakti_Yoga.mp3</t>
  </si>
  <si>
    <t>SP_SB_1-02-24_Vrindavan_1972-11-04_Rising_Beyond_the_Modes.mp3</t>
  </si>
  <si>
    <t>https://audio.iskcondesiretree.com/01_-_Srila_Prabhupada/01_-_Lectures/01_-_English/01_-_Topic_wise/Srimad_Bhagavatam/Canto-01/SP_SB_1-02-24_Vrindavan_1972-11-04_Rising_Beyond_the_Modes.mp3</t>
  </si>
  <si>
    <t>NOD_09_VRN_1972-11-04_The_Complete_Science_of_Bhakti-Yoga.mp3</t>
  </si>
  <si>
    <t>https://audio.iskcondesiretree.com/01_-_Srila_Prabhupada/01_-_Lectures/01_-_English/02_-_Month_wise/11_-_November/04/NOD_09_VRN_1972-11-04_The_Complete_Science_of_Bhakti-Yoga.mp3</t>
  </si>
  <si>
    <t>SB_1-02-24_VRN_1972-11-04_Rising_Beyond_the_Modes.mp3</t>
  </si>
  <si>
    <t>https://audio.iskcondesiretree.com/01_-_Srila_Prabhupada/01_-_Lectures/01_-_English/02_-_Month_wise/11_-_November/04/SB_1-02-24_VRN_1972-11-04_Rising_Beyond_the_Modes.mp3</t>
  </si>
  <si>
    <t>SP_NOD_10_Vrindavan_1972-11-05_-_The_Complete_Science_of_Bhakti_Yoga.mp3</t>
  </si>
  <si>
    <t>https://audio.iskcondesiretree.com/01_-_Srila_Prabhupada/01_-_Lectures/01_-_English/01_-_Topic_wise/Nectar_Of_Devotion/SP_NOD_10_Vrindavan_1972-11-05_-_The_Complete_Science_of_Bhakti_Yoga.mp3</t>
  </si>
  <si>
    <t>SP_SB_1-02-25_Vrindavan_1972-11-05_Impersonalists_Misguide_People.mp3</t>
  </si>
  <si>
    <t>https://audio.iskcondesiretree.com/01_-_Srila_Prabhupada/01_-_Lectures/01_-_English/01_-_Topic_wise/Srimad_Bhagavatam/Canto-01/SP_SB_1-02-25_Vrindavan_1972-11-05_Impersonalists_Misguide_People.mp3</t>
  </si>
  <si>
    <t>NOD_10_VRN_1972-11-05_The_Complete_Science_of_Bhakti-Yoga.mp3</t>
  </si>
  <si>
    <t>https://audio.iskcondesiretree.com/01_-_Srila_Prabhupada/01_-_Lectures/01_-_English/02_-_Month_wise/11_-_November/05/NOD_10_VRN_1972-11-05_The_Complete_Science_of_Bhakti-Yoga.mp3</t>
  </si>
  <si>
    <t>SB_1-02-25_VRN_1972-11-05_Impersonalists_Misguide_People.mp3</t>
  </si>
  <si>
    <t>https://audio.iskcondesiretree.com/01_-_Srila_Prabhupada/01_-_Lectures/01_-_English/02_-_Month_wise/11_-_November/05/SB_1-02-25_VRN_1972-11-05_Impersonalists_Misguide_People.mp3</t>
  </si>
  <si>
    <t>SP_NOD_Vrindavan_1972-11-06_-_Advantages_of_Taking_to_Krsna-etc.mp3</t>
  </si>
  <si>
    <t>https://audio.iskcondesiretree.com/01_-_Srila_Prabhupada/01_-_Lectures/01_-_English/01_-_Topic_wise/Nectar_Of_Devotion/SP_NOD_Vrindavan_1972-11-06_-_Advantages_of_Taking_to_Krsna-etc.mp3</t>
  </si>
  <si>
    <t>SP_SB_1-02-26_Vrindavan_1972-11-06_People_Are_Being_Killed.mp3</t>
  </si>
  <si>
    <t>https://audio.iskcondesiretree.com/01_-_Srila_Prabhupada/01_-_Lectures/01_-_English/01_-_Topic_wise/Srimad_Bhagavatam/Canto-01/SP_SB_1-02-26_Vrindavan_1972-11-06_People_Are_Being_Killed.mp3</t>
  </si>
  <si>
    <t>NOD_Lect_VRN_1972-11-06_Advantages_of_Taking_to_Krsna_etc.mp3</t>
  </si>
  <si>
    <t>https://audio.iskcondesiretree.com/01_-_Srila_Prabhupada/01_-_Lectures/01_-_English/02_-_Month_wise/11_-_November/06/NOD_Lect_VRN_1972-11-06_Advantages_of_Taking_to_Krsna_etc.mp3</t>
  </si>
  <si>
    <t>SB_1-02-26_VRN_1972-11-06_People_Are_Being_Killed.mp3</t>
  </si>
  <si>
    <t>https://audio.iskcondesiretree.com/01_-_Srila_Prabhupada/01_-_Lectures/01_-_English/02_-_Month_wise/11_-_November/06/SB_1-02-26_VRN_1972-11-06_People_Are_Being_Killed.mp3</t>
  </si>
  <si>
    <t>SP_NOD_11_Vrindavan_1972-11-07_-_The_Complete_Science_of_Bhakti_Yoga.mp3</t>
  </si>
  <si>
    <t>https://audio.iskcondesiretree.com/01_-_Srila_Prabhupada/01_-_Lectures/01_-_English/01_-_Topic_wise/Nectar_Of_Devotion/SP_NOD_11_Vrindavan_1972-11-07_-_The_Complete_Science_of_Bhakti_Yoga.mp3</t>
  </si>
  <si>
    <t>SP_SB_1-02-27_Vrindavan_1972-11-07_Devotee_Doesn%27t_Want_Anything.mp3</t>
  </si>
  <si>
    <t>https://audio.iskcondesiretree.com/01_-_Srila_Prabhupada/01_-_Lectures/01_-_English/01_-_Topic_wise/Srimad_Bhagavatam/Canto-01/SP_SB_1-02-27_Vrindavan_1972-11-07_Devotee_Doesn%27t_Want_Anything.mp3</t>
  </si>
  <si>
    <t>NOD_11_VRN_1972-11-07_The_Complete_Science_of_Bhakti-Yoga.mp3</t>
  </si>
  <si>
    <t>https://audio.iskcondesiretree.com/01_-_Srila_Prabhupada/01_-_Lectures/01_-_English/02_-_Month_wise/11_-_November/07/NOD_11_VRN_1972-11-07_The_Complete_Science_of_Bhakti-Yoga.mp3</t>
  </si>
  <si>
    <t>SB_1-02-27_VRN_1972-11-07_Devotee_Doesn%27t_Want_Anything.mp3</t>
  </si>
  <si>
    <t>https://audio.iskcondesiretree.com/01_-_Srila_Prabhupada/01_-_Lectures/01_-_English/02_-_Month_wise/11_-_November/07/SB_1-02-27_VRN_1972-11-07_Devotee_Doesn%27t_Want_Anything.mp3</t>
  </si>
  <si>
    <t>SP_NOD_12_Vrindavan_1972-11-08_-_The_Complete_Science_of_Bhakti_Yoga.mp3</t>
  </si>
  <si>
    <t>https://audio.iskcondesiretree.com/01_-_Srila_Prabhupada/01_-_Lectures/01_-_English/01_-_Topic_wise/Nectar_Of_Devotion/SP_NOD_12_Vrindavan_1972-11-08_-_The_Complete_Science_of_Bhakti_Yoga.mp3</t>
  </si>
  <si>
    <t>SP_SB_1-02-28_Vrindavan_1972-11-08_Kamsa%27s_and_Ravana%27s_Secular_State.mp3</t>
  </si>
  <si>
    <t>https://audio.iskcondesiretree.com/01_-_Srila_Prabhupada/01_-_Lectures/01_-_English/01_-_Topic_wise/Srimad_Bhagavatam/Canto-01/SP_SB_1-02-28_Vrindavan_1972-11-08_Kamsa%27s_and_Ravana%27s_Secular_State.mp3</t>
  </si>
  <si>
    <t>NOD_12_VRN_1972-11-08_The_Complete_Science_of_Bhakti-Yoga.mp3</t>
  </si>
  <si>
    <t>https://audio.iskcondesiretree.com/01_-_Srila_Prabhupada/01_-_Lectures/01_-_English/02_-_Month_wise/11_-_November/08/NOD_12_VRN_1972-11-08_The_Complete_Science_of_Bhakti-Yoga.mp3</t>
  </si>
  <si>
    <t>SB_1-02-28_VRN_1972-11-08_Kamsa%27s_and_Ravana%27s_Secular_State.mp3</t>
  </si>
  <si>
    <t>https://audio.iskcondesiretree.com/01_-_Srila_Prabhupada/01_-_Lectures/01_-_English/02_-_Month_wise/11_-_November/08/SB_1-02-28_VRN_1972-11-08_Kamsa%27s_and_Ravana%27s_Secular_State.mp3</t>
  </si>
  <si>
    <t>SP_NOD_Vrindavan_1972-11-09_-_Dance_with_Krishna_Not_Alone-etc.mp3</t>
  </si>
  <si>
    <t>https://audio.iskcondesiretree.com/01_-_Srila_Prabhupada/01_-_Lectures/01_-_English/01_-_Topic_wise/Nectar_Of_Devotion/SP_NOD_Vrindavan_1972-11-09_-_Dance_with_Krishna_Not_Alone-etc.mp3</t>
  </si>
  <si>
    <t>SP_SB_1-02-30_Vrindavan_1972-11-09_We_Are_Controlled.mp3</t>
  </si>
  <si>
    <t>https://audio.iskcondesiretree.com/01_-_Srila_Prabhupada/01_-_Lectures/01_-_English/01_-_Topic_wise/Srimad_Bhagavatam/Canto-01/SP_SB_1-02-30_Vrindavan_1972-11-09_We_Are_Controlled.mp3</t>
  </si>
  <si>
    <t>NOD_Lect_VRN_1972-11-09_Dance_with_Krishna-Not_Alone_etc.mp3</t>
  </si>
  <si>
    <t>https://audio.iskcondesiretree.com/01_-_Srila_Prabhupada/01_-_Lectures/01_-_English/02_-_Month_wise/11_-_November/09/NOD_Lect_VRN_1972-11-09_Dance_with_Krishna-Not_Alone_etc.mp3</t>
  </si>
  <si>
    <t>SB_1-02-30_VRN_1972-11-09_We_Are_Controlled.mp3</t>
  </si>
  <si>
    <t>https://audio.iskcondesiretree.com/01_-_Srila_Prabhupada/01_-_Lectures/01_-_English/02_-_Month_wise/11_-_November/09/SB_1-02-30_VRN_1972-11-09_We_Are_Controlled.mp3</t>
  </si>
  <si>
    <t>SP_NOD_13_Vrindavan_1972-11-10_-_The_Complete_Science_of_Bhakti_Yoga.mp3</t>
  </si>
  <si>
    <t>https://audio.iskcondesiretree.com/01_-_Srila_Prabhupada/01_-_Lectures/01_-_English/01_-_Topic_wise/Nectar_Of_Devotion/SP_NOD_13_Vrindavan_1972-11-10_-_The_Complete_Science_of_Bhakti_Yoga.mp3</t>
  </si>
  <si>
    <t>SP_SB_1-02-31_Vrindavan_1972-11-10_Getting_in_Touch_With_Krishna.mp3</t>
  </si>
  <si>
    <t>https://audio.iskcondesiretree.com/01_-_Srila_Prabhupada/01_-_Lectures/01_-_English/01_-_Topic_wise/Srimad_Bhagavatam/Canto-01/SP_SB_1-02-31_Vrindavan_1972-11-10_Getting_in_Touch_With_Krishna.mp3</t>
  </si>
  <si>
    <t>NOD_13_VRN_1972-11-10_The_Complete_Science_of_Bhakti-Yoga.mp3</t>
  </si>
  <si>
    <t>https://audio.iskcondesiretree.com/01_-_Srila_Prabhupada/01_-_Lectures/01_-_English/02_-_Month_wise/11_-_November/10/NOD_13_VRN_1972-11-10_The_Complete_Science_of_Bhakti-Yoga.mp3</t>
  </si>
  <si>
    <t>SB_1-02-31_VRN_1972-11-10_Getting_in_Touch_With_Krishna.mp3</t>
  </si>
  <si>
    <t>https://audio.iskcondesiretree.com/01_-_Srila_Prabhupada/01_-_Lectures/01_-_English/02_-_Month_wise/11_-_November/10/SB_1-02-31_VRN_1972-11-10_Getting_in_Touch_With_Krishna.mp3</t>
  </si>
  <si>
    <t>SP_NOD_Vrindavan_1972-11-11_-_Engage_All_Beautiful_Women_in-etc.mp3</t>
  </si>
  <si>
    <t>https://audio.iskcondesiretree.com/01_-_Srila_Prabhupada/01_-_Lectures/01_-_English/01_-_Topic_wise/Nectar_Of_Devotion/SP_NOD_Vrindavan_1972-11-11_-_Engage_All_Beautiful_Women_in-etc.mp3</t>
  </si>
  <si>
    <t>SP_SB_1-02-32_Vrindavan_1972-11-11_Oneness_Is_Variety.mp3</t>
  </si>
  <si>
    <t>https://audio.iskcondesiretree.com/01_-_Srila_Prabhupada/01_-_Lectures/01_-_English/01_-_Topic_wise/Srimad_Bhagavatam/Canto-01/SP_SB_1-02-32_Vrindavan_1972-11-11_Oneness_Is_Variety.mp3</t>
  </si>
  <si>
    <t>NOD_Lect_VRN_1972-11-11_Engage_All_Beautiful_Women_in_etc.mp3</t>
  </si>
  <si>
    <t>https://audio.iskcondesiretree.com/01_-_Srila_Prabhupada/01_-_Lectures/01_-_English/02_-_Month_wise/11_-_November/11/NOD_Lect_VRN_1972-11-11_Engage_All_Beautiful_Women_in_etc.mp3</t>
  </si>
  <si>
    <t>SB_1-02-32_VRN_1972-11-11_Oneness_Is_Variety.mp3</t>
  </si>
  <si>
    <t>https://audio.iskcondesiretree.com/01_-_Srila_Prabhupada/01_-_Lectures/01_-_English/02_-_Month_wise/11_-_November/11/SB_1-02-32_VRN_1972-11-11_Oneness_Is_Variety.mp3</t>
  </si>
  <si>
    <t>SP_NOD_14_Vrindavan_1972-11-12_-_The_Complete_Science_of_Bhakti_Yoga.mp3</t>
  </si>
  <si>
    <t>https://audio.iskcondesiretree.com/01_-_Srila_Prabhupada/01_-_Lectures/01_-_English/01_-_Topic_wise/Nectar_Of_Devotion/SP_NOD_14_Vrindavan_1972-11-12_-_The_Complete_Science_of_Bhakti_Yoga.mp3</t>
  </si>
  <si>
    <t>SP_SB_1-02-33_Vrindavan_1972-11-12_Subtle_Cosmic_Button-Pusher.mp3</t>
  </si>
  <si>
    <t>https://audio.iskcondesiretree.com/01_-_Srila_Prabhupada/01_-_Lectures/01_-_English/01_-_Topic_wise/Srimad_Bhagavatam/Canto-01/SP_SB_1-02-33_Vrindavan_1972-11-12_Subtle_Cosmic_Button-Pusher.mp3</t>
  </si>
  <si>
    <t>NOD_14_VRN_1972-11-12_The_Complete_Science_of_Bhakti-Yoga.mp3</t>
  </si>
  <si>
    <t>https://audio.iskcondesiretree.com/01_-_Srila_Prabhupada/01_-_Lectures/01_-_English/02_-_Month_wise/11_-_November/12/NOD_14_VRN_1972-11-12_The_Complete_Science_of_Bhakti-Yoga.mp3</t>
  </si>
  <si>
    <t>SB_1-02-33_VRN_1972-11-12_Subtle_Cosmic_Button-Pusher.mp3</t>
  </si>
  <si>
    <t>https://audio.iskcondesiretree.com/01_-_Srila_Prabhupada/01_-_Lectures/01_-_English/02_-_Month_wise/11_-_November/12/SB_1-02-33_VRN_1972-11-12_Subtle_Cosmic_Button-Pusher.mp3</t>
  </si>
  <si>
    <t>SP_NOD_15_Vrindavan_1972-11-13_-_The_Complete_Science_of_Bhakti_Yoga.mp3</t>
  </si>
  <si>
    <t>https://audio.iskcondesiretree.com/01_-_Srila_Prabhupada/01_-_Lectures/01_-_English/01_-_Topic_wise/Nectar_Of_Devotion/SP_NOD_15_Vrindavan_1972-11-13_-_The_Complete_Science_of_Bhakti_Yoga.mp3</t>
  </si>
  <si>
    <t>SP_SB_1-02-34_Vrindavan_1972-11-13_The_Rascals%27_Business...Is--etc.mp3</t>
  </si>
  <si>
    <t>https://audio.iskcondesiretree.com/01_-_Srila_Prabhupada/01_-_Lectures/01_-_English/01_-_Topic_wise/Srimad_Bhagavatam/Canto-01/SP_SB_1-02-34_Vrindavan_1972-11-13_The_Rascals%27_Business...Is--etc.mp3</t>
  </si>
  <si>
    <t>NOD_15_VRN_1972-11-13_The_Complete_Science_of_Bhakti-Yoga.mp3</t>
  </si>
  <si>
    <t>https://audio.iskcondesiretree.com/01_-_Srila_Prabhupada/01_-_Lectures/01_-_English/02_-_Month_wise/11_-_November/13/NOD_15_VRN_1972-11-13_The_Complete_Science_of_Bhakti-Yoga.mp3</t>
  </si>
  <si>
    <t>SB_1-02-34_VRN_1972-11-13_The_Rascals_Business_Is_etc.mp3</t>
  </si>
  <si>
    <t>https://audio.iskcondesiretree.com/01_-_Srila_Prabhupada/01_-_Lectures/01_-_English/02_-_Month_wise/11_-_November/13/SB_1-02-34_VRN_1972-11-13_The_Rascals_Business_Is_etc.mp3</t>
  </si>
  <si>
    <t>SP_SB_1-03-01_Vrindavan_1972-11-14_Our_Eternal_Position.mp3</t>
  </si>
  <si>
    <t>https://audio.iskcondesiretree.com/01_-_Srila_Prabhupada/01_-_Lectures/01_-_English/01_-_Topic_wise/Srimad_Bhagavatam/Canto-01/SP_SB_1-03-01_Vrindavan_1972-11-14_Our_Eternal_Position.mp3</t>
  </si>
  <si>
    <t>SB_1-03-01_VRN_1972-11-14_Our_Eternal_Position.mp3</t>
  </si>
  <si>
    <t>https://audio.iskcondesiretree.com/01_-_Srila_Prabhupada/01_-_Lectures/01_-_English/02_-_Month_wise/11_-_November/14/SB_1-03-01_VRN_1972-11-14_Our_Eternal_Position.mp3</t>
  </si>
  <si>
    <t>SP_BG_02-12_Hyderabad_1972-11-17_Meaning_of_Dhira.mp3</t>
  </si>
  <si>
    <t>https://audio.iskcondesiretree.com/01_-_Srila_Prabhupada/01_-_Lectures/01_-_English/01_-_Topic_wise/Bhagavad_Gita/Chapter-02/SP_BG_02-12_Hyderabad_1972-11-17_Meaning_of_Dhira.mp3</t>
  </si>
  <si>
    <t>Bg_02-12_HYD_1972-11-17_Meaning_of_Dhira.mp3</t>
  </si>
  <si>
    <t>https://audio.iskcondesiretree.com/01_-_Srila_Prabhupada/01_-_Lectures/01_-_English/02_-_Month_wise/11_-_November/17/Bg_02-12_HYD_1972-11-17_Meaning_of_Dhira.mp3</t>
  </si>
  <si>
    <t>SP_BG_02-13_Hyderabad_1972-11-18_We_Are_All_Servants.mp3</t>
  </si>
  <si>
    <t>https://audio.iskcondesiretree.com/01_-_Srila_Prabhupada/01_-_Lectures/01_-_English/01_-_Topic_wise/Bhagavad_Gita/Chapter-02/SP_BG_02-13_Hyderabad_1972-11-18_We_Are_All_Servants.mp3</t>
  </si>
  <si>
    <t>Bg_02-13_HYD_1972-11-18_We_Are_All_Servants.mp3</t>
  </si>
  <si>
    <t>https://audio.iskcondesiretree.com/01_-_Srila_Prabhupada/01_-_Lectures/01_-_English/02_-_Month_wise/11_-_November/18/Bg_02-13_HYD_1972-11-18_We_Are_All_Servants.mp3</t>
  </si>
  <si>
    <t>SP_BG_02-13_Hyderabad_1972-11-19_Not_One_Became_Devotee.mp3</t>
  </si>
  <si>
    <t>https://audio.iskcondesiretree.com/01_-_Srila_Prabhupada/01_-_Lectures/01_-_English/01_-_Topic_wise/Bhagavad_Gita/Chapter-02/SP_BG_02-13_Hyderabad_1972-11-19_Not_One_Became_Devotee.mp3</t>
  </si>
  <si>
    <t>Bg_02-13_HYD_1972-11-19_Not_One_Became_Devotee.mp3</t>
  </si>
  <si>
    <t>https://audio.iskcondesiretree.com/01_-_Srila_Prabhupada/01_-_Lectures/01_-_English/02_-_Month_wise/11_-_November/19/Bg_02-13_HYD_1972-11-19_Not_One_Became_Devotee.mp3</t>
  </si>
  <si>
    <t>SP_BG_02-15_Hyderabad_1972-11-21_I_Am_Not_This_Dream.mp3</t>
  </si>
  <si>
    <t>https://audio.iskcondesiretree.com/01_-_Srila_Prabhupada/01_-_Lectures/01_-_English/01_-_Topic_wise/Bhagavad_Gita/Chapter-02/SP_BG_02-15_Hyderabad_1972-11-21_I_Am_Not_This_Dream.mp3</t>
  </si>
  <si>
    <t>Bg_02-15_HYD_1972-11-21_I_Am_Not_This_Dream.mp3</t>
  </si>
  <si>
    <t>https://audio.iskcondesiretree.com/01_-_Srila_Prabhupada/01_-_Lectures/01_-_English/02_-_Month_wise/11_-_November/21/Bg_02-15_HYD_1972-11-21_I_Am_Not_This_Dream.mp3</t>
  </si>
  <si>
    <t>SP_BG_02-17_Hyderabad_1972-11-22_Material_Body_Is_Dead_Body.mp3</t>
  </si>
  <si>
    <t>https://audio.iskcondesiretree.com/01_-_Srila_Prabhupada/01_-_Lectures/01_-_English/01_-_Topic_wise/Bhagavad_Gita/Chapter-02/SP_BG_02-17_Hyderabad_1972-11-22_Material_Body_Is_Dead_Body.mp3</t>
  </si>
  <si>
    <t>Bg_02-17_HYD_1972-11-22_Material_Body_Is_Dead_Body.mp3</t>
  </si>
  <si>
    <t>https://audio.iskcondesiretree.com/01_-_Srila_Prabhupada/01_-_Lectures/01_-_English/02_-_Month_wise/11_-_November/22/Bg_02-17_HYD_1972-11-22_Material_Body_Is_Dead_Body.mp3</t>
  </si>
  <si>
    <t>SP_BG_02-18_Hyderabad_1972-11-23_Chant-Cleanse_Your_Brain.mp3</t>
  </si>
  <si>
    <t>https://audio.iskcondesiretree.com/01_-_Srila_Prabhupada/01_-_Lectures/01_-_English/01_-_Topic_wise/Bhagavad_Gita/Chapter-02/SP_BG_02-18_Hyderabad_1972-11-23_Chant-Cleanse_Your_Brain.mp3</t>
  </si>
  <si>
    <t>SP_BG_07-05_Hyderabad_1972-11-23_Serving_the_Material_World---etc.mp3</t>
  </si>
  <si>
    <t>https://audio.iskcondesiretree.com/01_-_Srila_Prabhupada/01_-_Lectures/01_-_English/01_-_Topic_wise/Bhagavad_Gita/Chapter-07/SP_BG_07-05_Hyderabad_1972-11-23_Serving_the_Material_World---etc.mp3</t>
  </si>
  <si>
    <t>Bg_02-18_HYD_1972-11-23_Chant-Cleanse_Your_Brain.mp3</t>
  </si>
  <si>
    <t>https://audio.iskcondesiretree.com/01_-_Srila_Prabhupada/01_-_Lectures/01_-_English/02_-_Month_wise/11_-_November/23/Bg_02-18_HYD_1972-11-23_Chant-Cleanse_Your_Brain.mp3</t>
  </si>
  <si>
    <t>Bg_07-05_HYD_1972-11-23_Serving_the_Material_World_etc.mp3</t>
  </si>
  <si>
    <t>https://audio.iskcondesiretree.com/01_-_Srila_Prabhupada/01_-_Lectures/01_-_English/02_-_Month_wise/11_-_November/23/Bg_07-05_HYD_1972-11-23_Serving_the_Material_World_etc.mp3</t>
  </si>
  <si>
    <t>SP_BG_02-20_Hyderabad_1972-11-25_Birth_and_Death_Caused_by_Maya.mp3</t>
  </si>
  <si>
    <t>https://audio.iskcondesiretree.com/01_-_Srila_Prabhupada/01_-_Lectures/01_-_English/01_-_Topic_wise/Bhagavad_Gita/Chapter-02/SP_BG_02-20_Hyderabad_1972-11-25_Birth_and_Death_Caused_by_Maya.mp3</t>
  </si>
  <si>
    <t>Bg_02-20_HYD_1972-11-25_Birth_and_Death_Caused_by_Maya.mp3</t>
  </si>
  <si>
    <t>https://audio.iskcondesiretree.com/01_-_Srila_Prabhupada/01_-_Lectures/01_-_English/02_-_Month_wise/11_-_November/25/Bg_02-20_HYD_1972-11-25_Birth_and_Death_Caused_by_Maya.mp3</t>
  </si>
  <si>
    <t>SP_BG_02-22_Hyderabad_1972-11-26_Rain_Depends_on_Krishna--Not--etc.mp3</t>
  </si>
  <si>
    <t>https://audio.iskcondesiretree.com/01_-_Srila_Prabhupada/01_-_Lectures/01_-_English/01_-_Topic_wise/Bhagavad_Gita/Chapter-02/SP_BG_02-22_Hyderabad_1972-11-26_Rain_Depends_on_Krishna--Not--etc.mp3</t>
  </si>
  <si>
    <t>Bg_02-22_HYD_1972-11-26_Rain_Depends_on_Krishna-Not_etc.mp3</t>
  </si>
  <si>
    <t>https://audio.iskcondesiretree.com/01_-_Srila_Prabhupada/01_-_Lectures/01_-_English/02_-_Month_wise/11_-_November/26/Bg_02-22_HYD_1972-11-26_Rain_Depends_on_Krishna-Not_etc.mp3</t>
  </si>
  <si>
    <t>SP_BG_02-23_Hyderabad_1972-11-27_The_Indestructible_Soul.mp3</t>
  </si>
  <si>
    <t>https://audio.iskcondesiretree.com/01_-_Srila_Prabhupada/01_-_Lectures/01_-_English/01_-_Topic_wise/Bhagavad_Gita/Chapter-02/SP_BG_02-23_Hyderabad_1972-11-27_The_Indestructible_Soul.mp3</t>
  </si>
  <si>
    <t>Bg_02-23_HYD_1972-11-27_The_Indestructible_Soul.mp3</t>
  </si>
  <si>
    <t>https://audio.iskcondesiretree.com/01_-_Srila_Prabhupada/01_-_Lectures/01_-_English/02_-_Month_wise/11_-_November/27/Bg_02-23_HYD_1972-11-27_The_Indestructible_Soul.mp3</t>
  </si>
  <si>
    <t>SP_BG_02-24_Hyderabad_1972-11-28_Sanatana...Another_Nature.mp3</t>
  </si>
  <si>
    <t>https://audio.iskcondesiretree.com/01_-_Srila_Prabhupada/01_-_Lectures/01_-_English/01_-_Topic_wise/Bhagavad_Gita/Chapter-02/SP_BG_02-24_Hyderabad_1972-11-28_Sanatana...Another_Nature.mp3</t>
  </si>
  <si>
    <t>Bg_02-24_HYD_1972-11-28_Sanatana_Another_Nature.mp3</t>
  </si>
  <si>
    <t>https://audio.iskcondesiretree.com/01_-_Srila_Prabhupada/01_-_Lectures/01_-_English/02_-_Month_wise/11_-_November/28/Bg_02-24_HYD_1972-11-28_Sanatana_Another_Nature.mp3</t>
  </si>
  <si>
    <t>SP_Address_Hyderabad_1972-11-29_To_Rotary_Club--Three_Aspects_of--etc.mp3</t>
  </si>
  <si>
    <t>https://audio.iskcondesiretree.com/01_-_Srila_Prabhupada/01_-_Lectures/01_-_English/01_-_Topic_wise/Arrival_Address/SP_Address_Hyderabad_1972-11-29_To_Rotary_Club--Three_Aspects_of--etc.mp3</t>
  </si>
  <si>
    <t>SP_BG_02-25_Hyderabad_1972-11-29_Transfer_Your_Love_to_Krishna.mp3</t>
  </si>
  <si>
    <t>https://audio.iskcondesiretree.com/01_-_Srila_Prabhupada/01_-_Lectures/01_-_English/01_-_Topic_wise/Bhagavad_Gita/Chapter-02/SP_BG_02-25_Hyderabad_1972-11-29_Transfer_Your_Love_to_Krishna.mp3</t>
  </si>
  <si>
    <t>Addr_HYD_1972-11-29_To_Rotary_Club-Three_Aspects_of_etc.mp3</t>
  </si>
  <si>
    <t>https://audio.iskcondesiretree.com/01_-_Srila_Prabhupada/01_-_Lectures/01_-_English/02_-_Month_wise/11_-_November/29/Addr_HYD_1972-11-29_To_Rotary_Club-Three_Aspects_of_etc.mp3</t>
  </si>
  <si>
    <t>Bg_02-25_HYD_1972-11-29_Transfer_Your_Love_to_Krishna.mp3</t>
  </si>
  <si>
    <t>https://audio.iskcondesiretree.com/01_-_Srila_Prabhupada/01_-_Lectures/01_-_English/02_-_Month_wise/11_-_November/29/Bg_02-25_HYD_1972-11-29_Transfer_Your_Love_to_Krishna.mp3</t>
  </si>
  <si>
    <t>SP_BG_02-26-29_Hyderabad_1972-11-30_Vedic_and_Parampara_System.mp3</t>
  </si>
  <si>
    <t>https://audio.iskcondesiretree.com/01_-_Srila_Prabhupada/01_-_Lectures/01_-_English/01_-_Topic_wise/Bhagavad_Gita/Chapter-02/SP_BG_02-26-29_Hyderabad_1972-11-30_Vedic_and_Parampara_System.mp3</t>
  </si>
  <si>
    <t>Bg_02-26_HYD_1972-11-30_Vedic_and_Parampara_System.mp3</t>
  </si>
  <si>
    <t>https://audio.iskcondesiretree.com/01_-_Srila_Prabhupada/01_-_Lectures/01_-_English/02_-_Month_wise/11_-_November/30/Bg_02-26_HYD_1972-11-30_Vedic_and_Parampara_System.mp3</t>
  </si>
  <si>
    <t>SP_Lecture_Ahmedabad_1972-12-05_At_Rotary_Club--There_Are_So_Many_Anomalies.mp3</t>
  </si>
  <si>
    <t>https://audio.iskcondesiretree.com/01_-_Srila_Prabhupada/01_-_Lectures/01_-_English/01_-_Topic_wise/Various/SP_Lecture_Ahmedabad_1972-12-05_At_Rotary_Club--There_Are_So_Many_Anomalies.mp3</t>
  </si>
  <si>
    <t>Lect_AHM_1972-12-05_At_Rotary_Club-There_Are_So_Many_Anomalies.mp3</t>
  </si>
  <si>
    <t>https://audio.iskcondesiretree.com/01_-_Srila_Prabhupada/01_-_Lectures/01_-_English/02_-_Month_wise/12_-_December/05/Lect_AHM_1972-12-05_At_Rotary_Club-There_Are_So_Many_Anomalies.mp3</t>
  </si>
  <si>
    <t>SP_BG_02-01_Ahmedabad_1972-12-06_Krishna_Gave_Bhagavad-gita_to--etc.mp3</t>
  </si>
  <si>
    <t>https://audio.iskcondesiretree.com/01_-_Srila_Prabhupada/01_-_Lectures/01_-_English/01_-_Topic_wise/Bhagavad_Gita/Chapter-02/SP_BG_02-01_Ahmedabad_1972-12-06_Krishna_Gave_Bhagavad-gita_to--etc.mp3</t>
  </si>
  <si>
    <t>Bg_02-01_AHM_1972-12-06_Krishna_Gave_Bhagavad-gita_to_etc.mp3</t>
  </si>
  <si>
    <t>https://audio.iskcondesiretree.com/01_-_Srila_Prabhupada/01_-_Lectures/01_-_English/02_-_Month_wise/12_-_December/06/Bg_02-01_AHM_1972-12-06_Krishna_Gave_Bhagavad-gita_to_etc.mp3</t>
  </si>
  <si>
    <t>SP_BG_02-01_Ahmedabad_1972-12-07_Signs_of_Ignorance_of_Self.mp3</t>
  </si>
  <si>
    <t>https://audio.iskcondesiretree.com/01_-_Srila_Prabhupada/01_-_Lectures/01_-_English/01_-_Topic_wise/Bhagavad_Gita/Chapter-02/SP_BG_02-01_Ahmedabad_1972-12-07_Signs_of_Ignorance_of_Self.mp3</t>
  </si>
  <si>
    <t>Bg_02-01_AHM_1972-12-07_Signs_of_Ignorance_of_Self.mp3</t>
  </si>
  <si>
    <t>https://audio.iskcondesiretree.com/01_-_Srila_Prabhupada/01_-_Lectures/01_-_English/02_-_Month_wise/12_-_December/07/Bg_02-01_AHM_1972-12-07_Signs_of_Ignorance_of_Self.mp3</t>
  </si>
  <si>
    <t>SP_Lecture_Ahmedabad_1972-12-08_Sankaracarya_Is_Not_Original.mp3</t>
  </si>
  <si>
    <t>https://audio.iskcondesiretree.com/01_-_Srila_Prabhupada/01_-_Lectures/01_-_English/01_-_Topic_wise/Various/SP_Lecture_Ahmedabad_1972-12-08_Sankaracarya_Is_Not_Original.mp3</t>
  </si>
  <si>
    <t>Lect_AHM_1972-12-08_Sankaracarya_Is_Not_Original.mp3</t>
  </si>
  <si>
    <t>https://audio.iskcondesiretree.com/01_-_Srila_Prabhupada/01_-_Lectures/01_-_English/02_-_Month_wise/12_-_December/08/Lect_AHM_1972-12-08_Sankaracarya_Is_Not_Original.mp3</t>
  </si>
  <si>
    <t>Chapter-18</t>
  </si>
  <si>
    <t>SP_BG_18-67_Ahmedabad_1972-12-09_What_Will_Max_Muller--etc.mp3</t>
  </si>
  <si>
    <t>https://audio.iskcondesiretree.com/01_-_Srila_Prabhupada/01_-_Lectures/01_-_English/01_-_Topic_wise/Bhagavad_Gita/Chapter-18/SP_BG_18-67_Ahmedabad_1972-12-09_What_Will_Max_Muller--etc.mp3</t>
  </si>
  <si>
    <t>Bg_18-67_AHM_1972-12-09_What_Will_Max_Muller_etc.mp3</t>
  </si>
  <si>
    <t>https://audio.iskcondesiretree.com/01_-_Srila_Prabhupada/01_-_Lectures/01_-_English/02_-_Month_wise/12_-_December/09/Bg_18-67_AHM_1972-12-09_What_Will_Max_Muller_etc.mp3</t>
  </si>
  <si>
    <t>SP_BG_18-67_Ahmedabad_1972-12-10_Human_Form_of_Life_Is_for.mp3</t>
  </si>
  <si>
    <t>https://audio.iskcondesiretree.com/01_-_Srila_Prabhupada/01_-_Lectures/01_-_English/01_-_Topic_wise/Bhagavad_Gita/Chapter-18/SP_BG_18-67_Ahmedabad_1972-12-10_Human_Form_of_Life_Is_for.mp3</t>
  </si>
  <si>
    <t>Bg_18-67_AHM_1972-12-10_Human_Form_of_Life_Is_for.mp3</t>
  </si>
  <si>
    <t>https://audio.iskcondesiretree.com/01_-_Srila_Prabhupada/01_-_Lectures/01_-_English/02_-_Month_wise/12_-_December/10/Bg_18-67_AHM_1972-12-10_Human_Form_of_Life_Is_for.mp3</t>
  </si>
  <si>
    <t>SP_BG_02-02_Ahmedabad_1972-12-11_Classless_Aryanism.mp3</t>
  </si>
  <si>
    <t>https://audio.iskcondesiretree.com/01_-_Srila_Prabhupada/01_-_Lectures/01_-_English/01_-_Topic_wise/Bhagavad_Gita/Chapter-02/SP_BG_02-02_Ahmedabad_1972-12-11_Classless_Aryanism.mp3</t>
  </si>
  <si>
    <t>Bg_02-02_AHM_1972-12-11_Classless_Aryanism.mp3</t>
  </si>
  <si>
    <t>https://audio.iskcondesiretree.com/01_-_Srila_Prabhupada/01_-_Lectures/01_-_English/02_-_Month_wise/12_-_December/11/Bg_02-02_AHM_1972-12-11_Classless_Aryanism.mp3</t>
  </si>
  <si>
    <t>SP_BG_06-47_Ahmedabad_1972-12-12_Blockhead_to_Bhakta.mp3</t>
  </si>
  <si>
    <t>https://audio.iskcondesiretree.com/01_-_Srila_Prabhupada/01_-_Lectures/01_-_English/01_-_Topic_wise/Bhagavad_Gita/Chapter-06/SP_BG_06-47_Ahmedabad_1972-12-12_Blockhead_to_Bhakta.mp3</t>
  </si>
  <si>
    <t>Bg_06-47_AHM_1972-12-12_Blockhead_to_Bhakta.mp3</t>
  </si>
  <si>
    <t>https://audio.iskcondesiretree.com/01_-_Srila_Prabhupada/01_-_Lectures/01_-_English/02_-_Month_wise/12_-_December/12/Bg_06-47_AHM_1972-12-12_Blockhead_to_Bhakta.mp3</t>
  </si>
  <si>
    <t>SP_BG_07-01_Ahmedabad_1972-12-13_Kanistha_Madhyama_Uttama.mp3</t>
  </si>
  <si>
    <t>https://audio.iskcondesiretree.com/01_-_Srila_Prabhupada/01_-_Lectures/01_-_English/01_-_Topic_wise/Bhagavad_Gita/Chapter-07/SP_BG_07-01_Ahmedabad_1972-12-13_Kanistha_Madhyama_Uttama.mp3</t>
  </si>
  <si>
    <t>Bg_07-01_AHM_1972-12-13_Kanistha_Madhyama_Uttama.mp3</t>
  </si>
  <si>
    <t>https://audio.iskcondesiretree.com/01_-_Srila_Prabhupada/01_-_Lectures/01_-_English/02_-_Month_wise/12_-_December/13/Bg_07-01_AHM_1972-12-13_Kanistha_Madhyama_Uttama.mp3</t>
  </si>
  <si>
    <t>SP_BG_07-01_Ahmedabad_1972-12-14_Theory_of_Uncertainty.mp3</t>
  </si>
  <si>
    <t>https://audio.iskcondesiretree.com/01_-_Srila_Prabhupada/01_-_Lectures/01_-_English/01_-_Topic_wise/Bhagavad_Gita/Chapter-07/SP_BG_07-01_Ahmedabad_1972-12-14_Theory_of_Uncertainty.mp3</t>
  </si>
  <si>
    <t>Bg_07-01_AHM_1972-12-14_Theory_of_Uncertainty.mp3</t>
  </si>
  <si>
    <t>https://audio.iskcondesiretree.com/01_-_Srila_Prabhupada/01_-_Lectures/01_-_English/02_-_Month_wise/12_-_December/14/Bg_07-01_AHM_1972-12-14_Theory_of_Uncertainty.mp3</t>
  </si>
  <si>
    <t>SP_NOD_Pg-10_Bombay_1972-12-26_-_Transcendental_Morality.mp3</t>
  </si>
  <si>
    <t>https://audio.iskcondesiretree.com/01_-_Srila_Prabhupada/01_-_Lectures/01_-_English/01_-_Topic_wise/Nectar_Of_Devotion/SP_NOD_Pg-10_Bombay_1972-12-26_-_Transcendental_Morality.mp3</t>
  </si>
  <si>
    <t>NOD_Pg-10_BOM_1972-12-26_Transcendental_Morality.mp3</t>
  </si>
  <si>
    <t>https://audio.iskcondesiretree.com/01_-_Srila_Prabhupada/01_-_Lectures/01_-_English/02_-_Month_wise/12_-_December/26/NOD_Pg-10_BOM_1972-12-26_Transcendental_Morality.mp3</t>
  </si>
  <si>
    <t>SP_NOD_Pg-12_Bombay_1972-12-27_-_Real_Liberation_Is_Bhakti_Yoga.mp3</t>
  </si>
  <si>
    <t>https://audio.iskcondesiretree.com/01_-_Srila_Prabhupada/01_-_Lectures/01_-_English/01_-_Topic_wise/Nectar_Of_Devotion/SP_NOD_Pg-12_Bombay_1972-12-27_-_Real_Liberation_Is_Bhakti_Yoga.mp3</t>
  </si>
  <si>
    <t>NOD_Pg-12_BOM_1972-12-27_Real_Liberation_Is_Bhakti-Yoga.mp3</t>
  </si>
  <si>
    <t>https://audio.iskcondesiretree.com/01_-_Srila_Prabhupada/01_-_Lectures/01_-_English/02_-_Month_wise/12_-_December/27/NOD_Pg-12_BOM_1972-12-27_Real_Liberation_Is_Bhakti-Yoga.mp3</t>
  </si>
  <si>
    <t>SP_NOD_Bombay_1972-12-28_-_Surrender_to_Krishna_or_Crocodiles.mp3</t>
  </si>
  <si>
    <t>https://audio.iskcondesiretree.com/01_-_Srila_Prabhupada/01_-_Lectures/01_-_English/01_-_Topic_wise/Nectar_Of_Devotion/SP_NOD_Bombay_1972-12-28_-_Surrender_to_Krishna_or_Crocodiles.mp3</t>
  </si>
  <si>
    <t>SP_NOD_Pg-12_Bombay_1972-12-28_-_The_Superiority_of_Devotional_Mellows.mp3</t>
  </si>
  <si>
    <t>https://audio.iskcondesiretree.com/01_-_Srila_Prabhupada/01_-_Lectures/01_-_English/01_-_Topic_wise/Nectar_Of_Devotion/SP_NOD_Pg-12_Bombay_1972-12-28_-_The_Superiority_of_Devotional_Mellows.mp3</t>
  </si>
  <si>
    <t>NOD_Lect_BOM_1972-12-28_Surrender_to_Krishna_or_Crocodiles.mp3</t>
  </si>
  <si>
    <t>https://audio.iskcondesiretree.com/01_-_Srila_Prabhupada/01_-_Lectures/01_-_English/02_-_Month_wise/12_-_December/28/NOD_Lect_BOM_1972-12-28_Surrender_to_Krishna_or_Crocodiles.mp3</t>
  </si>
  <si>
    <t>NOD_Pg-12_BOM_1972-12-28_The_Superiority_of_Devotional_Mellows.mp3</t>
  </si>
  <si>
    <t>https://audio.iskcondesiretree.com/01_-_Srila_Prabhupada/01_-_Lectures/01_-_English/02_-_Month_wise/12_-_December/28/NOD_Pg-12_BOM_1972-12-28_The_Superiority_of_Devotional_Mellows.mp3</t>
  </si>
  <si>
    <t>Chapter-13</t>
  </si>
  <si>
    <t>SP_BG_13-01-02_Bombay_1972-12-29_Bodily_Field_and_the_Tiller.mp3</t>
  </si>
  <si>
    <t>https://audio.iskcondesiretree.com/01_-_Srila_Prabhupada/01_-_Lectures/01_-_English/01_-_Topic_wise/Bhagavad_Gita/Chapter-13/SP_BG_13-01-02_Bombay_1972-12-29_Bodily_Field_and_the_Tiller.mp3</t>
  </si>
  <si>
    <t>Bg_13-01_BOM_1972-12-29_Bodily_Field_and_the_Tiller.mp3</t>
  </si>
  <si>
    <t>https://audio.iskcondesiretree.com/01_-_Srila_Prabhupada/01_-_Lectures/01_-_English/02_-_Month_wise/12_-_December/29/Bg_13-01_BOM_1972-12-29_Bodily_Field_and_the_Tiller.mp3</t>
  </si>
  <si>
    <t>SP_BG_13-03_Bombay_1972-12-30_Occupant_and_Owner_of_Body.mp3</t>
  </si>
  <si>
    <t>https://audio.iskcondesiretree.com/01_-_Srila_Prabhupada/01_-_Lectures/01_-_English/01_-_Topic_wise/Bhagavad_Gita/Chapter-13/SP_BG_13-03_Bombay_1972-12-30_Occupant_and_Owner_of_Body.mp3</t>
  </si>
  <si>
    <t>Bg_13-03_BOM_1972-12-30_Occupant_and_Owner_of_Body.mp3</t>
  </si>
  <si>
    <t>https://audio.iskcondesiretree.com/01_-_Srila_Prabhupada/01_-_Lectures/01_-_English/02_-_Month_wise/12_-_December/30/Bg_13-03_BOM_1972-12-30_Occupant_and_Owner_of_Body.mp3</t>
  </si>
  <si>
    <t>SP_NOD_Pg-13_Bombay_1973-01-01_-_What_Devotees_Want_and_Don%27t_Want.mp3</t>
  </si>
  <si>
    <t>https://audio.iskcondesiretree.com/01_-_Srila_Prabhupada/01_-_Lectures/01_-_English/01_-_Topic_wise/Nectar_Of_Devotion/SP_NOD_Pg-13_Bombay_1973-01-01_-_What_Devotees_Want_and_Don%27t_Want.mp3</t>
  </si>
  <si>
    <t>NOD_Pg-13_BOM_1973-01-01_What_Devotees_Want_and_Don%27t_Want.mp3</t>
  </si>
  <si>
    <t>https://audio.iskcondesiretree.com/01_-_Srila_Prabhupada/01_-_Lectures/01_-_English/02_-_Month_wise/01_-_January/01/NOD_Pg-13_BOM_1973-01-01_What_Devotees_Want_and_Don%27t_Want.mp3</t>
  </si>
  <si>
    <t>SP_Lecture_Bombay_1973-01-03_Brahma-samhita--Nobody_Knows_Krishna.mp3</t>
  </si>
  <si>
    <t>https://audio.iskcondesiretree.com/01_-_Srila_Prabhupada/01_-_Lectures/01_-_English/01_-_Topic_wise/Various/SP_Lecture_Bombay_1973-01-03_Brahma-samhita--Nobody_Knows_Krishna.mp3</t>
  </si>
  <si>
    <t>Lect_BOM_1973-01-03_Brahma-samhita-Nobody_Knows_Krishna.mp3</t>
  </si>
  <si>
    <t>https://audio.iskcondesiretree.com/01_-_Srila_Prabhupada/01_-_Lectures/01_-_English/02_-_Month_wise/01_-_January/03/Lect_BOM_1973-01-03_Brahma-samhita-Nobody_Knows_Krishna.mp3</t>
  </si>
  <si>
    <t>SP_NOD_Pg-13_Bombay_1973-01-04_-_Without_KC_There_Cannot_Be_Bliss.mp3</t>
  </si>
  <si>
    <t>https://audio.iskcondesiretree.com/01_-_Srila_Prabhupada/01_-_Lectures/01_-_English/01_-_Topic_wise/Nectar_Of_Devotion/SP_NOD_Pg-13_Bombay_1973-01-04_-_Without_KC_There_Cannot_Be_Bliss.mp3</t>
  </si>
  <si>
    <t>NOD_Pg-13_BOM_1973-01-04_Without_KC_There_Cannot_Be_Bliss.mp3</t>
  </si>
  <si>
    <t>https://audio.iskcondesiretree.com/01_-_Srila_Prabhupada/01_-_Lectures/01_-_English/02_-_Month_wise/01_-_January/04/NOD_Pg-13_BOM_1973-01-04_Without_KC_There_Cannot_Be_Bliss.mp3</t>
  </si>
  <si>
    <t>SP_NOD_Bombay_1973-01-05_-_Why_Krishna_Spoke_to_a-etc.mp3</t>
  </si>
  <si>
    <t>https://audio.iskcondesiretree.com/01_-_Srila_Prabhupada/01_-_Lectures/01_-_English/01_-_Topic_wise/Nectar_Of_Devotion/SP_NOD_Bombay_1973-01-05_-_Why_Krishna_Spoke_to_a-etc.mp3</t>
  </si>
  <si>
    <t>SP_NOD_Pg-14_Bombay_1973-01-05_-_Invoking_Natural_Love_to_Krishna.mp3</t>
  </si>
  <si>
    <t>https://audio.iskcondesiretree.com/01_-_Srila_Prabhupada/01_-_Lectures/01_-_English/01_-_Topic_wise/Nectar_Of_Devotion/SP_NOD_Pg-14_Bombay_1973-01-05_-_Invoking_Natural_Love_to_Krishna.mp3</t>
  </si>
  <si>
    <t>NOD_Lect_BOM_1973-01-05_Why_Krishna_Spoke_to_a_etc.mp3</t>
  </si>
  <si>
    <t>https://audio.iskcondesiretree.com/01_-_Srila_Prabhupada/01_-_Lectures/01_-_English/02_-_Month_wise/01_-_January/05/NOD_Lect_BOM_1973-01-05_Why_Krishna_Spoke_to_a_etc.mp3</t>
  </si>
  <si>
    <t>NOD_Pg-14_BOM_1973-01-05_Invoking_Natural_Love_to_Krishna.mp3</t>
  </si>
  <si>
    <t>https://audio.iskcondesiretree.com/01_-_Srila_Prabhupada/01_-_Lectures/01_-_English/02_-_Month_wise/01_-_January/05/NOD_Pg-14_BOM_1973-01-05_Invoking_Natural_Love_to_Krishna.mp3</t>
  </si>
  <si>
    <t>SP_NOD_Pg-17_Bombay_1973-01-07_-_Some_how_or_Other-etc.mp3</t>
  </si>
  <si>
    <t>https://audio.iskcondesiretree.com/01_-_Srila_Prabhupada/01_-_Lectures/01_-_English/01_-_Topic_wise/Nectar_Of_Devotion/SP_NOD_Pg-17_Bombay_1973-01-07_-_Some_how_or_Other-etc.mp3</t>
  </si>
  <si>
    <t>NOD_Pg-17_BOM_1973-01-07_Somehow_or_Other_etc.mp3</t>
  </si>
  <si>
    <t>https://audio.iskcondesiretree.com/01_-_Srila_Prabhupada/01_-_Lectures/01_-_English/02_-_Month_wise/01_-_January/07/NOD_Pg-17_BOM_1973-01-07_Somehow_or_Other_etc.mp3</t>
  </si>
  <si>
    <t>SP_NOD_Pg-19_Bombay_1973-01-11_-_If_You_Don%27t_Serve_God.mp3</t>
  </si>
  <si>
    <t>https://audio.iskcondesiretree.com/01_-_Srila_Prabhupada/01_-_Lectures/01_-_English/01_-_Topic_wise/Nectar_Of_Devotion/SP_NOD_Pg-19_Bombay_1973-01-11_-_If_You_Don%27t_Serve_God.mp3</t>
  </si>
  <si>
    <t>NOD_Pg-19_BOM_1973-01-11_If_You_Don%27t_Serve_God.mp3</t>
  </si>
  <si>
    <t>https://audio.iskcondesiretree.com/01_-_Srila_Prabhupada/01_-_Lectures/01_-_English/02_-_Month_wise/01_-_January/11/NOD_Pg-19_BOM_1973-01-11_If_You_Don%27t_Serve_God.mp3</t>
  </si>
  <si>
    <t>SP_SB_Lect_Bombay_1973-01-12_At_Pandal--Glories_of_Srimad-Bhagavatam.mp3</t>
  </si>
  <si>
    <t>https://audio.iskcondesiretree.com/01_-_Srila_Prabhupada/01_-_Lectures/01_-_English/01_-_Topic_wise/Srimad_Bhagavatam/More/SP_SB_Lect_Bombay_1973-01-12_At_Pandal--Glories_of_Srimad-Bhagavatam.mp3</t>
  </si>
  <si>
    <t>SB_Lect_BOM_1973-01-12_At_Pandal--Glories_of_Srimad-Bhagavatam.mp3</t>
  </si>
  <si>
    <t>https://audio.iskcondesiretree.com/01_-_Srila_Prabhupada/01_-_Lectures/01_-_English/02_-_Month_wise/01_-_January/12/SB_Lect_BOM_1973-01-12_At_Pandal--Glories_of_Srimad-Bhagavatam.mp3</t>
  </si>
  <si>
    <t>SP_BG_07-01_Bombay_1973-01-13_At_Pandal--Rise_to_Platform--etc.mp3</t>
  </si>
  <si>
    <t>https://audio.iskcondesiretree.com/01_-_Srila_Prabhupada/01_-_Lectures/01_-_English/01_-_Topic_wise/Bhagavad_Gita/Chapter-07/SP_BG_07-01_Bombay_1973-01-13_At_Pandal--Rise_to_Platform--etc.mp3</t>
  </si>
  <si>
    <t>Bg_07-01_BOM_1973-01-13_At_Pandal--Rise_to_Platform_etc.mp3</t>
  </si>
  <si>
    <t>https://audio.iskcondesiretree.com/01_-_Srila_Prabhupada/01_-_Lectures/01_-_English/02_-_Month_wise/01_-_January/13/Bg_07-01_BOM_1973-01-13_At_Pandal--Rise_to_Platform_etc.mp3</t>
  </si>
  <si>
    <t>SP_Lecture_Bombay_1973-01-14_At_Pandal--It_Is_Not_that_Only--etc.mp3</t>
  </si>
  <si>
    <t>https://audio.iskcondesiretree.com/01_-_Srila_Prabhupada/01_-_Lectures/01_-_English/01_-_Topic_wise/Various/SP_Lecture_Bombay_1973-01-14_At_Pandal--It_Is_Not_that_Only--etc.mp3</t>
  </si>
  <si>
    <t>Lect_BOM_1973-01-14_At_Pandal--It_Is_Not_that_Only_etc.mp3</t>
  </si>
  <si>
    <t>https://audio.iskcondesiretree.com/01_-_Srila_Prabhupada/01_-_Lectures/01_-_English/02_-_Month_wise/01_-_January/14/Lect_BOM_1973-01-14_At_Pandal--It_Is_Not_that_Only_etc.mp3</t>
  </si>
  <si>
    <t>SP_NOD_Calcutta_1973-01-25_-_Remember_Krsna_and_Never_Forget_Him.mp3</t>
  </si>
  <si>
    <t>https://audio.iskcondesiretree.com/01_-_Srila_Prabhupada/01_-_Lectures/01_-_English/01_-_Topic_wise/Nectar_Of_Devotion/SP_NOD_Calcutta_1973-01-25_-_Remember_Krsna_and_Never_Forget_Him.mp3</t>
  </si>
  <si>
    <t>NOD_Lect_CAL_1973-01-25_Remember_Krsna--and_Never_Forget_Him.mp3</t>
  </si>
  <si>
    <t>https://audio.iskcondesiretree.com/01_-_Srila_Prabhupada/01_-_Lectures/01_-_English/02_-_Month_wise/01_-_January/25/NOD_Lect_CAL_1973-01-25_Remember_Krsna--and_Never_Forget_Him.mp3</t>
  </si>
  <si>
    <t>SP_Lecture_Calcutta_1973-01-26_Initiation_Sannyasa--When_I_Went--etc.mp3</t>
  </si>
  <si>
    <t>https://audio.iskcondesiretree.com/01_-_Srila_Prabhupada/01_-_Lectures/01_-_English/01_-_Topic_wise/Various/SP_Lecture_Calcutta_1973-01-26_Initiation_Sannyasa--When_I_Went--etc.mp3</t>
  </si>
  <si>
    <t>Lect_CAL_1973-01-26_Initiation_Sannyasa--When_I_Went_etc.mp3</t>
  </si>
  <si>
    <t>https://audio.iskcondesiretree.com/01_-_Srila_Prabhupada/01_-_Lectures/01_-_English/02_-_Month_wise/01_-_January/26/Lect_CAL_1973-01-26_Initiation_Sannyasa--When_I_Went_etc.mp3</t>
  </si>
  <si>
    <t>SP_BG_07-01_Calcutta_1973-01-27_The_Only_Way_to_Understand_God.mp3</t>
  </si>
  <si>
    <t>https://audio.iskcondesiretree.com/01_-_Srila_Prabhupada/01_-_Lectures/01_-_English/01_-_Topic_wise/Bhagavad_Gita/Chapter-07/SP_BG_07-01_Calcutta_1973-01-27_The_Only_Way_to_Understand_God.mp3</t>
  </si>
  <si>
    <t>SP_NOD_Calcutta_1973-01-27_-_The_Common_Cause_Is_Krishna.mp3</t>
  </si>
  <si>
    <t>https://audio.iskcondesiretree.com/01_-_Srila_Prabhupada/01_-_Lectures/01_-_English/01_-_Topic_wise/Nectar_Of_Devotion/SP_NOD_Calcutta_1973-01-27_-_The_Common_Cause_Is_Krishna.mp3</t>
  </si>
  <si>
    <t>Bg_07-01_CAL_1973-01-27_The_Only_Way_to_Understand_God.mp3</t>
  </si>
  <si>
    <t>https://audio.iskcondesiretree.com/01_-_Srila_Prabhupada/01_-_Lectures/01_-_English/02_-_Month_wise/01_-_January/27/Bg_07-01_CAL_1973-01-27_The_Only_Way_to_Understand_God.mp3</t>
  </si>
  <si>
    <t>NOD_Lect_CAL_1973-01-27_The_Common_Cause_Is_Krishna.mp3</t>
  </si>
  <si>
    <t>https://audio.iskcondesiretree.com/01_-_Srila_Prabhupada/01_-_Lectures/01_-_English/02_-_Month_wise/01_-_January/27/NOD_Lect_CAL_1973-01-27_The_Common_Cause_Is_Krishna.mp3</t>
  </si>
  <si>
    <t>SP_NOD_Pg-32_Calcutta_1973-01-29_-_Three_Kinds_of_Happiness.mp3</t>
  </si>
  <si>
    <t>https://audio.iskcondesiretree.com/01_-_Srila_Prabhupada/01_-_Lectures/01_-_English/01_-_Topic_wise/Nectar_Of_Devotion/SP_NOD_Pg-32_Calcutta_1973-01-29_-_Three_Kinds_of_Happiness.mp3</t>
  </si>
  <si>
    <t>SP_Lecture_Calcutta_1973-01-29_To_Students--Something_Tangible.mp3</t>
  </si>
  <si>
    <t>https://audio.iskcondesiretree.com/01_-_Srila_Prabhupada/01_-_Lectures/01_-_English/01_-_Topic_wise/Various/SP_Lecture_Calcutta_1973-01-29_To_Students--Something_Tangible.mp3</t>
  </si>
  <si>
    <t>Lect_CAL_1973-01-29_To_Students--Something_Tangible.mp3</t>
  </si>
  <si>
    <t>https://audio.iskcondesiretree.com/01_-_Srila_Prabhupada/01_-_Lectures/01_-_English/02_-_Month_wise/01_-_January/29/Lect_CAL_1973-01-29_To_Students--Something_Tangible.mp3</t>
  </si>
  <si>
    <t>NOD_Pg-32_CAL_1973-01-29_Three_Kinds_of_Happiness.mp3</t>
  </si>
  <si>
    <t>https://audio.iskcondesiretree.com/01_-_Srila_Prabhupada/01_-_Lectures/01_-_English/02_-_Month_wise/01_-_January/29/NOD_Pg-32_CAL_1973-01-29_Three_Kinds_of_Happiness.mp3</t>
  </si>
  <si>
    <t>SP_NOD_Pg-33_Calcutta_1973-01-30_-_A_Devotee%27s_Pleasure.mp3</t>
  </si>
  <si>
    <t>https://audio.iskcondesiretree.com/01_-_Srila_Prabhupada/01_-_Lectures/01_-_English/01_-_Topic_wise/Nectar_Of_Devotion/SP_NOD_Pg-33_Calcutta_1973-01-30_-_A_Devotee%27s_Pleasure.mp3</t>
  </si>
  <si>
    <t>SP_Lecture_Calcutta_1973-01-30_To_Businessmen--Business_%26--etc.mp3</t>
  </si>
  <si>
    <t>https://audio.iskcondesiretree.com/01_-_Srila_Prabhupada/01_-_Lectures/01_-_English/01_-_Topic_wise/Various/SP_Lecture_Calcutta_1973-01-30_To_Businessmen--Business_%26--etc.mp3</t>
  </si>
  <si>
    <t>Lect_CAL_1973-01-30_To_Businessmen--Business_%26_etc.mp3</t>
  </si>
  <si>
    <t>https://audio.iskcondesiretree.com/01_-_Srila_Prabhupada/01_-_Lectures/01_-_English/02_-_Month_wise/01_-_January/30/Lect_CAL_1973-01-30_To_Businessmen--Business_%26_etc.mp3</t>
  </si>
  <si>
    <t>NOD_Pg-33_CAL_1973-01-30_A_Devotee%27s_Pleasure.mp3</t>
  </si>
  <si>
    <t>https://audio.iskcondesiretree.com/01_-_Srila_Prabhupada/01_-_Lectures/01_-_English/02_-_Month_wise/01_-_January/30/NOD_Pg-33_CAL_1973-01-30_A_Devotee%27s_Pleasure.mp3</t>
  </si>
  <si>
    <t>SP_NOD_Pg-35_Calcutta_1973-01-31_-_Real_Self_Interest.mp3</t>
  </si>
  <si>
    <t>https://audio.iskcondesiretree.com/01_-_Srila_Prabhupada/01_-_Lectures/01_-_English/01_-_Topic_wise/Nectar_Of_Devotion/SP_NOD_Pg-35_Calcutta_1973-01-31_-_Real_Self_Interest.mp3</t>
  </si>
  <si>
    <t>SP_Lecture_Calcutta_1973-01-31_At_Indo-American--etc.mp3</t>
  </si>
  <si>
    <t>https://audio.iskcondesiretree.com/01_-_Srila_Prabhupada/01_-_Lectures/01_-_English/01_-_Topic_wise/Various/SP_Lecture_Calcutta_1973-01-31_At_Indo-American--etc.mp3</t>
  </si>
  <si>
    <t>Lect_CAL_1973-01-31_At_Indo-American_etc.mp3</t>
  </si>
  <si>
    <t>https://audio.iskcondesiretree.com/01_-_Srila_Prabhupada/01_-_Lectures/01_-_English/02_-_Month_wise/01_-_January/31/Lect_CAL_1973-01-31_At_Indo-American_etc.mp3</t>
  </si>
  <si>
    <t>NOD_Pg-35_CAL_1973-01-31_Real_Self-Interest.mp3</t>
  </si>
  <si>
    <t>https://audio.iskcondesiretree.com/01_-_Srila_Prabhupada/01_-_Lectures/01_-_English/02_-_Month_wise/01_-_January/31/NOD_Pg-35_CAL_1973-01-31_Real_Self-Interest.mp3</t>
  </si>
  <si>
    <t>SP_BG_07-01_Sydney_1973-02-16_Connect_With_the_Supreme_Lord.mp3</t>
  </si>
  <si>
    <t>https://audio.iskcondesiretree.com/01_-_Srila_Prabhupada/01_-_Lectures/01_-_English/01_-_Topic_wise/Bhagavad_Gita/Chapter-07/SP_BG_07-01_Sydney_1973-02-16_Connect_With_the_Supreme_Lord.mp3</t>
  </si>
  <si>
    <t>Bg_07-01_SYD_1973-02-16_Connect_With_the_Supreme_Lord.mp3</t>
  </si>
  <si>
    <t>https://audio.iskcondesiretree.com/01_-_Srila_Prabhupada/01_-_Lectures/01_-_English/02_-_Month_wise/02_-_Feburary/16/Bg_07-01_SYD_1973-02-16_Connect_With_the_Supreme_Lord.mp3</t>
  </si>
  <si>
    <t>SP_SB_1-01-19_Auckland_1973-02-20_The_Acharya_Knows_How_to--etc.mp3</t>
  </si>
  <si>
    <t>https://audio.iskcondesiretree.com/01_-_Srila_Prabhupada/01_-_Lectures/01_-_English/01_-_Topic_wise/Srimad_Bhagavatam/Canto-01/SP_SB_1-01-19_Auckland_1973-02-20_The_Acharya_Knows_How_to--etc.mp3</t>
  </si>
  <si>
    <t>SB_1-01-19_AUC_1973-02-20_The_Acharya_Knows_How_to_etc.mp3</t>
  </si>
  <si>
    <t>https://audio.iskcondesiretree.com/01_-_Srila_Prabhupada/01_-_Lectures/01_-_English/02_-_Month_wise/02_-_Feburary/20/SB_1-01-19_AUC_1973-02-20_The_Acharya_Knows_How_to_etc.mp3</t>
  </si>
  <si>
    <t>SP_BG_10-01_Calcutta_1973-03-06_More_or_Less_Demons--Still--etc.mp3</t>
  </si>
  <si>
    <t>https://audio.iskcondesiretree.com/01_-_Srila_Prabhupada/01_-_Lectures/01_-_English/01_-_Topic_wise/Bhagavad_Gita/Chapter-10/SP_BG_10-01_Calcutta_1973-03-06_More_or_Less_Demons--Still--etc.mp3</t>
  </si>
  <si>
    <t>Bg_10-01_CAL_1973-03-06_More_or_Less_Demons--Still_etc.mp3</t>
  </si>
  <si>
    <t>https://audio.iskcondesiretree.com/01_-_Srila_Prabhupada/01_-_Lectures/01_-_English/02_-_Month_wise/03_-_March/06/Bg_10-01_CAL_1973-03-06_More_or_Less_Demons--Still_etc.mp3</t>
  </si>
  <si>
    <t>02_-_Bengali</t>
  </si>
  <si>
    <t>1973-03-12_Lecture_-_Calcutta.mp3</t>
  </si>
  <si>
    <t>https://audio.iskcondesiretree.com/01_-_Srila_Prabhupada/01_-_Lectures/02_-_Bengali/1973-03-12_Lecture_-_Calcutta.mp3</t>
  </si>
  <si>
    <t>1973-03-13_Lecture_-_Calcutta.mp3</t>
  </si>
  <si>
    <t>https://audio.iskcondesiretree.com/01_-_Srila_Prabhupada/01_-_Lectures/02_-_Bengali/1973-03-13_Lecture_-_Calcutta.mp3</t>
  </si>
  <si>
    <t>1973-03-16_Lecture_-_Mayapur.mp3</t>
  </si>
  <si>
    <t>https://audio.iskcondesiretree.com/01_-_Srila_Prabhupada/01_-_Lectures/02_-_Bengali/1973-03-16_Lecture_-_Mayapur.mp3</t>
  </si>
  <si>
    <t>SP_Arrival_New_York_1973-04-05_This_Life_is_Not_Very_Congenial.mp3</t>
  </si>
  <si>
    <t>https://audio.iskcondesiretree.com/01_-_Srila_Prabhupada/01_-_Lectures/01_-_English/01_-_Topic_wise/Arrival_Address/SP_Arrival_New_York_1973-04-05_This_Life_is_Not_Very_Congenial.mp3</t>
  </si>
  <si>
    <t>Arr_NY_1973-04-05_This_Life_is_Not_Very_Congenial.mp3</t>
  </si>
  <si>
    <t>https://audio.iskcondesiretree.com/01_-_Srila_Prabhupada/01_-_Lectures/01_-_English/02_-_Month_wise/04_-_April/05/Arr_NY_1973-04-05_This_Life_is_Not_Very_Congenial.mp3</t>
  </si>
  <si>
    <t>SP_BG_04-13_New_York_1973-04-08_Sunday_Feast--The_Social_Body--etc.mp3</t>
  </si>
  <si>
    <t>https://audio.iskcondesiretree.com/01_-_Srila_Prabhupada/01_-_Lectures/01_-_English/01_-_Topic_wise/Bhagavad_Gita/Chapter-04/SP_BG_04-13_New_York_1973-04-08_Sunday_Feast--The_Social_Body--etc.mp3</t>
  </si>
  <si>
    <t>Bg_04-13_NY_1973-04-08_Sunday_Feast_The_Social_Body_etc.mp3</t>
  </si>
  <si>
    <t>https://audio.iskcondesiretree.com/01_-_Srila_Prabhupada/01_-_Lectures/01_-_English/02_-_Month_wise/04_-_April/08/Bg_04-13_NY_1973-04-08_Sunday_Feast_The_Social_Body_etc.mp3</t>
  </si>
  <si>
    <t>SP_SB_1-08-18_New_York_1973-04-10_How_to_See_Greatness_of_God.mp3</t>
  </si>
  <si>
    <t>https://audio.iskcondesiretree.com/01_-_Srila_Prabhupada/01_-_Lectures/01_-_English/01_-_Topic_wise/Srimad_Bhagavatam/Canto-01/SP_SB_1-08-18_New_York_1973-04-10_How_to_See_Greatness_of_God.mp3</t>
  </si>
  <si>
    <t>SB_1-08-18_NY_1973-04-10_How_to_See_Greatness_of_God.mp3</t>
  </si>
  <si>
    <t>https://audio.iskcondesiretree.com/01_-_Srila_Prabhupada/01_-_Lectures/01_-_English/02_-_Month_wise/04_-_April/10/SB_1-08-18_NY_1973-04-10_How_to_See_Greatness_of_God.mp3</t>
  </si>
  <si>
    <t>SP_SB_1-08-20_New_York_1973-04-12_Queen_Kunti%27s_Humility.mp3</t>
  </si>
  <si>
    <t>https://audio.iskcondesiretree.com/01_-_Srila_Prabhupada/01_-_Lectures/01_-_English/01_-_Topic_wise/Srimad_Bhagavatam/Canto-01/SP_SB_1-08-20_New_York_1973-04-12_Queen_Kunti%27s_Humility.mp3</t>
  </si>
  <si>
    <t>SB_1-08-20_NY_1973-04-12_Queen_Kunti%27s_Humility.mp3</t>
  </si>
  <si>
    <t>https://audio.iskcondesiretree.com/01_-_Srila_Prabhupada/01_-_Lectures/01_-_English/02_-_Month_wise/04_-_April/12/SB_1-08-20_NY_1973-04-12_Queen_Kunti%27s_Humility.mp3</t>
  </si>
  <si>
    <t>SP_Arrival_Los_Angeles_1973-04-13_My_Lord%2C_I_Don%27t_Want_Anything_Material.mp3</t>
  </si>
  <si>
    <t>https://audio.iskcondesiretree.com/01_-_Srila_Prabhupada/01_-_Lectures/01_-_English/01_-_Topic_wise/Arrival_Address/SP_Arrival_Los_Angeles_1973-04-13_My_Lord%2C_I_Don%27t_Want_Anything_Material.mp3</t>
  </si>
  <si>
    <t>SP_SB_1-08-21_New_York_1973-04-13_Spiritual_Sense_Gratification.mp3</t>
  </si>
  <si>
    <t>https://audio.iskcondesiretree.com/01_-_Srila_Prabhupada/01_-_Lectures/01_-_English/01_-_Topic_wise/Srimad_Bhagavatam/Canto-01/SP_SB_1-08-21_New_York_1973-04-13_Spiritual_Sense_Gratification.mp3</t>
  </si>
  <si>
    <t>Arr_LA_1973-04-13_My_Lord%2C_I_Don%27t_Want_Anything_Material.mp3</t>
  </si>
  <si>
    <t>https://audio.iskcondesiretree.com/01_-_Srila_Prabhupada/01_-_Lectures/01_-_English/02_-_Month_wise/04_-_April/13/Arr_LA_1973-04-13_My_Lord%2C_I_Don%27t_Want_Anything_Material.mp3</t>
  </si>
  <si>
    <t>SB_1-08-21_NY_1973-04-13_Spiritual_Sense_Gratification.mp3</t>
  </si>
  <si>
    <t>https://audio.iskcondesiretree.com/01_-_Srila_Prabhupada/01_-_Lectures/01_-_English/02_-_Month_wise/04_-_April/13/SB_1-08-21_NY_1973-04-13_Spiritual_Sense_Gratification.mp3</t>
  </si>
  <si>
    <t>SP_BG_02-13_Los_Angeles_1973-04-14_The_First_Lesson-Not_This_Body.mp3</t>
  </si>
  <si>
    <t>https://audio.iskcondesiretree.com/01_-_Srila_Prabhupada/01_-_Lectures/01_-_English/01_-_Topic_wise/Bhagavad_Gita/Chapter-02/SP_BG_02-13_Los_Angeles_1973-04-14_The_First_Lesson-Not_This_Body.mp3</t>
  </si>
  <si>
    <t>SP_SB_1-08-22_Los_Angeles_1973-04-14_If_You_Actually_Love_God_You--etc.mp3</t>
  </si>
  <si>
    <t>https://audio.iskcondesiretree.com/01_-_Srila_Prabhupada/01_-_Lectures/01_-_English/01_-_Topic_wise/Srimad_Bhagavatam/Canto-01/SP_SB_1-08-22_Los_Angeles_1973-04-14_If_You_Actually_Love_God_You--etc.mp3</t>
  </si>
  <si>
    <t>Bg_02-13_LA_1973-04-14_The_First_Lesson-Not_This_Body.mp3</t>
  </si>
  <si>
    <t>https://audio.iskcondesiretree.com/01_-_Srila_Prabhupada/01_-_Lectures/01_-_English/02_-_Month_wise/04_-_April/14/Bg_02-13_LA_1973-04-14_The_First_Lesson-Not_This_Body.mp3</t>
  </si>
  <si>
    <t>SB_1-08-22_LA_1973-04-14_If_You_Actually_Love_God_You_etc.mp3</t>
  </si>
  <si>
    <t>https://audio.iskcondesiretree.com/01_-_Srila_Prabhupada/01_-_Lectures/01_-_English/02_-_Month_wise/04_-_April/14/SB_1-08-22_LA_1973-04-14_If_You_Actually_Love_God_You_etc.mp3</t>
  </si>
  <si>
    <t>SP_SB_1-08-23_Los_Angeles_1973-04-15_Beginning_of_Material_Life_is_Envy.mp3</t>
  </si>
  <si>
    <t>https://audio.iskcondesiretree.com/01_-_Srila_Prabhupada/01_-_Lectures/01_-_English/01_-_Topic_wise/Srimad_Bhagavatam/Canto-01/SP_SB_1-08-23_Los_Angeles_1973-04-15_Beginning_of_Material_Life_is_Envy.mp3</t>
  </si>
  <si>
    <t>SB_1-08-23_LA_1973-04-15_Beginning_of_Material_Life_is_Envy.mp3</t>
  </si>
  <si>
    <t>https://audio.iskcondesiretree.com/01_-_Srila_Prabhupada/01_-_Lectures/01_-_English/02_-_Month_wise/04_-_April/15/SB_1-08-23_LA_1973-04-15_Beginning_of_Material_Life_is_Envy.mp3</t>
  </si>
  <si>
    <t>SP_SB_1-08-24_Los_Angeles_1973-04-16_If_Krishna_Wants_to_Protect--etc.mp3</t>
  </si>
  <si>
    <t>https://audio.iskcondesiretree.com/01_-_Srila_Prabhupada/01_-_Lectures/01_-_English/01_-_Topic_wise/Srimad_Bhagavatam/Canto-01/SP_SB_1-08-24_Los_Angeles_1973-04-16_If_Krishna_Wants_to_Protect--etc.mp3</t>
  </si>
  <si>
    <t>SB_1-08-24_LA_1973-04-16_If_Krishna_Wants_to_Protect_etc.mp3</t>
  </si>
  <si>
    <t>https://audio.iskcondesiretree.com/01_-_Srila_Prabhupada/01_-_Lectures/01_-_English/02_-_Month_wise/04_-_April/16/SB_1-08-24_LA_1973-04-16_If_Krishna_Wants_to_Protect_etc.mp3</t>
  </si>
  <si>
    <t>SP_SB_1-08-25_Los_Angeles_1973-04-17_Cross_This_Ocean_of_Danger.mp3</t>
  </si>
  <si>
    <t>https://audio.iskcondesiretree.com/01_-_Srila_Prabhupada/01_-_Lectures/01_-_English/01_-_Topic_wise/Srimad_Bhagavatam/Canto-01/SP_SB_1-08-25_Los_Angeles_1973-04-17_Cross_This_Ocean_of_Danger.mp3</t>
  </si>
  <si>
    <t>SB_1-08-25_LA_1973-04-17_Cross_This_Ocean_of_Danger.mp3</t>
  </si>
  <si>
    <t>https://audio.iskcondesiretree.com/01_-_Srila_Prabhupada/01_-_Lectures/01_-_English/02_-_Month_wise/04_-_April/17/SB_1-08-25_LA_1973-04-17_Cross_This_Ocean_of_Danger.mp3</t>
  </si>
  <si>
    <t>SP_SB_1-08-26_Los_Angeles_1973-04-18_Krishna_Conscious_Communism.mp3</t>
  </si>
  <si>
    <t>https://audio.iskcondesiretree.com/01_-_Srila_Prabhupada/01_-_Lectures/01_-_English/01_-_Topic_wise/Srimad_Bhagavatam/Canto-01/SP_SB_1-08-26_Los_Angeles_1973-04-18_Krishna_Conscious_Communism.mp3</t>
  </si>
  <si>
    <t>SB_1-08-26_LA_1973-04-18_Krishna_Conscious_Communism.mp3</t>
  </si>
  <si>
    <t>https://audio.iskcondesiretree.com/01_-_Srila_Prabhupada/01_-_Lectures/01_-_English/02_-_Month_wise/04_-_April/18/SB_1-08-26_LA_1973-04-18_Krishna_Conscious_Communism.mp3</t>
  </si>
  <si>
    <t>SP_Morning_Walk_-_Los_Angeles_1973-04-19_The_Scientists%27_Bluff.mp3</t>
  </si>
  <si>
    <t>https://audio.iskcondesiretree.com/01_-_Srila_Prabhupada/01_-_Lectures/01_-_English/01_-_Topic_wise/Morning_Walk/SP_Morning_Walk_-_Los_Angeles_1973-04-19_The_Scientists%27_Bluff.mp3</t>
  </si>
  <si>
    <t>SP_SB_1-08-27_Los_Angeles_1973-04-19_Predominator_to_Predominated.mp3</t>
  </si>
  <si>
    <t>https://audio.iskcondesiretree.com/01_-_Srila_Prabhupada/01_-_Lectures/01_-_English/01_-_Topic_wise/Srimad_Bhagavatam/Canto-01/SP_SB_1-08-27_Los_Angeles_1973-04-19_Predominator_to_Predominated.mp3</t>
  </si>
  <si>
    <t>MW_LA_1973-04-19_The_Scientists_Bluff.mp3</t>
  </si>
  <si>
    <t>https://audio.iskcondesiretree.com/01_-_Srila_Prabhupada/01_-_Lectures/01_-_English/02_-_Month_wise/04_-_April/19/MW_LA_1973-04-19_The_Scientists_Bluff.mp3</t>
  </si>
  <si>
    <t>SB_1-08-27_LA_1973-04-19_Predominator_to_Predominated.mp3</t>
  </si>
  <si>
    <t>https://audio.iskcondesiretree.com/01_-_Srila_Prabhupada/01_-_Lectures/01_-_English/02_-_Month_wise/04_-_April/19/SB_1-08-27_LA_1973-04-19_Predominator_to_Predominated.mp3</t>
  </si>
  <si>
    <t>SP_SB_1-08-28_Los_Angeles_1973-04-20_Krishna_Is_Equal_to_Everyone.mp3</t>
  </si>
  <si>
    <t>https://audio.iskcondesiretree.com/01_-_Srila_Prabhupada/01_-_Lectures/01_-_English/01_-_Topic_wise/Srimad_Bhagavatam/Canto-01/SP_SB_1-08-28_Los_Angeles_1973-04-20_Krishna_Is_Equal_to_Everyone.mp3</t>
  </si>
  <si>
    <t>SB_1-08-28_LA_1973-04-20_Krishna_Is_Equal_to_Everyone.mp3</t>
  </si>
  <si>
    <t>https://audio.iskcondesiretree.com/01_-_Srila_Prabhupada/01_-_Lectures/01_-_English/02_-_Month_wise/04_-_April/20/SB_1-08-28_LA_1973-04-20_Krishna_Is_Equal_to_Everyone.mp3</t>
  </si>
  <si>
    <t>SP_SB_1-08-29_Los_Angeles_1973-04-21_Try_to_Satisfy_Krishna.mp3</t>
  </si>
  <si>
    <t>https://audio.iskcondesiretree.com/01_-_Srila_Prabhupada/01_-_Lectures/01_-_English/01_-_Topic_wise/Srimad_Bhagavatam/Canto-01/SP_SB_1-08-29_Los_Angeles_1973-04-21_Try_to_Satisfy_Krishna.mp3</t>
  </si>
  <si>
    <t>SB_1-08-29_LA_1973-04-21_Try_to_Satisfy_Krishna.mp3</t>
  </si>
  <si>
    <t>https://audio.iskcondesiretree.com/01_-_Srila_Prabhupada/01_-_Lectures/01_-_English/02_-_Month_wise/04_-_April/21/SB_1-08-29_LA_1973-04-21_Try_to_Satisfy_Krishna.mp3</t>
  </si>
  <si>
    <t>SP_SB_1-08-30_Los_Angeles_1973-04-22_Chant_Chant_Chant--Can%27t--etc.mp3</t>
  </si>
  <si>
    <t>https://audio.iskcondesiretree.com/01_-_Srila_Prabhupada/01_-_Lectures/01_-_English/01_-_Topic_wise/Srimad_Bhagavatam/Canto-01/SP_SB_1-08-30_Los_Angeles_1973-04-22_Chant_Chant_Chant--Can%27t--etc.mp3</t>
  </si>
  <si>
    <t>SB_1-08-30_LA_1973-04-22_Chant_Chant_Chant_Can%27t_etc.mp3</t>
  </si>
  <si>
    <t>https://audio.iskcondesiretree.com/01_-_Srila_Prabhupada/01_-_Lectures/01_-_English/02_-_Month_wise/04_-_April/22/SB_1-08-30_LA_1973-04-22_Chant_Chant_Chant_Can%27t_etc.mp3</t>
  </si>
  <si>
    <t>SP_SB_1-08-31_Los_Angeles_1973-04-23_Increase_Your_Love_for_Krishna.mp3</t>
  </si>
  <si>
    <t>https://audio.iskcondesiretree.com/01_-_Srila_Prabhupada/01_-_Lectures/01_-_English/01_-_Topic_wise/Srimad_Bhagavatam/Canto-01/SP_SB_1-08-31_Los_Angeles_1973-04-23_Increase_Your_Love_for_Krishna.mp3</t>
  </si>
  <si>
    <t>SB_1-08-31_LA_1973-04-23_Increase_Your_Love_for_Krishna.mp3</t>
  </si>
  <si>
    <t>https://audio.iskcondesiretree.com/01_-_Srila_Prabhupada/01_-_Lectures/01_-_English/02_-_Month_wise/04_-_April/23/SB_1-08-31_LA_1973-04-23_Increase_Your_Love_for_Krishna.mp3</t>
  </si>
  <si>
    <t>SP_SB_1-08-32_Los_Angeles_1973-04-24_Why_Does_the_Unborn_Take_Birth.mp3</t>
  </si>
  <si>
    <t>https://audio.iskcondesiretree.com/01_-_Srila_Prabhupada/01_-_Lectures/01_-_English/01_-_Topic_wise/Srimad_Bhagavatam/Canto-01/SP_SB_1-08-32_Los_Angeles_1973-04-24_Why_Does_the_Unborn_Take_Birth.mp3</t>
  </si>
  <si>
    <t>SB_1-08-32_LA_1973-04-24_Why_Does_the_Unborn_Take_Birth.mp3</t>
  </si>
  <si>
    <t>https://audio.iskcondesiretree.com/01_-_Srila_Prabhupada/01_-_Lectures/01_-_English/02_-_Month_wise/04_-_April/24/SB_1-08-32_LA_1973-04-24_Why_Does_the_Unborn_Take_Birth.mp3</t>
  </si>
  <si>
    <t>SP_SB_1-08-33_Los_Angeles_1973-04-25_Converting_Crows_Into_Swans.mp3</t>
  </si>
  <si>
    <t>https://audio.iskcondesiretree.com/01_-_Srila_Prabhupada/01_-_Lectures/01_-_English/01_-_Topic_wise/Srimad_Bhagavatam/Canto-01/SP_SB_1-08-33_Los_Angeles_1973-04-25_Converting_Crows_Into_Swans.mp3</t>
  </si>
  <si>
    <t>SB_1-08-33_LA_1973-04-25_Converting_Crows_Into_Swans.mp3</t>
  </si>
  <si>
    <t>https://audio.iskcondesiretree.com/01_-_Srila_Prabhupada/01_-_Lectures/01_-_English/02_-_Month_wise/04_-_April/25/SB_1-08-33_LA_1973-04-25_Converting_Crows_Into_Swans.mp3</t>
  </si>
  <si>
    <t>SP_SB_1-08-34_Los_Angeles_1973-04-26_Seeing_the_World%27s_Soul.mp3</t>
  </si>
  <si>
    <t>https://audio.iskcondesiretree.com/01_-_Srila_Prabhupada/01_-_Lectures/01_-_English/01_-_Topic_wise/Srimad_Bhagavatam/Canto-01/SP_SB_1-08-34_Los_Angeles_1973-04-26_Seeing_the_World%27s_Soul.mp3</t>
  </si>
  <si>
    <t>SB_1-08-34_LA_1973-04-26_Seeing_the_World%27s_Soul.mp3</t>
  </si>
  <si>
    <t>https://audio.iskcondesiretree.com/01_-_Srila_Prabhupada/01_-_Lectures/01_-_English/02_-_Month_wise/04_-_April/26/SB_1-08-34_LA_1973-04-26_Seeing_the_World%27s_Soul.mp3</t>
  </si>
  <si>
    <t>SP_Morning_Walk_-_Los_Angeles_1973-04-28_Greedy_Pushy_Scientists.mp3</t>
  </si>
  <si>
    <t>https://audio.iskcondesiretree.com/01_-_Srila_Prabhupada/01_-_Lectures/01_-_English/01_-_Topic_wise/Morning_Walk/SP_Morning_Walk_-_Los_Angeles_1973-04-28_Greedy_Pushy_Scientists.mp3</t>
  </si>
  <si>
    <t>SP_SB_1-08-36_Los_Angeles_1973-04-28_Just_Go_On_Hearing_About_Krishna.mp3</t>
  </si>
  <si>
    <t>https://audio.iskcondesiretree.com/01_-_Srila_Prabhupada/01_-_Lectures/01_-_English/01_-_Topic_wise/Srimad_Bhagavatam/Canto-01/SP_SB_1-08-36_Los_Angeles_1973-04-28_Just_Go_On_Hearing_About_Krishna.mp3</t>
  </si>
  <si>
    <t>MW_LA_1973-04-28_Greedy_Pushy_Scientists.mp3</t>
  </si>
  <si>
    <t>https://audio.iskcondesiretree.com/01_-_Srila_Prabhupada/01_-_Lectures/01_-_English/02_-_Month_wise/04_-_April/28/MW_LA_1973-04-28_Greedy_Pushy_Scientists.mp3</t>
  </si>
  <si>
    <t>SB_1-08-36_LA_1973-04-28_Just_Go_On_Hearing_About_Krishna.mp3</t>
  </si>
  <si>
    <t>https://audio.iskcondesiretree.com/01_-_Srila_Prabhupada/01_-_Lectures/01_-_English/02_-_Month_wise/04_-_April/28/SB_1-08-36_LA_1973-04-28_Just_Go_On_Hearing_About_Krishna.mp3</t>
  </si>
  <si>
    <t>SP_SB_1-08-37_Los_Angeles_1973-04-29_We_Are_in_Dangerous_Position.mp3</t>
  </si>
  <si>
    <t>https://audio.iskcondesiretree.com/01_-_Srila_Prabhupada/01_-_Lectures/01_-_English/01_-_Topic_wise/Srimad_Bhagavatam/Canto-01/SP_SB_1-08-37_Los_Angeles_1973-04-29_We_Are_in_Dangerous_Position.mp3</t>
  </si>
  <si>
    <t>SB_1-08-37_LA_1973-04-29_We_Are_in_Dangerous_Position.mp3</t>
  </si>
  <si>
    <t>https://audio.iskcondesiretree.com/01_-_Srila_Prabhupada/01_-_Lectures/01_-_English/02_-_Month_wise/04_-_April/29/SB_1-08-37_LA_1973-04-29_We_Are_in_Dangerous_Position.mp3</t>
  </si>
  <si>
    <t>SP_SB_1-08-38_Los_Angeles_1973-04-30_Our_Senses_Belong_to_Krishna.mp3</t>
  </si>
  <si>
    <t>https://audio.iskcondesiretree.com/01_-_Srila_Prabhupada/01_-_Lectures/01_-_English/01_-_Topic_wise/Srimad_Bhagavatam/Canto-01/SP_SB_1-08-38_Los_Angeles_1973-04-30_Our_Senses_Belong_to_Krishna.mp3</t>
  </si>
  <si>
    <t>SB_1-08-38_LA_1973-04-30_Our_Senses_Belong_to_Krishna.mp3</t>
  </si>
  <si>
    <t>https://audio.iskcondesiretree.com/01_-_Srila_Prabhupada/01_-_Lectures/01_-_English/02_-_Month_wise/04_-_April/30/SB_1-08-38_LA_1973-04-30_Our_Senses_Belong_to_Krishna.mp3</t>
  </si>
  <si>
    <t>SP_SB_1-08-39_Los_Angeles_1973-05-01_How_Everything_Can_Become_Beautiful.mp3</t>
  </si>
  <si>
    <t>https://audio.iskcondesiretree.com/01_-_Srila_Prabhupada/01_-_Lectures/01_-_English/01_-_Topic_wise/Srimad_Bhagavatam/Canto-01/SP_SB_1-08-39_Los_Angeles_1973-05-01_How_Everything_Can_Become_Beautiful.mp3</t>
  </si>
  <si>
    <t>SB_1-08-39_LA_1973-05-01_How_Everything_Can_Become_Beautiful.mp3</t>
  </si>
  <si>
    <t>https://audio.iskcondesiretree.com/01_-_Srila_Prabhupada/01_-_Lectures/01_-_English/02_-_Month_wise/05_-_May/01/SB_1-08-39_LA_1973-05-01_How_Everything_Can_Become_Beautiful.mp3</t>
  </si>
  <si>
    <t>SP_SB_1-08-40_Los_Angeles_1973-05-02_By_Krishna%27s_Glance_All_Is_OK.mp3</t>
  </si>
  <si>
    <t>https://audio.iskcondesiretree.com/01_-_Srila_Prabhupada/01_-_Lectures/01_-_English/01_-_Topic_wise/Srimad_Bhagavatam/Canto-01/SP_SB_1-08-40_Los_Angeles_1973-05-02_By_Krishna%27s_Glance_All_Is_OK.mp3</t>
  </si>
  <si>
    <t>SB_1-08-40_LA_1973-05-02_By_Krishna%27s_Glance_All_Is_OK.mp3</t>
  </si>
  <si>
    <t>https://audio.iskcondesiretree.com/01_-_Srila_Prabhupada/01_-_Lectures/01_-_English/02_-_Month_wise/05_-_May/02/SB_1-08-40_LA_1973-05-02_By_Krishna%27s_Glance_All_Is_OK.mp3</t>
  </si>
  <si>
    <t>SP_SB_1-08-41_Los_Angeles_1973-05-03_The_Greatest_Enemy_of_Human_Society.mp3</t>
  </si>
  <si>
    <t>https://audio.iskcondesiretree.com/01_-_Srila_Prabhupada/01_-_Lectures/01_-_English/01_-_Topic_wise/Srimad_Bhagavatam/Canto-01/SP_SB_1-08-41_Los_Angeles_1973-05-03_The_Greatest_Enemy_of_Human_Society.mp3</t>
  </si>
  <si>
    <t>SB_1-08-41_LA_1973-05-03_The_Greatest_Enemy_of_Human_Society.mp3</t>
  </si>
  <si>
    <t>https://audio.iskcondesiretree.com/01_-_Srila_Prabhupada/01_-_Lectures/01_-_English/02_-_Month_wise/05_-_May/03/SB_1-08-41_LA_1973-05-03_The_Greatest_Enemy_of_Human_Society.mp3</t>
  </si>
  <si>
    <t>SP_SB_1-08-42_Los_Angeles_1973-05-04_How_Not_to_Be_in_the_Material_World.mp3</t>
  </si>
  <si>
    <t>https://audio.iskcondesiretree.com/01_-_Srila_Prabhupada/01_-_Lectures/01_-_English/01_-_Topic_wise/Srimad_Bhagavatam/Canto-01/SP_SB_1-08-42_Los_Angeles_1973-05-04_How_Not_to_Be_in_the_Material_World.mp3</t>
  </si>
  <si>
    <t>SB_1-08-42_LA_1973-05-04_How_Not_to_Be_in_the_Material_World.mp3</t>
  </si>
  <si>
    <t>https://audio.iskcondesiretree.com/01_-_Srila_Prabhupada/01_-_Lectures/01_-_English/02_-_Month_wise/05_-_May/04/SB_1-08-42_LA_1973-05-04_How_Not_to_Be_in_the_Material_World.mp3</t>
  </si>
  <si>
    <t>SP_Morning_Walk_-_Los_Angeles_1973-05-05_In_the_Ocean_Frogs_are_Conspicuous--etc.mp3</t>
  </si>
  <si>
    <t>https://audio.iskcondesiretree.com/01_-_Srila_Prabhupada/01_-_Lectures/01_-_English/01_-_Topic_wise/Morning_Walk/SP_Morning_Walk_-_Los_Angeles_1973-05-05_In_the_Ocean_Frogs_are_Conspicuous--etc.mp3</t>
  </si>
  <si>
    <t>SP_SB_1-08-43_Los_Angeles_1973-05-05_Protector_of_Cows_and_Brahmanas.mp3</t>
  </si>
  <si>
    <t>https://audio.iskcondesiretree.com/01_-_Srila_Prabhupada/01_-_Lectures/01_-_English/01_-_Topic_wise/Srimad_Bhagavatam/Canto-01/SP_SB_1-08-43_Los_Angeles_1973-05-05_Protector_of_Cows_and_Brahmanas.mp3</t>
  </si>
  <si>
    <t>MW_LA_1973-05-05_In_the_Ocean_Frogs_are_Conspicuous_etc.mp3</t>
  </si>
  <si>
    <t>https://audio.iskcondesiretree.com/01_-_Srila_Prabhupada/01_-_Lectures/01_-_English/02_-_Month_wise/05_-_May/05/MW_LA_1973-05-05_In_the_Ocean_Frogs_are_Conspicuous_etc.mp3</t>
  </si>
  <si>
    <t>SB_1-08-43_LA_1973-05-05_Protector_of_Cows_and_Brahmanas.mp3</t>
  </si>
  <si>
    <t>https://audio.iskcondesiretree.com/01_-_Srila_Prabhupada/01_-_Lectures/01_-_English/02_-_Month_wise/05_-_May/05/SB_1-08-43_LA_1973-05-05_Protector_of_Cows_and_Brahmanas.mp3</t>
  </si>
  <si>
    <t>SP_SB_1-08-44_Los_Angeles_1973-05-06_Approaching_All-Good_Absolute.mp3</t>
  </si>
  <si>
    <t>https://audio.iskcondesiretree.com/01_-_Srila_Prabhupada/01_-_Lectures/01_-_English/01_-_Topic_wise/Srimad_Bhagavatam/Canto-01/SP_SB_1-08-44_Los_Angeles_1973-05-06_Approaching_All-Good_Absolute.mp3</t>
  </si>
  <si>
    <t>SB_1-08-44_LA_1973-05-06_Approaching_All-Good_Absolute.mp3</t>
  </si>
  <si>
    <t>https://audio.iskcondesiretree.com/01_-_Srila_Prabhupada/01_-_Lectures/01_-_English/02_-_Month_wise/05_-_May/06/SB_1-08-44_LA_1973-05-06_Approaching_All-Good_Absolute.mp3</t>
  </si>
  <si>
    <t>SP_SB_1-08-45_Los_Angeles_1973-05-07_We_Can_Purchase_Krishna_by_Love.mp3</t>
  </si>
  <si>
    <t>https://audio.iskcondesiretree.com/01_-_Srila_Prabhupada/01_-_Lectures/01_-_English/01_-_Topic_wise/Srimad_Bhagavatam/Canto-01/SP_SB_1-08-45_Los_Angeles_1973-05-07_We_Can_Purchase_Krishna_by_Love.mp3</t>
  </si>
  <si>
    <t>SB_1-08-45_LA_1973-05-07_We_Can_Purchase_Krishna_by_Love.mp3</t>
  </si>
  <si>
    <t>https://audio.iskcondesiretree.com/01_-_Srila_Prabhupada/01_-_Lectures/01_-_English/02_-_Month_wise/05_-_May/07/SB_1-08-45_LA_1973-05-07_We_Can_Purchase_Krishna_by_Love.mp3</t>
  </si>
  <si>
    <t>SP_SB_1-08-46_Los_Angeles_1973-05-08_The_Ksatriya_Spirit.mp3</t>
  </si>
  <si>
    <t>https://audio.iskcondesiretree.com/01_-_Srila_Prabhupada/01_-_Lectures/01_-_English/01_-_Topic_wise/Srimad_Bhagavatam/Canto-01/SP_SB_1-08-46_Los_Angeles_1973-05-08_The_Ksatriya_Spirit.mp3</t>
  </si>
  <si>
    <t>SB_1-08-46_LA_1973-05-08_The_Ksatriya_Spirit.mp3</t>
  </si>
  <si>
    <t>https://audio.iskcondesiretree.com/01_-_Srila_Prabhupada/01_-_Lectures/01_-_English/02_-_Month_wise/05_-_May/08/SB_1-08-46_LA_1973-05-08_The_Ksatriya_Spirit.mp3</t>
  </si>
  <si>
    <t>SP_SB_1-08-48_Los_Angeles_1973-05-10_This_Body_Belongs_to_Others.mp3</t>
  </si>
  <si>
    <t>https://audio.iskcondesiretree.com/01_-_Srila_Prabhupada/01_-_Lectures/01_-_English/01_-_Topic_wise/Srimad_Bhagavatam/Canto-01/SP_SB_1-08-48_Los_Angeles_1973-05-10_This_Body_Belongs_to_Others.mp3</t>
  </si>
  <si>
    <t>SB_1-08-48_LA_1973-05-10_This_Body_Belongs_to_Others.mp3</t>
  </si>
  <si>
    <t>https://audio.iskcondesiretree.com/01_-_Srila_Prabhupada/01_-_Lectures/01_-_English/02_-_Month_wise/05_-_May/10/SB_1-08-48_LA_1973-05-10_This_Body_Belongs_to_Others.mp3</t>
  </si>
  <si>
    <t>SP_SB_1-08-50_Los_Angeles_1973-05-12_When_to_Be_Nonviolent_-_Violent.mp3</t>
  </si>
  <si>
    <t>https://audio.iskcondesiretree.com/01_-_Srila_Prabhupada/01_-_Lectures/01_-_English/01_-_Topic_wise/Srimad_Bhagavatam/Canto-01/SP_SB_1-08-50_Los_Angeles_1973-05-12_When_to_Be_Nonviolent_-_Violent.mp3</t>
  </si>
  <si>
    <t>SB_1-08-50_LA_1973-05-12_When_to_Be_Nonviolent_Violent.mp3</t>
  </si>
  <si>
    <t>https://audio.iskcondesiretree.com/01_-_Srila_Prabhupada/01_-_Lectures/01_-_English/02_-_Month_wise/05_-_May/12/SB_1-08-50_LA_1973-05-12_When_to_Be_Nonviolent_Violent.mp3</t>
  </si>
  <si>
    <t>SP_Morning_Walk_-_Los_Angeles_1973-05-13_Evolution_Devolution_and_Elevation.mp3</t>
  </si>
  <si>
    <t>https://audio.iskcondesiretree.com/01_-_Srila_Prabhupada/01_-_Lectures/01_-_English/01_-_Topic_wise/Morning_Walk/SP_Morning_Walk_-_Los_Angeles_1973-05-13_Evolution_Devolution_and_Elevation.mp3</t>
  </si>
  <si>
    <t>SP_Morning_Walk_-_Los_Angeles_1973-05-13_Sudras_Hear_from_Scientists.mp3</t>
  </si>
  <si>
    <t>https://audio.iskcondesiretree.com/01_-_Srila_Prabhupada/01_-_Lectures/01_-_English/01_-_Topic_wise/Morning_Walk/SP_Morning_Walk_-_Los_Angeles_1973-05-13_Sudras_Hear_from_Scientists.mp3</t>
  </si>
  <si>
    <t>SP_SB_1-08-51_Los_Angeles_1973-05-13_Responsibilities_of_Fathers--etc.mp3</t>
  </si>
  <si>
    <t>https://audio.iskcondesiretree.com/01_-_Srila_Prabhupada/01_-_Lectures/01_-_English/01_-_Topic_wise/Srimad_Bhagavatam/Canto-01/SP_SB_1-08-51_Los_Angeles_1973-05-13_Responsibilities_of_Fathers--etc.mp3</t>
  </si>
  <si>
    <t>MW_LA_1973-05-13_Evolution_Devolution_and_Elevation.mp3</t>
  </si>
  <si>
    <t>https://audio.iskcondesiretree.com/01_-_Srila_Prabhupada/01_-_Lectures/01_-_English/02_-_Month_wise/05_-_May/13/MW_LA_1973-05-13_Evolution_Devolution_and_Elevation.mp3</t>
  </si>
  <si>
    <t>MW_LA_1973-05-13_Sudras_Hear_from_Scientists.mp3</t>
  </si>
  <si>
    <t>https://audio.iskcondesiretree.com/01_-_Srila_Prabhupada/01_-_Lectures/01_-_English/02_-_Month_wise/05_-_May/13/MW_LA_1973-05-13_Sudras_Hear_from_Scientists.mp3</t>
  </si>
  <si>
    <t>SB_1-08-51_LA_1973-05-13_Responsibilities_of_Fathers_etc.mp3</t>
  </si>
  <si>
    <t>https://audio.iskcondesiretree.com/01_-_Srila_Prabhupada/01_-_Lectures/01_-_English/02_-_Month_wise/05_-_May/13/SB_1-08-51_LA_1973-05-13_Responsibilities_of_Fathers_etc.mp3</t>
  </si>
  <si>
    <t>SP_SB_1-08-52_Los_Angeles_1973-05-14_Slaughterhouse_Victims_Were--etc.mp3</t>
  </si>
  <si>
    <t>https://audio.iskcondesiretree.com/01_-_Srila_Prabhupada/01_-_Lectures/01_-_English/01_-_Topic_wise/Srimad_Bhagavatam/Canto-01/SP_SB_1-08-52_Los_Angeles_1973-05-14_Slaughterhouse_Victims_Were--etc.mp3</t>
  </si>
  <si>
    <t>SB_1-08-52_LA_1973-05-14_Slaughterhouse_Victims_Were_etc.mp3</t>
  </si>
  <si>
    <t>https://audio.iskcondesiretree.com/01_-_Srila_Prabhupada/01_-_Lectures/01_-_English/02_-_Month_wise/05_-_May/14/SB_1-08-52_LA_1973-05-14_Slaughterhouse_Victims_Were_etc.mp3</t>
  </si>
  <si>
    <t>SP_Morning_Walk_-_Los_Angeles_1973-05-15_Science_vs._Veda_vs._Religion.mp3</t>
  </si>
  <si>
    <t>https://audio.iskcondesiretree.com/01_-_Srila_Prabhupada/01_-_Lectures/01_-_English/01_-_Topic_wise/Morning_Walk/SP_Morning_Walk_-_Los_Angeles_1973-05-15_Science_vs._Veda_vs._Religion.mp3</t>
  </si>
  <si>
    <t>SP_SB_1-09-01_Los_Angeles_1973-05-15_Equality-How.mp3</t>
  </si>
  <si>
    <t>https://audio.iskcondesiretree.com/01_-_Srila_Prabhupada/01_-_Lectures/01_-_English/01_-_Topic_wise/Srimad_Bhagavatam/Canto-01/SP_SB_1-09-01_Los_Angeles_1973-05-15_Equality-How.mp3</t>
  </si>
  <si>
    <t>MW_LA_1973-05-15_Science_Vs_Veda_Vs_Religion.mp3</t>
  </si>
  <si>
    <t>https://audio.iskcondesiretree.com/01_-_Srila_Prabhupada/01_-_Lectures/01_-_English/02_-_Month_wise/05_-_May/15/MW_LA_1973-05-15_Science_Vs_Veda_Vs_Religion.mp3</t>
  </si>
  <si>
    <t>SB_1-09-01_LA_1973-05-15_Equality-How.mp3</t>
  </si>
  <si>
    <t>https://audio.iskcondesiretree.com/01_-_Srila_Prabhupada/01_-_Lectures/01_-_English/02_-_Month_wise/05_-_May/15/SB_1-09-01_LA_1973-05-15_Equality-How.mp3</t>
  </si>
  <si>
    <t>SP_SB_1-09-02_Los_Angeles_1973-05-16_The_Opulence_of_Krsna_Consciousness.mp3</t>
  </si>
  <si>
    <t>https://audio.iskcondesiretree.com/01_-_Srila_Prabhupada/01_-_Lectures/01_-_English/01_-_Topic_wise/Srimad_Bhagavatam/Canto-01/SP_SB_1-09-02_Los_Angeles_1973-05-16_The_Opulence_of_Krsna_Consciousness.mp3</t>
  </si>
  <si>
    <t>SB_1-09-02_LA_1973-05-16_The_Opulence_of_Krsna_Consciousness.mp3</t>
  </si>
  <si>
    <t>https://audio.iskcondesiretree.com/01_-_Srila_Prabhupada/01_-_Lectures/01_-_English/02_-_Month_wise/05_-_May/16/SB_1-09-02_LA_1973-05-16_The_Opulence_of_Krsna_Consciousness.mp3</t>
  </si>
  <si>
    <t>SP_Morning_Walk_-_Los_Angeles_1973-05-17_Taking_the_Mystery_Out_of_Mystic_Power.mp3</t>
  </si>
  <si>
    <t>https://audio.iskcondesiretree.com/01_-_Srila_Prabhupada/01_-_Lectures/01_-_English/01_-_Topic_wise/Morning_Walk/SP_Morning_Walk_-_Los_Angeles_1973-05-17_Taking_the_Mystery_Out_of_Mystic_Power.mp3</t>
  </si>
  <si>
    <t>SP_SB_1-09-03_Los_Angeles_1973-05-17_Qualifications_of_Bhakta_and_Bhagavan.mp3</t>
  </si>
  <si>
    <t>https://audio.iskcondesiretree.com/01_-_Srila_Prabhupada/01_-_Lectures/01_-_English/01_-_Topic_wise/Srimad_Bhagavatam/Canto-01/SP_SB_1-09-03_Los_Angeles_1973-05-17_Qualifications_of_Bhakta_and_Bhagavan.mp3</t>
  </si>
  <si>
    <t>MW_LA_1973-05-17_Taking_the_Mystery_Out_of_Mystic_Power.mp3</t>
  </si>
  <si>
    <t>https://audio.iskcondesiretree.com/01_-_Srila_Prabhupada/01_-_Lectures/01_-_English/02_-_Month_wise/05_-_May/17/MW_LA_1973-05-17_Taking_the_Mystery_Out_of_Mystic_Power.mp3</t>
  </si>
  <si>
    <t>SB_1-09-03_LA_1973-05-17_Qualifications_of_Bhakta_and_Bhagavan.mp3</t>
  </si>
  <si>
    <t>https://audio.iskcondesiretree.com/01_-_Srila_Prabhupada/01_-_Lectures/01_-_English/02_-_Month_wise/05_-_May/17/SB_1-09-03_LA_1973-05-17_Qualifications_of_Bhakta_and_Bhagavan.mp3</t>
  </si>
  <si>
    <t>SP_Lecture_Dallas_1973-05-19_Why_We_Can%27t_Forget_About_God.mp3</t>
  </si>
  <si>
    <t>https://audio.iskcondesiretree.com/01_-_Srila_Prabhupada/01_-_Lectures/01_-_English/01_-_Topic_wise/Various/SP_Lecture_Dallas_1973-05-19_Why_We_Can%27t_Forget_About_God.mp3</t>
  </si>
  <si>
    <t>Lect_DAL_1973-05-19_Why_We_Can%27t_Forget_About_God.mp3</t>
  </si>
  <si>
    <t>https://audio.iskcondesiretree.com/01_-_Srila_Prabhupada/01_-_Lectures/01_-_English/02_-_Month_wise/05_-_May/19/Lect_DAL_1973-05-19_Why_We_Can%27t_Forget_About_God.mp3</t>
  </si>
  <si>
    <t>Canto-03</t>
  </si>
  <si>
    <t>SP_SB_3-01-10_Dallas_1973-05-21_Sage_Advice_For_Human_Society.mp3</t>
  </si>
  <si>
    <t>https://audio.iskcondesiretree.com/01_-_Srila_Prabhupada/01_-_Lectures/01_-_English/01_-_Topic_wise/Srimad_Bhagavatam/Canto-03/SP_SB_3-01-10_Dallas_1973-05-21_Sage_Advice_For_Human_Society.mp3</t>
  </si>
  <si>
    <t>SB_3-01-10_DAL_1973-05-21_Sage_Advice_For_Human_Society.mp3</t>
  </si>
  <si>
    <t>https://audio.iskcondesiretree.com/01_-_Srila_Prabhupada/01_-_Lectures/01_-_English/02_-_Month_wise/05_-_May/21/SB_3-01-10_DAL_1973-05-21_Sage_Advice_For_Human_Society.mp3</t>
  </si>
  <si>
    <t>SP_SB_1-09-40_New_York_1973-05-22_We_Alone_Teach_%27You%27re_Not_This_Body%27.mp3</t>
  </si>
  <si>
    <t>https://audio.iskcondesiretree.com/01_-_Srila_Prabhupada/01_-_Lectures/01_-_English/01_-_Topic_wise/Srimad_Bhagavatam/Canto-01/SP_SB_1-09-40_New_York_1973-05-22_We_Alone_Teach_%27You%27re_Not_This_Body%27.mp3</t>
  </si>
  <si>
    <t>SB_1-09-40_NY_1973-05-22_We_Alone_Teach_You%27re_Not_This_Body.mp3</t>
  </si>
  <si>
    <t>https://audio.iskcondesiretree.com/01_-_Srila_Prabhupada/01_-_Lectures/01_-_English/02_-_Month_wise/05_-_May/22/SB_1-09-40_NY_1973-05-22_We_Alone_Teach_You%27re_Not_This_Body.mp3</t>
  </si>
  <si>
    <t>SP_SB_1-09-48_Mayapur_1973-06-14_Gandhari-Chaste_and_Faithful.mp3</t>
  </si>
  <si>
    <t>https://audio.iskcondesiretree.com/01_-_Srila_Prabhupada/01_-_Lectures/01_-_English/01_-_Topic_wise/Srimad_Bhagavatam/Canto-01/SP_SB_1-09-48_Mayapur_1973-06-14_Gandhari-Chaste_and_Faithful.mp3</t>
  </si>
  <si>
    <t>SB_1-09-48_MAY_1973-06-14_Gandhari-Chaste_and_Faithful.mp3</t>
  </si>
  <si>
    <t>https://audio.iskcondesiretree.com/01_-_Srila_Prabhupada/01_-_Lectures/01_-_English/02_-_Month_wise/06_-_June/14/SB_1-09-48_MAY_1973-06-14_Gandhari-Chaste_and_Faithful.mp3</t>
  </si>
  <si>
    <t>SP_SB_1-09-49_Mayapur_1973-06-15_Ruling_by_Religious_Principles.mp3</t>
  </si>
  <si>
    <t>https://audio.iskcondesiretree.com/01_-_Srila_Prabhupada/01_-_Lectures/01_-_English/01_-_Topic_wise/Srimad_Bhagavatam/Canto-01/SP_SB_1-09-49_Mayapur_1973-06-15_Ruling_by_Religious_Principles.mp3</t>
  </si>
  <si>
    <t>SB_1-09-49_MAY_1973-06-15_Ruling_by_Religious_Principles.mp3</t>
  </si>
  <si>
    <t>https://audio.iskcondesiretree.com/01_-_Srila_Prabhupada/01_-_Lectures/01_-_English/02_-_Month_wise/06_-_June/15/SB_1-09-49_MAY_1973-06-15_Ruling_by_Religious_Principles.mp3</t>
  </si>
  <si>
    <t>SP_SB_1-10-01_Mayapur_1973-06-16_Yudhisthira-Perfect_Surrender.mp3</t>
  </si>
  <si>
    <t>https://audio.iskcondesiretree.com/01_-_Srila_Prabhupada/01_-_Lectures/01_-_English/01_-_Topic_wise/Srimad_Bhagavatam/Canto-01/SP_SB_1-10-01_Mayapur_1973-06-16_Yudhisthira-Perfect_Surrender.mp3</t>
  </si>
  <si>
    <t>SB_1-10-01_MAY_1973-06-16_Yudhisthira-Perfect_Surrender.mp3</t>
  </si>
  <si>
    <t>https://audio.iskcondesiretree.com/01_-_Srila_Prabhupada/01_-_Lectures/01_-_English/02_-_Month_wise/06_-_June/16/SB_1-10-01_MAY_1973-06-16_Yudhisthira-Perfect_Surrender.mp3</t>
  </si>
  <si>
    <t>SP_SB_1-10-02_Mayapur_1973-06-17_Seeing_That_Krishna_Is_Satisfied.mp3</t>
  </si>
  <si>
    <t>https://audio.iskcondesiretree.com/01_-_Srila_Prabhupada/01_-_Lectures/01_-_English/01_-_Topic_wise/Srimad_Bhagavatam/Canto-01/SP_SB_1-10-02_Mayapur_1973-06-17_Seeing_That_Krishna_Is_Satisfied.mp3</t>
  </si>
  <si>
    <t>SB_1-10-02_MAY_1973-06-17_Seeing_That_Krishna_Is_Satisfied.mp3</t>
  </si>
  <si>
    <t>https://audio.iskcondesiretree.com/01_-_Srila_Prabhupada/01_-_Lectures/01_-_English/02_-_Month_wise/06_-_June/17/SB_1-10-02_MAY_1973-06-17_Seeing_That_Krishna_Is_Satisfied.mp3</t>
  </si>
  <si>
    <t>SP_SB_1-10-03_Mayapur_1973-06-18_God-Conscious_Monarchy.mp3</t>
  </si>
  <si>
    <t>https://audio.iskcondesiretree.com/01_-_Srila_Prabhupada/01_-_Lectures/01_-_English/01_-_Topic_wise/Srimad_Bhagavatam/Canto-01/SP_SB_1-10-03_Mayapur_1973-06-18_God-Conscious_Monarchy.mp3</t>
  </si>
  <si>
    <t>SB_1-10-03_MAY_1973-06-18_God-Conscious_Monarchy.mp3</t>
  </si>
  <si>
    <t>https://audio.iskcondesiretree.com/01_-_Srila_Prabhupada/01_-_Lectures/01_-_English/02_-_Month_wise/06_-_June/18/SB_1-10-03_MAY_1973-06-18_God-Conscious_Monarchy.mp3</t>
  </si>
  <si>
    <t>SP_SB_1-10-04_Mayapur_1973-06-19_When_People_Become_Demons.mp3</t>
  </si>
  <si>
    <t>https://audio.iskcondesiretree.com/01_-_Srila_Prabhupada/01_-_Lectures/01_-_English/01_-_Topic_wise/Srimad_Bhagavatam/Canto-01/SP_SB_1-10-04_Mayapur_1973-06-19_When_People_Become_Demons.mp3</t>
  </si>
  <si>
    <t>SB_1-10-04_MAY_1973-06-19_When_People_Become_Demons.mp3</t>
  </si>
  <si>
    <t>https://audio.iskcondesiretree.com/01_-_Srila_Prabhupada/01_-_Lectures/01_-_English/02_-_Month_wise/06_-_June/19/SB_1-10-04_MAY_1973-06-19_When_People_Become_Demons.mp3</t>
  </si>
  <si>
    <t>SP_SB_1-10-05_Mayapur_1973-06-20_Comforts_for_the_Body_and_Soul.mp3</t>
  </si>
  <si>
    <t>https://audio.iskcondesiretree.com/01_-_Srila_Prabhupada/01_-_Lectures/01_-_English/01_-_Topic_wise/Srimad_Bhagavatam/Canto-01/SP_SB_1-10-05_Mayapur_1973-06-20_Comforts_for_the_Body_and_Soul.mp3</t>
  </si>
  <si>
    <t>SB_1-10-05_MAY_1973-06-20_Comforts_for_the_Body_and_Soul.mp3</t>
  </si>
  <si>
    <t>https://audio.iskcondesiretree.com/01_-_Srila_Prabhupada/01_-_Lectures/01_-_English/02_-_Month_wise/06_-_June/20/SB_1-10-05_MAY_1973-06-20_Comforts_for_the_Body_and_Soul.mp3</t>
  </si>
  <si>
    <t>SP_SB_1-10-06_Mayapur_1973-06-21_Peaceful_People_in_Kingdom.mp3</t>
  </si>
  <si>
    <t>https://audio.iskcondesiretree.com/01_-_Srila_Prabhupada/01_-_Lectures/01_-_English/01_-_Topic_wise/Srimad_Bhagavatam/Canto-01/SP_SB_1-10-06_Mayapur_1973-06-21_Peaceful_People_in_Kingdom.mp3</t>
  </si>
  <si>
    <t>SB_1-10-06_MAY_1973-06-21_Peaceful_People_in_Kingdom.mp3</t>
  </si>
  <si>
    <t>https://audio.iskcondesiretree.com/01_-_Srila_Prabhupada/01_-_Lectures/01_-_English/02_-_Month_wise/06_-_June/21/SB_1-10-06_MAY_1973-06-21_Peaceful_People_in_Kingdom.mp3</t>
  </si>
  <si>
    <t>SP_SB_1-10-07_Mayapur_1973-06-22_Independence-More_Dependence.mp3</t>
  </si>
  <si>
    <t>https://audio.iskcondesiretree.com/01_-_Srila_Prabhupada/01_-_Lectures/01_-_English/01_-_Topic_wise/Srimad_Bhagavatam/Canto-01/SP_SB_1-10-07_Mayapur_1973-06-22_Independence-More_Dependence.mp3</t>
  </si>
  <si>
    <t>SB_1-10-07_MAY_1973-06-22_Independence-More_Dependence.mp3</t>
  </si>
  <si>
    <t>https://audio.iskcondesiretree.com/01_-_Srila_Prabhupada/01_-_Lectures/01_-_English/02_-_Month_wise/06_-_June/22/SB_1-10-07_MAY_1973-06-22_Independence-More_Dependence.mp3</t>
  </si>
  <si>
    <t>SP_SB_1-10-11_Mayapur_1973-06-25_Satsanga...Asatsanga.mp3</t>
  </si>
  <si>
    <t>https://audio.iskcondesiretree.com/01_-_Srila_Prabhupada/01_-_Lectures/01_-_English/01_-_Topic_wise/Srimad_Bhagavatam/Canto-01/SP_SB_1-10-11_Mayapur_1973-06-25_Satsanga...Asatsanga.mp3</t>
  </si>
  <si>
    <t>SB_1-10-11_MAY_1973-06-25_Satsanga_Asatsanga.mp3</t>
  </si>
  <si>
    <t>https://audio.iskcondesiretree.com/01_-_Srila_Prabhupada/01_-_Lectures/01_-_English/02_-_Month_wise/06_-_June/25/SB_1-10-11_MAY_1973-06-25_Satsanga_Asatsanga.mp3</t>
  </si>
  <si>
    <t>SP_SB_1-10-13_Mayapur_1973-06-26_Associating_with_Krishna.mp3</t>
  </si>
  <si>
    <t>https://audio.iskcondesiretree.com/01_-_Srila_Prabhupada/01_-_Lectures/01_-_English/01_-_Topic_wise/Srimad_Bhagavatam/Canto-01/SP_SB_1-10-13_Mayapur_1973-06-26_Associating_with_Krishna.mp3</t>
  </si>
  <si>
    <t>SB_1-10-13_MAY_1973-06-26_Associating_with_Krishna.mp3</t>
  </si>
  <si>
    <t>https://audio.iskcondesiretree.com/01_-_Srila_Prabhupada/01_-_Lectures/01_-_English/02_-_Month_wise/06_-_June/26/SB_1-10-13_MAY_1973-06-26_Associating_with_Krishna.mp3</t>
  </si>
  <si>
    <t>SP_SB_1-10-14_Mayapur_1973-06-27_Truly_Selfless_Love.mp3</t>
  </si>
  <si>
    <t>https://audio.iskcondesiretree.com/01_-_Srila_Prabhupada/01_-_Lectures/01_-_English/01_-_Topic_wise/Srimad_Bhagavatam/Canto-01/SP_SB_1-10-14_Mayapur_1973-06-27_Truly_Selfless_Love.mp3</t>
  </si>
  <si>
    <t>SB_1-10-14_MAY_1973-06-27_Truly_Selfless_Love.mp3</t>
  </si>
  <si>
    <t>https://audio.iskcondesiretree.com/01_-_Srila_Prabhupada/01_-_Lectures/01_-_English/02_-_Month_wise/06_-_June/27/SB_1-10-14_MAY_1973-06-27_Truly_Selfless_Love.mp3</t>
  </si>
  <si>
    <t>SP_BG_09-10_Calcutta_1973-06-29_Dead_Heads_and_Supreme_Life.mp3</t>
  </si>
  <si>
    <t>https://audio.iskcondesiretree.com/01_-_Srila_Prabhupada/01_-_Lectures/01_-_English/01_-_Topic_wise/Bhagavad_Gita/Chapter-09/SP_BG_09-10_Calcutta_1973-06-29_Dead_Heads_and_Supreme_Life.mp3</t>
  </si>
  <si>
    <t>Bg_09-10_CAL_1973-06-29_Dead_Heads_and_Supreme_Life.mp3</t>
  </si>
  <si>
    <t>https://audio.iskcondesiretree.com/01_-_Srila_Prabhupada/01_-_Lectures/01_-_English/02_-_Month_wise/06_-_June/29/Bg_09-10_CAL_1973-06-29_Dead_Heads_and_Supreme_Life.mp3</t>
  </si>
  <si>
    <t>SP_BG_09-11_Calcutta_1973-06-30_If_You_Want_to_Remain_Mudha....mp3</t>
  </si>
  <si>
    <t>https://audio.iskcondesiretree.com/01_-_Srila_Prabhupada/01_-_Lectures/01_-_English/01_-_Topic_wise/Bhagavad_Gita/Chapter-09/SP_BG_09-11_Calcutta_1973-06-30_If_You_Want_to_Remain_Mudha....mp3</t>
  </si>
  <si>
    <t>Bg_09-11_CAL_1973-06-30_If_You_Want_to_Remain_Mudha.mp3</t>
  </si>
  <si>
    <t>https://audio.iskcondesiretree.com/01_-_Srila_Prabhupada/01_-_Lectures/01_-_English/02_-_Month_wise/06_-_June/30/Bg_09-11_CAL_1973-06-30_If_You_Want_to_Remain_Mudha.mp3</t>
  </si>
  <si>
    <t>SP_Arrival_London_1973-07-07_Bhakti_Science_Is_Very_Simple.mp3</t>
  </si>
  <si>
    <t>https://audio.iskcondesiretree.com/01_-_Srila_Prabhupada/01_-_Lectures/01_-_English/01_-_Topic_wise/Arrival_Address/SP_Arrival_London_1973-07-07_Bhakti_Science_Is_Very_Simple.mp3</t>
  </si>
  <si>
    <t>Chapter-01</t>
  </si>
  <si>
    <t>SP_BG_01-01_London_1973-07-07_The_Material_World_Means--etc.mp3</t>
  </si>
  <si>
    <t>https://audio.iskcondesiretree.com/01_-_Srila_Prabhupada/01_-_Lectures/01_-_English/01_-_Topic_wise/Bhagavad_Gita/Chapter-01/SP_BG_01-01_London_1973-07-07_The_Material_World_Means--etc.mp3</t>
  </si>
  <si>
    <t>Arr_LON_1973-07-07_Bhakti_Science_Is_Very_Simple.mp3</t>
  </si>
  <si>
    <t>https://audio.iskcondesiretree.com/01_-_Srila_Prabhupada/01_-_Lectures/01_-_English/02_-_Month_wise/07_-_July/07/Arr_LON_1973-07-07_Bhakti_Science_Is_Very_Simple.mp3</t>
  </si>
  <si>
    <t>Bg_01-01_LON_1973-07-07_The_Material_World_Means_etc.mp3</t>
  </si>
  <si>
    <t>https://audio.iskcondesiretree.com/01_-_Srila_Prabhupada/01_-_Lectures/01_-_English/02_-_Month_wise/07_-_July/07/Bg_01-01_LON_1973-07-07_The_Material_World_Means_etc.mp3</t>
  </si>
  <si>
    <t>SP_BG_01-02-03_London_1973-07-09_Death_Is_God.mp3</t>
  </si>
  <si>
    <t>https://audio.iskcondesiretree.com/01_-_Srila_Prabhupada/01_-_Lectures/01_-_English/01_-_Topic_wise/Bhagavad_Gita/Chapter-01/SP_BG_01-02-03_London_1973-07-09_Death_Is_God.mp3</t>
  </si>
  <si>
    <t>SP_Room_Conversation_London_1973-07-09_Act_According_to_Krishna%27s_Whims.mp3</t>
  </si>
  <si>
    <t>https://audio.iskcondesiretree.com/01_-_Srila_Prabhupada/01_-_Lectures/01_-_English/01_-_Topic_wise/Room_Conversation/SP_Room_Conversation_London_1973-07-09_Act_According_to_Krishna%27s_Whims.mp3</t>
  </si>
  <si>
    <t>SP_Room_Conversation_London_1973-07-09_Slaughterhouse_School.mp3</t>
  </si>
  <si>
    <t>https://audio.iskcondesiretree.com/01_-_Srila_Prabhupada/01_-_Lectures/01_-_English/01_-_Topic_wise/Room_Conversation/SP_Room_Conversation_London_1973-07-09_Slaughterhouse_School.mp3</t>
  </si>
  <si>
    <t>SP_Room_Conversation_London_1973-07-09_Where_is_the_Education_About_Our_Future_Life.mp3</t>
  </si>
  <si>
    <t>https://audio.iskcondesiretree.com/01_-_Srila_Prabhupada/01_-_Lectures/01_-_English/01_-_Topic_wise/Room_Conversation/SP_Room_Conversation_London_1973-07-09_Where_is_the_Education_About_Our_Future_Life.mp3</t>
  </si>
  <si>
    <t>Bg_01-02_LON_1973-07-09_Death_Is_God.mp3</t>
  </si>
  <si>
    <t>https://audio.iskcondesiretree.com/01_-_Srila_Prabhupada/01_-_Lectures/01_-_English/02_-_Month_wise/07_-_July/09/Bg_01-02_LON_1973-07-09_Death_Is_God.mp3</t>
  </si>
  <si>
    <t>RC_LON_1973-07-09_Act_According_to_Krishna%27s_Whims.mp3</t>
  </si>
  <si>
    <t>https://audio.iskcondesiretree.com/01_-_Srila_Prabhupada/01_-_Lectures/01_-_English/02_-_Month_wise/07_-_July/09/RC_LON_1973-07-09_Act_According_to_Krishna%27s_Whims.mp3</t>
  </si>
  <si>
    <t>RC_LON_1973-07-09_Slaughterhouse_School.mp3</t>
  </si>
  <si>
    <t>https://audio.iskcondesiretree.com/01_-_Srila_Prabhupada/01_-_Lectures/01_-_English/02_-_Month_wise/07_-_July/09/RC_LON_1973-07-09_Slaughterhouse_School.mp3</t>
  </si>
  <si>
    <t>RC_LON_1973-07-09_Where_is_the_Education_About_Our_Future_Life.mp3</t>
  </si>
  <si>
    <t>https://audio.iskcondesiretree.com/01_-_Srila_Prabhupada/01_-_Lectures/01_-_English/02_-_Month_wise/07_-_July/09/RC_LON_1973-07-09_Where_is_the_Education_About_Our_Future_Life.mp3</t>
  </si>
  <si>
    <t>SP_BG_01-04_London_1973-07-10_Everything_Even--etc.mp3</t>
  </si>
  <si>
    <t>https://audio.iskcondesiretree.com/01_-_Srila_Prabhupada/01_-_Lectures/01_-_English/01_-_Topic_wise/Bhagavad_Gita/Chapter-01/SP_BG_01-04_London_1973-07-10_Everything_Even--etc.mp3</t>
  </si>
  <si>
    <t>SP_Room_Conversation_London_1973-07-10_Prof_Waddell_of_Private_Boys--etc.mp3</t>
  </si>
  <si>
    <t>https://audio.iskcondesiretree.com/01_-_Srila_Prabhupada/01_-_Lectures/01_-_English/01_-_Topic_wise/Room_Conversation/SP_Room_Conversation_London_1973-07-10_Prof_Waddell_of_Private_Boys--etc.mp3</t>
  </si>
  <si>
    <t>Bg_01-04_LON_1973-07-10_Everything_Even_etc.mp3</t>
  </si>
  <si>
    <t>https://audio.iskcondesiretree.com/01_-_Srila_Prabhupada/01_-_Lectures/01_-_English/02_-_Month_wise/07_-_July/10/Bg_01-04_LON_1973-07-10_Everything_Even_etc.mp3</t>
  </si>
  <si>
    <t>RC_LON_1973-07-10_Prof._Waddell_of_Private_Boys_etc.mp3</t>
  </si>
  <si>
    <t>https://audio.iskcondesiretree.com/01_-_Srila_Prabhupada/01_-_Lectures/01_-_English/02_-_Month_wise/07_-_July/10/RC_LON_1973-07-10_Prof._Waddell_of_Private_Boys_etc.mp3</t>
  </si>
  <si>
    <t>SP_BG_01-04_-_1973-07-10_London.mp3</t>
  </si>
  <si>
    <t>https://audio.iskcondesiretree.com/01_-_Srila_Prabhupada/01_-_Lectures/04_-_Translation/Portuguese/More/SP_BG_01-04_-_1973-07-10_London.mp3</t>
  </si>
  <si>
    <t>SP_BG_01-07_London_1973-07-11_Vaisnavism_Is_Not_Cowardism.mp3</t>
  </si>
  <si>
    <t>https://audio.iskcondesiretree.com/01_-_Srila_Prabhupada/01_-_Lectures/01_-_English/01_-_Topic_wise/Bhagavad_Gita/Chapter-01/SP_BG_01-07_London_1973-07-11_Vaisnavism_Is_Not_Cowardism.mp3</t>
  </si>
  <si>
    <t>SP_Room_Conversation_London_1973-07-11_Educationists--The_Greatest_Gain.mp3</t>
  </si>
  <si>
    <t>https://audio.iskcondesiretree.com/01_-_Srila_Prabhupada/01_-_Lectures/01_-_English/01_-_Topic_wise/Room_Conversation/SP_Room_Conversation_London_1973-07-11_Educationists--The_Greatest_Gain.mp3</t>
  </si>
  <si>
    <t>SP_Room_Conversation_London_1973-07-11_Guest--Young_Wise_Men_Old_Hypocrites.mp3</t>
  </si>
  <si>
    <t>https://audio.iskcondesiretree.com/01_-_Srila_Prabhupada/01_-_Lectures/01_-_English/01_-_Topic_wise/Room_Conversation/SP_Room_Conversation_London_1973-07-11_Guest--Young_Wise_Men_Old_Hypocrites.mp3</t>
  </si>
  <si>
    <t>SP_Room_Conversation_London_1973-07-11_Guest_%26_Devotees--Yoga_Feeling--etc.mp3</t>
  </si>
  <si>
    <t>https://audio.iskcondesiretree.com/01_-_Srila_Prabhupada/01_-_Lectures/01_-_English/01_-_Topic_wise/Room_Conversation/SP_Room_Conversation_London_1973-07-11_Guest_%26_Devotees--Yoga_Feeling--etc.mp3</t>
  </si>
  <si>
    <t>Bg_01-07_LON_1973-07-11_Vaisnavism_Is_Not_Cowardism.mp3</t>
  </si>
  <si>
    <t>https://audio.iskcondesiretree.com/01_-_Srila_Prabhupada/01_-_Lectures/01_-_English/02_-_Month_wise/07_-_July/11/Bg_01-07_LON_1973-07-11_Vaisnavism_Is_Not_Cowardism.mp3</t>
  </si>
  <si>
    <t>RC_LON_1973-07-11_Educationists-The_Greatest_Gain.mp3</t>
  </si>
  <si>
    <t>https://audio.iskcondesiretree.com/01_-_Srila_Prabhupada/01_-_Lectures/01_-_English/02_-_Month_wise/07_-_July/11/RC_LON_1973-07-11_Educationists-The_Greatest_Gain.mp3</t>
  </si>
  <si>
    <t>RC_LON_1973-07-11_Guest-Young_Wise_Men_Old_Hypocrites.mp3</t>
  </si>
  <si>
    <t>https://audio.iskcondesiretree.com/01_-_Srila_Prabhupada/01_-_Lectures/01_-_English/02_-_Month_wise/07_-_July/11/RC_LON_1973-07-11_Guest-Young_Wise_Men_Old_Hypocrites.mp3</t>
  </si>
  <si>
    <t>RC_LON_1973-07-11_Guest_%26_Devotees-Yoga_Feeling_etc.mp3</t>
  </si>
  <si>
    <t>https://audio.iskcondesiretree.com/01_-_Srila_Prabhupada/01_-_Lectures/01_-_English/02_-_Month_wise/07_-_July/11/RC_LON_1973-07-11_Guest_%26_Devotees-Yoga_Feeling_etc.mp3</t>
  </si>
  <si>
    <t>SP_BG_01-10_London_1973-07-12_The_KC_Movement_Should_Touch--etc.mp3</t>
  </si>
  <si>
    <t>https://audio.iskcondesiretree.com/01_-_Srila_Prabhupada/01_-_Lectures/01_-_English/01_-_Topic_wise/Bhagavad_Gita/Chapter-01/SP_BG_01-10_London_1973-07-12_The_KC_Movement_Should_Touch--etc.mp3</t>
  </si>
  <si>
    <t>SP_Room_Conversation_London_1973-07-12_Schoolmaster--Krishna-More_than_Nirvana.mp3</t>
  </si>
  <si>
    <t>https://audio.iskcondesiretree.com/01_-_Srila_Prabhupada/01_-_Lectures/01_-_English/01_-_Topic_wise/Room_Conversation/SP_Room_Conversation_London_1973-07-12_Schoolmaster--Krishna-More_than_Nirvana.mp3</t>
  </si>
  <si>
    <t>Bg_01-10_LON_1973-07-12_The_KC_Movement_Should_Touch_etc.mp3</t>
  </si>
  <si>
    <t>https://audio.iskcondesiretree.com/01_-_Srila_Prabhupada/01_-_Lectures/01_-_English/02_-_Month_wise/07_-_July/12/Bg_01-10_LON_1973-07-12_The_KC_Movement_Should_Touch_etc.mp3</t>
  </si>
  <si>
    <t>RC_LON_1973-07-12_Schoolmaster-Krishna-More_than_Nirvana.mp3</t>
  </si>
  <si>
    <t>https://audio.iskcondesiretree.com/01_-_Srila_Prabhupada/01_-_Lectures/01_-_English/02_-_Month_wise/07_-_July/12/RC_LON_1973-07-12_Schoolmaster-Krishna-More_than_Nirvana.mp3</t>
  </si>
  <si>
    <t>SP_BG_01-11-12_London_1973-07-13_Wanting_to_Be_Cheated.mp3</t>
  </si>
  <si>
    <t>https://audio.iskcondesiretree.com/01_-_Srila_Prabhupada/01_-_Lectures/01_-_English/01_-_Topic_wise/Bhagavad_Gita/Chapter-01/SP_BG_01-11-12_London_1973-07-13_Wanting_to_Be_Cheated.mp3</t>
  </si>
  <si>
    <t>Bg_01-11_LON_1973-07-13_Wanting_to_Be_Cheated.mp3</t>
  </si>
  <si>
    <t>https://audio.iskcondesiretree.com/01_-_Srila_Prabhupada/01_-_Lectures/01_-_English/02_-_Month_wise/07_-_July/13/Bg_01-11_LON_1973-07-13_Wanting_to_Be_Cheated.mp3</t>
  </si>
  <si>
    <t>SP_BG_01-13_London_1973-07-14_People_Want_to_Be_Cheated.mp3</t>
  </si>
  <si>
    <t>https://audio.iskcondesiretree.com/01_-_Srila_Prabhupada/01_-_Lectures/01_-_English/01_-_Topic_wise/Bhagavad_Gita/Chapter-01/SP_BG_01-13_London_1973-07-14_People_Want_to_Be_Cheated.mp3</t>
  </si>
  <si>
    <t>Bg_01-13_LON_1973-07-14_People_Want_to_Be_Cheated.mp3</t>
  </si>
  <si>
    <t>https://audio.iskcondesiretree.com/01_-_Srila_Prabhupada/01_-_Lectures/01_-_English/02_-_Month_wise/07_-_July/14/Bg_01-13_LON_1973-07-14_People_Want_to_Be_Cheated.mp3</t>
  </si>
  <si>
    <t>SP_BG_01-15_London_1973-07-15_Spiritual--etc.mp3</t>
  </si>
  <si>
    <t>https://audio.iskcondesiretree.com/01_-_Srila_Prabhupada/01_-_Lectures/01_-_English/01_-_Topic_wise/Bhagavad_Gita/Chapter-01/SP_BG_01-15_London_1973-07-15_Spiritual--etc.mp3</t>
  </si>
  <si>
    <t>Bg_01-15_LON_1973-07-15_Spiritual_etc.mp3</t>
  </si>
  <si>
    <t>https://audio.iskcondesiretree.com/01_-_Srila_Prabhupada/01_-_Lectures/01_-_English/02_-_Month_wise/07_-_July/15/Bg_01-15_LON_1973-07-15_Spiritual_etc.mp3</t>
  </si>
  <si>
    <t>SP_BG_01-16-19_London_1973-07-16_Everybody_Wants_to_Be_Served.mp3</t>
  </si>
  <si>
    <t>https://audio.iskcondesiretree.com/01_-_Srila_Prabhupada/01_-_Lectures/01_-_English/01_-_Topic_wise/Bhagavad_Gita/Chapter-01/SP_BG_01-16-19_London_1973-07-16_Everybody_Wants_to_Be_Served.mp3</t>
  </si>
  <si>
    <t>Bg_01-16_LON_1973-07-16_Everybody_Wants_to_Be_Served.mp3</t>
  </si>
  <si>
    <t>https://audio.iskcondesiretree.com/01_-_Srila_Prabhupada/01_-_Lectures/01_-_English/02_-_Month_wise/07_-_July/16/Bg_01-16_LON_1973-07-16_Everybody_Wants_to_Be_Served.mp3</t>
  </si>
  <si>
    <t>SP_BG_01-20_London_1973-07-17_First_Second_and_Third-Class_Rascals.mp3</t>
  </si>
  <si>
    <t>https://audio.iskcondesiretree.com/01_-_Srila_Prabhupada/01_-_Lectures/01_-_English/01_-_Topic_wise/Bhagavad_Gita/Chapter-01/SP_BG_01-20_London_1973-07-17_First_Second_and_Third-Class_Rascals.mp3</t>
  </si>
  <si>
    <t>Bg_01-20_LON_1973-07-17_First_Second_and_Third-Class_Rascals.mp3</t>
  </si>
  <si>
    <t>https://audio.iskcondesiretree.com/01_-_Srila_Prabhupada/01_-_Lectures/01_-_English/02_-_Month_wise/07_-_July/17/Bg_01-20_LON_1973-07-17_First_Second_and_Third-Class_Rascals.mp3</t>
  </si>
  <si>
    <t>SP_BG_01-21_London_1973-07-18_Fallible_%26_Infallible_Religion.mp3</t>
  </si>
  <si>
    <t>https://audio.iskcondesiretree.com/01_-_Srila_Prabhupada/01_-_Lectures/01_-_English/01_-_Topic_wise/Bhagavad_Gita/Chapter-01/SP_BG_01-21_London_1973-07-18_Fallible_%26_Infallible_Religion.mp3</t>
  </si>
  <si>
    <t>Bg_01-21_LON_1973-07-18_Fallible_%26_Infallible_Religion.mp3</t>
  </si>
  <si>
    <t>https://audio.iskcondesiretree.com/01_-_Srila_Prabhupada/01_-_Lectures/01_-_English/02_-_Month_wise/07_-_July/18/Bg_01-21_LON_1973-07-18_Fallible_%26_Infallible_Religion.mp3</t>
  </si>
  <si>
    <t>SP_BG_01-23_London_1973-07-19_How_to_Enjoy_Real_Bliss.mp3</t>
  </si>
  <si>
    <t>https://audio.iskcondesiretree.com/01_-_Srila_Prabhupada/01_-_Lectures/01_-_English/01_-_Topic_wise/Bhagavad_Gita/Chapter-01/SP_BG_01-23_London_1973-07-19_How_to_Enjoy_Real_Bliss.mp3</t>
  </si>
  <si>
    <t>SP_Room_Conversation_London_1973-07-19_Rasas-Variety_of_Liking_Krishna.mp3</t>
  </si>
  <si>
    <t>https://audio.iskcondesiretree.com/01_-_Srila_Prabhupada/01_-_Lectures/01_-_English/01_-_Topic_wise/Room_Conversation/SP_Room_Conversation_London_1973-07-19_Rasas-Variety_of_Liking_Krishna.mp3</t>
  </si>
  <si>
    <t>Bg_01-23_LON_1973-07-19_How_to_Enjoy_Real_Bliss.mp3</t>
  </si>
  <si>
    <t>https://audio.iskcondesiretree.com/01_-_Srila_Prabhupada/01_-_Lectures/01_-_English/02_-_Month_wise/07_-_July/19/Bg_01-23_LON_1973-07-19_How_to_Enjoy_Real_Bliss.mp3</t>
  </si>
  <si>
    <t>RC_LON_1973-07-19_Rasas-Variety_of_Liking_Krishna.mp3</t>
  </si>
  <si>
    <t>https://audio.iskcondesiretree.com/01_-_Srila_Prabhupada/01_-_Lectures/01_-_English/02_-_Month_wise/07_-_July/19/RC_LON_1973-07-19_Rasas-Variety_of_Liking_Krishna.mp3</t>
  </si>
  <si>
    <t>SP_BG_01-24_London_1973-07-20_If_You_Stay_with--etc.mp3</t>
  </si>
  <si>
    <t>https://audio.iskcondesiretree.com/01_-_Srila_Prabhupada/01_-_Lectures/01_-_English/01_-_Topic_wise/Bhagavad_Gita/Chapter-01/SP_BG_01-24_London_1973-07-20_If_You_Stay_with--etc.mp3</t>
  </si>
  <si>
    <t>Bg_01-24_LON_1973-07-20_If_You_Stay_with_etc.mp3</t>
  </si>
  <si>
    <t>https://audio.iskcondesiretree.com/01_-_Srila_Prabhupada/01_-_Lectures/01_-_English/02_-_Month_wise/07_-_July/20/Bg_01-24_LON_1973-07-20_If_You_Stay_with_etc.mp3</t>
  </si>
  <si>
    <t>SP_BG_01-26_London_1973-07-21_Society_Friendship_and_Love.mp3</t>
  </si>
  <si>
    <t>https://audio.iskcondesiretree.com/01_-_Srila_Prabhupada/01_-_Lectures/01_-_English/01_-_Topic_wise/Bhagavad_Gita/Chapter-01/SP_BG_01-26_London_1973-07-21_Society_Friendship_and_Love.mp3</t>
  </si>
  <si>
    <t>SP_Room_Conversation_London_1973-07-21_Alastair_Hardy--It_Is_Also_Vedic_Literature.mp3</t>
  </si>
  <si>
    <t>https://audio.iskcondesiretree.com/01_-_Srila_Prabhupada/01_-_Lectures/01_-_English/01_-_Topic_wise/Room_Conversation/SP_Room_Conversation_London_1973-07-21_Alastair_Hardy--It_Is_Also_Vedic_Literature.mp3</t>
  </si>
  <si>
    <t>Bg_01-26_LON_1973-07-21_Society_Friendship_and_Love.mp3</t>
  </si>
  <si>
    <t>https://audio.iskcondesiretree.com/01_-_Srila_Prabhupada/01_-_Lectures/01_-_English/02_-_Month_wise/07_-_July/21/Bg_01-26_LON_1973-07-21_Society_Friendship_and_Love.mp3</t>
  </si>
  <si>
    <t>RC_LON_1973-07-21_Alastair_Hardy-It_Is_Also_Vedic_Literature.mp3</t>
  </si>
  <si>
    <t>https://audio.iskcondesiretree.com/01_-_Srila_Prabhupada/01_-_Lectures/01_-_English/02_-_Month_wise/07_-_July/21/RC_LON_1973-07-21_Alastair_Hardy-It_Is_Also_Vedic_Literature.mp3</t>
  </si>
  <si>
    <t>SP_BG_01-28_London_1973-07-22_The_Art_of_Preaching.mp3</t>
  </si>
  <si>
    <t>https://audio.iskcondesiretree.com/01_-_Srila_Prabhupada/01_-_Lectures/01_-_English/01_-_Topic_wise/Bhagavad_Gita/Chapter-01/SP_BG_01-28_London_1973-07-22_The_Art_of_Preaching.mp3</t>
  </si>
  <si>
    <t>SP_Room_Conversation_London_1973-07-22_Dr_Arnold_Toynbee--etc.mp3</t>
  </si>
  <si>
    <t>https://audio.iskcondesiretree.com/01_-_Srila_Prabhupada/01_-_Lectures/01_-_English/01_-_Topic_wise/Room_Conversation/SP_Room_Conversation_London_1973-07-22_Dr_Arnold_Toynbee--etc.mp3</t>
  </si>
  <si>
    <t>Bg_01-28_LON_1973-07-22_The_Art_of_Preaching.mp3</t>
  </si>
  <si>
    <t>https://audio.iskcondesiretree.com/01_-_Srila_Prabhupada/01_-_Lectures/01_-_English/02_-_Month_wise/07_-_July/22/Bg_01-28_LON_1973-07-22_The_Art_of_Preaching.mp3</t>
  </si>
  <si>
    <t>RC_LON_1973-07-22_Dr_Arnold_Toynbee_etc.mp3</t>
  </si>
  <si>
    <t>https://audio.iskcondesiretree.com/01_-_Srila_Prabhupada/01_-_Lectures/01_-_English/02_-_Month_wise/07_-_July/22/RC_LON_1973-07-22_Dr_Arnold_Toynbee_etc.mp3</t>
  </si>
  <si>
    <t>SP_BG_01-30_London_1973-07-23_Expanded_Selfishness.mp3</t>
  </si>
  <si>
    <t>https://audio.iskcondesiretree.com/01_-_Srila_Prabhupada/01_-_Lectures/01_-_English/01_-_Topic_wise/Bhagavad_Gita/Chapter-01/SP_BG_01-30_London_1973-07-23_Expanded_Selfishness.mp3</t>
  </si>
  <si>
    <t>SP_Room_Conversation_London_1973-07-23_Lord_Brockway--Our_Service_Bring_Suffering.mp3</t>
  </si>
  <si>
    <t>https://audio.iskcondesiretree.com/01_-_Srila_Prabhupada/01_-_Lectures/01_-_English/01_-_Topic_wise/Room_Conversation/SP_Room_Conversation_London_1973-07-23_Lord_Brockway--Our_Service_Bring_Suffering.mp3</t>
  </si>
  <si>
    <t>SP_SB_1-02-06_London_1973-07-23_East_and_West_Should_Cooperate.mp3</t>
  </si>
  <si>
    <t>https://audio.iskcondesiretree.com/01_-_Srila_Prabhupada/01_-_Lectures/01_-_English/01_-_Topic_wise/Srimad_Bhagavatam/Canto-01/SP_SB_1-02-06_London_1973-07-23_East_and_West_Should_Cooperate.mp3</t>
  </si>
  <si>
    <t>Bg_01-30_LON_1973-07-23_Expanded_Selfishness.mp3</t>
  </si>
  <si>
    <t>https://audio.iskcondesiretree.com/01_-_Srila_Prabhupada/01_-_Lectures/01_-_English/02_-_Month_wise/07_-_July/23/Bg_01-30_LON_1973-07-23_Expanded_Selfishness.mp3</t>
  </si>
  <si>
    <t>RC_LON_1973-07-23_Lord_Brockway-Our_Service_Bring_Suffering.mp3</t>
  </si>
  <si>
    <t>https://audio.iskcondesiretree.com/01_-_Srila_Prabhupada/01_-_Lectures/01_-_English/02_-_Month_wise/07_-_July/23/RC_LON_1973-07-23_Lord_Brockway-Our_Service_Bring_Suffering.mp3</t>
  </si>
  <si>
    <t>SB_1-02-06_LON_1973-07-23_East_and_West_Should_Cooperate.mp3</t>
  </si>
  <si>
    <t>https://audio.iskcondesiretree.com/01_-_Srila_Prabhupada/01_-_Lectures/01_-_English/02_-_Month_wise/07_-_July/23/SB_1-02-06_LON_1973-07-23_East_and_West_Should_Cooperate.mp3</t>
  </si>
  <si>
    <t>SP_BG_01-31_London_1973-07-24_Immediate_vs._Ultimate_Good.mp3</t>
  </si>
  <si>
    <t>https://audio.iskcondesiretree.com/01_-_Srila_Prabhupada/01_-_Lectures/01_-_English/01_-_Topic_wise/Bhagavad_Gita/Chapter-01/SP_BG_01-31_London_1973-07-24_Immediate_vs._Ultimate_Good.mp3</t>
  </si>
  <si>
    <t>SP_Room_Conversation_London_1973-07-24_Reporter--Violent_Nonviolence.mp3</t>
  </si>
  <si>
    <t>https://audio.iskcondesiretree.com/01_-_Srila_Prabhupada/01_-_Lectures/01_-_English/01_-_Topic_wise/Room_Conversation/SP_Room_Conversation_London_1973-07-24_Reporter--Violent_Nonviolence.mp3</t>
  </si>
  <si>
    <t>Bg_01-31_LON_1973-07-24_Immediate_vs_Ultimate_Good.mp3</t>
  </si>
  <si>
    <t>https://audio.iskcondesiretree.com/01_-_Srila_Prabhupada/01_-_Lectures/01_-_English/02_-_Month_wise/07_-_July/24/Bg_01-31_LON_1973-07-24_Immediate_vs_Ultimate_Good.mp3</t>
  </si>
  <si>
    <t>RC_LON_1973-07-24_Reporter-Violent_Nonviolence.mp3</t>
  </si>
  <si>
    <t>https://audio.iskcondesiretree.com/01_-_Srila_Prabhupada/01_-_Lectures/01_-_English/02_-_Month_wise/07_-_July/24/RC_LON_1973-07-24_Reporter-Violent_Nonviolence.mp3</t>
  </si>
  <si>
    <t>SP_BG_01-32_London_1973-07-25_Shortcut_to_Spiritual_Knowledge.mp3</t>
  </si>
  <si>
    <t>https://audio.iskcondesiretree.com/01_-_Srila_Prabhupada/01_-_Lectures/01_-_English/01_-_Topic_wise/Bhagavad_Gita/Chapter-01/SP_BG_01-32_London_1973-07-25_Shortcut_to_Spiritual_Knowledge.mp3</t>
  </si>
  <si>
    <t>SP_Room_Conversation_London_1973-07-25_Devotee%27s_Mother_and_Jesuit_Priest.mp3</t>
  </si>
  <si>
    <t>https://audio.iskcondesiretree.com/01_-_Srila_Prabhupada/01_-_Lectures/01_-_English/01_-_Topic_wise/Room_Conversation/SP_Room_Conversation_London_1973-07-25_Devotee%27s_Mother_and_Jesuit_Priest.mp3</t>
  </si>
  <si>
    <t>Bg_01-32_LON_1973-07-25_Shortcut_to_Spiritual_Knowledge.mp3</t>
  </si>
  <si>
    <t>https://audio.iskcondesiretree.com/01_-_Srila_Prabhupada/01_-_Lectures/01_-_English/02_-_Month_wise/07_-_July/25/Bg_01-32_LON_1973-07-25_Shortcut_to_Spiritual_Knowledge.mp3</t>
  </si>
  <si>
    <t>RC_LON_1973-07-25_Devotee%27s_Mother_and_Jesuit_Priest.mp3</t>
  </si>
  <si>
    <t>https://audio.iskcondesiretree.com/01_-_Srila_Prabhupada/01_-_Lectures/01_-_English/02_-_Month_wise/07_-_July/25/RC_LON_1973-07-25_Devotee%27s_Mother_and_Jesuit_Priest.mp3</t>
  </si>
  <si>
    <t>SP_BG_01-36_London_1973-07-26_Devotee_Has_All_Good_Qualities.mp3</t>
  </si>
  <si>
    <t>https://audio.iskcondesiretree.com/01_-_Srila_Prabhupada/01_-_Lectures/01_-_English/01_-_Topic_wise/Bhagavad_Gita/Chapter-01/SP_BG_01-36_London_1973-07-26_Devotee_Has_All_Good_Qualities.mp3</t>
  </si>
  <si>
    <t>SP_Room_Conversation_London_1973-07-26_Schumacher_%26_Popworth--Purifying--etc.mp3</t>
  </si>
  <si>
    <t>https://audio.iskcondesiretree.com/01_-_Srila_Prabhupada/01_-_Lectures/01_-_English/01_-_Topic_wise/Room_Conversation/SP_Room_Conversation_London_1973-07-26_Schumacher_%26_Popworth--Purifying--etc.mp3</t>
  </si>
  <si>
    <t>Bg_01-36_LON_1973-07-26_Devotee_Has_All_Good_Qualities.mp3</t>
  </si>
  <si>
    <t>https://audio.iskcondesiretree.com/01_-_Srila_Prabhupada/01_-_Lectures/01_-_English/02_-_Month_wise/07_-_July/26/Bg_01-36_LON_1973-07-26_Devotee_Has_All_Good_Qualities.mp3</t>
  </si>
  <si>
    <t>RC_LON_1973-07-26_Schumacher_%26_Popworth_Purifying_etc.mp3</t>
  </si>
  <si>
    <t>https://audio.iskcondesiretree.com/01_-_Srila_Prabhupada/01_-_Lectures/01_-_English/02_-_Month_wise/07_-_July/26/RC_LON_1973-07-26_Schumacher_%26_Popworth_Purifying_etc.mp3</t>
  </si>
  <si>
    <t>SP_BG_01-37-39_London_1973-07-27_The_Way_to_Save_Society.mp3</t>
  </si>
  <si>
    <t>https://audio.iskcondesiretree.com/01_-_Srila_Prabhupada/01_-_Lectures/01_-_English/01_-_Topic_wise/Bhagavad_Gita/Chapter-01/SP_BG_01-37-39_London_1973-07-27_The_Way_to_Save_Society.mp3</t>
  </si>
  <si>
    <t>Bg_01-37_LON_1973-07-27_The_Way_to_Save_Society.mp3</t>
  </si>
  <si>
    <t>https://audio.iskcondesiretree.com/01_-_Srila_Prabhupada/01_-_Lectures/01_-_English/02_-_Month_wise/07_-_July/27/Bg_01-37_LON_1973-07-27_The_Way_to_Save_Society.mp3</t>
  </si>
  <si>
    <t>SP_BG_01-40_London_1973-07-28_The_Psychology_of_Chastity.mp3</t>
  </si>
  <si>
    <t>https://audio.iskcondesiretree.com/01_-_Srila_Prabhupada/01_-_Lectures/01_-_English/01_-_Topic_wise/Bhagavad_Gita/Chapter-01/SP_BG_01-40_London_1973-07-28_The_Psychology_of_Chastity.mp3</t>
  </si>
  <si>
    <t>Bg_01-40_LON_1973-07-28_The_Psychology_of_Chastity.mp3</t>
  </si>
  <si>
    <t>https://audio.iskcondesiretree.com/01_-_Srila_Prabhupada/01_-_Lectures/01_-_English/02_-_Month_wise/07_-_July/28/Bg_01-40_LON_1973-07-28_The_Psychology_of_Chastity.mp3</t>
  </si>
  <si>
    <t>SP_BG_01-41_London_1973-07-29_Relief_from_Today%27s_Hell.mp3</t>
  </si>
  <si>
    <t>https://audio.iskcondesiretree.com/01_-_Srila_Prabhupada/01_-_Lectures/01_-_English/01_-_Topic_wise/Bhagavad_Gita/Chapter-01/SP_BG_01-41_London_1973-07-29_Relief_from_Today%27s_Hell.mp3</t>
  </si>
  <si>
    <t>Bg_01-41_LON_1973-07-29_Relief_from_Today%27s_Hell.mp3</t>
  </si>
  <si>
    <t>https://audio.iskcondesiretree.com/01_-_Srila_Prabhupada/01_-_Lectures/01_-_English/02_-_Month_wise/07_-_July/29/Bg_01-41_LON_1973-07-29_Relief_from_Today%27s_Hell.mp3</t>
  </si>
  <si>
    <t>SP_BG_01-43_London_1973-07-30_There_Is_Only_One_Remedy.mp3</t>
  </si>
  <si>
    <t>https://audio.iskcondesiretree.com/01_-_Srila_Prabhupada/01_-_Lectures/01_-_English/01_-_Topic_wise/Bhagavad_Gita/Chapter-01/SP_BG_01-43_London_1973-07-30_There_Is_Only_One_Remedy.mp3</t>
  </si>
  <si>
    <t>Bg_01-43_LON_1973-07-30_There_Is_Only_One_Remedy.mp3</t>
  </si>
  <si>
    <t>https://audio.iskcondesiretree.com/01_-_Srila_Prabhupada/01_-_Lectures/01_-_English/02_-_Month_wise/07_-_July/30/Bg_01-43_LON_1973-07-30_There_Is_Only_One_Remedy.mp3</t>
  </si>
  <si>
    <t>SP_BG_01-44_London_1973-07-31_Only_Rascal_Says_Krishna_Is_Immoral.mp3</t>
  </si>
  <si>
    <t>https://audio.iskcondesiretree.com/01_-_Srila_Prabhupada/01_-_Lectures/01_-_English/01_-_Topic_wise/Bhagavad_Gita/Chapter-01/SP_BG_01-44_London_1973-07-31_Only_Rascal_Says_Krishna_Is_Immoral.mp3</t>
  </si>
  <si>
    <t>Bg_01-44_LON_1973-07-31_Only_Rascal_Says_Krishna_Is_Immoral.mp3</t>
  </si>
  <si>
    <t>https://audio.iskcondesiretree.com/01_-_Srila_Prabhupada/01_-_Lectures/01_-_English/02_-_Month_wise/07_-_July/31/Bg_01-44_LON_1973-07-31_Only_Rascal_Says_Krishna_Is_Immoral.mp3</t>
  </si>
  <si>
    <t>SP_BG_01-45_London_1973-08-01_Krishna%27s_Order_Is_Final.mp3</t>
  </si>
  <si>
    <t>https://audio.iskcondesiretree.com/01_-_Srila_Prabhupada/01_-_Lectures/01_-_English/01_-_Topic_wise/Bhagavad_Gita/Chapter-01/SP_BG_01-45_London_1973-08-01_Krishna%27s_Order_Is_Final.mp3</t>
  </si>
  <si>
    <t>Bg_01-45_LON_1973-08-01_Krishna%27s_Order_Is_Final.mp3</t>
  </si>
  <si>
    <t>https://audio.iskcondesiretree.com/01_-_Srila_Prabhupada/01_-_Lectures/01_-_English/02_-_Month_wise/08_-_August/01/Bg_01-45_LON_1973-08-01_Krishna%27s_Order_Is_Final.mp3</t>
  </si>
  <si>
    <t>SP_BG_02-02_London_1973-08-03_Becoming_Spiritually_Masterful.mp3</t>
  </si>
  <si>
    <t>https://audio.iskcondesiretree.com/01_-_Srila_Prabhupada/01_-_Lectures/01_-_English/01_-_Topic_wise/Bhagavad_Gita/Chapter-02/SP_BG_02-02_London_1973-08-03_Becoming_Spiritually_Masterful.mp3</t>
  </si>
  <si>
    <t>Bg_02-02_LON_1973-08-03_Becoming_Spiritually_Masterful.mp3</t>
  </si>
  <si>
    <t>https://audio.iskcondesiretree.com/01_-_Srila_Prabhupada/01_-_Lectures/01_-_English/02_-_Month_wise/08_-_August/03/Bg_02-02_LON_1973-08-03_Becoming_Spiritually_Masterful.mp3</t>
  </si>
  <si>
    <t>SP_BG_02-03_London_1973-08-04_Special_Senses_Are_Required.mp3</t>
  </si>
  <si>
    <t>https://audio.iskcondesiretree.com/01_-_Srila_Prabhupada/01_-_Lectures/01_-_English/01_-_Topic_wise/Bhagavad_Gita/Chapter-02/SP_BG_02-03_London_1973-08-04_Special_Senses_Are_Required.mp3</t>
  </si>
  <si>
    <t>Bg_02-03_LON_1973-08-04_Special_Senses_Are_Required.mp3</t>
  </si>
  <si>
    <t>https://audio.iskcondesiretree.com/01_-_Srila_Prabhupada/01_-_Lectures/01_-_English/02_-_Month_wise/08_-_August/04/Bg_02-03_LON_1973-08-04_Special_Senses_Are_Required.mp3</t>
  </si>
  <si>
    <t>SP_BG_02-04-05_London_1973-08-05_When_to_Reject_Guru.mp3</t>
  </si>
  <si>
    <t>https://audio.iskcondesiretree.com/01_-_Srila_Prabhupada/01_-_Lectures/01_-_English/01_-_Topic_wise/Bhagavad_Gita/Chapter-02/SP_BG_02-04-05_London_1973-08-05_When_to_Reject_Guru.mp3</t>
  </si>
  <si>
    <t>Bg_02-04_LON_1973-08-05_When_to_Reject_Guru.mp3</t>
  </si>
  <si>
    <t>https://audio.iskcondesiretree.com/01_-_Srila_Prabhupada/01_-_Lectures/01_-_English/02_-_Month_wise/08_-_August/05/Bg_02-04_LON_1973-08-05_When_to_Reject_Guru.mp3</t>
  </si>
  <si>
    <t>SP_BG_02-06_London_1973-08-06_How_to_Utilize_Fighting_Spirit.mp3</t>
  </si>
  <si>
    <t>https://audio.iskcondesiretree.com/01_-_Srila_Prabhupada/01_-_Lectures/01_-_English/01_-_Topic_wise/Bhagavad_Gita/Chapter-02/SP_BG_02-06_London_1973-08-06_How_to_Utilize_Fighting_Spirit.mp3</t>
  </si>
  <si>
    <t>Bg_02-06_LON_1973-08-06_How_to_Utilize_Fighting_Spirit.mp3</t>
  </si>
  <si>
    <t>https://audio.iskcondesiretree.com/01_-_Srila_Prabhupada/01_-_Lectures/01_-_English/02_-_Month_wise/08_-_August/06/Bg_02-06_LON_1973-08-06_How_to_Utilize_Fighting_Spirit.mp3</t>
  </si>
  <si>
    <t>SP_BG_02-07_London_1973-08-07_You_Must_Approach_Krishna.mp3</t>
  </si>
  <si>
    <t>https://audio.iskcondesiretree.com/01_-_Srila_Prabhupada/01_-_Lectures/01_-_English/01_-_Topic_wise/Bhagavad_Gita/Chapter-02/SP_BG_02-07_London_1973-08-07_You_Must_Approach_Krishna.mp3</t>
  </si>
  <si>
    <t>Bg_02-07_LON_1973-08-07_You_Must_Approach_Krishna.mp3</t>
  </si>
  <si>
    <t>https://audio.iskcondesiretree.com/01_-_Srila_Prabhupada/01_-_Lectures/01_-_English/02_-_Month_wise/08_-_August/07/Bg_02-07_LON_1973-08-07_You_Must_Approach_Krishna.mp3</t>
  </si>
  <si>
    <t>SP_BG_02-08_London_1973-08-08_Surpassing_These_Senses.mp3</t>
  </si>
  <si>
    <t>https://audio.iskcondesiretree.com/01_-_Srila_Prabhupada/01_-_Lectures/01_-_English/01_-_Topic_wise/Bhagavad_Gita/Chapter-02/SP_BG_02-08_London_1973-08-08_Surpassing_These_Senses.mp3</t>
  </si>
  <si>
    <t>Bg_02-08_LON_1973-08-08_Surpassing_These_Senses.mp3</t>
  </si>
  <si>
    <t>https://audio.iskcondesiretree.com/01_-_Srila_Prabhupada/01_-_Lectures/01_-_English/02_-_Month_wise/08_-_August/08/Bg_02-08_LON_1973-08-08_Surpassing_These_Senses.mp3</t>
  </si>
  <si>
    <t>SP_Arrival_Paris_1973-08-09_Understand_This_Movement.mp3</t>
  </si>
  <si>
    <t>https://audio.iskcondesiretree.com/01_-_Srila_Prabhupada/01_-_Lectures/01_-_English/01_-_Topic_wise/Arrival_Address/SP_Arrival_Paris_1973-08-09_Understand_This_Movement.mp3</t>
  </si>
  <si>
    <t>SP_Morning_Walk_-_Paris_1973-08-09_Animal_Killing.mp3</t>
  </si>
  <si>
    <t>https://audio.iskcondesiretree.com/01_-_Srila_Prabhupada/01_-_Lectures/01_-_English/01_-_Topic_wise/Morning_Walk/SP_Morning_Walk_-_Paris_1973-08-09_Animal_Killing.mp3</t>
  </si>
  <si>
    <t>SP_Room_Conversation_Paris_1973-08-09_Priest_Cardinal_Danielou--Thou--etc.mp3</t>
  </si>
  <si>
    <t>https://audio.iskcondesiretree.com/01_-_Srila_Prabhupada/01_-_Lectures/01_-_English/01_-_Topic_wise/Room_Conversation/SP_Room_Conversation_Paris_1973-08-09_Priest_Cardinal_Danielou--Thou--etc.mp3</t>
  </si>
  <si>
    <t>Arr_PAR_1973-08-09_Understand_This_Movement.mp3</t>
  </si>
  <si>
    <t>https://audio.iskcondesiretree.com/01_-_Srila_Prabhupada/01_-_Lectures/01_-_English/02_-_Month_wise/08_-_August/09/Arr_PAR_1973-08-09_Understand_This_Movement.mp3</t>
  </si>
  <si>
    <t>MW_PAR_1973-08-09_Animal_Killing.mp3</t>
  </si>
  <si>
    <t>https://audio.iskcondesiretree.com/01_-_Srila_Prabhupada/01_-_Lectures/01_-_English/02_-_Month_wise/08_-_August/09/MW_PAR_1973-08-09_Animal_Killing.mp3</t>
  </si>
  <si>
    <t>RC_PAR_1973-08-09_Priest_Cardinal_Danielou-Thou_etc.mp3</t>
  </si>
  <si>
    <t>https://audio.iskcondesiretree.com/01_-_Srila_Prabhupada/01_-_Lectures/01_-_English/02_-_Month_wise/08_-_August/09/RC_PAR_1973-08-09_Priest_Cardinal_Danielou-Thou_etc.mp3</t>
  </si>
  <si>
    <t>SP_BG_13-01-02_Paris_1973-08-10_Real_Answers_to_Life%27s_Real_Questions.mp3</t>
  </si>
  <si>
    <t>https://audio.iskcondesiretree.com/01_-_Srila_Prabhupada/01_-_Lectures/01_-_English/01_-_Topic_wise/Bhagavad_Gita/Chapter-13/SP_BG_13-01-02_Paris_1973-08-10_Real_Answers_to_Life%27s_Real_Questions.mp3</t>
  </si>
  <si>
    <t>SP_Room_Conversation_Paris_1973-08-10_Daughter_of_French_Author--Doggish_Knowledge.mp3</t>
  </si>
  <si>
    <t>https://audio.iskcondesiretree.com/01_-_Srila_Prabhupada/01_-_Lectures/01_-_English/01_-_Topic_wise/Room_Conversation/SP_Room_Conversation_Paris_1973-08-10_Daughter_of_French_Author--Doggish_Knowledge.mp3</t>
  </si>
  <si>
    <t>Bg_13-01_PAR_1973-08-10_Real_Answers_to_Life%27s_Real_Questions.mp3</t>
  </si>
  <si>
    <t>https://audio.iskcondesiretree.com/01_-_Srila_Prabhupada/01_-_Lectures/01_-_English/02_-_Month_wise/08_-_August/10/Bg_13-01_PAR_1973-08-10_Real_Answers_to_Life%27s_Real_Questions.mp3</t>
  </si>
  <si>
    <t>RC_PAR_1973-08-10_Daughter_of_French_Author-Doggish_Knowledge.mp3</t>
  </si>
  <si>
    <t>https://audio.iskcondesiretree.com/01_-_Srila_Prabhupada/01_-_Lectures/01_-_English/02_-_Month_wise/08_-_August/10/RC_PAR_1973-08-10_Daughter_of_French_Author-Doggish_Knowledge.mp3</t>
  </si>
  <si>
    <t>SP_BG_13-03_Paris_1973-08-11_Krishna%27s_Definition_of_Knowledge.mp3</t>
  </si>
  <si>
    <t>https://audio.iskcondesiretree.com/01_-_Srila_Prabhupada/01_-_Lectures/01_-_English/01_-_Topic_wise/Bhagavad_Gita/Chapter-13/SP_BG_13-03_Paris_1973-08-11_Krishna%27s_Definition_of_Knowledge.mp3</t>
  </si>
  <si>
    <t>SP_Room_Conversation_Paris_1973-08-11_Our_Freedom-God%27s_Flaw.mp3</t>
  </si>
  <si>
    <t>https://audio.iskcondesiretree.com/01_-_Srila_Prabhupada/01_-_Lectures/01_-_English/01_-_Topic_wise/Room_Conversation/SP_Room_Conversation_Paris_1973-08-11_Our_Freedom-God%27s_Flaw.mp3</t>
  </si>
  <si>
    <t>SP_Room_Conversation_Paris_1973-08-11_UNESCO_Worker--Simply_Wasting_Time--etc.mp3</t>
  </si>
  <si>
    <t>https://audio.iskcondesiretree.com/01_-_Srila_Prabhupada/01_-_Lectures/01_-_English/01_-_Topic_wise/Room_Conversation/SP_Room_Conversation_Paris_1973-08-11_UNESCO_Worker--Simply_Wasting_Time--etc.mp3</t>
  </si>
  <si>
    <t>Bg_13-03_PAR_1973-08-11_Krishna%27s_Definition_of_Knowledge.mp3</t>
  </si>
  <si>
    <t>https://audio.iskcondesiretree.com/01_-_Srila_Prabhupada/01_-_Lectures/01_-_English/02_-_Month_wise/08_-_August/11/Bg_13-03_PAR_1973-08-11_Krishna%27s_Definition_of_Knowledge.mp3</t>
  </si>
  <si>
    <t>RC_PAR_1973-08-11_Our_Freedom-God%27s_Flaw.mp3</t>
  </si>
  <si>
    <t>https://audio.iskcondesiretree.com/01_-_Srila_Prabhupada/01_-_Lectures/01_-_English/02_-_Month_wise/08_-_August/11/RC_PAR_1973-08-11_Our_Freedom-God%27s_Flaw.mp3</t>
  </si>
  <si>
    <t>RC_PAR_1973-08-11_UNESCO_Worker-Simply_Wasting_Time_etc.mp3</t>
  </si>
  <si>
    <t>https://audio.iskcondesiretree.com/01_-_Srila_Prabhupada/01_-_Lectures/01_-_English/02_-_Month_wise/08_-_August/11/RC_PAR_1973-08-11_UNESCO_Worker-Simply_Wasting_Time_etc.mp3</t>
  </si>
  <si>
    <t>SP_BG_13-04_Paris_1973-08-12_Varieties_of_Insanities.mp3</t>
  </si>
  <si>
    <t>https://audio.iskcondesiretree.com/01_-_Srila_Prabhupada/01_-_Lectures/01_-_English/01_-_Topic_wise/Bhagavad_Gita/Chapter-13/SP_BG_13-04_Paris_1973-08-12_Varieties_of_Insanities.mp3</t>
  </si>
  <si>
    <t>SP_Room_Conversation_Paris_1973-08-12_Recalling_a_Life_of_Pure_Devotion.mp3</t>
  </si>
  <si>
    <t>https://audio.iskcondesiretree.com/01_-_Srila_Prabhupada/01_-_Lectures/01_-_English/01_-_Topic_wise/Room_Conversation/SP_Room_Conversation_Paris_1973-08-12_Recalling_a_Life_of_Pure_Devotion.mp3</t>
  </si>
  <si>
    <t>Bg_13-04_PAR_1973-08-12_Varieties_of_Insanities.mp3</t>
  </si>
  <si>
    <t>https://audio.iskcondesiretree.com/01_-_Srila_Prabhupada/01_-_Lectures/01_-_English/02_-_Month_wise/08_-_August/12/Bg_13-04_PAR_1973-08-12_Varieties_of_Insanities.mp3</t>
  </si>
  <si>
    <t>RC_PAR_1973-08-12_Recalling_a_Life_of_Pure_Devotion.mp3</t>
  </si>
  <si>
    <t>https://audio.iskcondesiretree.com/01_-_Srila_Prabhupada/01_-_Lectures/01_-_English/02_-_Month_wise/08_-_August/12/RC_PAR_1973-08-12_Recalling_a_Life_of_Pure_Devotion.mp3</t>
  </si>
  <si>
    <t>SP_BG_13-05_Paris_1973-08-13_Even_the_Lion_Has_to_Struggle.mp3</t>
  </si>
  <si>
    <t>https://audio.iskcondesiretree.com/01_-_Srila_Prabhupada/01_-_Lectures/01_-_English/01_-_Topic_wise/Bhagavad_Gita/Chapter-13/SP_BG_13-05_Paris_1973-08-13_Even_the_Lion_Has_to_Struggle.mp3</t>
  </si>
  <si>
    <t>SP_Room_Conversation_Paris_1973-08-13_About_Guru_Maharaji--What_to_Do--etc.mp3</t>
  </si>
  <si>
    <t>https://audio.iskcondesiretree.com/01_-_Srila_Prabhupada/01_-_Lectures/01_-_English/01_-_Topic_wise/Room_Conversation/SP_Room_Conversation_Paris_1973-08-13_About_Guru_Maharaji--What_to_Do--etc.mp3</t>
  </si>
  <si>
    <t>SP_Room_Conversation_Paris_1973-08-13_French_Nun--First-Class_Mysticism.mp3</t>
  </si>
  <si>
    <t>https://audio.iskcondesiretree.com/01_-_Srila_Prabhupada/01_-_Lectures/01_-_English/01_-_Topic_wise/Room_Conversation/SP_Room_Conversation_Paris_1973-08-13_French_Nun--First-Class_Mysticism.mp3</t>
  </si>
  <si>
    <t>SP_Room_Conversation_Paris_1973-08-13_Rosicrucians--Vague_Bogus_A_Waste_of_Time.mp3</t>
  </si>
  <si>
    <t>https://audio.iskcondesiretree.com/01_-_Srila_Prabhupada/01_-_Lectures/01_-_English/01_-_Topic_wise/Room_Conversation/SP_Room_Conversation_Paris_1973-08-13_Rosicrucians--Vague_Bogus_A_Waste_of_Time.mp3</t>
  </si>
  <si>
    <t>SP_Room_Conversation_Paris_1973-08-13_Sanskrit_Prof--Any_Sane_Man_Will--etc.mp3</t>
  </si>
  <si>
    <t>https://audio.iskcondesiretree.com/01_-_Srila_Prabhupada/01_-_Lectures/01_-_English/01_-_Topic_wise/Room_Conversation/SP_Room_Conversation_Paris_1973-08-13_Sanskrit_Prof--Any_Sane_Man_Will--etc.mp3</t>
  </si>
  <si>
    <t>Bg_13-05_PAR_1973-08-13_Even_the_Lion_Has_to_Struggle.mp3</t>
  </si>
  <si>
    <t>https://audio.iskcondesiretree.com/01_-_Srila_Prabhupada/01_-_Lectures/01_-_English/02_-_Month_wise/08_-_August/13/Bg_13-05_PAR_1973-08-13_Even_the_Lion_Has_to_Struggle.mp3</t>
  </si>
  <si>
    <t>RC_PAR_1973-08-13_About_Guru_Maharaji_What_to_Do_etc.mp3</t>
  </si>
  <si>
    <t>https://audio.iskcondesiretree.com/01_-_Srila_Prabhupada/01_-_Lectures/01_-_English/02_-_Month_wise/08_-_August/13/RC_PAR_1973-08-13_About_Guru_Maharaji_What_to_Do_etc.mp3</t>
  </si>
  <si>
    <t>RC_PAR_1973-08-13_French_Nun_First-Class_Mysticism.mp3</t>
  </si>
  <si>
    <t>https://audio.iskcondesiretree.com/01_-_Srila_Prabhupada/01_-_Lectures/01_-_English/02_-_Month_wise/08_-_August/13/RC_PAR_1973-08-13_French_Nun_First-Class_Mysticism.mp3</t>
  </si>
  <si>
    <t>RC_PAR_1973-08-13_Rosicrucians_Vague_Bogus_A_Waste_of_Time.mp3</t>
  </si>
  <si>
    <t>https://audio.iskcondesiretree.com/01_-_Srila_Prabhupada/01_-_Lectures/01_-_English/02_-_Month_wise/08_-_August/13/RC_PAR_1973-08-13_Rosicrucians_Vague_Bogus_A_Waste_of_Time.mp3</t>
  </si>
  <si>
    <t>RC_PAR_1973-08-13_Sanskrit_Prof_Any_Sane_Man_Will_etc.mp3</t>
  </si>
  <si>
    <t>https://audio.iskcondesiretree.com/01_-_Srila_Prabhupada/01_-_Lectures/01_-_English/02_-_Month_wise/08_-_August/13/RC_PAR_1973-08-13_Sanskrit_Prof_Any_Sane_Man_Will_etc.mp3</t>
  </si>
  <si>
    <t>SP_BG_02-09_London_1973-08-15_Satisfying_the_Senses_and_the_Heart.mp3</t>
  </si>
  <si>
    <t>https://audio.iskcondesiretree.com/01_-_Srila_Prabhupada/01_-_Lectures/01_-_English/01_-_Topic_wise/Bhagavad_Gita/Chapter-02/SP_BG_02-09_London_1973-08-15_Satisfying_the_Senses_and_the_Heart.mp3</t>
  </si>
  <si>
    <t>Bg_02-09_LON_1973-08-15_Satisfying_the_Senses_and_the_Heart.mp3</t>
  </si>
  <si>
    <t>https://audio.iskcondesiretree.com/01_-_Srila_Prabhupada/01_-_Lectures/01_-_English/02_-_Month_wise/08_-_August/15/Bg_02-09_LON_1973-08-15_Satisfying_the_Senses_and_the_Heart.mp3</t>
  </si>
  <si>
    <t>SP_BG_02-10_London_1973-08-16_Arjuna_Playing_the_Role_of_a_Rascal.mp3</t>
  </si>
  <si>
    <t>https://audio.iskcondesiretree.com/01_-_Srila_Prabhupada/01_-_Lectures/01_-_English/01_-_Topic_wise/Bhagavad_Gita/Chapter-02/SP_BG_02-10_London_1973-08-16_Arjuna_Playing_the_Role_of_a_Rascal.mp3</t>
  </si>
  <si>
    <t>Bg_02-10_LON_1973-08-16_Arjuna_Playing_the_Role_of_a_Rascal.mp3</t>
  </si>
  <si>
    <t>https://audio.iskcondesiretree.com/01_-_Srila_Prabhupada/01_-_Lectures/01_-_English/02_-_Month_wise/08_-_August/16/Bg_02-10_LON_1973-08-16_Arjuna_Playing_the_Role_of_a_Rascal.mp3</t>
  </si>
  <si>
    <t>SP_BG_02-11_London_1973-08-17_You%27re_Talking_Like_a_Learned--etc.mp3</t>
  </si>
  <si>
    <t>https://audio.iskcondesiretree.com/01_-_Srila_Prabhupada/01_-_Lectures/01_-_English/01_-_Topic_wise/Bhagavad_Gita/Chapter-02/SP_BG_02-11_London_1973-08-17_You%27re_Talking_Like_a_Learned--etc.mp3</t>
  </si>
  <si>
    <t>Bg_02-11_LON_1973-08-17_You%27re_Talking_Like_a_Learned_etc.mp3</t>
  </si>
  <si>
    <t>https://audio.iskcondesiretree.com/01_-_Srila_Prabhupada/01_-_Lectures/01_-_English/02_-_Month_wise/08_-_August/17/Bg_02-11_LON_1973-08-17_You%27re_Talking_Like_a_Learned_etc.mp3</t>
  </si>
  <si>
    <t>SP_BG_02-12_London_1973-08-18_What_Abortionists_Don%27t_Know.mp3</t>
  </si>
  <si>
    <t>https://audio.iskcondesiretree.com/01_-_Srila_Prabhupada/01_-_Lectures/01_-_English/01_-_Topic_wise/Bhagavad_Gita/Chapter-02/SP_BG_02-12_London_1973-08-18_What_Abortionists_Don%27t_Know.mp3</t>
  </si>
  <si>
    <t>Bg_02-12_LON_1973-08-18_What_Abortionists_Don%27t_Know.mp3</t>
  </si>
  <si>
    <t>https://audio.iskcondesiretree.com/01_-_Srila_Prabhupada/01_-_Lectures/01_-_English/02_-_Month_wise/08_-_August/18/Bg_02-12_LON_1973-08-18_What_Abortionists_Don%27t_Know.mp3</t>
  </si>
  <si>
    <t>SP_BG_02-13_London_1973-08-19_I_Am_Not_This_Cage.mp3</t>
  </si>
  <si>
    <t>https://audio.iskcondesiretree.com/01_-_Srila_Prabhupada/01_-_Lectures/01_-_English/01_-_Topic_wise/Bhagavad_Gita/Chapter-02/SP_BG_02-13_London_1973-08-19_I_Am_Not_This_Cage.mp3</t>
  </si>
  <si>
    <t>Bg_02-13_LON_1973-08-19_I_Am_Not_This_Cage.mp3</t>
  </si>
  <si>
    <t>https://audio.iskcondesiretree.com/01_-_Srila_Prabhupada/01_-_Lectures/01_-_English/02_-_Month_wise/08_-_August/19/Bg_02-13_LON_1973-08-19_I_Am_Not_This_Cage.mp3</t>
  </si>
  <si>
    <t>SP_BG_02-14_London_1973-08-20_The_Skin_Disease.mp3</t>
  </si>
  <si>
    <t>https://audio.iskcondesiretree.com/01_-_Srila_Prabhupada/01_-_Lectures/01_-_English/01_-_Topic_wise/Bhagavad_Gita/Chapter-02/SP_BG_02-14_London_1973-08-20_The_Skin_Disease.mp3</t>
  </si>
  <si>
    <t>Bg_02-14_LON_1973-08-20_The_Skin_Disease.mp3</t>
  </si>
  <si>
    <t>https://audio.iskcondesiretree.com/01_-_Srila_Prabhupada/01_-_Lectures/01_-_English/02_-_Month_wise/08_-_August/20/Bg_02-14_LON_1973-08-20_The_Skin_Disease.mp3</t>
  </si>
  <si>
    <t>SP_BG_02-15_London_1973-08-21_Don%27t_Cheat_Others.mp3</t>
  </si>
  <si>
    <t>https://audio.iskcondesiretree.com/01_-_Srila_Prabhupada/01_-_Lectures/01_-_English/01_-_Topic_wise/Bhagavad_Gita/Chapter-02/SP_BG_02-15_London_1973-08-21_Don%27t_Cheat_Others.mp3</t>
  </si>
  <si>
    <t>SP_Festivals_London_1973-08-21_Deity_Installation--Purpose_of--etc.mp3</t>
  </si>
  <si>
    <t>https://audio.iskcondesiretree.com/01_-_Srila_Prabhupada/01_-_Lectures/01_-_English/01_-_Topic_wise/Festivals/SP_Festivals_London_1973-08-21_Deity_Installation--Purpose_of--etc.mp3</t>
  </si>
  <si>
    <t>SP_Festivals_London_1973-08-21_Deity_Installation--Why_Krishna--etc.mp3</t>
  </si>
  <si>
    <t>https://audio.iskcondesiretree.com/01_-_Srila_Prabhupada/01_-_Lectures/01_-_English/01_-_Topic_wise/Festivals/SP_Festivals_London_1973-08-21_Deity_Installation--Why_Krishna--etc.mp3</t>
  </si>
  <si>
    <t>SP_Festivals_London_1973-08-21_Deity_Installation.mp3</t>
  </si>
  <si>
    <t>https://audio.iskcondesiretree.com/01_-_Srila_Prabhupada/01_-_Lectures/01_-_English/01_-_Topic_wise/Festivals/SP_Festivals_London_1973-08-21_Deity_Installation.mp3</t>
  </si>
  <si>
    <t>SP_Festivals_London_1973-08-21_Janmastami.mp3</t>
  </si>
  <si>
    <t>https://audio.iskcondesiretree.com/01_-_Srila_Prabhupada/01_-_Lectures/01_-_English/01_-_Topic_wise/Festivals/SP_Festivals_London_1973-08-21_Janmastami.mp3</t>
  </si>
  <si>
    <t>Bg_02-15_LON_1973-08-21_Don%27t_Cheat_Others.mp3</t>
  </si>
  <si>
    <t>https://audio.iskcondesiretree.com/01_-_Srila_Prabhupada/01_-_Lectures/01_-_English/02_-_Month_wise/08_-_August/21/Bg_02-15_LON_1973-08-21_Don%27t_Cheat_Others.mp3</t>
  </si>
  <si>
    <t>Fest_LON_1973-08-21_Deity_Installation-Purpose_of_etc.mp3</t>
  </si>
  <si>
    <t>https://audio.iskcondesiretree.com/01_-_Srila_Prabhupada/01_-_Lectures/01_-_English/02_-_Month_wise/08_-_August/21/Fest_LON_1973-08-21_Deity_Installation-Purpose_of_etc.mp3</t>
  </si>
  <si>
    <t>Fest_LON_1973-08-21_Deity_Installation.mp3</t>
  </si>
  <si>
    <t>https://audio.iskcondesiretree.com/01_-_Srila_Prabhupada/01_-_Lectures/01_-_English/02_-_Month_wise/08_-_August/21/Fest_LON_1973-08-21_Deity_Installation.mp3</t>
  </si>
  <si>
    <t>Fest_LON_1973-08-21_Deity_Installation_Why_Krishna_etc.mp3</t>
  </si>
  <si>
    <t>https://audio.iskcondesiretree.com/01_-_Srila_Prabhupada/01_-_Lectures/01_-_English/02_-_Month_wise/08_-_August/21/Fest_LON_1973-08-21_Deity_Installation_Why_Krishna_etc.mp3</t>
  </si>
  <si>
    <t>Fest_LON_1973-08-21_Janmastami.mp3</t>
  </si>
  <si>
    <t>https://audio.iskcondesiretree.com/01_-_Srila_Prabhupada/01_-_Lectures/01_-_English/02_-_Month_wise/08_-_August/21/Fest_LON_1973-08-21_Janmastami.mp3</t>
  </si>
  <si>
    <t>SP_BG_02-16_London_1973-08-22_Nonexistent_and_Existent.mp3</t>
  </si>
  <si>
    <t>https://audio.iskcondesiretree.com/01_-_Srila_Prabhupada/01_-_Lectures/01_-_English/01_-_Topic_wise/Bhagavad_Gita/Chapter-02/SP_BG_02-16_London_1973-08-22_Nonexistent_and_Existent.mp3</t>
  </si>
  <si>
    <t>SP_Festivals_London_1973-08-22_Vyasa-puja--Thanks_to_the_Original_Guru.mp3</t>
  </si>
  <si>
    <t>https://audio.iskcondesiretree.com/01_-_Srila_Prabhupada/01_-_Lectures/01_-_English/01_-_Topic_wise/Festivals/SP_Festivals_London_1973-08-22_Vyasa-puja--Thanks_to_the_Original_Guru.mp3</t>
  </si>
  <si>
    <t>SP_Festivals_London_1973-08-22_Vyasa-puja--What_Is_Guru.mp3</t>
  </si>
  <si>
    <t>https://audio.iskcondesiretree.com/01_-_Srila_Prabhupada/01_-_Lectures/01_-_English/01_-_Topic_wise/Festivals/SP_Festivals_London_1973-08-22_Vyasa-puja--What_Is_Guru.mp3</t>
  </si>
  <si>
    <t>Bg_02-16_LON_1973-08-22_Nonexistent_and_Existent.mp3</t>
  </si>
  <si>
    <t>https://audio.iskcondesiretree.com/01_-_Srila_Prabhupada/01_-_Lectures/01_-_English/02_-_Month_wise/08_-_August/22/Bg_02-16_LON_1973-08-22_Nonexistent_and_Existent.mp3</t>
  </si>
  <si>
    <t>Fest_LON_1973-08-22_Vyasa-puja--Thanks_to_the_Original_Guru.mp3</t>
  </si>
  <si>
    <t>https://audio.iskcondesiretree.com/01_-_Srila_Prabhupada/01_-_Lectures/01_-_English/02_-_Month_wise/08_-_August/22/Fest_LON_1973-08-22_Vyasa-puja--Thanks_to_the_Original_Guru.mp3</t>
  </si>
  <si>
    <t>Fest_LON_1973-08-22_Vyasa-puja--What_Is_Guru.mp3</t>
  </si>
  <si>
    <t>https://audio.iskcondesiretree.com/01_-_Srila_Prabhupada/01_-_Lectures/01_-_English/02_-_Month_wise/08_-_August/22/Fest_LON_1973-08-22_Vyasa-puja--What_Is_Guru.mp3</t>
  </si>
  <si>
    <t>SP_BG_02-17_London_1973-08-23_We_Are_Individuals_Eternally.mp3</t>
  </si>
  <si>
    <t>https://audio.iskcondesiretree.com/01_-_Srila_Prabhupada/01_-_Lectures/01_-_English/01_-_Topic_wise/Bhagavad_Gita/Chapter-02/SP_BG_02-17_London_1973-08-23_We_Are_Individuals_Eternally.mp3</t>
  </si>
  <si>
    <t>SP_Lecture_London_1973-08-23_What_Is_Religion.mp3</t>
  </si>
  <si>
    <t>https://audio.iskcondesiretree.com/01_-_Srila_Prabhupada/01_-_Lectures/01_-_English/01_-_Topic_wise/Various/SP_Lecture_London_1973-08-23_What_Is_Religion.mp3</t>
  </si>
  <si>
    <t>Bg_02-17_LON_1973-08-23_We_Are_Individuals_Eternally.mp3</t>
  </si>
  <si>
    <t>https://audio.iskcondesiretree.com/01_-_Srila_Prabhupada/01_-_Lectures/01_-_English/02_-_Month_wise/08_-_August/23/Bg_02-17_LON_1973-08-23_We_Are_Individuals_Eternally.mp3</t>
  </si>
  <si>
    <t>Lect_LON_1973-08-23_What_Is_Religion.mp3</t>
  </si>
  <si>
    <t>https://audio.iskcondesiretree.com/01_-_Srila_Prabhupada/01_-_Lectures/01_-_English/02_-_Month_wise/08_-_August/23/Lect_LON_1973-08-23_What_Is_Religion.mp3</t>
  </si>
  <si>
    <t>SP_BG_02-18_London_1973-08-24_The_Soul_Will_Not_Be_Killed.mp3</t>
  </si>
  <si>
    <t>https://audio.iskcondesiretree.com/01_-_Srila_Prabhupada/01_-_Lectures/01_-_English/01_-_Topic_wise/Bhagavad_Gita/Chapter-02/SP_BG_02-18_London_1973-08-24_The_Soul_Will_Not_Be_Killed.mp3</t>
  </si>
  <si>
    <t>Bg_02-18_LON_1973-08-24_The_Soul_Will_Not_Be_Killed.mp3</t>
  </si>
  <si>
    <t>https://audio.iskcondesiretree.com/01_-_Srila_Prabhupada/01_-_Lectures/01_-_English/02_-_Month_wise/08_-_August/24/Bg_02-18_LON_1973-08-24_The_Soul_Will_Not_Be_Killed.mp3</t>
  </si>
  <si>
    <t>SP_BG_02-19-20_London_1973-08-25_Dogs_and_Cats_Don%27t_Need_Freud.mp3</t>
  </si>
  <si>
    <t>https://audio.iskcondesiretree.com/01_-_Srila_Prabhupada/01_-_Lectures/01_-_English/01_-_Topic_wise/Bhagavad_Gita/Chapter-02/SP_BG_02-19-20_London_1973-08-25_Dogs_and_Cats_Don%27t_Need_Freud.mp3</t>
  </si>
  <si>
    <t>Bg_02-19_LON_1973-08-25_Dogs_and_Cats_Don%27t_Need_Freud.mp3</t>
  </si>
  <si>
    <t>https://audio.iskcondesiretree.com/01_-_Srila_Prabhupada/01_-_Lectures/01_-_English/02_-_Month_wise/08_-_August/25/Bg_02-19_LON_1973-08-25_Dogs_and_Cats_Don%27t_Need_Freud.mp3</t>
  </si>
  <si>
    <t>SP_BG_02-21-22_London_1973-08-26_Your_Body_Is_Ready_Sir--Come%21.mp3</t>
  </si>
  <si>
    <t>https://audio.iskcondesiretree.com/01_-_Srila_Prabhupada/01_-_Lectures/01_-_English/01_-_Topic_wise/Bhagavad_Gita/Chapter-02/SP_BG_02-21-22_London_1973-08-26_Your_Body_Is_Ready_Sir--Come%21.mp3</t>
  </si>
  <si>
    <t>SP_Lecture_London_1973-08-26_The_HK_Movement_What_and_Why.mp3</t>
  </si>
  <si>
    <t>https://audio.iskcondesiretree.com/01_-_Srila_Prabhupada/01_-_Lectures/01_-_English/01_-_Topic_wise/Various/SP_Lecture_London_1973-08-26_The_HK_Movement_What_and_Why.mp3</t>
  </si>
  <si>
    <t>Bg_02-21_LON_1973-08-26_Your_Body_Is_Ready_Sir--Come%21.mp3</t>
  </si>
  <si>
    <t>https://audio.iskcondesiretree.com/01_-_Srila_Prabhupada/01_-_Lectures/01_-_English/02_-_Month_wise/08_-_August/26/Bg_02-21_LON_1973-08-26_Your_Body_Is_Ready_Sir--Come%21.mp3</t>
  </si>
  <si>
    <t>Lect_LON_1973-08-26_The_HK_Movement_What_and_Why.mp3</t>
  </si>
  <si>
    <t>https://audio.iskcondesiretree.com/01_-_Srila_Prabhupada/01_-_Lectures/01_-_English/02_-_Month_wise/08_-_August/26/Lect_LON_1973-08-26_The_HK_Movement_What_and_Why.mp3</t>
  </si>
  <si>
    <t>SP_BG_02-23-24_London_1973-08-27_You_Are_a_Sample_of_Krishna.mp3</t>
  </si>
  <si>
    <t>https://audio.iskcondesiretree.com/01_-_Srila_Prabhupada/01_-_Lectures/01_-_English/01_-_Topic_wise/Bhagavad_Gita/Chapter-02/SP_BG_02-23-24_London_1973-08-27_You_Are_a_Sample_of_Krishna.mp3</t>
  </si>
  <si>
    <t>Bg_02-23_LON_1973-08-27_You_Are_a_Sample_of_Krishna.mp3</t>
  </si>
  <si>
    <t>https://audio.iskcondesiretree.com/01_-_Srila_Prabhupada/01_-_Lectures/01_-_English/02_-_Month_wise/08_-_August/27/Bg_02-23_LON_1973-08-27_You_Are_a_Sample_of_Krishna.mp3</t>
  </si>
  <si>
    <t>SP_BG_02-25_London_1973-08-28_Relieving_Our_Bodily_Burden.mp3</t>
  </si>
  <si>
    <t>https://audio.iskcondesiretree.com/01_-_Srila_Prabhupada/01_-_Lectures/01_-_English/01_-_Topic_wise/Bhagavad_Gita/Chapter-02/SP_BG_02-25_London_1973-08-28_Relieving_Our_Bodily_Burden.mp3</t>
  </si>
  <si>
    <t>Bg_02-25_LON_1973-08-28_Relieving_Our_Bodily_Burden.mp3</t>
  </si>
  <si>
    <t>https://audio.iskcondesiretree.com/01_-_Srila_Prabhupada/01_-_Lectures/01_-_English/02_-_Month_wise/08_-_August/28/Bg_02-25_LON_1973-08-28_Relieving_Our_Bodily_Burden.mp3</t>
  </si>
  <si>
    <t>SP_BG_02-26-27_London_1973-08-29_Why_Lament_Over_Chemicals.mp3</t>
  </si>
  <si>
    <t>https://audio.iskcondesiretree.com/01_-_Srila_Prabhupada/01_-_Lectures/01_-_English/01_-_Topic_wise/Bhagavad_Gita/Chapter-02/SP_BG_02-26-27_London_1973-08-29_Why_Lament_Over_Chemicals.mp3</t>
  </si>
  <si>
    <t>Bg_02-26_LON_1973-08-29_Why_Lament_Over_Chemicals.mp3</t>
  </si>
  <si>
    <t>https://audio.iskcondesiretree.com/01_-_Srila_Prabhupada/01_-_Lectures/01_-_English/02_-_Month_wise/08_-_August/29/Bg_02-26_LON_1973-08-29_Why_Lament_Over_Chemicals.mp3</t>
  </si>
  <si>
    <t>SP_BG_02-28_London_1973-08-30_Materialists--What_Do_They_Know.mp3</t>
  </si>
  <si>
    <t>https://audio.iskcondesiretree.com/01_-_Srila_Prabhupada/01_-_Lectures/01_-_English/01_-_Topic_wise/Bhagavad_Gita/Chapter-02/SP_BG_02-28_London_1973-08-30_Materialists--What_Do_They_Know.mp3</t>
  </si>
  <si>
    <t>SP_Morning_Walk_-_London_1973-08-30_With_Schoolmaster--Keeping_People_in_Darkness.mp3</t>
  </si>
  <si>
    <t>https://audio.iskcondesiretree.com/01_-_Srila_Prabhupada/01_-_Lectures/01_-_English/01_-_Topic_wise/Morning_Walk/SP_Morning_Walk_-_London_1973-08-30_With_Schoolmaster--Keeping_People_in_Darkness.mp3</t>
  </si>
  <si>
    <t>SP_Room_Conversation_London_1973-08-30_Schoolmaster--Everybody_Is_Chanting.mp3</t>
  </si>
  <si>
    <t>https://audio.iskcondesiretree.com/01_-_Srila_Prabhupada/01_-_Lectures/01_-_English/01_-_Topic_wise/Room_Conversation/SP_Room_Conversation_London_1973-08-30_Schoolmaster--Everybody_Is_Chanting.mp3</t>
  </si>
  <si>
    <t>Bg_02-28_LON_1973-08-30_Materialists-What_Do_They_Know.mp3</t>
  </si>
  <si>
    <t>https://audio.iskcondesiretree.com/01_-_Srila_Prabhupada/01_-_Lectures/01_-_English/02_-_Month_wise/08_-_August/30/Bg_02-28_LON_1973-08-30_Materialists-What_Do_They_Know.mp3</t>
  </si>
  <si>
    <t>MW_LON_1973-08-30_With_Schoolmaster-Keeping_People_in_Darkness.mp3</t>
  </si>
  <si>
    <t>https://audio.iskcondesiretree.com/01_-_Srila_Prabhupada/01_-_Lectures/01_-_English/02_-_Month_wise/08_-_August/30/MW_LON_1973-08-30_With_Schoolmaster-Keeping_People_in_Darkness.mp3</t>
  </si>
  <si>
    <t>RC_LON_1973-08-30_Schoolmaster-Everybody_Is_Chanting.mp3</t>
  </si>
  <si>
    <t>https://audio.iskcondesiretree.com/01_-_Srila_Prabhupada/01_-_Lectures/01_-_English/02_-_Month_wise/08_-_August/30/RC_LON_1973-08-30_Schoolmaster-Everybody_Is_Chanting.mp3</t>
  </si>
  <si>
    <t>SP_BG_02-30_London_1973-08-31_Matter_Grows_on_the_Platform_of_Spirit.mp3</t>
  </si>
  <si>
    <t>https://audio.iskcondesiretree.com/01_-_Srila_Prabhupada/01_-_Lectures/01_-_English/01_-_Topic_wise/Bhagavad_Gita/Chapter-02/SP_BG_02-30_London_1973-08-31_Matter_Grows_on_the_Platform_of_Spirit.mp3</t>
  </si>
  <si>
    <t>SP_Room_Conversation_London_1973-08-31_God_Is_One-Is_Religion_Two.mp3</t>
  </si>
  <si>
    <t>https://audio.iskcondesiretree.com/01_-_Srila_Prabhupada/01_-_Lectures/01_-_English/01_-_Topic_wise/Room_Conversation/SP_Room_Conversation_London_1973-08-31_God_Is_One-Is_Religion_Two.mp3</t>
  </si>
  <si>
    <t>Bg_02-30_LON_1973-08-31_Matter_Grows_on_the_Platform_of_Spirit.mp3</t>
  </si>
  <si>
    <t>https://audio.iskcondesiretree.com/01_-_Srila_Prabhupada/01_-_Lectures/01_-_English/02_-_Month_wise/08_-_August/31/Bg_02-30_LON_1973-08-31_Matter_Grows_on_the_Platform_of_Spirit.mp3</t>
  </si>
  <si>
    <t>RC_LON_1973-08-31_God_Is_One-Is_Religion_Two.mp3</t>
  </si>
  <si>
    <t>https://audio.iskcondesiretree.com/01_-_Srila_Prabhupada/01_-_Lectures/01_-_English/02_-_Month_wise/08_-_August/31/RC_LON_1973-08-31_God_Is_One-Is_Religion_Two.mp3</t>
  </si>
  <si>
    <t>SP_BG_02-31_London_1973-09-01_Duties_of_the_Body_and_Soul.mp3</t>
  </si>
  <si>
    <t>https://audio.iskcondesiretree.com/01_-_Srila_Prabhupada/01_-_Lectures/01_-_English/01_-_Topic_wise/Bhagavad_Gita/Chapter-02/SP_BG_02-31_London_1973-09-01_Duties_of_the_Body_and_Soul.mp3</t>
  </si>
  <si>
    <t>SP_Room_Conversation_London_1973-09-01_Radharani_Recommends_to_Krishna.mp3</t>
  </si>
  <si>
    <t>https://audio.iskcondesiretree.com/01_-_Srila_Prabhupada/01_-_Lectures/01_-_English/01_-_Topic_wise/Room_Conversation/SP_Room_Conversation_London_1973-09-01_Radharani_Recommends_to_Krishna.mp3</t>
  </si>
  <si>
    <t>Bg_02-31_LON_1973-09-01_Duties_of_the_Body_and_Soul.mp3</t>
  </si>
  <si>
    <t>https://audio.iskcondesiretree.com/01_-_Srila_Prabhupada/01_-_Lectures/01_-_English/02_-_Month_wise/09_-_September/01/Bg_02-31_LON_1973-09-01_Duties_of_the_Body_and_Soul.mp3</t>
  </si>
  <si>
    <t>RC_LON_1973-09-01_Radharani_Recommends_to_Krishna.mp3</t>
  </si>
  <si>
    <t>https://audio.iskcondesiretree.com/01_-_Srila_Prabhupada/01_-_Lectures/01_-_English/02_-_Month_wise/09_-_September/01/RC_LON_1973-09-01_Radharani_Recommends_to_Krishna.mp3</t>
  </si>
  <si>
    <t>SP_BG_02-32_London_1973-09-02_Government_Must_Be_Very_Strict.mp3</t>
  </si>
  <si>
    <t>https://audio.iskcondesiretree.com/01_-_Srila_Prabhupada/01_-_Lectures/01_-_English/01_-_Topic_wise/Bhagavad_Gita/Chapter-02/SP_BG_02-32_London_1973-09-02_Government_Must_Be_Very_Strict.mp3</t>
  </si>
  <si>
    <t>SP_Room_Conversation_London_1973-09-02_We_Can_Defy_All_the_Rascals.mp3</t>
  </si>
  <si>
    <t>https://audio.iskcondesiretree.com/01_-_Srila_Prabhupada/01_-_Lectures/01_-_English/01_-_Topic_wise/Room_Conversation/SP_Room_Conversation_London_1973-09-02_We_Can_Defy_All_the_Rascals.mp3</t>
  </si>
  <si>
    <t>Bg_02-32_LON_1973-09-02_Government_Must_Be_Very_Strict.mp3</t>
  </si>
  <si>
    <t>https://audio.iskcondesiretree.com/01_-_Srila_Prabhupada/01_-_Lectures/01_-_English/02_-_Month_wise/09_-_September/02/Bg_02-32_LON_1973-09-02_Government_Must_Be_Very_Strict.mp3</t>
  </si>
  <si>
    <t>RC_LON_1973-09-02_We_Can_Defy_All_the_Rascals.mp3</t>
  </si>
  <si>
    <t>https://audio.iskcondesiretree.com/01_-_Srila_Prabhupada/01_-_Lectures/01_-_English/02_-_Month_wise/09_-_September/02/RC_LON_1973-09-02_We_Can_Defy_All_the_Rascals.mp3</t>
  </si>
  <si>
    <t>SP_BG_02-33-35_London_1973-09-03_Dishonor_Is_Worse_than_Death.mp3</t>
  </si>
  <si>
    <t>https://audio.iskcondesiretree.com/01_-_Srila_Prabhupada/01_-_Lectures/01_-_English/01_-_Topic_wise/Bhagavad_Gita/Chapter-02/SP_BG_02-33-35_London_1973-09-03_Dishonor_Is_Worse_than_Death.mp3</t>
  </si>
  <si>
    <t>Bg_02-33_LON_1973-09-03_Dishonor_Is_Worse_than_Death.mp3</t>
  </si>
  <si>
    <t>https://audio.iskcondesiretree.com/01_-_Srila_Prabhupada/01_-_Lectures/01_-_English/02_-_Month_wise/09_-_September/03/Bg_02-33_LON_1973-09-03_Dishonor_Is_Worse_than_Death.mp3</t>
  </si>
  <si>
    <t>SP_BG_02-36-38_London_1973-09-04_Compassion_On_the_Battlefield.mp3</t>
  </si>
  <si>
    <t>https://audio.iskcondesiretree.com/01_-_Srila_Prabhupada/01_-_Lectures/01_-_English/01_-_Topic_wise/Bhagavad_Gita/Chapter-02/SP_BG_02-36-38_London_1973-09-04_Compassion_On_the_Battlefield.mp3</t>
  </si>
  <si>
    <t>Bg_02-36_LON_1973-09-04_Compassion_On_the_Battlefield.mp3</t>
  </si>
  <si>
    <t>https://audio.iskcondesiretree.com/01_-_Srila_Prabhupada/01_-_Lectures/01_-_English/02_-_Month_wise/09_-_September/04/Bg_02-36_LON_1973-09-04_Compassion_On_the_Battlefield.mp3</t>
  </si>
  <si>
    <t>SP_Arrival_Stockholm_1973-09-05_Complete_Freedom.mp3</t>
  </si>
  <si>
    <t>https://audio.iskcondesiretree.com/01_-_Srila_Prabhupada/01_-_Lectures/01_-_English/01_-_Topic_wise/Arrival_Address/SP_Arrival_Stockholm_1973-09-05_Complete_Freedom.mp3</t>
  </si>
  <si>
    <t>SP_Festivals_London_1973-09-05_Appearance_Day_of_Srimati_Radharani.mp3</t>
  </si>
  <si>
    <t>https://audio.iskcondesiretree.com/01_-_Srila_Prabhupada/01_-_Lectures/01_-_English/01_-_Topic_wise/Festivals/SP_Festivals_London_1973-09-05_Appearance_Day_of_Srimati_Radharani.mp3</t>
  </si>
  <si>
    <t>Arr_STO_1973-09-05_Complete_Freedom.mp3</t>
  </si>
  <si>
    <t>https://audio.iskcondesiretree.com/01_-_Srila_Prabhupada/01_-_Lectures/01_-_English/02_-_Month_wise/09_-_September/05/Arr_STO_1973-09-05_Complete_Freedom.mp3</t>
  </si>
  <si>
    <t>Fest_LON_1973-09-05_Appearance_Day_of_Srimati_Radharani.mp3</t>
  </si>
  <si>
    <t>https://audio.iskcondesiretree.com/01_-_Srila_Prabhupada/01_-_Lectures/01_-_English/02_-_Month_wise/09_-_September/05/Fest_LON_1973-09-05_Appearance_Day_of_Srimati_Radharani.mp3</t>
  </si>
  <si>
    <t>SP_SB_5-05-01_Stockholm_1973-09-06_%27Isms%27_Are_Sense_Gratification.mp3</t>
  </si>
  <si>
    <t>https://audio.iskcondesiretree.com/01_-_Srila_Prabhupada/01_-_Lectures/01_-_English/01_-_Topic_wise/Srimad_Bhagavatam/Canto-05/SP_SB_5-05-01_Stockholm_1973-09-06_%27Isms%27_Are_Sense_Gratification.mp3</t>
  </si>
  <si>
    <t>SP_Lecture_Stockholm_1973-09-06_To_Students--Brahma_Samhita.mp3</t>
  </si>
  <si>
    <t>https://audio.iskcondesiretree.com/01_-_Srila_Prabhupada/01_-_Lectures/01_-_English/01_-_Topic_wise/Various/SP_Lecture_Stockholm_1973-09-06_To_Students--Brahma_Samhita.mp3</t>
  </si>
  <si>
    <t>Lect_STO_1973-09-06_To_Students--Brahma_Samhita.mp3</t>
  </si>
  <si>
    <t>https://audio.iskcondesiretree.com/01_-_Srila_Prabhupada/01_-_Lectures/01_-_English/02_-_Month_wise/09_-_September/06/Lect_STO_1973-09-06_To_Students--Brahma_Samhita.mp3</t>
  </si>
  <si>
    <t>SB_5-05-01_STO_1973-09-06_%27Isms%27_Are_Sense_Gratification.mp3</t>
  </si>
  <si>
    <t>https://audio.iskcondesiretree.com/01_-_Srila_Prabhupada/01_-_Lectures/01_-_English/02_-_Month_wise/09_-_September/06/SB_5-05-01_STO_1973-09-06_%27Isms%27_Are_Sense_Gratification.mp3</t>
  </si>
  <si>
    <t>SP_BG_13-01-02_Stockholm_1973-09-07_At_University_Nature_the--etc.mp3</t>
  </si>
  <si>
    <t>https://audio.iskcondesiretree.com/01_-_Srila_Prabhupada/01_-_Lectures/01_-_English/01_-_Topic_wise/Bhagavad_Gita/Chapter-13/SP_BG_13-01-02_Stockholm_1973-09-07_At_University_Nature_the--etc.mp3</t>
  </si>
  <si>
    <t>SP_SB_5-05-01_Stockholm_1973-09-07_Horrible_Civilization-Going_to_Hell.mp3</t>
  </si>
  <si>
    <t>https://audio.iskcondesiretree.com/01_-_Srila_Prabhupada/01_-_Lectures/01_-_English/01_-_Topic_wise/Srimad_Bhagavatam/Canto-05/SP_SB_5-05-01_Stockholm_1973-09-07_Horrible_Civilization-Going_to_Hell.mp3</t>
  </si>
  <si>
    <t>SP_SB_5-05-01_Stockholm_1973-09-07_To_Students--Horrible--etc.mp3</t>
  </si>
  <si>
    <t>https://audio.iskcondesiretree.com/01_-_Srila_Prabhupada/01_-_Lectures/01_-_English/01_-_Topic_wise/Srimad_Bhagavatam/Canto-05/SP_SB_5-05-01_Stockholm_1973-09-07_To_Students--Horrible--etc.mp3</t>
  </si>
  <si>
    <t>SP_Lecture_Stockholm_1973-09-07_To_Students_Classless_Society_Impossible.mp3</t>
  </si>
  <si>
    <t>https://audio.iskcondesiretree.com/01_-_Srila_Prabhupada/01_-_Lectures/01_-_English/01_-_Topic_wise/Various/SP_Lecture_Stockholm_1973-09-07_To_Students_Classless_Society_Impossible.mp3</t>
  </si>
  <si>
    <t>Bg_13-01_STO_1973-09-07_At_University_Nature_the_etc.mp3</t>
  </si>
  <si>
    <t>https://audio.iskcondesiretree.com/01_-_Srila_Prabhupada/01_-_Lectures/01_-_English/02_-_Month_wise/09_-_September/07/Bg_13-01_STO_1973-09-07_At_University_Nature_the_etc.mp3</t>
  </si>
  <si>
    <t>Lect_STO_1973-09-07_To_Students_Classless_Society_Impossible.mp3</t>
  </si>
  <si>
    <t>https://audio.iskcondesiretree.com/01_-_Srila_Prabhupada/01_-_Lectures/01_-_English/02_-_Month_wise/09_-_September/07/Lect_STO_1973-09-07_To_Students_Classless_Society_Impossible.mp3</t>
  </si>
  <si>
    <t>SB_5-05-01_STO_1973-09-07_Horrible_Civilization-Going_to_Hell.mp3</t>
  </si>
  <si>
    <t>https://audio.iskcondesiretree.com/01_-_Srila_Prabhupada/01_-_Lectures/01_-_English/02_-_Month_wise/09_-_September/07/SB_5-05-01_STO_1973-09-07_Horrible_Civilization-Going_to_Hell.mp3</t>
  </si>
  <si>
    <t>SB_5-05-01_STO_1973-09-07_To_Students-Horrible_etc.mp3</t>
  </si>
  <si>
    <t>https://audio.iskcondesiretree.com/01_-_Srila_Prabhupada/01_-_Lectures/01_-_English/02_-_Month_wise/09_-_September/07/SB_5-05-01_STO_1973-09-07_To_Students-Horrible_etc.mp3</t>
  </si>
  <si>
    <t>SP_BG_07-01_Stockholm_1973-09-08_At_University_What_Supreme--etc.mp3</t>
  </si>
  <si>
    <t>https://audio.iskcondesiretree.com/01_-_Srila_Prabhupada/01_-_Lectures/01_-_English/01_-_Topic_wise/Bhagavad_Gita/Chapter-07/SP_BG_07-01_Stockholm_1973-09-08_At_University_What_Supreme--etc.mp3</t>
  </si>
  <si>
    <t>SP_SB_5-05-01_Stockholm_1973-09-08_Leaders_Will_Force_You_to--etc.mp3</t>
  </si>
  <si>
    <t>https://audio.iskcondesiretree.com/01_-_Srila_Prabhupada/01_-_Lectures/01_-_English/01_-_Topic_wise/Srimad_Bhagavatam/Canto-05/SP_SB_5-05-01_Stockholm_1973-09-08_Leaders_Will_Force_You_to--etc.mp3</t>
  </si>
  <si>
    <t>Bg_07-01_STO_1973-09-08_At_University_What_Supreme_etc.mp3</t>
  </si>
  <si>
    <t>https://audio.iskcondesiretree.com/01_-_Srila_Prabhupada/01_-_Lectures/01_-_English/02_-_Month_wise/09_-_September/08/Bg_07-01_STO_1973-09-08_At_University_What_Supreme_etc.mp3</t>
  </si>
  <si>
    <t>SB_5-05-01_STO_1973-09-08_Leaders_Will_Force_You_to_etc.mp3</t>
  </si>
  <si>
    <t>https://audio.iskcondesiretree.com/01_-_Srila_Prabhupada/01_-_Lectures/01_-_English/02_-_Month_wise/09_-_September/08/SB_5-05-01_STO_1973-09-08_Leaders_Will_Force_You_to_etc.mp3</t>
  </si>
  <si>
    <t>SP_SB_5-05-03_Stockholm_1973-09-09_Living_Like_Animals.mp3</t>
  </si>
  <si>
    <t>https://audio.iskcondesiretree.com/01_-_Srila_Prabhupada/01_-_Lectures/01_-_English/01_-_Topic_wise/Srimad_Bhagavatam/Canto-05/SP_SB_5-05-03_Stockholm_1973-09-09_Living_Like_Animals.mp3</t>
  </si>
  <si>
    <t>SP_Lecture_Stockholm_1973-09-09_To_Students_on--etc.mp3</t>
  </si>
  <si>
    <t>https://audio.iskcondesiretree.com/01_-_Srila_Prabhupada/01_-_Lectures/01_-_English/01_-_Topic_wise/Various/SP_Lecture_Stockholm_1973-09-09_To_Students_on--etc.mp3</t>
  </si>
  <si>
    <t>Lect_STO_1973-09-09_To_Students_on_etc.mp3</t>
  </si>
  <si>
    <t>https://audio.iskcondesiretree.com/01_-_Srila_Prabhupada/01_-_Lectures/01_-_English/02_-_Month_wise/09_-_September/09/Lect_STO_1973-09-09_To_Students_on_etc.mp3</t>
  </si>
  <si>
    <t>SB_5-05-03_STO_1973-09-09_Living_Like_Animals.mp3</t>
  </si>
  <si>
    <t>https://audio.iskcondesiretree.com/01_-_Srila_Prabhupada/01_-_Lectures/01_-_English/02_-_Month_wise/09_-_September/09/SB_5-05-03_STO_1973-09-09_Living_Like_Animals.mp3</t>
  </si>
  <si>
    <t>SP_BG_07-01-03_Stockholm_1973-09-10_Nothing_More_to_Be_Known.mp3</t>
  </si>
  <si>
    <t>https://audio.iskcondesiretree.com/01_-_Srila_Prabhupada/01_-_Lectures/01_-_English/01_-_Topic_wise/Bhagavad_Gita/Chapter-07/SP_BG_07-01-03_Stockholm_1973-09-10_Nothing_More_to_Be_Known.mp3</t>
  </si>
  <si>
    <t>SP_Room_Conversation_Stockholm_1973-09-10_Psychiatrist--Ours_Is_a_Psychiatric_Movement.mp3</t>
  </si>
  <si>
    <t>https://audio.iskcondesiretree.com/01_-_Srila_Prabhupada/01_-_Lectures/01_-_English/01_-_Topic_wise/Room_Conversation/SP_Room_Conversation_Stockholm_1973-09-10_Psychiatrist--Ours_Is_a_Psychiatric_Movement.mp3</t>
  </si>
  <si>
    <t>SP_SB_5-05-01_Stockholm_1973-09-10_In_Ignorance_All_Is_Defeat.mp3</t>
  </si>
  <si>
    <t>https://audio.iskcondesiretree.com/01_-_Srila_Prabhupada/01_-_Lectures/01_-_English/01_-_Topic_wise/Srimad_Bhagavatam/Canto-05/SP_SB_5-05-01_Stockholm_1973-09-10_In_Ignorance_All_Is_Defeat.mp3</t>
  </si>
  <si>
    <t>Bg_07-01_STO_1973-09-10_Nothing_More_to_Be_Known.mp3</t>
  </si>
  <si>
    <t>https://audio.iskcondesiretree.com/01_-_Srila_Prabhupada/01_-_Lectures/01_-_English/02_-_Month_wise/09_-_September/10/Bg_07-01_STO_1973-09-10_Nothing_More_to_Be_Known.mp3</t>
  </si>
  <si>
    <t>RC_STO_1973-09-10_Psychiatrist-Ours_Is_a_Psychiatric_Movement.mp3</t>
  </si>
  <si>
    <t>https://audio.iskcondesiretree.com/01_-_Srila_Prabhupada/01_-_Lectures/01_-_English/02_-_Month_wise/09_-_September/10/RC_STO_1973-09-10_Psychiatrist-Ours_Is_a_Psychiatric_Movement.mp3</t>
  </si>
  <si>
    <t>SB_5-05-01_STO_1973-09-10_In_Ignorance_All_Is_Defeat.mp3</t>
  </si>
  <si>
    <t>https://audio.iskcondesiretree.com/01_-_Srila_Prabhupada/01_-_Lectures/01_-_English/02_-_Month_wise/09_-_September/10/SB_5-05-01_STO_1973-09-10_In_Ignorance_All_Is_Defeat.mp3</t>
  </si>
  <si>
    <t>SP_BG_02-39_London_1973-09-12_Supreme_Deceiver_and_Lover.mp3</t>
  </si>
  <si>
    <t>https://audio.iskcondesiretree.com/01_-_Srila_Prabhupada/01_-_Lectures/01_-_English/01_-_Topic_wise/Bhagavad_Gita/Chapter-02/SP_BG_02-39_London_1973-09-12_Supreme_Deceiver_and_Lover.mp3</t>
  </si>
  <si>
    <t>SP_SB_1-05-11_London_1973-09-12_Great_Books_for_a_Gross_Age.mp3</t>
  </si>
  <si>
    <t>https://audio.iskcondesiretree.com/01_-_Srila_Prabhupada/01_-_Lectures/01_-_English/01_-_Topic_wise/Srimad_Bhagavatam/Canto-01/SP_SB_1-05-11_London_1973-09-12_Great_Books_for_a_Gross_Age.mp3</t>
  </si>
  <si>
    <t>Bg_02-39_LON_1973-09-12_Supreme_Deceiver_and_Lover.mp3</t>
  </si>
  <si>
    <t>https://audio.iskcondesiretree.com/01_-_Srila_Prabhupada/01_-_Lectures/01_-_English/02_-_Month_wise/09_-_September/12/Bg_02-39_LON_1973-09-12_Supreme_Deceiver_and_Lover.mp3</t>
  </si>
  <si>
    <t>SB_1-05-11_LON_1973-09-12_Great_Books_for_a_Gross_Age.mp3</t>
  </si>
  <si>
    <t>https://audio.iskcondesiretree.com/01_-_Srila_Prabhupada/01_-_Lectures/01_-_English/02_-_Month_wise/09_-_September/12/SB_1-05-11_LON_1973-09-12_Great_Books_for_a_Gross_Age.mp3</t>
  </si>
  <si>
    <t>SP_BG_13-01_Bombay_1973-09-24_Material_Happiness_Is_Not_All.mp3</t>
  </si>
  <si>
    <t>https://audio.iskcondesiretree.com/01_-_Srila_Prabhupada/01_-_Lectures/01_-_English/01_-_Topic_wise/Bhagavad_Gita/Chapter-13/SP_BG_13-01_Bombay_1973-09-24_Material_Happiness_Is_Not_All.mp3</t>
  </si>
  <si>
    <t>Bg_13-01_BOM_1973-09-24_Material_Happiness_Is_Not_All.mp3</t>
  </si>
  <si>
    <t>https://audio.iskcondesiretree.com/01_-_Srila_Prabhupada/01_-_Lectures/01_-_English/02_-_Month_wise/09_-_September/24/Bg_13-01_BOM_1973-09-24_Material_Happiness_Is_Not_All.mp3</t>
  </si>
  <si>
    <t>SP_BG_13-01-02_Bombay_1973-09-25_Knowing_Self_Bodily_%27Land%27--etc.mp3</t>
  </si>
  <si>
    <t>https://audio.iskcondesiretree.com/01_-_Srila_Prabhupada/01_-_Lectures/01_-_English/01_-_Topic_wise/Bhagavad_Gita/Chapter-13/SP_BG_13-01-02_Bombay_1973-09-25_Knowing_Self_Bodily_%27Land%27--etc.mp3</t>
  </si>
  <si>
    <t>SP_BG_13-01_Bombay_1973-09-25_Knowing_Self_Bodily_%27Land%27--etc.mp3</t>
  </si>
  <si>
    <t>https://audio.iskcondesiretree.com/01_-_Srila_Prabhupada/01_-_Lectures/01_-_English/01_-_Topic_wise/Bhagavad_Gita/Chapter-13/SP_BG_13-01_Bombay_1973-09-25_Knowing_Self_Bodily_%27Land%27--etc.mp3</t>
  </si>
  <si>
    <t>SP_Lecture_Bombay_1973-09-25_To_Lifemembers--Goloka_Vrindavan_Is_Everywhere.mp3</t>
  </si>
  <si>
    <t>https://audio.iskcondesiretree.com/01_-_Srila_Prabhupada/01_-_Lectures/01_-_English/01_-_Topic_wise/Various/SP_Lecture_Bombay_1973-09-25_To_Lifemembers--Goloka_Vrindavan_Is_Everywhere.mp3</t>
  </si>
  <si>
    <t>Bg_13-01_BOM_1973-09-25_Knowing_Self%2C_Bodily_Land_etc.mp3</t>
  </si>
  <si>
    <t>https://audio.iskcondesiretree.com/01_-_Srila_Prabhupada/01_-_Lectures/01_-_English/02_-_Month_wise/09_-_September/25/Bg_13-01_BOM_1973-09-25_Knowing_Self%2C_Bodily_Land_etc.mp3</t>
  </si>
  <si>
    <t>Lect_BOM_1973-09-25_To_Lifemembers-Goloka_VRN_Is_Everywhere.mp3</t>
  </si>
  <si>
    <t>https://audio.iskcondesiretree.com/01_-_Srila_Prabhupada/01_-_Lectures/01_-_English/02_-_Month_wise/09_-_September/25/Lect_BOM_1973-09-25_To_Lifemembers-Goloka_VRN_Is_Everywhere.mp3</t>
  </si>
  <si>
    <t>SP_BG_13-03_Bombay_1973-09-26_Forgotten_That_We_Are_Spirit.mp3</t>
  </si>
  <si>
    <t>https://audio.iskcondesiretree.com/01_-_Srila_Prabhupada/01_-_Lectures/01_-_English/01_-_Topic_wise/Bhagavad_Gita/Chapter-13/SP_BG_13-03_Bombay_1973-09-26_Forgotten_That_We_Are_Spirit.mp3</t>
  </si>
  <si>
    <t>Bg_13-03_BOM_1973-09-26_Forgotten_That_We_Are_Spirit.mp3</t>
  </si>
  <si>
    <t>https://audio.iskcondesiretree.com/01_-_Srila_Prabhupada/01_-_Lectures/01_-_English/02_-_Month_wise/09_-_September/26/Bg_13-03_BOM_1973-09-26_Forgotten_That_We_Are_Spirit.mp3</t>
  </si>
  <si>
    <t>SP_BG_13-04_Bombay_1973-09-27_The_Witness_and_the_Wanderer.mp3</t>
  </si>
  <si>
    <t>https://audio.iskcondesiretree.com/01_-_Srila_Prabhupada/01_-_Lectures/01_-_English/01_-_Topic_wise/Bhagavad_Gita/Chapter-13/SP_BG_13-04_Bombay_1973-09-27_The_Witness_and_the_Wanderer.mp3</t>
  </si>
  <si>
    <t>Bg_13-04_BOM_1973-09-27_The_Witness_and_the_Wanderer.mp3</t>
  </si>
  <si>
    <t>https://audio.iskcondesiretree.com/01_-_Srila_Prabhupada/01_-_Lectures/01_-_English/02_-_Month_wise/09_-_September/27/Bg_13-04_BOM_1973-09-27_The_Witness_and_the_Wanderer.mp3</t>
  </si>
  <si>
    <t>SP_BG_13-05_Bombay_1973-09-28_The_Process_of_Progress.mp3</t>
  </si>
  <si>
    <t>https://audio.iskcondesiretree.com/01_-_Srila_Prabhupada/01_-_Lectures/01_-_English/01_-_Topic_wise/Bhagavad_Gita/Chapter-13/SP_BG_13-05_Bombay_1973-09-28_The_Process_of_Progress.mp3</t>
  </si>
  <si>
    <t>Bg_13-05_BOM_1973-09-28_The_Process_of_Progress.mp3</t>
  </si>
  <si>
    <t>https://audio.iskcondesiretree.com/01_-_Srila_Prabhupada/01_-_Lectures/01_-_English/02_-_Month_wise/09_-_September/28/Bg_13-05_BOM_1973-09-28_The_Process_of_Progress.mp3</t>
  </si>
  <si>
    <t>SP_BG_13-06-07_Bombay_1973-09-29_Surrender_to_the_Supreme_Person.mp3</t>
  </si>
  <si>
    <t>https://audio.iskcondesiretree.com/01_-_Srila_Prabhupada/01_-_Lectures/01_-_English/01_-_Topic_wise/Bhagavad_Gita/Chapter-13/SP_BG_13-06-07_Bombay_1973-09-29_Surrender_to_the_Supreme_Person.mp3</t>
  </si>
  <si>
    <t>SP_BG_13-06_Bombay_1973-09-29_Nothing_Is_Material.mp3</t>
  </si>
  <si>
    <t>https://audio.iskcondesiretree.com/01_-_Srila_Prabhupada/01_-_Lectures/01_-_English/01_-_Topic_wise/Bhagavad_Gita/Chapter-13/SP_BG_13-06_Bombay_1973-09-29_Nothing_Is_Material.mp3</t>
  </si>
  <si>
    <t>Bg_13-06_BOM_1973-09-29_Nothing_Is_Material.mp3</t>
  </si>
  <si>
    <t>https://audio.iskcondesiretree.com/01_-_Srila_Prabhupada/01_-_Lectures/01_-_English/02_-_Month_wise/09_-_September/29/Bg_13-06_BOM_1973-09-29_Nothing_Is_Material.mp3</t>
  </si>
  <si>
    <t>Bg_13-08_BOM_1973-09-30_Surrender_to_the_Supreme_Person.mp3</t>
  </si>
  <si>
    <t>https://audio.iskcondesiretree.com/01_-_Srila_Prabhupada/01_-_Lectures/01_-_English/02_-_Month_wise/09_-_September/30/Bg_13-08_BOM_1973-09-30_Surrender_to_the_Supreme_Person.mp3</t>
  </si>
  <si>
    <t>SP_BG_13-08-12_Bombay_1973-10-02_How_to_Go_Beyond_Your_Destiny.mp3</t>
  </si>
  <si>
    <t>https://audio.iskcondesiretree.com/01_-_Srila_Prabhupada/01_-_Lectures/01_-_English/01_-_Topic_wise/Bhagavad_Gita/Chapter-13/SP_BG_13-08-12_Bombay_1973-10-02_How_to_Go_Beyond_Your_Destiny.mp3</t>
  </si>
  <si>
    <t>Bg_13-08_BOM_1973-10-02_How_to_Go_Beyond_Your_Destiny.mp3</t>
  </si>
  <si>
    <t>https://audio.iskcondesiretree.com/01_-_Srila_Prabhupada/01_-_Lectures/01_-_English/02_-_Month_wise/10_-_October/02/Bg_13-08_BOM_1973-10-02_How_to_Go_Beyond_Your_Destiny.mp3</t>
  </si>
  <si>
    <t>SP_Room_Conversation_Bombay_1973-10-04_Evolving_Toward_Perfection.mp3</t>
  </si>
  <si>
    <t>https://audio.iskcondesiretree.com/01_-_Srila_Prabhupada/01_-_Lectures/01_-_English/01_-_Topic_wise/Room_Conversation/SP_Room_Conversation_Bombay_1973-10-04_Evolving_Toward_Perfection.mp3</t>
  </si>
  <si>
    <t>RC_BOM_1973-10-04_Evolving_Toward_Perfection.mp3</t>
  </si>
  <si>
    <t>https://audio.iskcondesiretree.com/01_-_Srila_Prabhupada/01_-_Lectures/01_-_English/02_-_Month_wise/10_-_October/04/RC_BOM_1973-10-04_Evolving_Toward_Perfection.mp3</t>
  </si>
  <si>
    <t>SP_BG_13-08_Bombay_1973-10-05_You_Have_to_Approach_an_Acarya.mp3</t>
  </si>
  <si>
    <t>https://audio.iskcondesiretree.com/01_-_Srila_Prabhupada/01_-_Lectures/01_-_English/01_-_Topic_wise/Bhagavad_Gita/Chapter-13/SP_BG_13-08_Bombay_1973-10-05_You_Have_to_Approach_an_Acarya.mp3</t>
  </si>
  <si>
    <t>Bg_13-08_BOM_1973-10-05_You_Have_to_Approach_an_Acarya.mp3</t>
  </si>
  <si>
    <t>https://audio.iskcondesiretree.com/01_-_Srila_Prabhupada/01_-_Lectures/01_-_English/02_-_Month_wise/10_-_October/05/Bg_13-08_BOM_1973-10-05_You_Have_to_Approach_an_Acarya.mp3</t>
  </si>
  <si>
    <t>SP_BG_13-13_Bombay_1973-10-06_Clutches_of_Birth_and_Death.mp3</t>
  </si>
  <si>
    <t>https://audio.iskcondesiretree.com/01_-_Srila_Prabhupada/01_-_Lectures/01_-_English/01_-_Topic_wise/Bhagavad_Gita/Chapter-13/SP_BG_13-13_Bombay_1973-10-06_Clutches_of_Birth_and_Death.mp3</t>
  </si>
  <si>
    <t>Bg_13-13_BOM_1973-10-06_Clutches_of_Birth_and_Death.mp3</t>
  </si>
  <si>
    <t>https://audio.iskcondesiretree.com/01_-_Srila_Prabhupada/01_-_Lectures/01_-_English/02_-_Month_wise/10_-_October/06/Bg_13-13_BOM_1973-10-06_Clutches_of_Birth_and_Death.mp3</t>
  </si>
  <si>
    <t>SP_BG_13-14_Bombay_1973-10-07_Nondevotees_Miss_the_Object.mp3</t>
  </si>
  <si>
    <t>https://audio.iskcondesiretree.com/01_-_Srila_Prabhupada/01_-_Lectures/01_-_English/01_-_Topic_wise/Bhagavad_Gita/Chapter-13/SP_BG_13-14_Bombay_1973-10-07_Nondevotees_Miss_the_Object.mp3</t>
  </si>
  <si>
    <t>Bg_13-14_BOM_1973-10-07_Nondevotees_Miss_the_Object.mp3</t>
  </si>
  <si>
    <t>https://audio.iskcondesiretree.com/01_-_Srila_Prabhupada/01_-_Lectures/01_-_English/02_-_Month_wise/10_-_October/07/Bg_13-14_BOM_1973-10-07_Nondevotees_Miss_the_Object.mp3</t>
  </si>
  <si>
    <t>SP_BG_13-15_Bombay_1973-10-09_God_Has_No_Material_Body.mp3</t>
  </si>
  <si>
    <t>https://audio.iskcondesiretree.com/01_-_Srila_Prabhupada/01_-_Lectures/01_-_English/01_-_Topic_wise/Bhagavad_Gita/Chapter-13/SP_BG_13-15_Bombay_1973-10-09_God_Has_No_Material_Body.mp3</t>
  </si>
  <si>
    <t>Bg_13-15_BOM_1973-10-09_God_Has_No_Material_Body.mp3</t>
  </si>
  <si>
    <t>https://audio.iskcondesiretree.com/01_-_Srila_Prabhupada/01_-_Lectures/01_-_English/02_-_Month_wise/10_-_October/09/Bg_13-15_BOM_1973-10-09_God_Has_No_Material_Body.mp3</t>
  </si>
  <si>
    <t>SP_BG_13-16_Bombay_1973-10-10_The_Supreme_Truth_Is_a_Person.mp3</t>
  </si>
  <si>
    <t>https://audio.iskcondesiretree.com/01_-_Srila_Prabhupada/01_-_Lectures/01_-_English/01_-_Topic_wise/Bhagavad_Gita/Chapter-13/SP_BG_13-16_Bombay_1973-10-10_The_Supreme_Truth_Is_a_Person.mp3</t>
  </si>
  <si>
    <t>Bg_13-16_BOM_1973-10-10_The_Supreme_Truth_Is_a_Person.mp3</t>
  </si>
  <si>
    <t>https://audio.iskcondesiretree.com/01_-_Srila_Prabhupada/01_-_Lectures/01_-_English/02_-_Month_wise/10_-_October/10/Bg_13-16_BOM_1973-10-10_The_Supreme_Truth_Is_a_Person.mp3</t>
  </si>
  <si>
    <t>SP_BG_13-17_Bombay_1973-10-11_Krishna_Is_Everywhere_in_Full.mp3</t>
  </si>
  <si>
    <t>https://audio.iskcondesiretree.com/01_-_Srila_Prabhupada/01_-_Lectures/01_-_English/01_-_Topic_wise/Bhagavad_Gita/Chapter-13/SP_BG_13-17_Bombay_1973-10-11_Krishna_Is_Everywhere_in_Full.mp3</t>
  </si>
  <si>
    <t>Bg_13-17_BOM_1973-10-11_Krishna_Is_Everywhere_in_Full.mp3</t>
  </si>
  <si>
    <t>https://audio.iskcondesiretree.com/01_-_Srila_Prabhupada/01_-_Lectures/01_-_English/02_-_Month_wise/10_-_October/11/Bg_13-17_BOM_1973-10-11_Krishna_Is_Everywhere_in_Full.mp3</t>
  </si>
  <si>
    <t>SP_BG_13-18_Bombay_1973-10-12_Universal_Effulgence_of_Krishna.mp3</t>
  </si>
  <si>
    <t>https://audio.iskcondesiretree.com/01_-_Srila_Prabhupada/01_-_Lectures/01_-_English/01_-_Topic_wise/Bhagavad_Gita/Chapter-13/SP_BG_13-18_Bombay_1973-10-12_Universal_Effulgence_of_Krishna.mp3</t>
  </si>
  <si>
    <t>Bg_13-18_BOM_1973-10-12_Universal_Effulgence_of_Krishna.mp3</t>
  </si>
  <si>
    <t>https://audio.iskcondesiretree.com/01_-_Srila_Prabhupada/01_-_Lectures/01_-_English/02_-_Month_wise/10_-_October/12/Bg_13-18_BOM_1973-10-12_Universal_Effulgence_of_Krishna.mp3</t>
  </si>
  <si>
    <t>SP_BG_13-19_Bombay_1973-10-13_Object_of_Knowledge.mp3</t>
  </si>
  <si>
    <t>https://audio.iskcondesiretree.com/01_-_Srila_Prabhupada/01_-_Lectures/01_-_English/01_-_Topic_wise/Bhagavad_Gita/Chapter-13/SP_BG_13-19_Bombay_1973-10-13_Object_of_Knowledge.mp3</t>
  </si>
  <si>
    <t>Bg_13-19_BOM_1973-10-13_Object_of_Knowledge.mp3</t>
  </si>
  <si>
    <t>https://audio.iskcondesiretree.com/01_-_Srila_Prabhupada/01_-_Lectures/01_-_English/02_-_Month_wise/10_-_October/13/Bg_13-19_BOM_1973-10-13_Object_of_Knowledge.mp3</t>
  </si>
  <si>
    <t>SP_BG_13-20_Bombay_1973-10-14_The_Enjoying_Spirit.mp3</t>
  </si>
  <si>
    <t>https://audio.iskcondesiretree.com/01_-_Srila_Prabhupada/01_-_Lectures/01_-_English/01_-_Topic_wise/Bhagavad_Gita/Chapter-13/SP_BG_13-20_Bombay_1973-10-14_The_Enjoying_Spirit.mp3</t>
  </si>
  <si>
    <t>Bg_13-20_BOM_1973-10-14_The_Enjoying_Spirit.mp3</t>
  </si>
  <si>
    <t>https://audio.iskcondesiretree.com/01_-_Srila_Prabhupada/01_-_Lectures/01_-_English/02_-_Month_wise/10_-_October/14/Bg_13-20_BOM_1973-10-14_The_Enjoying_Spirit.mp3</t>
  </si>
  <si>
    <t>SP_BG_13-21_Bombay_1973-10-15_An_Abominable_Body.mp3</t>
  </si>
  <si>
    <t>https://audio.iskcondesiretree.com/01_-_Srila_Prabhupada/01_-_Lectures/01_-_English/01_-_Topic_wise/Bhagavad_Gita/Chapter-13/SP_BG_13-21_Bombay_1973-10-15_An_Abominable_Body.mp3</t>
  </si>
  <si>
    <t>Bg_13-21_BOM_1973-10-15_An_Abominable_Body.mp3</t>
  </si>
  <si>
    <t>https://audio.iskcondesiretree.com/01_-_Srila_Prabhupada/01_-_Lectures/01_-_English/02_-_Month_wise/10_-_October/15/Bg_13-21_BOM_1973-10-15_An_Abominable_Body.mp3</t>
  </si>
  <si>
    <t>SP_Lecture_Bombay_1973-10-18_At_Bharati_Vidya_Bhavan.mp3</t>
  </si>
  <si>
    <t>https://audio.iskcondesiretree.com/01_-_Srila_Prabhupada/01_-_Lectures/01_-_English/01_-_Topic_wise/Various/SP_Lecture_Bombay_1973-10-18_At_Bharati_Vidya_Bhavan.mp3</t>
  </si>
  <si>
    <t>Lect_BOM_1973-10-18_At_Bharati_Vidya_Bhavan.mp3</t>
  </si>
  <si>
    <t>https://audio.iskcondesiretree.com/01_-_Srila_Prabhupada/01_-_Lectures/01_-_English/02_-_Month_wise/10_-_October/18/Lect_BOM_1973-10-18_At_Bharati_Vidya_Bhavan.mp3</t>
  </si>
  <si>
    <t>SP_BG_13-22_Bombay_1973-10-20_Through_the_Modes_of_Nature.mp3</t>
  </si>
  <si>
    <t>https://audio.iskcondesiretree.com/01_-_Srila_Prabhupada/01_-_Lectures/01_-_English/01_-_Topic_wise/Bhagavad_Gita/Chapter-13/SP_BG_13-22_Bombay_1973-10-20_Through_the_Modes_of_Nature.mp3</t>
  </si>
  <si>
    <t>Bg_13-22_BOM_1973-10-20_Through_the_Modes_of_Nature.mp3</t>
  </si>
  <si>
    <t>https://audio.iskcondesiretree.com/01_-_Srila_Prabhupada/01_-_Lectures/01_-_English/02_-_Month_wise/10_-_October/20/Bg_13-22_BOM_1973-10-20_Through_the_Modes_of_Nature.mp3</t>
  </si>
  <si>
    <t>SP_BG_13-23_Bombay_1973-10-22_How_to_Understand_the_Overseer.mp3</t>
  </si>
  <si>
    <t>https://audio.iskcondesiretree.com/01_-_Srila_Prabhupada/01_-_Lectures/01_-_English/01_-_Topic_wise/Bhagavad_Gita/Chapter-13/SP_BG_13-23_Bombay_1973-10-22_How_to_Understand_the_Overseer.mp3</t>
  </si>
  <si>
    <t>Bg_13-23_BOM_1973-10-22_How_to_Understand_the_Overseer.mp3</t>
  </si>
  <si>
    <t>https://audio.iskcondesiretree.com/01_-_Srila_Prabhupada/01_-_Lectures/01_-_English/02_-_Month_wise/10_-_October/22/Bg_13-23_BOM_1973-10-22_How_to_Understand_the_Overseer.mp3</t>
  </si>
  <si>
    <t>SP_BG_13-24_Bombay_1973-10-23_Solving_the_Problems_of_Life.mp3</t>
  </si>
  <si>
    <t>https://audio.iskcondesiretree.com/01_-_Srila_Prabhupada/01_-_Lectures/01_-_English/01_-_Topic_wise/Bhagavad_Gita/Chapter-13/SP_BG_13-24_Bombay_1973-10-23_Solving_the_Problems_of_Life.mp3</t>
  </si>
  <si>
    <t>Bg_13-24_BOM_1973-10-23_Solving_the_Problems_of_Life.mp3</t>
  </si>
  <si>
    <t>https://audio.iskcondesiretree.com/01_-_Srila_Prabhupada/01_-_Lectures/01_-_English/02_-_Month_wise/10_-_October/23/Bg_13-24_BOM_1973-10-23_Solving_the_Problems_of_Life.mp3</t>
  </si>
  <si>
    <t>SP_BG_13-26_Bombay_1973-10-25_Birth_and_Death-_Transcending--etc.mp3</t>
  </si>
  <si>
    <t>https://audio.iskcondesiretree.com/01_-_Srila_Prabhupada/01_-_Lectures/01_-_English/01_-_Topic_wise/Bhagavad_Gita/Chapter-13/SP_BG_13-26_Bombay_1973-10-25_Birth_and_Death-_Transcending--etc.mp3</t>
  </si>
  <si>
    <t>Bg_13-26_BOM_1973-10-25_Birth_and_Death_Transcending_etc.mp3</t>
  </si>
  <si>
    <t>https://audio.iskcondesiretree.com/01_-_Srila_Prabhupada/01_-_Lectures/01_-_English/02_-_Month_wise/10_-_October/25/Bg_13-26_BOM_1973-10-25_Birth_and_Death_Transcending_etc.mp3</t>
  </si>
  <si>
    <t>SP_Room_Conversation_Bombay_1973-10-26_At_Airport--That_Is_Not_Perfection.mp3</t>
  </si>
  <si>
    <t>https://audio.iskcondesiretree.com/01_-_Srila_Prabhupada/01_-_Lectures/01_-_English/01_-_Topic_wise/Room_Conversation/SP_Room_Conversation_Bombay_1973-10-26_At_Airport--That_Is_Not_Perfection.mp3</t>
  </si>
  <si>
    <t>RC_BOM_1973-10-26_At_Airport-That_Is_Not_Perfection.mp3</t>
  </si>
  <si>
    <t>https://audio.iskcondesiretree.com/01_-_Srila_Prabhupada/01_-_Lectures/01_-_English/02_-_Month_wise/10_-_October/26/RC_BOM_1973-10-26_At_Airport-That_Is_Not_Perfection.mp3</t>
  </si>
  <si>
    <t>Chapter-15</t>
  </si>
  <si>
    <t>SP_BG_15-01_Bombay_1973-10-28_See_Spiritual_Identity_Everywhere.mp3</t>
  </si>
  <si>
    <t>https://audio.iskcondesiretree.com/01_-_Srila_Prabhupada/01_-_Lectures/01_-_English/01_-_Topic_wise/Bhagavad_Gita/Chapter-15/SP_BG_15-01_Bombay_1973-10-28_See_Spiritual_Identity_Everywhere.mp3</t>
  </si>
  <si>
    <t>Bg_15-01_BOM_1973-10-28_See_Spiritual_Identity_Everywhere.mp3</t>
  </si>
  <si>
    <t>https://audio.iskcondesiretree.com/01_-_Srila_Prabhupada/01_-_Lectures/01_-_English/02_-_Month_wise/10_-_October/28/Bg_15-01_BOM_1973-10-28_See_Spiritual_Identity_Everywhere.mp3</t>
  </si>
  <si>
    <t>SP_Room_Conversation_Vrindavan_1973-10-31_Glories_of_the_Supreme_Lord.mp3</t>
  </si>
  <si>
    <t>https://audio.iskcondesiretree.com/01_-_Srila_Prabhupada/01_-_Lectures/01_-_English/01_-_Topic_wise/Room_Conversation/SP_Room_Conversation_Vrindavan_1973-10-31_Glories_of_the_Supreme_Lord.mp3</t>
  </si>
  <si>
    <t>RC_VRN_1973-10-31_Glories_of_the_Supreme_Lord.mp3</t>
  </si>
  <si>
    <t>https://audio.iskcondesiretree.com/01_-_Srila_Prabhupada/01_-_Lectures/01_-_English/02_-_Month_wise/10_-_October/31/RC_VRN_1973-10-31_Glories_of_the_Supreme_Lord.mp3</t>
  </si>
  <si>
    <t>SP_Room_Conversation_Delhi_1973-11-01_These_Miseries_Will_Follow_You.mp3</t>
  </si>
  <si>
    <t>https://audio.iskcondesiretree.com/01_-_Srila_Prabhupada/01_-_Lectures/01_-_English/01_-_Topic_wise/Room_Conversation/SP_Room_Conversation_Delhi_1973-11-01_These_Miseries_Will_Follow_You.mp3</t>
  </si>
  <si>
    <t>RC_DEL_1973-11-01_These_Miseries_Will_Follow_You.mp3</t>
  </si>
  <si>
    <t>https://audio.iskcondesiretree.com/01_-_Srila_Prabhupada/01_-_Lectures/01_-_English/02_-_Month_wise/11_-_November/01/RC_DEL_1973-11-01_These_Miseries_Will_Follow_You.mp3</t>
  </si>
  <si>
    <t>SP_Room_Conversation_Delhi_1973-11-02_High_Words_Will_Not_Do.mp3</t>
  </si>
  <si>
    <t>https://audio.iskcondesiretree.com/01_-_Srila_Prabhupada/01_-_Lectures/01_-_English/01_-_Topic_wise/Room_Conversation/SP_Room_Conversation_Delhi_1973-11-02_High_Words_Will_Not_Do.mp3</t>
  </si>
  <si>
    <t>RC_DEL_1973-11-02_High_Words_Will_Not_Do.mp3</t>
  </si>
  <si>
    <t>https://audio.iskcondesiretree.com/01_-_Srila_Prabhupada/01_-_Lectures/01_-_English/02_-_Month_wise/11_-_November/02/RC_DEL_1973-11-02_High_Words_Will_Not_Do.mp3</t>
  </si>
  <si>
    <t>SP_BG_04-18_Delhi_1973-11-03_Everyone_Without_Krishna--etc.mp3</t>
  </si>
  <si>
    <t>https://audio.iskcondesiretree.com/01_-_Srila_Prabhupada/01_-_Lectures/01_-_English/01_-_Topic_wise/Bhagavad_Gita/Chapter-04/SP_BG_04-18_Delhi_1973-11-03_Everyone_Without_Krishna--etc.mp3</t>
  </si>
  <si>
    <t>SP_Room_Conversation_Delhi_1973-11-03_Krishna%27s_Special_Favor_Upon_Srila_Prabhupada.mp3</t>
  </si>
  <si>
    <t>https://audio.iskcondesiretree.com/01_-_Srila_Prabhupada/01_-_Lectures/01_-_English/01_-_Topic_wise/Room_Conversation/SP_Room_Conversation_Delhi_1973-11-03_Krishna%27s_Special_Favor_Upon_Srila_Prabhupada.mp3</t>
  </si>
  <si>
    <t>Bg_04-18_DEL_1973-11-03_Everyone_Without_Krishna_etc.mp3</t>
  </si>
  <si>
    <t>https://audio.iskcondesiretree.com/01_-_Srila_Prabhupada/01_-_Lectures/01_-_English/02_-_Month_wise/11_-_November/03/Bg_04-18_DEL_1973-11-03_Everyone_Without_Krishna_etc.mp3</t>
  </si>
  <si>
    <t>RC_DEL_1973-11-03_Krishna%27s_Special_Favor_Upon_Srila_Prabhupada.mp3</t>
  </si>
  <si>
    <t>https://audio.iskcondesiretree.com/01_-_Srila_Prabhupada/01_-_Lectures/01_-_English/02_-_Month_wise/11_-_November/03/RC_DEL_1973-11-03_Krishna%27s_Special_Favor_Upon_Srila_Prabhupada.mp3</t>
  </si>
  <si>
    <t>SP_SB_2-01-01_Delhi_1973-11-04_In_Vrindavan_There_are_More--etc.mp3</t>
  </si>
  <si>
    <t>https://audio.iskcondesiretree.com/01_-_Srila_Prabhupada/01_-_Lectures/01_-_English/01_-_Topic_wise/Srimad_Bhagavatam/Canto-02/SP_SB_2-01-01_Delhi_1973-11-04_In_Vrindavan_There_are_More--etc.mp3</t>
  </si>
  <si>
    <t>SB_2-01-01_DEL_1973-11-04_In_VRN_There_are_More_etc.mp3</t>
  </si>
  <si>
    <t>https://audio.iskcondesiretree.com/01_-_Srila_Prabhupada/01_-_Lectures/01_-_English/02_-_Month_wise/11_-_November/04/SB_2-01-01_DEL_1973-11-04_In_VRN_There_are_More_etc.mp3</t>
  </si>
  <si>
    <t>SP_SB_2-01-03_Delhi_1973-11-06_The_Sighted_and_the_Blind.mp3</t>
  </si>
  <si>
    <t>https://audio.iskcondesiretree.com/01_-_Srila_Prabhupada/01_-_Lectures/01_-_English/01_-_Topic_wise/Srimad_Bhagavatam/Canto-02/SP_SB_2-01-03_Delhi_1973-11-06_The_Sighted_and_the_Blind.mp3</t>
  </si>
  <si>
    <t>SB_2-01-03_DEL_1973-11-06_The_Sighted_and_the_Blind.mp3</t>
  </si>
  <si>
    <t>https://audio.iskcondesiretree.com/01_-_Srila_Prabhupada/01_-_Lectures/01_-_English/02_-_Month_wise/11_-_November/06/SB_2-01-03_DEL_1973-11-06_The_Sighted_and_the_Blind.mp3</t>
  </si>
  <si>
    <t>SP_SB_2-01-04_Delhi_1973-11-07_The_Anatomy_of_Madness.mp3</t>
  </si>
  <si>
    <t>https://audio.iskcondesiretree.com/01_-_Srila_Prabhupada/01_-_Lectures/01_-_English/01_-_Topic_wise/Srimad_Bhagavatam/Canto-02/SP_SB_2-01-04_Delhi_1973-11-07_The_Anatomy_of_Madness.mp3</t>
  </si>
  <si>
    <t>SB_2-01-04_DEL_1973-11-07_The_Anatomy_of_Madness.mp3</t>
  </si>
  <si>
    <t>https://audio.iskcondesiretree.com/01_-_Srila_Prabhupada/01_-_Lectures/01_-_English/02_-_Month_wise/11_-_November/07/SB_2-01-04_DEL_1973-11-07_The_Anatomy_of_Madness.mp3</t>
  </si>
  <si>
    <t>SP_SB_2-01-05_Delhi_1973-11-08_Hearing_Your_Way_Clear.mp3</t>
  </si>
  <si>
    <t>https://audio.iskcondesiretree.com/01_-_Srila_Prabhupada/01_-_Lectures/01_-_English/01_-_Topic_wise/Srimad_Bhagavatam/Canto-02/SP_SB_2-01-05_Delhi_1973-11-08_Hearing_Your_Way_Clear.mp3</t>
  </si>
  <si>
    <t>SB_2-01-05_DEL_1973-11-08_Hearing_Your_Way_Clear.mp3</t>
  </si>
  <si>
    <t>https://audio.iskcondesiretree.com/01_-_Srila_Prabhupada/01_-_Lectures/01_-_English/02_-_Month_wise/11_-_November/08/SB_2-01-05_DEL_1973-11-08_Hearing_Your_Way_Clear.mp3</t>
  </si>
  <si>
    <t>SP_Lecture_Delhi_1973-11-10_At_Pandal--Hog_Happiness_-_Human_Happiness.mp3</t>
  </si>
  <si>
    <t>https://audio.iskcondesiretree.com/01_-_Srila_Prabhupada/01_-_Lectures/01_-_English/01_-_Topic_wise/Various/SP_Lecture_Delhi_1973-11-10_At_Pandal--Hog_Happiness_-_Human_Happiness.mp3</t>
  </si>
  <si>
    <t>Lect_DEL_1973-11-10_At_Pandal-Hog_Happiness_Human_Happiness.mp3</t>
  </si>
  <si>
    <t>https://audio.iskcondesiretree.com/01_-_Srila_Prabhupada/01_-_Lectures/01_-_English/02_-_Month_wise/11_-_November/10/Lect_DEL_1973-11-10_At_Pandal-Hog_Happiness_Human_Happiness.mp3</t>
  </si>
  <si>
    <t>SP_SB_1-02-05_Delhi_1973-11-11_The_Ultimate_Gain_in_Life.mp3</t>
  </si>
  <si>
    <t>https://audio.iskcondesiretree.com/01_-_Srila_Prabhupada/01_-_Lectures/01_-_English/01_-_Topic_wise/Srimad_Bhagavatam/Canto-01/SP_SB_1-02-05_Delhi_1973-11-11_The_Ultimate_Gain_in_Life.mp3</t>
  </si>
  <si>
    <t>SB_1-02-05_DEL_1973-11-11_The_Ultimate_Gain_in_Life.mp3</t>
  </si>
  <si>
    <t>https://audio.iskcondesiretree.com/01_-_Srila_Prabhupada/01_-_Lectures/01_-_English/02_-_Month_wise/11_-_November/11/SB_1-02-05_DEL_1973-11-11_The_Ultimate_Gain_in_Life.mp3</t>
  </si>
  <si>
    <t>SP_SB_1-02-06_Delhi_1973-11-12_Toward_Perfect_Peace_of_Mind.mp3</t>
  </si>
  <si>
    <t>https://audio.iskcondesiretree.com/01_-_Srila_Prabhupada/01_-_Lectures/01_-_English/01_-_Topic_wise/Srimad_Bhagavatam/Canto-01/SP_SB_1-02-06_Delhi_1973-11-12_Toward_Perfect_Peace_of_Mind.mp3</t>
  </si>
  <si>
    <t>SB_1-02-06_DEL_1973-11-12_Toward_Perfect_Peace_of_Mind.mp3</t>
  </si>
  <si>
    <t>https://audio.iskcondesiretree.com/01_-_Srila_Prabhupada/01_-_Lectures/01_-_English/02_-_Month_wise/11_-_November/12/SB_1-02-06_DEL_1973-11-12_Toward_Perfect_Peace_of_Mind.mp3</t>
  </si>
  <si>
    <t>SP_SB_1-02-07_Delhi_1973-11-13_Understand_God_from_God.mp3</t>
  </si>
  <si>
    <t>https://audio.iskcondesiretree.com/01_-_Srila_Prabhupada/01_-_Lectures/01_-_English/01_-_Topic_wise/Srimad_Bhagavatam/Canto-01/SP_SB_1-02-07_Delhi_1973-11-13_Understand_God_from_God.mp3</t>
  </si>
  <si>
    <t>SB_1-02-07_DEL_1973-11-13_Understand_God_from_God.mp3</t>
  </si>
  <si>
    <t>https://audio.iskcondesiretree.com/01_-_Srila_Prabhupada/01_-_Lectures/01_-_English/02_-_Month_wise/11_-_November/13/SB_1-02-07_DEL_1973-11-13_Understand_God_from_God.mp3</t>
  </si>
  <si>
    <t>SP_SB_1-02-09_Delhi_1973-11-14_Real_Dharma-It%27s_Not_Karma.mp3</t>
  </si>
  <si>
    <t>https://audio.iskcondesiretree.com/01_-_Srila_Prabhupada/01_-_Lectures/01_-_English/01_-_Topic_wise/Srimad_Bhagavatam/Canto-01/SP_SB_1-02-09_Delhi_1973-11-14_Real_Dharma-It%27s_Not_Karma.mp3</t>
  </si>
  <si>
    <t>SB_1-02-09_DEL_1973-11-14_Real_Dharma-It%27s_Not_Karma.mp3</t>
  </si>
  <si>
    <t>https://audio.iskcondesiretree.com/01_-_Srila_Prabhupada/01_-_Lectures/01_-_English/02_-_Month_wise/11_-_November/14/SB_1-02-09_DEL_1973-11-14_Real_Dharma-It%27s_Not_Karma.mp3</t>
  </si>
  <si>
    <t>SP_SB_1-02-10_Delhi_1973-11-16_Love_Comes_from_Krishna.mp3</t>
  </si>
  <si>
    <t>https://audio.iskcondesiretree.com/01_-_Srila_Prabhupada/01_-_Lectures/01_-_English/01_-_Topic_wise/Srimad_Bhagavatam/Canto-01/SP_SB_1-02-10_Delhi_1973-11-16_Love_Comes_from_Krishna.mp3</t>
  </si>
  <si>
    <t>SB_1-02-10_DEL_1973-11-16_Love_Comes_from_Krishna.mp3</t>
  </si>
  <si>
    <t>https://audio.iskcondesiretree.com/01_-_Srila_Prabhupada/01_-_Lectures/01_-_English/02_-_Month_wise/11_-_November/16/SB_1-02-10_DEL_1973-11-16_Love_Comes_from_Krishna.mp3</t>
  </si>
  <si>
    <t>SP_SB_1-02-12_Delhi_1973-11-18_Qualifying_to_Dance_with_Krishna.mp3</t>
  </si>
  <si>
    <t>https://audio.iskcondesiretree.com/01_-_Srila_Prabhupada/01_-_Lectures/01_-_English/01_-_Topic_wise/Srimad_Bhagavatam/Canto-01/SP_SB_1-02-12_Delhi_1973-11-18_Qualifying_to_Dance_with_Krishna.mp3</t>
  </si>
  <si>
    <t>SB_1-02-12_DEL_1973-11-18_Qualifying_to_Dance_with_Krishna.mp3</t>
  </si>
  <si>
    <t>https://audio.iskcondesiretree.com/01_-_Srila_Prabhupada/01_-_Lectures/01_-_English/02_-_Month_wise/11_-_November/18/SB_1-02-12_DEL_1973-11-18_Qualifying_to_Dance_with_Krishna.mp3</t>
  </si>
  <si>
    <t>SP_SB_1-10-04_London_1973-11-25_Get_Necessities_from_the_Land.mp3</t>
  </si>
  <si>
    <t>https://audio.iskcondesiretree.com/01_-_Srila_Prabhupada/01_-_Lectures/01_-_English/01_-_Topic_wise/Srimad_Bhagavatam/Canto-01/SP_SB_1-10-04_London_1973-11-25_Get_Necessities_from_the_Land.mp3</t>
  </si>
  <si>
    <t>SB_1-10-04_LON_1973-11-25_Get_Necessities_from_the_Land.mp3</t>
  </si>
  <si>
    <t>https://audio.iskcondesiretree.com/01_-_Srila_Prabhupada/01_-_Lectures/01_-_English/02_-_Month_wise/11_-_November/25/SB_1-10-04_LON_1973-11-25_Get_Necessities_from_the_Land.mp3</t>
  </si>
  <si>
    <t>SP_SB_1-15-01_New_York_1973-11-29_Very_Intimately_Connected.mp3</t>
  </si>
  <si>
    <t>https://audio.iskcondesiretree.com/01_-_Srila_Prabhupada/01_-_Lectures/01_-_English/01_-_Topic_wise/Srimad_Bhagavatam/Canto-01/SP_SB_1-15-01_New_York_1973-11-29_Very_Intimately_Connected.mp3</t>
  </si>
  <si>
    <t>SB_1-15-01_NY_1973-11-29_Very_Intimately_Connected.mp3</t>
  </si>
  <si>
    <t>https://audio.iskcondesiretree.com/01_-_Srila_Prabhupada/01_-_Lectures/01_-_English/02_-_Month_wise/11_-_November/29/SB_1-15-01_NY_1973-11-29_Very_Intimately_Connected.mp3</t>
  </si>
  <si>
    <t>SP_SB_1-15-20_Los_Angeles_1973-11-30_Again_Become_a_Mouse.mp3</t>
  </si>
  <si>
    <t>https://audio.iskcondesiretree.com/01_-_Srila_Prabhupada/01_-_Lectures/01_-_English/01_-_Topic_wise/Srimad_Bhagavatam/Canto-01/SP_SB_1-15-20_Los_Angeles_1973-11-30_Again_Become_a_Mouse.mp3</t>
  </si>
  <si>
    <t>SB_1-15-20_LA_1973-11-30_Again_Become_a_Mouse.mp3</t>
  </si>
  <si>
    <t>https://audio.iskcondesiretree.com/01_-_Srila_Prabhupada/01_-_Lectures/01_-_English/02_-_Month_wise/11_-_November/30/SB_1-15-20_LA_1973-11-30_Again_Become_a_Mouse.mp3</t>
  </si>
  <si>
    <t>SP_SB_1-15-21_Los_Angeles_1973-12-01_Civilization_Minus_Krishna.mp3</t>
  </si>
  <si>
    <t>https://audio.iskcondesiretree.com/01_-_Srila_Prabhupada/01_-_Lectures/01_-_English/01_-_Topic_wise/Srimad_Bhagavatam/Canto-01/SP_SB_1-15-21_Los_Angeles_1973-12-01_Civilization_Minus_Krishna.mp3</t>
  </si>
  <si>
    <t>SB_1-15-21_LA_1973-12-01_Civilization_Minus_Krishna.mp3</t>
  </si>
  <si>
    <t>https://audio.iskcondesiretree.com/01_-_Srila_Prabhupada/01_-_Lectures/01_-_English/02_-_Month_wise/12_-_December/01/SB_1-15-21_LA_1973-12-01_Civilization_Minus_Krishna.mp3</t>
  </si>
  <si>
    <t>SP_Morning_Walk_-_Los_Angeles_1973-12-02_What_the_Heart_Needs.mp3</t>
  </si>
  <si>
    <t>https://audio.iskcondesiretree.com/01_-_Srila_Prabhupada/01_-_Lectures/01_-_English/01_-_Topic_wise/Morning_Walk/SP_Morning_Walk_-_Los_Angeles_1973-12-02_What_the_Heart_Needs.mp3</t>
  </si>
  <si>
    <t>SP_SB_1-15-22_Los_Angeles_1973-12-02_Intoxication_on_Top_of_Intoxication.mp3</t>
  </si>
  <si>
    <t>https://audio.iskcondesiretree.com/01_-_Srila_Prabhupada/01_-_Lectures/01_-_English/01_-_Topic_wise/Srimad_Bhagavatam/Canto-01/SP_SB_1-15-22_Los_Angeles_1973-12-02_Intoxication_on_Top_of_Intoxication.mp3</t>
  </si>
  <si>
    <t>MW_LA_1973-12-02_What_the_Heart_Needs.mp3</t>
  </si>
  <si>
    <t>https://audio.iskcondesiretree.com/01_-_Srila_Prabhupada/01_-_Lectures/01_-_English/02_-_Month_wise/12_-_December/02/MW_LA_1973-12-02_What_the_Heart_Needs.mp3</t>
  </si>
  <si>
    <t>SB_1-15-22_LA_1973-12-02_Intoxication_on_Top_of_Intoxication.mp3</t>
  </si>
  <si>
    <t>https://audio.iskcondesiretree.com/01_-_Srila_Prabhupada/01_-_Lectures/01_-_English/02_-_Month_wise/12_-_December/02/SB_1-15-22_LA_1973-12-02_Intoxication_on_Top_of_Intoxication.mp3</t>
  </si>
  <si>
    <t>SP_Morning_Walk_-_Los_Angeles_1973-12-03_Amino_Asses.mp3</t>
  </si>
  <si>
    <t>https://audio.iskcondesiretree.com/01_-_Srila_Prabhupada/01_-_Lectures/01_-_English/01_-_Topic_wise/Morning_Walk/SP_Morning_Walk_-_Los_Angeles_1973-12-03_Amino_Asses.mp3</t>
  </si>
  <si>
    <t>SP_SB_1-15-24_Los_Angeles_1973-12-03_You_Think_You_Can_Bluff_the--etc.mp3</t>
  </si>
  <si>
    <t>https://audio.iskcondesiretree.com/01_-_Srila_Prabhupada/01_-_Lectures/01_-_English/01_-_Topic_wise/Srimad_Bhagavatam/Canto-01/SP_SB_1-15-24_Los_Angeles_1973-12-03_You_Think_You_Can_Bluff_the--etc.mp3</t>
  </si>
  <si>
    <t>MW_LA_1973-12-03_Amino_Asses.mp3</t>
  </si>
  <si>
    <t>https://audio.iskcondesiretree.com/01_-_Srila_Prabhupada/01_-_Lectures/01_-_English/02_-_Month_wise/12_-_December/03/MW_LA_1973-12-03_Amino_Asses.mp3</t>
  </si>
  <si>
    <t>SB_1-15-24_LA_1973-12-03_You_Think_You_Can_Bluff_the_etc.mp3</t>
  </si>
  <si>
    <t>https://audio.iskcondesiretree.com/01_-_Srila_Prabhupada/01_-_Lectures/01_-_English/02_-_Month_wise/12_-_December/03/SB_1-15-24_LA_1973-12-03_You_Think_You_Can_Bluff_the_etc.mp3</t>
  </si>
  <si>
    <t>SP_Morning_Walk_-_Los_Angeles_1973-12-04_Sincere_Atheist-Honest_Thief.mp3</t>
  </si>
  <si>
    <t>https://audio.iskcondesiretree.com/01_-_Srila_Prabhupada/01_-_Lectures/01_-_English/01_-_Topic_wise/Morning_Walk/SP_Morning_Walk_-_Los_Angeles_1973-12-04_Sincere_Atheist-Honest_Thief.mp3</t>
  </si>
  <si>
    <t>SP_SB_1-15-25_Los_Angeles_1973-12-04_Varnasrama-Overhauling_Hell.mp3</t>
  </si>
  <si>
    <t>https://audio.iskcondesiretree.com/01_-_Srila_Prabhupada/01_-_Lectures/01_-_English/01_-_Topic_wise/Srimad_Bhagavatam/Canto-01/SP_SB_1-15-25_Los_Angeles_1973-12-04_Varnasrama-Overhauling_Hell.mp3</t>
  </si>
  <si>
    <t>MW_LA_1973-12-04_Sincere_Atheist-Honest_Thief.mp3</t>
  </si>
  <si>
    <t>https://audio.iskcondesiretree.com/01_-_Srila_Prabhupada/01_-_Lectures/01_-_English/02_-_Month_wise/12_-_December/04/MW_LA_1973-12-04_Sincere_Atheist-Honest_Thief.mp3</t>
  </si>
  <si>
    <t>SB_1-15-25_LA_1973-12-04_Varnasrama-Overhauling_Hell.mp3</t>
  </si>
  <si>
    <t>https://audio.iskcondesiretree.com/01_-_Srila_Prabhupada/01_-_Lectures/01_-_English/02_-_Month_wise/12_-_December/04/SB_1-15-25_LA_1973-12-04_Varnasrama-Overhauling_Hell.mp3</t>
  </si>
  <si>
    <t>SP_Morning_Walk_-_Los_Angeles_1973-12-05_Don%27t_Do_Your_Own_Thing.mp3</t>
  </si>
  <si>
    <t>https://audio.iskcondesiretree.com/01_-_Srila_Prabhupada/01_-_Lectures/01_-_English/01_-_Topic_wise/Morning_Walk/SP_Morning_Walk_-_Los_Angeles_1973-12-05_Don%27t_Do_Your_Own_Thing.mp3</t>
  </si>
  <si>
    <t>SP_Morning_Walk_-_Los_Angeles_1973-12-05_We_Have_Free_Will.mp3</t>
  </si>
  <si>
    <t>https://audio.iskcondesiretree.com/01_-_Srila_Prabhupada/01_-_Lectures/01_-_English/01_-_Topic_wise/Morning_Walk/SP_Morning_Walk_-_Los_Angeles_1973-12-05_We_Have_Free_Will.mp3</t>
  </si>
  <si>
    <t>SP_SB_1-15-26_Los_Angeles_1973-12-05_Making_the_World_Truly_Aryan.mp3</t>
  </si>
  <si>
    <t>https://audio.iskcondesiretree.com/01_-_Srila_Prabhupada/01_-_Lectures/01_-_English/01_-_Topic_wise/Srimad_Bhagavatam/Canto-01/SP_SB_1-15-26_Los_Angeles_1973-12-05_Making_the_World_Truly_Aryan.mp3</t>
  </si>
  <si>
    <t>SP_SB_1-15-27_Los_Angeles_1973-12-05_Mistaking_Suffering_for_Enjoyment.mp3</t>
  </si>
  <si>
    <t>https://audio.iskcondesiretree.com/01_-_Srila_Prabhupada/01_-_Lectures/01_-_English/01_-_Topic_wise/Srimad_Bhagavatam/Canto-01/SP_SB_1-15-27_Los_Angeles_1973-12-05_Mistaking_Suffering_for_Enjoyment.mp3</t>
  </si>
  <si>
    <t>MW_LA_1973-12-05_Don%27t_Do_Your_Own_Thing.mp3</t>
  </si>
  <si>
    <t>https://audio.iskcondesiretree.com/01_-_Srila_Prabhupada/01_-_Lectures/01_-_English/02_-_Month_wise/12_-_December/05/MW_LA_1973-12-05_Don%27t_Do_Your_Own_Thing.mp3</t>
  </si>
  <si>
    <t>MW_LA_1973-12-05_We_Have_Free_Will.mp3</t>
  </si>
  <si>
    <t>https://audio.iskcondesiretree.com/01_-_Srila_Prabhupada/01_-_Lectures/01_-_English/02_-_Month_wise/12_-_December/05/MW_LA_1973-12-05_We_Have_Free_Will.mp3</t>
  </si>
  <si>
    <t>SB_1-15-26_LA_1973-12-05_Making_the_World_Truly_Aryan.mp3</t>
  </si>
  <si>
    <t>https://audio.iskcondesiretree.com/01_-_Srila_Prabhupada/01_-_Lectures/01_-_English/02_-_Month_wise/12_-_December/05/SB_1-15-26_LA_1973-12-05_Making_the_World_Truly_Aryan.mp3</t>
  </si>
  <si>
    <t>SB_1-15-27_LA_1973-12-05_Mistaking_Suffering_for_Enjoyment.mp3</t>
  </si>
  <si>
    <t>https://audio.iskcondesiretree.com/01_-_Srila_Prabhupada/01_-_Lectures/01_-_English/02_-_Month_wise/12_-_December/05/SB_1-15-27_LA_1973-12-05_Mistaking_Suffering_for_Enjoyment.mp3</t>
  </si>
  <si>
    <t>SP_SB_1-15-28_Los_Angeles_1973-12-06_Who_to_Meditate_On.mp3</t>
  </si>
  <si>
    <t>https://audio.iskcondesiretree.com/01_-_Srila_Prabhupada/01_-_Lectures/01_-_English/01_-_Topic_wise/Srimad_Bhagavatam/Canto-01/SP_SB_1-15-28_Los_Angeles_1973-12-06_Who_to_Meditate_On.mp3</t>
  </si>
  <si>
    <t>SB_1-15-28_LA_1973-12-06_Who_to_Meditate_On.mp3</t>
  </si>
  <si>
    <t>https://audio.iskcondesiretree.com/01_-_Srila_Prabhupada/01_-_Lectures/01_-_English/02_-_Month_wise/12_-_December/06/SB_1-15-28_LA_1973-12-06_Who_to_Meditate_On.mp3</t>
  </si>
  <si>
    <t>SP_Morning_Walk_-_Los_Angeles_1973-12-07_Progress_Towards_Darkness.mp3</t>
  </si>
  <si>
    <t>https://audio.iskcondesiretree.com/01_-_Srila_Prabhupada/01_-_Lectures/01_-_English/01_-_Topic_wise/Morning_Walk/SP_Morning_Walk_-_Los_Angeles_1973-12-07_Progress_Towards_Darkness.mp3</t>
  </si>
  <si>
    <t>SP_SB_1-15-29_Los_Angeles_1973-12-07_Becoming_Anxiety-Less.mp3</t>
  </si>
  <si>
    <t>https://audio.iskcondesiretree.com/01_-_Srila_Prabhupada/01_-_Lectures/01_-_English/01_-_Topic_wise/Srimad_Bhagavatam/Canto-01/SP_SB_1-15-29_Los_Angeles_1973-12-07_Becoming_Anxiety-Less.mp3</t>
  </si>
  <si>
    <t>MW_LA_1973-12-07_Progress_Towards_Darkness.mp3</t>
  </si>
  <si>
    <t>https://audio.iskcondesiretree.com/01_-_Srila_Prabhupada/01_-_Lectures/01_-_English/02_-_Month_wise/12_-_December/07/MW_LA_1973-12-07_Progress_Towards_Darkness.mp3</t>
  </si>
  <si>
    <t>SB_1-15-29_LA_1973-12-07_Becoming_Anxiety-Less.mp3</t>
  </si>
  <si>
    <t>https://audio.iskcondesiretree.com/01_-_Srila_Prabhupada/01_-_Lectures/01_-_English/02_-_Month_wise/12_-_December/07/SB_1-15-29_LA_1973-12-07_Becoming_Anxiety-Less.mp3</t>
  </si>
  <si>
    <t>SP_SB_1-15-30_Los_Angeles_1973-12-08_Hearing_the_Gita_As_Arjuna_Did.mp3</t>
  </si>
  <si>
    <t>https://audio.iskcondesiretree.com/01_-_Srila_Prabhupada/01_-_Lectures/01_-_English/01_-_Topic_wise/Srimad_Bhagavatam/Canto-01/SP_SB_1-15-30_Los_Angeles_1973-12-08_Hearing_the_Gita_As_Arjuna_Did.mp3</t>
  </si>
  <si>
    <t>SB_1-15-30_LA_1973-12-08_Hearing_the_Gita_As_Arjuna_Did.mp3</t>
  </si>
  <si>
    <t>https://audio.iskcondesiretree.com/01_-_Srila_Prabhupada/01_-_Lectures/01_-_English/02_-_Month_wise/12_-_December/08/SB_1-15-30_LA_1973-12-08_Hearing_the_Gita_As_Arjuna_Did.mp3</t>
  </si>
  <si>
    <t>SP_Room_Conversation_Los_Angeles_1973-12-09_Prof--A_Little_Krishna_Consciousness--etc.mp3</t>
  </si>
  <si>
    <t>https://audio.iskcondesiretree.com/01_-_Srila_Prabhupada/01_-_Lectures/01_-_English/01_-_Topic_wise/Room_Conversation/SP_Room_Conversation_Los_Angeles_1973-12-09_Prof--A_Little_Krishna_Consciousness--etc.mp3</t>
  </si>
  <si>
    <t>SP_SB_1-15-31_Los_Angeles_1973-12-09_Illusory_Contemplations.mp3</t>
  </si>
  <si>
    <t>https://audio.iskcondesiretree.com/01_-_Srila_Prabhupada/01_-_Lectures/01_-_English/01_-_Topic_wise/Srimad_Bhagavatam/Canto-01/SP_SB_1-15-31_Los_Angeles_1973-12-09_Illusory_Contemplations.mp3</t>
  </si>
  <si>
    <t>RC_LA_1973-12-09_Prof-A_Little_Krishna_Consciousness_etc.mp3</t>
  </si>
  <si>
    <t>https://audio.iskcondesiretree.com/01_-_Srila_Prabhupada/01_-_Lectures/01_-_English/02_-_Month_wise/12_-_December/09/RC_LA_1973-12-09_Prof-A_Little_Krishna_Consciousness_etc.mp3</t>
  </si>
  <si>
    <t>SB_1-15-31_LA_1973-12-09_Illusory_Contemplations.mp3</t>
  </si>
  <si>
    <t>https://audio.iskcondesiretree.com/01_-_Srila_Prabhupada/01_-_Lectures/01_-_English/02_-_Month_wise/12_-_December/09/SB_1-15-31_LA_1973-12-09_Illusory_Contemplations.mp3</t>
  </si>
  <si>
    <t>SP_Morning_Walk_-_Los_Angeles_1973-12-11_Scientific_Church.mp3</t>
  </si>
  <si>
    <t>https://audio.iskcondesiretree.com/01_-_Srila_Prabhupada/01_-_Lectures/01_-_English/01_-_Topic_wise/Morning_Walk/SP_Morning_Walk_-_Los_Angeles_1973-12-11_Scientific_Church.mp3</t>
  </si>
  <si>
    <t>SP_SB_1-15-33_Los_Angeles_1973-12-11_Separation_and_Search.mp3</t>
  </si>
  <si>
    <t>https://audio.iskcondesiretree.com/01_-_Srila_Prabhupada/01_-_Lectures/01_-_English/01_-_Topic_wise/Srimad_Bhagavatam/Canto-01/SP_SB_1-15-33_Los_Angeles_1973-12-11_Separation_and_Search.mp3</t>
  </si>
  <si>
    <t>MW_LA_1973-12-11_Scientific_Church.mp3</t>
  </si>
  <si>
    <t>https://audio.iskcondesiretree.com/01_-_Srila_Prabhupada/01_-_Lectures/01_-_English/02_-_Month_wise/12_-_December/11/MW_LA_1973-12-11_Scientific_Church.mp3</t>
  </si>
  <si>
    <t>SB_1-15-33_LA_1973-12-11_Separation_and_Search.mp3</t>
  </si>
  <si>
    <t>https://audio.iskcondesiretree.com/01_-_Srila_Prabhupada/01_-_Lectures/01_-_English/02_-_Month_wise/12_-_December/11/SB_1-15-33_LA_1973-12-11_Separation_and_Search.mp3</t>
  </si>
  <si>
    <t>SP_SB_1-15-34_Los_Angeles_1973-12-12_Demonic_Means_Puffed_Up.mp3</t>
  </si>
  <si>
    <t>https://audio.iskcondesiretree.com/01_-_Srila_Prabhupada/01_-_Lectures/01_-_English/01_-_Topic_wise/Srimad_Bhagavatam/Canto-01/SP_SB_1-15-34_Los_Angeles_1973-12-12_Demonic_Means_Puffed_Up.mp3</t>
  </si>
  <si>
    <t>SB_1-15-34_LA_1973-12-12_Demonic_Means_Puffed_Up.mp3</t>
  </si>
  <si>
    <t>https://audio.iskcondesiretree.com/01_-_Srila_Prabhupada/01_-_Lectures/01_-_English/02_-_Month_wise/12_-_December/12/SB_1-15-34_LA_1973-12-12_Demonic_Means_Puffed_Up.mp3</t>
  </si>
  <si>
    <t>SP_Festivals_Los_Angeles_1973-12-13_Bhaktisiddhanta_Disappearance.mp3</t>
  </si>
  <si>
    <t>https://audio.iskcondesiretree.com/01_-_Srila_Prabhupada/01_-_Lectures/01_-_English/01_-_Topic_wise/Festivals/SP_Festivals_Los_Angeles_1973-12-13_Bhaktisiddhanta_Disappearance.mp3</t>
  </si>
  <si>
    <t>SP_Festivals_Los_Angeles_1973-12-13_Disappearance--Bhaktisiddhanta_Sarasvati.mp3</t>
  </si>
  <si>
    <t>https://audio.iskcondesiretree.com/01_-_Srila_Prabhupada/01_-_Lectures/01_-_English/01_-_Topic_wise/Festivals/SP_Festivals_Los_Angeles_1973-12-13_Disappearance--Bhaktisiddhanta_Sarasvati.mp3</t>
  </si>
  <si>
    <t>SP_Morning_Walk_-_Los_Angeles_1973-12-13_America_Has_to_Stop_Demonism.mp3</t>
  </si>
  <si>
    <t>https://audio.iskcondesiretree.com/01_-_Srila_Prabhupada/01_-_Lectures/01_-_English/01_-_Topic_wise/Morning_Walk/SP_Morning_Walk_-_Los_Angeles_1973-12-13_America_Has_to_Stop_Demonism.mp3</t>
  </si>
  <si>
    <t>SP_SB_1-15-35_Los_Angeles_1973-12-13_The_Mantra_of_Meekness.mp3</t>
  </si>
  <si>
    <t>https://audio.iskcondesiretree.com/01_-_Srila_Prabhupada/01_-_Lectures/01_-_English/01_-_Topic_wise/Srimad_Bhagavatam/Canto-01/SP_SB_1-15-35_Los_Angeles_1973-12-13_The_Mantra_of_Meekness.mp3</t>
  </si>
  <si>
    <t>Fest_LA_1973-12-13_Bhaktisiddhanta_Disappearance.mp3</t>
  </si>
  <si>
    <t>https://audio.iskcondesiretree.com/01_-_Srila_Prabhupada/01_-_Lectures/01_-_English/02_-_Month_wise/12_-_December/13/Fest_LA_1973-12-13_Bhaktisiddhanta_Disappearance.mp3</t>
  </si>
  <si>
    <t>Fest_LA_1973-12-13_Disappearance_Bhaktisiddhanta_Sarasvati.mp3</t>
  </si>
  <si>
    <t>https://audio.iskcondesiretree.com/01_-_Srila_Prabhupada/01_-_Lectures/01_-_English/02_-_Month_wise/12_-_December/13/Fest_LA_1973-12-13_Disappearance_Bhaktisiddhanta_Sarasvati.mp3</t>
  </si>
  <si>
    <t>MW_LA_1973-12-13_America_Has_to_Stop_Demonism.mp3</t>
  </si>
  <si>
    <t>https://audio.iskcondesiretree.com/01_-_Srila_Prabhupada/01_-_Lectures/01_-_English/02_-_Month_wise/12_-_December/13/MW_LA_1973-12-13_America_Has_to_Stop_Demonism.mp3</t>
  </si>
  <si>
    <t>SB_1-15-35_LA_1973-12-13_The_Mantra_of_Meekness.mp3</t>
  </si>
  <si>
    <t>https://audio.iskcondesiretree.com/01_-_Srila_Prabhupada/01_-_Lectures/01_-_English/02_-_Month_wise/12_-_December/13/SB_1-15-35_LA_1973-12-13_The_Mantra_of_Meekness.mp3</t>
  </si>
  <si>
    <t>SP_Morning_Walk_-_Los_Angeles_1973-12-14_Demons_Elected_by_Demons.mp3</t>
  </si>
  <si>
    <t>https://audio.iskcondesiretree.com/01_-_Srila_Prabhupada/01_-_Lectures/01_-_English/01_-_Topic_wise/Morning_Walk/SP_Morning_Walk_-_Los_Angeles_1973-12-14_Demons_Elected_by_Demons.mp3</t>
  </si>
  <si>
    <t>SP_SB_1-15-36_Los_Angeles_1973-12-14_From_External_Illusion.mp3</t>
  </si>
  <si>
    <t>https://audio.iskcondesiretree.com/01_-_Srila_Prabhupada/01_-_Lectures/01_-_English/01_-_Topic_wise/Srimad_Bhagavatam/Canto-01/SP_SB_1-15-36_Los_Angeles_1973-12-14_From_External_Illusion.mp3</t>
  </si>
  <si>
    <t>MW_LA_1973-12-14_Demons_Elected_by_Demons.mp3</t>
  </si>
  <si>
    <t>https://audio.iskcondesiretree.com/01_-_Srila_Prabhupada/01_-_Lectures/01_-_English/02_-_Month_wise/12_-_December/14/MW_LA_1973-12-14_Demons_Elected_by_Demons.mp3</t>
  </si>
  <si>
    <t>SB_1-15-36_LA_1973-12-14_From_External_Illusion.mp3</t>
  </si>
  <si>
    <t>https://audio.iskcondesiretree.com/01_-_Srila_Prabhupada/01_-_Lectures/01_-_English/02_-_Month_wise/12_-_December/14/SB_1-15-36_LA_1973-12-14_From_External_Illusion.mp3</t>
  </si>
  <si>
    <t>SP_Morning_Walk_-_Los_Angeles_1973-12-15_Philosophy_of_the_Mad.mp3</t>
  </si>
  <si>
    <t>https://audio.iskcondesiretree.com/01_-_Srila_Prabhupada/01_-_Lectures/01_-_English/01_-_Topic_wise/Morning_Walk/SP_Morning_Walk_-_Los_Angeles_1973-12-15_Philosophy_of_the_Mad.mp3</t>
  </si>
  <si>
    <t>SP_SB_1-15-37_Los_Angeles_1973-12-15_Exalted_Elected_Dogs_and_Asses.mp3</t>
  </si>
  <si>
    <t>https://audio.iskcondesiretree.com/01_-_Srila_Prabhupada/01_-_Lectures/01_-_English/01_-_Topic_wise/Srimad_Bhagavatam/Canto-01/SP_SB_1-15-37_Los_Angeles_1973-12-15_Exalted_Elected_Dogs_and_Asses.mp3</t>
  </si>
  <si>
    <t>MW_LA_1973-12-15_Philosophy_of_the_Mad.mp3</t>
  </si>
  <si>
    <t>https://audio.iskcondesiretree.com/01_-_Srila_Prabhupada/01_-_Lectures/01_-_English/02_-_Month_wise/12_-_December/15/MW_LA_1973-12-15_Philosophy_of_the_Mad.mp3</t>
  </si>
  <si>
    <t>SB_1-15-37_LA_1973-12-15_Exalted_Elected_Dogs_and_Asses.mp3</t>
  </si>
  <si>
    <t>https://audio.iskcondesiretree.com/01_-_Srila_Prabhupada/01_-_Lectures/01_-_English/02_-_Month_wise/12_-_December/15/SB_1-15-37_LA_1973-12-15_Exalted_Elected_Dogs_and_Asses.mp3</t>
  </si>
  <si>
    <t>SP_Morning_Walk_-_Los_Angeles_1973-12-16_The_Absolute_Need_for_God.mp3</t>
  </si>
  <si>
    <t>https://audio.iskcondesiretree.com/01_-_Srila_Prabhupada/01_-_Lectures/01_-_English/01_-_Topic_wise/Morning_Walk/SP_Morning_Walk_-_Los_Angeles_1973-12-16_The_Absolute_Need_for_God.mp3</t>
  </si>
  <si>
    <t>SP_SB_1-15-38_Los_Angeles_1973-12-16_The_Ruler_Should_Be_Devotee.mp3</t>
  </si>
  <si>
    <t>https://audio.iskcondesiretree.com/01_-_Srila_Prabhupada/01_-_Lectures/01_-_English/01_-_Topic_wise/Srimad_Bhagavatam/Canto-01/SP_SB_1-15-38_Los_Angeles_1973-12-16_The_Ruler_Should_Be_Devotee.mp3</t>
  </si>
  <si>
    <t>MW_LA_1973-12-16_The_Absolute_Need_for_God.mp3</t>
  </si>
  <si>
    <t>https://audio.iskcondesiretree.com/01_-_Srila_Prabhupada/01_-_Lectures/01_-_English/02_-_Month_wise/12_-_December/16/MW_LA_1973-12-16_The_Absolute_Need_for_God.mp3</t>
  </si>
  <si>
    <t>SB_1-15-38_LA_1973-12-16_The_Ruler_Should_Be_Devotee.mp3</t>
  </si>
  <si>
    <t>https://audio.iskcondesiretree.com/01_-_Srila_Prabhupada/01_-_Lectures/01_-_English/02_-_Month_wise/12_-_December/16/SB_1-15-38_LA_1973-12-16_The_Ruler_Should_Be_Devotee.mp3</t>
  </si>
  <si>
    <t>SP_Morning_Walk_-_Los_Angeles_1973-12-17_Soul_Science.mp3</t>
  </si>
  <si>
    <t>https://audio.iskcondesiretree.com/01_-_Srila_Prabhupada/01_-_Lectures/01_-_English/01_-_Topic_wise/Morning_Walk/SP_Morning_Walk_-_Los_Angeles_1973-12-17_Soul_Science.mp3</t>
  </si>
  <si>
    <t>SP_SB_1-15-39_Los_Angeles_1973-12-17_Retirement_Timely_and_Transcendental.mp3</t>
  </si>
  <si>
    <t>https://audio.iskcondesiretree.com/01_-_Srila_Prabhupada/01_-_Lectures/01_-_English/01_-_Topic_wise/Srimad_Bhagavatam/Canto-01/SP_SB_1-15-39_Los_Angeles_1973-12-17_Retirement_Timely_and_Transcendental.mp3</t>
  </si>
  <si>
    <t>MW_LA_1973-12-17_Soul_Science.mp3</t>
  </si>
  <si>
    <t>https://audio.iskcondesiretree.com/01_-_Srila_Prabhupada/01_-_Lectures/01_-_English/02_-_Month_wise/12_-_December/17/MW_LA_1973-12-17_Soul_Science.mp3</t>
  </si>
  <si>
    <t>SB_1-15-39_LA_1973-12-17_Retirement%2C_Timely_and_Transcendental.mp3</t>
  </si>
  <si>
    <t>https://audio.iskcondesiretree.com/01_-_Srila_Prabhupada/01_-_Lectures/01_-_English/02_-_Month_wise/12_-_December/17/SB_1-15-39_LA_1973-12-17_Retirement%2C_Timely_and_Transcendental.mp3</t>
  </si>
  <si>
    <t>SP_Morning_Walk_-_Los_Angeles_1973-12-18_In_God_We_Trust-Meaning_What.mp3</t>
  </si>
  <si>
    <t>https://audio.iskcondesiretree.com/01_-_Srila_Prabhupada/01_-_Lectures/01_-_English/01_-_Topic_wise/Morning_Walk/SP_Morning_Walk_-_Los_Angeles_1973-12-18_In_God_We_Trust-Meaning_What.mp3</t>
  </si>
  <si>
    <t>SP_SB_1-15-40_Los_Angeles_1973-12-18_Bondage_and_Freedom.mp3</t>
  </si>
  <si>
    <t>https://audio.iskcondesiretree.com/01_-_Srila_Prabhupada/01_-_Lectures/01_-_English/01_-_Topic_wise/Srimad_Bhagavatam/Canto-01/SP_SB_1-15-40_Los_Angeles_1973-12-18_Bondage_and_Freedom.mp3</t>
  </si>
  <si>
    <t>MW_LA_1973-12-18_In_God_We_Trust-Meaning_What.mp3</t>
  </si>
  <si>
    <t>https://audio.iskcondesiretree.com/01_-_Srila_Prabhupada/01_-_Lectures/01_-_English/02_-_Month_wise/12_-_December/18/MW_LA_1973-12-18_In_God_We_Trust-Meaning_What.mp3</t>
  </si>
  <si>
    <t>SB_1-15-40_LA_1973-12-18_Bondage_and_Freedom.mp3</t>
  </si>
  <si>
    <t>https://audio.iskcondesiretree.com/01_-_Srila_Prabhupada/01_-_Lectures/01_-_English/02_-_Month_wise/12_-_December/18/SB_1-15-40_LA_1973-12-18_Bondage_and_Freedom.mp3</t>
  </si>
  <si>
    <t>SP_SB_1-15-41_Los_Angeles_1973-12-19_Aural_Concentration.mp3</t>
  </si>
  <si>
    <t>https://audio.iskcondesiretree.com/01_-_Srila_Prabhupada/01_-_Lectures/01_-_English/01_-_Topic_wise/Srimad_Bhagavatam/Canto-01/SP_SB_1-15-41_Los_Angeles_1973-12-19_Aural_Concentration.mp3</t>
  </si>
  <si>
    <t>SB_1-15-41_LA_1973-12-19_Aural_Concentration.mp3</t>
  </si>
  <si>
    <t>https://audio.iskcondesiretree.com/01_-_Srila_Prabhupada/01_-_Lectures/01_-_English/02_-_Month_wise/12_-_December/19/SB_1-15-41_LA_1973-12-19_Aural_Concentration.mp3</t>
  </si>
  <si>
    <t>SP_SB_1-15-42_Los_Angeles_1973-12-20_Trust_a_God_You_Don%27t_Know.mp3</t>
  </si>
  <si>
    <t>https://audio.iskcondesiretree.com/01_-_Srila_Prabhupada/01_-_Lectures/01_-_English/01_-_Topic_wise/Srimad_Bhagavatam/Canto-01/SP_SB_1-15-42_Los_Angeles_1973-12-20_Trust_a_God_You_Don%27t_Know.mp3</t>
  </si>
  <si>
    <t>SB_1-15-42_LA_1973-12-20_Trust_a_God_You_Don%27t_Know.mp3</t>
  </si>
  <si>
    <t>https://audio.iskcondesiretree.com/01_-_Srila_Prabhupada/01_-_Lectures/01_-_English/02_-_Month_wise/12_-_December/20/SB_1-15-42_LA_1973-12-20_Trust_a_God_You_Don%27t_Know.mp3</t>
  </si>
  <si>
    <t>SP_SB_1-15-44_Los_Angeles_1973-12-22_Our_Real_Problem_Isn%27t_Petrol.mp3</t>
  </si>
  <si>
    <t>https://audio.iskcondesiretree.com/01_-_Srila_Prabhupada/01_-_Lectures/01_-_English/01_-_Topic_wise/Srimad_Bhagavatam/Canto-01/SP_SB_1-15-44_Los_Angeles_1973-12-22_Our_Real_Problem_Isn%27t_Petrol.mp3</t>
  </si>
  <si>
    <t>SB_1-15-44_LA_1973-12-22_Our_Real_Problem_Isn%27t_Petrol.mp3</t>
  </si>
  <si>
    <t>https://audio.iskcondesiretree.com/01_-_Srila_Prabhupada/01_-_Lectures/01_-_English/02_-_Month_wise/12_-_December/22/SB_1-15-44_LA_1973-12-22_Our_Real_Problem_Isn%27t_Petrol.mp3</t>
  </si>
  <si>
    <t>SP_SB_1-15-45_Los_Angeles_1973-12-23_This_Civilization_Will_Not_Help.mp3</t>
  </si>
  <si>
    <t>https://audio.iskcondesiretree.com/01_-_Srila_Prabhupada/01_-_Lectures/01_-_English/01_-_Topic_wise/Srimad_Bhagavatam/Canto-01/SP_SB_1-15-45_Los_Angeles_1973-12-23_This_Civilization_Will_Not_Help.mp3</t>
  </si>
  <si>
    <t>SB_1-15-45_LA_1973-12-23_This_Civilization_Will_Not_Help.mp3</t>
  </si>
  <si>
    <t>https://audio.iskcondesiretree.com/01_-_Srila_Prabhupada/01_-_Lectures/01_-_English/02_-_Month_wise/12_-_December/23/SB_1-15-45_LA_1973-12-23_This_Civilization_Will_Not_Help.mp3</t>
  </si>
  <si>
    <t>SP_SB_1-15-46_Los_Angeles_1973-12-24_Predictions_for_Age_of_Quarrel.mp3</t>
  </si>
  <si>
    <t>https://audio.iskcondesiretree.com/01_-_Srila_Prabhupada/01_-_Lectures/01_-_English/01_-_Topic_wise/Srimad_Bhagavatam/Canto-01/SP_SB_1-15-46_Los_Angeles_1973-12-24_Predictions_for_Age_of_Quarrel.mp3</t>
  </si>
  <si>
    <t>SB_1-15-46_LA_1973-12-24_Predictions_for_Age_of_Quarrel.mp3</t>
  </si>
  <si>
    <t>https://audio.iskcondesiretree.com/01_-_Srila_Prabhupada/01_-_Lectures/01_-_English/02_-_Month_wise/12_-_December/24/SB_1-15-46_LA_1973-12-24_Predictions_for_Age_of_Quarrel.mp3</t>
  </si>
  <si>
    <t>SP_SB_1-15-47_Los_Angeles_1973-12-25_Seeing_Krishna_Face_to_Face.mp3</t>
  </si>
  <si>
    <t>https://audio.iskcondesiretree.com/01_-_Srila_Prabhupada/01_-_Lectures/01_-_English/01_-_Topic_wise/Srimad_Bhagavatam/Canto-01/SP_SB_1-15-47_Los_Angeles_1973-12-25_Seeing_Krishna_Face_to_Face.mp3</t>
  </si>
  <si>
    <t>SB_1-15-47_LA_1973-12-25_Seeing_Krishna_Face_to_Face.mp3</t>
  </si>
  <si>
    <t>https://audio.iskcondesiretree.com/01_-_Srila_Prabhupada/01_-_Lectures/01_-_English/02_-_Month_wise/12_-_December/25/SB_1-15-47_LA_1973-12-25_Seeing_Krishna_Face_to_Face.mp3</t>
  </si>
  <si>
    <t>SP_SB_1-15-49_Los_Angeles_1973-12-26_What_to_Think_About_at_Death.mp3</t>
  </si>
  <si>
    <t>https://audio.iskcondesiretree.com/01_-_Srila_Prabhupada/01_-_Lectures/01_-_English/01_-_Topic_wise/Srimad_Bhagavatam/Canto-01/SP_SB_1-15-49_Los_Angeles_1973-12-26_What_to_Think_About_at_Death.mp3</t>
  </si>
  <si>
    <t>SB_1-15-49_LA_1973-12-26_What_to_Think_About_at_Death.mp3</t>
  </si>
  <si>
    <t>https://audio.iskcondesiretree.com/01_-_Srila_Prabhupada/01_-_Lectures/01_-_English/02_-_Month_wise/12_-_December/26/SB_1-15-49_LA_1973-12-26_What_to_Think_About_at_Death.mp3</t>
  </si>
  <si>
    <t>SP_SB_1-15-50_Los_Angeles_1973-12-27_Simply_Depending_On_Krishna.mp3</t>
  </si>
  <si>
    <t>https://audio.iskcondesiretree.com/01_-_Srila_Prabhupada/01_-_Lectures/01_-_English/01_-_Topic_wise/Srimad_Bhagavatam/Canto-01/SP_SB_1-15-50_Los_Angeles_1973-12-27_Simply_Depending_On_Krishna.mp3</t>
  </si>
  <si>
    <t>SB_1-15-50_LA_1973-12-27_Simply_Depending_On_Krishna.mp3</t>
  </si>
  <si>
    <t>https://audio.iskcondesiretree.com/01_-_Srila_Prabhupada/01_-_Lectures/01_-_English/02_-_Month_wise/12_-_December/27/SB_1-15-50_LA_1973-12-27_Simply_Depending_On_Krishna.mp3</t>
  </si>
  <si>
    <t>SP_SB_1-15-51_Los_Angeles_1973-12-28_How_to_Become_Very_Dear_to_God.mp3</t>
  </si>
  <si>
    <t>https://audio.iskcondesiretree.com/01_-_Srila_Prabhupada/01_-_Lectures/01_-_English/01_-_Topic_wise/Srimad_Bhagavatam/Canto-01/SP_SB_1-15-51_Los_Angeles_1973-12-28_How_to_Become_Very_Dear_to_God.mp3</t>
  </si>
  <si>
    <t>SB_1-15-51_LA_1973-12-28_How_to_Become_Very_Dear_to_God.mp3</t>
  </si>
  <si>
    <t>https://audio.iskcondesiretree.com/01_-_Srila_Prabhupada/01_-_Lectures/01_-_English/02_-_Month_wise/12_-_December/28/SB_1-15-51_LA_1973-12-28_How_to_Become_Very_Dear_to_God.mp3</t>
  </si>
  <si>
    <t>SP_SB_1-16-01_Los_Angeles_1973-12-29_The_Best_Form_of_Government.mp3</t>
  </si>
  <si>
    <t>https://audio.iskcondesiretree.com/01_-_Srila_Prabhupada/01_-_Lectures/01_-_English/01_-_Topic_wise/Srimad_Bhagavatam/Canto-01/SP_SB_1-16-01_Los_Angeles_1973-12-29_The_Best_Form_of_Government.mp3</t>
  </si>
  <si>
    <t>SB_1-16-01_LA_1973-12-29_The_Best_Form_of_Government.mp3</t>
  </si>
  <si>
    <t>https://audio.iskcondesiretree.com/01_-_Srila_Prabhupada/01_-_Lectures/01_-_English/02_-_Month_wise/12_-_December/29/SB_1-16-01_LA_1973-12-29_The_Best_Form_of_Government.mp3</t>
  </si>
  <si>
    <t>SP_SB_1-16-02_Los_Angeles_1973-12-30_Brahmanas_Slip--Kali-yuga_Starts.mp3</t>
  </si>
  <si>
    <t>https://audio.iskcondesiretree.com/01_-_Srila_Prabhupada/01_-_Lectures/01_-_English/01_-_Topic_wise/Srimad_Bhagavatam/Canto-01/SP_SB_1-16-02_Los_Angeles_1973-12-30_Brahmanas_Slip--Kali-yuga_Starts.mp3</t>
  </si>
  <si>
    <t>SB_1-16-02_LA_1973-12-30_Brahmanas_Slip-Kali-yuga_Starts.mp3</t>
  </si>
  <si>
    <t>https://audio.iskcondesiretree.com/01_-_Srila_Prabhupada/01_-_Lectures/01_-_English/02_-_Month_wise/12_-_December/30/SB_1-16-02_LA_1973-12-30_Brahmanas_Slip-Kali-yuga_Starts.mp3</t>
  </si>
  <si>
    <t>SP_SB_1-16-03_Los_Angeles_1973-12-31_You_Can_See_and_Talk_with_God.mp3</t>
  </si>
  <si>
    <t>https://audio.iskcondesiretree.com/01_-_Srila_Prabhupada/01_-_Lectures/01_-_English/01_-_Topic_wise/Srimad_Bhagavatam/Canto-01/SP_SB_1-16-03_Los_Angeles_1973-12-31_You_Can_See_and_Talk_with_God.mp3</t>
  </si>
  <si>
    <t>SB_1-16-03_LA_1973-12-31_You_Can_See_and_Talk_with_God.mp3</t>
  </si>
  <si>
    <t>https://audio.iskcondesiretree.com/01_-_Srila_Prabhupada/01_-_Lectures/01_-_English/02_-_Month_wise/12_-_December/31/SB_1-16-03_LA_1973-12-31_You_Can_See_and_Talk_with_God.mp3</t>
  </si>
  <si>
    <t>SP_SB_1-16-04_Los_Angeles_1974-01-01_Kali_Began_with_Animal_Killing.mp3</t>
  </si>
  <si>
    <t>https://audio.iskcondesiretree.com/01_-_Srila_Prabhupada/01_-_Lectures/01_-_English/01_-_Topic_wise/Srimad_Bhagavatam/Canto-01/SP_SB_1-16-04_Los_Angeles_1974-01-01_Kali_Began_with_Animal_Killing.mp3</t>
  </si>
  <si>
    <t>SB-01-16-04_1974-01-01-LOS_ANGELES.MP3</t>
  </si>
  <si>
    <t>https://audio.iskcondesiretree.com/01_-_Srila_Prabhupada/01_-_Lectures/01_-_English/02_-_Month_wise/01_-_January/01/SB-01-16-04_1974-01-01-LOS_ANGELES.MP3</t>
  </si>
  <si>
    <t>SB_1-16-04_LA_1974-01-01_Kali_Began_with_Animal_Killing.mp3</t>
  </si>
  <si>
    <t>https://audio.iskcondesiretree.com/01_-_Srila_Prabhupada/01_-_Lectures/01_-_English/02_-_Month_wise/01_-_January/01/SB_1-16-04_LA_1974-01-01_Kali_Began_with_Animal_Killing.mp3</t>
  </si>
  <si>
    <t>SP_SB_1-16-05_Los_Angeles_1974-01-02_Fish_but_Don%27t_Touch_the_Water.mp3</t>
  </si>
  <si>
    <t>https://audio.iskcondesiretree.com/01_-_Srila_Prabhupada/01_-_Lectures/01_-_English/01_-_Topic_wise/Srimad_Bhagavatam/Canto-01/SP_SB_1-16-05_Los_Angeles_1974-01-02_Fish_but_Don%27t_Touch_the_Water.mp3</t>
  </si>
  <si>
    <t>SB-01-16-05_1974-01-02_SB-LOS_ANGELES.MP3</t>
  </si>
  <si>
    <t>https://audio.iskcondesiretree.com/01_-_Srila_Prabhupada/01_-_Lectures/01_-_English/02_-_Month_wise/01_-_January/02/SB-01-16-05_1974-01-02_SB-LOS_ANGELES.MP3</t>
  </si>
  <si>
    <t>SB_1-16-05_LA_1974-01-02_Fish_but_Don%27t_Touch_the_Water.mp3</t>
  </si>
  <si>
    <t>https://audio.iskcondesiretree.com/01_-_Srila_Prabhupada/01_-_Lectures/01_-_English/02_-_Month_wise/01_-_January/02/SB_1-16-05_LA_1974-01-02_Fish_but_Don%27t_Touch_the_Water.mp3</t>
  </si>
  <si>
    <t>SP_Morning_Walk_-_Los_Angeles_1974-01-03_Cats_Dogs_Camels_Goats_%26_Madmen.mp3</t>
  </si>
  <si>
    <t>https://audio.iskcondesiretree.com/01_-_Srila_Prabhupada/01_-_Lectures/01_-_English/01_-_Topic_wise/Morning_Walk/SP_Morning_Walk_-_Los_Angeles_1974-01-03_Cats_Dogs_Camels_Goats_%26_Madmen.mp3</t>
  </si>
  <si>
    <t>SP_SB_1-16-06_Los_Angeles_1974-01-03_The_Medicine_for_Death.mp3</t>
  </si>
  <si>
    <t>https://audio.iskcondesiretree.com/01_-_Srila_Prabhupada/01_-_Lectures/01_-_English/01_-_Topic_wise/Srimad_Bhagavatam/Canto-01/SP_SB_1-16-06_Los_Angeles_1974-01-03_The_Medicine_for_Death.mp3</t>
  </si>
  <si>
    <t>MW_LA_1974-01-03_Cats_Dogs_Camels%2C_Goats_%26_Madmen.mp3</t>
  </si>
  <si>
    <t>https://audio.iskcondesiretree.com/01_-_Srila_Prabhupada/01_-_Lectures/01_-_English/02_-_Month_wise/01_-_January/03/MW_LA_1974-01-03_Cats_Dogs_Camels%2C_Goats_%26_Madmen.mp3</t>
  </si>
  <si>
    <t>SB-01-16-06_1974-01-03_SB-LOS_ANGELES.MP3</t>
  </si>
  <si>
    <t>https://audio.iskcondesiretree.com/01_-_Srila_Prabhupada/01_-_Lectures/01_-_English/02_-_Month_wise/01_-_January/03/SB-01-16-06_1974-01-03_SB-LOS_ANGELES.MP3</t>
  </si>
  <si>
    <t>SB_1-16-06_LA_1974-01-03_The_Medicine_for_Death.mp3</t>
  </si>
  <si>
    <t>https://audio.iskcondesiretree.com/01_-_Srila_Prabhupada/01_-_Lectures/01_-_English/02_-_Month_wise/01_-_January/03/SB_1-16-06_LA_1974-01-03_The_Medicine_for_Death.mp3</t>
  </si>
  <si>
    <t>Walk_1974-01-03_MW-LOS_ANGELES.MP3</t>
  </si>
  <si>
    <t>https://audio.iskcondesiretree.com/01_-_Srila_Prabhupada/01_-_Lectures/01_-_English/02_-_Month_wise/01_-_January/03/Walk_1974-01-03_MW-LOS_ANGELES.MP3</t>
  </si>
  <si>
    <t>SP_SB_1-16-07_Los_Angeles_1974-01-04_Inevitable_Death_and_a_Way_Out.mp3</t>
  </si>
  <si>
    <t>https://audio.iskcondesiretree.com/01_-_Srila_Prabhupada/01_-_Lectures/01_-_English/01_-_Topic_wise/Srimad_Bhagavatam/Canto-01/SP_SB_1-16-07_Los_Angeles_1974-01-04_Inevitable_Death_and_a_Way_Out.mp3</t>
  </si>
  <si>
    <t>SB-01-16-07_1974-01-04_SB-LOS_ANGELES.MP3</t>
  </si>
  <si>
    <t>https://audio.iskcondesiretree.com/01_-_Srila_Prabhupada/01_-_Lectures/01_-_English/02_-_Month_wise/01_-_January/04/SB-01-16-07_1974-01-04_SB-LOS_ANGELES.MP3</t>
  </si>
  <si>
    <t>SB_1-16-07_LA_1974-01-04_Inevitable_Death_and_a_Way_Out.mp3</t>
  </si>
  <si>
    <t>https://audio.iskcondesiretree.com/01_-_Srila_Prabhupada/01_-_Lectures/01_-_English/02_-_Month_wise/01_-_January/04/SB_1-16-07_LA_1974-01-04_Inevitable_Death_and_a_Way_Out.mp3</t>
  </si>
  <si>
    <t>SP_Morning_Walk_-_Los_Angeles_1974-01-05_Dance_Eat_and_Live_Eternally.mp3</t>
  </si>
  <si>
    <t>https://audio.iskcondesiretree.com/01_-_Srila_Prabhupada/01_-_Lectures/01_-_English/01_-_Topic_wise/Morning_Walk/SP_Morning_Walk_-_Los_Angeles_1974-01-05_Dance_Eat_and_Live_Eternally.mp3</t>
  </si>
  <si>
    <t>SP_SB_1-16-08_Los_Angeles_1974-01-05_How_to_Stop_Death.mp3</t>
  </si>
  <si>
    <t>https://audio.iskcondesiretree.com/01_-_Srila_Prabhupada/01_-_Lectures/01_-_English/01_-_Topic_wise/Srimad_Bhagavatam/Canto-01/SP_SB_1-16-08_Los_Angeles_1974-01-05_How_to_Stop_Death.mp3</t>
  </si>
  <si>
    <t>MW_LA_1974-01-05_Dance%2C_Eat_and_Live_Eternally.mp3</t>
  </si>
  <si>
    <t>https://audio.iskcondesiretree.com/01_-_Srila_Prabhupada/01_-_Lectures/01_-_English/02_-_Month_wise/01_-_January/05/MW_LA_1974-01-05_Dance%2C_Eat_and_Live_Eternally.mp3</t>
  </si>
  <si>
    <t>SB-01-16-08_1974-01-05_SB-LOS_ANGELES.MP3</t>
  </si>
  <si>
    <t>https://audio.iskcondesiretree.com/01_-_Srila_Prabhupada/01_-_Lectures/01_-_English/02_-_Month_wise/01_-_January/05/SB-01-16-08_1974-01-05_SB-LOS_ANGELES.MP3</t>
  </si>
  <si>
    <t>SB_1-16-08_LA_1974-01-05_How_to_Stop_Death.mp3</t>
  </si>
  <si>
    <t>https://audio.iskcondesiretree.com/01_-_Srila_Prabhupada/01_-_Lectures/01_-_English/02_-_Month_wise/01_-_January/05/SB_1-16-08_LA_1974-01-05_How_to_Stop_Death.mp3</t>
  </si>
  <si>
    <t>Walk_1974-01-05_MW-LOS_ANGELES.MP3</t>
  </si>
  <si>
    <t>https://audio.iskcondesiretree.com/01_-_Srila_Prabhupada/01_-_Lectures/01_-_English/02_-_Month_wise/01_-_January/05/Walk_1974-01-05_MW-LOS_ANGELES.MP3</t>
  </si>
  <si>
    <t>SP_Morning_Walk_-_Los_Angeles_1974-01-07_What_Is_Real_Leadership.mp3</t>
  </si>
  <si>
    <t>https://audio.iskcondesiretree.com/01_-_Srila_Prabhupada/01_-_Lectures/01_-_English/01_-_Topic_wise/Morning_Walk/SP_Morning_Walk_-_Los_Angeles_1974-01-07_What_Is_Real_Leadership.mp3</t>
  </si>
  <si>
    <t>SP_SB_1-16-10_Los_Angeles_1974-01-07_Pariksit%27s_Answer_to_Kali.mp3</t>
  </si>
  <si>
    <t>https://audio.iskcondesiretree.com/01_-_Srila_Prabhupada/01_-_Lectures/01_-_English/01_-_Topic_wise/Srimad_Bhagavatam/Canto-01/SP_SB_1-16-10_Los_Angeles_1974-01-07_Pariksit%27s_Answer_to_Kali.mp3</t>
  </si>
  <si>
    <t>MW_LA_1974-01-07_What_Is_Real_Leadership.mp3</t>
  </si>
  <si>
    <t>https://audio.iskcondesiretree.com/01_-_Srila_Prabhupada/01_-_Lectures/01_-_English/02_-_Month_wise/01_-_January/07/MW_LA_1974-01-07_What_Is_Real_Leadership.mp3</t>
  </si>
  <si>
    <t>SB-01-16-10_1974-01-07_SB-LOS_ANGELES.MP3</t>
  </si>
  <si>
    <t>https://audio.iskcondesiretree.com/01_-_Srila_Prabhupada/01_-_Lectures/01_-_English/02_-_Month_wise/01_-_January/07/SB-01-16-10_1974-01-07_SB-LOS_ANGELES.MP3</t>
  </si>
  <si>
    <t>SB_1-16-10_LA_1974-01-07_Pariksit%27s_Answer_to_Kali.mp3</t>
  </si>
  <si>
    <t>https://audio.iskcondesiretree.com/01_-_Srila_Prabhupada/01_-_Lectures/01_-_English/02_-_Month_wise/01_-_January/07/SB_1-16-10_LA_1974-01-07_Pariksit%27s_Answer_to_Kali.mp3</t>
  </si>
  <si>
    <t>Walk_1974-01-07_MW-LOS_ANGELES.MP3</t>
  </si>
  <si>
    <t>https://audio.iskcondesiretree.com/01_-_Srila_Prabhupada/01_-_Lectures/01_-_English/02_-_Month_wise/01_-_January/07/Walk_1974-01-07_MW-LOS_ANGELES.MP3</t>
  </si>
  <si>
    <t>SP_Morning_Walk_-_Los_Angeles_1974-01-08.mp3</t>
  </si>
  <si>
    <t>https://audio.iskcondesiretree.com/01_-_Srila_Prabhupada/01_-_Lectures/01_-_English/01_-_Topic_wise/Morning_Walk/SP_Morning_Walk_-_Los_Angeles_1974-01-08.mp3</t>
  </si>
  <si>
    <t>SP_SB_1-16-11_Los_Angeles_1974-01-08_Subduing_the_Demons.mp3</t>
  </si>
  <si>
    <t>https://audio.iskcondesiretree.com/01_-_Srila_Prabhupada/01_-_Lectures/01_-_English/01_-_Topic_wise/Srimad_Bhagavatam/Canto-01/SP_SB_1-16-11_Los_Angeles_1974-01-08_Subduing_the_Demons.mp3</t>
  </si>
  <si>
    <t>SB-01-16-11_1974-01-08_SB-LOS_ANGELES.MP3</t>
  </si>
  <si>
    <t>https://audio.iskcondesiretree.com/01_-_Srila_Prabhupada/01_-_Lectures/01_-_English/02_-_Month_wise/01_-_January/08/SB-01-16-11_1974-01-08_SB-LOS_ANGELES.MP3</t>
  </si>
  <si>
    <t>SB_1-16-11_LA_1974-01-08_Subduing_the_Demons.mp3</t>
  </si>
  <si>
    <t>https://audio.iskcondesiretree.com/01_-_Srila_Prabhupada/01_-_Lectures/01_-_English/02_-_Month_wise/01_-_January/08/SB_1-16-11_LA_1974-01-08_Subduing_the_Demons.mp3</t>
  </si>
  <si>
    <t>Walk_1974-01-08_MW-LOS_ANGELES.MP3</t>
  </si>
  <si>
    <t>https://audio.iskcondesiretree.com/01_-_Srila_Prabhupada/01_-_Lectures/01_-_English/02_-_Month_wise/01_-_January/08/Walk_1974-01-08_MW-LOS_ANGELES.MP3</t>
  </si>
  <si>
    <t>SP_Morning_Walk_-_Los_Angeles_1974-01-09_The_Night-and-Day_Dream.mp3</t>
  </si>
  <si>
    <t>https://audio.iskcondesiretree.com/01_-_Srila_Prabhupada/01_-_Lectures/01_-_English/01_-_Topic_wise/Morning_Walk/SP_Morning_Walk_-_Los_Angeles_1974-01-09_The_Night-and-Day_Dream.mp3</t>
  </si>
  <si>
    <t>SP_SB_1-16-12_Los_Angeles_1974-01-09_Rogues_and_Rascals_Cause_War.mp3</t>
  </si>
  <si>
    <t>https://audio.iskcondesiretree.com/01_-_Srila_Prabhupada/01_-_Lectures/01_-_English/01_-_Topic_wise/Srimad_Bhagavatam/Canto-01/SP_SB_1-16-12_Los_Angeles_1974-01-09_Rogues_and_Rascals_Cause_War.mp3</t>
  </si>
  <si>
    <t>MW_LA_1974-01-09_The_Night-and-Day_Dream.mp3</t>
  </si>
  <si>
    <t>https://audio.iskcondesiretree.com/01_-_Srila_Prabhupada/01_-_Lectures/01_-_English/02_-_Month_wise/01_-_January/09/MW_LA_1974-01-09_The_Night-and-Day_Dream.mp3</t>
  </si>
  <si>
    <t>SB-01-16-12_1974-01-09_SB-LOS_ANGELES.MP3</t>
  </si>
  <si>
    <t>https://audio.iskcondesiretree.com/01_-_Srila_Prabhupada/01_-_Lectures/01_-_English/02_-_Month_wise/01_-_January/09/SB-01-16-12_1974-01-09_SB-LOS_ANGELES.MP3</t>
  </si>
  <si>
    <t>SB_1-16-12_LA_1974-01-09_Rogues_and_Rascals_Cause_War.mp3</t>
  </si>
  <si>
    <t>https://audio.iskcondesiretree.com/01_-_Srila_Prabhupada/01_-_Lectures/01_-_English/02_-_Month_wise/01_-_January/09/SB_1-16-12_LA_1974-01-09_Rogues_and_Rascals_Cause_War.mp3</t>
  </si>
  <si>
    <t>Walk_1974-01-09_MW-LOS_ANGELES.MP3</t>
  </si>
  <si>
    <t>https://audio.iskcondesiretree.com/01_-_Srila_Prabhupada/01_-_Lectures/01_-_English/02_-_Month_wise/01_-_January/09/Walk_1974-01-09_MW-LOS_ANGELES.MP3</t>
  </si>
  <si>
    <t>SP_Morning_Walk_-_Los_Angeles_1974-01-10_Good_and_Not-so-good_Brains.mp3</t>
  </si>
  <si>
    <t>https://audio.iskcondesiretree.com/01_-_Srila_Prabhupada/01_-_Lectures/01_-_English/01_-_Topic_wise/Morning_Walk/SP_Morning_Walk_-_Los_Angeles_1974-01-10_Good_and_Not-so-good_Brains.mp3</t>
  </si>
  <si>
    <t>SP_SB_1-16-13_Los_Angeles_1974-01-10_Mischievous_and_Magnanimous.mp3</t>
  </si>
  <si>
    <t>https://audio.iskcondesiretree.com/01_-_Srila_Prabhupada/01_-_Lectures/01_-_English/01_-_Topic_wise/Srimad_Bhagavatam/Canto-01/SP_SB_1-16-13_Los_Angeles_1974-01-10_Mischievous_and_Magnanimous.mp3</t>
  </si>
  <si>
    <t>Initiations_1974-01-10_IN-LOS_ANGELES.MP3</t>
  </si>
  <si>
    <t>https://audio.iskcondesiretree.com/01_-_Srila_Prabhupada/01_-_Lectures/01_-_English/02_-_Month_wise/01_-_January/10/Initiations_1974-01-10_IN-LOS_ANGELES.MP3</t>
  </si>
  <si>
    <t>MW_LA_1974-01-10_Good_and_Not-so-good_Brains.mp3</t>
  </si>
  <si>
    <t>https://audio.iskcondesiretree.com/01_-_Srila_Prabhupada/01_-_Lectures/01_-_English/02_-_Month_wise/01_-_January/10/MW_LA_1974-01-10_Good_and_Not-so-good_Brains.mp3</t>
  </si>
  <si>
    <t>SB-01-16-13%E2%80%9315_1974-01-10_SB-LOS_ANGELES.MP3</t>
  </si>
  <si>
    <t>https://audio.iskcondesiretree.com/01_-_Srila_Prabhupada/01_-_Lectures/01_-_English/02_-_Month_wise/01_-_January/10/SB-01-16-13%E2%80%9315_1974-01-10_SB-LOS_ANGELES.MP3</t>
  </si>
  <si>
    <t>SB_1-16-13_LA_1974-01-10_Mischievous_and_Magnanimous.mp3</t>
  </si>
  <si>
    <t>https://audio.iskcondesiretree.com/01_-_Srila_Prabhupada/01_-_Lectures/01_-_English/02_-_Month_wise/01_-_January/10/SB_1-16-13_LA_1974-01-10_Mischievous_and_Magnanimous.mp3</t>
  </si>
  <si>
    <t>Walk_1974-01-10_MW-LOS_ANGELES.MP3</t>
  </si>
  <si>
    <t>https://audio.iskcondesiretree.com/01_-_Srila_Prabhupada/01_-_Lectures/01_-_English/02_-_Month_wise/01_-_January/10/Walk_1974-01-10_MW-LOS_ANGELES.MP3</t>
  </si>
  <si>
    <t>SP_Morning_Walk_-_Los_Angeles_1974-01-11.mp3</t>
  </si>
  <si>
    <t>https://audio.iskcondesiretree.com/01_-_Srila_Prabhupada/01_-_Lectures/01_-_English/01_-_Topic_wise/Morning_Walk/SP_Morning_Walk_-_Los_Angeles_1974-01-11.mp3</t>
  </si>
  <si>
    <t>SP_SB_1-16-16_Los_Angeles_1974-01-11_Respects-Who_Will_Chastise.mp3</t>
  </si>
  <si>
    <t>https://audio.iskcondesiretree.com/01_-_Srila_Prabhupada/01_-_Lectures/01_-_English/01_-_Topic_wise/Srimad_Bhagavatam/Canto-01/SP_SB_1-16-16_Los_Angeles_1974-01-11_Respects-Who_Will_Chastise.mp3</t>
  </si>
  <si>
    <t>SB-01-16-16_1974-01-11_SB-LOS_ANGELES.MP3</t>
  </si>
  <si>
    <t>https://audio.iskcondesiretree.com/01_-_Srila_Prabhupada/01_-_Lectures/01_-_English/02_-_Month_wise/01_-_January/11/SB-01-16-16_1974-01-11_SB-LOS_ANGELES.MP3</t>
  </si>
  <si>
    <t>SB_1-16-16_LA_1974-01-11_Respects-Who_Will_Chastise.mp3</t>
  </si>
  <si>
    <t>https://audio.iskcondesiretree.com/01_-_Srila_Prabhupada/01_-_Lectures/01_-_English/02_-_Month_wise/01_-_January/11/SB_1-16-16_LA_1974-01-11_Respects-Who_Will_Chastise.mp3</t>
  </si>
  <si>
    <t>Walk_1974-01-11_MW-LOS_ANGELES.MP3</t>
  </si>
  <si>
    <t>https://audio.iskcondesiretree.com/01_-_Srila_Prabhupada/01_-_Lectures/01_-_English/02_-_Month_wise/01_-_January/11/Walk_1974-01-11_MW-LOS_ANGELES.MP3</t>
  </si>
  <si>
    <t>SP_Morning_Walk_-_Los_Angeles_1974-01-12.mp3</t>
  </si>
  <si>
    <t>https://audio.iskcondesiretree.com/01_-_Srila_Prabhupada/01_-_Lectures/01_-_English/01_-_Topic_wise/Morning_Walk/SP_Morning_Walk_-_Los_Angeles_1974-01-12.mp3</t>
  </si>
  <si>
    <t>SP_SB_1-16-17_Los_Angeles_1974-01-12_Democracy-Elect_Rascal_Monarch.mp3</t>
  </si>
  <si>
    <t>https://audio.iskcondesiretree.com/01_-_Srila_Prabhupada/01_-_Lectures/01_-_English/01_-_Topic_wise/Srimad_Bhagavatam/Canto-01/SP_SB_1-16-17_Los_Angeles_1974-01-12_Democracy-Elect_Rascal_Monarch.mp3</t>
  </si>
  <si>
    <t>SB-01-16-17_1974-01-12_SB-LOS_ANGELES.MP3</t>
  </si>
  <si>
    <t>https://audio.iskcondesiretree.com/01_-_Srila_Prabhupada/01_-_Lectures/01_-_English/02_-_Month_wise/01_-_January/12/SB-01-16-17_1974-01-12_SB-LOS_ANGELES.MP3</t>
  </si>
  <si>
    <t>SB_1-16-17_LA_1974-01-12_Democracy-Elect_Rascal_Monarch.mp3</t>
  </si>
  <si>
    <t>https://audio.iskcondesiretree.com/01_-_Srila_Prabhupada/01_-_Lectures/01_-_English/02_-_Month_wise/01_-_January/12/SB_1-16-17_LA_1974-01-12_Democracy-Elect_Rascal_Monarch.mp3</t>
  </si>
  <si>
    <t>Walk_1974-01-12_MW-LOS_ANGELES.MP3</t>
  </si>
  <si>
    <t>https://audio.iskcondesiretree.com/01_-_Srila_Prabhupada/01_-_Lectures/01_-_English/02_-_Month_wise/01_-_January/12/Walk_1974-01-12_MW-LOS_ANGELES.MP3</t>
  </si>
  <si>
    <t>SP_SB_01-16-18_Los_Angeles_1974-01-13.mp3</t>
  </si>
  <si>
    <t>https://audio.iskcondesiretree.com/01_-_Srila_Prabhupada/01_-_Lectures/01_-_English/01_-_Topic_wise/Srimad_Bhagavatam/Canto-01/SP_SB_01-16-18_Los_Angeles_1974-01-13.mp3</t>
  </si>
  <si>
    <t>SB-01-16-18_1974-01-13_SB-LOS_ANGELES.MP3</t>
  </si>
  <si>
    <t>https://audio.iskcondesiretree.com/01_-_Srila_Prabhupada/01_-_Lectures/01_-_English/02_-_Month_wise/01_-_January/13/SB-01-16-18_1974-01-13_SB-LOS_ANGELES.MP3</t>
  </si>
  <si>
    <t>SP_Morning_Walk_-_Honolulu_1974-01-15.mp3</t>
  </si>
  <si>
    <t>https://audio.iskcondesiretree.com/01_-_Srila_Prabhupada/01_-_Lectures/01_-_English/01_-_Topic_wise/Morning_Walk/SP_Morning_Walk_-_Honolulu_1974-01-15.mp3</t>
  </si>
  <si>
    <t>SP_SB_1-16-19_Hawaii_1974-01-15_Antidotes_for_Contaminated_Age.mp3</t>
  </si>
  <si>
    <t>https://audio.iskcondesiretree.com/01_-_Srila_Prabhupada/01_-_Lectures/01_-_English/01_-_Topic_wise/Srimad_Bhagavatam/Canto-01/SP_SB_1-16-19_Hawaii_1974-01-15_Antidotes_for_Contaminated_Age.mp3</t>
  </si>
  <si>
    <t>SB-01-16-19_1974-01-15_SB-HONOLULU.MP3</t>
  </si>
  <si>
    <t>https://audio.iskcondesiretree.com/01_-_Srila_Prabhupada/01_-_Lectures/01_-_English/02_-_Month_wise/01_-_January/15/SB-01-16-19_1974-01-15_SB-HONOLULU.MP3</t>
  </si>
  <si>
    <t>SB_1-16-19_HAW_1974-01-15_Antidotes_for_Contaminated_Age.mp3</t>
  </si>
  <si>
    <t>https://audio.iskcondesiretree.com/01_-_Srila_Prabhupada/01_-_Lectures/01_-_English/02_-_Month_wise/01_-_January/15/SB_1-16-19_HAW_1974-01-15_Antidotes_for_Contaminated_Age.mp3</t>
  </si>
  <si>
    <t>Walk_1974-01-15_MW-HONOLULU.MP3</t>
  </si>
  <si>
    <t>https://audio.iskcondesiretree.com/01_-_Srila_Prabhupada/01_-_Lectures/01_-_English/02_-_Month_wise/01_-_January/15/Walk_1974-01-15_MW-HONOLULU.MP3</t>
  </si>
  <si>
    <t>SP_Morning_Walk_-_Honolulu_1974-01-16.mp3</t>
  </si>
  <si>
    <t>https://audio.iskcondesiretree.com/01_-_Srila_Prabhupada/01_-_Lectures/01_-_English/01_-_Topic_wise/Morning_Walk/SP_Morning_Walk_-_Honolulu_1974-01-16.mp3</t>
  </si>
  <si>
    <t>SP_SB_1-16-20_Hawaii_1974-01-16_Bad_Good_and_Truly_Good.mp3</t>
  </si>
  <si>
    <t>https://audio.iskcondesiretree.com/01_-_Srila_Prabhupada/01_-_Lectures/01_-_English/01_-_Topic_wise/Srimad_Bhagavatam/Canto-01/SP_SB_1-16-20_Hawaii_1974-01-16_Bad_Good_and_Truly_Good.mp3</t>
  </si>
  <si>
    <t>SB-01-16-20_1974-01-16_SB-HONOLULU.MP3</t>
  </si>
  <si>
    <t>https://audio.iskcondesiretree.com/01_-_Srila_Prabhupada/01_-_Lectures/01_-_English/02_-_Month_wise/01_-_January/16/SB-01-16-20_1974-01-16_SB-HONOLULU.MP3</t>
  </si>
  <si>
    <t>SB_1-16-20_HAW_1974-01-16_Bad_Good_and_Truly_Good.mp3</t>
  </si>
  <si>
    <t>https://audio.iskcondesiretree.com/01_-_Srila_Prabhupada/01_-_Lectures/01_-_English/02_-_Month_wise/01_-_January/16/SB_1-16-20_HAW_1974-01-16_Bad_Good_and_Truly_Good.mp3</t>
  </si>
  <si>
    <t>Walk_1974-01-16_MW-HONOLULU.MP3</t>
  </si>
  <si>
    <t>https://audio.iskcondesiretree.com/01_-_Srila_Prabhupada/01_-_Lectures/01_-_English/02_-_Month_wise/01_-_January/16/Walk_1974-01-16_MW-HONOLULU.MP3</t>
  </si>
  <si>
    <t>SP_SB_1-16-21_Hawaii_1974-01-17_Unlawful_Meat-eaters_Restricted.mp3</t>
  </si>
  <si>
    <t>https://audio.iskcondesiretree.com/01_-_Srila_Prabhupada/01_-_Lectures/01_-_English/01_-_Topic_wise/Srimad_Bhagavatam/Canto-01/SP_SB_1-16-21_Hawaii_1974-01-17_Unlawful_Meat-eaters_Restricted.mp3</t>
  </si>
  <si>
    <t>SB-01-16-21_1974-01-17_SB-HONOLULU.MP3</t>
  </si>
  <si>
    <t>https://audio.iskcondesiretree.com/01_-_Srila_Prabhupada/01_-_Lectures/01_-_English/02_-_Month_wise/01_-_January/17/SB-01-16-21_1974-01-17_SB-HONOLULU.MP3</t>
  </si>
  <si>
    <t>SB_1-16-21_HAW_1974-01-17_Unlawful_Meat-eaters_Restricted.mp3</t>
  </si>
  <si>
    <t>https://audio.iskcondesiretree.com/01_-_Srila_Prabhupada/01_-_Lectures/01_-_English/02_-_Month_wise/01_-_January/17/SB_1-16-21_HAW_1974-01-17_Unlawful_Meat-eaters_Restricted.mp3</t>
  </si>
  <si>
    <t>SP_Morning_Walk_-_Hawaii_1974-01-18_We_Controllers_Are_Getting_Kicked.mp3</t>
  </si>
  <si>
    <t>https://audio.iskcondesiretree.com/01_-_Srila_Prabhupada/01_-_Lectures/01_-_English/01_-_Topic_wise/Morning_Walk/SP_Morning_Walk_-_Hawaii_1974-01-18_We_Controllers_Are_Getting_Kicked.mp3</t>
  </si>
  <si>
    <t>SP_SB_1-16-22_Hawaii_1974-01-18_Cow_Killing-Rascal_Government.mp3</t>
  </si>
  <si>
    <t>https://audio.iskcondesiretree.com/01_-_Srila_Prabhupada/01_-_Lectures/01_-_English/01_-_Topic_wise/Srimad_Bhagavatam/Canto-01/SP_SB_1-16-22_Hawaii_1974-01-18_Cow_Killing-Rascal_Government.mp3</t>
  </si>
  <si>
    <t>SP_SB_02-01-03_Vrindavan_1974-01-18.mp3</t>
  </si>
  <si>
    <t>https://audio.iskcondesiretree.com/01_-_Srila_Prabhupada/01_-_Lectures/01_-_English/01_-_Topic_wise/Srimad_Bhagavatam/Canto-02/SP_SB_02-01-03_Vrindavan_1974-01-18.mp3</t>
  </si>
  <si>
    <t>MW_HAW_1974-01-18_We_Controllers_Are_Getting_Kicked.mp3</t>
  </si>
  <si>
    <t>https://audio.iskcondesiretree.com/01_-_Srila_Prabhupada/01_-_Lectures/01_-_English/02_-_Month_wise/01_-_January/18/MW_HAW_1974-01-18_We_Controllers_Are_Getting_Kicked.mp3</t>
  </si>
  <si>
    <t>SB-01-16-22_1974-01-18_SB-HONOLULU.MP3</t>
  </si>
  <si>
    <t>https://audio.iskcondesiretree.com/01_-_Srila_Prabhupada/01_-_Lectures/01_-_English/02_-_Month_wise/01_-_January/18/SB-01-16-22_1974-01-18_SB-HONOLULU.MP3</t>
  </si>
  <si>
    <t>SB_1-16-22_HAW_1974-01-18_Cow_Killing-Rascal_Government.mp3</t>
  </si>
  <si>
    <t>https://audio.iskcondesiretree.com/01_-_Srila_Prabhupada/01_-_Lectures/01_-_English/02_-_Month_wise/01_-_January/18/SB_1-16-22_HAW_1974-01-18_Cow_Killing-Rascal_Government.mp3</t>
  </si>
  <si>
    <t>Walk_1974-01-18_MW-HONOLULU.MP3</t>
  </si>
  <si>
    <t>https://audio.iskcondesiretree.com/01_-_Srila_Prabhupada/01_-_Lectures/01_-_English/02_-_Month_wise/01_-_January/18/Walk_1974-01-18_MW-HONOLULU.MP3</t>
  </si>
  <si>
    <t>SP_Morning_Walk_-_Honolulu_1974-01-19.mp3</t>
  </si>
  <si>
    <t>https://audio.iskcondesiretree.com/01_-_Srila_Prabhupada/01_-_Lectures/01_-_English/01_-_Topic_wise/Morning_Walk/SP_Morning_Walk_-_Honolulu_1974-01-19.mp3</t>
  </si>
  <si>
    <t>SP_SB_1-16-23_Hawaii_1974-01-19_Beware_the_Busy_Fool.mp3</t>
  </si>
  <si>
    <t>https://audio.iskcondesiretree.com/01_-_Srila_Prabhupada/01_-_Lectures/01_-_English/01_-_Topic_wise/Srimad_Bhagavatam/Canto-01/SP_SB_1-16-23_Hawaii_1974-01-19_Beware_the_Busy_Fool.mp3</t>
  </si>
  <si>
    <t>SB-01-16-23_1974-01-19_SB-HONOLULU.MP3</t>
  </si>
  <si>
    <t>https://audio.iskcondesiretree.com/01_-_Srila_Prabhupada/01_-_Lectures/01_-_English/02_-_Month_wise/01_-_January/19/SB-01-16-23_1974-01-19_SB-HONOLULU.MP3</t>
  </si>
  <si>
    <t>SB_1-16-23_HAW_1974-01-19_Beware_the_Busy_Fool.mp3</t>
  </si>
  <si>
    <t>https://audio.iskcondesiretree.com/01_-_Srila_Prabhupada/01_-_Lectures/01_-_English/02_-_Month_wise/01_-_January/19/SB_1-16-23_HAW_1974-01-19_Beware_the_Busy_Fool.mp3</t>
  </si>
  <si>
    <t>Walk_1974-01-19_MW-HONOLULU.MP3</t>
  </si>
  <si>
    <t>https://audio.iskcondesiretree.com/01_-_Srila_Prabhupada/01_-_Lectures/01_-_English/02_-_Month_wise/01_-_January/19/Walk_1974-01-19_MW-HONOLULU.MP3</t>
  </si>
  <si>
    <t>SP_Morning_Walk_-_Honolulu_1974-01-20.mp3</t>
  </si>
  <si>
    <t>https://audio.iskcondesiretree.com/01_-_Srila_Prabhupada/01_-_Lectures/01_-_English/01_-_Topic_wise/Morning_Walk/SP_Morning_Walk_-_Honolulu_1974-01-20.mp3</t>
  </si>
  <si>
    <t>SP_SB_1-16-24_Hawaii_1974-01-20_Finish_the_Business.mp3</t>
  </si>
  <si>
    <t>https://audio.iskcondesiretree.com/01_-_Srila_Prabhupada/01_-_Lectures/01_-_English/01_-_Topic_wise/Srimad_Bhagavatam/Canto-01/SP_SB_1-16-24_Hawaii_1974-01-20_Finish_the_Business.mp3</t>
  </si>
  <si>
    <t>SB-01-16-24_1974-01-20_SB-HONOLULU.MP3</t>
  </si>
  <si>
    <t>https://audio.iskcondesiretree.com/01_-_Srila_Prabhupada/01_-_Lectures/01_-_English/02_-_Month_wise/01_-_January/20/SB-01-16-24_1974-01-20_SB-HONOLULU.MP3</t>
  </si>
  <si>
    <t>SB_1-16-24_HAW_1974-01-20_Finish_the_Business.mp3</t>
  </si>
  <si>
    <t>https://audio.iskcondesiretree.com/01_-_Srila_Prabhupada/01_-_Lectures/01_-_English/02_-_Month_wise/01_-_January/20/SB_1-16-24_HAW_1974-01-20_Finish_the_Business.mp3</t>
  </si>
  <si>
    <t>Walk_1974-01-20_MW-HONOLULU.MP3</t>
  </si>
  <si>
    <t>https://audio.iskcondesiretree.com/01_-_Srila_Prabhupada/01_-_Lectures/01_-_English/02_-_Month_wise/01_-_January/20/Walk_1974-01-20_MW-HONOLULU.MP3</t>
  </si>
  <si>
    <t>SP_Morning_Walk_-_Honolulu_1974-01-21.mp3</t>
  </si>
  <si>
    <t>https://audio.iskcondesiretree.com/01_-_Srila_Prabhupada/01_-_Lectures/01_-_English/01_-_Topic_wise/Morning_Walk/SP_Morning_Walk_-_Honolulu_1974-01-21.mp3</t>
  </si>
  <si>
    <t>SP_SB_1-16-25_Hawaii_1974-01-21_Finding_Happiness.mp3</t>
  </si>
  <si>
    <t>https://audio.iskcondesiretree.com/01_-_Srila_Prabhupada/01_-_Lectures/01_-_English/01_-_Topic_wise/Srimad_Bhagavatam/Canto-01/SP_SB_1-16-25_Hawaii_1974-01-21_Finding_Happiness.mp3</t>
  </si>
  <si>
    <t>SB-01-16-25%E2%80%9330_1974-01-21_SB-HONOLULU.MP3</t>
  </si>
  <si>
    <t>https://audio.iskcondesiretree.com/01_-_Srila_Prabhupada/01_-_Lectures/01_-_English/02_-_Month_wise/01_-_January/21/SB-01-16-25%E2%80%9330_1974-01-21_SB-HONOLULU.MP3</t>
  </si>
  <si>
    <t>SB_1-16-25_HAW_1974-01-21_Finding_Happiness.mp3</t>
  </si>
  <si>
    <t>https://audio.iskcondesiretree.com/01_-_Srila_Prabhupada/01_-_Lectures/01_-_English/02_-_Month_wise/01_-_January/21/SB_1-16-25_HAW_1974-01-21_Finding_Happiness.mp3</t>
  </si>
  <si>
    <t>Walk_1974-01-21_MW-HONOLULU.MP3</t>
  </si>
  <si>
    <t>https://audio.iskcondesiretree.com/01_-_Srila_Prabhupada/01_-_Lectures/01_-_English/02_-_Month_wise/01_-_January/21/Walk_1974-01-21_MW-HONOLULU.MP3</t>
  </si>
  <si>
    <t>SP_Morning_Walk_-_Hawaii_1974-01-22_The_Greatest_Grandest_Father.mp3</t>
  </si>
  <si>
    <t>https://audio.iskcondesiretree.com/01_-_Srila_Prabhupada/01_-_Lectures/01_-_English/01_-_Topic_wise/Morning_Walk/SP_Morning_Walk_-_Hawaii_1974-01-22_The_Greatest_Grandest_Father.mp3</t>
  </si>
  <si>
    <t>MW_HAW_1974-01-22_The_Greatest_Grandest_Father.mp3</t>
  </si>
  <si>
    <t>https://audio.iskcondesiretree.com/01_-_Srila_Prabhupada/01_-_Lectures/01_-_English/02_-_Month_wise/01_-_January/22/MW_HAW_1974-01-22_The_Greatest_Grandest_Father.mp3</t>
  </si>
  <si>
    <t>Walk_1974-01-22_MW-HONOLULU.MP3</t>
  </si>
  <si>
    <t>https://audio.iskcondesiretree.com/01_-_Srila_Prabhupada/01_-_Lectures/01_-_English/02_-_Month_wise/01_-_January/22/Walk_1974-01-22_MW-HONOLULU.MP3</t>
  </si>
  <si>
    <t>SP_Morning_Walk_-_Honolulu_1974-01-23.mp3</t>
  </si>
  <si>
    <t>https://audio.iskcondesiretree.com/01_-_Srila_Prabhupada/01_-_Lectures/01_-_English/01_-_Topic_wise/Morning_Walk/SP_Morning_Walk_-_Honolulu_1974-01-23.mp3</t>
  </si>
  <si>
    <t>SP_SB_1-16-26_Hawaii_1974-01-23_How_Can_I_Be_God.mp3</t>
  </si>
  <si>
    <t>https://audio.iskcondesiretree.com/01_-_Srila_Prabhupada/01_-_Lectures/01_-_English/01_-_Topic_wise/Srimad_Bhagavatam/Canto-01/SP_SB_1-16-26_Hawaii_1974-01-23_How_Can_I_Be_God.mp3</t>
  </si>
  <si>
    <t>SB-01-16-26%E2%80%9330_1974-01-23_SB-HONOLULU.MP3</t>
  </si>
  <si>
    <t>https://audio.iskcondesiretree.com/01_-_Srila_Prabhupada/01_-_Lectures/01_-_English/02_-_Month_wise/01_-_January/23/SB-01-16-26%E2%80%9330_1974-01-23_SB-HONOLULU.MP3</t>
  </si>
  <si>
    <t>SB_1-16-26_HAW_1974-01-23_How_Can_I_Be_God.mp3</t>
  </si>
  <si>
    <t>https://audio.iskcondesiretree.com/01_-_Srila_Prabhupada/01_-_Lectures/01_-_English/02_-_Month_wise/01_-_January/23/SB_1-16-26_HAW_1974-01-23_How_Can_I_Be_God.mp3</t>
  </si>
  <si>
    <t>Walk_1974-01-23_MW-HONOLULU.MP3</t>
  </si>
  <si>
    <t>https://audio.iskcondesiretree.com/01_-_Srila_Prabhupada/01_-_Lectures/01_-_English/02_-_Month_wise/01_-_January/23/Walk_1974-01-23_MW-HONOLULU.MP3</t>
  </si>
  <si>
    <t>SP_SB_1-16-35_Hawaii_1974-01-28_Initiations_Make_a_Farce-No--etc.mp3</t>
  </si>
  <si>
    <t>https://audio.iskcondesiretree.com/01_-_Srila_Prabhupada/01_-_Lectures/01_-_English/01_-_Topic_wise/Srimad_Bhagavatam/Canto-01/SP_SB_1-16-35_Hawaii_1974-01-28_Initiations_Make_a_Farce-No--etc.mp3</t>
  </si>
  <si>
    <t>SP_Lecture_Honolulu_1974-01-28_Initiation.mp3</t>
  </si>
  <si>
    <t>https://audio.iskcondesiretree.com/01_-_Srila_Prabhupada/01_-_Lectures/01_-_English/01_-_Topic_wise/Various/SP_Lecture_Honolulu_1974-01-28_Initiation.mp3</t>
  </si>
  <si>
    <t>Initiations_1974-01-28_IN-HONOLULU.MP3</t>
  </si>
  <si>
    <t>https://audio.iskcondesiretree.com/01_-_Srila_Prabhupada/01_-_Lectures/01_-_English/02_-_Month_wise/01_-_January/28/Initiations_1974-01-28_IN-HONOLULU.MP3</t>
  </si>
  <si>
    <t>SB-01-16-35_1974-01-28_SB-HONOLULU.MP3</t>
  </si>
  <si>
    <t>https://audio.iskcondesiretree.com/01_-_Srila_Prabhupada/01_-_Lectures/01_-_English/02_-_Month_wise/01_-_January/28/SB-01-16-35_1974-01-28_SB-HONOLULU.MP3</t>
  </si>
  <si>
    <t>SB_1-16-35_HAW_1974-01-28_Initiations_Make_a_Farce-No_etc.mp3</t>
  </si>
  <si>
    <t>https://audio.iskcondesiretree.com/01_-_Srila_Prabhupada/01_-_Lectures/01_-_English/02_-_Month_wise/01_-_January/28/SB_1-16-35_HAW_1974-01-28_Initiations_Make_a_Farce-No_etc.mp3</t>
  </si>
  <si>
    <t>SP_Arrival_Lecture_Tokyo_1974-01-29.mp3</t>
  </si>
  <si>
    <t>https://audio.iskcondesiretree.com/01_-_Srila_Prabhupada/01_-_Lectures/01_-_English/01_-_Topic_wise/Arrival_Address/SP_Arrival_Lecture_Tokyo_1974-01-29.mp3</t>
  </si>
  <si>
    <t>Arrival_1974-01-29_AR-TOKYO.MP3</t>
  </si>
  <si>
    <t>https://audio.iskcondesiretree.com/01_-_Srila_Prabhupada/01_-_Lectures/01_-_English/02_-_Month_wise/01_-_January/29/Arrival_1974-01-29_AR-TOKYO.MP3</t>
  </si>
  <si>
    <t>SP_Morning_Walk_-_Tokyo_1974-01-30.mp3</t>
  </si>
  <si>
    <t>https://audio.iskcondesiretree.com/01_-_Srila_Prabhupada/01_-_Lectures/01_-_English/01_-_Topic_wise/Morning_Walk/SP_Morning_Walk_-_Tokyo_1974-01-30.mp3</t>
  </si>
  <si>
    <t>SP_Room_Conversation_Tokyo_1974-01-30.mp3</t>
  </si>
  <si>
    <t>https://audio.iskcondesiretree.com/01_-_Srila_Prabhupada/01_-_Lectures/01_-_English/01_-_Topic_wise/Room_Conversation/SP_Room_Conversation_Tokyo_1974-01-30.mp3</t>
  </si>
  <si>
    <t>SP_SB_1-16-36_Tokyo_1974-01-30_Kali-yuga--Disagree_with_Guru.mp3</t>
  </si>
  <si>
    <t>https://audio.iskcondesiretree.com/01_-_Srila_Prabhupada/01_-_Lectures/01_-_English/01_-_Topic_wise/Srimad_Bhagavatam/Canto-01/SP_SB_1-16-36_Tokyo_1974-01-30_Kali-yuga--Disagree_with_Guru.mp3</t>
  </si>
  <si>
    <t>Conv_1974-01-30_R1-TOKYO.MP3</t>
  </si>
  <si>
    <t>https://audio.iskcondesiretree.com/01_-_Srila_Prabhupada/01_-_Lectures/01_-_English/02_-_Month_wise/01_-_January/30/Conv_1974-01-30_R1-TOKYO.MP3</t>
  </si>
  <si>
    <t>SB-01-16-36_1974-01-30_SB-TOKYO.MP3</t>
  </si>
  <si>
    <t>https://audio.iskcondesiretree.com/01_-_Srila_Prabhupada/01_-_Lectures/01_-_English/02_-_Month_wise/01_-_January/30/SB-01-16-36_1974-01-30_SB-TOKYO.MP3</t>
  </si>
  <si>
    <t>SB_1-16-36_TOK_1974-01-30_Kali-yuga--Disagree_with_Guru.mp3</t>
  </si>
  <si>
    <t>https://audio.iskcondesiretree.com/01_-_Srila_Prabhupada/01_-_Lectures/01_-_English/02_-_Month_wise/01_-_January/30/SB_1-16-36_TOK_1974-01-30_Kali-yuga--Disagree_with_Guru.mp3</t>
  </si>
  <si>
    <t>Walk_1974-01-30_MW-TOKYO.MP3</t>
  </si>
  <si>
    <t>https://audio.iskcondesiretree.com/01_-_Srila_Prabhupada/01_-_Lectures/01_-_English/02_-_Month_wise/01_-_January/30/Walk_1974-01-30_MW-TOKYO.MP3</t>
  </si>
  <si>
    <t>SP_BG_07-01-05_Hong_Kong_1974-01-31.mp3</t>
  </si>
  <si>
    <t>https://audio.iskcondesiretree.com/01_-_Srila_Prabhupada/01_-_Lectures/01_-_English/01_-_Topic_wise/Bhagavad_Gita/Chapter-07/SP_BG_07-01-05_Hong_Kong_1974-01-31.mp3</t>
  </si>
  <si>
    <t>Bg-07-01%E2%80%9305_1974-01-31_BG-HONG%20KONG.MP3</t>
  </si>
  <si>
    <t>https://audio.iskcondesiretree.com/01_-_Srila_Prabhupada/01_-_Lectures/01_-_English/02_-_Month_wise/01_-_January/31/Bg-07-01%E2%80%9305_1974-01-31_BG-HONG%20KONG.MP3</t>
  </si>
  <si>
    <t>SP_BG_03-09-14_Vrindavan_1974-02-06.mp3</t>
  </si>
  <si>
    <t>https://audio.iskcondesiretree.com/01_-_Srila_Prabhupada/01_-_Lectures/01_-_English/01_-_Topic_wise/Bhagavad_Gita/Chapter-03/SP_BG_03-09-14_Vrindavan_1974-02-06.mp3</t>
  </si>
  <si>
    <t>SP_Room_Conversation_Vrindavan_1974-02-06_Gurudas--Krishna_%26_Guru-Not_in_Every_Birth.mp3</t>
  </si>
  <si>
    <t>https://audio.iskcondesiretree.com/01_-_Srila_Prabhupada/01_-_Lectures/01_-_English/01_-_Topic_wise/Room_Conversation/SP_Room_Conversation_Vrindavan_1974-02-06_Gurudas--Krishna_%26_Guru-Not_in_Every_Birth.mp3</t>
  </si>
  <si>
    <t>Bg-09-01%E2%80%9314_1974-02-06_BG-VRNDAVAN.MP3</t>
  </si>
  <si>
    <t>https://audio.iskcondesiretree.com/01_-_Srila_Prabhupada/01_-_Lectures/01_-_English/02_-_Month_wise/02_-_Feburary/06/Bg-09-01%E2%80%9314_1974-02-06_BG-VRNDAVAN.MP3</t>
  </si>
  <si>
    <t>Conv_1974-02-06_R1-VRNDAVAN.MP3</t>
  </si>
  <si>
    <t>https://audio.iskcondesiretree.com/01_-_Srila_Prabhupada/01_-_Lectures/01_-_English/02_-_Month_wise/02_-_Feburary/06/Conv_1974-02-06_R1-VRNDAVAN.MP3</t>
  </si>
  <si>
    <t>RC_VRN_1974-02-06_Gurudas--Krishna_%26_Guru-Not_in_Every_Birth.mp3</t>
  </si>
  <si>
    <t>https://audio.iskcondesiretree.com/01_-_Srila_Prabhupada/01_-_Lectures/01_-_English/02_-_Month_wise/02_-_Feburary/06/RC_VRN_1974-02-06_Gurudas--Krishna_%26_Guru-Not_in_Every_Birth.mp3</t>
  </si>
  <si>
    <t>SP_BG_04-01_Vrindavan_1974-02-07.mp3</t>
  </si>
  <si>
    <t>https://audio.iskcondesiretree.com/01_-_Srila_Prabhupada/01_-_Lectures/01_-_English/01_-_Topic_wise/Bhagavad_Gita/Chapter-04/SP_BG_04-01_Vrindavan_1974-02-07.mp3</t>
  </si>
  <si>
    <t>Bg-04-01_1974-02-07_BG-VRNDAVAN.MP3</t>
  </si>
  <si>
    <t>https://audio.iskcondesiretree.com/01_-_Srila_Prabhupada/01_-_Lectures/01_-_English/02_-_Month_wise/02_-_Feburary/07/Bg-04-01_1974-02-07_BG-VRNDAVAN.MP3</t>
  </si>
  <si>
    <t>Conv_1974-02-07_R1-VRNDAVAN.MP3</t>
  </si>
  <si>
    <t>https://audio.iskcondesiretree.com/01_-_Srila_Prabhupada/01_-_Lectures/01_-_English/02_-_Month_wise/02_-_Feburary/07/Conv_1974-02-07_R1-VRNDAVAN.MP3</t>
  </si>
  <si>
    <t>SP_BG_04-02_Vrindavan_1974-02-08.mp3</t>
  </si>
  <si>
    <t>https://audio.iskcondesiretree.com/01_-_Srila_Prabhupada/01_-_Lectures/01_-_English/01_-_Topic_wise/Bhagavad_Gita/Chapter-04/SP_BG_04-02_Vrindavan_1974-02-08.mp3</t>
  </si>
  <si>
    <t>SP_Room_Conversation_01_Vrindavan_1974-02-08.mp3</t>
  </si>
  <si>
    <t>https://audio.iskcondesiretree.com/01_-_Srila_Prabhupada/01_-_Lectures/01_-_English/01_-_Topic_wise/Room_Conversation/SP_Room_Conversation_01_Vrindavan_1974-02-08.mp3</t>
  </si>
  <si>
    <t>SP_Room_Conversation_02_Vrindavan_1974-02-08.mp3</t>
  </si>
  <si>
    <t>https://audio.iskcondesiretree.com/01_-_Srila_Prabhupada/01_-_Lectures/01_-_English/01_-_Topic_wise/Room_Conversation/SP_Room_Conversation_02_Vrindavan_1974-02-08.mp3</t>
  </si>
  <si>
    <t>Bg-04-02_1974-02-08_BG-VRNDAVAN.MP3</t>
  </si>
  <si>
    <t>https://audio.iskcondesiretree.com/01_-_Srila_Prabhupada/01_-_Lectures/01_-_English/02_-_Month_wise/02_-_Feburary/08/Bg-04-02_1974-02-08_BG-VRNDAVAN.MP3</t>
  </si>
  <si>
    <t>Conv_1974-02-08_R1-VRNDAVAN.MP3</t>
  </si>
  <si>
    <t>https://audio.iskcondesiretree.com/01_-_Srila_Prabhupada/01_-_Lectures/01_-_English/02_-_Month_wise/02_-_Feburary/08/Conv_1974-02-08_R1-VRNDAVAN.MP3</t>
  </si>
  <si>
    <t>Conv_1974-02-08_R2-VRNDAVAN.MP3</t>
  </si>
  <si>
    <t>https://audio.iskcondesiretree.com/01_-_Srila_Prabhupada/01_-_Lectures/01_-_English/02_-_Month_wise/02_-_Feburary/08/Conv_1974-02-08_R2-VRNDAVAN.MP3</t>
  </si>
  <si>
    <t>SP_Room_Conversation_Vrindavan_1974-02-09.mp3</t>
  </si>
  <si>
    <t>https://audio.iskcondesiretree.com/01_-_Srila_Prabhupada/01_-_Lectures/01_-_English/01_-_Topic_wise/Room_Conversation/SP_Room_Conversation_Vrindavan_1974-02-09.mp3</t>
  </si>
  <si>
    <t>Conv_1974-02-09_R1-VRNDAVAN.MP3</t>
  </si>
  <si>
    <t>https://audio.iskcondesiretree.com/01_-_Srila_Prabhupada/01_-_Lectures/01_-_English/02_-_Month_wise/02_-_Feburary/09/Conv_1974-02-09_R1-VRNDAVAN.MP3</t>
  </si>
  <si>
    <t>SP_BG_04-03_Vrindavan_1974-02-10.mp3</t>
  </si>
  <si>
    <t>https://audio.iskcondesiretree.com/01_-_Srila_Prabhupada/01_-_Lectures/01_-_English/01_-_Topic_wise/Bhagavad_Gita/Chapter-04/SP_BG_04-03_Vrindavan_1974-02-10.mp3</t>
  </si>
  <si>
    <t>Bg-04-03_1974-02-10_BG-VRNDAVAN.MP3</t>
  </si>
  <si>
    <t>https://audio.iskcondesiretree.com/01_-_Srila_Prabhupada/01_-_Lectures/01_-_English/02_-_Month_wise/02_-_Feburary/10/Bg-04-03_1974-02-10_BG-VRNDAVAN.MP3</t>
  </si>
  <si>
    <t>SP_Festivals_Vrindavan_1974-02-11_Appearance_Day_of_Srila_Bhaktisiddhanta_Sarasvati_Thakura.mp3</t>
  </si>
  <si>
    <t>https://audio.iskcondesiretree.com/01_-_Srila_Prabhupada/01_-_Lectures/01_-_English/01_-_Topic_wise/Festivals/SP_Festivals_Vrindavan_1974-02-11_Appearance_Day_of_Srila_Bhaktisiddhanta_Sarasvati_Thakura.mp3</t>
  </si>
  <si>
    <t>SP_Morning_Walk_-_Vrindavan_1974-02-11.mp3</t>
  </si>
  <si>
    <t>https://audio.iskcondesiretree.com/01_-_Srila_Prabhupada/01_-_Lectures/01_-_English/01_-_Topic_wise/Morning_Walk/SP_Morning_Walk_-_Vrindavan_1974-02-11.mp3</t>
  </si>
  <si>
    <t>Bhaktisiddhanta_Appearance_1974-02-11_BA-VRNDAVAN.MP3</t>
  </si>
  <si>
    <t>https://audio.iskcondesiretree.com/01_-_Srila_Prabhupada/01_-_Lectures/01_-_English/02_-_Month_wise/02_-_Feburary/11/Bhaktisiddhanta_Appearance_1974-02-11_BA-VRNDAVAN.MP3</t>
  </si>
  <si>
    <t>Conv_1974-02-11_MW-VRNDAVAN.MP3</t>
  </si>
  <si>
    <t>https://audio.iskcondesiretree.com/01_-_Srila_Prabhupada/01_-_Lectures/01_-_English/02_-_Month_wise/02_-_Feburary/11/Conv_1974-02-11_MW-VRNDAVAN.MP3</t>
  </si>
  <si>
    <t>SP_BG_04-04_Vrindavan_1974-02-12.mp3</t>
  </si>
  <si>
    <t>https://audio.iskcondesiretree.com/01_-_Srila_Prabhupada/01_-_Lectures/01_-_English/01_-_Topic_wise/Bhagavad_Gita/Chapter-04/SP_BG_04-04_Vrindavan_1974-02-12.mp3</t>
  </si>
  <si>
    <t>SP_Lecture_Vrindavan_1974-02-12.mp3</t>
  </si>
  <si>
    <t>https://audio.iskcondesiretree.com/01_-_Srila_Prabhupada/01_-_Lectures/01_-_English/01_-_Topic_wise/Various/SP_Lecture_Vrindavan_1974-02-12.mp3</t>
  </si>
  <si>
    <t>Bg-04-04_1974-02-12_BG-VRNDAVAN.MP3</t>
  </si>
  <si>
    <t>https://audio.iskcondesiretree.com/01_-_Srila_Prabhupada/01_-_Lectures/01_-_English/02_-_Month_wise/02_-_Feburary/12/Bg-04-04_1974-02-12_BG-VRNDAVAN.MP3</t>
  </si>
  <si>
    <t>Lecture_1974-02-12_LE-VRNDAVAN.MP3</t>
  </si>
  <si>
    <t>https://audio.iskcondesiretree.com/01_-_Srila_Prabhupada/01_-_Lectures/01_-_English/02_-_Month_wise/02_-_Feburary/12/Lecture_1974-02-12_LE-VRNDAVAN.MP3</t>
  </si>
  <si>
    <t>SP_BG_04-05_Vrindavan_1974-02-13.mp3</t>
  </si>
  <si>
    <t>https://audio.iskcondesiretree.com/01_-_Srila_Prabhupada/01_-_Lectures/01_-_English/01_-_Topic_wise/Bhagavad_Gita/Chapter-04/SP_BG_04-05_Vrindavan_1974-02-13.mp3</t>
  </si>
  <si>
    <t>SP_Room_Conversation_01_Vrindavan_1974-02-13.mp3</t>
  </si>
  <si>
    <t>https://audio.iskcondesiretree.com/01_-_Srila_Prabhupada/01_-_Lectures/01_-_English/01_-_Topic_wise/Room_Conversation/SP_Room_Conversation_01_Vrindavan_1974-02-13.mp3</t>
  </si>
  <si>
    <t>SP_Room_Conversation_02_Vrindavan_1974-02-13.mp3</t>
  </si>
  <si>
    <t>https://audio.iskcondesiretree.com/01_-_Srila_Prabhupada/01_-_Lectures/01_-_English/01_-_Topic_wise/Room_Conversation/SP_Room_Conversation_02_Vrindavan_1974-02-13.mp3</t>
  </si>
  <si>
    <t>Bg-04-05_1974-02-13_BG-VRNDAVAN.MP3</t>
  </si>
  <si>
    <t>https://audio.iskcondesiretree.com/01_-_Srila_Prabhupada/01_-_Lectures/01_-_English/02_-_Month_wise/02_-_Feburary/13/Bg-04-05_1974-02-13_BG-VRNDAVAN.MP3</t>
  </si>
  <si>
    <t>Conv_1974-02-13_R1-VRNDAVAN.MP3</t>
  </si>
  <si>
    <t>https://audio.iskcondesiretree.com/01_-_Srila_Prabhupada/01_-_Lectures/01_-_English/02_-_Month_wise/02_-_Feburary/13/Conv_1974-02-13_R1-VRNDAVAN.MP3</t>
  </si>
  <si>
    <t>Conv_1974-02-13_R2-VRNDAVAN.MP3</t>
  </si>
  <si>
    <t>https://audio.iskcondesiretree.com/01_-_Srila_Prabhupada/01_-_Lectures/01_-_English/02_-_Month_wise/02_-_Feburary/13/Conv_1974-02-13_R2-VRNDAVAN.MP3</t>
  </si>
  <si>
    <t>Lecture%E2%80%93Hindi_1974-02-13_LE-VRNDAVAN.MP3</t>
  </si>
  <si>
    <t>https://audio.iskcondesiretree.com/01_-_Srila_Prabhupada/01_-_Lectures/01_-_English/02_-_Month_wise/02_-_Feburary/13/Lecture%E2%80%93Hindi_1974-02-13_LE-VRNDAVAN.MP3</t>
  </si>
  <si>
    <t>Conv_1974-02-14_R1-VRNDAVAN.MP3</t>
  </si>
  <si>
    <t>https://audio.iskcondesiretree.com/01_-_Srila_Prabhupada/01_-_Lectures/01_-_English/02_-_Month_wise/02_-_Feburary/14/Conv_1974-02-14_R1-VRNDAVAN.MP3</t>
  </si>
  <si>
    <t>SP_Morning_Walk_-_Hawaii_1974-02-17_Let_Everyone_Be_Happy.mp3</t>
  </si>
  <si>
    <t>https://audio.iskcondesiretree.com/01_-_Srila_Prabhupada/01_-_Lectures/01_-_English/01_-_Topic_wise/Morning_Walk/SP_Morning_Walk_-_Hawaii_1974-02-17_Let_Everyone_Be_Happy.mp3</t>
  </si>
  <si>
    <t>MW_HAW_1974-02-17_Let_Everyone_Be_Happy.mp3</t>
  </si>
  <si>
    <t>https://audio.iskcondesiretree.com/01_-_Srila_Prabhupada/01_-_Lectures/01_-_English/02_-_Month_wise/02_-_Feburary/17/MW_HAW_1974-02-17_Let_Everyone_Be_Happy.mp3</t>
  </si>
  <si>
    <t>Walk_1974-02-17_MW-BOMBAY.MP3</t>
  </si>
  <si>
    <t>https://audio.iskcondesiretree.com/01_-_Srila_Prabhupada/01_-_Lectures/01_-_English/02_-_Month_wise/02_-_Feburary/17/Walk_1974-02-17_MW-BOMBAY.MP3</t>
  </si>
  <si>
    <t>SP_BG_07-03_Bombay_1974-02-18_One_in_Many_Million.mp3</t>
  </si>
  <si>
    <t>https://audio.iskcondesiretree.com/01_-_Srila_Prabhupada/01_-_Lectures/01_-_English/01_-_Topic_wise/Bhagavad_Gita/Chapter-07/SP_BG_07-03_Bombay_1974-02-18_One_in_Many_Million.mp3</t>
  </si>
  <si>
    <t>Bg-07-03_1974-02-18_BG-BOMBAY.MP3</t>
  </si>
  <si>
    <t>https://audio.iskcondesiretree.com/01_-_Srila_Prabhupada/01_-_Lectures/01_-_English/02_-_Month_wise/02_-_Feburary/18/Bg-07-03_1974-02-18_BG-BOMBAY.MP3</t>
  </si>
  <si>
    <t>Bg_07-03_BOM_1974-02-18_One_in_Many_Million.mp3</t>
  </si>
  <si>
    <t>https://audio.iskcondesiretree.com/01_-_Srila_Prabhupada/01_-_Lectures/01_-_English/02_-_Month_wise/02_-_Feburary/18/Bg_07-03_BOM_1974-02-18_One_in_Many_Million.mp3</t>
  </si>
  <si>
    <t>SP_BG_07-04_Bombay_1974-02-19_Chemicals_Come_from_Life.mp3</t>
  </si>
  <si>
    <t>https://audio.iskcondesiretree.com/01_-_Srila_Prabhupada/01_-_Lectures/01_-_English/01_-_Topic_wise/Bhagavad_Gita/Chapter-07/SP_BG_07-04_Bombay_1974-02-19_Chemicals_Come_from_Life.mp3</t>
  </si>
  <si>
    <t>SP_Morning_Walk_-_Bombay_1974-02-19.mp3</t>
  </si>
  <si>
    <t>https://audio.iskcondesiretree.com/01_-_Srila_Prabhupada/01_-_Lectures/01_-_English/01_-_Topic_wise/Morning_Walk/SP_Morning_Walk_-_Bombay_1974-02-19.mp3</t>
  </si>
  <si>
    <t>Bg-07-04_1974-02-19_BG-BOMBAY.MP3</t>
  </si>
  <si>
    <t>https://audio.iskcondesiretree.com/01_-_Srila_Prabhupada/01_-_Lectures/01_-_English/02_-_Month_wise/02_-_Feburary/19/Bg-07-04_1974-02-19_BG-BOMBAY.MP3</t>
  </si>
  <si>
    <t>Bg_07-04_BOM_1974-02-19_Chemicals_Come_from_Life.mp3</t>
  </si>
  <si>
    <t>https://audio.iskcondesiretree.com/01_-_Srila_Prabhupada/01_-_Lectures/01_-_English/02_-_Month_wise/02_-_Feburary/19/Bg_07-04_BOM_1974-02-19_Chemicals_Come_from_Life.mp3</t>
  </si>
  <si>
    <t>Walk_1974-02-19_MW-BOMBAY.MP3</t>
  </si>
  <si>
    <t>https://audio.iskcondesiretree.com/01_-_Srila_Prabhupada/01_-_Lectures/01_-_English/02_-_Month_wise/02_-_Feburary/19/Walk_1974-02-19_MW-BOMBAY.MP3</t>
  </si>
  <si>
    <t>SP_BG_07-05_Bombay_1974-02-20.mp3</t>
  </si>
  <si>
    <t>https://audio.iskcondesiretree.com/01_-_Srila_Prabhupada/01_-_Lectures/01_-_English/01_-_Topic_wise/Bhagavad_Gita/Chapter-07/SP_BG_07-05_Bombay_1974-02-20.mp3</t>
  </si>
  <si>
    <t>SP_Morning_Walk_-_Bombay_1974-02-20.mp3</t>
  </si>
  <si>
    <t>https://audio.iskcondesiretree.com/01_-_Srila_Prabhupada/01_-_Lectures/01_-_English/01_-_Topic_wise/Morning_Walk/SP_Morning_Walk_-_Bombay_1974-02-20.mp3</t>
  </si>
  <si>
    <t>Bg-07-05_1974-02-20_BG-BOMBAY.MP3</t>
  </si>
  <si>
    <t>https://audio.iskcondesiretree.com/01_-_Srila_Prabhupada/01_-_Lectures/01_-_English/02_-_Month_wise/02_-_Feburary/20/Bg-07-05_1974-02-20_BG-BOMBAY.MP3</t>
  </si>
  <si>
    <t>Walk_1974-02-20_MW-BOMBAY.MP3</t>
  </si>
  <si>
    <t>https://audio.iskcondesiretree.com/01_-_Srila_Prabhupada/01_-_Lectures/01_-_English/02_-_Month_wise/02_-_Feburary/20/Walk_1974-02-20_MW-BOMBAY.MP3</t>
  </si>
  <si>
    <t>SP_Room_Conversation_01_Vrindavan_1974-02-21.mp3</t>
  </si>
  <si>
    <t>https://audio.iskcondesiretree.com/01_-_Srila_Prabhupada/01_-_Lectures/01_-_English/01_-_Topic_wise/Room_Conversation/SP_Room_Conversation_01_Vrindavan_1974-02-21.mp3</t>
  </si>
  <si>
    <t>SP_BG_07-07_Bombay_1974-02-22_Superior_to_All_Hodgepodge.mp3</t>
  </si>
  <si>
    <t>https://audio.iskcondesiretree.com/01_-_Srila_Prabhupada/01_-_Lectures/01_-_English/01_-_Topic_wise/Bhagavad_Gita/Chapter-07/SP_BG_07-07_Bombay_1974-02-22_Superior_to_All_Hodgepodge.mp3</t>
  </si>
  <si>
    <t>SP_Morning_Walk_-_Bombay_1974-02-22.mp3</t>
  </si>
  <si>
    <t>https://audio.iskcondesiretree.com/01_-_Srila_Prabhupada/01_-_Lectures/01_-_English/01_-_Topic_wise/Morning_Walk/SP_Morning_Walk_-_Bombay_1974-02-22.mp3</t>
  </si>
  <si>
    <t>Bg-07-07_1974-02-22_BG-BOMBAY.MP3</t>
  </si>
  <si>
    <t>https://audio.iskcondesiretree.com/01_-_Srila_Prabhupada/01_-_Lectures/01_-_English/02_-_Month_wise/02_-_Feburary/22/Bg-07-07_1974-02-22_BG-BOMBAY.MP3</t>
  </si>
  <si>
    <t>Bg_07-07_BOM_1974-02-22_Superior_to_All_Hodgepodge.mp3</t>
  </si>
  <si>
    <t>https://audio.iskcondesiretree.com/01_-_Srila_Prabhupada/01_-_Lectures/01_-_English/02_-_Month_wise/02_-_Feburary/22/Bg_07-07_BOM_1974-02-22_Superior_to_All_Hodgepodge.mp3</t>
  </si>
  <si>
    <t>Walk_1974-02-22_MW-BOMBAY.MP3</t>
  </si>
  <si>
    <t>https://audio.iskcondesiretree.com/01_-_Srila_Prabhupada/01_-_Lectures/01_-_English/02_-_Month_wise/02_-_Feburary/22/Walk_1974-02-22_MW-BOMBAY.MP3</t>
  </si>
  <si>
    <t>SP_BG_07-08_Bombay_1974-02-23_Try_to_Experience_Krishna.mp3</t>
  </si>
  <si>
    <t>https://audio.iskcondesiretree.com/01_-_Srila_Prabhupada/01_-_Lectures/01_-_English/01_-_Topic_wise/Bhagavad_Gita/Chapter-07/SP_BG_07-08_Bombay_1974-02-23_Try_to_Experience_Krishna.mp3</t>
  </si>
  <si>
    <t>SP_Morning_Walk_-_Bombay_1974-02-23_A_Good_Man_%26_a_Kick_in_the_Face.mp3</t>
  </si>
  <si>
    <t>https://audio.iskcondesiretree.com/01_-_Srila_Prabhupada/01_-_Lectures/01_-_English/01_-_Topic_wise/Morning_Walk/SP_Morning_Walk_-_Bombay_1974-02-23_A_Good_Man_%26_a_Kick_in_the_Face.mp3</t>
  </si>
  <si>
    <t>Bg-07-08_1974-02-23_BG-BOMBAY.MP3</t>
  </si>
  <si>
    <t>https://audio.iskcondesiretree.com/01_-_Srila_Prabhupada/01_-_Lectures/01_-_English/02_-_Month_wise/02_-_Feburary/23/Bg-07-08_1974-02-23_BG-BOMBAY.MP3</t>
  </si>
  <si>
    <t>Bg_07-08_BOM_1974-02-23_Try_to_Experience_Krishna.mp3</t>
  </si>
  <si>
    <t>https://audio.iskcondesiretree.com/01_-_Srila_Prabhupada/01_-_Lectures/01_-_English/02_-_Month_wise/02_-_Feburary/23/Bg_07-08_BOM_1974-02-23_Try_to_Experience_Krishna.mp3</t>
  </si>
  <si>
    <t>MW_BOM_1974-02-23_A_Good_Man_%26_a_Kick_in_the_Face.mp3</t>
  </si>
  <si>
    <t>https://audio.iskcondesiretree.com/01_-_Srila_Prabhupada/01_-_Lectures/01_-_English/02_-_Month_wise/02_-_Feburary/23/MW_BOM_1974-02-23_A_Good_Man_%26_a_Kick_in_the_Face.mp3</t>
  </si>
  <si>
    <t>Walk_1974-02-23_MW-BOMBAY.MP3</t>
  </si>
  <si>
    <t>https://audio.iskcondesiretree.com/01_-_Srila_Prabhupada/01_-_Lectures/01_-_English/02_-_Month_wise/02_-_Feburary/23/Walk_1974-02-23_MW-BOMBAY.MP3</t>
  </si>
  <si>
    <t>SP_BG_07-09_Bombay_1974-02-24_No_Brain_Behind_Nature.mp3</t>
  </si>
  <si>
    <t>https://audio.iskcondesiretree.com/01_-_Srila_Prabhupada/01_-_Lectures/01_-_English/01_-_Topic_wise/Bhagavad_Gita/Chapter-07/SP_BG_07-09_Bombay_1974-02-24_No_Brain_Behind_Nature.mp3</t>
  </si>
  <si>
    <t>Bg-07-09%E2%80%9310_1974-02-24_BG-BOMBAY.MP3</t>
  </si>
  <si>
    <t>https://audio.iskcondesiretree.com/01_-_Srila_Prabhupada/01_-_Lectures/01_-_English/02_-_Month_wise/02_-_Feburary/24/Bg-07-09%E2%80%9310_1974-02-24_BG-BOMBAY.MP3</t>
  </si>
  <si>
    <t>Bg_07-09_BOM_1974-02-24_No_Brain_Behind_Nature.mp3</t>
  </si>
  <si>
    <t>https://audio.iskcondesiretree.com/01_-_Srila_Prabhupada/01_-_Lectures/01_-_English/02_-_Month_wise/02_-_Feburary/24/Bg_07-09_BOM_1974-02-24_No_Brain_Behind_Nature.mp3</t>
  </si>
  <si>
    <t>SP_BG_07-11-12_Bombay_1974-02-25_Unplanned_Unwanted_Children.mp3</t>
  </si>
  <si>
    <t>https://audio.iskcondesiretree.com/01_-_Srila_Prabhupada/01_-_Lectures/01_-_English/01_-_Topic_wise/Bhagavad_Gita/Chapter-07/SP_BG_07-11-12_Bombay_1974-02-25_Unplanned_Unwanted_Children.mp3</t>
  </si>
  <si>
    <t>SP_BG_07-11_Bombay_1974-02-25_Unplanned_Unwanted_Children.mp3</t>
  </si>
  <si>
    <t>https://audio.iskcondesiretree.com/01_-_Srila_Prabhupada/01_-_Lectures/01_-_English/01_-_Topic_wise/Bhagavad_Gita/Chapter-07/SP_BG_07-11_Bombay_1974-02-25_Unplanned_Unwanted_Children.mp3</t>
  </si>
  <si>
    <t>SP_Morning_Walk_-_Bombay_1974-02-25.mp3</t>
  </si>
  <si>
    <t>https://audio.iskcondesiretree.com/01_-_Srila_Prabhupada/01_-_Lectures/01_-_English/01_-_Topic_wise/Morning_Walk/SP_Morning_Walk_-_Bombay_1974-02-25.mp3</t>
  </si>
  <si>
    <t>Bg-07-11%E2%80%9312_1974-02-25_BG-BOMBAY.MP3</t>
  </si>
  <si>
    <t>https://audio.iskcondesiretree.com/01_-_Srila_Prabhupada/01_-_Lectures/01_-_English/02_-_Month_wise/02_-_Feburary/25/Bg-07-11%E2%80%9312_1974-02-25_BG-BOMBAY.MP3</t>
  </si>
  <si>
    <t>Bg_07-11_BOM_1974-02-25_Unplanned_Unwanted_Children.mp3</t>
  </si>
  <si>
    <t>https://audio.iskcondesiretree.com/01_-_Srila_Prabhupada/01_-_Lectures/01_-_English/02_-_Month_wise/02_-_Feburary/25/Bg_07-11_BOM_1974-02-25_Unplanned_Unwanted_Children.mp3</t>
  </si>
  <si>
    <t>Walk_1974-02-25_MW-BOMBAY.MP3</t>
  </si>
  <si>
    <t>https://audio.iskcondesiretree.com/01_-_Srila_Prabhupada/01_-_Lectures/01_-_English/02_-_Month_wise/02_-_Feburary/25/Walk_1974-02-25_MW-BOMBAY.MP3</t>
  </si>
  <si>
    <t>SP_BG_15-01_Calcutta_1974-02-26_The_Purpose_of_Vedic_Study.mp3</t>
  </si>
  <si>
    <t>https://audio.iskcondesiretree.com/01_-_Srila_Prabhupada/01_-_Lectures/01_-_English/01_-_Topic_wise/Bhagavad_Gita/Chapter-15/SP_BG_15-01_Calcutta_1974-02-26_The_Purpose_of_Vedic_Study.mp3</t>
  </si>
  <si>
    <t>Bg-15-01_1974-02-26_BG-CALCUTTA.MP3</t>
  </si>
  <si>
    <t>https://audio.iskcondesiretree.com/01_-_Srila_Prabhupada/01_-_Lectures/01_-_English/02_-_Month_wise/02_-_Feburary/26/Bg-15-01_1974-02-26_BG-CALCUTTA.MP3</t>
  </si>
  <si>
    <t>Bg_15-01_CAL_1974-02-26_The_Purpose_of_Vedic_Study.mp3</t>
  </si>
  <si>
    <t>https://audio.iskcondesiretree.com/01_-_Srila_Prabhupada/01_-_Lectures/01_-_English/02_-_Month_wise/02_-_Feburary/26/Bg_15-01_CAL_1974-02-26_The_Purpose_of_Vedic_Study.mp3</t>
  </si>
  <si>
    <t>SP_SB_1-02-06_Calcutta_1974-02-27_Krishna_Takes_Only_the--etc.mp3</t>
  </si>
  <si>
    <t>https://audio.iskcondesiretree.com/01_-_Srila_Prabhupada/01_-_Lectures/01_-_English/01_-_Topic_wise/Srimad_Bhagavatam/Canto-01/SP_SB_1-02-06_Calcutta_1974-02-27_Krishna_Takes_Only_the--etc.mp3</t>
  </si>
  <si>
    <t>SB-01-02-06_1974-02-27_SB-CALCUTTA.MP3</t>
  </si>
  <si>
    <t>https://audio.iskcondesiretree.com/01_-_Srila_Prabhupada/01_-_Lectures/01_-_English/02_-_Month_wise/02_-_Feburary/27/SB-01-02-06_1974-02-27_SB-CALCUTTA.MP3</t>
  </si>
  <si>
    <t>SB_1-02-06_CAL_1974-02-27_Krishna_Takes_Only_the_etc.mp3</t>
  </si>
  <si>
    <t>https://audio.iskcondesiretree.com/01_-_Srila_Prabhupada/01_-_Lectures/01_-_English/02_-_Month_wise/02_-_Feburary/27/SB_1-02-06_CAL_1974-02-27_Krishna_Takes_Only_the_etc.mp3</t>
  </si>
  <si>
    <t>Adi_Lila</t>
  </si>
  <si>
    <t>SP_CC_A_07-01_Mayapur_1974-03-01_Lord_Caitanya--Not%20Killing--etc.mp3</t>
  </si>
  <si>
    <t>https://audio.iskcondesiretree.com/01_-_Srila_Prabhupada/01_-_Lectures/01_-_English/01_-_Topic_wise/Chaitanya_Charitamrita/Adi_Lila/SP_CC_A_07-01_Mayapur_1974-03-01_Lord_Caitanya--Not%20Killing--etc.mp3</t>
  </si>
  <si>
    <t>SP_CC_A_07-01_Mayapur_1974-03-01_Lord_Caitanya--Not_Killing--etc.mp3</t>
  </si>
  <si>
    <t>https://audio.iskcondesiretree.com/01_-_Srila_Prabhupada/01_-_Lectures/01_-_English/01_-_Topic_wise/Chaitanya_Charitamrita/Adi_Lila/SP_CC_A_07-01_Mayapur_1974-03-01_Lord_Caitanya--Not_Killing--etc.mp3</t>
  </si>
  <si>
    <t>Cc_A_7-01_MAY_1974-03-01_Lord_Caitanya--Not_Killing_etc.mp3</t>
  </si>
  <si>
    <t>https://audio.iskcondesiretree.com/01_-_Srila_Prabhupada/01_-_Lectures/01_-_English/02_-_Month_wise/03_-_March/01/Cc_A_7-01_MAY_1974-03-01_Lord_Caitanya--Not_Killing_etc.mp3</t>
  </si>
  <si>
    <t>CcAdi-07-001_1974-03-01_CC-MAYAPUR.MP3</t>
  </si>
  <si>
    <t>https://audio.iskcondesiretree.com/01_-_Srila_Prabhupada/01_-_Lectures/01_-_English/02_-_Month_wise/03_-_March/01/CcAdi-07-001_1974-03-01_CC-MAYAPUR.MP3</t>
  </si>
  <si>
    <t>SP_CC_A_07-02_Mayapur_1974-03-02.mp3</t>
  </si>
  <si>
    <t>https://audio.iskcondesiretree.com/01_-_Srila_Prabhupada/01_-_Lectures/01_-_English/01_-_Topic_wise/Chaitanya_Charitamrita/Adi_Lila/SP_CC_A_07-02_Mayapur_1974-03-02.mp3</t>
  </si>
  <si>
    <t>SP_Morning_Walk_-_Mayapur_1974-03-02.mp3</t>
  </si>
  <si>
    <t>https://audio.iskcondesiretree.com/01_-_Srila_Prabhupada/01_-_Lectures/01_-_English/01_-_Topic_wise/Morning_Walk/SP_Morning_Walk_-_Mayapur_1974-03-02.mp3</t>
  </si>
  <si>
    <t>CcAdi-07-002_1974-03-02_CC-MAYAPUR.MP3</t>
  </si>
  <si>
    <t>https://audio.iskcondesiretree.com/01_-_Srila_Prabhupada/01_-_Lectures/01_-_English/02_-_Month_wise/03_-_March/02/CcAdi-07-002_1974-03-02_CC-MAYAPUR.MP3</t>
  </si>
  <si>
    <t>Walk_1974-03-02_MW-MAYAPUR.MP3</t>
  </si>
  <si>
    <t>https://audio.iskcondesiretree.com/01_-_Srila_Prabhupada/01_-_Lectures/01_-_English/02_-_Month_wise/03_-_March/02/Walk_1974-03-02_MW-MAYAPUR.MP3</t>
  </si>
  <si>
    <t>SP_CC_A_07-03_Mayapur_1974-03-03_Stop_Serving_the_Senses.mp3</t>
  </si>
  <si>
    <t>https://audio.iskcondesiretree.com/01_-_Srila_Prabhupada/01_-_Lectures/01_-_English/01_-_Topic_wise/Chaitanya_Charitamrita/Adi_Lila/SP_CC_A_07-03_Mayapur_1974-03-03_Stop_Serving_the_Senses.mp3</t>
  </si>
  <si>
    <t>SP_Morning_Walk_-_Mayapur_1974-03-03.mp3</t>
  </si>
  <si>
    <t>https://audio.iskcondesiretree.com/01_-_Srila_Prabhupada/01_-_Lectures/01_-_English/01_-_Topic_wise/Morning_Walk/SP_Morning_Walk_-_Mayapur_1974-03-03.mp3</t>
  </si>
  <si>
    <t>Cc_A_7-03_MAY_1974-03-03_Stop_Serving_the_Senses.mp3</t>
  </si>
  <si>
    <t>https://audio.iskcondesiretree.com/01_-_Srila_Prabhupada/01_-_Lectures/01_-_English/02_-_Month_wise/03_-_March/03/Cc_A_7-03_MAY_1974-03-03_Stop_Serving_the_Senses.mp3</t>
  </si>
  <si>
    <t>CcAdi-07-003_1974-03-03_CC-MAYAPUR.MP3</t>
  </si>
  <si>
    <t>https://audio.iskcondesiretree.com/01_-_Srila_Prabhupada/01_-_Lectures/01_-_English/02_-_Month_wise/03_-_March/03/CcAdi-07-003_1974-03-03_CC-MAYAPUR.MP3</t>
  </si>
  <si>
    <t>Walk_1974-03-03_MW-MAYAPUR.MP3</t>
  </si>
  <si>
    <t>https://audio.iskcondesiretree.com/01_-_Srila_Prabhupada/01_-_Lectures/01_-_English/02_-_Month_wise/03_-_March/03/Walk_1974-03-03_MW-MAYAPUR.MP3</t>
  </si>
  <si>
    <t>SP_CC_A_07-04_Mayapur_1974-03-04_No_Mills%2C_No--etc.mp3</t>
  </si>
  <si>
    <t>https://audio.iskcondesiretree.com/01_-_Srila_Prabhupada/01_-_Lectures/01_-_English/01_-_Topic_wise/Chaitanya_Charitamrita/Adi_Lila/SP_CC_A_07-04_Mayapur_1974-03-04_No_Mills%2C_No--etc.mp3</t>
  </si>
  <si>
    <t>SP_Morning_Walk_-_Mayapur_1974-03-04.mp3</t>
  </si>
  <si>
    <t>https://audio.iskcondesiretree.com/01_-_Srila_Prabhupada/01_-_Lectures/01_-_English/01_-_Topic_wise/Morning_Walk/SP_Morning_Walk_-_Mayapur_1974-03-04.mp3</t>
  </si>
  <si>
    <t>Cc_A_7-04_MAY_1974-03-04_No_Mills_No_etc.mp3</t>
  </si>
  <si>
    <t>https://audio.iskcondesiretree.com/01_-_Srila_Prabhupada/01_-_Lectures/01_-_English/02_-_Month_wise/03_-_March/04/Cc_A_7-04_MAY_1974-03-04_No_Mills_No_etc.mp3</t>
  </si>
  <si>
    <t>CcAdi-07-004_1974-03-04_CC-MAYAPUR.MP3</t>
  </si>
  <si>
    <t>https://audio.iskcondesiretree.com/01_-_Srila_Prabhupada/01_-_Lectures/01_-_English/02_-_Month_wise/03_-_March/04/CcAdi-07-004_1974-03-04_CC-MAYAPUR.MP3</t>
  </si>
  <si>
    <t>Walk_1974-03-04_MW-MAYAPUR.MP3</t>
  </si>
  <si>
    <t>https://audio.iskcondesiretree.com/01_-_Srila_Prabhupada/01_-_Lectures/01_-_English/02_-_Month_wise/03_-_March/04/Walk_1974-03-04_MW-MAYAPUR.MP3</t>
  </si>
  <si>
    <t>SP_Morning_Walk_-_Mayapur_1974-03-05.mp3</t>
  </si>
  <si>
    <t>https://audio.iskcondesiretree.com/01_-_Srila_Prabhupada/01_-_Lectures/01_-_English/01_-_Topic_wise/Morning_Walk/SP_Morning_Walk_-_Mayapur_1974-03-05.mp3</t>
  </si>
  <si>
    <t>Walk_1974-03-05_MW-MAYAPUR.MP3</t>
  </si>
  <si>
    <t>https://audio.iskcondesiretree.com/01_-_Srila_Prabhupada/01_-_Lectures/01_-_English/02_-_Month_wise/03_-_March/05/Walk_1974-03-05_MW-MAYAPUR.MP3</t>
  </si>
  <si>
    <t>SP_Morning_Walk_-_Mayapur_1974-03-06_Americans_Must_Smell_a_Machine.mp3</t>
  </si>
  <si>
    <t>https://audio.iskcondesiretree.com/01_-_Srila_Prabhupada/01_-_Lectures/01_-_English/01_-_Topic_wise/Morning_Walk/SP_Morning_Walk_-_Mayapur_1974-03-06_Americans_Must_Smell_a_Machine.mp3</t>
  </si>
  <si>
    <t>MW_MAY_1974-03-06_Americans_Must_Smell_a_Machine.mp3</t>
  </si>
  <si>
    <t>https://audio.iskcondesiretree.com/01_-_Srila_Prabhupada/01_-_Lectures/01_-_English/02_-_Month_wise/03_-_March/06/MW_MAY_1974-03-06_Americans_Must_Smell_a_Machine.mp3</t>
  </si>
  <si>
    <t>Walk_1974-03-06_MW-MAYAPUR.MP3</t>
  </si>
  <si>
    <t>https://audio.iskcondesiretree.com/01_-_Srila_Prabhupada/01_-_Lectures/01_-_English/02_-_Month_wise/03_-_March/06/Walk_1974-03-06_MW-MAYAPUR.MP3</t>
  </si>
  <si>
    <t>SP_CC_A_07-05_Mayapur_1974-03-07_Krishna_Is_the_Ocean_of_Pleasure.mp3</t>
  </si>
  <si>
    <t>https://audio.iskcondesiretree.com/01_-_Srila_Prabhupada/01_-_Lectures/01_-_English/01_-_Topic_wise/Chaitanya_Charitamrita/Adi_Lila/SP_CC_A_07-05_Mayapur_1974-03-07_Krishna_Is_the_Ocean_of_Pleasure.mp3</t>
  </si>
  <si>
    <t>SP_Morning_Walk_-_Mayapur_1974-03-07.mp3</t>
  </si>
  <si>
    <t>https://audio.iskcondesiretree.com/01_-_Srila_Prabhupada/01_-_Lectures/01_-_English/01_-_Topic_wise/Morning_Walk/SP_Morning_Walk_-_Mayapur_1974-03-07.mp3</t>
  </si>
  <si>
    <t>Cc_A_7-05_MAY_1974-03-07_Krishna_Is_the_Ocean_of_Pleasure.mp3</t>
  </si>
  <si>
    <t>https://audio.iskcondesiretree.com/01_-_Srila_Prabhupada/01_-_Lectures/01_-_English/02_-_Month_wise/03_-_March/07/Cc_A_7-05_MAY_1974-03-07_Krishna_Is_the_Ocean_of_Pleasure.mp3</t>
  </si>
  <si>
    <t>CcAdi-07-005_1974-03-07_CC-MAYAPUR.MP3</t>
  </si>
  <si>
    <t>https://audio.iskcondesiretree.com/01_-_Srila_Prabhupada/01_-_Lectures/01_-_English/02_-_Month_wise/03_-_March/07/CcAdi-07-005_1974-03-07_CC-MAYAPUR.MP3</t>
  </si>
  <si>
    <t>Walk_1974-03-07_MW-MAYAPUR.MP3</t>
  </si>
  <si>
    <t>https://audio.iskcondesiretree.com/01_-_Srila_Prabhupada/01_-_Lectures/01_-_English/02_-_Month_wise/03_-_March/07/Walk_1974-03-07_MW-MAYAPUR.MP3</t>
  </si>
  <si>
    <t>SP_CC_A_07-07_Mayapur_1974-03-09_Krishna_Kills_the_Competition.mp3</t>
  </si>
  <si>
    <t>https://audio.iskcondesiretree.com/01_-_Srila_Prabhupada/01_-_Lectures/01_-_English/01_-_Topic_wise/Chaitanya_Charitamrita/Adi_Lila/SP_CC_A_07-07_Mayapur_1974-03-09_Krishna_Kills_the_Competition.mp3</t>
  </si>
  <si>
    <t>SP_Morning_Walk_-_Mayapur_1974-03-09_The_Spirit_of_the_Law.mp3</t>
  </si>
  <si>
    <t>https://audio.iskcondesiretree.com/01_-_Srila_Prabhupada/01_-_Lectures/01_-_English/01_-_Topic_wise/Morning_Walk/SP_Morning_Walk_-_Mayapur_1974-03-09_The_Spirit_of_the_Law.mp3</t>
  </si>
  <si>
    <t>Cc_A_7-07_MAY_1974-03-09_Krishna_Kills_the_Competition.mp3</t>
  </si>
  <si>
    <t>https://audio.iskcondesiretree.com/01_-_Srila_Prabhupada/01_-_Lectures/01_-_English/02_-_Month_wise/03_-_March/09/Cc_A_7-07_MAY_1974-03-09_Krishna_Kills_the_Competition.mp3</t>
  </si>
  <si>
    <t>CcAdi-07-007_1974-03-09_CC-MAYAPUR.MP3</t>
  </si>
  <si>
    <t>https://audio.iskcondesiretree.com/01_-_Srila_Prabhupada/01_-_Lectures/01_-_English/02_-_Month_wise/03_-_March/09/CcAdi-07-007_1974-03-09_CC-MAYAPUR.MP3</t>
  </si>
  <si>
    <t>MW_MAY_1974-03-09_The_Spirit_of_the_Law.mp3</t>
  </si>
  <si>
    <t>https://audio.iskcondesiretree.com/01_-_Srila_Prabhupada/01_-_Lectures/01_-_English/02_-_Month_wise/03_-_March/09/MW_MAY_1974-03-09_The_Spirit_of_the_Law.mp3</t>
  </si>
  <si>
    <t>Walk_1974-03-09_MW-MAYAPUR.MP3</t>
  </si>
  <si>
    <t>https://audio.iskcondesiretree.com/01_-_Srila_Prabhupada/01_-_Lectures/01_-_English/02_-_Month_wise/03_-_March/09/Walk_1974-03-09_MW-MAYAPUR.MP3</t>
  </si>
  <si>
    <t>Lecture%E2%80%93Bengali_1974-03-10_LE-CALCUTTA.MP3</t>
  </si>
  <si>
    <t>https://audio.iskcondesiretree.com/01_-_Srila_Prabhupada/01_-_Lectures/01_-_English/02_-_Month_wise/03_-_March/10/Lecture%E2%80%93Bengali_1974-03-10_LE-CALCUTTA.MP3</t>
  </si>
  <si>
    <t>SP_Morning_Walk_-_Vrindavan_1974-03-12.mp3</t>
  </si>
  <si>
    <t>https://audio.iskcondesiretree.com/01_-_Srila_Prabhupada/01_-_Lectures/01_-_English/01_-_Topic_wise/Morning_Walk/SP_Morning_Walk_-_Vrindavan_1974-03-12.mp3</t>
  </si>
  <si>
    <t>Walk_1974-03-12_MW-VRNDAVAN.MP3</t>
  </si>
  <si>
    <t>https://audio.iskcondesiretree.com/01_-_Srila_Prabhupada/01_-_Lectures/01_-_English/02_-_Month_wise/03_-_March/12/Walk_1974-03-12_MW-VRNDAVAN.MP3</t>
  </si>
  <si>
    <t>SP_CC_A_07-91_Vrindavan_1974-03-13_Singing_in_Saintly_Company.mp3</t>
  </si>
  <si>
    <t>https://audio.iskcondesiretree.com/01_-_Srila_Prabhupada/01_-_Lectures/01_-_English/01_-_Topic_wise/Chaitanya_Charitamrita/Adi_Lila/SP_CC_A_07-91_Vrindavan_1974-03-13_Singing_in_Saintly_Company.mp3</t>
  </si>
  <si>
    <t>SP_Morning_Walk_-_Vrindavan_1974-03-13.mp3</t>
  </si>
  <si>
    <t>https://audio.iskcondesiretree.com/01_-_Srila_Prabhupada/01_-_Lectures/01_-_English/01_-_Topic_wise/Morning_Walk/SP_Morning_Walk_-_Vrindavan_1974-03-13.mp3</t>
  </si>
  <si>
    <t>Cc_A_7-91_VRN_1974-03-13_Singing_in_Saintly_Company.mp3</t>
  </si>
  <si>
    <t>https://audio.iskcondesiretree.com/01_-_Srila_Prabhupada/01_-_Lectures/01_-_English/02_-_Month_wise/03_-_March/13/Cc_A_7-91_VRN_1974-03-13_Singing_in_Saintly_Company.mp3</t>
  </si>
  <si>
    <t>CcAdi-07-091%E2%80%93092_1974-03-13_CC-VRNDAVAN.MP3</t>
  </si>
  <si>
    <t>https://audio.iskcondesiretree.com/01_-_Srila_Prabhupada/01_-_Lectures/01_-_English/02_-_Month_wise/03_-_March/13/CcAdi-07-091%E2%80%93092_1974-03-13_CC-VRNDAVAN.MP3</t>
  </si>
  <si>
    <t>Walk_1974-03-13_MW-VRNDAVAN.MP3</t>
  </si>
  <si>
    <t>https://audio.iskcondesiretree.com/01_-_Srila_Prabhupada/01_-_Lectures/01_-_English/02_-_Month_wise/03_-_March/13/Walk_1974-03-13_MW-VRNDAVAN.MP3</t>
  </si>
  <si>
    <t>SP_Morning_Walk_-_Vrindavan_1974-03-14_Varnashram_College_1--Revise_Human--etc.mp3</t>
  </si>
  <si>
    <t>https://audio.iskcondesiretree.com/01_-_Srila_Prabhupada/01_-_Lectures/01_-_English/01_-_Topic_wise/Morning_Walk/SP_Morning_Walk_-_Vrindavan_1974-03-14_Varnashram_College_1--Revise_Human--etc.mp3</t>
  </si>
  <si>
    <t>Lecture_1974-03-14_LE-VRNDAVAN.MP3</t>
  </si>
  <si>
    <t>https://audio.iskcondesiretree.com/01_-_Srila_Prabhupada/01_-_Lectures/01_-_English/02_-_Month_wise/03_-_March/14/Lecture_1974-03-14_LE-VRNDAVAN.MP3</t>
  </si>
  <si>
    <t>MW_VRN_1974-03-14_Varnashram_College_1--Revise_Human_etc.mp3</t>
  </si>
  <si>
    <t>https://audio.iskcondesiretree.com/01_-_Srila_Prabhupada/01_-_Lectures/01_-_English/02_-_Month_wise/03_-_March/14/MW_VRN_1974-03-14_Varnashram_College_1--Revise_Human_etc.mp3</t>
  </si>
  <si>
    <t>Walk_1974-03-14_MW-VRNDAVAN.MP3</t>
  </si>
  <si>
    <t>https://audio.iskcondesiretree.com/01_-_Srila_Prabhupada/01_-_Lectures/01_-_English/02_-_Month_wise/03_-_March/14/Walk_1974-03-14_MW-VRNDAVAN.MP3</t>
  </si>
  <si>
    <t>SP_CC_A_07-08_Vrindavan_1974-03-15.mp3</t>
  </si>
  <si>
    <t>https://audio.iskcondesiretree.com/01_-_Srila_Prabhupada/01_-_Lectures/01_-_English/01_-_Topic_wise/Chaitanya_Charitamrita/Adi_Lila/SP_CC_A_07-08_Vrindavan_1974-03-15.mp3</t>
  </si>
  <si>
    <t>SP_Morning_Walk_-_Vrindavan_1974-03-15_Varnashram_College_2--One--etc.mp3</t>
  </si>
  <si>
    <t>https://audio.iskcondesiretree.com/01_-_Srila_Prabhupada/01_-_Lectures/01_-_English/01_-_Topic_wise/Morning_Walk/SP_Morning_Walk_-_Vrindavan_1974-03-15_Varnashram_College_2--One--etc.mp3</t>
  </si>
  <si>
    <t>SP_Room_Conversation_with_Sannyasis_Vrindavan_1974-03-15.mp3</t>
  </si>
  <si>
    <t>https://audio.iskcondesiretree.com/01_-_Srila_Prabhupada/01_-_Lectures/01_-_English/01_-_Topic_wise/Room_Conversation/SP_Room_Conversation_with_Sannyasis_Vrindavan_1974-03-15.mp3</t>
  </si>
  <si>
    <t>CcAdi-07-008_1974-03-15_CC-VRNDAVAN.MP3</t>
  </si>
  <si>
    <t>https://audio.iskcondesiretree.com/01_-_Srila_Prabhupada/01_-_Lectures/01_-_English/02_-_Month_wise/03_-_March/15/CcAdi-07-008_1974-03-15_CC-VRNDAVAN.MP3</t>
  </si>
  <si>
    <t>Conv_1974-03-15_R1-VRNDAVAN.MP3</t>
  </si>
  <si>
    <t>https://audio.iskcondesiretree.com/01_-_Srila_Prabhupada/01_-_Lectures/01_-_English/02_-_Month_wise/03_-_March/15/Conv_1974-03-15_R1-VRNDAVAN.MP3</t>
  </si>
  <si>
    <t>MW_VRN_1974-03-15_Varnashram_College_2--One_etc.mp3</t>
  </si>
  <si>
    <t>https://audio.iskcondesiretree.com/01_-_Srila_Prabhupada/01_-_Lectures/01_-_English/02_-_Month_wise/03_-_March/15/MW_VRN_1974-03-15_Varnashram_College_2--One_etc.mp3</t>
  </si>
  <si>
    <t>Walk_1974-03-15_MW-VRNDAVAN.MP3</t>
  </si>
  <si>
    <t>https://audio.iskcondesiretree.com/01_-_Srila_Prabhupada/01_-_Lectures/01_-_English/02_-_Month_wise/03_-_March/15/Walk_1974-03-15_MW-VRNDAVAN.MP3</t>
  </si>
  <si>
    <t>SP_Morning_Walk_-_Vrindavan_1974-03-16.mp3</t>
  </si>
  <si>
    <t>https://audio.iskcondesiretree.com/01_-_Srila_Prabhupada/01_-_Lectures/01_-_English/01_-_Topic_wise/Morning_Walk/SP_Morning_Walk_-_Vrindavan_1974-03-16.mp3</t>
  </si>
  <si>
    <t>SP_Room_Conversation_01_Vrindavan_1974-03-16.mp3</t>
  </si>
  <si>
    <t>https://audio.iskcondesiretree.com/01_-_Srila_Prabhupada/01_-_Lectures/01_-_English/01_-_Topic_wise/Room_Conversation/SP_Room_Conversation_01_Vrindavan_1974-03-16.mp3</t>
  </si>
  <si>
    <t>SP_Room_Conversation_02_Vrindavan_1974-03-16.mp3</t>
  </si>
  <si>
    <t>https://audio.iskcondesiretree.com/01_-_Srila_Prabhupada/01_-_Lectures/01_-_English/01_-_Topic_wise/Room_Conversation/SP_Room_Conversation_02_Vrindavan_1974-03-16.mp3</t>
  </si>
  <si>
    <t>SP_SB_2-01-01_Vrindavan_1974-03-16_How_to_Be_Fearless_at_Death.mp3</t>
  </si>
  <si>
    <t>https://audio.iskcondesiretree.com/01_-_Srila_Prabhupada/01_-_Lectures/01_-_English/01_-_Topic_wise/Srimad_Bhagavatam/Canto-02/SP_SB_2-01-01_Vrindavan_1974-03-16_How_to_Be_Fearless_at_Death.mp3</t>
  </si>
  <si>
    <t>Conv_1974-03-16_R1-VRNDAVAN.MP3</t>
  </si>
  <si>
    <t>https://audio.iskcondesiretree.com/01_-_Srila_Prabhupada/01_-_Lectures/01_-_English/02_-_Month_wise/03_-_March/16/Conv_1974-03-16_R1-VRNDAVAN.MP3</t>
  </si>
  <si>
    <t>Conv_1974-03-16_R2-VRNDAVAN.MP3</t>
  </si>
  <si>
    <t>https://audio.iskcondesiretree.com/01_-_Srila_Prabhupada/01_-_Lectures/01_-_English/02_-_Month_wise/03_-_March/16/Conv_1974-03-16_R2-VRNDAVAN.MP3</t>
  </si>
  <si>
    <t>SB-02-01-01_1974-03-16_SB-VRNDAVAN.MP3</t>
  </si>
  <si>
    <t>https://audio.iskcondesiretree.com/01_-_Srila_Prabhupada/01_-_Lectures/01_-_English/02_-_Month_wise/03_-_March/16/SB-02-01-01_1974-03-16_SB-VRNDAVAN.MP3</t>
  </si>
  <si>
    <t>SB_2-01-01_VRN_1974-03-16_How_to_Be_Fearless_at_Death.mp3</t>
  </si>
  <si>
    <t>https://audio.iskcondesiretree.com/01_-_Srila_Prabhupada/01_-_Lectures/01_-_English/02_-_Month_wise/03_-_March/16/SB_2-01-01_VRN_1974-03-16_How_to_Be_Fearless_at_Death.mp3</t>
  </si>
  <si>
    <t>Walk_1974-03-16_MW-VRNDAVAN.MP3</t>
  </si>
  <si>
    <t>https://audio.iskcondesiretree.com/01_-_Srila_Prabhupada/01_-_Lectures/01_-_English/02_-_Month_wise/03_-_March/16/Walk_1974-03-16_MW-VRNDAVAN.MP3</t>
  </si>
  <si>
    <t>SP_Morning_Walk_-_Vrindavan_1974-03-17_Stop_All_Bogus_Religion.mp3</t>
  </si>
  <si>
    <t>https://audio.iskcondesiretree.com/01_-_Srila_Prabhupada/01_-_Lectures/01_-_English/01_-_Topic_wise/Morning_Walk/SP_Morning_Walk_-_Vrindavan_1974-03-17_Stop_All_Bogus_Religion.mp3</t>
  </si>
  <si>
    <t>SP_SB_2-01-02_Vrindavan_1974-03-17_The_Self-Aware_Command_Respect.mp3</t>
  </si>
  <si>
    <t>https://audio.iskcondesiretree.com/01_-_Srila_Prabhupada/01_-_Lectures/01_-_English/01_-_Topic_wise/Srimad_Bhagavatam/Canto-02/SP_SB_2-01-02_Vrindavan_1974-03-17_The_Self-Aware_Command_Respect.mp3</t>
  </si>
  <si>
    <t>MW_VRN_1974-03-17_Stop_All_Bogus_Religion.mp3</t>
  </si>
  <si>
    <t>https://audio.iskcondesiretree.com/01_-_Srila_Prabhupada/01_-_Lectures/01_-_English/02_-_Month_wise/03_-_March/17/MW_VRN_1974-03-17_Stop_All_Bogus_Religion.mp3</t>
  </si>
  <si>
    <t>SB-02-01-02_1974-03-17_SB-VRNDAVAN.MP3</t>
  </si>
  <si>
    <t>https://audio.iskcondesiretree.com/01_-_Srila_Prabhupada/01_-_Lectures/01_-_English/02_-_Month_wise/03_-_March/17/SB-02-01-02_1974-03-17_SB-VRNDAVAN.MP3</t>
  </si>
  <si>
    <t>SB_2-01-02_VRN_1974-03-17_The_Self-Aware_Command_Respect.mp3</t>
  </si>
  <si>
    <t>https://audio.iskcondesiretree.com/01_-_Srila_Prabhupada/01_-_Lectures/01_-_English/02_-_Month_wise/03_-_March/17/SB_2-01-02_VRN_1974-03-17_The_Self-Aware_Command_Respect.mp3</t>
  </si>
  <si>
    <t>Walk_1974-03-17_MW-VRNDAVAN.MP3</t>
  </si>
  <si>
    <t>https://audio.iskcondesiretree.com/01_-_Srila_Prabhupada/01_-_Lectures/01_-_English/02_-_Month_wise/03_-_March/17/Walk_1974-03-17_MW-VRNDAVAN.MP3</t>
  </si>
  <si>
    <t>SP_Morning_Walk_-_Vrindavan_1974-03-18.mp3</t>
  </si>
  <si>
    <t>https://audio.iskcondesiretree.com/01_-_Srila_Prabhupada/01_-_Lectures/01_-_English/01_-_Topic_wise/Morning_Walk/SP_Morning_Walk_-_Vrindavan_1974-03-18.mp3</t>
  </si>
  <si>
    <t>SB-02-01-03_1974-03-18_SB-VRNDAVAN.MP3</t>
  </si>
  <si>
    <t>https://audio.iskcondesiretree.com/01_-_Srila_Prabhupada/01_-_Lectures/01_-_English/02_-_Month_wise/03_-_March/18/SB-02-01-03_1974-03-18_SB-VRNDAVAN.MP3</t>
  </si>
  <si>
    <t>Walk_1974-03-18_MW-VRNDAVAN.MP3</t>
  </si>
  <si>
    <t>https://audio.iskcondesiretree.com/01_-_Srila_Prabhupada/01_-_Lectures/01_-_English/02_-_Month_wise/03_-_March/18/Walk_1974-03-18_MW-VRNDAVAN.MP3</t>
  </si>
  <si>
    <t>SP_SB_2-01-04_Vrindavan_1974-03-19_A_Madman%27s_So-called_Soldiers.mp3</t>
  </si>
  <si>
    <t>https://audio.iskcondesiretree.com/01_-_Srila_Prabhupada/01_-_Lectures/01_-_English/01_-_Topic_wise/Srimad_Bhagavatam/Canto-02/SP_SB_2-01-04_Vrindavan_1974-03-19_A_Madman%27s_So-called_Soldiers.mp3</t>
  </si>
  <si>
    <t>SB-02-01-04_1974-03-19_SB-VRNDAVAN.MP3</t>
  </si>
  <si>
    <t>https://audio.iskcondesiretree.com/01_-_Srila_Prabhupada/01_-_Lectures/01_-_English/02_-_Month_wise/03_-_March/19/SB-02-01-04_1974-03-19_SB-VRNDAVAN.MP3</t>
  </si>
  <si>
    <t>SB_2-01-04_VRN_1974-03-19_A_Madman%27s_So-called_Soldiers.mp3</t>
  </si>
  <si>
    <t>https://audio.iskcondesiretree.com/01_-_Srila_Prabhupada/01_-_Lectures/01_-_English/02_-_Month_wise/03_-_March/19/SB_2-01-04_VRN_1974-03-19_A_Madman%27s_So-called_Soldiers.mp3</t>
  </si>
  <si>
    <t>SP_Morning_Walk_-_Bombay_1974-03-20.mp3</t>
  </si>
  <si>
    <t>https://audio.iskcondesiretree.com/01_-_Srila_Prabhupada/01_-_Lectures/01_-_English/01_-_Topic_wise/Morning_Walk/SP_Morning_Walk_-_Bombay_1974-03-20.mp3</t>
  </si>
  <si>
    <t>Conv_1974-03-20_R1-BOMBAY.MP3</t>
  </si>
  <si>
    <t>https://audio.iskcondesiretree.com/01_-_Srila_Prabhupada/01_-_Lectures/01_-_English/02_-_Month_wise/03_-_March/20/Conv_1974-03-20_R1-BOMBAY.MP3</t>
  </si>
  <si>
    <t>SP_BG_04-01_Bombay_1974-03-21_Take_Perfect_Knowledge.mp3</t>
  </si>
  <si>
    <t>https://audio.iskcondesiretree.com/01_-_Srila_Prabhupada/01_-_Lectures/01_-_English/01_-_Topic_wise/Bhagavad_Gita/Chapter-04/SP_BG_04-01_Bombay_1974-03-21_Take_Perfect_Knowledge.mp3</t>
  </si>
  <si>
    <t>Bg-04-01_1974-03-21_BG-BOMBAY.MP3</t>
  </si>
  <si>
    <t>https://audio.iskcondesiretree.com/01_-_Srila_Prabhupada/01_-_Lectures/01_-_English/02_-_Month_wise/03_-_March/21/Bg-04-01_1974-03-21_BG-BOMBAY.MP3</t>
  </si>
  <si>
    <t>Bg_04-01_BOM_1974-03-21_Take_Perfect_Knowledge.mp3</t>
  </si>
  <si>
    <t>https://audio.iskcondesiretree.com/01_-_Srila_Prabhupada/01_-_Lectures/01_-_English/02_-_Month_wise/03_-_March/21/Bg_04-01_BOM_1974-03-21_Take_Perfect_Knowledge.mp3</t>
  </si>
  <si>
    <t>SP_BG_04-02_Bombay_1974-03-22_Government%27s_Choice-Krishna--etc.mp3</t>
  </si>
  <si>
    <t>https://audio.iskcondesiretree.com/01_-_Srila_Prabhupada/01_-_Lectures/01_-_English/01_-_Topic_wise/Bhagavad_Gita/Chapter-04/SP_BG_04-02_Bombay_1974-03-22_Government%27s_Choice-Krishna--etc.mp3</t>
  </si>
  <si>
    <t>Bg-04-02_1974-03-22_BG-BOMBAY.MP3</t>
  </si>
  <si>
    <t>https://audio.iskcondesiretree.com/01_-_Srila_Prabhupada/01_-_Lectures/01_-_English/02_-_Month_wise/03_-_March/22/Bg-04-02_1974-03-22_BG-BOMBAY.MP3</t>
  </si>
  <si>
    <t>Bg_04-02_BOM_1974-03-22_Government%27s_Choice-Krishna_etc.mp3</t>
  </si>
  <si>
    <t>https://audio.iskcondesiretree.com/01_-_Srila_Prabhupada/01_-_Lectures/01_-_English/02_-_Month_wise/03_-_March/22/Bg_04-02_BOM_1974-03-22_Government%27s_Choice-Krishna_etc.mp3</t>
  </si>
  <si>
    <t>SP_BG_04-03_Bombay_1974-03-23_Cheating_Religion_Thrown_Out.mp3</t>
  </si>
  <si>
    <t>https://audio.iskcondesiretree.com/01_-_Srila_Prabhupada/01_-_Lectures/01_-_English/01_-_Topic_wise/Bhagavad_Gita/Chapter-04/SP_BG_04-03_Bombay_1974-03-23_Cheating_Religion_Thrown_Out.mp3</t>
  </si>
  <si>
    <t>SP_Morning_Walk_-_Bombay_1974-03-23_A_Kindly_Slap_for_a_Fool.mp3</t>
  </si>
  <si>
    <t>https://audio.iskcondesiretree.com/01_-_Srila_Prabhupada/01_-_Lectures/01_-_English/01_-_Topic_wise/Morning_Walk/SP_Morning_Walk_-_Bombay_1974-03-23_A_Kindly_Slap_for_a_Fool.mp3</t>
  </si>
  <si>
    <t>Bg-04-03_1974-03-23_BG-BOMBAY.MP3</t>
  </si>
  <si>
    <t>https://audio.iskcondesiretree.com/01_-_Srila_Prabhupada/01_-_Lectures/01_-_English/02_-_Month_wise/03_-_March/23/Bg-04-03_1974-03-23_BG-BOMBAY.MP3</t>
  </si>
  <si>
    <t>Bg_04-03_BOM_1974-03-23_Cheating_Religion_Thrown_Out.mp3</t>
  </si>
  <si>
    <t>https://audio.iskcondesiretree.com/01_-_Srila_Prabhupada/01_-_Lectures/01_-_English/02_-_Month_wise/03_-_March/23/Bg_04-03_BOM_1974-03-23_Cheating_Religion_Thrown_Out.mp3</t>
  </si>
  <si>
    <t>MW_BOM_1974-03-23_A_Kindly_Slap_for_a_Fool.mp3</t>
  </si>
  <si>
    <t>https://audio.iskcondesiretree.com/01_-_Srila_Prabhupada/01_-_Lectures/01_-_English/02_-_Month_wise/03_-_March/23/MW_BOM_1974-03-23_A_Kindly_Slap_for_a_Fool.mp3</t>
  </si>
  <si>
    <t>Walk_1974-03-23_MW-BOMBAY.MP3</t>
  </si>
  <si>
    <t>https://audio.iskcondesiretree.com/01_-_Srila_Prabhupada/01_-_Lectures/01_-_English/02_-_Month_wise/03_-_March/23/Walk_1974-03-23_MW-BOMBAY.MP3</t>
  </si>
  <si>
    <t>SP_BG_04-04_Bombay_1974-03-24_Why_We_Forget_and_God_Doesn%27t.mp3</t>
  </si>
  <si>
    <t>https://audio.iskcondesiretree.com/01_-_Srila_Prabhupada/01_-_Lectures/01_-_English/01_-_Topic_wise/Bhagavad_Gita/Chapter-04/SP_BG_04-04_Bombay_1974-03-24_Why_We_Forget_and_God_Doesn%27t.mp3</t>
  </si>
  <si>
    <t>SP_Morning_Walk_-_Bombay_1974-03-24_Everyone_Is_Serving.mp3</t>
  </si>
  <si>
    <t>https://audio.iskcondesiretree.com/01_-_Srila_Prabhupada/01_-_Lectures/01_-_English/01_-_Topic_wise/Morning_Walk/SP_Morning_Walk_-_Bombay_1974-03-24_Everyone_Is_Serving.mp3</t>
  </si>
  <si>
    <t>Bg-04-04_1974-03-24_BG-BOMBAY.MP3</t>
  </si>
  <si>
    <t>https://audio.iskcondesiretree.com/01_-_Srila_Prabhupada/01_-_Lectures/01_-_English/02_-_Month_wise/03_-_March/24/Bg-04-04_1974-03-24_BG-BOMBAY.MP3</t>
  </si>
  <si>
    <t>Bg_04-04_BOM_1974-03-24_Why_We_Forget_and_God_Doesn%27t.mp3</t>
  </si>
  <si>
    <t>https://audio.iskcondesiretree.com/01_-_Srila_Prabhupada/01_-_Lectures/01_-_English/02_-_Month_wise/03_-_March/24/Bg_04-04_BOM_1974-03-24_Why_We_Forget_and_God_Doesn%27t.mp3</t>
  </si>
  <si>
    <t>MW_BOM_1974-03-24_Everyone_Is_Serving.mp3</t>
  </si>
  <si>
    <t>https://audio.iskcondesiretree.com/01_-_Srila_Prabhupada/01_-_Lectures/01_-_English/02_-_Month_wise/03_-_March/24/MW_BOM_1974-03-24_Everyone_Is_Serving.mp3</t>
  </si>
  <si>
    <t>Walk_1974-03-24_MW-BOMBAY.MP3</t>
  </si>
  <si>
    <t>https://audio.iskcondesiretree.com/01_-_Srila_Prabhupada/01_-_Lectures/01_-_English/02_-_Month_wise/03_-_March/24/Walk_1974-03-24_MW-BOMBAY.MP3</t>
  </si>
  <si>
    <t>SP_BG_04-05_Bombay_1974-03-25_Learning_to_Love_Unlimited_One.mp3</t>
  </si>
  <si>
    <t>https://audio.iskcondesiretree.com/01_-_Srila_Prabhupada/01_-_Lectures/01_-_English/01_-_Topic_wise/Bhagavad_Gita/Chapter-04/SP_BG_04-05_Bombay_1974-03-25_Learning_to_Love_Unlimited_One.mp3</t>
  </si>
  <si>
    <t>SP_Morning_Walk_-_Bombay_1974-03-25.mp3</t>
  </si>
  <si>
    <t>https://audio.iskcondesiretree.com/01_-_Srila_Prabhupada/01_-_Lectures/01_-_English/01_-_Topic_wise/Morning_Walk/SP_Morning_Walk_-_Bombay_1974-03-25.mp3</t>
  </si>
  <si>
    <t>Bg-04-05_1974-03-25_BG-BOMBAY.MP3</t>
  </si>
  <si>
    <t>https://audio.iskcondesiretree.com/01_-_Srila_Prabhupada/01_-_Lectures/01_-_English/02_-_Month_wise/03_-_March/25/Bg-04-05_1974-03-25_BG-BOMBAY.MP3</t>
  </si>
  <si>
    <t>Bg_04-05_BOM_1974-03-25_Learning_to_Love_Unlimited_One.mp3</t>
  </si>
  <si>
    <t>https://audio.iskcondesiretree.com/01_-_Srila_Prabhupada/01_-_Lectures/01_-_English/02_-_Month_wise/03_-_March/25/Bg_04-05_BOM_1974-03-25_Learning_to_Love_Unlimited_One.mp3</t>
  </si>
  <si>
    <t>Walk_1974-03-25_MW-BOMBAY.MP3</t>
  </si>
  <si>
    <t>https://audio.iskcondesiretree.com/01_-_Srila_Prabhupada/01_-_Lectures/01_-_English/02_-_Month_wise/03_-_March/25/Walk_1974-03-25_MW-BOMBAY.MP3</t>
  </si>
  <si>
    <t>SP_BG_04-06_Bombay_1974-03-26_Try_to_Be_Godly_-_Not_God.mp3</t>
  </si>
  <si>
    <t>https://audio.iskcondesiretree.com/01_-_Srila_Prabhupada/01_-_Lectures/01_-_English/01_-_Topic_wise/Bhagavad_Gita/Chapter-04/SP_BG_04-06_Bombay_1974-03-26_Try_to_Be_Godly_-_Not_God.mp3</t>
  </si>
  <si>
    <t>SP_Morning_Walk_-_Bombay_1974-03-26.mp3</t>
  </si>
  <si>
    <t>https://audio.iskcondesiretree.com/01_-_Srila_Prabhupada/01_-_Lectures/01_-_English/01_-_Topic_wise/Morning_Walk/SP_Morning_Walk_-_Bombay_1974-03-26.mp3</t>
  </si>
  <si>
    <t>Bg-04-06_1974-03-26_BG-BOMBAY.MP3</t>
  </si>
  <si>
    <t>https://audio.iskcondesiretree.com/01_-_Srila_Prabhupada/01_-_Lectures/01_-_English/02_-_Month_wise/03_-_March/26/Bg-04-06_1974-03-26_BG-BOMBAY.MP3</t>
  </si>
  <si>
    <t>Bg_04-06_BOM_1974-03-26_Try_to_Be_Godly_%28Not_God%29.mp3</t>
  </si>
  <si>
    <t>https://audio.iskcondesiretree.com/01_-_Srila_Prabhupada/01_-_Lectures/01_-_English/02_-_Month_wise/03_-_March/26/Bg_04-06_BOM_1974-03-26_Try_to_Be_Godly_%28Not_God%29.mp3</t>
  </si>
  <si>
    <t>Walk_1974-03-26_MW-BOMBAY.MP3</t>
  </si>
  <si>
    <t>https://audio.iskcondesiretree.com/01_-_Srila_Prabhupada/01_-_Lectures/01_-_English/02_-_Month_wise/03_-_March/26/Walk_1974-03-26_MW-BOMBAY.MP3</t>
  </si>
  <si>
    <t>SP_BG_04-07_Bombay_1974-03-27_Dharma_and_the_Disease.mp3</t>
  </si>
  <si>
    <t>https://audio.iskcondesiretree.com/01_-_Srila_Prabhupada/01_-_Lectures/01_-_English/01_-_Topic_wise/Bhagavad_Gita/Chapter-04/SP_BG_04-07_Bombay_1974-03-27_Dharma_and_the_Disease.mp3</t>
  </si>
  <si>
    <t>SP_Morning_Walk_-_Bombay_1974-03-27.mp3</t>
  </si>
  <si>
    <t>https://audio.iskcondesiretree.com/01_-_Srila_Prabhupada/01_-_Lectures/01_-_English/01_-_Topic_wise/Morning_Walk/SP_Morning_Walk_-_Bombay_1974-03-27.mp3</t>
  </si>
  <si>
    <t>SP_Room_Conversation_Bombay_1974-03-27.mp3</t>
  </si>
  <si>
    <t>https://audio.iskcondesiretree.com/01_-_Srila_Prabhupada/01_-_Lectures/01_-_English/01_-_Topic_wise/Room_Conversation/SP_Room_Conversation_Bombay_1974-03-27.mp3</t>
  </si>
  <si>
    <t>Bg-04-07_1974-03-27_BG-BOMBAY.MP3</t>
  </si>
  <si>
    <t>https://audio.iskcondesiretree.com/01_-_Srila_Prabhupada/01_-_Lectures/01_-_English/02_-_Month_wise/03_-_March/27/Bg-04-07_1974-03-27_BG-BOMBAY.MP3</t>
  </si>
  <si>
    <t>Bg_04-07_BOM_1974-03-27_Dharma_and_the_Disease.mp3</t>
  </si>
  <si>
    <t>https://audio.iskcondesiretree.com/01_-_Srila_Prabhupada/01_-_Lectures/01_-_English/02_-_Month_wise/03_-_March/27/Bg_04-07_BOM_1974-03-27_Dharma_and_the_Disease.mp3</t>
  </si>
  <si>
    <t>Conv_1974-03-27_RF-BOMBAY.MP3</t>
  </si>
  <si>
    <t>https://audio.iskcondesiretree.com/01_-_Srila_Prabhupada/01_-_Lectures/01_-_English/02_-_Month_wise/03_-_March/27/Conv_1974-03-27_RF-BOMBAY.MP3</t>
  </si>
  <si>
    <t>Walk_1974-03-27_MW-BOMBAY.MP3</t>
  </si>
  <si>
    <t>https://audio.iskcondesiretree.com/01_-_Srila_Prabhupada/01_-_Lectures/01_-_English/02_-_Month_wise/03_-_March/27/Walk_1974-03-27_MW-BOMBAY.MP3</t>
  </si>
  <si>
    <t>SP_BG_04-08_Bombay_1974-03-28_Everyone_is_Trying_to_Become_the_Master.mp3</t>
  </si>
  <si>
    <t>https://audio.iskcondesiretree.com/01_-_Srila_Prabhupada/01_-_Lectures/01_-_English/01_-_Topic_wise/Bhagavad_Gita/Chapter-04/SP_BG_04-08_Bombay_1974-03-28_Everyone_is_Trying_to_Become_the_Master.mp3</t>
  </si>
  <si>
    <t>SP_Morning_Walk_-_Bombay_1974-03-28.mp3</t>
  </si>
  <si>
    <t>https://audio.iskcondesiretree.com/01_-_Srila_Prabhupada/01_-_Lectures/01_-_English/01_-_Topic_wise/Morning_Walk/SP_Morning_Walk_-_Bombay_1974-03-28.mp3</t>
  </si>
  <si>
    <t>Bg-04-08_1974-03-28_BG-BOMBAY.MP3</t>
  </si>
  <si>
    <t>https://audio.iskcondesiretree.com/01_-_Srila_Prabhupada/01_-_Lectures/01_-_English/02_-_Month_wise/03_-_March/28/Bg-04-08_1974-03-28_BG-BOMBAY.MP3</t>
  </si>
  <si>
    <t>Bg_04-08_BOM_1974-03-28_Everyone_is_Trying_to_Become_the_Master.mp3</t>
  </si>
  <si>
    <t>https://audio.iskcondesiretree.com/01_-_Srila_Prabhupada/01_-_Lectures/01_-_English/02_-_Month_wise/03_-_March/28/Bg_04-08_BOM_1974-03-28_Everyone_is_Trying_to_Become_the_Master.mp3</t>
  </si>
  <si>
    <t>Walk_1974-03-28_MW-BOMBAY.MP3</t>
  </si>
  <si>
    <t>https://audio.iskcondesiretree.com/01_-_Srila_Prabhupada/01_-_Lectures/01_-_English/02_-_Month_wise/03_-_March/28/Walk_1974-03-28_MW-BOMBAY.MP3</t>
  </si>
  <si>
    <t>SP_BG_04-09_Bombay_1974-03-29_Cheater_Leaders.mp3</t>
  </si>
  <si>
    <t>https://audio.iskcondesiretree.com/01_-_Srila_Prabhupada/01_-_Lectures/01_-_English/01_-_Topic_wise/Bhagavad_Gita/Chapter-04/SP_BG_04-09_Bombay_1974-03-29_Cheater_Leaders.mp3</t>
  </si>
  <si>
    <t>SP_Morning_Walk_-_Bombay_1974-03-29_Misleading_and_Misled.mp3</t>
  </si>
  <si>
    <t>https://audio.iskcondesiretree.com/01_-_Srila_Prabhupada/01_-_Lectures/01_-_English/01_-_Topic_wise/Morning_Walk/SP_Morning_Walk_-_Bombay_1974-03-29_Misleading_and_Misled.mp3</t>
  </si>
  <si>
    <t>Bg-04-09_1974-03-29_BG-BOMBAY.MP3</t>
  </si>
  <si>
    <t>https://audio.iskcondesiretree.com/01_-_Srila_Prabhupada/01_-_Lectures/01_-_English/02_-_Month_wise/03_-_March/29/Bg-04-09_1974-03-29_BG-BOMBAY.MP3</t>
  </si>
  <si>
    <t>Bg_04-09_BOM_1974-03-29_Cheater_Leaders.mp3</t>
  </si>
  <si>
    <t>https://audio.iskcondesiretree.com/01_-_Srila_Prabhupada/01_-_Lectures/01_-_English/02_-_Month_wise/03_-_March/29/Bg_04-09_BOM_1974-03-29_Cheater_Leaders.mp3</t>
  </si>
  <si>
    <t>MW_BOM_1974-03-29_Misleading_and_Misled.mp3</t>
  </si>
  <si>
    <t>https://audio.iskcondesiretree.com/01_-_Srila_Prabhupada/01_-_Lectures/01_-_English/02_-_Month_wise/03_-_March/29/MW_BOM_1974-03-29_Misleading_and_Misled.mp3</t>
  </si>
  <si>
    <t>Walk_1974-03-29_MW-BOMBAY.MP3</t>
  </si>
  <si>
    <t>https://audio.iskcondesiretree.com/01_-_Srila_Prabhupada/01_-_Lectures/01_-_English/02_-_Month_wise/03_-_March/29/Walk_1974-03-29_MW-BOMBAY.MP3</t>
  </si>
  <si>
    <t>SP_BG_04-10_Bombay_1974-03-30_Reducing_our_Animality--etc.mp3</t>
  </si>
  <si>
    <t>https://audio.iskcondesiretree.com/01_-_Srila_Prabhupada/01_-_Lectures/01_-_English/01_-_Topic_wise/Bhagavad_Gita/Chapter-04/SP_BG_04-10_Bombay_1974-03-30_Reducing_our_Animality--etc.mp3</t>
  </si>
  <si>
    <t>SP_Morning_Walk_-_Bombay_1974-03-30_Lesson_in_Humility_and_Tolerance.mp3</t>
  </si>
  <si>
    <t>https://audio.iskcondesiretree.com/01_-_Srila_Prabhupada/01_-_Lectures/01_-_English/01_-_Topic_wise/Morning_Walk/SP_Morning_Walk_-_Bombay_1974-03-30_Lesson_in_Humility_and_Tolerance.mp3</t>
  </si>
  <si>
    <t>Bg-04-10_1974-03-30_BG-BOMBAY.MP3</t>
  </si>
  <si>
    <t>https://audio.iskcondesiretree.com/01_-_Srila_Prabhupada/01_-_Lectures/01_-_English/02_-_Month_wise/03_-_March/30/Bg-04-10_1974-03-30_BG-BOMBAY.MP3</t>
  </si>
  <si>
    <t>Bg_04-10_BOM_1974-03-30_Reducing_our_Animality_etc.mp3</t>
  </si>
  <si>
    <t>https://audio.iskcondesiretree.com/01_-_Srila_Prabhupada/01_-_Lectures/01_-_English/02_-_Month_wise/03_-_March/30/Bg_04-10_BOM_1974-03-30_Reducing_our_Animality_etc.mp3</t>
  </si>
  <si>
    <t>MW_BOM_1974-03-30_Lesson_in_Humility_and_Tolerance.mp3</t>
  </si>
  <si>
    <t>https://audio.iskcondesiretree.com/01_-_Srila_Prabhupada/01_-_Lectures/01_-_English/02_-_Month_wise/03_-_March/30/MW_BOM_1974-03-30_Lesson_in_Humility_and_Tolerance.mp3</t>
  </si>
  <si>
    <t>Walk_1974-03-30_MW-BOMBAY.MP3</t>
  </si>
  <si>
    <t>https://audio.iskcondesiretree.com/01_-_Srila_Prabhupada/01_-_Lectures/01_-_English/02_-_Month_wise/03_-_March/30/Walk_1974-03-30_MW-BOMBAY.MP3</t>
  </si>
  <si>
    <t>SP_BG_04-11_Bombay_1974-03-31_Krishna_Will_Accept_you_Any--etc.mp3</t>
  </si>
  <si>
    <t>https://audio.iskcondesiretree.com/01_-_Srila_Prabhupada/01_-_Lectures/01_-_English/01_-_Topic_wise/Bhagavad_Gita/Chapter-04/SP_BG_04-11_Bombay_1974-03-31_Krishna_Will_Accept_you_Any--etc.mp3</t>
  </si>
  <si>
    <t>SP_Morning_Walk_-_Bombay_1974-03-31_Take_Shelter_of_Eternal_Life.mp3</t>
  </si>
  <si>
    <t>https://audio.iskcondesiretree.com/01_-_Srila_Prabhupada/01_-_Lectures/01_-_English/01_-_Topic_wise/Morning_Walk/SP_Morning_Walk_-_Bombay_1974-03-31_Take_Shelter_of_Eternal_Life.mp3</t>
  </si>
  <si>
    <t>Bg-04-11_1974-03-31_BG-BOMBAY.MP3</t>
  </si>
  <si>
    <t>https://audio.iskcondesiretree.com/01_-_Srila_Prabhupada/01_-_Lectures/01_-_English/02_-_Month_wise/03_-_March/31/Bg-04-11_1974-03-31_BG-BOMBAY.MP3</t>
  </si>
  <si>
    <t>Bg_04-11_BOM_1974-03-31_Krishna_Will_Accept_you_Any_etc.mp3</t>
  </si>
  <si>
    <t>https://audio.iskcondesiretree.com/01_-_Srila_Prabhupada/01_-_Lectures/01_-_English/02_-_Month_wise/03_-_March/31/Bg_04-11_BOM_1974-03-31_Krishna_Will_Accept_you_Any_etc.mp3</t>
  </si>
  <si>
    <t>MW_BOM_1974-03-31_Take_Shelter_of_Eternal_Life.mp3</t>
  </si>
  <si>
    <t>https://audio.iskcondesiretree.com/01_-_Srila_Prabhupada/01_-_Lectures/01_-_English/02_-_Month_wise/03_-_March/31/MW_BOM_1974-03-31_Take_Shelter_of_Eternal_Life.mp3</t>
  </si>
  <si>
    <t>Walk_1974-03-31_MW-BOMBAY.MP3</t>
  </si>
  <si>
    <t>https://audio.iskcondesiretree.com/01_-_Srila_Prabhupada/01_-_Lectures/01_-_English/02_-_Month_wise/03_-_March/31/Walk_1974-03-31_MW-BOMBAY.MP3</t>
  </si>
  <si>
    <t>SP_BG_04-12_Bombay_1974-04-01_Hear_Talk_Chant_Eat_Work--etc.mp3</t>
  </si>
  <si>
    <t>https://audio.iskcondesiretree.com/01_-_Srila_Prabhupada/01_-_Lectures/01_-_English/01_-_Topic_wise/Bhagavad_Gita/Chapter-04/SP_BG_04-12_Bombay_1974-04-01_Hear_Talk_Chant_Eat_Work--etc.mp3</t>
  </si>
  <si>
    <t>SP_Festivals_Bombay_1974-04-01_Lord_Rama_Appearance--Maha-mantra--etc.mp3</t>
  </si>
  <si>
    <t>https://audio.iskcondesiretree.com/01_-_Srila_Prabhupada/01_-_Lectures/01_-_English/01_-_Topic_wise/Festivals/SP_Festivals_Bombay_1974-04-01_Lord_Rama_Appearance--Maha-mantra--etc.mp3</t>
  </si>
  <si>
    <t>SP_Morning_Walk_-_Bombay_1974-04-01_Serve_Krishna_or_Serve_Others.mp3</t>
  </si>
  <si>
    <t>https://audio.iskcondesiretree.com/01_-_Srila_Prabhupada/01_-_Lectures/01_-_English/01_-_Topic_wise/Morning_Walk/SP_Morning_Walk_-_Bombay_1974-04-01_Serve_Krishna_or_Serve_Others.mp3</t>
  </si>
  <si>
    <t>Bg-04-12_1974-04-01_BG-BOMBAY.MP3</t>
  </si>
  <si>
    <t>https://audio.iskcondesiretree.com/01_-_Srila_Prabhupada/01_-_Lectures/01_-_English/02_-_Month_wise/04_-_April/01/Bg-04-12_1974-04-01_BG-BOMBAY.MP3</t>
  </si>
  <si>
    <t>Bg_04-12_BOM_1974-04-01_Hear_Talk_Chant_Eat_Work_etc.mp3</t>
  </si>
  <si>
    <t>https://audio.iskcondesiretree.com/01_-_Srila_Prabhupada/01_-_Lectures/01_-_English/02_-_Month_wise/04_-_April/01/Bg_04-12_BOM_1974-04-01_Hear_Talk_Chant_Eat_Work_etc.mp3</t>
  </si>
  <si>
    <t>CornerStone_1974-04-01_CS-BOMBAY.MP3</t>
  </si>
  <si>
    <t>https://audio.iskcondesiretree.com/01_-_Srila_Prabhupada/01_-_Lectures/01_-_English/02_-_Month_wise/04_-_April/01/CornerStone_1974-04-01_CS-BOMBAY.MP3</t>
  </si>
  <si>
    <t>Fest_BOM_1974-04-01_Lord_Rama_Appearance--Maha-mantra_etc.mp3</t>
  </si>
  <si>
    <t>https://audio.iskcondesiretree.com/01_-_Srila_Prabhupada/01_-_Lectures/01_-_English/02_-_Month_wise/04_-_April/01/Fest_BOM_1974-04-01_Lord_Rama_Appearance--Maha-mantra_etc.mp3</t>
  </si>
  <si>
    <t>MW_BOM_1974-04-01_Serve_Krishna_or_Serve_Others.mp3</t>
  </si>
  <si>
    <t>https://audio.iskcondesiretree.com/01_-_Srila_Prabhupada/01_-_Lectures/01_-_English/02_-_Month_wise/04_-_April/01/MW_BOM_1974-04-01_Serve_Krishna_or_Serve_Others.mp3</t>
  </si>
  <si>
    <t>Ramachandra_Appearance_1974-04-01_BG-BOMBAY.MP3</t>
  </si>
  <si>
    <t>https://audio.iskcondesiretree.com/01_-_Srila_Prabhupada/01_-_Lectures/01_-_English/02_-_Month_wise/04_-_April/01/Ramachandra_Appearance_1974-04-01_BG-BOMBAY.MP3</t>
  </si>
  <si>
    <t>Walk_1974-04-01_MW-BOMBAY.MP3</t>
  </si>
  <si>
    <t>https://audio.iskcondesiretree.com/01_-_Srila_Prabhupada/01_-_Lectures/01_-_English/02_-_Month_wise/04_-_April/01/Walk_1974-04-01_MW-BOMBAY.MP3</t>
  </si>
  <si>
    <t>SP_BG_04-13_Bombay_1974-04-02_Kill_Krishna_Gita_Commentaries.mp3</t>
  </si>
  <si>
    <t>https://audio.iskcondesiretree.com/01_-_Srila_Prabhupada/01_-_Lectures/01_-_English/01_-_Topic_wise/Bhagavad_Gita/Chapter-04/SP_BG_04-13_Bombay_1974-04-02_Kill_Krishna_Gita_Commentaries.mp3</t>
  </si>
  <si>
    <t>SP_Morning_Walk_-_Bombay_1974-04-02_Krishna_Eats_from_Devotee%27s_Hand.mp3</t>
  </si>
  <si>
    <t>https://audio.iskcondesiretree.com/01_-_Srila_Prabhupada/01_-_Lectures/01_-_English/01_-_Topic_wise/Morning_Walk/SP_Morning_Walk_-_Bombay_1974-04-02_Krishna_Eats_from_Devotee%27s_Hand.mp3</t>
  </si>
  <si>
    <t>Bg-04-13_1974-04-02_BG-BOMBAY.MP3</t>
  </si>
  <si>
    <t>https://audio.iskcondesiretree.com/01_-_Srila_Prabhupada/01_-_Lectures/01_-_English/02_-_Month_wise/04_-_April/02/Bg-04-13_1974-04-02_BG-BOMBAY.MP3</t>
  </si>
  <si>
    <t>Bg_04-13_BOM_1974-04-02_Kill_Krishna_Gita_Commentaries.mp3</t>
  </si>
  <si>
    <t>https://audio.iskcondesiretree.com/01_-_Srila_Prabhupada/01_-_Lectures/01_-_English/02_-_Month_wise/04_-_April/02/Bg_04-13_BOM_1974-04-02_Kill_Krishna_Gita_Commentaries.mp3</t>
  </si>
  <si>
    <t>MW_BOM_1974-04-02_Krishna_Eats_from_Devotee%27s_Hand.mp3</t>
  </si>
  <si>
    <t>https://audio.iskcondesiretree.com/01_-_Srila_Prabhupada/01_-_Lectures/01_-_English/02_-_Month_wise/04_-_April/02/MW_BOM_1974-04-02_Krishna_Eats_from_Devotee%27s_Hand.mp3</t>
  </si>
  <si>
    <t>Walk_1974-04-02_MW-BOMBAY.MP3</t>
  </si>
  <si>
    <t>https://audio.iskcondesiretree.com/01_-_Srila_Prabhupada/01_-_Lectures/01_-_English/02_-_Month_wise/04_-_April/02/Walk_1974-04-02_MW-BOMBAY.MP3</t>
  </si>
  <si>
    <t>SP_BG_04-14_Bombay_1974-04-03_Liberated_By_Understanding--etc.mp3</t>
  </si>
  <si>
    <t>https://audio.iskcondesiretree.com/01_-_Srila_Prabhupada/01_-_Lectures/01_-_English/01_-_Topic_wise/Bhagavad_Gita/Chapter-04/SP_BG_04-14_Bombay_1974-04-03_Liberated_By_Understanding--etc.mp3</t>
  </si>
  <si>
    <t>SP_Morning_Walk_-_Bombay_1974-04-03_Brahman_is_Impersonal_But--etc.mp3</t>
  </si>
  <si>
    <t>https://audio.iskcondesiretree.com/01_-_Srila_Prabhupada/01_-_Lectures/01_-_English/01_-_Topic_wise/Morning_Walk/SP_Morning_Walk_-_Bombay_1974-04-03_Brahman_is_Impersonal_But--etc.mp3</t>
  </si>
  <si>
    <t>Bg-04-14_1974-04-03_BG-BOMBAY.MP3</t>
  </si>
  <si>
    <t>https://audio.iskcondesiretree.com/01_-_Srila_Prabhupada/01_-_Lectures/01_-_English/02_-_Month_wise/04_-_April/03/Bg-04-14_1974-04-03_BG-BOMBAY.MP3</t>
  </si>
  <si>
    <t>Bg_04-14_BOM_1974-04-03_Liberated_By_Understanding_etc.mp3</t>
  </si>
  <si>
    <t>https://audio.iskcondesiretree.com/01_-_Srila_Prabhupada/01_-_Lectures/01_-_English/02_-_Month_wise/04_-_April/03/Bg_04-14_BOM_1974-04-03_Liberated_By_Understanding_etc.mp3</t>
  </si>
  <si>
    <t>MW_BOM_1974-04-03_Brahman_is_Impersonal_But_etc.mp3</t>
  </si>
  <si>
    <t>https://audio.iskcondesiretree.com/01_-_Srila_Prabhupada/01_-_Lectures/01_-_English/02_-_Month_wise/04_-_April/03/MW_BOM_1974-04-03_Brahman_is_Impersonal_But_etc.mp3</t>
  </si>
  <si>
    <t>Walk_1974-04-03_MW-BOMBAY.MP3</t>
  </si>
  <si>
    <t>https://audio.iskcondesiretree.com/01_-_Srila_Prabhupada/01_-_Lectures/01_-_English/02_-_Month_wise/04_-_April/03/Walk_1974-04-03_MW-BOMBAY.MP3</t>
  </si>
  <si>
    <t>SP_BG_04-15_Bombay_1974-04-04.mp3</t>
  </si>
  <si>
    <t>https://audio.iskcondesiretree.com/01_-_Srila_Prabhupada/01_-_Lectures/01_-_English/01_-_Topic_wise/Bhagavad_Gita/Chapter-04/SP_BG_04-15_Bombay_1974-04-04.mp3</t>
  </si>
  <si>
    <t>SP_Morning_Walk_-_Bombay_1974-04-04_Unlimited_Is_Not_Impersonal.mp3</t>
  </si>
  <si>
    <t>https://audio.iskcondesiretree.com/01_-_Srila_Prabhupada/01_-_Lectures/01_-_English/01_-_Topic_wise/Morning_Walk/SP_Morning_Walk_-_Bombay_1974-04-04_Unlimited_Is_Not_Impersonal.mp3</t>
  </si>
  <si>
    <t>Bg-04-15_1974-04-04_BG-BOMBAY.MP3</t>
  </si>
  <si>
    <t>https://audio.iskcondesiretree.com/01_-_Srila_Prabhupada/01_-_Lectures/01_-_English/02_-_Month_wise/04_-_April/04/Bg-04-15_1974-04-04_BG-BOMBAY.MP3</t>
  </si>
  <si>
    <t>MW_BOM_1974-04-04_Unlimited_Is_Not_Impersonal.mp3</t>
  </si>
  <si>
    <t>https://audio.iskcondesiretree.com/01_-_Srila_Prabhupada/01_-_Lectures/01_-_English/02_-_Month_wise/04_-_April/04/MW_BOM_1974-04-04_Unlimited_Is_Not_Impersonal.mp3</t>
  </si>
  <si>
    <t>Walk_1974-04-04_MW-BOMBAY.MP3</t>
  </si>
  <si>
    <t>https://audio.iskcondesiretree.com/01_-_Srila_Prabhupada/01_-_Lectures/01_-_English/02_-_Month_wise/04_-_April/04/Walk_1974-04-04_MW-BOMBAY.MP3</t>
  </si>
  <si>
    <t>SP_BG_04-15_Bombay_1974-04-05_Modern_Civilization_Vs._Model--etc.mp3</t>
  </si>
  <si>
    <t>https://audio.iskcondesiretree.com/01_-_Srila_Prabhupada/01_-_Lectures/01_-_English/01_-_Topic_wise/Bhagavad_Gita/Chapter-04/SP_BG_04-15_Bombay_1974-04-05_Modern_Civilization_Vs._Model--etc.mp3</t>
  </si>
  <si>
    <t>SP_BG_04-16_Bombay_1974-04-05_Today%27s_Education.mp3</t>
  </si>
  <si>
    <t>https://audio.iskcondesiretree.com/01_-_Srila_Prabhupada/01_-_Lectures/01_-_English/01_-_Topic_wise/Bhagavad_Gita/Chapter-04/SP_BG_04-16_Bombay_1974-04-05_Today%27s_Education.mp3</t>
  </si>
  <si>
    <t>SP_Morning_Walk_-_Bombay_1974-04-05_Arguments_Smashed.mp3</t>
  </si>
  <si>
    <t>https://audio.iskcondesiretree.com/01_-_Srila_Prabhupada/01_-_Lectures/01_-_English/01_-_Topic_wise/Morning_Walk/SP_Morning_Walk_-_Bombay_1974-04-05_Arguments_Smashed.mp3</t>
  </si>
  <si>
    <t>Bg-04-16_1974-04-05_BG-BOMBAY.MP3</t>
  </si>
  <si>
    <t>https://audio.iskcondesiretree.com/01_-_Srila_Prabhupada/01_-_Lectures/01_-_English/02_-_Month_wise/04_-_April/05/Bg-04-16_1974-04-05_BG-BOMBAY.MP3</t>
  </si>
  <si>
    <t>Bg_04-15_BOM_1974-04-05_Modern_Civilization_Vs._Model_etc.mp3</t>
  </si>
  <si>
    <t>https://audio.iskcondesiretree.com/01_-_Srila_Prabhupada/01_-_Lectures/01_-_English/02_-_Month_wise/04_-_April/05/Bg_04-15_BOM_1974-04-05_Modern_Civilization_Vs._Model_etc.mp3</t>
  </si>
  <si>
    <t>Bg_04-16_BOM_1974-04-05_Today%27s_Education.mp3</t>
  </si>
  <si>
    <t>https://audio.iskcondesiretree.com/01_-_Srila_Prabhupada/01_-_Lectures/01_-_English/02_-_Month_wise/04_-_April/05/Bg_04-16_BOM_1974-04-05_Today%27s_Education.mp3</t>
  </si>
  <si>
    <t>MW_BOM_1974-04-05_Arguments_Smashed.mp3</t>
  </si>
  <si>
    <t>https://audio.iskcondesiretree.com/01_-_Srila_Prabhupada/01_-_Lectures/01_-_English/02_-_Month_wise/04_-_April/05/MW_BOM_1974-04-05_Arguments_Smashed.mp3</t>
  </si>
  <si>
    <t>Walk_1974-04-05_MW-BOMBAY.MP3</t>
  </si>
  <si>
    <t>https://audio.iskcondesiretree.com/01_-_Srila_Prabhupada/01_-_Lectures/01_-_English/02_-_Month_wise/04_-_April/05/Walk_1974-04-05_MW-BOMBAY.MP3</t>
  </si>
  <si>
    <t>SP_BG_04-17_Bombay_1974-04-06_How_to_Act-How_Not_to_Act.mp3</t>
  </si>
  <si>
    <t>https://audio.iskcondesiretree.com/01_-_Srila_Prabhupada/01_-_Lectures/01_-_English/01_-_Topic_wise/Bhagavad_Gita/Chapter-04/SP_BG_04-17_Bombay_1974-04-06_How_to_Act-How_Not_to_Act.mp3</t>
  </si>
  <si>
    <t>SP_Morning_Walk_-_Bombay_1974-04-06.mp3</t>
  </si>
  <si>
    <t>https://audio.iskcondesiretree.com/01_-_Srila_Prabhupada/01_-_Lectures/01_-_English/01_-_Topic_wise/Morning_Walk/SP_Morning_Walk_-_Bombay_1974-04-06.mp3</t>
  </si>
  <si>
    <t>Bg-04-17_1974-04-06_BG-BOMBAY.MP3</t>
  </si>
  <si>
    <t>https://audio.iskcondesiretree.com/01_-_Srila_Prabhupada/01_-_Lectures/01_-_English/02_-_Month_wise/04_-_April/06/Bg-04-17_1974-04-06_BG-BOMBAY.MP3</t>
  </si>
  <si>
    <t>Bg_04-17_BOM_1974-04-06_How_to_Act-How_Not_to_Act.mp3</t>
  </si>
  <si>
    <t>https://audio.iskcondesiretree.com/01_-_Srila_Prabhupada/01_-_Lectures/01_-_English/02_-_Month_wise/04_-_April/06/Bg_04-17_BOM_1974-04-06_How_to_Act-How_Not_to_Act.mp3</t>
  </si>
  <si>
    <t>Walk_1974-04-06_MW-BOMBAY.MP3</t>
  </si>
  <si>
    <t>https://audio.iskcondesiretree.com/01_-_Srila_Prabhupada/01_-_Lectures/01_-_English/02_-_Month_wise/04_-_April/06/Walk_1974-04-06_MW-BOMBAY.MP3</t>
  </si>
  <si>
    <t>SP_BG_04-18_Bombay_1974-04-07_The_Highest_Success_in_Life.mp3</t>
  </si>
  <si>
    <t>https://audio.iskcondesiretree.com/01_-_Srila_Prabhupada/01_-_Lectures/01_-_English/01_-_Topic_wise/Bhagavad_Gita/Chapter-04/SP_BG_04-18_Bombay_1974-04-07_The_Highest_Success_in_Life.mp3</t>
  </si>
  <si>
    <t>SP_Morning_Walk_-_Bombay_1974-04-07.mp3</t>
  </si>
  <si>
    <t>https://audio.iskcondesiretree.com/01_-_Srila_Prabhupada/01_-_Lectures/01_-_English/01_-_Topic_wise/Morning_Walk/SP_Morning_Walk_-_Bombay_1974-04-07.mp3</t>
  </si>
  <si>
    <t>Bg-04-18_1974-04-07_BG-BOMBAY.MP3</t>
  </si>
  <si>
    <t>https://audio.iskcondesiretree.com/01_-_Srila_Prabhupada/01_-_Lectures/01_-_English/02_-_Month_wise/04_-_April/07/Bg-04-18_1974-04-07_BG-BOMBAY.MP3</t>
  </si>
  <si>
    <t>Bg_04-18_BOM_1974-04-07_The_Highest_Success_in_Life.mp3</t>
  </si>
  <si>
    <t>https://audio.iskcondesiretree.com/01_-_Srila_Prabhupada/01_-_Lectures/01_-_English/02_-_Month_wise/04_-_April/07/Bg_04-18_BOM_1974-04-07_The_Highest_Success_in_Life.mp3</t>
  </si>
  <si>
    <t>Walk_1974-04-07_MW-BOMBAY.MP3</t>
  </si>
  <si>
    <t>https://audio.iskcondesiretree.com/01_-_Srila_Prabhupada/01_-_Lectures/01_-_English/02_-_Month_wise/04_-_April/07/Walk_1974-04-07_MW-BOMBAY.MP3</t>
  </si>
  <si>
    <t>SP_BG_04-19_Bombay_1974-04-08_Material_Life-Lusty_Desires.mp3</t>
  </si>
  <si>
    <t>https://audio.iskcondesiretree.com/01_-_Srila_Prabhupada/01_-_Lectures/01_-_English/01_-_Topic_wise/Bhagavad_Gita/Chapter-04/SP_BG_04-19_Bombay_1974-04-08_Material_Life-Lusty_Desires.mp3</t>
  </si>
  <si>
    <t>SP_Morning_Walk_-_Bombay_1974-04-08_All_Philosophies_Are_Mayavadi.mp3</t>
  </si>
  <si>
    <t>https://audio.iskcondesiretree.com/01_-_Srila_Prabhupada/01_-_Lectures/01_-_English/01_-_Topic_wise/Morning_Walk/SP_Morning_Walk_-_Bombay_1974-04-08_All_Philosophies_Are_Mayavadi.mp3</t>
  </si>
  <si>
    <t>Bg-04-19_1974-04-08_BG-BOMBAY.MP3</t>
  </si>
  <si>
    <t>https://audio.iskcondesiretree.com/01_-_Srila_Prabhupada/01_-_Lectures/01_-_English/02_-_Month_wise/04_-_April/08/Bg-04-19_1974-04-08_BG-BOMBAY.MP3</t>
  </si>
  <si>
    <t>Bg_04-19_BOM_1974-04-08_Material_Life_Lusty_Desires.mp3</t>
  </si>
  <si>
    <t>https://audio.iskcondesiretree.com/01_-_Srila_Prabhupada/01_-_Lectures/01_-_English/02_-_Month_wise/04_-_April/08/Bg_04-19_BOM_1974-04-08_Material_Life_Lusty_Desires.mp3</t>
  </si>
  <si>
    <t>MW_BOM_1974-04-08_All_Philosophies_Are_Mayavadi.mp3</t>
  </si>
  <si>
    <t>https://audio.iskcondesiretree.com/01_-_Srila_Prabhupada/01_-_Lectures/01_-_English/02_-_Month_wise/04_-_April/08/MW_BOM_1974-04-08_All_Philosophies_Are_Mayavadi.mp3</t>
  </si>
  <si>
    <t>Walk_1974-04-08_MW-BOMBAY.MP3</t>
  </si>
  <si>
    <t>https://audio.iskcondesiretree.com/01_-_Srila_Prabhupada/01_-_Lectures/01_-_English/02_-_Month_wise/04_-_April/08/Walk_1974-04-08_MW-BOMBAY.MP3</t>
  </si>
  <si>
    <t>SP_BG_04-20_Bombay_1974-04-09_Mundane_and_Divine_Dividends.mp3</t>
  </si>
  <si>
    <t>https://audio.iskcondesiretree.com/01_-_Srila_Prabhupada/01_-_Lectures/01_-_English/01_-_Topic_wise/Bhagavad_Gita/Chapter-04/SP_BG_04-20_Bombay_1974-04-09_Mundane_and_Divine_Dividends.mp3</t>
  </si>
  <si>
    <t>Bg-04-20_1974-04-09_BG-BOMBAY.MP3</t>
  </si>
  <si>
    <t>https://audio.iskcondesiretree.com/01_-_Srila_Prabhupada/01_-_Lectures/01_-_English/02_-_Month_wise/04_-_April/09/Bg-04-20_1974-04-09_BG-BOMBAY.MP3</t>
  </si>
  <si>
    <t>Bg_04-20_BOM_1974-04-09_Mundane_and_Divine_Dividends.mp3</t>
  </si>
  <si>
    <t>https://audio.iskcondesiretree.com/01_-_Srila_Prabhupada/01_-_Lectures/01_-_English/02_-_Month_wise/04_-_April/09/Bg_04-20_BOM_1974-04-09_Mundane_and_Divine_Dividends.mp3</t>
  </si>
  <si>
    <t>SP_BG_04-21_Bombay_1974-04-10_A_Life_of_Purity.mp3</t>
  </si>
  <si>
    <t>https://audio.iskcondesiretree.com/01_-_Srila_Prabhupada/01_-_Lectures/01_-_English/01_-_Topic_wise/Bhagavad_Gita/Chapter-04/SP_BG_04-21_Bombay_1974-04-10_A_Life_of_Purity.mp3</t>
  </si>
  <si>
    <t>SP_Morning_Walk_-_Bombay_1974-04-10_Our_Business_is_to_Point_Out_Who_Is--etc.mp3</t>
  </si>
  <si>
    <t>https://audio.iskcondesiretree.com/01_-_Srila_Prabhupada/01_-_Lectures/01_-_English/01_-_Topic_wise/Morning_Walk/SP_Morning_Walk_-_Bombay_1974-04-10_Our_Business_is_to_Point_Out_Who_Is--etc.mp3</t>
  </si>
  <si>
    <t>Bg-04-21_1974-04-10_BG-BOMBAY.MP3</t>
  </si>
  <si>
    <t>https://audio.iskcondesiretree.com/01_-_Srila_Prabhupada/01_-_Lectures/01_-_English/02_-_Month_wise/04_-_April/10/Bg-04-21_1974-04-10_BG-BOMBAY.MP3</t>
  </si>
  <si>
    <t>Bg_04-21_BOM_1974-04-10_A_Life_of_Purity.mp3</t>
  </si>
  <si>
    <t>https://audio.iskcondesiretree.com/01_-_Srila_Prabhupada/01_-_Lectures/01_-_English/02_-_Month_wise/04_-_April/10/Bg_04-21_BOM_1974-04-10_A_Life_of_Purity.mp3</t>
  </si>
  <si>
    <t>MW_BOM_1974-04-10_Our_Business_is_to_Point_Out_Who_Is_etc.mp3</t>
  </si>
  <si>
    <t>https://audio.iskcondesiretree.com/01_-_Srila_Prabhupada/01_-_Lectures/01_-_English/02_-_Month_wise/04_-_April/10/MW_BOM_1974-04-10_Our_Business_is_to_Point_Out_Who_Is_etc.mp3</t>
  </si>
  <si>
    <t>Walk_1974-04-10_MW-BOMBAY.MP3</t>
  </si>
  <si>
    <t>https://audio.iskcondesiretree.com/01_-_Srila_Prabhupada/01_-_Lectures/01_-_English/02_-_Month_wise/04_-_April/10/Walk_1974-04-10_MW-BOMBAY.MP3</t>
  </si>
  <si>
    <t>SP_BG_04-22_Bombay_1974-04-11_Envious_Gross-bodily_Religions.mp3</t>
  </si>
  <si>
    <t>https://audio.iskcondesiretree.com/01_-_Srila_Prabhupada/01_-_Lectures/01_-_English/01_-_Topic_wise/Bhagavad_Gita/Chapter-04/SP_BG_04-22_Bombay_1974-04-11_Envious_Gross-bodily_Religions.mp3</t>
  </si>
  <si>
    <t>SP_Morning_Walk_-_Bombay_1974-04-11.mp3</t>
  </si>
  <si>
    <t>https://audio.iskcondesiretree.com/01_-_Srila_Prabhupada/01_-_Lectures/01_-_English/01_-_Topic_wise/Morning_Walk/SP_Morning_Walk_-_Bombay_1974-04-11.mp3</t>
  </si>
  <si>
    <t>Bg-04-22_1974-04-11_BG-BOMBAY.MP3</t>
  </si>
  <si>
    <t>https://audio.iskcondesiretree.com/01_-_Srila_Prabhupada/01_-_Lectures/01_-_English/02_-_Month_wise/04_-_April/11/Bg-04-22_1974-04-11_BG-BOMBAY.MP3</t>
  </si>
  <si>
    <t>Bg_04-22_BOM_1974-04-11_Envious%2C_Gross-bodily_Religions.mp3</t>
  </si>
  <si>
    <t>https://audio.iskcondesiretree.com/01_-_Srila_Prabhupada/01_-_Lectures/01_-_English/02_-_Month_wise/04_-_April/11/Bg_04-22_BOM_1974-04-11_Envious%2C_Gross-bodily_Religions.mp3</t>
  </si>
  <si>
    <t>Walk_1974-04-11_MW-BOMBAY.MP3</t>
  </si>
  <si>
    <t>https://audio.iskcondesiretree.com/01_-_Srila_Prabhupada/01_-_Lectures/01_-_English/02_-_Month_wise/04_-_April/11/Walk_1974-04-11_MW-BOMBAY.MP3</t>
  </si>
  <si>
    <t>SP_BG_04-23_Bombay_1974-04-12_Liberation_Guaranteed.mp3</t>
  </si>
  <si>
    <t>https://audio.iskcondesiretree.com/01_-_Srila_Prabhupada/01_-_Lectures/01_-_English/01_-_Topic_wise/Bhagavad_Gita/Chapter-04/SP_BG_04-23_Bombay_1974-04-12_Liberation_Guaranteed.mp3</t>
  </si>
  <si>
    <t>SP_Morning_Walk_-_Bombay_1974-04-12.mp3</t>
  </si>
  <si>
    <t>https://audio.iskcondesiretree.com/01_-_Srila_Prabhupada/01_-_Lectures/01_-_English/01_-_Topic_wise/Morning_Walk/SP_Morning_Walk_-_Bombay_1974-04-12.mp3</t>
  </si>
  <si>
    <t>Bg-04-23_1974-04-12_BG-BOMBAY.MP3</t>
  </si>
  <si>
    <t>https://audio.iskcondesiretree.com/01_-_Srila_Prabhupada/01_-_Lectures/01_-_English/02_-_Month_wise/04_-_April/12/Bg-04-23_1974-04-12_BG-BOMBAY.MP3</t>
  </si>
  <si>
    <t>Bg_04-23_BOM_1974-04-12_Liberation_Guaranteed.mp3</t>
  </si>
  <si>
    <t>https://audio.iskcondesiretree.com/01_-_Srila_Prabhupada/01_-_Lectures/01_-_English/02_-_Month_wise/04_-_April/12/Bg_04-23_BOM_1974-04-12_Liberation_Guaranteed.mp3</t>
  </si>
  <si>
    <t>Walk_1974-04-12_MW-BOMBAY.MP3</t>
  </si>
  <si>
    <t>https://audio.iskcondesiretree.com/01_-_Srila_Prabhupada/01_-_Lectures/01_-_English/02_-_Month_wise/04_-_April/12/Walk_1974-04-12_MW-BOMBAY.MP3</t>
  </si>
  <si>
    <t>SP_BG_04-24_Bombay_1974-04-13_You_Can%27t_Separate_Anything.mp3</t>
  </si>
  <si>
    <t>https://audio.iskcondesiretree.com/01_-_Srila_Prabhupada/01_-_Lectures/01_-_English/01_-_Topic_wise/Bhagavad_Gita/Chapter-04/SP_BG_04-24_Bombay_1974-04-13_You_Can%27t_Separate_Anything.mp3</t>
  </si>
  <si>
    <t>SP_Morning_Walk_-_Bombay_1974-04-13.mp3</t>
  </si>
  <si>
    <t>https://audio.iskcondesiretree.com/01_-_Srila_Prabhupada/01_-_Lectures/01_-_English/01_-_Topic_wise/Morning_Walk/SP_Morning_Walk_-_Bombay_1974-04-13.mp3</t>
  </si>
  <si>
    <t>Bg-04-24_1974-04-13_BG-BOMBAY.MP3</t>
  </si>
  <si>
    <t>https://audio.iskcondesiretree.com/01_-_Srila_Prabhupada/01_-_Lectures/01_-_English/02_-_Month_wise/04_-_April/13/Bg-04-24_1974-04-13_BG-BOMBAY.MP3</t>
  </si>
  <si>
    <t>Bg_04-24_BOM_1974-04-13_You_Can%27t_Separate_Anything.mp3</t>
  </si>
  <si>
    <t>https://audio.iskcondesiretree.com/01_-_Srila_Prabhupada/01_-_Lectures/01_-_English/02_-_Month_wise/04_-_April/13/Bg_04-24_BOM_1974-04-13_You_Can%27t_Separate_Anything.mp3</t>
  </si>
  <si>
    <t>Walk_1974-04-13_MW-BOMBAY.MP3</t>
  </si>
  <si>
    <t>https://audio.iskcondesiretree.com/01_-_Srila_Prabhupada/01_-_Lectures/01_-_English/02_-_Month_wise/04_-_April/13/Walk_1974-04-13_MW-BOMBAY.MP3</t>
  </si>
  <si>
    <t>SP_BG_04-25_Bombay_1974-04-14.mp3</t>
  </si>
  <si>
    <t>https://audio.iskcondesiretree.com/01_-_Srila_Prabhupada/01_-_Lectures/01_-_English/01_-_Topic_wise/Bhagavad_Gita/Chapter-04/SP_BG_04-25_Bombay_1974-04-14.mp3</t>
  </si>
  <si>
    <t>SP_Morning_Walk_-_Bombay_1974-04-14.mp3</t>
  </si>
  <si>
    <t>https://audio.iskcondesiretree.com/01_-_Srila_Prabhupada/01_-_Lectures/01_-_English/01_-_Topic_wise/Morning_Walk/SP_Morning_Walk_-_Bombay_1974-04-14.mp3</t>
  </si>
  <si>
    <t>Bg-04-25_1974-04-14_BG-BOMBAY.MP3</t>
  </si>
  <si>
    <t>https://audio.iskcondesiretree.com/01_-_Srila_Prabhupada/01_-_Lectures/01_-_English/02_-_Month_wise/04_-_April/14/Bg-04-25_1974-04-14_BG-BOMBAY.MP3</t>
  </si>
  <si>
    <t>Walk_1974-04-14_MW-BOMBAY.MP3</t>
  </si>
  <si>
    <t>https://audio.iskcondesiretree.com/01_-_Srila_Prabhupada/01_-_Lectures/01_-_English/02_-_Month_wise/04_-_April/14/Walk_1974-04-14_MW-BOMBAY.MP3</t>
  </si>
  <si>
    <t>SP_BG_04-26_Bombay_1974-04-15_Attracted_by_Spiritual_Affairs.mp3</t>
  </si>
  <si>
    <t>https://audio.iskcondesiretree.com/01_-_Srila_Prabhupada/01_-_Lectures/01_-_English/01_-_Topic_wise/Bhagavad_Gita/Chapter-04/SP_BG_04-26_Bombay_1974-04-15_Attracted_by_Spiritual_Affairs.mp3</t>
  </si>
  <si>
    <t>Bg-04-26_1974-04-15_BG-BOMBAY.MP3</t>
  </si>
  <si>
    <t>https://audio.iskcondesiretree.com/01_-_Srila_Prabhupada/01_-_Lectures/01_-_English/02_-_Month_wise/04_-_April/15/Bg-04-26_1974-04-15_BG-BOMBAY.MP3</t>
  </si>
  <si>
    <t>Bg_04-26_BOM_1974-04-15_Attracted_by_Spiritual_Affairs.mp3</t>
  </si>
  <si>
    <t>https://audio.iskcondesiretree.com/01_-_Srila_Prabhupada/01_-_Lectures/01_-_English/02_-_Month_wise/04_-_April/15/Bg_04-26_BOM_1974-04-15_Attracted_by_Spiritual_Affairs.mp3</t>
  </si>
  <si>
    <t>SP_BG_04-27_Bombay_1974-04-16_Learning_to_Satisfy_the_Right_Senses.mp3</t>
  </si>
  <si>
    <t>https://audio.iskcondesiretree.com/01_-_Srila_Prabhupada/01_-_Lectures/01_-_English/01_-_Topic_wise/Bhagavad_Gita/Chapter-04/SP_BG_04-27_Bombay_1974-04-16_Learning_to_Satisfy_the_Right_Senses.mp3</t>
  </si>
  <si>
    <t>SP_Morning_Walk_-_Bombay_1974-04-16.mp3</t>
  </si>
  <si>
    <t>https://audio.iskcondesiretree.com/01_-_Srila_Prabhupada/01_-_Lectures/01_-_English/01_-_Topic_wise/Morning_Walk/SP_Morning_Walk_-_Bombay_1974-04-16.mp3</t>
  </si>
  <si>
    <t>Bg-04-27_1974-04-16_BG-BOMBAY.MP3</t>
  </si>
  <si>
    <t>https://audio.iskcondesiretree.com/01_-_Srila_Prabhupada/01_-_Lectures/01_-_English/02_-_Month_wise/04_-_April/16/Bg-04-27_1974-04-16_BG-BOMBAY.MP3</t>
  </si>
  <si>
    <t>Bg_04-27_BOM_1974-04-16_Learning_to_Satisfy_the_Right_Senses.mp3</t>
  </si>
  <si>
    <t>https://audio.iskcondesiretree.com/01_-_Srila_Prabhupada/01_-_Lectures/01_-_English/02_-_Month_wise/04_-_April/16/Bg_04-27_BOM_1974-04-16_Learning_to_Satisfy_the_Right_Senses.mp3</t>
  </si>
  <si>
    <t>Walk_1974-04-16_MW-BOMBAY.MP3</t>
  </si>
  <si>
    <t>https://audio.iskcondesiretree.com/01_-_Srila_Prabhupada/01_-_Lectures/01_-_English/02_-_Month_wise/04_-_April/16/Walk_1974-04-16_MW-BOMBAY.MP3</t>
  </si>
  <si>
    <t>SP_BG_04-28_Bombay_1974-04-17_The_Magic_of_Krsna_Consciousness.mp3</t>
  </si>
  <si>
    <t>https://audio.iskcondesiretree.com/01_-_Srila_Prabhupada/01_-_Lectures/01_-_English/01_-_Topic_wise/Bhagavad_Gita/Chapter-04/SP_BG_04-28_Bombay_1974-04-17_The_Magic_of_Krsna_Consciousness.mp3</t>
  </si>
  <si>
    <t>SP_Morning_Walk_-_Bombay_1974-04-17.mp3</t>
  </si>
  <si>
    <t>https://audio.iskcondesiretree.com/01_-_Srila_Prabhupada/01_-_Lectures/01_-_English/01_-_Topic_wise/Morning_Walk/SP_Morning_Walk_-_Bombay_1974-04-17.mp3</t>
  </si>
  <si>
    <t>Bg-04-28_1974-04-17_BG-BOMBAY.MP3</t>
  </si>
  <si>
    <t>https://audio.iskcondesiretree.com/01_-_Srila_Prabhupada/01_-_Lectures/01_-_English/02_-_Month_wise/04_-_April/17/Bg-04-28_1974-04-17_BG-BOMBAY.MP3</t>
  </si>
  <si>
    <t>Bg_04-28_BOM_1974-04-17_The_Magic_of_Krsna_Consciousness.mp3</t>
  </si>
  <si>
    <t>https://audio.iskcondesiretree.com/01_-_Srila_Prabhupada/01_-_Lectures/01_-_English/02_-_Month_wise/04_-_April/17/Bg_04-28_BOM_1974-04-17_The_Magic_of_Krsna_Consciousness.mp3</t>
  </si>
  <si>
    <t>Walk_1974-04-17_MW-BOMBAY.MP3</t>
  </si>
  <si>
    <t>https://audio.iskcondesiretree.com/01_-_Srila_Prabhupada/01_-_Lectures/01_-_English/02_-_Month_wise/04_-_April/17/Walk_1974-04-17_MW-BOMBAY.MP3</t>
  </si>
  <si>
    <t>SP_Interview_Hyderabad_1974-04-18_Press--If_You_Want_a_Good_Society.mp3</t>
  </si>
  <si>
    <t>https://audio.iskcondesiretree.com/01_-_Srila_Prabhupada/01_-_Lectures/01_-_English/01_-_Topic_wise/Interview/SP_Interview_Hyderabad_1974-04-18_Press--If_You_Want_a_Good_Society.mp3</t>
  </si>
  <si>
    <t>SP_Morning_Walk_-_Bombay_1974-04-18.mp3</t>
  </si>
  <si>
    <t>https://audio.iskcondesiretree.com/01_-_Srila_Prabhupada/01_-_Lectures/01_-_English/01_-_Topic_wise/Morning_Walk/SP_Morning_Walk_-_Bombay_1974-04-18.mp3</t>
  </si>
  <si>
    <t>SP_SB_1-02-06_Hyderabad_1974-04-18_Bhakti_Is_Not_a_Business.mp3</t>
  </si>
  <si>
    <t>https://audio.iskcondesiretree.com/01_-_Srila_Prabhupada/01_-_Lectures/01_-_English/01_-_Topic_wise/Srimad_Bhagavatam/Canto-01/SP_SB_1-02-06_Hyderabad_1974-04-18_Bhakti_Is_Not_a_Business.mp3</t>
  </si>
  <si>
    <t>Interv_HYD_1974-04-18_Press--If_You_Want_a_Good_Society.mp3</t>
  </si>
  <si>
    <t>https://audio.iskcondesiretree.com/01_-_Srila_Prabhupada/01_-_Lectures/01_-_English/02_-_Month_wise/04_-_April/18/Interv_HYD_1974-04-18_Press--If_You_Want_a_Good_Society.mp3</t>
  </si>
  <si>
    <t>Interview_1974-04-18-PC-HYDERABAD.MP3</t>
  </si>
  <si>
    <t>https://audio.iskcondesiretree.com/01_-_Srila_Prabhupada/01_-_Lectures/01_-_English/02_-_Month_wise/04_-_April/18/Interview_1974-04-18-PC-HYDERABAD.MP3</t>
  </si>
  <si>
    <t>SB-01-02-06_1974-04-18_SB-HYDERABAD.MP3</t>
  </si>
  <si>
    <t>https://audio.iskcondesiretree.com/01_-_Srila_Prabhupada/01_-_Lectures/01_-_English/02_-_Month_wise/04_-_April/18/SB-01-02-06_1974-04-18_SB-HYDERABAD.MP3</t>
  </si>
  <si>
    <t>SB_1-02-06_HYD_1974-04-18_Bhakti_Is_Not_a_Business.mp3</t>
  </si>
  <si>
    <t>https://audio.iskcondesiretree.com/01_-_Srila_Prabhupada/01_-_Lectures/01_-_English/02_-_Month_wise/04_-_April/18/SB_1-02-06_HYD_1974-04-18_Bhakti_Is_Not_a_Business.mp3</t>
  </si>
  <si>
    <t>Walk_1974-04-18_MW-BOMBAY.MP3</t>
  </si>
  <si>
    <t>https://audio.iskcondesiretree.com/01_-_Srila_Prabhupada/01_-_Lectures/01_-_English/02_-_Month_wise/04_-_April/18/Walk_1974-04-18_MW-BOMBAY.MP3</t>
  </si>
  <si>
    <t>SP_BG_13-03_Hyderabad_1974-04-19_Take_Knowledge_from_Krishna.mp3</t>
  </si>
  <si>
    <t>https://audio.iskcondesiretree.com/01_-_Srila_Prabhupada/01_-_Lectures/01_-_English/01_-_Topic_wise/Bhagavad_Gita/Chapter-13/SP_BG_13-03_Hyderabad_1974-04-19_Take_Knowledge_from_Krishna.mp3</t>
  </si>
  <si>
    <t>SP_Morning_Walk_-_Hyderabad_1974-04-19.mp3</t>
  </si>
  <si>
    <t>https://audio.iskcondesiretree.com/01_-_Srila_Prabhupada/01_-_Lectures/01_-_English/01_-_Topic_wise/Morning_Walk/SP_Morning_Walk_-_Hyderabad_1974-04-19.mp3</t>
  </si>
  <si>
    <t>Bg-13-03_1974-04-19_BG-HYDERABAD.MP3</t>
  </si>
  <si>
    <t>https://audio.iskcondesiretree.com/01_-_Srila_Prabhupada/01_-_Lectures/01_-_English/02_-_Month_wise/04_-_April/19/Bg-13-03_1974-04-19_BG-HYDERABAD.MP3</t>
  </si>
  <si>
    <t>Bg_13-03_HYD_1974-04-19_Take_Knowledge_from_Krishna.mp3</t>
  </si>
  <si>
    <t>https://audio.iskcondesiretree.com/01_-_Srila_Prabhupada/01_-_Lectures/01_-_English/02_-_Month_wise/04_-_April/19/Bg_13-03_HYD_1974-04-19_Take_Knowledge_from_Krishna.mp3</t>
  </si>
  <si>
    <t>Lecture%E2%80%93Hindi_1974-04-19_LE-HYDERABAD.MP3</t>
  </si>
  <si>
    <t>https://audio.iskcondesiretree.com/01_-_Srila_Prabhupada/01_-_Lectures/01_-_English/02_-_Month_wise/04_-_April/19/Lecture%E2%80%93Hindi_1974-04-19_LE-HYDERABAD.MP3</t>
  </si>
  <si>
    <t>Walk_1974-04-19_MW-HYDERABAD.MP3</t>
  </si>
  <si>
    <t>https://audio.iskcondesiretree.com/01_-_Srila_Prabhupada/01_-_Lectures/01_-_English/02_-_Month_wise/04_-_April/19/Walk_1974-04-19_MW-HYDERABAD.MP3</t>
  </si>
  <si>
    <t>SP_BG_13-04_Hyderabad_1974-04-20_The_Knowledge_from_Narayana.mp3</t>
  </si>
  <si>
    <t>https://audio.iskcondesiretree.com/01_-_Srila_Prabhupada/01_-_Lectures/01_-_English/01_-_Topic_wise/Bhagavad_Gita/Chapter-13/SP_BG_13-04_Hyderabad_1974-04-20_The_Knowledge_from_Narayana.mp3</t>
  </si>
  <si>
    <t>SP_Morning_Walk_-_Hyderabad_1974-04-20_You_Have_Not_Seen_God...Liar.mp3</t>
  </si>
  <si>
    <t>https://audio.iskcondesiretree.com/01_-_Srila_Prabhupada/01_-_Lectures/01_-_English/01_-_Topic_wise/Morning_Walk/SP_Morning_Walk_-_Hyderabad_1974-04-20_You_Have_Not_Seen_God...Liar.mp3</t>
  </si>
  <si>
    <t>SP_Room_Conversation_01_Bombay_1974-04-20.mp3</t>
  </si>
  <si>
    <t>https://audio.iskcondesiretree.com/01_-_Srila_Prabhupada/01_-_Lectures/01_-_English/01_-_Topic_wise/Room_Conversation/SP_Room_Conversation_01_Bombay_1974-04-20.mp3</t>
  </si>
  <si>
    <t>Bg-13-04_1974-04-20_BG-HYDERABAD.MP3</t>
  </si>
  <si>
    <t>https://audio.iskcondesiretree.com/01_-_Srila_Prabhupada/01_-_Lectures/01_-_English/02_-_Month_wise/04_-_April/20/Bg-13-04_1974-04-20_BG-HYDERABAD.MP3</t>
  </si>
  <si>
    <t>Bg_13-04_HYD_1974-04-20_The_Knowledge_from_Narayana.mp3</t>
  </si>
  <si>
    <t>https://audio.iskcondesiretree.com/01_-_Srila_Prabhupada/01_-_Lectures/01_-_English/02_-_Month_wise/04_-_April/20/Bg_13-04_HYD_1974-04-20_The_Knowledge_from_Narayana.mp3</t>
  </si>
  <si>
    <t>Conv_1974-04-20_R1-HYDERABAD.MP3</t>
  </si>
  <si>
    <t>https://audio.iskcondesiretree.com/01_-_Srila_Prabhupada/01_-_Lectures/01_-_English/02_-_Month_wise/04_-_April/20/Conv_1974-04-20_R1-HYDERABAD.MP3</t>
  </si>
  <si>
    <t>MW_HYD_1974-04-20_You_Have_Not_Seen_God_Liar.mp3</t>
  </si>
  <si>
    <t>https://audio.iskcondesiretree.com/01_-_Srila_Prabhupada/01_-_Lectures/01_-_English/02_-_Month_wise/04_-_April/20/MW_HYD_1974-04-20_You_Have_Not_Seen_God_Liar.mp3</t>
  </si>
  <si>
    <t>Walk_1974-04-20_MW-HYDERABAD.MP3</t>
  </si>
  <si>
    <t>https://audio.iskcondesiretree.com/01_-_Srila_Prabhupada/01_-_Lectures/01_-_English/02_-_Month_wise/04_-_April/20/Walk_1974-04-20_MW-HYDERABAD.MP3</t>
  </si>
  <si>
    <t>SP_SB_1-02-07_Hyderabad_1974-04-21_Understand_Your_Position.mp3</t>
  </si>
  <si>
    <t>https://audio.iskcondesiretree.com/01_-_Srila_Prabhupada/01_-_Lectures/01_-_English/01_-_Topic_wise/Srimad_Bhagavatam/Canto-01/SP_SB_1-02-07_Hyderabad_1974-04-21_Understand_Your_Position.mp3</t>
  </si>
  <si>
    <t>SB-01-02-07_1974-04-21_SB-HYDERABAD.MP3</t>
  </si>
  <si>
    <t>https://audio.iskcondesiretree.com/01_-_Srila_Prabhupada/01_-_Lectures/01_-_English/02_-_Month_wise/04_-_April/21/SB-01-02-07_1974-04-21_SB-HYDERABAD.MP3</t>
  </si>
  <si>
    <t>SB_1-02-07_HYD_1974-04-21_Understand_Your_Position.mp3</t>
  </si>
  <si>
    <t>https://audio.iskcondesiretree.com/01_-_Srila_Prabhupada/01_-_Lectures/01_-_English/02_-_Month_wise/04_-_April/21/SB_1-02-07_HYD_1974-04-21_Understand_Your_Position.mp3</t>
  </si>
  <si>
    <t>SP_Morning_Walk_-_Hyderabad_1974-04-22_If_You_Love_God...Why_Disobey.mp3</t>
  </si>
  <si>
    <t>https://audio.iskcondesiretree.com/01_-_Srila_Prabhupada/01_-_Lectures/01_-_English/01_-_Topic_wise/Morning_Walk/SP_Morning_Walk_-_Hyderabad_1974-04-22_If_You_Love_God...Why_Disobey.mp3</t>
  </si>
  <si>
    <t>SP_SB_1-02-08_Hyderabad_1974-04-22_Duty...or_a_Waste_of_Time.mp3</t>
  </si>
  <si>
    <t>https://audio.iskcondesiretree.com/01_-_Srila_Prabhupada/01_-_Lectures/01_-_English/01_-_Topic_wise/Srimad_Bhagavatam/Canto-01/SP_SB_1-02-08_Hyderabad_1974-04-22_Duty...or_a_Waste_of_Time.mp3</t>
  </si>
  <si>
    <t>MW_HYD_1974-04-22_If_You_Love_God_Why_Disobey.mp3</t>
  </si>
  <si>
    <t>https://audio.iskcondesiretree.com/01_-_Srila_Prabhupada/01_-_Lectures/01_-_English/02_-_Month_wise/04_-_April/22/MW_HYD_1974-04-22_If_You_Love_God_Why_Disobey.mp3</t>
  </si>
  <si>
    <t>SB-01-02-08_1974-04-22_SB-HYDERABAD.MP3</t>
  </si>
  <si>
    <t>https://audio.iskcondesiretree.com/01_-_Srila_Prabhupada/01_-_Lectures/01_-_English/02_-_Month_wise/04_-_April/22/SB-01-02-08_1974-04-22_SB-HYDERABAD.MP3</t>
  </si>
  <si>
    <t>SB_1-02-08_HYD_1974-04-22_Duty_or_a_Waste_of_Time.mp3</t>
  </si>
  <si>
    <t>https://audio.iskcondesiretree.com/01_-_Srila_Prabhupada/01_-_Lectures/01_-_English/02_-_Month_wise/04_-_April/22/SB_1-02-08_HYD_1974-04-22_Duty_or_a_Waste_of_Time.mp3</t>
  </si>
  <si>
    <t>Walk_1974-04-22_MW-HYDERABAD.MP3</t>
  </si>
  <si>
    <t>https://audio.iskcondesiretree.com/01_-_Srila_Prabhupada/01_-_Lectures/01_-_English/02_-_Month_wise/04_-_April/22/Walk_1974-04-22_MW-HYDERABAD.MP3</t>
  </si>
  <si>
    <t>SP_Morning_Walk_-_Hyderabad_1974-04-23_Protect_Against_Degradation.mp3</t>
  </si>
  <si>
    <t>https://audio.iskcondesiretree.com/01_-_Srila_Prabhupada/01_-_Lectures/01_-_English/01_-_Topic_wise/Morning_Walk/SP_Morning_Walk_-_Hyderabad_1974-04-23_Protect_Against_Degradation.mp3</t>
  </si>
  <si>
    <t>SP_SB_1-02-09_Hyderabad_1974-04-23_Illusion_Realized.mp3</t>
  </si>
  <si>
    <t>https://audio.iskcondesiretree.com/01_-_Srila_Prabhupada/01_-_Lectures/01_-_English/01_-_Topic_wise/Srimad_Bhagavatam/Canto-01/SP_SB_1-02-09_Hyderabad_1974-04-23_Illusion_Realized.mp3</t>
  </si>
  <si>
    <t>Lecture%E2%80%93Hindi_1974-04-23_LE-HYDERABAD.MP3</t>
  </si>
  <si>
    <t>https://audio.iskcondesiretree.com/01_-_Srila_Prabhupada/01_-_Lectures/01_-_English/02_-_Month_wise/04_-_April/23/Lecture%E2%80%93Hindi_1974-04-23_LE-HYDERABAD.MP3</t>
  </si>
  <si>
    <t>MW_HYD_1974-04-23_Protect_Against_Degradation.mp3</t>
  </si>
  <si>
    <t>https://audio.iskcondesiretree.com/01_-_Srila_Prabhupada/01_-_Lectures/01_-_English/02_-_Month_wise/04_-_April/23/MW_HYD_1974-04-23_Protect_Against_Degradation.mp3</t>
  </si>
  <si>
    <t>SB-01-02-09_1974-04-23_SB-HYDERABAD.MP3</t>
  </si>
  <si>
    <t>https://audio.iskcondesiretree.com/01_-_Srila_Prabhupada/01_-_Lectures/01_-_English/02_-_Month_wise/04_-_April/23/SB-01-02-09_1974-04-23_SB-HYDERABAD.MP3</t>
  </si>
  <si>
    <t>SB_1-02-09_HYD_1974-04-23_Illusion_Realized.mp3</t>
  </si>
  <si>
    <t>https://audio.iskcondesiretree.com/01_-_Srila_Prabhupada/01_-_Lectures/01_-_English/02_-_Month_wise/04_-_April/23/SB_1-02-09_HYD_1974-04-23_Illusion_Realized.mp3</t>
  </si>
  <si>
    <t>Walk_1974-04-23_MW-HYDERABAD.MP3</t>
  </si>
  <si>
    <t>https://audio.iskcondesiretree.com/01_-_Srila_Prabhupada/01_-_Lectures/01_-_English/02_-_Month_wise/04_-_April/23/Walk_1974-04-23_MW-HYDERABAD.MP3</t>
  </si>
  <si>
    <t>SP_Morning_Walk_-_Hyderabad_1974-04-24.mp3</t>
  </si>
  <si>
    <t>https://audio.iskcondesiretree.com/01_-_Srila_Prabhupada/01_-_Lectures/01_-_English/01_-_Topic_wise/Morning_Walk/SP_Morning_Walk_-_Hyderabad_1974-04-24.mp3</t>
  </si>
  <si>
    <t>SP_SB_01-02-10_Hyderabad_1974-04-24.mp3</t>
  </si>
  <si>
    <t>https://audio.iskcondesiretree.com/01_-_Srila_Prabhupada/01_-_Lectures/01_-_English/01_-_Topic_wise/Srimad_Bhagavatam/Canto-01/SP_SB_01-02-10_Hyderabad_1974-04-24.mp3</t>
  </si>
  <si>
    <t>SB-01-02-10_1974-04-24_SB-HYDERABAD.MP3</t>
  </si>
  <si>
    <t>https://audio.iskcondesiretree.com/01_-_Srila_Prabhupada/01_-_Lectures/01_-_English/02_-_Month_wise/04_-_April/24/SB-01-02-10_1974-04-24_SB-HYDERABAD.MP3</t>
  </si>
  <si>
    <t>Walk_1974-04-24_MW-HYDERABAD.MP3</t>
  </si>
  <si>
    <t>https://audio.iskcondesiretree.com/01_-_Srila_Prabhupada/01_-_Lectures/01_-_English/02_-_Month_wise/04_-_April/24/Walk_1974-04-24_MW-HYDERABAD.MP3</t>
  </si>
  <si>
    <t>Lecture%E2%80%93Hindi_1974-04-25_LE-TIRUPATI.MP3</t>
  </si>
  <si>
    <t>https://audio.iskcondesiretree.com/01_-_Srila_Prabhupada/01_-_Lectures/01_-_English/02_-_Month_wise/04_-_April/25/Lecture%E2%80%93Hindi_1974-04-25_LE-TIRUPATI.MP3</t>
  </si>
  <si>
    <t>SP_Interview_-_With_Minister_Tirupati_1974-04-26.mp3</t>
  </si>
  <si>
    <t>https://audio.iskcondesiretree.com/01_-_Srila_Prabhupada/01_-_Lectures/01_-_English/01_-_Topic_wise/Interview/SP_Interview_-_With_Minister_Tirupati_1974-04-26.mp3</t>
  </si>
  <si>
    <t>SP_Room_Conversation_01_Tirupati_1974-04-26.mp3</t>
  </si>
  <si>
    <t>https://audio.iskcondesiretree.com/01_-_Srila_Prabhupada/01_-_Lectures/01_-_English/01_-_Topic_wise/Room_Conversation/SP_Room_Conversation_01_Tirupati_1974-04-26.mp3</t>
  </si>
  <si>
    <t>SP_SB_01-02-11_Tirupati_1974-04-26.mp3</t>
  </si>
  <si>
    <t>https://audio.iskcondesiretree.com/01_-_Srila_Prabhupada/01_-_Lectures/01_-_English/01_-_Topic_wise/Srimad_Bhagavatam/Canto-01/SP_SB_01-02-11_Tirupati_1974-04-26.mp3</t>
  </si>
  <si>
    <t>Conv_1974-04-26_R1-TIRUPATI.MP3</t>
  </si>
  <si>
    <t>https://audio.iskcondesiretree.com/01_-_Srila_Prabhupada/01_-_Lectures/01_-_English/02_-_Month_wise/04_-_April/26/Conv_1974-04-26_R1-TIRUPATI.MP3</t>
  </si>
  <si>
    <t>Interview_1974-04-26_IV-TIRUPATI.MP3</t>
  </si>
  <si>
    <t>https://audio.iskcondesiretree.com/01_-_Srila_Prabhupada/01_-_Lectures/01_-_English/02_-_Month_wise/04_-_April/26/Interview_1974-04-26_IV-TIRUPATI.MP3</t>
  </si>
  <si>
    <t>SB-01-02-11_1974-04-26_SB-TIRUPATI.MP3</t>
  </si>
  <si>
    <t>https://audio.iskcondesiretree.com/01_-_Srila_Prabhupada/01_-_Lectures/01_-_English/02_-_Month_wise/04_-_April/26/SB-01-02-11_1974-04-26_SB-TIRUPATI.MP3</t>
  </si>
  <si>
    <t>SP_BG_07-01_Hyderabad_1974-04-27_Krishna_in_His_Vibration_Form.mp3</t>
  </si>
  <si>
    <t>https://audio.iskcondesiretree.com/01_-_Srila_Prabhupada/01_-_Lectures/01_-_English/01_-_Topic_wise/Bhagavad_Gita/Chapter-07/SP_BG_07-01_Hyderabad_1974-04-27_Krishna_in_His_Vibration_Form.mp3</t>
  </si>
  <si>
    <t>Bg-07-01_1974-04-27_BG-HYDERABAD.MP3</t>
  </si>
  <si>
    <t>https://audio.iskcondesiretree.com/01_-_Srila_Prabhupada/01_-_Lectures/01_-_English/02_-_Month_wise/04_-_April/27/Bg-07-01_1974-04-27_BG-HYDERABAD.MP3</t>
  </si>
  <si>
    <t>Bg_07-01_HYD_1974-04-27_Krishna_in_His_Vibration_Form.mp3</t>
  </si>
  <si>
    <t>https://audio.iskcondesiretree.com/01_-_Srila_Prabhupada/01_-_Lectures/01_-_English/02_-_Month_wise/04_-_April/27/Bg_07-01_HYD_1974-04-27_Krishna_in_His_Vibration_Form.mp3</t>
  </si>
  <si>
    <t>SP_BG_07-02_Hyderabad_1974-04-28_Seeing_Krishna_Within_the_Heart.mp3</t>
  </si>
  <si>
    <t>https://audio.iskcondesiretree.com/01_-_Srila_Prabhupada/01_-_Lectures/01_-_English/01_-_Topic_wise/Bhagavad_Gita/Chapter-07/SP_BG_07-02_Hyderabad_1974-04-28_Seeing_Krishna_Within_the_Heart.mp3</t>
  </si>
  <si>
    <t>Bg-07-02_1974-04-28_BG-HYDERABAD.MP3</t>
  </si>
  <si>
    <t>https://audio.iskcondesiretree.com/01_-_Srila_Prabhupada/01_-_Lectures/01_-_English/02_-_Month_wise/04_-_April/28/Bg-07-02_1974-04-28_BG-HYDERABAD.MP3</t>
  </si>
  <si>
    <t>Bg_07-02_HYD_1974-04-28_Seeing_Krishna_Within_the_Heart.mp3</t>
  </si>
  <si>
    <t>https://audio.iskcondesiretree.com/01_-_Srila_Prabhupada/01_-_Lectures/01_-_English/02_-_Month_wise/04_-_April/28/Bg_07-02_HYD_1974-04-28_Seeing_Krishna_Within_the_Heart.mp3</t>
  </si>
  <si>
    <t>SP_Morning_Walk_-_Hyderabad_1974-04-29_Miracles_and_MIRACLES.mp3</t>
  </si>
  <si>
    <t>https://audio.iskcondesiretree.com/01_-_Srila_Prabhupada/01_-_Lectures/01_-_English/01_-_Topic_wise/Morning_Walk/SP_Morning_Walk_-_Hyderabad_1974-04-29_Miracles_and_MIRACLES.mp3</t>
  </si>
  <si>
    <t>MW_HYD_1974-04-29_Miracles_and_MIRACLES.mp3</t>
  </si>
  <si>
    <t>https://audio.iskcondesiretree.com/01_-_Srila_Prabhupada/01_-_Lectures/01_-_English/02_-_Month_wise/04_-_April/29/MW_HYD_1974-04-29_Miracles_and_MIRACLES.mp3</t>
  </si>
  <si>
    <t>Walk_1974-04-29_MW-HYDERABAD.MP3</t>
  </si>
  <si>
    <t>https://audio.iskcondesiretree.com/01_-_Srila_Prabhupada/01_-_Lectures/01_-_English/02_-_Month_wise/04_-_April/29/Walk_1974-04-29_MW-HYDERABAD.MP3</t>
  </si>
  <si>
    <t>SP_Morning_Walk_-_Bombay_1974-05-01.mp3</t>
  </si>
  <si>
    <t>https://audio.iskcondesiretree.com/01_-_Srila_Prabhupada/01_-_Lectures/01_-_English/01_-_Topic_wise/Morning_Walk/SP_Morning_Walk_-_Bombay_1974-05-01.mp3</t>
  </si>
  <si>
    <t>Walk_1974-05-01_MW-BOMBAY.MP3</t>
  </si>
  <si>
    <t>https://audio.iskcondesiretree.com/01_-_Srila_Prabhupada/01_-_Lectures/01_-_English/02_-_Month_wise/05_-_May/01/Walk_1974-05-01_MW-BOMBAY.MP3</t>
  </si>
  <si>
    <t>SP_Morning_Walk_-_Bombay_1974-05-02.mp3</t>
  </si>
  <si>
    <t>https://audio.iskcondesiretree.com/01_-_Srila_Prabhupada/01_-_Lectures/01_-_English/01_-_Topic_wise/Morning_Walk/SP_Morning_Walk_-_Bombay_1974-05-02.mp3</t>
  </si>
  <si>
    <t>Walk_1974-05-02_MW-BOMBAY.MP3</t>
  </si>
  <si>
    <t>https://audio.iskcondesiretree.com/01_-_Srila_Prabhupada/01_-_Lectures/01_-_English/02_-_Month_wise/05_-_May/02/Walk_1974-05-02_MW-BOMBAY.MP3</t>
  </si>
  <si>
    <t>SP_Morning_Walk_-_Bombay_1974-05-03.mp3</t>
  </si>
  <si>
    <t>https://audio.iskcondesiretree.com/01_-_Srila_Prabhupada/01_-_Lectures/01_-_English/01_-_Topic_wise/Morning_Walk/SP_Morning_Walk_-_Bombay_1974-05-03.mp3</t>
  </si>
  <si>
    <t>Walk_1974-05-03_MW-BOMBAY.MP3</t>
  </si>
  <si>
    <t>https://audio.iskcondesiretree.com/01_-_Srila_Prabhupada/01_-_Lectures/01_-_English/02_-_Month_wise/05_-_May/03/Walk_1974-05-03_MW-BOMBAY.MP3</t>
  </si>
  <si>
    <t>SP_Morning_Walk_-_Bombay_1974-05-04.mp3</t>
  </si>
  <si>
    <t>https://audio.iskcondesiretree.com/01_-_Srila_Prabhupada/01_-_Lectures/01_-_English/01_-_Topic_wise/Morning_Walk/SP_Morning_Walk_-_Bombay_1974-05-04.mp3</t>
  </si>
  <si>
    <t>Walk_1974-05-04_MW-BOMBAY.MP3</t>
  </si>
  <si>
    <t>https://audio.iskcondesiretree.com/01_-_Srila_Prabhupada/01_-_Lectures/01_-_English/02_-_Month_wise/05_-_May/04/Walk_1974-05-04_MW-BOMBAY.MP3</t>
  </si>
  <si>
    <t>SP_Festivals_Bombay_1974-05-05_Nrsimhadeva_Appearance.mp3</t>
  </si>
  <si>
    <t>https://audio.iskcondesiretree.com/01_-_Srila_Prabhupada/01_-_Lectures/01_-_English/01_-_Topic_wise/Festivals/SP_Festivals_Bombay_1974-05-05_Nrsimhadeva_Appearance.mp3</t>
  </si>
  <si>
    <t>SP_Morning_Walk_-_Bombay_1974-05-05.mp3</t>
  </si>
  <si>
    <t>https://audio.iskcondesiretree.com/01_-_Srila_Prabhupada/01_-_Lectures/01_-_English/01_-_Topic_wise/Morning_Walk/SP_Morning_Walk_-_Bombay_1974-05-05.mp3</t>
  </si>
  <si>
    <t>Fest_BOM_1974-05-05_Nrsimhadeva_Appearance.mp3</t>
  </si>
  <si>
    <t>https://audio.iskcondesiretree.com/01_-_Srila_Prabhupada/01_-_Lectures/01_-_English/02_-_Month_wise/05_-_May/05/Fest_BOM_1974-05-05_Nrsimhadeva_Appearance.mp3</t>
  </si>
  <si>
    <t>NrsimhaDeva_Appearance_1974-05-05_NA-BOMBAY.MP3</t>
  </si>
  <si>
    <t>https://audio.iskcondesiretree.com/01_-_Srila_Prabhupada/01_-_Lectures/01_-_English/02_-_Month_wise/05_-_May/05/NrsimhaDeva_Appearance_1974-05-05_NA-BOMBAY.MP3</t>
  </si>
  <si>
    <t>Walk_1974-05-05_MW-BOMBAY.MP3</t>
  </si>
  <si>
    <t>https://audio.iskcondesiretree.com/01_-_Srila_Prabhupada/01_-_Lectures/01_-_English/02_-_Month_wise/05_-_May/05/Walk_1974-05-05_MW-BOMBAY.MP3</t>
  </si>
  <si>
    <t>SP_Morning_Walk_-_Bombay_1974-05-06.mp3</t>
  </si>
  <si>
    <t>https://audio.iskcondesiretree.com/01_-_Srila_Prabhupada/01_-_Lectures/01_-_English/01_-_Topic_wise/Morning_Walk/SP_Morning_Walk_-_Bombay_1974-05-06.mp3</t>
  </si>
  <si>
    <t>Walk_1974-05-06_MW-BOMBAY.MP3</t>
  </si>
  <si>
    <t>https://audio.iskcondesiretree.com/01_-_Srila_Prabhupada/01_-_Lectures/01_-_English/02_-_Month_wise/05_-_May/06/Walk_1974-05-06_MW-BOMBAY.MP3</t>
  </si>
  <si>
    <t>SP_Morning_Walk_-_Bombay_1974-05-08.mp3</t>
  </si>
  <si>
    <t>https://audio.iskcondesiretree.com/01_-_Srila_Prabhupada/01_-_Lectures/01_-_English/01_-_Topic_wise/Morning_Walk/SP_Morning_Walk_-_Bombay_1974-05-08.mp3</t>
  </si>
  <si>
    <t>Walk_1974-05-08_MW-BOMBAY.MP3</t>
  </si>
  <si>
    <t>https://audio.iskcondesiretree.com/01_-_Srila_Prabhupada/01_-_Lectures/01_-_English/02_-_Month_wise/05_-_May/08/Walk_1974-05-08_MW-BOMBAY.MP3</t>
  </si>
  <si>
    <t>SP_Morning_Walk_-_Bombay_1974-05-09.mp3</t>
  </si>
  <si>
    <t>https://audio.iskcondesiretree.com/01_-_Srila_Prabhupada/01_-_Lectures/01_-_English/01_-_Topic_wise/Morning_Walk/SP_Morning_Walk_-_Bombay_1974-05-09.mp3</t>
  </si>
  <si>
    <t>Walk_1974-05-09_MW-BOMBAY.MP3</t>
  </si>
  <si>
    <t>https://audio.iskcondesiretree.com/01_-_Srila_Prabhupada/01_-_Lectures/01_-_English/02_-_Month_wise/05_-_May/09/Walk_1974-05-09_MW-BOMBAY.MP3</t>
  </si>
  <si>
    <t>Chapter-12</t>
  </si>
  <si>
    <t>SP_BG_12-13_Bombay_1974-05-12_The_STRUGGLE--Atheists_vs._Theist.mp3</t>
  </si>
  <si>
    <t>https://audio.iskcondesiretree.com/01_-_Srila_Prabhupada/01_-_Lectures/01_-_English/01_-_Topic_wise/Bhagavad_Gita/Chapter-12/SP_BG_12-13_Bombay_1974-05-12_The_STRUGGLE--Atheists_vs._Theist.mp3</t>
  </si>
  <si>
    <t>Bg-12-13%E2%80%9314_1974-05-12_BG-BOMBAY.MP3</t>
  </si>
  <si>
    <t>https://audio.iskcondesiretree.com/01_-_Srila_Prabhupada/01_-_Lectures/01_-_English/02_-_Month_wise/05_-_May/12/Bg-12-13%E2%80%9314_1974-05-12_BG-BOMBAY.MP3</t>
  </si>
  <si>
    <t>Bg_12-13_BOM_1974-05-12_The_STRUGGLE_Atheists_vs_Theist.mp3</t>
  </si>
  <si>
    <t>https://audio.iskcondesiretree.com/01_-_Srila_Prabhupada/01_-_Lectures/01_-_English/02_-_Month_wise/05_-_May/12/Bg_12-13_BOM_1974-05-12_The_STRUGGLE_Atheists_vs_Theist.mp3</t>
  </si>
  <si>
    <t>SP_Room_Conversation_Rome_1974-05-23_Irish_Poet--Dog-ism_Cat-ism.mp3</t>
  </si>
  <si>
    <t>https://audio.iskcondesiretree.com/01_-_Srila_Prabhupada/01_-_Lectures/01_-_English/01_-_Topic_wise/Room_Conversation/SP_Room_Conversation_Rome_1974-05-23_Irish_Poet--Dog-ism_Cat-ism.mp3</t>
  </si>
  <si>
    <t>Conv_1974-05-23_R1-ROME.MP3</t>
  </si>
  <si>
    <t>https://audio.iskcondesiretree.com/01_-_Srila_Prabhupada/01_-_Lectures/01_-_English/02_-_Month_wise/05_-_May/23/Conv_1974-05-23_R1-ROME.MP3</t>
  </si>
  <si>
    <t>RC_ROM_1974-05-23_Irish_Poet--Dogism_Catism.mp3</t>
  </si>
  <si>
    <t>https://audio.iskcondesiretree.com/01_-_Srila_Prabhupada/01_-_Lectures/01_-_English/02_-_Month_wise/05_-_May/23/RC_ROM_1974-05-23_Irish_Poet--Dogism_Catism.mp3</t>
  </si>
  <si>
    <t>SP_Morning_Walk_-_Rome_1974-05-24_Relief--Only_for_First-class_Devotees.mp3</t>
  </si>
  <si>
    <t>https://audio.iskcondesiretree.com/01_-_Srila_Prabhupada/01_-_Lectures/01_-_English/01_-_Topic_wise/Morning_Walk/SP_Morning_Walk_-_Rome_1974-05-24_Relief--Only_for_First-class_Devotees.mp3</t>
  </si>
  <si>
    <t>SP_Room_Conversation_02_Rome_1974-05-24.mp3</t>
  </si>
  <si>
    <t>https://audio.iskcondesiretree.com/01_-_Srila_Prabhupada/01_-_Lectures/01_-_English/01_-_Topic_wise/Room_Conversation/SP_Room_Conversation_02_Rome_1974-05-24.mp3</t>
  </si>
  <si>
    <t>SP_Room_Conversation_Rome_1974-05-24_Rascal_Leasers_-_Putting_People_into_Chaos.mp3</t>
  </si>
  <si>
    <t>https://audio.iskcondesiretree.com/01_-_Srila_Prabhupada/01_-_Lectures/01_-_English/01_-_Topic_wise/Room_Conversation/SP_Room_Conversation_Rome_1974-05-24_Rascal_Leasers_-_Putting_People_into_Chaos.mp3</t>
  </si>
  <si>
    <t>SP_Room_Conversation_Rome_1974-05-24_Secretary_to_the_Pope--Love_for--etc.mp3</t>
  </si>
  <si>
    <t>https://audio.iskcondesiretree.com/01_-_Srila_Prabhupada/01_-_Lectures/01_-_English/01_-_Topic_wise/Room_Conversation/SP_Room_Conversation_Rome_1974-05-24_Secretary_to_the_Pope--Love_for--etc.mp3</t>
  </si>
  <si>
    <t>SP_Room_Conversation_Rome_1974-05-24_The_Head_of_the_Social_Body_Must_be_Clean.mp3</t>
  </si>
  <si>
    <t>https://audio.iskcondesiretree.com/01_-_Srila_Prabhupada/01_-_Lectures/01_-_English/01_-_Topic_wise/Room_Conversation/SP_Room_Conversation_Rome_1974-05-24_The_Head_of_the_Social_Body_Must_be_Clean.mp3</t>
  </si>
  <si>
    <t>SP_SB_1-02-06_Rome_1974-05-24_Body-isms_Like_%27Democracy%27--etc.mp3</t>
  </si>
  <si>
    <t>https://audio.iskcondesiretree.com/01_-_Srila_Prabhupada/01_-_Lectures/01_-_English/01_-_Topic_wise/Srimad_Bhagavatam/Canto-01/SP_SB_1-02-06_Rome_1974-05-24_Body-isms_Like_%27Democracy%27--etc.mp3</t>
  </si>
  <si>
    <t>Conv_1974-05-24_R1-ROME.MP3</t>
  </si>
  <si>
    <t>https://audio.iskcondesiretree.com/01_-_Srila_Prabhupada/01_-_Lectures/01_-_English/02_-_Month_wise/05_-_May/24/Conv_1974-05-24_R1-ROME.MP3</t>
  </si>
  <si>
    <t>Conv_1974-05-24_R2-ROME.MP3</t>
  </si>
  <si>
    <t>https://audio.iskcondesiretree.com/01_-_Srila_Prabhupada/01_-_Lectures/01_-_English/02_-_Month_wise/05_-_May/24/Conv_1974-05-24_R2-ROME.MP3</t>
  </si>
  <si>
    <t>MW_ROM_1974-05-24_Relief-Only_for_First-class_Devotees.mp3</t>
  </si>
  <si>
    <t>https://audio.iskcondesiretree.com/01_-_Srila_Prabhupada/01_-_Lectures/01_-_English/02_-_Month_wise/05_-_May/24/MW_ROM_1974-05-24_Relief-Only_for_First-class_Devotees.mp3</t>
  </si>
  <si>
    <t>RC_ROM_1974-05-24_Rascal_Leasers_Putting_People_into_Chaos.mp3</t>
  </si>
  <si>
    <t>https://audio.iskcondesiretree.com/01_-_Srila_Prabhupada/01_-_Lectures/01_-_English/02_-_Month_wise/05_-_May/24/RC_ROM_1974-05-24_Rascal_Leasers_Putting_People_into_Chaos.mp3</t>
  </si>
  <si>
    <t>RC_ROM_1974-05-24_Secretary_to_the_Pope_Love_for_etc.mp3</t>
  </si>
  <si>
    <t>https://audio.iskcondesiretree.com/01_-_Srila_Prabhupada/01_-_Lectures/01_-_English/02_-_Month_wise/05_-_May/24/RC_ROM_1974-05-24_Secretary_to_the_Pope_Love_for_etc.mp3</t>
  </si>
  <si>
    <t>RC_ROM_1974-05-24_The_Head_of_the_Social_Body_Must_be_Clean.mp3</t>
  </si>
  <si>
    <t>https://audio.iskcondesiretree.com/01_-_Srila_Prabhupada/01_-_Lectures/01_-_English/02_-_Month_wise/05_-_May/24/RC_ROM_1974-05-24_The_Head_of_the_Social_Body_Must_be_Clean.mp3</t>
  </si>
  <si>
    <t>SB-01-02-06_1974-05-24_SB-ROME.MP3</t>
  </si>
  <si>
    <t>https://audio.iskcondesiretree.com/01_-_Srila_Prabhupada/01_-_Lectures/01_-_English/02_-_Month_wise/05_-_May/24/SB-01-02-06_1974-05-24_SB-ROME.MP3</t>
  </si>
  <si>
    <t>SB_1-02-06_ROM_1974-05-24_Body-isms_Like_Democracy_etc.mp3</t>
  </si>
  <si>
    <t>https://audio.iskcondesiretree.com/01_-_Srila_Prabhupada/01_-_Lectures/01_-_English/02_-_Month_wise/05_-_May/24/SB_1-02-06_ROM_1974-05-24_Body-isms_Like_Democracy_etc.mp3</t>
  </si>
  <si>
    <t>Walk_1974-05-24_MW-ROME.MP3</t>
  </si>
  <si>
    <t>https://audio.iskcondesiretree.com/01_-_Srila_Prabhupada/01_-_Lectures/01_-_English/02_-_Month_wise/05_-_May/24/Walk_1974-05-24_MW-ROME.MP3</t>
  </si>
  <si>
    <t>SP_BG_04-10_Public_Lecture_Rome_1974-05-25.mp3</t>
  </si>
  <si>
    <t>https://audio.iskcondesiretree.com/01_-_Srila_Prabhupada/01_-_Lectures/01_-_English/01_-_Topic_wise/Bhagavad_Gita/Chapter-04/SP_BG_04-10_Public_Lecture_Rome_1974-05-25.mp3</t>
  </si>
  <si>
    <t>SP_Morning_Walk_-_Rome_1974-05-25.mp3</t>
  </si>
  <si>
    <t>https://audio.iskcondesiretree.com/01_-_Srila_Prabhupada/01_-_Lectures/01_-_English/01_-_Topic_wise/Morning_Walk/SP_Morning_Walk_-_Rome_1974-05-25.mp3</t>
  </si>
  <si>
    <t>Bg-04-10_1974-05-25_BG-ROME.MP3</t>
  </si>
  <si>
    <t>https://audio.iskcondesiretree.com/01_-_Srila_Prabhupada/01_-_Lectures/01_-_English/02_-_Month_wise/05_-_May/25/Bg-04-10_1974-05-25_BG-ROME.MP3</t>
  </si>
  <si>
    <t>Walk_1974-05-25_MW-ROME.MP3</t>
  </si>
  <si>
    <t>https://audio.iskcondesiretree.com/01_-_Srila_Prabhupada/01_-_Lectures/01_-_English/02_-_Month_wise/05_-_May/25/Walk_1974-05-25_MW-ROME.MP3</t>
  </si>
  <si>
    <t>SP_Morning_Walk_-_Rome_1974-05-26.mp3</t>
  </si>
  <si>
    <t>https://audio.iskcondesiretree.com/01_-_Srila_Prabhupada/01_-_Lectures/01_-_English/01_-_Topic_wise/Morning_Walk/SP_Morning_Walk_-_Rome_1974-05-26.mp3</t>
  </si>
  <si>
    <t>SP_SB_1-02-02_Rome_1974-05-26_The_Supreme_Destination_Is--etc.mp3</t>
  </si>
  <si>
    <t>https://audio.iskcondesiretree.com/01_-_Srila_Prabhupada/01_-_Lectures/01_-_English/01_-_Topic_wise/Srimad_Bhagavatam/Canto-01/SP_SB_1-02-02_Rome_1974-05-26_The_Supreme_Destination_Is--etc.mp3</t>
  </si>
  <si>
    <t>SB-01-02-02_1974-05-26_SB-ROME.MP3</t>
  </si>
  <si>
    <t>https://audio.iskcondesiretree.com/01_-_Srila_Prabhupada/01_-_Lectures/01_-_English/02_-_Month_wise/05_-_May/26/SB-01-02-02_1974-05-26_SB-ROME.MP3</t>
  </si>
  <si>
    <t>SB_1-02-02_ROM_1974-05-26_The_Supreme_Destination_Is_etc.mp3</t>
  </si>
  <si>
    <t>https://audio.iskcondesiretree.com/01_-_Srila_Prabhupada/01_-_Lectures/01_-_English/02_-_Month_wise/05_-_May/26/SB_1-02-02_ROM_1974-05-26_The_Supreme_Destination_Is_etc.mp3</t>
  </si>
  <si>
    <t>Walk_1974-05-26_MW-ROME.MP3</t>
  </si>
  <si>
    <t>https://audio.iskcondesiretree.com/01_-_Srila_Prabhupada/01_-_Lectures/01_-_English/02_-_Month_wise/05_-_May/26/Walk_1974-05-26_MW-ROME.MP3</t>
  </si>
  <si>
    <t>SP_Morning_Walk_-_Rome_1974-05-27.mp3</t>
  </si>
  <si>
    <t>https://audio.iskcondesiretree.com/01_-_Srila_Prabhupada/01_-_Lectures/01_-_English/01_-_Topic_wise/Morning_Walk/SP_Morning_Walk_-_Rome_1974-05-27.mp3</t>
  </si>
  <si>
    <t>SP_SB_1-02-03_Rome_1974-05-27_Darkness_Of_Disobedience.mp3</t>
  </si>
  <si>
    <t>https://audio.iskcondesiretree.com/01_-_Srila_Prabhupada/01_-_Lectures/01_-_English/01_-_Topic_wise/Srimad_Bhagavatam/Canto-01/SP_SB_1-02-03_Rome_1974-05-27_Darkness_Of_Disobedience.mp3</t>
  </si>
  <si>
    <t>SB-01-02-03_1974-05-27_SB-ROME.MP3</t>
  </si>
  <si>
    <t>https://audio.iskcondesiretree.com/01_-_Srila_Prabhupada/01_-_Lectures/01_-_English/02_-_Month_wise/05_-_May/27/SB-01-02-03_1974-05-27_SB-ROME.MP3</t>
  </si>
  <si>
    <t>SB_1-02-03_ROM_1974-05-27_Darkness_Of_Disobedience.mp3</t>
  </si>
  <si>
    <t>https://audio.iskcondesiretree.com/01_-_Srila_Prabhupada/01_-_Lectures/01_-_English/02_-_Month_wise/05_-_May/27/SB_1-02-03_ROM_1974-05-27_Darkness_Of_Disobedience.mp3</t>
  </si>
  <si>
    <t>Walk_1974-05-27_MW-ROME.MP3</t>
  </si>
  <si>
    <t>https://audio.iskcondesiretree.com/01_-_Srila_Prabhupada/01_-_Lectures/01_-_English/02_-_Month_wise/05_-_May/27/Walk_1974-05-27_MW-ROME.MP3</t>
  </si>
  <si>
    <t>SP_Morning_Walk_-_Rome_1974-05-28_Stick_to_Your_Principles--People_Will_Come.mp3</t>
  </si>
  <si>
    <t>https://audio.iskcondesiretree.com/01_-_Srila_Prabhupada/01_-_Lectures/01_-_English/01_-_Topic_wise/Morning_Walk/SP_Morning_Walk_-_Rome_1974-05-28_Stick_to_Your_Principles--People_Will_Come.mp3</t>
  </si>
  <si>
    <t>SP_SB_1-02-04_Rome_1974-05-28_%27Riverside--etc.mp3</t>
  </si>
  <si>
    <t>https://audio.iskcondesiretree.com/01_-_Srila_Prabhupada/01_-_Lectures/01_-_English/01_-_Topic_wise/Srimad_Bhagavatam/Canto-01/SP_SB_1-02-04_Rome_1974-05-28_%27Riverside--etc.mp3</t>
  </si>
  <si>
    <t>SP_SB_1-02-04_Rome_1974-05-28_Riverside--etc.mp3</t>
  </si>
  <si>
    <t>https://audio.iskcondesiretree.com/01_-_Srila_Prabhupada/01_-_Lectures/01_-_English/01_-_Topic_wise/Srimad_Bhagavatam/Canto-01/SP_SB_1-02-04_Rome_1974-05-28_Riverside--etc.mp3</t>
  </si>
  <si>
    <t>MW_ROM_1974-05-28_Stick_to_Your_Principles_People_Will_Come.mp3</t>
  </si>
  <si>
    <t>https://audio.iskcondesiretree.com/01_-_Srila_Prabhupada/01_-_Lectures/01_-_English/02_-_Month_wise/05_-_May/28/MW_ROM_1974-05-28_Stick_to_Your_Principles_People_Will_Come.mp3</t>
  </si>
  <si>
    <t>SB-01-02-04_1974-05-28_SB-ROME.MP3</t>
  </si>
  <si>
    <t>https://audio.iskcondesiretree.com/01_-_Srila_Prabhupada/01_-_Lectures/01_-_English/02_-_Month_wise/05_-_May/28/SB-01-02-04_1974-05-28_SB-ROME.MP3</t>
  </si>
  <si>
    <t>SB_1-02-04_ROM_1974-05-28_Riverside_etc.mp3</t>
  </si>
  <si>
    <t>https://audio.iskcondesiretree.com/01_-_Srila_Prabhupada/01_-_Lectures/01_-_English/02_-_Month_wise/05_-_May/28/SB_1-02-04_ROM_1974-05-28_Riverside_etc.mp3</t>
  </si>
  <si>
    <t>Walk_1974-05-28_MW-ROME.MP3</t>
  </si>
  <si>
    <t>https://audio.iskcondesiretree.com/01_-_Srila_Prabhupada/01_-_Lectures/01_-_English/02_-_Month_wise/05_-_May/28/Walk_1974-05-28_MW-ROME.MP3</t>
  </si>
  <si>
    <t>Walk_1974-05-29_MW-ROME.MP3</t>
  </si>
  <si>
    <t>https://audio.iskcondesiretree.com/01_-_Srila_Prabhupada/01_-_Lectures/01_-_English/02_-_Month_wise/05_-_May/29/Walk_1974-05-29_MW-ROME.MP3</t>
  </si>
  <si>
    <t>SP_Morning_Walk_-_Geneva_1974-05-30_Free_to_Enjoy.mp3</t>
  </si>
  <si>
    <t>https://audio.iskcondesiretree.com/01_-_Srila_Prabhupada/01_-_Lectures/01_-_English/01_-_Topic_wise/Morning_Walk/SP_Morning_Walk_-_Geneva_1974-05-30_Free_to_Enjoy.mp3</t>
  </si>
  <si>
    <t>SP_Morning_Walk_-_Rome_1974-05-30.mp3</t>
  </si>
  <si>
    <t>https://audio.iskcondesiretree.com/01_-_Srila_Prabhupada/01_-_Lectures/01_-_English/01_-_Topic_wise/Morning_Walk/SP_Morning_Walk_-_Rome_1974-05-30.mp3</t>
  </si>
  <si>
    <t>SP_Lecture_Geneva_1974-05-30_I_See_the_Spirit_Soul.mp3</t>
  </si>
  <si>
    <t>https://audio.iskcondesiretree.com/01_-_Srila_Prabhupada/01_-_Lectures/01_-_English/01_-_Topic_wise/Various/SP_Lecture_Geneva_1974-05-30_I_See_the_Spirit_Soul.mp3</t>
  </si>
  <si>
    <t>Lect_GEN_1974-05-30_I_See_the_Spirit_Soul.mp3</t>
  </si>
  <si>
    <t>https://audio.iskcondesiretree.com/01_-_Srila_Prabhupada/01_-_Lectures/01_-_English/02_-_Month_wise/05_-_May/30/Lect_GEN_1974-05-30_I_See_the_Spirit_Soul.mp3</t>
  </si>
  <si>
    <t>MW_GEN_1974-05-30_Free_to_Enjoy.mp3</t>
  </si>
  <si>
    <t>https://audio.iskcondesiretree.com/01_-_Srila_Prabhupada/01_-_Lectures/01_-_English/02_-_Month_wise/05_-_May/30/MW_GEN_1974-05-30_Free_to_Enjoy.mp3</t>
  </si>
  <si>
    <t>Reception_1974-05-30_AR-GENEVA.MP3</t>
  </si>
  <si>
    <t>https://audio.iskcondesiretree.com/01_-_Srila_Prabhupada/01_-_Lectures/01_-_English/02_-_Month_wise/05_-_May/30/Reception_1974-05-30_AR-GENEVA.MP3</t>
  </si>
  <si>
    <t>Walk_1974-05-30_MW-ROME.MP3</t>
  </si>
  <si>
    <t>https://audio.iskcondesiretree.com/01_-_Srila_Prabhupada/01_-_Lectures/01_-_English/02_-_Month_wise/05_-_May/30/Walk_1974-05-30_MW-ROME.MP3</t>
  </si>
  <si>
    <t>SP_BG_04-10_Geneva_1974-05-31.mp3</t>
  </si>
  <si>
    <t>https://audio.iskcondesiretree.com/01_-_Srila_Prabhupada/01_-_Lectures/01_-_English/01_-_Topic_wise/Bhagavad_Gita/Chapter-04/SP_BG_04-10_Geneva_1974-05-31.mp3</t>
  </si>
  <si>
    <t>SP_Room_Conversation_Geneva_1974-05-31_Hatha-yoga_Teacher--Submission--etc.mp3</t>
  </si>
  <si>
    <t>https://audio.iskcondesiretree.com/01_-_Srila_Prabhupada/01_-_Lectures/01_-_English/01_-_Topic_wise/Room_Conversation/SP_Room_Conversation_Geneva_1974-05-31_Hatha-yoga_Teacher--Submission--etc.mp3</t>
  </si>
  <si>
    <t>SP_Room_Conversation_Geneva_1974-05-31_UN_International_Labor--etc.mp3</t>
  </si>
  <si>
    <t>https://audio.iskcondesiretree.com/01_-_Srila_Prabhupada/01_-_Lectures/01_-_English/01_-_Topic_wise/Room_Conversation/SP_Room_Conversation_Geneva_1974-05-31_UN_International_Labor--etc.mp3</t>
  </si>
  <si>
    <t>SP_SB_1-07-06_Geneva_1974-05-31_All_Problems_Are_Illusion.mp3</t>
  </si>
  <si>
    <t>https://audio.iskcondesiretree.com/01_-_Srila_Prabhupada/01_-_Lectures/01_-_English/01_-_Topic_wise/Srimad_Bhagavatam/Canto-01/SP_SB_1-07-06_Geneva_1974-05-31_All_Problems_Are_Illusion.mp3</t>
  </si>
  <si>
    <t>Bg-04-10_1974-05-31_BG-GENEVA.MP3</t>
  </si>
  <si>
    <t>https://audio.iskcondesiretree.com/01_-_Srila_Prabhupada/01_-_Lectures/01_-_English/02_-_Month_wise/05_-_May/31/Bg-04-10_1974-05-31_BG-GENEVA.MP3</t>
  </si>
  <si>
    <t>Conv_1974-05-31_R1-GENEVA.MP3</t>
  </si>
  <si>
    <t>https://audio.iskcondesiretree.com/01_-_Srila_Prabhupada/01_-_Lectures/01_-_English/02_-_Month_wise/05_-_May/31/Conv_1974-05-31_R1-GENEVA.MP3</t>
  </si>
  <si>
    <t>Conv_1974-05-31_R2-GENEVA.MP3</t>
  </si>
  <si>
    <t>https://audio.iskcondesiretree.com/01_-_Srila_Prabhupada/01_-_Lectures/01_-_English/02_-_Month_wise/05_-_May/31/Conv_1974-05-31_R2-GENEVA.MP3</t>
  </si>
  <si>
    <t>RC_GEN_1974-05-31_Hatha-yoga_Teacher_Submission_etc.mp3</t>
  </si>
  <si>
    <t>https://audio.iskcondesiretree.com/01_-_Srila_Prabhupada/01_-_Lectures/01_-_English/02_-_Month_wise/05_-_May/31/RC_GEN_1974-05-31_Hatha-yoga_Teacher_Submission_etc.mp3</t>
  </si>
  <si>
    <t>RC_GEN_1974-05-31_U.N_International_Labor_etc.mp3</t>
  </si>
  <si>
    <t>https://audio.iskcondesiretree.com/01_-_Srila_Prabhupada/01_-_Lectures/01_-_English/02_-_Month_wise/05_-_May/31/RC_GEN_1974-05-31_U.N_International_Labor_etc.mp3</t>
  </si>
  <si>
    <t>SB-01-07-06_1974-05-31_SB-GENEVA.MP3</t>
  </si>
  <si>
    <t>https://audio.iskcondesiretree.com/01_-_Srila_Prabhupada/01_-_Lectures/01_-_English/02_-_Month_wise/05_-_May/31/SB-01-07-06_1974-05-31_SB-GENEVA.MP3</t>
  </si>
  <si>
    <t>SB_1-07-06_GEN_1974-05-31_All_Problems_Are_Illusion.mp3</t>
  </si>
  <si>
    <t>https://audio.iskcondesiretree.com/01_-_Srila_Prabhupada/01_-_Lectures/01_-_English/02_-_Month_wise/05_-_May/31/SB_1-07-06_GEN_1974-05-31_All_Problems_Are_Illusion.mp3</t>
  </si>
  <si>
    <t>SP_BG_04-11_Geneva_1974-06-01_We_Are_Naturally_Jubilant.mp3</t>
  </si>
  <si>
    <t>https://audio.iskcondesiretree.com/01_-_Srila_Prabhupada/01_-_Lectures/01_-_English/01_-_Topic_wise/Bhagavad_Gita/Chapter-04/SP_BG_04-11_Geneva_1974-06-01_We_Are_Naturally_Jubilant.mp3</t>
  </si>
  <si>
    <t>SP_Morning_Walk_-_Geneva_1974-06-01.mp3</t>
  </si>
  <si>
    <t>https://audio.iskcondesiretree.com/01_-_Srila_Prabhupada/01_-_Lectures/01_-_English/01_-_Topic_wise/Morning_Walk/SP_Morning_Walk_-_Geneva_1974-06-01.mp3</t>
  </si>
  <si>
    <t>SP_SB_1-13-10_Geneva_1974-06-01_Make_Your_Heart_a_Place_of_Pilgrimage.mp3</t>
  </si>
  <si>
    <t>https://audio.iskcondesiretree.com/01_-_Srila_Prabhupada/01_-_Lectures/01_-_English/01_-_Topic_wise/Srimad_Bhagavatam/Canto-01/SP_SB_1-13-10_Geneva_1974-06-01_Make_Your_Heart_a_Place_of_Pilgrimage.mp3</t>
  </si>
  <si>
    <t>Bg-04-11_1974-06-01_BG-GENEVA.MP3</t>
  </si>
  <si>
    <t>https://audio.iskcondesiretree.com/01_-_Srila_Prabhupada/01_-_Lectures/01_-_English/02_-_Month_wise/06_-_June/01/Bg-04-11_1974-06-01_BG-GENEVA.MP3</t>
  </si>
  <si>
    <t>Bg_04-11_GEN_1974-06-01_We_Are_Naturally_Jubilant.mp3</t>
  </si>
  <si>
    <t>https://audio.iskcondesiretree.com/01_-_Srila_Prabhupada/01_-_Lectures/01_-_English/02_-_Month_wise/06_-_June/01/Bg_04-11_GEN_1974-06-01_We_Are_Naturally_Jubilant.mp3</t>
  </si>
  <si>
    <t>SB-01-13-10_1974-06-01_SB-GENEVA.MP3</t>
  </si>
  <si>
    <t>https://audio.iskcondesiretree.com/01_-_Srila_Prabhupada/01_-_Lectures/01_-_English/02_-_Month_wise/06_-_June/01/SB-01-13-10_1974-06-01_SB-GENEVA.MP3</t>
  </si>
  <si>
    <t>SB_1-13-10_GEN_1974-06-01_Make_Your_Heart_a_Place_of_Pilgrimage.mp3</t>
  </si>
  <si>
    <t>https://audio.iskcondesiretree.com/01_-_Srila_Prabhupada/01_-_Lectures/01_-_English/02_-_Month_wise/06_-_June/01/SB_1-13-10_GEN_1974-06-01_Make_Your_Heart_a_Place_of_Pilgrimage.mp3</t>
  </si>
  <si>
    <t>Walk_1974-06-01_MW-GENEVA.MP3</t>
  </si>
  <si>
    <t>https://audio.iskcondesiretree.com/01_-_Srila_Prabhupada/01_-_Lectures/01_-_English/02_-_Month_wise/06_-_June/01/Walk_1974-06-01_MW-GENEVA.MP3</t>
  </si>
  <si>
    <t>SP_Morning_Walk_-_Geneva_1974-06-02_Fighting_with_This_Maya.mp3</t>
  </si>
  <si>
    <t>https://audio.iskcondesiretree.com/01_-_Srila_Prabhupada/01_-_Lectures/01_-_English/01_-_Topic_wise/Morning_Walk/SP_Morning_Walk_-_Geneva_1974-06-02_Fighting_with_This_Maya.mp3</t>
  </si>
  <si>
    <t>SP_SB_1-13-11_Geneva_1974-06-02_Your_Qualification-Renouncing.mp3</t>
  </si>
  <si>
    <t>https://audio.iskcondesiretree.com/01_-_Srila_Prabhupada/01_-_Lectures/01_-_English/01_-_Topic_wise/Srimad_Bhagavatam/Canto-01/SP_SB_1-13-11_Geneva_1974-06-02_Your_Qualification-Renouncing.mp3</t>
  </si>
  <si>
    <t>MW_GEN_1974-06-02_Fighting_with_This_Maya.mp3</t>
  </si>
  <si>
    <t>https://audio.iskcondesiretree.com/01_-_Srila_Prabhupada/01_-_Lectures/01_-_English/02_-_Month_wise/06_-_June/02/MW_GEN_1974-06-02_Fighting_with_This_Maya.mp3</t>
  </si>
  <si>
    <t>SB-01-13-11_1974-06-02_SB-GENEVA.MP3</t>
  </si>
  <si>
    <t>https://audio.iskcondesiretree.com/01_-_Srila_Prabhupada/01_-_Lectures/01_-_English/02_-_Month_wise/06_-_June/02/SB-01-13-11_1974-06-02_SB-GENEVA.MP3</t>
  </si>
  <si>
    <t>SB_1-13-11_GEN_1974-06-02_Your_Qualification-Renouncing.mp3</t>
  </si>
  <si>
    <t>https://audio.iskcondesiretree.com/01_-_Srila_Prabhupada/01_-_Lectures/01_-_English/02_-_Month_wise/06_-_June/02/SB_1-13-11_GEN_1974-06-02_Your_Qualification-Renouncing.mp3</t>
  </si>
  <si>
    <t>Walk_1974-06-02_MW-GENEVA.MP3</t>
  </si>
  <si>
    <t>https://audio.iskcondesiretree.com/01_-_Srila_Prabhupada/01_-_Lectures/01_-_English/02_-_Month_wise/06_-_June/02/Walk_1974-06-02_MW-GENEVA.MP3</t>
  </si>
  <si>
    <t>SP_Morning_Walk_-_Geneva_1974-06-03.mp3</t>
  </si>
  <si>
    <t>https://audio.iskcondesiretree.com/01_-_Srila_Prabhupada/01_-_Lectures/01_-_English/01_-_Topic_wise/Morning_Walk/SP_Morning_Walk_-_Geneva_1974-06-03.mp3</t>
  </si>
  <si>
    <t>SP_SB_1-13-12_Geneva_1974-06-03_Dear_Words_for_Dormant_Hearts.mp3</t>
  </si>
  <si>
    <t>https://audio.iskcondesiretree.com/01_-_Srila_Prabhupada/01_-_Lectures/01_-_English/01_-_Topic_wise/Srimad_Bhagavatam/Canto-01/SP_SB_1-13-12_Geneva_1974-06-03_Dear_Words_for_Dormant_Hearts.mp3</t>
  </si>
  <si>
    <t>SB-01-13-12%E2%80%9314_1974-06-03_SB-GENEVA.MP3</t>
  </si>
  <si>
    <t>https://audio.iskcondesiretree.com/01_-_Srila_Prabhupada/01_-_Lectures/01_-_English/02_-_Month_wise/06_-_June/03/SB-01-13-12%E2%80%9314_1974-06-03_SB-GENEVA.MP3</t>
  </si>
  <si>
    <t>SB_1-13-12_GEN_1974-06-03_Dear_Words_for_Dormant_Hearts.mp3</t>
  </si>
  <si>
    <t>https://audio.iskcondesiretree.com/01_-_Srila_Prabhupada/01_-_Lectures/01_-_English/02_-_Month_wise/06_-_June/03/SB_1-13-12_GEN_1974-06-03_Dear_Words_for_Dormant_Hearts.mp3</t>
  </si>
  <si>
    <t>Walk_1974-06-03_MW-GENEVA.MP3</t>
  </si>
  <si>
    <t>https://audio.iskcondesiretree.com/01_-_Srila_Prabhupada/01_-_Lectures/01_-_English/02_-_Month_wise/06_-_June/03/Walk_1974-06-03_MW-GENEVA.MP3</t>
  </si>
  <si>
    <t>SP_Room_Conversation_Geneva_1974-06-04_Biochemist--Scientific_and_Spiritual-Unite.mp3</t>
  </si>
  <si>
    <t>https://audio.iskcondesiretree.com/01_-_Srila_Prabhupada/01_-_Lectures/01_-_English/01_-_Topic_wise/Room_Conversation/SP_Room_Conversation_Geneva_1974-06-04_Biochemist--Scientific_and_Spiritual-Unite.mp3</t>
  </si>
  <si>
    <t>SP_Room_Conversation_Geneva_1974-06-04_Prof_of_Sanskrit--Avatars_Come_to--etc.mp3</t>
  </si>
  <si>
    <t>https://audio.iskcondesiretree.com/01_-_Srila_Prabhupada/01_-_Lectures/01_-_English/01_-_Topic_wise/Room_Conversation/SP_Room_Conversation_Geneva_1974-06-04_Prof_of_Sanskrit--Avatars_Come_to--etc.mp3</t>
  </si>
  <si>
    <t>SP_SB_1-13-15_Geneva_1974-06-04_Why_One_GBC_Became_a_Sudra.mp3</t>
  </si>
  <si>
    <t>https://audio.iskcondesiretree.com/01_-_Srila_Prabhupada/01_-_Lectures/01_-_English/01_-_Topic_wise/Srimad_Bhagavatam/Canto-01/SP_SB_1-13-15_Geneva_1974-06-04_Why_One_GBC_Became_a_Sudra.mp3</t>
  </si>
  <si>
    <t>Conv_1974-06-04_R1-GENEVA.MP3</t>
  </si>
  <si>
    <t>https://audio.iskcondesiretree.com/01_-_Srila_Prabhupada/01_-_Lectures/01_-_English/02_-_Month_wise/06_-_June/04/Conv_1974-06-04_R1-GENEVA.MP3</t>
  </si>
  <si>
    <t>Conv_1974-06-04_R2-GENEVA.MP3</t>
  </si>
  <si>
    <t>https://audio.iskcondesiretree.com/01_-_Srila_Prabhupada/01_-_Lectures/01_-_English/02_-_Month_wise/06_-_June/04/Conv_1974-06-04_R2-GENEVA.MP3</t>
  </si>
  <si>
    <t>RC_GEN_1974-06-04_Biochemist-Scientific_and_Spiritual-Unite.mp3</t>
  </si>
  <si>
    <t>https://audio.iskcondesiretree.com/01_-_Srila_Prabhupada/01_-_Lectures/01_-_English/02_-_Month_wise/06_-_June/04/RC_GEN_1974-06-04_Biochemist-Scientific_and_Spiritual-Unite.mp3</t>
  </si>
  <si>
    <t>RC_GEN_1974-06-04_Prof_of_Sanskrit-Avatars_Come_to_etc.mp3</t>
  </si>
  <si>
    <t>https://audio.iskcondesiretree.com/01_-_Srila_Prabhupada/01_-_Lectures/01_-_English/02_-_Month_wise/06_-_June/04/RC_GEN_1974-06-04_Prof_of_Sanskrit-Avatars_Come_to_etc.mp3</t>
  </si>
  <si>
    <t>SB-01-13-15_1974-06-04_SB-GENEVA.MP3</t>
  </si>
  <si>
    <t>https://audio.iskcondesiretree.com/01_-_Srila_Prabhupada/01_-_Lectures/01_-_English/02_-_Month_wise/06_-_June/04/SB-01-13-15_1974-06-04_SB-GENEVA.MP3</t>
  </si>
  <si>
    <t>SB_1-13-15_GEN_1974-06-04_Why_One_GBC_Became_a_Sudra.mp3</t>
  </si>
  <si>
    <t>https://audio.iskcondesiretree.com/01_-_Srila_Prabhupada/01_-_Lectures/01_-_English/02_-_Month_wise/06_-_June/04/SB_1-13-15_GEN_1974-06-04_Why_One_GBC_Became_a_Sudra.mp3</t>
  </si>
  <si>
    <t>SP_Morning_Walk_-_Geneva_1974-06-05_Your_Position-Conditioned%21.mp3</t>
  </si>
  <si>
    <t>https://audio.iskcondesiretree.com/01_-_Srila_Prabhupada/01_-_Lectures/01_-_English/01_-_Topic_wise/Morning_Walk/SP_Morning_Walk_-_Geneva_1974-06-05_Your_Position-Conditioned%21.mp3</t>
  </si>
  <si>
    <t>SP_Room_Conversation_Geneva_1974-06-05_Nuclear_Physicist--Spiritual_Physics.mp3</t>
  </si>
  <si>
    <t>https://audio.iskcondesiretree.com/01_-_Srila_Prabhupada/01_-_Lectures/01_-_English/01_-_Topic_wise/Room_Conversation/SP_Room_Conversation_Geneva_1974-06-05_Nuclear_Physicist--Spiritual_Physics.mp3</t>
  </si>
  <si>
    <t>SP_Room_Conversation_Geneva_1974-06-05_Protestant_Leaders--Love_God_Love--etc.mp3</t>
  </si>
  <si>
    <t>https://audio.iskcondesiretree.com/01_-_Srila_Prabhupada/01_-_Lectures/01_-_English/01_-_Topic_wise/Room_Conversation/SP_Room_Conversation_Geneva_1974-06-05_Protestant_Leaders--Love_God_Love--etc.mp3</t>
  </si>
  <si>
    <t>Conv_1974-06-05_R1-GENEVA.MP3</t>
  </si>
  <si>
    <t>https://audio.iskcondesiretree.com/01_-_Srila_Prabhupada/01_-_Lectures/01_-_English/02_-_Month_wise/06_-_June/05/Conv_1974-06-05_R1-GENEVA.MP3</t>
  </si>
  <si>
    <t>Conv_1974-06-05_R2-GENEVA.MP3</t>
  </si>
  <si>
    <t>https://audio.iskcondesiretree.com/01_-_Srila_Prabhupada/01_-_Lectures/01_-_English/02_-_Month_wise/06_-_June/05/Conv_1974-06-05_R2-GENEVA.MP3</t>
  </si>
  <si>
    <t>MW_GEN_1974-06-05_Your_Position_Conditioned.mp3</t>
  </si>
  <si>
    <t>https://audio.iskcondesiretree.com/01_-_Srila_Prabhupada/01_-_Lectures/01_-_English/02_-_Month_wise/06_-_June/05/MW_GEN_1974-06-05_Your_Position_Conditioned.mp3</t>
  </si>
  <si>
    <t>RC_GEN_1974-06-05_Nuclear_Physicist_Spiritual_Physics.mp3</t>
  </si>
  <si>
    <t>https://audio.iskcondesiretree.com/01_-_Srila_Prabhupada/01_-_Lectures/01_-_English/02_-_Month_wise/06_-_June/05/RC_GEN_1974-06-05_Nuclear_Physicist_Spiritual_Physics.mp3</t>
  </si>
  <si>
    <t>RC_GEN_1974-06-05_Protestant_Leaders_Love_God_Love_etc.mp3</t>
  </si>
  <si>
    <t>https://audio.iskcondesiretree.com/01_-_Srila_Prabhupada/01_-_Lectures/01_-_English/02_-_Month_wise/06_-_June/05/RC_GEN_1974-06-05_Protestant_Leaders_Love_God_Love_etc.mp3</t>
  </si>
  <si>
    <t>Walk_1974-06-05_MW-GENEVA.MP3</t>
  </si>
  <si>
    <t>https://audio.iskcondesiretree.com/01_-_Srila_Prabhupada/01_-_Lectures/01_-_English/02_-_Month_wise/06_-_June/05/Walk_1974-06-05_MW-GENEVA.MP3</t>
  </si>
  <si>
    <t>SP_BG_13-35_Geneva_1974-06-06_Food_and_Freedom.mp3</t>
  </si>
  <si>
    <t>https://audio.iskcondesiretree.com/01_-_Srila_Prabhupada/01_-_Lectures/01_-_English/01_-_Topic_wise/Bhagavad_Gita/Chapter-13/SP_BG_13-35_Geneva_1974-06-06_Food_and_Freedom.mp3</t>
  </si>
  <si>
    <t>SP_Morning_Walk_-_Geneva_1974-06-06_One_Machine_Makes_100_Men_Unemployed.mp3</t>
  </si>
  <si>
    <t>https://audio.iskcondesiretree.com/01_-_Srila_Prabhupada/01_-_Lectures/01_-_English/01_-_Topic_wise/Morning_Walk/SP_Morning_Walk_-_Geneva_1974-06-06_One_Machine_Makes_100_Men_Unemployed.mp3</t>
  </si>
  <si>
    <t>SP_Lecture_Geneva_1974-06-06_To_World_Health--etc.mp3</t>
  </si>
  <si>
    <t>https://audio.iskcondesiretree.com/01_-_Srila_Prabhupada/01_-_Lectures/01_-_English/01_-_Topic_wise/Various/SP_Lecture_Geneva_1974-06-06_To_World_Health--etc.mp3</t>
  </si>
  <si>
    <t>Bg-13-35_1974-06-06_BG-GENEVA.MP3</t>
  </si>
  <si>
    <t>https://audio.iskcondesiretree.com/01_-_Srila_Prabhupada/01_-_Lectures/01_-_English/02_-_Month_wise/06_-_June/06/Bg-13-35_1974-06-06_BG-GENEVA.MP3</t>
  </si>
  <si>
    <t>Bg_13-35_GEN_1974-06-06_Food_and_Freedom.mp3</t>
  </si>
  <si>
    <t>https://audio.iskcondesiretree.com/01_-_Srila_Prabhupada/01_-_Lectures/01_-_English/02_-_Month_wise/06_-_June/06/Bg_13-35_GEN_1974-06-06_Food_and_Freedom.mp3</t>
  </si>
  <si>
    <t>Lect_GEN_1974-06-06_To_World_Health_etc.mp3</t>
  </si>
  <si>
    <t>https://audio.iskcondesiretree.com/01_-_Srila_Prabhupada/01_-_Lectures/01_-_English/02_-_Month_wise/06_-_June/06/Lect_GEN_1974-06-06_To_World_Health_etc.mp3</t>
  </si>
  <si>
    <t>Lecture_1974-06-06_LE-GENEVA.MP3</t>
  </si>
  <si>
    <t>https://audio.iskcondesiretree.com/01_-_Srila_Prabhupada/01_-_Lectures/01_-_English/02_-_Month_wise/06_-_June/06/Lecture_1974-06-06_LE-GENEVA.MP3</t>
  </si>
  <si>
    <t>MW_GEN_1974-06-06_One_Machine_Makes_100_Men_Unemployed.mp3</t>
  </si>
  <si>
    <t>https://audio.iskcondesiretree.com/01_-_Srila_Prabhupada/01_-_Lectures/01_-_English/02_-_Month_wise/06_-_June/06/MW_GEN_1974-06-06_One_Machine_Makes_100_Men_Unemployed.mp3</t>
  </si>
  <si>
    <t>Walk_1974-06-06_MW-GENEVA.MP3</t>
  </si>
  <si>
    <t>https://audio.iskcondesiretree.com/01_-_Srila_Prabhupada/01_-_Lectures/01_-_English/02_-_Month_wise/06_-_June/06/Walk_1974-06-06_MW-GENEVA.MP3</t>
  </si>
  <si>
    <t>SP_BG_08-01_Geneva_1974-06-07_Women_Should_Give_Birth_Soon.mp3</t>
  </si>
  <si>
    <t>https://audio.iskcondesiretree.com/01_-_Srila_Prabhupada/01_-_Lectures/01_-_English/01_-_Topic_wise/Bhagavad_Gita/Chapter-08/SP_BG_08-01_Geneva_1974-06-07_Women_Should_Give_Birth_Soon.mp3</t>
  </si>
  <si>
    <t>Bg-08-01_1974-06-07_BG-GENEVA.MP3</t>
  </si>
  <si>
    <t>https://audio.iskcondesiretree.com/01_-_Srila_Prabhupada/01_-_Lectures/01_-_English/02_-_Month_wise/06_-_June/07/Bg-08-01_1974-06-07_BG-GENEVA.MP3</t>
  </si>
  <si>
    <t>Bg_08-01_GEN_1974-06-07_Women_Should_Give_Birth_Soon.mp3</t>
  </si>
  <si>
    <t>https://audio.iskcondesiretree.com/01_-_Srila_Prabhupada/01_-_Lectures/01_-_English/02_-_Month_wise/06_-_June/07/Bg_08-01_GEN_1974-06-07_Women_Should_Give_Birth_Soon.mp3</t>
  </si>
  <si>
    <t>SP_Arrival_Paris_1974-06-08_Krishna_Means_the_Active_Principle--etc.mp3</t>
  </si>
  <si>
    <t>https://audio.iskcondesiretree.com/01_-_Srila_Prabhupada/01_-_Lectures/01_-_English/01_-_Topic_wise/Arrival_Address/SP_Arrival_Paris_1974-06-08_Krishna_Means_the_Active_Principle--etc.mp3</t>
  </si>
  <si>
    <t>SP_Morning_Walk_-_Geneva_1974-06-08_The_Meaning_of_Marriage.mp3</t>
  </si>
  <si>
    <t>https://audio.iskcondesiretree.com/01_-_Srila_Prabhupada/01_-_Lectures/01_-_English/01_-_Topic_wise/Morning_Walk/SP_Morning_Walk_-_Geneva_1974-06-08_The_Meaning_of_Marriage.mp3</t>
  </si>
  <si>
    <t>Arr_PAR_1974-06-08_Krishna_Means_the_Active_Principle_etc.mp3</t>
  </si>
  <si>
    <t>https://audio.iskcondesiretree.com/01_-_Srila_Prabhupada/01_-_Lectures/01_-_English/02_-_Month_wise/06_-_June/08/Arr_PAR_1974-06-08_Krishna_Means_the_Active_Principle_etc.mp3</t>
  </si>
  <si>
    <t>Arrival_1974-06-08_AR-PARIS.MP3</t>
  </si>
  <si>
    <t>https://audio.iskcondesiretree.com/01_-_Srila_Prabhupada/01_-_Lectures/01_-_English/02_-_Month_wise/06_-_June/08/Arrival_1974-06-08_AR-PARIS.MP3</t>
  </si>
  <si>
    <t>MW_GEN_1974-06-08_The_Meaning_of_Marriage.mp3</t>
  </si>
  <si>
    <t>https://audio.iskcondesiretree.com/01_-_Srila_Prabhupada/01_-_Lectures/01_-_English/02_-_Month_wise/06_-_June/08/MW_GEN_1974-06-08_The_Meaning_of_Marriage.mp3</t>
  </si>
  <si>
    <t>Walk_1974-06-08_MW-GENEVA.MP3</t>
  </si>
  <si>
    <t>https://audio.iskcondesiretree.com/01_-_Srila_Prabhupada/01_-_Lectures/01_-_English/02_-_Month_wise/06_-_June/08/Walk_1974-06-08_MW-GENEVA.MP3</t>
  </si>
  <si>
    <t>SP_Morning_Walk_-_Geneva_1974-06-09_Psychology_of_the_Human_Animal.mp3</t>
  </si>
  <si>
    <t>https://audio.iskcondesiretree.com/01_-_Srila_Prabhupada/01_-_Lectures/01_-_English/01_-_Topic_wise/Morning_Walk/SP_Morning_Walk_-_Geneva_1974-06-09_Psychology_of_the_Human_Animal.mp3</t>
  </si>
  <si>
    <t>SP_Room_Conversation_Paris_1974-06-09_How_to_Experience_the_Supreme.mp3</t>
  </si>
  <si>
    <t>https://audio.iskcondesiretree.com/01_-_Srila_Prabhupada/01_-_Lectures/01_-_English/01_-_Topic_wise/Room_Conversation/SP_Room_Conversation_Paris_1974-06-09_How_to_Experience_the_Supreme.mp3</t>
  </si>
  <si>
    <t>SP_SB_2-01-01_Paris_1974-06-09_Hankering_to_Hear_About_Krishna.mp3</t>
  </si>
  <si>
    <t>https://audio.iskcondesiretree.com/01_-_Srila_Prabhupada/01_-_Lectures/01_-_English/01_-_Topic_wise/Srimad_Bhagavatam/Canto-02/SP_SB_2-01-01_Paris_1974-06-09_Hankering_to_Hear_About_Krishna.mp3</t>
  </si>
  <si>
    <t>MW_GEN_1974-06-09_Psychology_of_the_Human_Animal.mp3</t>
  </si>
  <si>
    <t>https://audio.iskcondesiretree.com/01_-_Srila_Prabhupada/01_-_Lectures/01_-_English/02_-_Month_wise/06_-_June/09/MW_GEN_1974-06-09_Psychology_of_the_Human_Animal.mp3</t>
  </si>
  <si>
    <t>RC_PAR_1974-06-09_How_to_Experience_the_Supreme.mp3</t>
  </si>
  <si>
    <t>https://audio.iskcondesiretree.com/01_-_Srila_Prabhupada/01_-_Lectures/01_-_English/02_-_Month_wise/06_-_June/09/RC_PAR_1974-06-09_How_to_Experience_the_Supreme.mp3</t>
  </si>
  <si>
    <t>SB-02-01-01_1974-06-09_SB-PARIS.MP3</t>
  </si>
  <si>
    <t>https://audio.iskcondesiretree.com/01_-_Srila_Prabhupada/01_-_Lectures/01_-_English/02_-_Month_wise/06_-_June/09/SB-02-01-01_1974-06-09_SB-PARIS.MP3</t>
  </si>
  <si>
    <t>SB_2-01-01_PAR_1974-06-09_Hankering_to_Hear_About_Krishna.mp3</t>
  </si>
  <si>
    <t>https://audio.iskcondesiretree.com/01_-_Srila_Prabhupada/01_-_Lectures/01_-_English/02_-_Month_wise/06_-_June/09/SB_2-01-01_PAR_1974-06-09_Hankering_to_Hear_About_Krishna.mp3</t>
  </si>
  <si>
    <t>Walk_1974-06-09_MW-PARIS.MP3</t>
  </si>
  <si>
    <t>https://audio.iskcondesiretree.com/01_-_Srila_Prabhupada/01_-_Lectures/01_-_English/02_-_Month_wise/06_-_June/09/Walk_1974-06-09_MW-PARIS.MP3</t>
  </si>
  <si>
    <t>SP_Room_Conversation_01_Paris_1974-06-10.mp3</t>
  </si>
  <si>
    <t>https://audio.iskcondesiretree.com/01_-_Srila_Prabhupada/01_-_Lectures/01_-_English/01_-_Topic_wise/Room_Conversation/SP_Room_Conversation_01_Paris_1974-06-10.mp3</t>
  </si>
  <si>
    <t>Conv_1974-06-10_R1-PARIS.MP3</t>
  </si>
  <si>
    <t>https://audio.iskcondesiretree.com/01_-_Srila_Prabhupada/01_-_Lectures/01_-_English/02_-_Month_wise/06_-_June/10/Conv_1974-06-10_R1-PARIS.MP3</t>
  </si>
  <si>
    <t>SP_Morning_Walk_-_Paris_1974-06-11_Krishna-Background_of_Courage.mp3</t>
  </si>
  <si>
    <t>https://audio.iskcondesiretree.com/01_-_Srila_Prabhupada/01_-_Lectures/01_-_English/01_-_Topic_wise/Morning_Walk/SP_Morning_Walk_-_Paris_1974-06-11_Krishna-Background_of_Courage.mp3</t>
  </si>
  <si>
    <t>SP_Room_Conversation_Paris_1974-06-11_Let_Cows_Die_Naturally.mp3</t>
  </si>
  <si>
    <t>https://audio.iskcondesiretree.com/01_-_Srila_Prabhupada/01_-_Lectures/01_-_English/01_-_Topic_wise/Room_Conversation/SP_Room_Conversation_Paris_1974-06-11_Let_Cows_Die_Naturally.mp3</t>
  </si>
  <si>
    <t>SP_Room_Conversation_Paris_1974-06-11_Slaughterhouse_Civilization.mp3</t>
  </si>
  <si>
    <t>https://audio.iskcondesiretree.com/01_-_Srila_Prabhupada/01_-_Lectures/01_-_English/01_-_Topic_wise/Room_Conversation/SP_Room_Conversation_Paris_1974-06-11_Slaughterhouse_Civilization.mp3</t>
  </si>
  <si>
    <t>SP_SB_2-01-02_Paris_1974-06-11_From_One_Garbage_Body_to_Another.mp3</t>
  </si>
  <si>
    <t>https://audio.iskcondesiretree.com/01_-_Srila_Prabhupada/01_-_Lectures/01_-_English/01_-_Topic_wise/Srimad_Bhagavatam/Canto-02/SP_SB_2-01-02_Paris_1974-06-11_From_One_Garbage_Body_to_Another.mp3</t>
  </si>
  <si>
    <t>Conv_1974-06-11_R1-PARIS.MP3</t>
  </si>
  <si>
    <t>https://audio.iskcondesiretree.com/01_-_Srila_Prabhupada/01_-_Lectures/01_-_English/02_-_Month_wise/06_-_June/11/Conv_1974-06-11_R1-PARIS.MP3</t>
  </si>
  <si>
    <t>MW_PAR_1974-06-11_Krishna-Background_of_Courage.mp3</t>
  </si>
  <si>
    <t>https://audio.iskcondesiretree.com/01_-_Srila_Prabhupada/01_-_Lectures/01_-_English/02_-_Month_wise/06_-_June/11/MW_PAR_1974-06-11_Krishna-Background_of_Courage.mp3</t>
  </si>
  <si>
    <t>RC_PAR_1974-06-11_Let_Cows_Die_Naturally.mp3</t>
  </si>
  <si>
    <t>https://audio.iskcondesiretree.com/01_-_Srila_Prabhupada/01_-_Lectures/01_-_English/02_-_Month_wise/06_-_June/11/RC_PAR_1974-06-11_Let_Cows_Die_Naturally.mp3</t>
  </si>
  <si>
    <t>RC_PAR_1974-06-11_Slaughterhouse_Civilization.mp3</t>
  </si>
  <si>
    <t>https://audio.iskcondesiretree.com/01_-_Srila_Prabhupada/01_-_Lectures/01_-_English/02_-_Month_wise/06_-_June/11/RC_PAR_1974-06-11_Slaughterhouse_Civilization.mp3</t>
  </si>
  <si>
    <t>SB-02-01-02_1974-06-11_SB-PARIS.MP3</t>
  </si>
  <si>
    <t>https://audio.iskcondesiretree.com/01_-_Srila_Prabhupada/01_-_Lectures/01_-_English/02_-_Month_wise/06_-_June/11/SB-02-01-02_1974-06-11_SB-PARIS.MP3</t>
  </si>
  <si>
    <t>SB_2-01-02_PAR_1974-06-11_From_One_Garbage_Body_to_Another.mp3</t>
  </si>
  <si>
    <t>https://audio.iskcondesiretree.com/01_-_Srila_Prabhupada/01_-_Lectures/01_-_English/02_-_Month_wise/06_-_June/11/SB_2-01-02_PAR_1974-06-11_From_One_Garbage_Body_to_Another.mp3</t>
  </si>
  <si>
    <t>Walk_1974-06-11_MW-PARIS.MP3</t>
  </si>
  <si>
    <t>https://audio.iskcondesiretree.com/01_-_Srila_Prabhupada/01_-_Lectures/01_-_English/02_-_Month_wise/06_-_June/11/Walk_1974-06-11_MW-PARIS.MP3</t>
  </si>
  <si>
    <t>SP_Morning_Walk_-_Paris_1974-06-12_God_Is_Not_Dead-Your_Intelligence_Is_Dead.mp3</t>
  </si>
  <si>
    <t>https://audio.iskcondesiretree.com/01_-_Srila_Prabhupada/01_-_Lectures/01_-_English/01_-_Topic_wise/Morning_Walk/SP_Morning_Walk_-_Paris_1974-06-12_God_Is_Not_Dead-Your_Intelligence_Is_Dead.mp3</t>
  </si>
  <si>
    <t>SP_Room_Conversation_Paris_1974-06-12_Communist--etc.mp3</t>
  </si>
  <si>
    <t>https://audio.iskcondesiretree.com/01_-_Srila_Prabhupada/01_-_Lectures/01_-_English/01_-_Topic_wise/Room_Conversation/SP_Room_Conversation_Paris_1974-06-12_Communist--etc.mp3</t>
  </si>
  <si>
    <t>SP_Room_Conversation_Paris_1974-06-12_French_Poet--Flies_Want_to_Enjoy_the_Fire.mp3</t>
  </si>
  <si>
    <t>https://audio.iskcondesiretree.com/01_-_Srila_Prabhupada/01_-_Lectures/01_-_English/01_-_Topic_wise/Room_Conversation/SP_Room_Conversation_Paris_1974-06-12_French_Poet--Flies_Want_to_Enjoy_the_Fire.mp3</t>
  </si>
  <si>
    <t>SP_SB_2-01-03_Paris_1974-06-12_Not_Even_Napoleon_Was_Safe.mp3</t>
  </si>
  <si>
    <t>https://audio.iskcondesiretree.com/01_-_Srila_Prabhupada/01_-_Lectures/01_-_English/01_-_Topic_wise/Srimad_Bhagavatam/Canto-02/SP_SB_2-01-03_Paris_1974-06-12_Not_Even_Napoleon_Was_Safe.mp3</t>
  </si>
  <si>
    <t>SP_Car_Conversation_Paris_1974-06-12.mp3</t>
  </si>
  <si>
    <t>https://audio.iskcondesiretree.com/01_-_Srila_Prabhupada/01_-_Lectures/01_-_English/01_-_Topic_wise/Various/SP_Car_Conversation_Paris_1974-06-12.mp3</t>
  </si>
  <si>
    <t>Conv_1974-06-12_CR-PARIS.MP3</t>
  </si>
  <si>
    <t>https://audio.iskcondesiretree.com/01_-_Srila_Prabhupada/01_-_Lectures/01_-_English/02_-_Month_wise/06_-_June/12/Conv_1974-06-12_CR-PARIS.MP3</t>
  </si>
  <si>
    <t>Conv_1974-06-12_R1-PARIS.MP3</t>
  </si>
  <si>
    <t>https://audio.iskcondesiretree.com/01_-_Srila_Prabhupada/01_-_Lectures/01_-_English/02_-_Month_wise/06_-_June/12/Conv_1974-06-12_R1-PARIS.MP3</t>
  </si>
  <si>
    <t>Conv_1974-06-12_R2-PARIS.MP3</t>
  </si>
  <si>
    <t>https://audio.iskcondesiretree.com/01_-_Srila_Prabhupada/01_-_Lectures/01_-_English/02_-_Month_wise/06_-_June/12/Conv_1974-06-12_R2-PARIS.MP3</t>
  </si>
  <si>
    <t>MW_PAR_1974-06-12_God_Is_Not_Dead-Your_Intelligence_Is_Dead.mp3</t>
  </si>
  <si>
    <t>https://audio.iskcondesiretree.com/01_-_Srila_Prabhupada/01_-_Lectures/01_-_English/02_-_Month_wise/06_-_June/12/MW_PAR_1974-06-12_God_Is_Not_Dead-Your_Intelligence_Is_Dead.mp3</t>
  </si>
  <si>
    <t>RC_PAR_1974-06-12_Communist_etc.mp3</t>
  </si>
  <si>
    <t>https://audio.iskcondesiretree.com/01_-_Srila_Prabhupada/01_-_Lectures/01_-_English/02_-_Month_wise/06_-_June/12/RC_PAR_1974-06-12_Communist_etc.mp3</t>
  </si>
  <si>
    <t>RC_PAR_1974-06-12_French_Poet--Flies_Want_to_Enjoy_the_Fire.mp3</t>
  </si>
  <si>
    <t>https://audio.iskcondesiretree.com/01_-_Srila_Prabhupada/01_-_Lectures/01_-_English/02_-_Month_wise/06_-_June/12/RC_PAR_1974-06-12_French_Poet--Flies_Want_to_Enjoy_the_Fire.mp3</t>
  </si>
  <si>
    <t>SB-02-01-03_1974-06-12_SB-PARIS.MP3</t>
  </si>
  <si>
    <t>https://audio.iskcondesiretree.com/01_-_Srila_Prabhupada/01_-_Lectures/01_-_English/02_-_Month_wise/06_-_June/12/SB-02-01-03_1974-06-12_SB-PARIS.MP3</t>
  </si>
  <si>
    <t>SB_2-01-03_PAR_1974-06-12_Not_Even_Napoleon_Was_Safe.mp3</t>
  </si>
  <si>
    <t>https://audio.iskcondesiretree.com/01_-_Srila_Prabhupada/01_-_Lectures/01_-_English/02_-_Month_wise/06_-_June/12/SB_2-01-03_PAR_1974-06-12_Not_Even_Napoleon_Was_Safe.mp3</t>
  </si>
  <si>
    <t>Walk_1974-06-12_MW-PARIS.MP3</t>
  </si>
  <si>
    <t>https://audio.iskcondesiretree.com/01_-_Srila_Prabhupada/01_-_Lectures/01_-_English/02_-_Month_wise/06_-_June/12/Walk_1974-06-12_MW-PARIS.MP3</t>
  </si>
  <si>
    <t>SP_BG_07-01_Paris_1974-06-13_Serious_Ones_Will_Come_to--etc.mp3</t>
  </si>
  <si>
    <t>https://audio.iskcondesiretree.com/01_-_Srila_Prabhupada/01_-_Lectures/01_-_English/01_-_Topic_wise/Bhagavad_Gita/Chapter-07/SP_BG_07-01_Paris_1974-06-13_Serious_Ones_Will_Come_to--etc.mp3</t>
  </si>
  <si>
    <t>SP_Morning_Walk_-_Paris_1974-06-13_Maya-Everything_Belongs_to_Me.mp3</t>
  </si>
  <si>
    <t>https://audio.iskcondesiretree.com/01_-_Srila_Prabhupada/01_-_Lectures/01_-_English/01_-_Topic_wise/Morning_Walk/SP_Morning_Walk_-_Paris_1974-06-13_Maya-Everything_Belongs_to_Me.mp3</t>
  </si>
  <si>
    <t>SP_Room_Conversation_Paris_1974-06-13_Buddhist_Deshimaru--Zen_and_the--etc.mp3</t>
  </si>
  <si>
    <t>https://audio.iskcondesiretree.com/01_-_Srila_Prabhupada/01_-_Lectures/01_-_English/01_-_Topic_wise/Room_Conversation/SP_Room_Conversation_Paris_1974-06-13_Buddhist_Deshimaru--Zen_and_the--etc.mp3</t>
  </si>
  <si>
    <t>SP_Room_Conversation_Paris_1974-06-13_Russian_Orthodox_Church--Moral--etc.mp3</t>
  </si>
  <si>
    <t>https://audio.iskcondesiretree.com/01_-_Srila_Prabhupada/01_-_Lectures/01_-_English/01_-_Topic_wise/Room_Conversation/SP_Room_Conversation_Paris_1974-06-13_Russian_Orthodox_Church--Moral--etc.mp3</t>
  </si>
  <si>
    <t>SP_SB_2-01-05_Paris_1974-06-13_Hear_Chant_and_Be_Fearless.mp3</t>
  </si>
  <si>
    <t>https://audio.iskcondesiretree.com/01_-_Srila_Prabhupada/01_-_Lectures/01_-_English/01_-_Topic_wise/Srimad_Bhagavatam/Canto-02/SP_SB_2-01-05_Paris_1974-06-13_Hear_Chant_and_Be_Fearless.mp3</t>
  </si>
  <si>
    <t>Bg-07-01%E2%80%9303_1974-06-13_BG-PARIS.MP3</t>
  </si>
  <si>
    <t>https://audio.iskcondesiretree.com/01_-_Srila_Prabhupada/01_-_Lectures/01_-_English/02_-_Month_wise/06_-_June/13/Bg-07-01%E2%80%9303_1974-06-13_BG-PARIS.MP3</t>
  </si>
  <si>
    <t>Bg_07-01_PAR_1974-06-13_Serious_Ones_Will_Come_to_etc.mp3</t>
  </si>
  <si>
    <t>https://audio.iskcondesiretree.com/01_-_Srila_Prabhupada/01_-_Lectures/01_-_English/02_-_Month_wise/06_-_June/13/Bg_07-01_PAR_1974-06-13_Serious_Ones_Will_Come_to_etc.mp3</t>
  </si>
  <si>
    <t>Conv_1974-06-13_R1-PARIS.MP3</t>
  </si>
  <si>
    <t>https://audio.iskcondesiretree.com/01_-_Srila_Prabhupada/01_-_Lectures/01_-_English/02_-_Month_wise/06_-_June/13/Conv_1974-06-13_R1-PARIS.MP3</t>
  </si>
  <si>
    <t>Conv_1974-06-13_R2-PARIS.MP3</t>
  </si>
  <si>
    <t>https://audio.iskcondesiretree.com/01_-_Srila_Prabhupada/01_-_Lectures/01_-_English/02_-_Month_wise/06_-_June/13/Conv_1974-06-13_R2-PARIS.MP3</t>
  </si>
  <si>
    <t>MW_PAR_1974-06-13_Maya-Everything_Belongs_to_Me.mp3</t>
  </si>
  <si>
    <t>https://audio.iskcondesiretree.com/01_-_Srila_Prabhupada/01_-_Lectures/01_-_English/02_-_Month_wise/06_-_June/13/MW_PAR_1974-06-13_Maya-Everything_Belongs_to_Me.mp3</t>
  </si>
  <si>
    <t>RC_PAR_1974-06-13_Buddhist_Deshimaru_Zen_and_the_etc.mp3</t>
  </si>
  <si>
    <t>https://audio.iskcondesiretree.com/01_-_Srila_Prabhupada/01_-_Lectures/01_-_English/02_-_Month_wise/06_-_June/13/RC_PAR_1974-06-13_Buddhist_Deshimaru_Zen_and_the_etc.mp3</t>
  </si>
  <si>
    <t>RC_PAR_1974-06-13_Russian_Orthodox_Church_Moral_etc.mp3</t>
  </si>
  <si>
    <t>https://audio.iskcondesiretree.com/01_-_Srila_Prabhupada/01_-_Lectures/01_-_English/02_-_Month_wise/06_-_June/13/RC_PAR_1974-06-13_Russian_Orthodox_Church_Moral_etc.mp3</t>
  </si>
  <si>
    <t>SB-02-01-05_1974-06-13_SB-PARIS.MP3</t>
  </si>
  <si>
    <t>https://audio.iskcondesiretree.com/01_-_Srila_Prabhupada/01_-_Lectures/01_-_English/02_-_Month_wise/06_-_June/13/SB-02-01-05_1974-06-13_SB-PARIS.MP3</t>
  </si>
  <si>
    <t>SB_2-01-05_PAR_1974-06-13_Hear%2C_Chant_and_Be_Fearless.mp3</t>
  </si>
  <si>
    <t>https://audio.iskcondesiretree.com/01_-_Srila_Prabhupada/01_-_Lectures/01_-_English/02_-_Month_wise/06_-_June/13/SB_2-01-05_PAR_1974-06-13_Hear%2C_Chant_and_Be_Fearless.mp3</t>
  </si>
  <si>
    <t>Walk_1974-06-13_MW-PARIS.MP3</t>
  </si>
  <si>
    <t>https://audio.iskcondesiretree.com/01_-_Srila_Prabhupada/01_-_Lectures/01_-_English/02_-_Month_wise/06_-_June/13/Walk_1974-06-13_MW-PARIS.MP3</t>
  </si>
  <si>
    <t>SP_Morning_Walk_-_Paris_1974-06-14_The_Nonsectarian_Signboard.mp3</t>
  </si>
  <si>
    <t>https://audio.iskcondesiretree.com/01_-_Srila_Prabhupada/01_-_Lectures/01_-_English/01_-_Topic_wise/Morning_Walk/SP_Morning_Walk_-_Paris_1974-06-14_The_Nonsectarian_Signboard.mp3</t>
  </si>
  <si>
    <t>SP_Room_Conversation_Paris_1974-06-14_Prof--In_Every_Town_and_Village.mp3</t>
  </si>
  <si>
    <t>https://audio.iskcondesiretree.com/01_-_Srila_Prabhupada/01_-_Lectures/01_-_English/01_-_Topic_wise/Room_Conversation/SP_Room_Conversation_Paris_1974-06-14_Prof--In_Every_Town_and_Village.mp3</t>
  </si>
  <si>
    <t>SP_SB_2-01-06_Paris_1974-06-14_Do_You_Know_How_to_Die.mp3</t>
  </si>
  <si>
    <t>https://audio.iskcondesiretree.com/01_-_Srila_Prabhupada/01_-_Lectures/01_-_English/01_-_Topic_wise/Srimad_Bhagavatam/Canto-02/SP_SB_2-01-06_Paris_1974-06-14_Do_You_Know_How_to_Die.mp3</t>
  </si>
  <si>
    <t>Conv_1974-06-14_R1-PARIS.MP3</t>
  </si>
  <si>
    <t>https://audio.iskcondesiretree.com/01_-_Srila_Prabhupada/01_-_Lectures/01_-_English/02_-_Month_wise/06_-_June/14/Conv_1974-06-14_R1-PARIS.MP3</t>
  </si>
  <si>
    <t>Lecture_1974-06-14_LE-PARIS.MP3</t>
  </si>
  <si>
    <t>https://audio.iskcondesiretree.com/01_-_Srila_Prabhupada/01_-_Lectures/01_-_English/02_-_Month_wise/06_-_June/14/Lecture_1974-06-14_LE-PARIS.MP3</t>
  </si>
  <si>
    <t>MW_PAR_1974-06-14_The_Nonsectarian_Signboard.mp3</t>
  </si>
  <si>
    <t>https://audio.iskcondesiretree.com/01_-_Srila_Prabhupada/01_-_Lectures/01_-_English/02_-_Month_wise/06_-_June/14/MW_PAR_1974-06-14_The_Nonsectarian_Signboard.mp3</t>
  </si>
  <si>
    <t>RC_PAR_1974-06-14_Prof--In_Every_Town_and_Village.mp3</t>
  </si>
  <si>
    <t>https://audio.iskcondesiretree.com/01_-_Srila_Prabhupada/01_-_Lectures/01_-_English/02_-_Month_wise/06_-_June/14/RC_PAR_1974-06-14_Prof--In_Every_Town_and_Village.mp3</t>
  </si>
  <si>
    <t>SB-02-01-06_1974-06-14_SB-PARIS.MP3</t>
  </si>
  <si>
    <t>https://audio.iskcondesiretree.com/01_-_Srila_Prabhupada/01_-_Lectures/01_-_English/02_-_Month_wise/06_-_June/14/SB-02-01-06_1974-06-14_SB-PARIS.MP3</t>
  </si>
  <si>
    <t>SB_2-01-06_PAR_1974-06-14_Do_You_Know_How_to_Die.mp3</t>
  </si>
  <si>
    <t>https://audio.iskcondesiretree.com/01_-_Srila_Prabhupada/01_-_Lectures/01_-_English/02_-_Month_wise/06_-_June/14/SB_2-01-06_PAR_1974-06-14_Do_You_Know_How_to_Die.mp3</t>
  </si>
  <si>
    <t>Walk_1974-06-14_MW-PARIS.MP3</t>
  </si>
  <si>
    <t>https://audio.iskcondesiretree.com/01_-_Srila_Prabhupada/01_-_Lectures/01_-_English/02_-_Month_wise/06_-_June/14/Walk_1974-06-14_MW-PARIS.MP3</t>
  </si>
  <si>
    <t>SP_Room_Conversation_Paris_1974-06-15_About_Kali-yuga_In_the--etc.mp3</t>
  </si>
  <si>
    <t>https://audio.iskcondesiretree.com/01_-_Srila_Prabhupada/01_-_Lectures/01_-_English/01_-_Topic_wise/Room_Conversation/SP_Room_Conversation_Paris_1974-06-15_About_Kali-yuga_In_the--etc.mp3</t>
  </si>
  <si>
    <t>SP_Room_Conversation_Paris_1974-06-15_Buddhist--You_Cannot_Change_God.mp3</t>
  </si>
  <si>
    <t>https://audio.iskcondesiretree.com/01_-_Srila_Prabhupada/01_-_Lectures/01_-_English/01_-_Topic_wise/Room_Conversation/SP_Room_Conversation_Paris_1974-06-15_Buddhist--You_Cannot_Change_God.mp3</t>
  </si>
  <si>
    <t>SP_SB_2-01-07_Paris_1974-06-15_The_Topmost--etc.mp3</t>
  </si>
  <si>
    <t>https://audio.iskcondesiretree.com/01_-_Srila_Prabhupada/01_-_Lectures/01_-_English/01_-_Topic_wise/Srimad_Bhagavatam/Canto-02/SP_SB_2-01-07_Paris_1974-06-15_The_Topmost--etc.mp3</t>
  </si>
  <si>
    <t>Conv_1974-06-15_R1-PARIS.MP3</t>
  </si>
  <si>
    <t>https://audio.iskcondesiretree.com/01_-_Srila_Prabhupada/01_-_Lectures/01_-_English/02_-_Month_wise/06_-_June/15/Conv_1974-06-15_R1-PARIS.MP3</t>
  </si>
  <si>
    <t>Conv_1974-06-15_R2-PARIS.MP3</t>
  </si>
  <si>
    <t>https://audio.iskcondesiretree.com/01_-_Srila_Prabhupada/01_-_Lectures/01_-_English/02_-_Month_wise/06_-_June/15/Conv_1974-06-15_R2-PARIS.MP3</t>
  </si>
  <si>
    <t>RC_PAR_1974-06-15_About_Kali-yuga_In_the_etc.mp3</t>
  </si>
  <si>
    <t>https://audio.iskcondesiretree.com/01_-_Srila_Prabhupada/01_-_Lectures/01_-_English/02_-_Month_wise/06_-_June/15/RC_PAR_1974-06-15_About_Kali-yuga_In_the_etc.mp3</t>
  </si>
  <si>
    <t>RC_PAR_1974-06-15_Buddhist--You_Cannot_Change_God.mp3</t>
  </si>
  <si>
    <t>https://audio.iskcondesiretree.com/01_-_Srila_Prabhupada/01_-_Lectures/01_-_English/02_-_Month_wise/06_-_June/15/RC_PAR_1974-06-15_Buddhist--You_Cannot_Change_God.mp3</t>
  </si>
  <si>
    <t>SB-02-01-07_1974-06-15_SB-PARIS.MP3</t>
  </si>
  <si>
    <t>https://audio.iskcondesiretree.com/01_-_Srila_Prabhupada/01_-_Lectures/01_-_English/02_-_Month_wise/06_-_June/15/SB-02-01-07_1974-06-15_SB-PARIS.MP3</t>
  </si>
  <si>
    <t>SB_2-01-07_PAR_1974-06-15_The_Topmost_etc.mp3</t>
  </si>
  <si>
    <t>https://audio.iskcondesiretree.com/01_-_Srila_Prabhupada/01_-_Lectures/01_-_English/02_-_Month_wise/06_-_June/15/SB_2-01-07_PAR_1974-06-15_The_Topmost_etc.mp3</t>
  </si>
  <si>
    <t>SP_BG_02-01_Germany_1974-06-16_Who_Is_Krishna.mp3</t>
  </si>
  <si>
    <t>https://audio.iskcondesiretree.com/01_-_Srila_Prabhupada/01_-_Lectures/01_-_English/01_-_Topic_wise/Bhagavad_Gita/Chapter-02/SP_BG_02-01_Germany_1974-06-16_Who_Is_Krishna.mp3</t>
  </si>
  <si>
    <t>Bg-02-01%E2%80%9305_1974-06-16_BG-GERMANY.MP3</t>
  </si>
  <si>
    <t>https://audio.iskcondesiretree.com/01_-_Srila_Prabhupada/01_-_Lectures/01_-_English/02_-_Month_wise/06_-_June/16/Bg-02-01%E2%80%9305_1974-06-16_BG-GERMANY.MP3</t>
  </si>
  <si>
    <t>Bg_02-01_GER_1974-06-16_Who_Is_Krishna.mp3</t>
  </si>
  <si>
    <t>https://audio.iskcondesiretree.com/01_-_Srila_Prabhupada/01_-_Lectures/01_-_English/02_-_Month_wise/06_-_June/16/Bg_02-01_GER_1974-06-16_Who_Is_Krishna.mp3</t>
  </si>
  <si>
    <t>SP_Morning_Walk_-_Germany_1974-06-17_Fools%27_Paradise_Lost.mp3</t>
  </si>
  <si>
    <t>https://audio.iskcondesiretree.com/01_-_Srila_Prabhupada/01_-_Lectures/01_-_English/01_-_Topic_wise/Morning_Walk/SP_Morning_Walk_-_Germany_1974-06-17_Fools%27_Paradise_Lost.mp3</t>
  </si>
  <si>
    <t>SP_Room_Conversation_01_Germany_1974-06-17.mp3</t>
  </si>
  <si>
    <t>https://audio.iskcondesiretree.com/01_-_Srila_Prabhupada/01_-_Lectures/01_-_English/01_-_Topic_wise/Room_Conversation/SP_Room_Conversation_01_Germany_1974-06-17.mp3</t>
  </si>
  <si>
    <t>Conv_1974-06-17_R1-GERMANY.MP3</t>
  </si>
  <si>
    <t>https://audio.iskcondesiretree.com/01_-_Srila_Prabhupada/01_-_Lectures/01_-_English/02_-_Month_wise/06_-_June/17/Conv_1974-06-17_R1-GERMANY.MP3</t>
  </si>
  <si>
    <t>MW_GER_1974-06-17_Fools%27_Paradise_Lost.mp3</t>
  </si>
  <si>
    <t>https://audio.iskcondesiretree.com/01_-_Srila_Prabhupada/01_-_Lectures/01_-_English/02_-_Month_wise/06_-_June/17/MW_GER_1974-06-17_Fools%27_Paradise_Lost.mp3</t>
  </si>
  <si>
    <t>Walk_1974-06-17_MW-GERMANY.MP3</t>
  </si>
  <si>
    <t>https://audio.iskcondesiretree.com/01_-_Srila_Prabhupada/01_-_Lectures/01_-_English/02_-_Month_wise/06_-_June/17/Walk_1974-06-17_MW-GERMANY.MP3</t>
  </si>
  <si>
    <t>SP_BG_02-13_Germany_1974-06-18_We_Must_Surrender-God_or_Dog.mp3</t>
  </si>
  <si>
    <t>https://audio.iskcondesiretree.com/01_-_Srila_Prabhupada/01_-_Lectures/01_-_English/01_-_Topic_wise/Bhagavad_Gita/Chapter-02/SP_BG_02-13_Germany_1974-06-18_We_Must_Surrender-God_or_Dog.mp3</t>
  </si>
  <si>
    <t>Bg-02-13_1974-06-18_BG-GERMANY.MP3</t>
  </si>
  <si>
    <t>https://audio.iskcondesiretree.com/01_-_Srila_Prabhupada/01_-_Lectures/01_-_English/02_-_Month_wise/06_-_June/18/Bg-02-13_1974-06-18_BG-GERMANY.MP3</t>
  </si>
  <si>
    <t>Bg_02-13_GER_1974-06-18_We_Must_Surrender-God_or_Dog.mp3</t>
  </si>
  <si>
    <t>https://audio.iskcondesiretree.com/01_-_Srila_Prabhupada/01_-_Lectures/01_-_English/02_-_Month_wise/06_-_June/18/Bg_02-13_GER_1974-06-18_We_Must_Surrender-God_or_Dog.mp3</t>
  </si>
  <si>
    <t>SP_Morning_Walk_-_Paris_1974-06-19_People_Want_to_Banish_God.mp3</t>
  </si>
  <si>
    <t>https://audio.iskcondesiretree.com/01_-_Srila_Prabhupada/01_-_Lectures/01_-_English/01_-_Topic_wise/Morning_Walk/SP_Morning_Walk_-_Paris_1974-06-19_People_Want_to_Banish_God.mp3</t>
  </si>
  <si>
    <t>SP_Room_Conversation_Germany_1974-06-19_Prof_Durckheim_1--Outside_the--etc.mp3</t>
  </si>
  <si>
    <t>https://audio.iskcondesiretree.com/01_-_Srila_Prabhupada/01_-_Lectures/01_-_English/01_-_Topic_wise/Room_Conversation/SP_Room_Conversation_Germany_1974-06-19_Prof_Durckheim_1--Outside_the--etc.mp3</t>
  </si>
  <si>
    <t>SP_Room_Conversation_Germany_1974-06-19_Prof_Durckheim_2--Take_the_Name_of--etc.mp3</t>
  </si>
  <si>
    <t>https://audio.iskcondesiretree.com/01_-_Srila_Prabhupada/01_-_Lectures/01_-_English/01_-_Topic_wise/Room_Conversation/SP_Room_Conversation_Germany_1974-06-19_Prof_Durckheim_2--Take_the_Name_of--etc.mp3</t>
  </si>
  <si>
    <t>Conv_1974-06-19_R1-GERMANY.MP3</t>
  </si>
  <si>
    <t>https://audio.iskcondesiretree.com/01_-_Srila_Prabhupada/01_-_Lectures/01_-_English/02_-_Month_wise/06_-_June/19/Conv_1974-06-19_R1-GERMANY.MP3</t>
  </si>
  <si>
    <t>MW_PAR_1974-06-19_People_Want_to_Banish_God.mp3</t>
  </si>
  <si>
    <t>https://audio.iskcondesiretree.com/01_-_Srila_Prabhupada/01_-_Lectures/01_-_English/02_-_Month_wise/06_-_June/19/MW_PAR_1974-06-19_People_Want_to_Banish_God.mp3</t>
  </si>
  <si>
    <t>RC_GER_1974-06-19_Prof_Durckheim_1_Outside_the_etc.mp3</t>
  </si>
  <si>
    <t>https://audio.iskcondesiretree.com/01_-_Srila_Prabhupada/01_-_Lectures/01_-_English/02_-_Month_wise/06_-_June/19/RC_GER_1974-06-19_Prof_Durckheim_1_Outside_the_etc.mp3</t>
  </si>
  <si>
    <t>RC_GER_1974-06-19_Prof_Durckheim_2_Take_the_Name_of_etc.mp3</t>
  </si>
  <si>
    <t>https://audio.iskcondesiretree.com/01_-_Srila_Prabhupada/01_-_Lectures/01_-_English/02_-_Month_wise/06_-_June/19/RC_GER_1974-06-19_Prof_Durckheim_2_Take_the_Name_of_etc.mp3</t>
  </si>
  <si>
    <t>Walk_1974-06-19_MW-GERMANY.MP3</t>
  </si>
  <si>
    <t>https://audio.iskcondesiretree.com/01_-_Srila_Prabhupada/01_-_Lectures/01_-_English/02_-_Month_wise/06_-_June/19/Walk_1974-06-19_MW-GERMANY.MP3</t>
  </si>
  <si>
    <t>SP_Morning_Walk_-_Germany_1974-06-20_Different_Bodies_%C3%A2%E2%82%AC%E2%80%9C_Different_Bothers.mp3</t>
  </si>
  <si>
    <t>https://audio.iskcondesiretree.com/01_-_Srila_Prabhupada/01_-_Lectures/01_-_English/01_-_Topic_wise/Morning_Walk/SP_Morning_Walk_-_Germany_1974-06-20_Different_Bodies_%C3%A2%E2%82%AC%E2%80%9C_Different_Bothers.mp3</t>
  </si>
  <si>
    <t>SP_Morning_Walk_-_Germany_1974-06-20_Different_Bodies_%E2%80%93_Different_Bothers.mp3</t>
  </si>
  <si>
    <t>https://audio.iskcondesiretree.com/01_-_Srila_Prabhupada/01_-_Lectures/01_-_English/01_-_Topic_wise/Morning_Walk/SP_Morning_Walk_-_Germany_1974-06-20_Different_Bodies_%E2%80%93_Different_Bothers.mp3</t>
  </si>
  <si>
    <t>SP_Room_Conversation_01_Germany_1974-06-20.mp3</t>
  </si>
  <si>
    <t>https://audio.iskcondesiretree.com/01_-_Srila_Prabhupada/01_-_Lectures/01_-_English/01_-_Topic_wise/Room_Conversation/SP_Room_Conversation_01_Germany_1974-06-20.mp3</t>
  </si>
  <si>
    <t>Conv_1974-06-20_R1-GERMANY.MP3</t>
  </si>
  <si>
    <t>https://audio.iskcondesiretree.com/01_-_Srila_Prabhupada/01_-_Lectures/01_-_English/02_-_Month_wise/06_-_June/20/Conv_1974-06-20_R1-GERMANY.MP3</t>
  </si>
  <si>
    <t>MW_GER_1974-06-20_Different_Bodies_Different_Bothers.mp3</t>
  </si>
  <si>
    <t>https://audio.iskcondesiretree.com/01_-_Srila_Prabhupada/01_-_Lectures/01_-_English/02_-_Month_wise/06_-_June/20/MW_GER_1974-06-20_Different_Bodies_Different_Bothers.mp3</t>
  </si>
  <si>
    <t>Walk_1974-06-20_MW-GERMANY.MP3</t>
  </si>
  <si>
    <t>https://audio.iskcondesiretree.com/01_-_Srila_Prabhupada/01_-_Lectures/01_-_English/02_-_Month_wise/06_-_June/20/Walk_1974-06-20_MW-GERMANY.MP3</t>
  </si>
  <si>
    <t>SP_BG_02-14_Germany_1974-06-21_Our_Real_Business.mp3</t>
  </si>
  <si>
    <t>https://audio.iskcondesiretree.com/01_-_Srila_Prabhupada/01_-_Lectures/01_-_English/01_-_Topic_wise/Bhagavad_Gita/Chapter-02/SP_BG_02-14_Germany_1974-06-21_Our_Real_Business.mp3</t>
  </si>
  <si>
    <t>SP_Morning_Walk_-_Germany_1974-06-21_With_Prof--etc.mp3</t>
  </si>
  <si>
    <t>https://audio.iskcondesiretree.com/01_-_Srila_Prabhupada/01_-_Lectures/01_-_English/01_-_Topic_wise/Morning_Walk/SP_Morning_Walk_-_Germany_1974-06-21_With_Prof--etc.mp3</t>
  </si>
  <si>
    <t>Bg_02-14_GER_1974-06-21_Our_Real_Business.mp3</t>
  </si>
  <si>
    <t>https://audio.iskcondesiretree.com/01_-_Srila_Prabhupada/01_-_Lectures/01_-_English/02_-_Month_wise/06_-_June/21/Bg_02-14_GER_1974-06-21_Our_Real_Business.mp3</t>
  </si>
  <si>
    <t>MW_GER_1974-06-21_With_Prof_etc.mp3</t>
  </si>
  <si>
    <t>https://audio.iskcondesiretree.com/01_-_Srila_Prabhupada/01_-_Lectures/01_-_English/02_-_Month_wise/06_-_June/21/MW_GER_1974-06-21_With_Prof_etc.mp3</t>
  </si>
  <si>
    <t>Walk_1974-06-21_MW-GERMANY.MP3</t>
  </si>
  <si>
    <t>https://audio.iskcondesiretree.com/01_-_Srila_Prabhupada/01_-_Lectures/01_-_English/02_-_Month_wise/06_-_June/21/Walk_1974-06-21_MW-GERMANY.MP3</t>
  </si>
  <si>
    <t>SP_BG_02-13_Germany_1974-06-22_Life_after_Death.mp3</t>
  </si>
  <si>
    <t>https://audio.iskcondesiretree.com/01_-_Srila_Prabhupada/01_-_Lectures/01_-_English/01_-_Topic_wise/Bhagavad_Gita/Chapter-02/SP_BG_02-13_Germany_1974-06-22_Life_after_Death.mp3</t>
  </si>
  <si>
    <t>SP_Morning_Walk_-_Germany_1974-06-22.mp3</t>
  </si>
  <si>
    <t>https://audio.iskcondesiretree.com/01_-_Srila_Prabhupada/01_-_Lectures/01_-_English/01_-_Topic_wise/Morning_Walk/SP_Morning_Walk_-_Germany_1974-06-22.mp3</t>
  </si>
  <si>
    <t>SP_Room_Conversation_Germany_1974-06-22_Monk--Krishna%27s_Name_Accepted_by_Jesus.mp3</t>
  </si>
  <si>
    <t>https://audio.iskcondesiretree.com/01_-_Srila_Prabhupada/01_-_Lectures/01_-_English/01_-_Topic_wise/Room_Conversation/SP_Room_Conversation_Germany_1974-06-22_Monk--Krishna%27s_Name_Accepted_by_Jesus.mp3</t>
  </si>
  <si>
    <t>SP_Lecture_Germany_1974-06-22_Krishna_Hears_Your_Mind.mp3</t>
  </si>
  <si>
    <t>https://audio.iskcondesiretree.com/01_-_Srila_Prabhupada/01_-_Lectures/01_-_English/01_-_Topic_wise/Various/SP_Lecture_Germany_1974-06-22_Krishna_Hears_Your_Mind.mp3</t>
  </si>
  <si>
    <t>Bg-02-13_1974-06-22_BG-GERMANY.MP3</t>
  </si>
  <si>
    <t>https://audio.iskcondesiretree.com/01_-_Srila_Prabhupada/01_-_Lectures/01_-_English/02_-_Month_wise/06_-_June/22/Bg-02-13_1974-06-22_BG-GERMANY.MP3</t>
  </si>
  <si>
    <t>Conv_1974-06-22_R1-GERMANY.MP3</t>
  </si>
  <si>
    <t>https://audio.iskcondesiretree.com/01_-_Srila_Prabhupada/01_-_Lectures/01_-_English/02_-_Month_wise/06_-_June/22/Conv_1974-06-22_R1-GERMANY.MP3</t>
  </si>
  <si>
    <t>Lect_GER_1974-06-22_Krishna_Hears_Your_Mind.mp3</t>
  </si>
  <si>
    <t>https://audio.iskcondesiretree.com/01_-_Srila_Prabhupada/01_-_Lectures/01_-_English/02_-_Month_wise/06_-_June/22/Lect_GER_1974-06-22_Krishna_Hears_Your_Mind.mp3</t>
  </si>
  <si>
    <t>RC_GER_1974-06-22_Monk--Krishna%27s_Name_Accepted_by_Jesus.mp3</t>
  </si>
  <si>
    <t>https://audio.iskcondesiretree.com/01_-_Srila_Prabhupada/01_-_Lectures/01_-_English/02_-_Month_wise/06_-_June/22/RC_GER_1974-06-22_Monk--Krishna%27s_Name_Accepted_by_Jesus.mp3</t>
  </si>
  <si>
    <t>Walk_1974-06-22_MW-GERMANY.MP3</t>
  </si>
  <si>
    <t>https://audio.iskcondesiretree.com/01_-_Srila_Prabhupada/01_-_Lectures/01_-_English/02_-_Month_wise/06_-_June/22/Walk_1974-06-22_MW-GERMANY.MP3</t>
  </si>
  <si>
    <t>SP_BG_02-14_Germany_1974-06-23.mp3</t>
  </si>
  <si>
    <t>https://audio.iskcondesiretree.com/01_-_Srila_Prabhupada/01_-_Lectures/01_-_English/01_-_Topic_wise/Bhagavad_Gita/Chapter-02/SP_BG_02-14_Germany_1974-06-23.mp3</t>
  </si>
  <si>
    <t>Bg-02-14_1974-06-23_BG-GERMANY.MP3</t>
  </si>
  <si>
    <t>https://audio.iskcondesiretree.com/01_-_Srila_Prabhupada/01_-_Lectures/01_-_English/02_-_Month_wise/06_-_June/23/Bg-02-14_1974-06-23_BG-GERMANY.MP3</t>
  </si>
  <si>
    <t>SP_BG_13-22_Melbourne_1974-06-25_Material_Enjoyment-More_Bodies.mp3</t>
  </si>
  <si>
    <t>https://audio.iskcondesiretree.com/01_-_Srila_Prabhupada/01_-_Lectures/01_-_English/01_-_Topic_wise/Bhagavad_Gita/Chapter-13/SP_BG_13-22_Melbourne_1974-06-25_Material_Enjoyment-More_Bodies.mp3</t>
  </si>
  <si>
    <t>Bg-13-22%E2%80%9324_1974-06-25_BG-MELBOURNE.MP3</t>
  </si>
  <si>
    <t>https://audio.iskcondesiretree.com/01_-_Srila_Prabhupada/01_-_Lectures/01_-_English/02_-_Month_wise/06_-_June/25/Bg-13-22%E2%80%9324_1974-06-25_BG-MELBOURNE.MP3</t>
  </si>
  <si>
    <t>Bg_13-22_MEL_1974-06-25_Material_Enjoyment-More_Bodies.mp3</t>
  </si>
  <si>
    <t>https://audio.iskcondesiretree.com/01_-_Srila_Prabhupada/01_-_Lectures/01_-_English/02_-_Month_wise/06_-_June/25/Bg_13-22_MEL_1974-06-25_Material_Enjoyment-More_Bodies.mp3</t>
  </si>
  <si>
    <t>SP_SB_2-01-04_Melbourne_1974-06-26_The_Right_Questions.mp3</t>
  </si>
  <si>
    <t>https://audio.iskcondesiretree.com/01_-_Srila_Prabhupada/01_-_Lectures/01_-_English/01_-_Topic_wise/Srimad_Bhagavatam/Canto-02/SP_SB_2-01-04_Melbourne_1974-06-26_The_Right_Questions.mp3</t>
  </si>
  <si>
    <t>SB-02-01-01-05_1974-06-26_SB-MELBOURNE.MP3</t>
  </si>
  <si>
    <t>https://audio.iskcondesiretree.com/01_-_Srila_Prabhupada/01_-_Lectures/01_-_English/02_-_Month_wise/06_-_June/26/SB-02-01-01-05_1974-06-26_SB-MELBOURNE.MP3</t>
  </si>
  <si>
    <t>SB_2-01-04_MEL_1974-06-26_The_Right_Questions.mp3</t>
  </si>
  <si>
    <t>https://audio.iskcondesiretree.com/01_-_Srila_Prabhupada/01_-_Lectures/01_-_English/02_-_Month_wise/06_-_June/26/SB_2-01-04_MEL_1974-06-26_The_Right_Questions.mp3</t>
  </si>
  <si>
    <t>SP_BG_03-27_Melbourne_1974-06-27_At_Town_Hall--Tiger_or--etc.mp3</t>
  </si>
  <si>
    <t>https://audio.iskcondesiretree.com/01_-_Srila_Prabhupada/01_-_Lectures/01_-_English/01_-_Topic_wise/Bhagavad_Gita/Chapter-03/SP_BG_03-27_Melbourne_1974-06-27_At_Town_Hall--Tiger_or--etc.mp3</t>
  </si>
  <si>
    <t>SP_Morning_Walk_-_Melbourne_1974-06-27.mp3</t>
  </si>
  <si>
    <t>https://audio.iskcondesiretree.com/01_-_Srila_Prabhupada/01_-_Lectures/01_-_English/01_-_Topic_wise/Morning_Walk/SP_Morning_Walk_-_Melbourne_1974-06-27.mp3</t>
  </si>
  <si>
    <t>Bg-03-27_1974-06-27_BG-MELBOURNE.MP3</t>
  </si>
  <si>
    <t>https://audio.iskcondesiretree.com/01_-_Srila_Prabhupada/01_-_Lectures/01_-_English/02_-_Month_wise/06_-_June/27/Bg-03-27_1974-06-27_BG-MELBOURNE.MP3</t>
  </si>
  <si>
    <t>Bg_03-27_MEL_1974-06-27_At_Town_Hall_Tiger_or_etc.mp3</t>
  </si>
  <si>
    <t>https://audio.iskcondesiretree.com/01_-_Srila_Prabhupada/01_-_Lectures/01_-_English/02_-_Month_wise/06_-_June/27/Bg_03-27_MEL_1974-06-27_At_Town_Hall_Tiger_or_etc.mp3</t>
  </si>
  <si>
    <t>Walk_1974-06-27_MW-MELBOURNE.MP3</t>
  </si>
  <si>
    <t>https://audio.iskcondesiretree.com/01_-_Srila_Prabhupada/01_-_Lectures/01_-_English/02_-_Month_wise/06_-_June/27/Walk_1974-06-27_MW-MELBOURNE.MP3</t>
  </si>
  <si>
    <t>SP_Room_Conversation_Melbourne_1974-06-28_Priest--Tests_for_Godliness.mp3</t>
  </si>
  <si>
    <t>https://audio.iskcondesiretree.com/01_-_Srila_Prabhupada/01_-_Lectures/01_-_English/01_-_Topic_wise/Room_Conversation/SP_Room_Conversation_Melbourne_1974-06-28_Priest--Tests_for_Godliness.mp3</t>
  </si>
  <si>
    <t>SP_Lecture_Melbourne_1974-06-28_At_Franciscan_Seminary--The_Human--etc.mp3</t>
  </si>
  <si>
    <t>https://audio.iskcondesiretree.com/01_-_Srila_Prabhupada/01_-_Lectures/01_-_English/01_-_Topic_wise/Various/SP_Lecture_Melbourne_1974-06-28_At_Franciscan_Seminary--The_Human--etc.mp3</t>
  </si>
  <si>
    <t>Conv_1974-06-28_R1-MELBOURNE.MP3</t>
  </si>
  <si>
    <t>https://audio.iskcondesiretree.com/01_-_Srila_Prabhupada/01_-_Lectures/01_-_English/02_-_Month_wise/06_-_June/28/Conv_1974-06-28_R1-MELBOURNE.MP3</t>
  </si>
  <si>
    <t>Lect_MEL_1974-06-28_At_Franciscan_Seminary-The_Human_etc.mp3</t>
  </si>
  <si>
    <t>https://audio.iskcondesiretree.com/01_-_Srila_Prabhupada/01_-_Lectures/01_-_English/02_-_Month_wise/06_-_June/28/Lect_MEL_1974-06-28_At_Franciscan_Seminary-The_Human_etc.mp3</t>
  </si>
  <si>
    <t>Lecture_1974-06-28_LE-MELBOURNE.MP3</t>
  </si>
  <si>
    <t>https://audio.iskcondesiretree.com/01_-_Srila_Prabhupada/01_-_Lectures/01_-_English/02_-_Month_wise/06_-_June/28/Lecture_1974-06-28_LE-MELBOURNE.MP3</t>
  </si>
  <si>
    <t>RC_MEL_1974-06-28_Priest--Tests_for_Godliness.mp3</t>
  </si>
  <si>
    <t>https://audio.iskcondesiretree.com/01_-_Srila_Prabhupada/01_-_Lectures/01_-_English/02_-_Month_wise/06_-_June/28/RC_MEL_1974-06-28_Priest--Tests_for_Godliness.mp3</t>
  </si>
  <si>
    <t>SP_BG_07-01_Melbourne_1974-06-29_Surrounded_by_Krishna_Atmosphere.mp3</t>
  </si>
  <si>
    <t>https://audio.iskcondesiretree.com/01_-_Srila_Prabhupada/01_-_Lectures/01_-_English/01_-_Topic_wise/Bhagavad_Gita/Chapter-07/SP_BG_07-01_Melbourne_1974-06-29_Surrounded_by_Krishna_Atmosphere.mp3</t>
  </si>
  <si>
    <t>SP_BG_09-01_Melbourne_1974-06-29_Chant_Dance_Eat_Prasadam..._Go_Home.mp3</t>
  </si>
  <si>
    <t>https://audio.iskcondesiretree.com/01_-_Srila_Prabhupada/01_-_Lectures/01_-_English/01_-_Topic_wise/Bhagavad_Gita/Chapter-09/SP_BG_09-01_Melbourne_1974-06-29_Chant_Dance_Eat_Prasadam..._Go_Home.mp3</t>
  </si>
  <si>
    <t>SP_Interview_Melbourne_1974-06-29_Press--Transcendental_Psychiatry.mp3</t>
  </si>
  <si>
    <t>https://audio.iskcondesiretree.com/01_-_Srila_Prabhupada/01_-_Lectures/01_-_English/01_-_Topic_wise/Interview/SP_Interview_Melbourne_1974-06-29_Press--Transcendental_Psychiatry.mp3</t>
  </si>
  <si>
    <t>SP_Morning_Walk_-_Melbourne_1974-06-29_Unlimitedly_Merciful_Lord.mp3</t>
  </si>
  <si>
    <t>https://audio.iskcondesiretree.com/01_-_Srila_Prabhupada/01_-_Lectures/01_-_English/01_-_Topic_wise/Morning_Walk/SP_Morning_Walk_-_Melbourne_1974-06-29_Unlimitedly_Merciful_Lord.mp3</t>
  </si>
  <si>
    <t>SP_Room_Conversation_Melbourne_1974-06-29_Bishop--Original_Sin--Original_Sanctity.mp3</t>
  </si>
  <si>
    <t>https://audio.iskcondesiretree.com/01_-_Srila_Prabhupada/01_-_Lectures/01_-_English/01_-_Topic_wise/Room_Conversation/SP_Room_Conversation_Melbourne_1974-06-29_Bishop--Original_Sin--Original_Sanctity.mp3</t>
  </si>
  <si>
    <t>SP_Room_Conversation_Melbourne_1974-06-29_Transcendental_Psychiatry.mp3</t>
  </si>
  <si>
    <t>https://audio.iskcondesiretree.com/01_-_Srila_Prabhupada/01_-_Lectures/01_-_English/01_-_Topic_wise/Room_Conversation/SP_Room_Conversation_Melbourne_1974-06-29_Transcendental_Psychiatry.mp3</t>
  </si>
  <si>
    <t>Bg-07-01_1974-06-29_BG-MELBOURNE.MP3</t>
  </si>
  <si>
    <t>https://audio.iskcondesiretree.com/01_-_Srila_Prabhupada/01_-_Lectures/01_-_English/02_-_Month_wise/06_-_June/29/Bg-07-01_1974-06-29_BG-MELBOURNE.MP3</t>
  </si>
  <si>
    <t>Bg_07-01_MEL_1974-06-29_Surrounded_by_Krishna_Atmosphere.mp3</t>
  </si>
  <si>
    <t>https://audio.iskcondesiretree.com/01_-_Srila_Prabhupada/01_-_Lectures/01_-_English/02_-_Month_wise/06_-_June/29/Bg_07-01_MEL_1974-06-29_Surrounded_by_Krishna_Atmosphere.mp3</t>
  </si>
  <si>
    <t>Bg_09-01_MEL_1974-06-29_Chant_Dance_Eat_Prasadam_Go_Home.mp3</t>
  </si>
  <si>
    <t>https://audio.iskcondesiretree.com/01_-_Srila_Prabhupada/01_-_Lectures/01_-_English/02_-_Month_wise/06_-_June/29/Bg_09-01_MEL_1974-06-29_Chant_Dance_Eat_Prasadam_Go_Home.mp3</t>
  </si>
  <si>
    <t>Conv_1974-06-29_R1-MELBOURNE.MP3</t>
  </si>
  <si>
    <t>https://audio.iskcondesiretree.com/01_-_Srila_Prabhupada/01_-_Lectures/01_-_English/02_-_Month_wise/06_-_June/29/Conv_1974-06-29_R1-MELBOURNE.MP3</t>
  </si>
  <si>
    <t>Conv_1974-06-29_R2-MELBOURNE.MP3</t>
  </si>
  <si>
    <t>https://audio.iskcondesiretree.com/01_-_Srila_Prabhupada/01_-_Lectures/01_-_English/02_-_Month_wise/06_-_June/29/Conv_1974-06-29_R2-MELBOURNE.MP3</t>
  </si>
  <si>
    <t>Interv_MEL_1974-06-29_Press-Transcendental_Psychiatry.mp3</t>
  </si>
  <si>
    <t>https://audio.iskcondesiretree.com/01_-_Srila_Prabhupada/01_-_Lectures/01_-_English/02_-_Month_wise/06_-_June/29/Interv_MEL_1974-06-29_Press-Transcendental_Psychiatry.mp3</t>
  </si>
  <si>
    <t>Interview_1974-06-29_IV-MELBOURNE.MP3</t>
  </si>
  <si>
    <t>https://audio.iskcondesiretree.com/01_-_Srila_Prabhupada/01_-_Lectures/01_-_English/02_-_Month_wise/06_-_June/29/Interview_1974-06-29_IV-MELBOURNE.MP3</t>
  </si>
  <si>
    <t>MW_MEL_1974-06-29_Unlimitedly_Merciful_Lord.mp3</t>
  </si>
  <si>
    <t>https://audio.iskcondesiretree.com/01_-_Srila_Prabhupada/01_-_Lectures/01_-_English/02_-_Month_wise/06_-_June/29/MW_MEL_1974-06-29_Unlimitedly_Merciful_Lord.mp3</t>
  </si>
  <si>
    <t>RC_MEL_1974-06-29_Bishop-Original_Sin-Original_Sanctity.mp3</t>
  </si>
  <si>
    <t>https://audio.iskcondesiretree.com/01_-_Srila_Prabhupada/01_-_Lectures/01_-_English/02_-_Month_wise/06_-_June/29/RC_MEL_1974-06-29_Bishop-Original_Sin-Original_Sanctity.mp3</t>
  </si>
  <si>
    <t>RC_MEL_1974-06-29_Transcendental_Psychiatry.mp3</t>
  </si>
  <si>
    <t>https://audio.iskcondesiretree.com/01_-_Srila_Prabhupada/01_-_Lectures/01_-_English/02_-_Month_wise/06_-_June/29/RC_MEL_1974-06-29_Transcendental_Psychiatry.mp3</t>
  </si>
  <si>
    <t>Walk_1974-06-29_MW-MELBOURNE.MP3</t>
  </si>
  <si>
    <t>https://audio.iskcondesiretree.com/01_-_Srila_Prabhupada/01_-_Lectures/01_-_English/02_-_Month_wise/06_-_June/29/Walk_1974-06-29_MW-MELBOURNE.MP3</t>
  </si>
  <si>
    <t>SP_BG_09-01-02_Melbourne_1974-06-30.mp3</t>
  </si>
  <si>
    <t>https://audio.iskcondesiretree.com/01_-_Srila_Prabhupada/01_-_Lectures/01_-_English/01_-_Topic_wise/Bhagavad_Gita/Chapter-09/SP_BG_09-01-02_Melbourne_1974-06-30.mp3</t>
  </si>
  <si>
    <t>Bg-09-01%E2%80%9302_1974-06-30_BG-MELBOURNE.MP3</t>
  </si>
  <si>
    <t>https://audio.iskcondesiretree.com/01_-_Srila_Prabhupada/01_-_Lectures/01_-_English/02_-_Month_wise/06_-_June/30/Bg-09-01%E2%80%9302_1974-06-30_BG-MELBOURNE.MP3</t>
  </si>
  <si>
    <t>SP_Room_Conversation_Melbourne_1974-07-01_Bhurijana_and_Others--Cooking_Smoke--etc.mp3</t>
  </si>
  <si>
    <t>https://audio.iskcondesiretree.com/01_-_Srila_Prabhupada/01_-_Lectures/01_-_English/01_-_Topic_wise/Room_Conversation/SP_Room_Conversation_Melbourne_1974-07-01_Bhurijana_and_Others--Cooking_Smoke--etc.mp3</t>
  </si>
  <si>
    <t>SP_Lecture_Initiation_Ceremony_Melbourne_1974-07-01.mp3</t>
  </si>
  <si>
    <t>https://audio.iskcondesiretree.com/01_-_Srila_Prabhupada/01_-_Lectures/01_-_English/01_-_Topic_wise/Various/SP_Lecture_Initiation_Ceremony_Melbourne_1974-07-01.mp3</t>
  </si>
  <si>
    <t>SP_Lecture_Melbourne_1974-07-01_To_Students--Talking_to_a_Trashy_Audience.mp3</t>
  </si>
  <si>
    <t>https://audio.iskcondesiretree.com/01_-_Srila_Prabhupada/01_-_Lectures/01_-_English/01_-_Topic_wise/Various/SP_Lecture_Melbourne_1974-07-01_To_Students--Talking_to_a_Trashy_Audience.mp3</t>
  </si>
  <si>
    <t>Initiations_1974-07-01_IN-MELBOURNE.MP3</t>
  </si>
  <si>
    <t>https://audio.iskcondesiretree.com/01_-_Srila_Prabhupada/01_-_Lectures/01_-_English/02_-_Month_wise/07_-_July/01/Initiations_1974-07-01_IN-MELBOURNE.MP3</t>
  </si>
  <si>
    <t>Lect_MEL_1974-07-01_To_Students-Talking_to_a_Trashy_Audience.mp3</t>
  </si>
  <si>
    <t>https://audio.iskcondesiretree.com/01_-_Srila_Prabhupada/01_-_Lectures/01_-_English/02_-_Month_wise/07_-_July/01/Lect_MEL_1974-07-01_To_Students-Talking_to_a_Trashy_Audience.mp3</t>
  </si>
  <si>
    <t>Lecture_1974-07-01_LE-MELBOURNE.MP3</t>
  </si>
  <si>
    <t>https://audio.iskcondesiretree.com/01_-_Srila_Prabhupada/01_-_Lectures/01_-_English/02_-_Month_wise/07_-_July/01/Lecture_1974-07-01_LE-MELBOURNE.MP3</t>
  </si>
  <si>
    <t>RC_MEL_1974-07-01_Bhurijana_and_Others-Cooking_Smoke_etc.mp3</t>
  </si>
  <si>
    <t>https://audio.iskcondesiretree.com/01_-_Srila_Prabhupada/01_-_Lectures/01_-_English/02_-_Month_wise/07_-_July/01/RC_MEL_1974-07-01_Bhurijana_and_Others-Cooking_Smoke_etc.mp3</t>
  </si>
  <si>
    <t>SP_Room_Conversation_Melbourne_1974-07-02_Scientists--Scientist_Who_Made_Your_Brain.mp3</t>
  </si>
  <si>
    <t>https://audio.iskcondesiretree.com/01_-_Srila_Prabhupada/01_-_Lectures/01_-_English/01_-_Topic_wise/Room_Conversation/SP_Room_Conversation_Melbourne_1974-07-02_Scientists--Scientist_Who_Made_Your_Brain.mp3</t>
  </si>
  <si>
    <t>SP_Room_Conversation_Melbourne_1974-07-02_World_Wars_I_and_II--Caused_by--etc.mp3</t>
  </si>
  <si>
    <t>https://audio.iskcondesiretree.com/01_-_Srila_Prabhupada/01_-_Lectures/01_-_English/01_-_Topic_wise/Room_Conversation/SP_Room_Conversation_Melbourne_1974-07-02_World_Wars_I_and_II--Caused_by--etc.mp3</t>
  </si>
  <si>
    <t>Bg-16-07%E2%80%9323_1974-07-02_R2-MELBOURNE.MP3</t>
  </si>
  <si>
    <t>https://audio.iskcondesiretree.com/01_-_Srila_Prabhupada/01_-_Lectures/01_-_English/02_-_Month_wise/07_-_July/02/Bg-16-07%E2%80%9323_1974-07-02_R2-MELBOURNE.MP3</t>
  </si>
  <si>
    <t>Conv_1974-07-02_R1-MELBOURNE.MP3</t>
  </si>
  <si>
    <t>https://audio.iskcondesiretree.com/01_-_Srila_Prabhupada/01_-_Lectures/01_-_English/02_-_Month_wise/07_-_July/02/Conv_1974-07-02_R1-MELBOURNE.MP3</t>
  </si>
  <si>
    <t>Conv_1974-07-02_R2-MELBOURNE.MP3</t>
  </si>
  <si>
    <t>https://audio.iskcondesiretree.com/01_-_Srila_Prabhupada/01_-_Lectures/01_-_English/02_-_Month_wise/07_-_July/02/Conv_1974-07-02_R2-MELBOURNE.MP3</t>
  </si>
  <si>
    <t>RC_MEL_1974-07-02_Scientists--Scientist_Who_Made_Your_Brain.mp3</t>
  </si>
  <si>
    <t>https://audio.iskcondesiretree.com/01_-_Srila_Prabhupada/01_-_Lectures/01_-_English/02_-_Month_wise/07_-_July/02/RC_MEL_1974-07-02_Scientists--Scientist_Who_Made_Your_Brain.mp3</t>
  </si>
  <si>
    <t>RC_MEL_1974-07-02_World_Wars_I_and_II-Caused_by_etc.mp3</t>
  </si>
  <si>
    <t>https://audio.iskcondesiretree.com/01_-_Srila_Prabhupada/01_-_Lectures/01_-_English/02_-_Month_wise/07_-_July/02/RC_MEL_1974-07-02_World_Wars_I_and_II-Caused_by_etc.mp3</t>
  </si>
  <si>
    <t>Chapter-17</t>
  </si>
  <si>
    <t>SP_BG_17-01-03_Melbourne_1974-07-04_Faith-Blind_and_Sighted.mp3</t>
  </si>
  <si>
    <t>https://audio.iskcondesiretree.com/01_-_Srila_Prabhupada/01_-_Lectures/01_-_English/01_-_Topic_wise/Bhagavad_Gita/Chapter-17/SP_BG_17-01-03_Melbourne_1974-07-04_Faith-Blind_and_Sighted.mp3</t>
  </si>
  <si>
    <t>SP_Interview_Chicago_1974-07-04_Envious_Reporter.mp3</t>
  </si>
  <si>
    <t>https://audio.iskcondesiretree.com/01_-_Srila_Prabhupada/01_-_Lectures/01_-_English/01_-_Topic_wise/Interview/SP_Interview_Chicago_1974-07-04_Envious_Reporter.mp3</t>
  </si>
  <si>
    <t>SP_SB_1-08-18_Chicago_1974-07-04_Krishna_is_So_Kind._He_Has--etc.mp3</t>
  </si>
  <si>
    <t>https://audio.iskcondesiretree.com/01_-_Srila_Prabhupada/01_-_Lectures/01_-_English/01_-_Topic_wise/Srimad_Bhagavatam/Canto-01/SP_SB_1-08-18_Chicago_1974-07-04_Krishna_is_So_Kind._He_Has--etc.mp3</t>
  </si>
  <si>
    <t>Bg_17-01_MEL_1974-07-04_Faith-Blind_and_Sighted.mp3</t>
  </si>
  <si>
    <t>https://audio.iskcondesiretree.com/01_-_Srila_Prabhupada/01_-_Lectures/01_-_English/02_-_Month_wise/07_-_July/04/Bg_17-01_MEL_1974-07-04_Faith-Blind_and_Sighted.mp3</t>
  </si>
  <si>
    <t>Interview_1974-07-04_IV-CHICAGO.MP3</t>
  </si>
  <si>
    <t>https://audio.iskcondesiretree.com/01_-_Srila_Prabhupada/01_-_Lectures/01_-_English/02_-_Month_wise/07_-_July/04/Interview_1974-07-04_IV-CHICAGO.MP3</t>
  </si>
  <si>
    <t>SB-01-08-18_1974-07-04_SB-CHICAGO.MP3</t>
  </si>
  <si>
    <t>https://audio.iskcondesiretree.com/01_-_Srila_Prabhupada/01_-_Lectures/01_-_English/02_-_Month_wise/07_-_July/04/SB-01-08-18_1974-07-04_SB-CHICAGO.MP3</t>
  </si>
  <si>
    <t>SB_1-08-18_CHI_1974-07-04_Krishna_is_So_Kind._He_Has_etc.mp3</t>
  </si>
  <si>
    <t>https://audio.iskcondesiretree.com/01_-_Srila_Prabhupada/01_-_Lectures/01_-_English/02_-_Month_wise/07_-_July/04/SB_1-08-18_CHI_1974-07-04_Krishna_is_So_Kind._He_Has_etc.mp3</t>
  </si>
  <si>
    <t>SP_SB_1-08-19_Chicago_1974-07-05_For_Dull-Headed_Asses_God--etc.mp3</t>
  </si>
  <si>
    <t>https://audio.iskcondesiretree.com/01_-_Srila_Prabhupada/01_-_Lectures/01_-_English/01_-_Topic_wise/Srimad_Bhagavatam/Canto-01/SP_SB_1-08-19_Chicago_1974-07-05_For_Dull-Headed_Asses_God--etc.mp3</t>
  </si>
  <si>
    <t>SB-01-08-19_1974-07-05_SB-CHICAGO.MP3</t>
  </si>
  <si>
    <t>https://audio.iskcondesiretree.com/01_-_Srila_Prabhupada/01_-_Lectures/01_-_English/02_-_Month_wise/07_-_July/05/SB-01-08-19_1974-07-05_SB-CHICAGO.MP3</t>
  </si>
  <si>
    <t>SB_1-08-19_CHI_1974-07-05_For_Dull-Headed_Asses_God_etc.mp3</t>
  </si>
  <si>
    <t>https://audio.iskcondesiretree.com/01_-_Srila_Prabhupada/01_-_Lectures/01_-_English/02_-_Month_wise/07_-_July/05/SB_1-08-19_CHI_1974-07-05_For_Dull-Headed_Asses_God_etc.mp3</t>
  </si>
  <si>
    <t>SP_Arrival_Los_Angeles_1974-07-08_Education_Culture_Happiness_Satisfaction.mp3</t>
  </si>
  <si>
    <t>https://audio.iskcondesiretree.com/01_-_Srila_Prabhupada/01_-_Lectures/01_-_English/01_-_Topic_wise/Arrival_Address/SP_Arrival_Los_Angeles_1974-07-08_Education_Culture_Happiness_Satisfaction.mp3</t>
  </si>
  <si>
    <t>SP_Room_Conversation_01_Los_Angeles_1974-07-08.mp3</t>
  </si>
  <si>
    <t>https://audio.iskcondesiretree.com/01_-_Srila_Prabhupada/01_-_Lectures/01_-_English/01_-_Topic_wise/Room_Conversation/SP_Room_Conversation_01_Los_Angeles_1974-07-08.mp3</t>
  </si>
  <si>
    <t>Arr_LA_1974-07-08_Education_Culture_Happiness_Satisfaction.mp3</t>
  </si>
  <si>
    <t>https://audio.iskcondesiretree.com/01_-_Srila_Prabhupada/01_-_Lectures/01_-_English/02_-_Month_wise/07_-_July/08/Arr_LA_1974-07-08_Education_Culture_Happiness_Satisfaction.mp3</t>
  </si>
  <si>
    <t>Arrival_1974-07-08_AR-LOS%20ANGELES.MP3</t>
  </si>
  <si>
    <t>https://audio.iskcondesiretree.com/01_-_Srila_Prabhupada/01_-_Lectures/01_-_English/02_-_Month_wise/07_-_July/08/Arrival_1974-07-08_AR-LOS%20ANGELES.MP3</t>
  </si>
  <si>
    <t>Conv_1974-07-08_R1-LOS%20ANGELES.MP3</t>
  </si>
  <si>
    <t>https://audio.iskcondesiretree.com/01_-_Srila_Prabhupada/01_-_Lectures/01_-_English/02_-_Month_wise/07_-_July/08/Conv_1974-07-08_R1-LOS%20ANGELES.MP3</t>
  </si>
  <si>
    <t>SP_Morning_Walk_-_Los_Angeles_1974-07-09.mp3</t>
  </si>
  <si>
    <t>https://audio.iskcondesiretree.com/01_-_Srila_Prabhupada/01_-_Lectures/01_-_English/01_-_Topic_wise/Morning_Walk/SP_Morning_Walk_-_Los_Angeles_1974-07-09.mp3</t>
  </si>
  <si>
    <t>SP_SB_1-16-19_Los_Angeles_1974-07-09_Everyone_Is_Spirit-Servant.mp3</t>
  </si>
  <si>
    <t>https://audio.iskcondesiretree.com/01_-_Srila_Prabhupada/01_-_Lectures/01_-_English/01_-_Topic_wise/Srimad_Bhagavatam/Canto-01/SP_SB_1-16-19_Los_Angeles_1974-07-09_Everyone_Is_Spirit-Servant.mp3</t>
  </si>
  <si>
    <t>SB-01-16-19_1974-07-09_SB-LOS%20ANGELES.MP3</t>
  </si>
  <si>
    <t>https://audio.iskcondesiretree.com/01_-_Srila_Prabhupada/01_-_Lectures/01_-_English/02_-_Month_wise/07_-_July/09/SB-01-16-19_1974-07-09_SB-LOS%20ANGELES.MP3</t>
  </si>
  <si>
    <t>SB_1-16-19_LA_1974-07-09_Everyone_Is_Spirit-Servant.mp3</t>
  </si>
  <si>
    <t>https://audio.iskcondesiretree.com/01_-_Srila_Prabhupada/01_-_Lectures/01_-_English/02_-_Month_wise/07_-_July/09/SB_1-16-19_LA_1974-07-09_Everyone_Is_Spirit-Servant.mp3</t>
  </si>
  <si>
    <t>Walk_1974-07-09_MW-LOS%20ANGELES.MP3</t>
  </si>
  <si>
    <t>https://audio.iskcondesiretree.com/01_-_Srila_Prabhupada/01_-_Lectures/01_-_English/02_-_Month_wise/07_-_July/09/Walk_1974-07-09_MW-LOS%20ANGELES.MP3</t>
  </si>
  <si>
    <t>SP_SB_1-16-20_Los_Angeles_1974-07-10_Make_Everyone_a--etc.mp3</t>
  </si>
  <si>
    <t>https://audio.iskcondesiretree.com/01_-_Srila_Prabhupada/01_-_Lectures/01_-_English/01_-_Topic_wise/Srimad_Bhagavatam/Canto-01/SP_SB_1-16-20_Los_Angeles_1974-07-10_Make_Everyone_a--etc.mp3</t>
  </si>
  <si>
    <t>SB-01-16-20_1974-07-10_SB-LOS%20ANGELES.MP3</t>
  </si>
  <si>
    <t>https://audio.iskcondesiretree.com/01_-_Srila_Prabhupada/01_-_Lectures/01_-_English/02_-_Month_wise/07_-_July/10/SB-01-16-20_1974-07-10_SB-LOS%20ANGELES.MP3</t>
  </si>
  <si>
    <t>SB_1-16-20_LA_1974-07-10_Make_Everyone_a_etc.mp3</t>
  </si>
  <si>
    <t>https://audio.iskcondesiretree.com/01_-_Srila_Prabhupada/01_-_Lectures/01_-_English/02_-_Month_wise/07_-_July/10/SB_1-16-20_LA_1974-07-10_Make_Everyone_a_etc.mp3</t>
  </si>
  <si>
    <t>SP_SB_1-16-21_Los_Angeles_1974-07-11_The_Cutthroat_Age--Women_and--etc.mp3</t>
  </si>
  <si>
    <t>https://audio.iskcondesiretree.com/01_-_Srila_Prabhupada/01_-_Lectures/01_-_English/01_-_Topic_wise/Srimad_Bhagavatam/Canto-01/SP_SB_1-16-21_Los_Angeles_1974-07-11_The_Cutthroat_Age--Women_and--etc.mp3</t>
  </si>
  <si>
    <t>SB-01-16-21_1974-07-11_SB-LOS%20ANGELES.MP3</t>
  </si>
  <si>
    <t>https://audio.iskcondesiretree.com/01_-_Srila_Prabhupada/01_-_Lectures/01_-_English/02_-_Month_wise/07_-_July/11/SB-01-16-21_1974-07-11_SB-LOS%20ANGELES.MP3</t>
  </si>
  <si>
    <t>SB_1-16-21_LA_1974-07-11_The_Cutthroat_Age_Women_and_etc.mp3</t>
  </si>
  <si>
    <t>https://audio.iskcondesiretree.com/01_-_Srila_Prabhupada/01_-_Lectures/01_-_English/02_-_Month_wise/07_-_July/11/SB_1-16-21_LA_1974-07-11_The_Cutthroat_Age_Women_and_etc.mp3</t>
  </si>
  <si>
    <t>SP_CC_A_12_Los_Angeles_1974-07-12.mp3</t>
  </si>
  <si>
    <t>https://audio.iskcondesiretree.com/01_-_Srila_Prabhupada/01_-_Lectures/01_-_English/01_-_Topic_wise/Chaitanya_Charitamrita/Adi_Lila/SP_CC_A_12_Los_Angeles_1974-07-12.mp3</t>
  </si>
  <si>
    <t>SP_Morning_Walk_-_Los_Angeles_1974-07-12.mp3</t>
  </si>
  <si>
    <t>https://audio.iskcondesiretree.com/01_-_Srila_Prabhupada/01_-_Lectures/01_-_English/01_-_Topic_wise/Morning_Walk/SP_Morning_Walk_-_Los_Angeles_1974-07-12.mp3</t>
  </si>
  <si>
    <t>SP_SB_1-16-22_Los_Angeles_1974-07-12_Scientists_Philosophers--etc.mp3</t>
  </si>
  <si>
    <t>https://audio.iskcondesiretree.com/01_-_Srila_Prabhupada/01_-_Lectures/01_-_English/01_-_Topic_wise/Srimad_Bhagavatam/Canto-01/SP_SB_1-16-22_Los_Angeles_1974-07-12_Scientists_Philosophers--etc.mp3</t>
  </si>
  <si>
    <t>Chanting%20Cc-Adi%E2%80%9312th%20Ch_1974-07-12_CH-LOS%20ANGELES.MP3</t>
  </si>
  <si>
    <t>https://audio.iskcondesiretree.com/01_-_Srila_Prabhupada/01_-_Lectures/01_-_English/02_-_Month_wise/07_-_July/12/Chanting%20Cc-Adi%E2%80%9312th%20Ch_1974-07-12_CH-LOS%20ANGELES.MP3</t>
  </si>
  <si>
    <t>SB-01-16-22_1974-07-12_SB-LOS%20ANGELES.MP3</t>
  </si>
  <si>
    <t>https://audio.iskcondesiretree.com/01_-_Srila_Prabhupada/01_-_Lectures/01_-_English/02_-_Month_wise/07_-_July/12/SB-01-16-22_1974-07-12_SB-LOS%20ANGELES.MP3</t>
  </si>
  <si>
    <t>SB_1-16-22_LA_1974-07-12_Scientists_Philosophers_etc.mp3</t>
  </si>
  <si>
    <t>https://audio.iskcondesiretree.com/01_-_Srila_Prabhupada/01_-_Lectures/01_-_English/02_-_Month_wise/07_-_July/12/SB_1-16-22_LA_1974-07-12_Scientists_Philosophers_etc.mp3</t>
  </si>
  <si>
    <t>Walk_1974-07-12_MW-LOS%20ANGELES.MP3</t>
  </si>
  <si>
    <t>https://audio.iskcondesiretree.com/01_-_Srila_Prabhupada/01_-_Lectures/01_-_English/02_-_Month_wise/07_-_July/12/Walk_1974-07-12_MW-LOS%20ANGELES.MP3</t>
  </si>
  <si>
    <t>SP_CC_A_13_Los_Los_Angeles_1974-07-13.mp3</t>
  </si>
  <si>
    <t>https://audio.iskcondesiretree.com/01_-_Srila_Prabhupada/01_-_Lectures/01_-_English/01_-_Topic_wise/Chaitanya_Charitamrita/Adi_Lila/SP_CC_A_13_Los_Los_Angeles_1974-07-13.mp3</t>
  </si>
  <si>
    <t>SP_Morning_Walk_-_Los_Angeles_1974-07-13_We_Going_to_Produce_Vaishnava_Heroes.mp3</t>
  </si>
  <si>
    <t>https://audio.iskcondesiretree.com/01_-_Srila_Prabhupada/01_-_Lectures/01_-_English/01_-_Topic_wise/Morning_Walk/SP_Morning_Walk_-_Los_Angeles_1974-07-13_We_Going_to_Produce_Vaishnava_Heroes.mp3</t>
  </si>
  <si>
    <t>SP_SB_1-16-23_Los_Angeles_1974-07-13_Avatara_for_the_Already_Dead.mp3</t>
  </si>
  <si>
    <t>https://audio.iskcondesiretree.com/01_-_Srila_Prabhupada/01_-_Lectures/01_-_English/01_-_Topic_wise/Srimad_Bhagavatam/Canto-01/SP_SB_1-16-23_Los_Angeles_1974-07-13_Avatara_for_the_Already_Dead.mp3</t>
  </si>
  <si>
    <t>Chanting%20Cc-Adi%E2%80%9313th%20Ch_1974-07-13_CH-LOS%20ANGELES.MP3</t>
  </si>
  <si>
    <t>https://audio.iskcondesiretree.com/01_-_Srila_Prabhupada/01_-_Lectures/01_-_English/02_-_Month_wise/07_-_July/13/Chanting%20Cc-Adi%E2%80%9313th%20Ch_1974-07-13_CH-LOS%20ANGELES.MP3</t>
  </si>
  <si>
    <t>MW_LA_1974-07-13_We_Going_to_Produce_Vaishnava_Heroes.mp3</t>
  </si>
  <si>
    <t>https://audio.iskcondesiretree.com/01_-_Srila_Prabhupada/01_-_Lectures/01_-_English/02_-_Month_wise/07_-_July/13/MW_LA_1974-07-13_We_Going_to_Produce_Vaishnava_Heroes.mp3</t>
  </si>
  <si>
    <t>SB-01-16-23_1974-07-13_SB-LOS%20ANGELES.MP3</t>
  </si>
  <si>
    <t>https://audio.iskcondesiretree.com/01_-_Srila_Prabhupada/01_-_Lectures/01_-_English/02_-_Month_wise/07_-_July/13/SB-01-16-23_1974-07-13_SB-LOS%20ANGELES.MP3</t>
  </si>
  <si>
    <t>SB_1-16-23_LA_1974-07-13_Avatara_for_the_Already_Dead.mp3</t>
  </si>
  <si>
    <t>https://audio.iskcondesiretree.com/01_-_Srila_Prabhupada/01_-_Lectures/01_-_English/02_-_Month_wise/07_-_July/13/SB_1-16-23_LA_1974-07-13_Avatara_for_the_Already_Dead.mp3</t>
  </si>
  <si>
    <t>Walk_1974-07-13_MW-LOS%20ANGELES.MP3</t>
  </si>
  <si>
    <t>https://audio.iskcondesiretree.com/01_-_Srila_Prabhupada/01_-_Lectures/01_-_English/02_-_Month_wise/07_-_July/13/Walk_1974-07-13_MW-LOS%20ANGELES.MP3</t>
  </si>
  <si>
    <t>SP_CC_A_14_Los_Los_Angeles_1974-07-14.mp3</t>
  </si>
  <si>
    <t>https://audio.iskcondesiretree.com/01_-_Srila_Prabhupada/01_-_Lectures/01_-_English/01_-_Topic_wise/Chaitanya_Charitamrita/Adi_Lila/SP_CC_A_14_Los_Los_Angeles_1974-07-14.mp3</t>
  </si>
  <si>
    <t>SP_Morning_Walk_-_Los_Angeles_1974-07-14.mp3</t>
  </si>
  <si>
    <t>https://audio.iskcondesiretree.com/01_-_Srila_Prabhupada/01_-_Lectures/01_-_English/01_-_Topic_wise/Morning_Walk/SP_Morning_Walk_-_Los_Angeles_1974-07-14.mp3</t>
  </si>
  <si>
    <t>SP_SB_1-16-24_Los_Angeles_1974-07-14_Faith_or_New_Orleans_Faith-Fact_Is_Fact.mp3</t>
  </si>
  <si>
    <t>https://audio.iskcondesiretree.com/01_-_Srila_Prabhupada/01_-_Lectures/01_-_English/01_-_Topic_wise/Srimad_Bhagavatam/Canto-01/SP_SB_1-16-24_Los_Angeles_1974-07-14_Faith_or_New_Orleans_Faith-Fact_Is_Fact.mp3</t>
  </si>
  <si>
    <t>Chanting%20Cc-Adi%E2%80%9314th%20Ch_1974-07-14_CH-LOS%20ANGELES.MP3</t>
  </si>
  <si>
    <t>https://audio.iskcondesiretree.com/01_-_Srila_Prabhupada/01_-_Lectures/01_-_English/02_-_Month_wise/07_-_July/14/Chanting%20Cc-Adi%E2%80%9314th%20Ch_1974-07-14_CH-LOS%20ANGELES.MP3</t>
  </si>
  <si>
    <t>SB-01-16-24_1974-07-14_SB-LOS%20ANGELES.MP3</t>
  </si>
  <si>
    <t>https://audio.iskcondesiretree.com/01_-_Srila_Prabhupada/01_-_Lectures/01_-_English/02_-_Month_wise/07_-_July/14/SB-01-16-24_1974-07-14_SB-LOS%20ANGELES.MP3</t>
  </si>
  <si>
    <t>SB_1-16-24_LA_1974-07-14_Faith_or_No_Faith-Fact_Is_Fact.mp3</t>
  </si>
  <si>
    <t>https://audio.iskcondesiretree.com/01_-_Srila_Prabhupada/01_-_Lectures/01_-_English/02_-_Month_wise/07_-_July/14/SB_1-16-24_LA_1974-07-14_Faith_or_No_Faith-Fact_Is_Fact.mp3</t>
  </si>
  <si>
    <t>Walk_1974-07-14_MW-LOS%20ANGELES.MP3</t>
  </si>
  <si>
    <t>https://audio.iskcondesiretree.com/01_-_Srila_Prabhupada/01_-_Lectures/01_-_English/02_-_Month_wise/07_-_July/14/Walk_1974-07-14_MW-LOS%20ANGELES.MP3</t>
  </si>
  <si>
    <t>Departure_Address</t>
  </si>
  <si>
    <t>SP_Departure_Address_1974-07-15_Los_Angeles.mp3</t>
  </si>
  <si>
    <t>https://audio.iskcondesiretree.com/01_-_Srila_Prabhupada/01_-_Lectures/01_-_English/01_-_Topic_wise/Departure_Address/SP_Departure_Address_1974-07-15_Los_Angeles.mp3</t>
  </si>
  <si>
    <t>Departure_1974-07-15_DP-LOS%20ANGELES.MP3</t>
  </si>
  <si>
    <t>https://audio.iskcondesiretree.com/01_-_Srila_Prabhupada/01_-_Lectures/01_-_English/02_-_Month_wise/07_-_July/15/Departure_1974-07-15_DP-LOS%20ANGELES.MP3</t>
  </si>
  <si>
    <t>SP_SB_1-02-17_New_Vrindavan_1974-07-18.mp3</t>
  </si>
  <si>
    <t>https://audio.iskcondesiretree.com/01_-_Srila_Prabhupada/01_-_Lectures/01_-_English/01_-_Topic_wise/Srimad_Bhagavatam/Canto-01/SP_SB_1-02-17_New_Vrindavan_1974-07-18.mp3</t>
  </si>
  <si>
    <t>SB-01-02-17_1974-07-18_SB-NEW%20VRINDAVAN.MP3</t>
  </si>
  <si>
    <t>https://audio.iskcondesiretree.com/01_-_Srila_Prabhupada/01_-_Lectures/01_-_English/02_-_Month_wise/07_-_July/18/SB-01-02-17_1974-07-18_SB-NEW%20VRINDAVAN.MP3</t>
  </si>
  <si>
    <t>SP_SB_1-02-18_New_Vrindavan_1974-07-19.mp3</t>
  </si>
  <si>
    <t>https://audio.iskcondesiretree.com/01_-_Srila_Prabhupada/01_-_Lectures/01_-_English/01_-_Topic_wise/Srimad_Bhagavatam/Canto-01/SP_SB_1-02-18_New_Vrindavan_1974-07-19.mp3</t>
  </si>
  <si>
    <t>SB-01-02-18_1974-07-19_SB-NEW%20VRINDAVAN.MP3</t>
  </si>
  <si>
    <t>https://audio.iskcondesiretree.com/01_-_Srila_Prabhupada/01_-_Lectures/01_-_English/02_-_Month_wise/07_-_July/19/SB-01-02-18_1974-07-19_SB-NEW%20VRINDAVAN.MP3</t>
  </si>
  <si>
    <t>SP_SB_1-02-19_New_Vrindavan_1974-07-21.mp3</t>
  </si>
  <si>
    <t>https://audio.iskcondesiretree.com/01_-_Srila_Prabhupada/01_-_Lectures/01_-_English/01_-_Topic_wise/Srimad_Bhagavatam/Canto-01/SP_SB_1-02-19_New_Vrindavan_1974-07-21.mp3</t>
  </si>
  <si>
    <t>SB-01-02-19_1974-07-21_SB-NEW%20VRINDAVAN.MP3</t>
  </si>
  <si>
    <t>https://audio.iskcondesiretree.com/01_-_Srila_Prabhupada/01_-_Lectures/01_-_English/02_-_Month_wise/07_-_July/21/SB-01-02-19_1974-07-21_SB-NEW%20VRINDAVAN.MP3</t>
  </si>
  <si>
    <t>SP_SB_1-02-20_New_York_1974-07-24.mp3</t>
  </si>
  <si>
    <t>https://audio.iskcondesiretree.com/01_-_Srila_Prabhupada/01_-_Lectures/01_-_English/01_-_Topic_wise/Srimad_Bhagavatam/Canto-01/SP_SB_1-02-20_New_York_1974-07-24.mp3</t>
  </si>
  <si>
    <t>SB-01-02-20_1974-07-24_SB-NEW%20YORK.MP3</t>
  </si>
  <si>
    <t>https://audio.iskcondesiretree.com/01_-_Srila_Prabhupada/01_-_Lectures/01_-_English/02_-_Month_wise/07_-_July/24/SB-01-02-20_1974-07-24_SB-NEW%20YORK.MP3</t>
  </si>
  <si>
    <t>SP_Departure_Address_1974-07-25_New_York.mp3</t>
  </si>
  <si>
    <t>https://audio.iskcondesiretree.com/01_-_Srila_Prabhupada/01_-_Lectures/01_-_English/01_-_Topic_wise/Departure_Address/SP_Departure_Address_1974-07-25_New_York.mp3</t>
  </si>
  <si>
    <t>Departure_1974-07-25_DP-NEW%20YORK.MP3</t>
  </si>
  <si>
    <t>https://audio.iskcondesiretree.com/01_-_Srila_Prabhupada/01_-_Lectures/01_-_English/02_-_Month_wise/07_-_July/25/Departure_1974-07-25_DP-NEW%20YORK.MP3</t>
  </si>
  <si>
    <t>SP_BG_04-10_Vrindavan_1974-08-02_No_Question_of_Happiness_Here.mp3</t>
  </si>
  <si>
    <t>https://audio.iskcondesiretree.com/01_-_Srila_Prabhupada/01_-_Lectures/01_-_English/01_-_Topic_wise/Bhagavad_Gita/Chapter-04/SP_BG_04-10_Vrindavan_1974-08-02_No_Question_of_Happiness_Here.mp3</t>
  </si>
  <si>
    <t>Bg-04-10_1974-08-02_BG-VRNDAVAN.MP3</t>
  </si>
  <si>
    <t>https://audio.iskcondesiretree.com/01_-_Srila_Prabhupada/01_-_Lectures/01_-_English/02_-_Month_wise/08_-_August/02/Bg-04-10_1974-08-02_BG-VRNDAVAN.MP3</t>
  </si>
  <si>
    <t>Bg_04-10_VRN_1974-08-02_No_Question_of_Happiness_Here.mp3</t>
  </si>
  <si>
    <t>https://audio.iskcondesiretree.com/01_-_Srila_Prabhupada/01_-_Lectures/01_-_English/02_-_Month_wise/08_-_August/02/Bg_04-10_VRN_1974-08-02_No_Question_of_Happiness_Here.mp3</t>
  </si>
  <si>
    <t>SP_BG_04-11_Vrindavan_1974-08-03_This_Skin%3DSuffering_This--etc.mp3</t>
  </si>
  <si>
    <t>https://audio.iskcondesiretree.com/01_-_Srila_Prabhupada/01_-_Lectures/01_-_English/01_-_Topic_wise/Bhagavad_Gita/Chapter-04/SP_BG_04-11_Vrindavan_1974-08-03_This_Skin%3DSuffering_This--etc.mp3</t>
  </si>
  <si>
    <t>SP_SB_1-05-22_Vrindavan_1974-08-03_Show_Your_Knowledge%27s_Origin.mp3</t>
  </si>
  <si>
    <t>https://audio.iskcondesiretree.com/01_-_Srila_Prabhupada/01_-_Lectures/01_-_English/01_-_Topic_wise/Srimad_Bhagavatam/Canto-01/SP_SB_1-05-22_Vrindavan_1974-08-03_Show_Your_Knowledge%27s_Origin.mp3</t>
  </si>
  <si>
    <t>Bg-04-11_1974-08-03_BG-VRNDAVAN.MP3</t>
  </si>
  <si>
    <t>https://audio.iskcondesiretree.com/01_-_Srila_Prabhupada/01_-_Lectures/01_-_English/02_-_Month_wise/08_-_August/03/Bg-04-11_1974-08-03_BG-VRNDAVAN.MP3</t>
  </si>
  <si>
    <t>Bg_04-11_VRN_1974-08-03_This_Skin_Suffering_This_etc.mp3</t>
  </si>
  <si>
    <t>https://audio.iskcondesiretree.com/01_-_Srila_Prabhupada/01_-_Lectures/01_-_English/02_-_Month_wise/08_-_August/03/Bg_04-11_VRN_1974-08-03_This_Skin_Suffering_This_etc.mp3</t>
  </si>
  <si>
    <t>SB-01-05-22_1974-08-03_SB-VRNDAVAN.MP3</t>
  </si>
  <si>
    <t>https://audio.iskcondesiretree.com/01_-_Srila_Prabhupada/01_-_Lectures/01_-_English/02_-_Month_wise/08_-_August/03/SB-01-05-22_1974-08-03_SB-VRNDAVAN.MP3</t>
  </si>
  <si>
    <t>SB_1-05-22_VRN_1974-08-03_Show_Your_Knowledge%27s_Origin.mp3</t>
  </si>
  <si>
    <t>https://audio.iskcondesiretree.com/01_-_Srila_Prabhupada/01_-_Lectures/01_-_English/02_-_Month_wise/08_-_August/03/SB_1-05-22_VRN_1974-08-03_Show_Your_Knowledge%27s_Origin.mp3</t>
  </si>
  <si>
    <t>SP_BG_04-12_Vrindavan_1974-08-04_Big_Ambition-Little_Brain.mp3</t>
  </si>
  <si>
    <t>https://audio.iskcondesiretree.com/01_-_Srila_Prabhupada/01_-_Lectures/01_-_English/01_-_Topic_wise/Bhagavad_Gita/Chapter-04/SP_BG_04-12_Vrindavan_1974-08-04_Big_Ambition-Little_Brain.mp3</t>
  </si>
  <si>
    <t>SP_SB_1-05-23_Vrindavan_1974-08-04_Service_to_Devotees-How_Potent.mp3</t>
  </si>
  <si>
    <t>https://audio.iskcondesiretree.com/01_-_Srila_Prabhupada/01_-_Lectures/01_-_English/01_-_Topic_wise/Srimad_Bhagavatam/Canto-01/SP_SB_1-05-23_Vrindavan_1974-08-04_Service_to_Devotees-How_Potent.mp3</t>
  </si>
  <si>
    <t>04_-_April</t>
  </si>
  <si>
    <t>Bg-04-12_1974-08-04_SB-VRNDAVAN.MP3</t>
  </si>
  <si>
    <t>https://audio.iskcondesiretree.com/01_-_Srila_Prabhupada/01_-_Lectures/01_-_English/02_-_Month_wise/04_-_April/Bg-04-12_1974-08-04_SB-VRNDAVAN.MP3</t>
  </si>
  <si>
    <t>SB-01-05-23_1974-08-04_SB-VRNDAVAN.MP3</t>
  </si>
  <si>
    <t>https://audio.iskcondesiretree.com/01_-_Srila_Prabhupada/01_-_Lectures/01_-_English/02_-_Month_wise/04_-_April/SB-01-05-23_1974-08-04_SB-VRNDAVAN.MP3</t>
  </si>
  <si>
    <t>Bg_04-12_VRN_1974-08-04_Big_Ambition-Little_Brain.mp3</t>
  </si>
  <si>
    <t>https://audio.iskcondesiretree.com/01_-_Srila_Prabhupada/01_-_Lectures/01_-_English/02_-_Month_wise/08_-_August/04/Bg_04-12_VRN_1974-08-04_Big_Ambition-Little_Brain.mp3</t>
  </si>
  <si>
    <t>SB_1-05-23_VRN_1974-08-04_Service_to_Devotees-How_Potent.mp3</t>
  </si>
  <si>
    <t>https://audio.iskcondesiretree.com/01_-_Srila_Prabhupada/01_-_Lectures/01_-_English/02_-_Month_wise/08_-_August/04/SB_1-05-23_VRN_1974-08-04_Service_to_Devotees-How_Potent.mp3</t>
  </si>
  <si>
    <t>SP_BG_04-13_Vrindavan_1974-08-05.mp3</t>
  </si>
  <si>
    <t>https://audio.iskcondesiretree.com/01_-_Srila_Prabhupada/01_-_Lectures/01_-_English/01_-_Topic_wise/Bhagavad_Gita/Chapter-04/SP_BG_04-13_Vrindavan_1974-08-05.mp3</t>
  </si>
  <si>
    <t>SP_Room_Conversation_01_Vrindavan_1974-08-05.mp3</t>
  </si>
  <si>
    <t>https://audio.iskcondesiretree.com/01_-_Srila_Prabhupada/01_-_Lectures/01_-_English/01_-_Topic_wise/Room_Conversation/SP_Room_Conversation_01_Vrindavan_1974-08-05.mp3</t>
  </si>
  <si>
    <t>SP_SB_1-05-24_Vrindavan_1974-08-05_Great_Devotee-Great_Discipline.mp3</t>
  </si>
  <si>
    <t>https://audio.iskcondesiretree.com/01_-_Srila_Prabhupada/01_-_Lectures/01_-_English/01_-_Topic_wise/Srimad_Bhagavatam/Canto-01/SP_SB_1-05-24_Vrindavan_1974-08-05_Great_Devotee-Great_Discipline.mp3</t>
  </si>
  <si>
    <t>Bg-04-13_1974-08-05_BG-VRNDAVAN.MP3</t>
  </si>
  <si>
    <t>https://audio.iskcondesiretree.com/01_-_Srila_Prabhupada/01_-_Lectures/01_-_English/02_-_Month_wise/08_-_August/05/Bg-04-13_1974-08-05_BG-VRNDAVAN.MP3</t>
  </si>
  <si>
    <t>Conv_1974-08-05_R1-VRNDAVAN.MP3</t>
  </si>
  <si>
    <t>https://audio.iskcondesiretree.com/01_-_Srila_Prabhupada/01_-_Lectures/01_-_English/02_-_Month_wise/08_-_August/05/Conv_1974-08-05_R1-VRNDAVAN.MP3</t>
  </si>
  <si>
    <t>SB-01-05-24_1974-08-05_SB-VRNDAVAN.MP3</t>
  </si>
  <si>
    <t>https://audio.iskcondesiretree.com/01_-_Srila_Prabhupada/01_-_Lectures/01_-_English/02_-_Month_wise/08_-_August/05/SB-01-05-24_1974-08-05_SB-VRNDAVAN.MP3</t>
  </si>
  <si>
    <t>SB_1-05-24_VRN_1974-08-05_Great_Devotee-Great_Discipline.mp3</t>
  </si>
  <si>
    <t>https://audio.iskcondesiretree.com/01_-_Srila_Prabhupada/01_-_Lectures/01_-_English/02_-_Month_wise/08_-_August/05/SB_1-05-24_VRN_1974-08-05_Great_Devotee-Great_Discipline.mp3</t>
  </si>
  <si>
    <t>SP_BG_04-14_Vrindavan_1974-08-06_Who_Can_Understand_Krishna.mp3</t>
  </si>
  <si>
    <t>https://audio.iskcondesiretree.com/01_-_Srila_Prabhupada/01_-_Lectures/01_-_English/01_-_Topic_wise/Bhagavad_Gita/Chapter-04/SP_BG_04-14_Vrindavan_1974-08-06_Who_Can_Understand_Krishna.mp3</t>
  </si>
  <si>
    <t>SP_SB_1-05-25_Vrindavan_1974-08-06_Self_Attraction-Dirty_or_Divine.mp3</t>
  </si>
  <si>
    <t>https://audio.iskcondesiretree.com/01_-_Srila_Prabhupada/01_-_Lectures/01_-_English/01_-_Topic_wise/Srimad_Bhagavatam/Canto-01/SP_SB_1-05-25_Vrindavan_1974-08-06_Self_Attraction-Dirty_or_Divine.mp3</t>
  </si>
  <si>
    <t>Bg-04-14_1974-08-06_BG-VRNDAVAN.MP3</t>
  </si>
  <si>
    <t>https://audio.iskcondesiretree.com/01_-_Srila_Prabhupada/01_-_Lectures/01_-_English/02_-_Month_wise/08_-_August/06/Bg-04-14_1974-08-06_BG-VRNDAVAN.MP3</t>
  </si>
  <si>
    <t>Bg_04-14_VRN_1974-08-06_Who_Can_Understand_Krishna.mp3</t>
  </si>
  <si>
    <t>https://audio.iskcondesiretree.com/01_-_Srila_Prabhupada/01_-_Lectures/01_-_English/02_-_Month_wise/08_-_August/06/Bg_04-14_VRN_1974-08-06_Who_Can_Understand_Krishna.mp3</t>
  </si>
  <si>
    <t>SB-01-05-25_1974-08-06_SB-VRNDAVAN.MP3</t>
  </si>
  <si>
    <t>https://audio.iskcondesiretree.com/01_-_Srila_Prabhupada/01_-_Lectures/01_-_English/02_-_Month_wise/08_-_August/06/SB-01-05-25_1974-08-06_SB-VRNDAVAN.MP3</t>
  </si>
  <si>
    <t>SB_1-05-25_VRN_1974-08-06_Self_Attraction-Dirty_or_Divine.mp3</t>
  </si>
  <si>
    <t>https://audio.iskcondesiretree.com/01_-_Srila_Prabhupada/01_-_Lectures/01_-_English/02_-_Month_wise/08_-_August/06/SB_1-05-25_VRN_1974-08-06_Self_Attraction-Dirty_or_Divine.mp3</t>
  </si>
  <si>
    <t>SP_BG_07-03_Vrindavan_1974-08-09_Abominable_Ananda.mp3</t>
  </si>
  <si>
    <t>https://audio.iskcondesiretree.com/01_-_Srila_Prabhupada/01_-_Lectures/01_-_English/01_-_Topic_wise/Bhagavad_Gita/Chapter-07/SP_BG_07-03_Vrindavan_1974-08-09_Abominable_Ananda.mp3</t>
  </si>
  <si>
    <t>SP_SB_1-05-28_Vrindavan_1974-08-09_Secret_of_Supreme_Satisfaction.mp3</t>
  </si>
  <si>
    <t>https://audio.iskcondesiretree.com/01_-_Srila_Prabhupada/01_-_Lectures/01_-_English/01_-_Topic_wise/Srimad_Bhagavatam/Canto-01/SP_SB_1-05-28_Vrindavan_1974-08-09_Secret_of_Supreme_Satisfaction.mp3</t>
  </si>
  <si>
    <t>Bg-07-03_1974-08-09_BG-VRNDAVAN.MP3</t>
  </si>
  <si>
    <t>https://audio.iskcondesiretree.com/01_-_Srila_Prabhupada/01_-_Lectures/01_-_English/02_-_Month_wise/08_-_August/09/Bg-07-03_1974-08-09_BG-VRNDAVAN.MP3</t>
  </si>
  <si>
    <t>Bg_07-03_VRN_1974-08-09_Abominable_Ananda.mp3</t>
  </si>
  <si>
    <t>https://audio.iskcondesiretree.com/01_-_Srila_Prabhupada/01_-_Lectures/01_-_English/02_-_Month_wise/08_-_August/09/Bg_07-03_VRN_1974-08-09_Abominable_Ananda.mp3</t>
  </si>
  <si>
    <t>SB-01-05-28_1974-08-09_SB-VRNDAVAN.MP3</t>
  </si>
  <si>
    <t>https://audio.iskcondesiretree.com/01_-_Srila_Prabhupada/01_-_Lectures/01_-_English/02_-_Month_wise/08_-_August/09/SB-01-05-28_1974-08-09_SB-VRNDAVAN.MP3</t>
  </si>
  <si>
    <t>SB_1-05-28_VRN_1974-08-09_Secret_of_Supreme_Satisfaction.mp3</t>
  </si>
  <si>
    <t>https://audio.iskcondesiretree.com/01_-_Srila_Prabhupada/01_-_Lectures/01_-_English/02_-_Month_wise/08_-_August/09/SB_1-05-28_VRN_1974-08-09_Secret_of_Supreme_Satisfaction.mp3</t>
  </si>
  <si>
    <t>SP_BG_07-04_Vrindavan_1974-08-10_Society_Friendship_and_Love.mp3</t>
  </si>
  <si>
    <t>https://audio.iskcondesiretree.com/01_-_Srila_Prabhupada/01_-_Lectures/01_-_English/01_-_Topic_wise/Bhagavad_Gita/Chapter-07/SP_BG_07-04_Vrindavan_1974-08-10_Society_Friendship_and_Love.mp3</t>
  </si>
  <si>
    <t>SP_SB_1-05-29_Vrindavan_1974-08-10_Here_is_a_Disciple_of_Kali.mp3</t>
  </si>
  <si>
    <t>https://audio.iskcondesiretree.com/01_-_Srila_Prabhupada/01_-_Lectures/01_-_English/01_-_Topic_wise/Srimad_Bhagavatam/Canto-01/SP_SB_1-05-29_Vrindavan_1974-08-10_Here_is_a_Disciple_of_Kali.mp3</t>
  </si>
  <si>
    <t>Bg-07-04_1974-08-10_BG-VRNDAVAN.MP3</t>
  </si>
  <si>
    <t>https://audio.iskcondesiretree.com/01_-_Srila_Prabhupada/01_-_Lectures/01_-_English/02_-_Month_wise/08_-_August/10/Bg-07-04_1974-08-10_BG-VRNDAVAN.MP3</t>
  </si>
  <si>
    <t>Bg_07-04_VRN_1974-08-10_Society%2C_Friendship_and_Love.mp3</t>
  </si>
  <si>
    <t>https://audio.iskcondesiretree.com/01_-_Srila_Prabhupada/01_-_Lectures/01_-_English/02_-_Month_wise/08_-_August/10/Bg_07-04_VRN_1974-08-10_Society%2C_Friendship_and_Love.mp3</t>
  </si>
  <si>
    <t>SB-01-05-29_1974-08-10_SB-VRNDAVAN.MP3</t>
  </si>
  <si>
    <t>https://audio.iskcondesiretree.com/01_-_Srila_Prabhupada/01_-_Lectures/01_-_English/02_-_Month_wise/08_-_August/10/SB-01-05-29_1974-08-10_SB-VRNDAVAN.MP3</t>
  </si>
  <si>
    <t>SB_1-05-29_VRN_1974-08-10_Here_is_a_Disciple_of_Kali.mp3</t>
  </si>
  <si>
    <t>https://audio.iskcondesiretree.com/01_-_Srila_Prabhupada/01_-_Lectures/01_-_English/02_-_Month_wise/08_-_August/10/SB_1-05-29_VRN_1974-08-10_Here_is_a_Disciple_of_Kali.mp3</t>
  </si>
  <si>
    <t>SP_BG_07-05_Vrindavan_1974-08-11_God_Is_God-Dog_Is_Dog.mp3</t>
  </si>
  <si>
    <t>https://audio.iskcondesiretree.com/01_-_Srila_Prabhupada/01_-_Lectures/01_-_English/01_-_Topic_wise/Bhagavad_Gita/Chapter-07/SP_BG_07-05_Vrindavan_1974-08-11_God_Is_God-Dog_Is_Dog.mp3</t>
  </si>
  <si>
    <t>SP_SB_1-05-30_Vrindavan_1974-08-11_Mahatma_Speaks_in_Krishna%27s_Favor.mp3</t>
  </si>
  <si>
    <t>https://audio.iskcondesiretree.com/01_-_Srila_Prabhupada/01_-_Lectures/01_-_English/01_-_Topic_wise/Srimad_Bhagavatam/Canto-01/SP_SB_1-05-30_Vrindavan_1974-08-11_Mahatma_Speaks_in_Krishna%27s_Favor.mp3</t>
  </si>
  <si>
    <t>Bg-07-05_1974-08-11_BG-VRNDAVAN.MP3</t>
  </si>
  <si>
    <t>https://audio.iskcondesiretree.com/01_-_Srila_Prabhupada/01_-_Lectures/01_-_English/02_-_Month_wise/08_-_August/11/Bg-07-05_1974-08-11_BG-VRNDAVAN.MP3</t>
  </si>
  <si>
    <t>Bg_07-05_VRN_1974-08-11_God_Is_God-Dog_Is_Dog.mp3</t>
  </si>
  <si>
    <t>https://audio.iskcondesiretree.com/01_-_Srila_Prabhupada/01_-_Lectures/01_-_English/02_-_Month_wise/08_-_August/11/Bg_07-05_VRN_1974-08-11_God_Is_God-Dog_Is_Dog.mp3</t>
  </si>
  <si>
    <t>Janmastami_1974-08-11_BG-VRNDAVAN.MP3</t>
  </si>
  <si>
    <t>https://audio.iskcondesiretree.com/01_-_Srila_Prabhupada/01_-_Lectures/01_-_English/02_-_Month_wise/08_-_August/11/Janmastami_1974-08-11_BG-VRNDAVAN.MP3</t>
  </si>
  <si>
    <t>SB-01-05-30_1974-08-11_SB-VRNDAVAN.MP3</t>
  </si>
  <si>
    <t>https://audio.iskcondesiretree.com/01_-_Srila_Prabhupada/01_-_Lectures/01_-_English/02_-_Month_wise/08_-_August/11/SB-01-05-30_1974-08-11_SB-VRNDAVAN.MP3</t>
  </si>
  <si>
    <t>SB_1-05-30_VRN_1974-08-11_Mahatma_Speaks_in_Krishna%27s_Favor.mp3</t>
  </si>
  <si>
    <t>https://audio.iskcondesiretree.com/01_-_Srila_Prabhupada/01_-_Lectures/01_-_English/02_-_Month_wise/08_-_August/11/SB_1-05-30_VRN_1974-08-11_Mahatma_Speaks_in_Krishna%27s_Favor.mp3</t>
  </si>
  <si>
    <t>SP_BG_07-06_Vrindavan_1974-08-12_Krishna-Our_Personal_Powerhouse.mp3</t>
  </si>
  <si>
    <t>https://audio.iskcondesiretree.com/01_-_Srila_Prabhupada/01_-_Lectures/01_-_English/01_-_Topic_wise/Bhagavad_Gita/Chapter-07/SP_BG_07-06_Vrindavan_1974-08-12_Krishna-Our_Personal_Powerhouse.mp3</t>
  </si>
  <si>
    <t>SP_SB_1-05-31_Vrindavan_1974-08-12.mp3</t>
  </si>
  <si>
    <t>https://audio.iskcondesiretree.com/01_-_Srila_Prabhupada/01_-_Lectures/01_-_English/01_-_Topic_wise/Srimad_Bhagavatam/Canto-01/SP_SB_1-05-31_Vrindavan_1974-08-12.mp3</t>
  </si>
  <si>
    <t>Bg-07-06_1974-08-12_BG-VRNDAVAN.MP3</t>
  </si>
  <si>
    <t>https://audio.iskcondesiretree.com/01_-_Srila_Prabhupada/01_-_Lectures/01_-_English/02_-_Month_wise/08_-_August/12/Bg-07-06_1974-08-12_BG-VRNDAVAN.MP3</t>
  </si>
  <si>
    <t>Bg_07-06_VRN_1974-08-12_Krishna-Our_Personal_Powerhouse.mp3</t>
  </si>
  <si>
    <t>https://audio.iskcondesiretree.com/01_-_Srila_Prabhupada/01_-_Lectures/01_-_English/02_-_Month_wise/08_-_August/12/Bg_07-06_VRN_1974-08-12_Krishna-Our_Personal_Powerhouse.mp3</t>
  </si>
  <si>
    <t>SB-01-05-31_1974-08-12_SB-VRNDAVAN.MP3</t>
  </si>
  <si>
    <t>https://audio.iskcondesiretree.com/01_-_Srila_Prabhupada/01_-_Lectures/01_-_English/02_-_Month_wise/08_-_August/12/SB-01-05-31_1974-08-12_SB-VRNDAVAN.MP3</t>
  </si>
  <si>
    <t>SP_BG_07-07_Vrindavan_1974-08-13_Everything_Is_Resting_On_Krishna.mp3</t>
  </si>
  <si>
    <t>https://audio.iskcondesiretree.com/01_-_Srila_Prabhupada/01_-_Lectures/01_-_English/01_-_Topic_wise/Bhagavad_Gita/Chapter-07/SP_BG_07-07_Vrindavan_1974-08-13_Everything_Is_Resting_On_Krishna.mp3</t>
  </si>
  <si>
    <t>SP_SB_1-05-23_Vrindavan_1974-08-13_See_Whether_Your_Life_Is_Perfect.mp3</t>
  </si>
  <si>
    <t>https://audio.iskcondesiretree.com/01_-_Srila_Prabhupada/01_-_Lectures/01_-_English/01_-_Topic_wise/Srimad_Bhagavatam/Canto-01/SP_SB_1-05-23_Vrindavan_1974-08-13_See_Whether_Your_Life_Is_Perfect.mp3</t>
  </si>
  <si>
    <t>Bg-07-07_1974-08-13_BG-VRNDAVAN.MP3</t>
  </si>
  <si>
    <t>https://audio.iskcondesiretree.com/01_-_Srila_Prabhupada/01_-_Lectures/01_-_English/02_-_Month_wise/08_-_August/13/Bg-07-07_1974-08-13_BG-VRNDAVAN.MP3</t>
  </si>
  <si>
    <t>Bg_07-07_VRN_1974-08-13_Everything_Is_Resting_On_Krishna.mp3</t>
  </si>
  <si>
    <t>https://audio.iskcondesiretree.com/01_-_Srila_Prabhupada/01_-_Lectures/01_-_English/02_-_Month_wise/08_-_August/13/Bg_07-07_VRN_1974-08-13_Everything_Is_Resting_On_Krishna.mp3</t>
  </si>
  <si>
    <t>SB-01-05-32_1974-08-13_SB-VRNDAVAN.MP3</t>
  </si>
  <si>
    <t>https://audio.iskcondesiretree.com/01_-_Srila_Prabhupada/01_-_Lectures/01_-_English/02_-_Month_wise/08_-_August/13/SB-01-05-32_1974-08-13_SB-VRNDAVAN.MP3</t>
  </si>
  <si>
    <t>SB_1-05-23_VRN_1974-08-13_See_Whether_Your_Life_Is_Perfect.mp3</t>
  </si>
  <si>
    <t>https://audio.iskcondesiretree.com/01_-_Srila_Prabhupada/01_-_Lectures/01_-_English/02_-_Month_wise/08_-_August/13/SB_1-05-23_VRN_1974-08-13_See_Whether_Your_Life_Is_Perfect.mp3</t>
  </si>
  <si>
    <t>SP_SB_1-05-33_Vrindavan_1974-08-14_Lower_Planets_or_Liberation.mp3</t>
  </si>
  <si>
    <t>https://audio.iskcondesiretree.com/01_-_Srila_Prabhupada/01_-_Lectures/01_-_English/01_-_Topic_wise/Srimad_Bhagavatam/Canto-01/SP_SB_1-05-33_Vrindavan_1974-08-14_Lower_Planets_or_Liberation.mp3</t>
  </si>
  <si>
    <t>SB-01-05-33_1974-08-14_SB-VRNDAVAN.MP3</t>
  </si>
  <si>
    <t>https://audio.iskcondesiretree.com/01_-_Srila_Prabhupada/01_-_Lectures/01_-_English/02_-_Month_wise/08_-_August/14/SB-01-05-33_1974-08-14_SB-VRNDAVAN.MP3</t>
  </si>
  <si>
    <t>SB_1-05-33_VRN_1974-08-14_Lower_Planets_or_Liberation.mp3</t>
  </si>
  <si>
    <t>https://audio.iskcondesiretree.com/01_-_Srila_Prabhupada/01_-_Lectures/01_-_English/02_-_Month_wise/08_-_August/14/SB_1-05-33_VRN_1974-08-14_Lower_Planets_or_Liberation.mp3</t>
  </si>
  <si>
    <t>SP_BG_07-09_Vrindavan_1974-08-15_Transcendental_%27Nature_Study%27.mp3</t>
  </si>
  <si>
    <t>https://audio.iskcondesiretree.com/01_-_Srila_Prabhupada/01_-_Lectures/01_-_English/01_-_Topic_wise/Bhagavad_Gita/Chapter-07/SP_BG_07-09_Vrindavan_1974-08-15_Transcendental_%27Nature_Study%27.mp3</t>
  </si>
  <si>
    <t>Bg-07-09_1974-08-15_BG-VRNDAVAN.MP3</t>
  </si>
  <si>
    <t>https://audio.iskcondesiretree.com/01_-_Srila_Prabhupada/01_-_Lectures/01_-_English/02_-_Month_wise/08_-_August/15/Bg-07-09_1974-08-15_BG-VRNDAVAN.MP3</t>
  </si>
  <si>
    <t>Bg_07-09_VRN_1974-08-15_Transcendental_Nature_Study.mp3</t>
  </si>
  <si>
    <t>https://audio.iskcondesiretree.com/01_-_Srila_Prabhupada/01_-_Lectures/01_-_English/02_-_Month_wise/08_-_August/15/Bg_07-09_VRN_1974-08-15_Transcendental_Nature_Study.mp3</t>
  </si>
  <si>
    <t>SP_BG_07-10_Vrindavan_1974-08-16.mp3</t>
  </si>
  <si>
    <t>https://audio.iskcondesiretree.com/01_-_Srila_Prabhupada/01_-_Lectures/01_-_English/01_-_Topic_wise/Bhagavad_Gita/Chapter-07/SP_BG_07-10_Vrindavan_1974-08-16.mp3</t>
  </si>
  <si>
    <t>SP_SB_1-05-35_Vrindavan_1974-08-16_Krishna-Satisfied_with_Devotees.mp3</t>
  </si>
  <si>
    <t>https://audio.iskcondesiretree.com/01_-_Srila_Prabhupada/01_-_Lectures/01_-_English/01_-_Topic_wise/Srimad_Bhagavatam/Canto-01/SP_SB_1-05-35_Vrindavan_1974-08-16_Krishna-Satisfied_with_Devotees.mp3</t>
  </si>
  <si>
    <t>Bg-07-10_1974-08-16_BG-VRNDAVAN.MP3</t>
  </si>
  <si>
    <t>https://audio.iskcondesiretree.com/01_-_Srila_Prabhupada/01_-_Lectures/01_-_English/02_-_Month_wise/08_-_August/16/Bg-07-10_1974-08-16_BG-VRNDAVAN.MP3</t>
  </si>
  <si>
    <t>SB-01-05-35_1974-08-16_SB-VRNDAVAN.MP3</t>
  </si>
  <si>
    <t>https://audio.iskcondesiretree.com/01_-_Srila_Prabhupada/01_-_Lectures/01_-_English/02_-_Month_wise/08_-_August/16/SB-01-05-35_1974-08-16_SB-VRNDAVAN.MP3</t>
  </si>
  <si>
    <t>SB_1-05-35_VRN_1974-08-16_Krishna-Satisfied_with_Devotees.mp3</t>
  </si>
  <si>
    <t>https://audio.iskcondesiretree.com/01_-_Srila_Prabhupada/01_-_Lectures/01_-_English/02_-_Month_wise/08_-_August/16/SB_1-05-35_VRN_1974-08-16_Krishna-Satisfied_with_Devotees.mp3</t>
  </si>
  <si>
    <t>SP_SB_1-05-36_Vrindavan_1974-08-17.mp3</t>
  </si>
  <si>
    <t>https://audio.iskcondesiretree.com/01_-_Srila_Prabhupada/01_-_Lectures/01_-_English/01_-_Topic_wise/Srimad_Bhagavatam/Canto-01/SP_SB_1-05-36_Vrindavan_1974-08-17.mp3</t>
  </si>
  <si>
    <t>SB-01-05-36_1974-08-17_SB-VRNDAVAN.MP3</t>
  </si>
  <si>
    <t>https://audio.iskcondesiretree.com/01_-_Srila_Prabhupada/01_-_Lectures/01_-_English/02_-_Month_wise/08_-_August/17/SB-01-05-36_1974-08-17_SB-VRNDAVAN.MP3</t>
  </si>
  <si>
    <t>SP_Ceremony_Speech_Vrindavan_1974-08-18.mp3</t>
  </si>
  <si>
    <t>https://audio.iskcondesiretree.com/01_-_Srila_Prabhupada/01_-_Lectures/01_-_English/01_-_Topic_wise/Various/SP_Ceremony_Speech_Vrindavan_1974-08-18.mp3</t>
  </si>
  <si>
    <t>Speech_1974-08-18_SP-VRNDAVAN.MP3</t>
  </si>
  <si>
    <t>https://audio.iskcondesiretree.com/01_-_Srila_Prabhupada/01_-_Lectures/01_-_English/02_-_Month_wise/08_-_August/18/Speech_1974-08-18_SP-VRNDAVAN.MP3</t>
  </si>
  <si>
    <t>SP_Garden_Conversation_Vrindavan_1974-09-10.mp3</t>
  </si>
  <si>
    <t>https://audio.iskcondesiretree.com/01_-_Srila_Prabhupada/01_-_Lectures/01_-_English/01_-_Topic_wise/Various/SP_Garden_Conversation_Vrindavan_1974-09-10.mp3</t>
  </si>
  <si>
    <t>Conv_1974-09-10_GC-VRNDAVAN.MP3</t>
  </si>
  <si>
    <t>https://audio.iskcondesiretree.com/01_-_Srila_Prabhupada/01_-_Lectures/01_-_English/02_-_Month_wise/09_-_September/10/Conv_1974-09-10_GC-VRNDAVAN.MP3</t>
  </si>
  <si>
    <t>Walk_1974-09-10_MW-VRNDAVAN.MP3</t>
  </si>
  <si>
    <t>https://audio.iskcondesiretree.com/01_-_Srila_Prabhupada/01_-_Lectures/01_-_English/02_-_Month_wise/09_-_September/10/Walk_1974-09-10_MW-VRNDAVAN.MP3</t>
  </si>
  <si>
    <t>SP_Garden_Conversation_Vrindavan_1974-09-11.mp3</t>
  </si>
  <si>
    <t>https://audio.iskcondesiretree.com/01_-_Srila_Prabhupada/01_-_Lectures/01_-_English/01_-_Topic_wise/Various/SP_Garden_Conversation_Vrindavan_1974-09-11.mp3</t>
  </si>
  <si>
    <t>Conv_1974-09-11_GC-VRNDAVAN.MP3</t>
  </si>
  <si>
    <t>https://audio.iskcondesiretree.com/01_-_Srila_Prabhupada/01_-_Lectures/01_-_English/02_-_Month_wise/09_-_September/11/Conv_1974-09-11_GC-VRNDAVAN.MP3</t>
  </si>
  <si>
    <t>SP_BG_13-26_Delhi_1974-09-22.mp3</t>
  </si>
  <si>
    <t>https://audio.iskcondesiretree.com/01_-_Srila_Prabhupada/01_-_Lectures/01_-_English/01_-_Topic_wise/Bhagavad_Gita/Chapter-13/SP_BG_13-26_Delhi_1974-09-22.mp3</t>
  </si>
  <si>
    <t>Bg-13-26_1974-09-22_BG-DELHI.MP3</t>
  </si>
  <si>
    <t>https://audio.iskcondesiretree.com/01_-_Srila_Prabhupada/01_-_Lectures/01_-_English/02_-_Month_wise/09_-_September/22/Bg-13-26_1974-09-22_BG-DELHI.MP3</t>
  </si>
  <si>
    <t>SP_BG_04-10_Calcutta_1974-09-23_The_World_Is_a_Foreign_Country.mp3</t>
  </si>
  <si>
    <t>https://audio.iskcondesiretree.com/01_-_Srila_Prabhupada/01_-_Lectures/01_-_English/01_-_Topic_wise/Bhagavad_Gita/Chapter-04/SP_BG_04-10_Calcutta_1974-09-23_The_World_Is_a_Foreign_Country.mp3</t>
  </si>
  <si>
    <t>Bg-04-10_1974-09-23_BG-CALCUTTA.MP3</t>
  </si>
  <si>
    <t>https://audio.iskcondesiretree.com/01_-_Srila_Prabhupada/01_-_Lectures/01_-_English/02_-_Month_wise/09_-_September/23/Bg-04-10_1974-09-23_BG-CALCUTTA.MP3</t>
  </si>
  <si>
    <t>Bg_04-10_CAL_1974-09-23_The_World_Is_a_Foreign_Country.mp3</t>
  </si>
  <si>
    <t>https://audio.iskcondesiretree.com/01_-_Srila_Prabhupada/01_-_Lectures/01_-_English/02_-_Month_wise/09_-_September/23/Bg_04-10_CAL_1974-09-23_The_World_Is_a_Foreign_Country.mp3</t>
  </si>
  <si>
    <t>Radhastami_1974-09-23_BG-CALCUTTA.MP3</t>
  </si>
  <si>
    <t>https://audio.iskcondesiretree.com/01_-_Srila_Prabhupada/01_-_Lectures/01_-_English/02_-_Month_wise/09_-_September/23/Radhastami_1974-09-23_BG-CALCUTTA.MP3</t>
  </si>
  <si>
    <t>SP_SB_1-02-18_Calcutta_1974-09-26_Hear_Krishna%27s_Glories-Be_Cleansed.mp3</t>
  </si>
  <si>
    <t>https://audio.iskcondesiretree.com/01_-_Srila_Prabhupada/01_-_Lectures/01_-_English/01_-_Topic_wise/Srimad_Bhagavatam/Canto-01/SP_SB_1-02-18_Calcutta_1974-09-26_Hear_Krishna%27s_Glories-Be_Cleansed.mp3</t>
  </si>
  <si>
    <t>SB-01-02-18_1974-09-26_SB-CALCUTTA.MP3</t>
  </si>
  <si>
    <t>https://audio.iskcondesiretree.com/01_-_Srila_Prabhupada/01_-_Lectures/01_-_English/02_-_Month_wise/09_-_September/26/SB-01-02-18_1974-09-26_SB-CALCUTTA.MP3</t>
  </si>
  <si>
    <t>SB_1-02-18_CAL_1974-09-26_Hear_Krishna%27s_Glories-Be_Cleansed.mp3</t>
  </si>
  <si>
    <t>https://audio.iskcondesiretree.com/01_-_Srila_Prabhupada/01_-_Lectures/01_-_English/02_-_Month_wise/09_-_September/26/SB_1-02-18_CAL_1974-09-26_Hear_Krishna%27s_Glories-Be_Cleansed.mp3</t>
  </si>
  <si>
    <t>SP_Arrival_Mayapur_1974-09-27_This_Mission_Will_Be_Successful.mp3</t>
  </si>
  <si>
    <t>https://audio.iskcondesiretree.com/01_-_Srila_Prabhupada/01_-_Lectures/01_-_English/01_-_Topic_wise/Arrival_Address/SP_Arrival_Mayapur_1974-09-27_This_Mission_Will_Be_Successful.mp3</t>
  </si>
  <si>
    <t>SP_SB_1-02-19_Calcutta_1974-09-27_Understanding-Krishna%27s_Mercy.mp3</t>
  </si>
  <si>
    <t>https://audio.iskcondesiretree.com/01_-_Srila_Prabhupada/01_-_Lectures/01_-_English/01_-_Topic_wise/Srimad_Bhagavatam/Canto-01/SP_SB_1-02-19_Calcutta_1974-09-27_Understanding-Krishna%27s_Mercy.mp3</t>
  </si>
  <si>
    <t>Arr_MAY_1974-09-27_This_Mission_Will_Be_Successful.mp3</t>
  </si>
  <si>
    <t>https://audio.iskcondesiretree.com/01_-_Srila_Prabhupada/01_-_Lectures/01_-_English/02_-_Month_wise/09_-_September/27/Arr_MAY_1974-09-27_This_Mission_Will_Be_Successful.mp3</t>
  </si>
  <si>
    <t>Arrival_1974-09-27_AR-MAYAPUR.MP3</t>
  </si>
  <si>
    <t>https://audio.iskcondesiretree.com/01_-_Srila_Prabhupada/01_-_Lectures/01_-_English/02_-_Month_wise/09_-_September/27/Arrival_1974-09-27_AR-MAYAPUR.MP3</t>
  </si>
  <si>
    <t>SB-01-02-19_1974-09-27_SB-CALCUTTA.MP3</t>
  </si>
  <si>
    <t>https://audio.iskcondesiretree.com/01_-_Srila_Prabhupada/01_-_Lectures/01_-_English/02_-_Month_wise/09_-_September/27/SB-01-02-19_1974-09-27_SB-CALCUTTA.MP3</t>
  </si>
  <si>
    <t>SB_1-02-19_CAL_1974-09-27_Understanding-Krishna%27s_Mercy.mp3</t>
  </si>
  <si>
    <t>https://audio.iskcondesiretree.com/01_-_Srila_Prabhupada/01_-_Lectures/01_-_English/02_-_Month_wise/09_-_September/27/SB_1-02-19_CAL_1974-09-27_Understanding-Krishna%27s_Mercy.mp3</t>
  </si>
  <si>
    <t>SP_SB_1-08-18_Mayapur_1974-09-28_%27Democracy%27_vs._Divine_Rule.mp3</t>
  </si>
  <si>
    <t>https://audio.iskcondesiretree.com/01_-_Srila_Prabhupada/01_-_Lectures/01_-_English/01_-_Topic_wise/Srimad_Bhagavatam/Canto-01/SP_SB_1-08-18_Mayapur_1974-09-28_%27Democracy%27_vs._Divine_Rule.mp3</t>
  </si>
  <si>
    <t>SB-01-08-18_1974-09-28_SB-MAYAPUR.MP3</t>
  </si>
  <si>
    <t>https://audio.iskcondesiretree.com/01_-_Srila_Prabhupada/01_-_Lectures/01_-_English/02_-_Month_wise/09_-_September/28/SB-01-08-18_1974-09-28_SB-MAYAPUR.MP3</t>
  </si>
  <si>
    <t>SB_1-08-18_MAY_1974-09-28_Democracy_vs_Divine_Rule.mp3</t>
  </si>
  <si>
    <t>https://audio.iskcondesiretree.com/01_-_Srila_Prabhupada/01_-_Lectures/01_-_English/02_-_Month_wise/09_-_September/28/SB_1-08-18_MAY_1974-09-28_Democracy_vs_Divine_Rule.mp3</t>
  </si>
  <si>
    <t>SP_SB_1-08-19_Mayapur_1974-09-29_We_Came_Here_to_Pass_Stool.mp3</t>
  </si>
  <si>
    <t>https://audio.iskcondesiretree.com/01_-_Srila_Prabhupada/01_-_Lectures/01_-_English/01_-_Topic_wise/Srimad_Bhagavatam/Canto-01/SP_SB_1-08-19_Mayapur_1974-09-29_We_Came_Here_to_Pass_Stool.mp3</t>
  </si>
  <si>
    <t>Lecture%E2%80%93Bengali_1974-09-29_LE-MAYAPUR.MP3</t>
  </si>
  <si>
    <t>https://audio.iskcondesiretree.com/01_-_Srila_Prabhupada/01_-_Lectures/01_-_English/02_-_Month_wise/09_-_September/29/Lecture%E2%80%93Bengali_1974-09-29_LE-MAYAPUR.MP3</t>
  </si>
  <si>
    <t>SB-01-08-19_1974-09-29_SB-MAYAPUR.MP3</t>
  </si>
  <si>
    <t>https://audio.iskcondesiretree.com/01_-_Srila_Prabhupada/01_-_Lectures/01_-_English/02_-_Month_wise/09_-_September/29/SB-01-08-19_1974-09-29_SB-MAYAPUR.MP3</t>
  </si>
  <si>
    <t>SB_1-08-19_MAY_1974-09-29_We_Came_Here_to_Pass_Stool.mp3</t>
  </si>
  <si>
    <t>https://audio.iskcondesiretree.com/01_-_Srila_Prabhupada/01_-_Lectures/01_-_English/02_-_Month_wise/09_-_September/29/SB_1-08-19_MAY_1974-09-29_We_Came_Here_to_Pass_Stool.mp3</t>
  </si>
  <si>
    <t>SP_SB_1-08-20_Mayapur_1974-09-30_To_Be_Understood_by_Anyone.mp3</t>
  </si>
  <si>
    <t>https://audio.iskcondesiretree.com/01_-_Srila_Prabhupada/01_-_Lectures/01_-_English/01_-_Topic_wise/Srimad_Bhagavatam/Canto-01/SP_SB_1-08-20_Mayapur_1974-09-30_To_Be_Understood_by_Anyone.mp3</t>
  </si>
  <si>
    <t>SB-01-08-20_1974-09-30_SB-MAYAPUR.MP3</t>
  </si>
  <si>
    <t>https://audio.iskcondesiretree.com/01_-_Srila_Prabhupada/01_-_Lectures/01_-_English/02_-_Month_wise/09_-_September/30/SB-01-08-20_1974-09-30_SB-MAYAPUR.MP3</t>
  </si>
  <si>
    <t>SB_1-08-20_MAY_1974-09-30_To_Be_Understood_by_Anyone.mp3</t>
  </si>
  <si>
    <t>https://audio.iskcondesiretree.com/01_-_Srila_Prabhupada/01_-_Lectures/01_-_English/02_-_Month_wise/09_-_September/30/SB_1-08-20_MAY_1974-09-30_To_Be_Understood_by_Anyone.mp3</t>
  </si>
  <si>
    <t>SP_SB_1-08-21_Mayapur_1974-10-01_The_Krishna_Connection.mp3</t>
  </si>
  <si>
    <t>https://audio.iskcondesiretree.com/01_-_Srila_Prabhupada/01_-_Lectures/01_-_English/01_-_Topic_wise/Srimad_Bhagavatam/Canto-01/SP_SB_1-08-21_Mayapur_1974-10-01_The_Krishna_Connection.mp3</t>
  </si>
  <si>
    <t>SB-01-08-21_1974-10-01_SB-MAYAPUR.MP3</t>
  </si>
  <si>
    <t>https://audio.iskcondesiretree.com/01_-_Srila_Prabhupada/01_-_Lectures/01_-_English/02_-_Month_wise/10_-_October/01/SB-01-08-21_1974-10-01_SB-MAYAPUR.MP3</t>
  </si>
  <si>
    <t>SB_1-08-21_MAY_1974-10-01_The_Krishna_Connection.mp3</t>
  </si>
  <si>
    <t>https://audio.iskcondesiretree.com/01_-_Srila_Prabhupada/01_-_Lectures/01_-_English/02_-_Month_wise/10_-_October/01/SB_1-08-21_MAY_1974-10-01_The_Krishna_Connection.mp3</t>
  </si>
  <si>
    <t>SP_SB_1-08-23_Mayapur_1974-10-03_A_Slip_%27Twixt_the_Cup_and_Lip.mp3</t>
  </si>
  <si>
    <t>https://audio.iskcondesiretree.com/01_-_Srila_Prabhupada/01_-_Lectures/01_-_English/01_-_Topic_wise/Srimad_Bhagavatam/Canto-01/SP_SB_1-08-23_Mayapur_1974-10-03_A_Slip_%27Twixt_the_Cup_and_Lip.mp3</t>
  </si>
  <si>
    <t>Lecture%E2%80%93Bengali_1974-10-03_LE-MAYAPUR.MP3</t>
  </si>
  <si>
    <t>https://audio.iskcondesiretree.com/01_-_Srila_Prabhupada/01_-_Lectures/01_-_English/02_-_Month_wise/10_-_October/03/Lecture%E2%80%93Bengali_1974-10-03_LE-MAYAPUR.MP3</t>
  </si>
  <si>
    <t>SB-01-08-23_1974-10-03_SB-MAYAPUR.MP3</t>
  </si>
  <si>
    <t>https://audio.iskcondesiretree.com/01_-_Srila_Prabhupada/01_-_Lectures/01_-_English/02_-_Month_wise/10_-_October/03/SB-01-08-23_1974-10-03_SB-MAYAPUR.MP3</t>
  </si>
  <si>
    <t>SB_1-08-23_MAY_1974-10-03_A_Slip_Twixt_the_Cup_and_Lip.mp3</t>
  </si>
  <si>
    <t>https://audio.iskcondesiretree.com/01_-_Srila_Prabhupada/01_-_Lectures/01_-_English/02_-_Month_wise/10_-_October/03/SB_1-08-23_MAY_1974-10-03_A_Slip_Twixt_the_Cup_and_Lip.mp3</t>
  </si>
  <si>
    <t>SP_SB_1-08-24_Mayapur_1974-10-04_Always_Expect_Danger.mp3</t>
  </si>
  <si>
    <t>https://audio.iskcondesiretree.com/01_-_Srila_Prabhupada/01_-_Lectures/01_-_English/01_-_Topic_wise/Srimad_Bhagavatam/Canto-01/SP_SB_1-08-24_Mayapur_1974-10-04_Always_Expect_Danger.mp3</t>
  </si>
  <si>
    <t>SB-01-08-24_1974-10-04_SB-MAYAPUR.MP3</t>
  </si>
  <si>
    <t>https://audio.iskcondesiretree.com/01_-_Srila_Prabhupada/01_-_Lectures/01_-_English/02_-_Month_wise/10_-_October/04/SB-01-08-24_1974-10-04_SB-MAYAPUR.MP3</t>
  </si>
  <si>
    <t>SB_1-08-24_MAY_1974-10-04_Always_Expect_Danger.mp3</t>
  </si>
  <si>
    <t>https://audio.iskcondesiretree.com/01_-_Srila_Prabhupada/01_-_Lectures/01_-_English/02_-_Month_wise/10_-_October/04/SB_1-08-24_MAY_1974-10-04_Always_Expect_Danger.mp3</t>
  </si>
  <si>
    <t>SP_SB_1-08-25_Vrindavan_1974-10-05_Reincarnation-Very_Risky.mp3</t>
  </si>
  <si>
    <t>https://audio.iskcondesiretree.com/01_-_Srila_Prabhupada/01_-_Lectures/01_-_English/01_-_Topic_wise/Srimad_Bhagavatam/Canto-01/SP_SB_1-08-25_Vrindavan_1974-10-05_Reincarnation-Very_Risky.mp3</t>
  </si>
  <si>
    <t>SB-01-08-25_1974-10-05_SB-MAYAPUR.MP3</t>
  </si>
  <si>
    <t>https://audio.iskcondesiretree.com/01_-_Srila_Prabhupada/01_-_Lectures/01_-_English/02_-_Month_wise/10_-_October/05/SB-01-08-25_1974-10-05_SB-MAYAPUR.MP3</t>
  </si>
  <si>
    <t>SB_1-08-25_VRN_1974-10-05_Reincarnation-Very_Risky.mp3</t>
  </si>
  <si>
    <t>https://audio.iskcondesiretree.com/01_-_Srila_Prabhupada/01_-_Lectures/01_-_English/02_-_Month_wise/10_-_October/05/SB_1-08-25_VRN_1974-10-05_Reincarnation-Very_Risky.mp3</t>
  </si>
  <si>
    <t>SP_SB_1-08-26_Mayapur_1974-10-06_I%27ve_Got_Something.mp3</t>
  </si>
  <si>
    <t>https://audio.iskcondesiretree.com/01_-_Srila_Prabhupada/01_-_Lectures/01_-_English/01_-_Topic_wise/Srimad_Bhagavatam/Canto-01/SP_SB_1-08-26_Mayapur_1974-10-06_I%27ve_Got_Something.mp3</t>
  </si>
  <si>
    <t>SB-01-08-26_1974-10-06_SB-MAYAPUR.MP3</t>
  </si>
  <si>
    <t>https://audio.iskcondesiretree.com/01_-_Srila_Prabhupada/01_-_Lectures/01_-_English/02_-_Month_wise/10_-_October/06/SB-01-08-26_1974-10-06_SB-MAYAPUR.MP3</t>
  </si>
  <si>
    <t>SB_1-08-26_MAY_1974-10-06_I%27ve_Got_Something.mp3</t>
  </si>
  <si>
    <t>https://audio.iskcondesiretree.com/01_-_Srila_Prabhupada/01_-_Lectures/01_-_English/02_-_Month_wise/10_-_October/06/SB_1-08-26_MAY_1974-10-06_I%27ve_Got_Something.mp3</t>
  </si>
  <si>
    <t>Lecture%E2%80%93Bengali_1974-10-07_LE-MAYAPUR.MP3</t>
  </si>
  <si>
    <t>https://audio.iskcondesiretree.com/01_-_Srila_Prabhupada/01_-_Lectures/01_-_English/02_-_Month_wise/10_-_October/07/Lecture%E2%80%93Bengali_1974-10-07_LE-MAYAPUR.MP3</t>
  </si>
  <si>
    <t>SP_SB_1-08-28_Mayapur_1974-10-08_Don%27t_Be_a_%27Skin_Observer%27.mp3</t>
  </si>
  <si>
    <t>https://audio.iskcondesiretree.com/01_-_Srila_Prabhupada/01_-_Lectures/01_-_English/01_-_Topic_wise/Srimad_Bhagavatam/Canto-01/SP_SB_1-08-28_Mayapur_1974-10-08_Don%27t_Be_a_%27Skin_Observer%27.mp3</t>
  </si>
  <si>
    <t>SB-01-08-28_1974-10-08_SB-MAYAPUR.MP3</t>
  </si>
  <si>
    <t>https://audio.iskcondesiretree.com/01_-_Srila_Prabhupada/01_-_Lectures/01_-_English/02_-_Month_wise/10_-_October/08/SB-01-08-28_1974-10-08_SB-MAYAPUR.MP3</t>
  </si>
  <si>
    <t>SB_1-08-28_MAY_1974-10-08_Don%27t_Be_a_Skin_Observer.mp3</t>
  </si>
  <si>
    <t>https://audio.iskcondesiretree.com/01_-_Srila_Prabhupada/01_-_Lectures/01_-_English/02_-_Month_wise/10_-_October/08/SB_1-08-28_MAY_1974-10-08_Don%27t_Be_a_Skin_Observer.mp3</t>
  </si>
  <si>
    <t>SP_SB_1-08-29_Mayapur_1974-10-09_Krishna%27s_Loving_Impartiality.mp3</t>
  </si>
  <si>
    <t>https://audio.iskcondesiretree.com/01_-_Srila_Prabhupada/01_-_Lectures/01_-_English/01_-_Topic_wise/Srimad_Bhagavatam/Canto-01/SP_SB_1-08-29_Mayapur_1974-10-09_Krishna%27s_Loving_Impartiality.mp3</t>
  </si>
  <si>
    <t>SB-01-08-29_1974-10-09_SB-MAYAPUR.MP3</t>
  </si>
  <si>
    <t>https://audio.iskcondesiretree.com/01_-_Srila_Prabhupada/01_-_Lectures/01_-_English/02_-_Month_wise/10_-_October/09/SB-01-08-29_1974-10-09_SB-MAYAPUR.MP3</t>
  </si>
  <si>
    <t>SB_1-08-29_MAY_1974-10-09_Krishna%27s_Loving_Impartiality.mp3</t>
  </si>
  <si>
    <t>https://audio.iskcondesiretree.com/01_-_Srila_Prabhupada/01_-_Lectures/01_-_English/02_-_Month_wise/10_-_October/09/SB_1-08-29_MAY_1974-10-09_Krishna%27s_Loving_Impartiality.mp3</t>
  </si>
  <si>
    <t>SP_SB_1-08-30_Mayapur_1974-10-10_Krishna%27s_Active_Inactivity.mp3</t>
  </si>
  <si>
    <t>https://audio.iskcondesiretree.com/01_-_Srila_Prabhupada/01_-_Lectures/01_-_English/01_-_Topic_wise/Srimad_Bhagavatam/Canto-01/SP_SB_1-08-30_Mayapur_1974-10-10_Krishna%27s_Active_Inactivity.mp3</t>
  </si>
  <si>
    <t>SB-01-08-30_1974-10-10_SB-MAYAPUR.MP3</t>
  </si>
  <si>
    <t>https://audio.iskcondesiretree.com/01_-_Srila_Prabhupada/01_-_Lectures/01_-_English/02_-_Month_wise/10_-_October/10/SB-01-08-30_1974-10-10_SB-MAYAPUR.MP3</t>
  </si>
  <si>
    <t>SB_1-08-30_MAY_1974-10-10_Krishna%27s_Active_Inactivity.mp3</t>
  </si>
  <si>
    <t>https://audio.iskcondesiretree.com/01_-_Srila_Prabhupada/01_-_Lectures/01_-_English/02_-_Month_wise/10_-_October/10/SB_1-08-30_MAY_1974-10-10_Krishna%27s_Active_Inactivity.mp3</t>
  </si>
  <si>
    <t>SP_SB_1-08-31_Mayapur_1974-10-11_A_Devotee_Likes_to_Be--etc.mp3</t>
  </si>
  <si>
    <t>https://audio.iskcondesiretree.com/01_-_Srila_Prabhupada/01_-_Lectures/01_-_English/01_-_Topic_wise/Srimad_Bhagavatam/Canto-01/SP_SB_1-08-31_Mayapur_1974-10-11_A_Devotee_Likes_to_Be--etc.mp3</t>
  </si>
  <si>
    <t>SB-01-08-31_1974-10-11_SB-MAYAPUR.MP3</t>
  </si>
  <si>
    <t>https://audio.iskcondesiretree.com/01_-_Srila_Prabhupada/01_-_Lectures/01_-_English/02_-_Month_wise/10_-_October/11/SB-01-08-31_1974-10-11_SB-MAYAPUR.MP3</t>
  </si>
  <si>
    <t>SB_1-08-31_MAY_1974-10-11_A_Devotee_Likes_to_Be_etc.mp3</t>
  </si>
  <si>
    <t>https://audio.iskcondesiretree.com/01_-_Srila_Prabhupada/01_-_Lectures/01_-_English/02_-_Month_wise/10_-_October/11/SB_1-08-31_MAY_1974-10-11_A_Devotee_Likes_to_Be_etc.mp3</t>
  </si>
  <si>
    <t>SP_SB_1-08-32_Mayapur_1974-10-12_Become_Dear_to_Krishna.mp3</t>
  </si>
  <si>
    <t>https://audio.iskcondesiretree.com/01_-_Srila_Prabhupada/01_-_Lectures/01_-_English/01_-_Topic_wise/Srimad_Bhagavatam/Canto-01/SP_SB_1-08-32_Mayapur_1974-10-12_Become_Dear_to_Krishna.mp3</t>
  </si>
  <si>
    <t>SB-01-08-32_1974-10-12_SB-MAYAPUR.MP3</t>
  </si>
  <si>
    <t>https://audio.iskcondesiretree.com/01_-_Srila_Prabhupada/01_-_Lectures/01_-_English/02_-_Month_wise/10_-_October/12/SB-01-08-32_1974-10-12_SB-MAYAPUR.MP3</t>
  </si>
  <si>
    <t>SB_1-08-32_MAY_1974-10-12_Become_Dear_to_Krishna.mp3</t>
  </si>
  <si>
    <t>https://audio.iskcondesiretree.com/01_-_Srila_Prabhupada/01_-_Lectures/01_-_English/02_-_Month_wise/10_-_October/12/SB_1-08-32_MAY_1974-10-12_Become_Dear_to_Krishna.mp3</t>
  </si>
  <si>
    <t>SP_SB_1-08-33_Mayapur_1974-10-13_The_Whole_Thing_in_One_Word.mp3</t>
  </si>
  <si>
    <t>https://audio.iskcondesiretree.com/01_-_Srila_Prabhupada/01_-_Lectures/01_-_English/01_-_Topic_wise/Srimad_Bhagavatam/Canto-01/SP_SB_1-08-33_Mayapur_1974-10-13_The_Whole_Thing_in_One_Word.mp3</t>
  </si>
  <si>
    <t>SB-01-08-33_1974-10-13_SB-MAYAPUR.MP3</t>
  </si>
  <si>
    <t>https://audio.iskcondesiretree.com/01_-_Srila_Prabhupada/01_-_Lectures/01_-_English/02_-_Month_wise/10_-_October/13/SB-01-08-33_1974-10-13_SB-MAYAPUR.MP3</t>
  </si>
  <si>
    <t>SB_1-08-33_MAY_1974-10-13_The_Whole_Thing_in_One_Word.mp3</t>
  </si>
  <si>
    <t>https://audio.iskcondesiretree.com/01_-_Srila_Prabhupada/01_-_Lectures/01_-_English/02_-_Month_wise/10_-_October/13/SB_1-08-33_MAY_1974-10-13_The_Whole_Thing_in_One_Word.mp3</t>
  </si>
  <si>
    <t>SP_SB_1-08-34_Mayapur_1974-10-14_Relief_from_Unbearable_Burdens.mp3</t>
  </si>
  <si>
    <t>https://audio.iskcondesiretree.com/01_-_Srila_Prabhupada/01_-_Lectures/01_-_English/01_-_Topic_wise/Srimad_Bhagavatam/Canto-01/SP_SB_1-08-34_Mayapur_1974-10-14_Relief_from_Unbearable_Burdens.mp3</t>
  </si>
  <si>
    <t>SB-01-08-34_1974-10-14_SB-MAYAPUR.MP3</t>
  </si>
  <si>
    <t>https://audio.iskcondesiretree.com/01_-_Srila_Prabhupada/01_-_Lectures/01_-_English/02_-_Month_wise/10_-_October/14/SB-01-08-34_1974-10-14_SB-MAYAPUR.MP3</t>
  </si>
  <si>
    <t>SB_1-08-34_MAY_1974-10-14_Relief_from_Unbearable_Burdens.mp3</t>
  </si>
  <si>
    <t>https://audio.iskcondesiretree.com/01_-_Srila_Prabhupada/01_-_Lectures/01_-_English/02_-_Month_wise/10_-_October/14/SB_1-08-34_MAY_1974-10-14_Relief_from_Unbearable_Burdens.mp3</t>
  </si>
  <si>
    <t>SP_SB_1-08-35_Mayapur_1974-10-15_Rascal_Surrender.mp3</t>
  </si>
  <si>
    <t>https://audio.iskcondesiretree.com/01_-_Srila_Prabhupada/01_-_Lectures/01_-_English/01_-_Topic_wise/Srimad_Bhagavatam/Canto-01/SP_SB_1-08-35_Mayapur_1974-10-15_Rascal_Surrender.mp3</t>
  </si>
  <si>
    <t>Lecture%E2%80%93Bengali_1974-10-15_LE-MAYAPUR.MP3</t>
  </si>
  <si>
    <t>https://audio.iskcondesiretree.com/01_-_Srila_Prabhupada/01_-_Lectures/01_-_English/02_-_Month_wise/10_-_October/15/Lecture%E2%80%93Bengali_1974-10-15_LE-MAYAPUR.MP3</t>
  </si>
  <si>
    <t>SB-01-08-35_1974-10-15_SB-MAYAPUR.MP3</t>
  </si>
  <si>
    <t>https://audio.iskcondesiretree.com/01_-_Srila_Prabhupada/01_-_Lectures/01_-_English/02_-_Month_wise/10_-_October/15/SB-01-08-35_1974-10-15_SB-MAYAPUR.MP3</t>
  </si>
  <si>
    <t>SB_1-08-35_MAY_1974-10-15_Rascal_Surrender.mp3</t>
  </si>
  <si>
    <t>https://audio.iskcondesiretree.com/01_-_Srila_Prabhupada/01_-_Lectures/01_-_English/02_-_Month_wise/10_-_October/15/SB_1-08-35_MAY_1974-10-15_Rascal_Surrender.mp3</t>
  </si>
  <si>
    <t>SP_SB_1-08-36_Mayapur_1974-10-16_Senses_On_Strike.mp3</t>
  </si>
  <si>
    <t>https://audio.iskcondesiretree.com/01_-_Srila_Prabhupada/01_-_Lectures/01_-_English/01_-_Topic_wise/Srimad_Bhagavatam/Canto-01/SP_SB_1-08-36_Mayapur_1974-10-16_Senses_On_Strike.mp3</t>
  </si>
  <si>
    <t>Lecture%E2%80%93Bengali_1974-10-16_LE-MAYAPUR.MP3</t>
  </si>
  <si>
    <t>https://audio.iskcondesiretree.com/01_-_Srila_Prabhupada/01_-_Lectures/01_-_English/02_-_Month_wise/10_-_October/16/Lecture%E2%80%93Bengali_1974-10-16_LE-MAYAPUR.MP3</t>
  </si>
  <si>
    <t>SB-01-08-36_1974-10-16_SB-MAYAPUR.MP3</t>
  </si>
  <si>
    <t>https://audio.iskcondesiretree.com/01_-_Srila_Prabhupada/01_-_Lectures/01_-_English/02_-_Month_wise/10_-_October/16/SB-01-08-36_1974-10-16_SB-MAYAPUR.MP3</t>
  </si>
  <si>
    <t>SB_1-08-36_MAY_1974-10-16_Senses_On_Strike.mp3</t>
  </si>
  <si>
    <t>https://audio.iskcondesiretree.com/01_-_Srila_Prabhupada/01_-_Lectures/01_-_English/02_-_Month_wise/10_-_October/16/SB_1-08-36_MAY_1974-10-16_Senses_On_Strike.mp3</t>
  </si>
  <si>
    <t>SP_SB_1-08-39_Mayapur_1974-10-19_Keep_Krishna_Here.mp3</t>
  </si>
  <si>
    <t>https://audio.iskcondesiretree.com/01_-_Srila_Prabhupada/01_-_Lectures/01_-_English/01_-_Topic_wise/Srimad_Bhagavatam/Canto-01/SP_SB_1-08-39_Mayapur_1974-10-19_Keep_Krishna_Here.mp3</t>
  </si>
  <si>
    <t>SB-01-08-39_1974-10-19_SB-MAYAPUR.MP3</t>
  </si>
  <si>
    <t>https://audio.iskcondesiretree.com/01_-_Srila_Prabhupada/01_-_Lectures/01_-_English/02_-_Month_wise/10_-_October/19/SB-01-08-39_1974-10-19_SB-MAYAPUR.MP3</t>
  </si>
  <si>
    <t>SB_1-08-39_MAY_1974-10-19_Keep_Krishna_Here.mp3</t>
  </si>
  <si>
    <t>https://audio.iskcondesiretree.com/01_-_Srila_Prabhupada/01_-_Lectures/01_-_English/02_-_Month_wise/10_-_October/19/SB_1-08-39_MAY_1974-10-19_Keep_Krishna_Here.mp3</t>
  </si>
  <si>
    <t>SP_SB_1-08-40_Mayapur_1974-10-20_Modern_Inventions_Make_Hell.mp3</t>
  </si>
  <si>
    <t>https://audio.iskcondesiretree.com/01_-_Srila_Prabhupada/01_-_Lectures/01_-_English/01_-_Topic_wise/Srimad_Bhagavatam/Canto-01/SP_SB_1-08-40_Mayapur_1974-10-20_Modern_Inventions_Make_Hell.mp3</t>
  </si>
  <si>
    <t>SB-01-08-40_1974-10-20_SB-MAYAPUR.MP3</t>
  </si>
  <si>
    <t>https://audio.iskcondesiretree.com/01_-_Srila_Prabhupada/01_-_Lectures/01_-_English/02_-_Month_wise/10_-_October/20/SB-01-08-40_1974-10-20_SB-MAYAPUR.MP3</t>
  </si>
  <si>
    <t>SB_1-08-40_MAY_1974-10-20_Modern_Inventions_Make_Hell.mp3</t>
  </si>
  <si>
    <t>https://audio.iskcondesiretree.com/01_-_Srila_Prabhupada/01_-_Lectures/01_-_English/02_-_Month_wise/10_-_October/20/SB_1-08-40_MAY_1974-10-20_Modern_Inventions_Make_Hell.mp3</t>
  </si>
  <si>
    <t>SP_SB_1-08-41_Mayapur_1974-10-21_The_Ropes_of_Affection.mp3</t>
  </si>
  <si>
    <t>https://audio.iskcondesiretree.com/01_-_Srila_Prabhupada/01_-_Lectures/01_-_English/01_-_Topic_wise/Srimad_Bhagavatam/Canto-01/SP_SB_1-08-41_Mayapur_1974-10-21_The_Ropes_of_Affection.mp3</t>
  </si>
  <si>
    <t>SB-01-08-41_1974-10-21_SB-MAYAPUR.MP3</t>
  </si>
  <si>
    <t>https://audio.iskcondesiretree.com/01_-_Srila_Prabhupada/01_-_Lectures/01_-_English/02_-_Month_wise/10_-_October/21/SB-01-08-41_1974-10-21_SB-MAYAPUR.MP3</t>
  </si>
  <si>
    <t>SB_1-08-41_MAY_1974-10-21_The_Ropes_of_Affection.mp3</t>
  </si>
  <si>
    <t>https://audio.iskcondesiretree.com/01_-_Srila_Prabhupada/01_-_Lectures/01_-_English/02_-_Month_wise/10_-_October/21/SB_1-08-41_MAY_1974-10-21_The_Ropes_of_Affection.mp3</t>
  </si>
  <si>
    <t>SP_SB_1-08-42_Mayapur_1974-10-22_The_Psychology_of_the_Eternal.mp3</t>
  </si>
  <si>
    <t>https://audio.iskcondesiretree.com/01_-_Srila_Prabhupada/01_-_Lectures/01_-_English/01_-_Topic_wise/Srimad_Bhagavatam/Canto-01/SP_SB_1-08-42_Mayapur_1974-10-22_The_Psychology_of_the_Eternal.mp3</t>
  </si>
  <si>
    <t>SB-01-08-42_1974-10-22_SB-MAYAPUR.MP3</t>
  </si>
  <si>
    <t>https://audio.iskcondesiretree.com/01_-_Srila_Prabhupada/01_-_Lectures/01_-_English/02_-_Month_wise/10_-_October/22/SB-01-08-42_1974-10-22_SB-MAYAPUR.MP3</t>
  </si>
  <si>
    <t>SB_1-08-42_MAY_1974-10-22_The_Psychology_of_the_Eternal.mp3</t>
  </si>
  <si>
    <t>https://audio.iskcondesiretree.com/01_-_Srila_Prabhupada/01_-_Lectures/01_-_English/02_-_Month_wise/10_-_October/22/SB_1-08-42_MAY_1974-10-22_The_Psychology_of_the_Eternal.mp3</t>
  </si>
  <si>
    <t>SP_SB_1-08-43_Mayapur_1974-10-23_Enter_Krishna%27s_Family.mp3</t>
  </si>
  <si>
    <t>https://audio.iskcondesiretree.com/01_-_Srila_Prabhupada/01_-_Lectures/01_-_English/01_-_Topic_wise/Srimad_Bhagavatam/Canto-01/SP_SB_1-08-43_Mayapur_1974-10-23_Enter_Krishna%27s_Family.mp3</t>
  </si>
  <si>
    <t>SB-01-08-43_1974-10-23_SB-MAYAPUR.MP3</t>
  </si>
  <si>
    <t>https://audio.iskcondesiretree.com/01_-_Srila_Prabhupada/01_-_Lectures/01_-_English/02_-_Month_wise/10_-_October/23/SB-01-08-43_1974-10-23_SB-MAYAPUR.MP3</t>
  </si>
  <si>
    <t>SB_1-08-43_MAY_1974-10-23_Enter_Krishna%27s_Family.mp3</t>
  </si>
  <si>
    <t>https://audio.iskcondesiretree.com/01_-_Srila_Prabhupada/01_-_Lectures/01_-_English/02_-_Month_wise/10_-_October/23/SB_1-08-43_MAY_1974-10-23_Enter_Krishna%27s_Family.mp3</t>
  </si>
  <si>
    <t>SP_SB_1-08-44_Mayapur_1974-10-24_Selected_Words_for_the_Smiling_Lord.mp3</t>
  </si>
  <si>
    <t>https://audio.iskcondesiretree.com/01_-_Srila_Prabhupada/01_-_Lectures/01_-_English/01_-_Topic_wise/Srimad_Bhagavatam/Canto-01/SP_SB_1-08-44_Mayapur_1974-10-24_Selected_Words_for_the_Smiling_Lord.mp3</t>
  </si>
  <si>
    <t>SB-01-08-44_1974-10-24_SB-MAYAPUR.MP3</t>
  </si>
  <si>
    <t>https://audio.iskcondesiretree.com/01_-_Srila_Prabhupada/01_-_Lectures/01_-_English/02_-_Month_wise/10_-_October/24/SB-01-08-44_1974-10-24_SB-MAYAPUR.MP3</t>
  </si>
  <si>
    <t>SB_1-08-44_MAY_1974-10-24_Selected_Words_for_the_Smiling_Lord.mp3</t>
  </si>
  <si>
    <t>https://audio.iskcondesiretree.com/01_-_Srila_Prabhupada/01_-_Lectures/01_-_English/02_-_Month_wise/10_-_October/24/SB_1-08-44_MAY_1974-10-24_Selected_Words_for_the_Smiling_Lord.mp3</t>
  </si>
  <si>
    <t>SP_SB_1-08-45_Mayapur_1974-10-25_Krishna_Wants_to_Be_Controlled.mp3</t>
  </si>
  <si>
    <t>https://audio.iskcondesiretree.com/01_-_Srila_Prabhupada/01_-_Lectures/01_-_English/01_-_Topic_wise/Srimad_Bhagavatam/Canto-01/SP_SB_1-08-45_Mayapur_1974-10-25_Krishna_Wants_to_Be_Controlled.mp3</t>
  </si>
  <si>
    <t>SB-01-08-45_1974-10-25_SB-MAYAPUR.MP3</t>
  </si>
  <si>
    <t>https://audio.iskcondesiretree.com/01_-_Srila_Prabhupada/01_-_Lectures/01_-_English/02_-_Month_wise/10_-_October/25/SB-01-08-45_1974-10-25_SB-MAYAPUR.MP3</t>
  </si>
  <si>
    <t>SB_1-08-45_MAY_1974-10-25_Krishna_Wants_to_Be_Controlled.mp3</t>
  </si>
  <si>
    <t>https://audio.iskcondesiretree.com/01_-_Srila_Prabhupada/01_-_Lectures/01_-_English/02_-_Month_wise/10_-_October/25/SB_1-08-45_MAY_1974-10-25_Krishna_Wants_to_Be_Controlled.mp3</t>
  </si>
  <si>
    <t>SP_SB_1-08-46_Mayapur_1974-10-26_Politics-Me_King_Others_Killed.mp3</t>
  </si>
  <si>
    <t>https://audio.iskcondesiretree.com/01_-_Srila_Prabhupada/01_-_Lectures/01_-_English/01_-_Topic_wise/Srimad_Bhagavatam/Canto-01/SP_SB_1-08-46_Mayapur_1974-10-26_Politics-Me_King_Others_Killed.mp3</t>
  </si>
  <si>
    <t>SB-01-08-46_1974-10-26_SB-MAYAPUR.MP3</t>
  </si>
  <si>
    <t>https://audio.iskcondesiretree.com/01_-_Srila_Prabhupada/01_-_Lectures/01_-_English/02_-_Month_wise/10_-_October/26/SB-01-08-46_1974-10-26_SB-MAYAPUR.MP3</t>
  </si>
  <si>
    <t>SB_1-08-46_MAY_1974-10-26_Politics-Me_King_Others_Killed.mp3</t>
  </si>
  <si>
    <t>https://audio.iskcondesiretree.com/01_-_Srila_Prabhupada/01_-_Lectures/01_-_English/02_-_Month_wise/10_-_October/26/SB_1-08-46_MAY_1974-10-26_Politics-Me_King_Others_Killed.mp3</t>
  </si>
  <si>
    <t>SP_SB_1-08-47_Mayapur_1974-10-27_Material_Affection_Has_New_Orleans_Meaning.mp3</t>
  </si>
  <si>
    <t>https://audio.iskcondesiretree.com/01_-_Srila_Prabhupada/01_-_Lectures/01_-_English/01_-_Topic_wise/Srimad_Bhagavatam/Canto-01/SP_SB_1-08-47_Mayapur_1974-10-27_Material_Affection_Has_New_Orleans_Meaning.mp3</t>
  </si>
  <si>
    <t>SB-01-08-47_1974-10-27_SB-MAYAPUR.MP3</t>
  </si>
  <si>
    <t>https://audio.iskcondesiretree.com/01_-_Srila_Prabhupada/01_-_Lectures/01_-_English/02_-_Month_wise/10_-_October/27/SB-01-08-47_1974-10-27_SB-MAYAPUR.MP3</t>
  </si>
  <si>
    <t>SB_1-08-47_MAY_1974-10-27_Material_Affection_Has_No_Meaning.mp3</t>
  </si>
  <si>
    <t>https://audio.iskcondesiretree.com/01_-_Srila_Prabhupada/01_-_Lectures/01_-_English/02_-_Month_wise/10_-_October/27/SB_1-08-47_MAY_1974-10-27_Material_Affection_Has_No_Meaning.mp3</t>
  </si>
  <si>
    <t>SP_SB_1-08-48_Mayapur_1974-10-28_My_Body_and_I_Belong_to_Krishna.mp3</t>
  </si>
  <si>
    <t>https://audio.iskcondesiretree.com/01_-_Srila_Prabhupada/01_-_Lectures/01_-_English/01_-_Topic_wise/Srimad_Bhagavatam/Canto-01/SP_SB_1-08-48_Mayapur_1974-10-28_My_Body_and_I_Belong_to_Krishna.mp3</t>
  </si>
  <si>
    <t>SB-01-08-48_1974-10-28_SB-MAYAPUR.MP3</t>
  </si>
  <si>
    <t>https://audio.iskcondesiretree.com/01_-_Srila_Prabhupada/01_-_Lectures/01_-_English/02_-_Month_wise/10_-_October/28/SB-01-08-48_1974-10-28_SB-MAYAPUR.MP3</t>
  </si>
  <si>
    <t>SB_1-08-48_MAY_1974-10-28_My_Body_and_I_Belong_to_Krishna.mp3</t>
  </si>
  <si>
    <t>https://audio.iskcondesiretree.com/01_-_Srila_Prabhupada/01_-_Lectures/01_-_English/02_-_Month_wise/10_-_October/28/SB_1-08-48_MAY_1974-10-28_My_Body_and_I_Belong_to_Krishna.mp3</t>
  </si>
  <si>
    <t>SP_SB_1-08-49_Mayapur_1974-10-29_Devotees_Have_New_Orleans_Debts.mp3</t>
  </si>
  <si>
    <t>https://audio.iskcondesiretree.com/01_-_Srila_Prabhupada/01_-_Lectures/01_-_English/01_-_Topic_wise/Srimad_Bhagavatam/Canto-01/SP_SB_1-08-49_Mayapur_1974-10-29_Devotees_Have_New_Orleans_Debts.mp3</t>
  </si>
  <si>
    <t>SB-01-08-49_1974-10-29_SB-MAYAPUR.MP3</t>
  </si>
  <si>
    <t>https://audio.iskcondesiretree.com/01_-_Srila_Prabhupada/01_-_Lectures/01_-_English/02_-_Month_wise/10_-_October/29/SB-01-08-49_1974-10-29_SB-MAYAPUR.MP3</t>
  </si>
  <si>
    <t>SB_1-08-49_MAY_1974-10-29_Devotees_Have_No_Debts.mp3</t>
  </si>
  <si>
    <t>https://audio.iskcondesiretree.com/01_-_Srila_Prabhupada/01_-_Lectures/01_-_English/02_-_Month_wise/10_-_October/29/SB_1-08-49_MAY_1974-10-29_Devotees_Have_No_Debts.mp3</t>
  </si>
  <si>
    <t>SP_SB_3-25-01_Bombay_1974-11-01_Fire_Is_Fire_Gold_Is_Gold--etc.mp3</t>
  </si>
  <si>
    <t>https://audio.iskcondesiretree.com/01_-_Srila_Prabhupada/01_-_Lectures/01_-_English/01_-_Topic_wise/Srimad_Bhagavatam/Canto-03/SP_SB_3-25-01_Bombay_1974-11-01_Fire_Is_Fire_Gold_Is_Gold--etc.mp3</t>
  </si>
  <si>
    <t>SB-03-25-01_1974-11-01_SB-BOMBAY.MP3</t>
  </si>
  <si>
    <t>https://audio.iskcondesiretree.com/01_-_Srila_Prabhupada/01_-_Lectures/01_-_English/02_-_Month_wise/11_-_November/01/SB-03-25-01_1974-11-01_SB-BOMBAY.MP3</t>
  </si>
  <si>
    <t>SB_3-25-01_BOM_1974-11-01_Fire_Is_Fire_Gold_Is_Gold_etc.mp3</t>
  </si>
  <si>
    <t>https://audio.iskcondesiretree.com/01_-_Srila_Prabhupada/01_-_Lectures/01_-_English/02_-_Month_wise/11_-_November/01/SB_3-25-01_BOM_1974-11-01_Fire_Is_Fire_Gold_Is_Gold_etc.mp3</t>
  </si>
  <si>
    <t>SP_SB_3-25-02_Bombay_1974-11-02_Eat_Drink_Be_Merry--%28For--etc.mp3</t>
  </si>
  <si>
    <t>https://audio.iskcondesiretree.com/01_-_Srila_Prabhupada/01_-_Lectures/01_-_English/01_-_Topic_wise/Srimad_Bhagavatam/Canto-03/SP_SB_3-25-02_Bombay_1974-11-02_Eat_Drink_Be_Merry--%28For--etc.mp3</t>
  </si>
  <si>
    <t>SB-03-25-02_1974-11-02_SB-BOMBAY.MP3</t>
  </si>
  <si>
    <t>https://audio.iskcondesiretree.com/01_-_Srila_Prabhupada/01_-_Lectures/01_-_English/02_-_Month_wise/11_-_November/02/SB-03-25-02_1974-11-02_SB-BOMBAY.MP3</t>
  </si>
  <si>
    <t>SB_3-25-02_BOM_1974-11-02_Eat%2C_Drink%2C_Be_Merry_For_etc.mp3</t>
  </si>
  <si>
    <t>https://audio.iskcondesiretree.com/01_-_Srila_Prabhupada/01_-_Lectures/01_-_English/02_-_Month_wise/11_-_November/02/SB_3-25-02_BOM_1974-11-02_Eat%2C_Drink%2C_Be_Merry_For_etc.mp3</t>
  </si>
  <si>
    <t>SP_SB_3-25-03_Bombay_1974-11-03_Krishna_Has_Everything.mp3</t>
  </si>
  <si>
    <t>https://audio.iskcondesiretree.com/01_-_Srila_Prabhupada/01_-_Lectures/01_-_English/01_-_Topic_wise/Srimad_Bhagavatam/Canto-03/SP_SB_3-25-03_Bombay_1974-11-03_Krishna_Has_Everything.mp3</t>
  </si>
  <si>
    <t>SB-03-25-03_1974-11-03_SB-BOMBAY.MP3</t>
  </si>
  <si>
    <t>https://audio.iskcondesiretree.com/01_-_Srila_Prabhupada/01_-_Lectures/01_-_English/02_-_Month_wise/11_-_November/03/SB-03-25-03_1974-11-03_SB-BOMBAY.MP3</t>
  </si>
  <si>
    <t>SB_3-25-03_BOM_1974-11-03_Krishna_Has_Everything.mp3</t>
  </si>
  <si>
    <t>https://audio.iskcondesiretree.com/01_-_Srila_Prabhupada/01_-_Lectures/01_-_English/02_-_Month_wise/11_-_November/03/SB_3-25-03_BOM_1974-11-03_Krishna_Has_Everything.mp3</t>
  </si>
  <si>
    <t>SP_SB_3-25-04_Bombay_1974-11-04_Approach_a_Proper_Guru.mp3</t>
  </si>
  <si>
    <t>https://audio.iskcondesiretree.com/01_-_Srila_Prabhupada/01_-_Lectures/01_-_English/01_-_Topic_wise/Srimad_Bhagavatam/Canto-03/SP_SB_3-25-04_Bombay_1974-11-04_Approach_a_Proper_Guru.mp3</t>
  </si>
  <si>
    <t>SB-03-25-04_1974-11-04_SB-BOMBAY.MP3</t>
  </si>
  <si>
    <t>https://audio.iskcondesiretree.com/01_-_Srila_Prabhupada/01_-_Lectures/01_-_English/02_-_Month_wise/11_-_November/04/SB-03-25-04_1974-11-04_SB-BOMBAY.MP3</t>
  </si>
  <si>
    <t>SB_3-25-04_BOM_1974-11-04_Approach_a_Proper_Guru.mp3</t>
  </si>
  <si>
    <t>https://audio.iskcondesiretree.com/01_-_Srila_Prabhupada/01_-_Lectures/01_-_English/02_-_Month_wise/11_-_November/04/SB_3-25-04_BOM_1974-11-04_Approach_a_Proper_Guru.mp3</t>
  </si>
  <si>
    <t>SP_SB_3-25-05_Bombay_1974-11-05_An_%27Independent%27_Woman--etc.mp3</t>
  </si>
  <si>
    <t>https://audio.iskcondesiretree.com/01_-_Srila_Prabhupada/01_-_Lectures/01_-_English/01_-_Topic_wise/Srimad_Bhagavatam/Canto-03/SP_SB_3-25-05_Bombay_1974-11-05_An_%27Independent%27_Woman--etc.mp3</t>
  </si>
  <si>
    <t>SB-03-25-05%E2%80%9306_1974-11-05_SB-BOMBAY.MP3</t>
  </si>
  <si>
    <t>https://audio.iskcondesiretree.com/01_-_Srila_Prabhupada/01_-_Lectures/01_-_English/02_-_Month_wise/11_-_November/05/SB-03-25-05%E2%80%9306_1974-11-05_SB-BOMBAY.MP3</t>
  </si>
  <si>
    <t>SB_3-25-05_BOM_1974-11-05_An_Independent_Woman_etc.mp3</t>
  </si>
  <si>
    <t>https://audio.iskcondesiretree.com/01_-_Srila_Prabhupada/01_-_Lectures/01_-_English/02_-_Month_wise/11_-_November/05/SB_3-25-05_BOM_1974-11-05_An_Independent_Woman_etc.mp3</t>
  </si>
  <si>
    <t>SP_SB_3-25-07_Bombay_1974-11-07_Sensual_Darkness-Spiritual--etc.mp3</t>
  </si>
  <si>
    <t>https://audio.iskcondesiretree.com/01_-_Srila_Prabhupada/01_-_Lectures/01_-_English/01_-_Topic_wise/Srimad_Bhagavatam/Canto-03/SP_SB_3-25-07_Bombay_1974-11-07_Sensual_Darkness-Spiritual--etc.mp3</t>
  </si>
  <si>
    <t>SB-03-25-07_1974-11-07_SB-BOMBAY.MP3</t>
  </si>
  <si>
    <t>https://audio.iskcondesiretree.com/01_-_Srila_Prabhupada/01_-_Lectures/01_-_English/02_-_Month_wise/11_-_November/07/SB-03-25-07_1974-11-07_SB-BOMBAY.MP3</t>
  </si>
  <si>
    <t>SB_3-25-07_BOM_1974-11-07_Sensual_Darkness-Spiritual_etc.mp3</t>
  </si>
  <si>
    <t>https://audio.iskcondesiretree.com/01_-_Srila_Prabhupada/01_-_Lectures/01_-_English/02_-_Month_wise/11_-_November/07/SB_3-25-07_BOM_1974-11-07_Sensual_Darkness-Spiritual_etc.mp3</t>
  </si>
  <si>
    <t>SP_SB_3-25-08_Bombay_1974-11-08_This_World_Is_Darkness.mp3</t>
  </si>
  <si>
    <t>https://audio.iskcondesiretree.com/01_-_Srila_Prabhupada/01_-_Lectures/01_-_English/01_-_Topic_wise/Srimad_Bhagavatam/Canto-03/SP_SB_3-25-08_Bombay_1974-11-08_This_World_Is_Darkness.mp3</t>
  </si>
  <si>
    <t>SB-03-25-08_1974-11-08_SB-BOMBAY.MP3</t>
  </si>
  <si>
    <t>https://audio.iskcondesiretree.com/01_-_Srila_Prabhupada/01_-_Lectures/01_-_English/02_-_Month_wise/11_-_November/08/SB-03-25-08_1974-11-08_SB-BOMBAY.MP3</t>
  </si>
  <si>
    <t>SB_3-25-08_BOM_1974-11-08_This_World_Is_Darkness.mp3</t>
  </si>
  <si>
    <t>https://audio.iskcondesiretree.com/01_-_Srila_Prabhupada/01_-_Lectures/01_-_English/02_-_Month_wise/11_-_November/08/SB_3-25-08_BOM_1974-11-08_This_World_Is_Darkness.mp3</t>
  </si>
  <si>
    <t>SP_SB_3-25-09_Bombay_1974-11-09_%27Advanced%27_Equals_Ass.mp3</t>
  </si>
  <si>
    <t>https://audio.iskcondesiretree.com/01_-_Srila_Prabhupada/01_-_Lectures/01_-_English/01_-_Topic_wise/Srimad_Bhagavatam/Canto-03/SP_SB_3-25-09_Bombay_1974-11-09_%27Advanced%27_Equals_Ass.mp3</t>
  </si>
  <si>
    <t>SB-03-25-09_1974-11-09_SB-BOMBAY.MP3</t>
  </si>
  <si>
    <t>https://audio.iskcondesiretree.com/01_-_Srila_Prabhupada/01_-_Lectures/01_-_English/02_-_Month_wise/11_-_November/09/SB-03-25-09_1974-11-09_SB-BOMBAY.MP3</t>
  </si>
  <si>
    <t>SB_3-25-09_BOM_1974-11-09_Advanced_Equals_Ass.mp3</t>
  </si>
  <si>
    <t>https://audio.iskcondesiretree.com/01_-_Srila_Prabhupada/01_-_Lectures/01_-_English/02_-_Month_wise/11_-_November/09/SB_3-25-09_BOM_1974-11-09_Advanced_Equals_Ass.mp3</t>
  </si>
  <si>
    <t>SP_SB_3-25-10_Bombay_1974-11-10_Get_Free_from_Attachments.mp3</t>
  </si>
  <si>
    <t>https://audio.iskcondesiretree.com/01_-_Srila_Prabhupada/01_-_Lectures/01_-_English/01_-_Topic_wise/Srimad_Bhagavatam/Canto-03/SP_SB_3-25-10_Bombay_1974-11-10_Get_Free_from_Attachments.mp3</t>
  </si>
  <si>
    <t>SB-03-25-10_1974-11-10_SB-BOMBAY.MP3</t>
  </si>
  <si>
    <t>https://audio.iskcondesiretree.com/01_-_Srila_Prabhupada/01_-_Lectures/01_-_English/02_-_Month_wise/11_-_November/10/SB-03-25-10_1974-11-10_SB-BOMBAY.MP3</t>
  </si>
  <si>
    <t>SB_3-25-10_BOM_1974-11-10_Get_Free_from_Attachments.mp3</t>
  </si>
  <si>
    <t>https://audio.iskcondesiretree.com/01_-_Srila_Prabhupada/01_-_Lectures/01_-_English/02_-_Month_wise/11_-_November/10/SB_3-25-10_BOM_1974-11-10_Get_Free_from_Attachments.mp3</t>
  </si>
  <si>
    <t>SP_SB_3-25-11_Bombay_1974-11-11_Even_Expert_Swimmers_Struggle.mp3</t>
  </si>
  <si>
    <t>https://audio.iskcondesiretree.com/01_-_Srila_Prabhupada/01_-_Lectures/01_-_English/01_-_Topic_wise/Srimad_Bhagavatam/Canto-03/SP_SB_3-25-11_Bombay_1974-11-11_Even_Expert_Swimmers_Struggle.mp3</t>
  </si>
  <si>
    <t>SB-03-25-11_1974-11-11_SB-BOMBAY.MP3</t>
  </si>
  <si>
    <t>https://audio.iskcondesiretree.com/01_-_Srila_Prabhupada/01_-_Lectures/01_-_English/02_-_Month_wise/11_-_November/11/SB-03-25-11_1974-11-11_SB-BOMBAY.MP3</t>
  </si>
  <si>
    <t>SB_3-25-11_BOM_1974-11-11_Even_Expert_Swimmers_Struggle.mp3</t>
  </si>
  <si>
    <t>https://audio.iskcondesiretree.com/01_-_Srila_Prabhupada/01_-_Lectures/01_-_English/02_-_Month_wise/11_-_November/11/SB_3-25-11_BOM_1974-11-11_Even_Expert_Swimmers_Struggle.mp3</t>
  </si>
  <si>
    <t>SP_SB_3-25-12_Bombay_1974-11-12_Village_Talk-Vaikuntha_Talk.mp3</t>
  </si>
  <si>
    <t>https://audio.iskcondesiretree.com/01_-_Srila_Prabhupada/01_-_Lectures/01_-_English/01_-_Topic_wise/Srimad_Bhagavatam/Canto-03/SP_SB_3-25-12_Bombay_1974-11-12_Village_Talk-Vaikuntha_Talk.mp3</t>
  </si>
  <si>
    <t>SB-03-25-12_1974-11-12_SB-BOMBAY.MP3</t>
  </si>
  <si>
    <t>https://audio.iskcondesiretree.com/01_-_Srila_Prabhupada/01_-_Lectures/01_-_English/02_-_Month_wise/11_-_November/12/SB-03-25-12_1974-11-12_SB-BOMBAY.MP3</t>
  </si>
  <si>
    <t>SB_3-25-12_BOM_1974-11-12_Village_Talk-Vaikuntha_Talk.mp3</t>
  </si>
  <si>
    <t>https://audio.iskcondesiretree.com/01_-_Srila_Prabhupada/01_-_Lectures/01_-_English/02_-_Month_wise/11_-_November/12/SB_3-25-12_BOM_1974-11-12_Village_Talk-Vaikuntha_Talk.mp3</t>
  </si>
  <si>
    <t>SP_SB_3-25-13_Bombay_1974-11-13_Above_Happiness_and_Distress.mp3</t>
  </si>
  <si>
    <t>https://audio.iskcondesiretree.com/01_-_Srila_Prabhupada/01_-_Lectures/01_-_English/01_-_Topic_wise/Srimad_Bhagavatam/Canto-03/SP_SB_3-25-13_Bombay_1974-11-13_Above_Happiness_and_Distress.mp3</t>
  </si>
  <si>
    <t>SB-03-25-13_1974-11-13_SB-BOMBAY.MP3</t>
  </si>
  <si>
    <t>https://audio.iskcondesiretree.com/01_-_Srila_Prabhupada/01_-_Lectures/01_-_English/02_-_Month_wise/11_-_November/13/SB-03-25-13_1974-11-13_SB-BOMBAY.MP3</t>
  </si>
  <si>
    <t>SB_3-25-13_BOM_1974-11-13_Above_Happiness_and_Distress.mp3</t>
  </si>
  <si>
    <t>https://audio.iskcondesiretree.com/01_-_Srila_Prabhupada/01_-_Lectures/01_-_English/02_-_Month_wise/11_-_November/13/SB_3-25-13_BOM_1974-11-13_Above_Happiness_and_Distress.mp3</t>
  </si>
  <si>
    <t>SP_SB_3-25-14_Bombay_1974-11-14_Relief_from_the_Poison-Fire.mp3</t>
  </si>
  <si>
    <t>https://audio.iskcondesiretree.com/01_-_Srila_Prabhupada/01_-_Lectures/01_-_English/01_-_Topic_wise/Srimad_Bhagavatam/Canto-03/SP_SB_3-25-14_Bombay_1974-11-14_Relief_from_the_Poison-Fire.mp3</t>
  </si>
  <si>
    <t>SB-03-25-14_1974-11-14_SB-BOMBAY.MP3</t>
  </si>
  <si>
    <t>https://audio.iskcondesiretree.com/01_-_Srila_Prabhupada/01_-_Lectures/01_-_English/02_-_Month_wise/11_-_November/14/SB-03-25-14_1974-11-14_SB-BOMBAY.MP3</t>
  </si>
  <si>
    <t>SB_3-25-14_BOM_1974-11-14_Relief_from_the_Poison-Fire.mp3</t>
  </si>
  <si>
    <t>https://audio.iskcondesiretree.com/01_-_Srila_Prabhupada/01_-_Lectures/01_-_English/02_-_Month_wise/11_-_November/14/SB_3-25-14_BOM_1974-11-14_Relief_from_the_Poison-Fire.mp3</t>
  </si>
  <si>
    <t>SP_SB_3-25-15_Bombay_1974-11-15_Conditioned_or_Krishnized.mp3</t>
  </si>
  <si>
    <t>https://audio.iskcondesiretree.com/01_-_Srila_Prabhupada/01_-_Lectures/01_-_English/01_-_Topic_wise/Srimad_Bhagavatam/Canto-03/SP_SB_3-25-15_Bombay_1974-11-15_Conditioned_or_Krishnized.mp3</t>
  </si>
  <si>
    <t>SB-03-25-15_1974-11-15_SB-BOMBAY.MP3</t>
  </si>
  <si>
    <t>https://audio.iskcondesiretree.com/01_-_Srila_Prabhupada/01_-_Lectures/01_-_English/02_-_Month_wise/11_-_November/15/SB-03-25-15_1974-11-15_SB-BOMBAY.MP3</t>
  </si>
  <si>
    <t>SB_3-25-15_BOM_1974-11-15_Conditioned_or_Krishnized.mp3</t>
  </si>
  <si>
    <t>https://audio.iskcondesiretree.com/01_-_Srila_Prabhupada/01_-_Lectures/01_-_English/02_-_Month_wise/11_-_November/15/SB_3-25-15_BOM_1974-11-15_Conditioned_or_Krishnized.mp3</t>
  </si>
  <si>
    <t>SP_SB_3-25-16_Bombay_1974-11-16_Mind_Is_Covered_by_Dirty_Things.mp3</t>
  </si>
  <si>
    <t>https://audio.iskcondesiretree.com/01_-_Srila_Prabhupada/01_-_Lectures/01_-_English/01_-_Topic_wise/Srimad_Bhagavatam/Canto-03/SP_SB_3-25-16_Bombay_1974-11-16_Mind_Is_Covered_by_Dirty_Things.mp3</t>
  </si>
  <si>
    <t>SB-03-25-16_1974-11-16_SB-BOMBAY.MP3</t>
  </si>
  <si>
    <t>https://audio.iskcondesiretree.com/01_-_Srila_Prabhupada/01_-_Lectures/01_-_English/02_-_Month_wise/11_-_November/16/SB-03-25-16_1974-11-16_SB-BOMBAY.MP3</t>
  </si>
  <si>
    <t>SB_3-25-16_BOM_1974-11-16_Mind_Is_Covered_by_Dirty_Things.mp3</t>
  </si>
  <si>
    <t>https://audio.iskcondesiretree.com/01_-_Srila_Prabhupada/01_-_Lectures/01_-_English/02_-_Month_wise/11_-_November/16/SB_3-25-16_BOM_1974-11-16_Mind_Is_Covered_by_Dirty_Things.mp3</t>
  </si>
  <si>
    <t>SP_SB_3-25-17_Bombay_1974-11-17_Seeing_the_Real_Person.mp3</t>
  </si>
  <si>
    <t>https://audio.iskcondesiretree.com/01_-_Srila_Prabhupada/01_-_Lectures/01_-_English/01_-_Topic_wise/Srimad_Bhagavatam/Canto-03/SP_SB_3-25-17_Bombay_1974-11-17_Seeing_the_Real_Person.mp3</t>
  </si>
  <si>
    <t>SB-03-25-17_1974-11-17_SB-BOMBAY.MP3</t>
  </si>
  <si>
    <t>https://audio.iskcondesiretree.com/01_-_Srila_Prabhupada/01_-_Lectures/01_-_English/02_-_Month_wise/11_-_November/17/SB-03-25-17_1974-11-17_SB-BOMBAY.MP3</t>
  </si>
  <si>
    <t>SB_3-25-17_BOM_1974-11-17_Seeing_the_Real_Person.mp3</t>
  </si>
  <si>
    <t>https://audio.iskcondesiretree.com/01_-_Srila_Prabhupada/01_-_Lectures/01_-_English/02_-_Month_wise/11_-_November/17/SB_3-25-17_BOM_1974-11-17_Seeing_the_Real_Person.mp3</t>
  </si>
  <si>
    <t>SP_SB_3-25-18_Bombay_1974-11-18_Nobody%27s_Servant_but_Krishna%27s.mp3</t>
  </si>
  <si>
    <t>https://audio.iskcondesiretree.com/01_-_Srila_Prabhupada/01_-_Lectures/01_-_English/01_-_Topic_wise/Srimad_Bhagavatam/Canto-03/SP_SB_3-25-18_Bombay_1974-11-18_Nobody%27s_Servant_but_Krishna%27s.mp3</t>
  </si>
  <si>
    <t>SB-03-25-18_1974-11-18_SB-BOMBAY.MP3</t>
  </si>
  <si>
    <t>https://audio.iskcondesiretree.com/01_-_Srila_Prabhupada/01_-_Lectures/01_-_English/02_-_Month_wise/11_-_November/18/SB-03-25-18_1974-11-18_SB-BOMBAY.MP3</t>
  </si>
  <si>
    <t>SB_3-25-18_BOM_1974-11-18_Nobody%27s_Servant_but_Krishna%27s.mp3</t>
  </si>
  <si>
    <t>https://audio.iskcondesiretree.com/01_-_Srila_Prabhupada/01_-_Lectures/01_-_English/02_-_Month_wise/11_-_November/18/SB_3-25-18_BOM_1974-11-18_Nobody%27s_Servant_but_Krishna%27s.mp3</t>
  </si>
  <si>
    <t>SP_SB_3-25-19_Bombay_1974-11-19_One_Kind_of_Devotion_Will_Do.mp3</t>
  </si>
  <si>
    <t>https://audio.iskcondesiretree.com/01_-_Srila_Prabhupada/01_-_Lectures/01_-_English/01_-_Topic_wise/Srimad_Bhagavatam/Canto-03/SP_SB_3-25-19_Bombay_1974-11-19_One_Kind_of_Devotion_Will_Do.mp3</t>
  </si>
  <si>
    <t>SB-03-25-19_1974-11-19_SB-BOMBAY.MP3</t>
  </si>
  <si>
    <t>https://audio.iskcondesiretree.com/01_-_Srila_Prabhupada/01_-_Lectures/01_-_English/02_-_Month_wise/11_-_November/19/SB-03-25-19_1974-11-19_SB-BOMBAY.MP3</t>
  </si>
  <si>
    <t>SB_3-25-19_BOM_1974-11-19_One_Kind_of_Devotion_Will_Do.mp3</t>
  </si>
  <si>
    <t>https://audio.iskcondesiretree.com/01_-_Srila_Prabhupada/01_-_Lectures/01_-_English/02_-_Month_wise/11_-_November/19/SB_3-25-19_BOM_1974-11-19_One_Kind_of_Devotion_Will_Do.mp3</t>
  </si>
  <si>
    <t>SP_SB_3-25-20_Bombay_1974-11-20_How_to_Get_Rid_of_This_Body.mp3</t>
  </si>
  <si>
    <t>https://audio.iskcondesiretree.com/01_-_Srila_Prabhupada/01_-_Lectures/01_-_English/01_-_Topic_wise/Srimad_Bhagavatam/Canto-03/SP_SB_3-25-20_Bombay_1974-11-20_How_to_Get_Rid_of_This_Body.mp3</t>
  </si>
  <si>
    <t>SB-03-25-20_1974-11-20_SB-BOMBAY.MP3</t>
  </si>
  <si>
    <t>https://audio.iskcondesiretree.com/01_-_Srila_Prabhupada/01_-_Lectures/01_-_English/02_-_Month_wise/11_-_November/20/SB-03-25-20_1974-11-20_SB-BOMBAY.MP3</t>
  </si>
  <si>
    <t>SB_3-25-20_BOM_1974-11-20_How_to_Get_Rid_of_This_Body.mp3</t>
  </si>
  <si>
    <t>https://audio.iskcondesiretree.com/01_-_Srila_Prabhupada/01_-_Lectures/01_-_English/02_-_Month_wise/11_-_November/20/SB_3-25-20_BOM_1974-11-20_How_to_Get_Rid_of_This_Body.mp3</t>
  </si>
  <si>
    <t>SP_SB_3-25-21_Bombay_1974-11-21_The_Sadhu%27s_Symptoms.mp3</t>
  </si>
  <si>
    <t>https://audio.iskcondesiretree.com/01_-_Srila_Prabhupada/01_-_Lectures/01_-_English/01_-_Topic_wise/Srimad_Bhagavatam/Canto-03/SP_SB_3-25-21_Bombay_1974-11-21_The_Sadhu%27s_Symptoms.mp3</t>
  </si>
  <si>
    <t>SB-03-25-21_1974-11-21_SB-BOMBAY.MP3</t>
  </si>
  <si>
    <t>https://audio.iskcondesiretree.com/01_-_Srila_Prabhupada/01_-_Lectures/01_-_English/02_-_Month_wise/11_-_November/21/SB-03-25-21_1974-11-21_SB-BOMBAY.MP3</t>
  </si>
  <si>
    <t>SB_3-25-21_BOM_1974-11-21_The_Sadhu%27s_Symptoms.mp3</t>
  </si>
  <si>
    <t>https://audio.iskcondesiretree.com/01_-_Srila_Prabhupada/01_-_Lectures/01_-_English/02_-_Month_wise/11_-_November/21/SB_3-25-21_BOM_1974-11-21_The_Sadhu%27s_Symptoms.mp3</t>
  </si>
  <si>
    <t>SP_SB_3-25-22_Bombay_1974-11-22_The_Only_Rescu.mp3</t>
  </si>
  <si>
    <t>https://audio.iskcondesiretree.com/01_-_Srila_Prabhupada/01_-_Lectures/01_-_English/01_-_Topic_wise/Srimad_Bhagavatam/Canto-03/SP_SB_3-25-22_Bombay_1974-11-22_The_Only_Rescu.mp3</t>
  </si>
  <si>
    <t>SP_SB_3-25-22_Bombay_1974-11-22_The_Only_Rescue.mp3</t>
  </si>
  <si>
    <t>https://audio.iskcondesiretree.com/01_-_Srila_Prabhupada/01_-_Lectures/01_-_English/01_-_Topic_wise/Srimad_Bhagavatam/Canto-03/SP_SB_3-25-22_Bombay_1974-11-22_The_Only_Rescue.mp3</t>
  </si>
  <si>
    <t>SB-03-25-22_1974-11-22_SB-BOMBAY.MP3</t>
  </si>
  <si>
    <t>https://audio.iskcondesiretree.com/01_-_Srila_Prabhupada/01_-_Lectures/01_-_English/02_-_Month_wise/11_-_November/22/SB-03-25-22_1974-11-22_SB-BOMBAY.MP3</t>
  </si>
  <si>
    <t>SB_3-25-22_BOM_1974-11-22_The_Only_Rescue.mp3</t>
  </si>
  <si>
    <t>https://audio.iskcondesiretree.com/01_-_Srila_Prabhupada/01_-_Lectures/01_-_English/02_-_Month_wise/11_-_November/22/SB_3-25-22_BOM_1974-11-22_The_Only_Rescue.mp3</t>
  </si>
  <si>
    <t>SP_SB_3-25-23_Bombay_1974-11-23_Devotees_Don%27t_Feel_Suffering.mp3</t>
  </si>
  <si>
    <t>https://audio.iskcondesiretree.com/01_-_Srila_Prabhupada/01_-_Lectures/01_-_English/01_-_Topic_wise/Srimad_Bhagavatam/Canto-03/SP_SB_3-25-23_Bombay_1974-11-23_Devotees_Don%27t_Feel_Suffering.mp3</t>
  </si>
  <si>
    <t>SB-03-25-23_1974-11-23_SB-BOMBAY.MP3</t>
  </si>
  <si>
    <t>https://audio.iskcondesiretree.com/01_-_Srila_Prabhupada/01_-_Lectures/01_-_English/02_-_Month_wise/11_-_November/23/SB-03-25-23_1974-11-23_SB-BOMBAY.MP3</t>
  </si>
  <si>
    <t>SB_3-25-23_BOM_1974-11-23_Devotees_Don%27t_Feel_Suffering.mp3</t>
  </si>
  <si>
    <t>https://audio.iskcondesiretree.com/01_-_Srila_Prabhupada/01_-_Lectures/01_-_English/02_-_Month_wise/11_-_November/23/SB_3-25-23_BOM_1974-11-23_Devotees_Don%27t_Feel_Suffering.mp3</t>
  </si>
  <si>
    <t>SP_SB_3-25-24_Bombay_1974-11-24_Association_of_Devotees.mp3</t>
  </si>
  <si>
    <t>https://audio.iskcondesiretree.com/01_-_Srila_Prabhupada/01_-_Lectures/01_-_English/01_-_Topic_wise/Srimad_Bhagavatam/Canto-03/SP_SB_3-25-24_Bombay_1974-11-24_Association_of_Devotees.mp3</t>
  </si>
  <si>
    <t>SB-03-25-24_1974-11-24_SB-BOMBAY.MP3</t>
  </si>
  <si>
    <t>https://audio.iskcondesiretree.com/01_-_Srila_Prabhupada/01_-_Lectures/01_-_English/02_-_Month_wise/11_-_November/24/SB-03-25-24_1974-11-24_SB-BOMBAY.MP3</t>
  </si>
  <si>
    <t>SB_3-25-24_BOM_1974-11-24_Association_of_Devotees.mp3</t>
  </si>
  <si>
    <t>https://audio.iskcondesiretree.com/01_-_Srila_Prabhupada/01_-_Lectures/01_-_English/02_-_Month_wise/11_-_November/24/SB_3-25-24_BOM_1974-11-24_Association_of_Devotees.mp3</t>
  </si>
  <si>
    <t>SP_SB_3-25-25_Bombay_1974-11-25_Taste_of_Talks_About_Krishna.mp3</t>
  </si>
  <si>
    <t>https://audio.iskcondesiretree.com/01_-_Srila_Prabhupada/01_-_Lectures/01_-_English/01_-_Topic_wise/Srimad_Bhagavatam/Canto-03/SP_SB_3-25-25_Bombay_1974-11-25_Taste_of_Talks_About_Krishna.mp3</t>
  </si>
  <si>
    <t>SB-03-25-25_1974-11-25_SB-BOMBAY.MP3</t>
  </si>
  <si>
    <t>https://audio.iskcondesiretree.com/01_-_Srila_Prabhupada/01_-_Lectures/01_-_English/02_-_Month_wise/11_-_November/25/SB-03-25-25_1974-11-25_SB-BOMBAY.MP3</t>
  </si>
  <si>
    <t>SB_3-25-25_BOM_1974-11-25_Taste_of_Talks_About_Krishna.mp3</t>
  </si>
  <si>
    <t>https://audio.iskcondesiretree.com/01_-_Srila_Prabhupada/01_-_Lectures/01_-_English/02_-_Month_wise/11_-_November/25/SB_3-25-25_BOM_1974-11-25_Taste_of_Talks_About_Krishna.mp3</t>
  </si>
  <si>
    <t>SP_SB_3-25-26_Bombay_1974-11-26_Krishna_Gratification.mp3</t>
  </si>
  <si>
    <t>https://audio.iskcondesiretree.com/01_-_Srila_Prabhupada/01_-_Lectures/01_-_English/01_-_Topic_wise/Srimad_Bhagavatam/Canto-03/SP_SB_3-25-26_Bombay_1974-11-26_Krishna_Gratification.mp3</t>
  </si>
  <si>
    <t>SB-03-25-26_1974-11-26_SB-BOMBAY.MP3</t>
  </si>
  <si>
    <t>https://audio.iskcondesiretree.com/01_-_Srila_Prabhupada/01_-_Lectures/01_-_English/02_-_Month_wise/11_-_November/26/SB-03-25-26_1974-11-26_SB-BOMBAY.MP3</t>
  </si>
  <si>
    <t>SB_3-25-26_BOM_1974-11-26_Krishna_Gratification.mp3</t>
  </si>
  <si>
    <t>https://audio.iskcondesiretree.com/01_-_Srila_Prabhupada/01_-_Lectures/01_-_English/02_-_Month_wise/11_-_November/26/SB_3-25-26_BOM_1974-11-26_Krishna_Gratification.mp3</t>
  </si>
  <si>
    <t>SP_SB_3-25-27_Bombay_1974-11-27_World_Is_Under_Misunderstanding.mp3</t>
  </si>
  <si>
    <t>https://audio.iskcondesiretree.com/01_-_Srila_Prabhupada/01_-_Lectures/01_-_English/01_-_Topic_wise/Srimad_Bhagavatam/Canto-03/SP_SB_3-25-27_Bombay_1974-11-27_World_Is_Under_Misunderstanding.mp3</t>
  </si>
  <si>
    <t>SB-03-25-27_1974-11-27_SB-BOMBAY.MP3</t>
  </si>
  <si>
    <t>https://audio.iskcondesiretree.com/01_-_Srila_Prabhupada/01_-_Lectures/01_-_English/02_-_Month_wise/11_-_November/27/SB-03-25-27_1974-11-27_SB-BOMBAY.MP3</t>
  </si>
  <si>
    <t>SB_3-25-27_BOM_1974-11-27_World_Is_Under_Misunderstanding.mp3</t>
  </si>
  <si>
    <t>https://audio.iskcondesiretree.com/01_-_Srila_Prabhupada/01_-_Lectures/01_-_English/02_-_Month_wise/11_-_November/27/SB_3-25-27_BOM_1974-11-27_World_Is_Under_Misunderstanding.mp3</t>
  </si>
  <si>
    <t>SP_SB_3-25-28_Bombay_1974-11-28_You_Must_Go_to_a_Guru.mp3</t>
  </si>
  <si>
    <t>https://audio.iskcondesiretree.com/01_-_Srila_Prabhupada/01_-_Lectures/01_-_English/01_-_Topic_wise/Srimad_Bhagavatam/Canto-03/SP_SB_3-25-28_Bombay_1974-11-28_You_Must_Go_to_a_Guru.mp3</t>
  </si>
  <si>
    <t>SB-03-25-28_1974-11-28_SB-BOMBAY.MP3</t>
  </si>
  <si>
    <t>https://audio.iskcondesiretree.com/01_-_Srila_Prabhupada/01_-_Lectures/01_-_English/02_-_Month_wise/11_-_November/28/SB-03-25-28_1974-11-28_SB-BOMBAY.MP3</t>
  </si>
  <si>
    <t>SB_3-25-28_BOM_1974-11-28_You_Must_Go_to_a_Guru.mp3</t>
  </si>
  <si>
    <t>https://audio.iskcondesiretree.com/01_-_Srila_Prabhupada/01_-_Lectures/01_-_English/02_-_Month_wise/11_-_November/28/SB_3-25-28_BOM_1974-11-28_You_Must_Go_to_a_Guru.mp3</t>
  </si>
  <si>
    <t>SP_SB_3-25-29_Bombay_1974-11-29_Understanding_Highest_Truth.mp3</t>
  </si>
  <si>
    <t>https://audio.iskcondesiretree.com/01_-_Srila_Prabhupada/01_-_Lectures/01_-_English/01_-_Topic_wise/Srimad_Bhagavatam/Canto-03/SP_SB_3-25-29_Bombay_1974-11-29_Understanding_Highest_Truth.mp3</t>
  </si>
  <si>
    <t>SB-03-25-29_1974-11-29_SB-BOMBAY.MP3</t>
  </si>
  <si>
    <t>https://audio.iskcondesiretree.com/01_-_Srila_Prabhupada/01_-_Lectures/01_-_English/02_-_Month_wise/11_-_November/29/SB-03-25-29_1974-11-29_SB-BOMBAY.MP3</t>
  </si>
  <si>
    <t>SB_3-25-29_BOM_1974-11-29_Understanding_Highest_Truth.mp3</t>
  </si>
  <si>
    <t>https://audio.iskcondesiretree.com/01_-_Srila_Prabhupada/01_-_Lectures/01_-_English/02_-_Month_wise/11_-_November/29/SB_3-25-29_BOM_1974-11-29_Understanding_Highest_Truth.mp3</t>
  </si>
  <si>
    <t>SP_SB_3-25-30_Bombay_1974-11-30_Understanding-Standing_Under.mp3</t>
  </si>
  <si>
    <t>https://audio.iskcondesiretree.com/01_-_Srila_Prabhupada/01_-_Lectures/01_-_English/01_-_Topic_wise/Srimad_Bhagavatam/Canto-03/SP_SB_3-25-30_Bombay_1974-11-30_Understanding-Standing_Under.mp3</t>
  </si>
  <si>
    <t>SB-03-25-30_1974-11-30_SB-BOMBAY.MP3</t>
  </si>
  <si>
    <t>https://audio.iskcondesiretree.com/01_-_Srila_Prabhupada/01_-_Lectures/01_-_English/02_-_Month_wise/11_-_November/30/SB-03-25-30_1974-11-30_SB-BOMBAY.MP3</t>
  </si>
  <si>
    <t>SB_3-25-30_BOM_1974-11-30_Understanding-Standing_Under.mp3</t>
  </si>
  <si>
    <t>https://audio.iskcondesiretree.com/01_-_Srila_Prabhupada/01_-_Lectures/01_-_English/02_-_Month_wise/11_-_November/30/SB_3-25-30_BOM_1974-11-30_Understanding-Standing_Under.mp3</t>
  </si>
  <si>
    <t>SP_SB_3-25-31_Bombay_1974-12-01_Hear_About_Krishna_Submissively.mp3</t>
  </si>
  <si>
    <t>https://audio.iskcondesiretree.com/01_-_Srila_Prabhupada/01_-_Lectures/01_-_English/01_-_Topic_wise/Srimad_Bhagavatam/Canto-03/SP_SB_3-25-31_Bombay_1974-12-01_Hear_About_Krishna_Submissively.mp3</t>
  </si>
  <si>
    <t>SB-03-25-31_1974-12-01_SB-BOMBAY.MP3</t>
  </si>
  <si>
    <t>https://audio.iskcondesiretree.com/01_-_Srila_Prabhupada/01_-_Lectures/01_-_English/02_-_Month_wise/12_-_December/01/SB-03-25-31_1974-12-01_SB-BOMBAY.MP3</t>
  </si>
  <si>
    <t>SB_3-25-31_BOM_1974-12-01_Hear_About_Krishna_Submissively.mp3</t>
  </si>
  <si>
    <t>https://audio.iskcondesiretree.com/01_-_Srila_Prabhupada/01_-_Lectures/01_-_English/02_-_Month_wise/12_-_December/01/SB_3-25-31_BOM_1974-12-01_Hear_About_Krishna_Submissively.mp3</t>
  </si>
  <si>
    <t>SP_SB_3-25-32_Bombay_1974-12-02_From_Degradation_to_Devotion.mp3</t>
  </si>
  <si>
    <t>https://audio.iskcondesiretree.com/01_-_Srila_Prabhupada/01_-_Lectures/01_-_English/01_-_Topic_wise/Srimad_Bhagavatam/Canto-03/SP_SB_3-25-32_Bombay_1974-12-02_From_Degradation_to_Devotion.mp3</t>
  </si>
  <si>
    <t>SB-03-25-32_1974-12-02_SB-BOMBAY.MP3</t>
  </si>
  <si>
    <t>https://audio.iskcondesiretree.com/01_-_Srila_Prabhupada/01_-_Lectures/01_-_English/02_-_Month_wise/12_-_December/02/SB-03-25-32_1974-12-02_SB-BOMBAY.MP3</t>
  </si>
  <si>
    <t>SB_3-25-32_BOM_1974-12-02_From_Degradation_to_Devotion.mp3</t>
  </si>
  <si>
    <t>https://audio.iskcondesiretree.com/01_-_Srila_Prabhupada/01_-_Lectures/01_-_English/02_-_Month_wise/12_-_December/02/SB_3-25-32_BOM_1974-12-02_From_Degradation_to_Devotion.mp3</t>
  </si>
  <si>
    <t>SP_SB_3-25-33_Bombay_1974-12-03_How_to_Dissolve_Our_Suffering.mp3</t>
  </si>
  <si>
    <t>https://audio.iskcondesiretree.com/01_-_Srila_Prabhupada/01_-_Lectures/01_-_English/01_-_Topic_wise/Srimad_Bhagavatam/Canto-03/SP_SB_3-25-33_Bombay_1974-12-03_How_to_Dissolve_Our_Suffering.mp3</t>
  </si>
  <si>
    <t>SB-03-25-33%E2%80%9334_1974-12-03_SB-BOMBAY.MP3</t>
  </si>
  <si>
    <t>https://audio.iskcondesiretree.com/01_-_Srila_Prabhupada/01_-_Lectures/01_-_English/02_-_Month_wise/12_-_December/03/SB-03-25-33%E2%80%9334_1974-12-03_SB-BOMBAY.MP3</t>
  </si>
  <si>
    <t>SB_3-25-33_BOM_1974-12-03_How_to_Dissolve_Our_Suffering.mp3</t>
  </si>
  <si>
    <t>https://audio.iskcondesiretree.com/01_-_Srila_Prabhupada/01_-_Lectures/01_-_English/02_-_Month_wise/12_-_December/03/SB_3-25-33_BOM_1974-12-03_How_to_Dissolve_Our_Suffering.mp3</t>
  </si>
  <si>
    <t>SP_SB_3-25-35_Bombay_1974-12-04_Eager_to_Talk_with_Krishna.mp3</t>
  </si>
  <si>
    <t>https://audio.iskcondesiretree.com/01_-_Srila_Prabhupada/01_-_Lectures/01_-_English/01_-_Topic_wise/Srimad_Bhagavatam/Canto-03/SP_SB_3-25-35_Bombay_1974-12-04_Eager_to_Talk_with_Krishna.mp3</t>
  </si>
  <si>
    <t>SB-03-25-35_1974-12-04_SB-BOMBAY.MP3</t>
  </si>
  <si>
    <t>https://audio.iskcondesiretree.com/01_-_Srila_Prabhupada/01_-_Lectures/01_-_English/02_-_Month_wise/12_-_December/04/SB-03-25-35_1974-12-04_SB-BOMBAY.MP3</t>
  </si>
  <si>
    <t>SB_3-25-35_BOM_1974-12-04_Eager_to_Talk_with_Krishna.mp3</t>
  </si>
  <si>
    <t>https://audio.iskcondesiretree.com/01_-_Srila_Prabhupada/01_-_Lectures/01_-_English/02_-_Month_wise/12_-_December/04/SB_3-25-35_BOM_1974-12-04_Eager_to_Talk_with_Krishna.mp3</t>
  </si>
  <si>
    <t>SP_SB_3-25-36_Bombay_1974-12-05_The_Lord_Is_Charming.mp3</t>
  </si>
  <si>
    <t>https://audio.iskcondesiretree.com/01_-_Srila_Prabhupada/01_-_Lectures/01_-_English/01_-_Topic_wise/Srimad_Bhagavatam/Canto-03/SP_SB_3-25-36_Bombay_1974-12-05_The_Lord_Is_Charming.mp3</t>
  </si>
  <si>
    <t>SB-03-25-36_1974-12-05_SB-BOMBAY.MP3</t>
  </si>
  <si>
    <t>https://audio.iskcondesiretree.com/01_-_Srila_Prabhupada/01_-_Lectures/01_-_English/02_-_Month_wise/12_-_December/05/SB-03-25-36_1974-12-05_SB-BOMBAY.MP3</t>
  </si>
  <si>
    <t>SB_3-25-36_BOM_1974-12-05_The_Lord_Is_Charming.mp3</t>
  </si>
  <si>
    <t>https://audio.iskcondesiretree.com/01_-_Srila_Prabhupada/01_-_Lectures/01_-_English/02_-_Month_wise/12_-_December/05/SB_3-25-36_BOM_1974-12-05_The_Lord_Is_Charming.mp3</t>
  </si>
  <si>
    <t>SP_SB_3-25-37_Bombay_1974-12-06_The_Devotional_Position.mp3</t>
  </si>
  <si>
    <t>https://audio.iskcondesiretree.com/01_-_Srila_Prabhupada/01_-_Lectures/01_-_English/01_-_Topic_wise/Srimad_Bhagavatam/Canto-03/SP_SB_3-25-37_Bombay_1974-12-06_The_Devotional_Position.mp3</t>
  </si>
  <si>
    <t>SB-03-25-37_1974-12-06_SB-BOMBAY.MP3</t>
  </si>
  <si>
    <t>https://audio.iskcondesiretree.com/01_-_Srila_Prabhupada/01_-_Lectures/01_-_English/02_-_Month_wise/12_-_December/06/SB-03-25-37_1974-12-06_SB-BOMBAY.MP3</t>
  </si>
  <si>
    <t>SB_3-25-37_BOM_1974-12-06_The_Devotional_Position.mp3</t>
  </si>
  <si>
    <t>https://audio.iskcondesiretree.com/01_-_Srila_Prabhupada/01_-_Lectures/01_-_English/02_-_Month_wise/12_-_December/06/SB_3-25-37_BOM_1974-12-06_The_Devotional_Position.mp3</t>
  </si>
  <si>
    <t>SP_SB_3-25-38_Bombay_1974-12-07_Krishna%27s_Service-Absolute_Delight.mp3</t>
  </si>
  <si>
    <t>https://audio.iskcondesiretree.com/01_-_Srila_Prabhupada/01_-_Lectures/01_-_English/01_-_Topic_wise/Srimad_Bhagavatam/Canto-03/SP_SB_3-25-38_Bombay_1974-12-07_Krishna%27s_Service-Absolute_Delight.mp3</t>
  </si>
  <si>
    <t>SB-03-25-38_1974-12-07_SB-BOMBAY.MP3</t>
  </si>
  <si>
    <t>https://audio.iskcondesiretree.com/01_-_Srila_Prabhupada/01_-_Lectures/01_-_English/02_-_Month_wise/12_-_December/07/SB-03-25-38_1974-12-07_SB-BOMBAY.MP3</t>
  </si>
  <si>
    <t>SB_3-25-38_BOM_1974-12-07_Krishna%27s_Service-Absolute_Delight.mp3</t>
  </si>
  <si>
    <t>https://audio.iskcondesiretree.com/01_-_Srila_Prabhupada/01_-_Lectures/01_-_English/02_-_Month_wise/12_-_December/07/SB_3-25-38_BOM_1974-12-07_Krishna%27s_Service-Absolute_Delight.mp3</t>
  </si>
  <si>
    <t>SP_SB_3-25-39_Bombay_1974-12-08_Take_Krishna_As_Everything.mp3</t>
  </si>
  <si>
    <t>https://audio.iskcondesiretree.com/01_-_Srila_Prabhupada/01_-_Lectures/01_-_English/01_-_Topic_wise/Srimad_Bhagavatam/Canto-03/SP_SB_3-25-39_Bombay_1974-12-08_Take_Krishna_As_Everything.mp3</t>
  </si>
  <si>
    <t>SB-03-25-39%E2%80%9340_1974-12-08_SB-BOMBAY.MP3</t>
  </si>
  <si>
    <t>https://audio.iskcondesiretree.com/01_-_Srila_Prabhupada/01_-_Lectures/01_-_English/02_-_Month_wise/12_-_December/08/SB-03-25-39%E2%80%9340_1974-12-08_SB-BOMBAY.MP3</t>
  </si>
  <si>
    <t>SB_3-25-39_BOM_1974-12-08_Take_Krishna_As_Everything.mp3</t>
  </si>
  <si>
    <t>https://audio.iskcondesiretree.com/01_-_Srila_Prabhupada/01_-_Lectures/01_-_English/02_-_Month_wise/12_-_December/08/SB_3-25-39_BOM_1974-12-08_Take_Krishna_As_Everything.mp3</t>
  </si>
  <si>
    <t>SP_SB_3-25-41_Bombay_1974-12-09_Atheists...%27Overbold%27.mp3</t>
  </si>
  <si>
    <t>https://audio.iskcondesiretree.com/01_-_Srila_Prabhupada/01_-_Lectures/01_-_English/01_-_Topic_wise/Srimad_Bhagavatam/Canto-03/SP_SB_3-25-41_Bombay_1974-12-09_Atheists...%27Overbold%27.mp3</t>
  </si>
  <si>
    <t>SB-03-25-41_1974-12-09_SB-BOMBAY.MP3</t>
  </si>
  <si>
    <t>https://audio.iskcondesiretree.com/01_-_Srila_Prabhupada/01_-_Lectures/01_-_English/02_-_Month_wise/12_-_December/09/SB-03-25-41_1974-12-09_SB-BOMBAY.MP3</t>
  </si>
  <si>
    <t>SB_3-25-41_BOM_1974-12-09_Atheists_Overbold.mp3</t>
  </si>
  <si>
    <t>https://audio.iskcondesiretree.com/01_-_Srila_Prabhupada/01_-_Lectures/01_-_English/02_-_Month_wise/12_-_December/09/SB_3-25-41_BOM_1974-12-09_Atheists_Overbold.mp3</t>
  </si>
  <si>
    <t>SP_SB_3-25-42_Bombay_1974-12-10_Don%27t_Take_Krishna_Lightly.mp3</t>
  </si>
  <si>
    <t>https://audio.iskcondesiretree.com/01_-_Srila_Prabhupada/01_-_Lectures/01_-_English/01_-_Topic_wise/Srimad_Bhagavatam/Canto-03/SP_SB_3-25-42_Bombay_1974-12-10_Don%27t_Take_Krishna_Lightly.mp3</t>
  </si>
  <si>
    <t>SB-03-25-42_1974-12-10_SB-BOMBAY.MP3</t>
  </si>
  <si>
    <t>https://audio.iskcondesiretree.com/01_-_Srila_Prabhupada/01_-_Lectures/01_-_English/02_-_Month_wise/12_-_December/10/SB-03-25-42_1974-12-10_SB-BOMBAY.MP3</t>
  </si>
  <si>
    <t>SB_3-25-42_BOM_1974-12-10_Don%27t_Take_Krishna_Lightly.mp3</t>
  </si>
  <si>
    <t>https://audio.iskcondesiretree.com/01_-_Srila_Prabhupada/01_-_Lectures/01_-_English/02_-_Month_wise/12_-_December/10/SB_3-25-42_BOM_1974-12-10_Don%27t_Take_Krishna_Lightly.mp3</t>
  </si>
  <si>
    <t>SP_SB_3-25-43_Bombay_1974-12-11_New_Orleans_More_Fear.mp3</t>
  </si>
  <si>
    <t>https://audio.iskcondesiretree.com/01_-_Srila_Prabhupada/01_-_Lectures/01_-_English/01_-_Topic_wise/Srimad_Bhagavatam/Canto-03/SP_SB_3-25-43_Bombay_1974-12-11_New_Orleans_More_Fear.mp3</t>
  </si>
  <si>
    <t>SB-03-25-43_1974-12-11_SB-BOMBAY.MP3</t>
  </si>
  <si>
    <t>https://audio.iskcondesiretree.com/01_-_Srila_Prabhupada/01_-_Lectures/01_-_English/02_-_Month_wise/12_-_December/11/SB-03-25-43_1974-12-11_SB-BOMBAY.MP3</t>
  </si>
  <si>
    <t>SB_3-25-43_BOM_1974-12-11_No_More_Fear.mp3</t>
  </si>
  <si>
    <t>https://audio.iskcondesiretree.com/01_-_Srila_Prabhupada/01_-_Lectures/01_-_English/02_-_Month_wise/12_-_December/11/SB_3-25-43_BOM_1974-12-11_No_More_Fear.mp3</t>
  </si>
  <si>
    <t>SP_SB_3-25-44_Bombay_1974-12-12_New_Orleans_Water_in_the_Desert.mp3</t>
  </si>
  <si>
    <t>https://audio.iskcondesiretree.com/01_-_Srila_Prabhupada/01_-_Lectures/01_-_English/01_-_Topic_wise/Srimad_Bhagavatam/Canto-03/SP_SB_3-25-44_Bombay_1974-12-12_New_Orleans_Water_in_the_Desert.mp3</t>
  </si>
  <si>
    <t>SB-03-25-44_1974-12-12_SB-BOMBAY.MP3</t>
  </si>
  <si>
    <t>https://audio.iskcondesiretree.com/01_-_Srila_Prabhupada/01_-_Lectures/01_-_English/02_-_Month_wise/12_-_December/12/SB-03-25-44_1974-12-12_SB-BOMBAY.MP3</t>
  </si>
  <si>
    <t>SB_3-25-44_BOM_1974-12-12_No_Water_in_the_Desert.mp3</t>
  </si>
  <si>
    <t>https://audio.iskcondesiretree.com/01_-_Srila_Prabhupada/01_-_Lectures/01_-_English/02_-_Month_wise/12_-_December/12/SB_3-25-44_BOM_1974-12-12_No_Water_in_the_Desert.mp3</t>
  </si>
  <si>
    <t>SP_SB_3-26-01_Bombay_1974-12-13_Getting_Uncontaminated.mp3</t>
  </si>
  <si>
    <t>https://audio.iskcondesiretree.com/01_-_Srila_Prabhupada/01_-_Lectures/01_-_English/01_-_Topic_wise/Srimad_Bhagavatam/Canto-03/SP_SB_3-26-01_Bombay_1974-12-13_Getting_Uncontaminated.mp3</t>
  </si>
  <si>
    <t>SB-03-26-01_1974-12-13_SB-BOMBAY.MP3</t>
  </si>
  <si>
    <t>https://audio.iskcondesiretree.com/01_-_Srila_Prabhupada/01_-_Lectures/01_-_English/02_-_Month_wise/12_-_December/13/SB-03-26-01_1974-12-13_SB-BOMBAY.MP3</t>
  </si>
  <si>
    <t>SB_3-26-01_BOM_1974-12-13_Getting_Uncontaminated.mp3</t>
  </si>
  <si>
    <t>https://audio.iskcondesiretree.com/01_-_Srila_Prabhupada/01_-_Lectures/01_-_English/02_-_Month_wise/12_-_December/13/SB_3-26-01_BOM_1974-12-13_Getting_Uncontaminated.mp3</t>
  </si>
  <si>
    <t>SP_SB_3-26-02_Bombay_1974-12-14_You_Belong_to_Spiritual_World.mp3</t>
  </si>
  <si>
    <t>https://audio.iskcondesiretree.com/01_-_Srila_Prabhupada/01_-_Lectures/01_-_English/01_-_Topic_wise/Srimad_Bhagavatam/Canto-03/SP_SB_3-26-02_Bombay_1974-12-14_You_Belong_to_Spiritual_World.mp3</t>
  </si>
  <si>
    <t>SB-03-26-02_1974-12-14_SB-BOMBAY.MP3</t>
  </si>
  <si>
    <t>https://audio.iskcondesiretree.com/01_-_Srila_Prabhupada/01_-_Lectures/01_-_English/02_-_Month_wise/12_-_December/14/SB-03-26-02_1974-12-14_SB-BOMBAY.MP3</t>
  </si>
  <si>
    <t>SB_3-26-02_BOM_1974-12-14_You_Belong_to_Spiritual_World.mp3</t>
  </si>
  <si>
    <t>https://audio.iskcondesiretree.com/01_-_Srila_Prabhupada/01_-_Lectures/01_-_English/02_-_Month_wise/12_-_December/14/SB_3-26-02_BOM_1974-12-14_You_Belong_to_Spiritual_World.mp3</t>
  </si>
  <si>
    <t>SP_SB_3-26-03_Bombay_1974-12-15_Our_Knowledge_Is_Not_Knowledge.mp3</t>
  </si>
  <si>
    <t>https://audio.iskcondesiretree.com/01_-_Srila_Prabhupada/01_-_Lectures/01_-_English/01_-_Topic_wise/Srimad_Bhagavatam/Canto-03/SP_SB_3-26-03_Bombay_1974-12-15_Our_Knowledge_Is_Not_Knowledge.mp3</t>
  </si>
  <si>
    <t>SB-03-26-03_1974-12-15_SB-BOMBAY.MP3</t>
  </si>
  <si>
    <t>https://audio.iskcondesiretree.com/01_-_Srila_Prabhupada/01_-_Lectures/01_-_English/02_-_Month_wise/12_-_December/15/SB-03-26-03_1974-12-15_SB-BOMBAY.MP3</t>
  </si>
  <si>
    <t>SB_3-26-03_BOM_1974-12-15_Our_Knowledge_Is_Not_Knowledge.mp3</t>
  </si>
  <si>
    <t>https://audio.iskcondesiretree.com/01_-_Srila_Prabhupada/01_-_Lectures/01_-_English/02_-_Month_wise/12_-_December/15/SB_3-26-03_BOM_1974-12-15_Our_Knowledge_Is_Not_Knowledge.mp3</t>
  </si>
  <si>
    <t>SP_SB_3-26-04_Bombay_1974-12-16_The_Truth_Will_Set_You_Free.mp3</t>
  </si>
  <si>
    <t>https://audio.iskcondesiretree.com/01_-_Srila_Prabhupada/01_-_Lectures/01_-_English/01_-_Topic_wise/Srimad_Bhagavatam/Canto-03/SP_SB_3-26-04_Bombay_1974-12-16_The_Truth_Will_Set_You_Free.mp3</t>
  </si>
  <si>
    <t>SB-03-26-04_1974-12-16_SB-BOMBAY.MP3</t>
  </si>
  <si>
    <t>https://audio.iskcondesiretree.com/01_-_Srila_Prabhupada/01_-_Lectures/01_-_English/02_-_Month_wise/12_-_December/16/SB-03-26-04_1974-12-16_SB-BOMBAY.MP3</t>
  </si>
  <si>
    <t>SB_3-26-04_BOM_1974-12-16_The_Truth_Will_Set_You_Free.mp3</t>
  </si>
  <si>
    <t>https://audio.iskcondesiretree.com/01_-_Srila_Prabhupada/01_-_Lectures/01_-_English/02_-_Month_wise/12_-_December/16/SB_3-26-04_BOM_1974-12-16_The_Truth_Will_Set_You_Free.mp3</t>
  </si>
  <si>
    <t>SP_SB_3-26-05_Bombay_1974-12-17_Crazy_Fellows_and_Colorful_Life.mp3</t>
  </si>
  <si>
    <t>https://audio.iskcondesiretree.com/01_-_Srila_Prabhupada/01_-_Lectures/01_-_English/01_-_Topic_wise/Srimad_Bhagavatam/Canto-03/SP_SB_3-26-05_Bombay_1974-12-17_Crazy_Fellows_and_Colorful_Life.mp3</t>
  </si>
  <si>
    <t>SB-03-26-05_1974-12-17_SB-BOMBAY.MP3</t>
  </si>
  <si>
    <t>https://audio.iskcondesiretree.com/01_-_Srila_Prabhupada/01_-_Lectures/01_-_English/02_-_Month_wise/12_-_December/17/SB-03-26-05_1974-12-17_SB-BOMBAY.MP3</t>
  </si>
  <si>
    <t>SB_3-26-05_BOM_1974-12-17_Crazy_Fellows_and_Colorful_Life.mp3</t>
  </si>
  <si>
    <t>https://audio.iskcondesiretree.com/01_-_Srila_Prabhupada/01_-_Lectures/01_-_English/02_-_Month_wise/12_-_December/17/SB_3-26-05_BOM_1974-12-17_Crazy_Fellows_and_Colorful_Life.mp3</t>
  </si>
  <si>
    <t>SP_SB_3-26-06_Bombay_1974-12-18_Atheistic_Arrogance.mp3</t>
  </si>
  <si>
    <t>https://audio.iskcondesiretree.com/01_-_Srila_Prabhupada/01_-_Lectures/01_-_English/01_-_Topic_wise/Srimad_Bhagavatam/Canto-03/SP_SB_3-26-06_Bombay_1974-12-18_Atheistic_Arrogance.mp3</t>
  </si>
  <si>
    <t>SB-03-26-06_1974-12-18_SB-BOMBAY.MP3</t>
  </si>
  <si>
    <t>https://audio.iskcondesiretree.com/01_-_Srila_Prabhupada/01_-_Lectures/01_-_English/02_-_Month_wise/12_-_December/18/SB-03-26-06_1974-12-18_SB-BOMBAY.MP3</t>
  </si>
  <si>
    <t>SB_3-26-06_BOM_1974-12-18_Atheistic_Arrogance.mp3</t>
  </si>
  <si>
    <t>https://audio.iskcondesiretree.com/01_-_Srila_Prabhupada/01_-_Lectures/01_-_English/02_-_Month_wise/12_-_December/18/SB_3-26-06_BOM_1974-12-18_Atheistic_Arrogance.mp3</t>
  </si>
  <si>
    <t>SP_SB_3-26-07_Bombay_1974-12-19_Tangle_of_Material_Happiness.mp3</t>
  </si>
  <si>
    <t>https://audio.iskcondesiretree.com/01_-_Srila_Prabhupada/01_-_Lectures/01_-_English/01_-_Topic_wise/Srimad_Bhagavatam/Canto-03/SP_SB_3-26-07_Bombay_1974-12-19_Tangle_of_Material_Happiness.mp3</t>
  </si>
  <si>
    <t>SB-03-26-07_1974-12-19_SB-BOMBAY.MP3</t>
  </si>
  <si>
    <t>https://audio.iskcondesiretree.com/01_-_Srila_Prabhupada/01_-_Lectures/01_-_English/02_-_Month_wise/12_-_December/19/SB-03-26-07_1974-12-19_SB-BOMBAY.MP3</t>
  </si>
  <si>
    <t>SB_3-26-07_BOM_1974-12-19_Tangle_of_Material_Happiness.mp3</t>
  </si>
  <si>
    <t>https://audio.iskcondesiretree.com/01_-_Srila_Prabhupada/01_-_Lectures/01_-_English/02_-_Month_wise/12_-_December/19/SB_3-26-07_BOM_1974-12-19_Tangle_of_Material_Happiness.mp3</t>
  </si>
  <si>
    <t>SP_SB_3-26-08_Bombay_1974-12-20_The_Enjoyer_Mentality.mp3</t>
  </si>
  <si>
    <t>https://audio.iskcondesiretree.com/01_-_Srila_Prabhupada/01_-_Lectures/01_-_English/01_-_Topic_wise/Srimad_Bhagavatam/Canto-03/SP_SB_3-26-08_Bombay_1974-12-20_The_Enjoyer_Mentality.mp3</t>
  </si>
  <si>
    <t>SB-03-26-08_1974-12-20_SB-BOMBAY.MP3</t>
  </si>
  <si>
    <t>https://audio.iskcondesiretree.com/01_-_Srila_Prabhupada/01_-_Lectures/01_-_English/02_-_Month_wise/12_-_December/20/SB-03-26-08_1974-12-20_SB-BOMBAY.MP3</t>
  </si>
  <si>
    <t>SB_3-26-08_BOM_1974-12-20_The_Enjoyer_Mentality.mp3</t>
  </si>
  <si>
    <t>https://audio.iskcondesiretree.com/01_-_Srila_Prabhupada/01_-_Lectures/01_-_English/02_-_Month_wise/12_-_December/20/SB_3-26-08_BOM_1974-12-20_The_Enjoyer_Mentality.mp3</t>
  </si>
  <si>
    <t>SP_SB_3-26-09_Bombay_1974-12-21_Controlled_Enjoyer.mp3</t>
  </si>
  <si>
    <t>https://audio.iskcondesiretree.com/01_-_Srila_Prabhupada/01_-_Lectures/01_-_English/01_-_Topic_wise/Srimad_Bhagavatam/Canto-03/SP_SB_3-26-09_Bombay_1974-12-21_Controlled_Enjoyer.mp3</t>
  </si>
  <si>
    <t>SB-03-26-09_1974-12-21_SB-BOMBAY.MP3</t>
  </si>
  <si>
    <t>https://audio.iskcondesiretree.com/01_-_Srila_Prabhupada/01_-_Lectures/01_-_English/02_-_Month_wise/12_-_December/21/SB-03-26-09_1974-12-21_SB-BOMBAY.MP3</t>
  </si>
  <si>
    <t>SB_3-26-09_BOM_1974-12-21_Controlled_Enjoyer.mp3</t>
  </si>
  <si>
    <t>https://audio.iskcondesiretree.com/01_-_Srila_Prabhupada/01_-_Lectures/01_-_English/02_-_Month_wise/12_-_December/21/SB_3-26-09_BOM_1974-12-21_Controlled_Enjoyer.mp3</t>
  </si>
  <si>
    <t>SP_SB_3-26-10_Bombay_1974-12-22_The_World--not_God--Is_Impersonal.mp3</t>
  </si>
  <si>
    <t>https://audio.iskcondesiretree.com/01_-_Srila_Prabhupada/01_-_Lectures/01_-_English/01_-_Topic_wise/Srimad_Bhagavatam/Canto-03/SP_SB_3-26-10_Bombay_1974-12-22_The_World--not_God--Is_Impersonal.mp3</t>
  </si>
  <si>
    <t>SB-03-26-10_1974-12-22_SB-BOMBAY.MP3</t>
  </si>
  <si>
    <t>https://audio.iskcondesiretree.com/01_-_Srila_Prabhupada/01_-_Lectures/01_-_English/02_-_Month_wise/12_-_December/22/SB-03-26-10_1974-12-22_SB-BOMBAY.MP3</t>
  </si>
  <si>
    <t>SB_3-26-10_BOM_1974-12-22_The_World_not_God_Is_Impersonal.mp3</t>
  </si>
  <si>
    <t>https://audio.iskcondesiretree.com/01_-_Srila_Prabhupada/01_-_Lectures/01_-_English/02_-_Month_wise/12_-_December/22/SB_3-26-10_BOM_1974-12-22_The_World_not_God_Is_Impersonal.mp3</t>
  </si>
  <si>
    <t>SP_SB_3-26-11_Bombay_1974-12-23_Analyze_the_Trap...and_Escape.mp3</t>
  </si>
  <si>
    <t>https://audio.iskcondesiretree.com/01_-_Srila_Prabhupada/01_-_Lectures/01_-_English/01_-_Topic_wise/Srimad_Bhagavatam/Canto-03/SP_SB_3-26-11_Bombay_1974-12-23_Analyze_the_Trap...and_Escape.mp3</t>
  </si>
  <si>
    <t>SB-03-26-11%E2%80%9314_1974-12-23_SB-BOMBAY.MP3</t>
  </si>
  <si>
    <t>https://audio.iskcondesiretree.com/01_-_Srila_Prabhupada/01_-_Lectures/01_-_English/02_-_Month_wise/12_-_December/23/SB-03-26-11%E2%80%9314_1974-12-23_SB-BOMBAY.MP3</t>
  </si>
  <si>
    <t>SB_3-26-11_BOM_1974-12-23_Analyze_the_Trap_and_Escape.mp3</t>
  </si>
  <si>
    <t>https://audio.iskcondesiretree.com/01_-_Srila_Prabhupada/01_-_Lectures/01_-_English/02_-_Month_wise/12_-_December/23/SB_3-26-11_BOM_1974-12-23_Analyze_the_Trap_and_Escape.mp3</t>
  </si>
  <si>
    <t>SP_SB_3-26-15_Bombay_1974-12-24_Maya_Is_Krishna%27s.mp3</t>
  </si>
  <si>
    <t>https://audio.iskcondesiretree.com/01_-_Srila_Prabhupada/01_-_Lectures/01_-_English/01_-_Topic_wise/Srimad_Bhagavatam/Canto-03/SP_SB_3-26-15_Bombay_1974-12-24_Maya_Is_Krishna%27s.mp3</t>
  </si>
  <si>
    <t>SB-03-26-15_1974-12-24_SB-BOMBAY.MP3</t>
  </si>
  <si>
    <t>https://audio.iskcondesiretree.com/01_-_Srila_Prabhupada/01_-_Lectures/01_-_English/02_-_Month_wise/12_-_December/24/SB-03-26-15_1974-12-24_SB-BOMBAY.MP3</t>
  </si>
  <si>
    <t>SB_3-26-15_BOM_1974-12-24_Maya_Is_Krishna%27s.mp3</t>
  </si>
  <si>
    <t>https://audio.iskcondesiretree.com/01_-_Srila_Prabhupada/01_-_Lectures/01_-_English/02_-_Month_wise/12_-_December/24/SB_3-26-15_BOM_1974-12-24_Maya_Is_Krishna%27s.mp3</t>
  </si>
  <si>
    <t>SP_SB_3-26-16_Bombay_1974-12-25_Fear--The_Time_Factor.mp3</t>
  </si>
  <si>
    <t>https://audio.iskcondesiretree.com/01_-_Srila_Prabhupada/01_-_Lectures/01_-_English/01_-_Topic_wise/Srimad_Bhagavatam/Canto-03/SP_SB_3-26-16_Bombay_1974-12-25_Fear--The_Time_Factor.mp3</t>
  </si>
  <si>
    <t>SB-03-26-16_1974-12-25_SB-BOMBAY.MP3</t>
  </si>
  <si>
    <t>https://audio.iskcondesiretree.com/01_-_Srila_Prabhupada/01_-_Lectures/01_-_English/02_-_Month_wise/12_-_December/25/SB-03-26-16_1974-12-25_SB-BOMBAY.MP3</t>
  </si>
  <si>
    <t>SB_3-26-16_BOM_1974-12-25_Fear-The_Time_Factor.mp3</t>
  </si>
  <si>
    <t>https://audio.iskcondesiretree.com/01_-_Srila_Prabhupada/01_-_Lectures/01_-_English/02_-_Month_wise/12_-_December/25/SB_3-26-16_BOM_1974-12-25_Fear-The_Time_Factor.mp3</t>
  </si>
  <si>
    <t>SP_SB_3-26-17_Bombay_1974-12-26_Don%27t_Remain_Asleep.mp3</t>
  </si>
  <si>
    <t>https://audio.iskcondesiretree.com/01_-_Srila_Prabhupada/01_-_Lectures/01_-_English/01_-_Topic_wise/Srimad_Bhagavatam/Canto-03/SP_SB_3-26-17_Bombay_1974-12-26_Don%27t_Remain_Asleep.mp3</t>
  </si>
  <si>
    <t>SB-03-26-17_1974-12-26_SB-BOMBAY.MP3</t>
  </si>
  <si>
    <t>https://audio.iskcondesiretree.com/01_-_Srila_Prabhupada/01_-_Lectures/01_-_English/02_-_Month_wise/12_-_December/26/SB-03-26-17_1974-12-26_SB-BOMBAY.MP3</t>
  </si>
  <si>
    <t>SB_3-26-17_BOM_1974-12-26_Don%27t_Remain_Asleep.mp3</t>
  </si>
  <si>
    <t>https://audio.iskcondesiretree.com/01_-_Srila_Prabhupada/01_-_Lectures/01_-_English/02_-_Month_wise/12_-_December/26/SB_3-26-17_BOM_1974-12-26_Don%27t_Remain_Asleep.mp3</t>
  </si>
  <si>
    <t>SP_SB_3-26-18_Bombay_1974-12-27_United_by_Chanting_and_Dancing.mp3</t>
  </si>
  <si>
    <t>https://audio.iskcondesiretree.com/01_-_Srila_Prabhupada/01_-_Lectures/01_-_English/01_-_Topic_wise/Srimad_Bhagavatam/Canto-03/SP_SB_3-26-18_Bombay_1974-12-27_United_by_Chanting_and_Dancing.mp3</t>
  </si>
  <si>
    <t>SB-03-26-18_1974-12-27_SB-BOMBAY.MP3</t>
  </si>
  <si>
    <t>https://audio.iskcondesiretree.com/01_-_Srila_Prabhupada/01_-_Lectures/01_-_English/02_-_Month_wise/12_-_December/27/SB-03-26-18_1974-12-27_SB-BOMBAY.MP3</t>
  </si>
  <si>
    <t>SB_3-26-18_BOM_1974-12-27_United_by_Chanting_and_Dancing.mp3</t>
  </si>
  <si>
    <t>https://audio.iskcondesiretree.com/01_-_Srila_Prabhupada/01_-_Lectures/01_-_English/02_-_Month_wise/12_-_December/27/SB_3-26-18_BOM_1974-12-27_United_by_Chanting_and_Dancing.mp3</t>
  </si>
  <si>
    <t>SP_SB_3-26-19_Bombay_1974-12-28_This_Society_Needs_Some_Brains.mp3</t>
  </si>
  <si>
    <t>https://audio.iskcondesiretree.com/01_-_Srila_Prabhupada/01_-_Lectures/01_-_English/01_-_Topic_wise/Srimad_Bhagavatam/Canto-03/SP_SB_3-26-19_Bombay_1974-12-28_This_Society_Needs_Some_Brains.mp3</t>
  </si>
  <si>
    <t>SB-03-26-19_1974-12-28_SB-BOMBAY.MP3</t>
  </si>
  <si>
    <t>https://audio.iskcondesiretree.com/01_-_Srila_Prabhupada/01_-_Lectures/01_-_English/02_-_Month_wise/12_-_December/28/SB-03-26-19_1974-12-28_SB-BOMBAY.MP3</t>
  </si>
  <si>
    <t>SB_3-26-19_BOM_1974-12-28_This_Society_Needs_Some_Brains.mp3</t>
  </si>
  <si>
    <t>https://audio.iskcondesiretree.com/01_-_Srila_Prabhupada/01_-_Lectures/01_-_English/02_-_Month_wise/12_-_December/28/SB_3-26-19_BOM_1974-12-28_This_Society_Needs_Some_Brains.mp3</t>
  </si>
  <si>
    <t>SP_SB_3-26-20_Bombay_1974-12-29_We%27re_All_Asleep.mp3</t>
  </si>
  <si>
    <t>https://audio.iskcondesiretree.com/01_-_Srila_Prabhupada/01_-_Lectures/01_-_English/01_-_Topic_wise/Srimad_Bhagavatam/Canto-03/SP_SB_3-26-20_Bombay_1974-12-29_We%27re_All_Asleep.mp3</t>
  </si>
  <si>
    <t>SB-03-26-20_1974-12-29_SB-BOMBAY.MP3</t>
  </si>
  <si>
    <t>https://audio.iskcondesiretree.com/01_-_Srila_Prabhupada/01_-_Lectures/01_-_English/02_-_Month_wise/12_-_December/29/SB-03-26-20_1974-12-29_SB-BOMBAY.MP3</t>
  </si>
  <si>
    <t>SB_3-26-20_BOM_1974-12-29_We%27re_All_Asleep.mp3</t>
  </si>
  <si>
    <t>https://audio.iskcondesiretree.com/01_-_Srila_Prabhupada/01_-_Lectures/01_-_English/02_-_Month_wise/12_-_December/29/SB_3-26-20_BOM_1974-12-29_We%27re_All_Asleep.mp3</t>
  </si>
  <si>
    <t>SP_SB_3-26-21_Bombay_1974-12-30_The_Only_Way_to_Peace_of_Mind.mp3</t>
  </si>
  <si>
    <t>https://audio.iskcondesiretree.com/01_-_Srila_Prabhupada/01_-_Lectures/01_-_English/01_-_Topic_wise/Srimad_Bhagavatam/Canto-03/SP_SB_3-26-21_Bombay_1974-12-30_The_Only_Way_to_Peace_of_Mind.mp3</t>
  </si>
  <si>
    <t>SB-03-26-21_1974-12-30_SB-BOMBAY.MP3</t>
  </si>
  <si>
    <t>https://audio.iskcondesiretree.com/01_-_Srila_Prabhupada/01_-_Lectures/01_-_English/02_-_Month_wise/12_-_December/30/SB-03-26-21_1974-12-30_SB-BOMBAY.MP3</t>
  </si>
  <si>
    <t>SP_SB_3-26-22_Bombay_1974-12-31_Our_Natural_Consciousness.mp3</t>
  </si>
  <si>
    <t>https://audio.iskcondesiretree.com/01_-_Srila_Prabhupada/01_-_Lectures/01_-_English/01_-_Topic_wise/Srimad_Bhagavatam/Canto-03/SP_SB_3-26-22_Bombay_1974-12-31_Our_Natural_Consciousness.mp3</t>
  </si>
  <si>
    <t>SB-03.26.22_1974-12-31_SB-BOMBAY.MP3</t>
  </si>
  <si>
    <t>https://audio.iskcondesiretree.com/01_-_Srila_Prabhupada/01_-_Lectures/01_-_English/02_-_Month_wise/12_-_December/31/SB-03.26.22_1974-12-31_SB-BOMBAY.MP3</t>
  </si>
  <si>
    <t>SP_SB_3-26-23_Bombay_1975-01-01_Slave_vs._Revolting_Mentality.mp3</t>
  </si>
  <si>
    <t>https://audio.iskcondesiretree.com/01_-_Srila_Prabhupada/01_-_Lectures/01_-_English/01_-_Topic_wise/Srimad_Bhagavatam/Canto-03/SP_SB_3-26-23_Bombay_1975-01-01_Slave_vs._Revolting_Mentality.mp3</t>
  </si>
  <si>
    <t>SB-03-26-23-24_1975-01-01-BOMBAY.MP3</t>
  </si>
  <si>
    <t>https://audio.iskcondesiretree.com/01_-_Srila_Prabhupada/01_-_Lectures/01_-_English/02_-_Month_wise/01_-_January/01/SB-03-26-23-24_1975-01-01-BOMBAY.MP3</t>
  </si>
  <si>
    <t>SB_3-26-23_BOM_1975-01-01_Slave_vs_Revolting_Mentality.mp3</t>
  </si>
  <si>
    <t>https://audio.iskcondesiretree.com/01_-_Srila_Prabhupada/01_-_Lectures/01_-_English/02_-_Month_wise/01_-_January/01/SB_3-26-23_BOM_1975-01-01_Slave_vs_Revolting_Mentality.mp3</t>
  </si>
  <si>
    <t>SP_SB_3-26-25_Bombay_1975-01-02_Secret_of_Satisfying_Everyone.mp3</t>
  </si>
  <si>
    <t>https://audio.iskcondesiretree.com/01_-_Srila_Prabhupada/01_-_Lectures/01_-_English/01_-_Topic_wise/Srimad_Bhagavatam/Canto-03/SP_SB_3-26-25_Bombay_1975-01-02_Secret_of_Satisfying_Everyone.mp3</t>
  </si>
  <si>
    <t>SB-03-26-25_1975-01-02_SB-BOMBAY.MP3</t>
  </si>
  <si>
    <t>https://audio.iskcondesiretree.com/01_-_Srila_Prabhupada/01_-_Lectures/01_-_English/02_-_Month_wise/01_-_January/02/SB-03-26-25_1975-01-02_SB-BOMBAY.MP3</t>
  </si>
  <si>
    <t>SB_3-26-25_BOM_1975-01-02_Secret_of_Satisfying_Everyone.mp3</t>
  </si>
  <si>
    <t>https://audio.iskcondesiretree.com/01_-_Srila_Prabhupada/01_-_Lectures/01_-_English/02_-_Month_wise/01_-_January/02/SB_3-26-25_BOM_1975-01-02_Secret_of_Satisfying_Everyone.mp3</t>
  </si>
  <si>
    <t>SP_SB_3-26-26_Bombay_1975-01-03_Breaking_Our_Karmic_Chains.mp3</t>
  </si>
  <si>
    <t>https://audio.iskcondesiretree.com/01_-_Srila_Prabhupada/01_-_Lectures/01_-_English/01_-_Topic_wise/Srimad_Bhagavatam/Canto-03/SP_SB_3-26-26_Bombay_1975-01-03_Breaking_Our_Karmic_Chains.mp3</t>
  </si>
  <si>
    <t>Conv_1975-01-03_R1-BOMBAY.MP3</t>
  </si>
  <si>
    <t>https://audio.iskcondesiretree.com/01_-_Srila_Prabhupada/01_-_Lectures/01_-_English/02_-_Month_wise/01_-_January/03/Conv_1975-01-03_R1-BOMBAY.MP3</t>
  </si>
  <si>
    <t>SB-03-26-26_1975-01-03_SB-BOMBAY.MP3</t>
  </si>
  <si>
    <t>https://audio.iskcondesiretree.com/01_-_Srila_Prabhupada/01_-_Lectures/01_-_English/02_-_Month_wise/01_-_January/03/SB-03-26-26_1975-01-03_SB-BOMBAY.MP3</t>
  </si>
  <si>
    <t>SB_3-26-26_BOM_1975-01-03_Breaking_Our_Karmic_Chains.mp3</t>
  </si>
  <si>
    <t>https://audio.iskcondesiretree.com/01_-_Srila_Prabhupada/01_-_Lectures/01_-_English/02_-_Month_wise/01_-_January/03/SB_3-26-26_BOM_1975-01-03_Breaking_Our_Karmic_Chains.mp3</t>
  </si>
  <si>
    <t>SP_SB_3-26-27_Bombay_1975-01-04_Controlling_the_Uncontrollable.mp3</t>
  </si>
  <si>
    <t>https://audio.iskcondesiretree.com/01_-_Srila_Prabhupada/01_-_Lectures/01_-_English/01_-_Topic_wise/Srimad_Bhagavatam/Canto-03/SP_SB_3-26-27_Bombay_1975-01-04_Controlling_the_Uncontrollable.mp3</t>
  </si>
  <si>
    <t>SB-03-26-27_1975-01-04_SB-BOMBAY.MP3</t>
  </si>
  <si>
    <t>https://audio.iskcondesiretree.com/01_-_Srila_Prabhupada/01_-_Lectures/01_-_English/02_-_Month_wise/01_-_January/04/SB-03-26-27_1975-01-04_SB-BOMBAY.MP3</t>
  </si>
  <si>
    <t>SB_3-26-27_BOM_1975-01-04_Controlling_the_Uncontrollable.mp3</t>
  </si>
  <si>
    <t>https://audio.iskcondesiretree.com/01_-_Srila_Prabhupada/01_-_Lectures/01_-_English/02_-_Month_wise/01_-_January/04/SB_3-26-27_BOM_1975-01-04_Controlling_the_Uncontrollable.mp3</t>
  </si>
  <si>
    <t>SP_SB_3-26-28_Bombay_1975-01-05_Centering_the_Central_Sense.mp3</t>
  </si>
  <si>
    <t>https://audio.iskcondesiretree.com/01_-_Srila_Prabhupada/01_-_Lectures/01_-_English/01_-_Topic_wise/Srimad_Bhagavatam/Canto-03/SP_SB_3-26-28_Bombay_1975-01-05_Centering_the_Central_Sense.mp3</t>
  </si>
  <si>
    <t>SB-03-26-28_1975-01-05_SB-BOMBAY.MP3</t>
  </si>
  <si>
    <t>https://audio.iskcondesiretree.com/01_-_Srila_Prabhupada/01_-_Lectures/01_-_English/02_-_Month_wise/01_-_January/05/SB-03-26-28_1975-01-05_SB-BOMBAY.MP3</t>
  </si>
  <si>
    <t>SB_3-26-28_BOM_1975-01-05_Centering_the_Central_Sense.mp3</t>
  </si>
  <si>
    <t>https://audio.iskcondesiretree.com/01_-_Srila_Prabhupada/01_-_Lectures/01_-_English/02_-_Month_wise/01_-_January/05/SB_3-26-28_BOM_1975-01-05_Centering_the_Central_Sense.mp3</t>
  </si>
  <si>
    <t>SP_SB_3-26-29_Bombay_1975-01-06_This_Body_Is_Imitation.mp3</t>
  </si>
  <si>
    <t>https://audio.iskcondesiretree.com/01_-_Srila_Prabhupada/01_-_Lectures/01_-_English/01_-_Topic_wise/Srimad_Bhagavatam/Canto-03/SP_SB_3-26-29_Bombay_1975-01-06_This_Body_Is_Imitation.mp3</t>
  </si>
  <si>
    <t>SB-03-26-29_1975-01-06_SB-BOMBAY.MP3</t>
  </si>
  <si>
    <t>https://audio.iskcondesiretree.com/01_-_Srila_Prabhupada/01_-_Lectures/01_-_English/02_-_Month_wise/01_-_January/06/SB-03-26-29_1975-01-06_SB-BOMBAY.MP3</t>
  </si>
  <si>
    <t>SB_3-26-29_BOM_1975-01-06_This_Body_Is_Imitation.mp3</t>
  </si>
  <si>
    <t>https://audio.iskcondesiretree.com/01_-_Srila_Prabhupada/01_-_Lectures/01_-_English/02_-_Month_wise/01_-_January/06/SB_3-26-29_BOM_1975-01-06_This_Body_Is_Imitation.mp3</t>
  </si>
  <si>
    <t>SP_SB_3-26-30_Bombay_1975-01-07_We_Should_Have_Firm_Faith.mp3</t>
  </si>
  <si>
    <t>https://audio.iskcondesiretree.com/01_-_Srila_Prabhupada/01_-_Lectures/01_-_English/01_-_Topic_wise/Srimad_Bhagavatam/Canto-03/SP_SB_3-26-30_Bombay_1975-01-07_We_Should_Have_Firm_Faith.mp3</t>
  </si>
  <si>
    <t>SB-03-26-30_1975-01-07_SB-BOMBAY.MP3</t>
  </si>
  <si>
    <t>https://audio.iskcondesiretree.com/01_-_Srila_Prabhupada/01_-_Lectures/01_-_English/02_-_Month_wise/01_-_January/07/SB-03-26-30_1975-01-07_SB-BOMBAY.MP3</t>
  </si>
  <si>
    <t>SB_3-26-30_BOM_1975-01-07_We_Should_Have_Firm_Faith.mp3</t>
  </si>
  <si>
    <t>https://audio.iskcondesiretree.com/01_-_Srila_Prabhupada/01_-_Lectures/01_-_English/02_-_Month_wise/01_-_January/07/SB_3-26-30_BOM_1975-01-07_We_Should_Have_Firm_Faith.mp3</t>
  </si>
  <si>
    <t>SP_SB_3-26-31_Bombay_1975-01-08_First-class_Yoga.mp3</t>
  </si>
  <si>
    <t>https://audio.iskcondesiretree.com/01_-_Srila_Prabhupada/01_-_Lectures/01_-_English/01_-_Topic_wise/Srimad_Bhagavatam/Canto-03/SP_SB_3-26-31_Bombay_1975-01-08_First-class_Yoga.mp3</t>
  </si>
  <si>
    <t>SB-03-26-31_1975-01-08_SB-BOMBAY.MP3</t>
  </si>
  <si>
    <t>https://audio.iskcondesiretree.com/01_-_Srila_Prabhupada/01_-_Lectures/01_-_English/02_-_Month_wise/01_-_January/08/SB-03-26-31_1975-01-08_SB-BOMBAY.MP3</t>
  </si>
  <si>
    <t>SB_3-26-31_BOM_1975-01-08_First-class_Yoga.mp3</t>
  </si>
  <si>
    <t>https://audio.iskcondesiretree.com/01_-_Srila_Prabhupada/01_-_Lectures/01_-_English/02_-_Month_wise/01_-_January/08/SB_3-26-31_BOM_1975-01-08_First-class_Yoga.mp3</t>
  </si>
  <si>
    <t>SP_SB_3-26-32_Bombay_1975-01-09_Creation--Sound_Explanation.mp3</t>
  </si>
  <si>
    <t>https://audio.iskcondesiretree.com/01_-_Srila_Prabhupada/01_-_Lectures/01_-_English/01_-_Topic_wise/Srimad_Bhagavatam/Canto-03/SP_SB_3-26-32_Bombay_1975-01-09_Creation--Sound_Explanation.mp3</t>
  </si>
  <si>
    <t>SB-03-26-32_1975-01-09_SB-BOMBAY.MP3</t>
  </si>
  <si>
    <t>https://audio.iskcondesiretree.com/01_-_Srila_Prabhupada/01_-_Lectures/01_-_English/02_-_Month_wise/01_-_January/09/SB-03-26-32_1975-01-09_SB-BOMBAY.MP3</t>
  </si>
  <si>
    <t>SB_3-26-32_BOM_1975-01-09_Creation-Sound_Explanation.mp3</t>
  </si>
  <si>
    <t>https://audio.iskcondesiretree.com/01_-_Srila_Prabhupada/01_-_Lectures/01_-_English/02_-_Month_wise/01_-_January/09/SB_3-26-32_BOM_1975-01-09_Creation-Sound_Explanation.mp3</t>
  </si>
  <si>
    <t>SP_SB_3-26-34_Bombay_1975-01-11_Passing_Life%27s_Final_Examination.mp3</t>
  </si>
  <si>
    <t>https://audio.iskcondesiretree.com/01_-_Srila_Prabhupada/01_-_Lectures/01_-_English/01_-_Topic_wise/Srimad_Bhagavatam/Canto-03/SP_SB_3-26-34_Bombay_1975-01-11_Passing_Life%27s_Final_Examination.mp3</t>
  </si>
  <si>
    <t>SB-03-26-34_1975-01-11_SB-BOMBAY.MP3</t>
  </si>
  <si>
    <t>https://audio.iskcondesiretree.com/01_-_Srila_Prabhupada/01_-_Lectures/01_-_English/02_-_Month_wise/01_-_January/11/SB-03-26-34_1975-01-11_SB-BOMBAY.MP3</t>
  </si>
  <si>
    <t>SB_3-26-34_BOM_1975-01-11_Passing_Life%27s_Final_Examination.mp3</t>
  </si>
  <si>
    <t>https://audio.iskcondesiretree.com/01_-_Srila_Prabhupada/01_-_Lectures/01_-_English/02_-_Month_wise/01_-_January/11/SB_3-26-34_BOM_1975-01-11_Passing_Life%27s_Final_Examination.mp3</t>
  </si>
  <si>
    <t>SP_SB_3-26-35_Bombay_1975-01-12_Tolerance_of_Matter%27s_Touch.mp3</t>
  </si>
  <si>
    <t>https://audio.iskcondesiretree.com/01_-_Srila_Prabhupada/01_-_Lectures/01_-_English/01_-_Topic_wise/Srimad_Bhagavatam/Canto-03/SP_SB_3-26-35_Bombay_1975-01-12_Tolerance_of_Matter%27s_Touch.mp3</t>
  </si>
  <si>
    <t>SB-03-26-35%E2%80%9336_1975-01-12_SB-BOMBAY.MP3</t>
  </si>
  <si>
    <t>https://audio.iskcondesiretree.com/01_-_Srila_Prabhupada/01_-_Lectures/01_-_English/02_-_Month_wise/01_-_January/12/SB-03-26-35%E2%80%9336_1975-01-12_SB-BOMBAY.MP3</t>
  </si>
  <si>
    <t>SB_3-26-35_BOM_1975-01-12_Tolerance_of_Matter%27s_Touch.mp3</t>
  </si>
  <si>
    <t>https://audio.iskcondesiretree.com/01_-_Srila_Prabhupada/01_-_Lectures/01_-_English/02_-_Month_wise/01_-_January/12/SB_3-26-35_BOM_1975-01-12_Tolerance_of_Matter%27s_Touch.mp3</t>
  </si>
  <si>
    <t>SP_SB_3-26-39_Bombay_1975-01-14_Forest_Fire_of_False_Ego.mp3</t>
  </si>
  <si>
    <t>https://audio.iskcondesiretree.com/01_-_Srila_Prabhupada/01_-_Lectures/01_-_English/01_-_Topic_wise/Srimad_Bhagavatam/Canto-03/SP_SB_3-26-39_Bombay_1975-01-14_Forest_Fire_of_False_Ego.mp3</t>
  </si>
  <si>
    <t>SB-03-26-39_1975-01-14_SB-BOMBAY.MP3</t>
  </si>
  <si>
    <t>https://audio.iskcondesiretree.com/01_-_Srila_Prabhupada/01_-_Lectures/01_-_English/02_-_Month_wise/01_-_January/14/SB-03-26-39_1975-01-14_SB-BOMBAY.MP3</t>
  </si>
  <si>
    <t>SB_3-26-39_BOM_1975-01-14_Forest_Fire_of_False_Ego.mp3</t>
  </si>
  <si>
    <t>https://audio.iskcondesiretree.com/01_-_Srila_Prabhupada/01_-_Lectures/01_-_English/02_-_Month_wise/01_-_January/14/SB_3-26-39_BOM_1975-01-14_Forest_Fire_of_False_Ego.mp3</t>
  </si>
  <si>
    <t>SP_SB_3-26-40_Bombay_1975-01-15_Study_Krishna_Analytically.mp3</t>
  </si>
  <si>
    <t>https://audio.iskcondesiretree.com/01_-_Srila_Prabhupada/01_-_Lectures/01_-_English/01_-_Topic_wise/Srimad_Bhagavatam/Canto-03/SP_SB_3-26-40_Bombay_1975-01-15_Study_Krishna_Analytically.mp3</t>
  </si>
  <si>
    <t>SB-03-26-40_1975-01-15_SB-BOMBAY.MP3</t>
  </si>
  <si>
    <t>https://audio.iskcondesiretree.com/01_-_Srila_Prabhupada/01_-_Lectures/01_-_English/02_-_Month_wise/01_-_January/15/SB-03-26-40_1975-01-15_SB-BOMBAY.MP3</t>
  </si>
  <si>
    <t>SB_3-26-40_BOM_1975-01-15_Study_Krishna_Analytically.mp3</t>
  </si>
  <si>
    <t>https://audio.iskcondesiretree.com/01_-_Srila_Prabhupada/01_-_Lectures/01_-_English/02_-_Month_wise/01_-_January/15/SB_3-26-40_BOM_1975-01-15_Study_Krishna_Analytically.mp3</t>
  </si>
  <si>
    <t>SP_SB_3-26-41_Bombay_1975-01-16_Working_of_Universal_Machinery.mp3</t>
  </si>
  <si>
    <t>https://audio.iskcondesiretree.com/01_-_Srila_Prabhupada/01_-_Lectures/01_-_English/01_-_Topic_wise/Srimad_Bhagavatam/Canto-03/SP_SB_3-26-41_Bombay_1975-01-16_Working_of_Universal_Machinery.mp3</t>
  </si>
  <si>
    <t>SB-03-26-41_1975-01-16_SB-BOMBAY.MP3</t>
  </si>
  <si>
    <t>https://audio.iskcondesiretree.com/01_-_Srila_Prabhupada/01_-_Lectures/01_-_English/02_-_Month_wise/01_-_January/16/SB-03-26-41_1975-01-16_SB-BOMBAY.MP3</t>
  </si>
  <si>
    <t>SB_3-26-41_BOM_1975-01-16_Working_of_Universal_Machinery.mp3</t>
  </si>
  <si>
    <t>https://audio.iskcondesiretree.com/01_-_Srila_Prabhupada/01_-_Lectures/01_-_English/02_-_Month_wise/01_-_January/16/SB_3-26-41_BOM_1975-01-16_Working_of_Universal_Machinery.mp3</t>
  </si>
  <si>
    <t>SP_SB_3-26-42_Bombay_1975-01-17_Universal_Mixer_%26_Taste_Maker.mp3</t>
  </si>
  <si>
    <t>https://audio.iskcondesiretree.com/01_-_Srila_Prabhupada/01_-_Lectures/01_-_English/01_-_Topic_wise/Srimad_Bhagavatam/Canto-03/SP_SB_3-26-42_Bombay_1975-01-17_Universal_Mixer_%26_Taste_Maker.mp3</t>
  </si>
  <si>
    <t>SB-03-26-42_1975-01-17_SB-BOMBAY.MP3</t>
  </si>
  <si>
    <t>https://audio.iskcondesiretree.com/01_-_Srila_Prabhupada/01_-_Lectures/01_-_English/02_-_Month_wise/01_-_January/17/SB-03-26-42_1975-01-17_SB-BOMBAY.MP3</t>
  </si>
  <si>
    <t>SB_3-26-42_BOM_1975-01-17_Universal_Mixer_%26_Taste_Maker.mp3</t>
  </si>
  <si>
    <t>https://audio.iskcondesiretree.com/01_-_Srila_Prabhupada/01_-_Lectures/01_-_English/02_-_Month_wise/01_-_January/17/SB_3-26-42_BOM_1975-01-17_Universal_Mixer_%26_Taste_Maker.mp3</t>
  </si>
  <si>
    <t>SP_SB_3-26-43_Bombay_1975-01-18_Refreshment_for_Parched_Mind.mp3</t>
  </si>
  <si>
    <t>https://audio.iskcondesiretree.com/01_-_Srila_Prabhupada/01_-_Lectures/01_-_English/01_-_Topic_wise/Srimad_Bhagavatam/Canto-03/SP_SB_3-26-43_Bombay_1975-01-18_Refreshment_for_Parched_Mind.mp3</t>
  </si>
  <si>
    <t>SB-03-26-43_1975-01-18_SB-BOMBAY.MP3</t>
  </si>
  <si>
    <t>https://audio.iskcondesiretree.com/01_-_Srila_Prabhupada/01_-_Lectures/01_-_English/02_-_Month_wise/01_-_January/18/SB-03-26-43_1975-01-18_SB-BOMBAY.MP3</t>
  </si>
  <si>
    <t>SB_3-26-43_BOM_1975-01-18_Refreshment_for_Parched_Mind.mp3</t>
  </si>
  <si>
    <t>https://audio.iskcondesiretree.com/01_-_Srila_Prabhupada/01_-_Lectures/01_-_English/02_-_Month_wise/01_-_January/18/SB_3-26-43_BOM_1975-01-18_Refreshment_for_Parched_Mind.mp3</t>
  </si>
  <si>
    <t>SP_SB_3-26-44_Bombay_1975-01-19_Pure_Love.mp3</t>
  </si>
  <si>
    <t>https://audio.iskcondesiretree.com/01_-_Srila_Prabhupada/01_-_Lectures/01_-_English/01_-_Topic_wise/Srimad_Bhagavatam/Canto-03/SP_SB_3-26-44_Bombay_1975-01-19_Pure_Love.mp3</t>
  </si>
  <si>
    <t>SB-03-26-44_1975-01-19_SB-BOMBAY.MP3</t>
  </si>
  <si>
    <t>https://audio.iskcondesiretree.com/01_-_Srila_Prabhupada/01_-_Lectures/01_-_English/02_-_Month_wise/01_-_January/19/SB-03-26-44_1975-01-19_SB-BOMBAY.MP3</t>
  </si>
  <si>
    <t>SB_3-26-44_BOM_1975-01-19_Pure_Love.mp3</t>
  </si>
  <si>
    <t>https://audio.iskcondesiretree.com/01_-_Srila_Prabhupada/01_-_Lectures/01_-_English/02_-_Month_wise/01_-_January/19/SB_3-26-44_BOM_1975-01-19_Pure_Love.mp3</t>
  </si>
  <si>
    <t>SP_SB_3-26-45_Bombay_1975-01-20_Transcendental_Transaction.mp3</t>
  </si>
  <si>
    <t>https://audio.iskcondesiretree.com/01_-_Srila_Prabhupada/01_-_Lectures/01_-_English/01_-_Topic_wise/Srimad_Bhagavatam/Canto-03/SP_SB_3-26-45_Bombay_1975-01-20_Transcendental_Transaction.mp3</t>
  </si>
  <si>
    <t>SB-03-26-45_1975-01-20_SB-BOMBAY.MP3</t>
  </si>
  <si>
    <t>https://audio.iskcondesiretree.com/01_-_Srila_Prabhupada/01_-_Lectures/01_-_English/02_-_Month_wise/01_-_January/20/SB-03-26-45_1975-01-20_SB-BOMBAY.MP3</t>
  </si>
  <si>
    <t>SB_3-26-45_BOM_1975-01-20_Transcendental_Transaction.mp3</t>
  </si>
  <si>
    <t>https://audio.iskcondesiretree.com/01_-_Srila_Prabhupada/01_-_Lectures/01_-_English/02_-_Month_wise/01_-_January/20/SB_3-26-45_BOM_1975-01-20_Transcendental_Transaction.mp3</t>
  </si>
  <si>
    <t>SP_SB_3-26-46_Bombay_1975-01-21_Putting_Krishna_in_His_Place.mp3</t>
  </si>
  <si>
    <t>https://audio.iskcondesiretree.com/01_-_Srila_Prabhupada/01_-_Lectures/01_-_English/01_-_Topic_wise/Srimad_Bhagavatam/Canto-03/SP_SB_3-26-46_Bombay_1975-01-21_Putting_Krishna_in_His_Place.mp3</t>
  </si>
  <si>
    <t>SB-03-26-46_1975-01-21_SB-BOMBAY.MP3</t>
  </si>
  <si>
    <t>https://audio.iskcondesiretree.com/01_-_Srila_Prabhupada/01_-_Lectures/01_-_English/02_-_Month_wise/01_-_January/21/SB-03-26-46_1975-01-21_SB-BOMBAY.MP3</t>
  </si>
  <si>
    <t>SB_3-26-46_BOM_1975-01-21_Putting_Krishna_in_His_Place.mp3</t>
  </si>
  <si>
    <t>https://audio.iskcondesiretree.com/01_-_Srila_Prabhupada/01_-_Lectures/01_-_English/02_-_Month_wise/01_-_January/21/SB_3-26-46_BOM_1975-01-21_Putting_Krishna_in_His_Place.mp3</t>
  </si>
  <si>
    <t>SP_SB_3-26-47_Bombay_1975-01-22_Dead_Sound--Living_Sound.mp3</t>
  </si>
  <si>
    <t>https://audio.iskcondesiretree.com/01_-_Srila_Prabhupada/01_-_Lectures/01_-_English/01_-_Topic_wise/Srimad_Bhagavatam/Canto-03/SP_SB_3-26-47_Bombay_1975-01-22_Dead_Sound--Living_Sound.mp3</t>
  </si>
  <si>
    <t>SB-03-26-47_1975-01-22_SB-BOMBAY.MP3</t>
  </si>
  <si>
    <t>https://audio.iskcondesiretree.com/01_-_Srila_Prabhupada/01_-_Lectures/01_-_English/02_-_Month_wise/01_-_January/22/SB-03-26-47_1975-01-22_SB-BOMBAY.MP3</t>
  </si>
  <si>
    <t>SB_3-26-47_BOM_1975-01-22_Dead_Sound--Living_Sound.mp3</t>
  </si>
  <si>
    <t>https://audio.iskcondesiretree.com/01_-_Srila_Prabhupada/01_-_Lectures/01_-_English/02_-_Month_wise/01_-_January/22/SB_3-26-47_BOM_1975-01-22_Dead_Sound--Living_Sound.mp3</t>
  </si>
  <si>
    <t>SP_BG_16-07-09_Bombay_1975-01-23_Cornerstone_for_Godly_Civilization.mp3</t>
  </si>
  <si>
    <t>https://audio.iskcondesiretree.com/01_-_Srila_Prabhupada/01_-_Lectures/01_-_English/01_-_Topic_wise/Bhagavad_Gita/Chapter-16/SP_BG_16-07-09_Bombay_1975-01-23_Cornerstone_for_Godly_Civilization.mp3</t>
  </si>
  <si>
    <t>Bg-16-07%E2%80%9309_1975-01-23_CS-BOMBAY.MP3</t>
  </si>
  <si>
    <t>https://audio.iskcondesiretree.com/01_-_Srila_Prabhupada/01_-_Lectures/01_-_English/02_-_Month_wise/01_-_January/23/Bg-16-07%E2%80%9309_1975-01-23_CS-BOMBAY.MP3</t>
  </si>
  <si>
    <t>Bg_16-07_BOM_1975-01-23_Cornerstone_for_Godly_Civilization.mp3</t>
  </si>
  <si>
    <t>https://audio.iskcondesiretree.com/01_-_Srila_Prabhupada/01_-_Lectures/01_-_English/02_-_Month_wise/01_-_January/23/Bg_16-07_BOM_1975-01-23_Cornerstone_for_Godly_Civilization.mp3</t>
  </si>
  <si>
    <t>SP_BG_07-01_Hong_Kong_1975-01-25_Transfer_Your_Attachment.mp3</t>
  </si>
  <si>
    <t>https://audio.iskcondesiretree.com/01_-_Srila_Prabhupada/01_-_Lectures/01_-_English/01_-_Topic_wise/Bhagavad_Gita/Chapter-07/SP_BG_07-01_Hong_Kong_1975-01-25_Transfer_Your_Attachment.mp3</t>
  </si>
  <si>
    <t>Bg-07-01_1975-01-25_BG-HONG%20KONG.MP3</t>
  </si>
  <si>
    <t>https://audio.iskcondesiretree.com/01_-_Srila_Prabhupada/01_-_Lectures/01_-_English/02_-_Month_wise/01_-_January/25/Bg-07-01_1975-01-25_BG-HONG%20KONG.MP3</t>
  </si>
  <si>
    <t>Bg_07-01_HK_1975-01-25_Transfer_Your_Attachment.mp3</t>
  </si>
  <si>
    <t>https://audio.iskcondesiretree.com/01_-_Srila_Prabhupada/01_-_Lectures/01_-_English/02_-_Month_wise/01_-_January/25/Bg_07-01_HK_1975-01-25_Transfer_Your_Attachment.mp3</t>
  </si>
  <si>
    <t>SP_Room_Conversation_Hong_Kong_1975-01-26_Children--This_Is_Yoga.mp3</t>
  </si>
  <si>
    <t>https://audio.iskcondesiretree.com/01_-_Srila_Prabhupada/01_-_Lectures/01_-_English/01_-_Topic_wise/Room_Conversation/SP_Room_Conversation_Hong_Kong_1975-01-26_Children--This_Is_Yoga.mp3</t>
  </si>
  <si>
    <t>Darshan_1975-01-26_CD-HONG%20KONG.MP3</t>
  </si>
  <si>
    <t>https://audio.iskcondesiretree.com/01_-_Srila_Prabhupada/01_-_Lectures/01_-_English/02_-_Month_wise/01_-_January/26/Darshan_1975-01-26_CD-HONG%20KONG.MP3</t>
  </si>
  <si>
    <t>RC_HK_1975-01-26_Children-This_Is_Yoga.mp3</t>
  </si>
  <si>
    <t>https://audio.iskcondesiretree.com/01_-_Srila_Prabhupada/01_-_Lectures/01_-_English/02_-_Month_wise/01_-_January/26/RC_HK_1975-01-26_Children-This_Is_Yoga.mp3</t>
  </si>
  <si>
    <t>SP_BG_16-07_Tokyo_1975-01-27_Turning_Asuras_Into_Suras.mp3</t>
  </si>
  <si>
    <t>https://audio.iskcondesiretree.com/01_-_Srila_Prabhupada/01_-_Lectures/01_-_English/01_-_Topic_wise/Bhagavad_Gita/Chapter-16/SP_BG_16-07_Tokyo_1975-01-27_Turning_Asuras_Into_Suras.mp3</t>
  </si>
  <si>
    <t>SP_Room_Conversation_Tokyo_1975-01-27_%27Mixture%27_Means_Mixer.mp3</t>
  </si>
  <si>
    <t>https://audio.iskcondesiretree.com/01_-_Srila_Prabhupada/01_-_Lectures/01_-_English/01_-_Topic_wise/Room_Conversation/SP_Room_Conversation_Tokyo_1975-01-27_%27Mixture%27_Means_Mixer.mp3</t>
  </si>
  <si>
    <t>Bg-16-07_1975-01-27_BG-TOKYO.MP3</t>
  </si>
  <si>
    <t>https://audio.iskcondesiretree.com/01_-_Srila_Prabhupada/01_-_Lectures/01_-_English/02_-_Month_wise/01_-_January/27/Bg-16-07_1975-01-27_BG-TOKYO.MP3</t>
  </si>
  <si>
    <t>Bg_16-07_TOK_1975-01-27_Turning_Asuras_Into_Suras.mp3</t>
  </si>
  <si>
    <t>https://audio.iskcondesiretree.com/01_-_Srila_Prabhupada/01_-_Lectures/01_-_English/02_-_Month_wise/01_-_January/27/Bg_16-07_TOK_1975-01-27_Turning_Asuras_Into_Suras.mp3</t>
  </si>
  <si>
    <t>Conv_1975-01-27_R1-TOKYO.MP3</t>
  </si>
  <si>
    <t>https://audio.iskcondesiretree.com/01_-_Srila_Prabhupada/01_-_Lectures/01_-_English/02_-_Month_wise/01_-_January/27/Conv_1975-01-27_R1-TOKYO.MP3</t>
  </si>
  <si>
    <t>RC_TOK_1975-01-27_Mixture_Means_Mixer.mp3</t>
  </si>
  <si>
    <t>https://audio.iskcondesiretree.com/01_-_Srila_Prabhupada/01_-_Lectures/01_-_English/02_-_Month_wise/01_-_January/27/RC_TOK_1975-01-27_Mixture_Means_Mixer.mp3</t>
  </si>
  <si>
    <t>SP_BG_16-08_Tokyo_1975-01-28_The_Unseen_Controller.mp3</t>
  </si>
  <si>
    <t>https://audio.iskcondesiretree.com/01_-_Srila_Prabhupada/01_-_Lectures/01_-_English/01_-_Topic_wise/Bhagavad_Gita/Chapter-16/SP_BG_16-08_Tokyo_1975-01-28_The_Unseen_Controller.mp3</t>
  </si>
  <si>
    <t>Bg-16-08_1975-01-28_BG-TOKYO.MP3</t>
  </si>
  <si>
    <t>https://audio.iskcondesiretree.com/01_-_Srila_Prabhupada/01_-_Lectures/01_-_English/02_-_Month_wise/01_-_January/28/Bg-16-08_1975-01-28_BG-TOKYO.MP3</t>
  </si>
  <si>
    <t>Bg_16-08_TOK_1975-01-28_The_Unseen_Controller.mp3</t>
  </si>
  <si>
    <t>https://audio.iskcondesiretree.com/01_-_Srila_Prabhupada/01_-_Lectures/01_-_English/02_-_Month_wise/01_-_January/28/Bg_16-08_TOK_1975-01-28_The_Unseen_Controller.mp3</t>
  </si>
  <si>
    <t>SP_BG_16-01_Hawaii_1975-01-29_The_Cure_for_Fear.mp3</t>
  </si>
  <si>
    <t>https://audio.iskcondesiretree.com/01_-_Srila_Prabhupada/01_-_Lectures/01_-_English/01_-_Topic_wise/Bhagavad_Gita/Chapter-16/SP_BG_16-01_Hawaii_1975-01-29_The_Cure_for_Fear.mp3</t>
  </si>
  <si>
    <t>Bg-16-01%E2%80%9303_1975-01-29_BG-HONOLULU.MP3</t>
  </si>
  <si>
    <t>https://audio.iskcondesiretree.com/01_-_Srila_Prabhupada/01_-_Lectures/01_-_English/02_-_Month_wise/01_-_January/29/Bg-16-01%E2%80%9303_1975-01-29_BG-HONOLULU.MP3</t>
  </si>
  <si>
    <t>Bg_16-01_HAW_1975-01-29_The_Cure_for_Fear.mp3</t>
  </si>
  <si>
    <t>https://audio.iskcondesiretree.com/01_-_Srila_Prabhupada/01_-_Lectures/01_-_English/02_-_Month_wise/01_-_January/29/Bg_16-01_HAW_1975-01-29_The_Cure_for_Fear.mp3</t>
  </si>
  <si>
    <t>SP_BG_16-04_Hawaii_1975-01-30_Become_Devotee_or_Remain_Demon.mp3</t>
  </si>
  <si>
    <t>https://audio.iskcondesiretree.com/01_-_Srila_Prabhupada/01_-_Lectures/01_-_English/01_-_Topic_wise/Bhagavad_Gita/Chapter-16/SP_BG_16-04_Hawaii_1975-01-30_Become_Devotee_or_Remain_Demon.mp3</t>
  </si>
  <si>
    <t>Bg-16-04_1975-01-30_BG-HONOLULU.MP3</t>
  </si>
  <si>
    <t>https://audio.iskcondesiretree.com/01_-_Srila_Prabhupada/01_-_Lectures/01_-_English/02_-_Month_wise/01_-_January/30/Bg-16-04_1975-01-30_BG-HONOLULU.MP3</t>
  </si>
  <si>
    <t>Bg_16-04_HAW_1975-01-30_Become_Devotee_or_Remain_Demon.mp3</t>
  </si>
  <si>
    <t>https://audio.iskcondesiretree.com/01_-_Srila_Prabhupada/01_-_Lectures/01_-_English/02_-_Month_wise/01_-_January/30/Bg_16-04_HAW_1975-01-30_Become_Devotee_or_Remain_Demon.mp3</t>
  </si>
  <si>
    <t>SP_BG_16-05_Hawaii_1975-01-31_Becoming_a_Dog.mp3</t>
  </si>
  <si>
    <t>https://audio.iskcondesiretree.com/01_-_Srila_Prabhupada/01_-_Lectures/01_-_English/01_-_Topic_wise/Bhagavad_Gita/Chapter-16/SP_BG_16-05_Hawaii_1975-01-31_Becoming_a_Dog.mp3</t>
  </si>
  <si>
    <t>Bg-16-05_1975-01-31_BG-HONOLULU.MP3</t>
  </si>
  <si>
    <t>https://audio.iskcondesiretree.com/01_-_Srila_Prabhupada/01_-_Lectures/01_-_English/02_-_Month_wise/01_-_January/31/Bg-16-05_1975-01-31_BG-HONOLULU.MP3</t>
  </si>
  <si>
    <t>Bg_16-05_HAW_1975-01-31_Becoming_a_Dog.mp3</t>
  </si>
  <si>
    <t>https://audio.iskcondesiretree.com/01_-_Srila_Prabhupada/01_-_Lectures/01_-_English/02_-_Month_wise/01_-_January/31/Bg_16-05_HAW_1975-01-31_Becoming_a_Dog.mp3</t>
  </si>
  <si>
    <t>SP_BG_16-06_Hawaii_1975-02-02_Education_in_Becoming_Divine.mp3</t>
  </si>
  <si>
    <t>https://audio.iskcondesiretree.com/01_-_Srila_Prabhupada/01_-_Lectures/01_-_English/01_-_Topic_wise/Bhagavad_Gita/Chapter-16/SP_BG_16-06_Hawaii_1975-02-02_Education_in_Becoming_Divine.mp3</t>
  </si>
  <si>
    <t>Bg-16-06_1975-02-02BG-HONOLULU.MP3</t>
  </si>
  <si>
    <t>https://audio.iskcondesiretree.com/01_-_Srila_Prabhupada/01_-_Lectures/01_-_English/02_-_Month_wise/02_-_Feburary/02/Bg-16-06_1975-02-02BG-HONOLULU.MP3</t>
  </si>
  <si>
    <t>Bg_16-06_HAW_1975-02-02_Education_in_Becoming_Divine.mp3</t>
  </si>
  <si>
    <t>https://audio.iskcondesiretree.com/01_-_Srila_Prabhupada/01_-_Lectures/01_-_English/02_-_Month_wise/02_-_Feburary/02/Bg_16-06_HAW_1975-02-02_Education_in_Becoming_Divine.mp3</t>
  </si>
  <si>
    <t>SP_BG_16-07_Hawaii_1975-02-03_The_Demonic_Want_Degradation.mp3</t>
  </si>
  <si>
    <t>https://audio.iskcondesiretree.com/01_-_Srila_Prabhupada/01_-_Lectures/01_-_English/01_-_Topic_wise/Bhagavad_Gita/Chapter-16/SP_BG_16-07_Hawaii_1975-02-03_The_Demonic_Want_Degradation.mp3</t>
  </si>
  <si>
    <t>SP_Morning_Walk_-_Hawaii_1975-02-03_Must_All_Devotees_Live_in_Temple.mp3</t>
  </si>
  <si>
    <t>https://audio.iskcondesiretree.com/01_-_Srila_Prabhupada/01_-_Lectures/01_-_English/01_-_Topic_wise/Morning_Walk/SP_Morning_Walk_-_Hawaii_1975-02-03_Must_All_Devotees_Live_in_Temple.mp3</t>
  </si>
  <si>
    <t>Bg-16-07_1975-02-03_BG-HONOLULU.MP3</t>
  </si>
  <si>
    <t>https://audio.iskcondesiretree.com/01_-_Srila_Prabhupada/01_-_Lectures/01_-_English/02_-_Month_wise/02_-_Feburary/03/Bg-16-07_1975-02-03_BG-HONOLULU.MP3</t>
  </si>
  <si>
    <t>Bg_16-07_HAW_1975-02-03_The_Demonic_Want_Degradation.mp3</t>
  </si>
  <si>
    <t>https://audio.iskcondesiretree.com/01_-_Srila_Prabhupada/01_-_Lectures/01_-_English/02_-_Month_wise/02_-_Feburary/03/Bg_16-07_HAW_1975-02-03_The_Demonic_Want_Degradation.mp3</t>
  </si>
  <si>
    <t>MW_HAW_1975-02-03_Must_All_Devotees_Live_in_Temple.mp3</t>
  </si>
  <si>
    <t>https://audio.iskcondesiretree.com/01_-_Srila_Prabhupada/01_-_Lectures/01_-_English/02_-_Month_wise/02_-_Feburary/03/MW_HAW_1975-02-03_Must_All_Devotees_Live_in_Temple.mp3</t>
  </si>
  <si>
    <t>Walk_1975-02-03_MW-HONOLULU.MP3</t>
  </si>
  <si>
    <t>https://audio.iskcondesiretree.com/01_-_Srila_Prabhupada/01_-_Lectures/01_-_English/02_-_Month_wise/02_-_Feburary/03/Walk_1975-02-03_MW-HONOLULU.MP3</t>
  </si>
  <si>
    <t>SP_BG_16-08_Hawaii_1975-02-04_Who_Is_Demon_and_Who_Is_Divine.mp3</t>
  </si>
  <si>
    <t>https://audio.iskcondesiretree.com/01_-_Srila_Prabhupada/01_-_Lectures/01_-_English/01_-_Topic_wise/Bhagavad_Gita/Chapter-16/SP_BG_16-08_Hawaii_1975-02-04_Who_Is_Demon_and_Who_Is_Divine.mp3</t>
  </si>
  <si>
    <t>Bg-16-08_1975-02-04_BG-HONOLULU.MP3</t>
  </si>
  <si>
    <t>https://audio.iskcondesiretree.com/01_-_Srila_Prabhupada/01_-_Lectures/01_-_English/02_-_Month_wise/02_-_Feburary/04/Bg-16-08_1975-02-04_BG-HONOLULU.MP3</t>
  </si>
  <si>
    <t>Bg_16-08_HAW_1975-02-04_Who_Is_Demon_and_Who_Is_Divine.mp3</t>
  </si>
  <si>
    <t>https://audio.iskcondesiretree.com/01_-_Srila_Prabhupada/01_-_Lectures/01_-_English/02_-_Month_wise/02_-_Feburary/04/Bg_16-08_HAW_1975-02-04_Who_Is_Demon_and_Who_Is_Divine.mp3</t>
  </si>
  <si>
    <t>Walk_1975-02-04_MW-HONOLULU.MP3</t>
  </si>
  <si>
    <t>https://audio.iskcondesiretree.com/01_-_Srila_Prabhupada/01_-_Lectures/01_-_English/02_-_Month_wise/02_-_Feburary/04/Walk_1975-02-04_MW-HONOLULU.MP3</t>
  </si>
  <si>
    <t>SP_BG_16-09_Hawaii_1975-02-05_The_Demonic-No_Sense_of_God.mp3</t>
  </si>
  <si>
    <t>https://audio.iskcondesiretree.com/01_-_Srila_Prabhupada/01_-_Lectures/01_-_English/01_-_Topic_wise/Bhagavad_Gita/Chapter-16/SP_BG_16-09_Hawaii_1975-02-05_The_Demonic-No_Sense_of_God.mp3</t>
  </si>
  <si>
    <t>Bg-16-09_1975-02-05_BG-HONOLULU.MP3</t>
  </si>
  <si>
    <t>https://audio.iskcondesiretree.com/01_-_Srila_Prabhupada/01_-_Lectures/01_-_English/02_-_Month_wise/02_-_Feburary/05/Bg-16-09_1975-02-05_BG-HONOLULU.MP3</t>
  </si>
  <si>
    <t>Bg_16-09_HAW_1975-02-05_The_Demonic-No_Sense_of_God.mp3</t>
  </si>
  <si>
    <t>https://audio.iskcondesiretree.com/01_-_Srila_Prabhupada/01_-_Lectures/01_-_English/02_-_Month_wise/02_-_Feburary/05/Bg_16-09_HAW_1975-02-05_The_Demonic-No_Sense_of_God.mp3</t>
  </si>
  <si>
    <t>SP_BG_16-10_Hawaii_1975-02-06_The_Demonic_Attitude.mp3</t>
  </si>
  <si>
    <t>https://audio.iskcondesiretree.com/01_-_Srila_Prabhupada/01_-_Lectures/01_-_English/01_-_Topic_wise/Bhagavad_Gita/Chapter-16/SP_BG_16-10_Hawaii_1975-02-06_The_Demonic_Attitude.mp3</t>
  </si>
  <si>
    <t>Bg-16-10_1975-02-06_BG-HONOLULU.MP3</t>
  </si>
  <si>
    <t>https://audio.iskcondesiretree.com/01_-_Srila_Prabhupada/01_-_Lectures/01_-_English/02_-_Month_wise/02_-_Feburary/06/Bg-16-10_1975-02-06_BG-HONOLULU.MP3</t>
  </si>
  <si>
    <t>Bg_16-10_HAW_1975-02-06_The_Demonic_Attitude.mp3</t>
  </si>
  <si>
    <t>https://audio.iskcondesiretree.com/01_-_Srila_Prabhupada/01_-_Lectures/01_-_English/02_-_Month_wise/02_-_Feburary/06/Bg_16-10_HAW_1975-02-06_The_Demonic_Attitude.mp3</t>
  </si>
  <si>
    <t>SP_BG_16-11_Hawaii_1975-02-07_Anxiety_Unlimited.mp3</t>
  </si>
  <si>
    <t>https://audio.iskcondesiretree.com/01_-_Srila_Prabhupada/01_-_Lectures/01_-_English/01_-_Topic_wise/Bhagavad_Gita/Chapter-16/SP_BG_16-11_Hawaii_1975-02-07_Anxiety_Unlimited.mp3</t>
  </si>
  <si>
    <t>Bg-16-11%E2%80%9312_1975-02-07_BG-HONOLULU.MP3</t>
  </si>
  <si>
    <t>https://audio.iskcondesiretree.com/01_-_Srila_Prabhupada/01_-_Lectures/01_-_English/02_-_Month_wise/02_-_Feburary/07/Bg-16-11%E2%80%9312_1975-02-07_BG-HONOLULU.MP3</t>
  </si>
  <si>
    <t>Bg_16-11_HAW_1975-02-07_Anxiety_Unlimited.mp3</t>
  </si>
  <si>
    <t>https://audio.iskcondesiretree.com/01_-_Srila_Prabhupada/01_-_Lectures/01_-_English/02_-_Month_wise/02_-_Feburary/07/Bg_16-11_HAW_1975-02-07_Anxiety_Unlimited.mp3</t>
  </si>
  <si>
    <t>SP_BG_16-13-15_Hawaii_1975-02-08_Devotional_and_Demonic_Desires.MP3</t>
  </si>
  <si>
    <t>https://audio.iskcondesiretree.com/01_-_Srila_Prabhupada/01_-_Lectures/01_-_English/01_-_Topic_wise/Bhagavad_Gita/Chapter-16/SP_BG_16-13-15_Hawaii_1975-02-08_Devotional_and_Demonic_Desires.MP3</t>
  </si>
  <si>
    <t>SP_BG_16-13_Hawaii_1975-02-08_Devotional_and_Demonic_Desires.mp3</t>
  </si>
  <si>
    <t>https://audio.iskcondesiretree.com/01_-_Srila_Prabhupada/01_-_Lectures/01_-_English/01_-_Topic_wise/Bhagavad_Gita/Chapter-16/SP_BG_16-13_Hawaii_1975-02-08_Devotional_and_Demonic_Desires.mp3</t>
  </si>
  <si>
    <t>Bg-16-13%E2%80%9315_1975-02-08_BG-HONOLULU.MP3</t>
  </si>
  <si>
    <t>https://audio.iskcondesiretree.com/01_-_Srila_Prabhupada/01_-_Lectures/01_-_English/02_-_Month_wise/02_-_Feburary/08/Bg-16-13%E2%80%9315_1975-02-08_BG-HONOLULU.MP3</t>
  </si>
  <si>
    <t>Bg_16-13_HAW_1975-02-08_Devotional_and_Demonic_Desires.mp3</t>
  </si>
  <si>
    <t>https://audio.iskcondesiretree.com/01_-_Srila_Prabhupada/01_-_Lectures/01_-_English/02_-_Month_wise/02_-_Feburary/08/Bg_16-13_HAW_1975-02-08_Devotional_and_Demonic_Desires.mp3</t>
  </si>
  <si>
    <t>SP_Arrival_Los_Angeles_1975-02-09_Krishna_Consciousness_Is_in_Everyone%27s_Heart.mp3</t>
  </si>
  <si>
    <t>https://audio.iskcondesiretree.com/01_-_Srila_Prabhupada/01_-_Lectures/01_-_English/01_-_Topic_wise/Arrival_Address/SP_Arrival_Los_Angeles_1975-02-09_Krishna_Consciousness_Is_in_Everyone%27s_Heart.mp3</t>
  </si>
  <si>
    <t>Arr_LA_1975-02-09_Krishna_Consciousness_Is_in_Everyone%27s_Heart.mp3</t>
  </si>
  <si>
    <t>https://audio.iskcondesiretree.com/01_-_Srila_Prabhupada/01_-_Lectures/01_-_English/02_-_Month_wise/02_-_Feburary/09/Arr_LA_1975-02-09_Krishna_Consciousness_Is_in_Everyone%27s_Heart.mp3</t>
  </si>
  <si>
    <t>Arrival_1975-02-09_AR-LOS%20ANGELES.MP3</t>
  </si>
  <si>
    <t>https://audio.iskcondesiretree.com/01_-_Srila_Prabhupada/01_-_Lectures/01_-_English/02_-_Month_wise/02_-_Feburary/09/Arrival_1975-02-09_AR-LOS%20ANGELES.MP3</t>
  </si>
  <si>
    <t>SP_Morning_Walk_-_Los_Angeles_1975-02-10.MP3</t>
  </si>
  <si>
    <t>https://audio.iskcondesiretree.com/01_-_Srila_Prabhupada/01_-_Lectures/01_-_English/01_-_Topic_wise/Morning_Walk/SP_Morning_Walk_-_Los_Angeles_1975-02-10.MP3</t>
  </si>
  <si>
    <t>SP_SB_2-08-07_Los_Angeles_1975-02-10_What_Caused_Our_Coming_Here.mp3</t>
  </si>
  <si>
    <t>https://audio.iskcondesiretree.com/01_-_Srila_Prabhupada/01_-_Lectures/01_-_English/01_-_Topic_wise/Srimad_Bhagavatam/Canto-02/SP_SB_2-08-07_Los_Angeles_1975-02-10_What_Caused_Our_Coming_Here.mp3</t>
  </si>
  <si>
    <t>SB-02-08-07_1975-02-10_SB-LOS%20ANGELES.MP3</t>
  </si>
  <si>
    <t>https://audio.iskcondesiretree.com/01_-_Srila_Prabhupada/01_-_Lectures/01_-_English/02_-_Month_wise/02_-_Feburary/10/SB-02-08-07_1975-02-10_SB-LOS%20ANGELES.MP3</t>
  </si>
  <si>
    <t>SB_2-08-07_LA_1975-02-10_What_Caused_Our_Coming_Here.mp3</t>
  </si>
  <si>
    <t>https://audio.iskcondesiretree.com/01_-_Srila_Prabhupada/01_-_Lectures/01_-_English/02_-_Month_wise/02_-_Feburary/10/SB_2-08-07_LA_1975-02-10_What_Caused_Our_Coming_Here.mp3</t>
  </si>
  <si>
    <t>Walk_1975-02-10_MW-LOS%20ANGELES.MP3</t>
  </si>
  <si>
    <t>https://audio.iskcondesiretree.com/01_-_Srila_Prabhupada/01_-_Lectures/01_-_English/02_-_Month_wise/02_-_Feburary/10/Walk_1975-02-10_MW-LOS%20ANGELES.MP3</t>
  </si>
  <si>
    <t>SP_Arrival_Mexico_1975-02-11_No_Sex_Life_in_the_Spirit_Soul.mp3</t>
  </si>
  <si>
    <t>https://audio.iskcondesiretree.com/01_-_Srila_Prabhupada/01_-_Lectures/01_-_English/01_-_Topic_wise/Arrival_Address/SP_Arrival_Mexico_1975-02-11_No_Sex_Life_in_the_Spirit_Soul.mp3</t>
  </si>
  <si>
    <t>SP_BG_02-11_Mexico_1975-02-11_Associate_with_Faithful.mp3</t>
  </si>
  <si>
    <t>https://audio.iskcondesiretree.com/01_-_Srila_Prabhupada/01_-_Lectures/01_-_English/01_-_Topic_wise/Bhagavad_Gita/Chapter-02/SP_BG_02-11_Mexico_1975-02-11_Associate_with_Faithful.mp3</t>
  </si>
  <si>
    <t>Arr_MEX_1975-02-11_No_Sex_Life_in_the_Spirit_Soul.mp3</t>
  </si>
  <si>
    <t>https://audio.iskcondesiretree.com/01_-_Srila_Prabhupada/01_-_Lectures/01_-_English/02_-_Month_wise/02_-_Feburary/11/Arr_MEX_1975-02-11_No_Sex_Life_in_the_Spirit_Soul.mp3</t>
  </si>
  <si>
    <t>Arrival_1975-02-11_AR-MEXICO%20CITY.MP3</t>
  </si>
  <si>
    <t>https://audio.iskcondesiretree.com/01_-_Srila_Prabhupada/01_-_Lectures/01_-_English/02_-_Month_wise/02_-_Feburary/11/Arrival_1975-02-11_AR-MEXICO%20CITY.MP3</t>
  </si>
  <si>
    <t>Bg-02-11_1975-02-11_BG-MEXICO%20CITY.MP3</t>
  </si>
  <si>
    <t>https://audio.iskcondesiretree.com/01_-_Srila_Prabhupada/01_-_Lectures/01_-_English/02_-_Month_wise/02_-_Feburary/11/Bg-02-11_1975-02-11_BG-MEXICO%20CITY.MP3</t>
  </si>
  <si>
    <t>Bg_02-11_MEX_1975-02-11_Associate_with_Faithful.mp3</t>
  </si>
  <si>
    <t>https://audio.iskcondesiretree.com/01_-_Srila_Prabhupada/01_-_Lectures/01_-_English/02_-_Month_wise/02_-_Feburary/11/Bg_02-11_MEX_1975-02-11_Associate_with_Faithful.mp3</t>
  </si>
  <si>
    <t>SP_BG_02-12_Mexico_1975-02-12_Don%27t_Be_Animalistic_Scholar.mp3</t>
  </si>
  <si>
    <t>https://audio.iskcondesiretree.com/01_-_Srila_Prabhupada/01_-_Lectures/01_-_English/01_-_Topic_wise/Bhagavad_Gita/Chapter-02/SP_BG_02-12_Mexico_1975-02-12_Don%27t_Be_Animalistic_Scholar.mp3</t>
  </si>
  <si>
    <t>SP_Room_Conversation_Mexico_1975-02-12_Sanskrit_Prof--Bona_Fide_or_Bogus.mp3</t>
  </si>
  <si>
    <t>https://audio.iskcondesiretree.com/01_-_Srila_Prabhupada/01_-_Lectures/01_-_English/01_-_Topic_wise/Room_Conversation/SP_Room_Conversation_Mexico_1975-02-12_Sanskrit_Prof--Bona_Fide_or_Bogus.mp3</t>
  </si>
  <si>
    <t>Bg-02-12_1975-02-12_BG-MEXICO%20CITY.MP3</t>
  </si>
  <si>
    <t>https://audio.iskcondesiretree.com/01_-_Srila_Prabhupada/01_-_Lectures/01_-_English/02_-_Month_wise/02_-_Feburary/12/Bg-02-12_1975-02-12_BG-MEXICO%20CITY.MP3</t>
  </si>
  <si>
    <t>Bg_02-12_MEX_1975-02-12_Don%27t_Be_Animalistic_Scholar.mp3</t>
  </si>
  <si>
    <t>https://audio.iskcondesiretree.com/01_-_Srila_Prabhupada/01_-_Lectures/01_-_English/02_-_Month_wise/02_-_Feburary/12/Bg_02-12_MEX_1975-02-12_Don%27t_Be_Animalistic_Scholar.mp3</t>
  </si>
  <si>
    <t>Conv_1975-02-12_R1-MEXICO%20CITY.MP3</t>
  </si>
  <si>
    <t>https://audio.iskcondesiretree.com/01_-_Srila_Prabhupada/01_-_Lectures/01_-_English/02_-_Month_wise/02_-_Feburary/12/Conv_1975-02-12_R1-MEXICO%20CITY.MP3</t>
  </si>
  <si>
    <t>RC_MEX_1975-02-12_Sanskrit_Prof--Bona_Fide_or_Bogus.mp3</t>
  </si>
  <si>
    <t>https://audio.iskcondesiretree.com/01_-_Srila_Prabhupada/01_-_Lectures/01_-_English/02_-_Month_wise/02_-_Feburary/12/RC_MEX_1975-02-12_Sanskrit_Prof--Bona_Fide_or_Bogus.mp3</t>
  </si>
  <si>
    <t>SP_Room_Conversation_Mexico_1975-02-13_Sanskrit_Prof--Why_Is_There_Anything.mp3</t>
  </si>
  <si>
    <t>https://audio.iskcondesiretree.com/01_-_Srila_Prabhupada/01_-_Lectures/01_-_English/01_-_Topic_wise/Room_Conversation/SP_Room_Conversation_Mexico_1975-02-13_Sanskrit_Prof--Why_Is_There_Anything.mp3</t>
  </si>
  <si>
    <t>Conv_1975-02-13_R1-MEXICO%20CITY.MP3</t>
  </si>
  <si>
    <t>https://audio.iskcondesiretree.com/01_-_Srila_Prabhupada/01_-_Lectures/01_-_English/02_-_Month_wise/02_-_Feburary/13/Conv_1975-02-13_R1-MEXICO%20CITY.MP3</t>
  </si>
  <si>
    <t>RC_MEX_1975-02-13_Sanskrit_Prof--Why_Is_There_Anything.mp3</t>
  </si>
  <si>
    <t>https://audio.iskcondesiretree.com/01_-_Srila_Prabhupada/01_-_Lectures/01_-_English/02_-_Month_wise/02_-_Feburary/13/RC_MEX_1975-02-13_Sanskrit_Prof--Why_Is_There_Anything.mp3</t>
  </si>
  <si>
    <t>SP_BG_02-14_Mexico_City_1975-02-14_Forbearance_to_Cure_the_Body.mp3</t>
  </si>
  <si>
    <t>https://audio.iskcondesiretree.com/01_-_Srila_Prabhupada/01_-_Lectures/01_-_English/01_-_Topic_wise/Bhagavad_Gita/Chapter-02/SP_BG_02-14_Mexico_City_1975-02-14_Forbearance_to_Cure_the_Body.mp3</t>
  </si>
  <si>
    <t>SP_Questions_and_Answers_with_Devotees_1975-02-14_Mexico_City.MP3</t>
  </si>
  <si>
    <t>https://audio.iskcondesiretree.com/01_-_Srila_Prabhupada/01_-_Lectures/01_-_English/01_-_Topic_wise/Various/SP_Questions_and_Answers_with_Devotees_1975-02-14_Mexico_City.MP3</t>
  </si>
  <si>
    <t>Bg-02-14_1975-02-14_BG-MEXICO%20CITY.MP3</t>
  </si>
  <si>
    <t>https://audio.iskcondesiretree.com/01_-_Srila_Prabhupada/01_-_Lectures/01_-_English/02_-_Month_wise/02_-_Feburary/14/Bg-02-14_1975-02-14_BG-MEXICO%20CITY.MP3</t>
  </si>
  <si>
    <t>Bg_02-14_MEX_City_1975-02-14_Forbearance_to_Cure_the_Body.mp3</t>
  </si>
  <si>
    <t>https://audio.iskcondesiretree.com/01_-_Srila_Prabhupada/01_-_Lectures/01_-_English/02_-_Month_wise/02_-_Feburary/14/Bg_02-14_MEX_City_1975-02-14_Forbearance_to_Cure_the_Body.mp3</t>
  </si>
  <si>
    <t>Conv_1975-02-14_QA-MEXICO%20CITY.MP3</t>
  </si>
  <si>
    <t>https://audio.iskcondesiretree.com/01_-_Srila_Prabhupada/01_-_Lectures/01_-_English/02_-_Month_wise/02_-_Feburary/14/Conv_1975-02-14_QA-MEXICO%20CITY.MP3</t>
  </si>
  <si>
    <t>SP_BG_02-15_Mexico_City_1975-02-15_Immortality_or_Itching.mp3</t>
  </si>
  <si>
    <t>https://audio.iskcondesiretree.com/01_-_Srila_Prabhupada/01_-_Lectures/01_-_English/01_-_Topic_wise/Bhagavad_Gita/Chapter-02/SP_BG_02-15_Mexico_City_1975-02-15_Immortality_or_Itching.mp3</t>
  </si>
  <si>
    <t>SP_Room_Conversation_Mexico_1975-02-15_Philosopher-Yogi--Psychology_for--etc.mp3</t>
  </si>
  <si>
    <t>https://audio.iskcondesiretree.com/01_-_Srila_Prabhupada/01_-_Lectures/01_-_English/01_-_Topic_wise/Room_Conversation/SP_Room_Conversation_Mexico_1975-02-15_Philosopher-Yogi--Psychology_for--etc.mp3</t>
  </si>
  <si>
    <t>Bg-02-15_1975-02-15_BG-MEXICO%20CITY.MP3</t>
  </si>
  <si>
    <t>https://audio.iskcondesiretree.com/01_-_Srila_Prabhupada/01_-_Lectures/01_-_English/02_-_Month_wise/02_-_Feburary/15/Bg-02-15_1975-02-15_BG-MEXICO%20CITY.MP3</t>
  </si>
  <si>
    <t>Bg_02-15_MEX_City_1975-02-15_Immortality..._or_Itching.mp3</t>
  </si>
  <si>
    <t>https://audio.iskcondesiretree.com/01_-_Srila_Prabhupada/01_-_Lectures/01_-_English/02_-_Month_wise/02_-_Feburary/15/Bg_02-15_MEX_City_1975-02-15_Immortality..._or_Itching.mp3</t>
  </si>
  <si>
    <t>Conv_1975-02-15_R1-MEXICO%20CITY.MP3</t>
  </si>
  <si>
    <t>https://audio.iskcondesiretree.com/01_-_Srila_Prabhupada/01_-_Lectures/01_-_English/02_-_Month_wise/02_-_Feburary/15/Conv_1975-02-15_R1-MEXICO%20CITY.MP3</t>
  </si>
  <si>
    <t>RC_MEX_1975-02-15_Philosopher-Yogi--Psychology_for_etc.mp3</t>
  </si>
  <si>
    <t>https://audio.iskcondesiretree.com/01_-_Srila_Prabhupada/01_-_Lectures/01_-_English/02_-_Month_wise/02_-_Feburary/15/RC_MEX_1975-02-15_Philosopher-Yogi--Psychology_for_etc.mp3</t>
  </si>
  <si>
    <t>SP_BG_02-16_Mexico_City_1975-02-16_Any_Understanding_of_God.mp3</t>
  </si>
  <si>
    <t>https://audio.iskcondesiretree.com/01_-_Srila_Prabhupada/01_-_Lectures/01_-_English/01_-_Topic_wise/Bhagavad_Gita/Chapter-02/SP_BG_02-16_Mexico_City_1975-02-16_Any_Understanding_of_God.mp3</t>
  </si>
  <si>
    <t>Bg-02-16_1975-02-16_BG-MEXICO%20CITY.MP3</t>
  </si>
  <si>
    <t>https://audio.iskcondesiretree.com/01_-_Srila_Prabhupada/01_-_Lectures/01_-_English/02_-_Month_wise/02_-_Feburary/16/Bg-02-16_1975-02-16_BG-MEXICO%20CITY.MP3</t>
  </si>
  <si>
    <t>Bg_02-16_MEX_City_1975-02-16_Any_Understanding_of_God.mp3</t>
  </si>
  <si>
    <t>https://audio.iskcondesiretree.com/01_-_Srila_Prabhupada/01_-_Lectures/01_-_English/02_-_Month_wise/02_-_Feburary/16/Bg_02-16_MEX_City_1975-02-16_Any_Understanding_of_God.mp3</t>
  </si>
  <si>
    <t>SP_BG_02-17_Mexico_City_1975-02-17_Don%27t_Increase_the_Disease.mp3</t>
  </si>
  <si>
    <t>https://audio.iskcondesiretree.com/01_-_Srila_Prabhupada/01_-_Lectures/01_-_English/01_-_Topic_wise/Bhagavad_Gita/Chapter-02/SP_BG_02-17_Mexico_City_1975-02-17_Don%27t_Increase_the_Disease.mp3</t>
  </si>
  <si>
    <t>Bg-02-17_1975-02-17_BG-MEXICO%20CITY.MP3</t>
  </si>
  <si>
    <t>https://audio.iskcondesiretree.com/01_-_Srila_Prabhupada/01_-_Lectures/01_-_English/02_-_Month_wise/02_-_Feburary/17/Bg-02-17_1975-02-17_BG-MEXICO%20CITY.MP3</t>
  </si>
  <si>
    <t>Bg_02-17_MEX_City_1975-02-17_Don%27t_Increase_the_Disease.mp3</t>
  </si>
  <si>
    <t>https://audio.iskcondesiretree.com/01_-_Srila_Prabhupada/01_-_Lectures/01_-_English/02_-_Month_wise/02_-_Feburary/17/Bg_02-17_MEX_City_1975-02-17_Don%27t_Increase_the_Disease.mp3</t>
  </si>
  <si>
    <t>SP_Departure_Address_1975-02-18_Mexico_City_Spanish_Translator.MP3</t>
  </si>
  <si>
    <t>https://audio.iskcondesiretree.com/01_-_Srila_Prabhupada/01_-_Lectures/01_-_English/01_-_Topic_wise/Departure_Address/SP_Departure_Address_1975-02-18_Mexico_City_Spanish_Translator.MP3</t>
  </si>
  <si>
    <t>Departure_1975-02-18_DP-MEXICO%20CITY.MP3</t>
  </si>
  <si>
    <t>https://audio.iskcondesiretree.com/01_-_Srila_Prabhupada/01_-_Lectures/01_-_English/02_-_Month_wise/02_-_Feburary/18/Departure_1975-02-18_DP-MEXICO%20CITY.MP3</t>
  </si>
  <si>
    <t>SP_Room_Conversation_Caracas_1975-02-19_Profs--A_Perfect_Master.mp3</t>
  </si>
  <si>
    <t>https://audio.iskcondesiretree.com/01_-_Srila_Prabhupada/01_-_Lectures/01_-_English/01_-_Topic_wise/Room_Conversation/SP_Room_Conversation_Caracas_1975-02-19_Profs--A_Perfect_Master.mp3</t>
  </si>
  <si>
    <t>SP_Room_Conversation_Caracas_1975-02-19_Profs--One_Perfect_Can_Teach_Thousands.mp3</t>
  </si>
  <si>
    <t>https://audio.iskcondesiretree.com/01_-_Srila_Prabhupada/01_-_Lectures/01_-_English/01_-_Topic_wise/Room_Conversation/SP_Room_Conversation_Caracas_1975-02-19_Profs--One_Perfect_Can_Teach_Thousands.mp3</t>
  </si>
  <si>
    <t>Conv_1975-02-19_R1-CARACAS.MP3</t>
  </si>
  <si>
    <t>https://audio.iskcondesiretree.com/01_-_Srila_Prabhupada/01_-_Lectures/01_-_English/02_-_Month_wise/02_-_Feburary/19/Conv_1975-02-19_R1-CARACAS.MP3</t>
  </si>
  <si>
    <t>RC_CAR_1975-02-19_Profs--A_Perfect_Master.mp3</t>
  </si>
  <si>
    <t>https://audio.iskcondesiretree.com/01_-_Srila_Prabhupada/01_-_Lectures/01_-_English/02_-_Month_wise/02_-_Feburary/19/RC_CAR_1975-02-19_Profs--A_Perfect_Master.mp3</t>
  </si>
  <si>
    <t>RC_CAR_1975-02-19_Profs--One_Perfect_Can_Teach_Thousands.mp3</t>
  </si>
  <si>
    <t>https://audio.iskcondesiretree.com/01_-_Srila_Prabhupada/01_-_Lectures/01_-_English/02_-_Month_wise/02_-_Feburary/19/RC_CAR_1975-02-19_Profs--One_Perfect_Can_Teach_Thousands.mp3</t>
  </si>
  <si>
    <t>SP_SB_1-01-01_Caracas_1975-02-20_Increasing_Your_Problems.mp3</t>
  </si>
  <si>
    <t>https://audio.iskcondesiretree.com/01_-_Srila_Prabhupada/01_-_Lectures/01_-_English/01_-_Topic_wise/Srimad_Bhagavatam/Canto-01/SP_SB_1-01-01_Caracas_1975-02-20_Increasing_Your_Problems.mp3</t>
  </si>
  <si>
    <t>SB-01-01-01_1975-02-20_SB-CARACAS.MP3</t>
  </si>
  <si>
    <t>https://audio.iskcondesiretree.com/01_-_Srila_Prabhupada/01_-_Lectures/01_-_English/02_-_Month_wise/02_-_Feburary/20/SB-01-01-01_1975-02-20_SB-CARACAS.MP3</t>
  </si>
  <si>
    <t>SB_1-01-01_CAR_1975-02-20_Increasing_Your_Problems.mp3</t>
  </si>
  <si>
    <t>https://audio.iskcondesiretree.com/01_-_Srila_Prabhupada/01_-_Lectures/01_-_English/02_-_Month_wise/02_-_Feburary/20/SB_1-01-01_CAR_1975-02-20_Increasing_Your_Problems.mp3</t>
  </si>
  <si>
    <t>SP_Morning_Walk_-_Caracas_1975-02-21_Philosophy_Is_Philosophy.mp3</t>
  </si>
  <si>
    <t>https://audio.iskcondesiretree.com/01_-_Srila_Prabhupada/01_-_Lectures/01_-_English/01_-_Topic_wise/Morning_Walk/SP_Morning_Walk_-_Caracas_1975-02-21_Philosophy_Is_Philosophy.mp3</t>
  </si>
  <si>
    <t>SP_Room_Conversation_Caracas_1975-02-21_Metaphysics_Society--Atma_and_Super-Atma.mp3</t>
  </si>
  <si>
    <t>https://audio.iskcondesiretree.com/01_-_Srila_Prabhupada/01_-_Lectures/01_-_English/01_-_Topic_wise/Room_Conversation/SP_Room_Conversation_Caracas_1975-02-21_Metaphysics_Society--Atma_and_Super-Atma.mp3</t>
  </si>
  <si>
    <t>SP_SB_1-01-01_Caracas_1975-02-21_The_Caracas_Is_Ford-But_Ford_Is--etc.mp3</t>
  </si>
  <si>
    <t>https://audio.iskcondesiretree.com/01_-_Srila_Prabhupada/01_-_Lectures/01_-_English/01_-_Topic_wise/Srimad_Bhagavatam/Canto-01/SP_SB_1-01-01_Caracas_1975-02-21_The_Caracas_Is_Ford-But_Ford_Is--etc.mp3</t>
  </si>
  <si>
    <t>Conv_1975-02-21_R1-CARACAS.MP3</t>
  </si>
  <si>
    <t>https://audio.iskcondesiretree.com/01_-_Srila_Prabhupada/01_-_Lectures/01_-_English/02_-_Month_wise/02_-_Feburary/21/Conv_1975-02-21_R1-CARACAS.MP3</t>
  </si>
  <si>
    <t>MW_CAR_1975-02-21_Philosophy_Is_Philosophy.mp3</t>
  </si>
  <si>
    <t>https://audio.iskcondesiretree.com/01_-_Srila_Prabhupada/01_-_Lectures/01_-_English/02_-_Month_wise/02_-_Feburary/21/MW_CAR_1975-02-21_Philosophy_Is_Philosophy.mp3</t>
  </si>
  <si>
    <t>RC_CAR_1975-02-21_Metaphysics_Society--Atma_and_Super-Atma.mp3</t>
  </si>
  <si>
    <t>https://audio.iskcondesiretree.com/01_-_Srila_Prabhupada/01_-_Lectures/01_-_English/02_-_Month_wise/02_-_Feburary/21/RC_CAR_1975-02-21_Metaphysics_Society--Atma_and_Super-Atma.mp3</t>
  </si>
  <si>
    <t>SB-01-01-01_1975-02-21_SB-CARACAS.MP3</t>
  </si>
  <si>
    <t>https://audio.iskcondesiretree.com/01_-_Srila_Prabhupada/01_-_Lectures/01_-_English/02_-_Month_wise/02_-_Feburary/21/SB-01-01-01_1975-02-21_SB-CARACAS.MP3</t>
  </si>
  <si>
    <t>SB_1-01-01_CAR_1975-02-21_The_Car_Is_Ford-But_Ford_Is_.mp3</t>
  </si>
  <si>
    <t>https://audio.iskcondesiretree.com/01_-_Srila_Prabhupada/01_-_Lectures/01_-_English/02_-_Month_wise/02_-_Feburary/21/SB_1-01-01_CAR_1975-02-21_The_Car_Is_Ford-But_Ford_Is_.mp3</t>
  </si>
  <si>
    <t>Walk_1975-02-21_MW-CARACAS.MP3</t>
  </si>
  <si>
    <t>https://audio.iskcondesiretree.com/01_-_Srila_Prabhupada/01_-_Lectures/01_-_English/02_-_Month_wise/02_-_Feburary/21/Walk_1975-02-21_MW-CARACAS.MP3</t>
  </si>
  <si>
    <t>SP_Room_Conversation_Caracas_1975-02-22_Psychiatrist--If_the_Driver_Is_Defective.mp3</t>
  </si>
  <si>
    <t>https://audio.iskcondesiretree.com/01_-_Srila_Prabhupada/01_-_Lectures/01_-_English/01_-_Topic_wise/Room_Conversation/SP_Room_Conversation_Caracas_1975-02-22_Psychiatrist--If_the_Driver_Is_Defective.mp3</t>
  </si>
  <si>
    <t>SP_Lecture_Caracas_1975-02-22_Initiation--Who_Can_Conquer_God.mp3</t>
  </si>
  <si>
    <t>https://audio.iskcondesiretree.com/01_-_Srila_Prabhupada/01_-_Lectures/01_-_English/01_-_Topic_wise/Various/SP_Lecture_Caracas_1975-02-22_Initiation--Who_Can_Conquer_God.mp3</t>
  </si>
  <si>
    <t>Conv_1975-02-22_R1-CARACAS.MP3</t>
  </si>
  <si>
    <t>https://audio.iskcondesiretree.com/01_-_Srila_Prabhupada/01_-_Lectures/01_-_English/02_-_Month_wise/02_-_Feburary/22/Conv_1975-02-22_R1-CARACAS.MP3</t>
  </si>
  <si>
    <t>Initiations_1975-02-22_IN-CARACAS.MP3</t>
  </si>
  <si>
    <t>https://audio.iskcondesiretree.com/01_-_Srila_Prabhupada/01_-_Lectures/01_-_English/02_-_Month_wise/02_-_Feburary/22/Initiations_1975-02-22_IN-CARACAS.MP3</t>
  </si>
  <si>
    <t>Lect_CAR_1975-02-22_Initiation--Who_Can_Conquer_God.mp3</t>
  </si>
  <si>
    <t>https://audio.iskcondesiretree.com/01_-_Srila_Prabhupada/01_-_Lectures/01_-_English/02_-_Month_wise/02_-_Feburary/22/Lect_CAR_1975-02-22_Initiation--Who_Can_Conquer_God.mp3</t>
  </si>
  <si>
    <t>RC_CAR_1975-02-22_Psychiatrist--If_the_Driver_Is_Defective.mp3</t>
  </si>
  <si>
    <t>https://audio.iskcondesiretree.com/01_-_Srila_Prabhupada/01_-_Lectures/01_-_English/02_-_Month_wise/02_-_Feburary/22/RC_CAR_1975-02-22_Psychiatrist--If_the_Driver_Is_Defective.mp3</t>
  </si>
  <si>
    <t>SP_Various_-_Conversation_-_1975-02-22_Caracas.mp3</t>
  </si>
  <si>
    <t>https://audio.iskcondesiretree.com/01_-_Srila_Prabhupada/01_-_Lectures/04_-_Translation/Portuguese/More/SP_Various_-_Conversation_-_1975-02-22_Caracas.mp3</t>
  </si>
  <si>
    <t>SP_SB_1-01-02_Caracas_1975-02-23_You_Are_Always_Dependent_on--etc.mp3</t>
  </si>
  <si>
    <t>https://audio.iskcondesiretree.com/01_-_Srila_Prabhupada/01_-_Lectures/01_-_English/01_-_Topic_wise/Srimad_Bhagavatam/Canto-01/SP_SB_1-01-02_Caracas_1975-02-23_You_Are_Always_Dependent_on--etc.mp3</t>
  </si>
  <si>
    <t>SB-01-01-02_1975-02-23_SB-CARACAS.MP3</t>
  </si>
  <si>
    <t>https://audio.iskcondesiretree.com/01_-_Srila_Prabhupada/01_-_Lectures/01_-_English/02_-_Month_wise/02_-_Feburary/23/SB-01-01-02_1975-02-23_SB-CARACAS.MP3</t>
  </si>
  <si>
    <t>SB_1-01-02_CAR_1975-02-23_You_Are_Always_Dependent_on_etc.mp3</t>
  </si>
  <si>
    <t>https://audio.iskcondesiretree.com/01_-_Srila_Prabhupada/01_-_Lectures/01_-_English/02_-_Month_wise/02_-_Feburary/23/SB_1-01-02_CAR_1975-02-23_You_Are_Always_Dependent_on_etc.mp3</t>
  </si>
  <si>
    <t>Walk_1975-02-23_MW-CARACAS.MP3</t>
  </si>
  <si>
    <t>https://audio.iskcondesiretree.com/01_-_Srila_Prabhupada/01_-_Lectures/01_-_English/02_-_Month_wise/02_-_Feburary/23/Walk_1975-02-23_MW-CARACAS.MP3</t>
  </si>
  <si>
    <t>SP_SB_1-01-03_Caracas_1975-02-24_There_is_New_Orleans_Religion_Except--etc.mp3</t>
  </si>
  <si>
    <t>https://audio.iskcondesiretree.com/01_-_Srila_Prabhupada/01_-_Lectures/01_-_English/01_-_Topic_wise/Srimad_Bhagavatam/Canto-01/SP_SB_1-01-03_Caracas_1975-02-24_There_is_New_Orleans_Religion_Except--etc.mp3</t>
  </si>
  <si>
    <t>SB-01-01-03_1975-02-24_SB-CARACAS.MP3</t>
  </si>
  <si>
    <t>https://audio.iskcondesiretree.com/01_-_Srila_Prabhupada/01_-_Lectures/01_-_English/02_-_Month_wise/02_-_Feburary/24/SB-01-01-03_1975-02-24_SB-CARACAS.MP3</t>
  </si>
  <si>
    <t>SB_1-01-03_CAR_1975-02-24_There_is_No_Religion_Except_etc.mp3</t>
  </si>
  <si>
    <t>https://audio.iskcondesiretree.com/01_-_Srila_Prabhupada/01_-_Lectures/01_-_English/02_-_Month_wise/02_-_Feburary/24/SB_1-01-03_CAR_1975-02-24_There_is_No_Religion_Except_etc.mp3</t>
  </si>
  <si>
    <t>SP_Arrival_Miami_1975-02-25_Real_Success_is_to_Get_Out_of_the--etc.mp3</t>
  </si>
  <si>
    <t>https://audio.iskcondesiretree.com/01_-_Srila_Prabhupada/01_-_Lectures/01_-_English/01_-_Topic_wise/Arrival_Address/SP_Arrival_Miami_1975-02-25_Real_Success_is_to_Get_Out_of_the--etc.mp3</t>
  </si>
  <si>
    <t>SP_BG_13-01-02_Miami_1975-02-25_Technical_Education--etc.MP3</t>
  </si>
  <si>
    <t>https://audio.iskcondesiretree.com/01_-_Srila_Prabhupada/01_-_Lectures/01_-_English/01_-_Topic_wise/Bhagavad_Gita/Chapter-13/SP_BG_13-01-02_Miami_1975-02-25_Technical_Education--etc.MP3</t>
  </si>
  <si>
    <t>SP_BG_13-01_Miami_1975-02-25_Technical_Education--etc.mp3</t>
  </si>
  <si>
    <t>https://audio.iskcondesiretree.com/01_-_Srila_Prabhupada/01_-_Lectures/01_-_English/01_-_Topic_wise/Bhagavad_Gita/Chapter-13/SP_BG_13-01_Miami_1975-02-25_Technical_Education--etc.mp3</t>
  </si>
  <si>
    <t>SP_Departure_Address_1975-02-25_Caracas.MP3</t>
  </si>
  <si>
    <t>https://audio.iskcondesiretree.com/01_-_Srila_Prabhupada/01_-_Lectures/01_-_English/01_-_Topic_wise/Departure_Address/SP_Departure_Address_1975-02-25_Caracas.MP3</t>
  </si>
  <si>
    <t>Arr_MIA_1975-02-25_Real_Success_is_to_Get_Out_of_the_etc.mp3</t>
  </si>
  <si>
    <t>https://audio.iskcondesiretree.com/01_-_Srila_Prabhupada/01_-_Lectures/01_-_English/02_-_Month_wise/02_-_Feburary/25/Arr_MIA_1975-02-25_Real_Success_is_to_Get_Out_of_the_etc.mp3</t>
  </si>
  <si>
    <t>Arrival_1975-02-25_AR-MIAMI.MP3</t>
  </si>
  <si>
    <t>https://audio.iskcondesiretree.com/01_-_Srila_Prabhupada/01_-_Lectures/01_-_English/02_-_Month_wise/02_-_Feburary/25/Arrival_1975-02-25_AR-MIAMI.MP3</t>
  </si>
  <si>
    <t>Bg-13-01%E2%80%9302_1975-02-25_BG-MIAMI.MP3</t>
  </si>
  <si>
    <t>https://audio.iskcondesiretree.com/01_-_Srila_Prabhupada/01_-_Lectures/01_-_English/02_-_Month_wise/02_-_Feburary/25/Bg-13-01%E2%80%9302_1975-02-25_BG-MIAMI.MP3</t>
  </si>
  <si>
    <t>Bg_13-01_MIA_1975-02-25_Technical_Education_etc.mp3</t>
  </si>
  <si>
    <t>https://audio.iskcondesiretree.com/01_-_Srila_Prabhupada/01_-_Lectures/01_-_English/02_-_Month_wise/02_-_Feburary/25/Bg_13-01_MIA_1975-02-25_Technical_Education_etc.mp3</t>
  </si>
  <si>
    <t>Departure_1975-02-25_DP-CARACAS.MP3</t>
  </si>
  <si>
    <t>https://audio.iskcondesiretree.com/01_-_Srila_Prabhupada/01_-_Lectures/01_-_English/02_-_Month_wise/02_-_Feburary/25/Departure_1975-02-25_DP-CARACAS.MP3</t>
  </si>
  <si>
    <t>SP_BG_13-03_Miami_1975-02-26_We_Need_to_Satisfy_Our_Lord.mp3</t>
  </si>
  <si>
    <t>https://audio.iskcondesiretree.com/01_-_Srila_Prabhupada/01_-_Lectures/01_-_English/01_-_Topic_wise/Bhagavad_Gita/Chapter-13/SP_BG_13-03_Miami_1975-02-26_We_Need_to_Satisfy_Our_Lord.mp3</t>
  </si>
  <si>
    <t>Bg-13-03_1975-02-26-BG-MIAMI.MP3</t>
  </si>
  <si>
    <t>https://audio.iskcondesiretree.com/01_-_Srila_Prabhupada/01_-_Lectures/01_-_English/02_-_Month_wise/02_-_Feburary/26/Bg-13-03_1975-02-26-BG-MIAMI.MP3</t>
  </si>
  <si>
    <t>Bg_13-03_MIA_1975-02-26_We_Need_to_Satisfy_Our_Lord.mp3</t>
  </si>
  <si>
    <t>https://audio.iskcondesiretree.com/01_-_Srila_Prabhupada/01_-_Lectures/01_-_English/02_-_Month_wise/02_-_Feburary/26/Bg_13-03_MIA_1975-02-26_We_Need_to_Satisfy_Our_Lord.mp3</t>
  </si>
  <si>
    <t>SP_BG_13-04_Miami_1975-02-27_Different_Varieties.mp3</t>
  </si>
  <si>
    <t>https://audio.iskcondesiretree.com/01_-_Srila_Prabhupada/01_-_Lectures/01_-_English/01_-_Topic_wise/Bhagavad_Gita/Chapter-13/SP_BG_13-04_Miami_1975-02-27_Different_Varieties.mp3</t>
  </si>
  <si>
    <t>Bg-13-04_1975-02-27_BG-MIAMI.MP3</t>
  </si>
  <si>
    <t>https://audio.iskcondesiretree.com/01_-_Srila_Prabhupada/01_-_Lectures/01_-_English/02_-_Month_wise/02_-_Feburary/27/Bg-13-04_1975-02-27_BG-MIAMI.MP3</t>
  </si>
  <si>
    <t>Bg_13-04_MIA_1975-02-27_Different_Varieties.mp3</t>
  </si>
  <si>
    <t>https://audio.iskcondesiretree.com/01_-_Srila_Prabhupada/01_-_Lectures/01_-_English/02_-_Month_wise/02_-_Feburary/27/Bg_13-04_MIA_1975-02-27_Different_Varieties.mp3</t>
  </si>
  <si>
    <t>SP_Address_Atlanta_1975-02-28_So_I_See_Your_Temple_Is_the_Best.mp3</t>
  </si>
  <si>
    <t>https://audio.iskcondesiretree.com/01_-_Srila_Prabhupada/01_-_Lectures/01_-_English/01_-_Topic_wise/Arrival_Address/SP_Address_Atlanta_1975-02-28_So_I_See_Your_Temple_Is_the_Best.mp3</t>
  </si>
  <si>
    <t>SP_Room_Conversation_Atlanta_1975-02-28_Svarupa_Damodar--Research_Means_Rascal.mp3</t>
  </si>
  <si>
    <t>https://audio.iskcondesiretree.com/01_-_Srila_Prabhupada/01_-_Lectures/01_-_English/01_-_Topic_wise/Room_Conversation/SP_Room_Conversation_Atlanta_1975-02-28_Svarupa_Damodar--Research_Means_Rascal.mp3</t>
  </si>
  <si>
    <t>SP_Lecture_Purport_to_Parama_Karuna_1975-02-28_Atlanta.MP3</t>
  </si>
  <si>
    <t>https://audio.iskcondesiretree.com/01_-_Srila_Prabhupada/01_-_Lectures/01_-_English/01_-_Topic_wise/Various/SP_Lecture_Purport_to_Parama_Karuna_1975-02-28_Atlanta.MP3</t>
  </si>
  <si>
    <t>Arr_ATL_1975-02-28_So_I_See_Your_Temple_Is_the_Best.mp3</t>
  </si>
  <si>
    <t>https://audio.iskcondesiretree.com/01_-_Srila_Prabhupada/01_-_Lectures/01_-_English/02_-_Month_wise/02_-_Feburary/28/Arr_ATL_1975-02-28_So_I_See_Your_Temple_Is_the_Best.mp3</t>
  </si>
  <si>
    <t>Arrival_1975-02-28_AR-ATLANTA.MP3</t>
  </si>
  <si>
    <t>https://audio.iskcondesiretree.com/01_-_Srila_Prabhupada/01_-_Lectures/01_-_English/02_-_Month_wise/02_-_Feburary/28/Arrival_1975-02-28_AR-ATLANTA.MP3</t>
  </si>
  <si>
    <t>Conv_1975-02-28_R1-ATLANTA.MP3</t>
  </si>
  <si>
    <t>https://audio.iskcondesiretree.com/01_-_Srila_Prabhupada/01_-_Lectures/01_-_English/02_-_Month_wise/02_-_Feburary/28/Conv_1975-02-28_R1-ATLANTA.MP3</t>
  </si>
  <si>
    <t>PurportParamaKoruna_1975-02-28_PU-ATLANTA.MP3</t>
  </si>
  <si>
    <t>https://audio.iskcondesiretree.com/01_-_Srila_Prabhupada/01_-_Lectures/01_-_English/02_-_Month_wise/02_-_Feburary/28/PurportParamaKoruna_1975-02-28_PU-ATLANTA.MP3</t>
  </si>
  <si>
    <t>RC_ATL_1975-02-28_Svarupa_Damodar--Research_Means_Rascal.mp3</t>
  </si>
  <si>
    <t>https://audio.iskcondesiretree.com/01_-_Srila_Prabhupada/01_-_Lectures/01_-_English/02_-_Month_wise/02_-_Feburary/28/RC_ATL_1975-02-28_Svarupa_Damodar--Research_Means_Rascal.mp3</t>
  </si>
  <si>
    <t>SP_Various_-_Conversation_-_1975-02-28_Atlanta.mp3</t>
  </si>
  <si>
    <t>https://audio.iskcondesiretree.com/01_-_Srila_Prabhupada/01_-_Lectures/04_-_Translation/Portuguese/More/SP_Various_-_Conversation_-_1975-02-28_Atlanta.mp3</t>
  </si>
  <si>
    <t>SP_CC_A_07-01_Atlanta_1975-03-01_The_Vulturous_and_the_Virtuous.mp3</t>
  </si>
  <si>
    <t>https://audio.iskcondesiretree.com/01_-_Srila_Prabhupada/01_-_Lectures/01_-_English/01_-_Topic_wise/Chaitanya_Charitamrita/Adi_Lila/SP_CC_A_07-01_Atlanta_1975-03-01_The_Vulturous_and_the_Virtuous.mp3</t>
  </si>
  <si>
    <t>SP_Morning_Walk_-_Atlanta_1975-03-01_Don%27t_Speculate-Hear%21.mp3</t>
  </si>
  <si>
    <t>https://audio.iskcondesiretree.com/01_-_Srila_Prabhupada/01_-_Lectures/01_-_English/01_-_Topic_wise/Morning_Walk/SP_Morning_Walk_-_Atlanta_1975-03-01_Don%27t_Speculate-Hear%21.mp3</t>
  </si>
  <si>
    <t>SP_Room_Conversation_Atlanta_1975-03-01_Prof_of_Religion--Everyone_Creating--etc.mp3</t>
  </si>
  <si>
    <t>https://audio.iskcondesiretree.com/01_-_Srila_Prabhupada/01_-_Lectures/01_-_English/01_-_Topic_wise/Room_Conversation/SP_Room_Conversation_Atlanta_1975-03-01_Prof_of_Religion--Everyone_Creating--etc.mp3</t>
  </si>
  <si>
    <t>SP_Room_Conversation_Atlanta_1975-03-01_Svarupa_Damodar--Origin_of_Specious_Theories.mp3</t>
  </si>
  <si>
    <t>https://audio.iskcondesiretree.com/01_-_Srila_Prabhupada/01_-_Lectures/01_-_English/01_-_Topic_wise/Room_Conversation/SP_Room_Conversation_Atlanta_1975-03-01_Svarupa_Damodar--Origin_of_Specious_Theories.mp3</t>
  </si>
  <si>
    <t>SP_Room_Conversation_Atlanta_1975-03-01_Svarupa_Damodar--Science-No_Chance.mp3</t>
  </si>
  <si>
    <t>https://audio.iskcondesiretree.com/01_-_Srila_Prabhupada/01_-_Lectures/01_-_English/01_-_Topic_wise/Room_Conversation/SP_Room_Conversation_Atlanta_1975-03-01_Svarupa_Damodar--Science-No_Chance.mp3</t>
  </si>
  <si>
    <t>Cc_A_7-01_ATL_1975-03-01_The_Vulturous_and_the_Virtuous.mp3</t>
  </si>
  <si>
    <t>https://audio.iskcondesiretree.com/01_-_Srila_Prabhupada/01_-_Lectures/01_-_English/02_-_Month_wise/03_-_March/01/Cc_A_7-01_ATL_1975-03-01_The_Vulturous_and_the_Virtuous.mp3</t>
  </si>
  <si>
    <t>CcAdi-07-001_1975-03-01_CC-ATLANTA.MP3</t>
  </si>
  <si>
    <t>https://audio.iskcondesiretree.com/01_-_Srila_Prabhupada/01_-_Lectures/01_-_English/02_-_Month_wise/03_-_March/01/CcAdi-07-001_1975-03-01_CC-ATLANTA.MP3</t>
  </si>
  <si>
    <t>Conv_1975-03-01_R1-ATLANTA.MP3</t>
  </si>
  <si>
    <t>https://audio.iskcondesiretree.com/01_-_Srila_Prabhupada/01_-_Lectures/01_-_English/02_-_Month_wise/03_-_March/01/Conv_1975-03-01_R1-ATLANTA.MP3</t>
  </si>
  <si>
    <t>Conv_1975-03-01_R2-ATLANTA.MP3</t>
  </si>
  <si>
    <t>https://audio.iskcondesiretree.com/01_-_Srila_Prabhupada/01_-_Lectures/01_-_English/02_-_Month_wise/03_-_March/01/Conv_1975-03-01_R2-ATLANTA.MP3</t>
  </si>
  <si>
    <t>MW_ATL_1975-03-01_Don%27t_Speculate-Hear.mp3</t>
  </si>
  <si>
    <t>https://audio.iskcondesiretree.com/01_-_Srila_Prabhupada/01_-_Lectures/01_-_English/02_-_Month_wise/03_-_March/01/MW_ATL_1975-03-01_Don%27t_Speculate-Hear.mp3</t>
  </si>
  <si>
    <t>RC_ATL_1975-03-01_Prof_of_Religion--Everyone_Creating_etc.mp3</t>
  </si>
  <si>
    <t>https://audio.iskcondesiretree.com/01_-_Srila_Prabhupada/01_-_Lectures/01_-_English/02_-_Month_wise/03_-_March/01/RC_ATL_1975-03-01_Prof_of_Religion--Everyone_Creating_etc.mp3</t>
  </si>
  <si>
    <t>RC_ATL_1975-03-01_Svarupa_Damodar--Origin_of_Specious_Theories.mp3</t>
  </si>
  <si>
    <t>https://audio.iskcondesiretree.com/01_-_Srila_Prabhupada/01_-_Lectures/01_-_English/02_-_Month_wise/03_-_March/01/RC_ATL_1975-03-01_Svarupa_Damodar--Origin_of_Specious_Theories.mp3</t>
  </si>
  <si>
    <t>RC_ATL_1975-03-01_Svarupa_Damodar--Science-No_Chance.mp3</t>
  </si>
  <si>
    <t>https://audio.iskcondesiretree.com/01_-_Srila_Prabhupada/01_-_Lectures/01_-_English/02_-_Month_wise/03_-_March/01/RC_ATL_1975-03-01_Svarupa_Damodar--Science-No_Chance.mp3</t>
  </si>
  <si>
    <t>Walk_1975-03-01_MW-ATLANTA.MP3</t>
  </si>
  <si>
    <t>https://audio.iskcondesiretree.com/01_-_Srila_Prabhupada/01_-_Lectures/01_-_English/02_-_Month_wise/03_-_March/01/Walk_1975-03-01_MW-ATLANTA.MP3</t>
  </si>
  <si>
    <t>SP_Festivals_Atlanta_1975-03-02_On_the_Appearance_Day_of_Srila--etc.mp3</t>
  </si>
  <si>
    <t>https://audio.iskcondesiretree.com/01_-_Srila_Prabhupada/01_-_Lectures/01_-_English/01_-_Topic_wise/Festivals/SP_Festivals_Atlanta_1975-03-02_On_the_Appearance_Day_of_Srila--etc.mp3</t>
  </si>
  <si>
    <t>SP_Morning_Walk_-_Atlanta_1975-03-02.MP3</t>
  </si>
  <si>
    <t>https://audio.iskcondesiretree.com/01_-_Srila_Prabhupada/01_-_Lectures/01_-_English/01_-_Topic_wise/Morning_Walk/SP_Morning_Walk_-_Atlanta_1975-03-02.MP3</t>
  </si>
  <si>
    <t>SP_Room_Conversation_01_Atlanta_1975-03-02.MP3</t>
  </si>
  <si>
    <t>https://audio.iskcondesiretree.com/01_-_Srila_Prabhupada/01_-_Lectures/01_-_English/01_-_Topic_wise/Room_Conversation/SP_Room_Conversation_01_Atlanta_1975-03-02.MP3</t>
  </si>
  <si>
    <t>SP_Room_Conversation_02_Atlanta_1975-03-02.MP3</t>
  </si>
  <si>
    <t>https://audio.iskcondesiretree.com/01_-_Srila_Prabhupada/01_-_Lectures/01_-_English/01_-_Topic_wise/Room_Conversation/SP_Room_Conversation_02_Atlanta_1975-03-02.MP3</t>
  </si>
  <si>
    <t>SP_Lecture_Atlanta_1975-03-02_At_Sunday_Feast--Mahaprabhu%27s_Mercy.mp3</t>
  </si>
  <si>
    <t>https://audio.iskcondesiretree.com/01_-_Srila_Prabhupada/01_-_Lectures/01_-_English/01_-_Topic_wise/Various/SP_Lecture_Atlanta_1975-03-02_At_Sunday_Feast--Mahaprabhu%27s_Mercy.mp3</t>
  </si>
  <si>
    <t>Bhaktisiddhanta_Appearance_1975-03-02_BA-ATLANTA.MP3</t>
  </si>
  <si>
    <t>https://audio.iskcondesiretree.com/01_-_Srila_Prabhupada/01_-_Lectures/01_-_English/02_-_Month_wise/03_-_March/02/Bhaktisiddhanta_Appearance_1975-03-02_BA-ATLANTA.MP3</t>
  </si>
  <si>
    <t>Conv_1975-03-02_R1-ATLANTA.MP3</t>
  </si>
  <si>
    <t>https://audio.iskcondesiretree.com/01_-_Srila_Prabhupada/01_-_Lectures/01_-_English/02_-_Month_wise/03_-_March/02/Conv_1975-03-02_R1-ATLANTA.MP3</t>
  </si>
  <si>
    <t>Conv_1975-03-02_R2-ATLANTA.MP3</t>
  </si>
  <si>
    <t>https://audio.iskcondesiretree.com/01_-_Srila_Prabhupada/01_-_Lectures/01_-_English/02_-_Month_wise/03_-_March/02/Conv_1975-03-02_R2-ATLANTA.MP3</t>
  </si>
  <si>
    <t>Fest_ATL_1975-03-02_On_the_Appearance_Day_of_Srila_etc.mp3</t>
  </si>
  <si>
    <t>https://audio.iskcondesiretree.com/01_-_Srila_Prabhupada/01_-_Lectures/01_-_English/02_-_Month_wise/03_-_March/02/Fest_ATL_1975-03-02_On_the_Appearance_Day_of_Srila_etc.mp3</t>
  </si>
  <si>
    <t>Lect_ATL_1975-03-02_At_Sunday_Feast--Mahaprabhu%27s_Mercy.mp3</t>
  </si>
  <si>
    <t>https://audio.iskcondesiretree.com/01_-_Srila_Prabhupada/01_-_Lectures/01_-_English/02_-_Month_wise/03_-_March/02/Lect_ATL_1975-03-02_At_Sunday_Feast--Mahaprabhu%27s_Mercy.mp3</t>
  </si>
  <si>
    <t>Lecture_1975-03-02_LE-ATLANTA.MP3</t>
  </si>
  <si>
    <t>https://audio.iskcondesiretree.com/01_-_Srila_Prabhupada/01_-_Lectures/01_-_English/02_-_Month_wise/03_-_March/02/Lecture_1975-03-02_LE-ATLANTA.MP3</t>
  </si>
  <si>
    <t>Walk_1975-03-02_MW-ATLANTA.MP3</t>
  </si>
  <si>
    <t>https://audio.iskcondesiretree.com/01_-_Srila_Prabhupada/01_-_Lectures/01_-_English/02_-_Month_wise/03_-_March/02/Walk_1975-03-02_MW-ATLANTA.MP3</t>
  </si>
  <si>
    <t>SP_Arrival_Dallas_1975-03-03_Education_Means_Krishna_Consciousness.mp3</t>
  </si>
  <si>
    <t>https://audio.iskcondesiretree.com/01_-_Srila_Prabhupada/01_-_Lectures/01_-_English/01_-_Topic_wise/Arrival_Address/SP_Arrival_Dallas_1975-03-03_Education_Means_Krishna_Consciousness.mp3</t>
  </si>
  <si>
    <t>SP_SB_3-12-19_Dallas_1975-03-03_Entering_Krishna%27s_Family.mp3</t>
  </si>
  <si>
    <t>https://audio.iskcondesiretree.com/01_-_Srila_Prabhupada/01_-_Lectures/01_-_English/01_-_Topic_wise/Srimad_Bhagavatam/Canto-03/SP_SB_3-12-19_Dallas_1975-03-03_Entering_Krishna%27s_Family.mp3</t>
  </si>
  <si>
    <t>Arr_DAL_1975-03-03_Education_Means_Krishna_Consciousness.mp3</t>
  </si>
  <si>
    <t>https://audio.iskcondesiretree.com/01_-_Srila_Prabhupada/01_-_Lectures/01_-_English/02_-_Month_wise/03_-_March/03/Arr_DAL_1975-03-03_Education_Means_Krishna_Consciousness.mp3</t>
  </si>
  <si>
    <t>Lecture_1975-03-03_LE-DALLAS.MP3</t>
  </si>
  <si>
    <t>https://audio.iskcondesiretree.com/01_-_Srila_Prabhupada/01_-_Lectures/01_-_English/02_-_Month_wise/03_-_March/03/Lecture_1975-03-03_LE-DALLAS.MP3</t>
  </si>
  <si>
    <t>SB-03-12-19_1975-03-03_SB-DALLAS.MP3</t>
  </si>
  <si>
    <t>https://audio.iskcondesiretree.com/01_-_Srila_Prabhupada/01_-_Lectures/01_-_English/02_-_Month_wise/03_-_March/03/SB-03-12-19_1975-03-03_SB-DALLAS.MP3</t>
  </si>
  <si>
    <t>SB_3-12-19_DAL_1975-03-03_Entering_Krishna%27s_Family.mp3</t>
  </si>
  <si>
    <t>https://audio.iskcondesiretree.com/01_-_Srila_Prabhupada/01_-_Lectures/01_-_English/02_-_Month_wise/03_-_March/03/SB_3-12-19_DAL_1975-03-03_Entering_Krishna%27s_Family.mp3</t>
  </si>
  <si>
    <t>SP_CC_A_01-15_Dallas_1975-03-04_Our_Hospital_Can_Stop_Death.mp3</t>
  </si>
  <si>
    <t>https://audio.iskcondesiretree.com/01_-_Srila_Prabhupada/01_-_Lectures/01_-_English/01_-_Topic_wise/Chaitanya_Charitamrita/Adi_Lila/SP_CC_A_01-15_Dallas_1975-03-04_Our_Hospital_Can_Stop_Death.mp3</t>
  </si>
  <si>
    <t>SP_Morning_Walk_-_Dallas_1975-03-04_Life-Work_Hard_and_Sin.mp3</t>
  </si>
  <si>
    <t>https://audio.iskcondesiretree.com/01_-_Srila_Prabhupada/01_-_Lectures/01_-_English/01_-_Topic_wise/Morning_Walk/SP_Morning_Walk_-_Dallas_1975-03-04_Life-Work_Hard_and_Sin.mp3</t>
  </si>
  <si>
    <t>Cc_A_1-15_DAL_1975-03-04_Our_Hospital_Can_Stop_Death.mp3</t>
  </si>
  <si>
    <t>https://audio.iskcondesiretree.com/01_-_Srila_Prabhupada/01_-_Lectures/01_-_English/02_-_Month_wise/03_-_March/04/Cc_A_1-15_DAL_1975-03-04_Our_Hospital_Can_Stop_Death.mp3</t>
  </si>
  <si>
    <t>CcAdi-01-015_1975-03-04_CC-DALLAS.MP3</t>
  </si>
  <si>
    <t>https://audio.iskcondesiretree.com/01_-_Srila_Prabhupada/01_-_Lectures/01_-_English/02_-_Month_wise/03_-_March/04/CcAdi-01-015_1975-03-04_CC-DALLAS.MP3</t>
  </si>
  <si>
    <t>MW_DAL_1975-03-04_Life-Work_Hard_and_Sin.mp3</t>
  </si>
  <si>
    <t>https://audio.iskcondesiretree.com/01_-_Srila_Prabhupada/01_-_Lectures/01_-_English/02_-_Month_wise/03_-_March/04/MW_DAL_1975-03-04_Life-Work_Hard_and_Sin.mp3</t>
  </si>
  <si>
    <t>Walk_1975-03-04_MW-DALLAS.MP3</t>
  </si>
  <si>
    <t>https://audio.iskcondesiretree.com/01_-_Srila_Prabhupada/01_-_Lectures/01_-_English/02_-_Month_wise/03_-_March/04/Walk_1975-03-04_MW-DALLAS.MP3</t>
  </si>
  <si>
    <t>SP_Interview_New_York_1975-03-05_Press--We_Are_Hare_Krishna_People.mp3</t>
  </si>
  <si>
    <t>https://audio.iskcondesiretree.com/01_-_Srila_Prabhupada/01_-_Lectures/01_-_English/01_-_Topic_wise/Interview/SP_Interview_New_York_1975-03-05_Press--We_Are_Hare_Krishna_People.mp3</t>
  </si>
  <si>
    <t>SP_SB_2-02-05_New_York_1975-03-05_How_Shall_I_Be_Maintained.mp3</t>
  </si>
  <si>
    <t>https://audio.iskcondesiretree.com/01_-_Srila_Prabhupada/01_-_Lectures/01_-_English/01_-_Topic_wise/Srimad_Bhagavatam/Canto-02/SP_SB_2-02-05_New_York_1975-03-05_How_Shall_I_Be_Maintained.mp3</t>
  </si>
  <si>
    <t>Interv_NY_1975-03-05_Press--We_Are_Hare_Krishna_People.mp3</t>
  </si>
  <si>
    <t>https://audio.iskcondesiretree.com/01_-_Srila_Prabhupada/01_-_Lectures/01_-_English/02_-_Month_wise/03_-_March/05/Interv_NY_1975-03-05_Press--We_Are_Hare_Krishna_People.mp3</t>
  </si>
  <si>
    <t>Interview_1975-03-05_IV-NEW%20YORK.MP3</t>
  </si>
  <si>
    <t>https://audio.iskcondesiretree.com/01_-_Srila_Prabhupada/01_-_Lectures/01_-_English/02_-_Month_wise/03_-_March/05/Interview_1975-03-05_IV-NEW%20YORK.MP3</t>
  </si>
  <si>
    <t>SB-02-02-05_1975-03-05_SB-NEW%20YORK.MP3</t>
  </si>
  <si>
    <t>https://audio.iskcondesiretree.com/01_-_Srila_Prabhupada/01_-_Lectures/01_-_English/02_-_Month_wise/03_-_March/05/SB-02-02-05_1975-03-05_SB-NEW%20YORK.MP3</t>
  </si>
  <si>
    <t>SB_2-02-05_NY_1975-03-05_How_Shall_I_Be_Maintained.mp3</t>
  </si>
  <si>
    <t>https://audio.iskcondesiretree.com/01_-_Srila_Prabhupada/01_-_Lectures/01_-_English/02_-_Month_wise/03_-_March/05/SB_2-02-05_NY_1975-03-05_How_Shall_I_Be_Maintained.mp3</t>
  </si>
  <si>
    <t>SP_SB_1-15-27_New_York_1975-03-06.MP3</t>
  </si>
  <si>
    <t>https://audio.iskcondesiretree.com/01_-_Srila_Prabhupada/01_-_Lectures/01_-_English/01_-_Topic_wise/Srimad_Bhagavatam/Canto-01/SP_SB_1-15-27_New_York_1975-03-06.MP3</t>
  </si>
  <si>
    <t>SP_SB_1-15-27_New_York_1975-03-06_Blazing_Fire_Within_the_Heart.mp3</t>
  </si>
  <si>
    <t>https://audio.iskcondesiretree.com/01_-_Srila_Prabhupada/01_-_Lectures/01_-_English/01_-_Topic_wise/Srimad_Bhagavatam/Canto-01/SP_SB_1-15-27_New_York_1975-03-06_Blazing_Fire_Within_the_Heart.mp3</t>
  </si>
  <si>
    <t>SP_SB_2-02-06_New_York_1975-03-06.MP3</t>
  </si>
  <si>
    <t>https://audio.iskcondesiretree.com/01_-_Srila_Prabhupada/01_-_Lectures/01_-_English/01_-_Topic_wise/Srimad_Bhagavatam/Canto-02/SP_SB_2-02-06_New_York_1975-03-06.MP3</t>
  </si>
  <si>
    <t>SB-01-15-27_1975-03-06_S2-NEW%20YORK.MP3</t>
  </si>
  <si>
    <t>https://audio.iskcondesiretree.com/01_-_Srila_Prabhupada/01_-_Lectures/01_-_English/02_-_Month_wise/03_-_March/06/SB-01-15-27_1975-03-06_S2-NEW%20YORK.MP3</t>
  </si>
  <si>
    <t>SB-02-02-06_1975-03-06_SB-NEW%20YORK.MP3</t>
  </si>
  <si>
    <t>https://audio.iskcondesiretree.com/01_-_Srila_Prabhupada/01_-_Lectures/01_-_English/02_-_Month_wise/03_-_March/06/SB-02-02-06_1975-03-06_SB-NEW%20YORK.MP3</t>
  </si>
  <si>
    <t>SB_1-15-27_NY_1975-03-06_Blazing_Fire_Within_the_Heart.mp3</t>
  </si>
  <si>
    <t>https://audio.iskcondesiretree.com/01_-_Srila_Prabhupada/01_-_Lectures/01_-_English/02_-_Month_wise/03_-_March/06/SB_1-15-27_NY_1975-03-06_Blazing_Fire_Within_the_Heart.mp3</t>
  </si>
  <si>
    <t>SP_SB_New_York_1975-03-07.MP3</t>
  </si>
  <si>
    <t>https://audio.iskcondesiretree.com/01_-_Srila_Prabhupada/01_-_Lectures/01_-_English/01_-_Topic_wise/Srimad_Bhagavatam/More/SP_SB_New_York_1975-03-07.MP3</t>
  </si>
  <si>
    <t>SB-Lecture_1975-03-07_SB-NEW%20YORK.MP3</t>
  </si>
  <si>
    <t>https://audio.iskcondesiretree.com/01_-_Srila_Prabhupada/01_-_Lectures/01_-_English/02_-_Month_wise/03_-_March/07/SB-Lecture_1975-03-07_SB-NEW%20YORK.MP3</t>
  </si>
  <si>
    <t>SP_Arrival_Lecture_London_1975-03-08.MP3</t>
  </si>
  <si>
    <t>https://audio.iskcondesiretree.com/01_-_Srila_Prabhupada/01_-_Lectures/01_-_English/01_-_Topic_wise/Arrival_Address/SP_Arrival_Lecture_London_1975-03-08.MP3</t>
  </si>
  <si>
    <t>SP_Room_Conversation_01_London_1975-03-08.MP3</t>
  </si>
  <si>
    <t>https://audio.iskcondesiretree.com/01_-_Srila_Prabhupada/01_-_Lectures/01_-_English/01_-_Topic_wise/Room_Conversation/SP_Room_Conversation_01_London_1975-03-08.MP3</t>
  </si>
  <si>
    <t>Arrival_1975-03-08_AR-LONDON.MP3</t>
  </si>
  <si>
    <t>https://audio.iskcondesiretree.com/01_-_Srila_Prabhupada/01_-_Lectures/01_-_English/02_-_Month_wise/03_-_March/08/Arrival_1975-03-08_AR-LONDON.MP3</t>
  </si>
  <si>
    <t>Conv_1975-03-08_R1-LONDON.MP3</t>
  </si>
  <si>
    <t>https://audio.iskcondesiretree.com/01_-_Srila_Prabhupada/01_-_Lectures/01_-_English/02_-_Month_wise/03_-_March/08/Conv_1975-03-08_R1-LONDON.MP3</t>
  </si>
  <si>
    <t>SP_BG_07-01_London_1975-03-09_Attachment_to_the_Supreme.mp3</t>
  </si>
  <si>
    <t>https://audio.iskcondesiretree.com/01_-_Srila_Prabhupada/01_-_Lectures/01_-_English/01_-_Topic_wise/Bhagavad_Gita/Chapter-07/SP_BG_07-01_London_1975-03-09_Attachment_to_the_Supreme.mp3</t>
  </si>
  <si>
    <t>SP_Room_Conversation_London_1975-03-09_Reporter--Produce_Food_or_Problems.mp3</t>
  </si>
  <si>
    <t>https://audio.iskcondesiretree.com/01_-_Srila_Prabhupada/01_-_Lectures/01_-_English/01_-_Topic_wise/Room_Conversation/SP_Room_Conversation_London_1975-03-09_Reporter--Produce_Food_or_Problems.mp3</t>
  </si>
  <si>
    <t>Bg-07-01_1975-03-09_BG-LONDON.MP3</t>
  </si>
  <si>
    <t>https://audio.iskcondesiretree.com/01_-_Srila_Prabhupada/01_-_Lectures/01_-_English/02_-_Month_wise/03_-_March/09/Bg-07-01_1975-03-09_BG-LONDON.MP3</t>
  </si>
  <si>
    <t>Bg_07-01_LON_1975-03-09_Attachment_to_the_Supreme.mp3</t>
  </si>
  <si>
    <t>https://audio.iskcondesiretree.com/01_-_Srila_Prabhupada/01_-_Lectures/01_-_English/02_-_Month_wise/03_-_March/09/Bg_07-01_LON_1975-03-09_Attachment_to_the_Supreme.mp3</t>
  </si>
  <si>
    <t>Conv_1975-03-09_R1-LONDON.MP3</t>
  </si>
  <si>
    <t>https://audio.iskcondesiretree.com/01_-_Srila_Prabhupada/01_-_Lectures/01_-_English/02_-_Month_wise/03_-_March/09/Conv_1975-03-09_R1-LONDON.MP3</t>
  </si>
  <si>
    <t>RC_LON_1975-03-09_Reporter--Produce_Food_or_Problems.mp3</t>
  </si>
  <si>
    <t>https://audio.iskcondesiretree.com/01_-_Srila_Prabhupada/01_-_Lectures/01_-_English/02_-_Month_wise/03_-_March/09/RC_LON_1975-03-09_Reporter--Produce_Food_or_Problems.mp3</t>
  </si>
  <si>
    <t>SP_BG_07-02_London_1975-03-10_Madras_After_the_Disease.mp3</t>
  </si>
  <si>
    <t>https://audio.iskcondesiretree.com/01_-_Srila_Prabhupada/01_-_Lectures/01_-_English/01_-_Topic_wise/Bhagavad_Gita/Chapter-07/SP_BG_07-02_London_1975-03-10_Madras_After_the_Disease.mp3</t>
  </si>
  <si>
    <t>Bg-07-02_1975-03-10_BG-LONDON.MP3</t>
  </si>
  <si>
    <t>https://audio.iskcondesiretree.com/01_-_Srila_Prabhupada/01_-_Lectures/01_-_English/02_-_Month_wise/03_-_March/10/Bg-07-02_1975-03-10_BG-LONDON.MP3</t>
  </si>
  <si>
    <t>Bg_07-02_LON_1975-03-10_Mad_After_the_Disease.mp3</t>
  </si>
  <si>
    <t>https://audio.iskcondesiretree.com/01_-_Srila_Prabhupada/01_-_Lectures/01_-_English/02_-_Month_wise/03_-_March/10/Bg_07-02_LON_1975-03-10_Mad_After_the_Disease.mp3</t>
  </si>
  <si>
    <t>SP_BG_07-03_London_1975-03-11_Your_Next_Life_Sir-Bow_Wow.mp3</t>
  </si>
  <si>
    <t>https://audio.iskcondesiretree.com/01_-_Srila_Prabhupada/01_-_Lectures/01_-_English/01_-_Topic_wise/Bhagavad_Gita/Chapter-07/SP_BG_07-03_London_1975-03-11_Your_Next_Life_Sir-Bow_Wow.mp3</t>
  </si>
  <si>
    <t>SP_Morning_Walk_-_London_1975-03-11_Not_Only_India-The_Whole_World.mp3</t>
  </si>
  <si>
    <t>https://audio.iskcondesiretree.com/01_-_Srila_Prabhupada/01_-_Lectures/01_-_English/01_-_Topic_wise/Morning_Walk/SP_Morning_Walk_-_London_1975-03-11_Not_Only_India-The_Whole_World.mp3</t>
  </si>
  <si>
    <t>Bg-07-03_1975-03-11_BG-LONDON.MP3</t>
  </si>
  <si>
    <t>https://audio.iskcondesiretree.com/01_-_Srila_Prabhupada/01_-_Lectures/01_-_English/02_-_Month_wise/03_-_March/11/Bg-07-03_1975-03-11_BG-LONDON.MP3</t>
  </si>
  <si>
    <t>Bg_07-03_LON_1975-03-11_Your_Next_Life%2C_Sir-Bow%2C_Wow.mp3</t>
  </si>
  <si>
    <t>https://audio.iskcondesiretree.com/01_-_Srila_Prabhupada/01_-_Lectures/01_-_English/02_-_Month_wise/03_-_March/11/Bg_07-03_LON_1975-03-11_Your_Next_Life%2C_Sir-Bow%2C_Wow.mp3</t>
  </si>
  <si>
    <t>MW_LON_1975-03-11_Not_Only_India-The_Whole_World.mp3</t>
  </si>
  <si>
    <t>https://audio.iskcondesiretree.com/01_-_Srila_Prabhupada/01_-_Lectures/01_-_English/02_-_Month_wise/03_-_March/11/MW_LON_1975-03-11_Not_Only_India-The_Whole_World.mp3</t>
  </si>
  <si>
    <t>Walk_1975-03-11_MW-LONDON.MP3</t>
  </si>
  <si>
    <t>https://audio.iskcondesiretree.com/01_-_Srila_Prabhupada/01_-_Lectures/01_-_English/02_-_Month_wise/03_-_March/11/Walk_1975-03-11_MW-LONDON.MP3</t>
  </si>
  <si>
    <t>SP_Departure_Lecture_1975-03-12_London.MP3</t>
  </si>
  <si>
    <t>https://audio.iskcondesiretree.com/01_-_Srila_Prabhupada/01_-_Lectures/01_-_English/01_-_Topic_wise/Departure_Address/SP_Departure_Lecture_1975-03-12_London.MP3</t>
  </si>
  <si>
    <t>SP_Lecture_London_1975-03-12_Krishna_Candy-Every_Side_Sweet.mp3</t>
  </si>
  <si>
    <t>https://audio.iskcondesiretree.com/01_-_Srila_Prabhupada/01_-_Lectures/01_-_English/01_-_Topic_wise/Various/SP_Lecture_London_1975-03-12_Krishna_Candy-Every_Side_Sweet.mp3</t>
  </si>
  <si>
    <t>Departure_1975-03-12_DP-LONDON.MP3</t>
  </si>
  <si>
    <t>https://audio.iskcondesiretree.com/01_-_Srila_Prabhupada/01_-_Lectures/01_-_English/02_-_Month_wise/03_-_March/12/Departure_1975-03-12_DP-LONDON.MP3</t>
  </si>
  <si>
    <t>Lect_LON_1975-03-12_Krishna_Candy-Every_Side_Sweet.mp3</t>
  </si>
  <si>
    <t>https://audio.iskcondesiretree.com/01_-_Srila_Prabhupada/01_-_Lectures/01_-_English/02_-_Month_wise/03_-_March/12/Lect_LON_1975-03-12_Krishna_Candy-Every_Side_Sweet.mp3</t>
  </si>
  <si>
    <t>SP_Morning_Walk_-_Tehran_1975-03-13.MP3</t>
  </si>
  <si>
    <t>https://audio.iskcondesiretree.com/01_-_Srila_Prabhupada/01_-_Lectures/01_-_English/01_-_Topic_wise/Morning_Walk/SP_Morning_Walk_-_Tehran_1975-03-13.MP3</t>
  </si>
  <si>
    <t>SP_Room_Conversation_Tehran_1975-03-13_Canadian_Ambassador_to--etc.mp3</t>
  </si>
  <si>
    <t>https://audio.iskcondesiretree.com/01_-_Srila_Prabhupada/01_-_Lectures/01_-_English/01_-_Topic_wise/Room_Conversation/SP_Room_Conversation_Tehran_1975-03-13_Canadian_Ambassador_to--etc.mp3</t>
  </si>
  <si>
    <t>SP_Room_Conversation_Tehran_1975-03-13_Indians--Only_Krishna_Should_Be_Satisfied.mp3</t>
  </si>
  <si>
    <t>https://audio.iskcondesiretree.com/01_-_Srila_Prabhupada/01_-_Lectures/01_-_English/01_-_Topic_wise/Room_Conversation/SP_Room_Conversation_Tehran_1975-03-13_Indians--Only_Krishna_Should_Be_Satisfied.mp3</t>
  </si>
  <si>
    <t>SP_SB_1-10-03-04_Tehran_1975-03-13_Monarchy_%26_Maha-Mantra-Perfect.MP3</t>
  </si>
  <si>
    <t>https://audio.iskcondesiretree.com/01_-_Srila_Prabhupada/01_-_Lectures/01_-_English/01_-_Topic_wise/Srimad_Bhagavatam/Canto-01/SP_SB_1-10-03-04_Tehran_1975-03-13_Monarchy_%26_Maha-Mantra-Perfect.MP3</t>
  </si>
  <si>
    <t>SP_SB_1-10-03_Tehran_1975-03-13_Monarchy_%26_Maha-Mantra-Perfect.mp3</t>
  </si>
  <si>
    <t>https://audio.iskcondesiretree.com/01_-_Srila_Prabhupada/01_-_Lectures/01_-_English/01_-_Topic_wise/Srimad_Bhagavatam/Canto-01/SP_SB_1-10-03_Tehran_1975-03-13_Monarchy_%26_Maha-Mantra-Perfect.mp3</t>
  </si>
  <si>
    <t>Conv_1975-03-13_R1-TEHRAN.MP3</t>
  </si>
  <si>
    <t>https://audio.iskcondesiretree.com/01_-_Srila_Prabhupada/01_-_Lectures/01_-_English/02_-_Month_wise/03_-_March/13/Conv_1975-03-13_R1-TEHRAN.MP3</t>
  </si>
  <si>
    <t>Conv_1975-03-13_R2-TEHRAN.MP3</t>
  </si>
  <si>
    <t>https://audio.iskcondesiretree.com/01_-_Srila_Prabhupada/01_-_Lectures/01_-_English/02_-_Month_wise/03_-_March/13/Conv_1975-03-13_R2-TEHRAN.MP3</t>
  </si>
  <si>
    <t>RC_TEH_1975-03-13_Canadian_Ambassador_to_etc.mp3</t>
  </si>
  <si>
    <t>https://audio.iskcondesiretree.com/01_-_Srila_Prabhupada/01_-_Lectures/01_-_English/02_-_Month_wise/03_-_March/13/RC_TEH_1975-03-13_Canadian_Ambassador_to_etc.mp3</t>
  </si>
  <si>
    <t>RC_TEH_1975-03-13_Indians--Only_Krishna_Should_Be_Satisfied.mp3</t>
  </si>
  <si>
    <t>https://audio.iskcondesiretree.com/01_-_Srila_Prabhupada/01_-_Lectures/01_-_English/02_-_Month_wise/03_-_March/13/RC_TEH_1975-03-13_Indians--Only_Krishna_Should_Be_Satisfied.mp3</t>
  </si>
  <si>
    <t>SB-01-10-03%E2%80%9304_1975-03-13_SB-TEHRAN.MP3</t>
  </si>
  <si>
    <t>https://audio.iskcondesiretree.com/01_-_Srila_Prabhupada/01_-_Lectures/01_-_English/02_-_Month_wise/03_-_March/13/SB-01-10-03%E2%80%9304_1975-03-13_SB-TEHRAN.MP3</t>
  </si>
  <si>
    <t>SB_1-10-03_TEH_1975-03-13_Monarchy_%26_Maha-Mantra-Perfect.mp3</t>
  </si>
  <si>
    <t>https://audio.iskcondesiretree.com/01_-_Srila_Prabhupada/01_-_Lectures/01_-_English/02_-_Month_wise/03_-_March/13/SB_1-10-03_TEH_1975-03-13_Monarchy_%26_Maha-Mantra-Perfect.mp3</t>
  </si>
  <si>
    <t>Walk_1975-03-13_MW-TEHRAN.MP3</t>
  </si>
  <si>
    <t>https://audio.iskcondesiretree.com/01_-_Srila_Prabhupada/01_-_Lectures/01_-_English/02_-_Month_wise/03_-_March/13/Walk_1975-03-13_MW-TEHRAN.MP3</t>
  </si>
  <si>
    <t>SP_Morning_Walk_-_Tehran_1975-03-14.MP3</t>
  </si>
  <si>
    <t>https://audio.iskcondesiretree.com/01_-_Srila_Prabhupada/01_-_Lectures/01_-_English/01_-_Topic_wise/Morning_Walk/SP_Morning_Walk_-_Tehran_1975-03-14.MP3</t>
  </si>
  <si>
    <t>SP_Room_Conversation_Tehran_1975-03-14_Yoga_Student--The_Clear_Conception_of_God.mp3</t>
  </si>
  <si>
    <t>https://audio.iskcondesiretree.com/01_-_Srila_Prabhupada/01_-_Lectures/01_-_English/01_-_Topic_wise/Room_Conversation/SP_Room_Conversation_Tehran_1975-03-14_Yoga_Student--The_Clear_Conception_of_God.mp3</t>
  </si>
  <si>
    <t>SP_Room_Conversation_Tehran_1975-03-14_Yoga_Student_and_Other_Guests.MP3</t>
  </si>
  <si>
    <t>https://audio.iskcondesiretree.com/01_-_Srila_Prabhupada/01_-_Lectures/01_-_English/01_-_Topic_wise/Room_Conversation/SP_Room_Conversation_Tehran_1975-03-14_Yoga_Student_and_Other_Guests.MP3</t>
  </si>
  <si>
    <t>Conv_1975-03-14_R1-TEHRAN.MP3</t>
  </si>
  <si>
    <t>https://audio.iskcondesiretree.com/01_-_Srila_Prabhupada/01_-_Lectures/01_-_English/02_-_Month_wise/03_-_March/14/Conv_1975-03-14_R1-TEHRAN.MP3</t>
  </si>
  <si>
    <t>Conv_1975-03-14_R2-TEHRAN.MP3</t>
  </si>
  <si>
    <t>https://audio.iskcondesiretree.com/01_-_Srila_Prabhupada/01_-_Lectures/01_-_English/02_-_Month_wise/03_-_March/14/Conv_1975-03-14_R2-TEHRAN.MP3</t>
  </si>
  <si>
    <t>RC_TEH_1975-03-14_Yoga_Student--The_Clear_Conception_of_God.mp3</t>
  </si>
  <si>
    <t>https://audio.iskcondesiretree.com/01_-_Srila_Prabhupada/01_-_Lectures/01_-_English/02_-_Month_wise/03_-_March/14/RC_TEH_1975-03-14_Yoga_Student--The_Clear_Conception_of_God.mp3</t>
  </si>
  <si>
    <t>Walk_1975-03-14_MW-TEHRAN.MP3</t>
  </si>
  <si>
    <t>https://audio.iskcondesiretree.com/01_-_Srila_Prabhupada/01_-_Lectures/01_-_English/02_-_Month_wise/03_-_March/14/Walk_1975-03-14_MW-TEHRAN.MP3</t>
  </si>
  <si>
    <t>SP_Morning_Walk_-_Tehran_1975-03-15.MP3</t>
  </si>
  <si>
    <t>https://audio.iskcondesiretree.com/01_-_Srila_Prabhupada/01_-_Lectures/01_-_English/01_-_Topic_wise/Morning_Walk/SP_Morning_Walk_-_Tehran_1975-03-15.MP3</t>
  </si>
  <si>
    <t>SP_Room_Conversation_01_Tehran_1975-03-15.MP3</t>
  </si>
  <si>
    <t>https://audio.iskcondesiretree.com/01_-_Srila_Prabhupada/01_-_Lectures/01_-_English/01_-_Topic_wise/Room_Conversation/SP_Room_Conversation_01_Tehran_1975-03-15.MP3</t>
  </si>
  <si>
    <t>Conv_1975-03-15_R1-TEHRAN.MP3</t>
  </si>
  <si>
    <t>https://audio.iskcondesiretree.com/01_-_Srila_Prabhupada/01_-_Lectures/01_-_English/02_-_Month_wise/03_-_March/15/Conv_1975-03-15_R1-TEHRAN.MP3</t>
  </si>
  <si>
    <t>Walk_1975-03-15_MW-TEHRAN.MP3</t>
  </si>
  <si>
    <t>https://audio.iskcondesiretree.com/01_-_Srila_Prabhupada/01_-_Lectures/01_-_English/02_-_Month_wise/03_-_March/15/Walk_1975-03-15_MW-TEHRAN.MP3</t>
  </si>
  <si>
    <t>SP_Address_Calcutta_1975-03-20_Hinduism_Muslimism_Christianism--etc.mp3</t>
  </si>
  <si>
    <t>https://audio.iskcondesiretree.com/01_-_Srila_Prabhupada/01_-_Lectures/01_-_English/01_-_Topic_wise/Arrival_Address/SP_Address_Calcutta_1975-03-20_Hinduism_Muslimism_Christianism--etc.mp3</t>
  </si>
  <si>
    <t>SP_Arrival_Address_Calcutta_1975-03-20.MP3</t>
  </si>
  <si>
    <t>https://audio.iskcondesiretree.com/01_-_Srila_Prabhupada/01_-_Lectures/01_-_English/01_-_Topic_wise/Arrival_Address/SP_Arrival_Address_Calcutta_1975-03-20.MP3</t>
  </si>
  <si>
    <t>Arr_CAL_1975-03-20_Hinduism%2C_Muslimism%2C_Christianism_etc.mp3</t>
  </si>
  <si>
    <t>https://audio.iskcondesiretree.com/01_-_Srila_Prabhupada/01_-_Lectures/01_-_English/02_-_Month_wise/03_-_March/20/Arr_CAL_1975-03-20_Hinduism%2C_Muslimism%2C_Christianism_etc.mp3</t>
  </si>
  <si>
    <t>Arrival_1975-03-20_AR-CALCUTTA.MP3</t>
  </si>
  <si>
    <t>https://audio.iskcondesiretree.com/01_-_Srila_Prabhupada/01_-_Lectures/01_-_English/02_-_Month_wise/03_-_March/20/Arrival_1975-03-20_AR-CALCUTTA.MP3</t>
  </si>
  <si>
    <t>SP_Interview_Calcutta1975-03-21_Pseudo_Scientists_Deny_Supreme.mp3</t>
  </si>
  <si>
    <t>https://audio.iskcondesiretree.com/01_-_Srila_Prabhupada/01_-_Lectures/01_-_English/01_-_Topic_wise/Interview/SP_Interview_Calcutta1975-03-21_Pseudo_Scientists_Deny_Supreme.mp3</t>
  </si>
  <si>
    <t>SP_Room_Conversation_01_Calcutta_1975-03-21.MP3</t>
  </si>
  <si>
    <t>https://audio.iskcondesiretree.com/01_-_Srila_Prabhupada/01_-_Lectures/01_-_English/01_-_Topic_wise/Room_Conversation/SP_Room_Conversation_01_Calcutta_1975-03-21.MP3</t>
  </si>
  <si>
    <t>Conv_1975-03-21_R1-CALCUTTA.MP3</t>
  </si>
  <si>
    <t>https://audio.iskcondesiretree.com/01_-_Srila_Prabhupada/01_-_Lectures/01_-_English/02_-_Month_wise/03_-_March/21/Conv_1975-03-21_R1-CALCUTTA.MP3</t>
  </si>
  <si>
    <t>Interv_CAL_1975-03-21_Pseudo_Scientists_Deny_Supreme.mp3</t>
  </si>
  <si>
    <t>https://audio.iskcondesiretree.com/01_-_Srila_Prabhupada/01_-_Lectures/01_-_English/02_-_Month_wise/03_-_March/21/Interv_CAL_1975-03-21_Pseudo_Scientists_Deny_Supreme.mp3</t>
  </si>
  <si>
    <t>SB-01-02-06%E2%80%93Hindi_1975-03-21_SB-CALCUTTA.MP3</t>
  </si>
  <si>
    <t>https://audio.iskcondesiretree.com/01_-_Srila_Prabhupada/01_-_Lectures/01_-_English/02_-_Month_wise/03_-_March/21/SB-01-02-06%E2%80%93Hindi_1975-03-21_SB-CALCUTTA.MP3</t>
  </si>
  <si>
    <t>SB-01-02-07%E2%80%93Hindi_1975-03-22_SB-CALCUTTA.MP3</t>
  </si>
  <si>
    <t>https://audio.iskcondesiretree.com/01_-_Srila_Prabhupada/01_-_Lectures/01_-_English/02_-_Month_wise/03_-_March/22/SB-01-02-07%E2%80%93Hindi_1975-03-22_SB-CALCUTTA.MP3</t>
  </si>
  <si>
    <t>SP_Arrival_Talk_Mayapur_1975-03-23.MP3</t>
  </si>
  <si>
    <t>https://audio.iskcondesiretree.com/01_-_Srila_Prabhupada/01_-_Lectures/01_-_English/01_-_Topic_wise/Arrival_Address/SP_Arrival_Talk_Mayapur_1975-03-23.MP3</t>
  </si>
  <si>
    <t>SP_Room_Conversation_Mayapur_1975-03-23_Bhaktivinode_Predicted_Someone.mp3</t>
  </si>
  <si>
    <t>https://audio.iskcondesiretree.com/01_-_Srila_Prabhupada/01_-_Lectures/01_-_English/01_-_Topic_wise/Room_Conversation/SP_Room_Conversation_Mayapur_1975-03-23_Bhaktivinode_Predicted_Someone.mp3</t>
  </si>
  <si>
    <t>Arrival_1975-03-23_AR-MAYAPUR.MP3</t>
  </si>
  <si>
    <t>https://audio.iskcondesiretree.com/01_-_Srila_Prabhupada/01_-_Lectures/01_-_English/02_-_Month_wise/03_-_March/23/Arrival_1975-03-23_AR-MAYAPUR.MP3</t>
  </si>
  <si>
    <t>RC_MAY_1975-03-23_Bhaktivinode_Predicted_Someone.mp3</t>
  </si>
  <si>
    <t>https://audio.iskcondesiretree.com/01_-_Srila_Prabhupada/01_-_Lectures/01_-_English/02_-_Month_wise/03_-_March/23/RC_MAY_1975-03-23_Bhaktivinode_Predicted_Someone.mp3</t>
  </si>
  <si>
    <t>SB-01-02-08%E2%80%93Hindi_1975-03-23_SB-CALCUTTA.MP3</t>
  </si>
  <si>
    <t>https://audio.iskcondesiretree.com/01_-_Srila_Prabhupada/01_-_Lectures/01_-_English/02_-_Month_wise/03_-_March/23/SB-01-02-08%E2%80%93Hindi_1975-03-23_SB-CALCUTTA.MP3</t>
  </si>
  <si>
    <t>SP_CC_A_01-01_Mayapur_1975-03-25_Become_a_Guru%2C_Not_a_God.mp3</t>
  </si>
  <si>
    <t>https://audio.iskcondesiretree.com/01_-_Srila_Prabhupada/01_-_Lectures/01_-_English/01_-_Topic_wise/Chaitanya_Charitamrita/Adi_Lila/SP_CC_A_01-01_Mayapur_1975-03-25_Become_a_Guru%2C_Not_a_God.mp3</t>
  </si>
  <si>
    <t>SP_Morning_Walk_-_Mayapur_1975-03-25.MP3</t>
  </si>
  <si>
    <t>https://audio.iskcondesiretree.com/01_-_Srila_Prabhupada/01_-_Lectures/01_-_English/01_-_Topic_wise/Morning_Walk/SP_Morning_Walk_-_Mayapur_1975-03-25.MP3</t>
  </si>
  <si>
    <t>Cc_A_1-01_MAY_1975-03-25_Become_a_Guru%2C_Not_a_God.mp3</t>
  </si>
  <si>
    <t>https://audio.iskcondesiretree.com/01_-_Srila_Prabhupada/01_-_Lectures/01_-_English/02_-_Month_wise/03_-_March/25/Cc_A_1-01_MAY_1975-03-25_Become_a_Guru%2C_Not_a_God.mp3</t>
  </si>
  <si>
    <t>CcAdi-01-001_1975-03-25_CC-MAYAPUR.MP3</t>
  </si>
  <si>
    <t>https://audio.iskcondesiretree.com/01_-_Srila_Prabhupada/01_-_Lectures/01_-_English/02_-_Month_wise/03_-_March/25/CcAdi-01-001_1975-03-25_CC-MAYAPUR.MP3</t>
  </si>
  <si>
    <t>Walk_1975-03-25_MW-MAYAPUR.MP3</t>
  </si>
  <si>
    <t>https://audio.iskcondesiretree.com/01_-_Srila_Prabhupada/01_-_Lectures/01_-_English/02_-_Month_wise/03_-_March/25/Walk_1975-03-25_MW-MAYAPUR.MP3</t>
  </si>
  <si>
    <t>SP_CC_A_01-02_Mayapur_1975-03-26_The_Darkness_Dispellers.mp3</t>
  </si>
  <si>
    <t>https://audio.iskcondesiretree.com/01_-_Srila_Prabhupada/01_-_Lectures/01_-_English/01_-_Topic_wise/Chaitanya_Charitamrita/Adi_Lila/SP_CC_A_01-02_Mayapur_1975-03-26_The_Darkness_Dispellers.mp3</t>
  </si>
  <si>
    <t>SP_Morning_Walk_-_Mayapur_1975-03-26.MP3</t>
  </si>
  <si>
    <t>https://audio.iskcondesiretree.com/01_-_Srila_Prabhupada/01_-_Lectures/01_-_English/01_-_Topic_wise/Morning_Walk/SP_Morning_Walk_-_Mayapur_1975-03-26.MP3</t>
  </si>
  <si>
    <t>Cc_A_1-02_MAY_1975-03-26_The_Darkness_Dispellers.mp3</t>
  </si>
  <si>
    <t>https://audio.iskcondesiretree.com/01_-_Srila_Prabhupada/01_-_Lectures/01_-_English/02_-_Month_wise/03_-_March/26/Cc_A_1-02_MAY_1975-03-26_The_Darkness_Dispellers.mp3</t>
  </si>
  <si>
    <t>CcAdi-01-002_1975-03-26_CC-MAYAPUR.MP3</t>
  </si>
  <si>
    <t>https://audio.iskcondesiretree.com/01_-_Srila_Prabhupada/01_-_Lectures/01_-_English/02_-_Month_wise/03_-_March/26/CcAdi-01-002_1975-03-26_CC-MAYAPUR.MP3</t>
  </si>
  <si>
    <t>Walk_1975-03-26_MW-MAYAPUR.MP3</t>
  </si>
  <si>
    <t>https://audio.iskcondesiretree.com/01_-_Srila_Prabhupada/01_-_Lectures/01_-_English/02_-_Month_wise/03_-_March/26/Walk_1975-03-26_MW-MAYAPUR.MP3</t>
  </si>
  <si>
    <t>SP_CC_A_01-03_Mayapur_1975-03-27_My_My_My--What_Ignorance.mp3</t>
  </si>
  <si>
    <t>https://audio.iskcondesiretree.com/01_-_Srila_Prabhupada/01_-_Lectures/01_-_English/01_-_Topic_wise/Chaitanya_Charitamrita/Adi_Lila/SP_CC_A_01-03_Mayapur_1975-03-27_My_My_My--What_Ignorance.mp3</t>
  </si>
  <si>
    <t>SP_Room_Conversation_01_Mayapur_1975-03-27.MP3</t>
  </si>
  <si>
    <t>https://audio.iskcondesiretree.com/01_-_Srila_Prabhupada/01_-_Lectures/01_-_English/01_-_Topic_wise/Room_Conversation/SP_Room_Conversation_01_Mayapur_1975-03-27.MP3</t>
  </si>
  <si>
    <t>Cc_A_1-03_MAY_1975-03-27_My_My_My_What_Ignorance.mp3</t>
  </si>
  <si>
    <t>https://audio.iskcondesiretree.com/01_-_Srila_Prabhupada/01_-_Lectures/01_-_English/02_-_Month_wise/03_-_March/27/Cc_A_1-03_MAY_1975-03-27_My_My_My_What_Ignorance.mp3</t>
  </si>
  <si>
    <t>CcAdi-01-003_1975-03-27_CC-MAYAPUR.MP3</t>
  </si>
  <si>
    <t>https://audio.iskcondesiretree.com/01_-_Srila_Prabhupada/01_-_Lectures/01_-_English/02_-_Month_wise/03_-_March/27/CcAdi-01-003_1975-03-27_CC-MAYAPUR.MP3</t>
  </si>
  <si>
    <t>Conv_1975-03-27_R1-MAYAPUR.MP3</t>
  </si>
  <si>
    <t>https://audio.iskcondesiretree.com/01_-_Srila_Prabhupada/01_-_Lectures/01_-_English/02_-_Month_wise/03_-_March/27/Conv_1975-03-27_R1-MAYAPUR.MP3</t>
  </si>
  <si>
    <t>SP_CC_A_01-04_Mayapur_1975-03-28_Every_One_of_You--Become_a_Guru.mp3</t>
  </si>
  <si>
    <t>https://audio.iskcondesiretree.com/01_-_Srila_Prabhupada/01_-_Lectures/01_-_English/01_-_Topic_wise/Chaitanya_Charitamrita/Adi_Lila/SP_CC_A_01-04_Mayapur_1975-03-28_Every_One_of_You--Become_a_Guru.mp3</t>
  </si>
  <si>
    <t>Cc_A_1-04_MAY_1975-03-28_Every_One_of_You--Become_a_Guru.mp3</t>
  </si>
  <si>
    <t>https://audio.iskcondesiretree.com/01_-_Srila_Prabhupada/01_-_Lectures/01_-_English/02_-_Month_wise/03_-_March/28/Cc_A_1-04_MAY_1975-03-28_Every_One_of_You--Become_a_Guru.mp3</t>
  </si>
  <si>
    <t>CcAdi-01-004_1975-03-28_CC-MAYAPUR.MP3</t>
  </si>
  <si>
    <t>https://audio.iskcondesiretree.com/01_-_Srila_Prabhupada/01_-_Lectures/01_-_English/02_-_Month_wise/03_-_March/28/CcAdi-01-004_1975-03-28_CC-MAYAPUR.MP3</t>
  </si>
  <si>
    <t>SP_CC_A_01-05_Mayapur_1975-03-29_Science_of_Supreme_Pleasure.mp3</t>
  </si>
  <si>
    <t>https://audio.iskcondesiretree.com/01_-_Srila_Prabhupada/01_-_Lectures/01_-_English/01_-_Topic_wise/Chaitanya_Charitamrita/Adi_Lila/SP_CC_A_01-05_Mayapur_1975-03-29_Science_of_Supreme_Pleasure.mp3</t>
  </si>
  <si>
    <t>SP_Lecture_Mayapur_1975-03-29_After_Manipur_Dancing.MP3</t>
  </si>
  <si>
    <t>https://audio.iskcondesiretree.com/01_-_Srila_Prabhupada/01_-_Lectures/01_-_English/01_-_Topic_wise/Various/SP_Lecture_Mayapur_1975-03-29_After_Manipur_Dancing.MP3</t>
  </si>
  <si>
    <t>Cc_A_1-05_MAY_1975-03-29_Science_of_Supreme_Pleasure.mp3</t>
  </si>
  <si>
    <t>https://audio.iskcondesiretree.com/01_-_Srila_Prabhupada/01_-_Lectures/01_-_English/02_-_Month_wise/03_-_March/29/Cc_A_1-05_MAY_1975-03-29_Science_of_Supreme_Pleasure.mp3</t>
  </si>
  <si>
    <t>CcAdi-01-005_1975-03-29_CC-MAYAPUR.MP3</t>
  </si>
  <si>
    <t>https://audio.iskcondesiretree.com/01_-_Srila_Prabhupada/01_-_Lectures/01_-_English/02_-_Month_wise/03_-_March/29/CcAdi-01-005_1975-03-29_CC-MAYAPUR.MP3</t>
  </si>
  <si>
    <t>Lecture_1975-03-29_LE-MAYAPUR.MP3</t>
  </si>
  <si>
    <t>https://audio.iskcondesiretree.com/01_-_Srila_Prabhupada/01_-_Lectures/01_-_English/02_-_Month_wise/03_-_March/29/Lecture_1975-03-29_LE-MAYAPUR.MP3</t>
  </si>
  <si>
    <t>SP_CC_A_01-06_Mayapur_1975-03-30_Krishna_Is_Enjoying_Differently.mp3</t>
  </si>
  <si>
    <t>https://audio.iskcondesiretree.com/01_-_Srila_Prabhupada/01_-_Lectures/01_-_English/01_-_Topic_wise/Chaitanya_Charitamrita/Adi_Lila/SP_CC_A_01-06_Mayapur_1975-03-30_Krishna_Is_Enjoying_Differently.mp3</t>
  </si>
  <si>
    <t>SP_Room_Conversation_Mayapur_1975-03-30_Entering_the_Family_of_Krishna.mp3</t>
  </si>
  <si>
    <t>https://audio.iskcondesiretree.com/01_-_Srila_Prabhupada/01_-_Lectures/01_-_English/01_-_Topic_wise/Room_Conversation/SP_Room_Conversation_Mayapur_1975-03-30_Entering_the_Family_of_Krishna.mp3</t>
  </si>
  <si>
    <t>SP_Room_Conversation_Mayapur_1975-03-30_Meeting_with_GBC.MP3</t>
  </si>
  <si>
    <t>https://audio.iskcondesiretree.com/01_-_Srila_Prabhupada/01_-_Lectures/01_-_English/01_-_Topic_wise/Room_Conversation/SP_Room_Conversation_Mayapur_1975-03-30_Meeting_with_GBC.MP3</t>
  </si>
  <si>
    <t>Cc_A_1-06_MAY_1975-03-30_Krishna_Is_Enjoying_Differently.mp3</t>
  </si>
  <si>
    <t>https://audio.iskcondesiretree.com/01_-_Srila_Prabhupada/01_-_Lectures/01_-_English/02_-_Month_wise/03_-_March/30/Cc_A_1-06_MAY_1975-03-30_Krishna_Is_Enjoying_Differently.mp3</t>
  </si>
  <si>
    <t>CcAdi-01-006_1975-03-30_CC-MAYAPUR.MP3</t>
  </si>
  <si>
    <t>https://audio.iskcondesiretree.com/01_-_Srila_Prabhupada/01_-_Lectures/01_-_English/02_-_Month_wise/03_-_March/30/CcAdi-01-006_1975-03-30_CC-MAYAPUR.MP3</t>
  </si>
  <si>
    <t>Conv_1975-03-30_R1-MAYAPUR.MP3</t>
  </si>
  <si>
    <t>https://audio.iskcondesiretree.com/01_-_Srila_Prabhupada/01_-_Lectures/01_-_English/02_-_Month_wise/03_-_March/30/Conv_1975-03-30_R1-MAYAPUR.MP3</t>
  </si>
  <si>
    <t>Conv_1975-03-30_R2-MAYAPUR.MP3</t>
  </si>
  <si>
    <t>https://audio.iskcondesiretree.com/01_-_Srila_Prabhupada/01_-_Lectures/01_-_English/02_-_Month_wise/03_-_March/30/Conv_1975-03-30_R2-MAYAPUR.MP3</t>
  </si>
  <si>
    <t>RC_MAY_1975-03-30_Entering_the_Family_of_Krishna.mp3</t>
  </si>
  <si>
    <t>https://audio.iskcondesiretree.com/01_-_Srila_Prabhupada/01_-_Lectures/01_-_English/02_-_Month_wise/03_-_March/30/RC_MAY_1975-03-30_Entering_the_Family_of_Krishna.mp3</t>
  </si>
  <si>
    <t>SP_CC_A_01-07_Mayapur_1975-03-31_Ever_Expanding_Life_with_Krishna.mp3</t>
  </si>
  <si>
    <t>https://audio.iskcondesiretree.com/01_-_Srila_Prabhupada/01_-_Lectures/01_-_English/01_-_Topic_wise/Chaitanya_Charitamrita/Adi_Lila/SP_CC_A_01-07_Mayapur_1975-03-31_Ever_Expanding_Life_with_Krishna.mp3</t>
  </si>
  <si>
    <t>SP_Room_Conversation_Mayapur_1975-03-31_Conversations_with_Devotees.MP3</t>
  </si>
  <si>
    <t>https://audio.iskcondesiretree.com/01_-_Srila_Prabhupada/01_-_Lectures/01_-_English/01_-_Topic_wise/Room_Conversation/SP_Room_Conversation_Mayapur_1975-03-31_Conversations_with_Devotees.MP3</t>
  </si>
  <si>
    <t>Cc_A_1-07_MAY_1975-03-31_Ever_Expanding_Life_with_Krishna.mp3</t>
  </si>
  <si>
    <t>https://audio.iskcondesiretree.com/01_-_Srila_Prabhupada/01_-_Lectures/01_-_English/02_-_Month_wise/03_-_March/31/Cc_A_1-07_MAY_1975-03-31_Ever_Expanding_Life_with_Krishna.mp3</t>
  </si>
  <si>
    <t>CcAdi-01-007_1975-03-31_CC-MAYAPUR.MP3</t>
  </si>
  <si>
    <t>https://audio.iskcondesiretree.com/01_-_Srila_Prabhupada/01_-_Lectures/01_-_English/02_-_Month_wise/03_-_March/31/CcAdi-01-007_1975-03-31_CC-MAYAPUR.MP3</t>
  </si>
  <si>
    <t>Conv_1975-03-31_R1-MAYAPUR.MP3</t>
  </si>
  <si>
    <t>https://audio.iskcondesiretree.com/01_-_Srila_Prabhupada/01_-_Lectures/01_-_English/02_-_Month_wise/03_-_March/31/Conv_1975-03-31_R1-MAYAPUR.MP3</t>
  </si>
  <si>
    <t>SP_CC_A_01-08_Mayapur_1975-04-01_Spread_Krsna_Consciousness--etc.mp3</t>
  </si>
  <si>
    <t>https://audio.iskcondesiretree.com/01_-_Srila_Prabhupada/01_-_Lectures/01_-_English/01_-_Topic_wise/Chaitanya_Charitamrita/Adi_Lila/SP_CC_A_01-08_Mayapur_1975-04-01_Spread_Krsna_Consciousness--etc.mp3</t>
  </si>
  <si>
    <t>SP_Morning_Walk_-_Mayapur_1975-04-01_Deaf_Man_Thinks_All_Others_are_Deaf.mp3</t>
  </si>
  <si>
    <t>https://audio.iskcondesiretree.com/01_-_Srila_Prabhupada/01_-_Lectures/01_-_English/01_-_Topic_wise/Morning_Walk/SP_Morning_Walk_-_Mayapur_1975-04-01_Deaf_Man_Thinks_All_Others_are_Deaf.mp3</t>
  </si>
  <si>
    <t>SP_Room_Conversation_Mayapur_1975-04-01_Theologian_Speculators.mp3</t>
  </si>
  <si>
    <t>https://audio.iskcondesiretree.com/01_-_Srila_Prabhupada/01_-_Lectures/01_-_English/01_-_Topic_wise/Room_Conversation/SP_Room_Conversation_Mayapur_1975-04-01_Theologian_Speculators.mp3</t>
  </si>
  <si>
    <t>Cc_A_1-08_MAY_1975-04-01_Spread_Krsna_Consciousness_etc.mp3</t>
  </si>
  <si>
    <t>https://audio.iskcondesiretree.com/01_-_Srila_Prabhupada/01_-_Lectures/01_-_English/02_-_Month_wise/04_-_April/01/Cc_A_1-08_MAY_1975-04-01_Spread_Krsna_Consciousness_etc.mp3</t>
  </si>
  <si>
    <t>CcAdi-01-008_1975-04-01_CC-MAYAPUR.MP3</t>
  </si>
  <si>
    <t>https://audio.iskcondesiretree.com/01_-_Srila_Prabhupada/01_-_Lectures/01_-_English/02_-_Month_wise/04_-_April/01/CcAdi-01-008_1975-04-01_CC-MAYAPUR.MP3</t>
  </si>
  <si>
    <t>Conv_1975-04-01_R1-MAYAPUR.MP3</t>
  </si>
  <si>
    <t>https://audio.iskcondesiretree.com/01_-_Srila_Prabhupada/01_-_Lectures/01_-_English/02_-_Month_wise/04_-_April/01/Conv_1975-04-01_R1-MAYAPUR.MP3</t>
  </si>
  <si>
    <t>MW_MAY_1975-04-01_Deaf_Man_Thinks_All_Others_are_Deaf.mp3</t>
  </si>
  <si>
    <t>https://audio.iskcondesiretree.com/01_-_Srila_Prabhupada/01_-_Lectures/01_-_English/02_-_Month_wise/04_-_April/01/MW_MAY_1975-04-01_Deaf_Man_Thinks_All_Others_are_Deaf.mp3</t>
  </si>
  <si>
    <t>RC_MAY_1975-04-01_Theologian_Speculators.mp3</t>
  </si>
  <si>
    <t>https://audio.iskcondesiretree.com/01_-_Srila_Prabhupada/01_-_Lectures/01_-_English/02_-_Month_wise/04_-_April/01/RC_MAY_1975-04-01_Theologian_Speculators.mp3</t>
  </si>
  <si>
    <t>Walk_1975-04-01_MW-MAYAPUR.MP3</t>
  </si>
  <si>
    <t>https://audio.iskcondesiretree.com/01_-_Srila_Prabhupada/01_-_Lectures/01_-_English/02_-_Month_wise/04_-_April/01/Walk_1975-04-01_MW-MAYAPUR.MP3</t>
  </si>
  <si>
    <t>SP_CC_A_01-09_Mayapur_1975-04-02_Big_Chunk_of_Nonsense.mp3</t>
  </si>
  <si>
    <t>https://audio.iskcondesiretree.com/01_-_Srila_Prabhupada/01_-_Lectures/01_-_English/01_-_Topic_wise/Chaitanya_Charitamrita/Adi_Lila/SP_CC_A_01-09_Mayapur_1975-04-02_Big_Chunk_of_Nonsense.mp3</t>
  </si>
  <si>
    <t>SP_Morning_Walk_-_Mayapur_1975-04-02_Very_Expert_in_Misinterpreting.mp3</t>
  </si>
  <si>
    <t>https://audio.iskcondesiretree.com/01_-_Srila_Prabhupada/01_-_Lectures/01_-_English/01_-_Topic_wise/Morning_Walk/SP_Morning_Walk_-_Mayapur_1975-04-02_Very_Expert_in_Misinterpreting.mp3</t>
  </si>
  <si>
    <t>Cc_A_1-09_MAY_1975-04-02_Big_Chunk_of_Nonsense.mp3</t>
  </si>
  <si>
    <t>https://audio.iskcondesiretree.com/01_-_Srila_Prabhupada/01_-_Lectures/01_-_English/02_-_Month_wise/04_-_April/02/Cc_A_1-09_MAY_1975-04-02_Big_Chunk_of_Nonsense.mp3</t>
  </si>
  <si>
    <t>CcAdi-01-009_1975-04-02_CC-MAYAPUR.MP3</t>
  </si>
  <si>
    <t>https://audio.iskcondesiretree.com/01_-_Srila_Prabhupada/01_-_Lectures/01_-_English/02_-_Month_wise/04_-_April/02/CcAdi-01-009_1975-04-02_CC-MAYAPUR.MP3</t>
  </si>
  <si>
    <t>MW_MAY_1975-04-02_Very_Expert_in_Misinterpreting.mp3</t>
  </si>
  <si>
    <t>https://audio.iskcondesiretree.com/01_-_Srila_Prabhupada/01_-_Lectures/01_-_English/02_-_Month_wise/04_-_April/02/MW_MAY_1975-04-02_Very_Expert_in_Misinterpreting.mp3</t>
  </si>
  <si>
    <t>Walk_1975-04-02_MW-MAYAPUR.MP3</t>
  </si>
  <si>
    <t>https://audio.iskcondesiretree.com/01_-_Srila_Prabhupada/01_-_Lectures/01_-_English/02_-_Month_wise/04_-_April/02/Walk_1975-04-02_MW-MAYAPUR.MP3</t>
  </si>
  <si>
    <t>SP_CC_A_01-10_Mayapur_1975-04-03_Getting_God_to_Talk_to_You.mp3</t>
  </si>
  <si>
    <t>https://audio.iskcondesiretree.com/01_-_Srila_Prabhupada/01_-_Lectures/01_-_English/01_-_Topic_wise/Chaitanya_Charitamrita/Adi_Lila/SP_CC_A_01-10_Mayapur_1975-04-03_Getting_God_to_Talk_to_You.mp3</t>
  </si>
  <si>
    <t>SP_Morning_Walk_-_Mayapur_1975-04-03_High-Tech_High-Sci_Rascals.mp3</t>
  </si>
  <si>
    <t>https://audio.iskcondesiretree.com/01_-_Srila_Prabhupada/01_-_Lectures/01_-_English/01_-_Topic_wise/Morning_Walk/SP_Morning_Walk_-_Mayapur_1975-04-03_High-Tech_High-Sci_Rascals.mp3</t>
  </si>
  <si>
    <t>SP_Morning_Walk_-_Mayapur_1975-04-03_The_Return_Ticket_Hell--Heaven--Hell.mp3</t>
  </si>
  <si>
    <t>https://audio.iskcondesiretree.com/01_-_Srila_Prabhupada/01_-_Lectures/01_-_English/01_-_Topic_wise/Morning_Walk/SP_Morning_Walk_-_Mayapur_1975-04-03_The_Return_Ticket_Hell--Heaven--Hell.mp3</t>
  </si>
  <si>
    <t>Cc_A_1-10_MAY_1975-04-03_Getting_God_to_Talk_to_You.mp3</t>
  </si>
  <si>
    <t>https://audio.iskcondesiretree.com/01_-_Srila_Prabhupada/01_-_Lectures/01_-_English/02_-_Month_wise/04_-_April/03/Cc_A_1-10_MAY_1975-04-03_Getting_God_to_Talk_to_You.mp3</t>
  </si>
  <si>
    <t>CcAdi-01-010_1975-04-03_CC-MAYAPUR.MP3</t>
  </si>
  <si>
    <t>https://audio.iskcondesiretree.com/01_-_Srila_Prabhupada/01_-_Lectures/01_-_English/02_-_Month_wise/04_-_April/03/CcAdi-01-010_1975-04-03_CC-MAYAPUR.MP3</t>
  </si>
  <si>
    <t>MW_MAY_1975-04-03_High-Tech_High-Sci_Rascals.mp3</t>
  </si>
  <si>
    <t>https://audio.iskcondesiretree.com/01_-_Srila_Prabhupada/01_-_Lectures/01_-_English/02_-_Month_wise/04_-_April/03/MW_MAY_1975-04-03_High-Tech_High-Sci_Rascals.mp3</t>
  </si>
  <si>
    <t>MW_MAY_1975-04-03_The_Return_Ticket_Hell_Heaven_Hell.mp3</t>
  </si>
  <si>
    <t>https://audio.iskcondesiretree.com/01_-_Srila_Prabhupada/01_-_Lectures/01_-_English/02_-_Month_wise/04_-_April/03/MW_MAY_1975-04-03_The_Return_Ticket_Hell_Heaven_Hell.mp3</t>
  </si>
  <si>
    <t>Walk_1975-04-03_MW-MAYAPUR.MP3</t>
  </si>
  <si>
    <t>https://audio.iskcondesiretree.com/01_-_Srila_Prabhupada/01_-_Lectures/01_-_English/02_-_Month_wise/04_-_April/03/Walk_1975-04-03_MW-MAYAPUR.MP3</t>
  </si>
  <si>
    <t>SP_CC_A_01-11_Mayapur_1975-04-04_Update_On_Struggle_Immortal--etc.mp3</t>
  </si>
  <si>
    <t>https://audio.iskcondesiretree.com/01_-_Srila_Prabhupada/01_-_Lectures/01_-_English/01_-_Topic_wise/Chaitanya_Charitamrita/Adi_Lila/SP_CC_A_01-11_Mayapur_1975-04-04_Update_On_Struggle_Immortal--etc.mp3</t>
  </si>
  <si>
    <t>SP_Morning_Walk_-_Mayapur_1975-04-04_Preparing_for_World_War_Three.mp3</t>
  </si>
  <si>
    <t>https://audio.iskcondesiretree.com/01_-_Srila_Prabhupada/01_-_Lectures/01_-_English/01_-_Topic_wise/Morning_Walk/SP_Morning_Walk_-_Mayapur_1975-04-04_Preparing_for_World_War_Three.mp3</t>
  </si>
  <si>
    <t>SP_Room_Conversation_Mayapur_1975-04-04_They_Are_Envious_of_Me.mp3</t>
  </si>
  <si>
    <t>https://audio.iskcondesiretree.com/01_-_Srila_Prabhupada/01_-_Lectures/01_-_English/01_-_Topic_wise/Room_Conversation/SP_Room_Conversation_Mayapur_1975-04-04_They_Are_Envious_of_Me.mp3</t>
  </si>
  <si>
    <t>Cc_A_1-11_MAY_1975-04-04_Update_On_Struggle_Immortal_etc.mp3</t>
  </si>
  <si>
    <t>https://audio.iskcondesiretree.com/01_-_Srila_Prabhupada/01_-_Lectures/01_-_English/02_-_Month_wise/04_-_April/04/Cc_A_1-11_MAY_1975-04-04_Update_On_Struggle_Immortal_etc.mp3</t>
  </si>
  <si>
    <t>CcAdi-01-011_1975-04-04_CC-MAYAPUR.MP3</t>
  </si>
  <si>
    <t>https://audio.iskcondesiretree.com/01_-_Srila_Prabhupada/01_-_Lectures/01_-_English/02_-_Month_wise/04_-_April/04/CcAdi-01-011_1975-04-04_CC-MAYAPUR.MP3</t>
  </si>
  <si>
    <t>Conv_1975-04-04_R1-MAYAPUR.MP3</t>
  </si>
  <si>
    <t>https://audio.iskcondesiretree.com/01_-_Srila_Prabhupada/01_-_Lectures/01_-_English/02_-_Month_wise/04_-_April/04/Conv_1975-04-04_R1-MAYAPUR.MP3</t>
  </si>
  <si>
    <t>MW_MAY_1975-04-04_Preparing_for_World_War_Three.mp3</t>
  </si>
  <si>
    <t>https://audio.iskcondesiretree.com/01_-_Srila_Prabhupada/01_-_Lectures/01_-_English/02_-_Month_wise/04_-_April/04/MW_MAY_1975-04-04_Preparing_for_World_War_Three.mp3</t>
  </si>
  <si>
    <t>RC_MAY_1975-04-04_They_Are_Envious_of_Me.mp3</t>
  </si>
  <si>
    <t>https://audio.iskcondesiretree.com/01_-_Srila_Prabhupada/01_-_Lectures/01_-_English/02_-_Month_wise/04_-_April/04/RC_MAY_1975-04-04_They_Are_Envious_of_Me.mp3</t>
  </si>
  <si>
    <t>Walk_1975-04-04_MW-MAYAPUR.MP3</t>
  </si>
  <si>
    <t>https://audio.iskcondesiretree.com/01_-_Srila_Prabhupada/01_-_Lectures/01_-_English/02_-_Month_wise/04_-_April/04/Walk_1975-04-04_MW-MAYAPUR.MP3</t>
  </si>
  <si>
    <t>SP_CC_A_01-12_Mayapur_1975-04-05_Big_Chunk-Big_Chumps-Big_Controller.mp3</t>
  </si>
  <si>
    <t>https://audio.iskcondesiretree.com/01_-_Srila_Prabhupada/01_-_Lectures/01_-_English/01_-_Topic_wise/Chaitanya_Charitamrita/Adi_Lila/SP_CC_A_01-12_Mayapur_1975-04-05_Big_Chunk-Big_Chumps-Big_Controller.mp3</t>
  </si>
  <si>
    <t>SP_Morning_Walk_-_Mayapur_1975-04-05.MP3</t>
  </si>
  <si>
    <t>https://audio.iskcondesiretree.com/01_-_Srila_Prabhupada/01_-_Lectures/01_-_English/01_-_Topic_wise/Morning_Walk/SP_Morning_Walk_-_Mayapur_1975-04-05.MP3</t>
  </si>
  <si>
    <t>Cc_A_1-12_MAY_1975-04-05_Big_Chunk-Big_Chumps-Big_Controller.mp3</t>
  </si>
  <si>
    <t>https://audio.iskcondesiretree.com/01_-_Srila_Prabhupada/01_-_Lectures/01_-_English/02_-_Month_wise/04_-_April/05/Cc_A_1-12_MAY_1975-04-05_Big_Chunk-Big_Chumps-Big_Controller.mp3</t>
  </si>
  <si>
    <t>CcAdi-01-012_1975-04-05_CC-MAYAPUR.MP3</t>
  </si>
  <si>
    <t>https://audio.iskcondesiretree.com/01_-_Srila_Prabhupada/01_-_Lectures/01_-_English/02_-_Month_wise/04_-_April/05/CcAdi-01-012_1975-04-05_CC-MAYAPUR.MP3</t>
  </si>
  <si>
    <t>Walk_1975-04-05_MW-MAYAPUR.MP3</t>
  </si>
  <si>
    <t>https://audio.iskcondesiretree.com/01_-_Srila_Prabhupada/01_-_Lectures/01_-_English/02_-_Month_wise/04_-_April/05/Walk_1975-04-05_MW-MAYAPUR.MP3</t>
  </si>
  <si>
    <t>SP_CC_A_01-13_Mayapur_1975-04-06.MP3</t>
  </si>
  <si>
    <t>https://audio.iskcondesiretree.com/01_-_Srila_Prabhupada/01_-_Lectures/01_-_English/01_-_Topic_wise/Chaitanya_Charitamrita/Adi_Lila/SP_CC_A_01-13_Mayapur_1975-04-06.MP3</t>
  </si>
  <si>
    <t>SP_Morning_Walk_-_Hyderabad_1975-04-06_A_Perfect_Disciple%27s_Imperfection.mp3</t>
  </si>
  <si>
    <t>https://audio.iskcondesiretree.com/01_-_Srila_Prabhupada/01_-_Lectures/01_-_English/01_-_Topic_wise/Morning_Walk/SP_Morning_Walk_-_Hyderabad_1975-04-06_A_Perfect_Disciple%27s_Imperfection.mp3</t>
  </si>
  <si>
    <t>SP_Lecture_Mayapur_1975-04-06.MP3</t>
  </si>
  <si>
    <t>https://audio.iskcondesiretree.com/01_-_Srila_Prabhupada/01_-_Lectures/01_-_English/01_-_Topic_wise/Various/SP_Lecture_Mayapur_1975-04-06.MP3</t>
  </si>
  <si>
    <t>CcAdi-01-013_1975-04-06_CC-MAYAPUR.MP3</t>
  </si>
  <si>
    <t>https://audio.iskcondesiretree.com/01_-_Srila_Prabhupada/01_-_Lectures/01_-_English/02_-_Month_wise/04_-_April/06/CcAdi-01-013_1975-04-06_CC-MAYAPUR.MP3</t>
  </si>
  <si>
    <t>Lecture_1975-04-06_LE-MAYAPUR.MP3</t>
  </si>
  <si>
    <t>https://audio.iskcondesiretree.com/01_-_Srila_Prabhupada/01_-_Lectures/01_-_English/02_-_Month_wise/04_-_April/06/Lecture_1975-04-06_LE-MAYAPUR.MP3</t>
  </si>
  <si>
    <t>MW_HYD_1975-04-06_A_Perfect_Disciple%27s_Imperfection.mp3</t>
  </si>
  <si>
    <t>https://audio.iskcondesiretree.com/01_-_Srila_Prabhupada/01_-_Lectures/01_-_English/02_-_Month_wise/04_-_April/06/MW_HYD_1975-04-06_A_Perfect_Disciple%27s_Imperfection.mp3</t>
  </si>
  <si>
    <t>Walk_1975-04-06_MW-MAYAPUR.MP3</t>
  </si>
  <si>
    <t>https://audio.iskcondesiretree.com/01_-_Srila_Prabhupada/01_-_Lectures/01_-_English/02_-_Month_wise/04_-_April/06/Walk_1975-04-06_MW-MAYAPUR.MP3</t>
  </si>
  <si>
    <t>SP_CC_A_01-14_Mayapur_1975-04-07_For_Materialists_Stool_Is_Sublime.mp3</t>
  </si>
  <si>
    <t>https://audio.iskcondesiretree.com/01_-_Srila_Prabhupada/01_-_Lectures/01_-_English/01_-_Topic_wise/Chaitanya_Charitamrita/Adi_Lila/SP_CC_A_01-14_Mayapur_1975-04-07_For_Materialists_Stool_Is_Sublime.mp3</t>
  </si>
  <si>
    <t>SP_Morning_Walk_-_Hyderabad_1975-04-07_You_Can_Chant_Even_in_Moscow.mp3</t>
  </si>
  <si>
    <t>https://audio.iskcondesiretree.com/01_-_Srila_Prabhupada/01_-_Lectures/01_-_English/01_-_Topic_wise/Morning_Walk/SP_Morning_Walk_-_Hyderabad_1975-04-07_You_Can_Chant_Even_in_Moscow.mp3</t>
  </si>
  <si>
    <t>Cc_A_1-14_MAY_1975-04-07_For_Materialists_Stool_Is_Sublime.mp3</t>
  </si>
  <si>
    <t>https://audio.iskcondesiretree.com/01_-_Srila_Prabhupada/01_-_Lectures/01_-_English/02_-_Month_wise/04_-_April/07/Cc_A_1-14_MAY_1975-04-07_For_Materialists_Stool_Is_Sublime.mp3</t>
  </si>
  <si>
    <t>CcAdi-01-014_1975-04-07_CC-MAYAPUR.MP3</t>
  </si>
  <si>
    <t>https://audio.iskcondesiretree.com/01_-_Srila_Prabhupada/01_-_Lectures/01_-_English/02_-_Month_wise/04_-_April/07/CcAdi-01-014_1975-04-07_CC-MAYAPUR.MP3</t>
  </si>
  <si>
    <t>MW_HYD_1975-04-07_You_Can_Chant_Even_in_Moscow.mp3</t>
  </si>
  <si>
    <t>https://audio.iskcondesiretree.com/01_-_Srila_Prabhupada/01_-_Lectures/01_-_English/02_-_Month_wise/04_-_April/07/MW_HYD_1975-04-07_You_Can_Chant_Even_in_Moscow.mp3</t>
  </si>
  <si>
    <t>Walk_1975-04-07_MW-MAYAPUR.MP3</t>
  </si>
  <si>
    <t>https://audio.iskcondesiretree.com/01_-_Srila_Prabhupada/01_-_Lectures/01_-_English/02_-_Month_wise/04_-_April/07/Walk_1975-04-07_MW-MAYAPUR.MP3</t>
  </si>
  <si>
    <t>SP_CC_A_01-15_Mayapur_1975-04-08_Gold_Religion.mp3</t>
  </si>
  <si>
    <t>https://audio.iskcondesiretree.com/01_-_Srila_Prabhupada/01_-_Lectures/01_-_English/01_-_Topic_wise/Chaitanya_Charitamrita/Adi_Lila/SP_CC_A_01-15_Mayapur_1975-04-08_Gold_Religion.mp3</t>
  </si>
  <si>
    <t>SP_Morning_Walk_-_Mayapur_1975-04-08.MP3</t>
  </si>
  <si>
    <t>https://audio.iskcondesiretree.com/01_-_Srila_Prabhupada/01_-_Lectures/01_-_English/01_-_Topic_wise/Morning_Walk/SP_Morning_Walk_-_Mayapur_1975-04-08.MP3</t>
  </si>
  <si>
    <t>Cc_A_1-15_MAY_1975-04-08_Gold_Religion.mp3</t>
  </si>
  <si>
    <t>https://audio.iskcondesiretree.com/01_-_Srila_Prabhupada/01_-_Lectures/01_-_English/02_-_Month_wise/04_-_April/08/Cc_A_1-15_MAY_1975-04-08_Gold_Religion.mp3</t>
  </si>
  <si>
    <t>CcAdi-01-015_1975-04-08_CC-MAYAPUR.MP3</t>
  </si>
  <si>
    <t>https://audio.iskcondesiretree.com/01_-_Srila_Prabhupada/01_-_Lectures/01_-_English/02_-_Month_wise/04_-_April/08/CcAdi-01-015_1975-04-08_CC-MAYAPUR.MP3</t>
  </si>
  <si>
    <t>Walk_1975-04-08_MW-MAYAPUR.MP3</t>
  </si>
  <si>
    <t>https://audio.iskcondesiretree.com/01_-_Srila_Prabhupada/01_-_Lectures/01_-_English/02_-_Month_wise/04_-_April/08/Walk_1975-04-08_MW-MAYAPUR.MP3</t>
  </si>
  <si>
    <t>SP_CC_A_01-16_Hyderabad_1975-04-09_Window_to_the_Spiritual_World.mp3</t>
  </si>
  <si>
    <t>https://audio.iskcondesiretree.com/01_-_Srila_Prabhupada/01_-_Lectures/01_-_English/01_-_Topic_wise/Chaitanya_Charitamrita/Adi_Lila/SP_CC_A_01-16_Hyderabad_1975-04-09_Window_to_the_Spiritual_World.mp3</t>
  </si>
  <si>
    <t>SP_Morning_Walk_-_Mayapur_1975-04-09.MP3</t>
  </si>
  <si>
    <t>https://audio.iskcondesiretree.com/01_-_Srila_Prabhupada/01_-_Lectures/01_-_English/01_-_Topic_wise/Morning_Walk/SP_Morning_Walk_-_Mayapur_1975-04-09.MP3</t>
  </si>
  <si>
    <t>Cc_A_1-16_HYD_1975-04-09_Window_to_the_Spiritual_World.mp3</t>
  </si>
  <si>
    <t>https://audio.iskcondesiretree.com/01_-_Srila_Prabhupada/01_-_Lectures/01_-_English/02_-_Month_wise/04_-_April/09/Cc_A_1-16_HYD_1975-04-09_Window_to_the_Spiritual_World.mp3</t>
  </si>
  <si>
    <t>CcAdi-01-016_1975-04-09_CC-MAYAPUR.MP3</t>
  </si>
  <si>
    <t>https://audio.iskcondesiretree.com/01_-_Srila_Prabhupada/01_-_Lectures/01_-_English/02_-_Month_wise/04_-_April/09/CcAdi-01-016_1975-04-09_CC-MAYAPUR.MP3</t>
  </si>
  <si>
    <t>Walk_1975-04-09_MW-MAYAPUR.MP3</t>
  </si>
  <si>
    <t>https://audio.iskcondesiretree.com/01_-_Srila_Prabhupada/01_-_Lectures/01_-_English/02_-_Month_wise/04_-_April/09/Walk_1975-04-09_MW-MAYAPUR.MP3</t>
  </si>
  <si>
    <t>SP_SB_5-05-01_Hyderabad_1975-04-10_Gold_Is_Gold_God_Is_God.mp3</t>
  </si>
  <si>
    <t>https://audio.iskcondesiretree.com/01_-_Srila_Prabhupada/01_-_Lectures/01_-_English/01_-_Topic_wise/Srimad_Bhagavatam/Canto-05/SP_SB_5-05-01_Hyderabad_1975-04-10_Gold_Is_Gold_God_Is_God.mp3</t>
  </si>
  <si>
    <t>SB-05-05-01_1975-04-10_SB-HYDERABAD.MP3</t>
  </si>
  <si>
    <t>https://audio.iskcondesiretree.com/01_-_Srila_Prabhupada/01_-_Lectures/01_-_English/02_-_Month_wise/04_-_April/10/SB-05-05-01_1975-04-10_SB-HYDERABAD.MP3</t>
  </si>
  <si>
    <t>SB_5-05-01_HYD_1975-04-10_Gold_Is_Gold%2C_God_Is_God.mp3</t>
  </si>
  <si>
    <t>https://audio.iskcondesiretree.com/01_-_Srila_Prabhupada/01_-_Lectures/01_-_English/02_-_Month_wise/04_-_April/10/SB_5-05-01_HYD_1975-04-10_Gold_Is_Gold%2C_God_Is_God.mp3</t>
  </si>
  <si>
    <t>SP_SB_5-05-02_Hyderabad_1975-04-11_Don%27t_Kill_Yourself.mp3</t>
  </si>
  <si>
    <t>https://audio.iskcondesiretree.com/01_-_Srila_Prabhupada/01_-_Lectures/01_-_English/01_-_Topic_wise/Srimad_Bhagavatam/Canto-05/SP_SB_5-05-02_Hyderabad_1975-04-11_Don%27t_Kill_Yourself.mp3</t>
  </si>
  <si>
    <t>SB-05-05-02_1975-04-11_SB-HYDERABAD.MP3</t>
  </si>
  <si>
    <t>https://audio.iskcondesiretree.com/01_-_Srila_Prabhupada/01_-_Lectures/01_-_English/02_-_Month_wise/04_-_April/11/SB-05-05-02_1975-04-11_SB-HYDERABAD.MP3</t>
  </si>
  <si>
    <t>SB_5-05-02_HYD_1975-04-11_Don%27t_Kill_Yourself.mp3</t>
  </si>
  <si>
    <t>https://audio.iskcondesiretree.com/01_-_Srila_Prabhupada/01_-_Lectures/01_-_English/02_-_Month_wise/04_-_April/11/SB_5-05-02_HYD_1975-04-11_Don%27t_Kill_Yourself.mp3</t>
  </si>
  <si>
    <t>SP_Room_Conversation_01_Hyderabad_1975-04-12.MP3</t>
  </si>
  <si>
    <t>https://audio.iskcondesiretree.com/01_-_Srila_Prabhupada/01_-_Lectures/01_-_English/01_-_Topic_wise/Room_Conversation/SP_Room_Conversation_01_Hyderabad_1975-04-12.MP3</t>
  </si>
  <si>
    <t>SP_Room_Conversation_02_Hyderabad_1975-04-12.MP3</t>
  </si>
  <si>
    <t>https://audio.iskcondesiretree.com/01_-_Srila_Prabhupada/01_-_Lectures/01_-_English/01_-_Topic_wise/Room_Conversation/SP_Room_Conversation_02_Hyderabad_1975-04-12.MP3</t>
  </si>
  <si>
    <t>SP_Room_Conversation_Hyderabad_1975-04-12_Sannyasa_Mentality.mp3</t>
  </si>
  <si>
    <t>https://audio.iskcondesiretree.com/01_-_Srila_Prabhupada/01_-_Lectures/01_-_English/01_-_Topic_wise/Room_Conversation/SP_Room_Conversation_Hyderabad_1975-04-12_Sannyasa_Mentality.mp3</t>
  </si>
  <si>
    <t>SP_Room_Conversation_Hyderabad_1975-04-12_You_Cannot_Preach_Your_Philosophy.mp3</t>
  </si>
  <si>
    <t>https://audio.iskcondesiretree.com/01_-_Srila_Prabhupada/01_-_Lectures/01_-_English/01_-_Topic_wise/Room_Conversation/SP_Room_Conversation_Hyderabad_1975-04-12_You_Cannot_Preach_Your_Philosophy.mp3</t>
  </si>
  <si>
    <t>SP_SB_5-05-02_Hyderabad_1975-04-12_The_Essence_of_Scripture.mp3</t>
  </si>
  <si>
    <t>https://audio.iskcondesiretree.com/01_-_Srila_Prabhupada/01_-_Lectures/01_-_English/01_-_Topic_wise/Srimad_Bhagavatam/Canto-05/SP_SB_5-05-02_Hyderabad_1975-04-12_The_Essence_of_Scripture.mp3</t>
  </si>
  <si>
    <t>Conv_1975-04-12_R1-HYDERABAD.MP3</t>
  </si>
  <si>
    <t>https://audio.iskcondesiretree.com/01_-_Srila_Prabhupada/01_-_Lectures/01_-_English/02_-_Month_wise/04_-_April/12/Conv_1975-04-12_R1-HYDERABAD.MP3</t>
  </si>
  <si>
    <t>Conv_1975-04-12_R2-HYDERABAD.MP3</t>
  </si>
  <si>
    <t>https://audio.iskcondesiretree.com/01_-_Srila_Prabhupada/01_-_Lectures/01_-_English/02_-_Month_wise/04_-_April/12/Conv_1975-04-12_R2-HYDERABAD.MP3</t>
  </si>
  <si>
    <t>Conv_1975-04-12_R3-HYDERABAD.MP3</t>
  </si>
  <si>
    <t>https://audio.iskcondesiretree.com/01_-_Srila_Prabhupada/01_-_Lectures/01_-_English/02_-_Month_wise/04_-_April/12/Conv_1975-04-12_R3-HYDERABAD.MP3</t>
  </si>
  <si>
    <t>RC_HYD_1975-04-12_Sannyasa_Mentality.mp3</t>
  </si>
  <si>
    <t>https://audio.iskcondesiretree.com/01_-_Srila_Prabhupada/01_-_Lectures/01_-_English/02_-_Month_wise/04_-_April/12/RC_HYD_1975-04-12_Sannyasa_Mentality.mp3</t>
  </si>
  <si>
    <t>RC_HYD_1975-04-12_You_Cannot_Preach_Your_Philosophy.mp3</t>
  </si>
  <si>
    <t>https://audio.iskcondesiretree.com/01_-_Srila_Prabhupada/01_-_Lectures/01_-_English/02_-_Month_wise/04_-_April/12/RC_HYD_1975-04-12_You_Cannot_Preach_Your_Philosophy.mp3</t>
  </si>
  <si>
    <t>SB-05-05-02_1975-04-12_SB-HYDERABAD.MP3</t>
  </si>
  <si>
    <t>https://audio.iskcondesiretree.com/01_-_Srila_Prabhupada/01_-_Lectures/01_-_English/02_-_Month_wise/04_-_April/12/SB-05-05-02_1975-04-12_SB-HYDERABAD.MP3</t>
  </si>
  <si>
    <t>SB_5-05-02_HYD_1975-04-12_The_Essence_of_Scripture.mp3</t>
  </si>
  <si>
    <t>https://audio.iskcondesiretree.com/01_-_Srila_Prabhupada/01_-_Lectures/01_-_English/02_-_Month_wise/04_-_April/12/SB_5-05-02_HYD_1975-04-12_The_Essence_of_Scripture.mp3</t>
  </si>
  <si>
    <t>SP_SB_5-05-02_Hyderabad_1975-04-13_Liberation_Meaning_What.mp3</t>
  </si>
  <si>
    <t>https://audio.iskcondesiretree.com/01_-_Srila_Prabhupada/01_-_Lectures/01_-_English/01_-_Topic_wise/Srimad_Bhagavatam/Canto-05/SP_SB_5-05-02_Hyderabad_1975-04-13_Liberation_Meaning_What.mp3</t>
  </si>
  <si>
    <t>SB-05-05-02_1975-04-13_SB-HYDERABAD.MP3</t>
  </si>
  <si>
    <t>https://audio.iskcondesiretree.com/01_-_Srila_Prabhupada/01_-_Lectures/01_-_English/02_-_Month_wise/04_-_April/13/SB-05-05-02_1975-04-13_SB-HYDERABAD.MP3</t>
  </si>
  <si>
    <t>SB_5-05-02_HYD_1975-04-13_Liberation_Meaning_What.mp3</t>
  </si>
  <si>
    <t>https://audio.iskcondesiretree.com/01_-_Srila_Prabhupada/01_-_Lectures/01_-_English/02_-_Month_wise/04_-_April/13/SB_5-05-02_HYD_1975-04-13_Liberation_Meaning_What.mp3</t>
  </si>
  <si>
    <t>SP_Address_Hyderabad_1975-04-14_At_Life_Member%27s_House--Let_Us--etc.mp3</t>
  </si>
  <si>
    <t>https://audio.iskcondesiretree.com/01_-_Srila_Prabhupada/01_-_Lectures/01_-_English/01_-_Topic_wise/Arrival_Address/SP_Address_Hyderabad_1975-04-14_At_Life_Member%27s_House--Let_Us--etc.mp3</t>
  </si>
  <si>
    <t>SP_Room_Conversation_Hyderabad_1975-04-14_Supreme_Science_Supreme_Music.mp3</t>
  </si>
  <si>
    <t>https://audio.iskcondesiretree.com/01_-_Srila_Prabhupada/01_-_Lectures/01_-_English/01_-_Topic_wise/Room_Conversation/SP_Room_Conversation_Hyderabad_1975-04-14_Supreme_Science_Supreme_Music.mp3</t>
  </si>
  <si>
    <t>SP_Lecture_Hyderabad_1975-04-14.MP3</t>
  </si>
  <si>
    <t>https://audio.iskcondesiretree.com/01_-_Srila_Prabhupada/01_-_Lectures/01_-_English/01_-_Topic_wise/Various/SP_Lecture_Hyderabad_1975-04-14.MP3</t>
  </si>
  <si>
    <t>SP_Lecture_Hyderabad_1975-04-14_Let_Us_Become_Dogs_of_Krishna.mp3</t>
  </si>
  <si>
    <t>https://audio.iskcondesiretree.com/01_-_Srila_Prabhupada/01_-_Lectures/01_-_English/01_-_Topic_wise/Various/SP_Lecture_Hyderabad_1975-04-14_Let_Us_Become_Dogs_of_Krishna.mp3</t>
  </si>
  <si>
    <t>Addr_HYD_1975-04-14_At_Life_Member%27s_House_Let_Us_etc.mp3</t>
  </si>
  <si>
    <t>https://audio.iskcondesiretree.com/01_-_Srila_Prabhupada/01_-_Lectures/01_-_English/02_-_Month_wise/04_-_April/14/Addr_HYD_1975-04-14_At_Life_Member%27s_House_Let_Us_etc.mp3</t>
  </si>
  <si>
    <t>Conv_1975-04-14_R1-HYDERABAD.MP3</t>
  </si>
  <si>
    <t>https://audio.iskcondesiretree.com/01_-_Srila_Prabhupada/01_-_Lectures/01_-_English/02_-_Month_wise/04_-_April/14/Conv_1975-04-14_R1-HYDERABAD.MP3</t>
  </si>
  <si>
    <t>Lect_HYD_1975-04-14_Let_Us_Become_Dogs_of_Krishna.mp3</t>
  </si>
  <si>
    <t>https://audio.iskcondesiretree.com/01_-_Srila_Prabhupada/01_-_Lectures/01_-_English/02_-_Month_wise/04_-_April/14/Lect_HYD_1975-04-14_Let_Us_Become_Dogs_of_Krishna.mp3</t>
  </si>
  <si>
    <t>Lecture_1975-04-14_L2-HYDERABAD.MP3</t>
  </si>
  <si>
    <t>https://audio.iskcondesiretree.com/01_-_Srila_Prabhupada/01_-_Lectures/01_-_English/02_-_Month_wise/04_-_April/14/Lecture_1975-04-14_L2-HYDERABAD.MP3</t>
  </si>
  <si>
    <t>Lecture_1975-04-14_LE-HYDERABAD.MP3</t>
  </si>
  <si>
    <t>https://audio.iskcondesiretree.com/01_-_Srila_Prabhupada/01_-_Lectures/01_-_English/02_-_Month_wise/04_-_April/14/Lecture_1975-04-14_LE-HYDERABAD.MP3</t>
  </si>
  <si>
    <t>RC_HYD_1975-04-14_Supreme_Science%2C_Supreme_Music.mp3</t>
  </si>
  <si>
    <t>https://audio.iskcondesiretree.com/01_-_Srila_Prabhupada/01_-_Lectures/01_-_English/02_-_Month_wise/04_-_April/14/RC_HYD_1975-04-14_Supreme_Science%2C_Supreme_Music.mp3</t>
  </si>
  <si>
    <t>SP_SB_5-05-02_Hyderabad_1975-04-15_How_to_Find_a_Grhasta-mahatma.mp3</t>
  </si>
  <si>
    <t>https://audio.iskcondesiretree.com/01_-_Srila_Prabhupada/01_-_Lectures/01_-_English/01_-_Topic_wise/Srimad_Bhagavatam/Canto-05/SP_SB_5-05-02_Hyderabad_1975-04-15_How_to_Find_a_Grhasta-mahatma.mp3</t>
  </si>
  <si>
    <t>SB-05-05-03_1975-04-15_SB-HYDERABAD.MP3</t>
  </si>
  <si>
    <t>https://audio.iskcondesiretree.com/01_-_Srila_Prabhupada/01_-_Lectures/01_-_English/02_-_Month_wise/04_-_April/15/SB-05-05-03_1975-04-15_SB-HYDERABAD.MP3</t>
  </si>
  <si>
    <t>SB_5-05-02_HYD_1975-04-15_How_to_Find_a_Grhasta-mahatma.mp3</t>
  </si>
  <si>
    <t>https://audio.iskcondesiretree.com/01_-_Srila_Prabhupada/01_-_Lectures/01_-_English/02_-_Month_wise/04_-_April/15/SB_5-05-02_HYD_1975-04-15_How_to_Find_a_Grhasta-mahatma.mp3</t>
  </si>
  <si>
    <t>SP_BG_09-01_Vrindavan_1975-04-17_How_to_Become_Non-Envious.mp3</t>
  </si>
  <si>
    <t>https://audio.iskcondesiretree.com/01_-_Srila_Prabhupada/01_-_Lectures/01_-_English/01_-_Topic_wise/Bhagavad_Gita/Chapter-09/SP_BG_09-01_Vrindavan_1975-04-17_How_to_Become_Non-Envious.mp3</t>
  </si>
  <si>
    <t>SP_Morning_Walk_-_Vrindavan_1975-04-17.MP3</t>
  </si>
  <si>
    <t>https://audio.iskcondesiretree.com/01_-_Srila_Prabhupada/01_-_Lectures/01_-_English/01_-_Topic_wise/Morning_Walk/SP_Morning_Walk_-_Vrindavan_1975-04-17.MP3</t>
  </si>
  <si>
    <t>Bg-09-01_1975-04-17_BG-VRNDAVAN.MP3</t>
  </si>
  <si>
    <t>https://audio.iskcondesiretree.com/01_-_Srila_Prabhupada/01_-_Lectures/01_-_English/02_-_Month_wise/04_-_April/17/Bg-09-01_1975-04-17_BG-VRNDAVAN.MP3</t>
  </si>
  <si>
    <t>Bg_09-01_VRN_1975-04-17_How_to_Become_Non-Envious.mp3</t>
  </si>
  <si>
    <t>https://audio.iskcondesiretree.com/01_-_Srila_Prabhupada/01_-_Lectures/01_-_English/02_-_Month_wise/04_-_April/17/Bg_09-01_VRN_1975-04-17_How_to_Become_Non-Envious.mp3</t>
  </si>
  <si>
    <t>Walk_1975-04-17_MW-VRNDAVAN.MP3</t>
  </si>
  <si>
    <t>https://audio.iskcondesiretree.com/01_-_Srila_Prabhupada/01_-_Lectures/01_-_English/02_-_Month_wise/04_-_April/17/Walk_1975-04-17_MW-VRNDAVAN.MP3</t>
  </si>
  <si>
    <t>SP_SB_1-07-06_Vrindavan_1975-04-18_Unwanted_Nonsense-and_Freedom.mp3</t>
  </si>
  <si>
    <t>https://audio.iskcondesiretree.com/01_-_Srila_Prabhupada/01_-_Lectures/01_-_English/01_-_Topic_wise/Srimad_Bhagavatam/Canto-01/SP_SB_1-07-06_Vrindavan_1975-04-18_Unwanted_Nonsense-and_Freedom.mp3</t>
  </si>
  <si>
    <t>SB-01-07-06_1975-04-18_SB-VRNDAVAN.MP3</t>
  </si>
  <si>
    <t>https://audio.iskcondesiretree.com/01_-_Srila_Prabhupada/01_-_Lectures/01_-_English/02_-_Month_wise/04_-_April/18/SB-01-07-06_1975-04-18_SB-VRNDAVAN.MP3</t>
  </si>
  <si>
    <t>SB_1-07-06_VRN_1975-04-18_Unwanted_Nonsense_and_Freedom.mp3</t>
  </si>
  <si>
    <t>https://audio.iskcondesiretree.com/01_-_Srila_Prabhupada/01_-_Lectures/01_-_English/02_-_Month_wise/04_-_April/18/SB_1-07-06_VRN_1975-04-18_Unwanted_Nonsense_and_Freedom.mp3</t>
  </si>
  <si>
    <t>SP_Morning_Walk_-_Vrindavan_1975-04-19.MP3</t>
  </si>
  <si>
    <t>https://audio.iskcondesiretree.com/01_-_Srila_Prabhupada/01_-_Lectures/01_-_English/01_-_Topic_wise/Morning_Walk/SP_Morning_Walk_-_Vrindavan_1975-04-19.MP3</t>
  </si>
  <si>
    <t>SP_Room_Conversation_Vrindavan_1975-04-19.MP3</t>
  </si>
  <si>
    <t>https://audio.iskcondesiretree.com/01_-_Srila_Prabhupada/01_-_Lectures/01_-_English/01_-_Topic_wise/Room_Conversation/SP_Room_Conversation_Vrindavan_1975-04-19.MP3</t>
  </si>
  <si>
    <t>Conv_1975-04-19_R1-VRNDAVAN.MP3</t>
  </si>
  <si>
    <t>https://audio.iskcondesiretree.com/01_-_Srila_Prabhupada/01_-_Lectures/01_-_English/02_-_Month_wise/04_-_April/19/Conv_1975-04-19_R1-VRNDAVAN.MP3</t>
  </si>
  <si>
    <t>Walk_1975-04-19_MW-VRNDAVAN.MP3</t>
  </si>
  <si>
    <t>https://audio.iskcondesiretree.com/01_-_Srila_Prabhupada/01_-_Lectures/01_-_English/02_-_Month_wise/04_-_April/19/Walk_1975-04-19_MW-VRNDAVAN.MP3</t>
  </si>
  <si>
    <t>SP_Room_Conversation_Vrindavan_1975-04-20_Governor--The_State_Should_Train_Men.mp3</t>
  </si>
  <si>
    <t>https://audio.iskcondesiretree.com/01_-_Srila_Prabhupada/01_-_Lectures/01_-_English/01_-_Topic_wise/Room_Conversation/SP_Room_Conversation_Vrindavan_1975-04-20_Governor--The_State_Should_Train_Men.mp3</t>
  </si>
  <si>
    <t>SP_Lecture_Vrindavan_1975-04-20_These_Boys_Were_Jagai_%26_Madhai.mp3</t>
  </si>
  <si>
    <t>https://audio.iskcondesiretree.com/01_-_Srila_Prabhupada/01_-_Lectures/01_-_English/01_-_Topic_wise/Various/SP_Lecture_Vrindavan_1975-04-20_These_Boys_Were_Jagai_%26_Madhai.mp3</t>
  </si>
  <si>
    <t>CcMadhya-19-053_1975-04-20_SP-VRNDAVAN.MP3</t>
  </si>
  <si>
    <t>https://audio.iskcondesiretree.com/01_-_Srila_Prabhupada/01_-_Lectures/01_-_English/02_-_Month_wise/04_-_April/20/CcMadhya-19-053_1975-04-20_SP-VRNDAVAN.MP3</t>
  </si>
  <si>
    <t>Conv_1975-04-20_R1-VRNDAVAN.MP3</t>
  </si>
  <si>
    <t>https://audio.iskcondesiretree.com/01_-_Srila_Prabhupada/01_-_Lectures/01_-_English/02_-_Month_wise/04_-_April/20/Conv_1975-04-20_R1-VRNDAVAN.MP3</t>
  </si>
  <si>
    <t>Lect_VRN_1975-04-20_These_Boys_Were_Jagai_%26_Madhai.mp3</t>
  </si>
  <si>
    <t>https://audio.iskcondesiretree.com/01_-_Srila_Prabhupada/01_-_Lectures/01_-_English/02_-_Month_wise/04_-_April/20/Lect_VRN_1975-04-20_These_Boys_Were_Jagai_%26_Madhai.mp3</t>
  </si>
  <si>
    <t>RC_VRN_1975-04-20_Governor-The_State_Should_Train_Men.mp3</t>
  </si>
  <si>
    <t>https://audio.iskcondesiretree.com/01_-_Srila_Prabhupada/01_-_Lectures/01_-_English/02_-_Month_wise/04_-_April/20/RC_VRN_1975-04-20_Governor-The_State_Should_Train_Men.mp3</t>
  </si>
  <si>
    <t>Speech_1975-04-20_SP-VRNDAVAN.MP3</t>
  </si>
  <si>
    <t>https://audio.iskcondesiretree.com/01_-_Srila_Prabhupada/01_-_Lectures/01_-_English/02_-_Month_wise/04_-_April/20/Speech_1975-04-20_SP-VRNDAVAN.MP3</t>
  </si>
  <si>
    <t>SP_Morning_Walk_-_Vrindavan_1975-04-23.MP3</t>
  </si>
  <si>
    <t>https://audio.iskcondesiretree.com/01_-_Srila_Prabhupada/01_-_Lectures/01_-_English/01_-_Topic_wise/Morning_Walk/SP_Morning_Walk_-_Vrindavan_1975-04-23.MP3</t>
  </si>
  <si>
    <t>SP_SB_1-07-06_Vrindavan_1975-04-23_Making_Good_Use_of_the_Useless.mp3</t>
  </si>
  <si>
    <t>https://audio.iskcondesiretree.com/01_-_Srila_Prabhupada/01_-_Lectures/01_-_English/01_-_Topic_wise/Srimad_Bhagavatam/Canto-01/SP_SB_1-07-06_Vrindavan_1975-04-23_Making_Good_Use_of_the_Useless.mp3</t>
  </si>
  <si>
    <t>SB-01-07-06_1975-04-23_SB-VRNDAVAN.MP3</t>
  </si>
  <si>
    <t>https://audio.iskcondesiretree.com/01_-_Srila_Prabhupada/01_-_Lectures/01_-_English/02_-_Month_wise/04_-_April/23/SB-01-07-06_1975-04-23_SB-VRNDAVAN.MP3</t>
  </si>
  <si>
    <t>SB_1-07-06_VRN_1975-04-23_Making_Good_Use_of_the_Useless.mp3</t>
  </si>
  <si>
    <t>https://audio.iskcondesiretree.com/01_-_Srila_Prabhupada/01_-_Lectures/01_-_English/02_-_Month_wise/04_-_April/23/SB_1-07-06_VRN_1975-04-23_Making_Good_Use_of_the_Useless.mp3</t>
  </si>
  <si>
    <t>Walk_1975-04-23_MW-VRNDAVAN.MP3</t>
  </si>
  <si>
    <t>https://audio.iskcondesiretree.com/01_-_Srila_Prabhupada/01_-_Lectures/01_-_English/02_-_Month_wise/04_-_April/23/Walk_1975-04-23_MW-VRNDAVAN.MP3</t>
  </si>
  <si>
    <t>SP_SB_1-07-07_Vrindavan_1975-04-24_Curing_Our_Heart_Disease.mp3</t>
  </si>
  <si>
    <t>https://audio.iskcondesiretree.com/01_-_Srila_Prabhupada/01_-_Lectures/01_-_English/01_-_Topic_wise/Srimad_Bhagavatam/Canto-01/SP_SB_1-07-07_Vrindavan_1975-04-24_Curing_Our_Heart_Disease.mp3</t>
  </si>
  <si>
    <t>SB-01-07-07_1975-04-24_SB-VRNDAVAN.MP3</t>
  </si>
  <si>
    <t>https://audio.iskcondesiretree.com/01_-_Srila_Prabhupada/01_-_Lectures/01_-_English/02_-_Month_wise/04_-_April/24/SB-01-07-07_1975-04-24_SB-VRNDAVAN.MP3</t>
  </si>
  <si>
    <t>SB_1-07-07_VRN_1975-04-24_Curing_Our_Heart_Disease.mp3</t>
  </si>
  <si>
    <t>https://audio.iskcondesiretree.com/01_-_Srila_Prabhupada/01_-_Lectures/01_-_English/02_-_Month_wise/04_-_April/24/SB_1-07-07_VRN_1975-04-24_Curing_Our_Heart_Disease.mp3</t>
  </si>
  <si>
    <t>SP_Lecture_Vrindavan_1975-04-27_Explanation_of_Nrsimha_Vallabha.MP3</t>
  </si>
  <si>
    <t>https://audio.iskcondesiretree.com/01_-_Srila_Prabhupada/01_-_Lectures/01_-_English/01_-_Topic_wise/Various/SP_Lecture_Vrindavan_1975-04-27_Explanation_of_Nrsimha_Vallabha.MP3</t>
  </si>
  <si>
    <t>Speech_1975-04-27_SP-VRNDAVAN.MP3</t>
  </si>
  <si>
    <t>https://audio.iskcondesiretree.com/01_-_Srila_Prabhupada/01_-_Lectures/01_-_English/02_-_Month_wise/04_-_April/27/Speech_1975-04-27_SP-VRNDAVAN.MP3</t>
  </si>
  <si>
    <t>SP_Morning_Walk_-_Vrindavan_1975-04-28.MP3</t>
  </si>
  <si>
    <t>https://audio.iskcondesiretree.com/01_-_Srila_Prabhupada/01_-_Lectures/01_-_English/01_-_Topic_wise/Morning_Walk/SP_Morning_Walk_-_Vrindavan_1975-04-28.MP3</t>
  </si>
  <si>
    <t>Walk_1975-04-28_MW-VRNDAVAN.MP3</t>
  </si>
  <si>
    <t>https://audio.iskcondesiretree.com/01_-_Srila_Prabhupada/01_-_Lectures/01_-_English/02_-_Month_wise/04_-_April/28/Walk_1975-04-28_MW-VRNDAVAN.MP3</t>
  </si>
  <si>
    <t>SP_Lecture_Perth_1975-05-06_Evening_Discussion.MP3</t>
  </si>
  <si>
    <t>https://audio.iskcondesiretree.com/01_-_Srila_Prabhupada/01_-_Lectures/01_-_English/01_-_Topic_wise/Various/SP_Lecture_Perth_1975-05-06_Evening_Discussion.MP3</t>
  </si>
  <si>
    <t>Darshan_1975-05-06_ED-PERTH.MP3</t>
  </si>
  <si>
    <t>https://audio.iskcondesiretree.com/01_-_Srila_Prabhupada/01_-_Lectures/01_-_English/02_-_Month_wise/05_-_May/06/Darshan_1975-05-06_ED-PERTH.MP3</t>
  </si>
  <si>
    <t>SP_Morning_Walk_-_Perth_1975-05-07.MP3</t>
  </si>
  <si>
    <t>https://audio.iskcondesiretree.com/01_-_Srila_Prabhupada/01_-_Lectures/01_-_English/01_-_Topic_wise/Morning_Walk/SP_Morning_Walk_-_Perth_1975-05-07.MP3</t>
  </si>
  <si>
    <t>Walk_1975-05-07_MW-PERTH.MP3</t>
  </si>
  <si>
    <t>https://audio.iskcondesiretree.com/01_-_Srila_Prabhupada/01_-_Lectures/01_-_English/02_-_Month_wise/05_-_May/07/Walk_1975-05-07_MW-PERTH.MP3</t>
  </si>
  <si>
    <t>SP_Morning_Walk_-_Perth_1975-05-08_Enlightened_Egoism.mp3</t>
  </si>
  <si>
    <t>https://audio.iskcondesiretree.com/01_-_Srila_Prabhupada/01_-_Lectures/01_-_English/01_-_Topic_wise/Morning_Walk/SP_Morning_Walk_-_Perth_1975-05-08_Enlightened_Egoism.mp3</t>
  </si>
  <si>
    <t>SP_Room_Conversation_Perth_1975-05-08_Philosopher--Drug_Philosophy_---etc.mp3</t>
  </si>
  <si>
    <t>https://audio.iskcondesiretree.com/01_-_Srila_Prabhupada/01_-_Lectures/01_-_English/01_-_Topic_wise/Room_Conversation/SP_Room_Conversation_Perth_1975-05-08_Philosopher--Drug_Philosophy_---etc.mp3</t>
  </si>
  <si>
    <t>Conv_1975-05-08_R1-PERTH.MP3</t>
  </si>
  <si>
    <t>https://audio.iskcondesiretree.com/01_-_Srila_Prabhupada/01_-_Lectures/01_-_English/02_-_Month_wise/05_-_May/08/Conv_1975-05-08_R1-PERTH.MP3</t>
  </si>
  <si>
    <t>MW_PER_1975-05-08_Enlightened_Egoism.mp3</t>
  </si>
  <si>
    <t>https://audio.iskcondesiretree.com/01_-_Srila_Prabhupada/01_-_Lectures/01_-_English/02_-_Month_wise/05_-_May/08/MW_PER_1975-05-08_Enlightened_Egoism.mp3</t>
  </si>
  <si>
    <t>RC_PER_1975-05-08_Philosopher--Drug_Philosophy_etc.mp3</t>
  </si>
  <si>
    <t>https://audio.iskcondesiretree.com/01_-_Srila_Prabhupada/01_-_Lectures/01_-_English/02_-_Month_wise/05_-_May/08/RC_PER_1975-05-08_Philosopher--Drug_Philosophy_etc.mp3</t>
  </si>
  <si>
    <t>Walk_1975-05-08_MW-PERTH.MP3</t>
  </si>
  <si>
    <t>https://audio.iskcondesiretree.com/01_-_Srila_Prabhupada/01_-_Lectures/01_-_English/02_-_Month_wise/05_-_May/08/Walk_1975-05-08_MW-PERTH.MP3</t>
  </si>
  <si>
    <t>SP_Morning_Walk_-_Perth_1975-05-09.MP3</t>
  </si>
  <si>
    <t>https://audio.iskcondesiretree.com/01_-_Srila_Prabhupada/01_-_Lectures/01_-_English/01_-_Topic_wise/Morning_Walk/SP_Morning_Walk_-_Perth_1975-05-09.MP3</t>
  </si>
  <si>
    <t>Walk_1975-05-09_MW-PERTH.MP3</t>
  </si>
  <si>
    <t>https://audio.iskcondesiretree.com/01_-_Srila_Prabhupada/01_-_Lectures/01_-_English/02_-_Month_wise/05_-_May/09/Walk_1975-05-09_MW-PERTH.MP3</t>
  </si>
  <si>
    <t>SP_Morning_Walk_-_Perth_1975-05-10.MP3</t>
  </si>
  <si>
    <t>https://audio.iskcondesiretree.com/01_-_Srila_Prabhupada/01_-_Lectures/01_-_English/01_-_Topic_wise/Morning_Walk/SP_Morning_Walk_-_Perth_1975-05-10.MP3</t>
  </si>
  <si>
    <t>SP_Room_Conversation_Perth_1975-05-10.MP3</t>
  </si>
  <si>
    <t>https://audio.iskcondesiretree.com/01_-_Srila_Prabhupada/01_-_Lectures/01_-_English/01_-_Topic_wise/Room_Conversation/SP_Room_Conversation_Perth_1975-05-10.MP3</t>
  </si>
  <si>
    <t>Conv_1975-05-10_R1-PERTH.MP3</t>
  </si>
  <si>
    <t>https://audio.iskcondesiretree.com/01_-_Srila_Prabhupada/01_-_Lectures/01_-_English/02_-_Month_wise/05_-_May/10/Conv_1975-05-10_R1-PERTH.MP3</t>
  </si>
  <si>
    <t>Walk_1975-05-10_MW-PERTH.MP3</t>
  </si>
  <si>
    <t>https://audio.iskcondesiretree.com/01_-_Srila_Prabhupada/01_-_Lectures/01_-_English/02_-_Month_wise/05_-_May/10/Walk_1975-05-10_MW-PERTH.MP3</t>
  </si>
  <si>
    <t>SP_Morning_Walk_-_Perth_1975-05-11.MP3</t>
  </si>
  <si>
    <t>https://audio.iskcondesiretree.com/01_-_Srila_Prabhupada/01_-_Lectures/01_-_English/01_-_Topic_wise/Morning_Walk/SP_Morning_Walk_-_Perth_1975-05-11.MP3</t>
  </si>
  <si>
    <t>Walk_1975-05-11_MW-PERTH.MP3</t>
  </si>
  <si>
    <t>https://audio.iskcondesiretree.com/01_-_Srila_Prabhupada/01_-_Lectures/01_-_English/02_-_Month_wise/05_-_May/11/Walk_1975-05-11_MW-PERTH.MP3</t>
  </si>
  <si>
    <t>SP_Morning_Walk_-_Perth_1975-05-12.MP3</t>
  </si>
  <si>
    <t>https://audio.iskcondesiretree.com/01_-_Srila_Prabhupada/01_-_Lectures/01_-_English/01_-_Topic_wise/Morning_Walk/SP_Morning_Walk_-_Perth_1975-05-12.MP3</t>
  </si>
  <si>
    <t>SP_Room_Conversation_Perth_1975-05-12_Psychiatrist_and_Indian--etc.mp3</t>
  </si>
  <si>
    <t>https://audio.iskcondesiretree.com/01_-_Srila_Prabhupada/01_-_Lectures/01_-_English/01_-_Topic_wise/Room_Conversation/SP_Room_Conversation_Perth_1975-05-12_Psychiatrist_and_Indian--etc.mp3</t>
  </si>
  <si>
    <t>Conv_1975-05-12_R1-PERTH.MP3</t>
  </si>
  <si>
    <t>https://audio.iskcondesiretree.com/01_-_Srila_Prabhupada/01_-_Lectures/01_-_English/02_-_Month_wise/05_-_May/12/Conv_1975-05-12_R1-PERTH.MP3</t>
  </si>
  <si>
    <t>RC_PER_1975-05-12_Psychiatrist_and_Indian_etc.mp3</t>
  </si>
  <si>
    <t>https://audio.iskcondesiretree.com/01_-_Srila_Prabhupada/01_-_Lectures/01_-_English/02_-_Month_wise/05_-_May/12/RC_PER_1975-05-12_Psychiatrist_and_Indian_etc.mp3</t>
  </si>
  <si>
    <t>Walk_1975-05-12_MW-PERTH.MP3</t>
  </si>
  <si>
    <t>https://audio.iskcondesiretree.com/01_-_Srila_Prabhupada/01_-_Lectures/01_-_English/02_-_Month_wise/05_-_May/12/Walk_1975-05-12_MW-PERTH.MP3</t>
  </si>
  <si>
    <t>SP_Morning_Walk_-_Perth_1975-05-13.MP3</t>
  </si>
  <si>
    <t>https://audio.iskcondesiretree.com/01_-_Srila_Prabhupada/01_-_Lectures/01_-_English/01_-_Topic_wise/Morning_Walk/SP_Morning_Walk_-_Perth_1975-05-13.MP3</t>
  </si>
  <si>
    <t>SP_Room_Conversation_01_Perth_1975-05-13.MP3</t>
  </si>
  <si>
    <t>https://audio.iskcondesiretree.com/01_-_Srila_Prabhupada/01_-_Lectures/01_-_English/01_-_Topic_wise/Room_Conversation/SP_Room_Conversation_01_Perth_1975-05-13.MP3</t>
  </si>
  <si>
    <t>SP_Room_Conversation_02_Perth_1975-05-13.MP3</t>
  </si>
  <si>
    <t>https://audio.iskcondesiretree.com/01_-_Srila_Prabhupada/01_-_Lectures/01_-_English/01_-_Topic_wise/Room_Conversation/SP_Room_Conversation_02_Perth_1975-05-13.MP3</t>
  </si>
  <si>
    <t>SP_Room_Conversation_03_Perth_1975-05-13.MP3</t>
  </si>
  <si>
    <t>https://audio.iskcondesiretree.com/01_-_Srila_Prabhupada/01_-_Lectures/01_-_English/01_-_Topic_wise/Room_Conversation/SP_Room_Conversation_03_Perth_1975-05-13.MP3</t>
  </si>
  <si>
    <t>Conv_1975-05-13_R1-PERTH.MP3</t>
  </si>
  <si>
    <t>https://audio.iskcondesiretree.com/01_-_Srila_Prabhupada/01_-_Lectures/01_-_English/02_-_Month_wise/05_-_May/13/Conv_1975-05-13_R1-PERTH.MP3</t>
  </si>
  <si>
    <t>Conv_1975-05-13_R2-PERTH.MP3</t>
  </si>
  <si>
    <t>https://audio.iskcondesiretree.com/01_-_Srila_Prabhupada/01_-_Lectures/01_-_English/02_-_Month_wise/05_-_May/13/Conv_1975-05-13_R2-PERTH.MP3</t>
  </si>
  <si>
    <t>Conv_1975-05-13_R3-PERTH.MP3</t>
  </si>
  <si>
    <t>https://audio.iskcondesiretree.com/01_-_Srila_Prabhupada/01_-_Lectures/01_-_English/02_-_Month_wise/05_-_May/13/Conv_1975-05-13_R3-PERTH.MP3</t>
  </si>
  <si>
    <t>Walk_1975-05-13_MW-PERTH.MP3</t>
  </si>
  <si>
    <t>https://audio.iskcondesiretree.com/01_-_Srila_Prabhupada/01_-_Lectures/01_-_English/02_-_Month_wise/05_-_May/13/Walk_1975-05-13_MW-PERTH.MP3</t>
  </si>
  <si>
    <t>SP_Morning_Walk_-_Perth_1975-05-14.MP3</t>
  </si>
  <si>
    <t>https://audio.iskcondesiretree.com/01_-_Srila_Prabhupada/01_-_Lectures/01_-_English/01_-_Topic_wise/Morning_Walk/SP_Morning_Walk_-_Perth_1975-05-14.MP3</t>
  </si>
  <si>
    <t>SP_Room_Conversation_Perth_1975-05-14_Geographer--No_Grain-Will_You_Eat_Money.mp3</t>
  </si>
  <si>
    <t>https://audio.iskcondesiretree.com/01_-_Srila_Prabhupada/01_-_Lectures/01_-_English/01_-_Topic_wise/Room_Conversation/SP_Room_Conversation_Perth_1975-05-14_Geographer--No_Grain-Will_You_Eat_Money.mp3</t>
  </si>
  <si>
    <t>RC_PER_1975-05-14_Geographer-No_Grain-Will_You_Eat_Money.mp3</t>
  </si>
  <si>
    <t>https://audio.iskcondesiretree.com/01_-_Srila_Prabhupada/01_-_Lectures/01_-_English/02_-_Month_wise/05_-_May/14/RC_PER_1975-05-14_Geographer-No_Grain-Will_You_Eat_Money.mp3</t>
  </si>
  <si>
    <t>Walk_1975-05-14_MW-PERTH.MP3</t>
  </si>
  <si>
    <t>https://audio.iskcondesiretree.com/01_-_Srila_Prabhupada/01_-_Lectures/01_-_English/02_-_Month_wise/05_-_May/14/Walk_1975-05-14_MW-PERTH.MP3</t>
  </si>
  <si>
    <t>SP_Morning_Walk_-_Perth_1975-05-15.MP3</t>
  </si>
  <si>
    <t>https://audio.iskcondesiretree.com/01_-_Srila_Prabhupada/01_-_Lectures/01_-_English/01_-_Topic_wise/Morning_Walk/SP_Morning_Walk_-_Perth_1975-05-15.MP3</t>
  </si>
  <si>
    <t>Walk_1975-05-15_MW-PERTH.MP3</t>
  </si>
  <si>
    <t>https://audio.iskcondesiretree.com/01_-_Srila_Prabhupada/01_-_Lectures/01_-_English/02_-_Month_wise/05_-_May/15/Walk_1975-05-15_MW-PERTH.MP3</t>
  </si>
  <si>
    <t>SP_Morning_Walk_-_Perth_1975-05-16.MP3</t>
  </si>
  <si>
    <t>https://audio.iskcondesiretree.com/01_-_Srila_Prabhupada/01_-_Lectures/01_-_English/01_-_Topic_wise/Morning_Walk/SP_Morning_Walk_-_Perth_1975-05-16.MP3</t>
  </si>
  <si>
    <t>SP_Room_Conversation_01_Perth_1975-05-16.MP3</t>
  </si>
  <si>
    <t>https://audio.iskcondesiretree.com/01_-_Srila_Prabhupada/01_-_Lectures/01_-_English/01_-_Topic_wise/Room_Conversation/SP_Room_Conversation_01_Perth_1975-05-16.MP3</t>
  </si>
  <si>
    <t>SP_Room_Conversation_Perth_1975-05-16_Alcohol_%26_Drug_Hospital--Send_All--etc.mp3</t>
  </si>
  <si>
    <t>https://audio.iskcondesiretree.com/01_-_Srila_Prabhupada/01_-_Lectures/01_-_English/01_-_Topic_wise/Room_Conversation/SP_Room_Conversation_Perth_1975-05-16_Alcohol_%26_Drug_Hospital--Send_All--etc.mp3</t>
  </si>
  <si>
    <t>Conv_1975-05-16_R1-PERTH.MP3</t>
  </si>
  <si>
    <t>https://audio.iskcondesiretree.com/01_-_Srila_Prabhupada/01_-_Lectures/01_-_English/02_-_Month_wise/05_-_May/16/Conv_1975-05-16_R1-PERTH.MP3</t>
  </si>
  <si>
    <t>Conv_1975-05-16_R2-PERTH.MP3</t>
  </si>
  <si>
    <t>https://audio.iskcondesiretree.com/01_-_Srila_Prabhupada/01_-_Lectures/01_-_English/02_-_Month_wise/05_-_May/16/Conv_1975-05-16_R2-PERTH.MP3</t>
  </si>
  <si>
    <t>RC_PER_1975-05-16_Alcohol_%26_Drug_Hospital_Send_All_etc.mp3</t>
  </si>
  <si>
    <t>https://audio.iskcondesiretree.com/01_-_Srila_Prabhupada/01_-_Lectures/01_-_English/02_-_Month_wise/05_-_May/16/RC_PER_1975-05-16_Alcohol_%26_Drug_Hospital_Send_All_etc.mp3</t>
  </si>
  <si>
    <t>Walk_1975-05-16_MW-PERTH.MP3</t>
  </si>
  <si>
    <t>https://audio.iskcondesiretree.com/01_-_Srila_Prabhupada/01_-_Lectures/01_-_English/02_-_Month_wise/05_-_May/16/Walk_1975-05-16_MW-PERTH.MP3</t>
  </si>
  <si>
    <t>SP_Morning_Walk_-_Perth_1975-05-17.MP3</t>
  </si>
  <si>
    <t>https://audio.iskcondesiretree.com/01_-_Srila_Prabhupada/01_-_Lectures/01_-_English/01_-_Topic_wise/Morning_Walk/SP_Morning_Walk_-_Perth_1975-05-17.MP3</t>
  </si>
  <si>
    <t>SP_Room_Converstion_01_Perth_1975-05-17.MP3</t>
  </si>
  <si>
    <t>https://audio.iskcondesiretree.com/01_-_Srila_Prabhupada/01_-_Lectures/01_-_English/01_-_Topic_wise/Room_Conversation/SP_Room_Converstion_01_Perth_1975-05-17.MP3</t>
  </si>
  <si>
    <t>Conv_1975-05-17_R1-PERTH.MP3</t>
  </si>
  <si>
    <t>https://audio.iskcondesiretree.com/01_-_Srila_Prabhupada/01_-_Lectures/01_-_English/02_-_Month_wise/05_-_May/17/Conv_1975-05-17_R1-PERTH.MP3</t>
  </si>
  <si>
    <t>Walk_1975-05-17_MW-PERTH.MP3</t>
  </si>
  <si>
    <t>https://audio.iskcondesiretree.com/01_-_Srila_Prabhupada/01_-_Lectures/01_-_English/02_-_Month_wise/05_-_May/17/Walk_1975-05-17_MW-PERTH.MP3</t>
  </si>
  <si>
    <t>SP_Interview_Melbourne_1975-05-19_Press--No_Culture-Just_Money.mp3</t>
  </si>
  <si>
    <t>https://audio.iskcondesiretree.com/01_-_Srila_Prabhupada/01_-_Lectures/01_-_English/01_-_Topic_wise/Interview/SP_Interview_Melbourne_1975-05-19_Press--No_Culture-Just_Money.mp3</t>
  </si>
  <si>
    <t>SP_Morning_Walk_-_Melbourne_1975-05-19_The_Envious_and_the_Merciful.mp3</t>
  </si>
  <si>
    <t>https://audio.iskcondesiretree.com/01_-_Srila_Prabhupada/01_-_Lectures/01_-_English/01_-_Topic_wise/Morning_Walk/SP_Morning_Walk_-_Melbourne_1975-05-19_The_Envious_and_the_Merciful.mp3</t>
  </si>
  <si>
    <t>SP_Room_Conversation_Melbourne_1975-05-19_Mystic_Concoction_vs_Spiritual_Vision.mp3</t>
  </si>
  <si>
    <t>https://audio.iskcondesiretree.com/01_-_Srila_Prabhupada/01_-_Lectures/01_-_English/01_-_Topic_wise/Room_Conversation/SP_Room_Conversation_Melbourne_1975-05-19_Mystic_Concoction_vs_Spiritual_Vision.mp3</t>
  </si>
  <si>
    <t>SP_Room_Conversation_Melbourne_1975-05-19_When_Looking_Inward_is_Looking_Outward.mp3</t>
  </si>
  <si>
    <t>https://audio.iskcondesiretree.com/01_-_Srila_Prabhupada/01_-_Lectures/01_-_English/01_-_Topic_wise/Room_Conversation/SP_Room_Conversation_Melbourne_1975-05-19_When_Looking_Inward_is_Looking_Outward.mp3</t>
  </si>
  <si>
    <t>SP_Room_Converstion_01_Melbourne_1975-05-19.MP3</t>
  </si>
  <si>
    <t>https://audio.iskcondesiretree.com/01_-_Srila_Prabhupada/01_-_Lectures/01_-_English/01_-_Topic_wise/Room_Conversation/SP_Room_Converstion_01_Melbourne_1975-05-19.MP3</t>
  </si>
  <si>
    <t>SP_Lecture_Melbourne_1975-05-19_We_Are_Doing_Our_Bit_to_Make--etc.mp3</t>
  </si>
  <si>
    <t>https://audio.iskcondesiretree.com/01_-_Srila_Prabhupada/01_-_Lectures/01_-_English/01_-_Topic_wise/Various/SP_Lecture_Melbourne_1975-05-19_We_Are_Doing_Our_Bit_to_Make--etc.mp3</t>
  </si>
  <si>
    <t>Conv_1975-05-19_R1-MELBOURNE.MP3</t>
  </si>
  <si>
    <t>https://audio.iskcondesiretree.com/01_-_Srila_Prabhupada/01_-_Lectures/01_-_English/02_-_Month_wise/05_-_May/19/Conv_1975-05-19_R1-MELBOURNE.MP3</t>
  </si>
  <si>
    <t>Conv_1975-05-19_R2-MELBOURNE.MP3</t>
  </si>
  <si>
    <t>https://audio.iskcondesiretree.com/01_-_Srila_Prabhupada/01_-_Lectures/01_-_English/02_-_Month_wise/05_-_May/19/Conv_1975-05-19_R2-MELBOURNE.MP3</t>
  </si>
  <si>
    <t>Interv_MEL_1975-05-19_Press-No_Culture-Just_Money.mp3</t>
  </si>
  <si>
    <t>https://audio.iskcondesiretree.com/01_-_Srila_Prabhupada/01_-_Lectures/01_-_English/02_-_Month_wise/05_-_May/19/Interv_MEL_1975-05-19_Press-No_Culture-Just_Money.mp3</t>
  </si>
  <si>
    <t>Lect_MEL_1975-05-19_We_Are_Doing_Our_Bit_to_Make_etc.mp3</t>
  </si>
  <si>
    <t>https://audio.iskcondesiretree.com/01_-_Srila_Prabhupada/01_-_Lectures/01_-_English/02_-_Month_wise/05_-_May/19/Lect_MEL_1975-05-19_We_Are_Doing_Our_Bit_to_Make_etc.mp3</t>
  </si>
  <si>
    <t>MW_MEL_1975-05-19_The_Envious_and_the_Merciful.mp3</t>
  </si>
  <si>
    <t>https://audio.iskcondesiretree.com/01_-_Srila_Prabhupada/01_-_Lectures/01_-_English/02_-_Month_wise/05_-_May/19/MW_MEL_1975-05-19_The_Envious_and_the_Merciful.mp3</t>
  </si>
  <si>
    <t>RC_MEL_1975-05-19_Mystic_Concoction_vs_Spiritual_Vision.mp3</t>
  </si>
  <si>
    <t>https://audio.iskcondesiretree.com/01_-_Srila_Prabhupada/01_-_Lectures/01_-_English/02_-_Month_wise/05_-_May/19/RC_MEL_1975-05-19_Mystic_Concoction_vs_Spiritual_Vision.mp3</t>
  </si>
  <si>
    <t>RC_MEL_1975-05-19_When_Looking_Inward_is_Looking_Outward.mp3</t>
  </si>
  <si>
    <t>https://audio.iskcondesiretree.com/01_-_Srila_Prabhupada/01_-_Lectures/01_-_English/02_-_Month_wise/05_-_May/19/RC_MEL_1975-05-19_When_Looking_Inward_is_Looking_Outward.mp3</t>
  </si>
  <si>
    <t>SB-Lecture_1975-05-19_SB-MELBOURNE.MP3</t>
  </si>
  <si>
    <t>https://audio.iskcondesiretree.com/01_-_Srila_Prabhupada/01_-_Lectures/01_-_English/02_-_Month_wise/05_-_May/19/SB-Lecture_1975-05-19_SB-MELBOURNE.MP3</t>
  </si>
  <si>
    <t>Walk_1975-05-19_MW-MELBOURNE.MP3</t>
  </si>
  <si>
    <t>https://audio.iskcondesiretree.com/01_-_Srila_Prabhupada/01_-_Lectures/01_-_English/02_-_Month_wise/05_-_May/19/Walk_1975-05-19_MW-MELBOURNE.MP3</t>
  </si>
  <si>
    <t>SP_Morning_Walk_-_Melbourne_1975-05-20.MP3</t>
  </si>
  <si>
    <t>https://audio.iskcondesiretree.com/01_-_Srila_Prabhupada/01_-_Lectures/01_-_English/01_-_Topic_wise/Morning_Walk/SP_Morning_Walk_-_Melbourne_1975-05-20.MP3</t>
  </si>
  <si>
    <t>SP_Room_Converstion_01_Melbourne_1975-05-20.MP3</t>
  </si>
  <si>
    <t>https://audio.iskcondesiretree.com/01_-_Srila_Prabhupada/01_-_Lectures/01_-_English/01_-_Topic_wise/Room_Conversation/SP_Room_Converstion_01_Melbourne_1975-05-20.MP3</t>
  </si>
  <si>
    <t>SP_SB_6-01-01_Melbourne_1975-05-20_What_to_Do_About_Death.mp3</t>
  </si>
  <si>
    <t>https://audio.iskcondesiretree.com/01_-_Srila_Prabhupada/01_-_Lectures/01_-_English/01_-_Topic_wise/Srimad_Bhagavatam/Canto-06/SP_SB_6-01-01_Melbourne_1975-05-20_What_to_Do_About_Death.mp3</t>
  </si>
  <si>
    <t>Conv_1975-05-20_R1-MELBOURNE.MP3</t>
  </si>
  <si>
    <t>https://audio.iskcondesiretree.com/01_-_Srila_Prabhupada/01_-_Lectures/01_-_English/02_-_Month_wise/05_-_May/20/Conv_1975-05-20_R1-MELBOURNE.MP3</t>
  </si>
  <si>
    <t>SB_6-01-01_MEL_1975-05-20_What_to_Do_About_Death.mp3</t>
  </si>
  <si>
    <t>https://audio.iskcondesiretree.com/01_-_Srila_Prabhupada/01_-_Lectures/01_-_English/02_-_Month_wise/05_-_May/20/SB_6-01-01_MEL_1975-05-20_What_to_Do_About_Death.mp3</t>
  </si>
  <si>
    <t>SB%E2%80%9306-01-01%E2%80%9304_1975-05-20_SB-MELBOURNE.MP3</t>
  </si>
  <si>
    <r>
      <rPr>
        <rFont val="&quot;Aptos Narrow&quot;, sans-serif"/>
        <color rgb="FF1155CC"/>
        <sz val="11.0"/>
        <u/>
      </rPr>
      <t>https://audio.iskcondesiretree.com/01_-_Srila_Prabhupada/01_-_Lectures/01_-_English/02_-_Month_wise/05_-_May/20/SB%E2%80%9306-01-01%E2%80%9304_1975-05-20_SB-MELBOURNE.MP3</t>
    </r>
  </si>
  <si>
    <t>Walk_1975-05-20_MW-MELBOURNE.MP3</t>
  </si>
  <si>
    <t>https://audio.iskcondesiretree.com/01_-_Srila_Prabhupada/01_-_Lectures/01_-_English/02_-_Month_wise/05_-_May/20/Walk_1975-05-20_MW-MELBOURNE.MP3</t>
  </si>
  <si>
    <t>SP_Morning_Walk_-_Melbourne_1975-05-21.MP3</t>
  </si>
  <si>
    <t>https://audio.iskcondesiretree.com/01_-_Srila_Prabhupada/01_-_Lectures/01_-_English/01_-_Topic_wise/Morning_Walk/SP_Morning_Walk_-_Melbourne_1975-05-21.MP3</t>
  </si>
  <si>
    <t>SP_Room_Conversation_Melbourne_1975-05-21_Director_of_Research--Vox--etc.mp3</t>
  </si>
  <si>
    <t>https://audio.iskcondesiretree.com/01_-_Srila_Prabhupada/01_-_Lectures/01_-_English/01_-_Topic_wise/Room_Conversation/SP_Room_Conversation_Melbourne_1975-05-21_Director_of_Research--Vox--etc.mp3</t>
  </si>
  <si>
    <t>SP_SB_6-01-01_Melbourne_1975-05-21_Serve_the_Divine_or_Designations.mp3</t>
  </si>
  <si>
    <t>https://audio.iskcondesiretree.com/01_-_Srila_Prabhupada/01_-_Lectures/01_-_English/01_-_Topic_wise/Srimad_Bhagavatam/Canto-06/SP_SB_6-01-01_Melbourne_1975-05-21_Serve_the_Divine_or_Designations.mp3</t>
  </si>
  <si>
    <t>Conv_1975-05-21_R1-MELBOURNE.MP3</t>
  </si>
  <si>
    <t>https://audio.iskcondesiretree.com/01_-_Srila_Prabhupada/01_-_Lectures/01_-_English/02_-_Month_wise/05_-_May/21/Conv_1975-05-21_R1-MELBOURNE.MP3</t>
  </si>
  <si>
    <t>RC_MEL_1975-05-21_Director_of_Research_Vox_etc.mp3</t>
  </si>
  <si>
    <t>https://audio.iskcondesiretree.com/01_-_Srila_Prabhupada/01_-_Lectures/01_-_English/02_-_Month_wise/05_-_May/21/RC_MEL_1975-05-21_Director_of_Research_Vox_etc.mp3</t>
  </si>
  <si>
    <t>SB-06-01-01_1975-05-21_SB-MELBOURNE.MP3</t>
  </si>
  <si>
    <t>https://audio.iskcondesiretree.com/01_-_Srila_Prabhupada/01_-_Lectures/01_-_English/02_-_Month_wise/05_-_May/21/SB-06-01-01_1975-05-21_SB-MELBOURNE.MP3</t>
  </si>
  <si>
    <t>SB_6-01-01_MEL_1975-05-21_Serve_the_Divine_or_Designations.mp3</t>
  </si>
  <si>
    <t>https://audio.iskcondesiretree.com/01_-_Srila_Prabhupada/01_-_Lectures/01_-_English/02_-_Month_wise/05_-_May/21/SB_6-01-01_MEL_1975-05-21_Serve_the_Divine_or_Designations.mp3</t>
  </si>
  <si>
    <t>Walk_1975-05-21_MW-MELBOURNE.MP3</t>
  </si>
  <si>
    <t>https://audio.iskcondesiretree.com/01_-_Srila_Prabhupada/01_-_Lectures/01_-_English/02_-_Month_wise/05_-_May/21/Walk_1975-05-21_MW-MELBOURNE.MP3</t>
  </si>
  <si>
    <t>SP_Morning_Walk_-_Melbourne_1975-05-22.MP3</t>
  </si>
  <si>
    <t>https://audio.iskcondesiretree.com/01_-_Srila_Prabhupada/01_-_Lectures/01_-_English/01_-_Topic_wise/Morning_Walk/SP_Morning_Walk_-_Melbourne_1975-05-22.MP3</t>
  </si>
  <si>
    <t>SP_Room_Conversation_Melbourne_1975-05-22_Lawyers--If_One_Doesn%27t_Know_What--etc.mp3</t>
  </si>
  <si>
    <t>https://audio.iskcondesiretree.com/01_-_Srila_Prabhupada/01_-_Lectures/01_-_English/01_-_Topic_wise/Room_Conversation/SP_Room_Conversation_Melbourne_1975-05-22_Lawyers--If_One_Doesn%27t_Know_What--etc.mp3</t>
  </si>
  <si>
    <t>SP_Room_Converstion_01_Melbourne_1975-05-22.MP3</t>
  </si>
  <si>
    <t>https://audio.iskcondesiretree.com/01_-_Srila_Prabhupada/01_-_Lectures/01_-_English/01_-_Topic_wise/Room_Conversation/SP_Room_Converstion_01_Melbourne_1975-05-22.MP3</t>
  </si>
  <si>
    <t>SP_SB_6-01-01-02_Melbourne_1975-05-22_Hog%27s_Life-_Eat_Any_Damned_Food.MP3</t>
  </si>
  <si>
    <t>https://audio.iskcondesiretree.com/01_-_Srila_Prabhupada/01_-_Lectures/01_-_English/01_-_Topic_wise/Srimad_Bhagavatam/Canto-06/SP_SB_6-01-01-02_Melbourne_1975-05-22_Hog%27s_Life-_Eat_Any_Damned_Food.MP3</t>
  </si>
  <si>
    <t>SP_SB_6-01-01_Melbourne_1975-05-22_Hog%27s_Life-_Eat_Any_Damned_Food.mp3</t>
  </si>
  <si>
    <t>https://audio.iskcondesiretree.com/01_-_Srila_Prabhupada/01_-_Lectures/01_-_English/01_-_Topic_wise/Srimad_Bhagavatam/Canto-06/SP_SB_6-01-01_Melbourne_1975-05-22_Hog%27s_Life-_Eat_Any_Damned_Food.mp3</t>
  </si>
  <si>
    <t>Conv_1975-05-22_R1-MELBOURNE.MP3</t>
  </si>
  <si>
    <t>https://audio.iskcondesiretree.com/01_-_Srila_Prabhupada/01_-_Lectures/01_-_English/02_-_Month_wise/05_-_May/22/Conv_1975-05-22_R1-MELBOURNE.MP3</t>
  </si>
  <si>
    <t>Conv_1975-05-22_R2-MELBOURNE.MP3</t>
  </si>
  <si>
    <t>https://audio.iskcondesiretree.com/01_-_Srila_Prabhupada/01_-_Lectures/01_-_English/02_-_Month_wise/05_-_May/22/Conv_1975-05-22_R2-MELBOURNE.MP3</t>
  </si>
  <si>
    <t>RC_MEL_1975-05-22_Lawyers-If_One_Doesn%27t_Know_What_etc.mp3</t>
  </si>
  <si>
    <t>https://audio.iskcondesiretree.com/01_-_Srila_Prabhupada/01_-_Lectures/01_-_English/02_-_Month_wise/05_-_May/22/RC_MEL_1975-05-22_Lawyers-If_One_Doesn%27t_Know_What_etc.mp3</t>
  </si>
  <si>
    <t>SB_6-01-01_MEL_1975-05-22_Hog%27s_Life_Eat_Any_Damned_Food.mp3</t>
  </si>
  <si>
    <t>https://audio.iskcondesiretree.com/01_-_Srila_Prabhupada/01_-_Lectures/01_-_English/02_-_Month_wise/05_-_May/22/SB_6-01-01_MEL_1975-05-22_Hog%27s_Life_Eat_Any_Damned_Food.mp3</t>
  </si>
  <si>
    <t>SB%E2%80%9306-01-01%E2%80%9302_1975-05-22_SB-MELBOURNE.MP3</t>
  </si>
  <si>
    <r>
      <rPr>
        <rFont val="&quot;Aptos Narrow&quot;, sans-serif"/>
        <color rgb="FF1155CC"/>
        <sz val="11.0"/>
        <u/>
      </rPr>
      <t>https://audio.iskcondesiretree.com/01_-_Srila_Prabhupada/01_-_Lectures/01_-_English/02_-_Month_wise/05_-_May/22/SB%E2%80%9306-01-01%E2%80%9302_1975-05-22_SB-MELBOURNE.MP3</t>
    </r>
  </si>
  <si>
    <t>Walk_1975-05-22_MW-MELBOURNE.MP3</t>
  </si>
  <si>
    <t>https://audio.iskcondesiretree.com/01_-_Srila_Prabhupada/01_-_Lectures/01_-_English/02_-_Month_wise/05_-_May/22/Walk_1975-05-22_MW-MELBOURNE.MP3</t>
  </si>
  <si>
    <t>SP_Morning_Walk_-_Melbourne_1975-05-23_The_One_Way_to_Rectify_Rascals.mp3</t>
  </si>
  <si>
    <t>https://audio.iskcondesiretree.com/01_-_Srila_Prabhupada/01_-_Lectures/01_-_English/01_-_Topic_wise/Morning_Walk/SP_Morning_Walk_-_Melbourne_1975-05-23_The_One_Way_to_Rectify_Rascals.mp3</t>
  </si>
  <si>
    <t>MW_MEL_1975-05-23_The_One_Way_to_Rectify_Rascals.mp3</t>
  </si>
  <si>
    <t>https://audio.iskcondesiretree.com/01_-_Srila_Prabhupada/01_-_Lectures/01_-_English/02_-_Month_wise/05_-_May/23/MW_MEL_1975-05-23_The_One_Way_to_Rectify_Rascals.mp3</t>
  </si>
  <si>
    <t>Walk_1975-05-23_MW-MELBOURNE.MP3</t>
  </si>
  <si>
    <t>https://audio.iskcondesiretree.com/01_-_Srila_Prabhupada/01_-_Lectures/01_-_English/02_-_Month_wise/05_-_May/23/Walk_1975-05-23_MW-MELBOURNE.MP3</t>
  </si>
  <si>
    <t>SP_BG_07-01_Fiji_1975-05-24_The_Only_Business_of_the_Human_Being.mp3</t>
  </si>
  <si>
    <t>https://audio.iskcondesiretree.com/01_-_Srila_Prabhupada/01_-_Lectures/01_-_English/01_-_Topic_wise/Bhagavad_Gita/Chapter-07/SP_BG_07-01_Fiji_1975-05-24_The_Only_Business_of_the_Human_Being.mp3</t>
  </si>
  <si>
    <t>Bg-07-01_1975-05-24_BG-FIJI.MP3</t>
  </si>
  <si>
    <t>https://audio.iskcondesiretree.com/01_-_Srila_Prabhupada/01_-_Lectures/01_-_English/02_-_Month_wise/05_-_May/24/Bg-07-01_1975-05-24_BG-FIJI.MP3</t>
  </si>
  <si>
    <t>Bg_07-01_FIJ_1975-05-24_The_Only_Business_of_the_Human_Being.mp3</t>
  </si>
  <si>
    <t>https://audio.iskcondesiretree.com/01_-_Srila_Prabhupada/01_-_Lectures/01_-_English/02_-_Month_wise/05_-_May/24/Bg_07-01_FIJ_1975-05-24_The_Only_Business_of_the_Human_Being.mp3</t>
  </si>
  <si>
    <t>SP_Arrival_Lecture_Honolulu_1975-05-25.MP3</t>
  </si>
  <si>
    <t>https://audio.iskcondesiretree.com/01_-_Srila_Prabhupada/01_-_Lectures/01_-_English/01_-_Topic_wise/Arrival_Address/SP_Arrival_Lecture_Honolulu_1975-05-25.MP3</t>
  </si>
  <si>
    <t>SP_Interview_Fiji_1975-05-25_Radio--You_Can_Make_Whole_World_India.mp3</t>
  </si>
  <si>
    <t>https://audio.iskcondesiretree.com/01_-_Srila_Prabhupada/01_-_Lectures/01_-_English/01_-_Topic_wise/Interview/SP_Interview_Fiji_1975-05-25_Radio--You_Can_Make_Whole_World_India.mp3</t>
  </si>
  <si>
    <t>SP_Lecture_Honolulu_1975-05-25_Become_a_Devotee-God_Will_Take_Special_Care.mp3</t>
  </si>
  <si>
    <t>https://audio.iskcondesiretree.com/01_-_Srila_Prabhupada/01_-_Lectures/01_-_English/01_-_Topic_wise/Various/SP_Lecture_Honolulu_1975-05-25_Become_a_Devotee-God_Will_Take_Special_Care.mp3</t>
  </si>
  <si>
    <t>Arrival_1975-05-25_AR-HONOLULU.MP3</t>
  </si>
  <si>
    <t>https://audio.iskcondesiretree.com/01_-_Srila_Prabhupada/01_-_Lectures/01_-_English/02_-_Month_wise/05_-_May/25/Arrival_1975-05-25_AR-HONOLULU.MP3</t>
  </si>
  <si>
    <t>Interv_FIJ_1975-05-25_Radio-You_Can_Make_Whole_World_India.mp3</t>
  </si>
  <si>
    <t>https://audio.iskcondesiretree.com/01_-_Srila_Prabhupada/01_-_Lectures/01_-_English/02_-_Month_wise/05_-_May/25/Interv_FIJ_1975-05-25_Radio-You_Can_Make_Whole_World_India.mp3</t>
  </si>
  <si>
    <t>Interview_1975-05-25_IV-FIJI.MP3</t>
  </si>
  <si>
    <t>https://audio.iskcondesiretree.com/01_-_Srila_Prabhupada/01_-_Lectures/01_-_English/02_-_Month_wise/05_-_May/25/Interview_1975-05-25_IV-FIJI.MP3</t>
  </si>
  <si>
    <t>Lect_HON_1975-05-25_Become_a_Devotee-God_Will_Take_Special_Care.mp3</t>
  </si>
  <si>
    <t>https://audio.iskcondesiretree.com/01_-_Srila_Prabhupada/01_-_Lectures/01_-_English/02_-_Month_wise/05_-_May/25/Lect_HON_1975-05-25_Become_a_Devotee-God_Will_Take_Special_Care.mp3</t>
  </si>
  <si>
    <t>Lecture_1975-05-25_LE-HONOLULU.MP3</t>
  </si>
  <si>
    <t>https://audio.iskcondesiretree.com/01_-_Srila_Prabhupada/01_-_Lectures/01_-_English/02_-_Month_wise/05_-_May/25/Lecture_1975-05-25_LE-HONOLULU.MP3</t>
  </si>
  <si>
    <t>SP_Morning_Walk_-_Honolulu_1975-05-27.MP3</t>
  </si>
  <si>
    <t>https://audio.iskcondesiretree.com/01_-_Srila_Prabhupada/01_-_Lectures/01_-_English/01_-_Topic_wise/Morning_Walk/SP_Morning_Walk_-_Honolulu_1975-05-27.MP3</t>
  </si>
  <si>
    <t>Walk_1975-05-27_MW-HONOLULU.MP3</t>
  </si>
  <si>
    <t>https://audio.iskcondesiretree.com/01_-_Srila_Prabhupada/01_-_Lectures/01_-_English/02_-_Month_wise/05_-_May/27/Walk_1975-05-27_MW-HONOLULU.MP3</t>
  </si>
  <si>
    <t>SP_Morning_Walk_-_Honolulu_1975-05-28.MP3</t>
  </si>
  <si>
    <t>https://audio.iskcondesiretree.com/01_-_Srila_Prabhupada/01_-_Lectures/01_-_English/01_-_Topic_wise/Morning_Walk/SP_Morning_Walk_-_Honolulu_1975-05-28.MP3</t>
  </si>
  <si>
    <t>Walk_1975-05-28_MW-HONOLULU.MP3</t>
  </si>
  <si>
    <t>https://audio.iskcondesiretree.com/01_-_Srila_Prabhupada/01_-_Lectures/01_-_English/02_-_Month_wise/05_-_May/28/Walk_1975-05-28_MW-HONOLULU.MP3</t>
  </si>
  <si>
    <t>SP_Morning_Walk_-_Honolulu_1975-05-29.MP3</t>
  </si>
  <si>
    <t>https://audio.iskcondesiretree.com/01_-_Srila_Prabhupada/01_-_Lectures/01_-_English/01_-_Topic_wise/Morning_Walk/SP_Morning_Walk_-_Honolulu_1975-05-29.MP3</t>
  </si>
  <si>
    <t>Walk_1975-05-29_MW-HONOLULU.MP3</t>
  </si>
  <si>
    <t>https://audio.iskcondesiretree.com/01_-_Srila_Prabhupada/01_-_Lectures/01_-_English/02_-_Month_wise/05_-_May/29/Walk_1975-05-29_MW-HONOLULU.MP3</t>
  </si>
  <si>
    <t>SP_Morning_Walk_-_Honolulu_1975-05-31.MP3</t>
  </si>
  <si>
    <t>https://audio.iskcondesiretree.com/01_-_Srila_Prabhupada/01_-_Lectures/01_-_English/01_-_Topic_wise/Morning_Walk/SP_Morning_Walk_-_Honolulu_1975-05-31.MP3</t>
  </si>
  <si>
    <t>Walk_1975-05-31_MW-HONOLULU.MP3</t>
  </si>
  <si>
    <t>https://audio.iskcondesiretree.com/01_-_Srila_Prabhupada/01_-_Lectures/01_-_English/02_-_Month_wise/05_-_May/31/Walk_1975-05-31_MW-HONOLULU.MP3</t>
  </si>
  <si>
    <t>SP_SB_3-28-01_Honolulu_1975-06-01_The_Path_to_Permanence.mp3</t>
  </si>
  <si>
    <t>https://audio.iskcondesiretree.com/01_-_Srila_Prabhupada/01_-_Lectures/01_-_English/01_-_Topic_wise/Srimad_Bhagavatam/Canto-03/SP_SB_3-28-01_Honolulu_1975-06-01_The_Path_to_Permanence.mp3</t>
  </si>
  <si>
    <t>SB-03-28-01_1975-06-01_SB-HONOLULU.MP3</t>
  </si>
  <si>
    <t>https://audio.iskcondesiretree.com/01_-_Srila_Prabhupada/01_-_Lectures/01_-_English/02_-_Month_wise/06_-_June/01/SB-03-28-01_1975-06-01_SB-HONOLULU.MP3</t>
  </si>
  <si>
    <t>SB_3-28-01_HON_1975-06-01_The_Path_to_Permanence.mp3</t>
  </si>
  <si>
    <t>https://audio.iskcondesiretree.com/01_-_Srila_Prabhupada/01_-_Lectures/01_-_English/02_-_Month_wise/06_-_June/01/SB_3-28-01_HON_1975-06-01_The_Path_to_Permanence.mp3</t>
  </si>
  <si>
    <t>SP_Morning_Walk_-_Honolulu_1975-06-02.MP3</t>
  </si>
  <si>
    <t>https://audio.iskcondesiretree.com/01_-_Srila_Prabhupada/01_-_Lectures/01_-_English/01_-_Topic_wise/Morning_Walk/SP_Morning_Walk_-_Honolulu_1975-06-02.MP3</t>
  </si>
  <si>
    <t>Walk_1975-06-02_MW-HONOLULU.MP3</t>
  </si>
  <si>
    <t>https://audio.iskcondesiretree.com/01_-_Srila_Prabhupada/01_-_Lectures/01_-_English/02_-_Month_wise/06_-_June/02/Walk_1975-06-02_MW-HONOLULU.MP3</t>
  </si>
  <si>
    <t>SP_Lecture_Honolulu_1975-06-03_Initiation_of_Ambarisa_Dasa.MP3</t>
  </si>
  <si>
    <t>https://audio.iskcondesiretree.com/01_-_Srila_Prabhupada/01_-_Lectures/01_-_English/01_-_Topic_wise/Various/SP_Lecture_Honolulu_1975-06-03_Initiation_of_Ambarisa_Dasa.MP3</t>
  </si>
  <si>
    <t>Initiations_1975-06-03_IN-HONOLULU.MP3</t>
  </si>
  <si>
    <t>https://audio.iskcondesiretree.com/01_-_Srila_Prabhupada/01_-_Lectures/01_-_English/02_-_Month_wise/06_-_June/03/Initiations_1975-06-03_IN-HONOLULU.MP3</t>
  </si>
  <si>
    <t>SP_Morning_Walk_-_Honolulu_1975-06-04.MP3</t>
  </si>
  <si>
    <t>https://audio.iskcondesiretree.com/01_-_Srila_Prabhupada/01_-_Lectures/01_-_English/01_-_Topic_wise/Morning_Walk/SP_Morning_Walk_-_Honolulu_1975-06-04.MP3</t>
  </si>
  <si>
    <t>Walk_1975-06-04_MW-HONOLULU.MP3</t>
  </si>
  <si>
    <t>https://audio.iskcondesiretree.com/01_-_Srila_Prabhupada/01_-_Lectures/01_-_English/02_-_Month_wise/06_-_June/04/Walk_1975-06-04_MW-HONOLULU.MP3</t>
  </si>
  <si>
    <t>SP_Morning_Walk_-_Hawaii_1975-06-07_Human_Sheep_and_Jackals.mp3</t>
  </si>
  <si>
    <t>https://audio.iskcondesiretree.com/01_-_Srila_Prabhupada/01_-_Lectures/01_-_English/01_-_Topic_wise/Morning_Walk/SP_Morning_Walk_-_Hawaii_1975-06-07_Human_Sheep_and_Jackals.mp3</t>
  </si>
  <si>
    <t>SP_Room_Conversation_Hawaii_1975-06-07_Yogi_Bhajan--Looking_Toward_Unity_of_Men.mp3</t>
  </si>
  <si>
    <t>https://audio.iskcondesiretree.com/01_-_Srila_Prabhupada/01_-_Lectures/01_-_English/01_-_Topic_wise/Room_Conversation/SP_Room_Conversation_Hawaii_1975-06-07_Yogi_Bhajan--Looking_Toward_Unity_of_Men.mp3</t>
  </si>
  <si>
    <t>Conv_1975-06-07_R1-HONOLULU.MP3</t>
  </si>
  <si>
    <t>https://audio.iskcondesiretree.com/01_-_Srila_Prabhupada/01_-_Lectures/01_-_English/02_-_Month_wise/06_-_June/07/Conv_1975-06-07_R1-HONOLULU.MP3</t>
  </si>
  <si>
    <t>MW_HAW_1975-06-07_Human_Sheep_and_Jackals.mp3</t>
  </si>
  <si>
    <t>https://audio.iskcondesiretree.com/01_-_Srila_Prabhupada/01_-_Lectures/01_-_English/02_-_Month_wise/06_-_June/07/MW_HAW_1975-06-07_Human_Sheep_and_Jackals.mp3</t>
  </si>
  <si>
    <t>RC_HAW_1975-06-07_Yogi_Bhajan--Looking_Toward_Unity_of_Men.mp3</t>
  </si>
  <si>
    <t>https://audio.iskcondesiretree.com/01_-_Srila_Prabhupada/01_-_Lectures/01_-_English/02_-_Month_wise/06_-_June/07/RC_HAW_1975-06-07_Yogi_Bhajan--Looking_Toward_Unity_of_Men.mp3</t>
  </si>
  <si>
    <t>Walk_1975-06-07_MW-HONOLULU.MP3</t>
  </si>
  <si>
    <t>https://audio.iskcondesiretree.com/01_-_Srila_Prabhupada/01_-_Lectures/01_-_English/02_-_Month_wise/06_-_June/07/Walk_1975-06-07_MW-HONOLULU.MP3</t>
  </si>
  <si>
    <t>SP_Morning_Walk_-_Honolulu_1975-06-08.MP3</t>
  </si>
  <si>
    <t>https://audio.iskcondesiretree.com/01_-_Srila_Prabhupada/01_-_Lectures/01_-_English/01_-_Topic_wise/Morning_Walk/SP_Morning_Walk_-_Honolulu_1975-06-08.MP3</t>
  </si>
  <si>
    <t>SP_SB_6-01-01_Hawaii_1975-06-08_Saving_the_Independent_from_Hell.mp3</t>
  </si>
  <si>
    <t>https://audio.iskcondesiretree.com/01_-_Srila_Prabhupada/01_-_Lectures/01_-_English/01_-_Topic_wise/Srimad_Bhagavatam/Canto-06/SP_SB_6-01-01_Hawaii_1975-06-08_Saving_the_Independent_from_Hell.mp3</t>
  </si>
  <si>
    <t>SB_6-01-01_HAW_1975-06-08_Saving_the_Independent_from_Hell.mp3</t>
  </si>
  <si>
    <t>https://audio.iskcondesiretree.com/01_-_Srila_Prabhupada/01_-_Lectures/01_-_English/02_-_Month_wise/06_-_June/08/SB_6-01-01_HAW_1975-06-08_Saving_the_Independent_from_Hell.mp3</t>
  </si>
  <si>
    <t>SB%E2%80%9306-01-06%E2%80%9307_1975-06-08_SB-HONOLULU.MP3</t>
  </si>
  <si>
    <r>
      <rPr>
        <rFont val="&quot;Aptos Narrow&quot;, sans-serif"/>
        <color rgb="FF1155CC"/>
        <sz val="11.0"/>
        <u/>
      </rPr>
      <t>https://audio.iskcondesiretree.com/01_-_Srila_Prabhupada/01_-_Lectures/01_-_English/02_-_Month_wise/06_-_June/08/SB%E2%80%9306-01-06%E2%80%9307_1975-06-08_SB-HONOLULU.MP3</t>
    </r>
  </si>
  <si>
    <t>Walk_1975-06-08_MW-HONOLULU.MP3</t>
  </si>
  <si>
    <t>https://audio.iskcondesiretree.com/01_-_Srila_Prabhupada/01_-_Lectures/01_-_English/02_-_Month_wise/06_-_June/08/Walk_1975-06-08_MW-HONOLULU.MP3</t>
  </si>
  <si>
    <t>SP_Morning_Walk_-_Honolulu_1975-06-10.MP3</t>
  </si>
  <si>
    <t>https://audio.iskcondesiretree.com/01_-_Srila_Prabhupada/01_-_Lectures/01_-_English/01_-_Topic_wise/Morning_Walk/SP_Morning_Walk_-_Honolulu_1975-06-10.MP3</t>
  </si>
  <si>
    <t>Walk_1975-06-10_MW-HONOLULU.MP3</t>
  </si>
  <si>
    <t>https://audio.iskcondesiretree.com/01_-_Srila_Prabhupada/01_-_Lectures/01_-_English/02_-_Month_wise/06_-_June/10/Walk_1975-06-10_MW-HONOLULU.MP3</t>
  </si>
  <si>
    <t>SP_Morning_Walk_-_Honolulu_1975-06-11.MP3</t>
  </si>
  <si>
    <t>https://audio.iskcondesiretree.com/01_-_Srila_Prabhupada/01_-_Lectures/01_-_English/01_-_Topic_wise/Morning_Walk/SP_Morning_Walk_-_Honolulu_1975-06-11.MP3</t>
  </si>
  <si>
    <t>SP_Room_Converstion_01_Honolulu_1975-06-11.MP3</t>
  </si>
  <si>
    <t>https://audio.iskcondesiretree.com/01_-_Srila_Prabhupada/01_-_Lectures/01_-_English/01_-_Topic_wise/Room_Conversation/SP_Room_Converstion_01_Honolulu_1975-06-11.MP3</t>
  </si>
  <si>
    <t>Conv_1975-06-11_R1-HONOLULU.MP3</t>
  </si>
  <si>
    <t>https://audio.iskcondesiretree.com/01_-_Srila_Prabhupada/01_-_Lectures/01_-_English/02_-_Month_wise/06_-_June/11/Conv_1975-06-11_R1-HONOLULU.MP3</t>
  </si>
  <si>
    <t>Walk_1975-06-11_MW-HONOLULU.MP3</t>
  </si>
  <si>
    <t>https://audio.iskcondesiretree.com/01_-_Srila_Prabhupada/01_-_Lectures/01_-_English/02_-_Month_wise/06_-_June/11/Walk_1975-06-11_MW-HONOLULU.MP3</t>
  </si>
  <si>
    <t>SP_Room_Converstion_01_Honolulu_1975-06-12.MP3</t>
  </si>
  <si>
    <t>https://audio.iskcondesiretree.com/01_-_Srila_Prabhupada/01_-_Lectures/01_-_English/01_-_Topic_wise/Room_Conversation/SP_Room_Converstion_01_Honolulu_1975-06-12.MP3</t>
  </si>
  <si>
    <t>Conv_1975-06-12_R1-HONOLULU.MP3</t>
  </si>
  <si>
    <t>https://audio.iskcondesiretree.com/01_-_Srila_Prabhupada/01_-_Lectures/01_-_English/02_-_Month_wise/06_-_June/12/Conv_1975-06-12_R1-HONOLULU.MP3</t>
  </si>
  <si>
    <t>SP_Morning_Walk_-_Honolulu_1975-06-14.MP3</t>
  </si>
  <si>
    <t>https://audio.iskcondesiretree.com/01_-_Srila_Prabhupada/01_-_Lectures/01_-_English/01_-_Topic_wise/Morning_Walk/SP_Morning_Walk_-_Honolulu_1975-06-14.MP3</t>
  </si>
  <si>
    <t>SP_Room_Converstion_01_Honolulu_1975-06-14.MP3</t>
  </si>
  <si>
    <t>https://audio.iskcondesiretree.com/01_-_Srila_Prabhupada/01_-_Lectures/01_-_English/01_-_Topic_wise/Room_Conversation/SP_Room_Converstion_01_Honolulu_1975-06-14.MP3</t>
  </si>
  <si>
    <t>Conv_1975-06-14_R1-HONOLULU.MP3</t>
  </si>
  <si>
    <t>https://audio.iskcondesiretree.com/01_-_Srila_Prabhupada/01_-_Lectures/01_-_English/02_-_Month_wise/06_-_June/14/Conv_1975-06-14_R1-HONOLULU.MP3</t>
  </si>
  <si>
    <t>Walk_1975-06-14_MW-HONOLULU.MP3</t>
  </si>
  <si>
    <t>https://audio.iskcondesiretree.com/01_-_Srila_Prabhupada/01_-_Lectures/01_-_English/02_-_Month_wise/06_-_June/14/Walk_1975-06-14_MW-HONOLULU.MP3</t>
  </si>
  <si>
    <t>SP_Morning_Walk_-_Honolulu_1975-06-15.MP3</t>
  </si>
  <si>
    <t>https://audio.iskcondesiretree.com/01_-_Srila_Prabhupada/01_-_Lectures/01_-_English/01_-_Topic_wise/Morning_Walk/SP_Morning_Walk_-_Honolulu_1975-06-15.MP3</t>
  </si>
  <si>
    <t>SP_Room_Converstion_01_Honolulu_1975-06-15.MP3</t>
  </si>
  <si>
    <t>https://audio.iskcondesiretree.com/01_-_Srila_Prabhupada/01_-_Lectures/01_-_English/01_-_Topic_wise/Room_Conversation/SP_Room_Converstion_01_Honolulu_1975-06-15.MP3</t>
  </si>
  <si>
    <t>SP_Room_Converstion_02_Honolulu_1975-06-15.MP3</t>
  </si>
  <si>
    <t>https://audio.iskcondesiretree.com/01_-_Srila_Prabhupada/01_-_Lectures/01_-_English/01_-_Topic_wise/Room_Conversation/SP_Room_Converstion_02_Honolulu_1975-06-15.MP3</t>
  </si>
  <si>
    <t>SP_Room_Converstion_03_Honolulu_1975-06-15.MP3</t>
  </si>
  <si>
    <t>https://audio.iskcondesiretree.com/01_-_Srila_Prabhupada/01_-_Lectures/01_-_English/01_-_Topic_wise/Room_Conversation/SP_Room_Converstion_03_Honolulu_1975-06-15.MP3</t>
  </si>
  <si>
    <t>SP_Room_Converstion_04_Honolulu_1975-06-15.MP3</t>
  </si>
  <si>
    <t>https://audio.iskcondesiretree.com/01_-_Srila_Prabhupada/01_-_Lectures/01_-_English/01_-_Topic_wise/Room_Conversation/SP_Room_Converstion_04_Honolulu_1975-06-15.MP3</t>
  </si>
  <si>
    <t>SP_SB_6-01-07_Honolulu_1975-06-15_The_Perfect_Sympathizer.mp3</t>
  </si>
  <si>
    <t>https://audio.iskcondesiretree.com/01_-_Srila_Prabhupada/01_-_Lectures/01_-_English/01_-_Topic_wise/Srimad_Bhagavatam/Canto-06/SP_SB_6-01-07_Honolulu_1975-06-15_The_Perfect_Sympathizer.mp3</t>
  </si>
  <si>
    <t>Conv_1975-06-15_R1-HONOLULU.MP3</t>
  </si>
  <si>
    <t>https://audio.iskcondesiretree.com/01_-_Srila_Prabhupada/01_-_Lectures/01_-_English/02_-_Month_wise/06_-_June/15/Conv_1975-06-15_R1-HONOLULU.MP3</t>
  </si>
  <si>
    <t>Conv_1975-06-15_R2-HONOLULU.MP3</t>
  </si>
  <si>
    <t>https://audio.iskcondesiretree.com/01_-_Srila_Prabhupada/01_-_Lectures/01_-_English/02_-_Month_wise/06_-_June/15/Conv_1975-06-15_R2-HONOLULU.MP3</t>
  </si>
  <si>
    <t>Conv_1975-06-15_R3-HONOLULU.MP3</t>
  </si>
  <si>
    <t>https://audio.iskcondesiretree.com/01_-_Srila_Prabhupada/01_-_Lectures/01_-_English/02_-_Month_wise/06_-_June/15/Conv_1975-06-15_R3-HONOLULU.MP3</t>
  </si>
  <si>
    <t>Conv_1975-06-15_R4-HONOLULU.MP3</t>
  </si>
  <si>
    <t>https://audio.iskcondesiretree.com/01_-_Srila_Prabhupada/01_-_Lectures/01_-_English/02_-_Month_wise/06_-_June/15/Conv_1975-06-15_R4-HONOLULU.MP3</t>
  </si>
  <si>
    <t>SB-06-01-07_1975-06-15_SB-HONOLULU.MP3</t>
  </si>
  <si>
    <t>https://audio.iskcondesiretree.com/01_-_Srila_Prabhupada/01_-_Lectures/01_-_English/02_-_Month_wise/06_-_June/15/SB-06-01-07_1975-06-15_SB-HONOLULU.MP3</t>
  </si>
  <si>
    <t>SB_6-01-07_HON_1975-06-15_The_Perfect_Sympathizer.mp3</t>
  </si>
  <si>
    <t>https://audio.iskcondesiretree.com/01_-_Srila_Prabhupada/01_-_Lectures/01_-_English/02_-_Month_wise/06_-_June/15/SB_6-01-07_HON_1975-06-15_The_Perfect_Sympathizer.mp3</t>
  </si>
  <si>
    <t>Walk_1975-06-15_MW-HONOLULU.MP3</t>
  </si>
  <si>
    <t>https://audio.iskcondesiretree.com/01_-_Srila_Prabhupada/01_-_Lectures/01_-_English/02_-_Month_wise/06_-_June/15/Walk_1975-06-15_MW-HONOLULU.MP3</t>
  </si>
  <si>
    <t>SP_Morning_Walk_-_Honolulu_1975-06-16.MP3</t>
  </si>
  <si>
    <t>https://audio.iskcondesiretree.com/01_-_Srila_Prabhupada/01_-_Lectures/01_-_English/01_-_Topic_wise/Morning_Walk/SP_Morning_Walk_-_Honolulu_1975-06-16.MP3</t>
  </si>
  <si>
    <t>SP_Room_Converstion_01_Honolulu_1975-06-16.MP3</t>
  </si>
  <si>
    <t>https://audio.iskcondesiretree.com/01_-_Srila_Prabhupada/01_-_Lectures/01_-_English/01_-_Topic_wise/Room_Conversation/SP_Room_Converstion_01_Honolulu_1975-06-16.MP3</t>
  </si>
  <si>
    <t>SP_Room_Converstion_02_Honolulu_1975-06-16.MP3</t>
  </si>
  <si>
    <t>https://audio.iskcondesiretree.com/01_-_Srila_Prabhupada/01_-_Lectures/01_-_English/01_-_Topic_wise/Room_Conversation/SP_Room_Converstion_02_Honolulu_1975-06-16.MP3</t>
  </si>
  <si>
    <t>SP_Room_Converstion_03_Honolulu_1975-06-16.MP3</t>
  </si>
  <si>
    <t>https://audio.iskcondesiretree.com/01_-_Srila_Prabhupada/01_-_Lectures/01_-_English/01_-_Topic_wise/Room_Conversation/SP_Room_Converstion_03_Honolulu_1975-06-16.MP3</t>
  </si>
  <si>
    <t>SP_Room_Converstion_04_Honolulu_1975-06-16.MP3</t>
  </si>
  <si>
    <t>https://audio.iskcondesiretree.com/01_-_Srila_Prabhupada/01_-_Lectures/01_-_English/01_-_Topic_wise/Room_Conversation/SP_Room_Converstion_04_Honolulu_1975-06-16.MP3</t>
  </si>
  <si>
    <t>Conv_1975-06-16_R1-HONOLULU.MP3</t>
  </si>
  <si>
    <t>https://audio.iskcondesiretree.com/01_-_Srila_Prabhupada/01_-_Lectures/01_-_English/02_-_Month_wise/06_-_June/16/Conv_1975-06-16_R1-HONOLULU.MP3</t>
  </si>
  <si>
    <t>Conv_1975-06-16_R2-HONOLULU.MP3</t>
  </si>
  <si>
    <t>https://audio.iskcondesiretree.com/01_-_Srila_Prabhupada/01_-_Lectures/01_-_English/02_-_Month_wise/06_-_June/16/Conv_1975-06-16_R2-HONOLULU.MP3</t>
  </si>
  <si>
    <t>Conv_1975-06-16_R3-HONOLULU.MP3</t>
  </si>
  <si>
    <t>https://audio.iskcondesiretree.com/01_-_Srila_Prabhupada/01_-_Lectures/01_-_English/02_-_Month_wise/06_-_June/16/Conv_1975-06-16_R3-HONOLULU.MP3</t>
  </si>
  <si>
    <t>Conv_1975-06-16_R4-HONOLULU.MP3</t>
  </si>
  <si>
    <t>https://audio.iskcondesiretree.com/01_-_Srila_Prabhupada/01_-_Lectures/01_-_English/02_-_Month_wise/06_-_June/16/Conv_1975-06-16_R4-HONOLULU.MP3</t>
  </si>
  <si>
    <t>Walk_1975-06-16_MW-HONOLULU.MP3</t>
  </si>
  <si>
    <t>https://audio.iskcondesiretree.com/01_-_Srila_Prabhupada/01_-_Lectures/01_-_English/02_-_Month_wise/06_-_June/16/Walk_1975-06-16_MW-HONOLULU.MP3</t>
  </si>
  <si>
    <t>SP_Morning_Walk_-_Honolulu_1975-06-17.MP3</t>
  </si>
  <si>
    <t>https://audio.iskcondesiretree.com/01_-_Srila_Prabhupada/01_-_Lectures/01_-_English/01_-_Topic_wise/Morning_Walk/SP_Morning_Walk_-_Honolulu_1975-06-17.MP3</t>
  </si>
  <si>
    <t>SP_Room_Converstion_01_Honolulu_1975-06-17.MP3</t>
  </si>
  <si>
    <t>https://audio.iskcondesiretree.com/01_-_Srila_Prabhupada/01_-_Lectures/01_-_English/01_-_Topic_wise/Room_Conversation/SP_Room_Converstion_01_Honolulu_1975-06-17.MP3</t>
  </si>
  <si>
    <t>SP_SB_6-01-17_Honolulu_1975-06-17_Happiness--Dance_With_Krishna.mp3</t>
  </si>
  <si>
    <t>https://audio.iskcondesiretree.com/01_-_Srila_Prabhupada/01_-_Lectures/01_-_English/01_-_Topic_wise/Srimad_Bhagavatam/Canto-06/SP_SB_6-01-17_Honolulu_1975-06-17_Happiness--Dance_With_Krishna.mp3</t>
  </si>
  <si>
    <t>Conv_1975-06-17_R1-HONOLULU.MP3</t>
  </si>
  <si>
    <t>https://audio.iskcondesiretree.com/01_-_Srila_Prabhupada/01_-_Lectures/01_-_English/02_-_Month_wise/06_-_June/17/Conv_1975-06-17_R1-HONOLULU.MP3</t>
  </si>
  <si>
    <t>SB_6-01-17_HON_1975-06-17_Happiness-Dance_With_Krishna.mp3</t>
  </si>
  <si>
    <t>https://audio.iskcondesiretree.com/01_-_Srila_Prabhupada/01_-_Lectures/01_-_English/02_-_Month_wise/06_-_June/17/SB_6-01-17_HON_1975-06-17_Happiness-Dance_With_Krishna.mp3</t>
  </si>
  <si>
    <t>Walk_1975-06-17_MW-HONOLULU.MP3</t>
  </si>
  <si>
    <t>https://audio.iskcondesiretree.com/01_-_Srila_Prabhupada/01_-_Lectures/01_-_English/02_-_Month_wise/06_-_June/17/Walk_1975-06-17_MW-HONOLULU.MP3</t>
  </si>
  <si>
    <t>SP_Morning_Walk_-_Honolulu_1975-06-18.MP3</t>
  </si>
  <si>
    <t>https://audio.iskcondesiretree.com/01_-_Srila_Prabhupada/01_-_Lectures/01_-_English/01_-_Topic_wise/Morning_Walk/SP_Morning_Walk_-_Honolulu_1975-06-18.MP3</t>
  </si>
  <si>
    <t>SP_Room_Converstion_01_Honolulu_1975-06-18.MP3</t>
  </si>
  <si>
    <t>https://audio.iskcondesiretree.com/01_-_Srila_Prabhupada/01_-_Lectures/01_-_English/01_-_Topic_wise/Room_Conversation/SP_Room_Converstion_01_Honolulu_1975-06-18.MP3</t>
  </si>
  <si>
    <t>Conv_1975-06-18_R1-HONOLULU.MP3</t>
  </si>
  <si>
    <t>https://audio.iskcondesiretree.com/01_-_Srila_Prabhupada/01_-_Lectures/01_-_English/02_-_Month_wise/06_-_June/18/Conv_1975-06-18_R1-HONOLULU.MP3</t>
  </si>
  <si>
    <t>Walk_1975-06-18_MW-HONOLULU.MP3</t>
  </si>
  <si>
    <t>https://audio.iskcondesiretree.com/01_-_Srila_Prabhupada/01_-_Lectures/01_-_English/02_-_Month_wise/06_-_June/18/Walk_1975-06-18_MW-HONOLULU.MP3</t>
  </si>
  <si>
    <t>SP_Morning_Walk_-_Honolulu_1975-06-19.MP3</t>
  </si>
  <si>
    <t>https://audio.iskcondesiretree.com/01_-_Srila_Prabhupada/01_-_Lectures/01_-_English/01_-_Topic_wise/Morning_Walk/SP_Morning_Walk_-_Honolulu_1975-06-19.MP3</t>
  </si>
  <si>
    <t>Walk_1975-06-19_MW-HONOLULU.MP3</t>
  </si>
  <si>
    <t>https://audio.iskcondesiretree.com/01_-_Srila_Prabhupada/01_-_Lectures/01_-_English/02_-_Month_wise/06_-_June/19/Walk_1975-06-19_MW-HONOLULU.MP3</t>
  </si>
  <si>
    <t>SP_Arrival_Lecture_Los_Angeles_1975-06-20.MP3</t>
  </si>
  <si>
    <t>https://audio.iskcondesiretree.com/01_-_Srila_Prabhupada/01_-_Lectures/01_-_English/01_-_Topic_wise/Arrival_Address/SP_Arrival_Lecture_Los_Angeles_1975-06-20.MP3</t>
  </si>
  <si>
    <t>SP_Arrival_Los_Angeles_1975-06-20_Kindly_Help_Me.mp3</t>
  </si>
  <si>
    <t>https://audio.iskcondesiretree.com/01_-_Srila_Prabhupada/01_-_Lectures/01_-_English/01_-_Topic_wise/Arrival_Address/SP_Arrival_Los_Angeles_1975-06-20_Kindly_Help_Me.mp3</t>
  </si>
  <si>
    <t>SP_Departure_Lecture_Honolulu_1975-06-20.MP3</t>
  </si>
  <si>
    <t>https://audio.iskcondesiretree.com/01_-_Srila_Prabhupada/01_-_Lectures/01_-_English/01_-_Topic_wise/Departure_Address/SP_Departure_Lecture_Honolulu_1975-06-20.MP3</t>
  </si>
  <si>
    <t>SP_Room_Conversation_Los_Angeles_1975-06-20_These_Are_Krishna%27s_Books.mp3</t>
  </si>
  <si>
    <t>https://audio.iskcondesiretree.com/01_-_Srila_Prabhupada/01_-_Lectures/01_-_English/01_-_Topic_wise/Room_Conversation/SP_Room_Conversation_Los_Angeles_1975-06-20_These_Are_Krishna%27s_Books.mp3</t>
  </si>
  <si>
    <t>SP_Car_Conversation_Honolulu_1975-06-20.MP3</t>
  </si>
  <si>
    <t>https://audio.iskcondesiretree.com/01_-_Srila_Prabhupada/01_-_Lectures/01_-_English/01_-_Topic_wise/Various/SP_Car_Conversation_Honolulu_1975-06-20.MP3</t>
  </si>
  <si>
    <t>Arr_LA_1975-06-20_Kindly_Help_Me.mp3</t>
  </si>
  <si>
    <t>https://audio.iskcondesiretree.com/01_-_Srila_Prabhupada/01_-_Lectures/01_-_English/02_-_Month_wise/06_-_June/20/Arr_LA_1975-06-20_Kindly_Help_Me.mp3</t>
  </si>
  <si>
    <t>Arrival_1975-06-20_A2-LOS%20ANGELES.MP3</t>
  </si>
  <si>
    <t>https://audio.iskcondesiretree.com/01_-_Srila_Prabhupada/01_-_Lectures/01_-_English/02_-_Month_wise/06_-_June/20/Arrival_1975-06-20_A2-LOS%20ANGELES.MP3</t>
  </si>
  <si>
    <t>Arrival_1975-06-20_AR-LOS%20ANGELES.MP3</t>
  </si>
  <si>
    <t>https://audio.iskcondesiretree.com/01_-_Srila_Prabhupada/01_-_Lectures/01_-_English/02_-_Month_wise/06_-_June/20/Arrival_1975-06-20_AR-LOS%20ANGELES.MP3</t>
  </si>
  <si>
    <t>Conv_1975-06-20_CR-HONOLULU.MP3</t>
  </si>
  <si>
    <t>https://audio.iskcondesiretree.com/01_-_Srila_Prabhupada/01_-_Lectures/01_-_English/02_-_Month_wise/06_-_June/20/Conv_1975-06-20_CR-HONOLULU.MP3</t>
  </si>
  <si>
    <t>Departure_1975-06-20_DP-HONOLULU.MP3</t>
  </si>
  <si>
    <t>https://audio.iskcondesiretree.com/01_-_Srila_Prabhupada/01_-_Lectures/01_-_English/02_-_Month_wise/06_-_June/20/Departure_1975-06-20_DP-HONOLULU.MP3</t>
  </si>
  <si>
    <t>RC_LA_1975-06-20_These_Are_Krishna%27s_Books.mp3</t>
  </si>
  <si>
    <t>https://audio.iskcondesiretree.com/01_-_Srila_Prabhupada/01_-_Lectures/01_-_English/02_-_Month_wise/06_-_June/20/RC_LA_1975-06-20_These_Are_Krishna%27s_Books.mp3</t>
  </si>
  <si>
    <t>SP_Morning_Walk_-_Los_Angeles_1975-06-21_Struggling_for_Eternality.mp3</t>
  </si>
  <si>
    <t>https://audio.iskcondesiretree.com/01_-_Srila_Prabhupada/01_-_Lectures/01_-_English/01_-_Topic_wise/Morning_Walk/SP_Morning_Walk_-_Los_Angeles_1975-06-21_Struggling_for_Eternality.mp3</t>
  </si>
  <si>
    <t>SP_SB_6-01-08_Los_Angeles_1975-06-21_A_Vaisnavas_Concern.mp3</t>
  </si>
  <si>
    <t>https://audio.iskcondesiretree.com/01_-_Srila_Prabhupada/01_-_Lectures/01_-_English/01_-_Topic_wise/Srimad_Bhagavatam/Canto-06/SP_SB_6-01-08_Los_Angeles_1975-06-21_A_Vaisnavas_Concern.mp3</t>
  </si>
  <si>
    <t>MW_LA_1975-06-21_Struggling_for_Eternality.mp3</t>
  </si>
  <si>
    <t>https://audio.iskcondesiretree.com/01_-_Srila_Prabhupada/01_-_Lectures/01_-_English/02_-_Month_wise/06_-_June/21/MW_LA_1975-06-21_Struggling_for_Eternality.mp3</t>
  </si>
  <si>
    <t>SB-06-01-08_1975-06-21_SB-LOS%20ANGELES.MP3</t>
  </si>
  <si>
    <t>https://audio.iskcondesiretree.com/01_-_Srila_Prabhupada/01_-_Lectures/01_-_English/02_-_Month_wise/06_-_June/21/SB-06-01-08_1975-06-21_SB-LOS%20ANGELES.MP3</t>
  </si>
  <si>
    <t>SB_6-01-08_LA_1975-06-21_A_Vaisnavas_Concern.mp3</t>
  </si>
  <si>
    <t>https://audio.iskcondesiretree.com/01_-_Srila_Prabhupada/01_-_Lectures/01_-_English/02_-_Month_wise/06_-_June/21/SB_6-01-08_LA_1975-06-21_A_Vaisnavas_Concern.mp3</t>
  </si>
  <si>
    <t>Walk_1975-06-21_MW-LOS%20ANGELES.MP3</t>
  </si>
  <si>
    <t>https://audio.iskcondesiretree.com/01_-_Srila_Prabhupada/01_-_Lectures/01_-_English/02_-_Month_wise/06_-_June/21/Walk_1975-06-21_MW-LOS%20ANGELES.MP3</t>
  </si>
  <si>
    <t>SP_Morning_Walk_-_Los_Angeles_1975-06-22_Dedicated_to_the_Supreme_Scientist.mp3</t>
  </si>
  <si>
    <t>https://audio.iskcondesiretree.com/01_-_Srila_Prabhupada/01_-_Lectures/01_-_English/01_-_Topic_wise/Morning_Walk/SP_Morning_Walk_-_Los_Angeles_1975-06-22_Dedicated_to_the_Supreme_Scientist.mp3</t>
  </si>
  <si>
    <t>SP_Room_Conversation_Los_Angeles_1975-06-22_Dr_Gerson--Happiness_Is_for_the_Devotees.mp3</t>
  </si>
  <si>
    <t>https://audio.iskcondesiretree.com/01_-_Srila_Prabhupada/01_-_Lectures/01_-_English/01_-_Topic_wise/Room_Conversation/SP_Room_Conversation_Los_Angeles_1975-06-22_Dr_Gerson--Happiness_Is_for_the_Devotees.mp3</t>
  </si>
  <si>
    <t>SP_SB_6-01-09_Los_Angeles_1975-06-22.MP3</t>
  </si>
  <si>
    <t>https://audio.iskcondesiretree.com/01_-_Srila_Prabhupada/01_-_Lectures/01_-_English/01_-_Topic_wise/Srimad_Bhagavatam/Canto-06/SP_SB_6-01-09_Los_Angeles_1975-06-22.MP3</t>
  </si>
  <si>
    <t>Conv_1975-06-22_GC-LOS%20ANGELES.MP3</t>
  </si>
  <si>
    <t>https://audio.iskcondesiretree.com/01_-_Srila_Prabhupada/01_-_Lectures/01_-_English/02_-_Month_wise/06_-_June/22/Conv_1975-06-22_GC-LOS%20ANGELES.MP3</t>
  </si>
  <si>
    <t>MW_LA_1975-06-22_Dedicated_to_the_Supreme_Scientist.mp3</t>
  </si>
  <si>
    <t>https://audio.iskcondesiretree.com/01_-_Srila_Prabhupada/01_-_Lectures/01_-_English/02_-_Month_wise/06_-_June/22/MW_LA_1975-06-22_Dedicated_to_the_Supreme_Scientist.mp3</t>
  </si>
  <si>
    <t>RC_LA_1975-06-22_Dr._Gerson-Happiness_Is_for_the_Devotees.mp3</t>
  </si>
  <si>
    <t>https://audio.iskcondesiretree.com/01_-_Srila_Prabhupada/01_-_Lectures/01_-_English/02_-_Month_wise/06_-_June/22/RC_LA_1975-06-22_Dr._Gerson-Happiness_Is_for_the_Devotees.mp3</t>
  </si>
  <si>
    <t>SB-06-01-09_1975-06-22_SB-LOS%20ANGELES.MP3</t>
  </si>
  <si>
    <t>https://audio.iskcondesiretree.com/01_-_Srila_Prabhupada/01_-_Lectures/01_-_English/02_-_Month_wise/06_-_June/22/SB-06-01-09_1975-06-22_SB-LOS%20ANGELES.MP3</t>
  </si>
  <si>
    <t>Walk_1975-06-22_MW-LOS%20ANGELES.MP3</t>
  </si>
  <si>
    <t>https://audio.iskcondesiretree.com/01_-_Srila_Prabhupada/01_-_Lectures/01_-_English/02_-_Month_wise/06_-_June/22/Walk_1975-06-22_MW-LOS%20ANGELES.MP3</t>
  </si>
  <si>
    <t>SP_Morning_Walk_-_Los_Angeles_1975-06-23_Varnashram_College_3--Colleges_for--etc.mp3</t>
  </si>
  <si>
    <t>https://audio.iskcondesiretree.com/01_-_Srila_Prabhupada/01_-_Lectures/01_-_English/01_-_Topic_wise/Morning_Walk/SP_Morning_Walk_-_Los_Angeles_1975-06-23_Varnashram_College_3--Colleges_for--etc.mp3</t>
  </si>
  <si>
    <t>SP_Room_Conversation_Los_Angeles_1975-06-23_Philosopher--Bad_Allowed_by_the_All-Good.mp3</t>
  </si>
  <si>
    <t>https://audio.iskcondesiretree.com/01_-_Srila_Prabhupada/01_-_Lectures/01_-_English/01_-_Topic_wise/Room_Conversation/SP_Room_Conversation_Los_Angeles_1975-06-23_Philosopher--Bad_Allowed_by_the_All-Good.mp3</t>
  </si>
  <si>
    <t>SP_SB_6-01-10_Los_Angeles_1975-06-23_New_Orleans_Heart_Free_of_Dirt.mp3</t>
  </si>
  <si>
    <t>https://audio.iskcondesiretree.com/01_-_Srila_Prabhupada/01_-_Lectures/01_-_English/01_-_Topic_wise/Srimad_Bhagavatam/Canto-06/SP_SB_6-01-10_Los_Angeles_1975-06-23_New_Orleans_Heart_Free_of_Dirt.mp3</t>
  </si>
  <si>
    <t>Conv_1975-06-23_R1-LOS%20ANGELES.MP3</t>
  </si>
  <si>
    <t>https://audio.iskcondesiretree.com/01_-_Srila_Prabhupada/01_-_Lectures/01_-_English/02_-_Month_wise/06_-_June/23/Conv_1975-06-23_R1-LOS%20ANGELES.MP3</t>
  </si>
  <si>
    <t>MW_LA_1975-06-23_Varnashram_College_3-Colleges_for_etc.mp3</t>
  </si>
  <si>
    <t>https://audio.iskcondesiretree.com/01_-_Srila_Prabhupada/01_-_Lectures/01_-_English/02_-_Month_wise/06_-_June/23/MW_LA_1975-06-23_Varnashram_College_3-Colleges_for_etc.mp3</t>
  </si>
  <si>
    <t>RC_LA_1975-06-23_Philosopher--Bad_Allowed_by_the_All-Good.mp3</t>
  </si>
  <si>
    <t>https://audio.iskcondesiretree.com/01_-_Srila_Prabhupada/01_-_Lectures/01_-_English/02_-_Month_wise/06_-_June/23/RC_LA_1975-06-23_Philosopher--Bad_Allowed_by_the_All-Good.mp3</t>
  </si>
  <si>
    <t>SB-06-01-10_1975-06-23_SB-LOS%20ANGELES.MP3</t>
  </si>
  <si>
    <t>https://audio.iskcondesiretree.com/01_-_Srila_Prabhupada/01_-_Lectures/01_-_English/02_-_Month_wise/06_-_June/23/SB-06-01-10_1975-06-23_SB-LOS%20ANGELES.MP3</t>
  </si>
  <si>
    <t>SB_6-01-10_LA_1975-06-23_No_Heart_Free_of_Dirt.mp3</t>
  </si>
  <si>
    <t>https://audio.iskcondesiretree.com/01_-_Srila_Prabhupada/01_-_Lectures/01_-_English/02_-_Month_wise/06_-_June/23/SB_6-01-10_LA_1975-06-23_No_Heart_Free_of_Dirt.mp3</t>
  </si>
  <si>
    <t>Walk_1975-06-23_MW-LOS%20ANGELES.MP3</t>
  </si>
  <si>
    <t>https://audio.iskcondesiretree.com/01_-_Srila_Prabhupada/01_-_Lectures/01_-_English/02_-_Month_wise/06_-_June/23/Walk_1975-06-23_MW-LOS%20ANGELES.MP3</t>
  </si>
  <si>
    <t>SP_Morning_Walk_-_Los_Angeles_1975-06-24.MP3</t>
  </si>
  <si>
    <t>https://audio.iskcondesiretree.com/01_-_Srila_Prabhupada/01_-_Lectures/01_-_English/01_-_Topic_wise/Morning_Walk/SP_Morning_Walk_-_Los_Angeles_1975-06-24.MP3</t>
  </si>
  <si>
    <t>SP_Room_Conversation_Los_Angeles_1975-06-24_Profs--Bird-Brained_Scholarship.mp3</t>
  </si>
  <si>
    <t>https://audio.iskcondesiretree.com/01_-_Srila_Prabhupada/01_-_Lectures/01_-_English/01_-_Topic_wise/Room_Conversation/SP_Room_Conversation_Los_Angeles_1975-06-24_Profs--Bird-Brained_Scholarship.mp3</t>
  </si>
  <si>
    <t>Conv_1975-06-24_GC-LOS%20ANGELES.MP3</t>
  </si>
  <si>
    <t>https://audio.iskcondesiretree.com/01_-_Srila_Prabhupada/01_-_Lectures/01_-_English/02_-_Month_wise/06_-_June/24/Conv_1975-06-24_GC-LOS%20ANGELES.MP3</t>
  </si>
  <si>
    <t>RC_LA_1975-06-24_Profs-Bird-Brained_Scholarship.mp3</t>
  </si>
  <si>
    <t>https://audio.iskcondesiretree.com/01_-_Srila_Prabhupada/01_-_Lectures/01_-_English/02_-_Month_wise/06_-_June/24/RC_LA_1975-06-24_Profs-Bird-Brained_Scholarship.mp3</t>
  </si>
  <si>
    <t>Walk_1975-06-24_MW-LOS%20ANGELES.MP3</t>
  </si>
  <si>
    <t>https://audio.iskcondesiretree.com/01_-_Srila_Prabhupada/01_-_Lectures/01_-_English/02_-_Month_wise/06_-_June/24/Walk_1975-06-24_MW-LOS%20ANGELES.MP3</t>
  </si>
  <si>
    <t>SP_Morning_Walk_-_Los_Angeles_1975-06-25_Here_Is_God--Why_Not_Accept.mp3</t>
  </si>
  <si>
    <t>https://audio.iskcondesiretree.com/01_-_Srila_Prabhupada/01_-_Lectures/01_-_English/01_-_Topic_wise/Morning_Walk/SP_Morning_Walk_-_Los_Angeles_1975-06-25_Here_Is_God--Why_Not_Accept.mp3</t>
  </si>
  <si>
    <t>SP_Room_Conversation_Los_Angeles_1975-06-25_God_Is_As_Sure_As_Death.mp3</t>
  </si>
  <si>
    <t>https://audio.iskcondesiretree.com/01_-_Srila_Prabhupada/01_-_Lectures/01_-_English/01_-_Topic_wise/Room_Conversation/SP_Room_Conversation_Los_Angeles_1975-06-25_God_Is_As_Sure_As_Death.mp3</t>
  </si>
  <si>
    <t>SP_SB_6-01-12_Los_Angeles_1975-06-25_Repent_Sinners--How.mp3</t>
  </si>
  <si>
    <t>https://audio.iskcondesiretree.com/01_-_Srila_Prabhupada/01_-_Lectures/01_-_English/01_-_Topic_wise/Srimad_Bhagavatam/Canto-06/SP_SB_6-01-12_Los_Angeles_1975-06-25_Repent_Sinners--How.mp3</t>
  </si>
  <si>
    <t>MW_LA_1975-06-25_Here_Is_God-Why_Not_Accept.mp3</t>
  </si>
  <si>
    <t>https://audio.iskcondesiretree.com/01_-_Srila_Prabhupada/01_-_Lectures/01_-_English/02_-_Month_wise/06_-_June/25/MW_LA_1975-06-25_Here_Is_God-Why_Not_Accept.mp3</t>
  </si>
  <si>
    <t>RC_LA_1975-06-25_God_Is_As_Sure_As_Death.mp3</t>
  </si>
  <si>
    <t>https://audio.iskcondesiretree.com/01_-_Srila_Prabhupada/01_-_Lectures/01_-_English/02_-_Month_wise/06_-_June/25/RC_LA_1975-06-25_God_Is_As_Sure_As_Death.mp3</t>
  </si>
  <si>
    <t>SB-06-01-12_1975-06-25_SB-LOS%20ANGELES.MP3</t>
  </si>
  <si>
    <t>https://audio.iskcondesiretree.com/01_-_Srila_Prabhupada/01_-_Lectures/01_-_English/02_-_Month_wise/06_-_June/25/SB-06-01-12_1975-06-25_SB-LOS%20ANGELES.MP3</t>
  </si>
  <si>
    <t>SB_6-01-12_LA_1975-06-25_Repent_Sinners_How.mp3</t>
  </si>
  <si>
    <t>https://audio.iskcondesiretree.com/01_-_Srila_Prabhupada/01_-_Lectures/01_-_English/02_-_Month_wise/06_-_June/25/SB_6-01-12_LA_1975-06-25_Repent_Sinners_How.mp3</t>
  </si>
  <si>
    <t>Walk_1975-06-25_MW-LOS%20ANGELES.MP3</t>
  </si>
  <si>
    <t>https://audio.iskcondesiretree.com/01_-_Srila_Prabhupada/01_-_Lectures/01_-_English/02_-_Month_wise/06_-_June/25/Walk_1975-06-25_MW-LOS%20ANGELES.MP3</t>
  </si>
  <si>
    <t>SP_Morning_Walk_-_Los_Angeles_1975-06-26_Hypnotized_by_Television_or_by_Krishna.mp3</t>
  </si>
  <si>
    <t>https://audio.iskcondesiretree.com/01_-_Srila_Prabhupada/01_-_Lectures/01_-_English/01_-_Topic_wise/Morning_Walk/SP_Morning_Walk_-_Los_Angeles_1975-06-26_Hypnotized_by_Television_or_by_Krishna.mp3</t>
  </si>
  <si>
    <t>SP_Room_Conversation_01_Los_Angeles_1975-06-26.MP3</t>
  </si>
  <si>
    <t>https://audio.iskcondesiretree.com/01_-_Srila_Prabhupada/01_-_Lectures/01_-_English/01_-_Topic_wise/Room_Conversation/SP_Room_Conversation_01_Los_Angeles_1975-06-26.MP3</t>
  </si>
  <si>
    <t>SP_Room_Conversation_02_Los_Angeles_1975-06-26.MP3</t>
  </si>
  <si>
    <t>https://audio.iskcondesiretree.com/01_-_Srila_Prabhupada/01_-_Lectures/01_-_English/01_-_Topic_wise/Room_Conversation/SP_Room_Conversation_02_Los_Angeles_1975-06-26.MP3</t>
  </si>
  <si>
    <t>SP_SB_6-01-13_Honolulu_1975-06-26_God_is_not_a_Petty_Thing.mp3</t>
  </si>
  <si>
    <t>https://audio.iskcondesiretree.com/01_-_Srila_Prabhupada/01_-_Lectures/01_-_English/01_-_Topic_wise/Srimad_Bhagavatam/Canto-06/SP_SB_6-01-13_Honolulu_1975-06-26_God_is_not_a_Petty_Thing.mp3</t>
  </si>
  <si>
    <t>Conv_1975-06-26_R1-LOS%20ANGELES.MP3</t>
  </si>
  <si>
    <t>https://audio.iskcondesiretree.com/01_-_Srila_Prabhupada/01_-_Lectures/01_-_English/02_-_Month_wise/06_-_June/26/Conv_1975-06-26_R1-LOS%20ANGELES.MP3</t>
  </si>
  <si>
    <t>Conv_1975-06-26_R2-LOS%20ANGELES.MP3</t>
  </si>
  <si>
    <t>https://audio.iskcondesiretree.com/01_-_Srila_Prabhupada/01_-_Lectures/01_-_English/02_-_Month_wise/06_-_June/26/Conv_1975-06-26_R2-LOS%20ANGELES.MP3</t>
  </si>
  <si>
    <t>MW_LA_1975-06-26_Hypnotized_by_Television_or_by_Krishna.mp3</t>
  </si>
  <si>
    <t>https://audio.iskcondesiretree.com/01_-_Srila_Prabhupada/01_-_Lectures/01_-_English/02_-_Month_wise/06_-_June/26/MW_LA_1975-06-26_Hypnotized_by_Television_or_by_Krishna.mp3</t>
  </si>
  <si>
    <t>SB-06-01-13%E2%80%9314_1975-06-26_SB-LOS%20ANGELES.MP3</t>
  </si>
  <si>
    <t>https://audio.iskcondesiretree.com/01_-_Srila_Prabhupada/01_-_Lectures/01_-_English/02_-_Month_wise/06_-_June/26/SB-06-01-13%E2%80%9314_1975-06-26_SB-LOS%20ANGELES.MP3</t>
  </si>
  <si>
    <t>SB_6-01-13_HON_1975-06-26_God_is_not_a_Petty_Thing.mp3</t>
  </si>
  <si>
    <t>https://audio.iskcondesiretree.com/01_-_Srila_Prabhupada/01_-_Lectures/01_-_English/02_-_Month_wise/06_-_June/26/SB_6-01-13_HON_1975-06-26_God_is_not_a_Petty_Thing.mp3</t>
  </si>
  <si>
    <t>Walk_1975-06-26_MW-LOS%20ANGELES.MP3</t>
  </si>
  <si>
    <t>https://audio.iskcondesiretree.com/01_-_Srila_Prabhupada/01_-_Lectures/01_-_English/02_-_Month_wise/06_-_June/26/Walk_1975-06-26_MW-LOS%20ANGELES.MP3</t>
  </si>
  <si>
    <t>SP_Arrival_Delhi_1975-06-27_Americans_with_Krsna_Consciousness.mp3</t>
  </si>
  <si>
    <t>https://audio.iskcondesiretree.com/01_-_Srila_Prabhupada/01_-_Lectures/01_-_English/01_-_Topic_wise/Arrival_Address/SP_Arrival_Delhi_1975-06-27_Americans_with_Krsna_Consciousness.mp3</t>
  </si>
  <si>
    <t>SP_Departure_Lecture_Los_Angeles_1975-06-27.MP3</t>
  </si>
  <si>
    <t>https://audio.iskcondesiretree.com/01_-_Srila_Prabhupada/01_-_Lectures/01_-_English/01_-_Topic_wise/Departure_Address/SP_Departure_Lecture_Los_Angeles_1975-06-27.MP3</t>
  </si>
  <si>
    <t>SP_Morning_Walk_-_Atlanta_1975-06-27.MP3</t>
  </si>
  <si>
    <t>https://audio.iskcondesiretree.com/01_-_Srila_Prabhupada/01_-_Lectures/01_-_English/01_-_Topic_wise/Morning_Walk/SP_Morning_Walk_-_Atlanta_1975-06-27.MP3</t>
  </si>
  <si>
    <t>SP_SB_6-1-15_Los_Angeles_1975-06-27.MP3</t>
  </si>
  <si>
    <t>https://audio.iskcondesiretree.com/01_-_Srila_Prabhupada/01_-_Lectures/01_-_English/01_-_Topic_wise/Srimad_Bhagavatam/Canto-06/SP_SB_6-1-15_Los_Angeles_1975-06-27.MP3</t>
  </si>
  <si>
    <t>Arr_DEN_1975-06-27_Americans_with_Krsna_Consciousness.mp3</t>
  </si>
  <si>
    <t>https://audio.iskcondesiretree.com/01_-_Srila_Prabhupada/01_-_Lectures/01_-_English/02_-_Month_wise/06_-_June/27/Arr_DEN_1975-06-27_Americans_with_Krsna_Consciousness.mp3</t>
  </si>
  <si>
    <t>Arrival_1975-06-27_AR-DENVER.MP3</t>
  </si>
  <si>
    <t>https://audio.iskcondesiretree.com/01_-_Srila_Prabhupada/01_-_Lectures/01_-_English/02_-_Month_wise/06_-_June/27/Arrival_1975-06-27_AR-DENVER.MP3</t>
  </si>
  <si>
    <t>Departure_1975-06-27_DP-LOS%20ANGELES.MP3</t>
  </si>
  <si>
    <t>https://audio.iskcondesiretree.com/01_-_Srila_Prabhupada/01_-_Lectures/01_-_English/02_-_Month_wise/06_-_June/27/Departure_1975-06-27_DP-LOS%20ANGELES.MP3</t>
  </si>
  <si>
    <t>SB-06-01-15_1975-06-27_SB-LOS%20ANGELES.MP3</t>
  </si>
  <si>
    <t>https://audio.iskcondesiretree.com/01_-_Srila_Prabhupada/01_-_Lectures/01_-_English/02_-_Month_wise/06_-_June/27/SB-06-01-15_1975-06-27_SB-LOS%20ANGELES.MP3</t>
  </si>
  <si>
    <t>Walk_1975-06-27_MW-LOS%20ANGELES.MP3</t>
  </si>
  <si>
    <t>https://audio.iskcondesiretree.com/01_-_Srila_Prabhupada/01_-_Lectures/01_-_English/02_-_Month_wise/06_-_June/27/Walk_1975-06-27_MW-LOS%20ANGELES.MP3</t>
  </si>
  <si>
    <t>SP_Morning_Walk_-_Denver_1975-06-28_Dog_Race_in_a_Dangerous_Place.mp3</t>
  </si>
  <si>
    <t>https://audio.iskcondesiretree.com/01_-_Srila_Prabhupada/01_-_Lectures/01_-_English/01_-_Topic_wise/Morning_Walk/SP_Morning_Walk_-_Denver_1975-06-28_Dog_Race_in_a_Dangerous_Place.mp3</t>
  </si>
  <si>
    <t>SP_SB_6-01-15_Denver_1975-06-28_The_Whole_Material_World_is--etc.mp3</t>
  </si>
  <si>
    <t>https://audio.iskcondesiretree.com/01_-_Srila_Prabhupada/01_-_Lectures/01_-_English/01_-_Topic_wise/Srimad_Bhagavatam/Canto-06/SP_SB_6-01-15_Denver_1975-06-28_The_Whole_Material_World_is--etc.mp3</t>
  </si>
  <si>
    <t>MW_DEN_1975-06-28_Dog_Race_in_a_Dangerous_Place.mp3</t>
  </si>
  <si>
    <t>https://audio.iskcondesiretree.com/01_-_Srila_Prabhupada/01_-_Lectures/01_-_English/02_-_Month_wise/06_-_June/28/MW_DEN_1975-06-28_Dog_Race_in_a_Dangerous_Place.mp3</t>
  </si>
  <si>
    <t>SB-06-01-15_1975-06-28_SB-DENVER.MP3</t>
  </si>
  <si>
    <t>https://audio.iskcondesiretree.com/01_-_Srila_Prabhupada/01_-_Lectures/01_-_English/02_-_Month_wise/06_-_June/28/SB-06-01-15_1975-06-28_SB-DENVER.MP3</t>
  </si>
  <si>
    <t>SB_6-01-15_DEN_1975-06-28_The_Whole_Material_World_is_etc.mp3</t>
  </si>
  <si>
    <t>https://audio.iskcondesiretree.com/01_-_Srila_Prabhupada/01_-_Lectures/01_-_English/02_-_Month_wise/06_-_June/28/SB_6-01-15_DEN_1975-06-28_The_Whole_Material_World_is_etc.mp3</t>
  </si>
  <si>
    <t>Walk_1975-06-28_MW-DENVER.MP3</t>
  </si>
  <si>
    <t>https://audio.iskcondesiretree.com/01_-_Srila_Prabhupada/01_-_Lectures/01_-_English/02_-_Month_wise/06_-_June/28/Walk_1975-06-28_MW-DENVER.MP3</t>
  </si>
  <si>
    <t>SP_Morning_Walk_-_Denver_1975-06-29_With_Less_Labor_Back_to_Godhead.mp3</t>
  </si>
  <si>
    <t>https://audio.iskcondesiretree.com/01_-_Srila_Prabhupada/01_-_Lectures/01_-_English/01_-_Topic_wise/Morning_Walk/SP_Morning_Walk_-_Denver_1975-06-29_With_Less_Labor_Back_to_Godhead.mp3</t>
  </si>
  <si>
    <t>SP_SB_1-2-6_Denver_1975-06-29_Sunday_Feast_Lecture.MP3</t>
  </si>
  <si>
    <t>https://audio.iskcondesiretree.com/01_-_Srila_Prabhupada/01_-_Lectures/01_-_English/01_-_Topic_wise/Srimad_Bhagavatam/Canto-01/SP_SB_1-2-6_Denver_1975-06-29_Sunday_Feast_Lecture.MP3</t>
  </si>
  <si>
    <t>SP_SB_6-1-16_Denver_1975-06-29.MP3</t>
  </si>
  <si>
    <t>https://audio.iskcondesiretree.com/01_-_Srila_Prabhupada/01_-_Lectures/01_-_English/01_-_Topic_wise/Srimad_Bhagavatam/Canto-06/SP_SB_6-1-16_Denver_1975-06-29.MP3</t>
  </si>
  <si>
    <t>MW_DEN_1975-06-29_With_Less_Labor_Back_to_Godhead.mp3</t>
  </si>
  <si>
    <t>https://audio.iskcondesiretree.com/01_-_Srila_Prabhupada/01_-_Lectures/01_-_English/02_-_Month_wise/06_-_June/29/MW_DEN_1975-06-29_With_Less_Labor_Back_to_Godhead.mp3</t>
  </si>
  <si>
    <t>SB-01-02-06_1975-06-29_SF-DENVER.MP3</t>
  </si>
  <si>
    <t>https://audio.iskcondesiretree.com/01_-_Srila_Prabhupada/01_-_Lectures/01_-_English/02_-_Month_wise/06_-_June/29/SB-01-02-06_1975-06-29_SF-DENVER.MP3</t>
  </si>
  <si>
    <t>SB-06-01-16_1975-06-29_SB-DENVER.MP3</t>
  </si>
  <si>
    <t>https://audio.iskcondesiretree.com/01_-_Srila_Prabhupada/01_-_Lectures/01_-_English/02_-_Month_wise/06_-_June/29/SB-06-01-16_1975-06-29_SB-DENVER.MP3</t>
  </si>
  <si>
    <t>Walk_1975-06-29_MW-DENVER.MP3</t>
  </si>
  <si>
    <t>https://audio.iskcondesiretree.com/01_-_Srila_Prabhupada/01_-_Lectures/01_-_English/02_-_Month_wise/06_-_June/29/Walk_1975-06-29_MW-DENVER.MP3</t>
  </si>
  <si>
    <t>SP_Morning_Walk_-_Denver_1975-06-30_Most_Powerful_Personality.mp3</t>
  </si>
  <si>
    <t>https://audio.iskcondesiretree.com/01_-_Srila_Prabhupada/01_-_Lectures/01_-_English/01_-_Topic_wise/Morning_Walk/SP_Morning_Walk_-_Denver_1975-06-30_Most_Powerful_Personality.mp3</t>
  </si>
  <si>
    <t>SP_SB_6-01-17_Denver_1975-06-30_Who_Is_a_True_Christian.mp3</t>
  </si>
  <si>
    <t>https://audio.iskcondesiretree.com/01_-_Srila_Prabhupada/01_-_Lectures/01_-_English/01_-_Topic_wise/Srimad_Bhagavatam/Canto-06/SP_SB_6-01-17_Denver_1975-06-30_Who_Is_a_True_Christian.mp3</t>
  </si>
  <si>
    <t>MW_DEN_1975-06-30_Most_Powerful_Personality.mp3</t>
  </si>
  <si>
    <t>https://audio.iskcondesiretree.com/01_-_Srila_Prabhupada/01_-_Lectures/01_-_English/02_-_Month_wise/06_-_June/30/MW_DEN_1975-06-30_Most_Powerful_Personality.mp3</t>
  </si>
  <si>
    <t>SB-06-01-17_1975-06-30_SB-DENVER.MP3</t>
  </si>
  <si>
    <t>https://audio.iskcondesiretree.com/01_-_Srila_Prabhupada/01_-_Lectures/01_-_English/02_-_Month_wise/06_-_June/30/SB-06-01-17_1975-06-30_SB-DENVER.MP3</t>
  </si>
  <si>
    <t>SB_6-01-17_DEN_1975-06-30_Who_Is_a_True_Christian.mp3</t>
  </si>
  <si>
    <t>https://audio.iskcondesiretree.com/01_-_Srila_Prabhupada/01_-_Lectures/01_-_English/02_-_Month_wise/06_-_June/30/SB_6-01-17_DEN_1975-06-30_Who_Is_a_True_Christian.mp3</t>
  </si>
  <si>
    <t>Walk_1975-06-30_MW-DENVER.MP3</t>
  </si>
  <si>
    <t>https://audio.iskcondesiretree.com/01_-_Srila_Prabhupada/01_-_Lectures/01_-_English/02_-_Month_wise/06_-_June/30/Walk_1975-06-30_MW-DENVER.MP3</t>
  </si>
  <si>
    <t>SP_Morning_Walk_-_Denver_1975-07-01_Spiritual_Food_and_Finance.mp3</t>
  </si>
  <si>
    <t>https://audio.iskcondesiretree.com/01_-_Srila_Prabhupada/01_-_Lectures/01_-_English/01_-_Topic_wise/Morning_Walk/SP_Morning_Walk_-_Denver_1975-07-01_Spiritual_Food_and_Finance.mp3</t>
  </si>
  <si>
    <t>SP_SB_6-01-18_Denver_1975-07-01_Prasadam_Krishna%27s--etc.mp3</t>
  </si>
  <si>
    <t>https://audio.iskcondesiretree.com/01_-_Srila_Prabhupada/01_-_Lectures/01_-_English/01_-_Topic_wise/Srimad_Bhagavatam/Canto-06/SP_SB_6-01-18_Denver_1975-07-01_Prasadam_Krishna%27s--etc.mp3</t>
  </si>
  <si>
    <t>SP_SB_6-01-19_Denver_1975-07-01_Pure_Profit.mp3</t>
  </si>
  <si>
    <t>https://audio.iskcondesiretree.com/01_-_Srila_Prabhupada/01_-_Lectures/01_-_English/01_-_Topic_wise/Srimad_Bhagavatam/Canto-06/SP_SB_6-01-19_Denver_1975-07-01_Pure_Profit.mp3</t>
  </si>
  <si>
    <t>MW_DEN_1975-07-01_Spiritual_Food_and_Finance.mp3</t>
  </si>
  <si>
    <t>https://audio.iskcondesiretree.com/01_-_Srila_Prabhupada/01_-_Lectures/01_-_English/02_-_Month_wise/07_-_July/01/MW_DEN_1975-07-01_Spiritual_Food_and_Finance.mp3</t>
  </si>
  <si>
    <t>SB-06-01-18_1975-07-01_SB-DENVER.MP3</t>
  </si>
  <si>
    <t>https://audio.iskcondesiretree.com/01_-_Srila_Prabhupada/01_-_Lectures/01_-_English/02_-_Month_wise/07_-_July/01/SB-06-01-18_1975-07-01_SB-DENVER.MP3</t>
  </si>
  <si>
    <t>SB_6-01-18_DEN_1975-07-01_Prasadam_Krishna%27s_etc.mp3</t>
  </si>
  <si>
    <t>https://audio.iskcondesiretree.com/01_-_Srila_Prabhupada/01_-_Lectures/01_-_English/02_-_Month_wise/07_-_July/01/SB_6-01-18_DEN_1975-07-01_Prasadam_Krishna%27s_etc.mp3</t>
  </si>
  <si>
    <t>SB_6-01-19_DEN_1975-07-01_Pure_Profit.mp3</t>
  </si>
  <si>
    <t>https://audio.iskcondesiretree.com/01_-_Srila_Prabhupada/01_-_Lectures/01_-_English/02_-_Month_wise/07_-_July/01/SB_6-01-19_DEN_1975-07-01_Pure_Profit.mp3</t>
  </si>
  <si>
    <t>Walk_1975-07-01_MW-DENVER.MP3</t>
  </si>
  <si>
    <t>https://audio.iskcondesiretree.com/01_-_Srila_Prabhupada/01_-_Lectures/01_-_English/02_-_Month_wise/07_-_July/01/Walk_1975-07-01_MW-DENVER.MP3</t>
  </si>
  <si>
    <t>SP_Morning_Walk_-_Denver_1975-07-02_Each_Second_a_New_Body.mp3</t>
  </si>
  <si>
    <t>https://audio.iskcondesiretree.com/01_-_Srila_Prabhupada/01_-_Lectures/01_-_English/01_-_Topic_wise/Morning_Walk/SP_Morning_Walk_-_Denver_1975-07-02_Each_Second_a_New_Body.mp3</t>
  </si>
  <si>
    <t>MW_DEN_1975-07-02_Each_Second_a_New_Body.mp3</t>
  </si>
  <si>
    <t>https://audio.iskcondesiretree.com/01_-_Srila_Prabhupada/01_-_Lectures/01_-_English/02_-_Month_wise/07_-_July/02/MW_DEN_1975-07-02_Each_Second_a_New_Body.mp3</t>
  </si>
  <si>
    <t>SB-06-01-19_1975-07-02_SB-DENVER.MP3</t>
  </si>
  <si>
    <t>https://audio.iskcondesiretree.com/01_-_Srila_Prabhupada/01_-_Lectures/01_-_English/02_-_Month_wise/07_-_July/02/SB-06-01-19_1975-07-02_SB-DENVER.MP3</t>
  </si>
  <si>
    <t>Walk_1975-07-02_MW-DENVER.MP3</t>
  </si>
  <si>
    <t>https://audio.iskcondesiretree.com/01_-_Srila_Prabhupada/01_-_Lectures/01_-_English/02_-_Month_wise/07_-_July/02/Walk_1975-07-02_MW-DENVER.MP3</t>
  </si>
  <si>
    <t>SP_Arrival_Chicago_1975-07-03_My_Mission_Is_To_Stop_the_Crimes--etc.mp3</t>
  </si>
  <si>
    <t>https://audio.iskcondesiretree.com/01_-_Srila_Prabhupada/01_-_Lectures/01_-_English/01_-_Topic_wise/Arrival_Address/SP_Arrival_Chicago_1975-07-03_My_Mission_Is_To_Stop_the_Crimes--etc.mp3</t>
  </si>
  <si>
    <t>SP_Morning_Walk_-_Denver_1975-07-03_Sometimes_This_Material_World_Is--etc.mp3</t>
  </si>
  <si>
    <t>https://audio.iskcondesiretree.com/01_-_Srila_Prabhupada/01_-_Lectures/01_-_English/01_-_Topic_wise/Morning_Walk/SP_Morning_Walk_-_Denver_1975-07-03_Sometimes_This_Material_World_Is--etc.mp3</t>
  </si>
  <si>
    <t>Arr_CHI_1975-07-03_My_Mission_Is_To_Stop_the_Crimes_etc.mp3</t>
  </si>
  <si>
    <t>https://audio.iskcondesiretree.com/01_-_Srila_Prabhupada/01_-_Lectures/01_-_English/02_-_Month_wise/07_-_July/03/Arr_CHI_1975-07-03_My_Mission_Is_To_Stop_the_Crimes_etc.mp3</t>
  </si>
  <si>
    <t>Arrival_1975-07-03_AR-CHICAGO.MP3</t>
  </si>
  <si>
    <t>https://audio.iskcondesiretree.com/01_-_Srila_Prabhupada/01_-_Lectures/01_-_English/02_-_Month_wise/07_-_July/03/Arrival_1975-07-03_AR-CHICAGO.MP3</t>
  </si>
  <si>
    <t>MW_DEN_1975-07-03_Sometimes_This_Material_World_Is_etc.mp3</t>
  </si>
  <si>
    <t>https://audio.iskcondesiretree.com/01_-_Srila_Prabhupada/01_-_Lectures/01_-_English/02_-_Month_wise/07_-_July/03/MW_DEN_1975-07-03_Sometimes_This_Material_World_Is_etc.mp3</t>
  </si>
  <si>
    <t>Walk_1975-07-03_MW-DENVER.MP3</t>
  </si>
  <si>
    <t>https://audio.iskcondesiretree.com/01_-_Srila_Prabhupada/01_-_Lectures/01_-_English/02_-_Month_wise/07_-_July/03/Walk_1975-07-03_MW-DENVER.MP3</t>
  </si>
  <si>
    <t>SP_Morning_Walk_-_Chicago_1975-07-04_Scientists_Controlling_Nature--That--etc.mp3</t>
  </si>
  <si>
    <t>https://audio.iskcondesiretree.com/01_-_Srila_Prabhupada/01_-_Lectures/01_-_English/01_-_Topic_wise/Morning_Walk/SP_Morning_Walk_-_Chicago_1975-07-04_Scientists_Controlling_Nature--That--etc.mp3</t>
  </si>
  <si>
    <t>SP_Room_Conversation_Chicago_1975-07-04_Mayor_of_Evanston--Administrators--etc.mp3</t>
  </si>
  <si>
    <t>https://audio.iskcondesiretree.com/01_-_Srila_Prabhupada/01_-_Lectures/01_-_English/01_-_Topic_wise/Room_Conversation/SP_Room_Conversation_Chicago_1975-07-04_Mayor_of_Evanston--Administrators--etc.mp3</t>
  </si>
  <si>
    <t>SP_SB_6-01-20_Chicago_1975-07-04_Crime-Why_and_What_to_Do.mp3</t>
  </si>
  <si>
    <t>https://audio.iskcondesiretree.com/01_-_Srila_Prabhupada/01_-_Lectures/01_-_English/01_-_Topic_wise/Srimad_Bhagavatam/Canto-06/SP_SB_6-01-20_Chicago_1975-07-04_Crime-Why_and_What_to_Do.mp3</t>
  </si>
  <si>
    <t>Conv_1975-07-04_R1-CHICAGO.MP3</t>
  </si>
  <si>
    <t>https://audio.iskcondesiretree.com/01_-_Srila_Prabhupada/01_-_Lectures/01_-_English/02_-_Month_wise/07_-_July/04/Conv_1975-07-04_R1-CHICAGO.MP3</t>
  </si>
  <si>
    <t>MW_CHI_1975-07-04_Scientists_Controlling_Nature_That_etc.mp3</t>
  </si>
  <si>
    <t>https://audio.iskcondesiretree.com/01_-_Srila_Prabhupada/01_-_Lectures/01_-_English/02_-_Month_wise/07_-_July/04/MW_CHI_1975-07-04_Scientists_Controlling_Nature_That_etc.mp3</t>
  </si>
  <si>
    <t>RC_CHI_1975-07-04_Mayor_of_Evanston-Administrators_etc.mp3</t>
  </si>
  <si>
    <t>https://audio.iskcondesiretree.com/01_-_Srila_Prabhupada/01_-_Lectures/01_-_English/02_-_Month_wise/07_-_July/04/RC_CHI_1975-07-04_Mayor_of_Evanston-Administrators_etc.mp3</t>
  </si>
  <si>
    <t>SB-06-01-20_1975-07-04_SB-CHICAGO.MP3</t>
  </si>
  <si>
    <t>https://audio.iskcondesiretree.com/01_-_Srila_Prabhupada/01_-_Lectures/01_-_English/02_-_Month_wise/07_-_July/04/SB-06-01-20_1975-07-04_SB-CHICAGO.MP3</t>
  </si>
  <si>
    <t>SB_6-01-20_CHI_1975-07-04_Crime-Why_and_What_to_Do.mp3</t>
  </si>
  <si>
    <t>https://audio.iskcondesiretree.com/01_-_Srila_Prabhupada/01_-_Lectures/01_-_English/02_-_Month_wise/07_-_July/04/SB_6-01-20_CHI_1975-07-04_Crime-Why_and_What_to_Do.mp3</t>
  </si>
  <si>
    <t>Walk_1975-07-04_MW-CHICAGO.MP3</t>
  </si>
  <si>
    <t>https://audio.iskcondesiretree.com/01_-_Srila_Prabhupada/01_-_Lectures/01_-_English/02_-_Month_wise/07_-_July/04/Walk_1975-07-04_MW-CHICAGO.MP3</t>
  </si>
  <si>
    <t>SP_Morning_Walk_-_Chicago_1975-07-05_The_Rarest_Books_in_the_World.mp3</t>
  </si>
  <si>
    <t>https://audio.iskcondesiretree.com/01_-_Srila_Prabhupada/01_-_Lectures/01_-_English/01_-_Topic_wise/Morning_Walk/SP_Morning_Walk_-_Chicago_1975-07-05_The_Rarest_Books_in_the_World.mp3</t>
  </si>
  <si>
    <t>SP_Room_Conversation_Chicago_1975-07-05_Chicago_Police_Dept--How_to_Prevent_Crime.mp3</t>
  </si>
  <si>
    <t>https://audio.iskcondesiretree.com/01_-_Srila_Prabhupada/01_-_Lectures/01_-_English/01_-_Topic_wise/Room_Conversation/SP_Room_Conversation_Chicago_1975-07-05_Chicago_Police_Dept--How_to_Prevent_Crime.mp3</t>
  </si>
  <si>
    <t>SP_Room_Conversation_Chicago_1975-07-05_Editor_of_Playboy_Magazine--Can_a--etc.mp3</t>
  </si>
  <si>
    <t>https://audio.iskcondesiretree.com/01_-_Srila_Prabhupada/01_-_Lectures/01_-_English/01_-_Topic_wise/Room_Conversation/SP_Room_Conversation_Chicago_1975-07-05_Editor_of_Playboy_Magazine--Can_a--etc.mp3</t>
  </si>
  <si>
    <t>SP_SB_6-01-21_Chicago_1975-07-05_How_to_Prevent_Crime.mp3</t>
  </si>
  <si>
    <t>https://audio.iskcondesiretree.com/01_-_Srila_Prabhupada/01_-_Lectures/01_-_English/01_-_Topic_wise/Srimad_Bhagavatam/Canto-06/SP_SB_6-01-21_Chicago_1975-07-05_How_to_Prevent_Crime.mp3</t>
  </si>
  <si>
    <t>Conv_1975-07-05_R1-CHICAGO.MP3</t>
  </si>
  <si>
    <t>https://audio.iskcondesiretree.com/01_-_Srila_Prabhupada/01_-_Lectures/01_-_English/02_-_Month_wise/07_-_July/05/Conv_1975-07-05_R1-CHICAGO.MP3</t>
  </si>
  <si>
    <t>Conv_1975-07-05_R2-CHICAGO.MP3</t>
  </si>
  <si>
    <t>https://audio.iskcondesiretree.com/01_-_Srila_Prabhupada/01_-_Lectures/01_-_English/02_-_Month_wise/07_-_July/05/Conv_1975-07-05_R2-CHICAGO.MP3</t>
  </si>
  <si>
    <t>MW_CHI_1975-07-05_The_Rarest_Books_in_the_World.mp3</t>
  </si>
  <si>
    <t>https://audio.iskcondesiretree.com/01_-_Srila_Prabhupada/01_-_Lectures/01_-_English/02_-_Month_wise/07_-_July/05/MW_CHI_1975-07-05_The_Rarest_Books_in_the_World.mp3</t>
  </si>
  <si>
    <t>RC_CHI_1975-07-05_CHI_Police_Dept.--How_to_Prevent_Crime.mp3</t>
  </si>
  <si>
    <t>https://audio.iskcondesiretree.com/01_-_Srila_Prabhupada/01_-_Lectures/01_-_English/02_-_Month_wise/07_-_July/05/RC_CHI_1975-07-05_CHI_Police_Dept.--How_to_Prevent_Crime.mp3</t>
  </si>
  <si>
    <t>RC_CHI_1975-07-05_Editor_of_Playboy_Magazine-Can_a_etc.mp3</t>
  </si>
  <si>
    <t>https://audio.iskcondesiretree.com/01_-_Srila_Prabhupada/01_-_Lectures/01_-_English/02_-_Month_wise/07_-_July/05/RC_CHI_1975-07-05_Editor_of_Playboy_Magazine-Can_a_etc.mp3</t>
  </si>
  <si>
    <t>SB-06-01-21_1975-07-05_SB-CHICAGO.MP3</t>
  </si>
  <si>
    <t>https://audio.iskcondesiretree.com/01_-_Srila_Prabhupada/01_-_Lectures/01_-_English/02_-_Month_wise/07_-_July/05/SB-06-01-21_1975-07-05_SB-CHICAGO.MP3</t>
  </si>
  <si>
    <t>SB_6-01-21_CHI_1975-07-05_How_to_Prevent_Crime.mp3</t>
  </si>
  <si>
    <t>https://audio.iskcondesiretree.com/01_-_Srila_Prabhupada/01_-_Lectures/01_-_English/02_-_Month_wise/07_-_July/05/SB_6-01-21_CHI_1975-07-05_How_to_Prevent_Crime.mp3</t>
  </si>
  <si>
    <t>Walk_1975-07-05_MW-CHICAGO.MP3</t>
  </si>
  <si>
    <t>https://audio.iskcondesiretree.com/01_-_Srila_Prabhupada/01_-_Lectures/01_-_English/02_-_Month_wise/07_-_July/05/Walk_1975-07-05_MW-CHICAGO.MP3</t>
  </si>
  <si>
    <t>SP_Morning_Walk_-_Chicago_1975-07-06_These_Demonic_Communists_Should_Be_Finished.mp3</t>
  </si>
  <si>
    <t>https://audio.iskcondesiretree.com/01_-_Srila_Prabhupada/01_-_Lectures/01_-_English/01_-_Topic_wise/Morning_Walk/SP_Morning_Walk_-_Chicago_1975-07-06_These_Demonic_Communists_Should_Be_Finished.mp3</t>
  </si>
  <si>
    <t>SP_SB_6-01-22_Chicago_1975-07-06_Fifth_Class_Education...--etc.mp3</t>
  </si>
  <si>
    <t>https://audio.iskcondesiretree.com/01_-_Srila_Prabhupada/01_-_Lectures/01_-_English/01_-_Topic_wise/Srimad_Bhagavatam/Canto-06/SP_SB_6-01-22_Chicago_1975-07-06_Fifth_Class_Education...--etc.mp3</t>
  </si>
  <si>
    <t>MW_CHI_1975-07-06_These_Demonic_Communists_Should_Be_Finished.mp3</t>
  </si>
  <si>
    <t>https://audio.iskcondesiretree.com/01_-_Srila_Prabhupada/01_-_Lectures/01_-_English/02_-_Month_wise/07_-_July/06/MW_CHI_1975-07-06_These_Demonic_Communists_Should_Be_Finished.mp3</t>
  </si>
  <si>
    <t>SB-06-01-22_1975-07-06_SB-CHICAGO.MP3</t>
  </si>
  <si>
    <t>https://audio.iskcondesiretree.com/01_-_Srila_Prabhupada/01_-_Lectures/01_-_English/02_-_Month_wise/07_-_July/06/SB-06-01-22_1975-07-06_SB-CHICAGO.MP3</t>
  </si>
  <si>
    <t>SB_6-01-22_CHI_1975-07-06_Fifth_Class_Education_etc.mp3</t>
  </si>
  <si>
    <t>https://audio.iskcondesiretree.com/01_-_Srila_Prabhupada/01_-_Lectures/01_-_English/02_-_Month_wise/07_-_July/06/SB_6-01-22_CHI_1975-07-06_Fifth_Class_Education_etc.mp3</t>
  </si>
  <si>
    <t>Walk_1975-07-06_MW-CHICAGO.MP3</t>
  </si>
  <si>
    <t>https://audio.iskcondesiretree.com/01_-_Srila_Prabhupada/01_-_Lectures/01_-_English/02_-_Month_wise/07_-_July/06/Walk_1975-07-06_MW-CHICAGO.MP3</t>
  </si>
  <si>
    <t>SP_Morning_Walk_-_Chicago_1975-07-07.MP3</t>
  </si>
  <si>
    <t>https://audio.iskcondesiretree.com/01_-_Srila_Prabhupada/01_-_Lectures/01_-_English/01_-_Topic_wise/Morning_Walk/SP_Morning_Walk_-_Chicago_1975-07-07.MP3</t>
  </si>
  <si>
    <t>SP_SB_6-01-23_Chicago_1975-07-07_Time_and_Tide_Wait_for_New_Orleans_Man.mp3</t>
  </si>
  <si>
    <t>https://audio.iskcondesiretree.com/01_-_Srila_Prabhupada/01_-_Lectures/01_-_English/01_-_Topic_wise/Srimad_Bhagavatam/Canto-06/SP_SB_6-01-23_Chicago_1975-07-07_Time_and_Tide_Wait_for_New_Orleans_Man.mp3</t>
  </si>
  <si>
    <t>SB-06-01-23_1975-07-07_SB-CHICAGO.MP3</t>
  </si>
  <si>
    <t>https://audio.iskcondesiretree.com/01_-_Srila_Prabhupada/01_-_Lectures/01_-_English/02_-_Month_wise/07_-_July/07/SB-06-01-23_1975-07-07_SB-CHICAGO.MP3</t>
  </si>
  <si>
    <t>SB_6-01-23_CHI_1975-07-07_Time_and_Tide_Wait_for_No_Man.mp3</t>
  </si>
  <si>
    <t>https://audio.iskcondesiretree.com/01_-_Srila_Prabhupada/01_-_Lectures/01_-_English/02_-_Month_wise/07_-_July/07/SB_6-01-23_CHI_1975-07-07_Time_and_Tide_Wait_for_No_Man.mp3</t>
  </si>
  <si>
    <t>Walk_1975-07-07_MW-CHICAGO.MP3</t>
  </si>
  <si>
    <t>https://audio.iskcondesiretree.com/01_-_Srila_Prabhupada/01_-_Lectures/01_-_English/02_-_Month_wise/07_-_July/07/Walk_1975-07-07_MW-CHICAGO.MP3</t>
  </si>
  <si>
    <t>SP_Morning_Walk_-_Chicago_1975-07-08_How_Blind_People_Are%21.mp3</t>
  </si>
  <si>
    <t>https://audio.iskcondesiretree.com/01_-_Srila_Prabhupada/01_-_Lectures/01_-_English/01_-_Topic_wise/Morning_Walk/SP_Morning_Walk_-_Chicago_1975-07-08_How_Blind_People_Are%21.mp3</t>
  </si>
  <si>
    <t>SP_SB_6-01-24_Chicago_1975-07-08_Family_Life.mp3</t>
  </si>
  <si>
    <t>https://audio.iskcondesiretree.com/01_-_Srila_Prabhupada/01_-_Lectures/01_-_English/01_-_Topic_wise/Srimad_Bhagavatam/Canto-06/SP_SB_6-01-24_Chicago_1975-07-08_Family_Life.mp3</t>
  </si>
  <si>
    <t>MW_CHI_1975-07-08_How_Blind_People_Are.mp3</t>
  </si>
  <si>
    <t>https://audio.iskcondesiretree.com/01_-_Srila_Prabhupada/01_-_Lectures/01_-_English/02_-_Month_wise/07_-_July/08/MW_CHI_1975-07-08_How_Blind_People_Are.mp3</t>
  </si>
  <si>
    <t>SB-06-01-24_1975-07-08_SB-CHICAGO.MP3</t>
  </si>
  <si>
    <t>https://audio.iskcondesiretree.com/01_-_Srila_Prabhupada/01_-_Lectures/01_-_English/02_-_Month_wise/07_-_July/08/SB-06-01-24_1975-07-08_SB-CHICAGO.MP3</t>
  </si>
  <si>
    <t>SB_6-01-24_CHI_1975-07-08_Family_Life.mp3</t>
  </si>
  <si>
    <t>https://audio.iskcondesiretree.com/01_-_Srila_Prabhupada/01_-_Lectures/01_-_English/02_-_Month_wise/07_-_July/08/SB_6-01-24_CHI_1975-07-08_Family_Life.mp3</t>
  </si>
  <si>
    <t>Walk_1975-07-08_MW-CHICAGO.MP3</t>
  </si>
  <si>
    <t>https://audio.iskcondesiretree.com/01_-_Srila_Prabhupada/01_-_Lectures/01_-_English/02_-_Month_wise/07_-_July/08/Walk_1975-07-08_MW-CHICAGO.MP3</t>
  </si>
  <si>
    <t>SP_Interview_Chicago_1975-07-09_Press--A_Higher_Philosophy.mp3</t>
  </si>
  <si>
    <t>https://audio.iskcondesiretree.com/01_-_Srila_Prabhupada/01_-_Lectures/01_-_English/01_-_Topic_wise/Interview/SP_Interview_Chicago_1975-07-09_Press--A_Higher_Philosophy.mp3</t>
  </si>
  <si>
    <t>SP_Interview_Chicago_1975-07-09_Television--Actual_Woman%27s_Liberation.mp3</t>
  </si>
  <si>
    <t>https://audio.iskcondesiretree.com/01_-_Srila_Prabhupada/01_-_Lectures/01_-_English/01_-_Topic_wise/Interview/SP_Interview_Chicago_1975-07-09_Television--Actual_Woman%27s_Liberation.mp3</t>
  </si>
  <si>
    <t>SP_Morning_Walk_-_Chicago_1975-07-09_All-isms_is_Equal_to_Animalism.mp3</t>
  </si>
  <si>
    <t>https://audio.iskcondesiretree.com/01_-_Srila_Prabhupada/01_-_Lectures/01_-_English/01_-_Topic_wise/Morning_Walk/SP_Morning_Walk_-_Chicago_1975-07-09_All-isms_is_Equal_to_Animalism.mp3</t>
  </si>
  <si>
    <t>SP_Room_Conversation_Chicago_1975-07-09_Can_You_Pass_a_Resolution.mp3</t>
  </si>
  <si>
    <t>https://audio.iskcondesiretree.com/01_-_Srila_Prabhupada/01_-_Lectures/01_-_English/01_-_Topic_wise/Room_Conversation/SP_Room_Conversation_Chicago_1975-07-09_Can_You_Pass_a_Resolution.mp3</t>
  </si>
  <si>
    <t>SP_SB_6-01-25_Chicago_1975-07-09_Attachment-To_Shadows.mp3</t>
  </si>
  <si>
    <t>https://audio.iskcondesiretree.com/01_-_Srila_Prabhupada/01_-_Lectures/01_-_English/01_-_Topic_wise/Srimad_Bhagavatam/Canto-06/SP_SB_6-01-25_Chicago_1975-07-09_Attachment-To_Shadows.mp3</t>
  </si>
  <si>
    <t>Conv_1975-07-09_R1-CHICAGO.MP3</t>
  </si>
  <si>
    <t>https://audio.iskcondesiretree.com/01_-_Srila_Prabhupada/01_-_Lectures/01_-_English/02_-_Month_wise/07_-_July/09/Conv_1975-07-09_R1-CHICAGO.MP3</t>
  </si>
  <si>
    <t>Interv_CHI_1975-07-09_Press-A_Higher_Philosophy.mp3</t>
  </si>
  <si>
    <t>https://audio.iskcondesiretree.com/01_-_Srila_Prabhupada/01_-_Lectures/01_-_English/02_-_Month_wise/07_-_July/09/Interv_CHI_1975-07-09_Press-A_Higher_Philosophy.mp3</t>
  </si>
  <si>
    <t>Interv_CHI_1975-07-09_Television-Actual_Woman%27s_Liberation.mp3</t>
  </si>
  <si>
    <t>https://audio.iskcondesiretree.com/01_-_Srila_Prabhupada/01_-_Lectures/01_-_English/02_-_Month_wise/07_-_July/09/Interv_CHI_1975-07-09_Television-Actual_Woman%27s_Liberation.mp3</t>
  </si>
  <si>
    <t>Interview_1975-07-09_IV-CHICAGO.MP3</t>
  </si>
  <si>
    <t>https://audio.iskcondesiretree.com/01_-_Srila_Prabhupada/01_-_Lectures/01_-_English/02_-_Month_wise/07_-_July/09/Interview_1975-07-09_IV-CHICAGO.MP3</t>
  </si>
  <si>
    <t>MW_CHI_1975-07-09_All-isms_is_Equal_to_Animalism.mp3</t>
  </si>
  <si>
    <t>https://audio.iskcondesiretree.com/01_-_Srila_Prabhupada/01_-_Lectures/01_-_English/02_-_Month_wise/07_-_July/09/MW_CHI_1975-07-09_All-isms_is_Equal_to_Animalism.mp3</t>
  </si>
  <si>
    <t>PressConf_1975-07-09_PC-CHICAGO.MP3</t>
  </si>
  <si>
    <t>https://audio.iskcondesiretree.com/01_-_Srila_Prabhupada/01_-_Lectures/01_-_English/02_-_Month_wise/07_-_July/09/PressConf_1975-07-09_PC-CHICAGO.MP3</t>
  </si>
  <si>
    <t>RC_CHI_1975-07-09_Can_You_Pass_a_Resolution.mp3</t>
  </si>
  <si>
    <t>https://audio.iskcondesiretree.com/01_-_Srila_Prabhupada/01_-_Lectures/01_-_English/02_-_Month_wise/07_-_July/09/RC_CHI_1975-07-09_Can_You_Pass_a_Resolution.mp3</t>
  </si>
  <si>
    <t>SB-06-01-25_1975-07-09_SB-CHICAGO.MP3</t>
  </si>
  <si>
    <t>https://audio.iskcondesiretree.com/01_-_Srila_Prabhupada/01_-_Lectures/01_-_English/02_-_Month_wise/07_-_July/09/SB-06-01-25_1975-07-09_SB-CHICAGO.MP3</t>
  </si>
  <si>
    <t>SB_6-01-25_CHI_1975-07-09_Attachment-To_Shadows.mp3</t>
  </si>
  <si>
    <t>https://audio.iskcondesiretree.com/01_-_Srila_Prabhupada/01_-_Lectures/01_-_English/02_-_Month_wise/07_-_July/09/SB_6-01-25_CHI_1975-07-09_Attachment-To_Shadows.mp3</t>
  </si>
  <si>
    <t>Walk_1975-07-09_MW-CHICAGO.MP3</t>
  </si>
  <si>
    <t>https://audio.iskcondesiretree.com/01_-_Srila_Prabhupada/01_-_Lectures/01_-_English/02_-_Month_wise/07_-_July/09/Walk_1975-07-09_MW-CHICAGO.MP3</t>
  </si>
  <si>
    <t>SP_Morning_Walk_-_Chicago_1975-07-10.MP3</t>
  </si>
  <si>
    <t>https://audio.iskcondesiretree.com/01_-_Srila_Prabhupada/01_-_Lectures/01_-_English/01_-_Topic_wise/Morning_Walk/SP_Morning_Walk_-_Chicago_1975-07-10.MP3</t>
  </si>
  <si>
    <t>SP_Room_Conversation_01_Chicago_1975-07-10.MP3</t>
  </si>
  <si>
    <t>https://audio.iskcondesiretree.com/01_-_Srila_Prabhupada/01_-_Lectures/01_-_English/01_-_Topic_wise/Room_Conversation/SP_Room_Conversation_01_Chicago_1975-07-10.MP3</t>
  </si>
  <si>
    <t>SP_Lecture_and_Initiation_Chicago_1975-07-10.MP3</t>
  </si>
  <si>
    <t>https://audio.iskcondesiretree.com/01_-_Srila_Prabhupada/01_-_Lectures/01_-_English/01_-_Topic_wise/Various/SP_Lecture_and_Initiation_Chicago_1975-07-10.MP3</t>
  </si>
  <si>
    <t>Conv_1975-07-10_R1-CHICAGO.MP3</t>
  </si>
  <si>
    <t>https://audio.iskcondesiretree.com/01_-_Srila_Prabhupada/01_-_Lectures/01_-_English/02_-_Month_wise/07_-_July/10/Conv_1975-07-10_R1-CHICAGO.MP3</t>
  </si>
  <si>
    <t>Initiations_1975-07-10_IN-CHICAGO.MP3</t>
  </si>
  <si>
    <t>https://audio.iskcondesiretree.com/01_-_Srila_Prabhupada/01_-_Lectures/01_-_English/02_-_Month_wise/07_-_July/10/Initiations_1975-07-10_IN-CHICAGO.MP3</t>
  </si>
  <si>
    <t>Walk_1975-07-10_MW-CHICAGO.MP3</t>
  </si>
  <si>
    <t>https://audio.iskcondesiretree.com/01_-_Srila_Prabhupada/01_-_Lectures/01_-_English/02_-_Month_wise/07_-_July/10/Walk_1975-07-10_MW-CHICAGO.MP3</t>
  </si>
  <si>
    <t>SP_Arrival_Philadelphia_1975-07-11.MP3</t>
  </si>
  <si>
    <t>https://audio.iskcondesiretree.com/01_-_Srila_Prabhupada/01_-_Lectures/01_-_English/01_-_Topic_wise/Arrival_Address/SP_Arrival_Philadelphia_1975-07-11.MP3</t>
  </si>
  <si>
    <t>SP_Arrival_Philadelphia_1975-07-11_The_Dancing_Platform.mp3</t>
  </si>
  <si>
    <t>https://audio.iskcondesiretree.com/01_-_Srila_Prabhupada/01_-_Lectures/01_-_English/01_-_Topic_wise/Arrival_Address/SP_Arrival_Philadelphia_1975-07-11_The_Dancing_Platform.mp3</t>
  </si>
  <si>
    <t>SP_Interview_Philadelphia_1975-07-11_Press--Spirits_in_Alien_Machines.mp3</t>
  </si>
  <si>
    <t>https://audio.iskcondesiretree.com/01_-_Srila_Prabhupada/01_-_Lectures/01_-_English/01_-_Topic_wise/Interview/SP_Interview_Philadelphia_1975-07-11_Press--Spirits_in_Alien_Machines.mp3</t>
  </si>
  <si>
    <t>SP_Morning_Walk_-_Chicago_1975-07-11_Darwin%27s_Speculation_is_Not_Science.mp3</t>
  </si>
  <si>
    <t>https://audio.iskcondesiretree.com/01_-_Srila_Prabhupada/01_-_Lectures/01_-_English/01_-_Topic_wise/Morning_Walk/SP_Morning_Walk_-_Chicago_1975-07-11_Darwin%27s_Speculation_is_Not_Science.mp3</t>
  </si>
  <si>
    <t>SP_SB_6-01-26_Chicago_1975-07-11_An_Ass%27s_Affection.mp3</t>
  </si>
  <si>
    <t>https://audio.iskcondesiretree.com/01_-_Srila_Prabhupada/01_-_Lectures/01_-_English/01_-_Topic_wise/Srimad_Bhagavatam/Canto-06/SP_SB_6-01-26_Chicago_1975-07-11_An_Ass%27s_Affection.mp3</t>
  </si>
  <si>
    <t>Arr_PHI_1975-07-11_The_Dancing_Platform.mp3</t>
  </si>
  <si>
    <t>https://audio.iskcondesiretree.com/01_-_Srila_Prabhupada/01_-_Lectures/01_-_English/02_-_Month_wise/07_-_July/11/Arr_PHI_1975-07-11_The_Dancing_Platform.mp3</t>
  </si>
  <si>
    <t>Arrival_1975-07-11_A2-PHILADELPHIA.MP3</t>
  </si>
  <si>
    <t>https://audio.iskcondesiretree.com/01_-_Srila_Prabhupada/01_-_Lectures/01_-_English/02_-_Month_wise/07_-_July/11/Arrival_1975-07-11_A2-PHILADELPHIA.MP3</t>
  </si>
  <si>
    <t>Arrival_1975-07-11_AR-PHILADELPHIA.MP3</t>
  </si>
  <si>
    <t>https://audio.iskcondesiretree.com/01_-_Srila_Prabhupada/01_-_Lectures/01_-_English/02_-_Month_wise/07_-_July/11/Arrival_1975-07-11_AR-PHILADELPHIA.MP3</t>
  </si>
  <si>
    <t>Initiations_1975-07-11_IN-CHICAGO.MP3</t>
  </si>
  <si>
    <t>https://audio.iskcondesiretree.com/01_-_Srila_Prabhupada/01_-_Lectures/01_-_English/02_-_Month_wise/07_-_July/11/Initiations_1975-07-11_IN-CHICAGO.MP3</t>
  </si>
  <si>
    <t>Interv_PHI_1975-07-11_Press-Spirits_in_Alien_Machines.mp3</t>
  </si>
  <si>
    <t>https://audio.iskcondesiretree.com/01_-_Srila_Prabhupada/01_-_Lectures/01_-_English/02_-_Month_wise/07_-_July/11/Interv_PHI_1975-07-11_Press-Spirits_in_Alien_Machines.mp3</t>
  </si>
  <si>
    <t>MW_CHI_1975-07-11_Darwin%27s_Speculation_is_Not_Science.mp3</t>
  </si>
  <si>
    <t>https://audio.iskcondesiretree.com/01_-_Srila_Prabhupada/01_-_Lectures/01_-_English/02_-_Month_wise/07_-_July/11/MW_CHI_1975-07-11_Darwin%27s_Speculation_is_Not_Science.mp3</t>
  </si>
  <si>
    <t>SB-06-01-26_1975-07-11_SB-CHICAGO.MP3</t>
  </si>
  <si>
    <t>https://audio.iskcondesiretree.com/01_-_Srila_Prabhupada/01_-_Lectures/01_-_English/02_-_Month_wise/07_-_July/11/SB-06-01-26_1975-07-11_SB-CHICAGO.MP3</t>
  </si>
  <si>
    <t>SB_6-01-26_CHI_1975-07-11_An_Ass%27s_Affection.mp3</t>
  </si>
  <si>
    <t>https://audio.iskcondesiretree.com/01_-_Srila_Prabhupada/01_-_Lectures/01_-_English/02_-_Month_wise/07_-_July/11/SB_6-01-26_CHI_1975-07-11_An_Ass%27s_Affection.mp3</t>
  </si>
  <si>
    <t>Walk_1975-07-11_MW-CHICAGO.MP3</t>
  </si>
  <si>
    <t>https://audio.iskcondesiretree.com/01_-_Srila_Prabhupada/01_-_Lectures/01_-_English/02_-_Month_wise/07_-_July/11/Walk_1975-07-11_MW-CHICAGO.MP3</t>
  </si>
  <si>
    <t>SP_Festivals_Philadelphia_1975-07-12_Ratha-yatra--Glimpse_of_the_Spiritual_World.mp3</t>
  </si>
  <si>
    <t>https://audio.iskcondesiretree.com/01_-_Srila_Prabhupada/01_-_Lectures/01_-_English/01_-_Topic_wise/Festivals/SP_Festivals_Philadelphia_1975-07-12_Ratha-yatra--Glimpse_of_the_Spiritual_World.mp3</t>
  </si>
  <si>
    <t>SP_Morning_Walk_-_Philadelphia_1975-07-12_Inductive_Illusion.mp3</t>
  </si>
  <si>
    <t>https://audio.iskcondesiretree.com/01_-_Srila_Prabhupada/01_-_Lectures/01_-_English/01_-_Topic_wise/Morning_Walk/SP_Morning_Walk_-_Philadelphia_1975-07-12_Inductive_Illusion.mp3</t>
  </si>
  <si>
    <t>SP_SB_6-01-27_Philadelphia_1975-07-12_Asses_All.mp3</t>
  </si>
  <si>
    <t>https://audio.iskcondesiretree.com/01_-_Srila_Prabhupada/01_-_Lectures/01_-_English/01_-_Topic_wise/Srimad_Bhagavatam/Canto-06/SP_SB_6-01-27_Philadelphia_1975-07-12_Asses_All.mp3</t>
  </si>
  <si>
    <t>Fest_PHI_1975-07-12_Ratha-yatra-Glimpse_of_the_Spiritual_World.mp3</t>
  </si>
  <si>
    <t>https://audio.iskcondesiretree.com/01_-_Srila_Prabhupada/01_-_Lectures/01_-_English/02_-_Month_wise/07_-_July/12/Fest_PHI_1975-07-12_Ratha-yatra-Glimpse_of_the_Spiritual_World.mp3</t>
  </si>
  <si>
    <t>MW_PHI_1975-07-12_Inductive_Illusion.mp3</t>
  </si>
  <si>
    <t>https://audio.iskcondesiretree.com/01_-_Srila_Prabhupada/01_-_Lectures/01_-_English/02_-_Month_wise/07_-_July/12/MW_PHI_1975-07-12_Inductive_Illusion.mp3</t>
  </si>
  <si>
    <t>RathaYatra_1975-07-12_RY-PHILADELPHIA.MP3</t>
  </si>
  <si>
    <t>https://audio.iskcondesiretree.com/01_-_Srila_Prabhupada/01_-_Lectures/01_-_English/02_-_Month_wise/07_-_July/12/RathaYatra_1975-07-12_RY-PHILADELPHIA.MP3</t>
  </si>
  <si>
    <t>SB-06-01-27_1975-07-12_SB-PHILADELPHIA.MP3</t>
  </si>
  <si>
    <t>https://audio.iskcondesiretree.com/01_-_Srila_Prabhupada/01_-_Lectures/01_-_English/02_-_Month_wise/07_-_July/12/SB-06-01-27_1975-07-12_SB-PHILADELPHIA.MP3</t>
  </si>
  <si>
    <t>SB_6-01-27_PHI_1975-07-12_Asses_All.mp3</t>
  </si>
  <si>
    <t>https://audio.iskcondesiretree.com/01_-_Srila_Prabhupada/01_-_Lectures/01_-_English/02_-_Month_wise/07_-_July/12/SB_6-01-27_PHI_1975-07-12_Asses_All.mp3</t>
  </si>
  <si>
    <t>Walk_1975-07-12_MW-PHILADELPHIA.MP3</t>
  </si>
  <si>
    <t>https://audio.iskcondesiretree.com/01_-_Srila_Prabhupada/01_-_Lectures/01_-_English/02_-_Month_wise/07_-_July/12/Walk_1975-07-12_MW-PHILADELPHIA.MP3</t>
  </si>
  <si>
    <t>SP_Interview_Philadelphia_1975-07-13_Press--Phi._Enquirer--Women%27s--etc.mp3</t>
  </si>
  <si>
    <t>https://audio.iskcondesiretree.com/01_-_Srila_Prabhupada/01_-_Lectures/01_-_English/01_-_Topic_wise/Interview/SP_Interview_Philadelphia_1975-07-13_Press--Phi._Enquirer--Women%27s--etc.mp3</t>
  </si>
  <si>
    <t>SP_Room_Conversation_01_Philadelphia_1975-07-13.MP3</t>
  </si>
  <si>
    <t>https://audio.iskcondesiretree.com/01_-_Srila_Prabhupada/01_-_Lectures/01_-_English/01_-_Topic_wise/Room_Conversation/SP_Room_Conversation_01_Philadelphia_1975-07-13.MP3</t>
  </si>
  <si>
    <t>SP_Room_Conversation_02_Philadelphia_1975-07-13.MP3</t>
  </si>
  <si>
    <t>https://audio.iskcondesiretree.com/01_-_Srila_Prabhupada/01_-_Lectures/01_-_English/01_-_Topic_wise/Room_Conversation/SP_Room_Conversation_02_Philadelphia_1975-07-13.MP3</t>
  </si>
  <si>
    <t>SP_Room_Conversation_Philadelphia_1975-07-13_Prof_Thomas_J_Hopkins--The_Churn--etc.mp3</t>
  </si>
  <si>
    <t>https://audio.iskcondesiretree.com/01_-_Srila_Prabhupada/01_-_Lectures/01_-_English/01_-_Topic_wise/Room_Conversation/SP_Room_Conversation_Philadelphia_1975-07-13_Prof_Thomas_J_Hopkins--The_Churn--etc.mp3</t>
  </si>
  <si>
    <t>SP_Room_Conversation_Philadelphia_1975-07-13_You_Are_Reborn_At_Every_Moment.mp3</t>
  </si>
  <si>
    <t>https://audio.iskcondesiretree.com/01_-_Srila_Prabhupada/01_-_Lectures/01_-_English/01_-_Topic_wise/Room_Conversation/SP_Room_Conversation_Philadelphia_1975-07-13_You_Are_Reborn_At_Every_Moment.mp3</t>
  </si>
  <si>
    <t>SP_SB_6-01-28_Philadelphia_1975-07-13_Krishna_Is_Very_Tricky.mp3</t>
  </si>
  <si>
    <t>https://audio.iskcondesiretree.com/01_-_Srila_Prabhupada/01_-_Lectures/01_-_English/01_-_Topic_wise/Srimad_Bhagavatam/Canto-06/SP_SB_6-01-28_Philadelphia_1975-07-13_Krishna_Is_Very_Tricky.mp3</t>
  </si>
  <si>
    <t>Conv_1975-07-13_R1-PHILADELPHIA.MP3</t>
  </si>
  <si>
    <t>https://audio.iskcondesiretree.com/01_-_Srila_Prabhupada/01_-_Lectures/01_-_English/02_-_Month_wise/07_-_July/13/Conv_1975-07-13_R1-PHILADELPHIA.MP3</t>
  </si>
  <si>
    <t>Conv_1975-07-13_R2-PHILADELPHIA.MP3</t>
  </si>
  <si>
    <t>https://audio.iskcondesiretree.com/01_-_Srila_Prabhupada/01_-_Lectures/01_-_English/02_-_Month_wise/07_-_July/13/Conv_1975-07-13_R2-PHILADELPHIA.MP3</t>
  </si>
  <si>
    <t>Conv_1975-07-13_R3-PHILADELPHIA.MP3</t>
  </si>
  <si>
    <t>https://audio.iskcondesiretree.com/01_-_Srila_Prabhupada/01_-_Lectures/01_-_English/02_-_Month_wise/07_-_July/13/Conv_1975-07-13_R3-PHILADELPHIA.MP3</t>
  </si>
  <si>
    <t>Interv_PHI_1975-07-13_Press-Phi._Enquirer-Women%27s_etc.mp3</t>
  </si>
  <si>
    <t>https://audio.iskcondesiretree.com/01_-_Srila_Prabhupada/01_-_Lectures/01_-_English/02_-_Month_wise/07_-_July/13/Interv_PHI_1975-07-13_Press-Phi._Enquirer-Women%27s_etc.mp3</t>
  </si>
  <si>
    <t>RC_PHI_1975-07-13_Prof_Thomas_J_Hopkins-The_Churn_etc.mp3</t>
  </si>
  <si>
    <t>https://audio.iskcondesiretree.com/01_-_Srila_Prabhupada/01_-_Lectures/01_-_English/02_-_Month_wise/07_-_July/13/RC_PHI_1975-07-13_Prof_Thomas_J_Hopkins-The_Churn_etc.mp3</t>
  </si>
  <si>
    <t>RC_PHI_1975-07-13_You_Are_Reborn_At_Every_Moment.mp3</t>
  </si>
  <si>
    <t>https://audio.iskcondesiretree.com/01_-_Srila_Prabhupada/01_-_Lectures/01_-_English/02_-_Month_wise/07_-_July/13/RC_PHI_1975-07-13_You_Are_Reborn_At_Every_Moment.mp3</t>
  </si>
  <si>
    <t>SB-06-01-28%E2%80%9329_1975-07-13_SB-PHILADELPHIA.MP3</t>
  </si>
  <si>
    <t>https://audio.iskcondesiretree.com/01_-_Srila_Prabhupada/01_-_Lectures/01_-_English/02_-_Month_wise/07_-_July/13/SB-06-01-28%E2%80%9329_1975-07-13_SB-PHILADELPHIA.MP3</t>
  </si>
  <si>
    <t>SB_6-01-28_PHI_1975-07-13_Krishna_Is_Very_Tricky.mp3</t>
  </si>
  <si>
    <t>https://audio.iskcondesiretree.com/01_-_Srila_Prabhupada/01_-_Lectures/01_-_English/02_-_Month_wise/07_-_July/13/SB_6-01-28_PHI_1975-07-13_Krishna_Is_Very_Tricky.mp3</t>
  </si>
  <si>
    <t>SP_Morning_Walk_-_Philadelphia_1975-07-14_Our_Soul_Necessity.mp3</t>
  </si>
  <si>
    <t>https://audio.iskcondesiretree.com/01_-_Srila_Prabhupada/01_-_Lectures/01_-_English/01_-_Topic_wise/Morning_Walk/SP_Morning_Walk_-_Philadelphia_1975-07-14_Our_Soul_Necessity.mp3</t>
  </si>
  <si>
    <t>SP_SB_6-01-30_Philadelphia_1975-07-14_Stop_Wasting_Your_Time--etc.mp3</t>
  </si>
  <si>
    <t>https://audio.iskcondesiretree.com/01_-_Srila_Prabhupada/01_-_Lectures/01_-_English/01_-_Topic_wise/Srimad_Bhagavatam/Canto-06/SP_SB_6-01-30_Philadelphia_1975-07-14_Stop_Wasting_Your_Time--etc.mp3</t>
  </si>
  <si>
    <t>MW_PHI_1975-07-14_Our_Soul_Necessity.mp3</t>
  </si>
  <si>
    <t>https://audio.iskcondesiretree.com/01_-_Srila_Prabhupada/01_-_Lectures/01_-_English/02_-_Month_wise/07_-_July/14/MW_PHI_1975-07-14_Our_Soul_Necessity.mp3</t>
  </si>
  <si>
    <t>SB-06-01-30_1975-07-14_SB-PHILADELPHIA.MP3</t>
  </si>
  <si>
    <t>https://audio.iskcondesiretree.com/01_-_Srila_Prabhupada/01_-_Lectures/01_-_English/02_-_Month_wise/07_-_July/14/SB-06-01-30_1975-07-14_SB-PHILADELPHIA.MP3</t>
  </si>
  <si>
    <t>SB_6-01-30_PHI_1975-07-14_Stop_Wasting_Your_Time_etc.mp3</t>
  </si>
  <si>
    <t>https://audio.iskcondesiretree.com/01_-_Srila_Prabhupada/01_-_Lectures/01_-_English/02_-_Month_wise/07_-_July/14/SB_6-01-30_PHI_1975-07-14_Stop_Wasting_Your_Time_etc.mp3</t>
  </si>
  <si>
    <t>Walk_1975-07-14_MW-PHILADELPHIA.MP3</t>
  </si>
  <si>
    <t>https://audio.iskcondesiretree.com/01_-_Srila_Prabhupada/01_-_Lectures/01_-_English/02_-_Month_wise/07_-_July/14/Walk_1975-07-14_MW-PHILADELPHIA.MP3</t>
  </si>
  <si>
    <t>SP_Arrival_San_Francisco_1975-07-15_Unflinching_Faith_in_God_%26_Guru.mp3</t>
  </si>
  <si>
    <t>https://audio.iskcondesiretree.com/01_-_Srila_Prabhupada/01_-_Lectures/01_-_English/01_-_Topic_wise/Arrival_Address/SP_Arrival_San_Francisco_1975-07-15_Unflinching_Faith_in_God_%26_Guru.mp3</t>
  </si>
  <si>
    <t>Arr_SF_1975-07-15_Unflinching_Faith_in_God_%26_Guru.mp3</t>
  </si>
  <si>
    <t>https://audio.iskcondesiretree.com/01_-_Srila_Prabhupada/01_-_Lectures/01_-_English/02_-_Month_wise/07_-_July/15/Arr_SF_1975-07-15_Unflinching_Faith_in_God_%26_Guru.mp3</t>
  </si>
  <si>
    <t>Arrival_1975-07-15_AR-SAN%20FRANCISCO.MP3</t>
  </si>
  <si>
    <t>https://audio.iskcondesiretree.com/01_-_Srila_Prabhupada/01_-_Lectures/01_-_English/02_-_Month_wise/07_-_July/15/Arrival_1975-07-15_AR-SAN%20FRANCISCO.MP3</t>
  </si>
  <si>
    <t>SP_Morning_Walk_-_San_Francisco_1975-07-16_Become_a_Tree_at_the_University.mp3</t>
  </si>
  <si>
    <t>https://audio.iskcondesiretree.com/01_-_Srila_Prabhupada/01_-_Lectures/01_-_English/01_-_Topic_wise/Morning_Walk/SP_Morning_Walk_-_San_Francisco_1975-07-16_Become_a_Tree_at_the_University.mp3</t>
  </si>
  <si>
    <t>SP_SB_6-01-31_San_Francisco_1975-07-16_Doom_Boon_and_Deliverance.mp3</t>
  </si>
  <si>
    <t>https://audio.iskcondesiretree.com/01_-_Srila_Prabhupada/01_-_Lectures/01_-_English/01_-_Topic_wise/Srimad_Bhagavatam/Canto-06/SP_SB_6-01-31_San_Francisco_1975-07-16_Doom_Boon_and_Deliverance.mp3</t>
  </si>
  <si>
    <t>SP_Lecture_Press_Conference_San_Francisco_1975-07-16.MP3</t>
  </si>
  <si>
    <t>https://audio.iskcondesiretree.com/01_-_Srila_Prabhupada/01_-_Lectures/01_-_English/01_-_Topic_wise/Various/SP_Lecture_Press_Conference_San_Francisco_1975-07-16.MP3</t>
  </si>
  <si>
    <t>MW_SF_1975-07-16_Become_a_Tree_at_the_University.mp3</t>
  </si>
  <si>
    <t>https://audio.iskcondesiretree.com/01_-_Srila_Prabhupada/01_-_Lectures/01_-_English/02_-_Month_wise/07_-_July/16/MW_SF_1975-07-16_Become_a_Tree_at_the_University.mp3</t>
  </si>
  <si>
    <t>PressConf_1975-07-16_PC-SAN%20FRANCISCO.MP3</t>
  </si>
  <si>
    <t>https://audio.iskcondesiretree.com/01_-_Srila_Prabhupada/01_-_Lectures/01_-_English/02_-_Month_wise/07_-_July/16/PressConf_1975-07-16_PC-SAN%20FRANCISCO.MP3</t>
  </si>
  <si>
    <t>SB-06-01-31_1975-07-16_SB-SAN%20FRANCISCO.MP3</t>
  </si>
  <si>
    <t>https://audio.iskcondesiretree.com/01_-_Srila_Prabhupada/01_-_Lectures/01_-_English/02_-_Month_wise/07_-_July/16/SB-06-01-31_1975-07-16_SB-SAN%20FRANCISCO.MP3</t>
  </si>
  <si>
    <t>SB_6-01-31_SF_1975-07-16_Doom_Boon_and_Deliverance.mp3</t>
  </si>
  <si>
    <t>https://audio.iskcondesiretree.com/01_-_Srila_Prabhupada/01_-_Lectures/01_-_English/02_-_Month_wise/07_-_July/16/SB_6-01-31_SF_1975-07-16_Doom_Boon_and_Deliverance.mp3</t>
  </si>
  <si>
    <t>Walk_1975-07-16_MW-SAN%20FRANCISCO.MP3</t>
  </si>
  <si>
    <t>https://audio.iskcondesiretree.com/01_-_Srila_Prabhupada/01_-_Lectures/01_-_English/02_-_Month_wise/07_-_July/16/Walk_1975-07-16_MW-SAN%20FRANCISCO.MP3</t>
  </si>
  <si>
    <t>SP_Morning_Walk_-_San_Francisco_1975-07-17_Human_Civilization--Where.mp3</t>
  </si>
  <si>
    <t>https://audio.iskcondesiretree.com/01_-_Srila_Prabhupada/01_-_Lectures/01_-_English/01_-_Topic_wise/Morning_Walk/SP_Morning_Walk_-_San_Francisco_1975-07-17_Human_Civilization--Where.mp3</t>
  </si>
  <si>
    <t>SP_SB_6-01-32_San_Francisco_1975-07-17_Universal_Government.mp3</t>
  </si>
  <si>
    <t>https://audio.iskcondesiretree.com/01_-_Srila_Prabhupada/01_-_Lectures/01_-_English/01_-_Topic_wise/Srimad_Bhagavatam/Canto-06/SP_SB_6-01-32_San_Francisco_1975-07-17_Universal_Government.mp3</t>
  </si>
  <si>
    <t>MW_SF_1975-07-17_Human_Civilization_Where.mp3</t>
  </si>
  <si>
    <t>https://audio.iskcondesiretree.com/01_-_Srila_Prabhupada/01_-_Lectures/01_-_English/02_-_Month_wise/07_-_July/17/MW_SF_1975-07-17_Human_Civilization_Where.mp3</t>
  </si>
  <si>
    <t>SB-06-01-32_1975-07-17_SB-SAN%20FRANCISCO.MP3</t>
  </si>
  <si>
    <t>https://audio.iskcondesiretree.com/01_-_Srila_Prabhupada/01_-_Lectures/01_-_English/02_-_Month_wise/07_-_July/17/SB-06-01-32_1975-07-17_SB-SAN%20FRANCISCO.MP3</t>
  </si>
  <si>
    <t>SB_6-01-32_SF_1975-07-17_Universal_Government.mp3</t>
  </si>
  <si>
    <t>https://audio.iskcondesiretree.com/01_-_Srila_Prabhupada/01_-_Lectures/01_-_English/02_-_Month_wise/07_-_July/17/SB_6-01-32_SF_1975-07-17_Universal_Government.mp3</t>
  </si>
  <si>
    <t>Walk_1975-07-17_MW-SAN%20FRANCISCO.MP3</t>
  </si>
  <si>
    <t>https://audio.iskcondesiretree.com/01_-_Srila_Prabhupada/01_-_Lectures/01_-_English/02_-_Month_wise/07_-_July/17/Walk_1975-07-17_MW-SAN%20FRANCISCO.MP3</t>
  </si>
  <si>
    <t>SP_Morning_Walk_-_San_Francisco_1975-07-18_Crossing_the_Ocean_by_Becoming_a_Fish.mp3</t>
  </si>
  <si>
    <t>https://audio.iskcondesiretree.com/01_-_Srila_Prabhupada/01_-_Lectures/01_-_English/01_-_Topic_wise/Morning_Walk/SP_Morning_Walk_-_San_Francisco_1975-07-18_Crossing_the_Ocean_by_Becoming_a_Fish.mp3</t>
  </si>
  <si>
    <t>SP_SB_6-01-33_San_Francisco_1975-07-18_Catching_the_Tail_of_a_Dog.mp3</t>
  </si>
  <si>
    <t>https://audio.iskcondesiretree.com/01_-_Srila_Prabhupada/01_-_Lectures/01_-_English/01_-_Topic_wise/Srimad_Bhagavatam/Canto-06/SP_SB_6-01-33_San_Francisco_1975-07-18_Catching_the_Tail_of_a_Dog.mp3</t>
  </si>
  <si>
    <t>MW_SF_1975-07-18_Crossing_the_Ocean_by_Becoming_a_Fish.mp3</t>
  </si>
  <si>
    <t>https://audio.iskcondesiretree.com/01_-_Srila_Prabhupada/01_-_Lectures/01_-_English/02_-_Month_wise/07_-_July/18/MW_SF_1975-07-18_Crossing_the_Ocean_by_Becoming_a_Fish.mp3</t>
  </si>
  <si>
    <t>SB-06-01-33_1975-07-18_SB-SAN%20FRANCISCO.MP3</t>
  </si>
  <si>
    <t>https://audio.iskcondesiretree.com/01_-_Srila_Prabhupada/01_-_Lectures/01_-_English/02_-_Month_wise/07_-_July/18/SB-06-01-33_1975-07-18_SB-SAN%20FRANCISCO.MP3</t>
  </si>
  <si>
    <t>SB_6-01-33_SF_1975-07-18_Catching_the_Tail_of_a_Dog.mp3</t>
  </si>
  <si>
    <t>https://audio.iskcondesiretree.com/01_-_Srila_Prabhupada/01_-_Lectures/01_-_English/02_-_Month_wise/07_-_July/18/SB_6-01-33_SF_1975-07-18_Catching_the_Tail_of_a_Dog.mp3</t>
  </si>
  <si>
    <t>Walk_1975-07-18_MW-SAN%20FRANCISCO.MP3</t>
  </si>
  <si>
    <t>https://audio.iskcondesiretree.com/01_-_Srila_Prabhupada/01_-_Lectures/01_-_English/02_-_Month_wise/07_-_July/18/Walk_1975-07-18_MW-SAN%20FRANCISCO.MP3</t>
  </si>
  <si>
    <t>SP_Morning_Walk_-_San_Francisco_1975-07-19_%27I_Have_Gold%27_-_%27I_Am_God%27.mp3</t>
  </si>
  <si>
    <t>https://audio.iskcondesiretree.com/01_-_Srila_Prabhupada/01_-_Lectures/01_-_English/01_-_Topic_wise/Morning_Walk/SP_Morning_Walk_-_San_Francisco_1975-07-19_%27I_Have_Gold%27_-_%27I_Am_God%27.mp3</t>
  </si>
  <si>
    <t>SP_SB_6-01-37_San_Francisco_1975-07-19_Irreligious_Religion.mp3</t>
  </si>
  <si>
    <t>https://audio.iskcondesiretree.com/01_-_Srila_Prabhupada/01_-_Lectures/01_-_English/01_-_Topic_wise/Srimad_Bhagavatam/Canto-06/SP_SB_6-01-37_San_Francisco_1975-07-19_Irreligious_Religion.mp3</t>
  </si>
  <si>
    <t>MW_SF_1975-07-19_I_Have_Gold-I_Am_God.mp3</t>
  </si>
  <si>
    <t>https://audio.iskcondesiretree.com/01_-_Srila_Prabhupada/01_-_Lectures/01_-_English/02_-_Month_wise/07_-_July/19/MW_SF_1975-07-19_I_Have_Gold-I_Am_God.mp3</t>
  </si>
  <si>
    <t>SB-06-01-37_1975-07-19_SB-SAN%20FRANCISCO.MP3</t>
  </si>
  <si>
    <t>https://audio.iskcondesiretree.com/01_-_Srila_Prabhupada/01_-_Lectures/01_-_English/02_-_Month_wise/07_-_July/19/SB-06-01-37_1975-07-19_SB-SAN%20FRANCISCO.MP3</t>
  </si>
  <si>
    <t>SB_6-01-37_SF_1975-07-19_Irreligious_Religion.mp3</t>
  </si>
  <si>
    <t>https://audio.iskcondesiretree.com/01_-_Srila_Prabhupada/01_-_Lectures/01_-_English/02_-_Month_wise/07_-_July/19/SB_6-01-37_SF_1975-07-19_Irreligious_Religion.mp3</t>
  </si>
  <si>
    <t>Walk_1975-07-19_MW-SAN%20FRANCISCO.MP3</t>
  </si>
  <si>
    <t>https://audio.iskcondesiretree.com/01_-_Srila_Prabhupada/01_-_Lectures/01_-_English/02_-_Month_wise/07_-_July/19/Walk_1975-07-19_MW-SAN%20FRANCISCO.MP3</t>
  </si>
  <si>
    <t>SP_Morning_Walk_-_San_Francisco_1975-07-20_Life_from_Chemicals-Prove_by_Experiment.mp3</t>
  </si>
  <si>
    <t>https://audio.iskcondesiretree.com/01_-_Srila_Prabhupada/01_-_Lectures/01_-_English/01_-_Topic_wise/Morning_Walk/SP_Morning_Walk_-_San_Francisco_1975-07-20_Life_from_Chemicals-Prove_by_Experiment.mp3</t>
  </si>
  <si>
    <t>SP_SB_6-01-39_San_Francisco_1975-07-20_Who_Is_Punishable.mp3</t>
  </si>
  <si>
    <t>https://audio.iskcondesiretree.com/01_-_Srila_Prabhupada/01_-_Lectures/01_-_English/01_-_Topic_wise/Srimad_Bhagavatam/Canto-06/SP_SB_6-01-39_San_Francisco_1975-07-20_Who_Is_Punishable.mp3</t>
  </si>
  <si>
    <t>MW_SF_1975-07-20_Life_from_Chemicals-Prove_by_Experiment.mp3</t>
  </si>
  <si>
    <t>https://audio.iskcondesiretree.com/01_-_Srila_Prabhupada/01_-_Lectures/01_-_English/02_-_Month_wise/07_-_July/20/MW_SF_1975-07-20_Life_from_Chemicals-Prove_by_Experiment.mp3</t>
  </si>
  <si>
    <t>SB-06-01-39_1975-07-20_SB-SAN%20FRANCISCO.MP3</t>
  </si>
  <si>
    <t>https://audio.iskcondesiretree.com/01_-_Srila_Prabhupada/01_-_Lectures/01_-_English/02_-_Month_wise/07_-_July/20/SB-06-01-39_1975-07-20_SB-SAN%20FRANCISCO.MP3</t>
  </si>
  <si>
    <t>SB_6-01-39_SF_1975-07-20_Who_Is_Punishable.mp3</t>
  </si>
  <si>
    <t>https://audio.iskcondesiretree.com/01_-_Srila_Prabhupada/01_-_Lectures/01_-_English/02_-_Month_wise/07_-_July/20/SB_6-01-39_SF_1975-07-20_Who_Is_Punishable.mp3</t>
  </si>
  <si>
    <t>Walk_1975-07-20_MW-SAN%20FRANCISCO.MP3</t>
  </si>
  <si>
    <t>https://audio.iskcondesiretree.com/01_-_Srila_Prabhupada/01_-_Lectures/01_-_English/02_-_Month_wise/07_-_July/20/Walk_1975-07-20_MW-SAN%20FRANCISCO.MP3</t>
  </si>
  <si>
    <t>SP_Morning_Walk_-_San_Francisco_1975-07-21_Moon_Rocks_from_Arizona.mp3</t>
  </si>
  <si>
    <t>https://audio.iskcondesiretree.com/01_-_Srila_Prabhupada/01_-_Lectures/01_-_English/01_-_Topic_wise/Morning_Walk/SP_Morning_Walk_-_San_Francisco_1975-07-21_Moon_Rocks_from_Arizona.mp3</t>
  </si>
  <si>
    <t>SP_Room_Conversation_01_San_Francisco_1975-07-21.MP3</t>
  </si>
  <si>
    <t>https://audio.iskcondesiretree.com/01_-_Srila_Prabhupada/01_-_Lectures/01_-_English/01_-_Topic_wise/Room_Conversation/SP_Room_Conversation_01_San_Francisco_1975-07-21.MP3</t>
  </si>
  <si>
    <t>SP_SB_6-01-40_San_Francisco_1975-07-21_God_Is_Krishna-Satan_Is_Maya.mp3</t>
  </si>
  <si>
    <t>https://audio.iskcondesiretree.com/01_-_Srila_Prabhupada/01_-_Lectures/01_-_English/01_-_Topic_wise/Srimad_Bhagavatam/Canto-06/SP_SB_6-01-40_San_Francisco_1975-07-21_God_Is_Krishna-Satan_Is_Maya.mp3</t>
  </si>
  <si>
    <t>SP_Lecture_San_Francisco_1975-07-21_Gurudasa_Sannyasa_and_Harinama_Initiations.MP3</t>
  </si>
  <si>
    <t>https://audio.iskcondesiretree.com/01_-_Srila_Prabhupada/01_-_Lectures/01_-_English/01_-_Topic_wise/Various/SP_Lecture_San_Francisco_1975-07-21_Gurudasa_Sannyasa_and_Harinama_Initiations.MP3</t>
  </si>
  <si>
    <t>Conv_1975-07-21_R1-SAN%20FRANCISCO.MP3</t>
  </si>
  <si>
    <t>https://audio.iskcondesiretree.com/01_-_Srila_Prabhupada/01_-_Lectures/01_-_English/02_-_Month_wise/07_-_July/21/Conv_1975-07-21_R1-SAN%20FRANCISCO.MP3</t>
  </si>
  <si>
    <t>Initiations_1975-07-21_IN-SAN%20FRANCISCO.MP3</t>
  </si>
  <si>
    <t>https://audio.iskcondesiretree.com/01_-_Srila_Prabhupada/01_-_Lectures/01_-_English/02_-_Month_wise/07_-_July/21/Initiations_1975-07-21_IN-SAN%20FRANCISCO.MP3</t>
  </si>
  <si>
    <t>MW_SF_1975-07-21_Moon_Rocks_from_Arizona.mp3</t>
  </si>
  <si>
    <t>https://audio.iskcondesiretree.com/01_-_Srila_Prabhupada/01_-_Lectures/01_-_English/02_-_Month_wise/07_-_July/21/MW_SF_1975-07-21_Moon_Rocks_from_Arizona.mp3</t>
  </si>
  <si>
    <t>SB-06-01-40_1975-07-21_SB-SAN%20FRANCISCO.MP3</t>
  </si>
  <si>
    <t>https://audio.iskcondesiretree.com/01_-_Srila_Prabhupada/01_-_Lectures/01_-_English/02_-_Month_wise/07_-_July/21/SB-06-01-40_1975-07-21_SB-SAN%20FRANCISCO.MP3</t>
  </si>
  <si>
    <t>SB_6-01-40_SF_1975-07-21_God_Is_Krishna-Satan_Is_Maya.mp3</t>
  </si>
  <si>
    <t>https://audio.iskcondesiretree.com/01_-_Srila_Prabhupada/01_-_Lectures/01_-_English/02_-_Month_wise/07_-_July/21/SB_6-01-40_SF_1975-07-21_God_Is_Krishna-Satan_Is_Maya.mp3</t>
  </si>
  <si>
    <t>Walk_1975-07-21_MW-SAN%20FRANCISCO.MP3</t>
  </si>
  <si>
    <t>https://audio.iskcondesiretree.com/01_-_Srila_Prabhupada/01_-_Lectures/01_-_English/02_-_Month_wise/07_-_July/21/Walk_1975-07-21_MW-SAN%20FRANCISCO.MP3</t>
  </si>
  <si>
    <t>SP_SB_6-1-41_Los_Angeles_1975-07-22.MP3</t>
  </si>
  <si>
    <t>https://audio.iskcondesiretree.com/01_-_Srila_Prabhupada/01_-_Lectures/01_-_English/01_-_Topic_wise/Srimad_Bhagavatam/Canto-06/SP_SB_6-1-41_Los_Angeles_1975-07-22.MP3</t>
  </si>
  <si>
    <t>SB-06-01-41_1975-07-22_SB-LOS%20ANGELES.MP3</t>
  </si>
  <si>
    <t>https://audio.iskcondesiretree.com/01_-_Srila_Prabhupada/01_-_Lectures/01_-_English/02_-_Month_wise/07_-_July/22/SB-06-01-41_1975-07-22_SB-LOS%20ANGELES.MP3</t>
  </si>
  <si>
    <t>SP_SB_6-1-42_Los_Angeles_1975-07-23.MP3</t>
  </si>
  <si>
    <t>https://audio.iskcondesiretree.com/01_-_Srila_Prabhupada/01_-_Lectures/01_-_English/01_-_Topic_wise/Srimad_Bhagavatam/Canto-06/SP_SB_6-1-42_Los_Angeles_1975-07-23.MP3</t>
  </si>
  <si>
    <t>SB-06-01-42_1975-07-23_SB-LOS%20ANGELES.MP3</t>
  </si>
  <si>
    <t>https://audio.iskcondesiretree.com/01_-_Srila_Prabhupada/01_-_Lectures/01_-_English/02_-_Month_wise/07_-_July/23/SB-06-01-42_1975-07-23_SB-LOS%20ANGELES.MP3</t>
  </si>
  <si>
    <t>SP_Morning_Walk_-_Los_Angeles_1975-07-24_Progress_Means_When_You_Conquer_Death.mp3</t>
  </si>
  <si>
    <t>https://audio.iskcondesiretree.com/01_-_Srila_Prabhupada/01_-_Lectures/01_-_English/01_-_Topic_wise/Morning_Walk/SP_Morning_Walk_-_Los_Angeles_1975-07-24_Progress_Means_When_You_Conquer_Death.mp3</t>
  </si>
  <si>
    <t>SP_SB_6-1-43_Los_Angeles_1975-07-24.MP3</t>
  </si>
  <si>
    <t>https://audio.iskcondesiretree.com/01_-_Srila_Prabhupada/01_-_Lectures/01_-_English/01_-_Topic_wise/Srimad_Bhagavatam/Canto-06/SP_SB_6-1-43_Los_Angeles_1975-07-24.MP3</t>
  </si>
  <si>
    <t>MW_LA_1975-07-24_Progress_Means_When_You_Conquer_Death.mp3</t>
  </si>
  <si>
    <t>https://audio.iskcondesiretree.com/01_-_Srila_Prabhupada/01_-_Lectures/01_-_English/02_-_Month_wise/07_-_July/24/MW_LA_1975-07-24_Progress_Means_When_You_Conquer_Death.mp3</t>
  </si>
  <si>
    <t>SB-06-01-43_1975-07-24_SB-LOS%20ANGELES.MP3</t>
  </si>
  <si>
    <t>https://audio.iskcondesiretree.com/01_-_Srila_Prabhupada/01_-_Lectures/01_-_English/02_-_Month_wise/07_-_July/24/SB-06-01-43_1975-07-24_SB-LOS%20ANGELES.MP3</t>
  </si>
  <si>
    <t>Walk_1975-07-24_MW-LOS%20ANGELES.MP3</t>
  </si>
  <si>
    <t>https://audio.iskcondesiretree.com/01_-_Srila_Prabhupada/01_-_Lectures/01_-_English/02_-_Month_wise/07_-_July/24/Walk_1975-07-24_MW-LOS%20ANGELES.MP3</t>
  </si>
  <si>
    <t>SP_Morning_Walk_-_Los_Angeles_1975-07-25_Full_of_Anxiety_Is_Not_OK.mp3</t>
  </si>
  <si>
    <t>https://audio.iskcondesiretree.com/01_-_Srila_Prabhupada/01_-_Lectures/01_-_English/01_-_Topic_wise/Morning_Walk/SP_Morning_Walk_-_Los_Angeles_1975-07-25_Full_of_Anxiety_Is_Not_OK.mp3</t>
  </si>
  <si>
    <t>SP_SB_6-1-44_Los_Angeles_1975-07-25.MP3</t>
  </si>
  <si>
    <t>https://audio.iskcondesiretree.com/01_-_Srila_Prabhupada/01_-_Lectures/01_-_English/01_-_Topic_wise/Srimad_Bhagavatam/Canto-06/SP_SB_6-1-44_Los_Angeles_1975-07-25.MP3</t>
  </si>
  <si>
    <t>MW_LA_1975-07-25_Full_of_Anxiety_Is_Not_OK.mp3</t>
  </si>
  <si>
    <t>https://audio.iskcondesiretree.com/01_-_Srila_Prabhupada/01_-_Lectures/01_-_English/02_-_Month_wise/07_-_July/25/MW_LA_1975-07-25_Full_of_Anxiety_Is_Not_OK.mp3</t>
  </si>
  <si>
    <t>SB-06-01-44_1975-07-25_SB-LOS%20ANGELES.MP3</t>
  </si>
  <si>
    <t>https://audio.iskcondesiretree.com/01_-_Srila_Prabhupada/01_-_Lectures/01_-_English/02_-_Month_wise/07_-_July/25/SB-06-01-44_1975-07-25_SB-LOS%20ANGELES.MP3</t>
  </si>
  <si>
    <t>Walk_1975-07-25_MW-LOS%20ANGELES.MP3</t>
  </si>
  <si>
    <t>https://audio.iskcondesiretree.com/01_-_Srila_Prabhupada/01_-_Lectures/01_-_English/02_-_Month_wise/07_-_July/25/Walk_1975-07-25_MW-LOS%20ANGELES.MP3</t>
  </si>
  <si>
    <t>SP_Morning_Walk_-_Laguna_Beach_1975-07-26.MP3</t>
  </si>
  <si>
    <t>https://audio.iskcondesiretree.com/01_-_Srila_Prabhupada/01_-_Lectures/01_-_English/01_-_Topic_wise/Morning_Walk/SP_Morning_Walk_-_Laguna_Beach_1975-07-26.MP3</t>
  </si>
  <si>
    <t>SP_Room_Conversation_Laguna_Beach_1975-07-26_We_Cannot_Possess_and_Renounce.mp3</t>
  </si>
  <si>
    <t>https://audio.iskcondesiretree.com/01_-_Srila_Prabhupada/01_-_Lectures/01_-_English/01_-_Topic_wise/Room_Conversation/SP_Room_Conversation_Laguna_Beach_1975-07-26_We_Cannot_Possess_and_Renounce.mp3</t>
  </si>
  <si>
    <t>SP_SB_6-01-45_Laguna_Beach_1975-07-26_Why_Not_Eternal_Life.mp3</t>
  </si>
  <si>
    <t>https://audio.iskcondesiretree.com/01_-_Srila_Prabhupada/01_-_Lectures/01_-_English/01_-_Topic_wise/Srimad_Bhagavatam/Canto-06/SP_SB_6-01-45_Laguna_Beach_1975-07-26_Why_Not_Eternal_Life.mp3</t>
  </si>
  <si>
    <t>Conv_1975-07-26_R1-LAGUNA%20BEACH.MP3</t>
  </si>
  <si>
    <t>https://audio.iskcondesiretree.com/01_-_Srila_Prabhupada/01_-_Lectures/01_-_English/02_-_Month_wise/07_-_July/26/Conv_1975-07-26_R1-LAGUNA%20BEACH.MP3</t>
  </si>
  <si>
    <t>RC_LB_1975-07-26_We_Cannot_Possess_and_Renounce.mp3</t>
  </si>
  <si>
    <t>https://audio.iskcondesiretree.com/01_-_Srila_Prabhupada/01_-_Lectures/01_-_English/02_-_Month_wise/07_-_July/26/RC_LB_1975-07-26_We_Cannot_Possess_and_Renounce.mp3</t>
  </si>
  <si>
    <t>SB-06-01-45_1975-07-26_SB-LAGUNA%20BEACH.MP3</t>
  </si>
  <si>
    <t>https://audio.iskcondesiretree.com/01_-_Srila_Prabhupada/01_-_Lectures/01_-_English/02_-_Month_wise/07_-_July/26/SB-06-01-45_1975-07-26_SB-LAGUNA%20BEACH.MP3</t>
  </si>
  <si>
    <t>SB_6-01-45_LB_1975-07-26_Why_Not_Eternal_Life.mp3</t>
  </si>
  <si>
    <t>https://audio.iskcondesiretree.com/01_-_Srila_Prabhupada/01_-_Lectures/01_-_English/02_-_Month_wise/07_-_July/26/SB_6-01-45_LB_1975-07-26_Why_Not_Eternal_Life.mp3</t>
  </si>
  <si>
    <t>Walk_1975-07-26_MW-LAGUNA%20BEACH.MP3</t>
  </si>
  <si>
    <t>https://audio.iskcondesiretree.com/01_-_Srila_Prabhupada/01_-_Lectures/01_-_English/02_-_Month_wise/07_-_July/26/Walk_1975-07-26_MW-LAGUNA%20BEACH.MP3</t>
  </si>
  <si>
    <t>SP_Morning_Walk_-_San_Diego_1975-07-27.MP3</t>
  </si>
  <si>
    <t>https://audio.iskcondesiretree.com/01_-_Srila_Prabhupada/01_-_Lectures/01_-_English/01_-_Topic_wise/Morning_Walk/SP_Morning_Walk_-_San_Diego_1975-07-27.MP3</t>
  </si>
  <si>
    <t>SP_SB_6-01-46_San_Diego_1975-07-27_Transcending_All_Misery.mp3</t>
  </si>
  <si>
    <t>https://audio.iskcondesiretree.com/01_-_Srila_Prabhupada/01_-_Lectures/01_-_English/01_-_Topic_wise/Srimad_Bhagavatam/Canto-06/SP_SB_6-01-46_San_Diego_1975-07-27_Transcending_All_Misery.mp3</t>
  </si>
  <si>
    <t>SB-06-01-46_1975-07-27_SB-SAN%20DIEGO.MP3</t>
  </si>
  <si>
    <t>https://audio.iskcondesiretree.com/01_-_Srila_Prabhupada/01_-_Lectures/01_-_English/02_-_Month_wise/07_-_July/27/SB-06-01-46_1975-07-27_SB-SAN%20DIEGO.MP3</t>
  </si>
  <si>
    <t>SB_6-01-46_SD_1975-07-27_Transcending_All_Misery.mp3</t>
  </si>
  <si>
    <t>https://audio.iskcondesiretree.com/01_-_Srila_Prabhupada/01_-_Lectures/01_-_English/02_-_Month_wise/07_-_July/27/SB_6-01-46_SD_1975-07-27_Transcending_All_Misery.mp3</t>
  </si>
  <si>
    <t>Walk_1975-07-27MW-SAN%20DIEGO.MP3</t>
  </si>
  <si>
    <t>https://audio.iskcondesiretree.com/01_-_Srila_Prabhupada/01_-_Lectures/01_-_English/02_-_Month_wise/07_-_July/27/Walk_1975-07-27MW-SAN%20DIEGO.MP3</t>
  </si>
  <si>
    <t>SP_Interview_Dallas_1975-07-28_Press_At_Airport--Without--etc.mp3</t>
  </si>
  <si>
    <t>https://audio.iskcondesiretree.com/01_-_Srila_Prabhupada/01_-_Lectures/01_-_English/01_-_Topic_wise/Interview/SP_Interview_Dallas_1975-07-28_Press_At_Airport--Without--etc.mp3</t>
  </si>
  <si>
    <t>SP_Morning_Walk_-_San_Diego_1975-07-28.MP3</t>
  </si>
  <si>
    <t>https://audio.iskcondesiretree.com/01_-_Srila_Prabhupada/01_-_Lectures/01_-_English/01_-_Topic_wise/Morning_Walk/SP_Morning_Walk_-_San_Diego_1975-07-28.MP3</t>
  </si>
  <si>
    <t>Interv_DAL_1975-07-28_Press_At_Airport_Without_etc.mp3</t>
  </si>
  <si>
    <t>https://audio.iskcondesiretree.com/01_-_Srila_Prabhupada/01_-_Lectures/01_-_English/02_-_Month_wise/07_-_July/28/Interv_DAL_1975-07-28_Press_At_Airport_Without_etc.mp3</t>
  </si>
  <si>
    <t>PressConf_1975-07-28_PC-DALLAS.MP3</t>
  </si>
  <si>
    <t>https://audio.iskcondesiretree.com/01_-_Srila_Prabhupada/01_-_Lectures/01_-_English/02_-_Month_wise/07_-_July/28/PressConf_1975-07-28_PC-DALLAS.MP3</t>
  </si>
  <si>
    <t>Walk_1975-07-28_MW-SAN%20DIEGO.MP3</t>
  </si>
  <si>
    <t>https://audio.iskcondesiretree.com/01_-_Srila_Prabhupada/01_-_Lectures/01_-_English/02_-_Month_wise/07_-_July/28/Walk_1975-07-28_MW-SAN%20DIEGO.MP3</t>
  </si>
  <si>
    <t>SP_Morning_Walk_-_Dallas_1975-07-29.MP3</t>
  </si>
  <si>
    <t>https://audio.iskcondesiretree.com/01_-_Srila_Prabhupada/01_-_Lectures/01_-_English/01_-_Topic_wise/Morning_Walk/SP_Morning_Walk_-_Dallas_1975-07-29.MP3</t>
  </si>
  <si>
    <t>SP_SB_6-01-47_Dallas_1975-07-29_Your_Next_Life-What_Will_It_Be.mp3</t>
  </si>
  <si>
    <t>https://audio.iskcondesiretree.com/01_-_Srila_Prabhupada/01_-_Lectures/01_-_English/01_-_Topic_wise/Srimad_Bhagavatam/Canto-06/SP_SB_6-01-47_Dallas_1975-07-29_Your_Next_Life-What_Will_It_Be.mp3</t>
  </si>
  <si>
    <t>SB-06-01-47_1975-07-29_SB-DALLAS.MP3</t>
  </si>
  <si>
    <t>https://audio.iskcondesiretree.com/01_-_Srila_Prabhupada/01_-_Lectures/01_-_English/02_-_Month_wise/07_-_July/29/SB-06-01-47_1975-07-29_SB-DALLAS.MP3</t>
  </si>
  <si>
    <t>SB_6-01-47_DAL_1975-07-29_Your_Next_Life-What_Will_It_Be.mp3</t>
  </si>
  <si>
    <t>https://audio.iskcondesiretree.com/01_-_Srila_Prabhupada/01_-_Lectures/01_-_English/02_-_Month_wise/07_-_July/29/SB_6-01-47_DAL_1975-07-29_Your_Next_Life-What_Will_It_Be.mp3</t>
  </si>
  <si>
    <t>Walk_1975-07-29_MW-DALLAS.MP3</t>
  </si>
  <si>
    <t>https://audio.iskcondesiretree.com/01_-_Srila_Prabhupada/01_-_Lectures/01_-_English/02_-_Month_wise/07_-_July/29/Walk_1975-07-29_MW-DALLAS.MP3</t>
  </si>
  <si>
    <t>SP_Morning_Walk_-_Dallas_1975-07-30.MP3</t>
  </si>
  <si>
    <t>https://audio.iskcondesiretree.com/01_-_Srila_Prabhupada/01_-_Lectures/01_-_English/01_-_Topic_wise/Morning_Walk/SP_Morning_Walk_-_Dallas_1975-07-30.MP3</t>
  </si>
  <si>
    <t>SP_SB_6-01-48_Dallas_1975-07-30_Part_and_Parcel_of_Krishna.mp3</t>
  </si>
  <si>
    <t>https://audio.iskcondesiretree.com/01_-_Srila_Prabhupada/01_-_Lectures/01_-_English/01_-_Topic_wise/Srimad_Bhagavatam/Canto-06/SP_SB_6-01-48_Dallas_1975-07-30_Part_and_Parcel_of_Krishna.mp3</t>
  </si>
  <si>
    <t>SB-06-01-48_1975-07-30_SB-DALLAS.MP3</t>
  </si>
  <si>
    <t>https://audio.iskcondesiretree.com/01_-_Srila_Prabhupada/01_-_Lectures/01_-_English/02_-_Month_wise/07_-_July/30/SB-06-01-48_1975-07-30_SB-DALLAS.MP3</t>
  </si>
  <si>
    <t>SB_6-01-48_DAL_1975-07-30_Part_and_Parcel_of_Krishna.mp3</t>
  </si>
  <si>
    <t>https://audio.iskcondesiretree.com/01_-_Srila_Prabhupada/01_-_Lectures/01_-_English/02_-_Month_wise/07_-_July/30/SB_6-01-48_DAL_1975-07-30_Part_and_Parcel_of_Krishna.mp3</t>
  </si>
  <si>
    <t>Walk_1975-07-30_MW-DALLAS.MP3</t>
  </si>
  <si>
    <t>https://audio.iskcondesiretree.com/01_-_Srila_Prabhupada/01_-_Lectures/01_-_English/02_-_Month_wise/07_-_July/30/Walk_1975-07-30_MW-DALLAS.MP3</t>
  </si>
  <si>
    <t>SP_Morning_Walk_-_Dallas_1975-07-31.MP3</t>
  </si>
  <si>
    <t>https://audio.iskcondesiretree.com/01_-_Srila_Prabhupada/01_-_Lectures/01_-_English/01_-_Topic_wise/Morning_Walk/SP_Morning_Walk_-_Dallas_1975-07-31.MP3</t>
  </si>
  <si>
    <t>SP_Room_Conversation_01_New_Orleans_1975-07-31.MP3</t>
  </si>
  <si>
    <t>https://audio.iskcondesiretree.com/01_-_Srila_Prabhupada/01_-_Lectures/01_-_English/01_-_Topic_wise/Room_Conversation/SP_Room_Conversation_01_New_Orleans_1975-07-31.MP3</t>
  </si>
  <si>
    <t>Conv_1975-07-31_R1-NEW%20ORLEANS.MP3</t>
  </si>
  <si>
    <t>https://audio.iskcondesiretree.com/01_-_Srila_Prabhupada/01_-_Lectures/01_-_English/02_-_Month_wise/07_-_July/31/Conv_1975-07-31_R1-NEW%20ORLEANS.MP3</t>
  </si>
  <si>
    <t>Walk_1975-07-31_MW-DALLAS.MP3</t>
  </si>
  <si>
    <t>https://audio.iskcondesiretree.com/01_-_Srila_Prabhupada/01_-_Lectures/01_-_English/02_-_Month_wise/07_-_July/31/Walk_1975-07-31_MW-DALLAS.MP3</t>
  </si>
  <si>
    <t>SP_Room_Conversation_01_New_Orleans_1975-08-01.MP3</t>
  </si>
  <si>
    <t>https://audio.iskcondesiretree.com/01_-_Srila_Prabhupada/01_-_Lectures/01_-_English/01_-_Topic_wise/Room_Conversation/SP_Room_Conversation_01_New_Orleans_1975-08-01.MP3</t>
  </si>
  <si>
    <t>SP_SB_6-01-49_New_Orleans_1975-08-01_Take_Advantage_of_the_Sastra.mp3</t>
  </si>
  <si>
    <t>https://audio.iskcondesiretree.com/01_-_Srila_Prabhupada/01_-_Lectures/01_-_English/01_-_Topic_wise/Srimad_Bhagavatam/Canto-06/SP_SB_6-01-49_New_Orleans_1975-08-01_Take_Advantage_of_the_Sastra.mp3</t>
  </si>
  <si>
    <t>SP_Lecture_New_Orleans_1975-08-01_Walk_Around_Farm.MP3</t>
  </si>
  <si>
    <t>https://audio.iskcondesiretree.com/01_-_Srila_Prabhupada/01_-_Lectures/01_-_English/01_-_Topic_wise/Various/SP_Lecture_New_Orleans_1975-08-01_Walk_Around_Farm.MP3</t>
  </si>
  <si>
    <t>Conv_1975-08-01_R1-NEW%20ORLEANS.MP3</t>
  </si>
  <si>
    <t>https://audio.iskcondesiretree.com/01_-_Srila_Prabhupada/01_-_Lectures/01_-_English/02_-_Month_wise/08_-_August/01/Conv_1975-08-01_R1-NEW%20ORLEANS.MP3</t>
  </si>
  <si>
    <t>SB-06-01-49_1975-08-01_SB-NEW%20ORLEANS.MP3</t>
  </si>
  <si>
    <t>https://audio.iskcondesiretree.com/01_-_Srila_Prabhupada/01_-_Lectures/01_-_English/02_-_Month_wise/08_-_August/01/SB-06-01-49_1975-08-01_SB-NEW%20ORLEANS.MP3</t>
  </si>
  <si>
    <t>SB_6-01-49_NO_1975-08-01_Take_Advantage_of_the_Sastra.mp3</t>
  </si>
  <si>
    <t>https://audio.iskcondesiretree.com/01_-_Srila_Prabhupada/01_-_Lectures/01_-_English/02_-_Month_wise/08_-_August/01/SB_6-01-49_NO_1975-08-01_Take_Advantage_of_the_Sastra.mp3</t>
  </si>
  <si>
    <t>Walk_1975-08-01_MF-NEW%20ORLEANS.MP3</t>
  </si>
  <si>
    <t>https://audio.iskcondesiretree.com/01_-_Srila_Prabhupada/01_-_Lectures/01_-_English/02_-_Month_wise/08_-_August/01/Walk_1975-08-01_MF-NEW%20ORLEANS.MP3</t>
  </si>
  <si>
    <t>SP_SB_1-02-09_Detroit_1975-08-02_Can_Sugar_Not_be_Sweet.mp3</t>
  </si>
  <si>
    <t>https://audio.iskcondesiretree.com/01_-_Srila_Prabhupada/01_-_Lectures/01_-_English/01_-_Topic_wise/Srimad_Bhagavatam/Canto-01/SP_SB_1-02-09_Detroit_1975-08-02_Can_Sugar_Not_be_Sweet.mp3</t>
  </si>
  <si>
    <t>SB_1-02-09_DET_1975-08-02_Can_Sugar_Not_be_Sweet.mp3</t>
  </si>
  <si>
    <t>https://audio.iskcondesiretree.com/01_-_Srila_Prabhupada/01_-_Lectures/01_-_English/02_-_Month_wise/08_-_August/02/SB_1-02-09_DET_1975-08-02_Can_Sugar_Not_be_Sweet.mp3</t>
  </si>
  <si>
    <t>SP_SB_1-2-9_Detroit_1975-08-03_University_Lecture.MP3</t>
  </si>
  <si>
    <t>https://audio.iskcondesiretree.com/01_-_Srila_Prabhupada/01_-_Lectures/01_-_English/01_-_Topic_wise/Srimad_Bhagavatam/Canto-01/SP_SB_1-2-9_Detroit_1975-08-03_University_Lecture.MP3</t>
  </si>
  <si>
    <t>SP_SB_6-01-50_Detroit_1975-08-03_Live_Happily_and_Go_Back.mp3</t>
  </si>
  <si>
    <t>https://audio.iskcondesiretree.com/01_-_Srila_Prabhupada/01_-_Lectures/01_-_English/01_-_Topic_wise/Srimad_Bhagavatam/Canto-06/SP_SB_6-01-50_Detroit_1975-08-03_Live_Happily_and_Go_Back.mp3</t>
  </si>
  <si>
    <t>SP_Car_Conversation_Detroit_1975-08-03.MP3</t>
  </si>
  <si>
    <t>https://audio.iskcondesiretree.com/01_-_Srila_Prabhupada/01_-_Lectures/01_-_English/01_-_Topic_wise/Various/SP_Car_Conversation_Detroit_1975-08-03.MP3</t>
  </si>
  <si>
    <t>Conv_1975-08-03_CC-DETROIT.MP3</t>
  </si>
  <si>
    <t>https://audio.iskcondesiretree.com/01_-_Srila_Prabhupada/01_-_Lectures/01_-_English/02_-_Month_wise/08_-_August/03/Conv_1975-08-03_CC-DETROIT.MP3</t>
  </si>
  <si>
    <t>SB-01-02-09_1975-08-03_S2-DETROIT.MP3</t>
  </si>
  <si>
    <t>https://audio.iskcondesiretree.com/01_-_Srila_Prabhupada/01_-_Lectures/01_-_English/02_-_Month_wise/08_-_August/03/SB-01-02-09_1975-08-03_S2-DETROIT.MP3</t>
  </si>
  <si>
    <t>SB-06-01-50_1975-08-03_SB-DETROIT.MP3</t>
  </si>
  <si>
    <t>https://audio.iskcondesiretree.com/01_-_Srila_Prabhupada/01_-_Lectures/01_-_English/02_-_Month_wise/08_-_August/03/SB-06-01-50_1975-08-03_SB-DETROIT.MP3</t>
  </si>
  <si>
    <t>SB_6-01-50_DET_1975-08-03_Live_Happily_and_Go_Back.mp3</t>
  </si>
  <si>
    <t>https://audio.iskcondesiretree.com/01_-_Srila_Prabhupada/01_-_Lectures/01_-_English/02_-_Month_wise/08_-_August/03/SB_6-01-50_DET_1975-08-03_Live_Happily_and_Go_Back.mp3</t>
  </si>
  <si>
    <t>SP_Morning_Walk_-_Detroit_1975-08-04.MP3</t>
  </si>
  <si>
    <t>https://audio.iskcondesiretree.com/01_-_Srila_Prabhupada/01_-_Lectures/01_-_English/01_-_Topic_wise/Morning_Walk/SP_Morning_Walk_-_Detroit_1975-08-04.MP3</t>
  </si>
  <si>
    <t>SP_SB_6-01-51_Detroit_1975-08-04_All_Wrapped_Up_in_Matter.mp3</t>
  </si>
  <si>
    <t>https://audio.iskcondesiretree.com/01_-_Srila_Prabhupada/01_-_Lectures/01_-_English/01_-_Topic_wise/Srimad_Bhagavatam/Canto-06/SP_SB_6-01-51_Detroit_1975-08-04_All_Wrapped_Up_in_Matter.mp3</t>
  </si>
  <si>
    <t>SB-06-01-51_1975-08-04_SB-DETROIT.MP3</t>
  </si>
  <si>
    <t>https://audio.iskcondesiretree.com/01_-_Srila_Prabhupada/01_-_Lectures/01_-_English/02_-_Month_wise/04_-_April/SB-06-01-51_1975-08-04_SB-DETROIT.MP3</t>
  </si>
  <si>
    <t>Walk_1975-08-04_MW-DETROIT.MP3</t>
  </si>
  <si>
    <t>https://audio.iskcondesiretree.com/01_-_Srila_Prabhupada/01_-_Lectures/01_-_English/02_-_Month_wise/04_-_April/Walk_1975-08-04_MW-DETROIT.MP3</t>
  </si>
  <si>
    <t>SB_6-01-51_DET_1975-08-04_All_Wrapped_Up_in_Matter.mp3</t>
  </si>
  <si>
    <t>https://audio.iskcondesiretree.com/01_-_Srila_Prabhupada/01_-_Lectures/01_-_English/02_-_Month_wise/08_-_August/04/SB_6-01-51_DET_1975-08-04_All_Wrapped_Up_in_Matter.mp3</t>
  </si>
  <si>
    <t>SP_Morning_Walk_-_Detroit_1975-08-05.MP3</t>
  </si>
  <si>
    <t>https://audio.iskcondesiretree.com/01_-_Srila_Prabhupada/01_-_Lectures/01_-_English/01_-_Topic_wise/Morning_Walk/SP_Morning_Walk_-_Detroit_1975-08-05.MP3</t>
  </si>
  <si>
    <t>SP_SB_6-01-52_Detroit_1975-08-05_New_Orleans_Hard_Labor-Only_Light.mp3</t>
  </si>
  <si>
    <t>https://audio.iskcondesiretree.com/01_-_Srila_Prabhupada/01_-_Lectures/01_-_English/01_-_Topic_wise/Srimad_Bhagavatam/Canto-06/SP_SB_6-01-52_Detroit_1975-08-05_New_Orleans_Hard_Labor-Only_Light.mp3</t>
  </si>
  <si>
    <t>SB-06-01-52_1975-08-05_SB-DETROIT.MP3</t>
  </si>
  <si>
    <t>https://audio.iskcondesiretree.com/01_-_Srila_Prabhupada/01_-_Lectures/01_-_English/02_-_Month_wise/08_-_August/05/SB-06-01-52_1975-08-05_SB-DETROIT.MP3</t>
  </si>
  <si>
    <t>SB_6-01-52_DET_1975-08-05_No_Hard_Labor-Only_Light.mp3</t>
  </si>
  <si>
    <t>https://audio.iskcondesiretree.com/01_-_Srila_Prabhupada/01_-_Lectures/01_-_English/02_-_Month_wise/08_-_August/05/SB_6-01-52_DET_1975-08-05_No_Hard_Labor-Only_Light.mp3</t>
  </si>
  <si>
    <t>Walk_1975-08-05_MW-DETROIT.MP3</t>
  </si>
  <si>
    <t>https://audio.iskcondesiretree.com/01_-_Srila_Prabhupada/01_-_Lectures/01_-_English/02_-_Month_wise/08_-_August/05/Walk_1975-08-05_MW-DETROIT.MP3</t>
  </si>
  <si>
    <t>SP_Morning_Walk_-_Detroit_1975-08-06_Krishna_and_Christ-Father_%26_Son.mp3</t>
  </si>
  <si>
    <t>https://audio.iskcondesiretree.com/01_-_Srila_Prabhupada/01_-_Lectures/01_-_English/01_-_Topic_wise/Morning_Walk/SP_Morning_Walk_-_Detroit_1975-08-06_Krishna_and_Christ-Father_%26_Son.mp3</t>
  </si>
  <si>
    <t>MW_DET_1975-08-06_Krishna_and_Christ-Father_%26_Son.mp3</t>
  </si>
  <si>
    <t>https://audio.iskcondesiretree.com/01_-_Srila_Prabhupada/01_-_Lectures/01_-_English/02_-_Month_wise/08_-_August/06/MW_DET_1975-08-06_Krishna_and_Christ-Father_%26_Son.mp3</t>
  </si>
  <si>
    <t>Walk_1975-08-06_MW-DETROIT.MP3</t>
  </si>
  <si>
    <t>https://audio.iskcondesiretree.com/01_-_Srila_Prabhupada/01_-_Lectures/01_-_English/02_-_Month_wise/08_-_August/06/Walk_1975-08-06_MW-DETROIT.MP3</t>
  </si>
  <si>
    <t>SP_Morning_Walk_-_Toronto_1975-08-07_Dog_by_Action-Human_by_Law.mp3</t>
  </si>
  <si>
    <t>https://audio.iskcondesiretree.com/01_-_Srila_Prabhupada/01_-_Lectures/01_-_English/01_-_Topic_wise/Morning_Walk/SP_Morning_Walk_-_Toronto_1975-08-07_Dog_by_Action-Human_by_Law.mp3</t>
  </si>
  <si>
    <t>MW_TOR_1975-08-07_Dog_by_Action-Human_by_Law.mp3</t>
  </si>
  <si>
    <t>https://audio.iskcondesiretree.com/01_-_Srila_Prabhupada/01_-_Lectures/01_-_English/02_-_Month_wise/08_-_August/07/MW_TOR_1975-08-07_Dog_by_Action-Human_by_Law.mp3</t>
  </si>
  <si>
    <t>Walk_1975-08-07_MW-TORONTO.MP3</t>
  </si>
  <si>
    <t>https://audio.iskcondesiretree.com/01_-_Srila_Prabhupada/01_-_Lectures/01_-_English/02_-_Month_wise/08_-_August/07/Walk_1975-08-07_MW-TORONTO.MP3</t>
  </si>
  <si>
    <t>SP_Arrival_Paris_1975-08-11_Where_Are_Your_Liberty-Equality-Fraternity.mp3</t>
  </si>
  <si>
    <t>https://audio.iskcondesiretree.com/01_-_Srila_Prabhupada/01_-_Lectures/01_-_English/01_-_Topic_wise/Arrival_Address/SP_Arrival_Paris_1975-08-11_Where_Are_Your_Liberty-Equality-Fraternity.mp3</t>
  </si>
  <si>
    <t>SP_SB_6-01-55_Paris_1975-08-11_Dangerous_Yogis.mp3</t>
  </si>
  <si>
    <t>https://audio.iskcondesiretree.com/01_-_Srila_Prabhupada/01_-_Lectures/01_-_English/01_-_Topic_wise/Srimad_Bhagavatam/Canto-06/SP_SB_6-01-55_Paris_1975-08-11_Dangerous_Yogis.mp3</t>
  </si>
  <si>
    <t>SP_SB_6-12-24-35_Paris_1975-08-11.MP3</t>
  </si>
  <si>
    <t>https://audio.iskcondesiretree.com/01_-_Srila_Prabhupada/01_-_Lectures/01_-_English/01_-_Topic_wise/Srimad_Bhagavatam/Canto-06/SP_SB_6-12-24-35_Paris_1975-08-11.MP3</t>
  </si>
  <si>
    <t>Arr_PAR_1975-08-11_Where_Are_Your_Liberty-Equality-Fraternity.mp3</t>
  </si>
  <si>
    <t>https://audio.iskcondesiretree.com/01_-_Srila_Prabhupada/01_-_Lectures/01_-_English/02_-_Month_wise/08_-_August/11/Arr_PAR_1975-08-11_Where_Are_Your_Liberty-Equality-Fraternity.mp3</t>
  </si>
  <si>
    <t>Arrival_1975-08-11_AR-PARIS.MP3</t>
  </si>
  <si>
    <t>https://audio.iskcondesiretree.com/01_-_Srila_Prabhupada/01_-_Lectures/01_-_English/02_-_Month_wise/08_-_August/11/Arrival_1975-08-11_AR-PARIS.MP3</t>
  </si>
  <si>
    <t>Dictation-SB-06-12-24-35_1975-08-11_DT-PARIS.MP3</t>
  </si>
  <si>
    <t>https://audio.iskcondesiretree.com/01_-_Srila_Prabhupada/01_-_Lectures/01_-_English/02_-_Month_wise/08_-_August/11/Dictation-SB-06-12-24-35_1975-08-11_DT-PARIS.MP3</t>
  </si>
  <si>
    <t>SB-06-01-55_1975-08-11_SB-PARIS.MP3</t>
  </si>
  <si>
    <t>https://audio.iskcondesiretree.com/01_-_Srila_Prabhupada/01_-_Lectures/01_-_English/02_-_Month_wise/08_-_August/11/SB-06-01-55_1975-08-11_SB-PARIS.MP3</t>
  </si>
  <si>
    <t>SB_6-01-55_PAR_1975-08-11_Dangerous_Yogis.mp3</t>
  </si>
  <si>
    <t>https://audio.iskcondesiretree.com/01_-_Srila_Prabhupada/01_-_Lectures/01_-_English/02_-_Month_wise/08_-_August/11/SB_6-01-55_PAR_1975-08-11_Dangerous_Yogis.mp3</t>
  </si>
  <si>
    <t>SP_Morning_Walk_-_Paris_1975-08-12_Responsible_Jackals.mp3</t>
  </si>
  <si>
    <t>https://audio.iskcondesiretree.com/01_-_Srila_Prabhupada/01_-_Lectures/01_-_English/01_-_Topic_wise/Morning_Walk/SP_Morning_Walk_-_Paris_1975-08-12_Responsible_Jackals.mp3</t>
  </si>
  <si>
    <t>SP_Room_Conversation_Paris_1975-08-12.MP3</t>
  </si>
  <si>
    <t>https://audio.iskcondesiretree.com/01_-_Srila_Prabhupada/01_-_Lectures/01_-_English/01_-_Topic_wise/Room_Conversation/SP_Room_Conversation_Paris_1975-08-12.MP3</t>
  </si>
  <si>
    <t>Conv_1975-08-12_R1-PARIS.MP3</t>
  </si>
  <si>
    <t>https://audio.iskcondesiretree.com/01_-_Srila_Prabhupada/01_-_Lectures/01_-_English/02_-_Month_wise/08_-_August/12/Conv_1975-08-12_R1-PARIS.MP3</t>
  </si>
  <si>
    <t>MW_PAR_1975-08-12_Responsible_Jackals.mp3</t>
  </si>
  <si>
    <t>https://audio.iskcondesiretree.com/01_-_Srila_Prabhupada/01_-_Lectures/01_-_English/02_-_Month_wise/08_-_August/12/MW_PAR_1975-08-12_Responsible_Jackals.mp3</t>
  </si>
  <si>
    <t>Walk_1975-08-12_MW-PARIS.MP3</t>
  </si>
  <si>
    <t>https://audio.iskcondesiretree.com/01_-_Srila_Prabhupada/01_-_Lectures/01_-_English/02_-_Month_wise/08_-_August/12/Walk_1975-08-12_MW-PARIS.MP3</t>
  </si>
  <si>
    <t>SP_Morning_Walk_-_London_1975-08-13.MP3</t>
  </si>
  <si>
    <t>https://audio.iskcondesiretree.com/01_-_Srila_Prabhupada/01_-_Lectures/01_-_English/01_-_Topic_wise/Morning_Walk/SP_Morning_Walk_-_London_1975-08-13.MP3</t>
  </si>
  <si>
    <t>SP_SB_6-01-55_London_1975-08-13_Be_a_Helper-Not_the_Whole_Show.mp3</t>
  </si>
  <si>
    <t>https://audio.iskcondesiretree.com/01_-_Srila_Prabhupada/01_-_Lectures/01_-_English/01_-_Topic_wise/Srimad_Bhagavatam/Canto-06/SP_SB_6-01-55_London_1975-08-13_Be_a_Helper-Not_the_Whole_Show.mp3</t>
  </si>
  <si>
    <t>SB-06-01-55_1975-08-13_SB-LONDON.MP3</t>
  </si>
  <si>
    <t>https://audio.iskcondesiretree.com/01_-_Srila_Prabhupada/01_-_Lectures/01_-_English/02_-_Month_wise/08_-_August/13/SB-06-01-55_1975-08-13_SB-LONDON.MP3</t>
  </si>
  <si>
    <t>SB_6-01-55_LON_1975-08-13_Be_a_Helper-Not_the_Whole_Show.mp3</t>
  </si>
  <si>
    <t>https://audio.iskcondesiretree.com/01_-_Srila_Prabhupada/01_-_Lectures/01_-_English/02_-_Month_wise/08_-_August/13/SB_6-01-55_LON_1975-08-13_Be_a_Helper-Not_the_Whole_Show.mp3</t>
  </si>
  <si>
    <t>Walk_1975-08-13_MW-LONDON.MP3</t>
  </si>
  <si>
    <t>https://audio.iskcondesiretree.com/01_-_Srila_Prabhupada/01_-_Lectures/01_-_English/02_-_Month_wise/08_-_August/13/Walk_1975-08-13_MW-LONDON.MP3</t>
  </si>
  <si>
    <t>SP_SB_6-01-56_Bombay_1975-08-14_Skin_Expert_to_Soul_Expert.mp3</t>
  </si>
  <si>
    <t>https://audio.iskcondesiretree.com/01_-_Srila_Prabhupada/01_-_Lectures/01_-_English/01_-_Topic_wise/Srimad_Bhagavatam/Canto-06/SP_SB_6-01-56_Bombay_1975-08-14_Skin_Expert_to_Soul_Expert.mp3</t>
  </si>
  <si>
    <t>SB-06-01-56%E2%80%9357_1975-08-14_SB-BOMBAY.MP3</t>
  </si>
  <si>
    <t>https://audio.iskcondesiretree.com/01_-_Srila_Prabhupada/01_-_Lectures/01_-_English/02_-_Month_wise/08_-_August/14/SB-06-01-56%E2%80%9357_1975-08-14_SB-BOMBAY.MP3</t>
  </si>
  <si>
    <t>SB_6-01-56_BOM_1975-08-14_Skin_Expert_to_Soul_Expert.mp3</t>
  </si>
  <si>
    <t>https://audio.iskcondesiretree.com/01_-_Srila_Prabhupada/01_-_Lectures/01_-_English/02_-_Month_wise/08_-_August/14/SB_6-01-56_BOM_1975-08-14_Skin_Expert_to_Soul_Expert.mp3</t>
  </si>
  <si>
    <t>SP_Morning_Walk_-_Bombay_1975-08-15.MP3</t>
  </si>
  <si>
    <t>https://audio.iskcondesiretree.com/01_-_Srila_Prabhupada/01_-_Lectures/01_-_English/01_-_Topic_wise/Morning_Walk/SP_Morning_Walk_-_Bombay_1975-08-15.MP3</t>
  </si>
  <si>
    <t>Walk_1975-08-15_MW-BOMBAY.MP3</t>
  </si>
  <si>
    <t>https://audio.iskcondesiretree.com/01_-_Srila_Prabhupada/01_-_Lectures/01_-_English/02_-_Month_wise/08_-_August/15/Walk_1975-08-15_MW-BOMBAY.MP3</t>
  </si>
  <si>
    <t>SP_Morning_Walk_-_Bombay_1975-08-17.MP3</t>
  </si>
  <si>
    <t>https://audio.iskcondesiretree.com/01_-_Srila_Prabhupada/01_-_Lectures/01_-_English/01_-_Topic_wise/Morning_Walk/SP_Morning_Walk_-_Bombay_1975-08-17.MP3</t>
  </si>
  <si>
    <t>Walk_1975-08-17_MW-BOMBAY.MP3</t>
  </si>
  <si>
    <t>https://audio.iskcondesiretree.com/01_-_Srila_Prabhupada/01_-_Lectures/01_-_English/02_-_Month_wise/08_-_August/17/Walk_1975-08-17_MW-BOMBAY.MP3</t>
  </si>
  <si>
    <t>SB-06-01-58%E2%80%93Hindi_1975-08-19_SB-BOMBAY.MP3</t>
  </si>
  <si>
    <t>https://audio.iskcondesiretree.com/01_-_Srila_Prabhupada/01_-_Lectures/01_-_English/02_-_Month_wise/08_-_August/19/SB-06-01-58%E2%80%93Hindi_1975-08-19_SB-BOMBAY.MP3</t>
  </si>
  <si>
    <t>SP_Room_Conversation_01_Bombay_1975-08-21.MP3</t>
  </si>
  <si>
    <t>https://audio.iskcondesiretree.com/01_-_Srila_Prabhupada/01_-_Lectures/01_-_English/01_-_Topic_wise/Room_Conversation/SP_Room_Conversation_01_Bombay_1975-08-21.MP3</t>
  </si>
  <si>
    <t>Conv_1975-08-21_R1-BOMBAY.MP3</t>
  </si>
  <si>
    <t>https://audio.iskcondesiretree.com/01_-_Srila_Prabhupada/01_-_Lectures/01_-_English/02_-_Month_wise/08_-_August/21/Conv_1975-08-21_R1-BOMBAY.MP3</t>
  </si>
  <si>
    <t>SP_Morning_Walk_-_Delhi_1975-08-24.MP3</t>
  </si>
  <si>
    <t>https://audio.iskcondesiretree.com/01_-_Srila_Prabhupada/01_-_Lectures/01_-_English/01_-_Topic_wise/Morning_Walk/SP_Morning_Walk_-_Delhi_1975-08-24.MP3</t>
  </si>
  <si>
    <t>Walk_1975-08-24_MW-DELHI.MP3</t>
  </si>
  <si>
    <t>https://audio.iskcondesiretree.com/01_-_Srila_Prabhupada/01_-_Lectures/01_-_English/02_-_Month_wise/08_-_August/24/Walk_1975-08-24_MW-DELHI.MP3</t>
  </si>
  <si>
    <t>SP_Morning_Walk_-_Vrindavan_1975-08-25.MP3</t>
  </si>
  <si>
    <t>https://audio.iskcondesiretree.com/01_-_Srila_Prabhupada/01_-_Lectures/01_-_English/01_-_Topic_wise/Morning_Walk/SP_Morning_Walk_-_Vrindavan_1975-08-25.MP3</t>
  </si>
  <si>
    <t>Walk_1975-08-25_MW-VRNDAVAN.MP3</t>
  </si>
  <si>
    <t>https://audio.iskcondesiretree.com/01_-_Srila_Prabhupada/01_-_Lectures/01_-_English/02_-_Month_wise/08_-_August/25/Walk_1975-08-25_MW-VRNDAVAN.MP3</t>
  </si>
  <si>
    <t>SP_Room_Conversation_01_Vrindavan_1975-08-26.MP3</t>
  </si>
  <si>
    <t>https://audio.iskcondesiretree.com/01_-_Srila_Prabhupada/01_-_Lectures/01_-_English/01_-_Topic_wise/Room_Conversation/SP_Room_Conversation_01_Vrindavan_1975-08-26.MP3</t>
  </si>
  <si>
    <t>Bg-07-01%E2%80%93Hindi_1975-08-26_BG-VRNDAVAN.MP3</t>
  </si>
  <si>
    <t>https://audio.iskcondesiretree.com/01_-_Srila_Prabhupada/01_-_Lectures/01_-_English/02_-_Month_wise/08_-_August/26/Bg-07-01%E2%80%93Hindi_1975-08-26_BG-VRNDAVAN.MP3</t>
  </si>
  <si>
    <t>Conv_1975-08-26_R1-VRNDAVAN.MP3</t>
  </si>
  <si>
    <t>https://audio.iskcondesiretree.com/01_-_Srila_Prabhupada/01_-_Lectures/01_-_English/02_-_Month_wise/08_-_August/26/Conv_1975-08-26_R1-VRNDAVAN.MP3</t>
  </si>
  <si>
    <t>SP_Morning_Walk_-_Vrindavan_1975-08-27.MP3</t>
  </si>
  <si>
    <t>https://audio.iskcondesiretree.com/01_-_Srila_Prabhupada/01_-_Lectures/01_-_English/01_-_Topic_wise/Morning_Walk/SP_Morning_Walk_-_Vrindavan_1975-08-27.MP3</t>
  </si>
  <si>
    <t>Walk_1975-08-27_MW-VRNDAVAN.MP3</t>
  </si>
  <si>
    <t>https://audio.iskcondesiretree.com/01_-_Srila_Prabhupada/01_-_Lectures/01_-_English/02_-_Month_wise/08_-_August/27/Walk_1975-08-27_MW-VRNDAVAN.MP3</t>
  </si>
  <si>
    <t>SP_Morning_Walk_-_Vrindavan_1975-08-28.MP3</t>
  </si>
  <si>
    <t>https://audio.iskcondesiretree.com/01_-_Srila_Prabhupada/01_-_Lectures/01_-_English/01_-_Topic_wise/Morning_Walk/SP_Morning_Walk_-_Vrindavan_1975-08-28.MP3</t>
  </si>
  <si>
    <t>SP_SB_6-01-61_Vrindavan_1975-08-28_Sexual_Heart_Disease.mp3</t>
  </si>
  <si>
    <t>https://audio.iskcondesiretree.com/01_-_Srila_Prabhupada/01_-_Lectures/01_-_English/01_-_Topic_wise/Srimad_Bhagavatam/Canto-06/SP_SB_6-01-61_Vrindavan_1975-08-28_Sexual_Heart_Disease.mp3</t>
  </si>
  <si>
    <t>SB-06-01-61_1975-08-28_SB-VRNDAVAN.MP3</t>
  </si>
  <si>
    <t>https://audio.iskcondesiretree.com/01_-_Srila_Prabhupada/01_-_Lectures/01_-_English/02_-_Month_wise/08_-_August/28/SB-06-01-61_1975-08-28_SB-VRNDAVAN.MP3</t>
  </si>
  <si>
    <t>SB_6-01-61_VRN_1975-08-28_Sexual_Heart_Disease.mp3</t>
  </si>
  <si>
    <t>https://audio.iskcondesiretree.com/01_-_Srila_Prabhupada/01_-_Lectures/01_-_English/02_-_Month_wise/08_-_August/28/SB_6-01-61_VRN_1975-08-28_Sexual_Heart_Disease.mp3</t>
  </si>
  <si>
    <t>Walk_1975-08-28_MW-VRNDAVAN.MP3</t>
  </si>
  <si>
    <t>https://audio.iskcondesiretree.com/01_-_Srila_Prabhupada/01_-_Lectures/01_-_English/02_-_Month_wise/08_-_August/28/Walk_1975-08-28_MW-VRNDAVAN.MP3</t>
  </si>
  <si>
    <t>SP_Morning_Walk_-_Vrindavan_1975-08-29.MP3</t>
  </si>
  <si>
    <t>https://audio.iskcondesiretree.com/01_-_Srila_Prabhupada/01_-_Lectures/01_-_English/01_-_Topic_wise/Morning_Walk/SP_Morning_Walk_-_Vrindavan_1975-08-29.MP3</t>
  </si>
  <si>
    <t>SP_SB_6-01-62_Vrindavan_1975-08-29_The_Agitated_Mind.mp3</t>
  </si>
  <si>
    <t>https://audio.iskcondesiretree.com/01_-_Srila_Prabhupada/01_-_Lectures/01_-_English/01_-_Topic_wise/Srimad_Bhagavatam/Canto-06/SP_SB_6-01-62_Vrindavan_1975-08-29_The_Agitated_Mind.mp3</t>
  </si>
  <si>
    <t>Bg-Lecture%E2%80%93Hindi_1975-08-29_BG-VRNDAVAN.MP3</t>
  </si>
  <si>
    <t>https://audio.iskcondesiretree.com/01_-_Srila_Prabhupada/01_-_Lectures/01_-_English/02_-_Month_wise/08_-_August/29/Bg-Lecture%E2%80%93Hindi_1975-08-29_BG-VRNDAVAN.MP3</t>
  </si>
  <si>
    <t>SB-06-01-62_1975-08-29_SB-VRNDAVAN.MP3</t>
  </si>
  <si>
    <t>https://audio.iskcondesiretree.com/01_-_Srila_Prabhupada/01_-_Lectures/01_-_English/02_-_Month_wise/08_-_August/29/SB-06-01-62_1975-08-29_SB-VRNDAVAN.MP3</t>
  </si>
  <si>
    <t>SB_6-01-62_VRN_1975-08-29_The_Agitated_Mind.mp3</t>
  </si>
  <si>
    <t>https://audio.iskcondesiretree.com/01_-_Srila_Prabhupada/01_-_Lectures/01_-_English/02_-_Month_wise/08_-_August/29/SB_6-01-62_VRN_1975-08-29_The_Agitated_Mind.mp3</t>
  </si>
  <si>
    <t>Walk_1975-08-29_MW-VRNDAVAN.MP3</t>
  </si>
  <si>
    <t>https://audio.iskcondesiretree.com/01_-_Srila_Prabhupada/01_-_Lectures/01_-_English/02_-_Month_wise/08_-_August/29/Walk_1975-08-29_MW-VRNDAVAN.MP3</t>
  </si>
  <si>
    <t>SP_SB_6-01-63_Vrindavan_1975-08-30_Haunted_Enjoyment.mp3</t>
  </si>
  <si>
    <t>https://audio.iskcondesiretree.com/01_-_Srila_Prabhupada/01_-_Lectures/01_-_English/01_-_Topic_wise/Srimad_Bhagavatam/Canto-06/SP_SB_6-01-63_Vrindavan_1975-08-30_Haunted_Enjoyment.mp3</t>
  </si>
  <si>
    <t>Bg-07-03%E2%80%93Hindi_1975-08-30_BG-VRNDAVAN.MP3</t>
  </si>
  <si>
    <t>https://audio.iskcondesiretree.com/01_-_Srila_Prabhupada/01_-_Lectures/01_-_English/02_-_Month_wise/08_-_August/30/Bg-07-03%E2%80%93Hindi_1975-08-30_BG-VRNDAVAN.MP3</t>
  </si>
  <si>
    <t>SB-06-01-63_1975-08-30_SB-VRNDAVAN.MP3</t>
  </si>
  <si>
    <t>https://audio.iskcondesiretree.com/01_-_Srila_Prabhupada/01_-_Lectures/01_-_English/02_-_Month_wise/08_-_August/30/SB-06-01-63_1975-08-30_SB-VRNDAVAN.MP3</t>
  </si>
  <si>
    <t>SB_6-01-63_VRN_1975-08-30_Haunted_Enjoyment.mp3</t>
  </si>
  <si>
    <t>https://audio.iskcondesiretree.com/01_-_Srila_Prabhupada/01_-_Lectures/01_-_English/02_-_Month_wise/08_-_August/30/SB_6-01-63_VRN_1975-08-30_Haunted_Enjoyment.mp3</t>
  </si>
  <si>
    <t>Lecture%E2%80%93Hindi_1975-08-31_LE-VRNDAVAN.MP3</t>
  </si>
  <si>
    <t>https://audio.iskcondesiretree.com/01_-_Srila_Prabhupada/01_-_Lectures/01_-_English/02_-_Month_wise/08_-_August/31/Lecture%E2%80%93Hindi_1975-08-31_LE-VRNDAVAN.MP3</t>
  </si>
  <si>
    <t>SP_Morning_Walk_-_Vrindavan_1975-09-01.MP3</t>
  </si>
  <si>
    <t>https://audio.iskcondesiretree.com/01_-_Srila_Prabhupada/01_-_Lectures/01_-_English/01_-_Topic_wise/Morning_Walk/SP_Morning_Walk_-_Vrindavan_1975-09-01.MP3</t>
  </si>
  <si>
    <t>SP_SB_6-01-64_Vrindavan_1975-09-01_Above_Material_Nature.mp3</t>
  </si>
  <si>
    <t>https://audio.iskcondesiretree.com/01_-_Srila_Prabhupada/01_-_Lectures/01_-_English/01_-_Topic_wise/Srimad_Bhagavatam/Canto-06/SP_SB_6-01-64_Vrindavan_1975-09-01_Above_Material_Nature.mp3</t>
  </si>
  <si>
    <t>SB-06-01-64%E2%80%9365_1975-09-01_SB-VRNDAVAN.MP3</t>
  </si>
  <si>
    <t>https://audio.iskcondesiretree.com/01_-_Srila_Prabhupada/01_-_Lectures/01_-_English/02_-_Month_wise/09_-_September/01/SB-06-01-64%E2%80%9365_1975-09-01_SB-VRNDAVAN.MP3</t>
  </si>
  <si>
    <t>SB_6-01-64_VRN_1975-09-01_Above_Material_Nature.mp3</t>
  </si>
  <si>
    <t>https://audio.iskcondesiretree.com/01_-_Srila_Prabhupada/01_-_Lectures/01_-_English/02_-_Month_wise/09_-_September/01/SB_6-01-64_VRN_1975-09-01_Above_Material_Nature.mp3</t>
  </si>
  <si>
    <t>Walk_1975-09-01_MW-VRNDAVAN.MP3</t>
  </si>
  <si>
    <t>https://audio.iskcondesiretree.com/01_-_Srila_Prabhupada/01_-_Lectures/01_-_English/02_-_Month_wise/09_-_September/01/Walk_1975-09-01_MW-VRNDAVAN.MP3</t>
  </si>
  <si>
    <t>SP_SB_6-01-66_Vrindavan_1975-09-02_How_to_Degrade_Yourself.mp3</t>
  </si>
  <si>
    <t>https://audio.iskcondesiretree.com/01_-_Srila_Prabhupada/01_-_Lectures/01_-_English/01_-_Topic_wise/Srimad_Bhagavatam/Canto-06/SP_SB_6-01-66_Vrindavan_1975-09-02_How_to_Degrade_Yourself.mp3</t>
  </si>
  <si>
    <t>SB-06-01-66_1975-09-02_SB-VRNDAVAN.MP3</t>
  </si>
  <si>
    <t>https://audio.iskcondesiretree.com/01_-_Srila_Prabhupada/01_-_Lectures/01_-_English/02_-_Month_wise/09_-_September/02/SB-06-01-66_1975-09-02_SB-VRNDAVAN.MP3</t>
  </si>
  <si>
    <t>SB_6-01-66_VRN_1975-09-02_How_to_Degrade_Yourself.mp3</t>
  </si>
  <si>
    <t>https://audio.iskcondesiretree.com/01_-_Srila_Prabhupada/01_-_Lectures/01_-_English/02_-_Month_wise/09_-_September/02/SB_6-01-66_VRN_1975-09-02_How_to_Degrade_Yourself.mp3</t>
  </si>
  <si>
    <t>SP_Morning_Walk_-_Vrindavan_1975-09-03.MP3</t>
  </si>
  <si>
    <t>https://audio.iskcondesiretree.com/01_-_Srila_Prabhupada/01_-_Lectures/01_-_English/01_-_Topic_wise/Morning_Walk/SP_Morning_Walk_-_Vrindavan_1975-09-03.MP3</t>
  </si>
  <si>
    <t>SP_SB_6-01-67_Vrindavan_1975-09-03_Life_Is_Very_Risky.mp3</t>
  </si>
  <si>
    <t>https://audio.iskcondesiretree.com/01_-_Srila_Prabhupada/01_-_Lectures/01_-_English/01_-_Topic_wise/Srimad_Bhagavatam/Canto-06/SP_SB_6-01-67_Vrindavan_1975-09-03_Life_Is_Very_Risky.mp3</t>
  </si>
  <si>
    <t>SB-06-01-67_1975-09-03_SB-VRNDAVAN.MP3</t>
  </si>
  <si>
    <t>https://audio.iskcondesiretree.com/01_-_Srila_Prabhupada/01_-_Lectures/01_-_English/02_-_Month_wise/09_-_September/03/SB-06-01-67_1975-09-03_SB-VRNDAVAN.MP3</t>
  </si>
  <si>
    <t>SB_6-01-67_VRN_1975-09-03_Life_Is_Very_Risky.mp3</t>
  </si>
  <si>
    <t>https://audio.iskcondesiretree.com/01_-_Srila_Prabhupada/01_-_Lectures/01_-_English/02_-_Month_wise/09_-_September/03/SB_6-01-67_VRN_1975-09-03_Life_Is_Very_Risky.mp3</t>
  </si>
  <si>
    <t>Walk_1975-09-03_MW-VRNDAVAN.MP3</t>
  </si>
  <si>
    <t>https://audio.iskcondesiretree.com/01_-_Srila_Prabhupada/01_-_Lectures/01_-_English/02_-_Month_wise/09_-_September/03/Walk_1975-09-03_MW-VRNDAVAN.MP3</t>
  </si>
  <si>
    <t>SP_Morning_Walk_-_Vrindavan_1975-09-04.MP3</t>
  </si>
  <si>
    <t>https://audio.iskcondesiretree.com/01_-_Srila_Prabhupada/01_-_Lectures/01_-_English/01_-_Topic_wise/Morning_Walk/SP_Morning_Walk_-_Vrindavan_1975-09-04.MP3</t>
  </si>
  <si>
    <t>SP_SB_6-01-68_Vrindavan_1975-09-04_Don%27t_Infect_Yourself_with--etc.mp3</t>
  </si>
  <si>
    <t>https://audio.iskcondesiretree.com/01_-_Srila_Prabhupada/01_-_Lectures/01_-_English/01_-_Topic_wise/Srimad_Bhagavatam/Canto-06/SP_SB_6-01-68_Vrindavan_1975-09-04_Don%27t_Infect_Yourself_with--etc.mp3</t>
  </si>
  <si>
    <t>SB-06-01-68_1975-09-04_SB-VRNDAVAN.MP3</t>
  </si>
  <si>
    <t>https://audio.iskcondesiretree.com/01_-_Srila_Prabhupada/01_-_Lectures/01_-_English/02_-_Month_wise/09_-_September/04/SB-06-01-68_1975-09-04_SB-VRNDAVAN.MP3</t>
  </si>
  <si>
    <t>SB_6-01-68_VRN_1975-09-04_Don%27t_Infect_Yourself_with_etc.mp3</t>
  </si>
  <si>
    <t>https://audio.iskcondesiretree.com/01_-_Srila_Prabhupada/01_-_Lectures/01_-_English/02_-_Month_wise/09_-_September/04/SB_6-01-68_VRN_1975-09-04_Don%27t_Infect_Yourself_with_etc.mp3</t>
  </si>
  <si>
    <t>Walk_1975-09-04_MW-VRNDAVAN.MP3</t>
  </si>
  <si>
    <t>https://audio.iskcondesiretree.com/01_-_Srila_Prabhupada/01_-_Lectures/01_-_English/02_-_Month_wise/09_-_September/04/Walk_1975-09-04_MW-VRNDAVAN.MP3</t>
  </si>
  <si>
    <t>SP_Morning_Walk_-_Vrindavan_1975-09-05.MP3</t>
  </si>
  <si>
    <t>https://audio.iskcondesiretree.com/01_-_Srila_Prabhupada/01_-_Lectures/01_-_English/01_-_Topic_wise/Morning_Walk/SP_Morning_Walk_-_Vrindavan_1975-09-05.MP3</t>
  </si>
  <si>
    <t>SP_SB_6-02-01_Vrindavan_1975-09-05_ABC%27s_of_Degradation_%26_Elevation.mp3</t>
  </si>
  <si>
    <t>https://audio.iskcondesiretree.com/01_-_Srila_Prabhupada/01_-_Lectures/01_-_English/01_-_Topic_wise/Srimad_Bhagavatam/Canto-06/SP_SB_6-02-01_Vrindavan_1975-09-05_ABC%27s_of_Degradation_%26_Elevation.mp3</t>
  </si>
  <si>
    <t>SB-06-02-01_1975-09-05_SB-VRNDAVAN.MP3</t>
  </si>
  <si>
    <t>https://audio.iskcondesiretree.com/01_-_Srila_Prabhupada/01_-_Lectures/01_-_English/02_-_Month_wise/09_-_September/05/SB-06-02-01_1975-09-05_SB-VRNDAVAN.MP3</t>
  </si>
  <si>
    <t>SB_6-02-01_VRN_1975-09-05_ABC%27s_of_Degradation_%26_Elevation.mp3</t>
  </si>
  <si>
    <t>https://audio.iskcondesiretree.com/01_-_Srila_Prabhupada/01_-_Lectures/01_-_English/02_-_Month_wise/09_-_September/05/SB_6-02-01_VRN_1975-09-05_ABC%27s_of_Degradation_%26_Elevation.mp3</t>
  </si>
  <si>
    <t>Walk_1975-09-05_MW-VRNDAVAN.MP3</t>
  </si>
  <si>
    <t>https://audio.iskcondesiretree.com/01_-_Srila_Prabhupada/01_-_Lectures/01_-_English/02_-_Month_wise/09_-_September/05/Walk_1975-09-05_MW-VRNDAVAN.MP3</t>
  </si>
  <si>
    <t>SP_Morning_Walk_-_Vrindavan_1975-09-06_Sex_Propaganda_Can%27t_Stop_Death.mp3</t>
  </si>
  <si>
    <t>https://audio.iskcondesiretree.com/01_-_Srila_Prabhupada/01_-_Lectures/01_-_English/01_-_Topic_wise/Morning_Walk/SP_Morning_Walk_-_Vrindavan_1975-09-06_Sex_Propaganda_Can%27t_Stop_Death.mp3</t>
  </si>
  <si>
    <t>SP_SB_6-02-02_Vrindavan_1975-09-06_The_Absolute_Science.mp3</t>
  </si>
  <si>
    <t>https://audio.iskcondesiretree.com/01_-_Srila_Prabhupada/01_-_Lectures/01_-_English/01_-_Topic_wise/Srimad_Bhagavatam/Canto-06/SP_SB_6-02-02_Vrindavan_1975-09-06_The_Absolute_Science.mp3</t>
  </si>
  <si>
    <t>MW_VRN_1975-09-06_Sex_Propaganda_Can%27t_Stop_Death.mp3</t>
  </si>
  <si>
    <t>https://audio.iskcondesiretree.com/01_-_Srila_Prabhupada/01_-_Lectures/01_-_English/02_-_Month_wise/09_-_September/06/MW_VRN_1975-09-06_Sex_Propaganda_Can%27t_Stop_Death.mp3</t>
  </si>
  <si>
    <t>SB-06-02-02_1975-09-06_SB-VRNDAVAN.MP3</t>
  </si>
  <si>
    <t>https://audio.iskcondesiretree.com/01_-_Srila_Prabhupada/01_-_Lectures/01_-_English/02_-_Month_wise/09_-_September/06/SB-06-02-02_1975-09-06_SB-VRNDAVAN.MP3</t>
  </si>
  <si>
    <t>SB_6-02-02_VRN_1975-09-06_The_Absolute_Science.mp3</t>
  </si>
  <si>
    <t>https://audio.iskcondesiretree.com/01_-_Srila_Prabhupada/01_-_Lectures/01_-_English/02_-_Month_wise/09_-_September/06/SB_6-02-02_VRN_1975-09-06_The_Absolute_Science.mp3</t>
  </si>
  <si>
    <t>Walk_1975-09-06_MW-VRNDAVAN.MP3</t>
  </si>
  <si>
    <t>https://audio.iskcondesiretree.com/01_-_Srila_Prabhupada/01_-_Lectures/01_-_English/02_-_Month_wise/09_-_September/06/Walk_1975-09-06_MW-VRNDAVAN.MP3</t>
  </si>
  <si>
    <t>SP_SB_6-02-03_Vrindavan_1975-09-07_Save_Your_Dependent.mp3</t>
  </si>
  <si>
    <t>https://audio.iskcondesiretree.com/01_-_Srila_Prabhupada/01_-_Lectures/01_-_English/01_-_Topic_wise/Srimad_Bhagavatam/Canto-06/SP_SB_6-02-03_Vrindavan_1975-09-07_Save_Your_Dependent.mp3</t>
  </si>
  <si>
    <t>SB-06-02-03_1975-09-07_SB-VRNDAVAN.MP3</t>
  </si>
  <si>
    <t>https://audio.iskcondesiretree.com/01_-_Srila_Prabhupada/01_-_Lectures/01_-_English/02_-_Month_wise/09_-_September/07/SB-06-02-03_1975-09-07_SB-VRNDAVAN.MP3</t>
  </si>
  <si>
    <t>SB_6-02-03_VRN_1975-09-07_Save_Your_Dependent.mp3</t>
  </si>
  <si>
    <t>https://audio.iskcondesiretree.com/01_-_Srila_Prabhupada/01_-_Lectures/01_-_English/02_-_Month_wise/09_-_September/07/SB_6-02-03_VRN_1975-09-07_Save_Your_Dependent.mp3</t>
  </si>
  <si>
    <t>SP_SB_6-02-04_Vrindavan_1975-09-08_Behave_Ideally_or_Don%27t_Preach.mp3</t>
  </si>
  <si>
    <t>https://audio.iskcondesiretree.com/01_-_Srila_Prabhupada/01_-_Lectures/01_-_English/01_-_Topic_wise/Srimad_Bhagavatam/Canto-06/SP_SB_6-02-04_Vrindavan_1975-09-08_Behave_Ideally_or_Don%27t_Preach.mp3</t>
  </si>
  <si>
    <t>SB-06-02-04_1975-09-08_SB-VRNDAVAN.MP3</t>
  </si>
  <si>
    <t>https://audio.iskcondesiretree.com/01_-_Srila_Prabhupada/01_-_Lectures/01_-_English/02_-_Month_wise/09_-_September/08/SB-06-02-04_1975-09-08_SB-VRNDAVAN.MP3</t>
  </si>
  <si>
    <t>SB_6-02-04_VRN_1975-09-08_Behave_Ideally_or_Don%27t_Preach.mp3</t>
  </si>
  <si>
    <t>https://audio.iskcondesiretree.com/01_-_Srila_Prabhupada/01_-_Lectures/01_-_English/02_-_Month_wise/09_-_September/08/SB_6-02-04_VRN_1975-09-08_Behave_Ideally_or_Don%27t_Preach.mp3</t>
  </si>
  <si>
    <t>SP_Morning_Walk_-_Vrindavan_1975-09-09.MP3</t>
  </si>
  <si>
    <t>https://audio.iskcondesiretree.com/01_-_Srila_Prabhupada/01_-_Lectures/01_-_English/01_-_Topic_wise/Morning_Walk/SP_Morning_Walk_-_Vrindavan_1975-09-09.MP3</t>
  </si>
  <si>
    <t>SP_SB_6-02-05_Vrindavan_1975-09-09_In_Contact_with_a_Bona_Fide_Guru.mp3</t>
  </si>
  <si>
    <t>https://audio.iskcondesiretree.com/01_-_Srila_Prabhupada/01_-_Lectures/01_-_English/01_-_Topic_wise/Srimad_Bhagavatam/Canto-06/SP_SB_6-02-05_Vrindavan_1975-09-09_In_Contact_with_a_Bona_Fide_Guru.mp3</t>
  </si>
  <si>
    <t>SB-06-02-05%E2%80%9306_1975-09-09_SB-VRNDAVAN.MP3</t>
  </si>
  <si>
    <t>https://audio.iskcondesiretree.com/01_-_Srila_Prabhupada/01_-_Lectures/01_-_English/02_-_Month_wise/09_-_September/09/SB-06-02-05%E2%80%9306_1975-09-09_SB-VRNDAVAN.MP3</t>
  </si>
  <si>
    <t>SB_6-02-05_VRN_1975-09-09_In_Contact_with_a_Bona_Fide_Guru.mp3</t>
  </si>
  <si>
    <t>https://audio.iskcondesiretree.com/01_-_Srila_Prabhupada/01_-_Lectures/01_-_English/02_-_Month_wise/09_-_September/09/SB_6-02-05_VRN_1975-09-09_In_Contact_with_a_Bona_Fide_Guru.mp3</t>
  </si>
  <si>
    <t>Walk_1975-09-09_MW-VRNDAVAN.MP3</t>
  </si>
  <si>
    <t>https://audio.iskcondesiretree.com/01_-_Srila_Prabhupada/01_-_Lectures/01_-_English/02_-_Month_wise/09_-_September/09/Walk_1975-09-09_MW-VRNDAVAN.MP3</t>
  </si>
  <si>
    <t>SP_SB_6-02-07_Vrindavan_1975-09-10_Government_and_Guardians.mp3</t>
  </si>
  <si>
    <t>https://audio.iskcondesiretree.com/01_-_Srila_Prabhupada/01_-_Lectures/01_-_English/01_-_Topic_wise/Srimad_Bhagavatam/Canto-06/SP_SB_6-02-07_Vrindavan_1975-09-10_Government_and_Guardians.mp3</t>
  </si>
  <si>
    <t>SB-06-02-07_1975-09-10_SB-VRNDAVAN.MP3</t>
  </si>
  <si>
    <t>https://audio.iskcondesiretree.com/01_-_Srila_Prabhupada/01_-_Lectures/01_-_English/02_-_Month_wise/09_-_September/10/SB-06-02-07_1975-09-10_SB-VRNDAVAN.MP3</t>
  </si>
  <si>
    <t>SB_6-02-07_VRN_1975-09-10_Government_and_Guardians.mp3</t>
  </si>
  <si>
    <t>https://audio.iskcondesiretree.com/01_-_Srila_Prabhupada/01_-_Lectures/01_-_English/02_-_Month_wise/09_-_September/10/SB_6-02-07_VRN_1975-09-10_Government_and_Guardians.mp3</t>
  </si>
  <si>
    <t>SP_SB_6-02-08_Vrindavan_1975-09-11_Chant_Hare_Krishna-No_Loss.mp3</t>
  </si>
  <si>
    <t>https://audio.iskcondesiretree.com/01_-_Srila_Prabhupada/01_-_Lectures/01_-_English/01_-_Topic_wise/Srimad_Bhagavatam/Canto-06/SP_SB_6-02-08_Vrindavan_1975-09-11_Chant_Hare_Krishna-No_Loss.mp3</t>
  </si>
  <si>
    <t>SB-06-02-08_1975-09-11_SB-VRNDAVAN.MP3</t>
  </si>
  <si>
    <t>https://audio.iskcondesiretree.com/01_-_Srila_Prabhupada/01_-_Lectures/01_-_English/02_-_Month_wise/09_-_September/11/SB-06-02-08_1975-09-11_SB-VRNDAVAN.MP3</t>
  </si>
  <si>
    <t>SB_6-02-08_VRN_1975-09-11_Chant_Hare_Krishna-No_Loss.mp3</t>
  </si>
  <si>
    <t>https://audio.iskcondesiretree.com/01_-_Srila_Prabhupada/01_-_Lectures/01_-_English/02_-_Month_wise/09_-_September/11/SB_6-02-08_VRN_1975-09-11_Chant_Hare_Krishna-No_Loss.mp3</t>
  </si>
  <si>
    <t>SP_Morning_Walk_-_Vrindavan_1975-09-13_Who_Made_You_Embodied.mp3</t>
  </si>
  <si>
    <t>https://audio.iskcondesiretree.com/01_-_Srila_Prabhupada/01_-_Lectures/01_-_English/01_-_Topic_wise/Morning_Walk/SP_Morning_Walk_-_Vrindavan_1975-09-13_Who_Made_You_Embodied.mp3</t>
  </si>
  <si>
    <t>SP_SB_6-02-11_Vrindavan_1975-09-13_Unalloyed_Peace-How.mp3</t>
  </si>
  <si>
    <t>https://audio.iskcondesiretree.com/01_-_Srila_Prabhupada/01_-_Lectures/01_-_English/01_-_Topic_wise/Srimad_Bhagavatam/Canto-06/SP_SB_6-02-11_Vrindavan_1975-09-13_Unalloyed_Peace-How.mp3</t>
  </si>
  <si>
    <t>Lecture%E2%80%93Hindi_1975-09-13_LE-VRNDAVAN.MP3</t>
  </si>
  <si>
    <t>https://audio.iskcondesiretree.com/01_-_Srila_Prabhupada/01_-_Lectures/01_-_English/02_-_Month_wise/09_-_September/13/Lecture%E2%80%93Hindi_1975-09-13_LE-VRNDAVAN.MP3</t>
  </si>
  <si>
    <t>MW_VRN_1975-09-13_Who_Made_You_Embodied.mp3</t>
  </si>
  <si>
    <t>https://audio.iskcondesiretree.com/01_-_Srila_Prabhupada/01_-_Lectures/01_-_English/02_-_Month_wise/09_-_September/13/MW_VRN_1975-09-13_Who_Made_You_Embodied.mp3</t>
  </si>
  <si>
    <t>SB-06-02-11_1975-09-13_SB-VRNDAVAN.MP3</t>
  </si>
  <si>
    <t>https://audio.iskcondesiretree.com/01_-_Srila_Prabhupada/01_-_Lectures/01_-_English/02_-_Month_wise/09_-_September/13/SB-06-02-11_1975-09-13_SB-VRNDAVAN.MP3</t>
  </si>
  <si>
    <t>SB_6-02-11_VRN_1975-09-13_Unalloyed_Peace-How.mp3</t>
  </si>
  <si>
    <t>https://audio.iskcondesiretree.com/01_-_Srila_Prabhupada/01_-_Lectures/01_-_English/02_-_Month_wise/09_-_September/13/SB_6-02-11_VRN_1975-09-13_Unalloyed_Peace-How.mp3</t>
  </si>
  <si>
    <t>Walk_1975-09-13_MW-VRNDAVAN.MP3</t>
  </si>
  <si>
    <t>https://audio.iskcondesiretree.com/01_-_Srila_Prabhupada/01_-_Lectures/01_-_English/02_-_Month_wise/09_-_September/13/Walk_1975-09-13_MW-VRNDAVAN.MP3</t>
  </si>
  <si>
    <t>SP_Morning_Walk_-_Vrindavan_1975-09-15_Successful_Suicide--G-Zero-D.mp3</t>
  </si>
  <si>
    <t>https://audio.iskcondesiretree.com/01_-_Srila_Prabhupada/01_-_Lectures/01_-_English/01_-_Topic_wise/Morning_Walk/SP_Morning_Walk_-_Vrindavan_1975-09-15_Successful_Suicide--G-Zero-D.mp3</t>
  </si>
  <si>
    <t>SP_SB_6-02-13_Vrindavan_1975-09-15_Seeing_Is_Not_Believing.mp3</t>
  </si>
  <si>
    <t>https://audio.iskcondesiretree.com/01_-_Srila_Prabhupada/01_-_Lectures/01_-_English/01_-_Topic_wise/Srimad_Bhagavatam/Canto-06/SP_SB_6-02-13_Vrindavan_1975-09-15_Seeing_Is_Not_Believing.mp3</t>
  </si>
  <si>
    <t>MW_VRN_1975-09-15_Successful_Suicide-G-Zero-D.mp3</t>
  </si>
  <si>
    <t>https://audio.iskcondesiretree.com/01_-_Srila_Prabhupada/01_-_Lectures/01_-_English/02_-_Month_wise/09_-_September/15/MW_VRN_1975-09-15_Successful_Suicide-G-Zero-D.mp3</t>
  </si>
  <si>
    <t>SB-06-02-13_1975-09-15_SB-VRNDAVAN.MP3</t>
  </si>
  <si>
    <t>https://audio.iskcondesiretree.com/01_-_Srila_Prabhupada/01_-_Lectures/01_-_English/02_-_Month_wise/09_-_September/15/SB-06-02-13_1975-09-15_SB-VRNDAVAN.MP3</t>
  </si>
  <si>
    <t>SB_6-02-13_VRN_1975-09-15_Seeing_Is_Not_Believing.mp3</t>
  </si>
  <si>
    <t>https://audio.iskcondesiretree.com/01_-_Srila_Prabhupada/01_-_Lectures/01_-_English/02_-_Month_wise/09_-_September/15/SB_6-02-13_VRN_1975-09-15_Seeing_Is_Not_Believing.mp3</t>
  </si>
  <si>
    <t>Walk_1975-09-15_MW-VRNDAVAN.MP3</t>
  </si>
  <si>
    <t>https://audio.iskcondesiretree.com/01_-_Srila_Prabhupada/01_-_Lectures/01_-_English/02_-_Month_wise/09_-_September/15/Walk_1975-09-15_MW-VRNDAVAN.MP3</t>
  </si>
  <si>
    <t>SP_Morning_Walk_-_Vrindavan_1975-09-17.MP3</t>
  </si>
  <si>
    <t>https://audio.iskcondesiretree.com/01_-_Srila_Prabhupada/01_-_Lectures/01_-_English/01_-_Topic_wise/Morning_Walk/SP_Morning_Walk_-_Vrindavan_1975-09-17.MP3</t>
  </si>
  <si>
    <t>SP_SB_6-02-14_Vrindavan_1975-09-17_Non-Anxiety-Ask_for_It_by_Name.mp3</t>
  </si>
  <si>
    <t>https://audio.iskcondesiretree.com/01_-_Srila_Prabhupada/01_-_Lectures/01_-_English/01_-_Topic_wise/Srimad_Bhagavatam/Canto-06/SP_SB_6-02-14_Vrindavan_1975-09-17_Non-Anxiety-Ask_for_It_by_Name.mp3</t>
  </si>
  <si>
    <t>SB-06-02-14_1975-09-17_SB-VRNDAVAN.MP3</t>
  </si>
  <si>
    <t>https://audio.iskcondesiretree.com/01_-_Srila_Prabhupada/01_-_Lectures/01_-_English/02_-_Month_wise/09_-_September/17/SB-06-02-14_1975-09-17_SB-VRNDAVAN.MP3</t>
  </si>
  <si>
    <t>SB_6-02-14_VRN_1975-09-17_Non-Anxiety-Ask_for_It_by_Name.mp3</t>
  </si>
  <si>
    <t>https://audio.iskcondesiretree.com/01_-_Srila_Prabhupada/01_-_Lectures/01_-_English/02_-_Month_wise/09_-_September/17/SB_6-02-14_VRN_1975-09-17_Non-Anxiety-Ask_for_It_by_Name.mp3</t>
  </si>
  <si>
    <t>Walk_1975-09-17_MW-VRNDAVAN.MP3</t>
  </si>
  <si>
    <t>https://audio.iskcondesiretree.com/01_-_Srila_Prabhupada/01_-_Lectures/01_-_English/02_-_Month_wise/09_-_September/17/Walk_1975-09-17_MW-VRNDAVAN.MP3</t>
  </si>
  <si>
    <t>SP_Morning_Walk_-_Vrindavan_1975-09-18.MP3</t>
  </si>
  <si>
    <t>https://audio.iskcondesiretree.com/01_-_Srila_Prabhupada/01_-_Lectures/01_-_English/01_-_Topic_wise/Morning_Walk/SP_Morning_Walk_-_Vrindavan_1975-09-18.MP3</t>
  </si>
  <si>
    <t>SP_SB_6-02-15_Vrindavan_1975-09-18_The_Glories_of_the_Holy_Name.mp3</t>
  </si>
  <si>
    <t>https://audio.iskcondesiretree.com/01_-_Srila_Prabhupada/01_-_Lectures/01_-_English/01_-_Topic_wise/Srimad_Bhagavatam/Canto-06/SP_SB_6-02-15_Vrindavan_1975-09-18_The_Glories_of_the_Holy_Name.mp3</t>
  </si>
  <si>
    <t>SB-06-02-15_1975-09-18_SB-VRNDAVAN.MP3</t>
  </si>
  <si>
    <t>https://audio.iskcondesiretree.com/01_-_Srila_Prabhupada/01_-_Lectures/01_-_English/02_-_Month_wise/09_-_September/18/SB-06-02-15_1975-09-18_SB-VRNDAVAN.MP3</t>
  </si>
  <si>
    <t>SB_6-02-15_VRN_1975-09-18_The_Glories_of_the_Holy_Name.mp3</t>
  </si>
  <si>
    <t>https://audio.iskcondesiretree.com/01_-_Srila_Prabhupada/01_-_Lectures/01_-_English/02_-_Month_wise/09_-_September/18/SB_6-02-15_VRN_1975-09-18_The_Glories_of_the_Holy_Name.mp3</t>
  </si>
  <si>
    <t>Walk_1975-09-18_MW-VRNDAVAN.MP3</t>
  </si>
  <si>
    <t>https://audio.iskcondesiretree.com/01_-_Srila_Prabhupada/01_-_Lectures/01_-_English/02_-_Month_wise/09_-_September/18/Walk_1975-09-18_MW-VRNDAVAN.MP3</t>
  </si>
  <si>
    <t>SP_Morning_Walk_-_Vrindavan_1975-09-19.MP3</t>
  </si>
  <si>
    <t>https://audio.iskcondesiretree.com/01_-_Srila_Prabhupada/01_-_Lectures/01_-_English/01_-_Topic_wise/Morning_Walk/SP_Morning_Walk_-_Vrindavan_1975-09-19.MP3</t>
  </si>
  <si>
    <t>SP_SB_6-02-16_Vrindavan_1975-09-19_Krishna_in_Outlaw_Country.mp3</t>
  </si>
  <si>
    <t>https://audio.iskcondesiretree.com/01_-_Srila_Prabhupada/01_-_Lectures/01_-_English/01_-_Topic_wise/Srimad_Bhagavatam/Canto-06/SP_SB_6-02-16_Vrindavan_1975-09-19_Krishna_in_Outlaw_Country.mp3</t>
  </si>
  <si>
    <t>SB-06-02-16_1975-09-19_SB-VRNDAVAN.MP3</t>
  </si>
  <si>
    <t>https://audio.iskcondesiretree.com/01_-_Srila_Prabhupada/01_-_Lectures/01_-_English/02_-_Month_wise/09_-_September/19/SB-06-02-16_1975-09-19_SB-VRNDAVAN.MP3</t>
  </si>
  <si>
    <t>SB_6-02-16_VRN_1975-09-19_Krishna_in_Outlaw_Country.mp3</t>
  </si>
  <si>
    <t>https://audio.iskcondesiretree.com/01_-_Srila_Prabhupada/01_-_Lectures/01_-_English/02_-_Month_wise/09_-_September/19/SB_6-02-16_VRN_1975-09-19_Krishna_in_Outlaw_Country.mp3</t>
  </si>
  <si>
    <t>Walk_1975-09-19_MW-VRNDAVAN.MP3</t>
  </si>
  <si>
    <t>https://audio.iskcondesiretree.com/01_-_Srila_Prabhupada/01_-_Lectures/01_-_English/02_-_Month_wise/09_-_September/19/Walk_1975-09-19_MW-VRNDAVAN.MP3</t>
  </si>
  <si>
    <t>SP_SB_6-02-17_Vrindavan_1975-09-20_Don%27t_Try_to_Be_Happy_Here.mp3</t>
  </si>
  <si>
    <t>https://audio.iskcondesiretree.com/01_-_Srila_Prabhupada/01_-_Lectures/01_-_English/01_-_Topic_wise/Srimad_Bhagavatam/Canto-06/SP_SB_6-02-17_Vrindavan_1975-09-20_Don%27t_Try_to_Be_Happy_Here.mp3</t>
  </si>
  <si>
    <t>SB-06-02-17_1975-09-20_SB-VRNDAVAN.MP3</t>
  </si>
  <si>
    <t>https://audio.iskcondesiretree.com/01_-_Srila_Prabhupada/01_-_Lectures/01_-_English/02_-_Month_wise/09_-_September/20/SB-06-02-17_1975-09-20_SB-VRNDAVAN.MP3</t>
  </si>
  <si>
    <t>SB_6-02-17_VRN_1975-09-20_Don%27t_Try_to_Be_Happy_Here.mp3</t>
  </si>
  <si>
    <t>https://audio.iskcondesiretree.com/01_-_Srila_Prabhupada/01_-_Lectures/01_-_English/02_-_Month_wise/09_-_September/20/SB_6-02-17_VRN_1975-09-20_Don%27t_Try_to_Be_Happy_Here.mp3</t>
  </si>
  <si>
    <t>SP_Morning_Walk_-_Hyderabad_1975-09-25_From_the_Frying_Pan_to_the_Fire.mp3</t>
  </si>
  <si>
    <t>https://audio.iskcondesiretree.com/01_-_Srila_Prabhupada/01_-_Lectures/01_-_English/01_-_Topic_wise/Morning_Walk/SP_Morning_Walk_-_Hyderabad_1975-09-25_From_the_Frying_Pan_to_the_Fire.mp3</t>
  </si>
  <si>
    <t>Bg-07-01%E2%80%93Hindi_1975-09-25_BG-AHMEDABAD.MP3</t>
  </si>
  <si>
    <t>https://audio.iskcondesiretree.com/01_-_Srila_Prabhupada/01_-_Lectures/01_-_English/02_-_Month_wise/09_-_September/25/Bg-07-01%E2%80%93Hindi_1975-09-25_BG-AHMEDABAD.MP3</t>
  </si>
  <si>
    <t>MW_HYD_1975-09-25_From_the_Frying_Pan_to_the_Fire.mp3</t>
  </si>
  <si>
    <t>https://audio.iskcondesiretree.com/01_-_Srila_Prabhupada/01_-_Lectures/01_-_English/02_-_Month_wise/09_-_September/25/MW_HYD_1975-09-25_From_the_Frying_Pan_to_the_Fire.mp3</t>
  </si>
  <si>
    <t>Walk_1975-09-25_MW-AHMEDABAD.MP3</t>
  </si>
  <si>
    <t>https://audio.iskcondesiretree.com/01_-_Srila_Prabhupada/01_-_Lectures/01_-_English/02_-_Month_wise/09_-_September/25/Walk_1975-09-25_MW-AHMEDABAD.MP3</t>
  </si>
  <si>
    <t>SP_Morning_Walk_-_Ahmedabad_1975-09-26.MP3</t>
  </si>
  <si>
    <t>https://audio.iskcondesiretree.com/01_-_Srila_Prabhupada/01_-_Lectures/01_-_English/01_-_Topic_wise/Morning_Walk/SP_Morning_Walk_-_Ahmedabad_1975-09-26.MP3</t>
  </si>
  <si>
    <t>Walk_1975-09-26_MW-AHMEDABAD.MP3</t>
  </si>
  <si>
    <t>https://audio.iskcondesiretree.com/01_-_Srila_Prabhupada/01_-_Lectures/01_-_English/02_-_Month_wise/09_-_September/26/Walk_1975-09-26_MW-AHMEDABAD.MP3</t>
  </si>
  <si>
    <t>SP_Morning_Walk_-_Ahmedabad_1975-09-27.MP3</t>
  </si>
  <si>
    <t>https://audio.iskcondesiretree.com/01_-_Srila_Prabhupada/01_-_Lectures/01_-_English/01_-_Topic_wise/Morning_Walk/SP_Morning_Walk_-_Ahmedabad_1975-09-27.MP3</t>
  </si>
  <si>
    <t>Conv%E2%80%93Hindi_1975-09-27_R1-AHMEDABAD.MP3</t>
  </si>
  <si>
    <t>https://audio.iskcondesiretree.com/01_-_Srila_Prabhupada/01_-_Lectures/01_-_English/02_-_Month_wise/09_-_September/27/Conv%E2%80%93Hindi_1975-09-27_R1-AHMEDABAD.MP3</t>
  </si>
  <si>
    <t>SB-01-02-06%E2%80%93Hindi_1975-09-27_SB-AHMEDABAD.MP3</t>
  </si>
  <si>
    <t>https://audio.iskcondesiretree.com/01_-_Srila_Prabhupada/01_-_Lectures/01_-_English/02_-_Month_wise/09_-_September/27/SB-01-02-06%E2%80%93Hindi_1975-09-27_SB-AHMEDABAD.MP3</t>
  </si>
  <si>
    <t>Walk_1975-09-27_MW-AHMEDABAD.MP3</t>
  </si>
  <si>
    <t>https://audio.iskcondesiretree.com/01_-_Srila_Prabhupada/01_-_Lectures/01_-_English/02_-_Month_wise/09_-_September/27/Walk_1975-09-27_MW-AHMEDABAD.MP3</t>
  </si>
  <si>
    <t>SP_Morning_Walk_-_Ahmedabad_1975-09-29.MP3</t>
  </si>
  <si>
    <t>https://audio.iskcondesiretree.com/01_-_Srila_Prabhupada/01_-_Lectures/01_-_English/01_-_Topic_wise/Morning_Walk/SP_Morning_Walk_-_Ahmedabad_1975-09-29.MP3</t>
  </si>
  <si>
    <t>Walk_1975-09-29_MW-AHMEDABAD.MP3</t>
  </si>
  <si>
    <t>https://audio.iskcondesiretree.com/01_-_Srila_Prabhupada/01_-_Lectures/01_-_English/02_-_Month_wise/09_-_September/29/Walk_1975-09-29_MW-AHMEDABAD.MP3</t>
  </si>
  <si>
    <t>SP_Morning_Walk_-_Bombay_1975-09-30.MP3</t>
  </si>
  <si>
    <t>https://audio.iskcondesiretree.com/01_-_Srila_Prabhupada/01_-_Lectures/01_-_English/01_-_Topic_wise/Morning_Walk/SP_Morning_Walk_-_Bombay_1975-09-30.MP3</t>
  </si>
  <si>
    <t>Walk_1975-09-30_MW-BOMBAY.MP3</t>
  </si>
  <si>
    <t>https://audio.iskcondesiretree.com/01_-_Srila_Prabhupada/01_-_Lectures/01_-_English/02_-_Month_wise/09_-_September/30/Walk_1975-09-30_MW-BOMBAY.MP3</t>
  </si>
  <si>
    <t>SP_Arrival_Mauritius_1975-10-01_This_Body_Is_a_Bag.mp3</t>
  </si>
  <si>
    <t>https://audio.iskcondesiretree.com/01_-_Srila_Prabhupada/01_-_Lectures/01_-_English/01_-_Topic_wise/Arrival_Address/SP_Arrival_Mauritius_1975-10-01_This_Body_Is_a_Bag.mp3</t>
  </si>
  <si>
    <t>SP_BG_02-11_Mauritius_1975-10-01_Lament_for_a_Lump.mp3</t>
  </si>
  <si>
    <t>https://audio.iskcondesiretree.com/01_-_Srila_Prabhupada/01_-_Lectures/01_-_English/01_-_Topic_wise/Bhagavad_Gita/Chapter-02/SP_BG_02-11_Mauritius_1975-10-01_Lament_for_a_Lump.mp3</t>
  </si>
  <si>
    <t>Arr_MAU_1975-10-01_This_Body_Is_a_Bag.mp3</t>
  </si>
  <si>
    <t>https://audio.iskcondesiretree.com/01_-_Srila_Prabhupada/01_-_Lectures/01_-_English/02_-_Month_wise/10_-_October/01/Arr_MAU_1975-10-01_This_Body_Is_a_Bag.mp3</t>
  </si>
  <si>
    <t>Arrival_1975-10-01_A2-MAURITIUS.MP3</t>
  </si>
  <si>
    <t>https://audio.iskcondesiretree.com/01_-_Srila_Prabhupada/01_-_Lectures/01_-_English/02_-_Month_wise/10_-_October/01/Arrival_1975-10-01_A2-MAURITIUS.MP3</t>
  </si>
  <si>
    <t>Arrival_1975-10-01_AR-MAURITIUS.MP3</t>
  </si>
  <si>
    <t>https://audio.iskcondesiretree.com/01_-_Srila_Prabhupada/01_-_Lectures/01_-_English/02_-_Month_wise/10_-_October/01/Arrival_1975-10-01_AR-MAURITIUS.MP3</t>
  </si>
  <si>
    <t>Bg-02-11_1975-10-01_BG-MAURITIUS.MP3</t>
  </si>
  <si>
    <t>https://audio.iskcondesiretree.com/01_-_Srila_Prabhupada/01_-_Lectures/01_-_English/02_-_Month_wise/10_-_October/01/Bg-02-11_1975-10-01_BG-MAURITIUS.MP3</t>
  </si>
  <si>
    <t>Bg_02-11_MAU_1975-10-01_Lament_for_a_Lump.mp3</t>
  </si>
  <si>
    <t>https://audio.iskcondesiretree.com/01_-_Srila_Prabhupada/01_-_Lectures/01_-_English/02_-_Month_wise/10_-_October/01/Bg_02-11_MAU_1975-10-01_Lament_for_a_Lump.mp3</t>
  </si>
  <si>
    <t>SP_SB_7-05-30_Mauritius_1975-10-02_Material_Life.mp3</t>
  </si>
  <si>
    <t>https://audio.iskcondesiretree.com/01_-_Srila_Prabhupada/01_-_Lectures/01_-_English/01_-_Topic_wise/Srimad_Bhagavatam/Canto-07/SP_SB_7-05-30_Mauritius_1975-10-02_Material_Life.mp3</t>
  </si>
  <si>
    <t>PressConf_1975-10-02_PC-MAURITIUS.MP3</t>
  </si>
  <si>
    <t>https://audio.iskcondesiretree.com/01_-_Srila_Prabhupada/01_-_Lectures/01_-_English/02_-_Month_wise/10_-_October/02/PressConf_1975-10-02_PC-MAURITIUS.MP3</t>
  </si>
  <si>
    <t>SB-07-05-30_1975-10-02_SB-MAURITIUS.MP3</t>
  </si>
  <si>
    <t>https://audio.iskcondesiretree.com/01_-_Srila_Prabhupada/01_-_Lectures/01_-_English/02_-_Month_wise/10_-_October/02/SB-07-05-30_1975-10-02_SB-MAURITIUS.MP3</t>
  </si>
  <si>
    <t>SB_7-05-30_MAU_1975-10-02_Material_Life.mp3</t>
  </si>
  <si>
    <t>https://audio.iskcondesiretree.com/01_-_Srila_Prabhupada/01_-_Lectures/01_-_English/02_-_Month_wise/10_-_October/02/SB_7-05-30_MAU_1975-10-02_Material_Life.mp3</t>
  </si>
  <si>
    <t>Walk_1975-10-02_MW-MAURITIUS.MP3</t>
  </si>
  <si>
    <t>https://audio.iskcondesiretree.com/01_-_Srila_Prabhupada/01_-_Lectures/01_-_English/02_-_Month_wise/10_-_October/02/Walk_1975-10-02_MW-MAURITIUS.MP3</t>
  </si>
  <si>
    <t>SP_Morning_Walk_-_Mauritius_1975-10-03_Progress-Die_Quickly.mp3</t>
  </si>
  <si>
    <t>https://audio.iskcondesiretree.com/01_-_Srila_Prabhupada/01_-_Lectures/01_-_English/01_-_Topic_wise/Morning_Walk/SP_Morning_Walk_-_Mauritius_1975-10-03_Progress-Die_Quickly.mp3</t>
  </si>
  <si>
    <t>SP_Morning_Walk_-_Mauritius_1975-10-03_The_Great_Ones-All_Rascals.mp3</t>
  </si>
  <si>
    <t>https://audio.iskcondesiretree.com/01_-_Srila_Prabhupada/01_-_Lectures/01_-_English/01_-_Topic_wise/Morning_Walk/SP_Morning_Walk_-_Mauritius_1975-10-03_The_Great_Ones-All_Rascals.mp3</t>
  </si>
  <si>
    <t>MW_MAU_1975-10-03_Progress-Die_Quickly.mp3</t>
  </si>
  <si>
    <t>https://audio.iskcondesiretree.com/01_-_Srila_Prabhupada/01_-_Lectures/01_-_English/02_-_Month_wise/10_-_October/03/MW_MAU_1975-10-03_Progress-Die_Quickly.mp3</t>
  </si>
  <si>
    <t>MW_MAU_1975-10-03_The_Great_Ones-All_Rascals.mp3</t>
  </si>
  <si>
    <t>https://audio.iskcondesiretree.com/01_-_Srila_Prabhupada/01_-_Lectures/01_-_English/02_-_Month_wise/10_-_October/03/MW_MAU_1975-10-03_The_Great_Ones-All_Rascals.mp3</t>
  </si>
  <si>
    <t>Walk_1975-10-03_MW-MAURITIUS.MP3</t>
  </si>
  <si>
    <t>https://audio.iskcondesiretree.com/01_-_Srila_Prabhupada/01_-_Lectures/01_-_English/02_-_Month_wise/10_-_October/03/Walk_1975-10-03_MW-MAURITIUS.MP3</t>
  </si>
  <si>
    <t>SP_Morning_Walk_-_Mauritius_1975-10-04_The_Modern_Misunderstanding.mp3</t>
  </si>
  <si>
    <t>https://audio.iskcondesiretree.com/01_-_Srila_Prabhupada/01_-_Lectures/01_-_English/01_-_Topic_wise/Morning_Walk/SP_Morning_Walk_-_Mauritius_1975-10-04_The_Modern_Misunderstanding.mp3</t>
  </si>
  <si>
    <t>SP_Room_Conversation_Mauritius_1975-10-04_Students--Death-The_Ultimate_Philosophy.mp3</t>
  </si>
  <si>
    <t>https://audio.iskcondesiretree.com/01_-_Srila_Prabhupada/01_-_Lectures/01_-_English/01_-_Topic_wise/Room_Conversation/SP_Room_Conversation_Mauritius_1975-10-04_Students--Death-The_Ultimate_Philosophy.mp3</t>
  </si>
  <si>
    <t>SP_SB_7-05-31_Mauritius_1975-10-04_Books_for_the_Blind.mp3</t>
  </si>
  <si>
    <t>https://audio.iskcondesiretree.com/01_-_Srila_Prabhupada/01_-_Lectures/01_-_English/01_-_Topic_wise/Srimad_Bhagavatam/Canto-07/SP_SB_7-05-31_Mauritius_1975-10-04_Books_for_the_Blind.mp3</t>
  </si>
  <si>
    <t>Conv_1975-10-04_R1-MAURITIUS.MP3</t>
  </si>
  <si>
    <t>https://audio.iskcondesiretree.com/01_-_Srila_Prabhupada/01_-_Lectures/01_-_English/02_-_Month_wise/10_-_October/04/Conv_1975-10-04_R1-MAURITIUS.MP3</t>
  </si>
  <si>
    <t>MW_MAU_1975-10-04_The_Modern_Misunderstanding.mp3</t>
  </si>
  <si>
    <t>https://audio.iskcondesiretree.com/01_-_Srila_Prabhupada/01_-_Lectures/01_-_English/02_-_Month_wise/10_-_October/04/MW_MAU_1975-10-04_The_Modern_Misunderstanding.mp3</t>
  </si>
  <si>
    <t>RC_MAU_1975-10-04_Students-Death-The_Ultimate_Philosophy.mp3</t>
  </si>
  <si>
    <t>https://audio.iskcondesiretree.com/01_-_Srila_Prabhupada/01_-_Lectures/01_-_English/02_-_Month_wise/10_-_October/04/RC_MAU_1975-10-04_Students-Death-The_Ultimate_Philosophy.mp3</t>
  </si>
  <si>
    <t>SB-07-05-31_1975-10-04_SB-MAURITIUS.MP3</t>
  </si>
  <si>
    <t>https://audio.iskcondesiretree.com/01_-_Srila_Prabhupada/01_-_Lectures/01_-_English/02_-_Month_wise/10_-_October/04/SB-07-05-31_1975-10-04_SB-MAURITIUS.MP3</t>
  </si>
  <si>
    <t>SB_7-05-31_MAU_1975-10-04_Books_for_the_Blind.mp3</t>
  </si>
  <si>
    <t>https://audio.iskcondesiretree.com/01_-_Srila_Prabhupada/01_-_Lectures/01_-_English/02_-_Month_wise/10_-_October/04/SB_7-05-31_MAU_1975-10-04_Books_for_the_Blind.mp3</t>
  </si>
  <si>
    <t>Walk_1975-10-04_MW-MAURITIUS.MP3</t>
  </si>
  <si>
    <t>https://audio.iskcondesiretree.com/01_-_Srila_Prabhupada/01_-_Lectures/01_-_English/02_-_Month_wise/10_-_October/04/Walk_1975-10-04_MW-MAURITIUS.MP3</t>
  </si>
  <si>
    <t>SP_Morning_Walk_-_Mauritius_1975-10-05_Human_Life-Don%27t_Miss_the_Boat.mp3</t>
  </si>
  <si>
    <t>https://audio.iskcondesiretree.com/01_-_Srila_Prabhupada/01_-_Lectures/01_-_English/01_-_Topic_wise/Morning_Walk/SP_Morning_Walk_-_Mauritius_1975-10-05_Human_Life-Don%27t_Miss_the_Boat.mp3</t>
  </si>
  <si>
    <t>SP_Room_Conversation_Mauritius_1975-10-05_Blueprint_for_a_Blissful_Life.mp3</t>
  </si>
  <si>
    <t>https://audio.iskcondesiretree.com/01_-_Srila_Prabhupada/01_-_Lectures/01_-_English/01_-_Topic_wise/Room_Conversation/SP_Room_Conversation_Mauritius_1975-10-05_Blueprint_for_a_Blissful_Life.mp3</t>
  </si>
  <si>
    <t>SP_SB_1-02-06_Mauritius_1975-10-05_Our_Superior_Engagement.mp3</t>
  </si>
  <si>
    <t>https://audio.iskcondesiretree.com/01_-_Srila_Prabhupada/01_-_Lectures/01_-_English/01_-_Topic_wise/Srimad_Bhagavatam/Canto-01/SP_SB_1-02-06_Mauritius_1975-10-05_Our_Superior_Engagement.mp3</t>
  </si>
  <si>
    <t>Conv_1975-10-05_R1-MAURITIUS.MP3</t>
  </si>
  <si>
    <t>https://audio.iskcondesiretree.com/01_-_Srila_Prabhupada/01_-_Lectures/01_-_English/02_-_Month_wise/10_-_October/05/Conv_1975-10-05_R1-MAURITIUS.MP3</t>
  </si>
  <si>
    <t>MW_MAU_1975-10-05_Human_Life-Don%27t_Miss_the_Boat.mp3</t>
  </si>
  <si>
    <t>https://audio.iskcondesiretree.com/01_-_Srila_Prabhupada/01_-_Lectures/01_-_English/02_-_Month_wise/10_-_October/05/MW_MAU_1975-10-05_Human_Life-Don%27t_Miss_the_Boat.mp3</t>
  </si>
  <si>
    <t>RC_MAU_1975-10-05_Blueprint_for_a_Blissful_Life.mp3</t>
  </si>
  <si>
    <t>https://audio.iskcondesiretree.com/01_-_Srila_Prabhupada/01_-_Lectures/01_-_English/02_-_Month_wise/10_-_October/05/RC_MAU_1975-10-05_Blueprint_for_a_Blissful_Life.mp3</t>
  </si>
  <si>
    <t>SB-01-02-06_1975-10-05_SB-MAURITIUS.MP3</t>
  </si>
  <si>
    <t>https://audio.iskcondesiretree.com/01_-_Srila_Prabhupada/01_-_Lectures/01_-_English/02_-_Month_wise/10_-_October/05/SB-01-02-06_1975-10-05_SB-MAURITIUS.MP3</t>
  </si>
  <si>
    <t>SB_1-02-06_MAU_1975-10-05_Our_Superior_Engagement.mp3</t>
  </si>
  <si>
    <t>https://audio.iskcondesiretree.com/01_-_Srila_Prabhupada/01_-_Lectures/01_-_English/02_-_Month_wise/10_-_October/05/SB_1-02-06_MAU_1975-10-05_Our_Superior_Engagement.mp3</t>
  </si>
  <si>
    <t>Walk_1975-10-05_MW-MAURITIUS.MP3</t>
  </si>
  <si>
    <t>https://audio.iskcondesiretree.com/01_-_Srila_Prabhupada/01_-_Lectures/01_-_English/02_-_Month_wise/10_-_October/05/Walk_1975-10-05_MW-MAURITIUS.MP3</t>
  </si>
  <si>
    <t>Walk_1975-10-06_MW-DURBAN.MP3</t>
  </si>
  <si>
    <t>https://audio.iskcondesiretree.com/01_-_Srila_Prabhupada/01_-_Lectures/01_-_English/02_-_Month_wise/10_-_October/06/Walk_1975-10-06_MW-DURBAN.MP3</t>
  </si>
  <si>
    <t>SP_Lecture_Durban_1975-10-07_At_City_Hall--Sense_Gratification-No_Sense.mp3</t>
  </si>
  <si>
    <t>https://audio.iskcondesiretree.com/01_-_Srila_Prabhupada/01_-_Lectures/01_-_English/01_-_Topic_wise/Various/SP_Lecture_Durban_1975-10-07_At_City_Hall--Sense_Gratification-No_Sense.mp3</t>
  </si>
  <si>
    <t>Lect_DUR_1975-10-07_At_City_Hall-Sense_Gratification-No_Sense.mp3</t>
  </si>
  <si>
    <t>https://audio.iskcondesiretree.com/01_-_Srila_Prabhupada/01_-_Lectures/01_-_English/02_-_Month_wise/10_-_October/07/Lect_DUR_1975-10-07_At_City_Hall-Sense_Gratification-No_Sense.mp3</t>
  </si>
  <si>
    <t>Lecture_1975-10-07_LE-DURBAN.MP3</t>
  </si>
  <si>
    <t>https://audio.iskcondesiretree.com/01_-_Srila_Prabhupada/01_-_Lectures/01_-_English/02_-_Month_wise/10_-_October/07/Lecture_1975-10-07_LE-DURBAN.MP3</t>
  </si>
  <si>
    <t>Walk_1975-10-07_MW-DURBAN.MP3</t>
  </si>
  <si>
    <t>https://audio.iskcondesiretree.com/01_-_Srila_Prabhupada/01_-_Lectures/01_-_English/02_-_Month_wise/10_-_October/07/Walk_1975-10-07_MW-DURBAN.MP3</t>
  </si>
  <si>
    <t>Conv_1975-10-08_R1-DURBAN.MP3</t>
  </si>
  <si>
    <t>https://audio.iskcondesiretree.com/01_-_Srila_Prabhupada/01_-_Lectures/01_-_English/02_-_Month_wise/10_-_October/08/Conv_1975-10-08_R1-DURBAN.MP3</t>
  </si>
  <si>
    <t>Conv_1975-10-08_R2-DURBAN.MP3</t>
  </si>
  <si>
    <t>https://audio.iskcondesiretree.com/01_-_Srila_Prabhupada/01_-_Lectures/01_-_English/02_-_Month_wise/10_-_October/08/Conv_1975-10-08_R2-DURBAN.MP3</t>
  </si>
  <si>
    <t>Walk_1975-10-08_MW-DURBAN.MP3</t>
  </si>
  <si>
    <t>https://audio.iskcondesiretree.com/01_-_Srila_Prabhupada/01_-_Lectures/01_-_English/02_-_Month_wise/10_-_October/08/Walk_1975-10-08_MW-DURBAN.MP3</t>
  </si>
  <si>
    <t>SP_BG_07-01_Durban_1975-10-09_Relatively_Dirty_or_Absolutely_Clean.mp3</t>
  </si>
  <si>
    <t>https://audio.iskcondesiretree.com/01_-_Srila_Prabhupada/01_-_Lectures/01_-_English/01_-_Topic_wise/Bhagavad_Gita/Chapter-07/SP_BG_07-01_Durban_1975-10-09_Relatively_Dirty_or_Absolutely_Clean.mp3</t>
  </si>
  <si>
    <t>Bg-07-01_1975-10-09_BG-DURBAN.MP3</t>
  </si>
  <si>
    <t>https://audio.iskcondesiretree.com/01_-_Srila_Prabhupada/01_-_Lectures/01_-_English/02_-_Month_wise/10_-_October/09/Bg-07-01_1975-10-09_BG-DURBAN.MP3</t>
  </si>
  <si>
    <t>Bg_07-01_DUR_1975-10-09_Relatively_Dirty_or_Absolutely_Clean.mp3</t>
  </si>
  <si>
    <t>https://audio.iskcondesiretree.com/01_-_Srila_Prabhupada/01_-_Lectures/01_-_English/02_-_Month_wise/10_-_October/09/Bg_07-01_DUR_1975-10-09_Relatively_Dirty_or_Absolutely_Clean.mp3</t>
  </si>
  <si>
    <t>Walk_1975-10-09_MW-DURBAN.MP3</t>
  </si>
  <si>
    <t>https://audio.iskcondesiretree.com/01_-_Srila_Prabhupada/01_-_Lectures/01_-_English/02_-_Month_wise/10_-_October/09/Walk_1975-10-09_MW-DURBAN.MP3</t>
  </si>
  <si>
    <t>SP_Room_Conversation_Durban_1975-10-10_Prof--This_Body_Is_Always_Dead.mp3</t>
  </si>
  <si>
    <t>https://audio.iskcondesiretree.com/01_-_Srila_Prabhupada/01_-_Lectures/01_-_English/01_-_Topic_wise/Room_Conversation/SP_Room_Conversation_Durban_1975-10-10_Prof--This_Body_Is_Always_Dead.mp3</t>
  </si>
  <si>
    <t>Conv_1975-10-10_R1-DURBAN.MP3</t>
  </si>
  <si>
    <t>https://audio.iskcondesiretree.com/01_-_Srila_Prabhupada/01_-_Lectures/01_-_English/02_-_Month_wise/10_-_October/10/Conv_1975-10-10_R1-DURBAN.MP3</t>
  </si>
  <si>
    <t>RC_DUR_1975-10-10_Prof-This_Body_Is_Always_Dead.mp3</t>
  </si>
  <si>
    <t>https://audio.iskcondesiretree.com/01_-_Srila_Prabhupada/01_-_Lectures/01_-_English/02_-_Month_wise/10_-_October/10/RC_DUR_1975-10-10_Prof-This_Body_Is_Always_Dead.mp3</t>
  </si>
  <si>
    <t>Walk_1975-10-10_MW-DURBAN.MP3</t>
  </si>
  <si>
    <t>https://audio.iskcondesiretree.com/01_-_Srila_Prabhupada/01_-_Lectures/01_-_English/02_-_Month_wise/10_-_October/10/Walk_1975-10-10_MW-DURBAN.MP3</t>
  </si>
  <si>
    <t>SP_Lecture_Durban_1975-10-11_Happiness_on_the_Planet_of_Misery.mp3</t>
  </si>
  <si>
    <t>https://audio.iskcondesiretree.com/01_-_Srila_Prabhupada/01_-_Lectures/01_-_English/01_-_Topic_wise/Various/SP_Lecture_Durban_1975-10-11_Happiness_on_the_Planet_of_Misery.mp3</t>
  </si>
  <si>
    <t>Bg-18-45_1975-10-11_BG-DURBAN.MP3</t>
  </si>
  <si>
    <t>https://audio.iskcondesiretree.com/01_-_Srila_Prabhupada/01_-_Lectures/01_-_English/02_-_Month_wise/10_-_October/11/Bg-18-45_1975-10-11_BG-DURBAN.MP3</t>
  </si>
  <si>
    <t>Lect_DUR_1975-10-11_Happiness_on_the_Planet_of_Misery.mp3</t>
  </si>
  <si>
    <t>https://audio.iskcondesiretree.com/01_-_Srila_Prabhupada/01_-_Lectures/01_-_English/02_-_Month_wise/10_-_October/11/Lect_DUR_1975-10-11_Happiness_on_the_Planet_of_Misery.mp3</t>
  </si>
  <si>
    <t>Walk_1975-10-12_MW-DURBAN.MP3</t>
  </si>
  <si>
    <t>https://audio.iskcondesiretree.com/01_-_Srila_Prabhupada/01_-_Lectures/01_-_English/02_-_Month_wise/10_-_October/12/Walk_1975-10-12_MW-DURBAN.MP3</t>
  </si>
  <si>
    <t>SP_BG_13-01-02_Durban_1975-10-13_The_Rented_House.MP3</t>
  </si>
  <si>
    <t>https://audio.iskcondesiretree.com/01_-_Srila_Prabhupada/01_-_Lectures/01_-_English/01_-_Topic_wise/Bhagavad_Gita/Chapter-13/SP_BG_13-01-02_Durban_1975-10-13_The_Rented_House.MP3</t>
  </si>
  <si>
    <t>SP_BG_13-01_Durban_1975-10-13_The_Rented_House.mp3</t>
  </si>
  <si>
    <t>https://audio.iskcondesiretree.com/01_-_Srila_Prabhupada/01_-_Lectures/01_-_English/01_-_Topic_wise/Bhagavad_Gita/Chapter-13/SP_BG_13-01_Durban_1975-10-13_The_Rented_House.mp3</t>
  </si>
  <si>
    <t>SP_Morning_Walk_-_Durban_1975-10-13_Modern_Primitives.mp3</t>
  </si>
  <si>
    <t>https://audio.iskcondesiretree.com/01_-_Srila_Prabhupada/01_-_Lectures/01_-_English/01_-_Topic_wise/Morning_Walk/SP_Morning_Walk_-_Durban_1975-10-13_Modern_Primitives.mp3</t>
  </si>
  <si>
    <t>SP_Room_Conversation_Durban_1975-10-13_Why_No_More_Men_from_Apes.mp3</t>
  </si>
  <si>
    <t>https://audio.iskcondesiretree.com/01_-_Srila_Prabhupada/01_-_Lectures/01_-_English/01_-_Topic_wise/Room_Conversation/SP_Room_Conversation_Durban_1975-10-13_Why_No_More_Men_from_Apes.mp3</t>
  </si>
  <si>
    <t>Bg-13-01%E2%80%9303_1975-10-13_BG-DURBAN.MP3</t>
  </si>
  <si>
    <t>https://audio.iskcondesiretree.com/01_-_Srila_Prabhupada/01_-_Lectures/01_-_English/02_-_Month_wise/10_-_October/13/Bg-13-01%E2%80%9303_1975-10-13_BG-DURBAN.MP3</t>
  </si>
  <si>
    <t>Bg_13-01_DUR_1975-10-13_The_Rented_House.mp3</t>
  </si>
  <si>
    <t>https://audio.iskcondesiretree.com/01_-_Srila_Prabhupada/01_-_Lectures/01_-_English/02_-_Month_wise/10_-_October/13/Bg_13-01_DUR_1975-10-13_The_Rented_House.mp3</t>
  </si>
  <si>
    <t>Conv_1975-10-13_CR-DURBAN.MP3</t>
  </si>
  <si>
    <t>https://audio.iskcondesiretree.com/01_-_Srila_Prabhupada/01_-_Lectures/01_-_English/02_-_Month_wise/10_-_October/13/Conv_1975-10-13_CR-DURBAN.MP3</t>
  </si>
  <si>
    <t>MW_DUR_1975-10-13_Modern_Primitives.mp3</t>
  </si>
  <si>
    <t>https://audio.iskcondesiretree.com/01_-_Srila_Prabhupada/01_-_Lectures/01_-_English/02_-_Month_wise/10_-_October/13/MW_DUR_1975-10-13_Modern_Primitives.mp3</t>
  </si>
  <si>
    <t>RC_DUR_1975-10-13_Why_No_More_Men_from_Apes.mp3</t>
  </si>
  <si>
    <t>https://audio.iskcondesiretree.com/01_-_Srila_Prabhupada/01_-_Lectures/01_-_English/02_-_Month_wise/10_-_October/13/RC_DUR_1975-10-13_Why_No_More_Men_from_Apes.mp3</t>
  </si>
  <si>
    <t>Walk_1975-10-13_MW-DURBAN.MP3</t>
  </si>
  <si>
    <t>https://audio.iskcondesiretree.com/01_-_Srila_Prabhupada/01_-_Lectures/01_-_English/02_-_Month_wise/10_-_October/13/Walk_1975-10-13_MW-DURBAN.MP3</t>
  </si>
  <si>
    <t>SP_Morning_Walk_-_Johannesburg_1975-10-14_Mischievous_Merit.mp3</t>
  </si>
  <si>
    <t>https://audio.iskcondesiretree.com/01_-_Srila_Prabhupada/01_-_Lectures/01_-_English/01_-_Topic_wise/Morning_Walk/SP_Morning_Walk_-_Johannesburg_1975-10-14_Mischievous_Merit.mp3</t>
  </si>
  <si>
    <t>SP_Room_Conversation_Johannesburg_1975-10-14_Monkeys_Produced_Man--and_You_Call--etc.mp3</t>
  </si>
  <si>
    <t>https://audio.iskcondesiretree.com/01_-_Srila_Prabhupada/01_-_Lectures/01_-_English/01_-_Topic_wise/Room_Conversation/SP_Room_Conversation_Johannesburg_1975-10-14_Monkeys_Produced_Man--and_You_Call--etc.mp3</t>
  </si>
  <si>
    <t>SP_SB_1-07-02-04_Durban_1975-10-14_Seeing_Krishna_24_Hours_a_Day.MP3</t>
  </si>
  <si>
    <t>https://audio.iskcondesiretree.com/01_-_Srila_Prabhupada/01_-_Lectures/01_-_English/01_-_Topic_wise/Srimad_Bhagavatam/Canto-01/SP_SB_1-07-02-04_Durban_1975-10-14_Seeing_Krishna_24_Hours_a_Day.MP3</t>
  </si>
  <si>
    <t>SP_SB_1-07-02_Durban_1975-10-14_Seeing_Krishna_24_Hours_a_Day.mp3</t>
  </si>
  <si>
    <t>https://audio.iskcondesiretree.com/01_-_Srila_Prabhupada/01_-_Lectures/01_-_English/01_-_Topic_wise/Srimad_Bhagavatam/Canto-01/SP_SB_1-07-02_Durban_1975-10-14_Seeing_Krishna_24_Hours_a_Day.mp3</t>
  </si>
  <si>
    <t>Conv_1975-10-14_R1-JOHANNESBURG.MP3</t>
  </si>
  <si>
    <t>https://audio.iskcondesiretree.com/01_-_Srila_Prabhupada/01_-_Lectures/01_-_English/02_-_Month_wise/10_-_October/14/Conv_1975-10-14_R1-JOHANNESBURG.MP3</t>
  </si>
  <si>
    <t>Lecture_1975-10-14_LE-JOHANNESBURG.MP3</t>
  </si>
  <si>
    <t>https://audio.iskcondesiretree.com/01_-_Srila_Prabhupada/01_-_Lectures/01_-_English/02_-_Month_wise/10_-_October/14/Lecture_1975-10-14_LE-JOHANNESBURG.MP3</t>
  </si>
  <si>
    <t>MW_JOH_1975-10-14_Mischievous_Merit.mp3</t>
  </si>
  <si>
    <t>https://audio.iskcondesiretree.com/01_-_Srila_Prabhupada/01_-_Lectures/01_-_English/02_-_Month_wise/10_-_October/14/MW_JOH_1975-10-14_Mischievous_Merit.mp3</t>
  </si>
  <si>
    <t>RC_JOH_1975-10-14_Monkeys_Produced_Man_and_You_Call_etc.mp3</t>
  </si>
  <si>
    <t>https://audio.iskcondesiretree.com/01_-_Srila_Prabhupada/01_-_Lectures/01_-_English/02_-_Month_wise/10_-_October/14/RC_JOH_1975-10-14_Monkeys_Produced_Man_and_You_Call_etc.mp3</t>
  </si>
  <si>
    <t>SB-01-07-02%E2%80%9304_1975-10-14_SB-JOHANNESBURG.MP3</t>
  </si>
  <si>
    <t>https://audio.iskcondesiretree.com/01_-_Srila_Prabhupada/01_-_Lectures/01_-_English/02_-_Month_wise/10_-_October/14/SB-01-07-02%E2%80%9304_1975-10-14_SB-JOHANNESBURG.MP3</t>
  </si>
  <si>
    <t>SB_1-07-02_DUR_1975-10-14_Seeing_Krishna_24_Hours_a_Day.mp3</t>
  </si>
  <si>
    <t>https://audio.iskcondesiretree.com/01_-_Srila_Prabhupada/01_-_Lectures/01_-_English/02_-_Month_wise/10_-_October/14/SB_1-07-02_DUR_1975-10-14_Seeing_Krishna_24_Hours_a_Day.mp3</t>
  </si>
  <si>
    <t>SP_Room_Conversation_Durban_1975-10-15_Dogs%27_Obstinacy.mp3</t>
  </si>
  <si>
    <t>https://audio.iskcondesiretree.com/01_-_Srila_Prabhupada/01_-_Lectures/01_-_English/01_-_Topic_wise/Room_Conversation/SP_Room_Conversation_Durban_1975-10-15_Dogs%27_Obstinacy.mp3</t>
  </si>
  <si>
    <t>SP_SB_1-07-05_Johannesburg_1975-10-15_Survival_of_the...What_Fittest.mp3</t>
  </si>
  <si>
    <t>https://audio.iskcondesiretree.com/01_-_Srila_Prabhupada/01_-_Lectures/01_-_English/01_-_Topic_wise/Srimad_Bhagavatam/Canto-01/SP_SB_1-07-05_Johannesburg_1975-10-15_Survival_of_the...What_Fittest.mp3</t>
  </si>
  <si>
    <t>Conv_1975-10-15_R1-JOHANNESBURG.MP3</t>
  </si>
  <si>
    <t>https://audio.iskcondesiretree.com/01_-_Srila_Prabhupada/01_-_Lectures/01_-_English/02_-_Month_wise/10_-_October/15/Conv_1975-10-15_R1-JOHANNESBURG.MP3</t>
  </si>
  <si>
    <t>RC_DUR_1975-10-15_Dogs%27_Obstinacy.mp3</t>
  </si>
  <si>
    <t>https://audio.iskcondesiretree.com/01_-_Srila_Prabhupada/01_-_Lectures/01_-_English/02_-_Month_wise/10_-_October/15/RC_DUR_1975-10-15_Dogs%27_Obstinacy.mp3</t>
  </si>
  <si>
    <t>SB-01-07-05%E2%80%9306_1975-10-15_SB-JOHANNESBURG.MP3</t>
  </si>
  <si>
    <t>https://audio.iskcondesiretree.com/01_-_Srila_Prabhupada/01_-_Lectures/01_-_English/02_-_Month_wise/10_-_October/15/SB-01-07-05%E2%80%9306_1975-10-15_SB-JOHANNESBURG.MP3</t>
  </si>
  <si>
    <t>SB_1-07-05_JOH_1975-10-15_Survival_of_the_What_Fittest.mp3</t>
  </si>
  <si>
    <t>https://audio.iskcondesiretree.com/01_-_Srila_Prabhupada/01_-_Lectures/01_-_English/02_-_Month_wise/10_-_October/15/SB_1-07-05_JOH_1975-10-15_Survival_of_the_What_Fittest.mp3</t>
  </si>
  <si>
    <t>SP_Room_Conversation_Johannesburg_1975-10-16_People_Follow_Leader.mp3</t>
  </si>
  <si>
    <t>https://audio.iskcondesiretree.com/01_-_Srila_Prabhupada/01_-_Lectures/01_-_English/01_-_Topic_wise/Room_Conversation/SP_Room_Conversation_Johannesburg_1975-10-16_People_Follow_Leader.mp3</t>
  </si>
  <si>
    <t>Conv_1975-10-16_R1-JOHANNESBURG.MP3</t>
  </si>
  <si>
    <t>https://audio.iskcondesiretree.com/01_-_Srila_Prabhupada/01_-_Lectures/01_-_English/02_-_Month_wise/10_-_October/16/Conv_1975-10-16_R1-JOHANNESBURG.MP3</t>
  </si>
  <si>
    <t>RC_JOH_1975-10-16_People_Follow_Leader.mp3</t>
  </si>
  <si>
    <t>https://audio.iskcondesiretree.com/01_-_Srila_Prabhupada/01_-_Lectures/01_-_English/02_-_Month_wise/10_-_October/16/RC_JOH_1975-10-16_People_Follow_Leader.mp3</t>
  </si>
  <si>
    <t>Walk_1975-10-16_MW-JOHANNESBURG.MP3</t>
  </si>
  <si>
    <t>https://audio.iskcondesiretree.com/01_-_Srila_Prabhupada/01_-_Lectures/01_-_English/02_-_Month_wise/10_-_October/16/Walk_1975-10-16_MW-JOHANNESBURG.MP3</t>
  </si>
  <si>
    <t>SP_BG_02-01_Johannesburg_1975-10-17_When_to_Approach_a_Guru.mp3</t>
  </si>
  <si>
    <t>https://audio.iskcondesiretree.com/01_-_Srila_Prabhupada/01_-_Lectures/01_-_English/01_-_Topic_wise/Bhagavad_Gita/Chapter-02/SP_BG_02-01_Johannesburg_1975-10-17_When_to_Approach_a_Guru.mp3</t>
  </si>
  <si>
    <t>Bg-02-01%E2%80%9311_1975-10-17_BG-JOHANNESBURG.MP3</t>
  </si>
  <si>
    <t>https://audio.iskcondesiretree.com/01_-_Srila_Prabhupada/01_-_Lectures/01_-_English/02_-_Month_wise/10_-_October/17/Bg-02-01%E2%80%9311_1975-10-17_BG-JOHANNESBURG.MP3</t>
  </si>
  <si>
    <t>Bg_02-01_JOH_1975-10-17_When_to_Approach_a_Guru.mp3</t>
  </si>
  <si>
    <t>https://audio.iskcondesiretree.com/01_-_Srila_Prabhupada/01_-_Lectures/01_-_English/02_-_Month_wise/10_-_October/17/Bg_02-01_JOH_1975-10-17_When_to_Approach_a_Guru.mp3</t>
  </si>
  <si>
    <t>Conv_1975-10-17_R1-JOHANNESBURG.MP3</t>
  </si>
  <si>
    <t>https://audio.iskcondesiretree.com/01_-_Srila_Prabhupada/01_-_Lectures/01_-_English/02_-_Month_wise/10_-_October/17/Conv_1975-10-17_R1-JOHANNESBURG.MP3</t>
  </si>
  <si>
    <t>Walk_1975-10-17_MW-JOHANNESBURG.MP3</t>
  </si>
  <si>
    <t>https://audio.iskcondesiretree.com/01_-_Srila_Prabhupada/01_-_Lectures/01_-_English/02_-_Month_wise/10_-_October/17/Walk_1975-10-17_MW-JOHANNESBURG.MP3</t>
  </si>
  <si>
    <t>SP_BG_16-06_Durban_1975-10-18_Demons%27_Symptoms.mp3</t>
  </si>
  <si>
    <t>https://audio.iskcondesiretree.com/01_-_Srila_Prabhupada/01_-_Lectures/01_-_English/01_-_Topic_wise/Bhagavad_Gita/Chapter-16/SP_BG_16-06_Durban_1975-10-18_Demons%27_Symptoms.mp3</t>
  </si>
  <si>
    <t>SP_Morning_Walk_-_Johannesburg_1975-10-18_Modern_Education_Makes_Asses.mp3</t>
  </si>
  <si>
    <t>https://audio.iskcondesiretree.com/01_-_Srila_Prabhupada/01_-_Lectures/01_-_English/01_-_Topic_wise/Morning_Walk/SP_Morning_Walk_-_Johannesburg_1975-10-18_Modern_Education_Makes_Asses.mp3</t>
  </si>
  <si>
    <t>Bg-16-06_1975-10-18_BG-JOHANNESBURG.MP3</t>
  </si>
  <si>
    <t>https://audio.iskcondesiretree.com/01_-_Srila_Prabhupada/01_-_Lectures/01_-_English/02_-_Month_wise/10_-_October/18/Bg-16-06_1975-10-18_BG-JOHANNESBURG.MP3</t>
  </si>
  <si>
    <t>Bg_16-06_DUR_1975-10-18_Demons_Symptoms.mp3</t>
  </si>
  <si>
    <t>https://audio.iskcondesiretree.com/01_-_Srila_Prabhupada/01_-_Lectures/01_-_English/02_-_Month_wise/10_-_October/18/Bg_16-06_DUR_1975-10-18_Demons_Symptoms.mp3</t>
  </si>
  <si>
    <t>MW_JOH_1975-10-18_Modern_Education_Makes_Asses.mp3</t>
  </si>
  <si>
    <t>https://audio.iskcondesiretree.com/01_-_Srila_Prabhupada/01_-_Lectures/01_-_English/02_-_Month_wise/10_-_October/18/MW_JOH_1975-10-18_Modern_Education_Makes_Asses.mp3</t>
  </si>
  <si>
    <t>Walk_1975-10-18_MW-JOHANNESBURG.MP3</t>
  </si>
  <si>
    <t>https://audio.iskcondesiretree.com/01_-_Srila_Prabhupada/01_-_Lectures/01_-_English/02_-_Month_wise/10_-_October/18/Walk_1975-10-18_MW-JOHANNESBURG.MP3</t>
  </si>
  <si>
    <t>SP_BG_04-13_Johannesburg_1975-10-19_Sunday_Feast--Cat_and_Dog_Society.mp3</t>
  </si>
  <si>
    <t>https://audio.iskcondesiretree.com/01_-_Srila_Prabhupada/01_-_Lectures/01_-_English/01_-_Topic_wise/Bhagavad_Gita/Chapter-04/SP_BG_04-13_Johannesburg_1975-10-19_Sunday_Feast--Cat_and_Dog_Society.mp3</t>
  </si>
  <si>
    <t>Bg-04-13_1975-10-19_BG-JOHANNESBURG.MP3</t>
  </si>
  <si>
    <t>https://audio.iskcondesiretree.com/01_-_Srila_Prabhupada/01_-_Lectures/01_-_English/02_-_Month_wise/10_-_October/19/Bg-04-13_1975-10-19_BG-JOHANNESBURG.MP3</t>
  </si>
  <si>
    <t>Bg_04-13_JOH_1975-10-19_Sunday_Feast-Cat_and_Dog_Society.mp3</t>
  </si>
  <si>
    <t>https://audio.iskcondesiretree.com/01_-_Srila_Prabhupada/01_-_Lectures/01_-_English/02_-_Month_wise/10_-_October/19/Bg_04-13_JOH_1975-10-19_Sunday_Feast-Cat_and_Dog_Society.mp3</t>
  </si>
  <si>
    <t>Walk_1975-10-19_MW-JOHANNESBURG.MP3</t>
  </si>
  <si>
    <t>https://audio.iskcondesiretree.com/01_-_Srila_Prabhupada/01_-_Lectures/01_-_English/02_-_Month_wise/10_-_October/19/Walk_1975-10-19_MW-JOHANNESBURG.MP3</t>
  </si>
  <si>
    <t>SP_Morning_Walk_-_Johannesburg_1975-10-20_I%27m_Happy-I%27m_Fool_Number_One.mp3</t>
  </si>
  <si>
    <t>https://audio.iskcondesiretree.com/01_-_Srila_Prabhupada/01_-_Lectures/01_-_English/01_-_Topic_wise/Morning_Walk/SP_Morning_Walk_-_Johannesburg_1975-10-20_I%27m_Happy-I%27m_Fool_Number_One.mp3</t>
  </si>
  <si>
    <t>SP_SB_5-05-01_Johannesburg_1975-10-20_The_Natural_World--Unnatural.mp3</t>
  </si>
  <si>
    <t>https://audio.iskcondesiretree.com/01_-_Srila_Prabhupada/01_-_Lectures/01_-_English/01_-_Topic_wise/Srimad_Bhagavatam/Canto-05/SP_SB_5-05-01_Johannesburg_1975-10-20_The_Natural_World--Unnatural.mp3</t>
  </si>
  <si>
    <t>MW_JOH_1975-10-20_I%27m_Happy-I%27m_Fool_Number_One.mp3</t>
  </si>
  <si>
    <t>https://audio.iskcondesiretree.com/01_-_Srila_Prabhupada/01_-_Lectures/01_-_English/02_-_Month_wise/10_-_October/20/MW_JOH_1975-10-20_I%27m_Happy-I%27m_Fool_Number_One.mp3</t>
  </si>
  <si>
    <t>SB-05-05-01_1975-10-20_SB-JOHANNESBURG.MP3</t>
  </si>
  <si>
    <t>https://audio.iskcondesiretree.com/01_-_Srila_Prabhupada/01_-_Lectures/01_-_English/02_-_Month_wise/10_-_October/20/SB-05-05-01_1975-10-20_SB-JOHANNESBURG.MP3</t>
  </si>
  <si>
    <t>SB_5-05-01_JOH_1975-10-20_The_Natural_World_Unnatural.mp3</t>
  </si>
  <si>
    <t>https://audio.iskcondesiretree.com/01_-_Srila_Prabhupada/01_-_Lectures/01_-_English/02_-_Month_wise/10_-_October/20/SB_5-05-01_JOH_1975-10-20_The_Natural_World_Unnatural.mp3</t>
  </si>
  <si>
    <t>Walk_1975-10-20_MW-JOHANNESBURG.MP3</t>
  </si>
  <si>
    <t>https://audio.iskcondesiretree.com/01_-_Srila_Prabhupada/01_-_Lectures/01_-_English/02_-_Month_wise/10_-_October/20/Walk_1975-10-20_MW-JOHANNESBURG.MP3</t>
  </si>
  <si>
    <t>SP_Morning_Walk_-_Johannesburg_1975-10-21_Abortionists-Kick_Them_in_Nose.mp3</t>
  </si>
  <si>
    <t>https://audio.iskcondesiretree.com/01_-_Srila_Prabhupada/01_-_Lectures/01_-_English/01_-_Topic_wise/Morning_Walk/SP_Morning_Walk_-_Johannesburg_1975-10-21_Abortionists-Kick_Them_in_Nose.mp3</t>
  </si>
  <si>
    <t>SP_Room_Conversation_Johannesburg_1975-10-21_Border_Between_Matter_%26_Spirit.mp3</t>
  </si>
  <si>
    <t>https://audio.iskcondesiretree.com/01_-_Srila_Prabhupada/01_-_Lectures/01_-_English/01_-_Topic_wise/Room_Conversation/SP_Room_Conversation_Johannesburg_1975-10-21_Border_Between_Matter_%26_Spirit.mp3</t>
  </si>
  <si>
    <t>Conv_1975-10-21_R1-JOHANNESBURG.MP3</t>
  </si>
  <si>
    <t>https://audio.iskcondesiretree.com/01_-_Srila_Prabhupada/01_-_Lectures/01_-_English/02_-_Month_wise/10_-_October/21/Conv_1975-10-21_R1-JOHANNESBURG.MP3</t>
  </si>
  <si>
    <t>MW_JOH_1975-10-21_Abortionists-Kick_Them_in_Nose.mp3</t>
  </si>
  <si>
    <t>https://audio.iskcondesiretree.com/01_-_Srila_Prabhupada/01_-_Lectures/01_-_English/02_-_Month_wise/10_-_October/21/MW_JOH_1975-10-21_Abortionists-Kick_Them_in_Nose.mp3</t>
  </si>
  <si>
    <t>RC_JOH_1975-10-21_Border_Between_Matter_%26_Spirit.mp3</t>
  </si>
  <si>
    <t>https://audio.iskcondesiretree.com/01_-_Srila_Prabhupada/01_-_Lectures/01_-_English/02_-_Month_wise/10_-_October/21/RC_JOH_1975-10-21_Border_Between_Matter_%26_Spirit.mp3</t>
  </si>
  <si>
    <t>Walk_1975-10-21_MW-JOHANNESBURG.MP3</t>
  </si>
  <si>
    <t>https://audio.iskcondesiretree.com/01_-_Srila_Prabhupada/01_-_Lectures/01_-_English/02_-_Month_wise/10_-_October/21/Walk_1975-10-21_MW-JOHANNESBURG.MP3</t>
  </si>
  <si>
    <t>SP_SB_5-05-02_Johannesburg_1975-10-22_Get_Out_of_Material_Disease.mp3</t>
  </si>
  <si>
    <t>https://audio.iskcondesiretree.com/01_-_Srila_Prabhupada/01_-_Lectures/01_-_English/01_-_Topic_wise/Srimad_Bhagavatam/Canto-05/SP_SB_5-05-02_Johannesburg_1975-10-22_Get_Out_of_Material_Disease.mp3</t>
  </si>
  <si>
    <t>SB-05-05-02_1975-10-22_SB-JOHANNESBURG.MP3</t>
  </si>
  <si>
    <t>https://audio.iskcondesiretree.com/01_-_Srila_Prabhupada/01_-_Lectures/01_-_English/02_-_Month_wise/10_-_October/22/SB-05-05-02_1975-10-22_SB-JOHANNESBURG.MP3</t>
  </si>
  <si>
    <t>SB_5-05-02_JOH_1975-10-22_Get_Out_of_Material_Disease.mp3</t>
  </si>
  <si>
    <t>https://audio.iskcondesiretree.com/01_-_Srila_Prabhupada/01_-_Lectures/01_-_English/02_-_Month_wise/10_-_October/22/SB_5-05-02_JOH_1975-10-22_Get_Out_of_Material_Disease.mp3</t>
  </si>
  <si>
    <t>Walk_1975-10-25_MW-MAURITIUS.MP3</t>
  </si>
  <si>
    <t>https://audio.iskcondesiretree.com/01_-_Srila_Prabhupada/01_-_Lectures/01_-_English/02_-_Month_wise/10_-_October/25/Walk_1975-10-25_MW-MAURITIUS.MP3</t>
  </si>
  <si>
    <t>SP_SB_3-28-17_Nairobi_1975-10-26_I_Must_Love_Krishna.mp3</t>
  </si>
  <si>
    <t>https://audio.iskcondesiretree.com/01_-_Srila_Prabhupada/01_-_Lectures/01_-_English/01_-_Topic_wise/Srimad_Bhagavatam/Canto-03/SP_SB_3-28-17_Nairobi_1975-10-26_I_Must_Love_Krishna.mp3</t>
  </si>
  <si>
    <t>SB-03-28-17_1975-10-26_SB-NAIROBI.MP3</t>
  </si>
  <si>
    <t>https://audio.iskcondesiretree.com/01_-_Srila_Prabhupada/01_-_Lectures/01_-_English/02_-_Month_wise/10_-_October/26/SB-03-28-17_1975-10-26_SB-NAIROBI.MP3</t>
  </si>
  <si>
    <t>SB_3-28-17_NAI_1975-10-26_I_Must_Love_Krishna.mp3</t>
  </si>
  <si>
    <t>https://audio.iskcondesiretree.com/01_-_Srila_Prabhupada/01_-_Lectures/01_-_English/02_-_Month_wise/10_-_October/26/SB_3-28-17_NAI_1975-10-26_I_Must_Love_Krishna.mp3</t>
  </si>
  <si>
    <t>Walk_1975-10-26_MW-MAURITIUS.MP3</t>
  </si>
  <si>
    <t>https://audio.iskcondesiretree.com/01_-_Srila_Prabhupada/01_-_Lectures/01_-_English/02_-_Month_wise/10_-_October/26/Walk_1975-10-26_MW-MAURITIUS.MP3</t>
  </si>
  <si>
    <t>SP_BG_07-01_Nairobi_1975-10-27_Always_Think_of_Krishna.mp3</t>
  </si>
  <si>
    <t>https://audio.iskcondesiretree.com/01_-_Srila_Prabhupada/01_-_Lectures/01_-_English/01_-_Topic_wise/Bhagavad_Gita/Chapter-07/SP_BG_07-01_Nairobi_1975-10-27_Always_Think_of_Krishna.mp3</t>
  </si>
  <si>
    <t>SP_SB_3-12-18_Nairobi_1975-10-27_Stay_Under_Krishna%27s_Protection.mp3</t>
  </si>
  <si>
    <t>https://audio.iskcondesiretree.com/01_-_Srila_Prabhupada/01_-_Lectures/01_-_English/01_-_Topic_wise/Srimad_Bhagavatam/Canto-03/SP_SB_3-12-18_Nairobi_1975-10-27_Stay_Under_Krishna%27s_Protection.mp3</t>
  </si>
  <si>
    <t>Bg-07-01_1975-10-27_BG-NAIROBI.MP3</t>
  </si>
  <si>
    <t>https://audio.iskcondesiretree.com/01_-_Srila_Prabhupada/01_-_Lectures/01_-_English/02_-_Month_wise/10_-_October/27/Bg-07-01_1975-10-27_BG-NAIROBI.MP3</t>
  </si>
  <si>
    <t>Bg_07-01_NAI_1975-10-27_Always_Think_of_Krishna.mp3</t>
  </si>
  <si>
    <t>https://audio.iskcondesiretree.com/01_-_Srila_Prabhupada/01_-_Lectures/01_-_English/02_-_Month_wise/10_-_October/27/Bg_07-01_NAI_1975-10-27_Always_Think_of_Krishna.mp3</t>
  </si>
  <si>
    <t>SB-03-28-18_1975-10-27_SB-NAIROBI.MP3</t>
  </si>
  <si>
    <t>https://audio.iskcondesiretree.com/01_-_Srila_Prabhupada/01_-_Lectures/01_-_English/02_-_Month_wise/10_-_October/27/SB-03-28-18_1975-10-27_SB-NAIROBI.MP3</t>
  </si>
  <si>
    <t>SB_3-12-18_NAI_1975-10-27_Stay_Under_Krishna%27s_Protection.mp3</t>
  </si>
  <si>
    <t>https://audio.iskcondesiretree.com/01_-_Srila_Prabhupada/01_-_Lectures/01_-_English/02_-_Month_wise/10_-_October/27/SB_3-12-18_NAI_1975-10-27_Stay_Under_Krishna%27s_Protection.mp3</t>
  </si>
  <si>
    <t>SP_BG_07-01_NAI_1975-10-27_Sempre_Pense_em_Krsna.mp3</t>
  </si>
  <si>
    <t>https://audio.iskcondesiretree.com/01_-_Srila_Prabhupada/01_-_Lectures/04_-_Translation/Portuguese/by_Lilananda_Prabhu/SP_BG_07-01_NAI_1975-10-27_Sempre_Pense_em_Krsna.mp3</t>
  </si>
  <si>
    <t>SP_BG_07-02_Nairobi_1975-10-28_Madmen_Can%27t_Give_You_Knowledge.mp3</t>
  </si>
  <si>
    <t>https://audio.iskcondesiretree.com/01_-_Srila_Prabhupada/01_-_Lectures/01_-_English/01_-_Topic_wise/Bhagavad_Gita/Chapter-07/SP_BG_07-02_Nairobi_1975-10-28_Madmen_Can%27t_Give_You_Knowledge.mp3</t>
  </si>
  <si>
    <t>Bg-07-02_1975-10-28_BG-NAIROBI.MP3</t>
  </si>
  <si>
    <t>https://audio.iskcondesiretree.com/01_-_Srila_Prabhupada/01_-_Lectures/01_-_English/02_-_Month_wise/10_-_October/28/Bg-07-02_1975-10-28_BG-NAIROBI.MP3</t>
  </si>
  <si>
    <t>Bg_07-02_NAI_1975-10-28_Madmen_Can%27t_Give_You_Knowledge.mp3</t>
  </si>
  <si>
    <t>https://audio.iskcondesiretree.com/01_-_Srila_Prabhupada/01_-_Lectures/01_-_English/02_-_Month_wise/10_-_October/28/Bg_07-02_NAI_1975-10-28_Madmen_Can%27t_Give_You_Knowledge.mp3</t>
  </si>
  <si>
    <t>Walk_1975-10-28_MW-NAIROBI.MP3</t>
  </si>
  <si>
    <t>https://audio.iskcondesiretree.com/01_-_Srila_Prabhupada/01_-_Lectures/01_-_English/02_-_Month_wise/10_-_October/28/Walk_1975-10-28_MW-NAIROBI.MP3</t>
  </si>
  <si>
    <t>SP_BG_07-03_Nairobi_1975-10-29_Everyone_Here_Is_a_Fool_Number_One.mp3</t>
  </si>
  <si>
    <t>https://audio.iskcondesiretree.com/01_-_Srila_Prabhupada/01_-_Lectures/01_-_English/01_-_Topic_wise/Bhagavad_Gita/Chapter-07/SP_BG_07-03_Nairobi_1975-10-29_Everyone_Here_Is_a_Fool_Number_One.mp3</t>
  </si>
  <si>
    <t>SP_Room_Conversation_Nairobi_1975-10-29_Serving_Krishna-Feeding_Stomach.mp3</t>
  </si>
  <si>
    <t>https://audio.iskcondesiretree.com/01_-_Srila_Prabhupada/01_-_Lectures/01_-_English/01_-_Topic_wise/Room_Conversation/SP_Room_Conversation_Nairobi_1975-10-29_Serving_Krishna-Feeding_Stomach.mp3</t>
  </si>
  <si>
    <t>SP_SB_3-28-19_Nairobi_1975-10-29_Krishna%27s_Impression_in_Heart.mp3</t>
  </si>
  <si>
    <t>https://audio.iskcondesiretree.com/01_-_Srila_Prabhupada/01_-_Lectures/01_-_English/01_-_Topic_wise/Srimad_Bhagavatam/Canto-03/SP_SB_3-28-19_Nairobi_1975-10-29_Krishna%27s_Impression_in_Heart.mp3</t>
  </si>
  <si>
    <t>Bg-07-03_1975-10-29_BG-NAIROBI.MP3</t>
  </si>
  <si>
    <t>https://audio.iskcondesiretree.com/01_-_Srila_Prabhupada/01_-_Lectures/01_-_English/02_-_Month_wise/10_-_October/29/Bg-07-03_1975-10-29_BG-NAIROBI.MP3</t>
  </si>
  <si>
    <t>Bg_07-03_NAI_1975-10-29_Everyone_Here_Is_a_Fool_Number_One.mp3</t>
  </si>
  <si>
    <t>https://audio.iskcondesiretree.com/01_-_Srila_Prabhupada/01_-_Lectures/01_-_English/02_-_Month_wise/10_-_October/29/Bg_07-03_NAI_1975-10-29_Everyone_Here_Is_a_Fool_Number_One.mp3</t>
  </si>
  <si>
    <t>Conv_1975-10-29_R1-NAIROBI.MP3</t>
  </si>
  <si>
    <t>https://audio.iskcondesiretree.com/01_-_Srila_Prabhupada/01_-_Lectures/01_-_English/02_-_Month_wise/10_-_October/29/Conv_1975-10-29_R1-NAIROBI.MP3</t>
  </si>
  <si>
    <t>Conv_1975-10-29_R2-NAIROBI.MP3</t>
  </si>
  <si>
    <t>https://audio.iskcondesiretree.com/01_-_Srila_Prabhupada/01_-_Lectures/01_-_English/02_-_Month_wise/10_-_October/29/Conv_1975-10-29_R2-NAIROBI.MP3</t>
  </si>
  <si>
    <t>RC_NAI_1975-10-29_Serving_Krishna-Feeding_Stomach.mp3</t>
  </si>
  <si>
    <t>https://audio.iskcondesiretree.com/01_-_Srila_Prabhupada/01_-_Lectures/01_-_English/02_-_Month_wise/10_-_October/29/RC_NAI_1975-10-29_Serving_Krishna-Feeding_Stomach.mp3</t>
  </si>
  <si>
    <t>SB-03-28-19_1975-10-29_SB-NAIROBI.MP3</t>
  </si>
  <si>
    <t>https://audio.iskcondesiretree.com/01_-_Srila_Prabhupada/01_-_Lectures/01_-_English/02_-_Month_wise/10_-_October/29/SB-03-28-19_1975-10-29_SB-NAIROBI.MP3</t>
  </si>
  <si>
    <t>SB_3-28-19_NAI_1975-10-29_Krishna%27s_Impression_in_Heart.mp3</t>
  </si>
  <si>
    <t>https://audio.iskcondesiretree.com/01_-_Srila_Prabhupada/01_-_Lectures/01_-_English/02_-_Month_wise/10_-_October/29/SB_3-28-19_NAI_1975-10-29_Krishna%27s_Impression_in_Heart.mp3</t>
  </si>
  <si>
    <t>Walk_1975-10-29_MW-NAIROBI.MP3</t>
  </si>
  <si>
    <t>https://audio.iskcondesiretree.com/01_-_Srila_Prabhupada/01_-_Lectures/01_-_English/02_-_Month_wise/10_-_October/29/Walk_1975-10-29_MW-NAIROBI.MP3</t>
  </si>
  <si>
    <t>SP_SB_3-28-20_Nairobi_1975-10-30_A_Most_Moving_%27Statue%27.mp3</t>
  </si>
  <si>
    <t>https://audio.iskcondesiretree.com/01_-_Srila_Prabhupada/01_-_Lectures/01_-_English/01_-_Topic_wise/Srimad_Bhagavatam/Canto-03/SP_SB_3-28-20_Nairobi_1975-10-30_A_Most_Moving_%27Statue%27.mp3</t>
  </si>
  <si>
    <t>SB-03-28-20_1975-10-30_SB-NAIROBI.MP3</t>
  </si>
  <si>
    <t>https://audio.iskcondesiretree.com/01_-_Srila_Prabhupada/01_-_Lectures/01_-_English/02_-_Month_wise/10_-_October/30/SB-03-28-20_1975-10-30_SB-NAIROBI.MP3</t>
  </si>
  <si>
    <t>SB_3-28-20_NAI_1975-10-30_A_Most_Moving_Statue.mp3</t>
  </si>
  <si>
    <t>https://audio.iskcondesiretree.com/01_-_Srila_Prabhupada/01_-_Lectures/01_-_English/02_-_Month_wise/10_-_October/30/SB_3-28-20_NAI_1975-10-30_A_Most_Moving_Statue.mp3</t>
  </si>
  <si>
    <t>SP_BG_07-04_Nairobi_1975-10-31_Darwin-Monkeys%27_Knowledge.mp3</t>
  </si>
  <si>
    <t>https://audio.iskcondesiretree.com/01_-_Srila_Prabhupada/01_-_Lectures/01_-_English/01_-_Topic_wise/Bhagavad_Gita/Chapter-07/SP_BG_07-04_Nairobi_1975-10-31_Darwin-Monkeys%27_Knowledge.mp3</t>
  </si>
  <si>
    <t>Bg-07-04_1975-10-31_BG-NAIROBI.MP3</t>
  </si>
  <si>
    <t>https://audio.iskcondesiretree.com/01_-_Srila_Prabhupada/01_-_Lectures/01_-_English/02_-_Month_wise/10_-_October/31/Bg-07-04_1975-10-31_BG-NAIROBI.MP3</t>
  </si>
  <si>
    <t>Bg_07-04_NAI_1975-10-31_Darwin-Monkeys_Knowledge.mp3</t>
  </si>
  <si>
    <t>https://audio.iskcondesiretree.com/01_-_Srila_Prabhupada/01_-_Lectures/01_-_English/02_-_Month_wise/10_-_October/31/Bg_07-04_NAI_1975-10-31_Darwin-Monkeys_Knowledge.mp3</t>
  </si>
  <si>
    <t>SP_BG_07-05_Nairobi_1975-11-01_High_Energy-Low_Energy.mp3</t>
  </si>
  <si>
    <t>https://audio.iskcondesiretree.com/01_-_Srila_Prabhupada/01_-_Lectures/01_-_English/01_-_Topic_wise/Bhagavad_Gita/Chapter-07/SP_BG_07-05_Nairobi_1975-11-01_High_Energy-Low_Energy.mp3</t>
  </si>
  <si>
    <t>SP_Room_Conversation_Nairobi_1975-11-01_Lord%27s_Gigantic_Body.mp3</t>
  </si>
  <si>
    <t>https://audio.iskcondesiretree.com/01_-_Srila_Prabhupada/01_-_Lectures/01_-_English/01_-_Topic_wise/Room_Conversation/SP_Room_Conversation_Nairobi_1975-11-01_Lord%27s_Gigantic_Body.mp3</t>
  </si>
  <si>
    <t>SP_SB_3-28-21_Nairobi_1975-11-01_Why_Pay_Electric--etc.mp3</t>
  </si>
  <si>
    <t>https://audio.iskcondesiretree.com/01_-_Srila_Prabhupada/01_-_Lectures/01_-_English/01_-_Topic_wise/Srimad_Bhagavatam/Canto-03/SP_SB_3-28-21_Nairobi_1975-11-01_Why_Pay_Electric--etc.mp3</t>
  </si>
  <si>
    <t>Bg-07-05_1975-11-01_BG-NAIROBI.MP3</t>
  </si>
  <si>
    <t>https://audio.iskcondesiretree.com/01_-_Srila_Prabhupada/01_-_Lectures/01_-_English/02_-_Month_wise/11_-_November/01/Bg-07-05_1975-11-01_BG-NAIROBI.MP3</t>
  </si>
  <si>
    <t>Bg_07-05_NAI_1975-11-01_High_Energy-Low_Energy.mp3</t>
  </si>
  <si>
    <t>https://audio.iskcondesiretree.com/01_-_Srila_Prabhupada/01_-_Lectures/01_-_English/02_-_Month_wise/11_-_November/01/Bg_07-05_NAI_1975-11-01_High_Energy-Low_Energy.mp3</t>
  </si>
  <si>
    <t>RC_NAI_1975-11-01_Lord%27s_Gigantic_Body.mp3</t>
  </si>
  <si>
    <t>https://audio.iskcondesiretree.com/01_-_Srila_Prabhupada/01_-_Lectures/01_-_English/02_-_Month_wise/11_-_November/01/RC_NAI_1975-11-01_Lord%27s_Gigantic_Body.mp3</t>
  </si>
  <si>
    <t>SB-03-28-21_1975-11-01_SB-NAIROBI.MP3</t>
  </si>
  <si>
    <t>https://audio.iskcondesiretree.com/01_-_Srila_Prabhupada/01_-_Lectures/01_-_English/02_-_Month_wise/11_-_November/01/SB-03-28-21_1975-11-01_SB-NAIROBI.MP3</t>
  </si>
  <si>
    <t>SB_3-28-21_NAI_1975-11-01_Why_Pay_Electric_etc.mp3</t>
  </si>
  <si>
    <t>https://audio.iskcondesiretree.com/01_-_Srila_Prabhupada/01_-_Lectures/01_-_English/02_-_Month_wise/11_-_November/01/SB_3-28-21_NAI_1975-11-01_Why_Pay_Electric_etc.mp3</t>
  </si>
  <si>
    <t>Walk_1975-11-01_MW-NAIROBI.MP3</t>
  </si>
  <si>
    <t>https://audio.iskcondesiretree.com/01_-_Srila_Prabhupada/01_-_Lectures/01_-_English/02_-_Month_wise/11_-_November/01/Walk_1975-11-01_MW-NAIROBI.MP3</t>
  </si>
  <si>
    <t>Lecture%E2%80%93Hindi_1975-11-02_LE-BOMBAY.MP3</t>
  </si>
  <si>
    <t>https://audio.iskcondesiretree.com/01_-_Srila_Prabhupada/01_-_Lectures/01_-_English/02_-_Month_wise/11_-_November/02/Lecture%E2%80%93Hindi_1975-11-02_LE-BOMBAY.MP3</t>
  </si>
  <si>
    <t>Walk_1975-11-02_MW-NAIROBI.MP3</t>
  </si>
  <si>
    <t>https://audio.iskcondesiretree.com/01_-_Srila_Prabhupada/01_-_Lectures/01_-_English/02_-_Month_wise/11_-_November/02/Walk_1975-11-02_MW-NAIROBI.MP3</t>
  </si>
  <si>
    <t>SP_CC_M_20-101_Bombay_1975-11-03_To_Become_Spiritually_Advanced.mp3</t>
  </si>
  <si>
    <t>https://audio.iskcondesiretree.com/01_-_Srila_Prabhupada/01_-_Lectures/01_-_English/01_-_Topic_wise/Chaitanya_Charitamrita/Madhya_Lila/SP_CC_M_20-101_Bombay_1975-11-03_To_Become_Spiritually_Advanced.mp3</t>
  </si>
  <si>
    <t>SP_Morning_Walk_-_Bombay_1975-11-03_Peace_in_Society_of_Dogs.mp3</t>
  </si>
  <si>
    <t>https://audio.iskcondesiretree.com/01_-_Srila_Prabhupada/01_-_Lectures/01_-_English/01_-_Topic_wise/Morning_Walk/SP_Morning_Walk_-_Bombay_1975-11-03_Peace_in_Society_of_Dogs.mp3</t>
  </si>
  <si>
    <t>Cc_M_20-101_BOM_1975-11-03_To_Become_Spiritually_Advanced.mp3</t>
  </si>
  <si>
    <t>https://audio.iskcondesiretree.com/01_-_Srila_Prabhupada/01_-_Lectures/01_-_English/02_-_Month_wise/11_-_November/03/Cc_M_20-101_BOM_1975-11-03_To_Become_Spiritually_Advanced.mp3</t>
  </si>
  <si>
    <t>CcMadhya-20-101%E2%80%93104_1975-11-03_CC-BOMBAY.MP3</t>
  </si>
  <si>
    <t>https://audio.iskcondesiretree.com/01_-_Srila_Prabhupada/01_-_Lectures/01_-_English/02_-_Month_wise/11_-_November/03/CcMadhya-20-101%E2%80%93104_1975-11-03_CC-BOMBAY.MP3</t>
  </si>
  <si>
    <t>MW_BOM_1975-11-03_Peace_in_Society_of_Dogs.mp3</t>
  </si>
  <si>
    <t>https://audio.iskcondesiretree.com/01_-_Srila_Prabhupada/01_-_Lectures/01_-_English/02_-_Month_wise/11_-_November/03/MW_BOM_1975-11-03_Peace_in_Society_of_Dogs.mp3</t>
  </si>
  <si>
    <t>Walk_1975-11-03_MW-BOMBAY.MP3</t>
  </si>
  <si>
    <t>https://audio.iskcondesiretree.com/01_-_Srila_Prabhupada/01_-_Lectures/01_-_English/02_-_Month_wise/11_-_November/03/Walk_1975-11-03_MW-BOMBAY.MP3</t>
  </si>
  <si>
    <t>Walk_1975-11-04_MW-BOMBAY.MP3</t>
  </si>
  <si>
    <t>https://audio.iskcondesiretree.com/01_-_Srila_Prabhupada/01_-_Lectures/01_-_English/02_-_Month_wise/11_-_November/04/Walk_1975-11-04_MW-BOMBAY.MP3</t>
  </si>
  <si>
    <t>SP_Morning_Walk_-_Bombay_1975-11-07_Discussion_of_Dioramas.mp3</t>
  </si>
  <si>
    <t>https://audio.iskcondesiretree.com/01_-_Srila_Prabhupada/01_-_Lectures/01_-_English/01_-_Topic_wise/Morning_Walk/SP_Morning_Walk_-_Bombay_1975-11-07_Discussion_of_Dioramas.mp3</t>
  </si>
  <si>
    <t>MW_BOM_1975-11-07_Discussion_of_Dioramas.mp3</t>
  </si>
  <si>
    <t>https://audio.iskcondesiretree.com/01_-_Srila_Prabhupada/01_-_Lectures/01_-_English/02_-_Month_wise/11_-_November/07/MW_BOM_1975-11-07_Discussion_of_Dioramas.mp3</t>
  </si>
  <si>
    <t>Walk_1975-11-07_MW-BOMBAY.MP3</t>
  </si>
  <si>
    <t>https://audio.iskcondesiretree.com/01_-_Srila_Prabhupada/01_-_Lectures/01_-_English/02_-_Month_wise/11_-_November/07/Walk_1975-11-07_MW-BOMBAY.MP3</t>
  </si>
  <si>
    <t>SP_Morning_Walk_-_Bombay_1975-11-08_So-Called_Knowledge_Is_Useless.mp3</t>
  </si>
  <si>
    <t>https://audio.iskcondesiretree.com/01_-_Srila_Prabhupada/01_-_Lectures/01_-_English/01_-_Topic_wise/Morning_Walk/SP_Morning_Walk_-_Bombay_1975-11-08_So-Called_Knowledge_Is_Useless.mp3</t>
  </si>
  <si>
    <t>MW_BOM_1975-11-08_So-Called_Knowledge_Is_Useless.mp3</t>
  </si>
  <si>
    <t>https://audio.iskcondesiretree.com/01_-_Srila_Prabhupada/01_-_Lectures/01_-_English/02_-_Month_wise/11_-_November/08/MW_BOM_1975-11-08_So-Called_Knowledge_Is_Useless.mp3</t>
  </si>
  <si>
    <t>Walk_1975-11-08_MW-BOMBAY.MP3</t>
  </si>
  <si>
    <t>https://audio.iskcondesiretree.com/01_-_Srila_Prabhupada/01_-_Lectures/01_-_English/02_-_Month_wise/11_-_November/08/Walk_1975-11-08_MW-BOMBAY.MP3</t>
  </si>
  <si>
    <t>SP_CC_M_20-100_Bombay_1975-11-09_How_to_Accept_the_Lord%27s_Instruction.mp3</t>
  </si>
  <si>
    <t>https://audio.iskcondesiretree.com/01_-_Srila_Prabhupada/01_-_Lectures/01_-_English/01_-_Topic_wise/Chaitanya_Charitamrita/Madhya_Lila/SP_CC_M_20-100_Bombay_1975-11-09_How_to_Accept_the_Lord%27s_Instruction.mp3</t>
  </si>
  <si>
    <t>Cc_M_20-100_BOM_1975-11-09_How_to_Accept_the_Lord%27s_Instruction.mp3</t>
  </si>
  <si>
    <t>https://audio.iskcondesiretree.com/01_-_Srila_Prabhupada/01_-_Lectures/01_-_English/02_-_Month_wise/11_-_November/09/Cc_M_20-100_BOM_1975-11-09_How_to_Accept_the_Lord%27s_Instruction.mp3</t>
  </si>
  <si>
    <t>CcMadhya-20-100%E2%80%93108_1975-11-09_CC-BOMBAY.MP3</t>
  </si>
  <si>
    <t>https://audio.iskcondesiretree.com/01_-_Srila_Prabhupada/01_-_Lectures/01_-_English/02_-_Month_wise/11_-_November/09/CcMadhya-20-100%E2%80%93108_1975-11-09_CC-BOMBAY.MP3</t>
  </si>
  <si>
    <t>SP_Morning_Walk_-_Bombay_1975-11-10_Nationalism_Is_Irrationalism.mp3</t>
  </si>
  <si>
    <t>https://audio.iskcondesiretree.com/01_-_Srila_Prabhupada/01_-_Lectures/01_-_English/01_-_Topic_wise/Morning_Walk/SP_Morning_Walk_-_Bombay_1975-11-10_Nationalism_Is_Irrationalism.mp3</t>
  </si>
  <si>
    <t>MW_BOM_1975-11-10_Nationalism_Is_Irrationalism.mp3</t>
  </si>
  <si>
    <t>https://audio.iskcondesiretree.com/01_-_Srila_Prabhupada/01_-_Lectures/01_-_English/02_-_Month_wise/11_-_November/10/MW_BOM_1975-11-10_Nationalism_Is_Irrationalism.mp3</t>
  </si>
  <si>
    <t>Walk_1975-11-10_MW-BOMBAY.MP3</t>
  </si>
  <si>
    <t>https://audio.iskcondesiretree.com/01_-_Srila_Prabhupada/01_-_Lectures/01_-_English/02_-_Month_wise/11_-_November/10/Walk_1975-11-10_MW-BOMBAY.MP3</t>
  </si>
  <si>
    <t>SP_Morning_Walk_-_Bombay_1975-11-11_Advancement_of_Maya.mp3</t>
  </si>
  <si>
    <t>https://audio.iskcondesiretree.com/01_-_Srila_Prabhupada/01_-_Lectures/01_-_English/01_-_Topic_wise/Morning_Walk/SP_Morning_Walk_-_Bombay_1975-11-11_Advancement_of_Maya.mp3</t>
  </si>
  <si>
    <t>MW_BOM_1975-11-11_Advancement_of_Maya.mp3</t>
  </si>
  <si>
    <t>https://audio.iskcondesiretree.com/01_-_Srila_Prabhupada/01_-_Lectures/01_-_English/02_-_Month_wise/11_-_November/11/MW_BOM_1975-11-11_Advancement_of_Maya.mp3</t>
  </si>
  <si>
    <t>Walk_1975-11-11_MW-BOMBAY.MP3</t>
  </si>
  <si>
    <t>https://audio.iskcondesiretree.com/01_-_Srila_Prabhupada/01_-_Lectures/01_-_English/02_-_Month_wise/11_-_November/11/Walk_1975-11-11_MW-BOMBAY.MP3</t>
  </si>
  <si>
    <t>SP_CC_M_20-102_Bombay_1975-11-12_Who_Am_I--Why_Am_I_Miserable.mp3</t>
  </si>
  <si>
    <t>https://audio.iskcondesiretree.com/01_-_Srila_Prabhupada/01_-_Lectures/01_-_English/01_-_Topic_wise/Chaitanya_Charitamrita/Madhya_Lila/SP_CC_M_20-102_Bombay_1975-11-12_Who_Am_I--Why_Am_I_Miserable.mp3</t>
  </si>
  <si>
    <t>SP_Morning_Walk_-_Bombay_1975-11-12_Maya_and_Her_Ministers.mp3</t>
  </si>
  <si>
    <t>https://audio.iskcondesiretree.com/01_-_Srila_Prabhupada/01_-_Lectures/01_-_English/01_-_Topic_wise/Morning_Walk/SP_Morning_Walk_-_Bombay_1975-11-12_Maya_and_Her_Ministers.mp3</t>
  </si>
  <si>
    <t>Cc_M_20-102_BOM_1975-11-12_Who_Am_I-Why_Am_I_Miserable.mp3</t>
  </si>
  <si>
    <t>https://audio.iskcondesiretree.com/01_-_Srila_Prabhupada/01_-_Lectures/01_-_English/02_-_Month_wise/11_-_November/12/Cc_M_20-102_BOM_1975-11-12_Who_Am_I-Why_Am_I_Miserable.mp3</t>
  </si>
  <si>
    <t>CcMadhya-20-120_1975-11-12_CC-BOMBAY.MP3</t>
  </si>
  <si>
    <t>https://audio.iskcondesiretree.com/01_-_Srila_Prabhupada/01_-_Lectures/01_-_English/02_-_Month_wise/11_-_November/12/CcMadhya-20-120_1975-11-12_CC-BOMBAY.MP3</t>
  </si>
  <si>
    <t>MW_BOM_1975-11-12_Maya_and_Her_Ministers.mp3</t>
  </si>
  <si>
    <t>https://audio.iskcondesiretree.com/01_-_Srila_Prabhupada/01_-_Lectures/01_-_English/02_-_Month_wise/11_-_November/12/MW_BOM_1975-11-12_Maya_and_Her_Ministers.mp3</t>
  </si>
  <si>
    <t>Walk_1975-11-12_MW-BOMBAY.MP3</t>
  </si>
  <si>
    <t>https://audio.iskcondesiretree.com/01_-_Srila_Prabhupada/01_-_Lectures/01_-_English/02_-_Month_wise/11_-_November/12/Walk_1975-11-12_MW-BOMBAY.MP3</t>
  </si>
  <si>
    <t>SP_Morning_Walk_-_Bombay_1975-11-13_Anyone_Who_is_Not_a_Devotee_Is_a_Rascal.mp3</t>
  </si>
  <si>
    <t>https://audio.iskcondesiretree.com/01_-_Srila_Prabhupada/01_-_Lectures/01_-_English/01_-_Topic_wise/Morning_Walk/SP_Morning_Walk_-_Bombay_1975-11-13_Anyone_Who_is_Not_a_Devotee_Is_a_Rascal.mp3</t>
  </si>
  <si>
    <t>MW_BOM_1975-11-13_Anyone_Who_is_Not_a_Devotee_Is_a_Rascal.mp3</t>
  </si>
  <si>
    <t>https://audio.iskcondesiretree.com/01_-_Srila_Prabhupada/01_-_Lectures/01_-_English/02_-_Month_wise/11_-_November/13/MW_BOM_1975-11-13_Anyone_Who_is_Not_a_Devotee_Is_a_Rascal.mp3</t>
  </si>
  <si>
    <t>Walk_1975-11-13_MW-BOMBAY.MP3</t>
  </si>
  <si>
    <t>https://audio.iskcondesiretree.com/01_-_Srila_Prabhupada/01_-_Lectures/01_-_English/02_-_Month_wise/11_-_November/13/Walk_1975-11-13_MW-BOMBAY.MP3</t>
  </si>
  <si>
    <t>SP_Morning_Walk_-_Bombay_1975-11-14_Scientific_Know-Nothings.mp3</t>
  </si>
  <si>
    <t>https://audio.iskcondesiretree.com/01_-_Srila_Prabhupada/01_-_Lectures/01_-_English/01_-_Topic_wise/Morning_Walk/SP_Morning_Walk_-_Bombay_1975-11-14_Scientific_Know-Nothings.mp3</t>
  </si>
  <si>
    <t>MW_BOM_1975-11-14_Scientific_Know-Nothings.mp3</t>
  </si>
  <si>
    <t>https://audio.iskcondesiretree.com/01_-_Srila_Prabhupada/01_-_Lectures/01_-_English/02_-_Month_wise/11_-_November/14/MW_BOM_1975-11-14_Scientific_Know-Nothings.mp3</t>
  </si>
  <si>
    <t>SB-05-05-01%E2%80%93Hindi_1975-11-14_SB-BOMBAY.MP3</t>
  </si>
  <si>
    <t>https://audio.iskcondesiretree.com/01_-_Srila_Prabhupada/01_-_Lectures/01_-_English/02_-_Month_wise/11_-_November/14/SB-05-05-01%E2%80%93Hindi_1975-11-14_SB-BOMBAY.MP3</t>
  </si>
  <si>
    <t>Walk_1975-11-14_MW-BOMBAY.MP3</t>
  </si>
  <si>
    <t>https://audio.iskcondesiretree.com/01_-_Srila_Prabhupada/01_-_Lectures/01_-_English/02_-_Month_wise/11_-_November/14/Walk_1975-11-14_MW-BOMBAY.MP3</t>
  </si>
  <si>
    <t>Lecture%E2%80%93Hindi_1975-11-15_LE-BOMBAY.MP3</t>
  </si>
  <si>
    <t>https://audio.iskcondesiretree.com/01_-_Srila_Prabhupada/01_-_Lectures/01_-_English/02_-_Month_wise/11_-_November/15/Lecture%E2%80%93Hindi_1975-11-15_LE-BOMBAY.MP3</t>
  </si>
  <si>
    <t>Walk_1975-11-15_MW-BOMBAY.MP3</t>
  </si>
  <si>
    <t>https://audio.iskcondesiretree.com/01_-_Srila_Prabhupada/01_-_Lectures/01_-_English/02_-_Month_wise/11_-_November/15/Walk_1975-11-15_MW-BOMBAY.MP3</t>
  </si>
  <si>
    <t>SP_Morning_Walk_-_Bombay_1975-11-16_Scientists_Goats_Politicians.mp3</t>
  </si>
  <si>
    <t>https://audio.iskcondesiretree.com/01_-_Srila_Prabhupada/01_-_Lectures/01_-_English/01_-_Topic_wise/Morning_Walk/SP_Morning_Walk_-_Bombay_1975-11-16_Scientists_Goats_Politicians.mp3</t>
  </si>
  <si>
    <t>SP_Lecture_Bombay_1975-11-16_The_Covered_Margin--Uncovered.mp3</t>
  </si>
  <si>
    <t>https://audio.iskcondesiretree.com/01_-_Srila_Prabhupada/01_-_Lectures/01_-_English/01_-_Topic_wise/Various/SP_Lecture_Bombay_1975-11-16_The_Covered_Margin--Uncovered.mp3</t>
  </si>
  <si>
    <t>CcMadhya-20-108_1975-11-16_CC-BOMBAY.MP3</t>
  </si>
  <si>
    <t>https://audio.iskcondesiretree.com/01_-_Srila_Prabhupada/01_-_Lectures/01_-_English/02_-_Month_wise/11_-_November/16/CcMadhya-20-108_1975-11-16_CC-BOMBAY.MP3</t>
  </si>
  <si>
    <t>Lect_BOM_1975-11-16_The_Covered_Margin_Uncovered.mp3</t>
  </si>
  <si>
    <t>https://audio.iskcondesiretree.com/01_-_Srila_Prabhupada/01_-_Lectures/01_-_English/02_-_Month_wise/11_-_November/16/Lect_BOM_1975-11-16_The_Covered_Margin_Uncovered.mp3</t>
  </si>
  <si>
    <t>MW_BOM_1975-11-16_Scientists%2C_Goats%2C_Politicians.mp3</t>
  </si>
  <si>
    <t>https://audio.iskcondesiretree.com/01_-_Srila_Prabhupada/01_-_Lectures/01_-_English/02_-_Month_wise/11_-_November/16/MW_BOM_1975-11-16_Scientists%2C_Goats%2C_Politicians.mp3</t>
  </si>
  <si>
    <t>Walk_1975-11-16_MW-BOMBAY.MP3</t>
  </si>
  <si>
    <t>https://audio.iskcondesiretree.com/01_-_Srila_Prabhupada/01_-_Lectures/01_-_English/02_-_Month_wise/11_-_November/16/Walk_1975-11-16_MW-BOMBAY.MP3</t>
  </si>
  <si>
    <t>SP_CC_M_20-110_Bombay_1975-11-17_Truth_About_False_Ego.mp3</t>
  </si>
  <si>
    <t>https://audio.iskcondesiretree.com/01_-_Srila_Prabhupada/01_-_Lectures/01_-_English/01_-_Topic_wise/Chaitanya_Charitamrita/Madhya_Lila/SP_CC_M_20-110_Bombay_1975-11-17_Truth_About_False_Ego.mp3</t>
  </si>
  <si>
    <t>SP_Morning_Walk_-_Bombay_1975-11-17_Dressed_Animals-Educated_Dogs.mp3</t>
  </si>
  <si>
    <t>https://audio.iskcondesiretree.com/01_-_Srila_Prabhupada/01_-_Lectures/01_-_English/01_-_Topic_wise/Morning_Walk/SP_Morning_Walk_-_Bombay_1975-11-17_Dressed_Animals-Educated_Dogs.mp3</t>
  </si>
  <si>
    <t>Cc_M_20-110_BOM_1975-11-17_Truth_About_False_Ego.mp3</t>
  </si>
  <si>
    <t>https://audio.iskcondesiretree.com/01_-_Srila_Prabhupada/01_-_Lectures/01_-_English/02_-_Month_wise/11_-_November/17/Cc_M_20-110_BOM_1975-11-17_Truth_About_False_Ego.mp3</t>
  </si>
  <si>
    <t>CcMadhya-20-110%E2%80%93111_1975-11-17_CC-BOMBAY.MP3</t>
  </si>
  <si>
    <t>https://audio.iskcondesiretree.com/01_-_Srila_Prabhupada/01_-_Lectures/01_-_English/02_-_Month_wise/11_-_November/17/CcMadhya-20-110%E2%80%93111_1975-11-17_CC-BOMBAY.MP3</t>
  </si>
  <si>
    <t>MW_BOM_1975-11-17_Dressed_Animals-Educated_Dogs.mp3</t>
  </si>
  <si>
    <t>https://audio.iskcondesiretree.com/01_-_Srila_Prabhupada/01_-_Lectures/01_-_English/02_-_Month_wise/11_-_November/17/MW_BOM_1975-11-17_Dressed_Animals-Educated_Dogs.mp3</t>
  </si>
  <si>
    <t>Walk_1975-11-17_MW-BOMBAY.MP3</t>
  </si>
  <si>
    <t>https://audio.iskcondesiretree.com/01_-_Srila_Prabhupada/01_-_Lectures/01_-_English/02_-_Month_wise/11_-_November/17/Walk_1975-11-17_MW-BOMBAY.MP3</t>
  </si>
  <si>
    <t>SP_Morning_Walk_-_Bombay_1975-11-18_Bhakta_Is_the_Only_Scientist.mp3</t>
  </si>
  <si>
    <t>https://audio.iskcondesiretree.com/01_-_Srila_Prabhupada/01_-_Lectures/01_-_English/01_-_Topic_wise/Morning_Walk/SP_Morning_Walk_-_Bombay_1975-11-18_Bhakta_Is_the_Only_Scientist.mp3</t>
  </si>
  <si>
    <t>SP_Lecture_Bombay_1975-11-18_Initiation_Sannyasa--Deliver_One--etc.mp3</t>
  </si>
  <si>
    <t>https://audio.iskcondesiretree.com/01_-_Srila_Prabhupada/01_-_Lectures/01_-_English/01_-_Topic_wise/Various/SP_Lecture_Bombay_1975-11-18_Initiation_Sannyasa--Deliver_One--etc.mp3</t>
  </si>
  <si>
    <t>Initiations_1975-11-18_IN-BOMBAY.MP3</t>
  </si>
  <si>
    <t>https://audio.iskcondesiretree.com/01_-_Srila_Prabhupada/01_-_Lectures/01_-_English/02_-_Month_wise/11_-_November/18/Initiations_1975-11-18_IN-BOMBAY.MP3</t>
  </si>
  <si>
    <t>Lect_BOM_1975-11-18_Initiation_Sannyasa-Deliver_One_etc.mp3</t>
  </si>
  <si>
    <t>https://audio.iskcondesiretree.com/01_-_Srila_Prabhupada/01_-_Lectures/01_-_English/02_-_Month_wise/11_-_November/18/Lect_BOM_1975-11-18_Initiation_Sannyasa-Deliver_One_etc.mp3</t>
  </si>
  <si>
    <t>MW_BOM_1975-11-18_Bhakta_Is_the_Only_Scientist.mp3</t>
  </si>
  <si>
    <t>https://audio.iskcondesiretree.com/01_-_Srila_Prabhupada/01_-_Lectures/01_-_English/02_-_Month_wise/11_-_November/18/MW_BOM_1975-11-18_Bhakta_Is_the_Only_Scientist.mp3</t>
  </si>
  <si>
    <t>Walk_1975-11-18_MW-BOMBAY.MP3</t>
  </si>
  <si>
    <t>https://audio.iskcondesiretree.com/01_-_Srila_Prabhupada/01_-_Lectures/01_-_English/02_-_Month_wise/11_-_November/18/Walk_1975-11-18_MW-BOMBAY.MP3</t>
  </si>
  <si>
    <t>SP_Morning_Walk_-_Bombay_1975-11-19_Everyone_Knows_Your_Philosophy.mp3</t>
  </si>
  <si>
    <t>https://audio.iskcondesiretree.com/01_-_Srila_Prabhupada/01_-_Lectures/01_-_English/01_-_Topic_wise/Morning_Walk/SP_Morning_Walk_-_Bombay_1975-11-19_Everyone_Knows_Your_Philosophy.mp3</t>
  </si>
  <si>
    <t>MW_BOM_1975-11-19_Everyone_Knows_Your_Philosophy.mp3</t>
  </si>
  <si>
    <t>https://audio.iskcondesiretree.com/01_-_Srila_Prabhupada/01_-_Lectures/01_-_English/02_-_Month_wise/11_-_November/19/MW_BOM_1975-11-19_Everyone_Knows_Your_Philosophy.mp3</t>
  </si>
  <si>
    <t>Walk_1975-11-19_MW-BOMBAY.MP3</t>
  </si>
  <si>
    <t>https://audio.iskcondesiretree.com/01_-_Srila_Prabhupada/01_-_Lectures/01_-_English/02_-_Month_wise/11_-_November/19/Walk_1975-11-19_MW-BOMBAY.MP3</t>
  </si>
  <si>
    <t>SP_Morning_Walk_-_Bombay_1975-11-20_Christ_Survived_the_Cross.mp3</t>
  </si>
  <si>
    <t>https://audio.iskcondesiretree.com/01_-_Srila_Prabhupada/01_-_Lectures/01_-_English/01_-_Topic_wise/Morning_Walk/SP_Morning_Walk_-_Bombay_1975-11-20_Christ_Survived_the_Cross.mp3</t>
  </si>
  <si>
    <t>MW_BOM_1975-11-20_Christ_Survived_the_Cross.mp3</t>
  </si>
  <si>
    <t>https://audio.iskcondesiretree.com/01_-_Srila_Prabhupada/01_-_Lectures/01_-_English/02_-_Month_wise/11_-_November/20/MW_BOM_1975-11-20_Christ_Survived_the_Cross.mp3</t>
  </si>
  <si>
    <t>Walk_1975-11-20_MW-BOMBAY.MP3</t>
  </si>
  <si>
    <t>https://audio.iskcondesiretree.com/01_-_Srila_Prabhupada/01_-_Lectures/01_-_English/02_-_Month_wise/11_-_November/20/Walk_1975-11-20_MW-BOMBAY.MP3</t>
  </si>
  <si>
    <t>SP_Morning_Walk_-_Bombay_1975-11-21_Aryan_Blood-A_Misnomer.mp3</t>
  </si>
  <si>
    <t>https://audio.iskcondesiretree.com/01_-_Srila_Prabhupada/01_-_Lectures/01_-_English/01_-_Topic_wise/Morning_Walk/SP_Morning_Walk_-_Bombay_1975-11-21_Aryan_Blood-A_Misnomer.mp3</t>
  </si>
  <si>
    <t>MW_BOM_1975-11-21_Aryan_Blood-A_Misnomer.mp3</t>
  </si>
  <si>
    <t>https://audio.iskcondesiretree.com/01_-_Srila_Prabhupada/01_-_Lectures/01_-_English/02_-_Month_wise/11_-_November/21/MW_BOM_1975-11-21_Aryan_Blood-A_Misnomer.mp3</t>
  </si>
  <si>
    <t>Walk_1975-11-21_MW-BOMBAY.MP3</t>
  </si>
  <si>
    <t>https://audio.iskcondesiretree.com/01_-_Srila_Prabhupada/01_-_Lectures/01_-_English/02_-_Month_wise/11_-_November/21/Walk_1975-11-21_MW-BOMBAY.MP3</t>
  </si>
  <si>
    <t>SP_CC_M_20-112_Bombay_1975-11-24_You_Can%27t_Demand_Peace.mp3</t>
  </si>
  <si>
    <t>https://audio.iskcondesiretree.com/01_-_Srila_Prabhupada/01_-_Lectures/01_-_English/01_-_Topic_wise/Chaitanya_Charitamrita/Madhya_Lila/SP_CC_M_20-112_Bombay_1975-11-24_You_Can%27t_Demand_Peace.mp3</t>
  </si>
  <si>
    <t>SP_Morning_Walk_-_Bombay_1975-11-24_No_Rain-Chant.mp3</t>
  </si>
  <si>
    <t>https://audio.iskcondesiretree.com/01_-_Srila_Prabhupada/01_-_Lectures/01_-_English/01_-_Topic_wise/Morning_Walk/SP_Morning_Walk_-_Bombay_1975-11-24_No_Rain-Chant.mp3</t>
  </si>
  <si>
    <t>Cc_M_20-112_BOM_1975-11-24_You_Can%27t_Demand_Peace.mp3</t>
  </si>
  <si>
    <t>https://audio.iskcondesiretree.com/01_-_Srila_Prabhupada/01_-_Lectures/01_-_English/02_-_Month_wise/11_-_November/24/Cc_M_20-112_BOM_1975-11-24_You_Can%27t_Demand_Peace.mp3</t>
  </si>
  <si>
    <t>CcMadhya-06-154_1975-11-24_CC-BOMBAY.MP3</t>
  </si>
  <si>
    <t>https://audio.iskcondesiretree.com/01_-_Srila_Prabhupada/01_-_Lectures/01_-_English/02_-_Month_wise/11_-_November/24/CcMadhya-06-154_1975-11-24_CC-BOMBAY.MP3</t>
  </si>
  <si>
    <t>MW_BOM_1975-11-24_No_Rain-Chant.mp3</t>
  </si>
  <si>
    <t>https://audio.iskcondesiretree.com/01_-_Srila_Prabhupada/01_-_Lectures/01_-_English/02_-_Month_wise/11_-_November/24/MW_BOM_1975-11-24_No_Rain-Chant.mp3</t>
  </si>
  <si>
    <t>Walk_1975-11-24_MW-BOMBAY.MP3</t>
  </si>
  <si>
    <t>https://audio.iskcondesiretree.com/01_-_Srila_Prabhupada/01_-_Lectures/01_-_English/02_-_Month_wise/11_-_November/24/Walk_1975-11-24_MW-BOMBAY.MP3</t>
  </si>
  <si>
    <t>Conv_1975-11-25_R1-DELHI.MP3</t>
  </si>
  <si>
    <t>https://audio.iskcondesiretree.com/01_-_Srila_Prabhupada/01_-_Lectures/01_-_English/02_-_Month_wise/11_-_November/25/Conv_1975-11-25_R1-DELHI.MP3</t>
  </si>
  <si>
    <t>SP_Morning_Walk_-_Delhi_1975-11-26_Other_Religious_Systems_Have_No_Knowledge.mp3</t>
  </si>
  <si>
    <t>https://audio.iskcondesiretree.com/01_-_Srila_Prabhupada/01_-_Lectures/01_-_English/01_-_Topic_wise/Morning_Walk/SP_Morning_Walk_-_Delhi_1975-11-26_Other_Religious_Systems_Have_No_Knowledge.mp3</t>
  </si>
  <si>
    <t>MW_DEL_1975-11-26_Other_Religious_Systems_Have_No_Knowledge.mp3</t>
  </si>
  <si>
    <t>https://audio.iskcondesiretree.com/01_-_Srila_Prabhupada/01_-_Lectures/01_-_English/02_-_Month_wise/11_-_November/26/MW_DEL_1975-11-26_Other_Religious_Systems_Have_No_Knowledge.mp3</t>
  </si>
  <si>
    <t>Walk_1975-11-26_MW-DELHI.MP3</t>
  </si>
  <si>
    <t>https://audio.iskcondesiretree.com/01_-_Srila_Prabhupada/01_-_Lectures/01_-_English/02_-_Month_wise/11_-_November/26/Walk_1975-11-26_MW-DELHI.MP3</t>
  </si>
  <si>
    <t>SP_SB_5-05-01_Delhi_1975-11-28_Hog_Civilization.mp3</t>
  </si>
  <si>
    <t>https://audio.iskcondesiretree.com/01_-_Srila_Prabhupada/01_-_Lectures/01_-_English/01_-_Topic_wise/Srimad_Bhagavatam/Canto-05/SP_SB_5-05-01_Delhi_1975-11-28_Hog_Civilization.mp3</t>
  </si>
  <si>
    <t>SB-05-05-01_1975-11-28_SB-DELHI.MP3</t>
  </si>
  <si>
    <t>https://audio.iskcondesiretree.com/01_-_Srila_Prabhupada/01_-_Lectures/01_-_English/02_-_Month_wise/11_-_November/28/SB-05-05-01_1975-11-28_SB-DELHI.MP3</t>
  </si>
  <si>
    <t>SB_5-05-01_DEL_1975-11-28_Hog_Civilization.mp3</t>
  </si>
  <si>
    <t>https://audio.iskcondesiretree.com/01_-_Srila_Prabhupada/01_-_Lectures/01_-_English/02_-_Month_wise/11_-_November/28/SB_5-05-01_DEL_1975-11-28_Hog_Civilization.mp3</t>
  </si>
  <si>
    <t>SP_Morning_Walk_-_Delhi_1975-11-29_Lions_Are_Better_than_Marxists.mp3</t>
  </si>
  <si>
    <t>https://audio.iskcondesiretree.com/01_-_Srila_Prabhupada/01_-_Lectures/01_-_English/01_-_Topic_wise/Morning_Walk/SP_Morning_Walk_-_Delhi_1975-11-29_Lions_Are_Better_than_Marxists.mp3</t>
  </si>
  <si>
    <t>MW_DEL_1975-11-29_Lions_Are_Better_than_Marxists.mp3</t>
  </si>
  <si>
    <t>https://audio.iskcondesiretree.com/01_-_Srila_Prabhupada/01_-_Lectures/01_-_English/02_-_Month_wise/11_-_November/29/MW_DEL_1975-11-29_Lions_Are_Better_than_Marxists.mp3</t>
  </si>
  <si>
    <t>Walk_1975-11-29_MW-DELHI.MP3</t>
  </si>
  <si>
    <t>https://audio.iskcondesiretree.com/01_-_Srila_Prabhupada/01_-_Lectures/01_-_English/02_-_Month_wise/11_-_November/29/Walk_1975-11-29_MW-DELHI.MP3</t>
  </si>
  <si>
    <t>SP_Morning_Walk_-_Delhi_1975-11-30_Income_Tax_Department-Cheating_Department.mp3</t>
  </si>
  <si>
    <t>https://audio.iskcondesiretree.com/01_-_Srila_Prabhupada/01_-_Lectures/01_-_English/01_-_Topic_wise/Morning_Walk/SP_Morning_Walk_-_Delhi_1975-11-30_Income_Tax_Department-Cheating_Department.mp3</t>
  </si>
  <si>
    <t>MW_DEL_1975-11-30_Income_Tax_Department-Cheating_Department.mp3</t>
  </si>
  <si>
    <t>https://audio.iskcondesiretree.com/01_-_Srila_Prabhupada/01_-_Lectures/01_-_English/02_-_Month_wise/11_-_November/30/MW_DEL_1975-11-30_Income_Tax_Department-Cheating_Department.mp3</t>
  </si>
  <si>
    <t>Walk_1975-11-30_MW-DELHI.MP3</t>
  </si>
  <si>
    <t>https://audio.iskcondesiretree.com/01_-_Srila_Prabhupada/01_-_Lectures/01_-_English/02_-_Month_wise/11_-_November/30/Walk_1975-11-30_MW-DELHI.MP3</t>
  </si>
  <si>
    <t>SP_SB_7-06-01_Vrindavan_1975-12-02_Here_Is_God-Krishna-Take_It.mp3</t>
  </si>
  <si>
    <t>https://audio.iskcondesiretree.com/01_-_Srila_Prabhupada/01_-_Lectures/01_-_English/01_-_Topic_wise/Srimad_Bhagavatam/Canto-07/SP_SB_7-06-01_Vrindavan_1975-12-02_Here_Is_God-Krishna-Take_It.mp3</t>
  </si>
  <si>
    <t>SB-07-06-01_1975-12-02_SB-VRNDAVAN.MP3</t>
  </si>
  <si>
    <t>https://audio.iskcondesiretree.com/01_-_Srila_Prabhupada/01_-_Lectures/01_-_English/02_-_Month_wise/12_-_December/02/SB-07-06-01_1975-12-02_SB-VRNDAVAN.MP3</t>
  </si>
  <si>
    <t>SB_7-06-01_VRN_1975-12-02_Here_Is_God-Krishna-Take_It.mp3</t>
  </si>
  <si>
    <t>https://audio.iskcondesiretree.com/01_-_Srila_Prabhupada/01_-_Lectures/01_-_English/02_-_Month_wise/12_-_December/02/SB_7-06-01_VRN_1975-12-02_Here_Is_God-Krishna-Take_It.mp3</t>
  </si>
  <si>
    <t>SP_Morning_Walk_-_Vrindavan_1975-12-03_Voidists_Impersonalists.mp3</t>
  </si>
  <si>
    <t>https://audio.iskcondesiretree.com/01_-_Srila_Prabhupada/01_-_Lectures/01_-_English/01_-_Topic_wise/Morning_Walk/SP_Morning_Walk_-_Vrindavan_1975-12-03_Voidists_Impersonalists.mp3</t>
  </si>
  <si>
    <t>SP_SB_7-06-02_Vrindavan_1975-12-03_Everyone_Is_Dear_to_Krishna.mp3</t>
  </si>
  <si>
    <t>https://audio.iskcondesiretree.com/01_-_Srila_Prabhupada/01_-_Lectures/01_-_English/01_-_Topic_wise/Srimad_Bhagavatam/Canto-07/SP_SB_7-06-02_Vrindavan_1975-12-03_Everyone_Is_Dear_to_Krishna.mp3</t>
  </si>
  <si>
    <t>MW_VRN_1975-12-03_Voidists%2C_Impersonalists.mp3</t>
  </si>
  <si>
    <t>https://audio.iskcondesiretree.com/01_-_Srila_Prabhupada/01_-_Lectures/01_-_English/02_-_Month_wise/12_-_December/03/MW_VRN_1975-12-03_Voidists%2C_Impersonalists.mp3</t>
  </si>
  <si>
    <t>SB-07-06-02_1975-12-03_SB-VRNDAVAN.MP3</t>
  </si>
  <si>
    <t>https://audio.iskcondesiretree.com/01_-_Srila_Prabhupada/01_-_Lectures/01_-_English/02_-_Month_wise/12_-_December/03/SB-07-06-02_1975-12-03_SB-VRNDAVAN.MP3</t>
  </si>
  <si>
    <t>SB_7-06-02_VRN_1975-12-03_Everyone_Is_Dear_to_Krishna.mp3</t>
  </si>
  <si>
    <t>https://audio.iskcondesiretree.com/01_-_Srila_Prabhupada/01_-_Lectures/01_-_English/02_-_Month_wise/12_-_December/03/SB_7-06-02_VRN_1975-12-03_Everyone_Is_Dear_to_Krishna.mp3</t>
  </si>
  <si>
    <t>Walk_1975-12-03_MW-VRNDAVAN.MP3</t>
  </si>
  <si>
    <t>https://audio.iskcondesiretree.com/01_-_Srila_Prabhupada/01_-_Lectures/01_-_English/02_-_Month_wise/12_-_December/03/Walk_1975-12-03_MW-VRNDAVAN.MP3</t>
  </si>
  <si>
    <t>SP_Morning_Walk_-_Vrindavan_1975-12-04_Want_to_Imitate_Rama.mp3</t>
  </si>
  <si>
    <t>https://audio.iskcondesiretree.com/01_-_Srila_Prabhupada/01_-_Lectures/01_-_English/01_-_Topic_wise/Morning_Walk/SP_Morning_Walk_-_Vrindavan_1975-12-04_Want_to_Imitate_Rama.mp3</t>
  </si>
  <si>
    <t>SP_SB_7-06-03_Vrindavan_1975-12-04_Our_Human_Opportunity.mp3</t>
  </si>
  <si>
    <t>https://audio.iskcondesiretree.com/01_-_Srila_Prabhupada/01_-_Lectures/01_-_English/01_-_Topic_wise/Srimad_Bhagavatam/Canto-07/SP_SB_7-06-03_Vrindavan_1975-12-04_Our_Human_Opportunity.mp3</t>
  </si>
  <si>
    <t>MW_VRN_1975-12-04_Want_to_Imitate_Rama.mp3</t>
  </si>
  <si>
    <t>https://audio.iskcondesiretree.com/01_-_Srila_Prabhupada/01_-_Lectures/01_-_English/02_-_Month_wise/12_-_December/04/MW_VRN_1975-12-04_Want_to_Imitate_Rama.mp3</t>
  </si>
  <si>
    <t>SB-07-06-03_1975-12-04_SB-VRNDAVAN.MP3</t>
  </si>
  <si>
    <t>https://audio.iskcondesiretree.com/01_-_Srila_Prabhupada/01_-_Lectures/01_-_English/02_-_Month_wise/12_-_December/04/SB-07-06-03_1975-12-04_SB-VRNDAVAN.MP3</t>
  </si>
  <si>
    <t>SB_7-06-03_VRN_1975-12-04_Our_Human_Opportunity.mp3</t>
  </si>
  <si>
    <t>https://audio.iskcondesiretree.com/01_-_Srila_Prabhupada/01_-_Lectures/01_-_English/02_-_Month_wise/12_-_December/04/SB_7-06-03_VRN_1975-12-04_Our_Human_Opportunity.mp3</t>
  </si>
  <si>
    <t>Walk_1975-12-04_MW-VRNDAVAN.MP3</t>
  </si>
  <si>
    <t>https://audio.iskcondesiretree.com/01_-_Srila_Prabhupada/01_-_Lectures/01_-_English/02_-_Month_wise/12_-_December/04/Walk_1975-12-04_MW-VRNDAVAN.MP3</t>
  </si>
  <si>
    <t>SP_SB_7-06-04_Vrindavan_1975-12-05_How_to_Waste_Your_Life.mp3</t>
  </si>
  <si>
    <t>https://audio.iskcondesiretree.com/01_-_Srila_Prabhupada/01_-_Lectures/01_-_English/01_-_Topic_wise/Srimad_Bhagavatam/Canto-07/SP_SB_7-06-04_Vrindavan_1975-12-05_How_to_Waste_Your_Life.mp3</t>
  </si>
  <si>
    <t>SB-07-06-04_1975-12-05_SB-VRNDAVAN.MP3</t>
  </si>
  <si>
    <t>https://audio.iskcondesiretree.com/01_-_Srila_Prabhupada/01_-_Lectures/01_-_English/02_-_Month_wise/12_-_December/05/SB-07-06-04_1975-12-05_SB-VRNDAVAN.MP3</t>
  </si>
  <si>
    <t>SB_7-06-04_VRN_1975-12-05_How_to_Waste_Your_Life.mp3</t>
  </si>
  <si>
    <t>https://audio.iskcondesiretree.com/01_-_Srila_Prabhupada/01_-_Lectures/01_-_English/02_-_Month_wise/12_-_December/05/SB_7-06-04_VRN_1975-12-05_How_to_Waste_Your_Life.mp3</t>
  </si>
  <si>
    <t>Initiations_1975-12-06_LE-VRNDAVAN.MP3</t>
  </si>
  <si>
    <t>https://audio.iskcondesiretree.com/01_-_Srila_Prabhupada/01_-_Lectures/01_-_English/02_-_Month_wise/12_-_December/06/Initiations_1975-12-06_LE-VRNDAVAN.MP3</t>
  </si>
  <si>
    <t>SP_Morning_Walk_-_Delhi_1975-12-07_Scientific_Eggheads-_Manufacture_an_Egg.mp3</t>
  </si>
  <si>
    <t>https://audio.iskcondesiretree.com/01_-_Srila_Prabhupada/01_-_Lectures/01_-_English/01_-_Topic_wise/Morning_Walk/SP_Morning_Walk_-_Delhi_1975-12-07_Scientific_Eggheads-_Manufacture_an_Egg.mp3</t>
  </si>
  <si>
    <t>SP_SB_7-06-05_Vrindavan_1975-12-07_Polished_Pig-ism.mp3</t>
  </si>
  <si>
    <t>https://audio.iskcondesiretree.com/01_-_Srila_Prabhupada/01_-_Lectures/01_-_English/01_-_Topic_wise/Srimad_Bhagavatam/Canto-07/SP_SB_7-06-05_Vrindavan_1975-12-07_Polished_Pig-ism.mp3</t>
  </si>
  <si>
    <t>MW_DEL_1975-12-07_Scientific_Eggheads-_Manufacture_an_Egg.mp3</t>
  </si>
  <si>
    <t>https://audio.iskcondesiretree.com/01_-_Srila_Prabhupada/01_-_Lectures/01_-_English/02_-_Month_wise/12_-_December/07/MW_DEL_1975-12-07_Scientific_Eggheads-_Manufacture_an_Egg.mp3</t>
  </si>
  <si>
    <t>SB-07-06-05_1975-12-07_SB-VRNDAVAN.MP3</t>
  </si>
  <si>
    <t>https://audio.iskcondesiretree.com/01_-_Srila_Prabhupada/01_-_Lectures/01_-_English/02_-_Month_wise/12_-_December/07/SB-07-06-05_1975-12-07_SB-VRNDAVAN.MP3</t>
  </si>
  <si>
    <t>SB_7-06-05_VRN_1975-12-07_Polished_Pig-ism.mp3</t>
  </si>
  <si>
    <t>https://audio.iskcondesiretree.com/01_-_Srila_Prabhupada/01_-_Lectures/01_-_English/02_-_Month_wise/12_-_December/07/SB_7-06-05_VRN_1975-12-07_Polished_Pig-ism.mp3</t>
  </si>
  <si>
    <t>Walk_1975-12-07_MW-VRNDAVAN.MP3</t>
  </si>
  <si>
    <t>https://audio.iskcondesiretree.com/01_-_Srila_Prabhupada/01_-_Lectures/01_-_English/02_-_Month_wise/12_-_December/07/Walk_1975-12-07_MW-VRNDAVAN.MP3</t>
  </si>
  <si>
    <t>SP_SB_7-06-06_Vrindavan_1975-12-08_The_Victors_and_the_Victimized.mp3</t>
  </si>
  <si>
    <t>https://audio.iskcondesiretree.com/01_-_Srila_Prabhupada/01_-_Lectures/01_-_English/01_-_Topic_wise/Srimad_Bhagavatam/Canto-07/SP_SB_7-06-06_Vrindavan_1975-12-08_The_Victors_and_the_Victimized.mp3</t>
  </si>
  <si>
    <t>SB-07-06-06_1975-12-08_SB-VRNDAVAN.MP3</t>
  </si>
  <si>
    <t>https://audio.iskcondesiretree.com/01_-_Srila_Prabhupada/01_-_Lectures/01_-_English/02_-_Month_wise/12_-_December/08/SB-07-06-06_1975-12-08_SB-VRNDAVAN.MP3</t>
  </si>
  <si>
    <t>SB_7-06-06_VRN_1975-12-08_The_Victors_and_the_Victimized.mp3</t>
  </si>
  <si>
    <t>https://audio.iskcondesiretree.com/01_-_Srila_Prabhupada/01_-_Lectures/01_-_English/02_-_Month_wise/12_-_December/08/SB_7-06-06_VRN_1975-12-08_The_Victors_and_the_Victimized.mp3</t>
  </si>
  <si>
    <t>SP_SB_7-06-07_Vrindavan_1975-12-09_We%27re_Taking_Death_As_Life.mp3</t>
  </si>
  <si>
    <t>https://audio.iskcondesiretree.com/01_-_Srila_Prabhupada/01_-_Lectures/01_-_English/01_-_Topic_wise/Srimad_Bhagavatam/Canto-07/SP_SB_7-06-07_Vrindavan_1975-12-09_We%27re_Taking_Death_As_Life.mp3</t>
  </si>
  <si>
    <t>SB-07-06-07_1975-12-09_SB-VRNDAVAN.MP3</t>
  </si>
  <si>
    <t>https://audio.iskcondesiretree.com/01_-_Srila_Prabhupada/01_-_Lectures/01_-_English/02_-_Month_wise/12_-_December/09/SB-07-06-07_1975-12-09_SB-VRNDAVAN.MP3</t>
  </si>
  <si>
    <t>SB_7-06-07_VRN_1975-12-09_We%27re_Taking_Death_As_Life.mp3</t>
  </si>
  <si>
    <t>https://audio.iskcondesiretree.com/01_-_Srila_Prabhupada/01_-_Lectures/01_-_English/02_-_Month_wise/12_-_December/09/SB_7-06-07_VRN_1975-12-09_We%27re_Taking_Death_As_Life.mp3</t>
  </si>
  <si>
    <t>Walk_1975-12-09_MW-VRNDAVAN.MP3</t>
  </si>
  <si>
    <t>https://audio.iskcondesiretree.com/01_-_Srila_Prabhupada/01_-_Lectures/01_-_English/02_-_Month_wise/12_-_December/09/Walk_1975-12-09_MW-VRNDAVAN.MP3</t>
  </si>
  <si>
    <t>SP_Morning_Walk_-_Vrindavan_1975-12-10_Why_Doesn%27t_Swamiji_Like_Women.mp3</t>
  </si>
  <si>
    <t>https://audio.iskcondesiretree.com/01_-_Srila_Prabhupada/01_-_Lectures/01_-_English/01_-_Topic_wise/Morning_Walk/SP_Morning_Walk_-_Vrindavan_1975-12-10_Why_Doesn%27t_Swamiji_Like_Women.mp3</t>
  </si>
  <si>
    <t>SP_SB_7-06-08_Vrindavan_1975-12-10_Madras_Attachments_in_a_Bad_Age.mp3</t>
  </si>
  <si>
    <t>https://audio.iskcondesiretree.com/01_-_Srila_Prabhupada/01_-_Lectures/01_-_English/01_-_Topic_wise/Srimad_Bhagavatam/Canto-07/SP_SB_7-06-08_Vrindavan_1975-12-10_Madras_Attachments_in_a_Bad_Age.mp3</t>
  </si>
  <si>
    <t>MW_VRN_1975-12-10_Why_Doesn%27t_Swamiji_Like_Women.mp3</t>
  </si>
  <si>
    <t>https://audio.iskcondesiretree.com/01_-_Srila_Prabhupada/01_-_Lectures/01_-_English/02_-_Month_wise/12_-_December/10/MW_VRN_1975-12-10_Why_Doesn%27t_Swamiji_Like_Women.mp3</t>
  </si>
  <si>
    <t>SB-07-06-08_1975-12-10_SB-VRNDAVAN.MP3</t>
  </si>
  <si>
    <t>https://audio.iskcondesiretree.com/01_-_Srila_Prabhupada/01_-_Lectures/01_-_English/02_-_Month_wise/12_-_December/10/SB-07-06-08_1975-12-10_SB-VRNDAVAN.MP3</t>
  </si>
  <si>
    <t>SB_7-06-08_VRN_1975-12-10_Mad_Attachments_in_a_Bad_Age.mp3</t>
  </si>
  <si>
    <t>https://audio.iskcondesiretree.com/01_-_Srila_Prabhupada/01_-_Lectures/01_-_English/02_-_Month_wise/12_-_December/10/SB_7-06-08_VRN_1975-12-10_Mad_Attachments_in_a_Bad_Age.mp3</t>
  </si>
  <si>
    <t>Walk_1975-12-10_MW-VRNDAVAN.MP3</t>
  </si>
  <si>
    <t>https://audio.iskcondesiretree.com/01_-_Srila_Prabhupada/01_-_Lectures/01_-_English/02_-_Month_wise/12_-_December/10/Walk_1975-12-10_MW-VRNDAVAN.MP3</t>
  </si>
  <si>
    <t>SP_Morning_Walk_-_Vrindavan_1975-12-11_Knowledge-To_Find_the_Source.mp3</t>
  </si>
  <si>
    <t>https://audio.iskcondesiretree.com/01_-_Srila_Prabhupada/01_-_Lectures/01_-_English/01_-_Topic_wise/Morning_Walk/SP_Morning_Walk_-_Vrindavan_1975-12-11_Knowledge-To_Find_the_Source.mp3</t>
  </si>
  <si>
    <t>SP_SB_7-06-09_Vrindavan_1975-12-11_Attachment_Education.mp3</t>
  </si>
  <si>
    <t>https://audio.iskcondesiretree.com/01_-_Srila_Prabhupada/01_-_Lectures/01_-_English/01_-_Topic_wise/Srimad_Bhagavatam/Canto-07/SP_SB_7-06-09_Vrindavan_1975-12-11_Attachment_Education.mp3</t>
  </si>
  <si>
    <t>MW_VRN_1975-12-11_Knowledge-To_Find_the_Source.mp3</t>
  </si>
  <si>
    <t>https://audio.iskcondesiretree.com/01_-_Srila_Prabhupada/01_-_Lectures/01_-_English/02_-_Month_wise/12_-_December/11/MW_VRN_1975-12-11_Knowledge-To_Find_the_Source.mp3</t>
  </si>
  <si>
    <t>SB-07-06-09_1975-12-11_SB-VRNDAVAN.MP3</t>
  </si>
  <si>
    <t>https://audio.iskcondesiretree.com/01_-_Srila_Prabhupada/01_-_Lectures/01_-_English/02_-_Month_wise/12_-_December/11/SB-07-06-09_1975-12-11_SB-VRNDAVAN.MP3</t>
  </si>
  <si>
    <t>SB_7-06-09_VRN_1975-12-11_Attachment_Education.mp3</t>
  </si>
  <si>
    <t>https://audio.iskcondesiretree.com/01_-_Srila_Prabhupada/01_-_Lectures/01_-_English/02_-_Month_wise/12_-_December/11/SB_7-06-09_VRN_1975-12-11_Attachment_Education.mp3</t>
  </si>
  <si>
    <t>Walk_1975-12-11_MW-VRNDAVAN.MP3</t>
  </si>
  <si>
    <t>https://audio.iskcondesiretree.com/01_-_Srila_Prabhupada/01_-_Lectures/01_-_English/02_-_Month_wise/12_-_December/11/Walk_1975-12-11_MW-VRNDAVAN.MP3</t>
  </si>
  <si>
    <t>SP_Morning_Walk_-_Vrindavan_1975-12-12_Our_Gross_and_Subtle_Toys.mp3</t>
  </si>
  <si>
    <t>https://audio.iskcondesiretree.com/01_-_Srila_Prabhupada/01_-_Lectures/01_-_English/01_-_Topic_wise/Morning_Walk/SP_Morning_Walk_-_Vrindavan_1975-12-12_Our_Gross_and_Subtle_Toys.mp3</t>
  </si>
  <si>
    <t>SP_SB_7-06-10_Vrindavan_1975-12-12_Krishna_and_Non-Krishna_Desires.mp3</t>
  </si>
  <si>
    <t>https://audio.iskcondesiretree.com/01_-_Srila_Prabhupada/01_-_Lectures/01_-_English/01_-_Topic_wise/Srimad_Bhagavatam/Canto-07/SP_SB_7-06-10_Vrindavan_1975-12-12_Krishna_and_Non-Krishna_Desires.mp3</t>
  </si>
  <si>
    <t>MW_VRN_1975-12-12_Our_Gross_and_Subtle_Toys.mp3</t>
  </si>
  <si>
    <t>https://audio.iskcondesiretree.com/01_-_Srila_Prabhupada/01_-_Lectures/01_-_English/02_-_Month_wise/12_-_December/12/MW_VRN_1975-12-12_Our_Gross_and_Subtle_Toys.mp3</t>
  </si>
  <si>
    <t>SB-07-06-10_1975-12-12_SB-VRNDAVAN.MP3</t>
  </si>
  <si>
    <t>https://audio.iskcondesiretree.com/01_-_Srila_Prabhupada/01_-_Lectures/01_-_English/02_-_Month_wise/12_-_December/12/SB-07-06-10_1975-12-12_SB-VRNDAVAN.MP3</t>
  </si>
  <si>
    <t>SB_7-06-10_VRN_1975-12-12_Krishna_and_Non-Krishna_Desires.mp3</t>
  </si>
  <si>
    <t>https://audio.iskcondesiretree.com/01_-_Srila_Prabhupada/01_-_Lectures/01_-_English/02_-_Month_wise/12_-_December/12/SB_7-06-10_VRN_1975-12-12_Krishna_and_Non-Krishna_Desires.mp3</t>
  </si>
  <si>
    <t>Walk_1975-12-12_MW-VRNDAVAN.MP3</t>
  </si>
  <si>
    <t>https://audio.iskcondesiretree.com/01_-_Srila_Prabhupada/01_-_Lectures/01_-_English/02_-_Month_wise/12_-_December/12/Walk_1975-12-12_MW-VRNDAVAN.MP3</t>
  </si>
  <si>
    <t>SP_Morning_Walk_-_Delhi_1975-12-14_Happiness_Is_for_Intelligent.mp3</t>
  </si>
  <si>
    <t>https://audio.iskcondesiretree.com/01_-_Srila_Prabhupada/01_-_Lectures/01_-_English/01_-_Topic_wise/Morning_Walk/SP_Morning_Walk_-_Delhi_1975-12-14_Happiness_Is_for_Intelligent.mp3</t>
  </si>
  <si>
    <t>SP_Room_Conversation_Delhi_1975-12-14_All_Doing_the_Same_Business.mp3</t>
  </si>
  <si>
    <t>https://audio.iskcondesiretree.com/01_-_Srila_Prabhupada/01_-_Lectures/01_-_English/01_-_Topic_wise/Room_Conversation/SP_Room_Conversation_Delhi_1975-12-14_All_Doing_the_Same_Business.mp3</t>
  </si>
  <si>
    <t>Conv_1975-12-14_R1-DELHI.MP3</t>
  </si>
  <si>
    <t>https://audio.iskcondesiretree.com/01_-_Srila_Prabhupada/01_-_Lectures/01_-_English/02_-_Month_wise/12_-_December/14/Conv_1975-12-14_R1-DELHI.MP3</t>
  </si>
  <si>
    <t>MW_DEL_1975-12-14_Happiness_Is_for_Intelligent.mp3</t>
  </si>
  <si>
    <t>https://audio.iskcondesiretree.com/01_-_Srila_Prabhupada/01_-_Lectures/01_-_English/02_-_Month_wise/12_-_December/14/MW_DEL_1975-12-14_Happiness_Is_for_Intelligent.mp3</t>
  </si>
  <si>
    <t>RC_DEL_1975-12-14_All_Doing_the_Same_Business.mp3</t>
  </si>
  <si>
    <t>https://audio.iskcondesiretree.com/01_-_Srila_Prabhupada/01_-_Lectures/01_-_English/02_-_Month_wise/12_-_December/14/RC_DEL_1975-12-14_All_Doing_the_Same_Business.mp3</t>
  </si>
  <si>
    <t>Walk_1975-12-14_MW-DELHI.MP3</t>
  </si>
  <si>
    <t>https://audio.iskcondesiretree.com/01_-_Srila_Prabhupada/01_-_Lectures/01_-_English/02_-_Month_wise/12_-_December/14/Walk_1975-12-14_MW-DELHI.MP3</t>
  </si>
  <si>
    <t>SP_Morning_Walk_-_Bombay_1975-12-16_Scholar-Deviation_from_Krishna.mp3</t>
  </si>
  <si>
    <t>https://audio.iskcondesiretree.com/01_-_Srila_Prabhupada/01_-_Lectures/01_-_English/01_-_Topic_wise/Morning_Walk/SP_Morning_Walk_-_Bombay_1975-12-16_Scholar-Deviation_from_Krishna.mp3</t>
  </si>
  <si>
    <t>MW_BOM_1975-12-16_Scholar-Deviation_from_Krishna.mp3</t>
  </si>
  <si>
    <t>https://audio.iskcondesiretree.com/01_-_Srila_Prabhupada/01_-_Lectures/01_-_English/02_-_Month_wise/12_-_December/16/MW_BOM_1975-12-16_Scholar-Deviation_from_Krishna.mp3</t>
  </si>
  <si>
    <t>SB-07-06-01_1975-12-16_LE-BOMBAY.MP3</t>
  </si>
  <si>
    <t>https://audio.iskcondesiretree.com/01_-_Srila_Prabhupada/01_-_Lectures/01_-_English/02_-_Month_wise/12_-_December/16/SB-07-06-01_1975-12-16_LE-BOMBAY.MP3</t>
  </si>
  <si>
    <t>Walk_1975-12-16_MW-BOMBAY.MP3</t>
  </si>
  <si>
    <t>https://audio.iskcondesiretree.com/01_-_Srila_Prabhupada/01_-_Lectures/01_-_English/02_-_Month_wise/12_-_December/16/Walk_1975-12-16_MW-BOMBAY.MP3</t>
  </si>
  <si>
    <t>SP_Morning_Walk_-_Bombay_1975-12-17_No_Question_of_Hating_Women.mp3</t>
  </si>
  <si>
    <t>https://audio.iskcondesiretree.com/01_-_Srila_Prabhupada/01_-_Lectures/01_-_English/01_-_Topic_wise/Morning_Walk/SP_Morning_Walk_-_Bombay_1975-12-17_No_Question_of_Hating_Women.mp3</t>
  </si>
  <si>
    <t>SP_SB_7-06-01_Bombay_1975-12-17_We_Are_Expansions_of_Radharani.mp3</t>
  </si>
  <si>
    <t>https://audio.iskcondesiretree.com/01_-_Srila_Prabhupada/01_-_Lectures/01_-_English/01_-_Topic_wise/Srimad_Bhagavatam/Canto-07/SP_SB_7-06-01_Bombay_1975-12-17_We_Are_Expansions_of_Radharani.mp3</t>
  </si>
  <si>
    <t>MW_BOM_1975-12-17_No_Question_of_Hating_Women.mp3</t>
  </si>
  <si>
    <t>https://audio.iskcondesiretree.com/01_-_Srila_Prabhupada/01_-_Lectures/01_-_English/02_-_Month_wise/12_-_December/17/MW_BOM_1975-12-17_No_Question_of_Hating_Women.mp3</t>
  </si>
  <si>
    <t>SB_7-06-01_BOM_1975-12-17_We_Are_Expansions_of_Radharani.mp3</t>
  </si>
  <si>
    <t>https://audio.iskcondesiretree.com/01_-_Srila_Prabhupada/01_-_Lectures/01_-_English/02_-_Month_wise/12_-_December/17/SB_7-06-01_BOM_1975-12-17_We_Are_Expansions_of_Radharani.mp3</t>
  </si>
  <si>
    <t>Walk_1975-12-17_MW-BOMBAY.MP3</t>
  </si>
  <si>
    <t>https://audio.iskcondesiretree.com/01_-_Srila_Prabhupada/01_-_Lectures/01_-_English/02_-_Month_wise/12_-_December/17/Walk_1975-12-17_MW-BOMBAY.MP3</t>
  </si>
  <si>
    <t>Walk_1975-12-18_MW-BOMBAY.MP3</t>
  </si>
  <si>
    <t>https://audio.iskcondesiretree.com/01_-_Srila_Prabhupada/01_-_Lectures/01_-_English/02_-_Month_wise/12_-_December/18/Walk_1975-12-18_MW-BOMBAY.MP3</t>
  </si>
  <si>
    <t>Walk_1975-12-19_MW-BOMBAY.MP3</t>
  </si>
  <si>
    <t>https://audio.iskcondesiretree.com/01_-_Srila_Prabhupada/01_-_Lectures/01_-_English/02_-_Month_wise/12_-_December/19/Walk_1975-12-19_MW-BOMBAY.MP3</t>
  </si>
  <si>
    <t>SP_BG_07-01_Bombay_1975-12-20_The_Real_Thing.mp3</t>
  </si>
  <si>
    <t>https://audio.iskcondesiretree.com/01_-_Srila_Prabhupada/01_-_Lectures/01_-_English/01_-_Topic_wise/Bhagavad_Gita/Chapter-07/SP_BG_07-01_Bombay_1975-12-20_The_Real_Thing.mp3</t>
  </si>
  <si>
    <t>SP_Morning_Walk_-_Bombay_1975-12-20_God_and_Guru-No_Substitutes.mp3</t>
  </si>
  <si>
    <t>https://audio.iskcondesiretree.com/01_-_Srila_Prabhupada/01_-_Lectures/01_-_English/01_-_Topic_wise/Morning_Walk/SP_Morning_Walk_-_Bombay_1975-12-20_God_and_Guru-No_Substitutes.mp3</t>
  </si>
  <si>
    <t>Bg-07-01_1975-12-20_BG-BOMBAY.MP3</t>
  </si>
  <si>
    <t>https://audio.iskcondesiretree.com/01_-_Srila_Prabhupada/01_-_Lectures/01_-_English/02_-_Month_wise/12_-_December/20/Bg-07-01_1975-12-20_BG-BOMBAY.MP3</t>
  </si>
  <si>
    <t>Bg_07-01_BOM_1975-12-20_The_Real_Thing.mp3</t>
  </si>
  <si>
    <t>https://audio.iskcondesiretree.com/01_-_Srila_Prabhupada/01_-_Lectures/01_-_English/02_-_Month_wise/12_-_December/20/Bg_07-01_BOM_1975-12-20_The_Real_Thing.mp3</t>
  </si>
  <si>
    <t>MW_BOM_1975-12-20_God_and_Guru-No_Substitutes.mp3</t>
  </si>
  <si>
    <t>https://audio.iskcondesiretree.com/01_-_Srila_Prabhupada/01_-_Lectures/01_-_English/02_-_Month_wise/12_-_December/20/MW_BOM_1975-12-20_God_and_Guru-No_Substitutes.mp3</t>
  </si>
  <si>
    <t>Walk_1975-12-20_MW-BOMBAY.MP3</t>
  </si>
  <si>
    <t>https://audio.iskcondesiretree.com/01_-_Srila_Prabhupada/01_-_Lectures/01_-_English/02_-_Month_wise/12_-_December/20/Walk_1975-12-20_MW-BOMBAY.MP3</t>
  </si>
  <si>
    <t>SP_BG_16-07_Bombay_1975-12-22_Demons_and_Devotees.mp3</t>
  </si>
  <si>
    <t>https://audio.iskcondesiretree.com/01_-_Srila_Prabhupada/01_-_Lectures/01_-_English/01_-_Topic_wise/Bhagavad_Gita/Chapter-16/SP_BG_16-07_Bombay_1975-12-22_Demons_and_Devotees.mp3</t>
  </si>
  <si>
    <t>SP_Festivals_Bombay_1975-12-22_Bhaktisiddhanta_Disappearance.mp3</t>
  </si>
  <si>
    <t>https://audio.iskcondesiretree.com/01_-_Srila_Prabhupada/01_-_Lectures/01_-_English/01_-_Topic_wise/Festivals/SP_Festivals_Bombay_1975-12-22_Bhaktisiddhanta_Disappearance.mp3</t>
  </si>
  <si>
    <t>Bg-16-07_1975-12-22_DB-BOMBAY.MP3</t>
  </si>
  <si>
    <t>https://audio.iskcondesiretree.com/01_-_Srila_Prabhupada/01_-_Lectures/01_-_English/02_-_Month_wise/12_-_December/22/Bg-16-07_1975-12-22_DB-BOMBAY.MP3</t>
  </si>
  <si>
    <t>Bg_16-07_BOM_1975-12-22_Demons_and_Devotees.mp3</t>
  </si>
  <si>
    <t>https://audio.iskcondesiretree.com/01_-_Srila_Prabhupada/01_-_Lectures/01_-_English/02_-_Month_wise/12_-_December/22/Bg_16-07_BOM_1975-12-22_Demons_and_Devotees.mp3</t>
  </si>
  <si>
    <t>Fest_BOM_1975-12-22_Bhaktisiddhanta_Disappearance.mp3</t>
  </si>
  <si>
    <t>https://audio.iskcondesiretree.com/01_-_Srila_Prabhupada/01_-_Lectures/01_-_English/02_-_Month_wise/12_-_December/22/Fest_BOM_1975-12-22_Bhaktisiddhanta_Disappearance.mp3</t>
  </si>
  <si>
    <t>SP_Morning_Walk_-_Bombay_1975-12-23_Bhakti...Not_Business.mp3</t>
  </si>
  <si>
    <t>https://audio.iskcondesiretree.com/01_-_Srila_Prabhupada/01_-_Lectures/01_-_English/01_-_Topic_wise/Morning_Walk/SP_Morning_Walk_-_Bombay_1975-12-23_Bhakti...Not_Business.mp3</t>
  </si>
  <si>
    <t>SP_Morning_Walk_-_Bombay_1975-12-23_In_Love_with_God_24_Hours_a_Day.mp3</t>
  </si>
  <si>
    <t>https://audio.iskcondesiretree.com/01_-_Srila_Prabhupada/01_-_Lectures/01_-_English/01_-_Topic_wise/Morning_Walk/SP_Morning_Walk_-_Bombay_1975-12-23_In_Love_with_God_24_Hours_a_Day.mp3</t>
  </si>
  <si>
    <t>MW_BOM_1975-12-23_Bhakti_Not_Business.mp3</t>
  </si>
  <si>
    <t>https://audio.iskcondesiretree.com/01_-_Srila_Prabhupada/01_-_Lectures/01_-_English/02_-_Month_wise/12_-_December/23/MW_BOM_1975-12-23_Bhakti_Not_Business.mp3</t>
  </si>
  <si>
    <t>MW_BOM_1975-12-23_In_Love_with_God_24_Hours_a_Day.mp3</t>
  </si>
  <si>
    <t>https://audio.iskcondesiretree.com/01_-_Srila_Prabhupada/01_-_Lectures/01_-_English/02_-_Month_wise/12_-_December/23/MW_BOM_1975-12-23_In_Love_with_God_24_Hours_a_Day.mp3</t>
  </si>
  <si>
    <t>Walk_1975-12-23_MW-BOMBAY.MP3</t>
  </si>
  <si>
    <t>https://audio.iskcondesiretree.com/01_-_Srila_Prabhupada/01_-_Lectures/01_-_English/02_-_Month_wise/12_-_December/23/Walk_1975-12-23_MW-BOMBAY.MP3</t>
  </si>
  <si>
    <t>Lecture%E2%80%93Hindi_1975-12-24_LE-SANAND.MP3</t>
  </si>
  <si>
    <t>https://audio.iskcondesiretree.com/01_-_Srila_Prabhupada/01_-_Lectures/01_-_English/02_-_Month_wise/12_-_December/24/Lecture%E2%80%93Hindi_1975-12-24_LE-SANAND.MP3</t>
  </si>
  <si>
    <t>Walk_1975-12-24_MW-BOMBAY.MP3</t>
  </si>
  <si>
    <t>https://audio.iskcondesiretree.com/01_-_Srila_Prabhupada/01_-_Lectures/01_-_English/02_-_Month_wise/12_-_December/24/Walk_1975-12-24_MW-BOMBAY.MP3</t>
  </si>
  <si>
    <t>SP_Lecture_Sanand_1975-12-25_Follow...or_Folly.mp3</t>
  </si>
  <si>
    <t>https://audio.iskcondesiretree.com/01_-_Srila_Prabhupada/01_-_Lectures/01_-_English/01_-_Topic_wise/Various/SP_Lecture_Sanand_1975-12-25_Follow...or_Folly.mp3</t>
  </si>
  <si>
    <t>Bg-07-01_1975-12-25_BG-SANAND.MP3</t>
  </si>
  <si>
    <t>https://audio.iskcondesiretree.com/01_-_Srila_Prabhupada/01_-_Lectures/01_-_English/02_-_Month_wise/12_-_December/25/Bg-07-01_1975-12-25_BG-SANAND.MP3</t>
  </si>
  <si>
    <t>Lect_SAN_1975-12-25_Follow_or_Folly.mp3</t>
  </si>
  <si>
    <t>https://audio.iskcondesiretree.com/01_-_Srila_Prabhupada/01_-_Lectures/01_-_English/02_-_Month_wise/12_-_December/25/Lect_SAN_1975-12-25_Follow_or_Folly.mp3</t>
  </si>
  <si>
    <t>Walk_1975-12-25_MW-SANAND.MP3</t>
  </si>
  <si>
    <t>https://audio.iskcondesiretree.com/01_-_Srila_Prabhupada/01_-_Lectures/01_-_English/02_-_Month_wise/12_-_December/25/Walk_1975-12-25_MW-SANAND.MP3</t>
  </si>
  <si>
    <t>SP_BG_16-07_Sanand_1975-12-26_From_Papa-yoni_to_Devata.mp3</t>
  </si>
  <si>
    <t>https://audio.iskcondesiretree.com/01_-_Srila_Prabhupada/01_-_Lectures/01_-_English/01_-_Topic_wise/Bhagavad_Gita/Chapter-16/SP_BG_16-07_Sanand_1975-12-26_From_Papa-yoni_to_Devata.mp3</t>
  </si>
  <si>
    <t>SP_Room_Conversation_Sanand_1975-12-26_Hampered_Enjoyment.mp3</t>
  </si>
  <si>
    <t>https://audio.iskcondesiretree.com/01_-_Srila_Prabhupada/01_-_Lectures/01_-_English/01_-_Topic_wise/Room_Conversation/SP_Room_Conversation_Sanand_1975-12-26_Hampered_Enjoyment.mp3</t>
  </si>
  <si>
    <t>Bg-16-07_1975-12-26_BG-SANAND.MP3</t>
  </si>
  <si>
    <t>https://audio.iskcondesiretree.com/01_-_Srila_Prabhupada/01_-_Lectures/01_-_English/02_-_Month_wise/12_-_December/26/Bg-16-07_1975-12-26_BG-SANAND.MP3</t>
  </si>
  <si>
    <t>Bg_16-07_SAN_1975-12-26_From_Papa-yoni_to_Devata.mp3</t>
  </si>
  <si>
    <t>https://audio.iskcondesiretree.com/01_-_Srila_Prabhupada/01_-_Lectures/01_-_English/02_-_Month_wise/12_-_December/26/Bg_16-07_SAN_1975-12-26_From_Papa-yoni_to_Devata.mp3</t>
  </si>
  <si>
    <t>Conv_1975-12-26_RF-SANAND.MP3</t>
  </si>
  <si>
    <t>https://audio.iskcondesiretree.com/01_-_Srila_Prabhupada/01_-_Lectures/01_-_English/02_-_Month_wise/12_-_December/26/Conv_1975-12-26_RF-SANAND.MP3</t>
  </si>
  <si>
    <t>Lecture%E2%80%93Hindi_1975-12-26_LE-SANAND.MP3</t>
  </si>
  <si>
    <t>https://audio.iskcondesiretree.com/01_-_Srila_Prabhupada/01_-_Lectures/01_-_English/02_-_Month_wise/12_-_December/26/Lecture%E2%80%93Hindi_1975-12-26_LE-SANAND.MP3</t>
  </si>
  <si>
    <t>RC_SAN_1975-12-26_Hampered_Enjoyment.mp3</t>
  </si>
  <si>
    <t>https://audio.iskcondesiretree.com/01_-_Srila_Prabhupada/01_-_Lectures/01_-_English/02_-_Month_wise/12_-_December/26/RC_SAN_1975-12-26_Hampered_Enjoyment.mp3</t>
  </si>
  <si>
    <t>Walk_1975-12-26_MW-SANAND.MP3</t>
  </si>
  <si>
    <t>https://audio.iskcondesiretree.com/01_-_Srila_Prabhupada/01_-_Lectures/01_-_English/02_-_Month_wise/12_-_December/26/Walk_1975-12-26_MW-SANAND.MP3</t>
  </si>
  <si>
    <t>SP_Lecture_Sanand_1975-12-27_Attachment_to_Krishna_Is_Natural.mp3</t>
  </si>
  <si>
    <t>https://audio.iskcondesiretree.com/01_-_Srila_Prabhupada/01_-_Lectures/01_-_English/01_-_Topic_wise/Various/SP_Lecture_Sanand_1975-12-27_Attachment_to_Krishna_Is_Natural.mp3</t>
  </si>
  <si>
    <t>Bg-03-14_1975-12-27_BG-SANAND.MP3</t>
  </si>
  <si>
    <t>https://audio.iskcondesiretree.com/01_-_Srila_Prabhupada/01_-_Lectures/01_-_English/02_-_Month_wise/12_-_December/27/Bg-03-14_1975-12-27_BG-SANAND.MP3</t>
  </si>
  <si>
    <t>Bg-07-07_1975-12-27_BG-SANAND.MP3</t>
  </si>
  <si>
    <t>https://audio.iskcondesiretree.com/01_-_Srila_Prabhupada/01_-_Lectures/01_-_English/02_-_Month_wise/12_-_December/27/Bg-07-07_1975-12-27_BG-SANAND.MP3</t>
  </si>
  <si>
    <t>Lect_SAN_1975-12-27_Attachment_to_Krishna_Is_Natural.mp3</t>
  </si>
  <si>
    <t>https://audio.iskcondesiretree.com/01_-_Srila_Prabhupada/01_-_Lectures/01_-_English/02_-_Month_wise/12_-_December/27/Lect_SAN_1975-12-27_Attachment_to_Krishna_Is_Natural.mp3</t>
  </si>
  <si>
    <t>Bg-07-02%E2%80%93Hindi_1975-12-28_BG-SANAND.MP3</t>
  </si>
  <si>
    <t>https://audio.iskcondesiretree.com/01_-_Srila_Prabhupada/01_-_Lectures/01_-_English/02_-_Month_wise/12_-_December/28/Bg-07-02%E2%80%93Hindi_1975-12-28_BG-SANAND.MP3</t>
  </si>
  <si>
    <t>SP_BG_03-07_Madras_1976-01-01_Educating_the_Mudhas.mp3</t>
  </si>
  <si>
    <t>https://audio.iskcondesiretree.com/01_-_Srila_Prabhupada/01_-_Lectures/01_-_English/01_-_Topic_wise/Bhagavad_Gita/Chapter-03/SP_BG_03-07_Madras_1976-01-01_Educating_the_Mudhas.mp3</t>
  </si>
  <si>
    <t>Bg-03-27_1976-01-01-MADRAS.MP3</t>
  </si>
  <si>
    <t>https://audio.iskcondesiretree.com/01_-_Srila_Prabhupada/01_-_Lectures/01_-_English/02_-_Month_wise/01_-_January/01/Bg-03-27_1976-01-01-MADRAS.MP3</t>
  </si>
  <si>
    <t>BG_03-07_MAD_1976-01-01_Educating_the_Mudhas.mp3</t>
  </si>
  <si>
    <t>https://audio.iskcondesiretree.com/01_-_Srila_Prabhupada/01_-_Lectures/01_-_English/02_-_Month_wise/01_-_January/01/BG_03-07_MAD_1976-01-01_Educating_the_Mudhas.mp3</t>
  </si>
  <si>
    <t>SP_Morning_Walk_-_Madras_1976-01-02_Bodily_Spirituality_Exposed.mp3</t>
  </si>
  <si>
    <t>https://audio.iskcondesiretree.com/01_-_Srila_Prabhupada/01_-_Lectures/01_-_English/01_-_Topic_wise/Morning_Walk/SP_Morning_Walk_-_Madras_1976-01-02_Bodily_Spirituality_Exposed.mp3</t>
  </si>
  <si>
    <t>SP_SB_7-06-01_Madras_1976-01-02_Spiritual_Convalescence_%26_Cure.mp3</t>
  </si>
  <si>
    <t>https://audio.iskcondesiretree.com/01_-_Srila_Prabhupada/01_-_Lectures/01_-_English/01_-_Topic_wise/Srimad_Bhagavatam/Canto-07/SP_SB_7-06-01_Madras_1976-01-02_Spiritual_Convalescence_%26_Cure.mp3</t>
  </si>
  <si>
    <t>MW_MAD_1976-01-02_Bodily_Spirituality_Exposed.mp3</t>
  </si>
  <si>
    <t>https://audio.iskcondesiretree.com/01_-_Srila_Prabhupada/01_-_Lectures/01_-_English/02_-_Month_wise/01_-_January/02/MW_MAD_1976-01-02_Bodily_Spirituality_Exposed.mp3</t>
  </si>
  <si>
    <t>SB-07-06-01_1976-01-02_SB-MADRAS.MP3</t>
  </si>
  <si>
    <t>https://audio.iskcondesiretree.com/01_-_Srila_Prabhupada/01_-_Lectures/01_-_English/02_-_Month_wise/01_-_January/02/SB-07-06-01_1976-01-02_SB-MADRAS.MP3</t>
  </si>
  <si>
    <t>SB_7-06-01_MAD_1976-01-02_Spiritual_Convalescence_%26_Cure.mp3</t>
  </si>
  <si>
    <t>https://audio.iskcondesiretree.com/01_-_Srila_Prabhupada/01_-_Lectures/01_-_English/02_-_Month_wise/01_-_January/02/SB_7-06-01_MAD_1976-01-02_Spiritual_Convalescence_%26_Cure.mp3</t>
  </si>
  <si>
    <t>Walk_1976-01-02_MW-MADRAS.MP3</t>
  </si>
  <si>
    <t>https://audio.iskcondesiretree.com/01_-_Srila_Prabhupada/01_-_Lectures/01_-_English/02_-_Month_wise/01_-_January/02/Walk_1976-01-02_MW-MADRAS.MP3</t>
  </si>
  <si>
    <t>SP_Morning_Walk_-_Nellore_1976-01-03_Independent_Thinking.mp3</t>
  </si>
  <si>
    <t>https://audio.iskcondesiretree.com/01_-_Srila_Prabhupada/01_-_Lectures/01_-_English/01_-_Topic_wise/Morning_Walk/SP_Morning_Walk_-_Nellore_1976-01-03_Independent_Thinking.mp3</t>
  </si>
  <si>
    <t>SP_Room_Conversation_Nellore_1976-01-03_Napoleon-Drink_Horse_Urine.mp3</t>
  </si>
  <si>
    <t>https://audio.iskcondesiretree.com/01_-_Srila_Prabhupada/01_-_Lectures/01_-_English/01_-_Topic_wise/Room_Conversation/SP_Room_Conversation_Nellore_1976-01-03_Napoleon-Drink_Horse_Urine.mp3</t>
  </si>
  <si>
    <t>Conv_1976-01-03_R1-NELLORE.MP3</t>
  </si>
  <si>
    <t>https://audio.iskcondesiretree.com/01_-_Srila_Prabhupada/01_-_Lectures/01_-_English/02_-_Month_wise/01_-_January/03/Conv_1976-01-03_R1-NELLORE.MP3</t>
  </si>
  <si>
    <t>MW_NEL_1976-01-03_Independent_Thinking.mp3</t>
  </si>
  <si>
    <t>https://audio.iskcondesiretree.com/01_-_Srila_Prabhupada/01_-_Lectures/01_-_English/02_-_Month_wise/01_-_January/03/MW_NEL_1976-01-03_Independent_Thinking.mp3</t>
  </si>
  <si>
    <t>RC_NEL_1976-01-03_Napoleon-Drink_Horse_Urine.mp3</t>
  </si>
  <si>
    <t>https://audio.iskcondesiretree.com/01_-_Srila_Prabhupada/01_-_Lectures/01_-_English/02_-_Month_wise/01_-_January/03/RC_NEL_1976-01-03_Napoleon-Drink_Horse_Urine.mp3</t>
  </si>
  <si>
    <t>Walk_1976-01-03_MW-NELLORE.MP3</t>
  </si>
  <si>
    <t>https://audio.iskcondesiretree.com/01_-_Srila_Prabhupada/01_-_Lectures/01_-_English/02_-_Month_wise/01_-_January/03/Walk_1976-01-03_MW-NELLORE.MP3</t>
  </si>
  <si>
    <t>SP_Morning_Walk_-_Nellore_1976-01-04_Caitanya_Mahaprabhu_Left_the--etc.mp3</t>
  </si>
  <si>
    <t>https://audio.iskcondesiretree.com/01_-_Srila_Prabhupada/01_-_Lectures/01_-_English/01_-_Topic_wise/Morning_Walk/SP_Morning_Walk_-_Nellore_1976-01-04_Caitanya_Mahaprabhu_Left_the--etc.mp3</t>
  </si>
  <si>
    <t>SP_Lecture_Nellore_1976-01-04_Teach_What_Krishna_Has_Said.mp3</t>
  </si>
  <si>
    <t>https://audio.iskcondesiretree.com/01_-_Srila_Prabhupada/01_-_Lectures/01_-_English/01_-_Topic_wise/Various/SP_Lecture_Nellore_1976-01-04_Teach_What_Krishna_Has_Said.mp3</t>
  </si>
  <si>
    <t>Lect_NEL_1976-01-04_Teach_What_Krishna_Has_Said.mp3</t>
  </si>
  <si>
    <t>https://audio.iskcondesiretree.com/01_-_Srila_Prabhupada/01_-_Lectures/01_-_English/02_-_Month_wise/01_-_January/04/Lect_NEL_1976-01-04_Teach_What_Krishna_Has_Said.mp3</t>
  </si>
  <si>
    <t>Lecture_1976-01-04_LE-NELLORE.MP3</t>
  </si>
  <si>
    <t>https://audio.iskcondesiretree.com/01_-_Srila_Prabhupada/01_-_Lectures/01_-_English/02_-_Month_wise/01_-_January/04/Lecture_1976-01-04_LE-NELLORE.MP3</t>
  </si>
  <si>
    <t>MW_NEL_1976-01-04_Caitanya_Mahaprabhu_Left_the_etc.mp3</t>
  </si>
  <si>
    <t>https://audio.iskcondesiretree.com/01_-_Srila_Prabhupada/01_-_Lectures/01_-_English/02_-_Month_wise/01_-_January/04/MW_NEL_1976-01-04_Caitanya_Mahaprabhu_Left_the_etc.mp3</t>
  </si>
  <si>
    <t>Walk_1976-01-04_MW-NELLORE.MP3</t>
  </si>
  <si>
    <t>https://audio.iskcondesiretree.com/01_-_Srila_Prabhupada/01_-_Lectures/01_-_English/02_-_Month_wise/01_-_January/04/Walk_1976-01-04_MW-NELLORE.MP3</t>
  </si>
  <si>
    <t>SP_SB_6-01-06_Nellore_1976-01-05_Cleansing_Away_Our_Criminality.mp3</t>
  </si>
  <si>
    <t>https://audio.iskcondesiretree.com/01_-_Srila_Prabhupada/01_-_Lectures/01_-_English/01_-_Topic_wise/Srimad_Bhagavatam/Canto-06/SP_SB_6-01-06_Nellore_1976-01-05_Cleansing_Away_Our_Criminality.mp3</t>
  </si>
  <si>
    <t>SB-06-01-06_1976-01-05_SB-NELLORE.MP3</t>
  </si>
  <si>
    <t>https://audio.iskcondesiretree.com/01_-_Srila_Prabhupada/01_-_Lectures/01_-_English/02_-_Month_wise/01_-_January/05/SB-06-01-06_1976-01-05_SB-NELLORE.MP3</t>
  </si>
  <si>
    <t>SB_6-01-06_NEL_1976-01-05_Cleansing_Away_Our_Criminality.mp3</t>
  </si>
  <si>
    <t>https://audio.iskcondesiretree.com/01_-_Srila_Prabhupada/01_-_Lectures/01_-_English/02_-_Month_wise/01_-_January/05/SB_6-01-06_NEL_1976-01-05_Cleansing_Away_Our_Criminality.mp3</t>
  </si>
  <si>
    <t>SP_Morning_Walk_-_Nellore_1976-01-06_Why_Not_Become_a_Wise_Man.mp3</t>
  </si>
  <si>
    <t>https://audio.iskcondesiretree.com/01_-_Srila_Prabhupada/01_-_Lectures/01_-_English/01_-_Topic_wise/Morning_Walk/SP_Morning_Walk_-_Nellore_1976-01-06_Why_Not_Become_a_Wise_Man.mp3</t>
  </si>
  <si>
    <t>MW_NEL_1976-01-06_Why_Not_Become_a_Wise_Man.mp3</t>
  </si>
  <si>
    <t>https://audio.iskcondesiretree.com/01_-_Srila_Prabhupada/01_-_Lectures/01_-_English/02_-_Month_wise/01_-_January/06/MW_NEL_1976-01-06_Why_Not_Become_a_Wise_Man.mp3</t>
  </si>
  <si>
    <t>Walk_1976-01-06_MW-NELLORE.MP3</t>
  </si>
  <si>
    <t>https://audio.iskcondesiretree.com/01_-_Srila_Prabhupada/01_-_Lectures/01_-_English/02_-_Month_wise/01_-_January/06/Walk_1976-01-06_MW-NELLORE.MP3</t>
  </si>
  <si>
    <t>SP_SB_6-01-09_Nellore_1976-01-07_Devotional_Desire.mp3</t>
  </si>
  <si>
    <t>https://audio.iskcondesiretree.com/01_-_Srila_Prabhupada/01_-_Lectures/01_-_English/01_-_Topic_wise/Srimad_Bhagavatam/Canto-06/SP_SB_6-01-09_Nellore_1976-01-07_Devotional_Desire.mp3</t>
  </si>
  <si>
    <t>Conv_1976-01-07_R1-NELLORE.MP3</t>
  </si>
  <si>
    <t>https://audio.iskcondesiretree.com/01_-_Srila_Prabhupada/01_-_Lectures/01_-_English/02_-_Month_wise/01_-_January/07/Conv_1976-01-07_R1-NELLORE.MP3</t>
  </si>
  <si>
    <t>SB-06-01-09_1976-01-07_SB-NELLORE.MP3</t>
  </si>
  <si>
    <t>https://audio.iskcondesiretree.com/01_-_Srila_Prabhupada/01_-_Lectures/01_-_English/02_-_Month_wise/01_-_January/07/SB-06-01-09_1976-01-07_SB-NELLORE.MP3</t>
  </si>
  <si>
    <t>SB_6-01-09_NEL_1976-01-07_Devotional_Desire.mp3</t>
  </si>
  <si>
    <t>https://audio.iskcondesiretree.com/01_-_Srila_Prabhupada/01_-_Lectures/01_-_English/02_-_Month_wise/01_-_January/07/SB_6-01-09_NEL_1976-01-07_Devotional_Desire.mp3</t>
  </si>
  <si>
    <t>SP_Room_Conversation_Nellore_1976-01-08_Special_Eyes.mp3</t>
  </si>
  <si>
    <t>https://audio.iskcondesiretree.com/01_-_Srila_Prabhupada/01_-_Lectures/01_-_English/01_-_Topic_wise/Room_Conversation/SP_Room_Conversation_Nellore_1976-01-08_Special_Eyes.mp3</t>
  </si>
  <si>
    <t>SP_SB_6-01-15_Nellore_1976-01-08_Liberation_by_Pure_Understanding.mp3</t>
  </si>
  <si>
    <t>https://audio.iskcondesiretree.com/01_-_Srila_Prabhupada/01_-_Lectures/01_-_English/01_-_Topic_wise/Srimad_Bhagavatam/Canto-06/SP_SB_6-01-15_Nellore_1976-01-08_Liberation_by_Pure_Understanding.mp3</t>
  </si>
  <si>
    <t>Conv_1976-01-08_R1-NELLORE.MP3</t>
  </si>
  <si>
    <t>https://audio.iskcondesiretree.com/01_-_Srila_Prabhupada/01_-_Lectures/01_-_English/02_-_Month_wise/01_-_January/08/Conv_1976-01-08_R1-NELLORE.MP3</t>
  </si>
  <si>
    <t>RC_NEL_1976-01-08_Special_Eyes.mp3</t>
  </si>
  <si>
    <t>https://audio.iskcondesiretree.com/01_-_Srila_Prabhupada/01_-_Lectures/01_-_English/02_-_Month_wise/01_-_January/08/RC_NEL_1976-01-08_Special_Eyes.mp3</t>
  </si>
  <si>
    <t>SB-06-01-15_1976-01-08_SB-NELLORE.MP3</t>
  </si>
  <si>
    <t>https://audio.iskcondesiretree.com/01_-_Srila_Prabhupada/01_-_Lectures/01_-_English/02_-_Month_wise/01_-_January/08/SB-06-01-15_1976-01-08_SB-NELLORE.MP3</t>
  </si>
  <si>
    <t>SB_6-01-15_NEL_1976-01-08_Liberation_by_Pure_Understanding.mp3</t>
  </si>
  <si>
    <t>https://audio.iskcondesiretree.com/01_-_Srila_Prabhupada/01_-_Lectures/01_-_English/02_-_Month_wise/01_-_January/08/SB_6-01-15_NEL_1976-01-08_Liberation_by_Pure_Understanding.mp3</t>
  </si>
  <si>
    <t>Walk_1976-01-08_MW-NELLORE.MP3</t>
  </si>
  <si>
    <t>https://audio.iskcondesiretree.com/01_-_Srila_Prabhupada/01_-_Lectures/01_-_English/02_-_Month_wise/01_-_January/08/Walk_1976-01-08_MW-NELLORE.MP3</t>
  </si>
  <si>
    <t>Walk_1976-01-09_MW-MADRAS.MP3</t>
  </si>
  <si>
    <t>https://audio.iskcondesiretree.com/01_-_Srila_Prabhupada/01_-_Lectures/01_-_English/02_-_Month_wise/01_-_January/09/Walk_1976-01-09_MW-MADRAS.MP3</t>
  </si>
  <si>
    <t>SB-05-05-01_Hindi_1976-01-12_SB-BOMBAY.MP3</t>
  </si>
  <si>
    <t>https://audio.iskcondesiretree.com/01_-_Srila_Prabhupada/01_-_Lectures/01_-_English/02_-_Month_wise/01_-_January/12/SB-05-05-01_Hindi_1976-01-12_SB-BOMBAY.MP3</t>
  </si>
  <si>
    <t>Walk_1976-01-12_MW-BOMBAY.MP3</t>
  </si>
  <si>
    <t>https://audio.iskcondesiretree.com/01_-_Srila_Prabhupada/01_-_Lectures/01_-_English/02_-_Month_wise/01_-_January/12/Walk_1976-01-12_MW-BOMBAY.MP3</t>
  </si>
  <si>
    <t>SB-05-05-02_Bengali_1976-01-13_SB-CALCUTTA.MP3</t>
  </si>
  <si>
    <t>https://audio.iskcondesiretree.com/01_-_Srila_Prabhupada/01_-_Lectures/01_-_English/02_-_Month_wise/01_-_January/13/SB-05-05-02_Bengali_1976-01-13_SB-CALCUTTA.MP3</t>
  </si>
  <si>
    <t>Walk_1976-01-13_MW-CALCUTTA.MP3</t>
  </si>
  <si>
    <t>https://audio.iskcondesiretree.com/01_-_Srila_Prabhupada/01_-_Lectures/01_-_English/02_-_Month_wise/01_-_January/13/Walk_1976-01-13_MW-CALCUTTA.MP3</t>
  </si>
  <si>
    <t>SB-05-05-02_Bengali_1976-01-14_SB-CALCUTTA.MP3</t>
  </si>
  <si>
    <t>https://audio.iskcondesiretree.com/01_-_Srila_Prabhupada/01_-_Lectures/01_-_English/02_-_Month_wise/01_-_January/14/SB-05-05-02_Bengali_1976-01-14_SB-CALCUTTA.MP3</t>
  </si>
  <si>
    <t>Conv_1976-01-15_R1-MAYAPUR.MP3</t>
  </si>
  <si>
    <t>https://audio.iskcondesiretree.com/01_-_Srila_Prabhupada/01_-_Lectures/01_-_English/02_-_Month_wise/01_-_January/15/Conv_1976-01-15_R1-MAYAPUR.MP3</t>
  </si>
  <si>
    <t>Speech_1976-01-15_SE-MAYAPUR.MP3</t>
  </si>
  <si>
    <t>https://audio.iskcondesiretree.com/01_-_Srila_Prabhupada/01_-_Lectures/01_-_English/02_-_Month_wise/01_-_January/15/Speech_1976-01-15_SE-MAYAPUR.MP3</t>
  </si>
  <si>
    <t>Walk_1976-01-15_MW-CALCUTTA.MP3</t>
  </si>
  <si>
    <t>https://audio.iskcondesiretree.com/01_-_Srila_Prabhupada/01_-_Lectures/01_-_English/02_-_Month_wise/01_-_January/15/Walk_1976-01-15_MW-CALCUTTA.MP3</t>
  </si>
  <si>
    <t>SP_Room_Conversation_Mayapur_1976-01-16_Science-Dogmatic_Foolishness.mp3</t>
  </si>
  <si>
    <t>https://audio.iskcondesiretree.com/01_-_Srila_Prabhupada/01_-_Lectures/01_-_English/01_-_Topic_wise/Room_Conversation/SP_Room_Conversation_Mayapur_1976-01-16_Science-Dogmatic_Foolishness.mp3</t>
  </si>
  <si>
    <t>Conv_1976-01-16_R1-MAYAPUR.MP3</t>
  </si>
  <si>
    <t>https://audio.iskcondesiretree.com/01_-_Srila_Prabhupada/01_-_Lectures/01_-_English/02_-_Month_wise/01_-_January/16/Conv_1976-01-16_R1-MAYAPUR.MP3</t>
  </si>
  <si>
    <t>RC_MAY_1976-01-16_Science-Dogmatic_Foolishness.mp3</t>
  </si>
  <si>
    <t>https://audio.iskcondesiretree.com/01_-_Srila_Prabhupada/01_-_Lectures/01_-_English/02_-_Month_wise/01_-_January/16/RC_MAY_1976-01-16_Science-Dogmatic_Foolishness.mp3</t>
  </si>
  <si>
    <t>Walk_1976-01-16_MW-MAYAPUR.MP3</t>
  </si>
  <si>
    <t>https://audio.iskcondesiretree.com/01_-_Srila_Prabhupada/01_-_Lectures/01_-_English/02_-_Month_wise/01_-_January/16/Walk_1976-01-16_MW-MAYAPUR.MP3</t>
  </si>
  <si>
    <t>Walk_1976-01-17_MW-MAYAPUR.MP3</t>
  </si>
  <si>
    <t>https://audio.iskcondesiretree.com/01_-_Srila_Prabhupada/01_-_Lectures/01_-_English/02_-_Month_wise/01_-_January/17/Walk_1976-01-17_MW-MAYAPUR.MP3</t>
  </si>
  <si>
    <t>Walk_1976-01-17_R1-MAYAPUR.MP3</t>
  </si>
  <si>
    <t>https://audio.iskcondesiretree.com/01_-_Srila_Prabhupada/01_-_Lectures/01_-_English/02_-_Month_wise/01_-_January/17/Walk_1976-01-17_R1-MAYAPUR.MP3</t>
  </si>
  <si>
    <t>Conv_1976-01-18_R1-MAYAPUR.MP3</t>
  </si>
  <si>
    <t>https://audio.iskcondesiretree.com/01_-_Srila_Prabhupada/01_-_Lectures/01_-_English/02_-_Month_wise/01_-_January/18/Conv_1976-01-18_R1-MAYAPUR.MP3</t>
  </si>
  <si>
    <t>Walk_1976-01-18_MW-MAYAPUR.MP3</t>
  </si>
  <si>
    <t>https://audio.iskcondesiretree.com/01_-_Srila_Prabhupada/01_-_Lectures/01_-_English/02_-_Month_wise/01_-_January/18/Walk_1976-01-18_MW-MAYAPUR.MP3</t>
  </si>
  <si>
    <t>Conv_1976-01-19_R1-MAYAPUR.MP3</t>
  </si>
  <si>
    <t>https://audio.iskcondesiretree.com/01_-_Srila_Prabhupada/01_-_Lectures/01_-_English/02_-_Month_wise/01_-_January/19/Conv_1976-01-19_R1-MAYAPUR.MP3</t>
  </si>
  <si>
    <t>Walk_1976-01-19_MW-MAYAPUR.MP3</t>
  </si>
  <si>
    <t>https://audio.iskcondesiretree.com/01_-_Srila_Prabhupada/01_-_Lectures/01_-_English/02_-_Month_wise/01_-_January/19/Walk_1976-01-19_MW-MAYAPUR.MP3</t>
  </si>
  <si>
    <t>Walk_1976-01-20_MW-MAYAPUR.MP3</t>
  </si>
  <si>
    <t>https://audio.iskcondesiretree.com/01_-_Srila_Prabhupada/01_-_Lectures/01_-_English/02_-_Month_wise/01_-_January/20/Walk_1976-01-20_MW-MAYAPUR.MP3</t>
  </si>
  <si>
    <t>Walk_1976-01-21_MW-MAYAPUR.MP3</t>
  </si>
  <si>
    <t>https://audio.iskcondesiretree.com/01_-_Srila_Prabhupada/01_-_Lectures/01_-_English/02_-_Month_wise/01_-_January/21/Walk_1976-01-21_MW-MAYAPUR.MP3</t>
  </si>
  <si>
    <t>Walk_1976-01-22_MW-MAYAPUR.MP3</t>
  </si>
  <si>
    <t>https://audio.iskcondesiretree.com/01_-_Srila_Prabhupada/01_-_Lectures/01_-_English/02_-_Month_wise/01_-_January/22/Walk_1976-01-22_MW-MAYAPUR.MP3</t>
  </si>
  <si>
    <t>Walk_1976-01-23_MW-MAYAPUR.MP3</t>
  </si>
  <si>
    <t>https://audio.iskcondesiretree.com/01_-_Srila_Prabhupada/01_-_Lectures/01_-_English/02_-_Month_wise/01_-_January/23/Walk_1976-01-23_MW-MAYAPUR.MP3</t>
  </si>
  <si>
    <t>Walk_1976-01-25MW-BOMBAY.MP3</t>
  </si>
  <si>
    <t>https://audio.iskcondesiretree.com/01_-_Srila_Prabhupada/01_-_Lectures/01_-_English/02_-_Month_wise/12_-_December/25/Walk_1976-01-25MW-BOMBAY.MP3</t>
  </si>
  <si>
    <t>SP_Morning_Walk_-_Mayapur_1976-02-03_You_Scientists_Make_the_Sun_Rise_at--etc.mp3</t>
  </si>
  <si>
    <t>https://audio.iskcondesiretree.com/01_-_Srila_Prabhupada/01_-_Lectures/01_-_English/01_-_Topic_wise/Morning_Walk/SP_Morning_Walk_-_Mayapur_1976-02-03_You_Scientists_Make_the_Sun_Rise_at--etc.mp3</t>
  </si>
  <si>
    <t>MW_MAY_1976-02-03_You_Scientists_Make_the_Sun_Rise_at_etc.mp3</t>
  </si>
  <si>
    <t>https://audio.iskcondesiretree.com/01_-_Srila_Prabhupada/01_-_Lectures/01_-_English/02_-_Month_wise/02_-_Feburary/03/MW_MAY_1976-02-03_You_Scientists_Make_the_Sun_Rise_at_etc.mp3</t>
  </si>
  <si>
    <t>Walk_1976-02-03_MW-MAYAPUR.MP3</t>
  </si>
  <si>
    <t>https://audio.iskcondesiretree.com/01_-_Srila_Prabhupada/01_-_Lectures/01_-_English/02_-_Month_wise/02_-_Feburary/03/Walk_1976-02-03_MW-MAYAPUR.MP3</t>
  </si>
  <si>
    <t>SP_Morning_Walk_-_Mayapur_1976-02-04_Science_Makes_Everybody_a_Fool.mp3</t>
  </si>
  <si>
    <t>https://audio.iskcondesiretree.com/01_-_Srila_Prabhupada/01_-_Lectures/01_-_English/01_-_Topic_wise/Morning_Walk/SP_Morning_Walk_-_Mayapur_1976-02-04_Science_Makes_Everybody_a_Fool.mp3</t>
  </si>
  <si>
    <t>MW_MAY_1976-02-04_Science_Makes_Everybody_a_Fool.mp3</t>
  </si>
  <si>
    <t>https://audio.iskcondesiretree.com/01_-_Srila_Prabhupada/01_-_Lectures/01_-_English/02_-_Month_wise/02_-_Feburary/04/MW_MAY_1976-02-04_Science_Makes_Everybody_a_Fool.mp3</t>
  </si>
  <si>
    <t>Walk_1976-02-04_MW-MAYAPUR.MP3</t>
  </si>
  <si>
    <t>https://audio.iskcondesiretree.com/01_-_Srila_Prabhupada/01_-_Lectures/01_-_English/02_-_Month_wise/02_-_Feburary/04/Walk_1976-02-04_MW-MAYAPUR.MP3</t>
  </si>
  <si>
    <t>SP_Morning_Walk_-_Mayapur_1976-02-05_Primordial_Criminality.mp3</t>
  </si>
  <si>
    <t>https://audio.iskcondesiretree.com/01_-_Srila_Prabhupada/01_-_Lectures/01_-_English/01_-_Topic_wise/Morning_Walk/SP_Morning_Walk_-_Mayapur_1976-02-05_Primordial_Criminality.mp3</t>
  </si>
  <si>
    <t>SP_Lecture_Mayapur_1976-02-05_Initiation_Sannyasa--Welfare_to_Others.mp3</t>
  </si>
  <si>
    <t>https://audio.iskcondesiretree.com/01_-_Srila_Prabhupada/01_-_Lectures/01_-_English/01_-_Topic_wise/Various/SP_Lecture_Mayapur_1976-02-05_Initiation_Sannyasa--Welfare_to_Others.mp3</t>
  </si>
  <si>
    <t>Initiations_1976-02-05_IN-MAYAPUR.MP3</t>
  </si>
  <si>
    <t>https://audio.iskcondesiretree.com/01_-_Srila_Prabhupada/01_-_Lectures/01_-_English/02_-_Month_wise/02_-_Feburary/05/Initiations_1976-02-05_IN-MAYAPUR.MP3</t>
  </si>
  <si>
    <t>Lect_MAY_1976-02-05_Initiation_Sannyasa--Welfare_to_Others.mp3</t>
  </si>
  <si>
    <t>https://audio.iskcondesiretree.com/01_-_Srila_Prabhupada/01_-_Lectures/01_-_English/02_-_Month_wise/02_-_Feburary/05/Lect_MAY_1976-02-05_Initiation_Sannyasa--Welfare_to_Others.mp3</t>
  </si>
  <si>
    <t>MW_MAY_1976-02-05_Primordial_Criminality.mp3</t>
  </si>
  <si>
    <t>https://audio.iskcondesiretree.com/01_-_Srila_Prabhupada/01_-_Lectures/01_-_English/02_-_Month_wise/02_-_Feburary/05/MW_MAY_1976-02-05_Primordial_Criminality.mp3</t>
  </si>
  <si>
    <t>Walk_1976-02-05_MW-MAYAPUR.MP3</t>
  </si>
  <si>
    <t>https://audio.iskcondesiretree.com/01_-_Srila_Prabhupada/01_-_Lectures/01_-_English/02_-_Month_wise/02_-_Feburary/05/Walk_1976-02-05_MW-MAYAPUR.MP3</t>
  </si>
  <si>
    <t>SP_Morning_Walk_-_Mayapur_1976-02-06_The_Fighting_Philosophy.mp3</t>
  </si>
  <si>
    <t>https://audio.iskcondesiretree.com/01_-_Srila_Prabhupada/01_-_Lectures/01_-_English/01_-_Topic_wise/Morning_Walk/SP_Morning_Walk_-_Mayapur_1976-02-06_The_Fighting_Philosophy.mp3</t>
  </si>
  <si>
    <t>MW_MAY_1976-02-06_The_Fighting_Philosophy.mp3</t>
  </si>
  <si>
    <t>https://audio.iskcondesiretree.com/01_-_Srila_Prabhupada/01_-_Lectures/01_-_English/02_-_Month_wise/02_-_Feburary/06/MW_MAY_1976-02-06_The_Fighting_Philosophy.mp3</t>
  </si>
  <si>
    <t>Walk_1976-02-06_MW-MAYAPUR.MP3</t>
  </si>
  <si>
    <t>https://audio.iskcondesiretree.com/01_-_Srila_Prabhupada/01_-_Lectures/01_-_English/02_-_Month_wise/02_-_Feburary/06/Walk_1976-02-06_MW-MAYAPUR.MP3</t>
  </si>
  <si>
    <t>SP_SB_7-09-01_Mayapur_1976-02-08_Don%27t_Make_Krishna_Unhappy.mp3</t>
  </si>
  <si>
    <t>https://audio.iskcondesiretree.com/01_-_Srila_Prabhupada/01_-_Lectures/01_-_English/01_-_Topic_wise/Srimad_Bhagavatam/Canto-07/SP_SB_7-09-01_Mayapur_1976-02-08_Don%27t_Make_Krishna_Unhappy.mp3</t>
  </si>
  <si>
    <t>SB-07-09-01_1976-02-08_SB-MAYAPUR.MP3</t>
  </si>
  <si>
    <t>https://audio.iskcondesiretree.com/01_-_Srila_Prabhupada/01_-_Lectures/01_-_English/02_-_Month_wise/02_-_Feburary/08/SB-07-09-01_1976-02-08_SB-MAYAPUR.MP3</t>
  </si>
  <si>
    <t>SB_7-09-01_MAY_1976-02-08_Don%27t_Make_Krishna_Unhappy.mp3</t>
  </si>
  <si>
    <t>https://audio.iskcondesiretree.com/01_-_Srila_Prabhupada/01_-_Lectures/01_-_English/02_-_Month_wise/02_-_Feburary/08/SB_7-09-01_MAY_1976-02-08_Don%27t_Make_Krishna_Unhappy.mp3</t>
  </si>
  <si>
    <t>SP_Morning_Walk_-_Mayapur_1976-02-09_Varnashram_Dharma--How_Necessary.mp3</t>
  </si>
  <si>
    <t>https://audio.iskcondesiretree.com/01_-_Srila_Prabhupada/01_-_Lectures/01_-_English/01_-_Topic_wise/Morning_Walk/SP_Morning_Walk_-_Mayapur_1976-02-09_Varnashram_Dharma--How_Necessary.mp3</t>
  </si>
  <si>
    <t>MW_MAY_1976-02-09_Varnashram_Dharma--How_Necessary.mp3</t>
  </si>
  <si>
    <t>https://audio.iskcondesiretree.com/01_-_Srila_Prabhupada/01_-_Lectures/01_-_English/02_-_Month_wise/02_-_Feburary/09/MW_MAY_1976-02-09_Varnashram_Dharma--How_Necessary.mp3</t>
  </si>
  <si>
    <t>Walk_1976-02-09_MW-MAYAPUR.MP3</t>
  </si>
  <si>
    <t>https://audio.iskcondesiretree.com/01_-_Srila_Prabhupada/01_-_Lectures/01_-_English/02_-_Month_wise/02_-_Feburary/09/Walk_1976-02-09_MW-MAYAPUR.MP3</t>
  </si>
  <si>
    <t>SP_Morning_Walk_-_Mayapur_1976-02-10_Ten-Handed_Krishna.mp3</t>
  </si>
  <si>
    <t>https://audio.iskcondesiretree.com/01_-_Srila_Prabhupada/01_-_Lectures/01_-_English/01_-_Topic_wise/Morning_Walk/SP_Morning_Walk_-_Mayapur_1976-02-10_Ten-Handed_Krishna.mp3</t>
  </si>
  <si>
    <t>SP_SB_7-09-03_Mayapur_1976-02-10_Never_Think_%27I_Have_Become_Big%27.mp3</t>
  </si>
  <si>
    <t>https://audio.iskcondesiretree.com/01_-_Srila_Prabhupada/01_-_Lectures/01_-_English/01_-_Topic_wise/Srimad_Bhagavatam/Canto-07/SP_SB_7-09-03_Mayapur_1976-02-10_Never_Think_%27I_Have_Become_Big%27.mp3</t>
  </si>
  <si>
    <t>MW_MAY_1976-02-10_Ten-Handed_Krishna.mp3</t>
  </si>
  <si>
    <t>https://audio.iskcondesiretree.com/01_-_Srila_Prabhupada/01_-_Lectures/01_-_English/02_-_Month_wise/02_-_Feburary/10/MW_MAY_1976-02-10_Ten-Handed_Krishna.mp3</t>
  </si>
  <si>
    <t>SB-07-09-03_1976-02-10_SB-MAYAPUR.MP3</t>
  </si>
  <si>
    <t>https://audio.iskcondesiretree.com/01_-_Srila_Prabhupada/01_-_Lectures/01_-_English/02_-_Month_wise/02_-_Feburary/10/SB-07-09-03_1976-02-10_SB-MAYAPUR.MP3</t>
  </si>
  <si>
    <t>SB_7-09-03_MAY_1976-02-10_Never_Think_%27I_Have_Become_Big.mp3</t>
  </si>
  <si>
    <t>https://audio.iskcondesiretree.com/01_-_Srila_Prabhupada/01_-_Lectures/01_-_English/02_-_Month_wise/02_-_Feburary/10/SB_7-09-03_MAY_1976-02-10_Never_Think_%27I_Have_Become_Big.mp3</t>
  </si>
  <si>
    <t>Walk_1976-02-10_MW-MAYAPUR.MP3</t>
  </si>
  <si>
    <t>https://audio.iskcondesiretree.com/01_-_Srila_Prabhupada/01_-_Lectures/01_-_English/02_-_Month_wise/02_-_Feburary/10/Walk_1976-02-10_MW-MAYAPUR.MP3</t>
  </si>
  <si>
    <t>SB-07-09-04_1976-02-11_SB-MAYAPUR.MP3</t>
  </si>
  <si>
    <t>https://audio.iskcondesiretree.com/01_-_Srila_Prabhupada/01_-_Lectures/01_-_English/02_-_Month_wise/02_-_Feburary/11/SB-07-09-04_1976-02-11_SB-MAYAPUR.MP3</t>
  </si>
  <si>
    <t>Walk_1976-02-11_MW-MAYAPUR.MP3</t>
  </si>
  <si>
    <t>https://audio.iskcondesiretree.com/01_-_Srila_Prabhupada/01_-_Lectures/01_-_English/02_-_Month_wise/02_-_Feburary/11/Walk_1976-02-11_MW-MAYAPUR.MP3</t>
  </si>
  <si>
    <t>SP_Morning_Walk_-_Mayapur_1976-02-12_Laziness_Is_Less_than_Demonic.mp3</t>
  </si>
  <si>
    <t>https://audio.iskcondesiretree.com/01_-_Srila_Prabhupada/01_-_Lectures/01_-_English/01_-_Topic_wise/Morning_Walk/SP_Morning_Walk_-_Mayapur_1976-02-12_Laziness_Is_Less_than_Demonic.mp3</t>
  </si>
  <si>
    <t>MW_MAY_1976-02-12_Laziness_Is_Less_than_Demonic.mp3</t>
  </si>
  <si>
    <t>https://audio.iskcondesiretree.com/01_-_Srila_Prabhupada/01_-_Lectures/01_-_English/02_-_Month_wise/02_-_Feburary/12/MW_MAY_1976-02-12_Laziness_Is_Less_than_Demonic.mp3</t>
  </si>
  <si>
    <t>SB-07-09-05_1976-02-12_SB-MAYAPUR.MP3</t>
  </si>
  <si>
    <t>https://audio.iskcondesiretree.com/01_-_Srila_Prabhupada/01_-_Lectures/01_-_English/02_-_Month_wise/02_-_Feburary/12/SB-07-09-05_1976-02-12_SB-MAYAPUR.MP3</t>
  </si>
  <si>
    <t>Walk_1976-02-12_MW-MAYAPUR.MP3</t>
  </si>
  <si>
    <t>https://audio.iskcondesiretree.com/01_-_Srila_Prabhupada/01_-_Lectures/01_-_English/02_-_Month_wise/02_-_Feburary/12/Walk_1976-02-12_MW-MAYAPUR.MP3</t>
  </si>
  <si>
    <t>SP_SB_7-09-07_Mayapur_1976-02-14_Making_Faith_Firm.mp3</t>
  </si>
  <si>
    <t>https://audio.iskcondesiretree.com/01_-_Srila_Prabhupada/01_-_Lectures/01_-_English/01_-_Topic_wise/Srimad_Bhagavatam/Canto-07/SP_SB_7-09-07_Mayapur_1976-02-14_Making_Faith_Firm.mp3</t>
  </si>
  <si>
    <t>SB-07-09-07_1976-02-14_SB-MAYAPUR.MP3</t>
  </si>
  <si>
    <t>https://audio.iskcondesiretree.com/01_-_Srila_Prabhupada/01_-_Lectures/01_-_English/02_-_Month_wise/02_-_Feburary/14/SB-07-09-07_1976-02-14_SB-MAYAPUR.MP3</t>
  </si>
  <si>
    <t>SB_7-09-07_MAY_1976-02-14_Making_Faith_Firm.mp3</t>
  </si>
  <si>
    <t>https://audio.iskcondesiretree.com/01_-_Srila_Prabhupada/01_-_Lectures/01_-_English/02_-_Month_wise/02_-_Feburary/14/SB_7-09-07_MAY_1976-02-14_Making_Faith_Firm.mp3</t>
  </si>
  <si>
    <t>SP_SB_7-09-08_Mayapur_1976-02-15_Hell_Heaven_or_Home--Decide.mp3</t>
  </si>
  <si>
    <t>https://audio.iskcondesiretree.com/01_-_Srila_Prabhupada/01_-_Lectures/01_-_English/01_-_Topic_wise/Srimad_Bhagavatam/Canto-07/SP_SB_7-09-08_Mayapur_1976-02-15_Hell_Heaven_or_Home--Decide.mp3</t>
  </si>
  <si>
    <t>SB-07-09-08_1976-02-15_SB-MAYAPUR.MP3</t>
  </si>
  <si>
    <t>https://audio.iskcondesiretree.com/01_-_Srila_Prabhupada/01_-_Lectures/01_-_English/02_-_Month_wise/02_-_Feburary/15/SB-07-09-08_1976-02-15_SB-MAYAPUR.MP3</t>
  </si>
  <si>
    <t>SB_7-09-08_MAY_1976-02-15_Hell%2C_Heaven_or_Home_Decide.mp3</t>
  </si>
  <si>
    <t>https://audio.iskcondesiretree.com/01_-_Srila_Prabhupada/01_-_Lectures/01_-_English/02_-_Month_wise/02_-_Feburary/15/SB_7-09-08_MAY_1976-02-15_Hell%2C_Heaven_or_Home_Decide.mp3</t>
  </si>
  <si>
    <t>SP_SB_7-09-09_Mayapur_1976-02-16_Education_Is_Not_Electronic.mp3</t>
  </si>
  <si>
    <t>https://audio.iskcondesiretree.com/01_-_Srila_Prabhupada/01_-_Lectures/01_-_English/01_-_Topic_wise/Srimad_Bhagavatam/Canto-07/SP_SB_7-09-09_Mayapur_1976-02-16_Education_Is_Not_Electronic.mp3</t>
  </si>
  <si>
    <t>SB-07-09-09_1976-02-16_SB-MAYAPUR.MP3</t>
  </si>
  <si>
    <t>https://audio.iskcondesiretree.com/01_-_Srila_Prabhupada/01_-_Lectures/01_-_English/02_-_Month_wise/02_-_Feburary/16/SB-07-09-09_1976-02-16_SB-MAYAPUR.MP3</t>
  </si>
  <si>
    <t>SB_7-09-09_MAY_1976-02-16_Education_Is_Not_Electronic.mp3</t>
  </si>
  <si>
    <t>https://audio.iskcondesiretree.com/01_-_Srila_Prabhupada/01_-_Lectures/01_-_English/02_-_Month_wise/02_-_Feburary/16/SB_7-09-09_MAY_1976-02-16_Education_Is_Not_Electronic.mp3</t>
  </si>
  <si>
    <t>SP_SB_7-09-10_Mayapur_1976-02-17_Every_Dog_Has_His_Pride.mp3</t>
  </si>
  <si>
    <t>https://audio.iskcondesiretree.com/01_-_Srila_Prabhupada/01_-_Lectures/01_-_English/01_-_Topic_wise/Srimad_Bhagavatam/Canto-07/SP_SB_7-09-10_Mayapur_1976-02-17_Every_Dog_Has_His_Pride.mp3</t>
  </si>
  <si>
    <t>SB-07-09-10_1976-02-17_SB-MAYAPUR.MP3</t>
  </si>
  <si>
    <t>https://audio.iskcondesiretree.com/01_-_Srila_Prabhupada/01_-_Lectures/01_-_English/02_-_Month_wise/02_-_Feburary/17/SB-07-09-10_1976-02-17_SB-MAYAPUR.MP3</t>
  </si>
  <si>
    <t>SB_7-09-10_MAY_1976-02-17_Every_Dog_Has_His_Pride.mp3</t>
  </si>
  <si>
    <t>https://audio.iskcondesiretree.com/01_-_Srila_Prabhupada/01_-_Lectures/01_-_English/02_-_Month_wise/02_-_Feburary/17/SB_7-09-10_MAY_1976-02-17_Every_Dog_Has_His_Pride.mp3</t>
  </si>
  <si>
    <t>SP_SB_7-09-11_Mayapur_1976-02-18_Krishna_Needs_Us--Why.mp3</t>
  </si>
  <si>
    <t>https://audio.iskcondesiretree.com/01_-_Srila_Prabhupada/01_-_Lectures/01_-_English/01_-_Topic_wise/Srimad_Bhagavatam/Canto-07/SP_SB_7-09-11_Mayapur_1976-02-18_Krishna_Needs_Us--Why.mp3</t>
  </si>
  <si>
    <t>SB-07-09-11_1976-02-18_SB-MAYAPUR.MP3</t>
  </si>
  <si>
    <t>https://audio.iskcondesiretree.com/01_-_Srila_Prabhupada/01_-_Lectures/01_-_English/02_-_Month_wise/02_-_Feburary/18/SB-07-09-11_1976-02-18_SB-MAYAPUR.MP3</t>
  </si>
  <si>
    <t>SB_7-09-11_MAY_1976-02-18_Krishna_Needs_Us_Why.mp3</t>
  </si>
  <si>
    <t>https://audio.iskcondesiretree.com/01_-_Srila_Prabhupada/01_-_Lectures/01_-_English/02_-_Month_wise/02_-_Feburary/18/SB_7-09-11_MAY_1976-02-18_Krishna_Needs_Us_Why.mp3</t>
  </si>
  <si>
    <t>Walk_1976-02-18_MW-MAYAPUR.MP3</t>
  </si>
  <si>
    <t>https://audio.iskcondesiretree.com/01_-_Srila_Prabhupada/01_-_Lectures/01_-_English/02_-_Month_wise/02_-_Feburary/18/Walk_1976-02-18_MW-MAYAPUR.MP3</t>
  </si>
  <si>
    <t>SP_SB_7-09-12_Mayapur_1976-02-19_Follow_Without_Mental_Concoction.mp3</t>
  </si>
  <si>
    <t>https://audio.iskcondesiretree.com/01_-_Srila_Prabhupada/01_-_Lectures/01_-_English/01_-_Topic_wise/Srimad_Bhagavatam/Canto-07/SP_SB_7-09-12_Mayapur_1976-02-19_Follow_Without_Mental_Concoction.mp3</t>
  </si>
  <si>
    <t>SB-07-09-12_1976-02-19_SB-MAYAPUR.MP3</t>
  </si>
  <si>
    <t>https://audio.iskcondesiretree.com/01_-_Srila_Prabhupada/01_-_Lectures/01_-_English/02_-_Month_wise/02_-_Feburary/19/SB-07-09-12_1976-02-19_SB-MAYAPUR.MP3</t>
  </si>
  <si>
    <t>SB_7-09-12_MAY_1976-02-19_Follow_Without_Mental_Concoction.mp3</t>
  </si>
  <si>
    <t>https://audio.iskcondesiretree.com/01_-_Srila_Prabhupada/01_-_Lectures/01_-_English/02_-_Month_wise/02_-_Feburary/19/SB_7-09-12_MAY_1976-02-19_Follow_Without_Mental_Concoction.mp3</t>
  </si>
  <si>
    <t>Walk_1976-02-19_MW-MAYAPUR.MP3</t>
  </si>
  <si>
    <t>https://audio.iskcondesiretree.com/01_-_Srila_Prabhupada/01_-_Lectures/01_-_English/02_-_Month_wise/02_-_Feburary/19/Walk_1976-02-19_MW-MAYAPUR.MP3</t>
  </si>
  <si>
    <t>SP_SB_7-09-13_Mayapur_1976-02-20_Snakes_Don%27t_Scare_Devotees.mp3</t>
  </si>
  <si>
    <t>https://audio.iskcondesiretree.com/01_-_Srila_Prabhupada/01_-_Lectures/01_-_English/01_-_Topic_wise/Srimad_Bhagavatam/Canto-07/SP_SB_7-09-13_Mayapur_1976-02-20_Snakes_Don%27t_Scare_Devotees.mp3</t>
  </si>
  <si>
    <t>SB-07-09-13_1976-02-20_SB-MAYAPUR.MP3</t>
  </si>
  <si>
    <t>https://audio.iskcondesiretree.com/01_-_Srila_Prabhupada/01_-_Lectures/01_-_English/02_-_Month_wise/02_-_Feburary/20/SB-07-09-13_1976-02-20_SB-MAYAPUR.MP3</t>
  </si>
  <si>
    <t>SB_7-09-13_MAY_1976-02-20_Snakes_Don%27t_Scare_Devotees.mp3</t>
  </si>
  <si>
    <t>https://audio.iskcondesiretree.com/01_-_Srila_Prabhupada/01_-_Lectures/01_-_English/02_-_Month_wise/02_-_Feburary/20/SB_7-09-13_MAY_1976-02-20_Snakes_Don%27t_Scare_Devotees.mp3</t>
  </si>
  <si>
    <t>Walk_1976-02-20_MW-MAYAPUR.MP3</t>
  </si>
  <si>
    <t>https://audio.iskcondesiretree.com/01_-_Srila_Prabhupada/01_-_Lectures/01_-_English/02_-_Month_wise/02_-_Feburary/20/Walk_1976-02-20_MW-MAYAPUR.MP3</t>
  </si>
  <si>
    <t>SP_Festivals_Mayapur_1976-02-21_Bhaktisiddhanta_Appearance.mp3</t>
  </si>
  <si>
    <t>https://audio.iskcondesiretree.com/01_-_Srila_Prabhupada/01_-_Lectures/01_-_English/01_-_Topic_wise/Festivals/SP_Festivals_Mayapur_1976-02-21_Bhaktisiddhanta_Appearance.mp3</t>
  </si>
  <si>
    <t>SP_SB_7-09-14_Mayapur_1976-02-21_Demoniac--Disturbing_%26_Disturbed.mp3</t>
  </si>
  <si>
    <t>https://audio.iskcondesiretree.com/01_-_Srila_Prabhupada/01_-_Lectures/01_-_English/01_-_Topic_wise/Srimad_Bhagavatam/Canto-07/SP_SB_7-09-14_Mayapur_1976-02-21_Demoniac--Disturbing_%26_Disturbed.mp3</t>
  </si>
  <si>
    <t>SP_Lecture_Mayapur_1976-02-21_What_to_Fear.mp3</t>
  </si>
  <si>
    <t>https://audio.iskcondesiretree.com/01_-_Srila_Prabhupada/01_-_Lectures/01_-_English/01_-_Topic_wise/Various/SP_Lecture_Mayapur_1976-02-21_What_to_Fear.mp3</t>
  </si>
  <si>
    <t>Bhaktisiddhanta_Appearance_1976-02-21_BA-MAYAPUR.MP3</t>
  </si>
  <si>
    <t>https://audio.iskcondesiretree.com/01_-_Srila_Prabhupada/01_-_Lectures/01_-_English/02_-_Month_wise/02_-_Feburary/21/Bhaktisiddhanta_Appearance_1976-02-21_BA-MAYAPUR.MP3</t>
  </si>
  <si>
    <t>Fest_MAY_1976-02-21_Bhaktisiddhanta_Appearance.mp3</t>
  </si>
  <si>
    <t>https://audio.iskcondesiretree.com/01_-_Srila_Prabhupada/01_-_Lectures/01_-_English/02_-_Month_wise/02_-_Feburary/21/Fest_MAY_1976-02-21_Bhaktisiddhanta_Appearance.mp3</t>
  </si>
  <si>
    <t>Lect_MAY_1976-02-21_What_to_Fear.mp3</t>
  </si>
  <si>
    <t>https://audio.iskcondesiretree.com/01_-_Srila_Prabhupada/01_-_Lectures/01_-_English/02_-_Month_wise/02_-_Feburary/21/Lect_MAY_1976-02-21_What_to_Fear.mp3</t>
  </si>
  <si>
    <t>SB-07-09-14_1976-02-21_SB-MAYAPUR.MP3</t>
  </si>
  <si>
    <t>https://audio.iskcondesiretree.com/01_-_Srila_Prabhupada/01_-_Lectures/01_-_English/02_-_Month_wise/02_-_Feburary/21/SB-07-09-14_1976-02-21_SB-MAYAPUR.MP3</t>
  </si>
  <si>
    <t>SB_7-09-14_MAY_1976-02-21_Demoniac--Disturbing_%26_Disturbed.mp3</t>
  </si>
  <si>
    <t>https://audio.iskcondesiretree.com/01_-_Srila_Prabhupada/01_-_Lectures/01_-_English/02_-_Month_wise/02_-_Feburary/21/SB_7-09-14_MAY_1976-02-21_Demoniac--Disturbing_%26_Disturbed.mp3</t>
  </si>
  <si>
    <t>Walk_1976-02-21_MW-MAYAPUR.MP3</t>
  </si>
  <si>
    <t>https://audio.iskcondesiretree.com/01_-_Srila_Prabhupada/01_-_Lectures/01_-_English/02_-_Month_wise/02_-_Feburary/21/Walk_1976-02-21_MW-MAYAPUR.MP3</t>
  </si>
  <si>
    <t>SP_SB_7-09-15_Mayapur_1976-02-22_New_Orleans_Gentleman_Can_Live_Here.mp3</t>
  </si>
  <si>
    <t>https://audio.iskcondesiretree.com/01_-_Srila_Prabhupada/01_-_Lectures/01_-_English/01_-_Topic_wise/Srimad_Bhagavatam/Canto-07/SP_SB_7-09-15_Mayapur_1976-02-22_New_Orleans_Gentleman_Can_Live_Here.mp3</t>
  </si>
  <si>
    <t>SB-07-09-15_1976-02-22_SB-MAYAPUR.MP3</t>
  </si>
  <si>
    <t>https://audio.iskcondesiretree.com/01_-_Srila_Prabhupada/01_-_Lectures/01_-_English/02_-_Month_wise/02_-_Feburary/22/SB-07-09-15_1976-02-22_SB-MAYAPUR.MP3</t>
  </si>
  <si>
    <t>SB_7-09-15_MAY_1976-02-22_No_Gentleman_Can_Live_Here.mp3</t>
  </si>
  <si>
    <t>https://audio.iskcondesiretree.com/01_-_Srila_Prabhupada/01_-_Lectures/01_-_English/02_-_Month_wise/02_-_Feburary/22/SB_7-09-15_MAY_1976-02-22_No_Gentleman_Can_Live_Here.mp3</t>
  </si>
  <si>
    <t>Walk_1976-02-22_MW-MAYAPUR.MP3</t>
  </si>
  <si>
    <t>https://audio.iskcondesiretree.com/01_-_Srila_Prabhupada/01_-_Lectures/01_-_English/02_-_Month_wise/02_-_Feburary/22/Walk_1976-02-22_MW-MAYAPUR.MP3</t>
  </si>
  <si>
    <t>SP_SB_7-09-16_Mayapur_1976-02-23_Spreading_the_Moonlight.mp3</t>
  </si>
  <si>
    <t>https://audio.iskcondesiretree.com/01_-_Srila_Prabhupada/01_-_Lectures/01_-_English/01_-_Topic_wise/Srimad_Bhagavatam/Canto-07/SP_SB_7-09-16_Mayapur_1976-02-23_Spreading_the_Moonlight.mp3</t>
  </si>
  <si>
    <t>SB-07-09-16_1976-02-23_SB-MAYAPUR.MP3</t>
  </si>
  <si>
    <t>https://audio.iskcondesiretree.com/01_-_Srila_Prabhupada/01_-_Lectures/01_-_English/02_-_Month_wise/02_-_Feburary/23/SB-07-09-16_1976-02-23_SB-MAYAPUR.MP3</t>
  </si>
  <si>
    <t>SB_7-09-16_MAY_1976-02-23_Spreading_the_Moonlight.mp3</t>
  </si>
  <si>
    <t>https://audio.iskcondesiretree.com/01_-_Srila_Prabhupada/01_-_Lectures/01_-_English/02_-_Month_wise/02_-_Feburary/23/SB_7-09-16_MAY_1976-02-23_Spreading_the_Moonlight.mp3</t>
  </si>
  <si>
    <t>SP_SB_7-09-17_Mayapur_1976-02-24_Crushed_by_the_Wheel_of_Time.mp3</t>
  </si>
  <si>
    <t>https://audio.iskcondesiretree.com/01_-_Srila_Prabhupada/01_-_Lectures/01_-_English/01_-_Topic_wise/Srimad_Bhagavatam/Canto-07/SP_SB_7-09-17_Mayapur_1976-02-24_Crushed_by_the_Wheel_of_Time.mp3</t>
  </si>
  <si>
    <t>SB-07-09-17_1976-02-24_SB-MAYAPUR.MP3</t>
  </si>
  <si>
    <t>https://audio.iskcondesiretree.com/01_-_Srila_Prabhupada/01_-_Lectures/01_-_English/02_-_Month_wise/02_-_Feburary/24/SB-07-09-17_1976-02-24_SB-MAYAPUR.MP3</t>
  </si>
  <si>
    <t>SB_7-09-17_MAY_1976-02-24_Crushed_by_the_Wheel_of_Time.mp3</t>
  </si>
  <si>
    <t>https://audio.iskcondesiretree.com/01_-_Srila_Prabhupada/01_-_Lectures/01_-_English/02_-_Month_wise/02_-_Feburary/24/SB_7-09-17_MAY_1976-02-24_Crushed_by_the_Wheel_of_Time.mp3</t>
  </si>
  <si>
    <t>SP_Morning_Walk_-_Mayapur_1976-02-25_The_Process_of_Disgust.mp3</t>
  </si>
  <si>
    <t>https://audio.iskcondesiretree.com/01_-_Srila_Prabhupada/01_-_Lectures/01_-_English/01_-_Topic_wise/Morning_Walk/SP_Morning_Walk_-_Mayapur_1976-02-25_The_Process_of_Disgust.mp3</t>
  </si>
  <si>
    <t>SP_SB_7-09-18_Mayapur_1976-02-25_Literature_vs._Litter-ature.mp3</t>
  </si>
  <si>
    <t>https://audio.iskcondesiretree.com/01_-_Srila_Prabhupada/01_-_Lectures/01_-_English/01_-_Topic_wise/Srimad_Bhagavatam/Canto-07/SP_SB_7-09-18_Mayapur_1976-02-25_Literature_vs._Litter-ature.mp3</t>
  </si>
  <si>
    <t>MW_MAY_1976-02-25_The_Process_of_Disgust.mp3</t>
  </si>
  <si>
    <t>https://audio.iskcondesiretree.com/01_-_Srila_Prabhupada/01_-_Lectures/01_-_English/02_-_Month_wise/02_-_Feburary/25/MW_MAY_1976-02-25_The_Process_of_Disgust.mp3</t>
  </si>
  <si>
    <t>SB-07-09-18_1976-02-25_SB-MAYAPUR.MP3</t>
  </si>
  <si>
    <t>https://audio.iskcondesiretree.com/01_-_Srila_Prabhupada/01_-_Lectures/01_-_English/02_-_Month_wise/02_-_Feburary/25/SB-07-09-18_1976-02-25_SB-MAYAPUR.MP3</t>
  </si>
  <si>
    <t>SB_7-09-18_MAY_1976-02-25_Literature_vs_Literature.mp3</t>
  </si>
  <si>
    <t>https://audio.iskcondesiretree.com/01_-_Srila_Prabhupada/01_-_Lectures/01_-_English/02_-_Month_wise/02_-_Feburary/25/SB_7-09-18_MAY_1976-02-25_Literature_vs_Literature.mp3</t>
  </si>
  <si>
    <t>Walk_1976-02-25_MW-MAYAPUR.MP3</t>
  </si>
  <si>
    <t>https://audio.iskcondesiretree.com/01_-_Srila_Prabhupada/01_-_Lectures/01_-_English/02_-_Month_wise/02_-_Feburary/25/Walk_1976-02-25_MW-MAYAPUR.MP3</t>
  </si>
  <si>
    <t>SP_Morning_Walk_-_Mayapur_1976-02-26_Nothing_But_Krishna.mp3</t>
  </si>
  <si>
    <t>https://audio.iskcondesiretree.com/01_-_Srila_Prabhupada/01_-_Lectures/01_-_English/01_-_Topic_wise/Morning_Walk/SP_Morning_Walk_-_Mayapur_1976-02-26_Nothing_But_Krishna.mp3</t>
  </si>
  <si>
    <t>SP_SB_7-09-19_Mayapur_1976-02-26_Remember_the_Titanic.mp3</t>
  </si>
  <si>
    <t>https://audio.iskcondesiretree.com/01_-_Srila_Prabhupada/01_-_Lectures/01_-_English/01_-_Topic_wise/Srimad_Bhagavatam/Canto-07/SP_SB_7-09-19_Mayapur_1976-02-26_Remember_the_Titanic.mp3</t>
  </si>
  <si>
    <t>MW_MAY_1976-02-26_Nothing_But_Krishna.mp3</t>
  </si>
  <si>
    <t>https://audio.iskcondesiretree.com/01_-_Srila_Prabhupada/01_-_Lectures/01_-_English/02_-_Month_wise/02_-_Feburary/26/MW_MAY_1976-02-26_Nothing_But_Krishna.mp3</t>
  </si>
  <si>
    <t>SB-07-09-19_1976-02-26_SB-MAYAPUR.MP3</t>
  </si>
  <si>
    <t>https://audio.iskcondesiretree.com/01_-_Srila_Prabhupada/01_-_Lectures/01_-_English/02_-_Month_wise/02_-_Feburary/26/SB-07-09-19_1976-02-26_SB-MAYAPUR.MP3</t>
  </si>
  <si>
    <t>SB_7-09-19_MAY_1976-02-26_Remember_the_Titanic.mp3</t>
  </si>
  <si>
    <t>https://audio.iskcondesiretree.com/01_-_Srila_Prabhupada/01_-_Lectures/01_-_English/02_-_Month_wise/02_-_Feburary/26/SB_7-09-19_MAY_1976-02-26_Remember_the_Titanic.mp3</t>
  </si>
  <si>
    <t>Walk_1976-02-26_MW-MAYAPUR.MP3</t>
  </si>
  <si>
    <t>https://audio.iskcondesiretree.com/01_-_Srila_Prabhupada/01_-_Lectures/01_-_English/02_-_Month_wise/02_-_Feburary/26/Walk_1976-02-26_MW-MAYAPUR.MP3</t>
  </si>
  <si>
    <t>SP_SB_7-09-20_Mayapur_1976-02-27_Nothing_Other_than_Krishna.mp3</t>
  </si>
  <si>
    <t>https://audio.iskcondesiretree.com/01_-_Srila_Prabhupada/01_-_Lectures/01_-_English/01_-_Topic_wise/Srimad_Bhagavatam/Canto-07/SP_SB_7-09-20_Mayapur_1976-02-27_Nothing_Other_than_Krishna.mp3</t>
  </si>
  <si>
    <t>SB-07-09-20_1976-02-27_SB-MAYAPUR.MP3</t>
  </si>
  <si>
    <t>https://audio.iskcondesiretree.com/01_-_Srila_Prabhupada/01_-_Lectures/01_-_English/02_-_Month_wise/02_-_Feburary/27/SB-07-09-20_1976-02-27_SB-MAYAPUR.MP3</t>
  </si>
  <si>
    <t>SB_7-09-20_MAY_1976-02-27_Nothing_Other_than_Krishna.mp3</t>
  </si>
  <si>
    <t>https://audio.iskcondesiretree.com/01_-_Srila_Prabhupada/01_-_Lectures/01_-_English/02_-_Month_wise/02_-_Feburary/27/SB_7-09-20_MAY_1976-02-27_Nothing_Other_than_Krishna.mp3</t>
  </si>
  <si>
    <t>Walk_1976-02-27_MW-MAYAPUR.MP3</t>
  </si>
  <si>
    <t>https://audio.iskcondesiretree.com/01_-_Srila_Prabhupada/01_-_Lectures/01_-_English/02_-_Month_wise/02_-_Feburary/27/Walk_1976-02-27_MW-MAYAPUR.MP3</t>
  </si>
  <si>
    <t>SP_SB_7-09-21_Mayapur_1976-02-28_Beginning_of_Material_Life.mp3</t>
  </si>
  <si>
    <t>https://audio.iskcondesiretree.com/01_-_Srila_Prabhupada/01_-_Lectures/01_-_English/01_-_Topic_wise/Srimad_Bhagavatam/Canto-07/SP_SB_7-09-21_Mayapur_1976-02-28_Beginning_of_Material_Life.mp3</t>
  </si>
  <si>
    <t>SB-07-09-21_1976-02-28_SB-MAYAPUR.MP3</t>
  </si>
  <si>
    <t>https://audio.iskcondesiretree.com/01_-_Srila_Prabhupada/01_-_Lectures/01_-_English/02_-_Month_wise/02_-_Feburary/28/SB-07-09-21_1976-02-28_SB-MAYAPUR.MP3</t>
  </si>
  <si>
    <t>SB_7-09-21_MAY_1976-02-28_Beginning_of_Material_Life.mp3</t>
  </si>
  <si>
    <t>https://audio.iskcondesiretree.com/01_-_Srila_Prabhupada/01_-_Lectures/01_-_English/02_-_Month_wise/02_-_Feburary/28/SB_7-09-21_MAY_1976-02-28_Beginning_of_Material_Life.mp3</t>
  </si>
  <si>
    <t>Walk_1976-02-28_MW-MAYAPUR.MP3</t>
  </si>
  <si>
    <t>https://audio.iskcondesiretree.com/01_-_Srila_Prabhupada/01_-_Lectures/01_-_English/02_-_Month_wise/02_-_Feburary/28/Walk_1976-02-28_MW-MAYAPUR.MP3</t>
  </si>
  <si>
    <t>SP_SB_7-09-22_Mayapur_1976-02-29_It_Is_Not_Alright.mp3</t>
  </si>
  <si>
    <t>https://audio.iskcondesiretree.com/01_-_Srila_Prabhupada/01_-_Lectures/01_-_English/01_-_Topic_wise/Srimad_Bhagavatam/Canto-07/SP_SB_7-09-22_Mayapur_1976-02-29_It_Is_Not_Alright.mp3</t>
  </si>
  <si>
    <t>SB-07-09-22_1976-02-29_SB-MAYAPUR.MP3</t>
  </si>
  <si>
    <t>https://audio.iskcondesiretree.com/01_-_Srila_Prabhupada/01_-_Lectures/01_-_English/02_-_Month_wise/02_-_Feburary/29/SB-07-09-22_1976-02-29_SB-MAYAPUR.MP3</t>
  </si>
  <si>
    <t>SB_7-09-22_MAY_1976-02-29_It_Is_Not_Alright.mp3</t>
  </si>
  <si>
    <t>https://audio.iskcondesiretree.com/01_-_Srila_Prabhupada/01_-_Lectures/01_-_English/02_-_Month_wise/02_-_Feburary/29/SB_7-09-22_MAY_1976-02-29_It_Is_Not_Alright.mp3</t>
  </si>
  <si>
    <t>Walk_1976-02-29_MW-MAYAPUR.MP3</t>
  </si>
  <si>
    <t>https://audio.iskcondesiretree.com/01_-_Srila_Prabhupada/01_-_Lectures/01_-_English/02_-_Month_wise/02_-_Feburary/29/Walk_1976-02-29_MW-MAYAPUR.MP3</t>
  </si>
  <si>
    <t>SP_SB_7-09-23_Mayapur_1976-03-01_Krishna_Impersonators_Killed.mp3</t>
  </si>
  <si>
    <t>https://audio.iskcondesiretree.com/01_-_Srila_Prabhupada/01_-_Lectures/01_-_English/01_-_Topic_wise/Srimad_Bhagavatam/Canto-07/SP_SB_7-09-23_Mayapur_1976-03-01_Krishna_Impersonators_Killed.mp3</t>
  </si>
  <si>
    <t>SB-07-09-23_1976-03-01_SB-MAYAPUR.MP3</t>
  </si>
  <si>
    <t>https://audio.iskcondesiretree.com/01_-_Srila_Prabhupada/01_-_Lectures/01_-_English/02_-_Month_wise/03_-_March/01/SB-07-09-23_1976-03-01_SB-MAYAPUR.MP3</t>
  </si>
  <si>
    <t>SB_7-09-23_MAY_1976-03-01_Krishna_Impersonators_Killed.mp3</t>
  </si>
  <si>
    <t>https://audio.iskcondesiretree.com/01_-_Srila_Prabhupada/01_-_Lectures/01_-_English/02_-_Month_wise/03_-_March/01/SB_7-09-23_MAY_1976-03-01_Krishna_Impersonators_Killed.mp3</t>
  </si>
  <si>
    <t>Walk_1976-03-01_MW-MAYAPUR.MP3</t>
  </si>
  <si>
    <t>https://audio.iskcondesiretree.com/01_-_Srila_Prabhupada/01_-_Lectures/01_-_English/02_-_Month_wise/03_-_March/01/Walk_1976-03-01_MW-MAYAPUR.MP3</t>
  </si>
  <si>
    <t>SP_SB_7-09-24_Mayapur_1976-03-02_The_Master_Disease.mp3</t>
  </si>
  <si>
    <t>https://audio.iskcondesiretree.com/01_-_Srila_Prabhupada/01_-_Lectures/01_-_English/01_-_Topic_wise/Srimad_Bhagavatam/Canto-07/SP_SB_7-09-24_Mayapur_1976-03-02_The_Master_Disease.mp3</t>
  </si>
  <si>
    <t>SB-07-09-24_1976-03-02_SB-MAYAPUR.MP3</t>
  </si>
  <si>
    <t>https://audio.iskcondesiretree.com/01_-_Srila_Prabhupada/01_-_Lectures/01_-_English/02_-_Month_wise/03_-_March/02/SB-07-09-24_1976-03-02_SB-MAYAPUR.MP3</t>
  </si>
  <si>
    <t>SB_7-09-24_MAY_1976-03-02_The_Master_Disease.mp3</t>
  </si>
  <si>
    <t>https://audio.iskcondesiretree.com/01_-_Srila_Prabhupada/01_-_Lectures/01_-_English/02_-_Month_wise/03_-_March/02/SB_7-09-24_MAY_1976-03-02_The_Master_Disease.mp3</t>
  </si>
  <si>
    <t>Walk_1976-03-02_MW-MAYAPUR.MP3</t>
  </si>
  <si>
    <t>https://audio.iskcondesiretree.com/01_-_Srila_Prabhupada/01_-_Lectures/01_-_English/02_-_Month_wise/03_-_March/02/Walk_1976-03-02_MW-MAYAPUR.MP3</t>
  </si>
  <si>
    <t>Walk_1976-03-03_MW-MAYAPUR.MP3</t>
  </si>
  <si>
    <t>https://audio.iskcondesiretree.com/01_-_Srila_Prabhupada/01_-_Lectures/01_-_English/02_-_Month_wise/03_-_March/03/Walk_1976-03-03_MW-MAYAPUR.MP3</t>
  </si>
  <si>
    <t>SP_SB_7-09-26_Mayapur_1976-03-04_Krishna%27s_Touch.mp3</t>
  </si>
  <si>
    <t>https://audio.iskcondesiretree.com/01_-_Srila_Prabhupada/01_-_Lectures/01_-_English/01_-_Topic_wise/Srimad_Bhagavatam/Canto-07/SP_SB_7-09-26_Mayapur_1976-03-04_Krishna%27s_Touch.mp3</t>
  </si>
  <si>
    <t>SB-07-09-26_1976-03-04_SB-MAYAPUR.MP3</t>
  </si>
  <si>
    <t>https://audio.iskcondesiretree.com/01_-_Srila_Prabhupada/01_-_Lectures/01_-_English/02_-_Month_wise/03_-_March/04/SB-07-09-26_1976-03-04_SB-MAYAPUR.MP3</t>
  </si>
  <si>
    <t>SB_7-09-26_MAY_1976-03-04_Krishna%27s_Touch.mp3</t>
  </si>
  <si>
    <t>https://audio.iskcondesiretree.com/01_-_Srila_Prabhupada/01_-_Lectures/01_-_English/02_-_Month_wise/03_-_March/04/SB_7-09-26_MAY_1976-03-04_Krishna%27s_Touch.mp3</t>
  </si>
  <si>
    <t>SP_SB_7-09-27_Mayapur_1976-03-05_Jealousy--It%27s_Cause_and_Cure.mp3</t>
  </si>
  <si>
    <t>https://audio.iskcondesiretree.com/01_-_Srila_Prabhupada/01_-_Lectures/01_-_English/01_-_Topic_wise/Srimad_Bhagavatam/Canto-07/SP_SB_7-09-27_Mayapur_1976-03-05_Jealousy--It%27s_Cause_and_Cure.mp3</t>
  </si>
  <si>
    <t>SB-07-09-27_1976-03-05_SB-MAYAPUR.MP3</t>
  </si>
  <si>
    <t>https://audio.iskcondesiretree.com/01_-_Srila_Prabhupada/01_-_Lectures/01_-_English/02_-_Month_wise/03_-_March/05/SB-07-09-27_1976-03-05_SB-MAYAPUR.MP3</t>
  </si>
  <si>
    <t>SB_7-09-27_MAY_1976-03-05_Jealousy--It%27s_Cause_and_Cure.mp3</t>
  </si>
  <si>
    <t>https://audio.iskcondesiretree.com/01_-_Srila_Prabhupada/01_-_Lectures/01_-_English/02_-_Month_wise/03_-_March/05/SB_7-09-27_MAY_1976-03-05_Jealousy--It%27s_Cause_and_Cure.mp3</t>
  </si>
  <si>
    <t>Walk_1976-03-05_MW-MAYAPUR.MP3</t>
  </si>
  <si>
    <t>https://audio.iskcondesiretree.com/01_-_Srila_Prabhupada/01_-_Lectures/01_-_English/02_-_Month_wise/03_-_March/05/Walk_1976-03-05_MW-MAYAPUR.MP3</t>
  </si>
  <si>
    <t>SP_SB_7-09-28_Mayapur_1976-03-06_Serpents_and_Servants.mp3</t>
  </si>
  <si>
    <t>https://audio.iskcondesiretree.com/01_-_Srila_Prabhupada/01_-_Lectures/01_-_English/01_-_Topic_wise/Srimad_Bhagavatam/Canto-07/SP_SB_7-09-28_Mayapur_1976-03-06_Serpents_and_Servants.mp3</t>
  </si>
  <si>
    <t>Meeting%E2%80%93Bengali_1976-03-06_ME-MAYAPUR.MP3</t>
  </si>
  <si>
    <t>https://audio.iskcondesiretree.com/01_-_Srila_Prabhupada/01_-_Lectures/01_-_English/02_-_Month_wise/03_-_March/06/Meeting%E2%80%93Bengali_1976-03-06_ME-MAYAPUR.MP3</t>
  </si>
  <si>
    <t>SB-07-09-28_1976-03-06_SB-MAYAPUR.MP3</t>
  </si>
  <si>
    <t>https://audio.iskcondesiretree.com/01_-_Srila_Prabhupada/01_-_Lectures/01_-_English/02_-_Month_wise/03_-_March/06/SB-07-09-28_1976-03-06_SB-MAYAPUR.MP3</t>
  </si>
  <si>
    <t>SB_7-09-28_MAY_1976-03-06_Serpents_and_Servants.mp3</t>
  </si>
  <si>
    <t>https://audio.iskcondesiretree.com/01_-_Srila_Prabhupada/01_-_Lectures/01_-_English/02_-_Month_wise/03_-_March/06/SB_7-09-28_MAY_1976-03-06_Serpents_and_Servants.mp3</t>
  </si>
  <si>
    <t>1976-03-06_Lecture_-_Mayapur.MP3</t>
  </si>
  <si>
    <t>https://audio.iskcondesiretree.com/01_-_Srila_Prabhupada/01_-_Lectures/02_-_Bengali/1976-03-06_Lecture_-_Mayapur.MP3</t>
  </si>
  <si>
    <t>SP_Morning_Walk_-_Mayapur_1976-03-07_Disciple-Discipline.mp3</t>
  </si>
  <si>
    <t>https://audio.iskcondesiretree.com/01_-_Srila_Prabhupada/01_-_Lectures/01_-_English/01_-_Topic_wise/Morning_Walk/SP_Morning_Walk_-_Mayapur_1976-03-07_Disciple-Discipline.mp3</t>
  </si>
  <si>
    <t>SP_SB_7-09-29_Mayapur_1976-03-07_The_Clever_One.mp3</t>
  </si>
  <si>
    <t>https://audio.iskcondesiretree.com/01_-_Srila_Prabhupada/01_-_Lectures/01_-_English/01_-_Topic_wise/Srimad_Bhagavatam/Canto-07/SP_SB_7-09-29_Mayapur_1976-03-07_The_Clever_One.mp3</t>
  </si>
  <si>
    <t>MW_MAY_1976-03-07_Disciple-Discipline.mp3</t>
  </si>
  <si>
    <t>https://audio.iskcondesiretree.com/01_-_Srila_Prabhupada/01_-_Lectures/01_-_English/02_-_Month_wise/03_-_March/07/MW_MAY_1976-03-07_Disciple-Discipline.mp3</t>
  </si>
  <si>
    <t>SB-07-09-29_1976-03-07_SB-MAYAPUR.MP3</t>
  </si>
  <si>
    <t>https://audio.iskcondesiretree.com/01_-_Srila_Prabhupada/01_-_Lectures/01_-_English/02_-_Month_wise/03_-_March/07/SB-07-09-29_1976-03-07_SB-MAYAPUR.MP3</t>
  </si>
  <si>
    <t>SB_7-09-29_MAY_1976-03-07_The_Clever_One.mp3</t>
  </si>
  <si>
    <t>https://audio.iskcondesiretree.com/01_-_Srila_Prabhupada/01_-_Lectures/01_-_English/02_-_Month_wise/03_-_March/07/SB_7-09-29_MAY_1976-03-07_The_Clever_One.mp3</t>
  </si>
  <si>
    <t>Walk_1976-03-07_MW-MAYAPUR.MP3</t>
  </si>
  <si>
    <t>https://audio.iskcondesiretree.com/01_-_Srila_Prabhupada/01_-_Lectures/01_-_English/02_-_Month_wise/03_-_March/07/Walk_1976-03-07_MW-MAYAPUR.MP3</t>
  </si>
  <si>
    <t>SP_SB_7-09-30_Mayapur_1976-03-08_Enter_the_Spirit.mp3</t>
  </si>
  <si>
    <t>https://audio.iskcondesiretree.com/01_-_Srila_Prabhupada/01_-_Lectures/01_-_English/01_-_Topic_wise/Srimad_Bhagavatam/Canto-07/SP_SB_7-09-30_Mayapur_1976-03-08_Enter_the_Spirit.mp3</t>
  </si>
  <si>
    <t>SB-07-09-30_1976-03-08_SB-MAYAPUR.MP3</t>
  </si>
  <si>
    <t>https://audio.iskcondesiretree.com/01_-_Srila_Prabhupada/01_-_Lectures/01_-_English/02_-_Month_wise/03_-_March/08/SB-07-09-30_1976-03-08_SB-MAYAPUR.MP3</t>
  </si>
  <si>
    <t>SB_7-09-30_MAY_1976-03-08_Enter_the_Spirit.mp3</t>
  </si>
  <si>
    <t>https://audio.iskcondesiretree.com/01_-_Srila_Prabhupada/01_-_Lectures/01_-_English/02_-_Month_wise/03_-_March/08/SB_7-09-30_MAY_1976-03-08_Enter_the_Spirit.mp3</t>
  </si>
  <si>
    <t>Walk_1976-03-08_MW-MAYAPUR.MP3</t>
  </si>
  <si>
    <t>https://audio.iskcondesiretree.com/01_-_Srila_Prabhupada/01_-_Lectures/01_-_English/02_-_Month_wise/03_-_March/08/Walk_1976-03-08_MW-MAYAPUR.MP3</t>
  </si>
  <si>
    <t>SP_SB_7-09-31_Mayapur_1976-03-09_First_Lesson--Who_Am_I.mp3</t>
  </si>
  <si>
    <t>https://audio.iskcondesiretree.com/01_-_Srila_Prabhupada/01_-_Lectures/01_-_English/01_-_Topic_wise/Srimad_Bhagavatam/Canto-07/SP_SB_7-09-31_Mayapur_1976-03-09_First_Lesson--Who_Am_I.mp3</t>
  </si>
  <si>
    <t>SB-07-09-31_1976-03-09_SB-MAYAPUR.MP3</t>
  </si>
  <si>
    <t>https://audio.iskcondesiretree.com/01_-_Srila_Prabhupada/01_-_Lectures/01_-_English/02_-_Month_wise/03_-_March/09/SB-07-09-31_1976-03-09_SB-MAYAPUR.MP3</t>
  </si>
  <si>
    <t>SB_7-09-31_MAY_1976-03-09_First_Lesson--Who_Am_I.mp3</t>
  </si>
  <si>
    <t>https://audio.iskcondesiretree.com/01_-_Srila_Prabhupada/01_-_Lectures/01_-_English/02_-_Month_wise/03_-_March/09/SB_7-09-31_MAY_1976-03-09_First_Lesson--Who_Am_I.mp3</t>
  </si>
  <si>
    <t>Walk_1976-03-09_MW-MAYAPUR.MP3</t>
  </si>
  <si>
    <t>https://audio.iskcondesiretree.com/01_-_Srila_Prabhupada/01_-_Lectures/01_-_English/02_-_Month_wise/03_-_March/09/Walk_1976-03-09_MW-MAYAPUR.MP3</t>
  </si>
  <si>
    <t>SP_SB_7-09-32_Mayapur_1976-03-10_The_All_Pure_and_Powerful.mp3</t>
  </si>
  <si>
    <t>https://audio.iskcondesiretree.com/01_-_Srila_Prabhupada/01_-_Lectures/01_-_English/01_-_Topic_wise/Srimad_Bhagavatam/Canto-07/SP_SB_7-09-32_Mayapur_1976-03-10_The_All_Pure_and_Powerful.mp3</t>
  </si>
  <si>
    <t>SB-07-09-32_1976-03-10_SB-MAYAPUR.MP3</t>
  </si>
  <si>
    <t>https://audio.iskcondesiretree.com/01_-_Srila_Prabhupada/01_-_Lectures/01_-_English/02_-_Month_wise/03_-_March/10/SB-07-09-32_1976-03-10_SB-MAYAPUR.MP3</t>
  </si>
  <si>
    <t>SB_7-09-32_MAY_1976-03-10_The_All_Pure_and_Powerful.mp3</t>
  </si>
  <si>
    <t>https://audio.iskcondesiretree.com/01_-_Srila_Prabhupada/01_-_Lectures/01_-_English/02_-_Month_wise/03_-_March/10/SB_7-09-32_MAY_1976-03-10_The_All_Pure_and_Powerful.mp3</t>
  </si>
  <si>
    <t>Walk_1976-03-10_MW-MAYAPUR.MP3</t>
  </si>
  <si>
    <t>https://audio.iskcondesiretree.com/01_-_Srila_Prabhupada/01_-_Lectures/01_-_English/02_-_Month_wise/03_-_March/10/Walk_1976-03-10_MW-MAYAPUR.MP3</t>
  </si>
  <si>
    <t>SP_Morning_Walk_-_Mayapur_1976-03-11_God_Will_Come_If_there_are_Devotees.mp3</t>
  </si>
  <si>
    <t>https://audio.iskcondesiretree.com/01_-_Srila_Prabhupada/01_-_Lectures/01_-_English/01_-_Topic_wise/Morning_Walk/SP_Morning_Walk_-_Mayapur_1976-03-11_God_Will_Come_If_there_are_Devotees.mp3</t>
  </si>
  <si>
    <t>SP_SB_7-09-33_Mayapur_1976-03-11_Basic_Principle.mp3</t>
  </si>
  <si>
    <t>https://audio.iskcondesiretree.com/01_-_Srila_Prabhupada/01_-_Lectures/01_-_English/01_-_Topic_wise/Srimad_Bhagavatam/Canto-07/SP_SB_7-09-33_Mayapur_1976-03-11_Basic_Principle.mp3</t>
  </si>
  <si>
    <t>MW_MAY_1976-03-11_God_Will_Come_If_there_are_Devotees.mp3</t>
  </si>
  <si>
    <t>https://audio.iskcondesiretree.com/01_-_Srila_Prabhupada/01_-_Lectures/01_-_English/02_-_Month_wise/03_-_March/11/MW_MAY_1976-03-11_God_Will_Come_If_there_are_Devotees.mp3</t>
  </si>
  <si>
    <t>SB-07-09-33_1976-03-11_SB-MAYAPUR.MP3</t>
  </si>
  <si>
    <t>https://audio.iskcondesiretree.com/01_-_Srila_Prabhupada/01_-_Lectures/01_-_English/02_-_Month_wise/03_-_March/11/SB-07-09-33_1976-03-11_SB-MAYAPUR.MP3</t>
  </si>
  <si>
    <t>SB_7-09-33_MAY_1976-03-11_Basic_Principle.mp3</t>
  </si>
  <si>
    <t>https://audio.iskcondesiretree.com/01_-_Srila_Prabhupada/01_-_Lectures/01_-_English/02_-_Month_wise/03_-_March/11/SB_7-09-33_MAY_1976-03-11_Basic_Principle.mp3</t>
  </si>
  <si>
    <t>Walk_1976-03-11_MW-MAYAPUR.MP3</t>
  </si>
  <si>
    <t>https://audio.iskcondesiretree.com/01_-_Srila_Prabhupada/01_-_Lectures/01_-_English/02_-_Month_wise/03_-_March/11/Walk_1976-03-11_MW-MAYAPUR.MP3</t>
  </si>
  <si>
    <t>SP_Morning_Walk_-_Mayapur_1976-03-12_One_Should_Give_to_Temple.mp3</t>
  </si>
  <si>
    <t>https://audio.iskcondesiretree.com/01_-_Srila_Prabhupada/01_-_Lectures/01_-_English/01_-_Topic_wise/Morning_Walk/SP_Morning_Walk_-_Mayapur_1976-03-12_One_Should_Give_to_Temple.mp3</t>
  </si>
  <si>
    <t>SP_SB_7-09-34_Mayapur_1976-03-12_Make_Krishna_Smile.mp3</t>
  </si>
  <si>
    <t>https://audio.iskcondesiretree.com/01_-_Srila_Prabhupada/01_-_Lectures/01_-_English/01_-_Topic_wise/Srimad_Bhagavatam/Canto-07/SP_SB_7-09-34_Mayapur_1976-03-12_Make_Krishna_Smile.mp3</t>
  </si>
  <si>
    <t>MW_MAY_1976-03-12_One_Should_Give_to_Temple.mp3</t>
  </si>
  <si>
    <t>https://audio.iskcondesiretree.com/01_-_Srila_Prabhupada/01_-_Lectures/01_-_English/02_-_Month_wise/03_-_March/12/MW_MAY_1976-03-12_One_Should_Give_to_Temple.mp3</t>
  </si>
  <si>
    <t>SB-07-09-34_1976-03-12_SB-MAYAPUR.MP3</t>
  </si>
  <si>
    <t>https://audio.iskcondesiretree.com/01_-_Srila_Prabhupada/01_-_Lectures/01_-_English/02_-_Month_wise/03_-_March/12/SB-07-09-34_1976-03-12_SB-MAYAPUR.MP3</t>
  </si>
  <si>
    <t>SB_7-09-34_MAY_1976-03-12_Make_Krishna_Smile.mp3</t>
  </si>
  <si>
    <t>https://audio.iskcondesiretree.com/01_-_Srila_Prabhupada/01_-_Lectures/01_-_English/02_-_Month_wise/03_-_March/12/SB_7-09-34_MAY_1976-03-12_Make_Krishna_Smile.mp3</t>
  </si>
  <si>
    <t>Walk_1976-03-12_MW-MAYAPUR.MP3</t>
  </si>
  <si>
    <t>https://audio.iskcondesiretree.com/01_-_Srila_Prabhupada/01_-_Lectures/01_-_English/02_-_Month_wise/03_-_March/12/Walk_1976-03-12_MW-MAYAPUR.MP3</t>
  </si>
  <si>
    <t>SB-07-09-35_1976-03-13_SB-MAYAPUR.MP3</t>
  </si>
  <si>
    <t>https://audio.iskcondesiretree.com/01_-_Srila_Prabhupada/01_-_Lectures/01_-_English/02_-_Month_wise/03_-_March/13/SB-07-09-35_1976-03-13_SB-MAYAPUR.MP3</t>
  </si>
  <si>
    <t>Walk_1976-03-13_MW-MAYAPUR.MP3</t>
  </si>
  <si>
    <t>https://audio.iskcondesiretree.com/01_-_Srila_Prabhupada/01_-_Lectures/01_-_English/02_-_Month_wise/03_-_March/13/Walk_1976-03-13_MW-MAYAPUR.MP3</t>
  </si>
  <si>
    <t>SP_SB_7-09-36_Mayapur_1976-03-14_Simple_Boy-Real_God.mp3</t>
  </si>
  <si>
    <t>https://audio.iskcondesiretree.com/01_-_Srila_Prabhupada/01_-_Lectures/01_-_English/01_-_Topic_wise/Srimad_Bhagavatam/Canto-07/SP_SB_7-09-36_Mayapur_1976-03-14_Simple_Boy-Real_God.mp3</t>
  </si>
  <si>
    <t>SB-07-09-36_1976-03-14_SB-MAYAPUR.MP3</t>
  </si>
  <si>
    <t>https://audio.iskcondesiretree.com/01_-_Srila_Prabhupada/01_-_Lectures/01_-_English/02_-_Month_wise/03_-_March/14/SB-07-09-36_1976-03-14_SB-MAYAPUR.MP3</t>
  </si>
  <si>
    <t>SB_7-09-36_MAY_1976-03-14_Simple_Boy-Real_God.mp3</t>
  </si>
  <si>
    <t>https://audio.iskcondesiretree.com/01_-_Srila_Prabhupada/01_-_Lectures/01_-_English/02_-_Month_wise/03_-_March/14/SB_7-09-36_MAY_1976-03-14_Simple_Boy-Real_God.mp3</t>
  </si>
  <si>
    <t>Walk_1976-03-14_MW-MAYAPUR.MP3</t>
  </si>
  <si>
    <t>https://audio.iskcondesiretree.com/01_-_Srila_Prabhupada/01_-_Lectures/01_-_English/02_-_Month_wise/03_-_March/14/Walk_1976-03-14_MW-MAYAPUR.MP3</t>
  </si>
  <si>
    <t>SP_SB_7-09-37_Mayapur_1976-03-15_Faith_Vs._Fact.mp3</t>
  </si>
  <si>
    <t>https://audio.iskcondesiretree.com/01_-_Srila_Prabhupada/01_-_Lectures/01_-_English/01_-_Topic_wise/Srimad_Bhagavatam/Canto-07/SP_SB_7-09-37_Mayapur_1976-03-15_Faith_Vs._Fact.mp3</t>
  </si>
  <si>
    <t>SB-07-09-37_1976-03-15_SB-MAYAPUR.MP3</t>
  </si>
  <si>
    <t>https://audio.iskcondesiretree.com/01_-_Srila_Prabhupada/01_-_Lectures/01_-_English/02_-_Month_wise/03_-_March/15/SB-07-09-37_1976-03-15_SB-MAYAPUR.MP3</t>
  </si>
  <si>
    <t>SB_7-09-37_MAY_1976-03-15_Faith_Vs_Fact.mp3</t>
  </si>
  <si>
    <t>https://audio.iskcondesiretree.com/01_-_Srila_Prabhupada/01_-_Lectures/01_-_English/02_-_Month_wise/03_-_March/15/SB_7-09-37_MAY_1976-03-15_Faith_Vs_Fact.mp3</t>
  </si>
  <si>
    <t>Walk_1976-03-15_MW-MAYAPUR.MP3</t>
  </si>
  <si>
    <t>https://audio.iskcondesiretree.com/01_-_Srila_Prabhupada/01_-_Lectures/01_-_English/02_-_Month_wise/03_-_March/15/Walk_1976-03-15_MW-MAYAPUR.MP3</t>
  </si>
  <si>
    <t>SP_Morning_Walk_-_Mayapur_1976-03-16_What_Is_Next.mp3</t>
  </si>
  <si>
    <t>https://audio.iskcondesiretree.com/01_-_Srila_Prabhupada/01_-_Lectures/01_-_English/01_-_Topic_wise/Morning_Walk/SP_Morning_Walk_-_Mayapur_1976-03-16_What_Is_Next.mp3</t>
  </si>
  <si>
    <t>SP_SB_7-09-38_Mayapur_1976-03-16_Gaura_Purnima--The_Undercover_Avatar.mp3</t>
  </si>
  <si>
    <t>https://audio.iskcondesiretree.com/01_-_Srila_Prabhupada/01_-_Lectures/01_-_English/01_-_Topic_wise/Srimad_Bhagavatam/Canto-07/SP_SB_7-09-38_Mayapur_1976-03-16_Gaura_Purnima--The_Undercover_Avatar.mp3</t>
  </si>
  <si>
    <t>SP_Lecture_Mayapur_1976-03-16_Initiation_Sannyasa--No_Ism--No_Schism.mp3</t>
  </si>
  <si>
    <t>https://audio.iskcondesiretree.com/01_-_Srila_Prabhupada/01_-_Lectures/01_-_English/01_-_Topic_wise/Various/SP_Lecture_Mayapur_1976-03-16_Initiation_Sannyasa--No_Ism--No_Schism.mp3</t>
  </si>
  <si>
    <t>Conv_1976-03-16_R1-MAYAPUR.MP3</t>
  </si>
  <si>
    <t>https://audio.iskcondesiretree.com/01_-_Srila_Prabhupada/01_-_Lectures/01_-_English/02_-_Month_wise/03_-_March/16/Conv_1976-03-16_R1-MAYAPUR.MP3</t>
  </si>
  <si>
    <t>Initiations_1976-03-16_IN-MAYAPUR.MP3</t>
  </si>
  <si>
    <t>https://audio.iskcondesiretree.com/01_-_Srila_Prabhupada/01_-_Lectures/01_-_English/02_-_Month_wise/03_-_March/16/Initiations_1976-03-16_IN-MAYAPUR.MP3</t>
  </si>
  <si>
    <t>Lect_MAY_1976-03-16_Initiation_Sannyasa_No_Ism_No_Schism.mp3</t>
  </si>
  <si>
    <t>https://audio.iskcondesiretree.com/01_-_Srila_Prabhupada/01_-_Lectures/01_-_English/02_-_Month_wise/03_-_March/16/Lect_MAY_1976-03-16_Initiation_Sannyasa_No_Ism_No_Schism.mp3</t>
  </si>
  <si>
    <t>MW_MAY_1976-03-16_What_Is_Next.mp3</t>
  </si>
  <si>
    <t>https://audio.iskcondesiretree.com/01_-_Srila_Prabhupada/01_-_Lectures/01_-_English/02_-_Month_wise/03_-_March/16/MW_MAY_1976-03-16_What_Is_Next.mp3</t>
  </si>
  <si>
    <t>SB-07-09-38_1976-03-16_SB-MAYAPUR.MP3</t>
  </si>
  <si>
    <t>https://audio.iskcondesiretree.com/01_-_Srila_Prabhupada/01_-_Lectures/01_-_English/02_-_Month_wise/03_-_March/16/SB-07-09-38_1976-03-16_SB-MAYAPUR.MP3</t>
  </si>
  <si>
    <t>SB_7-09-38_MAY_1976-03-16_Gaura_Purnima--The_Undercover_Avatar.mp3</t>
  </si>
  <si>
    <t>https://audio.iskcondesiretree.com/01_-_Srila_Prabhupada/01_-_Lectures/01_-_English/02_-_Month_wise/03_-_March/16/SB_7-09-38_MAY_1976-03-16_Gaura_Purnima--The_Undercover_Avatar.mp3</t>
  </si>
  <si>
    <t>Walk_1976-03-16_MW-MAYAPUR.MP3</t>
  </si>
  <si>
    <t>https://audio.iskcondesiretree.com/01_-_Srila_Prabhupada/01_-_Lectures/01_-_English/02_-_Month_wise/03_-_March/16/Walk_1976-03-16_MW-MAYAPUR.MP3</t>
  </si>
  <si>
    <t>SP_Morning_Walk_-_Mayapur_1976-03-17_Brain_Is_Already_Created.mp3</t>
  </si>
  <si>
    <t>https://audio.iskcondesiretree.com/01_-_Srila_Prabhupada/01_-_Lectures/01_-_English/01_-_Topic_wise/Morning_Walk/SP_Morning_Walk_-_Mayapur_1976-03-17_Brain_Is_Already_Created.mp3</t>
  </si>
  <si>
    <t>SP_SB_7-09-39_Mayapur_1976-03-17_How_Will_They_Become_Brahmanas.mp3</t>
  </si>
  <si>
    <t>https://audio.iskcondesiretree.com/01_-_Srila_Prabhupada/01_-_Lectures/01_-_English/01_-_Topic_wise/Srimad_Bhagavatam/Canto-07/SP_SB_7-09-39_Mayapur_1976-03-17_How_Will_They_Become_Brahmanas.mp3</t>
  </si>
  <si>
    <t>MW_MAY_1976-03-17_Brain_Is_Already_Created.mp3</t>
  </si>
  <si>
    <t>https://audio.iskcondesiretree.com/01_-_Srila_Prabhupada/01_-_Lectures/01_-_English/02_-_Month_wise/03_-_March/17/MW_MAY_1976-03-17_Brain_Is_Already_Created.mp3</t>
  </si>
  <si>
    <t>SB-07-09-39_1976-03-17_SB-MAYAPUR.MP3</t>
  </si>
  <si>
    <t>https://audio.iskcondesiretree.com/01_-_Srila_Prabhupada/01_-_Lectures/01_-_English/02_-_Month_wise/03_-_March/17/SB-07-09-39_1976-03-17_SB-MAYAPUR.MP3</t>
  </si>
  <si>
    <t>SB_7-09-39_MAY_1976-03-17_How_Will_They_Become_Brahmanas.mp3</t>
  </si>
  <si>
    <t>https://audio.iskcondesiretree.com/01_-_Srila_Prabhupada/01_-_Lectures/01_-_English/02_-_Month_wise/03_-_March/17/SB_7-09-39_MAY_1976-03-17_How_Will_They_Become_Brahmanas.mp3</t>
  </si>
  <si>
    <t>Walk_1976-03-17_MW-MAYAPUR.MP3</t>
  </si>
  <si>
    <t>https://audio.iskcondesiretree.com/01_-_Srila_Prabhupada/01_-_Lectures/01_-_English/02_-_Month_wise/03_-_March/17/Walk_1976-03-17_MW-MAYAPUR.MP3</t>
  </si>
  <si>
    <t>SP_Morning_Walk_-_Mayapur_1976-03-18_Chance...None_-_but_One.mp3</t>
  </si>
  <si>
    <t>https://audio.iskcondesiretree.com/01_-_Srila_Prabhupada/01_-_Lectures/01_-_English/01_-_Topic_wise/Morning_Walk/SP_Morning_Walk_-_Mayapur_1976-03-18_Chance...None_-_but_One.mp3</t>
  </si>
  <si>
    <t>SP_SB_7-09-40_Mayapur_1976-03-18_Serve_One_Master_Or_Many.mp3</t>
  </si>
  <si>
    <t>https://audio.iskcondesiretree.com/01_-_Srila_Prabhupada/01_-_Lectures/01_-_English/01_-_Topic_wise/Srimad_Bhagavatam/Canto-07/SP_SB_7-09-40_Mayapur_1976-03-18_Serve_One_Master_Or_Many.mp3</t>
  </si>
  <si>
    <t>MW_MAY_1976-03-18_Chance_None_but_One.mp3</t>
  </si>
  <si>
    <t>https://audio.iskcondesiretree.com/01_-_Srila_Prabhupada/01_-_Lectures/01_-_English/02_-_Month_wise/03_-_March/18/MW_MAY_1976-03-18_Chance_None_but_One.mp3</t>
  </si>
  <si>
    <t>SB-07-09-40_1976-03-18_SB-MAYAPUR.MP3</t>
  </si>
  <si>
    <t>https://audio.iskcondesiretree.com/01_-_Srila_Prabhupada/01_-_Lectures/01_-_English/02_-_Month_wise/03_-_March/18/SB-07-09-40_1976-03-18_SB-MAYAPUR.MP3</t>
  </si>
  <si>
    <t>SB_7-09-40_MAY_1976-03-18_Serve_One_Master_Or_Many.mp3</t>
  </si>
  <si>
    <t>https://audio.iskcondesiretree.com/01_-_Srila_Prabhupada/01_-_Lectures/01_-_English/02_-_Month_wise/03_-_March/18/SB_7-09-40_MAY_1976-03-18_Serve_One_Master_Or_Many.mp3</t>
  </si>
  <si>
    <t>Walk_1976-03-18_MW-MAYAPUR.MP3</t>
  </si>
  <si>
    <t>https://audio.iskcondesiretree.com/01_-_Srila_Prabhupada/01_-_Lectures/01_-_English/02_-_Month_wise/03_-_March/18/Walk_1976-03-18_MW-MAYAPUR.MP3</t>
  </si>
  <si>
    <t>SP_SB_7-09-41_Mayapur_1976-03-19_Is_God_Unkind.mp3</t>
  </si>
  <si>
    <t>https://audio.iskcondesiretree.com/01_-_Srila_Prabhupada/01_-_Lectures/01_-_English/01_-_Topic_wise/Srimad_Bhagavatam/Canto-07/SP_SB_7-09-41_Mayapur_1976-03-19_Is_God_Unkind.mp3</t>
  </si>
  <si>
    <t>SB-07-09-41_1976-03-19_SB-MAYAPUR.MP3</t>
  </si>
  <si>
    <t>https://audio.iskcondesiretree.com/01_-_Srila_Prabhupada/01_-_Lectures/01_-_English/02_-_Month_wise/03_-_March/19/SB-07-09-41_1976-03-19_SB-MAYAPUR.MP3</t>
  </si>
  <si>
    <t>SB_7-09-41_MAY_1976-03-19_Is_God_Unkind.mp3</t>
  </si>
  <si>
    <t>https://audio.iskcondesiretree.com/01_-_Srila_Prabhupada/01_-_Lectures/01_-_English/02_-_Month_wise/03_-_March/19/SB_7-09-41_MAY_1976-03-19_Is_God_Unkind.mp3</t>
  </si>
  <si>
    <t>Walk_1976-03-19_MW-MAYAPUR.MP3</t>
  </si>
  <si>
    <t>https://audio.iskcondesiretree.com/01_-_Srila_Prabhupada/01_-_Lectures/01_-_English/02_-_Month_wise/03_-_March/19/Walk_1976-03-19_MW-MAYAPUR.MP3</t>
  </si>
  <si>
    <t>Lecture_1976-03-20_LE%E2%80%93Bengali-HARIDASPUR.MP3</t>
  </si>
  <si>
    <t>https://audio.iskcondesiretree.com/01_-_Srila_Prabhupada/01_-_Lectures/01_-_English/02_-_Month_wise/03_-_March/20/Lecture_1976-03-20_LE%E2%80%93Bengali-HARIDASPUR.MP3</t>
  </si>
  <si>
    <t>1976-03-20_Lecture_-_Haridaspur.mp3</t>
  </si>
  <si>
    <t>https://audio.iskcondesiretree.com/01_-_Srila_Prabhupada/01_-_Lectures/02_-_Bengali/1976-03-20_Lecture_-_Haridaspur.mp3</t>
  </si>
  <si>
    <t>Walk_1976-03-21_MW-MAYAPUR.MP3</t>
  </si>
  <si>
    <t>https://audio.iskcondesiretree.com/01_-_Srila_Prabhupada/01_-_Lectures/01_-_English/02_-_Month_wise/03_-_March/21/Walk_1976-03-21_MW-MAYAPUR.MP3</t>
  </si>
  <si>
    <t>SP_SB_7-09-42_Mayapur_1976-03-22_Impossible_to_Be_Independent.mp3</t>
  </si>
  <si>
    <t>https://audio.iskcondesiretree.com/01_-_Srila_Prabhupada/01_-_Lectures/01_-_English/01_-_Topic_wise/Srimad_Bhagavatam/Canto-07/SP_SB_7-09-42_Mayapur_1976-03-22_Impossible_to_Be_Independent.mp3</t>
  </si>
  <si>
    <t>Arrival_1976-03-22_AR-CALCUTTA.MP3</t>
  </si>
  <si>
    <t>https://audio.iskcondesiretree.com/01_-_Srila_Prabhupada/01_-_Lectures/01_-_English/02_-_Month_wise/03_-_March/22/Arrival_1976-03-22_AR-CALCUTTA.MP3</t>
  </si>
  <si>
    <t>Conv%E2%80%93Bengali_1976-03-22_R1-MAYAPUR.MP3</t>
  </si>
  <si>
    <t>https://audio.iskcondesiretree.com/01_-_Srila_Prabhupada/01_-_Lectures/01_-_English/02_-_Month_wise/03_-_March/22/Conv%E2%80%93Bengali_1976-03-22_R1-MAYAPUR.MP3</t>
  </si>
  <si>
    <t>SB-07-09-42_1976-03-22_SB-MAYAPUR.MP3</t>
  </si>
  <si>
    <t>https://audio.iskcondesiretree.com/01_-_Srila_Prabhupada/01_-_Lectures/01_-_English/02_-_Month_wise/03_-_March/22/SB-07-09-42_1976-03-22_SB-MAYAPUR.MP3</t>
  </si>
  <si>
    <t>SB_7-09-42_MAY_1976-03-22_Impossible_to_Be_Independent.mp3</t>
  </si>
  <si>
    <t>https://audio.iskcondesiretree.com/01_-_Srila_Prabhupada/01_-_Lectures/01_-_English/02_-_Month_wise/03_-_March/22/SB_7-09-42_MAY_1976-03-22_Impossible_to_Be_Independent.mp3</t>
  </si>
  <si>
    <t>1976-03-22_Lecture_-_Mayapur.MP3</t>
  </si>
  <si>
    <t>https://audio.iskcondesiretree.com/01_-_Srila_Prabhupada/01_-_Lectures/02_-_Bengali/1976-03-22_Lecture_-_Mayapur.MP3</t>
  </si>
  <si>
    <t>SB-07-09-43_1976-03-23_SB-CALCUTTA.MP3</t>
  </si>
  <si>
    <t>https://audio.iskcondesiretree.com/01_-_Srila_Prabhupada/01_-_Lectures/01_-_English/02_-_Month_wise/03_-_March/23/SB-07-09-43_1976-03-23_SB-CALCUTTA.MP3</t>
  </si>
  <si>
    <t>Conv_1976-03-24_R1-CALCUTTA.MP3</t>
  </si>
  <si>
    <t>https://audio.iskcondesiretree.com/01_-_Srila_Prabhupada/01_-_Lectures/01_-_English/02_-_Month_wise/03_-_March/24/Conv_1976-03-24_R1-CALCUTTA.MP3</t>
  </si>
  <si>
    <t>SP_BG_02-11_Delhi_1976-03-25_Evolution-Darwinian_or_Divine.mp3</t>
  </si>
  <si>
    <t>https://audio.iskcondesiretree.com/01_-_Srila_Prabhupada/01_-_Lectures/01_-_English/01_-_Topic_wise/Bhagavad_Gita/Chapter-02/SP_BG_02-11_Delhi_1976-03-25_Evolution-Darwinian_or_Divine.mp3</t>
  </si>
  <si>
    <t>SP_Interview_Delhi_1976-03-25_Press--India-_Overintelligent.mp3</t>
  </si>
  <si>
    <t>https://audio.iskcondesiretree.com/01_-_Srila_Prabhupada/01_-_Lectures/01_-_English/01_-_Topic_wise/Interview/SP_Interview_Delhi_1976-03-25_Press--India-_Overintelligent.mp3</t>
  </si>
  <si>
    <t>SP_Morning_Walk_-_Delhi_1976-03-25_Suffering_Is_Your_Creation.mp3</t>
  </si>
  <si>
    <t>https://audio.iskcondesiretree.com/01_-_Srila_Prabhupada/01_-_Lectures/01_-_English/01_-_Topic_wise/Morning_Walk/SP_Morning_Walk_-_Delhi_1976-03-25_Suffering_Is_Your_Creation.mp3</t>
  </si>
  <si>
    <t>Bg-02-11_1976-03-25_BG-DELHI.MP3</t>
  </si>
  <si>
    <t>https://audio.iskcondesiretree.com/01_-_Srila_Prabhupada/01_-_Lectures/01_-_English/02_-_Month_wise/03_-_March/25/Bg-02-11_1976-03-25_BG-DELHI.MP3</t>
  </si>
  <si>
    <t>Bg_02-11_DEL_1976-03-25_Evolution-Darwinian_or_Divine.mp3</t>
  </si>
  <si>
    <t>https://audio.iskcondesiretree.com/01_-_Srila_Prabhupada/01_-_Lectures/01_-_English/02_-_Month_wise/03_-_March/25/Bg_02-11_DEL_1976-03-25_Evolution-Darwinian_or_Divine.mp3</t>
  </si>
  <si>
    <t>Conv_1976-03-25_R1-DELHI.MP3</t>
  </si>
  <si>
    <t>https://audio.iskcondesiretree.com/01_-_Srila_Prabhupada/01_-_Lectures/01_-_English/02_-_Month_wise/03_-_March/25/Conv_1976-03-25_R1-DELHI.MP3</t>
  </si>
  <si>
    <t>Interv_DEL_1976-03-25_Press--India-_Overintelligent.mp3</t>
  </si>
  <si>
    <t>https://audio.iskcondesiretree.com/01_-_Srila_Prabhupada/01_-_Lectures/01_-_English/02_-_Month_wise/03_-_March/25/Interv_DEL_1976-03-25_Press--India-_Overintelligent.mp3</t>
  </si>
  <si>
    <t>MW_DEL_1976-03-25_Suffering_Is_Your_Creation.mp3</t>
  </si>
  <si>
    <t>https://audio.iskcondesiretree.com/01_-_Srila_Prabhupada/01_-_Lectures/01_-_English/02_-_Month_wise/03_-_March/25/MW_DEL_1976-03-25_Suffering_Is_Your_Creation.mp3</t>
  </si>
  <si>
    <t>Walk_1976-03-25_MW-DELHI.MP3</t>
  </si>
  <si>
    <t>https://audio.iskcondesiretree.com/01_-_Srila_Prabhupada/01_-_Lectures/01_-_English/02_-_Month_wise/03_-_March/25/Walk_1976-03-25_MW-DELHI.MP3</t>
  </si>
  <si>
    <t>SP_Morning_Walk_-_Delhi_1976-03-26_Impious_and_Pious_are_the_Same.mp3</t>
  </si>
  <si>
    <t>https://audio.iskcondesiretree.com/01_-_Srila_Prabhupada/01_-_Lectures/01_-_English/01_-_Topic_wise/Morning_Walk/SP_Morning_Walk_-_Delhi_1976-03-26_Impious_and_Pious_are_the_Same.mp3</t>
  </si>
  <si>
    <t>SP_SB_7-09-44_Mayapur_1976-03-26_How_to_Get_Krishna%27s_Attention.mp3</t>
  </si>
  <si>
    <t>https://audio.iskcondesiretree.com/01_-_Srila_Prabhupada/01_-_Lectures/01_-_English/01_-_Topic_wise/Srimad_Bhagavatam/Canto-07/SP_SB_7-09-44_Mayapur_1976-03-26_How_to_Get_Krishna%27s_Attention.mp3</t>
  </si>
  <si>
    <t>MW_DEL_1976-03-26_Impious_and_Pious_are_the_Same.mp3</t>
  </si>
  <si>
    <t>https://audio.iskcondesiretree.com/01_-_Srila_Prabhupada/01_-_Lectures/01_-_English/02_-_Month_wise/03_-_March/26/MW_DEL_1976-03-26_Impious_and_Pious_are_the_Same.mp3</t>
  </si>
  <si>
    <t>SB-07-09-44_1976-03-26_SB-DELHI.MP3</t>
  </si>
  <si>
    <t>https://audio.iskcondesiretree.com/01_-_Srila_Prabhupada/01_-_Lectures/01_-_English/02_-_Month_wise/03_-_March/26/SB-07-09-44_1976-03-26_SB-DELHI.MP3</t>
  </si>
  <si>
    <t>SB_7-09-44_MAY_1976-03-26_How_to_Get_Krishna%27s_Attention.mp3</t>
  </si>
  <si>
    <t>https://audio.iskcondesiretree.com/01_-_Srila_Prabhupada/01_-_Lectures/01_-_English/02_-_Month_wise/03_-_March/26/SB_7-09-44_MAY_1976-03-26_How_to_Get_Krishna%27s_Attention.mp3</t>
  </si>
  <si>
    <t>Walk_1976-03-26_MW-DELHI.MP3</t>
  </si>
  <si>
    <t>https://audio.iskcondesiretree.com/01_-_Srila_Prabhupada/01_-_Lectures/01_-_English/02_-_Month_wise/03_-_March/26/Walk_1976-03-26_MW-DELHI.MP3</t>
  </si>
  <si>
    <t>SP_SB_7-05-23_Vrindavan_1976-03-31_Hear_from_a_Real_Devotee.mp3</t>
  </si>
  <si>
    <t>https://audio.iskcondesiretree.com/01_-_Srila_Prabhupada/01_-_Lectures/01_-_English/01_-_Topic_wise/Srimad_Bhagavatam/Canto-07/SP_SB_7-05-23_Vrindavan_1976-03-31_Hear_from_a_Real_Devotee.mp3</t>
  </si>
  <si>
    <t>SB-07-05-23%E2%80%9324_1976-03-31_SB-VRNDAVAN.MP3</t>
  </si>
  <si>
    <t>https://audio.iskcondesiretree.com/01_-_Srila_Prabhupada/01_-_Lectures/01_-_English/02_-_Month_wise/03_-_March/31/SB-07-05-23%E2%80%9324_1976-03-31_SB-VRNDAVAN.MP3</t>
  </si>
  <si>
    <t>SB_7-05-23_VRN_1976-03-31_Hear_from_a_Real_Devotee.mp3</t>
  </si>
  <si>
    <t>https://audio.iskcondesiretree.com/01_-_Srila_Prabhupada/01_-_Lectures/01_-_English/02_-_Month_wise/03_-_March/31/SB_7-05-23_VRN_1976-03-31_Hear_from_a_Real_Devotee.mp3</t>
  </si>
  <si>
    <t>SB-07-09-46_1976-04-01_SB-VRNDAVAN.MP3</t>
  </si>
  <si>
    <t>https://audio.iskcondesiretree.com/01_-_Srila_Prabhupada/01_-_Lectures/01_-_English/02_-_Month_wise/04_-_April/01/SB-07-09-46_1976-04-01_SB-VRNDAVAN.MP3</t>
  </si>
  <si>
    <t>SP_SB_7-09-47_Vrindavan_1976-04-02_Demonic_Habits_Are_Being_Killed.mp3</t>
  </si>
  <si>
    <t>https://audio.iskcondesiretree.com/01_-_Srila_Prabhupada/01_-_Lectures/01_-_English/01_-_Topic_wise/Srimad_Bhagavatam/Canto-07/SP_SB_7-09-47_Vrindavan_1976-04-02_Demonic_Habits_Are_Being_Killed.mp3</t>
  </si>
  <si>
    <t>SB-07-09-47_1976-04-02_SB-VRNDAVAN.MP3</t>
  </si>
  <si>
    <t>https://audio.iskcondesiretree.com/01_-_Srila_Prabhupada/01_-_Lectures/01_-_English/02_-_Month_wise/04_-_April/02/SB-07-09-47_1976-04-02_SB-VRNDAVAN.MP3</t>
  </si>
  <si>
    <t>SB_7-09-47_VRN_1976-04-02_Demonic_Habits_Are_Being_Killed.mp3</t>
  </si>
  <si>
    <t>https://audio.iskcondesiretree.com/01_-_Srila_Prabhupada/01_-_Lectures/01_-_English/02_-_Month_wise/04_-_April/02/SB_7-09-47_VRN_1976-04-02_Demonic_Habits_Are_Being_Killed.mp3</t>
  </si>
  <si>
    <t>Walk_1976-04-02_MW-VRNDAVAN.MP3</t>
  </si>
  <si>
    <t>https://audio.iskcondesiretree.com/01_-_Srila_Prabhupada/01_-_Lectures/01_-_English/02_-_Month_wise/04_-_April/02/Walk_1976-04-02_MW-VRNDAVAN.MP3</t>
  </si>
  <si>
    <t>SB-07-09-48_1976-04-03_SB-VRNDAVAN.MP3</t>
  </si>
  <si>
    <t>https://audio.iskcondesiretree.com/01_-_Srila_Prabhupada/01_-_Lectures/01_-_English/02_-_Month_wise/04_-_April/03/SB-07-09-48_1976-04-03_SB-VRNDAVAN.MP3</t>
  </si>
  <si>
    <t>Walk_1976-04-03_MW-VRNDAVAN.MP3</t>
  </si>
  <si>
    <t>https://audio.iskcondesiretree.com/01_-_Srila_Prabhupada/01_-_Lectures/01_-_English/02_-_Month_wise/04_-_April/03/Walk_1976-04-03_MW-VRNDAVAN.MP3</t>
  </si>
  <si>
    <t>SP_SB_7-09-49_Vrindavan_1976-04-04_Big_Talk_Hard_Work-_Not_the_Way.mp3</t>
  </si>
  <si>
    <t>https://audio.iskcondesiretree.com/01_-_Srila_Prabhupada/01_-_Lectures/01_-_English/01_-_Topic_wise/Srimad_Bhagavatam/Canto-07/SP_SB_7-09-49_Vrindavan_1976-04-04_Big_Talk_Hard_Work-_Not_the_Way.mp3</t>
  </si>
  <si>
    <t>Conv_1976-04-04_R1-VRNDAVAN.MP3</t>
  </si>
  <si>
    <t>https://audio.iskcondesiretree.com/01_-_Srila_Prabhupada/01_-_Lectures/01_-_English/02_-_Month_wise/04_-_April/04/Conv_1976-04-04_R1-VRNDAVAN.MP3</t>
  </si>
  <si>
    <t>Initiations_1976-04-04_IN-VRNDAVAN.MP3</t>
  </si>
  <si>
    <t>https://audio.iskcondesiretree.com/01_-_Srila_Prabhupada/01_-_Lectures/01_-_English/02_-_Month_wise/04_-_April/04/Initiations_1976-04-04_IN-VRNDAVAN.MP3</t>
  </si>
  <si>
    <t>SB-07-09-49_1976-04-04_SB-VRNDAVAN.MP3</t>
  </si>
  <si>
    <t>https://audio.iskcondesiretree.com/01_-_Srila_Prabhupada/01_-_Lectures/01_-_English/02_-_Month_wise/04_-_April/04/SB-07-09-49_1976-04-04_SB-VRNDAVAN.MP3</t>
  </si>
  <si>
    <t>SB_7-09-49_VRN_1976-04-04_Big_Talk%2C_Hard_Work-_Not_the_Way.mp3</t>
  </si>
  <si>
    <t>https://audio.iskcondesiretree.com/01_-_Srila_Prabhupada/01_-_Lectures/01_-_English/02_-_Month_wise/04_-_April/04/SB_7-09-49_VRN_1976-04-04_Big_Talk%2C_Hard_Work-_Not_the_Way.mp3</t>
  </si>
  <si>
    <t>Conv_1976-04-05_R1-VRNDAVAN.MP3</t>
  </si>
  <si>
    <t>https://audio.iskcondesiretree.com/01_-_Srila_Prabhupada/01_-_Lectures/01_-_English/02_-_Month_wise/04_-_April/05/Conv_1976-04-05_R1-VRNDAVAN.MP3</t>
  </si>
  <si>
    <t>SB-07-09-50_1976-04-05_SB-VRNDAVAN.MP3</t>
  </si>
  <si>
    <t>https://audio.iskcondesiretree.com/01_-_Srila_Prabhupada/01_-_Lectures/01_-_English/02_-_Month_wise/04_-_April/05/SB-07-09-50_1976-04-05_SB-VRNDAVAN.MP3</t>
  </si>
  <si>
    <t>Walk_1976-04-05-MW-VRNDAVAN.MP3</t>
  </si>
  <si>
    <t>https://audio.iskcondesiretree.com/01_-_Srila_Prabhupada/01_-_Lectures/01_-_English/02_-_Month_wise/04_-_April/05/Walk_1976-04-05-MW-VRNDAVAN.MP3</t>
  </si>
  <si>
    <t>Conv_1976-04-06_R2-VRNDAVAN.MP3</t>
  </si>
  <si>
    <t>https://audio.iskcondesiretree.com/01_-_Srila_Prabhupada/01_-_Lectures/01_-_English/02_-_Month_wise/04_-_April/06/Conv_1976-04-06_R2-VRNDAVAN.MP3</t>
  </si>
  <si>
    <t>Conv%E2%80%93Hindi_1976-04-06_R1-VRNDAVAN.MP3</t>
  </si>
  <si>
    <t>https://audio.iskcondesiretree.com/01_-_Srila_Prabhupada/01_-_Lectures/01_-_English/02_-_Month_wise/04_-_April/06/Conv%E2%80%93Hindi_1976-04-06_R1-VRNDAVAN.MP3</t>
  </si>
  <si>
    <t>Meeting_1976-04-06_ME-VRNDAVAN.MP3</t>
  </si>
  <si>
    <t>https://audio.iskcondesiretree.com/01_-_Srila_Prabhupada/01_-_Lectures/01_-_English/02_-_Month_wise/04_-_April/06/Meeting_1976-04-06_ME-VRNDAVAN.MP3</t>
  </si>
  <si>
    <t>SB-07-09-51_1976-04-06_SB-VRNDAVAN.MP3</t>
  </si>
  <si>
    <t>https://audio.iskcondesiretree.com/01_-_Srila_Prabhupada/01_-_Lectures/01_-_English/02_-_Month_wise/04_-_April/06/SB-07-09-51_1976-04-06_SB-VRNDAVAN.MP3</t>
  </si>
  <si>
    <t>Walk_1976-04-06_MW-VRNDAVAN.MP3</t>
  </si>
  <si>
    <t>https://audio.iskcondesiretree.com/01_-_Srila_Prabhupada/01_-_Lectures/01_-_English/02_-_Month_wise/04_-_April/06/Walk_1976-04-06_MW-VRNDAVAN.MP3</t>
  </si>
  <si>
    <t>SP_SB_7-09-52_Vrindavan_1976-04-07_Nondevotees--Cruel_Cruel_Cruel.mp3</t>
  </si>
  <si>
    <t>https://audio.iskcondesiretree.com/01_-_Srila_Prabhupada/01_-_Lectures/01_-_English/01_-_Topic_wise/Srimad_Bhagavatam/Canto-07/SP_SB_7-09-52_Vrindavan_1976-04-07_Nondevotees--Cruel_Cruel_Cruel.mp3</t>
  </si>
  <si>
    <t>SP_Lecture_Vrindavan_1976-04-07_The_Guru%27s_Business_is_Not_to--etc.mp3</t>
  </si>
  <si>
    <t>https://audio.iskcondesiretree.com/01_-_Srila_Prabhupada/01_-_Lectures/01_-_English/01_-_Topic_wise/Various/SP_Lecture_Vrindavan_1976-04-07_The_Guru%27s_Business_is_Not_to--etc.mp3</t>
  </si>
  <si>
    <t>Lect_VRN_1976-04-07_The_Guru%27s_Business_is_Not_to_etc.mp3</t>
  </si>
  <si>
    <t>https://audio.iskcondesiretree.com/01_-_Srila_Prabhupada/01_-_Lectures/01_-_English/02_-_Month_wise/04_-_April/07/Lect_VRN_1976-04-07_The_Guru%27s_Business_is_Not_to_etc.mp3</t>
  </si>
  <si>
    <t>Lecture_1976-04-07_LE-VRNDAVAN.MP3</t>
  </si>
  <si>
    <t>https://audio.iskcondesiretree.com/01_-_Srila_Prabhupada/01_-_Lectures/01_-_English/02_-_Month_wise/04_-_April/07/Lecture_1976-04-07_LE-VRNDAVAN.MP3</t>
  </si>
  <si>
    <t>SB-07-09-52_1976-04-07_SB-VRNDAVAN.MP3</t>
  </si>
  <si>
    <t>https://audio.iskcondesiretree.com/01_-_Srila_Prabhupada/01_-_Lectures/01_-_English/02_-_Month_wise/04_-_April/07/SB-07-09-52_1976-04-07_SB-VRNDAVAN.MP3</t>
  </si>
  <si>
    <t>SB_7-09-52_VRN_1976-04-07_Nondevotees_Cruel_Cruel_Cruel.mp3</t>
  </si>
  <si>
    <t>https://audio.iskcondesiretree.com/01_-_Srila_Prabhupada/01_-_Lectures/01_-_English/02_-_Month_wise/04_-_April/07/SB_7-09-52_VRN_1976-04-07_Nondevotees_Cruel_Cruel_Cruel.mp3</t>
  </si>
  <si>
    <t>Walk_1976-04-07_MW-VRNDAVAN.MP3</t>
  </si>
  <si>
    <t>https://audio.iskcondesiretree.com/01_-_Srila_Prabhupada/01_-_Lectures/01_-_English/02_-_Month_wise/04_-_April/07/Walk_1976-04-07_MW-VRNDAVAN.MP3</t>
  </si>
  <si>
    <t>SP_SB_7-09-53_Vrindavan_1976-04-08_Please_Krishna_See_Krishna.mp3</t>
  </si>
  <si>
    <t>https://audio.iskcondesiretree.com/01_-_Srila_Prabhupada/01_-_Lectures/01_-_English/01_-_Topic_wise/Srimad_Bhagavatam/Canto-07/SP_SB_7-09-53_Vrindavan_1976-04-08_Please_Krishna_See_Krishna.mp3</t>
  </si>
  <si>
    <t>Lecture%E2%80%93Hindi_1976-04-08_LE-VRNDAVAN.MP3</t>
  </si>
  <si>
    <t>https://audio.iskcondesiretree.com/01_-_Srila_Prabhupada/01_-_Lectures/01_-_English/02_-_Month_wise/04_-_April/08/Lecture%E2%80%93Hindi_1976-04-08_LE-VRNDAVAN.MP3</t>
  </si>
  <si>
    <t>SB-07-09-53_1976-04-08_SB-VRNDAVAN.MP3</t>
  </si>
  <si>
    <t>https://audio.iskcondesiretree.com/01_-_Srila_Prabhupada/01_-_Lectures/01_-_English/02_-_Month_wise/04_-_April/08/SB-07-09-53_1976-04-08_SB-VRNDAVAN.MP3</t>
  </si>
  <si>
    <t>SB_7-09-53_VRN_1976-04-08_Please_Krishna%2C_See_Krishna.mp3</t>
  </si>
  <si>
    <t>https://audio.iskcondesiretree.com/01_-_Srila_Prabhupada/01_-_Lectures/01_-_English/02_-_Month_wise/04_-_April/08/SB_7-09-53_VRN_1976-04-08_Please_Krishna%2C_See_Krishna.mp3</t>
  </si>
  <si>
    <t>Speech%E2%80%93Hindi_1976-04-08_SP-VRNDAVAN.MP3</t>
  </si>
  <si>
    <t>https://audio.iskcondesiretree.com/01_-_Srila_Prabhupada/01_-_Lectures/01_-_English/02_-_Month_wise/04_-_April/08/Speech%E2%80%93Hindi_1976-04-08_SP-VRNDAVAN.MP3</t>
  </si>
  <si>
    <t>Walk_1976-04-08_MW-VRNDAVAN.MP3</t>
  </si>
  <si>
    <t>https://audio.iskcondesiretree.com/01_-_Srila_Prabhupada/01_-_Lectures/01_-_English/02_-_Month_wise/04_-_April/08/Walk_1976-04-08_MW-VRNDAVAN.MP3</t>
  </si>
  <si>
    <t>SP_SB_7-09-54_Vrindavan_1976-04-09_New_Orleans_More_Wanting.mp3</t>
  </si>
  <si>
    <t>https://audio.iskcondesiretree.com/01_-_Srila_Prabhupada/01_-_Lectures/01_-_English/01_-_Topic_wise/Srimad_Bhagavatam/Canto-07/SP_SB_7-09-54_Vrindavan_1976-04-09_New_Orleans_More_Wanting.mp3</t>
  </si>
  <si>
    <t>Lecture%E2%80%93Hindi_1976-04-09_LE-VRNDAVAN.MP3</t>
  </si>
  <si>
    <t>https://audio.iskcondesiretree.com/01_-_Srila_Prabhupada/01_-_Lectures/01_-_English/02_-_Month_wise/04_-_April/09/Lecture%E2%80%93Hindi_1976-04-09_LE-VRNDAVAN.MP3</t>
  </si>
  <si>
    <t>SB-07-09-54_1976-04-09_SB-VRNDAVAN.MP3</t>
  </si>
  <si>
    <t>https://audio.iskcondesiretree.com/01_-_Srila_Prabhupada/01_-_Lectures/01_-_English/02_-_Month_wise/04_-_April/09/SB-07-09-54_1976-04-09_SB-VRNDAVAN.MP3</t>
  </si>
  <si>
    <t>SB_7-09-54_VRN_1976-04-09_No_More_Wanting.mp3</t>
  </si>
  <si>
    <t>https://audio.iskcondesiretree.com/01_-_Srila_Prabhupada/01_-_Lectures/01_-_English/02_-_Month_wise/04_-_April/09/SB_7-09-54_VRN_1976-04-09_No_More_Wanting.mp3</t>
  </si>
  <si>
    <t>Walk_1976-04-09_MW-VRNDAVAN.MP3</t>
  </si>
  <si>
    <t>https://audio.iskcondesiretree.com/01_-_Srila_Prabhupada/01_-_Lectures/01_-_English/02_-_Month_wise/04_-_April/09/Walk_1976-04-09_MW-VRNDAVAN.MP3</t>
  </si>
  <si>
    <t>SP_Morning_Walk_-_Vrindavan_1976-04-10_The_Crow_Tal-Fruit_Controversy.mp3</t>
  </si>
  <si>
    <t>https://audio.iskcondesiretree.com/01_-_Srila_Prabhupada/01_-_Lectures/01_-_English/01_-_Topic_wise/Morning_Walk/SP_Morning_Walk_-_Vrindavan_1976-04-10_The_Crow_Tal-Fruit_Controversy.mp3</t>
  </si>
  <si>
    <t>SP_SB_7-09-55_Vrindavan_1976-04-10_The_Spoiling_Civilization.mp3</t>
  </si>
  <si>
    <t>https://audio.iskcondesiretree.com/01_-_Srila_Prabhupada/01_-_Lectures/01_-_English/01_-_Topic_wise/Srimad_Bhagavatam/Canto-07/SP_SB_7-09-55_Vrindavan_1976-04-10_The_Spoiling_Civilization.mp3</t>
  </si>
  <si>
    <t>MW_VRN_1976-04-10_The_Crow_Tal-Fruit_Controversy.mp3</t>
  </si>
  <si>
    <t>https://audio.iskcondesiretree.com/01_-_Srila_Prabhupada/01_-_Lectures/01_-_English/02_-_Month_wise/04_-_April/10/MW_VRN_1976-04-10_The_Crow_Tal-Fruit_Controversy.mp3</t>
  </si>
  <si>
    <t>SB-07-09-55_1976-04-10_SB-VRNDAVAN.MP3</t>
  </si>
  <si>
    <t>https://audio.iskcondesiretree.com/01_-_Srila_Prabhupada/01_-_Lectures/01_-_English/02_-_Month_wise/04_-_April/10/SB-07-09-55_1976-04-10_SB-VRNDAVAN.MP3</t>
  </si>
  <si>
    <t>SB_7-09-55_VRN_1976-04-10_The_Spoiling_Civilization.mp3</t>
  </si>
  <si>
    <t>https://audio.iskcondesiretree.com/01_-_Srila_Prabhupada/01_-_Lectures/01_-_English/02_-_Month_wise/04_-_April/10/SB_7-09-55_VRN_1976-04-10_The_Spoiling_Civilization.mp3</t>
  </si>
  <si>
    <t>Walk_1976-04-10_MW-VRNDAVAN.MP3</t>
  </si>
  <si>
    <t>https://audio.iskcondesiretree.com/01_-_Srila_Prabhupada/01_-_Lectures/01_-_English/02_-_Month_wise/04_-_April/10/Walk_1976-04-10_MW-VRNDAVAN.MP3</t>
  </si>
  <si>
    <t>SP_SB_7-12-01_Bombay_1976-04-12_I_Don%27t_Say_You%27re_a_Rascal.mp3</t>
  </si>
  <si>
    <t>https://audio.iskcondesiretree.com/01_-_Srila_Prabhupada/01_-_Lectures/01_-_English/01_-_Topic_wise/Srimad_Bhagavatam/Canto-07/SP_SB_7-12-01_Bombay_1976-04-12_I_Don%27t_Say_You%27re_a_Rascal.mp3</t>
  </si>
  <si>
    <t>SB-07-12-01_1976-04-12_SB-BOMBAY.MP3</t>
  </si>
  <si>
    <t>https://audio.iskcondesiretree.com/01_-_Srila_Prabhupada/01_-_Lectures/01_-_English/02_-_Month_wise/04_-_April/12/SB-07-12-01_1976-04-12_SB-BOMBAY.MP3</t>
  </si>
  <si>
    <t>SB_7-12-01_BOM_1976-04-12_I_Don%27t_Say_You%27re_a_Rascal.mp3</t>
  </si>
  <si>
    <t>https://audio.iskcondesiretree.com/01_-_Srila_Prabhupada/01_-_Lectures/01_-_English/02_-_Month_wise/04_-_April/12/SB_7-12-01_BOM_1976-04-12_I_Don%27t_Say_You%27re_a_Rascal.mp3</t>
  </si>
  <si>
    <t>Walk_1976-04-12_MW-BOMBAY.MP3</t>
  </si>
  <si>
    <t>https://audio.iskcondesiretree.com/01_-_Srila_Prabhupada/01_-_Lectures/01_-_English/02_-_Month_wise/04_-_April/12/Walk_1976-04-12_MW-BOMBAY.MP3</t>
  </si>
  <si>
    <t>SP_SB_7-12-02_Bombay_1976-04-13_Hippie_Population.mp3</t>
  </si>
  <si>
    <t>https://audio.iskcondesiretree.com/01_-_Srila_Prabhupada/01_-_Lectures/01_-_English/01_-_Topic_wise/Srimad_Bhagavatam/Canto-07/SP_SB_7-12-02_Bombay_1976-04-13_Hippie_Population.mp3</t>
  </si>
  <si>
    <t>SB-07-12-02_1976-04-13_SB-BOMBAY.MP3</t>
  </si>
  <si>
    <t>https://audio.iskcondesiretree.com/01_-_Srila_Prabhupada/01_-_Lectures/01_-_English/02_-_Month_wise/04_-_April/13/SB-07-12-02_1976-04-13_SB-BOMBAY.MP3</t>
  </si>
  <si>
    <t>SB_7-12-02_BOM_1976-04-13_Hippie_Population.mp3</t>
  </si>
  <si>
    <t>https://audio.iskcondesiretree.com/01_-_Srila_Prabhupada/01_-_Lectures/01_-_English/02_-_Month_wise/04_-_April/13/SB_7-12-02_BOM_1976-04-13_Hippie_Population.mp3</t>
  </si>
  <si>
    <t>Walk_1976-04-13_MW-BOMBAY.MP3</t>
  </si>
  <si>
    <t>https://audio.iskcondesiretree.com/01_-_Srila_Prabhupada/01_-_Lectures/01_-_English/02_-_Month_wise/04_-_April/13/Walk_1976-04-13_MW-BOMBAY.MP3</t>
  </si>
  <si>
    <t>SP_Morning_Walk_-_Bombay_1976-04-14_Don%27t_Give_Your_Vote_to_the_Rogues.mp3</t>
  </si>
  <si>
    <t>https://audio.iskcondesiretree.com/01_-_Srila_Prabhupada/01_-_Lectures/01_-_English/01_-_Topic_wise/Morning_Walk/SP_Morning_Walk_-_Bombay_1976-04-14_Don%27t_Give_Your_Vote_to_the_Rogues.mp3</t>
  </si>
  <si>
    <t>SP_SB_7-12-03_Bombay_1976-04-14_Sex_Life-Spiritual_Life.mp3</t>
  </si>
  <si>
    <t>https://audio.iskcondesiretree.com/01_-_Srila_Prabhupada/01_-_Lectures/01_-_English/01_-_Topic_wise/Srimad_Bhagavatam/Canto-07/SP_SB_7-12-03_Bombay_1976-04-14_Sex_Life-Spiritual_Life.mp3</t>
  </si>
  <si>
    <t>Conv_1976-04-14-R1-BOMBAY.MP3</t>
  </si>
  <si>
    <t>https://audio.iskcondesiretree.com/01_-_Srila_Prabhupada/01_-_Lectures/01_-_English/02_-_Month_wise/04_-_April/14/Conv_1976-04-14-R1-BOMBAY.MP3</t>
  </si>
  <si>
    <t>MW_BOM_1976-04-14_Don%27t_Give_Your_Vote_to_the_Rogues.mp3</t>
  </si>
  <si>
    <t>https://audio.iskcondesiretree.com/01_-_Srila_Prabhupada/01_-_Lectures/01_-_English/02_-_Month_wise/04_-_April/14/MW_BOM_1976-04-14_Don%27t_Give_Your_Vote_to_the_Rogues.mp3</t>
  </si>
  <si>
    <t>SB-07-12-03_1976-04-14_SB-BOMBAY.MP3</t>
  </si>
  <si>
    <t>https://audio.iskcondesiretree.com/01_-_Srila_Prabhupada/01_-_Lectures/01_-_English/02_-_Month_wise/04_-_April/14/SB-07-12-03_1976-04-14_SB-BOMBAY.MP3</t>
  </si>
  <si>
    <t>SB_7-12-03_BOM_1976-04-14_Sex_Life-Spiritual_Life.mp3</t>
  </si>
  <si>
    <t>https://audio.iskcondesiretree.com/01_-_Srila_Prabhupada/01_-_Lectures/01_-_English/02_-_Month_wise/04_-_April/14/SB_7-12-03_BOM_1976-04-14_Sex_Life-Spiritual_Life.mp3</t>
  </si>
  <si>
    <t>Walk_1976-04-14_MW-BOMBAY.MP3</t>
  </si>
  <si>
    <t>https://audio.iskcondesiretree.com/01_-_Srila_Prabhupada/01_-_Lectures/01_-_English/02_-_Month_wise/04_-_April/14/Walk_1976-04-14_MW-BOMBAY.MP3</t>
  </si>
  <si>
    <t>SP_Morning_Walk_-_Bombay_1976-04-15_A_Child_Can_Do_this_Preaching_Work.mp3</t>
  </si>
  <si>
    <t>https://audio.iskcondesiretree.com/01_-_Srila_Prabhupada/01_-_Lectures/01_-_English/01_-_Topic_wise/Morning_Walk/SP_Morning_Walk_-_Bombay_1976-04-15_A_Child_Can_Do_this_Preaching_Work.mp3</t>
  </si>
  <si>
    <t>SP_SB_7-12-04_Bombay_1976-04-15_Shortcut_Your_Necessities.mp3</t>
  </si>
  <si>
    <t>https://audio.iskcondesiretree.com/01_-_Srila_Prabhupada/01_-_Lectures/01_-_English/01_-_Topic_wise/Srimad_Bhagavatam/Canto-07/SP_SB_7-12-04_Bombay_1976-04-15_Shortcut_Your_Necessities.mp3</t>
  </si>
  <si>
    <t>MW_BOM_1976-04-15_A_Child_Can_Do_this_Preaching_Work.mp3</t>
  </si>
  <si>
    <t>https://audio.iskcondesiretree.com/01_-_Srila_Prabhupada/01_-_Lectures/01_-_English/02_-_Month_wise/04_-_April/15/MW_BOM_1976-04-15_A_Child_Can_Do_this_Preaching_Work.mp3</t>
  </si>
  <si>
    <t>SB-07-12-04_1976-04-15_SB-BOMBAY.MP3</t>
  </si>
  <si>
    <t>https://audio.iskcondesiretree.com/01_-_Srila_Prabhupada/01_-_Lectures/01_-_English/02_-_Month_wise/04_-_April/15/SB-07-12-04_1976-04-15_SB-BOMBAY.MP3</t>
  </si>
  <si>
    <t>SB_7-12-04_BOM_1976-04-15_Shortcut_Your_Necessities.mp3</t>
  </si>
  <si>
    <t>https://audio.iskcondesiretree.com/01_-_Srila_Prabhupada/01_-_Lectures/01_-_English/02_-_Month_wise/04_-_April/15/SB_7-12-04_BOM_1976-04-15_Shortcut_Your_Necessities.mp3</t>
  </si>
  <si>
    <t>Walk_1976-04-15_MW-BOMBAY.MP3</t>
  </si>
  <si>
    <t>https://audio.iskcondesiretree.com/01_-_Srila_Prabhupada/01_-_Lectures/01_-_English/02_-_Month_wise/04_-_April/15/Walk_1976-04-15_MW-BOMBAY.MP3</t>
  </si>
  <si>
    <t>SP_SB_7-12-05_Bombay_1976-04-16_Our_Main_Principle-Chant.mp3</t>
  </si>
  <si>
    <t>https://audio.iskcondesiretree.com/01_-_Srila_Prabhupada/01_-_Lectures/01_-_English/01_-_Topic_wise/Srimad_Bhagavatam/Canto-07/SP_SB_7-12-05_Bombay_1976-04-16_Our_Main_Principle-Chant.mp3</t>
  </si>
  <si>
    <t>SB-07-12-05_1976-04-16_SB-BOMBAY.MP3</t>
  </si>
  <si>
    <t>https://audio.iskcondesiretree.com/01_-_Srila_Prabhupada/01_-_Lectures/01_-_English/02_-_Month_wise/04_-_April/16/SB-07-12-05_1976-04-16_SB-BOMBAY.MP3</t>
  </si>
  <si>
    <t>SB_7-12-05_BOM_1976-04-16_Our_Main_Principle-Chant.mp3</t>
  </si>
  <si>
    <t>https://audio.iskcondesiretree.com/01_-_Srila_Prabhupada/01_-_Lectures/01_-_English/02_-_Month_wise/04_-_April/16/SB_7-12-05_BOM_1976-04-16_Our_Main_Principle-Chant.mp3</t>
  </si>
  <si>
    <t>Walk_1976-04-16_MW-BOMBAY.MP3</t>
  </si>
  <si>
    <t>https://audio.iskcondesiretree.com/01_-_Srila_Prabhupada/01_-_Lectures/01_-_English/02_-_Month_wise/04_-_April/16/Walk_1976-04-16_MW-BOMBAY.MP3</t>
  </si>
  <si>
    <t>SP_Morning_Walk_-_Bombay_1976-04-17_How_to_Use_This_Body.mp3</t>
  </si>
  <si>
    <t>https://audio.iskcondesiretree.com/01_-_Srila_Prabhupada/01_-_Lectures/01_-_English/01_-_Topic_wise/Morning_Walk/SP_Morning_Walk_-_Bombay_1976-04-17_How_to_Use_This_Body.mp3</t>
  </si>
  <si>
    <t>SP_SB_7-12-06_Bombay_1976-04-17_Know_Everything_of_Something.mp3</t>
  </si>
  <si>
    <t>https://audio.iskcondesiretree.com/01_-_Srila_Prabhupada/01_-_Lectures/01_-_English/01_-_Topic_wise/Srimad_Bhagavatam/Canto-07/SP_SB_7-12-06_Bombay_1976-04-17_Know_Everything_of_Something.mp3</t>
  </si>
  <si>
    <t>Conv_1976-04-17_R1-BOMBAY.MP3</t>
  </si>
  <si>
    <t>https://audio.iskcondesiretree.com/01_-_Srila_Prabhupada/01_-_Lectures/01_-_English/02_-_Month_wise/04_-_April/17/Conv_1976-04-17_R1-BOMBAY.MP3</t>
  </si>
  <si>
    <t>MW_BOM_1976-04-17_How_to_Use_This_Body.mp3</t>
  </si>
  <si>
    <t>https://audio.iskcondesiretree.com/01_-_Srila_Prabhupada/01_-_Lectures/01_-_English/02_-_Month_wise/04_-_April/17/MW_BOM_1976-04-17_How_to_Use_This_Body.mp3</t>
  </si>
  <si>
    <t>SB-07-12-06_1976-04-17_SB-BOMBAY.MP3</t>
  </si>
  <si>
    <t>https://audio.iskcondesiretree.com/01_-_Srila_Prabhupada/01_-_Lectures/01_-_English/02_-_Month_wise/04_-_April/17/SB-07-12-06_1976-04-17_SB-BOMBAY.MP3</t>
  </si>
  <si>
    <t>SB_7-12-06_BOM_1976-04-17_Know_Everything_of_Something.mp3</t>
  </si>
  <si>
    <t>https://audio.iskcondesiretree.com/01_-_Srila_Prabhupada/01_-_Lectures/01_-_English/02_-_Month_wise/04_-_April/17/SB_7-12-06_BOM_1976-04-17_Know_Everything_of_Something.mp3</t>
  </si>
  <si>
    <t>Walk_1976-04-17_MW-BOMBAY.MP3</t>
  </si>
  <si>
    <t>https://audio.iskcondesiretree.com/01_-_Srila_Prabhupada/01_-_Lectures/01_-_English/02_-_Month_wise/04_-_April/17/Walk_1976-04-17_MW-BOMBAY.MP3</t>
  </si>
  <si>
    <t>SP_Arrival_Melbourne_1976-04-19_Meaning_of_God.mp3</t>
  </si>
  <si>
    <t>https://audio.iskcondesiretree.com/01_-_Srila_Prabhupada/01_-_Lectures/01_-_English/01_-_Topic_wise/Arrival_Address/SP_Arrival_Melbourne_1976-04-19_Meaning_of_God.mp3</t>
  </si>
  <si>
    <t>SP_BG_09-01_Melbourne_1976-04-19_Craft_vs._Knowledge.mp3</t>
  </si>
  <si>
    <t>https://audio.iskcondesiretree.com/01_-_Srila_Prabhupada/01_-_Lectures/01_-_English/01_-_Topic_wise/Bhagavad_Gita/Chapter-09/SP_BG_09-01_Melbourne_1976-04-19_Craft_vs._Knowledge.mp3</t>
  </si>
  <si>
    <t>Arr_MEL_1976-04-19_Meaning_of_God.mp3</t>
  </si>
  <si>
    <t>https://audio.iskcondesiretree.com/01_-_Srila_Prabhupada/01_-_Lectures/01_-_English/02_-_Month_wise/04_-_April/19/Arr_MEL_1976-04-19_Meaning_of_God.mp3</t>
  </si>
  <si>
    <t>Arrival_1976-04-19_AR-MELBOURNE.MP3</t>
  </si>
  <si>
    <t>https://audio.iskcondesiretree.com/01_-_Srila_Prabhupada/01_-_Lectures/01_-_English/02_-_Month_wise/04_-_April/19/Arrival_1976-04-19_AR-MELBOURNE.MP3</t>
  </si>
  <si>
    <t>Bg-09-01_1976-04-19_BG-MELBOURNE.MP3</t>
  </si>
  <si>
    <t>https://audio.iskcondesiretree.com/01_-_Srila_Prabhupada/01_-_Lectures/01_-_English/02_-_Month_wise/04_-_April/19/Bg-09-01_1976-04-19_BG-MELBOURNE.MP3</t>
  </si>
  <si>
    <t>Bg_09-01_MEL_1976-04-19_Craft_vs._Knowledge.mp3</t>
  </si>
  <si>
    <t>https://audio.iskcondesiretree.com/01_-_Srila_Prabhupada/01_-_Lectures/01_-_English/02_-_Month_wise/04_-_April/19/Bg_09-01_MEL_1976-04-19_Craft_vs._Knowledge.mp3</t>
  </si>
  <si>
    <t>SP_BG_09-02_Melbourne_1976-04-20_The_King_of_Knowledge.mp3</t>
  </si>
  <si>
    <t>https://audio.iskcondesiretree.com/01_-_Srila_Prabhupada/01_-_Lectures/01_-_English/01_-_Topic_wise/Bhagavad_Gita/Chapter-09/SP_BG_09-02_Melbourne_1976-04-20_The_King_of_Knowledge.mp3</t>
  </si>
  <si>
    <t>SP_Room_Conversation_Melbourne_1976-04-20_Who_Is_Within_the_Body.mp3</t>
  </si>
  <si>
    <t>https://audio.iskcondesiretree.com/01_-_Srila_Prabhupada/01_-_Lectures/01_-_English/01_-_Topic_wise/Room_Conversation/SP_Room_Conversation_Melbourne_1976-04-20_Who_Is_Within_the_Body.mp3</t>
  </si>
  <si>
    <t>Bg-09-02_1976-04-20_BG-MELBOURNE.MP3</t>
  </si>
  <si>
    <t>https://audio.iskcondesiretree.com/01_-_Srila_Prabhupada/01_-_Lectures/01_-_English/02_-_Month_wise/04_-_April/20/Bg-09-02_1976-04-20_BG-MELBOURNE.MP3</t>
  </si>
  <si>
    <t>Bg_09-02_MEL_1976-04-20_The_King_of_Knowledge.mp3</t>
  </si>
  <si>
    <t>https://audio.iskcondesiretree.com/01_-_Srila_Prabhupada/01_-_Lectures/01_-_English/02_-_Month_wise/04_-_April/20/Bg_09-02_MEL_1976-04-20_The_King_of_Knowledge.mp3</t>
  </si>
  <si>
    <t>Interview_1976-04-20_R1-MELBOURNE.MP3</t>
  </si>
  <si>
    <t>https://audio.iskcondesiretree.com/01_-_Srila_Prabhupada/01_-_Lectures/01_-_English/02_-_Month_wise/04_-_April/20/Interview_1976-04-20_R1-MELBOURNE.MP3</t>
  </si>
  <si>
    <t>Interview_1976-04-20_R2-MELBOURNE.MP3</t>
  </si>
  <si>
    <t>https://audio.iskcondesiretree.com/01_-_Srila_Prabhupada/01_-_Lectures/01_-_English/02_-_Month_wise/04_-_April/20/Interview_1976-04-20_R2-MELBOURNE.MP3</t>
  </si>
  <si>
    <t>RC_MEL_1976-04-20_Who_Is_Within_the_Body.mp3</t>
  </si>
  <si>
    <t>https://audio.iskcondesiretree.com/01_-_Srila_Prabhupada/01_-_Lectures/01_-_English/02_-_Month_wise/04_-_April/20/RC_MEL_1976-04-20_Who_Is_Within_the_Body.mp3</t>
  </si>
  <si>
    <t>SP_BG_09-03_Melbourne_1976-04-21_Serve_God_or_Serve_Dog.mp3</t>
  </si>
  <si>
    <t>https://audio.iskcondesiretree.com/01_-_Srila_Prabhupada/01_-_Lectures/01_-_English/01_-_Topic_wise/Bhagavad_Gita/Chapter-09/SP_BG_09-03_Melbourne_1976-04-21_Serve_God_or_Serve_Dog.mp3</t>
  </si>
  <si>
    <t>SP_Morning_Walk_-_Melbourne_1976-04-21_The_Philosophy_of_Cow_Dung.mp3</t>
  </si>
  <si>
    <t>https://audio.iskcondesiretree.com/01_-_Srila_Prabhupada/01_-_Lectures/01_-_English/01_-_Topic_wise/Morning_Walk/SP_Morning_Walk_-_Melbourne_1976-04-21_The_Philosophy_of_Cow_Dung.mp3</t>
  </si>
  <si>
    <t>Bg-09-03_1976-04-21_BG-MELBOURNE.MP3</t>
  </si>
  <si>
    <t>https://audio.iskcondesiretree.com/01_-_Srila_Prabhupada/01_-_Lectures/01_-_English/02_-_Month_wise/04_-_April/21/Bg-09-03_1976-04-21_BG-MELBOURNE.MP3</t>
  </si>
  <si>
    <t>Bg_09-03_MEL_1976-04-21_Serve_God_or_Serve_Dog.mp3</t>
  </si>
  <si>
    <t>https://audio.iskcondesiretree.com/01_-_Srila_Prabhupada/01_-_Lectures/01_-_English/02_-_Month_wise/04_-_April/21/Bg_09-03_MEL_1976-04-21_Serve_God_or_Serve_Dog.mp3</t>
  </si>
  <si>
    <t>MW_MEL_1976-04-21_The_Philosophy_of_Cow_Dung.mp3</t>
  </si>
  <si>
    <t>https://audio.iskcondesiretree.com/01_-_Srila_Prabhupada/01_-_Lectures/01_-_English/02_-_Month_wise/04_-_April/21/MW_MEL_1976-04-21_The_Philosophy_of_Cow_Dung.mp3</t>
  </si>
  <si>
    <t>Walk_1976-04-21_MW-MELBOURNE.MP3</t>
  </si>
  <si>
    <t>https://audio.iskcondesiretree.com/01_-_Srila_Prabhupada/01_-_Lectures/01_-_English/02_-_Month_wise/04_-_April/21/Walk_1976-04-21_MW-MELBOURNE.MP3</t>
  </si>
  <si>
    <t>SP_BG_09-04_Melbourne_1976-04-22_Civilized_Evolution.mp3</t>
  </si>
  <si>
    <t>https://audio.iskcondesiretree.com/01_-_Srila_Prabhupada/01_-_Lectures/01_-_English/01_-_Topic_wise/Bhagavad_Gita/Chapter-09/SP_BG_09-04_Melbourne_1976-04-22_Civilized_Evolution.mp3</t>
  </si>
  <si>
    <t>SP_Interview_Melbourne_1976-04-22_Press--First%2C_Understand_Your_Self.mp3</t>
  </si>
  <si>
    <t>https://audio.iskcondesiretree.com/01_-_Srila_Prabhupada/01_-_Lectures/01_-_English/01_-_Topic_wise/Interview/SP_Interview_Melbourne_1976-04-22_Press--First%2C_Understand_Your_Self.mp3</t>
  </si>
  <si>
    <t>Bg-09-04_1976-04-22_BG-MELBOURNE.MP3</t>
  </si>
  <si>
    <t>https://audio.iskcondesiretree.com/01_-_Srila_Prabhupada/01_-_Lectures/01_-_English/02_-_Month_wise/04_-_April/22/Bg-09-04_1976-04-22_BG-MELBOURNE.MP3</t>
  </si>
  <si>
    <t>Bg_09-04_MEL_1976-04-22_Civilized_Evolution.mp3</t>
  </si>
  <si>
    <t>https://audio.iskcondesiretree.com/01_-_Srila_Prabhupada/01_-_Lectures/01_-_English/02_-_Month_wise/04_-_April/22/Bg_09-04_MEL_1976-04-22_Civilized_Evolution.mp3</t>
  </si>
  <si>
    <t>Conv_1976-04-22_R1-MELBOURNE.MP3</t>
  </si>
  <si>
    <t>https://audio.iskcondesiretree.com/01_-_Srila_Prabhupada/01_-_Lectures/01_-_English/02_-_Month_wise/04_-_April/22/Conv_1976-04-22_R1-MELBOURNE.MP3</t>
  </si>
  <si>
    <t>Conv_1976-04-22_R2-MELBOURNE.MP3</t>
  </si>
  <si>
    <t>https://audio.iskcondesiretree.com/01_-_Srila_Prabhupada/01_-_Lectures/01_-_English/02_-_Month_wise/04_-_April/22/Conv_1976-04-22_R2-MELBOURNE.MP3</t>
  </si>
  <si>
    <t>Conv_1976-04-22_R3-MELBOURNE.MP3</t>
  </si>
  <si>
    <t>https://audio.iskcondesiretree.com/01_-_Srila_Prabhupada/01_-_Lectures/01_-_English/02_-_Month_wise/04_-_April/22/Conv_1976-04-22_R3-MELBOURNE.MP3</t>
  </si>
  <si>
    <t>Interv_MEL_1976-04-22_Press-First_Understand_Your_Self.mp3</t>
  </si>
  <si>
    <t>https://audio.iskcondesiretree.com/01_-_Srila_Prabhupada/01_-_Lectures/01_-_English/02_-_Month_wise/04_-_April/22/Interv_MEL_1976-04-22_Press-First_Understand_Your_Self.mp3</t>
  </si>
  <si>
    <t>SP_BG_09-04_Melbourne_1976-04-23_God_Is_There_and_Everywhere.mp3</t>
  </si>
  <si>
    <t>https://audio.iskcondesiretree.com/01_-_Srila_Prabhupada/01_-_Lectures/01_-_English/01_-_Topic_wise/Bhagavad_Gita/Chapter-09/SP_BG_09-04_Melbourne_1976-04-23_God_Is_There_and_Everywhere.mp3</t>
  </si>
  <si>
    <t>SP_Room_Conversation_Melbourne_1976-04-23_Cleanse_the_Core_of_the_Heart.mp3</t>
  </si>
  <si>
    <t>https://audio.iskcondesiretree.com/01_-_Srila_Prabhupada/01_-_Lectures/01_-_English/01_-_Topic_wise/Room_Conversation/SP_Room_Conversation_Melbourne_1976-04-23_Cleanse_the_Core_of_the_Heart.mp3</t>
  </si>
  <si>
    <t>Bg-09-04_1976-04-23_BG-MELBOURNE.MP3</t>
  </si>
  <si>
    <t>https://audio.iskcondesiretree.com/01_-_Srila_Prabhupada/01_-_Lectures/01_-_English/02_-_Month_wise/04_-_April/23/Bg-09-04_1976-04-23_BG-MELBOURNE.MP3</t>
  </si>
  <si>
    <t>Bg_09-04_MEL_1976-04-23_God_Is_There_and_Everywhere.mp3</t>
  </si>
  <si>
    <t>https://audio.iskcondesiretree.com/01_-_Srila_Prabhupada/01_-_Lectures/01_-_English/02_-_Month_wise/04_-_April/23/Bg_09-04_MEL_1976-04-23_God_Is_There_and_Everywhere.mp3</t>
  </si>
  <si>
    <t>Conv_1976-04-23_R1-MELBOURNE.MP3</t>
  </si>
  <si>
    <t>https://audio.iskcondesiretree.com/01_-_Srila_Prabhupada/01_-_Lectures/01_-_English/02_-_Month_wise/04_-_April/23/Conv_1976-04-23_R1-MELBOURNE.MP3</t>
  </si>
  <si>
    <t>Conv_1976-04-23_R2-MELBOURNE.MP3</t>
  </si>
  <si>
    <t>https://audio.iskcondesiretree.com/01_-_Srila_Prabhupada/01_-_Lectures/01_-_English/02_-_Month_wise/04_-_April/23/Conv_1976-04-23_R2-MELBOURNE.MP3</t>
  </si>
  <si>
    <t>Initiations_1976-04-23_IN-MELBOURNE.MP3</t>
  </si>
  <si>
    <t>https://audio.iskcondesiretree.com/01_-_Srila_Prabhupada/01_-_Lectures/01_-_English/02_-_Month_wise/04_-_April/23/Initiations_1976-04-23_IN-MELBOURNE.MP3</t>
  </si>
  <si>
    <t>RC_MEL_1976-04-23_Cleanse_the_Core_of_the_Heart.mp3</t>
  </si>
  <si>
    <t>https://audio.iskcondesiretree.com/01_-_Srila_Prabhupada/01_-_Lectures/01_-_English/02_-_Month_wise/04_-_April/23/RC_MEL_1976-04-23_Cleanse_the_Core_of_the_Heart.mp3</t>
  </si>
  <si>
    <t>SP_BG_09-05_Melbourne_1976-04-24_Material_World-Spiritual_World.mp3</t>
  </si>
  <si>
    <t>https://audio.iskcondesiretree.com/01_-_Srila_Prabhupada/01_-_Lectures/01_-_English/01_-_Topic_wise/Bhagavad_Gita/Chapter-09/SP_BG_09-05_Melbourne_1976-04-24_Material_World-Spiritual_World.mp3</t>
  </si>
  <si>
    <t>SP_Morning_Walk_-_Melbourne_1976-04-24_Happy_Suffering.mp3</t>
  </si>
  <si>
    <t>https://audio.iskcondesiretree.com/01_-_Srila_Prabhupada/01_-_Lectures/01_-_English/01_-_Topic_wise/Morning_Walk/SP_Morning_Walk_-_Melbourne_1976-04-24_Happy_Suffering.mp3</t>
  </si>
  <si>
    <t>Bg-09-05_1976-04-24-BG-MELBOURNE.MP3</t>
  </si>
  <si>
    <t>https://audio.iskcondesiretree.com/01_-_Srila_Prabhupada/01_-_Lectures/01_-_English/02_-_Month_wise/04_-_April/24/Bg-09-05_1976-04-24-BG-MELBOURNE.MP3</t>
  </si>
  <si>
    <t>Bg_09-05_MEL_1976-04-24_Material_World-Spiritual_World.mp3</t>
  </si>
  <si>
    <t>https://audio.iskcondesiretree.com/01_-_Srila_Prabhupada/01_-_Lectures/01_-_English/02_-_Month_wise/04_-_April/24/Bg_09-05_MEL_1976-04-24_Material_World-Spiritual_World.mp3</t>
  </si>
  <si>
    <t>MW_MEL_1976-04-24_Happy_Suffering.mp3</t>
  </si>
  <si>
    <t>https://audio.iskcondesiretree.com/01_-_Srila_Prabhupada/01_-_Lectures/01_-_English/02_-_Month_wise/04_-_April/24/MW_MEL_1976-04-24_Happy_Suffering.mp3</t>
  </si>
  <si>
    <t>Walk_1976-04-24_MW-MELBOURNE.MP3</t>
  </si>
  <si>
    <t>https://audio.iskcondesiretree.com/01_-_Srila_Prabhupada/01_-_Lectures/01_-_English/02_-_Month_wise/04_-_April/24/Walk_1976-04-24_MW-MELBOURNE.MP3</t>
  </si>
  <si>
    <t>SP_BG_09-10_Melbourne_1976-04-26_Destination-Lord_of_Destiny.mp3</t>
  </si>
  <si>
    <t>https://audio.iskcondesiretree.com/01_-_Srila_Prabhupada/01_-_Lectures/01_-_English/01_-_Topic_wise/Bhagavad_Gita/Chapter-09/SP_BG_09-10_Melbourne_1976-04-26_Destination-Lord_of_Destiny.mp3</t>
  </si>
  <si>
    <t>SP_Morning_Walk_-_Melbourne_1976-04-26_Krishna_Anxiety.mp3</t>
  </si>
  <si>
    <t>https://audio.iskcondesiretree.com/01_-_Srila_Prabhupada/01_-_Lectures/01_-_English/01_-_Topic_wise/Morning_Walk/SP_Morning_Walk_-_Melbourne_1976-04-26_Krishna_Anxiety.mp3</t>
  </si>
  <si>
    <t>Bg-09-10_1976-04-26_BG-MELBOURNE.MP3</t>
  </si>
  <si>
    <t>https://audio.iskcondesiretree.com/01_-_Srila_Prabhupada/01_-_Lectures/01_-_English/02_-_Month_wise/04_-_April/26/Bg-09-10_1976-04-26_BG-MELBOURNE.MP3</t>
  </si>
  <si>
    <t>Bg_09-10_MEL_1976-04-26_Destination-Lord_of_Destiny.mp3</t>
  </si>
  <si>
    <t>https://audio.iskcondesiretree.com/01_-_Srila_Prabhupada/01_-_Lectures/01_-_English/02_-_Month_wise/04_-_April/26/Bg_09-10_MEL_1976-04-26_Destination-Lord_of_Destiny.mp3</t>
  </si>
  <si>
    <t>MW_MEL_1976-04-26_Krishna_Anxiety.mp3</t>
  </si>
  <si>
    <t>https://audio.iskcondesiretree.com/01_-_Srila_Prabhupada/01_-_Lectures/01_-_English/02_-_Month_wise/04_-_April/26/MW_MEL_1976-04-26_Krishna_Anxiety.mp3</t>
  </si>
  <si>
    <t>Walk_1976-04-26_MW-MELBOURNE.MP3</t>
  </si>
  <si>
    <t>https://audio.iskcondesiretree.com/01_-_Srila_Prabhupada/01_-_Lectures/01_-_English/02_-_Month_wise/04_-_April/26/Walk_1976-04-26_MW-MELBOURNE.MP3</t>
  </si>
  <si>
    <t>SP_Address_Auckland_1976-04-27_Boat_Breeze_and_Captain.mp3</t>
  </si>
  <si>
    <t>https://audio.iskcondesiretree.com/01_-_Srila_Prabhupada/01_-_Lectures/01_-_English/01_-_Topic_wise/Arrival_Address/SP_Address_Auckland_1976-04-27_Boat_Breeze_and_Captain.mp3</t>
  </si>
  <si>
    <t>SP_Interview_Auckland_1976-04-27_Press--This_Religion_Is_Yours_Also.mp3</t>
  </si>
  <si>
    <t>https://audio.iskcondesiretree.com/01_-_Srila_Prabhupada/01_-_Lectures/01_-_English/01_-_Topic_wise/Interview/SP_Interview_Auckland_1976-04-27_Press--This_Religion_Is_Yours_Also.mp3</t>
  </si>
  <si>
    <t>SP_Room_Conversation_Auckland_1976-04-27_Wildcats_and_Special_Rascals.mp3</t>
  </si>
  <si>
    <t>https://audio.iskcondesiretree.com/01_-_Srila_Prabhupada/01_-_Lectures/01_-_English/01_-_Topic_wise/Room_Conversation/SP_Room_Conversation_Auckland_1976-04-27_Wildcats_and_Special_Rascals.mp3</t>
  </si>
  <si>
    <t>Arr_AUC_1976-04-27_Boat%2C_Breeze_and_Captain.mp3</t>
  </si>
  <si>
    <t>https://audio.iskcondesiretree.com/01_-_Srila_Prabhupada/01_-_Lectures/01_-_English/02_-_Month_wise/04_-_April/27/Arr_AUC_1976-04-27_Boat%2C_Breeze_and_Captain.mp3</t>
  </si>
  <si>
    <t>Arrival_1976-04-27_AR-AUCKLAND.MP3</t>
  </si>
  <si>
    <t>https://audio.iskcondesiretree.com/01_-_Srila_Prabhupada/01_-_Lectures/01_-_English/02_-_Month_wise/04_-_April/27/Arrival_1976-04-27_AR-AUCKLAND.MP3</t>
  </si>
  <si>
    <t>CcMadhya-20-098%E2%80%93102_1976-04-27_CC-AUCKLAND.MP3</t>
  </si>
  <si>
    <t>https://audio.iskcondesiretree.com/01_-_Srila_Prabhupada/01_-_Lectures/01_-_English/02_-_Month_wise/04_-_April/27/CcMadhya-20-098%E2%80%93102_1976-04-27_CC-AUCKLAND.MP3</t>
  </si>
  <si>
    <t>Conv_1976-04-27_R1-AUCKLAND.MP3</t>
  </si>
  <si>
    <t>https://audio.iskcondesiretree.com/01_-_Srila_Prabhupada/01_-_Lectures/01_-_English/02_-_Month_wise/04_-_April/27/Conv_1976-04-27_R1-AUCKLAND.MP3</t>
  </si>
  <si>
    <t>Interv_AUC_1976-04-27_Press--This_Religion_Is_Yours_Also.mp3</t>
  </si>
  <si>
    <t>https://audio.iskcondesiretree.com/01_-_Srila_Prabhupada/01_-_Lectures/01_-_English/02_-_Month_wise/04_-_April/27/Interv_AUC_1976-04-27_Press--This_Religion_Is_Yours_Also.mp3</t>
  </si>
  <si>
    <t>PressConf_1976-04-27_PC-AUCKLAND.MP3</t>
  </si>
  <si>
    <t>https://audio.iskcondesiretree.com/01_-_Srila_Prabhupada/01_-_Lectures/01_-_English/02_-_Month_wise/04_-_April/27/PressConf_1976-04-27_PC-AUCKLAND.MP3</t>
  </si>
  <si>
    <t>RC_AUC_1976-04-27_Wildcats_and_Special_Rascals.mp3</t>
  </si>
  <si>
    <t>https://audio.iskcondesiretree.com/01_-_Srila_Prabhupada/01_-_Lectures/01_-_English/02_-_Month_wise/04_-_April/27/RC_AUC_1976-04-27_Wildcats_and_Special_Rascals.mp3</t>
  </si>
  <si>
    <t>Conv_1976-04-30_R1-FIJI.MP3</t>
  </si>
  <si>
    <t>https://audio.iskcondesiretree.com/01_-_Srila_Prabhupada/01_-_Lectures/01_-_English/02_-_Month_wise/04_-_April/30/Conv_1976-04-30_R1-FIJI.MP3</t>
  </si>
  <si>
    <t>SP_Room_Conversation_Fiji_1976-05-01_President_Big-Pig.mp3</t>
  </si>
  <si>
    <t>https://audio.iskcondesiretree.com/01_-_Srila_Prabhupada/01_-_Lectures/01_-_English/01_-_Topic_wise/Room_Conversation/SP_Room_Conversation_Fiji_1976-05-01_President_Big-Pig.mp3</t>
  </si>
  <si>
    <t>Conv_1976-05-01_R1-FIJI.MP3</t>
  </si>
  <si>
    <t>https://audio.iskcondesiretree.com/01_-_Srila_Prabhupada/01_-_Lectures/01_-_English/02_-_Month_wise/05_-_May/01/Conv_1976-05-01_R1-FIJI.MP3</t>
  </si>
  <si>
    <t>RC_FIJ_1976-05-01_President_Big_Pig.mp3</t>
  </si>
  <si>
    <t>https://audio.iskcondesiretree.com/01_-_Srila_Prabhupada/01_-_Lectures/01_-_English/02_-_Month_wise/05_-_May/01/RC_FIJ_1976-05-01_President_Big_Pig.mp3</t>
  </si>
  <si>
    <t>SP_Festivals_Fiji_1976-05-02_Deity_Installation_Enjoy--etc.mp3</t>
  </si>
  <si>
    <t>https://audio.iskcondesiretree.com/01_-_Srila_Prabhupada/01_-_Lectures/01_-_English/01_-_Topic_wise/Festivals/SP_Festivals_Fiji_1976-05-02_Deity_Installation_Enjoy--etc.mp3</t>
  </si>
  <si>
    <t>Conv_1976-05-02_R1-FIJI.MP3</t>
  </si>
  <si>
    <t>https://audio.iskcondesiretree.com/01_-_Srila_Prabhupada/01_-_Lectures/01_-_English/02_-_Month_wise/05_-_May/02/Conv_1976-05-02_R1-FIJI.MP3</t>
  </si>
  <si>
    <t>DeityInstall_1976-05-02_DI-FIJI.MP3</t>
  </si>
  <si>
    <t>https://audio.iskcondesiretree.com/01_-_Srila_Prabhupada/01_-_Lectures/01_-_English/02_-_Month_wise/05_-_May/02/DeityInstall_1976-05-02_DI-FIJI.MP3</t>
  </si>
  <si>
    <t>Fest_FIJ_1976-05-02_Deity_Installation_Enjoy_etc.mp3</t>
  </si>
  <si>
    <t>https://audio.iskcondesiretree.com/01_-_Srila_Prabhupada/01_-_Lectures/01_-_English/02_-_Month_wise/05_-_May/02/Fest_FIJ_1976-05-02_Deity_Installation_Enjoy_etc.mp3</t>
  </si>
  <si>
    <t>SP_Room_Conversation_Honolulu_1976-05-03_Making_Common_Cause_for_Krishna.mp3</t>
  </si>
  <si>
    <t>https://audio.iskcondesiretree.com/01_-_Srila_Prabhupada/01_-_Lectures/01_-_English/01_-_Topic_wise/Room_Conversation/SP_Room_Conversation_Honolulu_1976-05-03_Making_Common_Cause_for_Krishna.mp3</t>
  </si>
  <si>
    <t>Arrival_1976-05-03_AR-HONOLULU.MP3</t>
  </si>
  <si>
    <t>https://audio.iskcondesiretree.com/01_-_Srila_Prabhupada/01_-_Lectures/01_-_English/02_-_Month_wise/05_-_May/03/Arrival_1976-05-03_AR-HONOLULU.MP3</t>
  </si>
  <si>
    <t>Conv_1976-05-03_R1-FIJI.MP3</t>
  </si>
  <si>
    <t>https://audio.iskcondesiretree.com/01_-_Srila_Prabhupada/01_-_Lectures/01_-_English/02_-_Month_wise/05_-_May/03/Conv_1976-05-03_R1-FIJI.MP3</t>
  </si>
  <si>
    <t>Conv_1976-05-03_R1-HONOLULU.MP3</t>
  </si>
  <si>
    <t>https://audio.iskcondesiretree.com/01_-_Srila_Prabhupada/01_-_Lectures/01_-_English/02_-_Month_wise/05_-_May/03/Conv_1976-05-03_R1-HONOLULU.MP3</t>
  </si>
  <si>
    <t>RC_HON_1976-05-03_Making_Common_Cause_for_Krishna.mp3</t>
  </si>
  <si>
    <t>https://audio.iskcondesiretree.com/01_-_Srila_Prabhupada/01_-_Lectures/01_-_English/02_-_Month_wise/05_-_May/03/RC_HON_1976-05-03_Making_Common_Cause_for_Krishna.mp3</t>
  </si>
  <si>
    <t>Walk_1976-05-03_MW-FIJI.MP3</t>
  </si>
  <si>
    <t>https://audio.iskcondesiretree.com/01_-_Srila_Prabhupada/01_-_Lectures/01_-_English/02_-_Month_wise/05_-_May/03/Walk_1976-05-03_MW-FIJI.MP3</t>
  </si>
  <si>
    <t>SP_Room_Conversation_Honolulu_1976-05-04_That_Rascal-Mao_Tse-Tung.mp3</t>
  </si>
  <si>
    <t>https://audio.iskcondesiretree.com/01_-_Srila_Prabhupada/01_-_Lectures/01_-_English/01_-_Topic_wise/Room_Conversation/SP_Room_Conversation_Honolulu_1976-05-04_That_Rascal-Mao_Tse-Tung.mp3</t>
  </si>
  <si>
    <t>Conv_1976-05-04_R1-HONOLULU.MP3</t>
  </si>
  <si>
    <t>https://audio.iskcondesiretree.com/01_-_Srila_Prabhupada/01_-_Lectures/01_-_English/02_-_Month_wise/05_-_May/04/Conv_1976-05-04_R1-HONOLULU.MP3</t>
  </si>
  <si>
    <t>RC_HON_1976-05-04_That_Rascal_Mao_Tse_Tung.mp3</t>
  </si>
  <si>
    <t>https://audio.iskcondesiretree.com/01_-_Srila_Prabhupada/01_-_Lectures/01_-_English/02_-_Month_wise/05_-_May/04/RC_HON_1976-05-04_That_Rascal_Mao_Tse_Tung.mp3</t>
  </si>
  <si>
    <t>Conv_1976-05-05_R1-HONOLULU.MP3</t>
  </si>
  <si>
    <t>https://audio.iskcondesiretree.com/01_-_Srila_Prabhupada/01_-_Lectures/01_-_English/02_-_Month_wise/05_-_May/05/Conv_1976-05-05_R1-HONOLULU.MP3</t>
  </si>
  <si>
    <t>SB-06-01-01_1976-05-05_SB-HONOLULU.MP3</t>
  </si>
  <si>
    <t>https://audio.iskcondesiretree.com/01_-_Srila_Prabhupada/01_-_Lectures/01_-_English/02_-_Month_wise/05_-_May/05/SB-06-01-01_1976-05-05_SB-HONOLULU.MP3</t>
  </si>
  <si>
    <t>SP_SB_6-01-02_Honolulu_1976-05-06_Know_Krishna...or_New_Orleans_Way_Out.mp3</t>
  </si>
  <si>
    <t>https://audio.iskcondesiretree.com/01_-_Srila_Prabhupada/01_-_Lectures/01_-_English/01_-_Topic_wise/Srimad_Bhagavatam/Canto-06/SP_SB_6-01-02_Honolulu_1976-05-06_Know_Krishna...or_New_Orleans_Way_Out.mp3</t>
  </si>
  <si>
    <t>Lecture_1976-05-06_LE-HONOLULU.MP3</t>
  </si>
  <si>
    <t>https://audio.iskcondesiretree.com/01_-_Srila_Prabhupada/01_-_Lectures/01_-_English/02_-_Month_wise/05_-_May/06/Lecture_1976-05-06_LE-HONOLULU.MP3</t>
  </si>
  <si>
    <t>SB-06-01-02_1976-05-06_SB-HONOLULU.MP3</t>
  </si>
  <si>
    <t>https://audio.iskcondesiretree.com/01_-_Srila_Prabhupada/01_-_Lectures/01_-_English/02_-_Month_wise/05_-_May/06/SB-06-01-02_1976-05-06_SB-HONOLULU.MP3</t>
  </si>
  <si>
    <t>SB_6-01-02_HON_1976-05-06_Know_Krishna...or_No_Way_Out.mp3</t>
  </si>
  <si>
    <t>https://audio.iskcondesiretree.com/01_-_Srila_Prabhupada/01_-_Lectures/01_-_English/02_-_Month_wise/05_-_May/06/SB_6-01-02_HON_1976-05-06_Know_Krishna...or_No_Way_Out.mp3</t>
  </si>
  <si>
    <t>SP_SB_6-01-06_Honolulu_1976-05-07_Saved_from_Severe_Punishment.mp3</t>
  </si>
  <si>
    <t>https://audio.iskcondesiretree.com/01_-_Srila_Prabhupada/01_-_Lectures/01_-_English/01_-_Topic_wise/Srimad_Bhagavatam/Canto-06/SP_SB_6-01-06_Honolulu_1976-05-07_Saved_from_Severe_Punishment.mp3</t>
  </si>
  <si>
    <t>Conv_1976-05-07_R1-HONOLULU.MP3</t>
  </si>
  <si>
    <t>https://audio.iskcondesiretree.com/01_-_Srila_Prabhupada/01_-_Lectures/01_-_English/02_-_Month_wise/05_-_May/07/Conv_1976-05-07_R1-HONOLULU.MP3</t>
  </si>
  <si>
    <t>SB-06-01-06_1976-05-07_SB-HONOLULU.MP3</t>
  </si>
  <si>
    <t>https://audio.iskcondesiretree.com/01_-_Srila_Prabhupada/01_-_Lectures/01_-_English/02_-_Month_wise/05_-_May/07/SB-06-01-06_1976-05-07_SB-HONOLULU.MP3</t>
  </si>
  <si>
    <t>SB_6-01-06_HON_1976-05-07_Saved_from_Severe_Punishment.mp3</t>
  </si>
  <si>
    <t>https://audio.iskcondesiretree.com/01_-_Srila_Prabhupada/01_-_Lectures/01_-_English/02_-_Month_wise/05_-_May/07/SB_6-01-06_HON_1976-05-07_Saved_from_Severe_Punishment.mp3</t>
  </si>
  <si>
    <t>SP_SB_6-01-07_Honolulu_1976-05-08_Why_Are_There_Varieties_of_Life.mp3</t>
  </si>
  <si>
    <t>https://audio.iskcondesiretree.com/01_-_Srila_Prabhupada/01_-_Lectures/01_-_English/01_-_Topic_wise/Srimad_Bhagavatam/Canto-06/SP_SB_6-01-07_Honolulu_1976-05-08_Why_Are_There_Varieties_of_Life.mp3</t>
  </si>
  <si>
    <t>SB-06-01-07_1976-05-08_SB-HONOLULU.MP3</t>
  </si>
  <si>
    <t>https://audio.iskcondesiretree.com/01_-_Srila_Prabhupada/01_-_Lectures/01_-_English/02_-_Month_wise/05_-_May/08/SB-06-01-07_1976-05-08_SB-HONOLULU.MP3</t>
  </si>
  <si>
    <t>SB_6-01-07_HON_1976-05-08_Why_Are_There_Varieties_of_Life.mp3</t>
  </si>
  <si>
    <t>https://audio.iskcondesiretree.com/01_-_Srila_Prabhupada/01_-_Lectures/01_-_English/02_-_Month_wise/05_-_May/08/SB_6-01-07_HON_1976-05-08_Why_Are_There_Varieties_of_Life.mp3</t>
  </si>
  <si>
    <t>SP_SB_6-01-08_Honolulu_1976-05-09_The_Only_Hope.mp3</t>
  </si>
  <si>
    <t>https://audio.iskcondesiretree.com/01_-_Srila_Prabhupada/01_-_Lectures/01_-_English/01_-_Topic_wise/Srimad_Bhagavatam/Canto-06/SP_SB_6-01-08_Honolulu_1976-05-09_The_Only_Hope.mp3</t>
  </si>
  <si>
    <t>SB-06-01-08_1976-05-09_SB-HONOLULU.MP3</t>
  </si>
  <si>
    <t>https://audio.iskcondesiretree.com/01_-_Srila_Prabhupada/01_-_Lectures/01_-_English/02_-_Month_wise/05_-_May/09/SB-06-01-08_1976-05-09_SB-HONOLULU.MP3</t>
  </si>
  <si>
    <t>SB_6-01-08_HON_1976-05-09_The_Only_Hope.mp3</t>
  </si>
  <si>
    <t>https://audio.iskcondesiretree.com/01_-_Srila_Prabhupada/01_-_Lectures/01_-_English/02_-_Month_wise/05_-_May/09/SB_6-01-08_HON_1976-05-09_The_Only_Hope.mp3</t>
  </si>
  <si>
    <t>SP_SB_6-01-09_Honolulu_1976-05-10_I_Don%27t_Wish_to_Die--Can_You_Help_Me.mp3</t>
  </si>
  <si>
    <t>https://audio.iskcondesiretree.com/01_-_Srila_Prabhupada/01_-_Lectures/01_-_English/01_-_Topic_wise/Srimad_Bhagavatam/Canto-06/SP_SB_6-01-09_Honolulu_1976-05-10_I_Don%27t_Wish_to_Die--Can_You_Help_Me.mp3</t>
  </si>
  <si>
    <t>SB-06-01-09_1976-05-10_SB-HONOLULU.MP3</t>
  </si>
  <si>
    <t>https://audio.iskcondesiretree.com/01_-_Srila_Prabhupada/01_-_Lectures/01_-_English/02_-_Month_wise/05_-_May/10/SB-06-01-09_1976-05-10_SB-HONOLULU.MP3</t>
  </si>
  <si>
    <t>SB_6-01-09_HON_1976-05-10_I_Don%27t_Wish_to_Die_Can_You_Help_Me.mp3</t>
  </si>
  <si>
    <t>https://audio.iskcondesiretree.com/01_-_Srila_Prabhupada/01_-_Lectures/01_-_English/02_-_Month_wise/05_-_May/10/SB_6-01-09_HON_1976-05-10_I_Don%27t_Wish_to_Die_Can_You_Help_Me.mp3</t>
  </si>
  <si>
    <t>SP_SB_6-01-10_Honolulu_1976-05-11_There_Is_New_Orleans_Culture_%26_Education.mp3</t>
  </si>
  <si>
    <t>https://audio.iskcondesiretree.com/01_-_Srila_Prabhupada/01_-_Lectures/01_-_English/01_-_Topic_wise/Srimad_Bhagavatam/Canto-06/SP_SB_6-01-10_Honolulu_1976-05-11_There_Is_New_Orleans_Culture_%26_Education.mp3</t>
  </si>
  <si>
    <t>Lecture_1976-05-11_LE-HONOLULU.MP3</t>
  </si>
  <si>
    <t>https://audio.iskcondesiretree.com/01_-_Srila_Prabhupada/01_-_Lectures/01_-_English/02_-_Month_wise/05_-_May/11/Lecture_1976-05-11_LE-HONOLULU.MP3</t>
  </si>
  <si>
    <t>SB-06-01-10_1976-05-11_SB-HONOLULU.MP3</t>
  </si>
  <si>
    <t>https://audio.iskcondesiretree.com/01_-_Srila_Prabhupada/01_-_Lectures/01_-_English/02_-_Month_wise/05_-_May/11/SB-06-01-10_1976-05-11_SB-HONOLULU.MP3</t>
  </si>
  <si>
    <t>SB_6-01-10_HON_1976-05-11_There_Is_No_Culture_%26_Education.mp3</t>
  </si>
  <si>
    <t>https://audio.iskcondesiretree.com/01_-_Srila_Prabhupada/01_-_Lectures/01_-_English/02_-_Month_wise/05_-_May/11/SB_6-01-10_HON_1976-05-11_There_Is_No_Culture_%26_Education.mp3</t>
  </si>
  <si>
    <t>SP_Morning_Walk_-_Honolulu_1976-05-12_Dance_Eat_and_Live_Eternally.mp3</t>
  </si>
  <si>
    <t>https://audio.iskcondesiretree.com/01_-_Srila_Prabhupada/01_-_Lectures/01_-_English/01_-_Topic_wise/Morning_Walk/SP_Morning_Walk_-_Honolulu_1976-05-12_Dance_Eat_and_Live_Eternally.mp3</t>
  </si>
  <si>
    <t>SP_SB_6-01-11_Honolulu_1976-05-12_Real_Reform_School.mp3</t>
  </si>
  <si>
    <t>https://audio.iskcondesiretree.com/01_-_Srila_Prabhupada/01_-_Lectures/01_-_English/01_-_Topic_wise/Srimad_Bhagavatam/Canto-06/SP_SB_6-01-11_Honolulu_1976-05-12_Real_Reform_School.mp3</t>
  </si>
  <si>
    <t>Conv_1976-05-12_R1-HONOLULU.MP3</t>
  </si>
  <si>
    <t>https://audio.iskcondesiretree.com/01_-_Srila_Prabhupada/01_-_Lectures/01_-_English/02_-_Month_wise/05_-_May/12/Conv_1976-05-12_R1-HONOLULU.MP3</t>
  </si>
  <si>
    <t>MW_HON_1976-05-12_Dance_Eat_and_Live_Eternally.mp3</t>
  </si>
  <si>
    <t>https://audio.iskcondesiretree.com/01_-_Srila_Prabhupada/01_-_Lectures/01_-_English/02_-_Month_wise/05_-_May/12/MW_HON_1976-05-12_Dance_Eat_and_Live_Eternally.mp3</t>
  </si>
  <si>
    <t>SB-06-01-11_1976-05-12_SB-HONOLULU.MP3</t>
  </si>
  <si>
    <t>https://audio.iskcondesiretree.com/01_-_Srila_Prabhupada/01_-_Lectures/01_-_English/02_-_Month_wise/05_-_May/12/SB-06-01-11_1976-05-12_SB-HONOLULU.MP3</t>
  </si>
  <si>
    <t>SB_6-01-11_HON_1976-05-12_Real_Reform_School.mp3</t>
  </si>
  <si>
    <t>https://audio.iskcondesiretree.com/01_-_Srila_Prabhupada/01_-_Lectures/01_-_English/02_-_Month_wise/05_-_May/12/SB_6-01-11_HON_1976-05-12_Real_Reform_School.mp3</t>
  </si>
  <si>
    <t>Walk_1976-05-12_MW-HONOLULU.MP3</t>
  </si>
  <si>
    <t>https://audio.iskcondesiretree.com/01_-_Srila_Prabhupada/01_-_Lectures/01_-_English/02_-_Month_wise/05_-_May/12/Walk_1976-05-12_MW-HONOLULU.MP3</t>
  </si>
  <si>
    <t>SP_SB_6-01-12_Honolulu_1976-05-13_How_Can_One_Become_Civilized.mp3</t>
  </si>
  <si>
    <t>https://audio.iskcondesiretree.com/01_-_Srila_Prabhupada/01_-_Lectures/01_-_English/01_-_Topic_wise/Srimad_Bhagavatam/Canto-06/SP_SB_6-01-12_Honolulu_1976-05-13_How_Can_One_Become_Civilized.mp3</t>
  </si>
  <si>
    <t>Conv_1976-05-13_R1-HONOLULU.MP3</t>
  </si>
  <si>
    <t>https://audio.iskcondesiretree.com/01_-_Srila_Prabhupada/01_-_Lectures/01_-_English/02_-_Month_wise/05_-_May/13/Conv_1976-05-13_R1-HONOLULU.MP3</t>
  </si>
  <si>
    <t>SB-06-01-12_1976-05-13_SB-HONOLULU.MP3</t>
  </si>
  <si>
    <t>https://audio.iskcondesiretree.com/01_-_Srila_Prabhupada/01_-_Lectures/01_-_English/02_-_Month_wise/05_-_May/13/SB-06-01-12_1976-05-13_SB-HONOLULU.MP3</t>
  </si>
  <si>
    <t>SB_6-01-12_HON_1976-05-13_How_Can_One_Become_Civilized.mp3</t>
  </si>
  <si>
    <t>https://audio.iskcondesiretree.com/01_-_Srila_Prabhupada/01_-_Lectures/01_-_English/02_-_Month_wise/05_-_May/13/SB_6-01-12_HON_1976-05-13_How_Can_One_Become_Civilized.mp3</t>
  </si>
  <si>
    <t>SP_SB_6-01-13-14_Honolulu_1976-05-14_Sex_and_the_Sober.MP3</t>
  </si>
  <si>
    <t>https://audio.iskcondesiretree.com/01_-_Srila_Prabhupada/01_-_Lectures/01_-_English/01_-_Topic_wise/Srimad_Bhagavatam/Canto-06/SP_SB_6-01-13-14_Honolulu_1976-05-14_Sex_and_the_Sober.MP3</t>
  </si>
  <si>
    <t>SP_SB_6-01-13%3D14_Honolulu_1976-05-14_Sex_and_the_Sober.mp3</t>
  </si>
  <si>
    <t>https://audio.iskcondesiretree.com/01_-_Srila_Prabhupada/01_-_Lectures/01_-_English/01_-_Topic_wise/Srimad_Bhagavatam/Canto-06/SP_SB_6-01-13%3D14_Honolulu_1976-05-14_Sex_and_the_Sober.mp3</t>
  </si>
  <si>
    <t>SB-06-01-12%E2%80%9314_1976-05-14_SB-HONOLULU.MP3</t>
  </si>
  <si>
    <t>https://audio.iskcondesiretree.com/01_-_Srila_Prabhupada/01_-_Lectures/01_-_English/02_-_Month_wise/05_-_May/14/SB-06-01-12%E2%80%9314_1976-05-14_SB-HONOLULU.MP3</t>
  </si>
  <si>
    <t>SB_6-01-13%3D14_HON_1976-05-14_Sex_and_the_Sober.mp3</t>
  </si>
  <si>
    <t>https://audio.iskcondesiretree.com/01_-_Srila_Prabhupada/01_-_Lectures/01_-_English/02_-_Month_wise/05_-_May/14/SB_6-01-13%3D14_HON_1976-05-14_Sex_and_the_Sober.mp3</t>
  </si>
  <si>
    <t>SP_Morning_Walk_-_Honolulu_1976-05-15_Christians_Don%27t_Accept_Christ.mp3</t>
  </si>
  <si>
    <t>https://audio.iskcondesiretree.com/01_-_Srila_Prabhupada/01_-_Lectures/01_-_English/01_-_Topic_wise/Morning_Walk/SP_Morning_Walk_-_Honolulu_1976-05-15_Christians_Don%27t_Accept_Christ.mp3</t>
  </si>
  <si>
    <t>Conv_1976-05-15_R1-HONOLULU.MP3</t>
  </si>
  <si>
    <t>https://audio.iskcondesiretree.com/01_-_Srila_Prabhupada/01_-_Lectures/01_-_English/02_-_Month_wise/05_-_May/15/Conv_1976-05-15_R1-HONOLULU.MP3</t>
  </si>
  <si>
    <t>MW_HON_1976-05-15_Christians_Don%27t_Accept_Christ.mp3</t>
  </si>
  <si>
    <t>https://audio.iskcondesiretree.com/01_-_Srila_Prabhupada/01_-_Lectures/01_-_English/02_-_Month_wise/05_-_May/15/MW_HON_1976-05-15_Christians_Don%27t_Accept_Christ.mp3</t>
  </si>
  <si>
    <t>SB-06-01-15_1976-05-15_SB-HONOLULU.MP3</t>
  </si>
  <si>
    <t>https://audio.iskcondesiretree.com/01_-_Srila_Prabhupada/01_-_Lectures/01_-_English/02_-_Month_wise/05_-_May/15/SB-06-01-15_1976-05-15_SB-HONOLULU.MP3</t>
  </si>
  <si>
    <t>Walk_1976-05-15_MW-HONOLULU.MP3</t>
  </si>
  <si>
    <t>https://audio.iskcondesiretree.com/01_-_Srila_Prabhupada/01_-_Lectures/01_-_English/02_-_Month_wise/05_-_May/15/Walk_1976-05-15_MW-HONOLULU.MP3</t>
  </si>
  <si>
    <t>SP_SB_6-01-16_Honolulu_1976-05-16_Mercy_of_the_Spiritual_Master.mp3</t>
  </si>
  <si>
    <t>https://audio.iskcondesiretree.com/01_-_Srila_Prabhupada/01_-_Lectures/01_-_English/01_-_Topic_wise/Srimad_Bhagavatam/Canto-06/SP_SB_6-01-16_Honolulu_1976-05-16_Mercy_of_the_Spiritual_Master.mp3</t>
  </si>
  <si>
    <t>SB-06-01-16_1976-05-16_SB-HONOLULU.MP3</t>
  </si>
  <si>
    <t>https://audio.iskcondesiretree.com/01_-_Srila_Prabhupada/01_-_Lectures/01_-_English/02_-_Month_wise/05_-_May/16/SB-06-01-16_1976-05-16_SB-HONOLULU.MP3</t>
  </si>
  <si>
    <t>SB_6-01-16_HON_1976-05-16_Mercy_of_the_Spiritual_Master.mp3</t>
  </si>
  <si>
    <t>https://audio.iskcondesiretree.com/01_-_Srila_Prabhupada/01_-_Lectures/01_-_English/02_-_Month_wise/05_-_May/16/SB_6-01-16_HON_1976-05-16_Mercy_of_the_Spiritual_Master.mp3</t>
  </si>
  <si>
    <t>Lecture_1976-05-17_LE-HONOLULU.MP3</t>
  </si>
  <si>
    <t>https://audio.iskcondesiretree.com/01_-_Srila_Prabhupada/01_-_Lectures/01_-_English/02_-_Month_wise/05_-_May/17/Lecture_1976-05-17_LE-HONOLULU.MP3</t>
  </si>
  <si>
    <t>SB-06-01-17_1976-05-17_SB-HONOLULU.MP3</t>
  </si>
  <si>
    <t>https://audio.iskcondesiretree.com/01_-_Srila_Prabhupada/01_-_Lectures/01_-_English/02_-_Month_wise/05_-_May/17/SB-06-01-17_1976-05-17_SB-HONOLULU.MP3</t>
  </si>
  <si>
    <t>SP_SB_6-01-18_Honolulu_1976-05-18_Everything_Here_Is_Punishment.mp3</t>
  </si>
  <si>
    <t>https://audio.iskcondesiretree.com/01_-_Srila_Prabhupada/01_-_Lectures/01_-_English/01_-_Topic_wise/Srimad_Bhagavatam/Canto-06/SP_SB_6-01-18_Honolulu_1976-05-18_Everything_Here_Is_Punishment.mp3</t>
  </si>
  <si>
    <t>Conv_1976-05-18_R1-HONOLULU.MP3</t>
  </si>
  <si>
    <t>https://audio.iskcondesiretree.com/01_-_Srila_Prabhupada/01_-_Lectures/01_-_English/02_-_Month_wise/05_-_May/18/Conv_1976-05-18_R1-HONOLULU.MP3</t>
  </si>
  <si>
    <t>Conv_1976-05-18_R2-HONOLULU.MP3</t>
  </si>
  <si>
    <t>https://audio.iskcondesiretree.com/01_-_Srila_Prabhupada/01_-_Lectures/01_-_English/02_-_Month_wise/05_-_May/18/Conv_1976-05-18_R2-HONOLULU.MP3</t>
  </si>
  <si>
    <t>SB-06-01-18_1976-05-18_SB-HONOLULU.MP3</t>
  </si>
  <si>
    <t>https://audio.iskcondesiretree.com/01_-_Srila_Prabhupada/01_-_Lectures/01_-_English/02_-_Month_wise/05_-_May/18/SB-06-01-18_1976-05-18_SB-HONOLULU.MP3</t>
  </si>
  <si>
    <t>SB_6-01-18_HON_1976-05-18_Everything_Here_Is_Punishment.mp3</t>
  </si>
  <si>
    <t>https://audio.iskcondesiretree.com/01_-_Srila_Prabhupada/01_-_Lectures/01_-_English/02_-_Month_wise/05_-_May/18/SB_6-01-18_HON_1976-05-18_Everything_Here_Is_Punishment.mp3</t>
  </si>
  <si>
    <t>SP_SB_6-01-19_Honolulu_1976-05-19_Barking_Like_a_Dog.mp3</t>
  </si>
  <si>
    <t>https://audio.iskcondesiretree.com/01_-_Srila_Prabhupada/01_-_Lectures/01_-_English/01_-_Topic_wise/Srimad_Bhagavatam/Canto-06/SP_SB_6-01-19_Honolulu_1976-05-19_Barking_Like_a_Dog.mp3</t>
  </si>
  <si>
    <t>Conv_1976-05-19_R1-HONOLULU.MP3</t>
  </si>
  <si>
    <t>https://audio.iskcondesiretree.com/01_-_Srila_Prabhupada/01_-_Lectures/01_-_English/02_-_Month_wise/05_-_May/19/Conv_1976-05-19_R1-HONOLULU.MP3</t>
  </si>
  <si>
    <t>SB-06-01-19_1976-05-19_SB-HONOLULU.MP3</t>
  </si>
  <si>
    <t>https://audio.iskcondesiretree.com/01_-_Srila_Prabhupada/01_-_Lectures/01_-_English/02_-_Month_wise/05_-_May/19/SB-06-01-19_1976-05-19_SB-HONOLULU.MP3</t>
  </si>
  <si>
    <t>SB_6-01-19_HON_1976-05-19_Barking_Like_a_Dog.mp3</t>
  </si>
  <si>
    <t>https://audio.iskcondesiretree.com/01_-_Srila_Prabhupada/01_-_Lectures/01_-_English/02_-_Month_wise/05_-_May/19/SB_6-01-19_HON_1976-05-19_Barking_Like_a_Dog.mp3</t>
  </si>
  <si>
    <t>SP_SB_6-01-20_Honolulu_1976-05-20_Wasting_Human_Form_of_Life.mp3</t>
  </si>
  <si>
    <t>https://audio.iskcondesiretree.com/01_-_Srila_Prabhupada/01_-_Lectures/01_-_English/01_-_Topic_wise/Srimad_Bhagavatam/Canto-06/SP_SB_6-01-20_Honolulu_1976-05-20_Wasting_Human_Form_of_Life.mp3</t>
  </si>
  <si>
    <t>Conv_1976-05-20_R1-HONOLULU.MP3</t>
  </si>
  <si>
    <t>https://audio.iskcondesiretree.com/01_-_Srila_Prabhupada/01_-_Lectures/01_-_English/02_-_Month_wise/05_-_May/20/Conv_1976-05-20_R1-HONOLULU.MP3</t>
  </si>
  <si>
    <t>Conv_1976-05-20_R2-HONOLULU.MP3</t>
  </si>
  <si>
    <t>https://audio.iskcondesiretree.com/01_-_Srila_Prabhupada/01_-_Lectures/01_-_English/02_-_Month_wise/05_-_May/20/Conv_1976-05-20_R2-HONOLULU.MP3</t>
  </si>
  <si>
    <t>SB-06-01-20_1976-05-20_SB-HONOLULU.MP3</t>
  </si>
  <si>
    <t>https://audio.iskcondesiretree.com/01_-_Srila_Prabhupada/01_-_Lectures/01_-_English/02_-_Month_wise/05_-_May/20/SB-06-01-20_1976-05-20_SB-HONOLULU.MP3</t>
  </si>
  <si>
    <t>SB_6-01-20_HON_1976-05-20_Wasting_Human_Form_of_Life.mp3</t>
  </si>
  <si>
    <t>https://audio.iskcondesiretree.com/01_-_Srila_Prabhupada/01_-_Lectures/01_-_English/02_-_Month_wise/05_-_May/20/SB_6-01-20_HON_1976-05-20_Wasting_Human_Form_of_Life.mp3</t>
  </si>
  <si>
    <t>SP_SB_6-01-21_Honolulu_1976-05-21_True_Guru.mp3</t>
  </si>
  <si>
    <t>https://audio.iskcondesiretree.com/01_-_Srila_Prabhupada/01_-_Lectures/01_-_English/01_-_Topic_wise/Srimad_Bhagavatam/Canto-06/SP_SB_6-01-21_Honolulu_1976-05-21_True_Guru.mp3</t>
  </si>
  <si>
    <t>Conv_1976-05-21_R1-HONOLULU.MP3</t>
  </si>
  <si>
    <t>https://audio.iskcondesiretree.com/01_-_Srila_Prabhupada/01_-_Lectures/01_-_English/02_-_Month_wise/05_-_May/21/Conv_1976-05-21_R1-HONOLULU.MP3</t>
  </si>
  <si>
    <t>SB-06-01-21_1976-05-21_SB-HONOLULU.MP3</t>
  </si>
  <si>
    <t>https://audio.iskcondesiretree.com/01_-_Srila_Prabhupada/01_-_Lectures/01_-_English/02_-_Month_wise/05_-_May/21/SB-06-01-21_1976-05-21_SB-HONOLULU.MP3</t>
  </si>
  <si>
    <t>SB_6-01-21_HON_1976-05-21_True_Guru.mp3</t>
  </si>
  <si>
    <t>https://audio.iskcondesiretree.com/01_-_Srila_Prabhupada/01_-_Lectures/01_-_English/02_-_Month_wise/05_-_May/21/SB_6-01-21_HON_1976-05-21_True_Guru.mp3</t>
  </si>
  <si>
    <t>SP_SB_6-01-22_Honolulu_1976-05-22_Dancing-dog_Guru_Will_Not_Help.mp3</t>
  </si>
  <si>
    <t>https://audio.iskcondesiretree.com/01_-_Srila_Prabhupada/01_-_Lectures/01_-_English/01_-_Topic_wise/Srimad_Bhagavatam/Canto-06/SP_SB_6-01-22_Honolulu_1976-05-22_Dancing-dog_Guru_Will_Not_Help.mp3</t>
  </si>
  <si>
    <t>SB-06-01-22_1976-05-22_SB-HONOLULU.MP3</t>
  </si>
  <si>
    <t>https://audio.iskcondesiretree.com/01_-_Srila_Prabhupada/01_-_Lectures/01_-_English/02_-_Month_wise/05_-_May/22/SB-06-01-22_1976-05-22_SB-HONOLULU.MP3</t>
  </si>
  <si>
    <t>SB_6-01-22_HON_1976-05-22_Dancing-dog_Guru_Will_Not_Help.mp3</t>
  </si>
  <si>
    <t>https://audio.iskcondesiretree.com/01_-_Srila_Prabhupada/01_-_Lectures/01_-_English/02_-_Month_wise/05_-_May/22/SB_6-01-22_HON_1976-05-22_Dancing-dog_Guru_Will_Not_Help.mp3</t>
  </si>
  <si>
    <t>SP_SB_6-01-23_Honolulu_1976-05-23_Don%27t_Be_a_Hypocrite.mp3</t>
  </si>
  <si>
    <t>https://audio.iskcondesiretree.com/01_-_Srila_Prabhupada/01_-_Lectures/01_-_English/01_-_Topic_wise/Srimad_Bhagavatam/Canto-06/SP_SB_6-01-23_Honolulu_1976-05-23_Don%27t_Be_a_Hypocrite.mp3</t>
  </si>
  <si>
    <t>SB-06-01-23_1976-05-23_SB-HONOLULU.MP3</t>
  </si>
  <si>
    <t>https://audio.iskcondesiretree.com/01_-_Srila_Prabhupada/01_-_Lectures/01_-_English/02_-_Month_wise/05_-_May/23/SB-06-01-23_1976-05-23_SB-HONOLULU.MP3</t>
  </si>
  <si>
    <t>SB_6-01-23_HON_1976-05-23_Don%27t_Be_a_Hypocrite.mp3</t>
  </si>
  <si>
    <t>https://audio.iskcondesiretree.com/01_-_Srila_Prabhupada/01_-_Lectures/01_-_English/02_-_Month_wise/05_-_May/23/SB_6-01-23_HON_1976-05-23_Don%27t_Be_a_Hypocrite.mp3</t>
  </si>
  <si>
    <t>SP_SB_6-01-24_Honolulu_1976-05-24_Trade_the_Dark_Well_for_Vrindavan_Forest.mp3</t>
  </si>
  <si>
    <t>https://audio.iskcondesiretree.com/01_-_Srila_Prabhupada/01_-_Lectures/01_-_English/01_-_Topic_wise/Srimad_Bhagavatam/Canto-06/SP_SB_6-01-24_Honolulu_1976-05-24_Trade_the_Dark_Well_for_Vrindavan_Forest.mp3</t>
  </si>
  <si>
    <t>Conv_1976-05-24_R1-HONOLULU.MP3</t>
  </si>
  <si>
    <t>https://audio.iskcondesiretree.com/01_-_Srila_Prabhupada/01_-_Lectures/01_-_English/02_-_Month_wise/05_-_May/24/Conv_1976-05-24_R1-HONOLULU.MP3</t>
  </si>
  <si>
    <t>SB-06-01-24_1976-05-24_SB-HONOLULU.MP3</t>
  </si>
  <si>
    <t>https://audio.iskcondesiretree.com/01_-_Srila_Prabhupada/01_-_Lectures/01_-_English/02_-_Month_wise/05_-_May/24/SB-06-01-24_1976-05-24_SB-HONOLULU.MP3</t>
  </si>
  <si>
    <t>SB_6-01-24_HON_1976-05-24_Trade_the_Dark_Well_for_VRN_Forest.mp3</t>
  </si>
  <si>
    <t>https://audio.iskcondesiretree.com/01_-_Srila_Prabhupada/01_-_Lectures/01_-_English/02_-_Month_wise/05_-_May/24/SB_6-01-24_HON_1976-05-24_Trade_the_Dark_Well_for_VRN_Forest.mp3</t>
  </si>
  <si>
    <t>SP_SB_6-01-25_Honolulu_1976-05-25_Hiranyakasipu_vs._Prahlada.mp3</t>
  </si>
  <si>
    <t>https://audio.iskcondesiretree.com/01_-_Srila_Prabhupada/01_-_Lectures/01_-_English/01_-_Topic_wise/Srimad_Bhagavatam/Canto-06/SP_SB_6-01-25_Honolulu_1976-05-25_Hiranyakasipu_vs._Prahlada.mp3</t>
  </si>
  <si>
    <t>SB-06-01-25_1976-05-25_SB-HONOLULU.MP3</t>
  </si>
  <si>
    <t>https://audio.iskcondesiretree.com/01_-_Srila_Prabhupada/01_-_Lectures/01_-_English/02_-_Month_wise/05_-_May/25/SB-06-01-25_1976-05-25_SB-HONOLULU.MP3</t>
  </si>
  <si>
    <t>SB_6-01-25_HON_1976-05-25_Hiranyakasipu_vs_Prahlada.mp3</t>
  </si>
  <si>
    <t>https://audio.iskcondesiretree.com/01_-_Srila_Prabhupada/01_-_Lectures/01_-_English/02_-_Month_wise/05_-_May/25/SB_6-01-25_HON_1976-05-25_Hiranyakasipu_vs_Prahlada.mp3</t>
  </si>
  <si>
    <t>Walk_1976-05-25_MW-HONOLULU.MP3</t>
  </si>
  <si>
    <t>https://audio.iskcondesiretree.com/01_-_Srila_Prabhupada/01_-_Lectures/01_-_English/02_-_Month_wise/05_-_May/25/Walk_1976-05-25_MW-HONOLULU.MP3</t>
  </si>
  <si>
    <t>SP_SB_6-01-26_Honolulu_1976-05-26_Krishna%27s_Sense_Gratification.mp3</t>
  </si>
  <si>
    <t>https://audio.iskcondesiretree.com/01_-_Srila_Prabhupada/01_-_Lectures/01_-_English/01_-_Topic_wise/Srimad_Bhagavatam/Canto-06/SP_SB_6-01-26_Honolulu_1976-05-26_Krishna%27s_Sense_Gratification.mp3</t>
  </si>
  <si>
    <t>SB-06-01-26_1976-05-26_SB-HONOLULU.MP3</t>
  </si>
  <si>
    <t>https://audio.iskcondesiretree.com/01_-_Srila_Prabhupada/01_-_Lectures/01_-_English/02_-_Month_wise/05_-_May/26/SB-06-01-26_1976-05-26_SB-HONOLULU.MP3</t>
  </si>
  <si>
    <t>SB_6-01-26_HON_1976-05-26_Krishna%27s_Sense_Gratification.mp3</t>
  </si>
  <si>
    <t>https://audio.iskcondesiretree.com/01_-_Srila_Prabhupada/01_-_Lectures/01_-_English/02_-_Month_wise/05_-_May/26/SB_6-01-26_HON_1976-05-26_Krishna%27s_Sense_Gratification.mp3</t>
  </si>
  <si>
    <t>Walk_1976-05-26_MW-HONOLULU.MP3</t>
  </si>
  <si>
    <t>https://audio.iskcondesiretree.com/01_-_Srila_Prabhupada/01_-_Lectures/01_-_English/02_-_Month_wise/05_-_May/26/Walk_1976-05-26_MW-HONOLULU.MP3</t>
  </si>
  <si>
    <t>SP_SB_6-01-27_Honolulu_1976-05-27_God_Is_Not_Dead-You_Are_Dead.mp3</t>
  </si>
  <si>
    <t>https://audio.iskcondesiretree.com/01_-_Srila_Prabhupada/01_-_Lectures/01_-_English/01_-_Topic_wise/Srimad_Bhagavatam/Canto-06/SP_SB_6-01-27_Honolulu_1976-05-27_God_Is_Not_Dead-You_Are_Dead.mp3</t>
  </si>
  <si>
    <t>SB-06-01-27_1976-05-27_SB-HONOLULU.MP3</t>
  </si>
  <si>
    <t>https://audio.iskcondesiretree.com/01_-_Srila_Prabhupada/01_-_Lectures/01_-_English/02_-_Month_wise/05_-_May/27/SB-06-01-27_1976-05-27_SB-HONOLULU.MP3</t>
  </si>
  <si>
    <t>SB_6-01-27_HON_1976-05-27_God_Is_Not_Dead-You_Are_Dead.mp3</t>
  </si>
  <si>
    <t>https://audio.iskcondesiretree.com/01_-_Srila_Prabhupada/01_-_Lectures/01_-_English/02_-_Month_wise/05_-_May/27/SB_6-01-27_HON_1976-05-27_God_Is_Not_Dead-You_Are_Dead.mp3</t>
  </si>
  <si>
    <t>Walk_1976-05-27_MW-HONOLULU.MP3</t>
  </si>
  <si>
    <t>https://audio.iskcondesiretree.com/01_-_Srila_Prabhupada/01_-_Lectures/01_-_English/02_-_Month_wise/05_-_May/27/Walk_1976-05-27_MW-HONOLULU.MP3</t>
  </si>
  <si>
    <t>SP_SB_6-01-28_Honolulu_1976-05-28_Killing_the_Soul.mp3</t>
  </si>
  <si>
    <t>https://audio.iskcondesiretree.com/01_-_Srila_Prabhupada/01_-_Lectures/01_-_English/01_-_Topic_wise/Srimad_Bhagavatam/Canto-06/SP_SB_6-01-28_Honolulu_1976-05-28_Killing_the_Soul.mp3</t>
  </si>
  <si>
    <t>SB-06-01-28%E2%80%9329_1976-05-28_SB-HONOLULU.MP3</t>
  </si>
  <si>
    <t>https://audio.iskcondesiretree.com/01_-_Srila_Prabhupada/01_-_Lectures/01_-_English/02_-_Month_wise/05_-_May/28/SB-06-01-28%E2%80%9329_1976-05-28_SB-HONOLULU.MP3</t>
  </si>
  <si>
    <t>SB_6-01-28_HON_1976-05-28_Killing_the_Soul.mp3</t>
  </si>
  <si>
    <t>https://audio.iskcondesiretree.com/01_-_Srila_Prabhupada/01_-_Lectures/01_-_English/02_-_Month_wise/05_-_May/28/SB_6-01-28_HON_1976-05-28_Killing_the_Soul.mp3</t>
  </si>
  <si>
    <t>Walk_1976-05-28_MW-HONOLULU.MP3</t>
  </si>
  <si>
    <t>https://audio.iskcondesiretree.com/01_-_Srila_Prabhupada/01_-_Lectures/01_-_English/02_-_Month_wise/05_-_May/28/Walk_1976-05-28_MW-HONOLULU.MP3</t>
  </si>
  <si>
    <t>SP_SB_6-01-30_Honolulu_1976-05-29_He%27s_Chanting_Narayana_Take_Him.mp3</t>
  </si>
  <si>
    <t>https://audio.iskcondesiretree.com/01_-_Srila_Prabhupada/01_-_Lectures/01_-_English/01_-_Topic_wise/Srimad_Bhagavatam/Canto-06/SP_SB_6-01-30_Honolulu_1976-05-29_He%27s_Chanting_Narayana_Take_Him.mp3</t>
  </si>
  <si>
    <t>SB-06-01-30_1976-05-29_SB-HONOLULU.MP3</t>
  </si>
  <si>
    <t>https://audio.iskcondesiretree.com/01_-_Srila_Prabhupada/01_-_Lectures/01_-_English/02_-_Month_wise/05_-_May/29/SB-06-01-30_1976-05-29_SB-HONOLULU.MP3</t>
  </si>
  <si>
    <t>SB_6-01-30_HON_1976-05-29_He%27s_Chanting_Narayana_Take_Him.mp3</t>
  </si>
  <si>
    <t>https://audio.iskcondesiretree.com/01_-_Srila_Prabhupada/01_-_Lectures/01_-_English/02_-_Month_wise/05_-_May/29/SB_6-01-30_HON_1976-05-29_He%27s_Chanting_Narayana_Take_Him.mp3</t>
  </si>
  <si>
    <t>Walk_1976-05-29_MW-HONOLULU.MP3</t>
  </si>
  <si>
    <t>https://audio.iskcondesiretree.com/01_-_Srila_Prabhupada/01_-_Lectures/01_-_English/02_-_Month_wise/05_-_May/29/Walk_1976-05-29_MW-HONOLULU.MP3</t>
  </si>
  <si>
    <t>SP_SB_6-01-31_Honolulu_1976-05-30_Krishna_Kindly_Marry_Us.mp3</t>
  </si>
  <si>
    <t>https://audio.iskcondesiretree.com/01_-_Srila_Prabhupada/01_-_Lectures/01_-_English/01_-_Topic_wise/Srimad_Bhagavatam/Canto-06/SP_SB_6-01-31_Honolulu_1976-05-30_Krishna_Kindly_Marry_Us.mp3</t>
  </si>
  <si>
    <t>Conv_1976-05-30_R1-HONOLULU.MP3</t>
  </si>
  <si>
    <t>https://audio.iskcondesiretree.com/01_-_Srila_Prabhupada/01_-_Lectures/01_-_English/02_-_Month_wise/05_-_May/30/Conv_1976-05-30_R1-HONOLULU.MP3</t>
  </si>
  <si>
    <t>SB-06-01-31_1976-05-30_SB-HONOLULU.MP3</t>
  </si>
  <si>
    <t>https://audio.iskcondesiretree.com/01_-_Srila_Prabhupada/01_-_Lectures/01_-_English/02_-_Month_wise/05_-_May/30/SB-06-01-31_1976-05-30_SB-HONOLULU.MP3</t>
  </si>
  <si>
    <t>SB_6-01-31_HON_1976-05-30_Krishna%2C_Kindly_Marry_Us.mp3</t>
  </si>
  <si>
    <t>https://audio.iskcondesiretree.com/01_-_Srila_Prabhupada/01_-_Lectures/01_-_English/02_-_Month_wise/05_-_May/30/SB_6-01-31_HON_1976-05-30_Krishna%2C_Kindly_Marry_Us.mp3</t>
  </si>
  <si>
    <t>Walk_1976-05-30_MW-HONOLULU.MP3</t>
  </si>
  <si>
    <t>https://audio.iskcondesiretree.com/01_-_Srila_Prabhupada/01_-_Lectures/01_-_English/02_-_Month_wise/05_-_May/30/Walk_1976-05-30_MW-HONOLULU.MP3</t>
  </si>
  <si>
    <t>SP_SB_6-01-32_Honolulu_1976-05-31_Everything_working--etc.mp3</t>
  </si>
  <si>
    <t>https://audio.iskcondesiretree.com/01_-_Srila_Prabhupada/01_-_Lectures/01_-_English/01_-_Topic_wise/Srimad_Bhagavatam/Canto-06/SP_SB_6-01-32_Honolulu_1976-05-31_Everything_working--etc.mp3</t>
  </si>
  <si>
    <t>Conv_1976-05-31_R1-HONOLULU.MP3</t>
  </si>
  <si>
    <t>https://audio.iskcondesiretree.com/01_-_Srila_Prabhupada/01_-_Lectures/01_-_English/02_-_Month_wise/05_-_May/31/Conv_1976-05-31_R1-HONOLULU.MP3</t>
  </si>
  <si>
    <t>SB-06-01-32_1976-05-31_SB-HONOLULU.MP3</t>
  </si>
  <si>
    <t>https://audio.iskcondesiretree.com/01_-_Srila_Prabhupada/01_-_Lectures/01_-_English/02_-_Month_wise/05_-_May/31/SB-06-01-32_1976-05-31_SB-HONOLULU.MP3</t>
  </si>
  <si>
    <t>SB_6-01-32_HON_1976-05-31_Everything_working_etc.mp3</t>
  </si>
  <si>
    <t>https://audio.iskcondesiretree.com/01_-_Srila_Prabhupada/01_-_Lectures/01_-_English/02_-_Month_wise/05_-_May/31/SB_6-01-32_HON_1976-05-31_Everything_working_etc.mp3</t>
  </si>
  <si>
    <t>Walk_1976-05-31_MW-HONOLULU.MP3</t>
  </si>
  <si>
    <t>https://audio.iskcondesiretree.com/01_-_Srila_Prabhupada/01_-_Lectures/01_-_English/02_-_Month_wise/05_-_May/31/Walk_1976-05-31_MW-HONOLULU.MP3</t>
  </si>
  <si>
    <t>SP_SB_6-01-33_Honolulu_1976-06-01_New_Orleans_Sex_in_the_Spiritual_World.mp3</t>
  </si>
  <si>
    <t>https://audio.iskcondesiretree.com/01_-_Srila_Prabhupada/01_-_Lectures/01_-_English/01_-_Topic_wise/Srimad_Bhagavatam/Canto-06/SP_SB_6-01-33_Honolulu_1976-06-01_New_Orleans_Sex_in_the_Spiritual_World.mp3</t>
  </si>
  <si>
    <t>SB-06-01-33_1976-06-01_SB-HONOLULU.MP3</t>
  </si>
  <si>
    <t>https://audio.iskcondesiretree.com/01_-_Srila_Prabhupada/01_-_Lectures/01_-_English/02_-_Month_wise/06_-_June/01/SB-06-01-33_1976-06-01_SB-HONOLULU.MP3</t>
  </si>
  <si>
    <t>SB_6-01-33_HON_1976-06-01_No_Sex_in_the_Spiritual_World.mp3</t>
  </si>
  <si>
    <t>https://audio.iskcondesiretree.com/01_-_Srila_Prabhupada/01_-_Lectures/01_-_English/02_-_Month_wise/06_-_June/01/SB_6-01-33_HON_1976-06-01_No_Sex_in_the_Spiritual_World.mp3</t>
  </si>
  <si>
    <t>SB-06-01-34%E2%80%9336_1976-06-02_SB-LOS%20ANGELES.MP3</t>
  </si>
  <si>
    <t>https://audio.iskcondesiretree.com/01_-_Srila_Prabhupada/01_-_Lectures/01_-_English/02_-_Month_wise/06_-_June/02/SB-06-01-34%E2%80%9336_1976-06-02_SB-LOS%20ANGELES.MP3</t>
  </si>
  <si>
    <t>SP_Morning_Walk_-_Los_Angeles_1976-06-03_Death_and_Dreams.mp3</t>
  </si>
  <si>
    <t>https://audio.iskcondesiretree.com/01_-_Srila_Prabhupada/01_-_Lectures/01_-_English/01_-_Topic_wise/Morning_Walk/SP_Morning_Walk_-_Los_Angeles_1976-06-03_Death_and_Dreams.mp3</t>
  </si>
  <si>
    <t>SP_SB_6-01-37_Los_Angeles_1976-06-03_Follow_What_Krishna_Says.mp3</t>
  </si>
  <si>
    <t>https://audio.iskcondesiretree.com/01_-_Srila_Prabhupada/01_-_Lectures/01_-_English/01_-_Topic_wise/Srimad_Bhagavatam/Canto-06/SP_SB_6-01-37_Los_Angeles_1976-06-03_Follow_What_Krishna_Says.mp3</t>
  </si>
  <si>
    <t>Conv_1976-06-03_IV-LOS%20ANGELES.MP3</t>
  </si>
  <si>
    <t>https://audio.iskcondesiretree.com/01_-_Srila_Prabhupada/01_-_Lectures/01_-_English/02_-_Month_wise/06_-_June/03/Conv_1976-06-03_IV-LOS%20ANGELES.MP3</t>
  </si>
  <si>
    <t>MW_LA_1976-06-03_Death_and_Dreams.mp3</t>
  </si>
  <si>
    <t>https://audio.iskcondesiretree.com/01_-_Srila_Prabhupada/01_-_Lectures/01_-_English/02_-_Month_wise/06_-_June/03/MW_LA_1976-06-03_Death_and_Dreams.mp3</t>
  </si>
  <si>
    <t>SB-06-01-37_1976-06-03_SB-LOS%20ANGELES.MP3</t>
  </si>
  <si>
    <t>https://audio.iskcondesiretree.com/01_-_Srila_Prabhupada/01_-_Lectures/01_-_English/02_-_Month_wise/06_-_June/03/SB-06-01-37_1976-06-03_SB-LOS%20ANGELES.MP3</t>
  </si>
  <si>
    <t>SB_6-01-37_LA_1976-06-03_Follow_What_Krishna_Says.mp3</t>
  </si>
  <si>
    <t>https://audio.iskcondesiretree.com/01_-_Srila_Prabhupada/01_-_Lectures/01_-_English/02_-_Month_wise/06_-_June/03/SB_6-01-37_LA_1976-06-03_Follow_What_Krishna_Says.mp3</t>
  </si>
  <si>
    <t>Walk_1976-06-03_MW-LOS%20ANGELES.MP3</t>
  </si>
  <si>
    <t>https://audio.iskcondesiretree.com/01_-_Srila_Prabhupada/01_-_Lectures/01_-_English/02_-_Month_wise/06_-_June/03/Walk_1976-06-03_MW-LOS%20ANGELES.MP3</t>
  </si>
  <si>
    <t>SP_SB_6-01-38_Los_Angeles_1976-06-04_Jeweled_Snakes.mp3</t>
  </si>
  <si>
    <t>https://audio.iskcondesiretree.com/01_-_Srila_Prabhupada/01_-_Lectures/01_-_English/01_-_Topic_wise/Srimad_Bhagavatam/Canto-06/SP_SB_6-01-38_Los_Angeles_1976-06-04_Jeweled_Snakes.mp3</t>
  </si>
  <si>
    <t>Conv_1976-06-04_IV-LOS%20ANGELES.MP3</t>
  </si>
  <si>
    <t>https://audio.iskcondesiretree.com/01_-_Srila_Prabhupada/01_-_Lectures/01_-_English/02_-_Month_wise/06_-_June/04/Conv_1976-06-04_IV-LOS%20ANGELES.MP3</t>
  </si>
  <si>
    <t>SB-06-01-38_1976-06-04_SB-LOS%20ANGELES.MP3</t>
  </si>
  <si>
    <t>https://audio.iskcondesiretree.com/01_-_Srila_Prabhupada/01_-_Lectures/01_-_English/02_-_Month_wise/06_-_June/04/SB-06-01-38_1976-06-04_SB-LOS%20ANGELES.MP3</t>
  </si>
  <si>
    <t>SB_6-01-38_LA_1976-06-04_Jeweled_Snakes.mp3</t>
  </si>
  <si>
    <t>https://audio.iskcondesiretree.com/01_-_Srila_Prabhupada/01_-_Lectures/01_-_English/02_-_Month_wise/06_-_June/04/SB_6-01-38_LA_1976-06-04_Jeweled_Snakes.mp3</t>
  </si>
  <si>
    <t>Walk_1976-06-04_MW-LOS%20ANGELES.MP3</t>
  </si>
  <si>
    <t>https://audio.iskcondesiretree.com/01_-_Srila_Prabhupada/01_-_Lectures/01_-_English/02_-_Month_wise/06_-_June/04/Walk_1976-06-04_MW-LOS%20ANGELES.MP3</t>
  </si>
  <si>
    <t>SP_SB_6-01-39_Los_Angeles_1976-06-05_Does_Your_Heart_Cry_Out_for_God.mp3</t>
  </si>
  <si>
    <t>https://audio.iskcondesiretree.com/01_-_Srila_Prabhupada/01_-_Lectures/01_-_English/01_-_Topic_wise/Srimad_Bhagavatam/Canto-06/SP_SB_6-01-39_Los_Angeles_1976-06-05_Does_Your_Heart_Cry_Out_for_God.mp3</t>
  </si>
  <si>
    <t>SB-06-01-39_1976-06-05_SB-LOS%20ANGELES.MP3</t>
  </si>
  <si>
    <t>https://audio.iskcondesiretree.com/01_-_Srila_Prabhupada/01_-_Lectures/01_-_English/02_-_Month_wise/06_-_June/05/SB-06-01-39_1976-06-05_SB-LOS%20ANGELES.MP3</t>
  </si>
  <si>
    <t>SB_6-01-39_LA_1976-06-05_Does_Your_Heart_Cry_Out_for_God.mp3</t>
  </si>
  <si>
    <t>https://audio.iskcondesiretree.com/01_-_Srila_Prabhupada/01_-_Lectures/01_-_English/02_-_Month_wise/06_-_June/05/SB_6-01-39_LA_1976-06-05_Does_Your_Heart_Cry_Out_for_God.mp3</t>
  </si>
  <si>
    <t>Walk_1976-06-05_MW-LOS%20ANGELES.MP3</t>
  </si>
  <si>
    <t>https://audio.iskcondesiretree.com/01_-_Srila_Prabhupada/01_-_Lectures/01_-_English/02_-_Month_wise/06_-_June/05/Walk_1976-06-05_MW-LOS%20ANGELES.MP3</t>
  </si>
  <si>
    <t>SP_SB_6-01-40_Los_Angeles_1976-06-06_Graduates_of_Transcendental_Tech.mp3</t>
  </si>
  <si>
    <t>https://audio.iskcondesiretree.com/01_-_Srila_Prabhupada/01_-_Lectures/01_-_English/01_-_Topic_wise/Srimad_Bhagavatam/Canto-06/SP_SB_6-01-40_Los_Angeles_1976-06-06_Graduates_of_Transcendental_Tech.mp3</t>
  </si>
  <si>
    <t>SB-06-01-40_1976-06-06_SB-LOS%20ANGELES.MP3</t>
  </si>
  <si>
    <t>https://audio.iskcondesiretree.com/01_-_Srila_Prabhupada/01_-_Lectures/01_-_English/02_-_Month_wise/06_-_June/06/SB-06-01-40_1976-06-06_SB-LOS%20ANGELES.MP3</t>
  </si>
  <si>
    <t>SB_6-01-40_LA_1976-06-06_Graduates_of_Transcendental_Tech.mp3</t>
  </si>
  <si>
    <t>https://audio.iskcondesiretree.com/01_-_Srila_Prabhupada/01_-_Lectures/01_-_English/02_-_Month_wise/06_-_June/06/SB_6-01-40_LA_1976-06-06_Graduates_of_Transcendental_Tech.mp3</t>
  </si>
  <si>
    <t>Walk_1976-06-06_MW-LOS%20ANGELES.MP3</t>
  </si>
  <si>
    <t>https://audio.iskcondesiretree.com/01_-_Srila_Prabhupada/01_-_Lectures/01_-_English/02_-_Month_wise/06_-_June/06/Walk_1976-06-06_MW-LOS%20ANGELES.MP3</t>
  </si>
  <si>
    <t>SP_Morning_Walk_-_Los_Angeles_1976-06-07_Spiritual_Pursuit-_Purifying_or_Putrefying.mp3</t>
  </si>
  <si>
    <t>https://audio.iskcondesiretree.com/01_-_Srila_Prabhupada/01_-_Lectures/01_-_English/01_-_Topic_wise/Morning_Walk/SP_Morning_Walk_-_Los_Angeles_1976-06-07_Spiritual_Pursuit-_Purifying_or_Putrefying.mp3</t>
  </si>
  <si>
    <t>SP_SB_6-01-41_Los_Angeles_1976-06-07_Total_Dependence-Independence.mp3</t>
  </si>
  <si>
    <t>https://audio.iskcondesiretree.com/01_-_Srila_Prabhupada/01_-_Lectures/01_-_English/01_-_Topic_wise/Srimad_Bhagavatam/Canto-06/SP_SB_6-01-41_Los_Angeles_1976-06-07_Total_Dependence-Independence.mp3</t>
  </si>
  <si>
    <t>MW_LA_1976-06-07_Spiritual_Pursuit-_Purifying_or_Putrefying.mp3</t>
  </si>
  <si>
    <t>https://audio.iskcondesiretree.com/01_-_Srila_Prabhupada/01_-_Lectures/01_-_English/02_-_Month_wise/06_-_June/07/MW_LA_1976-06-07_Spiritual_Pursuit-_Purifying_or_Putrefying.mp3</t>
  </si>
  <si>
    <t>SB-06-01-41_1976-06-07_SB-LOS%20ANGELES.MP3</t>
  </si>
  <si>
    <t>https://audio.iskcondesiretree.com/01_-_Srila_Prabhupada/01_-_Lectures/01_-_English/02_-_Month_wise/06_-_June/07/SB-06-01-41_1976-06-07_SB-LOS%20ANGELES.MP3</t>
  </si>
  <si>
    <t>SB_6-01-41_LA_1976-06-07_Total_Dependence-Independence.mp3</t>
  </si>
  <si>
    <t>https://audio.iskcondesiretree.com/01_-_Srila_Prabhupada/01_-_Lectures/01_-_English/02_-_Month_wise/06_-_June/07/SB_6-01-41_LA_1976-06-07_Total_Dependence-Independence.mp3</t>
  </si>
  <si>
    <t>Walk_1976-06-07_MW-LOS%20ANGELES.MP3</t>
  </si>
  <si>
    <t>https://audio.iskcondesiretree.com/01_-_Srila_Prabhupada/01_-_Lectures/01_-_English/02_-_Month_wise/06_-_June/07/Walk_1976-06-07_MW-LOS%20ANGELES.MP3</t>
  </si>
  <si>
    <t>SP_Morning_Walk_-_Los_Angeles_1976-06-08_Evolutionary_Suffering.mp3</t>
  </si>
  <si>
    <t>https://audio.iskcondesiretree.com/01_-_Srila_Prabhupada/01_-_Lectures/01_-_English/01_-_Topic_wise/Morning_Walk/SP_Morning_Walk_-_Los_Angeles_1976-06-08_Evolutionary_Suffering.mp3</t>
  </si>
  <si>
    <t>SP_Room_Conversation_Los_Angeles_1976-06-08_Prabhupada%27s_Journey_to_America.mp3</t>
  </si>
  <si>
    <t>https://audio.iskcondesiretree.com/01_-_Srila_Prabhupada/01_-_Lectures/01_-_English/01_-_Topic_wise/Room_Conversation/SP_Room_Conversation_Los_Angeles_1976-06-08_Prabhupada%27s_Journey_to_America.mp3</t>
  </si>
  <si>
    <t>SP_SB_6-01-42_Los_Angeles_1976-06-08_New_Orleans_Fakir-Go_to_Guru.mp3</t>
  </si>
  <si>
    <t>https://audio.iskcondesiretree.com/01_-_Srila_Prabhupada/01_-_Lectures/01_-_English/01_-_Topic_wise/Srimad_Bhagavatam/Canto-06/SP_SB_6-01-42_Los_Angeles_1976-06-08_New_Orleans_Fakir-Go_to_Guru.mp3</t>
  </si>
  <si>
    <t>Conv_1976-06-08_GC-LOS%20ANGELES.MP3</t>
  </si>
  <si>
    <t>https://audio.iskcondesiretree.com/01_-_Srila_Prabhupada/01_-_Lectures/01_-_English/02_-_Month_wise/06_-_June/08/Conv_1976-06-08_GC-LOS%20ANGELES.MP3</t>
  </si>
  <si>
    <t>Conv_1976-06-08_R1-LOS%20ANGELES.MP3</t>
  </si>
  <si>
    <t>https://audio.iskcondesiretree.com/01_-_Srila_Prabhupada/01_-_Lectures/01_-_English/02_-_Month_wise/06_-_June/08/Conv_1976-06-08_R1-LOS%20ANGELES.MP3</t>
  </si>
  <si>
    <t>MW_LA_1976-06-08_Evolutionary_Suffering.mp3</t>
  </si>
  <si>
    <t>https://audio.iskcondesiretree.com/01_-_Srila_Prabhupada/01_-_Lectures/01_-_English/02_-_Month_wise/06_-_June/08/MW_LA_1976-06-08_Evolutionary_Suffering.mp3</t>
  </si>
  <si>
    <t>RC_LA_1976-06-08_Prabhupada%27s_Journey_to_America.mp3</t>
  </si>
  <si>
    <t>https://audio.iskcondesiretree.com/01_-_Srila_Prabhupada/01_-_Lectures/01_-_English/02_-_Month_wise/06_-_June/08/RC_LA_1976-06-08_Prabhupada%27s_Journey_to_America.mp3</t>
  </si>
  <si>
    <t>SB-06-01-42_1976-06-08_SB-LOS%20ANGELES.MP3</t>
  </si>
  <si>
    <t>https://audio.iskcondesiretree.com/01_-_Srila_Prabhupada/01_-_Lectures/01_-_English/02_-_Month_wise/06_-_June/08/SB-06-01-42_1976-06-08_SB-LOS%20ANGELES.MP3</t>
  </si>
  <si>
    <t>SB_6-01-42_LA_1976-06-08_No_Fakir-Go_to_Guru.mp3</t>
  </si>
  <si>
    <t>https://audio.iskcondesiretree.com/01_-_Srila_Prabhupada/01_-_Lectures/01_-_English/02_-_Month_wise/06_-_June/08/SB_6-01-42_LA_1976-06-08_No_Fakir-Go_to_Guru.mp3</t>
  </si>
  <si>
    <t>Walk_1976-06-08_MW-LOS%20ANGELES.MP3</t>
  </si>
  <si>
    <t>https://audio.iskcondesiretree.com/01_-_Srila_Prabhupada/01_-_Lectures/01_-_English/02_-_Month_wise/06_-_June/08/Walk_1976-06-08_MW-LOS%20ANGELES.MP3</t>
  </si>
  <si>
    <t>SP_Room_Conversation_Los_Angeles_1976-06-09_The_Huge_Little_Chance.mp3</t>
  </si>
  <si>
    <t>https://audio.iskcondesiretree.com/01_-_Srila_Prabhupada/01_-_Lectures/01_-_English/01_-_Topic_wise/Room_Conversation/SP_Room_Conversation_Los_Angeles_1976-06-09_The_Huge_Little_Chance.mp3</t>
  </si>
  <si>
    <t>SP_SB_6-01-43_Los_Angeles_1976-06-09_Better_Without_Disturbance.mp3</t>
  </si>
  <si>
    <t>https://audio.iskcondesiretree.com/01_-_Srila_Prabhupada/01_-_Lectures/01_-_English/01_-_Topic_wise/Srimad_Bhagavatam/Canto-06/SP_SB_6-01-43_Los_Angeles_1976-06-09_Better_Without_Disturbance.mp3</t>
  </si>
  <si>
    <t>Conv_1976-06-09_GC-LOS%20ANGELES.MP3</t>
  </si>
  <si>
    <t>https://audio.iskcondesiretree.com/01_-_Srila_Prabhupada/01_-_Lectures/01_-_English/02_-_Month_wise/06_-_June/09/Conv_1976-06-09_GC-LOS%20ANGELES.MP3</t>
  </si>
  <si>
    <t>Conv_1976-06-09_R1-LOS%20ANGELES.MP3</t>
  </si>
  <si>
    <t>https://audio.iskcondesiretree.com/01_-_Srila_Prabhupada/01_-_Lectures/01_-_English/02_-_Month_wise/06_-_June/09/Conv_1976-06-09_R1-LOS%20ANGELES.MP3</t>
  </si>
  <si>
    <t>Conv_1976-06-09_R2-LOS%20ANGELES.MP3</t>
  </si>
  <si>
    <t>https://audio.iskcondesiretree.com/01_-_Srila_Prabhupada/01_-_Lectures/01_-_English/02_-_Month_wise/06_-_June/09/Conv_1976-06-09_R2-LOS%20ANGELES.MP3</t>
  </si>
  <si>
    <t>RC_LA_1976-06-09_The_Huge_Little_Chance.mp3</t>
  </si>
  <si>
    <t>https://audio.iskcondesiretree.com/01_-_Srila_Prabhupada/01_-_Lectures/01_-_English/02_-_Month_wise/06_-_June/09/RC_LA_1976-06-09_The_Huge_Little_Chance.mp3</t>
  </si>
  <si>
    <t>SB-06-01-43_1976-06-09_SB-LOS%20ANGELES.MP3</t>
  </si>
  <si>
    <t>https://audio.iskcondesiretree.com/01_-_Srila_Prabhupada/01_-_Lectures/01_-_English/02_-_Month_wise/06_-_June/09/SB-06-01-43_1976-06-09_SB-LOS%20ANGELES.MP3</t>
  </si>
  <si>
    <t>SB_6-01-43_LA_1976-06-09_Better_Without_Disturbance.mp3</t>
  </si>
  <si>
    <t>https://audio.iskcondesiretree.com/01_-_Srila_Prabhupada/01_-_Lectures/01_-_English/02_-_Month_wise/06_-_June/09/SB_6-01-43_LA_1976-06-09_Better_Without_Disturbance.mp3</t>
  </si>
  <si>
    <t>Walk_1976-06-09_MW-LOS%20ANGELES.MP3</t>
  </si>
  <si>
    <t>https://audio.iskcondesiretree.com/01_-_Srila_Prabhupada/01_-_Lectures/01_-_English/02_-_Month_wise/06_-_June/09/Walk_1976-06-09_MW-LOS%20ANGELES.MP3</t>
  </si>
  <si>
    <t>SP_SB_6-01-44_Los_Angeles_1976-06-10_Lion-killer_Rabbit.mp3</t>
  </si>
  <si>
    <t>https://audio.iskcondesiretree.com/01_-_Srila_Prabhupada/01_-_Lectures/01_-_English/01_-_Topic_wise/Srimad_Bhagavatam/Canto-06/SP_SB_6-01-44_Los_Angeles_1976-06-10_Lion-killer_Rabbit.mp3</t>
  </si>
  <si>
    <t>Conv_1976-06-10_GC-LOS%20ANGELES.MP3</t>
  </si>
  <si>
    <t>https://audio.iskcondesiretree.com/01_-_Srila_Prabhupada/01_-_Lectures/01_-_English/02_-_Month_wise/06_-_June/10/Conv_1976-06-10_GC-LOS%20ANGELES.MP3</t>
  </si>
  <si>
    <t>Conv_1976-06-10_R1-LOS%20ANGELES.MP3</t>
  </si>
  <si>
    <t>https://audio.iskcondesiretree.com/01_-_Srila_Prabhupada/01_-_Lectures/01_-_English/02_-_Month_wise/06_-_June/10/Conv_1976-06-10_R1-LOS%20ANGELES.MP3</t>
  </si>
  <si>
    <t>Conv_1976-06-10_R2-LOS%20ANGELES.MP3</t>
  </si>
  <si>
    <t>https://audio.iskcondesiretree.com/01_-_Srila_Prabhupada/01_-_Lectures/01_-_English/02_-_Month_wise/06_-_June/10/Conv_1976-06-10_R2-LOS%20ANGELES.MP3</t>
  </si>
  <si>
    <t>Initiations_1976-06-10_LOS%20ANGELES.MP3</t>
  </si>
  <si>
    <t>https://audio.iskcondesiretree.com/01_-_Srila_Prabhupada/01_-_Lectures/01_-_English/02_-_Month_wise/06_-_June/10/Initiations_1976-06-10_LOS%20ANGELES.MP3</t>
  </si>
  <si>
    <t>SB-06-01-44_1976-06-10_SB-LOS%20ANGELES.MP3</t>
  </si>
  <si>
    <t>https://audio.iskcondesiretree.com/01_-_Srila_Prabhupada/01_-_Lectures/01_-_English/02_-_Month_wise/06_-_June/10/SB-06-01-44_1976-06-10_SB-LOS%20ANGELES.MP3</t>
  </si>
  <si>
    <t>SB_6-01-44_LA_1976-06-10_Lion-killer_Rabbit.mp3</t>
  </si>
  <si>
    <t>https://audio.iskcondesiretree.com/01_-_Srila_Prabhupada/01_-_Lectures/01_-_English/02_-_Month_wise/06_-_June/10/SB_6-01-44_LA_1976-06-10_Lion-killer_Rabbit.mp3</t>
  </si>
  <si>
    <t>Walk_1976-06-10_MW-LOS%20ANGELES.MP3</t>
  </si>
  <si>
    <t>https://audio.iskcondesiretree.com/01_-_Srila_Prabhupada/01_-_Lectures/01_-_English/02_-_Month_wise/06_-_June/10/Walk_1976-06-10_MW-LOS%20ANGELES.MP3</t>
  </si>
  <si>
    <t>SP_SB_6-01-45_Los_Angeles_1976-06-11_Krishna%27s_Central_Intelligence_Agency.mp3</t>
  </si>
  <si>
    <t>https://audio.iskcondesiretree.com/01_-_Srila_Prabhupada/01_-_Lectures/01_-_English/01_-_Topic_wise/Srimad_Bhagavatam/Canto-06/SP_SB_6-01-45_Los_Angeles_1976-06-11_Krishna%27s_Central_Intelligence_Agency.mp3</t>
  </si>
  <si>
    <t>Arrival_1976-06-11_AR-DETROIT.MP3</t>
  </si>
  <si>
    <t>https://audio.iskcondesiretree.com/01_-_Srila_Prabhupada/01_-_Lectures/01_-_English/02_-_Month_wise/06_-_June/11/Arrival_1976-06-11_AR-DETROIT.MP3</t>
  </si>
  <si>
    <t>SB-06-01-45_1976-06-11_SB-LOS%20ANGELES.MP3</t>
  </si>
  <si>
    <t>https://audio.iskcondesiretree.com/01_-_Srila_Prabhupada/01_-_Lectures/01_-_English/02_-_Month_wise/06_-_June/11/SB-06-01-45_1976-06-11_SB-LOS%20ANGELES.MP3</t>
  </si>
  <si>
    <t>SB_6-01-45_LA_1976-06-11_Krishna%27s_Central_Intelligence_Agency.mp3</t>
  </si>
  <si>
    <t>https://audio.iskcondesiretree.com/01_-_Srila_Prabhupada/01_-_Lectures/01_-_English/02_-_Month_wise/06_-_June/11/SB_6-01-45_LA_1976-06-11_Krishna%27s_Central_Intelligence_Agency.mp3</t>
  </si>
  <si>
    <t>Walk_1976-06-11_MW-LOS%20ANGELES.MP3</t>
  </si>
  <si>
    <t>https://audio.iskcondesiretree.com/01_-_Srila_Prabhupada/01_-_Lectures/01_-_English/02_-_Month_wise/06_-_June/11/Walk_1976-06-11_MW-LOS%20ANGELES.MP3</t>
  </si>
  <si>
    <t>Initiations_1976-06-12_LOS%20ANGELES.MP3</t>
  </si>
  <si>
    <t>https://audio.iskcondesiretree.com/01_-_Srila_Prabhupada/01_-_Lectures/01_-_English/02_-_Month_wise/06_-_June/10/Initiations_1976-06-12_LOS%20ANGELES.MP3</t>
  </si>
  <si>
    <t>Interview_1976-06-12_IV-DETROIT.MP3</t>
  </si>
  <si>
    <t>https://audio.iskcondesiretree.com/01_-_Srila_Prabhupada/01_-_Lectures/01_-_English/02_-_Month_wise/06_-_June/12/Interview_1976-06-12_IV-DETROIT.MP3</t>
  </si>
  <si>
    <t>SB-06-01-46_1976-06-12_SB-DETROIT.MP3</t>
  </si>
  <si>
    <t>https://audio.iskcondesiretree.com/01_-_Srila_Prabhupada/01_-_Lectures/01_-_English/02_-_Month_wise/06_-_June/12/SB-06-01-46_1976-06-12_SB-DETROIT.MP3</t>
  </si>
  <si>
    <t>SP_SB_6-01-47_Detroit_1976-06-13_Animal_Killers_Cannot_Understand_God.mp3</t>
  </si>
  <si>
    <t>https://audio.iskcondesiretree.com/01_-_Srila_Prabhupada/01_-_Lectures/01_-_English/01_-_Topic_wise/Srimad_Bhagavatam/Canto-06/SP_SB_6-01-47_Detroit_1976-06-13_Animal_Killers_Cannot_Understand_God.mp3</t>
  </si>
  <si>
    <t>Conv_1976-06-13_R1-DETROIT.MP3</t>
  </si>
  <si>
    <t>https://audio.iskcondesiretree.com/01_-_Srila_Prabhupada/01_-_Lectures/01_-_English/02_-_Month_wise/06_-_June/13/Conv_1976-06-13_R1-DETROIT.MP3</t>
  </si>
  <si>
    <t>SB-06-01-47_1976-06-13_SB-DETROIT.MP3</t>
  </si>
  <si>
    <t>https://audio.iskcondesiretree.com/01_-_Srila_Prabhupada/01_-_Lectures/01_-_English/02_-_Month_wise/06_-_June/13/SB-06-01-47_1976-06-13_SB-DETROIT.MP3</t>
  </si>
  <si>
    <t>SB_6-01-47_DET_1976-06-13_Animal_Killers_Cannot_Understand_God.mp3</t>
  </si>
  <si>
    <t>https://audio.iskcondesiretree.com/01_-_Srila_Prabhupada/01_-_Lectures/01_-_English/02_-_Month_wise/06_-_June/13/SB_6-01-47_DET_1976-06-13_Animal_Killers_Cannot_Understand_God.mp3</t>
  </si>
  <si>
    <t>Walk_1976-06-13_MW-DETROIT.MP3</t>
  </si>
  <si>
    <t>https://audio.iskcondesiretree.com/01_-_Srila_Prabhupada/01_-_Lectures/01_-_English/02_-_Month_wise/06_-_June/13/Walk_1976-06-13_MW-DETROIT.MP3</t>
  </si>
  <si>
    <t>SP_Room_Conversation_Detroit_1976-06-14_Animal_Civilization.mp3</t>
  </si>
  <si>
    <t>https://audio.iskcondesiretree.com/01_-_Srila_Prabhupada/01_-_Lectures/01_-_English/01_-_Topic_wise/Room_Conversation/SP_Room_Conversation_Detroit_1976-06-14_Animal_Civilization.mp3</t>
  </si>
  <si>
    <t>Conv_1976-06-14_GC-DETROIT.MP3</t>
  </si>
  <si>
    <t>https://audio.iskcondesiretree.com/01_-_Srila_Prabhupada/01_-_Lectures/01_-_English/02_-_Month_wise/06_-_June/14/Conv_1976-06-14_GC-DETROIT.MP3</t>
  </si>
  <si>
    <t>Conv_1976-06-14_R1-DETROIT.MP3</t>
  </si>
  <si>
    <t>https://audio.iskcondesiretree.com/01_-_Srila_Prabhupada/01_-_Lectures/01_-_English/02_-_Month_wise/06_-_June/14/Conv_1976-06-14_R1-DETROIT.MP3</t>
  </si>
  <si>
    <t>RC_DET_1976-06-14_Animal_Civilization.mp3</t>
  </si>
  <si>
    <t>https://audio.iskcondesiretree.com/01_-_Srila_Prabhupada/01_-_Lectures/01_-_English/02_-_Month_wise/06_-_June/14/RC_DET_1976-06-14_Animal_Civilization.mp3</t>
  </si>
  <si>
    <t>SB-06-01-48_1976-06-14_SB-DETROIT.MP3</t>
  </si>
  <si>
    <t>https://audio.iskcondesiretree.com/01_-_Srila_Prabhupada/01_-_Lectures/01_-_English/02_-_Month_wise/06_-_June/14/SB-06-01-48_1976-06-14_SB-DETROIT.MP3</t>
  </si>
  <si>
    <t>Walk_1976-06-14_MW-DETROIT.MP3</t>
  </si>
  <si>
    <t>https://audio.iskcondesiretree.com/01_-_Srila_Prabhupada/01_-_Lectures/01_-_English/02_-_Month_wise/06_-_June/14/Walk_1976-06-14_MW-DETROIT.MP3</t>
  </si>
  <si>
    <t>SP_Room_Conversation_Detroit_1976-06-15_Priests--Handicapped_By_Mundane_Piety.mp3</t>
  </si>
  <si>
    <t>https://audio.iskcondesiretree.com/01_-_Srila_Prabhupada/01_-_Lectures/01_-_English/01_-_Topic_wise/Room_Conversation/SP_Room_Conversation_Detroit_1976-06-15_Priests--Handicapped_By_Mundane_Piety.mp3</t>
  </si>
  <si>
    <t>SP_SB_6-01-49_Detroit_1976-06-15_Deity_Installation--Sense--etc.mp3</t>
  </si>
  <si>
    <t>https://audio.iskcondesiretree.com/01_-_Srila_Prabhupada/01_-_Lectures/01_-_English/01_-_Topic_wise/Srimad_Bhagavatam/Canto-06/SP_SB_6-01-49_Detroit_1976-06-15_Deity_Installation--Sense--etc.mp3</t>
  </si>
  <si>
    <t>Bg-02-01%E2%80%9312_1976-06-15_BG-DETROIT.MP3</t>
  </si>
  <si>
    <t>https://audio.iskcondesiretree.com/01_-_Srila_Prabhupada/01_-_Lectures/01_-_English/02_-_Month_wise/06_-_June/15/Bg-02-01%E2%80%9312_1976-06-15_BG-DETROIT.MP3</t>
  </si>
  <si>
    <t>Conv_1976-06-15_R1-DETROIT.MP3</t>
  </si>
  <si>
    <t>https://audio.iskcondesiretree.com/01_-_Srila_Prabhupada/01_-_Lectures/01_-_English/02_-_Month_wise/06_-_June/15/Conv_1976-06-15_R1-DETROIT.MP3</t>
  </si>
  <si>
    <t>Conv_1976-06-15_R2-DETROIT.MP3</t>
  </si>
  <si>
    <t>https://audio.iskcondesiretree.com/01_-_Srila_Prabhupada/01_-_Lectures/01_-_English/02_-_Month_wise/06_-_June/15/Conv_1976-06-15_R2-DETROIT.MP3</t>
  </si>
  <si>
    <t>Conv_1976-06-15_R3-DETROIT.MP3</t>
  </si>
  <si>
    <t>https://audio.iskcondesiretree.com/01_-_Srila_Prabhupada/01_-_Lectures/01_-_English/02_-_Month_wise/06_-_June/15/Conv_1976-06-15_R3-DETROIT.MP3</t>
  </si>
  <si>
    <t>Initiations_1976-06-15_IN-DETROIT.MP3</t>
  </si>
  <si>
    <t>https://audio.iskcondesiretree.com/01_-_Srila_Prabhupada/01_-_Lectures/01_-_English/02_-_Month_wise/06_-_June/15/Initiations_1976-06-15_IN-DETROIT.MP3</t>
  </si>
  <si>
    <t>RC_DET_1976-06-15_Priests--Handicapped_By_Mundane_Piety.mp3</t>
  </si>
  <si>
    <t>https://audio.iskcondesiretree.com/01_-_Srila_Prabhupada/01_-_Lectures/01_-_English/02_-_Month_wise/06_-_June/15/RC_DET_1976-06-15_Priests--Handicapped_By_Mundane_Piety.mp3</t>
  </si>
  <si>
    <t>SB-06-01-49_1976-06-15_SB-DETROIT.MP3</t>
  </si>
  <si>
    <t>https://audio.iskcondesiretree.com/01_-_Srila_Prabhupada/01_-_Lectures/01_-_English/02_-_Month_wise/06_-_June/15/SB-06-01-49_1976-06-15_SB-DETROIT.MP3</t>
  </si>
  <si>
    <t>SB_6-01-49_DET_1976-06-15_Deity_Installation_Sense_etc.mp3</t>
  </si>
  <si>
    <t>https://audio.iskcondesiretree.com/01_-_Srila_Prabhupada/01_-_Lectures/01_-_English/02_-_Month_wise/06_-_June/15/SB_6-01-49_DET_1976-06-15_Deity_Installation_Sense_etc.mp3</t>
  </si>
  <si>
    <t>Walk_1976-06-15_MW-DETROIT.MP3</t>
  </si>
  <si>
    <t>https://audio.iskcondesiretree.com/01_-_Srila_Prabhupada/01_-_Lectures/01_-_English/02_-_Month_wise/06_-_June/15/Walk_1976-06-15_MW-DETROIT.MP3</t>
  </si>
  <si>
    <t>SP_SB_6-01-50_Detroit_1976-06-16_Medicine_for_Conditioned_Mind.mp3</t>
  </si>
  <si>
    <t>https://audio.iskcondesiretree.com/01_-_Srila_Prabhupada/01_-_Lectures/01_-_English/01_-_Topic_wise/Srimad_Bhagavatam/Canto-06/SP_SB_6-01-50_Detroit_1976-06-16_Medicine_for_Conditioned_Mind.mp3</t>
  </si>
  <si>
    <t>Conv_1976-06-16_R1-DETROIT.MP3</t>
  </si>
  <si>
    <t>https://audio.iskcondesiretree.com/01_-_Srila_Prabhupada/01_-_Lectures/01_-_English/02_-_Month_wise/06_-_June/16/Conv_1976-06-16_R1-DETROIT.MP3</t>
  </si>
  <si>
    <t>SB-06-01-50_1976-06-16_SB-DETROIT.MP3</t>
  </si>
  <si>
    <t>https://audio.iskcondesiretree.com/01_-_Srila_Prabhupada/01_-_Lectures/01_-_English/02_-_Month_wise/06_-_June/16/SB-06-01-50_1976-06-16_SB-DETROIT.MP3</t>
  </si>
  <si>
    <t>SB_6-01-50_DET_1976-06-16_Medicine_for_Conditioned_Mind.mp3</t>
  </si>
  <si>
    <t>https://audio.iskcondesiretree.com/01_-_Srila_Prabhupada/01_-_Lectures/01_-_English/02_-_Month_wise/06_-_June/16/SB_6-01-50_DET_1976-06-16_Medicine_for_Conditioned_Mind.mp3</t>
  </si>
  <si>
    <t>SP_Lecture_Toronto_1976-06-17_Initiation--Today_Nobody--etc.mp3</t>
  </si>
  <si>
    <t>https://audio.iskcondesiretree.com/01_-_Srila_Prabhupada/01_-_Lectures/01_-_English/01_-_Topic_wise/Various/SP_Lecture_Toronto_1976-06-17_Initiation--Today_Nobody--etc.mp3</t>
  </si>
  <si>
    <t>Conv_1976-06-17_R1-TORONTO.MP3</t>
  </si>
  <si>
    <t>https://audio.iskcondesiretree.com/01_-_Srila_Prabhupada/01_-_Lectures/01_-_English/02_-_Month_wise/06_-_June/17/Conv_1976-06-17_R1-TORONTO.MP3</t>
  </si>
  <si>
    <t>Conv_1976-06-17_R2-TORONTO.MP3</t>
  </si>
  <si>
    <t>https://audio.iskcondesiretree.com/01_-_Srila_Prabhupada/01_-_Lectures/01_-_English/02_-_Month_wise/06_-_June/17/Conv_1976-06-17_R2-TORONTO.MP3</t>
  </si>
  <si>
    <t>Lect_TOR_1976-06-17_Initiation-Today_Nobody_etc.mp3</t>
  </si>
  <si>
    <t>https://audio.iskcondesiretree.com/01_-_Srila_Prabhupada/01_-_Lectures/01_-_English/02_-_Month_wise/06_-_June/17/Lect_TOR_1976-06-17_Initiation-Today_Nobody_etc.mp3</t>
  </si>
  <si>
    <t>SB-07-06-01_1976-06-17_SB-TORONTO.MP3</t>
  </si>
  <si>
    <t>https://audio.iskcondesiretree.com/01_-_Srila_Prabhupada/01_-_Lectures/01_-_English/02_-_Month_wise/06_-_June/17/SB-07-06-01_1976-06-17_SB-TORONTO.MP3</t>
  </si>
  <si>
    <t>SP_Morning_Walk_-_Toronto_1976-06-18_Dealing_With_the_Envious.mp3</t>
  </si>
  <si>
    <t>https://audio.iskcondesiretree.com/01_-_Srila_Prabhupada/01_-_Lectures/01_-_English/01_-_Topic_wise/Morning_Walk/SP_Morning_Walk_-_Toronto_1976-06-18_Dealing_With_the_Envious.mp3</t>
  </si>
  <si>
    <t>SP_Room_Conversation_Toronto_1976-06-18_Don%27t_Screw_Out_Your_Concocted_Meaning.mp3</t>
  </si>
  <si>
    <t>https://audio.iskcondesiretree.com/01_-_Srila_Prabhupada/01_-_Lectures/01_-_English/01_-_Topic_wise/Room_Conversation/SP_Room_Conversation_Toronto_1976-06-18_Don%27t_Screw_Out_Your_Concocted_Meaning.mp3</t>
  </si>
  <si>
    <t>SP_Room_Conversation_Toronto_1976-06-18_Prof_O%27Connell--Real_Education_is--etc.mp3</t>
  </si>
  <si>
    <t>https://audio.iskcondesiretree.com/01_-_Srila_Prabhupada/01_-_Lectures/01_-_English/01_-_Topic_wise/Room_Conversation/SP_Room_Conversation_Toronto_1976-06-18_Prof_O%27Connell--Real_Education_is--etc.mp3</t>
  </si>
  <si>
    <t>SP_SB_7-06-02_Toronto_1976-06-18_Innermost_Benefit_from_the--etc.mp3</t>
  </si>
  <si>
    <t>https://audio.iskcondesiretree.com/01_-_Srila_Prabhupada/01_-_Lectures/01_-_English/01_-_Topic_wise/Srimad_Bhagavatam/Canto-07/SP_SB_7-06-02_Toronto_1976-06-18_Innermost_Benefit_from_the--etc.mp3</t>
  </si>
  <si>
    <t>Conv_1976-06-18_R1-TORONTO.MP3</t>
  </si>
  <si>
    <t>https://audio.iskcondesiretree.com/01_-_Srila_Prabhupada/01_-_Lectures/01_-_English/02_-_Month_wise/06_-_June/18/Conv_1976-06-18_R1-TORONTO.MP3</t>
  </si>
  <si>
    <t>Initiations_1976-06-18_IN-TORONTO.MP3</t>
  </si>
  <si>
    <t>https://audio.iskcondesiretree.com/01_-_Srila_Prabhupada/01_-_Lectures/01_-_English/02_-_Month_wise/06_-_June/18/Initiations_1976-06-18_IN-TORONTO.MP3</t>
  </si>
  <si>
    <t>Interview_1976-06-18_I2-TORONTO.MP3</t>
  </si>
  <si>
    <t>https://audio.iskcondesiretree.com/01_-_Srila_Prabhupada/01_-_Lectures/01_-_English/02_-_Month_wise/06_-_June/18/Interview_1976-06-18_I2-TORONTO.MP3</t>
  </si>
  <si>
    <t>Interview_1976-06-18_IV-TORONTO.MP3</t>
  </si>
  <si>
    <t>https://audio.iskcondesiretree.com/01_-_Srila_Prabhupada/01_-_Lectures/01_-_English/02_-_Month_wise/06_-_June/18/Interview_1976-06-18_IV-TORONTO.MP3</t>
  </si>
  <si>
    <t>MW_TOR_1976-06-18_Dealing_With_the_Envious.mp3</t>
  </si>
  <si>
    <t>https://audio.iskcondesiretree.com/01_-_Srila_Prabhupada/01_-_Lectures/01_-_English/02_-_Month_wise/06_-_June/18/MW_TOR_1976-06-18_Dealing_With_the_Envious.mp3</t>
  </si>
  <si>
    <t>RC_TOR_1976-06-18_Don%27t_Screw_Out_Your_Concocted_Meaning.mp3</t>
  </si>
  <si>
    <t>https://audio.iskcondesiretree.com/01_-_Srila_Prabhupada/01_-_Lectures/01_-_English/02_-_Month_wise/06_-_June/18/RC_TOR_1976-06-18_Don%27t_Screw_Out_Your_Concocted_Meaning.mp3</t>
  </si>
  <si>
    <t>RC_TOR_1976-06-18_Prof_O%27Connell-Real_Education_is_etc.mp3</t>
  </si>
  <si>
    <t>https://audio.iskcondesiretree.com/01_-_Srila_Prabhupada/01_-_Lectures/01_-_English/02_-_Month_wise/06_-_June/18/RC_TOR_1976-06-18_Prof_O%27Connell-Real_Education_is_etc.mp3</t>
  </si>
  <si>
    <t>SB-07-06-02_1976-06-18_SB-TORONTO.MP3</t>
  </si>
  <si>
    <t>https://audio.iskcondesiretree.com/01_-_Srila_Prabhupada/01_-_Lectures/01_-_English/02_-_Month_wise/06_-_June/18/SB-07-06-02_1976-06-18_SB-TORONTO.MP3</t>
  </si>
  <si>
    <t>SB_7-06-02_TOR_1976-06-18_Innermost_Benefit_from_the_etc.mp3</t>
  </si>
  <si>
    <t>https://audio.iskcondesiretree.com/01_-_Srila_Prabhupada/01_-_Lectures/01_-_English/02_-_Month_wise/06_-_June/18/SB_7-06-02_TOR_1976-06-18_Innermost_Benefit_from_the_etc.mp3</t>
  </si>
  <si>
    <t>Walk_1976-06-18_MW-TORONTO.MP3</t>
  </si>
  <si>
    <t>https://audio.iskcondesiretree.com/01_-_Srila_Prabhupada/01_-_Lectures/01_-_English/02_-_Month_wise/06_-_June/18/Walk_1976-06-18_MW-TORONTO.MP3</t>
  </si>
  <si>
    <t>SP_SB_7-06-03_Toronto_1976-06-19_Pots_Change_-_Contents_Stay.mp3</t>
  </si>
  <si>
    <t>https://audio.iskcondesiretree.com/01_-_Srila_Prabhupada/01_-_Lectures/01_-_English/01_-_Topic_wise/Srimad_Bhagavatam/Canto-07/SP_SB_7-06-03_Toronto_1976-06-19_Pots_Change_-_Contents_Stay.mp3</t>
  </si>
  <si>
    <t>Lecture_1976-06-19_LE-TORONTO.MP3</t>
  </si>
  <si>
    <t>https://audio.iskcondesiretree.com/01_-_Srila_Prabhupada/01_-_Lectures/01_-_English/02_-_Month_wise/06_-_June/19/Lecture_1976-06-19_LE-TORONTO.MP3</t>
  </si>
  <si>
    <t>SB-07-06-03_1976-06-19_SB-TORONTO.MP3</t>
  </si>
  <si>
    <t>https://audio.iskcondesiretree.com/01_-_Srila_Prabhupada/01_-_Lectures/01_-_English/02_-_Month_wise/06_-_June/19/SB-07-06-03_1976-06-19_SB-TORONTO.MP3</t>
  </si>
  <si>
    <t>SB_7-06-03_TOR_1976-06-19_Pots_Change_Contents_Stay.mp3</t>
  </si>
  <si>
    <t>https://audio.iskcondesiretree.com/01_-_Srila_Prabhupada/01_-_Lectures/01_-_English/02_-_Month_wise/06_-_June/19/SB_7-06-03_TOR_1976-06-19_Pots_Change_Contents_Stay.mp3</t>
  </si>
  <si>
    <t>Walk_1976-06-19_MW-TORONTO.MP3</t>
  </si>
  <si>
    <t>https://audio.iskcondesiretree.com/01_-_Srila_Prabhupada/01_-_Lectures/01_-_English/02_-_Month_wise/06_-_June/19/Walk_1976-06-19_MW-TORONTO.MP3</t>
  </si>
  <si>
    <t>SP_SB_7-06-04_Toronto_1976-06-20_Innermost_Benefit_from_the--etc.mp3</t>
  </si>
  <si>
    <t>https://audio.iskcondesiretree.com/01_-_Srila_Prabhupada/01_-_Lectures/01_-_English/01_-_Topic_wise/Srimad_Bhagavatam/Canto-07/SP_SB_7-06-04_Toronto_1976-06-20_Innermost_Benefit_from_the--etc.mp3</t>
  </si>
  <si>
    <t>SP_Lecture_Toronto_1976-06-20_Sunday_Feast--Don%27t_Forget_Your_Heritage.mp3</t>
  </si>
  <si>
    <t>https://audio.iskcondesiretree.com/01_-_Srila_Prabhupada/01_-_Lectures/01_-_English/01_-_Topic_wise/Various/SP_Lecture_Toronto_1976-06-20_Sunday_Feast--Don%27t_Forget_Your_Heritage.mp3</t>
  </si>
  <si>
    <t>Bg-09-03_1976-06-20_BG-TORONTO.MP3</t>
  </si>
  <si>
    <t>https://audio.iskcondesiretree.com/01_-_Srila_Prabhupada/01_-_Lectures/01_-_English/02_-_Month_wise/06_-_June/20/Bg-09-03_1976-06-20_BG-TORONTO.MP3</t>
  </si>
  <si>
    <t>Lect_TOR_1976-06-20_Sunday_Feast-Don%27t_Forget_Your_Heritage.mp3</t>
  </si>
  <si>
    <t>https://audio.iskcondesiretree.com/01_-_Srila_Prabhupada/01_-_Lectures/01_-_English/02_-_Month_wise/06_-_June/20/Lect_TOR_1976-06-20_Sunday_Feast-Don%27t_Forget_Your_Heritage.mp3</t>
  </si>
  <si>
    <t>SB-07-06-04_1976-06-20_SB-TORONTO.MP3</t>
  </si>
  <si>
    <t>https://audio.iskcondesiretree.com/01_-_Srila_Prabhupada/01_-_Lectures/01_-_English/02_-_Month_wise/06_-_June/20/SB-07-06-04_1976-06-20_SB-TORONTO.MP3</t>
  </si>
  <si>
    <t>SB_7-06-04_TOR_1976-06-20_Innermost_Benefit_from_the_etc.mp3</t>
  </si>
  <si>
    <t>https://audio.iskcondesiretree.com/01_-_Srila_Prabhupada/01_-_Lectures/01_-_English/02_-_Month_wise/06_-_June/20/SB_7-06-04_TOR_1976-06-20_Innermost_Benefit_from_the_etc.mp3</t>
  </si>
  <si>
    <t>Walk_1976-06-20_MW-TORONTO.MP3</t>
  </si>
  <si>
    <t>https://audio.iskcondesiretree.com/01_-_Srila_Prabhupada/01_-_Lectures/01_-_English/02_-_Month_wise/06_-_June/20/Walk_1976-06-20_MW-TORONTO.MP3</t>
  </si>
  <si>
    <t>SP_Morning_Walk_-_Toronto_1976-06-21_Everyone_Wants_to_Become_Krishna.mp3</t>
  </si>
  <si>
    <t>https://audio.iskcondesiretree.com/01_-_Srila_Prabhupada/01_-_Lectures/01_-_English/01_-_Topic_wise/Morning_Walk/SP_Morning_Walk_-_Toronto_1976-06-21_Everyone_Wants_to_Become_Krishna.mp3</t>
  </si>
  <si>
    <t>Arrival_1976-06-21_AR-NEW%20VRINDAVAN.MP3</t>
  </si>
  <si>
    <t>https://audio.iskcondesiretree.com/01_-_Srila_Prabhupada/01_-_Lectures/01_-_English/02_-_Month_wise/06_-_June/21/Arrival_1976-06-21_AR-NEW%20VRINDAVAN.MP3</t>
  </si>
  <si>
    <t>Conv_1976-06-21_CR-TORONTO.MP3</t>
  </si>
  <si>
    <t>https://audio.iskcondesiretree.com/01_-_Srila_Prabhupada/01_-_Lectures/01_-_English/02_-_Month_wise/06_-_June/21/Conv_1976-06-21_CR-TORONTO.MP3</t>
  </si>
  <si>
    <t>MW_TOR_1976-06-21_Everyone_Wants_to_Become_Krishna.mp3</t>
  </si>
  <si>
    <t>https://audio.iskcondesiretree.com/01_-_Srila_Prabhupada/01_-_Lectures/01_-_English/02_-_Month_wise/06_-_June/21/MW_TOR_1976-06-21_Everyone_Wants_to_Become_Krishna.mp3</t>
  </si>
  <si>
    <t>SB-07-06-05_1976-06-21_SB-TORONTO.MP3</t>
  </si>
  <si>
    <t>https://audio.iskcondesiretree.com/01_-_Srila_Prabhupada/01_-_Lectures/01_-_English/02_-_Month_wise/06_-_June/21/SB-07-06-05_1976-06-21_SB-TORONTO.MP3</t>
  </si>
  <si>
    <t>Walk_1976-06-21_MW-TORONTO.MP3</t>
  </si>
  <si>
    <t>https://audio.iskcondesiretree.com/01_-_Srila_Prabhupada/01_-_Lectures/01_-_English/02_-_Month_wise/06_-_June/21/Walk_1976-06-21_MW-TORONTO.MP3</t>
  </si>
  <si>
    <t>SP_Room_Conversation_New_Vrindavan_1976-06-22_Cloudburst_vs_Tap_Water.mp3</t>
  </si>
  <si>
    <t>https://audio.iskcondesiretree.com/01_-_Srila_Prabhupada/01_-_Lectures/01_-_English/01_-_Topic_wise/Room_Conversation/SP_Room_Conversation_New_Vrindavan_1976-06-22_Cloudburst_vs_Tap_Water.mp3</t>
  </si>
  <si>
    <t>SP_SB_7-06-06_New_Vrindavan_1976-06-22_Modern_Civilization--No--etc.mp3</t>
  </si>
  <si>
    <t>https://audio.iskcondesiretree.com/01_-_Srila_Prabhupada/01_-_Lectures/01_-_English/01_-_Topic_wise/Srimad_Bhagavatam/Canto-07/SP_SB_7-06-06_New_Vrindavan_1976-06-22_Modern_Civilization--No--etc.mp3</t>
  </si>
  <si>
    <t>Conv_1976-06-22_GC-NEW%20VRINDAVAN.MP3</t>
  </si>
  <si>
    <t>https://audio.iskcondesiretree.com/01_-_Srila_Prabhupada/01_-_Lectures/01_-_English/02_-_Month_wise/06_-_June/22/Conv_1976-06-22_GC-NEW%20VRINDAVAN.MP3</t>
  </si>
  <si>
    <t>RC_NV_1976-06-22_Cloudburst_vs_Tap_Water.mp3</t>
  </si>
  <si>
    <t>https://audio.iskcondesiretree.com/01_-_Srila_Prabhupada/01_-_Lectures/01_-_English/02_-_Month_wise/06_-_June/22/RC_NV_1976-06-22_Cloudburst_vs_Tap_Water.mp3</t>
  </si>
  <si>
    <t>SB-07-06-06_1976-06-22_SB-NEW%20VRINDAVAN.MP3</t>
  </si>
  <si>
    <t>https://audio.iskcondesiretree.com/01_-_Srila_Prabhupada/01_-_Lectures/01_-_English/02_-_Month_wise/06_-_June/22/SB-07-06-06_1976-06-22_SB-NEW%20VRINDAVAN.MP3</t>
  </si>
  <si>
    <t>SB_7-06-06_NV_1976-06-22_Modern_Civilization_No_etc.mp3</t>
  </si>
  <si>
    <t>https://audio.iskcondesiretree.com/01_-_Srila_Prabhupada/01_-_Lectures/01_-_English/02_-_Month_wise/06_-_June/22/SB_7-06-06_NV_1976-06-22_Modern_Civilization_No_etc.mp3</t>
  </si>
  <si>
    <t>VisitPalace_1976-06-22_VI-NEW%20VRINDAVAN.MP3</t>
  </si>
  <si>
    <t>https://audio.iskcondesiretree.com/01_-_Srila_Prabhupada/01_-_Lectures/01_-_English/02_-_Month_wise/06_-_June/22/VisitPalace_1976-06-22_VI-NEW%20VRINDAVAN.MP3</t>
  </si>
  <si>
    <t>Walk_1976-06-22_MW-NEW%20VRINDAVAN.MP3</t>
  </si>
  <si>
    <t>https://audio.iskcondesiretree.com/01_-_Srila_Prabhupada/01_-_Lectures/01_-_English/02_-_Month_wise/06_-_June/22/Walk_1976-06-22_MW-NEW%20VRINDAVAN.MP3</t>
  </si>
  <si>
    <t>SP_BG_06-20-25_New_Vrindavan_1976-06-23_Yoga_System--Precaution_Is--etc.mp3</t>
  </si>
  <si>
    <t>https://audio.iskcondesiretree.com/01_-_Srila_Prabhupada/01_-_Lectures/01_-_English/01_-_Topic_wise/Bhagavad_Gita/Chapter-06/SP_BG_06-20-25_New_Vrindavan_1976-06-23_Yoga_System--Precaution_Is--etc.mp3</t>
  </si>
  <si>
    <t>Bg_06-20_NV_1976-06-23_Yoga_System-Precaution_Is_etc.mp3</t>
  </si>
  <si>
    <t>https://audio.iskcondesiretree.com/01_-_Srila_Prabhupada/01_-_Lectures/01_-_English/02_-_Month_wise/06_-_June/23/Bg_06-20_NV_1976-06-23_Yoga_System-Precaution_Is_etc.mp3</t>
  </si>
  <si>
    <t>Conv_1976-06-23_GC-NEW%20VRINDAVAN.MP3</t>
  </si>
  <si>
    <t>https://audio.iskcondesiretree.com/01_-_Srila_Prabhupada/01_-_Lectures/01_-_English/02_-_Month_wise/06_-_June/23/Conv_1976-06-23_GC-NEW%20VRINDAVAN.MP3</t>
  </si>
  <si>
    <t>SP_Room_Conversation_New_Vrindavan_1976-06-24_Plain_Living_High_Thinking.mp3</t>
  </si>
  <si>
    <t>https://audio.iskcondesiretree.com/01_-_Srila_Prabhupada/01_-_Lectures/01_-_English/01_-_Topic_wise/Room_Conversation/SP_Room_Conversation_New_Vrindavan_1976-06-24_Plain_Living_High_Thinking.mp3</t>
  </si>
  <si>
    <t>SP_Room_Conversation_New_Vrindavan_1976-06-24_You_Enjoy_and_Forget_Goal.mp3</t>
  </si>
  <si>
    <t>https://audio.iskcondesiretree.com/01_-_Srila_Prabhupada/01_-_Lectures/01_-_English/01_-_Topic_wise/Room_Conversation/SP_Room_Conversation_New_Vrindavan_1976-06-24_You_Enjoy_and_Forget_Goal.mp3</t>
  </si>
  <si>
    <t>SP_SB_7-06-08_New_Vrindavan_1976-06-24_The_Greatest_Success_.._But--etc.mp3</t>
  </si>
  <si>
    <t>https://audio.iskcondesiretree.com/01_-_Srila_Prabhupada/01_-_Lectures/01_-_English/01_-_Topic_wise/Srimad_Bhagavatam/Canto-07/SP_SB_7-06-08_New_Vrindavan_1976-06-24_The_Greatest_Success_.._But--etc.mp3</t>
  </si>
  <si>
    <t>Conv_1976-06-24_R1-NEW%20VRINDAVAN.MP3</t>
  </si>
  <si>
    <t>https://audio.iskcondesiretree.com/01_-_Srila_Prabhupada/01_-_Lectures/01_-_English/02_-_Month_wise/06_-_June/24/Conv_1976-06-24_R1-NEW%20VRINDAVAN.MP3</t>
  </si>
  <si>
    <t>NewBTG_1976-06-24_BI-NEW%20VRINDAVAN.MP3</t>
  </si>
  <si>
    <t>https://audio.iskcondesiretree.com/01_-_Srila_Prabhupada/01_-_Lectures/01_-_English/02_-_Month_wise/06_-_June/24/NewBTG_1976-06-24_BI-NEW%20VRINDAVAN.MP3</t>
  </si>
  <si>
    <t>RC_NV_1976-06-24_Plain_Living_High_Thinking.mp3</t>
  </si>
  <si>
    <t>https://audio.iskcondesiretree.com/01_-_Srila_Prabhupada/01_-_Lectures/01_-_English/02_-_Month_wise/06_-_June/24/RC_NV_1976-06-24_Plain_Living_High_Thinking.mp3</t>
  </si>
  <si>
    <t>RC_NV_1976-06-24_You_Enjoy_and_Forget_Goal.mp3</t>
  </si>
  <si>
    <t>https://audio.iskcondesiretree.com/01_-_Srila_Prabhupada/01_-_Lectures/01_-_English/02_-_Month_wise/06_-_June/24/RC_NV_1976-06-24_You_Enjoy_and_Forget_Goal.mp3</t>
  </si>
  <si>
    <t>SB-07-06-08_1976-06-24_SB-NEW%20VRINDAVAN.MP3</t>
  </si>
  <si>
    <t>https://audio.iskcondesiretree.com/01_-_Srila_Prabhupada/01_-_Lectures/01_-_English/02_-_Month_wise/06_-_June/24/SB-07-06-08_1976-06-24_SB-NEW%20VRINDAVAN.MP3</t>
  </si>
  <si>
    <t>SB_7-06-08_NV_1976-06-24_The_Greatest_Success_But_etc.mp3</t>
  </si>
  <si>
    <t>https://audio.iskcondesiretree.com/01_-_Srila_Prabhupada/01_-_Lectures/01_-_English/02_-_Month_wise/06_-_June/24/SB_7-06-08_NV_1976-06-24_The_Greatest_Success_But_etc.mp3</t>
  </si>
  <si>
    <t>SP_SB_7-06-09_New_Vrindavan_1976-06-25_I_Love_My_Sense_Gratification.mp3</t>
  </si>
  <si>
    <t>https://audio.iskcondesiretree.com/01_-_Srila_Prabhupada/01_-_Lectures/01_-_English/01_-_Topic_wise/Srimad_Bhagavatam/Canto-07/SP_SB_7-06-09_New_Vrindavan_1976-06-25_I_Love_My_Sense_Gratification.mp3</t>
  </si>
  <si>
    <t>Conv_1976-06-25_MW-NEW%20VRINDAVAN.MP3</t>
  </si>
  <si>
    <t>https://audio.iskcondesiretree.com/01_-_Srila_Prabhupada/01_-_Lectures/01_-_English/02_-_Month_wise/06_-_June/25/Conv_1976-06-25_MW-NEW%20VRINDAVAN.MP3</t>
  </si>
  <si>
    <t>SB-01-05-01-16_1976-06-25_R1-NEW%20VRINDAVAN.MP3</t>
  </si>
  <si>
    <t>https://audio.iskcondesiretree.com/01_-_Srila_Prabhupada/01_-_Lectures/01_-_English/02_-_Month_wise/06_-_June/25/SB-01-05-01-16_1976-06-25_R1-NEW%20VRINDAVAN.MP3</t>
  </si>
  <si>
    <t>SB-07-06-09_1976-06-25_SB-NEW%20VRINDAVAN.MP3</t>
  </si>
  <si>
    <t>https://audio.iskcondesiretree.com/01_-_Srila_Prabhupada/01_-_Lectures/01_-_English/02_-_Month_wise/06_-_June/25/SB-07-06-09_1976-06-25_SB-NEW%20VRINDAVAN.MP3</t>
  </si>
  <si>
    <t>SB_7-06-09_NV_1976-06-25_I_Love_My_Sense_Gratification.mp3</t>
  </si>
  <si>
    <t>https://audio.iskcondesiretree.com/01_-_Srila_Prabhupada/01_-_Lectures/01_-_English/02_-_Month_wise/06_-_June/25/SB_7-06-09_NV_1976-06-25_I_Love_My_Sense_Gratification.mp3</t>
  </si>
  <si>
    <t>SP_BG_16-01-07_New_Vrindavan_1976-06-26_Dealing_with_Cats_and_Dogs.mp3</t>
  </si>
  <si>
    <t>https://audio.iskcondesiretree.com/01_-_Srila_Prabhupada/01_-_Lectures/01_-_English/01_-_Topic_wise/Bhagavad_Gita/Chapter-16/SP_BG_16-01-07_New_Vrindavan_1976-06-26_Dealing_with_Cats_and_Dogs.mp3</t>
  </si>
  <si>
    <t>Bg-16-01-16_1976-06-26_GD-NEW%20VRINDAVAN.MP3</t>
  </si>
  <si>
    <t>https://audio.iskcondesiretree.com/01_-_Srila_Prabhupada/01_-_Lectures/01_-_English/02_-_Month_wise/06_-_June/26/Bg-16-01-16_1976-06-26_GD-NEW%20VRINDAVAN.MP3</t>
  </si>
  <si>
    <t>Bg_16-01_NV_1976-06-26_Dealing_with_Cats_and_Dogs.mp3</t>
  </si>
  <si>
    <t>https://audio.iskcondesiretree.com/01_-_Srila_Prabhupada/01_-_Lectures/01_-_English/02_-_Month_wise/06_-_June/26/Bg_16-01_NV_1976-06-26_Dealing_with_Cats_and_Dogs.mp3</t>
  </si>
  <si>
    <t>Conv_1976-06-26_R1-NEW%20VRINDAVAN.MP3</t>
  </si>
  <si>
    <t>https://audio.iskcondesiretree.com/01_-_Srila_Prabhupada/01_-_Lectures/01_-_English/02_-_Month_wise/06_-_June/26/Conv_1976-06-26_R1-NEW%20VRINDAVAN.MP3</t>
  </si>
  <si>
    <t>Conv_1976-06-26_R2-NEW%20VRINDAVAN.MP3</t>
  </si>
  <si>
    <t>https://audio.iskcondesiretree.com/01_-_Srila_Prabhupada/01_-_Lectures/01_-_English/02_-_Month_wise/06_-_June/26/Conv_1976-06-26_R2-NEW%20VRINDAVAN.MP3</t>
  </si>
  <si>
    <t>SB-07-06-10_1976-06-26_SB-NEW%20VRINDAVAN.MP3</t>
  </si>
  <si>
    <t>https://audio.iskcondesiretree.com/01_-_Srila_Prabhupada/01_-_Lectures/01_-_English/02_-_Month_wise/06_-_June/26/SB-07-06-10_1976-06-26_SB-NEW%20VRINDAVAN.MP3</t>
  </si>
  <si>
    <t>VisitMarbleShop_1976-06-26_VI-NEW%20VRINDAVAN.MP3</t>
  </si>
  <si>
    <t>https://audio.iskcondesiretree.com/01_-_Srila_Prabhupada/01_-_Lectures/01_-_English/02_-_Month_wise/06_-_June/26/VisitMarbleShop_1976-06-26_VI-NEW%20VRINDAVAN.MP3</t>
  </si>
  <si>
    <t>SP_SB_7-06-11_New_Vrindavan_1976-06-27_Natural_Detachment.mp3</t>
  </si>
  <si>
    <t>https://audio.iskcondesiretree.com/01_-_Srila_Prabhupada/01_-_Lectures/01_-_English/01_-_Topic_wise/Srimad_Bhagavatam/Canto-07/SP_SB_7-06-11_New_Vrindavan_1976-06-27_Natural_Detachment.mp3</t>
  </si>
  <si>
    <t>Conv_1976-06-27_GC-NEW%20VRINDAVAN.MP3</t>
  </si>
  <si>
    <t>https://audio.iskcondesiretree.com/01_-_Srila_Prabhupada/01_-_Lectures/01_-_English/02_-_Month_wise/06_-_June/27/Conv_1976-06-27_GC-NEW%20VRINDAVAN.MP3</t>
  </si>
  <si>
    <t>SB-07-06-11%E2%80%9313_1976-06-27_SB-NEW%20VRINDAVAN.MP3</t>
  </si>
  <si>
    <t>https://audio.iskcondesiretree.com/01_-_Srila_Prabhupada/01_-_Lectures/01_-_English/02_-_Month_wise/06_-_June/27/SB-07-06-11%E2%80%9313_1976-06-27_SB-NEW%20VRINDAVAN.MP3</t>
  </si>
  <si>
    <t>SB_7-06-11_NV_1976-06-27_Natural_Detachment.mp3</t>
  </si>
  <si>
    <t>https://audio.iskcondesiretree.com/01_-_Srila_Prabhupada/01_-_Lectures/01_-_English/02_-_Month_wise/06_-_June/27/SB_7-06-11_NV_1976-06-27_Natural_Detachment.mp3</t>
  </si>
  <si>
    <t>Walk_1976-06-27_MW-NEW%20VRINDAVAN.MP3</t>
  </si>
  <si>
    <t>https://audio.iskcondesiretree.com/01_-_Srila_Prabhupada/01_-_Lectures/01_-_English/02_-_Month_wise/06_-_June/27/Walk_1976-06-27_MW-NEW%20VRINDAVAN.MP3</t>
  </si>
  <si>
    <t>SP_BG_16-13-17_New_Vrindavan_1976-06-28_Dishonesty_Starts_from_Government.mp3</t>
  </si>
  <si>
    <t>https://audio.iskcondesiretree.com/01_-_Srila_Prabhupada/01_-_Lectures/01_-_English/01_-_Topic_wise/Bhagavad_Gita/Chapter-16/SP_BG_16-13-17_New_Vrindavan_1976-06-28_Dishonesty_Starts_from_Government.mp3</t>
  </si>
  <si>
    <t>SP_Room_Conversation_New_Vrindavan_1976-06-28_Bhavans_Journal-1_Society_Going_to_the_Dogs.mp3</t>
  </si>
  <si>
    <t>https://audio.iskcondesiretree.com/01_-_Srila_Prabhupada/01_-_Lectures/01_-_English/01_-_Topic_wise/Room_Conversation/SP_Room_Conversation_New_Vrindavan_1976-06-28_Bhavans_Journal-1_Society_Going_to_the_Dogs.mp3</t>
  </si>
  <si>
    <t>SP_Room_Conversation_New_Vrindavan_1976-06-28_Bhavans_Journal-2_Innocent--etc.mp3</t>
  </si>
  <si>
    <t>https://audio.iskcondesiretree.com/01_-_Srila_Prabhupada/01_-_Lectures/01_-_English/01_-_Topic_wise/Room_Conversation/SP_Room_Conversation_New_Vrindavan_1976-06-28_Bhavans_Journal-2_Innocent--etc.mp3</t>
  </si>
  <si>
    <t>SP_Room_Conversation_New_Vrindavan_1976-06-28_Bhavans_Journal-3_Go_to_the_Real_Guru.mp3</t>
  </si>
  <si>
    <t>https://audio.iskcondesiretree.com/01_-_Srila_Prabhupada/01_-_Lectures/01_-_English/01_-_Topic_wise/Room_Conversation/SP_Room_Conversation_New_Vrindavan_1976-06-28_Bhavans_Journal-3_Go_to_the_Real_Guru.mp3</t>
  </si>
  <si>
    <t>SP_Room_Conversation_New_Vrindavan_1976-06-28_Bhavans_Journal-4_Sanctity_for_the_Sinful.mp3</t>
  </si>
  <si>
    <t>https://audio.iskcondesiretree.com/01_-_Srila_Prabhupada/01_-_Lectures/01_-_English/01_-_Topic_wise/Room_Conversation/SP_Room_Conversation_New_Vrindavan_1976-06-28_Bhavans_Journal-4_Sanctity_for_the_Sinful.mp3</t>
  </si>
  <si>
    <t>SP_Room_Conversation_New_Vrindavan_1976-06-28_Bhavans_Journal-5_What_Is_the_Sign--etc.mp3</t>
  </si>
  <si>
    <t>https://audio.iskcondesiretree.com/01_-_Srila_Prabhupada/01_-_Lectures/01_-_English/01_-_Topic_wise/Room_Conversation/SP_Room_Conversation_New_Vrindavan_1976-06-28_Bhavans_Journal-5_What_Is_the_Sign--etc.mp3</t>
  </si>
  <si>
    <t>SP_SB_7-06-14_New_Vrindavan_1976-06-28_The_Problem_of_Family_and_Belly.mp3</t>
  </si>
  <si>
    <t>https://audio.iskcondesiretree.com/01_-_Srila_Prabhupada/01_-_Lectures/01_-_English/01_-_Topic_wise/Srimad_Bhagavatam/Canto-07/SP_SB_7-06-14_New_Vrindavan_1976-06-28_The_Problem_of_Family_and_Belly.mp3</t>
  </si>
  <si>
    <t>Bg-16-17%E2%80%9319_1976-06-28_BG-NEW%20VRINDAVAN.MP3</t>
  </si>
  <si>
    <t>https://audio.iskcondesiretree.com/01_-_Srila_Prabhupada/01_-_Lectures/01_-_English/02_-_Month_wise/06_-_June/28/Bg-16-17%E2%80%9319_1976-06-28_BG-NEW%20VRINDAVAN.MP3</t>
  </si>
  <si>
    <t>Bg_16-17_NV_1976-06-28_Dishonesty_Starts_from_Government.mp3</t>
  </si>
  <si>
    <t>https://audio.iskcondesiretree.com/01_-_Srila_Prabhupada/01_-_Lectures/01_-_English/02_-_Month_wise/06_-_June/28/Bg_16-17_NV_1976-06-28_Dishonesty_Starts_from_Government.mp3</t>
  </si>
  <si>
    <t>Conv_1976-06-28_R1-NEW%20VRINDAVAN.MP3</t>
  </si>
  <si>
    <t>https://audio.iskcondesiretree.com/01_-_Srila_Prabhupada/01_-_Lectures/01_-_English/02_-_Month_wise/06_-_June/28/Conv_1976-06-28_R1-NEW%20VRINDAVAN.MP3</t>
  </si>
  <si>
    <t>Conv_1976-06-28_R2-NEW%20VRINDAVAN.MP3</t>
  </si>
  <si>
    <t>https://audio.iskcondesiretree.com/01_-_Srila_Prabhupada/01_-_Lectures/01_-_English/02_-_Month_wise/06_-_June/28/Conv_1976-06-28_R2-NEW%20VRINDAVAN.MP3</t>
  </si>
  <si>
    <t>RC_NV_1976-06-28_Bhavans_Journal-1_Society_Going_to_the_Dogs.mp3</t>
  </si>
  <si>
    <t>https://audio.iskcondesiretree.com/01_-_Srila_Prabhupada/01_-_Lectures/01_-_English/02_-_Month_wise/06_-_June/28/RC_NV_1976-06-28_Bhavans_Journal-1_Society_Going_to_the_Dogs.mp3</t>
  </si>
  <si>
    <t>RC_NV_1976-06-28_Bhavans_Journal-2_Innocent_etc.mp3</t>
  </si>
  <si>
    <t>https://audio.iskcondesiretree.com/01_-_Srila_Prabhupada/01_-_Lectures/01_-_English/02_-_Month_wise/06_-_June/28/RC_NV_1976-06-28_Bhavans_Journal-2_Innocent_etc.mp3</t>
  </si>
  <si>
    <t>RC_NV_1976-06-28_Bhavans_Journal-3_Go_to_the_Real_Guru.mp3</t>
  </si>
  <si>
    <t>https://audio.iskcondesiretree.com/01_-_Srila_Prabhupada/01_-_Lectures/01_-_English/02_-_Month_wise/06_-_June/28/RC_NV_1976-06-28_Bhavans_Journal-3_Go_to_the_Real_Guru.mp3</t>
  </si>
  <si>
    <t>RC_NV_1976-06-28_Bhavans_Journal-4_Sanctity_for_the_Sinful.mp3</t>
  </si>
  <si>
    <t>https://audio.iskcondesiretree.com/01_-_Srila_Prabhupada/01_-_Lectures/01_-_English/02_-_Month_wise/06_-_June/28/RC_NV_1976-06-28_Bhavans_Journal-4_Sanctity_for_the_Sinful.mp3</t>
  </si>
  <si>
    <t>RC_NV_1976-06-28_Bhavans_Journal-5_What_Is_the_Sign_etc.mp3</t>
  </si>
  <si>
    <t>https://audio.iskcondesiretree.com/01_-_Srila_Prabhupada/01_-_Lectures/01_-_English/02_-_Month_wise/06_-_June/28/RC_NV_1976-06-28_Bhavans_Journal-5_What_Is_the_Sign_etc.mp3</t>
  </si>
  <si>
    <t>SB-07-06-14_1976-06-28_SB-NEW%20VRINDAVAN.MP3</t>
  </si>
  <si>
    <t>https://audio.iskcondesiretree.com/01_-_Srila_Prabhupada/01_-_Lectures/01_-_English/02_-_Month_wise/06_-_June/28/SB-07-06-14_1976-06-28_SB-NEW%20VRINDAVAN.MP3</t>
  </si>
  <si>
    <t>SB_7-06-14_NV_1976-06-28_The_Problem_of_Family_and_Belly.mp3</t>
  </si>
  <si>
    <t>https://audio.iskcondesiretree.com/01_-_Srila_Prabhupada/01_-_Lectures/01_-_English/02_-_Month_wise/06_-_June/28/SB_7-06-14_NV_1976-06-28_The_Problem_of_Family_and_Belly.mp3</t>
  </si>
  <si>
    <t>SP_SB_7-06-15_New_Vrindavan_1976-06-29_The_Problem_of_Family_and_Belly.mp3</t>
  </si>
  <si>
    <t>https://audio.iskcondesiretree.com/01_-_Srila_Prabhupada/01_-_Lectures/01_-_English/01_-_Topic_wise/Srimad_Bhagavatam/Canto-07/SP_SB_7-06-15_New_Vrindavan_1976-06-29_The_Problem_of_Family_and_Belly.mp3</t>
  </si>
  <si>
    <t>BhavanJournalQuestionnaire-01_1976-06-29_BJ-NEW%20VRINDAVAN.MP3</t>
  </si>
  <si>
    <t>https://audio.iskcondesiretree.com/01_-_Srila_Prabhupada/01_-_Lectures/01_-_English/02_-_Month_wise/06_-_June/29/BhavanJournalQuestionnaire-01_1976-06-29_BJ-NEW%20VRINDAVAN.MP3</t>
  </si>
  <si>
    <t>Conv_1976-06-29_R1-NEW%20VRINDAVAN.MP3</t>
  </si>
  <si>
    <t>https://audio.iskcondesiretree.com/01_-_Srila_Prabhupada/01_-_Lectures/01_-_English/02_-_Month_wise/06_-_June/29/Conv_1976-06-29_R1-NEW%20VRINDAVAN.MP3</t>
  </si>
  <si>
    <t>SB-07-06-15_1976-06-29_SB-NEW%20VRINDAVAN.MP3</t>
  </si>
  <si>
    <t>https://audio.iskcondesiretree.com/01_-_Srila_Prabhupada/01_-_Lectures/01_-_English/02_-_Month_wise/06_-_June/29/SB-07-06-15_1976-06-29_SB-NEW%20VRINDAVAN.MP3</t>
  </si>
  <si>
    <t>SB_7-06-15_NV_1976-06-29_The_Problem_of_Family_and_Belly.mp3</t>
  </si>
  <si>
    <t>https://audio.iskcondesiretree.com/01_-_Srila_Prabhupada/01_-_Lectures/01_-_English/02_-_Month_wise/06_-_June/29/SB_7-06-15_NV_1976-06-29_The_Problem_of_Family_and_Belly.mp3</t>
  </si>
  <si>
    <t>SP_SB_7-06-16_New_Vrindavan_1976-06-30_Material_Entrapment.mp3</t>
  </si>
  <si>
    <t>https://audio.iskcondesiretree.com/01_-_Srila_Prabhupada/01_-_Lectures/01_-_English/01_-_Topic_wise/Srimad_Bhagavatam/Canto-07/SP_SB_7-06-16_New_Vrindavan_1976-06-30_Material_Entrapment.mp3</t>
  </si>
  <si>
    <t>BhavanJournalQuestionnaire-02_1976-06-30_BJ-NEW%20VRINDAVAN.MP3</t>
  </si>
  <si>
    <t>https://audio.iskcondesiretree.com/01_-_Srila_Prabhupada/01_-_Lectures/01_-_English/02_-_Month_wise/06_-_June/30/BhavanJournalQuestionnaire-02_1976-06-30_BJ-NEW%20VRINDAVAN.MP3</t>
  </si>
  <si>
    <t>Interview_1976-06-30_IV-WHEELING.MP3</t>
  </si>
  <si>
    <t>https://audio.iskcondesiretree.com/01_-_Srila_Prabhupada/01_-_Lectures/01_-_English/02_-_Month_wise/06_-_June/30/Interview_1976-06-30_IV-WHEELING.MP3</t>
  </si>
  <si>
    <t>SB-07-06-16_1976-06-30_SB-NEW%20VRINDAVAN.MP3</t>
  </si>
  <si>
    <t>https://audio.iskcondesiretree.com/01_-_Srila_Prabhupada/01_-_Lectures/01_-_English/02_-_Month_wise/06_-_June/30/SB-07-06-16_1976-06-30_SB-NEW%20VRINDAVAN.MP3</t>
  </si>
  <si>
    <t>SB_7-06-16_NV_1976-06-30_Material_Entrapment.mp3</t>
  </si>
  <si>
    <t>https://audio.iskcondesiretree.com/01_-_Srila_Prabhupada/01_-_Lectures/01_-_English/02_-_Month_wise/06_-_June/30/SB_7-06-16_NV_1976-06-30_Material_Entrapment.mp3</t>
  </si>
  <si>
    <t>SP_Room_Conversation_New_Vrindavan_1976-07-01_Religious_or_Wretched.mp3</t>
  </si>
  <si>
    <t>https://audio.iskcondesiretree.com/01_-_Srila_Prabhupada/01_-_Lectures/01_-_English/01_-_Topic_wise/Room_Conversation/SP_Room_Conversation_New_Vrindavan_1976-07-01_Religious_or_Wretched.mp3</t>
  </si>
  <si>
    <t>SP_SB_7-06-17_New_Vrindavan_1976-07-01_Material_Entrapment.mp3</t>
  </si>
  <si>
    <t>https://audio.iskcondesiretree.com/01_-_Srila_Prabhupada/01_-_Lectures/01_-_English/01_-_Topic_wise/Srimad_Bhagavatam/Canto-07/SP_SB_7-06-17_New_Vrindavan_1976-07-01_Material_Entrapment.mp3</t>
  </si>
  <si>
    <t>BhavanJournalQuestionnaire-03_1976-07-01_BJ-NEW%20VRINDAVAN.MP3</t>
  </si>
  <si>
    <t>https://audio.iskcondesiretree.com/01_-_Srila_Prabhupada/01_-_Lectures/01_-_English/02_-_Month_wise/07_-_July/01/BhavanJournalQuestionnaire-03_1976-07-01_BJ-NEW%20VRINDAVAN.MP3</t>
  </si>
  <si>
    <t>Conv_1976-07-01_R1-NEW%20VRINDAVAN.MP3</t>
  </si>
  <si>
    <t>https://audio.iskcondesiretree.com/01_-_Srila_Prabhupada/01_-_Lectures/01_-_English/02_-_Month_wise/07_-_July/01/Conv_1976-07-01_R1-NEW%20VRINDAVAN.MP3</t>
  </si>
  <si>
    <t>RC_NV_1976-07-01_Religious_or_Wretched.mp3</t>
  </si>
  <si>
    <t>https://audio.iskcondesiretree.com/01_-_Srila_Prabhupada/01_-_Lectures/01_-_English/02_-_Month_wise/07_-_July/01/RC_NV_1976-07-01_Religious_or_Wretched.mp3</t>
  </si>
  <si>
    <t>SB-07-06-17%E2%80%9318_1976-07-01_SB-NEW%20VRINDAVAN.MP3</t>
  </si>
  <si>
    <t>https://audio.iskcondesiretree.com/01_-_Srila_Prabhupada/01_-_Lectures/01_-_English/02_-_Month_wise/07_-_July/01/SB-07-06-17%E2%80%9318_1976-07-01_SB-NEW%20VRINDAVAN.MP3</t>
  </si>
  <si>
    <t>SB_7-06-17_NV_1976-07-01_Material_Entrapment.mp3</t>
  </si>
  <si>
    <t>https://audio.iskcondesiretree.com/01_-_Srila_Prabhupada/01_-_Lectures/01_-_English/02_-_Month_wise/07_-_July/01/SB_7-06-17_NV_1976-07-01_Material_Entrapment.mp3</t>
  </si>
  <si>
    <t>SP_Room_Conversation_Washington_DC_1976-07-02_Prabhupada_Respecting_Prasadam--We--etc.mp3</t>
  </si>
  <si>
    <t>https://audio.iskcondesiretree.com/01_-_Srila_Prabhupada/01_-_Lectures/01_-_English/01_-_Topic_wise/Room_Conversation/SP_Room_Conversation_Washington_DC_1976-07-02_Prabhupada_Respecting_Prasadam--We--etc.mp3</t>
  </si>
  <si>
    <t>SP_SB_7-06-19_New_Vrindavan_1976-07-02_Material_Service_-_Nobody--etc.mp3</t>
  </si>
  <si>
    <t>https://audio.iskcondesiretree.com/01_-_Srila_Prabhupada/01_-_Lectures/01_-_English/01_-_Topic_wise/Srimad_Bhagavatam/Canto-07/SP_SB_7-06-19_New_Vrindavan_1976-07-02_Material_Service_-_Nobody--etc.mp3</t>
  </si>
  <si>
    <t>Arrival_1976-07-02_AR-WASHINGTON%20DC.MP3</t>
  </si>
  <si>
    <t>https://audio.iskcondesiretree.com/01_-_Srila_Prabhupada/01_-_Lectures/01_-_English/02_-_Month_wise/07_-_July/02/Arrival_1976-07-02_AR-WASHINGTON%20DC.MP3</t>
  </si>
  <si>
    <t>Conv_1976-07-02_R1-NEW%20VRINDAVAN.MP3</t>
  </si>
  <si>
    <t>https://audio.iskcondesiretree.com/01_-_Srila_Prabhupada/01_-_Lectures/01_-_English/02_-_Month_wise/07_-_July/02/Conv_1976-07-02_R1-NEW%20VRINDAVAN.MP3</t>
  </si>
  <si>
    <t>RC_WDC_1976-07-02_Prabhupada_Respecting_Prasadam_We_etc.mp3</t>
  </si>
  <si>
    <t>https://audio.iskcondesiretree.com/01_-_Srila_Prabhupada/01_-_Lectures/01_-_English/02_-_Month_wise/07_-_July/02/RC_WDC_1976-07-02_Prabhupada_Respecting_Prasadam_We_etc.mp3</t>
  </si>
  <si>
    <t>SB-07-06-19_1976-07-02_SB-NEW%20VRINDAVAN.MP3</t>
  </si>
  <si>
    <t>https://audio.iskcondesiretree.com/01_-_Srila_Prabhupada/01_-_Lectures/01_-_English/02_-_Month_wise/07_-_July/02/SB-07-06-19_1976-07-02_SB-NEW%20VRINDAVAN.MP3</t>
  </si>
  <si>
    <t>SB_7-06-19_NV_1976-07-02_Material_Service_Nobody_etc.mp3</t>
  </si>
  <si>
    <t>https://audio.iskcondesiretree.com/01_-_Srila_Prabhupada/01_-_Lectures/01_-_English/02_-_Month_wise/07_-_July/02/SB_7-06-19_NV_1976-07-02_Material_Service_Nobody_etc.mp3</t>
  </si>
  <si>
    <t>Conv_1976-07-03_R1-WASHINGTON%20DC.MP3</t>
  </si>
  <si>
    <t>https://audio.iskcondesiretree.com/01_-_Srila_Prabhupada/01_-_Lectures/01_-_English/02_-_Month_wise/07_-_July/03/Conv_1976-07-03_R1-WASHINGTON%20DC.MP3</t>
  </si>
  <si>
    <t>LifeComesFromLife_1976-07-03_SS-WASHINGTON%20DC.MP3</t>
  </si>
  <si>
    <t>https://audio.iskcondesiretree.com/01_-_Srila_Prabhupada/01_-_Lectures/01_-_English/02_-_Month_wise/07_-_July/03/LifeComesFromLife_1976-07-03_SS-WASHINGTON%20DC.MP3</t>
  </si>
  <si>
    <t>SB-07-06-20%E2%80%9323_1976-07-03_SB-WASHINGTON%20DC.MP3</t>
  </si>
  <si>
    <t>https://audio.iskcondesiretree.com/01_-_Srila_Prabhupada/01_-_Lectures/01_-_English/02_-_Month_wise/07_-_July/03/SB-07-06-20%E2%80%9323_1976-07-03_SB-WASHINGTON%20DC.MP3</t>
  </si>
  <si>
    <t>Walk_1976-07-03_MW-WASHINGTON%20DC.MP3</t>
  </si>
  <si>
    <t>https://audio.iskcondesiretree.com/01_-_Srila_Prabhupada/01_-_Lectures/01_-_English/02_-_Month_wise/07_-_July/03/Walk_1976-07-03_MW-WASHINGTON%20DC.MP3</t>
  </si>
  <si>
    <t>SP_CC_M_20-098_Washington-DC_1976-07-04_Big_Boon_for_a_Bad_Bunch.mp3</t>
  </si>
  <si>
    <t>https://audio.iskcondesiretree.com/01_-_Srila_Prabhupada/01_-_Lectures/01_-_English/01_-_Topic_wise/Chaitanya_Charitamrita/Madhya_Lila/SP_CC_M_20-098_Washington-DC_1976-07-04_Big_Boon_for_a_Bad_Bunch.mp3</t>
  </si>
  <si>
    <t>Cc_M_20-098_WDC_1976-07-04_Big_Boon_for_a_Bad_Bunch.mp3</t>
  </si>
  <si>
    <t>https://audio.iskcondesiretree.com/01_-_Srila_Prabhupada/01_-_Lectures/01_-_English/02_-_Month_wise/07_-_July/04/Cc_M_20-098_WDC_1976-07-04_Big_Boon_for_a_Bad_Bunch.mp3</t>
  </si>
  <si>
    <t>CcMadhya-20-098%E2%80%93099_1976-07-04_CC-WASHINGTON%20DC.MP3</t>
  </si>
  <si>
    <t>https://audio.iskcondesiretree.com/01_-_Srila_Prabhupada/01_-_Lectures/01_-_English/02_-_Month_wise/07_-_July/04/CcMadhya-20-098%E2%80%93099_1976-07-04_CC-WASHINGTON%20DC.MP3</t>
  </si>
  <si>
    <t>Conv_1976-07-04_R1-WASHINGTON%20DC.MP3</t>
  </si>
  <si>
    <t>https://audio.iskcondesiretree.com/01_-_Srila_Prabhupada/01_-_Lectures/01_-_English/02_-_Month_wise/07_-_July/04/Conv_1976-07-04_R1-WASHINGTON%20DC.MP3</t>
  </si>
  <si>
    <t>LifeComesFromLife_1976-07-04_SS-WASHINGTON%20DC.MP3</t>
  </si>
  <si>
    <t>https://audio.iskcondesiretree.com/01_-_Srila_Prabhupada/01_-_Lectures/01_-_English/02_-_Month_wise/07_-_July/04/LifeComesFromLife_1976-07-04_SS-WASHINGTON%20DC.MP3</t>
  </si>
  <si>
    <t>Walk_1976-07-04_MW-WASHINGTON%20DC.MP3</t>
  </si>
  <si>
    <t>https://audio.iskcondesiretree.com/01_-_Srila_Prabhupada/01_-_Lectures/01_-_English/02_-_Month_wise/07_-_July/04/Walk_1976-07-04_MW-WASHINGTON%20DC.MP3</t>
  </si>
  <si>
    <t>SP_CC_M_20-100_Washington-DC_1976-07-05_Material_Masters--You_Can%27t_Satisfy.mp3</t>
  </si>
  <si>
    <t>https://audio.iskcondesiretree.com/01_-_Srila_Prabhupada/01_-_Lectures/01_-_English/01_-_Topic_wise/Chaitanya_Charitamrita/Madhya_Lila/SP_CC_M_20-100_Washington-DC_1976-07-05_Material_Masters--You_Can%27t_Satisfy.mp3</t>
  </si>
  <si>
    <t>SP_Morning_Walk_-_Washington_DC_1976-07-05_Bengalis--Spoiled_by_Vivekananda.mp3</t>
  </si>
  <si>
    <t>https://audio.iskcondesiretree.com/01_-_Srila_Prabhupada/01_-_Lectures/01_-_English/01_-_Topic_wise/Morning_Walk/SP_Morning_Walk_-_Washington_DC_1976-07-05_Bengalis--Spoiled_by_Vivekananda.mp3</t>
  </si>
  <si>
    <t>SP_Room_Conversation_Washington_DC_1976-07-05_Prof--Righteous-Roguish.mp3</t>
  </si>
  <si>
    <t>https://audio.iskcondesiretree.com/01_-_Srila_Prabhupada/01_-_Lectures/01_-_English/01_-_Topic_wise/Room_Conversation/SP_Room_Conversation_Washington_DC_1976-07-05_Prof--Righteous-Roguish.mp3</t>
  </si>
  <si>
    <t>Cc_M_20-100_WDC_1976-07-05_Material_Masters-You_Can%27t_Satisfy.mp3</t>
  </si>
  <si>
    <t>https://audio.iskcondesiretree.com/01_-_Srila_Prabhupada/01_-_Lectures/01_-_English/02_-_Month_wise/07_-_July/05/Cc_M_20-100_WDC_1976-07-05_Material_Masters-You_Can%27t_Satisfy.mp3</t>
  </si>
  <si>
    <t>CcMadhya-20-100_1976-07-05_CC-WASHINGTON%20DC.MP3</t>
  </si>
  <si>
    <t>https://audio.iskcondesiretree.com/01_-_Srila_Prabhupada/01_-_Lectures/01_-_English/02_-_Month_wise/07_-_July/05/CcMadhya-20-100_1976-07-05_CC-WASHINGTON%20DC.MP3</t>
  </si>
  <si>
    <t>Conv_1976-07-05_R1-WASHINGTON%20DC.MP3</t>
  </si>
  <si>
    <t>https://audio.iskcondesiretree.com/01_-_Srila_Prabhupada/01_-_Lectures/01_-_English/02_-_Month_wise/07_-_July/05/Conv_1976-07-05_R1-WASHINGTON%20DC.MP3</t>
  </si>
  <si>
    <t>Conv_1976-07-05_R2-WASHINGTON%20DC.MP3</t>
  </si>
  <si>
    <t>https://audio.iskcondesiretree.com/01_-_Srila_Prabhupada/01_-_Lectures/01_-_English/02_-_Month_wise/07_-_July/05/Conv_1976-07-05_R2-WASHINGTON%20DC.MP3</t>
  </si>
  <si>
    <t>Conv_1976-07-05_R3-WASHINGTON%20DC.MP3</t>
  </si>
  <si>
    <t>https://audio.iskcondesiretree.com/01_-_Srila_Prabhupada/01_-_Lectures/01_-_English/02_-_Month_wise/07_-_July/05/Conv_1976-07-05_R3-WASHINGTON%20DC.MP3</t>
  </si>
  <si>
    <t>Conv_1976-07-05_R4-WASHINGTON%20DC.MP3</t>
  </si>
  <si>
    <t>https://audio.iskcondesiretree.com/01_-_Srila_Prabhupada/01_-_Lectures/01_-_English/02_-_Month_wise/07_-_July/05/Conv_1976-07-05_R4-WASHINGTON%20DC.MP3</t>
  </si>
  <si>
    <t>MW_WDC_1976-07-05_Bengalis--Spoiled_by_Vivekananda.mp3</t>
  </si>
  <si>
    <t>https://audio.iskcondesiretree.com/01_-_Srila_Prabhupada/01_-_Lectures/01_-_English/02_-_Month_wise/07_-_July/05/MW_WDC_1976-07-05_Bengalis--Spoiled_by_Vivekananda.mp3</t>
  </si>
  <si>
    <t>RC_WDC_1976-07-05_Prof-Righteous-Roguish.mp3</t>
  </si>
  <si>
    <t>https://audio.iskcondesiretree.com/01_-_Srila_Prabhupada/01_-_Lectures/01_-_English/02_-_Month_wise/07_-_July/05/RC_WDC_1976-07-05_Prof-Righteous-Roguish.mp3</t>
  </si>
  <si>
    <t>Walk_1976-07-05_MW-WASHINGTON%20DC.MP3</t>
  </si>
  <si>
    <t>https://audio.iskcondesiretree.com/01_-_Srila_Prabhupada/01_-_Lectures/01_-_English/02_-_Month_wise/07_-_July/05/Walk_1976-07-05_MW-WASHINGTON%20DC.MP3</t>
  </si>
  <si>
    <t>SP_Room_Conversation_Washington_DC_1976-07-06_Svarupa_Damodar--Matter_and_the_Glance_of_God.mp3</t>
  </si>
  <si>
    <t>https://audio.iskcondesiretree.com/01_-_Srila_Prabhupada/01_-_Lectures/01_-_English/01_-_Topic_wise/Room_Conversation/SP_Room_Conversation_Washington_DC_1976-07-06_Svarupa_Damodar--Matter_and_the_Glance_of_God.mp3</t>
  </si>
  <si>
    <t>SP_Lecture_Washington_DC_1976-07-06_At_10th_Anniversary_of_ISKCON--etc.mp3</t>
  </si>
  <si>
    <t>https://audio.iskcondesiretree.com/01_-_Srila_Prabhupada/01_-_Lectures/01_-_English/01_-_Topic_wise/Various/SP_Lecture_Washington_DC_1976-07-06_At_10th_Anniversary_of_ISKCON--etc.mp3</t>
  </si>
  <si>
    <t>Address_1976-07-06_AD-WASHINGTON%20DC.MP3</t>
  </si>
  <si>
    <t>https://audio.iskcondesiretree.com/01_-_Srila_Prabhupada/01_-_Lectures/01_-_English/02_-_Month_wise/07_-_July/06/Address_1976-07-06_AD-WASHINGTON%20DC.MP3</t>
  </si>
  <si>
    <t>CcMadhya-20-101_1976-07-06_CC-WASHINGTON%20DC.MP3</t>
  </si>
  <si>
    <t>https://audio.iskcondesiretree.com/01_-_Srila_Prabhupada/01_-_Lectures/01_-_English/02_-_Month_wise/07_-_July/06/CcMadhya-20-101_1976-07-06_CC-WASHINGTON%20DC.MP3</t>
  </si>
  <si>
    <t>Conv_1976-07-06_R1-WASHINGTON%20DC.MP3</t>
  </si>
  <si>
    <t>https://audio.iskcondesiretree.com/01_-_Srila_Prabhupada/01_-_Lectures/01_-_English/02_-_Month_wise/07_-_July/06/Conv_1976-07-06_R1-WASHINGTON%20DC.MP3</t>
  </si>
  <si>
    <t>Conv_1976-07-06_R2-WASHINGTON%20DC.MP3</t>
  </si>
  <si>
    <t>https://audio.iskcondesiretree.com/01_-_Srila_Prabhupada/01_-_Lectures/01_-_English/02_-_Month_wise/07_-_July/06/Conv_1976-07-06_R2-WASHINGTON%20DC.MP3</t>
  </si>
  <si>
    <t>Conv_1976-07-06_R3-WASHINGTON%20DC.MP3</t>
  </si>
  <si>
    <t>https://audio.iskcondesiretree.com/01_-_Srila_Prabhupada/01_-_Lectures/01_-_English/02_-_Month_wise/07_-_July/06/Conv_1976-07-06_R3-WASHINGTON%20DC.MP3</t>
  </si>
  <si>
    <t>Conv_1976-07-06_R4-WASHINGTON%20DC.MP3</t>
  </si>
  <si>
    <t>https://audio.iskcondesiretree.com/01_-_Srila_Prabhupada/01_-_Lectures/01_-_English/02_-_Month_wise/07_-_July/06/Conv_1976-07-06_R4-WASHINGTON%20DC.MP3</t>
  </si>
  <si>
    <t>Darshan_1976-07-06_ED-WASHINGTON%20DC.MP3</t>
  </si>
  <si>
    <t>https://audio.iskcondesiretree.com/01_-_Srila_Prabhupada/01_-_Lectures/01_-_English/02_-_Month_wise/07_-_July/06/Darshan_1976-07-06_ED-WASHINGTON%20DC.MP3</t>
  </si>
  <si>
    <t>Lect_WDC_1976-07-06_At_10th_Anniversary_of_ISKCON_etc.mp3</t>
  </si>
  <si>
    <t>https://audio.iskcondesiretree.com/01_-_Srila_Prabhupada/01_-_Lectures/01_-_English/02_-_Month_wise/07_-_July/06/Lect_WDC_1976-07-06_At_10th_Anniversary_of_ISKCON_etc.mp3</t>
  </si>
  <si>
    <t>RC_WDC_1976-07-06_Svarupa_Damodar-Matter_and_the_Glance_of_God.mp3</t>
  </si>
  <si>
    <t>https://audio.iskcondesiretree.com/01_-_Srila_Prabhupada/01_-_Lectures/01_-_English/02_-_Month_wise/07_-_July/06/RC_WDC_1976-07-06_Svarupa_Damodar-Matter_and_the_Glance_of_God.mp3</t>
  </si>
  <si>
    <t>SP_CC_M_20-102_Washington-DC_1976-07-07_Nobody_Is_Fit--Nobody_Survives.mp3</t>
  </si>
  <si>
    <t>https://audio.iskcondesiretree.com/01_-_Srila_Prabhupada/01_-_Lectures/01_-_English/01_-_Topic_wise/Chaitanya_Charitamrita/Madhya_Lila/SP_CC_M_20-102_Washington-DC_1976-07-07_Nobody_Is_Fit--Nobody_Survives.mp3</t>
  </si>
  <si>
    <t>SP_Room_Conversation_Washington_DC_1976-07-07_From_Mental_Speculator_to_Mahatma.mp3</t>
  </si>
  <si>
    <t>https://audio.iskcondesiretree.com/01_-_Srila_Prabhupada/01_-_Lectures/01_-_English/01_-_Topic_wise/Room_Conversation/SP_Room_Conversation_Washington_DC_1976-07-07_From_Mental_Speculator_to_Mahatma.mp3</t>
  </si>
  <si>
    <t>SP_Room_Conversation_Washington_DC_1976-07-07_Prof--Rascals_Know_Everything_Except_God.mp3</t>
  </si>
  <si>
    <t>https://audio.iskcondesiretree.com/01_-_Srila_Prabhupada/01_-_Lectures/01_-_English/01_-_Topic_wise/Room_Conversation/SP_Room_Conversation_Washington_DC_1976-07-07_Prof--Rascals_Know_Everything_Except_God.mp3</t>
  </si>
  <si>
    <t>SP_Room_Conversation_Washington_DC_1976-07-07_Scientists--Two_Grains_of_Sand_on--etc.mp3</t>
  </si>
  <si>
    <t>https://audio.iskcondesiretree.com/01_-_Srila_Prabhupada/01_-_Lectures/01_-_English/01_-_Topic_wise/Room_Conversation/SP_Room_Conversation_Washington_DC_1976-07-07_Scientists--Two_Grains_of_Sand_on--etc.mp3</t>
  </si>
  <si>
    <t>Cc_M_20-102_WDC_1976-07-07_Nobody_Is_Fit-Nobody_Survives.mp3</t>
  </si>
  <si>
    <t>https://audio.iskcondesiretree.com/01_-_Srila_Prabhupada/01_-_Lectures/01_-_English/02_-_Month_wise/07_-_July/07/Cc_M_20-102_WDC_1976-07-07_Nobody_Is_Fit-Nobody_Survives.mp3</t>
  </si>
  <si>
    <t>CcMadhya-20-102_1976-07-07_CC-BALTIMORE.MP3</t>
  </si>
  <si>
    <t>https://audio.iskcondesiretree.com/01_-_Srila_Prabhupada/01_-_Lectures/01_-_English/02_-_Month_wise/07_-_July/07/CcMadhya-20-102_1976-07-07_CC-BALTIMORE.MP3</t>
  </si>
  <si>
    <t>Conv_1976-07-07_R1-BALTIMORE.MP3</t>
  </si>
  <si>
    <t>https://audio.iskcondesiretree.com/01_-_Srila_Prabhupada/01_-_Lectures/01_-_English/02_-_Month_wise/07_-_July/07/Conv_1976-07-07_R1-BALTIMORE.MP3</t>
  </si>
  <si>
    <t>Conv_1976-07-07_R2-BALTIMORE.MP3</t>
  </si>
  <si>
    <t>https://audio.iskcondesiretree.com/01_-_Srila_Prabhupada/01_-_Lectures/01_-_English/02_-_Month_wise/07_-_July/07/Conv_1976-07-07_R2-BALTIMORE.MP3</t>
  </si>
  <si>
    <t>Darshan_1976-07-07_ED-WASHINGTON%20DC.MP3</t>
  </si>
  <si>
    <t>https://audio.iskcondesiretree.com/01_-_Srila_Prabhupada/01_-_Lectures/01_-_English/02_-_Month_wise/07_-_July/07/Darshan_1976-07-07_ED-WASHINGTON%20DC.MP3</t>
  </si>
  <si>
    <t>RC_WDC_1976-07-07_From_Mental_Speculator_to_Mahatma.mp3</t>
  </si>
  <si>
    <t>https://audio.iskcondesiretree.com/01_-_Srila_Prabhupada/01_-_Lectures/01_-_English/02_-_Month_wise/07_-_July/07/RC_WDC_1976-07-07_From_Mental_Speculator_to_Mahatma.mp3</t>
  </si>
  <si>
    <t>RC_WDC_1976-07-07_Prof--Rascals_Know_Everything_Except_God.mp3</t>
  </si>
  <si>
    <t>https://audio.iskcondesiretree.com/01_-_Srila_Prabhupada/01_-_Lectures/01_-_English/02_-_Month_wise/07_-_July/07/RC_WDC_1976-07-07_Prof--Rascals_Know_Everything_Except_God.mp3</t>
  </si>
  <si>
    <t>RC_WDC_1976-07-07_Scientists--Two_Grains_of_Sand_on_etc.mp3</t>
  </si>
  <si>
    <t>https://audio.iskcondesiretree.com/01_-_Srila_Prabhupada/01_-_Lectures/01_-_English/02_-_Month_wise/07_-_July/07/RC_WDC_1976-07-07_Scientists--Two_Grains_of_Sand_on_etc.mp3</t>
  </si>
  <si>
    <t>SP_CC_M_20-103_Washington-DC_1976-07-08_Survival_of_the_Fittest.mp3</t>
  </si>
  <si>
    <t>https://audio.iskcondesiretree.com/01_-_Srila_Prabhupada/01_-_Lectures/01_-_English/01_-_Topic_wise/Chaitanya_Charitamrita/Madhya_Lila/SP_CC_M_20-103_Washington-DC_1976-07-08_Survival_of_the_Fittest.mp3</t>
  </si>
  <si>
    <t>SP_Room_Conversation_Washington_DC_1976-07-08_Government_of_the_Rascals_by_the_Rascals.mp3</t>
  </si>
  <si>
    <t>https://audio.iskcondesiretree.com/01_-_Srila_Prabhupada/01_-_Lectures/01_-_English/01_-_Topic_wise/Room_Conversation/SP_Room_Conversation_Washington_DC_1976-07-08_Government_of_the_Rascals_by_the_Rascals.mp3</t>
  </si>
  <si>
    <t>SP_Room_Conversation_Washington_DC_1976-07-08_S_Damodar--Life_Comes_By_the--etc.mp3</t>
  </si>
  <si>
    <t>https://audio.iskcondesiretree.com/01_-_Srila_Prabhupada/01_-_Lectures/01_-_English/01_-_Topic_wise/Room_Conversation/SP_Room_Conversation_Washington_DC_1976-07-08_S_Damodar--Life_Comes_By_the--etc.mp3</t>
  </si>
  <si>
    <t>Cc_M_20-103_WDC_1976-07-08_Survival_of_the_Fittest.mp3</t>
  </si>
  <si>
    <t>https://audio.iskcondesiretree.com/01_-_Srila_Prabhupada/01_-_Lectures/01_-_English/02_-_Month_wise/07_-_July/08/Cc_M_20-103_WDC_1976-07-08_Survival_of_the_Fittest.mp3</t>
  </si>
  <si>
    <t>CcMadhya-20-103_1976-07-08_CC-WASHINGTON%20DC.MP3</t>
  </si>
  <si>
    <t>https://audio.iskcondesiretree.com/01_-_Srila_Prabhupada/01_-_Lectures/01_-_English/02_-_Month_wise/07_-_July/08/CcMadhya-20-103_1976-07-08_CC-WASHINGTON%20DC.MP3</t>
  </si>
  <si>
    <t>Conv_1976-07-08_R1-WASHINGTON%20DC.MP3</t>
  </si>
  <si>
    <t>https://audio.iskcondesiretree.com/01_-_Srila_Prabhupada/01_-_Lectures/01_-_English/02_-_Month_wise/07_-_July/08/Conv_1976-07-08_R1-WASHINGTON%20DC.MP3</t>
  </si>
  <si>
    <t>Conv_1976-07-08_R2-WASHINGTON%20DC.MP3</t>
  </si>
  <si>
    <t>https://audio.iskcondesiretree.com/01_-_Srila_Prabhupada/01_-_Lectures/01_-_English/02_-_Month_wise/07_-_July/08/Conv_1976-07-08_R2-WASHINGTON%20DC.MP3</t>
  </si>
  <si>
    <t>Darshan_1976-07-08_ED-WASHINGTON%20DC.MP3</t>
  </si>
  <si>
    <t>https://audio.iskcondesiretree.com/01_-_Srila_Prabhupada/01_-_Lectures/01_-_English/02_-_Month_wise/07_-_July/08/Darshan_1976-07-08_ED-WASHINGTON%20DC.MP3</t>
  </si>
  <si>
    <t>Interview_1976-07-08_IV-WASHINGTON%20DC.MP3</t>
  </si>
  <si>
    <t>https://audio.iskcondesiretree.com/01_-_Srila_Prabhupada/01_-_Lectures/01_-_English/02_-_Month_wise/07_-_July/08/Interview_1976-07-08_IV-WASHINGTON%20DC.MP3</t>
  </si>
  <si>
    <t>RC_WDC_1976-07-08_Government_of_the_Rascals_by_the_Rascals.mp3</t>
  </si>
  <si>
    <t>https://audio.iskcondesiretree.com/01_-_Srila_Prabhupada/01_-_Lectures/01_-_English/02_-_Month_wise/07_-_July/08/RC_WDC_1976-07-08_Government_of_the_Rascals_by_the_Rascals.mp3</t>
  </si>
  <si>
    <t>RC_WDC_1976-07-08_S._Damodar_Life_Comes_By_the_etc.mp3</t>
  </si>
  <si>
    <t>https://audio.iskcondesiretree.com/01_-_Srila_Prabhupada/01_-_Lectures/01_-_English/02_-_Month_wise/07_-_July/08/RC_WDC_1976-07-08_S._Damodar_Life_Comes_By_the_etc.mp3</t>
  </si>
  <si>
    <t>Arrival_1976-07-09_AD-NEW%20YORK.MP3</t>
  </si>
  <si>
    <t>https://audio.iskcondesiretree.com/01_-_Srila_Prabhupada/01_-_Lectures/01_-_English/02_-_Month_wise/07_-_July/09/Arrival_1976-07-09_AD-NEW%20YORK.MP3</t>
  </si>
  <si>
    <t>Arrival_1976-07-09_AR-NEW%20YORK.MP3</t>
  </si>
  <si>
    <t>https://audio.iskcondesiretree.com/01_-_Srila_Prabhupada/01_-_Lectures/01_-_English/02_-_Month_wise/07_-_July/09/Arrival_1976-07-09_AR-NEW%20YORK.MP3</t>
  </si>
  <si>
    <t>Conv_1976-07-09_R1-NEW%20YORK.MP3</t>
  </si>
  <si>
    <t>https://audio.iskcondesiretree.com/01_-_Srila_Prabhupada/01_-_Lectures/01_-_English/02_-_Month_wise/07_-_July/09/Conv_1976-07-09_R1-NEW%20YORK.MP3</t>
  </si>
  <si>
    <t>Walk_1976-07-09_MW-WASHINGTON%20DC.MP3</t>
  </si>
  <si>
    <t>https://audio.iskcondesiretree.com/01_-_Srila_Prabhupada/01_-_Lectures/01_-_English/02_-_Month_wise/07_-_July/09/Walk_1976-07-09_MW-WASHINGTON%20DC.MP3</t>
  </si>
  <si>
    <t>CcMadhya-20-104_1976-07-10_CC-NEW%20YORK.MP3</t>
  </si>
  <si>
    <t>https://audio.iskcondesiretree.com/01_-_Srila_Prabhupada/01_-_Lectures/01_-_English/02_-_Month_wise/07_-_July/10/CcMadhya-20-104_1976-07-10_CC-NEW%20YORK.MP3</t>
  </si>
  <si>
    <t>Conv_1976-07-10_R1-NEW%20YORK.MP3</t>
  </si>
  <si>
    <t>https://audio.iskcondesiretree.com/01_-_Srila_Prabhupada/01_-_Lectures/01_-_English/02_-_Month_wise/07_-_July/10/Conv_1976-07-10_R1-NEW%20YORK.MP3</t>
  </si>
  <si>
    <t>Walk_1976-07-10_MW-NEW%20YORK.MP3</t>
  </si>
  <si>
    <t>https://audio.iskcondesiretree.com/01_-_Srila_Prabhupada/01_-_Lectures/01_-_English/02_-_Month_wise/07_-_July/10/Walk_1976-07-10_MW-NEW%20YORK.MP3</t>
  </si>
  <si>
    <t>SP_CC_M_20-105_New_York_1976-07-11_Approach_the_Spiritual--etc.mp3</t>
  </si>
  <si>
    <t>https://audio.iskcondesiretree.com/01_-_Srila_Prabhupada/01_-_Lectures/01_-_English/01_-_Topic_wise/Chaitanya_Charitamrita/Madhya_Lila/SP_CC_M_20-105_New_York_1976-07-11_Approach_the_Spiritual--etc.mp3</t>
  </si>
  <si>
    <t>SP_Room_Conversation_New_York_1976-07-11_Animal_Killers_Will_Never_Understand_God.mp3</t>
  </si>
  <si>
    <t>https://audio.iskcondesiretree.com/01_-_Srila_Prabhupada/01_-_Lectures/01_-_English/01_-_Topic_wise/Room_Conversation/SP_Room_Conversation_New_York_1976-07-11_Animal_Killers_Will_Never_Understand_God.mp3</t>
  </si>
  <si>
    <t>SP_Room_Conversation_New_York_1976-07-11_Can_God_Directly_Talk_to_Man.mp3</t>
  </si>
  <si>
    <t>https://audio.iskcondesiretree.com/01_-_Srila_Prabhupada/01_-_Lectures/01_-_English/01_-_Topic_wise/Room_Conversation/SP_Room_Conversation_New_York_1976-07-11_Can_God_Directly_Talk_to_Man.mp3</t>
  </si>
  <si>
    <t>SP_Room_Conversation_New_York_1976-07-11_Christ-Our_Guru.mp3</t>
  </si>
  <si>
    <t>https://audio.iskcondesiretree.com/01_-_Srila_Prabhupada/01_-_Lectures/01_-_English/01_-_Topic_wise/Room_Conversation/SP_Room_Conversation_New_York_1976-07-11_Christ-Our_Guru.mp3</t>
  </si>
  <si>
    <t>Cc_M_20-105_NY_1976-07-11_Approach_the_Spiritual_etc.mp3</t>
  </si>
  <si>
    <t>https://audio.iskcondesiretree.com/01_-_Srila_Prabhupada/01_-_Lectures/01_-_English/02_-_Month_wise/07_-_July/11/Cc_M_20-105_NY_1976-07-11_Approach_the_Spiritual_etc.mp3</t>
  </si>
  <si>
    <t>CcMadhya-20-105_1976-07-11_CC-NEW%20YORK.MP3</t>
  </si>
  <si>
    <t>https://audio.iskcondesiretree.com/01_-_Srila_Prabhupada/01_-_Lectures/01_-_English/02_-_Month_wise/07_-_July/11/CcMadhya-20-105_1976-07-11_CC-NEW%20YORK.MP3</t>
  </si>
  <si>
    <t>Darshan_1976-07-11_ED-NEW%20YORK.MP3</t>
  </si>
  <si>
    <t>https://audio.iskcondesiretree.com/01_-_Srila_Prabhupada/01_-_Lectures/01_-_English/02_-_Month_wise/07_-_July/11/Darshan_1976-07-11_ED-NEW%20YORK.MP3</t>
  </si>
  <si>
    <t>RC_NY_1976-07-11_Animal_Killers_Will_Never_Understand_God.mp3</t>
  </si>
  <si>
    <t>https://audio.iskcondesiretree.com/01_-_Srila_Prabhupada/01_-_Lectures/01_-_English/02_-_Month_wise/07_-_July/11/RC_NY_1976-07-11_Animal_Killers_Will_Never_Understand_God.mp3</t>
  </si>
  <si>
    <t>RC_NY_1976-07-11_Can_God_Directly_Talk_to_Man.mp3</t>
  </si>
  <si>
    <t>https://audio.iskcondesiretree.com/01_-_Srila_Prabhupada/01_-_Lectures/01_-_English/02_-_Month_wise/07_-_July/11/RC_NY_1976-07-11_Can_God_Directly_Talk_to_Man.mp3</t>
  </si>
  <si>
    <t>RC_NY_1976-07-11_Christ-Our_Guru.mp3</t>
  </si>
  <si>
    <t>https://audio.iskcondesiretree.com/01_-_Srila_Prabhupada/01_-_Lectures/01_-_English/02_-_Month_wise/07_-_July/11/RC_NY_1976-07-11_Christ-Our_Guru.mp3</t>
  </si>
  <si>
    <t>Walk_1976-07-11_MW-NEW%20YORK.MP3</t>
  </si>
  <si>
    <t>https://audio.iskcondesiretree.com/01_-_Srila_Prabhupada/01_-_Lectures/01_-_English/02_-_Month_wise/07_-_July/11/Walk_1976-07-11_MW-NEW%20YORK.MP3</t>
  </si>
  <si>
    <t>SP_CC_M_20-106_New_York_1976-07-12_Occupational_Duty_of_the_Soul.mp3</t>
  </si>
  <si>
    <t>https://audio.iskcondesiretree.com/01_-_Srila_Prabhupada/01_-_Lectures/01_-_English/01_-_Topic_wise/Chaitanya_Charitamrita/Madhya_Lila/SP_CC_M_20-106_New_York_1976-07-12_Occupational_Duty_of_the_Soul.mp3</t>
  </si>
  <si>
    <t>Bg-play_1976-07-12_BG-NEW%20YORK.MP3</t>
  </si>
  <si>
    <t>https://audio.iskcondesiretree.com/01_-_Srila_Prabhupada/01_-_Lectures/01_-_English/02_-_Month_wise/07_-_July/12/Bg-play_1976-07-12_BG-NEW%20YORK.MP3</t>
  </si>
  <si>
    <t>Cc_M_20-106_NY_1976-07-12_Occupational_Duty_of_the_Soul.mp3</t>
  </si>
  <si>
    <t>https://audio.iskcondesiretree.com/01_-_Srila_Prabhupada/01_-_Lectures/01_-_English/02_-_Month_wise/07_-_July/12/Cc_M_20-106_NY_1976-07-12_Occupational_Duty_of_the_Soul.mp3</t>
  </si>
  <si>
    <t>CcMadhya-20-106_1976-07-12_CC-NEW%20YORK.MP3</t>
  </si>
  <si>
    <t>https://audio.iskcondesiretree.com/01_-_Srila_Prabhupada/01_-_Lectures/01_-_English/02_-_Month_wise/07_-_July/12/CcMadhya-20-106_1976-07-12_CC-NEW%20YORK.MP3</t>
  </si>
  <si>
    <t>Walk_1976-07-12_MW-NEW%20YORK.MP3</t>
  </si>
  <si>
    <t>https://audio.iskcondesiretree.com/01_-_Srila_Prabhupada/01_-_Lectures/01_-_English/02_-_Month_wise/07_-_July/12/Walk_1976-07-12_MW-NEW%20YORK.MP3</t>
  </si>
  <si>
    <t>SP_CC_M_20-107_New_York_1976-07-13_Well-Placed_Greed.mp3</t>
  </si>
  <si>
    <t>https://audio.iskcondesiretree.com/01_-_Srila_Prabhupada/01_-_Lectures/01_-_English/01_-_Topic_wise/Chaitanya_Charitamrita/Madhya_Lila/SP_CC_M_20-107_New_York_1976-07-13_Well-Placed_Greed.mp3</t>
  </si>
  <si>
    <t>SP_Room_Conversation_New_York_1976-07-13_Love--Perverted_or_Pure.mp3</t>
  </si>
  <si>
    <t>https://audio.iskcondesiretree.com/01_-_Srila_Prabhupada/01_-_Lectures/01_-_English/01_-_Topic_wise/Room_Conversation/SP_Room_Conversation_New_York_1976-07-13_Love--Perverted_or_Pure.mp3</t>
  </si>
  <si>
    <t>Cc_M_20-107_NY_1976-07-13_Well-Placed_Greed.mp3</t>
  </si>
  <si>
    <t>https://audio.iskcondesiretree.com/01_-_Srila_Prabhupada/01_-_Lectures/01_-_English/02_-_Month_wise/07_-_July/13/Cc_M_20-107_NY_1976-07-13_Well-Placed_Greed.mp3</t>
  </si>
  <si>
    <t>CcMadhya-20-107_1976-07-13_CC-NEW%20YORK.MP3</t>
  </si>
  <si>
    <t>https://audio.iskcondesiretree.com/01_-_Srila_Prabhupada/01_-_Lectures/01_-_English/02_-_Month_wise/07_-_July/13/CcMadhya-20-107_1976-07-13_CC-NEW%20YORK.MP3</t>
  </si>
  <si>
    <t>Darshan_1976-07-13_ED-NEW%20YORK.MP3</t>
  </si>
  <si>
    <t>https://audio.iskcondesiretree.com/01_-_Srila_Prabhupada/01_-_Lectures/01_-_English/02_-_Month_wise/07_-_July/13/Darshan_1976-07-13_ED-NEW%20YORK.MP3</t>
  </si>
  <si>
    <t>RC_NY_1976-07-13_Love-Perverted_or_Pure.mp3</t>
  </si>
  <si>
    <t>https://audio.iskcondesiretree.com/01_-_Srila_Prabhupada/01_-_Lectures/01_-_English/02_-_Month_wise/07_-_July/13/RC_NY_1976-07-13_Love-Perverted_or_Pure.mp3</t>
  </si>
  <si>
    <t>Walk_1976-07-13_MW-NEW%20YORK.MP3</t>
  </si>
  <si>
    <t>https://audio.iskcondesiretree.com/01_-_Srila_Prabhupada/01_-_Lectures/01_-_English/02_-_Month_wise/07_-_July/13/Walk_1976-07-13_MW-NEW%20YORK.MP3</t>
  </si>
  <si>
    <t>SP_Interview_New_York_1976-07-14_Press--Newsday_Magazine--In_Any_Language.mp3</t>
  </si>
  <si>
    <t>https://audio.iskcondesiretree.com/01_-_Srila_Prabhupada/01_-_Lectures/01_-_English/01_-_Topic_wise/Interview/SP_Interview_New_York_1976-07-14_Press--Newsday_Magazine--In_Any_Language.mp3</t>
  </si>
  <si>
    <t>SP_Interview_New_York_1976-07-14_Press--Newsweek_Magazine--Are--etc.mp3</t>
  </si>
  <si>
    <t>https://audio.iskcondesiretree.com/01_-_Srila_Prabhupada/01_-_Lectures/01_-_English/01_-_Topic_wise/Interview/SP_Interview_New_York_1976-07-14_Press--Newsweek_Magazine--Are--etc.mp3</t>
  </si>
  <si>
    <t>Conv_1976-07-14_R1-NEW%20YORK.MP3</t>
  </si>
  <si>
    <t>https://audio.iskcondesiretree.com/01_-_Srila_Prabhupada/01_-_Lectures/01_-_English/02_-_Month_wise/07_-_July/14/Conv_1976-07-14_R1-NEW%20YORK.MP3</t>
  </si>
  <si>
    <t>Interv_NY_1976-07-14_Press-Newsday_Magazine-In_Any_Language.mp3</t>
  </si>
  <si>
    <t>https://audio.iskcondesiretree.com/01_-_Srila_Prabhupada/01_-_Lectures/01_-_English/02_-_Month_wise/07_-_July/14/Interv_NY_1976-07-14_Press-Newsday_Magazine-In_Any_Language.mp3</t>
  </si>
  <si>
    <t>Interv_NY_1976-07-14_Press-Newsweek_Magazine_Are_etc.mp3</t>
  </si>
  <si>
    <t>https://audio.iskcondesiretree.com/01_-_Srila_Prabhupada/01_-_Lectures/01_-_English/02_-_Month_wise/07_-_July/14/Interv_NY_1976-07-14_Press-Newsweek_Magazine_Are_etc.mp3</t>
  </si>
  <si>
    <t>Interview_1976-07-14_IV-NEW%20YORK.MP3</t>
  </si>
  <si>
    <t>https://audio.iskcondesiretree.com/01_-_Srila_Prabhupada/01_-_Lectures/01_-_English/02_-_Month_wise/07_-_July/14/Interview_1976-07-14_IV-NEW%20YORK.MP3</t>
  </si>
  <si>
    <t>Interview_1976-07-14_NEW%20YORK.MP3</t>
  </si>
  <si>
    <t>https://audio.iskcondesiretree.com/01_-_Srila_Prabhupada/01_-_Lectures/01_-_English/02_-_Month_wise/07_-_July/14/Interview_1976-07-14_NEW%20YORK.MP3</t>
  </si>
  <si>
    <t>Walk_1976-07-14_MW-NEW%20YORK.MP3</t>
  </si>
  <si>
    <t>https://audio.iskcondesiretree.com/01_-_Srila_Prabhupada/01_-_Lectures/01_-_English/02_-_Month_wise/07_-_July/14/Walk_1976-07-14_MW-NEW%20YORK.MP3</t>
  </si>
  <si>
    <t>SP_CC_M_20-108_New_York_1976-07-15_Servant--What_Loss_Master--What_Gain.mp3</t>
  </si>
  <si>
    <t>https://audio.iskcondesiretree.com/01_-_Srila_Prabhupada/01_-_Lectures/01_-_English/01_-_Topic_wise/Chaitanya_Charitamrita/Madhya_Lila/SP_CC_M_20-108_New_York_1976-07-15_Servant--What_Loss_Master--What_Gain.mp3</t>
  </si>
  <si>
    <t>Cc_M_20-108_NY_1976-07-15_Servant-What_Loss_Master_What_Gain.mp3</t>
  </si>
  <si>
    <t>https://audio.iskcondesiretree.com/01_-_Srila_Prabhupada/01_-_Lectures/01_-_English/02_-_Month_wise/07_-_July/15/Cc_M_20-108_NY_1976-07-15_Servant-What_Loss_Master_What_Gain.mp3</t>
  </si>
  <si>
    <t>CcMadhya-20-108-109_1976-07-15_CC-NEW%20YORK.MP3</t>
  </si>
  <si>
    <t>https://audio.iskcondesiretree.com/01_-_Srila_Prabhupada/01_-_Lectures/01_-_English/02_-_Month_wise/07_-_July/15/CcMadhya-20-108-109_1976-07-15_CC-NEW%20YORK.MP3</t>
  </si>
  <si>
    <t>Conv_1976-07-15_CV-NEW%20YORK.MP3</t>
  </si>
  <si>
    <t>https://audio.iskcondesiretree.com/01_-_Srila_Prabhupada/01_-_Lectures/01_-_English/02_-_Month_wise/07_-_July/15/Conv_1976-07-15_CV-NEW%20YORK.MP3</t>
  </si>
  <si>
    <t>SP_Interview_New_York_1976-07-16_Press--Associated_Press--The--etc.mp3</t>
  </si>
  <si>
    <t>https://audio.iskcondesiretree.com/01_-_Srila_Prabhupada/01_-_Lectures/01_-_English/01_-_Topic_wise/Interview/SP_Interview_New_York_1976-07-16_Press--Associated_Press--The--etc.mp3</t>
  </si>
  <si>
    <t>Conv_1976-07-16_R1-NEW%20YORK.MP3</t>
  </si>
  <si>
    <t>https://audio.iskcondesiretree.com/01_-_Srila_Prabhupada/01_-_Lectures/01_-_English/02_-_Month_wise/07_-_July/16/Conv_1976-07-16_R1-NEW%20YORK.MP3</t>
  </si>
  <si>
    <t>Interv_NY_1976-07-16_Press-Associated_Press_The_etc.mp3</t>
  </si>
  <si>
    <t>https://audio.iskcondesiretree.com/01_-_Srila_Prabhupada/01_-_Lectures/01_-_English/02_-_Month_wise/07_-_July/16/Interv_NY_1976-07-16_Press-Associated_Press_The_etc.mp3</t>
  </si>
  <si>
    <t>Interview_1976-07-16_IV-NEW%20YORK.MP3</t>
  </si>
  <si>
    <t>https://audio.iskcondesiretree.com/01_-_Srila_Prabhupada/01_-_Lectures/01_-_English/02_-_Month_wise/07_-_July/16/Interview_1976-07-16_IV-NEW%20YORK.MP3</t>
  </si>
  <si>
    <t>Lecture_1976-07-16_LE-PORT%20ROYAL.MP3</t>
  </si>
  <si>
    <t>https://audio.iskcondesiretree.com/01_-_Srila_Prabhupada/01_-_Lectures/01_-_English/02_-_Month_wise/07_-_July/16/Lecture_1976-07-16_LE-PORT%20ROYAL.MP3</t>
  </si>
  <si>
    <t>SP_CC_M_20-110_New_York_1976-07-17_See_Illumination_of_God.mp3</t>
  </si>
  <si>
    <t>https://audio.iskcondesiretree.com/01_-_Srila_Prabhupada/01_-_Lectures/01_-_English/01_-_Topic_wise/Chaitanya_Charitamrita/Madhya_Lila/SP_CC_M_20-110_New_York_1976-07-17_See_Illumination_of_God.mp3</t>
  </si>
  <si>
    <t>SP_Interview_New_York_1976-07-17_Trans_India_Magazine--Life%2C--etc.mp3</t>
  </si>
  <si>
    <t>https://audio.iskcondesiretree.com/01_-_Srila_Prabhupada/01_-_Lectures/01_-_English/01_-_Topic_wise/Interview/SP_Interview_New_York_1976-07-17_Trans_India_Magazine--Life%2C--etc.mp3</t>
  </si>
  <si>
    <t>SP_Room_Conversation_New_York_1976-07-17_Krishna_Supreme_or_Second-Best.mp3</t>
  </si>
  <si>
    <t>https://audio.iskcondesiretree.com/01_-_Srila_Prabhupada/01_-_Lectures/01_-_English/01_-_Topic_wise/Room_Conversation/SP_Room_Conversation_New_York_1976-07-17_Krishna_Supreme_or_Second-Best.mp3</t>
  </si>
  <si>
    <t>Cc_M_20-110_NY_1976-07-17_See_Illumination_of_God.mp3</t>
  </si>
  <si>
    <t>https://audio.iskcondesiretree.com/01_-_Srila_Prabhupada/01_-_Lectures/01_-_English/02_-_Month_wise/07_-_July/17/Cc_M_20-110_NY_1976-07-17_See_Illumination_of_God.mp3</t>
  </si>
  <si>
    <t>CcMadhya-20-110_1976-07-17_CC-NEW%20YORK.MP3</t>
  </si>
  <si>
    <t>https://audio.iskcondesiretree.com/01_-_Srila_Prabhupada/01_-_Lectures/01_-_English/02_-_Month_wise/07_-_July/17/CcMadhya-20-110_1976-07-17_CC-NEW%20YORK.MP3</t>
  </si>
  <si>
    <t>Conv_1976-07-17_R1-NEW%20YORK.MP3</t>
  </si>
  <si>
    <t>https://audio.iskcondesiretree.com/01_-_Srila_Prabhupada/01_-_Lectures/01_-_English/02_-_Month_wise/07_-_July/17/Conv_1976-07-17_R1-NEW%20YORK.MP3</t>
  </si>
  <si>
    <t>Interv_NY_1976-07-17_Trans_India_Magazine_Life_etc.mp3</t>
  </si>
  <si>
    <t>https://audio.iskcondesiretree.com/01_-_Srila_Prabhupada/01_-_Lectures/01_-_English/02_-_Month_wise/07_-_July/17/Interv_NY_1976-07-17_Trans_India_Magazine_Life_etc.mp3</t>
  </si>
  <si>
    <t>Interview_1976-07-17_IV-NEW%20YORK.MP3</t>
  </si>
  <si>
    <t>https://audio.iskcondesiretree.com/01_-_Srila_Prabhupada/01_-_Lectures/01_-_English/02_-_Month_wise/07_-_July/17/Interview_1976-07-17_IV-NEW%20YORK.MP3</t>
  </si>
  <si>
    <t>RC_NY_1976-07-17_Krishna-Supreme_or_Second-Best.mp3</t>
  </si>
  <si>
    <t>https://audio.iskcondesiretree.com/01_-_Srila_Prabhupada/01_-_Lectures/01_-_English/02_-_Month_wise/07_-_July/17/RC_NY_1976-07-17_Krishna-Supreme_or_Second-Best.mp3</t>
  </si>
  <si>
    <t>Walk_1976-07-17_MW-NEW%20YORK.MP3</t>
  </si>
  <si>
    <t>https://audio.iskcondesiretree.com/01_-_Srila_Prabhupada/01_-_Lectures/01_-_English/02_-_Month_wise/07_-_July/17/Walk_1976-07-17_MW-NEW%20YORK.MP3</t>
  </si>
  <si>
    <t>SP_Festivals_New_York_1976-07-18_Ratha-yatra--The_Culture_of_Liberty.mp3</t>
  </si>
  <si>
    <t>https://audio.iskcondesiretree.com/01_-_Srila_Prabhupada/01_-_Lectures/01_-_English/01_-_Topic_wise/Festivals/SP_Festivals_New_York_1976-07-18_Ratha-yatra--The_Culture_of_Liberty.mp3</t>
  </si>
  <si>
    <t>Conv_1976-07-18_R1-NEW%20YORK.MP3</t>
  </si>
  <si>
    <t>https://audio.iskcondesiretree.com/01_-_Srila_Prabhupada/01_-_Lectures/01_-_English/02_-_Month_wise/07_-_July/18/Conv_1976-07-18_R1-NEW%20YORK.MP3</t>
  </si>
  <si>
    <t>Fest_NY_1976-07-18_Ratha-yatra-The_Culture_of_Liberty.mp3</t>
  </si>
  <si>
    <t>https://audio.iskcondesiretree.com/01_-_Srila_Prabhupada/01_-_Lectures/01_-_English/02_-_Month_wise/07_-_July/18/Fest_NY_1976-07-18_Ratha-yatra-The_Culture_of_Liberty.mp3</t>
  </si>
  <si>
    <t>RathaYatra_1976-07-18_RY-NEW%20YORK.MP3</t>
  </si>
  <si>
    <t>https://audio.iskcondesiretree.com/01_-_Srila_Prabhupada/01_-_Lectures/01_-_English/02_-_Month_wise/07_-_July/18/RathaYatra_1976-07-18_RY-NEW%20YORK.MP3</t>
  </si>
  <si>
    <t>Walk_1976-07-18_MW-NEW%20YORK.MP3</t>
  </si>
  <si>
    <t>https://audio.iskcondesiretree.com/01_-_Srila_Prabhupada/01_-_Lectures/01_-_English/02_-_Month_wise/07_-_July/18/Walk_1976-07-18_MW-NEW%20YORK.MP3</t>
  </si>
  <si>
    <t>CcMadhya-20-111_1976-07-19_CC-NEW%20YORK.MP3</t>
  </si>
  <si>
    <t>https://audio.iskcondesiretree.com/01_-_Srila_Prabhupada/01_-_Lectures/01_-_English/02_-_Month_wise/07_-_July/19/CcMadhya-20-111_1976-07-19_CC-NEW%20YORK.MP3</t>
  </si>
  <si>
    <t>Conv_1976-07-19_R1-NEW%20YORK.MP3</t>
  </si>
  <si>
    <t>https://audio.iskcondesiretree.com/01_-_Srila_Prabhupada/01_-_Lectures/01_-_English/02_-_Month_wise/07_-_July/19/Conv_1976-07-19_R1-NEW%20YORK.MP3</t>
  </si>
  <si>
    <t>Conv_1976-07-19_R2-NEW%20YORK.MP3</t>
  </si>
  <si>
    <t>https://audio.iskcondesiretree.com/01_-_Srila_Prabhupada/01_-_Lectures/01_-_English/02_-_Month_wise/07_-_July/19/Conv_1976-07-19_R2-NEW%20YORK.MP3</t>
  </si>
  <si>
    <t>SP_CC_M_20-112_New_York_1976-07-20_Everywhere_His_Mystic_Potency.mp3</t>
  </si>
  <si>
    <t>https://audio.iskcondesiretree.com/01_-_Srila_Prabhupada/01_-_Lectures/01_-_English/01_-_Topic_wise/Chaitanya_Charitamrita/Madhya_Lila/SP_CC_M_20-112_New_York_1976-07-20_Everywhere_His_Mystic_Potency.mp3</t>
  </si>
  <si>
    <t>Cc_M_20-112_NY_1976-07-20_Everywhere_His_Mystic_Potency.mp3</t>
  </si>
  <si>
    <t>https://audio.iskcondesiretree.com/01_-_Srila_Prabhupada/01_-_Lectures/01_-_English/02_-_Month_wise/07_-_July/20/Cc_M_20-112_NY_1976-07-20_Everywhere_His_Mystic_Potency.mp3</t>
  </si>
  <si>
    <t>CcMadhya-20-112_1976-07-20_CC-NEW%20YORK.MP3</t>
  </si>
  <si>
    <t>https://audio.iskcondesiretree.com/01_-_Srila_Prabhupada/01_-_Lectures/01_-_English/02_-_Month_wise/07_-_July/20/CcMadhya-20-112_1976-07-20_CC-NEW%20YORK.MP3</t>
  </si>
  <si>
    <t>Conv_1976-07-20_CR-NEW%20YORK.MP3</t>
  </si>
  <si>
    <t>https://audio.iskcondesiretree.com/01_-_Srila_Prabhupada/01_-_Lectures/01_-_English/02_-_Month_wise/07_-_July/20/Conv_1976-07-20_CR-NEW%20YORK.MP3</t>
  </si>
  <si>
    <t>Walk_1976-07-20_MW-NEW%20YORK.MP3</t>
  </si>
  <si>
    <t>https://audio.iskcondesiretree.com/01_-_Srila_Prabhupada/01_-_Lectures/01_-_English/02_-_Month_wise/07_-_July/20/Walk_1976-07-20_MW-NEW%20YORK.MP3</t>
  </si>
  <si>
    <t>Conv_1976-07-21_CR-NEW%20YORK.MP3</t>
  </si>
  <si>
    <t>https://audio.iskcondesiretree.com/01_-_Srila_Prabhupada/01_-_Lectures/01_-_English/02_-_Month_wise/07_-_July/21/Conv_1976-07-21_CR-NEW%20YORK.MP3</t>
  </si>
  <si>
    <t>SP_CC_M_20-113_London_1976-07-23_Inconceivable_but_Believable.mp3</t>
  </si>
  <si>
    <t>https://audio.iskcondesiretree.com/01_-_Srila_Prabhupada/01_-_Lectures/01_-_English/01_-_Topic_wise/Chaitanya_Charitamrita/Madhya_Lila/SP_CC_M_20-113_London_1976-07-23_Inconceivable_but_Believable.mp3</t>
  </si>
  <si>
    <t>SP_Interview_London_1976-07-23_Press--Lon._Observer_Sentiment--etc.mp3</t>
  </si>
  <si>
    <t>https://audio.iskcondesiretree.com/01_-_Srila_Prabhupada/01_-_Lectures/01_-_English/01_-_Topic_wise/Interview/SP_Interview_London_1976-07-23_Press--Lon._Observer_Sentiment--etc.mp3</t>
  </si>
  <si>
    <t>Cc_M_20-113_LON_1976-07-23_Inconceivable_but_Believable.mp3</t>
  </si>
  <si>
    <t>https://audio.iskcondesiretree.com/01_-_Srila_Prabhupada/01_-_Lectures/01_-_English/02_-_Month_wise/07_-_July/23/Cc_M_20-113_LON_1976-07-23_Inconceivable_but_Believable.mp3</t>
  </si>
  <si>
    <t>CcMadhya-20-113_1976-07-23_CC-LONDON.MP3</t>
  </si>
  <si>
    <t>https://audio.iskcondesiretree.com/01_-_Srila_Prabhupada/01_-_Lectures/01_-_English/02_-_Month_wise/07_-_July/23/CcMadhya-20-113_1976-07-23_CC-LONDON.MP3</t>
  </si>
  <si>
    <t>Interv_LON_1976-07-23_Press-Lon._Observer_Sentiment_etc.mp3</t>
  </si>
  <si>
    <t>https://audio.iskcondesiretree.com/01_-_Srila_Prabhupada/01_-_Lectures/01_-_English/02_-_Month_wise/07_-_July/23/Interv_LON_1976-07-23_Press-Lon._Observer_Sentiment_etc.mp3</t>
  </si>
  <si>
    <t>Interview_1976-07-23_IV-LONDON.MP3</t>
  </si>
  <si>
    <t>https://audio.iskcondesiretree.com/01_-_Srila_Prabhupada/01_-_Lectures/01_-_English/02_-_Month_wise/07_-_July/23/Interview_1976-07-23_IV-LONDON.MP3</t>
  </si>
  <si>
    <t>Conv_1976-07-24_R1-LONDON.MP3</t>
  </si>
  <si>
    <t>https://audio.iskcondesiretree.com/01_-_Srila_Prabhupada/01_-_Lectures/01_-_English/02_-_Month_wise/07_-_July/24/Conv_1976-07-24_R1-LONDON.MP3</t>
  </si>
  <si>
    <t>SP_BG_13-03_London_1976-07-25_Controllers--Junior_and_Senior.mp3</t>
  </si>
  <si>
    <t>https://audio.iskcondesiretree.com/01_-_Srila_Prabhupada/01_-_Lectures/01_-_English/01_-_Topic_wise/Bhagavad_Gita/Chapter-13/SP_BG_13-03_London_1976-07-25_Controllers--Junior_and_Senior.mp3</t>
  </si>
  <si>
    <t>Bg_13-03_LON_1976-07-25_Controllers-Junior_and_Senior.mp3</t>
  </si>
  <si>
    <t>https://audio.iskcondesiretree.com/01_-_Srila_Prabhupada/01_-_Lectures/01_-_English/02_-_Month_wise/07_-_July/25/Bg_13-03_LON_1976-07-25_Controllers-Junior_and_Senior.mp3</t>
  </si>
  <si>
    <t>Lecture_1976-07-25_L1-LONDON.MP3</t>
  </si>
  <si>
    <t>https://audio.iskcondesiretree.com/01_-_Srila_Prabhupada/01_-_Lectures/01_-_English/02_-_Month_wise/07_-_July/25/Lecture_1976-07-25_L1-LONDON.MP3</t>
  </si>
  <si>
    <t>Lecture_1976-07-25_L2-LONDON.MP3</t>
  </si>
  <si>
    <t>https://audio.iskcondesiretree.com/01_-_Srila_Prabhupada/01_-_Lectures/01_-_English/02_-_Month_wise/07_-_July/25/Lecture_1976-07-25_L2-LONDON.MP3</t>
  </si>
  <si>
    <t>Lecture_1976-07-25_L3-LONDON.MP3</t>
  </si>
  <si>
    <t>https://audio.iskcondesiretree.com/01_-_Srila_Prabhupada/01_-_Lectures/01_-_English/02_-_Month_wise/07_-_July/25/Lecture_1976-07-25_L3-LONDON.MP3</t>
  </si>
  <si>
    <t>SP_Room_Conversation_London_1976-07-26_The_Next_Life.mp3</t>
  </si>
  <si>
    <t>https://audio.iskcondesiretree.com/01_-_Srila_Prabhupada/01_-_Lectures/01_-_English/01_-_Topic_wise/Room_Conversation/SP_Room_Conversation_London_1976-07-26_The_Next_Life.mp3</t>
  </si>
  <si>
    <t>Conv_1976-07-26_R1-LONDON.MP3</t>
  </si>
  <si>
    <t>https://audio.iskcondesiretree.com/01_-_Srila_Prabhupada/01_-_Lectures/01_-_English/02_-_Month_wise/07_-_July/26/Conv_1976-07-26_R1-LONDON.MP3</t>
  </si>
  <si>
    <t>Conv_1976-07-26_R2-LONDON.MP3</t>
  </si>
  <si>
    <t>https://audio.iskcondesiretree.com/01_-_Srila_Prabhupada/01_-_Lectures/01_-_English/02_-_Month_wise/07_-_July/26/Conv_1976-07-26_R2-LONDON.MP3</t>
  </si>
  <si>
    <t>RC_LON_1976-07-26_The_Next_Life.mp3</t>
  </si>
  <si>
    <t>https://audio.iskcondesiretree.com/01_-_Srila_Prabhupada/01_-_Lectures/01_-_English/02_-_Month_wise/07_-_July/26/RC_LON_1976-07-26_The_Next_Life.mp3</t>
  </si>
  <si>
    <t>SP_Room_Conversation_London_1976-07-27_A_Wrong_Civilization.mp3</t>
  </si>
  <si>
    <t>https://audio.iskcondesiretree.com/01_-_Srila_Prabhupada/01_-_Lectures/01_-_English/01_-_Topic_wise/Room_Conversation/SP_Room_Conversation_London_1976-07-27_A_Wrong_Civilization.mp3</t>
  </si>
  <si>
    <t>SP_Lecture_London_1976-07-27_To_Indian_Community.mp3</t>
  </si>
  <si>
    <t>https://audio.iskcondesiretree.com/01_-_Srila_Prabhupada/01_-_Lectures/01_-_English/01_-_Topic_wise/Various/SP_Lecture_London_1976-07-27_To_Indian_Community.mp3</t>
  </si>
  <si>
    <t>Conv_1976-07-27_R1-LONDON.MP3</t>
  </si>
  <si>
    <t>https://audio.iskcondesiretree.com/01_-_Srila_Prabhupada/01_-_Lectures/01_-_English/02_-_Month_wise/07_-_July/27/Conv_1976-07-27_R1-LONDON.MP3</t>
  </si>
  <si>
    <t>Conv%E2%80%93Hindi_1976-07-27_R2-LONDON.MP3</t>
  </si>
  <si>
    <t>https://audio.iskcondesiretree.com/01_-_Srila_Prabhupada/01_-_Lectures/01_-_English/02_-_Month_wise/07_-_July/27/Conv%E2%80%93Hindi_1976-07-27_R2-LONDON.MP3</t>
  </si>
  <si>
    <t>Interview_1976-07-27_IV-LONDON.MP3</t>
  </si>
  <si>
    <t>https://audio.iskcondesiretree.com/01_-_Srila_Prabhupada/01_-_Lectures/01_-_English/02_-_Month_wise/07_-_July/27/Interview_1976-07-27_IV-LONDON.MP3</t>
  </si>
  <si>
    <t>Lect_LON_1976-07-27_To_Indian_Community.mp3</t>
  </si>
  <si>
    <t>https://audio.iskcondesiretree.com/01_-_Srila_Prabhupada/01_-_Lectures/01_-_English/02_-_Month_wise/07_-_July/27/Lect_LON_1976-07-27_To_Indian_Community.mp3</t>
  </si>
  <si>
    <t>RC_LON_1976-07-27_A_Wrong_Civilization.mp3</t>
  </si>
  <si>
    <t>https://audio.iskcondesiretree.com/01_-_Srila_Prabhupada/01_-_Lectures/01_-_English/02_-_Month_wise/07_-_July/27/RC_LON_1976-07-27_A_Wrong_Civilization.mp3</t>
  </si>
  <si>
    <t>Arrival_1976-07-28_AR-PARIS.MP3</t>
  </si>
  <si>
    <t>https://audio.iskcondesiretree.com/01_-_Srila_Prabhupada/01_-_Lectures/01_-_English/02_-_Month_wise/07_-_July/28/Arrival_1976-07-28_AR-PARIS.MP3</t>
  </si>
  <si>
    <t>Arrival_1976-07-29_AR-NEW%20MAYAPUR.MP3</t>
  </si>
  <si>
    <t>https://audio.iskcondesiretree.com/01_-_Srila_Prabhupada/01_-_Lectures/01_-_English/02_-_Month_wise/07_-_July/29/Arrival_1976-07-29_AR-NEW%20MAYAPUR.MP3</t>
  </si>
  <si>
    <t>SP_Room_Conversation_Paris_1976-07-31_Vedic_Civilization_vs_None.mp3</t>
  </si>
  <si>
    <t>https://audio.iskcondesiretree.com/01_-_Srila_Prabhupada/01_-_Lectures/01_-_English/01_-_Topic_wise/Room_Conversation/SP_Room_Conversation_Paris_1976-07-31_Vedic_Civilization_vs_None.mp3</t>
  </si>
  <si>
    <t>Bg-10-08_1976-07-31_BG-NEW%20MAYAPUR.MP3</t>
  </si>
  <si>
    <t>https://audio.iskcondesiretree.com/01_-_Srila_Prabhupada/01_-_Lectures/01_-_English/02_-_Month_wise/07_-_July/31/Bg-10-08_1976-07-31_BG-NEW%20MAYAPUR.MP3</t>
  </si>
  <si>
    <t>Conv_1976-07-31_R1-NEW%20MAYAPUR.MP3</t>
  </si>
  <si>
    <t>https://audio.iskcondesiretree.com/01_-_Srila_Prabhupada/01_-_Lectures/01_-_English/02_-_Month_wise/07_-_July/31/Conv_1976-07-31_R1-NEW%20MAYAPUR.MP3</t>
  </si>
  <si>
    <t>Conv_1976-07-31_R2-NEW%20MAYAPUR.MP3</t>
  </si>
  <si>
    <t>https://audio.iskcondesiretree.com/01_-_Srila_Prabhupada/01_-_Lectures/01_-_English/02_-_Month_wise/07_-_July/31/Conv_1976-07-31_R2-NEW%20MAYAPUR.MP3</t>
  </si>
  <si>
    <t>RC_PAR_1976-07-31_Vedic_Civilization_vs_None.mp3</t>
  </si>
  <si>
    <t>https://audio.iskcondesiretree.com/01_-_Srila_Prabhupada/01_-_Lectures/01_-_English/02_-_Month_wise/07_-_July/31/RC_PAR_1976-07-31_Vedic_Civilization_vs_None.mp3</t>
  </si>
  <si>
    <t>Walk_1976-07-31_MW-NEW%20MAYAPUR.MP3</t>
  </si>
  <si>
    <t>https://audio.iskcondesiretree.com/01_-_Srila_Prabhupada/01_-_Lectures/01_-_English/02_-_Month_wise/07_-_July/31/Walk_1976-07-31_MW-NEW%20MAYAPUR.MP3</t>
  </si>
  <si>
    <t>SP_Morning_Walk_-_Paris_1976-08-02_Master%3DSlave.mp3</t>
  </si>
  <si>
    <t>https://audio.iskcondesiretree.com/01_-_Srila_Prabhupada/01_-_Lectures/01_-_English/01_-_Topic_wise/Morning_Walk/SP_Morning_Walk_-_Paris_1976-08-02_Master%3DSlave.mp3</t>
  </si>
  <si>
    <t>SP_Room_Conversation_Paris_1976-08-02_Becoming_Guru.mp3</t>
  </si>
  <si>
    <t>https://audio.iskcondesiretree.com/01_-_Srila_Prabhupada/01_-_Lectures/01_-_English/01_-_Topic_wise/Room_Conversation/SP_Room_Conversation_Paris_1976-08-02_Becoming_Guru.mp3</t>
  </si>
  <si>
    <t>SP_Room_Conversation_Paris_1976-08-02_Gurukula_Teachers.mp3</t>
  </si>
  <si>
    <t>https://audio.iskcondesiretree.com/01_-_Srila_Prabhupada/01_-_Lectures/01_-_English/01_-_Topic_wise/Room_Conversation/SP_Room_Conversation_Paris_1976-08-02_Gurukula_Teachers.mp3</t>
  </si>
  <si>
    <t>Conv_1976-08-02_R1-NEW%20MAYAPUR.MP3</t>
  </si>
  <si>
    <t>https://audio.iskcondesiretree.com/01_-_Srila_Prabhupada/01_-_Lectures/01_-_English/02_-_Month_wise/08_-_August/02/Conv_1976-08-02_R1-NEW%20MAYAPUR.MP3</t>
  </si>
  <si>
    <t>Conv_1976-08-02_R2-NEW%20MAYAPUR.MP3</t>
  </si>
  <si>
    <t>https://audio.iskcondesiretree.com/01_-_Srila_Prabhupada/01_-_Lectures/01_-_English/02_-_Month_wise/08_-_August/02/Conv_1976-08-02_R2-NEW%20MAYAPUR.MP3</t>
  </si>
  <si>
    <t>Conv_1976-08-02_R3-NEW%20MAYAPUR.MP3</t>
  </si>
  <si>
    <t>https://audio.iskcondesiretree.com/01_-_Srila_Prabhupada/01_-_Lectures/01_-_English/02_-_Month_wise/08_-_August/02/Conv_1976-08-02_R3-NEW%20MAYAPUR.MP3</t>
  </si>
  <si>
    <t>Lecture_1976-08-02_LE-NEW%20MAYAPUR.MP3</t>
  </si>
  <si>
    <t>https://audio.iskcondesiretree.com/01_-_Srila_Prabhupada/01_-_Lectures/01_-_English/02_-_Month_wise/08_-_August/02/Lecture_1976-08-02_LE-NEW%20MAYAPUR.MP3</t>
  </si>
  <si>
    <t>MW_PAR_1976-08-02_Master%3DSlave.mp3</t>
  </si>
  <si>
    <t>https://audio.iskcondesiretree.com/01_-_Srila_Prabhupada/01_-_Lectures/01_-_English/02_-_Month_wise/08_-_August/02/MW_PAR_1976-08-02_Master%3DSlave.mp3</t>
  </si>
  <si>
    <t>RC_PAR_1976-08-02_Becoming_Guru.mp3</t>
  </si>
  <si>
    <t>https://audio.iskcondesiretree.com/01_-_Srila_Prabhupada/01_-_Lectures/01_-_English/02_-_Month_wise/08_-_August/02/RC_PAR_1976-08-02_Becoming_Guru.mp3</t>
  </si>
  <si>
    <t>RC_PAR_1976-08-02_Gurukula_Teachers.mp3</t>
  </si>
  <si>
    <t>https://audio.iskcondesiretree.com/01_-_Srila_Prabhupada/01_-_Lectures/01_-_English/02_-_Month_wise/08_-_August/02/RC_PAR_1976-08-02_Gurukula_Teachers.mp3</t>
  </si>
  <si>
    <t>Walk_1976-08-02_MW-NEW%20MAYAPUR.MP3</t>
  </si>
  <si>
    <t>https://audio.iskcondesiretree.com/01_-_Srila_Prabhupada/01_-_Lectures/01_-_English/02_-_Month_wise/08_-_August/02/Walk_1976-08-02_MW-NEW%20MAYAPUR.MP3</t>
  </si>
  <si>
    <t>SP_BG_09-34_Paris_1976-08-03_Real_Love_of_Self.mp3</t>
  </si>
  <si>
    <t>https://audio.iskcondesiretree.com/01_-_Srila_Prabhupada/01_-_Lectures/01_-_English/01_-_Topic_wise/Bhagavad_Gita/Chapter-09/SP_BG_09-34_Paris_1976-08-03_Real_Love_of_Self.mp3</t>
  </si>
  <si>
    <t>SP_Room_Conversation_New_Mayapur_1976-08-03_Prodigal_Sons_and_Silly_Jackals.mp3</t>
  </si>
  <si>
    <t>https://audio.iskcondesiretree.com/01_-_Srila_Prabhupada/01_-_Lectures/01_-_English/01_-_Topic_wise/Room_Conversation/SP_Room_Conversation_New_Mayapur_1976-08-03_Prodigal_Sons_and_Silly_Jackals.mp3</t>
  </si>
  <si>
    <t>SP_Room_Conversation_Paris_1976-08-03_Satisfaction_Without_Science_Sex--etc.mp3</t>
  </si>
  <si>
    <t>https://audio.iskcondesiretree.com/01_-_Srila_Prabhupada/01_-_Lectures/01_-_English/01_-_Topic_wise/Room_Conversation/SP_Room_Conversation_Paris_1976-08-03_Satisfaction_Without_Science_Sex--etc.mp3</t>
  </si>
  <si>
    <t>Bg-09-34_1976-08-03_BG-NEW%20MAYAPUR.MP3</t>
  </si>
  <si>
    <t>https://audio.iskcondesiretree.com/01_-_Srila_Prabhupada/01_-_Lectures/01_-_English/02_-_Month_wise/08_-_August/03/Bg-09-34_1976-08-03_BG-NEW%20MAYAPUR.MP3</t>
  </si>
  <si>
    <t>Bg_09-34_PAR_1976-08-03_Real_Love_of_Self.mp3</t>
  </si>
  <si>
    <t>https://audio.iskcondesiretree.com/01_-_Srila_Prabhupada/01_-_Lectures/01_-_English/02_-_Month_wise/08_-_August/03/Bg_09-34_PAR_1976-08-03_Real_Love_of_Self.mp3</t>
  </si>
  <si>
    <t>Conv_1976-08-03_R1-NEW%20MAYAPUR.MP3</t>
  </si>
  <si>
    <t>https://audio.iskcondesiretree.com/01_-_Srila_Prabhupada/01_-_Lectures/01_-_English/02_-_Month_wise/08_-_August/03/Conv_1976-08-03_R1-NEW%20MAYAPUR.MP3</t>
  </si>
  <si>
    <t>Conv_1976-08-03_R2-NEW%20MAYAPUR.MP3</t>
  </si>
  <si>
    <t>https://audio.iskcondesiretree.com/01_-_Srila_Prabhupada/01_-_Lectures/01_-_English/02_-_Month_wise/08_-_August/03/Conv_1976-08-03_R2-NEW%20MAYAPUR.MP3</t>
  </si>
  <si>
    <t>Conv_1976-08-03_R3-NEW%20MAYAPUR.MP3</t>
  </si>
  <si>
    <t>https://audio.iskcondesiretree.com/01_-_Srila_Prabhupada/01_-_Lectures/01_-_English/02_-_Month_wise/08_-_August/03/Conv_1976-08-03_R3-NEW%20MAYAPUR.MP3</t>
  </si>
  <si>
    <t>RC_NM_1976-08-03_Prodigal_Sons_and_Silly_Jackals.mp3</t>
  </si>
  <si>
    <t>https://audio.iskcondesiretree.com/01_-_Srila_Prabhupada/01_-_Lectures/01_-_English/02_-_Month_wise/08_-_August/03/RC_NM_1976-08-03_Prodigal_Sons_and_Silly_Jackals.mp3</t>
  </si>
  <si>
    <t>RC_PAR_1976-08-03_Satisfaction_Without_Science_Sex_etc.mp3</t>
  </si>
  <si>
    <t>https://audio.iskcondesiretree.com/01_-_Srila_Prabhupada/01_-_Lectures/01_-_English/02_-_Month_wise/08_-_August/03/RC_PAR_1976-08-03_Satisfaction_Without_Science_Sex_etc.mp3</t>
  </si>
  <si>
    <t>SP_BG_04-24_New_Mayapur_1976-08-04_Krishna_is_there--_But_You--etc.mp3</t>
  </si>
  <si>
    <t>https://audio.iskcondesiretree.com/01_-_Srila_Prabhupada/01_-_Lectures/01_-_English/01_-_Topic_wise/Bhagavad_Gita/Chapter-04/SP_BG_04-24_New_Mayapur_1976-08-04_Krishna_is_there--_But_You--etc.mp3</t>
  </si>
  <si>
    <t>Bg-04-24_1976-08-04_BG-NEW%20MAYAPUR.MP3</t>
  </si>
  <si>
    <t>https://audio.iskcondesiretree.com/01_-_Srila_Prabhupada/01_-_Lectures/01_-_English/02_-_Month_wise/04_-_April/Bg-04-24_1976-08-04_BG-NEW%20MAYAPUR.MP3</t>
  </si>
  <si>
    <t>Conv_1976-08-04_EW-NEW%20MAYAPUR.MP3</t>
  </si>
  <si>
    <t>https://audio.iskcondesiretree.com/01_-_Srila_Prabhupada/01_-_Lectures/01_-_English/02_-_Month_wise/04_-_April/Conv_1976-08-04_EW-NEW%20MAYAPUR.MP3</t>
  </si>
  <si>
    <t>Conv_1976-08-04_R1-NEW%20MAYAPUR.MP3</t>
  </si>
  <si>
    <t>https://audio.iskcondesiretree.com/01_-_Srila_Prabhupada/01_-_Lectures/01_-_English/02_-_Month_wise/04_-_April/Conv_1976-08-04_R1-NEW%20MAYAPUR.MP3</t>
  </si>
  <si>
    <t>Bg_04-24_NM_1976-08-04_Krishna_is_there_But_You_etc.mp3</t>
  </si>
  <si>
    <t>https://audio.iskcondesiretree.com/01_-_Srila_Prabhupada/01_-_Lectures/01_-_English/02_-_Month_wise/08_-_August/04/Bg_04-24_NM_1976-08-04_Krishna_is_there_But_You_etc.mp3</t>
  </si>
  <si>
    <t>Bg-15-15_1976-08-05_BG-NEW%20MAYAPUR.MP3</t>
  </si>
  <si>
    <t>https://audio.iskcondesiretree.com/01_-_Srila_Prabhupada/01_-_Lectures/01_-_English/02_-_Month_wise/08_-_August/05/Bg-15-15_1976-08-05_BG-NEW%20MAYAPUR.MP3</t>
  </si>
  <si>
    <t>Conv_1976-08-05_R1-NEW%20MAYAPUR.MP3</t>
  </si>
  <si>
    <t>https://audio.iskcondesiretree.com/01_-_Srila_Prabhupada/01_-_Lectures/01_-_English/02_-_Month_wise/08_-_August/05/Conv_1976-08-05_R1-NEW%20MAYAPUR.MP3</t>
  </si>
  <si>
    <t>Meeting_1976-08-05_R2-NEW%20MAYAPUR.MP3</t>
  </si>
  <si>
    <t>https://audio.iskcondesiretree.com/01_-_Srila_Prabhupada/01_-_Lectures/01_-_English/02_-_Month_wise/08_-_August/05/Meeting_1976-08-05_R2-NEW%20MAYAPUR.MP3</t>
  </si>
  <si>
    <t>Conv_1976-08-07_R1-TEHRAN.MP3</t>
  </si>
  <si>
    <t>https://audio.iskcondesiretree.com/01_-_Srila_Prabhupada/01_-_Lectures/01_-_English/02_-_Month_wise/08_-_August/07/Conv_1976-08-07_R1-TEHRAN.MP3</t>
  </si>
  <si>
    <t>Conv_1976-08-08_R1-TEHRAN.MP3</t>
  </si>
  <si>
    <t>https://audio.iskcondesiretree.com/01_-_Srila_Prabhupada/01_-_Lectures/01_-_English/02_-_Month_wise/08_-_August/08/Conv_1976-08-08_R1-TEHRAN.MP3</t>
  </si>
  <si>
    <t>SB-03-22-19_1976-08-08_SB-TEHRAN.MP3</t>
  </si>
  <si>
    <t>https://audio.iskcondesiretree.com/01_-_Srila_Prabhupada/01_-_Lectures/01_-_English/02_-_Month_wise/08_-_August/08/SB-03-22-19_1976-08-08_SB-TEHRAN.MP3</t>
  </si>
  <si>
    <t>Walk_1976-08-08_MW-TEHRAN.MP3</t>
  </si>
  <si>
    <t>https://audio.iskcondesiretree.com/01_-_Srila_Prabhupada/01_-_Lectures/01_-_English/02_-_Month_wise/08_-_August/08/Walk_1976-08-08_MW-TEHRAN.MP3</t>
  </si>
  <si>
    <t>SP_Morning_Walk_-_Tehran_1976-08-09_A_World_Run_by_Mad_Rascals.mp3</t>
  </si>
  <si>
    <t>https://audio.iskcondesiretree.com/01_-_Srila_Prabhupada/01_-_Lectures/01_-_English/01_-_Topic_wise/Morning_Walk/SP_Morning_Walk_-_Tehran_1976-08-09_A_World_Run_by_Mad_Rascals.mp3</t>
  </si>
  <si>
    <t>SP_Room_Conversation_Tehran_1976-08-09_Highly_Elevated_Vultures.mp3</t>
  </si>
  <si>
    <t>https://audio.iskcondesiretree.com/01_-_Srila_Prabhupada/01_-_Lectures/01_-_English/01_-_Topic_wise/Room_Conversation/SP_Room_Conversation_Tehran_1976-08-09_Highly_Elevated_Vultures.mp3</t>
  </si>
  <si>
    <t>SP_Room_Conversation_Tehran_1976-08-09_The_%27Good_of_Humanity%27.mp3</t>
  </si>
  <si>
    <t>https://audio.iskcondesiretree.com/01_-_Srila_Prabhupada/01_-_Lectures/01_-_English/01_-_Topic_wise/Room_Conversation/SP_Room_Conversation_Tehran_1976-08-09_The_%27Good_of_Humanity%27.mp3</t>
  </si>
  <si>
    <t>Conv_1976-08-09_GC-TEHRAN.MP3</t>
  </si>
  <si>
    <t>https://audio.iskcondesiretree.com/01_-_Srila_Prabhupada/01_-_Lectures/01_-_English/02_-_Month_wise/08_-_August/09/Conv_1976-08-09_GC-TEHRAN.MP3</t>
  </si>
  <si>
    <t>Conv_1976-08-09_R1-TEHRAN.MP3</t>
  </si>
  <si>
    <t>https://audio.iskcondesiretree.com/01_-_Srila_Prabhupada/01_-_Lectures/01_-_English/02_-_Month_wise/08_-_August/09/Conv_1976-08-09_R1-TEHRAN.MP3</t>
  </si>
  <si>
    <t>Conv_1976-08-09_R2-TEHRAN.MP3</t>
  </si>
  <si>
    <t>https://audio.iskcondesiretree.com/01_-_Srila_Prabhupada/01_-_Lectures/01_-_English/02_-_Month_wise/08_-_August/09/Conv_1976-08-09_R2-TEHRAN.MP3</t>
  </si>
  <si>
    <t>MW_TEH_1976-08-09_A_World_Run_by_Mad_Rascals.mp3</t>
  </si>
  <si>
    <t>https://audio.iskcondesiretree.com/01_-_Srila_Prabhupada/01_-_Lectures/01_-_English/02_-_Month_wise/08_-_August/09/MW_TEH_1976-08-09_A_World_Run_by_Mad_Rascals.mp3</t>
  </si>
  <si>
    <t>RC_TEH_1976-08-09_Highly_Elevated_Vultures.mp3</t>
  </si>
  <si>
    <t>https://audio.iskcondesiretree.com/01_-_Srila_Prabhupada/01_-_Lectures/01_-_English/02_-_Month_wise/08_-_August/09/RC_TEH_1976-08-09_Highly_Elevated_Vultures.mp3</t>
  </si>
  <si>
    <t>RC_TEH_1976-08-09_The_Good_of_Humanity.mp3</t>
  </si>
  <si>
    <t>https://audio.iskcondesiretree.com/01_-_Srila_Prabhupada/01_-_Lectures/01_-_English/02_-_Month_wise/08_-_August/09/RC_TEH_1976-08-09_The_Good_of_Humanity.mp3</t>
  </si>
  <si>
    <t>SB-03-22-20_1976-08-09_SB-TEHRAN.MP3</t>
  </si>
  <si>
    <t>https://audio.iskcondesiretree.com/01_-_Srila_Prabhupada/01_-_Lectures/01_-_English/02_-_Month_wise/08_-_August/09/SB-03-22-20_1976-08-09_SB-TEHRAN.MP3</t>
  </si>
  <si>
    <t>SP_Room_Conversation_Tehran_1976-08-10_Freedom_to_Satisfy_Krishna.mp3</t>
  </si>
  <si>
    <t>https://audio.iskcondesiretree.com/01_-_Srila_Prabhupada/01_-_Lectures/01_-_English/01_-_Topic_wise/Room_Conversation/SP_Room_Conversation_Tehran_1976-08-10_Freedom_to_Satisfy_Krishna.mp3</t>
  </si>
  <si>
    <t>SP_Room_Conversation_Tehran_1976-08-10_Small_Can_Fall-Wise_Can_Rise.mp3</t>
  </si>
  <si>
    <t>https://audio.iskcondesiretree.com/01_-_Srila_Prabhupada/01_-_Lectures/01_-_English/01_-_Topic_wise/Room_Conversation/SP_Room_Conversation_Tehran_1976-08-10_Small_Can_Fall-Wise_Can_Rise.mp3</t>
  </si>
  <si>
    <t>Conv_1976-08-10_R1-TEHRAN.MP3</t>
  </si>
  <si>
    <t>https://audio.iskcondesiretree.com/01_-_Srila_Prabhupada/01_-_Lectures/01_-_English/02_-_Month_wise/08_-_August/10/Conv_1976-08-10_R1-TEHRAN.MP3</t>
  </si>
  <si>
    <t>Darshan_1976-08-10_ED-TEHRAN.MP3</t>
  </si>
  <si>
    <t>https://audio.iskcondesiretree.com/01_-_Srila_Prabhupada/01_-_Lectures/01_-_English/02_-_Month_wise/08_-_August/10/Darshan_1976-08-10_ED-TEHRAN.MP3</t>
  </si>
  <si>
    <t>RC_TEH_1976-08-10_Freedom_to_Satisfy_Krishna.mp3</t>
  </si>
  <si>
    <t>https://audio.iskcondesiretree.com/01_-_Srila_Prabhupada/01_-_Lectures/01_-_English/02_-_Month_wise/08_-_August/10/RC_TEH_1976-08-10_Freedom_to_Satisfy_Krishna.mp3</t>
  </si>
  <si>
    <t>RC_TEH_1976-08-10_Small_Can_Fall-Wise_Can_Rise.mp3</t>
  </si>
  <si>
    <t>https://audio.iskcondesiretree.com/01_-_Srila_Prabhupada/01_-_Lectures/01_-_English/02_-_Month_wise/08_-_August/10/RC_TEH_1976-08-10_Small_Can_Fall-Wise_Can_Rise.mp3</t>
  </si>
  <si>
    <t>SB-03-22-21_1976-08-10_SB-TEHRAN.MP3</t>
  </si>
  <si>
    <t>https://audio.iskcondesiretree.com/01_-_Srila_Prabhupada/01_-_Lectures/01_-_English/02_-_Month_wise/08_-_August/10/SB-03-22-21_1976-08-10_SB-TEHRAN.MP3</t>
  </si>
  <si>
    <t>SP_Room_Conversation_Tehran_1976-08-11_Progress_Means_Problems.mp3</t>
  </si>
  <si>
    <t>https://audio.iskcondesiretree.com/01_-_Srila_Prabhupada/01_-_Lectures/01_-_English/01_-_Topic_wise/Room_Conversation/SP_Room_Conversation_Tehran_1976-08-11_Progress_Means_Problems.mp3</t>
  </si>
  <si>
    <t>Conv_1976-08-11_R1-TEHRAN.MP3</t>
  </si>
  <si>
    <t>https://audio.iskcondesiretree.com/01_-_Srila_Prabhupada/01_-_Lectures/01_-_English/02_-_Month_wise/08_-_August/11/Conv_1976-08-11_R1-TEHRAN.MP3</t>
  </si>
  <si>
    <t>Darshan_1976-08-11_ED-TEHRAN.MP3</t>
  </si>
  <si>
    <t>https://audio.iskcondesiretree.com/01_-_Srila_Prabhupada/01_-_Lectures/01_-_English/02_-_Month_wise/08_-_August/11/Darshan_1976-08-11_ED-TEHRAN.MP3</t>
  </si>
  <si>
    <t>RC_TEH_1976-08-11_Progress_Means_Problems.mp3</t>
  </si>
  <si>
    <t>https://audio.iskcondesiretree.com/01_-_Srila_Prabhupada/01_-_Lectures/01_-_English/02_-_Month_wise/08_-_August/11/RC_TEH_1976-08-11_Progress_Means_Problems.mp3</t>
  </si>
  <si>
    <t>Walk_1976-08-11_MW-TEHRAN.MP3</t>
  </si>
  <si>
    <t>https://audio.iskcondesiretree.com/01_-_Srila_Prabhupada/01_-_Lectures/01_-_English/02_-_Month_wise/08_-_August/11/Walk_1976-08-11_MW-TEHRAN.MP3</t>
  </si>
  <si>
    <t>SP_Room_Conversation_Tehran_1976-08-12_God_Is_Great-How_Great.mp3</t>
  </si>
  <si>
    <t>https://audio.iskcondesiretree.com/01_-_Srila_Prabhupada/01_-_Lectures/01_-_English/01_-_Topic_wise/Room_Conversation/SP_Room_Conversation_Tehran_1976-08-12_God_Is_Great-How_Great.mp3</t>
  </si>
  <si>
    <t>Conv_1976-08-12_R1-TEHRAN.MP3</t>
  </si>
  <si>
    <t>https://audio.iskcondesiretree.com/01_-_Srila_Prabhupada/01_-_Lectures/01_-_English/02_-_Month_wise/08_-_August/12/Conv_1976-08-12_R1-TEHRAN.MP3</t>
  </si>
  <si>
    <t>Conv_1976-08-12_R2-TEHRAN.MP3</t>
  </si>
  <si>
    <t>https://audio.iskcondesiretree.com/01_-_Srila_Prabhupada/01_-_Lectures/01_-_English/02_-_Month_wise/08_-_August/12/Conv_1976-08-12_R2-TEHRAN.MP3</t>
  </si>
  <si>
    <t>Conv_1976-08-12_R3-TEHRAN.MP3</t>
  </si>
  <si>
    <t>https://audio.iskcondesiretree.com/01_-_Srila_Prabhupada/01_-_Lectures/01_-_English/02_-_Month_wise/08_-_August/12/Conv_1976-08-12_R3-TEHRAN.MP3</t>
  </si>
  <si>
    <t>Conv_1976-08-12_R4-TEHRAN.MP3</t>
  </si>
  <si>
    <t>https://audio.iskcondesiretree.com/01_-_Srila_Prabhupada/01_-_Lectures/01_-_English/02_-_Month_wise/08_-_August/12/Conv_1976-08-12_R4-TEHRAN.MP3</t>
  </si>
  <si>
    <t>Darshan_1976-08-12_ED-TEHRAN.MP3</t>
  </si>
  <si>
    <t>https://audio.iskcondesiretree.com/01_-_Srila_Prabhupada/01_-_Lectures/01_-_English/02_-_Month_wise/08_-_August/12/Darshan_1976-08-12_ED-TEHRAN.MP3</t>
  </si>
  <si>
    <t>RC_TEH_1976-08-12_God_Is_Great-How_Great.mp3</t>
  </si>
  <si>
    <t>https://audio.iskcondesiretree.com/01_-_Srila_Prabhupada/01_-_Lectures/01_-_English/02_-_Month_wise/08_-_August/12/RC_TEH_1976-08-12_God_Is_Great-How_Great.mp3</t>
  </si>
  <si>
    <t>SB-03-22-22_1976-08-12_SB-TEHRAN.MP3</t>
  </si>
  <si>
    <t>https://audio.iskcondesiretree.com/01_-_Srila_Prabhupada/01_-_Lectures/01_-_English/02_-_Month_wise/08_-_August/12/SB-03-22-22_1976-08-12_SB-TEHRAN.MP3</t>
  </si>
  <si>
    <t>Walk_1976-08-12_MW-TEHRAN.MP3</t>
  </si>
  <si>
    <t>https://audio.iskcondesiretree.com/01_-_Srila_Prabhupada/01_-_Lectures/01_-_English/02_-_Month_wise/08_-_August/12/Walk_1976-08-12_MW-TEHRAN.MP3</t>
  </si>
  <si>
    <t>Arrival_1976-08-13_AR-BOMBAY.MP3</t>
  </si>
  <si>
    <t>https://audio.iskcondesiretree.com/01_-_Srila_Prabhupada/01_-_Lectures/01_-_English/02_-_Month_wise/08_-_August/13/Arrival_1976-08-13_AR-BOMBAY.MP3</t>
  </si>
  <si>
    <t>SP_Morning_Walk_-_Bombay_1976-08-14_Cow_Care.mp3</t>
  </si>
  <si>
    <t>https://audio.iskcondesiretree.com/01_-_Srila_Prabhupada/01_-_Lectures/01_-_English/01_-_Topic_wise/Morning_Walk/SP_Morning_Walk_-_Bombay_1976-08-14_Cow_Care.mp3</t>
  </si>
  <si>
    <t>SP_Room_Conversation_Bombay_1976-08-14_Fertile_Brain-Rather_Be_a_Fool.mp3</t>
  </si>
  <si>
    <t>https://audio.iskcondesiretree.com/01_-_Srila_Prabhupada/01_-_Lectures/01_-_English/01_-_Topic_wise/Room_Conversation/SP_Room_Conversation_Bombay_1976-08-14_Fertile_Brain-Rather_Be_a_Fool.mp3</t>
  </si>
  <si>
    <t>SP_Room_Conversation_Bombay_1976-08-14_Spreading_Krishna%27s_Instructions.mp3</t>
  </si>
  <si>
    <t>https://audio.iskcondesiretree.com/01_-_Srila_Prabhupada/01_-_Lectures/01_-_English/01_-_Topic_wise/Room_Conversation/SP_Room_Conversation_Bombay_1976-08-14_Spreading_Krishna%27s_Instructions.mp3</t>
  </si>
  <si>
    <t>Conv_1976-08-14_R1-BOMBAY.MP3</t>
  </si>
  <si>
    <t>https://audio.iskcondesiretree.com/01_-_Srila_Prabhupada/01_-_Lectures/01_-_English/02_-_Month_wise/08_-_August/14/Conv_1976-08-14_R1-BOMBAY.MP3</t>
  </si>
  <si>
    <t>Conv%E2%80%93Hindi_1976-08-14_R2-BOMBAY.MP3</t>
  </si>
  <si>
    <t>https://audio.iskcondesiretree.com/01_-_Srila_Prabhupada/01_-_Lectures/01_-_English/02_-_Month_wise/08_-_August/14/Conv%E2%80%93Hindi_1976-08-14_R2-BOMBAY.MP3</t>
  </si>
  <si>
    <t>Darshan_1976-08-14_ED-BOMBAY.MP3</t>
  </si>
  <si>
    <t>https://audio.iskcondesiretree.com/01_-_Srila_Prabhupada/01_-_Lectures/01_-_English/02_-_Month_wise/08_-_August/14/Darshan_1976-08-14_ED-BOMBAY.MP3</t>
  </si>
  <si>
    <t>MW_BOM_1976-08-14_Cow_Care.mp3</t>
  </si>
  <si>
    <t>https://audio.iskcondesiretree.com/01_-_Srila_Prabhupada/01_-_Lectures/01_-_English/02_-_Month_wise/08_-_August/14/MW_BOM_1976-08-14_Cow_Care.mp3</t>
  </si>
  <si>
    <t>RC_BOM_1976-08-14_Fertile_Brain-Rather_Be_a_Fool.mp3</t>
  </si>
  <si>
    <t>https://audio.iskcondesiretree.com/01_-_Srila_Prabhupada/01_-_Lectures/01_-_English/02_-_Month_wise/08_-_August/14/RC_BOM_1976-08-14_Fertile_Brain-Rather_Be_a_Fool.mp3</t>
  </si>
  <si>
    <t>RC_BOM_1976-08-14_Spreading_Krishna%27s_Instructions.mp3</t>
  </si>
  <si>
    <t>https://audio.iskcondesiretree.com/01_-_Srila_Prabhupada/01_-_Lectures/01_-_English/02_-_Month_wise/08_-_August/14/RC_BOM_1976-08-14_Spreading_Krishna%27s_Instructions.mp3</t>
  </si>
  <si>
    <t>Darshan_1976-08-15_ED-BOMBAY.MP3</t>
  </si>
  <si>
    <t>https://audio.iskcondesiretree.com/01_-_Srila_Prabhupada/01_-_Lectures/01_-_English/02_-_Month_wise/08_-_August/15/Darshan_1976-08-15_ED-BOMBAY.MP3</t>
  </si>
  <si>
    <t>Walk_1976-08-15_MW-BOMBAY.MP3</t>
  </si>
  <si>
    <t>https://audio.iskcondesiretree.com/01_-_Srila_Prabhupada/01_-_Lectures/01_-_English/02_-_Month_wise/08_-_August/15/Walk_1976-08-15_MW-BOMBAY.MP3</t>
  </si>
  <si>
    <t>SP_Room_Conversation_Bombay_1976-08-16_Prestige-No_Match_for_Karma.mp3</t>
  </si>
  <si>
    <t>https://audio.iskcondesiretree.com/01_-_Srila_Prabhupada/01_-_Lectures/01_-_English/01_-_Topic_wise/Room_Conversation/SP_Room_Conversation_Bombay_1976-08-16_Prestige-No_Match_for_Karma.mp3</t>
  </si>
  <si>
    <t>Conv_1976-08-16_R1-BOMBAY.MP3</t>
  </si>
  <si>
    <t>https://audio.iskcondesiretree.com/01_-_Srila_Prabhupada/01_-_Lectures/01_-_English/02_-_Month_wise/08_-_August/16/Conv_1976-08-16_R1-BOMBAY.MP3</t>
  </si>
  <si>
    <t>Conv_1976-08-16_R1-HYDERABAD.MP3</t>
  </si>
  <si>
    <t>https://audio.iskcondesiretree.com/01_-_Srila_Prabhupada/01_-_Lectures/01_-_English/02_-_Month_wise/08_-_August/16/Conv_1976-08-16_R1-HYDERABAD.MP3</t>
  </si>
  <si>
    <t>Darshan_1976-08-16_AR-HYDERABAD.MP3</t>
  </si>
  <si>
    <t>https://audio.iskcondesiretree.com/01_-_Srila_Prabhupada/01_-_Lectures/01_-_English/02_-_Month_wise/08_-_August/16/Darshan_1976-08-16_AR-HYDERABAD.MP3</t>
  </si>
  <si>
    <t>RC_BOM_1976-08-16_Prestige-No_Match_for_Karma.mp3</t>
  </si>
  <si>
    <t>https://audio.iskcondesiretree.com/01_-_Srila_Prabhupada/01_-_Lectures/01_-_English/02_-_Month_wise/08_-_August/16/RC_BOM_1976-08-16_Prestige-No_Match_for_Karma.mp3</t>
  </si>
  <si>
    <t>Speech_1976-08-16_SP-HYDERABAD.MP3</t>
  </si>
  <si>
    <t>https://audio.iskcondesiretree.com/01_-_Srila_Prabhupada/01_-_Lectures/01_-_English/02_-_Month_wise/08_-_August/16/Speech_1976-08-16_SP-HYDERABAD.MP3</t>
  </si>
  <si>
    <t>SP_BG_13-22_Hyderabad_1976-08-17_At_Any_Moment--Kicked_Out.mp3</t>
  </si>
  <si>
    <t>https://audio.iskcondesiretree.com/01_-_Srila_Prabhupada/01_-_Lectures/01_-_English/01_-_Topic_wise/Bhagavad_Gita/Chapter-13/SP_BG_13-22_Hyderabad_1976-08-17_At_Any_Moment--Kicked_Out.mp3</t>
  </si>
  <si>
    <t>SP_CC_M_20-395_Hyderabad_1976-08-17_Vaisnava_Philosophy.mp3</t>
  </si>
  <si>
    <t>https://audio.iskcondesiretree.com/01_-_Srila_Prabhupada/01_-_Lectures/01_-_English/01_-_Topic_wise/Chaitanya_Charitamrita/Madhya_Lila/SP_CC_M_20-395_Hyderabad_1976-08-17_Vaisnava_Philosophy.mp3</t>
  </si>
  <si>
    <t>SP_Interview_Hyderabad_1976-08-17_Press--Spiritual_Re-education--etc.mp3</t>
  </si>
  <si>
    <t>https://audio.iskcondesiretree.com/01_-_Srila_Prabhupada/01_-_Lectures/01_-_English/01_-_Topic_wise/Interview/SP_Interview_Hyderabad_1976-08-17_Press--Spiritual_Re-education--etc.mp3</t>
  </si>
  <si>
    <t>Bg-13-22_1976-08-17_BG-HYDERABAD.MP3</t>
  </si>
  <si>
    <t>https://audio.iskcondesiretree.com/01_-_Srila_Prabhupada/01_-_Lectures/01_-_English/02_-_Month_wise/08_-_August/17/Bg-13-22_1976-08-17_BG-HYDERABAD.MP3</t>
  </si>
  <si>
    <t>Bg_13-22_HYD_1976-08-17_At_Any_Moment_Kicked_Out.mp3</t>
  </si>
  <si>
    <t>https://audio.iskcondesiretree.com/01_-_Srila_Prabhupada/01_-_Lectures/01_-_English/02_-_Month_wise/08_-_August/17/Bg_13-22_HYD_1976-08-17_At_Any_Moment_Kicked_Out.mp3</t>
  </si>
  <si>
    <t>Cc_M_20-395_HYD_1976-08-17_Vaisnava_Philosophy.mp3</t>
  </si>
  <si>
    <t>https://audio.iskcondesiretree.com/01_-_Srila_Prabhupada/01_-_Lectures/01_-_English/02_-_Month_wise/08_-_August/17/Cc_M_20-395_HYD_1976-08-17_Vaisnava_Philosophy.mp3</t>
  </si>
  <si>
    <t>CcMadhya-20-395_1976-08-17_CC-HYDERABAD.MP3</t>
  </si>
  <si>
    <t>https://audio.iskcondesiretree.com/01_-_Srila_Prabhupada/01_-_Lectures/01_-_English/02_-_Month_wise/08_-_August/17/CcMadhya-20-395_1976-08-17_CC-HYDERABAD.MP3</t>
  </si>
  <si>
    <t>Conv_1976-08-17_R1-HYDERABAD.MP3</t>
  </si>
  <si>
    <t>https://audio.iskcondesiretree.com/01_-_Srila_Prabhupada/01_-_Lectures/01_-_English/02_-_Month_wise/08_-_August/17/Conv_1976-08-17_R1-HYDERABAD.MP3</t>
  </si>
  <si>
    <t>Interv_HYD_1976-08-17_Press-Spiritual_Re-education_etc.mp3</t>
  </si>
  <si>
    <t>https://audio.iskcondesiretree.com/01_-_Srila_Prabhupada/01_-_Lectures/01_-_English/02_-_Month_wise/08_-_August/17/Interv_HYD_1976-08-17_Press-Spiritual_Re-education_etc.mp3</t>
  </si>
  <si>
    <t>Interview_1976-08-17_IV-HYDERABAD.MP3</t>
  </si>
  <si>
    <t>https://audio.iskcondesiretree.com/01_-_Srila_Prabhupada/01_-_Lectures/01_-_English/02_-_Month_wise/08_-_August/17/Interview_1976-08-17_IV-HYDERABAD.MP3</t>
  </si>
  <si>
    <t>SP_Festivals_Hyderabad_1976-08-18_Temple_Opening--Krishna--etc.mp3</t>
  </si>
  <si>
    <t>https://audio.iskcondesiretree.com/01_-_Srila_Prabhupada/01_-_Lectures/01_-_English/01_-_Topic_wise/Festivals/SP_Festivals_Hyderabad_1976-08-18_Temple_Opening--Krishna--etc.mp3</t>
  </si>
  <si>
    <t>Fest_HYD_1976-08-18_Temple_Opening_Krishna_etc.mp3</t>
  </si>
  <si>
    <t>https://audio.iskcondesiretree.com/01_-_Srila_Prabhupada/01_-_Lectures/01_-_English/02_-_Month_wise/08_-_August/18/Fest_HYD_1976-08-18_Temple_Opening_Krishna_etc.mp3</t>
  </si>
  <si>
    <t>SB-01-07-06_1976-08-18_SB-HYDERABAD.MP3</t>
  </si>
  <si>
    <t>https://audio.iskcondesiretree.com/01_-_Srila_Prabhupada/01_-_Lectures/01_-_English/02_-_Month_wise/08_-_August/18/SB-01-07-06_1976-08-18_SB-HYDERABAD.MP3</t>
  </si>
  <si>
    <t>SP_Festivals_Hyderabad_1976-08-19_Vyasa-puja--How_to_Avoid_Reincarnation.mp3</t>
  </si>
  <si>
    <t>https://audio.iskcondesiretree.com/01_-_Srila_Prabhupada/01_-_Lectures/01_-_English/01_-_Topic_wise/Festivals/SP_Festivals_Hyderabad_1976-08-19_Vyasa-puja--How_to_Avoid_Reincarnation.mp3</t>
  </si>
  <si>
    <t>Conv_1976-08-19_R1-HYDERABAD.MP3</t>
  </si>
  <si>
    <t>https://audio.iskcondesiretree.com/01_-_Srila_Prabhupada/01_-_Lectures/01_-_English/02_-_Month_wise/08_-_August/19/Conv_1976-08-19_R1-HYDERABAD.MP3</t>
  </si>
  <si>
    <t>Conv_1976-08-19_R2-HYDERABAD.MP3</t>
  </si>
  <si>
    <t>https://audio.iskcondesiretree.com/01_-_Srila_Prabhupada/01_-_Lectures/01_-_English/02_-_Month_wise/08_-_August/19/Conv_1976-08-19_R2-HYDERABAD.MP3</t>
  </si>
  <si>
    <t>Fest_HYD_1976-08-19_Vyasa-puja-How_to_Avoid_Reincarnation.mp3</t>
  </si>
  <si>
    <t>https://audio.iskcondesiretree.com/01_-_Srila_Prabhupada/01_-_Lectures/01_-_English/02_-_Month_wise/08_-_August/19/Fest_HYD_1976-08-19_Vyasa-puja-How_to_Avoid_Reincarnation.mp3</t>
  </si>
  <si>
    <t>VyasaPuja_1976-08-19_VP-HYDERABAD.MP3</t>
  </si>
  <si>
    <t>https://audio.iskcondesiretree.com/01_-_Srila_Prabhupada/01_-_Lectures/01_-_English/02_-_Month_wise/08_-_August/19/VyasaPuja_1976-08-19_VP-HYDERABAD.MP3</t>
  </si>
  <si>
    <t>Conv_1976-08-20_R1-HYDERABAD.MP3</t>
  </si>
  <si>
    <t>https://audio.iskcondesiretree.com/01_-_Srila_Prabhupada/01_-_Lectures/01_-_English/02_-_Month_wise/08_-_August/20/Conv_1976-08-20_R1-HYDERABAD.MP3</t>
  </si>
  <si>
    <t>Conv_1976-08-21_R1-HYDERABAD.MP3</t>
  </si>
  <si>
    <t>https://audio.iskcondesiretree.com/01_-_Srila_Prabhupada/01_-_Lectures/01_-_English/02_-_Month_wise/08_-_August/21/Conv_1976-08-21_R1-HYDERABAD.MP3</t>
  </si>
  <si>
    <t>Conv_1976-08-21_R2-HYDERABAD.MP3</t>
  </si>
  <si>
    <t>https://audio.iskcondesiretree.com/01_-_Srila_Prabhupada/01_-_Lectures/01_-_English/02_-_Month_wise/08_-_August/21/Conv_1976-08-21_R2-HYDERABAD.MP3</t>
  </si>
  <si>
    <t>SP_BG_07-01_Hyderabad_1976-08-22_Increase_Your_Attachment_to_the_Lord.mp3</t>
  </si>
  <si>
    <t>https://audio.iskcondesiretree.com/01_-_Srila_Prabhupada/01_-_Lectures/01_-_English/01_-_Topic_wise/Bhagavad_Gita/Chapter-07/SP_BG_07-01_Hyderabad_1976-08-22_Increase_Your_Attachment_to_the_Lord.mp3</t>
  </si>
  <si>
    <t>SP_Room_Conversation_Hyderabad_1976-08-22_A_Favorable_Newspaper_Article.mp3</t>
  </si>
  <si>
    <t>https://audio.iskcondesiretree.com/01_-_Srila_Prabhupada/01_-_Lectures/01_-_English/01_-_Topic_wise/Room_Conversation/SP_Room_Conversation_Hyderabad_1976-08-22_A_Favorable_Newspaper_Article.mp3</t>
  </si>
  <si>
    <t>SP_Room_Conversation_Hyderabad_1976-08-22_Government_Minister--Relief_from--etc.mp3</t>
  </si>
  <si>
    <t>https://audio.iskcondesiretree.com/01_-_Srila_Prabhupada/01_-_Lectures/01_-_English/01_-_Topic_wise/Room_Conversation/SP_Room_Conversation_Hyderabad_1976-08-22_Government_Minister--Relief_from--etc.mp3</t>
  </si>
  <si>
    <t>SP_Room_Conversation_Hyderabad_1976-08-22_Government_Ministers--Government--etc.mp3</t>
  </si>
  <si>
    <t>https://audio.iskcondesiretree.com/01_-_Srila_Prabhupada/01_-_Lectures/01_-_English/01_-_Topic_wise/Room_Conversation/SP_Room_Conversation_Hyderabad_1976-08-22_Government_Ministers--Government--etc.mp3</t>
  </si>
  <si>
    <t>Bg-07-01_1976-08-22_BG-HYDERABAD.MP3</t>
  </si>
  <si>
    <t>https://audio.iskcondesiretree.com/01_-_Srila_Prabhupada/01_-_Lectures/01_-_English/02_-_Month_wise/08_-_August/22/Bg-07-01_1976-08-22_BG-HYDERABAD.MP3</t>
  </si>
  <si>
    <t>Bg_07-01_HYD_1976-08-22_Increase_Your_Attachment_to_the_Lord.mp3</t>
  </si>
  <si>
    <t>https://audio.iskcondesiretree.com/01_-_Srila_Prabhupada/01_-_Lectures/01_-_English/02_-_Month_wise/08_-_August/22/Bg_07-01_HYD_1976-08-22_Increase_Your_Attachment_to_the_Lord.mp3</t>
  </si>
  <si>
    <t>Conv_1976-08-22_R1-HYDERABAD.MP3</t>
  </si>
  <si>
    <t>https://audio.iskcondesiretree.com/01_-_Srila_Prabhupada/01_-_Lectures/01_-_English/02_-_Month_wise/08_-_August/22/Conv_1976-08-22_R1-HYDERABAD.MP3</t>
  </si>
  <si>
    <t>Conv_1976-08-22_R2-HYDERABAD.MP3</t>
  </si>
  <si>
    <t>https://audio.iskcondesiretree.com/01_-_Srila_Prabhupada/01_-_Lectures/01_-_English/02_-_Month_wise/08_-_August/22/Conv_1976-08-22_R2-HYDERABAD.MP3</t>
  </si>
  <si>
    <t>Conv_1976-08-22_R3-HYDERABAD.MP3</t>
  </si>
  <si>
    <t>https://audio.iskcondesiretree.com/01_-_Srila_Prabhupada/01_-_Lectures/01_-_English/02_-_Month_wise/08_-_August/22/Conv_1976-08-22_R3-HYDERABAD.MP3</t>
  </si>
  <si>
    <t>Initiations_1976-08-22-IN-HYDERABAD.MP3</t>
  </si>
  <si>
    <t>https://audio.iskcondesiretree.com/01_-_Srila_Prabhupada/01_-_Lectures/01_-_English/02_-_Month_wise/08_-_August/22/Initiations_1976-08-22-IN-HYDERABAD.MP3</t>
  </si>
  <si>
    <t>RC_HYD_1976-08-22_A_Favorable_Newspaper_Article.mp3</t>
  </si>
  <si>
    <t>https://audio.iskcondesiretree.com/01_-_Srila_Prabhupada/01_-_Lectures/01_-_English/02_-_Month_wise/08_-_August/22/RC_HYD_1976-08-22_A_Favorable_Newspaper_Article.mp3</t>
  </si>
  <si>
    <t>RC_HYD_1976-08-22_Government_Minister_Relief_from_etc.mp3</t>
  </si>
  <si>
    <t>https://audio.iskcondesiretree.com/01_-_Srila_Prabhupada/01_-_Lectures/01_-_English/02_-_Month_wise/08_-_August/22/RC_HYD_1976-08-22_Government_Minister_Relief_from_etc.mp3</t>
  </si>
  <si>
    <t>RC_HYD_1976-08-22_Government_Ministers_Government_etc.mp3</t>
  </si>
  <si>
    <t>https://audio.iskcondesiretree.com/01_-_Srila_Prabhupada/01_-_Lectures/01_-_English/02_-_Month_wise/08_-_August/22/RC_HYD_1976-08-22_Government_Ministers_Government_etc.mp3</t>
  </si>
  <si>
    <t>Walk_1976-08-23_MW-HYDERABAD.MP3</t>
  </si>
  <si>
    <t>https://audio.iskcondesiretree.com/01_-_Srila_Prabhupada/01_-_Lectures/01_-_English/02_-_Month_wise/08_-_August/23/Walk_1976-08-23_MW-HYDERABAD.MP3</t>
  </si>
  <si>
    <t>SP_Room_Conversation_Hyderabad_1976-08-24_Sweepers_Lepers_and_Government_Ministers.mp3</t>
  </si>
  <si>
    <t>https://audio.iskcondesiretree.com/01_-_Srila_Prabhupada/01_-_Lectures/01_-_English/01_-_Topic_wise/Room_Conversation/SP_Room_Conversation_Hyderabad_1976-08-24_Sweepers_Lepers_and_Government_Ministers.mp3</t>
  </si>
  <si>
    <t>Conv_1976-08-24_R1-HYDERABAD.MP3</t>
  </si>
  <si>
    <t>https://audio.iskcondesiretree.com/01_-_Srila_Prabhupada/01_-_Lectures/01_-_English/02_-_Month_wise/08_-_August/24/Conv_1976-08-24_R1-HYDERABAD.MP3</t>
  </si>
  <si>
    <t>Conv_1976-08-24_R2-HYDERABAD.MP3</t>
  </si>
  <si>
    <t>https://audio.iskcondesiretree.com/01_-_Srila_Prabhupada/01_-_Lectures/01_-_English/02_-_Month_wise/08_-_August/24/Conv_1976-08-24_R2-HYDERABAD.MP3</t>
  </si>
  <si>
    <t>Conv_1976-08-24_R3-HYDERABAD.MP3</t>
  </si>
  <si>
    <t>https://audio.iskcondesiretree.com/01_-_Srila_Prabhupada/01_-_Lectures/01_-_English/02_-_Month_wise/08_-_August/24/Conv_1976-08-24_R3-HYDERABAD.MP3</t>
  </si>
  <si>
    <t>RC_HYD_1976-08-24_Sweepers_Lepers_and_Government_Ministers.mp3</t>
  </si>
  <si>
    <t>https://audio.iskcondesiretree.com/01_-_Srila_Prabhupada/01_-_Lectures/01_-_English/02_-_Month_wise/08_-_August/24/RC_HYD_1976-08-24_Sweepers_Lepers_and_Government_Ministers.mp3</t>
  </si>
  <si>
    <t>Walk_1976-08-24_MW-HYDERABAD.MP3</t>
  </si>
  <si>
    <t>https://audio.iskcondesiretree.com/01_-_Srila_Prabhupada/01_-_Lectures/01_-_English/02_-_Month_wise/08_-_August/24/Walk_1976-08-24_MW-HYDERABAD.MP3</t>
  </si>
  <si>
    <t>SP_Room_Conversation_Hyderabad_1976-08-25_There_Is_An_Eternal_World.mp3</t>
  </si>
  <si>
    <t>https://audio.iskcondesiretree.com/01_-_Srila_Prabhupada/01_-_Lectures/01_-_English/01_-_Topic_wise/Room_Conversation/SP_Room_Conversation_Hyderabad_1976-08-25_There_Is_An_Eternal_World.mp3</t>
  </si>
  <si>
    <t>Bg-01-01%E2%80%93Hindi_1976-08-25_BG-HYDERABAD.MP3</t>
  </si>
  <si>
    <t>https://audio.iskcondesiretree.com/01_-_Srila_Prabhupada/01_-_Lectures/01_-_English/02_-_Month_wise/08_-_August/25/Bg-01-01%E2%80%93Hindi_1976-08-25_BG-HYDERABAD.MP3</t>
  </si>
  <si>
    <t>Conv_1976-08-25_R1-HYDERABAD.MP3</t>
  </si>
  <si>
    <t>https://audio.iskcondesiretree.com/01_-_Srila_Prabhupada/01_-_Lectures/01_-_English/02_-_Month_wise/08_-_August/25/Conv_1976-08-25_R1-HYDERABAD.MP3</t>
  </si>
  <si>
    <t>RC_HYD_1976-08-25_There_Is_An_Eternal_World.mp3</t>
  </si>
  <si>
    <t>https://audio.iskcondesiretree.com/01_-_Srila_Prabhupada/01_-_Lectures/01_-_English/02_-_Month_wise/08_-_August/25/RC_HYD_1976-08-25_There_Is_An_Eternal_World.mp3</t>
  </si>
  <si>
    <t>Walk_1976-08-27_MW-DELHI.MP3</t>
  </si>
  <si>
    <t>https://audio.iskcondesiretree.com/01_-_Srila_Prabhupada/01_-_Lectures/01_-_English/02_-_Month_wise/08_-_August/27/Walk_1976-08-27_MW-DELHI.MP3</t>
  </si>
  <si>
    <t>SB-05-05-01_1976-08-29_SB-DELHI.MP3</t>
  </si>
  <si>
    <t>https://audio.iskcondesiretree.com/01_-_Srila_Prabhupada/01_-_Lectures/01_-_English/02_-_Month_wise/08_-_August/29/SB-05-05-01_1976-08-29_SB-DELHI.MP3</t>
  </si>
  <si>
    <t>Walk_1976-08-29_MW-DELHI.MP3</t>
  </si>
  <si>
    <t>https://audio.iskcondesiretree.com/01_-_Srila_Prabhupada/01_-_Lectures/01_-_English/02_-_Month_wise/08_-_August/29/Walk_1976-08-29_MW-DELHI.MP3</t>
  </si>
  <si>
    <t>Walk_1976-08-30_MW-DELHI.MP3</t>
  </si>
  <si>
    <t>https://audio.iskcondesiretree.com/01_-_Srila_Prabhupada/01_-_Lectures/01_-_English/02_-_Month_wise/08_-_August/30/Walk_1976-08-30_MW-DELHI.MP3</t>
  </si>
  <si>
    <t>Initiations_1976-08-31_IN-DELHI.MP3</t>
  </si>
  <si>
    <t>https://audio.iskcondesiretree.com/01_-_Srila_Prabhupada/01_-_Lectures/01_-_English/02_-_Month_wise/08_-_August/31/Initiations_1976-08-31_IN-DELHI.MP3</t>
  </si>
  <si>
    <t>Meeting_1976-08-31_R1-DELHI.MP3</t>
  </si>
  <si>
    <t>https://audio.iskcondesiretree.com/01_-_Srila_Prabhupada/01_-_Lectures/01_-_English/02_-_Month_wise/08_-_August/31/Meeting_1976-08-31_R1-DELHI.MP3</t>
  </si>
  <si>
    <t>Walk_1976-08-31_MW-DELHI.MP3</t>
  </si>
  <si>
    <t>https://audio.iskcondesiretree.com/01_-_Srila_Prabhupada/01_-_Lectures/01_-_English/02_-_Month_wise/08_-_August/31/Walk_1976-08-31_MW-DELHI.MP3</t>
  </si>
  <si>
    <t>Darshan_1976-09-01_ED-DELHI.MP3</t>
  </si>
  <si>
    <t>https://audio.iskcondesiretree.com/01_-_Srila_Prabhupada/01_-_Lectures/01_-_English/02_-_Month_wise/09_-_September/01/Darshan_1976-09-01_ED-DELHI.MP3</t>
  </si>
  <si>
    <t>Walk_1976-09-02_MW-DELHI.MP3</t>
  </si>
  <si>
    <t>https://audio.iskcondesiretree.com/01_-_Srila_Prabhupada/01_-_Lectures/01_-_English/02_-_Month_wise/09_-_September/02/Walk_1976-09-02_MW-DELHI.MP3</t>
  </si>
  <si>
    <t>SP_Arrival_Vrindavan_1976-09-03_Understand_God.mp3</t>
  </si>
  <si>
    <t>https://audio.iskcondesiretree.com/01_-_Srila_Prabhupada/01_-_Lectures/01_-_English/01_-_Topic_wise/Arrival_Address/SP_Arrival_Vrindavan_1976-09-03_Understand_God.mp3</t>
  </si>
  <si>
    <t>Arr_VRN_1976-09-03_Understand_God.mp3</t>
  </si>
  <si>
    <t>https://audio.iskcondesiretree.com/01_-_Srila_Prabhupada/01_-_Lectures/01_-_English/02_-_Month_wise/09_-_September/03/Arr_VRN_1976-09-03_Understand_God.mp3</t>
  </si>
  <si>
    <t>Bg-07-15_1976-09-03_BG-VRNDAVAN.MP3</t>
  </si>
  <si>
    <t>https://audio.iskcondesiretree.com/01_-_Srila_Prabhupada/01_-_Lectures/01_-_English/02_-_Month_wise/09_-_September/03/Bg-07-15_1976-09-03_BG-VRNDAVAN.MP3</t>
  </si>
  <si>
    <t>Conv_1976-09-03_G1-VRNDAVAN.MP3</t>
  </si>
  <si>
    <t>https://audio.iskcondesiretree.com/01_-_Srila_Prabhupada/01_-_Lectures/01_-_English/02_-_Month_wise/09_-_September/03/Conv_1976-09-03_G1-VRNDAVAN.MP3</t>
  </si>
  <si>
    <t>Conv_1976-09-03_R1-VRNDAVAN.MP3</t>
  </si>
  <si>
    <t>https://audio.iskcondesiretree.com/01_-_Srila_Prabhupada/01_-_Lectures/01_-_English/02_-_Month_wise/09_-_September/03/Conv_1976-09-03_R1-VRNDAVAN.MP3</t>
  </si>
  <si>
    <t>SP_Room_Conversation_Vrindavan_1976-09-04_Happy_Within_Yourself.mp3</t>
  </si>
  <si>
    <t>https://audio.iskcondesiretree.com/01_-_Srila_Prabhupada/01_-_Lectures/01_-_English/01_-_Topic_wise/Room_Conversation/SP_Room_Conversation_Vrindavan_1976-09-04_Happy_Within_Yourself.mp3</t>
  </si>
  <si>
    <t>SP_SB_1-07-05_Vrindavan_1976-09-04_Human_Life-Understand_God.mp3</t>
  </si>
  <si>
    <t>https://audio.iskcondesiretree.com/01_-_Srila_Prabhupada/01_-_Lectures/01_-_English/01_-_Topic_wise/Srimad_Bhagavatam/Canto-01/SP_SB_1-07-05_Vrindavan_1976-09-04_Human_Life-Understand_God.mp3</t>
  </si>
  <si>
    <t>Conv_1976-09-04_R1-VRNDAVAN.MP3</t>
  </si>
  <si>
    <t>https://audio.iskcondesiretree.com/01_-_Srila_Prabhupada/01_-_Lectures/01_-_English/02_-_Month_wise/09_-_September/04/Conv_1976-09-04_R1-VRNDAVAN.MP3</t>
  </si>
  <si>
    <t>RC_VRN_1976-09-04_Happy_Within_Yourself.mp3</t>
  </si>
  <si>
    <t>https://audio.iskcondesiretree.com/01_-_Srila_Prabhupada/01_-_Lectures/01_-_English/02_-_Month_wise/09_-_September/04/RC_VRN_1976-09-04_Happy_Within_Yourself.mp3</t>
  </si>
  <si>
    <t>SB-01-07-05_1976-09-04_SB-VRNDAVAN.MP3</t>
  </si>
  <si>
    <t>https://audio.iskcondesiretree.com/01_-_Srila_Prabhupada/01_-_Lectures/01_-_English/02_-_Month_wise/09_-_September/04/SB-01-07-05_1976-09-04_SB-VRNDAVAN.MP3</t>
  </si>
  <si>
    <t>SB_1-07-05_VRN_1976-09-04_Human_Life-Understand_God.mp3</t>
  </si>
  <si>
    <t>https://audio.iskcondesiretree.com/01_-_Srila_Prabhupada/01_-_Lectures/01_-_English/02_-_Month_wise/09_-_September/04/SB_1-07-05_VRN_1976-09-04_Human_Life-Understand_God.mp3</t>
  </si>
  <si>
    <t>SP_SB_1-07-06_Vrindavan_1976-09-05_Produce_Grain-Not_Goodyear_Tires.mp3</t>
  </si>
  <si>
    <t>https://audio.iskcondesiretree.com/01_-_Srila_Prabhupada/01_-_Lectures/01_-_English/01_-_Topic_wise/Srimad_Bhagavatam/Canto-01/SP_SB_1-07-06_Vrindavan_1976-09-05_Produce_Grain-Not_Goodyear_Tires.mp3</t>
  </si>
  <si>
    <t>Conv_1976-09-05_R2-VRNDAVAN.MP3</t>
  </si>
  <si>
    <t>https://audio.iskcondesiretree.com/01_-_Srila_Prabhupada/01_-_Lectures/01_-_English/02_-_Month_wise/09_-_September/05/Conv_1976-09-05_R2-VRNDAVAN.MP3</t>
  </si>
  <si>
    <t>SB-01-07-06_1976-09-05_SB-VRNDAVAN.MP3</t>
  </si>
  <si>
    <t>https://audio.iskcondesiretree.com/01_-_Srila_Prabhupada/01_-_Lectures/01_-_English/02_-_Month_wise/09_-_September/05/SB-01-07-06_1976-09-05_SB-VRNDAVAN.MP3</t>
  </si>
  <si>
    <t>SB_1-07-06_VRN_1976-09-05_Produce_Grain-Not_Goodyear_Tires.mp3</t>
  </si>
  <si>
    <t>https://audio.iskcondesiretree.com/01_-_Srila_Prabhupada/01_-_Lectures/01_-_English/02_-_Month_wise/09_-_September/05/SB_1-07-06_VRN_1976-09-05_Produce_Grain-Not_Goodyear_Tires.mp3</t>
  </si>
  <si>
    <t>SP_SB_1-07-07_Vrindavan_1976-09-06_To_Live_Means_to_Love_Krishna.mp3</t>
  </si>
  <si>
    <t>https://audio.iskcondesiretree.com/01_-_Srila_Prabhupada/01_-_Lectures/01_-_English/01_-_Topic_wise/Srimad_Bhagavatam/Canto-01/SP_SB_1-07-07_Vrindavan_1976-09-06_To_Live_Means_to_Love_Krishna.mp3</t>
  </si>
  <si>
    <t>Conv_1976-09-06_G1-VRNDAVAN.MP3</t>
  </si>
  <si>
    <t>https://audio.iskcondesiretree.com/01_-_Srila_Prabhupada/01_-_Lectures/01_-_English/02_-_Month_wise/09_-_September/06/Conv_1976-09-06_G1-VRNDAVAN.MP3</t>
  </si>
  <si>
    <t>Conv_1976-09-06_R1-VRNDAVAN.MP3</t>
  </si>
  <si>
    <t>https://audio.iskcondesiretree.com/01_-_Srila_Prabhupada/01_-_Lectures/01_-_English/02_-_Month_wise/09_-_September/06/Conv_1976-09-06_R1-VRNDAVAN.MP3</t>
  </si>
  <si>
    <t>SB-01-07-07_1976-09-06_SB-VRNDAVAN.MP3</t>
  </si>
  <si>
    <t>https://audio.iskcondesiretree.com/01_-_Srila_Prabhupada/01_-_Lectures/01_-_English/02_-_Month_wise/09_-_September/06/SB-01-07-07_1976-09-06_SB-VRNDAVAN.MP3</t>
  </si>
  <si>
    <t>SB_1-07-07_VRN_1976-09-06_To_Live_Means_to_Love_Krishna.mp3</t>
  </si>
  <si>
    <t>https://audio.iskcondesiretree.com/01_-_Srila_Prabhupada/01_-_Lectures/01_-_English/02_-_Month_wise/09_-_September/06/SB_1-07-07_VRN_1976-09-06_To_Live_Means_to_Love_Krishna.mp3</t>
  </si>
  <si>
    <t>SP_Room_Conversation_Vrindavan_1976-09-07_Spiritual_Happiness_and_Suicidal_Monkey.mp3</t>
  </si>
  <si>
    <t>https://audio.iskcondesiretree.com/01_-_Srila_Prabhupada/01_-_Lectures/01_-_English/01_-_Topic_wise/Room_Conversation/SP_Room_Conversation_Vrindavan_1976-09-07_Spiritual_Happiness_and_Suicidal_Monkey.mp3</t>
  </si>
  <si>
    <t>SP_SB_1-07-08_Vrindavan_1976-09-07_Our_Condition-Precarious.mp3</t>
  </si>
  <si>
    <t>https://audio.iskcondesiretree.com/01_-_Srila_Prabhupada/01_-_Lectures/01_-_English/01_-_Topic_wise/Srimad_Bhagavatam/Canto-01/SP_SB_1-07-08_Vrindavan_1976-09-07_Our_Condition-Precarious.mp3</t>
  </si>
  <si>
    <t>Conv_1976-09-07_G1-VRNDAVAN.MP3</t>
  </si>
  <si>
    <t>https://audio.iskcondesiretree.com/01_-_Srila_Prabhupada/01_-_Lectures/01_-_English/02_-_Month_wise/09_-_September/07/Conv_1976-09-07_G1-VRNDAVAN.MP3</t>
  </si>
  <si>
    <t>Conv_1976-09-07_G2-VRNDAVAN.MP3</t>
  </si>
  <si>
    <t>https://audio.iskcondesiretree.com/01_-_Srila_Prabhupada/01_-_Lectures/01_-_English/02_-_Month_wise/09_-_September/07/Conv_1976-09-07_G2-VRNDAVAN.MP3</t>
  </si>
  <si>
    <t>Conv_1976-09-07_R1-VRNDAVAN.MP3</t>
  </si>
  <si>
    <t>https://audio.iskcondesiretree.com/01_-_Srila_Prabhupada/01_-_Lectures/01_-_English/02_-_Month_wise/09_-_September/07/Conv_1976-09-07_R1-VRNDAVAN.MP3</t>
  </si>
  <si>
    <t>RC_VRN_1976-09-07_Spiritual_Happiness_and_Suicidal_Monkey.mp3</t>
  </si>
  <si>
    <t>https://audio.iskcondesiretree.com/01_-_Srila_Prabhupada/01_-_Lectures/01_-_English/02_-_Month_wise/09_-_September/07/RC_VRN_1976-09-07_Spiritual_Happiness_and_Suicidal_Monkey.mp3</t>
  </si>
  <si>
    <t>SB-01-07-08_1976-09-07_SB-VRNDAVAN.MP3</t>
  </si>
  <si>
    <t>https://audio.iskcondesiretree.com/01_-_Srila_Prabhupada/01_-_Lectures/01_-_English/02_-_Month_wise/09_-_September/07/SB-01-07-08_1976-09-07_SB-VRNDAVAN.MP3</t>
  </si>
  <si>
    <t>SB_1-07-08_VRN_1976-09-07_Our_Condition-Precarious.mp3</t>
  </si>
  <si>
    <t>https://audio.iskcondesiretree.com/01_-_Srila_Prabhupada/01_-_Lectures/01_-_English/02_-_Month_wise/09_-_September/07/SB_1-07-08_VRN_1976-09-07_Our_Condition-Precarious.mp3</t>
  </si>
  <si>
    <t>SB-01-07-09_1976-09-08_SB-VRNDAVAN.MP3</t>
  </si>
  <si>
    <t>https://audio.iskcondesiretree.com/01_-_Srila_Prabhupada/01_-_Lectures/01_-_English/02_-_Month_wise/09_-_September/08/SB-01-07-09_1976-09-08_SB-VRNDAVAN.MP3</t>
  </si>
  <si>
    <t>SP_Room_Conversation_Vrindavan_1976-09-09_Chastity_vs_Change-O-Mania.mp3</t>
  </si>
  <si>
    <t>https://audio.iskcondesiretree.com/01_-_Srila_Prabhupada/01_-_Lectures/01_-_English/01_-_Topic_wise/Room_Conversation/SP_Room_Conversation_Vrindavan_1976-09-09_Chastity_vs_Change-O-Mania.mp3</t>
  </si>
  <si>
    <t>SP_Room_Conversation_Vrindavan_1976-09-09_What_Have_They_Godbrothers_Done.mp3</t>
  </si>
  <si>
    <t>https://audio.iskcondesiretree.com/01_-_Srila_Prabhupada/01_-_Lectures/01_-_English/01_-_Topic_wise/Room_Conversation/SP_Room_Conversation_Vrindavan_1976-09-09_What_Have_They_Godbrothers_Done.mp3</t>
  </si>
  <si>
    <t>SP_SB_1-07-10_Vrindavan_1976-09-09_Read_These_Books.mp3</t>
  </si>
  <si>
    <t>https://audio.iskcondesiretree.com/01_-_Srila_Prabhupada/01_-_Lectures/01_-_English/01_-_Topic_wise/Srimad_Bhagavatam/Canto-01/SP_SB_1-07-10_Vrindavan_1976-09-09_Read_These_Books.mp3</t>
  </si>
  <si>
    <t>Conv_1976-09-09_R1-VRNDAVAN.MP3</t>
  </si>
  <si>
    <t>https://audio.iskcondesiretree.com/01_-_Srila_Prabhupada/01_-_Lectures/01_-_English/02_-_Month_wise/09_-_September/09/Conv_1976-09-09_R1-VRNDAVAN.MP3</t>
  </si>
  <si>
    <t>Conv_1976-09-09_R2-VRNDAVAN.MP3</t>
  </si>
  <si>
    <t>https://audio.iskcondesiretree.com/01_-_Srila_Prabhupada/01_-_Lectures/01_-_English/02_-_Month_wise/09_-_September/09/Conv_1976-09-09_R2-VRNDAVAN.MP3</t>
  </si>
  <si>
    <t>RC_VRN_1976-09-09_Chastity_Vs_Change-O-Mania.mp3</t>
  </si>
  <si>
    <t>https://audio.iskcondesiretree.com/01_-_Srila_Prabhupada/01_-_Lectures/01_-_English/02_-_Month_wise/09_-_September/09/RC_VRN_1976-09-09_Chastity_Vs_Change-O-Mania.mp3</t>
  </si>
  <si>
    <t>RC_VRN_1976-09-09_What_Have_They_%28Godbrothers%29_Done.mp3</t>
  </si>
  <si>
    <t>https://audio.iskcondesiretree.com/01_-_Srila_Prabhupada/01_-_Lectures/01_-_English/02_-_Month_wise/09_-_September/09/RC_VRN_1976-09-09_What_Have_They_%28Godbrothers%29_Done.mp3</t>
  </si>
  <si>
    <t>SB-01-07-10_1976-09-09_SB-VRNDAVAN.MP3</t>
  </si>
  <si>
    <t>https://audio.iskcondesiretree.com/01_-_Srila_Prabhupada/01_-_Lectures/01_-_English/02_-_Month_wise/09_-_September/09/SB-01-07-10_1976-09-09_SB-VRNDAVAN.MP3</t>
  </si>
  <si>
    <t>SB_1-07-10_VRN_1976-09-09_Read_These_Books.mp3</t>
  </si>
  <si>
    <t>https://audio.iskcondesiretree.com/01_-_Srila_Prabhupada/01_-_Lectures/01_-_English/02_-_Month_wise/09_-_September/09/SB_1-07-10_VRN_1976-09-09_Read_These_Books.mp3</t>
  </si>
  <si>
    <t>SP_SB_1-07-11_Vrindavan_1976-09-10_When_Madras_Is_Not_Bad.mp3</t>
  </si>
  <si>
    <t>https://audio.iskcondesiretree.com/01_-_Srila_Prabhupada/01_-_Lectures/01_-_English/01_-_Topic_wise/Srimad_Bhagavatam/Canto-01/SP_SB_1-07-11_Vrindavan_1976-09-10_When_Madras_Is_Not_Bad.mp3</t>
  </si>
  <si>
    <t>SB-01-07-11_1976-09-10_SB-VRNDAVAN.MP3</t>
  </si>
  <si>
    <t>https://audio.iskcondesiretree.com/01_-_Srila_Prabhupada/01_-_Lectures/01_-_English/02_-_Month_wise/09_-_September/10/SB-01-07-11_1976-09-10_SB-VRNDAVAN.MP3</t>
  </si>
  <si>
    <t>SB_1-07-11_VRN_1976-09-10_When_Mad_Is_Not_Bad.mp3</t>
  </si>
  <si>
    <t>https://audio.iskcondesiretree.com/01_-_Srila_Prabhupada/01_-_Lectures/01_-_English/02_-_Month_wise/09_-_September/10/SB_1-07-11_VRN_1976-09-10_When_Mad_Is_Not_Bad.mp3</t>
  </si>
  <si>
    <t>SP_SB_1-07-12_Vrindavan_1976-09-11_Bhakti_On_the_Battlefield.mp3</t>
  </si>
  <si>
    <t>https://audio.iskcondesiretree.com/01_-_Srila_Prabhupada/01_-_Lectures/01_-_English/01_-_Topic_wise/Srimad_Bhagavatam/Canto-01/SP_SB_1-07-12_Vrindavan_1976-09-11_Bhakti_On_the_Battlefield.mp3</t>
  </si>
  <si>
    <t>Conv_1976-09-11_R1-VRNDAVAN.MP3</t>
  </si>
  <si>
    <t>https://audio.iskcondesiretree.com/01_-_Srila_Prabhupada/01_-_Lectures/01_-_English/02_-_Month_wise/09_-_September/11/Conv_1976-09-11_R1-VRNDAVAN.MP3</t>
  </si>
  <si>
    <t>Conv_1976-09-11_R2-VRNDAVAN.MP3</t>
  </si>
  <si>
    <t>https://audio.iskcondesiretree.com/01_-_Srila_Prabhupada/01_-_Lectures/01_-_English/02_-_Month_wise/09_-_September/11/Conv_1976-09-11_R2-VRNDAVAN.MP3</t>
  </si>
  <si>
    <t>SB-01-07-12_1976-09-11_SB-VRNDAVAN.MP3</t>
  </si>
  <si>
    <t>https://audio.iskcondesiretree.com/01_-_Srila_Prabhupada/01_-_Lectures/01_-_English/02_-_Month_wise/09_-_September/11/SB-01-07-12_1976-09-11_SB-VRNDAVAN.MP3</t>
  </si>
  <si>
    <t>SB_1-07-12_VRN_1976-09-11_Bhakti_On_the_Battlefield.mp3</t>
  </si>
  <si>
    <t>https://audio.iskcondesiretree.com/01_-_Srila_Prabhupada/01_-_Lectures/01_-_English/02_-_Month_wise/09_-_September/11/SB_1-07-12_VRN_1976-09-11_Bhakti_On_the_Battlefield.mp3</t>
  </si>
  <si>
    <t>SP_SB_1-07-13_Vrindavan_1976-09-12_There_Is_New_Orleans_Training.mp3</t>
  </si>
  <si>
    <t>https://audio.iskcondesiretree.com/01_-_Srila_Prabhupada/01_-_Lectures/01_-_English/01_-_Topic_wise/Srimad_Bhagavatam/Canto-01/SP_SB_1-07-13_Vrindavan_1976-09-12_There_Is_New_Orleans_Training.mp3</t>
  </si>
  <si>
    <t>Conv_1976-09-12_R1-VRNDAVAN.MP3</t>
  </si>
  <si>
    <t>https://audio.iskcondesiretree.com/01_-_Srila_Prabhupada/01_-_Lectures/01_-_English/02_-_Month_wise/09_-_September/12/Conv_1976-09-12_R1-VRNDAVAN.MP3</t>
  </si>
  <si>
    <t>SB-01-07-13%E2%80%9314_1976-09-12_SB-VRNDAVAN.MP3</t>
  </si>
  <si>
    <t>https://audio.iskcondesiretree.com/01_-_Srila_Prabhupada/01_-_Lectures/01_-_English/02_-_Month_wise/09_-_September/12/SB-01-07-13%E2%80%9314_1976-09-12_SB-VRNDAVAN.MP3</t>
  </si>
  <si>
    <t>SB_1-07-13_VRN_1976-09-12_There_Is_No_Training.mp3</t>
  </si>
  <si>
    <t>https://audio.iskcondesiretree.com/01_-_Srila_Prabhupada/01_-_Lectures/01_-_English/02_-_Month_wise/09_-_September/12/SB_1-07-13_VRN_1976-09-12_There_Is_No_Training.mp3</t>
  </si>
  <si>
    <t>SP_SB_1-07-15_Vrindavan_1976-09-13_The_Mammoth_Mantra.mp3</t>
  </si>
  <si>
    <t>https://audio.iskcondesiretree.com/01_-_Srila_Prabhupada/01_-_Lectures/01_-_English/01_-_Topic_wise/Srimad_Bhagavatam/Canto-01/SP_SB_1-07-15_Vrindavan_1976-09-13_The_Mammoth_Mantra.mp3</t>
  </si>
  <si>
    <t>LetterToSaiBaba_1976-09-13_LR-VRNDAVAN.MP3</t>
  </si>
  <si>
    <t>https://audio.iskcondesiretree.com/01_-_Srila_Prabhupada/01_-_Lectures/01_-_English/02_-_Month_wise/09_-_September/13/LetterToSaiBaba_1976-09-13_LR-VRNDAVAN.MP3</t>
  </si>
  <si>
    <t>SB-01-07-15_1976-09-13_SB-VRNDAVAN.MP3</t>
  </si>
  <si>
    <t>https://audio.iskcondesiretree.com/01_-_Srila_Prabhupada/01_-_Lectures/01_-_English/02_-_Month_wise/09_-_September/13/SB-01-07-15_1976-09-13_SB-VRNDAVAN.MP3</t>
  </si>
  <si>
    <t>SB_1-07-15_VRN_1976-09-13_The_Mammoth_Mantra.mp3</t>
  </si>
  <si>
    <t>https://audio.iskcondesiretree.com/01_-_Srila_Prabhupada/01_-_Lectures/01_-_English/02_-_Month_wise/09_-_September/13/SB_1-07-15_VRN_1976-09-13_The_Mammoth_Mantra.mp3</t>
  </si>
  <si>
    <t>SB-01-07-16_1976-09-14_SB-VRNDAVAN.MP3</t>
  </si>
  <si>
    <t>https://audio.iskcondesiretree.com/01_-_Srila_Prabhupada/01_-_Lectures/01_-_English/02_-_Month_wise/09_-_September/14/SB-01-07-16_1976-09-14_SB-VRNDAVAN.MP3</t>
  </si>
  <si>
    <t>SP_SB_1-07-18_Vrindavan_1976-09-15_Darkness_and_Disturbance.mp3</t>
  </si>
  <si>
    <t>https://audio.iskcondesiretree.com/01_-_Srila_Prabhupada/01_-_Lectures/01_-_English/01_-_Topic_wise/Srimad_Bhagavatam/Canto-01/SP_SB_1-07-18_Vrindavan_1976-09-15_Darkness_and_Disturbance.mp3</t>
  </si>
  <si>
    <t>SB-01-07-18_1976-09-15_SB-VRNDAVAN.MP3</t>
  </si>
  <si>
    <t>https://audio.iskcondesiretree.com/01_-_Srila_Prabhupada/01_-_Lectures/01_-_English/02_-_Month_wise/09_-_September/15/SB-01-07-18_1976-09-15_SB-VRNDAVAN.MP3</t>
  </si>
  <si>
    <t>SB_1-07-18_VRN_1976-09-15_Darkness_and_Disturbance.mp3</t>
  </si>
  <si>
    <t>https://audio.iskcondesiretree.com/01_-_Srila_Prabhupada/01_-_Lectures/01_-_English/02_-_Month_wise/09_-_September/15/SB_1-07-18_VRN_1976-09-15_Darkness_and_Disturbance.mp3</t>
  </si>
  <si>
    <t>SP_SB_1-07-19_Vrindavan_1976-09-16_Hare_Krishna-Lord_and_Potency.mp3</t>
  </si>
  <si>
    <t>https://audio.iskcondesiretree.com/01_-_Srila_Prabhupada/01_-_Lectures/01_-_English/01_-_Topic_wise/Srimad_Bhagavatam/Canto-01/SP_SB_1-07-19_Vrindavan_1976-09-16_Hare_Krishna-Lord_and_Potency.mp3</t>
  </si>
  <si>
    <t>Conv_1976-09-16_R1-VRNDAVAN.MP3</t>
  </si>
  <si>
    <t>https://audio.iskcondesiretree.com/01_-_Srila_Prabhupada/01_-_Lectures/01_-_English/02_-_Month_wise/09_-_September/16/Conv_1976-09-16_R1-VRNDAVAN.MP3</t>
  </si>
  <si>
    <t>SB-01-07-19_1976-09-16_SB-VRNDAVAN.MP3</t>
  </si>
  <si>
    <t>https://audio.iskcondesiretree.com/01_-_Srila_Prabhupada/01_-_Lectures/01_-_English/02_-_Month_wise/09_-_September/16/SB-01-07-19_1976-09-16_SB-VRNDAVAN.MP3</t>
  </si>
  <si>
    <t>SB_1-07-19_VRN_1976-09-16_Hare_Krishna-Lord_and_Potency.mp3</t>
  </si>
  <si>
    <t>https://audio.iskcondesiretree.com/01_-_Srila_Prabhupada/01_-_Lectures/01_-_English/02_-_Month_wise/09_-_September/16/SB_1-07-19_VRN_1976-09-16_Hare_Krishna-Lord_and_Potency.mp3</t>
  </si>
  <si>
    <t>SP_SB_1-07-20-21_Vrindavan_1976-09-17_Don%27t_Wait_for_Another_Life.mp3</t>
  </si>
  <si>
    <t>https://audio.iskcondesiretree.com/01_-_Srila_Prabhupada/01_-_Lectures/01_-_English/01_-_Topic_wise/Srimad_Bhagavatam/Canto-01/SP_SB_1-07-20-21_Vrindavan_1976-09-17_Don%27t_Wait_for_Another_Life.mp3</t>
  </si>
  <si>
    <t>SP_SB_1-07-20_Vrindavan_1976-09-17_Don%27t_Wait_for_Another_Life.mp3</t>
  </si>
  <si>
    <t>https://audio.iskcondesiretree.com/01_-_Srila_Prabhupada/01_-_Lectures/01_-_English/01_-_Topic_wise/Srimad_Bhagavatam/Canto-01/SP_SB_1-07-20_Vrindavan_1976-09-17_Don%27t_Wait_for_Another_Life.mp3</t>
  </si>
  <si>
    <t>Conv_1976-09-17_R1-VRNDAVAN.MP3</t>
  </si>
  <si>
    <t>https://audio.iskcondesiretree.com/01_-_Srila_Prabhupada/01_-_Lectures/01_-_English/02_-_Month_wise/09_-_September/17/Conv_1976-09-17_R1-VRNDAVAN.MP3</t>
  </si>
  <si>
    <t>SB-01-07-20%E2%80%9321_1976-09-17_SB-VRNDAVAN.MP3</t>
  </si>
  <si>
    <t>https://audio.iskcondesiretree.com/01_-_Srila_Prabhupada/01_-_Lectures/01_-_English/02_-_Month_wise/09_-_September/17/SB-01-07-20%E2%80%9321_1976-09-17_SB-VRNDAVAN.MP3</t>
  </si>
  <si>
    <t>SB_1-07-20_VRN_1976-09-17_Don%27t_Wait_for_Another_Life.mp3</t>
  </si>
  <si>
    <t>https://audio.iskcondesiretree.com/01_-_Srila_Prabhupada/01_-_Lectures/01_-_English/02_-_Month_wise/09_-_September/17/SB_1-07-20_VRN_1976-09-17_Don%27t_Wait_for_Another_Life.mp3</t>
  </si>
  <si>
    <t>SP_SB_1-07-22_Vrindavan_1976-09-18_Material_Advancement-Suffering.mp3</t>
  </si>
  <si>
    <t>https://audio.iskcondesiretree.com/01_-_Srila_Prabhupada/01_-_Lectures/01_-_English/01_-_Topic_wise/Srimad_Bhagavatam/Canto-01/SP_SB_1-07-22_Vrindavan_1976-09-18_Material_Advancement-Suffering.mp3</t>
  </si>
  <si>
    <t>SB-01-07-22_1976-09-18_SB-VRNDAVAN.MP3</t>
  </si>
  <si>
    <t>https://audio.iskcondesiretree.com/01_-_Srila_Prabhupada/01_-_Lectures/01_-_English/02_-_Month_wise/09_-_September/18/SB-01-07-22_1976-09-18_SB-VRNDAVAN.MP3</t>
  </si>
  <si>
    <t>SB_1-07-22_VRN_1976-09-18_Material_Advancement-Suffering.mp3</t>
  </si>
  <si>
    <t>https://audio.iskcondesiretree.com/01_-_Srila_Prabhupada/01_-_Lectures/01_-_English/02_-_Month_wise/09_-_September/18/SB_1-07-22_VRN_1976-09-18_Material_Advancement-Suffering.mp3</t>
  </si>
  <si>
    <t>SP_SB_1-07-23_Vrindavan_1976-09-20_Krishna%27s_Real_Representative.mp3</t>
  </si>
  <si>
    <t>https://audio.iskcondesiretree.com/01_-_Srila_Prabhupada/01_-_Lectures/01_-_English/01_-_Topic_wise/Srimad_Bhagavatam/Canto-01/SP_SB_1-07-23_Vrindavan_1976-09-20_Krishna%27s_Real_Representative.mp3</t>
  </si>
  <si>
    <t>SB-01-07-23_1976-09-20_SB-VRNDAVAN.MP3</t>
  </si>
  <si>
    <t>https://audio.iskcondesiretree.com/01_-_Srila_Prabhupada/01_-_Lectures/01_-_English/02_-_Month_wise/09_-_September/20/SB-01-07-23_1976-09-20_SB-VRNDAVAN.MP3</t>
  </si>
  <si>
    <t>SB_1-07-23_VRN_1976-09-20_Krishna%27s_Real_Representative.mp3</t>
  </si>
  <si>
    <t>https://audio.iskcondesiretree.com/01_-_Srila_Prabhupada/01_-_Lectures/01_-_English/02_-_Month_wise/09_-_September/20/SB_1-07-23_VRN_1976-09-20_Krishna%27s_Real_Representative.mp3</t>
  </si>
  <si>
    <t>SP_SB_1-07-24_Vrindavan_1976-09-21_This_Material_Life_Has_New_Orleans_Value.mp3</t>
  </si>
  <si>
    <t>https://audio.iskcondesiretree.com/01_-_Srila_Prabhupada/01_-_Lectures/01_-_English/01_-_Topic_wise/Srimad_Bhagavatam/Canto-01/SP_SB_1-07-24_Vrindavan_1976-09-21_This_Material_Life_Has_New_Orleans_Value.mp3</t>
  </si>
  <si>
    <t>SB-01-07-24_1976-09-21_SB-VRNDAVAN.MP3</t>
  </si>
  <si>
    <t>https://audio.iskcondesiretree.com/01_-_Srila_Prabhupada/01_-_Lectures/01_-_English/02_-_Month_wise/09_-_September/21/SB-01-07-24_1976-09-21_SB-VRNDAVAN.MP3</t>
  </si>
  <si>
    <t>SB_1-07-24_VRN_1976-09-21_This_Material_Life_Has_No_Value.mp3</t>
  </si>
  <si>
    <t>https://audio.iskcondesiretree.com/01_-_Srila_Prabhupada/01_-_Lectures/01_-_English/02_-_Month_wise/09_-_September/21/SB_1-07-24_VRN_1976-09-21_This_Material_Life_Has_No_Value.mp3</t>
  </si>
  <si>
    <t>SP_SB_1-07-25_Vrindavan_1976-09-22_The_Age_of_Embarrassment.mp3</t>
  </si>
  <si>
    <t>https://audio.iskcondesiretree.com/01_-_Srila_Prabhupada/01_-_Lectures/01_-_English/01_-_Topic_wise/Srimad_Bhagavatam/Canto-01/SP_SB_1-07-25_Vrindavan_1976-09-22_The_Age_of_Embarrassment.mp3</t>
  </si>
  <si>
    <t>SB-01-07-25_1976-09-22_SB-VRNDAVAN.MP3</t>
  </si>
  <si>
    <t>https://audio.iskcondesiretree.com/01_-_Srila_Prabhupada/01_-_Lectures/01_-_English/02_-_Month_wise/09_-_September/22/SB-01-07-25_1976-09-22_SB-VRNDAVAN.MP3</t>
  </si>
  <si>
    <t>SB_1-07-25_VRN_1976-09-22_The_Age_of_Embarrassment.mp3</t>
  </si>
  <si>
    <t>https://audio.iskcondesiretree.com/01_-_Srila_Prabhupada/01_-_Lectures/01_-_English/02_-_Month_wise/09_-_September/22/SB_1-07-25_VRN_1976-09-22_The_Age_of_Embarrassment.mp3</t>
  </si>
  <si>
    <t>SP_SB_1-07-26_Vrindavan_1976-09-23_Freedom_Without_Fall-Down.mp3</t>
  </si>
  <si>
    <t>https://audio.iskcondesiretree.com/01_-_Srila_Prabhupada/01_-_Lectures/01_-_English/01_-_Topic_wise/Srimad_Bhagavatam/Canto-01/SP_SB_1-07-26_Vrindavan_1976-09-23_Freedom_Without_Fall-Down.mp3</t>
  </si>
  <si>
    <t>SB-01-07-26_1976-09-23_SB-VRNDAVAN.MP3</t>
  </si>
  <si>
    <t>https://audio.iskcondesiretree.com/01_-_Srila_Prabhupada/01_-_Lectures/01_-_English/02_-_Month_wise/09_-_September/23/SB-01-07-26_1976-09-23_SB-VRNDAVAN.MP3</t>
  </si>
  <si>
    <t>SB_1-07-26_VRN_1976-09-23_Freedom_Without_Fall-Down.mp3</t>
  </si>
  <si>
    <t>https://audio.iskcondesiretree.com/01_-_Srila_Prabhupada/01_-_Lectures/01_-_English/02_-_Month_wise/09_-_September/23/SB_1-07-26_VRN_1976-09-23_Freedom_Without_Fall-Down.mp3</t>
  </si>
  <si>
    <t>SP_SB_1-07-27_Vrindavan_1976-09-24_Krishna-Blessing_or_Burden.mp3</t>
  </si>
  <si>
    <t>https://audio.iskcondesiretree.com/01_-_Srila_Prabhupada/01_-_Lectures/01_-_English/01_-_Topic_wise/Srimad_Bhagavatam/Canto-01/SP_SB_1-07-27_Vrindavan_1976-09-24_Krishna-Blessing_or_Burden.mp3</t>
  </si>
  <si>
    <t>SB-01-07-27_1976-09-24_SB-VRNDAVAN.MP3</t>
  </si>
  <si>
    <t>https://audio.iskcondesiretree.com/01_-_Srila_Prabhupada/01_-_Lectures/01_-_English/02_-_Month_wise/09_-_September/24/SB-01-07-27_1976-09-24_SB-VRNDAVAN.MP3</t>
  </si>
  <si>
    <t>SB_1-07-27_VRN_1976-09-24_Krishna-Blessing_or_Burden.mp3</t>
  </si>
  <si>
    <t>https://audio.iskcondesiretree.com/01_-_Srila_Prabhupada/01_-_Lectures/01_-_English/02_-_Month_wise/09_-_September/24/SB_1-07-27_VRN_1976-09-24_Krishna-Blessing_or_Burden.mp3</t>
  </si>
  <si>
    <t>SP_SB_1-07-28-29_Vrindavan_1976-09-25_Who_Needs_Krishna.mp3</t>
  </si>
  <si>
    <t>https://audio.iskcondesiretree.com/01_-_Srila_Prabhupada/01_-_Lectures/01_-_English/01_-_Topic_wise/Srimad_Bhagavatam/Canto-01/SP_SB_1-07-28-29_Vrindavan_1976-09-25_Who_Needs_Krishna.mp3</t>
  </si>
  <si>
    <t>SP_SB_1-07-28_Vrindavan_1976-09-25_Who_Needs_Krishna.mp3</t>
  </si>
  <si>
    <t>https://audio.iskcondesiretree.com/01_-_Srila_Prabhupada/01_-_Lectures/01_-_English/01_-_Topic_wise/Srimad_Bhagavatam/Canto-01/SP_SB_1-07-28_Vrindavan_1976-09-25_Who_Needs_Krishna.mp3</t>
  </si>
  <si>
    <t>SB-01-07-28%E2%80%9329_1976-09-25_SB-VRNDAVAN.MP3</t>
  </si>
  <si>
    <t>https://audio.iskcondesiretree.com/01_-_Srila_Prabhupada/01_-_Lectures/01_-_English/02_-_Month_wise/09_-_September/25/SB-01-07-28%E2%80%9329_1976-09-25_SB-VRNDAVAN.MP3</t>
  </si>
  <si>
    <t>SB_1-07-28_VRN_1976-09-25_Who_Needs_Krishna.mp3</t>
  </si>
  <si>
    <t>https://audio.iskcondesiretree.com/01_-_Srila_Prabhupada/01_-_Lectures/01_-_English/02_-_Month_wise/09_-_September/25/SB_1-07-28_VRN_1976-09-25_Who_Needs_Krishna.mp3</t>
  </si>
  <si>
    <t>SP_SB_1-07-30-31_Vrindavan_1976-09-26_Why_Make_Krishna_Impersonal.mp3</t>
  </si>
  <si>
    <t>https://audio.iskcondesiretree.com/01_-_Srila_Prabhupada/01_-_Lectures/01_-_English/01_-_Topic_wise/Srimad_Bhagavatam/Canto-01/SP_SB_1-07-30-31_Vrindavan_1976-09-26_Why_Make_Krishna_Impersonal.mp3</t>
  </si>
  <si>
    <t>SP_SB_1-07-30_Vrindavan_1976-09-26_Why_Make_Krishna_Impersonal.mp3</t>
  </si>
  <si>
    <t>https://audio.iskcondesiretree.com/01_-_Srila_Prabhupada/01_-_Lectures/01_-_English/01_-_Topic_wise/Srimad_Bhagavatam/Canto-01/SP_SB_1-07-30_Vrindavan_1976-09-26_Why_Make_Krishna_Impersonal.mp3</t>
  </si>
  <si>
    <t>Conv_1976-09-26_R1-VRNDAVAN.MP3</t>
  </si>
  <si>
    <t>https://audio.iskcondesiretree.com/01_-_Srila_Prabhupada/01_-_Lectures/01_-_English/02_-_Month_wise/09_-_September/26/Conv_1976-09-26_R1-VRNDAVAN.MP3</t>
  </si>
  <si>
    <t>SB-01-07-30%E2%80%9331_1976-09-26_SB-VRNDAVAN.MP3</t>
  </si>
  <si>
    <t>https://audio.iskcondesiretree.com/01_-_Srila_Prabhupada/01_-_Lectures/01_-_English/02_-_Month_wise/09_-_September/26/SB-01-07-30%E2%80%9331_1976-09-26_SB-VRNDAVAN.MP3</t>
  </si>
  <si>
    <t>SB_1-07-30_VRN_1976-09-26_Why_Make_Krishna_Impersonal.mp3</t>
  </si>
  <si>
    <t>https://audio.iskcondesiretree.com/01_-_Srila_Prabhupada/01_-_Lectures/01_-_English/02_-_Month_wise/09_-_September/26/SB_1-07-30_VRN_1976-09-26_Why_Make_Krishna_Impersonal.mp3</t>
  </si>
  <si>
    <t>SP_SB_1-07-32_Vrindavan_1976-09-27_Counteracting_Kali-Yuga.mp3</t>
  </si>
  <si>
    <t>https://audio.iskcondesiretree.com/01_-_Srila_Prabhupada/01_-_Lectures/01_-_English/01_-_Topic_wise/Srimad_Bhagavatam/Canto-01/SP_SB_1-07-32_Vrindavan_1976-09-27_Counteracting_Kali-Yuga.mp3</t>
  </si>
  <si>
    <t>SB-01-07-32%E2%80%9333_1976-09-27_SB-VRNDAVAN.MP3</t>
  </si>
  <si>
    <t>https://audio.iskcondesiretree.com/01_-_Srila_Prabhupada/01_-_Lectures/01_-_English/02_-_Month_wise/09_-_September/27/SB-01-07-32%E2%80%9333_1976-09-27_SB-VRNDAVAN.MP3</t>
  </si>
  <si>
    <t>SB_1-07-32_VRN_1976-09-27_Counteracting_Kali-Yuga.mp3</t>
  </si>
  <si>
    <t>https://audio.iskcondesiretree.com/01_-_Srila_Prabhupada/01_-_Lectures/01_-_English/02_-_Month_wise/09_-_September/27/SB_1-07-32_VRN_1976-09-27_Counteracting_Kali-Yuga.mp3</t>
  </si>
  <si>
    <t>SP_SB_1-07-34_Vrindavan_1976-09-28_The_Psychology_of_the_True_Brahmana.mp3</t>
  </si>
  <si>
    <t>https://audio.iskcondesiretree.com/01_-_Srila_Prabhupada/01_-_Lectures/01_-_English/01_-_Topic_wise/Srimad_Bhagavatam/Canto-01/SP_SB_1-07-34_Vrindavan_1976-09-28_The_Psychology_of_the_True_Brahmana.mp3</t>
  </si>
  <si>
    <t>SB-01-07-34%E2%80%9335_1976-09-28_SB-VRNDAVAN.MP3</t>
  </si>
  <si>
    <t>https://audio.iskcondesiretree.com/01_-_Srila_Prabhupada/01_-_Lectures/01_-_English/02_-_Month_wise/09_-_September/28/SB-01-07-34%E2%80%9335_1976-09-28_SB-VRNDAVAN.MP3</t>
  </si>
  <si>
    <t>SB_1-07-34_VRN_1976-09-28_The_Psychology_of_the_True_Brahmana.mp3</t>
  </si>
  <si>
    <t>https://audio.iskcondesiretree.com/01_-_Srila_Prabhupada/01_-_Lectures/01_-_English/02_-_Month_wise/09_-_September/28/SB_1-07-34_VRN_1976-09-28_The_Psychology_of_the_True_Brahmana.mp3</t>
  </si>
  <si>
    <t>SP_Room_Conversation_Vrindavan_1976-09-29_Doctor_-_Fact_Faith_Foolishness.mp3</t>
  </si>
  <si>
    <t>https://audio.iskcondesiretree.com/01_-_Srila_Prabhupada/01_-_Lectures/01_-_English/01_-_Topic_wise/Room_Conversation/SP_Room_Conversation_Vrindavan_1976-09-29_Doctor_-_Fact_Faith_Foolishness.mp3</t>
  </si>
  <si>
    <t>SP_SB_1-07-36-37_Vrindavan_1976-09-29_The_Point--Is_Krishna_Pleased.mp3</t>
  </si>
  <si>
    <t>https://audio.iskcondesiretree.com/01_-_Srila_Prabhupada/01_-_Lectures/01_-_English/01_-_Topic_wise/Srimad_Bhagavatam/Canto-01/SP_SB_1-07-36-37_Vrindavan_1976-09-29_The_Point--Is_Krishna_Pleased.mp3</t>
  </si>
  <si>
    <t>SP_SB_1-07-36_Vrindavan_1976-09-29_The_Point--Is_Krishna_Pleased.mp3</t>
  </si>
  <si>
    <t>https://audio.iskcondesiretree.com/01_-_Srila_Prabhupada/01_-_Lectures/01_-_English/01_-_Topic_wise/Srimad_Bhagavatam/Canto-01/SP_SB_1-07-36_Vrindavan_1976-09-29_The_Point--Is_Krishna_Pleased.mp3</t>
  </si>
  <si>
    <t>Conv_1976-09-29_R1-VRNDAVAN.MP3</t>
  </si>
  <si>
    <t>https://audio.iskcondesiretree.com/01_-_Srila_Prabhupada/01_-_Lectures/01_-_English/02_-_Month_wise/09_-_September/29/Conv_1976-09-29_R1-VRNDAVAN.MP3</t>
  </si>
  <si>
    <t>RC_VRN_1976-09-29_Doctor-Fact_Faith_Foolishness.mp3</t>
  </si>
  <si>
    <t>https://audio.iskcondesiretree.com/01_-_Srila_Prabhupada/01_-_Lectures/01_-_English/02_-_Month_wise/09_-_September/29/RC_VRN_1976-09-29_Doctor-Fact_Faith_Foolishness.mp3</t>
  </si>
  <si>
    <t>SB-01-07-36%E2%80%9337_1976-09-29_SB-VRNDAVAN.MP3</t>
  </si>
  <si>
    <t>https://audio.iskcondesiretree.com/01_-_Srila_Prabhupada/01_-_Lectures/01_-_English/02_-_Month_wise/09_-_September/29/SB-01-07-36%E2%80%9337_1976-09-29_SB-VRNDAVAN.MP3</t>
  </si>
  <si>
    <t>SB_1-07-36_VRN_1976-09-29_The_Point-Is_Krishna_Pleased.mp3</t>
  </si>
  <si>
    <t>https://audio.iskcondesiretree.com/01_-_Srila_Prabhupada/01_-_Lectures/01_-_English/02_-_Month_wise/09_-_September/29/SB_1-07-36_VRN_1976-09-29_The_Point-Is_Krishna_Pleased.mp3</t>
  </si>
  <si>
    <t>SP_SB_1-07-38-39_Vrindavan_1976-09-30_Don%27t_Keep_a_Guru_As_Fashion.mp3</t>
  </si>
  <si>
    <t>https://audio.iskcondesiretree.com/01_-_Srila_Prabhupada/01_-_Lectures/01_-_English/01_-_Topic_wise/Srimad_Bhagavatam/Canto-01/SP_SB_1-07-38-39_Vrindavan_1976-09-30_Don%27t_Keep_a_Guru_As_Fashion.mp3</t>
  </si>
  <si>
    <t>SP_SB_1-07-38_Vrindavan_1976-09-30_Don%27t_Keep_a_Guru_As_Fashion.mp3</t>
  </si>
  <si>
    <t>https://audio.iskcondesiretree.com/01_-_Srila_Prabhupada/01_-_Lectures/01_-_English/01_-_Topic_wise/Srimad_Bhagavatam/Canto-01/SP_SB_1-07-38_Vrindavan_1976-09-30_Don%27t_Keep_a_Guru_As_Fashion.mp3</t>
  </si>
  <si>
    <t>Conv_1976-09-30_R1-VRNDAVAN.MP3</t>
  </si>
  <si>
    <t>https://audio.iskcondesiretree.com/01_-_Srila_Prabhupada/01_-_Lectures/01_-_English/02_-_Month_wise/09_-_September/30/Conv_1976-09-30_R1-VRNDAVAN.MP3</t>
  </si>
  <si>
    <t>SB-01-07-38%E2%80%9339_1976-09-30_SB-VRNDAVAN.MP3</t>
  </si>
  <si>
    <t>https://audio.iskcondesiretree.com/01_-_Srila_Prabhupada/01_-_Lectures/01_-_English/02_-_Month_wise/09_-_September/30/SB-01-07-38%E2%80%9339_1976-09-30_SB-VRNDAVAN.MP3</t>
  </si>
  <si>
    <t>SB_1-07-38_VRN_1976-09-30_Don%27t_Keep_a_Guru_As_Fashion.mp3</t>
  </si>
  <si>
    <t>https://audio.iskcondesiretree.com/01_-_Srila_Prabhupada/01_-_Lectures/01_-_English/02_-_Month_wise/09_-_September/30/SB_1-07-38_VRN_1976-09-30_Don%27t_Keep_a_Guru_As_Fashion.mp3</t>
  </si>
  <si>
    <t>SP_SB_1-07-40_Vrindavan_1976-10-01_The_Callous_Can%27t_Pass_Krishna%27s_Test.mp3</t>
  </si>
  <si>
    <t>https://audio.iskcondesiretree.com/01_-_Srila_Prabhupada/01_-_Lectures/01_-_English/01_-_Topic_wise/Srimad_Bhagavatam/Canto-01/SP_SB_1-07-40_Vrindavan_1976-10-01_The_Callous_Can%27t_Pass_Krishna%27s_Test.mp3</t>
  </si>
  <si>
    <t>SB-01-07-40_1976-10-01_SB-VRNDAVAN.MP3</t>
  </si>
  <si>
    <t>https://audio.iskcondesiretree.com/01_-_Srila_Prabhupada/01_-_Lectures/01_-_English/02_-_Month_wise/10_-_October/01/SB-01-07-40_1976-10-01_SB-VRNDAVAN.MP3</t>
  </si>
  <si>
    <t>SB_1-07-40_VRN_1976-10-01_The_Callous_Can%27t_Pass_Krishna%27s_Test.mp3</t>
  </si>
  <si>
    <t>https://audio.iskcondesiretree.com/01_-_Srila_Prabhupada/01_-_Lectures/01_-_English/02_-_Month_wise/10_-_October/01/SB_1-07-40_VRN_1976-10-01_The_Callous_Can%27t_Pass_Krishna%27s_Test.mp3</t>
  </si>
  <si>
    <t>SP_SB_1-07-41_Vrindavan_1976-10-02_Servant_of_Servant_of_Servant.mp3</t>
  </si>
  <si>
    <t>https://audio.iskcondesiretree.com/01_-_Srila_Prabhupada/01_-_Lectures/01_-_English/01_-_Topic_wise/Srimad_Bhagavatam/Canto-01/SP_SB_1-07-41_Vrindavan_1976-10-02_Servant_of_Servant_of_Servant.mp3</t>
  </si>
  <si>
    <t>SB-01-07-41%E2%80%9342_1976-10-02_SB-VRNDAVAN.MP3</t>
  </si>
  <si>
    <t>https://audio.iskcondesiretree.com/01_-_Srila_Prabhupada/01_-_Lectures/01_-_English/02_-_Month_wise/10_-_October/02/SB-01-07-41%E2%80%9342_1976-10-02_SB-VRNDAVAN.MP3</t>
  </si>
  <si>
    <t>SB_1-07-41_VRN_1976-10-02_Servant_of_Servant_of_Servant.mp3</t>
  </si>
  <si>
    <t>https://audio.iskcondesiretree.com/01_-_Srila_Prabhupada/01_-_Lectures/01_-_English/02_-_Month_wise/10_-_October/02/SB_1-07-41_VRN_1976-10-02_Servant_of_Servant_of_Servant.mp3</t>
  </si>
  <si>
    <t>Walk_1976-10-02_MW-VRNDAVAN.MP3</t>
  </si>
  <si>
    <t>https://audio.iskcondesiretree.com/01_-_Srila_Prabhupada/01_-_Lectures/01_-_English/02_-_Month_wise/10_-_October/02/Walk_1976-10-02_MW-VRNDAVAN.MP3</t>
  </si>
  <si>
    <t>SP_SB_1-07-43_Vrindavan_1976-10-03_Husband_Wife_and_Happy_Home.mp3</t>
  </si>
  <si>
    <t>https://audio.iskcondesiretree.com/01_-_Srila_Prabhupada/01_-_Lectures/01_-_English/01_-_Topic_wise/Srimad_Bhagavatam/Canto-01/SP_SB_1-07-43_Vrindavan_1976-10-03_Husband_Wife_and_Happy_Home.mp3</t>
  </si>
  <si>
    <t>Conv_1976-10-03_R1-VRNDAVAN.MP3</t>
  </si>
  <si>
    <t>https://audio.iskcondesiretree.com/01_-_Srila_Prabhupada/01_-_Lectures/01_-_English/02_-_Month_wise/10_-_October/03/Conv_1976-10-03_R1-VRNDAVAN.MP3</t>
  </si>
  <si>
    <t>SB-01-07-43_1976-10-03_SB-VRNDAVAN.MP3</t>
  </si>
  <si>
    <t>https://audio.iskcondesiretree.com/01_-_Srila_Prabhupada/01_-_Lectures/01_-_English/02_-_Month_wise/10_-_October/03/SB-01-07-43_1976-10-03_SB-VRNDAVAN.MP3</t>
  </si>
  <si>
    <t>SB_1-07-43_VRN_1976-10-03_Husband_Wife_and_Happy_Home.mp3</t>
  </si>
  <si>
    <t>https://audio.iskcondesiretree.com/01_-_Srila_Prabhupada/01_-_Lectures/01_-_English/02_-_Month_wise/10_-_October/03/SB_1-07-43_VRN_1976-10-03_Husband_Wife_and_Happy_Home.mp3</t>
  </si>
  <si>
    <t>SP_SB_1-07-44_Vrindavan_1976-10-04_To_Serve_Vaisnava_Is_More...mp3</t>
  </si>
  <si>
    <t>https://audio.iskcondesiretree.com/01_-_Srila_Prabhupada/01_-_Lectures/01_-_English/01_-_Topic_wise/Srimad_Bhagavatam/Canto-01/SP_SB_1-07-44_Vrindavan_1976-10-04_To_Serve_Vaisnava_Is_More...mp3</t>
  </si>
  <si>
    <t>Conv_1976-10-04_R1-VRNDAVAN.MP3</t>
  </si>
  <si>
    <t>https://audio.iskcondesiretree.com/01_-_Srila_Prabhupada/01_-_Lectures/01_-_English/02_-_Month_wise/10_-_October/04/Conv_1976-10-04_R1-VRNDAVAN.MP3</t>
  </si>
  <si>
    <t>SB-01-07-44_1976-10-04_SB-VRNDAVAN.MP3</t>
  </si>
  <si>
    <t>https://audio.iskcondesiretree.com/01_-_Srila_Prabhupada/01_-_Lectures/01_-_English/02_-_Month_wise/10_-_October/04/SB-01-07-44_1976-10-04_SB-VRNDAVAN.MP3</t>
  </si>
  <si>
    <t>SB_1-07-44_VRN_1976-10-04_To_Serve_Vaisnava_Is_More.mp3</t>
  </si>
  <si>
    <t>https://audio.iskcondesiretree.com/01_-_Srila_Prabhupada/01_-_Lectures/01_-_English/02_-_Month_wise/10_-_October/04/SB_1-07-44_VRN_1976-10-04_To_Serve_Vaisnava_Is_More.mp3</t>
  </si>
  <si>
    <t>SP_SB_1-07-45-46_Vrindavan_1976-10-05_Deity_Worship-Not_Idol_Worship.mp3</t>
  </si>
  <si>
    <t>https://audio.iskcondesiretree.com/01_-_Srila_Prabhupada/01_-_Lectures/01_-_English/01_-_Topic_wise/Srimad_Bhagavatam/Canto-01/SP_SB_1-07-45-46_Vrindavan_1976-10-05_Deity_Worship-Not_Idol_Worship.mp3</t>
  </si>
  <si>
    <t>SP_SB_1-07-45_Vrindavan_1976-10-05_Deity_Worship-Not_Idol_Worship.mp3</t>
  </si>
  <si>
    <t>https://audio.iskcondesiretree.com/01_-_Srila_Prabhupada/01_-_Lectures/01_-_English/01_-_Topic_wise/Srimad_Bhagavatam/Canto-01/SP_SB_1-07-45_Vrindavan_1976-10-05_Deity_Worship-Not_Idol_Worship.mp3</t>
  </si>
  <si>
    <t>SB-01-07-45%E2%80%9346_1976-10-05_SB-VRNDAVAN.MP3</t>
  </si>
  <si>
    <t>https://audio.iskcondesiretree.com/01_-_Srila_Prabhupada/01_-_Lectures/01_-_English/02_-_Month_wise/10_-_October/05/SB-01-07-45%E2%80%9346_1976-10-05_SB-VRNDAVAN.MP3</t>
  </si>
  <si>
    <t>SB_1-07-45_VRN_1976-10-05_Deity_Worship-Not_Idol_Worship.mp3</t>
  </si>
  <si>
    <t>https://audio.iskcondesiretree.com/01_-_Srila_Prabhupada/01_-_Lectures/01_-_English/02_-_Month_wise/10_-_October/05/SB_1-07-45_VRN_1976-10-05_Deity_Worship-Not_Idol_Worship.mp3</t>
  </si>
  <si>
    <t>SP_SB_1-07-47-48_Vrindavan_1976-10-06_A_Devotee%27s_Heart.mp3</t>
  </si>
  <si>
    <t>https://audio.iskcondesiretree.com/01_-_Srila_Prabhupada/01_-_Lectures/01_-_English/01_-_Topic_wise/Srimad_Bhagavatam/Canto-01/SP_SB_1-07-47-48_Vrindavan_1976-10-06_A_Devotee%27s_Heart.mp3</t>
  </si>
  <si>
    <t>SP_SB_1-07-47_Vrindavan_1976-10-06_A_Devotee%27s_Heart.mp3</t>
  </si>
  <si>
    <t>https://audio.iskcondesiretree.com/01_-_Srila_Prabhupada/01_-_Lectures/01_-_English/01_-_Topic_wise/Srimad_Bhagavatam/Canto-01/SP_SB_1-07-47_Vrindavan_1976-10-06_A_Devotee%27s_Heart.mp3</t>
  </si>
  <si>
    <t>SB-01-07-47%E2%80%9348_1976-10-06_SB-VRNDAVAN.MP3</t>
  </si>
  <si>
    <t>https://audio.iskcondesiretree.com/01_-_Srila_Prabhupada/01_-_Lectures/01_-_English/02_-_Month_wise/10_-_October/06/SB-01-07-47%E2%80%9348_1976-10-06_SB-VRNDAVAN.MP3</t>
  </si>
  <si>
    <t>SB_1-07-47_VRN_1976-10-06_A_Devotee%27s_Heart.mp3</t>
  </si>
  <si>
    <t>https://audio.iskcondesiretree.com/01_-_Srila_Prabhupada/01_-_Lectures/01_-_English/02_-_Month_wise/10_-_October/06/SB_1-07-47_VRN_1976-10-06_A_Devotee%27s_Heart.mp3</t>
  </si>
  <si>
    <t>SP_SB_1-07-49-50_Vrindavan_1976-10-07_Love_God_Love_His_Dog.mp3</t>
  </si>
  <si>
    <t>https://audio.iskcondesiretree.com/01_-_Srila_Prabhupada/01_-_Lectures/01_-_English/01_-_Topic_wise/Srimad_Bhagavatam/Canto-01/SP_SB_1-07-49-50_Vrindavan_1976-10-07_Love_God_Love_His_Dog.mp3</t>
  </si>
  <si>
    <t>SP_SB_1-07-49_Vrindavan_1976-10-07_Love_God_Love_His_Dog.mp3</t>
  </si>
  <si>
    <t>https://audio.iskcondesiretree.com/01_-_Srila_Prabhupada/01_-_Lectures/01_-_English/01_-_Topic_wise/Srimad_Bhagavatam/Canto-01/SP_SB_1-07-49_Vrindavan_1976-10-07_Love_God_Love_His_Dog.mp3</t>
  </si>
  <si>
    <t>SB_1-07-49_VRN_1976-10-07_Love_God_Love_His_Dog.mp3</t>
  </si>
  <si>
    <t>https://audio.iskcondesiretree.com/01_-_Srila_Prabhupada/01_-_Lectures/01_-_English/02_-_Month_wise/10_-_October/07/SB_1-07-49_VRN_1976-10-07_Love_God_Love_His_Dog.mp3</t>
  </si>
  <si>
    <t>SP_SB_1-07-51-52_Vrindavan_1976-10-08_Anyone_Can_Become_Devotee.mp3</t>
  </si>
  <si>
    <t>https://audio.iskcondesiretree.com/01_-_Srila_Prabhupada/01_-_Lectures/01_-_English/01_-_Topic_wise/Srimad_Bhagavatam/Canto-01/SP_SB_1-07-51-52_Vrindavan_1976-10-08_Anyone_Can_Become_Devotee.mp3</t>
  </si>
  <si>
    <t>SP_SB_1-07-51_Vrindavan_1976-10-08_Anyone_Can_Become_Devotee.mp3</t>
  </si>
  <si>
    <t>https://audio.iskcondesiretree.com/01_-_Srila_Prabhupada/01_-_Lectures/01_-_English/01_-_Topic_wise/Srimad_Bhagavatam/Canto-01/SP_SB_1-07-51_Vrindavan_1976-10-08_Anyone_Can_Become_Devotee.mp3</t>
  </si>
  <si>
    <t>SB-01-07-51%E2%80%9352_1976-10-08_SB-VRNDAVAN.MP3</t>
  </si>
  <si>
    <t>https://audio.iskcondesiretree.com/01_-_Srila_Prabhupada/01_-_Lectures/01_-_English/02_-_Month_wise/10_-_October/08/SB-01-07-51%E2%80%9352_1976-10-08_SB-VRNDAVAN.MP3</t>
  </si>
  <si>
    <t>SB_1-07-51_VRN_1976-10-08_Anyone_Can_Become_Devotee.mp3</t>
  </si>
  <si>
    <t>https://audio.iskcondesiretree.com/01_-_Srila_Prabhupada/01_-_Lectures/01_-_English/02_-_Month_wise/10_-_October/08/SB_1-07-51_VRN_1976-10-08_Anyone_Can_Become_Devotee.mp3</t>
  </si>
  <si>
    <t>SP_Address_Aligarh_1976-10-09_The_Anti-secular_Science.mp3</t>
  </si>
  <si>
    <t>https://audio.iskcondesiretree.com/01_-_Srila_Prabhupada/01_-_Lectures/01_-_English/01_-_Topic_wise/Arrival_Address/SP_Address_Aligarh_1976-10-09_The_Anti-secular_Science.mp3</t>
  </si>
  <si>
    <t>SP_SB_1-02-05_Aligarh_1976-10-09_The_Religion_Above_All_Cheating.mp3</t>
  </si>
  <si>
    <t>https://audio.iskcondesiretree.com/01_-_Srila_Prabhupada/01_-_Lectures/01_-_English/01_-_Topic_wise/Srimad_Bhagavatam/Canto-01/SP_SB_1-02-05_Aligarh_1976-10-09_The_Religion_Above_All_Cheating.mp3</t>
  </si>
  <si>
    <t>Arr_ALI_1976-10-09_The_Anti-secular_Science.mp3</t>
  </si>
  <si>
    <t>https://audio.iskcondesiretree.com/01_-_Srila_Prabhupada/01_-_Lectures/01_-_English/02_-_Month_wise/10_-_October/09/Arr_ALI_1976-10-09_The_Anti-secular_Science.mp3</t>
  </si>
  <si>
    <t>Arrival_1976-10-09_AR-ALIGARH.MP3</t>
  </si>
  <si>
    <t>https://audio.iskcondesiretree.com/01_-_Srila_Prabhupada/01_-_Lectures/01_-_English/02_-_Month_wise/10_-_October/09/Arrival_1976-10-09_AR-ALIGARH.MP3</t>
  </si>
  <si>
    <t>Conv_1976-10-09_G1-ALIGARH.MP3</t>
  </si>
  <si>
    <t>https://audio.iskcondesiretree.com/01_-_Srila_Prabhupada/01_-_Lectures/01_-_English/02_-_Month_wise/10_-_October/09/Conv_1976-10-09_G1-ALIGARH.MP3</t>
  </si>
  <si>
    <t>Conv_1976-10-09_R1-ALIGARH.MP3</t>
  </si>
  <si>
    <t>https://audio.iskcondesiretree.com/01_-_Srila_Prabhupada/01_-_Lectures/01_-_English/02_-_Month_wise/10_-_October/09/Conv_1976-10-09_R1-ALIGARH.MP3</t>
  </si>
  <si>
    <t>SB-01-02-05_1976-10-09_SB-ALIGARH.MP3</t>
  </si>
  <si>
    <t>https://audio.iskcondesiretree.com/01_-_Srila_Prabhupada/01_-_Lectures/01_-_English/02_-_Month_wise/10_-_October/09/SB-01-02-05_1976-10-09_SB-ALIGARH.MP3</t>
  </si>
  <si>
    <t>SB_1-02-05_ALI_1976-10-09_The_Religion_Above_All_Cheating.mp3</t>
  </si>
  <si>
    <t>https://audio.iskcondesiretree.com/01_-_Srila_Prabhupada/01_-_Lectures/01_-_English/02_-_Month_wise/10_-_October/09/SB_1-02-05_ALI_1976-10-09_The_Religion_Above_All_Cheating.mp3</t>
  </si>
  <si>
    <t>Lecture%E2%80%93Hindi_1976-10-10_LE-ALIGARH.MP3</t>
  </si>
  <si>
    <t>https://audio.iskcondesiretree.com/01_-_Srila_Prabhupada/01_-_Lectures/01_-_English/02_-_Month_wise/10_-_October/10/Lecture%E2%80%93Hindi_1976-10-10_LE-ALIGARH.MP3</t>
  </si>
  <si>
    <t>SB-01-02-06%E2%80%93Hindi_1976-10-10_SB-ALIGARH.MP3</t>
  </si>
  <si>
    <t>https://audio.iskcondesiretree.com/01_-_Srila_Prabhupada/01_-_Lectures/01_-_English/02_-_Month_wise/10_-_October/10/SB-01-02-06%E2%80%93Hindi_1976-10-10_SB-ALIGARH.MP3</t>
  </si>
  <si>
    <t>Address_Hindi_1976-10-13_LE-CHANDIGARH.MP3</t>
  </si>
  <si>
    <t>https://audio.iskcondesiretree.com/01_-_Srila_Prabhupada/01_-_Lectures/01_-_English/02_-_Month_wise/10_-_October/13/Address_Hindi_1976-10-13_LE-CHANDIGARH.MP3</t>
  </si>
  <si>
    <t>SP_Room_Conversation_Chandigarh_1976-10-14_Next_Body-Are_You_Not_Afraid.mp3</t>
  </si>
  <si>
    <t>https://audio.iskcondesiretree.com/01_-_Srila_Prabhupada/01_-_Lectures/01_-_English/01_-_Topic_wise/Room_Conversation/SP_Room_Conversation_Chandigarh_1976-10-14_Next_Body-Are_You_Not_Afraid.mp3</t>
  </si>
  <si>
    <t>Address_Hindi_1976-10-14_AD-CHANDIGARH.MP3</t>
  </si>
  <si>
    <t>https://audio.iskcondesiretree.com/01_-_Srila_Prabhupada/01_-_Lectures/01_-_English/02_-_Month_wise/10_-_October/14/Address_Hindi_1976-10-14_AD-CHANDIGARH.MP3</t>
  </si>
  <si>
    <t>RC_CHA_1976-10-14_Next_Body-Are_You_Not_Afraid.mp3</t>
  </si>
  <si>
    <t>https://audio.iskcondesiretree.com/01_-_Srila_Prabhupada/01_-_Lectures/01_-_English/02_-_Month_wise/10_-_October/14/RC_CHA_1976-10-14_Next_Body-Are_You_Not_Afraid.mp3</t>
  </si>
  <si>
    <t>Walk_1976-10-14_MW-CHANDIGARH.MP3</t>
  </si>
  <si>
    <t>https://audio.iskcondesiretree.com/01_-_Srila_Prabhupada/01_-_Lectures/01_-_English/02_-_Month_wise/10_-_October/14/Walk_1976-10-14_MW-CHANDIGARH.MP3</t>
  </si>
  <si>
    <t>Bg-07-01%E2%80%93Hindi_1976-10-15_BG-CHANDIGARH.MP3</t>
  </si>
  <si>
    <t>https://audio.iskcondesiretree.com/01_-_Srila_Prabhupada/01_-_Lectures/01_-_English/02_-_Month_wise/10_-_October/15/Bg-07-01%E2%80%93Hindi_1976-10-15_BG-CHANDIGARH.MP3</t>
  </si>
  <si>
    <t>SP_Interview_Chandigarh_1976-10-16_Press--Everyone_of_You-Become_Guru.mp3</t>
  </si>
  <si>
    <t>https://audio.iskcondesiretree.com/01_-_Srila_Prabhupada/01_-_Lectures/01_-_English/01_-_Topic_wise/Interview/SP_Interview_Chandigarh_1976-10-16_Press--Everyone_of_You-Become_Guru.mp3</t>
  </si>
  <si>
    <t>Bg-09-03%E2%80%93Hindi_1976-10-16_BG-CHANDIGARH.MP3</t>
  </si>
  <si>
    <t>https://audio.iskcondesiretree.com/01_-_Srila_Prabhupada/01_-_Lectures/01_-_English/02_-_Month_wise/10_-_October/16/Bg-09-03%E2%80%93Hindi_1976-10-16_BG-CHANDIGARH.MP3</t>
  </si>
  <si>
    <t>Interv_CHA_1976-10-16_Press-Everyone_of_You_Become_Guru.mp3</t>
  </si>
  <si>
    <t>https://audio.iskcondesiretree.com/01_-_Srila_Prabhupada/01_-_Lectures/01_-_English/02_-_Month_wise/10_-_October/16/Interv_CHA_1976-10-16_Press-Everyone_of_You_Become_Guru.mp3</t>
  </si>
  <si>
    <t>Interview_1976-10-16_IV-CHANDIGARH.MP3</t>
  </si>
  <si>
    <t>https://audio.iskcondesiretree.com/01_-_Srila_Prabhupada/01_-_Lectures/01_-_English/02_-_Month_wise/10_-_October/16/Interview_1976-10-16_IV-CHANDIGARH.MP3</t>
  </si>
  <si>
    <t>SP_Address_Chandigarh_1976-10-17_To_Rotary_Club--Let_Krishna_Speak--etc.mp3</t>
  </si>
  <si>
    <t>https://audio.iskcondesiretree.com/01_-_Srila_Prabhupada/01_-_Lectures/01_-_English/01_-_Topic_wise/Arrival_Address/SP_Address_Chandigarh_1976-10-17_To_Rotary_Club--Let_Krishna_Speak--etc.mp3</t>
  </si>
  <si>
    <t>Addr_CHA_1976-10-17_To_Rotary_Club_Let_Krishna_Speak_etc.mp3</t>
  </si>
  <si>
    <t>https://audio.iskcondesiretree.com/01_-_Srila_Prabhupada/01_-_Lectures/01_-_English/02_-_Month_wise/10_-_October/17/Addr_CHA_1976-10-17_To_Rotary_Club_Let_Krishna_Speak_etc.mp3</t>
  </si>
  <si>
    <t>Address_1976-10-17_LE-CHANDIGARH.MP3</t>
  </si>
  <si>
    <t>https://audio.iskcondesiretree.com/01_-_Srila_Prabhupada/01_-_Lectures/01_-_English/02_-_Month_wise/10_-_October/17/Address_1976-10-17_LE-CHANDIGARH.MP3</t>
  </si>
  <si>
    <t>Bg-13-08%E2%80%9312%E2%80%93Hindi_1976-10-18_BG-CHANDIGARH.MP3</t>
  </si>
  <si>
    <t>https://audio.iskcondesiretree.com/01_-_Srila_Prabhupada/01_-_Lectures/01_-_English/02_-_Month_wise/10_-_October/18/Bg-13-08%E2%80%9312%E2%80%93Hindi_1976-10-18_BG-CHANDIGARH.MP3</t>
  </si>
  <si>
    <t>SB-05-05-01_1976-10-22_SB-VRNDAVAN.MP3</t>
  </si>
  <si>
    <t>https://audio.iskcondesiretree.com/01_-_Srila_Prabhupada/01_-_Lectures/01_-_English/02_-_Month_wise/10_-_October/22/SB-05-05-01_1976-10-22_SB-VRNDAVAN.MP3</t>
  </si>
  <si>
    <t>SP_SB_5-05-01_Vrindavan_1976-10-23_Real_Austerity.mp3</t>
  </si>
  <si>
    <t>https://audio.iskcondesiretree.com/01_-_Srila_Prabhupada/01_-_Lectures/01_-_English/01_-_Topic_wise/Srimad_Bhagavatam/Canto-05/SP_SB_5-05-01_Vrindavan_1976-10-23_Real_Austerity.mp3</t>
  </si>
  <si>
    <t>SB-05-05-01_1976-10-23_SB-VRNDAVAN.MP3</t>
  </si>
  <si>
    <t>https://audio.iskcondesiretree.com/01_-_Srila_Prabhupada/01_-_Lectures/01_-_English/02_-_Month_wise/10_-_October/23/SB-05-05-01_1976-10-23_SB-VRNDAVAN.MP3</t>
  </si>
  <si>
    <t>SB_5-05-01_VRN_1976-10-23_Real_Austerity.mp3</t>
  </si>
  <si>
    <t>https://audio.iskcondesiretree.com/01_-_Srila_Prabhupada/01_-_Lectures/01_-_English/02_-_Month_wise/10_-_October/23/SB_5-05-01_VRN_1976-10-23_Real_Austerity.mp3</t>
  </si>
  <si>
    <t>SB-05-05-02_1976-10-24_SB-VRNDAVAN.MP3</t>
  </si>
  <si>
    <t>https://audio.iskcondesiretree.com/01_-_Srila_Prabhupada/01_-_Lectures/01_-_English/02_-_Month_wise/10_-_October/24/SB-05-05-02_1976-10-24_SB-VRNDAVAN.MP3</t>
  </si>
  <si>
    <t>SB-05-05-03_1976-10-25_SB-VRNDAVAN.MP3</t>
  </si>
  <si>
    <t>https://audio.iskcondesiretree.com/01_-_Srila_Prabhupada/01_-_Lectures/01_-_English/02_-_Month_wise/10_-_October/25/SB-05-05-03_1976-10-25_SB-VRNDAVAN.MP3</t>
  </si>
  <si>
    <t>Conv_1976-10-26_R1-VRNDAVAN.MP3</t>
  </si>
  <si>
    <t>https://audio.iskcondesiretree.com/01_-_Srila_Prabhupada/01_-_Lectures/01_-_English/02_-_Month_wise/10_-_October/26/Conv_1976-10-26_R1-VRNDAVAN.MP3</t>
  </si>
  <si>
    <t>SB-05-05-04_1976-10-26_SB-VRNDAVAN.MP3</t>
  </si>
  <si>
    <t>https://audio.iskcondesiretree.com/01_-_Srila_Prabhupada/01_-_Lectures/01_-_English/02_-_Month_wise/10_-_October/26/SB-05-05-04_1976-10-26_SB-VRNDAVAN.MP3</t>
  </si>
  <si>
    <t>SB-05-05-05_1976-10-27_SB-VRNDAVAN.MP3</t>
  </si>
  <si>
    <t>https://audio.iskcondesiretree.com/01_-_Srila_Prabhupada/01_-_Lectures/01_-_English/02_-_Month_wise/10_-_October/27/SB-05-05-05_1976-10-27_SB-VRNDAVAN.MP3</t>
  </si>
  <si>
    <t>SP_SB_5-05-06_Vrindavan_1976-10-28_Civilization_%3D_Degradation.mp3</t>
  </si>
  <si>
    <t>https://audio.iskcondesiretree.com/01_-_Srila_Prabhupada/01_-_Lectures/01_-_English/01_-_Topic_wise/Srimad_Bhagavatam/Canto-05/SP_SB_5-05-06_Vrindavan_1976-10-28_Civilization_%3D_Degradation.mp3</t>
  </si>
  <si>
    <t>SB-05-05-06_1976-10-28_SB-VRNDAVAN.MP3</t>
  </si>
  <si>
    <t>https://audio.iskcondesiretree.com/01_-_Srila_Prabhupada/01_-_Lectures/01_-_English/02_-_Month_wise/10_-_October/28/SB-05-05-06_1976-10-28_SB-VRNDAVAN.MP3</t>
  </si>
  <si>
    <t>SB_5-05-06_VRN_1976-10-28_Civilization_-_Degradation.mp3</t>
  </si>
  <si>
    <t>https://audio.iskcondesiretree.com/01_-_Srila_Prabhupada/01_-_Lectures/01_-_English/02_-_Month_wise/10_-_October/28/SB_5-05-06_VRN_1976-10-28_Civilization_-_Degradation.mp3</t>
  </si>
  <si>
    <t>SP_SB_5-05-07_Vrindavan_1976-10-29_Fully_Extended_Self-Interest.mp3</t>
  </si>
  <si>
    <t>https://audio.iskcondesiretree.com/01_-_Srila_Prabhupada/01_-_Lectures/01_-_English/01_-_Topic_wise/Srimad_Bhagavatam/Canto-05/SP_SB_5-05-07_Vrindavan_1976-10-29_Fully_Extended_Self-Interest.mp3</t>
  </si>
  <si>
    <t>SB-05-05-07_1976-10-29_SB-VRNDAVAN.MP3</t>
  </si>
  <si>
    <t>https://audio.iskcondesiretree.com/01_-_Srila_Prabhupada/01_-_Lectures/01_-_English/02_-_Month_wise/10_-_October/29/SB-05-05-07_1976-10-29_SB-VRNDAVAN.MP3</t>
  </si>
  <si>
    <t>SB_5-05-07_VRN_1976-10-29_Fully_Extended_Self-Interest.mp3</t>
  </si>
  <si>
    <t>https://audio.iskcondesiretree.com/01_-_Srila_Prabhupada/01_-_Lectures/01_-_English/02_-_Month_wise/10_-_October/29/SB_5-05-07_VRN_1976-10-29_Fully_Extended_Self-Interest.mp3</t>
  </si>
  <si>
    <t>SP_SB_5-05-08_Vrindavan_1976-10-30_Remain_with_Celibacy_and_be_Happy.mp3</t>
  </si>
  <si>
    <t>https://audio.iskcondesiretree.com/01_-_Srila_Prabhupada/01_-_Lectures/01_-_English/01_-_Topic_wise/Srimad_Bhagavatam/Canto-05/SP_SB_5-05-08_Vrindavan_1976-10-30_Remain_with_Celibacy_and_be_Happy.mp3</t>
  </si>
  <si>
    <t>SB-05-05-08_1976-10-30_SB-VRNDAVAN.MP3</t>
  </si>
  <si>
    <t>https://audio.iskcondesiretree.com/01_-_Srila_Prabhupada/01_-_Lectures/01_-_English/02_-_Month_wise/10_-_October/30/SB-05-05-08_1976-10-30_SB-VRNDAVAN.MP3</t>
  </si>
  <si>
    <t>SB_5-05-08_VRN_1976-10-30_Remain_with_Celibacy_and_be_Happy.mp3</t>
  </si>
  <si>
    <t>https://audio.iskcondesiretree.com/01_-_Srila_Prabhupada/01_-_Lectures/01_-_English/02_-_Month_wise/10_-_October/30/SB_5-05-08_VRN_1976-10-30_Remain_with_Celibacy_and_be_Happy.mp3</t>
  </si>
  <si>
    <t>SP_SB_5-05-09_Vrindavan_1976-10-31_Being_with_Krishna_Is_Fact.mp3</t>
  </si>
  <si>
    <t>https://audio.iskcondesiretree.com/01_-_Srila_Prabhupada/01_-_Lectures/01_-_English/01_-_Topic_wise/Srimad_Bhagavatam/Canto-05/SP_SB_5-05-09_Vrindavan_1976-10-31_Being_with_Krishna_Is_Fact.mp3</t>
  </si>
  <si>
    <t>Conv_1976-10-31_R1-VRNDAVAN.MP3</t>
  </si>
  <si>
    <t>https://audio.iskcondesiretree.com/01_-_Srila_Prabhupada/01_-_Lectures/01_-_English/02_-_Month_wise/10_-_October/31/Conv_1976-10-31_R1-VRNDAVAN.MP3</t>
  </si>
  <si>
    <t>SB-05-05-09_1976-10-31_SB-VRNDAVAN.MP3</t>
  </si>
  <si>
    <t>https://audio.iskcondesiretree.com/01_-_Srila_Prabhupada/01_-_Lectures/01_-_English/02_-_Month_wise/10_-_October/31/SB-05-05-09_1976-10-31_SB-VRNDAVAN.MP3</t>
  </si>
  <si>
    <t>SB_5-05-09_VRN_1976-10-31_Being_with_Krishna_Is_Fact.mp3</t>
  </si>
  <si>
    <t>https://audio.iskcondesiretree.com/01_-_Srila_Prabhupada/01_-_Lectures/01_-_English/02_-_Month_wise/10_-_October/31/SB_5-05-09_VRN_1976-10-31_Being_with_Krishna_Is_Fact.mp3</t>
  </si>
  <si>
    <t>SP_SB_5-05-10_Vrindavan_1976-11-01_Simple_Living.mp3</t>
  </si>
  <si>
    <t>https://audio.iskcondesiretree.com/01_-_Srila_Prabhupada/01_-_Lectures/01_-_English/01_-_Topic_wise/Srimad_Bhagavatam/Canto-05/SP_SB_5-05-10_Vrindavan_1976-11-01_Simple_Living.mp3</t>
  </si>
  <si>
    <t>SB-05-05-10%E2%80%9313_1976-11-01_SB-VRNDAVAN.MP3</t>
  </si>
  <si>
    <t>https://audio.iskcondesiretree.com/01_-_Srila_Prabhupada/01_-_Lectures/01_-_English/02_-_Month_wise/11_-_November/01/SB-05-05-10%E2%80%9313_1976-11-01_SB-VRNDAVAN.MP3</t>
  </si>
  <si>
    <t>SB_5-05-10_VRN_1976-11-01_Simple_Living.mp3</t>
  </si>
  <si>
    <t>https://audio.iskcondesiretree.com/01_-_Srila_Prabhupada/01_-_Lectures/01_-_English/02_-_Month_wise/11_-_November/01/SB_5-05-10_VRN_1976-11-01_Simple_Living.mp3</t>
  </si>
  <si>
    <t>Conv_1976-11-02_R1-VRNDAVAN.MP3</t>
  </si>
  <si>
    <t>https://audio.iskcondesiretree.com/01_-_Srila_Prabhupada/01_-_Lectures/01_-_English/02_-_Month_wise/11_-_November/02/Conv_1976-11-02_R1-VRNDAVAN.MP3</t>
  </si>
  <si>
    <t>Conv_1976-11-02_R2-VRNDAVAN.MP3</t>
  </si>
  <si>
    <t>https://audio.iskcondesiretree.com/01_-_Srila_Prabhupada/01_-_Lectures/01_-_English/02_-_Month_wise/11_-_November/02/Conv_1976-11-02_R2-VRNDAVAN.MP3</t>
  </si>
  <si>
    <t>SB-05-05-14_1976-11-02_SB-VRNDAVAN.MP3</t>
  </si>
  <si>
    <t>https://audio.iskcondesiretree.com/01_-_Srila_Prabhupada/01_-_Lectures/01_-_English/02_-_Month_wise/11_-_November/02/SB-05-05-14_1976-11-02_SB-VRNDAVAN.MP3</t>
  </si>
  <si>
    <t>SP_Room_Conversation_Vrindavan_1976-11-03_Sex_Education-Wasting_Time.mp3</t>
  </si>
  <si>
    <t>https://audio.iskcondesiretree.com/01_-_Srila_Prabhupada/01_-_Lectures/01_-_English/01_-_Topic_wise/Room_Conversation/SP_Room_Conversation_Vrindavan_1976-11-03_Sex_Education-Wasting_Time.mp3</t>
  </si>
  <si>
    <t>SP_SB_5-05-15_Vrindavan_1976-11-03_Not_Brainwashing--Brain_Cleaning.mp3</t>
  </si>
  <si>
    <t>https://audio.iskcondesiretree.com/01_-_Srila_Prabhupada/01_-_Lectures/01_-_English/01_-_Topic_wise/Srimad_Bhagavatam/Canto-05/SP_SB_5-05-15_Vrindavan_1976-11-03_Not_Brainwashing--Brain_Cleaning.mp3</t>
  </si>
  <si>
    <t>Conv_1976-11-03_R1-VRNDAVAN.MP3</t>
  </si>
  <si>
    <t>https://audio.iskcondesiretree.com/01_-_Srila_Prabhupada/01_-_Lectures/01_-_English/02_-_Month_wise/11_-_November/03/Conv_1976-11-03_R1-VRNDAVAN.MP3</t>
  </si>
  <si>
    <t>Conv_1976-11-03_R2-VRNDAVAN.MP3</t>
  </si>
  <si>
    <t>https://audio.iskcondesiretree.com/01_-_Srila_Prabhupada/01_-_Lectures/01_-_English/02_-_Month_wise/11_-_November/03/Conv_1976-11-03_R2-VRNDAVAN.MP3</t>
  </si>
  <si>
    <t>RC_VRN_1976-11-03_Sex_Education-Wasting_Time.mp3</t>
  </si>
  <si>
    <t>https://audio.iskcondesiretree.com/01_-_Srila_Prabhupada/01_-_Lectures/01_-_English/02_-_Month_wise/11_-_November/03/RC_VRN_1976-11-03_Sex_Education-Wasting_Time.mp3</t>
  </si>
  <si>
    <t>SB-05-05-15_1976-11-03_SB-VRNDAVAN.MP3</t>
  </si>
  <si>
    <t>https://audio.iskcondesiretree.com/01_-_Srila_Prabhupada/01_-_Lectures/01_-_English/02_-_Month_wise/11_-_November/03/SB-05-05-15_1976-11-03_SB-VRNDAVAN.MP3</t>
  </si>
  <si>
    <t>SB_5-05-15_VRN_1976-11-03_Not_Brainwashing-Brain_Cleaning.mp3</t>
  </si>
  <si>
    <t>https://audio.iskcondesiretree.com/01_-_Srila_Prabhupada/01_-_Lectures/01_-_English/02_-_Month_wise/11_-_November/03/SB_5-05-15_VRN_1976-11-03_Not_Brainwashing-Brain_Cleaning.mp3</t>
  </si>
  <si>
    <t>SP_Room_Conversation_Vrindavan_1976-11-04_Nobody_Is_Satisfied_Income.mp3</t>
  </si>
  <si>
    <t>https://audio.iskcondesiretree.com/01_-_Srila_Prabhupada/01_-_Lectures/01_-_English/01_-_Topic_wise/Room_Conversation/SP_Room_Conversation_Vrindavan_1976-11-04_Nobody_Is_Satisfied_Income.mp3</t>
  </si>
  <si>
    <t>SP_SB_5-05-16_Vrindavan_1976-11-04_Envious_Monkey_Business.mp3</t>
  </si>
  <si>
    <t>https://audio.iskcondesiretree.com/01_-_Srila_Prabhupada/01_-_Lectures/01_-_English/01_-_Topic_wise/Srimad_Bhagavatam/Canto-05/SP_SB_5-05-16_Vrindavan_1976-11-04_Envious_Monkey_Business.mp3</t>
  </si>
  <si>
    <t>Conv_1976-11-04_R1-VRNDAVAN.MP3</t>
  </si>
  <si>
    <t>https://audio.iskcondesiretree.com/01_-_Srila_Prabhupada/01_-_Lectures/01_-_English/02_-_Month_wise/11_-_November/04/Conv_1976-11-04_R1-VRNDAVAN.MP3</t>
  </si>
  <si>
    <t>RC_VRN_1976-11-04_Nobody_Is_Satisfied_Income.mp3</t>
  </si>
  <si>
    <t>https://audio.iskcondesiretree.com/01_-_Srila_Prabhupada/01_-_Lectures/01_-_English/02_-_Month_wise/11_-_November/04/RC_VRN_1976-11-04_Nobody_Is_Satisfied_Income.mp3</t>
  </si>
  <si>
    <t>SB-05-05-16_1976-11-04_SB-VRNDAVAN.MP3</t>
  </si>
  <si>
    <t>https://audio.iskcondesiretree.com/01_-_Srila_Prabhupada/01_-_Lectures/01_-_English/02_-_Month_wise/11_-_November/04/SB-05-05-16_1976-11-04_SB-VRNDAVAN.MP3</t>
  </si>
  <si>
    <t>SB_5-05-16_VRN_1976-11-04_Envious_Monkey_Business.mp3</t>
  </si>
  <si>
    <t>https://audio.iskcondesiretree.com/01_-_Srila_Prabhupada/01_-_Lectures/01_-_English/02_-_Month_wise/11_-_November/04/SB_5-05-16_VRN_1976-11-04_Envious_Monkey_Business.mp3</t>
  </si>
  <si>
    <t>SP_Room_Conversation_Vrindavan_1976-11-05_Gurukula_Guidelines.mp3</t>
  </si>
  <si>
    <t>https://audio.iskcondesiretree.com/01_-_Srila_Prabhupada/01_-_Lectures/01_-_English/01_-_Topic_wise/Room_Conversation/SP_Room_Conversation_Vrindavan_1976-11-05_Gurukula_Guidelines.mp3</t>
  </si>
  <si>
    <t>SP_SB_5-05-17_Vrindavan_1976-11-05_%27Classless%27_Means--etc.mp3</t>
  </si>
  <si>
    <t>https://audio.iskcondesiretree.com/01_-_Srila_Prabhupada/01_-_Lectures/01_-_English/01_-_Topic_wise/Srimad_Bhagavatam/Canto-05/SP_SB_5-05-17_Vrindavan_1976-11-05_%27Classless%27_Means--etc.mp3</t>
  </si>
  <si>
    <t>Conv_1976-11-05_R1-VRNDAVAN.MP3</t>
  </si>
  <si>
    <t>https://audio.iskcondesiretree.com/01_-_Srila_Prabhupada/01_-_Lectures/01_-_English/02_-_Month_wise/11_-_November/05/Conv_1976-11-05_R1-VRNDAVAN.MP3</t>
  </si>
  <si>
    <t>RC_VRN_1976-11-05_Gurukula_Guidelines.mp3</t>
  </si>
  <si>
    <t>https://audio.iskcondesiretree.com/01_-_Srila_Prabhupada/01_-_Lectures/01_-_English/02_-_Month_wise/11_-_November/05/RC_VRN_1976-11-05_Gurukula_Guidelines.mp3</t>
  </si>
  <si>
    <t>SB-05-05-17_1976-11-05_SB-VRNDAVAN.MP3</t>
  </si>
  <si>
    <t>https://audio.iskcondesiretree.com/01_-_Srila_Prabhupada/01_-_Lectures/01_-_English/02_-_Month_wise/11_-_November/05/SB-05-05-17_1976-11-05_SB-VRNDAVAN.MP3</t>
  </si>
  <si>
    <t>SB_5-05-17_VRN_1976-11-05_Classless_Means_etc.mp3</t>
  </si>
  <si>
    <t>https://audio.iskcondesiretree.com/01_-_Srila_Prabhupada/01_-_Lectures/01_-_English/02_-_Month_wise/11_-_November/05/SB_5-05-17_VRN_1976-11-05_Classless_Means_etc.mp3</t>
  </si>
  <si>
    <t>SP_SB_5-05-18_Vrindavan_1976-11-06_Guru_Shouldn%27t_Cheat_Disciple.mp3</t>
  </si>
  <si>
    <t>https://audio.iskcondesiretree.com/01_-_Srila_Prabhupada/01_-_Lectures/01_-_English/01_-_Topic_wise/Srimad_Bhagavatam/Canto-05/SP_SB_5-05-18_Vrindavan_1976-11-06_Guru_Shouldn%27t_Cheat_Disciple.mp3</t>
  </si>
  <si>
    <t>Conv_1976-11-06_R1-VRNDAVAN.MP3</t>
  </si>
  <si>
    <t>https://audio.iskcondesiretree.com/01_-_Srila_Prabhupada/01_-_Lectures/01_-_English/02_-_Month_wise/11_-_November/06/Conv_1976-11-06_R1-VRNDAVAN.MP3</t>
  </si>
  <si>
    <t>SB-05-05-18_1976-11-06_SB-VRNDAVAN.MP3</t>
  </si>
  <si>
    <t>https://audio.iskcondesiretree.com/01_-_Srila_Prabhupada/01_-_Lectures/01_-_English/02_-_Month_wise/11_-_November/06/SB-05-05-18_1976-11-06_SB-VRNDAVAN.MP3</t>
  </si>
  <si>
    <t>SB_5-05-18_VRN_1976-11-06_Guru_Shouldn%27t_Cheat_Disciple.mp3</t>
  </si>
  <si>
    <t>https://audio.iskcondesiretree.com/01_-_Srila_Prabhupada/01_-_Lectures/01_-_English/02_-_Month_wise/11_-_November/06/SB_5-05-18_VRN_1976-11-06_Guru_Shouldn%27t_Cheat_Disciple.mp3</t>
  </si>
  <si>
    <t>SP_SB_5-05-19_Vrindavan_1976-11-07_Spiritual_Eye_Surgery.mp3</t>
  </si>
  <si>
    <t>https://audio.iskcondesiretree.com/01_-_Srila_Prabhupada/01_-_Lectures/01_-_English/01_-_Topic_wise/Srimad_Bhagavatam/Canto-05/SP_SB_5-05-19_Vrindavan_1976-11-07_Spiritual_Eye_Surgery.mp3</t>
  </si>
  <si>
    <t>SB-05-05-19_1976-11-07_SB-VRNDAVAN.MP3</t>
  </si>
  <si>
    <t>https://audio.iskcondesiretree.com/01_-_Srila_Prabhupada/01_-_Lectures/01_-_English/02_-_Month_wise/11_-_November/07/SB-05-05-19_1976-11-07_SB-VRNDAVAN.MP3</t>
  </si>
  <si>
    <t>SB_5-05-19_VRN_1976-11-07_Spiritual_Eye_Surgery.mp3</t>
  </si>
  <si>
    <t>https://audio.iskcondesiretree.com/01_-_Srila_Prabhupada/01_-_Lectures/01_-_English/02_-_Month_wise/11_-_November/07/SB_5-05-19_VRN_1976-11-07_Spiritual_Eye_Surgery.mp3</t>
  </si>
  <si>
    <t>SP_SB_5-05-20_Vrindavan_1976-11-08_Whole_Planet_Belongs_to_Krishna.mp3</t>
  </si>
  <si>
    <t>https://audio.iskcondesiretree.com/01_-_Srila_Prabhupada/01_-_Lectures/01_-_English/01_-_Topic_wise/Srimad_Bhagavatam/Canto-05/SP_SB_5-05-20_Vrindavan_1976-11-08_Whole_Planet_Belongs_to_Krishna.mp3</t>
  </si>
  <si>
    <t>SB-05-05-20_1976-11-08_SB-VRNDAVAN.MP3</t>
  </si>
  <si>
    <t>https://audio.iskcondesiretree.com/01_-_Srila_Prabhupada/01_-_Lectures/01_-_English/02_-_Month_wise/11_-_November/08/SB-05-05-20_1976-11-08_SB-VRNDAVAN.MP3</t>
  </si>
  <si>
    <t>SB_5-05-20_VRN_1976-11-08_Whole_Planet_Belongs_to_Krishna.mp3</t>
  </si>
  <si>
    <t>https://audio.iskcondesiretree.com/01_-_Srila_Prabhupada/01_-_Lectures/01_-_English/02_-_Month_wise/11_-_November/08/SB_5-05-20_VRN_1976-11-08_Whole_Planet_Belongs_to_Krishna.mp3</t>
  </si>
  <si>
    <t>SP_SB_5-05-21_Vrindavan_1976-11-09_Evolved_Consciousness.mp3</t>
  </si>
  <si>
    <t>https://audio.iskcondesiretree.com/01_-_Srila_Prabhupada/01_-_Lectures/01_-_English/01_-_Topic_wise/Srimad_Bhagavatam/Canto-05/SP_SB_5-05-21_Vrindavan_1976-11-09_Evolved_Consciousness.mp3</t>
  </si>
  <si>
    <t>SB-05-05-21%E2%80%9322_1976-11-09_SB-VRNDAVAN.MP3</t>
  </si>
  <si>
    <t>https://audio.iskcondesiretree.com/01_-_Srila_Prabhupada/01_-_Lectures/01_-_English/02_-_Month_wise/11_-_November/09/SB-05-05-21%E2%80%9322_1976-11-09_SB-VRNDAVAN.MP3</t>
  </si>
  <si>
    <t>SB_5-05-21_VRN_1976-11-09_Evolved_Consciousness.mp3</t>
  </si>
  <si>
    <t>https://audio.iskcondesiretree.com/01_-_Srila_Prabhupada/01_-_Lectures/01_-_English/02_-_Month_wise/11_-_November/09/SB_5-05-21_VRN_1976-11-09_Evolved_Consciousness.mp3</t>
  </si>
  <si>
    <t>SP_SB_5-05-23_Vrindavan_1976-11-10_Culture-Brahminical_or_Animal.mp3</t>
  </si>
  <si>
    <t>https://audio.iskcondesiretree.com/01_-_Srila_Prabhupada/01_-_Lectures/01_-_English/01_-_Topic_wise/Srimad_Bhagavatam/Canto-05/SP_SB_5-05-23_Vrindavan_1976-11-10_Culture-Brahminical_or_Animal.mp3</t>
  </si>
  <si>
    <t>Conv_1976-11-10_R1-VRNDAVAN.MP3</t>
  </si>
  <si>
    <t>https://audio.iskcondesiretree.com/01_-_Srila_Prabhupada/01_-_Lectures/01_-_English/02_-_Month_wise/11_-_November/10/Conv_1976-11-10_R1-VRNDAVAN.MP3</t>
  </si>
  <si>
    <t>SB-05-05-23_1976-11-10_SB-VRNDAVAN.MP3</t>
  </si>
  <si>
    <t>https://audio.iskcondesiretree.com/01_-_Srila_Prabhupada/01_-_Lectures/01_-_English/02_-_Month_wise/11_-_November/10/SB-05-05-23_1976-11-10_SB-VRNDAVAN.MP3</t>
  </si>
  <si>
    <t>SB_5-05-23_VRN_1976-11-10_Culture-Brahminical_or_Animal.mp3</t>
  </si>
  <si>
    <t>https://audio.iskcondesiretree.com/01_-_Srila_Prabhupada/01_-_Lectures/01_-_English/02_-_Month_wise/11_-_November/10/SB_5-05-23_VRN_1976-11-10_Culture-Brahminical_or_Animal.mp3</t>
  </si>
  <si>
    <t>SP_SB_5-05-24_Vrindavan_1976-11-11_Transcendental_Goodness.mp3</t>
  </si>
  <si>
    <t>https://audio.iskcondesiretree.com/01_-_Srila_Prabhupada/01_-_Lectures/01_-_English/01_-_Topic_wise/Srimad_Bhagavatam/Canto-05/SP_SB_5-05-24_Vrindavan_1976-11-11_Transcendental_Goodness.mp3</t>
  </si>
  <si>
    <t>Conv_1976-11-11_R1-VRNDAVAN.MP3</t>
  </si>
  <si>
    <t>https://audio.iskcondesiretree.com/01_-_Srila_Prabhupada/01_-_Lectures/01_-_English/02_-_Month_wise/11_-_November/11/Conv_1976-11-11_R1-VRNDAVAN.MP3</t>
  </si>
  <si>
    <t>SB-05-05-24_1976-11-11_SB-VRNDAVAN.MP3</t>
  </si>
  <si>
    <t>https://audio.iskcondesiretree.com/01_-_Srila_Prabhupada/01_-_Lectures/01_-_English/02_-_Month_wise/11_-_November/11/SB-05-05-24_1976-11-11_SB-VRNDAVAN.MP3</t>
  </si>
  <si>
    <t>SB_5-05-24_VRN_1976-11-11_Transcendental_Goodness.mp3</t>
  </si>
  <si>
    <t>https://audio.iskcondesiretree.com/01_-_Srila_Prabhupada/01_-_Lectures/01_-_English/02_-_Month_wise/11_-_November/11/SB_5-05-24_VRN_1976-11-11_Transcendental_Goodness.mp3</t>
  </si>
  <si>
    <t>SP_SB_5-05-25_Vrindavan_1976-11-12_Hog_Intestines_or_Halava.mp3</t>
  </si>
  <si>
    <t>https://audio.iskcondesiretree.com/01_-_Srila_Prabhupada/01_-_Lectures/01_-_English/01_-_Topic_wise/Srimad_Bhagavatam/Canto-05/SP_SB_5-05-25_Vrindavan_1976-11-12_Hog_Intestines_or_Halava.mp3</t>
  </si>
  <si>
    <t>SB-05-05-25_1976-11-12_SB-VRNDAVAN.MP3</t>
  </si>
  <si>
    <t>https://audio.iskcondesiretree.com/01_-_Srila_Prabhupada/01_-_Lectures/01_-_English/02_-_Month_wise/11_-_November/12/SB-05-05-25_1976-11-12_SB-VRNDAVAN.MP3</t>
  </si>
  <si>
    <t>SB_5-05-25_VRN_1976-11-12_Hog_Intestines_or_Halava.mp3</t>
  </si>
  <si>
    <t>https://audio.iskcondesiretree.com/01_-_Srila_Prabhupada/01_-_Lectures/01_-_English/02_-_Month_wise/11_-_November/12/SB_5-05-25_VRN_1976-11-12_Hog_Intestines_or_Halava.mp3</t>
  </si>
  <si>
    <t>SP_Room_Conversation_Vrindavan_1976-11-13_Vote_for_the_Hare_Krishna%27s.mp3</t>
  </si>
  <si>
    <t>https://audio.iskcondesiretree.com/01_-_Srila_Prabhupada/01_-_Lectures/01_-_English/01_-_Topic_wise/Room_Conversation/SP_Room_Conversation_Vrindavan_1976-11-13_Vote_for_the_Hare_Krishna%27s.mp3</t>
  </si>
  <si>
    <t>SP_SB_5-05-26_Vrindavan_1976-11-13_Krishna_Is_Within_the_Atom.mp3</t>
  </si>
  <si>
    <t>https://audio.iskcondesiretree.com/01_-_Srila_Prabhupada/01_-_Lectures/01_-_English/01_-_Topic_wise/Srimad_Bhagavatam/Canto-05/SP_SB_5-05-26_Vrindavan_1976-11-13_Krishna_Is_Within_the_Atom.mp3</t>
  </si>
  <si>
    <t>Conv_1976-11-13_R1-VRNDAVAN.MP3</t>
  </si>
  <si>
    <t>https://audio.iskcondesiretree.com/01_-_Srila_Prabhupada/01_-_Lectures/01_-_English/02_-_Month_wise/11_-_November/13/Conv_1976-11-13_R1-VRNDAVAN.MP3</t>
  </si>
  <si>
    <t>RC_VRN_1976-11-13_Vote_for_the_Hare_Krishna%27s.mp3</t>
  </si>
  <si>
    <t>https://audio.iskcondesiretree.com/01_-_Srila_Prabhupada/01_-_Lectures/01_-_English/02_-_Month_wise/11_-_November/13/RC_VRN_1976-11-13_Vote_for_the_Hare_Krishna%27s.mp3</t>
  </si>
  <si>
    <t>SB-05-05-26_1976-11-13_SB-VRNDAVAN.MP3</t>
  </si>
  <si>
    <t>https://audio.iskcondesiretree.com/01_-_Srila_Prabhupada/01_-_Lectures/01_-_English/02_-_Month_wise/11_-_November/13/SB-05-05-26_1976-11-13_SB-VRNDAVAN.MP3</t>
  </si>
  <si>
    <t>SB_5-05-26_VRN_1976-11-13_Krishna_Is_Within_the_Atom.mp3</t>
  </si>
  <si>
    <t>https://audio.iskcondesiretree.com/01_-_Srila_Prabhupada/01_-_Lectures/01_-_English/02_-_Month_wise/11_-_November/13/SB_5-05-26_VRN_1976-11-13_Krishna_Is_Within_the_Atom.mp3</t>
  </si>
  <si>
    <t>SP_SB_5-05-27_Vrindavan_1976-11-14_The_Greatest_Bewilderment.mp3</t>
  </si>
  <si>
    <t>https://audio.iskcondesiretree.com/01_-_Srila_Prabhupada/01_-_Lectures/01_-_English/01_-_Topic_wise/Srimad_Bhagavatam/Canto-05/SP_SB_5-05-27_Vrindavan_1976-11-14_The_Greatest_Bewilderment.mp3</t>
  </si>
  <si>
    <t>Conv_1976-11-14_R1-VRNDAVAN.MP3</t>
  </si>
  <si>
    <t>https://audio.iskcondesiretree.com/01_-_Srila_Prabhupada/01_-_Lectures/01_-_English/02_-_Month_wise/11_-_November/14/Conv_1976-11-14_R1-VRNDAVAN.MP3</t>
  </si>
  <si>
    <t>Conv_1976-11-14_R2-VRNDAVAN.MP3</t>
  </si>
  <si>
    <t>https://audio.iskcondesiretree.com/01_-_Srila_Prabhupada/01_-_Lectures/01_-_English/02_-_Month_wise/11_-_November/14/Conv_1976-11-14_R2-VRNDAVAN.MP3</t>
  </si>
  <si>
    <t>Lecture%E2%80%93Hindi_1976-11-14_LE-VRNDAVAN.MP3</t>
  </si>
  <si>
    <t>https://audio.iskcondesiretree.com/01_-_Srila_Prabhupada/01_-_Lectures/01_-_English/02_-_Month_wise/11_-_November/14/Lecture%E2%80%93Hindi_1976-11-14_LE-VRNDAVAN.MP3</t>
  </si>
  <si>
    <t>SB-05-05-27_1976-11-14_SB-VRNDAVAN.MP3</t>
  </si>
  <si>
    <t>https://audio.iskcondesiretree.com/01_-_Srila_Prabhupada/01_-_Lectures/01_-_English/02_-_Month_wise/11_-_November/14/SB-05-05-27_1976-11-14_SB-VRNDAVAN.MP3</t>
  </si>
  <si>
    <t>SB_5-05-27_VRN_1976-11-14_The_Greatest_Bewilderment.mp3</t>
  </si>
  <si>
    <t>https://audio.iskcondesiretree.com/01_-_Srila_Prabhupada/01_-_Lectures/01_-_English/02_-_Month_wise/11_-_November/14/SB_5-05-27_VRN_1976-11-14_The_Greatest_Bewilderment.mp3</t>
  </si>
  <si>
    <t>SP_SB_5-05-28_Vrindavan_1976-11-15_Maharajas_and_Maha-rascals.mp3</t>
  </si>
  <si>
    <t>https://audio.iskcondesiretree.com/01_-_Srila_Prabhupada/01_-_Lectures/01_-_English/01_-_Topic_wise/Srimad_Bhagavatam/Canto-05/SP_SB_5-05-28_Vrindavan_1976-11-15_Maharajas_and_Maha-rascals.mp3</t>
  </si>
  <si>
    <t>Conv_1976-11-15_R1-VRNDAVAN.MP3</t>
  </si>
  <si>
    <t>https://audio.iskcondesiretree.com/01_-_Srila_Prabhupada/01_-_Lectures/01_-_English/02_-_Month_wise/11_-_November/15/Conv_1976-11-15_R1-VRNDAVAN.MP3</t>
  </si>
  <si>
    <t>SB-05-05-28_1976-11-15_SB-VRNDAVAN.MP3</t>
  </si>
  <si>
    <t>https://audio.iskcondesiretree.com/01_-_Srila_Prabhupada/01_-_Lectures/01_-_English/02_-_Month_wise/11_-_November/15/SB-05-05-28_1976-11-15_SB-VRNDAVAN.MP3</t>
  </si>
  <si>
    <t>SB_5-05-28_VRN_1976-11-15_Maharajas_and_Maha-rascals.mp3</t>
  </si>
  <si>
    <t>https://audio.iskcondesiretree.com/01_-_Srila_Prabhupada/01_-_Lectures/01_-_English/02_-_Month_wise/11_-_November/15/SB_5-05-28_VRN_1976-11-15_Maharajas_and_Maha-rascals.mp3</t>
  </si>
  <si>
    <t>SP_SB_5-05-29_Vrindavan_1976-11-16_Peace_Impossible.mp3</t>
  </si>
  <si>
    <t>https://audio.iskcondesiretree.com/01_-_Srila_Prabhupada/01_-_Lectures/01_-_English/01_-_Topic_wise/Srimad_Bhagavatam/Canto-05/SP_SB_5-05-29_Vrindavan_1976-11-16_Peace_Impossible.mp3</t>
  </si>
  <si>
    <t>SB-05-05-29_1976-11-16_SB-VRNDAVAN.MP3</t>
  </si>
  <si>
    <t>https://audio.iskcondesiretree.com/01_-_Srila_Prabhupada/01_-_Lectures/01_-_English/02_-_Month_wise/11_-_November/16/SB-05-05-29_1976-11-16_SB-VRNDAVAN.MP3</t>
  </si>
  <si>
    <t>SB_5-05-29_VRN_1976-11-16_Peace_Impossible.mp3</t>
  </si>
  <si>
    <t>https://audio.iskcondesiretree.com/01_-_Srila_Prabhupada/01_-_Lectures/01_-_English/02_-_Month_wise/11_-_November/16/SB_5-05-29_VRN_1976-11-16_Peace_Impossible.mp3</t>
  </si>
  <si>
    <t>SB-05-05-30_1976-11-17_SB-VRNDAVAN.MP3</t>
  </si>
  <si>
    <t>https://audio.iskcondesiretree.com/01_-_Srila_Prabhupada/01_-_Lectures/01_-_English/02_-_Month_wise/11_-_November/17/SB-05-05-30_1976-11-17_SB-VRNDAVAN.MP3</t>
  </si>
  <si>
    <t>Walk_1976-11-17_MW-VRNDAVANA.MP3</t>
  </si>
  <si>
    <t>https://audio.iskcondesiretree.com/01_-_Srila_Prabhupada/01_-_Lectures/01_-_English/02_-_Month_wise/11_-_November/17/Walk_1976-11-17_MW-VRNDAVANA.MP3</t>
  </si>
  <si>
    <t>Conv_1976-11-18_R1-VRNDAVAN.MP3</t>
  </si>
  <si>
    <t>https://audio.iskcondesiretree.com/01_-_Srila_Prabhupada/01_-_Lectures/01_-_English/02_-_Month_wise/11_-_November/18/Conv_1976-11-18_R1-VRNDAVAN.MP3</t>
  </si>
  <si>
    <t>SB-05-05-31_1976-11-18_SB-VRNDAVAN.MP3</t>
  </si>
  <si>
    <t>https://audio.iskcondesiretree.com/01_-_Srila_Prabhupada/01_-_Lectures/01_-_English/02_-_Month_wise/11_-_November/18/SB-05-05-31_1976-11-18_SB-VRNDAVAN.MP3</t>
  </si>
  <si>
    <t>SP_SB_5-05-32_Vrindavan_1976-11-19_Krishna_Movement_Can%27t_Be_Killed.mp3</t>
  </si>
  <si>
    <t>https://audio.iskcondesiretree.com/01_-_Srila_Prabhupada/01_-_Lectures/01_-_English/01_-_Topic_wise/Srimad_Bhagavatam/Canto-05/SP_SB_5-05-32_Vrindavan_1976-11-19_Krishna_Movement_Can%27t_Be_Killed.mp3</t>
  </si>
  <si>
    <t>SB-05-05-32_1976-11-19_SB-VRNDAVAN.MP3</t>
  </si>
  <si>
    <t>https://audio.iskcondesiretree.com/01_-_Srila_Prabhupada/01_-_Lectures/01_-_English/02_-_Month_wise/11_-_November/19/SB-05-05-32_1976-11-19_SB-VRNDAVAN.MP3</t>
  </si>
  <si>
    <t>SB_5-05-32_VRN_1976-11-19_Krishna_Movement_Can%27t_Be_Killed.mp3</t>
  </si>
  <si>
    <t>https://audio.iskcondesiretree.com/01_-_Srila_Prabhupada/01_-_Lectures/01_-_English/02_-_Month_wise/11_-_November/19/SB_5-05-32_VRN_1976-11-19_Krishna_Movement_Can%27t_Be_Killed.mp3</t>
  </si>
  <si>
    <t>SP_Room_Conversation_Vrindavan_1976-11-20_Skyscraper_Thoughts_Dangerous.mp3</t>
  </si>
  <si>
    <t>https://audio.iskcondesiretree.com/01_-_Srila_Prabhupada/01_-_Lectures/01_-_English/01_-_Topic_wise/Room_Conversation/SP_Room_Conversation_Vrindavan_1976-11-20_Skyscraper_Thoughts_Dangerous.mp3</t>
  </si>
  <si>
    <t>SP_SB_5-05-33_Vrindavan_1976-11-20_Ask_Rascal_Incarnations--etc.mp3</t>
  </si>
  <si>
    <t>https://audio.iskcondesiretree.com/01_-_Srila_Prabhupada/01_-_Lectures/01_-_English/01_-_Topic_wise/Srimad_Bhagavatam/Canto-05/SP_SB_5-05-33_Vrindavan_1976-11-20_Ask_Rascal_Incarnations--etc.mp3</t>
  </si>
  <si>
    <t>Conv_1976-11-20_R1-VRNDAVAN.MP3</t>
  </si>
  <si>
    <t>https://audio.iskcondesiretree.com/01_-_Srila_Prabhupada/01_-_Lectures/01_-_English/02_-_Month_wise/11_-_November/20/Conv_1976-11-20_R1-VRNDAVAN.MP3</t>
  </si>
  <si>
    <t>RC_VRN_1976-11-20_Skyscraper_Thoughts_Dangerous.mp3</t>
  </si>
  <si>
    <t>https://audio.iskcondesiretree.com/01_-_Srila_Prabhupada/01_-_Lectures/01_-_English/02_-_Month_wise/11_-_November/20/RC_VRN_1976-11-20_Skyscraper_Thoughts_Dangerous.mp3</t>
  </si>
  <si>
    <t>SB-05-05-33_1976-11-20_SB-VRNDAVAN.MP3</t>
  </si>
  <si>
    <t>https://audio.iskcondesiretree.com/01_-_Srila_Prabhupada/01_-_Lectures/01_-_English/02_-_Month_wise/11_-_November/20/SB-05-05-33_1976-11-20_SB-VRNDAVAN.MP3</t>
  </si>
  <si>
    <t>SB_5-05-33_VRN_1976-11-20_Ask_Rascal_Incarnations_etc.mp3</t>
  </si>
  <si>
    <t>https://audio.iskcondesiretree.com/01_-_Srila_Prabhupada/01_-_Lectures/01_-_English/02_-_Month_wise/11_-_November/20/SB_5-05-33_VRN_1976-11-20_Ask_Rascal_Incarnations_etc.mp3</t>
  </si>
  <si>
    <t>SP_SB_5-05-34_Vrindavan_1976-11-21_Brahmacari_Escapes_Tribulation.mp3</t>
  </si>
  <si>
    <t>https://audio.iskcondesiretree.com/01_-_Srila_Prabhupada/01_-_Lectures/01_-_English/01_-_Topic_wise/Srimad_Bhagavatam/Canto-05/SP_SB_5-05-34_Vrindavan_1976-11-21_Brahmacari_Escapes_Tribulation.mp3</t>
  </si>
  <si>
    <t>SB-05-05-34_1976-11-21_SB-VRNDAVAN.MP3</t>
  </si>
  <si>
    <t>https://audio.iskcondesiretree.com/01_-_Srila_Prabhupada/01_-_Lectures/01_-_English/02_-_Month_wise/11_-_November/21/SB-05-05-34_1976-11-21_SB-VRNDAVAN.MP3</t>
  </si>
  <si>
    <t>SB_5-05-34_VRN_1976-11-21_Brahmacari_Escapes_Tribulation.mp3</t>
  </si>
  <si>
    <t>https://audio.iskcondesiretree.com/01_-_Srila_Prabhupada/01_-_Lectures/01_-_English/02_-_Month_wise/11_-_November/21/SB_5-05-34_VRN_1976-11-21_Brahmacari_Escapes_Tribulation.mp3</t>
  </si>
  <si>
    <t>SB-05-05-35_1976-11-22_SB-VRNDAVAN.MP3</t>
  </si>
  <si>
    <t>https://audio.iskcondesiretree.com/01_-_Srila_Prabhupada/01_-_Lectures/01_-_English/02_-_Month_wise/11_-_November/22/SB-05-05-35_1976-11-22_SB-VRNDAVAN.MP3</t>
  </si>
  <si>
    <t>SB-05-06-01_1976-11-23_SB-VRNDAVAN.MP3</t>
  </si>
  <si>
    <t>https://audio.iskcondesiretree.com/01_-_Srila_Prabhupada/01_-_Lectures/01_-_English/02_-_Month_wise/11_-_November/23/SB-05-06-01_1976-11-23_SB-VRNDAVAN.MP3</t>
  </si>
  <si>
    <t>Conv_1976-11-24_R1-VRNDAVAN.MP3</t>
  </si>
  <si>
    <t>https://audio.iskcondesiretree.com/01_-_Srila_Prabhupada/01_-_Lectures/01_-_English/02_-_Month_wise/11_-_November/24/Conv_1976-11-24_R1-VRNDAVAN.MP3</t>
  </si>
  <si>
    <t>SB-05-06-02_1976-11-24_SB-VRNDAVAN.MP3</t>
  </si>
  <si>
    <t>https://audio.iskcondesiretree.com/01_-_Srila_Prabhupada/01_-_Lectures/01_-_English/02_-_Month_wise/11_-_November/24/SB-05-06-02_1976-11-24_SB-VRNDAVAN.MP3</t>
  </si>
  <si>
    <t>SP_SB_5-06-03_Vrindavan_1976-11-25_Never_Trust_Your_Mind.mp3</t>
  </si>
  <si>
    <t>https://audio.iskcondesiretree.com/01_-_Srila_Prabhupada/01_-_Lectures/01_-_English/01_-_Topic_wise/Srimad_Bhagavatam/Canto-05/SP_SB_5-06-03_Vrindavan_1976-11-25_Never_Trust_Your_Mind.mp3</t>
  </si>
  <si>
    <t>Conv_1976-11-25_R1-VRNDAVAN.MP3</t>
  </si>
  <si>
    <t>https://audio.iskcondesiretree.com/01_-_Srila_Prabhupada/01_-_Lectures/01_-_English/02_-_Month_wise/11_-_November/25/Conv_1976-11-25_R1-VRNDAVAN.MP3</t>
  </si>
  <si>
    <t>SB-05-06-03_1976-11-25_SB-VRNDAVAN.MP3</t>
  </si>
  <si>
    <t>https://audio.iskcondesiretree.com/01_-_Srila_Prabhupada/01_-_Lectures/01_-_English/02_-_Month_wise/11_-_November/25/SB-05-06-03_1976-11-25_SB-VRNDAVAN.MP3</t>
  </si>
  <si>
    <t>SB_5-06-03_VRN_1976-11-25_Never_Trust_Your_Mind.mp3</t>
  </si>
  <si>
    <t>https://audio.iskcondesiretree.com/01_-_Srila_Prabhupada/01_-_Lectures/01_-_English/02_-_Month_wise/11_-_November/25/SB_5-06-03_VRN_1976-11-25_Never_Trust_Your_Mind.mp3</t>
  </si>
  <si>
    <t>SP_SB_5-06-04_Vrindavan_1976-11-26_The_Unchaste_Mind.mp3</t>
  </si>
  <si>
    <t>https://audio.iskcondesiretree.com/01_-_Srila_Prabhupada/01_-_Lectures/01_-_English/01_-_Topic_wise/Srimad_Bhagavatam/Canto-05/SP_SB_5-06-04_Vrindavan_1976-11-26_The_Unchaste_Mind.mp3</t>
  </si>
  <si>
    <t>SB-05-06-04_1976-11-26_SB-VRNDAVAN.MP3</t>
  </si>
  <si>
    <t>https://audio.iskcondesiretree.com/01_-_Srila_Prabhupada/01_-_Lectures/01_-_English/02_-_Month_wise/11_-_November/26/SB-05-06-04_1976-11-26_SB-VRNDAVAN.MP3</t>
  </si>
  <si>
    <t>SB_5-06-04_VRN_1976-11-26_The_Unchaste_Mind.mp3</t>
  </si>
  <si>
    <t>https://audio.iskcondesiretree.com/01_-_Srila_Prabhupada/01_-_Lectures/01_-_English/02_-_Month_wise/11_-_November/26/SB_5-06-04_VRN_1976-11-26_The_Unchaste_Mind.mp3</t>
  </si>
  <si>
    <t>SP_SB_5-06-05_Vrindavan_1976-11-27_Divine_Couple.mp3</t>
  </si>
  <si>
    <t>https://audio.iskcondesiretree.com/01_-_Srila_Prabhupada/01_-_Lectures/01_-_English/01_-_Topic_wise/Srimad_Bhagavatam/Canto-05/SP_SB_5-06-05_Vrindavan_1976-11-27_Divine_Couple.mp3</t>
  </si>
  <si>
    <t>SB-05-06-05_1976-11-27_SB-VRNDAVAN.MP3</t>
  </si>
  <si>
    <t>https://audio.iskcondesiretree.com/01_-_Srila_Prabhupada/01_-_Lectures/01_-_English/02_-_Month_wise/11_-_November/27/SB-05-06-05_1976-11-27_SB-VRNDAVAN.MP3</t>
  </si>
  <si>
    <t>SB_5-06-05_VRN_1976-11-27_Divine_Couple.mp3</t>
  </si>
  <si>
    <t>https://audio.iskcondesiretree.com/01_-_Srila_Prabhupada/01_-_Lectures/01_-_English/02_-_Month_wise/11_-_November/27/SB_5-06-05_VRN_1976-11-27_Divine_Couple.mp3</t>
  </si>
  <si>
    <t>SP_SB_5-05-06_Vrindavan_1976-11-28_Krishna%27s_Criminal_and_Civil_depts.mp3</t>
  </si>
  <si>
    <t>https://audio.iskcondesiretree.com/01_-_Srila_Prabhupada/01_-_Lectures/01_-_English/01_-_Topic_wise/Srimad_Bhagavatam/Canto-05/SP_SB_5-05-06_Vrindavan_1976-11-28_Krishna%27s_Criminal_and_Civil_depts.mp3</t>
  </si>
  <si>
    <t>SB-05-06-06_1976-11-28_SB-VRNDAVAN.MP3</t>
  </si>
  <si>
    <t>https://audio.iskcondesiretree.com/01_-_Srila_Prabhupada/01_-_Lectures/01_-_English/02_-_Month_wise/11_-_November/28/SB-05-06-06_1976-11-28_SB-VRNDAVAN.MP3</t>
  </si>
  <si>
    <t>SB_5-05-06_VRN_1976-11-28_Krishna%27s_Criminal_and_Civil_depts.mp3</t>
  </si>
  <si>
    <t>https://audio.iskcondesiretree.com/01_-_Srila_Prabhupada/01_-_Lectures/01_-_English/02_-_Month_wise/11_-_November/28/SB_5-05-06_VRN_1976-11-28_Krishna%27s_Criminal_and_Civil_depts.mp3</t>
  </si>
  <si>
    <t>SP_SB_5-06-07_Vrindavan_1976-11-29_Mayavadis_Think_Krishna_Is_Maya.mp3</t>
  </si>
  <si>
    <t>https://audio.iskcondesiretree.com/01_-_Srila_Prabhupada/01_-_Lectures/01_-_English/01_-_Topic_wise/Srimad_Bhagavatam/Canto-05/SP_SB_5-06-07_Vrindavan_1976-11-29_Mayavadis_Think_Krishna_Is_Maya.mp3</t>
  </si>
  <si>
    <t>SB-05-06-07_1976-11-29_SB-VRNDAVAN.MP3</t>
  </si>
  <si>
    <t>https://audio.iskcondesiretree.com/01_-_Srila_Prabhupada/01_-_Lectures/01_-_English/02_-_Month_wise/11_-_November/29/SB-05-06-07_1976-11-29_SB-VRNDAVAN.MP3</t>
  </si>
  <si>
    <t>SB_5-06-07_VRN_1976-11-29_Mayavadis_Think_Krishna_Is_Maya.mp3</t>
  </si>
  <si>
    <t>https://audio.iskcondesiretree.com/01_-_Srila_Prabhupada/01_-_Lectures/01_-_English/02_-_Month_wise/11_-_November/29/SB_5-06-07_VRN_1976-11-29_Mayavadis_Think_Krishna_Is_Maya.mp3</t>
  </si>
  <si>
    <t>SP_SB_5-06-08_Vrindavan_1976-11-30_Fire_Brigade_Cannot--etc.mp3</t>
  </si>
  <si>
    <t>https://audio.iskcondesiretree.com/01_-_Srila_Prabhupada/01_-_Lectures/01_-_English/01_-_Topic_wise/Srimad_Bhagavatam/Canto-05/SP_SB_5-06-08_Vrindavan_1976-11-30_Fire_Brigade_Cannot--etc.mp3</t>
  </si>
  <si>
    <t>SB-05-06-08_1976-11-30_SB-VRNDAVAN.MP3</t>
  </si>
  <si>
    <t>https://audio.iskcondesiretree.com/01_-_Srila_Prabhupada/01_-_Lectures/01_-_English/02_-_Month_wise/11_-_November/30/SB-05-06-08_1976-11-30_SB-VRNDAVAN.MP3</t>
  </si>
  <si>
    <t>SB_5-06-08_VRN_1976-11-30_Fire_Brigade_Cannot_etc.mp3</t>
  </si>
  <si>
    <t>https://audio.iskcondesiretree.com/01_-_Srila_Prabhupada/01_-_Lectures/01_-_English/02_-_Month_wise/11_-_November/30/SB_5-06-08_VRN_1976-11-30_Fire_Brigade_Cannot_etc.mp3</t>
  </si>
  <si>
    <t>SP_Room_Conversation_Hyderabad_1976-12-03_Evening_Darshan.mp3</t>
  </si>
  <si>
    <t>https://audio.iskcondesiretree.com/01_-_Srila_Prabhupada/01_-_Lectures/01_-_English/01_-_Topic_wise/Room_Conversation/SP_Room_Conversation_Hyderabad_1976-12-03_Evening_Darshan.mp3</t>
  </si>
  <si>
    <t>Darshan_1976-12-03_ED-HYDERABAD.MP3</t>
  </si>
  <si>
    <t>https://audio.iskcondesiretree.com/01_-_Srila_Prabhupada/01_-_Lectures/01_-_English/02_-_Month_wise/12_-_December/03/Darshan_1976-12-03_ED-HYDERABAD.MP3</t>
  </si>
  <si>
    <t>RC_HYD_1976-12-03_Evening_Darshan.mp3</t>
  </si>
  <si>
    <t>https://audio.iskcondesiretree.com/01_-_Srila_Prabhupada/01_-_Lectures/01_-_English/02_-_Month_wise/12_-_December/03/RC_HYD_1976-12-03_Evening_Darshan.mp3</t>
  </si>
  <si>
    <t>Darshan%E2%80%93Hindi_1976-12-04_ED-HYDERABAD.MP3</t>
  </si>
  <si>
    <t>https://audio.iskcondesiretree.com/01_-_Srila_Prabhupada/01_-_Lectures/01_-_English/02_-_Month_wise/12_-_December/04/Darshan%E2%80%93Hindi_1976-12-04_ED-HYDERABAD.MP3</t>
  </si>
  <si>
    <t>Walk_1976-12-04_MW-HYDERABAD.MP3</t>
  </si>
  <si>
    <t>https://audio.iskcondesiretree.com/01_-_Srila_Prabhupada/01_-_Lectures/01_-_English/02_-_Month_wise/12_-_December/04/Walk_1976-12-04_MW-HYDERABAD.MP3</t>
  </si>
  <si>
    <t>Conv_1976-12-05_R1-HYDERABAD.MP3</t>
  </si>
  <si>
    <t>https://audio.iskcondesiretree.com/01_-_Srila_Prabhupada/01_-_Lectures/01_-_English/02_-_Month_wise/12_-_December/05/Conv_1976-12-05_R1-HYDERABAD.MP3</t>
  </si>
  <si>
    <t>Walk_1976-12-05_MW-HYDERABAD.MP3</t>
  </si>
  <si>
    <t>https://audio.iskcondesiretree.com/01_-_Srila_Prabhupada/01_-_Lectures/01_-_English/02_-_Month_wise/12_-_December/05/Walk_1976-12-05_MW-HYDERABAD.MP3</t>
  </si>
  <si>
    <t>Conv_1976-12-07_R1-HYDERABAD.MP3</t>
  </si>
  <si>
    <t>https://audio.iskcondesiretree.com/01_-_Srila_Prabhupada/01_-_Lectures/01_-_English/02_-_Month_wise/12_-_December/07/Conv_1976-12-07_R1-HYDERABAD.MP3</t>
  </si>
  <si>
    <t>Walk_1976-12-07_MW-HYDERABAD.MP3</t>
  </si>
  <si>
    <t>https://audio.iskcondesiretree.com/01_-_Srila_Prabhupada/01_-_Lectures/01_-_English/02_-_Month_wise/12_-_December/07/Walk_1976-12-07_MW-HYDERABAD.MP3</t>
  </si>
  <si>
    <t>Conv_1976-12-09_R1-HYDERABAD.MP3</t>
  </si>
  <si>
    <t>https://audio.iskcondesiretree.com/01_-_Srila_Prabhupada/01_-_Lectures/01_-_English/02_-_Month_wise/12_-_December/09/Conv_1976-12-09_R1-HYDERABAD.MP3</t>
  </si>
  <si>
    <t>SP_Festivals_Hyderabad_1976-12-10_Bhaktisiddhanta_Disappearance.mp3</t>
  </si>
  <si>
    <t>https://audio.iskcondesiretree.com/01_-_Srila_Prabhupada/01_-_Lectures/01_-_English/01_-_Topic_wise/Festivals/SP_Festivals_Hyderabad_1976-12-10_Bhaktisiddhanta_Disappearance.mp3</t>
  </si>
  <si>
    <t>SP_Room_Conversation_Hyderabad_1976-12-10_Love_Feast_Was_Beginning.mp3</t>
  </si>
  <si>
    <t>https://audio.iskcondesiretree.com/01_-_Srila_Prabhupada/01_-_Lectures/01_-_English/01_-_Topic_wise/Room_Conversation/SP_Room_Conversation_Hyderabad_1976-12-10_Love_Feast_Was_Beginning.mp3</t>
  </si>
  <si>
    <t>SP_Room_Conversation_Hyderabad_1976-12-10_Scientists_Etiquette_Don%27t_Talk_of_God.mp3</t>
  </si>
  <si>
    <t>https://audio.iskcondesiretree.com/01_-_Srila_Prabhupada/01_-_Lectures/01_-_English/01_-_Topic_wise/Room_Conversation/SP_Room_Conversation_Hyderabad_1976-12-10_Scientists_Etiquette_Don%27t_Talk_of_God.mp3</t>
  </si>
  <si>
    <t>SP_Lecture_Hyderabad_1976-12-10_Hearing_Srila_Bhaktisiddhanta_Was_My_Hobby.mp3</t>
  </si>
  <si>
    <t>https://audio.iskcondesiretree.com/01_-_Srila_Prabhupada/01_-_Lectures/01_-_English/01_-_Topic_wise/Various/SP_Lecture_Hyderabad_1976-12-10_Hearing_Srila_Bhaktisiddhanta_Was_My_Hobby.mp3</t>
  </si>
  <si>
    <t>Bhaktisiddhanta_Disappearance_1976-12-10_DB-HYDERABAD.MP3</t>
  </si>
  <si>
    <t>https://audio.iskcondesiretree.com/01_-_Srila_Prabhupada/01_-_Lectures/01_-_English/02_-_Month_wise/12_-_December/10/Bhaktisiddhanta_Disappearance_1976-12-10_DB-HYDERABAD.MP3</t>
  </si>
  <si>
    <t>Conv_1976-12-10_R1-HYDERABAD.MP3</t>
  </si>
  <si>
    <t>https://audio.iskcondesiretree.com/01_-_Srila_Prabhupada/01_-_Lectures/01_-_English/02_-_Month_wise/12_-_December/10/Conv_1976-12-10_R1-HYDERABAD.MP3</t>
  </si>
  <si>
    <t>Fest_HYD_1976-12-10_Bhaktisiddhanta_Disappearance.mp3</t>
  </si>
  <si>
    <t>https://audio.iskcondesiretree.com/01_-_Srila_Prabhupada/01_-_Lectures/01_-_English/02_-_Month_wise/12_-_December/10/Fest_HYD_1976-12-10_Bhaktisiddhanta_Disappearance.mp3</t>
  </si>
  <si>
    <t>Lect_HYD_1976-12-10_Hearing_Srila_Bhaktisiddhanta_Was_My_Hobby.mp3</t>
  </si>
  <si>
    <t>https://audio.iskcondesiretree.com/01_-_Srila_Prabhupada/01_-_Lectures/01_-_English/02_-_Month_wise/12_-_December/10/Lect_HYD_1976-12-10_Hearing_Srila_Bhaktisiddhanta_Was_My_Hobby.mp3</t>
  </si>
  <si>
    <t>RC_HYD_1976-12-10_Love_Feast_Was_Beginning.mp3</t>
  </si>
  <si>
    <t>https://audio.iskcondesiretree.com/01_-_Srila_Prabhupada/01_-_Lectures/01_-_English/02_-_Month_wise/12_-_December/10/RC_HYD_1976-12-10_Love_Feast_Was_Beginning.mp3</t>
  </si>
  <si>
    <t>RC_HYD_1976-12-10_Scientists_Etiquette_Don%27t_Talk_of_God.mp3</t>
  </si>
  <si>
    <t>https://audio.iskcondesiretree.com/01_-_Srila_Prabhupada/01_-_Lectures/01_-_English/02_-_Month_wise/12_-_December/10/RC_HYD_1976-12-10_Scientists_Etiquette_Don%27t_Talk_of_God.mp3</t>
  </si>
  <si>
    <t>SP_BG_07-06_Hyderabad_1976-12-11_How_Have_We_Become_Bad.mp3</t>
  </si>
  <si>
    <t>https://audio.iskcondesiretree.com/01_-_Srila_Prabhupada/01_-_Lectures/01_-_English/01_-_Topic_wise/Bhagavad_Gita/Chapter-07/SP_BG_07-06_Hyderabad_1976-12-11_How_Have_We_Become_Bad.mp3</t>
  </si>
  <si>
    <t>Bg-07-06_1976-12-11_BG-HYDERABAD.MP3</t>
  </si>
  <si>
    <t>https://audio.iskcondesiretree.com/01_-_Srila_Prabhupada/01_-_Lectures/01_-_English/02_-_Month_wise/12_-_December/11/Bg-07-06_1976-12-11_BG-HYDERABAD.MP3</t>
  </si>
  <si>
    <t>Bg_07-06_HYD_1976-12-11_How_Have_We_Become_Bad.mp3</t>
  </si>
  <si>
    <t>https://audio.iskcondesiretree.com/01_-_Srila_Prabhupada/01_-_Lectures/01_-_English/02_-_Month_wise/12_-_December/11/Bg_07-06_HYD_1976-12-11_How_Have_We_Become_Bad.mp3</t>
  </si>
  <si>
    <t>SP_BG_02-12_Hyderabad_1976-12-12_The_Minister_of_Defense_Has--etc.mp3</t>
  </si>
  <si>
    <t>https://audio.iskcondesiretree.com/01_-_Srila_Prabhupada/01_-_Lectures/01_-_English/01_-_Topic_wise/Bhagavad_Gita/Chapter-02/SP_BG_02-12_Hyderabad_1976-12-12_The_Minister_of_Defense_Has--etc.mp3</t>
  </si>
  <si>
    <t>Bg-02-12_1976-12-12_BG-HYDERABAD.MP3</t>
  </si>
  <si>
    <t>https://audio.iskcondesiretree.com/01_-_Srila_Prabhupada/01_-_Lectures/01_-_English/02_-_Month_wise/12_-_December/12/Bg-02-12_1976-12-12_BG-HYDERABAD.MP3</t>
  </si>
  <si>
    <t>Bg_02-12_HYD_1976-12-12_The_Minister_of_Defense_Has_etc.mp3</t>
  </si>
  <si>
    <t>https://audio.iskcondesiretree.com/01_-_Srila_Prabhupada/01_-_Lectures/01_-_English/02_-_Month_wise/12_-_December/12/Bg_02-12_HYD_1976-12-12_The_Minister_of_Defense_Has_etc.mp3</t>
  </si>
  <si>
    <t>Conv_1976-12-12_R1-HYDERABAD.MP3</t>
  </si>
  <si>
    <t>https://audio.iskcondesiretree.com/01_-_Srila_Prabhupada/01_-_Lectures/01_-_English/02_-_Month_wise/12_-_December/12/Conv_1976-12-12_R1-HYDERABAD.MP3</t>
  </si>
  <si>
    <t>SP_BG_16-06_Hyderabad_1976-12-13_Vedic_Secular_State.mp3</t>
  </si>
  <si>
    <t>https://audio.iskcondesiretree.com/01_-_Srila_Prabhupada/01_-_Lectures/01_-_English/01_-_Topic_wise/Bhagavad_Gita/Chapter-16/SP_BG_16-06_Hyderabad_1976-12-13_Vedic_Secular_State.mp3</t>
  </si>
  <si>
    <t>Bg-16-06_1976-12-13_BG-HYDERABAD.MP3</t>
  </si>
  <si>
    <t>https://audio.iskcondesiretree.com/01_-_Srila_Prabhupada/01_-_Lectures/01_-_English/02_-_Month_wise/12_-_December/13/Bg-16-06_1976-12-13_BG-HYDERABAD.MP3</t>
  </si>
  <si>
    <t>Bg_16-06_HYD_1976-12-13_Vedic_Secular_State.mp3</t>
  </si>
  <si>
    <t>https://audio.iskcondesiretree.com/01_-_Srila_Prabhupada/01_-_Lectures/01_-_English/02_-_Month_wise/12_-_December/13/Bg_16-06_HYD_1976-12-13_Vedic_Secular_State.mp3</t>
  </si>
  <si>
    <t>SP_BG_16-07_Hyderabad_1976-12-14_The_Path_of_No.mp3</t>
  </si>
  <si>
    <t>https://audio.iskcondesiretree.com/01_-_Srila_Prabhupada/01_-_Lectures/01_-_English/01_-_Topic_wise/Bhagavad_Gita/Chapter-16/SP_BG_16-07_Hyderabad_1976-12-14_The_Path_of_No.mp3</t>
  </si>
  <si>
    <t>Bg-16-07_1976-12-14_BG-HYDERABAD.MP3</t>
  </si>
  <si>
    <t>https://audio.iskcondesiretree.com/01_-_Srila_Prabhupada/01_-_Lectures/01_-_English/02_-_Month_wise/12_-_December/14/Bg-16-07_1976-12-14_BG-HYDERABAD.MP3</t>
  </si>
  <si>
    <t>Bg_16-07_HYD_1976-12-14_The_Path_of_No.mp3</t>
  </si>
  <si>
    <t>https://audio.iskcondesiretree.com/01_-_Srila_Prabhupada/01_-_Lectures/01_-_English/02_-_Month_wise/12_-_December/14/Bg_16-07_HYD_1976-12-14_The_Path_of_No.mp3</t>
  </si>
  <si>
    <t>SP_BG_16-07_Hyderabad_1976-12-15_The_Asuric_Public.mp3</t>
  </si>
  <si>
    <t>https://audio.iskcondesiretree.com/01_-_Srila_Prabhupada/01_-_Lectures/01_-_English/01_-_Topic_wise/Bhagavad_Gita/Chapter-16/SP_BG_16-07_Hyderabad_1976-12-15_The_Asuric_Public.mp3</t>
  </si>
  <si>
    <t>Bg-16-07_1976-12-15_BG-HYDERABAD.MP3</t>
  </si>
  <si>
    <t>https://audio.iskcondesiretree.com/01_-_Srila_Prabhupada/01_-_Lectures/01_-_English/02_-_Month_wise/12_-_December/15/Bg-16-07_1976-12-15_BG-HYDERABAD.MP3</t>
  </si>
  <si>
    <t>Bg_16-07_HYD_1976-12-15_The_Asuric_Public.mp3</t>
  </si>
  <si>
    <t>https://audio.iskcondesiretree.com/01_-_Srila_Prabhupada/01_-_Lectures/01_-_English/02_-_Month_wise/12_-_December/15/Bg_16-07_HYD_1976-12-15_The_Asuric_Public.mp3</t>
  </si>
  <si>
    <t>SP_BG_16-08_Hyderabad_1976-12-16_Deliver_Your_Neighborhood.mp3</t>
  </si>
  <si>
    <t>https://audio.iskcondesiretree.com/01_-_Srila_Prabhupada/01_-_Lectures/01_-_English/01_-_Topic_wise/Bhagavad_Gita/Chapter-16/SP_BG_16-08_Hyderabad_1976-12-16_Deliver_Your_Neighborhood.mp3</t>
  </si>
  <si>
    <t>Bg-16-08_1976-12-16_BG-HYDERABAD.MP3</t>
  </si>
  <si>
    <t>https://audio.iskcondesiretree.com/01_-_Srila_Prabhupada/01_-_Lectures/01_-_English/02_-_Month_wise/12_-_December/16/Bg-16-08_1976-12-16_BG-HYDERABAD.MP3</t>
  </si>
  <si>
    <t>Bg_16-08_HYD_1976-12-16_Deliver_Your_Neighborhood.mp3</t>
  </si>
  <si>
    <t>https://audio.iskcondesiretree.com/01_-_Srila_Prabhupada/01_-_Lectures/01_-_English/02_-_Month_wise/12_-_December/16/Bg_16-08_HYD_1976-12-16_Deliver_Your_Neighborhood.mp3</t>
  </si>
  <si>
    <t>Conv_1976-12-16_R1-HYDERABAD.MP3</t>
  </si>
  <si>
    <t>https://audio.iskcondesiretree.com/01_-_Srila_Prabhupada/01_-_Lectures/01_-_English/02_-_Month_wise/12_-_December/16/Conv_1976-12-16_R1-HYDERABAD.MP3</t>
  </si>
  <si>
    <t>PressConf_1976-12-16_PC-HYDERABAD.MP3</t>
  </si>
  <si>
    <t>https://audio.iskcondesiretree.com/01_-_Srila_Prabhupada/01_-_Lectures/01_-_English/02_-_Month_wise/12_-_December/16/PressConf_1976-12-16_PC-HYDERABAD.MP3</t>
  </si>
  <si>
    <t>SP_BG_03-25_Hyderabad_1976-12-17_Plan_Making_for_More_Suffering.mp3</t>
  </si>
  <si>
    <t>https://audio.iskcondesiretree.com/01_-_Srila_Prabhupada/01_-_Lectures/01_-_English/01_-_Topic_wise/Bhagavad_Gita/Chapter-03/SP_BG_03-25_Hyderabad_1976-12-17_Plan_Making_for_More_Suffering.mp3</t>
  </si>
  <si>
    <t>Bg-03-25_1976-12-17_BG-HYDERABAD.MP3</t>
  </si>
  <si>
    <t>https://audio.iskcondesiretree.com/01_-_Srila_Prabhupada/01_-_Lectures/01_-_English/02_-_Month_wise/12_-_December/17/Bg-03-25_1976-12-17_BG-HYDERABAD.MP3</t>
  </si>
  <si>
    <t>Bg_03-25_HYD_1976-12-17_Plan_Making_for_More_Suffering.mp3</t>
  </si>
  <si>
    <t>https://audio.iskcondesiretree.com/01_-_Srila_Prabhupada/01_-_Lectures/01_-_English/02_-_Month_wise/12_-_December/17/Bg_03-25_HYD_1976-12-17_Plan_Making_for_More_Suffering.mp3</t>
  </si>
  <si>
    <t>Arrival_1976-12-20_AR-BOMBAY.MP3</t>
  </si>
  <si>
    <t>https://audio.iskcondesiretree.com/01_-_Srila_Prabhupada/01_-_Lectures/01_-_English/02_-_Month_wise/12_-_December/20/Arrival_1976-12-20_AR-BOMBAY.MP3</t>
  </si>
  <si>
    <t>Conv_1976-12-20_R1-BOMBAY.MP3</t>
  </si>
  <si>
    <t>https://audio.iskcondesiretree.com/01_-_Srila_Prabhupada/01_-_Lectures/01_-_English/02_-_Month_wise/12_-_December/20/Conv_1976-12-20_R1-BOMBAY.MP3</t>
  </si>
  <si>
    <t>Conv_1976-12-20_R1-WARDHA.MP3</t>
  </si>
  <si>
    <t>https://audio.iskcondesiretree.com/01_-_Srila_Prabhupada/01_-_Lectures/01_-_English/02_-_Month_wise/12_-_December/20/Conv_1976-12-20_R1-WARDHA.MP3</t>
  </si>
  <si>
    <t>Lecture%E2%80%93Hindi_1976-12-20_LE-WARDHA.MP3</t>
  </si>
  <si>
    <t>https://audio.iskcondesiretree.com/01_-_Srila_Prabhupada/01_-_Lectures/01_-_English/02_-_Month_wise/12_-_December/20/Lecture%E2%80%93Hindi_1976-12-20_LE-WARDHA.MP3</t>
  </si>
  <si>
    <t>Conv_1976-12-22_R1-POONA.MP3</t>
  </si>
  <si>
    <t>https://audio.iskcondesiretree.com/01_-_Srila_Prabhupada/01_-_Lectures/01_-_English/02_-_Month_wise/12_-_December/22/Conv_1976-12-22_R1-POONA.MP3</t>
  </si>
  <si>
    <t>Conv_1976-12-22_R2-POONA.MP3</t>
  </si>
  <si>
    <t>https://audio.iskcondesiretree.com/01_-_Srila_Prabhupada/01_-_Lectures/01_-_English/02_-_Month_wise/12_-_December/22/Conv_1976-12-22_R2-POONA.MP3</t>
  </si>
  <si>
    <t>SB-05-05-01%E2%80%93Hindi_1976-12-24_SB-BOMBAY.MP3</t>
  </si>
  <si>
    <t>https://audio.iskcondesiretree.com/01_-_Srila_Prabhupada/01_-_Lectures/01_-_English/02_-_Month_wise/12_-_December/24/SB-05-05-01%E2%80%93Hindi_1976-12-24_SB-BOMBAY.MP3</t>
  </si>
  <si>
    <t>SP_Morning_Walk_-_Bombay_1976-12-25_Coverings--Concoctions--Gandhi--etc.mp3</t>
  </si>
  <si>
    <t>https://audio.iskcondesiretree.com/01_-_Srila_Prabhupada/01_-_Lectures/01_-_English/01_-_Topic_wise/Morning_Walk/SP_Morning_Walk_-_Bombay_1976-12-25_Coverings--Concoctions--Gandhi--etc.mp3</t>
  </si>
  <si>
    <t>SP_SB_5-05-01_Bombay_1976-12-25_Human--Not_Working_Like_Animal.mp3</t>
  </si>
  <si>
    <t>https://audio.iskcondesiretree.com/01_-_Srila_Prabhupada/01_-_Lectures/01_-_English/01_-_Topic_wise/Srimad_Bhagavatam/Canto-05/SP_SB_5-05-01_Bombay_1976-12-25_Human--Not_Working_Like_Animal.mp3</t>
  </si>
  <si>
    <t>Conv_1976-12-25_R1-BOMBAY.MP3</t>
  </si>
  <si>
    <t>https://audio.iskcondesiretree.com/01_-_Srila_Prabhupada/01_-_Lectures/01_-_English/02_-_Month_wise/12_-_December/25/Conv_1976-12-25_R1-BOMBAY.MP3</t>
  </si>
  <si>
    <t>MW_BOM_1976-12-25_Coverings_Concoctions_Gandhi_etc.mp3</t>
  </si>
  <si>
    <t>https://audio.iskcondesiretree.com/01_-_Srila_Prabhupada/01_-_Lectures/01_-_English/02_-_Month_wise/12_-_December/25/MW_BOM_1976-12-25_Coverings_Concoctions_Gandhi_etc.mp3</t>
  </si>
  <si>
    <t>SB-05-05-01_1976-12-25_SB-BOMBAY.MP3</t>
  </si>
  <si>
    <t>https://audio.iskcondesiretree.com/01_-_Srila_Prabhupada/01_-_Lectures/01_-_English/02_-_Month_wise/12_-_December/25/SB-05-05-01_1976-12-25_SB-BOMBAY.MP3</t>
  </si>
  <si>
    <t>SB_5-05-01_BOM_1976-12-25_Human-Not_Working_Like_Animal.mp3</t>
  </si>
  <si>
    <t>https://audio.iskcondesiretree.com/01_-_Srila_Prabhupada/01_-_Lectures/01_-_English/02_-_Month_wise/12_-_December/25/SB_5-05-01_BOM_1976-12-25_Human-Not_Working_Like_Animal.mp3</t>
  </si>
  <si>
    <t>Conv_1976-12-26_R1-BOMBAY.MP3</t>
  </si>
  <si>
    <t>https://audio.iskcondesiretree.com/01_-_Srila_Prabhupada/01_-_Lectures/01_-_English/02_-_Month_wise/12_-_December/26/Conv_1976-12-26_R1-BOMBAY.MP3</t>
  </si>
  <si>
    <t>Conv_1976-12-26_R2-BOMBAY.MP3</t>
  </si>
  <si>
    <t>https://audio.iskcondesiretree.com/01_-_Srila_Prabhupada/01_-_Lectures/01_-_English/02_-_Month_wise/12_-_December/26/Conv_1976-12-26_R2-BOMBAY.MP3</t>
  </si>
  <si>
    <t>Conv_1976-12-26_R3-BOMBAY.MP3</t>
  </si>
  <si>
    <t>https://audio.iskcondesiretree.com/01_-_Srila_Prabhupada/01_-_Lectures/01_-_English/02_-_Month_wise/12_-_December/26/Conv_1976-12-26_R3-BOMBAY.MP3</t>
  </si>
  <si>
    <t>SB-05-05-02%E2%80%93Hindi_1976-12-26_SB-BOMBAY.MP3</t>
  </si>
  <si>
    <t>https://audio.iskcondesiretree.com/01_-_Srila_Prabhupada/01_-_Lectures/01_-_English/02_-_Month_wise/12_-_December/26/SB-05-05-02%E2%80%93Hindi_1976-12-26_SB-BOMBAY.MP3</t>
  </si>
  <si>
    <t>Conv_1976-12-27_R1-BOMBAY.MP3</t>
  </si>
  <si>
    <t>https://audio.iskcondesiretree.com/01_-_Srila_Prabhupada/01_-_Lectures/01_-_English/02_-_Month_wise/12_-_December/27/Conv_1976-12-27_R1-BOMBAY.MP3</t>
  </si>
  <si>
    <t>Conv_1976-12-27_R2-BOMBAY.MP3</t>
  </si>
  <si>
    <t>https://audio.iskcondesiretree.com/01_-_Srila_Prabhupada/01_-_Lectures/01_-_English/02_-_Month_wise/12_-_December/27/Conv_1976-12-27_R2-BOMBAY.MP3</t>
  </si>
  <si>
    <t>Conv_1976-12-27_R3-BOMBAY.MP3</t>
  </si>
  <si>
    <t>https://audio.iskcondesiretree.com/01_-_Srila_Prabhupada/01_-_Lectures/01_-_English/02_-_Month_wise/12_-_December/27/Conv_1976-12-27_R3-BOMBAY.MP3</t>
  </si>
  <si>
    <t>SP_SB_5-06-10_Bombay_1976-12-28_Real_Varnasrama.mp3</t>
  </si>
  <si>
    <t>https://audio.iskcondesiretree.com/01_-_Srila_Prabhupada/01_-_Lectures/01_-_English/01_-_Topic_wise/Srimad_Bhagavatam/Canto-05/SP_SB_5-06-10_Bombay_1976-12-28_Real_Varnasrama.mp3</t>
  </si>
  <si>
    <t>Conv_1976-12-28_R1-BOMBAY.MP3</t>
  </si>
  <si>
    <t>https://audio.iskcondesiretree.com/01_-_Srila_Prabhupada/01_-_Lectures/01_-_English/02_-_Month_wise/12_-_December/28/Conv_1976-12-28_R1-BOMBAY.MP3</t>
  </si>
  <si>
    <t>Conv_1976-12-28_R2-BOMBAY.MP3</t>
  </si>
  <si>
    <t>https://audio.iskcondesiretree.com/01_-_Srila_Prabhupada/01_-_Lectures/01_-_English/02_-_Month_wise/12_-_December/28/Conv_1976-12-28_R2-BOMBAY.MP3</t>
  </si>
  <si>
    <t>SB-05-06-10_1976-12-28_SB-BOMBAY.MP3</t>
  </si>
  <si>
    <t>https://audio.iskcondesiretree.com/01_-_Srila_Prabhupada/01_-_Lectures/01_-_English/02_-_Month_wise/12_-_December/28/SB-05-06-10_1976-12-28_SB-BOMBAY.MP3</t>
  </si>
  <si>
    <t>SB_5-06-10_BOM_1976-12-28_Real_Varnasrama.mp3</t>
  </si>
  <si>
    <t>https://audio.iskcondesiretree.com/01_-_Srila_Prabhupada/01_-_Lectures/01_-_English/02_-_Month_wise/12_-_December/28/SB_5-06-10_BOM_1976-12-28_Real_Varnasrama.mp3</t>
  </si>
  <si>
    <t>SP_SB_5-06-11_Bombay_1976-12-29_Soul-Killing_Civilization.mp3</t>
  </si>
  <si>
    <t>https://audio.iskcondesiretree.com/01_-_Srila_Prabhupada/01_-_Lectures/01_-_English/01_-_Topic_wise/Srimad_Bhagavatam/Canto-05/SP_SB_5-06-11_Bombay_1976-12-29_Soul-Killing_Civilization.mp3</t>
  </si>
  <si>
    <t>Conv_1976-12-29_R1-BOMBAY.MP3</t>
  </si>
  <si>
    <t>https://audio.iskcondesiretree.com/01_-_Srila_Prabhupada/01_-_Lectures/01_-_English/02_-_Month_wise/12_-_December/29/Conv_1976-12-29_R1-BOMBAY.MP3</t>
  </si>
  <si>
    <t>SB-05-06-11_1976-12-29_SB-BOMBAY.MP3</t>
  </si>
  <si>
    <t>https://audio.iskcondesiretree.com/01_-_Srila_Prabhupada/01_-_Lectures/01_-_English/02_-_Month_wise/12_-_December/29/SB-05-06-11_1976-12-29_SB-BOMBAY.MP3</t>
  </si>
  <si>
    <t>SB_5-06-11_BOM_1976-12-29_Soul-Killing_Civilization.mp3</t>
  </si>
  <si>
    <t>https://audio.iskcondesiretree.com/01_-_Srila_Prabhupada/01_-_Lectures/01_-_English/02_-_Month_wise/12_-_December/29/SB_5-06-11_BOM_1976-12-29_Soul-Killing_Civilization.mp3</t>
  </si>
  <si>
    <t>Walk_1976-12-29_MW-BOMBAY.MP3</t>
  </si>
  <si>
    <t>https://audio.iskcondesiretree.com/01_-_Srila_Prabhupada/01_-_Lectures/01_-_English/02_-_Month_wise/12_-_December/29/Walk_1976-12-29_MW-BOMBAY.MP3</t>
  </si>
  <si>
    <t>Conv_1976-12-30_R1-BOMBAY.MP3</t>
  </si>
  <si>
    <t>https://audio.iskcondesiretree.com/01_-_Srila_Prabhupada/01_-_Lectures/01_-_English/02_-_Month_wise/12_-_December/30/Conv_1976-12-30_R1-BOMBAY.MP3</t>
  </si>
  <si>
    <t>Conv_1976-12-31_R1-BOMBAY.MP3</t>
  </si>
  <si>
    <t>https://audio.iskcondesiretree.com/01_-_Srila_Prabhupada/01_-_Lectures/01_-_English/02_-_Month_wise/12_-_December/31/Conv_1976-12-31_R1-BOMBAY.MP3</t>
  </si>
  <si>
    <t>Conv_1976-12-31_R2-BOMBAY.MP3</t>
  </si>
  <si>
    <t>https://audio.iskcondesiretree.com/01_-_Srila_Prabhupada/01_-_Lectures/01_-_English/02_-_Month_wise/12_-_December/31/Conv_1976-12-31_R2-BOMBAY.MP3</t>
  </si>
  <si>
    <t>Interview_1976-12-31_IV-BOMBAY.MP3</t>
  </si>
  <si>
    <t>https://audio.iskcondesiretree.com/01_-_Srila_Prabhupada/01_-_Lectures/01_-_English/02_-_Month_wise/12_-_December/31/Interview_1976-12-31_IV-BOMBAY.MP3</t>
  </si>
  <si>
    <t>SP_Room_Conversation_Bombay_1977-01-02_You_Have_Performed_the_Greatest_Miracle.mp3</t>
  </si>
  <si>
    <t>https://audio.iskcondesiretree.com/01_-_Srila_Prabhupada/01_-_Lectures/01_-_English/01_-_Topic_wise/Room_Conversation/SP_Room_Conversation_Bombay_1977-01-02_You_Have_Performed_the_Greatest_Miracle.mp3</t>
  </si>
  <si>
    <t>Conv_1977-01-02_R1-BOMBAY.MP3</t>
  </si>
  <si>
    <t>https://audio.iskcondesiretree.com/01_-_Srila_Prabhupada/01_-_Lectures/01_-_English/02_-_Month_wise/01_-_January/02/Conv_1977-01-02_R1-BOMBAY.MP3</t>
  </si>
  <si>
    <t>Conv_1977-01-02_R2-BOMBAY.MP3</t>
  </si>
  <si>
    <t>https://audio.iskcondesiretree.com/01_-_Srila_Prabhupada/01_-_Lectures/01_-_English/02_-_Month_wise/01_-_January/02/Conv_1977-01-02_R2-BOMBAY.MP3</t>
  </si>
  <si>
    <t>Conv_1977-01-02_R3-BOMBAY.MP3</t>
  </si>
  <si>
    <t>https://audio.iskcondesiretree.com/01_-_Srila_Prabhupada/01_-_Lectures/01_-_English/02_-_Month_wise/01_-_January/02/Conv_1977-01-02_R3-BOMBAY.MP3</t>
  </si>
  <si>
    <t>RC_BOM_1977-01-02_You_Have_Performed_the_Greatest_Miracle.mp3</t>
  </si>
  <si>
    <t>https://audio.iskcondesiretree.com/01_-_Srila_Prabhupada/01_-_Lectures/01_-_English/02_-_Month_wise/01_-_January/02/RC_BOM_1977-01-02_You_Have_Performed_the_Greatest_Miracle.mp3</t>
  </si>
  <si>
    <t>Walk_1977-01-02_MW-BOMBAY.MP3</t>
  </si>
  <si>
    <t>https://audio.iskcondesiretree.com/01_-_Srila_Prabhupada/01_-_Lectures/01_-_English/02_-_Month_wise/01_-_January/02/Walk_1977-01-02_MW-BOMBAY.MP3</t>
  </si>
  <si>
    <t>Conv_1977-01-03_R1-BOMBAY.MP3</t>
  </si>
  <si>
    <t>https://audio.iskcondesiretree.com/01_-_Srila_Prabhupada/01_-_Lectures/01_-_English/02_-_Month_wise/01_-_January/03/Conv_1977-01-03_R1-BOMBAY.MP3</t>
  </si>
  <si>
    <t>Conv_1977-01-03_R2-BOMBAY.MP3</t>
  </si>
  <si>
    <t>https://audio.iskcondesiretree.com/01_-_Srila_Prabhupada/01_-_Lectures/01_-_English/02_-_Month_wise/01_-_January/03/Conv_1977-01-03_R2-BOMBAY.MP3</t>
  </si>
  <si>
    <t>SP_Morning_Walk_-_Bombay_1977-01-04_Can_You_Know_You_Are_Liberated.mp3</t>
  </si>
  <si>
    <t>https://audio.iskcondesiretree.com/01_-_Srila_Prabhupada/01_-_Lectures/01_-_English/01_-_Topic_wise/Morning_Walk/SP_Morning_Walk_-_Bombay_1977-01-04_Can_You_Know_You_Are_Liberated.mp3</t>
  </si>
  <si>
    <t>Conv_1977-01-04_R1-BOMBAY.MP3</t>
  </si>
  <si>
    <t>https://audio.iskcondesiretree.com/01_-_Srila_Prabhupada/01_-_Lectures/01_-_English/02_-_Month_wise/01_-_January/04/Conv_1977-01-04_R1-BOMBAY.MP3</t>
  </si>
  <si>
    <t>MW_BOM_1977-01-04_Can_You_Know_You_Are_Liberated.mp3</t>
  </si>
  <si>
    <t>https://audio.iskcondesiretree.com/01_-_Srila_Prabhupada/01_-_Lectures/01_-_English/02_-_Month_wise/01_-_January/04/MW_BOM_1977-01-04_Can_You_Know_You_Are_Liberated.mp3</t>
  </si>
  <si>
    <t>Walk_1977-01-04_MW-BOMBAY.MP3</t>
  </si>
  <si>
    <t>https://audio.iskcondesiretree.com/01_-_Srila_Prabhupada/01_-_Lectures/01_-_English/02_-_Month_wise/01_-_January/04/Walk_1977-01-04_MW-BOMBAY.MP3</t>
  </si>
  <si>
    <t>SP_Room_Conversation_Bombay_1977-01-05_Krishna_Gives_Sincere_Right_Guru.mp3</t>
  </si>
  <si>
    <t>https://audio.iskcondesiretree.com/01_-_Srila_Prabhupada/01_-_Lectures/01_-_English/01_-_Topic_wise/Room_Conversation/SP_Room_Conversation_Bombay_1977-01-05_Krishna_Gives_Sincere_Right_Guru.mp3</t>
  </si>
  <si>
    <t>Conv_1977-01-05_R1-BOMBAY.MP3</t>
  </si>
  <si>
    <t>https://audio.iskcondesiretree.com/01_-_Srila_Prabhupada/01_-_Lectures/01_-_English/02_-_Month_wise/01_-_January/05/Conv_1977-01-05_R1-BOMBAY.MP3</t>
  </si>
  <si>
    <t>Conv_1977-01-05_R2-BOMBAY.MP3</t>
  </si>
  <si>
    <t>https://audio.iskcondesiretree.com/01_-_Srila_Prabhupada/01_-_Lectures/01_-_English/02_-_Month_wise/01_-_January/05/Conv_1977-01-05_R2-BOMBAY.MP3</t>
  </si>
  <si>
    <t>Letter_To_Russian_1977-01-05_R3-BOMBAY.MP3</t>
  </si>
  <si>
    <t>https://audio.iskcondesiretree.com/01_-_Srila_Prabhupada/01_-_Lectures/01_-_English/02_-_Month_wise/01_-_January/05/Letter_To_Russian_1977-01-05_R3-BOMBAY.MP3</t>
  </si>
  <si>
    <t>RC_BOM_1977-01-05_Krishna_Gives_Sincere_Right_Guru.mp3</t>
  </si>
  <si>
    <t>https://audio.iskcondesiretree.com/01_-_Srila_Prabhupada/01_-_Lectures/01_-_English/02_-_Month_wise/01_-_January/05/RC_BOM_1977-01-05_Krishna_Gives_Sincere_Right_Guru.mp3</t>
  </si>
  <si>
    <t>Conv_1977-01-06_R1-BOMBAY.MP3</t>
  </si>
  <si>
    <t>https://audio.iskcondesiretree.com/01_-_Srila_Prabhupada/01_-_Lectures/01_-_English/02_-_Month_wise/01_-_January/06/Conv_1977-01-06_R1-BOMBAY.MP3</t>
  </si>
  <si>
    <t>Conv_1977-01-06_R2-BOMBAY.MP3</t>
  </si>
  <si>
    <t>https://audio.iskcondesiretree.com/01_-_Srila_Prabhupada/01_-_Lectures/01_-_English/02_-_Month_wise/01_-_January/06/Conv_1977-01-06_R2-BOMBAY.MP3</t>
  </si>
  <si>
    <t>Conv_1977-01-07_R1-BOMBAY.MP3</t>
  </si>
  <si>
    <t>https://audio.iskcondesiretree.com/01_-_Srila_Prabhupada/01_-_Lectures/01_-_English/02_-_Month_wise/01_-_January/07/Conv_1977-01-07_R1-BOMBAY.MP3</t>
  </si>
  <si>
    <t>Darshan_1977-01-07_ED-BOMBAY.MP3</t>
  </si>
  <si>
    <t>https://audio.iskcondesiretree.com/01_-_Srila_Prabhupada/01_-_Lectures/01_-_English/02_-_Month_wise/01_-_January/07/Darshan_1977-01-07_ED-BOMBAY.MP3</t>
  </si>
  <si>
    <t>SP_Morning_Walk_-_Bombay_1977-01-08_About_Kumbha_Mela--Know_and_Do_What--etc.mp3</t>
  </si>
  <si>
    <t>https://audio.iskcondesiretree.com/01_-_Srila_Prabhupada/01_-_Lectures/01_-_English/01_-_Topic_wise/Morning_Walk/SP_Morning_Walk_-_Bombay_1977-01-08_About_Kumbha_Mela--Know_and_Do_What--etc.mp3</t>
  </si>
  <si>
    <t>SP_Room_Conversation_Bombay_1977-01-08_Relief_from_the_Body.mp3</t>
  </si>
  <si>
    <t>https://audio.iskcondesiretree.com/01_-_Srila_Prabhupada/01_-_Lectures/01_-_English/01_-_Topic_wise/Room_Conversation/SP_Room_Conversation_Bombay_1977-01-08_Relief_from_the_Body.mp3</t>
  </si>
  <si>
    <t>Conv_1977-01-08_R1-BOMBAY.MP3</t>
  </si>
  <si>
    <t>https://audio.iskcondesiretree.com/01_-_Srila_Prabhupada/01_-_Lectures/01_-_English/02_-_Month_wise/01_-_January/08/Conv_1977-01-08_R1-BOMBAY.MP3</t>
  </si>
  <si>
    <t>Conv_1977-01-08_R2-BOMBAY.MP3</t>
  </si>
  <si>
    <t>https://audio.iskcondesiretree.com/01_-_Srila_Prabhupada/01_-_Lectures/01_-_English/02_-_Month_wise/01_-_January/08/Conv_1977-01-08_R2-BOMBAY.MP3</t>
  </si>
  <si>
    <t>Conv_1977-01-08_R3-BOMBAY.MP3</t>
  </si>
  <si>
    <t>https://audio.iskcondesiretree.com/01_-_Srila_Prabhupada/01_-_Lectures/01_-_English/02_-_Month_wise/01_-_January/08/Conv_1977-01-08_R3-BOMBAY.MP3</t>
  </si>
  <si>
    <t>Conv_1977-01-08_R4-BOMBAY.MP3</t>
  </si>
  <si>
    <t>https://audio.iskcondesiretree.com/01_-_Srila_Prabhupada/01_-_Lectures/01_-_English/02_-_Month_wise/01_-_January/08/Conv_1977-01-08_R4-BOMBAY.MP3</t>
  </si>
  <si>
    <t>Conv_1977-01-08_R5-BOMBAY.MP3</t>
  </si>
  <si>
    <t>https://audio.iskcondesiretree.com/01_-_Srila_Prabhupada/01_-_Lectures/01_-_English/02_-_Month_wise/01_-_January/08/Conv_1977-01-08_R5-BOMBAY.MP3</t>
  </si>
  <si>
    <t>Conv_1977-01-08_R6-BOMBAY.MP3</t>
  </si>
  <si>
    <t>https://audio.iskcondesiretree.com/01_-_Srila_Prabhupada/01_-_Lectures/01_-_English/02_-_Month_wise/01_-_January/08/Conv_1977-01-08_R6-BOMBAY.MP3</t>
  </si>
  <si>
    <t>Conv_1977-01-08_R7-BOMBAY.MP3</t>
  </si>
  <si>
    <t>https://audio.iskcondesiretree.com/01_-_Srila_Prabhupada/01_-_Lectures/01_-_English/02_-_Month_wise/01_-_January/08/Conv_1977-01-08_R7-BOMBAY.MP3</t>
  </si>
  <si>
    <t>MW_BOM_1977-01-08_About_Kumbha_Mela--Know_and_Do_What_etc.mp3</t>
  </si>
  <si>
    <t>https://audio.iskcondesiretree.com/01_-_Srila_Prabhupada/01_-_Lectures/01_-_English/02_-_Month_wise/01_-_January/08/MW_BOM_1977-01-08_About_Kumbha_Mela--Know_and_Do_What_etc.mp3</t>
  </si>
  <si>
    <t>RC_BOM_1977-01-08_Relief_from_the_Body.mp3</t>
  </si>
  <si>
    <t>https://audio.iskcondesiretree.com/01_-_Srila_Prabhupada/01_-_Lectures/01_-_English/02_-_Month_wise/01_-_January/08/RC_BOM_1977-01-08_Relief_from_the_Body.mp3</t>
  </si>
  <si>
    <t>Walk_1977-01-08_MW-BOMBAY.MP3</t>
  </si>
  <si>
    <t>https://audio.iskcondesiretree.com/01_-_Srila_Prabhupada/01_-_Lectures/01_-_English/02_-_Month_wise/01_-_January/08/Walk_1977-01-08_MW-BOMBAY.MP3</t>
  </si>
  <si>
    <t>SP_Room_Conversation_Bombay_1977-01-09_Everyone_is_Trying_to_Become_Krishna.mp3</t>
  </si>
  <si>
    <t>https://audio.iskcondesiretree.com/01_-_Srila_Prabhupada/01_-_Lectures/01_-_English/01_-_Topic_wise/Room_Conversation/SP_Room_Conversation_Bombay_1977-01-09_Everyone_is_Trying_to_Become_Krishna.mp3</t>
  </si>
  <si>
    <t>SP_Room_Conversation_Bombay_1977-01-09_Yogi--Accept_No_Fakirs_No_Substitutes.mp3</t>
  </si>
  <si>
    <t>https://audio.iskcondesiretree.com/01_-_Srila_Prabhupada/01_-_Lectures/01_-_English/01_-_Topic_wise/Room_Conversation/SP_Room_Conversation_Bombay_1977-01-09_Yogi--Accept_No_Fakirs_No_Substitutes.mp3</t>
  </si>
  <si>
    <t>Conv_1977-01-09_R1-BOMBAY.MP3</t>
  </si>
  <si>
    <t>https://audio.iskcondesiretree.com/01_-_Srila_Prabhupada/01_-_Lectures/01_-_English/02_-_Month_wise/01_-_January/09/Conv_1977-01-09_R1-BOMBAY.MP3</t>
  </si>
  <si>
    <t>Conv_1977-01-09_R2-BOMBAY.MP3</t>
  </si>
  <si>
    <t>https://audio.iskcondesiretree.com/01_-_Srila_Prabhupada/01_-_Lectures/01_-_English/02_-_Month_wise/01_-_January/09/Conv_1977-01-09_R2-BOMBAY.MP3</t>
  </si>
  <si>
    <t>Conv_1977-01-09_R3-BOMBAY.MP3</t>
  </si>
  <si>
    <t>https://audio.iskcondesiretree.com/01_-_Srila_Prabhupada/01_-_Lectures/01_-_English/02_-_Month_wise/01_-_January/09/Conv_1977-01-09_R3-BOMBAY.MP3</t>
  </si>
  <si>
    <t>RC_BOM_1977-01-09_Everyone_is_Trying_to_Become_Krishna.mp3</t>
  </si>
  <si>
    <t>https://audio.iskcondesiretree.com/01_-_Srila_Prabhupada/01_-_Lectures/01_-_English/02_-_Month_wise/01_-_January/09/RC_BOM_1977-01-09_Everyone_is_Trying_to_Become_Krishna.mp3</t>
  </si>
  <si>
    <t>RC_BOM_1977-01-09_Yogi-Accept_No_Fakirs%2C_No_Substitutes.mp3</t>
  </si>
  <si>
    <t>https://audio.iskcondesiretree.com/01_-_Srila_Prabhupada/01_-_Lectures/01_-_English/02_-_Month_wise/01_-_January/09/RC_BOM_1977-01-09_Yogi-Accept_No_Fakirs%2C_No_Substitutes.mp3</t>
  </si>
  <si>
    <t>Walk_1977-01-09_MW-BOMBAY.MP3</t>
  </si>
  <si>
    <t>https://audio.iskcondesiretree.com/01_-_Srila_Prabhupada/01_-_Lectures/01_-_English/02_-_Month_wise/01_-_January/09/Walk_1977-01-09_MW-BOMBAY.MP3</t>
  </si>
  <si>
    <t>Conv_1977-01-10_R1-BOMBAY.MP3</t>
  </si>
  <si>
    <t>https://audio.iskcondesiretree.com/01_-_Srila_Prabhupada/01_-_Lectures/01_-_English/02_-_Month_wise/01_-_January/10/Conv_1977-01-10_R1-BOMBAY.MP3</t>
  </si>
  <si>
    <t>Conv_1977-01-11_TT-INDIA.MP3</t>
  </si>
  <si>
    <t>https://audio.iskcondesiretree.com/01_-_Srila_Prabhupada/01_-_Lectures/01_-_English/02_-_Month_wise/01_-_January/11/Conv_1977-01-11_TT-INDIA.MP3</t>
  </si>
  <si>
    <t>Conv_1977-01-13_R1-ALLAHABAD.MP3</t>
  </si>
  <si>
    <t>https://audio.iskcondesiretree.com/01_-_Srila_Prabhupada/01_-_Lectures/01_-_English/02_-_Month_wise/01_-_January/13/Conv_1977-01-13_R1-ALLAHABAD.MP3</t>
  </si>
  <si>
    <t>Lecture_1977-01-13_LE-ALLAHABAD.MP3</t>
  </si>
  <si>
    <t>https://audio.iskcondesiretree.com/01_-_Srila_Prabhupada/01_-_Lectures/01_-_English/02_-_Month_wise/01_-_January/13/Lecture_1977-01-13_LE-ALLAHABAD.MP3</t>
  </si>
  <si>
    <t>SP_Lecture_Allahabad_1977-01-15_At_Kumba_Mela--Avoid_Atheistic_Mahatmas.mp3</t>
  </si>
  <si>
    <t>https://audio.iskcondesiretree.com/01_-_Srila_Prabhupada/01_-_Lectures/01_-_English/01_-_Topic_wise/Various/SP_Lecture_Allahabad_1977-01-15_At_Kumba_Mela--Avoid_Atheistic_Mahatmas.mp3</t>
  </si>
  <si>
    <t>Conv_1977-01-15_R1-ALLAHABAD.MP3</t>
  </si>
  <si>
    <t>https://audio.iskcondesiretree.com/01_-_Srila_Prabhupada/01_-_Lectures/01_-_English/02_-_Month_wise/01_-_January/15/Conv_1977-01-15_R1-ALLAHABAD.MP3</t>
  </si>
  <si>
    <t>Lect_ALL_1977-01-15_At_Kumba_Mela--Avoid_Atheistic_Mahatmas.mp3</t>
  </si>
  <si>
    <t>https://audio.iskcondesiretree.com/01_-_Srila_Prabhupada/01_-_Lectures/01_-_English/02_-_Month_wise/01_-_January/15/Lect_ALL_1977-01-15_At_Kumba_Mela--Avoid_Atheistic_Mahatmas.mp3</t>
  </si>
  <si>
    <t>Lecture_1977-01-15_LE-ALLAHABAD.MP3</t>
  </si>
  <si>
    <t>https://audio.iskcondesiretree.com/01_-_Srila_Prabhupada/01_-_Lectures/01_-_English/02_-_Month_wise/01_-_January/15/Lecture_1977-01-15_LE-ALLAHABAD.MP3</t>
  </si>
  <si>
    <t>Conv_1977-01-16_R1-CALCUTTA.MP3</t>
  </si>
  <si>
    <t>https://audio.iskcondesiretree.com/01_-_Srila_Prabhupada/01_-_Lectures/01_-_English/02_-_Month_wise/01_-_January/16/Conv_1977-01-16_R1-CALCUTTA.MP3</t>
  </si>
  <si>
    <t>Conv_1977-01-16_R2-CALCUTTA.MP3</t>
  </si>
  <si>
    <t>https://audio.iskcondesiretree.com/01_-_Srila_Prabhupada/01_-_Lectures/01_-_English/02_-_Month_wise/01_-_January/16/Conv_1977-01-16_R2-CALCUTTA.MP3</t>
  </si>
  <si>
    <t>Conv_1977-01-16_R3-CALCUTTA.MP3</t>
  </si>
  <si>
    <t>https://audio.iskcondesiretree.com/01_-_Srila_Prabhupada/01_-_Lectures/01_-_English/02_-_Month_wise/01_-_January/16/Conv_1977-01-16_R3-CALCUTTA.MP3</t>
  </si>
  <si>
    <t>Arrival_1977-01-19_AR-BHUBANESWAR.MP3</t>
  </si>
  <si>
    <t>https://audio.iskcondesiretree.com/01_-_Srila_Prabhupada/01_-_Lectures/01_-_English/02_-_Month_wise/01_-_January/19/Arrival_1977-01-19_AR-BHUBANESWAR.MP3</t>
  </si>
  <si>
    <t>Conv_1977-01-19_R1-BHUBANESWAR.MP3</t>
  </si>
  <si>
    <t>https://audio.iskcondesiretree.com/01_-_Srila_Prabhupada/01_-_Lectures/01_-_English/02_-_Month_wise/01_-_January/19/Conv_1977-01-19_R1-BHUBANESWAR.MP3</t>
  </si>
  <si>
    <t>Conv_1977-01-19_R2-BHUBANESWAR.MP3</t>
  </si>
  <si>
    <t>https://audio.iskcondesiretree.com/01_-_Srila_Prabhupada/01_-_Lectures/01_-_English/02_-_Month_wise/01_-_January/19/Conv_1977-01-19_R2-BHUBANESWAR.MP3</t>
  </si>
  <si>
    <t>Lecture_1977-01-19_LE-BHUBANESWAR.MP3</t>
  </si>
  <si>
    <t>https://audio.iskcondesiretree.com/01_-_Srila_Prabhupada/01_-_Lectures/01_-_English/02_-_Month_wise/01_-_January/19/Lecture_1977-01-19_LE-BHUBANESWAR.MP3</t>
  </si>
  <si>
    <t>Conv_1977-01-20_R1-BHUBANESWAR.MP3</t>
  </si>
  <si>
    <t>https://audio.iskcondesiretree.com/01_-_Srila_Prabhupada/01_-_Lectures/01_-_English/02_-_Month_wise/01_-_January/20/Conv_1977-01-20_R1-BHUBANESWAR.MP3</t>
  </si>
  <si>
    <t>Conv_1977-01-20_R2-BHUBANESWAR.MP3</t>
  </si>
  <si>
    <t>https://audio.iskcondesiretree.com/01_-_Srila_Prabhupada/01_-_Lectures/01_-_English/02_-_Month_wise/01_-_January/20/Conv_1977-01-20_R2-BHUBANESWAR.MP3</t>
  </si>
  <si>
    <t>Walk_1977-01-20_MW-BHUBANESWAR.MP3</t>
  </si>
  <si>
    <t>https://audio.iskcondesiretree.com/01_-_Srila_Prabhupada/01_-_Lectures/01_-_English/02_-_Month_wise/01_-_January/20/Walk_1977-01-20_MW-BHUBANESWAR.MP3</t>
  </si>
  <si>
    <t>Conv_1977-01-21_R1-BHUBANESWAR.MP3</t>
  </si>
  <si>
    <t>https://audio.iskcondesiretree.com/01_-_Srila_Prabhupada/01_-_Lectures/01_-_English/02_-_Month_wise/01_-_January/21/Conv_1977-01-21_R1-BHUBANESWAR.MP3</t>
  </si>
  <si>
    <t>Conv_1977-01-21_R2-BHUBANESWAR.MP3</t>
  </si>
  <si>
    <t>https://audio.iskcondesiretree.com/01_-_Srila_Prabhupada/01_-_Lectures/01_-_English/02_-_Month_wise/01_-_January/21/Conv_1977-01-21_R2-BHUBANESWAR.MP3</t>
  </si>
  <si>
    <t>Conv_1977-01-21_R3-BHUBANESWAR.MP3</t>
  </si>
  <si>
    <t>https://audio.iskcondesiretree.com/01_-_Srila_Prabhupada/01_-_Lectures/01_-_English/02_-_Month_wise/01_-_January/21/Conv_1977-01-21_R3-BHUBANESWAR.MP3</t>
  </si>
  <si>
    <t>Conv_1977-01-21_R4-BHUBANESWAR.MP3</t>
  </si>
  <si>
    <t>https://audio.iskcondesiretree.com/01_-_Srila_Prabhupada/01_-_Lectures/01_-_English/02_-_Month_wise/01_-_January/21/Conv_1977-01-21_R4-BHUBANESWAR.MP3</t>
  </si>
  <si>
    <t>Conv_1977-01-21_R5-BHUBANESWAR.MP3</t>
  </si>
  <si>
    <t>https://audio.iskcondesiretree.com/01_-_Srila_Prabhupada/01_-_Lectures/01_-_English/02_-_Month_wise/01_-_January/21/Conv_1977-01-21_R5-BHUBANESWAR.MP3</t>
  </si>
  <si>
    <t>Conv_1977-01-21_R6-BHUBANESWAR.MP3</t>
  </si>
  <si>
    <t>https://audio.iskcondesiretree.com/01_-_Srila_Prabhupada/01_-_Lectures/01_-_English/02_-_Month_wise/01_-_January/21/Conv_1977-01-21_R6-BHUBANESWAR.MP3</t>
  </si>
  <si>
    <t>Lecture_1977-01-21_LE-BHUBANESWAR.MP3</t>
  </si>
  <si>
    <t>https://audio.iskcondesiretree.com/01_-_Srila_Prabhupada/01_-_Lectures/01_-_English/02_-_Month_wise/01_-_January/21/Lecture_1977-01-21_LE-BHUBANESWAR.MP3</t>
  </si>
  <si>
    <t>Walk_1977-01-21MW-BHUBANESWAR.MP3</t>
  </si>
  <si>
    <t>https://audio.iskcondesiretree.com/01_-_Srila_Prabhupada/01_-_Lectures/01_-_English/02_-_Month_wise/01_-_January/21/Walk_1977-01-21MW-BHUBANESWAR.MP3</t>
  </si>
  <si>
    <t>Bg-07-01_1977-01-22_BG-BHUBANESWAR.MP3</t>
  </si>
  <si>
    <t>https://audio.iskcondesiretree.com/01_-_Srila_Prabhupada/01_-_Lectures/01_-_English/02_-_Month_wise/01_-_January/22/Bg-07-01_1977-01-22_BG-BHUBANESWAR.MP3</t>
  </si>
  <si>
    <t>Conv_1977-01-22_R1-BHUBANESWAR.MP3</t>
  </si>
  <si>
    <t>https://audio.iskcondesiretree.com/01_-_Srila_Prabhupada/01_-_Lectures/01_-_English/02_-_Month_wise/01_-_January/22/Conv_1977-01-22_R1-BHUBANESWAR.MP3</t>
  </si>
  <si>
    <t>Conv_1977-01-22_R2-BHUBANESWAR.MP3</t>
  </si>
  <si>
    <t>https://audio.iskcondesiretree.com/01_-_Srila_Prabhupada/01_-_Lectures/01_-_English/02_-_Month_wise/01_-_January/22/Conv_1977-01-22_R2-BHUBANESWAR.MP3</t>
  </si>
  <si>
    <t>Conv_1977-01-22_R3-BHUBANESWAR.MP3</t>
  </si>
  <si>
    <t>https://audio.iskcondesiretree.com/01_-_Srila_Prabhupada/01_-_Lectures/01_-_English/02_-_Month_wise/01_-_January/22/Conv_1977-01-22_R3-BHUBANESWAR.MP3</t>
  </si>
  <si>
    <t>SP_Lecture_Bhuvanesvara_1977-01-23_You_Can_Become_Greatest_Devotee.mp3</t>
  </si>
  <si>
    <t>https://audio.iskcondesiretree.com/01_-_Srila_Prabhupada/01_-_Lectures/01_-_English/01_-_Topic_wise/Various/SP_Lecture_Bhuvanesvara_1977-01-23_You_Can_Become_Greatest_Devotee.mp3</t>
  </si>
  <si>
    <t>Conv_1977-01-23_R1-BHUBANESWAR.MP3</t>
  </si>
  <si>
    <t>https://audio.iskcondesiretree.com/01_-_Srila_Prabhupada/01_-_Lectures/01_-_English/02_-_Month_wise/01_-_January/23/Conv_1977-01-23_R1-BHUBANESWAR.MP3</t>
  </si>
  <si>
    <t>Conv_1977-01-23_R2-BHUBANESWAR.MP3</t>
  </si>
  <si>
    <t>https://audio.iskcondesiretree.com/01_-_Srila_Prabhupada/01_-_Lectures/01_-_English/02_-_Month_wise/01_-_January/23/Conv_1977-01-23_R2-BHUBANESWAR.MP3</t>
  </si>
  <si>
    <t>Darshan_1977-01-23_ED-BHUBANESWAR.MP3</t>
  </si>
  <si>
    <t>https://audio.iskcondesiretree.com/01_-_Srila_Prabhupada/01_-_Lectures/01_-_English/02_-_Month_wise/01_-_January/23/Darshan_1977-01-23_ED-BHUBANESWAR.MP3</t>
  </si>
  <si>
    <t>Lect_BHU_1977-01-23_You_Can_Become_Greatest_Devotee.mp3</t>
  </si>
  <si>
    <t>https://audio.iskcondesiretree.com/01_-_Srila_Prabhupada/01_-_Lectures/01_-_English/02_-_Month_wise/01_-_January/23/Lect_BHU_1977-01-23_You_Can_Become_Greatest_Devotee.mp3</t>
  </si>
  <si>
    <t>Lecture_1977-01-23_LE-BHUBANESWAR.MP3</t>
  </si>
  <si>
    <t>https://audio.iskcondesiretree.com/01_-_Srila_Prabhupada/01_-_Lectures/01_-_English/02_-_Month_wise/01_-_January/23/Lecture_1977-01-23_LE-BHUBANESWAR.MP3</t>
  </si>
  <si>
    <t>SP_Lecture_Bhuvanesvara_1977-01-24_Unfortunates_Not_Attracted_to_the--etc.mp3</t>
  </si>
  <si>
    <t>https://audio.iskcondesiretree.com/01_-_Srila_Prabhupada/01_-_Lectures/01_-_English/01_-_Topic_wise/Various/SP_Lecture_Bhuvanesvara_1977-01-24_Unfortunates_Not_Attracted_to_the--etc.mp3</t>
  </si>
  <si>
    <t>CcMadhya-08-128_1977-01-24_CC-BHUBANESWAR.MP3</t>
  </si>
  <si>
    <t>https://audio.iskcondesiretree.com/01_-_Srila_Prabhupada/01_-_Lectures/01_-_English/02_-_Month_wise/01_-_January/24/CcMadhya-08-128_1977-01-24_CC-BHUBANESWAR.MP3</t>
  </si>
  <si>
    <t>Conv_1977-01-24_R1-BHUBANESWAR.MP3</t>
  </si>
  <si>
    <t>https://audio.iskcondesiretree.com/01_-_Srila_Prabhupada/01_-_Lectures/01_-_English/02_-_Month_wise/01_-_January/24/Conv_1977-01-24_R1-BHUBANESWAR.MP3</t>
  </si>
  <si>
    <t>Conv_1977-01-24_R2-BHUBANESWAR.MP3</t>
  </si>
  <si>
    <t>https://audio.iskcondesiretree.com/01_-_Srila_Prabhupada/01_-_Lectures/01_-_English/02_-_Month_wise/01_-_January/24/Conv_1977-01-24_R2-BHUBANESWAR.MP3</t>
  </si>
  <si>
    <t>Lect_BHU_1977-01-24_Unfortunates_Not_Attracted_to_the_etc.mp3</t>
  </si>
  <si>
    <t>https://audio.iskcondesiretree.com/01_-_Srila_Prabhupada/01_-_Lectures/01_-_English/02_-_Month_wise/01_-_January/24/Lect_BHU_1977-01-24_Unfortunates_Not_Attracted_to_the_etc.mp3</t>
  </si>
  <si>
    <t>Walk_1977-01-24_MW-BHUBANESWAR.MP3</t>
  </si>
  <si>
    <t>https://audio.iskcondesiretree.com/01_-_Srila_Prabhupada/01_-_Lectures/01_-_English/02_-_Month_wise/01_-_January/24/Walk_1977-01-24_MW-BHUBANESWAR.MP3</t>
  </si>
  <si>
    <t>SP_Room_Conversation_Bhuvanesvara_1977-01-25_Sex_and_Salt_Mayapur_Be_Bad_for_You_Not_Krishna.mp3</t>
  </si>
  <si>
    <t>https://audio.iskcondesiretree.com/01_-_Srila_Prabhupada/01_-_Lectures/01_-_English/01_-_Topic_wise/Room_Conversation/SP_Room_Conversation_Bhuvanesvara_1977-01-25_Sex_and_Salt_Mayapur_Be_Bad_for_You_Not_Krishna.mp3</t>
  </si>
  <si>
    <t>Conv_1977-01-25_R1-PURI.MP3</t>
  </si>
  <si>
    <t>https://audio.iskcondesiretree.com/01_-_Srila_Prabhupada/01_-_Lectures/01_-_English/02_-_Month_wise/01_-_January/25/Conv_1977-01-25_R1-PURI.MP3</t>
  </si>
  <si>
    <t>Conv_1977-01-25_R2-PURI.MP3</t>
  </si>
  <si>
    <t>https://audio.iskcondesiretree.com/01_-_Srila_Prabhupada/01_-_Lectures/01_-_English/02_-_Month_wise/01_-_January/25/Conv_1977-01-25_R2-PURI.MP3</t>
  </si>
  <si>
    <t>RC_BHU_1977-01-25_Sex_and_Salt_May_Be_Bad_for_You-_Not_Krishna.mp3</t>
  </si>
  <si>
    <t>https://audio.iskcondesiretree.com/01_-_Srila_Prabhupada/01_-_Lectures/01_-_English/02_-_Month_wise/01_-_January/25/RC_BHU_1977-01-25_Sex_and_Salt_May_Be_Bad_for_You-_Not_Krishna.mp3</t>
  </si>
  <si>
    <t>Walk_1977-01-25_MW-PURI.MP3</t>
  </si>
  <si>
    <t>https://audio.iskcondesiretree.com/01_-_Srila_Prabhupada/01_-_Lectures/01_-_English/02_-_Month_wise/01_-_January/25/Walk_1977-01-25_MW-PURI.MP3</t>
  </si>
  <si>
    <t>Address_1977-01-26_AD-PURI.MP3</t>
  </si>
  <si>
    <t>https://audio.iskcondesiretree.com/01_-_Srila_Prabhupada/01_-_Lectures/01_-_English/02_-_Month_wise/01_-_January/26/Address_1977-01-26_AD-PURI.MP3</t>
  </si>
  <si>
    <t>ChantsByBrahmanas_1977-01-26_R2-PURI.MP3</t>
  </si>
  <si>
    <t>https://audio.iskcondesiretree.com/01_-_Srila_Prabhupada/01_-_Lectures/01_-_English/02_-_Month_wise/01_-_January/26/ChantsByBrahmanas_1977-01-26_R2-PURI.MP3</t>
  </si>
  <si>
    <t>Conv_1977-01-26_R1-PURI.MP3</t>
  </si>
  <si>
    <t>https://audio.iskcondesiretree.com/01_-_Srila_Prabhupada/01_-_Lectures/01_-_English/02_-_Month_wise/01_-_January/26/Conv_1977-01-26_R1-PURI.MP3</t>
  </si>
  <si>
    <t>Conv_1977-01-27_R1-BHUBANESWAR.MP3</t>
  </si>
  <si>
    <t>https://audio.iskcondesiretree.com/01_-_Srila_Prabhupada/01_-_Lectures/01_-_English/02_-_Month_wise/01_-_January/27/Conv_1977-01-27_R1-BHUBANESWAR.MP3</t>
  </si>
  <si>
    <t>Conv_1977-01-27_R1-PURI.MP3</t>
  </si>
  <si>
    <t>https://audio.iskcondesiretree.com/01_-_Srila_Prabhupada/01_-_Lectures/01_-_English/02_-_Month_wise/01_-_January/27/Conv_1977-01-27_R1-PURI.MP3</t>
  </si>
  <si>
    <t>Conv_1977-01-27_R2-BHUBANESWAR.MP3</t>
  </si>
  <si>
    <t>https://audio.iskcondesiretree.com/01_-_Srila_Prabhupada/01_-_Lectures/01_-_English/02_-_Month_wise/01_-_January/27/Conv_1977-01-27_R2-BHUBANESWAR.MP3</t>
  </si>
  <si>
    <t>Conv_1977-01-27_R2-PURI.MP3</t>
  </si>
  <si>
    <t>https://audio.iskcondesiretree.com/01_-_Srila_Prabhupada/01_-_Lectures/01_-_English/02_-_Month_wise/01_-_January/27/Conv_1977-01-27_R2-PURI.MP3</t>
  </si>
  <si>
    <t>Conv_1977-01-28_R1-BHUBANESWAR.MP3</t>
  </si>
  <si>
    <t>https://audio.iskcondesiretree.com/01_-_Srila_Prabhupada/01_-_Lectures/01_-_English/02_-_Month_wise/01_-_January/28/Conv_1977-01-28_R1-BHUBANESWAR.MP3</t>
  </si>
  <si>
    <t>Conv_1977-01-28_R2-BHUBANESWAR.MP3</t>
  </si>
  <si>
    <t>https://audio.iskcondesiretree.com/01_-_Srila_Prabhupada/01_-_Lectures/01_-_English/02_-_Month_wise/01_-_January/28/Conv_1977-01-28_R2-BHUBANESWAR.MP3</t>
  </si>
  <si>
    <t>Walk_1977-01-28_MW-BHUBANESWAR.MP3</t>
  </si>
  <si>
    <t>https://audio.iskcondesiretree.com/01_-_Srila_Prabhupada/01_-_Lectures/01_-_English/02_-_Month_wise/01_-_January/28/Walk_1977-01-28_MW-BHUBANESWAR.MP3</t>
  </si>
  <si>
    <t>Bg-07-01_1977-01-29_BG-BHUBANESWAR.MP3</t>
  </si>
  <si>
    <t>https://audio.iskcondesiretree.com/01_-_Srila_Prabhupada/01_-_Lectures/01_-_English/02_-_Month_wise/01_-_January/29/Bg-07-01_1977-01-29_BG-BHUBANESWAR.MP3</t>
  </si>
  <si>
    <t>Conv_1977-01-29_R1-BHUBANESWAR.MP3</t>
  </si>
  <si>
    <t>https://audio.iskcondesiretree.com/01_-_Srila_Prabhupada/01_-_Lectures/01_-_English/02_-_Month_wise/01_-_January/29/Conv_1977-01-29_R1-BHUBANESWAR.MP3</t>
  </si>
  <si>
    <t>Conv_1977-01-29_R2-BHUBANESWAR.MP3</t>
  </si>
  <si>
    <t>https://audio.iskcondesiretree.com/01_-_Srila_Prabhupada/01_-_Lectures/01_-_English/02_-_Month_wise/01_-_January/29/Conv_1977-01-29_R2-BHUBANESWAR.MP3</t>
  </si>
  <si>
    <t>Walk_1977-01-29_MW-BHUBANESWAR.MP3</t>
  </si>
  <si>
    <t>https://audio.iskcondesiretree.com/01_-_Srila_Prabhupada/01_-_Lectures/01_-_English/02_-_Month_wise/01_-_January/29/Walk_1977-01-29_MW-BHUBANESWAR.MP3</t>
  </si>
  <si>
    <t>SP_Morning_Walk_-_Bhuvanesvara_1977-01-30_Meaninglessness_Has_Hidden_Meaning.mp3</t>
  </si>
  <si>
    <t>https://audio.iskcondesiretree.com/01_-_Srila_Prabhupada/01_-_Lectures/01_-_English/01_-_Topic_wise/Morning_Walk/SP_Morning_Walk_-_Bhuvanesvara_1977-01-30_Meaninglessness_Has_Hidden_Meaning.mp3</t>
  </si>
  <si>
    <t>Conv_1977-01-30_R1-BHUBANESWAR.MP3</t>
  </si>
  <si>
    <t>https://audio.iskcondesiretree.com/01_-_Srila_Prabhupada/01_-_Lectures/01_-_English/02_-_Month_wise/01_-_January/30/Conv_1977-01-30_R1-BHUBANESWAR.MP3</t>
  </si>
  <si>
    <t>Conv_1977-01-30_R2-BHUBANESWAR.MP3</t>
  </si>
  <si>
    <t>https://audio.iskcondesiretree.com/01_-_Srila_Prabhupada/01_-_Lectures/01_-_English/02_-_Month_wise/01_-_January/30/Conv_1977-01-30_R2-BHUBANESWAR.MP3</t>
  </si>
  <si>
    <t>MW_BHU_1977-01-30_Meaninglessness_Has_Hidden_Meaning.mp3</t>
  </si>
  <si>
    <t>https://audio.iskcondesiretree.com/01_-_Srila_Prabhupada/01_-_Lectures/01_-_English/02_-_Month_wise/01_-_January/30/MW_BHU_1977-01-30_Meaninglessness_Has_Hidden_Meaning.mp3</t>
  </si>
  <si>
    <t>Walk_1977-01-30_MW-BHUBANESWAR.MP3</t>
  </si>
  <si>
    <t>https://audio.iskcondesiretree.com/01_-_Srila_Prabhupada/01_-_Lectures/01_-_English/02_-_Month_wise/01_-_January/30/Walk_1977-01-30_MW-BHUBANESWAR.MP3</t>
  </si>
  <si>
    <t>SP_Festivals_Bhuvanesvara_1977-01-31_On_the_Advent_of_Lord_Varaha.mp3</t>
  </si>
  <si>
    <t>https://audio.iskcondesiretree.com/01_-_Srila_Prabhupada/01_-_Lectures/01_-_English/01_-_Topic_wise/Festivals/SP_Festivals_Bhuvanesvara_1977-01-31_On_the_Advent_of_Lord_Varaha.mp3</t>
  </si>
  <si>
    <t>SP_Room_Conversation_Bhuvanesvara_1977-01-31_The_Great_Soul.mp3</t>
  </si>
  <si>
    <t>https://audio.iskcondesiretree.com/01_-_Srila_Prabhupada/01_-_Lectures/01_-_English/01_-_Topic_wise/Room_Conversation/SP_Room_Conversation_Bhuvanesvara_1977-01-31_The_Great_Soul.mp3</t>
  </si>
  <si>
    <t>Conv_1977-01-31_R1-BHUBANESWAR.MP3</t>
  </si>
  <si>
    <t>https://audio.iskcondesiretree.com/01_-_Srila_Prabhupada/01_-_Lectures/01_-_English/02_-_Month_wise/01_-_January/31/Conv_1977-01-31_R1-BHUBANESWAR.MP3</t>
  </si>
  <si>
    <t>Conv_1977-01-31_R2-BHUBANESWAR.MP3</t>
  </si>
  <si>
    <t>https://audio.iskcondesiretree.com/01_-_Srila_Prabhupada/01_-_Lectures/01_-_English/02_-_Month_wise/01_-_January/31/Conv_1977-01-31_R2-BHUBANESWAR.MP3</t>
  </si>
  <si>
    <t>Conv_1977-01-31_R3-BHUBANESWAR.MP3</t>
  </si>
  <si>
    <t>https://audio.iskcondesiretree.com/01_-_Srila_Prabhupada/01_-_Lectures/01_-_English/02_-_Month_wise/01_-_January/31/Conv_1977-01-31_R3-BHUBANESWAR.MP3</t>
  </si>
  <si>
    <t>Fest_BHU_1977-01-31_On_the_Advent_of_Lord_Varaha.mp3</t>
  </si>
  <si>
    <t>https://audio.iskcondesiretree.com/01_-_Srila_Prabhupada/01_-_Lectures/01_-_English/02_-_Month_wise/01_-_January/31/Fest_BHU_1977-01-31_On_the_Advent_of_Lord_Varaha.mp3</t>
  </si>
  <si>
    <t>RC_BHU_1977-01-31_The_Great_Soul.mp3</t>
  </si>
  <si>
    <t>https://audio.iskcondesiretree.com/01_-_Srila_Prabhupada/01_-_Lectures/01_-_English/02_-_Month_wise/01_-_January/31/RC_BHU_1977-01-31_The_Great_Soul.mp3</t>
  </si>
  <si>
    <t>VarahaApp_1977-01-31_VA-BHUBANESWAR.MP3</t>
  </si>
  <si>
    <t>https://audio.iskcondesiretree.com/01_-_Srila_Prabhupada/01_-_Lectures/01_-_English/02_-_Month_wise/01_-_January/31/VarahaApp_1977-01-31_VA-BHUBANESWAR.MP3</t>
  </si>
  <si>
    <t>Walk_1977-01-31_MW-BHUBANESWAR.MP3</t>
  </si>
  <si>
    <t>https://audio.iskcondesiretree.com/01_-_Srila_Prabhupada/01_-_Lectures/01_-_English/02_-_Month_wise/01_-_January/31/Walk_1977-01-31_MW-BHUBANESWAR.MP3</t>
  </si>
  <si>
    <t>SP_Morning_Walk_-_Bhuvanesvara_1977-02-01_Science_Atheists-Blind_Bluffers.mp3</t>
  </si>
  <si>
    <t>https://audio.iskcondesiretree.com/01_-_Srila_Prabhupada/01_-_Lectures/01_-_English/01_-_Topic_wise/Morning_Walk/SP_Morning_Walk_-_Bhuvanesvara_1977-02-01_Science_Atheists-Blind_Bluffers.mp3</t>
  </si>
  <si>
    <t>MW_BHU_1977-02-01_Science_Atheists-Blind_Bluffers.mp3</t>
  </si>
  <si>
    <t>https://audio.iskcondesiretree.com/01_-_Srila_Prabhupada/01_-_Lectures/01_-_English/02_-_Month_wise/02_-_Feburary/01/MW_BHU_1977-02-01_Science_Atheists-Blind_Bluffers.mp3</t>
  </si>
  <si>
    <t>Walk_1977-02-01_MW-BHUBANESWAR.MP3</t>
  </si>
  <si>
    <t>https://audio.iskcondesiretree.com/01_-_Srila_Prabhupada/01_-_Lectures/01_-_English/02_-_Month_wise/02_-_Feburary/01/Walk_1977-02-01_MW-BHUBANESWAR.MP3</t>
  </si>
  <si>
    <t>SP_Festivals_Bhuvanesvara_1977-02-02_Nityananda_Appearance.mp3</t>
  </si>
  <si>
    <t>https://audio.iskcondesiretree.com/01_-_Srila_Prabhupada/01_-_Lectures/01_-_English/01_-_Topic_wise/Festivals/SP_Festivals_Bhuvanesvara_1977-02-02_Nityananda_Appearance.mp3</t>
  </si>
  <si>
    <t>SP_Room_Conversation_Bhuvanesvara_1977-02-02_Svarupa_Damodar--Very_Artificial_Intelligence.mp3</t>
  </si>
  <si>
    <t>https://audio.iskcondesiretree.com/01_-_Srila_Prabhupada/01_-_Lectures/01_-_English/01_-_Topic_wise/Room_Conversation/SP_Room_Conversation_Bhuvanesvara_1977-02-02_Svarupa_Damodar--Very_Artificial_Intelligence.mp3</t>
  </si>
  <si>
    <t>Conv_1977-02-02_R1-BHUBANESWAR.MP3</t>
  </si>
  <si>
    <t>https://audio.iskcondesiretree.com/01_-_Srila_Prabhupada/01_-_Lectures/01_-_English/02_-_Month_wise/02_-_Feburary/02/Conv_1977-02-02_R1-BHUBANESWAR.MP3</t>
  </si>
  <si>
    <t>Conv_1977-02-02_R2-BHUBANESWAR.MP3</t>
  </si>
  <si>
    <t>https://audio.iskcondesiretree.com/01_-_Srila_Prabhupada/01_-_Lectures/01_-_English/02_-_Month_wise/02_-_Feburary/02/Conv_1977-02-02_R2-BHUBANESWAR.MP3</t>
  </si>
  <si>
    <t>Fest_BHU_1977-02-02_Nityananda_Appearance.mp3</t>
  </si>
  <si>
    <t>https://audio.iskcondesiretree.com/01_-_Srila_Prabhupada/01_-_Lectures/01_-_English/02_-_Month_wise/02_-_Feburary/02/Fest_BHU_1977-02-02_Nityananda_Appearance.mp3</t>
  </si>
  <si>
    <t>Nityananda_Appearance_1977-02-02_NA-BHUBANESWAR.MP3</t>
  </si>
  <si>
    <t>https://audio.iskcondesiretree.com/01_-_Srila_Prabhupada/01_-_Lectures/01_-_English/02_-_Month_wise/02_-_Feburary/02/Nityananda_Appearance_1977-02-02_NA-BHUBANESWAR.MP3</t>
  </si>
  <si>
    <t>RC_BHU_1977-02-02_Svarupa_Damodar--Very_Artificial_Intelligence.mp3</t>
  </si>
  <si>
    <t>https://audio.iskcondesiretree.com/01_-_Srila_Prabhupada/01_-_Lectures/01_-_English/02_-_Month_wise/02_-_Feburary/02/RC_BHU_1977-02-02_Svarupa_Damodar--Very_Artificial_Intelligence.mp3</t>
  </si>
  <si>
    <t>Speech_1977-02-02_CM-BHUBANESWAR.MP3</t>
  </si>
  <si>
    <t>https://audio.iskcondesiretree.com/01_-_Srila_Prabhupada/01_-_Lectures/01_-_English/02_-_Month_wise/02_-_Feburary/02/Speech_1977-02-02_CM-BHUBANESWAR.MP3</t>
  </si>
  <si>
    <t>Walk_1977-02-02_MW-BHUBANESWAR.MP3</t>
  </si>
  <si>
    <t>https://audio.iskcondesiretree.com/01_-_Srila_Prabhupada/01_-_Lectures/01_-_English/02_-_Month_wise/02_-_Feburary/02/Walk_1977-02-02_MW-BHUBANESWAR.MP3</t>
  </si>
  <si>
    <t>SP_Room_Conversation_Bhuvanesvara_1977-02-03_Jesus_Christ--We_Give_Christ_All_Honor.mp3</t>
  </si>
  <si>
    <t>https://audio.iskcondesiretree.com/01_-_Srila_Prabhupada/01_-_Lectures/01_-_English/01_-_Topic_wise/Room_Conversation/SP_Room_Conversation_Bhuvanesvara_1977-02-03_Jesus_Christ--We_Give_Christ_All_Honor.mp3</t>
  </si>
  <si>
    <t>Conv_1977-02-03_R1-BHUBANESWAR.MP3</t>
  </si>
  <si>
    <t>https://audio.iskcondesiretree.com/01_-_Srila_Prabhupada/01_-_Lectures/01_-_English/02_-_Month_wise/02_-_Feburary/03/Conv_1977-02-03_R1-BHUBANESWAR.MP3</t>
  </si>
  <si>
    <t>Conv_1977-02-03_R2-BHUBANESWAR.MP3</t>
  </si>
  <si>
    <t>https://audio.iskcondesiretree.com/01_-_Srila_Prabhupada/01_-_Lectures/01_-_English/02_-_Month_wise/02_-_Feburary/03/Conv_1977-02-03_R2-BHUBANESWAR.MP3</t>
  </si>
  <si>
    <t>RC_BHU_1977-02-03_Jesus_Christ--We_Give_Christ_All_Honor.mp3</t>
  </si>
  <si>
    <t>https://audio.iskcondesiretree.com/01_-_Srila_Prabhupada/01_-_Lectures/01_-_English/02_-_Month_wise/02_-_Feburary/03/RC_BHU_1977-02-03_Jesus_Christ--We_Give_Christ_All_Honor.mp3</t>
  </si>
  <si>
    <t>SP_Arrival_Calcutta_1977-02-04_The_Fight_Against_Atheism.mp3</t>
  </si>
  <si>
    <t>https://audio.iskcondesiretree.com/01_-_Srila_Prabhupada/01_-_Lectures/01_-_English/01_-_Topic_wise/Arrival_Address/SP_Arrival_Calcutta_1977-02-04_The_Fight_Against_Atheism.mp3</t>
  </si>
  <si>
    <t>Arr_CAL_1977-02-04_The_Fight_Against_Atheism.mp3</t>
  </si>
  <si>
    <t>https://audio.iskcondesiretree.com/01_-_Srila_Prabhupada/01_-_Lectures/01_-_English/02_-_Month_wise/02_-_Feburary/04/Arr_CAL_1977-02-04_The_Fight_Against_Atheism.mp3</t>
  </si>
  <si>
    <t>Arrival_1977-02-04_AR-CALCUTTA.MP3</t>
  </si>
  <si>
    <t>https://audio.iskcondesiretree.com/01_-_Srila_Prabhupada/01_-_Lectures/01_-_English/02_-_Month_wise/02_-_Feburary/04/Arrival_1977-02-04_AR-CALCUTTA.MP3</t>
  </si>
  <si>
    <t>Conv_1977-02-04_R1-CALCUTTA.MP3</t>
  </si>
  <si>
    <t>https://audio.iskcondesiretree.com/01_-_Srila_Prabhupada/01_-_Lectures/01_-_English/02_-_Month_wise/02_-_Feburary/04/Conv_1977-02-04_R1-CALCUTTA.MP3</t>
  </si>
  <si>
    <t>Conv_1977-02-05_CR-CALCUTTA.MP3</t>
  </si>
  <si>
    <t>https://audio.iskcondesiretree.com/01_-_Srila_Prabhupada/01_-_Lectures/01_-_English/02_-_Month_wise/02_-_Feburary/05/Conv_1977-02-05_CR-CALCUTTA.MP3</t>
  </si>
  <si>
    <t>SB-01-08-18%E2%80%93Hindi_1977-02-06_SB-CALCUTTA.MP3</t>
  </si>
  <si>
    <t>https://audio.iskcondesiretree.com/01_-_Srila_Prabhupada/01_-_Lectures/01_-_English/02_-_Month_wise/02_-_Feburary/06/SB-01-08-18%E2%80%93Hindi_1977-02-06_SB-CALCUTTA.MP3</t>
  </si>
  <si>
    <t>Arrival_1977-02-07_AR-MAYAPUR.MP3</t>
  </si>
  <si>
    <t>https://audio.iskcondesiretree.com/01_-_Srila_Prabhupada/01_-_Lectures/01_-_English/02_-_Month_wise/02_-_Feburary/07/Arrival_1977-02-07_AR-MAYAPUR.MP3</t>
  </si>
  <si>
    <t>SP_Festivals_Mayapur_1977-02-08_Bhaktisiddhantas_Appearance.mp3</t>
  </si>
  <si>
    <t>https://audio.iskcondesiretree.com/01_-_Srila_Prabhupada/01_-_Lectures/01_-_English/01_-_Topic_wise/Festivals/SP_Festivals_Mayapur_1977-02-08_Bhaktisiddhantas_Appearance.mp3</t>
  </si>
  <si>
    <t>Bhaktisiddhanta_Appearance_1977-02-08_BA-MAYAPUR.MP3</t>
  </si>
  <si>
    <t>https://audio.iskcondesiretree.com/01_-_Srila_Prabhupada/01_-_Lectures/01_-_English/02_-_Month_wise/02_-_Feburary/08/Bhaktisiddhanta_Appearance_1977-02-08_BA-MAYAPUR.MP3</t>
  </si>
  <si>
    <t>Fest_MAY_1977-02-08_Bhaktisiddhantas_Appearance.mp3</t>
  </si>
  <si>
    <t>https://audio.iskcondesiretree.com/01_-_Srila_Prabhupada/01_-_Lectures/01_-_English/02_-_Month_wise/02_-_Feburary/08/Fest_MAY_1977-02-08_Bhaktisiddhantas_Appearance.mp3</t>
  </si>
  <si>
    <t>SB-07-09-01_1977-02-10_SB-MAYAPUR.MP3</t>
  </si>
  <si>
    <t>https://audio.iskcondesiretree.com/01_-_Srila_Prabhupada/01_-_Lectures/01_-_English/02_-_Month_wise/02_-_Feburary/10/SB-07-09-01_1977-02-10_SB-MAYAPUR.MP3</t>
  </si>
  <si>
    <t>Walk_1977-02-10_MW-MAYAPUR.MP3</t>
  </si>
  <si>
    <t>https://audio.iskcondesiretree.com/01_-_Srila_Prabhupada/01_-_Lectures/01_-_English/02_-_Month_wise/02_-_Feburary/10/Walk_1977-02-10_MW-MAYAPUR.MP3</t>
  </si>
  <si>
    <t>SP_SB_7-09-04_Mayapur_1977-02-11_Prahlada--Krishna%27s--etc.mp3</t>
  </si>
  <si>
    <t>https://audio.iskcondesiretree.com/01_-_Srila_Prabhupada/01_-_Lectures/01_-_English/01_-_Topic_wise/Srimad_Bhagavatam/Canto-07/SP_SB_7-09-04_Mayapur_1977-02-11_Prahlada--Krishna%27s--etc.mp3</t>
  </si>
  <si>
    <t>Conv_1977-02-11_R1-MAYAPUR.MP3</t>
  </si>
  <si>
    <t>https://audio.iskcondesiretree.com/01_-_Srila_Prabhupada/01_-_Lectures/01_-_English/02_-_Month_wise/02_-_Feburary/11/Conv_1977-02-11_R1-MAYAPUR.MP3</t>
  </si>
  <si>
    <t>SB_7-09-04_MAY_1977-02-11_Prahlada--Krishna%27s_etc.mp3</t>
  </si>
  <si>
    <t>https://audio.iskcondesiretree.com/01_-_Srila_Prabhupada/01_-_Lectures/01_-_English/02_-_Month_wise/02_-_Feburary/11/SB_7-09-04_MAY_1977-02-11_Prahlada--Krishna%27s_etc.mp3</t>
  </si>
  <si>
    <t>SP_SB_7-09-02_Bhuvanesvara_1977-02-12_Lakshmi_and_Narayan.mp3</t>
  </si>
  <si>
    <t>https://audio.iskcondesiretree.com/01_-_Srila_Prabhupada/01_-_Lectures/01_-_English/01_-_Topic_wise/Srimad_Bhagavatam/Canto-07/SP_SB_7-09-02_Bhuvanesvara_1977-02-12_Lakshmi_and_Narayan.mp3</t>
  </si>
  <si>
    <t>Conv_1977-02-12_R1-MAYAPUR.MP3</t>
  </si>
  <si>
    <t>https://audio.iskcondesiretree.com/01_-_Srila_Prabhupada/01_-_Lectures/01_-_English/02_-_Month_wise/02_-_Feburary/12/Conv_1977-02-12_R1-MAYAPUR.MP3</t>
  </si>
  <si>
    <t>SB-07-09-02_1977-02-12_SB-MAYAPUR.MP3</t>
  </si>
  <si>
    <t>https://audio.iskcondesiretree.com/01_-_Srila_Prabhupada/01_-_Lectures/01_-_English/02_-_Month_wise/02_-_Feburary/12/SB-07-09-02_1977-02-12_SB-MAYAPUR.MP3</t>
  </si>
  <si>
    <t>SB_7-09-02_BHU_1977-02-12_Lakshmi_and_Narayan.mp3</t>
  </si>
  <si>
    <t>https://audio.iskcondesiretree.com/01_-_Srila_Prabhupada/01_-_Lectures/01_-_English/02_-_Month_wise/02_-_Feburary/12/SB_7-09-02_BHU_1977-02-12_Lakshmi_and_Narayan.mp3</t>
  </si>
  <si>
    <t>Conv_1977-02-14_R1-MAYAPUR.MP3</t>
  </si>
  <si>
    <t>https://audio.iskcondesiretree.com/01_-_Srila_Prabhupada/01_-_Lectures/01_-_English/02_-_Month_wise/02_-_Feburary/14/Conv_1977-02-14_R1-MAYAPUR.MP3</t>
  </si>
  <si>
    <t>Conv_1977-02-14_R2-MAYAPUR.MP3</t>
  </si>
  <si>
    <t>https://audio.iskcondesiretree.com/01_-_Srila_Prabhupada/01_-_Lectures/01_-_English/02_-_Month_wise/02_-_Feburary/14/Conv_1977-02-14_R2-MAYAPUR.MP3</t>
  </si>
  <si>
    <t>Conv_1977-02-14_RO-MAYAPUR.MP3</t>
  </si>
  <si>
    <t>https://audio.iskcondesiretree.com/01_-_Srila_Prabhupada/01_-_Lectures/01_-_English/02_-_Month_wise/02_-_Feburary/14/Conv_1977-02-14_RO-MAYAPUR.MP3</t>
  </si>
  <si>
    <t>Darshan_1977-02-15_ED-MAYAPUR.MP3</t>
  </si>
  <si>
    <t>https://audio.iskcondesiretree.com/01_-_Srila_Prabhupada/01_-_Lectures/01_-_English/02_-_Month_wise/02_-_Feburary/15/Darshan_1977-02-15_ED-MAYAPUR.MP3</t>
  </si>
  <si>
    <t>SP_Room_Conversation_Mayapur_1977-02-16_The_Secret_of_Safety.mp3</t>
  </si>
  <si>
    <t>https://audio.iskcondesiretree.com/01_-_Srila_Prabhupada/01_-_Lectures/01_-_English/01_-_Topic_wise/Room_Conversation/SP_Room_Conversation_Mayapur_1977-02-16_The_Secret_of_Safety.mp3</t>
  </si>
  <si>
    <t>Conv_1977-02-16_R1-MAYAPUR.MP3</t>
  </si>
  <si>
    <t>https://audio.iskcondesiretree.com/01_-_Srila_Prabhupada/01_-_Lectures/01_-_English/02_-_Month_wise/02_-_Feburary/16/Conv_1977-02-16_R1-MAYAPUR.MP3</t>
  </si>
  <si>
    <t>Conv_1977-02-16_R2-MAYAPUR.MP3</t>
  </si>
  <si>
    <t>https://audio.iskcondesiretree.com/01_-_Srila_Prabhupada/01_-_Lectures/01_-_English/02_-_Month_wise/02_-_Feburary/16/Conv_1977-02-16_R2-MAYAPUR.MP3</t>
  </si>
  <si>
    <t>RC_MAY_1977-02-16_The_Secret_of_Safety.mp3</t>
  </si>
  <si>
    <t>https://audio.iskcondesiretree.com/01_-_Srila_Prabhupada/01_-_Lectures/01_-_English/02_-_Month_wise/02_-_Feburary/16/RC_MAY_1977-02-16_The_Secret_of_Safety.mp3</t>
  </si>
  <si>
    <t>SP_SB_7-09-03_Mayapur_1977-02-17_Easily_Available_for_Devotees.mp3</t>
  </si>
  <si>
    <t>https://audio.iskcondesiretree.com/01_-_Srila_Prabhupada/01_-_Lectures/01_-_English/01_-_Topic_wise/Srimad_Bhagavatam/Canto-07/SP_SB_7-09-03_Mayapur_1977-02-17_Easily_Available_for_Devotees.mp3</t>
  </si>
  <si>
    <t>Conv_1977-02-17_R1-MAYAPUR.MP3</t>
  </si>
  <si>
    <t>https://audio.iskcondesiretree.com/01_-_Srila_Prabhupada/01_-_Lectures/01_-_English/02_-_Month_wise/02_-_Feburary/17/Conv_1977-02-17_R1-MAYAPUR.MP3</t>
  </si>
  <si>
    <t>SB-07-09-03_1977-02-17_SB-MAYAPUR.MP3</t>
  </si>
  <si>
    <t>https://audio.iskcondesiretree.com/01_-_Srila_Prabhupada/01_-_Lectures/01_-_English/02_-_Month_wise/02_-_Feburary/17/SB-07-09-03_1977-02-17_SB-MAYAPUR.MP3</t>
  </si>
  <si>
    <t>SB_7-09-03_MAY_1977-02-17_Easily_Available_for_Devotees.mp3</t>
  </si>
  <si>
    <t>https://audio.iskcondesiretree.com/01_-_Srila_Prabhupada/01_-_Lectures/01_-_English/02_-_Month_wise/02_-_Feburary/17/SB_7-09-03_MAY_1977-02-17_Easily_Available_for_Devotees.mp3</t>
  </si>
  <si>
    <t>SP_SB_7-09-04_Mayapur_1977-02-18_Can_God_Become_Angry.mp3</t>
  </si>
  <si>
    <t>https://audio.iskcondesiretree.com/01_-_Srila_Prabhupada/01_-_Lectures/01_-_English/01_-_Topic_wise/Srimad_Bhagavatam/Canto-07/SP_SB_7-09-04_Mayapur_1977-02-18_Can_God_Become_Angry.mp3</t>
  </si>
  <si>
    <t>Conv_1977-02-18_R1-MAYAPUR.MP3</t>
  </si>
  <si>
    <t>https://audio.iskcondesiretree.com/01_-_Srila_Prabhupada/01_-_Lectures/01_-_English/02_-_Month_wise/02_-_Feburary/18/Conv_1977-02-18_R1-MAYAPUR.MP3</t>
  </si>
  <si>
    <t>Conv_1977-02-18_R2-MAYAPUR.MP3</t>
  </si>
  <si>
    <t>https://audio.iskcondesiretree.com/01_-_Srila_Prabhupada/01_-_Lectures/01_-_English/02_-_Month_wise/02_-_Feburary/18/Conv_1977-02-18_R2-MAYAPUR.MP3</t>
  </si>
  <si>
    <t>Conv_1977-02-18_R3-MAYAPUR.MP3</t>
  </si>
  <si>
    <t>https://audio.iskcondesiretree.com/01_-_Srila_Prabhupada/01_-_Lectures/01_-_English/02_-_Month_wise/02_-_Feburary/18/Conv_1977-02-18_R3-MAYAPUR.MP3</t>
  </si>
  <si>
    <t>Conv_1977-02-18_R4-MAYAPUR.MP3</t>
  </si>
  <si>
    <t>https://audio.iskcondesiretree.com/01_-_Srila_Prabhupada/01_-_Lectures/01_-_English/02_-_Month_wise/02_-_Feburary/18/Conv_1977-02-18_R4-MAYAPUR.MP3</t>
  </si>
  <si>
    <t>SB-07-09-04_1977-02-18_SB-MAYAPUR.MP3</t>
  </si>
  <si>
    <t>https://audio.iskcondesiretree.com/01_-_Srila_Prabhupada/01_-_Lectures/01_-_English/02_-_Month_wise/02_-_Feburary/18/SB-07-09-04_1977-02-18_SB-MAYAPUR.MP3</t>
  </si>
  <si>
    <t>SB_7-09-04_MAY_1977-02-18_Can_God_Become_Angry.mp3</t>
  </si>
  <si>
    <t>https://audio.iskcondesiretree.com/01_-_Srila_Prabhupada/01_-_Lectures/01_-_English/02_-_Month_wise/02_-_Feburary/18/SB_7-09-04_MAY_1977-02-18_Can_God_Become_Angry.mp3</t>
  </si>
  <si>
    <t>Conv_1977-02-19_R1-MAYAPUR.MP3</t>
  </si>
  <si>
    <t>https://audio.iskcondesiretree.com/01_-_Srila_Prabhupada/01_-_Lectures/01_-_English/02_-_Month_wise/02_-_Feburary/19/Conv_1977-02-19_R1-MAYAPUR.MP3</t>
  </si>
  <si>
    <t>Conv_1977-02-19_R2-MAYAPUR.MP3</t>
  </si>
  <si>
    <t>https://audio.iskcondesiretree.com/01_-_Srila_Prabhupada/01_-_Lectures/01_-_English/02_-_Month_wise/02_-_Feburary/19/Conv_1977-02-19_R2-MAYAPUR.MP3</t>
  </si>
  <si>
    <t>Conv_1977-02-19_R3-MAYAPUR.MP3</t>
  </si>
  <si>
    <t>https://audio.iskcondesiretree.com/01_-_Srila_Prabhupada/01_-_Lectures/01_-_English/02_-_Month_wise/02_-_Feburary/19/Conv_1977-02-19_R3-MAYAPUR.MP3</t>
  </si>
  <si>
    <t>Conv_1977-02-19_R4-MAYAPUR.MP3</t>
  </si>
  <si>
    <t>https://audio.iskcondesiretree.com/01_-_Srila_Prabhupada/01_-_Lectures/01_-_English/02_-_Month_wise/02_-_Feburary/19/Conv_1977-02-19_R4-MAYAPUR.MP3</t>
  </si>
  <si>
    <t>Darshan_1977-02-19_ED-MAYAPUR.MP3</t>
  </si>
  <si>
    <t>https://audio.iskcondesiretree.com/01_-_Srila_Prabhupada/01_-_Lectures/01_-_English/02_-_Month_wise/02_-_Feburary/19/Darshan_1977-02-19_ED-MAYAPUR.MP3</t>
  </si>
  <si>
    <t>Conv_1977-02-20_R1-MAYAPUR.MP3</t>
  </si>
  <si>
    <t>https://audio.iskcondesiretree.com/01_-_Srila_Prabhupada/01_-_Lectures/01_-_English/02_-_Month_wise/02_-_Feburary/20/Conv_1977-02-20_R1-MAYAPUR.MP3</t>
  </si>
  <si>
    <t>Conv_1977-02-21_R1-MAYAPUR.MP3</t>
  </si>
  <si>
    <t>https://audio.iskcondesiretree.com/01_-_Srila_Prabhupada/01_-_Lectures/01_-_English/02_-_Month_wise/02_-_Feburary/21/Conv_1977-02-21_R1-MAYAPUR.MP3</t>
  </si>
  <si>
    <t>Conv_1977-02-24_R1-MAYAPUR.MP3</t>
  </si>
  <si>
    <t>https://audio.iskcondesiretree.com/01_-_Srila_Prabhupada/01_-_Lectures/01_-_English/02_-_Month_wise/02_-_Feburary/24/Conv_1977-02-24_R1-MAYAPUR.MP3</t>
  </si>
  <si>
    <t>Darshan_1977-02-24_ED-MAYAPUR.MP3</t>
  </si>
  <si>
    <t>https://audio.iskcondesiretree.com/01_-_Srila_Prabhupada/01_-_Lectures/01_-_English/02_-_Month_wise/02_-_Feburary/24/Darshan_1977-02-24_ED-MAYAPUR.MP3</t>
  </si>
  <si>
    <t>SP_SB_7-09-05_Mayapur_1977-02-25_Don%27t_Think_God_Has_New_Orleans_Feeling.mp3</t>
  </si>
  <si>
    <t>https://audio.iskcondesiretree.com/01_-_Srila_Prabhupada/01_-_Lectures/01_-_English/01_-_Topic_wise/Srimad_Bhagavatam/Canto-07/SP_SB_7-09-05_Mayapur_1977-02-25_Don%27t_Think_God_Has_New_Orleans_Feeling.mp3</t>
  </si>
  <si>
    <t>Conv_1977-02-25_R1-MAYAPUR.MP3</t>
  </si>
  <si>
    <t>https://audio.iskcondesiretree.com/01_-_Srila_Prabhupada/01_-_Lectures/01_-_English/02_-_Month_wise/02_-_Feburary/25/Conv_1977-02-25_R1-MAYAPUR.MP3</t>
  </si>
  <si>
    <t>Conv_1977-02-25_R2-MAYAPUR.MP3</t>
  </si>
  <si>
    <t>https://audio.iskcondesiretree.com/01_-_Srila_Prabhupada/01_-_Lectures/01_-_English/02_-_Month_wise/02_-_Feburary/25/Conv_1977-02-25_R2-MAYAPUR.MP3</t>
  </si>
  <si>
    <t>Darshan_1977-02-25_ED-MAYAPUR.MP3</t>
  </si>
  <si>
    <t>https://audio.iskcondesiretree.com/01_-_Srila_Prabhupada/01_-_Lectures/01_-_English/02_-_Month_wise/02_-_Feburary/25/Darshan_1977-02-25_ED-MAYAPUR.MP3</t>
  </si>
  <si>
    <t>SB-07-09-05_1977-02-25_SB-MAYAPUR.MP3</t>
  </si>
  <si>
    <t>https://audio.iskcondesiretree.com/01_-_Srila_Prabhupada/01_-_Lectures/01_-_English/02_-_Month_wise/02_-_Feburary/25/SB-07-09-05_1977-02-25_SB-MAYAPUR.MP3</t>
  </si>
  <si>
    <t>SB_7-09-05_MAY_1977-02-25_Don%27t_Think_God_Has_No_Feeling.mp3</t>
  </si>
  <si>
    <t>https://audio.iskcondesiretree.com/01_-_Srila_Prabhupada/01_-_Lectures/01_-_English/02_-_Month_wise/02_-_Feburary/25/SB_7-09-05_MAY_1977-02-25_Don%27t_Think_God_Has_No_Feeling.mp3</t>
  </si>
  <si>
    <t>SP_SB_7-09-06_Mayapur_1977-02-26_God--Supreme_Being.mp3</t>
  </si>
  <si>
    <t>https://audio.iskcondesiretree.com/01_-_Srila_Prabhupada/01_-_Lectures/01_-_English/01_-_Topic_wise/Srimad_Bhagavatam/Canto-07/SP_SB_7-09-06_Mayapur_1977-02-26_God--Supreme_Being.mp3</t>
  </si>
  <si>
    <t>Darshan_1977-02-26_ED-MAYAPUR.MP3</t>
  </si>
  <si>
    <t>https://audio.iskcondesiretree.com/01_-_Srila_Prabhupada/01_-_Lectures/01_-_English/02_-_Month_wise/02_-_Feburary/26/Darshan_1977-02-26_ED-MAYAPUR.MP3</t>
  </si>
  <si>
    <t>Interview_Hindi-English_1977-02-26_IV-MAYAPUR.MP3</t>
  </si>
  <si>
    <t>https://audio.iskcondesiretree.com/01_-_Srila_Prabhupada/01_-_Lectures/01_-_English/02_-_Month_wise/02_-_Feburary/26/Interview_Hindi-English_1977-02-26_IV-MAYAPUR.MP3</t>
  </si>
  <si>
    <t>SB-07-09-06_1977-02-26_SB-MAYAPUR.MP3</t>
  </si>
  <si>
    <t>https://audio.iskcondesiretree.com/01_-_Srila_Prabhupada/01_-_Lectures/01_-_English/02_-_Month_wise/02_-_Feburary/26/SB-07-09-06_1977-02-26_SB-MAYAPUR.MP3</t>
  </si>
  <si>
    <t>SB_7-09-06_MAY_1977-02-26_God--Supreme_Being.mp3</t>
  </si>
  <si>
    <t>https://audio.iskcondesiretree.com/01_-_Srila_Prabhupada/01_-_Lectures/01_-_English/02_-_Month_wise/02_-_Feburary/26/SB_7-09-06_MAY_1977-02-26_God--Supreme_Being.mp3</t>
  </si>
  <si>
    <t>SP_SB_7-09-07_Mayapur_1977-02-27_Touch_Krishna_By_Your_Tongue.mp3</t>
  </si>
  <si>
    <t>https://audio.iskcondesiretree.com/01_-_Srila_Prabhupada/01_-_Lectures/01_-_English/01_-_Topic_wise/Srimad_Bhagavatam/Canto-07/SP_SB_7-09-07_Mayapur_1977-02-27_Touch_Krishna_By_Your_Tongue.mp3</t>
  </si>
  <si>
    <t>Conv_1977-02-27_R1-MAYAPUR.MP3</t>
  </si>
  <si>
    <t>https://audio.iskcondesiretree.com/01_-_Srila_Prabhupada/01_-_Lectures/01_-_English/02_-_Month_wise/02_-_Feburary/27/Conv_1977-02-27_R1-MAYAPUR.MP3</t>
  </si>
  <si>
    <t>Conv_1977-02-27_R2-MAYAPUR.MP3</t>
  </si>
  <si>
    <t>https://audio.iskcondesiretree.com/01_-_Srila_Prabhupada/01_-_Lectures/01_-_English/02_-_Month_wise/02_-_Feburary/27/Conv_1977-02-27_R2-MAYAPUR.MP3</t>
  </si>
  <si>
    <t>SB-07-09-07_1977-02-27_SB-MAYAPUR.MP3</t>
  </si>
  <si>
    <t>https://audio.iskcondesiretree.com/01_-_Srila_Prabhupada/01_-_Lectures/01_-_English/02_-_Month_wise/02_-_Feburary/27/SB-07-09-07_1977-02-27_SB-MAYAPUR.MP3</t>
  </si>
  <si>
    <t>SB_7-09-07_MAY_1977-02-27_Touch_Krishna_By_Your_Tongue.mp3</t>
  </si>
  <si>
    <t>https://audio.iskcondesiretree.com/01_-_Srila_Prabhupada/01_-_Lectures/01_-_English/02_-_Month_wise/02_-_Feburary/27/SB_7-09-07_MAY_1977-02-27_Touch_Krishna_By_Your_Tongue.mp3</t>
  </si>
  <si>
    <t>SP_SB_7-09-08_Mayapur_1977-02-28_How_A_Devotee_Thinks.mp3</t>
  </si>
  <si>
    <t>https://audio.iskcondesiretree.com/01_-_Srila_Prabhupada/01_-_Lectures/01_-_English/01_-_Topic_wise/Srimad_Bhagavatam/Canto-07/SP_SB_7-09-08_Mayapur_1977-02-28_How_A_Devotee_Thinks.mp3</t>
  </si>
  <si>
    <t>Conv_1977-02-28_R1-MAYAPUR.MP3</t>
  </si>
  <si>
    <t>https://audio.iskcondesiretree.com/01_-_Srila_Prabhupada/01_-_Lectures/01_-_English/02_-_Month_wise/02_-_Feburary/28/Conv_1977-02-28_R1-MAYAPUR.MP3</t>
  </si>
  <si>
    <t>Conv_1977-02-28_R2-MAYAPUR.MP3</t>
  </si>
  <si>
    <t>https://audio.iskcondesiretree.com/01_-_Srila_Prabhupada/01_-_Lectures/01_-_English/02_-_Month_wise/02_-_Feburary/28/Conv_1977-02-28_R2-MAYAPUR.MP3</t>
  </si>
  <si>
    <t>Conv_1977-02-28_R3-MAYAPUR.MP3</t>
  </si>
  <si>
    <t>https://audio.iskcondesiretree.com/01_-_Srila_Prabhupada/01_-_Lectures/01_-_English/02_-_Month_wise/02_-_Feburary/28/Conv_1977-02-28_R3-MAYAPUR.MP3</t>
  </si>
  <si>
    <t>SB-07-09-08_1977-02-28_SB-MAYAPUR.MP3</t>
  </si>
  <si>
    <t>https://audio.iskcondesiretree.com/01_-_Srila_Prabhupada/01_-_Lectures/01_-_English/02_-_Month_wise/02_-_Feburary/28/SB-07-09-08_1977-02-28_SB-MAYAPUR.MP3</t>
  </si>
  <si>
    <t>SB_7-09-08_MAY_1977-02-28_How_A_Devotee_Thinks.mp3</t>
  </si>
  <si>
    <t>https://audio.iskcondesiretree.com/01_-_Srila_Prabhupada/01_-_Lectures/01_-_English/02_-_Month_wise/02_-_Feburary/28/SB_7-09-08_MAY_1977-02-28_How_A_Devotee_Thinks.mp3</t>
  </si>
  <si>
    <t>SP_SB_7-09-09_Mayapur_1977-03-01_Dedicate_Your_Life_To_Krishna.mp3</t>
  </si>
  <si>
    <t>https://audio.iskcondesiretree.com/01_-_Srila_Prabhupada/01_-_Lectures/01_-_English/01_-_Topic_wise/Srimad_Bhagavatam/Canto-07/SP_SB_7-09-09_Mayapur_1977-03-01_Dedicate_Your_Life_To_Krishna.mp3</t>
  </si>
  <si>
    <t>Conv_1977-03-01_R1-MAYAPUR.MP3</t>
  </si>
  <si>
    <t>https://audio.iskcondesiretree.com/01_-_Srila_Prabhupada/01_-_Lectures/01_-_English/02_-_Month_wise/03_-_March/01/Conv_1977-03-01_R1-MAYAPUR.MP3</t>
  </si>
  <si>
    <t>Conv_1977-03-01_R2-MAYAPUR.MP3</t>
  </si>
  <si>
    <t>https://audio.iskcondesiretree.com/01_-_Srila_Prabhupada/01_-_Lectures/01_-_English/02_-_Month_wise/03_-_March/01/Conv_1977-03-01_R2-MAYAPUR.MP3</t>
  </si>
  <si>
    <t>SB-07-09-09_1977-03-01_SB-MAYAPUR.MP3</t>
  </si>
  <si>
    <t>https://audio.iskcondesiretree.com/01_-_Srila_Prabhupada/01_-_Lectures/01_-_English/02_-_Month_wise/03_-_March/01/SB-07-09-09_1977-03-01_SB-MAYAPUR.MP3</t>
  </si>
  <si>
    <t>SB_7-09-09_MAY_1977-03-01_Dedicate_Your_Life_To_Krishna.mp3</t>
  </si>
  <si>
    <t>https://audio.iskcondesiretree.com/01_-_Srila_Prabhupada/01_-_Lectures/01_-_English/02_-_Month_wise/03_-_March/01/SB_7-09-09_MAY_1977-03-01_Dedicate_Your_Life_To_Krishna.mp3</t>
  </si>
  <si>
    <t>Conv_1977-03-02_R1-MAYAPUR.MP3</t>
  </si>
  <si>
    <t>https://audio.iskcondesiretree.com/01_-_Srila_Prabhupada/01_-_Lectures/01_-_English/02_-_Month_wise/03_-_March/02/Conv_1977-03-02_R1-MAYAPUR.MP3</t>
  </si>
  <si>
    <t>Conv_1977-03-04_R1-MAYAPUR.MP3</t>
  </si>
  <si>
    <t>https://audio.iskcondesiretree.com/01_-_Srila_Prabhupada/01_-_Lectures/01_-_English/02_-_Month_wise/03_-_March/04/Conv_1977-03-04_R1-MAYAPUR.MP3</t>
  </si>
  <si>
    <t>Conv_1977-03-22_R1-BOMBAY.MP3</t>
  </si>
  <si>
    <t>https://audio.iskcondesiretree.com/01_-_Srila_Prabhupada/01_-_Lectures/01_-_English/02_-_Month_wise/03_-_March/22/Conv_1977-03-22_R1-BOMBAY.MP3</t>
  </si>
  <si>
    <t>SP_Room_Conversation_Bombay_1977-03-23_Krishna_Culture.mp3</t>
  </si>
  <si>
    <t>https://audio.iskcondesiretree.com/01_-_Srila_Prabhupada/01_-_Lectures/01_-_English/01_-_Topic_wise/Room_Conversation/SP_Room_Conversation_Bombay_1977-03-23_Krishna_Culture.mp3</t>
  </si>
  <si>
    <t>RC_BOM_1977-03-23_Krishna_Culture.mp3</t>
  </si>
  <si>
    <t>https://audio.iskcondesiretree.com/01_-_Srila_Prabhupada/01_-_Lectures/01_-_English/02_-_Month_wise/03_-_March/23/RC_BOM_1977-03-23_Krishna_Culture.mp3</t>
  </si>
  <si>
    <t>SB-02-03-18%E2%80%9319_1977-03-23_SB-BOMBAY.MP3</t>
  </si>
  <si>
    <t>https://audio.iskcondesiretree.com/01_-_Srila_Prabhupada/01_-_Lectures/01_-_English/02_-_Month_wise/03_-_March/23/SB-02-03-18%E2%80%9319_1977-03-23_SB-BOMBAY.MP3</t>
  </si>
  <si>
    <t>SP_Lecture_Bombay_1977-03-24_Krishna%27s_Yoga_System_-_Not_New.mp3</t>
  </si>
  <si>
    <t>https://audio.iskcondesiretree.com/01_-_Srila_Prabhupada/01_-_Lectures/01_-_English/01_-_Topic_wise/Various/SP_Lecture_Bombay_1977-03-24_Krishna%27s_Yoga_System_-_Not_New.mp3</t>
  </si>
  <si>
    <t>Conv_1977-03-24_R1-BOMBAY.MP3</t>
  </si>
  <si>
    <t>https://audio.iskcondesiretree.com/01_-_Srila_Prabhupada/01_-_Lectures/01_-_English/02_-_Month_wise/03_-_March/24/Conv_1977-03-24_R1-BOMBAY.MP3</t>
  </si>
  <si>
    <t>Lect_BOM_1977-03-24_Krishna%27s_Yoga_System_Not_New.mp3</t>
  </si>
  <si>
    <t>https://audio.iskcondesiretree.com/01_-_Srila_Prabhupada/01_-_Lectures/01_-_English/02_-_Month_wise/03_-_March/24/Lect_BOM_1977-03-24_Krishna%27s_Yoga_System_Not_New.mp3</t>
  </si>
  <si>
    <t>SB-02-03-20_1977-03-24_SB-BOMBAY.MP3</t>
  </si>
  <si>
    <t>https://audio.iskcondesiretree.com/01_-_Srila_Prabhupada/01_-_Lectures/01_-_English/02_-_Month_wise/03_-_March/24/SB-02-03-20_1977-03-24_SB-BOMBAY.MP3</t>
  </si>
  <si>
    <t>SP_SB_5-05-01_Bombay_1977-03-25_Don%27t_Live_the_Life_of_a_Hog.mp3</t>
  </si>
  <si>
    <t>https://audio.iskcondesiretree.com/01_-_Srila_Prabhupada/01_-_Lectures/01_-_English/01_-_Topic_wise/Srimad_Bhagavatam/Canto-05/SP_SB_5-05-01_Bombay_1977-03-25_Don%27t_Live_the_Life_of_a_Hog.mp3</t>
  </si>
  <si>
    <t>SB_5-05-01_BOM_1977-03-25_Don%27t_Live_the_Life_of_a_Hog.mp3</t>
  </si>
  <si>
    <t>https://audio.iskcondesiretree.com/01_-_Srila_Prabhupada/01_-_Lectures/01_-_English/02_-_Month_wise/03_-_March/25/SB_5-05-01_BOM_1977-03-25_Don%27t_Live_the_Life_of_a_Hog.mp3</t>
  </si>
  <si>
    <t>SB%E2%80%9305-05-01%E2%80%9302_1977-03-25_SB-BOMBAY.MP3</t>
  </si>
  <si>
    <r>
      <rPr>
        <rFont val="&quot;Aptos Narrow&quot;, sans-serif"/>
        <color rgb="FF1155CC"/>
        <sz val="11.0"/>
        <u/>
      </rPr>
      <t>https://audio.iskcondesiretree.com/01_-_Srila_Prabhupada/01_-_Lectures/01_-_English/02_-_Month_wise/03_-_March/25/SB%E2%80%9305-05-01%E2%80%9302_1977-03-25_SB-BOMBAY.MP3</t>
    </r>
  </si>
  <si>
    <t>Conv_1977-03-26_R1-BOMBAY.MP3</t>
  </si>
  <si>
    <t>https://audio.iskcondesiretree.com/01_-_Srila_Prabhupada/01_-_Lectures/01_-_English/02_-_Month_wise/03_-_March/26/Conv_1977-03-26_R1-BOMBAY.MP3</t>
  </si>
  <si>
    <t>Conv_1977-03-26_R2-BOMBAY.MP3</t>
  </si>
  <si>
    <t>https://audio.iskcondesiretree.com/01_-_Srila_Prabhupada/01_-_Lectures/01_-_English/02_-_Month_wise/03_-_March/26/Conv_1977-03-26_R2-BOMBAY.MP3</t>
  </si>
  <si>
    <t>Conv_1977-03-26_R3-BOMBAY.MP3</t>
  </si>
  <si>
    <t>https://audio.iskcondesiretree.com/01_-_Srila_Prabhupada/01_-_Lectures/01_-_English/02_-_Month_wise/03_-_March/26/Conv_1977-03-26_R3-BOMBAY.MP3</t>
  </si>
  <si>
    <t>Lecture_1977-03-26_LE-BOMBAY.MP3</t>
  </si>
  <si>
    <t>https://audio.iskcondesiretree.com/01_-_Srila_Prabhupada/01_-_Lectures/01_-_English/02_-_Month_wise/03_-_March/26/Lecture_1977-03-26_LE-BOMBAY.MP3</t>
  </si>
  <si>
    <t>Conv_1977-03-27_R1-BOMBAY.MP3</t>
  </si>
  <si>
    <t>https://audio.iskcondesiretree.com/01_-_Srila_Prabhupada/01_-_Lectures/01_-_English/02_-_Month_wise/03_-_March/27/Conv_1977-03-27_R1-BOMBAY.MP3</t>
  </si>
  <si>
    <t>Conv_1977-03-27_R2-BOMBAY.MP3</t>
  </si>
  <si>
    <t>https://audio.iskcondesiretree.com/01_-_Srila_Prabhupada/01_-_Lectures/01_-_English/02_-_Month_wise/03_-_March/27/Conv_1977-03-27_R2-BOMBAY.MP3</t>
  </si>
  <si>
    <t>Conv_1977-03-27_R3-BOMBAY.MP3</t>
  </si>
  <si>
    <t>https://audio.iskcondesiretree.com/01_-_Srila_Prabhupada/01_-_Lectures/01_-_English/02_-_Month_wise/03_-_March/27/Conv_1977-03-27_R3-BOMBAY.MP3</t>
  </si>
  <si>
    <t>Conv_1977-03-27_R4-BOMBAY.MP3</t>
  </si>
  <si>
    <t>https://audio.iskcondesiretree.com/01_-_Srila_Prabhupada/01_-_Lectures/01_-_English/02_-_Month_wise/03_-_March/27/Conv_1977-03-27_R4-BOMBAY.MP3</t>
  </si>
  <si>
    <t>SP_Lecture_Bombay_1977-03-29_We_Have_to_Tolerate.mp3</t>
  </si>
  <si>
    <t>https://audio.iskcondesiretree.com/01_-_Srila_Prabhupada/01_-_Lectures/01_-_English/01_-_Topic_wise/Various/SP_Lecture_Bombay_1977-03-29_We_Have_to_Tolerate.mp3</t>
  </si>
  <si>
    <t>Conv_1977-03-29_R1-BOMBAY.MP3</t>
  </si>
  <si>
    <t>https://audio.iskcondesiretree.com/01_-_Srila_Prabhupada/01_-_Lectures/01_-_English/02_-_Month_wise/03_-_March/29/Conv_1977-03-29_R1-BOMBAY.MP3</t>
  </si>
  <si>
    <t>Lect_BOM_1977-03-29_We_Have_to_Tolerate.mp3</t>
  </si>
  <si>
    <t>https://audio.iskcondesiretree.com/01_-_Srila_Prabhupada/01_-_Lectures/01_-_English/02_-_Month_wise/03_-_March/29/Lect_BOM_1977-03-29_We_Have_to_Tolerate.mp3</t>
  </si>
  <si>
    <t>SB%E2%80%9305-05-03%E2%80%9304_1977-03-29_SB-BOMBAY.MP3</t>
  </si>
  <si>
    <t>https://audio.iskcondesiretree.com/01_-_Srila_Prabhupada/01_-_Lectures/01_-_English/02_-_Month_wise/03_-_March/29/SB%E2%80%9305-05-03%E2%80%9304_1977-03-29_SB-BOMBAY.MP3</t>
  </si>
  <si>
    <t>Conv_1977-03-30_R1-BOMBAY.MP3</t>
  </si>
  <si>
    <t>https://audio.iskcondesiretree.com/01_-_Srila_Prabhupada/01_-_Lectures/01_-_English/02_-_Month_wise/03_-_March/30/Conv_1977-03-30_R1-BOMBAY.MP3</t>
  </si>
  <si>
    <t>Conv_1977-03-31_R1-BOMBAY.MP3</t>
  </si>
  <si>
    <t>https://audio.iskcondesiretree.com/01_-_Srila_Prabhupada/01_-_Lectures/01_-_English/02_-_Month_wise/03_-_March/31/Conv_1977-03-31_R1-BOMBAY.MP3</t>
  </si>
  <si>
    <t>Conv_1977-03-31_R2-BOMBAY.MP3</t>
  </si>
  <si>
    <t>https://audio.iskcondesiretree.com/01_-_Srila_Prabhupada/01_-_Lectures/01_-_English/02_-_Month_wise/03_-_March/31/Conv_1977-03-31_R2-BOMBAY.MP3</t>
  </si>
  <si>
    <t>Conv_1977-03-31_R3-BOMBAY.MP3</t>
  </si>
  <si>
    <t>https://audio.iskcondesiretree.com/01_-_Srila_Prabhupada/01_-_Lectures/01_-_English/02_-_Month_wise/03_-_March/31/Conv_1977-03-31_R3-BOMBAY.MP3</t>
  </si>
  <si>
    <t>SP_Room_Conversation_Bombay_1977-04-01_From_Skyscraper_Constructor_to--etc.mp3</t>
  </si>
  <si>
    <t>https://audio.iskcondesiretree.com/01_-_Srila_Prabhupada/01_-_Lectures/01_-_English/01_-_Topic_wise/Room_Conversation/SP_Room_Conversation_Bombay_1977-04-01_From_Skyscraper_Constructor_to--etc.mp3</t>
  </si>
  <si>
    <t>SP_Lecture_Bombay_1977-04-01_Higher_Knowledge.mp3</t>
  </si>
  <si>
    <t>https://audio.iskcondesiretree.com/01_-_Srila_Prabhupada/01_-_Lectures/01_-_English/01_-_Topic_wise/Various/SP_Lecture_Bombay_1977-04-01_Higher_Knowledge.mp3</t>
  </si>
  <si>
    <t>Lect_BOM_1977-04-01_Higher_Knowledge.mp3</t>
  </si>
  <si>
    <t>https://audio.iskcondesiretree.com/01_-_Srila_Prabhupada/01_-_Lectures/01_-_English/02_-_Month_wise/04_-_April/01/Lect_BOM_1977-04-01_Higher_Knowledge.mp3</t>
  </si>
  <si>
    <t>Lecture_1977-04-01_LE-BOMBAY.MP3</t>
  </si>
  <si>
    <t>https://audio.iskcondesiretree.com/01_-_Srila_Prabhupada/01_-_Lectures/01_-_English/02_-_Month_wise/04_-_April/01/Lecture_1977-04-01_LE-BOMBAY.MP3</t>
  </si>
  <si>
    <t>RC_BOM_1977-04-01_From_Skyscraper_Constructor_to_etc.mp3</t>
  </si>
  <si>
    <t>https://audio.iskcondesiretree.com/01_-_Srila_Prabhupada/01_-_Lectures/01_-_English/02_-_Month_wise/04_-_April/01/RC_BOM_1977-04-01_From_Skyscraper_Constructor_to_etc.mp3</t>
  </si>
  <si>
    <t>Conv_1977-04-02_R1-BOMBAY.MP3</t>
  </si>
  <si>
    <t>https://audio.iskcondesiretree.com/01_-_Srila_Prabhupada/01_-_Lectures/01_-_English/02_-_Month_wise/04_-_April/02/Conv_1977-04-02_R1-BOMBAY.MP3</t>
  </si>
  <si>
    <t>SP_Room_Conversation_Bombay_1977-04-04_Unlock_the_Universal_Science.mp3</t>
  </si>
  <si>
    <t>https://audio.iskcondesiretree.com/01_-_Srila_Prabhupada/01_-_Lectures/01_-_English/01_-_Topic_wise/Room_Conversation/SP_Room_Conversation_Bombay_1977-04-04_Unlock_the_Universal_Science.mp3</t>
  </si>
  <si>
    <t>RC_BOM_1977-04-04_Unlock_the_Universal_Science.mp3</t>
  </si>
  <si>
    <t>https://audio.iskcondesiretree.com/01_-_Srila_Prabhupada/01_-_Lectures/01_-_English/02_-_Month_wise/04_-_April/04/RC_BOM_1977-04-04_Unlock_the_Universal_Science.mp3</t>
  </si>
  <si>
    <t>Conv_1977-04-05_R1-BOMBAY.MP3</t>
  </si>
  <si>
    <t>https://audio.iskcondesiretree.com/01_-_Srila_Prabhupada/01_-_Lectures/01_-_English/02_-_Month_wise/04_-_April/05/Conv_1977-04-05_R1-BOMBAY.MP3</t>
  </si>
  <si>
    <t>Conv_1977-04-05_R2-BOMBAY.MP3</t>
  </si>
  <si>
    <t>https://audio.iskcondesiretree.com/01_-_Srila_Prabhupada/01_-_Lectures/01_-_English/02_-_Month_wise/04_-_April/05/Conv_1977-04-05_R2-BOMBAY.MP3</t>
  </si>
  <si>
    <t>Conv_1977-04-05_R3-BOMBAY.MP3</t>
  </si>
  <si>
    <t>https://audio.iskcondesiretree.com/01_-_Srila_Prabhupada/01_-_Lectures/01_-_English/02_-_Month_wise/04_-_April/05/Conv_1977-04-05_R3-BOMBAY.MP3</t>
  </si>
  <si>
    <t>Interview_1977-04-05_IV-BOMBAY.MP3</t>
  </si>
  <si>
    <t>https://audio.iskcondesiretree.com/01_-_Srila_Prabhupada/01_-_Lectures/01_-_English/02_-_Month_wise/04_-_April/05/Interview_1977-04-05_IV-BOMBAY.MP3</t>
  </si>
  <si>
    <t>Conv_1977-04-10_R1-BOMBAY.MP3</t>
  </si>
  <si>
    <t>https://audio.iskcondesiretree.com/01_-_Srila_Prabhupada/01_-_Lectures/01_-_English/02_-_Month_wise/04_-_April/10/Conv_1977-04-10_R1-BOMBAY.MP3</t>
  </si>
  <si>
    <t>Conv_1977-04-10_R2-BOMBAY.MP3</t>
  </si>
  <si>
    <t>https://audio.iskcondesiretree.com/01_-_Srila_Prabhupada/01_-_Lectures/01_-_English/02_-_Month_wise/04_-_April/10/Conv_1977-04-10_R2-BOMBAY.MP3</t>
  </si>
  <si>
    <t>Conv_1977-04-11_R1-BOMBAY.MP3</t>
  </si>
  <si>
    <t>https://audio.iskcondesiretree.com/01_-_Srila_Prabhupada/01_-_Lectures/01_-_English/02_-_Month_wise/04_-_April/11/Conv_1977-04-11_R1-BOMBAY.MP3</t>
  </si>
  <si>
    <t>Conv_1977-04-13_R1-BOMBAY.MP3</t>
  </si>
  <si>
    <t>https://audio.iskcondesiretree.com/01_-_Srila_Prabhupada/01_-_Lectures/01_-_English/02_-_Month_wise/04_-_April/13/Conv_1977-04-13_R1-BOMBAY.MP3</t>
  </si>
  <si>
    <t>Conv_1977-04-15_R1-BOMBAY.MP3</t>
  </si>
  <si>
    <t>https://audio.iskcondesiretree.com/01_-_Srila_Prabhupada/01_-_Lectures/01_-_English/02_-_Month_wise/04_-_April/15/Conv_1977-04-15_R1-BOMBAY.MP3</t>
  </si>
  <si>
    <t>Conv_1977-04-16_R1-BOMBAY.MP3</t>
  </si>
  <si>
    <t>https://audio.iskcondesiretree.com/01_-_Srila_Prabhupada/01_-_Lectures/01_-_English/02_-_Month_wise/04_-_April/16/Conv_1977-04-16_R1-BOMBAY.MP3</t>
  </si>
  <si>
    <t>SP_Room_Conversation_Bombay_1977-04-17_Beyond_Sense_Perception.mp3</t>
  </si>
  <si>
    <t>https://audio.iskcondesiretree.com/01_-_Srila_Prabhupada/01_-_Lectures/01_-_English/01_-_Topic_wise/Room_Conversation/SP_Room_Conversation_Bombay_1977-04-17_Beyond_Sense_Perception.mp3</t>
  </si>
  <si>
    <t>SP_Room_Conversation_Bombay_1977-04-17_Do_Some_Preaching.mp3</t>
  </si>
  <si>
    <t>https://audio.iskcondesiretree.com/01_-_Srila_Prabhupada/01_-_Lectures/01_-_English/01_-_Topic_wise/Room_Conversation/SP_Room_Conversation_Bombay_1977-04-17_Do_Some_Preaching.mp3</t>
  </si>
  <si>
    <t>Conv_1977-04-17_R1-BOMBAY.MP3</t>
  </si>
  <si>
    <t>https://audio.iskcondesiretree.com/01_-_Srila_Prabhupada/01_-_Lectures/01_-_English/02_-_Month_wise/04_-_April/17/Conv_1977-04-17_R1-BOMBAY.MP3</t>
  </si>
  <si>
    <t>Conv_1977-04-17_R2-BOMBAY.MP3</t>
  </si>
  <si>
    <t>https://audio.iskcondesiretree.com/01_-_Srila_Prabhupada/01_-_Lectures/01_-_English/02_-_Month_wise/04_-_April/17/Conv_1977-04-17_R2-BOMBAY.MP3</t>
  </si>
  <si>
    <t>RC_BOM_1977-04-17_Beyond_Sense_Perception.mp3</t>
  </si>
  <si>
    <t>https://audio.iskcondesiretree.com/01_-_Srila_Prabhupada/01_-_Lectures/01_-_English/02_-_Month_wise/04_-_April/17/RC_BOM_1977-04-17_Beyond_Sense_Perception.mp3</t>
  </si>
  <si>
    <t>RC_BOM_1977-04-17_Do_Some_Preaching.mp3</t>
  </si>
  <si>
    <t>https://audio.iskcondesiretree.com/01_-_Srila_Prabhupada/01_-_Lectures/01_-_English/02_-_Month_wise/04_-_April/17/RC_BOM_1977-04-17_Do_Some_Preaching.mp3</t>
  </si>
  <si>
    <t>Conv_1977-04-18_R1-BOMBAY.MP3</t>
  </si>
  <si>
    <t>https://audio.iskcondesiretree.com/01_-_Srila_Prabhupada/01_-_Lectures/01_-_English/02_-_Month_wise/04_-_April/18/Conv_1977-04-18_R1-BOMBAY.MP3</t>
  </si>
  <si>
    <t>Conv_1977-04-18_R2-BOMBAY.MP3</t>
  </si>
  <si>
    <t>https://audio.iskcondesiretree.com/01_-_Srila_Prabhupada/01_-_Lectures/01_-_English/02_-_Month_wise/04_-_April/18/Conv_1977-04-18_R2-BOMBAY.MP3</t>
  </si>
  <si>
    <t>Conv_1977-04-19_R1-BOMBAY.MP3</t>
  </si>
  <si>
    <t>https://audio.iskcondesiretree.com/01_-_Srila_Prabhupada/01_-_Lectures/01_-_English/02_-_Month_wise/04_-_April/19/Conv_1977-04-19_R1-BOMBAY.MP3</t>
  </si>
  <si>
    <t>Conv_1977-04-19_R2-BOMBAY.MP3</t>
  </si>
  <si>
    <t>https://audio.iskcondesiretree.com/01_-_Srila_Prabhupada/01_-_Lectures/01_-_English/02_-_Month_wise/04_-_April/19/Conv_1977-04-19_R2-BOMBAY.MP3</t>
  </si>
  <si>
    <t>Conv_1977-04-19_R3-BOMBAY.MP3</t>
  </si>
  <si>
    <t>https://audio.iskcondesiretree.com/01_-_Srila_Prabhupada/01_-_Lectures/01_-_English/02_-_Month_wise/04_-_April/19/Conv_1977-04-19_R3-BOMBAY.MP3</t>
  </si>
  <si>
    <t>Conv_1977-04-20_R1-BOMBAY.MP3</t>
  </si>
  <si>
    <t>https://audio.iskcondesiretree.com/01_-_Srila_Prabhupada/01_-_Lectures/01_-_English/02_-_Month_wise/04_-_April/20/Conv_1977-04-20_R1-BOMBAY.MP3</t>
  </si>
  <si>
    <t>Conv_1977-04-22_R1-BOMBAY.MP3</t>
  </si>
  <si>
    <t>https://audio.iskcondesiretree.com/01_-_Srila_Prabhupada/01_-_Lectures/01_-_English/02_-_Month_wise/04_-_April/22/Conv_1977-04-22_R1-BOMBAY.MP3</t>
  </si>
  <si>
    <t>Conv_1977-04-22_R2-BOMBAY.MP3</t>
  </si>
  <si>
    <t>https://audio.iskcondesiretree.com/01_-_Srila_Prabhupada/01_-_Lectures/01_-_English/02_-_Month_wise/04_-_April/22/Conv_1977-04-22_R2-BOMBAY.MP3</t>
  </si>
  <si>
    <t>Conv_1977-04-22_R3-BOMBAY.MP3</t>
  </si>
  <si>
    <t>https://audio.iskcondesiretree.com/01_-_Srila_Prabhupada/01_-_Lectures/01_-_English/02_-_Month_wise/04_-_April/22/Conv_1977-04-22_R3-BOMBAY.MP3</t>
  </si>
  <si>
    <t>Conv_1977-04-23_R1-BOMBAY.MP3</t>
  </si>
  <si>
    <t>https://audio.iskcondesiretree.com/01_-_Srila_Prabhupada/01_-_Lectures/01_-_English/02_-_Month_wise/04_-_April/23/Conv_1977-04-23_R1-BOMBAY.MP3</t>
  </si>
  <si>
    <t>Meeting_1977-04-23_ME-BOMBAY.MP3</t>
  </si>
  <si>
    <t>https://audio.iskcondesiretree.com/01_-_Srila_Prabhupada/01_-_Lectures/01_-_English/02_-_Month_wise/04_-_April/23/Meeting_1977-04-23_ME-BOMBAY.MP3</t>
  </si>
  <si>
    <t>SP_Room_Conversation_Bombay_1977-04-24_Service_to_Man-Service_to_God.mp3</t>
  </si>
  <si>
    <t>https://audio.iskcondesiretree.com/01_-_Srila_Prabhupada/01_-_Lectures/01_-_English/01_-_Topic_wise/Room_Conversation/SP_Room_Conversation_Bombay_1977-04-24_Service_to_Man-Service_to_God.mp3</t>
  </si>
  <si>
    <t>Meeting_1977-04-24_ME-BOMBAY.MP3</t>
  </si>
  <si>
    <t>https://audio.iskcondesiretree.com/01_-_Srila_Prabhupada/01_-_Lectures/01_-_English/02_-_Month_wise/04_-_April/24/Meeting_1977-04-24_ME-BOMBAY.MP3</t>
  </si>
  <si>
    <t>RC_BOM_1977-04-24_Service_to_Man-Service_to_God.mp3</t>
  </si>
  <si>
    <t>https://audio.iskcondesiretree.com/01_-_Srila_Prabhupada/01_-_Lectures/01_-_English/02_-_Month_wise/04_-_April/24/RC_BOM_1977-04-24_Service_to_Man-Service_to_God.mp3</t>
  </si>
  <si>
    <t>SP_Room_Conversation_Bombay_1977-04-25_Go_to_the_Dogs_or_the_Gita.mp3</t>
  </si>
  <si>
    <t>https://audio.iskcondesiretree.com/01_-_Srila_Prabhupada/01_-_Lectures/01_-_English/01_-_Topic_wise/Room_Conversation/SP_Room_Conversation_Bombay_1977-04-25_Go_to_the_Dogs_or_the_Gita.mp3</t>
  </si>
  <si>
    <t>Conv_1977-04-25_R1-BOMBAY.MP3</t>
  </si>
  <si>
    <t>https://audio.iskcondesiretree.com/01_-_Srila_Prabhupada/01_-_Lectures/01_-_English/02_-_Month_wise/04_-_April/25/Conv_1977-04-25_R1-BOMBAY.MP3</t>
  </si>
  <si>
    <t>Conv_1977-04-25_R2-BOMBAY.MP3</t>
  </si>
  <si>
    <t>https://audio.iskcondesiretree.com/01_-_Srila_Prabhupada/01_-_Lectures/01_-_English/02_-_Month_wise/04_-_April/25/Conv_1977-04-25_R2-BOMBAY.MP3</t>
  </si>
  <si>
    <t>RC_BOM_1977-04-25_Go_to_the_Dogs_or_the_Gita.mp3</t>
  </si>
  <si>
    <t>https://audio.iskcondesiretree.com/01_-_Srila_Prabhupada/01_-_Lectures/01_-_English/02_-_Month_wise/04_-_April/25/RC_BOM_1977-04-25_Go_to_the_Dogs_or_the_Gita.mp3</t>
  </si>
  <si>
    <t>SP_Room_Conversation_Bombay_1977-04-28_Animal_Expertise.mp3</t>
  </si>
  <si>
    <t>https://audio.iskcondesiretree.com/01_-_Srila_Prabhupada/01_-_Lectures/01_-_English/01_-_Topic_wise/Room_Conversation/SP_Room_Conversation_Bombay_1977-04-28_Animal_Expertise.mp3</t>
  </si>
  <si>
    <t>Conv_1977-04-28_R1-BOMBAY.MP3</t>
  </si>
  <si>
    <t>https://audio.iskcondesiretree.com/01_-_Srila_Prabhupada/01_-_Lectures/01_-_English/02_-_Month_wise/04_-_April/28/Conv_1977-04-28_R1-BOMBAY.MP3</t>
  </si>
  <si>
    <t>Conv_1977-04-28_R2-BOMBAY.MP3</t>
  </si>
  <si>
    <t>https://audio.iskcondesiretree.com/01_-_Srila_Prabhupada/01_-_Lectures/01_-_English/02_-_Month_wise/04_-_April/28/Conv_1977-04-28_R2-BOMBAY.MP3</t>
  </si>
  <si>
    <t>RC_BOM_1977-04-28_Animal_Expertise.mp3</t>
  </si>
  <si>
    <t>https://audio.iskcondesiretree.com/01_-_Srila_Prabhupada/01_-_Lectures/01_-_English/02_-_Month_wise/04_-_April/28/RC_BOM_1977-04-28_Animal_Expertise.mp3</t>
  </si>
  <si>
    <t>Conv_1977-04-29_R1-BOMBAY.MP3</t>
  </si>
  <si>
    <t>https://audio.iskcondesiretree.com/01_-_Srila_Prabhupada/01_-_Lectures/01_-_English/02_-_Month_wise/04_-_April/29/Conv_1977-04-29_R1-BOMBAY.MP3</t>
  </si>
  <si>
    <t>Conv_1977-04-30_R1-BOMBAY.MP3</t>
  </si>
  <si>
    <t>https://audio.iskcondesiretree.com/01_-_Srila_Prabhupada/01_-_Lectures/01_-_English/02_-_Month_wise/04_-_April/30/Conv_1977-04-30_R1-BOMBAY.MP3</t>
  </si>
  <si>
    <t>Conv_1977-04-30_R2-BOMBAY.MP3</t>
  </si>
  <si>
    <t>https://audio.iskcondesiretree.com/01_-_Srila_Prabhupada/01_-_Lectures/01_-_English/02_-_Month_wise/04_-_April/30/Conv_1977-04-30_R2-BOMBAY.MP3</t>
  </si>
  <si>
    <t>Conv_1977-05-02_R1-BOMBAY.MP3</t>
  </si>
  <si>
    <t>https://audio.iskcondesiretree.com/01_-_Srila_Prabhupada/01_-_Lectures/01_-_English/02_-_Month_wise/05_-_May/02/Conv_1977-05-02_R1-BOMBAY.MP3</t>
  </si>
  <si>
    <t>Conv_1977-05-02_R2-BOMBAY.MP3</t>
  </si>
  <si>
    <t>https://audio.iskcondesiretree.com/01_-_Srila_Prabhupada/01_-_Lectures/01_-_English/02_-_Month_wise/05_-_May/02/Conv_1977-05-02_R2-BOMBAY.MP3</t>
  </si>
  <si>
    <t>Conv_1977-05-08_R1-RISHIKESH.MP3</t>
  </si>
  <si>
    <t>https://audio.iskcondesiretree.com/01_-_Srila_Prabhupada/01_-_Lectures/01_-_English/02_-_Month_wise/05_-_May/08/Conv_1977-05-08_R1-RISHIKESH.MP3</t>
  </si>
  <si>
    <t>Conv_1977-05-08_R2-RISHIKESH.MP3</t>
  </si>
  <si>
    <t>https://audio.iskcondesiretree.com/01_-_Srila_Prabhupada/01_-_Lectures/01_-_English/02_-_Month_wise/05_-_May/08/Conv_1977-05-08_R2-RISHIKESH.MP3</t>
  </si>
  <si>
    <t>Conv_1977-05-08_R3-RISHIKESH.MP3</t>
  </si>
  <si>
    <t>https://audio.iskcondesiretree.com/01_-_Srila_Prabhupada/01_-_Lectures/01_-_English/02_-_Month_wise/05_-_May/08/Conv_1977-05-08_R3-RISHIKESH.MP3</t>
  </si>
  <si>
    <t>SP_Room_Conversation_Hrisikesh_1977-05-09_Don%27t_Be_a_Dog-Be_a_Guru.mp3</t>
  </si>
  <si>
    <t>https://audio.iskcondesiretree.com/01_-_Srila_Prabhupada/01_-_Lectures/01_-_English/01_-_Topic_wise/Room_Conversation/SP_Room_Conversation_Hrisikesh_1977-05-09_Don%27t_Be_a_Dog-Be_a_Guru.mp3</t>
  </si>
  <si>
    <t>Darshan_1977-05-09_ED-RISHIKESH.MP3</t>
  </si>
  <si>
    <t>https://audio.iskcondesiretree.com/01_-_Srila_Prabhupada/01_-_Lectures/01_-_English/02_-_Month_wise/05_-_May/09/Darshan_1977-05-09_ED-RISHIKESH.MP3</t>
  </si>
  <si>
    <t>RC_HRI_1977-05-09_Don%27t_Be_a_Dog-Be_a_Guru.mp3</t>
  </si>
  <si>
    <t>https://audio.iskcondesiretree.com/01_-_Srila_Prabhupada/01_-_Lectures/01_-_English/02_-_Month_wise/05_-_May/09/RC_HRI_1977-05-09_Don%27t_Be_a_Dog-Be_a_Guru.mp3</t>
  </si>
  <si>
    <t>SP_Room_Conversation_Hrisikesh_1977-05-11_Krishna_Is_That_One.mp3</t>
  </si>
  <si>
    <t>https://audio.iskcondesiretree.com/01_-_Srila_Prabhupada/01_-_Lectures/01_-_English/01_-_Topic_wise/Room_Conversation/SP_Room_Conversation_Hrisikesh_1977-05-11_Krishna_Is_That_One.mp3</t>
  </si>
  <si>
    <t>Darshan_1977-05-11_ED-RISHIKESH.MP3</t>
  </si>
  <si>
    <t>https://audio.iskcondesiretree.com/01_-_Srila_Prabhupada/01_-_Lectures/01_-_English/02_-_Month_wise/05_-_May/11/Darshan_1977-05-11_ED-RISHIKESH.MP3</t>
  </si>
  <si>
    <t>RC_HRI_1977-05-11_Krishna_Is_That_One.mp3</t>
  </si>
  <si>
    <t>https://audio.iskcondesiretree.com/01_-_Srila_Prabhupada/01_-_Lectures/01_-_English/02_-_Month_wise/05_-_May/11/RC_HRI_1977-05-11_Krishna_Is_That_One.mp3</t>
  </si>
  <si>
    <t>SP_Room_Conversation_Hrisikesh_1977-05-12_Every_Village_Neighborhood_Home--etc.mp3</t>
  </si>
  <si>
    <t>https://audio.iskcondesiretree.com/01_-_Srila_Prabhupada/01_-_Lectures/01_-_English/01_-_Topic_wise/Room_Conversation/SP_Room_Conversation_Hrisikesh_1977-05-12_Every_Village_Neighborhood_Home--etc.mp3</t>
  </si>
  <si>
    <t>Darshan_1977-05-12_ED-RISHIKESH.MP3</t>
  </si>
  <si>
    <t>https://audio.iskcondesiretree.com/01_-_Srila_Prabhupada/01_-_Lectures/01_-_English/02_-_Month_wise/05_-_May/12/Darshan_1977-05-12_ED-RISHIKESH.MP3</t>
  </si>
  <si>
    <t>RC_HRI_1977-05-12_Every_Village_Neighborhood_Home_etc.mp3</t>
  </si>
  <si>
    <t>https://audio.iskcondesiretree.com/01_-_Srila_Prabhupada/01_-_Lectures/01_-_English/02_-_Month_wise/05_-_May/12/RC_HRI_1977-05-12_Every_Village_Neighborhood_Home_etc.mp3</t>
  </si>
  <si>
    <t>SP_Room_Conversation_Hrisikesh_1977-05-13_Real_Mystic_Power.mp3</t>
  </si>
  <si>
    <t>https://audio.iskcondesiretree.com/01_-_Srila_Prabhupada/01_-_Lectures/01_-_English/01_-_Topic_wise/Room_Conversation/SP_Room_Conversation_Hrisikesh_1977-05-13_Real_Mystic_Power.mp3</t>
  </si>
  <si>
    <t>Darshan_1977-05-13_ED-RISHIKESH.MP3</t>
  </si>
  <si>
    <t>https://audio.iskcondesiretree.com/01_-_Srila_Prabhupada/01_-_Lectures/01_-_English/02_-_Month_wise/05_-_May/13/Darshan_1977-05-13_ED-RISHIKESH.MP3</t>
  </si>
  <si>
    <t>RC_HRI_1977-05-13_Real_Mystic_Power.mp3</t>
  </si>
  <si>
    <t>https://audio.iskcondesiretree.com/01_-_Srila_Prabhupada/01_-_Lectures/01_-_English/02_-_Month_wise/05_-_May/13/RC_HRI_1977-05-13_Real_Mystic_Power.mp3</t>
  </si>
  <si>
    <t>SP_Room_Conversation_Hrisikesh_1977-05-14_Dry_Land_in_Ocean_of_Faults.mp3</t>
  </si>
  <si>
    <t>https://audio.iskcondesiretree.com/01_-_Srila_Prabhupada/01_-_Lectures/01_-_English/01_-_Topic_wise/Room_Conversation/SP_Room_Conversation_Hrisikesh_1977-05-14_Dry_Land_in_Ocean_of_Faults.mp3</t>
  </si>
  <si>
    <t>Darshan_1977-05-14_ED-RISHIKESH.MP3</t>
  </si>
  <si>
    <t>https://audio.iskcondesiretree.com/01_-_Srila_Prabhupada/01_-_Lectures/01_-_English/02_-_Month_wise/05_-_May/14/Darshan_1977-05-14_ED-RISHIKESH.MP3</t>
  </si>
  <si>
    <t>RC_HRI_1977-05-14_Dry_Land_in_Ocean_of_Faults.mp3</t>
  </si>
  <si>
    <t>https://audio.iskcondesiretree.com/01_-_Srila_Prabhupada/01_-_Lectures/01_-_English/02_-_Month_wise/05_-_May/14/RC_HRI_1977-05-14_Dry_Land_in_Ocean_of_Faults.mp3</t>
  </si>
  <si>
    <t>Darshan_1977-05-15_ED-RISHIKESH.MP3</t>
  </si>
  <si>
    <t>https://audio.iskcondesiretree.com/01_-_Srila_Prabhupada/01_-_Lectures/01_-_English/02_-_Month_wise/05_-_May/15/Darshan_1977-05-15_ED-RISHIKESH.MP3</t>
  </si>
  <si>
    <t>Arrival_1977-05-17_AR-VRNDAVAN.MP3</t>
  </si>
  <si>
    <t>https://audio.iskcondesiretree.com/01_-_Srila_Prabhupada/01_-_Lectures/01_-_English/02_-_Month_wise/05_-_May/17/Arrival_1977-05-17_AR-VRNDAVAN.MP3</t>
  </si>
  <si>
    <t>Conv_1977-05-17_R1-VRNDAVAN.MP3</t>
  </si>
  <si>
    <t>https://audio.iskcondesiretree.com/01_-_Srila_Prabhupada/01_-_Lectures/01_-_English/02_-_Month_wise/05_-_May/17/Conv_1977-05-17_R1-VRNDAVAN.MP3</t>
  </si>
  <si>
    <t>Conv_1977-05-19_R1-VRNDAVAN.MP3</t>
  </si>
  <si>
    <t>https://audio.iskcondesiretree.com/01_-_Srila_Prabhupada/01_-_Lectures/01_-_English/02_-_Month_wise/05_-_May/19/Conv_1977-05-19_R1-VRNDAVAN.MP3</t>
  </si>
  <si>
    <t>Conv_1977-05-20_R1-VRNDAVAN.MP3</t>
  </si>
  <si>
    <t>https://audio.iskcondesiretree.com/01_-_Srila_Prabhupada/01_-_Lectures/01_-_English/02_-_Month_wise/05_-_May/20/Conv_1977-05-20_R1-VRNDAVAN.MP3</t>
  </si>
  <si>
    <t>Conv_1977-05-21_R1-VRNDAVAN.MP3</t>
  </si>
  <si>
    <t>https://audio.iskcondesiretree.com/01_-_Srila_Prabhupada/01_-_Lectures/01_-_English/02_-_Month_wise/05_-_May/21/Conv_1977-05-21_R1-VRNDAVAN.MP3</t>
  </si>
  <si>
    <t>Conv_1977-05-22_R1-VRNDAVAN.MP3</t>
  </si>
  <si>
    <t>https://audio.iskcondesiretree.com/01_-_Srila_Prabhupada/01_-_Lectures/01_-_English/02_-_Month_wise/05_-_May/22/Conv_1977-05-22_R1-VRNDAVAN.MP3</t>
  </si>
  <si>
    <t>Conv_1977-05-24_R1-VRNDAVAN.MP3</t>
  </si>
  <si>
    <t>https://audio.iskcondesiretree.com/01_-_Srila_Prabhupada/01_-_Lectures/01_-_English/02_-_Month_wise/05_-_May/24/Conv_1977-05-24_R1-VRNDAVAN.MP3</t>
  </si>
  <si>
    <t>Conv_1977-05-24_R2-VRNDAVAN.MP3</t>
  </si>
  <si>
    <t>https://audio.iskcondesiretree.com/01_-_Srila_Prabhupada/01_-_Lectures/01_-_English/02_-_Month_wise/05_-_May/24/Conv_1977-05-24_R2-VRNDAVAN.MP3</t>
  </si>
  <si>
    <t>Conv_1977-05-24_R3-VRNDAVAN.MP3</t>
  </si>
  <si>
    <t>https://audio.iskcondesiretree.com/01_-_Srila_Prabhupada/01_-_Lectures/01_-_English/02_-_Month_wise/05_-_May/24/Conv_1977-05-24_R3-VRNDAVAN.MP3</t>
  </si>
  <si>
    <t>Conv_1977-05-24_R4-VRNDAVAN.MP3</t>
  </si>
  <si>
    <t>https://audio.iskcondesiretree.com/01_-_Srila_Prabhupada/01_-_Lectures/01_-_English/02_-_Month_wise/05_-_May/24/Conv_1977-05-24_R4-VRNDAVAN.MP3</t>
  </si>
  <si>
    <t>Conv_1977-05-25_R1-VRNDAVAN.MP3</t>
  </si>
  <si>
    <t>https://audio.iskcondesiretree.com/01_-_Srila_Prabhupada/01_-_Lectures/01_-_English/02_-_Month_wise/05_-_May/25/Conv_1977-05-25_R1-VRNDAVAN.MP3</t>
  </si>
  <si>
    <t>Conv_1977-05-25_R2-VRNDAVAN.MP3</t>
  </si>
  <si>
    <t>https://audio.iskcondesiretree.com/01_-_Srila_Prabhupada/01_-_Lectures/01_-_English/02_-_Month_wise/05_-_May/25/Conv_1977-05-25_R2-VRNDAVAN.MP3</t>
  </si>
  <si>
    <t>Conv_1977-05-27_R1-VRNDAVAN.MP3</t>
  </si>
  <si>
    <t>https://audio.iskcondesiretree.com/01_-_Srila_Prabhupada/01_-_Lectures/01_-_English/02_-_Month_wise/05_-_May/27/Conv_1977-05-27_R1-VRNDAVAN.MP3</t>
  </si>
  <si>
    <t>Conv_1977-05-27_R2-VRNDAVAN.MP3</t>
  </si>
  <si>
    <t>https://audio.iskcondesiretree.com/01_-_Srila_Prabhupada/01_-_Lectures/01_-_English/02_-_Month_wise/05_-_May/27/Conv_1977-05-27_R2-VRNDAVAN.MP3</t>
  </si>
  <si>
    <t>PrabhupadaVigil_1977-05-27_VG-VRNDAVAN.MP3</t>
  </si>
  <si>
    <t>https://audio.iskcondesiretree.com/01_-_Srila_Prabhupada/01_-_Lectures/01_-_English/02_-_Month_wise/05_-_May/27/PrabhupadaVigil_1977-05-27_VG-VRNDAVAN.MP3</t>
  </si>
  <si>
    <t>Conv_1977-05-28_R1-VRNDAVAN.MP3</t>
  </si>
  <si>
    <t>https://audio.iskcondesiretree.com/01_-_Srila_Prabhupada/01_-_Lectures/01_-_English/02_-_Month_wise/05_-_May/28/Conv_1977-05-28_R1-VRNDAVAN.MP3</t>
  </si>
  <si>
    <t>Meeting_1977-05-28_ME-VRNDAVAN.MP3</t>
  </si>
  <si>
    <t>https://audio.iskcondesiretree.com/01_-_Srila_Prabhupada/01_-_Lectures/01_-_English/02_-_Month_wise/05_-_May/28/Meeting_1977-05-28_ME-VRNDAVAN.MP3</t>
  </si>
  <si>
    <t>PrabhupadaVigil_1977-05-28_VG-VRNDAVAN.MP3</t>
  </si>
  <si>
    <t>https://audio.iskcondesiretree.com/01_-_Srila_Prabhupada/01_-_Lectures/01_-_English/02_-_Month_wise/05_-_May/28/PrabhupadaVigil_1977-05-28_VG-VRNDAVAN.MP3</t>
  </si>
  <si>
    <t>Conv_1977-05-29_R1-VRNDAVAN.MP3</t>
  </si>
  <si>
    <t>https://audio.iskcondesiretree.com/01_-_Srila_Prabhupada/01_-_Lectures/01_-_English/02_-_Month_wise/05_-_May/29/Conv_1977-05-29_R1-VRNDAVAN.MP3</t>
  </si>
  <si>
    <t>Conv_1977-05-29_R2-VRNDAVAN.MP3</t>
  </si>
  <si>
    <t>https://audio.iskcondesiretree.com/01_-_Srila_Prabhupada/01_-_Lectures/01_-_English/02_-_Month_wise/05_-_May/29/Conv_1977-05-29_R2-VRNDAVAN.MP3</t>
  </si>
  <si>
    <t>Conv_1977-05-31_R1-VRNDAVAN.MP3</t>
  </si>
  <si>
    <t>https://audio.iskcondesiretree.com/01_-_Srila_Prabhupada/01_-_Lectures/01_-_English/02_-_Month_wise/05_-_May/31/Conv_1977-05-31_R1-VRNDAVAN.MP3</t>
  </si>
  <si>
    <t>Conv_1977-06-01_DC-VRNDAVAN.MP3</t>
  </si>
  <si>
    <t>https://audio.iskcondesiretree.com/01_-_Srila_Prabhupada/01_-_Lectures/01_-_English/02_-_Month_wise/06_-_June/01/Conv_1977-06-01_DC-VRNDAVAN.MP3</t>
  </si>
  <si>
    <t>Conv_1977-06-02_DC-VRNDAVAN.MP3</t>
  </si>
  <si>
    <t>https://audio.iskcondesiretree.com/01_-_Srila_Prabhupada/01_-_Lectures/01_-_English/02_-_Month_wise/06_-_June/02/Conv_1977-06-02_DC-VRNDAVAN.MP3</t>
  </si>
  <si>
    <t>Conv_1977-06-17_R1-VRNDAVAN.MP3</t>
  </si>
  <si>
    <t>https://audio.iskcondesiretree.com/01_-_Srila_Prabhupada/01_-_Lectures/01_-_English/02_-_Month_wise/06_-_June/17/Conv_1977-06-17_R1-VRNDAVAN.MP3</t>
  </si>
  <si>
    <t>Conv_1977-06-18_R1-VRNDAVAN.MP3</t>
  </si>
  <si>
    <t>https://audio.iskcondesiretree.com/01_-_Srila_Prabhupada/01_-_Lectures/01_-_English/02_-_Month_wise/06_-_June/18/Conv_1977-06-18_R1-VRNDAVAN.MP3</t>
  </si>
  <si>
    <t>Conv_1977-06-19_R1-VRNDAVAN.MP3</t>
  </si>
  <si>
    <t>https://audio.iskcondesiretree.com/01_-_Srila_Prabhupada/01_-_Lectures/01_-_English/02_-_Month_wise/06_-_June/19/Conv_1977-06-19_R1-VRNDAVAN.MP3</t>
  </si>
  <si>
    <t>Conv_1977-06-19_R2-VRNDAVAN.MP3</t>
  </si>
  <si>
    <t>https://audio.iskcondesiretree.com/01_-_Srila_Prabhupada/01_-_Lectures/01_-_English/02_-_Month_wise/06_-_June/19/Conv_1977-06-19_R2-VRNDAVAN.MP3</t>
  </si>
  <si>
    <t>Conv_1977-06-20_R1-VRNDAVAN.MP3</t>
  </si>
  <si>
    <t>https://audio.iskcondesiretree.com/01_-_Srila_Prabhupada/01_-_Lectures/01_-_English/02_-_Month_wise/06_-_June/20/Conv_1977-06-20_R1-VRNDAVAN.MP3</t>
  </si>
  <si>
    <t>Conv_1977-06-20_R2-VRNDAVAN.MP3</t>
  </si>
  <si>
    <t>https://audio.iskcondesiretree.com/01_-_Srila_Prabhupada/01_-_Lectures/01_-_English/02_-_Month_wise/06_-_June/20/Conv_1977-06-20_R2-VRNDAVAN.MP3</t>
  </si>
  <si>
    <t>Conv_1977-06-21_R1-VRNDAVAN.MP3</t>
  </si>
  <si>
    <t>https://audio.iskcondesiretree.com/01_-_Srila_Prabhupada/01_-_Lectures/01_-_English/02_-_Month_wise/06_-_June/21/Conv_1977-06-21_R1-VRNDAVAN.MP3</t>
  </si>
  <si>
    <t>Conv_1977-06-22_R1-VRNDAVAN.MP3</t>
  </si>
  <si>
    <t>https://audio.iskcondesiretree.com/01_-_Srila_Prabhupada/01_-_Lectures/01_-_English/02_-_Month_wise/06_-_June/22/Conv_1977-06-22_R1-VRNDAVAN.MP3</t>
  </si>
  <si>
    <t>Conv_1977-06-23_R1-VRNDAVAN.MP3</t>
  </si>
  <si>
    <t>https://audio.iskcondesiretree.com/01_-_Srila_Prabhupada/01_-_Lectures/01_-_English/02_-_Month_wise/06_-_June/23/Conv_1977-06-23_R1-VRNDAVAN.MP3</t>
  </si>
  <si>
    <t>Conv_1977-06-24_R1-VRNDAVAN.MP3</t>
  </si>
  <si>
    <t>https://audio.iskcondesiretree.com/01_-_Srila_Prabhupada/01_-_Lectures/01_-_English/02_-_Month_wise/06_-_June/24/Conv_1977-06-24_R1-VRNDAVAN.MP3</t>
  </si>
  <si>
    <t>Conv_1977-06-26_R1-VRNDAVAN.MP3</t>
  </si>
  <si>
    <t>https://audio.iskcondesiretree.com/01_-_Srila_Prabhupada/01_-_Lectures/01_-_English/02_-_Month_wise/06_-_June/26/Conv_1977-06-26_R1-VRNDAVAN.MP3</t>
  </si>
  <si>
    <t>Inspection_1977-06-26_GI-VRNDAVAN.MP3</t>
  </si>
  <si>
    <t>https://audio.iskcondesiretree.com/01_-_Srila_Prabhupada/01_-_Lectures/01_-_English/02_-_Month_wise/06_-_June/26/Inspection_1977-06-26_GI-VRNDAVAN.MP3</t>
  </si>
  <si>
    <t>Conv_1977-06-27_R1-VRNDAVAN.MP3</t>
  </si>
  <si>
    <t>https://audio.iskcondesiretree.com/01_-_Srila_Prabhupada/01_-_Lectures/01_-_English/02_-_Month_wise/06_-_June/27/Conv_1977-06-27_R1-VRNDAVAN.MP3</t>
  </si>
  <si>
    <t>Conv_1977-06-28_R1-VRNDAVAN.MP3</t>
  </si>
  <si>
    <t>https://audio.iskcondesiretree.com/01_-_Srila_Prabhupada/01_-_Lectures/01_-_English/02_-_Month_wise/06_-_June/28/Conv_1977-06-28_R1-VRNDAVAN.MP3</t>
  </si>
  <si>
    <t>Conv_1977-06-28_R2-VRNDAVAN.MP3</t>
  </si>
  <si>
    <t>https://audio.iskcondesiretree.com/01_-_Srila_Prabhupada/01_-_Lectures/01_-_English/02_-_Month_wise/06_-_June/28/Conv_1977-06-28_R2-VRNDAVAN.MP3</t>
  </si>
  <si>
    <t>Conv_1977-06-28_R3-VRNDAVAN.MP3</t>
  </si>
  <si>
    <t>https://audio.iskcondesiretree.com/01_-_Srila_Prabhupada/01_-_Lectures/01_-_English/02_-_Month_wise/06_-_June/28/Conv_1977-06-28_R3-VRNDAVAN.MP3</t>
  </si>
  <si>
    <t>Conv_1977-06-28_R4-VRNDAVAN.MP3</t>
  </si>
  <si>
    <t>https://audio.iskcondesiretree.com/01_-_Srila_Prabhupada/01_-_Lectures/01_-_English/02_-_Month_wise/06_-_June/28/Conv_1977-06-28_R4-VRNDAVAN.MP3</t>
  </si>
  <si>
    <t>Conv_1977-06-30_R1-VRNDAVAN.MP3</t>
  </si>
  <si>
    <t>https://audio.iskcondesiretree.com/01_-_Srila_Prabhupada/01_-_Lectures/01_-_English/02_-_Month_wise/06_-_June/30/Conv_1977-06-30_R1-VRNDAVAN.MP3</t>
  </si>
  <si>
    <t>Conv_1977-06-30_R2-VRNDAVAN.MP3</t>
  </si>
  <si>
    <t>https://audio.iskcondesiretree.com/01_-_Srila_Prabhupada/01_-_Lectures/01_-_English/02_-_Month_wise/06_-_June/30/Conv_1977-06-30_R2-VRNDAVAN.MP3</t>
  </si>
  <si>
    <t>Conv_1977-06-30_R3-VRNDAVAN.MP3</t>
  </si>
  <si>
    <t>https://audio.iskcondesiretree.com/01_-_Srila_Prabhupada/01_-_Lectures/01_-_English/02_-_Month_wise/06_-_June/30/Conv_1977-06-30_R3-VRNDAVAN.MP3</t>
  </si>
  <si>
    <t>Conv_1977-07-01_R1-VRNDAVAN.MP3</t>
  </si>
  <si>
    <t>https://audio.iskcondesiretree.com/01_-_Srila_Prabhupada/01_-_Lectures/01_-_English/02_-_Month_wise/07_-_July/01/Conv_1977-07-01_R1-VRNDAVAN.MP3</t>
  </si>
  <si>
    <t>Conv_1977-07-01_R2-VRNDAVAN.MP3</t>
  </si>
  <si>
    <t>https://audio.iskcondesiretree.com/01_-_Srila_Prabhupada/01_-_Lectures/01_-_English/02_-_Month_wise/07_-_July/01/Conv_1977-07-01_R2-VRNDAVAN.MP3</t>
  </si>
  <si>
    <t>Conv_1977-07-01_R3-VRNDAVAN.MP3</t>
  </si>
  <si>
    <t>https://audio.iskcondesiretree.com/01_-_Srila_Prabhupada/01_-_Lectures/01_-_English/02_-_Month_wise/07_-_July/01/Conv_1977-07-01_R3-VRNDAVAN.MP3</t>
  </si>
  <si>
    <t>Conv_1977-07-01_R4-VRNDAVAN.MP3</t>
  </si>
  <si>
    <t>https://audio.iskcondesiretree.com/01_-_Srila_Prabhupada/01_-_Lectures/01_-_English/02_-_Month_wise/07_-_July/01/Conv_1977-07-01_R4-VRNDAVAN.MP3</t>
  </si>
  <si>
    <t>Conv_1977-07-01_R5-VRNDAVAN.MP3</t>
  </si>
  <si>
    <t>https://audio.iskcondesiretree.com/01_-_Srila_Prabhupada/01_-_Lectures/01_-_English/02_-_Month_wise/07_-_July/01/Conv_1977-07-01_R5-VRNDAVAN.MP3</t>
  </si>
  <si>
    <t>Conv_1977-07-01_R6-VRNDAVAN.MP3</t>
  </si>
  <si>
    <t>https://audio.iskcondesiretree.com/01_-_Srila_Prabhupada/01_-_Lectures/01_-_English/02_-_Month_wise/07_-_July/01/Conv_1977-07-01_R6-VRNDAVAN.MP3</t>
  </si>
  <si>
    <t>Conv_1977-07-02_R1-VRNDAVAN.MP3</t>
  </si>
  <si>
    <t>https://audio.iskcondesiretree.com/01_-_Srila_Prabhupada/01_-_Lectures/01_-_English/02_-_Month_wise/07_-_July/02/Conv_1977-07-02_R1-VRNDAVAN.MP3</t>
  </si>
  <si>
    <t>DiscussionBhu-mandala_1977-07-02_DC-VRNDAVAN.MP3</t>
  </si>
  <si>
    <t>https://audio.iskcondesiretree.com/01_-_Srila_Prabhupada/01_-_Lectures/01_-_English/02_-_Month_wise/07_-_July/02/DiscussionBhu-mandala_1977-07-02_DC-VRNDAVAN.MP3</t>
  </si>
  <si>
    <t>DiscussionBhu-mandala_1977-07-03_DC-VRNDAVAN.MP3</t>
  </si>
  <si>
    <t>https://audio.iskcondesiretree.com/01_-_Srila_Prabhupada/01_-_Lectures/01_-_English/02_-_Month_wise/07_-_July/03/DiscussionBhu-mandala_1977-07-03_DC-VRNDAVAN.MP3</t>
  </si>
  <si>
    <t>Conv_1977-07-05_R1-VRNDAVAN.MP3</t>
  </si>
  <si>
    <t>https://audio.iskcondesiretree.com/01_-_Srila_Prabhupada/01_-_Lectures/01_-_English/02_-_Month_wise/07_-_July/05/Conv_1977-07-05_R1-VRNDAVAN.MP3</t>
  </si>
  <si>
    <t>DiscussionBhu-mandala_1977-07-05_DC-VRNDAVAN.MP3</t>
  </si>
  <si>
    <t>https://audio.iskcondesiretree.com/01_-_Srila_Prabhupada/01_-_Lectures/01_-_English/02_-_Month_wise/07_-_July/05/DiscussionBhu-mandala_1977-07-05_DC-VRNDAVAN.MP3</t>
  </si>
  <si>
    <t>Conv_1977-07-06_R1-VRNDAVAN.MP3</t>
  </si>
  <si>
    <t>https://audio.iskcondesiretree.com/01_-_Srila_Prabhupada/01_-_Lectures/01_-_English/02_-_Month_wise/07_-_July/06/Conv_1977-07-06_R1-VRNDAVAN.MP3</t>
  </si>
  <si>
    <t>Conv_1977-07-07_R1-VRNDAVAN.MP3</t>
  </si>
  <si>
    <t>https://audio.iskcondesiretree.com/01_-_Srila_Prabhupada/01_-_Lectures/01_-_English/02_-_Month_wise/07_-_July/07/Conv_1977-07-07_R1-VRNDAVAN.MP3</t>
  </si>
  <si>
    <t>Conv_1977-07-07_R2-VRNDAVAN.MP3</t>
  </si>
  <si>
    <t>https://audio.iskcondesiretree.com/01_-_Srila_Prabhupada/01_-_Lectures/01_-_English/02_-_Month_wise/07_-_July/07/Conv_1977-07-07_R2-VRNDAVAN.MP3</t>
  </si>
  <si>
    <t>Conv_1977-07-07_R3-VRNDAVAN.MP3</t>
  </si>
  <si>
    <t>https://audio.iskcondesiretree.com/01_-_Srila_Prabhupada/01_-_Lectures/01_-_English/02_-_Month_wise/07_-_July/07/Conv_1977-07-07_R3-VRNDAVAN.MP3</t>
  </si>
  <si>
    <t>Conv_1977-07-08_R1-VRNDAVAN.MP3</t>
  </si>
  <si>
    <t>https://audio.iskcondesiretree.com/01_-_Srila_Prabhupada/01_-_Lectures/01_-_English/02_-_Month_wise/07_-_July/08/Conv_1977-07-08_R1-VRNDAVAN.MP3</t>
  </si>
  <si>
    <t>Conv_1977-07-08_R2-VRNDAVAN.MP3</t>
  </si>
  <si>
    <t>https://audio.iskcondesiretree.com/01_-_Srila_Prabhupada/01_-_Lectures/01_-_English/02_-_Month_wise/07_-_July/08/Conv_1977-07-08_R2-VRNDAVAN.MP3</t>
  </si>
  <si>
    <t>Conv_1977-07-10_R1-VRNDAVAN.MP3</t>
  </si>
  <si>
    <t>https://audio.iskcondesiretree.com/01_-_Srila_Prabhupada/01_-_Lectures/01_-_English/02_-_Month_wise/07_-_July/10/Conv_1977-07-10_R1-VRNDAVAN.MP3</t>
  </si>
  <si>
    <t>Conv_1977-07-14_R1-VRNDAVAN.MP3</t>
  </si>
  <si>
    <t>https://audio.iskcondesiretree.com/01_-_Srila_Prabhupada/01_-_Lectures/01_-_English/02_-_Month_wise/07_-_July/14/Conv_1977-07-14_R1-VRNDAVAN.MP3</t>
  </si>
  <si>
    <t>Conv_1977-07-14_R2-VRNDAVAN.MP3</t>
  </si>
  <si>
    <t>https://audio.iskcondesiretree.com/01_-_Srila_Prabhupada/01_-_Lectures/01_-_English/02_-_Month_wise/07_-_July/14/Conv_1977-07-14_R2-VRNDAVAN.MP3</t>
  </si>
  <si>
    <t>Conv_1977-07-15_R1-VRNDAVAN.MP3</t>
  </si>
  <si>
    <t>https://audio.iskcondesiretree.com/01_-_Srila_Prabhupada/01_-_Lectures/01_-_English/02_-_Month_wise/07_-_July/15/Conv_1977-07-15_R1-VRNDAVAN.MP3</t>
  </si>
  <si>
    <t>Conv_1977-07-17_R1-VRNDAVAN.MP3</t>
  </si>
  <si>
    <t>https://audio.iskcondesiretree.com/01_-_Srila_Prabhupada/01_-_Lectures/01_-_English/02_-_Month_wise/07_-_July/17/Conv_1977-07-17_R1-VRNDAVAN.MP3</t>
  </si>
  <si>
    <t>Conv_1977-07-17_R2-VRNDAVAN.MP3</t>
  </si>
  <si>
    <t>https://audio.iskcondesiretree.com/01_-_Srila_Prabhupada/01_-_Lectures/01_-_English/02_-_Month_wise/07_-_July/17/Conv_1977-07-17_R2-VRNDAVAN.MP3</t>
  </si>
  <si>
    <t>Conv_1977-07-19_R1-VRNDAVAN.MP3</t>
  </si>
  <si>
    <t>https://audio.iskcondesiretree.com/01_-_Srila_Prabhupada/01_-_Lectures/01_-_English/02_-_Month_wise/07_-_July/19/Conv_1977-07-19_R1-VRNDAVAN.MP3</t>
  </si>
  <si>
    <t>Conv_1977-07-19_R2-VRNDAVAN.MP3</t>
  </si>
  <si>
    <t>https://audio.iskcondesiretree.com/01_-_Srila_Prabhupada/01_-_Lectures/01_-_English/02_-_Month_wise/07_-_July/19/Conv_1977-07-19_R2-VRNDAVAN.MP3</t>
  </si>
  <si>
    <t>Conv_1977-07-26_R1-VRNDAVAN.MP3</t>
  </si>
  <si>
    <t>https://audio.iskcondesiretree.com/01_-_Srila_Prabhupada/01_-_Lectures/01_-_English/02_-_Month_wise/07_-_July/26/Conv_1977-07-26_R1-VRNDAVAN.MP3</t>
  </si>
  <si>
    <t>Conv_1977-07-27_R1-VRNDAVAN.MP3</t>
  </si>
  <si>
    <t>https://audio.iskcondesiretree.com/01_-_Srila_Prabhupada/01_-_Lectures/01_-_English/02_-_Month_wise/07_-_July/27/Conv_1977-07-27_R1-VRNDAVAN.MP3</t>
  </si>
  <si>
    <t>Conv_1977-07-31_R1-VRNDAVAN.MP3</t>
  </si>
  <si>
    <t>https://audio.iskcondesiretree.com/01_-_Srila_Prabhupada/01_-_Lectures/01_-_English/02_-_Month_wise/07_-_July/31/Conv_1977-07-31_R1-VRNDAVAN.MP3</t>
  </si>
  <si>
    <t>Conv_1977-08-08_R1-VRNDAVAN.MP3</t>
  </si>
  <si>
    <t>https://audio.iskcondesiretree.com/01_-_Srila_Prabhupada/01_-_Lectures/01_-_English/02_-_Month_wise/08_-_August/08/Conv_1977-08-08_R1-VRNDAVAN.MP3</t>
  </si>
  <si>
    <t>Conv_1977-08-10_R1-VRNDAVAN.MP3</t>
  </si>
  <si>
    <t>https://audio.iskcondesiretree.com/01_-_Srila_Prabhupada/01_-_Lectures/01_-_English/02_-_Month_wise/08_-_August/10/Conv_1977-08-10_R1-VRNDAVAN.MP3</t>
  </si>
  <si>
    <t>Conv_1977-08-11_R1-VRNDAVAN.MP3</t>
  </si>
  <si>
    <t>https://audio.iskcondesiretree.com/01_-_Srila_Prabhupada/01_-_Lectures/01_-_English/02_-_Month_wise/08_-_August/11/Conv_1977-08-11_R1-VRNDAVAN.MP3</t>
  </si>
  <si>
    <t>Conv_1977-08-17_R1-VRNDAVAN.MP3</t>
  </si>
  <si>
    <t>https://audio.iskcondesiretree.com/01_-_Srila_Prabhupada/01_-_Lectures/01_-_English/02_-_Month_wise/08_-_August/17/Conv_1977-08-17_R1-VRNDAVAN.MP3</t>
  </si>
  <si>
    <t>Conv_1977-08-29_R1-LONDON.MP3</t>
  </si>
  <si>
    <t>https://audio.iskcondesiretree.com/01_-_Srila_Prabhupada/01_-_Lectures/01_-_English/02_-_Month_wise/08_-_August/29/Conv_1977-08-29_R1-LONDON.MP3</t>
  </si>
  <si>
    <t>Conv_1977-10-02_R1-VRNDAVAN.MP3</t>
  </si>
  <si>
    <t>https://audio.iskcondesiretree.com/01_-_Srila_Prabhupada/01_-_Lectures/01_-_English/02_-_Month_wise/10_-_October/02/Conv_1977-10-02_R1-VRNDAVAN.MP3</t>
  </si>
  <si>
    <t>Conv_1977-10-03_R1-VRNDAVAN.MP3</t>
  </si>
  <si>
    <t>https://audio.iskcondesiretree.com/01_-_Srila_Prabhupada/01_-_Lectures/01_-_English/02_-_Month_wise/10_-_October/03/Conv_1977-10-03_R1-VRNDAVAN.MP3</t>
  </si>
  <si>
    <t>Conv_1977-10-04_R1-VRNDAVAN.MP3</t>
  </si>
  <si>
    <t>https://audio.iskcondesiretree.com/01_-_Srila_Prabhupada/01_-_Lectures/01_-_English/02_-_Month_wise/10_-_October/04/Conv_1977-10-04_R1-VRNDAVAN.MP3</t>
  </si>
  <si>
    <t>Conv_1977-10-06_R1-VRNDAVAN.MP3</t>
  </si>
  <si>
    <t>https://audio.iskcondesiretree.com/01_-_Srila_Prabhupada/01_-_Lectures/01_-_English/02_-_Month_wise/10_-_October/06/Conv_1977-10-06_R1-VRNDAVAN.MP3</t>
  </si>
  <si>
    <t>Conv_1977-10-06_R2-VRNDAVAN.MP3</t>
  </si>
  <si>
    <t>https://audio.iskcondesiretree.com/01_-_Srila_Prabhupada/01_-_Lectures/01_-_English/02_-_Month_wise/10_-_October/06/Conv_1977-10-06_R2-VRNDAVAN.MP3</t>
  </si>
  <si>
    <t>Conv_1977-10-08_R1-VRNDAVAN.MP3</t>
  </si>
  <si>
    <t>https://audio.iskcondesiretree.com/01_-_Srila_Prabhupada/01_-_Lectures/01_-_English/02_-_Month_wise/10_-_October/08/Conv_1977-10-08_R1-VRNDAVAN.MP3</t>
  </si>
  <si>
    <t>Conv_1977-10-08_R2-VRNDAVAN.MP3</t>
  </si>
  <si>
    <t>https://audio.iskcondesiretree.com/01_-_Srila_Prabhupada/01_-_Lectures/01_-_English/02_-_Month_wise/10_-_October/08/Conv_1977-10-08_R2-VRNDAVAN.MP3</t>
  </si>
  <si>
    <t>Conv_1977-10-09_R1-VRNDAVAN.MP3</t>
  </si>
  <si>
    <t>https://audio.iskcondesiretree.com/01_-_Srila_Prabhupada/01_-_Lectures/01_-_English/02_-_Month_wise/10_-_October/09/Conv_1977-10-09_R1-VRNDAVAN.MP3</t>
  </si>
  <si>
    <t>Conv_1977-10-10_R1-VRNDAVAN.MP3</t>
  </si>
  <si>
    <t>https://audio.iskcondesiretree.com/01_-_Srila_Prabhupada/01_-_Lectures/01_-_English/02_-_Month_wise/10_-_October/10/Conv_1977-10-10_R1-VRNDAVAN.MP3</t>
  </si>
  <si>
    <t>Doctor_1977-10-10_VI-VRNDAVAN.MP3</t>
  </si>
  <si>
    <t>https://audio.iskcondesiretree.com/01_-_Srila_Prabhupada/01_-_Lectures/01_-_English/02_-_Month_wise/10_-_October/10/Doctor_1977-10-10_VI-VRNDAVAN.MP3</t>
  </si>
  <si>
    <t>Conv_1977-10-11_R1-VRNDAVAN.MP3</t>
  </si>
  <si>
    <t>https://audio.iskcondesiretree.com/01_-_Srila_Prabhupada/01_-_Lectures/01_-_English/02_-_Month_wise/10_-_October/11/Conv_1977-10-11_R1-VRNDAVAN.MP3</t>
  </si>
  <si>
    <t>Conv_1977-10-11_R2-VRNDAVAN.MP3</t>
  </si>
  <si>
    <t>https://audio.iskcondesiretree.com/01_-_Srila_Prabhupada/01_-_Lectures/01_-_English/02_-_Month_wise/10_-_October/11/Conv_1977-10-11_R2-VRNDAVAN.MP3</t>
  </si>
  <si>
    <t>Conv_1977-10-12_R1-VRNDAVAN.MP3</t>
  </si>
  <si>
    <t>https://audio.iskcondesiretree.com/01_-_Srila_Prabhupada/01_-_Lectures/01_-_English/02_-_Month_wise/10_-_October/12/Conv_1977-10-12_R1-VRNDAVAN.MP3</t>
  </si>
  <si>
    <t>Conv_1977-10-13_R1-VRNDAVAN.MP3</t>
  </si>
  <si>
    <t>https://audio.iskcondesiretree.com/01_-_Srila_Prabhupada/01_-_Lectures/01_-_English/02_-_Month_wise/10_-_October/13/Conv_1977-10-13_R1-VRNDAVAN.MP3</t>
  </si>
  <si>
    <t>Conv_1977-10-13_R2-VRNDAVAN.MP3</t>
  </si>
  <si>
    <t>https://audio.iskcondesiretree.com/01_-_Srila_Prabhupada/01_-_Lectures/01_-_English/02_-_Month_wise/10_-_October/13/Conv_1977-10-13_R2-VRNDAVAN.MP3</t>
  </si>
  <si>
    <t>Conv_1977-10-13_R3-VRNDAVAN.MP3</t>
  </si>
  <si>
    <t>https://audio.iskcondesiretree.com/01_-_Srila_Prabhupada/01_-_Lectures/01_-_English/02_-_Month_wise/10_-_October/13/Conv_1977-10-13_R3-VRNDAVAN.MP3</t>
  </si>
  <si>
    <t>Conv_1977-10-14_R1-VRNDAVAN.MP3</t>
  </si>
  <si>
    <t>https://audio.iskcondesiretree.com/01_-_Srila_Prabhupada/01_-_Lectures/01_-_English/02_-_Month_wise/10_-_October/14/Conv_1977-10-14_R1-VRNDAVAN.MP3</t>
  </si>
  <si>
    <t>Conv_1977-10-14_R2-VRNDAVAN.MP3</t>
  </si>
  <si>
    <t>https://audio.iskcondesiretree.com/01_-_Srila_Prabhupada/01_-_Lectures/01_-_English/02_-_Month_wise/10_-_October/14/Conv_1977-10-14_R2-VRNDAVAN.MP3</t>
  </si>
  <si>
    <t>Conv_1977-10-14_R3-VRNDAVAN.MP3</t>
  </si>
  <si>
    <t>https://audio.iskcondesiretree.com/01_-_Srila_Prabhupada/01_-_Lectures/01_-_English/02_-_Month_wise/10_-_October/14/Conv_1977-10-14_R3-VRNDAVAN.MP3</t>
  </si>
  <si>
    <t>Conv_1977-10-15_R1-VRNDAVAN.MP3</t>
  </si>
  <si>
    <t>https://audio.iskcondesiretree.com/01_-_Srila_Prabhupada/01_-_Lectures/01_-_English/02_-_Month_wise/10_-_October/15/Conv_1977-10-15_R1-VRNDAVAN.MP3</t>
  </si>
  <si>
    <t>Conv_1977-10-15_R2-VRNDAVAN.MP3</t>
  </si>
  <si>
    <t>https://audio.iskcondesiretree.com/01_-_Srila_Prabhupada/01_-_Lectures/01_-_English/02_-_Month_wise/10_-_October/15/Conv_1977-10-15_R2-VRNDAVAN.MP3</t>
  </si>
  <si>
    <t>Conv_1977-10-15_R3-VRNDAVAN.MP3</t>
  </si>
  <si>
    <t>https://audio.iskcondesiretree.com/01_-_Srila_Prabhupada/01_-_Lectures/01_-_English/02_-_Month_wise/10_-_October/15/Conv_1977-10-15_R3-VRNDAVAN.MP3</t>
  </si>
  <si>
    <t>Conv_1977-10-16_R1-VRNDAVAN.MP3</t>
  </si>
  <si>
    <t>https://audio.iskcondesiretree.com/01_-_Srila_Prabhupada/01_-_Lectures/01_-_English/02_-_Month_wise/10_-_October/16/Conv_1977-10-16_R1-VRNDAVAN.MP3</t>
  </si>
  <si>
    <t>Conv_1977-10-16_R2-VRNDAVAN.MP3</t>
  </si>
  <si>
    <t>https://audio.iskcondesiretree.com/01_-_Srila_Prabhupada/01_-_Lectures/01_-_English/02_-_Month_wise/10_-_October/16/Conv_1977-10-16_R2-VRNDAVAN.MP3</t>
  </si>
  <si>
    <t>Conv_1977-10-16_R3-VRNDAVAN.MP3</t>
  </si>
  <si>
    <t>https://audio.iskcondesiretree.com/01_-_Srila_Prabhupada/01_-_Lectures/01_-_English/02_-_Month_wise/10_-_October/16/Conv_1977-10-16_R3-VRNDAVAN.MP3</t>
  </si>
  <si>
    <t>Conv_1977-10-17_R1-VRNDAVAN.MP3</t>
  </si>
  <si>
    <t>https://audio.iskcondesiretree.com/01_-_Srila_Prabhupada/01_-_Lectures/01_-_English/02_-_Month_wise/10_-_October/17/Conv_1977-10-17_R1-VRNDAVAN.MP3</t>
  </si>
  <si>
    <t>Conv_1977-10-17_R2-VRNDAVAN.MP3</t>
  </si>
  <si>
    <t>https://audio.iskcondesiretree.com/01_-_Srila_Prabhupada/01_-_Lectures/01_-_English/02_-_Month_wise/10_-_October/17/Conv_1977-10-17_R2-VRNDAVAN.MP3</t>
  </si>
  <si>
    <t>Conv_1977-10-18_R1-VRNDAVAN.MP3</t>
  </si>
  <si>
    <t>https://audio.iskcondesiretree.com/01_-_Srila_Prabhupada/01_-_Lectures/01_-_English/02_-_Month_wise/10_-_October/18/Conv_1977-10-18_R1-VRNDAVAN.MP3</t>
  </si>
  <si>
    <t>Conv_1977-10-18_R2-VRNDAVAN.MP3</t>
  </si>
  <si>
    <t>https://audio.iskcondesiretree.com/01_-_Srila_Prabhupada/01_-_Lectures/01_-_English/02_-_Month_wise/10_-_October/18/Conv_1977-10-18_R2-VRNDAVAN.MP3</t>
  </si>
  <si>
    <t>Conv_1977-10-18_R3-VRNDAVAN.MP3</t>
  </si>
  <si>
    <t>https://audio.iskcondesiretree.com/01_-_Srila_Prabhupada/01_-_Lectures/01_-_English/02_-_Month_wise/10_-_October/18/Conv_1977-10-18_R3-VRNDAVAN.MP3</t>
  </si>
  <si>
    <t>Conv_1977-10-19_R1-VRNDAVAN.MP3</t>
  </si>
  <si>
    <t>https://audio.iskcondesiretree.com/01_-_Srila_Prabhupada/01_-_Lectures/01_-_English/02_-_Month_wise/10_-_October/19/Conv_1977-10-19_R1-VRNDAVAN.MP3</t>
  </si>
  <si>
    <t>Conv_1977-10-20_R1-VRNDAVAN.MP3</t>
  </si>
  <si>
    <t>https://audio.iskcondesiretree.com/01_-_Srila_Prabhupada/01_-_Lectures/01_-_English/02_-_Month_wise/10_-_October/20/Conv_1977-10-20_R1-VRNDAVAN.MP3</t>
  </si>
  <si>
    <t>Conv_1977-10-21_R1-VRNDAVAN.MP3</t>
  </si>
  <si>
    <t>https://audio.iskcondesiretree.com/01_-_Srila_Prabhupada/01_-_Lectures/01_-_English/02_-_Month_wise/10_-_October/21/Conv_1977-10-21_R1-VRNDAVAN.MP3</t>
  </si>
  <si>
    <t>Conv_1977-10-21_R2-VRNDAVAN.MP3</t>
  </si>
  <si>
    <t>https://audio.iskcondesiretree.com/01_-_Srila_Prabhupada/01_-_Lectures/01_-_English/02_-_Month_wise/10_-_October/21/Conv_1977-10-21_R2-VRNDAVAN.MP3</t>
  </si>
  <si>
    <t>Conv_1977-10-22_R1-VRNDAVAN.MP3</t>
  </si>
  <si>
    <t>https://audio.iskcondesiretree.com/01_-_Srila_Prabhupada/01_-_Lectures/01_-_English/02_-_Month_wise/10_-_October/22/Conv_1977-10-22_R1-VRNDAVAN.MP3</t>
  </si>
  <si>
    <t>Dictation-SB_1977-10-22_SB-VRNDAVAN.MP3</t>
  </si>
  <si>
    <t>https://audio.iskcondesiretree.com/01_-_Srila_Prabhupada/01_-_Lectures/01_-_English/02_-_Month_wise/10_-_October/22/Dictation-SB_1977-10-22_SB-VRNDAVAN.MP3</t>
  </si>
  <si>
    <t>Conv_1977-10-24_R1-VRNDAVAN.MP3</t>
  </si>
  <si>
    <t>https://audio.iskcondesiretree.com/01_-_Srila_Prabhupada/01_-_Lectures/01_-_English/02_-_Month_wise/10_-_October/24/Conv_1977-10-24_R1-VRNDAVAN.MP3</t>
  </si>
  <si>
    <t>Conv_1977-10-25_R1-VRNDAVAN.MP3</t>
  </si>
  <si>
    <t>https://audio.iskcondesiretree.com/01_-_Srila_Prabhupada/01_-_Lectures/01_-_English/02_-_Month_wise/10_-_October/25/Conv_1977-10-25_R1-VRNDAVAN.MP3</t>
  </si>
  <si>
    <t>Dictation-SB_1977-10-25_SB-VRNDAVAN.MP3</t>
  </si>
  <si>
    <t>https://audio.iskcondesiretree.com/01_-_Srila_Prabhupada/01_-_Lectures/01_-_English/02_-_Month_wise/10_-_October/25/Dictation-SB_1977-10-25_SB-VRNDAVAN.MP3</t>
  </si>
  <si>
    <t>Conv_1977-10-26_R1-VRNDAVAN.MP3</t>
  </si>
  <si>
    <t>https://audio.iskcondesiretree.com/01_-_Srila_Prabhupada/01_-_Lectures/01_-_English/02_-_Month_wise/10_-_October/26/Conv_1977-10-26_R1-VRNDAVAN.MP3</t>
  </si>
  <si>
    <t>Conv_1977-10-27_R1-VRNDAVAN.MP3</t>
  </si>
  <si>
    <t>https://audio.iskcondesiretree.com/01_-_Srila_Prabhupada/01_-_Lectures/01_-_English/02_-_Month_wise/10_-_October/27/Conv_1977-10-27_R1-VRNDAVAN.MP3</t>
  </si>
  <si>
    <t>Dictation-SB-10-13-62_1977-10-27_SB-VRNDAVAN.MP3</t>
  </si>
  <si>
    <t>https://audio.iskcondesiretree.com/01_-_Srila_Prabhupada/01_-_Lectures/01_-_English/02_-_Month_wise/10_-_October/27/Dictation-SB-10-13-62_1977-10-27_SB-VRNDAVAN.MP3</t>
  </si>
  <si>
    <t>Conv_1977-10-28_R1-VRNDAVAN.MP3</t>
  </si>
  <si>
    <t>https://audio.iskcondesiretree.com/01_-_Srila_Prabhupada/01_-_Lectures/01_-_English/02_-_Month_wise/10_-_October/28/Conv_1977-10-28_R1-VRNDAVAN.MP3</t>
  </si>
  <si>
    <t>Conv_1977-10-28_R2-VRNDAVAN.MP3</t>
  </si>
  <si>
    <t>https://audio.iskcondesiretree.com/01_-_Srila_Prabhupada/01_-_Lectures/01_-_English/02_-_Month_wise/10_-_October/28/Conv_1977-10-28_R2-VRNDAVAN.MP3</t>
  </si>
  <si>
    <t>Conv_1977-10-29_R1-VRNDAVAN.MP3</t>
  </si>
  <si>
    <t>https://audio.iskcondesiretree.com/01_-_Srila_Prabhupada/01_-_Lectures/01_-_English/02_-_Month_wise/10_-_October/29/Conv_1977-10-29_R1-VRNDAVAN.MP3</t>
  </si>
  <si>
    <t>Conv_1977-10-30_R1-VRNDAVAN.MP3</t>
  </si>
  <si>
    <t>https://audio.iskcondesiretree.com/01_-_Srila_Prabhupada/01_-_Lectures/01_-_English/02_-_Month_wise/10_-_October/30/Conv_1977-10-30_R1-VRNDAVAN.MP3</t>
  </si>
  <si>
    <t>Conv_1977-10-30_R2-VRNDAVAN.MP3</t>
  </si>
  <si>
    <t>https://audio.iskcondesiretree.com/01_-_Srila_Prabhupada/01_-_Lectures/01_-_English/02_-_Month_wise/10_-_October/30/Conv_1977-10-30_R2-VRNDAVAN.MP3</t>
  </si>
  <si>
    <t>Conv_1977-10-31_R1-VRNDAVAN.MP3</t>
  </si>
  <si>
    <t>https://audio.iskcondesiretree.com/01_-_Srila_Prabhupada/01_-_Lectures/01_-_English/02_-_Month_wise/10_-_October/31/Conv_1977-10-31_R1-VRNDAVAN.MP3</t>
  </si>
  <si>
    <t>Conv_1977-10-31_R2-VRNDAVAN.MP3</t>
  </si>
  <si>
    <t>https://audio.iskcondesiretree.com/01_-_Srila_Prabhupada/01_-_Lectures/01_-_English/02_-_Month_wise/10_-_October/31/Conv_1977-10-31_R2-VRNDAVAN.MP3</t>
  </si>
  <si>
    <t>Dictation-SB-10-14-01_1977-10-31_SB-VRNDAVAN.MP3</t>
  </si>
  <si>
    <t>https://audio.iskcondesiretree.com/01_-_Srila_Prabhupada/01_-_Lectures/01_-_English/02_-_Month_wise/10_-_October/31/Dictation-SB-10-14-01_1977-10-31_SB-VRNDAVAN.MP3</t>
  </si>
  <si>
    <t>Conv-NewBooks_1977-11-02_R1-VRNDAVAN.MP3</t>
  </si>
  <si>
    <t>https://audio.iskcondesiretree.com/01_-_Srila_Prabhupada/01_-_Lectures/01_-_English/02_-_Month_wise/11_-_November/02/Conv-NewBooks_1977-11-02_R1-VRNDAVAN.MP3</t>
  </si>
  <si>
    <t>Conv_1977-11-02_R2-VRNDAVAN.MP3</t>
  </si>
  <si>
    <t>https://audio.iskcondesiretree.com/01_-_Srila_Prabhupada/01_-_Lectures/01_-_English/02_-_Month_wise/11_-_November/02/Conv_1977-11-02_R2-VRNDAVAN.MP3</t>
  </si>
  <si>
    <t>Conv_1977-11-02_R3-VRNDAVAN.MP3</t>
  </si>
  <si>
    <t>https://audio.iskcondesiretree.com/01_-_Srila_Prabhupada/01_-_Lectures/01_-_English/02_-_Month_wise/11_-_November/02/Conv_1977-11-02_R3-VRNDAVAN.MP3</t>
  </si>
  <si>
    <t>Conv_1977-11-02_R4-VRNDAVAN.MP3</t>
  </si>
  <si>
    <t>https://audio.iskcondesiretree.com/01_-_Srila_Prabhupada/01_-_Lectures/01_-_English/02_-_Month_wise/11_-_November/02/Conv_1977-11-02_R4-VRNDAVAN.MP3</t>
  </si>
  <si>
    <t>Conv_1977-11-02_R5-VRNDAVAN.MP3</t>
  </si>
  <si>
    <t>https://audio.iskcondesiretree.com/01_-_Srila_Prabhupada/01_-_Lectures/01_-_English/02_-_Month_wise/11_-_November/02/Conv_1977-11-02_R5-VRNDAVAN.MP3</t>
  </si>
  <si>
    <t>Conv_1977-11-02_R6-VRNDAVAN.MP3</t>
  </si>
  <si>
    <t>https://audio.iskcondesiretree.com/01_-_Srila_Prabhupada/01_-_Lectures/01_-_English/02_-_Month_wise/11_-_November/02/Conv_1977-11-02_R6-VRNDAVAN.MP3</t>
  </si>
  <si>
    <t>Conv_1977-11-02_R7-VRNDAVAN.MP3</t>
  </si>
  <si>
    <t>https://audio.iskcondesiretree.com/01_-_Srila_Prabhupada/01_-_Lectures/01_-_English/02_-_Month_wise/11_-_November/02/Conv_1977-11-02_R7-VRNDAVAN.MP3</t>
  </si>
  <si>
    <t>Conv_1977-11-02_R8-VRNDAVAN.MP3</t>
  </si>
  <si>
    <t>https://audio.iskcondesiretree.com/01_-_Srila_Prabhupada/01_-_Lectures/01_-_English/02_-_Month_wise/11_-_November/02/Conv_1977-11-02_R8-VRNDAVAN.MP3</t>
  </si>
  <si>
    <t>Conv_1977-11-03_R1-VRNDAVAN.MP3</t>
  </si>
  <si>
    <t>https://audio.iskcondesiretree.com/01_-_Srila_Prabhupada/01_-_Lectures/01_-_English/02_-_Month_wise/11_-_November/03/Conv_1977-11-03_R1-VRNDAVAN.MP3</t>
  </si>
  <si>
    <t>Conv_1977-11-03_R2-VRNDAVAN.MP3</t>
  </si>
  <si>
    <t>https://audio.iskcondesiretree.com/01_-_Srila_Prabhupada/01_-_Lectures/01_-_English/02_-_Month_wise/11_-_November/03/Conv_1977-11-03_R2-VRNDAVAN.MP3</t>
  </si>
  <si>
    <t>Conv_1977-11-03_R3-VRNDAVAN.MP3</t>
  </si>
  <si>
    <t>https://audio.iskcondesiretree.com/01_-_Srila_Prabhupada/01_-_Lectures/01_-_English/02_-_Month_wise/11_-_November/03/Conv_1977-11-03_R3-VRNDAVAN.MP3</t>
  </si>
  <si>
    <t>Conv_1977-11-03_R4-VRNDAVAN.MP3</t>
  </si>
  <si>
    <t>https://audio.iskcondesiretree.com/01_-_Srila_Prabhupada/01_-_Lectures/01_-_English/02_-_Month_wise/11_-_November/03/Conv_1977-11-03_R4-VRNDAVAN.MP3</t>
  </si>
  <si>
    <t>Conv_1977-11-03_R5-VRNDAVAN.MP3</t>
  </si>
  <si>
    <t>https://audio.iskcondesiretree.com/01_-_Srila_Prabhupada/01_-_Lectures/01_-_English/02_-_Month_wise/11_-_November/03/Conv_1977-11-03_R5-VRNDAVAN.MP3</t>
  </si>
  <si>
    <t>Conv_1977-11-03_R6-VRNDAVAN.MP3</t>
  </si>
  <si>
    <t>https://audio.iskcondesiretree.com/01_-_Srila_Prabhupada/01_-_Lectures/01_-_English/02_-_Month_wise/11_-_November/03/Conv_1977-11-03_R6-VRNDAVAN.MP3</t>
  </si>
  <si>
    <t>Conv_1977-11-03_R7-VRNDAVAN.MP3</t>
  </si>
  <si>
    <t>https://audio.iskcondesiretree.com/01_-_Srila_Prabhupada/01_-_Lectures/01_-_English/02_-_Month_wise/11_-_November/03/Conv_1977-11-03_R7-VRNDAVAN.MP3</t>
  </si>
  <si>
    <t>Conv_1977-11-03_R8-VRNDAVAN.MP3</t>
  </si>
  <si>
    <t>https://audio.iskcondesiretree.com/01_-_Srila_Prabhupada/01_-_Lectures/01_-_English/02_-_Month_wise/11_-_November/03/Conv_1977-11-03_R8-VRNDAVAN.MP3</t>
  </si>
  <si>
    <t>Conv_1977-11-04_R1-VRNDAVAN.MP3</t>
  </si>
  <si>
    <t>https://audio.iskcondesiretree.com/01_-_Srila_Prabhupada/01_-_Lectures/01_-_English/02_-_Month_wise/11_-_November/04/Conv_1977-11-04_R1-VRNDAVAN.MP3</t>
  </si>
  <si>
    <t>Conv_1977-11-05_R1-VRNDAVAN.MP3</t>
  </si>
  <si>
    <t>https://audio.iskcondesiretree.com/01_-_Srila_Prabhupada/01_-_Lectures/01_-_English/02_-_Month_wise/11_-_November/05/Conv_1977-11-05_R1-VRNDAVAN.MP3</t>
  </si>
  <si>
    <t>Conv_1977-11-05_R2-VRNDAVAN.MP3</t>
  </si>
  <si>
    <t>https://audio.iskcondesiretree.com/01_-_Srila_Prabhupada/01_-_Lectures/01_-_English/02_-_Month_wise/11_-_November/05/Conv_1977-11-05_R2-VRNDAVAN.MP3</t>
  </si>
  <si>
    <t>Conv_1977-11-05_R3-VRNDAVAN.MP3</t>
  </si>
  <si>
    <t>https://audio.iskcondesiretree.com/01_-_Srila_Prabhupada/01_-_Lectures/01_-_English/02_-_Month_wise/11_-_November/05/Conv_1977-11-05_R3-VRNDAVAN.MP3</t>
  </si>
  <si>
    <t>Conv_1977-11-05_R4-VRNDAVAN.MP3</t>
  </si>
  <si>
    <t>https://audio.iskcondesiretree.com/01_-_Srila_Prabhupada/01_-_Lectures/01_-_English/02_-_Month_wise/11_-_November/05/Conv_1977-11-05_R4-VRNDAVAN.MP3</t>
  </si>
  <si>
    <t>Conv_1977-11-05_R5-VRNDAVAN.MP3</t>
  </si>
  <si>
    <t>https://audio.iskcondesiretree.com/01_-_Srila_Prabhupada/01_-_Lectures/01_-_English/02_-_Month_wise/11_-_November/05/Conv_1977-11-05_R5-VRNDAVAN.MP3</t>
  </si>
  <si>
    <t>Conv_1977-11-05_R6-VRNDAVAN.MP3</t>
  </si>
  <si>
    <t>https://audio.iskcondesiretree.com/01_-_Srila_Prabhupada/01_-_Lectures/01_-_English/02_-_Month_wise/11_-_November/05/Conv_1977-11-05_R6-VRNDAVAN.MP3</t>
  </si>
  <si>
    <t>Conv_1977-11-06_R1-VRNDAVAN.MP3</t>
  </si>
  <si>
    <t>https://audio.iskcondesiretree.com/01_-_Srila_Prabhupada/01_-_Lectures/01_-_English/02_-_Month_wise/11_-_November/06/Conv_1977-11-06_R1-VRNDAVAN.MP3</t>
  </si>
  <si>
    <t>Conv_1977-11-06_R2-VRNDAVAN.MP3</t>
  </si>
  <si>
    <t>https://audio.iskcondesiretree.com/01_-_Srila_Prabhupada/01_-_Lectures/01_-_English/02_-_Month_wise/11_-_November/06/Conv_1977-11-06_R2-VRNDAVAN.MP3</t>
  </si>
  <si>
    <t>Conv_1977-11-06_R3-VRNDAVAN.MP3</t>
  </si>
  <si>
    <t>https://audio.iskcondesiretree.com/01_-_Srila_Prabhupada/01_-_Lectures/01_-_English/02_-_Month_wise/11_-_November/06/Conv_1977-11-06_R3-VRNDAVAN.MP3</t>
  </si>
  <si>
    <t>Conv_1977-11-07_R1-VRNDAVAN.MP3</t>
  </si>
  <si>
    <t>https://audio.iskcondesiretree.com/01_-_Srila_Prabhupada/01_-_Lectures/01_-_English/02_-_Month_wise/11_-_November/07/Conv_1977-11-07_R1-VRNDAVAN.MP3</t>
  </si>
  <si>
    <t>Conv_1977-11-07_R2-VRNDAVAN.MP3</t>
  </si>
  <si>
    <t>https://audio.iskcondesiretree.com/01_-_Srila_Prabhupada/01_-_Lectures/01_-_English/02_-_Month_wise/11_-_November/07/Conv_1977-11-07_R2-VRNDAVAN.MP3</t>
  </si>
  <si>
    <t>Conv_1977-11-07_R3-VRNDAVAN.MP3</t>
  </si>
  <si>
    <t>https://audio.iskcondesiretree.com/01_-_Srila_Prabhupada/01_-_Lectures/01_-_English/02_-_Month_wise/11_-_November/07/Conv_1977-11-07_R3-VRNDAVAN.MP3</t>
  </si>
  <si>
    <t>Conv_1977-11-07_R4-VRNDAVAN.MP3</t>
  </si>
  <si>
    <t>https://audio.iskcondesiretree.com/01_-_Srila_Prabhupada/01_-_Lectures/01_-_English/02_-_Month_wise/11_-_November/07/Conv_1977-11-07_R4-VRNDAVAN.MP3</t>
  </si>
  <si>
    <t>Conv_1977-11-07_R5-VRNDAVAN.MP3</t>
  </si>
  <si>
    <t>https://audio.iskcondesiretree.com/01_-_Srila_Prabhupada/01_-_Lectures/01_-_English/02_-_Month_wise/11_-_November/07/Conv_1977-11-07_R5-VRNDAVAN.MP3</t>
  </si>
  <si>
    <t>Conv_1977-11-08_R1-VRNDAVAN.MP3</t>
  </si>
  <si>
    <t>https://audio.iskcondesiretree.com/01_-_Srila_Prabhupada/01_-_Lectures/01_-_English/02_-_Month_wise/11_-_November/08/Conv_1977-11-08_R1-VRNDAVAN.MP3</t>
  </si>
  <si>
    <t>Conv_1977-11-08_R2-VRNDAVAN.MP3</t>
  </si>
  <si>
    <t>https://audio.iskcondesiretree.com/01_-_Srila_Prabhupada/01_-_Lectures/01_-_English/02_-_Month_wise/11_-_November/08/Conv_1977-11-08_R2-VRNDAVAN.MP3</t>
  </si>
  <si>
    <t>Conv_1977-11-09_R1-VRNDAVAN.MP3</t>
  </si>
  <si>
    <t>https://audio.iskcondesiretree.com/01_-_Srila_Prabhupada/01_-_Lectures/01_-_English/02_-_Month_wise/11_-_November/09/Conv_1977-11-09_R1-VRNDAVAN.MP3</t>
  </si>
  <si>
    <t>Conv_1977-11-09_R2-VRNDAVAN.MP3</t>
  </si>
  <si>
    <t>https://audio.iskcondesiretree.com/01_-_Srila_Prabhupada/01_-_Lectures/01_-_English/02_-_Month_wise/11_-_November/09/Conv_1977-11-09_R2-VRNDAVAN.MP3</t>
  </si>
  <si>
    <t>Conv_1977-11-09_R3-VRNDAVAN.MP3</t>
  </si>
  <si>
    <t>https://audio.iskcondesiretree.com/01_-_Srila_Prabhupada/01_-_Lectures/01_-_English/02_-_Month_wise/11_-_November/09/Conv_1977-11-09_R3-VRNDAVAN.MP3</t>
  </si>
  <si>
    <t>Conv_1977-11-09_R4-VRNDAVAN.MP3</t>
  </si>
  <si>
    <t>https://audio.iskcondesiretree.com/01_-_Srila_Prabhupada/01_-_Lectures/01_-_English/02_-_Month_wise/11_-_November/09/Conv_1977-11-09_R4-VRNDAVAN.MP3</t>
  </si>
  <si>
    <t>Conv_1977-11-10_R1-VRNDAVAN.MP3</t>
  </si>
  <si>
    <t>https://audio.iskcondesiretree.com/01_-_Srila_Prabhupada/01_-_Lectures/01_-_English/02_-_Month_wise/11_-_November/10/Conv_1977-11-10_R1-VRNDAVAN.MP3</t>
  </si>
  <si>
    <t>Conv_1977-11-10_R2-VRNDAVAN.MP3</t>
  </si>
  <si>
    <t>https://audio.iskcondesiretree.com/01_-_Srila_Prabhupada/01_-_Lectures/01_-_English/02_-_Month_wise/11_-_November/10/Conv_1977-11-10_R2-VRNDAVAN.MP3</t>
  </si>
  <si>
    <t>Conv_1977-11-10_R3-VRNDAVAN.MP3</t>
  </si>
  <si>
    <t>https://audio.iskcondesiretree.com/01_-_Srila_Prabhupada/01_-_Lectures/01_-_English/02_-_Month_wise/11_-_November/10/Conv_1977-11-10_R3-VRNDAVAN.MP3</t>
  </si>
  <si>
    <t>Conv_1977-11-11_R1-VRNDAVAN.MP3</t>
  </si>
  <si>
    <t>https://audio.iskcondesiretree.com/01_-_Srila_Prabhupada/01_-_Lectures/01_-_English/02_-_Month_wise/11_-_November/11/Conv_1977-11-11_R1-VRNDAVAN.MP3</t>
  </si>
  <si>
    <t>Conv_1977-11-12_R1-VRNDAVAN.MP3</t>
  </si>
  <si>
    <t>https://audio.iskcondesiretree.com/01_-_Srila_Prabhupada/01_-_Lectures/01_-_English/02_-_Month_wise/11_-_November/12/Conv_1977-11-12_R1-VRNDAVAN.MP3</t>
  </si>
  <si>
    <t>Conv_1977-11-12_R2-VRNDAVAN.MP3</t>
  </si>
  <si>
    <t>https://audio.iskcondesiretree.com/01_-_Srila_Prabhupada/01_-_Lectures/01_-_English/02_-_Month_wise/11_-_November/12/Conv_1977-11-12_R2-VRNDAVAN.MP3</t>
  </si>
  <si>
    <t>Conv_1977-11-13_R1-VRNDAVAN.MP3</t>
  </si>
  <si>
    <t>https://audio.iskcondesiretree.com/01_-_Srila_Prabhupada/01_-_Lectures/01_-_English/02_-_Month_wise/11_-_November/13/Conv_1977-11-13_R1-VRNDAVAN.MP3</t>
  </si>
  <si>
    <t>Conv_1977-11-13_R2-VRNDAVAN.MP3</t>
  </si>
  <si>
    <t>https://audio.iskcondesiretree.com/01_-_Srila_Prabhupada/01_-_Lectures/01_-_English/02_-_Month_wise/11_-_November/13/Conv_1977-11-13_R2-VRNDAVAN.MP3</t>
  </si>
  <si>
    <t>ChantingDisappNight_1977-11-14_SP-VRNDAVAN.MP3</t>
  </si>
  <si>
    <t>https://audio.iskcondesiretree.com/01_-_Srila_Prabhupada/01_-_Lectures/01_-_English/02_-_Month_wise/11_-_November/14/ChantingDisappNight_1977-11-14_SP-VRNDAVAN.MP3</t>
  </si>
  <si>
    <t>PrabhupadaVigil_1977-11-14_VG-VRNDAVAN.MP3</t>
  </si>
  <si>
    <t>https://audio.iskcondesiretree.com/01_-_Srila_Prabhupada/01_-_Lectures/01_-_English/02_-_Month_wise/11_-_November/14/PrabhupadaVigil_1977-11-14_VG-VRNDAVAN.MP3</t>
  </si>
  <si>
    <t>VrindavanProcession_1977-11-15_SP-VRNDAVAN.MP3</t>
  </si>
  <si>
    <t>https://audio.iskcondesiretree.com/01_-_Srila_Prabhupada/01_-_Lectures/01_-_English/02_-_Month_wise/11_-_November/15/VrindavanProcession_1977-11-15_SP-VRNDAVAN.MP3</t>
  </si>
  <si>
    <t>SP_Lecture_New_York_1966-05-00_Getting_the_Higher_Taste--Control_the_Tongue.mp3</t>
  </si>
  <si>
    <t>1966-05-00</t>
  </si>
  <si>
    <t>https://audio.iskcondesiretree.com/01_-_Srila_Prabhupada/01_-_Lectures/01_-_English/01_-_Topic_wise/Various/SP_Lecture_New_York_1966-05-00_Getting_the_Higher_Taste--Control_the_Tongue.mp3</t>
  </si>
  <si>
    <t>SP_Festivals_San_Francisco_1968-03-00_Advent_of_Ramacandra--Code_for_the--etc.mp3</t>
  </si>
  <si>
    <t>1968-03-00</t>
  </si>
  <si>
    <t>https://audio.iskcondesiretree.com/01_-_Srila_Prabhupada/01_-_Lectures/01_-_English/01_-_Topic_wise/Festivals/SP_Festivals_San_Francisco_1968-03-00_Advent_of_Ramacandra--Code_for_the--etc.mp3</t>
  </si>
  <si>
    <t>SP_BG_00-04_Los_Angeles_1968-23-11_Intro_to_Bhagavad_Gita--etc.mp3</t>
  </si>
  <si>
    <t>1968-23-11</t>
  </si>
  <si>
    <t>https://audio.iskcondesiretree.com/01_-_Srila_Prabhupada/01_-_Lectures/01_-_English/01_-_Topic_wise/Bhagavad_Gita/More/SP_BG_00-04_Los_Angeles_1968-23-11_Intro_to_Bhagavad_Gita--etc.mp3</t>
  </si>
  <si>
    <t>SP_BG_07-01_Los_Angeles_1969-02_Bhagavad-gita_As_It_Is--Not--etc.mp3</t>
  </si>
  <si>
    <t>1969-02_01</t>
  </si>
  <si>
    <r>
      <rPr>
        <rFont val="&quot;Aptos Narrow&quot;, sans-serif"/>
        <color rgb="FF1155CC"/>
        <sz val="11.0"/>
        <u/>
      </rPr>
      <t>https://audio.iskcondesiretree.com/01_-_Srila_Prabhupada/01_-_Lectures/01_-_English/01_-_Topic_wise/Bhagavad_Gita/Chapter-07/SP_BG_07-01_Los_Angeles_1969-02_Bhagavad-gita_As_It_Is--Not--etc.mp3</t>
    </r>
  </si>
  <si>
    <t>SP_Lecture_Los_Angeles_1970-02-00_Vedanta_Sutra.mp3</t>
  </si>
  <si>
    <t>1970-02-00</t>
  </si>
  <si>
    <t>https://audio.iskcondesiretree.com/01_-_Srila_Prabhupada/01_-_Lectures/01_-_English/01_-_Topic_wise/Various/SP_Lecture_Los_Angeles_1970-02-00_Vedanta_Sutra.mp3</t>
  </si>
  <si>
    <t>SP_Address_Los_Angeles_1970-10-00_Americans--Leaders_of_all_the--etc.mp3</t>
  </si>
  <si>
    <t>1970-10-00</t>
  </si>
  <si>
    <t>https://audio.iskcondesiretree.com/01_-_Srila_Prabhupada/01_-_Lectures/01_-_English/01_-_Topic_wise/Arrival_Address/SP_Address_Los_Angeles_1970-10-00_Americans--Leaders_of_all_the--etc.mp3</t>
  </si>
  <si>
    <t>SP_Address_Los_Angeles_1970-10-00_Prabhupada_Leaves_US_for_India_via_Japan.mp3</t>
  </si>
  <si>
    <t>https://audio.iskcondesiretree.com/01_-_Srila_Prabhupada/01_-_Lectures/01_-_English/01_-_Topic_wise/Arrival_Address/SP_Address_Los_Angeles_1970-10-00_Prabhupada_Leaves_US_for_India_via_Japan.mp3</t>
  </si>
  <si>
    <t>Bhagavad_Gita_Recitation</t>
  </si>
  <si>
    <t>SP_BG_Recitation_Chapter-01_-_Sanskrit.mp3</t>
  </si>
  <si>
    <t>https://audio.iskcondesiretree.com/01_-_Srila_Prabhupada/01_-_Lectures/01_-_English/01_-_Topic_wise/Bhagavad_Gita_Recitation/SP_BG_Recitation_Chapter-01_-_Sanskrit.mp3</t>
  </si>
  <si>
    <t>SP_BG_Recitation_Chapter-02_-_Sanskrit.mp3</t>
  </si>
  <si>
    <t>https://audio.iskcondesiretree.com/01_-_Srila_Prabhupada/01_-_Lectures/01_-_English/01_-_Topic_wise/Bhagavad_Gita_Recitation/SP_BG_Recitation_Chapter-02_-_Sanskrit.mp3</t>
  </si>
  <si>
    <t>SP_BG_Recitation_Chapter-03_-_Sanskrit.mp3</t>
  </si>
  <si>
    <t>https://audio.iskcondesiretree.com/01_-_Srila_Prabhupada/01_-_Lectures/01_-_English/01_-_Topic_wise/Bhagavad_Gita_Recitation/SP_BG_Recitation_Chapter-03_-_Sanskrit.mp3</t>
  </si>
  <si>
    <t>SP_BG_Recitation_Chapter-04_-_Sanskrit.mp3</t>
  </si>
  <si>
    <t>https://audio.iskcondesiretree.com/01_-_Srila_Prabhupada/01_-_Lectures/01_-_English/01_-_Topic_wise/Bhagavad_Gita_Recitation/SP_BG_Recitation_Chapter-04_-_Sanskrit.mp3</t>
  </si>
  <si>
    <t>SP_BG_Recitation_Chapter-05_-_Sanskrit.mp3</t>
  </si>
  <si>
    <t>https://audio.iskcondesiretree.com/01_-_Srila_Prabhupada/01_-_Lectures/01_-_English/01_-_Topic_wise/Bhagavad_Gita_Recitation/SP_BG_Recitation_Chapter-05_-_Sanskrit.mp3</t>
  </si>
  <si>
    <t>SP_BG_Recitation_Chapter-06_-_Sanskrit.mp3</t>
  </si>
  <si>
    <t>https://audio.iskcondesiretree.com/01_-_Srila_Prabhupada/01_-_Lectures/01_-_English/01_-_Topic_wise/Bhagavad_Gita_Recitation/SP_BG_Recitation_Chapter-06_-_Sanskrit.mp3</t>
  </si>
  <si>
    <t>SP_BG_Recitation_Chapter-07_-_Sanskrit.mp3</t>
  </si>
  <si>
    <t>https://audio.iskcondesiretree.com/01_-_Srila_Prabhupada/01_-_Lectures/01_-_English/01_-_Topic_wise/Bhagavad_Gita_Recitation/SP_BG_Recitation_Chapter-07_-_Sanskrit.mp3</t>
  </si>
  <si>
    <t>SP_BG_Recitation_Chapter-08_-_Sanskrit.mp3</t>
  </si>
  <si>
    <t>https://audio.iskcondesiretree.com/01_-_Srila_Prabhupada/01_-_Lectures/01_-_English/01_-_Topic_wise/Bhagavad_Gita_Recitation/SP_BG_Recitation_Chapter-08_-_Sanskrit.mp3</t>
  </si>
  <si>
    <t>SP_BG_Recitation_Chapter-09_-_Sanskrit.mp3</t>
  </si>
  <si>
    <t>https://audio.iskcondesiretree.com/01_-_Srila_Prabhupada/01_-_Lectures/01_-_English/01_-_Topic_wise/Bhagavad_Gita_Recitation/SP_BG_Recitation_Chapter-09_-_Sanskrit.mp3</t>
  </si>
  <si>
    <t>SP_BG_Recitation_Chapter-10_-_Sanskrit.mp3</t>
  </si>
  <si>
    <t>https://audio.iskcondesiretree.com/01_-_Srila_Prabhupada/01_-_Lectures/01_-_English/01_-_Topic_wise/Bhagavad_Gita_Recitation/SP_BG_Recitation_Chapter-10_-_Sanskrit.mp3</t>
  </si>
  <si>
    <t>SP_BG_Recitation_Chapter-11_-_Sanskrit.mp3</t>
  </si>
  <si>
    <t>https://audio.iskcondesiretree.com/01_-_Srila_Prabhupada/01_-_Lectures/01_-_English/01_-_Topic_wise/Bhagavad_Gita_Recitation/SP_BG_Recitation_Chapter-11_-_Sanskrit.mp3</t>
  </si>
  <si>
    <t>Happening</t>
  </si>
  <si>
    <t>01-AC_Bhaktivedanta_Swami_-_Hare_Krishna_Mantra_Chant.mp3</t>
  </si>
  <si>
    <t>https://audio.iskcondesiretree.com/01_-_Srila_Prabhupada/01_-_Lectures/01_-_English/01_-_Topic_wise/Happening/01-AC_Bhaktivedanta_Swami_-_Hare_Krishna_Mantra_Chant.mp3</t>
  </si>
  <si>
    <t>02-AC_Bhaktivedanta_Swami_-_Address_of_Swami_AC_Bhaktivedanta.mp3</t>
  </si>
  <si>
    <t>https://audio.iskcondesiretree.com/01_-_Srila_Prabhupada/01_-_Lectures/01_-_English/01_-_Topic_wise/Happening/02-AC_Bhaktivedanta_Swami_-_Address_of_Swami_AC_Bhaktivedanta.mp3</t>
  </si>
  <si>
    <t>03-AC_Bhaktivedanta_Swami_-_Chant_to_the_Mercy_of_the_Spiritual_Master.mp3</t>
  </si>
  <si>
    <t>https://audio.iskcondesiretree.com/01_-_Srila_Prabhupada/01_-_Lectures/01_-_English/01_-_Topic_wise/Happening/03-AC_Bhaktivedanta_Swami_-_Chant_to_the_Mercy_of_the_Spiritual_Master.mp3</t>
  </si>
  <si>
    <t>Krishna_Book</t>
  </si>
  <si>
    <t>SP_Krsna_Book_Dict_00_-_Introduction.mp3</t>
  </si>
  <si>
    <t>https://audio.iskcondesiretree.com/01_-_Srila_Prabhupada/01_-_Lectures/01_-_English/01_-_Topic_wise/Krishna_Book/SP_Krsna_Book_Dict_00_-_Introduction.mp3</t>
  </si>
  <si>
    <t>SP_Krsna_Book_Dict_01_-_The_Advent_of_Lord_Krishna.mp3</t>
  </si>
  <si>
    <t>https://audio.iskcondesiretree.com/01_-_Srila_Prabhupada/01_-_Lectures/01_-_English/01_-_Topic_wise/Krishna_Book/SP_Krsna_Book_Dict_01_-_The_Advent_of_Lord_Krishna.mp3</t>
  </si>
  <si>
    <t>SP_Krsna_Book_Dict_02_-_Prayers_by_the_Demigods.mp3</t>
  </si>
  <si>
    <t>https://audio.iskcondesiretree.com/01_-_Srila_Prabhupada/01_-_Lectures/01_-_English/01_-_Topic_wise/Krishna_Book/SP_Krsna_Book_Dict_02_-_Prayers_by_the_Demigods.mp3</t>
  </si>
  <si>
    <t>SP_Krsna_Book_Dict_03_-_The_Birth_of_Lord_Krishna.mp3</t>
  </si>
  <si>
    <t>https://audio.iskcondesiretree.com/01_-_Srila_Prabhupada/01_-_Lectures/01_-_English/01_-_Topic_wise/Krishna_Book/SP_Krsna_Book_Dict_03_-_The_Birth_of_Lord_Krishna.mp3</t>
  </si>
  <si>
    <t>SP_Krsna_Book_Dict_04_-_Kamsa_Begins_His_Persecutions.mp3</t>
  </si>
  <si>
    <t>https://audio.iskcondesiretree.com/01_-_Srila_Prabhupada/01_-_Lectures/01_-_English/01_-_Topic_wise/Krishna_Book/SP_Krsna_Book_Dict_04_-_Kamsa_Begins_His_Persecutions.mp3</t>
  </si>
  <si>
    <t>SP_Krsna_Book_Dict_05_-_The_Meeting_of_Nanda_and_Vasudeva.mp3</t>
  </si>
  <si>
    <t>https://audio.iskcondesiretree.com/01_-_Srila_Prabhupada/01_-_Lectures/01_-_English/01_-_Topic_wise/Krishna_Book/SP_Krsna_Book_Dict_05_-_The_Meeting_of_Nanda_and_Vasudeva.mp3</t>
  </si>
  <si>
    <t>SP_Krsna_Book_Dict_06_-_Putana_Killed.mp3</t>
  </si>
  <si>
    <t>https://audio.iskcondesiretree.com/01_-_Srila_Prabhupada/01_-_Lectures/01_-_English/01_-_Topic_wise/Krishna_Book/SP_Krsna_Book_Dict_06_-_Putana_Killed.mp3</t>
  </si>
  <si>
    <t>SP_Krsna_Book_Dict_07_-_Salvation_of_Trnavarta.mp3</t>
  </si>
  <si>
    <t>https://audio.iskcondesiretree.com/01_-_Srila_Prabhupada/01_-_Lectures/01_-_English/01_-_Topic_wise/Krishna_Book/SP_Krsna_Book_Dict_07_-_Salvation_of_Trnavarta.mp3</t>
  </si>
  <si>
    <t>SP_Krsna_Book_Dict_08_-_Vision_of_the_Universal_Form.mp3</t>
  </si>
  <si>
    <t>https://audio.iskcondesiretree.com/01_-_Srila_Prabhupada/01_-_Lectures/01_-_English/01_-_Topic_wise/Krishna_Book/SP_Krsna_Book_Dict_08_-_Vision_of_the_Universal_Form.mp3</t>
  </si>
  <si>
    <t>SP_Krsna_Book_Dict_09_-_Mother_Yasoda_Binds_Krishna.mp3</t>
  </si>
  <si>
    <t>https://audio.iskcondesiretree.com/01_-_Srila_Prabhupada/01_-_Lectures/01_-_English/01_-_Topic_wise/Krishna_Book/SP_Krsna_Book_Dict_09_-_Mother_Yasoda_Binds_Krishna.mp3</t>
  </si>
  <si>
    <t>SP_Krsna_Book_Dict_10_-_The_Deliverance_of_Nalakuvera.mp3</t>
  </si>
  <si>
    <t>https://audio.iskcondesiretree.com/01_-_Srila_Prabhupada/01_-_Lectures/01_-_English/01_-_Topic_wise/Krishna_Book/SP_Krsna_Book_Dict_10_-_The_Deliverance_of_Nalakuvera.mp3</t>
  </si>
  <si>
    <t>SP_Krsna_Book_Dict_11_-_The_Killing_Vatsasura_and_Bakasura.mp3</t>
  </si>
  <si>
    <t>https://audio.iskcondesiretree.com/01_-_Srila_Prabhupada/01_-_Lectures/01_-_English/01_-_Topic_wise/Krishna_Book/SP_Krsna_Book_Dict_11_-_The_Killing_Vatsasura_and_Bakasura.mp3</t>
  </si>
  <si>
    <t>SP_Krsna_Book_Dict_12_-_The_Killing_of_the_Aghasura_Demon.mp3</t>
  </si>
  <si>
    <t>https://audio.iskcondesiretree.com/01_-_Srila_Prabhupada/01_-_Lectures/01_-_English/01_-_Topic_wise/Krishna_Book/SP_Krsna_Book_Dict_12_-_The_Killing_of_the_Aghasura_Demon.mp3</t>
  </si>
  <si>
    <t>SP_Krsna_Book_Dict_13_-_The_Stealing_of_the_Boys_and_Calves.mp3</t>
  </si>
  <si>
    <t>https://audio.iskcondesiretree.com/01_-_Srila_Prabhupada/01_-_Lectures/01_-_English/01_-_Topic_wise/Krishna_Book/SP_Krsna_Book_Dict_13_-_The_Stealing_of_the_Boys_and_Calves.mp3</t>
  </si>
  <si>
    <t>SP_Krsna_Book_Dict_14_-_Prayers_Offered_by_Lord_Brahma.mp3</t>
  </si>
  <si>
    <t>https://audio.iskcondesiretree.com/01_-_Srila_Prabhupada/01_-_Lectures/01_-_English/01_-_Topic_wise/Krishna_Book/SP_Krsna_Book_Dict_14_-_Prayers_Offered_by_Lord_Brahma.mp3</t>
  </si>
  <si>
    <t>SP_Krsna_Book_Dict_15_-_The_Killing_of_Dhenukasura.mp3</t>
  </si>
  <si>
    <t>https://audio.iskcondesiretree.com/01_-_Srila_Prabhupada/01_-_Lectures/01_-_English/01_-_Topic_wise/Krishna_Book/SP_Krsna_Book_Dict_15_-_The_Killing_of_Dhenukasura.mp3</t>
  </si>
  <si>
    <t>SP_Krsna_Book_Dict_16_-_The_Subduing_Kaliya.mp3</t>
  </si>
  <si>
    <t>https://audio.iskcondesiretree.com/01_-_Srila_Prabhupada/01_-_Lectures/01_-_English/01_-_Topic_wise/Krishna_Book/SP_Krsna_Book_Dict_16_-_The_Subduing_Kaliya.mp3</t>
  </si>
  <si>
    <t>SP_Krsna_Book_Dict_17_-_Extinguishing_the_Forest_Fire.mp3</t>
  </si>
  <si>
    <t>https://audio.iskcondesiretree.com/01_-_Srila_Prabhupada/01_-_Lectures/01_-_English/01_-_Topic_wise/Krishna_Book/SP_Krsna_Book_Dict_17_-_Extinguishing_the_Forest_Fire.mp3</t>
  </si>
  <si>
    <t>SP_Krsna_Book_Dict_18_-_The_Killing_the_Demon_Pralambasura.mp3</t>
  </si>
  <si>
    <t>https://audio.iskcondesiretree.com/01_-_Srila_Prabhupada/01_-_Lectures/01_-_English/01_-_Topic_wise/Krishna_Book/SP_Krsna_Book_Dict_18_-_The_Killing_the_Demon_Pralambasura.mp3</t>
  </si>
  <si>
    <t>SP_Krsna_Book_Dict_19_-_Devouring_the_Forest_Fire.mp3</t>
  </si>
  <si>
    <t>https://audio.iskcondesiretree.com/01_-_Srila_Prabhupada/01_-_Lectures/01_-_English/01_-_Topic_wise/Krishna_Book/SP_Krsna_Book_Dict_19_-_Devouring_the_Forest_Fire.mp3</t>
  </si>
  <si>
    <t>SP_Krsna_Book_Dict_20_-_Description_of_Autumn.mp3</t>
  </si>
  <si>
    <t>https://audio.iskcondesiretree.com/01_-_Srila_Prabhupada/01_-_Lectures/01_-_English/01_-_Topic_wise/Krishna_Book/SP_Krsna_Book_Dict_20_-_Description_of_Autumn.mp3</t>
  </si>
  <si>
    <t>SP_Krsna_Book_Dict_21_-_The_Gopis_Attracted_by_the_Flute.mp3</t>
  </si>
  <si>
    <t>https://audio.iskcondesiretree.com/01_-_Srila_Prabhupada/01_-_Lectures/01_-_English/01_-_Topic_wise/Krishna_Book/SP_Krsna_Book_Dict_21_-_The_Gopis_Attracted_by_the_Flute.mp3</t>
  </si>
  <si>
    <t>SP_Krsna_Book_Dict_22_-_Stealing_the_Garments_of_the_Gopis.mp3</t>
  </si>
  <si>
    <t>https://audio.iskcondesiretree.com/01_-_Srila_Prabhupada/01_-_Lectures/01_-_English/01_-_Topic_wise/Krishna_Book/SP_Krsna_Book_Dict_22_-_Stealing_the_Garments_of_the_Gopis.mp3</t>
  </si>
  <si>
    <t>SP_Krsna_Book_Dict_23_-_Delivering_the_Brahmins%27_Wives.mp3</t>
  </si>
  <si>
    <t>https://audio.iskcondesiretree.com/01_-_Srila_Prabhupada/01_-_Lectures/01_-_English/01_-_Topic_wise/Krishna_Book/SP_Krsna_Book_Dict_23_-_Delivering_the_Brahmins%27_Wives.mp3</t>
  </si>
  <si>
    <t>SP_Krsna_Book_Dict_24_-_Worshiping_Govardhana_Hill.mp3</t>
  </si>
  <si>
    <t>https://audio.iskcondesiretree.com/01_-_Srila_Prabhupada/01_-_Lectures/01_-_English/01_-_Topic_wise/Krishna_Book/SP_Krsna_Book_Dict_24_-_Worshiping_Govardhana_Hill.mp3</t>
  </si>
  <si>
    <t>SP_Krsna_Book_Dict_25_-_Devastating_Rainfall.mp3</t>
  </si>
  <si>
    <t>https://audio.iskcondesiretree.com/01_-_Srila_Prabhupada/01_-_Lectures/01_-_English/01_-_Topic_wise/Krishna_Book/SP_Krsna_Book_Dict_25_-_Devastating_Rainfall.mp3</t>
  </si>
  <si>
    <t>SP_Krsna_Book_Dict_26_-_Wonderful_Krishna.mp3</t>
  </si>
  <si>
    <t>https://audio.iskcondesiretree.com/01_-_Srila_Prabhupada/01_-_Lectures/01_-_English/01_-_Topic_wise/Krishna_Book/SP_Krsna_Book_Dict_26_-_Wonderful_Krishna.mp3</t>
  </si>
  <si>
    <t>SP_Krsna_Book_Dict_27_-_Prayers_by_Indra.mp3</t>
  </si>
  <si>
    <t>https://audio.iskcondesiretree.com/01_-_Srila_Prabhupada/01_-_Lectures/01_-_English/01_-_Topic_wise/Krishna_Book/SP_Krsna_Book_Dict_27_-_Prayers_by_Indra.mp3</t>
  </si>
  <si>
    <t>SP_Krsna_Book_Dict_28_-_Releasing_Nanda_Maharaja.mp3</t>
  </si>
  <si>
    <t>https://audio.iskcondesiretree.com/01_-_Srila_Prabhupada/01_-_Lectures/01_-_English/01_-_Topic_wise/Krishna_Book/SP_Krsna_Book_Dict_28_-_Releasing_Nanda_Maharaja.mp3</t>
  </si>
  <si>
    <t>SP_Krsna_Book_Dict_29_-_The_Rasa_Dance_-_Introduction.mp3</t>
  </si>
  <si>
    <t>https://audio.iskcondesiretree.com/01_-_Srila_Prabhupada/01_-_Lectures/01_-_English/01_-_Topic_wise/Krishna_Book/SP_Krsna_Book_Dict_29_-_The_Rasa_Dance_-_Introduction.mp3</t>
  </si>
  <si>
    <t>SP_Krsna_Book_Dict_34_-_Vidyadhara_Liberated.mp3</t>
  </si>
  <si>
    <t>https://audio.iskcondesiretree.com/01_-_Srila_Prabhupada/01_-_Lectures/01_-_English/01_-_Topic_wise/Krishna_Book/SP_Krsna_Book_Dict_34_-_Vidyadhara_Liberated.mp3</t>
  </si>
  <si>
    <t>SP_Krsna_Book_Dict_35_-_Gopis%27_Feelings_of_Separation.mp3</t>
  </si>
  <si>
    <t>https://audio.iskcondesiretree.com/01_-_Srila_Prabhupada/01_-_Lectures/01_-_English/01_-_Topic_wise/Krishna_Book/SP_Krsna_Book_Dict_35_-_Gopis%27_Feelings_of_Separation.mp3</t>
  </si>
  <si>
    <t>SP_Krsna_Book_Dict_36_-_Kamsa_Sends_Akrura_For_Krishna.mp3</t>
  </si>
  <si>
    <t>https://audio.iskcondesiretree.com/01_-_Srila_Prabhupada/01_-_Lectures/01_-_English/01_-_Topic_wise/Krishna_Book/SP_Krsna_Book_Dict_36_-_Kamsa_Sends_Akrura_For_Krishna.mp3</t>
  </si>
  <si>
    <t>SP_Krsna_Book_Dict_37_-_The_Killing_Kesi_and_Vyomasura.mp3</t>
  </si>
  <si>
    <t>https://audio.iskcondesiretree.com/01_-_Srila_Prabhupada/01_-_Lectures/01_-_English/01_-_Topic_wise/Krishna_Book/SP_Krsna_Book_Dict_37_-_The_Killing_Kesi_and_Vyomasura.mp3</t>
  </si>
  <si>
    <t>SP_Krsna_Book_Dict_38_-_Akrura%27s_Arrival_in_Vrindavan.mp3</t>
  </si>
  <si>
    <t>https://audio.iskcondesiretree.com/01_-_Srila_Prabhupada/01_-_Lectures/01_-_English/01_-_Topic_wise/Krishna_Book/SP_Krsna_Book_Dict_38_-_Akrura%27s_Arrival_in_Vrindavan.mp3</t>
  </si>
  <si>
    <t>SP_Krsna_Book_Dict_39_-_Akrura%27s_Return_Journey.mp3</t>
  </si>
  <si>
    <t>https://audio.iskcondesiretree.com/01_-_Srila_Prabhupada/01_-_Lectures/01_-_English/01_-_Topic_wise/Krishna_Book/SP_Krsna_Book_Dict_39_-_Akrura%27s_Return_Journey.mp3</t>
  </si>
  <si>
    <t>SP_Krsna_Book_Dict_40_-_Prayers_by_Akrura.mp3</t>
  </si>
  <si>
    <t>https://audio.iskcondesiretree.com/01_-_Srila_Prabhupada/01_-_Lectures/01_-_English/01_-_Topic_wise/Krishna_Book/SP_Krsna_Book_Dict_40_-_Prayers_by_Akrura.mp3</t>
  </si>
  <si>
    <t>SP_Krsna_Book_Dict_41_-_Krishna_Enters_Mathura.mp3</t>
  </si>
  <si>
    <t>https://audio.iskcondesiretree.com/01_-_Srila_Prabhupada/01_-_Lectures/01_-_English/01_-_Topic_wise/Krishna_Book/SP_Krsna_Book_Dict_41_-_Krishna_Enters_Mathura.mp3</t>
  </si>
  <si>
    <t>SP_Krsna_Book_Dict_42_-_The_Breaking_of_the_Bow_in_the_Arena.mp3</t>
  </si>
  <si>
    <t>https://audio.iskcondesiretree.com/01_-_Srila_Prabhupada/01_-_Lectures/01_-_English/01_-_Topic_wise/Krishna_Book/SP_Krsna_Book_Dict_42_-_The_Breaking_of_the_Bow_in_the_Arena.mp3</t>
  </si>
  <si>
    <t>SP_Krsna_Book_Dict_43_-_Killing_the_Elephant_Kuvalayapida.mp3</t>
  </si>
  <si>
    <t>https://audio.iskcondesiretree.com/01_-_Srila_Prabhupada/01_-_Lectures/01_-_English/01_-_Topic_wise/Krishna_Book/SP_Krsna_Book_Dict_43_-_Killing_the_Elephant_Kuvalayapida.mp3</t>
  </si>
  <si>
    <t>SP_Krsna_Book_Dict_44_-_The_Killing_of_Kamsa.mp3</t>
  </si>
  <si>
    <t>https://audio.iskcondesiretree.com/01_-_Srila_Prabhupada/01_-_Lectures/01_-_English/01_-_Topic_wise/Krishna_Book/SP_Krsna_Book_Dict_44_-_The_Killing_of_Kamsa.mp3</t>
  </si>
  <si>
    <t>SP_Krsna_Book_Dict_45_-_Krishna_Recovers_the_Teacher%27s_Son.mp3</t>
  </si>
  <si>
    <t>https://audio.iskcondesiretree.com/01_-_Srila_Prabhupada/01_-_Lectures/01_-_English/01_-_Topic_wise/Krishna_Book/SP_Krsna_Book_Dict_45_-_Krishna_Recovers_the_Teacher%27s_Son.mp3</t>
  </si>
  <si>
    <t>SP_Krsna_Book_Dict_46_-_Uddhava_Visits_Vrindavan.mp3</t>
  </si>
  <si>
    <t>https://audio.iskcondesiretree.com/01_-_Srila_Prabhupada/01_-_Lectures/01_-_English/01_-_Topic_wise/Krishna_Book/SP_Krsna_Book_Dict_46_-_Uddhava_Visits_Vrindavan.mp3</t>
  </si>
  <si>
    <t>SP_Krsna_Book_Dict_47_-_Delivery_of_a_Message_To_the_Gopis.mp3</t>
  </si>
  <si>
    <t>https://audio.iskcondesiretree.com/01_-_Srila_Prabhupada/01_-_Lectures/01_-_English/01_-_Topic_wise/Krishna_Book/SP_Krsna_Book_Dict_47_-_Delivery_of_a_Message_To_the_Gopis.mp3</t>
  </si>
  <si>
    <t>SP_Krsna_Book_Dict_48_-_Krishna_Pleases_His_Devotees.mp3</t>
  </si>
  <si>
    <t>https://audio.iskcondesiretree.com/01_-_Srila_Prabhupada/01_-_Lectures/01_-_English/01_-_Topic_wise/Krishna_Book/SP_Krsna_Book_Dict_48_-_Krishna_Pleases_His_Devotees.mp3</t>
  </si>
  <si>
    <t>SP_Krsna_Book_Dict_49_-_Ill-Motivated_Dhrtarastra.mp3</t>
  </si>
  <si>
    <t>https://audio.iskcondesiretree.com/01_-_Srila_Prabhupada/01_-_Lectures/01_-_English/01_-_Topic_wise/Krishna_Book/SP_Krsna_Book_Dict_49_-_Ill-Motivated_Dhrtarastra.mp3</t>
  </si>
  <si>
    <t>SP_Krsna_Book_Dict_50_-_Krishna_Erects_the_Dvaraka_Fort.mp3</t>
  </si>
  <si>
    <t>https://audio.iskcondesiretree.com/01_-_Srila_Prabhupada/01_-_Lectures/01_-_English/01_-_Topic_wise/Krishna_Book/SP_Krsna_Book_Dict_50_-_Krishna_Erects_the_Dvaraka_Fort.mp3</t>
  </si>
  <si>
    <t>SP_Krsna_Book_Dict_51_-_The_Deliverance_of_Mucukunda.mp3</t>
  </si>
  <si>
    <t>https://audio.iskcondesiretree.com/01_-_Srila_Prabhupada/01_-_Lectures/01_-_English/01_-_Topic_wise/Krishna_Book/SP_Krsna_Book_Dict_51_-_The_Deliverance_of_Mucukunda.mp3</t>
  </si>
  <si>
    <t>SP_Krsna_Book_Dict_52_-_Krishna%2C_the_Ranchor.mp3</t>
  </si>
  <si>
    <t>https://audio.iskcondesiretree.com/01_-_Srila_Prabhupada/01_-_Lectures/01_-_English/01_-_Topic_wise/Krishna_Book/SP_Krsna_Book_Dict_52_-_Krishna%2C_the_Ranchor.mp3</t>
  </si>
  <si>
    <t>SP_Krsna_Book_Dict_53_-_Krishna_Kidnaps_Rukmini.mp3</t>
  </si>
  <si>
    <t>https://audio.iskcondesiretree.com/01_-_Srila_Prabhupada/01_-_Lectures/01_-_English/01_-_Topic_wise/Krishna_Book/SP_Krsna_Book_Dict_53_-_Krishna_Kidnaps_Rukmini.mp3</t>
  </si>
  <si>
    <t>SP_Krsna_Book_Dict_54_-_Krishna_Defeats_All_Princes.mp3</t>
  </si>
  <si>
    <t>https://audio.iskcondesiretree.com/01_-_Srila_Prabhupada/01_-_Lectures/01_-_English/01_-_Topic_wise/Krishna_Book/SP_Krsna_Book_Dict_54_-_Krishna_Defeats_All_Princes.mp3</t>
  </si>
  <si>
    <t>SP_Krsna_Book_Dict_55_-_Pradyumna_Born_To_Krishna.mp3</t>
  </si>
  <si>
    <t>https://audio.iskcondesiretree.com/01_-_Srila_Prabhupada/01_-_Lectures/01_-_English/01_-_Topic_wise/Krishna_Book/SP_Krsna_Book_Dict_55_-_Pradyumna_Born_To_Krishna.mp3</t>
  </si>
  <si>
    <t>SP_Krsna_Book_Dict_56_-_The_Story_of_the_Syamantaka_Jewel.mp3</t>
  </si>
  <si>
    <t>https://audio.iskcondesiretree.com/01_-_Srila_Prabhupada/01_-_Lectures/01_-_English/01_-_Topic_wise/Krishna_Book/SP_Krsna_Book_Dict_56_-_The_Story_of_the_Syamantaka_Jewel.mp3</t>
  </si>
  <si>
    <t>SP_Krsna_Book_Dict_57_-_The_Killing_Satrajit_%26_Satadhanva.mp3</t>
  </si>
  <si>
    <t>https://audio.iskcondesiretree.com/01_-_Srila_Prabhupada/01_-_Lectures/01_-_English/01_-_Topic_wise/Krishna_Book/SP_Krsna_Book_Dict_57_-_The_Killing_Satrajit_%26_Satadhanva.mp3</t>
  </si>
  <si>
    <t>SP_Krsna_Book_Dict_62_-_The_Meeting_of_Usa_and_Anirudha.mp3</t>
  </si>
  <si>
    <t>https://audio.iskcondesiretree.com/01_-_Srila_Prabhupada/01_-_Lectures/01_-_English/01_-_Topic_wise/Krishna_Book/SP_Krsna_Book_Dict_62_-_The_Meeting_of_Usa_and_Anirudha.mp3</t>
  </si>
  <si>
    <t>SP_Krsna_Book_Dict_63_-_Krishna_Fights_with_Banasura.mp3</t>
  </si>
  <si>
    <t>https://audio.iskcondesiretree.com/01_-_Srila_Prabhupada/01_-_Lectures/01_-_English/01_-_Topic_wise/Krishna_Book/SP_Krsna_Book_Dict_63_-_Krishna_Fights_with_Banasura.mp3</t>
  </si>
  <si>
    <t>SP_Krsna_Book_Dict_64_-_The_Story_of_King_Nrga.mp3</t>
  </si>
  <si>
    <t>https://audio.iskcondesiretree.com/01_-_Srila_Prabhupada/01_-_Lectures/01_-_English/01_-_Topic_wise/Krishna_Book/SP_Krsna_Book_Dict_64_-_The_Story_of_King_Nrga.mp3</t>
  </si>
  <si>
    <t>SP_Krsna_Book_Dict_65_-_Lord_Balarama_Visits_Vrindavan.mp3</t>
  </si>
  <si>
    <t>https://audio.iskcondesiretree.com/01_-_Srila_Prabhupada/01_-_Lectures/01_-_English/01_-_Topic_wise/Krishna_Book/SP_Krsna_Book_Dict_65_-_Lord_Balarama_Visits_Vrindavan.mp3</t>
  </si>
  <si>
    <t>SP_Krsna_Book_Dict_72_-_The_Liberation_of_King_Jarasandha.mp3</t>
  </si>
  <si>
    <t>https://audio.iskcondesiretree.com/01_-_Srila_Prabhupada/01_-_Lectures/01_-_English/01_-_Topic_wise/Krishna_Book/SP_Krsna_Book_Dict_72_-_The_Liberation_of_King_Jarasandha.mp3</t>
  </si>
  <si>
    <t>SP_Krsna_Book_Dict_73_-_Krishna_Returns_To_Hastinapura.mp3</t>
  </si>
  <si>
    <t>https://audio.iskcondesiretree.com/01_-_Srila_Prabhupada/01_-_Lectures/01_-_English/01_-_Topic_wise/Krishna_Book/SP_Krsna_Book_Dict_73_-_Krishna_Returns_To_Hastinapura.mp3</t>
  </si>
  <si>
    <t>SP_Krsna_Book_Dict_74_-_The_Deliverance_of_Sisupala.mp3</t>
  </si>
  <si>
    <t>https://audio.iskcondesiretree.com/01_-_Srila_Prabhupada/01_-_Lectures/01_-_English/01_-_Topic_wise/Krishna_Book/SP_Krsna_Book_Dict_74_-_The_Deliverance_of_Sisupala.mp3</t>
  </si>
  <si>
    <t>SP_Krsna_Book_Dict_75_-_Why_Duryodhana_Felt_Insulted.mp3</t>
  </si>
  <si>
    <t>https://audio.iskcondesiretree.com/01_-_Srila_Prabhupada/01_-_Lectures/01_-_English/01_-_Topic_wise/Krishna_Book/SP_Krsna_Book_Dict_75_-_Why_Duryodhana_Felt_Insulted.mp3</t>
  </si>
  <si>
    <t>SP_Krsna_Book_Dict_76_-_Battle_Between_Salva_and_the_Yadus.mp3</t>
  </si>
  <si>
    <t>https://audio.iskcondesiretree.com/01_-_Srila_Prabhupada/01_-_Lectures/01_-_English/01_-_Topic_wise/Krishna_Book/SP_Krsna_Book_Dict_76_-_Battle_Between_Salva_and_the_Yadus.mp3</t>
  </si>
  <si>
    <t>SP_Krsna_Book_Dict_77_-_The_Deliverance_of_Salva.mp3</t>
  </si>
  <si>
    <t>https://audio.iskcondesiretree.com/01_-_Srila_Prabhupada/01_-_Lectures/01_-_English/01_-_Topic_wise/Krishna_Book/SP_Krsna_Book_Dict_77_-_The_Deliverance_of_Salva.mp3</t>
  </si>
  <si>
    <t>SP_Krsna_Book_Dict_78_-_Killing_Dantavakra_and_Viduratha.mp3</t>
  </si>
  <si>
    <t>https://audio.iskcondesiretree.com/01_-_Srila_Prabhupada/01_-_Lectures/01_-_English/01_-_Topic_wise/Krishna_Book/SP_Krsna_Book_Dict_78_-_Killing_Dantavakra_and_Viduratha.mp3</t>
  </si>
  <si>
    <t>SP_Krsna_Book_Dict_79_-_The_Liberation_of_Balvala.mp3</t>
  </si>
  <si>
    <t>https://audio.iskcondesiretree.com/01_-_Srila_Prabhupada/01_-_Lectures/01_-_English/01_-_Topic_wise/Krishna_Book/SP_Krsna_Book_Dict_79_-_The_Liberation_of_Balvala.mp3</t>
  </si>
  <si>
    <t>SP_Krsna_Book_Dict_80_-_The_Meeting_of_Krishna_with_Sudama.mp3</t>
  </si>
  <si>
    <t>https://audio.iskcondesiretree.com/01_-_Srila_Prabhupada/01_-_Lectures/01_-_English/01_-_Topic_wise/Krishna_Book/SP_Krsna_Book_Dict_80_-_The_Meeting_of_Krishna_with_Sudama.mp3</t>
  </si>
  <si>
    <t>SP_Krsna_Book_Dict_81_-_Brahmana_Sudama_Benedicted.mp3</t>
  </si>
  <si>
    <t>https://audio.iskcondesiretree.com/01_-_Srila_Prabhupada/01_-_Lectures/01_-_English/01_-_Topic_wise/Krishna_Book/SP_Krsna_Book_Dict_81_-_Brahmana_Sudama_Benedicted.mp3</t>
  </si>
  <si>
    <t>SP_Krsna_Book_Dict_82_-_Meeting_the_Inhabitants_of_Vrindavan.mp3</t>
  </si>
  <si>
    <t>https://audio.iskcondesiretree.com/01_-_Srila_Prabhupada/01_-_Lectures/01_-_English/01_-_Topic_wise/Krishna_Book/SP_Krsna_Book_Dict_82_-_Meeting_the_Inhabitants_of_Vrindavan.mp3</t>
  </si>
  <si>
    <t>SP_Krsna_Book_Dict_83_-_Draupadi_Meets_Krishna%27s_Queens.mp3</t>
  </si>
  <si>
    <t>https://audio.iskcondesiretree.com/01_-_Srila_Prabhupada/01_-_Lectures/01_-_English/01_-_Topic_wise/Krishna_Book/SP_Krsna_Book_Dict_83_-_Draupadi_Meets_Krishna%27s_Queens.mp3</t>
  </si>
  <si>
    <t>SP_Krsna_Book_Dict_84_-_The_Sacrifices_Performed_by_Vasudeva.mp3</t>
  </si>
  <si>
    <t>https://audio.iskcondesiretree.com/01_-_Srila_Prabhupada/01_-_Lectures/01_-_English/01_-_Topic_wise/Krishna_Book/SP_Krsna_Book_Dict_84_-_The_Sacrifices_Performed_by_Vasudeva.mp3</t>
  </si>
  <si>
    <t>SP_Krsna_Book_Dict_85_-_Instructions_For_Vasudeva.mp3</t>
  </si>
  <si>
    <t>https://audio.iskcondesiretree.com/01_-_Srila_Prabhupada/01_-_Lectures/01_-_English/01_-_Topic_wise/Krishna_Book/SP_Krsna_Book_Dict_85_-_Instructions_For_Vasudeva.mp3</t>
  </si>
  <si>
    <t>SP_Krsna_Book_Dict_86_-_The_Kidnapping_of_Subhadra.mp3</t>
  </si>
  <si>
    <t>https://audio.iskcondesiretree.com/01_-_Srila_Prabhupada/01_-_Lectures/01_-_English/01_-_Topic_wise/Krishna_Book/SP_Krsna_Book_Dict_86_-_The_Kidnapping_of_Subhadra.mp3</t>
  </si>
  <si>
    <t>SP_Krsna_Book_Dict_87_-_Prayers_by_the_Personified_Vedas.mp3</t>
  </si>
  <si>
    <t>https://audio.iskcondesiretree.com/01_-_Srila_Prabhupada/01_-_Lectures/01_-_English/01_-_Topic_wise/Krishna_Book/SP_Krsna_Book_Dict_87_-_Prayers_by_the_Personified_Vedas.mp3</t>
  </si>
  <si>
    <t>SP_Krsna_Book_Dict_88_-_The_Deliverance_of_Lord_Shiva.mp3</t>
  </si>
  <si>
    <t>https://audio.iskcondesiretree.com/01_-_Srila_Prabhupada/01_-_Lectures/01_-_English/01_-_Topic_wise/Krishna_Book/SP_Krsna_Book_Dict_88_-_The_Deliverance_of_Lord_Shiva.mp3</t>
  </si>
  <si>
    <t>SP_Krsna_Book_Dict_89_-_The_Superexcellent_Power_of_Krishna.mp3</t>
  </si>
  <si>
    <t>https://audio.iskcondesiretree.com/01_-_Srila_Prabhupada/01_-_Lectures/01_-_English/01_-_Topic_wise/Krishna_Book/SP_Krsna_Book_Dict_89_-_The_Superexcellent_Power_of_Krishna.mp3</t>
  </si>
  <si>
    <t>SP_Krsna_Book_Dict_90_-_Summary_Description.mp3</t>
  </si>
  <si>
    <t>https://audio.iskcondesiretree.com/01_-_Srila_Prabhupada/01_-_Lectures/01_-_English/01_-_Topic_wise/Krishna_Book/SP_Krsna_Book_Dict_90_-_Summary_Description.mp3</t>
  </si>
  <si>
    <t>Stories</t>
  </si>
  <si>
    <t>SP_Story_01_Introduction.mp3</t>
  </si>
  <si>
    <t>https://audio.iskcondesiretree.com/01_-_Srila_Prabhupada/01_-_Lectures/01_-_English/01_-_Topic_wise/Stories/SP_Story_01_Introduction.mp3</t>
  </si>
  <si>
    <t>SP_Story_02_Again_become_mouse.mp3</t>
  </si>
  <si>
    <t>https://audio.iskcondesiretree.com/01_-_Srila_Prabhupada/01_-_Lectures/01_-_English/01_-_Topic_wise/Stories/SP_Story_02_Again_become_mouse.mp3</t>
  </si>
  <si>
    <t>SP_Story_03_Alexander_the_Great.mp3</t>
  </si>
  <si>
    <t>https://audio.iskcondesiretree.com/01_-_Srila_Prabhupada/01_-_Lectures/01_-_English/01_-_Topic_wise/Stories/SP_Story_03_Alexander_the_Great.mp3</t>
  </si>
  <si>
    <t>SP_Story_04_Arjunacarya.mp3</t>
  </si>
  <si>
    <t>https://audio.iskcondesiretree.com/01_-_Srila_Prabhupada/01_-_Lectures/01_-_English/01_-_Topic_wise/Stories/SP_Story_04_Arjunacarya.mp3</t>
  </si>
  <si>
    <t>SP_Story_05_Bilvamangala_Thakura.mp3</t>
  </si>
  <si>
    <t>https://audio.iskcondesiretree.com/01_-_Srila_Prabhupada/01_-_Lectures/01_-_English/01_-_Topic_wise/Stories/SP_Story_05_Bilvamangala_Thakura.mp3</t>
  </si>
  <si>
    <t>SP_Story_06_Birds_in_net.mp3</t>
  </si>
  <si>
    <t>https://audio.iskcondesiretree.com/01_-_Srila_Prabhupada/01_-_Lectures/01_-_English/01_-_Topic_wise/Stories/SP_Story_06_Birds_in_net.mp3</t>
  </si>
  <si>
    <t>SP_Story_07_The_Brahmana_and_the_Cobbler.mp3</t>
  </si>
  <si>
    <t>https://audio.iskcondesiretree.com/01_-_Srila_Prabhupada/01_-_Lectures/01_-_English/01_-_Topic_wise/Stories/SP_Story_07_The_Brahmana_and_the_Cobbler.mp3</t>
  </si>
  <si>
    <t>SP_Story_08_Can%27t_can%27t_can%27t.mp3</t>
  </si>
  <si>
    <t>https://audio.iskcondesiretree.com/01_-_Srila_Prabhupada/01_-_Lectures/01_-_English/01_-_Topic_wise/Stories/SP_Story_08_Can%27t_can%27t_can%27t.mp3</t>
  </si>
  <si>
    <t>SP_Story_09_Cut_coat_tails.mp3</t>
  </si>
  <si>
    <t>https://audio.iskcondesiretree.com/01_-_Srila_Prabhupada/01_-_Lectures/01_-_English/01_-_Topic_wise/Stories/SP_Story_09_Cut_coat_tails.mp3</t>
  </si>
  <si>
    <t>SP_Story_10_Dina_bandhu_dada.mp3</t>
  </si>
  <si>
    <t>https://audio.iskcondesiretree.com/01_-_Srila_Prabhupada/01_-_Lectures/01_-_English/01_-_Topic_wise/Stories/SP_Story_10_Dina_bandhu_dada.mp3</t>
  </si>
  <si>
    <t>SP_Story_11_Don%27t_live_don%27t_die.mp3</t>
  </si>
  <si>
    <t>https://audio.iskcondesiretree.com/01_-_Srila_Prabhupada/01_-_Lectures/01_-_English/01_-_Topic_wise/Stories/SP_Story_11_Don%27t_live_don%27t_die.mp3</t>
  </si>
  <si>
    <t>SP_Story_12_Dr.mp3</t>
  </si>
  <si>
    <t>https://audio.iskcondesiretree.com/01_-_Srila_Prabhupada/01_-_Lectures/01_-_English/01_-_Topic_wise/Stories/SP_Story_12_Dr.mp3</t>
  </si>
  <si>
    <t>SP_Story_13_Feeding_market_people.mp3</t>
  </si>
  <si>
    <t>https://audio.iskcondesiretree.com/01_-_Srila_Prabhupada/01_-_Lectures/01_-_English/01_-_Topic_wise/Stories/SP_Story_13_Feeding_market_people.mp3</t>
  </si>
  <si>
    <t>SP_Story_14_Gandhari_Duryodhana_Krsna.mp3</t>
  </si>
  <si>
    <t>https://audio.iskcondesiretree.com/01_-_Srila_Prabhupada/01_-_Lectures/01_-_English/01_-_Topic_wise/Stories/SP_Story_14_Gandhari_Duryodhana_Krsna.mp3</t>
  </si>
  <si>
    <t>SP_Story_15_Ghost_ghost.mp3</t>
  </si>
  <si>
    <t>https://audio.iskcondesiretree.com/01_-_Srila_Prabhupada/01_-_Lectures/01_-_English/01_-_Topic_wise/Stories/SP_Story_15_Ghost_ghost.mp3</t>
  </si>
  <si>
    <t>SP_Story_16_Glad_stone.mp3</t>
  </si>
  <si>
    <t>https://audio.iskcondesiretree.com/01_-_Srila_Prabhupada/01_-_Lectures/01_-_English/01_-_Topic_wise/Stories/SP_Story_16_Glad_stone.mp3</t>
  </si>
  <si>
    <t>SP_Story_17_Mahabharata.mp3</t>
  </si>
  <si>
    <t>https://audio.iskcondesiretree.com/01_-_Srila_Prabhupada/01_-_Lectures/01_-_English/01_-_Topic_wise/Stories/SP_Story_17_Mahabharata.mp3</t>
  </si>
  <si>
    <t>SP_Story_18_Stool_and_urine.mp3</t>
  </si>
  <si>
    <t>https://audio.iskcondesiretree.com/01_-_Srila_Prabhupada/01_-_Lectures/01_-_English/01_-_Topic_wise/Stories/SP_Story_18_Stool_and_urine.mp3</t>
  </si>
  <si>
    <t>SP_Story_19_Illiterate_brahmana.mp3</t>
  </si>
  <si>
    <t>https://audio.iskcondesiretree.com/01_-_Srila_Prabhupada/01_-_Lectures/01_-_English/01_-_Topic_wise/Stories/SP_Story_19_Illiterate_brahmana.mp3</t>
  </si>
  <si>
    <t>SP_Story_20_Jackal_king.mp3</t>
  </si>
  <si>
    <t>https://audio.iskcondesiretree.com/01_-_Srila_Prabhupada/01_-_Lectures/01_-_English/01_-_Topic_wise/Stories/SP_Story_20_Jackal_king.mp3</t>
  </si>
  <si>
    <t>SP_Story_21_King_and_ass.mp3</t>
  </si>
  <si>
    <t>https://audio.iskcondesiretree.com/01_-_Srila_Prabhupada/01_-_Lectures/01_-_English/01_-_Topic_wise/Stories/SP_Story_21_King_and_ass.mp3</t>
  </si>
  <si>
    <t>SP_Story_22_Krsna_breaking_promise.mp3</t>
  </si>
  <si>
    <t>https://audio.iskcondesiretree.com/01_-_Srila_Prabhupada/01_-_Lectures/01_-_English/01_-_Topic_wise/Stories/SP_Story_22_Krsna_breaking_promise.mp3</t>
  </si>
  <si>
    <t>SP_Story_23_European_Krsna_is_God.mp3</t>
  </si>
  <si>
    <t>https://audio.iskcondesiretree.com/01_-_Srila_Prabhupada/01_-_Lectures/01_-_English/01_-_Topic_wise/Stories/SP_Story_23_European_Krsna_is_God.mp3</t>
  </si>
  <si>
    <t>SP_Story_24_Jayan_and_a_looks_like_Sri_Caitanya_Mahaprabhu.mp3</t>
  </si>
  <si>
    <t>https://audio.iskcondesiretree.com/01_-_Srila_Prabhupada/01_-_Lectures/01_-_English/01_-_Topic_wise/Stories/SP_Story_24_Jayan_and_a_looks_like_Sri_Caitanya_Mahaprabhu.mp3</t>
  </si>
  <si>
    <t>SP_Story_25_Krsna%27s_headache.mp3</t>
  </si>
  <si>
    <t>https://audio.iskcondesiretree.com/01_-_Srila_Prabhupada/01_-_Lectures/01_-_English/01_-_Topic_wise/Stories/SP_Story_25_Krsna%27s_headache.mp3</t>
  </si>
  <si>
    <t>SP_Story_26_Lady_carrying_sticks_on_head.mp3</t>
  </si>
  <si>
    <t>https://audio.iskcondesiretree.com/01_-_Srila_Prabhupada/01_-_Lectures/01_-_English/01_-_Topic_wise/Stories/SP_Story_26_Lady_carrying_sticks_on_head.mp3</t>
  </si>
  <si>
    <t>SP_Story_27_Liquid_Beauty.mp3</t>
  </si>
  <si>
    <t>https://audio.iskcondesiretree.com/01_-_Srila_Prabhupada/01_-_Lectures/01_-_English/01_-_Topic_wise/Stories/SP_Story_27_Liquid_Beauty.mp3</t>
  </si>
  <si>
    <t>SP_Story_28_Mira_bhai_%26_Rupa_Gosvami.mp3</t>
  </si>
  <si>
    <t>https://audio.iskcondesiretree.com/01_-_Srila_Prabhupada/01_-_Lectures/01_-_English/01_-_Topic_wise/Stories/SP_Story_28_Mira_bhai_%26_Rupa_Gosvami.mp3</t>
  </si>
  <si>
    <t>SP_Story_29_Monkey_and_log.mp3</t>
  </si>
  <si>
    <t>https://audio.iskcondesiretree.com/01_-_Srila_Prabhupada/01_-_Lectures/01_-_English/01_-_Topic_wise/Stories/SP_Story_29_Monkey_and_log.mp3</t>
  </si>
  <si>
    <t>SP_Story_30_Mrgari_the_hunter.mp3</t>
  </si>
  <si>
    <t>https://audio.iskcondesiretree.com/01_-_Srila_Prabhupada/01_-_Lectures/01_-_English/01_-_Topic_wise/Stories/SP_Story_30_Mrgari_the_hunter.mp3</t>
  </si>
  <si>
    <t>SP_Story_31_Potter.mp3</t>
  </si>
  <si>
    <t>https://audio.iskcondesiretree.com/01_-_Srila_Prabhupada/01_-_Lectures/01_-_English/01_-_Topic_wise/Stories/SP_Story_31_Potter.mp3</t>
  </si>
  <si>
    <t>SP_Story_32_Radha_and_Krsna_at_Kuruksetra.mp3</t>
  </si>
  <si>
    <t>https://audio.iskcondesiretree.com/01_-_Srila_Prabhupada/01_-_Lectures/01_-_English/01_-_Topic_wise/Stories/SP_Story_32_Radha_and_Krsna_at_Kuruksetra.mp3</t>
  </si>
  <si>
    <t>SP_Story_33_Saksi_Gopala.mp3</t>
  </si>
  <si>
    <t>https://audio.iskcondesiretree.com/01_-_Srila_Prabhupada/01_-_Lectures/01_-_English/01_-_Topic_wise/Stories/SP_Story_33_Saksi_Gopala.mp3</t>
  </si>
  <si>
    <t>SP_Story_34_Sanatana_%26_Radharani.mp3</t>
  </si>
  <si>
    <t>https://audio.iskcondesiretree.com/01_-_Srila_Prabhupada/01_-_Lectures/01_-_English/01_-_Topic_wise/Stories/SP_Story_34_Sanatana_%26_Radharani.mp3</t>
  </si>
  <si>
    <t>SP_Story_35_Scholar_and_the_boatman.mp3</t>
  </si>
  <si>
    <t>https://audio.iskcondesiretree.com/01_-_Srila_Prabhupada/01_-_Lectures/01_-_English/01_-_Topic_wise/Stories/SP_Story_35_Scholar_and_the_boatman.mp3</t>
  </si>
  <si>
    <t>SP_Story_36_Shah_Jahan.mp3</t>
  </si>
  <si>
    <t>https://audio.iskcondesiretree.com/01_-_Srila_Prabhupada/01_-_Lectures/01_-_English/01_-_Topic_wise/Stories/SP_Story_36_Shah_Jahan.mp3</t>
  </si>
  <si>
    <t>SP_Story_37_Siva_Parvati_watermelon.mp3</t>
  </si>
  <si>
    <t>https://audio.iskcondesiretree.com/01_-_Srila_Prabhupada/01_-_Lectures/01_-_English/01_-_Topic_wise/Stories/SP_Story_37_Siva_Parvati_watermelon.mp3</t>
  </si>
  <si>
    <t>SP_Story_38_16000_wives.mp3</t>
  </si>
  <si>
    <t>https://audio.iskcondesiretree.com/01_-_Srila_Prabhupada/01_-_Lectures/01_-_English/01_-_Topic_wise/Stories/SP_Story_38_16000_wives.mp3</t>
  </si>
  <si>
    <t>SP_Story_39_Smearing_stool.mp3</t>
  </si>
  <si>
    <t>https://audio.iskcondesiretree.com/01_-_Srila_Prabhupada/01_-_Lectures/01_-_English/01_-_Topic_wise/Stories/SP_Story_39_Smearing_stool.mp3</t>
  </si>
  <si>
    <t>SP_Story_40_Savitri.mp3</t>
  </si>
  <si>
    <t>https://audio.iskcondesiretree.com/01_-_Srila_Prabhupada/01_-_Lectures/01_-_English/01_-_Topic_wise/Stories/SP_Story_40_Savitri.mp3</t>
  </si>
  <si>
    <t>SP_Story_41_Thief_to_Vrindavana.mp3</t>
  </si>
  <si>
    <t>https://audio.iskcondesiretree.com/01_-_Srila_Prabhupada/01_-_Lectures/01_-_English/01_-_Topic_wise/Stories/SP_Story_41_Thief_to_Vrindavana.mp3</t>
  </si>
  <si>
    <t>SP_Story_42_Vastrana_lila.mp3</t>
  </si>
  <si>
    <t>https://audio.iskcondesiretree.com/01_-_Srila_Prabhupada/01_-_Lectures/01_-_English/01_-_Topic_wise/Stories/SP_Story_42_Vastrana_lila.mp3</t>
  </si>
  <si>
    <t>SP_Story_43_Visvamitra_Muni.mp3</t>
  </si>
  <si>
    <t>https://audio.iskcondesiretree.com/01_-_Srila_Prabhupada/01_-_Lectures/01_-_English/01_-_Topic_wise/Stories/SP_Story_43_Visvamitra_Muni.mp3</t>
  </si>
  <si>
    <t>SP_Story_44_Yogi_burning_finger.mp3</t>
  </si>
  <si>
    <t>https://audio.iskcondesiretree.com/01_-_Srila_Prabhupada/01_-_Lectures/01_-_English/01_-_Topic_wise/Stories/SP_Story_44_Yogi_burning_finger.mp3</t>
  </si>
  <si>
    <t>SP_Story_45_Yogi_who_could_walk_on_water.mp3</t>
  </si>
  <si>
    <t>https://audio.iskcondesiretree.com/01_-_Srila_Prabhupada/01_-_Lectures/01_-_English/01_-_Topic_wise/Stories/SP_Story_45_Yogi_who_could_walk_on_water.mp3</t>
  </si>
  <si>
    <t>SP_Story_46_Simply_wonderful.mp3</t>
  </si>
  <si>
    <t>https://audio.iskcondesiretree.com/01_-_Srila_Prabhupada/01_-_Lectures/01_-_English/01_-_Topic_wise/Stories/SP_Story_46_Simply_wonderful.mp3</t>
  </si>
  <si>
    <t>SB_07</t>
  </si>
  <si>
    <t>SB-01-07-49%E2%80%9350_761007SB-VRNDAVAN.MP3</t>
  </si>
  <si>
    <t>https://audio.iskcondesiretree.com/01_-_Srila_Prabhupada/01_-_Lectures/01_-_English/02_-_Month_wise/10_-_October/07/SB-01-07-49%E2%80%9350_761007SB-VRNDAVAN.MP3</t>
  </si>
  <si>
    <t>01_-_General_Lecture.mp3</t>
  </si>
  <si>
    <t>https://audio.iskcondesiretree.com/01_-_Srila_Prabhupada/01_-_Lectures/02_-_Bengali/01_-_General_Lecture.mp3</t>
  </si>
  <si>
    <t>03_-_Hindi</t>
  </si>
  <si>
    <t>SP_Hindi_01_Lectures_%26_Conversations.mp3</t>
  </si>
  <si>
    <t>https://audio.iskcondesiretree.com/01_-_Srila_Prabhupada/01_-_Lectures/03_-_Hindi/SP_Hindi_01_Lectures_%26_Conversations.mp3</t>
  </si>
  <si>
    <t>SP_Hindi_02_Lectures_%26_Conversations.mp3</t>
  </si>
  <si>
    <t>https://audio.iskcondesiretree.com/01_-_Srila_Prabhupada/01_-_Lectures/03_-_Hindi/SP_Hindi_02_Lectures_%26_Conversations.mp3</t>
  </si>
  <si>
    <t>SP_Hindi_03_Lectures_%26_Conversations.mp3</t>
  </si>
  <si>
    <t>https://audio.iskcondesiretree.com/01_-_Srila_Prabhupada/01_-_Lectures/03_-_Hindi/SP_Hindi_03_Lectures_%26_Conversations.mp3</t>
  </si>
  <si>
    <t>SP_Hindi_04_Lectures_%26_Conversations.mp3</t>
  </si>
  <si>
    <t>https://audio.iskcondesiretree.com/01_-_Srila_Prabhupada/01_-_Lectures/03_-_Hindi/SP_Hindi_04_Lectures_%26_Conversations.mp3</t>
  </si>
  <si>
    <t>SP_Hindi_05_Lectures_%26_Conversations.mp3</t>
  </si>
  <si>
    <t>https://audio.iskcondesiretree.com/01_-_Srila_Prabhupada/01_-_Lectures/03_-_Hindi/SP_Hindi_05_Lectures_%26_Conversations.mp3</t>
  </si>
  <si>
    <t>SP_Hindi_06_Lectures_%26_Conversations.mp3</t>
  </si>
  <si>
    <t>https://audio.iskcondesiretree.com/01_-_Srila_Prabhupada/01_-_Lectures/03_-_Hindi/SP_Hindi_06_Lectures_%26_Conversations.mp3</t>
  </si>
  <si>
    <t>SP_Hindi_07_Lectures_%26_Conversations.mp3</t>
  </si>
  <si>
    <t>https://audio.iskcondesiretree.com/01_-_Srila_Prabhupada/01_-_Lectures/03_-_Hindi/SP_Hindi_07_Lectures_%26_Conversations.mp3</t>
  </si>
  <si>
    <t>SP_Hindi_08_Lectures_%26_Conversations.mp3</t>
  </si>
  <si>
    <t>https://audio.iskcondesiretree.com/01_-_Srila_Prabhupada/01_-_Lectures/03_-_Hindi/SP_Hindi_08_Lectures_%26_Conversations.mp3</t>
  </si>
  <si>
    <t>SP_Hindi_09_Lectures_%26_Conversations.mp3</t>
  </si>
  <si>
    <t>https://audio.iskcondesiretree.com/01_-_Srila_Prabhupada/01_-_Lectures/03_-_Hindi/SP_Hindi_09_Lectures_%26_Conversations.mp3</t>
  </si>
  <si>
    <t>SP_Hindi_10_Lectures_%26_Conversations.mp3</t>
  </si>
  <si>
    <t>https://audio.iskcondesiretree.com/01_-_Srila_Prabhupada/01_-_Lectures/03_-_Hindi/SP_Hindi_10_Lectures_%26_Conversations.mp3</t>
  </si>
  <si>
    <t>SP_Hindi_11_Lectures_%26_Conversations.mp3</t>
  </si>
  <si>
    <t>https://audio.iskcondesiretree.com/01_-_Srila_Prabhupada/01_-_Lectures/03_-_Hindi/SP_Hindi_11_Lectures_%26_Conversations.mp3</t>
  </si>
  <si>
    <t>SP_Hindi_12_Lectures_%26_Conversations.mp3</t>
  </si>
  <si>
    <t>https://audio.iskcondesiretree.com/01_-_Srila_Prabhupada/01_-_Lectures/03_-_Hindi/SP_Hindi_12_Lectures_%26_Conversations.mp3</t>
  </si>
  <si>
    <t>SP_Hindi_13_Lectures_%26_Conversations.mp3</t>
  </si>
  <si>
    <t>https://audio.iskcondesiretree.com/01_-_Srila_Prabhupada/01_-_Lectures/03_-_Hindi/SP_Hindi_13_Lectures_%26_Conversations.mp3</t>
  </si>
  <si>
    <t>SP_Hindi_14_Lectures_%26_Conversations.mp3</t>
  </si>
  <si>
    <t>https://audio.iskcondesiretree.com/01_-_Srila_Prabhupada/01_-_Lectures/03_-_Hindi/SP_Hindi_14_Lectures_%26_Conversations.mp3</t>
  </si>
  <si>
    <t>SP_Hindi_15_Lectures_%26_Conversations.mp3</t>
  </si>
  <si>
    <t>https://audio.iskcondesiretree.com/01_-_Srila_Prabhupada/01_-_Lectures/03_-_Hindi/SP_Hindi_15_Lectures_%26_Conversations.mp3</t>
  </si>
  <si>
    <t>SP_Hindi_16_Lectures_%26_Conversations.mp3</t>
  </si>
  <si>
    <t>https://audio.iskcondesiretree.com/01_-_Srila_Prabhupada/01_-_Lectures/03_-_Hindi/SP_Hindi_16_Lectures_%26_Conversations.mp3</t>
  </si>
  <si>
    <t>SP_Hindi_17_Lectures_%26_Conversations.mp3</t>
  </si>
  <si>
    <t>https://audio.iskcondesiretree.com/01_-_Srila_Prabhupada/01_-_Lectures/03_-_Hindi/SP_Hindi_17_Lectures_%26_Conversations.mp3</t>
  </si>
  <si>
    <t>SP_Hindi_18_Lectures_%26_Conversations.mp3</t>
  </si>
  <si>
    <t>https://audio.iskcondesiretree.com/01_-_Srila_Prabhupada/01_-_Lectures/03_-_Hindi/SP_Hindi_18_Lectures_%26_Conversations.mp3</t>
  </si>
  <si>
    <t>SP_Hindi_19_Lectures_%26_Conversations.mp3</t>
  </si>
  <si>
    <t>https://audio.iskcondesiretree.com/01_-_Srila_Prabhupada/01_-_Lectures/03_-_Hindi/SP_Hindi_19_Lectures_%26_Conversations.mp3</t>
  </si>
  <si>
    <t>SP_Hindi_20_Lectures_%26_Conversations.mp3</t>
  </si>
  <si>
    <t>https://audio.iskcondesiretree.com/01_-_Srila_Prabhupada/01_-_Lectures/03_-_Hindi/SP_Hindi_20_Lectures_%26_Conversations.mp3</t>
  </si>
  <si>
    <t>SP_Hindi_21_Lectures_%26_Conversations.mp3</t>
  </si>
  <si>
    <t>https://audio.iskcondesiretree.com/01_-_Srila_Prabhupada/01_-_Lectures/03_-_Hindi/SP_Hindi_21_Lectures_%26_Conversations.mp3</t>
  </si>
  <si>
    <t>SP_Hindi_22_Lectures_%26_Conversations.mp3</t>
  </si>
  <si>
    <t>https://audio.iskcondesiretree.com/01_-_Srila_Prabhupada/01_-_Lectures/03_-_Hindi/SP_Hindi_22_Lectures_%26_Conversations.mp3</t>
  </si>
  <si>
    <t>SP_Hindi_23_Lectures_%26_Conversations.mp3</t>
  </si>
  <si>
    <t>https://audio.iskcondesiretree.com/01_-_Srila_Prabhupada/01_-_Lectures/03_-_Hindi/SP_Hindi_23_Lectures_%26_Conversations.mp3</t>
  </si>
  <si>
    <t>SP_Hindi_24_Lectures_%26_Conversations.mp3</t>
  </si>
  <si>
    <t>https://audio.iskcondesiretree.com/01_-_Srila_Prabhupada/01_-_Lectures/03_-_Hindi/SP_Hindi_24_Lectures_%26_Conversations.mp3</t>
  </si>
  <si>
    <t>SP_Hindi_25_Lectures_%26_Conversations.mp3</t>
  </si>
  <si>
    <t>https://audio.iskcondesiretree.com/01_-_Srila_Prabhupada/01_-_Lectures/03_-_Hindi/SP_Hindi_25_Lectures_%26_Conversations.mp3</t>
  </si>
  <si>
    <t>SP_Hindi_26_Lectures_%26_Conversations.mp3</t>
  </si>
  <si>
    <t>https://audio.iskcondesiretree.com/01_-_Srila_Prabhupada/01_-_Lectures/03_-_Hindi/SP_Hindi_26_Lectures_%26_Conversations.mp3</t>
  </si>
  <si>
    <t>SP_Hindi_27_Lectures_%26_Conversations.mp3</t>
  </si>
  <si>
    <t>https://audio.iskcondesiretree.com/01_-_Srila_Prabhupada/01_-_Lectures/03_-_Hindi/SP_Hindi_27_Lectures_%26_Conversations.mp3</t>
  </si>
  <si>
    <t>SP_Hindi_28_Lectures_%26_Conversations.mp3</t>
  </si>
  <si>
    <t>https://audio.iskcondesiretree.com/01_-_Srila_Prabhupada/01_-_Lectures/03_-_Hindi/SP_Hindi_28_Lectures_%26_Conversations.mp3</t>
  </si>
  <si>
    <t>SP_Hindi_29_Lectures_%26_Conversations.mp3</t>
  </si>
  <si>
    <t>https://audio.iskcondesiretree.com/01_-_Srila_Prabhupada/01_-_Lectures/03_-_Hindi/SP_Hindi_29_Lectures_%26_Conversations.mp3</t>
  </si>
  <si>
    <t>SP_Hindi_30_Lectures_%26_Conversations.mp3</t>
  </si>
  <si>
    <t>https://audio.iskcondesiretree.com/01_-_Srila_Prabhupada/01_-_Lectures/03_-_Hindi/SP_Hindi_30_Lectures_%26_Conversations.mp3</t>
  </si>
  <si>
    <t>SP_Hindi_31_Lectures_%26_Conversations.mp3</t>
  </si>
  <si>
    <t>https://audio.iskcondesiretree.com/01_-_Srila_Prabhupada/01_-_Lectures/03_-_Hindi/SP_Hindi_31_Lectures_%26_Conversations.mp3</t>
  </si>
  <si>
    <t>SP_Hindi_32_Lectures_%26_Conversations.mp3</t>
  </si>
  <si>
    <t>https://audio.iskcondesiretree.com/01_-_Srila_Prabhupada/01_-_Lectures/03_-_Hindi/SP_Hindi_32_Lectures_%26_Conversations.mp3</t>
  </si>
  <si>
    <t>00_-_Year_wise</t>
  </si>
  <si>
    <t>Devotional_Nectar_-_1989</t>
  </si>
  <si>
    <t>Devotional_Nectar_-_1990</t>
  </si>
  <si>
    <t>Devotional_Nectar_-_1991</t>
  </si>
  <si>
    <t>Devotional_Nectar_-_1992</t>
  </si>
  <si>
    <t>Devotional_Nectar_-_1993</t>
  </si>
  <si>
    <t>Devotional_Nectar_-_1994</t>
  </si>
  <si>
    <t>Devotional_Nectar_-_1995</t>
  </si>
  <si>
    <t>Devotional_Nectar_-_1996</t>
  </si>
  <si>
    <t>Devotional_Nectar_-_1997</t>
  </si>
  <si>
    <t>Devotional_Nectar_-_1998</t>
  </si>
  <si>
    <t>Devotional_Nectar_-_1999</t>
  </si>
  <si>
    <t>Devotional_Nectar_-_2000</t>
  </si>
  <si>
    <t>Devotional_Nectar_-_2001</t>
  </si>
  <si>
    <t>Devotional_Nectar_-_2002</t>
  </si>
  <si>
    <t>Devotional_Nectar_-_2003</t>
  </si>
  <si>
    <t>Devotional_Nectar_-_2004</t>
  </si>
  <si>
    <t>Devotional_Nectar_-_2005</t>
  </si>
  <si>
    <t>Devotional_Nectar_-_2006</t>
  </si>
  <si>
    <t>Devotional_Nectar_-_2007</t>
  </si>
  <si>
    <t>Devotional_Nectar_-_2008</t>
  </si>
  <si>
    <t>Devotional_Nectar_-_2009</t>
  </si>
  <si>
    <t>Devotional_Nectar_-_2010</t>
  </si>
  <si>
    <t>Devotional_Nectar_-_2011</t>
  </si>
  <si>
    <t>Devotional_Nectar_-_2012</t>
  </si>
  <si>
    <t>Devotional_Nectar_-_2013</t>
  </si>
  <si>
    <t>Devotional_Nectar_-_2014</t>
  </si>
  <si>
    <t>Devotional_Nectar_-_2015</t>
  </si>
  <si>
    <t>Devotional_Nectar_-_2016</t>
  </si>
  <si>
    <t>Devotional_Nectar_-_2017</t>
  </si>
  <si>
    <t>Devotional_Nectar_-_2018</t>
  </si>
  <si>
    <t>Devotional_Nectar_-_2019</t>
  </si>
  <si>
    <t>Devotional_Nectar_-_2020</t>
  </si>
  <si>
    <t>Devotional_Nectar_-_2021</t>
  </si>
  <si>
    <t>Devotional_Nectar_-_2022</t>
  </si>
  <si>
    <t>Devotional_Nectar_-_2023</t>
  </si>
  <si>
    <t>Devotional_Nectar_-_2024</t>
  </si>
  <si>
    <t>Devotional_Nectar_-_2025</t>
  </si>
  <si>
    <t>Gita_Nagari_Retreat_2014</t>
  </si>
  <si>
    <t>Gita_Nagari_Retreat_2015</t>
  </si>
  <si>
    <t>01_-_Theme_wise</t>
  </si>
  <si>
    <t>Anarthas</t>
  </si>
  <si>
    <t>Attachment_and_Detachment</t>
  </si>
  <si>
    <t>Attracting_to_Krsna_Consciousness</t>
  </si>
  <si>
    <t>Back_To_Godhead</t>
  </si>
  <si>
    <t>Bhagavad_Gita</t>
  </si>
  <si>
    <t>Bhakti</t>
  </si>
  <si>
    <t>Blessings</t>
  </si>
  <si>
    <t>Books_are_the_basis</t>
  </si>
  <si>
    <t>Brahmachari_Training</t>
  </si>
  <si>
    <t>Chaitanya_Charithamritha</t>
  </si>
  <si>
    <t>Charity</t>
  </si>
  <si>
    <t>Chastity</t>
  </si>
  <si>
    <t>Compassion</t>
  </si>
  <si>
    <t>Conflict_Resolution</t>
  </si>
  <si>
    <t>Cultural_Activities</t>
  </si>
  <si>
    <t>Death</t>
  </si>
  <si>
    <t>Deity_Worship</t>
  </si>
  <si>
    <t>Demigods</t>
  </si>
  <si>
    <t>Desires</t>
  </si>
  <si>
    <t>Determination</t>
  </si>
  <si>
    <t>Devotees_Association</t>
  </si>
  <si>
    <t>Dhaams</t>
  </si>
  <si>
    <t>Disciple_and_Devotee--Ideal_Qualities</t>
  </si>
  <si>
    <t>Disciplic_Succession</t>
  </si>
  <si>
    <t>Eagerness</t>
  </si>
  <si>
    <t>Enthusiasm</t>
  </si>
  <si>
    <t>Faith</t>
  </si>
  <si>
    <t>False_Ego</t>
  </si>
  <si>
    <t>Following_the_footsteps_of_great_souls</t>
  </si>
  <si>
    <t>Forgiveness</t>
  </si>
  <si>
    <t>Free_Will</t>
  </si>
  <si>
    <t>Gaur_Lila-Love_in_Separation</t>
  </si>
  <si>
    <t>Goal_of_Life</t>
  </si>
  <si>
    <t>Gratitude</t>
  </si>
  <si>
    <t>Great_Vaisnava_Acharyas</t>
  </si>
  <si>
    <t>Happiness</t>
  </si>
  <si>
    <t>Heart</t>
  </si>
  <si>
    <t>Holy_Name</t>
  </si>
  <si>
    <t>Humility</t>
  </si>
  <si>
    <t>Incarnations</t>
  </si>
  <si>
    <t>Indra</t>
  </si>
  <si>
    <t>Inquiry_into_the_Absolute</t>
  </si>
  <si>
    <t>Intelligence</t>
  </si>
  <si>
    <t>ISKCON</t>
  </si>
  <si>
    <t>ISKCON_Pune</t>
  </si>
  <si>
    <t>Kaliyuga</t>
  </si>
  <si>
    <t>Knowledge</t>
  </si>
  <si>
    <t>Krsna</t>
  </si>
  <si>
    <t>Laws_of_God</t>
  </si>
  <si>
    <t>Laziness</t>
  </si>
  <si>
    <t>Leadership_and_Management</t>
  </si>
  <si>
    <t>Liberation</t>
  </si>
  <si>
    <t>Lord_Chaitanya</t>
  </si>
  <si>
    <t>Lord_Nityananda</t>
  </si>
  <si>
    <t>Lord_Ramachandra</t>
  </si>
  <si>
    <t>Love</t>
  </si>
  <si>
    <t>Marriage_and_Relationships</t>
  </si>
  <si>
    <t>Material_Education</t>
  </si>
  <si>
    <t>Material_world</t>
  </si>
  <si>
    <t>Maya_and_How_to_fight_Maya</t>
  </si>
  <si>
    <t>Mercy</t>
  </si>
  <si>
    <t>Mind_Control</t>
  </si>
  <si>
    <t>Modes_of_material_nature</t>
  </si>
  <si>
    <t>Nectar_Of_Instruction</t>
  </si>
  <si>
    <t>Obstacles_in_spiritual_life</t>
  </si>
  <si>
    <t>Occupational_duties</t>
  </si>
  <si>
    <t>Old_age_and_Retirement</t>
  </si>
  <si>
    <t>Overcoming_alchoholism</t>
  </si>
  <si>
    <t>Parents_Training_Children</t>
  </si>
  <si>
    <t>Peace</t>
  </si>
  <si>
    <t>Personalism_vs_Impersonalism</t>
  </si>
  <si>
    <t>Personality_Development</t>
  </si>
  <si>
    <t>Piety</t>
  </si>
  <si>
    <t>Prayers</t>
  </si>
  <si>
    <t>Preaching_is_the_essence</t>
  </si>
  <si>
    <t>Public_Addressings</t>
  </si>
  <si>
    <t>Purity_is_the_force</t>
  </si>
  <si>
    <t>Question_and_Answers</t>
  </si>
  <si>
    <t>Radhika_Krsna</t>
  </si>
  <si>
    <t>Religion</t>
  </si>
  <si>
    <t>Renunciation</t>
  </si>
  <si>
    <t>Responsibility</t>
  </si>
  <si>
    <t>Sacrifice</t>
  </si>
  <si>
    <t>Sadhu</t>
  </si>
  <si>
    <t>Sannyasi_Training</t>
  </si>
  <si>
    <t>Science_and_spirituality</t>
  </si>
  <si>
    <t>Self_Realization</t>
  </si>
  <si>
    <t>Sense_Control</t>
  </si>
  <si>
    <t>Sense_Gratification</t>
  </si>
  <si>
    <t>Separation</t>
  </si>
  <si>
    <t>Service_Attitude</t>
  </si>
  <si>
    <t>Simplicity</t>
  </si>
  <si>
    <t>Sincerity</t>
  </si>
  <si>
    <t>Smaranam_%28Remembrance%29</t>
  </si>
  <si>
    <t>Social_Aspects</t>
  </si>
  <si>
    <t>Spiritual_Master_and_Disciple</t>
  </si>
  <si>
    <t>Spiritual_world</t>
  </si>
  <si>
    <t>Sravanam</t>
  </si>
  <si>
    <t>Srila%20Prabhupada</t>
  </si>
  <si>
    <t>Srimad_Bhagavatham</t>
  </si>
  <si>
    <t>Submissiveness</t>
  </si>
  <si>
    <t>Suffering_How_to_handle</t>
  </si>
  <si>
    <t>Surrender</t>
  </si>
  <si>
    <t>Team_Work</t>
  </si>
  <si>
    <t>Time</t>
  </si>
  <si>
    <t>Tolerance</t>
  </si>
  <si>
    <t>Training_at_ISKCON</t>
  </si>
  <si>
    <t>Utility_is_the_principle</t>
  </si>
  <si>
    <t>Vaishnava</t>
  </si>
  <si>
    <t>Vaishnava_Aparadha</t>
  </si>
  <si>
    <t>Vaishnava_Etiquette_and_Relations</t>
  </si>
  <si>
    <t>Varnashrama</t>
  </si>
  <si>
    <t>Vedas</t>
  </si>
  <si>
    <t>Vedic_Culture</t>
  </si>
  <si>
    <t>Vyas_Puja</t>
  </si>
  <si>
    <t>Youth_Preaching</t>
  </si>
  <si>
    <t>02_-_Yatra</t>
  </si>
  <si>
    <t>1997_Mayapur</t>
  </si>
  <si>
    <t>1998_Vrindavan_yatra</t>
  </si>
  <si>
    <t>1999_Ayodhya_Naimisharanya</t>
  </si>
  <si>
    <t>1999_Naimisharanya_yatra</t>
  </si>
  <si>
    <t>1999_South_India_yatra</t>
  </si>
  <si>
    <t>2000_Mayapur</t>
  </si>
  <si>
    <t>2002_Vrindavan_yatra</t>
  </si>
  <si>
    <t>2003_Mayapur_yatra</t>
  </si>
  <si>
    <t>2004_Bangladesh</t>
  </si>
  <si>
    <t>2004_Pune_yatra</t>
  </si>
  <si>
    <t>2004_Vrindavan_yatra</t>
  </si>
  <si>
    <t>2005-2006_South_India_yatra</t>
  </si>
  <si>
    <t>2005_Pune_yatra</t>
  </si>
  <si>
    <t>2007_Mayapur_yatra</t>
  </si>
  <si>
    <t>2007_Pune_yatra</t>
  </si>
  <si>
    <t>2008_Pune_yatra</t>
  </si>
  <si>
    <t>2008_Vrindavan_Yatra</t>
  </si>
  <si>
    <t>2009_Mayapur_Yatra</t>
  </si>
  <si>
    <t>2009_Pune_Yatra</t>
  </si>
  <si>
    <t>2011_Vrindavan_Yatra</t>
  </si>
  <si>
    <t>2012_Mayapur_Yatra</t>
  </si>
  <si>
    <t>2013_Vrindavan_Yatra</t>
  </si>
  <si>
    <t>2014_South_India_Yatra</t>
  </si>
  <si>
    <t>2015_Vrindavan_Yatra</t>
  </si>
  <si>
    <t>2017_Mayapur_Yatra</t>
  </si>
  <si>
    <t>2018_Jagannath_Puri_Yatra</t>
  </si>
  <si>
    <t>2019_Vrindavan_Yatra</t>
  </si>
  <si>
    <t>2023_Jagannath_Puri_Yatra</t>
  </si>
  <si>
    <t>2024_Mayapur_Dham_Yatra</t>
  </si>
  <si>
    <t>Dwaraka</t>
  </si>
  <si>
    <t>Jaganath_Puri_yatra</t>
  </si>
  <si>
    <t>Jaipur_yatra</t>
  </si>
  <si>
    <t>Kurukshetra_Yatra</t>
  </si>
  <si>
    <t>Nashik</t>
  </si>
  <si>
    <t>Nilachala_yatra</t>
  </si>
  <si>
    <t>03_-_From_devotees</t>
  </si>
  <si>
    <t>05-02-EYE-CAMP_-_Radhanath_Swami.mp3</t>
  </si>
  <si>
    <t>2005-01-29_SB_-_Radhanath_Swami.mp3</t>
  </si>
  <si>
    <t>2005-01-30_SB_-_Radhanath_Swami.mp3</t>
  </si>
  <si>
    <t>2005-02-05_SB_-_Radhanath_Swami.mp3</t>
  </si>
  <si>
    <t>2005-11-25_Prerana_-_Radhanath_Swami.mp3</t>
  </si>
  <si>
    <t>2007-04-29_-_Radhanath_Swami.mp3</t>
  </si>
  <si>
    <t>2007-06-10_Columbus_-_Radhanath_Swami.mp3</t>
  </si>
  <si>
    <t>2008-05-11_-_Radhanath_Swami.mp3</t>
  </si>
  <si>
    <t>2008-06-22_-_Radhanath_Swami.mp3</t>
  </si>
  <si>
    <t>CC_Caitanya_Lila_-_2007-07-28_Los_Angeles_-_Radhanath_Swami.mp3</t>
  </si>
  <si>
    <t>Initiation_-_Radhanath_Swami_2006-08-09.mp3</t>
  </si>
  <si>
    <t>Lord_Balaram_appearance_day_-_Radhanath_Swami_2006-08-09.mp3</t>
  </si>
  <si>
    <t>PR_OvercomingfearI_-_Radhanath_Swami.mp3</t>
  </si>
  <si>
    <t>PR_OvercomingfearII_-_Radhanath_Swami.mp3</t>
  </si>
  <si>
    <t>PR_Power_of_Habits_Part-01_-_Radhanath_Swami.mp3</t>
  </si>
  <si>
    <t>PR_Power_of_Habits_Part-02_-_Radhanath_Swami.mp3</t>
  </si>
  <si>
    <t>PR_Principles_of_satisfaction_Part-01_-_Radhanath_Swami.mp3</t>
  </si>
  <si>
    <t>PR_Principles_of_satisfaction_Part-02_-_Radhanath_Swami.mp3</t>
  </si>
  <si>
    <t>Prerana_-_Power_of_renunciation_-_2007-04-28_-_Radhanath_Swami.mp3</t>
  </si>
  <si>
    <t>Rama_Lecture_2009-04-05_Radha_Govinda_Mandir_-_Radhanath_Swami.mp3</t>
  </si>
  <si>
    <t>RNS_08-08-22_How_To_Know_Krsna_-_Seattle.mp3</t>
  </si>
  <si>
    <t>RNS_08-08-22_Real_foundation_of_the_temple_-_Seattle.mp3</t>
  </si>
  <si>
    <t>RNS_08-08-23_Krsnas_birth_pastime_-_Seattle.mp3</t>
  </si>
  <si>
    <t>RNS_08-08-24_Offering_of_love_-_Seattle.mp3</t>
  </si>
  <si>
    <t>RNS_08-08-24_Srila_Prabhupada_Vyasa_Puja_Offering_-_Seattle.mp3</t>
  </si>
  <si>
    <t>RNS_Arrival_address_-_07-10-05.mp3</t>
  </si>
  <si>
    <t>RNS_Balarama_Appearance_-_Evening_Lecture_-_07-08-28_Alachua_Temple.mp3</t>
  </si>
  <si>
    <t>RNS_Balarama_Appearance_-_Morning_Lecture_-_07-08-28_Alachua_Temple.mp3</t>
  </si>
  <si>
    <t>RNS_CC_Caitanya_Lila_-_07-07-28_Los_Angeles.mp3</t>
  </si>
  <si>
    <t>RNS_CC_Reading_-_04-07-20_Los_Angeles.mp3</t>
  </si>
  <si>
    <t>RNS_CC_Reading_-_04-07-21_Los_Angeles.mp3</t>
  </si>
  <si>
    <t>RNS_CC_Reading_-_04-07-23_Los_Angeles.mp3</t>
  </si>
  <si>
    <t>RNS_CC_Reading_-_07-07-27_Los_Angeles.mp3</t>
  </si>
  <si>
    <t>RNS_CC_Reading_-_07-07-29_Los_Angeles.mp3</t>
  </si>
  <si>
    <t>RNS_Chicago_-_08-12-21.mp3</t>
  </si>
  <si>
    <t>RNS_Festivals_-_Sacred_sounds_festivals_-_09-06-07.mp3</t>
  </si>
  <si>
    <t>RNS_Initiations_-_03-11-30_Los_Angeles.mp3</t>
  </si>
  <si>
    <t>RNS_Initiations_-_04-07-19_Los_Angeles.mp3</t>
  </si>
  <si>
    <t>RNS_PR_From_Ritual_To_Spiritual_-_08-02-09.mp3</t>
  </si>
  <si>
    <t>RNS_Prerna_Being_A_True_Friend_08-04-22.mp3</t>
  </si>
  <si>
    <t>RNS_Ram_Navami_-_Exemplary_Character_Of_Lord_Ramchandra_-_08-04-14_Juhu.mp3</t>
  </si>
  <si>
    <t>RNS_Ram_Navami_-_Lord_Rama_Ehibits_Ideal_Behaviour_For_Humanity_-_08-04-14.mp3</t>
  </si>
  <si>
    <t>RNS_Saving_India%27s_Future_Generations_-_Gopal%27s_Fun_Sch_Annual_Day_-_07-12-16.mp3</t>
  </si>
  <si>
    <t>RNS_SB_03-15-39_-_02-12-22_Los_Angeles.mp3</t>
  </si>
  <si>
    <t>RNS_SB_03-24-40_-_03-11-26_Los_Angeles.mp3</t>
  </si>
  <si>
    <t>RNS_SB_03-24-41_-_03-11-27_Los_Angeles.mp3</t>
  </si>
  <si>
    <t>RNS_SB_03-24-42_-_03-11-28_Los_Angeles.mp3</t>
  </si>
  <si>
    <t>RNS_SB_03-24-43_-_03-11-29_Los_Angeles.mp3</t>
  </si>
  <si>
    <t>RNS_SB_03-24-44_-_03-12-01_Los_Angeles.mp3</t>
  </si>
  <si>
    <t>RNS_SB_03-29-15_-_04-07-17_Los_Angeles.mp3</t>
  </si>
  <si>
    <t>RNS_SB_04-06-37_-_05-07-14_Los_Angeles.mp3</t>
  </si>
  <si>
    <t>RNS_SB_04-06-41_-_05-07-17_Los_Angeles.mp3</t>
  </si>
  <si>
    <t>RNS_SB_04-06-42_-_05-07-20_Los_Angeles.mp3</t>
  </si>
  <si>
    <t>RNS_SB_04-06-44_-_05-07-22_Los_Angeles.mp3</t>
  </si>
  <si>
    <t>RNS_SB_04-18-03_-_06-11-14_Los_Angeles.mp3</t>
  </si>
  <si>
    <t>RNS_SB_04-18-04_-_06-11-15_Los_Angeles.mp3</t>
  </si>
  <si>
    <t>RNS_SB_06-19-18_Sincere_Husband_And_Chaste_Wife_Advance_Together_-_07-10-13.mp3</t>
  </si>
  <si>
    <t>RNS_SB_07-01-44-46_Hate_The_Sin_But_Love_The_Sinner_-_07-11-25.mp3</t>
  </si>
  <si>
    <t>RNS_SB_07-02-14_Taking_Care_Of_Details_-_07-12-09.mp3</t>
  </si>
  <si>
    <t>RNS_SB_07-02-23_Krishna_sees_the_purpose_-_07-12-14.mp3</t>
  </si>
  <si>
    <t>RNS_SB_07-04-33_Who_Is_A_Vaisnava_-_08-03-08.mp3</t>
  </si>
  <si>
    <t>RNS_SB_07-04-34_Antidote_Of_Envy_Is_Appreciation_-_08-03-09.mp3</t>
  </si>
  <si>
    <t>RNS_SB_07-05-03_Devotees_Do_not_Create_Enemies_-_08-03-26.mp3</t>
  </si>
  <si>
    <t>RNS_SB_07-06-11-13_-_07-08-27_Alachua_Temple.mp3</t>
  </si>
  <si>
    <t>RNS_SB_07-06-14_-_07-08-29_Alachua_Temple.mp3</t>
  </si>
  <si>
    <t>RNS_SB_08-08-12-14_-_09-06-09_Alachua_Temple.mp3</t>
  </si>
  <si>
    <t>RNS_SB_08-08-15-19_-_09-06-10_Alachua_Temple.mp3</t>
  </si>
  <si>
    <t>RNS_SB_09-04-47_-_07-05-18_London.mp3</t>
  </si>
  <si>
    <t>RNS_Shelter_of_Krsna%27s_Love_-_KK_Temple_-_08-12-21.mp3</t>
  </si>
  <si>
    <t>RNS_Sunday_Feast_-_03-11-30_Los_Angeles.mp3</t>
  </si>
  <si>
    <t>RNS_Sunday_Feast_-_04-07-18_Los_Angeles.mp3</t>
  </si>
  <si>
    <t>RNS_Sunday_Feast_-_Fortune_Of_A_Genuine_Beggar_-_08-03-23.mp3</t>
  </si>
  <si>
    <t>RNS_Sunday_Feast_Lecture_-_07-08-26_Alachua_Temple.mp3</t>
  </si>
  <si>
    <t>RNS_Various_-_Black_Lotus_Affair_SB_Class_-_05-24-2009.mp3</t>
  </si>
  <si>
    <t>RNS_Various_-_Christmas_Lecture_-_06-12-24_London.mp3</t>
  </si>
  <si>
    <t>RNS_Various_-_Evening_Class_-_09-06-08_Alachua_Temple.mp3</t>
  </si>
  <si>
    <t>RNS_Various_-_Love_Is_Fundemental_-_Sacred_Sounds_-_09-06-06.mp3</t>
  </si>
  <si>
    <t>RNS_Various_-_Malhotra_Home_-_09-06-05.mp3</t>
  </si>
  <si>
    <t>RNS_Various_-_Sanatan_Goswami_And_The_Touch_stone_-_09-06-04_Radha_Madan_Mohan_Mandir.mp3</t>
  </si>
  <si>
    <t>SB_-_Do_not_mistreat_anyone_-_2007-04-28_-_Radhanath_Swami.mp3</t>
  </si>
  <si>
    <t>04_-_Brihad_Bhagavatamrata</t>
  </si>
  <si>
    <t>RNS_-_An_Introduction_to_Bhagavatamrit_-_1999-12-29.mp3</t>
  </si>
  <si>
    <t>RNS_-_Narada_Muni%27s_Search_for_the_Greatest_Devotee_-_1999-12-29.mp3</t>
  </si>
  <si>
    <t>RNS_-_Narada_Muni_Meets_Hanuman_-_1999-12-30.mp3</t>
  </si>
  <si>
    <t>RNS_-_Narada_Muni_Meets_Prahlad_Maharaja_-_1999-12-30.mp3</t>
  </si>
  <si>
    <t>RNS_-_Narada_Muni_Meets_the_King_and_Indra_-_1999-12-29.mp3</t>
  </si>
  <si>
    <t>RNS_-_Narada_Muni_Meets_the_Yadus_Uddhava_and_the_Queens_of_Dwarka_-_1999-12-31.mp3</t>
  </si>
  <si>
    <t>RNS_-_Narada_Muni_Travels_to_Brahmaloka_-_1999-12-30.mp3</t>
  </si>
  <si>
    <t>RNS_-_Narada_Muni_Travels_to_Shivaloka_-_1999-12-30.mp3</t>
  </si>
  <si>
    <t>RNS_-_Narada_Muni_Visits_the_Pandavas_-_1999-12-30.mp3</t>
  </si>
  <si>
    <t>RNS_-_Sunday_Feast-Teachings_From_Sri_Brihat_Bhagvatamrta_-_2007-10-14.mp3</t>
  </si>
  <si>
    <t>04_-_Brihad_Bhagavatamrata_Hindi_translation</t>
  </si>
  <si>
    <t>Hindi_-_01-Introduction_new_-_Radhanath_Swami.mp3</t>
  </si>
  <si>
    <t>Hindi_-_02-Narada_Munis_search_for_the_greatest_devotee_-_Radhanath_Swami.mp3</t>
  </si>
  <si>
    <t>Hindi_-_03-Naradamuni_meets_the_King_and_Indrav_-_Radhanath_Swami.mp3</t>
  </si>
  <si>
    <t>Hindi_-_04-Naradamuni_travels_to_Brahmaloka_-_Radhanath_Swami.mp3</t>
  </si>
  <si>
    <t>Hindi_-_05-Naradamuni_comes_to_Shiva_loka_-_Radhanath_Swami.mp3</t>
  </si>
  <si>
    <t>Hindi_-_06-Naradamuni_meets_Prahalad_-_Radhanath_Swami.mp3</t>
  </si>
  <si>
    <t>Hindi_-_07-Naradamuni_meets_Hanuman_-_Radhanath_Swami.mp3</t>
  </si>
  <si>
    <t>Hindi_-_08-Naradamuni_visits_the_Pandavas_-_Radhanath_Swami.mp3</t>
  </si>
  <si>
    <t>Hindi_-_09-Naradamuni_meets_Yadus%2C_Uddhav_and_the_queens_of_Dwarka_-_Radhanath_Swami.mp3</t>
  </si>
  <si>
    <t>05_-_Amrit_Droplets</t>
  </si>
  <si>
    <t>Amrit_Droplets_-_0176_-_Q_n_A_-_How_to_test_whether_not_coming_to_temple_is_due_to_genuine_bodily_problem.mp3</t>
  </si>
  <si>
    <t>Amrit_Droplets_-_0183_-_Short_Stories_-_Abhiram_Thakur_decides_to_give_obeisances_to_Little_Gopal_Guru_-_IDesireTree.mp3</t>
  </si>
  <si>
    <t>Amrit_Droplets_-_0184_-_Short_Stories_-_How_Parikshit_Maharaj_was_cursed_%26_Srimad_Bhagavatam_was_spoken_-_IDesireTree.mp3</t>
  </si>
  <si>
    <t>HHRNSM_-_Amrit_Droplets_-_0001_-_Request_to_all_of_us_-_IDesireTree.mp3</t>
  </si>
  <si>
    <t>HHRNSM_-_Amrit_Droplets_-_0002_-_Always_be_busy_in_positive_%26_don%27t_leave_time_for_negative_-_IDesireTree.mp3</t>
  </si>
  <si>
    <t>HHRNSM_-_Amrit_Droplets_-_0003_-_Charity_comes_from_Compassion_-_IDesireTree.mp3</t>
  </si>
  <si>
    <t>HHRNSM_-_Amrit_Droplets_-_0004_-_Definition_of_Goswami_-_IDesireTree.mp3</t>
  </si>
  <si>
    <t>HHRNSM_-_Amrit_Droplets_-_0005_-_Don%27t_be_surprised_of_envious_people_-_IDesireTree.mp3</t>
  </si>
  <si>
    <t>HHRNSM_-_Amrit_Droplets_-_0006_-_How_principle_of_Discipline_works_-_IDesireTree.mp3</t>
  </si>
  <si>
    <t>HHRNSM_-_Amrit_Droplets_-_0007_-_How_to_develop_taste_for_Srimad_Bhagavatam_-_IDesireTree.mp3</t>
  </si>
  <si>
    <t>HHRNSM_-_Amrit_Droplets_-_0008_-_No_Gain_Without_Pain_-_IDesireTree.mp3</t>
  </si>
  <si>
    <t>HHRNSM_-_Amrit_Droplets_-_0009_-_Pleasing_Krsna_by_Discipline_-_IDesireTree.mp3</t>
  </si>
  <si>
    <t>HHRNSM_-_Amrit_Droplets_-_0010_-_Spritual_Life_is_holistic_-_IDesireTree.mp3</t>
  </si>
  <si>
    <t>HHRNSM_-_Amrit_Droplets_-_0011_-_Taste_for_Bhagavatam_is_important_-_IDesireTree.mp3</t>
  </si>
  <si>
    <t>HHRNSM_-_Amrit_Droplets_-_0012_-_Eligibility_for_understanding_Srimad_Bhagavatam_-_IDesireTree.mp3</t>
  </si>
  <si>
    <t>HHRNSM_-_Amrit_Droplets_-_0013_-_Free_Will_comes_with_Responsibility_-_IDesireTree.mp3</t>
  </si>
  <si>
    <t>HHRNSM_-_Amrit_Droplets_-_0014_-_How_to_get_taste_in_Srimad_Bhagavatam_-_IDesireTree.mp3</t>
  </si>
  <si>
    <t>HHRNSM_-_Amrit_Droplets_-_0015_-_Nature_of_Material_Desire_-_IDesireTree.mp3</t>
  </si>
  <si>
    <t>HHRNSM_-_Amrit_Droplets_-_0016_-_Philosophy_without_character_has_no_meaning_-_IDesireTree.mp3</t>
  </si>
  <si>
    <t>HHRNSM_-_Amrit_Droplets_-_0017_-_Realisation_is_a_gift_of_Krsna_-_IDesireTree.mp3</t>
  </si>
  <si>
    <t>HHRNSM_-_Amrit_Droplets_-_0018_-_Srimad_Bhagavatam_is_an_incarnation_of_Krsna_-_IDesireTree.mp3</t>
  </si>
  <si>
    <t>HHRNSM_-_Amrit_Droplets_-_0019_-_Why_don%27t_animals_produce_karma_-_IDesireTree.mp3</t>
  </si>
  <si>
    <t>HHRNSM_-_Amrit_Droplets_-_0020_-_Purpose_of_temple_-_IDesireTree.mp3</t>
  </si>
  <si>
    <t>HHRNSM_-_Amrit_Droplets_-_0021_-_Whom_to_associate_with_-_IDesireTree.mp3</t>
  </si>
  <si>
    <t>HHRNSM_-_Amrit_Droplets_-_0022_-_How_to_attract_Lakshmi_-_IDesireTree.mp3</t>
  </si>
  <si>
    <t>HHRNSM_-_Amrit_Droplets_-_0023_-_Helping_our_Godbrothers_-_IDesireTree.mp3</t>
  </si>
  <si>
    <t>HHRNSM_-_Amrit_Droplets_-_0024_-_Honouring_great_souls_-_IDesireTree.mp3</t>
  </si>
  <si>
    <t>HHRNSM_-_Amrit_Droplets_-_0025_-_How_to_become_fearless_-_IDesireTree.mp3</t>
  </si>
  <si>
    <t>HHRNSM_-_Amrit_Droplets_-_0026_-_Reveal_power_of_soul_-_IDesireTree.mp3</t>
  </si>
  <si>
    <t>HHRNSM_-_Amrit_Droplets_-_0027_-_What_does_humility_mean_-_IDesireTree.mp3</t>
  </si>
  <si>
    <t>HHRNSM_-_Amrit_Droplets_-_0028_-_Acting_under_superior_guidance_-_IDesireTree.mp3</t>
  </si>
  <si>
    <t>HHRNSM_-_Amrit_Droplets_-_0029_-_Being_fearful_of_commiting_Vaisnava_offense_-_IDesireTree.mp3</t>
  </si>
  <si>
    <t>HHRNSM_-_Amrit_Droplets_-_0030_-_Parents%27_Responsibility_-_IDesireTree.mp3</t>
  </si>
  <si>
    <t>HHRNSM_-_Amrit_Droplets_-_0031_-_We_must_fight_-_IDesireTree.mp3</t>
  </si>
  <si>
    <t>HHRNSM_-_Amrit_Droplets_-_0032_-_How_parents_can_show_real_love_for_their_children_-_IDesireTree.mp3</t>
  </si>
  <si>
    <t>HHRNSM_-_Amrit_Droplets_-_0033_-_How_to_Progress_without_falling_victim_to_material_energy_-_IDesireTree.mp3</t>
  </si>
  <si>
    <t>HHRNSM_-_Amrit_Droplets_-_0035_-_Conclusion_of_scriptures_cannot_be_found_by_reading_scriptures_-_IDesireTree.mp3</t>
  </si>
  <si>
    <t>HHRNSM_-_Amrit_Droplets_-_0036_-_Problem_with_Material_progress_-_IDesireTree.mp3</t>
  </si>
  <si>
    <t>HHRNSM_-_Amrit_Droplets_-_0037_-_Safest_place_in_this_material_world_is_where_devotees_loudly_chant_-_IDesireTree.mp3</t>
  </si>
  <si>
    <t>HHRNSM_-_Amrit_Droplets_-_0038_-_Why_some_see_Krishna_in_the_Diety_while_others_see_it_as_stone_-_IDesireTree.mp3</t>
  </si>
  <si>
    <t>HHRNSM_-_Amrit_Droplets_-_0039_-_All_differences_end_at_death_-_IDesireTree.mp3</t>
  </si>
  <si>
    <t>HHRNSM_-_Amrit_Droplets_-_0040_-_Greatest_charity_-_IDesireTree.mp3</t>
  </si>
  <si>
    <t>HHRNSM_-_Amrit_Droplets_-_0041_-_Arjuna_is_representing_human_society_-_IDesireTree.mp3</t>
  </si>
  <si>
    <t>HHRNSM_-_Amrit_Droplets_-_0042_-_How_to_participate_in_congregational_chanting_-_IDesireTree.mp3</t>
  </si>
  <si>
    <t>HHRNSM_-_Amrit_Droplets_-_0043_-_How_to_surrender_unto_Krishna_-_IDesireTree.mp3</t>
  </si>
  <si>
    <t>HHRNSM_-_Amrit_Droplets_-_0044_-_The_most_valuable_thing_we_are_having_-_IDesireTree.mp3</t>
  </si>
  <si>
    <t>HHRNSM_-_Amrit_Droplets_-_0045_-_No_material_arrangement_can_give_real_happiness_-_IDesireTree.mp3</t>
  </si>
  <si>
    <t>HHRNSM_-_Amrit_Droplets_-_0046_-_Love_is_the_greatest_power_on_Earth_-_IDesireTree.mp3</t>
  </si>
  <si>
    <t>HHRNSM_-_Amrit_Droplets_-_0047_-_Two_ways_of_chanting_Hare_Krishna_Mahamantra_-_IDesireTree.mp3</t>
  </si>
  <si>
    <t>HHRNSM_-_Amrit_Droplets_-_0048_-_Chastisement_by_Spiritual_master_is_relishable_-_IDesireTree.mp3</t>
  </si>
  <si>
    <t>HHRNSM_-_Amrit_Droplets_-_0049_-_Grateful_for_being_chastised_-_IDesireTree.mp3</t>
  </si>
  <si>
    <t>HHRNSM_-_Amrit_Droplets_-_0050_-_Human_body_is_a_chariot_to_cross_the_battlefield_of_material_world_-_IDesireTree.mp3</t>
  </si>
  <si>
    <t>HHRNSM_-_Amrit_Droplets_-_0051_-_Offering_back_to_Krishna_with_Love_-_IDesireTree.mp3</t>
  </si>
  <si>
    <t>HHRNSM_-_Amrit_Droplets_-_0052_-_Supersoul_speaks_to_us_through_Guru_-_IDesireTree.mp3</t>
  </si>
  <si>
    <t>HHRNSM_-_Amrit_Droplets_-_0053_-_The_Lord%27s_Anger_is_not_like_our_anger_-_IDesireTree.mp3</t>
  </si>
  <si>
    <t>HHRNSM_-_Amrit_Droplets_-_0054_-_Spiritual_master_is_the_transparent_via-medium_-_IDesireTree.mp3</t>
  </si>
  <si>
    <t>HHRNSM_-_Amrit_Droplets_-_0055_-_Politics_are_always_changing_%26_will_keep_on_changing_-_IDesireTree.mp3</t>
  </si>
  <si>
    <t>HHRNSM_-_Amrit_Droplets_-_0056_-_Greatest_gift_of_God_-_IDesireTree.mp3</t>
  </si>
  <si>
    <t>HHRNSM_-_Amrit_Droplets_-_0057_-_Guru_Sadhu_Shastra_-_IDesireTree.mp3</t>
  </si>
  <si>
    <t>HHRNSM_-_Amrit_Droplets_-_0058_-_Human_life_is_more_valuable_than_most_precious_diamond_-_IDesireTree.mp3</t>
  </si>
  <si>
    <t>HHRNSM_-_Amrit_Droplets_-_0059_-_Our_opinion_is_worth_nothing_-_IDesireTree.mp3</t>
  </si>
  <si>
    <t>HHRNSM_-_Amrit_Droplets_-_0060_-_Secret_of_how_to_free_ourselves_from_anxiety_-_IDesireTree.mp3</t>
  </si>
  <si>
    <t>HHRNSM_-_Amrit_Droplets_-_0061_-_Spiritual_discourses_are_not_meant_for_entertainment_-_IDesireTree.mp3</t>
  </si>
  <si>
    <t>HHRNSM_-_Amrit_Droplets_-_0063_-_Transcending_happiness_and_distress_-_IDesireTree.mp3</t>
  </si>
  <si>
    <t>HHRNSM_-_Amrit_Droplets_-_0064_-_A_real_preacher_should_have_genuine_compassion_-_IDesireTree.mp3</t>
  </si>
  <si>
    <t>HHRNSM_-_Amrit_Droplets_-_0065_-_Silent_chanting_or_loud_chanting_-_IDesireTree.mp3</t>
  </si>
  <si>
    <t>HHRNSM_-_Amrit_Droplets_-_0066_-_The_Greatest_sacrifice_-_IDesireTree.mp3</t>
  </si>
  <si>
    <t>HHRNSM_-_Amrit_Droplets_-_0067_-_The_Supreme_Austerity_-_IDesireTree.mp3</t>
  </si>
  <si>
    <t>HHRNSM_-_Amrit_Droplets_-_0068_-_This_material_world_is_a_prison_-_IDesireTree.mp3</t>
  </si>
  <si>
    <t>HHRNSM_-_Amrit_Droplets_-_0069_-_What_does_it_mean_to_rise_above_dualities_-_IDesireTree.mp3</t>
  </si>
  <si>
    <t>HHRNSM_-_Amrit_Droplets_-_0070_-_Effect_of_Blaspheming_the_Holy_Names_-_IDesireTree.mp3</t>
  </si>
  <si>
    <t>HHRNSM_-_Amrit_Droplets_-_0071_-_Power_of_Mahamantra_-_IDesireTree.mp3</t>
  </si>
  <si>
    <t>HHRNSM_-_Amrit_Droplets_-_0072_-_Purpose_of_knowledge_IDesireTree.mp3</t>
  </si>
  <si>
    <t>HHRNSM_-_Amrit_Droplets_-_0073_-_How_can_we_expect_to_see_the_soul_-_IDesireTree.mp3</t>
  </si>
  <si>
    <t>HHRNSM_-_Amrit_Droplets_-_0074_-_Importance_of_Prabhupad_books_and_appeal_to_devotees_-_IDesireTree.mp3</t>
  </si>
  <si>
    <t>HHRNSM_-_Amrit_Droplets_-_0075_-_Proof_of_God%27s_Existence_-_IDesireTree.mp3</t>
  </si>
  <si>
    <t>HHRNSM_-_Amrit_Droplets_-_0076_-_Significance_of_raising_arms_while_chanting_-_IDesireTree.mp3</t>
  </si>
  <si>
    <t>HHRNSM_-_Amrit_Droplets_-_0077_-_We_are_building_sand_castles_-_IDesireTree.mp3</t>
  </si>
  <si>
    <t>HHRNSM_-_Amrit_Droplets_-_0078_-_We_are_so_dull_headed_-_IDesireTree.mp3</t>
  </si>
  <si>
    <t>HHRNSM_-_Amrit_Droplets_-_0079_-_What_is_the_prime_duty_of_a_person_who_is_about_to_die_-_IDesireTree.mp3</t>
  </si>
  <si>
    <t>HHRNSM_-_Amrit_Droplets_-_0080_-_All_we_do_is_chanting_dancing_and_feasting_-_IDesireTree.mp3</t>
  </si>
  <si>
    <t>HHRNSM_-_Amrit_Droplets_-_0081_-_Being_grateful_in_every_condition_-_IDesireTree.mp3</t>
  </si>
  <si>
    <t>HHRNSM_-_Amrit_Droplets_-_0082_-_How_to_become_resolute_in_purpose_-_IDesireTree.mp3</t>
  </si>
  <si>
    <t>HHRNSM_-_Amrit_Droplets_-_0083_-_Mad_Elephant_offense_-_IDesireTree.mp3</t>
  </si>
  <si>
    <t>HHRNSM_-_Amrit_Droplets_-_0084_-_Meaning_of_Krishna_consciousness_-_IDesireTree.mp3</t>
  </si>
  <si>
    <t>HHRNSM_-_Amrit_Droplets_-_0085_-_Not_necessary_to_give_up_occupational_duties_-_IDesireTree.mp3</t>
  </si>
  <si>
    <t>HHRNSM_-_Amrit_Droplets_-_0086_-_Price_for_getting_love_of_Krishna_-_IDesireTree.mp3</t>
  </si>
  <si>
    <t>HHRNSM_-_Amrit_Droplets_-_0087_-_Rejecting_what_is_unfavourable_-_IDesireTree.mp3</t>
  </si>
  <si>
    <t>HHRNSM_-_Amrit_Droplets_-_0088_-_The_way_we_should_approach_scriptures_-_IDesireTree.mp3</t>
  </si>
  <si>
    <t>HHRNSM_-_Amrit_Droplets_-_0089_-_Why_do_we_not_see_Krishna_everywhere_-_IDesireTree.mp3</t>
  </si>
  <si>
    <t>HHRNSM_-_Amrit_Droplets_-_0090_-_Chanting_with_enthusiasm_is_great_service_-_IDesireTree.mp3</t>
  </si>
  <si>
    <t>HHRNSM_-_Amrit_Droplets_-_0091_-_Following_in_the_footsteps_of_Bharat_Maharaj_-_IDesireTree.mp3</t>
  </si>
  <si>
    <t>HHRNSM_-_Amrit_Droplets_-_0092_-_Essence_of_scriptures_can_only_be_understood_from_Acharya_-_IDesireTree.mp3</t>
  </si>
  <si>
    <t>HHRNSM_-_Amrit_Droplets_-_0093_-_Die_to_live_-_IDesireTree.mp3</t>
  </si>
  <si>
    <t>HHRNSM_-_Amrit_Droplets_-_0094_-_Devotees_are_not_hard_hearted_-_IDesireTree.mp3</t>
  </si>
  <si>
    <t>HHRNSM_-_Amrit_Droplets_-_0095_-_You_can_feed_stomach_only_through_the_mouth_-_IDesireTree.mp3</t>
  </si>
  <si>
    <t>HHRNSM_-_Amrit_Droplets_-_0096_-_Only_criteria_for_making_decisions_in_life_-_IDesireTree.mp3</t>
  </si>
  <si>
    <t>HHRNSM_-_Amrit_Droplets_-_0097_-_Friction_in_the_automobile_of_material_existence_-_IDesireTree.mp3</t>
  </si>
  <si>
    <t>HHRNSM_-_Amrit_Droplets_-_0098_-_How_do_we_purify_our_hearts_-_IDesireTree.mp3</t>
  </si>
  <si>
    <t>HHRNSM_-_Amrit_Droplets_-_0099_-_Love_is_realisation_of_knowledge_-_IDesireTree.mp3</t>
  </si>
  <si>
    <t>HHRNSM_-_Amrit_Droplets_-_0100_-_Real_love_is_love_for_the_soul_-_IDesireTree.mp3</t>
  </si>
  <si>
    <t>HHRNSM_-_Amrit_Droplets_-_0101_-_Without_loving_God_one_cannot_love_anyone_else_-_IDesireTree.mp3</t>
  </si>
  <si>
    <t>HHRNSM_-_Amrit_Droplets_-_0102_-_Our_near_and_dear_ones_achieve_benefits_of_our_spiritual_wealth_-_IDesireTree.mp3</t>
  </si>
  <si>
    <t>HHRNSM_-_Amrit_Droplets_-_0103_-_Greatest_gift_we_can_give_anyone_-_IDesireTree.mp3</t>
  </si>
  <si>
    <t>HHRNSM_-_Amrit_Droplets_-_0104_-_Lubricant_to_avoid_friction_in_material_society_-_IDesireTree.mp3</t>
  </si>
  <si>
    <t>HHRNSM_-_Amrit_Droplets_-_0105_-_Don%27t_take_material_life_very_seriously_-_IDesireTree.mp3</t>
  </si>
  <si>
    <t>HHRNSM_-_Amrit_Droplets_-_0106_-_Why_do_devotees_put_Tilak_-_IDesireTree.mp3</t>
  </si>
  <si>
    <t>HHRNSM_-_Amrit_Droplets_-_0107_-_There_is_no_such_thing_as_death_-_IDesireTree.mp3</t>
  </si>
  <si>
    <t>HHRNSM_-_Amrit_Droplets_-_0108_-_Bombs_you_built_in_last_life_are_attacking_you_now_-_IDesireTree.mp3</t>
  </si>
  <si>
    <t>HHRNSM_-_Amrit_Droplets_-_0109_-_99_percent_spiritual_advancement_comes_from_chanting_-_IDesireTree.mp3</t>
  </si>
  <si>
    <t>HHRNSM_-_Amrit_Droplets_-_0110_-_A_Preacher_is_one_who_preaches_by_his_example_-_IDesireTree.mp3</t>
  </si>
  <si>
    <t>HHRNSM_-_Amrit_Droplets_-_0114_-_Bhagavatam_says_that_Mind_is_the_only_enemy_-_IDesireTree.mp3</t>
  </si>
  <si>
    <t>HHRNSM_-_Amrit_Droplets_-_0115_-_Chanting_is_our_first_responsibility_-_IDesireTree.mp3</t>
  </si>
  <si>
    <t>HHRNSM_-_Amrit_Droplets_-_0116_-_Description_of_Krishna%27s_form_-_IDesireTree.mp3</t>
  </si>
  <si>
    <t>HHRNSM_-_Amrit_Droplets_-_0117_-_Design_your_life_in_a_way_to_develop_more_faith_on_holy_name_-_IDesireTree.mp3</t>
  </si>
  <si>
    <t>HHRNSM_-_Amrit_Droplets_-_0118_-_Development_of_character_is_the_intrical_part_of_our_Sadhana_-_IDesireTree.mp3</t>
  </si>
  <si>
    <t>HHRNSM_-_Amrit_Droplets_-_0119_-_Devotional_Service_is_like_a_double_edged_sword_-_IDesireTree.mp3</t>
  </si>
  <si>
    <t>HHRNSM_-_Amrit_Droplets_-_0120_-_Devotional_service_is_not_a_burdensome_activity_-_IDesireTree.mp3</t>
  </si>
  <si>
    <t>HHRNSM_-_Amrit_Droplets_-_0122_-_Don%27t_jump_directly_on_tenth_canto_of_Srimad_Bhagavatam_-_IDesireTree.mp3</t>
  </si>
  <si>
    <t>HHRNSM_-_Amrit_Droplets_-_0123_-_Don%27t_make_False_Ego_as_your_worshippable_deity_-_IDesireTree.mp3</t>
  </si>
  <si>
    <t>HHRNSM_-_Amrit_Droplets_-_0124_-_Hearing_the_holy_name_while_chanting_is_very_important_-_IDesireTree.mp3</t>
  </si>
  <si>
    <t>HHRNSM_-_Amrit_Droplets_-_0125_-_Greatness_of_Prahalad_maharaj_-_IDesireTree.mp3</t>
  </si>
  <si>
    <t>HHRNSM_-_Amrit_Droplets_-_0126_-_Give_your_credits_to_other_devotees_-_IDesireTree.mp3</t>
  </si>
  <si>
    <t>HHRNSM_-_Amrit_Droplets_-_0127_-_Greatness_of_Haridas_Thakur_-_IDesireTree.mp3</t>
  </si>
  <si>
    <t>HHRNSM_-_Amrit_Droplets_-_0128_-_Even_little_sense_gratification_takes_away_our_determination_-_IDesireTree.mp3</t>
  </si>
  <si>
    <t>HHRNSM_-_Amrit_Droplets_-_0131_-_How_to_come_out_from_False_Pride_-_IDesireTree.mp3</t>
  </si>
  <si>
    <t>HHRNSM_-_Amrit_Droplets_-_0132_-_How_to_enjoy_a_devotional_activity_-_IDesireTree.mp3</t>
  </si>
  <si>
    <t>HHRNSM_-_Amrit_Droplets_-_0133_-_How_to_maintain_harmonious_association_with_other_devotees_-_IDesireTree.mp3</t>
  </si>
  <si>
    <t>HHRNSM_-_Amrit_Droplets_-_0134_-_How_to_take_darshan_of_deities_in_the_temple_-_IDesireTree.mp3</t>
  </si>
  <si>
    <t>HHRNSM_-_Amrit_Droplets_-_0136_-_It_is_our_choice_whether_to_see_Krishna_as_Shyamsunder_or_as_Death_-_IDesireTree.mp3</t>
  </si>
  <si>
    <t>HHRNSM_-_Amrit_Droplets_-_0140_-_Living_in_such_a_way_that_people_trust_us_-_IDesireTree.mp3</t>
  </si>
  <si>
    <t>HHRNSM_-_Amrit_Droplets_-_0141_-_Love_among_devotees_is_actually_Krishna%27s_love_-_IDesireTree.mp3</t>
  </si>
  <si>
    <t>HHRNSM_-_Amrit_Droplets_-_0142_-_Making_spiritual_progress_is_like_fighting_a_battle_against_maya-_IDesireTree.mp3</t>
  </si>
  <si>
    <t>HHRNSM_-_Amrit_Droplets_-_0143_-_Maya%27s_strategy_against_us_-_IDesireTree.mp3</t>
  </si>
  <si>
    <t>HHRNSM_-_Amrit_Droplets_-_0144_-_Meaning_of_taking_Shelter_-_IDesireTree.mp3</t>
  </si>
  <si>
    <t>HHRNSM_-_Amrit_Droplets_-_0145_-_Money_must_be_used_in_harmony_with_the_will_of_God_-_IDesireTree.mp3</t>
  </si>
  <si>
    <t>HHRNSM_-_Amrit_Droplets_-_0146_-_Moral_activities_alone_will_not_make_us_humble_-_IDesireTree.mp3</t>
  </si>
  <si>
    <t>HHRNSM_-_Amrit_Droplets_-_0147_-_No_rules_in_chanting_Hare_Krishna_-_IDesireTree.mp3</t>
  </si>
  <si>
    <t>HHRNSM_-_Amrit_Droplets_-_0149_-_One_common_defect_in_Kamsa_%26_in_Hiranyakashipu_-_IDesireTree.mp3</t>
  </si>
  <si>
    <t>HHRNSM_-_Amrit_Droplets_-_0150_-_Our_intention_behind_asking_a_question_-_IDesireTree.mp3</t>
  </si>
  <si>
    <t>HHRNSM_-_Amrit_Droplets_-_0151_-_Our_loving_cheaters_are_cheating_us_-_IDesireTree.mp3</t>
  </si>
  <si>
    <t>HHRNSM_-_Amrit_Droplets_-_0152_-_Oversleeping_Overeating_causes_spiritual_lethargy_-_IDesireTree.mp3</t>
  </si>
  <si>
    <t>HHRNSM_-_Amrit_Droplets_-_0153_-_Path_of_Bhakti_is_to_seek_pleasure_in_pleasing_Krishna_-_IDesireTree.mp3</t>
  </si>
  <si>
    <t>HHRNSM_-_Amrit_Droplets_-_0154_-_Peace_Formula_-_IDesireTree.mp3</t>
  </si>
  <si>
    <t>HHRNSM_-_Amrit_Droplets_-_0155_-_Philosophy_contained_in_a_fascinating_factual_story_is_liked_by_all_-_IDesireTree.mp3</t>
  </si>
  <si>
    <t>HHRNSM_-_Amrit_Droplets_-_0156_-_Please_repeat_after_me_this_important_statement_-_IDesireTree.mp3</t>
  </si>
  <si>
    <t>HHRNSM_-_Amrit_Droplets_-_0157_-_Prabhupad_had_faith_in_his_spiritual_master_%26_the_holy_name_-_IDesireTree.mp3</t>
  </si>
  <si>
    <t>HHRNSM_-_Amrit_Droplets_-_0158_-_Practical_test_to_know_whether_we_are_neophytes_-_IDesireTree.mp3</t>
  </si>
  <si>
    <t>HHRNSM_-_Amrit_Droplets_-_0159_-_Principle_of_Gundicha_Marjanam_-_IDesireTree.mp3</t>
  </si>
  <si>
    <t>HHRNSM_-_Amrit_Droplets_-_0160_-_Provoking_situations_give_us_opportunity_to_become_great_-_IDesireTree.mp3</t>
  </si>
  <si>
    <t>HHRNSM_-_Amrit_Droplets_-_0162_-_Realization%2C_not_intellectualization_is_impressive_to_a_sadhu_-_IDesireTree.mp3</t>
  </si>
  <si>
    <t>HHRNSM_-_Amrit_Droplets_-_0163_-_Root_cause_of_all_disharmony_-_IDesireTree.mp3</t>
  </si>
  <si>
    <t>HHRNSM_-_Amrit_Droplets_-_0164_-_Sense_gratification_%26_Krsna_Consciousness_go_ill_together_-_IDesireTree.mp3</t>
  </si>
  <si>
    <t>HHRNSM_-_Amrit_Droplets_-_0165_-_Serpent_with_a_jewel_is_more_dangerous_than_a_normal_serpent_-_IDesireTree.mp3</t>
  </si>
  <si>
    <t>HHRNSM_-_Amrit_Droplets_-_0167_-_Simplicity_is_the_first_principle_of_spiritual_life_-_IDesireTree.mp3</t>
  </si>
  <si>
    <t>HHRNSM_-_Amrit_Droplets_-_0168_-_Srila_Prabhupad_defining_tolerance_-_IDesireTree.mp3</t>
  </si>
  <si>
    <t>HHRNSM_-_Amrit_Droplets_-_0170_-_Srimad_Bhagavatam_is_a_deity_of_Krishna_-_IDesireTree.mp3</t>
  </si>
  <si>
    <t>HHRNSM_-_Amrit_Droplets_-_0171_-_Systematic_understanding_of_Maya_-_IDesireTree.mp3</t>
  </si>
  <si>
    <t>HHRNSM_-_Amrit_Droplets_-_0173_-_Tolerate_the_provoking_situation_of_Lust_-_IDesireTree.mp3</t>
  </si>
  <si>
    <t>HHRNSM_-_Amrit_Droplets_-_0174_-_Tolerate_the_provoking_situations_of_marriage_-_IDesireTree.mp3</t>
  </si>
  <si>
    <t>HHRNSM_-_Amrit_Droplets_-_0175_-_Two_types_of_glorious_deaths_-_IDesireTree.mp3</t>
  </si>
  <si>
    <t>HHRNSM_-_Amrit_Droplets_-_0180_-_Q_n_A_-_What_is_a_most_popular_belief_in_West_-_IDesireTree.mp3</t>
  </si>
  <si>
    <t>HHRNSM_-_Amrit_Droplets_-_0182_-_Short_Stories_-_Durvasa_Muni_becoming_angry_on_Ambrish_maharaj_-_IDesireTree.mp3</t>
  </si>
  <si>
    <t>HHRNSM_-_Amrit_Droplets_-_0185_-_Short_Stories_-_Gopal_Guru_explaining_the_glory_of_Holy_Name_-_IDesireTree.mp3</t>
  </si>
  <si>
    <t>HHRNSM_-_Amrit_Droplets_-_0186_-_Short_Stories_-_Gopal_Chapal_trying_to_defame_Srivas_Thakur_-_IDesireTree.mp3</t>
  </si>
  <si>
    <t>HHRNSM_-_Amrit_Droplets_-_0187_-_Short_Stories_-_Gajendra_story_in_short_-_IDesireTree.mp3</t>
  </si>
  <si>
    <t>HHRNSM_-_Amrit_Droplets_-_0188_-_Short_Stories_-_Bhrigu_Muni_testing_Brahma_Vishnu_Mahesh_-_IDesireTree.mp3</t>
  </si>
  <si>
    <t>HHRNSM_-_Amrit_Droplets_-_0190_-_We_are_accessing_Krishna_because_great_saints_have_prayed_for_us_-_IDesireTree.mp3</t>
  </si>
  <si>
    <t>HHRNSM_-_Amrit_Droplets_-_0191_-_We_should_know_the_difference_between_Pure_%26_Mixed_Bhakti_-_IDesireTree.mp3</t>
  </si>
  <si>
    <t>HHRNSM_-_Amrit_Droplets_-_0192_-_We_will_fall_down_if_we_are_not_doing_chanting_with_priority_-_IDesireTree.mp3</t>
  </si>
  <si>
    <t>HHRNSM_-_Amrit_Droplets_-_0193_-_What_does_speaking_truth_mean_-_IDesireTree.mp3</t>
  </si>
  <si>
    <t>HHRNSM_-_Amrit_Droplets_-_0194_-_What_does_it_mean_to_control_the_mind_-_IDesireTree.mp3</t>
  </si>
  <si>
    <t>HHRNSM_-_Amrit_Droplets_-_0195_-_What_does_tolerance_mean_-_IDesireTree.mp3</t>
  </si>
  <si>
    <t>HHRNSM_-_Amrit_Droplets_-_0196_-_What_is_Victory_for_a_devotee_-_IDesireTree.mp3</t>
  </si>
  <si>
    <t>HHRNSM_-_Amrit_Droplets_-_0197_-_What_it_means_to_experience_Higher_taste_-_IDesireTree.mp3</t>
  </si>
  <si>
    <t>HHRNSM_-_Amrit_Droplets_-_0198_-_When_we_are_talking_about_mind%2C_we_are_actually_talking_about_heart_-_IDesireTree.mp3</t>
  </si>
  <si>
    <t>HHRNSM_-_Amrit_Droplets_-_0199_-_Why_conflicts_among_vaishnavas_arise_-_IDesireTree.mp3</t>
  </si>
  <si>
    <t>HHRNSM_-_Amrit_Droplets_-_0200_-_What_should_we_pray_while_doing_any_devotional_activity_-_IDesireTree.mp3</t>
  </si>
  <si>
    <t>Disciples_Meeting</t>
  </si>
  <si>
    <t>Disciples_Meeting_-_Radhanath_Swami_2009-05-23_UK.mp3</t>
  </si>
  <si>
    <t>Disciples_Meeting_-_Radhanath_Swami_2009-07-10_UK.mp3</t>
  </si>
  <si>
    <t>Disciples_Meeting_at_Sanjeev_Agarwal%27s_With_HH_GRS_-_Radhanath_Swami_2010-01-03_UK.mp3</t>
  </si>
  <si>
    <t>Gaura_Lila</t>
  </si>
  <si>
    <t>Gaura_Lila_01</t>
  </si>
  <si>
    <t>Gaura_Lila_02</t>
  </si>
  <si>
    <t>Gaura_Lila_03</t>
  </si>
  <si>
    <t>Hindi_Translation</t>
  </si>
  <si>
    <t>Srimad_Bhagavatam</t>
  </si>
  <si>
    <t>Yatra</t>
  </si>
  <si>
    <t>Yearwise</t>
  </si>
  <si>
    <t>Ramayana</t>
  </si>
  <si>
    <t>Ramayana_-_01_The_Great_Demon_Ravana_-_Radhanath_Swami.mp3</t>
  </si>
  <si>
    <t>Ramayana_-_02_The_Glorious_Kingdom_of_Ayodhya_-_Radhanath_Swami.mp3</t>
  </si>
  <si>
    <t>Ramayana_-_03_The_Descent_of_Lord_Rama_-_Radhanath_Swami.mp3</t>
  </si>
  <si>
    <t>Ramayana_-_04_Lord_Ramachandra_Assists_Visvamitra_Muni_-_Radhanath_Swami.mp3</t>
  </si>
  <si>
    <t>Ramayana_-_05_The_Deliverance_of_Ahalya_-_Radhanath_Swami.mp3</t>
  </si>
  <si>
    <t>Ramayana_-_06_The_Marriage_of_Sita_and_Rama_-_Radhanath_Swami.mp3</t>
  </si>
  <si>
    <t>Ramayana_-_07_The_Conspiracy_-_Radhanath_Swami.mp3</t>
  </si>
  <si>
    <t>Ramayana_-_08_Sri_Rama%27s_Banishment_to_the_Forest_-_Radhanath_Swami.mp3</t>
  </si>
  <si>
    <t>Ramayana_-_09_A_Simple_Life_in_the_Forest_-_Radhanath_Swami.mp3</t>
  </si>
  <si>
    <t>Ramayana_-_10_Killing_Demons_in_the_Dandakaranya_Forest_-_Radhanath_Swami.mp3</t>
  </si>
  <si>
    <t>Ramayana_-_11_Encounter_with_the_Demoness_Surpanakha_-_Radhanath_Swami.mp3</t>
  </si>
  <si>
    <t>Ramayana_-_12_The_Kidnapping_of_Sita_-_Radhanath_Swami.mp3</t>
  </si>
  <si>
    <t>Ramayana_-_13_Jatayu%27s_Great_Sacrifice_-_Radhanath_Swami.mp3</t>
  </si>
  <si>
    <t>Ramayana_-_14_Pastimes_of_Sri_Hanuman_-_Radhanath_Swami.mp3</t>
  </si>
  <si>
    <t>Ramayana_-_15_Lord_Rama_Makes_Allies_with_Sugriva_-_Radhanath_Swami.mp3</t>
  </si>
  <si>
    <t>Ramayana_-_16_The_Search_for_Sitadevi_-_Radhanath_Swami.mp3</t>
  </si>
  <si>
    <t>Ramayana_-_17_The_Rescue_of_Sitadevi_-_Radhanath_Swami.mp3</t>
  </si>
  <si>
    <t>Ramayana_-_18_Hanuman_Finds_Sitadevi_-_Radhanath_Swami.mp3</t>
  </si>
  <si>
    <t>Ramayana_-_19_The_Battle_of_Sri_Lanka_-_Radhanath_Swami.mp3</t>
  </si>
  <si>
    <t>Ramayana_-_20_Lord_Rama_Returns_to_Ayodhya_-_Radhanath_Swami.mp3</t>
  </si>
  <si>
    <t>Ramayana_-_21_Sri_Rama%2C_the_Eternal_King_of_Ayodhya_-_Radhanath_Swami.mp3</t>
  </si>
  <si>
    <t>Russian_Translation</t>
  </si>
  <si>
    <t>Brihad_Bhagvatmrita</t>
  </si>
  <si>
    <t>Goswamis</t>
  </si>
  <si>
    <t>Parikramas</t>
  </si>
  <si>
    <t>Short_Clips</t>
  </si>
  <si>
    <t>A_Domestic_Quarrel_In_Gandhiji%27s_Household_-_Radhanath_Swami.mp3</t>
  </si>
  <si>
    <t>A_Standard_Of_Compassion_We_Can_Strive_For_-_Radhanath_Swami.mp3</t>
  </si>
  <si>
    <t>A_Very_Little_Old_Bengali_Widow_-_Radhanath_Swami.mp3</t>
  </si>
  <si>
    <t>Adjust_And_Harmonize_Keeping_In_Mind_The_Higher_Principles_-_Radhanath_Swami.mp3</t>
  </si>
  <si>
    <t>Are_we_Using_Technology_Or_Is_Technology_Using_Us_-_Radhanath_Swami.mp3</t>
  </si>
  <si>
    <t>Are_you_reading_black_or_white_-_Radhanath_Swami.mp3</t>
  </si>
  <si>
    <t>Art_Of_Tolerance_-_Radhanath_Swami.mp3</t>
  </si>
  <si>
    <t>Association_Is_Contagious_-_Radhanath_Swami.mp3</t>
  </si>
  <si>
    <t>Attachment_To_Devotees_Is_Attachment_To_Krishna_-_Radhanath_Swami.mp3</t>
  </si>
  <si>
    <t>Balance_Is_The_Key_To_Success_-_Radhanath_Swami.mp3</t>
  </si>
  <si>
    <t>Being_attracted_to_Krishna_-_Radhanath_Swami.mp3</t>
  </si>
  <si>
    <t>Berries_Of_Affection_-_Radhanath_Swami.mp3</t>
  </si>
  <si>
    <t>Bhakti_Is_To_Turn_Our_Attention_Back_To_The_Lord_-_Radhanath_Swami.mp3</t>
  </si>
  <si>
    <t>Bhakti_The_Yoga_Of_Love_-_Radhanath_Swami.mp3</t>
  </si>
  <si>
    <t>Bhakti_Yoga_Is_About_Tuning_Into_Grace_-_Radhanath_Swami.mp3</t>
  </si>
  <si>
    <t>Bhakti_Yoga_Is_Beautiful_-_Radhanath_Swami.mp3</t>
  </si>
  <si>
    <t>Breaking_Bad_Habits_-_Radhanath_Swami.mp3</t>
  </si>
  <si>
    <t>Building_Self_Confidence_In_Children_-_Radhanath_Swami.mp3</t>
  </si>
  <si>
    <t>Can%27t_we_make_the_connection_-_Radhanath_Swami.mp3</t>
  </si>
  <si>
    <t>Choose_The_Hurricane_Or_The_Harinaam_-_Radhanath_Swami.mp3</t>
  </si>
  <si>
    <t>Cleaning_The_Dust_On_Mirror_-_Radhanath_Swami.mp3</t>
  </si>
  <si>
    <t>Consiousness_Really_Matters_-_Radhanath_Swami.mp3</t>
  </si>
  <si>
    <t>Conviction_and_Inner_Realization_Brings_Satisfaction_-_Radhanath_Swami.mp3</t>
  </si>
  <si>
    <t>Cows_Love_for_Krishna_in_Vrindavan_-_Radhanath_Swami.mp3</t>
  </si>
  <si>
    <t>Creating_Foundation_In_Children_-_Radhanath_Swami.mp3</t>
  </si>
  <si>
    <t>Cultivating_Strong_Intelligence_and_Conviction_-_Radhanath_Swami.mp3</t>
  </si>
  <si>
    <t>Damodarashtakam_-_Radhanath_Swami.mp3</t>
  </si>
  <si>
    <t>Deep_Inside_Everyone_Is_Beautiful_-_Radhanath_Swami.mp3</t>
  </si>
  <si>
    <t>Defining_Yoga_From_Vedic_Perspective.mp3</t>
  </si>
  <si>
    <t>Detachment_And_Compassion_-_Radhanath_Swami.mp3</t>
  </si>
  <si>
    <t>Devoted_To_Each_Other_-_Radhanath_Swami.mp3</t>
  </si>
  <si>
    <t>Different_Levels_Of_Perception_-_Radhanath_Swami%20%282%29.mp3</t>
  </si>
  <si>
    <t>Different_Levels_Of_Perception_-_Radhanath_Swami.mp3</t>
  </si>
  <si>
    <t>Dive_Deeper_Into_The_River_Of_Life_-_Radhanath_Swami.mp3</t>
  </si>
  <si>
    <t>Don%E2%80%99t_Lose_Faith_If_You_Don%E2%80%99t_See_Immediate_Results_-_Radhanath_Swami.mp3</t>
  </si>
  <si>
    <t>Dying_To_Live_-_Radhanath_Swami.mp3</t>
  </si>
  <si>
    <t>Even_Good_Intentions_Should_Be_In_Harmony_With_Divine_Plan_-_Radhanath_Swami.mp3</t>
  </si>
  <si>
    <t>Every_Living_Being_Is_Our_Neighbour_-_Radhanath_Swami.mp3</t>
  </si>
  <si>
    <t>Every_Religious_Path_Is_To_Clean_Our_Heart_-_Radhanath_Swami.mp3</t>
  </si>
  <si>
    <t>Every_Situation_Is_An_Opportunity_To_Express_Love_For_Krishna_-_Radhanath_Swami.mp3</t>
  </si>
  <si>
    <t>Experience_the_Higher_Taste_-_Radhanath_Swami.mp3</t>
  </si>
  <si>
    <t>Failures_Are_Stepping_Stones_To_Success_-_Radhanath_Swami.mp3</t>
  </si>
  <si>
    <t>Fear_And_The_Way_Out_Of_It_-_Radhanath_Swami.mp3</t>
  </si>
  <si>
    <t>For_Relationships_To_Have_Deep_Substance_Meaning_And_Fulfillment_-_Radhanath_Swami.mp3</t>
  </si>
  <si>
    <t>Forgiveness-The_Basis_Of_All_Relatinoships_-_Radhanath_Swami.mp3</t>
  </si>
  <si>
    <t>From_Low_Self_Esteem_To_Self_Confidence_-_Radhanath_Swami.mp3</t>
  </si>
  <si>
    <t>From_Ritual_to_Spiritual_-_Radhanath_Swami.mp3</t>
  </si>
  <si>
    <t>Fundamental_Need_Of_The_World_-_Radhanath_Swami.mp3</t>
  </si>
  <si>
    <t>Glory_Of_The_Holy_Names_-_Radhanath_Swami.mp3</t>
  </si>
  <si>
    <t>Go_Deep_Connect_To_Your_Real_Self_-_Radhanath_Swami.mp3</t>
  </si>
  <si>
    <t>God%2C_The_Original_Power_House_-_Radhanath_Swami.mp3</t>
  </si>
  <si>
    <t>God_And_Terrorism_-_Radhanath_Swami.mp3</t>
  </si>
  <si>
    <t>Golden_rule_for_kirtan_-_Radhanath_Swami.mp3</t>
  </si>
  <si>
    <t>Gratitude_And_Ingratitude_-_Radhanath_Swami.mp3</t>
  </si>
  <si>
    <t>Greatest_Need_In_Today%E2%80%99s_Society_Is_People_Who_Live_By_A_Good_Example_-_Radhanath_Swami.mp3</t>
  </si>
  <si>
    <t>Greatest_Need_Of_Today_is_to_Tolerate_Sectarianism_-_Radhanath_Swami.mp3</t>
  </si>
  <si>
    <t>Greatness_is_Ability_To_Tolerate_Provoking_Situations_-_Radhanath_Swami.mp3</t>
  </si>
  <si>
    <t>Habits_Cover_Our_Logic_And_Intelligence_-_Radhanath_Swami.mp3</t>
  </si>
  <si>
    <t>Hanuman%27s_Yoga_-_Radhanath_Swami.mp3</t>
  </si>
  <si>
    <t>Have_Faith_In_The_Power_Glory_And_Grace_Of_The_Supreme_-_Radhanath_Swami.mp3</t>
  </si>
  <si>
    <t>Hell_into_Heaven_and_Heaven_into_Hell_-_Radhanath_Swami.mp3</t>
  </si>
  <si>
    <t>Here_is_the_holy_name_-_Radhanath_Swami.mp3</t>
  </si>
  <si>
    <t>How_Rich_Are_You_-_Radhanath_Swami.mp3</t>
  </si>
  <si>
    <t>How_Spirituality_Can_Solve_All_World_Problems_-_Radhanath_Swami.mp3</t>
  </si>
  <si>
    <t>How_To_Deal_With_Ecological_Disease_-_Radhanath_Swami.mp3</t>
  </si>
  <si>
    <t>How_To_Deal_With_Frustrations_-_Radhanath_Swami.mp3</t>
  </si>
  <si>
    <t>How_To_Transform_Every_Situation_Into_An_Opportunity_For_Devotional_Service_-_Radhanath_Swami.mp3</t>
  </si>
  <si>
    <t>Humility_-_Radhanath_Swami.mp3</t>
  </si>
  <si>
    <t>Humility_Of_Lord_Chaitanya_-_Radhanath_Swami.mp3</t>
  </si>
  <si>
    <t>Hungry_Heart_Of_A_Child_-_Radhanath_Swami.mp3</t>
  </si>
  <si>
    <t>Hurricanes_Of_The_Mind_-_Radhanath_Swami.mp3</t>
  </si>
  <si>
    <t>Hurt_Yourself_By_Holding_Hatred_-_Radhanath_Swami.mp3</t>
  </si>
  <si>
    <t>Impact_Of_Technology_And_A_Solution_-_Radhanath_Swami.mp3</t>
  </si>
  <si>
    <t>Impossible_Is_A_Word_In_A_Fools_Dictionary_-_Radhanath_Swami.mp3</t>
  </si>
  <si>
    <t>Inspiration_From_Baseball_Player_-_Radhanath_Swami.mp3</t>
  </si>
  <si>
    <t>Integrity_Always_Wins_-_Radhanath_Swami.mp3</t>
  </si>
  <si>
    <t>Is_Technology_Good_Or_Bad_-_Radhanath_Swami.mp3</t>
  </si>
  <si>
    <t>Is_your_mind_your_friend_or_enemy_-_Radhanath_Swami.mp3</t>
  </si>
  <si>
    <t>It%27s_Beautiful_How_Saintly_People_Think_-_Radhanath_Swami.mp3</t>
  </si>
  <si>
    <t>It_doesnt_get_any_better_than_this_-_Radhanath_Swami.mp3</t>
  </si>
  <si>
    <t>It_doesn%E2%80%99t_matter_where_you_stay_-_Radhanath_Swami.mp3</t>
  </si>
  <si>
    <t>It%E2%80%99s_Crucial_To_Have_Spiritual_Foundation_-_Radhanath_Swami.mp3</t>
  </si>
  <si>
    <t>I%E2%80%99ve_Come_To_Give_You_What_You_Forgot_To_Take_-_Radhanath_Swami.mp3</t>
  </si>
  <si>
    <t>Key_To_Success_-_Radhanath_Swami.mp3</t>
  </si>
  <si>
    <t>King_Rantidev_Exemplifies_How_to_Tolerate_Provoking_Situations_-_Radhanath_Swami.mp3</t>
  </si>
  <si>
    <t>Knowledge_can_transform_the_way_we_live_-_Radhanath_Swami.mp3</t>
  </si>
  <si>
    <t>Krishna_Bhakti_In_Vrindavan_-_Radhanath_Swami.mp3</t>
  </si>
  <si>
    <t>Krishna_Comes_As_Bhagavatam_-_Radhanath_Swami.mp3</t>
  </si>
  <si>
    <t>Krishna_is_everywhere_waiting_for_us_-_Radhanath_Swami.mp3</t>
  </si>
  <si>
    <t>Krishna_Reciprocates_With_Everyone_-_Radhanath_Swami.mp3</t>
  </si>
  <si>
    <t>Life_With_Foundation_Of_Principles_-_Radhanath_Swami.mp3</t>
  </si>
  <si>
    <t>Like_A_Rolling_Stone_-_Radhanath_Swami.mp3</t>
  </si>
  <si>
    <t>Lord_Sees_The_Sincerity_And_Integrity_In_Our_Efforts_-_Radhanath_Swami.mp3</t>
  </si>
  <si>
    <t>Love_In_Gods_Home_-_Radhanath_Swami.mp3</t>
  </si>
  <si>
    <t>Love_Of_God_Our_Essential_Nature_-_Radhanath_Swami.mp3</t>
  </si>
  <si>
    <t>Maintaining_Integrity_Despite_Dualities_-_Radhanath_Swami.mp3</t>
  </si>
  <si>
    <t>Marriage_Can_Be_The_Path_To_Perfection_-_Radhanath_Swami.mp3</t>
  </si>
  <si>
    <t>Married_Life_-_Radhanath_Swami.mp3</t>
  </si>
  <si>
    <t>Money_Cannot_Buy_Happiness_-_Radhanath_Swami.mp3</t>
  </si>
  <si>
    <t>Mother_Nature_Teaches_-_Radhanath_Swami.mp3</t>
  </si>
  <si>
    <t>Mutual_Respect_Love_And_Appreciation_In_A_Relationship_-_Radhanath_Swami.mp3</t>
  </si>
  <si>
    <t>My_first_day_in_India_-_Radhanath_Swami.mp3</t>
  </si>
  <si>
    <t>No%21_Spirituality_is_not_about_escaping_the_world_-_Radhanath_Swami.mp3</t>
  </si>
  <si>
    <t>No_Spirituality_is_not_about_escaping_the_world_-_Radhanath_Swami.mp3</t>
  </si>
  <si>
    <t>Offer_The_Best_You_Have_-_Radhanath_Swami.mp3</t>
  </si>
  <si>
    <t>One_Common_Source_-_Radhanath_Swami.mp3</t>
  </si>
  <si>
    <t>Our_Perception_of_Reality_-_Radhanath_Swami.mp3</t>
  </si>
  <si>
    <t>Our_Sweet_Lord_Gopal_-_Radhanath_Swami.mp3</t>
  </si>
  <si>
    <t>Our_Yearning_For_Love_-_Radhanath_Swami.mp3</t>
  </si>
  <si>
    <t>Pain_Maybe_Inevitable_But_Suffering_Is_Optional_-_Radhanath_Swami.mp3</t>
  </si>
  <si>
    <t>People_Take_Shelter_of_Anxieties_Due_To_Conditioning_-_Radhanath_Swami.mp3</t>
  </si>
  <si>
    <t>Positive_Attitude_Is_Incomplete_Without_Spirituality_-_Radhanath_Swami.mp3</t>
  </si>
  <si>
    <t>Positive_Outlook_Even_While_Dying_-_Radhanath_Swami.mp3</t>
  </si>
  <si>
    <t>Power_Of_Forgiveness_Exemplified_-_Radhanath_Swami.mp3</t>
  </si>
  <si>
    <t>Power_Of_Unity_-_Radhanath_Swami.mp3</t>
  </si>
  <si>
    <t>Propaganda_Influences_Our_Perceptions_-_Radhanath_Swami.mp3</t>
  </si>
  <si>
    <t>Radhe_Jaya_Jaya_Madhava_Daiyte_-_Radhanath_Swami.mp3</t>
  </si>
  <si>
    <t>Ramayana%2C_From_An_Ecological_Perspective_-_Radhanath_Swami.mp3</t>
  </si>
  <si>
    <t>Ramayana_From_An_Ecological_Perspective_-_Radhanath_Swami.mp3</t>
  </si>
  <si>
    <t>Real_Compassion_-_Radhanath_Swami.mp3</t>
  </si>
  <si>
    <t>Real_inner_strength_real_success_-_Radhanath_Swami.mp3</t>
  </si>
  <si>
    <t>Real_Poverty_is_of_The_Heart_-_Radhanath_Swami.mp3</t>
  </si>
  <si>
    <t>Real_Renunciation_Through_Humility_-_Radhanath_Swami.mp3</t>
  </si>
  <si>
    <t>Real_spiritual_enlightenment_-_Radhanath_Swami.mp3</t>
  </si>
  <si>
    <t>Real_Success_In_Life_Is_To_Please_God_-_Radhanath_Swami.mp3</t>
  </si>
  <si>
    <t>Recognizing_The_Sacredness_Of_Our_Life_Leads_to_Compassion_for_others_-_Radhanath_Swami.mp3</t>
  </si>
  <si>
    <t>Relationships_-_Radhanath_Swami.mp3</t>
  </si>
  <si>
    <t>Religion_Is_Not_About_Cutting_Another%27s_Throat_-_Radhanath_Swami.mp3</t>
  </si>
  <si>
    <t>Renounce_Your_Ego_-_Radhanath_Swami.mp3</t>
  </si>
  <si>
    <t>Revelation_Of_The_Holy_Name_-_Radhanath_Swami.mp3</t>
  </si>
  <si>
    <t>Root_Cause_Of_Envy_-_Radhanath_Swami.mp3</t>
  </si>
  <si>
    <t>Sacisutashtakam_-_Radhanath_Swami.mp3</t>
  </si>
  <si>
    <t>Seeing_The_Potential_-_Radhanath_Swami.mp3</t>
  </si>
  <si>
    <t>Simple_Living_High_Thinking_-_Radhanath_Swami.mp3</t>
  </si>
  <si>
    <t>Sincere_Prayers_Never_go_in_Vain_-_Radhanath_Swami.mp3</t>
  </si>
  <si>
    <t>So_Many_Miracles_-_Radhanath_Swami.mp3</t>
  </si>
  <si>
    <t>Spiritual_Globalization_-_Radhanath_Swami.mp3</t>
  </si>
  <si>
    <t>Srila_Prabhupada-The_Perfect_Example_of_Renunciation_-_Radhanath_Swami.mp3</t>
  </si>
  <si>
    <t>Stop_Worrying_Start_Living_-_Radhanath_Swami.mp3</t>
  </si>
  <si>
    <t>Striving_For_The_Highest_Ideals_-_Radhanath_Swami.mp3</t>
  </si>
  <si>
    <t>Surrender_Perhaps_Thats_The_Sacry_Part_-_Radhanath_Swami.mp3</t>
  </si>
  <si>
    <t>That_Gives_Us_Life_Enthusiasm_And_Happiness_-_Radhanath_Swami.mp3</t>
  </si>
  <si>
    <t>That_Is_The_Power_Of_The_Name_-_Radhanath_Swami.mp3</t>
  </si>
  <si>
    <t>That_Is_Victory_-_Radhanath_Swami.mp3</t>
  </si>
  <si>
    <t>Thats_what_it_means_to_be_an_advanced_devotee_-_Radhanath_Swami.mp3</t>
  </si>
  <si>
    <t>The_Art_Of_Self_Confidence_-_Radhanath_Swami.mp3</t>
  </si>
  <si>
    <t>The_Challenges_To_Bhakti_In_a_City_-_Radhanath_Swami.mp3</t>
  </si>
  <si>
    <t>The_Connection_Between_Cleaning_Heart_And_Cleaning_Habits_-_Radhanath_Swami.mp3</t>
  </si>
  <si>
    <t>The_Desire_To_Love_And_Be_Loved_-_Radhanath_Swami.mp3</t>
  </si>
  <si>
    <t>The_Essential_Quality_Of_Renunciation_Is_Humility_-_Radhanath_Swami.mp3</t>
  </si>
  <si>
    <t>The_Greatest_Problem_Is_The_Hungry_Heart_-_Radhanath_Swami.mp3</t>
  </si>
  <si>
    <t>The_Hope_To_Be_An_Instrument_Of_God_Is_Incredibly_Wonderful_-_Radhanath_Swami.mp3</t>
  </si>
  <si>
    <t>The_Medicine_Of_Holy_Name_-_Radhanath_Swami.mp3</t>
  </si>
  <si>
    <t>The_Mind_Is_Like_A_Monkey_-_Radhanath_Swami.mp3</t>
  </si>
  <si>
    <t>The_Power_To_Change_-_Radhanath_Swami.mp3</t>
  </si>
  <si>
    <t>The_principle_of_Karma_-_Radhanath_Swami.mp3</t>
  </si>
  <si>
    <t>The_reasons_behind_natural_calamities_-_Radhanath_Swami.mp3</t>
  </si>
  <si>
    <t>The_Root_Cause_Of_Fear_-_Radhanath_Swami.mp3</t>
  </si>
  <si>
    <t>The_Secret_Of_Enthusiasm_And_Happiness_-_Radhanath_Swami.mp3</t>
  </si>
  <si>
    <t>The_Spoilt_Child_-_Radhanath_Swami.mp3</t>
  </si>
  <si>
    <t>The_Ultimate_Prayer_-_Radhanath_Swami.mp3</t>
  </si>
  <si>
    <t>The_Way_To_Complete_Confidence_Enthusiasm_and_Preseverance_-_Radhanath_Swami.mp3</t>
  </si>
  <si>
    <t>The_Yuga_Avatar_-_Radhanath_Swami.mp3</t>
  </si>
  <si>
    <t>There_Is_No_Environmental_Crisis._-_Radhanath_Swami.mp3</t>
  </si>
  <si>
    <t>This_Is_Real_Kirtan_-_Radhanath_Swami.mp3</t>
  </si>
  <si>
    <t>This_world_is_a_mirror_of_our_own_consiousness_-_Radhanath_Swami.mp3</t>
  </si>
  <si>
    <t>Three_Types_Of_Persons_Performing_their_Duties_-_Radhanath_Swami.mp3</t>
  </si>
  <si>
    <t>Three_Views_Of_The_World_-_Radhanath_Swami.mp3</t>
  </si>
  <si>
    <t>Thus_Spake_An_American_Indian_-_Radhanath_Swami.mp3</t>
  </si>
  <si>
    <t>Time_is_so_Precious_01_-_Radhanath_Swami.mp3</t>
  </si>
  <si>
    <t>Time_is_so_Precious_02_-_Radhanath_Swami.mp3</t>
  </si>
  <si>
    <t>To_fail_is_not_much_of_a_loss_-_Radhanath_Swami.mp3</t>
  </si>
  <si>
    <t>Tolerate_Honor_without_Becoming_Arrogant_-_Radhanath_Swami.mp3</t>
  </si>
  <si>
    <t>True_Greatness_-_Radhanath_Swami.mp3</t>
  </si>
  <si>
    <t>Unity_Is_Strength_-_Radhanath_Swami.mp3</t>
  </si>
  <si>
    <t>Uprooting_The_Weeds_Of_Bad_Habits_-_Radhanath_Swami.mp3</t>
  </si>
  <si>
    <t>Utilizing_Technology_for_a_Higher_Cause_-_Radhanath_Swami.mp3</t>
  </si>
  <si>
    <t>Vedas_Teach_Us_the_Ultimate_Goal_of_Life_-_Radhanath_Swami.mp3</t>
  </si>
  <si>
    <t>Vedic_Perspective_On_Climatic_Change_-_Radhanath_Swami.mp3</t>
  </si>
  <si>
    <t>Vision_means_seeing_the_invisible_-_Radhanath_Swami.mp3</t>
  </si>
  <si>
    <t>We_All_Have_An_Opportunity_To_Do_Something_Wonderful_-_Radhanath_Swami.mp3</t>
  </si>
  <si>
    <t>We_Always_Have_The_Free_Will_Power_To_Choose_-_Radhanath_Swami.mp3</t>
  </si>
  <si>
    <t>We_Become_One_With_The_Supreme_Through_Our_Love_-_Radhanath_Swami.mp3</t>
  </si>
  <si>
    <t>What_is_Death_-_Radhanath_Swami.mp3</t>
  </si>
  <si>
    <t>What_Is_Real_Self_Confidence_-_Radhanath_Swami.mp3</t>
  </si>
  <si>
    <t>What_Makes_a_Person_Great_-_Radhanath_Swami.mp3</t>
  </si>
  <si>
    <t>What_Should_Be_Our_Consciousness_While_Helping_Others_-_Radhanath_Swami.mp3</t>
  </si>
  <si>
    <t>What_We_Should_Be_Striving_For_At_Each_Moment_-_Radhanath_Swami.mp3</t>
  </si>
  <si>
    <t>When_A_Devotee_Prays_For_Us_-_Radhanath_Swami.mp3</t>
  </si>
  <si>
    <t>When_Agitated_Lonely_Or_Bored_-_Radhanath_Swami.mp3</t>
  </si>
  <si>
    <t>When_Hell_Became_Heaven_For_Me_-_Radhanath_Swami.mp3</t>
  </si>
  <si>
    <t>When_You_Taste_The_Nectar_Of_Krishna_-_Radhanath_Swami.mp3</t>
  </si>
  <si>
    <t>Where_Is_God_-_Radhanath_Swami.mp3</t>
  </si>
  <si>
    <t>Wheres_the_Bhava_-_Radhanath_Swami.mp3</t>
  </si>
  <si>
    <t>Whether_I_Win_Or_Lose_Let_It_Be_But_I%E2%80%99m_Going_To_Try_-_Radhanath_Swami.mp3</t>
  </si>
  <si>
    <t>Whom_To_Associate_With_-_Radhanath_Swami.mp3</t>
  </si>
  <si>
    <t>Why_common_sense_is_so_uncommon_-_Radhanath_Swami.mp3</t>
  </si>
  <si>
    <t>Why_Do_We_Offer_A_Garland_-_Radhanath_Swami.mp3</t>
  </si>
  <si>
    <t>Why_Is_It_Called_Mahamantra_-_Radhanath_Swami.mp3</t>
  </si>
  <si>
    <t>Why_Should_We_Pray_-_Radhanath_Swami.mp3</t>
  </si>
  <si>
    <t>Winning_The_Game_Of_Life_-_Radhanath_Swami.mp3</t>
  </si>
  <si>
    <t>With_Inner_Peace_We_Can_Tolerate_Anger_-_Radhanath_Swami.mp3</t>
  </si>
  <si>
    <t>Yoga_Of_Marriage_-_Radhanath_Swami.mp3</t>
  </si>
  <si>
    <t>Yoga_Of_The_Ocean_and_The_Drop_-_Radhanath_Swami.mp3</t>
  </si>
  <si>
    <t>You%E2%80%99ve_Got_The_Boat_Get_The_Compass_And_Captain_-_Radhanath_Swami.mp3</t>
  </si>
  <si>
    <t>The_Journey_Home-Audio_Book</t>
  </si>
  <si>
    <t>01_-_Before_Start-Prology</t>
  </si>
  <si>
    <t>02_-_Journey_to_the_East</t>
  </si>
  <si>
    <t>03_-_Mother_India</t>
  </si>
  <si>
    <t>04_-_Himalayan_Pilgrimage</t>
  </si>
  <si>
    <t>05_-_Forest_of_Grace</t>
  </si>
  <si>
    <t>06_-_Part_End-Afterword</t>
  </si>
  <si>
    <t>07_-_Part_End-Authors_Note</t>
  </si>
  <si>
    <t>Bhajans</t>
  </si>
  <si>
    <t>Hare_Krishna_Dhun</t>
  </si>
  <si>
    <t>Vaishnava_Bhajans</t>
  </si>
  <si>
    <t>file_path</t>
  </si>
  <si>
    <t>Attraction for lord will develop only when we will develop Detachment</t>
  </si>
  <si>
    <t>2025-Mar-09_Kanpur_English_GS_Attraction for lord will develop only when we will develop Detachment_Radheshyam Das.mp3</t>
  </si>
  <si>
    <t>Home/BRAHMACHARI TRAINING/GAURANGA SABHA/GAURANGA SABHA MEETINGS/2025</t>
  </si>
  <si>
    <t>Raga and Dvesha makes our heart poisoned</t>
  </si>
  <si>
    <t>https://docs.google.com/uc?export=download&amp;id=1FXB0IL2I6VcBlYU-oazcMIP4_cVi1w4v</t>
  </si>
  <si>
    <t>Kanpur Q and A 2025</t>
  </si>
  <si>
    <t>https://docs.google.com/uc?export=download&amp;id=1s5dF2UrkhLg_ay4AENLmLtx18x2NfgYn</t>
  </si>
  <si>
    <t>How to maintain Strengthen once faith and determination to join Brahmachari ashram</t>
  </si>
  <si>
    <t>https://docs.google.com/uc?export=download&amp;id=1pL51Dg_Pw2maKf7kiS0lLKlkF_VFk1RP</t>
  </si>
  <si>
    <t>Gauranga Sabha boys must be fully convinced that path of materialism will never make me happy</t>
  </si>
  <si>
    <t>https://docs.google.com/uc?export=download&amp;id=1yduBR804EcVyYp31OWVQVNCTPuQAVOci</t>
  </si>
  <si>
    <t>Home/BRAHMACHARI TRAINING/GAURANGA SABHA/GAURANGA SABHA MEETINGS/2024</t>
  </si>
  <si>
    <t>Ananyagatitvam and Akinchanatvam are the qualites that attract lord</t>
  </si>
  <si>
    <t>https://docs.google.com/uc?export=download&amp;id=1BdI-lL6Dl2m5e7BOohoCX4Q8-6_W9t5L</t>
  </si>
  <si>
    <t>One gets complete understanding by rendering service</t>
  </si>
  <si>
    <t>https://docs.google.com/uc?export=download&amp;id=1XA6rCHHkgBnwvVhVHVbDW_7shnrsvWdr</t>
  </si>
  <si>
    <t>Five habits of a celibate monk</t>
  </si>
  <si>
    <t>https://docs.google.com/uc?export=download&amp;id=16c7ucAMeymU9z12U-aeH_IHfxUlbqGII</t>
  </si>
  <si>
    <t>Missionary spirit of Lord Caitanya, Goswamis and Acaryas</t>
  </si>
  <si>
    <t>https://docs.google.com/uc?export=download&amp;id=18dBnLznvc3Wqgzk_U3witc9qCQD6D81t</t>
  </si>
  <si>
    <t>Tirupati boys GS Q and A</t>
  </si>
  <si>
    <t>https://docs.google.com/uc?export=download&amp;id=1iCOLoQgk6q879k8IG2jytUX7bJZPP4lt</t>
  </si>
  <si>
    <t>Narada teaches Detachment to Yudhishthira</t>
  </si>
  <si>
    <t>https://docs.google.com/uc?export=download&amp;id=1BNiQMRo86MzykVI-U1m2PjCCxTszzcDc</t>
  </si>
  <si>
    <t>Conquering lust by love</t>
  </si>
  <si>
    <t>https://docs.google.com/uc?export=download&amp;id=1nEShtuAo5kYZiLJKKMJQf8s06PmM95D0</t>
  </si>
  <si>
    <t>Don't let women steal your chance to go BTG</t>
  </si>
  <si>
    <t>https://docs.google.com/uc?export=download&amp;id=1uTIfWxey7C3w-jVRVX6n0qX7fUmKKPca</t>
  </si>
  <si>
    <t>Navadvipa - Tug of war between Pure Devotee and Conditions soul</t>
  </si>
  <si>
    <t>https://docs.google.com/uc?export=download&amp;id=1XCkDIOXyGCMSqbt7gwmF2nmuIYHlfU4U</t>
  </si>
  <si>
    <t>Be Affectionate to your Mother even after renouncing the world</t>
  </si>
  <si>
    <t>https://docs.google.com/uc?export=download&amp;id=1EjUMi1axA9uElb4orCqVtoaiPZLx3H3V</t>
  </si>
  <si>
    <t>Ways to change nature of conditional soul</t>
  </si>
  <si>
    <t>https://docs.google.com/uc?export=download&amp;id=1lh1DPY3fqJgFSxLd1qMIpZjSiyri-xS1</t>
  </si>
  <si>
    <t>Living Project grows dead Project stagnates</t>
  </si>
  <si>
    <t>https://docs.google.com/uc?export=download&amp;id=1Y3oCCNZj0pm1_7WoxYqmMrvPdVPPKxgM</t>
  </si>
  <si>
    <t>SB 3.26.63-72</t>
  </si>
  <si>
    <t>https://docs.google.com/uc?export=download&amp;id=14uvzpS9QsVKYAw9Djwxr9aiouPnexzxm</t>
  </si>
  <si>
    <t>Home/BRAHMACHARI TRAINING/GAURANGA SABHA/GAURANGA SABHA MEETINGS/2022</t>
  </si>
  <si>
    <t>Missionary spirit</t>
  </si>
  <si>
    <t>https://docs.google.com/uc?export=download&amp;id=1UneJbptdFv4fA7as6x4BGJ5Q7IZBB2CU</t>
  </si>
  <si>
    <t>GS - Krishnas appearance in Devakis womb and lessons for sadhakas</t>
  </si>
  <si>
    <t>https://docs.google.com/uc?export=download&amp;id=12Mzfu95b-pt7slkGU8XEGTNbVRslJEeN</t>
  </si>
  <si>
    <t>How to see presence of supersoul in our heart - SB 4.28.52-65</t>
  </si>
  <si>
    <t>https://docs.google.com/uc?export=download&amp;id=1ucoLsgYKN_YzMoPtlDEfAmA8rfhUe2x_</t>
  </si>
  <si>
    <t>How to take instruction from Spiritual Master - SB 4.28.46-51</t>
  </si>
  <si>
    <t>https://docs.google.com/uc?export=download&amp;id=1z3_MnbdB0b8JpvBIwlYVBPzmnMOCerCH</t>
  </si>
  <si>
    <t>How to face dualities SB 4.28.43-50</t>
  </si>
  <si>
    <t>https://docs.google.com/uc?export=download&amp;id=1vmNRALm3ih8LDJPOA0MPB6Nz_mSDMFJO</t>
  </si>
  <si>
    <t>WHY TALK ABOUT SENSE CONTROL WE ARE AFTERALL BHAKTI-YOGIS AND GOD LOVERS</t>
  </si>
  <si>
    <t>https://docs.google.com/uc?export=download&amp;id=1od6oIPC6ddj6ZB9hnTzTpzrIJR7YE_28</t>
  </si>
  <si>
    <t>Who can live a long life Brahmacari</t>
  </si>
  <si>
    <t>https://docs.google.com/uc?export=download&amp;id=1uwqok80Ima6v21L_6_R-fMpzw97mFKU3</t>
  </si>
  <si>
    <t>Choosing asrama Brahmacari or Grihastra with Q A</t>
  </si>
  <si>
    <t>https://docs.google.com/uc?export=download&amp;id=1FVEnThutl5nEuPe4sTCuwb_EQMCV-NZl</t>
  </si>
  <si>
    <t>Choosing asrama Brahmacari or Grihastra</t>
  </si>
  <si>
    <t>https://docs.google.com/uc?export=download&amp;id=1xKZH5_wx6f2hZQwd4N2RCFYBIC2NS_4a</t>
  </si>
  <si>
    <t>Speeding up spiritual progress by minimizing eating, sleeping, mating and defending Part 2</t>
  </si>
  <si>
    <t>https://docs.google.com/uc?export=download&amp;id=1PQs5DmGGyn5iN7G7PNEg1IC5qx1bS_U1</t>
  </si>
  <si>
    <t>I want to join as a full time but many lusty thoughts are coming so, what should I do</t>
  </si>
  <si>
    <t>https://docs.google.com/uc?export=download&amp;id=1Mf38MgFRAp1kws_I4Pwq_uYiUviJPug7</t>
  </si>
  <si>
    <t>GS Meet</t>
  </si>
  <si>
    <t>https://docs.google.com/uc?export=download&amp;id=1FhCGN_SHGMJpYWsI4dQqTKtpGKVksZxg</t>
  </si>
  <si>
    <t>GS - SB 11.2.1-6</t>
  </si>
  <si>
    <t>https://docs.google.com/uc?export=download&amp;id=1zPfrpf-HnJrMI-rhaYkNUWEfAIdqUdSk</t>
  </si>
  <si>
    <t>Home/BRAHMACHARI TRAINING/GAURANGA SABHA/GAURANGA SABHA MEETINGS/2023</t>
  </si>
  <si>
    <t>SB 11.2.27-30</t>
  </si>
  <si>
    <t>https://docs.google.com/uc?export=download&amp;id=19RKypWQ2AfwqOatAcuG1I4XwcXlwwF_C</t>
  </si>
  <si>
    <t>SB - 4.25.7-9</t>
  </si>
  <si>
    <t>https://docs.google.com/uc?export=download&amp;id=1fFSYi_NcBvF1cx8E6CCkSgVE6DHmzNMG</t>
  </si>
  <si>
    <t>SB - 4.25.4-6</t>
  </si>
  <si>
    <t>https://docs.google.com/uc?export=download&amp;id=17kE6LIR4VaMDpNBmZH75pWTLskF20bH1</t>
  </si>
  <si>
    <t>Sravanam, Mananam, Nidhidhyasanam</t>
  </si>
  <si>
    <t>https://docs.google.com/uc?export=download&amp;id=1htW9LBfVDbO4PMS3xxe7-mOqw2vleyqi</t>
  </si>
  <si>
    <t>SB 4.25.1-4</t>
  </si>
  <si>
    <t>https://docs.google.com/uc?export=download&amp;id=1K8utklJZlTc80KE2XutftfFHQ07aS5Da</t>
  </si>
  <si>
    <t>SB 4.25.1</t>
  </si>
  <si>
    <t>https://docs.google.com/uc?export=download&amp;id=1qZOfPusGunYU-IcaUEi0f_HRAGJY_csf</t>
  </si>
  <si>
    <t>What inspired me to join Brahmacari Asharam</t>
  </si>
  <si>
    <t>https://docs.google.com/uc?export=download&amp;id=1f6BxYBu6_ypYvhcnrMHEqp1lihCSQTt6</t>
  </si>
  <si>
    <t>SB 11.2.1-13</t>
  </si>
  <si>
    <t>https://docs.google.com/uc?export=download&amp;id=1R36Mju1iHSmY5EK-YpkxQ4O4iWrk5mO9</t>
  </si>
  <si>
    <t>How to prepare themselves for Bcari life at this point of time</t>
  </si>
  <si>
    <t>https://docs.google.com/uc?export=download&amp;id=1sLb_QC7db5q3bc-rIHPSUvgjBqe_1UWf</t>
  </si>
  <si>
    <t>Home/BRAHMACHARI TRAINING/GAURANGA SABHA/GAURANGA SABHA MEETINGS/2021</t>
  </si>
  <si>
    <t>What is Good Fortune</t>
  </si>
  <si>
    <t>https://docs.google.com/uc?export=download&amp;id=1LeJda4zgzsaqkyUyLb2K22BmuRXRVSfs</t>
  </si>
  <si>
    <t>Home/BRAHMACHARI TRAINING/GAURANGA SABHA/GAURANGA SABHA MEETINGS/2019</t>
  </si>
  <si>
    <t>Q and A</t>
  </si>
  <si>
    <t>https://docs.google.com/uc?export=download&amp;id=1t7dCwNVdjPvLknvP-BbAeJDNdIvk05A1</t>
  </si>
  <si>
    <t>Fate and Free Will</t>
  </si>
  <si>
    <t>https://docs.google.com/uc?export=download&amp;id=1l6DukK-M2W52t09QqXLCVU7K-PoZPTPf</t>
  </si>
  <si>
    <t>Home/BRAHMACHARI TRAINING/GAURANGA SABHA/GAURANGA SABHA MEETINGS/2018</t>
  </si>
  <si>
    <t>Lessons from the Pastime of Mohini Murti</t>
  </si>
  <si>
    <t>https://docs.google.com/uc?export=download&amp;id=1n3RGtPmBQ2XcWzrAgNr_EfvjXPbn5mCP</t>
  </si>
  <si>
    <t>Home/BRAHMACHARI TRAINING/GAURANGA SABHA/GAURANGA SABHA MEETINGS/2017</t>
  </si>
  <si>
    <t>Duties of Brahmacari-SB 7.12</t>
  </si>
  <si>
    <t>https://docs.google.com/uc?export=download&amp;id=1XaMa1bA7tzkGBK-R8yeHG1bhfVG7_8h3</t>
  </si>
  <si>
    <t>SB 11.7.18</t>
  </si>
  <si>
    <t>https://docs.google.com/uc?export=download&amp;id=1o2UTx5CIx1de_ubMjNgei75dGP3Hq2R8</t>
  </si>
  <si>
    <t>Home/BRAHMACHARI TRAINING/GAURANGA SABHA/GAURANGA SABHA MEETINGS/2016</t>
  </si>
  <si>
    <t>https://docs.google.com/uc?export=download&amp;id=1f1RIGeiOR0Sxs4jRfWZH5dA0NFBY1eGF</t>
  </si>
  <si>
    <t>Home/BRAHMACHARI TRAINING/GAURANGA SABHA/GAURANGA SABHA MEETINGS/2014</t>
  </si>
  <si>
    <t>Slip and Fall down-Bharath Maharaj workshop-Part 1</t>
  </si>
  <si>
    <t>https://docs.google.com/uc?export=download&amp;id=1QJm-wBKfXYiFiNNJJdVuxxkn_25e_NPE</t>
  </si>
  <si>
    <t>Slip and Fall down-Bharath Maharaj workshop-Part 2</t>
  </si>
  <si>
    <t>https://docs.google.com/uc?export=download&amp;id=1Dlik753_-AYdx010eVJSalnjl04V0svt</t>
  </si>
  <si>
    <t>10 instructions of SP on giving up spirit of material enjoyment and Q and A</t>
  </si>
  <si>
    <t>https://docs.google.com/uc?export=download&amp;id=1MNPiqM96vzf0BHvT9Jz5qWo8IaxtkBHH</t>
  </si>
  <si>
    <t>PDC 2015 Meet-Material Creation</t>
  </si>
  <si>
    <t>https://docs.google.com/uc?export=download&amp;id=1HeHjKnBQuaamJDT2zQZYlTTZWtr-RoWG</t>
  </si>
  <si>
    <t>Learning from the Success Story of Narada</t>
  </si>
  <si>
    <t>https://docs.google.com/uc?export=download&amp;id=1d_Tx0zEqykL-QV021zIHbvPQwXkb9czH</t>
  </si>
  <si>
    <t>Impure, Semi Pure, Pure and Ultra Pure Senses</t>
  </si>
  <si>
    <t>https://docs.google.com/uc?export=download&amp;id=1r8qHjX88vtke_8HqBSfYBM1jJ3gwvGC1</t>
  </si>
  <si>
    <t>Mama Mana Mandire Song Explaination</t>
  </si>
  <si>
    <t>https://docs.google.com/uc?export=download&amp;id=1V7fm1xAar22G9muFiU0TmIsdW5Pm_TMG</t>
  </si>
  <si>
    <t>PDC Devotees Speaks Out-Part II</t>
  </si>
  <si>
    <t>https://docs.google.com/uc?export=download&amp;id=1v7w73qH2zQkGbmVXBS_wnJ-mGz9STNjw</t>
  </si>
  <si>
    <t>PDC 2014 Address</t>
  </si>
  <si>
    <t>https://docs.google.com/uc?export=download&amp;id=17XM9wiN-8-Nx6jKz_zJ9BignlY9PQ6Ty</t>
  </si>
  <si>
    <t>Teachings of Lord Rsabhadeva-Part I-From Go-dasa to Goswami</t>
  </si>
  <si>
    <t>https://docs.google.com/uc?export=download&amp;id=1pdX0b7zbfkCALMdcscRAhN0OSt_eCOxU</t>
  </si>
  <si>
    <t>Coming out of Dreamy World and Hazy Vision</t>
  </si>
  <si>
    <t>https://docs.google.com/uc?export=download&amp;id=1JqrLr5wTgwMdroOsBO96kPajfe62ysA5</t>
  </si>
  <si>
    <t>PDC Devotees Speaks Out-Part I</t>
  </si>
  <si>
    <t>https://docs.google.com/uc?export=download&amp;id=1Cj87HPvKi5y-k-PLzsT5qM3TOJJ4UT63</t>
  </si>
  <si>
    <t>Success Stories of Successful Sadhakas</t>
  </si>
  <si>
    <t>https://docs.google.com/uc?export=download&amp;id=1QHNldt3v6EeVszlaW60_8P4Gs-cF2wgk</t>
  </si>
  <si>
    <t>Home/BRAHMACHARI TRAINING/GAURANGA SABHA/GAURANGA SABHA MEETINGS/2013</t>
  </si>
  <si>
    <t>https://docs.google.com/uc?export=download&amp;id=1srZvluljGcXSH2xokA8tad0bWkzec-tA</t>
  </si>
  <si>
    <t>Valuable Practical tips for Raging Mind-Brahmacari and Mind PPT show)</t>
  </si>
  <si>
    <t>https://docs.google.com/uc?export=download&amp;id=1A7qDjHExj6usUM4YWZDEuRgkryHSAVBa</t>
  </si>
  <si>
    <t>The Easy Path to Advance in KC and the Factors that make one Glide Down</t>
  </si>
  <si>
    <t>https://docs.google.com/uc?export=download&amp;id=16b_VubxWMUlHsAHLarfWZ8pPDLM_4DHh</t>
  </si>
  <si>
    <t>Lessons from a Famous Babus fall down</t>
  </si>
  <si>
    <t>https://docs.google.com/uc?export=download&amp;id=1e_Om75NbOy3zSGo0nbRPw9MFHd_fYuom</t>
  </si>
  <si>
    <t>Dealing with Lust</t>
  </si>
  <si>
    <t>https://docs.google.com/uc?export=download&amp;id=1tE8_1Exk-EtY_-X0QFm5CC-VtkywA_OD</t>
  </si>
  <si>
    <t>Home/BRAHMACHARI TRAINING/GAURANGA SABHA/GAURANGA SABHA MEETINGS/2012</t>
  </si>
  <si>
    <t>Remaining Steady in KC through Difficulties</t>
  </si>
  <si>
    <t>https://docs.google.com/uc?export=download&amp;id=1JwVRXG5pTHrLyqvY5pMjlUxfyApjTOg5</t>
  </si>
  <si>
    <t>CC and Q-A</t>
  </si>
  <si>
    <t>https://docs.google.com/uc?export=download&amp;id=17WN2Hvd3NA0RFG_1VRSf1AKxBjX0q-wv</t>
  </si>
  <si>
    <t>Learning to Respect Grihastha Ashram</t>
  </si>
  <si>
    <t>https://docs.google.com/uc?export=download&amp;id=1sAiZY3y_O5JkOw7l8qA0L7Yi8moqgCij</t>
  </si>
  <si>
    <t>Chota Haridas Pastime - Honest Avoidance of Opposite Sex and Giving up Craving for Seeing and Showing Glamour</t>
  </si>
  <si>
    <t>https://docs.google.com/uc?export=download&amp;id=1JmPgEu-yLeC_ZmQDAxBVfD4ezFgcHFyH</t>
  </si>
  <si>
    <t>Raghunatha Dasa Goswamis Attentiveness and Determination</t>
  </si>
  <si>
    <t>https://docs.google.com/uc?export=download&amp;id=19Y7nRWTwK2Bad9Rv9pMbT0Z1dFr-AHTq</t>
  </si>
  <si>
    <t>Home/BRAHMACHARI TRAINING/GAURANGA SABHA/GAURANGA SABHA MEETINGS/2011</t>
  </si>
  <si>
    <t>SB 10.7.1-2</t>
  </si>
  <si>
    <t>https://docs.google.com/uc?export=download&amp;id=1HTvMeDTZ0b8ilb3TY5VVt-HHCOFVaE-7</t>
  </si>
  <si>
    <t>Brahmacaris must hear and Preach to carry on Enthusiastically</t>
  </si>
  <si>
    <t>https://docs.google.com/uc?export=download&amp;id=1rLeDeaLXx0V0w2OZdhSopLasxXb5ea3R</t>
  </si>
  <si>
    <t>Kudarshan vs Sudarshan</t>
  </si>
  <si>
    <t>https://docs.google.com/uc?export=download&amp;id=1AuqYUSRyXTMpsUazHCgrNBOICfDYO-Jc</t>
  </si>
  <si>
    <t>Connection between KC and Occupational Duty</t>
  </si>
  <si>
    <t>https://docs.google.com/uc?export=download&amp;id=1THOvYXn-MMB2878TeV3R8mQEHIllEx71</t>
  </si>
  <si>
    <t>Home/BRAHMACHARI TRAINING/GAURANGA SABHA/GAURANGA SABHA MEETINGS/2010</t>
  </si>
  <si>
    <t>Discussion of Various Aspects of Pure Devotee</t>
  </si>
  <si>
    <t>https://docs.google.com/uc?export=download&amp;id=1bkRSV3Tc1_425SQHsuLsYOY0GsmXRhvn</t>
  </si>
  <si>
    <t>Join Brahmacari Ashram to show Compassion for Suffering Souls</t>
  </si>
  <si>
    <t>https://docs.google.com/uc?export=download&amp;id=1YPq6mvh9NLykuwIS5K68wo32eVyk51f4</t>
  </si>
  <si>
    <t>Part-1</t>
  </si>
  <si>
    <t>https://docs.google.com/uc?export=download&amp;id=1QpXb-KLLJ5Dn69hC6cQCtSwqLmxUJ4eY</t>
  </si>
  <si>
    <t>Home/BRAHMACHARI TRAINING/GAURANGA SABHA/GAURANGA SABHA MEETINGS/2009</t>
  </si>
  <si>
    <t>Dealing with Parents</t>
  </si>
  <si>
    <t>https://docs.google.com/uc?export=download&amp;id=1LEiOU0OlXlnz65ma2UNYUfL4pZM6Xia5</t>
  </si>
  <si>
    <t>Home/BRAHMACHARI TRAINING/GAURANGA SABHA/GAURANGA SABHA MEETINGS/2008</t>
  </si>
  <si>
    <t>From BTG TO B or G</t>
  </si>
  <si>
    <t>https://docs.google.com/uc?export=download&amp;id=1reJFcOplH0vYP2fWsFRcZ8UTlmOXQeU1</t>
  </si>
  <si>
    <t>Mood of a Humble Servant</t>
  </si>
  <si>
    <t>https://docs.google.com/uc?export=download&amp;id=1muZwgYjuVNubrXwWNZcwe_TxRAl7VyA7</t>
  </si>
  <si>
    <t>Every where Seeing Krishna</t>
  </si>
  <si>
    <t>https://docs.google.com/uc?export=download&amp;id=1zGCoWxwlrq168rFxKlIjoTtIP3BYlwRg</t>
  </si>
  <si>
    <t>Illusion in Material World</t>
  </si>
  <si>
    <t>https://docs.google.com/uc?export=download&amp;id=1P8hGMvJSSrCpQ6f0fSdznBVXpt1V4p1Y</t>
  </si>
  <si>
    <t>RSP LECTURE ON VITAL POINTS THAT INSPIRE US TO JOIN FULLTIME BRAHMACARI ASHRAM</t>
  </si>
  <si>
    <t>https://docs.google.com/uc?export=download&amp;id=16u4NK_XtTYgk5NCqXb7hdU-s34eLOzKd</t>
  </si>
  <si>
    <t>Home/BRAHMACHARI TRAINING/GAURANGA SABHA/GS CAMPS/2025</t>
  </si>
  <si>
    <t>Ten Lessons from Lord Chaitanya's South India Preaching</t>
  </si>
  <si>
    <t>https://docs.google.com/uc?export=download&amp;id=1ElqcF2d-WWy_gR7L7M3Xr6m85u7Ok6lN</t>
  </si>
  <si>
    <t>Raksasyati iti Vishwasah</t>
  </si>
  <si>
    <t>https://docs.google.com/uc?export=download&amp;id=1S78Ji4yQTSsNTXHVD3agyXL8s-pN0Wmb</t>
  </si>
  <si>
    <t>Atma Niksepa Presentation and Discussion</t>
  </si>
  <si>
    <t>https://docs.google.com/uc?export=download&amp;id=1Q6-iRussmkDYNKHGyzxNtdoJ1xlNDFmM</t>
  </si>
  <si>
    <t>Karpanya Presentation and discussion</t>
  </si>
  <si>
    <t>https://docs.google.com/uc?export=download&amp;id=1XFJ9Q4dKxVMt5Ez5h3k6xFIS_8BEWqMf</t>
  </si>
  <si>
    <t>Goptrtve varanam Presentation and Discussion</t>
  </si>
  <si>
    <t>https://docs.google.com/uc?export=download&amp;id=1qMUuLWed53GEdBjOTNhQuuKU_R30347G</t>
  </si>
  <si>
    <t>Pratikulasya Varjanam Presentation Discussion</t>
  </si>
  <si>
    <t>https://docs.google.com/uc?export=download&amp;id=12D4B60y39VvoXHSNzG4dHJ__35uwBt5N</t>
  </si>
  <si>
    <t>Anukulasya Sankalpo Presentation and Discussion</t>
  </si>
  <si>
    <t>https://docs.google.com/uc?export=download&amp;id=1PQXCdYA93lqOPBP6wBUr1j-WlvIcyBKf</t>
  </si>
  <si>
    <t>Introduction to Sharanagati</t>
  </si>
  <si>
    <t>https://docs.google.com/uc?export=download&amp;id=1gpMYHwRcbFV4Q1vpuhCINd_iFkpbbEv7</t>
  </si>
  <si>
    <t>Mucukunda Prayers Part - 1</t>
  </si>
  <si>
    <t>https://docs.google.com/uc?export=download&amp;id=1kaeRdIr3FnuQvL9wPqVfQDFFt4qFS0r6</t>
  </si>
  <si>
    <t>Home/BRAHMACHARI TRAINING/GAURANGA SABHA/GS CAMPS/2023</t>
  </si>
  <si>
    <t>Mucukunda Prayers Part - 2</t>
  </si>
  <si>
    <t>https://docs.google.com/uc?export=download&amp;id=1L4JTcc8KDbIzurUgPGRsm6nfrBjPf23A</t>
  </si>
  <si>
    <t>Surpassing Sex Desire - Part 1</t>
  </si>
  <si>
    <t>https://docs.google.com/uc?export=download&amp;id=1ZfTgV_daRp7K1SqTz6HBtQgE2WJlk8xB</t>
  </si>
  <si>
    <t>Surpassing Sex Desire - Part 2</t>
  </si>
  <si>
    <t>https://docs.google.com/uc?export=download&amp;id=1Zg4oNFdSy0VB9w0pDwBIytX3-wTaUr1f</t>
  </si>
  <si>
    <t>BRAHMACARI AND MIND</t>
  </si>
  <si>
    <t>https://docs.google.com/uc?export=download&amp;id=1t9J3fgrj318tJw4igdsVRuSf-D86hBK3</t>
  </si>
  <si>
    <t>GS Question and Answers</t>
  </si>
  <si>
    <t>https://docs.google.com/uc?export=download&amp;id=1IqPsINXbajzoGyjZ_y_pJkwHSCEaszxQ</t>
  </si>
  <si>
    <t>Workshop - Bharat Maharaj Part 1</t>
  </si>
  <si>
    <t>https://docs.google.com/uc?export=download&amp;id=16aIPLom8oSlWV5i4ZfTR4P6RztYHSGsd</t>
  </si>
  <si>
    <t>Home/BRAHMACHARI TRAINING/GAURANGA SABHA/GS CAMPS/2022/PUNE</t>
  </si>
  <si>
    <t>Workshop - Bharat Maharaj Part 2</t>
  </si>
  <si>
    <t>https://docs.google.com/uc?export=download&amp;id=16cad194E_EvXgIZgZYscZe84ox_yodYD</t>
  </si>
  <si>
    <t>Workshop - Courage Vs Fear</t>
  </si>
  <si>
    <t>https://docs.google.com/uc?export=download&amp;id=1c-0F5yFn_0lFcvMAI17-5C9TEtun7sPX</t>
  </si>
  <si>
    <t>Ideal qualities of a Brahmacari leader</t>
  </si>
  <si>
    <t>https://docs.google.com/uc?export=download&amp;id=177b38RvQxscxoX638B9q3hmEfEvXIxhb</t>
  </si>
  <si>
    <t>Ten lessons from SP on The Enjoying Spirit</t>
  </si>
  <si>
    <t>https://docs.google.com/uc?export=download&amp;id=1Yt-zU71c6T_mQx3TpCzXqTjRLBLaNiOw</t>
  </si>
  <si>
    <t>Why I am joined BC and inspiring to continue</t>
  </si>
  <si>
    <t>https://docs.google.com/uc?export=download&amp;id=1hdi_XB6fvP9qSuq963mNCpvd5F4Awnru</t>
  </si>
  <si>
    <t>Developing Determination</t>
  </si>
  <si>
    <t>https://docs.google.com/uc?export=download&amp;id=1ECfhhvv5CD9JtvLtZJV1x7HL3vWUW1pm</t>
  </si>
  <si>
    <t>Home/BRAHMACHARI TRAINING/GAURANGA SABHA/GS CAMPS/2022/KANPUR</t>
  </si>
  <si>
    <t>Teachings of Rsabhdev (SB 5.5.7-9) - Hard Knot in Heart</t>
  </si>
  <si>
    <t>https://docs.google.com/uc?export=download&amp;id=1pU5dJ-29015qN2HTtBH9PeM2GDu_DV0t</t>
  </si>
  <si>
    <t>GS - Kanpur GS Q and A</t>
  </si>
  <si>
    <t>https://docs.google.com/uc?export=download&amp;id=1VpaEMhKCLWBIBD1ykL9jccb39gGcNTPx</t>
  </si>
  <si>
    <t>Q and A along with Concluding Session</t>
  </si>
  <si>
    <t>https://docs.google.com/uc?export=download&amp;id=17ztFBb1MJOqT8Ubnq9ju8flS8HtvALmc</t>
  </si>
  <si>
    <t>Home/BRAHMACHARI TRAINING/GAURANGA SABHA/GS CAMPS/2019/WINTER 2019</t>
  </si>
  <si>
    <t>The need of concentration and absorption in chant</t>
  </si>
  <si>
    <t>https://docs.google.com/uc?export=download&amp;id=1pbAZ0roBRq3YweU-yAY-2_AL5H3-ZHos</t>
  </si>
  <si>
    <t>Exemplary repentence of Ajamila and Ajamila travelling to Vaikuntha</t>
  </si>
  <si>
    <t>https://docs.google.com/uc?export=download&amp;id=1TX0SAsr3vsbpRqM6pOFlyjS5lrr_fvQX</t>
  </si>
  <si>
    <t>Ten lessons from SP on Enjoying Spirit</t>
  </si>
  <si>
    <t>https://docs.google.com/uc?export=download&amp;id=1tbPI3ExKvUtmS75XQoLaGxp3vjyiL9p_</t>
  </si>
  <si>
    <t>Diet and Brahmacharya</t>
  </si>
  <si>
    <t>https://docs.google.com/uc?export=download&amp;id=1jMExaYszlnN7EwJQcmZlcVs3ozNWnqF7</t>
  </si>
  <si>
    <t>Panel - Stories of succesful saints of ISKCON</t>
  </si>
  <si>
    <t>https://docs.google.com/uc?export=download&amp;id=1v07ltnEGENOjEk7u97gVJmdbHe20SGag</t>
  </si>
  <si>
    <t>SIX STEPS FOR SUCCESS - Inquire Hear Apply Satisfy Serve Consult</t>
  </si>
  <si>
    <t>https://docs.google.com/uc?export=download&amp;id=1CozWcKbhY8oZTN_rKRxIhKEjlPCtrdbX</t>
  </si>
  <si>
    <t>Qualities required to remain long life brahmacari</t>
  </si>
  <si>
    <t>https://docs.google.com/uc?export=download&amp;id=1AhBufyW7BQls07rijywsJ7hhVoZp6shM</t>
  </si>
  <si>
    <t>Subhadra Group-Internal and External Distractions</t>
  </si>
  <si>
    <t>https://docs.google.com/uc?export=download&amp;id=1dz8jzlifGXkCZ5pPQqPrG2sYUWuv_7zQ</t>
  </si>
  <si>
    <t>SIX STEPS FOR SUCCESS Inquire Hear Apply Satisfy Serve Consult</t>
  </si>
  <si>
    <t>https://docs.google.com/uc?export=download&amp;id=1dSNrGX4MV9K__7OLfCcRi6kNHlmqlVtq</t>
  </si>
  <si>
    <t>Home/BRAHMACHARI TRAINING/GAURANGA SABHA/GS CAMPS/2019/SUMMER 2019/PUNE</t>
  </si>
  <si>
    <t>https://docs.google.com/uc?export=download&amp;id=1sxQPIYot6t2Wm16ysKc9WT9Pa0Fz0aEq</t>
  </si>
  <si>
    <t>RAGHUNATH DAS GOSWAMI S RENUNCIATION Part 1</t>
  </si>
  <si>
    <t>https://docs.google.com/uc?export=download&amp;id=15mXWWPPKyeiGQ6BNAxm7urrka4HJYKNs</t>
  </si>
  <si>
    <t>RAGHUNATH DAS GOSWAMI S RENUNCIATION Part 2</t>
  </si>
  <si>
    <t>https://docs.google.com/uc?export=download&amp;id=1Bc4m8iAad8KNTbxEWLgWd0BYfxDagsDU</t>
  </si>
  <si>
    <t>SELF CONTROL KEY TO REAL PLEASURE Part 1</t>
  </si>
  <si>
    <t>https://docs.google.com/uc?export=download&amp;id=11pQ8ra0RwS3U1bziC5Ng8yluSfrmmQVn</t>
  </si>
  <si>
    <t>RAGHUNATH DAS GOSWAMI</t>
  </si>
  <si>
    <t>https://docs.google.com/uc?export=download&amp;id=13m49z1imZr_YzwJiSTQXy2ftDGO38bKF</t>
  </si>
  <si>
    <t>Home/BRAHMACHARI TRAINING/GAURANGA SABHA/GS CAMPS/2019/SUMMER 2019/MAYAPUR</t>
  </si>
  <si>
    <t>Self Control Key to real pleasure</t>
  </si>
  <si>
    <t>https://docs.google.com/uc?export=download&amp;id=10uCyTNMfX90oP_zAtcTWeRuGqZg1VYZT</t>
  </si>
  <si>
    <t>WORKSHOP and DISCUSSION-COURAGE Vs FEAR</t>
  </si>
  <si>
    <t>https://docs.google.com/uc?export=download&amp;id=158iwpGnOkbKuZFivPhSAD6ExrnebGfR7</t>
  </si>
  <si>
    <t>Learning to see Women as mothers</t>
  </si>
  <si>
    <t>https://docs.google.com/uc?export=download&amp;id=1A_gePjCKDyK_liQ9Xj-F_FPbwMNDKncB</t>
  </si>
  <si>
    <t>1.3.27 yo svakat paratoveha GLORY OF DEDICATING LIFE FOR KRISHNA</t>
  </si>
  <si>
    <t>https://docs.google.com/uc?export=download&amp;id=1zUrE2b6aTZ7qxO4ADUqHI0fPCnaRiYo7</t>
  </si>
  <si>
    <t>WORKSHOP SURPASSING SEX DESIRE Part 2</t>
  </si>
  <si>
    <t>https://docs.google.com/uc?export=download&amp;id=12dB8gtAhcdZoHno8o_NMbPoA_GPOeO9V</t>
  </si>
  <si>
    <t>Drama - Leg pullers at work life</t>
  </si>
  <si>
    <t>https://docs.google.com/uc?export=download&amp;id=1IIPh5S6YHeAvn1uEEOASJxJO-tsVmqQN</t>
  </si>
  <si>
    <t>Home/BRAHMACHARI TRAINING/GAURANGA SABHA/GS CAMPS/2018</t>
  </si>
  <si>
    <t>Learning to see women as mothers_1</t>
  </si>
  <si>
    <t>https://docs.google.com/uc?export=download&amp;id=1k1YSGLeO4qab0cFVfQynPo-E3mHC-l2A</t>
  </si>
  <si>
    <t>Moving from student life to job life-preparing to face the legpullerrs</t>
  </si>
  <si>
    <t>https://docs.google.com/uc?export=download&amp;id=1SmOpJpThSnGcKmy4nKDG7zKlORZ8BbHA</t>
  </si>
  <si>
    <t>SELF CONTROL- KEY TO REAL PLEASURE-Part 1</t>
  </si>
  <si>
    <t>https://docs.google.com/uc?export=download&amp;id=1QQzB1njr_Gl88edupuf5AAbrYHYfwZx1</t>
  </si>
  <si>
    <t>Practising SMARANAM, Remembrance of Sri Krishna and Q and A-1</t>
  </si>
  <si>
    <t>https://docs.google.com/uc?export=download&amp;id=1coFkbgV6fTiSIiPhIXCa6XySHewKECbV</t>
  </si>
  <si>
    <t>Practising SMARANAM, Remembrance of Sri Krishna and Q and A-2</t>
  </si>
  <si>
    <t>https://docs.google.com/uc?export=download&amp;id=1AQpGQteNLntZunFXqCwLY8zpiPJFtRa2</t>
  </si>
  <si>
    <t>Role of Brahmacarya life in wiping out samskaras</t>
  </si>
  <si>
    <t>https://docs.google.com/uc?export=download&amp;id=169_dgABN44bU-fCevlbIBFTuNqJhXf7Q</t>
  </si>
  <si>
    <t>GS-Q and A s</t>
  </si>
  <si>
    <t>https://docs.google.com/uc?export=download&amp;id=1wfdCHexuE5b6yDGgY3Tne7lFe-50pFO2</t>
  </si>
  <si>
    <t>HOW TO GET JUICE IN KC WHEN WE HAVE NOT BECOME ADVANCED ENOUGH TO GET HIGHER TASTE</t>
  </si>
  <si>
    <t>https://docs.google.com/uc?export=download&amp;id=1rsfpVpFSd4ZbxpCktsiTctteSu6HF2DX</t>
  </si>
  <si>
    <t>Learning Vaishnava Sadachar from the teachings of Chaitanya Mahaprabhu and Q and A</t>
  </si>
  <si>
    <t>https://docs.google.com/uc?export=download&amp;id=1QHR9Mw2K6DJgC7QezQYf3S9G1afEsh8_</t>
  </si>
  <si>
    <t>Learning Vaishnava Sadachar from the teachings of Chaitanya Mahaprabhu</t>
  </si>
  <si>
    <t>https://docs.google.com/uc?export=download&amp;id=14Xx_850ETXGh_AzKI6vWY9mmDmSyuV7r</t>
  </si>
  <si>
    <t>How to get juice in kc in conditioned stage</t>
  </si>
  <si>
    <t>https://docs.google.com/uc?export=download&amp;id=1kRdd-yq4bNHblN4Gzc-__yZWh9XPX2b8</t>
  </si>
  <si>
    <t>Learning to see women as mothers_0</t>
  </si>
  <si>
    <t>https://docs.google.com/uc?export=download&amp;id=1cuJ93cqXtd5kHle_8_eyUquitDbnypGP</t>
  </si>
  <si>
    <t>Glory of dedicating life for Krishna</t>
  </si>
  <si>
    <t>https://docs.google.com/uc?export=download&amp;id=1SIoMIjhrdufEWB_mrEJ30CC4-A4v-p9-</t>
  </si>
  <si>
    <t>Four Qualifications to attract,capture,control Krishna in his heart</t>
  </si>
  <si>
    <t>https://docs.google.com/uc?export=download&amp;id=162c_0wjnxF4YpZAzkq4JJhCrZlQUF_Vu</t>
  </si>
  <si>
    <t>Self control-Key to Real Pleasure-Part 1</t>
  </si>
  <si>
    <t>https://docs.google.com/uc?export=download&amp;id=1GD5JCs4hgHDsOQ55-qjkqsR7w7fVxLL8</t>
  </si>
  <si>
    <t>The need of concentration and absorption in chanting Hare Krishna</t>
  </si>
  <si>
    <t>https://docs.google.com/uc?export=download&amp;id=1pF7ggxpqvIfCi4K4f-jwKL3uiy2UvQbU</t>
  </si>
  <si>
    <t>Home/BRAHMACHARI TRAINING/GAURANGA SABHA/GS CAMPS/2017/GS WINTER CAMP/GS SUBHADRA</t>
  </si>
  <si>
    <t>Higher taste replaces the taste for dead matter</t>
  </si>
  <si>
    <t>https://docs.google.com/uc?export=download&amp;id=1z6A5VVgr12PRBra47nXephyiER5lDmXV</t>
  </si>
  <si>
    <t>https://docs.google.com/uc?export=download&amp;id=1ldYq3YE1GRAOlhrORDyMrG_dyCnxzqSt</t>
  </si>
  <si>
    <t>Internal and External(shama,dama)</t>
  </si>
  <si>
    <t>https://docs.google.com/uc?export=download&amp;id=1pybqdwmSiVJYqlL0dZs_vDXeKfkeTFRN</t>
  </si>
  <si>
    <t>Haridas Thakur and Prostitute</t>
  </si>
  <si>
    <t>https://docs.google.com/uc?export=download&amp;id=1Lwzf2USpWC4LJps1kA4MfRnuxZC8eosu</t>
  </si>
  <si>
    <t>Brahmacaris attitude towards grihasthas</t>
  </si>
  <si>
    <t>https://docs.google.com/uc?export=download&amp;id=1zwL-tHv7YjEq885F5OGWgr4GZxgXGgUf</t>
  </si>
  <si>
    <t>Preyas and Sreyas-Make a wise choice</t>
  </si>
  <si>
    <t>https://docs.google.com/uc?export=download&amp;id=1NwCBZhY3zQEJ3F80ZZ1RNSsC4MOuFLUD</t>
  </si>
  <si>
    <t>PPT on Dhruva s determination</t>
  </si>
  <si>
    <t>https://docs.google.com/uc?export=download&amp;id=1gbOpVDn94ybTwocB__VypSra7KkkB4ha</t>
  </si>
  <si>
    <t>Home/BRAHMACHARI TRAINING/GAURANGA SABHA/GS CAMPS/2017/GS WINTER CAMP/GS JAGANATH</t>
  </si>
  <si>
    <t>https://docs.google.com/uc?export=download&amp;id=1RHkIwHNh6AdBcUBMvtaJXYbsEyjYWcLl</t>
  </si>
  <si>
    <t>https://docs.google.com/uc?export=download&amp;id=1mfdQbHFhXCXm1q-9g5ykBmNKJzqaXubF</t>
  </si>
  <si>
    <t>Who can become a bramhacari</t>
  </si>
  <si>
    <t>https://docs.google.com/uc?export=download&amp;id=1TZ1CNFZiQSmC5w9E7vWkOe4tDskJUYc1</t>
  </si>
  <si>
    <t>Diet and Brahmacarya</t>
  </si>
  <si>
    <t>https://docs.google.com/uc?export=download&amp;id=1XJLyldPr72WgF0fQwFvARBFki6zoZRww</t>
  </si>
  <si>
    <t>GS Lecture</t>
  </si>
  <si>
    <t>https://docs.google.com/uc?export=download&amp;id=1JJ29P4J-meglEYsQ4QMigE9fEqTnuCHK</t>
  </si>
  <si>
    <t>Easy Meet Drama</t>
  </si>
  <si>
    <t>https://docs.google.com/uc?export=download&amp;id=1BLcq3H7fJLPf02uF-lxrFPSTQ0kQwSWy</t>
  </si>
  <si>
    <t>Home/BRAHMACHARI TRAINING/GAURANGA SABHA/GS CAMPS/2017/GS WINTER CAMP/GS BALADEV</t>
  </si>
  <si>
    <t>GS-Q and A s Part 1</t>
  </si>
  <si>
    <t>https://docs.google.com/uc?export=download&amp;id=1Q0buGTO1JK8pjsbdEC1qhY3cLj6NSh6s</t>
  </si>
  <si>
    <t>GS-Q and A s Part 2</t>
  </si>
  <si>
    <t>https://docs.google.com/uc?export=download&amp;id=1Y0aAmsx3sy0w0cLQB-cTuPBm3_T42f_J</t>
  </si>
  <si>
    <t>Divine qualities of Lords devotees-from Chaitanyas pastimes and how to develop them Part 1</t>
  </si>
  <si>
    <t>https://docs.google.com/uc?export=download&amp;id=1uK8942dy7kti1hVgT4X60nB6-PGENelR</t>
  </si>
  <si>
    <t>Divine qualities of Lords devotees-from Chaitanyas pastimes and how to develop them Part 2</t>
  </si>
  <si>
    <t>https://docs.google.com/uc?export=download&amp;id=1HI8O1WEgpbud0vC3qpSaO9Q9yycq6vyB</t>
  </si>
  <si>
    <t>SB-Dritrashtra quits home</t>
  </si>
  <si>
    <t>https://docs.google.com/uc?export=download&amp;id=1qtRoraZUXQ06irsynsbGY381Bc4JJC-5</t>
  </si>
  <si>
    <t>Lessons from Rukmini mangalam</t>
  </si>
  <si>
    <t>https://docs.google.com/uc?export=download&amp;id=17Cd4j0KMGK4-n5V6jEX4ZE3d4TrbRqI6</t>
  </si>
  <si>
    <t>https://docs.google.com/uc?export=download&amp;id=1W5cmIGhAcTOB3BnmyxOG9tB0jtbKfdj2</t>
  </si>
  <si>
    <t>Common Panel Part 1</t>
  </si>
  <si>
    <t>https://docs.google.com/uc?export=download&amp;id=1lCEx0wqAtoASiCjnmbOZ_KfLonD3tsy0</t>
  </si>
  <si>
    <t>Common Panel Part 2</t>
  </si>
  <si>
    <t>https://docs.google.com/uc?export=download&amp;id=1NtCgkdVskPA3H4H-OvZF5lQUrRZcK5xk</t>
  </si>
  <si>
    <t>Renunciation and surrender of Raghunath Das Goswami</t>
  </si>
  <si>
    <t>https://docs.google.com/uc?export=download&amp;id=1FwA9oTUmt47rkfugg1IibLNGPk3UYOLx</t>
  </si>
  <si>
    <t>Every bramhacari should get married to Srimad bhagavatam</t>
  </si>
  <si>
    <t>https://docs.google.com/uc?export=download&amp;id=1oRS0iwJSJ9EVHT27zVUuccsJ-sg-qDyF</t>
  </si>
  <si>
    <t>The need of renouncing wordly pleasures</t>
  </si>
  <si>
    <t>https://docs.google.com/uc?export=download&amp;id=1DnwcJnX6N0QrwwpHK8-HnNWVgJk9O083</t>
  </si>
  <si>
    <t>SP Activity Part 2</t>
  </si>
  <si>
    <t>https://docs.google.com/uc?export=download&amp;id=1-TUicQfx2cW9G6ag9Og8iDBNhNFkjyuY</t>
  </si>
  <si>
    <t>Home/BRAHMACHARI TRAINING/GAURANGA SABHA/GS CAMPS/2017/GS SUMMER CAMP/GS KOLKATTA</t>
  </si>
  <si>
    <t>SP Activity Part 3</t>
  </si>
  <si>
    <t>https://docs.google.com/uc?export=download&amp;id=112FecHwO9cPqEckakT3uKN2huRlcqRDN</t>
  </si>
  <si>
    <t>Muchukunda Prayers Part 1</t>
  </si>
  <si>
    <t>https://docs.google.com/uc?export=download&amp;id=1Vgk6P5lJlp5Ppq1dKhAgyIS98dw-Tnwj</t>
  </si>
  <si>
    <t>SP Activity Part 1</t>
  </si>
  <si>
    <t>https://docs.google.com/uc?export=download&amp;id=1PsizI7ur4io376gXsf3vYvifcNe77r_O</t>
  </si>
  <si>
    <t>surpassing sex desire part 2</t>
  </si>
  <si>
    <t>https://docs.google.com/uc?export=download&amp;id=1Eolko9IPNy4kKrxUaRndAwwwWB-Cwr-h</t>
  </si>
  <si>
    <t>Home/BRAHMACHARI TRAINING/GAURANGA SABHA/GS CAMPS/2017/GS SUMMER CAMP/GS 1</t>
  </si>
  <si>
    <t>Six symptoms of surrender</t>
  </si>
  <si>
    <t>https://docs.google.com/uc?export=download&amp;id=1_hZr9IdK0t7wbURwmUe00IBUJwJncUIx</t>
  </si>
  <si>
    <t>Lessons from the life of Dhruva Maharaja</t>
  </si>
  <si>
    <t>https://docs.google.com/uc?export=download&amp;id=1kQe8OsG7TyhXHRXNz0ycz5Yukr_c0_yG</t>
  </si>
  <si>
    <t>Home/BRAHMACHARI TRAINING/GAURANGA SABHA/GS CAMPS/2016/GS WORKING MAY/GS STARTERS</t>
  </si>
  <si>
    <t>Canto-7 AVADHUTA BRAHMANA s sermons to Prahlad Maharaj</t>
  </si>
  <si>
    <t>https://docs.google.com/uc?export=download&amp;id=1jpUgl8qoVfsIFo8q28S3TlRv6-IWldLZ</t>
  </si>
  <si>
    <t>Ideal Qualities of Brahmacari</t>
  </si>
  <si>
    <t>https://docs.google.com/uc?export=download&amp;id=1V-siGKakDf3WQ7Tcn_CZb9_-W9SdE_tE</t>
  </si>
  <si>
    <t>Moving from student life to job life-prepare to face the legpullers</t>
  </si>
  <si>
    <t>https://docs.google.com/uc?export=download&amp;id=1BAk7_BD52bxXP8olJLEklYHMAdmMpuN1</t>
  </si>
  <si>
    <t>Inspirational stories of successful saints</t>
  </si>
  <si>
    <t>https://docs.google.com/uc?export=download&amp;id=1JO9TaCFLaaTFmryd4HrWvjFi3eskVMtS</t>
  </si>
  <si>
    <t>Home/BRAHMACHARI TRAINING/GAURANGA SABHA/GS CAMPS/2016/GS WORKING MAY/GS OTHERS</t>
  </si>
  <si>
    <t>How to sustain our desire to dedicate in the mission of Lord Chatanya</t>
  </si>
  <si>
    <t>https://docs.google.com/uc?export=download&amp;id=1T2kH9tDMvqE-kjRWnnSP5sPm5pJXHhP1</t>
  </si>
  <si>
    <t>Brahmacari and mind</t>
  </si>
  <si>
    <t>https://docs.google.com/uc?export=download&amp;id=17tzGmJ1ddkL3BOtMvihksGXI5m_au16Q</t>
  </si>
  <si>
    <t>Chota Haridas</t>
  </si>
  <si>
    <t>https://docs.google.com/uc?export=download&amp;id=14TSp_7h17fPrzJ7L9zw4uE3nPosQzQ63</t>
  </si>
  <si>
    <t>Home/BRAHMACHARI TRAINING/GAURANGA SABHA/GS CAMPS/2016/GS WORKING MAY/GS 17</t>
  </si>
  <si>
    <t>Rupa goswami s siksa esp about Developing the seed of love of god carefully</t>
  </si>
  <si>
    <t>https://docs.google.com/uc?export=download&amp;id=1cKtGf9mcpIcKd-n7RB9qNJvYpv99ugCl</t>
  </si>
  <si>
    <t>Lord chaitanya and Milk driniking brahmacari pastime</t>
  </si>
  <si>
    <t>https://docs.google.com/uc?export=download&amp;id=1CzEWpTGsL1KpEHaQdvqfHYI7rhU52zJT</t>
  </si>
  <si>
    <t>Taking reverse gear from early stages of falldown Part 3</t>
  </si>
  <si>
    <t>https://docs.google.com/uc?export=download&amp;id=1B4hsgXBffgugdgQaNU-Ey8fDOD8M_Ozv</t>
  </si>
  <si>
    <t>Home/BRAHMACHARI TRAINING/GAURANGA SABHA/GS CAMPS/2016/GS WORKING MAY/GS ALL</t>
  </si>
  <si>
    <t>Taking reverse gear from early stages of falldown Part 4</t>
  </si>
  <si>
    <t>https://docs.google.com/uc?export=download&amp;id=1tWZQVVQQqKPBj9W2C7aTs3MD3Ij4bnG3</t>
  </si>
  <si>
    <t>Taking reverse gear from early stages of falldown Part 1</t>
  </si>
  <si>
    <t>https://docs.google.com/uc?export=download&amp;id=17zDcfFiAXxXKepceVLbf-3TGGgcbyTxS</t>
  </si>
  <si>
    <t>Taking reverse gear from early stages of falldown Part 2</t>
  </si>
  <si>
    <t>https://docs.google.com/uc?export=download&amp;id=1AQRWGMTAhVrdV3KJbZQh2lLRAjw9-1gx</t>
  </si>
  <si>
    <t>CM s teachings to Raghunath das Goswmami</t>
  </si>
  <si>
    <t>https://docs.google.com/uc?export=download&amp;id=1AcVjy_2LKDsQHcBbMXouhBIyif3dJzVz</t>
  </si>
  <si>
    <t>Bharat Maharaj Workshop</t>
  </si>
  <si>
    <t>https://docs.google.com/uc?export=download&amp;id=1UXO8LxIAy2fXuTvJQA54k7IQ5MYLKfyC</t>
  </si>
  <si>
    <t>Prahalad preaching to Demonic schoolmates verse 1-4</t>
  </si>
  <si>
    <t>https://docs.google.com/uc?export=download&amp;id=1LbVwoy1WDU90GWMUPKpFPQ_7KM3Yr2i2</t>
  </si>
  <si>
    <t>Home/BRAHMACHARI TRAINING/GAURANGA SABHA/GS CAMPS/2016/GS STUDENT JUN/SECOND TIMERS</t>
  </si>
  <si>
    <t>Raghunath Goswami s Renunciation</t>
  </si>
  <si>
    <t>https://docs.google.com/uc?export=download&amp;id=1Ko4pqLXtBee5OZ6kBZ8lg9rZTktmVV5z</t>
  </si>
  <si>
    <t>Workshop-Surpassing sex desire Part 1</t>
  </si>
  <si>
    <t>https://docs.google.com/uc?export=download&amp;id=1eAV88OfpjhMDEir6ssuKF29K21ofTANN</t>
  </si>
  <si>
    <t>Impure,Semi-pure,Ultra-pure sense enjoyment</t>
  </si>
  <si>
    <t>https://docs.google.com/uc?export=download&amp;id=1CRsETZbEU6ToHgB9TMR1KwbPx38q-_8O</t>
  </si>
  <si>
    <t>SB 5.14.43 Krishna laalasa-Higher Taste</t>
  </si>
  <si>
    <t>https://docs.google.com/uc?export=download&amp;id=1kRmUoVX3xsCNjriBBvG96OT2-l14V9FO</t>
  </si>
  <si>
    <t>Workshop-Surpassing sex desire Part 2</t>
  </si>
  <si>
    <t>https://docs.google.com/uc?export=download&amp;id=1C-0QwDoJx0nyWrmYXiEl2O4r-5qaq_Mp</t>
  </si>
  <si>
    <t>Dhruva s Determination</t>
  </si>
  <si>
    <t>https://docs.google.com/uc?export=download&amp;id=1TfxUs7yUC9BbM4nYDVZAOSMJ0b_90jqm</t>
  </si>
  <si>
    <t>Six steps for success-Inquire hear apply satisfy serve consult</t>
  </si>
  <si>
    <t>https://docs.google.com/uc?export=download&amp;id=1L2QglGJy7OcfvwdOVMxNJiBXqJnpR3sV</t>
  </si>
  <si>
    <t>Self control-key to real pleasure Part 2</t>
  </si>
  <si>
    <t>https://docs.google.com/uc?export=download&amp;id=1khKUdTguctHXJSJa1q72iXDlCkaGNX8k</t>
  </si>
  <si>
    <t>Home/BRAHMACHARI TRAINING/GAURANGA SABHA/GS CAMPS/2016/GS STUDENT JUN/FIRST TIMERS</t>
  </si>
  <si>
    <t>Enthusiasam Part 1</t>
  </si>
  <si>
    <t>https://docs.google.com/uc?export=download&amp;id=1986QPqIGhChU_iNp-GmaqeMhumUOIhnm</t>
  </si>
  <si>
    <t>Enthusiasam Part 2</t>
  </si>
  <si>
    <t>https://docs.google.com/uc?export=download&amp;id=134DzTe7uADZTrhYVbjfqq8QAHPu_Qi7x</t>
  </si>
  <si>
    <t>Yo svakat paratoveha-Glory of dedication life</t>
  </si>
  <si>
    <t>https://docs.google.com/uc?export=download&amp;id=1chnAO-d7wx5WBL8Ypqe28O_wPR0fORG8</t>
  </si>
  <si>
    <t>Self control-key to real pleasure Part 1</t>
  </si>
  <si>
    <t>https://docs.google.com/uc?export=download&amp;id=1-0N7n7DupXhEB65xEvB9RzQSCNI4jyjR</t>
  </si>
  <si>
    <t>Courage Vs Fear Part 1</t>
  </si>
  <si>
    <t>https://docs.google.com/uc?export=download&amp;id=1zdUIiZENXwCPhG74L_-UwKgmiXurxJKz</t>
  </si>
  <si>
    <t>Courage Vs Fear Part 2</t>
  </si>
  <si>
    <t>https://docs.google.com/uc?export=download&amp;id=1Fe1zrofmYkHGCHI5vdjr_X71OWBU5CFJ</t>
  </si>
  <si>
    <t>Cutting the Knot</t>
  </si>
  <si>
    <t>https://docs.google.com/uc?export=download&amp;id=1cwSuK-dGatGQUHXcahJAqqRoYGfwCxrG</t>
  </si>
  <si>
    <t>what inspired me to join and what keeps me going Part 2</t>
  </si>
  <si>
    <t>https://docs.google.com/uc?export=download&amp;id=1R9Bi-MA_DXsam8e3Q1QAbpi016ss257E</t>
  </si>
  <si>
    <t>what inspired me to join and what keeps me going Part 1</t>
  </si>
  <si>
    <t>https://docs.google.com/uc?export=download&amp;id=1fs_vM3xr1-2sotigkEilEnoqT2yypFdu</t>
  </si>
  <si>
    <t>Reflections on Bharat maharaj Part-1</t>
  </si>
  <si>
    <t>https://docs.google.com/uc?export=download&amp;id=1pSbtJIAFDCCNYSJwpFuUEso12OK_a7t2</t>
  </si>
  <si>
    <t>Home/BRAHMACHARI TRAINING/GAURANGA SABHA/GS CAMPS/2016/GS KOLKATA OCT</t>
  </si>
  <si>
    <t>Reflections on Bharat maharaj Part-2</t>
  </si>
  <si>
    <t>https://docs.google.com/uc?export=download&amp;id=1VgTkIKLRD7pVVJRMdf9wUI9-8VtCrHKV</t>
  </si>
  <si>
    <t>Panel Discussion</t>
  </si>
  <si>
    <t>https://docs.google.com/uc?export=download&amp;id=1qfXMmmoZtBfDwnseHmNccNSXl1zyQstu</t>
  </si>
  <si>
    <t>https://docs.google.com/uc?export=download&amp;id=1iCbQaPE5KEAcC94Gh_sxPEi8Sszt_qYM</t>
  </si>
  <si>
    <t>Dealing with Temptations</t>
  </si>
  <si>
    <t>https://docs.google.com/uc?export=download&amp;id=1tnqIevKdjzrwBoo_eg7ljCvtVswWB3FY</t>
  </si>
  <si>
    <t>Dealing with Temptations Part-1</t>
  </si>
  <si>
    <t>https://docs.google.com/uc?export=download&amp;id=1solWp2ZsgIP5Dfw8GHJ_B6IW84SzZKr1</t>
  </si>
  <si>
    <t>https://docs.google.com/uc?export=download&amp;id=1kX3WXmwJ0V8-Rm-b0Ax8RzAXwryfJIje</t>
  </si>
  <si>
    <t>Dealing with Temptations and Q and A</t>
  </si>
  <si>
    <t>https://docs.google.com/uc?export=download&amp;id=19aWca13QeRfAIuluxcgwoQG34pxnoJfZ</t>
  </si>
  <si>
    <t>Dealing with Temptations Part 2</t>
  </si>
  <si>
    <t>https://docs.google.com/uc?export=download&amp;id=1ZOXSdAq-JCAdjd-cGtEBTQl7uXkdx_-d</t>
  </si>
  <si>
    <t>Catuh Sloki Bhagavat-Gita</t>
  </si>
  <si>
    <t>https://docs.google.com/uc?export=download&amp;id=1MuWfpf0TRnt9KL01tqTnDXceZGm6wEQQ</t>
  </si>
  <si>
    <t>Home/BRAHMACHARI TRAINING/GAURANGA SABHA/GS CAMPS/2016/GS JAN/WORKING</t>
  </si>
  <si>
    <t>Glories of Brahmacharya</t>
  </si>
  <si>
    <t>https://docs.google.com/uc?export=download&amp;id=1f-M2IDltJE7Ehpena6lpMI1n-t1w-vfm</t>
  </si>
  <si>
    <t>The Idile Mind-Devils Workshop</t>
  </si>
  <si>
    <t>https://docs.google.com/uc?export=download&amp;id=1sVFJp0P7Qr8BxbEB7aNXxHcY3YzhRfK0</t>
  </si>
  <si>
    <t>Workshop on severing material attachment from Bharat maharajas life</t>
  </si>
  <si>
    <t>https://docs.google.com/uc?export=download&amp;id=167JjFoZfe9XuzfFRbkgATA6dzZIUBO3O</t>
  </si>
  <si>
    <t>The Need of Renouncing Worldly Pleasures</t>
  </si>
  <si>
    <t>https://docs.google.com/uc?export=download&amp;id=1IsM1UzVu-69_kkCFiQOcG-a7fNMeAHbs</t>
  </si>
  <si>
    <t>Transforming lamentation into love in separation</t>
  </si>
  <si>
    <t>https://docs.google.com/uc?export=download&amp;id=1BS_wv58P1BM_ZxD7JWtZT42X8FVmomIZ</t>
  </si>
  <si>
    <t>Application Points I Leaarned from Acarya Srila prabhupadas life part 1</t>
  </si>
  <si>
    <t>https://docs.google.com/uc?export=download&amp;id=1OGZrswdBoxumvUwbVHQegaLOfCHyUKHO</t>
  </si>
  <si>
    <t>Application Points I Leaarned from Acarya Srila prabhupadas life part 2</t>
  </si>
  <si>
    <t>https://docs.google.com/uc?export=download&amp;id=1SqH-Bz5vZE09Hz9rC-MNgrJ5oLU0lcTP</t>
  </si>
  <si>
    <t>Determination to dedicate and continue in Brahmachari ashram</t>
  </si>
  <si>
    <t>https://docs.google.com/uc?export=download&amp;id=1D1BKhSWFTB0cNgGb1wcNwsDovr5jRwAp</t>
  </si>
  <si>
    <t>The twenty four Gurus of Avadhuta Brahmana</t>
  </si>
  <si>
    <t>https://docs.google.com/uc?export=download&amp;id=1I28jRA-edilCycT8n8wT217Lf_q0JFQU</t>
  </si>
  <si>
    <t>How king prataparudra achieved mercy of Lord Caitanya Part 1</t>
  </si>
  <si>
    <t>https://docs.google.com/uc?export=download&amp;id=1Lm69z-kBzOUslYQSbj3lYa8lfdkUCasl</t>
  </si>
  <si>
    <t>How king prataparudra achieved mercy of Lord Caitanya Part 2</t>
  </si>
  <si>
    <t>https://docs.google.com/uc?export=download&amp;id=1wgPwVteA1s97_da7uVjFtUHBoSYfjeS9</t>
  </si>
  <si>
    <t>Right attitudes that strengthen ones determination in brahmachari ashram</t>
  </si>
  <si>
    <t>https://docs.google.com/uc?export=download&amp;id=1DJuN-u-2_gR5tIKZpgbJi3Ohtx2mXQ5o</t>
  </si>
  <si>
    <t>On Rising Above Forgetfulness and Keeping Constant Rememberance in KC</t>
  </si>
  <si>
    <t>https://docs.google.com/uc?export=download&amp;id=1riph-CnYRrpYOBvCuEd5zI24IdaGeB6k</t>
  </si>
  <si>
    <t>Krishna laalasa higher taste</t>
  </si>
  <si>
    <t>https://docs.google.com/uc?export=download&amp;id=1xiqXEsFjj_BMfHxUeMfhNvZbnLpKsisk</t>
  </si>
  <si>
    <t>Home/BRAHMACHARI TRAINING/GAURANGA SABHA/GS CAMPS/2016/GS JAN/STUDENT</t>
  </si>
  <si>
    <t>Travelling outdoors</t>
  </si>
  <si>
    <t>https://docs.google.com/uc?export=download&amp;id=1q6iTPYMr_C4ePemT2hC8akDpn9kPKpAK</t>
  </si>
  <si>
    <t>Need of absorption and concentration in chanting</t>
  </si>
  <si>
    <t>https://docs.google.com/uc?export=download&amp;id=1PiU6pWhfovtGZZGt2x1AAvGvF8ekrSLf</t>
  </si>
  <si>
    <t>The men who moved mountains in Lords service Part-1</t>
  </si>
  <si>
    <t>https://docs.google.com/uc?export=download&amp;id=1YrMeCBCF4eR2lqe9If8Qb1ooKnjqqxpc</t>
  </si>
  <si>
    <t>Home/BRAHMACHARI TRAINING/GAURANGA SABHA/GS CAMPS/2015/GS OCT 2015</t>
  </si>
  <si>
    <t>The men who moved mountains in Lords service Part-2</t>
  </si>
  <si>
    <t>https://docs.google.com/uc?export=download&amp;id=1UglNkb60Xlf5mCNR8bay3VtTrlzvy49b</t>
  </si>
  <si>
    <t>Always beware of lust and How to pass mayas test Part-1</t>
  </si>
  <si>
    <t>https://docs.google.com/uc?export=download&amp;id=1Ilp2eq9Gk71fD5Byo4N_eyzK7eKAyWmo</t>
  </si>
  <si>
    <t>Always beware of lust and How to pass mayas test Part-2</t>
  </si>
  <si>
    <t>https://docs.google.com/uc?export=download&amp;id=1TvrqqykrosTGV6wrssURqkDTPq-Y7u56</t>
  </si>
  <si>
    <t>Cultivating qualities for celibate life stability</t>
  </si>
  <si>
    <t>https://docs.google.com/uc?export=download&amp;id=1TZmU2qsXp9LZpFYwY9aQF_wtt_e-Yg8D</t>
  </si>
  <si>
    <t>How do we grow from bookish knowledge to realised sastra chakshu</t>
  </si>
  <si>
    <t>https://docs.google.com/uc?export=download&amp;id=1vjmAadgycjJVX5a5P4xfpXVejfHqdwTA</t>
  </si>
  <si>
    <t>Where is my india</t>
  </si>
  <si>
    <t>https://docs.google.com/uc?export=download&amp;id=1RpmRWCPrnA-2HX8yIMXR4BAjMO4cF3pe</t>
  </si>
  <si>
    <t>RIGHT and WRONG ATTITUDES that strengthen DETERMINATION IN Brahmacari Ashram</t>
  </si>
  <si>
    <t>https://docs.google.com/uc?export=download&amp;id=1O7l3NtbOdpkr2CPvqmFYCMZIb1IiZtAX</t>
  </si>
  <si>
    <t>Home/BRAHMACHARI TRAINING/GAURANGA SABHA/GS CAMPS/2015/GS JUNE 2015</t>
  </si>
  <si>
    <t>Story of Saubari Muni</t>
  </si>
  <si>
    <t>https://docs.google.com/uc?export=download&amp;id=10ycUmHfSrboQyMgsGgwjVbl7_gonoR12</t>
  </si>
  <si>
    <t>Work Shop and Discussion Courage Vs Fear</t>
  </si>
  <si>
    <t>https://docs.google.com/uc?export=download&amp;id=1JVVXmyLyXouw38jqn3SC-HfdF4l9wFGp</t>
  </si>
  <si>
    <t>https://docs.google.com/uc?export=download&amp;id=1O25D-yxSZ6YIcBPuMEIcePMVG_r64_j2</t>
  </si>
  <si>
    <t>SB 5.2-3 Clue for complete absorption in KC</t>
  </si>
  <si>
    <t>https://docs.google.com/uc?export=download&amp;id=1GREZ9PbqQtVWLhNdXDKzBgnS1H31Ys6D</t>
  </si>
  <si>
    <t>Home/BRAHMACHARI TRAINING/GAURANGA SABHA/GS CAMPS/2015/GS JAN 2015</t>
  </si>
  <si>
    <t>Dealing with temptations-Part 1</t>
  </si>
  <si>
    <t>https://docs.google.com/uc?export=download&amp;id=1d_5bzPrK_77x3B-YI8l-ve8yrQsAB6-R</t>
  </si>
  <si>
    <t>Dealing with temptations-Part 2</t>
  </si>
  <si>
    <t>https://docs.google.com/uc?export=download&amp;id=1HSo3jr0I_P3clY_ANZR9XaodDIoFOGRo</t>
  </si>
  <si>
    <t>What is that one thing if we do SP movement will boom</t>
  </si>
  <si>
    <t>https://docs.google.com/uc?export=download&amp;id=1fURpAO_IGd1kJNAs1hNnJ0J0u6feW4f8</t>
  </si>
  <si>
    <t>Dealing with temptations-Part 3</t>
  </si>
  <si>
    <t>https://docs.google.com/uc?export=download&amp;id=1Rr-92JJCYAuDnpgdEyxRlkUg_qqvMRIq</t>
  </si>
  <si>
    <t>GS - NS PD-Passion with compassion</t>
  </si>
  <si>
    <t>https://docs.google.com/uc?export=download&amp;id=1PNtH_f3XgaG-9J8Hk8Xo42JdEVWHfYFs</t>
  </si>
  <si>
    <t>GS - NS PD-Change of heart is the real change</t>
  </si>
  <si>
    <t>https://docs.google.com/uc?export=download&amp;id=1dr0Q9msXSXDzaGZLLbnHzMKsBxU-tdC8</t>
  </si>
  <si>
    <t>Stu-Senior Glory of dedicating life to Krishna</t>
  </si>
  <si>
    <t>https://docs.google.com/uc?export=download&amp;id=1HAQLHkZcXyWB7PZZbUSOLsgWjmwz5v5F</t>
  </si>
  <si>
    <t>Home/BRAHMACHARI TRAINING/GAURANGA SABHA/GS CAMPS/2014/GS STUDENTS 2014 PUNE</t>
  </si>
  <si>
    <t>Stu-Senior Six steps for success-Inquire hear apply satisfy serve consult</t>
  </si>
  <si>
    <t>https://docs.google.com/uc?export=download&amp;id=1iHjGR3k06ZEEr05iuhs0JenMOk8vxzR9</t>
  </si>
  <si>
    <t>Stu-Senior Impure, semi pure, pure and ultra pure types of sense engagement</t>
  </si>
  <si>
    <t>https://docs.google.com/uc?export=download&amp;id=1KDay5BC9Oim0XqF0-Fg5L3H47E0_XIjR</t>
  </si>
  <si>
    <t>Stu-Senior Surpassing sex desire-Part 2</t>
  </si>
  <si>
    <t>https://docs.google.com/uc?export=download&amp;id=1VQvV03Dwv9pcxlwElVYJcM2moyOkVvY5</t>
  </si>
  <si>
    <t>Impure, semi pure, pure and ultra pure senses</t>
  </si>
  <si>
    <t>https://docs.google.com/uc?export=download&amp;id=1PEBHIYdvcrxNAO_PmYkkM-kBx1nUXZ_z</t>
  </si>
  <si>
    <t>Home/BRAHMACHARI TRAINING/GAURANGA SABHA/GS CAMPS/2014/GS WORKING PUNE 2014</t>
  </si>
  <si>
    <t>Slip and Falldown-Bharat maharaj workshop</t>
  </si>
  <si>
    <t>https://docs.google.com/uc?export=download&amp;id=18jYae_2oMP-IeAE3GVZgQqed6xcWwLwh</t>
  </si>
  <si>
    <t>https://docs.google.com/uc?export=download&amp;id=1Kcx4G3J8wcLPLHnD23gziZlzSeb9F7Dq</t>
  </si>
  <si>
    <t>Being alert in KC</t>
  </si>
  <si>
    <t>https://docs.google.com/uc?export=download&amp;id=1Moi6StrBqUAACzjw4w88YVhcK44UWuxj</t>
  </si>
  <si>
    <t>Home/BRAHMACHARI TRAINING/GAURANGA SABHA/GS CAMPS/2013/WORKING DEVOTEES GS</t>
  </si>
  <si>
    <t>Falldown and slip</t>
  </si>
  <si>
    <t>https://docs.google.com/uc?export=download&amp;id=1OKmoZ5YVR-ImUgvYYpCS3gPFnBPOVSb2</t>
  </si>
  <si>
    <t>Junior Womanly Attraction-Simply Mental (Dealing with Lust)</t>
  </si>
  <si>
    <t>https://docs.google.com/uc?export=download&amp;id=1w_NWf2mpe1U-Ph9Cm7gMiBkkpRqzQDWf</t>
  </si>
  <si>
    <t>Home/BRAHMACHARI TRAINING/GAURANGA SABHA/GS CAMPS/2013/STUDENTS GS</t>
  </si>
  <si>
    <t>Senior Developing Missionary Spirit</t>
  </si>
  <si>
    <t>https://docs.google.com/uc?export=download&amp;id=1LjsSknbZWx7z6EoMBTbbNJd1OoI7u2eH</t>
  </si>
  <si>
    <t>Senior Why do we have to give up everything for attaining Krishna</t>
  </si>
  <si>
    <t>https://docs.google.com/uc?export=download&amp;id=1ADzENOuT8ckuZ_KYyERQ-Je7mFj49EM0</t>
  </si>
  <si>
    <t>Courage and Fears in joining Ashrama</t>
  </si>
  <si>
    <t>https://docs.google.com/uc?export=download&amp;id=1g9dZuqQKLyjXy7_V_61z9-mIgBJz7cvR</t>
  </si>
  <si>
    <t>Self Control-key to happiness</t>
  </si>
  <si>
    <t>https://docs.google.com/uc?export=download&amp;id=1MVUr9w76nu3ParVZA1YIxlfGXPphuYwR</t>
  </si>
  <si>
    <t>https://docs.google.com/uc?export=download&amp;id=1eSfuGaqvtr-ZbzQ3iQOoWMi0up32GycY</t>
  </si>
  <si>
    <t>Home/BRAHMACHARI TRAINING/GAURANGA SABHA/GS CAMPS/2012</t>
  </si>
  <si>
    <t>https://docs.google.com/uc?export=download&amp;id=1bXtpIxwOYTyXTrjH1TXTdNYbzKa-x8am</t>
  </si>
  <si>
    <t>Vaco vegam</t>
  </si>
  <si>
    <t>https://docs.google.com/uc?export=download&amp;id=1OCc9DdQCzjv6CurTHk8fJXe5bNPWRJRl</t>
  </si>
  <si>
    <t>Learning Vaisnava Sadachar of a Sadhu from Lord Chaitanya Mahaprabhus teachings Part 1</t>
  </si>
  <si>
    <t>https://docs.google.com/uc?export=download&amp;id=1DOV4LpFv8DgEv1Gec-pX-a2yhBAkFBe4</t>
  </si>
  <si>
    <t>Surpassing Sex desire through higher taste Part 2</t>
  </si>
  <si>
    <t>https://docs.google.com/uc?export=download&amp;id=1v5b2GD6BGeYWa8cAQy5bVgfwhQqVT7kJ</t>
  </si>
  <si>
    <t>Honest avoidance of opposite sex and giving up craving for seeeing and showing glamor</t>
  </si>
  <si>
    <t>https://docs.google.com/uc?export=download&amp;id=1zW9wFXv2kkyFGcs1m86Tbl_vqwuXxw-q</t>
  </si>
  <si>
    <t>GS QnA Chota Haridas pastime</t>
  </si>
  <si>
    <t>https://docs.google.com/uc?export=download&amp;id=1aVA2oxRCQMH-0wk0ZM8GSUsSq7MvPieN</t>
  </si>
  <si>
    <t>Moving from student life to job life - preparing to face the legpullers</t>
  </si>
  <si>
    <t>https://docs.google.com/uc?export=download&amp;id=1mnTjtbdEATXxdKDIl8GGswQ1d8W7g3xt</t>
  </si>
  <si>
    <t>Learning Vaisnava Sadachar of a Sadhu from Lord Chaitanya Mahaprabhus teachings Part 2</t>
  </si>
  <si>
    <t>https://docs.google.com/uc?export=download&amp;id=1qcez0fJOPQVzvQMpNd40uetHT5RGOMir</t>
  </si>
  <si>
    <t>Courage and Fears in joining ashram</t>
  </si>
  <si>
    <t>https://docs.google.com/uc?export=download&amp;id=1zzacUi6Ho4WVAJQC3fZThmqI7a_PLEFN</t>
  </si>
  <si>
    <t>Position of Srila Prabhupada in ISKCON</t>
  </si>
  <si>
    <t>https://docs.google.com/uc?export=download&amp;id=1JePFLKxz1Up3M9rprYku344JK-qjzTAB</t>
  </si>
  <si>
    <t>Surpassing Sex desire through higher taste Part 1</t>
  </si>
  <si>
    <t>https://docs.google.com/uc?export=download&amp;id=1efomLz5w_hEBXxWUVJEvn_JImpb9uPUP</t>
  </si>
  <si>
    <t>GS Q and A Session 2</t>
  </si>
  <si>
    <t>https://docs.google.com/uc?export=download&amp;id=1piGUrXNJC_iLKSdE6g2adwWJ9N-hni_Q</t>
  </si>
  <si>
    <t>Home/BRAHMACHARI TRAINING/GAURANGA SABHA/GS CAMPS/2011</t>
  </si>
  <si>
    <t>GS camp - Japa talk</t>
  </si>
  <si>
    <t>https://docs.google.com/uc?export=download&amp;id=1Y-tKdk73LrRqBFUFiten3Y5eCcxuYc-I</t>
  </si>
  <si>
    <t>Kingdom of God</t>
  </si>
  <si>
    <t>https://docs.google.com/uc?export=download&amp;id=1QLP5RSfEkDosM7Dq7XPZxD4qJfGxkFxU</t>
  </si>
  <si>
    <t>behaviour of a ideal person</t>
  </si>
  <si>
    <t>https://docs.google.com/uc?export=download&amp;id=12HiAiNR4ygN8Lv535GagNcDvPaNFVCOg</t>
  </si>
  <si>
    <t>Brahmacari and Mind Part 1</t>
  </si>
  <si>
    <t>https://docs.google.com/uc?export=download&amp;id=10DTGOlZ1_Hw1CRY5kzsVN6B5JUUJJOt6</t>
  </si>
  <si>
    <t>Introduction to PAD committee</t>
  </si>
  <si>
    <t>https://docs.google.com/uc?export=download&amp;id=18dEp0LKGlC7P5uILTcnSFWnWTRX8dQ05</t>
  </si>
  <si>
    <t>Japa talk Attitude in chanting decides our altitude</t>
  </si>
  <si>
    <t>https://docs.google.com/uc?export=download&amp;id=1RyPZOHknRg8NQTEHEbQusdyBYwpQHpOr</t>
  </si>
  <si>
    <t>Bhajahure Mana</t>
  </si>
  <si>
    <t>https://docs.google.com/uc?export=download&amp;id=1NULf1x12Lj3Jw63iych6kxDlNRGbQdfQ</t>
  </si>
  <si>
    <t>Brahmacari and Mind Part 2</t>
  </si>
  <si>
    <t>https://docs.google.com/uc?export=download&amp;id=1b85bUpA9BLSe10IuYywddsTIBRXUvQVf</t>
  </si>
  <si>
    <t>Courages and Fears to Join BCA Part 2</t>
  </si>
  <si>
    <t>https://docs.google.com/uc?export=download&amp;id=1dx1r6YeJP76qZ1VMzf1Rtvd8SV5e7VFZ</t>
  </si>
  <si>
    <t>Courages and Fears to Join BCA Part 1</t>
  </si>
  <si>
    <t>https://docs.google.com/uc?export=download&amp;id=14zLCMq5hch_l8DLanpLjzN29qha6359y</t>
  </si>
  <si>
    <t>Shlokas for Relish and Personal Change</t>
  </si>
  <si>
    <t>https://docs.google.com/uc?export=download&amp;id=1xWjlfSohn0VLAydAFz68YLk62p5ZD90D</t>
  </si>
  <si>
    <t>Faith Commitment Cooperation</t>
  </si>
  <si>
    <t>https://docs.google.com/uc?export=download&amp;id=1DBDMPQSPAAUPz06MI8NPUfiF3KGhc_D8</t>
  </si>
  <si>
    <t>Prasadam Seminar</t>
  </si>
  <si>
    <t>https://docs.google.com/uc?export=download&amp;id=1Jy4obHs_GqXa9nAZjl9d9jOy4cswEYIc</t>
  </si>
  <si>
    <t>Why One Should Become a BC</t>
  </si>
  <si>
    <t>https://docs.google.com/uc?export=download&amp;id=1dtjwLUQ37d3yfL4NL30izVnnGIcd_Wxd</t>
  </si>
  <si>
    <t>G - Q and A Session</t>
  </si>
  <si>
    <t>https://docs.google.com/uc?export=download&amp;id=1nfJWMCoWYxgPLskVrJ07XFl2CeTm36Ky</t>
  </si>
  <si>
    <t>Home/BRAHMACHARI TRAINING/GAURANGA SABHA/GS CAMPS/2009</t>
  </si>
  <si>
    <t>Gauranga Sabha Class 1</t>
  </si>
  <si>
    <t>https://docs.google.com/uc?export=download&amp;id=1f7zCK6pspiyIAo_T_-bW8f-US8ypGid4</t>
  </si>
  <si>
    <t>Gauranga Sabha Class 2</t>
  </si>
  <si>
    <t>https://docs.google.com/uc?export=download&amp;id=1ZS_ugLqFTA7nR_n45M9uU691ZX8NNn97</t>
  </si>
  <si>
    <t>Krishna the source of mystery, majesty and love and 10 lessons from Lord Chaitanyas life</t>
  </si>
  <si>
    <t>https://docs.google.com/uc?export=download&amp;id=1MB5nxsX_Ihbm1GMBECiaBqemJkdRbTnS</t>
  </si>
  <si>
    <t>Benefits of brahmacari life</t>
  </si>
  <si>
    <t>https://docs.google.com/uc?export=download&amp;id=1azbbirCCTgDKXyIFRpRVvyCAu2RTh1sP</t>
  </si>
  <si>
    <t>Realization Session of BC</t>
  </si>
  <si>
    <t>https://docs.google.com/uc?export=download&amp;id=1F5uOg1l32e38J6SNZFYMm3hx1_hyVx-C</t>
  </si>
  <si>
    <t>Home/BRAHMACHARI TRAINING/GAURANGA SABHA/GS CAMPS/2008</t>
  </si>
  <si>
    <t>Orientation towards GSC</t>
  </si>
  <si>
    <t>https://docs.google.com/uc?export=download&amp;id=14SBjEjixC086hDUkNr9rX4-TCk4Bl4M6</t>
  </si>
  <si>
    <t>Lessons from Fall down of Saubhari Muni by</t>
  </si>
  <si>
    <t>https://docs.google.com/uc?export=download&amp;id=1jywYgD1OK888WgWlX6AZyTwdGWzLKR56</t>
  </si>
  <si>
    <t>Cutting the KNOT</t>
  </si>
  <si>
    <t>https://docs.google.com/uc?export=download&amp;id=16tK-KMupAQ-mRw9oBXaxLs6CQnm79csL</t>
  </si>
  <si>
    <t>Developing Qualities to join Brahmacari ashram</t>
  </si>
  <si>
    <t>https://docs.google.com/uc?export=download&amp;id=1s6Xxten1LVMzXKTH9DgE5eBtvou7Uqww</t>
  </si>
  <si>
    <t>Is Youthment for enjoyment</t>
  </si>
  <si>
    <t>https://docs.google.com/uc?export=download&amp;id=1Dj0Sl97QaQnjvacgIYz203dquWmdT8qU</t>
  </si>
  <si>
    <t>G - Q and A Session 1</t>
  </si>
  <si>
    <t>https://docs.google.com/uc?export=download&amp;id=1F8KFsGmmQtngwGgVLm9SoZZ09V3hJ1uD</t>
  </si>
  <si>
    <t>Lessons from King Agnidhra and Samudra manthan lila</t>
  </si>
  <si>
    <t>https://docs.google.com/uc?export=download&amp;id=1DHaL8ecgoEkH6H9Sq9cLQiK8NyYN2C7u</t>
  </si>
  <si>
    <t>G - Q and A Session 2</t>
  </si>
  <si>
    <t>https://docs.google.com/uc?export=download&amp;id=1TLUmneVIod6ASlLtiUUNjg9T2Aor0AOO</t>
  </si>
  <si>
    <t>Inspiring talk form ICFC DEVOTEES</t>
  </si>
  <si>
    <t>https://docs.google.com/uc?export=download&amp;id=1E1uR3gEi8g38THMP0P6hl5ks-acj5INC</t>
  </si>
  <si>
    <t>Ten nstructions to BC BY HH RNS(1)</t>
  </si>
  <si>
    <t>https://docs.google.com/uc?export=download&amp;id=1I2luj11RUrtlB3CkfOFchi4tr_cZpb2U</t>
  </si>
  <si>
    <t>Ten nstructions to BC BY HH RNS(2)</t>
  </si>
  <si>
    <t>https://docs.google.com/uc?export=download&amp;id=1p-FJ2QDF3cU1f3hn8LaOFq7VmUIeS7QG</t>
  </si>
  <si>
    <t>Building a KC Community</t>
  </si>
  <si>
    <t>https://docs.google.com/uc?export=download&amp;id=1ByVc0EZ04Nbbjt2Ckmw29ilnsSAdBHnS</t>
  </si>
  <si>
    <t>Importance of retention of semen</t>
  </si>
  <si>
    <t>https://docs.google.com/uc?export=download&amp;id=1wH-M6IUgGVUkZywq647GHMhnvziBCetY</t>
  </si>
  <si>
    <t>Home/BRAHMACHARI TRAINING/GAURANGA SABHA/GS CAMPS/2007</t>
  </si>
  <si>
    <t>Viswamitra Drama realization</t>
  </si>
  <si>
    <t>https://docs.google.com/uc?export=download&amp;id=1dxQgXRjGw5_52uwGDmCGoAzihm0bOVLY</t>
  </si>
  <si>
    <t>Clarifying hesitation to jain Ashram</t>
  </si>
  <si>
    <t>https://docs.google.com/uc?export=download&amp;id=1H1WYeEqL6S99KxIXY1HAtKHlxZaejn8I</t>
  </si>
  <si>
    <t>Career Guidance passing out</t>
  </si>
  <si>
    <t>https://docs.google.com/uc?export=download&amp;id=1NvgJF-0liWp96idx4B8Xz3V6hZhn5Dtc</t>
  </si>
  <si>
    <t>Are Brahmacharis parasites to society</t>
  </si>
  <si>
    <t>https://docs.google.com/uc?export=download&amp;id=1rD1Pn1ouOiklfcVsyoNGaKG6rV_g9c5k</t>
  </si>
  <si>
    <t>Attitude in devotional service</t>
  </si>
  <si>
    <t>https://docs.google.com/uc?export=download&amp;id=1SS2csh_--WSf6FJ4qB1yKPmCF3-HXDga</t>
  </si>
  <si>
    <t>Japa talk - deadly material world - resque HolyName</t>
  </si>
  <si>
    <t>https://docs.google.com/uc?export=download&amp;id=17rkaQDqmuSbBuEFQ42T6vQ0KlGd4LTBa</t>
  </si>
  <si>
    <t>Japa talk - Developing complete faith on HolyName</t>
  </si>
  <si>
    <t>https://docs.google.com/uc?export=download&amp;id=1wkaBCYnCidV3GgYbeefs5vi0WKotVsdS</t>
  </si>
  <si>
    <t>Three enimies to progress - Pride Lust Anger_1</t>
  </si>
  <si>
    <t>https://docs.google.com/uc?export=download&amp;id=1Bp-Q8u4EBK4rmJmaWCKU5JdumZgbi1uQ</t>
  </si>
  <si>
    <t>Preaching adventures in Aftrica</t>
  </si>
  <si>
    <t>https://docs.google.com/uc?export=download&amp;id=1n27sjx7zXt00sSTapCAf9lxvrU5sc8cU</t>
  </si>
  <si>
    <t>Six urges to be controlled by a Goswami</t>
  </si>
  <si>
    <t>https://docs.google.com/uc?export=download&amp;id=1JO8poPMy8gHDpDuqkjiuqGvJ9Gtmu8FX</t>
  </si>
  <si>
    <t>Three enimies to progress - Pride Lust Anger_0</t>
  </si>
  <si>
    <t>https://docs.google.com/uc?export=download&amp;id=1FzyYFJreka27-BAYPREnxNRhx5fgVKzw</t>
  </si>
  <si>
    <t>What inspired me to join-Rupa vrinda camp</t>
  </si>
  <si>
    <t>https://docs.google.com/uc?export=download&amp;id=11o2117wgkXFTXfyLQhInUfHx8qi3_cQK</t>
  </si>
  <si>
    <t>Reliving the burden of mat engagement - Japa talk</t>
  </si>
  <si>
    <t>https://docs.google.com/uc?export=download&amp;id=16jb_3DNnVthqFb4vvwBsZUa_Pgg-681G</t>
  </si>
  <si>
    <t>Home/BRAHMACHARI TRAINING/GAURANGA SABHA/GS CAMPS/2006</t>
  </si>
  <si>
    <t>GSC - Class</t>
  </si>
  <si>
    <t>https://docs.google.com/uc?export=download&amp;id=1o4nP-VchT1ufE3pWgK6D-_F3HyuLMFyw</t>
  </si>
  <si>
    <t>Bhajan - Gauranga Pr</t>
  </si>
  <si>
    <t>https://docs.google.com/uc?export=download&amp;id=1Z9TLIAIEnAOySla7uhmqx3wVi_qUeagm</t>
  </si>
  <si>
    <t>Bhulia Tomare - Gauranga PR</t>
  </si>
  <si>
    <t>https://docs.google.com/uc?export=download&amp;id=1Q8V0YavPoB65-L0MmkU9mtzmY4r-61gm</t>
  </si>
  <si>
    <t>Brahmachari ashram - not a matter of choice-4</t>
  </si>
  <si>
    <t>https://docs.google.com/uc?export=download&amp;id=17XZ55nAKfsE_ixL07o02VGP0AeSvmpr2</t>
  </si>
  <si>
    <t>GD Presentations</t>
  </si>
  <si>
    <t>https://docs.google.com/uc?export=download&amp;id=1DDC9o3o0ls5i7hkfboSMhgMOIigFGv1m</t>
  </si>
  <si>
    <t>GSC Q and A</t>
  </si>
  <si>
    <t>https://docs.google.com/uc?export=download&amp;id=1uy6LLthSVxjaKtTqzMEQrJYVb1dhFNDP</t>
  </si>
  <si>
    <t>Turning Material emotions into spiritual emotions</t>
  </si>
  <si>
    <t>https://docs.google.com/uc?export=download&amp;id=1R5U58wMHaGU4CjHayLQthbhu6btpcEKK</t>
  </si>
  <si>
    <t>Brahmachari ashram - not a matter of choice</t>
  </si>
  <si>
    <t>https://docs.google.com/uc?export=download&amp;id=1YrZbC5BeaiSXxhQcW1AYWPtBxA8QB0gZ</t>
  </si>
  <si>
    <t>Brahmachari ashram - not a matter of choice-1</t>
  </si>
  <si>
    <t>https://docs.google.com/uc?export=download&amp;id=1sSjpvYCq8SvTyMaUprq3F5g-R4IFP6f6</t>
  </si>
  <si>
    <t>Brahmachari ashram - not a matter of choice-2</t>
  </si>
  <si>
    <t>https://docs.google.com/uc?export=download&amp;id=1z_eQlYUJvZ3FmYkv97dEKutu7S3crFde</t>
  </si>
  <si>
    <t>Brahmachari ashram - not a matter of choice-3</t>
  </si>
  <si>
    <t>https://docs.google.com/uc?export=download&amp;id=1PiaA9LaIGDMDc0HQxHvJRLqVhd9yYguJ</t>
  </si>
  <si>
    <t>HK Kirtans - Gauranga PR</t>
  </si>
  <si>
    <t>https://docs.google.com/uc?export=download&amp;id=1XiRjmlm1EMVrUTuVZPWwSiUW2EHEOTww</t>
  </si>
  <si>
    <t>Inspirations and hesitations to join ashram</t>
  </si>
  <si>
    <t>https://docs.google.com/uc?export=download&amp;id=13tJhhtpKF1BssY9nC7VqZMj04m7UCK2b</t>
  </si>
  <si>
    <t>Limited Pleasure and Unlimited Pain</t>
  </si>
  <si>
    <t>https://docs.google.com/uc?export=download&amp;id=1ViHqqQ6e0eZsJaMArVMg6hlYWxJQyWUI</t>
  </si>
  <si>
    <t>Home/BRAHMACHARI TRAINING/GAURANGA SABHA/GS CAMPS/2005/VOL 3 COUNCELLORS REALIZATION AND KIRTANS AND V SONGS</t>
  </si>
  <si>
    <t>BBG swami tune</t>
  </si>
  <si>
    <t>https://docs.google.com/uc?export=download&amp;id=13wmH5ncMZIbS8R1aWDs2DGiqeHuEIKG2</t>
  </si>
  <si>
    <t>Mangal Aarti</t>
  </si>
  <si>
    <t>https://docs.google.com/uc?export=download&amp;id=1Nf9wJppUN6Wm3TKIwgYgYAnTRS0BxwK8</t>
  </si>
  <si>
    <t>Sarvaswa tomar charane</t>
  </si>
  <si>
    <t>https://docs.google.com/uc?export=download&amp;id=1IKGB-iazl5EevY3RpgoBvmRfV9R4lkLl</t>
  </si>
  <si>
    <t>Glorification of GSP</t>
  </si>
  <si>
    <t>https://docs.google.com/uc?export=download&amp;id=1QNjb_DV9I3FpZ6y2hBeATimTT_lgOXxL</t>
  </si>
  <si>
    <t>Material pleasure and pain are twins</t>
  </si>
  <si>
    <t>https://docs.google.com/uc?export=download&amp;id=1asAgcYvs2Tnjk-sIB9NrNSXsQUECpUht</t>
  </si>
  <si>
    <t>Ekhona bhujinu prabhu</t>
  </si>
  <si>
    <t>https://docs.google.com/uc?export=download&amp;id=1u12PoLucaB2yRTHtq81GgE_iFWBVI6sj</t>
  </si>
  <si>
    <t>Gopinath song</t>
  </si>
  <si>
    <t>https://docs.google.com/uc?export=download&amp;id=1x3_5pJMtAQfJ-IiMTP7xI16RfKxKneV3</t>
  </si>
  <si>
    <t>Councellors share the realization Part 1</t>
  </si>
  <si>
    <t>https://docs.google.com/uc?export=download&amp;id=1eId7TbuNCdvALnGlUrEYMnCPKxwzkFm-</t>
  </si>
  <si>
    <t>Councellors share the realization Part 2</t>
  </si>
  <si>
    <t>https://docs.google.com/uc?export=download&amp;id=10Dto64-S-3sCaVyC7cTgAz6c8ibUaxo1</t>
  </si>
  <si>
    <t>Non envious and respectful behaviour</t>
  </si>
  <si>
    <t>https://docs.google.com/uc?export=download&amp;id=14FaBw3HvNM18RSUu6j2CbnFG7ayv27Uq</t>
  </si>
  <si>
    <t>Spiritual vision to see vaishnavas</t>
  </si>
  <si>
    <t>https://docs.google.com/uc?export=download&amp;id=1BSUZZQrpwVe2vtR7NMmde5nt2_kYbDBC</t>
  </si>
  <si>
    <t>GS - Introduction</t>
  </si>
  <si>
    <t>https://docs.google.com/uc?export=download&amp;id=1bbnD0nSZ_ocFBi5oRw9xeRwVViSfGnYo</t>
  </si>
  <si>
    <t>Invocation Chanting speech</t>
  </si>
  <si>
    <t>https://docs.google.com/uc?export=download&amp;id=10VlwmXZJOAW062RLzQqRCCZtyYtYwrha</t>
  </si>
  <si>
    <t>Dependence on Guru and Krishna</t>
  </si>
  <si>
    <t>https://docs.google.com/uc?export=download&amp;id=1UNZUBvI54SOOhrE-ImLxX3YJ5lHv80Ji</t>
  </si>
  <si>
    <t>Serious scriptural study with application</t>
  </si>
  <si>
    <t>https://docs.google.com/uc?export=download&amp;id=1mnkpYOYr_V9ozUeKfazZCQTKcBQGVLbF</t>
  </si>
  <si>
    <t>Intro Quest for real happiness</t>
  </si>
  <si>
    <t>https://docs.google.com/uc?export=download&amp;id=1wB9-QWXHagH922wH8dpbDSBzDx9T6g5A</t>
  </si>
  <si>
    <t>Constant engagement in Krishnas service</t>
  </si>
  <si>
    <t>https://docs.google.com/uc?export=download&amp;id=1t81JqBJyufIod85V-KyubApCj5BwIP2a</t>
  </si>
  <si>
    <t>Chanting-role in B Life Part 2</t>
  </si>
  <si>
    <t>https://docs.google.com/uc?export=download&amp;id=1QKlxUlOkpTjKczrDZS857yf1x5cv74rW</t>
  </si>
  <si>
    <t>Home/BRAHMACHARI TRAINING/GAURANGA SABHA/GS CAMPS/2005/VOL 2 IMP CLASSES GS CLASSES BY GP AND KNP</t>
  </si>
  <si>
    <t>Chanting-role in B Life Part 1</t>
  </si>
  <si>
    <t>https://docs.google.com/uc?export=download&amp;id=1OqJiPYE2IKyjrfPU4uYiRFbFPKyukK3G</t>
  </si>
  <si>
    <t>No obstacle can stop joining Brahmacari Asharam</t>
  </si>
  <si>
    <t>https://docs.google.com/uc?export=download&amp;id=1Q7bqndvDsIYbphvZKg5FAf4vlbp1UfRo</t>
  </si>
  <si>
    <t>Teachings of pralad maharaj Part 2</t>
  </si>
  <si>
    <t>https://docs.google.com/uc?export=download&amp;id=1E-8xwzqK3N7zgbh1D6k6stIVWgT1mlJn</t>
  </si>
  <si>
    <t>Q and A of Gauranga saba boys Part 1</t>
  </si>
  <si>
    <t>https://docs.google.com/uc?export=download&amp;id=1OVuDLPT-O6u5jeOgxSLNn6Wxp92ghYHp</t>
  </si>
  <si>
    <t>Q and A of Gauranga saba boys Part 2</t>
  </si>
  <si>
    <t>https://docs.google.com/uc?export=download&amp;id=18dMHfTFupQc7whjpnDJuxrozh-CvpkCF</t>
  </si>
  <si>
    <t>Teachings of Prahlad and Q and A</t>
  </si>
  <si>
    <t>https://docs.google.com/uc?export=download&amp;id=1Srp_d5ixOe7x-9eyCEGWKGnbLfzuhk5r</t>
  </si>
  <si>
    <t>Q and A with gauranga sabha boys</t>
  </si>
  <si>
    <t>https://docs.google.com/uc?export=download&amp;id=1WA59MeVUCUpbbMG47bf20KXyYBvpB1ZR</t>
  </si>
  <si>
    <t>How to pary to Holyname</t>
  </si>
  <si>
    <t>https://docs.google.com/uc?export=download&amp;id=1S6zYDIVT8Wyq98Qlm1QrYlXyHABmEO_Z</t>
  </si>
  <si>
    <t>Teachings of pralad maharaj Part 1</t>
  </si>
  <si>
    <t>https://docs.google.com/uc?export=download&amp;id=1Poow1UIrf6IYQpC9HGu-uZceeQFDLzGM</t>
  </si>
  <si>
    <t>Inspiration and hesitations in joining Ashram Part 2</t>
  </si>
  <si>
    <t>https://docs.google.com/uc?export=download&amp;id=10LA2DrXwb62mvzWvLv2XsWReWIVcZCOs</t>
  </si>
  <si>
    <t>Home/BRAHMACHARI TRAINING/GAURANGA SABHA/GS CAMPS/2005/VOL 1 IMP CLASSES GS CLASSES BY RSP AND POONA BMCR</t>
  </si>
  <si>
    <t>Cutting the knot</t>
  </si>
  <si>
    <t>https://docs.google.com/uc?export=download&amp;id=1-rxdFD5RhVDElN5VqVCJuA2041i263bD</t>
  </si>
  <si>
    <t>Higher taste replaces taste for dead matter</t>
  </si>
  <si>
    <t>https://docs.google.com/uc?export=download&amp;id=1Yj6hRIQr1HlCKDMa3w3Y4VVAFh43ShEh</t>
  </si>
  <si>
    <t>Self control-key to real happiness</t>
  </si>
  <si>
    <t>https://docs.google.com/uc?export=download&amp;id=1hQkWZVOpsO9npz-Ui5o3oZdZPQJG4aTP</t>
  </si>
  <si>
    <t>Inspiration and hesitations in joining Ashram Part 1</t>
  </si>
  <si>
    <t>https://docs.google.com/uc?export=download&amp;id=1tXP_m8jEa3GVqlNSOGWcw_Xc8wd2NoJP</t>
  </si>
  <si>
    <t>Chanting role of B life in wiping out samakaras</t>
  </si>
  <si>
    <t>https://docs.google.com/uc?export=download&amp;id=1Zrlvv--Rq-2txEcYnrygzpaQ61cvU7IJ</t>
  </si>
  <si>
    <t>Proper attitude towards grihastas</t>
  </si>
  <si>
    <t>https://docs.google.com/uc?export=download&amp;id=1I0-Cy9KAIZIRyoMlwfu8LYNA23-pfDK1</t>
  </si>
  <si>
    <t>Sex - Is it okay</t>
  </si>
  <si>
    <t>https://docs.google.com/uc?export=download&amp;id=1kO9_wcyx_TaC1ydLzKhhdj2kJ_IS2eOH</t>
  </si>
  <si>
    <t>Home/BRAHMACHARI TRAINING/GAURANGA SABHA/GS CAMPS/2004</t>
  </si>
  <si>
    <t>Bhulia Tomare Song and Meaning</t>
  </si>
  <si>
    <t>https://docs.google.com/uc?export=download&amp;id=1cXm0iYW2eVFqXOJud9LguUO6KheV7yMt</t>
  </si>
  <si>
    <t>Self control - Key to Happiness</t>
  </si>
  <si>
    <t>https://docs.google.com/uc?export=download&amp;id=16y_ySrKyDk1Z2YD_kMNTXqT4LHPjdDr2</t>
  </si>
  <si>
    <t>GD Inspirations and Hesitations Part 1</t>
  </si>
  <si>
    <t>https://docs.google.com/uc?export=download&amp;id=1P-Wl9cdEiLh2DoxCDmW-g1cy_OGED-tl</t>
  </si>
  <si>
    <t>GD Inspirations and Hesitations Part 2</t>
  </si>
  <si>
    <t>https://docs.google.com/uc?export=download&amp;id=1h1xDdHLH5p41GvWE3CDmNgVeZJZSfs3k</t>
  </si>
  <si>
    <t>Bramhacaris speak out What inspired me</t>
  </si>
  <si>
    <t>https://docs.google.com/uc?export=download&amp;id=1Ya-IYjHt7EZMe3Wg-PC8wIUsG7MKtTXw</t>
  </si>
  <si>
    <t>Flikering Pleasure or Everlasting Bliss</t>
  </si>
  <si>
    <t>https://docs.google.com/uc?export=download&amp;id=12QeUfHaTVMOxy25BHLgZgqtJK8dPKBTK</t>
  </si>
  <si>
    <t>Characteristiacs Of Material Pleasure-I</t>
  </si>
  <si>
    <t>https://docs.google.com/uc?export=download&amp;id=120GNalUJfjzlD9XO9_rPKE4miyR4Nhuj</t>
  </si>
  <si>
    <t>Characteristics Of Material Pleasure-II</t>
  </si>
  <si>
    <t>https://docs.google.com/uc?export=download&amp;id=1_SUIxA33lB-b2xZUcno1Ci2qhoulEVux</t>
  </si>
  <si>
    <t>Cutting the knot Part 1</t>
  </si>
  <si>
    <t>https://docs.google.com/uc?export=download&amp;id=1vDGHF6ThtBGiTIbI6pBvw1CAYt8uYxDE</t>
  </si>
  <si>
    <t>Cutting the knot Part 2</t>
  </si>
  <si>
    <t>https://docs.google.com/uc?export=download&amp;id=1zVssgQzTwajhg5y_EH3foB9TnQss1SSk</t>
  </si>
  <si>
    <t>Srila Prabhupada Lecture - 23</t>
  </si>
  <si>
    <t>https://docs.google.com/uc?export=download&amp;id=1mM3L3dqgWTT4rk8UCkqkLK0vL01unPUg</t>
  </si>
  <si>
    <t>Home/BRAHMACHARI TRAINING/GAURANGA SABHA/SPECIAL GS CLASSES/SRILA PRABHUPADA</t>
  </si>
  <si>
    <t>Srila Prabhupada Lecture - 18</t>
  </si>
  <si>
    <t>https://docs.google.com/uc?export=download&amp;id=12ws7eE_O-ZipNOEr30rZJx1vbUlevUVm</t>
  </si>
  <si>
    <t>Srila Prabhupada Lecture - 2</t>
  </si>
  <si>
    <t>https://docs.google.com/uc?export=download&amp;id=1wkh6cgr5iTsBEZUEuOtUipgwQVA7Mf51</t>
  </si>
  <si>
    <t>Developing Submission to guru - Gauranga for Conquering lower modes</t>
  </si>
  <si>
    <t>https://docs.google.com/uc?export=download&amp;id=1Klox94wgMtNrHVCZjnLSiZ1r7O_UpztC</t>
  </si>
  <si>
    <t>Srila Prabhupada Lecture - 19</t>
  </si>
  <si>
    <t>https://docs.google.com/uc?export=download&amp;id=19rWbnP0yfXGYaaHKiXeSfIK6qFnW1LTe</t>
  </si>
  <si>
    <t>Srila Prabhupada Lecture - 20</t>
  </si>
  <si>
    <t>https://docs.google.com/uc?export=download&amp;id=1gSyyuCnfn163uhNVjUSxiweEnyTRbS5a</t>
  </si>
  <si>
    <t>Srila Prabhupada Lecture - 21</t>
  </si>
  <si>
    <t>https://docs.google.com/uc?export=download&amp;id=1ssuSS3DeP5yE9EuFX56FgP8_JiDquFIU</t>
  </si>
  <si>
    <t>Srila Prabhupada Lecture - 22</t>
  </si>
  <si>
    <t>https://docs.google.com/uc?export=download&amp;id=10rPANWtDAizTO24Vxt3s7dHsmNIBFNGE</t>
  </si>
  <si>
    <t>Srila Prabhupada Lecture - 15</t>
  </si>
  <si>
    <t>https://docs.google.com/uc?export=download&amp;id=1QqPUiLxAEd4zmAxu9WsAk4ArwKkOBd1U</t>
  </si>
  <si>
    <t>Srila Prabhupada Lecture - 16_1</t>
  </si>
  <si>
    <t>https://docs.google.com/uc?export=download&amp;id=1mtNaczhM2mRtJo_DemTCDJLg_LGCAxLo</t>
  </si>
  <si>
    <t>Srila Prabhupada Lecture - 17</t>
  </si>
  <si>
    <t>https://docs.google.com/uc?export=download&amp;id=1Vw1yW0m6_GZi_Lw0y7p4wGMd4pYsgjXe</t>
  </si>
  <si>
    <t>Srila Prabhupada Lecture - 11</t>
  </si>
  <si>
    <t>https://docs.google.com/uc?export=download&amp;id=1OUXAM3wNBhWj3GcDl7PFOaobIUXors61</t>
  </si>
  <si>
    <t>Srila Prabhupada Lecture - 12</t>
  </si>
  <si>
    <t>https://docs.google.com/uc?export=download&amp;id=1nTfvawI_BNF_EYjdF3YTRB5d_VPoI0nR</t>
  </si>
  <si>
    <t>Srila Prabhupada Lecture - 13</t>
  </si>
  <si>
    <t>https://docs.google.com/uc?export=download&amp;id=1DdnSJW8sHTds37DHOsF9t4h2RTDfx8w5</t>
  </si>
  <si>
    <t>Srila Prabhupada Lecture - 14</t>
  </si>
  <si>
    <t>https://docs.google.com/uc?export=download&amp;id=1EbKIWNirGfkPMRNt_vP-3hcgwihZ6oXz</t>
  </si>
  <si>
    <t>Srila Prabhupada Lecture - 7</t>
  </si>
  <si>
    <t>https://docs.google.com/uc?export=download&amp;id=1gBsaojWA2om83oZZb4VBUjg7bZeYMNIx</t>
  </si>
  <si>
    <t>Srila Prabhupada Lecture - 8</t>
  </si>
  <si>
    <t>https://docs.google.com/uc?export=download&amp;id=1gT3uSB84_P4A4sTEuveES78wUqu9bhUg</t>
  </si>
  <si>
    <t>Srila Prabhupada Lecture - 9</t>
  </si>
  <si>
    <t>https://docs.google.com/uc?export=download&amp;id=1KTiMT3b6DItpWwP7yTVYfPsBwxe0x8kA</t>
  </si>
  <si>
    <t>Srila Prabhupada Lecture - 10</t>
  </si>
  <si>
    <t>https://docs.google.com/uc?export=download&amp;id=19KWQGksPmfy0qWzh8stuPLzOf0sI4MWi</t>
  </si>
  <si>
    <t>Srila Prabhupada Lecture - 4_1</t>
  </si>
  <si>
    <t>https://docs.google.com/uc?export=download&amp;id=1knSJqhXAzXivy0PgVIYGcLPwElMqcNaD</t>
  </si>
  <si>
    <t>Srila Prabhupada Lecture - 5</t>
  </si>
  <si>
    <t>https://docs.google.com/uc?export=download&amp;id=1tnkhAEVSFMHi2RIO7oz1Kbt8d17ZLP2X</t>
  </si>
  <si>
    <t>Srila Prabhupada Lecture - 6</t>
  </si>
  <si>
    <t>https://docs.google.com/uc?export=download&amp;id=1f0bGi34gZWdcuDiM7LBjPQnWme56GDOg</t>
  </si>
  <si>
    <t>Srila Prabhupada Lecture - 1</t>
  </si>
  <si>
    <t>https://docs.google.com/uc?export=download&amp;id=1WWEJv56TfR3R9QLCSyEIZ4VsL-e1G44F</t>
  </si>
  <si>
    <t>Srila Prabhupada Lecture - 3</t>
  </si>
  <si>
    <t>https://docs.google.com/uc?export=download&amp;id=18jZprli617bFOmbRcfmn9Hz9F_5PWb2U</t>
  </si>
  <si>
    <t>Meet Fate - Free Will</t>
  </si>
  <si>
    <t>https://docs.google.com/uc?export=download&amp;id=1-a7kEWlCzTTe1CQCvVdd8bN6vOfrDxIo</t>
  </si>
  <si>
    <t>Home/BRAHMACHARI TRAINING/GAURANGA SABHA/SPECIAL GS CLASSES/LEVEL I</t>
  </si>
  <si>
    <t>https://docs.google.com/uc?export=download&amp;id=14HCrh_TYP4IFkViVaAXQ4fRKXz0CPih3</t>
  </si>
  <si>
    <t>Taking reverse gear from early stages of falldown_Part 2</t>
  </si>
  <si>
    <t>https://docs.google.com/uc?export=download&amp;id=1CCT1Z-lKSuAWGLDA_1noqieWZRoLMA9p</t>
  </si>
  <si>
    <t>SB 7.12 - Duties of Brahmacari</t>
  </si>
  <si>
    <t>https://docs.google.com/uc?export=download&amp;id=1Yak4OYe8Il_4DAkVZy8-yJQlSPUM6ep8</t>
  </si>
  <si>
    <t>https://docs.google.com/uc?export=download&amp;id=1bICXF29b8AlU35La4NzaNi2x4EEZEmNR</t>
  </si>
  <si>
    <t>Learning from the success story of Narada</t>
  </si>
  <si>
    <t>https://docs.google.com/uc?export=download&amp;id=18-e8je0ivqZolqoe4hNuIV_trZwFJTVJ</t>
  </si>
  <si>
    <t>Taking reverse gear from early stages of falldown - Part-3</t>
  </si>
  <si>
    <t>https://docs.google.com/uc?export=download&amp;id=1SnTtXVu__31urcK98Otz4-X9ZpOY40EX</t>
  </si>
  <si>
    <t>Learning to respect Grihastha ashram</t>
  </si>
  <si>
    <t>https://docs.google.com/uc?export=download&amp;id=1ZtMMaulwdcUCXpwyeQQ_9K4KrxIfiq_8</t>
  </si>
  <si>
    <t>https://docs.google.com/uc?export=download&amp;id=1mHEUssF7d3JgKgyL1LZwXNxNENKT1-1L</t>
  </si>
  <si>
    <t>Home/BRAHMACHARI TRAINING/GAURANGA SABHA/SPECIAL GS CLASSES/LEVEL II</t>
  </si>
  <si>
    <t>Exemplary repentence of Ajamila</t>
  </si>
  <si>
    <t>https://docs.google.com/uc?export=download&amp;id=1Ae0RMkuIdVm7xXCn_aOUt1TzP-OARC8b</t>
  </si>
  <si>
    <t>Learning Vaishnava Sadachar from the teachings of Caitanya Mahaprabhu</t>
  </si>
  <si>
    <t>https://docs.google.com/uc?export=download&amp;id=1fpBAfPCeIyNf79A2MkvGc1Gq1Oe9tFvH</t>
  </si>
  <si>
    <t>How to maintain enthusiasm always</t>
  </si>
  <si>
    <t>https://docs.google.com/uc?export=download&amp;id=10fzLWr58mrSUYMLH3KHVjm9E3YUIAAtE</t>
  </si>
  <si>
    <t>Role of determination in life of a bramachari</t>
  </si>
  <si>
    <t>https://docs.google.com/uc?export=download&amp;id=1Z1pnUrhB3WDvwzihD_SLgkS7a4bM3hTj</t>
  </si>
  <si>
    <t>https://docs.google.com/uc?export=download&amp;id=1WezAIs6LMAWJVGzUhGCVx8brnSpIfeTR</t>
  </si>
  <si>
    <t>Baladev_Renunciation _ surrender of Raghunath Das Goswami</t>
  </si>
  <si>
    <t>https://docs.google.com/uc?export=download&amp;id=1pJPJBY_CDZOoQjfM_a3iZmp135nQM4LO</t>
  </si>
  <si>
    <t>https://docs.google.com/uc?export=download&amp;id=18MSEYrZo0U9i2_bfN20u8KfsL5iwlrEW</t>
  </si>
  <si>
    <t>Baladev_Prohibited _ Prescribed eye brows for a brahmacari to S(H)aved</t>
  </si>
  <si>
    <t>https://docs.google.com/uc?export=download&amp;id=1fyZ37qiaX1xBYCbhl6Q-PQgXzQpmUCQ6</t>
  </si>
  <si>
    <t>Four Qualifications to attract,capture,control krsna in his heart</t>
  </si>
  <si>
    <t>https://docs.google.com/uc?export=download&amp;id=1SBYNDlUsgEeMF5rHGp9vAvTpNH4gX-L1</t>
  </si>
  <si>
    <t>Coming out of Dreamy world _ Hazy vision</t>
  </si>
  <si>
    <t>https://docs.google.com/uc?export=download&amp;id=1LzYApHVVVPji7ph4HN-4chEuJdpppv_M</t>
  </si>
  <si>
    <t>https://docs.google.com/uc?export=download&amp;id=1ytqeCYK4wLXsLZr12LfF3SIRBwQJM92R</t>
  </si>
  <si>
    <t>https://docs.google.com/uc?export=download&amp;id=1jF8ccwGhrIkwnlwFGuUqK7inO-eu06mg</t>
  </si>
  <si>
    <t>https://docs.google.com/uc?export=download&amp;id=1NeEtYGB8aXETQD-YVyqFauPOegtMlaqK</t>
  </si>
  <si>
    <t>Raghunatha Dasa Goswami_s attentiveness and determination</t>
  </si>
  <si>
    <t>https://docs.google.com/uc?export=download&amp;id=1UJmdJ2cRKDhBj0iH6IypbvznCID6Gf3v</t>
  </si>
  <si>
    <t>Valuable practical tips for raging mind (Brahmacari _ Mind PPT show)</t>
  </si>
  <si>
    <t>https://docs.google.com/uc?export=download&amp;id=1BQy3xXBxe1Uk9wUtp0BBB1XEH_5AqQrj</t>
  </si>
  <si>
    <t>https://docs.google.com/uc?export=download&amp;id=1fflPUmikr8EH_97sxQNUv8PUNFscD83n</t>
  </si>
  <si>
    <t>Impure, semi pure, pure ultra pure types of sense engagement</t>
  </si>
  <si>
    <t>https://docs.google.com/uc?export=download&amp;id=1eQ2XrqYHRrgPOhGs9fUfXnrSO4Aj2KLC</t>
  </si>
  <si>
    <t>Internalizing KC</t>
  </si>
  <si>
    <t>https://docs.google.com/uc?export=download&amp;id=1TAsABpFlOy9iN1hYq4jwVZSn48GPO3xg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</si>
</sst>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mm. d, yyyy"/>
    <numFmt numFmtId="165" formatCode="d-mmm-yy"/>
    <numFmt numFmtId="166" formatCode="d-mmmm-yy"/>
    <numFmt numFmtId="167" formatCode="m/d/yyyy"/>
  </numFmts>
  <fonts count="16">
    <font>
      <sz val="10.0"/>
      <color rgb="FF000000"/>
      <name val="Arial"/>
      <scheme val="minor"/>
    </font>
    <font>
      <sz val="11.0"/>
      <color rgb="FF000000"/>
      <name val="&quot;Aptos Narrow&quot;"/>
    </font>
    <font>
      <u/>
      <sz val="11.0"/>
      <color rgb="FF000000"/>
      <name val="&quot;Aptos Narrow&quot;"/>
    </font>
    <font>
      <u/>
      <sz val="11.0"/>
      <color rgb="FF0000FF"/>
      <name val="&quot;Aptos Narrow&quot;"/>
    </font>
    <font>
      <sz val="11.0"/>
      <color rgb="FF000000"/>
      <name val="Arial"/>
    </font>
    <font>
      <b/>
      <sz val="11.0"/>
      <color rgb="FF000000"/>
      <name val="Arial"/>
    </font>
    <font>
      <u/>
      <sz val="11.0"/>
      <color rgb="FF000000"/>
      <name val="&quot;Aptos Narrow&quot;"/>
    </font>
    <font>
      <u/>
      <sz val="11.0"/>
      <color rgb="FF0000FF"/>
      <name val="&quot;Aptos Narrow&quot;"/>
    </font>
    <font/>
    <font>
      <b/>
      <color theme="1"/>
      <name val="Arial"/>
    </font>
    <font>
      <color theme="1"/>
      <name val="Arial"/>
    </font>
    <font>
      <u/>
      <color rgb="FF1155CC"/>
      <name val="Arial"/>
    </font>
    <font>
      <b/>
      <sz val="11.0"/>
      <color theme="1"/>
      <name val="Aptos Narrow"/>
    </font>
    <font>
      <sz val="11.0"/>
      <color theme="1"/>
      <name val="Aptos Narrow"/>
    </font>
    <font>
      <u/>
      <sz val="11.0"/>
      <color theme="1"/>
      <name val="Aptos Narrow"/>
    </font>
    <font>
      <u/>
      <sz val="11.0"/>
      <color rgb="FF0000FF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1" numFmtId="165" xfId="0" applyAlignment="1" applyFont="1" applyNumberFormat="1">
      <alignment horizontal="center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166" xfId="0" applyAlignment="1" applyFont="1" applyNumberFormat="1">
      <alignment horizontal="center"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1" fillId="0" fontId="5" numFmtId="0" xfId="0" applyAlignment="1" applyBorder="1" applyFont="1">
      <alignment horizontal="center" readingOrder="0" shrinkToFit="0" vertical="bottom" wrapText="0"/>
    </xf>
    <xf borderId="2" fillId="0" fontId="5" numFmtId="0" xfId="0" applyAlignment="1" applyBorder="1" applyFont="1">
      <alignment horizontal="center" readingOrder="0" shrinkToFit="0" vertical="bottom" wrapText="0"/>
    </xf>
    <xf borderId="1" fillId="0" fontId="5" numFmtId="0" xfId="0" applyAlignment="1" applyBorder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bottom" wrapText="0"/>
    </xf>
    <xf borderId="2" fillId="0" fontId="1" numFmtId="0" xfId="0" applyAlignment="1" applyBorder="1" applyFont="1">
      <alignment horizontal="center" readingOrder="0" shrinkToFit="0" vertical="bottom" wrapText="0"/>
    </xf>
    <xf borderId="1" fillId="0" fontId="1" numFmtId="167" xfId="0" applyAlignment="1" applyBorder="1" applyFont="1" applyNumberFormat="1">
      <alignment horizontal="center"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3" fillId="0" fontId="1" numFmtId="0" xfId="0" applyAlignment="1" applyBorder="1" applyFont="1">
      <alignment horizontal="center" readingOrder="0" shrinkToFit="0" vertical="bottom" wrapText="0"/>
    </xf>
    <xf borderId="2" fillId="0" fontId="8" numFmtId="0" xfId="0" applyBorder="1" applyFont="1"/>
    <xf borderId="1" fillId="0" fontId="1" numFmtId="0" xfId="0" applyAlignment="1" applyBorder="1" applyFont="1">
      <alignment horizontal="center" shrinkToFit="0" vertical="bottom" wrapText="0"/>
    </xf>
    <xf borderId="1" fillId="0" fontId="9" numFmtId="0" xfId="0" applyAlignment="1" applyBorder="1" applyFont="1">
      <alignment horizontal="center" readingOrder="0" vertical="bottom"/>
    </xf>
    <xf borderId="1" fillId="0" fontId="9" numFmtId="0" xfId="0" applyAlignment="1" applyBorder="1" applyFont="1">
      <alignment horizontal="center" vertical="bottom"/>
    </xf>
    <xf borderId="0" fillId="0" fontId="10" numFmtId="0" xfId="0" applyAlignment="1" applyFont="1">
      <alignment vertical="bottom"/>
    </xf>
    <xf borderId="1" fillId="0" fontId="10" numFmtId="0" xfId="0" applyAlignment="1" applyBorder="1" applyFont="1">
      <alignment horizontal="center" vertical="bottom"/>
    </xf>
    <xf borderId="1" fillId="0" fontId="11" numFmtId="0" xfId="0" applyAlignment="1" applyBorder="1" applyFont="1">
      <alignment horizontal="center" vertical="bottom"/>
    </xf>
    <xf borderId="0" fillId="0" fontId="12" numFmtId="0" xfId="0" applyAlignment="1" applyFont="1">
      <alignment vertical="bottom"/>
    </xf>
    <xf borderId="0" fillId="2" fontId="13" numFmtId="0" xfId="0" applyAlignment="1" applyFill="1" applyFont="1">
      <alignment vertical="bottom"/>
    </xf>
    <xf borderId="0" fillId="0" fontId="14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5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prabhupadavani.org/transcriptions/room-conversation-690411/" TargetMode="External"/><Relationship Id="rId391" Type="http://schemas.openxmlformats.org/officeDocument/2006/relationships/hyperlink" Target="https://prabhupadavani.org/transcriptions/%C5%9Br%C4%ABmad-bh%C4%81gavatam-lecture-partially-recorded/" TargetMode="External"/><Relationship Id="rId390" Type="http://schemas.openxmlformats.org/officeDocument/2006/relationships/hyperlink" Target="https://prabhupadavani.org/transcriptions/%C5%9Br%C4%ABmad-bh%C4%81gavatam-2114-690410/" TargetMode="External"/><Relationship Id="rId2180" Type="http://schemas.openxmlformats.org/officeDocument/2006/relationships/hyperlink" Target="https://prabhupadavani.org/transcriptions/750330ccmay/" TargetMode="External"/><Relationship Id="rId2181" Type="http://schemas.openxmlformats.org/officeDocument/2006/relationships/hyperlink" Target="https://prabhupadavani.org/transcriptions/750330r2may/" TargetMode="External"/><Relationship Id="rId2182" Type="http://schemas.openxmlformats.org/officeDocument/2006/relationships/hyperlink" Target="https://prabhupadavani.org/transcriptions/750331ccmay/" TargetMode="External"/><Relationship Id="rId2183" Type="http://schemas.openxmlformats.org/officeDocument/2006/relationships/hyperlink" Target="https://prabhupadavani.org/transcriptions/750331r1may/" TargetMode="External"/><Relationship Id="rId385" Type="http://schemas.openxmlformats.org/officeDocument/2006/relationships/hyperlink" Target="https://prabhupadavani.org/transcriptions/lecture-690330/" TargetMode="External"/><Relationship Id="rId2184" Type="http://schemas.openxmlformats.org/officeDocument/2006/relationships/hyperlink" Target="https://prabhupadavani.org/transcriptions/750401mwmay/" TargetMode="External"/><Relationship Id="rId384" Type="http://schemas.openxmlformats.org/officeDocument/2006/relationships/hyperlink" Target="https://prabhupadavani.org/transcriptions/conversation/" TargetMode="External"/><Relationship Id="rId2185" Type="http://schemas.openxmlformats.org/officeDocument/2006/relationships/hyperlink" Target="https://prabhupadavani.org/transcriptions/750401ccmay/" TargetMode="External"/><Relationship Id="rId383" Type="http://schemas.openxmlformats.org/officeDocument/2006/relationships/hyperlink" Target="https://prabhupadavani.org/transcriptions/%C5%9Br%C4%ABmad-bh%C4%81gavatam-126-690328/" TargetMode="External"/><Relationship Id="rId2186" Type="http://schemas.openxmlformats.org/officeDocument/2006/relationships/hyperlink" Target="https://prabhupadavani.org/transcriptions/750401r1may/" TargetMode="External"/><Relationship Id="rId382" Type="http://schemas.openxmlformats.org/officeDocument/2006/relationships/hyperlink" Target="https://prabhupadavani.org/transcriptions/%C5%9Br%C4%AB-r%C4%81ma-navam%C4%AB-lord-r%C4%81macandras-appearance-day/" TargetMode="External"/><Relationship Id="rId2187" Type="http://schemas.openxmlformats.org/officeDocument/2006/relationships/hyperlink" Target="https://prabhupadavani.org/transcriptions/750402mwmay/" TargetMode="External"/><Relationship Id="rId389" Type="http://schemas.openxmlformats.org/officeDocument/2006/relationships/hyperlink" Target="https://prabhupadavani.org/transcriptions/%C5%9Br%C4%ABmad-bh%C4%81gavatam-761/" TargetMode="External"/><Relationship Id="rId2188" Type="http://schemas.openxmlformats.org/officeDocument/2006/relationships/hyperlink" Target="https://prabhupadavani.org/transcriptions/750402ccmay/" TargetMode="External"/><Relationship Id="rId388" Type="http://schemas.openxmlformats.org/officeDocument/2006/relationships/hyperlink" Target="https://prabhupadavani.org/transcriptions/%C5%9Br%C4%ABla-prabhup%C4%81da-and-devotees-speak/" TargetMode="External"/><Relationship Id="rId2189" Type="http://schemas.openxmlformats.org/officeDocument/2006/relationships/hyperlink" Target="https://prabhupadavani.org/transcriptions/750403mwmay/" TargetMode="External"/><Relationship Id="rId387" Type="http://schemas.openxmlformats.org/officeDocument/2006/relationships/hyperlink" Target="https://prabhupadavani.org/transcriptions/conversation-including-%C5%9Br%C4%ABmad-bh%C4%81gavatam-12234-recitation-purport/" TargetMode="External"/><Relationship Id="rId386" Type="http://schemas.openxmlformats.org/officeDocument/2006/relationships/hyperlink" Target="https://prabhupadavani.org/transcriptions/%C5%9Br%C4%ABmad-bh%C4%81gavatam-76917/" TargetMode="External"/><Relationship Id="rId381" Type="http://schemas.openxmlformats.org/officeDocument/2006/relationships/hyperlink" Target="https://prabhupadavani.org/transcriptions/initiation/" TargetMode="External"/><Relationship Id="rId380" Type="http://schemas.openxmlformats.org/officeDocument/2006/relationships/hyperlink" Target="https://prabhupadavani.org/transcriptions/%C5%9Br%C4%ABmad-bh%C4%81gavatam-791113/" TargetMode="External"/><Relationship Id="rId379" Type="http://schemas.openxmlformats.org/officeDocument/2006/relationships/hyperlink" Target="https://prabhupadavani.org/transcriptions/lecture-questions-and-answers/" TargetMode="External"/><Relationship Id="rId2170" Type="http://schemas.openxmlformats.org/officeDocument/2006/relationships/hyperlink" Target="https://prabhupadavani.org/transcriptions/750325mwmay/" TargetMode="External"/><Relationship Id="rId2171" Type="http://schemas.openxmlformats.org/officeDocument/2006/relationships/hyperlink" Target="https://prabhupadavani.org/transcriptions/750325ccmay/" TargetMode="External"/><Relationship Id="rId2172" Type="http://schemas.openxmlformats.org/officeDocument/2006/relationships/hyperlink" Target="https://prabhupadavani.org/transcriptions/750326mwmay/" TargetMode="External"/><Relationship Id="rId374" Type="http://schemas.openxmlformats.org/officeDocument/2006/relationships/hyperlink" Target="https://prabhupadavani.org/transcriptions/lecture-690314/" TargetMode="External"/><Relationship Id="rId2173" Type="http://schemas.openxmlformats.org/officeDocument/2006/relationships/hyperlink" Target="https://prabhupadavani.org/transcriptions/750326ccmay/" TargetMode="External"/><Relationship Id="rId373" Type="http://schemas.openxmlformats.org/officeDocument/2006/relationships/hyperlink" Target="https://prabhupadavani.org/transcriptions/%C5%9Br%C4%ABmad-bh%C4%81gavatam-7910/" TargetMode="External"/><Relationship Id="rId2174" Type="http://schemas.openxmlformats.org/officeDocument/2006/relationships/hyperlink" Target="https://prabhupadavani.org/transcriptions/750327ccmay/" TargetMode="External"/><Relationship Id="rId372" Type="http://schemas.openxmlformats.org/officeDocument/2006/relationships/hyperlink" Target="https://prabhupadavani.org/transcriptions/%C5%9Br%C4%ABmad-bh%C4%81gavatam-79810/" TargetMode="External"/><Relationship Id="rId2175" Type="http://schemas.openxmlformats.org/officeDocument/2006/relationships/hyperlink" Target="https://prabhupadavani.org/transcriptions/750327r1may/" TargetMode="External"/><Relationship Id="rId371" Type="http://schemas.openxmlformats.org/officeDocument/2006/relationships/hyperlink" Target="https://prabhupadavani.org/transcriptions/%C5%9Br%C4%ABmad-bh%C4%81gavatam-798/" TargetMode="External"/><Relationship Id="rId2176" Type="http://schemas.openxmlformats.org/officeDocument/2006/relationships/hyperlink" Target="https://prabhupadavani.org/transcriptions/750328ccmay/" TargetMode="External"/><Relationship Id="rId378" Type="http://schemas.openxmlformats.org/officeDocument/2006/relationships/hyperlink" Target="https://prabhupadavani.org/transcriptions/lecture-690322/" TargetMode="External"/><Relationship Id="rId2177" Type="http://schemas.openxmlformats.org/officeDocument/2006/relationships/hyperlink" Target="https://prabhupadavani.org/transcriptions/750329ccmay/" TargetMode="External"/><Relationship Id="rId377" Type="http://schemas.openxmlformats.org/officeDocument/2006/relationships/hyperlink" Target="https://prabhupadavani.org/transcriptions/hare-k%E1%B9%9B%E1%B9%A3%E1%B9%87-bhajan/" TargetMode="External"/><Relationship Id="rId2178" Type="http://schemas.openxmlformats.org/officeDocument/2006/relationships/hyperlink" Target="https://prabhupadavani.org/transcriptions/750329lemay/" TargetMode="External"/><Relationship Id="rId376" Type="http://schemas.openxmlformats.org/officeDocument/2006/relationships/hyperlink" Target="https://prabhupadavani.org/transcriptions/%C5%9Br%C4%ABmad-bh%C4%81gavatam-79811/" TargetMode="External"/><Relationship Id="rId2179" Type="http://schemas.openxmlformats.org/officeDocument/2006/relationships/hyperlink" Target="https://prabhupadavani.org/transcriptions/750330r1may/" TargetMode="External"/><Relationship Id="rId375" Type="http://schemas.openxmlformats.org/officeDocument/2006/relationships/hyperlink" Target="https://prabhupadavani.org/transcriptions/%C5%9Br%C4%AB-k%E1%B9%9B%E1%B9%A3%E1%B9%87-caitanya-prabhu-bhajan/" TargetMode="External"/><Relationship Id="rId2190" Type="http://schemas.openxmlformats.org/officeDocument/2006/relationships/hyperlink" Target="https://prabhupadavani.org/transcriptions/750403ccmay/" TargetMode="External"/><Relationship Id="rId2191" Type="http://schemas.openxmlformats.org/officeDocument/2006/relationships/hyperlink" Target="https://prabhupadavani.org/transcriptions/750404mwmay/" TargetMode="External"/><Relationship Id="rId2192" Type="http://schemas.openxmlformats.org/officeDocument/2006/relationships/hyperlink" Target="https://prabhupadavani.org/transcriptions/750404ccmay/" TargetMode="External"/><Relationship Id="rId2193" Type="http://schemas.openxmlformats.org/officeDocument/2006/relationships/hyperlink" Target="https://prabhupadavani.org/transcriptions/750404r1may/" TargetMode="External"/><Relationship Id="rId2194" Type="http://schemas.openxmlformats.org/officeDocument/2006/relationships/hyperlink" Target="https://prabhupadavani.org/transcriptions/750405mwmay/" TargetMode="External"/><Relationship Id="rId396" Type="http://schemas.openxmlformats.org/officeDocument/2006/relationships/hyperlink" Target="https://prabhupadavani.org/transcriptions/%C5%9Br%C4%ABmad-bh%C4%81gavatam-lecture-b%C4%ABrabhadra-initiation/" TargetMode="External"/><Relationship Id="rId2195" Type="http://schemas.openxmlformats.org/officeDocument/2006/relationships/hyperlink" Target="https://prabhupadavani.org/transcriptions/750405ccmay/" TargetMode="External"/><Relationship Id="rId395" Type="http://schemas.openxmlformats.org/officeDocument/2006/relationships/hyperlink" Target="https://prabhupadavani.org/transcriptions/%C5%9Br%C4%ABmad-bh%C4%81gavatam-11321-initiations/" TargetMode="External"/><Relationship Id="rId2196" Type="http://schemas.openxmlformats.org/officeDocument/2006/relationships/hyperlink" Target="https://prabhupadavani.org/transcriptions/750406mwmay/" TargetMode="External"/><Relationship Id="rId394" Type="http://schemas.openxmlformats.org/officeDocument/2006/relationships/hyperlink" Target="https://prabhupadavani.org/transcriptions/lecture-690412le/" TargetMode="External"/><Relationship Id="rId2197" Type="http://schemas.openxmlformats.org/officeDocument/2006/relationships/hyperlink" Target="https://prabhupadavani.org/transcriptions/750406ccmay/" TargetMode="External"/><Relationship Id="rId393" Type="http://schemas.openxmlformats.org/officeDocument/2006/relationships/hyperlink" Target="https://prabhupadavani.org/transcriptions/room-conversation-690412r1/" TargetMode="External"/><Relationship Id="rId2198" Type="http://schemas.openxmlformats.org/officeDocument/2006/relationships/hyperlink" Target="https://prabhupadavani.org/transcriptions/750406lemay/" TargetMode="External"/><Relationship Id="rId2199" Type="http://schemas.openxmlformats.org/officeDocument/2006/relationships/hyperlink" Target="https://prabhupadavani.org/transcriptions/750407mwmay/" TargetMode="External"/><Relationship Id="rId399" Type="http://schemas.openxmlformats.org/officeDocument/2006/relationships/hyperlink" Target="https://prabhupadavani.org/transcriptions/room-conversation-690424r2/" TargetMode="External"/><Relationship Id="rId398" Type="http://schemas.openxmlformats.org/officeDocument/2006/relationships/hyperlink" Target="https://prabhupadavani.org/transcriptions/lecture-%C5%9Br%C4%ABla-prabhup%C4%81da-listening-his-own-recorded-lecture/" TargetMode="External"/><Relationship Id="rId397" Type="http://schemas.openxmlformats.org/officeDocument/2006/relationships/hyperlink" Target="https://prabhupadavani.org/transcriptions/lecture-690417le/" TargetMode="External"/><Relationship Id="rId1730" Type="http://schemas.openxmlformats.org/officeDocument/2006/relationships/hyperlink" Target="https://prabhupadavani.org/transcriptions/740324mwbom/" TargetMode="External"/><Relationship Id="rId1731" Type="http://schemas.openxmlformats.org/officeDocument/2006/relationships/hyperlink" Target="https://prabhupadavani.org/transcriptions/740324bgbom/" TargetMode="External"/><Relationship Id="rId1732" Type="http://schemas.openxmlformats.org/officeDocument/2006/relationships/hyperlink" Target="https://prabhupadavani.org/transcriptions/740325mwbom/" TargetMode="External"/><Relationship Id="rId1733" Type="http://schemas.openxmlformats.org/officeDocument/2006/relationships/hyperlink" Target="https://prabhupadavani.org/transcriptions/740325bgbom/" TargetMode="External"/><Relationship Id="rId1734" Type="http://schemas.openxmlformats.org/officeDocument/2006/relationships/hyperlink" Target="https://prabhupadavani.org/transcriptions/740326mwbom/" TargetMode="External"/><Relationship Id="rId1735" Type="http://schemas.openxmlformats.org/officeDocument/2006/relationships/hyperlink" Target="https://prabhupadavani.org/transcriptions/740326bgbom/" TargetMode="External"/><Relationship Id="rId1736" Type="http://schemas.openxmlformats.org/officeDocument/2006/relationships/hyperlink" Target="https://prabhupadavani.org/transcriptions/740327mwbom/" TargetMode="External"/><Relationship Id="rId1737" Type="http://schemas.openxmlformats.org/officeDocument/2006/relationships/hyperlink" Target="https://prabhupadavani.org/transcriptions/740327bgbom/" TargetMode="External"/><Relationship Id="rId1738" Type="http://schemas.openxmlformats.org/officeDocument/2006/relationships/hyperlink" Target="https://prabhupadavani.org/transcriptions/740327rfbom/" TargetMode="External"/><Relationship Id="rId1739" Type="http://schemas.openxmlformats.org/officeDocument/2006/relationships/hyperlink" Target="https://prabhupadavani.org/transcriptions/740328mwbom/" TargetMode="External"/><Relationship Id="rId1720" Type="http://schemas.openxmlformats.org/officeDocument/2006/relationships/hyperlink" Target="https://prabhupadavani.org/transcriptions/740317mwvrn/" TargetMode="External"/><Relationship Id="rId1721" Type="http://schemas.openxmlformats.org/officeDocument/2006/relationships/hyperlink" Target="https://prabhupadavani.org/transcriptions/740317sbvrn/" TargetMode="External"/><Relationship Id="rId1722" Type="http://schemas.openxmlformats.org/officeDocument/2006/relationships/hyperlink" Target="https://prabhupadavani.org/transcriptions/740318mwvrn/" TargetMode="External"/><Relationship Id="rId1723" Type="http://schemas.openxmlformats.org/officeDocument/2006/relationships/hyperlink" Target="https://prabhupadavani.org/transcriptions/740318sbvrn/" TargetMode="External"/><Relationship Id="rId1724" Type="http://schemas.openxmlformats.org/officeDocument/2006/relationships/hyperlink" Target="https://prabhupadavani.org/transcriptions/740319sbvrn/" TargetMode="External"/><Relationship Id="rId1725" Type="http://schemas.openxmlformats.org/officeDocument/2006/relationships/hyperlink" Target="https://prabhupadavani.org/transcriptions/740320r1bom/" TargetMode="External"/><Relationship Id="rId1726" Type="http://schemas.openxmlformats.org/officeDocument/2006/relationships/hyperlink" Target="https://prabhupadavani.org/transcriptions/740321bgbom/" TargetMode="External"/><Relationship Id="rId1727" Type="http://schemas.openxmlformats.org/officeDocument/2006/relationships/hyperlink" Target="https://prabhupadavani.org/transcriptions/740322bgbom/" TargetMode="External"/><Relationship Id="rId1728" Type="http://schemas.openxmlformats.org/officeDocument/2006/relationships/hyperlink" Target="https://prabhupadavani.org/transcriptions/740323mwbom/" TargetMode="External"/><Relationship Id="rId1729" Type="http://schemas.openxmlformats.org/officeDocument/2006/relationships/hyperlink" Target="https://prabhupadavani.org/transcriptions/740323bgbom/" TargetMode="External"/><Relationship Id="rId1752" Type="http://schemas.openxmlformats.org/officeDocument/2006/relationships/hyperlink" Target="https://prabhupadavani.org/transcriptions/740403mwbom/" TargetMode="External"/><Relationship Id="rId1753" Type="http://schemas.openxmlformats.org/officeDocument/2006/relationships/hyperlink" Target="https://prabhupadavani.org/transcriptions/740403bgbom/" TargetMode="External"/><Relationship Id="rId1754" Type="http://schemas.openxmlformats.org/officeDocument/2006/relationships/hyperlink" Target="https://prabhupadavani.org/transcriptions/740404mwbom/" TargetMode="External"/><Relationship Id="rId1755" Type="http://schemas.openxmlformats.org/officeDocument/2006/relationships/hyperlink" Target="https://prabhupadavani.org/transcriptions/740404bgbom/" TargetMode="External"/><Relationship Id="rId1756" Type="http://schemas.openxmlformats.org/officeDocument/2006/relationships/hyperlink" Target="https://prabhupadavani.org/transcriptions/740405mwbom/" TargetMode="External"/><Relationship Id="rId1757" Type="http://schemas.openxmlformats.org/officeDocument/2006/relationships/hyperlink" Target="https://prabhupadavani.org/transcriptions/740405bgbom/" TargetMode="External"/><Relationship Id="rId1758" Type="http://schemas.openxmlformats.org/officeDocument/2006/relationships/hyperlink" Target="https://prabhupadavani.org/transcriptions/740406mwbom/" TargetMode="External"/><Relationship Id="rId1759" Type="http://schemas.openxmlformats.org/officeDocument/2006/relationships/hyperlink" Target="https://prabhupadavani.org/transcriptions/740406bgbom/" TargetMode="External"/><Relationship Id="rId1750" Type="http://schemas.openxmlformats.org/officeDocument/2006/relationships/hyperlink" Target="https://prabhupadavani.org/transcriptions/740402mwbom/" TargetMode="External"/><Relationship Id="rId1751" Type="http://schemas.openxmlformats.org/officeDocument/2006/relationships/hyperlink" Target="https://prabhupadavani.org/transcriptions/740402bgbom/" TargetMode="External"/><Relationship Id="rId1741" Type="http://schemas.openxmlformats.org/officeDocument/2006/relationships/hyperlink" Target="https://prabhupadavani.org/transcriptions/740329mwbom/" TargetMode="External"/><Relationship Id="rId1742" Type="http://schemas.openxmlformats.org/officeDocument/2006/relationships/hyperlink" Target="https://prabhupadavani.org/transcriptions/740329bgbom/" TargetMode="External"/><Relationship Id="rId1743" Type="http://schemas.openxmlformats.org/officeDocument/2006/relationships/hyperlink" Target="https://prabhupadavani.org/transcriptions/740330mwbom/" TargetMode="External"/><Relationship Id="rId1744" Type="http://schemas.openxmlformats.org/officeDocument/2006/relationships/hyperlink" Target="https://prabhupadavani.org/transcriptions/740330bgbom/" TargetMode="External"/><Relationship Id="rId1745" Type="http://schemas.openxmlformats.org/officeDocument/2006/relationships/hyperlink" Target="https://prabhupadavani.org/transcriptions/740331mwbom/" TargetMode="External"/><Relationship Id="rId1746" Type="http://schemas.openxmlformats.org/officeDocument/2006/relationships/hyperlink" Target="https://prabhupadavani.org/transcriptions/740331bgbom/" TargetMode="External"/><Relationship Id="rId1747" Type="http://schemas.openxmlformats.org/officeDocument/2006/relationships/hyperlink" Target="https://prabhupadavani.org/transcriptions/740401mwbom/" TargetMode="External"/><Relationship Id="rId1748" Type="http://schemas.openxmlformats.org/officeDocument/2006/relationships/hyperlink" Target="https://prabhupadavani.org/transcriptions/740401bgbom/" TargetMode="External"/><Relationship Id="rId1749" Type="http://schemas.openxmlformats.org/officeDocument/2006/relationships/hyperlink" Target="https://prabhupadavani.org/transcriptions/740401csbom/" TargetMode="External"/><Relationship Id="rId1740" Type="http://schemas.openxmlformats.org/officeDocument/2006/relationships/hyperlink" Target="https://prabhupadavani.org/transcriptions/740328bgbom/" TargetMode="External"/><Relationship Id="rId1710" Type="http://schemas.openxmlformats.org/officeDocument/2006/relationships/hyperlink" Target="https://prabhupadavani.org/transcriptions/740313ccvrn/" TargetMode="External"/><Relationship Id="rId1711" Type="http://schemas.openxmlformats.org/officeDocument/2006/relationships/hyperlink" Target="https://prabhupadavani.org/transcriptions/740314mwvrn/" TargetMode="External"/><Relationship Id="rId1712" Type="http://schemas.openxmlformats.org/officeDocument/2006/relationships/hyperlink" Target="https://prabhupadavani.org/transcriptions/740314levrn/" TargetMode="External"/><Relationship Id="rId1713" Type="http://schemas.openxmlformats.org/officeDocument/2006/relationships/hyperlink" Target="https://prabhupadavani.org/transcriptions/740315mwvrn/" TargetMode="External"/><Relationship Id="rId1714" Type="http://schemas.openxmlformats.org/officeDocument/2006/relationships/hyperlink" Target="https://prabhupadavani.org/transcriptions/740315ccvrn/" TargetMode="External"/><Relationship Id="rId1715" Type="http://schemas.openxmlformats.org/officeDocument/2006/relationships/hyperlink" Target="https://prabhupadavani.org/transcriptions/740315r1vrn/" TargetMode="External"/><Relationship Id="rId1716" Type="http://schemas.openxmlformats.org/officeDocument/2006/relationships/hyperlink" Target="https://prabhupadavani.org/transcriptions/740316mwvrn/" TargetMode="External"/><Relationship Id="rId1717" Type="http://schemas.openxmlformats.org/officeDocument/2006/relationships/hyperlink" Target="https://prabhupadavani.org/transcriptions/740316sbvrn/" TargetMode="External"/><Relationship Id="rId1718" Type="http://schemas.openxmlformats.org/officeDocument/2006/relationships/hyperlink" Target="https://prabhupadavani.org/transcriptions/740316r1vrn/" TargetMode="External"/><Relationship Id="rId1719" Type="http://schemas.openxmlformats.org/officeDocument/2006/relationships/hyperlink" Target="https://prabhupadavani.org/transcriptions/740316r2vrn/" TargetMode="External"/><Relationship Id="rId1700" Type="http://schemas.openxmlformats.org/officeDocument/2006/relationships/hyperlink" Target="https://prabhupadavani.org/transcriptions/740304ccmay/" TargetMode="External"/><Relationship Id="rId1701" Type="http://schemas.openxmlformats.org/officeDocument/2006/relationships/hyperlink" Target="https://prabhupadavani.org/transcriptions/740305mwmay/" TargetMode="External"/><Relationship Id="rId1702" Type="http://schemas.openxmlformats.org/officeDocument/2006/relationships/hyperlink" Target="https://prabhupadavani.org/transcriptions/740306mwmay/" TargetMode="External"/><Relationship Id="rId1703" Type="http://schemas.openxmlformats.org/officeDocument/2006/relationships/hyperlink" Target="https://prabhupadavani.org/transcriptions/740307mwmay/" TargetMode="External"/><Relationship Id="rId1704" Type="http://schemas.openxmlformats.org/officeDocument/2006/relationships/hyperlink" Target="https://prabhupadavani.org/transcriptions/740307ccmay/" TargetMode="External"/><Relationship Id="rId1705" Type="http://schemas.openxmlformats.org/officeDocument/2006/relationships/hyperlink" Target="https://prabhupadavani.org/transcriptions/740309mwmay/" TargetMode="External"/><Relationship Id="rId1706" Type="http://schemas.openxmlformats.org/officeDocument/2006/relationships/hyperlink" Target="https://prabhupadavani.org/transcriptions/740309ccmay/" TargetMode="External"/><Relationship Id="rId1707" Type="http://schemas.openxmlformats.org/officeDocument/2006/relationships/hyperlink" Target="https://prabhupadavani.org/transcriptions/740310lecal/" TargetMode="External"/><Relationship Id="rId1708" Type="http://schemas.openxmlformats.org/officeDocument/2006/relationships/hyperlink" Target="https://prabhupadavani.org/transcriptions/740312mwvrn/" TargetMode="External"/><Relationship Id="rId1709" Type="http://schemas.openxmlformats.org/officeDocument/2006/relationships/hyperlink" Target="https://prabhupadavani.org/transcriptions/740313mwvrn/" TargetMode="External"/><Relationship Id="rId40" Type="http://schemas.openxmlformats.org/officeDocument/2006/relationships/hyperlink" Target="https://prabhupadavani.org/transcriptions/bhagavad-g%C4%ABt%C4%81-43953/" TargetMode="External"/><Relationship Id="rId3513" Type="http://schemas.openxmlformats.org/officeDocument/2006/relationships/hyperlink" Target="https://prabhupadavani.org/transcriptions/770422r1bom/" TargetMode="External"/><Relationship Id="rId3512" Type="http://schemas.openxmlformats.org/officeDocument/2006/relationships/hyperlink" Target="https://prabhupadavani.org/transcriptions/770420r1bom/" TargetMode="External"/><Relationship Id="rId42" Type="http://schemas.openxmlformats.org/officeDocument/2006/relationships/hyperlink" Target="https://prabhupadavani.org/transcriptions/bhagavad-g%C4%ABt%C4%81-537/" TargetMode="External"/><Relationship Id="rId3515" Type="http://schemas.openxmlformats.org/officeDocument/2006/relationships/hyperlink" Target="https://prabhupadavani.org/transcriptions/770422r3bom/" TargetMode="External"/><Relationship Id="rId41" Type="http://schemas.openxmlformats.org/officeDocument/2006/relationships/hyperlink" Target="https://prabhupadavani.org/transcriptions/lecture-66-08-22/" TargetMode="External"/><Relationship Id="rId3514" Type="http://schemas.openxmlformats.org/officeDocument/2006/relationships/hyperlink" Target="https://prabhupadavani.org/transcriptions/770422r2bom/" TargetMode="External"/><Relationship Id="rId44" Type="http://schemas.openxmlformats.org/officeDocument/2006/relationships/hyperlink" Target="https://prabhupadavani.org/transcriptions/bhagavad-g%C4%ABt%C4%81-514-22/" TargetMode="External"/><Relationship Id="rId3517" Type="http://schemas.openxmlformats.org/officeDocument/2006/relationships/hyperlink" Target="https://prabhupadavani.org/transcriptions/770423r1bom/" TargetMode="External"/><Relationship Id="rId43" Type="http://schemas.openxmlformats.org/officeDocument/2006/relationships/hyperlink" Target="https://prabhupadavani.org/transcriptions/bhagavad-g%C4%ABt%C4%81-5713/" TargetMode="External"/><Relationship Id="rId3516" Type="http://schemas.openxmlformats.org/officeDocument/2006/relationships/hyperlink" Target="https://prabhupadavani.org/transcriptions/770423mebom/" TargetMode="External"/><Relationship Id="rId46" Type="http://schemas.openxmlformats.org/officeDocument/2006/relationships/hyperlink" Target="https://prabhupadavani.org/transcriptions/bhagavad-g%C4%ABt%C4%81-614/" TargetMode="External"/><Relationship Id="rId3519" Type="http://schemas.openxmlformats.org/officeDocument/2006/relationships/hyperlink" Target="https://prabhupadavani.org/transcriptions/770425r1bom/" TargetMode="External"/><Relationship Id="rId45" Type="http://schemas.openxmlformats.org/officeDocument/2006/relationships/hyperlink" Target="https://prabhupadavani.org/transcriptions/bhagavad-g%C4%ABt%C4%81-52229/" TargetMode="External"/><Relationship Id="rId3518" Type="http://schemas.openxmlformats.org/officeDocument/2006/relationships/hyperlink" Target="https://prabhupadavani.org/transcriptions/770424mebom/" TargetMode="External"/><Relationship Id="rId48" Type="http://schemas.openxmlformats.org/officeDocument/2006/relationships/hyperlink" Target="https://prabhupadavani.org/transcriptions/bhagavad-g%C4%ABt%C4%81-61121/" TargetMode="External"/><Relationship Id="rId47" Type="http://schemas.openxmlformats.org/officeDocument/2006/relationships/hyperlink" Target="https://prabhupadavani.org/transcriptions/bhagavad-g%C4%ABt%C4%81-6412/" TargetMode="External"/><Relationship Id="rId49" Type="http://schemas.openxmlformats.org/officeDocument/2006/relationships/hyperlink" Target="https://prabhupadavani.org/transcriptions/lecture-on-mah%C4%81-mantra/" TargetMode="External"/><Relationship Id="rId3511" Type="http://schemas.openxmlformats.org/officeDocument/2006/relationships/hyperlink" Target="https://prabhupadavani.org/transcriptions/770419r3bom/" TargetMode="External"/><Relationship Id="rId3510" Type="http://schemas.openxmlformats.org/officeDocument/2006/relationships/hyperlink" Target="https://prabhupadavani.org/transcriptions/770419r2bom/" TargetMode="External"/><Relationship Id="rId3502" Type="http://schemas.openxmlformats.org/officeDocument/2006/relationships/hyperlink" Target="https://prabhupadavani.org/transcriptions/770413r1bom/" TargetMode="External"/><Relationship Id="rId3501" Type="http://schemas.openxmlformats.org/officeDocument/2006/relationships/hyperlink" Target="https://prabhupadavani.org/transcriptions/770411r1bom/" TargetMode="External"/><Relationship Id="rId31" Type="http://schemas.openxmlformats.org/officeDocument/2006/relationships/hyperlink" Target="https://prabhupadavani.org/transcriptions/bhagavad-g%C4%ABt%C4%81-41314/" TargetMode="External"/><Relationship Id="rId3504" Type="http://schemas.openxmlformats.org/officeDocument/2006/relationships/hyperlink" Target="https://prabhupadavani.org/transcriptions/770416r1bom/" TargetMode="External"/><Relationship Id="rId30" Type="http://schemas.openxmlformats.org/officeDocument/2006/relationships/hyperlink" Target="https://prabhupadavani.org/transcriptions/bhagavad-g%C4%ABt%C4%81-41213/" TargetMode="External"/><Relationship Id="rId3503" Type="http://schemas.openxmlformats.org/officeDocument/2006/relationships/hyperlink" Target="https://prabhupadavani.org/transcriptions/770415r1bom/" TargetMode="External"/><Relationship Id="rId33" Type="http://schemas.openxmlformats.org/officeDocument/2006/relationships/hyperlink" Target="https://prabhupadavani.org/transcriptions/bhagavad-g%C4%ABt%C4%81-419-66-05-08/" TargetMode="External"/><Relationship Id="rId3506" Type="http://schemas.openxmlformats.org/officeDocument/2006/relationships/hyperlink" Target="https://prabhupadavani.org/transcriptions/770417r2bom/" TargetMode="External"/><Relationship Id="rId32" Type="http://schemas.openxmlformats.org/officeDocument/2006/relationships/hyperlink" Target="https://prabhupadavani.org/transcriptions/bhagavad-g%C4%ABt%C4%81-41419/" TargetMode="External"/><Relationship Id="rId3505" Type="http://schemas.openxmlformats.org/officeDocument/2006/relationships/hyperlink" Target="https://prabhupadavani.org/transcriptions/770417r1bom/" TargetMode="External"/><Relationship Id="rId35" Type="http://schemas.openxmlformats.org/officeDocument/2006/relationships/hyperlink" Target="https://prabhupadavani.org/transcriptions/bhagavad-g%C4%ABt%C4%81-42024/" TargetMode="External"/><Relationship Id="rId3508" Type="http://schemas.openxmlformats.org/officeDocument/2006/relationships/hyperlink" Target="https://prabhupadavani.org/transcriptions/770418r2bom/" TargetMode="External"/><Relationship Id="rId34" Type="http://schemas.openxmlformats.org/officeDocument/2006/relationships/hyperlink" Target="https://prabhupadavani.org/transcriptions/bhagavad-g%C4%ABt%C4%81-41922/" TargetMode="External"/><Relationship Id="rId3507" Type="http://schemas.openxmlformats.org/officeDocument/2006/relationships/hyperlink" Target="https://prabhupadavani.org/transcriptions/770418r1bom/" TargetMode="External"/><Relationship Id="rId3509" Type="http://schemas.openxmlformats.org/officeDocument/2006/relationships/hyperlink" Target="https://prabhupadavani.org/transcriptions/770419r1bom/" TargetMode="External"/><Relationship Id="rId37" Type="http://schemas.openxmlformats.org/officeDocument/2006/relationships/hyperlink" Target="https://prabhupadavani.org/transcriptions/bhagavad-g%C4%ABt%C4%81-434/" TargetMode="External"/><Relationship Id="rId36" Type="http://schemas.openxmlformats.org/officeDocument/2006/relationships/hyperlink" Target="https://prabhupadavani.org/transcriptions/bhagavad-g%C4%ABt%C4%81-42434/" TargetMode="External"/><Relationship Id="rId39" Type="http://schemas.openxmlformats.org/officeDocument/2006/relationships/hyperlink" Target="https://prabhupadavani.org/transcriptions/bhagavad-g%C4%ABt%C4%81-43740/" TargetMode="External"/><Relationship Id="rId38" Type="http://schemas.openxmlformats.org/officeDocument/2006/relationships/hyperlink" Target="https://prabhupadavani.org/transcriptions/bhagavad-g%C4%ABt%C4%81-43438/" TargetMode="External"/><Relationship Id="rId3500" Type="http://schemas.openxmlformats.org/officeDocument/2006/relationships/hyperlink" Target="https://prabhupadavani.org/transcriptions/770410r2bom/" TargetMode="External"/><Relationship Id="rId2203" Type="http://schemas.openxmlformats.org/officeDocument/2006/relationships/hyperlink" Target="https://prabhupadavani.org/transcriptions/750409mwmay/" TargetMode="External"/><Relationship Id="rId3535" Type="http://schemas.openxmlformats.org/officeDocument/2006/relationships/hyperlink" Target="https://prabhupadavani.org/transcriptions/770514edhri/" TargetMode="External"/><Relationship Id="rId2204" Type="http://schemas.openxmlformats.org/officeDocument/2006/relationships/hyperlink" Target="https://prabhupadavani.org/transcriptions/750409ccmay/" TargetMode="External"/><Relationship Id="rId3534" Type="http://schemas.openxmlformats.org/officeDocument/2006/relationships/hyperlink" Target="https://prabhupadavani.org/transcriptions/770513edhri/" TargetMode="External"/><Relationship Id="rId20" Type="http://schemas.openxmlformats.org/officeDocument/2006/relationships/hyperlink" Target="https://prabhupadavani.org/transcriptions/bhagavad-g%C4%ABt%C4%81-31720/" TargetMode="External"/><Relationship Id="rId2205" Type="http://schemas.openxmlformats.org/officeDocument/2006/relationships/hyperlink" Target="https://prabhupadavani.org/transcriptions/750410sbhyd/" TargetMode="External"/><Relationship Id="rId3537" Type="http://schemas.openxmlformats.org/officeDocument/2006/relationships/hyperlink" Target="https://prabhupadavani.org/transcriptions/770517arvrn/" TargetMode="External"/><Relationship Id="rId2206" Type="http://schemas.openxmlformats.org/officeDocument/2006/relationships/hyperlink" Target="https://prabhupadavani.org/transcriptions/750411sbhyd/" TargetMode="External"/><Relationship Id="rId3536" Type="http://schemas.openxmlformats.org/officeDocument/2006/relationships/hyperlink" Target="https://prabhupadavani.org/transcriptions/770515edhri/" TargetMode="External"/><Relationship Id="rId22" Type="http://schemas.openxmlformats.org/officeDocument/2006/relationships/hyperlink" Target="https://prabhupadavani.org/transcriptions/bhagavad-g%C4%ABt%C4%81-41-and-review/" TargetMode="External"/><Relationship Id="rId2207" Type="http://schemas.openxmlformats.org/officeDocument/2006/relationships/hyperlink" Target="https://prabhupadavani.org/transcriptions/750412sbhyd/" TargetMode="External"/><Relationship Id="rId3539" Type="http://schemas.openxmlformats.org/officeDocument/2006/relationships/hyperlink" Target="https://prabhupadavani.org/transcriptions/770519r1vrn/" TargetMode="External"/><Relationship Id="rId21" Type="http://schemas.openxmlformats.org/officeDocument/2006/relationships/hyperlink" Target="https://prabhupadavani.org/transcriptions/bhagavad-g%C4%ABt%C4%81-32125/" TargetMode="External"/><Relationship Id="rId2208" Type="http://schemas.openxmlformats.org/officeDocument/2006/relationships/hyperlink" Target="https://prabhupadavani.org/transcriptions/750412r1hyd/" TargetMode="External"/><Relationship Id="rId3538" Type="http://schemas.openxmlformats.org/officeDocument/2006/relationships/hyperlink" Target="https://prabhupadavani.org/transcriptions/770517r1vrn/" TargetMode="External"/><Relationship Id="rId24" Type="http://schemas.openxmlformats.org/officeDocument/2006/relationships/hyperlink" Target="https://prabhupadavani.org/transcriptions/bhagavad-g%C4%ABt%C4%81-468/" TargetMode="External"/><Relationship Id="rId2209" Type="http://schemas.openxmlformats.org/officeDocument/2006/relationships/hyperlink" Target="https://prabhupadavani.org/transcriptions/750412r2hyd/" TargetMode="External"/><Relationship Id="rId23" Type="http://schemas.openxmlformats.org/officeDocument/2006/relationships/hyperlink" Target="https://prabhupadavani.org/transcriptions/bhagavad-g%C4%ABt%C4%81-436/" TargetMode="External"/><Relationship Id="rId26" Type="http://schemas.openxmlformats.org/officeDocument/2006/relationships/hyperlink" Target="https://prabhupadavani.org/transcriptions/bhagavad-g%C4%ABt%C4%81-479/" TargetMode="External"/><Relationship Id="rId25" Type="http://schemas.openxmlformats.org/officeDocument/2006/relationships/hyperlink" Target="https://prabhupadavani.org/transcriptions/bhagavad-g%C4%ABt%C4%81-468/" TargetMode="External"/><Relationship Id="rId28" Type="http://schemas.openxmlformats.org/officeDocument/2006/relationships/hyperlink" Target="https://prabhupadavani.org/transcriptions/bhagavad-g%C4%ABt%C4%81-411/" TargetMode="External"/><Relationship Id="rId27" Type="http://schemas.openxmlformats.org/officeDocument/2006/relationships/hyperlink" Target="https://prabhupadavani.org/transcriptions/bhagavad-g%C4%ABt%C4%81-4911/" TargetMode="External"/><Relationship Id="rId3531" Type="http://schemas.openxmlformats.org/officeDocument/2006/relationships/hyperlink" Target="https://prabhupadavani.org/transcriptions/770509edhri/" TargetMode="External"/><Relationship Id="rId29" Type="http://schemas.openxmlformats.org/officeDocument/2006/relationships/hyperlink" Target="https://prabhupadavani.org/transcriptions/bhagavad-g%C4%ABt%C4%81-41112/" TargetMode="External"/><Relationship Id="rId2200" Type="http://schemas.openxmlformats.org/officeDocument/2006/relationships/hyperlink" Target="https://prabhupadavani.org/transcriptions/750407ccmay/" TargetMode="External"/><Relationship Id="rId3530" Type="http://schemas.openxmlformats.org/officeDocument/2006/relationships/hyperlink" Target="https://prabhupadavani.org/transcriptions/770508r3hri/" TargetMode="External"/><Relationship Id="rId2201" Type="http://schemas.openxmlformats.org/officeDocument/2006/relationships/hyperlink" Target="https://prabhupadavani.org/transcriptions/750408mwmay/" TargetMode="External"/><Relationship Id="rId3533" Type="http://schemas.openxmlformats.org/officeDocument/2006/relationships/hyperlink" Target="https://prabhupadavani.org/transcriptions/770512edhri/" TargetMode="External"/><Relationship Id="rId2202" Type="http://schemas.openxmlformats.org/officeDocument/2006/relationships/hyperlink" Target="https://prabhupadavani.org/transcriptions/750408ccmay/" TargetMode="External"/><Relationship Id="rId3532" Type="http://schemas.openxmlformats.org/officeDocument/2006/relationships/hyperlink" Target="https://prabhupadavani.org/transcriptions/770511edhri/" TargetMode="External"/><Relationship Id="rId3524" Type="http://schemas.openxmlformats.org/officeDocument/2006/relationships/hyperlink" Target="https://prabhupadavani.org/transcriptions/770430r1bom/" TargetMode="External"/><Relationship Id="rId3523" Type="http://schemas.openxmlformats.org/officeDocument/2006/relationships/hyperlink" Target="https://prabhupadavani.org/transcriptions/770429r1bom/" TargetMode="External"/><Relationship Id="rId3526" Type="http://schemas.openxmlformats.org/officeDocument/2006/relationships/hyperlink" Target="https://prabhupadavani.org/transcriptions/770502r1bom/" TargetMode="External"/><Relationship Id="rId3525" Type="http://schemas.openxmlformats.org/officeDocument/2006/relationships/hyperlink" Target="https://prabhupadavani.org/transcriptions/770430r2bom/" TargetMode="External"/><Relationship Id="rId11" Type="http://schemas.openxmlformats.org/officeDocument/2006/relationships/hyperlink" Target="https://prabhupadavani.org/transcriptions/bhagavad-g%C4%ABt%C4%81-24951/" TargetMode="External"/><Relationship Id="rId3528" Type="http://schemas.openxmlformats.org/officeDocument/2006/relationships/hyperlink" Target="https://prabhupadavani.org/transcriptions/770508r1hri/" TargetMode="External"/><Relationship Id="rId10" Type="http://schemas.openxmlformats.org/officeDocument/2006/relationships/hyperlink" Target="https://prabhupadavani.org/transcriptions/bhagavad-g%C4%ABt%C4%81-24849/" TargetMode="External"/><Relationship Id="rId3527" Type="http://schemas.openxmlformats.org/officeDocument/2006/relationships/hyperlink" Target="https://prabhupadavani.org/transcriptions/770502r2bom/" TargetMode="External"/><Relationship Id="rId13" Type="http://schemas.openxmlformats.org/officeDocument/2006/relationships/hyperlink" Target="https://prabhupadavani.org/transcriptions/bhagavad-g%C4%ABt%C4%81-25556/" TargetMode="External"/><Relationship Id="rId12" Type="http://schemas.openxmlformats.org/officeDocument/2006/relationships/hyperlink" Target="https://prabhupadavani.org/transcriptions/bhagavad-g%C4%ABt%C4%81-25155/" TargetMode="External"/><Relationship Id="rId3529" Type="http://schemas.openxmlformats.org/officeDocument/2006/relationships/hyperlink" Target="https://prabhupadavani.org/transcriptions/770508r2hri/" TargetMode="External"/><Relationship Id="rId15" Type="http://schemas.openxmlformats.org/officeDocument/2006/relationships/hyperlink" Target="https://prabhupadavani.org/transcriptions/bhagavad-g%C4%ABt%C4%81-25859/" TargetMode="External"/><Relationship Id="rId14" Type="http://schemas.openxmlformats.org/officeDocument/2006/relationships/hyperlink" Target="https://prabhupadavani.org/transcriptions/bhagavad-g%C4%ABt%C4%81-25558/" TargetMode="External"/><Relationship Id="rId17" Type="http://schemas.openxmlformats.org/officeDocument/2006/relationships/hyperlink" Target="https://prabhupadavani.org/transcriptions/bhagavad-g%C4%ABt%C4%81-3813/" TargetMode="External"/><Relationship Id="rId16" Type="http://schemas.openxmlformats.org/officeDocument/2006/relationships/hyperlink" Target="https://prabhupadavani.org/transcriptions/bhagavad-g%C4%ABt%C4%81-25969/" TargetMode="External"/><Relationship Id="rId19" Type="http://schemas.openxmlformats.org/officeDocument/2006/relationships/hyperlink" Target="https://prabhupadavani.org/transcriptions/bhagavad-g%C4%ABt%C4%81-31617/" TargetMode="External"/><Relationship Id="rId3520" Type="http://schemas.openxmlformats.org/officeDocument/2006/relationships/hyperlink" Target="https://prabhupadavani.org/transcriptions/770425r2bom/" TargetMode="External"/><Relationship Id="rId18" Type="http://schemas.openxmlformats.org/officeDocument/2006/relationships/hyperlink" Target="https://prabhupadavani.org/transcriptions/bhagavad-g%C4%ABt%C4%81-31316/" TargetMode="External"/><Relationship Id="rId3522" Type="http://schemas.openxmlformats.org/officeDocument/2006/relationships/hyperlink" Target="https://prabhupadavani.org/transcriptions/770428r2bom/" TargetMode="External"/><Relationship Id="rId3521" Type="http://schemas.openxmlformats.org/officeDocument/2006/relationships/hyperlink" Target="https://prabhupadavani.org/transcriptions/770428r1bom/" TargetMode="External"/><Relationship Id="rId84" Type="http://schemas.openxmlformats.org/officeDocument/2006/relationships/hyperlink" Target="https://prabhupadavani.org/transcriptions/%C5%9Br%C4%AB-caitanya-carit%C4%81m%E1%B9%9Bta-madhya-l%C4%ABl%C4%81-20125136/" TargetMode="External"/><Relationship Id="rId1774" Type="http://schemas.openxmlformats.org/officeDocument/2006/relationships/hyperlink" Target="https://prabhupadavani.org/transcriptions/740414bgbom/" TargetMode="External"/><Relationship Id="rId83" Type="http://schemas.openxmlformats.org/officeDocument/2006/relationships/hyperlink" Target="https://prabhupadavani.org/transcriptions/%C5%9Br%C4%AB-caitanya-carit%C4%81m%E1%B9%9Bta-madhya-l%C4%ABl%C4%81-20124125/" TargetMode="External"/><Relationship Id="rId1775" Type="http://schemas.openxmlformats.org/officeDocument/2006/relationships/hyperlink" Target="https://prabhupadavani.org/transcriptions/740415bgbom/" TargetMode="External"/><Relationship Id="rId86" Type="http://schemas.openxmlformats.org/officeDocument/2006/relationships/hyperlink" Target="https://prabhupadavani.org/transcriptions/%C5%9Br%C4%AB-caitanya-carit%C4%81m%E1%B9%9Bta-madhya-l%C4%ABl%C4%81-20137/" TargetMode="External"/><Relationship Id="rId1776" Type="http://schemas.openxmlformats.org/officeDocument/2006/relationships/hyperlink" Target="https://prabhupadavani.org/transcriptions/740416mwbom/" TargetMode="External"/><Relationship Id="rId85" Type="http://schemas.openxmlformats.org/officeDocument/2006/relationships/hyperlink" Target="https://prabhupadavani.org/transcriptions/bhagavad-g%C4%ABt%C4%81-91819/" TargetMode="External"/><Relationship Id="rId1777" Type="http://schemas.openxmlformats.org/officeDocument/2006/relationships/hyperlink" Target="https://prabhupadavani.org/transcriptions/740416bgbom/" TargetMode="External"/><Relationship Id="rId88" Type="http://schemas.openxmlformats.org/officeDocument/2006/relationships/hyperlink" Target="https://prabhupadavani.org/transcriptions/bhagavad-g%C4%ABt%C4%81-92022/" TargetMode="External"/><Relationship Id="rId1778" Type="http://schemas.openxmlformats.org/officeDocument/2006/relationships/hyperlink" Target="https://prabhupadavani.org/transcriptions/740417mwbom/" TargetMode="External"/><Relationship Id="rId87" Type="http://schemas.openxmlformats.org/officeDocument/2006/relationships/hyperlink" Target="https://prabhupadavani.org/transcriptions/%C5%9Br%C4%AB-caitanya-carit%C4%81m%E1%B9%9Bta-madhya-l%C4%ABl%C4%81-20137142/" TargetMode="External"/><Relationship Id="rId1779" Type="http://schemas.openxmlformats.org/officeDocument/2006/relationships/hyperlink" Target="https://prabhupadavani.org/transcriptions/740417bgbom/" TargetMode="External"/><Relationship Id="rId89" Type="http://schemas.openxmlformats.org/officeDocument/2006/relationships/hyperlink" Target="https://prabhupadavani.org/transcriptions/%C5%9Br%C4%AB-caitanya-carit%C4%81m%E1%B9%9Bta-madhya-l%C4%ABl%C4%81-20142144/" TargetMode="External"/><Relationship Id="rId80" Type="http://schemas.openxmlformats.org/officeDocument/2006/relationships/hyperlink" Target="https://prabhupadavani.org/transcriptions/%C5%9Br%C4%AB-caitanya-carit%C4%81m%E1%B9%9Bta-madhya-l%C4%ABl%C4%81-20119121/" TargetMode="External"/><Relationship Id="rId82" Type="http://schemas.openxmlformats.org/officeDocument/2006/relationships/hyperlink" Target="https://prabhupadavani.org/transcriptions/%C5%9Br%C4%AB-caitanya-carit%C4%81m%E1%B9%9Bta-madhya-l%C4%ABl%C4%81-20121124/" TargetMode="External"/><Relationship Id="rId81" Type="http://schemas.openxmlformats.org/officeDocument/2006/relationships/hyperlink" Target="https://prabhupadavani.org/transcriptions/bhagavad-g%C4%ABt%C4%81-91518/" TargetMode="External"/><Relationship Id="rId1770" Type="http://schemas.openxmlformats.org/officeDocument/2006/relationships/hyperlink" Target="https://prabhupadavani.org/transcriptions/740412bgbom/" TargetMode="External"/><Relationship Id="rId1771" Type="http://schemas.openxmlformats.org/officeDocument/2006/relationships/hyperlink" Target="https://prabhupadavani.org/transcriptions/740413mwbom/" TargetMode="External"/><Relationship Id="rId1772" Type="http://schemas.openxmlformats.org/officeDocument/2006/relationships/hyperlink" Target="https://prabhupadavani.org/transcriptions/740413bgbom/" TargetMode="External"/><Relationship Id="rId1773" Type="http://schemas.openxmlformats.org/officeDocument/2006/relationships/hyperlink" Target="https://prabhupadavani.org/transcriptions/740414mwbom/" TargetMode="External"/><Relationship Id="rId73" Type="http://schemas.openxmlformats.org/officeDocument/2006/relationships/hyperlink" Target="https://prabhupadavani.org/transcriptions/%C5%9Br%C4%AB-caitanya-carit%C4%81m%E1%B9%9Bta-madhya-l%C4%ABl%C4%81-206696/" TargetMode="External"/><Relationship Id="rId1763" Type="http://schemas.openxmlformats.org/officeDocument/2006/relationships/hyperlink" Target="https://prabhupadavani.org/transcriptions/740408bgbom/" TargetMode="External"/><Relationship Id="rId72" Type="http://schemas.openxmlformats.org/officeDocument/2006/relationships/hyperlink" Target="https://prabhupadavani.org/transcriptions/bhagavad-g%C4%ABt%C4%81-913/" TargetMode="External"/><Relationship Id="rId1764" Type="http://schemas.openxmlformats.org/officeDocument/2006/relationships/hyperlink" Target="https://prabhupadavani.org/transcriptions/740409bgbom/" TargetMode="External"/><Relationship Id="rId75" Type="http://schemas.openxmlformats.org/officeDocument/2006/relationships/hyperlink" Target="https://prabhupadavani.org/transcriptions/bhagavad-g%C4%ABt%C4%81-91415/" TargetMode="External"/><Relationship Id="rId1765" Type="http://schemas.openxmlformats.org/officeDocument/2006/relationships/hyperlink" Target="https://prabhupadavani.org/transcriptions/740410mwbom/" TargetMode="External"/><Relationship Id="rId74" Type="http://schemas.openxmlformats.org/officeDocument/2006/relationships/hyperlink" Target="https://prabhupadavani.org/transcriptions/%C5%9Br%C4%AB-caitanya-carit%C4%81m%E1%B9%9Bta-madhya-l%C4%ABl%C4%81-209799/" TargetMode="External"/><Relationship Id="rId1766" Type="http://schemas.openxmlformats.org/officeDocument/2006/relationships/hyperlink" Target="https://prabhupadavani.org/transcriptions/740410bgbom/" TargetMode="External"/><Relationship Id="rId77" Type="http://schemas.openxmlformats.org/officeDocument/2006/relationships/hyperlink" Target="https://prabhupadavani.org/transcriptions/%C5%9Br%C4%AB-caitanya-carit%C4%81m%E1%B9%9Bta-madhya-l%C4%ABl%C4%81-20100118/" TargetMode="External"/><Relationship Id="rId1767" Type="http://schemas.openxmlformats.org/officeDocument/2006/relationships/hyperlink" Target="https://prabhupadavani.org/transcriptions/740411mwbom/" TargetMode="External"/><Relationship Id="rId76" Type="http://schemas.openxmlformats.org/officeDocument/2006/relationships/hyperlink" Target="https://prabhupadavani.org/transcriptions/%C5%9Br%C4%AB-caitanya-carit%C4%81m%E1%B9%9Bta-madhya-l%C4%ABl%C4%81-20100108/" TargetMode="External"/><Relationship Id="rId1768" Type="http://schemas.openxmlformats.org/officeDocument/2006/relationships/hyperlink" Target="https://prabhupadavani.org/transcriptions/740411bgbom/" TargetMode="External"/><Relationship Id="rId79" Type="http://schemas.openxmlformats.org/officeDocument/2006/relationships/hyperlink" Target="https://prabhupadavani.org/transcriptions/%C5%9Br%C4%AB-caitanya-carit%C4%81m%E1%B9%9Bta-madhya-l%C4%ABl%C4%81-20118119/" TargetMode="External"/><Relationship Id="rId1769" Type="http://schemas.openxmlformats.org/officeDocument/2006/relationships/hyperlink" Target="https://prabhupadavani.org/transcriptions/740412mwbom/" TargetMode="External"/><Relationship Id="rId78" Type="http://schemas.openxmlformats.org/officeDocument/2006/relationships/hyperlink" Target="https://prabhupadavani.org/transcriptions/bhagavad-g%C4%ABt%C4%81-915/" TargetMode="External"/><Relationship Id="rId71" Type="http://schemas.openxmlformats.org/officeDocument/2006/relationships/hyperlink" Target="https://prabhupadavani.org/transcriptions/bhagavad-g%C4%ABt%C4%81-91114/" TargetMode="External"/><Relationship Id="rId70" Type="http://schemas.openxmlformats.org/officeDocument/2006/relationships/hyperlink" Target="https://prabhupadavani.org/transcriptions/bhagavad-g%C4%ABt%C4%81-9710/" TargetMode="External"/><Relationship Id="rId1760" Type="http://schemas.openxmlformats.org/officeDocument/2006/relationships/hyperlink" Target="https://prabhupadavani.org/transcriptions/740407mwbom/" TargetMode="External"/><Relationship Id="rId1761" Type="http://schemas.openxmlformats.org/officeDocument/2006/relationships/hyperlink" Target="https://prabhupadavani.org/transcriptions/740407bgbom/" TargetMode="External"/><Relationship Id="rId1762" Type="http://schemas.openxmlformats.org/officeDocument/2006/relationships/hyperlink" Target="https://prabhupadavani.org/transcriptions/740408mwbom/" TargetMode="External"/><Relationship Id="rId62" Type="http://schemas.openxmlformats.org/officeDocument/2006/relationships/hyperlink" Target="https://prabhupadavani.org/transcriptions/bhagavad-g%C4%ABt%C4%81-82122/" TargetMode="External"/><Relationship Id="rId1796" Type="http://schemas.openxmlformats.org/officeDocument/2006/relationships/hyperlink" Target="https://prabhupadavani.org/transcriptions/740424sbhyd/" TargetMode="External"/><Relationship Id="rId61" Type="http://schemas.openxmlformats.org/officeDocument/2006/relationships/hyperlink" Target="https://prabhupadavani.org/transcriptions/bhagavad-g%C4%ABt%C4%81-82022/" TargetMode="External"/><Relationship Id="rId1797" Type="http://schemas.openxmlformats.org/officeDocument/2006/relationships/hyperlink" Target="https://prabhupadavani.org/transcriptions/740425letir/" TargetMode="External"/><Relationship Id="rId64" Type="http://schemas.openxmlformats.org/officeDocument/2006/relationships/hyperlink" Target="https://prabhupadavani.org/transcriptions/bhagavad-g%C4%ABt%C4%81-82227/" TargetMode="External"/><Relationship Id="rId1798" Type="http://schemas.openxmlformats.org/officeDocument/2006/relationships/hyperlink" Target="https://prabhupadavani.org/transcriptions/740426sbtir/" TargetMode="External"/><Relationship Id="rId63" Type="http://schemas.openxmlformats.org/officeDocument/2006/relationships/hyperlink" Target="https://prabhupadavani.org/transcriptions/brahma-sa%E1%B9%81hit%C4%81-52941-purport/" TargetMode="External"/><Relationship Id="rId1799" Type="http://schemas.openxmlformats.org/officeDocument/2006/relationships/hyperlink" Target="https://prabhupadavani.org/transcriptions/740426ivtir/" TargetMode="External"/><Relationship Id="rId66" Type="http://schemas.openxmlformats.org/officeDocument/2006/relationships/hyperlink" Target="https://prabhupadavani.org/transcriptions/bhagavad-g%C4%ABt%C4%81-92/" TargetMode="External"/><Relationship Id="rId65" Type="http://schemas.openxmlformats.org/officeDocument/2006/relationships/hyperlink" Target="https://prabhupadavani.org/transcriptions/bhagavad-g%C4%ABt%C4%81-82892/" TargetMode="External"/><Relationship Id="rId68" Type="http://schemas.openxmlformats.org/officeDocument/2006/relationships/hyperlink" Target="https://prabhupadavani.org/transcriptions/bhagavad-g%C4%ABt%C4%81-924/" TargetMode="External"/><Relationship Id="rId67" Type="http://schemas.openxmlformats.org/officeDocument/2006/relationships/hyperlink" Target="https://prabhupadavani.org/transcriptions/govardhana-p%C5%ABj%C4%81-lecture/" TargetMode="External"/><Relationship Id="rId60" Type="http://schemas.openxmlformats.org/officeDocument/2006/relationships/hyperlink" Target="https://prabhupadavani.org/transcriptions/bhagavad-g%C4%ABt%C4%81-81520/" TargetMode="External"/><Relationship Id="rId69" Type="http://schemas.openxmlformats.org/officeDocument/2006/relationships/hyperlink" Target="https://prabhupadavani.org/transcriptions/bhagavad-g%C4%ABt%C4%81-947/" TargetMode="External"/><Relationship Id="rId1790" Type="http://schemas.openxmlformats.org/officeDocument/2006/relationships/hyperlink" Target="https://prabhupadavani.org/transcriptions/740422mwhyd/" TargetMode="External"/><Relationship Id="rId1791" Type="http://schemas.openxmlformats.org/officeDocument/2006/relationships/hyperlink" Target="https://prabhupadavani.org/transcriptions/740422sbhyd/" TargetMode="External"/><Relationship Id="rId1792" Type="http://schemas.openxmlformats.org/officeDocument/2006/relationships/hyperlink" Target="https://prabhupadavani.org/transcriptions/740423mwhyd/" TargetMode="External"/><Relationship Id="rId1793" Type="http://schemas.openxmlformats.org/officeDocument/2006/relationships/hyperlink" Target="https://prabhupadavani.org/transcriptions/740423sbhyd/" TargetMode="External"/><Relationship Id="rId1794" Type="http://schemas.openxmlformats.org/officeDocument/2006/relationships/hyperlink" Target="https://prabhupadavani.org/transcriptions/740423lehyd/" TargetMode="External"/><Relationship Id="rId1795" Type="http://schemas.openxmlformats.org/officeDocument/2006/relationships/hyperlink" Target="https://prabhupadavani.org/transcriptions/740424mwhyd/" TargetMode="External"/><Relationship Id="rId51" Type="http://schemas.openxmlformats.org/officeDocument/2006/relationships/hyperlink" Target="https://prabhupadavani.org/transcriptions/bhagavad-g%C4%ABt%C4%81-63240/" TargetMode="External"/><Relationship Id="rId1785" Type="http://schemas.openxmlformats.org/officeDocument/2006/relationships/hyperlink" Target="https://prabhupadavani.org/transcriptions/740419bghyd/" TargetMode="External"/><Relationship Id="rId50" Type="http://schemas.openxmlformats.org/officeDocument/2006/relationships/hyperlink" Target="https://prabhupadavani.org/transcriptions/bhagavad-g%C4%ABt%C4%81-62127/" TargetMode="External"/><Relationship Id="rId1786" Type="http://schemas.openxmlformats.org/officeDocument/2006/relationships/hyperlink" Target="https://prabhupadavani.org/transcriptions/740420mwhyd/" TargetMode="External"/><Relationship Id="rId53" Type="http://schemas.openxmlformats.org/officeDocument/2006/relationships/hyperlink" Target="https://prabhupadavani.org/transcriptions/bhagavad-g%C4%ABt%C4%81-7814/" TargetMode="External"/><Relationship Id="rId1787" Type="http://schemas.openxmlformats.org/officeDocument/2006/relationships/hyperlink" Target="https://prabhupadavani.org/transcriptions/740420r1hyd/" TargetMode="External"/><Relationship Id="rId52" Type="http://schemas.openxmlformats.org/officeDocument/2006/relationships/hyperlink" Target="https://prabhupadavani.org/transcriptions/bhagavad-g%C4%ABt%C4%81-64043/" TargetMode="External"/><Relationship Id="rId1788" Type="http://schemas.openxmlformats.org/officeDocument/2006/relationships/hyperlink" Target="https://prabhupadavani.org/transcriptions/740420bghyd/" TargetMode="External"/><Relationship Id="rId55" Type="http://schemas.openxmlformats.org/officeDocument/2006/relationships/hyperlink" Target="https://prabhupadavani.org/transcriptions/bhagavad-g%C4%ABt%C4%81-71518/" TargetMode="External"/><Relationship Id="rId1789" Type="http://schemas.openxmlformats.org/officeDocument/2006/relationships/hyperlink" Target="https://prabhupadavani.org/transcriptions/740421sbhyd/" TargetMode="External"/><Relationship Id="rId54" Type="http://schemas.openxmlformats.org/officeDocument/2006/relationships/hyperlink" Target="https://prabhupadavani.org/transcriptions/bhagavad-g%C4%ABt%C4%81-71116/" TargetMode="External"/><Relationship Id="rId57" Type="http://schemas.openxmlformats.org/officeDocument/2006/relationships/hyperlink" Target="https://prabhupadavani.org/transcriptions/bhagavad-g%C4%ABt%C4%81-72886/" TargetMode="External"/><Relationship Id="rId56" Type="http://schemas.openxmlformats.org/officeDocument/2006/relationships/hyperlink" Target="https://prabhupadavani.org/transcriptions/bhagavad-g%C4%ABt%C4%81-71820/" TargetMode="External"/><Relationship Id="rId59" Type="http://schemas.openxmlformats.org/officeDocument/2006/relationships/hyperlink" Target="https://prabhupadavani.org/transcriptions/bhagavad-g%C4%ABt%C4%81-81415/" TargetMode="External"/><Relationship Id="rId58" Type="http://schemas.openxmlformats.org/officeDocument/2006/relationships/hyperlink" Target="https://prabhupadavani.org/transcriptions/bhagavad-g%C4%ABt%C4%81-81214/" TargetMode="External"/><Relationship Id="rId1780" Type="http://schemas.openxmlformats.org/officeDocument/2006/relationships/hyperlink" Target="https://prabhupadavani.org/transcriptions/740418mwbom/" TargetMode="External"/><Relationship Id="rId1781" Type="http://schemas.openxmlformats.org/officeDocument/2006/relationships/hyperlink" Target="https://prabhupadavani.org/transcriptions/740418sbhyd/" TargetMode="External"/><Relationship Id="rId1782" Type="http://schemas.openxmlformats.org/officeDocument/2006/relationships/hyperlink" Target="https://prabhupadavani.org/transcriptions/740418pchyd/" TargetMode="External"/><Relationship Id="rId1783" Type="http://schemas.openxmlformats.org/officeDocument/2006/relationships/hyperlink" Target="https://prabhupadavani.org/transcriptions/740419mwhyd/" TargetMode="External"/><Relationship Id="rId1784" Type="http://schemas.openxmlformats.org/officeDocument/2006/relationships/hyperlink" Target="https://prabhupadavani.org/transcriptions/740419lehyd/" TargetMode="External"/><Relationship Id="rId2269" Type="http://schemas.openxmlformats.org/officeDocument/2006/relationships/hyperlink" Target="https://prabhupadavani.org/transcriptions/750527mwhon/" TargetMode="External"/><Relationship Id="rId349" Type="http://schemas.openxmlformats.org/officeDocument/2006/relationships/hyperlink" Target="https://prabhupadavani.org/transcriptions/%C5%9Br%C4%ABmad-bh%C4%81gavatam-551/" TargetMode="External"/><Relationship Id="rId348" Type="http://schemas.openxmlformats.org/officeDocument/2006/relationships/hyperlink" Target="https://prabhupadavani.org/transcriptions/sunday-feast-lecture/" TargetMode="External"/><Relationship Id="rId347" Type="http://schemas.openxmlformats.org/officeDocument/2006/relationships/hyperlink" Target="https://prabhupadavani.org/transcriptions/bhajan-purport-parama-koru%E1%B9%87_690119/" TargetMode="External"/><Relationship Id="rId346" Type="http://schemas.openxmlformats.org/officeDocument/2006/relationships/hyperlink" Target="https://prabhupadavani.org/transcriptions/lecture_690115/" TargetMode="External"/><Relationship Id="rId3591" Type="http://schemas.openxmlformats.org/officeDocument/2006/relationships/hyperlink" Target="https://prabhupadavani.org/transcriptions/770706r1vrn/" TargetMode="External"/><Relationship Id="rId2260" Type="http://schemas.openxmlformats.org/officeDocument/2006/relationships/hyperlink" Target="https://prabhupadavani.org/transcriptions/750522mwmel/" TargetMode="External"/><Relationship Id="rId3590" Type="http://schemas.openxmlformats.org/officeDocument/2006/relationships/hyperlink" Target="https://prabhupadavani.org/transcriptions/770705r1vrn/" TargetMode="External"/><Relationship Id="rId341" Type="http://schemas.openxmlformats.org/officeDocument/2006/relationships/hyperlink" Target="https://prabhupadavani.org/transcriptions/purport-%C5%9Br%C4%AB-k%E1%B9%9B%E1%B9%A3%E1%B9%87-caitanya-prabhu/" TargetMode="External"/><Relationship Id="rId2261" Type="http://schemas.openxmlformats.org/officeDocument/2006/relationships/hyperlink" Target="https://prabhupadavani.org/transcriptions/750522sbmel/" TargetMode="External"/><Relationship Id="rId3593" Type="http://schemas.openxmlformats.org/officeDocument/2006/relationships/hyperlink" Target="https://prabhupadavani.org/transcriptions/770707r2vrn/" TargetMode="External"/><Relationship Id="rId340" Type="http://schemas.openxmlformats.org/officeDocument/2006/relationships/hyperlink" Target="https://prabhupadavani.org/transcriptions/bhagavad-g%C4%ABt%C4%81-431/" TargetMode="External"/><Relationship Id="rId2262" Type="http://schemas.openxmlformats.org/officeDocument/2006/relationships/hyperlink" Target="https://prabhupadavani.org/transcriptions/750522r1mel/" TargetMode="External"/><Relationship Id="rId3592" Type="http://schemas.openxmlformats.org/officeDocument/2006/relationships/hyperlink" Target="https://prabhupadavani.org/transcriptions/770707r1vrn/" TargetMode="External"/><Relationship Id="rId2263" Type="http://schemas.openxmlformats.org/officeDocument/2006/relationships/hyperlink" Target="https://prabhupadavani.org/transcriptions/750522r2mel/" TargetMode="External"/><Relationship Id="rId3595" Type="http://schemas.openxmlformats.org/officeDocument/2006/relationships/hyperlink" Target="https://prabhupadavani.org/transcriptions/770708r1vrn/" TargetMode="External"/><Relationship Id="rId2264" Type="http://schemas.openxmlformats.org/officeDocument/2006/relationships/hyperlink" Target="https://prabhupadavani.org/transcriptions/750523mwmel/" TargetMode="External"/><Relationship Id="rId3594" Type="http://schemas.openxmlformats.org/officeDocument/2006/relationships/hyperlink" Target="https://prabhupadavani.org/transcriptions/770707r3vrn/" TargetMode="External"/><Relationship Id="rId345" Type="http://schemas.openxmlformats.org/officeDocument/2006/relationships/hyperlink" Target="https://prabhupadavani.org/transcriptions/bhagavad-g%C4%ABt%C4%81-43942/" TargetMode="External"/><Relationship Id="rId2265" Type="http://schemas.openxmlformats.org/officeDocument/2006/relationships/hyperlink" Target="https://prabhupadavani.org/transcriptions/750524bgfij/" TargetMode="External"/><Relationship Id="rId3597" Type="http://schemas.openxmlformats.org/officeDocument/2006/relationships/hyperlink" Target="https://prabhupadavani.org/transcriptions/770710r1vrn/" TargetMode="External"/><Relationship Id="rId344" Type="http://schemas.openxmlformats.org/officeDocument/2006/relationships/hyperlink" Target="https://prabhupadavani.org/transcriptions/lecture-partially-recorded/" TargetMode="External"/><Relationship Id="rId2266" Type="http://schemas.openxmlformats.org/officeDocument/2006/relationships/hyperlink" Target="https://prabhupadavani.org/transcriptions/750525ivfij/" TargetMode="External"/><Relationship Id="rId3596" Type="http://schemas.openxmlformats.org/officeDocument/2006/relationships/hyperlink" Target="https://prabhupadavani.org/transcriptions/770708r2vrn/" TargetMode="External"/><Relationship Id="rId343" Type="http://schemas.openxmlformats.org/officeDocument/2006/relationships/hyperlink" Target="https://prabhupadavani.org/transcriptions/bhagavad-g%C4%ABt%C4%81-42630/" TargetMode="External"/><Relationship Id="rId2267" Type="http://schemas.openxmlformats.org/officeDocument/2006/relationships/hyperlink" Target="https://prabhupadavani.org/transcriptions/750525arhon/" TargetMode="External"/><Relationship Id="rId3599" Type="http://schemas.openxmlformats.org/officeDocument/2006/relationships/hyperlink" Target="https://prabhupadavani.org/transcriptions/770714r2vrn/" TargetMode="External"/><Relationship Id="rId342" Type="http://schemas.openxmlformats.org/officeDocument/2006/relationships/hyperlink" Target="https://prabhupadavani.org/transcriptions/bhagavad-g%C4%ABt%C4%81-43439/" TargetMode="External"/><Relationship Id="rId2268" Type="http://schemas.openxmlformats.org/officeDocument/2006/relationships/hyperlink" Target="https://prabhupadavani.org/transcriptions/750525lehon/" TargetMode="External"/><Relationship Id="rId3598" Type="http://schemas.openxmlformats.org/officeDocument/2006/relationships/hyperlink" Target="https://prabhupadavani.org/transcriptions/770714r1vrn/" TargetMode="External"/><Relationship Id="rId2258" Type="http://schemas.openxmlformats.org/officeDocument/2006/relationships/hyperlink" Target="https://prabhupadavani.org/transcriptions/750521r1mel/" TargetMode="External"/><Relationship Id="rId2259" Type="http://schemas.openxmlformats.org/officeDocument/2006/relationships/hyperlink" Target="https://prabhupadavani.org/transcriptions/750522r2mel/" TargetMode="External"/><Relationship Id="rId3589" Type="http://schemas.openxmlformats.org/officeDocument/2006/relationships/hyperlink" Target="https://prabhupadavani.org/transcriptions/770705dcvrn/" TargetMode="External"/><Relationship Id="rId338" Type="http://schemas.openxmlformats.org/officeDocument/2006/relationships/hyperlink" Target="https://prabhupadavani.org/transcriptions/initiations-weddings/" TargetMode="External"/><Relationship Id="rId337" Type="http://schemas.openxmlformats.org/officeDocument/2006/relationships/hyperlink" Target="https://prabhupadavani.org/transcriptions/bhajan-purport-gaur%C4%81%E1%B9%85ga-bolite-habe/" TargetMode="External"/><Relationship Id="rId336" Type="http://schemas.openxmlformats.org/officeDocument/2006/relationships/hyperlink" Target="https://prabhupadavani.org/transcriptions/bhagavad-g%C4%ABt%C4%81-41925/" TargetMode="External"/><Relationship Id="rId335" Type="http://schemas.openxmlformats.org/officeDocument/2006/relationships/hyperlink" Target="https://prabhupadavani.org/transcriptions/bhajan-purport-ma%E1%B9%85gal%C4%81cara%E1%B9%87-prayers/" TargetMode="External"/><Relationship Id="rId3580" Type="http://schemas.openxmlformats.org/officeDocument/2006/relationships/hyperlink" Target="https://prabhupadavani.org/transcriptions/770701r1vrn/" TargetMode="External"/><Relationship Id="rId339" Type="http://schemas.openxmlformats.org/officeDocument/2006/relationships/hyperlink" Target="https://prabhupadavani.org/transcriptions/bhajan-purport-gaura-pah%C5%AB/" TargetMode="External"/><Relationship Id="rId330" Type="http://schemas.openxmlformats.org/officeDocument/2006/relationships/hyperlink" Target="https://prabhupadavani.org/transcriptions/bhagavad-g%C4%ABt%C4%81-416/" TargetMode="External"/><Relationship Id="rId2250" Type="http://schemas.openxmlformats.org/officeDocument/2006/relationships/hyperlink" Target="https://prabhupadavani.org/transcriptions/750519sbmel/" TargetMode="External"/><Relationship Id="rId3582" Type="http://schemas.openxmlformats.org/officeDocument/2006/relationships/hyperlink" Target="https://prabhupadavani.org/transcriptions/770701r3vrn/" TargetMode="External"/><Relationship Id="rId2251" Type="http://schemas.openxmlformats.org/officeDocument/2006/relationships/hyperlink" Target="https://prabhupadavani.org/transcriptions/750519r2mel/" TargetMode="External"/><Relationship Id="rId3581" Type="http://schemas.openxmlformats.org/officeDocument/2006/relationships/hyperlink" Target="https://prabhupadavani.org/transcriptions/770701r2vrn/" TargetMode="External"/><Relationship Id="rId2252" Type="http://schemas.openxmlformats.org/officeDocument/2006/relationships/hyperlink" Target="https://prabhupadavani.org/transcriptions/750519r1mel/" TargetMode="External"/><Relationship Id="rId3584" Type="http://schemas.openxmlformats.org/officeDocument/2006/relationships/hyperlink" Target="https://prabhupadavani.org/transcriptions/770701r5vrn/" TargetMode="External"/><Relationship Id="rId2253" Type="http://schemas.openxmlformats.org/officeDocument/2006/relationships/hyperlink" Target="https://prabhupadavani.org/transcriptions/750520mwmel/" TargetMode="External"/><Relationship Id="rId3583" Type="http://schemas.openxmlformats.org/officeDocument/2006/relationships/hyperlink" Target="https://prabhupadavani.org/transcriptions/770701r4vrn/" TargetMode="External"/><Relationship Id="rId334" Type="http://schemas.openxmlformats.org/officeDocument/2006/relationships/hyperlink" Target="https://prabhupadavani.org/transcriptions/bhagavad-g%C4%ABt%C4%81-41118/" TargetMode="External"/><Relationship Id="rId2254" Type="http://schemas.openxmlformats.org/officeDocument/2006/relationships/hyperlink" Target="https://prabhupadavani.org/transcriptions/750520sbmel/" TargetMode="External"/><Relationship Id="rId3586" Type="http://schemas.openxmlformats.org/officeDocument/2006/relationships/hyperlink" Target="https://prabhupadavani.org/transcriptions/770702dcvrn/" TargetMode="External"/><Relationship Id="rId333" Type="http://schemas.openxmlformats.org/officeDocument/2006/relationships/hyperlink" Target="https://prabhupadavani.org/transcriptions/bhajan-purport-gaur%C4%81%E1%B9%87gera-du%E1%B9%ADi-pada/" TargetMode="External"/><Relationship Id="rId2255" Type="http://schemas.openxmlformats.org/officeDocument/2006/relationships/hyperlink" Target="https://prabhupadavani.org/transcriptions/750520r1mel/" TargetMode="External"/><Relationship Id="rId3585" Type="http://schemas.openxmlformats.org/officeDocument/2006/relationships/hyperlink" Target="https://prabhupadavani.org/transcriptions/770701r6vrn/" TargetMode="External"/><Relationship Id="rId332" Type="http://schemas.openxmlformats.org/officeDocument/2006/relationships/hyperlink" Target="https://prabhupadavani.org/transcriptions/bhagavad-g%C4%ABt%C4%81-4710/" TargetMode="External"/><Relationship Id="rId2256" Type="http://schemas.openxmlformats.org/officeDocument/2006/relationships/hyperlink" Target="https://prabhupadavani.org/transcriptions/750521mwmel/" TargetMode="External"/><Relationship Id="rId3588" Type="http://schemas.openxmlformats.org/officeDocument/2006/relationships/hyperlink" Target="https://prabhupadavani.org/transcriptions/770703dcvrn/" TargetMode="External"/><Relationship Id="rId331" Type="http://schemas.openxmlformats.org/officeDocument/2006/relationships/hyperlink" Target="https://prabhupadavani.org/transcriptions/bhajan-purport-parama-koru%E1%B9%87/" TargetMode="External"/><Relationship Id="rId2257" Type="http://schemas.openxmlformats.org/officeDocument/2006/relationships/hyperlink" Target="https://prabhupadavani.org/transcriptions/750521sbmel/" TargetMode="External"/><Relationship Id="rId3587" Type="http://schemas.openxmlformats.org/officeDocument/2006/relationships/hyperlink" Target="https://prabhupadavani.org/transcriptions/770702r1vrn/" TargetMode="External"/><Relationship Id="rId370" Type="http://schemas.openxmlformats.org/officeDocument/2006/relationships/hyperlink" Target="https://prabhupadavani.org/transcriptions/day-after-%C5%9Br%C4%AB-gaura-p%C5%ABr%E1%B9%87im%C4%81-lecture/" TargetMode="External"/><Relationship Id="rId369" Type="http://schemas.openxmlformats.org/officeDocument/2006/relationships/hyperlink" Target="https://prabhupadavani.org/transcriptions/bhagavad-g%C4%ABt%C4%81-71/" TargetMode="External"/><Relationship Id="rId368" Type="http://schemas.openxmlformats.org/officeDocument/2006/relationships/hyperlink" Target="https://prabhupadavani.org/transcriptions/bhagavad-g%C4%ABt%C4%81-63545-s%C4%81%E1%B9%85khya-yoga-system/" TargetMode="External"/><Relationship Id="rId2280" Type="http://schemas.openxmlformats.org/officeDocument/2006/relationships/hyperlink" Target="https://prabhupadavani.org/transcriptions/750608sbhon/" TargetMode="External"/><Relationship Id="rId2281" Type="http://schemas.openxmlformats.org/officeDocument/2006/relationships/hyperlink" Target="https://prabhupadavani.org/transcriptions/750610mwhon/" TargetMode="External"/><Relationship Id="rId2282" Type="http://schemas.openxmlformats.org/officeDocument/2006/relationships/hyperlink" Target="https://prabhupadavani.org/transcriptions/750611mwhon/" TargetMode="External"/><Relationship Id="rId363" Type="http://schemas.openxmlformats.org/officeDocument/2006/relationships/hyperlink" Target="https://prabhupadavani.org/transcriptions/bhagavad-g%C4%ABt%C4%81-6612-s%C4%81%E1%B9%85khya-yoga-system/" TargetMode="External"/><Relationship Id="rId2283" Type="http://schemas.openxmlformats.org/officeDocument/2006/relationships/hyperlink" Target="https://prabhupadavani.org/transcriptions/750611r1hon/" TargetMode="External"/><Relationship Id="rId362" Type="http://schemas.openxmlformats.org/officeDocument/2006/relationships/hyperlink" Target="https://prabhupadavani.org/transcriptions/bhagavad-g%C4%ABt%C4%81-625-s%C4%81%E1%B9%85khya-yoga-system/" TargetMode="External"/><Relationship Id="rId2284" Type="http://schemas.openxmlformats.org/officeDocument/2006/relationships/hyperlink" Target="https://prabhupadavani.org/transcriptions/750612r1hon/" TargetMode="External"/><Relationship Id="rId361" Type="http://schemas.openxmlformats.org/officeDocument/2006/relationships/hyperlink" Target="https://prabhupadavani.org/transcriptions/bhagavad-g%C4%ABt%C4%81-61-s%C4%81%E1%B9%85khya-yoga-system/" TargetMode="External"/><Relationship Id="rId2285" Type="http://schemas.openxmlformats.org/officeDocument/2006/relationships/hyperlink" Target="https://prabhupadavani.org/transcriptions/750614mwhon/" TargetMode="External"/><Relationship Id="rId360" Type="http://schemas.openxmlformats.org/officeDocument/2006/relationships/hyperlink" Target="https://prabhupadavani.org/transcriptions/radio-interview/" TargetMode="External"/><Relationship Id="rId2286" Type="http://schemas.openxmlformats.org/officeDocument/2006/relationships/hyperlink" Target="https://prabhupadavani.org/transcriptions/750614r1hon/" TargetMode="External"/><Relationship Id="rId367" Type="http://schemas.openxmlformats.org/officeDocument/2006/relationships/hyperlink" Target="https://prabhupadavani.org/transcriptions/bhagavad-g%C4%ABt%C4%81-63034-s%C4%81%E1%B9%85khya-yoga-system/" TargetMode="External"/><Relationship Id="rId2287" Type="http://schemas.openxmlformats.org/officeDocument/2006/relationships/hyperlink" Target="https://prabhupadavani.org/transcriptions/750615mwhon/" TargetMode="External"/><Relationship Id="rId366" Type="http://schemas.openxmlformats.org/officeDocument/2006/relationships/hyperlink" Target="https://prabhupadavani.org/transcriptions/bhagavad-g%C4%ABt%C4%81-62529-s%C4%81%E1%B9%85khya-yoga-system/" TargetMode="External"/><Relationship Id="rId2288" Type="http://schemas.openxmlformats.org/officeDocument/2006/relationships/hyperlink" Target="https://prabhupadavani.org/transcriptions/750615r1hon/" TargetMode="External"/><Relationship Id="rId365" Type="http://schemas.openxmlformats.org/officeDocument/2006/relationships/hyperlink" Target="https://prabhupadavani.org/transcriptions/bhagavad-g%C4%ABt%C4%81-61624-s%C4%81%E1%B9%85khya-yoga-system/" TargetMode="External"/><Relationship Id="rId2289" Type="http://schemas.openxmlformats.org/officeDocument/2006/relationships/hyperlink" Target="https://prabhupadavani.org/transcriptions/750615r2hon/" TargetMode="External"/><Relationship Id="rId364" Type="http://schemas.openxmlformats.org/officeDocument/2006/relationships/hyperlink" Target="https://prabhupadavani.org/transcriptions/bhagavad-g%C4%ABt%C4%81-61315-s%C4%81%E1%B9%85khya-yoga-system/" TargetMode="External"/><Relationship Id="rId95" Type="http://schemas.openxmlformats.org/officeDocument/2006/relationships/hyperlink" Target="https://prabhupadavani.org/transcriptions/bhagavad-g%C4%ABt%C4%81-92324/" TargetMode="External"/><Relationship Id="rId94" Type="http://schemas.openxmlformats.org/officeDocument/2006/relationships/hyperlink" Target="https://prabhupadavani.org/transcriptions/%C5%9Br%C4%AB-caitanya-carit%C4%81m%E1%B9%9Bta-madhya-l%C4%ABl%C4%81-20154157/" TargetMode="External"/><Relationship Id="rId97" Type="http://schemas.openxmlformats.org/officeDocument/2006/relationships/hyperlink" Target="https://prabhupadavani.org/transcriptions/bhagavad-g%C4%ABt%C4%81-92426/" TargetMode="External"/><Relationship Id="rId96" Type="http://schemas.openxmlformats.org/officeDocument/2006/relationships/hyperlink" Target="https://prabhupadavani.org/transcriptions/%C5%9Br%C4%AB-caitanya-carit%C4%81m%E1%B9%9Bta-madhya-l%C4%ABl%C4%81-20156162-partial-recording/" TargetMode="External"/><Relationship Id="rId99" Type="http://schemas.openxmlformats.org/officeDocument/2006/relationships/hyperlink" Target="https://prabhupadavani.org/transcriptions/%C5%9Br%C4%AB-caitanya-carit%C4%81m%E1%B9%9Bta-madhya-l%C4%ABl%C4%81-20164173/" TargetMode="External"/><Relationship Id="rId98" Type="http://schemas.openxmlformats.org/officeDocument/2006/relationships/hyperlink" Target="https://prabhupadavani.org/transcriptions/bhagavad-g%C4%ABt%C4%81-92426/" TargetMode="External"/><Relationship Id="rId91" Type="http://schemas.openxmlformats.org/officeDocument/2006/relationships/hyperlink" Target="https://prabhupadavani.org/transcriptions/bhagavad-g%C4%ABt%C4%81-92223/" TargetMode="External"/><Relationship Id="rId90" Type="http://schemas.openxmlformats.org/officeDocument/2006/relationships/hyperlink" Target="https://prabhupadavani.org/transcriptions/%C5%9Br%C4%AB-caitanya-carit%C4%81m%E1%B9%9Bta-madhya-l%C4%ABl%C4%81-20144146/" TargetMode="External"/><Relationship Id="rId93" Type="http://schemas.openxmlformats.org/officeDocument/2006/relationships/hyperlink" Target="https://prabhupadavani.org/transcriptions/%C5%9Br%C4%AB-caitanya-carit%C4%81m%E1%B9%9Bta-madhya-l%C4%ABl%C4%81-20152154/" TargetMode="External"/><Relationship Id="rId92" Type="http://schemas.openxmlformats.org/officeDocument/2006/relationships/hyperlink" Target="https://prabhupadavani.org/transcriptions/%C5%9Br%C4%AB-caitanya-carit%C4%81m%E1%B9%9Bta-madhya-l%C4%ABl%C4%81-20146-14951/" TargetMode="External"/><Relationship Id="rId359" Type="http://schemas.openxmlformats.org/officeDocument/2006/relationships/hyperlink" Target="https://prabhupadavani.org/transcriptions/bhagavad-g%C4%ABt%C4%81-52629/" TargetMode="External"/><Relationship Id="rId358" Type="http://schemas.openxmlformats.org/officeDocument/2006/relationships/hyperlink" Target="https://prabhupadavani.org/transcriptions/bhagavad-g%C4%ABt%C4%81-52629/" TargetMode="External"/><Relationship Id="rId357" Type="http://schemas.openxmlformats.org/officeDocument/2006/relationships/hyperlink" Target="https://prabhupadavani.org/transcriptions/lecture-partially-recorded-690211/" TargetMode="External"/><Relationship Id="rId2270" Type="http://schemas.openxmlformats.org/officeDocument/2006/relationships/hyperlink" Target="https://prabhupadavani.org/transcriptions/750528mwhon/" TargetMode="External"/><Relationship Id="rId2271" Type="http://schemas.openxmlformats.org/officeDocument/2006/relationships/hyperlink" Target="https://prabhupadavani.org/transcriptions/750529mwhon/" TargetMode="External"/><Relationship Id="rId352" Type="http://schemas.openxmlformats.org/officeDocument/2006/relationships/hyperlink" Target="https://prabhupadavani.org/transcriptions/lord-nity%C4%81nanda-prabhus-appearance-day-bhajan-nit%C4%81i-pada-kamala-purport/" TargetMode="External"/><Relationship Id="rId2272" Type="http://schemas.openxmlformats.org/officeDocument/2006/relationships/hyperlink" Target="https://prabhupadavani.org/transcriptions/750531mwhon/" TargetMode="External"/><Relationship Id="rId351" Type="http://schemas.openxmlformats.org/officeDocument/2006/relationships/hyperlink" Target="https://prabhupadavani.org/transcriptions/bhagavad-g%C4%ABt%C4%81-512-radio-interference/" TargetMode="External"/><Relationship Id="rId2273" Type="http://schemas.openxmlformats.org/officeDocument/2006/relationships/hyperlink" Target="https://prabhupadavani.org/transcriptions/750601sbhon/" TargetMode="External"/><Relationship Id="rId350" Type="http://schemas.openxmlformats.org/officeDocument/2006/relationships/hyperlink" Target="https://prabhupadavani.org/transcriptions/talk_690120/" TargetMode="External"/><Relationship Id="rId2274" Type="http://schemas.openxmlformats.org/officeDocument/2006/relationships/hyperlink" Target="https://prabhupadavani.org/transcriptions/750602mwhon/" TargetMode="External"/><Relationship Id="rId2275" Type="http://schemas.openxmlformats.org/officeDocument/2006/relationships/hyperlink" Target="https://prabhupadavani.org/transcriptions/750603inhon/" TargetMode="External"/><Relationship Id="rId356" Type="http://schemas.openxmlformats.org/officeDocument/2006/relationships/hyperlink" Target="https://prabhupadavani.org/transcriptions/lecture-partially-recorded-690210/" TargetMode="External"/><Relationship Id="rId2276" Type="http://schemas.openxmlformats.org/officeDocument/2006/relationships/hyperlink" Target="https://prabhupadavani.org/transcriptions/750604mwhon/" TargetMode="External"/><Relationship Id="rId355" Type="http://schemas.openxmlformats.org/officeDocument/2006/relationships/hyperlink" Target="https://prabhupadavani.org/transcriptions/lecture-partially-recorded-690209/" TargetMode="External"/><Relationship Id="rId2277" Type="http://schemas.openxmlformats.org/officeDocument/2006/relationships/hyperlink" Target="https://prabhupadavani.org/transcriptions/750607mwhon/" TargetMode="External"/><Relationship Id="rId354" Type="http://schemas.openxmlformats.org/officeDocument/2006/relationships/hyperlink" Target="https://prabhupadavani.org/transcriptions/bhagavad-g%C4%ABt%C4%81-51725/" TargetMode="External"/><Relationship Id="rId2278" Type="http://schemas.openxmlformats.org/officeDocument/2006/relationships/hyperlink" Target="https://prabhupadavani.org/transcriptions/750607r1hon/" TargetMode="External"/><Relationship Id="rId353" Type="http://schemas.openxmlformats.org/officeDocument/2006/relationships/hyperlink" Target="https://prabhupadavani.org/transcriptions/his-divine-grace-%C5%9Br%C4%ABla-bhaktisiddh%C4%81nta-sarasvat%C4%AB-gosv%C4%81m%C4%AB-prabhup%C4%81das-appearance-day-lecture/" TargetMode="External"/><Relationship Id="rId2279" Type="http://schemas.openxmlformats.org/officeDocument/2006/relationships/hyperlink" Target="https://prabhupadavani.org/transcriptions/750608mwhon/" TargetMode="External"/><Relationship Id="rId2225" Type="http://schemas.openxmlformats.org/officeDocument/2006/relationships/hyperlink" Target="https://prabhupadavani.org/transcriptions/750424sbvrn/" TargetMode="External"/><Relationship Id="rId3557" Type="http://schemas.openxmlformats.org/officeDocument/2006/relationships/hyperlink" Target="https://prabhupadavani.org/transcriptions/770531r1vrn/" TargetMode="External"/><Relationship Id="rId2226" Type="http://schemas.openxmlformats.org/officeDocument/2006/relationships/hyperlink" Target="https://prabhupadavani.org/transcriptions/750427spvrn/" TargetMode="External"/><Relationship Id="rId3556" Type="http://schemas.openxmlformats.org/officeDocument/2006/relationships/hyperlink" Target="https://prabhupadavani.org/transcriptions/770529r2vrn/" TargetMode="External"/><Relationship Id="rId2227" Type="http://schemas.openxmlformats.org/officeDocument/2006/relationships/hyperlink" Target="https://prabhupadavani.org/transcriptions/750428mwvrn/" TargetMode="External"/><Relationship Id="rId3559" Type="http://schemas.openxmlformats.org/officeDocument/2006/relationships/hyperlink" Target="https://prabhupadavani.org/transcriptions/770602dcvrn/" TargetMode="External"/><Relationship Id="rId2228" Type="http://schemas.openxmlformats.org/officeDocument/2006/relationships/hyperlink" Target="https://prabhupadavani.org/transcriptions/750506edper/" TargetMode="External"/><Relationship Id="rId3558" Type="http://schemas.openxmlformats.org/officeDocument/2006/relationships/hyperlink" Target="https://prabhupadavani.org/transcriptions/770601dcvrn/" TargetMode="External"/><Relationship Id="rId2229" Type="http://schemas.openxmlformats.org/officeDocument/2006/relationships/hyperlink" Target="https://prabhupadavani.org/transcriptions/750507mwper/" TargetMode="External"/><Relationship Id="rId305" Type="http://schemas.openxmlformats.org/officeDocument/2006/relationships/hyperlink" Target="https://prabhupadavani.org/transcriptions/681216bgla/" TargetMode="External"/><Relationship Id="rId304" Type="http://schemas.openxmlformats.org/officeDocument/2006/relationships/hyperlink" Target="https://prabhupadavani.org/transcriptions/681213bgla/" TargetMode="External"/><Relationship Id="rId303" Type="http://schemas.openxmlformats.org/officeDocument/2006/relationships/hyperlink" Target="https://prabhupadavani.org/transcriptions/681211bgla/" TargetMode="External"/><Relationship Id="rId302" Type="http://schemas.openxmlformats.org/officeDocument/2006/relationships/hyperlink" Target="https://prabhupadavani.org/transcriptions/681209dbla/" TargetMode="External"/><Relationship Id="rId309" Type="http://schemas.openxmlformats.org/officeDocument/2006/relationships/hyperlink" Target="https://prabhupadavani.org/transcriptions/681219bgla/" TargetMode="External"/><Relationship Id="rId308" Type="http://schemas.openxmlformats.org/officeDocument/2006/relationships/hyperlink" Target="https://prabhupadavani.org/transcriptions/681219inla/" TargetMode="External"/><Relationship Id="rId307" Type="http://schemas.openxmlformats.org/officeDocument/2006/relationships/hyperlink" Target="https://prabhupadavani.org/transcriptions/681219bgla/" TargetMode="External"/><Relationship Id="rId306" Type="http://schemas.openxmlformats.org/officeDocument/2006/relationships/hyperlink" Target="https://prabhupadavani.org/transcriptions/680201ivla/" TargetMode="External"/><Relationship Id="rId3551" Type="http://schemas.openxmlformats.org/officeDocument/2006/relationships/hyperlink" Target="https://prabhupadavani.org/transcriptions/770527vgvrn/" TargetMode="External"/><Relationship Id="rId2220" Type="http://schemas.openxmlformats.org/officeDocument/2006/relationships/hyperlink" Target="https://prabhupadavani.org/transcriptions/750419r1vrn/" TargetMode="External"/><Relationship Id="rId3550" Type="http://schemas.openxmlformats.org/officeDocument/2006/relationships/hyperlink" Target="https://prabhupadavani.org/transcriptions/770527r2vrn/" TargetMode="External"/><Relationship Id="rId301" Type="http://schemas.openxmlformats.org/officeDocument/2006/relationships/hyperlink" Target="https://prabhupadavani.org/transcriptions/681206bgla/" TargetMode="External"/><Relationship Id="rId2221" Type="http://schemas.openxmlformats.org/officeDocument/2006/relationships/hyperlink" Target="https://prabhupadavani.org/transcriptions/750420spvrn/" TargetMode="External"/><Relationship Id="rId3553" Type="http://schemas.openxmlformats.org/officeDocument/2006/relationships/hyperlink" Target="https://prabhupadavani.org/transcriptions/770528r1vrn/" TargetMode="External"/><Relationship Id="rId300" Type="http://schemas.openxmlformats.org/officeDocument/2006/relationships/hyperlink" Target="https://prabhupadavani.org/transcriptions/681204lela/" TargetMode="External"/><Relationship Id="rId2222" Type="http://schemas.openxmlformats.org/officeDocument/2006/relationships/hyperlink" Target="https://prabhupadavani.org/transcriptions/750420r1vrn/" TargetMode="External"/><Relationship Id="rId3552" Type="http://schemas.openxmlformats.org/officeDocument/2006/relationships/hyperlink" Target="https://prabhupadavani.org/transcriptions/770528mevrn/" TargetMode="External"/><Relationship Id="rId2223" Type="http://schemas.openxmlformats.org/officeDocument/2006/relationships/hyperlink" Target="https://prabhupadavani.org/transcriptions/750423mwvrn/" TargetMode="External"/><Relationship Id="rId3555" Type="http://schemas.openxmlformats.org/officeDocument/2006/relationships/hyperlink" Target="https://prabhupadavani.org/transcriptions/770529r1vrn/" TargetMode="External"/><Relationship Id="rId2224" Type="http://schemas.openxmlformats.org/officeDocument/2006/relationships/hyperlink" Target="https://prabhupadavani.org/transcriptions/750423sbvrn/" TargetMode="External"/><Relationship Id="rId3554" Type="http://schemas.openxmlformats.org/officeDocument/2006/relationships/hyperlink" Target="https://prabhupadavani.org/transcriptions/770528vgvrn/" TargetMode="External"/><Relationship Id="rId2214" Type="http://schemas.openxmlformats.org/officeDocument/2006/relationships/hyperlink" Target="https://prabhupadavani.org/transcriptions/750414l2hyd/" TargetMode="External"/><Relationship Id="rId3546" Type="http://schemas.openxmlformats.org/officeDocument/2006/relationships/hyperlink" Target="https://prabhupadavani.org/transcriptions/770524r4vrn/" TargetMode="External"/><Relationship Id="rId2215" Type="http://schemas.openxmlformats.org/officeDocument/2006/relationships/hyperlink" Target="https://prabhupadavani.org/transcriptions/750415sbhyd/" TargetMode="External"/><Relationship Id="rId3545" Type="http://schemas.openxmlformats.org/officeDocument/2006/relationships/hyperlink" Target="https://prabhupadavani.org/transcriptions/770524r3vrn/" TargetMode="External"/><Relationship Id="rId2216" Type="http://schemas.openxmlformats.org/officeDocument/2006/relationships/hyperlink" Target="https://prabhupadavani.org/transcriptions/750417mwvrn/" TargetMode="External"/><Relationship Id="rId3548" Type="http://schemas.openxmlformats.org/officeDocument/2006/relationships/hyperlink" Target="https://prabhupadavani.org/transcriptions/770525r2vrn/" TargetMode="External"/><Relationship Id="rId2217" Type="http://schemas.openxmlformats.org/officeDocument/2006/relationships/hyperlink" Target="https://prabhupadavani.org/transcriptions/750417bgvrn/" TargetMode="External"/><Relationship Id="rId3547" Type="http://schemas.openxmlformats.org/officeDocument/2006/relationships/hyperlink" Target="https://prabhupadavani.org/transcriptions/770525r1vrn/" TargetMode="External"/><Relationship Id="rId2218" Type="http://schemas.openxmlformats.org/officeDocument/2006/relationships/hyperlink" Target="https://prabhupadavani.org/transcriptions/750418sbvrn/" TargetMode="External"/><Relationship Id="rId2219" Type="http://schemas.openxmlformats.org/officeDocument/2006/relationships/hyperlink" Target="https://prabhupadavani.org/transcriptions/750419mwvrn/" TargetMode="External"/><Relationship Id="rId3549" Type="http://schemas.openxmlformats.org/officeDocument/2006/relationships/hyperlink" Target="https://prabhupadavani.org/transcriptions/770527r1vrn/" TargetMode="External"/><Relationship Id="rId3540" Type="http://schemas.openxmlformats.org/officeDocument/2006/relationships/hyperlink" Target="https://prabhupadavani.org/transcriptions/770520r1vrn/" TargetMode="External"/><Relationship Id="rId2210" Type="http://schemas.openxmlformats.org/officeDocument/2006/relationships/hyperlink" Target="https://prabhupadavani.org/transcriptions/750412r3hyd/" TargetMode="External"/><Relationship Id="rId3542" Type="http://schemas.openxmlformats.org/officeDocument/2006/relationships/hyperlink" Target="https://prabhupadavani.org/transcriptions/770522r1vrn/" TargetMode="External"/><Relationship Id="rId2211" Type="http://schemas.openxmlformats.org/officeDocument/2006/relationships/hyperlink" Target="https://prabhupadavani.org/transcriptions/750413sbhyd/" TargetMode="External"/><Relationship Id="rId3541" Type="http://schemas.openxmlformats.org/officeDocument/2006/relationships/hyperlink" Target="https://prabhupadavani.org/transcriptions/770521r1vrn/" TargetMode="External"/><Relationship Id="rId2212" Type="http://schemas.openxmlformats.org/officeDocument/2006/relationships/hyperlink" Target="https://prabhupadavani.org/transcriptions/750414r1hyd/" TargetMode="External"/><Relationship Id="rId3544" Type="http://schemas.openxmlformats.org/officeDocument/2006/relationships/hyperlink" Target="https://prabhupadavani.org/transcriptions/770524r2vrn/" TargetMode="External"/><Relationship Id="rId2213" Type="http://schemas.openxmlformats.org/officeDocument/2006/relationships/hyperlink" Target="https://prabhupadavani.org/transcriptions/750414lehyd/" TargetMode="External"/><Relationship Id="rId3543" Type="http://schemas.openxmlformats.org/officeDocument/2006/relationships/hyperlink" Target="https://prabhupadavani.org/transcriptions/770524r1vrn/" TargetMode="External"/><Relationship Id="rId2247" Type="http://schemas.openxmlformats.org/officeDocument/2006/relationships/hyperlink" Target="https://prabhupadavani.org/transcriptions/750517mwper/" TargetMode="External"/><Relationship Id="rId3579" Type="http://schemas.openxmlformats.org/officeDocument/2006/relationships/hyperlink" Target="https://prabhupadavani.org/transcriptions/770630r3vrn/" TargetMode="External"/><Relationship Id="rId2248" Type="http://schemas.openxmlformats.org/officeDocument/2006/relationships/hyperlink" Target="https://prabhupadavani.org/transcriptions/750517r1per/" TargetMode="External"/><Relationship Id="rId3578" Type="http://schemas.openxmlformats.org/officeDocument/2006/relationships/hyperlink" Target="https://prabhupadavani.org/transcriptions/770630r2vrn/" TargetMode="External"/><Relationship Id="rId2249" Type="http://schemas.openxmlformats.org/officeDocument/2006/relationships/hyperlink" Target="https://prabhupadavani.org/transcriptions/750519mwmel/" TargetMode="External"/><Relationship Id="rId327" Type="http://schemas.openxmlformats.org/officeDocument/2006/relationships/hyperlink" Target="https://prabhupadavani.org/transcriptions/681231pula/" TargetMode="External"/><Relationship Id="rId326" Type="http://schemas.openxmlformats.org/officeDocument/2006/relationships/hyperlink" Target="https://prabhupadavani.org/transcriptions/681230ivla/" TargetMode="External"/><Relationship Id="rId325" Type="http://schemas.openxmlformats.org/officeDocument/2006/relationships/hyperlink" Target="https://prabhupadavani.org/transcriptions/681230bgla/" TargetMode="External"/><Relationship Id="rId324" Type="http://schemas.openxmlformats.org/officeDocument/2006/relationships/hyperlink" Target="https://prabhupadavani.org/transcriptions/681229pula/" TargetMode="External"/><Relationship Id="rId329" Type="http://schemas.openxmlformats.org/officeDocument/2006/relationships/hyperlink" Target="https://prabhupadavani.org/transcriptions/bhajan-purport-%C5%9Br%C4%AB-%C5%9Br%C4%AB-gurv-%E1%B9%A3%E1%B9%ADakam/" TargetMode="External"/><Relationship Id="rId328" Type="http://schemas.openxmlformats.org/officeDocument/2006/relationships/hyperlink" Target="https://prabhupadavani.org/transcriptions/690101bg-los-angeles/" TargetMode="External"/><Relationship Id="rId3571" Type="http://schemas.openxmlformats.org/officeDocument/2006/relationships/hyperlink" Target="https://prabhupadavani.org/transcriptions/770626r1vrn/" TargetMode="External"/><Relationship Id="rId2240" Type="http://schemas.openxmlformats.org/officeDocument/2006/relationships/hyperlink" Target="https://prabhupadavani.org/transcriptions/750513r3per/" TargetMode="External"/><Relationship Id="rId3570" Type="http://schemas.openxmlformats.org/officeDocument/2006/relationships/hyperlink" Target="https://prabhupadavani.org/transcriptions/770626givrn/" TargetMode="External"/><Relationship Id="rId2241" Type="http://schemas.openxmlformats.org/officeDocument/2006/relationships/hyperlink" Target="https://prabhupadavani.org/transcriptions/750513r2per/" TargetMode="External"/><Relationship Id="rId3573" Type="http://schemas.openxmlformats.org/officeDocument/2006/relationships/hyperlink" Target="https://prabhupadavani.org/transcriptions/770628r1vrn/" TargetMode="External"/><Relationship Id="rId2242" Type="http://schemas.openxmlformats.org/officeDocument/2006/relationships/hyperlink" Target="https://prabhupadavani.org/transcriptions/750514mwper/" TargetMode="External"/><Relationship Id="rId3572" Type="http://schemas.openxmlformats.org/officeDocument/2006/relationships/hyperlink" Target="https://prabhupadavani.org/transcriptions/770627r1vrn/" TargetMode="External"/><Relationship Id="rId323" Type="http://schemas.openxmlformats.org/officeDocument/2006/relationships/hyperlink" Target="https://prabhupadavani.org/transcriptions/initiations/" TargetMode="External"/><Relationship Id="rId2243" Type="http://schemas.openxmlformats.org/officeDocument/2006/relationships/hyperlink" Target="https://prabhupadavani.org/transcriptions/750515mwper/" TargetMode="External"/><Relationship Id="rId3575" Type="http://schemas.openxmlformats.org/officeDocument/2006/relationships/hyperlink" Target="https://prabhupadavani.org/transcriptions/770628r3vrn/" TargetMode="External"/><Relationship Id="rId322" Type="http://schemas.openxmlformats.org/officeDocument/2006/relationships/hyperlink" Target="https://prabhupadavani.org/transcriptions/681228pula/" TargetMode="External"/><Relationship Id="rId2244" Type="http://schemas.openxmlformats.org/officeDocument/2006/relationships/hyperlink" Target="https://prabhupadavani.org/transcriptions/750516mwper/" TargetMode="External"/><Relationship Id="rId3574" Type="http://schemas.openxmlformats.org/officeDocument/2006/relationships/hyperlink" Target="https://prabhupadavani.org/transcriptions/770628r2vrn/" TargetMode="External"/><Relationship Id="rId321" Type="http://schemas.openxmlformats.org/officeDocument/2006/relationships/hyperlink" Target="https://prabhupadavani.org/transcriptions/681227bgla/" TargetMode="External"/><Relationship Id="rId2245" Type="http://schemas.openxmlformats.org/officeDocument/2006/relationships/hyperlink" Target="https://prabhupadavani.org/transcriptions/750516r1per/" TargetMode="External"/><Relationship Id="rId3577" Type="http://schemas.openxmlformats.org/officeDocument/2006/relationships/hyperlink" Target="https://prabhupadavani.org/transcriptions/770630r1vrn/" TargetMode="External"/><Relationship Id="rId320" Type="http://schemas.openxmlformats.org/officeDocument/2006/relationships/hyperlink" Target="https://prabhupadavani.org/transcriptions/681227bgla/" TargetMode="External"/><Relationship Id="rId2246" Type="http://schemas.openxmlformats.org/officeDocument/2006/relationships/hyperlink" Target="https://prabhupadavani.org/transcriptions/750516r2per/" TargetMode="External"/><Relationship Id="rId3576" Type="http://schemas.openxmlformats.org/officeDocument/2006/relationships/hyperlink" Target="https://prabhupadavani.org/transcriptions/770628r4vrn/" TargetMode="External"/><Relationship Id="rId2236" Type="http://schemas.openxmlformats.org/officeDocument/2006/relationships/hyperlink" Target="https://prabhupadavani.org/transcriptions/750512mwper/" TargetMode="External"/><Relationship Id="rId3568" Type="http://schemas.openxmlformats.org/officeDocument/2006/relationships/hyperlink" Target="https://prabhupadavani.org/transcriptions/770623r1vrn/" TargetMode="External"/><Relationship Id="rId2237" Type="http://schemas.openxmlformats.org/officeDocument/2006/relationships/hyperlink" Target="https://prabhupadavani.org/transcriptions/750512r1per/" TargetMode="External"/><Relationship Id="rId3567" Type="http://schemas.openxmlformats.org/officeDocument/2006/relationships/hyperlink" Target="https://prabhupadavani.org/transcriptions/770622r1vrn/" TargetMode="External"/><Relationship Id="rId2238" Type="http://schemas.openxmlformats.org/officeDocument/2006/relationships/hyperlink" Target="https://prabhupadavani.org/transcriptions/750513mwper/" TargetMode="External"/><Relationship Id="rId2239" Type="http://schemas.openxmlformats.org/officeDocument/2006/relationships/hyperlink" Target="https://prabhupadavani.org/transcriptions/750513r1per/" TargetMode="External"/><Relationship Id="rId3569" Type="http://schemas.openxmlformats.org/officeDocument/2006/relationships/hyperlink" Target="https://prabhupadavani.org/transcriptions/770624r1vrn/" TargetMode="External"/><Relationship Id="rId316" Type="http://schemas.openxmlformats.org/officeDocument/2006/relationships/hyperlink" Target="https://prabhupadavani.org/transcriptions/681225wela/" TargetMode="External"/><Relationship Id="rId315" Type="http://schemas.openxmlformats.org/officeDocument/2006/relationships/hyperlink" Target="https://prabhupadavani.org/transcriptions/681225pula/" TargetMode="External"/><Relationship Id="rId314" Type="http://schemas.openxmlformats.org/officeDocument/2006/relationships/hyperlink" Target="https://prabhupadavani.org/transcriptions/681223bgla/" TargetMode="External"/><Relationship Id="rId313" Type="http://schemas.openxmlformats.org/officeDocument/2006/relationships/hyperlink" Target="https://prabhupadavani.org/transcriptions/681223spla/" TargetMode="External"/><Relationship Id="rId319" Type="http://schemas.openxmlformats.org/officeDocument/2006/relationships/hyperlink" Target="https://prabhupadavani.org/transcriptions/681226ivla/" TargetMode="External"/><Relationship Id="rId318" Type="http://schemas.openxmlformats.org/officeDocument/2006/relationships/hyperlink" Target="https://prabhupadavani.org/transcriptions/681226pula/" TargetMode="External"/><Relationship Id="rId317" Type="http://schemas.openxmlformats.org/officeDocument/2006/relationships/hyperlink" Target="https://prabhupadavani.org/transcriptions/681226p2la/" TargetMode="External"/><Relationship Id="rId3560" Type="http://schemas.openxmlformats.org/officeDocument/2006/relationships/hyperlink" Target="https://prabhupadavani.org/transcriptions/770617r1vrn/" TargetMode="External"/><Relationship Id="rId2230" Type="http://schemas.openxmlformats.org/officeDocument/2006/relationships/hyperlink" Target="https://prabhupadavani.org/transcriptions/750508mwper/" TargetMode="External"/><Relationship Id="rId3562" Type="http://schemas.openxmlformats.org/officeDocument/2006/relationships/hyperlink" Target="https://prabhupadavani.org/transcriptions/770619r1vrn/" TargetMode="External"/><Relationship Id="rId2231" Type="http://schemas.openxmlformats.org/officeDocument/2006/relationships/hyperlink" Target="https://prabhupadavani.org/transcriptions/750508r1per/" TargetMode="External"/><Relationship Id="rId3561" Type="http://schemas.openxmlformats.org/officeDocument/2006/relationships/hyperlink" Target="https://prabhupadavani.org/transcriptions/770618r1vrn/" TargetMode="External"/><Relationship Id="rId312" Type="http://schemas.openxmlformats.org/officeDocument/2006/relationships/hyperlink" Target="https://prabhupadavani.org/transcriptions/681222lela/" TargetMode="External"/><Relationship Id="rId2232" Type="http://schemas.openxmlformats.org/officeDocument/2006/relationships/hyperlink" Target="https://prabhupadavani.org/transcriptions/750509mwper/" TargetMode="External"/><Relationship Id="rId3564" Type="http://schemas.openxmlformats.org/officeDocument/2006/relationships/hyperlink" Target="https://prabhupadavani.org/transcriptions/770620r1vrn/" TargetMode="External"/><Relationship Id="rId311" Type="http://schemas.openxmlformats.org/officeDocument/2006/relationships/hyperlink" Target="https://prabhupadavani.org/transcriptions/681221pula/" TargetMode="External"/><Relationship Id="rId2233" Type="http://schemas.openxmlformats.org/officeDocument/2006/relationships/hyperlink" Target="https://prabhupadavani.org/transcriptions/750510r1per/" TargetMode="External"/><Relationship Id="rId3563" Type="http://schemas.openxmlformats.org/officeDocument/2006/relationships/hyperlink" Target="https://prabhupadavani.org/transcriptions/770619r2vrn/" TargetMode="External"/><Relationship Id="rId310" Type="http://schemas.openxmlformats.org/officeDocument/2006/relationships/hyperlink" Target="https://prabhupadavani.org/transcriptions/681220bgla/" TargetMode="External"/><Relationship Id="rId2234" Type="http://schemas.openxmlformats.org/officeDocument/2006/relationships/hyperlink" Target="https://prabhupadavani.org/transcriptions/750510mwper/" TargetMode="External"/><Relationship Id="rId3566" Type="http://schemas.openxmlformats.org/officeDocument/2006/relationships/hyperlink" Target="https://prabhupadavani.org/transcriptions/770621r1vrn/" TargetMode="External"/><Relationship Id="rId2235" Type="http://schemas.openxmlformats.org/officeDocument/2006/relationships/hyperlink" Target="https://prabhupadavani.org/transcriptions/750511mwper/" TargetMode="External"/><Relationship Id="rId3565" Type="http://schemas.openxmlformats.org/officeDocument/2006/relationships/hyperlink" Target="https://prabhupadavani.org/transcriptions/770620r2vrn/" TargetMode="External"/><Relationship Id="rId297" Type="http://schemas.openxmlformats.org/officeDocument/2006/relationships/hyperlink" Target="https://prabhupadavani.org/transcriptions/681201inla/" TargetMode="External"/><Relationship Id="rId296" Type="http://schemas.openxmlformats.org/officeDocument/2006/relationships/hyperlink" Target="https://prabhupadavani.org/transcriptions/681129bgla/" TargetMode="External"/><Relationship Id="rId295" Type="http://schemas.openxmlformats.org/officeDocument/2006/relationships/hyperlink" Target="https://prabhupadavani.org/transcriptions/681127bgla/" TargetMode="External"/><Relationship Id="rId294" Type="http://schemas.openxmlformats.org/officeDocument/2006/relationships/hyperlink" Target="https://prabhupadavani.org/transcriptions/681125bgla/" TargetMode="External"/><Relationship Id="rId299" Type="http://schemas.openxmlformats.org/officeDocument/2006/relationships/hyperlink" Target="https://prabhupadavani.org/transcriptions/681202sbla/" TargetMode="External"/><Relationship Id="rId298" Type="http://schemas.openxmlformats.org/officeDocument/2006/relationships/hyperlink" Target="https://prabhupadavani.org/transcriptions/681202bgla/" TargetMode="External"/><Relationship Id="rId271" Type="http://schemas.openxmlformats.org/officeDocument/2006/relationships/hyperlink" Target="https://prabhupadavani.org/transcriptions/681009lesea/" TargetMode="External"/><Relationship Id="rId270" Type="http://schemas.openxmlformats.org/officeDocument/2006/relationships/hyperlink" Target="https://prabhupadavani.org/transcriptions/681007lesea/" TargetMode="External"/><Relationship Id="rId269" Type="http://schemas.openxmlformats.org/officeDocument/2006/relationships/hyperlink" Target="https://prabhupadavani.org/transcriptions/681004lesea/" TargetMode="External"/><Relationship Id="rId264" Type="http://schemas.openxmlformats.org/officeDocument/2006/relationships/hyperlink" Target="https://prabhupadavani.org/transcriptions/680925lesea/" TargetMode="External"/><Relationship Id="rId263" Type="http://schemas.openxmlformats.org/officeDocument/2006/relationships/hyperlink" Target="https://prabhupadavani.org/transcriptions/680924rcsea/" TargetMode="External"/><Relationship Id="rId262" Type="http://schemas.openxmlformats.org/officeDocument/2006/relationships/hyperlink" Target="https://prabhupadavani.org/transcriptions/680924ivsea/" TargetMode="External"/><Relationship Id="rId261" Type="http://schemas.openxmlformats.org/officeDocument/2006/relationships/hyperlink" Target="https://prabhupadavani.org/transcriptions/680914lesf/" TargetMode="External"/><Relationship Id="rId268" Type="http://schemas.openxmlformats.org/officeDocument/2006/relationships/hyperlink" Target="https://prabhupadavani.org/transcriptions/681002lesea/" TargetMode="External"/><Relationship Id="rId267" Type="http://schemas.openxmlformats.org/officeDocument/2006/relationships/hyperlink" Target="https://prabhupadavani.org/transcriptions/680930lesea/" TargetMode="External"/><Relationship Id="rId266" Type="http://schemas.openxmlformats.org/officeDocument/2006/relationships/hyperlink" Target="https://prabhupadavani.org/transcriptions/k%C4%ABrtana-excerpt-partially-recorded/" TargetMode="External"/><Relationship Id="rId265" Type="http://schemas.openxmlformats.org/officeDocument/2006/relationships/hyperlink" Target="https://prabhupadavani.org/transcriptions/680927lesea/" TargetMode="External"/><Relationship Id="rId260" Type="http://schemas.openxmlformats.org/officeDocument/2006/relationships/hyperlink" Target="https://prabhupadavani.org/transcriptions/680913bssf/" TargetMode="External"/><Relationship Id="rId259" Type="http://schemas.openxmlformats.org/officeDocument/2006/relationships/hyperlink" Target="https://prabhupadavani.org/transcriptions/680912sbsf/" TargetMode="External"/><Relationship Id="rId258" Type="http://schemas.openxmlformats.org/officeDocument/2006/relationships/hyperlink" Target="https://prabhupadavani.org/transcriptions/680911bgsf/" TargetMode="External"/><Relationship Id="rId2290" Type="http://schemas.openxmlformats.org/officeDocument/2006/relationships/hyperlink" Target="https://prabhupadavani.org/transcriptions/750615r3hon/" TargetMode="External"/><Relationship Id="rId2291" Type="http://schemas.openxmlformats.org/officeDocument/2006/relationships/hyperlink" Target="https://prabhupadavani.org/transcriptions/750615r4hon/" TargetMode="External"/><Relationship Id="rId2292" Type="http://schemas.openxmlformats.org/officeDocument/2006/relationships/hyperlink" Target="https://prabhupadavani.org/transcriptions/750615sbhon/" TargetMode="External"/><Relationship Id="rId2293" Type="http://schemas.openxmlformats.org/officeDocument/2006/relationships/hyperlink" Target="https://prabhupadavani.org/transcriptions/750616mwhon/" TargetMode="External"/><Relationship Id="rId253" Type="http://schemas.openxmlformats.org/officeDocument/2006/relationships/hyperlink" Target="https://prabhupadavani.org/transcriptions/k%C4%ABrtana-and-room-conversation/" TargetMode="External"/><Relationship Id="rId2294" Type="http://schemas.openxmlformats.org/officeDocument/2006/relationships/hyperlink" Target="https://prabhupadavani.org/transcriptions/750616r1hon/" TargetMode="External"/><Relationship Id="rId252" Type="http://schemas.openxmlformats.org/officeDocument/2006/relationships/hyperlink" Target="https://prabhupadavani.org/transcriptions/680830ramon/" TargetMode="External"/><Relationship Id="rId2295" Type="http://schemas.openxmlformats.org/officeDocument/2006/relationships/hyperlink" Target="https://prabhupadavani.org/transcriptions/750616r2hon/" TargetMode="External"/><Relationship Id="rId251" Type="http://schemas.openxmlformats.org/officeDocument/2006/relationships/hyperlink" Target="https://prabhupadavani.org/transcriptions/%C5%9Br%C4%ABmad-bh%C4%81gavatam-791314/" TargetMode="External"/><Relationship Id="rId2296" Type="http://schemas.openxmlformats.org/officeDocument/2006/relationships/hyperlink" Target="https://prabhupadavani.org/transcriptions/750616r3hon/" TargetMode="External"/><Relationship Id="rId250" Type="http://schemas.openxmlformats.org/officeDocument/2006/relationships/hyperlink" Target="https://prabhupadavani.org/transcriptions/680826qamon/" TargetMode="External"/><Relationship Id="rId2297" Type="http://schemas.openxmlformats.org/officeDocument/2006/relationships/hyperlink" Target="https://prabhupadavani.org/transcriptions/750616r4hon/" TargetMode="External"/><Relationship Id="rId257" Type="http://schemas.openxmlformats.org/officeDocument/2006/relationships/hyperlink" Target="https://prabhupadavani.org/transcriptions/680910sbsf/" TargetMode="External"/><Relationship Id="rId2298" Type="http://schemas.openxmlformats.org/officeDocument/2006/relationships/hyperlink" Target="https://prabhupadavani.org/transcriptions/750617mwhon/" TargetMode="External"/><Relationship Id="rId256" Type="http://schemas.openxmlformats.org/officeDocument/2006/relationships/hyperlink" Target="https://prabhupadavani.org/transcriptions/680910bgsf/" TargetMode="External"/><Relationship Id="rId2299" Type="http://schemas.openxmlformats.org/officeDocument/2006/relationships/hyperlink" Target="https://prabhupadavani.org/transcriptions/750617r1hon/" TargetMode="External"/><Relationship Id="rId255" Type="http://schemas.openxmlformats.org/officeDocument/2006/relationships/hyperlink" Target="https://prabhupadavani.org/transcriptions/680905inny/" TargetMode="External"/><Relationship Id="rId254" Type="http://schemas.openxmlformats.org/officeDocument/2006/relationships/hyperlink" Target="https://prabhupadavani.org/transcriptions/lecture-partially-recorded-iii/" TargetMode="External"/><Relationship Id="rId293" Type="http://schemas.openxmlformats.org/officeDocument/2006/relationships/hyperlink" Target="https://prabhupadavani.org/transcriptions/681123bgla/" TargetMode="External"/><Relationship Id="rId292" Type="http://schemas.openxmlformats.org/officeDocument/2006/relationships/hyperlink" Target="https://prabhupadavani.org/transcriptions/681118lela/" TargetMode="External"/><Relationship Id="rId291" Type="http://schemas.openxmlformats.org/officeDocument/2006/relationships/hyperlink" Target="https://prabhupadavani.org/transcriptions/681115lela/" TargetMode="External"/><Relationship Id="rId290" Type="http://schemas.openxmlformats.org/officeDocument/2006/relationships/hyperlink" Target="https://prabhupadavani.org/transcriptions/681114lela/" TargetMode="External"/><Relationship Id="rId286" Type="http://schemas.openxmlformats.org/officeDocument/2006/relationships/hyperlink" Target="https://prabhupadavani.org/transcriptions/%C5%9Br%C4%AB-brahma-sa%E1%B9%81hit%C4%81-529/" TargetMode="External"/><Relationship Id="rId285" Type="http://schemas.openxmlformats.org/officeDocument/2006/relationships/hyperlink" Target="https://prabhupadavani.org/transcriptions/681105bsla/" TargetMode="External"/><Relationship Id="rId284" Type="http://schemas.openxmlformats.org/officeDocument/2006/relationships/hyperlink" Target="https://prabhupadavani.org/transcriptions/681030ipla/" TargetMode="External"/><Relationship Id="rId283" Type="http://schemas.openxmlformats.org/officeDocument/2006/relationships/hyperlink" Target="https://prabhupadavani.org/transcriptions/681026lemon/" TargetMode="External"/><Relationship Id="rId289" Type="http://schemas.openxmlformats.org/officeDocument/2006/relationships/hyperlink" Target="https://prabhupadavani.org/transcriptions/681113lela/" TargetMode="External"/><Relationship Id="rId288" Type="http://schemas.openxmlformats.org/officeDocument/2006/relationships/hyperlink" Target="https://prabhupadavani.org/transcriptions/681110sbla/" TargetMode="External"/><Relationship Id="rId287" Type="http://schemas.openxmlformats.org/officeDocument/2006/relationships/hyperlink" Target="https://prabhupadavani.org/transcriptions/681109bsla/" TargetMode="External"/><Relationship Id="rId282" Type="http://schemas.openxmlformats.org/officeDocument/2006/relationships/hyperlink" Target="https://prabhupadavani.org/transcriptions/681025bgmon/" TargetMode="External"/><Relationship Id="rId281" Type="http://schemas.openxmlformats.org/officeDocument/2006/relationships/hyperlink" Target="https://prabhupadavani.org/transcriptions/681023sbmon/" TargetMode="External"/><Relationship Id="rId280" Type="http://schemas.openxmlformats.org/officeDocument/2006/relationships/hyperlink" Target="https://prabhupadavani.org/transcriptions/%C5%9Br%C4%AB-caitanya-carit%C4%81m%E1%B9%9Bta-dictation/" TargetMode="External"/><Relationship Id="rId275" Type="http://schemas.openxmlformats.org/officeDocument/2006/relationships/hyperlink" Target="https://prabhupadavani.org/transcriptions/681020insea/" TargetMode="External"/><Relationship Id="rId274" Type="http://schemas.openxmlformats.org/officeDocument/2006/relationships/hyperlink" Target="https://prabhupadavani.org/transcriptions/681018lesea/" TargetMode="External"/><Relationship Id="rId273" Type="http://schemas.openxmlformats.org/officeDocument/2006/relationships/hyperlink" Target="https://prabhupadavani.org/transcriptions/681014bgsea/" TargetMode="External"/><Relationship Id="rId272" Type="http://schemas.openxmlformats.org/officeDocument/2006/relationships/hyperlink" Target="https://prabhupadavani.org/transcriptions/681011lesea/" TargetMode="External"/><Relationship Id="rId279" Type="http://schemas.openxmlformats.org/officeDocument/2006/relationships/hyperlink" Target="https://prabhupadavani.org/transcriptions/681021dksea/" TargetMode="External"/><Relationship Id="rId278" Type="http://schemas.openxmlformats.org/officeDocument/2006/relationships/hyperlink" Target="https://prabhupadavani.org/transcriptions/681021sbsea/" TargetMode="External"/><Relationship Id="rId277" Type="http://schemas.openxmlformats.org/officeDocument/2006/relationships/hyperlink" Target="https://prabhupadavani.org/transcriptions/681020lesea/" TargetMode="External"/><Relationship Id="rId276" Type="http://schemas.openxmlformats.org/officeDocument/2006/relationships/hyperlink" Target="https://prabhupadavani.org/transcriptions/681020rcsea/" TargetMode="External"/><Relationship Id="rId1851" Type="http://schemas.openxmlformats.org/officeDocument/2006/relationships/hyperlink" Target="https://prabhupadavani.org/transcriptions/740607bggen/" TargetMode="External"/><Relationship Id="rId1852" Type="http://schemas.openxmlformats.org/officeDocument/2006/relationships/hyperlink" Target="https://prabhupadavani.org/transcriptions/740608mwgen/" TargetMode="External"/><Relationship Id="rId1853" Type="http://schemas.openxmlformats.org/officeDocument/2006/relationships/hyperlink" Target="https://prabhupadavani.org/transcriptions/740608arpar/" TargetMode="External"/><Relationship Id="rId1854" Type="http://schemas.openxmlformats.org/officeDocument/2006/relationships/hyperlink" Target="https://prabhupadavani.org/transcriptions/740609mwpar/" TargetMode="External"/><Relationship Id="rId1855" Type="http://schemas.openxmlformats.org/officeDocument/2006/relationships/hyperlink" Target="https://prabhupadavani.org/transcriptions/740609sbpar/" TargetMode="External"/><Relationship Id="rId1856" Type="http://schemas.openxmlformats.org/officeDocument/2006/relationships/hyperlink" Target="https://prabhupadavani.org/transcriptions/740610r1par/" TargetMode="External"/><Relationship Id="rId1857" Type="http://schemas.openxmlformats.org/officeDocument/2006/relationships/hyperlink" Target="https://prabhupadavani.org/transcriptions/740611mwpar/" TargetMode="External"/><Relationship Id="rId1858" Type="http://schemas.openxmlformats.org/officeDocument/2006/relationships/hyperlink" Target="https://prabhupadavani.org/transcriptions/740611sbpar/" TargetMode="External"/><Relationship Id="rId1859" Type="http://schemas.openxmlformats.org/officeDocument/2006/relationships/hyperlink" Target="https://prabhupadavani.org/transcriptions/740611r1par/" TargetMode="External"/><Relationship Id="rId1850" Type="http://schemas.openxmlformats.org/officeDocument/2006/relationships/hyperlink" Target="https://prabhupadavani.org/transcriptions/740606legen/" TargetMode="External"/><Relationship Id="rId1840" Type="http://schemas.openxmlformats.org/officeDocument/2006/relationships/hyperlink" Target="https://prabhupadavani.org/transcriptions/740603mwgen/" TargetMode="External"/><Relationship Id="rId1841" Type="http://schemas.openxmlformats.org/officeDocument/2006/relationships/hyperlink" Target="https://prabhupadavani.org/transcriptions/740603sbgen/" TargetMode="External"/><Relationship Id="rId1842" Type="http://schemas.openxmlformats.org/officeDocument/2006/relationships/hyperlink" Target="https://prabhupadavani.org/transcriptions/740604sbgen/" TargetMode="External"/><Relationship Id="rId1843" Type="http://schemas.openxmlformats.org/officeDocument/2006/relationships/hyperlink" Target="https://prabhupadavani.org/transcriptions/740604r1gen/" TargetMode="External"/><Relationship Id="rId1844" Type="http://schemas.openxmlformats.org/officeDocument/2006/relationships/hyperlink" Target="https://prabhupadavani.org/transcriptions/740604r2gen/" TargetMode="External"/><Relationship Id="rId1845" Type="http://schemas.openxmlformats.org/officeDocument/2006/relationships/hyperlink" Target="https://prabhupadavani.org/transcriptions/740605mwgen/" TargetMode="External"/><Relationship Id="rId1846" Type="http://schemas.openxmlformats.org/officeDocument/2006/relationships/hyperlink" Target="https://prabhupadavani.org/transcriptions/740605r1gen/" TargetMode="External"/><Relationship Id="rId1847" Type="http://schemas.openxmlformats.org/officeDocument/2006/relationships/hyperlink" Target="https://prabhupadavani.org/transcriptions/740605r2gen/" TargetMode="External"/><Relationship Id="rId1848" Type="http://schemas.openxmlformats.org/officeDocument/2006/relationships/hyperlink" Target="https://prabhupadavani.org/transcriptions/740606mwgen/" TargetMode="External"/><Relationship Id="rId1849" Type="http://schemas.openxmlformats.org/officeDocument/2006/relationships/hyperlink" Target="https://prabhupadavani.org/transcriptions/740606bggen/" TargetMode="External"/><Relationship Id="rId1873" Type="http://schemas.openxmlformats.org/officeDocument/2006/relationships/hyperlink" Target="https://prabhupadavani.org/transcriptions/740614lepar/" TargetMode="External"/><Relationship Id="rId1874" Type="http://schemas.openxmlformats.org/officeDocument/2006/relationships/hyperlink" Target="https://prabhupadavani.org/transcriptions/740615sbpar/" TargetMode="External"/><Relationship Id="rId1875" Type="http://schemas.openxmlformats.org/officeDocument/2006/relationships/hyperlink" Target="https://prabhupadavani.org/transcriptions/740615r1par/" TargetMode="External"/><Relationship Id="rId1876" Type="http://schemas.openxmlformats.org/officeDocument/2006/relationships/hyperlink" Target="https://prabhupadavani.org/transcriptions/740615r2par/" TargetMode="External"/><Relationship Id="rId1877" Type="http://schemas.openxmlformats.org/officeDocument/2006/relationships/hyperlink" Target="https://prabhupadavani.org/transcriptions/740616bgger/" TargetMode="External"/><Relationship Id="rId1878" Type="http://schemas.openxmlformats.org/officeDocument/2006/relationships/hyperlink" Target="https://prabhupadavani.org/transcriptions/740617mwger/" TargetMode="External"/><Relationship Id="rId1879" Type="http://schemas.openxmlformats.org/officeDocument/2006/relationships/hyperlink" Target="https://prabhupadavani.org/transcriptions/740617r1ger/" TargetMode="External"/><Relationship Id="rId1870" Type="http://schemas.openxmlformats.org/officeDocument/2006/relationships/hyperlink" Target="https://prabhupadavani.org/transcriptions/740614mwpar/" TargetMode="External"/><Relationship Id="rId1871" Type="http://schemas.openxmlformats.org/officeDocument/2006/relationships/hyperlink" Target="https://prabhupadavani.org/transcriptions/740614sbpar/" TargetMode="External"/><Relationship Id="rId1872" Type="http://schemas.openxmlformats.org/officeDocument/2006/relationships/hyperlink" Target="https://prabhupadavani.org/transcriptions/740614r1par/" TargetMode="External"/><Relationship Id="rId1862" Type="http://schemas.openxmlformats.org/officeDocument/2006/relationships/hyperlink" Target="https://prabhupadavani.org/transcriptions/740612crpar/" TargetMode="External"/><Relationship Id="rId1863" Type="http://schemas.openxmlformats.org/officeDocument/2006/relationships/hyperlink" Target="https://prabhupadavani.org/transcriptions/740612r1par/" TargetMode="External"/><Relationship Id="rId1864" Type="http://schemas.openxmlformats.org/officeDocument/2006/relationships/hyperlink" Target="https://prabhupadavani.org/transcriptions/740612r2par/" TargetMode="External"/><Relationship Id="rId1865" Type="http://schemas.openxmlformats.org/officeDocument/2006/relationships/hyperlink" Target="https://prabhupadavani.org/transcriptions/740613mwpar/" TargetMode="External"/><Relationship Id="rId1866" Type="http://schemas.openxmlformats.org/officeDocument/2006/relationships/hyperlink" Target="https://prabhupadavani.org/transcriptions/740613sbpar/" TargetMode="External"/><Relationship Id="rId1867" Type="http://schemas.openxmlformats.org/officeDocument/2006/relationships/hyperlink" Target="https://prabhupadavani.org/transcriptions/740613r1par/" TargetMode="External"/><Relationship Id="rId1868" Type="http://schemas.openxmlformats.org/officeDocument/2006/relationships/hyperlink" Target="https://prabhupadavani.org/transcriptions/740613r2par/" TargetMode="External"/><Relationship Id="rId1869" Type="http://schemas.openxmlformats.org/officeDocument/2006/relationships/hyperlink" Target="https://prabhupadavani.org/transcriptions/740613bgpar/" TargetMode="External"/><Relationship Id="rId1860" Type="http://schemas.openxmlformats.org/officeDocument/2006/relationships/hyperlink" Target="https://prabhupadavani.org/transcriptions/740612mwpar/" TargetMode="External"/><Relationship Id="rId1861" Type="http://schemas.openxmlformats.org/officeDocument/2006/relationships/hyperlink" Target="https://prabhupadavani.org/transcriptions/740612sbpar/" TargetMode="External"/><Relationship Id="rId1810" Type="http://schemas.openxmlformats.org/officeDocument/2006/relationships/hyperlink" Target="https://prabhupadavani.org/transcriptions/740506mwbom/" TargetMode="External"/><Relationship Id="rId1811" Type="http://schemas.openxmlformats.org/officeDocument/2006/relationships/hyperlink" Target="https://prabhupadavani.org/transcriptions/740508mwbom/" TargetMode="External"/><Relationship Id="rId1812" Type="http://schemas.openxmlformats.org/officeDocument/2006/relationships/hyperlink" Target="https://prabhupadavani.org/transcriptions/740509mwbom/" TargetMode="External"/><Relationship Id="rId1813" Type="http://schemas.openxmlformats.org/officeDocument/2006/relationships/hyperlink" Target="https://prabhupadavani.org/transcriptions/740512bgbom/" TargetMode="External"/><Relationship Id="rId1814" Type="http://schemas.openxmlformats.org/officeDocument/2006/relationships/hyperlink" Target="https://prabhupadavani.org/transcriptions/740523r1rom/" TargetMode="External"/><Relationship Id="rId1815" Type="http://schemas.openxmlformats.org/officeDocument/2006/relationships/hyperlink" Target="https://prabhupadavani.org/transcriptions/740524r1rom/" TargetMode="External"/><Relationship Id="rId1816" Type="http://schemas.openxmlformats.org/officeDocument/2006/relationships/hyperlink" Target="https://prabhupadavani.org/transcriptions/740524mwrom/" TargetMode="External"/><Relationship Id="rId1817" Type="http://schemas.openxmlformats.org/officeDocument/2006/relationships/hyperlink" Target="https://prabhupadavani.org/transcriptions/740524sbrom/" TargetMode="External"/><Relationship Id="rId1818" Type="http://schemas.openxmlformats.org/officeDocument/2006/relationships/hyperlink" Target="https://prabhupadavani.org/transcriptions/740524r1rom/" TargetMode="External"/><Relationship Id="rId1819" Type="http://schemas.openxmlformats.org/officeDocument/2006/relationships/hyperlink" Target="https://prabhupadavani.org/transcriptions/740524r2rom/" TargetMode="External"/><Relationship Id="rId1800" Type="http://schemas.openxmlformats.org/officeDocument/2006/relationships/hyperlink" Target="https://prabhupadavani.org/transcriptions/740426r1tir/" TargetMode="External"/><Relationship Id="rId1801" Type="http://schemas.openxmlformats.org/officeDocument/2006/relationships/hyperlink" Target="https://prabhupadavani.org/transcriptions/740427bghyd/" TargetMode="External"/><Relationship Id="rId1802" Type="http://schemas.openxmlformats.org/officeDocument/2006/relationships/hyperlink" Target="https://prabhupadavani.org/transcriptions/740428bghyd/" TargetMode="External"/><Relationship Id="rId1803" Type="http://schemas.openxmlformats.org/officeDocument/2006/relationships/hyperlink" Target="https://prabhupadavani.org/transcriptions/740429mwhyd/" TargetMode="External"/><Relationship Id="rId1804" Type="http://schemas.openxmlformats.org/officeDocument/2006/relationships/hyperlink" Target="https://prabhupadavani.org/transcriptions/740501mwbom/" TargetMode="External"/><Relationship Id="rId1805" Type="http://schemas.openxmlformats.org/officeDocument/2006/relationships/hyperlink" Target="https://prabhupadavani.org/transcriptions/740502mwbom/" TargetMode="External"/><Relationship Id="rId1806" Type="http://schemas.openxmlformats.org/officeDocument/2006/relationships/hyperlink" Target="https://prabhupadavani.org/transcriptions/740503mwbom/" TargetMode="External"/><Relationship Id="rId1807" Type="http://schemas.openxmlformats.org/officeDocument/2006/relationships/hyperlink" Target="https://prabhupadavani.org/transcriptions/740504mwbom/" TargetMode="External"/><Relationship Id="rId1808" Type="http://schemas.openxmlformats.org/officeDocument/2006/relationships/hyperlink" Target="https://prabhupadavani.org/transcriptions/740505mwbom/" TargetMode="External"/><Relationship Id="rId1809" Type="http://schemas.openxmlformats.org/officeDocument/2006/relationships/hyperlink" Target="https://prabhupadavani.org/transcriptions/740505nabom/" TargetMode="External"/><Relationship Id="rId1830" Type="http://schemas.openxmlformats.org/officeDocument/2006/relationships/hyperlink" Target="https://prabhupadavani.org/transcriptions/740530argen/" TargetMode="External"/><Relationship Id="rId1831" Type="http://schemas.openxmlformats.org/officeDocument/2006/relationships/hyperlink" Target="https://prabhupadavani.org/transcriptions/740531sbgen/" TargetMode="External"/><Relationship Id="rId1832" Type="http://schemas.openxmlformats.org/officeDocument/2006/relationships/hyperlink" Target="https://prabhupadavani.org/transcriptions/740531r1gen/" TargetMode="External"/><Relationship Id="rId1833" Type="http://schemas.openxmlformats.org/officeDocument/2006/relationships/hyperlink" Target="https://prabhupadavani.org/transcriptions/740531r2gen/" TargetMode="External"/><Relationship Id="rId1834" Type="http://schemas.openxmlformats.org/officeDocument/2006/relationships/hyperlink" Target="https://prabhupadavani.org/transcriptions/740531bggen/" TargetMode="External"/><Relationship Id="rId1835" Type="http://schemas.openxmlformats.org/officeDocument/2006/relationships/hyperlink" Target="https://prabhupadavani.org/transcriptions/740601mwgen/" TargetMode="External"/><Relationship Id="rId1836" Type="http://schemas.openxmlformats.org/officeDocument/2006/relationships/hyperlink" Target="https://prabhupadavani.org/transcriptions/740601sbgen/" TargetMode="External"/><Relationship Id="rId1837" Type="http://schemas.openxmlformats.org/officeDocument/2006/relationships/hyperlink" Target="https://prabhupadavani.org/transcriptions/740601bggen/" TargetMode="External"/><Relationship Id="rId1838" Type="http://schemas.openxmlformats.org/officeDocument/2006/relationships/hyperlink" Target="https://prabhupadavani.org/transcriptions/740602mwgen/" TargetMode="External"/><Relationship Id="rId1839" Type="http://schemas.openxmlformats.org/officeDocument/2006/relationships/hyperlink" Target="https://prabhupadavani.org/transcriptions/740602sbgen/" TargetMode="External"/><Relationship Id="rId1820" Type="http://schemas.openxmlformats.org/officeDocument/2006/relationships/hyperlink" Target="https://prabhupadavani.org/transcriptions/740525mwrom/" TargetMode="External"/><Relationship Id="rId1821" Type="http://schemas.openxmlformats.org/officeDocument/2006/relationships/hyperlink" Target="https://prabhupadavani.org/transcriptions/740525bgrom/" TargetMode="External"/><Relationship Id="rId1822" Type="http://schemas.openxmlformats.org/officeDocument/2006/relationships/hyperlink" Target="https://prabhupadavani.org/transcriptions/740526mwrom/" TargetMode="External"/><Relationship Id="rId1823" Type="http://schemas.openxmlformats.org/officeDocument/2006/relationships/hyperlink" Target="https://prabhupadavani.org/transcriptions/740526sbrom/" TargetMode="External"/><Relationship Id="rId1824" Type="http://schemas.openxmlformats.org/officeDocument/2006/relationships/hyperlink" Target="https://prabhupadavani.org/transcriptions/740527mwrom/" TargetMode="External"/><Relationship Id="rId1825" Type="http://schemas.openxmlformats.org/officeDocument/2006/relationships/hyperlink" Target="https://prabhupadavani.org/transcriptions/740527sbrom/" TargetMode="External"/><Relationship Id="rId1826" Type="http://schemas.openxmlformats.org/officeDocument/2006/relationships/hyperlink" Target="https://prabhupadavani.org/transcriptions/740528mwrom/" TargetMode="External"/><Relationship Id="rId1827" Type="http://schemas.openxmlformats.org/officeDocument/2006/relationships/hyperlink" Target="https://prabhupadavani.org/transcriptions/740528sbrom/" TargetMode="External"/><Relationship Id="rId1828" Type="http://schemas.openxmlformats.org/officeDocument/2006/relationships/hyperlink" Target="https://prabhupadavani.org/transcriptions/740529mwrom/" TargetMode="External"/><Relationship Id="rId1829" Type="http://schemas.openxmlformats.org/officeDocument/2006/relationships/hyperlink" Target="https://prabhupadavani.org/transcriptions/740530mwrom/" TargetMode="External"/><Relationship Id="rId2302" Type="http://schemas.openxmlformats.org/officeDocument/2006/relationships/hyperlink" Target="https://prabhupadavani.org/transcriptions/750619mwhon/" TargetMode="External"/><Relationship Id="rId3634" Type="http://schemas.openxmlformats.org/officeDocument/2006/relationships/hyperlink" Target="https://prabhupadavani.org/transcriptions/771015r3vrn/" TargetMode="External"/><Relationship Id="rId2303" Type="http://schemas.openxmlformats.org/officeDocument/2006/relationships/hyperlink" Target="https://prabhupadavani.org/transcriptions/750620dphon/" TargetMode="External"/><Relationship Id="rId3633" Type="http://schemas.openxmlformats.org/officeDocument/2006/relationships/hyperlink" Target="https://prabhupadavani.org/transcriptions/771015r2vrn/" TargetMode="External"/><Relationship Id="rId2304" Type="http://schemas.openxmlformats.org/officeDocument/2006/relationships/hyperlink" Target="https://prabhupadavani.org/transcriptions/750620crhon/" TargetMode="External"/><Relationship Id="rId3636" Type="http://schemas.openxmlformats.org/officeDocument/2006/relationships/hyperlink" Target="https://prabhupadavani.org/transcriptions/771016r2vrn/" TargetMode="External"/><Relationship Id="rId2305" Type="http://schemas.openxmlformats.org/officeDocument/2006/relationships/hyperlink" Target="https://prabhupadavani.org/transcriptions/750620arla/" TargetMode="External"/><Relationship Id="rId3635" Type="http://schemas.openxmlformats.org/officeDocument/2006/relationships/hyperlink" Target="https://prabhupadavani.org/transcriptions/771016r1vrn/" TargetMode="External"/><Relationship Id="rId2306" Type="http://schemas.openxmlformats.org/officeDocument/2006/relationships/hyperlink" Target="https://prabhupadavani.org/transcriptions/750620a2la/" TargetMode="External"/><Relationship Id="rId3638" Type="http://schemas.openxmlformats.org/officeDocument/2006/relationships/hyperlink" Target="https://prabhupadavani.org/transcriptions/771017r1vrn/" TargetMode="External"/><Relationship Id="rId2307" Type="http://schemas.openxmlformats.org/officeDocument/2006/relationships/hyperlink" Target="https://prabhupadavani.org/transcriptions/750621mwla/" TargetMode="External"/><Relationship Id="rId3637" Type="http://schemas.openxmlformats.org/officeDocument/2006/relationships/hyperlink" Target="https://prabhupadavani.org/transcriptions/771016r3vrn/" TargetMode="External"/><Relationship Id="rId2308" Type="http://schemas.openxmlformats.org/officeDocument/2006/relationships/hyperlink" Target="https://prabhupadavani.org/transcriptions/750621sbla/" TargetMode="External"/><Relationship Id="rId2309" Type="http://schemas.openxmlformats.org/officeDocument/2006/relationships/hyperlink" Target="https://prabhupadavani.org/transcriptions/750622mwla/" TargetMode="External"/><Relationship Id="rId3639" Type="http://schemas.openxmlformats.org/officeDocument/2006/relationships/hyperlink" Target="https://prabhupadavani.org/transcriptions/771017r2vrn/" TargetMode="External"/><Relationship Id="rId3630" Type="http://schemas.openxmlformats.org/officeDocument/2006/relationships/hyperlink" Target="https://prabhupadavani.org/transcriptions/771014r2vrn/" TargetMode="External"/><Relationship Id="rId2300" Type="http://schemas.openxmlformats.org/officeDocument/2006/relationships/hyperlink" Target="https://prabhupadavani.org/transcriptions/750618mwhon/" TargetMode="External"/><Relationship Id="rId3632" Type="http://schemas.openxmlformats.org/officeDocument/2006/relationships/hyperlink" Target="https://prabhupadavani.org/transcriptions/771015r1vrn/" TargetMode="External"/><Relationship Id="rId2301" Type="http://schemas.openxmlformats.org/officeDocument/2006/relationships/hyperlink" Target="https://prabhupadavani.org/transcriptions/750618r1hon/" TargetMode="External"/><Relationship Id="rId3631" Type="http://schemas.openxmlformats.org/officeDocument/2006/relationships/hyperlink" Target="https://prabhupadavani.org/transcriptions/771014r3vrn/" TargetMode="External"/><Relationship Id="rId3623" Type="http://schemas.openxmlformats.org/officeDocument/2006/relationships/hyperlink" Target="https://prabhupadavani.org/transcriptions/771011r1vrn/" TargetMode="External"/><Relationship Id="rId3622" Type="http://schemas.openxmlformats.org/officeDocument/2006/relationships/hyperlink" Target="https://prabhupadavani.org/transcriptions/771010vivrn/" TargetMode="External"/><Relationship Id="rId3625" Type="http://schemas.openxmlformats.org/officeDocument/2006/relationships/hyperlink" Target="https://prabhupadavani.org/transcriptions/771012r1vrn/" TargetMode="External"/><Relationship Id="rId3624" Type="http://schemas.openxmlformats.org/officeDocument/2006/relationships/hyperlink" Target="https://prabhupadavani.org/transcriptions/771011r2vrn/" TargetMode="External"/><Relationship Id="rId3627" Type="http://schemas.openxmlformats.org/officeDocument/2006/relationships/hyperlink" Target="https://prabhupadavani.org/transcriptions/771013r2vrn/" TargetMode="External"/><Relationship Id="rId3626" Type="http://schemas.openxmlformats.org/officeDocument/2006/relationships/hyperlink" Target="https://prabhupadavani.org/transcriptions/771013r1vrn/" TargetMode="External"/><Relationship Id="rId3629" Type="http://schemas.openxmlformats.org/officeDocument/2006/relationships/hyperlink" Target="https://prabhupadavani.org/transcriptions/771014r1vrn/" TargetMode="External"/><Relationship Id="rId3628" Type="http://schemas.openxmlformats.org/officeDocument/2006/relationships/hyperlink" Target="https://prabhupadavani.org/transcriptions/771013r3vrn/" TargetMode="External"/><Relationship Id="rId3621" Type="http://schemas.openxmlformats.org/officeDocument/2006/relationships/hyperlink" Target="https://prabhupadavani.org/transcriptions/771010r1vrn/" TargetMode="External"/><Relationship Id="rId3620" Type="http://schemas.openxmlformats.org/officeDocument/2006/relationships/hyperlink" Target="https://prabhupadavani.org/transcriptions/771009r1vrn/" TargetMode="External"/><Relationship Id="rId2324" Type="http://schemas.openxmlformats.org/officeDocument/2006/relationships/hyperlink" Target="https://prabhupadavani.org/transcriptions/750627sbla/" TargetMode="External"/><Relationship Id="rId3656" Type="http://schemas.openxmlformats.org/officeDocument/2006/relationships/hyperlink" Target="https://prabhupadavani.org/transcriptions/771028r2vrn/" TargetMode="External"/><Relationship Id="rId2325" Type="http://schemas.openxmlformats.org/officeDocument/2006/relationships/hyperlink" Target="https://prabhupadavani.org/transcriptions/750627dpla/" TargetMode="External"/><Relationship Id="rId3655" Type="http://schemas.openxmlformats.org/officeDocument/2006/relationships/hyperlink" Target="https://prabhupadavani.org/transcriptions/771028r1vrn/" TargetMode="External"/><Relationship Id="rId2326" Type="http://schemas.openxmlformats.org/officeDocument/2006/relationships/hyperlink" Target="https://prabhupadavani.org/transcriptions/750627arden/" TargetMode="External"/><Relationship Id="rId3658" Type="http://schemas.openxmlformats.org/officeDocument/2006/relationships/hyperlink" Target="https://prabhupadavani.org/transcriptions/771030r1vrn/" TargetMode="External"/><Relationship Id="rId2327" Type="http://schemas.openxmlformats.org/officeDocument/2006/relationships/hyperlink" Target="https://prabhupadavani.org/transcriptions/750628mwden/" TargetMode="External"/><Relationship Id="rId3657" Type="http://schemas.openxmlformats.org/officeDocument/2006/relationships/hyperlink" Target="https://prabhupadavani.org/transcriptions/771029r1vrn/" TargetMode="External"/><Relationship Id="rId2328" Type="http://schemas.openxmlformats.org/officeDocument/2006/relationships/hyperlink" Target="https://prabhupadavani.org/transcriptions/750628sbden/" TargetMode="External"/><Relationship Id="rId2329" Type="http://schemas.openxmlformats.org/officeDocument/2006/relationships/hyperlink" Target="https://prabhupadavani.org/transcriptions/750629mwden/" TargetMode="External"/><Relationship Id="rId3659" Type="http://schemas.openxmlformats.org/officeDocument/2006/relationships/hyperlink" Target="https://prabhupadavani.org/transcriptions/771030r2vrn/" TargetMode="External"/><Relationship Id="rId3650" Type="http://schemas.openxmlformats.org/officeDocument/2006/relationships/hyperlink" Target="https://prabhupadavani.org/transcriptions/771025r1vrn/" TargetMode="External"/><Relationship Id="rId2320" Type="http://schemas.openxmlformats.org/officeDocument/2006/relationships/hyperlink" Target="https://prabhupadavani.org/transcriptions/750626sbla/" TargetMode="External"/><Relationship Id="rId3652" Type="http://schemas.openxmlformats.org/officeDocument/2006/relationships/hyperlink" Target="https://prabhupadavani.org/transcriptions/771026r1vrn/" TargetMode="External"/><Relationship Id="rId2321" Type="http://schemas.openxmlformats.org/officeDocument/2006/relationships/hyperlink" Target="https://prabhupadavani.org/transcriptions/750626r2la/" TargetMode="External"/><Relationship Id="rId3651" Type="http://schemas.openxmlformats.org/officeDocument/2006/relationships/hyperlink" Target="https://prabhupadavani.org/transcriptions/771025sbvrn/" TargetMode="External"/><Relationship Id="rId2322" Type="http://schemas.openxmlformats.org/officeDocument/2006/relationships/hyperlink" Target="https://prabhupadavani.org/transcriptions/750626r1la/" TargetMode="External"/><Relationship Id="rId3654" Type="http://schemas.openxmlformats.org/officeDocument/2006/relationships/hyperlink" Target="https://prabhupadavani.org/transcriptions/771027r1vrn/" TargetMode="External"/><Relationship Id="rId2323" Type="http://schemas.openxmlformats.org/officeDocument/2006/relationships/hyperlink" Target="https://prabhupadavani.org/transcriptions/750627mwla/" TargetMode="External"/><Relationship Id="rId3653" Type="http://schemas.openxmlformats.org/officeDocument/2006/relationships/hyperlink" Target="https://prabhupadavani.org/transcriptions/771027sbvrn/" TargetMode="External"/><Relationship Id="rId2313" Type="http://schemas.openxmlformats.org/officeDocument/2006/relationships/hyperlink" Target="https://prabhupadavani.org/transcriptions/750623sbla/" TargetMode="External"/><Relationship Id="rId3645" Type="http://schemas.openxmlformats.org/officeDocument/2006/relationships/hyperlink" Target="https://prabhupadavani.org/transcriptions/771021r1vrn/" TargetMode="External"/><Relationship Id="rId2314" Type="http://schemas.openxmlformats.org/officeDocument/2006/relationships/hyperlink" Target="https://prabhupadavani.org/transcriptions/750623r1la/" TargetMode="External"/><Relationship Id="rId3644" Type="http://schemas.openxmlformats.org/officeDocument/2006/relationships/hyperlink" Target="https://prabhupadavani.org/transcriptions/771020r1vrn/" TargetMode="External"/><Relationship Id="rId2315" Type="http://schemas.openxmlformats.org/officeDocument/2006/relationships/hyperlink" Target="https://prabhupadavani.org/transcriptions/750624mwla/" TargetMode="External"/><Relationship Id="rId3647" Type="http://schemas.openxmlformats.org/officeDocument/2006/relationships/hyperlink" Target="https://prabhupadavani.org/transcriptions/771022sbvrn/" TargetMode="External"/><Relationship Id="rId2316" Type="http://schemas.openxmlformats.org/officeDocument/2006/relationships/hyperlink" Target="https://prabhupadavani.org/transcriptions/750624gcla/" TargetMode="External"/><Relationship Id="rId3646" Type="http://schemas.openxmlformats.org/officeDocument/2006/relationships/hyperlink" Target="https://prabhupadavani.org/transcriptions/771021r2vrn/" TargetMode="External"/><Relationship Id="rId2317" Type="http://schemas.openxmlformats.org/officeDocument/2006/relationships/hyperlink" Target="https://prabhupadavani.org/transcriptions/750625mwla/" TargetMode="External"/><Relationship Id="rId3649" Type="http://schemas.openxmlformats.org/officeDocument/2006/relationships/hyperlink" Target="https://prabhupadavani.org/transcriptions/771024r1vrn/" TargetMode="External"/><Relationship Id="rId2318" Type="http://schemas.openxmlformats.org/officeDocument/2006/relationships/hyperlink" Target="https://prabhupadavani.org/transcriptions/750625sbla/" TargetMode="External"/><Relationship Id="rId3648" Type="http://schemas.openxmlformats.org/officeDocument/2006/relationships/hyperlink" Target="https://prabhupadavani.org/transcriptions/771022r1vrn/" TargetMode="External"/><Relationship Id="rId2319" Type="http://schemas.openxmlformats.org/officeDocument/2006/relationships/hyperlink" Target="https://prabhupadavani.org/transcriptions/750626mwla/" TargetMode="External"/><Relationship Id="rId3641" Type="http://schemas.openxmlformats.org/officeDocument/2006/relationships/hyperlink" Target="https://prabhupadavani.org/transcriptions/771018r2vrn/" TargetMode="External"/><Relationship Id="rId2310" Type="http://schemas.openxmlformats.org/officeDocument/2006/relationships/hyperlink" Target="https://prabhupadavani.org/transcriptions/750622sbla/" TargetMode="External"/><Relationship Id="rId3640" Type="http://schemas.openxmlformats.org/officeDocument/2006/relationships/hyperlink" Target="https://prabhupadavani.org/transcriptions/771018r1vrn/" TargetMode="External"/><Relationship Id="rId2311" Type="http://schemas.openxmlformats.org/officeDocument/2006/relationships/hyperlink" Target="https://prabhupadavani.org/transcriptions/750622gcla/" TargetMode="External"/><Relationship Id="rId3643" Type="http://schemas.openxmlformats.org/officeDocument/2006/relationships/hyperlink" Target="https://prabhupadavani.org/transcriptions/771019r1vrn/" TargetMode="External"/><Relationship Id="rId2312" Type="http://schemas.openxmlformats.org/officeDocument/2006/relationships/hyperlink" Target="https://prabhupadavani.org/transcriptions/750623mwla/" TargetMode="External"/><Relationship Id="rId3642" Type="http://schemas.openxmlformats.org/officeDocument/2006/relationships/hyperlink" Target="https://prabhupadavani.org/transcriptions/771018r3vrn/" TargetMode="External"/><Relationship Id="rId1895" Type="http://schemas.openxmlformats.org/officeDocument/2006/relationships/hyperlink" Target="https://prabhupadavani.org/transcriptions/740628lemel/" TargetMode="External"/><Relationship Id="rId1896" Type="http://schemas.openxmlformats.org/officeDocument/2006/relationships/hyperlink" Target="https://prabhupadavani.org/transcriptions/740629mwmel/" TargetMode="External"/><Relationship Id="rId1897" Type="http://schemas.openxmlformats.org/officeDocument/2006/relationships/hyperlink" Target="https://prabhupadavani.org/transcriptions/740629r1mel/" TargetMode="External"/><Relationship Id="rId1898" Type="http://schemas.openxmlformats.org/officeDocument/2006/relationships/hyperlink" Target="https://prabhupadavani.org/transcriptions/740629r2mel/" TargetMode="External"/><Relationship Id="rId1899" Type="http://schemas.openxmlformats.org/officeDocument/2006/relationships/hyperlink" Target="https://prabhupadavani.org/transcriptions/740629ivmel/" TargetMode="External"/><Relationship Id="rId1890" Type="http://schemas.openxmlformats.org/officeDocument/2006/relationships/hyperlink" Target="https://prabhupadavani.org/transcriptions/740625bgmel/" TargetMode="External"/><Relationship Id="rId1891" Type="http://schemas.openxmlformats.org/officeDocument/2006/relationships/hyperlink" Target="https://prabhupadavani.org/transcriptions/740626sbmel/" TargetMode="External"/><Relationship Id="rId1892" Type="http://schemas.openxmlformats.org/officeDocument/2006/relationships/hyperlink" Target="https://prabhupadavani.org/transcriptions/740627mwmel/" TargetMode="External"/><Relationship Id="rId1893" Type="http://schemas.openxmlformats.org/officeDocument/2006/relationships/hyperlink" Target="https://prabhupadavani.org/transcriptions/740627bgmel/" TargetMode="External"/><Relationship Id="rId1894" Type="http://schemas.openxmlformats.org/officeDocument/2006/relationships/hyperlink" Target="https://prabhupadavani.org/transcriptions/740628r1mel/" TargetMode="External"/><Relationship Id="rId1884" Type="http://schemas.openxmlformats.org/officeDocument/2006/relationships/hyperlink" Target="https://prabhupadavani.org/transcriptions/740620r1ger/" TargetMode="External"/><Relationship Id="rId1885" Type="http://schemas.openxmlformats.org/officeDocument/2006/relationships/hyperlink" Target="https://prabhupadavani.org/transcriptions/740621mwger/" TargetMode="External"/><Relationship Id="rId1886" Type="http://schemas.openxmlformats.org/officeDocument/2006/relationships/hyperlink" Target="https://prabhupadavani.org/transcriptions/740622mwger/" TargetMode="External"/><Relationship Id="rId1887" Type="http://schemas.openxmlformats.org/officeDocument/2006/relationships/hyperlink" Target="https://prabhupadavani.org/transcriptions/740622r1ger/" TargetMode="External"/><Relationship Id="rId1888" Type="http://schemas.openxmlformats.org/officeDocument/2006/relationships/hyperlink" Target="https://prabhupadavani.org/transcriptions/740622bgger/" TargetMode="External"/><Relationship Id="rId1889" Type="http://schemas.openxmlformats.org/officeDocument/2006/relationships/hyperlink" Target="https://prabhupadavani.org/transcriptions/740623bgger/" TargetMode="External"/><Relationship Id="rId1880" Type="http://schemas.openxmlformats.org/officeDocument/2006/relationships/hyperlink" Target="https://prabhupadavani.org/transcriptions/740618bgger/" TargetMode="External"/><Relationship Id="rId1881" Type="http://schemas.openxmlformats.org/officeDocument/2006/relationships/hyperlink" Target="https://prabhupadavani.org/transcriptions/740619mwger/" TargetMode="External"/><Relationship Id="rId1882" Type="http://schemas.openxmlformats.org/officeDocument/2006/relationships/hyperlink" Target="https://prabhupadavani.org/transcriptions/740619r1ger/" TargetMode="External"/><Relationship Id="rId1883" Type="http://schemas.openxmlformats.org/officeDocument/2006/relationships/hyperlink" Target="https://prabhupadavani.org/transcriptions/740620mwger/" TargetMode="External"/><Relationship Id="rId3612" Type="http://schemas.openxmlformats.org/officeDocument/2006/relationships/hyperlink" Target="https://prabhupadavani.org/transcriptions/770829r1lon/" TargetMode="External"/><Relationship Id="rId3611" Type="http://schemas.openxmlformats.org/officeDocument/2006/relationships/hyperlink" Target="https://prabhupadavani.org/transcriptions/770817r1vrn/" TargetMode="External"/><Relationship Id="rId3614" Type="http://schemas.openxmlformats.org/officeDocument/2006/relationships/hyperlink" Target="https://prabhupadavani.org/transcriptions/771003r1vrn/" TargetMode="External"/><Relationship Id="rId3613" Type="http://schemas.openxmlformats.org/officeDocument/2006/relationships/hyperlink" Target="https://prabhupadavani.org/transcriptions/771002r1vrn/" TargetMode="External"/><Relationship Id="rId3616" Type="http://schemas.openxmlformats.org/officeDocument/2006/relationships/hyperlink" Target="https://prabhupadavani.org/transcriptions/771006r1vrn/" TargetMode="External"/><Relationship Id="rId3615" Type="http://schemas.openxmlformats.org/officeDocument/2006/relationships/hyperlink" Target="https://prabhupadavani.org/transcriptions/771004r1vrn/" TargetMode="External"/><Relationship Id="rId3618" Type="http://schemas.openxmlformats.org/officeDocument/2006/relationships/hyperlink" Target="https://prabhupadavani.org/transcriptions/771008r1vrn/" TargetMode="External"/><Relationship Id="rId3617" Type="http://schemas.openxmlformats.org/officeDocument/2006/relationships/hyperlink" Target="https://prabhupadavani.org/transcriptions/771006r2vrn/" TargetMode="External"/><Relationship Id="rId3619" Type="http://schemas.openxmlformats.org/officeDocument/2006/relationships/hyperlink" Target="https://prabhupadavani.org/transcriptions/771008r2vrn/" TargetMode="External"/><Relationship Id="rId3610" Type="http://schemas.openxmlformats.org/officeDocument/2006/relationships/hyperlink" Target="https://prabhupadavani.org/transcriptions/770811r1vrn/" TargetMode="External"/><Relationship Id="rId3601" Type="http://schemas.openxmlformats.org/officeDocument/2006/relationships/hyperlink" Target="https://prabhupadavani.org/transcriptions/770717r2vrn/" TargetMode="External"/><Relationship Id="rId3600" Type="http://schemas.openxmlformats.org/officeDocument/2006/relationships/hyperlink" Target="https://prabhupadavani.org/transcriptions/770715r1vrn/" TargetMode="External"/><Relationship Id="rId3603" Type="http://schemas.openxmlformats.org/officeDocument/2006/relationships/hyperlink" Target="https://prabhupadavani.org/transcriptions/770719r1vrn/" TargetMode="External"/><Relationship Id="rId3602" Type="http://schemas.openxmlformats.org/officeDocument/2006/relationships/hyperlink" Target="https://prabhupadavani.org/transcriptions/770717r1vrn/" TargetMode="External"/><Relationship Id="rId3605" Type="http://schemas.openxmlformats.org/officeDocument/2006/relationships/hyperlink" Target="https://prabhupadavani.org/transcriptions/770726r1vrn/" TargetMode="External"/><Relationship Id="rId3604" Type="http://schemas.openxmlformats.org/officeDocument/2006/relationships/hyperlink" Target="https://prabhupadavani.org/transcriptions/770719r2vrn/" TargetMode="External"/><Relationship Id="rId3607" Type="http://schemas.openxmlformats.org/officeDocument/2006/relationships/hyperlink" Target="https://prabhupadavani.org/transcriptions/770731r1vrn/" TargetMode="External"/><Relationship Id="rId3606" Type="http://schemas.openxmlformats.org/officeDocument/2006/relationships/hyperlink" Target="https://prabhupadavani.org/transcriptions/770727r1vrn/" TargetMode="External"/><Relationship Id="rId3609" Type="http://schemas.openxmlformats.org/officeDocument/2006/relationships/hyperlink" Target="https://prabhupadavani.org/transcriptions/770810r1vrn/" TargetMode="External"/><Relationship Id="rId3608" Type="http://schemas.openxmlformats.org/officeDocument/2006/relationships/hyperlink" Target="https://prabhupadavani.org/transcriptions/770808r1vrn/" TargetMode="External"/><Relationship Id="rId1059" Type="http://schemas.openxmlformats.org/officeDocument/2006/relationships/hyperlink" Target="https://prabhupadavani.org/transcriptions/720927sbla/" TargetMode="External"/><Relationship Id="rId228" Type="http://schemas.openxmlformats.org/officeDocument/2006/relationships/hyperlink" Target="https://prabhupadavani.org/transcriptions/680727lemon/" TargetMode="External"/><Relationship Id="rId227" Type="http://schemas.openxmlformats.org/officeDocument/2006/relationships/hyperlink" Target="https://prabhupadavani.org/transcriptions/680724inmon/" TargetMode="External"/><Relationship Id="rId226" Type="http://schemas.openxmlformats.org/officeDocument/2006/relationships/hyperlink" Target="https://prabhupadavani.org/transcriptions/680722wlmon/" TargetMode="External"/><Relationship Id="rId225" Type="http://schemas.openxmlformats.org/officeDocument/2006/relationships/hyperlink" Target="https://prabhupadavani.org/transcriptions/bhagavad-g%C4%ABt%C4%81-lecture-partially-recorded/" TargetMode="External"/><Relationship Id="rId2380" Type="http://schemas.openxmlformats.org/officeDocument/2006/relationships/hyperlink" Target="https://prabhupadavani.org/transcriptions/750717sbsf/" TargetMode="External"/><Relationship Id="rId229" Type="http://schemas.openxmlformats.org/officeDocument/2006/relationships/hyperlink" Target="https://prabhupadavani.org/transcriptions/680727rcmon/" TargetMode="External"/><Relationship Id="rId1050" Type="http://schemas.openxmlformats.org/officeDocument/2006/relationships/hyperlink" Target="https://prabhupadavani.org/transcriptions/720924mula/" TargetMode="External"/><Relationship Id="rId2381" Type="http://schemas.openxmlformats.org/officeDocument/2006/relationships/hyperlink" Target="https://prabhupadavani.org/transcriptions/750718mwsf/" TargetMode="External"/><Relationship Id="rId220" Type="http://schemas.openxmlformats.org/officeDocument/2006/relationships/hyperlink" Target="https://prabhupadavani.org/transcriptions/680710sbmon/" TargetMode="External"/><Relationship Id="rId1051" Type="http://schemas.openxmlformats.org/officeDocument/2006/relationships/hyperlink" Target="https://prabhupadavani.org/transcriptions/720925mwla/" TargetMode="External"/><Relationship Id="rId2382" Type="http://schemas.openxmlformats.org/officeDocument/2006/relationships/hyperlink" Target="https://prabhupadavani.org/transcriptions/750718sbsf/" TargetMode="External"/><Relationship Id="rId1052" Type="http://schemas.openxmlformats.org/officeDocument/2006/relationships/hyperlink" Target="https://prabhupadavani.org/transcriptions/720925sbla/" TargetMode="External"/><Relationship Id="rId2383" Type="http://schemas.openxmlformats.org/officeDocument/2006/relationships/hyperlink" Target="https://prabhupadavani.org/transcriptions/750719mwsf/" TargetMode="External"/><Relationship Id="rId1053" Type="http://schemas.openxmlformats.org/officeDocument/2006/relationships/hyperlink" Target="https://prabhupadavani.org/transcriptions/720925mula/" TargetMode="External"/><Relationship Id="rId2384" Type="http://schemas.openxmlformats.org/officeDocument/2006/relationships/hyperlink" Target="https://prabhupadavani.org/transcriptions/750719sbsf/" TargetMode="External"/><Relationship Id="rId1054" Type="http://schemas.openxmlformats.org/officeDocument/2006/relationships/hyperlink" Target="https://prabhupadavani.org/transcriptions/720926mwla/" TargetMode="External"/><Relationship Id="rId2385" Type="http://schemas.openxmlformats.org/officeDocument/2006/relationships/hyperlink" Target="https://prabhupadavani.org/transcriptions/750720mwsf/" TargetMode="External"/><Relationship Id="rId224" Type="http://schemas.openxmlformats.org/officeDocument/2006/relationships/hyperlink" Target="https://prabhupadavani.org/transcriptions/680718lemon/" TargetMode="External"/><Relationship Id="rId1055" Type="http://schemas.openxmlformats.org/officeDocument/2006/relationships/hyperlink" Target="https://prabhupadavani.org/transcriptions/720926sbla/" TargetMode="External"/><Relationship Id="rId2386" Type="http://schemas.openxmlformats.org/officeDocument/2006/relationships/hyperlink" Target="https://prabhupadavani.org/transcriptions/750720sbsf/" TargetMode="External"/><Relationship Id="rId223" Type="http://schemas.openxmlformats.org/officeDocument/2006/relationships/hyperlink" Target="https://prabhupadavani.org/transcriptions/680717pumon/" TargetMode="External"/><Relationship Id="rId1056" Type="http://schemas.openxmlformats.org/officeDocument/2006/relationships/hyperlink" Target="https://prabhupadavani.org/transcriptions/720926mula/" TargetMode="External"/><Relationship Id="rId2387" Type="http://schemas.openxmlformats.org/officeDocument/2006/relationships/hyperlink" Target="https://prabhupadavani.org/transcriptions/750721mwsf/" TargetMode="External"/><Relationship Id="rId222" Type="http://schemas.openxmlformats.org/officeDocument/2006/relationships/hyperlink" Target="https://prabhupadavani.org/transcriptions/680716rcmon/" TargetMode="External"/><Relationship Id="rId1057" Type="http://schemas.openxmlformats.org/officeDocument/2006/relationships/hyperlink" Target="https://prabhupadavani.org/transcriptions/720926tala/" TargetMode="External"/><Relationship Id="rId2388" Type="http://schemas.openxmlformats.org/officeDocument/2006/relationships/hyperlink" Target="https://prabhupadavani.org/transcriptions/750721sbsf/" TargetMode="External"/><Relationship Id="rId221" Type="http://schemas.openxmlformats.org/officeDocument/2006/relationships/hyperlink" Target="https://prabhupadavani.org/transcriptions/680712sbmon/" TargetMode="External"/><Relationship Id="rId1058" Type="http://schemas.openxmlformats.org/officeDocument/2006/relationships/hyperlink" Target="https://prabhupadavani.org/transcriptions/720927mwla/" TargetMode="External"/><Relationship Id="rId2389" Type="http://schemas.openxmlformats.org/officeDocument/2006/relationships/hyperlink" Target="https://prabhupadavani.org/transcriptions/750721insf/" TargetMode="External"/><Relationship Id="rId1048" Type="http://schemas.openxmlformats.org/officeDocument/2006/relationships/hyperlink" Target="https://prabhupadavani.org/transcriptions/720924mwla/" TargetMode="External"/><Relationship Id="rId2379" Type="http://schemas.openxmlformats.org/officeDocument/2006/relationships/hyperlink" Target="https://prabhupadavani.org/transcriptions/750717mwsf/" TargetMode="External"/><Relationship Id="rId1049" Type="http://schemas.openxmlformats.org/officeDocument/2006/relationships/hyperlink" Target="https://prabhupadavani.org/transcriptions/720924sbla/" TargetMode="External"/><Relationship Id="rId217" Type="http://schemas.openxmlformats.org/officeDocument/2006/relationships/hyperlink" Target="https://prabhupadavani.org/transcriptions/680704sbmon/" TargetMode="External"/><Relationship Id="rId216" Type="http://schemas.openxmlformats.org/officeDocument/2006/relationships/hyperlink" Target="https://prabhupadavani.org/transcriptions/680702sbmon/" TargetMode="External"/><Relationship Id="rId215" Type="http://schemas.openxmlformats.org/officeDocument/2006/relationships/hyperlink" Target="https://prabhupadavani.org/transcriptions/680701sbmon/" TargetMode="External"/><Relationship Id="rId214" Type="http://schemas.openxmlformats.org/officeDocument/2006/relationships/hyperlink" Target="https://prabhupadavani.org/transcriptions/k%C4%ABrtana/" TargetMode="External"/><Relationship Id="rId219" Type="http://schemas.openxmlformats.org/officeDocument/2006/relationships/hyperlink" Target="https://prabhupadavani.org/transcriptions/680709sbmon/" TargetMode="External"/><Relationship Id="rId218" Type="http://schemas.openxmlformats.org/officeDocument/2006/relationships/hyperlink" Target="https://prabhupadavani.org/transcriptions/680706sbmon/" TargetMode="External"/><Relationship Id="rId2370" Type="http://schemas.openxmlformats.org/officeDocument/2006/relationships/hyperlink" Target="https://prabhupadavani.org/transcriptions/750713r2phi/" TargetMode="External"/><Relationship Id="rId1040" Type="http://schemas.openxmlformats.org/officeDocument/2006/relationships/hyperlink" Target="https://prabhupadavani.org/transcriptions/720920sbla/" TargetMode="External"/><Relationship Id="rId2371" Type="http://schemas.openxmlformats.org/officeDocument/2006/relationships/hyperlink" Target="https://prabhupadavani.org/transcriptions/750713r3phi/" TargetMode="External"/><Relationship Id="rId1041" Type="http://schemas.openxmlformats.org/officeDocument/2006/relationships/hyperlink" Target="https://prabhupadavani.org/transcriptions/720921mwla/" TargetMode="External"/><Relationship Id="rId2372" Type="http://schemas.openxmlformats.org/officeDocument/2006/relationships/hyperlink" Target="https://prabhupadavani.org/transcriptions/750713r1phi/" TargetMode="External"/><Relationship Id="rId1042" Type="http://schemas.openxmlformats.org/officeDocument/2006/relationships/hyperlink" Target="https://prabhupadavani.org/transcriptions/720921sbla/" TargetMode="External"/><Relationship Id="rId2373" Type="http://schemas.openxmlformats.org/officeDocument/2006/relationships/hyperlink" Target="https://prabhupadavani.org/transcriptions/750714mwphi/" TargetMode="External"/><Relationship Id="rId1043" Type="http://schemas.openxmlformats.org/officeDocument/2006/relationships/hyperlink" Target="https://prabhupadavani.org/transcriptions/720922mwla/" TargetMode="External"/><Relationship Id="rId2374" Type="http://schemas.openxmlformats.org/officeDocument/2006/relationships/hyperlink" Target="https://prabhupadavani.org/transcriptions/750714sbphi/" TargetMode="External"/><Relationship Id="rId213" Type="http://schemas.openxmlformats.org/officeDocument/2006/relationships/hyperlink" Target="https://prabhupadavani.org/transcriptions/680629lemon/" TargetMode="External"/><Relationship Id="rId1044" Type="http://schemas.openxmlformats.org/officeDocument/2006/relationships/hyperlink" Target="https://prabhupadavani.org/transcriptions/720922sbla/" TargetMode="External"/><Relationship Id="rId2375" Type="http://schemas.openxmlformats.org/officeDocument/2006/relationships/hyperlink" Target="https://prabhupadavani.org/transcriptions/750715arsf/" TargetMode="External"/><Relationship Id="rId212" Type="http://schemas.openxmlformats.org/officeDocument/2006/relationships/hyperlink" Target="https://prabhupadavani.org/transcriptions/%C5%9Br%C4%AB-%C4%AB%C5%9Bopani%E1%B9%A3ad-mantra-1-i/" TargetMode="External"/><Relationship Id="rId1045" Type="http://schemas.openxmlformats.org/officeDocument/2006/relationships/hyperlink" Target="https://prabhupadavani.org/transcriptions/720922mula/" TargetMode="External"/><Relationship Id="rId2376" Type="http://schemas.openxmlformats.org/officeDocument/2006/relationships/hyperlink" Target="https://prabhupadavani.org/transcriptions/750716mwsf/" TargetMode="External"/><Relationship Id="rId211" Type="http://schemas.openxmlformats.org/officeDocument/2006/relationships/hyperlink" Target="https://prabhupadavani.org/transcriptions/680623sbmon/" TargetMode="External"/><Relationship Id="rId1046" Type="http://schemas.openxmlformats.org/officeDocument/2006/relationships/hyperlink" Target="https://prabhupadavani.org/transcriptions/720923mwla/" TargetMode="External"/><Relationship Id="rId2377" Type="http://schemas.openxmlformats.org/officeDocument/2006/relationships/hyperlink" Target="https://prabhupadavani.org/transcriptions/750716sbsf/" TargetMode="External"/><Relationship Id="rId210" Type="http://schemas.openxmlformats.org/officeDocument/2006/relationships/hyperlink" Target="https://prabhupadavani.org/transcriptions/680620sbmon/" TargetMode="External"/><Relationship Id="rId1047" Type="http://schemas.openxmlformats.org/officeDocument/2006/relationships/hyperlink" Target="https://prabhupadavani.org/transcriptions/720923mula/" TargetMode="External"/><Relationship Id="rId2378" Type="http://schemas.openxmlformats.org/officeDocument/2006/relationships/hyperlink" Target="https://prabhupadavani.org/transcriptions/750716pcsf/" TargetMode="External"/><Relationship Id="rId249" Type="http://schemas.openxmlformats.org/officeDocument/2006/relationships/hyperlink" Target="https://prabhupadavani.org/transcriptions/680825cmmon/" TargetMode="External"/><Relationship Id="rId248" Type="http://schemas.openxmlformats.org/officeDocument/2006/relationships/hyperlink" Target="https://prabhupadavani.org/transcriptions/680824bgmon/" TargetMode="External"/><Relationship Id="rId247" Type="http://schemas.openxmlformats.org/officeDocument/2006/relationships/hyperlink" Target="https://prabhupadavani.org/transcriptions/680823lemon/" TargetMode="External"/><Relationship Id="rId1070" Type="http://schemas.openxmlformats.org/officeDocument/2006/relationships/hyperlink" Target="https://prabhupadavani.org/transcriptions/721001mwla/" TargetMode="External"/><Relationship Id="rId1071" Type="http://schemas.openxmlformats.org/officeDocument/2006/relationships/hyperlink" Target="https://prabhupadavani.org/transcriptions/721001sbla/" TargetMode="External"/><Relationship Id="rId1072" Type="http://schemas.openxmlformats.org/officeDocument/2006/relationships/hyperlink" Target="https://prabhupadavani.org/transcriptions/721002mwla/" TargetMode="External"/><Relationship Id="rId242" Type="http://schemas.openxmlformats.org/officeDocument/2006/relationships/hyperlink" Target="https://prabhupadavani.org/transcriptions/680818sbmon/" TargetMode="External"/><Relationship Id="rId1073" Type="http://schemas.openxmlformats.org/officeDocument/2006/relationships/hyperlink" Target="https://prabhupadavani.org/transcriptions/721002sbla/" TargetMode="External"/><Relationship Id="rId241" Type="http://schemas.openxmlformats.org/officeDocument/2006/relationships/hyperlink" Target="https://prabhupadavani.org/transcriptions/%C5%9Br%C4%AB-vy%C4%81sa-p%C5%ABj%C4%81/" TargetMode="External"/><Relationship Id="rId1074" Type="http://schemas.openxmlformats.org/officeDocument/2006/relationships/hyperlink" Target="https://prabhupadavani.org/transcriptions/721002mula/" TargetMode="External"/><Relationship Id="rId240" Type="http://schemas.openxmlformats.org/officeDocument/2006/relationships/hyperlink" Target="https://prabhupadavani.org/transcriptions/680817sbmon/" TargetMode="External"/><Relationship Id="rId1075" Type="http://schemas.openxmlformats.org/officeDocument/2006/relationships/hyperlink" Target="https://prabhupadavani.org/transcriptions/721003mwla/" TargetMode="External"/><Relationship Id="rId1076" Type="http://schemas.openxmlformats.org/officeDocument/2006/relationships/hyperlink" Target="https://prabhupadavani.org/transcriptions/721003sbla/" TargetMode="External"/><Relationship Id="rId246" Type="http://schemas.openxmlformats.org/officeDocument/2006/relationships/hyperlink" Target="https://prabhupadavani.org/transcriptions/680821sbmon/" TargetMode="External"/><Relationship Id="rId1077" Type="http://schemas.openxmlformats.org/officeDocument/2006/relationships/hyperlink" Target="https://prabhupadavani.org/transcriptions/721003r1la/" TargetMode="External"/><Relationship Id="rId245" Type="http://schemas.openxmlformats.org/officeDocument/2006/relationships/hyperlink" Target="https://prabhupadavani.org/transcriptions/680820sbmon/" TargetMode="External"/><Relationship Id="rId1078" Type="http://schemas.openxmlformats.org/officeDocument/2006/relationships/hyperlink" Target="https://prabhupadavani.org/transcriptions/721004sbla/" TargetMode="External"/><Relationship Id="rId244" Type="http://schemas.openxmlformats.org/officeDocument/2006/relationships/hyperlink" Target="https://prabhupadavani.org/transcriptions/680819sbmon/" TargetMode="External"/><Relationship Id="rId1079" Type="http://schemas.openxmlformats.org/officeDocument/2006/relationships/hyperlink" Target="https://prabhupadavani.org/transcriptions/721005sbla/" TargetMode="External"/><Relationship Id="rId243" Type="http://schemas.openxmlformats.org/officeDocument/2006/relationships/hyperlink" Target="https://prabhupadavani.org/transcriptions/room-conversation-first-devotees-going-london-evening-their-departure/" TargetMode="External"/><Relationship Id="rId239" Type="http://schemas.openxmlformats.org/officeDocument/2006/relationships/hyperlink" Target="https://prabhupadavani.org/transcriptions/680816jmmon/" TargetMode="External"/><Relationship Id="rId238" Type="http://schemas.openxmlformats.org/officeDocument/2006/relationships/hyperlink" Target="https://prabhupadavani.org/transcriptions/initiation-rukmi%E1%B9%87%C4%AB-d%C4%81s%C4%AB/" TargetMode="External"/><Relationship Id="rId237" Type="http://schemas.openxmlformats.org/officeDocument/2006/relationships/hyperlink" Target="https://prabhupadavani.org/transcriptions/680815rcmon/" TargetMode="External"/><Relationship Id="rId236" Type="http://schemas.openxmlformats.org/officeDocument/2006/relationships/hyperlink" Target="https://prabhupadavani.org/transcriptions/%C5%9Br%C4%ABmad-bh%C4%81gavatam-791011/" TargetMode="External"/><Relationship Id="rId2390" Type="http://schemas.openxmlformats.org/officeDocument/2006/relationships/hyperlink" Target="https://prabhupadavani.org/transcriptions/750721r1sf/" TargetMode="External"/><Relationship Id="rId1060" Type="http://schemas.openxmlformats.org/officeDocument/2006/relationships/hyperlink" Target="https://prabhupadavani.org/transcriptions/720927mula/" TargetMode="External"/><Relationship Id="rId2391" Type="http://schemas.openxmlformats.org/officeDocument/2006/relationships/hyperlink" Target="https://prabhupadavani.org/transcriptions/750722sbla/" TargetMode="External"/><Relationship Id="rId1061" Type="http://schemas.openxmlformats.org/officeDocument/2006/relationships/hyperlink" Target="https://prabhupadavani.org/transcriptions/720928mwla/" TargetMode="External"/><Relationship Id="rId2392" Type="http://schemas.openxmlformats.org/officeDocument/2006/relationships/hyperlink" Target="https://prabhupadavani.org/transcriptions/750723sbla/" TargetMode="External"/><Relationship Id="rId231" Type="http://schemas.openxmlformats.org/officeDocument/2006/relationships/hyperlink" Target="https://prabhupadavani.org/transcriptions/680729inmon/" TargetMode="External"/><Relationship Id="rId1062" Type="http://schemas.openxmlformats.org/officeDocument/2006/relationships/hyperlink" Target="https://prabhupadavani.org/transcriptions/720928sbla/" TargetMode="External"/><Relationship Id="rId2393" Type="http://schemas.openxmlformats.org/officeDocument/2006/relationships/hyperlink" Target="https://prabhupadavani.org/transcriptions/750724mwla/" TargetMode="External"/><Relationship Id="rId230" Type="http://schemas.openxmlformats.org/officeDocument/2006/relationships/hyperlink" Target="https://prabhupadavani.org/transcriptions/680728spmon/" TargetMode="External"/><Relationship Id="rId1063" Type="http://schemas.openxmlformats.org/officeDocument/2006/relationships/hyperlink" Target="https://prabhupadavani.org/transcriptions/720929mwla/" TargetMode="External"/><Relationship Id="rId2394" Type="http://schemas.openxmlformats.org/officeDocument/2006/relationships/hyperlink" Target="https://prabhupadavani.org/transcriptions/750724sbla/" TargetMode="External"/><Relationship Id="rId1064" Type="http://schemas.openxmlformats.org/officeDocument/2006/relationships/hyperlink" Target="https://prabhupadavani.org/transcriptions/720929tala/" TargetMode="External"/><Relationship Id="rId2395" Type="http://schemas.openxmlformats.org/officeDocument/2006/relationships/hyperlink" Target="https://prabhupadavani.org/transcriptions/750725mwla/" TargetMode="External"/><Relationship Id="rId1065" Type="http://schemas.openxmlformats.org/officeDocument/2006/relationships/hyperlink" Target="https://prabhupadavani.org/transcriptions/720929r1la/" TargetMode="External"/><Relationship Id="rId2396" Type="http://schemas.openxmlformats.org/officeDocument/2006/relationships/hyperlink" Target="https://prabhupadavani.org/transcriptions/750725sbla/" TargetMode="External"/><Relationship Id="rId235" Type="http://schemas.openxmlformats.org/officeDocument/2006/relationships/hyperlink" Target="https://prabhupadavani.org/transcriptions/lecture-school/" TargetMode="External"/><Relationship Id="rId1066" Type="http://schemas.openxmlformats.org/officeDocument/2006/relationships/hyperlink" Target="https://prabhupadavani.org/transcriptions/720929sbla/" TargetMode="External"/><Relationship Id="rId2397" Type="http://schemas.openxmlformats.org/officeDocument/2006/relationships/hyperlink" Target="https://prabhupadavani.org/transcriptions/750726mwlb/" TargetMode="External"/><Relationship Id="rId234" Type="http://schemas.openxmlformats.org/officeDocument/2006/relationships/hyperlink" Target="https://prabhupadavani.org/transcriptions/initiations-and-g%C4%81yatr%C4%AB-devotees-going-london/" TargetMode="External"/><Relationship Id="rId1067" Type="http://schemas.openxmlformats.org/officeDocument/2006/relationships/hyperlink" Target="https://prabhupadavani.org/transcriptions/720930mwla/" TargetMode="External"/><Relationship Id="rId2398" Type="http://schemas.openxmlformats.org/officeDocument/2006/relationships/hyperlink" Target="https://prabhupadavani.org/transcriptions/750726sblb/" TargetMode="External"/><Relationship Id="rId233" Type="http://schemas.openxmlformats.org/officeDocument/2006/relationships/hyperlink" Target="https://prabhupadavani.org/transcriptions/680803sbmon/" TargetMode="External"/><Relationship Id="rId1068" Type="http://schemas.openxmlformats.org/officeDocument/2006/relationships/hyperlink" Target="https://prabhupadavani.org/transcriptions/720930sbla/" TargetMode="External"/><Relationship Id="rId2399" Type="http://schemas.openxmlformats.org/officeDocument/2006/relationships/hyperlink" Target="https://prabhupadavani.org/transcriptions/750726r1lb/" TargetMode="External"/><Relationship Id="rId232" Type="http://schemas.openxmlformats.org/officeDocument/2006/relationships/hyperlink" Target="https://prabhupadavani.org/transcriptions/680802sbmon/" TargetMode="External"/><Relationship Id="rId1069" Type="http://schemas.openxmlformats.org/officeDocument/2006/relationships/hyperlink" Target="https://prabhupadavani.org/transcriptions/720930lelb/" TargetMode="External"/><Relationship Id="rId1015" Type="http://schemas.openxmlformats.org/officeDocument/2006/relationships/hyperlink" Target="https://prabhupadavani.org/transcriptions/720906sbnv/" TargetMode="External"/><Relationship Id="rId2346" Type="http://schemas.openxmlformats.org/officeDocument/2006/relationships/hyperlink" Target="https://prabhupadavani.org/transcriptions/750705r1chi/" TargetMode="External"/><Relationship Id="rId3678" Type="http://schemas.openxmlformats.org/officeDocument/2006/relationships/hyperlink" Target="https://prabhupadavani.org/transcriptions/771103r6vrn/" TargetMode="External"/><Relationship Id="rId1016" Type="http://schemas.openxmlformats.org/officeDocument/2006/relationships/hyperlink" Target="https://prabhupadavani.org/transcriptions/720907sbnv/" TargetMode="External"/><Relationship Id="rId2347" Type="http://schemas.openxmlformats.org/officeDocument/2006/relationships/hyperlink" Target="https://prabhupadavani.org/transcriptions/750706mwchi/" TargetMode="External"/><Relationship Id="rId3677" Type="http://schemas.openxmlformats.org/officeDocument/2006/relationships/hyperlink" Target="https://prabhupadavani.org/transcriptions/771103r5vrn/" TargetMode="External"/><Relationship Id="rId1017" Type="http://schemas.openxmlformats.org/officeDocument/2006/relationships/hyperlink" Target="https://prabhupadavani.org/transcriptions/720908bgpit/" TargetMode="External"/><Relationship Id="rId2348" Type="http://schemas.openxmlformats.org/officeDocument/2006/relationships/hyperlink" Target="https://prabhupadavani.org/transcriptions/750706sbchi/" TargetMode="External"/><Relationship Id="rId1018" Type="http://schemas.openxmlformats.org/officeDocument/2006/relationships/hyperlink" Target="https://prabhupadavani.org/transcriptions/720909lepit/" TargetMode="External"/><Relationship Id="rId2349" Type="http://schemas.openxmlformats.org/officeDocument/2006/relationships/hyperlink" Target="https://prabhupadavani.org/transcriptions/750707mwchi/" TargetMode="External"/><Relationship Id="rId3679" Type="http://schemas.openxmlformats.org/officeDocument/2006/relationships/hyperlink" Target="https://prabhupadavani.org/transcriptions/771103r7vrn/" TargetMode="External"/><Relationship Id="rId1019" Type="http://schemas.openxmlformats.org/officeDocument/2006/relationships/hyperlink" Target="https://prabhupadavani.org/transcriptions/720909ivpit/" TargetMode="External"/><Relationship Id="rId3670" Type="http://schemas.openxmlformats.org/officeDocument/2006/relationships/hyperlink" Target="https://prabhupadavani.org/transcriptions/771102r5vrn/" TargetMode="External"/><Relationship Id="rId2340" Type="http://schemas.openxmlformats.org/officeDocument/2006/relationships/hyperlink" Target="https://prabhupadavani.org/transcriptions/750704mwchi/" TargetMode="External"/><Relationship Id="rId3672" Type="http://schemas.openxmlformats.org/officeDocument/2006/relationships/hyperlink" Target="https://prabhupadavani.org/transcriptions/771102r7vrn/" TargetMode="External"/><Relationship Id="rId1010" Type="http://schemas.openxmlformats.org/officeDocument/2006/relationships/hyperlink" Target="https://prabhupadavani.org/transcriptions/720901innv/" TargetMode="External"/><Relationship Id="rId2341" Type="http://schemas.openxmlformats.org/officeDocument/2006/relationships/hyperlink" Target="https://prabhupadavani.org/transcriptions/750704sbchi/" TargetMode="External"/><Relationship Id="rId3671" Type="http://schemas.openxmlformats.org/officeDocument/2006/relationships/hyperlink" Target="https://prabhupadavani.org/transcriptions/771102r6vrn/" TargetMode="External"/><Relationship Id="rId1011" Type="http://schemas.openxmlformats.org/officeDocument/2006/relationships/hyperlink" Target="https://prabhupadavani.org/transcriptions/720902vpnv/" TargetMode="External"/><Relationship Id="rId2342" Type="http://schemas.openxmlformats.org/officeDocument/2006/relationships/hyperlink" Target="https://prabhupadavani.org/transcriptions/750704r1chi/" TargetMode="External"/><Relationship Id="rId3674" Type="http://schemas.openxmlformats.org/officeDocument/2006/relationships/hyperlink" Target="https://prabhupadavani.org/transcriptions/771103r2vrn/" TargetMode="External"/><Relationship Id="rId1012" Type="http://schemas.openxmlformats.org/officeDocument/2006/relationships/hyperlink" Target="https://prabhupadavani.org/transcriptions/720903sbnv/" TargetMode="External"/><Relationship Id="rId2343" Type="http://schemas.openxmlformats.org/officeDocument/2006/relationships/hyperlink" Target="https://prabhupadavani.org/transcriptions/750705mwchi/" TargetMode="External"/><Relationship Id="rId3673" Type="http://schemas.openxmlformats.org/officeDocument/2006/relationships/hyperlink" Target="https://prabhupadavani.org/transcriptions/771102r8vrn/" TargetMode="External"/><Relationship Id="rId1013" Type="http://schemas.openxmlformats.org/officeDocument/2006/relationships/hyperlink" Target="https://prabhupadavani.org/transcriptions/720904sbnv/" TargetMode="External"/><Relationship Id="rId2344" Type="http://schemas.openxmlformats.org/officeDocument/2006/relationships/hyperlink" Target="https://prabhupadavani.org/transcriptions/750705sbchi/" TargetMode="External"/><Relationship Id="rId3676" Type="http://schemas.openxmlformats.org/officeDocument/2006/relationships/hyperlink" Target="https://prabhupadavani.org/transcriptions/771103r4vrn/" TargetMode="External"/><Relationship Id="rId1014" Type="http://schemas.openxmlformats.org/officeDocument/2006/relationships/hyperlink" Target="https://prabhupadavani.org/transcriptions/720905sbnv/" TargetMode="External"/><Relationship Id="rId2345" Type="http://schemas.openxmlformats.org/officeDocument/2006/relationships/hyperlink" Target="https://prabhupadavani.org/transcriptions/750705r2chi/" TargetMode="External"/><Relationship Id="rId3675" Type="http://schemas.openxmlformats.org/officeDocument/2006/relationships/hyperlink" Target="https://prabhupadavani.org/transcriptions/771103r3vrn/" TargetMode="External"/><Relationship Id="rId1004" Type="http://schemas.openxmlformats.org/officeDocument/2006/relationships/hyperlink" Target="https://prabhupadavani.org/transcriptions/720827sbla/" TargetMode="External"/><Relationship Id="rId2335" Type="http://schemas.openxmlformats.org/officeDocument/2006/relationships/hyperlink" Target="https://prabhupadavani.org/transcriptions/750701sbden/" TargetMode="External"/><Relationship Id="rId3667" Type="http://schemas.openxmlformats.org/officeDocument/2006/relationships/hyperlink" Target="https://prabhupadavani.org/transcriptions/771102r2vrn/" TargetMode="External"/><Relationship Id="rId1005" Type="http://schemas.openxmlformats.org/officeDocument/2006/relationships/hyperlink" Target="https://prabhupadavani.org/transcriptions/720828sbla/" TargetMode="External"/><Relationship Id="rId2336" Type="http://schemas.openxmlformats.org/officeDocument/2006/relationships/hyperlink" Target="https://prabhupadavani.org/transcriptions/750702mwden/" TargetMode="External"/><Relationship Id="rId3666" Type="http://schemas.openxmlformats.org/officeDocument/2006/relationships/hyperlink" Target="https://prabhupadavani.org/transcriptions/771102r1vrn/" TargetMode="External"/><Relationship Id="rId1006" Type="http://schemas.openxmlformats.org/officeDocument/2006/relationships/hyperlink" Target="https://prabhupadavani.org/transcriptions/720829inla/" TargetMode="External"/><Relationship Id="rId2337" Type="http://schemas.openxmlformats.org/officeDocument/2006/relationships/hyperlink" Target="https://prabhupadavani.org/transcriptions/750702sbden/" TargetMode="External"/><Relationship Id="rId3669" Type="http://schemas.openxmlformats.org/officeDocument/2006/relationships/hyperlink" Target="https://prabhupadavani.org/transcriptions/771102r4vrn/" TargetMode="External"/><Relationship Id="rId1007" Type="http://schemas.openxmlformats.org/officeDocument/2006/relationships/hyperlink" Target="https://prabhupadavani.org/transcriptions/720831spnv/" TargetMode="External"/><Relationship Id="rId2338" Type="http://schemas.openxmlformats.org/officeDocument/2006/relationships/hyperlink" Target="https://prabhupadavani.org/transcriptions/750703mwden/" TargetMode="External"/><Relationship Id="rId3668" Type="http://schemas.openxmlformats.org/officeDocument/2006/relationships/hyperlink" Target="https://prabhupadavani.org/transcriptions/771102r3vrn/" TargetMode="External"/><Relationship Id="rId1008" Type="http://schemas.openxmlformats.org/officeDocument/2006/relationships/hyperlink" Target="https://prabhupadavani.org/transcriptions/720901renv/" TargetMode="External"/><Relationship Id="rId2339" Type="http://schemas.openxmlformats.org/officeDocument/2006/relationships/hyperlink" Target="https://prabhupadavani.org/transcriptions/750703archi/" TargetMode="External"/><Relationship Id="rId1009" Type="http://schemas.openxmlformats.org/officeDocument/2006/relationships/hyperlink" Target="https://prabhupadavani.org/transcriptions/720901sbnv/" TargetMode="External"/><Relationship Id="rId3661" Type="http://schemas.openxmlformats.org/officeDocument/2006/relationships/hyperlink" Target="https://prabhupadavani.org/transcriptions/771031r1vrn/" TargetMode="External"/><Relationship Id="rId2330" Type="http://schemas.openxmlformats.org/officeDocument/2006/relationships/hyperlink" Target="https://prabhupadavani.org/transcriptions/750629sbden/" TargetMode="External"/><Relationship Id="rId3660" Type="http://schemas.openxmlformats.org/officeDocument/2006/relationships/hyperlink" Target="https://prabhupadavani.org/transcriptions/771031sbvrn/" TargetMode="External"/><Relationship Id="rId1000" Type="http://schemas.openxmlformats.org/officeDocument/2006/relationships/hyperlink" Target="https://prabhupadavani.org/transcriptions/720823sbla/" TargetMode="External"/><Relationship Id="rId2331" Type="http://schemas.openxmlformats.org/officeDocument/2006/relationships/hyperlink" Target="https://prabhupadavani.org/transcriptions/750629sfden/" TargetMode="External"/><Relationship Id="rId3663" Type="http://schemas.openxmlformats.org/officeDocument/2006/relationships/hyperlink" Target="https://prabhupadavani.org/transcriptions/771101r1vrn/" TargetMode="External"/><Relationship Id="rId1001" Type="http://schemas.openxmlformats.org/officeDocument/2006/relationships/hyperlink" Target="https://prabhupadavani.org/transcriptions/720824sbla/" TargetMode="External"/><Relationship Id="rId2332" Type="http://schemas.openxmlformats.org/officeDocument/2006/relationships/hyperlink" Target="https://prabhupadavani.org/transcriptions/750630mwden/" TargetMode="External"/><Relationship Id="rId3662" Type="http://schemas.openxmlformats.org/officeDocument/2006/relationships/hyperlink" Target="https://prabhupadavani.org/transcriptions/771031r2vrn/" TargetMode="External"/><Relationship Id="rId1002" Type="http://schemas.openxmlformats.org/officeDocument/2006/relationships/hyperlink" Target="https://prabhupadavani.org/transcriptions/720825sbla/" TargetMode="External"/><Relationship Id="rId2333" Type="http://schemas.openxmlformats.org/officeDocument/2006/relationships/hyperlink" Target="https://prabhupadavani.org/transcriptions/750630sbden/" TargetMode="External"/><Relationship Id="rId3665" Type="http://schemas.openxmlformats.org/officeDocument/2006/relationships/hyperlink" Target="https://prabhupadavani.org/transcriptions/771101r2vrn/" TargetMode="External"/><Relationship Id="rId1003" Type="http://schemas.openxmlformats.org/officeDocument/2006/relationships/hyperlink" Target="https://prabhupadavani.org/transcriptions/720826sbla/" TargetMode="External"/><Relationship Id="rId2334" Type="http://schemas.openxmlformats.org/officeDocument/2006/relationships/hyperlink" Target="https://prabhupadavani.org/transcriptions/750701mwden/" TargetMode="External"/><Relationship Id="rId3664" Type="http://schemas.openxmlformats.org/officeDocument/2006/relationships/hyperlink" Target="https://prabhupadavani.org/transcriptions/771101r3vrn/" TargetMode="External"/><Relationship Id="rId1037" Type="http://schemas.openxmlformats.org/officeDocument/2006/relationships/hyperlink" Target="https://prabhupadavani.org/transcriptions/720919mwla/" TargetMode="External"/><Relationship Id="rId2368" Type="http://schemas.openxmlformats.org/officeDocument/2006/relationships/hyperlink" Target="https://prabhupadavani.org/transcriptions/750712ryphi/" TargetMode="External"/><Relationship Id="rId1038" Type="http://schemas.openxmlformats.org/officeDocument/2006/relationships/hyperlink" Target="https://prabhupadavani.org/transcriptions/720919sbla/" TargetMode="External"/><Relationship Id="rId2369" Type="http://schemas.openxmlformats.org/officeDocument/2006/relationships/hyperlink" Target="https://prabhupadavani.org/transcriptions/750713sbphi/" TargetMode="External"/><Relationship Id="rId3699" Type="http://schemas.openxmlformats.org/officeDocument/2006/relationships/hyperlink" Target="https://prabhupadavani.org/transcriptions/771109r1vrn/" TargetMode="External"/><Relationship Id="rId1039" Type="http://schemas.openxmlformats.org/officeDocument/2006/relationships/hyperlink" Target="https://prabhupadavani.org/transcriptions/720920mwla/" TargetMode="External"/><Relationship Id="rId206" Type="http://schemas.openxmlformats.org/officeDocument/2006/relationships/hyperlink" Target="https://prabhupadavani.org/transcriptions/680614bgmon/" TargetMode="External"/><Relationship Id="rId205" Type="http://schemas.openxmlformats.org/officeDocument/2006/relationships/hyperlink" Target="https://prabhupadavani.org/transcriptions/680613bgmon/" TargetMode="External"/><Relationship Id="rId204" Type="http://schemas.openxmlformats.org/officeDocument/2006/relationships/hyperlink" Target="https://prabhupadavani.org/transcriptions/680612sbmon/" TargetMode="External"/><Relationship Id="rId203" Type="http://schemas.openxmlformats.org/officeDocument/2006/relationships/hyperlink" Target="https://prabhupadavani.org/transcriptions/680611lemon/" TargetMode="External"/><Relationship Id="rId209" Type="http://schemas.openxmlformats.org/officeDocument/2006/relationships/hyperlink" Target="https://prabhupadavani.org/transcriptions/680619bgmon/" TargetMode="External"/><Relationship Id="rId208" Type="http://schemas.openxmlformats.org/officeDocument/2006/relationships/hyperlink" Target="https://prabhupadavani.org/transcriptions/680616sbmon/" TargetMode="External"/><Relationship Id="rId3690" Type="http://schemas.openxmlformats.org/officeDocument/2006/relationships/hyperlink" Target="https://prabhupadavani.org/transcriptions/771106r2vrn/" TargetMode="External"/><Relationship Id="rId207" Type="http://schemas.openxmlformats.org/officeDocument/2006/relationships/hyperlink" Target="https://prabhupadavani.org/transcriptions/680615lemon/" TargetMode="External"/><Relationship Id="rId2360" Type="http://schemas.openxmlformats.org/officeDocument/2006/relationships/hyperlink" Target="https://prabhupadavani.org/transcriptions/750710r1chi/" TargetMode="External"/><Relationship Id="rId3692" Type="http://schemas.openxmlformats.org/officeDocument/2006/relationships/hyperlink" Target="https://prabhupadavani.org/transcriptions/771107r1vrn/" TargetMode="External"/><Relationship Id="rId1030" Type="http://schemas.openxmlformats.org/officeDocument/2006/relationships/hyperlink" Target="https://prabhupadavani.org/transcriptions/720915mwla/" TargetMode="External"/><Relationship Id="rId2361" Type="http://schemas.openxmlformats.org/officeDocument/2006/relationships/hyperlink" Target="https://prabhupadavani.org/transcriptions/750711mwchi/" TargetMode="External"/><Relationship Id="rId3691" Type="http://schemas.openxmlformats.org/officeDocument/2006/relationships/hyperlink" Target="https://prabhupadavani.org/transcriptions/771106r3vrn/" TargetMode="External"/><Relationship Id="rId1031" Type="http://schemas.openxmlformats.org/officeDocument/2006/relationships/hyperlink" Target="https://prabhupadavani.org/transcriptions/720916mwla/" TargetMode="External"/><Relationship Id="rId2362" Type="http://schemas.openxmlformats.org/officeDocument/2006/relationships/hyperlink" Target="https://prabhupadavani.org/transcriptions/750711sbchi/" TargetMode="External"/><Relationship Id="rId3694" Type="http://schemas.openxmlformats.org/officeDocument/2006/relationships/hyperlink" Target="https://prabhupadavani.org/transcriptions/771107r3vrn/" TargetMode="External"/><Relationship Id="rId1032" Type="http://schemas.openxmlformats.org/officeDocument/2006/relationships/hyperlink" Target="https://prabhupadavani.org/transcriptions/720916sbla/" TargetMode="External"/><Relationship Id="rId2363" Type="http://schemas.openxmlformats.org/officeDocument/2006/relationships/hyperlink" Target="https://prabhupadavani.org/transcriptions/750711inchi/" TargetMode="External"/><Relationship Id="rId3693" Type="http://schemas.openxmlformats.org/officeDocument/2006/relationships/hyperlink" Target="https://prabhupadavani.org/transcriptions/771107r2vrn/" TargetMode="External"/><Relationship Id="rId202" Type="http://schemas.openxmlformats.org/officeDocument/2006/relationships/hyperlink" Target="https://prabhupadavani.org/transcriptions/680610bgmon/" TargetMode="External"/><Relationship Id="rId1033" Type="http://schemas.openxmlformats.org/officeDocument/2006/relationships/hyperlink" Target="https://prabhupadavani.org/transcriptions/720917mwla/" TargetMode="External"/><Relationship Id="rId2364" Type="http://schemas.openxmlformats.org/officeDocument/2006/relationships/hyperlink" Target="https://prabhupadavani.org/transcriptions/750711arphi/" TargetMode="External"/><Relationship Id="rId3696" Type="http://schemas.openxmlformats.org/officeDocument/2006/relationships/hyperlink" Target="https://prabhupadavani.org/transcriptions/771107r5vrn/" TargetMode="External"/><Relationship Id="rId201" Type="http://schemas.openxmlformats.org/officeDocument/2006/relationships/hyperlink" Target="https://prabhupadavani.org/transcriptions/680610sbmon/" TargetMode="External"/><Relationship Id="rId1034" Type="http://schemas.openxmlformats.org/officeDocument/2006/relationships/hyperlink" Target="https://prabhupadavani.org/transcriptions/720917sbla/" TargetMode="External"/><Relationship Id="rId2365" Type="http://schemas.openxmlformats.org/officeDocument/2006/relationships/hyperlink" Target="https://prabhupadavani.org/transcriptions/750711a2phi/" TargetMode="External"/><Relationship Id="rId3695" Type="http://schemas.openxmlformats.org/officeDocument/2006/relationships/hyperlink" Target="https://prabhupadavani.org/transcriptions/771107r4vrn/" TargetMode="External"/><Relationship Id="rId200" Type="http://schemas.openxmlformats.org/officeDocument/2006/relationships/hyperlink" Target="https://prabhupadavani.org/transcriptions/680603bgmon/" TargetMode="External"/><Relationship Id="rId1035" Type="http://schemas.openxmlformats.org/officeDocument/2006/relationships/hyperlink" Target="https://prabhupadavani.org/transcriptions/720918mwla/" TargetMode="External"/><Relationship Id="rId2366" Type="http://schemas.openxmlformats.org/officeDocument/2006/relationships/hyperlink" Target="https://prabhupadavani.org/transcriptions/750712mwphi/" TargetMode="External"/><Relationship Id="rId3698" Type="http://schemas.openxmlformats.org/officeDocument/2006/relationships/hyperlink" Target="https://prabhupadavani.org/transcriptions/771108r2vrn/" TargetMode="External"/><Relationship Id="rId1036" Type="http://schemas.openxmlformats.org/officeDocument/2006/relationships/hyperlink" Target="https://prabhupadavani.org/transcriptions/720918sbla/" TargetMode="External"/><Relationship Id="rId2367" Type="http://schemas.openxmlformats.org/officeDocument/2006/relationships/hyperlink" Target="https://prabhupadavani.org/transcriptions/750712sbphi/" TargetMode="External"/><Relationship Id="rId3697" Type="http://schemas.openxmlformats.org/officeDocument/2006/relationships/hyperlink" Target="https://prabhupadavani.org/transcriptions/771108r1vrn/" TargetMode="External"/><Relationship Id="rId1026" Type="http://schemas.openxmlformats.org/officeDocument/2006/relationships/hyperlink" Target="https://prabhupadavani.org/transcriptions/720913r1arl/" TargetMode="External"/><Relationship Id="rId2357" Type="http://schemas.openxmlformats.org/officeDocument/2006/relationships/hyperlink" Target="https://prabhupadavani.org/transcriptions/750709r1chi/" TargetMode="External"/><Relationship Id="rId3689" Type="http://schemas.openxmlformats.org/officeDocument/2006/relationships/hyperlink" Target="https://prabhupadavani.org/transcriptions/771106r1vrn/" TargetMode="External"/><Relationship Id="rId1027" Type="http://schemas.openxmlformats.org/officeDocument/2006/relationships/hyperlink" Target="https://prabhupadavani.org/transcriptions/720914mwla/" TargetMode="External"/><Relationship Id="rId2358" Type="http://schemas.openxmlformats.org/officeDocument/2006/relationships/hyperlink" Target="https://prabhupadavani.org/transcriptions/750710mwchi/" TargetMode="External"/><Relationship Id="rId3688" Type="http://schemas.openxmlformats.org/officeDocument/2006/relationships/hyperlink" Target="https://prabhupadavani.org/transcriptions/771105r6vrn/" TargetMode="External"/><Relationship Id="rId1028" Type="http://schemas.openxmlformats.org/officeDocument/2006/relationships/hyperlink" Target="https://prabhupadavani.org/transcriptions/720914sbla/" TargetMode="External"/><Relationship Id="rId2359" Type="http://schemas.openxmlformats.org/officeDocument/2006/relationships/hyperlink" Target="https://prabhupadavani.org/transcriptions/750710inchi/" TargetMode="External"/><Relationship Id="rId1029" Type="http://schemas.openxmlformats.org/officeDocument/2006/relationships/hyperlink" Target="https://prabhupadavani.org/transcriptions/%C5%9Br%C4%ABmad-bh%C4%81gavatam-138/" TargetMode="External"/><Relationship Id="rId3681" Type="http://schemas.openxmlformats.org/officeDocument/2006/relationships/hyperlink" Target="https://prabhupadavani.org/transcriptions/771103r8vrn/" TargetMode="External"/><Relationship Id="rId2350" Type="http://schemas.openxmlformats.org/officeDocument/2006/relationships/hyperlink" Target="https://prabhupadavani.org/transcriptions/750707sbchi/" TargetMode="External"/><Relationship Id="rId3680" Type="http://schemas.openxmlformats.org/officeDocument/2006/relationships/hyperlink" Target="https://prabhupadavani.org/transcriptions/771103r1vrn/" TargetMode="External"/><Relationship Id="rId1020" Type="http://schemas.openxmlformats.org/officeDocument/2006/relationships/hyperlink" Target="https://prabhupadavani.org/transcriptions/720909r1pit/" TargetMode="External"/><Relationship Id="rId2351" Type="http://schemas.openxmlformats.org/officeDocument/2006/relationships/hyperlink" Target="https://prabhupadavani.org/transcriptions/750708mwchi/" TargetMode="External"/><Relationship Id="rId3683" Type="http://schemas.openxmlformats.org/officeDocument/2006/relationships/hyperlink" Target="https://prabhupadavani.org/transcriptions/771105r1vrn/" TargetMode="External"/><Relationship Id="rId1021" Type="http://schemas.openxmlformats.org/officeDocument/2006/relationships/hyperlink" Target="https://prabhupadavani.org/transcriptions/720910ledal/" TargetMode="External"/><Relationship Id="rId2352" Type="http://schemas.openxmlformats.org/officeDocument/2006/relationships/hyperlink" Target="https://prabhupadavani.org/transcriptions/750708sbchi/" TargetMode="External"/><Relationship Id="rId3682" Type="http://schemas.openxmlformats.org/officeDocument/2006/relationships/hyperlink" Target="https://prabhupadavani.org/transcriptions/771104r1vrn/" TargetMode="External"/><Relationship Id="rId1022" Type="http://schemas.openxmlformats.org/officeDocument/2006/relationships/hyperlink" Target="https://prabhupadavani.org/transcriptions/720911sbla/" TargetMode="External"/><Relationship Id="rId2353" Type="http://schemas.openxmlformats.org/officeDocument/2006/relationships/hyperlink" Target="https://prabhupadavani.org/transcriptions/750709ivchi/" TargetMode="External"/><Relationship Id="rId3685" Type="http://schemas.openxmlformats.org/officeDocument/2006/relationships/hyperlink" Target="https://prabhupadavani.org/transcriptions/771105r3vrn/" TargetMode="External"/><Relationship Id="rId1023" Type="http://schemas.openxmlformats.org/officeDocument/2006/relationships/hyperlink" Target="https://prabhupadavani.org/transcriptions/720912r1dal/" TargetMode="External"/><Relationship Id="rId2354" Type="http://schemas.openxmlformats.org/officeDocument/2006/relationships/hyperlink" Target="https://prabhupadavani.org/transcriptions/750709mwchi/" TargetMode="External"/><Relationship Id="rId3684" Type="http://schemas.openxmlformats.org/officeDocument/2006/relationships/hyperlink" Target="https://prabhupadavani.org/transcriptions/771105r2vrn/" TargetMode="External"/><Relationship Id="rId1024" Type="http://schemas.openxmlformats.org/officeDocument/2006/relationships/hyperlink" Target="https://prabhupadavani.org/transcriptions/720912sbdal/" TargetMode="External"/><Relationship Id="rId2355" Type="http://schemas.openxmlformats.org/officeDocument/2006/relationships/hyperlink" Target="https://prabhupadavani.org/transcriptions/750709sbchi/" TargetMode="External"/><Relationship Id="rId3687" Type="http://schemas.openxmlformats.org/officeDocument/2006/relationships/hyperlink" Target="https://prabhupadavani.org/transcriptions/771105r5vrn/" TargetMode="External"/><Relationship Id="rId1025" Type="http://schemas.openxmlformats.org/officeDocument/2006/relationships/hyperlink" Target="https://prabhupadavani.org/transcriptions/720913r2dal/" TargetMode="External"/><Relationship Id="rId2356" Type="http://schemas.openxmlformats.org/officeDocument/2006/relationships/hyperlink" Target="https://prabhupadavani.org/transcriptions/750709pcchi/" TargetMode="External"/><Relationship Id="rId3686" Type="http://schemas.openxmlformats.org/officeDocument/2006/relationships/hyperlink" Target="https://prabhupadavani.org/transcriptions/771105r4vrn/" TargetMode="External"/><Relationship Id="rId1910" Type="http://schemas.openxmlformats.org/officeDocument/2006/relationships/hyperlink" Target="https://prabhupadavani.org/transcriptions/740708arla/" TargetMode="External"/><Relationship Id="rId1911" Type="http://schemas.openxmlformats.org/officeDocument/2006/relationships/hyperlink" Target="https://prabhupadavani.org/transcriptions/740708r1la/" TargetMode="External"/><Relationship Id="rId1912" Type="http://schemas.openxmlformats.org/officeDocument/2006/relationships/hyperlink" Target="https://prabhupadavani.org/transcriptions/740709mwla/" TargetMode="External"/><Relationship Id="rId1913" Type="http://schemas.openxmlformats.org/officeDocument/2006/relationships/hyperlink" Target="https://prabhupadavani.org/transcriptions/740709sbla/" TargetMode="External"/><Relationship Id="rId1914" Type="http://schemas.openxmlformats.org/officeDocument/2006/relationships/hyperlink" Target="https://prabhupadavani.org/transcriptions/740710sbla/" TargetMode="External"/><Relationship Id="rId1915" Type="http://schemas.openxmlformats.org/officeDocument/2006/relationships/hyperlink" Target="https://prabhupadavani.org/transcriptions/740711sbla/" TargetMode="External"/><Relationship Id="rId1916" Type="http://schemas.openxmlformats.org/officeDocument/2006/relationships/hyperlink" Target="https://prabhupadavani.org/transcriptions/740712mwla/" TargetMode="External"/><Relationship Id="rId1917" Type="http://schemas.openxmlformats.org/officeDocument/2006/relationships/hyperlink" Target="https://prabhupadavani.org/transcriptions/740712sbla/" TargetMode="External"/><Relationship Id="rId1918" Type="http://schemas.openxmlformats.org/officeDocument/2006/relationships/hyperlink" Target="https://prabhupadavani.org/transcriptions/740712chla/" TargetMode="External"/><Relationship Id="rId1919" Type="http://schemas.openxmlformats.org/officeDocument/2006/relationships/hyperlink" Target="https://prabhupadavani.org/transcriptions/740713mwla/" TargetMode="External"/><Relationship Id="rId1900" Type="http://schemas.openxmlformats.org/officeDocument/2006/relationships/hyperlink" Target="https://prabhupadavani.org/transcriptions/740629bgmel/" TargetMode="External"/><Relationship Id="rId1901" Type="http://schemas.openxmlformats.org/officeDocument/2006/relationships/hyperlink" Target="https://prabhupadavani.org/transcriptions/740630bgmel/" TargetMode="External"/><Relationship Id="rId1902" Type="http://schemas.openxmlformats.org/officeDocument/2006/relationships/hyperlink" Target="https://prabhupadavani.org/transcriptions/740701inmel/" TargetMode="External"/><Relationship Id="rId1903" Type="http://schemas.openxmlformats.org/officeDocument/2006/relationships/hyperlink" Target="https://prabhupadavani.org/transcriptions/740701r1mel/" TargetMode="External"/><Relationship Id="rId1904" Type="http://schemas.openxmlformats.org/officeDocument/2006/relationships/hyperlink" Target="https://prabhupadavani.org/transcriptions/740701lemel/" TargetMode="External"/><Relationship Id="rId1905" Type="http://schemas.openxmlformats.org/officeDocument/2006/relationships/hyperlink" Target="https://prabhupadavani.org/transcriptions/740702r1mel/" TargetMode="External"/><Relationship Id="rId1906" Type="http://schemas.openxmlformats.org/officeDocument/2006/relationships/hyperlink" Target="https://prabhupadavani.org/transcriptions/740702r2mel/" TargetMode="External"/><Relationship Id="rId1907" Type="http://schemas.openxmlformats.org/officeDocument/2006/relationships/hyperlink" Target="https://prabhupadavani.org/transcriptions/740704sbchi/" TargetMode="External"/><Relationship Id="rId1908" Type="http://schemas.openxmlformats.org/officeDocument/2006/relationships/hyperlink" Target="https://prabhupadavani.org/transcriptions/740704ivchi/" TargetMode="External"/><Relationship Id="rId1909" Type="http://schemas.openxmlformats.org/officeDocument/2006/relationships/hyperlink" Target="https://prabhupadavani.org/transcriptions/740705sbchi/" TargetMode="External"/><Relationship Id="rId1090" Type="http://schemas.openxmlformats.org/officeDocument/2006/relationships/hyperlink" Target="https://prabhupadavani.org/transcriptions/721014ledel/" TargetMode="External"/><Relationship Id="rId1091" Type="http://schemas.openxmlformats.org/officeDocument/2006/relationships/hyperlink" Target="https://prabhupadavani.org/transcriptions/721015mwvrn/" TargetMode="External"/><Relationship Id="rId1092" Type="http://schemas.openxmlformats.org/officeDocument/2006/relationships/hyperlink" Target="https://prabhupadavani.org/transcriptions/721015levrn/" TargetMode="External"/><Relationship Id="rId1093" Type="http://schemas.openxmlformats.org/officeDocument/2006/relationships/hyperlink" Target="https://prabhupadavani.org/transcriptions/721016sbvrn/" TargetMode="External"/><Relationship Id="rId1094" Type="http://schemas.openxmlformats.org/officeDocument/2006/relationships/hyperlink" Target="https://prabhupadavani.org/transcriptions/721016ndvrn/" TargetMode="External"/><Relationship Id="rId1095" Type="http://schemas.openxmlformats.org/officeDocument/2006/relationships/hyperlink" Target="https://prabhupadavani.org/transcriptions/721017sbvrn/" TargetMode="External"/><Relationship Id="rId1096" Type="http://schemas.openxmlformats.org/officeDocument/2006/relationships/hyperlink" Target="https://prabhupadavani.org/transcriptions/721017ndvrn/" TargetMode="External"/><Relationship Id="rId1097" Type="http://schemas.openxmlformats.org/officeDocument/2006/relationships/hyperlink" Target="https://prabhupadavani.org/transcriptions/721018sbvrn/" TargetMode="External"/><Relationship Id="rId1098" Type="http://schemas.openxmlformats.org/officeDocument/2006/relationships/hyperlink" Target="https://prabhupadavani.org/transcriptions/721018ndvrn/" TargetMode="External"/><Relationship Id="rId1099" Type="http://schemas.openxmlformats.org/officeDocument/2006/relationships/hyperlink" Target="https://prabhupadavani.org/transcriptions/721019sbvrn/" TargetMode="External"/><Relationship Id="rId1080" Type="http://schemas.openxmlformats.org/officeDocument/2006/relationships/hyperlink" Target="https://prabhupadavani.org/transcriptions/721005dpla/" TargetMode="External"/><Relationship Id="rId1081" Type="http://schemas.openxmlformats.org/officeDocument/2006/relationships/hyperlink" Target="https://prabhupadavani.org/transcriptions/721005arber/" TargetMode="External"/><Relationship Id="rId1082" Type="http://schemas.openxmlformats.org/officeDocument/2006/relationships/hyperlink" Target="https://prabhupadavani.org/transcriptions/721006trber/" TargetMode="External"/><Relationship Id="rId1083" Type="http://schemas.openxmlformats.org/officeDocument/2006/relationships/hyperlink" Target="https://prabhupadavani.org/transcriptions/721006meber/" TargetMode="External"/><Relationship Id="rId1084" Type="http://schemas.openxmlformats.org/officeDocument/2006/relationships/hyperlink" Target="https://prabhupadavani.org/transcriptions/721006r1ber/" TargetMode="External"/><Relationship Id="rId1085" Type="http://schemas.openxmlformats.org/officeDocument/2006/relationships/hyperlink" Target="https://prabhupadavani.org/transcriptions/721007mwber/" TargetMode="External"/><Relationship Id="rId1086" Type="http://schemas.openxmlformats.org/officeDocument/2006/relationships/hyperlink" Target="https://prabhupadavani.org/transcriptions/721008mwber/" TargetMode="External"/><Relationship Id="rId1087" Type="http://schemas.openxmlformats.org/officeDocument/2006/relationships/hyperlink" Target="https://prabhupadavani.org/transcriptions/721009arhon/" TargetMode="External"/><Relationship Id="rId1088" Type="http://schemas.openxmlformats.org/officeDocument/2006/relationships/hyperlink" Target="https://prabhupadavani.org/transcriptions/721012bgman/" TargetMode="External"/><Relationship Id="rId1089" Type="http://schemas.openxmlformats.org/officeDocument/2006/relationships/hyperlink" Target="https://prabhupadavani.org/transcriptions/721014r1del/" TargetMode="External"/><Relationship Id="rId1972" Type="http://schemas.openxmlformats.org/officeDocument/2006/relationships/hyperlink" Target="https://prabhupadavani.org/transcriptions/741005sbmay/" TargetMode="External"/><Relationship Id="rId1973" Type="http://schemas.openxmlformats.org/officeDocument/2006/relationships/hyperlink" Target="https://prabhupadavani.org/transcriptions/741006sbmay/" TargetMode="External"/><Relationship Id="rId1974" Type="http://schemas.openxmlformats.org/officeDocument/2006/relationships/hyperlink" Target="https://prabhupadavani.org/transcriptions/741007lemay/" TargetMode="External"/><Relationship Id="rId1975" Type="http://schemas.openxmlformats.org/officeDocument/2006/relationships/hyperlink" Target="https://prabhupadavani.org/transcriptions/741008sbmay/" TargetMode="External"/><Relationship Id="rId1976" Type="http://schemas.openxmlformats.org/officeDocument/2006/relationships/hyperlink" Target="https://prabhupadavani.org/transcriptions/741009sbmay/" TargetMode="External"/><Relationship Id="rId1977" Type="http://schemas.openxmlformats.org/officeDocument/2006/relationships/hyperlink" Target="https://prabhupadavani.org/transcriptions/741010sbmay/" TargetMode="External"/><Relationship Id="rId1978" Type="http://schemas.openxmlformats.org/officeDocument/2006/relationships/hyperlink" Target="https://prabhupadavani.org/transcriptions/741011sbmay/" TargetMode="External"/><Relationship Id="rId1979" Type="http://schemas.openxmlformats.org/officeDocument/2006/relationships/hyperlink" Target="https://prabhupadavani.org/transcriptions/741012sbmay/" TargetMode="External"/><Relationship Id="rId1970" Type="http://schemas.openxmlformats.org/officeDocument/2006/relationships/hyperlink" Target="https://prabhupadavani.org/transcriptions/741003lemay/" TargetMode="External"/><Relationship Id="rId1971" Type="http://schemas.openxmlformats.org/officeDocument/2006/relationships/hyperlink" Target="https://prabhupadavani.org/transcriptions/741004sbmay/" TargetMode="External"/><Relationship Id="rId1961" Type="http://schemas.openxmlformats.org/officeDocument/2006/relationships/hyperlink" Target="https://prabhupadavani.org/transcriptions/740926sbcal/" TargetMode="External"/><Relationship Id="rId1962" Type="http://schemas.openxmlformats.org/officeDocument/2006/relationships/hyperlink" Target="https://prabhupadavani.org/transcriptions/740927sbcal/" TargetMode="External"/><Relationship Id="rId1963" Type="http://schemas.openxmlformats.org/officeDocument/2006/relationships/hyperlink" Target="https://prabhupadavani.org/transcriptions/740927armay/" TargetMode="External"/><Relationship Id="rId1964" Type="http://schemas.openxmlformats.org/officeDocument/2006/relationships/hyperlink" Target="https://prabhupadavani.org/transcriptions/740928sbmay/" TargetMode="External"/><Relationship Id="rId1965" Type="http://schemas.openxmlformats.org/officeDocument/2006/relationships/hyperlink" Target="https://prabhupadavani.org/transcriptions/740929sbmay/" TargetMode="External"/><Relationship Id="rId1966" Type="http://schemas.openxmlformats.org/officeDocument/2006/relationships/hyperlink" Target="https://prabhupadavani.org/transcriptions/740929lemay/" TargetMode="External"/><Relationship Id="rId1967" Type="http://schemas.openxmlformats.org/officeDocument/2006/relationships/hyperlink" Target="https://prabhupadavani.org/transcriptions/740930sbmay/" TargetMode="External"/><Relationship Id="rId1968" Type="http://schemas.openxmlformats.org/officeDocument/2006/relationships/hyperlink" Target="https://prabhupadavani.org/transcriptions/741001sbmay/" TargetMode="External"/><Relationship Id="rId1969" Type="http://schemas.openxmlformats.org/officeDocument/2006/relationships/hyperlink" Target="https://prabhupadavani.org/transcriptions/741003sbmay/" TargetMode="External"/><Relationship Id="rId1960" Type="http://schemas.openxmlformats.org/officeDocument/2006/relationships/hyperlink" Target="https://prabhupadavani.org/transcriptions/740923bgcal/" TargetMode="External"/><Relationship Id="rId1994" Type="http://schemas.openxmlformats.org/officeDocument/2006/relationships/hyperlink" Target="https://prabhupadavani.org/transcriptions/741027sbmay/" TargetMode="External"/><Relationship Id="rId1995" Type="http://schemas.openxmlformats.org/officeDocument/2006/relationships/hyperlink" Target="https://prabhupadavani.org/transcriptions/741028sbmay/" TargetMode="External"/><Relationship Id="rId1996" Type="http://schemas.openxmlformats.org/officeDocument/2006/relationships/hyperlink" Target="https://prabhupadavani.org/transcriptions/741029sbmay/" TargetMode="External"/><Relationship Id="rId1997" Type="http://schemas.openxmlformats.org/officeDocument/2006/relationships/hyperlink" Target="https://prabhupadavani.org/transcriptions/741101sbbom/" TargetMode="External"/><Relationship Id="rId1998" Type="http://schemas.openxmlformats.org/officeDocument/2006/relationships/hyperlink" Target="https://prabhupadavani.org/transcriptions/741102sbbom/" TargetMode="External"/><Relationship Id="rId1999" Type="http://schemas.openxmlformats.org/officeDocument/2006/relationships/hyperlink" Target="https://prabhupadavani.org/transcriptions/741103sbbom/" TargetMode="External"/><Relationship Id="rId1990" Type="http://schemas.openxmlformats.org/officeDocument/2006/relationships/hyperlink" Target="https://prabhupadavani.org/transcriptions/741023sbmay/" TargetMode="External"/><Relationship Id="rId1991" Type="http://schemas.openxmlformats.org/officeDocument/2006/relationships/hyperlink" Target="https://prabhupadavani.org/transcriptions/741024sbmay/" TargetMode="External"/><Relationship Id="rId1992" Type="http://schemas.openxmlformats.org/officeDocument/2006/relationships/hyperlink" Target="https://prabhupadavani.org/transcriptions/741025sbmay/" TargetMode="External"/><Relationship Id="rId1993" Type="http://schemas.openxmlformats.org/officeDocument/2006/relationships/hyperlink" Target="https://prabhupadavani.org/transcriptions/741026sbmay/" TargetMode="External"/><Relationship Id="rId1983" Type="http://schemas.openxmlformats.org/officeDocument/2006/relationships/hyperlink" Target="https://prabhupadavani.org/transcriptions/741015lemay/" TargetMode="External"/><Relationship Id="rId1984" Type="http://schemas.openxmlformats.org/officeDocument/2006/relationships/hyperlink" Target="https://prabhupadavani.org/transcriptions/741016sbmay/" TargetMode="External"/><Relationship Id="rId1985" Type="http://schemas.openxmlformats.org/officeDocument/2006/relationships/hyperlink" Target="https://prabhupadavani.org/transcriptions/741016lemay/" TargetMode="External"/><Relationship Id="rId1986" Type="http://schemas.openxmlformats.org/officeDocument/2006/relationships/hyperlink" Target="https://prabhupadavani.org/transcriptions/741019sbmay/" TargetMode="External"/><Relationship Id="rId1987" Type="http://schemas.openxmlformats.org/officeDocument/2006/relationships/hyperlink" Target="https://prabhupadavani.org/transcriptions/741020sbmay/" TargetMode="External"/><Relationship Id="rId1988" Type="http://schemas.openxmlformats.org/officeDocument/2006/relationships/hyperlink" Target="https://prabhupadavani.org/transcriptions/741021sbmay/" TargetMode="External"/><Relationship Id="rId1989" Type="http://schemas.openxmlformats.org/officeDocument/2006/relationships/hyperlink" Target="https://prabhupadavani.org/transcriptions/741022sbmay/" TargetMode="External"/><Relationship Id="rId1980" Type="http://schemas.openxmlformats.org/officeDocument/2006/relationships/hyperlink" Target="https://prabhupadavani.org/transcriptions/741013sbmay/" TargetMode="External"/><Relationship Id="rId1981" Type="http://schemas.openxmlformats.org/officeDocument/2006/relationships/hyperlink" Target="https://prabhupadavani.org/transcriptions/741014sbmay/" TargetMode="External"/><Relationship Id="rId1982" Type="http://schemas.openxmlformats.org/officeDocument/2006/relationships/hyperlink" Target="https://prabhupadavani.org/transcriptions/741015sbmay/" TargetMode="External"/><Relationship Id="rId1930" Type="http://schemas.openxmlformats.org/officeDocument/2006/relationships/hyperlink" Target="https://prabhupadavani.org/transcriptions/740725dpny/" TargetMode="External"/><Relationship Id="rId1931" Type="http://schemas.openxmlformats.org/officeDocument/2006/relationships/hyperlink" Target="https://prabhupadavani.org/transcriptions/740802bgvrn/" TargetMode="External"/><Relationship Id="rId1932" Type="http://schemas.openxmlformats.org/officeDocument/2006/relationships/hyperlink" Target="https://prabhupadavani.org/transcriptions/740803sbvrn/" TargetMode="External"/><Relationship Id="rId1933" Type="http://schemas.openxmlformats.org/officeDocument/2006/relationships/hyperlink" Target="https://prabhupadavani.org/transcriptions/740803bgvrn/" TargetMode="External"/><Relationship Id="rId1934" Type="http://schemas.openxmlformats.org/officeDocument/2006/relationships/hyperlink" Target="https://prabhupadavani.org/transcriptions/740804sbvrn/" TargetMode="External"/><Relationship Id="rId1935" Type="http://schemas.openxmlformats.org/officeDocument/2006/relationships/hyperlink" Target="https://prabhupadavani.org/transcriptions/740804bgvrn/" TargetMode="External"/><Relationship Id="rId1936" Type="http://schemas.openxmlformats.org/officeDocument/2006/relationships/hyperlink" Target="https://prabhupadavani.org/transcriptions/740805sbvrn/" TargetMode="External"/><Relationship Id="rId1937" Type="http://schemas.openxmlformats.org/officeDocument/2006/relationships/hyperlink" Target="https://prabhupadavani.org/transcriptions/740805bgvrn/" TargetMode="External"/><Relationship Id="rId1938" Type="http://schemas.openxmlformats.org/officeDocument/2006/relationships/hyperlink" Target="https://prabhupadavani.org/transcriptions/740805r1vrn/" TargetMode="External"/><Relationship Id="rId1939" Type="http://schemas.openxmlformats.org/officeDocument/2006/relationships/hyperlink" Target="https://prabhupadavani.org/transcriptions/740806bgvrn/" TargetMode="External"/><Relationship Id="rId1920" Type="http://schemas.openxmlformats.org/officeDocument/2006/relationships/hyperlink" Target="https://prabhupadavani.org/transcriptions/740713sbla/" TargetMode="External"/><Relationship Id="rId1921" Type="http://schemas.openxmlformats.org/officeDocument/2006/relationships/hyperlink" Target="https://prabhupadavani.org/transcriptions/740713chla/" TargetMode="External"/><Relationship Id="rId1922" Type="http://schemas.openxmlformats.org/officeDocument/2006/relationships/hyperlink" Target="https://prabhupadavani.org/transcriptions/740714mwla/" TargetMode="External"/><Relationship Id="rId1923" Type="http://schemas.openxmlformats.org/officeDocument/2006/relationships/hyperlink" Target="https://prabhupadavani.org/transcriptions/740714sbla/" TargetMode="External"/><Relationship Id="rId1924" Type="http://schemas.openxmlformats.org/officeDocument/2006/relationships/hyperlink" Target="https://prabhupadavani.org/transcriptions/740714chla/" TargetMode="External"/><Relationship Id="rId1925" Type="http://schemas.openxmlformats.org/officeDocument/2006/relationships/hyperlink" Target="https://prabhupadavani.org/transcriptions/740715dpla/" TargetMode="External"/><Relationship Id="rId1926" Type="http://schemas.openxmlformats.org/officeDocument/2006/relationships/hyperlink" Target="https://prabhupadavani.org/transcriptions/740718sbnv/" TargetMode="External"/><Relationship Id="rId1927" Type="http://schemas.openxmlformats.org/officeDocument/2006/relationships/hyperlink" Target="https://prabhupadavani.org/transcriptions/740719sbnv/" TargetMode="External"/><Relationship Id="rId1928" Type="http://schemas.openxmlformats.org/officeDocument/2006/relationships/hyperlink" Target="https://prabhupadavani.org/transcriptions/740721sbnv/" TargetMode="External"/><Relationship Id="rId1929" Type="http://schemas.openxmlformats.org/officeDocument/2006/relationships/hyperlink" Target="https://prabhupadavani.org/transcriptions/740724sbny/" TargetMode="External"/><Relationship Id="rId1950" Type="http://schemas.openxmlformats.org/officeDocument/2006/relationships/hyperlink" Target="https://prabhupadavani.org/transcriptions/740813bgvrn/" TargetMode="External"/><Relationship Id="rId1951" Type="http://schemas.openxmlformats.org/officeDocument/2006/relationships/hyperlink" Target="https://prabhupadavani.org/transcriptions/740814sbvrn/" TargetMode="External"/><Relationship Id="rId1952" Type="http://schemas.openxmlformats.org/officeDocument/2006/relationships/hyperlink" Target="https://prabhupadavani.org/transcriptions/740815bgvrn/" TargetMode="External"/><Relationship Id="rId1953" Type="http://schemas.openxmlformats.org/officeDocument/2006/relationships/hyperlink" Target="https://prabhupadavani.org/transcriptions/740816sbvrn/" TargetMode="External"/><Relationship Id="rId1954" Type="http://schemas.openxmlformats.org/officeDocument/2006/relationships/hyperlink" Target="https://prabhupadavani.org/transcriptions/740816bgvrn/" TargetMode="External"/><Relationship Id="rId1955" Type="http://schemas.openxmlformats.org/officeDocument/2006/relationships/hyperlink" Target="https://prabhupadavani.org/transcriptions/740817sbvrn/" TargetMode="External"/><Relationship Id="rId1956" Type="http://schemas.openxmlformats.org/officeDocument/2006/relationships/hyperlink" Target="https://prabhupadavani.org/transcriptions/740818spvrn/" TargetMode="External"/><Relationship Id="rId1957" Type="http://schemas.openxmlformats.org/officeDocument/2006/relationships/hyperlink" Target="https://prabhupadavani.org/transcriptions/740910gcvrn/" TargetMode="External"/><Relationship Id="rId1958" Type="http://schemas.openxmlformats.org/officeDocument/2006/relationships/hyperlink" Target="https://prabhupadavani.org/transcriptions/740911gcvrn/" TargetMode="External"/><Relationship Id="rId1959" Type="http://schemas.openxmlformats.org/officeDocument/2006/relationships/hyperlink" Target="https://prabhupadavani.org/transcriptions/740922bgdel/" TargetMode="External"/><Relationship Id="rId1940" Type="http://schemas.openxmlformats.org/officeDocument/2006/relationships/hyperlink" Target="https://prabhupadavani.org/transcriptions/740806sbvrn/" TargetMode="External"/><Relationship Id="rId1941" Type="http://schemas.openxmlformats.org/officeDocument/2006/relationships/hyperlink" Target="https://prabhupadavani.org/transcriptions/740809sbvrn/" TargetMode="External"/><Relationship Id="rId1942" Type="http://schemas.openxmlformats.org/officeDocument/2006/relationships/hyperlink" Target="https://prabhupadavani.org/transcriptions/740809bgvrn/" TargetMode="External"/><Relationship Id="rId1943" Type="http://schemas.openxmlformats.org/officeDocument/2006/relationships/hyperlink" Target="https://prabhupadavani.org/transcriptions/740810sbvrn/" TargetMode="External"/><Relationship Id="rId1944" Type="http://schemas.openxmlformats.org/officeDocument/2006/relationships/hyperlink" Target="https://prabhupadavani.org/transcriptions/740810bgvrn/" TargetMode="External"/><Relationship Id="rId1945" Type="http://schemas.openxmlformats.org/officeDocument/2006/relationships/hyperlink" Target="https://prabhupadavani.org/transcriptions/740811sbvrn/" TargetMode="External"/><Relationship Id="rId1946" Type="http://schemas.openxmlformats.org/officeDocument/2006/relationships/hyperlink" Target="https://prabhupadavani.org/transcriptions/740811bgvrn/" TargetMode="External"/><Relationship Id="rId1947" Type="http://schemas.openxmlformats.org/officeDocument/2006/relationships/hyperlink" Target="https://prabhupadavani.org/transcriptions/740812sbvrn/" TargetMode="External"/><Relationship Id="rId1948" Type="http://schemas.openxmlformats.org/officeDocument/2006/relationships/hyperlink" Target="https://prabhupadavani.org/transcriptions/740812bgvrn/" TargetMode="External"/><Relationship Id="rId1949" Type="http://schemas.openxmlformats.org/officeDocument/2006/relationships/hyperlink" Target="https://prabhupadavani.org/transcriptions/740813sbvrn/" TargetMode="External"/><Relationship Id="rId2423" Type="http://schemas.openxmlformats.org/officeDocument/2006/relationships/hyperlink" Target="https://prabhupadavani.org/transcriptions/750811arpar/" TargetMode="External"/><Relationship Id="rId2424" Type="http://schemas.openxmlformats.org/officeDocument/2006/relationships/hyperlink" Target="https://prabhupadavani.org/transcriptions/750811sbpar/" TargetMode="External"/><Relationship Id="rId2425" Type="http://schemas.openxmlformats.org/officeDocument/2006/relationships/hyperlink" Target="https://prabhupadavani.org/transcriptions/750812mwpar/" TargetMode="External"/><Relationship Id="rId2426" Type="http://schemas.openxmlformats.org/officeDocument/2006/relationships/hyperlink" Target="https://prabhupadavani.org/transcriptions/750812r1par/" TargetMode="External"/><Relationship Id="rId2427" Type="http://schemas.openxmlformats.org/officeDocument/2006/relationships/hyperlink" Target="https://prabhupadavani.org/transcriptions/750813mwlon/" TargetMode="External"/><Relationship Id="rId2428" Type="http://schemas.openxmlformats.org/officeDocument/2006/relationships/hyperlink" Target="https://prabhupadavani.org/transcriptions/750813sblon/" TargetMode="External"/><Relationship Id="rId2429" Type="http://schemas.openxmlformats.org/officeDocument/2006/relationships/hyperlink" Target="https://prabhupadavani.org/transcriptions/750814sbbom/" TargetMode="External"/><Relationship Id="rId509" Type="http://schemas.openxmlformats.org/officeDocument/2006/relationships/hyperlink" Target="https://prabhupadavani.org/transcriptions/%C5%9Br%C4%ABmad-bh%C4%81gavatam-2116-partially-recorded/" TargetMode="External"/><Relationship Id="rId508" Type="http://schemas.openxmlformats.org/officeDocument/2006/relationships/hyperlink" Target="https://prabhupadavani.org/transcriptions/%C5%9Br%C4%ABmad-bh%C4%81gavatam-2114/" TargetMode="External"/><Relationship Id="rId503" Type="http://schemas.openxmlformats.org/officeDocument/2006/relationships/hyperlink" Target="https://prabhupadavani.org/transcriptions/%C5%9Br%C4%ABla-baladeva-vidy%C4%81bh%C5%AB%E1%B9%A3ana-appearance/" TargetMode="External"/><Relationship Id="rId502" Type="http://schemas.openxmlformats.org/officeDocument/2006/relationships/hyperlink" Target="https://prabhupadavani.org/transcriptions/%C5%9Br%C4%AB-%C4%AB%C5%9Bopani%E1%B9%A3ad-mantra-1315/" TargetMode="External"/><Relationship Id="rId501" Type="http://schemas.openxmlformats.org/officeDocument/2006/relationships/hyperlink" Target="https://prabhupadavani.org/transcriptions/%C5%9Br%C4%AB-%C4%AB%C5%9Bopani%E1%B9%A3ad-mantra-11b/" TargetMode="External"/><Relationship Id="rId500" Type="http://schemas.openxmlformats.org/officeDocument/2006/relationships/hyperlink" Target="https://prabhupadavani.org/transcriptions/%C5%9Br%C4%AB-%C4%AB%C5%9Bopani%E1%B9%A3ad-mantra-11/" TargetMode="External"/><Relationship Id="rId507" Type="http://schemas.openxmlformats.org/officeDocument/2006/relationships/hyperlink" Target="https://prabhupadavani.org/transcriptions/%C5%9Br%C4%ABmad-bh%C4%81gavatam-211b/" TargetMode="External"/><Relationship Id="rId506" Type="http://schemas.openxmlformats.org/officeDocument/2006/relationships/hyperlink" Target="https://prabhupadavani.org/transcriptions/%C5%9Br%C4%ABmad-bh%C4%81gavatam-211/" TargetMode="External"/><Relationship Id="rId505" Type="http://schemas.openxmlformats.org/officeDocument/2006/relationships/hyperlink" Target="https://prabhupadavani.org/transcriptions/nectar-devotion-first-publication/" TargetMode="External"/><Relationship Id="rId504" Type="http://schemas.openxmlformats.org/officeDocument/2006/relationships/hyperlink" Target="https://prabhupadavani.org/transcriptions/initiation-lak%E1%B9%A3m%C4%AB-priy%C4%81-m%E1%B9%9Bga-netr%C4%AB-d%C4%81s%C4%AB/" TargetMode="External"/><Relationship Id="rId2420" Type="http://schemas.openxmlformats.org/officeDocument/2006/relationships/hyperlink" Target="https://prabhupadavani.org/transcriptions/750806mwdet/" TargetMode="External"/><Relationship Id="rId2421" Type="http://schemas.openxmlformats.org/officeDocument/2006/relationships/hyperlink" Target="https://prabhupadavani.org/transcriptions/750807mwtor/" TargetMode="External"/><Relationship Id="rId2422" Type="http://schemas.openxmlformats.org/officeDocument/2006/relationships/hyperlink" Target="https://prabhupadavani.org/transcriptions/750811dtpar/" TargetMode="External"/><Relationship Id="rId2412" Type="http://schemas.openxmlformats.org/officeDocument/2006/relationships/hyperlink" Target="https://prabhupadavani.org/transcriptions/750801r1no/" TargetMode="External"/><Relationship Id="rId2413" Type="http://schemas.openxmlformats.org/officeDocument/2006/relationships/hyperlink" Target="https://prabhupadavani.org/transcriptions/750803ccdet/" TargetMode="External"/><Relationship Id="rId2414" Type="http://schemas.openxmlformats.org/officeDocument/2006/relationships/hyperlink" Target="https://prabhupadavani.org/transcriptions/750803sbdet/" TargetMode="External"/><Relationship Id="rId2415" Type="http://schemas.openxmlformats.org/officeDocument/2006/relationships/hyperlink" Target="https://prabhupadavani.org/transcriptions/750803s2det/" TargetMode="External"/><Relationship Id="rId2416" Type="http://schemas.openxmlformats.org/officeDocument/2006/relationships/hyperlink" Target="https://prabhupadavani.org/transcriptions/750804mwdet/" TargetMode="External"/><Relationship Id="rId2417" Type="http://schemas.openxmlformats.org/officeDocument/2006/relationships/hyperlink" Target="https://prabhupadavani.org/transcriptions/750804sbdet/" TargetMode="External"/><Relationship Id="rId2418" Type="http://schemas.openxmlformats.org/officeDocument/2006/relationships/hyperlink" Target="https://prabhupadavani.org/transcriptions/750805mwdet/" TargetMode="External"/><Relationship Id="rId2419" Type="http://schemas.openxmlformats.org/officeDocument/2006/relationships/hyperlink" Target="https://prabhupadavani.org/transcriptions/750805sbdet/" TargetMode="External"/><Relationship Id="rId2410" Type="http://schemas.openxmlformats.org/officeDocument/2006/relationships/hyperlink" Target="https://prabhupadavani.org/transcriptions/750801mfno/" TargetMode="External"/><Relationship Id="rId2411" Type="http://schemas.openxmlformats.org/officeDocument/2006/relationships/hyperlink" Target="https://prabhupadavani.org/transcriptions/750801sbno/" TargetMode="External"/><Relationship Id="rId1114" Type="http://schemas.openxmlformats.org/officeDocument/2006/relationships/hyperlink" Target="https://prabhupadavani.org/transcriptions/721025r3vrn/" TargetMode="External"/><Relationship Id="rId2445" Type="http://schemas.openxmlformats.org/officeDocument/2006/relationships/hyperlink" Target="https://prabhupadavani.org/transcriptions/750830bgvrn/" TargetMode="External"/><Relationship Id="rId1115" Type="http://schemas.openxmlformats.org/officeDocument/2006/relationships/hyperlink" Target="https://prabhupadavani.org/transcriptions/721026sbvrn/" TargetMode="External"/><Relationship Id="rId2446" Type="http://schemas.openxmlformats.org/officeDocument/2006/relationships/hyperlink" Target="https://prabhupadavani.org/transcriptions/750831levrn/" TargetMode="External"/><Relationship Id="rId1116" Type="http://schemas.openxmlformats.org/officeDocument/2006/relationships/hyperlink" Target="https://prabhupadavani.org/transcriptions/721026ndvrn/" TargetMode="External"/><Relationship Id="rId2447" Type="http://schemas.openxmlformats.org/officeDocument/2006/relationships/hyperlink" Target="https://prabhupadavani.org/transcriptions/750901mwvrn/" TargetMode="External"/><Relationship Id="rId1117" Type="http://schemas.openxmlformats.org/officeDocument/2006/relationships/hyperlink" Target="https://prabhupadavani.org/transcriptions/721027sbvrn/" TargetMode="External"/><Relationship Id="rId2448" Type="http://schemas.openxmlformats.org/officeDocument/2006/relationships/hyperlink" Target="https://prabhupadavani.org/transcriptions/750901sbvrn/" TargetMode="External"/><Relationship Id="rId1118" Type="http://schemas.openxmlformats.org/officeDocument/2006/relationships/hyperlink" Target="https://prabhupadavani.org/transcriptions/721027r1vrn/" TargetMode="External"/><Relationship Id="rId2449" Type="http://schemas.openxmlformats.org/officeDocument/2006/relationships/hyperlink" Target="https://prabhupadavani.org/transcriptions/750902sbvrn/" TargetMode="External"/><Relationship Id="rId1119" Type="http://schemas.openxmlformats.org/officeDocument/2006/relationships/hyperlink" Target="https://prabhupadavani.org/transcriptions/721027ndvrn/" TargetMode="External"/><Relationship Id="rId525" Type="http://schemas.openxmlformats.org/officeDocument/2006/relationships/hyperlink" Target="https://prabhupadavani.org/transcriptions/%C5%9Br%C4%ABmad-bh%C4%81gavatam-6121-room-conversation/" TargetMode="External"/><Relationship Id="rId524" Type="http://schemas.openxmlformats.org/officeDocument/2006/relationships/hyperlink" Target="https://prabhupadavani.org/transcriptions/speech-mah%C4%81r%C4%81ja-and-mah%C4%81r%C4%81%E1%B9%87%C4%AB/" TargetMode="External"/><Relationship Id="rId523" Type="http://schemas.openxmlformats.org/officeDocument/2006/relationships/hyperlink" Target="https://prabhupadavani.org/transcriptions/%C5%9Br%C4%ABmad-bh%C4%81gavatam-6119-and-conversation/" TargetMode="External"/><Relationship Id="rId522" Type="http://schemas.openxmlformats.org/officeDocument/2006/relationships/hyperlink" Target="https://prabhupadavani.org/transcriptions/%C5%9Br%C4%ABmad-bh%C4%81gavatam-6114/" TargetMode="External"/><Relationship Id="rId529" Type="http://schemas.openxmlformats.org/officeDocument/2006/relationships/hyperlink" Target="https://prabhupadavani.org/transcriptions/room-conversation-g/" TargetMode="External"/><Relationship Id="rId528" Type="http://schemas.openxmlformats.org/officeDocument/2006/relationships/hyperlink" Target="https://prabhupadavani.org/transcriptions/room-conversation-f/" TargetMode="External"/><Relationship Id="rId527" Type="http://schemas.openxmlformats.org/officeDocument/2006/relationships/hyperlink" Target="https://prabhupadavani.org/transcriptions/%C5%9Br%C4%ABmad-bh%C4%81gavatam-612225/" TargetMode="External"/><Relationship Id="rId526" Type="http://schemas.openxmlformats.org/officeDocument/2006/relationships/hyperlink" Target="https://prabhupadavani.org/transcriptions/room-conversation-partially-recorded-b/" TargetMode="External"/><Relationship Id="rId2440" Type="http://schemas.openxmlformats.org/officeDocument/2006/relationships/hyperlink" Target="https://prabhupadavani.org/transcriptions/750828sbvrn/" TargetMode="External"/><Relationship Id="rId521" Type="http://schemas.openxmlformats.org/officeDocument/2006/relationships/hyperlink" Target="https://prabhupadavani.org/transcriptions/room-conversation-d/" TargetMode="External"/><Relationship Id="rId1110" Type="http://schemas.openxmlformats.org/officeDocument/2006/relationships/hyperlink" Target="https://prabhupadavani.org/transcriptions/721024ndvrn/" TargetMode="External"/><Relationship Id="rId2441" Type="http://schemas.openxmlformats.org/officeDocument/2006/relationships/hyperlink" Target="https://prabhupadavani.org/transcriptions/750829mwvrn/" TargetMode="External"/><Relationship Id="rId520" Type="http://schemas.openxmlformats.org/officeDocument/2006/relationships/hyperlink" Target="https://prabhupadavani.org/transcriptions/room-conversation-c/" TargetMode="External"/><Relationship Id="rId1111" Type="http://schemas.openxmlformats.org/officeDocument/2006/relationships/hyperlink" Target="https://prabhupadavani.org/transcriptions/721024r1vrn/" TargetMode="External"/><Relationship Id="rId2442" Type="http://schemas.openxmlformats.org/officeDocument/2006/relationships/hyperlink" Target="https://prabhupadavani.org/transcriptions/750829sbvrn/" TargetMode="External"/><Relationship Id="rId1112" Type="http://schemas.openxmlformats.org/officeDocument/2006/relationships/hyperlink" Target="https://prabhupadavani.org/transcriptions/721025r1vrn/" TargetMode="External"/><Relationship Id="rId2443" Type="http://schemas.openxmlformats.org/officeDocument/2006/relationships/hyperlink" Target="https://prabhupadavani.org/transcriptions/750829bgvrn/" TargetMode="External"/><Relationship Id="rId1113" Type="http://schemas.openxmlformats.org/officeDocument/2006/relationships/hyperlink" Target="https://prabhupadavani.org/transcriptions/721025r2vrn/" TargetMode="External"/><Relationship Id="rId2444" Type="http://schemas.openxmlformats.org/officeDocument/2006/relationships/hyperlink" Target="https://prabhupadavani.org/transcriptions/750830sbvrn/" TargetMode="External"/><Relationship Id="rId1103" Type="http://schemas.openxmlformats.org/officeDocument/2006/relationships/hyperlink" Target="https://prabhupadavani.org/transcriptions/721021sbvrn/" TargetMode="External"/><Relationship Id="rId2434" Type="http://schemas.openxmlformats.org/officeDocument/2006/relationships/hyperlink" Target="https://prabhupadavani.org/transcriptions/750824mwdel/" TargetMode="External"/><Relationship Id="rId1104" Type="http://schemas.openxmlformats.org/officeDocument/2006/relationships/hyperlink" Target="https://prabhupadavani.org/transcriptions/721021ndvrn/" TargetMode="External"/><Relationship Id="rId2435" Type="http://schemas.openxmlformats.org/officeDocument/2006/relationships/hyperlink" Target="https://prabhupadavani.org/transcriptions/750825mwvrn/" TargetMode="External"/><Relationship Id="rId1105" Type="http://schemas.openxmlformats.org/officeDocument/2006/relationships/hyperlink" Target="https://prabhupadavani.org/transcriptions/721022invrn/" TargetMode="External"/><Relationship Id="rId2436" Type="http://schemas.openxmlformats.org/officeDocument/2006/relationships/hyperlink" Target="https://prabhupadavani.org/transcriptions/750826r1vrn/" TargetMode="External"/><Relationship Id="rId1106" Type="http://schemas.openxmlformats.org/officeDocument/2006/relationships/hyperlink" Target="https://prabhupadavani.org/transcriptions/721022sbvrn/" TargetMode="External"/><Relationship Id="rId2437" Type="http://schemas.openxmlformats.org/officeDocument/2006/relationships/hyperlink" Target="https://prabhupadavani.org/transcriptions/750826bgvrn/" TargetMode="External"/><Relationship Id="rId1107" Type="http://schemas.openxmlformats.org/officeDocument/2006/relationships/hyperlink" Target="https://prabhupadavani.org/transcriptions/721023sbvrn/" TargetMode="External"/><Relationship Id="rId2438" Type="http://schemas.openxmlformats.org/officeDocument/2006/relationships/hyperlink" Target="https://prabhupadavani.org/transcriptions/750827mwvrn/" TargetMode="External"/><Relationship Id="rId1108" Type="http://schemas.openxmlformats.org/officeDocument/2006/relationships/hyperlink" Target="https://prabhupadavani.org/transcriptions/721023ndvrn/" TargetMode="External"/><Relationship Id="rId2439" Type="http://schemas.openxmlformats.org/officeDocument/2006/relationships/hyperlink" Target="https://prabhupadavani.org/transcriptions/750828mwvrn/" TargetMode="External"/><Relationship Id="rId1109" Type="http://schemas.openxmlformats.org/officeDocument/2006/relationships/hyperlink" Target="https://prabhupadavani.org/transcriptions/721024sbvrn/" TargetMode="External"/><Relationship Id="rId519" Type="http://schemas.openxmlformats.org/officeDocument/2006/relationships/hyperlink" Target="https://prabhupadavani.org/transcriptions/%C5%9Br%C4%ABmad-bh%C4%81gavatam-616-b/" TargetMode="External"/><Relationship Id="rId514" Type="http://schemas.openxmlformats.org/officeDocument/2006/relationships/hyperlink" Target="https://prabhupadavani.org/transcriptions/sanny%C4%81sa-initiation-b/" TargetMode="External"/><Relationship Id="rId513" Type="http://schemas.openxmlformats.org/officeDocument/2006/relationships/hyperlink" Target="https://prabhupadavani.org/transcriptions/ratha-y%C4%81tr%C4%81-address-b/" TargetMode="External"/><Relationship Id="rId512" Type="http://schemas.openxmlformats.org/officeDocument/2006/relationships/hyperlink" Target="https://prabhupadavani.org/transcriptions/ratha-y%C4%81tr%C4%81-address-and-press-conference/" TargetMode="External"/><Relationship Id="rId511" Type="http://schemas.openxmlformats.org/officeDocument/2006/relationships/hyperlink" Target="https://prabhupadavani.org/transcriptions/gu%E1%B9%87%E1%B8%8Dic%C4%81-m%C4%81rjanam-cleansing-gu%E1%B9%87%E1%B8%8Dic%C4%81-temple-gurva%E1%B9%A3%E1%B9%ADakam/" TargetMode="External"/><Relationship Id="rId518" Type="http://schemas.openxmlformats.org/officeDocument/2006/relationships/hyperlink" Target="https://prabhupadavani.org/transcriptions/room-conversation-o/" TargetMode="External"/><Relationship Id="rId517" Type="http://schemas.openxmlformats.org/officeDocument/2006/relationships/hyperlink" Target="https://prabhupadavani.org/transcriptions/vai%E1%B9%A3%E1%B9%87ava-calendar-description/" TargetMode="External"/><Relationship Id="rId516" Type="http://schemas.openxmlformats.org/officeDocument/2006/relationships/hyperlink" Target="https://prabhupadavani.org/transcriptions/%C5%9Br%C4%ABla-prabhup%C4%81da-leaving-japan-purport-n%E1%B9%9Bsi%E1%B9%81ha-prayers/" TargetMode="External"/><Relationship Id="rId515" Type="http://schemas.openxmlformats.org/officeDocument/2006/relationships/hyperlink" Target="https://prabhupadavani.org/transcriptions/%C5%9Br%C4%ABmad-bh%C4%81gavatam-2111-prabhup%C4%81d700801sb-los-angelesa-teaching-n%E1%B9%9Bsi%E1%B9%81ha-prayers/" TargetMode="External"/><Relationship Id="rId510" Type="http://schemas.openxmlformats.org/officeDocument/2006/relationships/hyperlink" Target="https://prabhupadavani.org/transcriptions/initiations-%C5%9Br%C4%AB-ra%E1%B9%85ga-romahar%E1%B9%A3%E1%B9%87-%C5%9Br%C4%ABdhara-and-gop%C4%81la/" TargetMode="External"/><Relationship Id="rId2430" Type="http://schemas.openxmlformats.org/officeDocument/2006/relationships/hyperlink" Target="https://prabhupadavani.org/transcriptions/750815mwbom/" TargetMode="External"/><Relationship Id="rId1100" Type="http://schemas.openxmlformats.org/officeDocument/2006/relationships/hyperlink" Target="https://prabhupadavani.org/transcriptions/721019akvrn/" TargetMode="External"/><Relationship Id="rId2431" Type="http://schemas.openxmlformats.org/officeDocument/2006/relationships/hyperlink" Target="https://prabhupadavani.org/transcriptions/750817mwbom/" TargetMode="External"/><Relationship Id="rId1101" Type="http://schemas.openxmlformats.org/officeDocument/2006/relationships/hyperlink" Target="https://prabhupadavani.org/transcriptions/721020sbvrn/" TargetMode="External"/><Relationship Id="rId2432" Type="http://schemas.openxmlformats.org/officeDocument/2006/relationships/hyperlink" Target="https://prabhupadavani.org/transcriptions/750819sbbom/" TargetMode="External"/><Relationship Id="rId1102" Type="http://schemas.openxmlformats.org/officeDocument/2006/relationships/hyperlink" Target="https://prabhupadavani.org/transcriptions/721020ndvrn/" TargetMode="External"/><Relationship Id="rId2433" Type="http://schemas.openxmlformats.org/officeDocument/2006/relationships/hyperlink" Target="https://prabhupadavani.org/transcriptions/750821r1bom/" TargetMode="External"/><Relationship Id="rId3711" Type="http://schemas.openxmlformats.org/officeDocument/2006/relationships/hyperlink" Target="https://prabhupadavani.org/transcriptions/771114vgvrn/" TargetMode="External"/><Relationship Id="rId3710" Type="http://schemas.openxmlformats.org/officeDocument/2006/relationships/hyperlink" Target="https://prabhupadavani.org/transcriptions/771113r2vrn/" TargetMode="External"/><Relationship Id="rId3713" Type="http://schemas.openxmlformats.org/officeDocument/2006/relationships/drawing" Target="../drawings/drawing1.xml"/><Relationship Id="rId3712" Type="http://schemas.openxmlformats.org/officeDocument/2006/relationships/hyperlink" Target="https://prabhupadavani.org/transcriptions/room-conversation-b/" TargetMode="External"/><Relationship Id="rId3700" Type="http://schemas.openxmlformats.org/officeDocument/2006/relationships/hyperlink" Target="https://prabhupadavani.org/transcriptions/771109r2vrn/" TargetMode="External"/><Relationship Id="rId3702" Type="http://schemas.openxmlformats.org/officeDocument/2006/relationships/hyperlink" Target="https://prabhupadavani.org/transcriptions/771109r4vrn/" TargetMode="External"/><Relationship Id="rId3701" Type="http://schemas.openxmlformats.org/officeDocument/2006/relationships/hyperlink" Target="https://prabhupadavani.org/transcriptions/771109r3vrn/" TargetMode="External"/><Relationship Id="rId3704" Type="http://schemas.openxmlformats.org/officeDocument/2006/relationships/hyperlink" Target="https://prabhupadavani.org/transcriptions/771110r2vrn/" TargetMode="External"/><Relationship Id="rId3703" Type="http://schemas.openxmlformats.org/officeDocument/2006/relationships/hyperlink" Target="https://prabhupadavani.org/transcriptions/771110r1vrn/" TargetMode="External"/><Relationship Id="rId3706" Type="http://schemas.openxmlformats.org/officeDocument/2006/relationships/hyperlink" Target="https://prabhupadavani.org/transcriptions/771111r1vrn/" TargetMode="External"/><Relationship Id="rId3705" Type="http://schemas.openxmlformats.org/officeDocument/2006/relationships/hyperlink" Target="https://prabhupadavani.org/transcriptions/771110r3vrn/" TargetMode="External"/><Relationship Id="rId3708" Type="http://schemas.openxmlformats.org/officeDocument/2006/relationships/hyperlink" Target="https://prabhupadavani.org/transcriptions/771112r2vrn/" TargetMode="External"/><Relationship Id="rId3707" Type="http://schemas.openxmlformats.org/officeDocument/2006/relationships/hyperlink" Target="https://prabhupadavani.org/transcriptions/771112r1vrn/" TargetMode="External"/><Relationship Id="rId3709" Type="http://schemas.openxmlformats.org/officeDocument/2006/relationships/hyperlink" Target="https://prabhupadavani.org/transcriptions/771113r1vrn/" TargetMode="External"/><Relationship Id="rId2401" Type="http://schemas.openxmlformats.org/officeDocument/2006/relationships/hyperlink" Target="https://prabhupadavani.org/transcriptions/750727sbsd/" TargetMode="External"/><Relationship Id="rId2402" Type="http://schemas.openxmlformats.org/officeDocument/2006/relationships/hyperlink" Target="https://prabhupadavani.org/transcriptions/750728mwsd/" TargetMode="External"/><Relationship Id="rId2403" Type="http://schemas.openxmlformats.org/officeDocument/2006/relationships/hyperlink" Target="https://prabhupadavani.org/transcriptions/750728pcdal/" TargetMode="External"/><Relationship Id="rId2404" Type="http://schemas.openxmlformats.org/officeDocument/2006/relationships/hyperlink" Target="https://prabhupadavani.org/transcriptions/750729mwdal/" TargetMode="External"/><Relationship Id="rId2405" Type="http://schemas.openxmlformats.org/officeDocument/2006/relationships/hyperlink" Target="https://prabhupadavani.org/transcriptions/750729sbdal/" TargetMode="External"/><Relationship Id="rId2406" Type="http://schemas.openxmlformats.org/officeDocument/2006/relationships/hyperlink" Target="https://prabhupadavani.org/transcriptions/750730mwdal/" TargetMode="External"/><Relationship Id="rId2407" Type="http://schemas.openxmlformats.org/officeDocument/2006/relationships/hyperlink" Target="https://prabhupadavani.org/transcriptions/750730sbdal/" TargetMode="External"/><Relationship Id="rId2408" Type="http://schemas.openxmlformats.org/officeDocument/2006/relationships/hyperlink" Target="https://prabhupadavani.org/transcriptions/750731mwdal/" TargetMode="External"/><Relationship Id="rId2409" Type="http://schemas.openxmlformats.org/officeDocument/2006/relationships/hyperlink" Target="https://prabhupadavani.org/transcriptions/750731r1no/" TargetMode="External"/><Relationship Id="rId2400" Type="http://schemas.openxmlformats.org/officeDocument/2006/relationships/hyperlink" Target="https://prabhupadavani.org/transcriptions/750727mwsd/" TargetMode="External"/><Relationship Id="rId590" Type="http://schemas.openxmlformats.org/officeDocument/2006/relationships/hyperlink" Target="https://prabhupadavani.org/transcriptions/%C5%9Br%C4%ABmad-bh%C4%81gavatam-631617/" TargetMode="External"/><Relationship Id="rId589" Type="http://schemas.openxmlformats.org/officeDocument/2006/relationships/hyperlink" Target="https://prabhupadavani.org/transcriptions/%C5%9Br%C4%AB-caitanya-carit%C4%81m%E1%B9%9Bta-lecture-a-hindi/" TargetMode="External"/><Relationship Id="rId588" Type="http://schemas.openxmlformats.org/officeDocument/2006/relationships/hyperlink" Target="https://prabhupadavani.org/transcriptions/%C5%9Br%C4%ABmad-bh%C4%81gavatam-631215/" TargetMode="External"/><Relationship Id="rId1170" Type="http://schemas.openxmlformats.org/officeDocument/2006/relationships/hyperlink" Target="https://prabhupadavani.org/transcriptions/721129lehyd/" TargetMode="External"/><Relationship Id="rId1171" Type="http://schemas.openxmlformats.org/officeDocument/2006/relationships/hyperlink" Target="https://prabhupadavani.org/transcriptions/721129bghyd/" TargetMode="External"/><Relationship Id="rId583" Type="http://schemas.openxmlformats.org/officeDocument/2006/relationships/hyperlink" Target="https://prabhupadavani.org/transcriptions/lecture-government-center-pedagogical-institute-partially-recorded-710201l1/" TargetMode="External"/><Relationship Id="rId1172" Type="http://schemas.openxmlformats.org/officeDocument/2006/relationships/hyperlink" Target="https://prabhupadavani.org/transcriptions/721130bghyd/" TargetMode="External"/><Relationship Id="rId582" Type="http://schemas.openxmlformats.org/officeDocument/2006/relationships/hyperlink" Target="https://prabhupadavani.org/transcriptions/lecture-b-hindi/" TargetMode="External"/><Relationship Id="rId1173" Type="http://schemas.openxmlformats.org/officeDocument/2006/relationships/hyperlink" Target="https://prabhupadavani.org/transcriptions/721205leahm/" TargetMode="External"/><Relationship Id="rId581" Type="http://schemas.openxmlformats.org/officeDocument/2006/relationships/hyperlink" Target="https://prabhupadavani.org/transcriptions/pa%E1%B9%87%E1%B8%8D%C4%81l-lecture-partially-recorded/" TargetMode="External"/><Relationship Id="rId1174" Type="http://schemas.openxmlformats.org/officeDocument/2006/relationships/hyperlink" Target="https://prabhupadavani.org/transcriptions/721206bgahm/" TargetMode="External"/><Relationship Id="rId580" Type="http://schemas.openxmlformats.org/officeDocument/2006/relationships/hyperlink" Target="https://prabhupadavani.org/transcriptions/lecture-hindi-partially-recorded/" TargetMode="External"/><Relationship Id="rId1175" Type="http://schemas.openxmlformats.org/officeDocument/2006/relationships/hyperlink" Target="https://prabhupadavani.org/transcriptions/721207bgahm/" TargetMode="External"/><Relationship Id="rId587" Type="http://schemas.openxmlformats.org/officeDocument/2006/relationships/hyperlink" Target="https://prabhupadavani.org/transcriptions/%C5%9Br%C4%AB-caitanya-carit%C4%81m%E1%B9%9Bta-6124-hindi-hanuman-prasad-poddar/" TargetMode="External"/><Relationship Id="rId1176" Type="http://schemas.openxmlformats.org/officeDocument/2006/relationships/hyperlink" Target="https://prabhupadavani.org/transcriptions/721208adahm/" TargetMode="External"/><Relationship Id="rId586" Type="http://schemas.openxmlformats.org/officeDocument/2006/relationships/hyperlink" Target="https://prabhupadavani.org/transcriptions/room-conversation-hanuman-prasad-poddar-hindi-and-english/" TargetMode="External"/><Relationship Id="rId1177" Type="http://schemas.openxmlformats.org/officeDocument/2006/relationships/hyperlink" Target="https://prabhupadavani.org/transcriptions/721208leahm/" TargetMode="External"/><Relationship Id="rId585" Type="http://schemas.openxmlformats.org/officeDocument/2006/relationships/hyperlink" Target="https://prabhupadavani.org/transcriptions/%C5%9Br%C4%ABmad-bh%C4%81gavatam-6312/" TargetMode="External"/><Relationship Id="rId1178" Type="http://schemas.openxmlformats.org/officeDocument/2006/relationships/hyperlink" Target="https://prabhupadavani.org/transcriptions/721209bgahm/" TargetMode="External"/><Relationship Id="rId584" Type="http://schemas.openxmlformats.org/officeDocument/2006/relationships/hyperlink" Target="https://prabhupadavani.org/transcriptions/%C5%9Br%C4%ABmad-bh%C4%81gavatam-631112/" TargetMode="External"/><Relationship Id="rId1179" Type="http://schemas.openxmlformats.org/officeDocument/2006/relationships/hyperlink" Target="https://prabhupadavani.org/transcriptions/721210bgahm/" TargetMode="External"/><Relationship Id="rId1169" Type="http://schemas.openxmlformats.org/officeDocument/2006/relationships/hyperlink" Target="https://prabhupadavani.org/transcriptions/721128bghyd/" TargetMode="External"/><Relationship Id="rId579" Type="http://schemas.openxmlformats.org/officeDocument/2006/relationships/hyperlink" Target="https://prabhupadavani.org/transcriptions/%C5%9Br%C4%AB-caitanya-carit%C4%81m%E1%B9%9Bta-lecture-hindi/" TargetMode="External"/><Relationship Id="rId578" Type="http://schemas.openxmlformats.org/officeDocument/2006/relationships/hyperlink" Target="https://prabhupadavani.org/transcriptions/sr%C4%ABmad-bh%C4%81gavatam-63111/" TargetMode="External"/><Relationship Id="rId577" Type="http://schemas.openxmlformats.org/officeDocument/2006/relationships/hyperlink" Target="https://prabhupadavani.org/transcriptions/%C5%9Br%C4%ABmad-bh%C4%81gavatam-6248-m%C4%81gha-mel%C4%81/" TargetMode="External"/><Relationship Id="rId2490" Type="http://schemas.openxmlformats.org/officeDocument/2006/relationships/hyperlink" Target="https://prabhupadavani.org/transcriptions/751003mwmau/" TargetMode="External"/><Relationship Id="rId1160" Type="http://schemas.openxmlformats.org/officeDocument/2006/relationships/hyperlink" Target="https://prabhupadavani.org/transcriptions/721118bghyd/" TargetMode="External"/><Relationship Id="rId2491" Type="http://schemas.openxmlformats.org/officeDocument/2006/relationships/hyperlink" Target="https://prabhupadavani.org/transcriptions/751004mwmau/" TargetMode="External"/><Relationship Id="rId572" Type="http://schemas.openxmlformats.org/officeDocument/2006/relationships/hyperlink" Target="https://prabhupadavani.org/transcriptions/%C5%9Br%C4%ABmad-bh%C4%81gavatam-6246-m%C4%81gha-mel%C4%81/" TargetMode="External"/><Relationship Id="rId1161" Type="http://schemas.openxmlformats.org/officeDocument/2006/relationships/hyperlink" Target="https://prabhupadavani.org/transcriptions/721119bghyd/" TargetMode="External"/><Relationship Id="rId2492" Type="http://schemas.openxmlformats.org/officeDocument/2006/relationships/hyperlink" Target="https://prabhupadavani.org/transcriptions/751004sbmau/" TargetMode="External"/><Relationship Id="rId571" Type="http://schemas.openxmlformats.org/officeDocument/2006/relationships/hyperlink" Target="https://prabhupadavani.org/transcriptions/lecture-house-mr-mitra/" TargetMode="External"/><Relationship Id="rId1162" Type="http://schemas.openxmlformats.org/officeDocument/2006/relationships/hyperlink" Target="https://prabhupadavani.org/transcriptions/721121bghyd/" TargetMode="External"/><Relationship Id="rId2493" Type="http://schemas.openxmlformats.org/officeDocument/2006/relationships/hyperlink" Target="https://prabhupadavani.org/transcriptions/751004r1mau/" TargetMode="External"/><Relationship Id="rId570" Type="http://schemas.openxmlformats.org/officeDocument/2006/relationships/hyperlink" Target="https://prabhupadavani.org/transcriptions/%C5%9Br%C4%ABmad-bh%C4%81gavatam-6245-m%C4%81gha-mel%C4%81/" TargetMode="External"/><Relationship Id="rId1163" Type="http://schemas.openxmlformats.org/officeDocument/2006/relationships/hyperlink" Target="https://prabhupadavani.org/transcriptions/721122bghyd/" TargetMode="External"/><Relationship Id="rId2494" Type="http://schemas.openxmlformats.org/officeDocument/2006/relationships/hyperlink" Target="https://prabhupadavani.org/transcriptions/751005mwmau/" TargetMode="External"/><Relationship Id="rId1164" Type="http://schemas.openxmlformats.org/officeDocument/2006/relationships/hyperlink" Target="https://prabhupadavani.org/transcriptions/721123bghyd/" TargetMode="External"/><Relationship Id="rId2495" Type="http://schemas.openxmlformats.org/officeDocument/2006/relationships/hyperlink" Target="https://prabhupadavani.org/transcriptions/751005sbmau/" TargetMode="External"/><Relationship Id="rId576" Type="http://schemas.openxmlformats.org/officeDocument/2006/relationships/hyperlink" Target="https://prabhupadavani.org/transcriptions/lecture-a-hindi/" TargetMode="External"/><Relationship Id="rId1165" Type="http://schemas.openxmlformats.org/officeDocument/2006/relationships/hyperlink" Target="https://prabhupadavani.org/transcriptions/721125bghyd/" TargetMode="External"/><Relationship Id="rId2496" Type="http://schemas.openxmlformats.org/officeDocument/2006/relationships/hyperlink" Target="https://prabhupadavani.org/transcriptions/751005r1mau/" TargetMode="External"/><Relationship Id="rId575" Type="http://schemas.openxmlformats.org/officeDocument/2006/relationships/hyperlink" Target="https://prabhupadavani.org/transcriptions/lecture-hansadutta-%C5%9Br%C4%ABla-prabhup%C4%81das-presence/" TargetMode="External"/><Relationship Id="rId1166" Type="http://schemas.openxmlformats.org/officeDocument/2006/relationships/hyperlink" Target="https://prabhupadavani.org/transcriptions/721126sbhyd/" TargetMode="External"/><Relationship Id="rId2497" Type="http://schemas.openxmlformats.org/officeDocument/2006/relationships/hyperlink" Target="https://prabhupadavani.org/transcriptions/751006mwdur/" TargetMode="External"/><Relationship Id="rId574" Type="http://schemas.openxmlformats.org/officeDocument/2006/relationships/hyperlink" Target="https://prabhupadavani.org/transcriptions/lecture-m%C4%81gha-mel%C4%81/" TargetMode="External"/><Relationship Id="rId1167" Type="http://schemas.openxmlformats.org/officeDocument/2006/relationships/hyperlink" Target="https://prabhupadavani.org/transcriptions/721126bghyd/" TargetMode="External"/><Relationship Id="rId2498" Type="http://schemas.openxmlformats.org/officeDocument/2006/relationships/hyperlink" Target="https://prabhupadavani.org/transcriptions/751007mwdur/" TargetMode="External"/><Relationship Id="rId573" Type="http://schemas.openxmlformats.org/officeDocument/2006/relationships/hyperlink" Target="https://prabhupadavani.org/transcriptions/lecture-home-mr-mitra/" TargetMode="External"/><Relationship Id="rId1168" Type="http://schemas.openxmlformats.org/officeDocument/2006/relationships/hyperlink" Target="https://prabhupadavani.org/transcriptions/721127bghyd/" TargetMode="External"/><Relationship Id="rId2499" Type="http://schemas.openxmlformats.org/officeDocument/2006/relationships/hyperlink" Target="https://prabhupadavani.org/transcriptions/751007ledur/" TargetMode="External"/><Relationship Id="rId1190" Type="http://schemas.openxmlformats.org/officeDocument/2006/relationships/hyperlink" Target="https://prabhupadavani.org/transcriptions/721227r1bom/" TargetMode="External"/><Relationship Id="rId1191" Type="http://schemas.openxmlformats.org/officeDocument/2006/relationships/hyperlink" Target="https://prabhupadavani.org/transcriptions/721227ndbom/" TargetMode="External"/><Relationship Id="rId1192" Type="http://schemas.openxmlformats.org/officeDocument/2006/relationships/hyperlink" Target="https://prabhupadavani.org/transcriptions/721228sbbom/" TargetMode="External"/><Relationship Id="rId1193" Type="http://schemas.openxmlformats.org/officeDocument/2006/relationships/hyperlink" Target="https://prabhupadavani.org/transcriptions/721228ndbom/" TargetMode="External"/><Relationship Id="rId1194" Type="http://schemas.openxmlformats.org/officeDocument/2006/relationships/hyperlink" Target="https://prabhupadavani.org/transcriptions/721229bgbom/" TargetMode="External"/><Relationship Id="rId1195" Type="http://schemas.openxmlformats.org/officeDocument/2006/relationships/hyperlink" Target="https://prabhupadavani.org/transcriptions/721229sbbom/" TargetMode="External"/><Relationship Id="rId1196" Type="http://schemas.openxmlformats.org/officeDocument/2006/relationships/hyperlink" Target="https://prabhupadavani.org/transcriptions/721230r1bom/" TargetMode="External"/><Relationship Id="rId1197" Type="http://schemas.openxmlformats.org/officeDocument/2006/relationships/hyperlink" Target="https://prabhupadavani.org/transcriptions/721230bgbom/" TargetMode="External"/><Relationship Id="rId1198" Type="http://schemas.openxmlformats.org/officeDocument/2006/relationships/hyperlink" Target="https://prabhupadavani.org/transcriptions/721231bgbom/" TargetMode="External"/><Relationship Id="rId1199" Type="http://schemas.openxmlformats.org/officeDocument/2006/relationships/hyperlink" Target="https://prabhupadavani.org/transcriptions/730101bgbom/" TargetMode="External"/><Relationship Id="rId599" Type="http://schemas.openxmlformats.org/officeDocument/2006/relationships/hyperlink" Target="https://prabhupadavani.org/transcriptions/%C5%9Br%C4%ABmad-bh%C4%81gavatam-632023/" TargetMode="External"/><Relationship Id="rId1180" Type="http://schemas.openxmlformats.org/officeDocument/2006/relationships/hyperlink" Target="https://prabhupadavani.org/transcriptions/721210leahm/" TargetMode="External"/><Relationship Id="rId1181" Type="http://schemas.openxmlformats.org/officeDocument/2006/relationships/hyperlink" Target="https://prabhupadavani.org/transcriptions/721210r1ahm/" TargetMode="External"/><Relationship Id="rId1182" Type="http://schemas.openxmlformats.org/officeDocument/2006/relationships/hyperlink" Target="https://prabhupadavani.org/transcriptions/721211bgahm/" TargetMode="External"/><Relationship Id="rId594" Type="http://schemas.openxmlformats.org/officeDocument/2006/relationships/hyperlink" Target="https://prabhupadavani.org/transcriptions/%C5%9Br%C4%ABmad-bh%C4%81gavatam-631819-%C5%9Br%C4%AB-k%E1%B9%9B%E1%B9%A3%E1%B9%87-niketana/" TargetMode="External"/><Relationship Id="rId1183" Type="http://schemas.openxmlformats.org/officeDocument/2006/relationships/hyperlink" Target="https://prabhupadavani.org/transcriptions/721212bgahm/" TargetMode="External"/><Relationship Id="rId593" Type="http://schemas.openxmlformats.org/officeDocument/2006/relationships/hyperlink" Target="https://prabhupadavani.org/transcriptions/lecture-d-hindi/" TargetMode="External"/><Relationship Id="rId1184" Type="http://schemas.openxmlformats.org/officeDocument/2006/relationships/hyperlink" Target="https://prabhupadavani.org/transcriptions/721213bgahm/" TargetMode="External"/><Relationship Id="rId592" Type="http://schemas.openxmlformats.org/officeDocument/2006/relationships/hyperlink" Target="https://prabhupadavani.org/transcriptions/%C5%9Br%C4%ABmad-bh%C4%81gavatam-6318/" TargetMode="External"/><Relationship Id="rId1185" Type="http://schemas.openxmlformats.org/officeDocument/2006/relationships/hyperlink" Target="https://prabhupadavani.org/transcriptions/721214bgahm/" TargetMode="External"/><Relationship Id="rId591" Type="http://schemas.openxmlformats.org/officeDocument/2006/relationships/hyperlink" Target="https://prabhupadavani.org/transcriptions/lecture-c-hindi/" TargetMode="External"/><Relationship Id="rId1186" Type="http://schemas.openxmlformats.org/officeDocument/2006/relationships/hyperlink" Target="https://prabhupadavani.org/transcriptions/721219bgbom/" TargetMode="External"/><Relationship Id="rId598" Type="http://schemas.openxmlformats.org/officeDocument/2006/relationships/hyperlink" Target="https://prabhupadavani.org/transcriptions/%C5%9Br%C4%AB-caitanya-carit%C4%81m%E1%B9%9Bta-madhya-l%C4%ABl%C4%81-6151154/" TargetMode="External"/><Relationship Id="rId1187" Type="http://schemas.openxmlformats.org/officeDocument/2006/relationships/hyperlink" Target="https://prabhupadavani.org/transcriptions/721220lebom/" TargetMode="External"/><Relationship Id="rId597" Type="http://schemas.openxmlformats.org/officeDocument/2006/relationships/hyperlink" Target="https://prabhupadavani.org/transcriptions/engagement-hindi/" TargetMode="External"/><Relationship Id="rId1188" Type="http://schemas.openxmlformats.org/officeDocument/2006/relationships/hyperlink" Target="https://prabhupadavani.org/transcriptions/721226sbbom/" TargetMode="External"/><Relationship Id="rId596" Type="http://schemas.openxmlformats.org/officeDocument/2006/relationships/hyperlink" Target="https://prabhupadavani.org/transcriptions/lecture-e-hindi/" TargetMode="External"/><Relationship Id="rId1189" Type="http://schemas.openxmlformats.org/officeDocument/2006/relationships/hyperlink" Target="https://prabhupadavani.org/transcriptions/721226ndbom/" TargetMode="External"/><Relationship Id="rId595" Type="http://schemas.openxmlformats.org/officeDocument/2006/relationships/hyperlink" Target="https://prabhupadavani.org/transcriptions/%C5%9Br%C4%AB-caitanya-carit%C4%81m%E1%B9%9Bta-madhya-l%C4%ABl%C4%81-614950/" TargetMode="External"/><Relationship Id="rId1136" Type="http://schemas.openxmlformats.org/officeDocument/2006/relationships/hyperlink" Target="https://prabhupadavani.org/transcriptions/721104ndvrn/" TargetMode="External"/><Relationship Id="rId2467" Type="http://schemas.openxmlformats.org/officeDocument/2006/relationships/hyperlink" Target="https://prabhupadavani.org/transcriptions/750915mwvrn/" TargetMode="External"/><Relationship Id="rId1137" Type="http://schemas.openxmlformats.org/officeDocument/2006/relationships/hyperlink" Target="https://prabhupadavani.org/transcriptions/721105sbvrn/" TargetMode="External"/><Relationship Id="rId2468" Type="http://schemas.openxmlformats.org/officeDocument/2006/relationships/hyperlink" Target="https://prabhupadavani.org/transcriptions/750915sbvrn/" TargetMode="External"/><Relationship Id="rId1138" Type="http://schemas.openxmlformats.org/officeDocument/2006/relationships/hyperlink" Target="https://prabhupadavani.org/transcriptions/721105ndvrn/" TargetMode="External"/><Relationship Id="rId2469" Type="http://schemas.openxmlformats.org/officeDocument/2006/relationships/hyperlink" Target="https://prabhupadavani.org/transcriptions/750917mwvrn/" TargetMode="External"/><Relationship Id="rId1139" Type="http://schemas.openxmlformats.org/officeDocument/2006/relationships/hyperlink" Target="https://prabhupadavani.org/transcriptions/721106sbvrn/" TargetMode="External"/><Relationship Id="rId547" Type="http://schemas.openxmlformats.org/officeDocument/2006/relationships/hyperlink" Target="https://prabhupadavani.org/transcriptions/%C5%9Br%C4%ABmad-bh%C4%81gavatam-614142/" TargetMode="External"/><Relationship Id="rId546" Type="http://schemas.openxmlformats.org/officeDocument/2006/relationships/hyperlink" Target="https://prabhupadavani.org/transcriptions/%C5%9Br%C4%ABmad-bh%C4%81gavatam-6140/" TargetMode="External"/><Relationship Id="rId545" Type="http://schemas.openxmlformats.org/officeDocument/2006/relationships/hyperlink" Target="https://prabhupadavani.org/transcriptions/lecture-hindi-e/" TargetMode="External"/><Relationship Id="rId544" Type="http://schemas.openxmlformats.org/officeDocument/2006/relationships/hyperlink" Target="https://prabhupadavani.org/transcriptions/lecture-room/" TargetMode="External"/><Relationship Id="rId549" Type="http://schemas.openxmlformats.org/officeDocument/2006/relationships/hyperlink" Target="https://prabhupadavani.org/transcriptions/lecture-mpv-college/" TargetMode="External"/><Relationship Id="rId548" Type="http://schemas.openxmlformats.org/officeDocument/2006/relationships/hyperlink" Target="https://prabhupadavani.org/transcriptions/%C5%9Br%C4%ABmad-bh%C4%81gavatam-614243/" TargetMode="External"/><Relationship Id="rId2460" Type="http://schemas.openxmlformats.org/officeDocument/2006/relationships/hyperlink" Target="https://prabhupadavani.org/transcriptions/750909mwvrn/" TargetMode="External"/><Relationship Id="rId1130" Type="http://schemas.openxmlformats.org/officeDocument/2006/relationships/hyperlink" Target="https://prabhupadavani.org/transcriptions/721101ndvrn/" TargetMode="External"/><Relationship Id="rId2461" Type="http://schemas.openxmlformats.org/officeDocument/2006/relationships/hyperlink" Target="https://prabhupadavani.org/transcriptions/750909sbvrn/" TargetMode="External"/><Relationship Id="rId1131" Type="http://schemas.openxmlformats.org/officeDocument/2006/relationships/hyperlink" Target="https://prabhupadavani.org/transcriptions/721102sbvrn/" TargetMode="External"/><Relationship Id="rId2462" Type="http://schemas.openxmlformats.org/officeDocument/2006/relationships/hyperlink" Target="https://prabhupadavani.org/transcriptions/750910sbvrn/" TargetMode="External"/><Relationship Id="rId543" Type="http://schemas.openxmlformats.org/officeDocument/2006/relationships/hyperlink" Target="https://prabhupadavani.org/transcriptions/room-conversation-n/" TargetMode="External"/><Relationship Id="rId1132" Type="http://schemas.openxmlformats.org/officeDocument/2006/relationships/hyperlink" Target="https://prabhupadavani.org/transcriptions/721102ndvrn/" TargetMode="External"/><Relationship Id="rId2463" Type="http://schemas.openxmlformats.org/officeDocument/2006/relationships/hyperlink" Target="https://prabhupadavani.org/transcriptions/750911sbvrn/" TargetMode="External"/><Relationship Id="rId542" Type="http://schemas.openxmlformats.org/officeDocument/2006/relationships/hyperlink" Target="https://prabhupadavani.org/transcriptions/%C5%9Br%C4%ABmad-bh%C4%81gavatam-613940/" TargetMode="External"/><Relationship Id="rId1133" Type="http://schemas.openxmlformats.org/officeDocument/2006/relationships/hyperlink" Target="https://prabhupadavani.org/transcriptions/721103sbvrn/" TargetMode="External"/><Relationship Id="rId2464" Type="http://schemas.openxmlformats.org/officeDocument/2006/relationships/hyperlink" Target="https://prabhupadavani.org/transcriptions/750913mwvrn/" TargetMode="External"/><Relationship Id="rId541" Type="http://schemas.openxmlformats.org/officeDocument/2006/relationships/hyperlink" Target="https://prabhupadavani.org/transcriptions/%C5%9Br%C4%ABmad-bh%C4%81gavatam-6138/" TargetMode="External"/><Relationship Id="rId1134" Type="http://schemas.openxmlformats.org/officeDocument/2006/relationships/hyperlink" Target="https://prabhupadavani.org/transcriptions/721103ndvrn/" TargetMode="External"/><Relationship Id="rId2465" Type="http://schemas.openxmlformats.org/officeDocument/2006/relationships/hyperlink" Target="https://prabhupadavani.org/transcriptions/750913sbvrn/" TargetMode="External"/><Relationship Id="rId540" Type="http://schemas.openxmlformats.org/officeDocument/2006/relationships/hyperlink" Target="https://prabhupadavani.org/transcriptions/lecture-hindi-d/" TargetMode="External"/><Relationship Id="rId1135" Type="http://schemas.openxmlformats.org/officeDocument/2006/relationships/hyperlink" Target="https://prabhupadavani.org/transcriptions/721104sbvrn/" TargetMode="External"/><Relationship Id="rId2466" Type="http://schemas.openxmlformats.org/officeDocument/2006/relationships/hyperlink" Target="https://prabhupadavani.org/transcriptions/750913levrn/" TargetMode="External"/><Relationship Id="rId1125" Type="http://schemas.openxmlformats.org/officeDocument/2006/relationships/hyperlink" Target="https://prabhupadavani.org/transcriptions/721030ndvrn/" TargetMode="External"/><Relationship Id="rId2456" Type="http://schemas.openxmlformats.org/officeDocument/2006/relationships/hyperlink" Target="https://prabhupadavani.org/transcriptions/750906mwvrn/" TargetMode="External"/><Relationship Id="rId1126" Type="http://schemas.openxmlformats.org/officeDocument/2006/relationships/hyperlink" Target="https://prabhupadavani.org/transcriptions/721031sbvrn/" TargetMode="External"/><Relationship Id="rId2457" Type="http://schemas.openxmlformats.org/officeDocument/2006/relationships/hyperlink" Target="https://prabhupadavani.org/transcriptions/750906sbvrn/" TargetMode="External"/><Relationship Id="rId1127" Type="http://schemas.openxmlformats.org/officeDocument/2006/relationships/hyperlink" Target="https://prabhupadavani.org/transcriptions/721031ndvrn/" TargetMode="External"/><Relationship Id="rId2458" Type="http://schemas.openxmlformats.org/officeDocument/2006/relationships/hyperlink" Target="https://prabhupadavani.org/transcriptions/750907sbvrn/" TargetMode="External"/><Relationship Id="rId1128" Type="http://schemas.openxmlformats.org/officeDocument/2006/relationships/hyperlink" Target="https://prabhupadavani.org/transcriptions/721101sbvrn/" TargetMode="External"/><Relationship Id="rId2459" Type="http://schemas.openxmlformats.org/officeDocument/2006/relationships/hyperlink" Target="https://prabhupadavani.org/transcriptions/750908sbvrn/" TargetMode="External"/><Relationship Id="rId1129" Type="http://schemas.openxmlformats.org/officeDocument/2006/relationships/hyperlink" Target="https://prabhupadavani.org/transcriptions/721101r1vrn/" TargetMode="External"/><Relationship Id="rId536" Type="http://schemas.openxmlformats.org/officeDocument/2006/relationships/hyperlink" Target="https://prabhupadavani.org/transcriptions/%C5%9Br%C4%ABmad-bh%C4%81gavatam-613233/" TargetMode="External"/><Relationship Id="rId535" Type="http://schemas.openxmlformats.org/officeDocument/2006/relationships/hyperlink" Target="https://prabhupadavani.org/transcriptions/%C5%9Br%C4%ABmad-bh%C4%81gavatam-612734/" TargetMode="External"/><Relationship Id="rId534" Type="http://schemas.openxmlformats.org/officeDocument/2006/relationships/hyperlink" Target="https://prabhupadavani.org/transcriptions/room-conversation-k/" TargetMode="External"/><Relationship Id="rId533" Type="http://schemas.openxmlformats.org/officeDocument/2006/relationships/hyperlink" Target="https://prabhupadavani.org/transcriptions/room-conversation-j/" TargetMode="External"/><Relationship Id="rId539" Type="http://schemas.openxmlformats.org/officeDocument/2006/relationships/hyperlink" Target="https://prabhupadavani.org/transcriptions/%C5%9Br%C4%ABmad-bh%C4%81gavatam-613439/" TargetMode="External"/><Relationship Id="rId538" Type="http://schemas.openxmlformats.org/officeDocument/2006/relationships/hyperlink" Target="https://prabhupadavani.org/transcriptions/lecture-hindi-c/" TargetMode="External"/><Relationship Id="rId537" Type="http://schemas.openxmlformats.org/officeDocument/2006/relationships/hyperlink" Target="https://prabhupadavani.org/transcriptions/room-conversation-l/" TargetMode="External"/><Relationship Id="rId2450" Type="http://schemas.openxmlformats.org/officeDocument/2006/relationships/hyperlink" Target="https://prabhupadavani.org/transcriptions/750903mwvrn/" TargetMode="External"/><Relationship Id="rId1120" Type="http://schemas.openxmlformats.org/officeDocument/2006/relationships/hyperlink" Target="https://prabhupadavani.org/transcriptions/721028sbvrn/" TargetMode="External"/><Relationship Id="rId2451" Type="http://schemas.openxmlformats.org/officeDocument/2006/relationships/hyperlink" Target="https://prabhupadavani.org/transcriptions/750903sbvrn/" TargetMode="External"/><Relationship Id="rId532" Type="http://schemas.openxmlformats.org/officeDocument/2006/relationships/hyperlink" Target="https://prabhupadavani.org/transcriptions/%C5%9Br%C4%ABmad-bh%C4%81gavatam-6127/" TargetMode="External"/><Relationship Id="rId1121" Type="http://schemas.openxmlformats.org/officeDocument/2006/relationships/hyperlink" Target="https://prabhupadavani.org/transcriptions/721028ndvrn/" TargetMode="External"/><Relationship Id="rId2452" Type="http://schemas.openxmlformats.org/officeDocument/2006/relationships/hyperlink" Target="https://prabhupadavani.org/transcriptions/750904mwvrn/" TargetMode="External"/><Relationship Id="rId531" Type="http://schemas.openxmlformats.org/officeDocument/2006/relationships/hyperlink" Target="https://prabhupadavani.org/transcriptions/lecture-hindi-b/" TargetMode="External"/><Relationship Id="rId1122" Type="http://schemas.openxmlformats.org/officeDocument/2006/relationships/hyperlink" Target="https://prabhupadavani.org/transcriptions/721029sbvrn/" TargetMode="External"/><Relationship Id="rId2453" Type="http://schemas.openxmlformats.org/officeDocument/2006/relationships/hyperlink" Target="https://prabhupadavani.org/transcriptions/750904sbvrn/" TargetMode="External"/><Relationship Id="rId530" Type="http://schemas.openxmlformats.org/officeDocument/2006/relationships/hyperlink" Target="https://prabhupadavani.org/transcriptions/room-conversation-h/" TargetMode="External"/><Relationship Id="rId1123" Type="http://schemas.openxmlformats.org/officeDocument/2006/relationships/hyperlink" Target="https://prabhupadavani.org/transcriptions/721029ndvrn/" TargetMode="External"/><Relationship Id="rId2454" Type="http://schemas.openxmlformats.org/officeDocument/2006/relationships/hyperlink" Target="https://prabhupadavani.org/transcriptions/750905mwvrn/" TargetMode="External"/><Relationship Id="rId1124" Type="http://schemas.openxmlformats.org/officeDocument/2006/relationships/hyperlink" Target="https://prabhupadavani.org/transcriptions/721030sbvrn/" TargetMode="External"/><Relationship Id="rId2455" Type="http://schemas.openxmlformats.org/officeDocument/2006/relationships/hyperlink" Target="https://prabhupadavani.org/transcriptions/750905sbvrn/" TargetMode="External"/><Relationship Id="rId1158" Type="http://schemas.openxmlformats.org/officeDocument/2006/relationships/hyperlink" Target="https://prabhupadavani.org/transcriptions/721114ndvrn/" TargetMode="External"/><Relationship Id="rId2489" Type="http://schemas.openxmlformats.org/officeDocument/2006/relationships/hyperlink" Target="https://prabhupadavani.org/transcriptions/751002pcmau/" TargetMode="External"/><Relationship Id="rId1159" Type="http://schemas.openxmlformats.org/officeDocument/2006/relationships/hyperlink" Target="https://prabhupadavani.org/transcriptions/721117bghyd/" TargetMode="External"/><Relationship Id="rId569" Type="http://schemas.openxmlformats.org/officeDocument/2006/relationships/hyperlink" Target="https://prabhupadavani.org/transcriptions/room-conversation/" TargetMode="External"/><Relationship Id="rId568" Type="http://schemas.openxmlformats.org/officeDocument/2006/relationships/hyperlink" Target="https://prabhupadavani.org/transcriptions/lecture-in-hindi/" TargetMode="External"/><Relationship Id="rId567" Type="http://schemas.openxmlformats.org/officeDocument/2006/relationships/hyperlink" Target="https://prabhupadavani.org/transcriptions/room-conversation-710117r1-allahabad/" TargetMode="External"/><Relationship Id="rId566" Type="http://schemas.openxmlformats.org/officeDocument/2006/relationships/hyperlink" Target="https://prabhupadavani.org/transcriptions/%C5%9Br%C4%ABmad-bh%C4%81gavatam-621214-kumbha-mel%C4%81/" TargetMode="External"/><Relationship Id="rId2480" Type="http://schemas.openxmlformats.org/officeDocument/2006/relationships/hyperlink" Target="https://prabhupadavani.org/transcriptions/750927sbahm/" TargetMode="External"/><Relationship Id="rId561" Type="http://schemas.openxmlformats.org/officeDocument/2006/relationships/hyperlink" Target="https://prabhupadavani.org/transcriptions/room-conversation-partially-recorded/" TargetMode="External"/><Relationship Id="rId1150" Type="http://schemas.openxmlformats.org/officeDocument/2006/relationships/hyperlink" Target="https://prabhupadavani.org/transcriptions/721110ndvrn/" TargetMode="External"/><Relationship Id="rId2481" Type="http://schemas.openxmlformats.org/officeDocument/2006/relationships/hyperlink" Target="https://prabhupadavani.org/transcriptions/750927r1ahm/" TargetMode="External"/><Relationship Id="rId560" Type="http://schemas.openxmlformats.org/officeDocument/2006/relationships/hyperlink" Target="https://prabhupadavani.org/transcriptions/%C5%9Br%C4%ABmad-bh%C4%81gavatam-6215/" TargetMode="External"/><Relationship Id="rId1151" Type="http://schemas.openxmlformats.org/officeDocument/2006/relationships/hyperlink" Target="https://prabhupadavani.org/transcriptions/721111sbvrn/" TargetMode="External"/><Relationship Id="rId2482" Type="http://schemas.openxmlformats.org/officeDocument/2006/relationships/hyperlink" Target="https://prabhupadavani.org/transcriptions/750929mwahm/" TargetMode="External"/><Relationship Id="rId1152" Type="http://schemas.openxmlformats.org/officeDocument/2006/relationships/hyperlink" Target="https://prabhupadavani.org/transcriptions/721111ndvrn/" TargetMode="External"/><Relationship Id="rId2483" Type="http://schemas.openxmlformats.org/officeDocument/2006/relationships/hyperlink" Target="https://prabhupadavani.org/transcriptions/750930mwbom/" TargetMode="External"/><Relationship Id="rId1153" Type="http://schemas.openxmlformats.org/officeDocument/2006/relationships/hyperlink" Target="https://prabhupadavani.org/transcriptions/721112sbvrn/" TargetMode="External"/><Relationship Id="rId2484" Type="http://schemas.openxmlformats.org/officeDocument/2006/relationships/hyperlink" Target="https://prabhupadavani.org/transcriptions/751001a2mau/" TargetMode="External"/><Relationship Id="rId565" Type="http://schemas.openxmlformats.org/officeDocument/2006/relationships/hyperlink" Target="https://prabhupadavani.org/transcriptions/lecture-hindi/" TargetMode="External"/><Relationship Id="rId1154" Type="http://schemas.openxmlformats.org/officeDocument/2006/relationships/hyperlink" Target="https://prabhupadavani.org/transcriptions/721112ndvrn/" TargetMode="External"/><Relationship Id="rId2485" Type="http://schemas.openxmlformats.org/officeDocument/2006/relationships/hyperlink" Target="https://prabhupadavani.org/transcriptions/751001armau/" TargetMode="External"/><Relationship Id="rId564" Type="http://schemas.openxmlformats.org/officeDocument/2006/relationships/hyperlink" Target="https://prabhupadavani.org/transcriptions/%C5%9Br%C4%ABmad-bh%C4%81gavatam-6211-710116sb-allahabad/" TargetMode="External"/><Relationship Id="rId1155" Type="http://schemas.openxmlformats.org/officeDocument/2006/relationships/hyperlink" Target="https://prabhupadavani.org/transcriptions/721113sbvrn/" TargetMode="External"/><Relationship Id="rId2486" Type="http://schemas.openxmlformats.org/officeDocument/2006/relationships/hyperlink" Target="https://prabhupadavani.org/transcriptions/751001bgmau/" TargetMode="External"/><Relationship Id="rId563" Type="http://schemas.openxmlformats.org/officeDocument/2006/relationships/hyperlink" Target="https://prabhupadavani.org/transcriptions/%C5%9Br%C4%ABmad-bh%C4%81gavat%C4%81m-62910/" TargetMode="External"/><Relationship Id="rId1156" Type="http://schemas.openxmlformats.org/officeDocument/2006/relationships/hyperlink" Target="https://prabhupadavani.org/transcriptions/721113ndvrn/" TargetMode="External"/><Relationship Id="rId2487" Type="http://schemas.openxmlformats.org/officeDocument/2006/relationships/hyperlink" Target="https://prabhupadavani.org/transcriptions/751002mwmau/" TargetMode="External"/><Relationship Id="rId562" Type="http://schemas.openxmlformats.org/officeDocument/2006/relationships/hyperlink" Target="https://prabhupadavani.org/transcriptions/%C5%9Br%C4%ABmad-bh%C4%81gavatam-6258-710110sb-calcutta/" TargetMode="External"/><Relationship Id="rId1157" Type="http://schemas.openxmlformats.org/officeDocument/2006/relationships/hyperlink" Target="https://prabhupadavani.org/transcriptions/721114sbvrn/" TargetMode="External"/><Relationship Id="rId2488" Type="http://schemas.openxmlformats.org/officeDocument/2006/relationships/hyperlink" Target="https://prabhupadavani.org/transcriptions/751002sbmau/" TargetMode="External"/><Relationship Id="rId1147" Type="http://schemas.openxmlformats.org/officeDocument/2006/relationships/hyperlink" Target="https://prabhupadavani.org/transcriptions/721109ndvrn/" TargetMode="External"/><Relationship Id="rId2478" Type="http://schemas.openxmlformats.org/officeDocument/2006/relationships/hyperlink" Target="https://prabhupadavani.org/transcriptions/750926mwahm/" TargetMode="External"/><Relationship Id="rId1148" Type="http://schemas.openxmlformats.org/officeDocument/2006/relationships/hyperlink" Target="https://prabhupadavani.org/transcriptions/721110mwvrn/" TargetMode="External"/><Relationship Id="rId2479" Type="http://schemas.openxmlformats.org/officeDocument/2006/relationships/hyperlink" Target="https://prabhupadavani.org/transcriptions/750927mwahm/" TargetMode="External"/><Relationship Id="rId1149" Type="http://schemas.openxmlformats.org/officeDocument/2006/relationships/hyperlink" Target="https://prabhupadavani.org/transcriptions/721110sbvrn/" TargetMode="External"/><Relationship Id="rId558" Type="http://schemas.openxmlformats.org/officeDocument/2006/relationships/hyperlink" Target="https://prabhupadavani.org/transcriptions/%C5%9Br%C4%ABmad-bh%C4%81gavatam-615662-adubhai-patels-house/" TargetMode="External"/><Relationship Id="rId557" Type="http://schemas.openxmlformats.org/officeDocument/2006/relationships/hyperlink" Target="https://prabhupadavani.org/transcriptions/%C5%9Br%C4%ABmad-bh%C4%81gavatam-614550/" TargetMode="External"/><Relationship Id="rId556" Type="http://schemas.openxmlformats.org/officeDocument/2006/relationships/hyperlink" Target="https://prabhupadavani.org/transcriptions/lecture-hindi-i/" TargetMode="External"/><Relationship Id="rId555" Type="http://schemas.openxmlformats.org/officeDocument/2006/relationships/hyperlink" Target="https://prabhupadavani.org/transcriptions/lecture-hindi-h/" TargetMode="External"/><Relationship Id="rId559" Type="http://schemas.openxmlformats.org/officeDocument/2006/relationships/hyperlink" Target="https://prabhupadavani.org/transcriptions/room-conversation-john-griesser-later-initiated-yadubara-d%C4%81sa-and-devotees-sea-palace-hotel-collaba/" TargetMode="External"/><Relationship Id="rId550" Type="http://schemas.openxmlformats.org/officeDocument/2006/relationships/hyperlink" Target="https://prabhupadavani.org/transcriptions/%C5%9Br%C4%ABmad-bh%C4%81gavatam-6144/" TargetMode="External"/><Relationship Id="rId2470" Type="http://schemas.openxmlformats.org/officeDocument/2006/relationships/hyperlink" Target="https://prabhupadavani.org/transcriptions/750917sbvrn/" TargetMode="External"/><Relationship Id="rId1140" Type="http://schemas.openxmlformats.org/officeDocument/2006/relationships/hyperlink" Target="https://prabhupadavani.org/transcriptions/721106ndvrn/" TargetMode="External"/><Relationship Id="rId2471" Type="http://schemas.openxmlformats.org/officeDocument/2006/relationships/hyperlink" Target="https://prabhupadavani.org/transcriptions/750918mwvrn/" TargetMode="External"/><Relationship Id="rId1141" Type="http://schemas.openxmlformats.org/officeDocument/2006/relationships/hyperlink" Target="https://prabhupadavani.org/transcriptions/721107sbvrn/" TargetMode="External"/><Relationship Id="rId2472" Type="http://schemas.openxmlformats.org/officeDocument/2006/relationships/hyperlink" Target="https://prabhupadavani.org/transcriptions/750918sbvrn/" TargetMode="External"/><Relationship Id="rId1142" Type="http://schemas.openxmlformats.org/officeDocument/2006/relationships/hyperlink" Target="https://prabhupadavani.org/transcriptions/721107r1vrn/" TargetMode="External"/><Relationship Id="rId2473" Type="http://schemas.openxmlformats.org/officeDocument/2006/relationships/hyperlink" Target="https://prabhupadavani.org/transcriptions/750919mwvrn/" TargetMode="External"/><Relationship Id="rId554" Type="http://schemas.openxmlformats.org/officeDocument/2006/relationships/hyperlink" Target="https://prabhupadavani.org/transcriptions/lecture-hindi-g/" TargetMode="External"/><Relationship Id="rId1143" Type="http://schemas.openxmlformats.org/officeDocument/2006/relationships/hyperlink" Target="https://prabhupadavani.org/transcriptions/721107ndvrn/" TargetMode="External"/><Relationship Id="rId2474" Type="http://schemas.openxmlformats.org/officeDocument/2006/relationships/hyperlink" Target="https://prabhupadavani.org/transcriptions/750919sbvrn/" TargetMode="External"/><Relationship Id="rId553" Type="http://schemas.openxmlformats.org/officeDocument/2006/relationships/hyperlink" Target="https://prabhupadavani.org/transcriptions/lecture-hindi-f/" TargetMode="External"/><Relationship Id="rId1144" Type="http://schemas.openxmlformats.org/officeDocument/2006/relationships/hyperlink" Target="https://prabhupadavani.org/transcriptions/721108sbvrn/" TargetMode="External"/><Relationship Id="rId2475" Type="http://schemas.openxmlformats.org/officeDocument/2006/relationships/hyperlink" Target="https://prabhupadavani.org/transcriptions/750920sbvrn/" TargetMode="External"/><Relationship Id="rId552" Type="http://schemas.openxmlformats.org/officeDocument/2006/relationships/hyperlink" Target="https://prabhupadavani.org/transcriptions/%C5%9Br%C4%ABmad-bh%C4%81gavatam-6144-b/" TargetMode="External"/><Relationship Id="rId1145" Type="http://schemas.openxmlformats.org/officeDocument/2006/relationships/hyperlink" Target="https://prabhupadavani.org/transcriptions/721108ndvrn/" TargetMode="External"/><Relationship Id="rId2476" Type="http://schemas.openxmlformats.org/officeDocument/2006/relationships/hyperlink" Target="https://prabhupadavani.org/transcriptions/750925mwahm/" TargetMode="External"/><Relationship Id="rId551" Type="http://schemas.openxmlformats.org/officeDocument/2006/relationships/hyperlink" Target="https://prabhupadavani.org/transcriptions/conversation-partially-recorded-c/" TargetMode="External"/><Relationship Id="rId1146" Type="http://schemas.openxmlformats.org/officeDocument/2006/relationships/hyperlink" Target="https://prabhupadavani.org/transcriptions/721109sbvrn/" TargetMode="External"/><Relationship Id="rId2477" Type="http://schemas.openxmlformats.org/officeDocument/2006/relationships/hyperlink" Target="https://prabhupadavani.org/transcriptions/750925bgahm/" TargetMode="External"/><Relationship Id="rId495" Type="http://schemas.openxmlformats.org/officeDocument/2006/relationships/hyperlink" Target="https://prabhupadavani.org/transcriptions/%C5%9Br%C4%AB-%C4%AB%C5%9Bopani%E1%B9%A3ad-mantra-8/" TargetMode="External"/><Relationship Id="rId494" Type="http://schemas.openxmlformats.org/officeDocument/2006/relationships/hyperlink" Target="https://prabhupadavani.org/transcriptions/%C5%9Br%C4%AB-%C4%AB%C5%9Bopani%E1%B9%A3ad-mantra-7b/" TargetMode="External"/><Relationship Id="rId493" Type="http://schemas.openxmlformats.org/officeDocument/2006/relationships/hyperlink" Target="https://prabhupadavani.org/transcriptions/%C5%9Br%C4%AB-%C4%AB%C5%9Bopani%E1%B9%A3ad-mantra-7/" TargetMode="External"/><Relationship Id="rId492" Type="http://schemas.openxmlformats.org/officeDocument/2006/relationships/hyperlink" Target="https://prabhupadavani.org/transcriptions/%C5%9Br%C4%AB-%C4%AB%C5%9Bopani%E1%B9%A3ad-mantra-6/" TargetMode="External"/><Relationship Id="rId499" Type="http://schemas.openxmlformats.org/officeDocument/2006/relationships/hyperlink" Target="https://prabhupadavani.org/transcriptions/%C5%9Br%C4%AB-%C4%AB%C5%9Bopani%E1%B9%A3ad-mantra-10b/" TargetMode="External"/><Relationship Id="rId498" Type="http://schemas.openxmlformats.org/officeDocument/2006/relationships/hyperlink" Target="https://prabhupadavani.org/transcriptions/%C5%9Br%C4%AB-%C4%AB%C5%9Bopani%E1%B9%A3ad-mantra-910/" TargetMode="External"/><Relationship Id="rId497" Type="http://schemas.openxmlformats.org/officeDocument/2006/relationships/hyperlink" Target="https://prabhupadavani.org/transcriptions/%C5%9Br%C4%AB-%C4%AB%C5%9Bopani%E1%B9%A3ad-mantra-9/" TargetMode="External"/><Relationship Id="rId496" Type="http://schemas.openxmlformats.org/officeDocument/2006/relationships/hyperlink" Target="https://prabhupadavani.org/transcriptions/%C5%9Br%C4%AB-%C4%AB%C5%9Bopani%E1%B9%A3ad-mantra-8b/" TargetMode="External"/><Relationship Id="rId1213" Type="http://schemas.openxmlformats.org/officeDocument/2006/relationships/hyperlink" Target="https://prabhupadavani.org/transcriptions/730113bgbom/" TargetMode="External"/><Relationship Id="rId2544" Type="http://schemas.openxmlformats.org/officeDocument/2006/relationships/hyperlink" Target="https://prabhupadavani.org/transcriptions/751031bgnai/" TargetMode="External"/><Relationship Id="rId1214" Type="http://schemas.openxmlformats.org/officeDocument/2006/relationships/hyperlink" Target="https://prabhupadavani.org/transcriptions/730114sbbom/" TargetMode="External"/><Relationship Id="rId2545" Type="http://schemas.openxmlformats.org/officeDocument/2006/relationships/hyperlink" Target="https://prabhupadavani.org/transcriptions/751101mwnai/" TargetMode="External"/><Relationship Id="rId1215" Type="http://schemas.openxmlformats.org/officeDocument/2006/relationships/hyperlink" Target="https://prabhupadavani.org/transcriptions/730125ndcal/" TargetMode="External"/><Relationship Id="rId2546" Type="http://schemas.openxmlformats.org/officeDocument/2006/relationships/hyperlink" Target="https://prabhupadavani.org/transcriptions/751101sbnai/" TargetMode="External"/><Relationship Id="rId1216" Type="http://schemas.openxmlformats.org/officeDocument/2006/relationships/hyperlink" Target="https://prabhupadavani.org/transcriptions/730126incal/" TargetMode="External"/><Relationship Id="rId2547" Type="http://schemas.openxmlformats.org/officeDocument/2006/relationships/hyperlink" Target="https://prabhupadavani.org/transcriptions/751101bgnai/" TargetMode="External"/><Relationship Id="rId1217" Type="http://schemas.openxmlformats.org/officeDocument/2006/relationships/hyperlink" Target="https://prabhupadavani.org/transcriptions/730127bgcal/" TargetMode="External"/><Relationship Id="rId2548" Type="http://schemas.openxmlformats.org/officeDocument/2006/relationships/hyperlink" Target="https://prabhupadavani.org/transcriptions/751102mwnai/" TargetMode="External"/><Relationship Id="rId1218" Type="http://schemas.openxmlformats.org/officeDocument/2006/relationships/hyperlink" Target="https://prabhupadavani.org/transcriptions/730127ndcal/" TargetMode="External"/><Relationship Id="rId2549" Type="http://schemas.openxmlformats.org/officeDocument/2006/relationships/hyperlink" Target="https://prabhupadavani.org/transcriptions/751102lebom/" TargetMode="External"/><Relationship Id="rId1219" Type="http://schemas.openxmlformats.org/officeDocument/2006/relationships/hyperlink" Target="https://prabhupadavani.org/transcriptions/730128ndcal/" TargetMode="External"/><Relationship Id="rId2540" Type="http://schemas.openxmlformats.org/officeDocument/2006/relationships/hyperlink" Target="https://prabhupadavani.org/transcriptions/751029r2nai/" TargetMode="External"/><Relationship Id="rId1210" Type="http://schemas.openxmlformats.org/officeDocument/2006/relationships/hyperlink" Target="https://prabhupadavani.org/transcriptions/730110ndbom/" TargetMode="External"/><Relationship Id="rId2541" Type="http://schemas.openxmlformats.org/officeDocument/2006/relationships/hyperlink" Target="https://prabhupadavani.org/transcriptions/751029r1nai/" TargetMode="External"/><Relationship Id="rId1211" Type="http://schemas.openxmlformats.org/officeDocument/2006/relationships/hyperlink" Target="https://prabhupadavani.org/transcriptions/730111ndbom/" TargetMode="External"/><Relationship Id="rId2542" Type="http://schemas.openxmlformats.org/officeDocument/2006/relationships/hyperlink" Target="https://prabhupadavani.org/transcriptions/751029bgnai/" TargetMode="External"/><Relationship Id="rId1212" Type="http://schemas.openxmlformats.org/officeDocument/2006/relationships/hyperlink" Target="https://prabhupadavani.org/transcriptions/730112sbbom/" TargetMode="External"/><Relationship Id="rId2543" Type="http://schemas.openxmlformats.org/officeDocument/2006/relationships/hyperlink" Target="https://prabhupadavani.org/transcriptions/751030sbnai/" TargetMode="External"/><Relationship Id="rId1202" Type="http://schemas.openxmlformats.org/officeDocument/2006/relationships/hyperlink" Target="https://prabhupadavani.org/transcriptions/730103bsbom/" TargetMode="External"/><Relationship Id="rId2533" Type="http://schemas.openxmlformats.org/officeDocument/2006/relationships/hyperlink" Target="https://prabhupadavani.org/transcriptions/751026sbnai/" TargetMode="External"/><Relationship Id="rId1203" Type="http://schemas.openxmlformats.org/officeDocument/2006/relationships/hyperlink" Target="https://prabhupadavani.org/transcriptions/730104ndbom/" TargetMode="External"/><Relationship Id="rId2534" Type="http://schemas.openxmlformats.org/officeDocument/2006/relationships/hyperlink" Target="https://prabhupadavani.org/transcriptions/751027sbnai/" TargetMode="External"/><Relationship Id="rId1204" Type="http://schemas.openxmlformats.org/officeDocument/2006/relationships/hyperlink" Target="https://prabhupadavani.org/transcriptions/730105ndbom/" TargetMode="External"/><Relationship Id="rId2535" Type="http://schemas.openxmlformats.org/officeDocument/2006/relationships/hyperlink" Target="https://prabhupadavani.org/transcriptions/751027bgnai/" TargetMode="External"/><Relationship Id="rId1205" Type="http://schemas.openxmlformats.org/officeDocument/2006/relationships/hyperlink" Target="https://prabhupadavani.org/transcriptions/730106ndbom/" TargetMode="External"/><Relationship Id="rId2536" Type="http://schemas.openxmlformats.org/officeDocument/2006/relationships/hyperlink" Target="https://prabhupadavani.org/transcriptions/751028mwnai/" TargetMode="External"/><Relationship Id="rId1206" Type="http://schemas.openxmlformats.org/officeDocument/2006/relationships/hyperlink" Target="https://prabhupadavani.org/transcriptions/730107ndbom/" TargetMode="External"/><Relationship Id="rId2537" Type="http://schemas.openxmlformats.org/officeDocument/2006/relationships/hyperlink" Target="https://prabhupadavani.org/transcriptions/751028bgnai/" TargetMode="External"/><Relationship Id="rId1207" Type="http://schemas.openxmlformats.org/officeDocument/2006/relationships/hyperlink" Target="https://prabhupadavani.org/transcriptions/730108sbbom/" TargetMode="External"/><Relationship Id="rId2538" Type="http://schemas.openxmlformats.org/officeDocument/2006/relationships/hyperlink" Target="https://prabhupadavani.org/transcriptions/751029mwnai/" TargetMode="External"/><Relationship Id="rId1208" Type="http://schemas.openxmlformats.org/officeDocument/2006/relationships/hyperlink" Target="https://prabhupadavani.org/transcriptions/730108ndbom/" TargetMode="External"/><Relationship Id="rId2539" Type="http://schemas.openxmlformats.org/officeDocument/2006/relationships/hyperlink" Target="https://prabhupadavani.org/transcriptions/751029sbnai/" TargetMode="External"/><Relationship Id="rId1209" Type="http://schemas.openxmlformats.org/officeDocument/2006/relationships/hyperlink" Target="https://prabhupadavani.org/transcriptions/730109ndbom/" TargetMode="External"/><Relationship Id="rId2530" Type="http://schemas.openxmlformats.org/officeDocument/2006/relationships/hyperlink" Target="https://prabhupadavani.org/transcriptions/751022sbjoh/" TargetMode="External"/><Relationship Id="rId1200" Type="http://schemas.openxmlformats.org/officeDocument/2006/relationships/hyperlink" Target="https://prabhupadavani.org/transcriptions/730101ndbom/" TargetMode="External"/><Relationship Id="rId2531" Type="http://schemas.openxmlformats.org/officeDocument/2006/relationships/hyperlink" Target="https://prabhupadavani.org/transcriptions/751025mwmau/" TargetMode="External"/><Relationship Id="rId1201" Type="http://schemas.openxmlformats.org/officeDocument/2006/relationships/hyperlink" Target="https://prabhupadavani.org/transcriptions/730102ndbom/" TargetMode="External"/><Relationship Id="rId2532" Type="http://schemas.openxmlformats.org/officeDocument/2006/relationships/hyperlink" Target="https://prabhupadavani.org/transcriptions/751026mwmau/" TargetMode="External"/><Relationship Id="rId1235" Type="http://schemas.openxmlformats.org/officeDocument/2006/relationships/hyperlink" Target="https://prabhupadavani.org/transcriptions/730225r1jkt/" TargetMode="External"/><Relationship Id="rId2566" Type="http://schemas.openxmlformats.org/officeDocument/2006/relationships/hyperlink" Target="https://prabhupadavani.org/transcriptions/751116ccbom/" TargetMode="External"/><Relationship Id="rId1236" Type="http://schemas.openxmlformats.org/officeDocument/2006/relationships/hyperlink" Target="https://prabhupadavani.org/transcriptions/730226r1jkt/" TargetMode="External"/><Relationship Id="rId2567" Type="http://schemas.openxmlformats.org/officeDocument/2006/relationships/hyperlink" Target="https://prabhupadavani.org/transcriptions/751117mwbom/" TargetMode="External"/><Relationship Id="rId1237" Type="http://schemas.openxmlformats.org/officeDocument/2006/relationships/hyperlink" Target="https://prabhupadavani.org/transcriptions/730226r2jkt/" TargetMode="External"/><Relationship Id="rId2568" Type="http://schemas.openxmlformats.org/officeDocument/2006/relationships/hyperlink" Target="https://prabhupadavani.org/transcriptions/751117ccbom/" TargetMode="External"/><Relationship Id="rId1238" Type="http://schemas.openxmlformats.org/officeDocument/2006/relationships/hyperlink" Target="https://prabhupadavani.org/transcriptions/730226bgjkt/" TargetMode="External"/><Relationship Id="rId2569" Type="http://schemas.openxmlformats.org/officeDocument/2006/relationships/hyperlink" Target="https://prabhupadavani.org/transcriptions/751118mwbom/" TargetMode="External"/><Relationship Id="rId1239" Type="http://schemas.openxmlformats.org/officeDocument/2006/relationships/hyperlink" Target="https://prabhupadavani.org/transcriptions/730227sbjkt/" TargetMode="External"/><Relationship Id="rId409" Type="http://schemas.openxmlformats.org/officeDocument/2006/relationships/hyperlink" Target="https://prabhupadavani.org/transcriptions/n%E1%B9%9Bsi%E1%B9%81ha-caturda%C5%9B%C4%AB-lord-n%E1%B9%9Bsi%E1%B9%81hadevas-appearance-day/" TargetMode="External"/><Relationship Id="rId404" Type="http://schemas.openxmlformats.org/officeDocument/2006/relationships/hyperlink" Target="https://prabhupadavani.org/transcriptions/lecture-engagement-and-pras%C4%81da-distribution/" TargetMode="External"/><Relationship Id="rId403" Type="http://schemas.openxmlformats.org/officeDocument/2006/relationships/hyperlink" Target="https://prabhupadavani.org/transcriptions/prabhup%C4%81da-listening-recording-his-own-room-conversation-students/" TargetMode="External"/><Relationship Id="rId402" Type="http://schemas.openxmlformats.org/officeDocument/2006/relationships/hyperlink" Target="https://prabhupadavani.org/transcriptions/lecture-690425le-boston/" TargetMode="External"/><Relationship Id="rId401" Type="http://schemas.openxmlformats.org/officeDocument/2006/relationships/hyperlink" Target="https://prabhupadavani.org/transcriptions/room-conversation-690424r3-boston/" TargetMode="External"/><Relationship Id="rId408" Type="http://schemas.openxmlformats.org/officeDocument/2006/relationships/hyperlink" Target="https://prabhupadavani.org/transcriptions/room-conversation-690430r1-boston/" TargetMode="External"/><Relationship Id="rId407" Type="http://schemas.openxmlformats.org/officeDocument/2006/relationships/hyperlink" Target="https://prabhupadavani.org/transcriptions/northeastern-university-lecture/" TargetMode="External"/><Relationship Id="rId406" Type="http://schemas.openxmlformats.org/officeDocument/2006/relationships/hyperlink" Target="https://prabhupadavani.org/transcriptions/conversation-lecture-brandeis-university/" TargetMode="External"/><Relationship Id="rId405" Type="http://schemas.openxmlformats.org/officeDocument/2006/relationships/hyperlink" Target="https://prabhupadavani.org/transcriptions/brandeis-university-lecture/" TargetMode="External"/><Relationship Id="rId2560" Type="http://schemas.openxmlformats.org/officeDocument/2006/relationships/hyperlink" Target="https://prabhupadavani.org/transcriptions/751113mwbom/" TargetMode="External"/><Relationship Id="rId1230" Type="http://schemas.openxmlformats.org/officeDocument/2006/relationships/hyperlink" Target="https://prabhupadavani.org/transcriptions/730217sbsyd/" TargetMode="External"/><Relationship Id="rId2561" Type="http://schemas.openxmlformats.org/officeDocument/2006/relationships/hyperlink" Target="https://prabhupadavani.org/transcriptions/751114mwbom/" TargetMode="External"/><Relationship Id="rId400" Type="http://schemas.openxmlformats.org/officeDocument/2006/relationships/hyperlink" Target="https://prabhupadavani.org/transcriptions/room-conversation-690424r2-boston/" TargetMode="External"/><Relationship Id="rId1231" Type="http://schemas.openxmlformats.org/officeDocument/2006/relationships/hyperlink" Target="https://prabhupadavani.org/transcriptions/730220sbauc/" TargetMode="External"/><Relationship Id="rId2562" Type="http://schemas.openxmlformats.org/officeDocument/2006/relationships/hyperlink" Target="https://prabhupadavani.org/transcriptions/751114sbbom/" TargetMode="External"/><Relationship Id="rId1232" Type="http://schemas.openxmlformats.org/officeDocument/2006/relationships/hyperlink" Target="https://prabhupadavani.org/transcriptions/730221bgauc/" TargetMode="External"/><Relationship Id="rId2563" Type="http://schemas.openxmlformats.org/officeDocument/2006/relationships/hyperlink" Target="https://prabhupadavani.org/transcriptions/751115mwbom/" TargetMode="External"/><Relationship Id="rId1233" Type="http://schemas.openxmlformats.org/officeDocument/2006/relationships/hyperlink" Target="https://prabhupadavani.org/transcriptions/730221sbauc/" TargetMode="External"/><Relationship Id="rId2564" Type="http://schemas.openxmlformats.org/officeDocument/2006/relationships/hyperlink" Target="https://prabhupadavani.org/transcriptions/751115lebom/" TargetMode="External"/><Relationship Id="rId1234" Type="http://schemas.openxmlformats.org/officeDocument/2006/relationships/hyperlink" Target="https://prabhupadavani.org/transcriptions/730225lejkt/" TargetMode="External"/><Relationship Id="rId2565" Type="http://schemas.openxmlformats.org/officeDocument/2006/relationships/hyperlink" Target="https://prabhupadavani.org/transcriptions/751116mwbom/" TargetMode="External"/><Relationship Id="rId1224" Type="http://schemas.openxmlformats.org/officeDocument/2006/relationships/hyperlink" Target="https://prabhupadavani.org/transcriptions/730131lecal/" TargetMode="External"/><Relationship Id="rId2555" Type="http://schemas.openxmlformats.org/officeDocument/2006/relationships/hyperlink" Target="https://prabhupadavani.org/transcriptions/751109ccbom/" TargetMode="External"/><Relationship Id="rId1225" Type="http://schemas.openxmlformats.org/officeDocument/2006/relationships/hyperlink" Target="https://prabhupadavani.org/transcriptions/730131ndcal/" TargetMode="External"/><Relationship Id="rId2556" Type="http://schemas.openxmlformats.org/officeDocument/2006/relationships/hyperlink" Target="https://prabhupadavani.org/transcriptions/751110mwbom/" TargetMode="External"/><Relationship Id="rId1226" Type="http://schemas.openxmlformats.org/officeDocument/2006/relationships/hyperlink" Target="https://prabhupadavani.org/transcriptions/730211bgmel/" TargetMode="External"/><Relationship Id="rId2557" Type="http://schemas.openxmlformats.org/officeDocument/2006/relationships/hyperlink" Target="https://prabhupadavani.org/transcriptions/751111mwbom/" TargetMode="External"/><Relationship Id="rId1227" Type="http://schemas.openxmlformats.org/officeDocument/2006/relationships/hyperlink" Target="https://prabhupadavani.org/transcriptions/730212arsyd/" TargetMode="External"/><Relationship Id="rId2558" Type="http://schemas.openxmlformats.org/officeDocument/2006/relationships/hyperlink" Target="https://prabhupadavani.org/transcriptions/751112mwbom/" TargetMode="External"/><Relationship Id="rId1228" Type="http://schemas.openxmlformats.org/officeDocument/2006/relationships/hyperlink" Target="https://prabhupadavani.org/transcriptions/730214lesyd/" TargetMode="External"/><Relationship Id="rId2559" Type="http://schemas.openxmlformats.org/officeDocument/2006/relationships/hyperlink" Target="https://prabhupadavani.org/transcriptions/751112ccbom/" TargetMode="External"/><Relationship Id="rId1229" Type="http://schemas.openxmlformats.org/officeDocument/2006/relationships/hyperlink" Target="https://prabhupadavani.org/transcriptions/730216bgsyd/" TargetMode="External"/><Relationship Id="rId2550" Type="http://schemas.openxmlformats.org/officeDocument/2006/relationships/hyperlink" Target="https://prabhupadavani.org/transcriptions/751103mwbom/" TargetMode="External"/><Relationship Id="rId1220" Type="http://schemas.openxmlformats.org/officeDocument/2006/relationships/hyperlink" Target="https://prabhupadavani.org/transcriptions/730129lecal/" TargetMode="External"/><Relationship Id="rId2551" Type="http://schemas.openxmlformats.org/officeDocument/2006/relationships/hyperlink" Target="https://prabhupadavani.org/transcriptions/751103ccbom/" TargetMode="External"/><Relationship Id="rId1221" Type="http://schemas.openxmlformats.org/officeDocument/2006/relationships/hyperlink" Target="https://prabhupadavani.org/transcriptions/730129ndcal/" TargetMode="External"/><Relationship Id="rId2552" Type="http://schemas.openxmlformats.org/officeDocument/2006/relationships/hyperlink" Target="https://prabhupadavani.org/transcriptions/751104mwbom/" TargetMode="External"/><Relationship Id="rId1222" Type="http://schemas.openxmlformats.org/officeDocument/2006/relationships/hyperlink" Target="https://prabhupadavani.org/transcriptions/730130lecal/" TargetMode="External"/><Relationship Id="rId2553" Type="http://schemas.openxmlformats.org/officeDocument/2006/relationships/hyperlink" Target="https://prabhupadavani.org/transcriptions/751107mwbom/" TargetMode="External"/><Relationship Id="rId1223" Type="http://schemas.openxmlformats.org/officeDocument/2006/relationships/hyperlink" Target="https://prabhupadavani.org/transcriptions/730130ndcal/" TargetMode="External"/><Relationship Id="rId2554" Type="http://schemas.openxmlformats.org/officeDocument/2006/relationships/hyperlink" Target="https://prabhupadavani.org/transcriptions/751108mwbom/" TargetMode="External"/><Relationship Id="rId2500" Type="http://schemas.openxmlformats.org/officeDocument/2006/relationships/hyperlink" Target="https://prabhupadavani.org/transcriptions/751008mwdur/" TargetMode="External"/><Relationship Id="rId2501" Type="http://schemas.openxmlformats.org/officeDocument/2006/relationships/hyperlink" Target="https://prabhupadavani.org/transcriptions/751008r2dur/" TargetMode="External"/><Relationship Id="rId2502" Type="http://schemas.openxmlformats.org/officeDocument/2006/relationships/hyperlink" Target="https://prabhupadavani.org/transcriptions/751008r1dur/" TargetMode="External"/><Relationship Id="rId2503" Type="http://schemas.openxmlformats.org/officeDocument/2006/relationships/hyperlink" Target="https://prabhupadavani.org/transcriptions/751009mwdur/" TargetMode="External"/><Relationship Id="rId2504" Type="http://schemas.openxmlformats.org/officeDocument/2006/relationships/hyperlink" Target="https://prabhupadavani.org/transcriptions/751009bgdur/" TargetMode="External"/><Relationship Id="rId2505" Type="http://schemas.openxmlformats.org/officeDocument/2006/relationships/hyperlink" Target="https://prabhupadavani.org/transcriptions/751010mwdur/" TargetMode="External"/><Relationship Id="rId2506" Type="http://schemas.openxmlformats.org/officeDocument/2006/relationships/hyperlink" Target="https://prabhupadavani.org/transcriptions/751010r1dur/" TargetMode="External"/><Relationship Id="rId2507" Type="http://schemas.openxmlformats.org/officeDocument/2006/relationships/hyperlink" Target="https://prabhupadavani.org/transcriptions/751011bgdur/" TargetMode="External"/><Relationship Id="rId2508" Type="http://schemas.openxmlformats.org/officeDocument/2006/relationships/hyperlink" Target="https://prabhupadavani.org/transcriptions/751012mwdur/" TargetMode="External"/><Relationship Id="rId2509" Type="http://schemas.openxmlformats.org/officeDocument/2006/relationships/hyperlink" Target="https://prabhupadavani.org/transcriptions/751013mwdur/" TargetMode="External"/><Relationship Id="rId2522" Type="http://schemas.openxmlformats.org/officeDocument/2006/relationships/hyperlink" Target="https://prabhupadavani.org/transcriptions/751018mwjoh/" TargetMode="External"/><Relationship Id="rId2523" Type="http://schemas.openxmlformats.org/officeDocument/2006/relationships/hyperlink" Target="https://prabhupadavani.org/transcriptions/751018bgjoh/" TargetMode="External"/><Relationship Id="rId2524" Type="http://schemas.openxmlformats.org/officeDocument/2006/relationships/hyperlink" Target="https://prabhupadavani.org/transcriptions/751019mwjoh/" TargetMode="External"/><Relationship Id="rId2525" Type="http://schemas.openxmlformats.org/officeDocument/2006/relationships/hyperlink" Target="https://prabhupadavani.org/transcriptions/751019bgjoh/" TargetMode="External"/><Relationship Id="rId2526" Type="http://schemas.openxmlformats.org/officeDocument/2006/relationships/hyperlink" Target="https://prabhupadavani.org/transcriptions/751020mwjoh/" TargetMode="External"/><Relationship Id="rId2527" Type="http://schemas.openxmlformats.org/officeDocument/2006/relationships/hyperlink" Target="https://prabhupadavani.org/transcriptions/751020sbjoh/" TargetMode="External"/><Relationship Id="rId2528" Type="http://schemas.openxmlformats.org/officeDocument/2006/relationships/hyperlink" Target="https://prabhupadavani.org/transcriptions/751021mwjoh/" TargetMode="External"/><Relationship Id="rId2529" Type="http://schemas.openxmlformats.org/officeDocument/2006/relationships/hyperlink" Target="https://prabhupadavani.org/transcriptions/751021r1joh/" TargetMode="External"/><Relationship Id="rId2520" Type="http://schemas.openxmlformats.org/officeDocument/2006/relationships/hyperlink" Target="https://prabhupadavani.org/transcriptions/751017mwjoh/" TargetMode="External"/><Relationship Id="rId2521" Type="http://schemas.openxmlformats.org/officeDocument/2006/relationships/hyperlink" Target="https://prabhupadavani.org/transcriptions/751017bgjoh/" TargetMode="External"/><Relationship Id="rId2511" Type="http://schemas.openxmlformats.org/officeDocument/2006/relationships/hyperlink" Target="https://prabhupadavani.org/transcriptions/751013crdur/" TargetMode="External"/><Relationship Id="rId2512" Type="http://schemas.openxmlformats.org/officeDocument/2006/relationships/hyperlink" Target="https://prabhupadavani.org/transcriptions/751014sbjoh/" TargetMode="External"/><Relationship Id="rId2513" Type="http://schemas.openxmlformats.org/officeDocument/2006/relationships/hyperlink" Target="https://prabhupadavani.org/transcriptions/751014lejoh/" TargetMode="External"/><Relationship Id="rId2514" Type="http://schemas.openxmlformats.org/officeDocument/2006/relationships/hyperlink" Target="https://prabhupadavani.org/transcriptions/751014r1joh/" TargetMode="External"/><Relationship Id="rId2515" Type="http://schemas.openxmlformats.org/officeDocument/2006/relationships/hyperlink" Target="https://prabhupadavani.org/transcriptions/751015sbjoh/" TargetMode="External"/><Relationship Id="rId2516" Type="http://schemas.openxmlformats.org/officeDocument/2006/relationships/hyperlink" Target="https://prabhupadavani.org/transcriptions/751015r1joh/" TargetMode="External"/><Relationship Id="rId2517" Type="http://schemas.openxmlformats.org/officeDocument/2006/relationships/hyperlink" Target="https://prabhupadavani.org/transcriptions/751016mwjoh/" TargetMode="External"/><Relationship Id="rId2518" Type="http://schemas.openxmlformats.org/officeDocument/2006/relationships/hyperlink" Target="https://prabhupadavani.org/transcriptions/751016r1joh/" TargetMode="External"/><Relationship Id="rId2519" Type="http://schemas.openxmlformats.org/officeDocument/2006/relationships/hyperlink" Target="https://prabhupadavani.org/transcriptions/751017r1joh/" TargetMode="External"/><Relationship Id="rId2510" Type="http://schemas.openxmlformats.org/officeDocument/2006/relationships/hyperlink" Target="https://prabhupadavani.org/transcriptions/751013bgdur/" TargetMode="External"/><Relationship Id="rId469" Type="http://schemas.openxmlformats.org/officeDocument/2006/relationships/hyperlink" Target="https://prabhupadavani.org/transcriptions/%C5%9Br%C4%ABmad-bh%C4%81gavatam-2115-first-return-europe/" TargetMode="External"/><Relationship Id="rId468" Type="http://schemas.openxmlformats.org/officeDocument/2006/relationships/hyperlink" Target="https://prabhupadavani.org/transcriptions/lecture-691201le-london/" TargetMode="External"/><Relationship Id="rId467" Type="http://schemas.openxmlformats.org/officeDocument/2006/relationships/hyperlink" Target="https://prabhupadavani.org/transcriptions/lecture-sa%E1%B9%85k%C4%ABrtana/" TargetMode="External"/><Relationship Id="rId1290" Type="http://schemas.openxmlformats.org/officeDocument/2006/relationships/hyperlink" Target="https://prabhupadavani.org/transcriptions/730427sbla/" TargetMode="External"/><Relationship Id="rId1291" Type="http://schemas.openxmlformats.org/officeDocument/2006/relationships/hyperlink" Target="https://prabhupadavani.org/transcriptions/730428mwla/" TargetMode="External"/><Relationship Id="rId1292" Type="http://schemas.openxmlformats.org/officeDocument/2006/relationships/hyperlink" Target="https://prabhupadavani.org/transcriptions/730428sbla/" TargetMode="External"/><Relationship Id="rId462" Type="http://schemas.openxmlformats.org/officeDocument/2006/relationships/hyperlink" Target="https://prabhupadavani.org/transcriptions/lecture-engagement-690916le-london/" TargetMode="External"/><Relationship Id="rId1293" Type="http://schemas.openxmlformats.org/officeDocument/2006/relationships/hyperlink" Target="https://prabhupadavani.org/transcriptions/730429mwla/" TargetMode="External"/><Relationship Id="rId461" Type="http://schemas.openxmlformats.org/officeDocument/2006/relationships/hyperlink" Target="https://prabhupadavani.org/transcriptions/conway-hall-lecture/" TargetMode="External"/><Relationship Id="rId1294" Type="http://schemas.openxmlformats.org/officeDocument/2006/relationships/hyperlink" Target="https://prabhupadavani.org/transcriptions/730429sbla/" TargetMode="External"/><Relationship Id="rId460" Type="http://schemas.openxmlformats.org/officeDocument/2006/relationships/hyperlink" Target="https://prabhupadavani.org/transcriptions/%C5%9Br%C4%ABmad-bh%C4%81gavatam-5512/" TargetMode="External"/><Relationship Id="rId1295" Type="http://schemas.openxmlformats.org/officeDocument/2006/relationships/hyperlink" Target="https://prabhupadavani.org/transcriptions/730430mwla/" TargetMode="External"/><Relationship Id="rId1296" Type="http://schemas.openxmlformats.org/officeDocument/2006/relationships/hyperlink" Target="https://prabhupadavani.org/transcriptions/730430sbla/" TargetMode="External"/><Relationship Id="rId466" Type="http://schemas.openxmlformats.org/officeDocument/2006/relationships/hyperlink" Target="https://prabhupadavani.org/transcriptions/initiations-wedding-691001in-london/" TargetMode="External"/><Relationship Id="rId1297" Type="http://schemas.openxmlformats.org/officeDocument/2006/relationships/hyperlink" Target="https://prabhupadavani.org/transcriptions/730501mwla/" TargetMode="External"/><Relationship Id="rId465" Type="http://schemas.openxmlformats.org/officeDocument/2006/relationships/hyperlink" Target="https://prabhupadavani.org/transcriptions/lecture-690926le-london/" TargetMode="External"/><Relationship Id="rId1298" Type="http://schemas.openxmlformats.org/officeDocument/2006/relationships/hyperlink" Target="https://prabhupadavani.org/transcriptions/730501sbla/" TargetMode="External"/><Relationship Id="rId464" Type="http://schemas.openxmlformats.org/officeDocument/2006/relationships/hyperlink" Target="https://prabhupadavani.org/transcriptions/room-conversation-690924r1-london/" TargetMode="External"/><Relationship Id="rId1299" Type="http://schemas.openxmlformats.org/officeDocument/2006/relationships/hyperlink" Target="https://prabhupadavani.org/transcriptions/730501inla/" TargetMode="External"/><Relationship Id="rId463" Type="http://schemas.openxmlformats.org/officeDocument/2006/relationships/hyperlink" Target="https://prabhupadavani.org/transcriptions/%C5%9Br%C4%ABmad-bh%C4%81gavatam-552-690917sb-london/" TargetMode="External"/><Relationship Id="rId459" Type="http://schemas.openxmlformats.org/officeDocument/2006/relationships/hyperlink" Target="https://prabhupadavani.org/transcriptions/%C5%9Br%C4%ABmad-bh%C4%81gavatam-551-690912sb-london/" TargetMode="External"/><Relationship Id="rId458" Type="http://schemas.openxmlformats.org/officeDocument/2006/relationships/hyperlink" Target="https://prabhupadavani.org/transcriptions/room-conversation-john-lennon-yoko-ono-and-george-harrison/" TargetMode="External"/><Relationship Id="rId457" Type="http://schemas.openxmlformats.org/officeDocument/2006/relationships/hyperlink" Target="https://prabhupadavani.org/transcriptions/arrival-address-690911ar-london/" TargetMode="External"/><Relationship Id="rId456" Type="http://schemas.openxmlformats.org/officeDocument/2006/relationships/hyperlink" Target="https://prabhupadavani.org/transcriptions/bhajan-purport-hari-hari-biphale/" TargetMode="External"/><Relationship Id="rId1280" Type="http://schemas.openxmlformats.org/officeDocument/2006/relationships/hyperlink" Target="https://prabhupadavani.org/transcriptions/730421mwla/" TargetMode="External"/><Relationship Id="rId1281" Type="http://schemas.openxmlformats.org/officeDocument/2006/relationships/hyperlink" Target="https://prabhupadavani.org/transcriptions/730421sbla/" TargetMode="External"/><Relationship Id="rId451" Type="http://schemas.openxmlformats.org/officeDocument/2006/relationships/hyperlink" Target="https://prabhupadavani.org/transcriptions/%C5%9Br%C4%ABmad-bh%C4%81gavatam-552-690914sb-london/" TargetMode="External"/><Relationship Id="rId1282" Type="http://schemas.openxmlformats.org/officeDocument/2006/relationships/hyperlink" Target="https://prabhupadavani.org/transcriptions/730422sbla/" TargetMode="External"/><Relationship Id="rId450" Type="http://schemas.openxmlformats.org/officeDocument/2006/relationships/hyperlink" Target="https://prabhupadavani.org/transcriptions/initiation-lecture/" TargetMode="External"/><Relationship Id="rId1283" Type="http://schemas.openxmlformats.org/officeDocument/2006/relationships/hyperlink" Target="https://prabhupadavani.org/transcriptions/730423sbla/" TargetMode="External"/><Relationship Id="rId1284" Type="http://schemas.openxmlformats.org/officeDocument/2006/relationships/hyperlink" Target="https://prabhupadavani.org/transcriptions/730424sbla/" TargetMode="External"/><Relationship Id="rId1285" Type="http://schemas.openxmlformats.org/officeDocument/2006/relationships/hyperlink" Target="https://prabhupadavani.org/transcriptions/730425mwla/" TargetMode="External"/><Relationship Id="rId455" Type="http://schemas.openxmlformats.org/officeDocument/2006/relationships/hyperlink" Target="https://prabhupadavani.org/transcriptions/room-conversation690908r1-hamburg/" TargetMode="External"/><Relationship Id="rId1286" Type="http://schemas.openxmlformats.org/officeDocument/2006/relationships/hyperlink" Target="https://prabhupadavani.org/transcriptions/730425sbla/" TargetMode="External"/><Relationship Id="rId454" Type="http://schemas.openxmlformats.org/officeDocument/2006/relationships/hyperlink" Target="https://prabhupadavani.org/transcriptions/%C5%9Br%C4%ABmad-bh%C4%81gavatam-7919-german-translator/" TargetMode="External"/><Relationship Id="rId1287" Type="http://schemas.openxmlformats.org/officeDocument/2006/relationships/hyperlink" Target="https://prabhupadavani.org/transcriptions/730426mwla/" TargetMode="External"/><Relationship Id="rId453" Type="http://schemas.openxmlformats.org/officeDocument/2006/relationships/hyperlink" Target="https://prabhupadavani.org/transcriptions/%C5%9Br%C4%AB-vy%C4%81sa-p%C5%ABj%C4%81-lecture-conclusion/" TargetMode="External"/><Relationship Id="rId1288" Type="http://schemas.openxmlformats.org/officeDocument/2006/relationships/hyperlink" Target="https://prabhupadavani.org/transcriptions/730426sbla/" TargetMode="External"/><Relationship Id="rId452" Type="http://schemas.openxmlformats.org/officeDocument/2006/relationships/hyperlink" Target="https://prabhupadavani.org/transcriptions/lecture-partially-recorded-ii/" TargetMode="External"/><Relationship Id="rId1289" Type="http://schemas.openxmlformats.org/officeDocument/2006/relationships/hyperlink" Target="https://prabhupadavani.org/transcriptions/730427mwla/" TargetMode="External"/><Relationship Id="rId3018" Type="http://schemas.openxmlformats.org/officeDocument/2006/relationships/hyperlink" Target="https://prabhupadavani.org/transcriptions/760711ccny/" TargetMode="External"/><Relationship Id="rId3017" Type="http://schemas.openxmlformats.org/officeDocument/2006/relationships/hyperlink" Target="https://prabhupadavani.org/transcriptions/760711mwny/" TargetMode="External"/><Relationship Id="rId3019" Type="http://schemas.openxmlformats.org/officeDocument/2006/relationships/hyperlink" Target="https://prabhupadavani.org/transcriptions/760711edny/" TargetMode="External"/><Relationship Id="rId491" Type="http://schemas.openxmlformats.org/officeDocument/2006/relationships/hyperlink" Target="https://prabhupadavani.org/transcriptions/%C5%9Br%C4%AB-%C4%AB%C5%9Bopani%E1%B9%A3ad-mantra-5/" TargetMode="External"/><Relationship Id="rId490" Type="http://schemas.openxmlformats.org/officeDocument/2006/relationships/hyperlink" Target="https://prabhupadavani.org/transcriptions/%C5%9Br%C4%AB-%C4%AB%C5%9Bopani%E1%B9%A3ad-mantra-14/" TargetMode="External"/><Relationship Id="rId489" Type="http://schemas.openxmlformats.org/officeDocument/2006/relationships/hyperlink" Target="https://prabhupadavani.org/transcriptions/%C5%9Br%C4%AB-%C4%AB%C5%9Bopani%E1%B9%A3ad-mantra-3/" TargetMode="External"/><Relationship Id="rId484" Type="http://schemas.openxmlformats.org/officeDocument/2006/relationships/hyperlink" Target="https://prabhupadavani.org/transcriptions/%C5%9Br%C4%AB-%C4%AB%C5%9Bopani%E1%B9%A3ad-and-initiations/" TargetMode="External"/><Relationship Id="rId3010" Type="http://schemas.openxmlformats.org/officeDocument/2006/relationships/hyperlink" Target="https://prabhupadavani.org/transcriptions/760709mwwdc/" TargetMode="External"/><Relationship Id="rId483" Type="http://schemas.openxmlformats.org/officeDocument/2006/relationships/hyperlink" Target="https://prabhupadavani.org/transcriptions/%C5%9Br%C4%AB-%C4%AB%C5%9Bopani%E1%B9%A3ad-invocation/" TargetMode="External"/><Relationship Id="rId482" Type="http://schemas.openxmlformats.org/officeDocument/2006/relationships/hyperlink" Target="https://prabhupadavani.org/transcriptions/%C5%9Br%C4%AB-%C4%AB%C5%9Bopani%E1%B9%A3ad-invocation-partially-recorded/" TargetMode="External"/><Relationship Id="rId3012" Type="http://schemas.openxmlformats.org/officeDocument/2006/relationships/hyperlink" Target="https://prabhupadavani.org/transcriptions/760709adny/" TargetMode="External"/><Relationship Id="rId481" Type="http://schemas.openxmlformats.org/officeDocument/2006/relationships/hyperlink" Target="https://prabhupadavani.org/transcriptions/lord-buddhas-appearance-day-lecture/" TargetMode="External"/><Relationship Id="rId3011" Type="http://schemas.openxmlformats.org/officeDocument/2006/relationships/hyperlink" Target="https://prabhupadavani.org/transcriptions/760709arny/" TargetMode="External"/><Relationship Id="rId488" Type="http://schemas.openxmlformats.org/officeDocument/2006/relationships/hyperlink" Target="https://prabhupadavani.org/transcriptions/%C5%9Br%C4%AB-%C4%AB%C5%9Bopani%E1%B9%A3ad-mantra-1e/" TargetMode="External"/><Relationship Id="rId3014" Type="http://schemas.openxmlformats.org/officeDocument/2006/relationships/hyperlink" Target="https://prabhupadavani.org/transcriptions/760710mwny/" TargetMode="External"/><Relationship Id="rId487" Type="http://schemas.openxmlformats.org/officeDocument/2006/relationships/hyperlink" Target="https://prabhupadavani.org/transcriptions/%C5%9Br%C4%AB-%C4%AB%C5%9Bopani%E1%B9%A3ad-mantra-1d/" TargetMode="External"/><Relationship Id="rId3013" Type="http://schemas.openxmlformats.org/officeDocument/2006/relationships/hyperlink" Target="https://prabhupadavani.org/transcriptions/760709r1ny/" TargetMode="External"/><Relationship Id="rId486" Type="http://schemas.openxmlformats.org/officeDocument/2006/relationships/hyperlink" Target="https://prabhupadavani.org/transcriptions/%C5%9Br%C4%AB-%C4%AB%C5%9Bopani%E1%B9%A3ad-mantra-1c/" TargetMode="External"/><Relationship Id="rId3016" Type="http://schemas.openxmlformats.org/officeDocument/2006/relationships/hyperlink" Target="https://prabhupadavani.org/transcriptions/760710r1ny/" TargetMode="External"/><Relationship Id="rId485" Type="http://schemas.openxmlformats.org/officeDocument/2006/relationships/hyperlink" Target="https://prabhupadavani.org/transcriptions/%C5%9Br%C4%AB-%C4%AB%C5%9Bopani%E1%B9%A3ad-mantra-1b/" TargetMode="External"/><Relationship Id="rId3015" Type="http://schemas.openxmlformats.org/officeDocument/2006/relationships/hyperlink" Target="https://prabhupadavani.org/transcriptions/760710ccny/" TargetMode="External"/><Relationship Id="rId3007" Type="http://schemas.openxmlformats.org/officeDocument/2006/relationships/hyperlink" Target="https://prabhupadavani.org/transcriptions/760708r1wdc/" TargetMode="External"/><Relationship Id="rId3006" Type="http://schemas.openxmlformats.org/officeDocument/2006/relationships/hyperlink" Target="https://prabhupadavani.org/transcriptions/760708ivwdc/" TargetMode="External"/><Relationship Id="rId3009" Type="http://schemas.openxmlformats.org/officeDocument/2006/relationships/hyperlink" Target="https://prabhupadavani.org/transcriptions/760708ccwdc/" TargetMode="External"/><Relationship Id="rId3008" Type="http://schemas.openxmlformats.org/officeDocument/2006/relationships/hyperlink" Target="https://prabhupadavani.org/transcriptions/760708r2wdc/" TargetMode="External"/><Relationship Id="rId480" Type="http://schemas.openxmlformats.org/officeDocument/2006/relationships/hyperlink" Target="https://prabhupadavani.org/transcriptions/ten-offenses-lecture/" TargetMode="External"/><Relationship Id="rId479" Type="http://schemas.openxmlformats.org/officeDocument/2006/relationships/hyperlink" Target="https://prabhupadavani.org/transcriptions/sanny%C4%81sa-initiation/" TargetMode="External"/><Relationship Id="rId478" Type="http://schemas.openxmlformats.org/officeDocument/2006/relationships/hyperlink" Target="https://prabhupadavani.org/transcriptions/lord-var%C4%81has-appearance-day-lecture-das%C4%81vat%C4%81ra-stotra-purport/" TargetMode="External"/><Relationship Id="rId473" Type="http://schemas.openxmlformats.org/officeDocument/2006/relationships/hyperlink" Target="https://prabhupadavani.org/transcriptions/initiation-lecture-691226in-boston/" TargetMode="External"/><Relationship Id="rId472" Type="http://schemas.openxmlformats.org/officeDocument/2006/relationships/hyperlink" Target="https://prabhupadavani.org/transcriptions/discussion-about-new-vrindavan-gurukula/" TargetMode="External"/><Relationship Id="rId471" Type="http://schemas.openxmlformats.org/officeDocument/2006/relationships/hyperlink" Target="https://prabhupadavani.org/transcriptions/discussion-btg-staff/" TargetMode="External"/><Relationship Id="rId3001" Type="http://schemas.openxmlformats.org/officeDocument/2006/relationships/hyperlink" Target="https://prabhupadavani.org/transcriptions/760707edwdc/" TargetMode="External"/><Relationship Id="rId470" Type="http://schemas.openxmlformats.org/officeDocument/2006/relationships/hyperlink" Target="https://prabhupadavani.org/transcriptions/lecture-691223le-boston/" TargetMode="External"/><Relationship Id="rId3000" Type="http://schemas.openxmlformats.org/officeDocument/2006/relationships/hyperlink" Target="https://prabhupadavani.org/transcriptions/760706ccwdc/" TargetMode="External"/><Relationship Id="rId477" Type="http://schemas.openxmlformats.org/officeDocument/2006/relationships/hyperlink" Target="https://prabhupadavani.org/transcriptions/%C5%9Br%C4%ABmad-bh%C4%81gavatam-6121/" TargetMode="External"/><Relationship Id="rId3003" Type="http://schemas.openxmlformats.org/officeDocument/2006/relationships/hyperlink" Target="https://prabhupadavani.org/transcriptions/760707r2bal/" TargetMode="External"/><Relationship Id="rId476" Type="http://schemas.openxmlformats.org/officeDocument/2006/relationships/hyperlink" Target="https://prabhupadavani.org/transcriptions/%C5%9Br%C4%ABmad-bh%C4%81gavatam-6119/" TargetMode="External"/><Relationship Id="rId3002" Type="http://schemas.openxmlformats.org/officeDocument/2006/relationships/hyperlink" Target="https://prabhupadavani.org/transcriptions/760707r1bal/" TargetMode="External"/><Relationship Id="rId475" Type="http://schemas.openxmlformats.org/officeDocument/2006/relationships/hyperlink" Target="https://prabhupadavani.org/transcriptions/%C5%9Br%C4%ABmad-bh%C4%81gavatam-6115b/" TargetMode="External"/><Relationship Id="rId3005" Type="http://schemas.openxmlformats.org/officeDocument/2006/relationships/hyperlink" Target="https://prabhupadavani.org/transcriptions/760708edwdc/" TargetMode="External"/><Relationship Id="rId474" Type="http://schemas.openxmlformats.org/officeDocument/2006/relationships/hyperlink" Target="https://prabhupadavani.org/transcriptions/%C5%9Br%C4%ABmad-bh%C4%81gavatam-616/" TargetMode="External"/><Relationship Id="rId3004" Type="http://schemas.openxmlformats.org/officeDocument/2006/relationships/hyperlink" Target="https://prabhupadavani.org/transcriptions/760707ccbal/" TargetMode="External"/><Relationship Id="rId1257" Type="http://schemas.openxmlformats.org/officeDocument/2006/relationships/hyperlink" Target="https://prabhupadavani.org/transcriptions/730317tomay/" TargetMode="External"/><Relationship Id="rId2588" Type="http://schemas.openxmlformats.org/officeDocument/2006/relationships/hyperlink" Target="https://prabhupadavani.org/transcriptions/751207mwvrn/" TargetMode="External"/><Relationship Id="rId1258" Type="http://schemas.openxmlformats.org/officeDocument/2006/relationships/hyperlink" Target="https://prabhupadavani.org/transcriptions/730317t2may/" TargetMode="External"/><Relationship Id="rId2589" Type="http://schemas.openxmlformats.org/officeDocument/2006/relationships/hyperlink" Target="https://prabhupadavani.org/transcriptions/751207sbvrn/" TargetMode="External"/><Relationship Id="rId1259" Type="http://schemas.openxmlformats.org/officeDocument/2006/relationships/hyperlink" Target="https://prabhupadavani.org/transcriptions/730318lecal/" TargetMode="External"/><Relationship Id="rId426" Type="http://schemas.openxmlformats.org/officeDocument/2006/relationships/hyperlink" Target="https://prabhupadavani.org/transcriptions/lecture-engagement-690519le-columbus/" TargetMode="External"/><Relationship Id="rId425" Type="http://schemas.openxmlformats.org/officeDocument/2006/relationships/hyperlink" Target="https://prabhupadavani.org/transcriptions/room-conversation-allen-ginsberg-690514r1-columbus/" TargetMode="External"/><Relationship Id="rId424" Type="http://schemas.openxmlformats.org/officeDocument/2006/relationships/hyperlink" Target="https://prabhupadavani.org/transcriptions/xxxinitiation-%C3%A7r%C3%A9-caitanya-d%C3%A4sa-and-wedding-pradyumna-and-arundhat%C3%A9-may-14-1969-columbus-690514wecol-initiation-%C5%9Br%C4%AB-caitanya-and-wedding-pradyumna-and-arundhat%C4%AB/" TargetMode="External"/><Relationship Id="rId423" Type="http://schemas.openxmlformats.org/officeDocument/2006/relationships/hyperlink" Target="https://prabhupadavani.org/transcriptions/room-conversation-allen-ginsberg-690513r1-columbus/" TargetMode="External"/><Relationship Id="rId429" Type="http://schemas.openxmlformats.org/officeDocument/2006/relationships/hyperlink" Target="https://prabhupadavani.org/transcriptions/%C5%9Br%C4%ABmad-bh%C4%81gavatam-1514/" TargetMode="External"/><Relationship Id="rId428" Type="http://schemas.openxmlformats.org/officeDocument/2006/relationships/hyperlink" Target="https://prabhupadavani.org/transcriptions/initiation-lecture-partially-recorded/" TargetMode="External"/><Relationship Id="rId427" Type="http://schemas.openxmlformats.org/officeDocument/2006/relationships/hyperlink" Target="https://prabhupadavani.org/transcriptions/bhajan-purport-j%C4%ABv-j%C4%81go/" TargetMode="External"/><Relationship Id="rId2580" Type="http://schemas.openxmlformats.org/officeDocument/2006/relationships/hyperlink" Target="https://prabhupadavani.org/transcriptions/751130mwdel/" TargetMode="External"/><Relationship Id="rId1250" Type="http://schemas.openxmlformats.org/officeDocument/2006/relationships/hyperlink" Target="https://prabhupadavani.org/transcriptions/730301lejkt/" TargetMode="External"/><Relationship Id="rId2581" Type="http://schemas.openxmlformats.org/officeDocument/2006/relationships/hyperlink" Target="https://prabhupadavani.org/transcriptions/751202sbvrn/" TargetMode="External"/><Relationship Id="rId1251" Type="http://schemas.openxmlformats.org/officeDocument/2006/relationships/hyperlink" Target="https://prabhupadavani.org/transcriptions/730302lejkt/" TargetMode="External"/><Relationship Id="rId2582" Type="http://schemas.openxmlformats.org/officeDocument/2006/relationships/hyperlink" Target="https://prabhupadavani.org/transcriptions/751203mwvrn/" TargetMode="External"/><Relationship Id="rId1252" Type="http://schemas.openxmlformats.org/officeDocument/2006/relationships/hyperlink" Target="https://prabhupadavani.org/transcriptions/730305bgcal/" TargetMode="External"/><Relationship Id="rId2583" Type="http://schemas.openxmlformats.org/officeDocument/2006/relationships/hyperlink" Target="https://prabhupadavani.org/transcriptions/751203sbvrn/" TargetMode="External"/><Relationship Id="rId422" Type="http://schemas.openxmlformats.org/officeDocument/2006/relationships/hyperlink" Target="https://prabhupadavani.org/transcriptions/room-conversation-allen-ginsberg-690512r1-columbus/" TargetMode="External"/><Relationship Id="rId1253" Type="http://schemas.openxmlformats.org/officeDocument/2006/relationships/hyperlink" Target="https://prabhupadavani.org/transcriptions/730306bgcal/" TargetMode="External"/><Relationship Id="rId2584" Type="http://schemas.openxmlformats.org/officeDocument/2006/relationships/hyperlink" Target="https://prabhupadavani.org/transcriptions/751204mwvrn/" TargetMode="External"/><Relationship Id="rId421" Type="http://schemas.openxmlformats.org/officeDocument/2006/relationships/hyperlink" Target="https://prabhupadavani.org/transcriptions/lecture-allen-ginsberg-ohio-state-university/" TargetMode="External"/><Relationship Id="rId1254" Type="http://schemas.openxmlformats.org/officeDocument/2006/relationships/hyperlink" Target="https://prabhupadavani.org/transcriptions/730312lecal/" TargetMode="External"/><Relationship Id="rId2585" Type="http://schemas.openxmlformats.org/officeDocument/2006/relationships/hyperlink" Target="https://prabhupadavani.org/transcriptions/751204sbvrn/" TargetMode="External"/><Relationship Id="rId420" Type="http://schemas.openxmlformats.org/officeDocument/2006/relationships/hyperlink" Target="https://prabhupadavani.org/transcriptions/room-conversation-allen-ginsberg/" TargetMode="External"/><Relationship Id="rId1255" Type="http://schemas.openxmlformats.org/officeDocument/2006/relationships/hyperlink" Target="https://prabhupadavani.org/transcriptions/730313lecal/" TargetMode="External"/><Relationship Id="rId2586" Type="http://schemas.openxmlformats.org/officeDocument/2006/relationships/hyperlink" Target="https://prabhupadavani.org/transcriptions/751205sbvrn/" TargetMode="External"/><Relationship Id="rId1256" Type="http://schemas.openxmlformats.org/officeDocument/2006/relationships/hyperlink" Target="https://prabhupadavani.org/transcriptions/730316lemay/" TargetMode="External"/><Relationship Id="rId2587" Type="http://schemas.openxmlformats.org/officeDocument/2006/relationships/hyperlink" Target="https://prabhupadavani.org/transcriptions/751206levrn/" TargetMode="External"/><Relationship Id="rId1246" Type="http://schemas.openxmlformats.org/officeDocument/2006/relationships/hyperlink" Target="https://prabhupadavani.org/transcriptions/730228r2jkt/" TargetMode="External"/><Relationship Id="rId2577" Type="http://schemas.openxmlformats.org/officeDocument/2006/relationships/hyperlink" Target="https://prabhupadavani.org/transcriptions/751126mwdel/" TargetMode="External"/><Relationship Id="rId1247" Type="http://schemas.openxmlformats.org/officeDocument/2006/relationships/hyperlink" Target="https://prabhupadavani.org/transcriptions/730228r3jkt/" TargetMode="External"/><Relationship Id="rId2578" Type="http://schemas.openxmlformats.org/officeDocument/2006/relationships/hyperlink" Target="https://prabhupadavani.org/transcriptions/751128sbdel/" TargetMode="External"/><Relationship Id="rId1248" Type="http://schemas.openxmlformats.org/officeDocument/2006/relationships/hyperlink" Target="https://prabhupadavani.org/transcriptions/730301crjkt/" TargetMode="External"/><Relationship Id="rId2579" Type="http://schemas.openxmlformats.org/officeDocument/2006/relationships/hyperlink" Target="https://prabhupadavani.org/transcriptions/751129mwdel/" TargetMode="External"/><Relationship Id="rId1249" Type="http://schemas.openxmlformats.org/officeDocument/2006/relationships/hyperlink" Target="https://prabhupadavani.org/transcriptions/730301r1jkt/" TargetMode="External"/><Relationship Id="rId415" Type="http://schemas.openxmlformats.org/officeDocument/2006/relationships/hyperlink" Target="https://prabhupadavani.org/transcriptions/lecture-harvard-university-divinity-school-cambridge/" TargetMode="External"/><Relationship Id="rId414" Type="http://schemas.openxmlformats.org/officeDocument/2006/relationships/hyperlink" Target="https://prabhupadavani.org/transcriptions/wedding-ceremony-and-lecture/" TargetMode="External"/><Relationship Id="rId413" Type="http://schemas.openxmlformats.org/officeDocument/2006/relationships/hyperlink" Target="https://prabhupadavani.org/transcriptions/lecture-partially-recorded-690505le-boston/" TargetMode="External"/><Relationship Id="rId412" Type="http://schemas.openxmlformats.org/officeDocument/2006/relationships/hyperlink" Target="https://prabhupadavani.org/transcriptions/initiation-baradr%C4%81j-and-chandan%C4%81c%C4%81rya/" TargetMode="External"/><Relationship Id="rId419" Type="http://schemas.openxmlformats.org/officeDocument/2006/relationships/hyperlink" Target="https://prabhupadavani.org/transcriptions/address-indian-association/" TargetMode="External"/><Relationship Id="rId418" Type="http://schemas.openxmlformats.org/officeDocument/2006/relationships/hyperlink" Target="https://prabhupadavani.org/transcriptions/room-conversation-690510r1-columbus/" TargetMode="External"/><Relationship Id="rId417" Type="http://schemas.openxmlformats.org/officeDocument/2006/relationships/hyperlink" Target="https://prabhupadavani.org/transcriptions/bhagavad-g%C4%ABt%C4%81-412/" TargetMode="External"/><Relationship Id="rId416" Type="http://schemas.openxmlformats.org/officeDocument/2006/relationships/hyperlink" Target="https://prabhupadavani.org/transcriptions/temple-opening/" TargetMode="External"/><Relationship Id="rId2570" Type="http://schemas.openxmlformats.org/officeDocument/2006/relationships/hyperlink" Target="https://prabhupadavani.org/transcriptions/751118inbom/" TargetMode="External"/><Relationship Id="rId1240" Type="http://schemas.openxmlformats.org/officeDocument/2006/relationships/hyperlink" Target="https://prabhupadavani.org/transcriptions/730227r1jkt/" TargetMode="External"/><Relationship Id="rId2571" Type="http://schemas.openxmlformats.org/officeDocument/2006/relationships/hyperlink" Target="https://prabhupadavani.org/transcriptions/751119mwbom/" TargetMode="External"/><Relationship Id="rId1241" Type="http://schemas.openxmlformats.org/officeDocument/2006/relationships/hyperlink" Target="https://prabhupadavani.org/transcriptions/730227r2jkt/" TargetMode="External"/><Relationship Id="rId2572" Type="http://schemas.openxmlformats.org/officeDocument/2006/relationships/hyperlink" Target="https://prabhupadavani.org/transcriptions/751120mwbom/" TargetMode="External"/><Relationship Id="rId411" Type="http://schemas.openxmlformats.org/officeDocument/2006/relationships/hyperlink" Target="https://prabhupadavani.org/transcriptions/lecture-arlington-street-church/" TargetMode="External"/><Relationship Id="rId1242" Type="http://schemas.openxmlformats.org/officeDocument/2006/relationships/hyperlink" Target="https://prabhupadavani.org/transcriptions/730227r3jkt/" TargetMode="External"/><Relationship Id="rId2573" Type="http://schemas.openxmlformats.org/officeDocument/2006/relationships/hyperlink" Target="https://prabhupadavani.org/transcriptions/751121mwbom/" TargetMode="External"/><Relationship Id="rId410" Type="http://schemas.openxmlformats.org/officeDocument/2006/relationships/hyperlink" Target="https://prabhupadavani.org/transcriptions/lecture-international-student-association-cambridge-near-boston/" TargetMode="External"/><Relationship Id="rId1243" Type="http://schemas.openxmlformats.org/officeDocument/2006/relationships/hyperlink" Target="https://prabhupadavani.org/transcriptions/730228mwjkt/" TargetMode="External"/><Relationship Id="rId2574" Type="http://schemas.openxmlformats.org/officeDocument/2006/relationships/hyperlink" Target="https://prabhupadavani.org/transcriptions/751124mwbom/" TargetMode="External"/><Relationship Id="rId1244" Type="http://schemas.openxmlformats.org/officeDocument/2006/relationships/hyperlink" Target="https://prabhupadavani.org/transcriptions/730228lejkt/" TargetMode="External"/><Relationship Id="rId2575" Type="http://schemas.openxmlformats.org/officeDocument/2006/relationships/hyperlink" Target="https://prabhupadavani.org/transcriptions/751124ccbom/" TargetMode="External"/><Relationship Id="rId1245" Type="http://schemas.openxmlformats.org/officeDocument/2006/relationships/hyperlink" Target="https://prabhupadavani.org/transcriptions/730228r1jkt/" TargetMode="External"/><Relationship Id="rId2576" Type="http://schemas.openxmlformats.org/officeDocument/2006/relationships/hyperlink" Target="https://prabhupadavani.org/transcriptions/751125r1del/" TargetMode="External"/><Relationship Id="rId1279" Type="http://schemas.openxmlformats.org/officeDocument/2006/relationships/hyperlink" Target="https://prabhupadavani.org/transcriptions/730420sbla/" TargetMode="External"/><Relationship Id="rId448" Type="http://schemas.openxmlformats.org/officeDocument/2006/relationships/hyperlink" Target="https://prabhupadavani.org/transcriptions/lecture-initiation-fire-sacrifice/" TargetMode="External"/><Relationship Id="rId447" Type="http://schemas.openxmlformats.org/officeDocument/2006/relationships/hyperlink" Target="https://prabhupadavani.org/transcriptions/%C5%9Br%C4%AB-%C5%9Br%C4%AB-rukmi%E1%B9%87%C4%AB-dv%C4%81rak%C4%81n%C4%81tha-deity-installation/" TargetMode="External"/><Relationship Id="rId446" Type="http://schemas.openxmlformats.org/officeDocument/2006/relationships/hyperlink" Target="https://prabhupadavani.org/transcriptions/%C5%9Br%C4%ABmad-bh%C4%81gavatam-lecture/" TargetMode="External"/><Relationship Id="rId445" Type="http://schemas.openxmlformats.org/officeDocument/2006/relationships/hyperlink" Target="https://prabhupadavani.org/transcriptions/%C5%9Br%C4%ABmad-bh%C4%81gavatam-151819/" TargetMode="External"/><Relationship Id="rId449" Type="http://schemas.openxmlformats.org/officeDocument/2006/relationships/hyperlink" Target="https://prabhupadavani.org/transcriptions/lord-caitanya-play-told-tam%C4%81la-k%E1%B9%9B%E1%B9%A3%E1%B9%87/" TargetMode="External"/><Relationship Id="rId1270" Type="http://schemas.openxmlformats.org/officeDocument/2006/relationships/hyperlink" Target="https://prabhupadavani.org/transcriptions/730414sbla/" TargetMode="External"/><Relationship Id="rId440" Type="http://schemas.openxmlformats.org/officeDocument/2006/relationships/hyperlink" Target="https://prabhupadavani.org/transcriptions/%C5%9Br%C4%ABmad-bh%C4%81gavatam-1513-690616sb-new-vrindavan/" TargetMode="External"/><Relationship Id="rId1271" Type="http://schemas.openxmlformats.org/officeDocument/2006/relationships/hyperlink" Target="https://prabhupadavani.org/transcriptions/730415sbla/" TargetMode="External"/><Relationship Id="rId1272" Type="http://schemas.openxmlformats.org/officeDocument/2006/relationships/hyperlink" Target="https://prabhupadavani.org/transcriptions/730416sbla/" TargetMode="External"/><Relationship Id="rId1273" Type="http://schemas.openxmlformats.org/officeDocument/2006/relationships/hyperlink" Target="https://prabhupadavani.org/transcriptions/730416inla/" TargetMode="External"/><Relationship Id="rId1274" Type="http://schemas.openxmlformats.org/officeDocument/2006/relationships/hyperlink" Target="https://prabhupadavani.org/transcriptions/730417sbla/" TargetMode="External"/><Relationship Id="rId444" Type="http://schemas.openxmlformats.org/officeDocument/2006/relationships/hyperlink" Target="https://prabhupadavani.org/transcriptions/initiation-lecture-690622le-new-vrindavan/" TargetMode="External"/><Relationship Id="rId1275" Type="http://schemas.openxmlformats.org/officeDocument/2006/relationships/hyperlink" Target="https://prabhupadavani.org/transcriptions/730418sbla/" TargetMode="External"/><Relationship Id="rId443" Type="http://schemas.openxmlformats.org/officeDocument/2006/relationships/hyperlink" Target="https://prabhupadavani.org/transcriptions/%C5%9Br%C4%ABmad-bh%C4%81gavatam-151718/" TargetMode="External"/><Relationship Id="rId1276" Type="http://schemas.openxmlformats.org/officeDocument/2006/relationships/hyperlink" Target="https://prabhupadavani.org/transcriptions/730419mwla/" TargetMode="External"/><Relationship Id="rId442" Type="http://schemas.openxmlformats.org/officeDocument/2006/relationships/hyperlink" Target="https://prabhupadavani.org/transcriptions/%C5%9Br%C4%ABmad-bh%C4%81gavatam-151517/" TargetMode="External"/><Relationship Id="rId1277" Type="http://schemas.openxmlformats.org/officeDocument/2006/relationships/hyperlink" Target="https://prabhupadavani.org/transcriptions/730419sbla/" TargetMode="External"/><Relationship Id="rId441" Type="http://schemas.openxmlformats.org/officeDocument/2006/relationships/hyperlink" Target="https://prabhupadavani.org/transcriptions/%C5%9Br%C4%ABmad-bh%C4%81gavatam-1514-690618sb-new-vrindavan/" TargetMode="External"/><Relationship Id="rId1278" Type="http://schemas.openxmlformats.org/officeDocument/2006/relationships/hyperlink" Target="https://prabhupadavani.org/transcriptions/730420mwla/" TargetMode="External"/><Relationship Id="rId1268" Type="http://schemas.openxmlformats.org/officeDocument/2006/relationships/hyperlink" Target="https://prabhupadavani.org/transcriptions/730413sbny/" TargetMode="External"/><Relationship Id="rId2599" Type="http://schemas.openxmlformats.org/officeDocument/2006/relationships/hyperlink" Target="https://prabhupadavani.org/transcriptions/751214mwdel/" TargetMode="External"/><Relationship Id="rId1269" Type="http://schemas.openxmlformats.org/officeDocument/2006/relationships/hyperlink" Target="https://prabhupadavani.org/transcriptions/730413arla/" TargetMode="External"/><Relationship Id="rId437" Type="http://schemas.openxmlformats.org/officeDocument/2006/relationships/hyperlink" Target="https://prabhupadavani.org/transcriptions/%C5%9Br%C4%ABmad-bh%C4%81gavatam-1511/" TargetMode="External"/><Relationship Id="rId436" Type="http://schemas.openxmlformats.org/officeDocument/2006/relationships/hyperlink" Target="https://prabhupadavani.org/transcriptions/meeting-devotees/" TargetMode="External"/><Relationship Id="rId435" Type="http://schemas.openxmlformats.org/officeDocument/2006/relationships/hyperlink" Target="https://prabhupadavani.org/transcriptions/%C5%9Br%C4%AB-caitanya-carit%C4%81m%E1%B9%9Bta-%C4%81di-l%C4%ABl%C4%81-1721/" TargetMode="External"/><Relationship Id="rId434" Type="http://schemas.openxmlformats.org/officeDocument/2006/relationships/hyperlink" Target="https://prabhupadavani.org/transcriptions/%C5%9Br%C4%ABmad-bh%C4%81gavatam-15911/" TargetMode="External"/><Relationship Id="rId439" Type="http://schemas.openxmlformats.org/officeDocument/2006/relationships/hyperlink" Target="https://prabhupadavani.org/transcriptions/%C5%9Br%C4%ABmad-bh%C4%81gavatam-1513/" TargetMode="External"/><Relationship Id="rId438" Type="http://schemas.openxmlformats.org/officeDocument/2006/relationships/hyperlink" Target="https://prabhupadavani.org/transcriptions/%C5%9Br%C4%ABmad-bh%C4%81gavatam-151213/" TargetMode="External"/><Relationship Id="rId2590" Type="http://schemas.openxmlformats.org/officeDocument/2006/relationships/hyperlink" Target="https://prabhupadavani.org/transcriptions/751208sbvrn/" TargetMode="External"/><Relationship Id="rId1260" Type="http://schemas.openxmlformats.org/officeDocument/2006/relationships/hyperlink" Target="https://prabhupadavani.org/transcriptions/730405arny/" TargetMode="External"/><Relationship Id="rId2591" Type="http://schemas.openxmlformats.org/officeDocument/2006/relationships/hyperlink" Target="https://prabhupadavani.org/transcriptions/751209mwvrn/" TargetMode="External"/><Relationship Id="rId1261" Type="http://schemas.openxmlformats.org/officeDocument/2006/relationships/hyperlink" Target="https://prabhupadavani.org/transcriptions/730406sbny/" TargetMode="External"/><Relationship Id="rId2592" Type="http://schemas.openxmlformats.org/officeDocument/2006/relationships/hyperlink" Target="https://prabhupadavani.org/transcriptions/751209sbvrn/" TargetMode="External"/><Relationship Id="rId1262" Type="http://schemas.openxmlformats.org/officeDocument/2006/relationships/hyperlink" Target="https://prabhupadavani.org/transcriptions/730407sbny/" TargetMode="External"/><Relationship Id="rId2593" Type="http://schemas.openxmlformats.org/officeDocument/2006/relationships/hyperlink" Target="https://prabhupadavani.org/transcriptions/751210mwvrn/" TargetMode="External"/><Relationship Id="rId1263" Type="http://schemas.openxmlformats.org/officeDocument/2006/relationships/hyperlink" Target="https://prabhupadavani.org/transcriptions/730408bgny/" TargetMode="External"/><Relationship Id="rId2594" Type="http://schemas.openxmlformats.org/officeDocument/2006/relationships/hyperlink" Target="https://prabhupadavani.org/transcriptions/751210sbvrn/" TargetMode="External"/><Relationship Id="rId433" Type="http://schemas.openxmlformats.org/officeDocument/2006/relationships/hyperlink" Target="https://prabhupadavani.org/transcriptions/initiation-lecture-bhagav%C4%81n-k%E1%B9%9B%E1%B9%A3%E1%B9%87-bh%C4%81mini-marriage-ceremony/" TargetMode="External"/><Relationship Id="rId1264" Type="http://schemas.openxmlformats.org/officeDocument/2006/relationships/hyperlink" Target="https://prabhupadavani.org/transcriptions/730408sbny/" TargetMode="External"/><Relationship Id="rId2595" Type="http://schemas.openxmlformats.org/officeDocument/2006/relationships/hyperlink" Target="https://prabhupadavani.org/transcriptions/751211mwvrn/" TargetMode="External"/><Relationship Id="rId432" Type="http://schemas.openxmlformats.org/officeDocument/2006/relationships/hyperlink" Target="https://prabhupadavani.org/transcriptions/br%C4%81hma%E1%B9%87-initiation-lecture/" TargetMode="External"/><Relationship Id="rId1265" Type="http://schemas.openxmlformats.org/officeDocument/2006/relationships/hyperlink" Target="https://prabhupadavani.org/transcriptions/730410sbny/" TargetMode="External"/><Relationship Id="rId2596" Type="http://schemas.openxmlformats.org/officeDocument/2006/relationships/hyperlink" Target="https://prabhupadavani.org/transcriptions/751211sbvrn/" TargetMode="External"/><Relationship Id="rId431" Type="http://schemas.openxmlformats.org/officeDocument/2006/relationships/hyperlink" Target="https://prabhupadavani.org/transcriptions/%C5%9Br%C4%ABmad-bh%C4%81gavatam-1589/" TargetMode="External"/><Relationship Id="rId1266" Type="http://schemas.openxmlformats.org/officeDocument/2006/relationships/hyperlink" Target="https://prabhupadavani.org/transcriptions/730411bgny/" TargetMode="External"/><Relationship Id="rId2597" Type="http://schemas.openxmlformats.org/officeDocument/2006/relationships/hyperlink" Target="https://prabhupadavani.org/transcriptions/751212mwvrn/" TargetMode="External"/><Relationship Id="rId430" Type="http://schemas.openxmlformats.org/officeDocument/2006/relationships/hyperlink" Target="https://prabhupadavani.org/transcriptions/%C5%9Br%C4%ABmad-bh%C4%81gavatam-1518/" TargetMode="External"/><Relationship Id="rId1267" Type="http://schemas.openxmlformats.org/officeDocument/2006/relationships/hyperlink" Target="https://prabhupadavani.org/transcriptions/730412sbny/" TargetMode="External"/><Relationship Id="rId2598" Type="http://schemas.openxmlformats.org/officeDocument/2006/relationships/hyperlink" Target="https://prabhupadavani.org/transcriptions/751212sbvrn/" TargetMode="External"/><Relationship Id="rId3070" Type="http://schemas.openxmlformats.org/officeDocument/2006/relationships/hyperlink" Target="https://prabhupadavani.org/transcriptions/760802r1nmr/" TargetMode="External"/><Relationship Id="rId3072" Type="http://schemas.openxmlformats.org/officeDocument/2006/relationships/hyperlink" Target="https://prabhupadavani.org/transcriptions/760803r1nmr/" TargetMode="External"/><Relationship Id="rId3071" Type="http://schemas.openxmlformats.org/officeDocument/2006/relationships/hyperlink" Target="https://prabhupadavani.org/transcriptions/760803r2nmr/" TargetMode="External"/><Relationship Id="rId3074" Type="http://schemas.openxmlformats.org/officeDocument/2006/relationships/hyperlink" Target="https://prabhupadavani.org/transcriptions/760803bgnmr/" TargetMode="External"/><Relationship Id="rId3073" Type="http://schemas.openxmlformats.org/officeDocument/2006/relationships/hyperlink" Target="https://prabhupadavani.org/transcriptions/760803r3nmr/" TargetMode="External"/><Relationship Id="rId3076" Type="http://schemas.openxmlformats.org/officeDocument/2006/relationships/hyperlink" Target="https://prabhupadavani.org/transcriptions/760804r1nmr/" TargetMode="External"/><Relationship Id="rId3075" Type="http://schemas.openxmlformats.org/officeDocument/2006/relationships/hyperlink" Target="https://prabhupadavani.org/transcriptions/760804ewnmr/" TargetMode="External"/><Relationship Id="rId3078" Type="http://schemas.openxmlformats.org/officeDocument/2006/relationships/hyperlink" Target="https://prabhupadavani.org/transcriptions/760805r2nmr/" TargetMode="External"/><Relationship Id="rId3077" Type="http://schemas.openxmlformats.org/officeDocument/2006/relationships/hyperlink" Target="https://prabhupadavani.org/transcriptions/760804bgnmr/" TargetMode="External"/><Relationship Id="rId3079" Type="http://schemas.openxmlformats.org/officeDocument/2006/relationships/hyperlink" Target="https://prabhupadavani.org/transcriptions/760805r1nmr/" TargetMode="External"/><Relationship Id="rId3061" Type="http://schemas.openxmlformats.org/officeDocument/2006/relationships/hyperlink" Target="https://prabhupadavani.org/transcriptions/760729arnmr/" TargetMode="External"/><Relationship Id="rId3060" Type="http://schemas.openxmlformats.org/officeDocument/2006/relationships/hyperlink" Target="https://prabhupadavani.org/transcriptions/760728arpar/" TargetMode="External"/><Relationship Id="rId3063" Type="http://schemas.openxmlformats.org/officeDocument/2006/relationships/hyperlink" Target="https://prabhupadavani.org/transcriptions/760731bgnmr/" TargetMode="External"/><Relationship Id="rId3062" Type="http://schemas.openxmlformats.org/officeDocument/2006/relationships/hyperlink" Target="https://prabhupadavani.org/transcriptions/760731mwnmr/" TargetMode="External"/><Relationship Id="rId3065" Type="http://schemas.openxmlformats.org/officeDocument/2006/relationships/hyperlink" Target="https://prabhupadavani.org/transcriptions/760731r1nmr/" TargetMode="External"/><Relationship Id="rId3064" Type="http://schemas.openxmlformats.org/officeDocument/2006/relationships/hyperlink" Target="https://prabhupadavani.org/transcriptions/760731r2nmr/" TargetMode="External"/><Relationship Id="rId3067" Type="http://schemas.openxmlformats.org/officeDocument/2006/relationships/hyperlink" Target="https://prabhupadavani.org/transcriptions/760802lenmr/" TargetMode="External"/><Relationship Id="rId3066" Type="http://schemas.openxmlformats.org/officeDocument/2006/relationships/hyperlink" Target="https://prabhupadavani.org/transcriptions/760802mwnmr/" TargetMode="External"/><Relationship Id="rId3069" Type="http://schemas.openxmlformats.org/officeDocument/2006/relationships/hyperlink" Target="https://prabhupadavani.org/transcriptions/760802r3nmr/" TargetMode="External"/><Relationship Id="rId3068" Type="http://schemas.openxmlformats.org/officeDocument/2006/relationships/hyperlink" Target="https://prabhupadavani.org/transcriptions/760802r2nmr/" TargetMode="External"/><Relationship Id="rId3090" Type="http://schemas.openxmlformats.org/officeDocument/2006/relationships/hyperlink" Target="https://prabhupadavani.org/transcriptions/760810edteh/" TargetMode="External"/><Relationship Id="rId3092" Type="http://schemas.openxmlformats.org/officeDocument/2006/relationships/hyperlink" Target="https://prabhupadavani.org/transcriptions/760811r1teh/" TargetMode="External"/><Relationship Id="rId3091" Type="http://schemas.openxmlformats.org/officeDocument/2006/relationships/hyperlink" Target="https://prabhupadavani.org/transcriptions/760810r1teh/" TargetMode="External"/><Relationship Id="rId3094" Type="http://schemas.openxmlformats.org/officeDocument/2006/relationships/hyperlink" Target="https://prabhupadavani.org/transcriptions/760811mwteh/" TargetMode="External"/><Relationship Id="rId3093" Type="http://schemas.openxmlformats.org/officeDocument/2006/relationships/hyperlink" Target="https://prabhupadavani.org/transcriptions/760811edteh/" TargetMode="External"/><Relationship Id="rId3096" Type="http://schemas.openxmlformats.org/officeDocument/2006/relationships/hyperlink" Target="https://prabhupadavani.org/transcriptions/760812mwteh/" TargetMode="External"/><Relationship Id="rId3095" Type="http://schemas.openxmlformats.org/officeDocument/2006/relationships/hyperlink" Target="https://prabhupadavani.org/transcriptions/760812edteh/" TargetMode="External"/><Relationship Id="rId3098" Type="http://schemas.openxmlformats.org/officeDocument/2006/relationships/hyperlink" Target="https://prabhupadavani.org/transcriptions/760812r1teh/" TargetMode="External"/><Relationship Id="rId3097" Type="http://schemas.openxmlformats.org/officeDocument/2006/relationships/hyperlink" Target="https://prabhupadavani.org/transcriptions/760812sbteh/" TargetMode="External"/><Relationship Id="rId3099" Type="http://schemas.openxmlformats.org/officeDocument/2006/relationships/hyperlink" Target="https://prabhupadavani.org/transcriptions/760812r4teh/" TargetMode="External"/><Relationship Id="rId3081" Type="http://schemas.openxmlformats.org/officeDocument/2006/relationships/hyperlink" Target="https://prabhupadavani.org/transcriptions/760807r1teh/" TargetMode="External"/><Relationship Id="rId3080" Type="http://schemas.openxmlformats.org/officeDocument/2006/relationships/hyperlink" Target="https://prabhupadavani.org/transcriptions/760805bgnmr/" TargetMode="External"/><Relationship Id="rId3083" Type="http://schemas.openxmlformats.org/officeDocument/2006/relationships/hyperlink" Target="https://prabhupadavani.org/transcriptions/760808sbteh/" TargetMode="External"/><Relationship Id="rId3082" Type="http://schemas.openxmlformats.org/officeDocument/2006/relationships/hyperlink" Target="https://prabhupadavani.org/transcriptions/760808mwteh/" TargetMode="External"/><Relationship Id="rId3085" Type="http://schemas.openxmlformats.org/officeDocument/2006/relationships/hyperlink" Target="https://prabhupadavani.org/transcriptions/760809r2teh/" TargetMode="External"/><Relationship Id="rId3084" Type="http://schemas.openxmlformats.org/officeDocument/2006/relationships/hyperlink" Target="https://prabhupadavani.org/transcriptions/760808r1teh/" TargetMode="External"/><Relationship Id="rId3087" Type="http://schemas.openxmlformats.org/officeDocument/2006/relationships/hyperlink" Target="https://prabhupadavani.org/transcriptions/760809r1teh/" TargetMode="External"/><Relationship Id="rId3086" Type="http://schemas.openxmlformats.org/officeDocument/2006/relationships/hyperlink" Target="https://prabhupadavani.org/transcriptions/760809gcteh/" TargetMode="External"/><Relationship Id="rId3089" Type="http://schemas.openxmlformats.org/officeDocument/2006/relationships/hyperlink" Target="https://prabhupadavani.org/transcriptions/760810sbteh/" TargetMode="External"/><Relationship Id="rId3088" Type="http://schemas.openxmlformats.org/officeDocument/2006/relationships/hyperlink" Target="https://prabhupadavani.org/transcriptions/760809sbteh/" TargetMode="External"/><Relationship Id="rId3039" Type="http://schemas.openxmlformats.org/officeDocument/2006/relationships/hyperlink" Target="https://prabhupadavani.org/transcriptions/760718mwny/" TargetMode="External"/><Relationship Id="rId1" Type="http://schemas.openxmlformats.org/officeDocument/2006/relationships/hyperlink" Target="https://prabhupadavani.org/transcriptions/bhagavad-g%C4%ABt%C4%81-introduction/" TargetMode="External"/><Relationship Id="rId2" Type="http://schemas.openxmlformats.org/officeDocument/2006/relationships/hyperlink" Target="https://prabhupadavani.org/transcriptions/bhagavad-g%C4%ABt%C4%81-2711/" TargetMode="External"/><Relationship Id="rId3" Type="http://schemas.openxmlformats.org/officeDocument/2006/relationships/hyperlink" Target="https://prabhupadavani.org/transcriptions/bhagavad-g%C4%ABt%C4%81-211/" TargetMode="External"/><Relationship Id="rId4" Type="http://schemas.openxmlformats.org/officeDocument/2006/relationships/hyperlink" Target="https://prabhupadavani.org/transcriptions/bhagavad-g%C4%ABt%C4%81-212/" TargetMode="External"/><Relationship Id="rId3030" Type="http://schemas.openxmlformats.org/officeDocument/2006/relationships/hyperlink" Target="https://prabhupadavani.org/transcriptions/760715ccny/" TargetMode="External"/><Relationship Id="rId9" Type="http://schemas.openxmlformats.org/officeDocument/2006/relationships/hyperlink" Target="https://prabhupadavani.org/transcriptions/purport-to-bhajah%C5%AB-re-mana/" TargetMode="External"/><Relationship Id="rId3032" Type="http://schemas.openxmlformats.org/officeDocument/2006/relationships/hyperlink" Target="https://prabhupadavani.org/transcriptions/760716ivny/" TargetMode="External"/><Relationship Id="rId3031" Type="http://schemas.openxmlformats.org/officeDocument/2006/relationships/hyperlink" Target="https://prabhupadavani.org/transcriptions/760715cvny/" TargetMode="External"/><Relationship Id="rId3034" Type="http://schemas.openxmlformats.org/officeDocument/2006/relationships/hyperlink" Target="https://prabhupadavani.org/transcriptions/760716lepr/" TargetMode="External"/><Relationship Id="rId3033" Type="http://schemas.openxmlformats.org/officeDocument/2006/relationships/hyperlink" Target="https://prabhupadavani.org/transcriptions/760716r1ny/" TargetMode="External"/><Relationship Id="rId5" Type="http://schemas.openxmlformats.org/officeDocument/2006/relationships/hyperlink" Target="https://prabhupadavani.org/transcriptions/bhagavad-g%C4%ABt%C4%81-212-ii/" TargetMode="External"/><Relationship Id="rId3036" Type="http://schemas.openxmlformats.org/officeDocument/2006/relationships/hyperlink" Target="https://prabhupadavani.org/transcriptions/760717ivny/" TargetMode="External"/><Relationship Id="rId6" Type="http://schemas.openxmlformats.org/officeDocument/2006/relationships/hyperlink" Target="https://prabhupadavani.org/transcriptions/bhagavad-g%C4%ABt%C4%81-213-ii/" TargetMode="External"/><Relationship Id="rId3035" Type="http://schemas.openxmlformats.org/officeDocument/2006/relationships/hyperlink" Target="https://prabhupadavani.org/transcriptions/760717mwny/" TargetMode="External"/><Relationship Id="rId7" Type="http://schemas.openxmlformats.org/officeDocument/2006/relationships/hyperlink" Target="https://prabhupadavani.org/transcriptions/bhagavad-g%C4%ABt%C4%81-24445/" TargetMode="External"/><Relationship Id="rId3038" Type="http://schemas.openxmlformats.org/officeDocument/2006/relationships/hyperlink" Target="https://prabhupadavani.org/transcriptions/760717r1ny/" TargetMode="External"/><Relationship Id="rId8" Type="http://schemas.openxmlformats.org/officeDocument/2006/relationships/hyperlink" Target="https://prabhupadavani.org/transcriptions/bhagavad-g%C4%ABt%C4%81-24647/" TargetMode="External"/><Relationship Id="rId3037" Type="http://schemas.openxmlformats.org/officeDocument/2006/relationships/hyperlink" Target="https://prabhupadavani.org/transcriptions/760717ccny/" TargetMode="External"/><Relationship Id="rId3029" Type="http://schemas.openxmlformats.org/officeDocument/2006/relationships/hyperlink" Target="https://prabhupadavani.org/transcriptions/760714r1ny/" TargetMode="External"/><Relationship Id="rId3028" Type="http://schemas.openxmlformats.org/officeDocument/2006/relationships/hyperlink" Target="https://prabhupadavani.org/transcriptions/760714i2ny/" TargetMode="External"/><Relationship Id="rId3021" Type="http://schemas.openxmlformats.org/officeDocument/2006/relationships/hyperlink" Target="https://prabhupadavani.org/transcriptions/760712mwny/" TargetMode="External"/><Relationship Id="rId3020" Type="http://schemas.openxmlformats.org/officeDocument/2006/relationships/hyperlink" Target="https://prabhupadavani.org/transcriptions/760712bgny/" TargetMode="External"/><Relationship Id="rId3023" Type="http://schemas.openxmlformats.org/officeDocument/2006/relationships/hyperlink" Target="https://prabhupadavani.org/transcriptions/760713mwny/" TargetMode="External"/><Relationship Id="rId3022" Type="http://schemas.openxmlformats.org/officeDocument/2006/relationships/hyperlink" Target="https://prabhupadavani.org/transcriptions/760712ccny/" TargetMode="External"/><Relationship Id="rId3025" Type="http://schemas.openxmlformats.org/officeDocument/2006/relationships/hyperlink" Target="https://prabhupadavani.org/transcriptions/760713edny/" TargetMode="External"/><Relationship Id="rId3024" Type="http://schemas.openxmlformats.org/officeDocument/2006/relationships/hyperlink" Target="https://prabhupadavani.org/transcriptions/760713ccny/" TargetMode="External"/><Relationship Id="rId3027" Type="http://schemas.openxmlformats.org/officeDocument/2006/relationships/hyperlink" Target="https://prabhupadavani.org/transcriptions/760714ivny/" TargetMode="External"/><Relationship Id="rId3026" Type="http://schemas.openxmlformats.org/officeDocument/2006/relationships/hyperlink" Target="https://prabhupadavani.org/transcriptions/760714mwny/" TargetMode="External"/><Relationship Id="rId3050" Type="http://schemas.openxmlformats.org/officeDocument/2006/relationships/hyperlink" Target="https://prabhupadavani.org/transcriptions/760723cclon/" TargetMode="External"/><Relationship Id="rId3052" Type="http://schemas.openxmlformats.org/officeDocument/2006/relationships/hyperlink" Target="https://prabhupadavani.org/transcriptions/760725l1lon/" TargetMode="External"/><Relationship Id="rId3051" Type="http://schemas.openxmlformats.org/officeDocument/2006/relationships/hyperlink" Target="https://prabhupadavani.org/transcriptions/760724r1lon/" TargetMode="External"/><Relationship Id="rId3054" Type="http://schemas.openxmlformats.org/officeDocument/2006/relationships/hyperlink" Target="https://prabhupadavani.org/transcriptions/760725l3lon/" TargetMode="External"/><Relationship Id="rId3053" Type="http://schemas.openxmlformats.org/officeDocument/2006/relationships/hyperlink" Target="https://prabhupadavani.org/transcriptions/760725l2lon/" TargetMode="External"/><Relationship Id="rId3056" Type="http://schemas.openxmlformats.org/officeDocument/2006/relationships/hyperlink" Target="https://prabhupadavani.org/transcriptions/760726r1lon/" TargetMode="External"/><Relationship Id="rId3055" Type="http://schemas.openxmlformats.org/officeDocument/2006/relationships/hyperlink" Target="https://prabhupadavani.org/transcriptions/760726r2lon/" TargetMode="External"/><Relationship Id="rId3058" Type="http://schemas.openxmlformats.org/officeDocument/2006/relationships/hyperlink" Target="https://prabhupadavani.org/transcriptions/760727r1lon/" TargetMode="External"/><Relationship Id="rId3057" Type="http://schemas.openxmlformats.org/officeDocument/2006/relationships/hyperlink" Target="https://prabhupadavani.org/transcriptions/760727ivlon/" TargetMode="External"/><Relationship Id="rId3059" Type="http://schemas.openxmlformats.org/officeDocument/2006/relationships/hyperlink" Target="https://prabhupadavani.org/transcriptions/760727r2lon/" TargetMode="External"/><Relationship Id="rId3041" Type="http://schemas.openxmlformats.org/officeDocument/2006/relationships/hyperlink" Target="https://prabhupadavani.org/transcriptions/760718r1ny/" TargetMode="External"/><Relationship Id="rId3040" Type="http://schemas.openxmlformats.org/officeDocument/2006/relationships/hyperlink" Target="https://prabhupadavani.org/transcriptions/760718ryny/" TargetMode="External"/><Relationship Id="rId3043" Type="http://schemas.openxmlformats.org/officeDocument/2006/relationships/hyperlink" Target="https://prabhupadavani.org/transcriptions/760719ccny/" TargetMode="External"/><Relationship Id="rId3042" Type="http://schemas.openxmlformats.org/officeDocument/2006/relationships/hyperlink" Target="https://prabhupadavani.org/transcriptions/760719r2ny/" TargetMode="External"/><Relationship Id="rId3045" Type="http://schemas.openxmlformats.org/officeDocument/2006/relationships/hyperlink" Target="https://prabhupadavani.org/transcriptions/760720mwny/" TargetMode="External"/><Relationship Id="rId3044" Type="http://schemas.openxmlformats.org/officeDocument/2006/relationships/hyperlink" Target="https://prabhupadavani.org/transcriptions/760719r1ny/" TargetMode="External"/><Relationship Id="rId3047" Type="http://schemas.openxmlformats.org/officeDocument/2006/relationships/hyperlink" Target="https://prabhupadavani.org/transcriptions/760720ccny/" TargetMode="External"/><Relationship Id="rId3046" Type="http://schemas.openxmlformats.org/officeDocument/2006/relationships/hyperlink" Target="https://prabhupadavani.org/transcriptions/760720crny/" TargetMode="External"/><Relationship Id="rId3049" Type="http://schemas.openxmlformats.org/officeDocument/2006/relationships/hyperlink" Target="https://prabhupadavani.org/transcriptions/760723ivlon/" TargetMode="External"/><Relationship Id="rId3048" Type="http://schemas.openxmlformats.org/officeDocument/2006/relationships/hyperlink" Target="https://prabhupadavani.org/transcriptions/760721crny/" TargetMode="External"/><Relationship Id="rId2600" Type="http://schemas.openxmlformats.org/officeDocument/2006/relationships/hyperlink" Target="https://prabhupadavani.org/transcriptions/751214r1del/" TargetMode="External"/><Relationship Id="rId2601" Type="http://schemas.openxmlformats.org/officeDocument/2006/relationships/hyperlink" Target="https://prabhupadavani.org/transcriptions/751216mwbom/" TargetMode="External"/><Relationship Id="rId2602" Type="http://schemas.openxmlformats.org/officeDocument/2006/relationships/hyperlink" Target="https://prabhupadavani.org/transcriptions/751216lebom/" TargetMode="External"/><Relationship Id="rId2603" Type="http://schemas.openxmlformats.org/officeDocument/2006/relationships/hyperlink" Target="https://prabhupadavani.org/transcriptions/751217mwbom/" TargetMode="External"/><Relationship Id="rId2604" Type="http://schemas.openxmlformats.org/officeDocument/2006/relationships/hyperlink" Target="https://prabhupadavani.org/transcriptions/751218mwbom/" TargetMode="External"/><Relationship Id="rId2605" Type="http://schemas.openxmlformats.org/officeDocument/2006/relationships/hyperlink" Target="https://prabhupadavani.org/transcriptions/751219mwbom/" TargetMode="External"/><Relationship Id="rId2606" Type="http://schemas.openxmlformats.org/officeDocument/2006/relationships/hyperlink" Target="https://prabhupadavani.org/transcriptions/751220mwbom/" TargetMode="External"/><Relationship Id="rId808" Type="http://schemas.openxmlformats.org/officeDocument/2006/relationships/hyperlink" Target="https://prabhupadavani.org/transcriptions/720222sbvis/" TargetMode="External"/><Relationship Id="rId2607" Type="http://schemas.openxmlformats.org/officeDocument/2006/relationships/hyperlink" Target="https://prabhupadavani.org/transcriptions/751220bgbom/" TargetMode="External"/><Relationship Id="rId807" Type="http://schemas.openxmlformats.org/officeDocument/2006/relationships/hyperlink" Target="https://prabhupadavani.org/transcriptions/720221levis/" TargetMode="External"/><Relationship Id="rId2608" Type="http://schemas.openxmlformats.org/officeDocument/2006/relationships/hyperlink" Target="https://prabhupadavani.org/transcriptions/751222dbbom/" TargetMode="External"/><Relationship Id="rId806" Type="http://schemas.openxmlformats.org/officeDocument/2006/relationships/hyperlink" Target="https://prabhupadavani.org/transcriptions/720220sbvis/" TargetMode="External"/><Relationship Id="rId2609" Type="http://schemas.openxmlformats.org/officeDocument/2006/relationships/hyperlink" Target="https://prabhupadavani.org/transcriptions/751223mwbom/" TargetMode="External"/><Relationship Id="rId805" Type="http://schemas.openxmlformats.org/officeDocument/2006/relationships/hyperlink" Target="https://prabhupadavani.org/transcriptions/720220levis/" TargetMode="External"/><Relationship Id="rId809" Type="http://schemas.openxmlformats.org/officeDocument/2006/relationships/hyperlink" Target="https://prabhupadavani.org/transcriptions/720222levis/" TargetMode="External"/><Relationship Id="rId800" Type="http://schemas.openxmlformats.org/officeDocument/2006/relationships/hyperlink" Target="https://prabhupadavani.org/transcriptions/720216r1mad/" TargetMode="External"/><Relationship Id="rId804" Type="http://schemas.openxmlformats.org/officeDocument/2006/relationships/hyperlink" Target="https://prabhupadavani.org/transcriptions/720219levis/" TargetMode="External"/><Relationship Id="rId803" Type="http://schemas.openxmlformats.org/officeDocument/2006/relationships/hyperlink" Target="https://prabhupadavani.org/transcriptions/720219advis/" TargetMode="External"/><Relationship Id="rId802" Type="http://schemas.openxmlformats.org/officeDocument/2006/relationships/hyperlink" Target="https://prabhupadavani.org/transcriptions/720218levis/" TargetMode="External"/><Relationship Id="rId801" Type="http://schemas.openxmlformats.org/officeDocument/2006/relationships/hyperlink" Target="https://prabhupadavani.org/transcriptions/720217levis/" TargetMode="External"/><Relationship Id="rId1334" Type="http://schemas.openxmlformats.org/officeDocument/2006/relationships/hyperlink" Target="https://prabhupadavani.org/transcriptions/730617sbmay/" TargetMode="External"/><Relationship Id="rId2665" Type="http://schemas.openxmlformats.org/officeDocument/2006/relationships/hyperlink" Target="https://prabhupadavani.org/transcriptions/760211mwmay/" TargetMode="External"/><Relationship Id="rId1335" Type="http://schemas.openxmlformats.org/officeDocument/2006/relationships/hyperlink" Target="https://prabhupadavani.org/transcriptions/730618sbmay/" TargetMode="External"/><Relationship Id="rId2666" Type="http://schemas.openxmlformats.org/officeDocument/2006/relationships/hyperlink" Target="https://prabhupadavani.org/transcriptions/760211sbmay/" TargetMode="External"/><Relationship Id="rId1336" Type="http://schemas.openxmlformats.org/officeDocument/2006/relationships/hyperlink" Target="https://prabhupadavani.org/transcriptions/730619sbmay/" TargetMode="External"/><Relationship Id="rId2667" Type="http://schemas.openxmlformats.org/officeDocument/2006/relationships/hyperlink" Target="https://prabhupadavani.org/transcriptions/760212mwmay/" TargetMode="External"/><Relationship Id="rId1337" Type="http://schemas.openxmlformats.org/officeDocument/2006/relationships/hyperlink" Target="https://prabhupadavani.org/transcriptions/730620sbmay/" TargetMode="External"/><Relationship Id="rId2668" Type="http://schemas.openxmlformats.org/officeDocument/2006/relationships/hyperlink" Target="https://prabhupadavani.org/transcriptions/760212sbmay/" TargetMode="External"/><Relationship Id="rId1338" Type="http://schemas.openxmlformats.org/officeDocument/2006/relationships/hyperlink" Target="https://prabhupadavani.org/transcriptions/730621sbmay/" TargetMode="External"/><Relationship Id="rId2669" Type="http://schemas.openxmlformats.org/officeDocument/2006/relationships/hyperlink" Target="https://prabhupadavani.org/transcriptions/760214sbmay/" TargetMode="External"/><Relationship Id="rId1339" Type="http://schemas.openxmlformats.org/officeDocument/2006/relationships/hyperlink" Target="https://prabhupadavani.org/transcriptions/730622sbmay/" TargetMode="External"/><Relationship Id="rId745" Type="http://schemas.openxmlformats.org/officeDocument/2006/relationships/hyperlink" Target="https://prabhupadavani.org/transcriptions/evening-lecture-pandiya-house-meeting-community-leaders/" TargetMode="External"/><Relationship Id="rId744" Type="http://schemas.openxmlformats.org/officeDocument/2006/relationships/hyperlink" Target="https://prabhupadavani.org/transcriptions/%C5%9Br%C4%ABmad-bh%C4%81gavatam-7th-canto/" TargetMode="External"/><Relationship Id="rId743" Type="http://schemas.openxmlformats.org/officeDocument/2006/relationships/hyperlink" Target="https://prabhupadavani.org/transcriptions/lecture-hindi-710914le-mombasa/" TargetMode="External"/><Relationship Id="rId742" Type="http://schemas.openxmlformats.org/officeDocument/2006/relationships/hyperlink" Target="https://prabhupadavani.org/transcriptions/%C5%9Br%C4%ABmad-bh%C4%81gavatam-212/" TargetMode="External"/><Relationship Id="rId749" Type="http://schemas.openxmlformats.org/officeDocument/2006/relationships/hyperlink" Target="https://prabhupadavani.org/transcriptions/room-conversation-african-intelligentsia-710922r1-nairobi/" TargetMode="External"/><Relationship Id="rId748" Type="http://schemas.openxmlformats.org/officeDocument/2006/relationships/hyperlink" Target="https://prabhupadavani.org/transcriptions/lecture-%C5%9Br%C4%AB-%C5%9Br%C4%AB-gurv-%E1%B9%A3%E1%B9%ADaka-710919le-nairobi/" TargetMode="External"/><Relationship Id="rId747" Type="http://schemas.openxmlformats.org/officeDocument/2006/relationships/hyperlink" Target="https://prabhupadavani.org/transcriptions/engagement-710918le-nairobi/" TargetMode="External"/><Relationship Id="rId746" Type="http://schemas.openxmlformats.org/officeDocument/2006/relationships/hyperlink" Target="https://prabhupadavani.org/transcriptions/%C5%9Br%C4%ABmad-bh%C4%81gavatam-126-engagement/" TargetMode="External"/><Relationship Id="rId2660" Type="http://schemas.openxmlformats.org/officeDocument/2006/relationships/hyperlink" Target="https://prabhupadavani.org/transcriptions/760206mwmay/" TargetMode="External"/><Relationship Id="rId741" Type="http://schemas.openxmlformats.org/officeDocument/2006/relationships/hyperlink" Target="https://prabhupadavani.org/transcriptions/bhagavad-g%C4%ABt%C4%81-213/" TargetMode="External"/><Relationship Id="rId1330" Type="http://schemas.openxmlformats.org/officeDocument/2006/relationships/hyperlink" Target="https://prabhupadavani.org/transcriptions/730524sblon/" TargetMode="External"/><Relationship Id="rId2661" Type="http://schemas.openxmlformats.org/officeDocument/2006/relationships/hyperlink" Target="https://prabhupadavani.org/transcriptions/760208sbmay/" TargetMode="External"/><Relationship Id="rId740" Type="http://schemas.openxmlformats.org/officeDocument/2006/relationships/hyperlink" Target="https://prabhupadavani.org/transcriptions/lecture-hindi-710912le/" TargetMode="External"/><Relationship Id="rId1331" Type="http://schemas.openxmlformats.org/officeDocument/2006/relationships/hyperlink" Target="https://prabhupadavani.org/transcriptions/730614sbmay/" TargetMode="External"/><Relationship Id="rId2662" Type="http://schemas.openxmlformats.org/officeDocument/2006/relationships/hyperlink" Target="https://prabhupadavani.org/transcriptions/760209mwmay/" TargetMode="External"/><Relationship Id="rId1332" Type="http://schemas.openxmlformats.org/officeDocument/2006/relationships/hyperlink" Target="https://prabhupadavani.org/transcriptions/730615sbmay/" TargetMode="External"/><Relationship Id="rId2663" Type="http://schemas.openxmlformats.org/officeDocument/2006/relationships/hyperlink" Target="https://prabhupadavani.org/transcriptions/760210mwmay/" TargetMode="External"/><Relationship Id="rId1333" Type="http://schemas.openxmlformats.org/officeDocument/2006/relationships/hyperlink" Target="https://prabhupadavani.org/transcriptions/730616sbmay/" TargetMode="External"/><Relationship Id="rId2664" Type="http://schemas.openxmlformats.org/officeDocument/2006/relationships/hyperlink" Target="https://prabhupadavani.org/transcriptions/760210sbmay/" TargetMode="External"/><Relationship Id="rId1323" Type="http://schemas.openxmlformats.org/officeDocument/2006/relationships/hyperlink" Target="https://prabhupadavani.org/transcriptions/730516sbla/" TargetMode="External"/><Relationship Id="rId2654" Type="http://schemas.openxmlformats.org/officeDocument/2006/relationships/hyperlink" Target="https://prabhupadavani.org/transcriptions/760122mwmay/" TargetMode="External"/><Relationship Id="rId1324" Type="http://schemas.openxmlformats.org/officeDocument/2006/relationships/hyperlink" Target="https://prabhupadavani.org/transcriptions/730516r1la/" TargetMode="External"/><Relationship Id="rId2655" Type="http://schemas.openxmlformats.org/officeDocument/2006/relationships/hyperlink" Target="https://prabhupadavani.org/transcriptions/760123mwmay/" TargetMode="External"/><Relationship Id="rId1325" Type="http://schemas.openxmlformats.org/officeDocument/2006/relationships/hyperlink" Target="https://prabhupadavani.org/transcriptions/730517mwla/" TargetMode="External"/><Relationship Id="rId2656" Type="http://schemas.openxmlformats.org/officeDocument/2006/relationships/hyperlink" Target="https://prabhupadavani.org/transcriptions/760203mwmay/" TargetMode="External"/><Relationship Id="rId1326" Type="http://schemas.openxmlformats.org/officeDocument/2006/relationships/hyperlink" Target="https://prabhupadavani.org/transcriptions/730517sbla/" TargetMode="External"/><Relationship Id="rId2657" Type="http://schemas.openxmlformats.org/officeDocument/2006/relationships/hyperlink" Target="https://prabhupadavani.org/transcriptions/760204mwmay/" TargetMode="External"/><Relationship Id="rId1327" Type="http://schemas.openxmlformats.org/officeDocument/2006/relationships/hyperlink" Target="https://prabhupadavani.org/transcriptions/730519addal/" TargetMode="External"/><Relationship Id="rId2658" Type="http://schemas.openxmlformats.org/officeDocument/2006/relationships/hyperlink" Target="https://prabhupadavani.org/transcriptions/760205mwmay/" TargetMode="External"/><Relationship Id="rId1328" Type="http://schemas.openxmlformats.org/officeDocument/2006/relationships/hyperlink" Target="https://prabhupadavani.org/transcriptions/730521sbdal/" TargetMode="External"/><Relationship Id="rId2659" Type="http://schemas.openxmlformats.org/officeDocument/2006/relationships/hyperlink" Target="https://prabhupadavani.org/transcriptions/760205inmay/" TargetMode="External"/><Relationship Id="rId1329" Type="http://schemas.openxmlformats.org/officeDocument/2006/relationships/hyperlink" Target="https://prabhupadavani.org/transcriptions/730522sbny/" TargetMode="External"/><Relationship Id="rId739" Type="http://schemas.openxmlformats.org/officeDocument/2006/relationships/hyperlink" Target="https://prabhupadavani.org/transcriptions/%C5%9Br%C4%ABmad-bh%C4%81gavatam-773031/" TargetMode="External"/><Relationship Id="rId734" Type="http://schemas.openxmlformats.org/officeDocument/2006/relationships/hyperlink" Target="https://prabhupadavani.org/transcriptions/room-conversation-dr-ware-mensa-society/" TargetMode="External"/><Relationship Id="rId733" Type="http://schemas.openxmlformats.org/officeDocument/2006/relationships/hyperlink" Target="https://prabhupadavani.org/transcriptions/%C5%9Br%C4%ABmad-bh%C4%81gavatam-555/" TargetMode="External"/><Relationship Id="rId732" Type="http://schemas.openxmlformats.org/officeDocument/2006/relationships/hyperlink" Target="https://prabhupadavani.org/transcriptions/%C5%9Br%C4%ABla-bhaktivinoda-%E1%B9%ADh%C4%81kuras-appearance-day-lecture/" TargetMode="External"/><Relationship Id="rId731" Type="http://schemas.openxmlformats.org/officeDocument/2006/relationships/hyperlink" Target="https://prabhupadavani.org/transcriptions/r%C4%81dh%C4%81%E1%B9%A3%E1%B9%ADam%C4%AB-%C5%9Br%C4%ABmat%C4%AB-r%C4%81dh%C4%81r%C4%81%E1%B9%87%C4%ABs-appearance-day/" TargetMode="External"/><Relationship Id="rId738" Type="http://schemas.openxmlformats.org/officeDocument/2006/relationships/hyperlink" Target="https://prabhupadavani.org/transcriptions/lecture-hindi-710911le/" TargetMode="External"/><Relationship Id="rId737" Type="http://schemas.openxmlformats.org/officeDocument/2006/relationships/hyperlink" Target="https://prabhupadavani.org/transcriptions/%C5%9Br%C4%ABmad-bh%C4%81gavatam-7530/" TargetMode="External"/><Relationship Id="rId736" Type="http://schemas.openxmlformats.org/officeDocument/2006/relationships/hyperlink" Target="https://prabhupadavani.org/transcriptions/%C5%9Br%C4%ABmad-bh%C4%81gavatam-752230/" TargetMode="External"/><Relationship Id="rId735" Type="http://schemas.openxmlformats.org/officeDocument/2006/relationships/hyperlink" Target="https://prabhupadavani.org/transcriptions/initiation-lecture--710907in/" TargetMode="External"/><Relationship Id="rId730" Type="http://schemas.openxmlformats.org/officeDocument/2006/relationships/hyperlink" Target="https://prabhupadavani.org/transcriptions/%C5%9Br%C4%ABmad-bh%C4%81gavatam-126-710827sb/" TargetMode="External"/><Relationship Id="rId2650" Type="http://schemas.openxmlformats.org/officeDocument/2006/relationships/hyperlink" Target="https://prabhupadavani.org/transcriptions/760119mwmay/" TargetMode="External"/><Relationship Id="rId1320" Type="http://schemas.openxmlformats.org/officeDocument/2006/relationships/hyperlink" Target="https://prabhupadavani.org/transcriptions/730515mwla/" TargetMode="External"/><Relationship Id="rId2651" Type="http://schemas.openxmlformats.org/officeDocument/2006/relationships/hyperlink" Target="https://prabhupadavani.org/transcriptions/760119r1may/" TargetMode="External"/><Relationship Id="rId1321" Type="http://schemas.openxmlformats.org/officeDocument/2006/relationships/hyperlink" Target="https://prabhupadavani.org/transcriptions/730515sbla/" TargetMode="External"/><Relationship Id="rId2652" Type="http://schemas.openxmlformats.org/officeDocument/2006/relationships/hyperlink" Target="https://prabhupadavani.org/transcriptions/760120mwmay/" TargetMode="External"/><Relationship Id="rId1322" Type="http://schemas.openxmlformats.org/officeDocument/2006/relationships/hyperlink" Target="https://prabhupadavani.org/transcriptions/730515inla/" TargetMode="External"/><Relationship Id="rId2653" Type="http://schemas.openxmlformats.org/officeDocument/2006/relationships/hyperlink" Target="https://prabhupadavani.org/transcriptions/760121mwmay/" TargetMode="External"/><Relationship Id="rId1356" Type="http://schemas.openxmlformats.org/officeDocument/2006/relationships/hyperlink" Target="https://prabhupadavani.org/transcriptions/730711r3lon/" TargetMode="External"/><Relationship Id="rId2687" Type="http://schemas.openxmlformats.org/officeDocument/2006/relationships/hyperlink" Target="https://prabhupadavani.org/transcriptions/760225sbmay/" TargetMode="External"/><Relationship Id="rId1357" Type="http://schemas.openxmlformats.org/officeDocument/2006/relationships/hyperlink" Target="https://prabhupadavani.org/transcriptions/730711r4lon/" TargetMode="External"/><Relationship Id="rId2688" Type="http://schemas.openxmlformats.org/officeDocument/2006/relationships/hyperlink" Target="https://prabhupadavani.org/transcriptions/760226mwmay/" TargetMode="External"/><Relationship Id="rId1358" Type="http://schemas.openxmlformats.org/officeDocument/2006/relationships/hyperlink" Target="https://prabhupadavani.org/transcriptions/730712r1lon/" TargetMode="External"/><Relationship Id="rId2689" Type="http://schemas.openxmlformats.org/officeDocument/2006/relationships/hyperlink" Target="https://prabhupadavani.org/transcriptions/760226sbmay/" TargetMode="External"/><Relationship Id="rId1359" Type="http://schemas.openxmlformats.org/officeDocument/2006/relationships/hyperlink" Target="https://prabhupadavani.org/transcriptions/730712r2lon/" TargetMode="External"/><Relationship Id="rId767" Type="http://schemas.openxmlformats.org/officeDocument/2006/relationships/hyperlink" Target="https://prabhupadavani.org/transcriptions/pa%E1%B9%87%E1%B8%8D%C4%81l-lecture-711119le-delhi/" TargetMode="External"/><Relationship Id="rId766" Type="http://schemas.openxmlformats.org/officeDocument/2006/relationships/hyperlink" Target="https://prabhupadavani.org/transcriptions/wedding-lecture-partially-recorded-711117we-delhi/" TargetMode="External"/><Relationship Id="rId765" Type="http://schemas.openxmlformats.org/officeDocument/2006/relationships/hyperlink" Target="https://prabhupadavani.org/transcriptions/%C5%9Br%C4%ABmad-bh%C4%81gavatam-41414/" TargetMode="External"/><Relationship Id="rId764" Type="http://schemas.openxmlformats.org/officeDocument/2006/relationships/hyperlink" Target="https://prabhupadavani.org/transcriptions/%C5%9Br%C4%ABmad-bh%C4%81gavatam-761-711115sb-delhi/" TargetMode="External"/><Relationship Id="rId769" Type="http://schemas.openxmlformats.org/officeDocument/2006/relationships/hyperlink" Target="https://prabhupadavani.org/transcriptions/pa%E1%B9%87%E1%B8%8D%C4%81l-lecture-711121le-delhi/" TargetMode="External"/><Relationship Id="rId768" Type="http://schemas.openxmlformats.org/officeDocument/2006/relationships/hyperlink" Target="https://prabhupadavani.org/transcriptions/pa%E1%B9%87%E1%B8%8D%C4%81l-lecture-711120le-delhi/" TargetMode="External"/><Relationship Id="rId2680" Type="http://schemas.openxmlformats.org/officeDocument/2006/relationships/hyperlink" Target="https://prabhupadavani.org/transcriptions/760221sbmay/" TargetMode="External"/><Relationship Id="rId1350" Type="http://schemas.openxmlformats.org/officeDocument/2006/relationships/hyperlink" Target="https://prabhupadavani.org/transcriptions/730709r2lon/" TargetMode="External"/><Relationship Id="rId2681" Type="http://schemas.openxmlformats.org/officeDocument/2006/relationships/hyperlink" Target="https://prabhupadavani.org/transcriptions/760221bamay/" TargetMode="External"/><Relationship Id="rId1351" Type="http://schemas.openxmlformats.org/officeDocument/2006/relationships/hyperlink" Target="https://prabhupadavani.org/transcriptions/730710bglon/" TargetMode="External"/><Relationship Id="rId2682" Type="http://schemas.openxmlformats.org/officeDocument/2006/relationships/hyperlink" Target="https://prabhupadavani.org/transcriptions/760222mwmay/" TargetMode="External"/><Relationship Id="rId763" Type="http://schemas.openxmlformats.org/officeDocument/2006/relationships/hyperlink" Target="https://prabhupadavani.org/transcriptions/pa%E1%B9%87%E1%B8%8D%C4%81l-lecture-711114le-delhi/" TargetMode="External"/><Relationship Id="rId1352" Type="http://schemas.openxmlformats.org/officeDocument/2006/relationships/hyperlink" Target="https://prabhupadavani.org/transcriptions/730710r1lon/" TargetMode="External"/><Relationship Id="rId2683" Type="http://schemas.openxmlformats.org/officeDocument/2006/relationships/hyperlink" Target="https://prabhupadavani.org/transcriptions/760222sbmay/" TargetMode="External"/><Relationship Id="rId762" Type="http://schemas.openxmlformats.org/officeDocument/2006/relationships/hyperlink" Target="https://prabhupadavani.org/transcriptions/pa%E1%B9%87%E1%B8%8D%C4%81l-lecture-711113le-delhi/" TargetMode="External"/><Relationship Id="rId1353" Type="http://schemas.openxmlformats.org/officeDocument/2006/relationships/hyperlink" Target="https://prabhupadavani.org/transcriptions/730711bglon/" TargetMode="External"/><Relationship Id="rId2684" Type="http://schemas.openxmlformats.org/officeDocument/2006/relationships/hyperlink" Target="https://prabhupadavani.org/transcriptions/760223sbmay/" TargetMode="External"/><Relationship Id="rId761" Type="http://schemas.openxmlformats.org/officeDocument/2006/relationships/hyperlink" Target="https://prabhupadavani.org/transcriptions/conversation-guru-dasa-711112r1-delhi/" TargetMode="External"/><Relationship Id="rId1354" Type="http://schemas.openxmlformats.org/officeDocument/2006/relationships/hyperlink" Target="https://prabhupadavani.org/transcriptions/730711r1lon/" TargetMode="External"/><Relationship Id="rId2685" Type="http://schemas.openxmlformats.org/officeDocument/2006/relationships/hyperlink" Target="https://prabhupadavani.org/transcriptions/760224sbmay/" TargetMode="External"/><Relationship Id="rId760" Type="http://schemas.openxmlformats.org/officeDocument/2006/relationships/hyperlink" Target="https://prabhupadavani.org/transcriptions/pa%E1%B9%87%E1%B8%8D%C4%81l-lecture-711112le-delhi/" TargetMode="External"/><Relationship Id="rId1355" Type="http://schemas.openxmlformats.org/officeDocument/2006/relationships/hyperlink" Target="https://prabhupadavani.org/transcriptions/730711r2lon/" TargetMode="External"/><Relationship Id="rId2686" Type="http://schemas.openxmlformats.org/officeDocument/2006/relationships/hyperlink" Target="https://prabhupadavani.org/transcriptions/760225mwmay/" TargetMode="External"/><Relationship Id="rId1345" Type="http://schemas.openxmlformats.org/officeDocument/2006/relationships/hyperlink" Target="https://prabhupadavani.org/transcriptions/730630bgcal/" TargetMode="External"/><Relationship Id="rId2676" Type="http://schemas.openxmlformats.org/officeDocument/2006/relationships/hyperlink" Target="https://prabhupadavani.org/transcriptions/760219sbmay/" TargetMode="External"/><Relationship Id="rId1346" Type="http://schemas.openxmlformats.org/officeDocument/2006/relationships/hyperlink" Target="https://prabhupadavani.org/transcriptions/730707arlon/" TargetMode="External"/><Relationship Id="rId2677" Type="http://schemas.openxmlformats.org/officeDocument/2006/relationships/hyperlink" Target="https://prabhupadavani.org/transcriptions/760220mwmay/" TargetMode="External"/><Relationship Id="rId1347" Type="http://schemas.openxmlformats.org/officeDocument/2006/relationships/hyperlink" Target="https://prabhupadavani.org/transcriptions/730707bglon/" TargetMode="External"/><Relationship Id="rId2678" Type="http://schemas.openxmlformats.org/officeDocument/2006/relationships/hyperlink" Target="https://prabhupadavani.org/transcriptions/760220sbmay/" TargetMode="External"/><Relationship Id="rId1348" Type="http://schemas.openxmlformats.org/officeDocument/2006/relationships/hyperlink" Target="https://prabhupadavani.org/transcriptions/730709bglon/" TargetMode="External"/><Relationship Id="rId2679" Type="http://schemas.openxmlformats.org/officeDocument/2006/relationships/hyperlink" Target="https://prabhupadavani.org/transcriptions/760221mwmay/" TargetMode="External"/><Relationship Id="rId1349" Type="http://schemas.openxmlformats.org/officeDocument/2006/relationships/hyperlink" Target="https://prabhupadavani.org/transcriptions/730709r1lon/" TargetMode="External"/><Relationship Id="rId756" Type="http://schemas.openxmlformats.org/officeDocument/2006/relationships/hyperlink" Target="https://prabhupadavani.org/transcriptions/interview-711110iv-delhi/" TargetMode="External"/><Relationship Id="rId755" Type="http://schemas.openxmlformats.org/officeDocument/2006/relationships/hyperlink" Target="https://prabhupadavani.org/transcriptions/room-conversation-mayor-711110r1-delhi/" TargetMode="External"/><Relationship Id="rId754" Type="http://schemas.openxmlformats.org/officeDocument/2006/relationships/hyperlink" Target="https://prabhupadavani.org/transcriptions/bhagavad-g%C4%ABt%C4%81-41/" TargetMode="External"/><Relationship Id="rId753" Type="http://schemas.openxmlformats.org/officeDocument/2006/relationships/hyperlink" Target="https://prabhupadavani.org/transcriptions/arrival-lecture-711110ar-delhi/" TargetMode="External"/><Relationship Id="rId759" Type="http://schemas.openxmlformats.org/officeDocument/2006/relationships/hyperlink" Target="https://prabhupadavani.org/transcriptions/room-conversation-english-hindi-711111r2-delhi/" TargetMode="External"/><Relationship Id="rId758" Type="http://schemas.openxmlformats.org/officeDocument/2006/relationships/hyperlink" Target="https://prabhupadavani.org/transcriptions/conversation-711111r1-delhi/" TargetMode="External"/><Relationship Id="rId757" Type="http://schemas.openxmlformats.org/officeDocument/2006/relationships/hyperlink" Target="https://prabhupadavani.org/transcriptions/pa%E1%B9%87%E1%B8%8D%C4%81l-lecture-711111le-delhi/" TargetMode="External"/><Relationship Id="rId2670" Type="http://schemas.openxmlformats.org/officeDocument/2006/relationships/hyperlink" Target="https://prabhupadavani.org/transcriptions/760215sbmay/" TargetMode="External"/><Relationship Id="rId1340" Type="http://schemas.openxmlformats.org/officeDocument/2006/relationships/hyperlink" Target="https://prabhupadavani.org/transcriptions/730625sbmay/" TargetMode="External"/><Relationship Id="rId2671" Type="http://schemas.openxmlformats.org/officeDocument/2006/relationships/hyperlink" Target="https://prabhupadavani.org/transcriptions/760216sbmay/" TargetMode="External"/><Relationship Id="rId752" Type="http://schemas.openxmlformats.org/officeDocument/2006/relationships/hyperlink" Target="https://prabhupadavani.org/transcriptions/bhagavad-g%C4%ABt%C4%81-132-710925bg-nairobi/" TargetMode="External"/><Relationship Id="rId1341" Type="http://schemas.openxmlformats.org/officeDocument/2006/relationships/hyperlink" Target="https://prabhupadavani.org/transcriptions/730626sbmay/" TargetMode="External"/><Relationship Id="rId2672" Type="http://schemas.openxmlformats.org/officeDocument/2006/relationships/hyperlink" Target="https://prabhupadavani.org/transcriptions/760217sbmay/" TargetMode="External"/><Relationship Id="rId751" Type="http://schemas.openxmlformats.org/officeDocument/2006/relationships/hyperlink" Target="https://prabhupadavani.org/transcriptions/room-conversation-african-intelligentsia-710924r1-nairobi/" TargetMode="External"/><Relationship Id="rId1342" Type="http://schemas.openxmlformats.org/officeDocument/2006/relationships/hyperlink" Target="https://prabhupadavani.org/transcriptions/730627sbmay/" TargetMode="External"/><Relationship Id="rId2673" Type="http://schemas.openxmlformats.org/officeDocument/2006/relationships/hyperlink" Target="https://prabhupadavani.org/transcriptions/760218mwmay/" TargetMode="External"/><Relationship Id="rId750" Type="http://schemas.openxmlformats.org/officeDocument/2006/relationships/hyperlink" Target="https://prabhupadavani.org/transcriptions/room-conversation-african-intelligentsia-710923r1-nairobi/" TargetMode="External"/><Relationship Id="rId1343" Type="http://schemas.openxmlformats.org/officeDocument/2006/relationships/hyperlink" Target="https://prabhupadavani.org/transcriptions/730627r1nav/" TargetMode="External"/><Relationship Id="rId2674" Type="http://schemas.openxmlformats.org/officeDocument/2006/relationships/hyperlink" Target="https://prabhupadavani.org/transcriptions/760218sbmay/" TargetMode="External"/><Relationship Id="rId1344" Type="http://schemas.openxmlformats.org/officeDocument/2006/relationships/hyperlink" Target="https://prabhupadavani.org/transcriptions/730629bgcal/" TargetMode="External"/><Relationship Id="rId2675" Type="http://schemas.openxmlformats.org/officeDocument/2006/relationships/hyperlink" Target="https://prabhupadavani.org/transcriptions/760219mwmay/" TargetMode="External"/><Relationship Id="rId2621" Type="http://schemas.openxmlformats.org/officeDocument/2006/relationships/hyperlink" Target="https://prabhupadavani.org/transcriptions/760101bgmad/" TargetMode="External"/><Relationship Id="rId2622" Type="http://schemas.openxmlformats.org/officeDocument/2006/relationships/hyperlink" Target="https://prabhupadavani.org/transcriptions/760102mwmad/" TargetMode="External"/><Relationship Id="rId2623" Type="http://schemas.openxmlformats.org/officeDocument/2006/relationships/hyperlink" Target="https://prabhupadavani.org/transcriptions/760102sbmad/" TargetMode="External"/><Relationship Id="rId2624" Type="http://schemas.openxmlformats.org/officeDocument/2006/relationships/hyperlink" Target="https://prabhupadavani.org/transcriptions/760103mwnel/" TargetMode="External"/><Relationship Id="rId2625" Type="http://schemas.openxmlformats.org/officeDocument/2006/relationships/hyperlink" Target="https://prabhupadavani.org/transcriptions/760103r1nel/" TargetMode="External"/><Relationship Id="rId2626" Type="http://schemas.openxmlformats.org/officeDocument/2006/relationships/hyperlink" Target="https://prabhupadavani.org/transcriptions/760104mwnel/" TargetMode="External"/><Relationship Id="rId2627" Type="http://schemas.openxmlformats.org/officeDocument/2006/relationships/hyperlink" Target="https://prabhupadavani.org/transcriptions/760104lenel/" TargetMode="External"/><Relationship Id="rId2628" Type="http://schemas.openxmlformats.org/officeDocument/2006/relationships/hyperlink" Target="https://prabhupadavani.org/transcriptions/760105sbnel/" TargetMode="External"/><Relationship Id="rId709" Type="http://schemas.openxmlformats.org/officeDocument/2006/relationships/hyperlink" Target="https://prabhupadavani.org/transcriptions/room-conversation-apa-pante-high-commissioner-united-kingdom/" TargetMode="External"/><Relationship Id="rId2629" Type="http://schemas.openxmlformats.org/officeDocument/2006/relationships/hyperlink" Target="https://prabhupadavani.org/transcriptions/760106mwnel/" TargetMode="External"/><Relationship Id="rId708" Type="http://schemas.openxmlformats.org/officeDocument/2006/relationships/hyperlink" Target="https://prabhupadavani.org/transcriptions/bhagavad-g%C4%ABt%C4%81-713/" TargetMode="External"/><Relationship Id="rId707" Type="http://schemas.openxmlformats.org/officeDocument/2006/relationships/hyperlink" Target="https://prabhupadavani.org/transcriptions/%C5%9Br%C4%ABmad-bh%C4%81gavatam-6115-710803sb/" TargetMode="External"/><Relationship Id="rId706" Type="http://schemas.openxmlformats.org/officeDocument/2006/relationships/hyperlink" Target="https://prabhupadavani.org/transcriptions/%C5%9Br%C4%ABmad-bh%C4%81gavatam-611620/" TargetMode="External"/><Relationship Id="rId701" Type="http://schemas.openxmlformats.org/officeDocument/2006/relationships/hyperlink" Target="https://prabhupadavani.org/transcriptions/arrival-lecture-710729ar/" TargetMode="External"/><Relationship Id="rId700" Type="http://schemas.openxmlformats.org/officeDocument/2006/relationships/hyperlink" Target="https://prabhupadavani.org/transcriptions/initiation-lecture-710728in/" TargetMode="External"/><Relationship Id="rId705" Type="http://schemas.openxmlformats.org/officeDocument/2006/relationships/hyperlink" Target="https://prabhupadavani.org/transcriptions/%C5%9Br%C4%ABmad-bh%C4%81gavatam-6115/" TargetMode="External"/><Relationship Id="rId704" Type="http://schemas.openxmlformats.org/officeDocument/2006/relationships/hyperlink" Target="https://prabhupadavani.org/transcriptions/%C5%9Br%C4%AB-brahma-sa%E1%B9%81hit%C4%81-verse-35-710731bs/" TargetMode="External"/><Relationship Id="rId703" Type="http://schemas.openxmlformats.org/officeDocument/2006/relationships/hyperlink" Target="https://prabhupadavani.org/transcriptions/bhagavad-g%C4%ABt%C4%81-71-university-florida/" TargetMode="External"/><Relationship Id="rId702" Type="http://schemas.openxmlformats.org/officeDocument/2006/relationships/hyperlink" Target="https://prabhupadavani.org/transcriptions/television-interview-710729iv/" TargetMode="External"/><Relationship Id="rId2620" Type="http://schemas.openxmlformats.org/officeDocument/2006/relationships/hyperlink" Target="https://prabhupadavani.org/transcriptions/751228bgsan/" TargetMode="External"/><Relationship Id="rId2610" Type="http://schemas.openxmlformats.org/officeDocument/2006/relationships/hyperlink" Target="https://prabhupadavani.org/transcriptions/751224mwbom/" TargetMode="External"/><Relationship Id="rId2611" Type="http://schemas.openxmlformats.org/officeDocument/2006/relationships/hyperlink" Target="https://prabhupadavani.org/transcriptions/751224lesan/" TargetMode="External"/><Relationship Id="rId2612" Type="http://schemas.openxmlformats.org/officeDocument/2006/relationships/hyperlink" Target="https://prabhupadavani.org/transcriptions/751225mwsan/" TargetMode="External"/><Relationship Id="rId2613" Type="http://schemas.openxmlformats.org/officeDocument/2006/relationships/hyperlink" Target="https://prabhupadavani.org/transcriptions/751225bgsan/" TargetMode="External"/><Relationship Id="rId2614" Type="http://schemas.openxmlformats.org/officeDocument/2006/relationships/hyperlink" Target="https://prabhupadavani.org/transcriptions/751226mwsan/" TargetMode="External"/><Relationship Id="rId2615" Type="http://schemas.openxmlformats.org/officeDocument/2006/relationships/hyperlink" Target="https://prabhupadavani.org/transcriptions/751226lesan/" TargetMode="External"/><Relationship Id="rId2616" Type="http://schemas.openxmlformats.org/officeDocument/2006/relationships/hyperlink" Target="https://prabhupadavani.org/transcriptions/751226bgsan/" TargetMode="External"/><Relationship Id="rId2617" Type="http://schemas.openxmlformats.org/officeDocument/2006/relationships/hyperlink" Target="https://prabhupadavani.org/transcriptions/751226rfsan/" TargetMode="External"/><Relationship Id="rId2618" Type="http://schemas.openxmlformats.org/officeDocument/2006/relationships/hyperlink" Target="https://prabhupadavani.org/transcriptions/751227b2san/" TargetMode="External"/><Relationship Id="rId2619" Type="http://schemas.openxmlformats.org/officeDocument/2006/relationships/hyperlink" Target="https://prabhupadavani.org/transcriptions/751227bgsan/" TargetMode="External"/><Relationship Id="rId1312" Type="http://schemas.openxmlformats.org/officeDocument/2006/relationships/hyperlink" Target="https://prabhupadavani.org/transcriptions/730509sbla/" TargetMode="External"/><Relationship Id="rId2643" Type="http://schemas.openxmlformats.org/officeDocument/2006/relationships/hyperlink" Target="https://prabhupadavani.org/transcriptions/760115r1may/" TargetMode="External"/><Relationship Id="rId1313" Type="http://schemas.openxmlformats.org/officeDocument/2006/relationships/hyperlink" Target="https://prabhupadavani.org/transcriptions/730510sbla/" TargetMode="External"/><Relationship Id="rId2644" Type="http://schemas.openxmlformats.org/officeDocument/2006/relationships/hyperlink" Target="https://prabhupadavani.org/transcriptions/760116mwmay/" TargetMode="External"/><Relationship Id="rId1314" Type="http://schemas.openxmlformats.org/officeDocument/2006/relationships/hyperlink" Target="https://prabhupadavani.org/transcriptions/730511mwla/" TargetMode="External"/><Relationship Id="rId2645" Type="http://schemas.openxmlformats.org/officeDocument/2006/relationships/hyperlink" Target="https://prabhupadavani.org/transcriptions/760116r1may/" TargetMode="External"/><Relationship Id="rId1315" Type="http://schemas.openxmlformats.org/officeDocument/2006/relationships/hyperlink" Target="https://prabhupadavani.org/transcriptions/730512sbla/" TargetMode="External"/><Relationship Id="rId2646" Type="http://schemas.openxmlformats.org/officeDocument/2006/relationships/hyperlink" Target="https://prabhupadavani.org/transcriptions/760117mwmay/" TargetMode="External"/><Relationship Id="rId1316" Type="http://schemas.openxmlformats.org/officeDocument/2006/relationships/hyperlink" Target="https://prabhupadavani.org/transcriptions/730513mwla/" TargetMode="External"/><Relationship Id="rId2647" Type="http://schemas.openxmlformats.org/officeDocument/2006/relationships/hyperlink" Target="https://prabhupadavani.org/transcriptions/760117r1may/" TargetMode="External"/><Relationship Id="rId1317" Type="http://schemas.openxmlformats.org/officeDocument/2006/relationships/hyperlink" Target="https://prabhupadavani.org/transcriptions/730513sbla/" TargetMode="External"/><Relationship Id="rId2648" Type="http://schemas.openxmlformats.org/officeDocument/2006/relationships/hyperlink" Target="https://prabhupadavani.org/transcriptions/760118mwmay/" TargetMode="External"/><Relationship Id="rId1318" Type="http://schemas.openxmlformats.org/officeDocument/2006/relationships/hyperlink" Target="https://prabhupadavani.org/transcriptions/730514mwla/" TargetMode="External"/><Relationship Id="rId2649" Type="http://schemas.openxmlformats.org/officeDocument/2006/relationships/hyperlink" Target="https://prabhupadavani.org/transcriptions/760118r1may/" TargetMode="External"/><Relationship Id="rId1319" Type="http://schemas.openxmlformats.org/officeDocument/2006/relationships/hyperlink" Target="https://prabhupadavani.org/transcriptions/730514sbla/" TargetMode="External"/><Relationship Id="rId729" Type="http://schemas.openxmlformats.org/officeDocument/2006/relationships/hyperlink" Target="https://prabhupadavani.org/transcriptions/%C5%9Br%C4%ABmad-bh%C4%81gavatam-126/" TargetMode="External"/><Relationship Id="rId728" Type="http://schemas.openxmlformats.org/officeDocument/2006/relationships/hyperlink" Target="https://prabhupadavani.org/transcriptions/%C5%9Br%C4%ABmad-bh%C4%81gavatam-123-710824sb/" TargetMode="External"/><Relationship Id="rId723" Type="http://schemas.openxmlformats.org/officeDocument/2006/relationships/hyperlink" Target="https://prabhupadavani.org/transcriptions/%C5%9Br%C4%ABmad-bh%C4%81gavatam-112-710816sb/" TargetMode="External"/><Relationship Id="rId722" Type="http://schemas.openxmlformats.org/officeDocument/2006/relationships/hyperlink" Target="https://prabhupadavani.org/transcriptions/%C5%9Br%C4%ABmad-bh%C4%81gavatam-112/" TargetMode="External"/><Relationship Id="rId721" Type="http://schemas.openxmlformats.org/officeDocument/2006/relationships/hyperlink" Target="https://prabhupadavani.org/transcriptions/janm%C4%81%E1%B9%A3%E1%B9%ADam%C4%AB-lecture-710813l2/" TargetMode="External"/><Relationship Id="rId720" Type="http://schemas.openxmlformats.org/officeDocument/2006/relationships/hyperlink" Target="https://prabhupadavani.org/transcriptions/janm%C4%81%E1%B9%A3%E1%B9%ADam%C4%AB-morning-lecture-partially-recorded/" TargetMode="External"/><Relationship Id="rId727" Type="http://schemas.openxmlformats.org/officeDocument/2006/relationships/hyperlink" Target="https://prabhupadavani.org/transcriptions/initiation-lecture-710822in/" TargetMode="External"/><Relationship Id="rId726" Type="http://schemas.openxmlformats.org/officeDocument/2006/relationships/hyperlink" Target="https://prabhupadavani.org/transcriptions/%C5%9Br%C4%ABmad-bh%C4%81gavatam-113-710820sb/" TargetMode="External"/><Relationship Id="rId725" Type="http://schemas.openxmlformats.org/officeDocument/2006/relationships/hyperlink" Target="https://prabhupadavani.org/transcriptions/%C5%9Br%C4%ABmad-bh%C4%81gavatam-113/" TargetMode="External"/><Relationship Id="rId724" Type="http://schemas.openxmlformats.org/officeDocument/2006/relationships/hyperlink" Target="https://prabhupadavani.org/transcriptions/%C5%9Br%C4%ABmad-bh%C4%81gavatam-112-710817sb/" TargetMode="External"/><Relationship Id="rId2640" Type="http://schemas.openxmlformats.org/officeDocument/2006/relationships/hyperlink" Target="https://prabhupadavani.org/transcriptions/760114sbcal/" TargetMode="External"/><Relationship Id="rId1310" Type="http://schemas.openxmlformats.org/officeDocument/2006/relationships/hyperlink" Target="https://prabhupadavani.org/transcriptions/730508sbla/" TargetMode="External"/><Relationship Id="rId2641" Type="http://schemas.openxmlformats.org/officeDocument/2006/relationships/hyperlink" Target="https://prabhupadavani.org/transcriptions/760115mwcal/" TargetMode="External"/><Relationship Id="rId1311" Type="http://schemas.openxmlformats.org/officeDocument/2006/relationships/hyperlink" Target="https://prabhupadavani.org/transcriptions/730509mwla/" TargetMode="External"/><Relationship Id="rId2642" Type="http://schemas.openxmlformats.org/officeDocument/2006/relationships/hyperlink" Target="https://prabhupadavani.org/transcriptions/760115semay/" TargetMode="External"/><Relationship Id="rId1301" Type="http://schemas.openxmlformats.org/officeDocument/2006/relationships/hyperlink" Target="https://prabhupadavani.org/transcriptions/730502sbla/" TargetMode="External"/><Relationship Id="rId2632" Type="http://schemas.openxmlformats.org/officeDocument/2006/relationships/hyperlink" Target="https://prabhupadavani.org/transcriptions/760108mwnel/" TargetMode="External"/><Relationship Id="rId1302" Type="http://schemas.openxmlformats.org/officeDocument/2006/relationships/hyperlink" Target="https://prabhupadavani.org/transcriptions/730503mwla/" TargetMode="External"/><Relationship Id="rId2633" Type="http://schemas.openxmlformats.org/officeDocument/2006/relationships/hyperlink" Target="https://prabhupadavani.org/transcriptions/760108sbnel/" TargetMode="External"/><Relationship Id="rId1303" Type="http://schemas.openxmlformats.org/officeDocument/2006/relationships/hyperlink" Target="https://prabhupadavani.org/transcriptions/730503sbla/" TargetMode="External"/><Relationship Id="rId2634" Type="http://schemas.openxmlformats.org/officeDocument/2006/relationships/hyperlink" Target="https://prabhupadavani.org/transcriptions/760108r1nel/" TargetMode="External"/><Relationship Id="rId1304" Type="http://schemas.openxmlformats.org/officeDocument/2006/relationships/hyperlink" Target="https://prabhupadavani.org/transcriptions/730504mwla/" TargetMode="External"/><Relationship Id="rId2635" Type="http://schemas.openxmlformats.org/officeDocument/2006/relationships/hyperlink" Target="https://prabhupadavani.org/transcriptions/760109mwmad/" TargetMode="External"/><Relationship Id="rId1305" Type="http://schemas.openxmlformats.org/officeDocument/2006/relationships/hyperlink" Target="https://prabhupadavani.org/transcriptions/730504sbla/" TargetMode="External"/><Relationship Id="rId2636" Type="http://schemas.openxmlformats.org/officeDocument/2006/relationships/hyperlink" Target="https://prabhupadavani.org/transcriptions/760112mwbom/" TargetMode="External"/><Relationship Id="rId1306" Type="http://schemas.openxmlformats.org/officeDocument/2006/relationships/hyperlink" Target="https://prabhupadavani.org/transcriptions/730505mwla/" TargetMode="External"/><Relationship Id="rId2637" Type="http://schemas.openxmlformats.org/officeDocument/2006/relationships/hyperlink" Target="https://prabhupadavani.org/transcriptions/760112sbbom/" TargetMode="External"/><Relationship Id="rId1307" Type="http://schemas.openxmlformats.org/officeDocument/2006/relationships/hyperlink" Target="https://prabhupadavani.org/transcriptions/730505sbla/" TargetMode="External"/><Relationship Id="rId2638" Type="http://schemas.openxmlformats.org/officeDocument/2006/relationships/hyperlink" Target="https://prabhupadavani.org/transcriptions/760113mwcal/" TargetMode="External"/><Relationship Id="rId1308" Type="http://schemas.openxmlformats.org/officeDocument/2006/relationships/hyperlink" Target="https://prabhupadavani.org/transcriptions/730506sbla/" TargetMode="External"/><Relationship Id="rId2639" Type="http://schemas.openxmlformats.org/officeDocument/2006/relationships/hyperlink" Target="https://prabhupadavani.org/transcriptions/760113sbcal/" TargetMode="External"/><Relationship Id="rId1309" Type="http://schemas.openxmlformats.org/officeDocument/2006/relationships/hyperlink" Target="https://prabhupadavani.org/transcriptions/730507sbla/" TargetMode="External"/><Relationship Id="rId719" Type="http://schemas.openxmlformats.org/officeDocument/2006/relationships/hyperlink" Target="https://prabhupadavani.org/transcriptions/%C5%9Br%C4%AB-brahma-sa%E1%B9%81hit%C4%81-verse-37/" TargetMode="External"/><Relationship Id="rId718" Type="http://schemas.openxmlformats.org/officeDocument/2006/relationships/hyperlink" Target="https://prabhupadavani.org/transcriptions/%C5%9Br%C4%ABmad-bh%C4%81gavatam-122-purport-guruva%E1%B9%A3%E1%B9%ADakam/" TargetMode="External"/><Relationship Id="rId717" Type="http://schemas.openxmlformats.org/officeDocument/2006/relationships/hyperlink" Target="https://prabhupadavani.org/transcriptions/room-conversation-partially-recorded-710809r1/" TargetMode="External"/><Relationship Id="rId712" Type="http://schemas.openxmlformats.org/officeDocument/2006/relationships/hyperlink" Target="https://prabhupadavani.org/transcriptions/%C5%9Br%C4%ABmad-bh%C4%81gavatam-111/" TargetMode="External"/><Relationship Id="rId711" Type="http://schemas.openxmlformats.org/officeDocument/2006/relationships/hyperlink" Target="https://prabhupadavani.org/transcriptions/temple-press-conference/" TargetMode="External"/><Relationship Id="rId710" Type="http://schemas.openxmlformats.org/officeDocument/2006/relationships/hyperlink" Target="https://prabhupadavani.org/transcriptions/lecture-engagement/" TargetMode="External"/><Relationship Id="rId716" Type="http://schemas.openxmlformats.org/officeDocument/2006/relationships/hyperlink" Target="https://prabhupadavani.org/transcriptions/lunch-engagement/" TargetMode="External"/><Relationship Id="rId715" Type="http://schemas.openxmlformats.org/officeDocument/2006/relationships/hyperlink" Target="https://prabhupadavani.org/transcriptions/room-conversation-mr-arnold/" TargetMode="External"/><Relationship Id="rId714" Type="http://schemas.openxmlformats.org/officeDocument/2006/relationships/hyperlink" Target="https://prabhupadavani.org/transcriptions/%C5%9Br%C4%ABmad-bh%C4%81gavatam-111-710807sb/" TargetMode="External"/><Relationship Id="rId713" Type="http://schemas.openxmlformats.org/officeDocument/2006/relationships/hyperlink" Target="https://prabhupadavani.org/transcriptions/%C5%9Br%C4%ABmad-bh%C4%81gavatam-126-hampstead-hall/" TargetMode="External"/><Relationship Id="rId2630" Type="http://schemas.openxmlformats.org/officeDocument/2006/relationships/hyperlink" Target="https://prabhupadavani.org/transcriptions/760107sbnel/" TargetMode="External"/><Relationship Id="rId1300" Type="http://schemas.openxmlformats.org/officeDocument/2006/relationships/hyperlink" Target="https://prabhupadavani.org/transcriptions/730502mwla/" TargetMode="External"/><Relationship Id="rId2631" Type="http://schemas.openxmlformats.org/officeDocument/2006/relationships/hyperlink" Target="https://prabhupadavani.org/transcriptions/760107r1nel/" TargetMode="External"/><Relationship Id="rId3117" Type="http://schemas.openxmlformats.org/officeDocument/2006/relationships/hyperlink" Target="https://prabhupadavani.org/transcriptions/760819r2hyd/" TargetMode="External"/><Relationship Id="rId3116" Type="http://schemas.openxmlformats.org/officeDocument/2006/relationships/hyperlink" Target="https://prabhupadavani.org/transcriptions/760818sbhyd/" TargetMode="External"/><Relationship Id="rId3119" Type="http://schemas.openxmlformats.org/officeDocument/2006/relationships/hyperlink" Target="https://prabhupadavani.org/transcriptions/760819vphyd/" TargetMode="External"/><Relationship Id="rId3118" Type="http://schemas.openxmlformats.org/officeDocument/2006/relationships/hyperlink" Target="https://prabhupadavani.org/transcriptions/760819r1hyd/" TargetMode="External"/><Relationship Id="rId3111" Type="http://schemas.openxmlformats.org/officeDocument/2006/relationships/hyperlink" Target="https://prabhupadavani.org/transcriptions/760816sphyd/" TargetMode="External"/><Relationship Id="rId3110" Type="http://schemas.openxmlformats.org/officeDocument/2006/relationships/hyperlink" Target="https://prabhupadavani.org/transcriptions/760816r1hyd/" TargetMode="External"/><Relationship Id="rId3113" Type="http://schemas.openxmlformats.org/officeDocument/2006/relationships/hyperlink" Target="https://prabhupadavani.org/transcriptions/760817ivhyd/" TargetMode="External"/><Relationship Id="rId3112" Type="http://schemas.openxmlformats.org/officeDocument/2006/relationships/hyperlink" Target="https://prabhupadavani.org/transcriptions/760817bghyd/" TargetMode="External"/><Relationship Id="rId3115" Type="http://schemas.openxmlformats.org/officeDocument/2006/relationships/hyperlink" Target="https://prabhupadavani.org/transcriptions/760817cchyd/" TargetMode="External"/><Relationship Id="rId3114" Type="http://schemas.openxmlformats.org/officeDocument/2006/relationships/hyperlink" Target="https://prabhupadavani.org/transcriptions/760817r1hyd/" TargetMode="External"/><Relationship Id="rId3106" Type="http://schemas.openxmlformats.org/officeDocument/2006/relationships/hyperlink" Target="https://prabhupadavani.org/transcriptions/760815mwbom/" TargetMode="External"/><Relationship Id="rId3105" Type="http://schemas.openxmlformats.org/officeDocument/2006/relationships/hyperlink" Target="https://prabhupadavani.org/transcriptions/760814r2bom/" TargetMode="External"/><Relationship Id="rId3108" Type="http://schemas.openxmlformats.org/officeDocument/2006/relationships/hyperlink" Target="https://prabhupadavani.org/transcriptions/760816r1bom/" TargetMode="External"/><Relationship Id="rId3107" Type="http://schemas.openxmlformats.org/officeDocument/2006/relationships/hyperlink" Target="https://prabhupadavani.org/transcriptions/760815edbom/" TargetMode="External"/><Relationship Id="rId3109" Type="http://schemas.openxmlformats.org/officeDocument/2006/relationships/hyperlink" Target="https://prabhupadavani.org/transcriptions/760816arhyd/" TargetMode="External"/><Relationship Id="rId3100" Type="http://schemas.openxmlformats.org/officeDocument/2006/relationships/hyperlink" Target="https://prabhupadavani.org/transcriptions/760812r2teh/" TargetMode="External"/><Relationship Id="rId3102" Type="http://schemas.openxmlformats.org/officeDocument/2006/relationships/hyperlink" Target="https://prabhupadavani.org/transcriptions/760813arbom/" TargetMode="External"/><Relationship Id="rId3101" Type="http://schemas.openxmlformats.org/officeDocument/2006/relationships/hyperlink" Target="https://prabhupadavani.org/transcriptions/760812r3teh/" TargetMode="External"/><Relationship Id="rId3104" Type="http://schemas.openxmlformats.org/officeDocument/2006/relationships/hyperlink" Target="https://prabhupadavani.org/transcriptions/760814r1bom/" TargetMode="External"/><Relationship Id="rId3103" Type="http://schemas.openxmlformats.org/officeDocument/2006/relationships/hyperlink" Target="https://prabhupadavani.org/transcriptions/760814edbom/" TargetMode="External"/><Relationship Id="rId3139" Type="http://schemas.openxmlformats.org/officeDocument/2006/relationships/hyperlink" Target="https://prabhupadavani.org/transcriptions/760831r1del/" TargetMode="External"/><Relationship Id="rId3138" Type="http://schemas.openxmlformats.org/officeDocument/2006/relationships/hyperlink" Target="https://prabhupadavani.org/transcriptions/760830mwdel/" TargetMode="External"/><Relationship Id="rId3131" Type="http://schemas.openxmlformats.org/officeDocument/2006/relationships/hyperlink" Target="https://prabhupadavani.org/transcriptions/760824r3hyd/" TargetMode="External"/><Relationship Id="rId3130" Type="http://schemas.openxmlformats.org/officeDocument/2006/relationships/hyperlink" Target="https://prabhupadavani.org/transcriptions/760824r2hyd/" TargetMode="External"/><Relationship Id="rId3133" Type="http://schemas.openxmlformats.org/officeDocument/2006/relationships/hyperlink" Target="https://prabhupadavani.org/transcriptions/760825r1hyd/" TargetMode="External"/><Relationship Id="rId3132" Type="http://schemas.openxmlformats.org/officeDocument/2006/relationships/hyperlink" Target="https://prabhupadavani.org/transcriptions/760824r1hyd/" TargetMode="External"/><Relationship Id="rId3135" Type="http://schemas.openxmlformats.org/officeDocument/2006/relationships/hyperlink" Target="https://prabhupadavani.org/transcriptions/760827mwdel/" TargetMode="External"/><Relationship Id="rId3134" Type="http://schemas.openxmlformats.org/officeDocument/2006/relationships/hyperlink" Target="https://prabhupadavani.org/transcriptions/760825bghyd/" TargetMode="External"/><Relationship Id="rId3137" Type="http://schemas.openxmlformats.org/officeDocument/2006/relationships/hyperlink" Target="https://prabhupadavani.org/transcriptions/760829sbdel/" TargetMode="External"/><Relationship Id="rId3136" Type="http://schemas.openxmlformats.org/officeDocument/2006/relationships/hyperlink" Target="https://prabhupadavani.org/transcriptions/760829mwdel/" TargetMode="External"/><Relationship Id="rId3128" Type="http://schemas.openxmlformats.org/officeDocument/2006/relationships/hyperlink" Target="https://prabhupadavani.org/transcriptions/760823mwhyd/" TargetMode="External"/><Relationship Id="rId3127" Type="http://schemas.openxmlformats.org/officeDocument/2006/relationships/hyperlink" Target="https://prabhupadavani.org/transcriptions/760822inhyd/" TargetMode="External"/><Relationship Id="rId3129" Type="http://schemas.openxmlformats.org/officeDocument/2006/relationships/hyperlink" Target="https://prabhupadavani.org/transcriptions/760824mwhyd/" TargetMode="External"/><Relationship Id="rId3120" Type="http://schemas.openxmlformats.org/officeDocument/2006/relationships/hyperlink" Target="https://prabhupadavani.org/transcriptions/760820r1hyd/" TargetMode="External"/><Relationship Id="rId3122" Type="http://schemas.openxmlformats.org/officeDocument/2006/relationships/hyperlink" Target="https://prabhupadavani.org/transcriptions/760821r1hyd/" TargetMode="External"/><Relationship Id="rId3121" Type="http://schemas.openxmlformats.org/officeDocument/2006/relationships/hyperlink" Target="https://prabhupadavani.org/transcriptions/760821r2hyd/" TargetMode="External"/><Relationship Id="rId3124" Type="http://schemas.openxmlformats.org/officeDocument/2006/relationships/hyperlink" Target="https://prabhupadavani.org/transcriptions/760822r3hyd/" TargetMode="External"/><Relationship Id="rId3123" Type="http://schemas.openxmlformats.org/officeDocument/2006/relationships/hyperlink" Target="https://prabhupadavani.org/transcriptions/760822r2hyd/" TargetMode="External"/><Relationship Id="rId3126" Type="http://schemas.openxmlformats.org/officeDocument/2006/relationships/hyperlink" Target="https://prabhupadavani.org/transcriptions/760822bghyd/" TargetMode="External"/><Relationship Id="rId3125" Type="http://schemas.openxmlformats.org/officeDocument/2006/relationships/hyperlink" Target="https://prabhupadavani.org/transcriptions/760822r1hyd/" TargetMode="External"/><Relationship Id="rId1378" Type="http://schemas.openxmlformats.org/officeDocument/2006/relationships/hyperlink" Target="https://prabhupadavani.org/transcriptions/730722bglon/" TargetMode="External"/><Relationship Id="rId1379" Type="http://schemas.openxmlformats.org/officeDocument/2006/relationships/hyperlink" Target="https://prabhupadavani.org/transcriptions/730722r2lon/" TargetMode="External"/><Relationship Id="rId789" Type="http://schemas.openxmlformats.org/officeDocument/2006/relationships/hyperlink" Target="https://prabhupadavani.org/transcriptions/720118injai/" TargetMode="External"/><Relationship Id="rId788" Type="http://schemas.openxmlformats.org/officeDocument/2006/relationships/hyperlink" Target="https://prabhupadavani.org/transcriptions/720118r2jai/" TargetMode="External"/><Relationship Id="rId787" Type="http://schemas.openxmlformats.org/officeDocument/2006/relationships/hyperlink" Target="https://prabhupadavani.org/transcriptions/720118r1jai/" TargetMode="External"/><Relationship Id="rId786" Type="http://schemas.openxmlformats.org/officeDocument/2006/relationships/hyperlink" Target="https://prabhupadavani.org/transcriptions/720117lejai/" TargetMode="External"/><Relationship Id="rId781" Type="http://schemas.openxmlformats.org/officeDocument/2006/relationships/hyperlink" Target="https://prabhupadavani.org/transcriptions/%C5%9Br%C4%ABmad-bh%C4%81gavatam-108413/" TargetMode="External"/><Relationship Id="rId1370" Type="http://schemas.openxmlformats.org/officeDocument/2006/relationships/hyperlink" Target="https://prabhupadavani.org/transcriptions/730718bglon/" TargetMode="External"/><Relationship Id="rId780" Type="http://schemas.openxmlformats.org/officeDocument/2006/relationships/hyperlink" Target="https://prabhupadavani.org/transcriptions/room-conversation-711206r1-delhi/" TargetMode="External"/><Relationship Id="rId1371" Type="http://schemas.openxmlformats.org/officeDocument/2006/relationships/hyperlink" Target="https://prabhupadavani.org/transcriptions/730718r1lon/" TargetMode="External"/><Relationship Id="rId1372" Type="http://schemas.openxmlformats.org/officeDocument/2006/relationships/hyperlink" Target="https://prabhupadavani.org/transcriptions/730719bglon/" TargetMode="External"/><Relationship Id="rId1373" Type="http://schemas.openxmlformats.org/officeDocument/2006/relationships/hyperlink" Target="https://prabhupadavani.org/transcriptions/730719r1lon/" TargetMode="External"/><Relationship Id="rId785" Type="http://schemas.openxmlformats.org/officeDocument/2006/relationships/hyperlink" Target="https://prabhupadavani.org/transcriptions/720114lejai/" TargetMode="External"/><Relationship Id="rId1374" Type="http://schemas.openxmlformats.org/officeDocument/2006/relationships/hyperlink" Target="https://prabhupadavani.org/transcriptions/730719r2lon/" TargetMode="External"/><Relationship Id="rId784" Type="http://schemas.openxmlformats.org/officeDocument/2006/relationships/hyperlink" Target="https://prabhupadavani.org/transcriptions/lecture-711213le-delhi/" TargetMode="External"/><Relationship Id="rId1375" Type="http://schemas.openxmlformats.org/officeDocument/2006/relationships/hyperlink" Target="https://prabhupadavani.org/transcriptions/730720bglon/" TargetMode="External"/><Relationship Id="rId783" Type="http://schemas.openxmlformats.org/officeDocument/2006/relationships/hyperlink" Target="https://prabhupadavani.org/transcriptions/room-conversation-711212r1-delhi/" TargetMode="External"/><Relationship Id="rId1376" Type="http://schemas.openxmlformats.org/officeDocument/2006/relationships/hyperlink" Target="https://prabhupadavani.org/transcriptions/730721bglon/" TargetMode="External"/><Relationship Id="rId782" Type="http://schemas.openxmlformats.org/officeDocument/2006/relationships/hyperlink" Target="https://prabhupadavani.org/transcriptions/%C5%9Br%C4%ABmad-bh%C4%81gavatam-174/" TargetMode="External"/><Relationship Id="rId1377" Type="http://schemas.openxmlformats.org/officeDocument/2006/relationships/hyperlink" Target="https://prabhupadavani.org/transcriptions/730721r1lon/" TargetMode="External"/><Relationship Id="rId1367" Type="http://schemas.openxmlformats.org/officeDocument/2006/relationships/hyperlink" Target="https://prabhupadavani.org/transcriptions/730716bglon/" TargetMode="External"/><Relationship Id="rId2698" Type="http://schemas.openxmlformats.org/officeDocument/2006/relationships/hyperlink" Target="https://prabhupadavani.org/transcriptions/760302mwmay/" TargetMode="External"/><Relationship Id="rId1368" Type="http://schemas.openxmlformats.org/officeDocument/2006/relationships/hyperlink" Target="https://prabhupadavani.org/transcriptions/730716r1lon/" TargetMode="External"/><Relationship Id="rId2699" Type="http://schemas.openxmlformats.org/officeDocument/2006/relationships/hyperlink" Target="https://prabhupadavani.org/transcriptions/760302sbmay/" TargetMode="External"/><Relationship Id="rId1369" Type="http://schemas.openxmlformats.org/officeDocument/2006/relationships/hyperlink" Target="https://prabhupadavani.org/transcriptions/730717bglon/" TargetMode="External"/><Relationship Id="rId778" Type="http://schemas.openxmlformats.org/officeDocument/2006/relationships/hyperlink" Target="https://prabhupadavani.org/transcriptions/visit-museum/" TargetMode="External"/><Relationship Id="rId777" Type="http://schemas.openxmlformats.org/officeDocument/2006/relationships/hyperlink" Target="https://prabhupadavani.org/transcriptions/room-conversation-711205r3-delhi/" TargetMode="External"/><Relationship Id="rId776" Type="http://schemas.openxmlformats.org/officeDocument/2006/relationships/hyperlink" Target="https://prabhupadavani.org/transcriptions/conversation-711204r2-delhi/" TargetMode="External"/><Relationship Id="rId775" Type="http://schemas.openxmlformats.org/officeDocument/2006/relationships/hyperlink" Target="https://prabhupadavani.org/transcriptions/conversation-711204r1-delhi/" TargetMode="External"/><Relationship Id="rId779" Type="http://schemas.openxmlformats.org/officeDocument/2006/relationships/hyperlink" Target="https://prabhupadavani.org/transcriptions/conversation-car-711205r2-delhi/" TargetMode="External"/><Relationship Id="rId770" Type="http://schemas.openxmlformats.org/officeDocument/2006/relationships/hyperlink" Target="https://prabhupadavani.org/transcriptions/room-conversation-dr-karan-singh-former-cabinet-minister-indian-government-and-member-royal-family-kashmir/" TargetMode="External"/><Relationship Id="rId2690" Type="http://schemas.openxmlformats.org/officeDocument/2006/relationships/hyperlink" Target="https://prabhupadavani.org/transcriptions/760227mwmay/" TargetMode="External"/><Relationship Id="rId1360" Type="http://schemas.openxmlformats.org/officeDocument/2006/relationships/hyperlink" Target="https://prabhupadavani.org/transcriptions/730712bglon/" TargetMode="External"/><Relationship Id="rId2691" Type="http://schemas.openxmlformats.org/officeDocument/2006/relationships/hyperlink" Target="https://prabhupadavani.org/transcriptions/760227sbmay/" TargetMode="External"/><Relationship Id="rId1361" Type="http://schemas.openxmlformats.org/officeDocument/2006/relationships/hyperlink" Target="https://prabhupadavani.org/transcriptions/730713bglon/" TargetMode="External"/><Relationship Id="rId2692" Type="http://schemas.openxmlformats.org/officeDocument/2006/relationships/hyperlink" Target="https://prabhupadavani.org/transcriptions/760228mwmay/" TargetMode="External"/><Relationship Id="rId1362" Type="http://schemas.openxmlformats.org/officeDocument/2006/relationships/hyperlink" Target="https://prabhupadavani.org/transcriptions/730713r1lon/" TargetMode="External"/><Relationship Id="rId2693" Type="http://schemas.openxmlformats.org/officeDocument/2006/relationships/hyperlink" Target="https://prabhupadavani.org/transcriptions/760228sbmay/" TargetMode="External"/><Relationship Id="rId774" Type="http://schemas.openxmlformats.org/officeDocument/2006/relationships/hyperlink" Target="https://prabhupadavani.org/transcriptions/room-conversation-711203r1-delhi/" TargetMode="External"/><Relationship Id="rId1363" Type="http://schemas.openxmlformats.org/officeDocument/2006/relationships/hyperlink" Target="https://prabhupadavani.org/transcriptions/730714bglon/" TargetMode="External"/><Relationship Id="rId2694" Type="http://schemas.openxmlformats.org/officeDocument/2006/relationships/hyperlink" Target="https://prabhupadavani.org/transcriptions/760229mwmay/" TargetMode="External"/><Relationship Id="rId773" Type="http://schemas.openxmlformats.org/officeDocument/2006/relationships/hyperlink" Target="https://prabhupadavani.org/transcriptions/lecture-engagement-intro-governor-and-mayor-711129le-vrindavan/" TargetMode="External"/><Relationship Id="rId1364" Type="http://schemas.openxmlformats.org/officeDocument/2006/relationships/hyperlink" Target="https://prabhupadavani.org/transcriptions/730714r1lon/" TargetMode="External"/><Relationship Id="rId2695" Type="http://schemas.openxmlformats.org/officeDocument/2006/relationships/hyperlink" Target="https://prabhupadavani.org/transcriptions/760229sbmay/" TargetMode="External"/><Relationship Id="rId772" Type="http://schemas.openxmlformats.org/officeDocument/2006/relationships/hyperlink" Target="https://prabhupadavani.org/transcriptions/parikram%C4%81-way-gokula-711129pk-vrindavan/" TargetMode="External"/><Relationship Id="rId1365" Type="http://schemas.openxmlformats.org/officeDocument/2006/relationships/hyperlink" Target="https://prabhupadavani.org/transcriptions/730715bglon/" TargetMode="External"/><Relationship Id="rId2696" Type="http://schemas.openxmlformats.org/officeDocument/2006/relationships/hyperlink" Target="https://prabhupadavani.org/transcriptions/760301mwmay/" TargetMode="External"/><Relationship Id="rId771" Type="http://schemas.openxmlformats.org/officeDocument/2006/relationships/hyperlink" Target="https://prabhupadavani.org/transcriptions/parikram%C4%81-way-gokula-711128pk-vrindavan/" TargetMode="External"/><Relationship Id="rId1366" Type="http://schemas.openxmlformats.org/officeDocument/2006/relationships/hyperlink" Target="https://prabhupadavani.org/transcriptions/730715r1lon/" TargetMode="External"/><Relationship Id="rId2697" Type="http://schemas.openxmlformats.org/officeDocument/2006/relationships/hyperlink" Target="https://prabhupadavani.org/transcriptions/760301sbmay/" TargetMode="External"/><Relationship Id="rId1390" Type="http://schemas.openxmlformats.org/officeDocument/2006/relationships/hyperlink" Target="https://prabhupadavani.org/transcriptions/730727bglon/" TargetMode="External"/><Relationship Id="rId1391" Type="http://schemas.openxmlformats.org/officeDocument/2006/relationships/hyperlink" Target="https://prabhupadavani.org/transcriptions/730727r1lon/" TargetMode="External"/><Relationship Id="rId1392" Type="http://schemas.openxmlformats.org/officeDocument/2006/relationships/hyperlink" Target="https://prabhupadavani.org/transcriptions/730728bglon/" TargetMode="External"/><Relationship Id="rId1393" Type="http://schemas.openxmlformats.org/officeDocument/2006/relationships/hyperlink" Target="https://prabhupadavani.org/transcriptions/730729bglon/" TargetMode="External"/><Relationship Id="rId1394" Type="http://schemas.openxmlformats.org/officeDocument/2006/relationships/hyperlink" Target="https://prabhupadavani.org/transcriptions/730730bglon/" TargetMode="External"/><Relationship Id="rId1395" Type="http://schemas.openxmlformats.org/officeDocument/2006/relationships/hyperlink" Target="https://prabhupadavani.org/transcriptions/730730r1lon/" TargetMode="External"/><Relationship Id="rId1396" Type="http://schemas.openxmlformats.org/officeDocument/2006/relationships/hyperlink" Target="https://prabhupadavani.org/transcriptions/730731bglon/" TargetMode="External"/><Relationship Id="rId1397" Type="http://schemas.openxmlformats.org/officeDocument/2006/relationships/hyperlink" Target="https://prabhupadavani.org/transcriptions/730801bglon/" TargetMode="External"/><Relationship Id="rId1398" Type="http://schemas.openxmlformats.org/officeDocument/2006/relationships/hyperlink" Target="https://prabhupadavani.org/transcriptions/730803bglon/" TargetMode="External"/><Relationship Id="rId1399" Type="http://schemas.openxmlformats.org/officeDocument/2006/relationships/hyperlink" Target="https://prabhupadavani.org/transcriptions/730803gclon/" TargetMode="External"/><Relationship Id="rId1389" Type="http://schemas.openxmlformats.org/officeDocument/2006/relationships/hyperlink" Target="https://prabhupadavani.org/transcriptions/730726r1lon/" TargetMode="External"/><Relationship Id="rId799" Type="http://schemas.openxmlformats.org/officeDocument/2006/relationships/hyperlink" Target="https://prabhupadavani.org/transcriptions/720215r1mad/" TargetMode="External"/><Relationship Id="rId798" Type="http://schemas.openxmlformats.org/officeDocument/2006/relationships/hyperlink" Target="https://prabhupadavani.org/transcriptions/720214bgmad/" TargetMode="External"/><Relationship Id="rId797" Type="http://schemas.openxmlformats.org/officeDocument/2006/relationships/hyperlink" Target="https://prabhupadavani.org/transcriptions/720212r1mad/" TargetMode="External"/><Relationship Id="rId1380" Type="http://schemas.openxmlformats.org/officeDocument/2006/relationships/hyperlink" Target="https://prabhupadavani.org/transcriptions/730722r1lon/" TargetMode="External"/><Relationship Id="rId792" Type="http://schemas.openxmlformats.org/officeDocument/2006/relationships/hyperlink" Target="https://prabhupadavani.org/transcriptions/720119lejai/" TargetMode="External"/><Relationship Id="rId1381" Type="http://schemas.openxmlformats.org/officeDocument/2006/relationships/hyperlink" Target="https://prabhupadavani.org/transcriptions/730723sblon/" TargetMode="External"/><Relationship Id="rId791" Type="http://schemas.openxmlformats.org/officeDocument/2006/relationships/hyperlink" Target="https://prabhupadavani.org/transcriptions/720119r1jai/" TargetMode="External"/><Relationship Id="rId1382" Type="http://schemas.openxmlformats.org/officeDocument/2006/relationships/hyperlink" Target="https://prabhupadavani.org/transcriptions/730723aplon/" TargetMode="External"/><Relationship Id="rId790" Type="http://schemas.openxmlformats.org/officeDocument/2006/relationships/hyperlink" Target="https://prabhupadavani.org/transcriptions/720118lejai/" TargetMode="External"/><Relationship Id="rId1383" Type="http://schemas.openxmlformats.org/officeDocument/2006/relationships/hyperlink" Target="https://prabhupadavani.org/transcriptions/730723r1lon/" TargetMode="External"/><Relationship Id="rId1384" Type="http://schemas.openxmlformats.org/officeDocument/2006/relationships/hyperlink" Target="https://prabhupadavani.org/transcriptions/730723bglon/" TargetMode="External"/><Relationship Id="rId796" Type="http://schemas.openxmlformats.org/officeDocument/2006/relationships/hyperlink" Target="https://prabhupadavani.org/transcriptions/720206r1bom/" TargetMode="External"/><Relationship Id="rId1385" Type="http://schemas.openxmlformats.org/officeDocument/2006/relationships/hyperlink" Target="https://prabhupadavani.org/transcriptions/730723r2lon/" TargetMode="External"/><Relationship Id="rId795" Type="http://schemas.openxmlformats.org/officeDocument/2006/relationships/hyperlink" Target="https://prabhupadavani.org/transcriptions/720122lejai/" TargetMode="External"/><Relationship Id="rId1386" Type="http://schemas.openxmlformats.org/officeDocument/2006/relationships/hyperlink" Target="https://prabhupadavani.org/transcriptions/730724bglon/" TargetMode="External"/><Relationship Id="rId794" Type="http://schemas.openxmlformats.org/officeDocument/2006/relationships/hyperlink" Target="https://prabhupadavani.org/transcriptions/720121lejai/" TargetMode="External"/><Relationship Id="rId1387" Type="http://schemas.openxmlformats.org/officeDocument/2006/relationships/hyperlink" Target="https://prabhupadavani.org/transcriptions/730725bglon/" TargetMode="External"/><Relationship Id="rId793" Type="http://schemas.openxmlformats.org/officeDocument/2006/relationships/hyperlink" Target="https://prabhupadavani.org/transcriptions/720120lejai/" TargetMode="External"/><Relationship Id="rId1388" Type="http://schemas.openxmlformats.org/officeDocument/2006/relationships/hyperlink" Target="https://prabhupadavani.org/transcriptions/730726bglon/" TargetMode="External"/><Relationship Id="rId3191" Type="http://schemas.openxmlformats.org/officeDocument/2006/relationships/hyperlink" Target="https://prabhupadavani.org/transcriptions/760930r1vrn/" TargetMode="External"/><Relationship Id="rId3190" Type="http://schemas.openxmlformats.org/officeDocument/2006/relationships/hyperlink" Target="https://prabhupadavani.org/transcriptions/760930sbvrn/" TargetMode="External"/><Relationship Id="rId3193" Type="http://schemas.openxmlformats.org/officeDocument/2006/relationships/hyperlink" Target="https://prabhupadavani.org/transcriptions/761002mwvrn/" TargetMode="External"/><Relationship Id="rId3192" Type="http://schemas.openxmlformats.org/officeDocument/2006/relationships/hyperlink" Target="https://prabhupadavani.org/transcriptions/761001sbvrn/" TargetMode="External"/><Relationship Id="rId3195" Type="http://schemas.openxmlformats.org/officeDocument/2006/relationships/hyperlink" Target="https://prabhupadavani.org/transcriptions/761003sbvrn/" TargetMode="External"/><Relationship Id="rId3194" Type="http://schemas.openxmlformats.org/officeDocument/2006/relationships/hyperlink" Target="https://prabhupadavani.org/transcriptions/761002sbvrn/" TargetMode="External"/><Relationship Id="rId3197" Type="http://schemas.openxmlformats.org/officeDocument/2006/relationships/hyperlink" Target="https://prabhupadavani.org/transcriptions/761004sbvrn/" TargetMode="External"/><Relationship Id="rId3196" Type="http://schemas.openxmlformats.org/officeDocument/2006/relationships/hyperlink" Target="https://prabhupadavani.org/transcriptions/761003r1vrn/" TargetMode="External"/><Relationship Id="rId3199" Type="http://schemas.openxmlformats.org/officeDocument/2006/relationships/hyperlink" Target="https://prabhupadavani.org/transcriptions/761005sbvrn/" TargetMode="External"/><Relationship Id="rId3198" Type="http://schemas.openxmlformats.org/officeDocument/2006/relationships/hyperlink" Target="https://prabhupadavani.org/transcriptions/761004r1vrn/" TargetMode="External"/><Relationship Id="rId3180" Type="http://schemas.openxmlformats.org/officeDocument/2006/relationships/hyperlink" Target="https://prabhupadavani.org/transcriptions/760922sbvrn/" TargetMode="External"/><Relationship Id="rId3182" Type="http://schemas.openxmlformats.org/officeDocument/2006/relationships/hyperlink" Target="https://prabhupadavani.org/transcriptions/760924sbvrn/" TargetMode="External"/><Relationship Id="rId3181" Type="http://schemas.openxmlformats.org/officeDocument/2006/relationships/hyperlink" Target="https://prabhupadavani.org/transcriptions/760923sbvrn/" TargetMode="External"/><Relationship Id="rId3184" Type="http://schemas.openxmlformats.org/officeDocument/2006/relationships/hyperlink" Target="https://prabhupadavani.org/transcriptions/760926sbvrn/" TargetMode="External"/><Relationship Id="rId3183" Type="http://schemas.openxmlformats.org/officeDocument/2006/relationships/hyperlink" Target="https://prabhupadavani.org/transcriptions/760925sbvrn/" TargetMode="External"/><Relationship Id="rId3186" Type="http://schemas.openxmlformats.org/officeDocument/2006/relationships/hyperlink" Target="https://prabhupadavani.org/transcriptions/760927sbvrn/" TargetMode="External"/><Relationship Id="rId3185" Type="http://schemas.openxmlformats.org/officeDocument/2006/relationships/hyperlink" Target="https://prabhupadavani.org/transcriptions/760926r1vrn/" TargetMode="External"/><Relationship Id="rId3188" Type="http://schemas.openxmlformats.org/officeDocument/2006/relationships/hyperlink" Target="https://prabhupadavani.org/transcriptions/760929sbvrn/" TargetMode="External"/><Relationship Id="rId3187" Type="http://schemas.openxmlformats.org/officeDocument/2006/relationships/hyperlink" Target="https://prabhupadavani.org/transcriptions/760928sbvrn/" TargetMode="External"/><Relationship Id="rId3189" Type="http://schemas.openxmlformats.org/officeDocument/2006/relationships/hyperlink" Target="https://prabhupadavani.org/transcriptions/760929r1vrn/" TargetMode="External"/><Relationship Id="rId3151" Type="http://schemas.openxmlformats.org/officeDocument/2006/relationships/hyperlink" Target="https://prabhupadavani.org/transcriptions/760905r1vrn/" TargetMode="External"/><Relationship Id="rId3150" Type="http://schemas.openxmlformats.org/officeDocument/2006/relationships/hyperlink" Target="https://prabhupadavani.org/transcriptions/760905r2vrn/" TargetMode="External"/><Relationship Id="rId3153" Type="http://schemas.openxmlformats.org/officeDocument/2006/relationships/hyperlink" Target="https://prabhupadavani.org/transcriptions/760906g1vrn/" TargetMode="External"/><Relationship Id="rId3152" Type="http://schemas.openxmlformats.org/officeDocument/2006/relationships/hyperlink" Target="https://prabhupadavani.org/transcriptions/760906sbvrn/" TargetMode="External"/><Relationship Id="rId3155" Type="http://schemas.openxmlformats.org/officeDocument/2006/relationships/hyperlink" Target="https://prabhupadavani.org/transcriptions/760907sbvrn/" TargetMode="External"/><Relationship Id="rId3154" Type="http://schemas.openxmlformats.org/officeDocument/2006/relationships/hyperlink" Target="https://prabhupadavani.org/transcriptions/760906r1vrn/" TargetMode="External"/><Relationship Id="rId3157" Type="http://schemas.openxmlformats.org/officeDocument/2006/relationships/hyperlink" Target="https://prabhupadavani.org/transcriptions/760907g1vrn/" TargetMode="External"/><Relationship Id="rId3156" Type="http://schemas.openxmlformats.org/officeDocument/2006/relationships/hyperlink" Target="https://prabhupadavani.org/transcriptions/760907g2vrn/" TargetMode="External"/><Relationship Id="rId3159" Type="http://schemas.openxmlformats.org/officeDocument/2006/relationships/hyperlink" Target="https://prabhupadavani.org/transcriptions/760908sbvrn/" TargetMode="External"/><Relationship Id="rId3158" Type="http://schemas.openxmlformats.org/officeDocument/2006/relationships/hyperlink" Target="https://prabhupadavani.org/transcriptions/760907r1vrn/" TargetMode="External"/><Relationship Id="rId3149" Type="http://schemas.openxmlformats.org/officeDocument/2006/relationships/hyperlink" Target="https://prabhupadavani.org/transcriptions/760905sbvrn/" TargetMode="External"/><Relationship Id="rId3140" Type="http://schemas.openxmlformats.org/officeDocument/2006/relationships/hyperlink" Target="https://prabhupadavani.org/transcriptions/760831mwdel/" TargetMode="External"/><Relationship Id="rId3142" Type="http://schemas.openxmlformats.org/officeDocument/2006/relationships/hyperlink" Target="https://prabhupadavani.org/transcriptions/760901eddel/" TargetMode="External"/><Relationship Id="rId3141" Type="http://schemas.openxmlformats.org/officeDocument/2006/relationships/hyperlink" Target="https://prabhupadavani.org/transcriptions/760831indel/" TargetMode="External"/><Relationship Id="rId3144" Type="http://schemas.openxmlformats.org/officeDocument/2006/relationships/hyperlink" Target="https://prabhupadavani.org/transcriptions/760903bgvrn/" TargetMode="External"/><Relationship Id="rId3143" Type="http://schemas.openxmlformats.org/officeDocument/2006/relationships/hyperlink" Target="https://prabhupadavani.org/transcriptions/760902mwdel/" TargetMode="External"/><Relationship Id="rId3146" Type="http://schemas.openxmlformats.org/officeDocument/2006/relationships/hyperlink" Target="https://prabhupadavani.org/transcriptions/760903r1vrn/" TargetMode="External"/><Relationship Id="rId3145" Type="http://schemas.openxmlformats.org/officeDocument/2006/relationships/hyperlink" Target="https://prabhupadavani.org/transcriptions/760903g1vrn/" TargetMode="External"/><Relationship Id="rId3148" Type="http://schemas.openxmlformats.org/officeDocument/2006/relationships/hyperlink" Target="https://prabhupadavani.org/transcriptions/760904sbvrn/" TargetMode="External"/><Relationship Id="rId3147" Type="http://schemas.openxmlformats.org/officeDocument/2006/relationships/hyperlink" Target="https://prabhupadavani.org/transcriptions/760904r1vrn/" TargetMode="External"/><Relationship Id="rId3171" Type="http://schemas.openxmlformats.org/officeDocument/2006/relationships/hyperlink" Target="https://prabhupadavani.org/transcriptions/760914sbvrn/" TargetMode="External"/><Relationship Id="rId3170" Type="http://schemas.openxmlformats.org/officeDocument/2006/relationships/hyperlink" Target="https://prabhupadavani.org/transcriptions/760913lrvrn/" TargetMode="External"/><Relationship Id="rId3173" Type="http://schemas.openxmlformats.org/officeDocument/2006/relationships/hyperlink" Target="https://prabhupadavani.org/transcriptions/760916sbvrn/" TargetMode="External"/><Relationship Id="rId3172" Type="http://schemas.openxmlformats.org/officeDocument/2006/relationships/hyperlink" Target="https://prabhupadavani.org/transcriptions/760915sbvrn/" TargetMode="External"/><Relationship Id="rId3175" Type="http://schemas.openxmlformats.org/officeDocument/2006/relationships/hyperlink" Target="https://prabhupadavani.org/transcriptions/760917r1vrn/" TargetMode="External"/><Relationship Id="rId3174" Type="http://schemas.openxmlformats.org/officeDocument/2006/relationships/hyperlink" Target="https://prabhupadavani.org/transcriptions/760916r1vrn/" TargetMode="External"/><Relationship Id="rId3177" Type="http://schemas.openxmlformats.org/officeDocument/2006/relationships/hyperlink" Target="https://prabhupadavani.org/transcriptions/760918sbvrn/" TargetMode="External"/><Relationship Id="rId3176" Type="http://schemas.openxmlformats.org/officeDocument/2006/relationships/hyperlink" Target="https://prabhupadavani.org/transcriptions/760917sbvrn/" TargetMode="External"/><Relationship Id="rId3179" Type="http://schemas.openxmlformats.org/officeDocument/2006/relationships/hyperlink" Target="https://prabhupadavani.org/transcriptions/760921sbvrn/" TargetMode="External"/><Relationship Id="rId3178" Type="http://schemas.openxmlformats.org/officeDocument/2006/relationships/hyperlink" Target="https://prabhupadavani.org/transcriptions/760920sbvrn/" TargetMode="External"/><Relationship Id="rId3160" Type="http://schemas.openxmlformats.org/officeDocument/2006/relationships/hyperlink" Target="https://prabhupadavani.org/transcriptions/760909r2vrn/" TargetMode="External"/><Relationship Id="rId3162" Type="http://schemas.openxmlformats.org/officeDocument/2006/relationships/hyperlink" Target="https://prabhupadavani.org/transcriptions/760909sbvrn/" TargetMode="External"/><Relationship Id="rId3161" Type="http://schemas.openxmlformats.org/officeDocument/2006/relationships/hyperlink" Target="https://prabhupadavani.org/transcriptions/760909r1vrn/" TargetMode="External"/><Relationship Id="rId3164" Type="http://schemas.openxmlformats.org/officeDocument/2006/relationships/hyperlink" Target="https://prabhupadavani.org/transcriptions/760911sbvrn/" TargetMode="External"/><Relationship Id="rId3163" Type="http://schemas.openxmlformats.org/officeDocument/2006/relationships/hyperlink" Target="https://prabhupadavani.org/transcriptions/760910sbvrn/" TargetMode="External"/><Relationship Id="rId3166" Type="http://schemas.openxmlformats.org/officeDocument/2006/relationships/hyperlink" Target="https://prabhupadavani.org/transcriptions/760911r1vrn/" TargetMode="External"/><Relationship Id="rId3165" Type="http://schemas.openxmlformats.org/officeDocument/2006/relationships/hyperlink" Target="https://prabhupadavani.org/transcriptions/760911r2vrn/" TargetMode="External"/><Relationship Id="rId3168" Type="http://schemas.openxmlformats.org/officeDocument/2006/relationships/hyperlink" Target="https://prabhupadavani.org/transcriptions/760912r1vrn/" TargetMode="External"/><Relationship Id="rId3167" Type="http://schemas.openxmlformats.org/officeDocument/2006/relationships/hyperlink" Target="https://prabhupadavani.org/transcriptions/760912sbvrn/" TargetMode="External"/><Relationship Id="rId3169" Type="http://schemas.openxmlformats.org/officeDocument/2006/relationships/hyperlink" Target="https://prabhupadavani.org/transcriptions/760913sbvrn/" TargetMode="External"/><Relationship Id="rId2700" Type="http://schemas.openxmlformats.org/officeDocument/2006/relationships/hyperlink" Target="https://prabhupadavani.org/transcriptions/760303mwmay/" TargetMode="External"/><Relationship Id="rId2701" Type="http://schemas.openxmlformats.org/officeDocument/2006/relationships/hyperlink" Target="https://prabhupadavani.org/transcriptions/760304sbmay/" TargetMode="External"/><Relationship Id="rId2702" Type="http://schemas.openxmlformats.org/officeDocument/2006/relationships/hyperlink" Target="https://prabhupadavani.org/transcriptions/760305mwmay/" TargetMode="External"/><Relationship Id="rId2703" Type="http://schemas.openxmlformats.org/officeDocument/2006/relationships/hyperlink" Target="https://prabhupadavani.org/transcriptions/760305sbmay/" TargetMode="External"/><Relationship Id="rId2704" Type="http://schemas.openxmlformats.org/officeDocument/2006/relationships/hyperlink" Target="https://prabhupadavani.org/transcriptions/760306sbmay/" TargetMode="External"/><Relationship Id="rId2705" Type="http://schemas.openxmlformats.org/officeDocument/2006/relationships/hyperlink" Target="https://prabhupadavani.org/transcriptions/760306memay/" TargetMode="External"/><Relationship Id="rId2706" Type="http://schemas.openxmlformats.org/officeDocument/2006/relationships/hyperlink" Target="https://prabhupadavani.org/transcriptions/760307mwmay/" TargetMode="External"/><Relationship Id="rId2707" Type="http://schemas.openxmlformats.org/officeDocument/2006/relationships/hyperlink" Target="https://prabhupadavani.org/transcriptions/760307sbmay/" TargetMode="External"/><Relationship Id="rId2708" Type="http://schemas.openxmlformats.org/officeDocument/2006/relationships/hyperlink" Target="https://prabhupadavani.org/transcriptions/760308mwmay/" TargetMode="External"/><Relationship Id="rId2709" Type="http://schemas.openxmlformats.org/officeDocument/2006/relationships/hyperlink" Target="https://prabhupadavani.org/transcriptions/760308sbmay/" TargetMode="External"/><Relationship Id="rId2720" Type="http://schemas.openxmlformats.org/officeDocument/2006/relationships/hyperlink" Target="https://prabhupadavani.org/transcriptions/760314mwmay/" TargetMode="External"/><Relationship Id="rId2721" Type="http://schemas.openxmlformats.org/officeDocument/2006/relationships/hyperlink" Target="https://prabhupadavani.org/transcriptions/760314sbmay/" TargetMode="External"/><Relationship Id="rId2722" Type="http://schemas.openxmlformats.org/officeDocument/2006/relationships/hyperlink" Target="https://prabhupadavani.org/transcriptions/760315mwmay/" TargetMode="External"/><Relationship Id="rId2723" Type="http://schemas.openxmlformats.org/officeDocument/2006/relationships/hyperlink" Target="https://prabhupadavani.org/transcriptions/760315sbmay/" TargetMode="External"/><Relationship Id="rId2724" Type="http://schemas.openxmlformats.org/officeDocument/2006/relationships/hyperlink" Target="https://prabhupadavani.org/transcriptions/760316mwmay/" TargetMode="External"/><Relationship Id="rId2725" Type="http://schemas.openxmlformats.org/officeDocument/2006/relationships/hyperlink" Target="https://prabhupadavani.org/transcriptions/760316sbmay/" TargetMode="External"/><Relationship Id="rId2726" Type="http://schemas.openxmlformats.org/officeDocument/2006/relationships/hyperlink" Target="https://prabhupadavani.org/transcriptions/760316inmay/" TargetMode="External"/><Relationship Id="rId2727" Type="http://schemas.openxmlformats.org/officeDocument/2006/relationships/hyperlink" Target="https://prabhupadavani.org/transcriptions/760316r1may/" TargetMode="External"/><Relationship Id="rId2728" Type="http://schemas.openxmlformats.org/officeDocument/2006/relationships/hyperlink" Target="https://prabhupadavani.org/transcriptions/760317mwmay/" TargetMode="External"/><Relationship Id="rId2729" Type="http://schemas.openxmlformats.org/officeDocument/2006/relationships/hyperlink" Target="https://prabhupadavani.org/transcriptions/760317sbmay/" TargetMode="External"/><Relationship Id="rId2710" Type="http://schemas.openxmlformats.org/officeDocument/2006/relationships/hyperlink" Target="https://prabhupadavani.org/transcriptions/760309mwmay/" TargetMode="External"/><Relationship Id="rId2711" Type="http://schemas.openxmlformats.org/officeDocument/2006/relationships/hyperlink" Target="https://prabhupadavani.org/transcriptions/760309sbmay/" TargetMode="External"/><Relationship Id="rId2712" Type="http://schemas.openxmlformats.org/officeDocument/2006/relationships/hyperlink" Target="https://prabhupadavani.org/transcriptions/760310mwmay/" TargetMode="External"/><Relationship Id="rId2713" Type="http://schemas.openxmlformats.org/officeDocument/2006/relationships/hyperlink" Target="https://prabhupadavani.org/transcriptions/760310sbmay/" TargetMode="External"/><Relationship Id="rId2714" Type="http://schemas.openxmlformats.org/officeDocument/2006/relationships/hyperlink" Target="https://prabhupadavani.org/transcriptions/760311mwmay/" TargetMode="External"/><Relationship Id="rId2715" Type="http://schemas.openxmlformats.org/officeDocument/2006/relationships/hyperlink" Target="https://prabhupadavani.org/transcriptions/760311sbmay/" TargetMode="External"/><Relationship Id="rId2716" Type="http://schemas.openxmlformats.org/officeDocument/2006/relationships/hyperlink" Target="https://prabhupadavani.org/transcriptions/760312mwmay/" TargetMode="External"/><Relationship Id="rId2717" Type="http://schemas.openxmlformats.org/officeDocument/2006/relationships/hyperlink" Target="https://prabhupadavani.org/transcriptions/760312sbmay/" TargetMode="External"/><Relationship Id="rId2718" Type="http://schemas.openxmlformats.org/officeDocument/2006/relationships/hyperlink" Target="https://prabhupadavani.org/transcriptions/760313mwmay/" TargetMode="External"/><Relationship Id="rId2719" Type="http://schemas.openxmlformats.org/officeDocument/2006/relationships/hyperlink" Target="https://prabhupadavani.org/transcriptions/760313sbmay/" TargetMode="External"/><Relationship Id="rId1455" Type="http://schemas.openxmlformats.org/officeDocument/2006/relationships/hyperlink" Target="https://prabhupadavani.org/transcriptions/730830bglon/" TargetMode="External"/><Relationship Id="rId2786" Type="http://schemas.openxmlformats.org/officeDocument/2006/relationships/hyperlink" Target="https://prabhupadavani.org/transcriptions/760417mwbom/" TargetMode="External"/><Relationship Id="rId1456" Type="http://schemas.openxmlformats.org/officeDocument/2006/relationships/hyperlink" Target="https://prabhupadavani.org/transcriptions/730830r1lon/" TargetMode="External"/><Relationship Id="rId2787" Type="http://schemas.openxmlformats.org/officeDocument/2006/relationships/hyperlink" Target="https://prabhupadavani.org/transcriptions/760417sbbom/" TargetMode="External"/><Relationship Id="rId1457" Type="http://schemas.openxmlformats.org/officeDocument/2006/relationships/hyperlink" Target="https://prabhupadavani.org/transcriptions/730831bglon/" TargetMode="External"/><Relationship Id="rId2788" Type="http://schemas.openxmlformats.org/officeDocument/2006/relationships/hyperlink" Target="https://prabhupadavani.org/transcriptions/760417r1bom/" TargetMode="External"/><Relationship Id="rId1458" Type="http://schemas.openxmlformats.org/officeDocument/2006/relationships/hyperlink" Target="https://prabhupadavani.org/transcriptions/730831r1lon/" TargetMode="External"/><Relationship Id="rId2789" Type="http://schemas.openxmlformats.org/officeDocument/2006/relationships/hyperlink" Target="https://prabhupadavani.org/transcriptions/760419bgmel/" TargetMode="External"/><Relationship Id="rId1459" Type="http://schemas.openxmlformats.org/officeDocument/2006/relationships/hyperlink" Target="https://prabhupadavani.org/transcriptions/730901bglon/" TargetMode="External"/><Relationship Id="rId629" Type="http://schemas.openxmlformats.org/officeDocument/2006/relationships/hyperlink" Target="https://prabhupadavani.org/transcriptions/bhagavad-g%C4%ABt%C4%81-77/" TargetMode="External"/><Relationship Id="rId624" Type="http://schemas.openxmlformats.org/officeDocument/2006/relationships/hyperlink" Target="https://prabhupadavani.org/transcriptions/pa%E1%B9%87%E1%B8%8D%C4%81l-lecture-cross-maidan/" TargetMode="External"/><Relationship Id="rId623" Type="http://schemas.openxmlformats.org/officeDocument/2006/relationships/hyperlink" Target="https://prabhupadavani.org/transcriptions/%C5%9Br%C4%AB-caitanya-carit%C4%81m%E1%B9%9Bta-madhya-l%C4%ABl%C4%81-20137146/" TargetMode="External"/><Relationship Id="rId622" Type="http://schemas.openxmlformats.org/officeDocument/2006/relationships/hyperlink" Target="https://prabhupadavani.org/transcriptions/room-conversation-about-siddhasvar%C5%ABpa/" TargetMode="External"/><Relationship Id="rId621" Type="http://schemas.openxmlformats.org/officeDocument/2006/relationships/hyperlink" Target="https://prabhupadavani.org/transcriptions/lecture-710320le/" TargetMode="External"/><Relationship Id="rId628" Type="http://schemas.openxmlformats.org/officeDocument/2006/relationships/hyperlink" Target="https://prabhupadavani.org/transcriptions/pa%E1%B9%87%E1%B8%8D%C4%81l-lecture-710331le/" TargetMode="External"/><Relationship Id="rId627" Type="http://schemas.openxmlformats.org/officeDocument/2006/relationships/hyperlink" Target="https://prabhupadavani.org/transcriptions/bhagavad-g%C4%ABt%C4%81-745/" TargetMode="External"/><Relationship Id="rId626" Type="http://schemas.openxmlformats.org/officeDocument/2006/relationships/hyperlink" Target="https://prabhupadavani.org/transcriptions/bhagavad-g%C4%ABt%C4%81-73-pa%E1%B9%87%E1%B8%8D%C4%81l-wedding-and-initiations-cross-maidan/" TargetMode="External"/><Relationship Id="rId625" Type="http://schemas.openxmlformats.org/officeDocument/2006/relationships/hyperlink" Target="https://prabhupadavani.org/transcriptions/bhagavad-g%C4%ABt%C4%81-712/" TargetMode="External"/><Relationship Id="rId2780" Type="http://schemas.openxmlformats.org/officeDocument/2006/relationships/hyperlink" Target="https://prabhupadavani.org/transcriptions/760414sbbom/" TargetMode="External"/><Relationship Id="rId1450" Type="http://schemas.openxmlformats.org/officeDocument/2006/relationships/hyperlink" Target="https://prabhupadavani.org/transcriptions/730827bglon/" TargetMode="External"/><Relationship Id="rId2781" Type="http://schemas.openxmlformats.org/officeDocument/2006/relationships/hyperlink" Target="https://prabhupadavani.org/transcriptions/760414r1bom/" TargetMode="External"/><Relationship Id="rId620" Type="http://schemas.openxmlformats.org/officeDocument/2006/relationships/hyperlink" Target="https://prabhupadavani.org/transcriptions/%C5%9Br%C4%ABmad-bh%C4%81gavatam-102235/" TargetMode="External"/><Relationship Id="rId1451" Type="http://schemas.openxmlformats.org/officeDocument/2006/relationships/hyperlink" Target="https://prabhupadavani.org/transcriptions/730828sblon/" TargetMode="External"/><Relationship Id="rId2782" Type="http://schemas.openxmlformats.org/officeDocument/2006/relationships/hyperlink" Target="https://prabhupadavani.org/transcriptions/760415mwbom/" TargetMode="External"/><Relationship Id="rId1452" Type="http://schemas.openxmlformats.org/officeDocument/2006/relationships/hyperlink" Target="https://prabhupadavani.org/transcriptions/730828bglon/" TargetMode="External"/><Relationship Id="rId2783" Type="http://schemas.openxmlformats.org/officeDocument/2006/relationships/hyperlink" Target="https://prabhupadavani.org/transcriptions/760415sbbom/" TargetMode="External"/><Relationship Id="rId1453" Type="http://schemas.openxmlformats.org/officeDocument/2006/relationships/hyperlink" Target="https://prabhupadavani.org/transcriptions/730829bglon/" TargetMode="External"/><Relationship Id="rId2784" Type="http://schemas.openxmlformats.org/officeDocument/2006/relationships/hyperlink" Target="https://prabhupadavani.org/transcriptions/760416mwbom/" TargetMode="External"/><Relationship Id="rId1454" Type="http://schemas.openxmlformats.org/officeDocument/2006/relationships/hyperlink" Target="https://prabhupadavani.org/transcriptions/730830mwlon/" TargetMode="External"/><Relationship Id="rId2785" Type="http://schemas.openxmlformats.org/officeDocument/2006/relationships/hyperlink" Target="https://prabhupadavani.org/transcriptions/760416sbbom/" TargetMode="External"/><Relationship Id="rId1444" Type="http://schemas.openxmlformats.org/officeDocument/2006/relationships/hyperlink" Target="https://prabhupadavani.org/transcriptions/730824bglon/" TargetMode="External"/><Relationship Id="rId2775" Type="http://schemas.openxmlformats.org/officeDocument/2006/relationships/hyperlink" Target="https://prabhupadavani.org/transcriptions/760412mwbom/" TargetMode="External"/><Relationship Id="rId1445" Type="http://schemas.openxmlformats.org/officeDocument/2006/relationships/hyperlink" Target="https://prabhupadavani.org/transcriptions/730825bglon/" TargetMode="External"/><Relationship Id="rId2776" Type="http://schemas.openxmlformats.org/officeDocument/2006/relationships/hyperlink" Target="https://prabhupadavani.org/transcriptions/760412sbbom/" TargetMode="External"/><Relationship Id="rId1446" Type="http://schemas.openxmlformats.org/officeDocument/2006/relationships/hyperlink" Target="https://prabhupadavani.org/transcriptions/730826bglon/" TargetMode="External"/><Relationship Id="rId2777" Type="http://schemas.openxmlformats.org/officeDocument/2006/relationships/hyperlink" Target="https://prabhupadavani.org/transcriptions/760413mwbom/" TargetMode="External"/><Relationship Id="rId1447" Type="http://schemas.openxmlformats.org/officeDocument/2006/relationships/hyperlink" Target="https://prabhupadavani.org/transcriptions/730826r2lon/" TargetMode="External"/><Relationship Id="rId2778" Type="http://schemas.openxmlformats.org/officeDocument/2006/relationships/hyperlink" Target="https://prabhupadavani.org/transcriptions/760413sbbom/" TargetMode="External"/><Relationship Id="rId1448" Type="http://schemas.openxmlformats.org/officeDocument/2006/relationships/hyperlink" Target="https://prabhupadavani.org/transcriptions/730826lelon/" TargetMode="External"/><Relationship Id="rId2779" Type="http://schemas.openxmlformats.org/officeDocument/2006/relationships/hyperlink" Target="https://prabhupadavani.org/transcriptions/760414mwbom/" TargetMode="External"/><Relationship Id="rId1449" Type="http://schemas.openxmlformats.org/officeDocument/2006/relationships/hyperlink" Target="https://prabhupadavani.org/transcriptions/730827sblon/" TargetMode="External"/><Relationship Id="rId619" Type="http://schemas.openxmlformats.org/officeDocument/2006/relationships/hyperlink" Target="https://prabhupadavani.org/transcriptions/room-conversation-partially-recorded-710318r1/" TargetMode="External"/><Relationship Id="rId618" Type="http://schemas.openxmlformats.org/officeDocument/2006/relationships/hyperlink" Target="https://prabhupadavani.org/transcriptions/%C5%9Br%C4%ABmad-bh%C4%81gavatam-771920/" TargetMode="External"/><Relationship Id="rId613" Type="http://schemas.openxmlformats.org/officeDocument/2006/relationships/hyperlink" Target="https://prabhupadavani.org/transcriptions/%C5%9Br%C4%AB-caitanya-carit%C4%81m%E1%B9%9Bta-madhya-l%C4%ABl%C4%81-6154155-%C5%9Br%C4%AB-k%E1%B9%9B%E1%B9%A3%E1%B9%87-niketana/" TargetMode="External"/><Relationship Id="rId612" Type="http://schemas.openxmlformats.org/officeDocument/2006/relationships/hyperlink" Target="https://prabhupadavani.org/transcriptions/%C5%9Br%C4%ABmad-bh%C4%81gavatam-632526/" TargetMode="External"/><Relationship Id="rId611" Type="http://schemas.openxmlformats.org/officeDocument/2006/relationships/hyperlink" Target="https://prabhupadavani.org/transcriptions/lecture-710218le/" TargetMode="External"/><Relationship Id="rId610" Type="http://schemas.openxmlformats.org/officeDocument/2006/relationships/hyperlink" Target="https://prabhupadavani.org/transcriptions/lecture-710217l2/" TargetMode="External"/><Relationship Id="rId617" Type="http://schemas.openxmlformats.org/officeDocument/2006/relationships/hyperlink" Target="https://prabhupadavani.org/transcriptions/lecture-teachings-lord-caitanya/" TargetMode="External"/><Relationship Id="rId616" Type="http://schemas.openxmlformats.org/officeDocument/2006/relationships/hyperlink" Target="https://prabhupadavani.org/transcriptions/conversation-partially-recorded-710316r1/" TargetMode="External"/><Relationship Id="rId615" Type="http://schemas.openxmlformats.org/officeDocument/2006/relationships/hyperlink" Target="https://prabhupadavani.org/transcriptions/pa%E1%B9%87%E1%B8%8Dal-lecture/" TargetMode="External"/><Relationship Id="rId614" Type="http://schemas.openxmlformats.org/officeDocument/2006/relationships/hyperlink" Target="https://prabhupadavani.org/transcriptions/%C5%9Br%C4%ABmad-bh%C4%81gavatam-632728/" TargetMode="External"/><Relationship Id="rId2770" Type="http://schemas.openxmlformats.org/officeDocument/2006/relationships/hyperlink" Target="https://prabhupadavani.org/transcriptions/760409mwvrn/" TargetMode="External"/><Relationship Id="rId1440" Type="http://schemas.openxmlformats.org/officeDocument/2006/relationships/hyperlink" Target="https://prabhupadavani.org/transcriptions/730822lelon/" TargetMode="External"/><Relationship Id="rId2771" Type="http://schemas.openxmlformats.org/officeDocument/2006/relationships/hyperlink" Target="https://prabhupadavani.org/transcriptions/760409sbvrn/" TargetMode="External"/><Relationship Id="rId1441" Type="http://schemas.openxmlformats.org/officeDocument/2006/relationships/hyperlink" Target="https://prabhupadavani.org/transcriptions/730822vplon/" TargetMode="External"/><Relationship Id="rId2772" Type="http://schemas.openxmlformats.org/officeDocument/2006/relationships/hyperlink" Target="https://prabhupadavani.org/transcriptions/760409levrn/" TargetMode="External"/><Relationship Id="rId1442" Type="http://schemas.openxmlformats.org/officeDocument/2006/relationships/hyperlink" Target="https://prabhupadavani.org/transcriptions/730823bglon/" TargetMode="External"/><Relationship Id="rId2773" Type="http://schemas.openxmlformats.org/officeDocument/2006/relationships/hyperlink" Target="https://prabhupadavani.org/transcriptions/760410mwvrn/" TargetMode="External"/><Relationship Id="rId1443" Type="http://schemas.openxmlformats.org/officeDocument/2006/relationships/hyperlink" Target="https://prabhupadavani.org/transcriptions/730823lelon/" TargetMode="External"/><Relationship Id="rId2774" Type="http://schemas.openxmlformats.org/officeDocument/2006/relationships/hyperlink" Target="https://prabhupadavani.org/transcriptions/760410sbvrn/" TargetMode="External"/><Relationship Id="rId1477" Type="http://schemas.openxmlformats.org/officeDocument/2006/relationships/hyperlink" Target="https://prabhupadavani.org/transcriptions/730909sbsto/" TargetMode="External"/><Relationship Id="rId1478" Type="http://schemas.openxmlformats.org/officeDocument/2006/relationships/hyperlink" Target="https://prabhupadavani.org/transcriptions/730909bssto/" TargetMode="External"/><Relationship Id="rId1479" Type="http://schemas.openxmlformats.org/officeDocument/2006/relationships/hyperlink" Target="https://prabhupadavani.org/transcriptions/730909lesto/" TargetMode="External"/><Relationship Id="rId646" Type="http://schemas.openxmlformats.org/officeDocument/2006/relationships/hyperlink" Target="https://prabhupadavani.org/transcriptions/press-conference-translator/" TargetMode="External"/><Relationship Id="rId645" Type="http://schemas.openxmlformats.org/officeDocument/2006/relationships/hyperlink" Target="https://prabhupadavani.org/transcriptions/lecture-710626le/" TargetMode="External"/><Relationship Id="rId644" Type="http://schemas.openxmlformats.org/officeDocument/2006/relationships/hyperlink" Target="https://prabhupadavani.org/transcriptions/conversation-prof-kotovsky/" TargetMode="External"/><Relationship Id="rId643" Type="http://schemas.openxmlformats.org/officeDocument/2006/relationships/hyperlink" Target="https://prabhupadavani.org/transcriptions/interview-710516iv/" TargetMode="External"/><Relationship Id="rId649" Type="http://schemas.openxmlformats.org/officeDocument/2006/relationships/hyperlink" Target="https://prabhupadavani.org/transcriptions/ratha-y%C4%81tr%C4%81-address-710627r2/" TargetMode="External"/><Relationship Id="rId648" Type="http://schemas.openxmlformats.org/officeDocument/2006/relationships/hyperlink" Target="https://prabhupadavani.org/transcriptions/ratha-y%C4%81tr%C4%81-address/" TargetMode="External"/><Relationship Id="rId647" Type="http://schemas.openxmlformats.org/officeDocument/2006/relationships/hyperlink" Target="https://prabhupadavani.org/transcriptions/speech-olympia-theatre-translator/" TargetMode="External"/><Relationship Id="rId1470" Type="http://schemas.openxmlformats.org/officeDocument/2006/relationships/hyperlink" Target="https://prabhupadavani.org/transcriptions/730906s2sto/" TargetMode="External"/><Relationship Id="rId1471" Type="http://schemas.openxmlformats.org/officeDocument/2006/relationships/hyperlink" Target="https://prabhupadavani.org/transcriptions/730906sbsto/" TargetMode="External"/><Relationship Id="rId1472" Type="http://schemas.openxmlformats.org/officeDocument/2006/relationships/hyperlink" Target="https://prabhupadavani.org/transcriptions/730907sbsto/" TargetMode="External"/><Relationship Id="rId642" Type="http://schemas.openxmlformats.org/officeDocument/2006/relationships/hyperlink" Target="https://prabhupadavani.org/transcriptions/morning-walk-partially-recorded/" TargetMode="External"/><Relationship Id="rId1473" Type="http://schemas.openxmlformats.org/officeDocument/2006/relationships/hyperlink" Target="https://prabhupadavani.org/transcriptions/730907lesto/" TargetMode="External"/><Relationship Id="rId641" Type="http://schemas.openxmlformats.org/officeDocument/2006/relationships/hyperlink" Target="https://prabhupadavani.org/transcriptions/lecture-wayside-chapel/" TargetMode="External"/><Relationship Id="rId1474" Type="http://schemas.openxmlformats.org/officeDocument/2006/relationships/hyperlink" Target="https://prabhupadavani.org/transcriptions/730907bgsto/" TargetMode="External"/><Relationship Id="rId640" Type="http://schemas.openxmlformats.org/officeDocument/2006/relationships/hyperlink" Target="https://prabhupadavani.org/transcriptions/lecture-boys-school/" TargetMode="External"/><Relationship Id="rId1475" Type="http://schemas.openxmlformats.org/officeDocument/2006/relationships/hyperlink" Target="https://prabhupadavani.org/transcriptions/730908sbsto/" TargetMode="External"/><Relationship Id="rId1476" Type="http://schemas.openxmlformats.org/officeDocument/2006/relationships/hyperlink" Target="https://prabhupadavani.org/transcriptions/730908bgsto/" TargetMode="External"/><Relationship Id="rId1466" Type="http://schemas.openxmlformats.org/officeDocument/2006/relationships/hyperlink" Target="https://prabhupadavani.org/transcriptions/730905bglon/" TargetMode="External"/><Relationship Id="rId2797" Type="http://schemas.openxmlformats.org/officeDocument/2006/relationships/hyperlink" Target="https://prabhupadavani.org/transcriptions/760422bgmel/" TargetMode="External"/><Relationship Id="rId1467" Type="http://schemas.openxmlformats.org/officeDocument/2006/relationships/hyperlink" Target="https://prabhupadavani.org/transcriptions/730905arsto/" TargetMode="External"/><Relationship Id="rId2798" Type="http://schemas.openxmlformats.org/officeDocument/2006/relationships/hyperlink" Target="https://prabhupadavani.org/transcriptions/760422r1mel/" TargetMode="External"/><Relationship Id="rId1468" Type="http://schemas.openxmlformats.org/officeDocument/2006/relationships/hyperlink" Target="https://prabhupadavani.org/transcriptions/730905r1sto/" TargetMode="External"/><Relationship Id="rId2799" Type="http://schemas.openxmlformats.org/officeDocument/2006/relationships/hyperlink" Target="https://prabhupadavani.org/transcriptions/760422r2mel/" TargetMode="External"/><Relationship Id="rId1469" Type="http://schemas.openxmlformats.org/officeDocument/2006/relationships/hyperlink" Target="https://prabhupadavani.org/transcriptions/730905r2sto/" TargetMode="External"/><Relationship Id="rId635" Type="http://schemas.openxmlformats.org/officeDocument/2006/relationships/hyperlink" Target="https://prabhupadavani.org/transcriptions/bhagavad-g%C4%ABt%C4%81-1627/" TargetMode="External"/><Relationship Id="rId634" Type="http://schemas.openxmlformats.org/officeDocument/2006/relationships/hyperlink" Target="https://prabhupadavani.org/transcriptions/pa%E1%B9%87%E1%B8%8D%C4%81l-lecture-710407le/" TargetMode="External"/><Relationship Id="rId633" Type="http://schemas.openxmlformats.org/officeDocument/2006/relationships/hyperlink" Target="https://prabhupadavani.org/transcriptions/bhagavad-g%C4%ABt%C4%81-716/" TargetMode="External"/><Relationship Id="rId632" Type="http://schemas.openxmlformats.org/officeDocument/2006/relationships/hyperlink" Target="https://prabhupadavani.org/transcriptions/room-conversation-710406r1/" TargetMode="External"/><Relationship Id="rId639" Type="http://schemas.openxmlformats.org/officeDocument/2006/relationships/hyperlink" Target="https://prabhupadavani.org/transcriptions/lecture-town-hall/" TargetMode="External"/><Relationship Id="rId638" Type="http://schemas.openxmlformats.org/officeDocument/2006/relationships/hyperlink" Target="https://prabhupadavani.org/transcriptions/pa%E1%B9%87%E1%B8%8D%C4%81l-lecture-710411le/" TargetMode="External"/><Relationship Id="rId637" Type="http://schemas.openxmlformats.org/officeDocument/2006/relationships/hyperlink" Target="https://prabhupadavani.org/transcriptions/pa%E1%B9%87%E1%B8%8D%C4%81l-lecture-710410le/" TargetMode="External"/><Relationship Id="rId636" Type="http://schemas.openxmlformats.org/officeDocument/2006/relationships/hyperlink" Target="https://prabhupadavani.org/transcriptions/%C5%9Br%C4%ABmad-bh%C4%81gavatam-181819/" TargetMode="External"/><Relationship Id="rId2790" Type="http://schemas.openxmlformats.org/officeDocument/2006/relationships/hyperlink" Target="https://prabhupadavani.org/transcriptions/760419armel/" TargetMode="External"/><Relationship Id="rId1460" Type="http://schemas.openxmlformats.org/officeDocument/2006/relationships/hyperlink" Target="https://prabhupadavani.org/transcriptions/730901r1lon/" TargetMode="External"/><Relationship Id="rId2791" Type="http://schemas.openxmlformats.org/officeDocument/2006/relationships/hyperlink" Target="https://prabhupadavani.org/transcriptions/760419bgmel/" TargetMode="External"/><Relationship Id="rId1461" Type="http://schemas.openxmlformats.org/officeDocument/2006/relationships/hyperlink" Target="https://prabhupadavani.org/transcriptions/730901r2lon/" TargetMode="External"/><Relationship Id="rId2792" Type="http://schemas.openxmlformats.org/officeDocument/2006/relationships/hyperlink" Target="https://prabhupadavani.org/transcriptions/760420r1mel/" TargetMode="External"/><Relationship Id="rId631" Type="http://schemas.openxmlformats.org/officeDocument/2006/relationships/hyperlink" Target="https://prabhupadavani.org/transcriptions/pa%E1%B9%87%E1%B8%8D%C4%81l-lecture-710406le/" TargetMode="External"/><Relationship Id="rId1462" Type="http://schemas.openxmlformats.org/officeDocument/2006/relationships/hyperlink" Target="https://prabhupadavani.org/transcriptions/730902bglon/" TargetMode="External"/><Relationship Id="rId2793" Type="http://schemas.openxmlformats.org/officeDocument/2006/relationships/hyperlink" Target="https://prabhupadavani.org/transcriptions/760420r2mel/" TargetMode="External"/><Relationship Id="rId630" Type="http://schemas.openxmlformats.org/officeDocument/2006/relationships/hyperlink" Target="https://prabhupadavani.org/transcriptions/bhagavad-g%C4%ABt%C4%81-71113/" TargetMode="External"/><Relationship Id="rId1463" Type="http://schemas.openxmlformats.org/officeDocument/2006/relationships/hyperlink" Target="https://prabhupadavani.org/transcriptions/730902r1lon/" TargetMode="External"/><Relationship Id="rId2794" Type="http://schemas.openxmlformats.org/officeDocument/2006/relationships/hyperlink" Target="https://prabhupadavani.org/transcriptions/760420bgmel/" TargetMode="External"/><Relationship Id="rId1464" Type="http://schemas.openxmlformats.org/officeDocument/2006/relationships/hyperlink" Target="https://prabhupadavani.org/transcriptions/730903bglon/" TargetMode="External"/><Relationship Id="rId2795" Type="http://schemas.openxmlformats.org/officeDocument/2006/relationships/hyperlink" Target="https://prabhupadavani.org/transcriptions/760421mwmel/" TargetMode="External"/><Relationship Id="rId1465" Type="http://schemas.openxmlformats.org/officeDocument/2006/relationships/hyperlink" Target="https://prabhupadavani.org/transcriptions/730904bglon/" TargetMode="External"/><Relationship Id="rId2796" Type="http://schemas.openxmlformats.org/officeDocument/2006/relationships/hyperlink" Target="https://prabhupadavani.org/transcriptions/760421bgmel/" TargetMode="External"/><Relationship Id="rId1411" Type="http://schemas.openxmlformats.org/officeDocument/2006/relationships/hyperlink" Target="https://prabhupadavani.org/transcriptions/730809lepar/" TargetMode="External"/><Relationship Id="rId2742" Type="http://schemas.openxmlformats.org/officeDocument/2006/relationships/hyperlink" Target="https://prabhupadavani.org/transcriptions/760325bgdel/" TargetMode="External"/><Relationship Id="rId1412" Type="http://schemas.openxmlformats.org/officeDocument/2006/relationships/hyperlink" Target="https://prabhupadavani.org/transcriptions/730809r1par/" TargetMode="External"/><Relationship Id="rId2743" Type="http://schemas.openxmlformats.org/officeDocument/2006/relationships/hyperlink" Target="https://prabhupadavani.org/transcriptions/760325r1del/" TargetMode="External"/><Relationship Id="rId1413" Type="http://schemas.openxmlformats.org/officeDocument/2006/relationships/hyperlink" Target="https://prabhupadavani.org/transcriptions/730809r2par/" TargetMode="External"/><Relationship Id="rId2744" Type="http://schemas.openxmlformats.org/officeDocument/2006/relationships/hyperlink" Target="https://prabhupadavani.org/transcriptions/760326mwdel/" TargetMode="External"/><Relationship Id="rId1414" Type="http://schemas.openxmlformats.org/officeDocument/2006/relationships/hyperlink" Target="https://prabhupadavani.org/transcriptions/730809crpar/" TargetMode="External"/><Relationship Id="rId2745" Type="http://schemas.openxmlformats.org/officeDocument/2006/relationships/hyperlink" Target="https://prabhupadavani.org/transcriptions/760326sbdel/" TargetMode="External"/><Relationship Id="rId1415" Type="http://schemas.openxmlformats.org/officeDocument/2006/relationships/hyperlink" Target="https://prabhupadavani.org/transcriptions/730810bgpar/" TargetMode="External"/><Relationship Id="rId2746" Type="http://schemas.openxmlformats.org/officeDocument/2006/relationships/hyperlink" Target="https://prabhupadavani.org/transcriptions/760331sbvrn/" TargetMode="External"/><Relationship Id="rId1416" Type="http://schemas.openxmlformats.org/officeDocument/2006/relationships/hyperlink" Target="https://prabhupadavani.org/transcriptions/730810r1par/" TargetMode="External"/><Relationship Id="rId2747" Type="http://schemas.openxmlformats.org/officeDocument/2006/relationships/hyperlink" Target="https://prabhupadavani.org/transcriptions/760401sbvrn/" TargetMode="External"/><Relationship Id="rId1417" Type="http://schemas.openxmlformats.org/officeDocument/2006/relationships/hyperlink" Target="https://prabhupadavani.org/transcriptions/730810r2par/" TargetMode="External"/><Relationship Id="rId2748" Type="http://schemas.openxmlformats.org/officeDocument/2006/relationships/hyperlink" Target="https://prabhupadavani.org/transcriptions/760402mwvrn/" TargetMode="External"/><Relationship Id="rId1418" Type="http://schemas.openxmlformats.org/officeDocument/2006/relationships/hyperlink" Target="https://prabhupadavani.org/transcriptions/730810r3par/" TargetMode="External"/><Relationship Id="rId2749" Type="http://schemas.openxmlformats.org/officeDocument/2006/relationships/hyperlink" Target="https://prabhupadavani.org/transcriptions/760402sbvrn/" TargetMode="External"/><Relationship Id="rId1419" Type="http://schemas.openxmlformats.org/officeDocument/2006/relationships/hyperlink" Target="https://prabhupadavani.org/transcriptions/730811bgpar/" TargetMode="External"/><Relationship Id="rId2740" Type="http://schemas.openxmlformats.org/officeDocument/2006/relationships/hyperlink" Target="https://prabhupadavani.org/transcriptions/760324r1cal/" TargetMode="External"/><Relationship Id="rId1410" Type="http://schemas.openxmlformats.org/officeDocument/2006/relationships/hyperlink" Target="https://prabhupadavani.org/transcriptions/730808arpar/" TargetMode="External"/><Relationship Id="rId2741" Type="http://schemas.openxmlformats.org/officeDocument/2006/relationships/hyperlink" Target="https://prabhupadavani.org/transcriptions/760325mwdel/" TargetMode="External"/><Relationship Id="rId1400" Type="http://schemas.openxmlformats.org/officeDocument/2006/relationships/hyperlink" Target="https://prabhupadavani.org/transcriptions/730804bglon/" TargetMode="External"/><Relationship Id="rId2731" Type="http://schemas.openxmlformats.org/officeDocument/2006/relationships/hyperlink" Target="https://prabhupadavani.org/transcriptions/760318sbmay/" TargetMode="External"/><Relationship Id="rId1401" Type="http://schemas.openxmlformats.org/officeDocument/2006/relationships/hyperlink" Target="https://prabhupadavani.org/transcriptions/730804r1lon/" TargetMode="External"/><Relationship Id="rId2732" Type="http://schemas.openxmlformats.org/officeDocument/2006/relationships/hyperlink" Target="https://prabhupadavani.org/transcriptions/760319mwmay/" TargetMode="External"/><Relationship Id="rId1402" Type="http://schemas.openxmlformats.org/officeDocument/2006/relationships/hyperlink" Target="https://prabhupadavani.org/transcriptions/730805bglon/" TargetMode="External"/><Relationship Id="rId2733" Type="http://schemas.openxmlformats.org/officeDocument/2006/relationships/hyperlink" Target="https://prabhupadavani.org/transcriptions/760319sbmay/" TargetMode="External"/><Relationship Id="rId1403" Type="http://schemas.openxmlformats.org/officeDocument/2006/relationships/hyperlink" Target="https://prabhupadavani.org/transcriptions/730805r1lon/" TargetMode="External"/><Relationship Id="rId2734" Type="http://schemas.openxmlformats.org/officeDocument/2006/relationships/hyperlink" Target="https://prabhupadavani.org/transcriptions/760320lehar/" TargetMode="External"/><Relationship Id="rId1404" Type="http://schemas.openxmlformats.org/officeDocument/2006/relationships/hyperlink" Target="https://prabhupadavani.org/transcriptions/730805r2lon/" TargetMode="External"/><Relationship Id="rId2735" Type="http://schemas.openxmlformats.org/officeDocument/2006/relationships/hyperlink" Target="https://prabhupadavani.org/transcriptions/760321mwmay/" TargetMode="External"/><Relationship Id="rId1405" Type="http://schemas.openxmlformats.org/officeDocument/2006/relationships/hyperlink" Target="https://prabhupadavani.org/transcriptions/730806bglon/" TargetMode="External"/><Relationship Id="rId2736" Type="http://schemas.openxmlformats.org/officeDocument/2006/relationships/hyperlink" Target="https://prabhupadavani.org/transcriptions/760322r1may/" TargetMode="External"/><Relationship Id="rId1406" Type="http://schemas.openxmlformats.org/officeDocument/2006/relationships/hyperlink" Target="https://prabhupadavani.org/transcriptions/730806ivlon/" TargetMode="External"/><Relationship Id="rId2737" Type="http://schemas.openxmlformats.org/officeDocument/2006/relationships/hyperlink" Target="https://prabhupadavani.org/transcriptions/760322sbmay/" TargetMode="External"/><Relationship Id="rId1407" Type="http://schemas.openxmlformats.org/officeDocument/2006/relationships/hyperlink" Target="https://prabhupadavani.org/transcriptions/730807bglon/" TargetMode="External"/><Relationship Id="rId2738" Type="http://schemas.openxmlformats.org/officeDocument/2006/relationships/hyperlink" Target="https://prabhupadavani.org/transcriptions/760322arcal/" TargetMode="External"/><Relationship Id="rId1408" Type="http://schemas.openxmlformats.org/officeDocument/2006/relationships/hyperlink" Target="https://prabhupadavani.org/transcriptions/730807r1lon/" TargetMode="External"/><Relationship Id="rId2739" Type="http://schemas.openxmlformats.org/officeDocument/2006/relationships/hyperlink" Target="https://prabhupadavani.org/transcriptions/760323sbcal/" TargetMode="External"/><Relationship Id="rId1409" Type="http://schemas.openxmlformats.org/officeDocument/2006/relationships/hyperlink" Target="https://prabhupadavani.org/transcriptions/730808bglon/" TargetMode="External"/><Relationship Id="rId2730" Type="http://schemas.openxmlformats.org/officeDocument/2006/relationships/hyperlink" Target="https://prabhupadavani.org/transcriptions/760318mwmay/" TargetMode="External"/><Relationship Id="rId1433" Type="http://schemas.openxmlformats.org/officeDocument/2006/relationships/hyperlink" Target="https://prabhupadavani.org/transcriptions/730818bglon/" TargetMode="External"/><Relationship Id="rId2764" Type="http://schemas.openxmlformats.org/officeDocument/2006/relationships/hyperlink" Target="https://prabhupadavani.org/transcriptions/760407sbvrn/" TargetMode="External"/><Relationship Id="rId1434" Type="http://schemas.openxmlformats.org/officeDocument/2006/relationships/hyperlink" Target="https://prabhupadavani.org/transcriptions/730819bglon/" TargetMode="External"/><Relationship Id="rId2765" Type="http://schemas.openxmlformats.org/officeDocument/2006/relationships/hyperlink" Target="https://prabhupadavani.org/transcriptions/760407levrn/" TargetMode="External"/><Relationship Id="rId1435" Type="http://schemas.openxmlformats.org/officeDocument/2006/relationships/hyperlink" Target="https://prabhupadavani.org/transcriptions/730820bglon/" TargetMode="External"/><Relationship Id="rId2766" Type="http://schemas.openxmlformats.org/officeDocument/2006/relationships/hyperlink" Target="https://prabhupadavani.org/transcriptions/760408mwvrn/" TargetMode="External"/><Relationship Id="rId1436" Type="http://schemas.openxmlformats.org/officeDocument/2006/relationships/hyperlink" Target="https://prabhupadavani.org/transcriptions/730821bglon/" TargetMode="External"/><Relationship Id="rId2767" Type="http://schemas.openxmlformats.org/officeDocument/2006/relationships/hyperlink" Target="https://prabhupadavani.org/transcriptions/760408sbvrn/" TargetMode="External"/><Relationship Id="rId1437" Type="http://schemas.openxmlformats.org/officeDocument/2006/relationships/hyperlink" Target="https://prabhupadavani.org/transcriptions/730821dilon/" TargetMode="External"/><Relationship Id="rId2768" Type="http://schemas.openxmlformats.org/officeDocument/2006/relationships/hyperlink" Target="https://prabhupadavani.org/transcriptions/760408levrn/" TargetMode="External"/><Relationship Id="rId1438" Type="http://schemas.openxmlformats.org/officeDocument/2006/relationships/hyperlink" Target="https://prabhupadavani.org/transcriptions/730821jmlon/" TargetMode="External"/><Relationship Id="rId2769" Type="http://schemas.openxmlformats.org/officeDocument/2006/relationships/hyperlink" Target="https://prabhupadavani.org/transcriptions/760408spvrn/" TargetMode="External"/><Relationship Id="rId1439" Type="http://schemas.openxmlformats.org/officeDocument/2006/relationships/hyperlink" Target="https://prabhupadavani.org/transcriptions/730822bglon/" TargetMode="External"/><Relationship Id="rId609" Type="http://schemas.openxmlformats.org/officeDocument/2006/relationships/hyperlink" Target="https://prabhupadavani.org/transcriptions/room-b-conversation/" TargetMode="External"/><Relationship Id="rId608" Type="http://schemas.openxmlformats.org/officeDocument/2006/relationships/hyperlink" Target="https://prabhupadavani.org/transcriptions/%C5%9Br%C4%AB-caitanya-carit%C4%81m%E1%B9%9Bta-%C4%81di-l%C4%ABl%C4%81-7119/" TargetMode="External"/><Relationship Id="rId607" Type="http://schemas.openxmlformats.org/officeDocument/2006/relationships/hyperlink" Target="https://prabhupadavani.org/transcriptions/%C5%9Br%C4%ABmad-bh%C4%81gavatam-11327/" TargetMode="External"/><Relationship Id="rId602" Type="http://schemas.openxmlformats.org/officeDocument/2006/relationships/hyperlink" Target="https://prabhupadavani.org/transcriptions/bhaktisiddh%C4%81nta-sarasvat%C4%AB-gosv%C4%81m%C4%AB-appearance-day-%C5%9Br%C4%ABmad-bh%C4%81gavatam-6324/" TargetMode="External"/><Relationship Id="rId601" Type="http://schemas.openxmlformats.org/officeDocument/2006/relationships/hyperlink" Target="https://prabhupadavani.org/transcriptions/room-a-conversation/" TargetMode="External"/><Relationship Id="rId600" Type="http://schemas.openxmlformats.org/officeDocument/2006/relationships/hyperlink" Target="https://prabhupadavani.org/transcriptions/jaya-r%C4%81dh%C4%81-m%C4%81dhava-purport/" TargetMode="External"/><Relationship Id="rId606" Type="http://schemas.openxmlformats.org/officeDocument/2006/relationships/hyperlink" Target="https://prabhupadavani.org/transcriptions/lecture-%C5%9Br%C4%AB-k%E1%B9%9B%E1%B9%A3%E1%B9%87-niketana/" TargetMode="External"/><Relationship Id="rId605" Type="http://schemas.openxmlformats.org/officeDocument/2006/relationships/hyperlink" Target="https://prabhupadavani.org/transcriptions/%C5%9Br%C4%AB-caitanya-carit%C4%81m%E1%B9%9Bta-madhya-l%C4%ABl%C4%81-6154/" TargetMode="External"/><Relationship Id="rId604" Type="http://schemas.openxmlformats.org/officeDocument/2006/relationships/hyperlink" Target="https://prabhupadavani.org/transcriptions/bhaktisiddh%C4%81nta-sarasvat%C4%AB-gosv%C4%81m%C4%AB-appearance-day-evening/" TargetMode="External"/><Relationship Id="rId603" Type="http://schemas.openxmlformats.org/officeDocument/2006/relationships/hyperlink" Target="https://prabhupadavani.org/transcriptions/bhaktisiddh%C4%81nta-sarasvat%C4%AB-gosv%C4%81m%C4%AB-appearance-day-offerings-hindi-and-english/" TargetMode="External"/><Relationship Id="rId2760" Type="http://schemas.openxmlformats.org/officeDocument/2006/relationships/hyperlink" Target="https://prabhupadavani.org/transcriptions/760406mevrn/" TargetMode="External"/><Relationship Id="rId1430" Type="http://schemas.openxmlformats.org/officeDocument/2006/relationships/hyperlink" Target="https://prabhupadavani.org/transcriptions/730816bglon/" TargetMode="External"/><Relationship Id="rId2761" Type="http://schemas.openxmlformats.org/officeDocument/2006/relationships/hyperlink" Target="https://prabhupadavani.org/transcriptions/760406r1vrn/" TargetMode="External"/><Relationship Id="rId1431" Type="http://schemas.openxmlformats.org/officeDocument/2006/relationships/hyperlink" Target="https://prabhupadavani.org/transcriptions/730817b2lon/" TargetMode="External"/><Relationship Id="rId2762" Type="http://schemas.openxmlformats.org/officeDocument/2006/relationships/hyperlink" Target="https://prabhupadavani.org/transcriptions/760406r2vrn/" TargetMode="External"/><Relationship Id="rId1432" Type="http://schemas.openxmlformats.org/officeDocument/2006/relationships/hyperlink" Target="https://prabhupadavani.org/transcriptions/730817bglon/" TargetMode="External"/><Relationship Id="rId2763" Type="http://schemas.openxmlformats.org/officeDocument/2006/relationships/hyperlink" Target="https://prabhupadavani.org/transcriptions/760407mwvrn/" TargetMode="External"/><Relationship Id="rId1422" Type="http://schemas.openxmlformats.org/officeDocument/2006/relationships/hyperlink" Target="https://prabhupadavani.org/transcriptions/730812r1par/" TargetMode="External"/><Relationship Id="rId2753" Type="http://schemas.openxmlformats.org/officeDocument/2006/relationships/hyperlink" Target="https://prabhupadavani.org/transcriptions/760404invrn/" TargetMode="External"/><Relationship Id="rId1423" Type="http://schemas.openxmlformats.org/officeDocument/2006/relationships/hyperlink" Target="https://prabhupadavani.org/transcriptions/730812bgpar/" TargetMode="External"/><Relationship Id="rId2754" Type="http://schemas.openxmlformats.org/officeDocument/2006/relationships/hyperlink" Target="https://prabhupadavani.org/transcriptions/760404r1vrn/" TargetMode="External"/><Relationship Id="rId1424" Type="http://schemas.openxmlformats.org/officeDocument/2006/relationships/hyperlink" Target="https://prabhupadavani.org/transcriptions/730813bgpar/" TargetMode="External"/><Relationship Id="rId2755" Type="http://schemas.openxmlformats.org/officeDocument/2006/relationships/hyperlink" Target="https://prabhupadavani.org/transcriptions/760405mwvrn/" TargetMode="External"/><Relationship Id="rId1425" Type="http://schemas.openxmlformats.org/officeDocument/2006/relationships/hyperlink" Target="https://prabhupadavani.org/transcriptions/730813r1par/" TargetMode="External"/><Relationship Id="rId2756" Type="http://schemas.openxmlformats.org/officeDocument/2006/relationships/hyperlink" Target="https://prabhupadavani.org/transcriptions/760405sbvrn/" TargetMode="External"/><Relationship Id="rId1426" Type="http://schemas.openxmlformats.org/officeDocument/2006/relationships/hyperlink" Target="https://prabhupadavani.org/transcriptions/730813r2par/" TargetMode="External"/><Relationship Id="rId2757" Type="http://schemas.openxmlformats.org/officeDocument/2006/relationships/hyperlink" Target="https://prabhupadavani.org/transcriptions/760405r1vrn/" TargetMode="External"/><Relationship Id="rId1427" Type="http://schemas.openxmlformats.org/officeDocument/2006/relationships/hyperlink" Target="https://prabhupadavani.org/transcriptions/730813r3par/" TargetMode="External"/><Relationship Id="rId2758" Type="http://schemas.openxmlformats.org/officeDocument/2006/relationships/hyperlink" Target="https://prabhupadavani.org/transcriptions/760406mwvrn/" TargetMode="External"/><Relationship Id="rId1428" Type="http://schemas.openxmlformats.org/officeDocument/2006/relationships/hyperlink" Target="https://prabhupadavani.org/transcriptions/730813r4par/" TargetMode="External"/><Relationship Id="rId2759" Type="http://schemas.openxmlformats.org/officeDocument/2006/relationships/hyperlink" Target="https://prabhupadavani.org/transcriptions/760406sbvrn/" TargetMode="External"/><Relationship Id="rId1429" Type="http://schemas.openxmlformats.org/officeDocument/2006/relationships/hyperlink" Target="https://prabhupadavani.org/transcriptions/730815bglon/" TargetMode="External"/><Relationship Id="rId2750" Type="http://schemas.openxmlformats.org/officeDocument/2006/relationships/hyperlink" Target="https://prabhupadavani.org/transcriptions/760403mwvrn/" TargetMode="External"/><Relationship Id="rId1420" Type="http://schemas.openxmlformats.org/officeDocument/2006/relationships/hyperlink" Target="https://prabhupadavani.org/transcriptions/730811r1par/" TargetMode="External"/><Relationship Id="rId2751" Type="http://schemas.openxmlformats.org/officeDocument/2006/relationships/hyperlink" Target="https://prabhupadavani.org/transcriptions/760403sbvrn/" TargetMode="External"/><Relationship Id="rId1421" Type="http://schemas.openxmlformats.org/officeDocument/2006/relationships/hyperlink" Target="https://prabhupadavani.org/transcriptions/730812sbpar/" TargetMode="External"/><Relationship Id="rId2752" Type="http://schemas.openxmlformats.org/officeDocument/2006/relationships/hyperlink" Target="https://prabhupadavani.org/transcriptions/760404sbvrn/" TargetMode="External"/><Relationship Id="rId3238" Type="http://schemas.openxmlformats.org/officeDocument/2006/relationships/hyperlink" Target="https://prabhupadavani.org/transcriptions/761105sbvrn/" TargetMode="External"/><Relationship Id="rId3237" Type="http://schemas.openxmlformats.org/officeDocument/2006/relationships/hyperlink" Target="https://prabhupadavani.org/transcriptions/761104r1vrn/" TargetMode="External"/><Relationship Id="rId3239" Type="http://schemas.openxmlformats.org/officeDocument/2006/relationships/hyperlink" Target="https://prabhupadavani.org/transcriptions/761105r1vrn/" TargetMode="External"/><Relationship Id="rId3230" Type="http://schemas.openxmlformats.org/officeDocument/2006/relationships/hyperlink" Target="https://prabhupadavani.org/transcriptions/761102sbvrn/" TargetMode="External"/><Relationship Id="rId3232" Type="http://schemas.openxmlformats.org/officeDocument/2006/relationships/hyperlink" Target="https://prabhupadavani.org/transcriptions/761102r1vrn/" TargetMode="External"/><Relationship Id="rId3231" Type="http://schemas.openxmlformats.org/officeDocument/2006/relationships/hyperlink" Target="https://prabhupadavani.org/transcriptions/761102r2vrn/" TargetMode="External"/><Relationship Id="rId3234" Type="http://schemas.openxmlformats.org/officeDocument/2006/relationships/hyperlink" Target="https://prabhupadavani.org/transcriptions/761103r2vrn/" TargetMode="External"/><Relationship Id="rId3233" Type="http://schemas.openxmlformats.org/officeDocument/2006/relationships/hyperlink" Target="https://prabhupadavani.org/transcriptions/761103sbvrn/" TargetMode="External"/><Relationship Id="rId3236" Type="http://schemas.openxmlformats.org/officeDocument/2006/relationships/hyperlink" Target="https://prabhupadavani.org/transcriptions/761104sbvrn/" TargetMode="External"/><Relationship Id="rId3235" Type="http://schemas.openxmlformats.org/officeDocument/2006/relationships/hyperlink" Target="https://prabhupadavani.org/transcriptions/761103r1vrn/" TargetMode="External"/><Relationship Id="rId3227" Type="http://schemas.openxmlformats.org/officeDocument/2006/relationships/hyperlink" Target="https://prabhupadavani.org/transcriptions/761031sbvrn/" TargetMode="External"/><Relationship Id="rId3226" Type="http://schemas.openxmlformats.org/officeDocument/2006/relationships/hyperlink" Target="https://prabhupadavani.org/transcriptions/761030sbvrn/" TargetMode="External"/><Relationship Id="rId3229" Type="http://schemas.openxmlformats.org/officeDocument/2006/relationships/hyperlink" Target="https://prabhupadavani.org/transcriptions/761101sbvrn/" TargetMode="External"/><Relationship Id="rId3228" Type="http://schemas.openxmlformats.org/officeDocument/2006/relationships/hyperlink" Target="https://prabhupadavani.org/transcriptions/761031r1vrn/" TargetMode="External"/><Relationship Id="rId699" Type="http://schemas.openxmlformats.org/officeDocument/2006/relationships/hyperlink" Target="https://prabhupadavani.org/transcriptions/%C5%9Br%C4%AB-brahma-sa%E1%B9%81hit%C4%81-lecture-710728bs/" TargetMode="External"/><Relationship Id="rId698" Type="http://schemas.openxmlformats.org/officeDocument/2006/relationships/hyperlink" Target="https://prabhupadavani.org/transcriptions/%C5%9Br%C4%ABmad-bh%C4%81gavatam-611314/" TargetMode="External"/><Relationship Id="rId693" Type="http://schemas.openxmlformats.org/officeDocument/2006/relationships/hyperlink" Target="https://prabhupadavani.org/transcriptions/%C5%9Br%C4%AB-brahma-sa%E1%B9%81hit%C4%81-verse-32/" TargetMode="External"/><Relationship Id="rId692" Type="http://schemas.openxmlformats.org/officeDocument/2006/relationships/hyperlink" Target="https://prabhupadavani.org/transcriptions/%C5%9Br%C4%ABmad-bh%C4%81gavatam-6111/" TargetMode="External"/><Relationship Id="rId691" Type="http://schemas.openxmlformats.org/officeDocument/2006/relationships/hyperlink" Target="https://prabhupadavani.org/transcriptions/initiations-710724in/" TargetMode="External"/><Relationship Id="rId3221" Type="http://schemas.openxmlformats.org/officeDocument/2006/relationships/hyperlink" Target="https://prabhupadavani.org/transcriptions/761026sbvrn/" TargetMode="External"/><Relationship Id="rId690" Type="http://schemas.openxmlformats.org/officeDocument/2006/relationships/hyperlink" Target="https://prabhupadavani.org/transcriptions/%C5%9Br%C4%ABmad-bh%C4%81gavatam-61813/" TargetMode="External"/><Relationship Id="rId3220" Type="http://schemas.openxmlformats.org/officeDocument/2006/relationships/hyperlink" Target="https://prabhupadavani.org/transcriptions/761025sbvrn/" TargetMode="External"/><Relationship Id="rId697" Type="http://schemas.openxmlformats.org/officeDocument/2006/relationships/hyperlink" Target="https://prabhupadavani.org/transcriptions/initiations-and-trivikrama-sannyas/" TargetMode="External"/><Relationship Id="rId3223" Type="http://schemas.openxmlformats.org/officeDocument/2006/relationships/hyperlink" Target="https://prabhupadavani.org/transcriptions/761027sbvrn/" TargetMode="External"/><Relationship Id="rId696" Type="http://schemas.openxmlformats.org/officeDocument/2006/relationships/hyperlink" Target="https://prabhupadavani.org/transcriptions/initiations-710726in/" TargetMode="External"/><Relationship Id="rId3222" Type="http://schemas.openxmlformats.org/officeDocument/2006/relationships/hyperlink" Target="https://prabhupadavani.org/transcriptions/761026r1vrn/" TargetMode="External"/><Relationship Id="rId695" Type="http://schemas.openxmlformats.org/officeDocument/2006/relationships/hyperlink" Target="https://prabhupadavani.org/transcriptions/%C5%9Br%C4%AB-brahma-sa%E1%B9%81hit%C4%81-lecture/" TargetMode="External"/><Relationship Id="rId3225" Type="http://schemas.openxmlformats.org/officeDocument/2006/relationships/hyperlink" Target="https://prabhupadavani.org/transcriptions/761029sbvrn/" TargetMode="External"/><Relationship Id="rId694" Type="http://schemas.openxmlformats.org/officeDocument/2006/relationships/hyperlink" Target="https://prabhupadavani.org/transcriptions/initiations-710725in/" TargetMode="External"/><Relationship Id="rId3224" Type="http://schemas.openxmlformats.org/officeDocument/2006/relationships/hyperlink" Target="https://prabhupadavani.org/transcriptions/761028sbvrn/" TargetMode="External"/><Relationship Id="rId3259" Type="http://schemas.openxmlformats.org/officeDocument/2006/relationships/hyperlink" Target="https://prabhupadavani.org/transcriptions/761117mwvrn/" TargetMode="External"/><Relationship Id="rId3250" Type="http://schemas.openxmlformats.org/officeDocument/2006/relationships/hyperlink" Target="https://prabhupadavani.org/transcriptions/761113sbvrn/" TargetMode="External"/><Relationship Id="rId3252" Type="http://schemas.openxmlformats.org/officeDocument/2006/relationships/hyperlink" Target="https://prabhupadavani.org/transcriptions/761114sbvrn/" TargetMode="External"/><Relationship Id="rId3251" Type="http://schemas.openxmlformats.org/officeDocument/2006/relationships/hyperlink" Target="https://prabhupadavani.org/transcriptions/761113r1vrn/" TargetMode="External"/><Relationship Id="rId3254" Type="http://schemas.openxmlformats.org/officeDocument/2006/relationships/hyperlink" Target="https://prabhupadavani.org/transcriptions/761114r1vrn/" TargetMode="External"/><Relationship Id="rId3253" Type="http://schemas.openxmlformats.org/officeDocument/2006/relationships/hyperlink" Target="https://prabhupadavani.org/transcriptions/761114levrn/" TargetMode="External"/><Relationship Id="rId3256" Type="http://schemas.openxmlformats.org/officeDocument/2006/relationships/hyperlink" Target="https://prabhupadavani.org/transcriptions/761115sbvrn/" TargetMode="External"/><Relationship Id="rId3255" Type="http://schemas.openxmlformats.org/officeDocument/2006/relationships/hyperlink" Target="https://prabhupadavani.org/transcriptions/761114r2vrn/" TargetMode="External"/><Relationship Id="rId3258" Type="http://schemas.openxmlformats.org/officeDocument/2006/relationships/hyperlink" Target="https://prabhupadavani.org/transcriptions/761116sbvrn/" TargetMode="External"/><Relationship Id="rId3257" Type="http://schemas.openxmlformats.org/officeDocument/2006/relationships/hyperlink" Target="https://prabhupadavani.org/transcriptions/761115r1vrn/" TargetMode="External"/><Relationship Id="rId3249" Type="http://schemas.openxmlformats.org/officeDocument/2006/relationships/hyperlink" Target="https://prabhupadavani.org/transcriptions/761112sbvrn/" TargetMode="External"/><Relationship Id="rId3248" Type="http://schemas.openxmlformats.org/officeDocument/2006/relationships/hyperlink" Target="https://prabhupadavani.org/transcriptions/761111r1vrn/" TargetMode="External"/><Relationship Id="rId3241" Type="http://schemas.openxmlformats.org/officeDocument/2006/relationships/hyperlink" Target="https://prabhupadavani.org/transcriptions/761106r1vrn/" TargetMode="External"/><Relationship Id="rId3240" Type="http://schemas.openxmlformats.org/officeDocument/2006/relationships/hyperlink" Target="https://prabhupadavani.org/transcriptions/761106sbvrn/" TargetMode="External"/><Relationship Id="rId3243" Type="http://schemas.openxmlformats.org/officeDocument/2006/relationships/hyperlink" Target="https://prabhupadavani.org/transcriptions/761108sbvrn/" TargetMode="External"/><Relationship Id="rId3242" Type="http://schemas.openxmlformats.org/officeDocument/2006/relationships/hyperlink" Target="https://prabhupadavani.org/transcriptions/761107sbvrn/" TargetMode="External"/><Relationship Id="rId3245" Type="http://schemas.openxmlformats.org/officeDocument/2006/relationships/hyperlink" Target="https://prabhupadavani.org/transcriptions/761110sbvrn/" TargetMode="External"/><Relationship Id="rId3244" Type="http://schemas.openxmlformats.org/officeDocument/2006/relationships/hyperlink" Target="https://prabhupadavani.org/transcriptions/761109sbvrn/" TargetMode="External"/><Relationship Id="rId3247" Type="http://schemas.openxmlformats.org/officeDocument/2006/relationships/hyperlink" Target="https://prabhupadavani.org/transcriptions/761111sbvrn/" TargetMode="External"/><Relationship Id="rId3246" Type="http://schemas.openxmlformats.org/officeDocument/2006/relationships/hyperlink" Target="https://prabhupadavani.org/transcriptions/761110r1vrn/" TargetMode="External"/><Relationship Id="rId1499" Type="http://schemas.openxmlformats.org/officeDocument/2006/relationships/hyperlink" Target="https://prabhupadavani.org/transcriptions/730930bgbom/" TargetMode="External"/><Relationship Id="rId668" Type="http://schemas.openxmlformats.org/officeDocument/2006/relationships/hyperlink" Target="https://prabhupadavani.org/transcriptions/%C5%9Br%C4%AB-%C4%AB%C5%9Bopani%E1%B9%A3ad-lecture-recites-verses-112/" TargetMode="External"/><Relationship Id="rId667" Type="http://schemas.openxmlformats.org/officeDocument/2006/relationships/hyperlink" Target="https://prabhupadavani.org/transcriptions/lecture-710707le/" TargetMode="External"/><Relationship Id="rId666" Type="http://schemas.openxmlformats.org/officeDocument/2006/relationships/hyperlink" Target="https://prabhupadavani.org/transcriptions/lecture-partially-recorded-710705le/" TargetMode="External"/><Relationship Id="rId665" Type="http://schemas.openxmlformats.org/officeDocument/2006/relationships/hyperlink" Target="https://prabhupadavani.org/transcriptions/initiation-r%C4%81ma-ra%C3%B1jana/" TargetMode="External"/><Relationship Id="rId669" Type="http://schemas.openxmlformats.org/officeDocument/2006/relationships/hyperlink" Target="https://prabhupadavani.org/transcriptions/%C5%9Br%C4%AB-%C4%AB%C5%9Bopani%E1%B9%A3ad-mantra-4/" TargetMode="External"/><Relationship Id="rId1490" Type="http://schemas.openxmlformats.org/officeDocument/2006/relationships/hyperlink" Target="https://prabhupadavani.org/transcriptions/730921lebom/" TargetMode="External"/><Relationship Id="rId660" Type="http://schemas.openxmlformats.org/officeDocument/2006/relationships/hyperlink" Target="https://prabhupadavani.org/transcriptions/caitanya-bh%C4%81gavata-antya-kha%E1%B9%87%E1%B8%8D-4126/" TargetMode="External"/><Relationship Id="rId1491" Type="http://schemas.openxmlformats.org/officeDocument/2006/relationships/hyperlink" Target="https://prabhupadavani.org/transcriptions/730921r1bom/" TargetMode="External"/><Relationship Id="rId1492" Type="http://schemas.openxmlformats.org/officeDocument/2006/relationships/hyperlink" Target="https://prabhupadavani.org/transcriptions/730921r2bom/" TargetMode="External"/><Relationship Id="rId1493" Type="http://schemas.openxmlformats.org/officeDocument/2006/relationships/hyperlink" Target="https://prabhupadavani.org/transcriptions/730924bgbom/" TargetMode="External"/><Relationship Id="rId1494" Type="http://schemas.openxmlformats.org/officeDocument/2006/relationships/hyperlink" Target="https://prabhupadavani.org/transcriptions/730925bgbom/" TargetMode="External"/><Relationship Id="rId664" Type="http://schemas.openxmlformats.org/officeDocument/2006/relationships/hyperlink" Target="https://prabhupadavani.org/transcriptions/room-conversation-710705r1/" TargetMode="External"/><Relationship Id="rId1495" Type="http://schemas.openxmlformats.org/officeDocument/2006/relationships/hyperlink" Target="https://prabhupadavani.org/transcriptions/730926bgbom/" TargetMode="External"/><Relationship Id="rId663" Type="http://schemas.openxmlformats.org/officeDocument/2006/relationships/hyperlink" Target="https://prabhupadavani.org/transcriptions/initiation-lecture-710703in/" TargetMode="External"/><Relationship Id="rId1496" Type="http://schemas.openxmlformats.org/officeDocument/2006/relationships/hyperlink" Target="https://prabhupadavani.org/transcriptions/730927bgbom/" TargetMode="External"/><Relationship Id="rId662" Type="http://schemas.openxmlformats.org/officeDocument/2006/relationships/hyperlink" Target="https://prabhupadavani.org/transcriptions/room-conversation-710704r1/" TargetMode="External"/><Relationship Id="rId1497" Type="http://schemas.openxmlformats.org/officeDocument/2006/relationships/hyperlink" Target="https://prabhupadavani.org/transcriptions/730928bgbom/" TargetMode="External"/><Relationship Id="rId661" Type="http://schemas.openxmlformats.org/officeDocument/2006/relationships/hyperlink" Target="https://prabhupadavani.org/transcriptions/lecture-710704le/" TargetMode="External"/><Relationship Id="rId1498" Type="http://schemas.openxmlformats.org/officeDocument/2006/relationships/hyperlink" Target="https://prabhupadavani.org/transcriptions/730929bgbom/" TargetMode="External"/><Relationship Id="rId1488" Type="http://schemas.openxmlformats.org/officeDocument/2006/relationships/hyperlink" Target="https://prabhupadavani.org/transcriptions/730918r1bom/" TargetMode="External"/><Relationship Id="rId1489" Type="http://schemas.openxmlformats.org/officeDocument/2006/relationships/hyperlink" Target="https://prabhupadavani.org/transcriptions/730919r1bom/" TargetMode="External"/><Relationship Id="rId657" Type="http://schemas.openxmlformats.org/officeDocument/2006/relationships/hyperlink" Target="https://prabhupadavani.org/transcriptions/room-conversation-%C5%9Br%C4%ABmad-bh%C4%81gavatam-2742/" TargetMode="External"/><Relationship Id="rId656" Type="http://schemas.openxmlformats.org/officeDocument/2006/relationships/hyperlink" Target="https://prabhupadavani.org/transcriptions/room-conversation-govinda-d%C4%81s%C4%AB-and-gaurasundara/" TargetMode="External"/><Relationship Id="rId655" Type="http://schemas.openxmlformats.org/officeDocument/2006/relationships/hyperlink" Target="https://prabhupadavani.org/transcriptions/room-conversation-govinda-d%C4%81s%C4%AB/" TargetMode="External"/><Relationship Id="rId654" Type="http://schemas.openxmlformats.org/officeDocument/2006/relationships/hyperlink" Target="https://prabhupadavani.org/transcriptions/%C5%9Br%C4%AB-brahma-sa%E1%B9%81hit%C4%81-verse-39-partially-recorded/" TargetMode="External"/><Relationship Id="rId659" Type="http://schemas.openxmlformats.org/officeDocument/2006/relationships/hyperlink" Target="https://prabhupadavani.org/transcriptions/room-conversation-govinda-d%C4%81s%C4%AB-and-gaurasundara-710702r1/" TargetMode="External"/><Relationship Id="rId658" Type="http://schemas.openxmlformats.org/officeDocument/2006/relationships/hyperlink" Target="https://prabhupadavani.org/transcriptions/710702inla/" TargetMode="External"/><Relationship Id="rId1480" Type="http://schemas.openxmlformats.org/officeDocument/2006/relationships/hyperlink" Target="https://prabhupadavani.org/transcriptions/730910bgsto/" TargetMode="External"/><Relationship Id="rId1481" Type="http://schemas.openxmlformats.org/officeDocument/2006/relationships/hyperlink" Target="https://prabhupadavani.org/transcriptions/730910r1sto/" TargetMode="External"/><Relationship Id="rId1482" Type="http://schemas.openxmlformats.org/officeDocument/2006/relationships/hyperlink" Target="https://prabhupadavani.org/transcriptions/730910sbsto/" TargetMode="External"/><Relationship Id="rId1483" Type="http://schemas.openxmlformats.org/officeDocument/2006/relationships/hyperlink" Target="https://prabhupadavani.org/transcriptions/730912sblon/" TargetMode="External"/><Relationship Id="rId653" Type="http://schemas.openxmlformats.org/officeDocument/2006/relationships/hyperlink" Target="https://prabhupadavani.org/transcriptions/room-conversation-710629r1/" TargetMode="External"/><Relationship Id="rId1484" Type="http://schemas.openxmlformats.org/officeDocument/2006/relationships/hyperlink" Target="https://prabhupadavani.org/transcriptions/730912bglon/" TargetMode="External"/><Relationship Id="rId652" Type="http://schemas.openxmlformats.org/officeDocument/2006/relationships/hyperlink" Target="https://prabhupadavani.org/transcriptions/arrival-lecture/" TargetMode="External"/><Relationship Id="rId1485" Type="http://schemas.openxmlformats.org/officeDocument/2006/relationships/hyperlink" Target="https://prabhupadavani.org/transcriptions/730912ivlon/" TargetMode="External"/><Relationship Id="rId651" Type="http://schemas.openxmlformats.org/officeDocument/2006/relationships/hyperlink" Target="https://prabhupadavani.org/transcriptions/disciple-dar%C5%9Bana/" TargetMode="External"/><Relationship Id="rId1486" Type="http://schemas.openxmlformats.org/officeDocument/2006/relationships/hyperlink" Target="https://prabhupadavani.org/transcriptions/730913bglon/" TargetMode="External"/><Relationship Id="rId650" Type="http://schemas.openxmlformats.org/officeDocument/2006/relationships/hyperlink" Target="https://prabhupadavani.org/transcriptions/lecture-710628le/" TargetMode="External"/><Relationship Id="rId1487" Type="http://schemas.openxmlformats.org/officeDocument/2006/relationships/hyperlink" Target="https://prabhupadavani.org/transcriptions/730918arbom/" TargetMode="External"/><Relationship Id="rId3216" Type="http://schemas.openxmlformats.org/officeDocument/2006/relationships/hyperlink" Target="https://prabhupadavani.org/transcriptions/761018bgcha/" TargetMode="External"/><Relationship Id="rId3215" Type="http://schemas.openxmlformats.org/officeDocument/2006/relationships/hyperlink" Target="https://prabhupadavani.org/transcriptions/761017lecha/" TargetMode="External"/><Relationship Id="rId3218" Type="http://schemas.openxmlformats.org/officeDocument/2006/relationships/hyperlink" Target="https://prabhupadavani.org/transcriptions/761023sbvrn/" TargetMode="External"/><Relationship Id="rId3217" Type="http://schemas.openxmlformats.org/officeDocument/2006/relationships/hyperlink" Target="https://prabhupadavani.org/transcriptions/761022sbvrn/" TargetMode="External"/><Relationship Id="rId3219" Type="http://schemas.openxmlformats.org/officeDocument/2006/relationships/hyperlink" Target="https://prabhupadavani.org/transcriptions/761024sbvrn/" TargetMode="External"/><Relationship Id="rId689" Type="http://schemas.openxmlformats.org/officeDocument/2006/relationships/hyperlink" Target="https://prabhupadavani.org/transcriptions/initiations-710723in/" TargetMode="External"/><Relationship Id="rId688" Type="http://schemas.openxmlformats.org/officeDocument/2006/relationships/hyperlink" Target="https://prabhupadavani.org/transcriptions/%C5%9Br%C4%ABmad-bh%C4%81gavatam-618/" TargetMode="External"/><Relationship Id="rId687" Type="http://schemas.openxmlformats.org/officeDocument/2006/relationships/hyperlink" Target="https://prabhupadavani.org/transcriptions/initiations-710722in/" TargetMode="External"/><Relationship Id="rId682" Type="http://schemas.openxmlformats.org/officeDocument/2006/relationships/hyperlink" Target="https://prabhupadavani.org/transcriptions/room-conversation-710720r1/" TargetMode="External"/><Relationship Id="rId681" Type="http://schemas.openxmlformats.org/officeDocument/2006/relationships/hyperlink" Target="https://prabhupadavani.org/transcriptions/%C5%9Br%C4%AB-brahma-sa%E1%B9%81hit%C4%81-verse-33/" TargetMode="External"/><Relationship Id="rId680" Type="http://schemas.openxmlformats.org/officeDocument/2006/relationships/hyperlink" Target="https://prabhupadavani.org/transcriptions/room-conversation-mohsin-hassan/" TargetMode="External"/><Relationship Id="rId3210" Type="http://schemas.openxmlformats.org/officeDocument/2006/relationships/hyperlink" Target="https://prabhupadavani.org/transcriptions/761014mwcha/" TargetMode="External"/><Relationship Id="rId686" Type="http://schemas.openxmlformats.org/officeDocument/2006/relationships/hyperlink" Target="https://prabhupadavani.org/transcriptions/%C5%9Br%C4%ABmad-bh%C4%81gavatam-6168/" TargetMode="External"/><Relationship Id="rId3212" Type="http://schemas.openxmlformats.org/officeDocument/2006/relationships/hyperlink" Target="https://prabhupadavani.org/transcriptions/761015bgcha/" TargetMode="External"/><Relationship Id="rId685" Type="http://schemas.openxmlformats.org/officeDocument/2006/relationships/hyperlink" Target="https://prabhupadavani.org/transcriptions/initiations-710721in/" TargetMode="External"/><Relationship Id="rId3211" Type="http://schemas.openxmlformats.org/officeDocument/2006/relationships/hyperlink" Target="https://prabhupadavani.org/transcriptions/761014adcha/" TargetMode="External"/><Relationship Id="rId684" Type="http://schemas.openxmlformats.org/officeDocument/2006/relationships/hyperlink" Target="https://prabhupadavani.org/transcriptions/jaya-r%C4%81dh%C4%81-m%C4%81dhava-purport-710720pu/" TargetMode="External"/><Relationship Id="rId3214" Type="http://schemas.openxmlformats.org/officeDocument/2006/relationships/hyperlink" Target="https://prabhupadavani.org/transcriptions/761016bgcha/" TargetMode="External"/><Relationship Id="rId683" Type="http://schemas.openxmlformats.org/officeDocument/2006/relationships/hyperlink" Target="https://prabhupadavani.org/transcriptions/lecture-710720le/" TargetMode="External"/><Relationship Id="rId3213" Type="http://schemas.openxmlformats.org/officeDocument/2006/relationships/hyperlink" Target="https://prabhupadavani.org/transcriptions/761016ivcha/" TargetMode="External"/><Relationship Id="rId3205" Type="http://schemas.openxmlformats.org/officeDocument/2006/relationships/hyperlink" Target="https://prabhupadavani.org/transcriptions/761009g1ali/" TargetMode="External"/><Relationship Id="rId3204" Type="http://schemas.openxmlformats.org/officeDocument/2006/relationships/hyperlink" Target="https://prabhupadavani.org/transcriptions/761009sbali/" TargetMode="External"/><Relationship Id="rId3207" Type="http://schemas.openxmlformats.org/officeDocument/2006/relationships/hyperlink" Target="https://prabhupadavani.org/transcriptions/761010sbali/" TargetMode="External"/><Relationship Id="rId3206" Type="http://schemas.openxmlformats.org/officeDocument/2006/relationships/hyperlink" Target="https://prabhupadavani.org/transcriptions/761009r1ali/" TargetMode="External"/><Relationship Id="rId3209" Type="http://schemas.openxmlformats.org/officeDocument/2006/relationships/hyperlink" Target="https://prabhupadavani.org/transcriptions/761013lecha/" TargetMode="External"/><Relationship Id="rId3208" Type="http://schemas.openxmlformats.org/officeDocument/2006/relationships/hyperlink" Target="https://prabhupadavani.org/transcriptions/761010leali/" TargetMode="External"/><Relationship Id="rId679" Type="http://schemas.openxmlformats.org/officeDocument/2006/relationships/hyperlink" Target="https://prabhupadavani.org/transcriptions/initiations-710718in/" TargetMode="External"/><Relationship Id="rId678" Type="http://schemas.openxmlformats.org/officeDocument/2006/relationships/hyperlink" Target="https://prabhupadavani.org/transcriptions/initiations-710717in/" TargetMode="External"/><Relationship Id="rId677" Type="http://schemas.openxmlformats.org/officeDocument/2006/relationships/hyperlink" Target="https://prabhupadavani.org/transcriptions/bhagavad-g%C4%ABt%C4%81-641/" TargetMode="External"/><Relationship Id="rId676" Type="http://schemas.openxmlformats.org/officeDocument/2006/relationships/hyperlink" Target="https://prabhupadavani.org/transcriptions/lecture-710716le/" TargetMode="External"/><Relationship Id="rId671" Type="http://schemas.openxmlformats.org/officeDocument/2006/relationships/hyperlink" Target="https://prabhupadavani.org/transcriptions/%C5%9Br%C4%ABmad-bh%C4%81gavatam-51812/" TargetMode="External"/><Relationship Id="rId670" Type="http://schemas.openxmlformats.org/officeDocument/2006/relationships/hyperlink" Target="https://prabhupadavani.org/transcriptions/wedding-prabh%C4%81vat%C4%AB-and-hari-n%C4%81ma/" TargetMode="External"/><Relationship Id="rId675" Type="http://schemas.openxmlformats.org/officeDocument/2006/relationships/hyperlink" Target="https://prabhupadavani.org/transcriptions/arrival-address-airport-710716ar/" TargetMode="External"/><Relationship Id="rId3201" Type="http://schemas.openxmlformats.org/officeDocument/2006/relationships/hyperlink" Target="https://prabhupadavani.org/transcriptions/761007sbvrn/" TargetMode="External"/><Relationship Id="rId674" Type="http://schemas.openxmlformats.org/officeDocument/2006/relationships/hyperlink" Target="https://prabhupadavani.org/transcriptions/initiation-lecture-710713in/" TargetMode="External"/><Relationship Id="rId3200" Type="http://schemas.openxmlformats.org/officeDocument/2006/relationships/hyperlink" Target="https://prabhupadavani.org/transcriptions/761006sbvrn/" TargetMode="External"/><Relationship Id="rId673" Type="http://schemas.openxmlformats.org/officeDocument/2006/relationships/hyperlink" Target="https://prabhupadavani.org/transcriptions/lecture-710712le/" TargetMode="External"/><Relationship Id="rId3203" Type="http://schemas.openxmlformats.org/officeDocument/2006/relationships/hyperlink" Target="https://prabhupadavani.org/transcriptions/761009arali/" TargetMode="External"/><Relationship Id="rId672" Type="http://schemas.openxmlformats.org/officeDocument/2006/relationships/hyperlink" Target="https://prabhupadavani.org/transcriptions/lecture-710711le/" TargetMode="External"/><Relationship Id="rId3202" Type="http://schemas.openxmlformats.org/officeDocument/2006/relationships/hyperlink" Target="https://prabhupadavani.org/transcriptions/761008sbvrn/" TargetMode="External"/><Relationship Id="rId190" Type="http://schemas.openxmlformats.org/officeDocument/2006/relationships/hyperlink" Target="https://prabhupadavani.org/transcriptions/680327mwsf/" TargetMode="External"/><Relationship Id="rId194" Type="http://schemas.openxmlformats.org/officeDocument/2006/relationships/hyperlink" Target="https://prabhupadavani.org/transcriptions/680506inbos/" TargetMode="External"/><Relationship Id="rId193" Type="http://schemas.openxmlformats.org/officeDocument/2006/relationships/hyperlink" Target="https://prabhupadavani.org/transcriptions/680504sbbos/" TargetMode="External"/><Relationship Id="rId192" Type="http://schemas.openxmlformats.org/officeDocument/2006/relationships/hyperlink" Target="https://prabhupadavani.org/transcriptions/680402lesf/" TargetMode="External"/><Relationship Id="rId191" Type="http://schemas.openxmlformats.org/officeDocument/2006/relationships/hyperlink" Target="https://prabhupadavani.org/transcriptions/680328sbsf/" TargetMode="External"/><Relationship Id="rId187" Type="http://schemas.openxmlformats.org/officeDocument/2006/relationships/hyperlink" Target="https://prabhupadavani.org/transcriptions/680324insf/" TargetMode="External"/><Relationship Id="rId186" Type="http://schemas.openxmlformats.org/officeDocument/2006/relationships/hyperlink" Target="https://prabhupadavani.org/transcriptions/680323mesf/" TargetMode="External"/><Relationship Id="rId185" Type="http://schemas.openxmlformats.org/officeDocument/2006/relationships/hyperlink" Target="https://prabhupadavani.org/transcriptions/680320mesf/" TargetMode="External"/><Relationship Id="rId184" Type="http://schemas.openxmlformats.org/officeDocument/2006/relationships/hyperlink" Target="https://prabhupadavani.org/transcriptions/680318sbsf/" TargetMode="External"/><Relationship Id="rId189" Type="http://schemas.openxmlformats.org/officeDocument/2006/relationships/hyperlink" Target="https://prabhupadavani.org/transcriptions/680326bgsf/" TargetMode="External"/><Relationship Id="rId188" Type="http://schemas.openxmlformats.org/officeDocument/2006/relationships/hyperlink" Target="https://prabhupadavani.org/transcriptions/680325rcsf/" TargetMode="External"/><Relationship Id="rId183" Type="http://schemas.openxmlformats.org/officeDocument/2006/relationships/hyperlink" Target="https://prabhupadavani.org/transcriptions/680317bgsf/" TargetMode="External"/><Relationship Id="rId182" Type="http://schemas.openxmlformats.org/officeDocument/2006/relationships/hyperlink" Target="https://prabhupadavani.org/transcriptions/680316sbsf/" TargetMode="External"/><Relationship Id="rId181" Type="http://schemas.openxmlformats.org/officeDocument/2006/relationships/hyperlink" Target="https://prabhupadavani.org/transcriptions/680315sbsf/" TargetMode="External"/><Relationship Id="rId180" Type="http://schemas.openxmlformats.org/officeDocument/2006/relationships/hyperlink" Target="https://prabhupadavani.org/transcriptions/680313tasf/" TargetMode="External"/><Relationship Id="rId176" Type="http://schemas.openxmlformats.org/officeDocument/2006/relationships/hyperlink" Target="https://prabhupadavani.org/transcriptions/680309sbsf/" TargetMode="External"/><Relationship Id="rId175" Type="http://schemas.openxmlformats.org/officeDocument/2006/relationships/hyperlink" Target="https://prabhupadavani.org/transcriptions/680306sbsf/" TargetMode="External"/><Relationship Id="rId174" Type="http://schemas.openxmlformats.org/officeDocument/2006/relationships/hyperlink" Target="https://prabhupadavani.org/transcriptions/680202lela/" TargetMode="External"/><Relationship Id="rId173" Type="http://schemas.openxmlformats.org/officeDocument/2006/relationships/hyperlink" Target="https://prabhupadavani.org/transcriptions/680112sbla/" TargetMode="External"/><Relationship Id="rId179" Type="http://schemas.openxmlformats.org/officeDocument/2006/relationships/hyperlink" Target="https://prabhupadavani.org/transcriptions/680312ivsf/" TargetMode="External"/><Relationship Id="rId178" Type="http://schemas.openxmlformats.org/officeDocument/2006/relationships/hyperlink" Target="https://prabhupadavani.org/transcriptions/680310insf/" TargetMode="External"/><Relationship Id="rId177" Type="http://schemas.openxmlformats.org/officeDocument/2006/relationships/hyperlink" Target="https://prabhupadavani.org/transcriptions/680309ivsf/" TargetMode="External"/><Relationship Id="rId198" Type="http://schemas.openxmlformats.org/officeDocument/2006/relationships/hyperlink" Target="https://prabhupadavani.org/transcriptions/engagement-lecture-boston-college/" TargetMode="External"/><Relationship Id="rId197" Type="http://schemas.openxmlformats.org/officeDocument/2006/relationships/hyperlink" Target="https://prabhupadavani.org/transcriptions/680508sbbos/" TargetMode="External"/><Relationship Id="rId196" Type="http://schemas.openxmlformats.org/officeDocument/2006/relationships/hyperlink" Target="https://prabhupadavani.org/transcriptions/680505lebos/" TargetMode="External"/><Relationship Id="rId195" Type="http://schemas.openxmlformats.org/officeDocument/2006/relationships/hyperlink" Target="https://prabhupadavani.org/transcriptions/talk-after-lecture/" TargetMode="External"/><Relationship Id="rId199" Type="http://schemas.openxmlformats.org/officeDocument/2006/relationships/hyperlink" Target="https://prabhupadavani.org/transcriptions/initiation-lecture-i/" TargetMode="External"/><Relationship Id="rId150" Type="http://schemas.openxmlformats.org/officeDocument/2006/relationships/hyperlink" Target="https://prabhupadavani.org/transcriptions/670218ccsf/" TargetMode="External"/><Relationship Id="rId149" Type="http://schemas.openxmlformats.org/officeDocument/2006/relationships/hyperlink" Target="https://prabhupadavani.org/transcriptions/670217ccsf/" TargetMode="External"/><Relationship Id="rId148" Type="http://schemas.openxmlformats.org/officeDocument/2006/relationships/hyperlink" Target="https://prabhupadavani.org/transcriptions/670210ccsf/" TargetMode="External"/><Relationship Id="rId3270" Type="http://schemas.openxmlformats.org/officeDocument/2006/relationships/hyperlink" Target="https://prabhupadavani.org/transcriptions/761124r1vrn/" TargetMode="External"/><Relationship Id="rId3272" Type="http://schemas.openxmlformats.org/officeDocument/2006/relationships/hyperlink" Target="https://prabhupadavani.org/transcriptions/761125r1vrn/" TargetMode="External"/><Relationship Id="rId3271" Type="http://schemas.openxmlformats.org/officeDocument/2006/relationships/hyperlink" Target="https://prabhupadavani.org/transcriptions/761125sbvrn/" TargetMode="External"/><Relationship Id="rId143" Type="http://schemas.openxmlformats.org/officeDocument/2006/relationships/hyperlink" Target="https://prabhupadavani.org/transcriptions/670124ccsf/" TargetMode="External"/><Relationship Id="rId3274" Type="http://schemas.openxmlformats.org/officeDocument/2006/relationships/hyperlink" Target="https://prabhupadavani.org/transcriptions/761127sbvrn/" TargetMode="External"/><Relationship Id="rId142" Type="http://schemas.openxmlformats.org/officeDocument/2006/relationships/hyperlink" Target="https://prabhupadavani.org/transcriptions/670123ccsf/" TargetMode="External"/><Relationship Id="rId3273" Type="http://schemas.openxmlformats.org/officeDocument/2006/relationships/hyperlink" Target="https://prabhupadavani.org/transcriptions/761126sbvrn/" TargetMode="External"/><Relationship Id="rId141" Type="http://schemas.openxmlformats.org/officeDocument/2006/relationships/hyperlink" Target="https://prabhupadavani.org/transcriptions/670122ccsf/" TargetMode="External"/><Relationship Id="rId3276" Type="http://schemas.openxmlformats.org/officeDocument/2006/relationships/hyperlink" Target="https://prabhupadavani.org/transcriptions/761129sbvrn/" TargetMode="External"/><Relationship Id="rId140" Type="http://schemas.openxmlformats.org/officeDocument/2006/relationships/hyperlink" Target="https://prabhupadavani.org/transcriptions/670121ccsf/" TargetMode="External"/><Relationship Id="rId3275" Type="http://schemas.openxmlformats.org/officeDocument/2006/relationships/hyperlink" Target="https://prabhupadavani.org/transcriptions/761128sbvrn/" TargetMode="External"/><Relationship Id="rId147" Type="http://schemas.openxmlformats.org/officeDocument/2006/relationships/hyperlink" Target="https://prabhupadavani.org/transcriptions/670209ccsf/" TargetMode="External"/><Relationship Id="rId3278" Type="http://schemas.openxmlformats.org/officeDocument/2006/relationships/hyperlink" Target="https://prabhupadavani.org/transcriptions/761203edhyd/" TargetMode="External"/><Relationship Id="rId146" Type="http://schemas.openxmlformats.org/officeDocument/2006/relationships/hyperlink" Target="https://prabhupadavani.org/transcriptions/670208ccsfi/" TargetMode="External"/><Relationship Id="rId3277" Type="http://schemas.openxmlformats.org/officeDocument/2006/relationships/hyperlink" Target="https://prabhupadavani.org/transcriptions/761130sbvrn/" TargetMode="External"/><Relationship Id="rId145" Type="http://schemas.openxmlformats.org/officeDocument/2006/relationships/hyperlink" Target="https://prabhupadavani.org/transcriptions/670207ccsf/" TargetMode="External"/><Relationship Id="rId144" Type="http://schemas.openxmlformats.org/officeDocument/2006/relationships/hyperlink" Target="https://prabhupadavani.org/transcriptions/670205ccsf/" TargetMode="External"/><Relationship Id="rId3279" Type="http://schemas.openxmlformats.org/officeDocument/2006/relationships/hyperlink" Target="https://prabhupadavani.org/transcriptions/761204mwhyd/" TargetMode="External"/><Relationship Id="rId139" Type="http://schemas.openxmlformats.org/officeDocument/2006/relationships/hyperlink" Target="https://prabhupadavani.org/transcriptions/670120ccsf/" TargetMode="External"/><Relationship Id="rId138" Type="http://schemas.openxmlformats.org/officeDocument/2006/relationships/hyperlink" Target="https://prabhupadavani.org/transcriptions/670116ccny/" TargetMode="External"/><Relationship Id="rId137" Type="http://schemas.openxmlformats.org/officeDocument/2006/relationships/hyperlink" Target="https://prabhupadavani.org/transcriptions/670115ccny/" TargetMode="External"/><Relationship Id="rId3261" Type="http://schemas.openxmlformats.org/officeDocument/2006/relationships/hyperlink" Target="https://prabhupadavani.org/transcriptions/761118sbvrn/" TargetMode="External"/><Relationship Id="rId3260" Type="http://schemas.openxmlformats.org/officeDocument/2006/relationships/hyperlink" Target="https://prabhupadavani.org/transcriptions/761117sbvrn/" TargetMode="External"/><Relationship Id="rId132" Type="http://schemas.openxmlformats.org/officeDocument/2006/relationships/hyperlink" Target="https://prabhupadavani.org/transcriptions/670108ccny/" TargetMode="External"/><Relationship Id="rId3263" Type="http://schemas.openxmlformats.org/officeDocument/2006/relationships/hyperlink" Target="https://prabhupadavani.org/transcriptions/761119sbvrn/" TargetMode="External"/><Relationship Id="rId131" Type="http://schemas.openxmlformats.org/officeDocument/2006/relationships/hyperlink" Target="https://prabhupadavani.org/transcriptions/670107ccny/" TargetMode="External"/><Relationship Id="rId3262" Type="http://schemas.openxmlformats.org/officeDocument/2006/relationships/hyperlink" Target="https://prabhupadavani.org/transcriptions/761118r1vrn/" TargetMode="External"/><Relationship Id="rId130" Type="http://schemas.openxmlformats.org/officeDocument/2006/relationships/hyperlink" Target="https://prabhupadavani.org/transcriptions/670106ccny/" TargetMode="External"/><Relationship Id="rId3265" Type="http://schemas.openxmlformats.org/officeDocument/2006/relationships/hyperlink" Target="https://prabhupadavani.org/transcriptions/761120r1vrn/" TargetMode="External"/><Relationship Id="rId3264" Type="http://schemas.openxmlformats.org/officeDocument/2006/relationships/hyperlink" Target="https://prabhupadavani.org/transcriptions/761120sbvrn/" TargetMode="External"/><Relationship Id="rId136" Type="http://schemas.openxmlformats.org/officeDocument/2006/relationships/hyperlink" Target="https://prabhupadavani.org/transcriptions/670111bgny/" TargetMode="External"/><Relationship Id="rId3267" Type="http://schemas.openxmlformats.org/officeDocument/2006/relationships/hyperlink" Target="https://prabhupadavani.org/transcriptions/761122sbvrn/" TargetMode="External"/><Relationship Id="rId135" Type="http://schemas.openxmlformats.org/officeDocument/2006/relationships/hyperlink" Target="https://prabhupadavani.org/transcriptions/670111ccny/" TargetMode="External"/><Relationship Id="rId3266" Type="http://schemas.openxmlformats.org/officeDocument/2006/relationships/hyperlink" Target="https://prabhupadavani.org/transcriptions/761121sbvrn/" TargetMode="External"/><Relationship Id="rId134" Type="http://schemas.openxmlformats.org/officeDocument/2006/relationships/hyperlink" Target="https://prabhupadavani.org/transcriptions/670110ccny/" TargetMode="External"/><Relationship Id="rId3269" Type="http://schemas.openxmlformats.org/officeDocument/2006/relationships/hyperlink" Target="https://prabhupadavani.org/transcriptions/761124sbvrn/" TargetMode="External"/><Relationship Id="rId133" Type="http://schemas.openxmlformats.org/officeDocument/2006/relationships/hyperlink" Target="https://prabhupadavani.org/transcriptions/670109ccny/" TargetMode="External"/><Relationship Id="rId3268" Type="http://schemas.openxmlformats.org/officeDocument/2006/relationships/hyperlink" Target="https://prabhupadavani.org/transcriptions/761123sbvrn/" TargetMode="External"/><Relationship Id="rId172" Type="http://schemas.openxmlformats.org/officeDocument/2006/relationships/hyperlink" Target="https://prabhupadavani.org/transcriptions/680110sbla/" TargetMode="External"/><Relationship Id="rId171" Type="http://schemas.openxmlformats.org/officeDocument/2006/relationships/hyperlink" Target="https://prabhupadavani.org/transcriptions/680108ccla/" TargetMode="External"/><Relationship Id="rId170" Type="http://schemas.openxmlformats.org/officeDocument/2006/relationships/hyperlink" Target="https://prabhupadavani.org/transcriptions/680106pula/" TargetMode="External"/><Relationship Id="rId3290" Type="http://schemas.openxmlformats.org/officeDocument/2006/relationships/hyperlink" Target="https://prabhupadavani.org/transcriptions/761212r1hyd/" TargetMode="External"/><Relationship Id="rId3292" Type="http://schemas.openxmlformats.org/officeDocument/2006/relationships/hyperlink" Target="https://prabhupadavani.org/transcriptions/761214bghyd/" TargetMode="External"/><Relationship Id="rId3291" Type="http://schemas.openxmlformats.org/officeDocument/2006/relationships/hyperlink" Target="https://prabhupadavani.org/transcriptions/761213bghyd/" TargetMode="External"/><Relationship Id="rId3294" Type="http://schemas.openxmlformats.org/officeDocument/2006/relationships/hyperlink" Target="https://prabhupadavani.org/transcriptions/761216pchyd/" TargetMode="External"/><Relationship Id="rId3293" Type="http://schemas.openxmlformats.org/officeDocument/2006/relationships/hyperlink" Target="https://prabhupadavani.org/transcriptions/761215bghyd/" TargetMode="External"/><Relationship Id="rId165" Type="http://schemas.openxmlformats.org/officeDocument/2006/relationships/hyperlink" Target="https://prabhupadavani.org/transcriptions/670329lesf/" TargetMode="External"/><Relationship Id="rId3296" Type="http://schemas.openxmlformats.org/officeDocument/2006/relationships/hyperlink" Target="https://prabhupadavani.org/transcriptions/761216bghyd/" TargetMode="External"/><Relationship Id="rId164" Type="http://schemas.openxmlformats.org/officeDocument/2006/relationships/hyperlink" Target="https://prabhupadavani.org/transcriptions/670329sbsf/" TargetMode="External"/><Relationship Id="rId3295" Type="http://schemas.openxmlformats.org/officeDocument/2006/relationships/hyperlink" Target="https://prabhupadavani.org/transcriptions/761216r1hyd/" TargetMode="External"/><Relationship Id="rId163" Type="http://schemas.openxmlformats.org/officeDocument/2006/relationships/hyperlink" Target="https://prabhupadavani.org/transcriptions/670327sbsf/" TargetMode="External"/><Relationship Id="rId3298" Type="http://schemas.openxmlformats.org/officeDocument/2006/relationships/hyperlink" Target="https://prabhupadavani.org/transcriptions/761220arbom/" TargetMode="External"/><Relationship Id="rId162" Type="http://schemas.openxmlformats.org/officeDocument/2006/relationships/hyperlink" Target="https://prabhupadavani.org/transcriptions/670326sbsf/" TargetMode="External"/><Relationship Id="rId3297" Type="http://schemas.openxmlformats.org/officeDocument/2006/relationships/hyperlink" Target="https://prabhupadavani.org/transcriptions/761217bghyd/" TargetMode="External"/><Relationship Id="rId169" Type="http://schemas.openxmlformats.org/officeDocument/2006/relationships/hyperlink" Target="https://prabhupadavani.org/transcriptions/670416ccny/" TargetMode="External"/><Relationship Id="rId168" Type="http://schemas.openxmlformats.org/officeDocument/2006/relationships/hyperlink" Target="https://prabhupadavani.org/transcriptions/670415ccsf/" TargetMode="External"/><Relationship Id="rId3299" Type="http://schemas.openxmlformats.org/officeDocument/2006/relationships/hyperlink" Target="https://prabhupadavani.org/transcriptions/761220lewar/" TargetMode="External"/><Relationship Id="rId167" Type="http://schemas.openxmlformats.org/officeDocument/2006/relationships/hyperlink" Target="https://prabhupadavani.org/transcriptions/670405lcsf/" TargetMode="External"/><Relationship Id="rId166" Type="http://schemas.openxmlformats.org/officeDocument/2006/relationships/hyperlink" Target="https://prabhupadavani.org/transcriptions/670331bgsf/" TargetMode="External"/><Relationship Id="rId161" Type="http://schemas.openxmlformats.org/officeDocument/2006/relationships/hyperlink" Target="https://prabhupadavani.org/transcriptions/670322sbsf/" TargetMode="External"/><Relationship Id="rId160" Type="http://schemas.openxmlformats.org/officeDocument/2006/relationships/hyperlink" Target="https://prabhupadavani.org/transcriptions/670320sbsf/" TargetMode="External"/><Relationship Id="rId159" Type="http://schemas.openxmlformats.org/officeDocument/2006/relationships/hyperlink" Target="https://prabhupadavani.org/transcriptions/670318ccsf/" TargetMode="External"/><Relationship Id="rId3281" Type="http://schemas.openxmlformats.org/officeDocument/2006/relationships/hyperlink" Target="https://prabhupadavani.org/transcriptions/761205mwhyd/" TargetMode="External"/><Relationship Id="rId3280" Type="http://schemas.openxmlformats.org/officeDocument/2006/relationships/hyperlink" Target="https://prabhupadavani.org/transcriptions/761204edhyd/" TargetMode="External"/><Relationship Id="rId3283" Type="http://schemas.openxmlformats.org/officeDocument/2006/relationships/hyperlink" Target="https://prabhupadavani.org/transcriptions/761207mwhyd/" TargetMode="External"/><Relationship Id="rId3282" Type="http://schemas.openxmlformats.org/officeDocument/2006/relationships/hyperlink" Target="https://prabhupadavani.org/transcriptions/761205r1hyd/" TargetMode="External"/><Relationship Id="rId154" Type="http://schemas.openxmlformats.org/officeDocument/2006/relationships/hyperlink" Target="https://prabhupadavani.org/transcriptions/670310sbsf/" TargetMode="External"/><Relationship Id="rId3285" Type="http://schemas.openxmlformats.org/officeDocument/2006/relationships/hyperlink" Target="https://prabhupadavani.org/transcriptions/761209r1hyd/" TargetMode="External"/><Relationship Id="rId153" Type="http://schemas.openxmlformats.org/officeDocument/2006/relationships/hyperlink" Target="https://prabhupadavani.org/transcriptions/670303sbsf/" TargetMode="External"/><Relationship Id="rId3284" Type="http://schemas.openxmlformats.org/officeDocument/2006/relationships/hyperlink" Target="https://prabhupadavani.org/transcriptions/761207r1hyd/" TargetMode="External"/><Relationship Id="rId152" Type="http://schemas.openxmlformats.org/officeDocument/2006/relationships/hyperlink" Target="https://prabhupadavani.org/transcriptions/670224ccsf/" TargetMode="External"/><Relationship Id="rId3287" Type="http://schemas.openxmlformats.org/officeDocument/2006/relationships/hyperlink" Target="https://prabhupadavani.org/transcriptions/761210r1hyd/" TargetMode="External"/><Relationship Id="rId151" Type="http://schemas.openxmlformats.org/officeDocument/2006/relationships/hyperlink" Target="https://prabhupadavani.org/transcriptions/670223ccsf/" TargetMode="External"/><Relationship Id="rId3286" Type="http://schemas.openxmlformats.org/officeDocument/2006/relationships/hyperlink" Target="https://prabhupadavani.org/transcriptions/761210dbhyd/" TargetMode="External"/><Relationship Id="rId158" Type="http://schemas.openxmlformats.org/officeDocument/2006/relationships/hyperlink" Target="https://prabhupadavani.org/transcriptions/670317sbsf/" TargetMode="External"/><Relationship Id="rId3289" Type="http://schemas.openxmlformats.org/officeDocument/2006/relationships/hyperlink" Target="https://prabhupadavani.org/transcriptions/761212bghyd/" TargetMode="External"/><Relationship Id="rId157" Type="http://schemas.openxmlformats.org/officeDocument/2006/relationships/hyperlink" Target="https://prabhupadavani.org/transcriptions/670316pusf/" TargetMode="External"/><Relationship Id="rId3288" Type="http://schemas.openxmlformats.org/officeDocument/2006/relationships/hyperlink" Target="https://prabhupadavani.org/transcriptions/761211bghyd/" TargetMode="External"/><Relationship Id="rId156" Type="http://schemas.openxmlformats.org/officeDocument/2006/relationships/hyperlink" Target="https://prabhupadavani.org/transcriptions/670315sbsf/" TargetMode="External"/><Relationship Id="rId155" Type="http://schemas.openxmlformats.org/officeDocument/2006/relationships/hyperlink" Target="https://prabhupadavani.org/transcriptions/670313sbsf/" TargetMode="External"/><Relationship Id="rId2820" Type="http://schemas.openxmlformats.org/officeDocument/2006/relationships/hyperlink" Target="https://prabhupadavani.org/transcriptions/760503r1hon/" TargetMode="External"/><Relationship Id="rId2821" Type="http://schemas.openxmlformats.org/officeDocument/2006/relationships/hyperlink" Target="https://prabhupadavani.org/transcriptions/760504r1hon/" TargetMode="External"/><Relationship Id="rId2822" Type="http://schemas.openxmlformats.org/officeDocument/2006/relationships/hyperlink" Target="https://prabhupadavani.org/transcriptions/760505sbhon/" TargetMode="External"/><Relationship Id="rId2823" Type="http://schemas.openxmlformats.org/officeDocument/2006/relationships/hyperlink" Target="https://prabhupadavani.org/transcriptions/760505r1hon/" TargetMode="External"/><Relationship Id="rId2824" Type="http://schemas.openxmlformats.org/officeDocument/2006/relationships/hyperlink" Target="https://prabhupadavani.org/transcriptions/760506sbhon/" TargetMode="External"/><Relationship Id="rId2825" Type="http://schemas.openxmlformats.org/officeDocument/2006/relationships/hyperlink" Target="https://prabhupadavani.org/transcriptions/760506lehon/" TargetMode="External"/><Relationship Id="rId2826" Type="http://schemas.openxmlformats.org/officeDocument/2006/relationships/hyperlink" Target="https://prabhupadavani.org/transcriptions/760507sbhon/" TargetMode="External"/><Relationship Id="rId2827" Type="http://schemas.openxmlformats.org/officeDocument/2006/relationships/hyperlink" Target="https://prabhupadavani.org/transcriptions/760507r1hon/" TargetMode="External"/><Relationship Id="rId2828" Type="http://schemas.openxmlformats.org/officeDocument/2006/relationships/hyperlink" Target="https://prabhupadavani.org/transcriptions/760508sbhon/" TargetMode="External"/><Relationship Id="rId2829" Type="http://schemas.openxmlformats.org/officeDocument/2006/relationships/hyperlink" Target="https://prabhupadavani.org/transcriptions/760509sbhon/" TargetMode="External"/><Relationship Id="rId2810" Type="http://schemas.openxmlformats.org/officeDocument/2006/relationships/hyperlink" Target="https://prabhupadavani.org/transcriptions/760427pcauc/" TargetMode="External"/><Relationship Id="rId2811" Type="http://schemas.openxmlformats.org/officeDocument/2006/relationships/hyperlink" Target="https://prabhupadavani.org/transcriptions/760427r1auc/" TargetMode="External"/><Relationship Id="rId2812" Type="http://schemas.openxmlformats.org/officeDocument/2006/relationships/hyperlink" Target="https://prabhupadavani.org/transcriptions/760427ccauc/" TargetMode="External"/><Relationship Id="rId2813" Type="http://schemas.openxmlformats.org/officeDocument/2006/relationships/hyperlink" Target="https://prabhupadavani.org/transcriptions/760430r1fij/" TargetMode="External"/><Relationship Id="rId2814" Type="http://schemas.openxmlformats.org/officeDocument/2006/relationships/hyperlink" Target="https://prabhupadavani.org/transcriptions/760501r1fij/" TargetMode="External"/><Relationship Id="rId2815" Type="http://schemas.openxmlformats.org/officeDocument/2006/relationships/hyperlink" Target="https://prabhupadavani.org/transcriptions/760502difij/" TargetMode="External"/><Relationship Id="rId2816" Type="http://schemas.openxmlformats.org/officeDocument/2006/relationships/hyperlink" Target="https://prabhupadavani.org/transcriptions/760502r1fij/" TargetMode="External"/><Relationship Id="rId2817" Type="http://schemas.openxmlformats.org/officeDocument/2006/relationships/hyperlink" Target="https://prabhupadavani.org/transcriptions/760503mwfij/" TargetMode="External"/><Relationship Id="rId2818" Type="http://schemas.openxmlformats.org/officeDocument/2006/relationships/hyperlink" Target="https://prabhupadavani.org/transcriptions/760503r1fij/" TargetMode="External"/><Relationship Id="rId2819" Type="http://schemas.openxmlformats.org/officeDocument/2006/relationships/hyperlink" Target="https://prabhupadavani.org/transcriptions/760503arhon/" TargetMode="External"/><Relationship Id="rId1510" Type="http://schemas.openxmlformats.org/officeDocument/2006/relationships/hyperlink" Target="https://prabhupadavani.org/transcriptions/731013bgbom/" TargetMode="External"/><Relationship Id="rId2841" Type="http://schemas.openxmlformats.org/officeDocument/2006/relationships/hyperlink" Target="https://prabhupadavani.org/transcriptions/760515r1hon/" TargetMode="External"/><Relationship Id="rId1511" Type="http://schemas.openxmlformats.org/officeDocument/2006/relationships/hyperlink" Target="https://prabhupadavani.org/transcriptions/731014bgbom/" TargetMode="External"/><Relationship Id="rId2842" Type="http://schemas.openxmlformats.org/officeDocument/2006/relationships/hyperlink" Target="https://prabhupadavani.org/transcriptions/760516sbhon/" TargetMode="External"/><Relationship Id="rId1512" Type="http://schemas.openxmlformats.org/officeDocument/2006/relationships/hyperlink" Target="https://prabhupadavani.org/transcriptions/731015bgbom/" TargetMode="External"/><Relationship Id="rId2843" Type="http://schemas.openxmlformats.org/officeDocument/2006/relationships/hyperlink" Target="https://prabhupadavani.org/transcriptions/760517sbhon/" TargetMode="External"/><Relationship Id="rId1513" Type="http://schemas.openxmlformats.org/officeDocument/2006/relationships/hyperlink" Target="https://prabhupadavani.org/transcriptions/731018lebom/" TargetMode="External"/><Relationship Id="rId2844" Type="http://schemas.openxmlformats.org/officeDocument/2006/relationships/hyperlink" Target="https://prabhupadavani.org/transcriptions/760517lehon/" TargetMode="External"/><Relationship Id="rId1514" Type="http://schemas.openxmlformats.org/officeDocument/2006/relationships/hyperlink" Target="https://prabhupadavani.org/transcriptions/731020bgbom/" TargetMode="External"/><Relationship Id="rId2845" Type="http://schemas.openxmlformats.org/officeDocument/2006/relationships/hyperlink" Target="https://prabhupadavani.org/transcriptions/760518sbhon/" TargetMode="External"/><Relationship Id="rId1515" Type="http://schemas.openxmlformats.org/officeDocument/2006/relationships/hyperlink" Target="https://prabhupadavani.org/transcriptions/731022bgbom/" TargetMode="External"/><Relationship Id="rId2846" Type="http://schemas.openxmlformats.org/officeDocument/2006/relationships/hyperlink" Target="https://prabhupadavani.org/transcriptions/760518r2bom/" TargetMode="External"/><Relationship Id="rId1516" Type="http://schemas.openxmlformats.org/officeDocument/2006/relationships/hyperlink" Target="https://prabhupadavani.org/transcriptions/731023bgbom/" TargetMode="External"/><Relationship Id="rId2847" Type="http://schemas.openxmlformats.org/officeDocument/2006/relationships/hyperlink" Target="https://prabhupadavani.org/transcriptions/760518r1bom/" TargetMode="External"/><Relationship Id="rId1517" Type="http://schemas.openxmlformats.org/officeDocument/2006/relationships/hyperlink" Target="https://prabhupadavani.org/transcriptions/731025bgbom/" TargetMode="External"/><Relationship Id="rId2848" Type="http://schemas.openxmlformats.org/officeDocument/2006/relationships/hyperlink" Target="https://prabhupadavani.org/transcriptions/760519sbhon/" TargetMode="External"/><Relationship Id="rId1518" Type="http://schemas.openxmlformats.org/officeDocument/2006/relationships/hyperlink" Target="https://prabhupadavani.org/transcriptions/731026bgbom/" TargetMode="External"/><Relationship Id="rId2849" Type="http://schemas.openxmlformats.org/officeDocument/2006/relationships/hyperlink" Target="https://prabhupadavani.org/transcriptions/760519r1hon/" TargetMode="External"/><Relationship Id="rId1519" Type="http://schemas.openxmlformats.org/officeDocument/2006/relationships/hyperlink" Target="https://prabhupadavani.org/transcriptions/731026r1bom/" TargetMode="External"/><Relationship Id="rId2840" Type="http://schemas.openxmlformats.org/officeDocument/2006/relationships/hyperlink" Target="https://prabhupadavani.org/transcriptions/760515sbhon/" TargetMode="External"/><Relationship Id="rId2830" Type="http://schemas.openxmlformats.org/officeDocument/2006/relationships/hyperlink" Target="https://prabhupadavani.org/transcriptions/760510sbhon/" TargetMode="External"/><Relationship Id="rId1500" Type="http://schemas.openxmlformats.org/officeDocument/2006/relationships/hyperlink" Target="https://prabhupadavani.org/transcriptions/731002bgbom/" TargetMode="External"/><Relationship Id="rId2831" Type="http://schemas.openxmlformats.org/officeDocument/2006/relationships/hyperlink" Target="https://prabhupadavani.org/transcriptions/760511sbhon/" TargetMode="External"/><Relationship Id="rId1501" Type="http://schemas.openxmlformats.org/officeDocument/2006/relationships/hyperlink" Target="https://prabhupadavani.org/transcriptions/731003bgbom/" TargetMode="External"/><Relationship Id="rId2832" Type="http://schemas.openxmlformats.org/officeDocument/2006/relationships/hyperlink" Target="https://prabhupadavani.org/transcriptions/760511lehon/" TargetMode="External"/><Relationship Id="rId1502" Type="http://schemas.openxmlformats.org/officeDocument/2006/relationships/hyperlink" Target="https://prabhupadavani.org/transcriptions/731004r1bom/" TargetMode="External"/><Relationship Id="rId2833" Type="http://schemas.openxmlformats.org/officeDocument/2006/relationships/hyperlink" Target="https://prabhupadavani.org/transcriptions/760512mwhon/" TargetMode="External"/><Relationship Id="rId1503" Type="http://schemas.openxmlformats.org/officeDocument/2006/relationships/hyperlink" Target="https://prabhupadavani.org/transcriptions/731005bgbom/" TargetMode="External"/><Relationship Id="rId2834" Type="http://schemas.openxmlformats.org/officeDocument/2006/relationships/hyperlink" Target="https://prabhupadavani.org/transcriptions/760512sbhon/" TargetMode="External"/><Relationship Id="rId1504" Type="http://schemas.openxmlformats.org/officeDocument/2006/relationships/hyperlink" Target="https://prabhupadavani.org/transcriptions/731006bgbom/" TargetMode="External"/><Relationship Id="rId2835" Type="http://schemas.openxmlformats.org/officeDocument/2006/relationships/hyperlink" Target="https://prabhupadavani.org/transcriptions/760512r1hon/" TargetMode="External"/><Relationship Id="rId1505" Type="http://schemas.openxmlformats.org/officeDocument/2006/relationships/hyperlink" Target="https://prabhupadavani.org/transcriptions/731007bgbom/" TargetMode="External"/><Relationship Id="rId2836" Type="http://schemas.openxmlformats.org/officeDocument/2006/relationships/hyperlink" Target="https://prabhupadavani.org/transcriptions/760513sbhon/" TargetMode="External"/><Relationship Id="rId1506" Type="http://schemas.openxmlformats.org/officeDocument/2006/relationships/hyperlink" Target="https://prabhupadavani.org/transcriptions/731009bgbom/" TargetMode="External"/><Relationship Id="rId2837" Type="http://schemas.openxmlformats.org/officeDocument/2006/relationships/hyperlink" Target="https://prabhupadavani.org/transcriptions/760513r2hon/" TargetMode="External"/><Relationship Id="rId1507" Type="http://schemas.openxmlformats.org/officeDocument/2006/relationships/hyperlink" Target="https://prabhupadavani.org/transcriptions/731010bgbom/" TargetMode="External"/><Relationship Id="rId2838" Type="http://schemas.openxmlformats.org/officeDocument/2006/relationships/hyperlink" Target="https://prabhupadavani.org/transcriptions/760514sbhon/" TargetMode="External"/><Relationship Id="rId1508" Type="http://schemas.openxmlformats.org/officeDocument/2006/relationships/hyperlink" Target="https://prabhupadavani.org/transcriptions/731011bgbom/" TargetMode="External"/><Relationship Id="rId2839" Type="http://schemas.openxmlformats.org/officeDocument/2006/relationships/hyperlink" Target="https://prabhupadavani.org/transcriptions/760515mwhon/" TargetMode="External"/><Relationship Id="rId1509" Type="http://schemas.openxmlformats.org/officeDocument/2006/relationships/hyperlink" Target="https://prabhupadavani.org/transcriptions/731012bgbom/" TargetMode="External"/><Relationship Id="rId2800" Type="http://schemas.openxmlformats.org/officeDocument/2006/relationships/hyperlink" Target="https://prabhupadavani.org/transcriptions/760422r3mel/" TargetMode="External"/><Relationship Id="rId2801" Type="http://schemas.openxmlformats.org/officeDocument/2006/relationships/hyperlink" Target="https://prabhupadavani.org/transcriptions/760423inmel/" TargetMode="External"/><Relationship Id="rId2802" Type="http://schemas.openxmlformats.org/officeDocument/2006/relationships/hyperlink" Target="https://prabhupadavani.org/transcriptions/760423r1mel/" TargetMode="External"/><Relationship Id="rId2803" Type="http://schemas.openxmlformats.org/officeDocument/2006/relationships/hyperlink" Target="https://prabhupadavani.org/transcriptions/760423r2mel/" TargetMode="External"/><Relationship Id="rId2804" Type="http://schemas.openxmlformats.org/officeDocument/2006/relationships/hyperlink" Target="https://prabhupadavani.org/transcriptions/760423bgmel/" TargetMode="External"/><Relationship Id="rId2805" Type="http://schemas.openxmlformats.org/officeDocument/2006/relationships/hyperlink" Target="https://prabhupadavani.org/transcriptions/760424mwmel/" TargetMode="External"/><Relationship Id="rId2806" Type="http://schemas.openxmlformats.org/officeDocument/2006/relationships/hyperlink" Target="https://prabhupadavani.org/transcriptions/760424bgmel/" TargetMode="External"/><Relationship Id="rId2807" Type="http://schemas.openxmlformats.org/officeDocument/2006/relationships/hyperlink" Target="https://prabhupadavani.org/transcriptions/760426mwmel/" TargetMode="External"/><Relationship Id="rId2808" Type="http://schemas.openxmlformats.org/officeDocument/2006/relationships/hyperlink" Target="https://prabhupadavani.org/transcriptions/760426bgmel/" TargetMode="External"/><Relationship Id="rId2809" Type="http://schemas.openxmlformats.org/officeDocument/2006/relationships/hyperlink" Target="https://prabhupadavani.org/transcriptions/760427arauc/" TargetMode="External"/><Relationship Id="rId1576" Type="http://schemas.openxmlformats.org/officeDocument/2006/relationships/hyperlink" Target="https://prabhupadavani.org/transcriptions/731210mwla/" TargetMode="External"/><Relationship Id="rId1577" Type="http://schemas.openxmlformats.org/officeDocument/2006/relationships/hyperlink" Target="https://prabhupadavani.org/transcriptions/731210sbla/" TargetMode="External"/><Relationship Id="rId1578" Type="http://schemas.openxmlformats.org/officeDocument/2006/relationships/hyperlink" Target="https://prabhupadavani.org/transcriptions/731210inla/" TargetMode="External"/><Relationship Id="rId1579" Type="http://schemas.openxmlformats.org/officeDocument/2006/relationships/hyperlink" Target="https://prabhupadavani.org/transcriptions/731211mwla/" TargetMode="External"/><Relationship Id="rId987" Type="http://schemas.openxmlformats.org/officeDocument/2006/relationships/hyperlink" Target="https://prabhupadavani.org/transcriptions/720810sblon/" TargetMode="External"/><Relationship Id="rId986" Type="http://schemas.openxmlformats.org/officeDocument/2006/relationships/hyperlink" Target="https://prabhupadavani.org/transcriptions/720809r1lon/" TargetMode="External"/><Relationship Id="rId985" Type="http://schemas.openxmlformats.org/officeDocument/2006/relationships/hyperlink" Target="https://prabhupadavani.org/transcriptions/720809sblon/" TargetMode="External"/><Relationship Id="rId984" Type="http://schemas.openxmlformats.org/officeDocument/2006/relationships/hyperlink" Target="https://prabhupadavani.org/transcriptions/720808r1lon/" TargetMode="External"/><Relationship Id="rId989" Type="http://schemas.openxmlformats.org/officeDocument/2006/relationships/hyperlink" Target="https://prabhupadavani.org/transcriptions/720812r1lon/" TargetMode="External"/><Relationship Id="rId988" Type="http://schemas.openxmlformats.org/officeDocument/2006/relationships/hyperlink" Target="https://prabhupadavani.org/transcriptions/720811ivlon/" TargetMode="External"/><Relationship Id="rId1570" Type="http://schemas.openxmlformats.org/officeDocument/2006/relationships/hyperlink" Target="https://prabhupadavani.org/transcriptions/731208mwla/" TargetMode="External"/><Relationship Id="rId1571" Type="http://schemas.openxmlformats.org/officeDocument/2006/relationships/hyperlink" Target="https://prabhupadavani.org/transcriptions/731208sbla/" TargetMode="External"/><Relationship Id="rId983" Type="http://schemas.openxmlformats.org/officeDocument/2006/relationships/hyperlink" Target="https://prabhupadavani.org/transcriptions/720807r1lon/" TargetMode="External"/><Relationship Id="rId1572" Type="http://schemas.openxmlformats.org/officeDocument/2006/relationships/hyperlink" Target="https://prabhupadavani.org/transcriptions/731209mwla/" TargetMode="External"/><Relationship Id="rId982" Type="http://schemas.openxmlformats.org/officeDocument/2006/relationships/hyperlink" Target="https://prabhupadavani.org/transcriptions/720803sblon/" TargetMode="External"/><Relationship Id="rId1573" Type="http://schemas.openxmlformats.org/officeDocument/2006/relationships/hyperlink" Target="https://prabhupadavani.org/transcriptions/731209sbla/" TargetMode="External"/><Relationship Id="rId981" Type="http://schemas.openxmlformats.org/officeDocument/2006/relationships/hyperlink" Target="https://prabhupadavani.org/transcriptions/720802r1lon/" TargetMode="External"/><Relationship Id="rId1574" Type="http://schemas.openxmlformats.org/officeDocument/2006/relationships/hyperlink" Target="https://prabhupadavani.org/transcriptions/731209chla/" TargetMode="External"/><Relationship Id="rId980" Type="http://schemas.openxmlformats.org/officeDocument/2006/relationships/hyperlink" Target="https://prabhupadavani.org/transcriptions/720802sblon/" TargetMode="External"/><Relationship Id="rId1575" Type="http://schemas.openxmlformats.org/officeDocument/2006/relationships/hyperlink" Target="https://prabhupadavani.org/transcriptions/731209r1la/" TargetMode="External"/><Relationship Id="rId1565" Type="http://schemas.openxmlformats.org/officeDocument/2006/relationships/hyperlink" Target="https://prabhupadavani.org/transcriptions/731205inla/" TargetMode="External"/><Relationship Id="rId2896" Type="http://schemas.openxmlformats.org/officeDocument/2006/relationships/hyperlink" Target="https://prabhupadavani.org/transcriptions/760609gcla/" TargetMode="External"/><Relationship Id="rId1566" Type="http://schemas.openxmlformats.org/officeDocument/2006/relationships/hyperlink" Target="https://prabhupadavani.org/transcriptions/731206mwla/" TargetMode="External"/><Relationship Id="rId2897" Type="http://schemas.openxmlformats.org/officeDocument/2006/relationships/hyperlink" Target="https://prabhupadavani.org/transcriptions/760609r2la/" TargetMode="External"/><Relationship Id="rId1567" Type="http://schemas.openxmlformats.org/officeDocument/2006/relationships/hyperlink" Target="https://prabhupadavani.org/transcriptions/731206sbla/" TargetMode="External"/><Relationship Id="rId2898" Type="http://schemas.openxmlformats.org/officeDocument/2006/relationships/hyperlink" Target="https://prabhupadavani.org/transcriptions/760610mwla/" TargetMode="External"/><Relationship Id="rId1568" Type="http://schemas.openxmlformats.org/officeDocument/2006/relationships/hyperlink" Target="https://prabhupadavani.org/transcriptions/731207mwla/" TargetMode="External"/><Relationship Id="rId2899" Type="http://schemas.openxmlformats.org/officeDocument/2006/relationships/hyperlink" Target="https://prabhupadavani.org/transcriptions/760610sbla/" TargetMode="External"/><Relationship Id="rId1569" Type="http://schemas.openxmlformats.org/officeDocument/2006/relationships/hyperlink" Target="https://prabhupadavani.org/transcriptions/731207sbla/" TargetMode="External"/><Relationship Id="rId976" Type="http://schemas.openxmlformats.org/officeDocument/2006/relationships/hyperlink" Target="https://prabhupadavani.org/transcriptions/720725r1par/" TargetMode="External"/><Relationship Id="rId975" Type="http://schemas.openxmlformats.org/officeDocument/2006/relationships/hyperlink" Target="https://prabhupadavani.org/transcriptions/720720i2par/" TargetMode="External"/><Relationship Id="rId974" Type="http://schemas.openxmlformats.org/officeDocument/2006/relationships/hyperlink" Target="https://prabhupadavani.org/transcriptions/720720ivpar/" TargetMode="External"/><Relationship Id="rId973" Type="http://schemas.openxmlformats.org/officeDocument/2006/relationships/hyperlink" Target="https://prabhupadavani.org/transcriptions/720720arpar/" TargetMode="External"/><Relationship Id="rId979" Type="http://schemas.openxmlformats.org/officeDocument/2006/relationships/hyperlink" Target="https://prabhupadavani.org/transcriptions/720801r1lon/" TargetMode="External"/><Relationship Id="rId978" Type="http://schemas.openxmlformats.org/officeDocument/2006/relationships/hyperlink" Target="https://prabhupadavani.org/transcriptions/720801bggla/" TargetMode="External"/><Relationship Id="rId977" Type="http://schemas.openxmlformats.org/officeDocument/2006/relationships/hyperlink" Target="https://prabhupadavani.org/transcriptions/720731sbgla/" TargetMode="External"/><Relationship Id="rId2890" Type="http://schemas.openxmlformats.org/officeDocument/2006/relationships/hyperlink" Target="https://prabhupadavani.org/transcriptions/760608sbla/" TargetMode="External"/><Relationship Id="rId1560" Type="http://schemas.openxmlformats.org/officeDocument/2006/relationships/hyperlink" Target="https://prabhupadavani.org/transcriptions/731204mwla/" TargetMode="External"/><Relationship Id="rId2891" Type="http://schemas.openxmlformats.org/officeDocument/2006/relationships/hyperlink" Target="https://prabhupadavani.org/transcriptions/760608gcla/" TargetMode="External"/><Relationship Id="rId972" Type="http://schemas.openxmlformats.org/officeDocument/2006/relationships/hyperlink" Target="https://prabhupadavani.org/transcriptions/720720sblon/" TargetMode="External"/><Relationship Id="rId1561" Type="http://schemas.openxmlformats.org/officeDocument/2006/relationships/hyperlink" Target="https://prabhupadavani.org/transcriptions/731204sbla/" TargetMode="External"/><Relationship Id="rId2892" Type="http://schemas.openxmlformats.org/officeDocument/2006/relationships/hyperlink" Target="https://prabhupadavani.org/transcriptions/760608r1la/" TargetMode="External"/><Relationship Id="rId971" Type="http://schemas.openxmlformats.org/officeDocument/2006/relationships/hyperlink" Target="https://prabhupadavani.org/transcriptions/720717r1lon/" TargetMode="External"/><Relationship Id="rId1562" Type="http://schemas.openxmlformats.org/officeDocument/2006/relationships/hyperlink" Target="https://prabhupadavani.org/transcriptions/731204wela/" TargetMode="External"/><Relationship Id="rId2893" Type="http://schemas.openxmlformats.org/officeDocument/2006/relationships/hyperlink" Target="https://prabhupadavani.org/transcriptions/760609mwla/" TargetMode="External"/><Relationship Id="rId970" Type="http://schemas.openxmlformats.org/officeDocument/2006/relationships/hyperlink" Target="https://prabhupadavani.org/transcriptions/720716a2lon/" TargetMode="External"/><Relationship Id="rId1563" Type="http://schemas.openxmlformats.org/officeDocument/2006/relationships/hyperlink" Target="https://prabhupadavani.org/transcriptions/731205mwla/" TargetMode="External"/><Relationship Id="rId2894" Type="http://schemas.openxmlformats.org/officeDocument/2006/relationships/hyperlink" Target="https://prabhupadavani.org/transcriptions/760609sbla/" TargetMode="External"/><Relationship Id="rId1564" Type="http://schemas.openxmlformats.org/officeDocument/2006/relationships/hyperlink" Target="https://prabhupadavani.org/transcriptions/731205sbla/" TargetMode="External"/><Relationship Id="rId2895" Type="http://schemas.openxmlformats.org/officeDocument/2006/relationships/hyperlink" Target="https://prabhupadavani.org/transcriptions/760609r1la/" TargetMode="External"/><Relationship Id="rId1598" Type="http://schemas.openxmlformats.org/officeDocument/2006/relationships/hyperlink" Target="https://prabhupadavani.org/transcriptions/731218sbla/" TargetMode="External"/><Relationship Id="rId1599" Type="http://schemas.openxmlformats.org/officeDocument/2006/relationships/hyperlink" Target="https://prabhupadavani.org/transcriptions/731219mwla/" TargetMode="External"/><Relationship Id="rId1590" Type="http://schemas.openxmlformats.org/officeDocument/2006/relationships/hyperlink" Target="https://prabhupadavani.org/transcriptions/731215mwla/" TargetMode="External"/><Relationship Id="rId1591" Type="http://schemas.openxmlformats.org/officeDocument/2006/relationships/hyperlink" Target="https://prabhupadavani.org/transcriptions/731215sbla/" TargetMode="External"/><Relationship Id="rId1592" Type="http://schemas.openxmlformats.org/officeDocument/2006/relationships/hyperlink" Target="https://prabhupadavani.org/transcriptions/731216mwla/" TargetMode="External"/><Relationship Id="rId1593" Type="http://schemas.openxmlformats.org/officeDocument/2006/relationships/hyperlink" Target="https://prabhupadavani.org/transcriptions/731216sbla/" TargetMode="External"/><Relationship Id="rId1594" Type="http://schemas.openxmlformats.org/officeDocument/2006/relationships/hyperlink" Target="https://prabhupadavani.org/transcriptions/731217mwla/" TargetMode="External"/><Relationship Id="rId1595" Type="http://schemas.openxmlformats.org/officeDocument/2006/relationships/hyperlink" Target="https://prabhupadavani.org/transcriptions/731217sbla/" TargetMode="External"/><Relationship Id="rId1596" Type="http://schemas.openxmlformats.org/officeDocument/2006/relationships/hyperlink" Target="https://prabhupadavani.org/transcriptions/731217chla/" TargetMode="External"/><Relationship Id="rId1597" Type="http://schemas.openxmlformats.org/officeDocument/2006/relationships/hyperlink" Target="https://prabhupadavani.org/transcriptions/731218mwla/" TargetMode="External"/><Relationship Id="rId1587" Type="http://schemas.openxmlformats.org/officeDocument/2006/relationships/hyperlink" Target="https://prabhupadavani.org/transcriptions/731214mwla/" TargetMode="External"/><Relationship Id="rId1588" Type="http://schemas.openxmlformats.org/officeDocument/2006/relationships/hyperlink" Target="https://prabhupadavani.org/transcriptions/731214sbla/" TargetMode="External"/><Relationship Id="rId1589" Type="http://schemas.openxmlformats.org/officeDocument/2006/relationships/hyperlink" Target="https://prabhupadavani.org/transcriptions/731214chla/" TargetMode="External"/><Relationship Id="rId998" Type="http://schemas.openxmlformats.org/officeDocument/2006/relationships/hyperlink" Target="https://prabhupadavani.org/transcriptions/720821sbla/" TargetMode="External"/><Relationship Id="rId997" Type="http://schemas.openxmlformats.org/officeDocument/2006/relationships/hyperlink" Target="https://prabhupadavani.org/transcriptions/720820sbla/" TargetMode="External"/><Relationship Id="rId996" Type="http://schemas.openxmlformats.org/officeDocument/2006/relationships/hyperlink" Target="https://prabhupadavani.org/transcriptions/720819sbla/" TargetMode="External"/><Relationship Id="rId995" Type="http://schemas.openxmlformats.org/officeDocument/2006/relationships/hyperlink" Target="https://prabhupadavani.org/transcriptions/720818sbla/" TargetMode="External"/><Relationship Id="rId999" Type="http://schemas.openxmlformats.org/officeDocument/2006/relationships/hyperlink" Target="https://prabhupadavani.org/transcriptions/720822sbla/" TargetMode="External"/><Relationship Id="rId990" Type="http://schemas.openxmlformats.org/officeDocument/2006/relationships/hyperlink" Target="https://prabhupadavani.org/transcriptions/720813r1lon/" TargetMode="External"/><Relationship Id="rId1580" Type="http://schemas.openxmlformats.org/officeDocument/2006/relationships/hyperlink" Target="https://prabhupadavani.org/transcriptions/731211sbla/" TargetMode="External"/><Relationship Id="rId1581" Type="http://schemas.openxmlformats.org/officeDocument/2006/relationships/hyperlink" Target="https://prabhupadavani.org/transcriptions/731212mwla/" TargetMode="External"/><Relationship Id="rId1582" Type="http://schemas.openxmlformats.org/officeDocument/2006/relationships/hyperlink" Target="https://prabhupadavani.org/transcriptions/731212sbla/" TargetMode="External"/><Relationship Id="rId994" Type="http://schemas.openxmlformats.org/officeDocument/2006/relationships/hyperlink" Target="https://prabhupadavani.org/transcriptions/720817bgla/" TargetMode="External"/><Relationship Id="rId1583" Type="http://schemas.openxmlformats.org/officeDocument/2006/relationships/hyperlink" Target="https://prabhupadavani.org/transcriptions/731213dbla/" TargetMode="External"/><Relationship Id="rId993" Type="http://schemas.openxmlformats.org/officeDocument/2006/relationships/hyperlink" Target="https://prabhupadavani.org/transcriptions/720817sbla/" TargetMode="External"/><Relationship Id="rId1584" Type="http://schemas.openxmlformats.org/officeDocument/2006/relationships/hyperlink" Target="https://prabhupadavani.org/transcriptions/731213mwla/" TargetMode="External"/><Relationship Id="rId992" Type="http://schemas.openxmlformats.org/officeDocument/2006/relationships/hyperlink" Target="https://prabhupadavani.org/transcriptions/720815sbla/" TargetMode="External"/><Relationship Id="rId1585" Type="http://schemas.openxmlformats.org/officeDocument/2006/relationships/hyperlink" Target="https://prabhupadavani.org/transcriptions/731213sbla/" TargetMode="External"/><Relationship Id="rId991" Type="http://schemas.openxmlformats.org/officeDocument/2006/relationships/hyperlink" Target="https://prabhupadavani.org/transcriptions/720814bsla/" TargetMode="External"/><Relationship Id="rId1586" Type="http://schemas.openxmlformats.org/officeDocument/2006/relationships/hyperlink" Target="https://prabhupadavani.org/transcriptions/731213dbla/" TargetMode="External"/><Relationship Id="rId1532" Type="http://schemas.openxmlformats.org/officeDocument/2006/relationships/hyperlink" Target="https://prabhupadavani.org/transcriptions/731104sbdel/" TargetMode="External"/><Relationship Id="rId2863" Type="http://schemas.openxmlformats.org/officeDocument/2006/relationships/hyperlink" Target="https://prabhupadavani.org/transcriptions/760527mwhon/" TargetMode="External"/><Relationship Id="rId1533" Type="http://schemas.openxmlformats.org/officeDocument/2006/relationships/hyperlink" Target="https://prabhupadavani.org/transcriptions/731104r1del/" TargetMode="External"/><Relationship Id="rId2864" Type="http://schemas.openxmlformats.org/officeDocument/2006/relationships/hyperlink" Target="https://prabhupadavani.org/transcriptions/760527sbhon/" TargetMode="External"/><Relationship Id="rId1534" Type="http://schemas.openxmlformats.org/officeDocument/2006/relationships/hyperlink" Target="https://prabhupadavani.org/transcriptions/731105r1del/" TargetMode="External"/><Relationship Id="rId2865" Type="http://schemas.openxmlformats.org/officeDocument/2006/relationships/hyperlink" Target="https://prabhupadavani.org/transcriptions/760528mwhon/" TargetMode="External"/><Relationship Id="rId1535" Type="http://schemas.openxmlformats.org/officeDocument/2006/relationships/hyperlink" Target="https://prabhupadavani.org/transcriptions/731105r2del/" TargetMode="External"/><Relationship Id="rId2866" Type="http://schemas.openxmlformats.org/officeDocument/2006/relationships/hyperlink" Target="https://prabhupadavani.org/transcriptions/760528sbhon/" TargetMode="External"/><Relationship Id="rId1536" Type="http://schemas.openxmlformats.org/officeDocument/2006/relationships/hyperlink" Target="https://prabhupadavani.org/transcriptions/731106sbdel/" TargetMode="External"/><Relationship Id="rId2867" Type="http://schemas.openxmlformats.org/officeDocument/2006/relationships/hyperlink" Target="https://prabhupadavani.org/transcriptions/760529mwhon/" TargetMode="External"/><Relationship Id="rId1537" Type="http://schemas.openxmlformats.org/officeDocument/2006/relationships/hyperlink" Target="https://prabhupadavani.org/transcriptions/731106r1del/" TargetMode="External"/><Relationship Id="rId2868" Type="http://schemas.openxmlformats.org/officeDocument/2006/relationships/hyperlink" Target="https://prabhupadavani.org/transcriptions/760529sbhon/" TargetMode="External"/><Relationship Id="rId1538" Type="http://schemas.openxmlformats.org/officeDocument/2006/relationships/hyperlink" Target="https://prabhupadavani.org/transcriptions/731107sbdel/" TargetMode="External"/><Relationship Id="rId2869" Type="http://schemas.openxmlformats.org/officeDocument/2006/relationships/hyperlink" Target="https://prabhupadavani.org/transcriptions/760530mwhon/" TargetMode="External"/><Relationship Id="rId1539" Type="http://schemas.openxmlformats.org/officeDocument/2006/relationships/hyperlink" Target="https://prabhupadavani.org/transcriptions/731108sbdel/" TargetMode="External"/><Relationship Id="rId949" Type="http://schemas.openxmlformats.org/officeDocument/2006/relationships/hyperlink" Target="https://prabhupadavani.org/transcriptions/720629bgsd/" TargetMode="External"/><Relationship Id="rId948" Type="http://schemas.openxmlformats.org/officeDocument/2006/relationships/hyperlink" Target="https://prabhupadavani.org/transcriptions/720629r1sd/" TargetMode="External"/><Relationship Id="rId943" Type="http://schemas.openxmlformats.org/officeDocument/2006/relationships/hyperlink" Target="https://prabhupadavani.org/transcriptions/720626gcla/" TargetMode="External"/><Relationship Id="rId942" Type="http://schemas.openxmlformats.org/officeDocument/2006/relationships/hyperlink" Target="https://prabhupadavani.org/transcriptions/720626sbla/" TargetMode="External"/><Relationship Id="rId941" Type="http://schemas.openxmlformats.org/officeDocument/2006/relationships/hyperlink" Target="https://prabhupadavani.org/transcriptions/720625sbla/" TargetMode="External"/><Relationship Id="rId940" Type="http://schemas.openxmlformats.org/officeDocument/2006/relationships/hyperlink" Target="https://prabhupadavani.org/transcriptions/720625gcla/" TargetMode="External"/><Relationship Id="rId947" Type="http://schemas.openxmlformats.org/officeDocument/2006/relationships/hyperlink" Target="https://prabhupadavani.org/transcriptions/720629lesd/" TargetMode="External"/><Relationship Id="rId946" Type="http://schemas.openxmlformats.org/officeDocument/2006/relationships/hyperlink" Target="https://prabhupadavani.org/transcriptions/720629arsd/" TargetMode="External"/><Relationship Id="rId945" Type="http://schemas.openxmlformats.org/officeDocument/2006/relationships/hyperlink" Target="https://prabhupadavani.org/transcriptions/720628sbla/" TargetMode="External"/><Relationship Id="rId944" Type="http://schemas.openxmlformats.org/officeDocument/2006/relationships/hyperlink" Target="https://prabhupadavani.org/transcriptions/720627sbla/" TargetMode="External"/><Relationship Id="rId2860" Type="http://schemas.openxmlformats.org/officeDocument/2006/relationships/hyperlink" Target="https://prabhupadavani.org/transcriptions/760525sbhon/" TargetMode="External"/><Relationship Id="rId1530" Type="http://schemas.openxmlformats.org/officeDocument/2006/relationships/hyperlink" Target="https://prabhupadavani.org/transcriptions/731103bgdel/" TargetMode="External"/><Relationship Id="rId2861" Type="http://schemas.openxmlformats.org/officeDocument/2006/relationships/hyperlink" Target="https://prabhupadavani.org/transcriptions/760526mwhon/" TargetMode="External"/><Relationship Id="rId1531" Type="http://schemas.openxmlformats.org/officeDocument/2006/relationships/hyperlink" Target="https://prabhupadavani.org/transcriptions/731103r1del/" TargetMode="External"/><Relationship Id="rId2862" Type="http://schemas.openxmlformats.org/officeDocument/2006/relationships/hyperlink" Target="https://prabhupadavani.org/transcriptions/760526sbhon/" TargetMode="External"/><Relationship Id="rId1521" Type="http://schemas.openxmlformats.org/officeDocument/2006/relationships/hyperlink" Target="https://prabhupadavani.org/transcriptions/731028bgvrn/" TargetMode="External"/><Relationship Id="rId2852" Type="http://schemas.openxmlformats.org/officeDocument/2006/relationships/hyperlink" Target="https://prabhupadavani.org/transcriptions/760520r2hon/" TargetMode="External"/><Relationship Id="rId1522" Type="http://schemas.openxmlformats.org/officeDocument/2006/relationships/hyperlink" Target="https://prabhupadavani.org/transcriptions/731029bgvrn/" TargetMode="External"/><Relationship Id="rId2853" Type="http://schemas.openxmlformats.org/officeDocument/2006/relationships/hyperlink" Target="https://prabhupadavani.org/transcriptions/760521sbhon/" TargetMode="External"/><Relationship Id="rId1523" Type="http://schemas.openxmlformats.org/officeDocument/2006/relationships/hyperlink" Target="https://prabhupadavani.org/transcriptions/731030bgvrn/" TargetMode="External"/><Relationship Id="rId2854" Type="http://schemas.openxmlformats.org/officeDocument/2006/relationships/hyperlink" Target="https://prabhupadavani.org/transcriptions/760521r1hon/" TargetMode="External"/><Relationship Id="rId1524" Type="http://schemas.openxmlformats.org/officeDocument/2006/relationships/hyperlink" Target="https://prabhupadavani.org/transcriptions/731031bgvrn/" TargetMode="External"/><Relationship Id="rId2855" Type="http://schemas.openxmlformats.org/officeDocument/2006/relationships/hyperlink" Target="https://prabhupadavani.org/transcriptions/760522sbhon/" TargetMode="External"/><Relationship Id="rId1525" Type="http://schemas.openxmlformats.org/officeDocument/2006/relationships/hyperlink" Target="https://prabhupadavani.org/transcriptions/731031r1vrn/" TargetMode="External"/><Relationship Id="rId2856" Type="http://schemas.openxmlformats.org/officeDocument/2006/relationships/hyperlink" Target="https://prabhupadavani.org/transcriptions/760523sbhon/" TargetMode="External"/><Relationship Id="rId1526" Type="http://schemas.openxmlformats.org/officeDocument/2006/relationships/hyperlink" Target="https://prabhupadavani.org/transcriptions/731101ardel/" TargetMode="External"/><Relationship Id="rId2857" Type="http://schemas.openxmlformats.org/officeDocument/2006/relationships/hyperlink" Target="https://prabhupadavani.org/transcriptions/760524sbhon/" TargetMode="External"/><Relationship Id="rId1527" Type="http://schemas.openxmlformats.org/officeDocument/2006/relationships/hyperlink" Target="https://prabhupadavani.org/transcriptions/731101r1del/" TargetMode="External"/><Relationship Id="rId2858" Type="http://schemas.openxmlformats.org/officeDocument/2006/relationships/hyperlink" Target="https://prabhupadavani.org/transcriptions/760524r1hon/" TargetMode="External"/><Relationship Id="rId1528" Type="http://schemas.openxmlformats.org/officeDocument/2006/relationships/hyperlink" Target="https://prabhupadavani.org/transcriptions/731101r2del/" TargetMode="External"/><Relationship Id="rId2859" Type="http://schemas.openxmlformats.org/officeDocument/2006/relationships/hyperlink" Target="https://prabhupadavani.org/transcriptions/760525mwhon/" TargetMode="External"/><Relationship Id="rId1529" Type="http://schemas.openxmlformats.org/officeDocument/2006/relationships/hyperlink" Target="https://prabhupadavani.org/transcriptions/731102r1del/" TargetMode="External"/><Relationship Id="rId939" Type="http://schemas.openxmlformats.org/officeDocument/2006/relationships/hyperlink" Target="https://prabhupadavani.org/transcriptions/720624r1la/" TargetMode="External"/><Relationship Id="rId938" Type="http://schemas.openxmlformats.org/officeDocument/2006/relationships/hyperlink" Target="https://prabhupadavani.org/transcriptions/720624sbla/" TargetMode="External"/><Relationship Id="rId937" Type="http://schemas.openxmlformats.org/officeDocument/2006/relationships/hyperlink" Target="https://prabhupadavani.org/transcriptions/720623sbla/" TargetMode="External"/><Relationship Id="rId932" Type="http://schemas.openxmlformats.org/officeDocument/2006/relationships/hyperlink" Target="https://prabhupadavani.org/transcriptions/720619sbla/" TargetMode="External"/><Relationship Id="rId931" Type="http://schemas.openxmlformats.org/officeDocument/2006/relationships/hyperlink" Target="https://prabhupadavani.org/transcriptions/720618gcla/" TargetMode="External"/><Relationship Id="rId930" Type="http://schemas.openxmlformats.org/officeDocument/2006/relationships/hyperlink" Target="https://prabhupadavani.org/transcriptions/720618r1la/" TargetMode="External"/><Relationship Id="rId936" Type="http://schemas.openxmlformats.org/officeDocument/2006/relationships/hyperlink" Target="https://prabhupadavani.org/transcriptions/720622dtla/" TargetMode="External"/><Relationship Id="rId935" Type="http://schemas.openxmlformats.org/officeDocument/2006/relationships/hyperlink" Target="https://prabhupadavani.org/transcriptions/720622sbla/" TargetMode="External"/><Relationship Id="rId934" Type="http://schemas.openxmlformats.org/officeDocument/2006/relationships/hyperlink" Target="https://prabhupadavani.org/transcriptions/720621inla/" TargetMode="External"/><Relationship Id="rId933" Type="http://schemas.openxmlformats.org/officeDocument/2006/relationships/hyperlink" Target="https://prabhupadavani.org/transcriptions/720620sbla/" TargetMode="External"/><Relationship Id="rId2850" Type="http://schemas.openxmlformats.org/officeDocument/2006/relationships/hyperlink" Target="https://prabhupadavani.org/transcriptions/760520sbhon/" TargetMode="External"/><Relationship Id="rId1520" Type="http://schemas.openxmlformats.org/officeDocument/2006/relationships/hyperlink" Target="https://prabhupadavani.org/transcriptions/731026dpbom/" TargetMode="External"/><Relationship Id="rId2851" Type="http://schemas.openxmlformats.org/officeDocument/2006/relationships/hyperlink" Target="https://prabhupadavani.org/transcriptions/760520r1hon/" TargetMode="External"/><Relationship Id="rId1554" Type="http://schemas.openxmlformats.org/officeDocument/2006/relationships/hyperlink" Target="https://prabhupadavani.org/transcriptions/731201sbla/" TargetMode="External"/><Relationship Id="rId2885" Type="http://schemas.openxmlformats.org/officeDocument/2006/relationships/hyperlink" Target="https://prabhupadavani.org/transcriptions/760606mwla/" TargetMode="External"/><Relationship Id="rId1555" Type="http://schemas.openxmlformats.org/officeDocument/2006/relationships/hyperlink" Target="https://prabhupadavani.org/transcriptions/731202mwla/" TargetMode="External"/><Relationship Id="rId2886" Type="http://schemas.openxmlformats.org/officeDocument/2006/relationships/hyperlink" Target="https://prabhupadavani.org/transcriptions/760606sbla/" TargetMode="External"/><Relationship Id="rId1556" Type="http://schemas.openxmlformats.org/officeDocument/2006/relationships/hyperlink" Target="https://prabhupadavani.org/transcriptions/731202sbla/" TargetMode="External"/><Relationship Id="rId2887" Type="http://schemas.openxmlformats.org/officeDocument/2006/relationships/hyperlink" Target="https://prabhupadavani.org/transcriptions/760607mwla/" TargetMode="External"/><Relationship Id="rId1557" Type="http://schemas.openxmlformats.org/officeDocument/2006/relationships/hyperlink" Target="https://prabhupadavani.org/transcriptions/731203mwla/" TargetMode="External"/><Relationship Id="rId2888" Type="http://schemas.openxmlformats.org/officeDocument/2006/relationships/hyperlink" Target="https://prabhupadavani.org/transcriptions/760607sbla/" TargetMode="External"/><Relationship Id="rId1558" Type="http://schemas.openxmlformats.org/officeDocument/2006/relationships/hyperlink" Target="https://prabhupadavani.org/transcriptions/731203sbla/" TargetMode="External"/><Relationship Id="rId2889" Type="http://schemas.openxmlformats.org/officeDocument/2006/relationships/hyperlink" Target="https://prabhupadavani.org/transcriptions/760608mwla/" TargetMode="External"/><Relationship Id="rId1559" Type="http://schemas.openxmlformats.org/officeDocument/2006/relationships/hyperlink" Target="https://prabhupadavani.org/transcriptions/731203cmla/" TargetMode="External"/><Relationship Id="rId965" Type="http://schemas.openxmlformats.org/officeDocument/2006/relationships/hyperlink" Target="https://prabhupadavani.org/transcriptions/720711r1lon/" TargetMode="External"/><Relationship Id="rId964" Type="http://schemas.openxmlformats.org/officeDocument/2006/relationships/hyperlink" Target="https://prabhupadavani.org/transcriptions/720707sblon/" TargetMode="External"/><Relationship Id="rId963" Type="http://schemas.openxmlformats.org/officeDocument/2006/relationships/hyperlink" Target="https://prabhupadavani.org/transcriptions/720706sblon/" TargetMode="External"/><Relationship Id="rId962" Type="http://schemas.openxmlformats.org/officeDocument/2006/relationships/hyperlink" Target="https://prabhupadavani.org/transcriptions/720704r4ny/" TargetMode="External"/><Relationship Id="rId969" Type="http://schemas.openxmlformats.org/officeDocument/2006/relationships/hyperlink" Target="https://prabhupadavani.org/transcriptions/720716adlon/" TargetMode="External"/><Relationship Id="rId968" Type="http://schemas.openxmlformats.org/officeDocument/2006/relationships/hyperlink" Target="https://prabhupadavani.org/transcriptions/720715sblon/" TargetMode="External"/><Relationship Id="rId967" Type="http://schemas.openxmlformats.org/officeDocument/2006/relationships/hyperlink" Target="https://prabhupadavani.org/transcriptions/720714sblon/" TargetMode="External"/><Relationship Id="rId966" Type="http://schemas.openxmlformats.org/officeDocument/2006/relationships/hyperlink" Target="https://prabhupadavani.org/transcriptions/720712lelon/" TargetMode="External"/><Relationship Id="rId2880" Type="http://schemas.openxmlformats.org/officeDocument/2006/relationships/hyperlink" Target="https://prabhupadavani.org/transcriptions/760604ivla/" TargetMode="External"/><Relationship Id="rId961" Type="http://schemas.openxmlformats.org/officeDocument/2006/relationships/hyperlink" Target="https://prabhupadavani.org/transcriptions/720704r3ny/" TargetMode="External"/><Relationship Id="rId1550" Type="http://schemas.openxmlformats.org/officeDocument/2006/relationships/hyperlink" Target="https://prabhupadavani.org/transcriptions/731118sbdel/" TargetMode="External"/><Relationship Id="rId2881" Type="http://schemas.openxmlformats.org/officeDocument/2006/relationships/hyperlink" Target="https://prabhupadavani.org/transcriptions/760604mwla/" TargetMode="External"/><Relationship Id="rId960" Type="http://schemas.openxmlformats.org/officeDocument/2006/relationships/hyperlink" Target="https://prabhupadavani.org/transcriptions/720704r2ny/" TargetMode="External"/><Relationship Id="rId1551" Type="http://schemas.openxmlformats.org/officeDocument/2006/relationships/hyperlink" Target="https://prabhupadavani.org/transcriptions/731125sblon/" TargetMode="External"/><Relationship Id="rId2882" Type="http://schemas.openxmlformats.org/officeDocument/2006/relationships/hyperlink" Target="https://prabhupadavani.org/transcriptions/760604sbla/" TargetMode="External"/><Relationship Id="rId1552" Type="http://schemas.openxmlformats.org/officeDocument/2006/relationships/hyperlink" Target="https://prabhupadavani.org/transcriptions/731129sbny/" TargetMode="External"/><Relationship Id="rId2883" Type="http://schemas.openxmlformats.org/officeDocument/2006/relationships/hyperlink" Target="https://prabhupadavani.org/transcriptions/760605mwla/" TargetMode="External"/><Relationship Id="rId1553" Type="http://schemas.openxmlformats.org/officeDocument/2006/relationships/hyperlink" Target="https://prabhupadavani.org/transcriptions/731130sbla/" TargetMode="External"/><Relationship Id="rId2884" Type="http://schemas.openxmlformats.org/officeDocument/2006/relationships/hyperlink" Target="https://prabhupadavani.org/transcriptions/760605sbla/" TargetMode="External"/><Relationship Id="rId1543" Type="http://schemas.openxmlformats.org/officeDocument/2006/relationships/hyperlink" Target="https://prabhupadavani.org/transcriptions/731111chdel/" TargetMode="External"/><Relationship Id="rId2874" Type="http://schemas.openxmlformats.org/officeDocument/2006/relationships/hyperlink" Target="https://prabhupadavani.org/transcriptions/760531r1hon/" TargetMode="External"/><Relationship Id="rId1544" Type="http://schemas.openxmlformats.org/officeDocument/2006/relationships/hyperlink" Target="https://prabhupadavani.org/transcriptions/731112sbdel/" TargetMode="External"/><Relationship Id="rId2875" Type="http://schemas.openxmlformats.org/officeDocument/2006/relationships/hyperlink" Target="https://prabhupadavani.org/transcriptions/760601sbhon/" TargetMode="External"/><Relationship Id="rId1545" Type="http://schemas.openxmlformats.org/officeDocument/2006/relationships/hyperlink" Target="https://prabhupadavani.org/transcriptions/731113sbdel/" TargetMode="External"/><Relationship Id="rId2876" Type="http://schemas.openxmlformats.org/officeDocument/2006/relationships/hyperlink" Target="https://prabhupadavani.org/transcriptions/760602sbla/" TargetMode="External"/><Relationship Id="rId1546" Type="http://schemas.openxmlformats.org/officeDocument/2006/relationships/hyperlink" Target="https://prabhupadavani.org/transcriptions/731114sbdel/" TargetMode="External"/><Relationship Id="rId2877" Type="http://schemas.openxmlformats.org/officeDocument/2006/relationships/hyperlink" Target="https://prabhupadavani.org/transcriptions/760603ivla/" TargetMode="External"/><Relationship Id="rId1547" Type="http://schemas.openxmlformats.org/officeDocument/2006/relationships/hyperlink" Target="https://prabhupadavani.org/transcriptions/731115sbdel/" TargetMode="External"/><Relationship Id="rId2878" Type="http://schemas.openxmlformats.org/officeDocument/2006/relationships/hyperlink" Target="https://prabhupadavani.org/transcriptions/760603mwla/" TargetMode="External"/><Relationship Id="rId1548" Type="http://schemas.openxmlformats.org/officeDocument/2006/relationships/hyperlink" Target="https://prabhupadavani.org/transcriptions/731116sbdel/" TargetMode="External"/><Relationship Id="rId2879" Type="http://schemas.openxmlformats.org/officeDocument/2006/relationships/hyperlink" Target="https://prabhupadavani.org/transcriptions/760603sbla/" TargetMode="External"/><Relationship Id="rId1549" Type="http://schemas.openxmlformats.org/officeDocument/2006/relationships/hyperlink" Target="https://prabhupadavani.org/transcriptions/731117sbdel/" TargetMode="External"/><Relationship Id="rId959" Type="http://schemas.openxmlformats.org/officeDocument/2006/relationships/hyperlink" Target="https://prabhupadavani.org/transcriptions/720704r1ny/" TargetMode="External"/><Relationship Id="rId954" Type="http://schemas.openxmlformats.org/officeDocument/2006/relationships/hyperlink" Target="https://prabhupadavani.org/transcriptions/720701adsd/" TargetMode="External"/><Relationship Id="rId953" Type="http://schemas.openxmlformats.org/officeDocument/2006/relationships/hyperlink" Target="https://prabhupadavani.org/transcriptions/720701mwsd/" TargetMode="External"/><Relationship Id="rId952" Type="http://schemas.openxmlformats.org/officeDocument/2006/relationships/hyperlink" Target="https://prabhupadavani.org/transcriptions/720630insd/" TargetMode="External"/><Relationship Id="rId951" Type="http://schemas.openxmlformats.org/officeDocument/2006/relationships/hyperlink" Target="https://prabhupadavani.org/transcriptions/720630ivsd/" TargetMode="External"/><Relationship Id="rId958" Type="http://schemas.openxmlformats.org/officeDocument/2006/relationships/hyperlink" Target="https://prabhupadavani.org/transcriptions/720703r1ny/" TargetMode="External"/><Relationship Id="rId957" Type="http://schemas.openxmlformats.org/officeDocument/2006/relationships/hyperlink" Target="https://prabhupadavani.org/transcriptions/720703dpla/" TargetMode="External"/><Relationship Id="rId956" Type="http://schemas.openxmlformats.org/officeDocument/2006/relationships/hyperlink" Target="https://prabhupadavani.org/transcriptions/720702bgsd/" TargetMode="External"/><Relationship Id="rId955" Type="http://schemas.openxmlformats.org/officeDocument/2006/relationships/hyperlink" Target="https://prabhupadavani.org/transcriptions/720701r1sd/" TargetMode="External"/><Relationship Id="rId950" Type="http://schemas.openxmlformats.org/officeDocument/2006/relationships/hyperlink" Target="https://prabhupadavani.org/transcriptions/720630lesd/" TargetMode="External"/><Relationship Id="rId2870" Type="http://schemas.openxmlformats.org/officeDocument/2006/relationships/hyperlink" Target="https://prabhupadavani.org/transcriptions/760530sbhon/" TargetMode="External"/><Relationship Id="rId1540" Type="http://schemas.openxmlformats.org/officeDocument/2006/relationships/hyperlink" Target="https://prabhupadavani.org/transcriptions/731110ledel/" TargetMode="External"/><Relationship Id="rId2871" Type="http://schemas.openxmlformats.org/officeDocument/2006/relationships/hyperlink" Target="https://prabhupadavani.org/transcriptions/760530r1hon/" TargetMode="External"/><Relationship Id="rId1541" Type="http://schemas.openxmlformats.org/officeDocument/2006/relationships/hyperlink" Target="https://prabhupadavani.org/transcriptions/731110r1del/" TargetMode="External"/><Relationship Id="rId2872" Type="http://schemas.openxmlformats.org/officeDocument/2006/relationships/hyperlink" Target="https://prabhupadavani.org/transcriptions/760531mwhon/" TargetMode="External"/><Relationship Id="rId1542" Type="http://schemas.openxmlformats.org/officeDocument/2006/relationships/hyperlink" Target="https://prabhupadavani.org/transcriptions/731111sbdel/" TargetMode="External"/><Relationship Id="rId2873" Type="http://schemas.openxmlformats.org/officeDocument/2006/relationships/hyperlink" Target="https://prabhupadavani.org/transcriptions/760531sbhon/" TargetMode="External"/><Relationship Id="rId2027" Type="http://schemas.openxmlformats.org/officeDocument/2006/relationships/hyperlink" Target="https://prabhupadavani.org/transcriptions/741202sbbom/" TargetMode="External"/><Relationship Id="rId3359" Type="http://schemas.openxmlformats.org/officeDocument/2006/relationships/hyperlink" Target="https://prabhupadavani.org/transcriptions/770116r2cal/" TargetMode="External"/><Relationship Id="rId2028" Type="http://schemas.openxmlformats.org/officeDocument/2006/relationships/hyperlink" Target="https://prabhupadavani.org/transcriptions/741203sbbom/" TargetMode="External"/><Relationship Id="rId3358" Type="http://schemas.openxmlformats.org/officeDocument/2006/relationships/hyperlink" Target="https://prabhupadavani.org/transcriptions/770116r1cal/" TargetMode="External"/><Relationship Id="rId2029" Type="http://schemas.openxmlformats.org/officeDocument/2006/relationships/hyperlink" Target="https://prabhupadavani.org/transcriptions/741204sbbom/" TargetMode="External"/><Relationship Id="rId107" Type="http://schemas.openxmlformats.org/officeDocument/2006/relationships/hyperlink" Target="https://prabhupadavani.org/transcriptions/%C5%9Br%C4%AB-caitanya-carit%C4%81m%E1%B9%9Bta-madhya-l%C4%ABl%C4%81-20298313/" TargetMode="External"/><Relationship Id="rId106" Type="http://schemas.openxmlformats.org/officeDocument/2006/relationships/hyperlink" Target="https://prabhupadavani.org/transcriptions/%C5%9Br%C4%AB-caitanya-carit%C4%81m%E1%B9%9Bta-madhya-l%C4%ABl%C4%81-20294298/" TargetMode="External"/><Relationship Id="rId105" Type="http://schemas.openxmlformats.org/officeDocument/2006/relationships/hyperlink" Target="https://prabhupadavani.org/transcriptions/bhagavad-g%C4%ABt%C4%81-92729/" TargetMode="External"/><Relationship Id="rId104" Type="http://schemas.openxmlformats.org/officeDocument/2006/relationships/hyperlink" Target="https://prabhupadavani.org/transcriptions/%C5%9Br%C4%AB-caitanya-carit%C4%81m%E1%B9%9Bta-madhya-l%C4%ABl%C4%81-20281293/" TargetMode="External"/><Relationship Id="rId109" Type="http://schemas.openxmlformats.org/officeDocument/2006/relationships/hyperlink" Target="https://prabhupadavani.org/transcriptions/%C5%9Br%C4%AB-caitanya-carit%C4%81m%E1%B9%9Bta-madhya-l%C4%ABl%C4%81-20313317/" TargetMode="External"/><Relationship Id="rId108" Type="http://schemas.openxmlformats.org/officeDocument/2006/relationships/hyperlink" Target="https://prabhupadavani.org/transcriptions/bhagavad-g%C4%ABt%C4%81-92932/" TargetMode="External"/><Relationship Id="rId3351" Type="http://schemas.openxmlformats.org/officeDocument/2006/relationships/hyperlink" Target="https://prabhupadavani.org/transcriptions/770109r3bom/" TargetMode="External"/><Relationship Id="rId2020" Type="http://schemas.openxmlformats.org/officeDocument/2006/relationships/hyperlink" Target="https://prabhupadavani.org/transcriptions/741125sbbom/" TargetMode="External"/><Relationship Id="rId3350" Type="http://schemas.openxmlformats.org/officeDocument/2006/relationships/hyperlink" Target="https://prabhupadavani.org/transcriptions/770109r2bom/" TargetMode="External"/><Relationship Id="rId2021" Type="http://schemas.openxmlformats.org/officeDocument/2006/relationships/hyperlink" Target="https://prabhupadavani.org/transcriptions/741126sbbom/" TargetMode="External"/><Relationship Id="rId3353" Type="http://schemas.openxmlformats.org/officeDocument/2006/relationships/hyperlink" Target="https://prabhupadavani.org/transcriptions/770111ttida/" TargetMode="External"/><Relationship Id="rId2022" Type="http://schemas.openxmlformats.org/officeDocument/2006/relationships/hyperlink" Target="https://prabhupadavani.org/transcriptions/741127sbbom/" TargetMode="External"/><Relationship Id="rId3352" Type="http://schemas.openxmlformats.org/officeDocument/2006/relationships/hyperlink" Target="https://prabhupadavani.org/transcriptions/770110r1bom/" TargetMode="External"/><Relationship Id="rId103" Type="http://schemas.openxmlformats.org/officeDocument/2006/relationships/hyperlink" Target="https://prabhupadavani.org/transcriptions/%C5%9Br%C4%AB-caitanya-carit%C4%81m%E1%B9%9Bta-madhya-l%C4%ABl%C4%81-20255281/" TargetMode="External"/><Relationship Id="rId2023" Type="http://schemas.openxmlformats.org/officeDocument/2006/relationships/hyperlink" Target="https://prabhupadavani.org/transcriptions/741128sbbom/" TargetMode="External"/><Relationship Id="rId3355" Type="http://schemas.openxmlformats.org/officeDocument/2006/relationships/hyperlink" Target="https://prabhupadavani.org/transcriptions/770113r1all/" TargetMode="External"/><Relationship Id="rId102" Type="http://schemas.openxmlformats.org/officeDocument/2006/relationships/hyperlink" Target="https://prabhupadavani.org/transcriptions/%C5%9Br%C4%AB-caitanya-carit%C4%81m%E1%B9%9Bta-madhya-l%C4%ABl%C4%81-20245255/" TargetMode="External"/><Relationship Id="rId2024" Type="http://schemas.openxmlformats.org/officeDocument/2006/relationships/hyperlink" Target="https://prabhupadavani.org/transcriptions/741129sbbom/" TargetMode="External"/><Relationship Id="rId3354" Type="http://schemas.openxmlformats.org/officeDocument/2006/relationships/hyperlink" Target="https://prabhupadavani.org/transcriptions/770113leall/" TargetMode="External"/><Relationship Id="rId101" Type="http://schemas.openxmlformats.org/officeDocument/2006/relationships/hyperlink" Target="https://prabhupadavani.org/transcriptions/bhagavad-g%C4%ABt%C4%81-92627/" TargetMode="External"/><Relationship Id="rId2025" Type="http://schemas.openxmlformats.org/officeDocument/2006/relationships/hyperlink" Target="https://prabhupadavani.org/transcriptions/741130sbbom/" TargetMode="External"/><Relationship Id="rId3357" Type="http://schemas.openxmlformats.org/officeDocument/2006/relationships/hyperlink" Target="https://prabhupadavani.org/transcriptions/770115r1all/" TargetMode="External"/><Relationship Id="rId100" Type="http://schemas.openxmlformats.org/officeDocument/2006/relationships/hyperlink" Target="https://prabhupadavani.org/transcriptions/%C5%9Br%C4%AB-caitanya-carit%C4%81m%E1%B9%9Bta-madhya-l%C4%ABl%C4%81-20172244/" TargetMode="External"/><Relationship Id="rId2026" Type="http://schemas.openxmlformats.org/officeDocument/2006/relationships/hyperlink" Target="https://prabhupadavani.org/transcriptions/741201sbbom/" TargetMode="External"/><Relationship Id="rId3356" Type="http://schemas.openxmlformats.org/officeDocument/2006/relationships/hyperlink" Target="https://prabhupadavani.org/transcriptions/770115leall/" TargetMode="External"/><Relationship Id="rId2016" Type="http://schemas.openxmlformats.org/officeDocument/2006/relationships/hyperlink" Target="https://prabhupadavani.org/transcriptions/741121sbbom/" TargetMode="External"/><Relationship Id="rId3348" Type="http://schemas.openxmlformats.org/officeDocument/2006/relationships/hyperlink" Target="https://prabhupadavani.org/transcriptions/770109mwbom/" TargetMode="External"/><Relationship Id="rId2017" Type="http://schemas.openxmlformats.org/officeDocument/2006/relationships/hyperlink" Target="https://prabhupadavani.org/transcriptions/741122sbbom/" TargetMode="External"/><Relationship Id="rId3347" Type="http://schemas.openxmlformats.org/officeDocument/2006/relationships/hyperlink" Target="https://prabhupadavani.org/transcriptions/770108r7bom/" TargetMode="External"/><Relationship Id="rId2018" Type="http://schemas.openxmlformats.org/officeDocument/2006/relationships/hyperlink" Target="https://prabhupadavani.org/transcriptions/741123sbbom/" TargetMode="External"/><Relationship Id="rId2019" Type="http://schemas.openxmlformats.org/officeDocument/2006/relationships/hyperlink" Target="https://prabhupadavani.org/transcriptions/741124sbbom/" TargetMode="External"/><Relationship Id="rId3349" Type="http://schemas.openxmlformats.org/officeDocument/2006/relationships/hyperlink" Target="https://prabhupadavani.org/transcriptions/770109r1bom/" TargetMode="External"/><Relationship Id="rId3340" Type="http://schemas.openxmlformats.org/officeDocument/2006/relationships/hyperlink" Target="https://prabhupadavani.org/transcriptions/770108mwbom/" TargetMode="External"/><Relationship Id="rId2010" Type="http://schemas.openxmlformats.org/officeDocument/2006/relationships/hyperlink" Target="https://prabhupadavani.org/transcriptions/741115sbbom/" TargetMode="External"/><Relationship Id="rId3342" Type="http://schemas.openxmlformats.org/officeDocument/2006/relationships/hyperlink" Target="https://prabhupadavani.org/transcriptions/770108r2bom/" TargetMode="External"/><Relationship Id="rId2011" Type="http://schemas.openxmlformats.org/officeDocument/2006/relationships/hyperlink" Target="https://prabhupadavani.org/transcriptions/741116sbbom/" TargetMode="External"/><Relationship Id="rId3341" Type="http://schemas.openxmlformats.org/officeDocument/2006/relationships/hyperlink" Target="https://prabhupadavani.org/transcriptions/770108r1bom/" TargetMode="External"/><Relationship Id="rId2012" Type="http://schemas.openxmlformats.org/officeDocument/2006/relationships/hyperlink" Target="https://prabhupadavani.org/transcriptions/741117sbbom/" TargetMode="External"/><Relationship Id="rId3344" Type="http://schemas.openxmlformats.org/officeDocument/2006/relationships/hyperlink" Target="https://prabhupadavani.org/transcriptions/770108r4bom/" TargetMode="External"/><Relationship Id="rId2013" Type="http://schemas.openxmlformats.org/officeDocument/2006/relationships/hyperlink" Target="https://prabhupadavani.org/transcriptions/741118sbbom/" TargetMode="External"/><Relationship Id="rId3343" Type="http://schemas.openxmlformats.org/officeDocument/2006/relationships/hyperlink" Target="https://prabhupadavani.org/transcriptions/770108r3bom/" TargetMode="External"/><Relationship Id="rId2014" Type="http://schemas.openxmlformats.org/officeDocument/2006/relationships/hyperlink" Target="https://prabhupadavani.org/transcriptions/741119sbbom/" TargetMode="External"/><Relationship Id="rId3346" Type="http://schemas.openxmlformats.org/officeDocument/2006/relationships/hyperlink" Target="https://prabhupadavani.org/transcriptions/770108r6bom/" TargetMode="External"/><Relationship Id="rId2015" Type="http://schemas.openxmlformats.org/officeDocument/2006/relationships/hyperlink" Target="https://prabhupadavani.org/transcriptions/741120sbbom/" TargetMode="External"/><Relationship Id="rId3345" Type="http://schemas.openxmlformats.org/officeDocument/2006/relationships/hyperlink" Target="https://prabhupadavani.org/transcriptions/770108r5bom/" TargetMode="External"/><Relationship Id="rId2049" Type="http://schemas.openxmlformats.org/officeDocument/2006/relationships/hyperlink" Target="https://prabhupadavani.org/transcriptions/741224sbbom/" TargetMode="External"/><Relationship Id="rId129" Type="http://schemas.openxmlformats.org/officeDocument/2006/relationships/hyperlink" Target="https://prabhupadavani.org/transcriptions/670106bgnyi/" TargetMode="External"/><Relationship Id="rId128" Type="http://schemas.openxmlformats.org/officeDocument/2006/relationships/hyperlink" Target="https://prabhupadavani.org/transcriptions/670105ccny/" TargetMode="External"/><Relationship Id="rId127" Type="http://schemas.openxmlformats.org/officeDocument/2006/relationships/hyperlink" Target="https://prabhupadavani.org/transcriptions/670104ccny/" TargetMode="External"/><Relationship Id="rId126" Type="http://schemas.openxmlformats.org/officeDocument/2006/relationships/hyperlink" Target="https://prabhupadavani.org/transcriptions/670104bgnyi/" TargetMode="External"/><Relationship Id="rId3371" Type="http://schemas.openxmlformats.org/officeDocument/2006/relationships/hyperlink" Target="https://prabhupadavani.org/transcriptions/770121r2bhu/" TargetMode="External"/><Relationship Id="rId2040" Type="http://schemas.openxmlformats.org/officeDocument/2006/relationships/hyperlink" Target="https://prabhupadavani.org/transcriptions/741215sbbom/" TargetMode="External"/><Relationship Id="rId3370" Type="http://schemas.openxmlformats.org/officeDocument/2006/relationships/hyperlink" Target="https://prabhupadavani.org/transcriptions/770121r1bhu/" TargetMode="External"/><Relationship Id="rId121" Type="http://schemas.openxmlformats.org/officeDocument/2006/relationships/hyperlink" Target="https://prabhupadavani.org/transcriptions/%C5%9Br%C4%AB-caitanya-carit%C4%81m%E1%B9%9Bta-madhya-l%C4%ABl%C4%81-20367384/" TargetMode="External"/><Relationship Id="rId2041" Type="http://schemas.openxmlformats.org/officeDocument/2006/relationships/hyperlink" Target="https://prabhupadavani.org/transcriptions/741216sbbom/" TargetMode="External"/><Relationship Id="rId3373" Type="http://schemas.openxmlformats.org/officeDocument/2006/relationships/hyperlink" Target="https://prabhupadavani.org/transcriptions/770121r4bhu/" TargetMode="External"/><Relationship Id="rId120" Type="http://schemas.openxmlformats.org/officeDocument/2006/relationships/hyperlink" Target="https://prabhupadavani.org/transcriptions/bhagavad-g%C4%ABt%C4%81-1013/" TargetMode="External"/><Relationship Id="rId2042" Type="http://schemas.openxmlformats.org/officeDocument/2006/relationships/hyperlink" Target="https://prabhupadavani.org/transcriptions/741217sbbom/" TargetMode="External"/><Relationship Id="rId3372" Type="http://schemas.openxmlformats.org/officeDocument/2006/relationships/hyperlink" Target="https://prabhupadavani.org/transcriptions/770121r3bhu/" TargetMode="External"/><Relationship Id="rId2043" Type="http://schemas.openxmlformats.org/officeDocument/2006/relationships/hyperlink" Target="https://prabhupadavani.org/transcriptions/741218sbbom/" TargetMode="External"/><Relationship Id="rId3375" Type="http://schemas.openxmlformats.org/officeDocument/2006/relationships/hyperlink" Target="https://prabhupadavani.org/transcriptions/770121r6bhu/" TargetMode="External"/><Relationship Id="rId2044" Type="http://schemas.openxmlformats.org/officeDocument/2006/relationships/hyperlink" Target="https://prabhupadavani.org/transcriptions/741219sbbom/" TargetMode="External"/><Relationship Id="rId3374" Type="http://schemas.openxmlformats.org/officeDocument/2006/relationships/hyperlink" Target="https://prabhupadavani.org/transcriptions/770121r5bhu/" TargetMode="External"/><Relationship Id="rId125" Type="http://schemas.openxmlformats.org/officeDocument/2006/relationships/hyperlink" Target="https://prabhupadavani.org/transcriptions/670103ccny/" TargetMode="External"/><Relationship Id="rId2045" Type="http://schemas.openxmlformats.org/officeDocument/2006/relationships/hyperlink" Target="https://prabhupadavani.org/transcriptions/741220sbbom/" TargetMode="External"/><Relationship Id="rId3377" Type="http://schemas.openxmlformats.org/officeDocument/2006/relationships/hyperlink" Target="https://prabhupadavani.org/transcriptions/770122r1bhu/" TargetMode="External"/><Relationship Id="rId124" Type="http://schemas.openxmlformats.org/officeDocument/2006/relationships/hyperlink" Target="https://prabhupadavani.org/transcriptions/670102bgny/" TargetMode="External"/><Relationship Id="rId2046" Type="http://schemas.openxmlformats.org/officeDocument/2006/relationships/hyperlink" Target="https://prabhupadavani.org/transcriptions/741221sbbom/" TargetMode="External"/><Relationship Id="rId3376" Type="http://schemas.openxmlformats.org/officeDocument/2006/relationships/hyperlink" Target="https://prabhupadavani.org/transcriptions/770122bgbhu/" TargetMode="External"/><Relationship Id="rId123" Type="http://schemas.openxmlformats.org/officeDocument/2006/relationships/hyperlink" Target="https://prabhupadavani.org/transcriptions/670102ccny/" TargetMode="External"/><Relationship Id="rId2047" Type="http://schemas.openxmlformats.org/officeDocument/2006/relationships/hyperlink" Target="https://prabhupadavani.org/transcriptions/741222sbbom/" TargetMode="External"/><Relationship Id="rId3379" Type="http://schemas.openxmlformats.org/officeDocument/2006/relationships/hyperlink" Target="https://prabhupadavani.org/transcriptions/770122r3bhu/" TargetMode="External"/><Relationship Id="rId122" Type="http://schemas.openxmlformats.org/officeDocument/2006/relationships/hyperlink" Target="https://prabhupadavani.org/transcriptions/670101ccny/" TargetMode="External"/><Relationship Id="rId2048" Type="http://schemas.openxmlformats.org/officeDocument/2006/relationships/hyperlink" Target="https://prabhupadavani.org/transcriptions/741223sbbom/" TargetMode="External"/><Relationship Id="rId3378" Type="http://schemas.openxmlformats.org/officeDocument/2006/relationships/hyperlink" Target="https://prabhupadavani.org/transcriptions/770122r2bhu/" TargetMode="External"/><Relationship Id="rId2038" Type="http://schemas.openxmlformats.org/officeDocument/2006/relationships/hyperlink" Target="https://prabhupadavani.org/transcriptions/741213sbbom/" TargetMode="External"/><Relationship Id="rId2039" Type="http://schemas.openxmlformats.org/officeDocument/2006/relationships/hyperlink" Target="https://prabhupadavani.org/transcriptions/741214sbbom/" TargetMode="External"/><Relationship Id="rId3369" Type="http://schemas.openxmlformats.org/officeDocument/2006/relationships/hyperlink" Target="https://prabhupadavani.org/transcriptions/770121lebhu/" TargetMode="External"/><Relationship Id="rId118" Type="http://schemas.openxmlformats.org/officeDocument/2006/relationships/hyperlink" Target="https://prabhupadavani.org/transcriptions/%C5%9Br%C4%AB-caitanya-carit%C4%81m%E1%B9%9Bta-madhya-l%C4%ABl%C4%81-20358359/" TargetMode="External"/><Relationship Id="rId117" Type="http://schemas.openxmlformats.org/officeDocument/2006/relationships/hyperlink" Target="https://prabhupadavani.org/transcriptions/bhagavad-g%C4%ABt%C4%81-101/" TargetMode="External"/><Relationship Id="rId116" Type="http://schemas.openxmlformats.org/officeDocument/2006/relationships/hyperlink" Target="https://prabhupadavani.org/transcriptions/%C5%9Br%C4%AB-caitanya-carit%C4%81m%E1%B9%9Bta-madhya-l%C4%ABl%C4%81-20354358/" TargetMode="External"/><Relationship Id="rId115" Type="http://schemas.openxmlformats.org/officeDocument/2006/relationships/hyperlink" Target="https://prabhupadavani.org/transcriptions/%C5%9Br%C4%AB-caitanya-carit%C4%81m%E1%B9%9Bta-madhya-l%C4%ABl%C4%81-20353354/" TargetMode="External"/><Relationship Id="rId3360" Type="http://schemas.openxmlformats.org/officeDocument/2006/relationships/hyperlink" Target="https://prabhupadavani.org/transcriptions/770116r3cal/" TargetMode="External"/><Relationship Id="rId119" Type="http://schemas.openxmlformats.org/officeDocument/2006/relationships/hyperlink" Target="https://prabhupadavani.org/transcriptions/%C5%9Br%C4%AB-caitanya-carit%C4%81m%E1%B9%9Bta-madhya-l%C4%ABl%C4%81-20360-partial-recording/" TargetMode="External"/><Relationship Id="rId110" Type="http://schemas.openxmlformats.org/officeDocument/2006/relationships/hyperlink" Target="https://prabhupadavani.org/transcriptions/%C5%9Br%C4%AB-caitanya-carit%C4%81m%E1%B9%9Bta-madhya-l%C4%ABl%C4%81-20318329/" TargetMode="External"/><Relationship Id="rId2030" Type="http://schemas.openxmlformats.org/officeDocument/2006/relationships/hyperlink" Target="https://prabhupadavani.org/transcriptions/741205sbbom/" TargetMode="External"/><Relationship Id="rId3362" Type="http://schemas.openxmlformats.org/officeDocument/2006/relationships/hyperlink" Target="https://prabhupadavani.org/transcriptions/770119lebhu/" TargetMode="External"/><Relationship Id="rId2031" Type="http://schemas.openxmlformats.org/officeDocument/2006/relationships/hyperlink" Target="https://prabhupadavani.org/transcriptions/741206sbbom/" TargetMode="External"/><Relationship Id="rId3361" Type="http://schemas.openxmlformats.org/officeDocument/2006/relationships/hyperlink" Target="https://prabhupadavani.org/transcriptions/770119arbhu/" TargetMode="External"/><Relationship Id="rId2032" Type="http://schemas.openxmlformats.org/officeDocument/2006/relationships/hyperlink" Target="https://prabhupadavani.org/transcriptions/741207sbbom/" TargetMode="External"/><Relationship Id="rId3364" Type="http://schemas.openxmlformats.org/officeDocument/2006/relationships/hyperlink" Target="https://prabhupadavani.org/transcriptions/770119r2bhu/" TargetMode="External"/><Relationship Id="rId2033" Type="http://schemas.openxmlformats.org/officeDocument/2006/relationships/hyperlink" Target="https://prabhupadavani.org/transcriptions/741208sbbom/" TargetMode="External"/><Relationship Id="rId3363" Type="http://schemas.openxmlformats.org/officeDocument/2006/relationships/hyperlink" Target="https://prabhupadavani.org/transcriptions/770119r1bhu/" TargetMode="External"/><Relationship Id="rId114" Type="http://schemas.openxmlformats.org/officeDocument/2006/relationships/hyperlink" Target="https://prabhupadavani.org/transcriptions/bhagavad-g%C4%ABt%C4%81-934/" TargetMode="External"/><Relationship Id="rId2034" Type="http://schemas.openxmlformats.org/officeDocument/2006/relationships/hyperlink" Target="https://prabhupadavani.org/transcriptions/741209sbbom/" TargetMode="External"/><Relationship Id="rId3366" Type="http://schemas.openxmlformats.org/officeDocument/2006/relationships/hyperlink" Target="https://prabhupadavani.org/transcriptions/770120r1bhu/" TargetMode="External"/><Relationship Id="rId113" Type="http://schemas.openxmlformats.org/officeDocument/2006/relationships/hyperlink" Target="https://prabhupadavani.org/transcriptions/%C5%9Br%C4%AB-caitanya-carit%C4%81m%E1%B9%9Bta-madhya-l%C4%ABl%C4%81-20337353/" TargetMode="External"/><Relationship Id="rId2035" Type="http://schemas.openxmlformats.org/officeDocument/2006/relationships/hyperlink" Target="https://prabhupadavani.org/transcriptions/741210sbbom/" TargetMode="External"/><Relationship Id="rId3365" Type="http://schemas.openxmlformats.org/officeDocument/2006/relationships/hyperlink" Target="https://prabhupadavani.org/transcriptions/770120mwbhu/" TargetMode="External"/><Relationship Id="rId112" Type="http://schemas.openxmlformats.org/officeDocument/2006/relationships/hyperlink" Target="https://prabhupadavani.org/transcriptions/%C5%9Br%C4%AB-caitanya-carit%C4%81m%E1%B9%9Bta-madhya-l%C4%ABl%C4%81-20334341/" TargetMode="External"/><Relationship Id="rId2036" Type="http://schemas.openxmlformats.org/officeDocument/2006/relationships/hyperlink" Target="https://prabhupadavani.org/transcriptions/741211sbbom/" TargetMode="External"/><Relationship Id="rId3368" Type="http://schemas.openxmlformats.org/officeDocument/2006/relationships/hyperlink" Target="https://prabhupadavani.org/transcriptions/770121mwbhu/" TargetMode="External"/><Relationship Id="rId111" Type="http://schemas.openxmlformats.org/officeDocument/2006/relationships/hyperlink" Target="https://prabhupadavani.org/transcriptions/%C5%9Br%C4%AB-caitanya-carit%C4%81m%E1%B9%9Bta-madhya-l%C4%ABl%C4%81-20330335/" TargetMode="External"/><Relationship Id="rId2037" Type="http://schemas.openxmlformats.org/officeDocument/2006/relationships/hyperlink" Target="https://prabhupadavani.org/transcriptions/741212sbbom/" TargetMode="External"/><Relationship Id="rId3367" Type="http://schemas.openxmlformats.org/officeDocument/2006/relationships/hyperlink" Target="https://prabhupadavani.org/transcriptions/770120r2bhu/" TargetMode="External"/><Relationship Id="rId3315" Type="http://schemas.openxmlformats.org/officeDocument/2006/relationships/hyperlink" Target="https://prabhupadavani.org/transcriptions/761228r1bom/" TargetMode="External"/><Relationship Id="rId3314" Type="http://schemas.openxmlformats.org/officeDocument/2006/relationships/hyperlink" Target="https://prabhupadavani.org/transcriptions/761227r2bom/" TargetMode="External"/><Relationship Id="rId3317" Type="http://schemas.openxmlformats.org/officeDocument/2006/relationships/hyperlink" Target="https://prabhupadavani.org/transcriptions/761228r2bom/" TargetMode="External"/><Relationship Id="rId3316" Type="http://schemas.openxmlformats.org/officeDocument/2006/relationships/hyperlink" Target="https://prabhupadavani.org/transcriptions/761228sbbom/" TargetMode="External"/><Relationship Id="rId3319" Type="http://schemas.openxmlformats.org/officeDocument/2006/relationships/hyperlink" Target="https://prabhupadavani.org/transcriptions/761229sbbom/" TargetMode="External"/><Relationship Id="rId3318" Type="http://schemas.openxmlformats.org/officeDocument/2006/relationships/hyperlink" Target="https://prabhupadavani.org/transcriptions/761229mwbom/" TargetMode="External"/><Relationship Id="rId3311" Type="http://schemas.openxmlformats.org/officeDocument/2006/relationships/hyperlink" Target="https://prabhupadavani.org/transcriptions/761226r2bom/" TargetMode="External"/><Relationship Id="rId3310" Type="http://schemas.openxmlformats.org/officeDocument/2006/relationships/hyperlink" Target="https://prabhupadavani.org/transcriptions/761226r3bom/" TargetMode="External"/><Relationship Id="rId3313" Type="http://schemas.openxmlformats.org/officeDocument/2006/relationships/hyperlink" Target="https://prabhupadavani.org/transcriptions/761227r3bom/" TargetMode="External"/><Relationship Id="rId3312" Type="http://schemas.openxmlformats.org/officeDocument/2006/relationships/hyperlink" Target="https://prabhupadavani.org/transcriptions/761227r1bom/" TargetMode="External"/><Relationship Id="rId3304" Type="http://schemas.openxmlformats.org/officeDocument/2006/relationships/hyperlink" Target="https://prabhupadavani.org/transcriptions/761224sbbom/" TargetMode="External"/><Relationship Id="rId3303" Type="http://schemas.openxmlformats.org/officeDocument/2006/relationships/hyperlink" Target="https://prabhupadavani.org/transcriptions/761222r1poo/" TargetMode="External"/><Relationship Id="rId3306" Type="http://schemas.openxmlformats.org/officeDocument/2006/relationships/hyperlink" Target="https://prabhupadavani.org/transcriptions/761225sbbom/" TargetMode="External"/><Relationship Id="rId3305" Type="http://schemas.openxmlformats.org/officeDocument/2006/relationships/hyperlink" Target="https://prabhupadavani.org/transcriptions/761225mwbom/" TargetMode="External"/><Relationship Id="rId3308" Type="http://schemas.openxmlformats.org/officeDocument/2006/relationships/hyperlink" Target="https://prabhupadavani.org/transcriptions/761226sbbom/" TargetMode="External"/><Relationship Id="rId3307" Type="http://schemas.openxmlformats.org/officeDocument/2006/relationships/hyperlink" Target="https://prabhupadavani.org/transcriptions/761225r1bom/" TargetMode="External"/><Relationship Id="rId3309" Type="http://schemas.openxmlformats.org/officeDocument/2006/relationships/hyperlink" Target="https://prabhupadavani.org/transcriptions/761226r1bom/" TargetMode="External"/><Relationship Id="rId3300" Type="http://schemas.openxmlformats.org/officeDocument/2006/relationships/hyperlink" Target="https://prabhupadavani.org/transcriptions/761220r1bom/" TargetMode="External"/><Relationship Id="rId3302" Type="http://schemas.openxmlformats.org/officeDocument/2006/relationships/hyperlink" Target="https://prabhupadavani.org/transcriptions/761222r2poo/" TargetMode="External"/><Relationship Id="rId3301" Type="http://schemas.openxmlformats.org/officeDocument/2006/relationships/hyperlink" Target="https://prabhupadavani.org/transcriptions/761220r1war/" TargetMode="External"/><Relationship Id="rId2005" Type="http://schemas.openxmlformats.org/officeDocument/2006/relationships/hyperlink" Target="https://prabhupadavani.org/transcriptions/741110sbbom/" TargetMode="External"/><Relationship Id="rId3337" Type="http://schemas.openxmlformats.org/officeDocument/2006/relationships/hyperlink" Target="https://prabhupadavani.org/transcriptions/770106r2bom/" TargetMode="External"/><Relationship Id="rId2006" Type="http://schemas.openxmlformats.org/officeDocument/2006/relationships/hyperlink" Target="https://prabhupadavani.org/transcriptions/741111sbbom/" TargetMode="External"/><Relationship Id="rId3336" Type="http://schemas.openxmlformats.org/officeDocument/2006/relationships/hyperlink" Target="https://prabhupadavani.org/transcriptions/770106r1bom/" TargetMode="External"/><Relationship Id="rId2007" Type="http://schemas.openxmlformats.org/officeDocument/2006/relationships/hyperlink" Target="https://prabhupadavani.org/transcriptions/741112sbbom/" TargetMode="External"/><Relationship Id="rId3339" Type="http://schemas.openxmlformats.org/officeDocument/2006/relationships/hyperlink" Target="https://prabhupadavani.org/transcriptions/770107r1bom/" TargetMode="External"/><Relationship Id="rId2008" Type="http://schemas.openxmlformats.org/officeDocument/2006/relationships/hyperlink" Target="https://prabhupadavani.org/transcriptions/741113sbbom/" TargetMode="External"/><Relationship Id="rId3338" Type="http://schemas.openxmlformats.org/officeDocument/2006/relationships/hyperlink" Target="https://prabhupadavani.org/transcriptions/770107edbom/" TargetMode="External"/><Relationship Id="rId2009" Type="http://schemas.openxmlformats.org/officeDocument/2006/relationships/hyperlink" Target="https://prabhupadavani.org/transcriptions/741114sbbom/" TargetMode="External"/><Relationship Id="rId3331" Type="http://schemas.openxmlformats.org/officeDocument/2006/relationships/hyperlink" Target="https://prabhupadavani.org/transcriptions/770104mwbom/" TargetMode="External"/><Relationship Id="rId2000" Type="http://schemas.openxmlformats.org/officeDocument/2006/relationships/hyperlink" Target="https://prabhupadavani.org/transcriptions/741104sbbom/" TargetMode="External"/><Relationship Id="rId3330" Type="http://schemas.openxmlformats.org/officeDocument/2006/relationships/hyperlink" Target="https://prabhupadavani.org/transcriptions/770103r2bom/" TargetMode="External"/><Relationship Id="rId2001" Type="http://schemas.openxmlformats.org/officeDocument/2006/relationships/hyperlink" Target="https://prabhupadavani.org/transcriptions/741105sbbom/" TargetMode="External"/><Relationship Id="rId3333" Type="http://schemas.openxmlformats.org/officeDocument/2006/relationships/hyperlink" Target="https://prabhupadavani.org/transcriptions/770105r1bom/" TargetMode="External"/><Relationship Id="rId2002" Type="http://schemas.openxmlformats.org/officeDocument/2006/relationships/hyperlink" Target="https://prabhupadavani.org/transcriptions/741107sbbom/" TargetMode="External"/><Relationship Id="rId3332" Type="http://schemas.openxmlformats.org/officeDocument/2006/relationships/hyperlink" Target="https://prabhupadavani.org/transcriptions/770104r1bom/" TargetMode="External"/><Relationship Id="rId2003" Type="http://schemas.openxmlformats.org/officeDocument/2006/relationships/hyperlink" Target="https://prabhupadavani.org/transcriptions/741108sbbom/" TargetMode="External"/><Relationship Id="rId3335" Type="http://schemas.openxmlformats.org/officeDocument/2006/relationships/hyperlink" Target="https://prabhupadavani.org/transcriptions/770105r3bom/" TargetMode="External"/><Relationship Id="rId2004" Type="http://schemas.openxmlformats.org/officeDocument/2006/relationships/hyperlink" Target="https://prabhupadavani.org/transcriptions/741109sbbom/" TargetMode="External"/><Relationship Id="rId3334" Type="http://schemas.openxmlformats.org/officeDocument/2006/relationships/hyperlink" Target="https://prabhupadavani.org/transcriptions/770105r2bom/" TargetMode="External"/><Relationship Id="rId3326" Type="http://schemas.openxmlformats.org/officeDocument/2006/relationships/hyperlink" Target="https://prabhupadavani.org/transcriptions/770102r1bom/" TargetMode="External"/><Relationship Id="rId3325" Type="http://schemas.openxmlformats.org/officeDocument/2006/relationships/hyperlink" Target="https://prabhupadavani.org/transcriptions/770102mwbom/" TargetMode="External"/><Relationship Id="rId3328" Type="http://schemas.openxmlformats.org/officeDocument/2006/relationships/hyperlink" Target="https://prabhupadavani.org/transcriptions/770102r3bom/" TargetMode="External"/><Relationship Id="rId3327" Type="http://schemas.openxmlformats.org/officeDocument/2006/relationships/hyperlink" Target="https://prabhupadavani.org/transcriptions/770102r2bom/" TargetMode="External"/><Relationship Id="rId3329" Type="http://schemas.openxmlformats.org/officeDocument/2006/relationships/hyperlink" Target="https://prabhupadavani.org/transcriptions/770103r1bom/" TargetMode="External"/><Relationship Id="rId3320" Type="http://schemas.openxmlformats.org/officeDocument/2006/relationships/hyperlink" Target="https://prabhupadavani.org/transcriptions/761229r1bom/" TargetMode="External"/><Relationship Id="rId3322" Type="http://schemas.openxmlformats.org/officeDocument/2006/relationships/hyperlink" Target="https://prabhupadavani.org/transcriptions/761231ivbom/" TargetMode="External"/><Relationship Id="rId3321" Type="http://schemas.openxmlformats.org/officeDocument/2006/relationships/hyperlink" Target="https://prabhupadavani.org/transcriptions/761230r1bom/" TargetMode="External"/><Relationship Id="rId3324" Type="http://schemas.openxmlformats.org/officeDocument/2006/relationships/hyperlink" Target="https://prabhupadavani.org/transcriptions/761231r2bom/" TargetMode="External"/><Relationship Id="rId3323" Type="http://schemas.openxmlformats.org/officeDocument/2006/relationships/hyperlink" Target="https://prabhupadavani.org/transcriptions/761231r1bom/" TargetMode="External"/><Relationship Id="rId2090" Type="http://schemas.openxmlformats.org/officeDocument/2006/relationships/hyperlink" Target="https://prabhupadavani.org/transcriptions/750204mwhon/" TargetMode="External"/><Relationship Id="rId2091" Type="http://schemas.openxmlformats.org/officeDocument/2006/relationships/hyperlink" Target="https://prabhupadavani.org/transcriptions/750204bghon/" TargetMode="External"/><Relationship Id="rId2092" Type="http://schemas.openxmlformats.org/officeDocument/2006/relationships/hyperlink" Target="https://prabhupadavani.org/transcriptions/750205bghon/" TargetMode="External"/><Relationship Id="rId2093" Type="http://schemas.openxmlformats.org/officeDocument/2006/relationships/hyperlink" Target="https://prabhupadavani.org/transcriptions/750206bghon/" TargetMode="External"/><Relationship Id="rId2094" Type="http://schemas.openxmlformats.org/officeDocument/2006/relationships/hyperlink" Target="https://prabhupadavani.org/transcriptions/750207bghon/" TargetMode="External"/><Relationship Id="rId2095" Type="http://schemas.openxmlformats.org/officeDocument/2006/relationships/hyperlink" Target="https://prabhupadavani.org/transcriptions/750208bghon/" TargetMode="External"/><Relationship Id="rId2096" Type="http://schemas.openxmlformats.org/officeDocument/2006/relationships/hyperlink" Target="https://prabhupadavani.org/transcriptions/750209arla/" TargetMode="External"/><Relationship Id="rId2097" Type="http://schemas.openxmlformats.org/officeDocument/2006/relationships/hyperlink" Target="https://prabhupadavani.org/transcriptions/750210mwla/" TargetMode="External"/><Relationship Id="rId2098" Type="http://schemas.openxmlformats.org/officeDocument/2006/relationships/hyperlink" Target="https://prabhupadavani.org/transcriptions/750210sbla/" TargetMode="External"/><Relationship Id="rId2099" Type="http://schemas.openxmlformats.org/officeDocument/2006/relationships/hyperlink" Target="https://prabhupadavani.org/transcriptions/750211armex/" TargetMode="External"/><Relationship Id="rId3391" Type="http://schemas.openxmlformats.org/officeDocument/2006/relationships/hyperlink" Target="https://prabhupadavani.org/transcriptions/770126r1pur/" TargetMode="External"/><Relationship Id="rId2060" Type="http://schemas.openxmlformats.org/officeDocument/2006/relationships/hyperlink" Target="https://prabhupadavani.org/transcriptions/750103r1bom/" TargetMode="External"/><Relationship Id="rId3390" Type="http://schemas.openxmlformats.org/officeDocument/2006/relationships/hyperlink" Target="https://prabhupadavani.org/transcriptions/770125r2pur/" TargetMode="External"/><Relationship Id="rId2061" Type="http://schemas.openxmlformats.org/officeDocument/2006/relationships/hyperlink" Target="https://prabhupadavani.org/transcriptions/750104sbbom/" TargetMode="External"/><Relationship Id="rId3393" Type="http://schemas.openxmlformats.org/officeDocument/2006/relationships/hyperlink" Target="https://prabhupadavani.org/transcriptions/770126adpur/" TargetMode="External"/><Relationship Id="rId2062" Type="http://schemas.openxmlformats.org/officeDocument/2006/relationships/hyperlink" Target="https://prabhupadavani.org/transcriptions/750105sbbom/" TargetMode="External"/><Relationship Id="rId3392" Type="http://schemas.openxmlformats.org/officeDocument/2006/relationships/hyperlink" Target="https://prabhupadavani.org/transcriptions/770126r2pur/" TargetMode="External"/><Relationship Id="rId2063" Type="http://schemas.openxmlformats.org/officeDocument/2006/relationships/hyperlink" Target="https://prabhupadavani.org/transcriptions/750106sbbom/" TargetMode="External"/><Relationship Id="rId3395" Type="http://schemas.openxmlformats.org/officeDocument/2006/relationships/hyperlink" Target="https://prabhupadavani.org/transcriptions/770127r2pur/" TargetMode="External"/><Relationship Id="rId2064" Type="http://schemas.openxmlformats.org/officeDocument/2006/relationships/hyperlink" Target="https://prabhupadavani.org/transcriptions/750107sbbom/" TargetMode="External"/><Relationship Id="rId3394" Type="http://schemas.openxmlformats.org/officeDocument/2006/relationships/hyperlink" Target="https://prabhupadavani.org/transcriptions/770127r1pur/" TargetMode="External"/><Relationship Id="rId2065" Type="http://schemas.openxmlformats.org/officeDocument/2006/relationships/hyperlink" Target="https://prabhupadavani.org/transcriptions/750108sbbom/" TargetMode="External"/><Relationship Id="rId3397" Type="http://schemas.openxmlformats.org/officeDocument/2006/relationships/hyperlink" Target="https://prabhupadavani.org/transcriptions/770127r2bhu/" TargetMode="External"/><Relationship Id="rId2066" Type="http://schemas.openxmlformats.org/officeDocument/2006/relationships/hyperlink" Target="https://prabhupadavani.org/transcriptions/750109sbbom/" TargetMode="External"/><Relationship Id="rId3396" Type="http://schemas.openxmlformats.org/officeDocument/2006/relationships/hyperlink" Target="https://prabhupadavani.org/transcriptions/770127r1bhu/" TargetMode="External"/><Relationship Id="rId2067" Type="http://schemas.openxmlformats.org/officeDocument/2006/relationships/hyperlink" Target="https://prabhupadavani.org/transcriptions/750111sbbom/" TargetMode="External"/><Relationship Id="rId3399" Type="http://schemas.openxmlformats.org/officeDocument/2006/relationships/hyperlink" Target="https://prabhupadavani.org/transcriptions/770128r1bhu/" TargetMode="External"/><Relationship Id="rId2068" Type="http://schemas.openxmlformats.org/officeDocument/2006/relationships/hyperlink" Target="https://prabhupadavani.org/transcriptions/750112sbbom/" TargetMode="External"/><Relationship Id="rId3398" Type="http://schemas.openxmlformats.org/officeDocument/2006/relationships/hyperlink" Target="https://prabhupadavani.org/transcriptions/770128mwbhu/" TargetMode="External"/><Relationship Id="rId2069" Type="http://schemas.openxmlformats.org/officeDocument/2006/relationships/hyperlink" Target="https://prabhupadavani.org/transcriptions/750114sbbom/" TargetMode="External"/><Relationship Id="rId3380" Type="http://schemas.openxmlformats.org/officeDocument/2006/relationships/hyperlink" Target="https://prabhupadavani.org/transcriptions/770123lebhu/" TargetMode="External"/><Relationship Id="rId2050" Type="http://schemas.openxmlformats.org/officeDocument/2006/relationships/hyperlink" Target="https://prabhupadavani.org/transcriptions/741225sbbom/" TargetMode="External"/><Relationship Id="rId3382" Type="http://schemas.openxmlformats.org/officeDocument/2006/relationships/hyperlink" Target="https://prabhupadavani.org/transcriptions/770123r1bhu/" TargetMode="External"/><Relationship Id="rId2051" Type="http://schemas.openxmlformats.org/officeDocument/2006/relationships/hyperlink" Target="https://prabhupadavani.org/transcriptions/741226sbbom/" TargetMode="External"/><Relationship Id="rId3381" Type="http://schemas.openxmlformats.org/officeDocument/2006/relationships/hyperlink" Target="https://prabhupadavani.org/transcriptions/770123edbhu/" TargetMode="External"/><Relationship Id="rId2052" Type="http://schemas.openxmlformats.org/officeDocument/2006/relationships/hyperlink" Target="https://prabhupadavani.org/transcriptions/741227sbbom/" TargetMode="External"/><Relationship Id="rId3384" Type="http://schemas.openxmlformats.org/officeDocument/2006/relationships/hyperlink" Target="https://prabhupadavani.org/transcriptions/770124mwbhu/" TargetMode="External"/><Relationship Id="rId2053" Type="http://schemas.openxmlformats.org/officeDocument/2006/relationships/hyperlink" Target="https://prabhupadavani.org/transcriptions/741228sbbom/" TargetMode="External"/><Relationship Id="rId3383" Type="http://schemas.openxmlformats.org/officeDocument/2006/relationships/hyperlink" Target="https://prabhupadavani.org/transcriptions/770123r2bhu/" TargetMode="External"/><Relationship Id="rId2054" Type="http://schemas.openxmlformats.org/officeDocument/2006/relationships/hyperlink" Target="https://prabhupadavani.org/transcriptions/741229sbbom/" TargetMode="External"/><Relationship Id="rId3386" Type="http://schemas.openxmlformats.org/officeDocument/2006/relationships/hyperlink" Target="https://prabhupadavani.org/transcriptions/770124r1bhu/" TargetMode="External"/><Relationship Id="rId2055" Type="http://schemas.openxmlformats.org/officeDocument/2006/relationships/hyperlink" Target="https://prabhupadavani.org/transcriptions/741230sbbom/" TargetMode="External"/><Relationship Id="rId3385" Type="http://schemas.openxmlformats.org/officeDocument/2006/relationships/hyperlink" Target="https://prabhupadavani.org/transcriptions/770124ccbhu/" TargetMode="External"/><Relationship Id="rId2056" Type="http://schemas.openxmlformats.org/officeDocument/2006/relationships/hyperlink" Target="https://prabhupadavani.org/transcriptions/741231sbbom/" TargetMode="External"/><Relationship Id="rId3388" Type="http://schemas.openxmlformats.org/officeDocument/2006/relationships/hyperlink" Target="https://prabhupadavani.org/transcriptions/770125mwpur/" TargetMode="External"/><Relationship Id="rId2057" Type="http://schemas.openxmlformats.org/officeDocument/2006/relationships/hyperlink" Target="https://prabhupadavani.org/transcriptions/750101sbbom/" TargetMode="External"/><Relationship Id="rId3387" Type="http://schemas.openxmlformats.org/officeDocument/2006/relationships/hyperlink" Target="https://prabhupadavani.org/transcriptions/770124r2bhu/" TargetMode="External"/><Relationship Id="rId2058" Type="http://schemas.openxmlformats.org/officeDocument/2006/relationships/hyperlink" Target="https://prabhupadavani.org/transcriptions/750102sbbom/" TargetMode="External"/><Relationship Id="rId2059" Type="http://schemas.openxmlformats.org/officeDocument/2006/relationships/hyperlink" Target="https://prabhupadavani.org/transcriptions/750103sbbom/" TargetMode="External"/><Relationship Id="rId3389" Type="http://schemas.openxmlformats.org/officeDocument/2006/relationships/hyperlink" Target="https://prabhupadavani.org/transcriptions/770125r1pur/" TargetMode="External"/><Relationship Id="rId2080" Type="http://schemas.openxmlformats.org/officeDocument/2006/relationships/hyperlink" Target="https://prabhupadavani.org/transcriptions/750126cdhk/" TargetMode="External"/><Relationship Id="rId2081" Type="http://schemas.openxmlformats.org/officeDocument/2006/relationships/hyperlink" Target="https://prabhupadavani.org/transcriptions/750127bgtok/" TargetMode="External"/><Relationship Id="rId2082" Type="http://schemas.openxmlformats.org/officeDocument/2006/relationships/hyperlink" Target="https://prabhupadavani.org/transcriptions/750127r1tok/" TargetMode="External"/><Relationship Id="rId2083" Type="http://schemas.openxmlformats.org/officeDocument/2006/relationships/hyperlink" Target="https://prabhupadavani.org/transcriptions/750128bgtok/" TargetMode="External"/><Relationship Id="rId2084" Type="http://schemas.openxmlformats.org/officeDocument/2006/relationships/hyperlink" Target="https://prabhupadavani.org/transcriptions/750129bghon/" TargetMode="External"/><Relationship Id="rId2085" Type="http://schemas.openxmlformats.org/officeDocument/2006/relationships/hyperlink" Target="https://prabhupadavani.org/transcriptions/750130bghon/" TargetMode="External"/><Relationship Id="rId2086" Type="http://schemas.openxmlformats.org/officeDocument/2006/relationships/hyperlink" Target="https://prabhupadavani.org/transcriptions/750131bghon/" TargetMode="External"/><Relationship Id="rId2087" Type="http://schemas.openxmlformats.org/officeDocument/2006/relationships/hyperlink" Target="https://prabhupadavani.org/transcriptions/750202bghon/" TargetMode="External"/><Relationship Id="rId2088" Type="http://schemas.openxmlformats.org/officeDocument/2006/relationships/hyperlink" Target="https://prabhupadavani.org/transcriptions/750203mwhon/" TargetMode="External"/><Relationship Id="rId2089" Type="http://schemas.openxmlformats.org/officeDocument/2006/relationships/hyperlink" Target="https://prabhupadavani.org/transcriptions/750203bghon/" TargetMode="External"/><Relationship Id="rId2070" Type="http://schemas.openxmlformats.org/officeDocument/2006/relationships/hyperlink" Target="https://prabhupadavani.org/transcriptions/750115sbbom/" TargetMode="External"/><Relationship Id="rId2071" Type="http://schemas.openxmlformats.org/officeDocument/2006/relationships/hyperlink" Target="https://prabhupadavani.org/transcriptions/750116sbbom/" TargetMode="External"/><Relationship Id="rId2072" Type="http://schemas.openxmlformats.org/officeDocument/2006/relationships/hyperlink" Target="https://prabhupadavani.org/transcriptions/750117sbbom/" TargetMode="External"/><Relationship Id="rId2073" Type="http://schemas.openxmlformats.org/officeDocument/2006/relationships/hyperlink" Target="https://prabhupadavani.org/transcriptions/750118sbbom/" TargetMode="External"/><Relationship Id="rId2074" Type="http://schemas.openxmlformats.org/officeDocument/2006/relationships/hyperlink" Target="https://prabhupadavani.org/transcriptions/750119sbbom/" TargetMode="External"/><Relationship Id="rId2075" Type="http://schemas.openxmlformats.org/officeDocument/2006/relationships/hyperlink" Target="https://prabhupadavani.org/transcriptions/750120sbbom/" TargetMode="External"/><Relationship Id="rId2076" Type="http://schemas.openxmlformats.org/officeDocument/2006/relationships/hyperlink" Target="https://prabhupadavani.org/transcriptions/750121sbbom/" TargetMode="External"/><Relationship Id="rId2077" Type="http://schemas.openxmlformats.org/officeDocument/2006/relationships/hyperlink" Target="https://prabhupadavani.org/transcriptions/750122sbbom/" TargetMode="External"/><Relationship Id="rId2078" Type="http://schemas.openxmlformats.org/officeDocument/2006/relationships/hyperlink" Target="https://prabhupadavani.org/transcriptions/750123csbom/" TargetMode="External"/><Relationship Id="rId2079" Type="http://schemas.openxmlformats.org/officeDocument/2006/relationships/hyperlink" Target="https://prabhupadavani.org/transcriptions/750125bghk/" TargetMode="External"/><Relationship Id="rId2940" Type="http://schemas.openxmlformats.org/officeDocument/2006/relationships/hyperlink" Target="https://prabhupadavani.org/transcriptions/760620bgtor/" TargetMode="External"/><Relationship Id="rId1610" Type="http://schemas.openxmlformats.org/officeDocument/2006/relationships/hyperlink" Target="https://prabhupadavani.org/transcriptions/731227sbla/" TargetMode="External"/><Relationship Id="rId2941" Type="http://schemas.openxmlformats.org/officeDocument/2006/relationships/hyperlink" Target="https://prabhupadavani.org/transcriptions/760621mwtor/" TargetMode="External"/><Relationship Id="rId1611" Type="http://schemas.openxmlformats.org/officeDocument/2006/relationships/hyperlink" Target="https://prabhupadavani.org/transcriptions/731228sbla/" TargetMode="External"/><Relationship Id="rId2942" Type="http://schemas.openxmlformats.org/officeDocument/2006/relationships/hyperlink" Target="https://prabhupadavani.org/transcriptions/760621sbtor/" TargetMode="External"/><Relationship Id="rId1612" Type="http://schemas.openxmlformats.org/officeDocument/2006/relationships/hyperlink" Target="https://prabhupadavani.org/transcriptions/731229mwla/" TargetMode="External"/><Relationship Id="rId2943" Type="http://schemas.openxmlformats.org/officeDocument/2006/relationships/hyperlink" Target="https://prabhupadavani.org/transcriptions/760621crtor/" TargetMode="External"/><Relationship Id="rId1613" Type="http://schemas.openxmlformats.org/officeDocument/2006/relationships/hyperlink" Target="https://prabhupadavani.org/transcriptions/731229sbla/" TargetMode="External"/><Relationship Id="rId2944" Type="http://schemas.openxmlformats.org/officeDocument/2006/relationships/hyperlink" Target="https://prabhupadavani.org/transcriptions/760621arnv/" TargetMode="External"/><Relationship Id="rId1614" Type="http://schemas.openxmlformats.org/officeDocument/2006/relationships/hyperlink" Target="https://prabhupadavani.org/transcriptions/731230mwla/" TargetMode="External"/><Relationship Id="rId2945" Type="http://schemas.openxmlformats.org/officeDocument/2006/relationships/hyperlink" Target="https://prabhupadavani.org/transcriptions/760622mwnv/" TargetMode="External"/><Relationship Id="rId1615" Type="http://schemas.openxmlformats.org/officeDocument/2006/relationships/hyperlink" Target="https://prabhupadavani.org/transcriptions/731230sbla/" TargetMode="External"/><Relationship Id="rId2946" Type="http://schemas.openxmlformats.org/officeDocument/2006/relationships/hyperlink" Target="https://prabhupadavani.org/transcriptions/760622sbnv/" TargetMode="External"/><Relationship Id="rId1616" Type="http://schemas.openxmlformats.org/officeDocument/2006/relationships/hyperlink" Target="https://prabhupadavani.org/transcriptions/731231mwla/" TargetMode="External"/><Relationship Id="rId2947" Type="http://schemas.openxmlformats.org/officeDocument/2006/relationships/hyperlink" Target="https://prabhupadavani.org/transcriptions/760622vinv/" TargetMode="External"/><Relationship Id="rId907" Type="http://schemas.openxmlformats.org/officeDocument/2006/relationships/hyperlink" Target="https://prabhupadavani.org/transcriptions/720527pula/" TargetMode="External"/><Relationship Id="rId1617" Type="http://schemas.openxmlformats.org/officeDocument/2006/relationships/hyperlink" Target="https://prabhupadavani.org/transcriptions/731231sbla/" TargetMode="External"/><Relationship Id="rId2948" Type="http://schemas.openxmlformats.org/officeDocument/2006/relationships/hyperlink" Target="https://prabhupadavani.org/transcriptions/760622gcnv/" TargetMode="External"/><Relationship Id="rId906" Type="http://schemas.openxmlformats.org/officeDocument/2006/relationships/hyperlink" Target="https://prabhupadavani.org/transcriptions/720527inla/" TargetMode="External"/><Relationship Id="rId1618" Type="http://schemas.openxmlformats.org/officeDocument/2006/relationships/hyperlink" Target="https://prabhupadavani.org/transcriptions/740101sbla/" TargetMode="External"/><Relationship Id="rId2949" Type="http://schemas.openxmlformats.org/officeDocument/2006/relationships/hyperlink" Target="https://prabhupadavani.org/transcriptions/760623gcnv/" TargetMode="External"/><Relationship Id="rId905" Type="http://schemas.openxmlformats.org/officeDocument/2006/relationships/hyperlink" Target="https://prabhupadavani.org/transcriptions/720526r1la/" TargetMode="External"/><Relationship Id="rId1619" Type="http://schemas.openxmlformats.org/officeDocument/2006/relationships/hyperlink" Target="https://prabhupadavani.org/transcriptions/740102sbla/" TargetMode="External"/><Relationship Id="rId904" Type="http://schemas.openxmlformats.org/officeDocument/2006/relationships/hyperlink" Target="https://prabhupadavani.org/transcriptions/720526sbla/" TargetMode="External"/><Relationship Id="rId909" Type="http://schemas.openxmlformats.org/officeDocument/2006/relationships/hyperlink" Target="https://prabhupadavani.org/transcriptions/720528sbla/" TargetMode="External"/><Relationship Id="rId908" Type="http://schemas.openxmlformats.org/officeDocument/2006/relationships/hyperlink" Target="https://prabhupadavani.org/transcriptions/720527sbla/" TargetMode="External"/><Relationship Id="rId903" Type="http://schemas.openxmlformats.org/officeDocument/2006/relationships/hyperlink" Target="https://prabhupadavani.org/transcriptions/720525r1la/" TargetMode="External"/><Relationship Id="rId902" Type="http://schemas.openxmlformats.org/officeDocument/2006/relationships/hyperlink" Target="https://prabhupadavani.org/transcriptions/720525sbla/" TargetMode="External"/><Relationship Id="rId901" Type="http://schemas.openxmlformats.org/officeDocument/2006/relationships/hyperlink" Target="https://prabhupadavani.org/transcriptions/720524sbla/" TargetMode="External"/><Relationship Id="rId900" Type="http://schemas.openxmlformats.org/officeDocument/2006/relationships/hyperlink" Target="https://prabhupadavani.org/transcriptions/720523inla/" TargetMode="External"/><Relationship Id="rId2930" Type="http://schemas.openxmlformats.org/officeDocument/2006/relationships/hyperlink" Target="https://prabhupadavani.org/transcriptions/760618sbtor/" TargetMode="External"/><Relationship Id="rId1600" Type="http://schemas.openxmlformats.org/officeDocument/2006/relationships/hyperlink" Target="https://prabhupadavani.org/transcriptions/731219sbla/" TargetMode="External"/><Relationship Id="rId2931" Type="http://schemas.openxmlformats.org/officeDocument/2006/relationships/hyperlink" Target="https://prabhupadavani.org/transcriptions/760618i2tor/" TargetMode="External"/><Relationship Id="rId1601" Type="http://schemas.openxmlformats.org/officeDocument/2006/relationships/hyperlink" Target="https://prabhupadavani.org/transcriptions/731220mwla/" TargetMode="External"/><Relationship Id="rId2932" Type="http://schemas.openxmlformats.org/officeDocument/2006/relationships/hyperlink" Target="https://prabhupadavani.org/transcriptions/760618intor/" TargetMode="External"/><Relationship Id="rId1602" Type="http://schemas.openxmlformats.org/officeDocument/2006/relationships/hyperlink" Target="https://prabhupadavani.org/transcriptions/731220sbla/" TargetMode="External"/><Relationship Id="rId2933" Type="http://schemas.openxmlformats.org/officeDocument/2006/relationships/hyperlink" Target="https://prabhupadavani.org/transcriptions/760618ivtor/" TargetMode="External"/><Relationship Id="rId1603" Type="http://schemas.openxmlformats.org/officeDocument/2006/relationships/hyperlink" Target="https://prabhupadavani.org/transcriptions/731221mwla/" TargetMode="External"/><Relationship Id="rId2934" Type="http://schemas.openxmlformats.org/officeDocument/2006/relationships/hyperlink" Target="https://prabhupadavani.org/transcriptions/760618r1tor/" TargetMode="External"/><Relationship Id="rId1604" Type="http://schemas.openxmlformats.org/officeDocument/2006/relationships/hyperlink" Target="https://prabhupadavani.org/transcriptions/731222sbla/" TargetMode="External"/><Relationship Id="rId2935" Type="http://schemas.openxmlformats.org/officeDocument/2006/relationships/hyperlink" Target="https://prabhupadavani.org/transcriptions/760619mwtor/" TargetMode="External"/><Relationship Id="rId1605" Type="http://schemas.openxmlformats.org/officeDocument/2006/relationships/hyperlink" Target="https://prabhupadavani.org/transcriptions/731223sbla/" TargetMode="External"/><Relationship Id="rId2936" Type="http://schemas.openxmlformats.org/officeDocument/2006/relationships/hyperlink" Target="https://prabhupadavani.org/transcriptions/760619sbtor/" TargetMode="External"/><Relationship Id="rId1606" Type="http://schemas.openxmlformats.org/officeDocument/2006/relationships/hyperlink" Target="https://prabhupadavani.org/transcriptions/731224sbla/" TargetMode="External"/><Relationship Id="rId2937" Type="http://schemas.openxmlformats.org/officeDocument/2006/relationships/hyperlink" Target="https://prabhupadavani.org/transcriptions/760619letor/" TargetMode="External"/><Relationship Id="rId1607" Type="http://schemas.openxmlformats.org/officeDocument/2006/relationships/hyperlink" Target="https://prabhupadavani.org/transcriptions/731225sbla/" TargetMode="External"/><Relationship Id="rId2938" Type="http://schemas.openxmlformats.org/officeDocument/2006/relationships/hyperlink" Target="https://prabhupadavani.org/transcriptions/760620mwtor/" TargetMode="External"/><Relationship Id="rId1608" Type="http://schemas.openxmlformats.org/officeDocument/2006/relationships/hyperlink" Target="https://prabhupadavani.org/transcriptions/731225inla/" TargetMode="External"/><Relationship Id="rId2939" Type="http://schemas.openxmlformats.org/officeDocument/2006/relationships/hyperlink" Target="https://prabhupadavani.org/transcriptions/760620sbtor/" TargetMode="External"/><Relationship Id="rId1609" Type="http://schemas.openxmlformats.org/officeDocument/2006/relationships/hyperlink" Target="https://prabhupadavani.org/transcriptions/731226sbla/" TargetMode="External"/><Relationship Id="rId1631" Type="http://schemas.openxmlformats.org/officeDocument/2006/relationships/hyperlink" Target="https://prabhupadavani.org/transcriptions/740110mwla/" TargetMode="External"/><Relationship Id="rId2962" Type="http://schemas.openxmlformats.org/officeDocument/2006/relationships/hyperlink" Target="https://prabhupadavani.org/transcriptions/760627gcnv/" TargetMode="External"/><Relationship Id="rId1632" Type="http://schemas.openxmlformats.org/officeDocument/2006/relationships/hyperlink" Target="https://prabhupadavani.org/transcriptions/740110sbla/" TargetMode="External"/><Relationship Id="rId2963" Type="http://schemas.openxmlformats.org/officeDocument/2006/relationships/hyperlink" Target="https://prabhupadavani.org/transcriptions/760627sbnv/" TargetMode="External"/><Relationship Id="rId1633" Type="http://schemas.openxmlformats.org/officeDocument/2006/relationships/hyperlink" Target="https://prabhupadavani.org/transcriptions/740110inla/" TargetMode="External"/><Relationship Id="rId2964" Type="http://schemas.openxmlformats.org/officeDocument/2006/relationships/hyperlink" Target="https://prabhupadavani.org/transcriptions/760628sbnv/" TargetMode="External"/><Relationship Id="rId1634" Type="http://schemas.openxmlformats.org/officeDocument/2006/relationships/hyperlink" Target="https://prabhupadavani.org/transcriptions/740111mwla/" TargetMode="External"/><Relationship Id="rId2965" Type="http://schemas.openxmlformats.org/officeDocument/2006/relationships/hyperlink" Target="https://prabhupadavani.org/transcriptions/760628r2nv/" TargetMode="External"/><Relationship Id="rId1635" Type="http://schemas.openxmlformats.org/officeDocument/2006/relationships/hyperlink" Target="https://prabhupadavani.org/transcriptions/740111sbla/" TargetMode="External"/><Relationship Id="rId2966" Type="http://schemas.openxmlformats.org/officeDocument/2006/relationships/hyperlink" Target="https://prabhupadavani.org/transcriptions/760628bgnv/" TargetMode="External"/><Relationship Id="rId1636" Type="http://schemas.openxmlformats.org/officeDocument/2006/relationships/hyperlink" Target="https://prabhupadavani.org/transcriptions/740112mwla/" TargetMode="External"/><Relationship Id="rId2967" Type="http://schemas.openxmlformats.org/officeDocument/2006/relationships/hyperlink" Target="https://prabhupadavani.org/transcriptions/760628r1nv/" TargetMode="External"/><Relationship Id="rId1637" Type="http://schemas.openxmlformats.org/officeDocument/2006/relationships/hyperlink" Target="https://prabhupadavani.org/transcriptions/740112sbla/" TargetMode="External"/><Relationship Id="rId2968" Type="http://schemas.openxmlformats.org/officeDocument/2006/relationships/hyperlink" Target="https://prabhupadavani.org/transcriptions/760629sbnv/" TargetMode="External"/><Relationship Id="rId1638" Type="http://schemas.openxmlformats.org/officeDocument/2006/relationships/hyperlink" Target="https://prabhupadavani.org/transcriptions/740113sbla/" TargetMode="External"/><Relationship Id="rId2969" Type="http://schemas.openxmlformats.org/officeDocument/2006/relationships/hyperlink" Target="https://prabhupadavani.org/transcriptions/760629r1nv/" TargetMode="External"/><Relationship Id="rId929" Type="http://schemas.openxmlformats.org/officeDocument/2006/relationships/hyperlink" Target="https://prabhupadavani.org/transcriptions/720618sbla/" TargetMode="External"/><Relationship Id="rId1639" Type="http://schemas.openxmlformats.org/officeDocument/2006/relationships/hyperlink" Target="https://prabhupadavani.org/transcriptions/740115mwhon/" TargetMode="External"/><Relationship Id="rId928" Type="http://schemas.openxmlformats.org/officeDocument/2006/relationships/hyperlink" Target="https://prabhupadavani.org/transcriptions/720617sbla/" TargetMode="External"/><Relationship Id="rId927" Type="http://schemas.openxmlformats.org/officeDocument/2006/relationships/hyperlink" Target="https://prabhupadavani.org/transcriptions/720616sbla/" TargetMode="External"/><Relationship Id="rId926" Type="http://schemas.openxmlformats.org/officeDocument/2006/relationships/hyperlink" Target="https://prabhupadavani.org/transcriptions/720615r1la/" TargetMode="External"/><Relationship Id="rId921" Type="http://schemas.openxmlformats.org/officeDocument/2006/relationships/hyperlink" Target="https://prabhupadavani.org/transcriptions/720614mwla/" TargetMode="External"/><Relationship Id="rId920" Type="http://schemas.openxmlformats.org/officeDocument/2006/relationships/hyperlink" Target="https://prabhupadavani.org/transcriptions/720613sbla/" TargetMode="External"/><Relationship Id="rId925" Type="http://schemas.openxmlformats.org/officeDocument/2006/relationships/hyperlink" Target="https://prabhupadavani.org/transcriptions/720615sbla/" TargetMode="External"/><Relationship Id="rId924" Type="http://schemas.openxmlformats.org/officeDocument/2006/relationships/hyperlink" Target="https://prabhupadavani.org/transcriptions/720614r1la/" TargetMode="External"/><Relationship Id="rId923" Type="http://schemas.openxmlformats.org/officeDocument/2006/relationships/hyperlink" Target="https://prabhupadavani.org/transcriptions/720614gcla/" TargetMode="External"/><Relationship Id="rId922" Type="http://schemas.openxmlformats.org/officeDocument/2006/relationships/hyperlink" Target="https://prabhupadavani.org/transcriptions/720614sbla/" TargetMode="External"/><Relationship Id="rId2960" Type="http://schemas.openxmlformats.org/officeDocument/2006/relationships/hyperlink" Target="https://prabhupadavani.org/transcriptions/760626vinv/" TargetMode="External"/><Relationship Id="rId1630" Type="http://schemas.openxmlformats.org/officeDocument/2006/relationships/hyperlink" Target="https://prabhupadavani.org/transcriptions/740109sbla/" TargetMode="External"/><Relationship Id="rId2961" Type="http://schemas.openxmlformats.org/officeDocument/2006/relationships/hyperlink" Target="https://prabhupadavani.org/transcriptions/760627mwnv/" TargetMode="External"/><Relationship Id="rId1620" Type="http://schemas.openxmlformats.org/officeDocument/2006/relationships/hyperlink" Target="https://prabhupadavani.org/transcriptions/740103mwla/" TargetMode="External"/><Relationship Id="rId2951" Type="http://schemas.openxmlformats.org/officeDocument/2006/relationships/hyperlink" Target="https://prabhupadavani.org/transcriptions/760624r1nv/" TargetMode="External"/><Relationship Id="rId1621" Type="http://schemas.openxmlformats.org/officeDocument/2006/relationships/hyperlink" Target="https://prabhupadavani.org/transcriptions/740103sbla/" TargetMode="External"/><Relationship Id="rId2952" Type="http://schemas.openxmlformats.org/officeDocument/2006/relationships/hyperlink" Target="https://prabhupadavani.org/transcriptions/760624binv/" TargetMode="External"/><Relationship Id="rId1622" Type="http://schemas.openxmlformats.org/officeDocument/2006/relationships/hyperlink" Target="https://prabhupadavani.org/transcriptions/740104sbla/" TargetMode="External"/><Relationship Id="rId2953" Type="http://schemas.openxmlformats.org/officeDocument/2006/relationships/hyperlink" Target="https://prabhupadavani.org/transcriptions/760625mwnv/" TargetMode="External"/><Relationship Id="rId1623" Type="http://schemas.openxmlformats.org/officeDocument/2006/relationships/hyperlink" Target="https://prabhupadavani.org/transcriptions/740105mwla/" TargetMode="External"/><Relationship Id="rId2954" Type="http://schemas.openxmlformats.org/officeDocument/2006/relationships/hyperlink" Target="https://prabhupadavani.org/transcriptions/760625sbnv/" TargetMode="External"/><Relationship Id="rId1624" Type="http://schemas.openxmlformats.org/officeDocument/2006/relationships/hyperlink" Target="https://prabhupadavani.org/transcriptions/740105sbla/" TargetMode="External"/><Relationship Id="rId2955" Type="http://schemas.openxmlformats.org/officeDocument/2006/relationships/hyperlink" Target="https://prabhupadavani.org/transcriptions/760625r1nv/" TargetMode="External"/><Relationship Id="rId1625" Type="http://schemas.openxmlformats.org/officeDocument/2006/relationships/hyperlink" Target="https://prabhupadavani.org/transcriptions/740107mwla/" TargetMode="External"/><Relationship Id="rId2956" Type="http://schemas.openxmlformats.org/officeDocument/2006/relationships/hyperlink" Target="https://prabhupadavani.org/transcriptions/760626sbnv/" TargetMode="External"/><Relationship Id="rId1626" Type="http://schemas.openxmlformats.org/officeDocument/2006/relationships/hyperlink" Target="https://prabhupadavani.org/transcriptions/740107sbla/" TargetMode="External"/><Relationship Id="rId2957" Type="http://schemas.openxmlformats.org/officeDocument/2006/relationships/hyperlink" Target="https://prabhupadavani.org/transcriptions/760626gdnv/" TargetMode="External"/><Relationship Id="rId1627" Type="http://schemas.openxmlformats.org/officeDocument/2006/relationships/hyperlink" Target="https://prabhupadavani.org/transcriptions/740108mwla/" TargetMode="External"/><Relationship Id="rId2958" Type="http://schemas.openxmlformats.org/officeDocument/2006/relationships/hyperlink" Target="https://prabhupadavani.org/transcriptions/760626r2nv/" TargetMode="External"/><Relationship Id="rId918" Type="http://schemas.openxmlformats.org/officeDocument/2006/relationships/hyperlink" Target="https://prabhupadavani.org/transcriptions/720608lela/" TargetMode="External"/><Relationship Id="rId1628" Type="http://schemas.openxmlformats.org/officeDocument/2006/relationships/hyperlink" Target="https://prabhupadavani.org/transcriptions/740108sbla/" TargetMode="External"/><Relationship Id="rId2959" Type="http://schemas.openxmlformats.org/officeDocument/2006/relationships/hyperlink" Target="https://prabhupadavani.org/transcriptions/760626r1nv/" TargetMode="External"/><Relationship Id="rId917" Type="http://schemas.openxmlformats.org/officeDocument/2006/relationships/hyperlink" Target="https://prabhupadavani.org/transcriptions/720607lela/" TargetMode="External"/><Relationship Id="rId1629" Type="http://schemas.openxmlformats.org/officeDocument/2006/relationships/hyperlink" Target="https://prabhupadavani.org/transcriptions/740109mwla/" TargetMode="External"/><Relationship Id="rId916" Type="http://schemas.openxmlformats.org/officeDocument/2006/relationships/hyperlink" Target="https://prabhupadavani.org/transcriptions/720604r3mex/" TargetMode="External"/><Relationship Id="rId915" Type="http://schemas.openxmlformats.org/officeDocument/2006/relationships/hyperlink" Target="https://prabhupadavani.org/transcriptions/720604r2mex/" TargetMode="External"/><Relationship Id="rId919" Type="http://schemas.openxmlformats.org/officeDocument/2006/relationships/hyperlink" Target="https://prabhupadavani.org/transcriptions/720612sbla/" TargetMode="External"/><Relationship Id="rId910" Type="http://schemas.openxmlformats.org/officeDocument/2006/relationships/hyperlink" Target="https://prabhupadavani.org/transcriptions/720529sbla/" TargetMode="External"/><Relationship Id="rId914" Type="http://schemas.openxmlformats.org/officeDocument/2006/relationships/hyperlink" Target="https://prabhupadavani.org/transcriptions/720604r1mex/" TargetMode="External"/><Relationship Id="rId913" Type="http://schemas.openxmlformats.org/officeDocument/2006/relationships/hyperlink" Target="https://prabhupadavani.org/transcriptions/720601sbla/" TargetMode="External"/><Relationship Id="rId912" Type="http://schemas.openxmlformats.org/officeDocument/2006/relationships/hyperlink" Target="https://prabhupadavani.org/transcriptions/720531sbla/" TargetMode="External"/><Relationship Id="rId911" Type="http://schemas.openxmlformats.org/officeDocument/2006/relationships/hyperlink" Target="https://prabhupadavani.org/transcriptions/720530sbla/" TargetMode="External"/><Relationship Id="rId2950" Type="http://schemas.openxmlformats.org/officeDocument/2006/relationships/hyperlink" Target="https://prabhupadavani.org/transcriptions/760624sbnv/" TargetMode="External"/><Relationship Id="rId2900" Type="http://schemas.openxmlformats.org/officeDocument/2006/relationships/hyperlink" Target="https://prabhupadavani.org/transcriptions/760610i2la/" TargetMode="External"/><Relationship Id="rId2901" Type="http://schemas.openxmlformats.org/officeDocument/2006/relationships/hyperlink" Target="https://prabhupadavani.org/transcriptions/760610gcla/" TargetMode="External"/><Relationship Id="rId2902" Type="http://schemas.openxmlformats.org/officeDocument/2006/relationships/hyperlink" Target="https://prabhupadavani.org/transcriptions/760610i1la/" TargetMode="External"/><Relationship Id="rId2903" Type="http://schemas.openxmlformats.org/officeDocument/2006/relationships/hyperlink" Target="https://prabhupadavani.org/transcriptions/760610r1la/" TargetMode="External"/><Relationship Id="rId2904" Type="http://schemas.openxmlformats.org/officeDocument/2006/relationships/hyperlink" Target="https://prabhupadavani.org/transcriptions/760610r2la/" TargetMode="External"/><Relationship Id="rId2905" Type="http://schemas.openxmlformats.org/officeDocument/2006/relationships/hyperlink" Target="https://prabhupadavani.org/transcriptions/760611mwla/" TargetMode="External"/><Relationship Id="rId2906" Type="http://schemas.openxmlformats.org/officeDocument/2006/relationships/hyperlink" Target="https://prabhupadavani.org/transcriptions/760611sbla/" TargetMode="External"/><Relationship Id="rId2907" Type="http://schemas.openxmlformats.org/officeDocument/2006/relationships/hyperlink" Target="https://prabhupadavani.org/transcriptions/760611ardet/" TargetMode="External"/><Relationship Id="rId2908" Type="http://schemas.openxmlformats.org/officeDocument/2006/relationships/hyperlink" Target="https://prabhupadavani.org/transcriptions/760612sbdet/" TargetMode="External"/><Relationship Id="rId2909" Type="http://schemas.openxmlformats.org/officeDocument/2006/relationships/hyperlink" Target="https://prabhupadavani.org/transcriptions/760612ivdet/" TargetMode="External"/><Relationship Id="rId2920" Type="http://schemas.openxmlformats.org/officeDocument/2006/relationships/hyperlink" Target="https://prabhupadavani.org/transcriptions/760615r1det/" TargetMode="External"/><Relationship Id="rId2921" Type="http://schemas.openxmlformats.org/officeDocument/2006/relationships/hyperlink" Target="https://prabhupadavani.org/transcriptions/760615r2det/" TargetMode="External"/><Relationship Id="rId2922" Type="http://schemas.openxmlformats.org/officeDocument/2006/relationships/hyperlink" Target="https://prabhupadavani.org/transcriptions/760615bgdet/" TargetMode="External"/><Relationship Id="rId2923" Type="http://schemas.openxmlformats.org/officeDocument/2006/relationships/hyperlink" Target="https://prabhupadavani.org/transcriptions/760615r3det/" TargetMode="External"/><Relationship Id="rId2924" Type="http://schemas.openxmlformats.org/officeDocument/2006/relationships/hyperlink" Target="https://prabhupadavani.org/transcriptions/760616sbdet/" TargetMode="External"/><Relationship Id="rId2925" Type="http://schemas.openxmlformats.org/officeDocument/2006/relationships/hyperlink" Target="https://prabhupadavani.org/transcriptions/760616r1det/" TargetMode="External"/><Relationship Id="rId2926" Type="http://schemas.openxmlformats.org/officeDocument/2006/relationships/hyperlink" Target="https://prabhupadavani.org/transcriptions/760617sbtor/" TargetMode="External"/><Relationship Id="rId2927" Type="http://schemas.openxmlformats.org/officeDocument/2006/relationships/hyperlink" Target="https://prabhupadavani.org/transcriptions/760617r1tor/" TargetMode="External"/><Relationship Id="rId2928" Type="http://schemas.openxmlformats.org/officeDocument/2006/relationships/hyperlink" Target="https://prabhupadavani.org/transcriptions/760617r2tor/" TargetMode="External"/><Relationship Id="rId2929" Type="http://schemas.openxmlformats.org/officeDocument/2006/relationships/hyperlink" Target="https://prabhupadavani.org/transcriptions/760618mwtor/" TargetMode="External"/><Relationship Id="rId2910" Type="http://schemas.openxmlformats.org/officeDocument/2006/relationships/hyperlink" Target="https://prabhupadavani.org/transcriptions/760613mwdet/" TargetMode="External"/><Relationship Id="rId2911" Type="http://schemas.openxmlformats.org/officeDocument/2006/relationships/hyperlink" Target="https://prabhupadavani.org/transcriptions/760613sbdet/" TargetMode="External"/><Relationship Id="rId2912" Type="http://schemas.openxmlformats.org/officeDocument/2006/relationships/hyperlink" Target="https://prabhupadavani.org/transcriptions/760613r1det/" TargetMode="External"/><Relationship Id="rId2913" Type="http://schemas.openxmlformats.org/officeDocument/2006/relationships/hyperlink" Target="https://prabhupadavani.org/transcriptions/760614mwdet/" TargetMode="External"/><Relationship Id="rId2914" Type="http://schemas.openxmlformats.org/officeDocument/2006/relationships/hyperlink" Target="https://prabhupadavani.org/transcriptions/760614sbdet/" TargetMode="External"/><Relationship Id="rId2915" Type="http://schemas.openxmlformats.org/officeDocument/2006/relationships/hyperlink" Target="https://prabhupadavani.org/transcriptions/760614r1det/" TargetMode="External"/><Relationship Id="rId2916" Type="http://schemas.openxmlformats.org/officeDocument/2006/relationships/hyperlink" Target="https://prabhupadavani.org/transcriptions/760614gcdet/" TargetMode="External"/><Relationship Id="rId2917" Type="http://schemas.openxmlformats.org/officeDocument/2006/relationships/hyperlink" Target="https://prabhupadavani.org/transcriptions/760615mwdet/" TargetMode="External"/><Relationship Id="rId2918" Type="http://schemas.openxmlformats.org/officeDocument/2006/relationships/hyperlink" Target="https://prabhupadavani.org/transcriptions/760615sbdet/" TargetMode="External"/><Relationship Id="rId2919" Type="http://schemas.openxmlformats.org/officeDocument/2006/relationships/hyperlink" Target="https://prabhupadavani.org/transcriptions/760615indet/" TargetMode="External"/><Relationship Id="rId1697" Type="http://schemas.openxmlformats.org/officeDocument/2006/relationships/hyperlink" Target="https://prabhupadavani.org/transcriptions/740303mwmay/" TargetMode="External"/><Relationship Id="rId1698" Type="http://schemas.openxmlformats.org/officeDocument/2006/relationships/hyperlink" Target="https://prabhupadavani.org/transcriptions/740303ccmay/" TargetMode="External"/><Relationship Id="rId1699" Type="http://schemas.openxmlformats.org/officeDocument/2006/relationships/hyperlink" Target="https://prabhupadavani.org/transcriptions/740304mwmay/" TargetMode="External"/><Relationship Id="rId866" Type="http://schemas.openxmlformats.org/officeDocument/2006/relationships/hyperlink" Target="https://prabhupadavani.org/transcriptions/720420r1tok/" TargetMode="External"/><Relationship Id="rId865" Type="http://schemas.openxmlformats.org/officeDocument/2006/relationships/hyperlink" Target="https://prabhupadavani.org/transcriptions/720420r1hk/" TargetMode="External"/><Relationship Id="rId864" Type="http://schemas.openxmlformats.org/officeDocument/2006/relationships/hyperlink" Target="https://prabhupadavani.org/transcriptions/720420sbhk/" TargetMode="External"/><Relationship Id="rId863" Type="http://schemas.openxmlformats.org/officeDocument/2006/relationships/hyperlink" Target="https://prabhupadavani.org/transcriptions/720419arhk/" TargetMode="External"/><Relationship Id="rId869" Type="http://schemas.openxmlformats.org/officeDocument/2006/relationships/hyperlink" Target="https://prabhupadavani.org/transcriptions/720421r1tok/" TargetMode="External"/><Relationship Id="rId868" Type="http://schemas.openxmlformats.org/officeDocument/2006/relationships/hyperlink" Target="https://prabhupadavani.org/transcriptions/720421sbtok/" TargetMode="External"/><Relationship Id="rId867" Type="http://schemas.openxmlformats.org/officeDocument/2006/relationships/hyperlink" Target="https://prabhupadavani.org/transcriptions/720420letok/" TargetMode="External"/><Relationship Id="rId1690" Type="http://schemas.openxmlformats.org/officeDocument/2006/relationships/hyperlink" Target="https://prabhupadavani.org/transcriptions/740225mwbom/" TargetMode="External"/><Relationship Id="rId1691" Type="http://schemas.openxmlformats.org/officeDocument/2006/relationships/hyperlink" Target="https://prabhupadavani.org/transcriptions/740225bgbom/" TargetMode="External"/><Relationship Id="rId1692" Type="http://schemas.openxmlformats.org/officeDocument/2006/relationships/hyperlink" Target="https://prabhupadavani.org/transcriptions/740226bgcal/" TargetMode="External"/><Relationship Id="rId862" Type="http://schemas.openxmlformats.org/officeDocument/2006/relationships/hyperlink" Target="https://prabhupadavani.org/transcriptions/720417r1auc/" TargetMode="External"/><Relationship Id="rId1693" Type="http://schemas.openxmlformats.org/officeDocument/2006/relationships/hyperlink" Target="https://prabhupadavani.org/transcriptions/740227sbcal/" TargetMode="External"/><Relationship Id="rId861" Type="http://schemas.openxmlformats.org/officeDocument/2006/relationships/hyperlink" Target="https://prabhupadavani.org/transcriptions/720417leauc/" TargetMode="External"/><Relationship Id="rId1694" Type="http://schemas.openxmlformats.org/officeDocument/2006/relationships/hyperlink" Target="https://prabhupadavani.org/transcriptions/740301ccmay/" TargetMode="External"/><Relationship Id="rId860" Type="http://schemas.openxmlformats.org/officeDocument/2006/relationships/hyperlink" Target="https://prabhupadavani.org/transcriptions/720416leauc/" TargetMode="External"/><Relationship Id="rId1695" Type="http://schemas.openxmlformats.org/officeDocument/2006/relationships/hyperlink" Target="https://prabhupadavani.org/transcriptions/740302mwmay/" TargetMode="External"/><Relationship Id="rId1696" Type="http://schemas.openxmlformats.org/officeDocument/2006/relationships/hyperlink" Target="https://prabhupadavani.org/transcriptions/740302ccmay/" TargetMode="External"/><Relationship Id="rId1686" Type="http://schemas.openxmlformats.org/officeDocument/2006/relationships/hyperlink" Target="https://prabhupadavani.org/transcriptions/740222bgbom/" TargetMode="External"/><Relationship Id="rId1687" Type="http://schemas.openxmlformats.org/officeDocument/2006/relationships/hyperlink" Target="https://prabhupadavani.org/transcriptions/740223mwbom/" TargetMode="External"/><Relationship Id="rId1688" Type="http://schemas.openxmlformats.org/officeDocument/2006/relationships/hyperlink" Target="https://prabhupadavani.org/transcriptions/740223bgbom/" TargetMode="External"/><Relationship Id="rId1689" Type="http://schemas.openxmlformats.org/officeDocument/2006/relationships/hyperlink" Target="https://prabhupadavani.org/transcriptions/740224bgbom/" TargetMode="External"/><Relationship Id="rId855" Type="http://schemas.openxmlformats.org/officeDocument/2006/relationships/hyperlink" Target="https://prabhupadavani.org/transcriptions/720407r1mel/" TargetMode="External"/><Relationship Id="rId854" Type="http://schemas.openxmlformats.org/officeDocument/2006/relationships/hyperlink" Target="https://prabhupadavani.org/transcriptions/720406lemel/" TargetMode="External"/><Relationship Id="rId853" Type="http://schemas.openxmlformats.org/officeDocument/2006/relationships/hyperlink" Target="https://prabhupadavani.org/transcriptions/720406inmel/" TargetMode="External"/><Relationship Id="rId852" Type="http://schemas.openxmlformats.org/officeDocument/2006/relationships/hyperlink" Target="https://prabhupadavani.org/transcriptions/720405bgmel/" TargetMode="External"/><Relationship Id="rId859" Type="http://schemas.openxmlformats.org/officeDocument/2006/relationships/hyperlink" Target="https://prabhupadavani.org/transcriptions/720415diauc/" TargetMode="External"/><Relationship Id="rId858" Type="http://schemas.openxmlformats.org/officeDocument/2006/relationships/hyperlink" Target="https://prabhupadavani.org/transcriptions/720415bgauc/" TargetMode="External"/><Relationship Id="rId857" Type="http://schemas.openxmlformats.org/officeDocument/2006/relationships/hyperlink" Target="https://prabhupadavani.org/transcriptions/720414leauc/" TargetMode="External"/><Relationship Id="rId856" Type="http://schemas.openxmlformats.org/officeDocument/2006/relationships/hyperlink" Target="https://prabhupadavani.org/transcriptions/720409insyd/" TargetMode="External"/><Relationship Id="rId1680" Type="http://schemas.openxmlformats.org/officeDocument/2006/relationships/hyperlink" Target="https://prabhupadavani.org/transcriptions/740218bgbom/" TargetMode="External"/><Relationship Id="rId1681" Type="http://schemas.openxmlformats.org/officeDocument/2006/relationships/hyperlink" Target="https://prabhupadavani.org/transcriptions/740219mwbom/" TargetMode="External"/><Relationship Id="rId851" Type="http://schemas.openxmlformats.org/officeDocument/2006/relationships/hyperlink" Target="https://prabhupadavani.org/transcriptions/720403sbsyd/" TargetMode="External"/><Relationship Id="rId1682" Type="http://schemas.openxmlformats.org/officeDocument/2006/relationships/hyperlink" Target="https://prabhupadavani.org/transcriptions/740219bgbom/" TargetMode="External"/><Relationship Id="rId850" Type="http://schemas.openxmlformats.org/officeDocument/2006/relationships/hyperlink" Target="https://prabhupadavani.org/transcriptions/720402musyd/" TargetMode="External"/><Relationship Id="rId1683" Type="http://schemas.openxmlformats.org/officeDocument/2006/relationships/hyperlink" Target="https://prabhupadavani.org/transcriptions/740220mwbom/" TargetMode="External"/><Relationship Id="rId1684" Type="http://schemas.openxmlformats.org/officeDocument/2006/relationships/hyperlink" Target="https://prabhupadavani.org/transcriptions/740220bgbom/" TargetMode="External"/><Relationship Id="rId1685" Type="http://schemas.openxmlformats.org/officeDocument/2006/relationships/hyperlink" Target="https://prabhupadavani.org/transcriptions/740222mwbom/" TargetMode="External"/><Relationship Id="rId3414" Type="http://schemas.openxmlformats.org/officeDocument/2006/relationships/hyperlink" Target="https://prabhupadavani.org/transcriptions/770202mwbhu/" TargetMode="External"/><Relationship Id="rId3413" Type="http://schemas.openxmlformats.org/officeDocument/2006/relationships/hyperlink" Target="https://prabhupadavani.org/transcriptions/770201mwbhu/" TargetMode="External"/><Relationship Id="rId3416" Type="http://schemas.openxmlformats.org/officeDocument/2006/relationships/hyperlink" Target="https://prabhupadavani.org/transcriptions/770202nabhu/" TargetMode="External"/><Relationship Id="rId3415" Type="http://schemas.openxmlformats.org/officeDocument/2006/relationships/hyperlink" Target="https://prabhupadavani.org/transcriptions/770202cmbhu/" TargetMode="External"/><Relationship Id="rId3418" Type="http://schemas.openxmlformats.org/officeDocument/2006/relationships/hyperlink" Target="https://prabhupadavani.org/transcriptions/770202r2bhu/" TargetMode="External"/><Relationship Id="rId3417" Type="http://schemas.openxmlformats.org/officeDocument/2006/relationships/hyperlink" Target="https://prabhupadavani.org/transcriptions/770202r1bhu/" TargetMode="External"/><Relationship Id="rId3419" Type="http://schemas.openxmlformats.org/officeDocument/2006/relationships/hyperlink" Target="https://prabhupadavani.org/transcriptions/770203r1bhu/" TargetMode="External"/><Relationship Id="rId888" Type="http://schemas.openxmlformats.org/officeDocument/2006/relationships/hyperlink" Target="https://prabhupadavani.org/transcriptions/720503sbtok/" TargetMode="External"/><Relationship Id="rId887" Type="http://schemas.openxmlformats.org/officeDocument/2006/relationships/hyperlink" Target="https://prabhupadavani.org/transcriptions/720502sbtok/" TargetMode="External"/><Relationship Id="rId886" Type="http://schemas.openxmlformats.org/officeDocument/2006/relationships/hyperlink" Target="https://prabhupadavani.org/transcriptions/720501letok/" TargetMode="External"/><Relationship Id="rId885" Type="http://schemas.openxmlformats.org/officeDocument/2006/relationships/hyperlink" Target="https://prabhupadavani.org/transcriptions/720501sbtok/" TargetMode="External"/><Relationship Id="rId889" Type="http://schemas.openxmlformats.org/officeDocument/2006/relationships/hyperlink" Target="https://prabhupadavani.org/transcriptions/720504sbtok/" TargetMode="External"/><Relationship Id="rId880" Type="http://schemas.openxmlformats.org/officeDocument/2006/relationships/hyperlink" Target="https://prabhupadavani.org/transcriptions/720428sbtok/" TargetMode="External"/><Relationship Id="rId884" Type="http://schemas.openxmlformats.org/officeDocument/2006/relationships/hyperlink" Target="https://prabhupadavani.org/transcriptions/720430intok/" TargetMode="External"/><Relationship Id="rId3410" Type="http://schemas.openxmlformats.org/officeDocument/2006/relationships/hyperlink" Target="https://prabhupadavani.org/transcriptions/770131r1bhu/" TargetMode="External"/><Relationship Id="rId883" Type="http://schemas.openxmlformats.org/officeDocument/2006/relationships/hyperlink" Target="https://prabhupadavani.org/transcriptions/720430sbtok/" TargetMode="External"/><Relationship Id="rId882" Type="http://schemas.openxmlformats.org/officeDocument/2006/relationships/hyperlink" Target="https://prabhupadavani.org/transcriptions/720429letok/" TargetMode="External"/><Relationship Id="rId3412" Type="http://schemas.openxmlformats.org/officeDocument/2006/relationships/hyperlink" Target="https://prabhupadavani.org/transcriptions/770131r3bhu/" TargetMode="External"/><Relationship Id="rId881" Type="http://schemas.openxmlformats.org/officeDocument/2006/relationships/hyperlink" Target="https://prabhupadavani.org/transcriptions/720429sbtok/" TargetMode="External"/><Relationship Id="rId3411" Type="http://schemas.openxmlformats.org/officeDocument/2006/relationships/hyperlink" Target="https://prabhupadavani.org/transcriptions/770131r2bhu/" TargetMode="External"/><Relationship Id="rId3403" Type="http://schemas.openxmlformats.org/officeDocument/2006/relationships/hyperlink" Target="https://prabhupadavani.org/transcriptions/770129r2bhu/" TargetMode="External"/><Relationship Id="rId3402" Type="http://schemas.openxmlformats.org/officeDocument/2006/relationships/hyperlink" Target="https://prabhupadavani.org/transcriptions/770129r1bhu/" TargetMode="External"/><Relationship Id="rId3405" Type="http://schemas.openxmlformats.org/officeDocument/2006/relationships/hyperlink" Target="https://prabhupadavani.org/transcriptions/770130mwbhu/" TargetMode="External"/><Relationship Id="rId3404" Type="http://schemas.openxmlformats.org/officeDocument/2006/relationships/hyperlink" Target="https://prabhupadavani.org/transcriptions/770129bgbhu/" TargetMode="External"/><Relationship Id="rId3407" Type="http://schemas.openxmlformats.org/officeDocument/2006/relationships/hyperlink" Target="https://prabhupadavani.org/transcriptions/770130r2bhu/" TargetMode="External"/><Relationship Id="rId3406" Type="http://schemas.openxmlformats.org/officeDocument/2006/relationships/hyperlink" Target="https://prabhupadavani.org/transcriptions/770130r1bhu/" TargetMode="External"/><Relationship Id="rId3409" Type="http://schemas.openxmlformats.org/officeDocument/2006/relationships/hyperlink" Target="https://prabhupadavani.org/transcriptions/770131vabhu/" TargetMode="External"/><Relationship Id="rId3408" Type="http://schemas.openxmlformats.org/officeDocument/2006/relationships/hyperlink" Target="https://prabhupadavani.org/transcriptions/770131mwbhu/" TargetMode="External"/><Relationship Id="rId877" Type="http://schemas.openxmlformats.org/officeDocument/2006/relationships/hyperlink" Target="https://prabhupadavani.org/transcriptions/720425sbtok/" TargetMode="External"/><Relationship Id="rId876" Type="http://schemas.openxmlformats.org/officeDocument/2006/relationships/hyperlink" Target="https://prabhupadavani.org/transcriptions/720424sbtok/" TargetMode="External"/><Relationship Id="rId875" Type="http://schemas.openxmlformats.org/officeDocument/2006/relationships/hyperlink" Target="https://prabhupadavani.org/transcriptions/720423sbtok/" TargetMode="External"/><Relationship Id="rId874" Type="http://schemas.openxmlformats.org/officeDocument/2006/relationships/hyperlink" Target="https://prabhupadavani.org/transcriptions/720422crtok/" TargetMode="External"/><Relationship Id="rId879" Type="http://schemas.openxmlformats.org/officeDocument/2006/relationships/hyperlink" Target="https://prabhupadavani.org/transcriptions/720427sbtok/" TargetMode="External"/><Relationship Id="rId878" Type="http://schemas.openxmlformats.org/officeDocument/2006/relationships/hyperlink" Target="https://prabhupadavani.org/transcriptions/720426sbtok/" TargetMode="External"/><Relationship Id="rId873" Type="http://schemas.openxmlformats.org/officeDocument/2006/relationships/hyperlink" Target="https://prabhupadavani.org/transcriptions/720422r3tok/" TargetMode="External"/><Relationship Id="rId872" Type="http://schemas.openxmlformats.org/officeDocument/2006/relationships/hyperlink" Target="https://prabhupadavani.org/transcriptions/720422r2tok/" TargetMode="External"/><Relationship Id="rId871" Type="http://schemas.openxmlformats.org/officeDocument/2006/relationships/hyperlink" Target="https://prabhupadavani.org/transcriptions/720422r1tok/" TargetMode="External"/><Relationship Id="rId3401" Type="http://schemas.openxmlformats.org/officeDocument/2006/relationships/hyperlink" Target="https://prabhupadavani.org/transcriptions/770129mwbhu/" TargetMode="External"/><Relationship Id="rId870" Type="http://schemas.openxmlformats.org/officeDocument/2006/relationships/hyperlink" Target="https://prabhupadavani.org/transcriptions/720422sbtok/" TargetMode="External"/><Relationship Id="rId3400" Type="http://schemas.openxmlformats.org/officeDocument/2006/relationships/hyperlink" Target="https://prabhupadavani.org/transcriptions/770128r2bhu/" TargetMode="External"/><Relationship Id="rId1653" Type="http://schemas.openxmlformats.org/officeDocument/2006/relationships/hyperlink" Target="https://prabhupadavani.org/transcriptions/740123mwhon/" TargetMode="External"/><Relationship Id="rId2984" Type="http://schemas.openxmlformats.org/officeDocument/2006/relationships/hyperlink" Target="https://prabhupadavani.org/transcriptions/760704mwwdc/" TargetMode="External"/><Relationship Id="rId1654" Type="http://schemas.openxmlformats.org/officeDocument/2006/relationships/hyperlink" Target="https://prabhupadavani.org/transcriptions/740123sbhon/" TargetMode="External"/><Relationship Id="rId2985" Type="http://schemas.openxmlformats.org/officeDocument/2006/relationships/hyperlink" Target="https://prabhupadavani.org/transcriptions/760704ccwdc/" TargetMode="External"/><Relationship Id="rId1655" Type="http://schemas.openxmlformats.org/officeDocument/2006/relationships/hyperlink" Target="https://prabhupadavani.org/transcriptions/740128sbhon/" TargetMode="External"/><Relationship Id="rId2986" Type="http://schemas.openxmlformats.org/officeDocument/2006/relationships/hyperlink" Target="https://prabhupadavani.org/transcriptions/760704sswdc/" TargetMode="External"/><Relationship Id="rId1656" Type="http://schemas.openxmlformats.org/officeDocument/2006/relationships/hyperlink" Target="https://prabhupadavani.org/transcriptions/740128inhon/" TargetMode="External"/><Relationship Id="rId2987" Type="http://schemas.openxmlformats.org/officeDocument/2006/relationships/hyperlink" Target="https://prabhupadavani.org/transcriptions/760704r1wdc/" TargetMode="External"/><Relationship Id="rId1657" Type="http://schemas.openxmlformats.org/officeDocument/2006/relationships/hyperlink" Target="https://prabhupadavani.org/transcriptions/740129artok/" TargetMode="External"/><Relationship Id="rId2988" Type="http://schemas.openxmlformats.org/officeDocument/2006/relationships/hyperlink" Target="https://prabhupadavani.org/transcriptions/760705mwwdc/" TargetMode="External"/><Relationship Id="rId1658" Type="http://schemas.openxmlformats.org/officeDocument/2006/relationships/hyperlink" Target="https://prabhupadavani.org/transcriptions/740130mwtok/" TargetMode="External"/><Relationship Id="rId2989" Type="http://schemas.openxmlformats.org/officeDocument/2006/relationships/hyperlink" Target="https://prabhupadavani.org/transcriptions/760705ccwdc/" TargetMode="External"/><Relationship Id="rId1659" Type="http://schemas.openxmlformats.org/officeDocument/2006/relationships/hyperlink" Target="https://prabhupadavani.org/transcriptions/740130sbtok/" TargetMode="External"/><Relationship Id="rId829" Type="http://schemas.openxmlformats.org/officeDocument/2006/relationships/hyperlink" Target="https://prabhupadavani.org/transcriptions/720312r1vrn/" TargetMode="External"/><Relationship Id="rId828" Type="http://schemas.openxmlformats.org/officeDocument/2006/relationships/hyperlink" Target="https://prabhupadavani.org/transcriptions/720311r1mat/" TargetMode="External"/><Relationship Id="rId827" Type="http://schemas.openxmlformats.org/officeDocument/2006/relationships/hyperlink" Target="https://prabhupadavani.org/transcriptions/720311r1vrn/" TargetMode="External"/><Relationship Id="rId822" Type="http://schemas.openxmlformats.org/officeDocument/2006/relationships/hyperlink" Target="https://prabhupadavani.org/transcriptions/720306sbcal/" TargetMode="External"/><Relationship Id="rId821" Type="http://schemas.openxmlformats.org/officeDocument/2006/relationships/hyperlink" Target="https://prabhupadavani.org/transcriptions/720305sbcal/" TargetMode="External"/><Relationship Id="rId820" Type="http://schemas.openxmlformats.org/officeDocument/2006/relationships/hyperlink" Target="https://prabhupadavani.org/transcriptions/720304lecal/" TargetMode="External"/><Relationship Id="rId826" Type="http://schemas.openxmlformats.org/officeDocument/2006/relationships/hyperlink" Target="https://prabhupadavani.org/transcriptions/720309bgcal/" TargetMode="External"/><Relationship Id="rId825" Type="http://schemas.openxmlformats.org/officeDocument/2006/relationships/hyperlink" Target="https://prabhupadavani.org/transcriptions/720308bgcal/" TargetMode="External"/><Relationship Id="rId824" Type="http://schemas.openxmlformats.org/officeDocument/2006/relationships/hyperlink" Target="https://prabhupadavani.org/transcriptions/720307sbcal/" TargetMode="External"/><Relationship Id="rId823" Type="http://schemas.openxmlformats.org/officeDocument/2006/relationships/hyperlink" Target="https://prabhupadavani.org/transcriptions/720307bgcal/" TargetMode="External"/><Relationship Id="rId2980" Type="http://schemas.openxmlformats.org/officeDocument/2006/relationships/hyperlink" Target="https://prabhupadavani.org/transcriptions/760703mwwdc/" TargetMode="External"/><Relationship Id="rId1650" Type="http://schemas.openxmlformats.org/officeDocument/2006/relationships/hyperlink" Target="https://prabhupadavani.org/transcriptions/740121mwhon/" TargetMode="External"/><Relationship Id="rId2981" Type="http://schemas.openxmlformats.org/officeDocument/2006/relationships/hyperlink" Target="https://prabhupadavani.org/transcriptions/760703sbwdc/" TargetMode="External"/><Relationship Id="rId1651" Type="http://schemas.openxmlformats.org/officeDocument/2006/relationships/hyperlink" Target="https://prabhupadavani.org/transcriptions/740121sbhon/" TargetMode="External"/><Relationship Id="rId2982" Type="http://schemas.openxmlformats.org/officeDocument/2006/relationships/hyperlink" Target="https://prabhupadavani.org/transcriptions/760703r1wdc/" TargetMode="External"/><Relationship Id="rId1652" Type="http://schemas.openxmlformats.org/officeDocument/2006/relationships/hyperlink" Target="https://prabhupadavani.org/transcriptions/740122mwhon/" TargetMode="External"/><Relationship Id="rId2983" Type="http://schemas.openxmlformats.org/officeDocument/2006/relationships/hyperlink" Target="https://prabhupadavani.org/transcriptions/760703sswdc/" TargetMode="External"/><Relationship Id="rId1642" Type="http://schemas.openxmlformats.org/officeDocument/2006/relationships/hyperlink" Target="https://prabhupadavani.org/transcriptions/740116sbhon/" TargetMode="External"/><Relationship Id="rId2973" Type="http://schemas.openxmlformats.org/officeDocument/2006/relationships/hyperlink" Target="https://prabhupadavani.org/transcriptions/760630bjnv/" TargetMode="External"/><Relationship Id="rId1643" Type="http://schemas.openxmlformats.org/officeDocument/2006/relationships/hyperlink" Target="https://prabhupadavani.org/transcriptions/740117sbhon/" TargetMode="External"/><Relationship Id="rId2974" Type="http://schemas.openxmlformats.org/officeDocument/2006/relationships/hyperlink" Target="https://prabhupadavani.org/transcriptions/760701sbnv/" TargetMode="External"/><Relationship Id="rId1644" Type="http://schemas.openxmlformats.org/officeDocument/2006/relationships/hyperlink" Target="https://prabhupadavani.org/transcriptions/740118mwhon/" TargetMode="External"/><Relationship Id="rId2975" Type="http://schemas.openxmlformats.org/officeDocument/2006/relationships/hyperlink" Target="https://prabhupadavani.org/transcriptions/760701r1nv/" TargetMode="External"/><Relationship Id="rId1645" Type="http://schemas.openxmlformats.org/officeDocument/2006/relationships/hyperlink" Target="https://prabhupadavani.org/transcriptions/740118sbhon/" TargetMode="External"/><Relationship Id="rId2976" Type="http://schemas.openxmlformats.org/officeDocument/2006/relationships/hyperlink" Target="https://prabhupadavani.org/transcriptions/760701bjnv/" TargetMode="External"/><Relationship Id="rId1646" Type="http://schemas.openxmlformats.org/officeDocument/2006/relationships/hyperlink" Target="https://prabhupadavani.org/transcriptions/740119mwhon/" TargetMode="External"/><Relationship Id="rId2977" Type="http://schemas.openxmlformats.org/officeDocument/2006/relationships/hyperlink" Target="https://prabhupadavani.org/transcriptions/760702sbnv/" TargetMode="External"/><Relationship Id="rId1647" Type="http://schemas.openxmlformats.org/officeDocument/2006/relationships/hyperlink" Target="https://prabhupadavani.org/transcriptions/740119sbhon/" TargetMode="External"/><Relationship Id="rId2978" Type="http://schemas.openxmlformats.org/officeDocument/2006/relationships/hyperlink" Target="https://prabhupadavani.org/transcriptions/760702r1nv/" TargetMode="External"/><Relationship Id="rId1648" Type="http://schemas.openxmlformats.org/officeDocument/2006/relationships/hyperlink" Target="https://prabhupadavani.org/transcriptions/740120mwhon/" TargetMode="External"/><Relationship Id="rId2979" Type="http://schemas.openxmlformats.org/officeDocument/2006/relationships/hyperlink" Target="https://prabhupadavani.org/transcriptions/760702arwdc/" TargetMode="External"/><Relationship Id="rId1649" Type="http://schemas.openxmlformats.org/officeDocument/2006/relationships/hyperlink" Target="https://prabhupadavani.org/transcriptions/740120sbhon/" TargetMode="External"/><Relationship Id="rId819" Type="http://schemas.openxmlformats.org/officeDocument/2006/relationships/hyperlink" Target="https://prabhupadavani.org/transcriptions/720302tabir/" TargetMode="External"/><Relationship Id="rId818" Type="http://schemas.openxmlformats.org/officeDocument/2006/relationships/hyperlink" Target="https://prabhupadavani.org/transcriptions/720229gpmay/" TargetMode="External"/><Relationship Id="rId817" Type="http://schemas.openxmlformats.org/officeDocument/2006/relationships/hyperlink" Target="https://prabhupadavani.org/transcriptions/720229tamay/" TargetMode="External"/><Relationship Id="rId816" Type="http://schemas.openxmlformats.org/officeDocument/2006/relationships/hyperlink" Target="https://prabhupadavani.org/transcriptions/720228tamay/" TargetMode="External"/><Relationship Id="rId811" Type="http://schemas.openxmlformats.org/officeDocument/2006/relationships/hyperlink" Target="https://prabhupadavani.org/transcriptions/720223sbcal/" TargetMode="External"/><Relationship Id="rId810" Type="http://schemas.openxmlformats.org/officeDocument/2006/relationships/hyperlink" Target="https://prabhupadavani.org/transcriptions/720223bgcal/" TargetMode="External"/><Relationship Id="rId815" Type="http://schemas.openxmlformats.org/officeDocument/2006/relationships/hyperlink" Target="https://prabhupadavani.org/transcriptions/720227tamay/" TargetMode="External"/><Relationship Id="rId814" Type="http://schemas.openxmlformats.org/officeDocument/2006/relationships/hyperlink" Target="https://prabhupadavani.org/transcriptions/720227lemay/" TargetMode="External"/><Relationship Id="rId813" Type="http://schemas.openxmlformats.org/officeDocument/2006/relationships/hyperlink" Target="https://prabhupadavani.org/transcriptions/720226lemay/" TargetMode="External"/><Relationship Id="rId812" Type="http://schemas.openxmlformats.org/officeDocument/2006/relationships/hyperlink" Target="https://prabhupadavani.org/transcriptions/720224lecal/" TargetMode="External"/><Relationship Id="rId2970" Type="http://schemas.openxmlformats.org/officeDocument/2006/relationships/hyperlink" Target="https://prabhupadavani.org/transcriptions/760629bjnv/" TargetMode="External"/><Relationship Id="rId1640" Type="http://schemas.openxmlformats.org/officeDocument/2006/relationships/hyperlink" Target="https://prabhupadavani.org/transcriptions/740115sbhon/" TargetMode="External"/><Relationship Id="rId2971" Type="http://schemas.openxmlformats.org/officeDocument/2006/relationships/hyperlink" Target="https://prabhupadavani.org/transcriptions/760630sbnv/" TargetMode="External"/><Relationship Id="rId1641" Type="http://schemas.openxmlformats.org/officeDocument/2006/relationships/hyperlink" Target="https://prabhupadavani.org/transcriptions/740116mwhon/" TargetMode="External"/><Relationship Id="rId2972" Type="http://schemas.openxmlformats.org/officeDocument/2006/relationships/hyperlink" Target="https://prabhupadavani.org/transcriptions/760630ivwhe/" TargetMode="External"/><Relationship Id="rId1675" Type="http://schemas.openxmlformats.org/officeDocument/2006/relationships/hyperlink" Target="https://prabhupadavani.org/transcriptions/740213r1vrn/" TargetMode="External"/><Relationship Id="rId1676" Type="http://schemas.openxmlformats.org/officeDocument/2006/relationships/hyperlink" Target="https://prabhupadavani.org/transcriptions/740213r2vrn/" TargetMode="External"/><Relationship Id="rId1677" Type="http://schemas.openxmlformats.org/officeDocument/2006/relationships/hyperlink" Target="https://prabhupadavani.org/transcriptions/740213levrn/" TargetMode="External"/><Relationship Id="rId1678" Type="http://schemas.openxmlformats.org/officeDocument/2006/relationships/hyperlink" Target="https://prabhupadavani.org/transcriptions/740214r1vrn/" TargetMode="External"/><Relationship Id="rId1679" Type="http://schemas.openxmlformats.org/officeDocument/2006/relationships/hyperlink" Target="https://prabhupadavani.org/transcriptions/740217mwbom/" TargetMode="External"/><Relationship Id="rId849" Type="http://schemas.openxmlformats.org/officeDocument/2006/relationships/hyperlink" Target="https://prabhupadavani.org/transcriptions/720402lesyd/" TargetMode="External"/><Relationship Id="rId844" Type="http://schemas.openxmlformats.org/officeDocument/2006/relationships/hyperlink" Target="https://prabhupadavani.org/transcriptions/720328bgbom/" TargetMode="External"/><Relationship Id="rId843" Type="http://schemas.openxmlformats.org/officeDocument/2006/relationships/hyperlink" Target="https://prabhupadavani.org/transcriptions/720327bgbom/" TargetMode="External"/><Relationship Id="rId842" Type="http://schemas.openxmlformats.org/officeDocument/2006/relationships/hyperlink" Target="https://prabhupadavani.org/transcriptions/720327lebom/" TargetMode="External"/><Relationship Id="rId841" Type="http://schemas.openxmlformats.org/officeDocument/2006/relationships/hyperlink" Target="https://prabhupadavani.org/transcriptions/720326bgbom/" TargetMode="External"/><Relationship Id="rId848" Type="http://schemas.openxmlformats.org/officeDocument/2006/relationships/hyperlink" Target="https://prabhupadavani.org/transcriptions/720402r1syd/" TargetMode="External"/><Relationship Id="rId847" Type="http://schemas.openxmlformats.org/officeDocument/2006/relationships/hyperlink" Target="https://prabhupadavani.org/transcriptions/720401r1syd/" TargetMode="External"/><Relationship Id="rId846" Type="http://schemas.openxmlformats.org/officeDocument/2006/relationships/hyperlink" Target="https://prabhupadavani.org/transcriptions/720330lebom/" TargetMode="External"/><Relationship Id="rId845" Type="http://schemas.openxmlformats.org/officeDocument/2006/relationships/hyperlink" Target="https://prabhupadavani.org/transcriptions/720329bgbom/" TargetMode="External"/><Relationship Id="rId1670" Type="http://schemas.openxmlformats.org/officeDocument/2006/relationships/hyperlink" Target="https://prabhupadavani.org/transcriptions/740211mwvrn/" TargetMode="External"/><Relationship Id="rId840" Type="http://schemas.openxmlformats.org/officeDocument/2006/relationships/hyperlink" Target="https://prabhupadavani.org/transcriptions/720326sbbom/" TargetMode="External"/><Relationship Id="rId1671" Type="http://schemas.openxmlformats.org/officeDocument/2006/relationships/hyperlink" Target="https://prabhupadavani.org/transcriptions/740211bavrn/" TargetMode="External"/><Relationship Id="rId1672" Type="http://schemas.openxmlformats.org/officeDocument/2006/relationships/hyperlink" Target="https://prabhupadavani.org/transcriptions/740212bgvrn/" TargetMode="External"/><Relationship Id="rId1673" Type="http://schemas.openxmlformats.org/officeDocument/2006/relationships/hyperlink" Target="https://prabhupadavani.org/transcriptions/740212levrn/" TargetMode="External"/><Relationship Id="rId1674" Type="http://schemas.openxmlformats.org/officeDocument/2006/relationships/hyperlink" Target="https://prabhupadavani.org/transcriptions/740213bgvrn/" TargetMode="External"/><Relationship Id="rId1664" Type="http://schemas.openxmlformats.org/officeDocument/2006/relationships/hyperlink" Target="https://prabhupadavani.org/transcriptions/740207bgvrn/" TargetMode="External"/><Relationship Id="rId2995" Type="http://schemas.openxmlformats.org/officeDocument/2006/relationships/hyperlink" Target="https://prabhupadavani.org/transcriptions/760706adwdc/" TargetMode="External"/><Relationship Id="rId1665" Type="http://schemas.openxmlformats.org/officeDocument/2006/relationships/hyperlink" Target="https://prabhupadavani.org/transcriptions/740208r1vrn/" TargetMode="External"/><Relationship Id="rId2996" Type="http://schemas.openxmlformats.org/officeDocument/2006/relationships/hyperlink" Target="https://prabhupadavani.org/transcriptions/760706r1wdc/" TargetMode="External"/><Relationship Id="rId1666" Type="http://schemas.openxmlformats.org/officeDocument/2006/relationships/hyperlink" Target="https://prabhupadavani.org/transcriptions/740208r2vrn/" TargetMode="External"/><Relationship Id="rId2997" Type="http://schemas.openxmlformats.org/officeDocument/2006/relationships/hyperlink" Target="https://prabhupadavani.org/transcriptions/760706r2wdc/" TargetMode="External"/><Relationship Id="rId1667" Type="http://schemas.openxmlformats.org/officeDocument/2006/relationships/hyperlink" Target="https://prabhupadavani.org/transcriptions/740208bgvrn/" TargetMode="External"/><Relationship Id="rId2998" Type="http://schemas.openxmlformats.org/officeDocument/2006/relationships/hyperlink" Target="https://prabhupadavani.org/transcriptions/760706r3wdc/" TargetMode="External"/><Relationship Id="rId1668" Type="http://schemas.openxmlformats.org/officeDocument/2006/relationships/hyperlink" Target="https://prabhupadavani.org/transcriptions/740209r1vrn/" TargetMode="External"/><Relationship Id="rId2999" Type="http://schemas.openxmlformats.org/officeDocument/2006/relationships/hyperlink" Target="https://prabhupadavani.org/transcriptions/760706r4wdc/" TargetMode="External"/><Relationship Id="rId1669" Type="http://schemas.openxmlformats.org/officeDocument/2006/relationships/hyperlink" Target="https://prabhupadavani.org/transcriptions/740210bgvrn/" TargetMode="External"/><Relationship Id="rId839" Type="http://schemas.openxmlformats.org/officeDocument/2006/relationships/hyperlink" Target="https://prabhupadavani.org/transcriptions/720325sbbom/" TargetMode="External"/><Relationship Id="rId838" Type="http://schemas.openxmlformats.org/officeDocument/2006/relationships/hyperlink" Target="https://prabhupadavani.org/transcriptions/720325bgbom/" TargetMode="External"/><Relationship Id="rId833" Type="http://schemas.openxmlformats.org/officeDocument/2006/relationships/hyperlink" Target="https://prabhupadavani.org/transcriptions/720319lebom/" TargetMode="External"/><Relationship Id="rId832" Type="http://schemas.openxmlformats.org/officeDocument/2006/relationships/hyperlink" Target="https://prabhupadavani.org/transcriptions/720318lebom/" TargetMode="External"/><Relationship Id="rId831" Type="http://schemas.openxmlformats.org/officeDocument/2006/relationships/hyperlink" Target="https://prabhupadavani.org/transcriptions/720317inbom/" TargetMode="External"/><Relationship Id="rId830" Type="http://schemas.openxmlformats.org/officeDocument/2006/relationships/hyperlink" Target="https://prabhupadavani.org/transcriptions/720317lebom/" TargetMode="External"/><Relationship Id="rId837" Type="http://schemas.openxmlformats.org/officeDocument/2006/relationships/hyperlink" Target="https://prabhupadavani.org/transcriptions/720324sbbom/" TargetMode="External"/><Relationship Id="rId836" Type="http://schemas.openxmlformats.org/officeDocument/2006/relationships/hyperlink" Target="https://prabhupadavani.org/transcriptions/720322sbbom/" TargetMode="External"/><Relationship Id="rId835" Type="http://schemas.openxmlformats.org/officeDocument/2006/relationships/hyperlink" Target="https://prabhupadavani.org/transcriptions/720321sbbom/" TargetMode="External"/><Relationship Id="rId834" Type="http://schemas.openxmlformats.org/officeDocument/2006/relationships/hyperlink" Target="https://prabhupadavani.org/transcriptions/720320lebom/" TargetMode="External"/><Relationship Id="rId2990" Type="http://schemas.openxmlformats.org/officeDocument/2006/relationships/hyperlink" Target="https://prabhupadavani.org/transcriptions/760705r1wdc/" TargetMode="External"/><Relationship Id="rId1660" Type="http://schemas.openxmlformats.org/officeDocument/2006/relationships/hyperlink" Target="https://prabhupadavani.org/transcriptions/740130r1tok/" TargetMode="External"/><Relationship Id="rId2991" Type="http://schemas.openxmlformats.org/officeDocument/2006/relationships/hyperlink" Target="https://prabhupadavani.org/transcriptions/760705r2wdc/" TargetMode="External"/><Relationship Id="rId1661" Type="http://schemas.openxmlformats.org/officeDocument/2006/relationships/hyperlink" Target="https://prabhupadavani.org/transcriptions/740131bghk/" TargetMode="External"/><Relationship Id="rId2992" Type="http://schemas.openxmlformats.org/officeDocument/2006/relationships/hyperlink" Target="https://prabhupadavani.org/transcriptions/760705r3wdc/" TargetMode="External"/><Relationship Id="rId1662" Type="http://schemas.openxmlformats.org/officeDocument/2006/relationships/hyperlink" Target="https://prabhupadavani.org/transcriptions/740206r1vrn/" TargetMode="External"/><Relationship Id="rId2993" Type="http://schemas.openxmlformats.org/officeDocument/2006/relationships/hyperlink" Target="https://prabhupadavani.org/transcriptions/760705r4wdc/" TargetMode="External"/><Relationship Id="rId1663" Type="http://schemas.openxmlformats.org/officeDocument/2006/relationships/hyperlink" Target="https://prabhupadavani.org/transcriptions/740206bgvrn/" TargetMode="External"/><Relationship Id="rId2994" Type="http://schemas.openxmlformats.org/officeDocument/2006/relationships/hyperlink" Target="https://prabhupadavani.org/transcriptions/760706edwdc/" TargetMode="External"/><Relationship Id="rId2148" Type="http://schemas.openxmlformats.org/officeDocument/2006/relationships/hyperlink" Target="https://prabhupadavani.org/transcriptions/750308r1lon/" TargetMode="External"/><Relationship Id="rId2149" Type="http://schemas.openxmlformats.org/officeDocument/2006/relationships/hyperlink" Target="https://prabhupadavani.org/transcriptions/750309r1lon/" TargetMode="External"/><Relationship Id="rId3479" Type="http://schemas.openxmlformats.org/officeDocument/2006/relationships/hyperlink" Target="https://prabhupadavani.org/transcriptions/770326lebom/" TargetMode="External"/><Relationship Id="rId3470" Type="http://schemas.openxmlformats.org/officeDocument/2006/relationships/hyperlink" Target="https://prabhupadavani.org/transcriptions/770301r2may/" TargetMode="External"/><Relationship Id="rId2140" Type="http://schemas.openxmlformats.org/officeDocument/2006/relationships/hyperlink" Target="https://prabhupadavani.org/transcriptions/750304mwdal/" TargetMode="External"/><Relationship Id="rId3472" Type="http://schemas.openxmlformats.org/officeDocument/2006/relationships/hyperlink" Target="https://prabhupadavani.org/transcriptions/770304r1may/" TargetMode="External"/><Relationship Id="rId2141" Type="http://schemas.openxmlformats.org/officeDocument/2006/relationships/hyperlink" Target="https://prabhupadavani.org/transcriptions/750304ccdal/" TargetMode="External"/><Relationship Id="rId3471" Type="http://schemas.openxmlformats.org/officeDocument/2006/relationships/hyperlink" Target="https://prabhupadavani.org/transcriptions/770302r1may/" TargetMode="External"/><Relationship Id="rId2142" Type="http://schemas.openxmlformats.org/officeDocument/2006/relationships/hyperlink" Target="https://prabhupadavani.org/transcriptions/750305sbny/" TargetMode="External"/><Relationship Id="rId3474" Type="http://schemas.openxmlformats.org/officeDocument/2006/relationships/hyperlink" Target="https://prabhupadavani.org/transcriptions/770322r1bom/" TargetMode="External"/><Relationship Id="rId2143" Type="http://schemas.openxmlformats.org/officeDocument/2006/relationships/hyperlink" Target="https://prabhupadavani.org/transcriptions/750305ivny/" TargetMode="External"/><Relationship Id="rId3473" Type="http://schemas.openxmlformats.org/officeDocument/2006/relationships/hyperlink" Target="https://prabhupadavani.org/transcriptions/770320r1may/" TargetMode="External"/><Relationship Id="rId2144" Type="http://schemas.openxmlformats.org/officeDocument/2006/relationships/hyperlink" Target="https://prabhupadavani.org/transcriptions/750306s2ny/" TargetMode="External"/><Relationship Id="rId3476" Type="http://schemas.openxmlformats.org/officeDocument/2006/relationships/hyperlink" Target="https://prabhupadavani.org/transcriptions/770324sbbom/" TargetMode="External"/><Relationship Id="rId2145" Type="http://schemas.openxmlformats.org/officeDocument/2006/relationships/hyperlink" Target="https://prabhupadavani.org/transcriptions/750306sbny/" TargetMode="External"/><Relationship Id="rId3475" Type="http://schemas.openxmlformats.org/officeDocument/2006/relationships/hyperlink" Target="https://prabhupadavani.org/transcriptions/770323sbbom/" TargetMode="External"/><Relationship Id="rId2146" Type="http://schemas.openxmlformats.org/officeDocument/2006/relationships/hyperlink" Target="https://prabhupadavani.org/transcriptions/750307sbny/" TargetMode="External"/><Relationship Id="rId3478" Type="http://schemas.openxmlformats.org/officeDocument/2006/relationships/hyperlink" Target="https://prabhupadavani.org/transcriptions/770325sbbom/" TargetMode="External"/><Relationship Id="rId2147" Type="http://schemas.openxmlformats.org/officeDocument/2006/relationships/hyperlink" Target="https://prabhupadavani.org/transcriptions/750308arlon/" TargetMode="External"/><Relationship Id="rId3477" Type="http://schemas.openxmlformats.org/officeDocument/2006/relationships/hyperlink" Target="https://prabhupadavani.org/transcriptions/770324r1bom/" TargetMode="External"/><Relationship Id="rId2137" Type="http://schemas.openxmlformats.org/officeDocument/2006/relationships/hyperlink" Target="https://prabhupadavani.org/transcriptions/750302leatl/" TargetMode="External"/><Relationship Id="rId3469" Type="http://schemas.openxmlformats.org/officeDocument/2006/relationships/hyperlink" Target="https://prabhupadavani.org/transcriptions/770301r1may/" TargetMode="External"/><Relationship Id="rId2138" Type="http://schemas.openxmlformats.org/officeDocument/2006/relationships/hyperlink" Target="https://prabhupadavani.org/transcriptions/750303ledal/" TargetMode="External"/><Relationship Id="rId3468" Type="http://schemas.openxmlformats.org/officeDocument/2006/relationships/hyperlink" Target="https://prabhupadavani.org/transcriptions/770301sbmay/" TargetMode="External"/><Relationship Id="rId2139" Type="http://schemas.openxmlformats.org/officeDocument/2006/relationships/hyperlink" Target="https://prabhupadavani.org/transcriptions/750303sbdal/" TargetMode="External"/><Relationship Id="rId3461" Type="http://schemas.openxmlformats.org/officeDocument/2006/relationships/hyperlink" Target="https://prabhupadavani.org/transcriptions/770227sbmay/" TargetMode="External"/><Relationship Id="rId2130" Type="http://schemas.openxmlformats.org/officeDocument/2006/relationships/hyperlink" Target="https://prabhupadavani.org/transcriptions/750301r1atl/" TargetMode="External"/><Relationship Id="rId3460" Type="http://schemas.openxmlformats.org/officeDocument/2006/relationships/hyperlink" Target="https://prabhupadavani.org/transcriptions/770226edmay/" TargetMode="External"/><Relationship Id="rId2131" Type="http://schemas.openxmlformats.org/officeDocument/2006/relationships/hyperlink" Target="https://prabhupadavani.org/transcriptions/750301r2atl/" TargetMode="External"/><Relationship Id="rId3463" Type="http://schemas.openxmlformats.org/officeDocument/2006/relationships/hyperlink" Target="https://prabhupadavani.org/transcriptions/770227r2may/" TargetMode="External"/><Relationship Id="rId2132" Type="http://schemas.openxmlformats.org/officeDocument/2006/relationships/hyperlink" Target="https://prabhupadavani.org/transcriptions/750301ccatl/" TargetMode="External"/><Relationship Id="rId3462" Type="http://schemas.openxmlformats.org/officeDocument/2006/relationships/hyperlink" Target="https://prabhupadavani.org/transcriptions/770227r1may/" TargetMode="External"/><Relationship Id="rId2133" Type="http://schemas.openxmlformats.org/officeDocument/2006/relationships/hyperlink" Target="https://prabhupadavani.org/transcriptions/750302mwatl/" TargetMode="External"/><Relationship Id="rId3465" Type="http://schemas.openxmlformats.org/officeDocument/2006/relationships/hyperlink" Target="https://prabhupadavani.org/transcriptions/770228r1may/" TargetMode="External"/><Relationship Id="rId2134" Type="http://schemas.openxmlformats.org/officeDocument/2006/relationships/hyperlink" Target="https://prabhupadavani.org/transcriptions/750302baatl/" TargetMode="External"/><Relationship Id="rId3464" Type="http://schemas.openxmlformats.org/officeDocument/2006/relationships/hyperlink" Target="https://prabhupadavani.org/transcriptions/770228sbmay/" TargetMode="External"/><Relationship Id="rId2135" Type="http://schemas.openxmlformats.org/officeDocument/2006/relationships/hyperlink" Target="https://prabhupadavani.org/transcriptions/750302r2atl/" TargetMode="External"/><Relationship Id="rId3467" Type="http://schemas.openxmlformats.org/officeDocument/2006/relationships/hyperlink" Target="https://prabhupadavani.org/transcriptions/770228r3may/" TargetMode="External"/><Relationship Id="rId2136" Type="http://schemas.openxmlformats.org/officeDocument/2006/relationships/hyperlink" Target="https://prabhupadavani.org/transcriptions/750302r1atl/" TargetMode="External"/><Relationship Id="rId3466" Type="http://schemas.openxmlformats.org/officeDocument/2006/relationships/hyperlink" Target="https://prabhupadavani.org/transcriptions/770228r2may/" TargetMode="External"/><Relationship Id="rId3490" Type="http://schemas.openxmlformats.org/officeDocument/2006/relationships/hyperlink" Target="https://prabhupadavani.org/transcriptions/770331r1bom/" TargetMode="External"/><Relationship Id="rId2160" Type="http://schemas.openxmlformats.org/officeDocument/2006/relationships/hyperlink" Target="https://prabhupadavani.org/transcriptions/750314r1teh/" TargetMode="External"/><Relationship Id="rId3492" Type="http://schemas.openxmlformats.org/officeDocument/2006/relationships/hyperlink" Target="https://prabhupadavani.org/transcriptions/770331r3bom/" TargetMode="External"/><Relationship Id="rId2161" Type="http://schemas.openxmlformats.org/officeDocument/2006/relationships/hyperlink" Target="https://prabhupadavani.org/transcriptions/750314r2teh/" TargetMode="External"/><Relationship Id="rId3491" Type="http://schemas.openxmlformats.org/officeDocument/2006/relationships/hyperlink" Target="https://prabhupadavani.org/transcriptions/770331r2bom/" TargetMode="External"/><Relationship Id="rId2162" Type="http://schemas.openxmlformats.org/officeDocument/2006/relationships/hyperlink" Target="https://prabhupadavani.org/transcriptions/750315mwteh/" TargetMode="External"/><Relationship Id="rId3494" Type="http://schemas.openxmlformats.org/officeDocument/2006/relationships/hyperlink" Target="https://prabhupadavani.org/transcriptions/770402r1bom/" TargetMode="External"/><Relationship Id="rId2163" Type="http://schemas.openxmlformats.org/officeDocument/2006/relationships/hyperlink" Target="https://prabhupadavani.org/transcriptions/750315r1teh/" TargetMode="External"/><Relationship Id="rId3493" Type="http://schemas.openxmlformats.org/officeDocument/2006/relationships/hyperlink" Target="https://prabhupadavani.org/transcriptions/770401lebom/" TargetMode="External"/><Relationship Id="rId2164" Type="http://schemas.openxmlformats.org/officeDocument/2006/relationships/hyperlink" Target="https://prabhupadavani.org/transcriptions/750320arcal/" TargetMode="External"/><Relationship Id="rId3496" Type="http://schemas.openxmlformats.org/officeDocument/2006/relationships/hyperlink" Target="https://prabhupadavani.org/transcriptions/770405r1bom/" TargetMode="External"/><Relationship Id="rId2165" Type="http://schemas.openxmlformats.org/officeDocument/2006/relationships/hyperlink" Target="https://prabhupadavani.org/transcriptions/750321r1cal/" TargetMode="External"/><Relationship Id="rId3495" Type="http://schemas.openxmlformats.org/officeDocument/2006/relationships/hyperlink" Target="https://prabhupadavani.org/transcriptions/770405ivbom/" TargetMode="External"/><Relationship Id="rId2166" Type="http://schemas.openxmlformats.org/officeDocument/2006/relationships/hyperlink" Target="https://prabhupadavani.org/transcriptions/750321sbcal/" TargetMode="External"/><Relationship Id="rId3498" Type="http://schemas.openxmlformats.org/officeDocument/2006/relationships/hyperlink" Target="https://prabhupadavani.org/transcriptions/770405r3bom/" TargetMode="External"/><Relationship Id="rId2167" Type="http://schemas.openxmlformats.org/officeDocument/2006/relationships/hyperlink" Target="https://prabhupadavani.org/transcriptions/750322sbcal/" TargetMode="External"/><Relationship Id="rId3497" Type="http://schemas.openxmlformats.org/officeDocument/2006/relationships/hyperlink" Target="https://prabhupadavani.org/transcriptions/770405r2bom/" TargetMode="External"/><Relationship Id="rId2168" Type="http://schemas.openxmlformats.org/officeDocument/2006/relationships/hyperlink" Target="https://prabhupadavani.org/transcriptions/750323armay/" TargetMode="External"/><Relationship Id="rId2169" Type="http://schemas.openxmlformats.org/officeDocument/2006/relationships/hyperlink" Target="https://prabhupadavani.org/transcriptions/750323sbcal/" TargetMode="External"/><Relationship Id="rId3499" Type="http://schemas.openxmlformats.org/officeDocument/2006/relationships/hyperlink" Target="https://prabhupadavani.org/transcriptions/770410r1bom/" TargetMode="External"/><Relationship Id="rId2159" Type="http://schemas.openxmlformats.org/officeDocument/2006/relationships/hyperlink" Target="https://prabhupadavani.org/transcriptions/750314mwteh/" TargetMode="External"/><Relationship Id="rId3481" Type="http://schemas.openxmlformats.org/officeDocument/2006/relationships/hyperlink" Target="https://prabhupadavani.org/transcriptions/770326r2bom/" TargetMode="External"/><Relationship Id="rId2150" Type="http://schemas.openxmlformats.org/officeDocument/2006/relationships/hyperlink" Target="https://prabhupadavani.org/transcriptions/750309bglon/" TargetMode="External"/><Relationship Id="rId3480" Type="http://schemas.openxmlformats.org/officeDocument/2006/relationships/hyperlink" Target="https://prabhupadavani.org/transcriptions/770326r1bom/" TargetMode="External"/><Relationship Id="rId2151" Type="http://schemas.openxmlformats.org/officeDocument/2006/relationships/hyperlink" Target="https://prabhupadavani.org/transcriptions/750310bglon/" TargetMode="External"/><Relationship Id="rId3483" Type="http://schemas.openxmlformats.org/officeDocument/2006/relationships/hyperlink" Target="https://prabhupadavani.org/transcriptions/770327r1bom/" TargetMode="External"/><Relationship Id="rId2152" Type="http://schemas.openxmlformats.org/officeDocument/2006/relationships/hyperlink" Target="https://prabhupadavani.org/transcriptions/750311mwlon/" TargetMode="External"/><Relationship Id="rId3482" Type="http://schemas.openxmlformats.org/officeDocument/2006/relationships/hyperlink" Target="https://prabhupadavani.org/transcriptions/770326r3bom/" TargetMode="External"/><Relationship Id="rId2153" Type="http://schemas.openxmlformats.org/officeDocument/2006/relationships/hyperlink" Target="https://prabhupadavani.org/transcriptions/750311bglon/" TargetMode="External"/><Relationship Id="rId3485" Type="http://schemas.openxmlformats.org/officeDocument/2006/relationships/hyperlink" Target="https://prabhupadavani.org/transcriptions/770327r3bom/" TargetMode="External"/><Relationship Id="rId2154" Type="http://schemas.openxmlformats.org/officeDocument/2006/relationships/hyperlink" Target="https://prabhupadavani.org/transcriptions/750312dplon/" TargetMode="External"/><Relationship Id="rId3484" Type="http://schemas.openxmlformats.org/officeDocument/2006/relationships/hyperlink" Target="https://prabhupadavani.org/transcriptions/770327r2bom/" TargetMode="External"/><Relationship Id="rId2155" Type="http://schemas.openxmlformats.org/officeDocument/2006/relationships/hyperlink" Target="https://prabhupadavani.org/transcriptions/750313mwteh/" TargetMode="External"/><Relationship Id="rId3487" Type="http://schemas.openxmlformats.org/officeDocument/2006/relationships/hyperlink" Target="https://prabhupadavani.org/transcriptions/770329r1bom/" TargetMode="External"/><Relationship Id="rId2156" Type="http://schemas.openxmlformats.org/officeDocument/2006/relationships/hyperlink" Target="https://prabhupadavani.org/transcriptions/750313sbteh/" TargetMode="External"/><Relationship Id="rId3486" Type="http://schemas.openxmlformats.org/officeDocument/2006/relationships/hyperlink" Target="https://prabhupadavani.org/transcriptions/770327r4bom/" TargetMode="External"/><Relationship Id="rId2157" Type="http://schemas.openxmlformats.org/officeDocument/2006/relationships/hyperlink" Target="https://prabhupadavani.org/transcriptions/750313r2teh/" TargetMode="External"/><Relationship Id="rId3489" Type="http://schemas.openxmlformats.org/officeDocument/2006/relationships/hyperlink" Target="https://prabhupadavani.org/transcriptions/770330r1bom/" TargetMode="External"/><Relationship Id="rId2158" Type="http://schemas.openxmlformats.org/officeDocument/2006/relationships/hyperlink" Target="https://prabhupadavani.org/transcriptions/750313r1teh/" TargetMode="External"/><Relationship Id="rId3488" Type="http://schemas.openxmlformats.org/officeDocument/2006/relationships/hyperlink" Target="https://prabhupadavani.org/transcriptions/770329sbbom/" TargetMode="External"/><Relationship Id="rId2104" Type="http://schemas.openxmlformats.org/officeDocument/2006/relationships/hyperlink" Target="https://prabhupadavani.org/transcriptions/750214bgmex/" TargetMode="External"/><Relationship Id="rId3436" Type="http://schemas.openxmlformats.org/officeDocument/2006/relationships/hyperlink" Target="https://prabhupadavani.org/transcriptions/770215edmay/" TargetMode="External"/><Relationship Id="rId2105" Type="http://schemas.openxmlformats.org/officeDocument/2006/relationships/hyperlink" Target="https://prabhupadavani.org/transcriptions/750214qamex/" TargetMode="External"/><Relationship Id="rId3435" Type="http://schemas.openxmlformats.org/officeDocument/2006/relationships/hyperlink" Target="https://prabhupadavani.org/transcriptions/770214romay/" TargetMode="External"/><Relationship Id="rId2106" Type="http://schemas.openxmlformats.org/officeDocument/2006/relationships/hyperlink" Target="https://prabhupadavani.org/transcriptions/750215r1mex/" TargetMode="External"/><Relationship Id="rId3438" Type="http://schemas.openxmlformats.org/officeDocument/2006/relationships/hyperlink" Target="https://prabhupadavani.org/transcriptions/770216r2may/" TargetMode="External"/><Relationship Id="rId2107" Type="http://schemas.openxmlformats.org/officeDocument/2006/relationships/hyperlink" Target="https://prabhupadavani.org/transcriptions/750215bgmex/" TargetMode="External"/><Relationship Id="rId3437" Type="http://schemas.openxmlformats.org/officeDocument/2006/relationships/hyperlink" Target="https://prabhupadavani.org/transcriptions/770216r1may/" TargetMode="External"/><Relationship Id="rId2108" Type="http://schemas.openxmlformats.org/officeDocument/2006/relationships/hyperlink" Target="https://prabhupadavani.org/transcriptions/750216bgmex/" TargetMode="External"/><Relationship Id="rId2109" Type="http://schemas.openxmlformats.org/officeDocument/2006/relationships/hyperlink" Target="https://prabhupadavani.org/transcriptions/750217bgmex/" TargetMode="External"/><Relationship Id="rId3439" Type="http://schemas.openxmlformats.org/officeDocument/2006/relationships/hyperlink" Target="https://prabhupadavani.org/transcriptions/770217sbmay/" TargetMode="External"/><Relationship Id="rId3430" Type="http://schemas.openxmlformats.org/officeDocument/2006/relationships/hyperlink" Target="https://prabhupadavani.org/transcriptions/770211r1may/" TargetMode="External"/><Relationship Id="rId2100" Type="http://schemas.openxmlformats.org/officeDocument/2006/relationships/hyperlink" Target="https://prabhupadavani.org/transcriptions/750211bgmex/" TargetMode="External"/><Relationship Id="rId3432" Type="http://schemas.openxmlformats.org/officeDocument/2006/relationships/hyperlink" Target="https://prabhupadavani.org/transcriptions/770212r1may/" TargetMode="External"/><Relationship Id="rId2101" Type="http://schemas.openxmlformats.org/officeDocument/2006/relationships/hyperlink" Target="https://prabhupadavani.org/transcriptions/750212bgmex/" TargetMode="External"/><Relationship Id="rId3431" Type="http://schemas.openxmlformats.org/officeDocument/2006/relationships/hyperlink" Target="https://prabhupadavani.org/transcriptions/770212sbmay/" TargetMode="External"/><Relationship Id="rId2102" Type="http://schemas.openxmlformats.org/officeDocument/2006/relationships/hyperlink" Target="https://prabhupadavani.org/transcriptions/750212r1mex/" TargetMode="External"/><Relationship Id="rId3434" Type="http://schemas.openxmlformats.org/officeDocument/2006/relationships/hyperlink" Target="https://prabhupadavani.org/transcriptions/770214r2may/" TargetMode="External"/><Relationship Id="rId2103" Type="http://schemas.openxmlformats.org/officeDocument/2006/relationships/hyperlink" Target="https://prabhupadavani.org/transcriptions/750213r1mex/" TargetMode="External"/><Relationship Id="rId3433" Type="http://schemas.openxmlformats.org/officeDocument/2006/relationships/hyperlink" Target="https://prabhupadavani.org/transcriptions/770214r1may/" TargetMode="External"/><Relationship Id="rId3425" Type="http://schemas.openxmlformats.org/officeDocument/2006/relationships/hyperlink" Target="https://prabhupadavani.org/transcriptions/770206sbcal/" TargetMode="External"/><Relationship Id="rId3424" Type="http://schemas.openxmlformats.org/officeDocument/2006/relationships/hyperlink" Target="https://prabhupadavani.org/transcriptions/770205crcal/" TargetMode="External"/><Relationship Id="rId3427" Type="http://schemas.openxmlformats.org/officeDocument/2006/relationships/hyperlink" Target="https://prabhupadavani.org/transcriptions/770208bamay/" TargetMode="External"/><Relationship Id="rId3426" Type="http://schemas.openxmlformats.org/officeDocument/2006/relationships/hyperlink" Target="https://prabhupadavani.org/transcriptions/770207armay/" TargetMode="External"/><Relationship Id="rId3429" Type="http://schemas.openxmlformats.org/officeDocument/2006/relationships/hyperlink" Target="https://prabhupadavani.org/transcriptions/770210sbmay/" TargetMode="External"/><Relationship Id="rId3428" Type="http://schemas.openxmlformats.org/officeDocument/2006/relationships/hyperlink" Target="https://prabhupadavani.org/transcriptions/770210mwmay/" TargetMode="External"/><Relationship Id="rId899" Type="http://schemas.openxmlformats.org/officeDocument/2006/relationships/hyperlink" Target="https://prabhupadavani.org/transcriptions/720522sbla/" TargetMode="External"/><Relationship Id="rId898" Type="http://schemas.openxmlformats.org/officeDocument/2006/relationships/hyperlink" Target="https://prabhupadavani.org/transcriptions/720521lela/" TargetMode="External"/><Relationship Id="rId897" Type="http://schemas.openxmlformats.org/officeDocument/2006/relationships/hyperlink" Target="https://prabhupadavani.org/transcriptions/720520sbla/" TargetMode="External"/><Relationship Id="rId896" Type="http://schemas.openxmlformats.org/officeDocument/2006/relationships/hyperlink" Target="https://prabhupadavani.org/transcriptions/720519sbla/" TargetMode="External"/><Relationship Id="rId891" Type="http://schemas.openxmlformats.org/officeDocument/2006/relationships/hyperlink" Target="https://prabhupadavani.org/transcriptions/720505r1kyo/" TargetMode="External"/><Relationship Id="rId890" Type="http://schemas.openxmlformats.org/officeDocument/2006/relationships/hyperlink" Target="https://prabhupadavani.org/transcriptions/720505sbtok/" TargetMode="External"/><Relationship Id="rId895" Type="http://schemas.openxmlformats.org/officeDocument/2006/relationships/hyperlink" Target="https://prabhupadavani.org/transcriptions/720518lela/" TargetMode="External"/><Relationship Id="rId3421" Type="http://schemas.openxmlformats.org/officeDocument/2006/relationships/hyperlink" Target="https://prabhupadavani.org/transcriptions/770204arcal/" TargetMode="External"/><Relationship Id="rId894" Type="http://schemas.openxmlformats.org/officeDocument/2006/relationships/hyperlink" Target="https://prabhupadavani.org/transcriptions/720518arla/" TargetMode="External"/><Relationship Id="rId3420" Type="http://schemas.openxmlformats.org/officeDocument/2006/relationships/hyperlink" Target="https://prabhupadavani.org/transcriptions/770203r2bhu/" TargetMode="External"/><Relationship Id="rId893" Type="http://schemas.openxmlformats.org/officeDocument/2006/relationships/hyperlink" Target="https://prabhupadavani.org/transcriptions/720510lehon/" TargetMode="External"/><Relationship Id="rId3423" Type="http://schemas.openxmlformats.org/officeDocument/2006/relationships/hyperlink" Target="https://prabhupadavani.org/transcriptions/770204r2cal/" TargetMode="External"/><Relationship Id="rId892" Type="http://schemas.openxmlformats.org/officeDocument/2006/relationships/hyperlink" Target="https://prabhupadavani.org/transcriptions/720506arhon/" TargetMode="External"/><Relationship Id="rId3422" Type="http://schemas.openxmlformats.org/officeDocument/2006/relationships/hyperlink" Target="https://prabhupadavani.org/transcriptions/770204r1cal/" TargetMode="External"/><Relationship Id="rId2126" Type="http://schemas.openxmlformats.org/officeDocument/2006/relationships/hyperlink" Target="https://prabhupadavani.org/transcriptions/750228aratl/" TargetMode="External"/><Relationship Id="rId3458" Type="http://schemas.openxmlformats.org/officeDocument/2006/relationships/hyperlink" Target="https://prabhupadavani.org/transcriptions/770226sbmay/" TargetMode="External"/><Relationship Id="rId2127" Type="http://schemas.openxmlformats.org/officeDocument/2006/relationships/hyperlink" Target="https://prabhupadavani.org/transcriptions/750228r1atl/" TargetMode="External"/><Relationship Id="rId3457" Type="http://schemas.openxmlformats.org/officeDocument/2006/relationships/hyperlink" Target="https://prabhupadavani.org/transcriptions/770225r2may/" TargetMode="External"/><Relationship Id="rId2128" Type="http://schemas.openxmlformats.org/officeDocument/2006/relationships/hyperlink" Target="https://prabhupadavani.org/transcriptions/750228puatl/" TargetMode="External"/><Relationship Id="rId2129" Type="http://schemas.openxmlformats.org/officeDocument/2006/relationships/hyperlink" Target="https://prabhupadavani.org/transcriptions/750301mwatl/" TargetMode="External"/><Relationship Id="rId3459" Type="http://schemas.openxmlformats.org/officeDocument/2006/relationships/hyperlink" Target="https://prabhupadavani.org/transcriptions/770226ivmay/" TargetMode="External"/><Relationship Id="rId3450" Type="http://schemas.openxmlformats.org/officeDocument/2006/relationships/hyperlink" Target="https://prabhupadavani.org/transcriptions/770219r4may/" TargetMode="External"/><Relationship Id="rId2120" Type="http://schemas.openxmlformats.org/officeDocument/2006/relationships/hyperlink" Target="https://prabhupadavani.org/transcriptions/750224sbcar/" TargetMode="External"/><Relationship Id="rId3452" Type="http://schemas.openxmlformats.org/officeDocument/2006/relationships/hyperlink" Target="https://prabhupadavani.org/transcriptions/770224r1may/" TargetMode="External"/><Relationship Id="rId2121" Type="http://schemas.openxmlformats.org/officeDocument/2006/relationships/hyperlink" Target="https://prabhupadavani.org/transcriptions/750225dpcar/" TargetMode="External"/><Relationship Id="rId3451" Type="http://schemas.openxmlformats.org/officeDocument/2006/relationships/hyperlink" Target="https://prabhupadavani.org/transcriptions/770221r1may/" TargetMode="External"/><Relationship Id="rId2122" Type="http://schemas.openxmlformats.org/officeDocument/2006/relationships/hyperlink" Target="https://prabhupadavani.org/transcriptions/750225armia/" TargetMode="External"/><Relationship Id="rId3454" Type="http://schemas.openxmlformats.org/officeDocument/2006/relationships/hyperlink" Target="https://prabhupadavani.org/transcriptions/770225sbmay/" TargetMode="External"/><Relationship Id="rId2123" Type="http://schemas.openxmlformats.org/officeDocument/2006/relationships/hyperlink" Target="https://prabhupadavani.org/transcriptions/750225bgmia/" TargetMode="External"/><Relationship Id="rId3453" Type="http://schemas.openxmlformats.org/officeDocument/2006/relationships/hyperlink" Target="https://prabhupadavani.org/transcriptions/770224edmay/" TargetMode="External"/><Relationship Id="rId2124" Type="http://schemas.openxmlformats.org/officeDocument/2006/relationships/hyperlink" Target="https://prabhupadavani.org/transcriptions/750226bgmia/" TargetMode="External"/><Relationship Id="rId3456" Type="http://schemas.openxmlformats.org/officeDocument/2006/relationships/hyperlink" Target="https://prabhupadavani.org/transcriptions/770225r1may/" TargetMode="External"/><Relationship Id="rId2125" Type="http://schemas.openxmlformats.org/officeDocument/2006/relationships/hyperlink" Target="https://prabhupadavani.org/transcriptions/750227bgmia/" TargetMode="External"/><Relationship Id="rId3455" Type="http://schemas.openxmlformats.org/officeDocument/2006/relationships/hyperlink" Target="https://prabhupadavani.org/transcriptions/770225edmay/" TargetMode="External"/><Relationship Id="rId2115" Type="http://schemas.openxmlformats.org/officeDocument/2006/relationships/hyperlink" Target="https://prabhupadavani.org/transcriptions/750221r1car/" TargetMode="External"/><Relationship Id="rId3447" Type="http://schemas.openxmlformats.org/officeDocument/2006/relationships/hyperlink" Target="https://prabhupadavani.org/transcriptions/770219r1may/" TargetMode="External"/><Relationship Id="rId2116" Type="http://schemas.openxmlformats.org/officeDocument/2006/relationships/hyperlink" Target="https://prabhupadavani.org/transcriptions/750222r1car/" TargetMode="External"/><Relationship Id="rId3446" Type="http://schemas.openxmlformats.org/officeDocument/2006/relationships/hyperlink" Target="https://prabhupadavani.org/transcriptions/770219edmay/" TargetMode="External"/><Relationship Id="rId2117" Type="http://schemas.openxmlformats.org/officeDocument/2006/relationships/hyperlink" Target="https://prabhupadavani.org/transcriptions/750222incar/" TargetMode="External"/><Relationship Id="rId3449" Type="http://schemas.openxmlformats.org/officeDocument/2006/relationships/hyperlink" Target="https://prabhupadavani.org/transcriptions/770219r3may/" TargetMode="External"/><Relationship Id="rId2118" Type="http://schemas.openxmlformats.org/officeDocument/2006/relationships/hyperlink" Target="https://prabhupadavani.org/transcriptions/750223mwcar/" TargetMode="External"/><Relationship Id="rId3448" Type="http://schemas.openxmlformats.org/officeDocument/2006/relationships/hyperlink" Target="https://prabhupadavani.org/transcriptions/770219r2may/" TargetMode="External"/><Relationship Id="rId2119" Type="http://schemas.openxmlformats.org/officeDocument/2006/relationships/hyperlink" Target="https://prabhupadavani.org/transcriptions/750223sbcar/" TargetMode="External"/><Relationship Id="rId3441" Type="http://schemas.openxmlformats.org/officeDocument/2006/relationships/hyperlink" Target="https://prabhupadavani.org/transcriptions/770218sbmay/" TargetMode="External"/><Relationship Id="rId2110" Type="http://schemas.openxmlformats.org/officeDocument/2006/relationships/hyperlink" Target="https://prabhupadavani.org/transcriptions/750218dpmex/" TargetMode="External"/><Relationship Id="rId3440" Type="http://schemas.openxmlformats.org/officeDocument/2006/relationships/hyperlink" Target="https://prabhupadavani.org/transcriptions/770217r1may/" TargetMode="External"/><Relationship Id="rId2111" Type="http://schemas.openxmlformats.org/officeDocument/2006/relationships/hyperlink" Target="https://prabhupadavani.org/transcriptions/750219r1car/" TargetMode="External"/><Relationship Id="rId3443" Type="http://schemas.openxmlformats.org/officeDocument/2006/relationships/hyperlink" Target="https://prabhupadavani.org/transcriptions/770218r2may/" TargetMode="External"/><Relationship Id="rId2112" Type="http://schemas.openxmlformats.org/officeDocument/2006/relationships/hyperlink" Target="https://prabhupadavani.org/transcriptions/750220sbcar/" TargetMode="External"/><Relationship Id="rId3442" Type="http://schemas.openxmlformats.org/officeDocument/2006/relationships/hyperlink" Target="https://prabhupadavani.org/transcriptions/770218r1may/" TargetMode="External"/><Relationship Id="rId2113" Type="http://schemas.openxmlformats.org/officeDocument/2006/relationships/hyperlink" Target="https://prabhupadavani.org/transcriptions/750221mwcar/" TargetMode="External"/><Relationship Id="rId3445" Type="http://schemas.openxmlformats.org/officeDocument/2006/relationships/hyperlink" Target="https://prabhupadavani.org/transcriptions/770218r4may/" TargetMode="External"/><Relationship Id="rId2114" Type="http://schemas.openxmlformats.org/officeDocument/2006/relationships/hyperlink" Target="https://prabhupadavani.org/transcriptions/750221sbcar/" TargetMode="External"/><Relationship Id="rId3444" Type="http://schemas.openxmlformats.org/officeDocument/2006/relationships/hyperlink" Target="https://prabhupadavani.org/transcriptions/770218r3may/" TargetMode="External"/></Relationships>
</file>

<file path=xl/worksheets/_rels/sheet2.xml.rels><?xml version="1.0" encoding="UTF-8" standalone="yes"?><Relationships xmlns="http://schemas.openxmlformats.org/package/2006/relationships"><Relationship Id="rId2180" Type="http://schemas.openxmlformats.org/officeDocument/2006/relationships/hyperlink" Target="https://audio.iskcondesiretree.com/01_-_Srila_Prabhupada/01_-_Lectures/01_-_English/01_-_Topic_wise/Morning_Walk/SP_Morning_Walk_-_Germany_1974-06-22.mp3" TargetMode="External"/><Relationship Id="rId2181" Type="http://schemas.openxmlformats.org/officeDocument/2006/relationships/hyperlink" Target="https://audio.iskcondesiretree.com/01_-_Srila_Prabhupada/01_-_Lectures/01_-_English/01_-_Topic_wise/Room_Conversation/SP_Room_Conversation_Germany_1974-06-22_Monk--Krishna%27s_Name_Accepted_by_Jesus.mp3" TargetMode="External"/><Relationship Id="rId2182" Type="http://schemas.openxmlformats.org/officeDocument/2006/relationships/hyperlink" Target="https://audio.iskcondesiretree.com/01_-_Srila_Prabhupada/01_-_Lectures/01_-_English/01_-_Topic_wise/Various/SP_Lecture_Germany_1974-06-22_Krishna_Hears_Your_Mind.mp3" TargetMode="External"/><Relationship Id="rId2183" Type="http://schemas.openxmlformats.org/officeDocument/2006/relationships/hyperlink" Target="https://audio.iskcondesiretree.com/01_-_Srila_Prabhupada/01_-_Lectures/01_-_English/02_-_Month_wise/06_-_June/22/Bg-02-13_1974-06-22_BG-GERMANY.MP3" TargetMode="External"/><Relationship Id="rId2184" Type="http://schemas.openxmlformats.org/officeDocument/2006/relationships/hyperlink" Target="https://audio.iskcondesiretree.com/01_-_Srila_Prabhupada/01_-_Lectures/01_-_English/02_-_Month_wise/06_-_June/22/Conv_1974-06-22_R1-GERMANY.MP3" TargetMode="External"/><Relationship Id="rId2185" Type="http://schemas.openxmlformats.org/officeDocument/2006/relationships/hyperlink" Target="https://audio.iskcondesiretree.com/01_-_Srila_Prabhupada/01_-_Lectures/01_-_English/02_-_Month_wise/06_-_June/22/Lect_GER_1974-06-22_Krishna_Hears_Your_Mind.mp3" TargetMode="External"/><Relationship Id="rId2186" Type="http://schemas.openxmlformats.org/officeDocument/2006/relationships/hyperlink" Target="https://audio.iskcondesiretree.com/01_-_Srila_Prabhupada/01_-_Lectures/01_-_English/02_-_Month_wise/06_-_June/22/RC_GER_1974-06-22_Monk--Krishna%27s_Name_Accepted_by_Jesus.mp3" TargetMode="External"/><Relationship Id="rId2187" Type="http://schemas.openxmlformats.org/officeDocument/2006/relationships/hyperlink" Target="https://audio.iskcondesiretree.com/01_-_Srila_Prabhupada/01_-_Lectures/01_-_English/02_-_Month_wise/06_-_June/22/Walk_1974-06-22_MW-GERMANY.MP3" TargetMode="External"/><Relationship Id="rId2188" Type="http://schemas.openxmlformats.org/officeDocument/2006/relationships/hyperlink" Target="https://audio.iskcondesiretree.com/01_-_Srila_Prabhupada/01_-_Lectures/01_-_English/01_-_Topic_wise/Bhagavad_Gita/Chapter-02/SP_BG_02-14_Germany_1974-06-23.mp3" TargetMode="External"/><Relationship Id="rId2189" Type="http://schemas.openxmlformats.org/officeDocument/2006/relationships/hyperlink" Target="https://audio.iskcondesiretree.com/01_-_Srila_Prabhupada/01_-_Lectures/01_-_English/02_-_Month_wise/06_-_June/23/Bg-02-14_1974-06-23_BG-GERMANY.MP3" TargetMode="External"/><Relationship Id="rId2170" Type="http://schemas.openxmlformats.org/officeDocument/2006/relationships/hyperlink" Target="https://audio.iskcondesiretree.com/01_-_Srila_Prabhupada/01_-_Lectures/01_-_English/01_-_Topic_wise/Room_Conversation/SP_Room_Conversation_01_Germany_1974-06-20.mp3" TargetMode="External"/><Relationship Id="rId2171" Type="http://schemas.openxmlformats.org/officeDocument/2006/relationships/hyperlink" Target="https://audio.iskcondesiretree.com/01_-_Srila_Prabhupada/01_-_Lectures/01_-_English/02_-_Month_wise/06_-_June/20/Conv_1974-06-20_R1-GERMANY.MP3" TargetMode="External"/><Relationship Id="rId2172" Type="http://schemas.openxmlformats.org/officeDocument/2006/relationships/hyperlink" Target="https://audio.iskcondesiretree.com/01_-_Srila_Prabhupada/01_-_Lectures/01_-_English/02_-_Month_wise/06_-_June/20/MW_GER_1974-06-20_Different_Bodies_Different_Bothers.mp3" TargetMode="External"/><Relationship Id="rId2173" Type="http://schemas.openxmlformats.org/officeDocument/2006/relationships/hyperlink" Target="https://audio.iskcondesiretree.com/01_-_Srila_Prabhupada/01_-_Lectures/01_-_English/02_-_Month_wise/06_-_June/20/Walk_1974-06-20_MW-GERMANY.MP3" TargetMode="External"/><Relationship Id="rId2174" Type="http://schemas.openxmlformats.org/officeDocument/2006/relationships/hyperlink" Target="https://audio.iskcondesiretree.com/01_-_Srila_Prabhupada/01_-_Lectures/01_-_English/01_-_Topic_wise/Bhagavad_Gita/Chapter-02/SP_BG_02-14_Germany_1974-06-21_Our_Real_Business.mp3" TargetMode="External"/><Relationship Id="rId2175" Type="http://schemas.openxmlformats.org/officeDocument/2006/relationships/hyperlink" Target="https://audio.iskcondesiretree.com/01_-_Srila_Prabhupada/01_-_Lectures/01_-_English/01_-_Topic_wise/Morning_Walk/SP_Morning_Walk_-_Germany_1974-06-21_With_Prof--etc.mp3" TargetMode="External"/><Relationship Id="rId2176" Type="http://schemas.openxmlformats.org/officeDocument/2006/relationships/hyperlink" Target="https://audio.iskcondesiretree.com/01_-_Srila_Prabhupada/01_-_Lectures/01_-_English/02_-_Month_wise/06_-_June/21/Bg_02-14_GER_1974-06-21_Our_Real_Business.mp3" TargetMode="External"/><Relationship Id="rId2177" Type="http://schemas.openxmlformats.org/officeDocument/2006/relationships/hyperlink" Target="https://audio.iskcondesiretree.com/01_-_Srila_Prabhupada/01_-_Lectures/01_-_English/02_-_Month_wise/06_-_June/21/MW_GER_1974-06-21_With_Prof_etc.mp3" TargetMode="External"/><Relationship Id="rId2178" Type="http://schemas.openxmlformats.org/officeDocument/2006/relationships/hyperlink" Target="https://audio.iskcondesiretree.com/01_-_Srila_Prabhupada/01_-_Lectures/01_-_English/02_-_Month_wise/06_-_June/21/Walk_1974-06-21_MW-GERMANY.MP3" TargetMode="External"/><Relationship Id="rId2179" Type="http://schemas.openxmlformats.org/officeDocument/2006/relationships/hyperlink" Target="https://audio.iskcondesiretree.com/01_-_Srila_Prabhupada/01_-_Lectures/01_-_English/01_-_Topic_wise/Bhagavad_Gita/Chapter-02/SP_BG_02-13_Germany_1974-06-22_Life_after_Death.mp3" TargetMode="External"/><Relationship Id="rId2190" Type="http://schemas.openxmlformats.org/officeDocument/2006/relationships/hyperlink" Target="https://audio.iskcondesiretree.com/01_-_Srila_Prabhupada/01_-_Lectures/01_-_English/01_-_Topic_wise/Bhagavad_Gita/Chapter-13/SP_BG_13-22_Melbourne_1974-06-25_Material_Enjoyment-More_Bodies.mp3" TargetMode="External"/><Relationship Id="rId2191" Type="http://schemas.openxmlformats.org/officeDocument/2006/relationships/hyperlink" Target="https://audio.iskcondesiretree.com/01_-_Srila_Prabhupada/01_-_Lectures/01_-_English/02_-_Month_wise/06_-_June/25/Bg-13-22%E2%80%9324_1974-06-25_BG-MELBOURNE.MP3" TargetMode="External"/><Relationship Id="rId2192" Type="http://schemas.openxmlformats.org/officeDocument/2006/relationships/hyperlink" Target="https://audio.iskcondesiretree.com/01_-_Srila_Prabhupada/01_-_Lectures/01_-_English/02_-_Month_wise/06_-_June/25/Bg_13-22_MEL_1974-06-25_Material_Enjoyment-More_Bodies.mp3" TargetMode="External"/><Relationship Id="rId2193" Type="http://schemas.openxmlformats.org/officeDocument/2006/relationships/hyperlink" Target="https://audio.iskcondesiretree.com/01_-_Srila_Prabhupada/01_-_Lectures/01_-_English/01_-_Topic_wise/Srimad_Bhagavatam/Canto-02/SP_SB_2-01-04_Melbourne_1974-06-26_The_Right_Questions.mp3" TargetMode="External"/><Relationship Id="rId2194" Type="http://schemas.openxmlformats.org/officeDocument/2006/relationships/hyperlink" Target="https://audio.iskcondesiretree.com/01_-_Srila_Prabhupada/01_-_Lectures/01_-_English/02_-_Month_wise/06_-_June/26/SB-02-01-01-05_1974-06-26_SB-MELBOURNE.MP3" TargetMode="External"/><Relationship Id="rId2195" Type="http://schemas.openxmlformats.org/officeDocument/2006/relationships/hyperlink" Target="https://audio.iskcondesiretree.com/01_-_Srila_Prabhupada/01_-_Lectures/01_-_English/02_-_Month_wise/06_-_June/26/SB_2-01-04_MEL_1974-06-26_The_Right_Questions.mp3" TargetMode="External"/><Relationship Id="rId2196" Type="http://schemas.openxmlformats.org/officeDocument/2006/relationships/hyperlink" Target="https://audio.iskcondesiretree.com/01_-_Srila_Prabhupada/01_-_Lectures/01_-_English/01_-_Topic_wise/Bhagavad_Gita/Chapter-03/SP_BG_03-27_Melbourne_1974-06-27_At_Town_Hall--Tiger_or--etc.mp3" TargetMode="External"/><Relationship Id="rId2197" Type="http://schemas.openxmlformats.org/officeDocument/2006/relationships/hyperlink" Target="https://audio.iskcondesiretree.com/01_-_Srila_Prabhupada/01_-_Lectures/01_-_English/01_-_Topic_wise/Morning_Walk/SP_Morning_Walk_-_Melbourne_1974-06-27.mp3" TargetMode="External"/><Relationship Id="rId2198" Type="http://schemas.openxmlformats.org/officeDocument/2006/relationships/hyperlink" Target="https://audio.iskcondesiretree.com/01_-_Srila_Prabhupada/01_-_Lectures/01_-_English/02_-_Month_wise/06_-_June/27/Bg-03-27_1974-06-27_BG-MELBOURNE.MP3" TargetMode="External"/><Relationship Id="rId2199" Type="http://schemas.openxmlformats.org/officeDocument/2006/relationships/hyperlink" Target="https://audio.iskcondesiretree.com/01_-_Srila_Prabhupada/01_-_Lectures/01_-_English/02_-_Month_wise/06_-_June/27/Bg_03-27_MEL_1974-06-27_At_Town_Hall_Tiger_or_etc.mp3" TargetMode="External"/><Relationship Id="rId3513" Type="http://schemas.openxmlformats.org/officeDocument/2006/relationships/hyperlink" Target="https://audio.iskcondesiretree.com/01_-_Srila_Prabhupada/01_-_Lectures/01_-_English/01_-_Topic_wise/Room_Conversation/SP_Room_Conversation_Philadelphia_1975-07-13_You_Are_Reborn_At_Every_Moment.mp3" TargetMode="External"/><Relationship Id="rId4844" Type="http://schemas.openxmlformats.org/officeDocument/2006/relationships/hyperlink" Target="https://audio.iskcondesiretree.com/01_-_Srila_Prabhupada/01_-_Lectures/01_-_English/01_-_Topic_wise/Room_Conversation/SP_Room_Conversation_New_Vrindavan_1976-06-28_Bhavans_Journal-5_What_Is_the_Sign--etc.mp3" TargetMode="External"/><Relationship Id="rId3512" Type="http://schemas.openxmlformats.org/officeDocument/2006/relationships/hyperlink" Target="https://audio.iskcondesiretree.com/01_-_Srila_Prabhupada/01_-_Lectures/01_-_English/01_-_Topic_wise/Room_Conversation/SP_Room_Conversation_Philadelphia_1975-07-13_Prof_Thomas_J_Hopkins--The_Churn--etc.mp3" TargetMode="External"/><Relationship Id="rId4843" Type="http://schemas.openxmlformats.org/officeDocument/2006/relationships/hyperlink" Target="https://audio.iskcondesiretree.com/01_-_Srila_Prabhupada/01_-_Lectures/01_-_English/01_-_Topic_wise/Room_Conversation/SP_Room_Conversation_New_Vrindavan_1976-06-28_Bhavans_Journal-4_Sanctity_for_the_Sinful.mp3" TargetMode="External"/><Relationship Id="rId3515" Type="http://schemas.openxmlformats.org/officeDocument/2006/relationships/hyperlink" Target="https://audio.iskcondesiretree.com/01_-_Srila_Prabhupada/01_-_Lectures/01_-_English/02_-_Month_wise/07_-_July/13/Conv_1975-07-13_R1-PHILADELPHIA.MP3" TargetMode="External"/><Relationship Id="rId4846" Type="http://schemas.openxmlformats.org/officeDocument/2006/relationships/hyperlink" Target="https://audio.iskcondesiretree.com/01_-_Srila_Prabhupada/01_-_Lectures/01_-_English/02_-_Month_wise/06_-_June/28/Bg-16-17%E2%80%9319_1976-06-28_BG-NEW%20VRINDAVAN.MP3" TargetMode="External"/><Relationship Id="rId3514" Type="http://schemas.openxmlformats.org/officeDocument/2006/relationships/hyperlink" Target="https://audio.iskcondesiretree.com/01_-_Srila_Prabhupada/01_-_Lectures/01_-_English/01_-_Topic_wise/Srimad_Bhagavatam/Canto-06/SP_SB_6-01-28_Philadelphia_1975-07-13_Krishna_Is_Very_Tricky.mp3" TargetMode="External"/><Relationship Id="rId4845" Type="http://schemas.openxmlformats.org/officeDocument/2006/relationships/hyperlink" Target="https://audio.iskcondesiretree.com/01_-_Srila_Prabhupada/01_-_Lectures/01_-_English/01_-_Topic_wise/Srimad_Bhagavatam/Canto-07/SP_SB_7-06-14_New_Vrindavan_1976-06-28_The_Problem_of_Family_and_Belly.mp3" TargetMode="External"/><Relationship Id="rId3517" Type="http://schemas.openxmlformats.org/officeDocument/2006/relationships/hyperlink" Target="https://audio.iskcondesiretree.com/01_-_Srila_Prabhupada/01_-_Lectures/01_-_English/02_-_Month_wise/07_-_July/13/Conv_1975-07-13_R3-PHILADELPHIA.MP3" TargetMode="External"/><Relationship Id="rId4848" Type="http://schemas.openxmlformats.org/officeDocument/2006/relationships/hyperlink" Target="https://audio.iskcondesiretree.com/01_-_Srila_Prabhupada/01_-_Lectures/01_-_English/02_-_Month_wise/06_-_June/28/Conv_1976-06-28_R1-NEW%20VRINDAVAN.MP3" TargetMode="External"/><Relationship Id="rId3516" Type="http://schemas.openxmlformats.org/officeDocument/2006/relationships/hyperlink" Target="https://audio.iskcondesiretree.com/01_-_Srila_Prabhupada/01_-_Lectures/01_-_English/02_-_Month_wise/07_-_July/13/Conv_1975-07-13_R2-PHILADELPHIA.MP3" TargetMode="External"/><Relationship Id="rId4847" Type="http://schemas.openxmlformats.org/officeDocument/2006/relationships/hyperlink" Target="https://audio.iskcondesiretree.com/01_-_Srila_Prabhupada/01_-_Lectures/01_-_English/02_-_Month_wise/06_-_June/28/Bg_16-17_NV_1976-06-28_Dishonesty_Starts_from_Government.mp3" TargetMode="External"/><Relationship Id="rId3519" Type="http://schemas.openxmlformats.org/officeDocument/2006/relationships/hyperlink" Target="https://audio.iskcondesiretree.com/01_-_Srila_Prabhupada/01_-_Lectures/01_-_English/02_-_Month_wise/07_-_July/13/RC_PHI_1975-07-13_Prof_Thomas_J_Hopkins-The_Churn_etc.mp3" TargetMode="External"/><Relationship Id="rId3518" Type="http://schemas.openxmlformats.org/officeDocument/2006/relationships/hyperlink" Target="https://audio.iskcondesiretree.com/01_-_Srila_Prabhupada/01_-_Lectures/01_-_English/02_-_Month_wise/07_-_July/13/Interv_PHI_1975-07-13_Press-Phi._Enquirer-Women%27s_etc.mp3" TargetMode="External"/><Relationship Id="rId4849" Type="http://schemas.openxmlformats.org/officeDocument/2006/relationships/hyperlink" Target="https://audio.iskcondesiretree.com/01_-_Srila_Prabhupada/01_-_Lectures/01_-_English/02_-_Month_wise/06_-_June/28/Conv_1976-06-28_R2-NEW%20VRINDAVAN.MP3" TargetMode="External"/><Relationship Id="rId4840" Type="http://schemas.openxmlformats.org/officeDocument/2006/relationships/hyperlink" Target="https://audio.iskcondesiretree.com/01_-_Srila_Prabhupada/01_-_Lectures/01_-_English/01_-_Topic_wise/Room_Conversation/SP_Room_Conversation_New_Vrindavan_1976-06-28_Bhavans_Journal-1_Society_Going_to_the_Dogs.mp3" TargetMode="External"/><Relationship Id="rId3511" Type="http://schemas.openxmlformats.org/officeDocument/2006/relationships/hyperlink" Target="https://audio.iskcondesiretree.com/01_-_Srila_Prabhupada/01_-_Lectures/01_-_English/01_-_Topic_wise/Room_Conversation/SP_Room_Conversation_02_Philadelphia_1975-07-13.MP3" TargetMode="External"/><Relationship Id="rId4842" Type="http://schemas.openxmlformats.org/officeDocument/2006/relationships/hyperlink" Target="https://audio.iskcondesiretree.com/01_-_Srila_Prabhupada/01_-_Lectures/01_-_English/01_-_Topic_wise/Room_Conversation/SP_Room_Conversation_New_Vrindavan_1976-06-28_Bhavans_Journal-3_Go_to_the_Real_Guru.mp3" TargetMode="External"/><Relationship Id="rId3510" Type="http://schemas.openxmlformats.org/officeDocument/2006/relationships/hyperlink" Target="https://audio.iskcondesiretree.com/01_-_Srila_Prabhupada/01_-_Lectures/01_-_English/01_-_Topic_wise/Room_Conversation/SP_Room_Conversation_01_Philadelphia_1975-07-13.MP3" TargetMode="External"/><Relationship Id="rId4841" Type="http://schemas.openxmlformats.org/officeDocument/2006/relationships/hyperlink" Target="https://audio.iskcondesiretree.com/01_-_Srila_Prabhupada/01_-_Lectures/01_-_English/01_-_Topic_wise/Room_Conversation/SP_Room_Conversation_New_Vrindavan_1976-06-28_Bhavans_Journal-2_Innocent--etc.mp3" TargetMode="External"/><Relationship Id="rId3502" Type="http://schemas.openxmlformats.org/officeDocument/2006/relationships/hyperlink" Target="https://audio.iskcondesiretree.com/01_-_Srila_Prabhupada/01_-_Lectures/01_-_English/01_-_Topic_wise/Srimad_Bhagavatam/Canto-06/SP_SB_6-01-27_Philadelphia_1975-07-12_Asses_All.mp3" TargetMode="External"/><Relationship Id="rId4833" Type="http://schemas.openxmlformats.org/officeDocument/2006/relationships/hyperlink" Target="https://audio.iskcondesiretree.com/01_-_Srila_Prabhupada/01_-_Lectures/01_-_English/02_-_Month_wise/06_-_June/26/VisitMarbleShop_1976-06-26_VI-NEW%20VRINDAVAN.MP3" TargetMode="External"/><Relationship Id="rId3501" Type="http://schemas.openxmlformats.org/officeDocument/2006/relationships/hyperlink" Target="https://audio.iskcondesiretree.com/01_-_Srila_Prabhupada/01_-_Lectures/01_-_English/01_-_Topic_wise/Morning_Walk/SP_Morning_Walk_-_Philadelphia_1975-07-12_Inductive_Illusion.mp3" TargetMode="External"/><Relationship Id="rId4832" Type="http://schemas.openxmlformats.org/officeDocument/2006/relationships/hyperlink" Target="https://audio.iskcondesiretree.com/01_-_Srila_Prabhupada/01_-_Lectures/01_-_English/02_-_Month_wise/06_-_June/26/SB-07-06-10_1976-06-26_SB-NEW%20VRINDAVAN.MP3" TargetMode="External"/><Relationship Id="rId3504" Type="http://schemas.openxmlformats.org/officeDocument/2006/relationships/hyperlink" Target="https://audio.iskcondesiretree.com/01_-_Srila_Prabhupada/01_-_Lectures/01_-_English/02_-_Month_wise/07_-_July/12/MW_PHI_1975-07-12_Inductive_Illusion.mp3" TargetMode="External"/><Relationship Id="rId4835" Type="http://schemas.openxmlformats.org/officeDocument/2006/relationships/hyperlink" Target="https://audio.iskcondesiretree.com/01_-_Srila_Prabhupada/01_-_Lectures/01_-_English/02_-_Month_wise/06_-_June/27/Conv_1976-06-27_GC-NEW%20VRINDAVAN.MP3" TargetMode="External"/><Relationship Id="rId3503" Type="http://schemas.openxmlformats.org/officeDocument/2006/relationships/hyperlink" Target="https://audio.iskcondesiretree.com/01_-_Srila_Prabhupada/01_-_Lectures/01_-_English/02_-_Month_wise/07_-_July/12/Fest_PHI_1975-07-12_Ratha-yatra-Glimpse_of_the_Spiritual_World.mp3" TargetMode="External"/><Relationship Id="rId4834" Type="http://schemas.openxmlformats.org/officeDocument/2006/relationships/hyperlink" Target="https://audio.iskcondesiretree.com/01_-_Srila_Prabhupada/01_-_Lectures/01_-_English/01_-_Topic_wise/Srimad_Bhagavatam/Canto-07/SP_SB_7-06-11_New_Vrindavan_1976-06-27_Natural_Detachment.mp3" TargetMode="External"/><Relationship Id="rId3506" Type="http://schemas.openxmlformats.org/officeDocument/2006/relationships/hyperlink" Target="https://audio.iskcondesiretree.com/01_-_Srila_Prabhupada/01_-_Lectures/01_-_English/02_-_Month_wise/07_-_July/12/SB-06-01-27_1975-07-12_SB-PHILADELPHIA.MP3" TargetMode="External"/><Relationship Id="rId4837" Type="http://schemas.openxmlformats.org/officeDocument/2006/relationships/hyperlink" Target="https://audio.iskcondesiretree.com/01_-_Srila_Prabhupada/01_-_Lectures/01_-_English/02_-_Month_wise/06_-_June/27/SB_7-06-11_NV_1976-06-27_Natural_Detachment.mp3" TargetMode="External"/><Relationship Id="rId3505" Type="http://schemas.openxmlformats.org/officeDocument/2006/relationships/hyperlink" Target="https://audio.iskcondesiretree.com/01_-_Srila_Prabhupada/01_-_Lectures/01_-_English/02_-_Month_wise/07_-_July/12/RathaYatra_1975-07-12_RY-PHILADELPHIA.MP3" TargetMode="External"/><Relationship Id="rId4836" Type="http://schemas.openxmlformats.org/officeDocument/2006/relationships/hyperlink" Target="https://audio.iskcondesiretree.com/01_-_Srila_Prabhupada/01_-_Lectures/01_-_English/02_-_Month_wise/06_-_June/27/SB-07-06-11%E2%80%9313_1976-06-27_SB-NEW%20VRINDAVAN.MP3" TargetMode="External"/><Relationship Id="rId3508" Type="http://schemas.openxmlformats.org/officeDocument/2006/relationships/hyperlink" Target="https://audio.iskcondesiretree.com/01_-_Srila_Prabhupada/01_-_Lectures/01_-_English/02_-_Month_wise/07_-_July/12/Walk_1975-07-12_MW-PHILADELPHIA.MP3" TargetMode="External"/><Relationship Id="rId4839" Type="http://schemas.openxmlformats.org/officeDocument/2006/relationships/hyperlink" Target="https://audio.iskcondesiretree.com/01_-_Srila_Prabhupada/01_-_Lectures/01_-_English/01_-_Topic_wise/Bhagavad_Gita/Chapter-16/SP_BG_16-13-17_New_Vrindavan_1976-06-28_Dishonesty_Starts_from_Government.mp3" TargetMode="External"/><Relationship Id="rId3507" Type="http://schemas.openxmlformats.org/officeDocument/2006/relationships/hyperlink" Target="https://audio.iskcondesiretree.com/01_-_Srila_Prabhupada/01_-_Lectures/01_-_English/02_-_Month_wise/07_-_July/12/SB_6-01-27_PHI_1975-07-12_Asses_All.mp3" TargetMode="External"/><Relationship Id="rId4838" Type="http://schemas.openxmlformats.org/officeDocument/2006/relationships/hyperlink" Target="https://audio.iskcondesiretree.com/01_-_Srila_Prabhupada/01_-_Lectures/01_-_English/02_-_Month_wise/06_-_June/27/Walk_1976-06-27_MW-NEW%20VRINDAVAN.MP3" TargetMode="External"/><Relationship Id="rId3509" Type="http://schemas.openxmlformats.org/officeDocument/2006/relationships/hyperlink" Target="https://audio.iskcondesiretree.com/01_-_Srila_Prabhupada/01_-_Lectures/01_-_English/01_-_Topic_wise/Interview/SP_Interview_Philadelphia_1975-07-13_Press--Phi._Enquirer--Women%27s--etc.mp3" TargetMode="External"/><Relationship Id="rId3500" Type="http://schemas.openxmlformats.org/officeDocument/2006/relationships/hyperlink" Target="https://audio.iskcondesiretree.com/01_-_Srila_Prabhupada/01_-_Lectures/01_-_English/01_-_Topic_wise/Festivals/SP_Festivals_Philadelphia_1975-07-12_Ratha-yatra--Glimpse_of_the_Spiritual_World.mp3" TargetMode="External"/><Relationship Id="rId4831" Type="http://schemas.openxmlformats.org/officeDocument/2006/relationships/hyperlink" Target="https://audio.iskcondesiretree.com/01_-_Srila_Prabhupada/01_-_Lectures/01_-_English/02_-_Month_wise/06_-_June/26/Conv_1976-06-26_R2-NEW%20VRINDAVAN.MP3" TargetMode="External"/><Relationship Id="rId4830" Type="http://schemas.openxmlformats.org/officeDocument/2006/relationships/hyperlink" Target="https://audio.iskcondesiretree.com/01_-_Srila_Prabhupada/01_-_Lectures/01_-_English/02_-_Month_wise/06_-_June/26/Conv_1976-06-26_R1-NEW%20VRINDAVAN.MP3" TargetMode="External"/><Relationship Id="rId2203" Type="http://schemas.openxmlformats.org/officeDocument/2006/relationships/hyperlink" Target="https://audio.iskcondesiretree.com/01_-_Srila_Prabhupada/01_-_Lectures/01_-_English/02_-_Month_wise/06_-_June/28/Conv_1974-06-28_R1-MELBOURNE.MP3" TargetMode="External"/><Relationship Id="rId3535" Type="http://schemas.openxmlformats.org/officeDocument/2006/relationships/hyperlink" Target="https://audio.iskcondesiretree.com/01_-_Srila_Prabhupada/01_-_Lectures/01_-_English/02_-_Month_wise/07_-_July/16/MW_SF_1975-07-16_Become_a_Tree_at_the_University.mp3" TargetMode="External"/><Relationship Id="rId4866" Type="http://schemas.openxmlformats.org/officeDocument/2006/relationships/hyperlink" Target="https://audio.iskcondesiretree.com/01_-_Srila_Prabhupada/01_-_Lectures/01_-_English/02_-_Month_wise/06_-_June/30/SB_7-06-16_NV_1976-06-30_Material_Entrapment.mp3" TargetMode="External"/><Relationship Id="rId2204" Type="http://schemas.openxmlformats.org/officeDocument/2006/relationships/hyperlink" Target="https://audio.iskcondesiretree.com/01_-_Srila_Prabhupada/01_-_Lectures/01_-_English/02_-_Month_wise/06_-_June/28/Lect_MEL_1974-06-28_At_Franciscan_Seminary-The_Human_etc.mp3" TargetMode="External"/><Relationship Id="rId3534" Type="http://schemas.openxmlformats.org/officeDocument/2006/relationships/hyperlink" Target="https://audio.iskcondesiretree.com/01_-_Srila_Prabhupada/01_-_Lectures/01_-_English/01_-_Topic_wise/Various/SP_Lecture_Press_Conference_San_Francisco_1975-07-16.MP3" TargetMode="External"/><Relationship Id="rId4865" Type="http://schemas.openxmlformats.org/officeDocument/2006/relationships/hyperlink" Target="https://audio.iskcondesiretree.com/01_-_Srila_Prabhupada/01_-_Lectures/01_-_English/02_-_Month_wise/06_-_June/30/SB-07-06-16_1976-06-30_SB-NEW%20VRINDAVAN.MP3" TargetMode="External"/><Relationship Id="rId2205" Type="http://schemas.openxmlformats.org/officeDocument/2006/relationships/hyperlink" Target="https://audio.iskcondesiretree.com/01_-_Srila_Prabhupada/01_-_Lectures/01_-_English/02_-_Month_wise/06_-_June/28/Lecture_1974-06-28_LE-MELBOURNE.MP3" TargetMode="External"/><Relationship Id="rId3537" Type="http://schemas.openxmlformats.org/officeDocument/2006/relationships/hyperlink" Target="https://audio.iskcondesiretree.com/01_-_Srila_Prabhupada/01_-_Lectures/01_-_English/02_-_Month_wise/07_-_July/16/SB-06-01-31_1975-07-16_SB-SAN%20FRANCISCO.MP3" TargetMode="External"/><Relationship Id="rId4868" Type="http://schemas.openxmlformats.org/officeDocument/2006/relationships/hyperlink" Target="https://audio.iskcondesiretree.com/01_-_Srila_Prabhupada/01_-_Lectures/01_-_English/01_-_Topic_wise/Srimad_Bhagavatam/Canto-07/SP_SB_7-06-17_New_Vrindavan_1976-07-01_Material_Entrapment.mp3" TargetMode="External"/><Relationship Id="rId2206" Type="http://schemas.openxmlformats.org/officeDocument/2006/relationships/hyperlink" Target="https://audio.iskcondesiretree.com/01_-_Srila_Prabhupada/01_-_Lectures/01_-_English/02_-_Month_wise/06_-_June/28/RC_MEL_1974-06-28_Priest--Tests_for_Godliness.mp3" TargetMode="External"/><Relationship Id="rId3536" Type="http://schemas.openxmlformats.org/officeDocument/2006/relationships/hyperlink" Target="https://audio.iskcondesiretree.com/01_-_Srila_Prabhupada/01_-_Lectures/01_-_English/02_-_Month_wise/07_-_July/16/PressConf_1975-07-16_PC-SAN%20FRANCISCO.MP3" TargetMode="External"/><Relationship Id="rId4867" Type="http://schemas.openxmlformats.org/officeDocument/2006/relationships/hyperlink" Target="https://audio.iskcondesiretree.com/01_-_Srila_Prabhupada/01_-_Lectures/01_-_English/01_-_Topic_wise/Room_Conversation/SP_Room_Conversation_New_Vrindavan_1976-07-01_Religious_or_Wretched.mp3" TargetMode="External"/><Relationship Id="rId2207" Type="http://schemas.openxmlformats.org/officeDocument/2006/relationships/hyperlink" Target="https://audio.iskcondesiretree.com/01_-_Srila_Prabhupada/01_-_Lectures/01_-_English/01_-_Topic_wise/Bhagavad_Gita/Chapter-07/SP_BG_07-01_Melbourne_1974-06-29_Surrounded_by_Krishna_Atmosphere.mp3" TargetMode="External"/><Relationship Id="rId3539" Type="http://schemas.openxmlformats.org/officeDocument/2006/relationships/hyperlink" Target="https://audio.iskcondesiretree.com/01_-_Srila_Prabhupada/01_-_Lectures/01_-_English/02_-_Month_wise/07_-_July/16/Walk_1975-07-16_MW-SAN%20FRANCISCO.MP3" TargetMode="External"/><Relationship Id="rId2208" Type="http://schemas.openxmlformats.org/officeDocument/2006/relationships/hyperlink" Target="https://audio.iskcondesiretree.com/01_-_Srila_Prabhupada/01_-_Lectures/01_-_English/01_-_Topic_wise/Bhagavad_Gita/Chapter-09/SP_BG_09-01_Melbourne_1974-06-29_Chant_Dance_Eat_Prasadam..._Go_Home.mp3" TargetMode="External"/><Relationship Id="rId3538" Type="http://schemas.openxmlformats.org/officeDocument/2006/relationships/hyperlink" Target="https://audio.iskcondesiretree.com/01_-_Srila_Prabhupada/01_-_Lectures/01_-_English/02_-_Month_wise/07_-_July/16/SB_6-01-31_SF_1975-07-16_Doom_Boon_and_Deliverance.mp3" TargetMode="External"/><Relationship Id="rId4869" Type="http://schemas.openxmlformats.org/officeDocument/2006/relationships/hyperlink" Target="https://audio.iskcondesiretree.com/01_-_Srila_Prabhupada/01_-_Lectures/01_-_English/02_-_Month_wise/07_-_July/01/BhavanJournalQuestionnaire-03_1976-07-01_BJ-NEW%20VRINDAVAN.MP3" TargetMode="External"/><Relationship Id="rId2209" Type="http://schemas.openxmlformats.org/officeDocument/2006/relationships/hyperlink" Target="https://audio.iskcondesiretree.com/01_-_Srila_Prabhupada/01_-_Lectures/01_-_English/01_-_Topic_wise/Interview/SP_Interview_Melbourne_1974-06-29_Press--Transcendental_Psychiatry.mp3" TargetMode="External"/><Relationship Id="rId4860" Type="http://schemas.openxmlformats.org/officeDocument/2006/relationships/hyperlink" Target="https://audio.iskcondesiretree.com/01_-_Srila_Prabhupada/01_-_Lectures/01_-_English/02_-_Month_wise/06_-_June/29/SB-07-06-15_1976-06-29_SB-NEW%20VRINDAVAN.MP3" TargetMode="External"/><Relationship Id="rId3531" Type="http://schemas.openxmlformats.org/officeDocument/2006/relationships/hyperlink" Target="https://audio.iskcondesiretree.com/01_-_Srila_Prabhupada/01_-_Lectures/01_-_English/02_-_Month_wise/07_-_July/15/Arrival_1975-07-15_AR-SAN%20FRANCISCO.MP3" TargetMode="External"/><Relationship Id="rId4862" Type="http://schemas.openxmlformats.org/officeDocument/2006/relationships/hyperlink" Target="https://audio.iskcondesiretree.com/01_-_Srila_Prabhupada/01_-_Lectures/01_-_English/01_-_Topic_wise/Srimad_Bhagavatam/Canto-07/SP_SB_7-06-16_New_Vrindavan_1976-06-30_Material_Entrapment.mp3" TargetMode="External"/><Relationship Id="rId2200" Type="http://schemas.openxmlformats.org/officeDocument/2006/relationships/hyperlink" Target="https://audio.iskcondesiretree.com/01_-_Srila_Prabhupada/01_-_Lectures/01_-_English/02_-_Month_wise/06_-_June/27/Walk_1974-06-27_MW-MELBOURNE.MP3" TargetMode="External"/><Relationship Id="rId3530" Type="http://schemas.openxmlformats.org/officeDocument/2006/relationships/hyperlink" Target="https://audio.iskcondesiretree.com/01_-_Srila_Prabhupada/01_-_Lectures/01_-_English/02_-_Month_wise/07_-_July/15/Arr_SF_1975-07-15_Unflinching_Faith_in_God_%26_Guru.mp3" TargetMode="External"/><Relationship Id="rId4861" Type="http://schemas.openxmlformats.org/officeDocument/2006/relationships/hyperlink" Target="https://audio.iskcondesiretree.com/01_-_Srila_Prabhupada/01_-_Lectures/01_-_English/02_-_Month_wise/06_-_June/29/SB_7-06-15_NV_1976-06-29_The_Problem_of_Family_and_Belly.mp3" TargetMode="External"/><Relationship Id="rId2201" Type="http://schemas.openxmlformats.org/officeDocument/2006/relationships/hyperlink" Target="https://audio.iskcondesiretree.com/01_-_Srila_Prabhupada/01_-_Lectures/01_-_English/01_-_Topic_wise/Room_Conversation/SP_Room_Conversation_Melbourne_1974-06-28_Priest--Tests_for_Godliness.mp3" TargetMode="External"/><Relationship Id="rId3533" Type="http://schemas.openxmlformats.org/officeDocument/2006/relationships/hyperlink" Target="https://audio.iskcondesiretree.com/01_-_Srila_Prabhupada/01_-_Lectures/01_-_English/01_-_Topic_wise/Srimad_Bhagavatam/Canto-06/SP_SB_6-01-31_San_Francisco_1975-07-16_Doom_Boon_and_Deliverance.mp3" TargetMode="External"/><Relationship Id="rId4864" Type="http://schemas.openxmlformats.org/officeDocument/2006/relationships/hyperlink" Target="https://audio.iskcondesiretree.com/01_-_Srila_Prabhupada/01_-_Lectures/01_-_English/02_-_Month_wise/06_-_June/30/Interview_1976-06-30_IV-WHEELING.MP3" TargetMode="External"/><Relationship Id="rId2202" Type="http://schemas.openxmlformats.org/officeDocument/2006/relationships/hyperlink" Target="https://audio.iskcondesiretree.com/01_-_Srila_Prabhupada/01_-_Lectures/01_-_English/01_-_Topic_wise/Various/SP_Lecture_Melbourne_1974-06-28_At_Franciscan_Seminary--The_Human--etc.mp3" TargetMode="External"/><Relationship Id="rId3532" Type="http://schemas.openxmlformats.org/officeDocument/2006/relationships/hyperlink" Target="https://audio.iskcondesiretree.com/01_-_Srila_Prabhupada/01_-_Lectures/01_-_English/01_-_Topic_wise/Morning_Walk/SP_Morning_Walk_-_San_Francisco_1975-07-16_Become_a_Tree_at_the_University.mp3" TargetMode="External"/><Relationship Id="rId4863" Type="http://schemas.openxmlformats.org/officeDocument/2006/relationships/hyperlink" Target="https://audio.iskcondesiretree.com/01_-_Srila_Prabhupada/01_-_Lectures/01_-_English/02_-_Month_wise/06_-_June/30/BhavanJournalQuestionnaire-02_1976-06-30_BJ-NEW%20VRINDAVAN.MP3" TargetMode="External"/><Relationship Id="rId3524" Type="http://schemas.openxmlformats.org/officeDocument/2006/relationships/hyperlink" Target="https://audio.iskcondesiretree.com/01_-_Srila_Prabhupada/01_-_Lectures/01_-_English/01_-_Topic_wise/Srimad_Bhagavatam/Canto-06/SP_SB_6-01-30_Philadelphia_1975-07-14_Stop_Wasting_Your_Time--etc.mp3" TargetMode="External"/><Relationship Id="rId4855" Type="http://schemas.openxmlformats.org/officeDocument/2006/relationships/hyperlink" Target="https://audio.iskcondesiretree.com/01_-_Srila_Prabhupada/01_-_Lectures/01_-_English/02_-_Month_wise/06_-_June/28/SB-07-06-14_1976-06-28_SB-NEW%20VRINDAVAN.MP3" TargetMode="External"/><Relationship Id="rId3523" Type="http://schemas.openxmlformats.org/officeDocument/2006/relationships/hyperlink" Target="https://audio.iskcondesiretree.com/01_-_Srila_Prabhupada/01_-_Lectures/01_-_English/01_-_Topic_wise/Morning_Walk/SP_Morning_Walk_-_Philadelphia_1975-07-14_Our_Soul_Necessity.mp3" TargetMode="External"/><Relationship Id="rId4854" Type="http://schemas.openxmlformats.org/officeDocument/2006/relationships/hyperlink" Target="https://audio.iskcondesiretree.com/01_-_Srila_Prabhupada/01_-_Lectures/01_-_English/02_-_Month_wise/06_-_June/28/RC_NV_1976-06-28_Bhavans_Journal-5_What_Is_the_Sign_etc.mp3" TargetMode="External"/><Relationship Id="rId3526" Type="http://schemas.openxmlformats.org/officeDocument/2006/relationships/hyperlink" Target="https://audio.iskcondesiretree.com/01_-_Srila_Prabhupada/01_-_Lectures/01_-_English/02_-_Month_wise/07_-_July/14/SB-06-01-30_1975-07-14_SB-PHILADELPHIA.MP3" TargetMode="External"/><Relationship Id="rId4857" Type="http://schemas.openxmlformats.org/officeDocument/2006/relationships/hyperlink" Target="https://audio.iskcondesiretree.com/01_-_Srila_Prabhupada/01_-_Lectures/01_-_English/01_-_Topic_wise/Srimad_Bhagavatam/Canto-07/SP_SB_7-06-15_New_Vrindavan_1976-06-29_The_Problem_of_Family_and_Belly.mp3" TargetMode="External"/><Relationship Id="rId3525" Type="http://schemas.openxmlformats.org/officeDocument/2006/relationships/hyperlink" Target="https://audio.iskcondesiretree.com/01_-_Srila_Prabhupada/01_-_Lectures/01_-_English/02_-_Month_wise/07_-_July/14/MW_PHI_1975-07-14_Our_Soul_Necessity.mp3" TargetMode="External"/><Relationship Id="rId4856" Type="http://schemas.openxmlformats.org/officeDocument/2006/relationships/hyperlink" Target="https://audio.iskcondesiretree.com/01_-_Srila_Prabhupada/01_-_Lectures/01_-_English/02_-_Month_wise/06_-_June/28/SB_7-06-14_NV_1976-06-28_The_Problem_of_Family_and_Belly.mp3" TargetMode="External"/><Relationship Id="rId3528" Type="http://schemas.openxmlformats.org/officeDocument/2006/relationships/hyperlink" Target="https://audio.iskcondesiretree.com/01_-_Srila_Prabhupada/01_-_Lectures/01_-_English/02_-_Month_wise/07_-_July/14/Walk_1975-07-14_MW-PHILADELPHIA.MP3" TargetMode="External"/><Relationship Id="rId4859" Type="http://schemas.openxmlformats.org/officeDocument/2006/relationships/hyperlink" Target="https://audio.iskcondesiretree.com/01_-_Srila_Prabhupada/01_-_Lectures/01_-_English/02_-_Month_wise/06_-_June/29/Conv_1976-06-29_R1-NEW%20VRINDAVAN.MP3" TargetMode="External"/><Relationship Id="rId3527" Type="http://schemas.openxmlformats.org/officeDocument/2006/relationships/hyperlink" Target="https://audio.iskcondesiretree.com/01_-_Srila_Prabhupada/01_-_Lectures/01_-_English/02_-_Month_wise/07_-_July/14/SB_6-01-30_PHI_1975-07-14_Stop_Wasting_Your_Time_etc.mp3" TargetMode="External"/><Relationship Id="rId4858" Type="http://schemas.openxmlformats.org/officeDocument/2006/relationships/hyperlink" Target="https://audio.iskcondesiretree.com/01_-_Srila_Prabhupada/01_-_Lectures/01_-_English/02_-_Month_wise/06_-_June/29/BhavanJournalQuestionnaire-01_1976-06-29_BJ-NEW%20VRINDAVAN.MP3" TargetMode="External"/><Relationship Id="rId3529" Type="http://schemas.openxmlformats.org/officeDocument/2006/relationships/hyperlink" Target="https://audio.iskcondesiretree.com/01_-_Srila_Prabhupada/01_-_Lectures/01_-_English/01_-_Topic_wise/Arrival_Address/SP_Arrival_San_Francisco_1975-07-15_Unflinching_Faith_in_God_%26_Guru.mp3" TargetMode="External"/><Relationship Id="rId3520" Type="http://schemas.openxmlformats.org/officeDocument/2006/relationships/hyperlink" Target="https://audio.iskcondesiretree.com/01_-_Srila_Prabhupada/01_-_Lectures/01_-_English/02_-_Month_wise/07_-_July/13/RC_PHI_1975-07-13_You_Are_Reborn_At_Every_Moment.mp3" TargetMode="External"/><Relationship Id="rId4851" Type="http://schemas.openxmlformats.org/officeDocument/2006/relationships/hyperlink" Target="https://audio.iskcondesiretree.com/01_-_Srila_Prabhupada/01_-_Lectures/01_-_English/02_-_Month_wise/06_-_June/28/RC_NV_1976-06-28_Bhavans_Journal-2_Innocent_etc.mp3" TargetMode="External"/><Relationship Id="rId4850" Type="http://schemas.openxmlformats.org/officeDocument/2006/relationships/hyperlink" Target="https://audio.iskcondesiretree.com/01_-_Srila_Prabhupada/01_-_Lectures/01_-_English/02_-_Month_wise/06_-_June/28/RC_NV_1976-06-28_Bhavans_Journal-1_Society_Going_to_the_Dogs.mp3" TargetMode="External"/><Relationship Id="rId3522" Type="http://schemas.openxmlformats.org/officeDocument/2006/relationships/hyperlink" Target="https://audio.iskcondesiretree.com/01_-_Srila_Prabhupada/01_-_Lectures/01_-_English/02_-_Month_wise/07_-_July/13/SB_6-01-28_PHI_1975-07-13_Krishna_Is_Very_Tricky.mp3" TargetMode="External"/><Relationship Id="rId4853" Type="http://schemas.openxmlformats.org/officeDocument/2006/relationships/hyperlink" Target="https://audio.iskcondesiretree.com/01_-_Srila_Prabhupada/01_-_Lectures/01_-_English/02_-_Month_wise/06_-_June/28/RC_NV_1976-06-28_Bhavans_Journal-4_Sanctity_for_the_Sinful.mp3" TargetMode="External"/><Relationship Id="rId3521" Type="http://schemas.openxmlformats.org/officeDocument/2006/relationships/hyperlink" Target="https://audio.iskcondesiretree.com/01_-_Srila_Prabhupada/01_-_Lectures/01_-_English/02_-_Month_wise/07_-_July/13/SB-06-01-28%E2%80%9329_1975-07-13_SB-PHILADELPHIA.MP3" TargetMode="External"/><Relationship Id="rId4852" Type="http://schemas.openxmlformats.org/officeDocument/2006/relationships/hyperlink" Target="https://audio.iskcondesiretree.com/01_-_Srila_Prabhupada/01_-_Lectures/01_-_English/02_-_Month_wise/06_-_June/28/RC_NV_1976-06-28_Bhavans_Journal-3_Go_to_the_Real_Guru.mp3" TargetMode="External"/><Relationship Id="rId4800" Type="http://schemas.openxmlformats.org/officeDocument/2006/relationships/hyperlink" Target="https://audio.iskcondesiretree.com/01_-_Srila_Prabhupada/01_-_Lectures/01_-_English/02_-_Month_wise/06_-_June/21/SB-07-06-05_1976-06-21_SB-TORONTO.MP3" TargetMode="External"/><Relationship Id="rId4802" Type="http://schemas.openxmlformats.org/officeDocument/2006/relationships/hyperlink" Target="https://audio.iskcondesiretree.com/01_-_Srila_Prabhupada/01_-_Lectures/01_-_English/01_-_Topic_wise/Room_Conversation/SP_Room_Conversation_New_Vrindavan_1976-06-22_Cloudburst_vs_Tap_Water.mp3" TargetMode="External"/><Relationship Id="rId4801" Type="http://schemas.openxmlformats.org/officeDocument/2006/relationships/hyperlink" Target="https://audio.iskcondesiretree.com/01_-_Srila_Prabhupada/01_-_Lectures/01_-_English/02_-_Month_wise/06_-_June/21/Walk_1976-06-21_MW-TORONTO.MP3" TargetMode="External"/><Relationship Id="rId4804" Type="http://schemas.openxmlformats.org/officeDocument/2006/relationships/hyperlink" Target="https://audio.iskcondesiretree.com/01_-_Srila_Prabhupada/01_-_Lectures/01_-_English/02_-_Month_wise/06_-_June/22/Conv_1976-06-22_GC-NEW%20VRINDAVAN.MP3" TargetMode="External"/><Relationship Id="rId4803" Type="http://schemas.openxmlformats.org/officeDocument/2006/relationships/hyperlink" Target="https://audio.iskcondesiretree.com/01_-_Srila_Prabhupada/01_-_Lectures/01_-_English/01_-_Topic_wise/Srimad_Bhagavatam/Canto-07/SP_SB_7-06-06_New_Vrindavan_1976-06-22_Modern_Civilization--No--etc.mp3" TargetMode="External"/><Relationship Id="rId4806" Type="http://schemas.openxmlformats.org/officeDocument/2006/relationships/hyperlink" Target="https://audio.iskcondesiretree.com/01_-_Srila_Prabhupada/01_-_Lectures/01_-_English/02_-_Month_wise/06_-_June/22/SB-07-06-06_1976-06-22_SB-NEW%20VRINDAVAN.MP3" TargetMode="External"/><Relationship Id="rId4805" Type="http://schemas.openxmlformats.org/officeDocument/2006/relationships/hyperlink" Target="https://audio.iskcondesiretree.com/01_-_Srila_Prabhupada/01_-_Lectures/01_-_English/02_-_Month_wise/06_-_June/22/RC_NV_1976-06-22_Cloudburst_vs_Tap_Water.mp3" TargetMode="External"/><Relationship Id="rId4808" Type="http://schemas.openxmlformats.org/officeDocument/2006/relationships/hyperlink" Target="https://audio.iskcondesiretree.com/01_-_Srila_Prabhupada/01_-_Lectures/01_-_English/02_-_Month_wise/06_-_June/22/VisitPalace_1976-06-22_VI-NEW%20VRINDAVAN.MP3" TargetMode="External"/><Relationship Id="rId4807" Type="http://schemas.openxmlformats.org/officeDocument/2006/relationships/hyperlink" Target="https://audio.iskcondesiretree.com/01_-_Srila_Prabhupada/01_-_Lectures/01_-_English/02_-_Month_wise/06_-_June/22/SB_7-06-06_NV_1976-06-22_Modern_Civilization_No_etc.mp3" TargetMode="External"/><Relationship Id="rId4809" Type="http://schemas.openxmlformats.org/officeDocument/2006/relationships/hyperlink" Target="https://audio.iskcondesiretree.com/01_-_Srila_Prabhupada/01_-_Lectures/01_-_English/02_-_Month_wise/06_-_June/22/Walk_1976-06-22_MW-NEW%20VRINDAVAN.MP3" TargetMode="External"/><Relationship Id="rId4822" Type="http://schemas.openxmlformats.org/officeDocument/2006/relationships/hyperlink" Target="https://audio.iskcondesiretree.com/01_-_Srila_Prabhupada/01_-_Lectures/01_-_English/01_-_Topic_wise/Srimad_Bhagavatam/Canto-07/SP_SB_7-06-09_New_Vrindavan_1976-06-25_I_Love_My_Sense_Gratification.mp3" TargetMode="External"/><Relationship Id="rId4821" Type="http://schemas.openxmlformats.org/officeDocument/2006/relationships/hyperlink" Target="https://audio.iskcondesiretree.com/01_-_Srila_Prabhupada/01_-_Lectures/01_-_English/02_-_Month_wise/06_-_June/24/SB_7-06-08_NV_1976-06-24_The_Greatest_Success_But_etc.mp3" TargetMode="External"/><Relationship Id="rId4824" Type="http://schemas.openxmlformats.org/officeDocument/2006/relationships/hyperlink" Target="https://audio.iskcondesiretree.com/01_-_Srila_Prabhupada/01_-_Lectures/01_-_English/02_-_Month_wise/06_-_June/25/SB-01-05-01-16_1976-06-25_R1-NEW%20VRINDAVAN.MP3" TargetMode="External"/><Relationship Id="rId4823" Type="http://schemas.openxmlformats.org/officeDocument/2006/relationships/hyperlink" Target="https://audio.iskcondesiretree.com/01_-_Srila_Prabhupada/01_-_Lectures/01_-_English/02_-_Month_wise/06_-_June/25/Conv_1976-06-25_MW-NEW%20VRINDAVAN.MP3" TargetMode="External"/><Relationship Id="rId4826" Type="http://schemas.openxmlformats.org/officeDocument/2006/relationships/hyperlink" Target="https://audio.iskcondesiretree.com/01_-_Srila_Prabhupada/01_-_Lectures/01_-_English/02_-_Month_wise/06_-_June/25/SB_7-06-09_NV_1976-06-25_I_Love_My_Sense_Gratification.mp3" TargetMode="External"/><Relationship Id="rId4825" Type="http://schemas.openxmlformats.org/officeDocument/2006/relationships/hyperlink" Target="https://audio.iskcondesiretree.com/01_-_Srila_Prabhupada/01_-_Lectures/01_-_English/02_-_Month_wise/06_-_June/25/SB-07-06-09_1976-06-25_SB-NEW%20VRINDAVAN.MP3" TargetMode="External"/><Relationship Id="rId4828" Type="http://schemas.openxmlformats.org/officeDocument/2006/relationships/hyperlink" Target="https://audio.iskcondesiretree.com/01_-_Srila_Prabhupada/01_-_Lectures/01_-_English/02_-_Month_wise/06_-_June/26/Bg-16-01-16_1976-06-26_GD-NEW%20VRINDAVAN.MP3" TargetMode="External"/><Relationship Id="rId4827" Type="http://schemas.openxmlformats.org/officeDocument/2006/relationships/hyperlink" Target="https://audio.iskcondesiretree.com/01_-_Srila_Prabhupada/01_-_Lectures/01_-_English/01_-_Topic_wise/Bhagavad_Gita/Chapter-16/SP_BG_16-01-07_New_Vrindavan_1976-06-26_Dealing_with_Cats_and_Dogs.mp3" TargetMode="External"/><Relationship Id="rId4829" Type="http://schemas.openxmlformats.org/officeDocument/2006/relationships/hyperlink" Target="https://audio.iskcondesiretree.com/01_-_Srila_Prabhupada/01_-_Lectures/01_-_English/02_-_Month_wise/06_-_June/26/Bg_16-01_NV_1976-06-26_Dealing_with_Cats_and_Dogs.mp3" TargetMode="External"/><Relationship Id="rId4820" Type="http://schemas.openxmlformats.org/officeDocument/2006/relationships/hyperlink" Target="https://audio.iskcondesiretree.com/01_-_Srila_Prabhupada/01_-_Lectures/01_-_English/02_-_Month_wise/06_-_June/24/SB-07-06-08_1976-06-24_SB-NEW%20VRINDAVAN.MP3" TargetMode="External"/><Relationship Id="rId4811" Type="http://schemas.openxmlformats.org/officeDocument/2006/relationships/hyperlink" Target="https://audio.iskcondesiretree.com/01_-_Srila_Prabhupada/01_-_Lectures/01_-_English/02_-_Month_wise/06_-_June/23/Bg_06-20_NV_1976-06-23_Yoga_System-Precaution_Is_etc.mp3" TargetMode="External"/><Relationship Id="rId4810" Type="http://schemas.openxmlformats.org/officeDocument/2006/relationships/hyperlink" Target="https://audio.iskcondesiretree.com/01_-_Srila_Prabhupada/01_-_Lectures/01_-_English/01_-_Topic_wise/Bhagavad_Gita/Chapter-06/SP_BG_06-20-25_New_Vrindavan_1976-06-23_Yoga_System--Precaution_Is--etc.mp3" TargetMode="External"/><Relationship Id="rId4813" Type="http://schemas.openxmlformats.org/officeDocument/2006/relationships/hyperlink" Target="https://audio.iskcondesiretree.com/01_-_Srila_Prabhupada/01_-_Lectures/01_-_English/01_-_Topic_wise/Room_Conversation/SP_Room_Conversation_New_Vrindavan_1976-06-24_Plain_Living_High_Thinking.mp3" TargetMode="External"/><Relationship Id="rId4812" Type="http://schemas.openxmlformats.org/officeDocument/2006/relationships/hyperlink" Target="https://audio.iskcondesiretree.com/01_-_Srila_Prabhupada/01_-_Lectures/01_-_English/02_-_Month_wise/06_-_June/23/Conv_1976-06-23_GC-NEW%20VRINDAVAN.MP3" TargetMode="External"/><Relationship Id="rId4815" Type="http://schemas.openxmlformats.org/officeDocument/2006/relationships/hyperlink" Target="https://audio.iskcondesiretree.com/01_-_Srila_Prabhupada/01_-_Lectures/01_-_English/01_-_Topic_wise/Srimad_Bhagavatam/Canto-07/SP_SB_7-06-08_New_Vrindavan_1976-06-24_The_Greatest_Success_.._But--etc.mp3" TargetMode="External"/><Relationship Id="rId4814" Type="http://schemas.openxmlformats.org/officeDocument/2006/relationships/hyperlink" Target="https://audio.iskcondesiretree.com/01_-_Srila_Prabhupada/01_-_Lectures/01_-_English/01_-_Topic_wise/Room_Conversation/SP_Room_Conversation_New_Vrindavan_1976-06-24_You_Enjoy_and_Forget_Goal.mp3" TargetMode="External"/><Relationship Id="rId4817" Type="http://schemas.openxmlformats.org/officeDocument/2006/relationships/hyperlink" Target="https://audio.iskcondesiretree.com/01_-_Srila_Prabhupada/01_-_Lectures/01_-_English/02_-_Month_wise/06_-_June/24/NewBTG_1976-06-24_BI-NEW%20VRINDAVAN.MP3" TargetMode="External"/><Relationship Id="rId4816" Type="http://schemas.openxmlformats.org/officeDocument/2006/relationships/hyperlink" Target="https://audio.iskcondesiretree.com/01_-_Srila_Prabhupada/01_-_Lectures/01_-_English/02_-_Month_wise/06_-_June/24/Conv_1976-06-24_R1-NEW%20VRINDAVAN.MP3" TargetMode="External"/><Relationship Id="rId4819" Type="http://schemas.openxmlformats.org/officeDocument/2006/relationships/hyperlink" Target="https://audio.iskcondesiretree.com/01_-_Srila_Prabhupada/01_-_Lectures/01_-_English/02_-_Month_wise/06_-_June/24/RC_NV_1976-06-24_You_Enjoy_and_Forget_Goal.mp3" TargetMode="External"/><Relationship Id="rId4818" Type="http://schemas.openxmlformats.org/officeDocument/2006/relationships/hyperlink" Target="https://audio.iskcondesiretree.com/01_-_Srila_Prabhupada/01_-_Lectures/01_-_English/02_-_Month_wise/06_-_June/24/RC_NV_1976-06-24_Plain_Living_High_Thinking.mp3" TargetMode="External"/><Relationship Id="rId2269" Type="http://schemas.openxmlformats.org/officeDocument/2006/relationships/hyperlink" Target="https://audio.iskcondesiretree.com/01_-_Srila_Prabhupada/01_-_Lectures/01_-_English/02_-_Month_wise/07_-_July/12/Chanting%20Cc-Adi%E2%80%9312th%20Ch_1974-07-12_CH-LOS%20ANGELES.MP3" TargetMode="External"/><Relationship Id="rId3591" Type="http://schemas.openxmlformats.org/officeDocument/2006/relationships/hyperlink" Target="https://audio.iskcondesiretree.com/01_-_Srila_Prabhupada/01_-_Lectures/01_-_English/02_-_Month_wise/07_-_July/26/Conv_1975-07-26_R1-LAGUNA%20BEACH.MP3" TargetMode="External"/><Relationship Id="rId2260" Type="http://schemas.openxmlformats.org/officeDocument/2006/relationships/hyperlink" Target="https://audio.iskcondesiretree.com/01_-_Srila_Prabhupada/01_-_Lectures/01_-_English/01_-_Topic_wise/Srimad_Bhagavatam/Canto-01/SP_SB_1-16-20_Los_Angeles_1974-07-10_Make_Everyone_a--etc.mp3" TargetMode="External"/><Relationship Id="rId3590" Type="http://schemas.openxmlformats.org/officeDocument/2006/relationships/hyperlink" Target="https://audio.iskcondesiretree.com/01_-_Srila_Prabhupada/01_-_Lectures/01_-_English/01_-_Topic_wise/Srimad_Bhagavatam/Canto-06/SP_SB_6-01-45_Laguna_Beach_1975-07-26_Why_Not_Eternal_Life.mp3" TargetMode="External"/><Relationship Id="rId2261" Type="http://schemas.openxmlformats.org/officeDocument/2006/relationships/hyperlink" Target="https://audio.iskcondesiretree.com/01_-_Srila_Prabhupada/01_-_Lectures/01_-_English/02_-_Month_wise/07_-_July/10/SB-01-16-20_1974-07-10_SB-LOS%20ANGELES.MP3" TargetMode="External"/><Relationship Id="rId3593" Type="http://schemas.openxmlformats.org/officeDocument/2006/relationships/hyperlink" Target="https://audio.iskcondesiretree.com/01_-_Srila_Prabhupada/01_-_Lectures/01_-_English/02_-_Month_wise/07_-_July/26/SB-06-01-45_1975-07-26_SB-LAGUNA%20BEACH.MP3" TargetMode="External"/><Relationship Id="rId2262" Type="http://schemas.openxmlformats.org/officeDocument/2006/relationships/hyperlink" Target="https://audio.iskcondesiretree.com/01_-_Srila_Prabhupada/01_-_Lectures/01_-_English/02_-_Month_wise/07_-_July/10/SB_1-16-20_LA_1974-07-10_Make_Everyone_a_etc.mp3" TargetMode="External"/><Relationship Id="rId3592" Type="http://schemas.openxmlformats.org/officeDocument/2006/relationships/hyperlink" Target="https://audio.iskcondesiretree.com/01_-_Srila_Prabhupada/01_-_Lectures/01_-_English/02_-_Month_wise/07_-_July/26/RC_LB_1975-07-26_We_Cannot_Possess_and_Renounce.mp3" TargetMode="External"/><Relationship Id="rId2263" Type="http://schemas.openxmlformats.org/officeDocument/2006/relationships/hyperlink" Target="https://audio.iskcondesiretree.com/01_-_Srila_Prabhupada/01_-_Lectures/01_-_English/01_-_Topic_wise/Srimad_Bhagavatam/Canto-01/SP_SB_1-16-21_Los_Angeles_1974-07-11_The_Cutthroat_Age--Women_and--etc.mp3" TargetMode="External"/><Relationship Id="rId3595" Type="http://schemas.openxmlformats.org/officeDocument/2006/relationships/hyperlink" Target="https://audio.iskcondesiretree.com/01_-_Srila_Prabhupada/01_-_Lectures/01_-_English/02_-_Month_wise/07_-_July/26/Walk_1975-07-26_MW-LAGUNA%20BEACH.MP3" TargetMode="External"/><Relationship Id="rId2264" Type="http://schemas.openxmlformats.org/officeDocument/2006/relationships/hyperlink" Target="https://audio.iskcondesiretree.com/01_-_Srila_Prabhupada/01_-_Lectures/01_-_English/02_-_Month_wise/07_-_July/11/SB-01-16-21_1974-07-11_SB-LOS%20ANGELES.MP3" TargetMode="External"/><Relationship Id="rId3594" Type="http://schemas.openxmlformats.org/officeDocument/2006/relationships/hyperlink" Target="https://audio.iskcondesiretree.com/01_-_Srila_Prabhupada/01_-_Lectures/01_-_English/02_-_Month_wise/07_-_July/26/SB_6-01-45_LB_1975-07-26_Why_Not_Eternal_Life.mp3" TargetMode="External"/><Relationship Id="rId2265" Type="http://schemas.openxmlformats.org/officeDocument/2006/relationships/hyperlink" Target="https://audio.iskcondesiretree.com/01_-_Srila_Prabhupada/01_-_Lectures/01_-_English/02_-_Month_wise/07_-_July/11/SB_1-16-21_LA_1974-07-11_The_Cutthroat_Age_Women_and_etc.mp3" TargetMode="External"/><Relationship Id="rId3597" Type="http://schemas.openxmlformats.org/officeDocument/2006/relationships/hyperlink" Target="https://audio.iskcondesiretree.com/01_-_Srila_Prabhupada/01_-_Lectures/01_-_English/01_-_Topic_wise/Srimad_Bhagavatam/Canto-06/SP_SB_6-01-46_San_Diego_1975-07-27_Transcending_All_Misery.mp3" TargetMode="External"/><Relationship Id="rId2266" Type="http://schemas.openxmlformats.org/officeDocument/2006/relationships/hyperlink" Target="https://audio.iskcondesiretree.com/01_-_Srila_Prabhupada/01_-_Lectures/01_-_English/01_-_Topic_wise/Chaitanya_Charitamrita/Adi_Lila/SP_CC_A_12_Los_Angeles_1974-07-12.mp3" TargetMode="External"/><Relationship Id="rId3596" Type="http://schemas.openxmlformats.org/officeDocument/2006/relationships/hyperlink" Target="https://audio.iskcondesiretree.com/01_-_Srila_Prabhupada/01_-_Lectures/01_-_English/01_-_Topic_wise/Morning_Walk/SP_Morning_Walk_-_San_Diego_1975-07-27.MP3" TargetMode="External"/><Relationship Id="rId2267" Type="http://schemas.openxmlformats.org/officeDocument/2006/relationships/hyperlink" Target="https://audio.iskcondesiretree.com/01_-_Srila_Prabhupada/01_-_Lectures/01_-_English/01_-_Topic_wise/Morning_Walk/SP_Morning_Walk_-_Los_Angeles_1974-07-12.mp3" TargetMode="External"/><Relationship Id="rId3599" Type="http://schemas.openxmlformats.org/officeDocument/2006/relationships/hyperlink" Target="https://audio.iskcondesiretree.com/01_-_Srila_Prabhupada/01_-_Lectures/01_-_English/02_-_Month_wise/07_-_July/27/SB_6-01-46_SD_1975-07-27_Transcending_All_Misery.mp3" TargetMode="External"/><Relationship Id="rId2268" Type="http://schemas.openxmlformats.org/officeDocument/2006/relationships/hyperlink" Target="https://audio.iskcondesiretree.com/01_-_Srila_Prabhupada/01_-_Lectures/01_-_English/01_-_Topic_wise/Srimad_Bhagavatam/Canto-01/SP_SB_1-16-22_Los_Angeles_1974-07-12_Scientists_Philosophers--etc.mp3" TargetMode="External"/><Relationship Id="rId3598" Type="http://schemas.openxmlformats.org/officeDocument/2006/relationships/hyperlink" Target="https://audio.iskcondesiretree.com/01_-_Srila_Prabhupada/01_-_Lectures/01_-_English/02_-_Month_wise/07_-_July/27/SB-06-01-46_1975-07-27_SB-SAN%20DIEGO.MP3" TargetMode="External"/><Relationship Id="rId2258" Type="http://schemas.openxmlformats.org/officeDocument/2006/relationships/hyperlink" Target="https://audio.iskcondesiretree.com/01_-_Srila_Prabhupada/01_-_Lectures/01_-_English/02_-_Month_wise/07_-_July/09/SB_1-16-19_LA_1974-07-09_Everyone_Is_Spirit-Servant.mp3" TargetMode="External"/><Relationship Id="rId2259" Type="http://schemas.openxmlformats.org/officeDocument/2006/relationships/hyperlink" Target="https://audio.iskcondesiretree.com/01_-_Srila_Prabhupada/01_-_Lectures/01_-_English/02_-_Month_wise/07_-_July/09/Walk_1974-07-09_MW-LOS%20ANGELES.MP3" TargetMode="External"/><Relationship Id="rId3589" Type="http://schemas.openxmlformats.org/officeDocument/2006/relationships/hyperlink" Target="https://audio.iskcondesiretree.com/01_-_Srila_Prabhupada/01_-_Lectures/01_-_English/01_-_Topic_wise/Room_Conversation/SP_Room_Conversation_Laguna_Beach_1975-07-26_We_Cannot_Possess_and_Renounce.mp3" TargetMode="External"/><Relationship Id="rId3580" Type="http://schemas.openxmlformats.org/officeDocument/2006/relationships/hyperlink" Target="https://audio.iskcondesiretree.com/01_-_Srila_Prabhupada/01_-_Lectures/01_-_English/02_-_Month_wise/07_-_July/24/MW_LA_1975-07-24_Progress_Means_When_You_Conquer_Death.mp3" TargetMode="External"/><Relationship Id="rId2250" Type="http://schemas.openxmlformats.org/officeDocument/2006/relationships/hyperlink" Target="https://audio.iskcondesiretree.com/01_-_Srila_Prabhupada/01_-_Lectures/01_-_English/01_-_Topic_wise/Arrival_Address/SP_Arrival_Los_Angeles_1974-07-08_Education_Culture_Happiness_Satisfaction.mp3" TargetMode="External"/><Relationship Id="rId3582" Type="http://schemas.openxmlformats.org/officeDocument/2006/relationships/hyperlink" Target="https://audio.iskcondesiretree.com/01_-_Srila_Prabhupada/01_-_Lectures/01_-_English/02_-_Month_wise/07_-_July/24/Walk_1975-07-24_MW-LOS%20ANGELES.MP3" TargetMode="External"/><Relationship Id="rId2251" Type="http://schemas.openxmlformats.org/officeDocument/2006/relationships/hyperlink" Target="https://audio.iskcondesiretree.com/01_-_Srila_Prabhupada/01_-_Lectures/01_-_English/01_-_Topic_wise/Room_Conversation/SP_Room_Conversation_01_Los_Angeles_1974-07-08.mp3" TargetMode="External"/><Relationship Id="rId3581" Type="http://schemas.openxmlformats.org/officeDocument/2006/relationships/hyperlink" Target="https://audio.iskcondesiretree.com/01_-_Srila_Prabhupada/01_-_Lectures/01_-_English/02_-_Month_wise/07_-_July/24/SB-06-01-43_1975-07-24_SB-LOS%20ANGELES.MP3" TargetMode="External"/><Relationship Id="rId2252" Type="http://schemas.openxmlformats.org/officeDocument/2006/relationships/hyperlink" Target="https://audio.iskcondesiretree.com/01_-_Srila_Prabhupada/01_-_Lectures/01_-_English/02_-_Month_wise/07_-_July/08/Arr_LA_1974-07-08_Education_Culture_Happiness_Satisfaction.mp3" TargetMode="External"/><Relationship Id="rId3584" Type="http://schemas.openxmlformats.org/officeDocument/2006/relationships/hyperlink" Target="https://audio.iskcondesiretree.com/01_-_Srila_Prabhupada/01_-_Lectures/01_-_English/01_-_Topic_wise/Srimad_Bhagavatam/Canto-06/SP_SB_6-1-44_Los_Angeles_1975-07-25.MP3" TargetMode="External"/><Relationship Id="rId2253" Type="http://schemas.openxmlformats.org/officeDocument/2006/relationships/hyperlink" Target="https://audio.iskcondesiretree.com/01_-_Srila_Prabhupada/01_-_Lectures/01_-_English/02_-_Month_wise/07_-_July/08/Arrival_1974-07-08_AR-LOS%20ANGELES.MP3" TargetMode="External"/><Relationship Id="rId3583" Type="http://schemas.openxmlformats.org/officeDocument/2006/relationships/hyperlink" Target="https://audio.iskcondesiretree.com/01_-_Srila_Prabhupada/01_-_Lectures/01_-_English/01_-_Topic_wise/Morning_Walk/SP_Morning_Walk_-_Los_Angeles_1975-07-25_Full_of_Anxiety_Is_Not_OK.mp3" TargetMode="External"/><Relationship Id="rId2254" Type="http://schemas.openxmlformats.org/officeDocument/2006/relationships/hyperlink" Target="https://audio.iskcondesiretree.com/01_-_Srila_Prabhupada/01_-_Lectures/01_-_English/02_-_Month_wise/07_-_July/08/Conv_1974-07-08_R1-LOS%20ANGELES.MP3" TargetMode="External"/><Relationship Id="rId3586" Type="http://schemas.openxmlformats.org/officeDocument/2006/relationships/hyperlink" Target="https://audio.iskcondesiretree.com/01_-_Srila_Prabhupada/01_-_Lectures/01_-_English/02_-_Month_wise/07_-_July/25/SB-06-01-44_1975-07-25_SB-LOS%20ANGELES.MP3" TargetMode="External"/><Relationship Id="rId2255" Type="http://schemas.openxmlformats.org/officeDocument/2006/relationships/hyperlink" Target="https://audio.iskcondesiretree.com/01_-_Srila_Prabhupada/01_-_Lectures/01_-_English/01_-_Topic_wise/Morning_Walk/SP_Morning_Walk_-_Los_Angeles_1974-07-09.mp3" TargetMode="External"/><Relationship Id="rId3585" Type="http://schemas.openxmlformats.org/officeDocument/2006/relationships/hyperlink" Target="https://audio.iskcondesiretree.com/01_-_Srila_Prabhupada/01_-_Lectures/01_-_English/02_-_Month_wise/07_-_July/25/MW_LA_1975-07-25_Full_of_Anxiety_Is_Not_OK.mp3" TargetMode="External"/><Relationship Id="rId2256" Type="http://schemas.openxmlformats.org/officeDocument/2006/relationships/hyperlink" Target="https://audio.iskcondesiretree.com/01_-_Srila_Prabhupada/01_-_Lectures/01_-_English/01_-_Topic_wise/Srimad_Bhagavatam/Canto-01/SP_SB_1-16-19_Los_Angeles_1974-07-09_Everyone_Is_Spirit-Servant.mp3" TargetMode="External"/><Relationship Id="rId3588" Type="http://schemas.openxmlformats.org/officeDocument/2006/relationships/hyperlink" Target="https://audio.iskcondesiretree.com/01_-_Srila_Prabhupada/01_-_Lectures/01_-_English/01_-_Topic_wise/Morning_Walk/SP_Morning_Walk_-_Laguna_Beach_1975-07-26.MP3" TargetMode="External"/><Relationship Id="rId2257" Type="http://schemas.openxmlformats.org/officeDocument/2006/relationships/hyperlink" Target="https://audio.iskcondesiretree.com/01_-_Srila_Prabhupada/01_-_Lectures/01_-_English/02_-_Month_wise/07_-_July/09/SB-01-16-19_1974-07-09_SB-LOS%20ANGELES.MP3" TargetMode="External"/><Relationship Id="rId3587" Type="http://schemas.openxmlformats.org/officeDocument/2006/relationships/hyperlink" Target="https://audio.iskcondesiretree.com/01_-_Srila_Prabhupada/01_-_Lectures/01_-_English/02_-_Month_wise/07_-_July/25/Walk_1975-07-25_MW-LOS%20ANGELES.MP3" TargetMode="External"/><Relationship Id="rId2280" Type="http://schemas.openxmlformats.org/officeDocument/2006/relationships/hyperlink" Target="https://audio.iskcondesiretree.com/01_-_Srila_Prabhupada/01_-_Lectures/01_-_English/02_-_Month_wise/07_-_July/13/Walk_1974-07-13_MW-LOS%20ANGELES.MP3" TargetMode="External"/><Relationship Id="rId2281" Type="http://schemas.openxmlformats.org/officeDocument/2006/relationships/hyperlink" Target="https://audio.iskcondesiretree.com/01_-_Srila_Prabhupada/01_-_Lectures/01_-_English/01_-_Topic_wise/Chaitanya_Charitamrita/Adi_Lila/SP_CC_A_14_Los_Los_Angeles_1974-07-14.mp3" TargetMode="External"/><Relationship Id="rId2282" Type="http://schemas.openxmlformats.org/officeDocument/2006/relationships/hyperlink" Target="https://audio.iskcondesiretree.com/01_-_Srila_Prabhupada/01_-_Lectures/01_-_English/01_-_Topic_wise/Morning_Walk/SP_Morning_Walk_-_Los_Angeles_1974-07-14.mp3" TargetMode="External"/><Relationship Id="rId2283" Type="http://schemas.openxmlformats.org/officeDocument/2006/relationships/hyperlink" Target="https://audio.iskcondesiretree.com/01_-_Srila_Prabhupada/01_-_Lectures/01_-_English/01_-_Topic_wise/Srimad_Bhagavatam/Canto-01/SP_SB_1-16-24_Los_Angeles_1974-07-14_Faith_or_New_Orleans_Faith-Fact_Is_Fact.mp3" TargetMode="External"/><Relationship Id="rId2284" Type="http://schemas.openxmlformats.org/officeDocument/2006/relationships/hyperlink" Target="https://audio.iskcondesiretree.com/01_-_Srila_Prabhupada/01_-_Lectures/01_-_English/02_-_Month_wise/07_-_July/14/Chanting%20Cc-Adi%E2%80%9314th%20Ch_1974-07-14_CH-LOS%20ANGELES.MP3" TargetMode="External"/><Relationship Id="rId2285" Type="http://schemas.openxmlformats.org/officeDocument/2006/relationships/hyperlink" Target="https://audio.iskcondesiretree.com/01_-_Srila_Prabhupada/01_-_Lectures/01_-_English/02_-_Month_wise/07_-_July/14/SB-01-16-24_1974-07-14_SB-LOS%20ANGELES.MP3" TargetMode="External"/><Relationship Id="rId2286" Type="http://schemas.openxmlformats.org/officeDocument/2006/relationships/hyperlink" Target="https://audio.iskcondesiretree.com/01_-_Srila_Prabhupada/01_-_Lectures/01_-_English/02_-_Month_wise/07_-_July/14/SB_1-16-24_LA_1974-07-14_Faith_or_No_Faith-Fact_Is_Fact.mp3" TargetMode="External"/><Relationship Id="rId2287" Type="http://schemas.openxmlformats.org/officeDocument/2006/relationships/hyperlink" Target="https://audio.iskcondesiretree.com/01_-_Srila_Prabhupada/01_-_Lectures/01_-_English/02_-_Month_wise/07_-_July/14/Walk_1974-07-14_MW-LOS%20ANGELES.MP3" TargetMode="External"/><Relationship Id="rId2288" Type="http://schemas.openxmlformats.org/officeDocument/2006/relationships/hyperlink" Target="https://audio.iskcondesiretree.com/01_-_Srila_Prabhupada/01_-_Lectures/01_-_English/01_-_Topic_wise/Departure_Address/SP_Departure_Address_1974-07-15_Los_Angeles.mp3" TargetMode="External"/><Relationship Id="rId2289" Type="http://schemas.openxmlformats.org/officeDocument/2006/relationships/hyperlink" Target="https://audio.iskcondesiretree.com/01_-_Srila_Prabhupada/01_-_Lectures/01_-_English/02_-_Month_wise/07_-_July/15/Departure_1974-07-15_DP-LOS%20ANGELES.MP3" TargetMode="External"/><Relationship Id="rId2270" Type="http://schemas.openxmlformats.org/officeDocument/2006/relationships/hyperlink" Target="https://audio.iskcondesiretree.com/01_-_Srila_Prabhupada/01_-_Lectures/01_-_English/02_-_Month_wise/07_-_July/12/SB-01-16-22_1974-07-12_SB-LOS%20ANGELES.MP3" TargetMode="External"/><Relationship Id="rId2271" Type="http://schemas.openxmlformats.org/officeDocument/2006/relationships/hyperlink" Target="https://audio.iskcondesiretree.com/01_-_Srila_Prabhupada/01_-_Lectures/01_-_English/02_-_Month_wise/07_-_July/12/SB_1-16-22_LA_1974-07-12_Scientists_Philosophers_etc.mp3" TargetMode="External"/><Relationship Id="rId2272" Type="http://schemas.openxmlformats.org/officeDocument/2006/relationships/hyperlink" Target="https://audio.iskcondesiretree.com/01_-_Srila_Prabhupada/01_-_Lectures/01_-_English/02_-_Month_wise/07_-_July/12/Walk_1974-07-12_MW-LOS%20ANGELES.MP3" TargetMode="External"/><Relationship Id="rId2273" Type="http://schemas.openxmlformats.org/officeDocument/2006/relationships/hyperlink" Target="https://audio.iskcondesiretree.com/01_-_Srila_Prabhupada/01_-_Lectures/01_-_English/01_-_Topic_wise/Chaitanya_Charitamrita/Adi_Lila/SP_CC_A_13_Los_Los_Angeles_1974-07-13.mp3" TargetMode="External"/><Relationship Id="rId2274" Type="http://schemas.openxmlformats.org/officeDocument/2006/relationships/hyperlink" Target="https://audio.iskcondesiretree.com/01_-_Srila_Prabhupada/01_-_Lectures/01_-_English/01_-_Topic_wise/Morning_Walk/SP_Morning_Walk_-_Los_Angeles_1974-07-13_We_Going_to_Produce_Vaishnava_Heroes.mp3" TargetMode="External"/><Relationship Id="rId2275" Type="http://schemas.openxmlformats.org/officeDocument/2006/relationships/hyperlink" Target="https://audio.iskcondesiretree.com/01_-_Srila_Prabhupada/01_-_Lectures/01_-_English/01_-_Topic_wise/Srimad_Bhagavatam/Canto-01/SP_SB_1-16-23_Los_Angeles_1974-07-13_Avatara_for_the_Already_Dead.mp3" TargetMode="External"/><Relationship Id="rId2276" Type="http://schemas.openxmlformats.org/officeDocument/2006/relationships/hyperlink" Target="https://audio.iskcondesiretree.com/01_-_Srila_Prabhupada/01_-_Lectures/01_-_English/02_-_Month_wise/07_-_July/13/Chanting%20Cc-Adi%E2%80%9313th%20Ch_1974-07-13_CH-LOS%20ANGELES.MP3" TargetMode="External"/><Relationship Id="rId2277" Type="http://schemas.openxmlformats.org/officeDocument/2006/relationships/hyperlink" Target="https://audio.iskcondesiretree.com/01_-_Srila_Prabhupada/01_-_Lectures/01_-_English/02_-_Month_wise/07_-_July/13/MW_LA_1974-07-13_We_Going_to_Produce_Vaishnava_Heroes.mp3" TargetMode="External"/><Relationship Id="rId2278" Type="http://schemas.openxmlformats.org/officeDocument/2006/relationships/hyperlink" Target="https://audio.iskcondesiretree.com/01_-_Srila_Prabhupada/01_-_Lectures/01_-_English/02_-_Month_wise/07_-_July/13/SB-01-16-23_1974-07-13_SB-LOS%20ANGELES.MP3" TargetMode="External"/><Relationship Id="rId2279" Type="http://schemas.openxmlformats.org/officeDocument/2006/relationships/hyperlink" Target="https://audio.iskcondesiretree.com/01_-_Srila_Prabhupada/01_-_Lectures/01_-_English/02_-_Month_wise/07_-_July/13/SB_1-16-23_LA_1974-07-13_Avatara_for_the_Already_Dead.mp3" TargetMode="External"/><Relationship Id="rId2225" Type="http://schemas.openxmlformats.org/officeDocument/2006/relationships/hyperlink" Target="https://audio.iskcondesiretree.com/01_-_Srila_Prabhupada/01_-_Lectures/01_-_English/02_-_Month_wise/06_-_June/30/Bg-09-01%E2%80%9302_1974-06-30_BG-MELBOURNE.MP3" TargetMode="External"/><Relationship Id="rId3557" Type="http://schemas.openxmlformats.org/officeDocument/2006/relationships/hyperlink" Target="https://audio.iskcondesiretree.com/01_-_Srila_Prabhupada/01_-_Lectures/01_-_English/02_-_Month_wise/07_-_July/19/Walk_1975-07-19_MW-SAN%20FRANCISCO.MP3" TargetMode="External"/><Relationship Id="rId4888" Type="http://schemas.openxmlformats.org/officeDocument/2006/relationships/hyperlink" Target="https://audio.iskcondesiretree.com/01_-_Srila_Prabhupada/01_-_Lectures/01_-_English/02_-_Month_wise/07_-_July/04/Conv_1976-07-04_R1-WASHINGTON%20DC.MP3" TargetMode="External"/><Relationship Id="rId2226" Type="http://schemas.openxmlformats.org/officeDocument/2006/relationships/hyperlink" Target="https://audio.iskcondesiretree.com/01_-_Srila_Prabhupada/01_-_Lectures/01_-_English/01_-_Topic_wise/Room_Conversation/SP_Room_Conversation_Melbourne_1974-07-01_Bhurijana_and_Others--Cooking_Smoke--etc.mp3" TargetMode="External"/><Relationship Id="rId3556" Type="http://schemas.openxmlformats.org/officeDocument/2006/relationships/hyperlink" Target="https://audio.iskcondesiretree.com/01_-_Srila_Prabhupada/01_-_Lectures/01_-_English/02_-_Month_wise/07_-_July/19/SB_6-01-37_SF_1975-07-19_Irreligious_Religion.mp3" TargetMode="External"/><Relationship Id="rId4887" Type="http://schemas.openxmlformats.org/officeDocument/2006/relationships/hyperlink" Target="https://audio.iskcondesiretree.com/01_-_Srila_Prabhupada/01_-_Lectures/01_-_English/02_-_Month_wise/07_-_July/04/CcMadhya-20-098%E2%80%93099_1976-07-04_CC-WASHINGTON%20DC.MP3" TargetMode="External"/><Relationship Id="rId2227" Type="http://schemas.openxmlformats.org/officeDocument/2006/relationships/hyperlink" Target="https://audio.iskcondesiretree.com/01_-_Srila_Prabhupada/01_-_Lectures/01_-_English/01_-_Topic_wise/Various/SP_Lecture_Initiation_Ceremony_Melbourne_1974-07-01.mp3" TargetMode="External"/><Relationship Id="rId3559" Type="http://schemas.openxmlformats.org/officeDocument/2006/relationships/hyperlink" Target="https://audio.iskcondesiretree.com/01_-_Srila_Prabhupada/01_-_Lectures/01_-_English/01_-_Topic_wise/Srimad_Bhagavatam/Canto-06/SP_SB_6-01-39_San_Francisco_1975-07-20_Who_Is_Punishable.mp3" TargetMode="External"/><Relationship Id="rId2228" Type="http://schemas.openxmlformats.org/officeDocument/2006/relationships/hyperlink" Target="https://audio.iskcondesiretree.com/01_-_Srila_Prabhupada/01_-_Lectures/01_-_English/01_-_Topic_wise/Various/SP_Lecture_Melbourne_1974-07-01_To_Students--Talking_to_a_Trashy_Audience.mp3" TargetMode="External"/><Relationship Id="rId3558" Type="http://schemas.openxmlformats.org/officeDocument/2006/relationships/hyperlink" Target="https://audio.iskcondesiretree.com/01_-_Srila_Prabhupada/01_-_Lectures/01_-_English/01_-_Topic_wise/Morning_Walk/SP_Morning_Walk_-_San_Francisco_1975-07-20_Life_from_Chemicals-Prove_by_Experiment.mp3" TargetMode="External"/><Relationship Id="rId4889" Type="http://schemas.openxmlformats.org/officeDocument/2006/relationships/hyperlink" Target="https://audio.iskcondesiretree.com/01_-_Srila_Prabhupada/01_-_Lectures/01_-_English/02_-_Month_wise/07_-_July/04/LifeComesFromLife_1976-07-04_SS-WASHINGTON%20DC.MP3" TargetMode="External"/><Relationship Id="rId2229" Type="http://schemas.openxmlformats.org/officeDocument/2006/relationships/hyperlink" Target="https://audio.iskcondesiretree.com/01_-_Srila_Prabhupada/01_-_Lectures/01_-_English/02_-_Month_wise/07_-_July/01/Initiations_1974-07-01_IN-MELBOURNE.MP3" TargetMode="External"/><Relationship Id="rId4880" Type="http://schemas.openxmlformats.org/officeDocument/2006/relationships/hyperlink" Target="https://audio.iskcondesiretree.com/01_-_Srila_Prabhupada/01_-_Lectures/01_-_English/02_-_Month_wise/07_-_July/02/SB_7-06-19_NV_1976-07-02_Material_Service_Nobody_etc.mp3" TargetMode="External"/><Relationship Id="rId3551" Type="http://schemas.openxmlformats.org/officeDocument/2006/relationships/hyperlink" Target="https://audio.iskcondesiretree.com/01_-_Srila_Prabhupada/01_-_Lectures/01_-_English/02_-_Month_wise/07_-_July/18/Walk_1975-07-18_MW-SAN%20FRANCISCO.MP3" TargetMode="External"/><Relationship Id="rId4882" Type="http://schemas.openxmlformats.org/officeDocument/2006/relationships/hyperlink" Target="https://audio.iskcondesiretree.com/01_-_Srila_Prabhupada/01_-_Lectures/01_-_English/02_-_Month_wise/07_-_July/03/LifeComesFromLife_1976-07-03_SS-WASHINGTON%20DC.MP3" TargetMode="External"/><Relationship Id="rId2220" Type="http://schemas.openxmlformats.org/officeDocument/2006/relationships/hyperlink" Target="https://audio.iskcondesiretree.com/01_-_Srila_Prabhupada/01_-_Lectures/01_-_English/02_-_Month_wise/06_-_June/29/MW_MEL_1974-06-29_Unlimitedly_Merciful_Lord.mp3" TargetMode="External"/><Relationship Id="rId3550" Type="http://schemas.openxmlformats.org/officeDocument/2006/relationships/hyperlink" Target="https://audio.iskcondesiretree.com/01_-_Srila_Prabhupada/01_-_Lectures/01_-_English/02_-_Month_wise/07_-_July/18/SB_6-01-33_SF_1975-07-18_Catching_the_Tail_of_a_Dog.mp3" TargetMode="External"/><Relationship Id="rId4881" Type="http://schemas.openxmlformats.org/officeDocument/2006/relationships/hyperlink" Target="https://audio.iskcondesiretree.com/01_-_Srila_Prabhupada/01_-_Lectures/01_-_English/02_-_Month_wise/07_-_July/03/Conv_1976-07-03_R1-WASHINGTON%20DC.MP3" TargetMode="External"/><Relationship Id="rId2221" Type="http://schemas.openxmlformats.org/officeDocument/2006/relationships/hyperlink" Target="https://audio.iskcondesiretree.com/01_-_Srila_Prabhupada/01_-_Lectures/01_-_English/02_-_Month_wise/06_-_June/29/RC_MEL_1974-06-29_Bishop-Original_Sin-Original_Sanctity.mp3" TargetMode="External"/><Relationship Id="rId3553" Type="http://schemas.openxmlformats.org/officeDocument/2006/relationships/hyperlink" Target="https://audio.iskcondesiretree.com/01_-_Srila_Prabhupada/01_-_Lectures/01_-_English/01_-_Topic_wise/Srimad_Bhagavatam/Canto-06/SP_SB_6-01-37_San_Francisco_1975-07-19_Irreligious_Religion.mp3" TargetMode="External"/><Relationship Id="rId4884" Type="http://schemas.openxmlformats.org/officeDocument/2006/relationships/hyperlink" Target="https://audio.iskcondesiretree.com/01_-_Srila_Prabhupada/01_-_Lectures/01_-_English/02_-_Month_wise/07_-_July/03/Walk_1976-07-03_MW-WASHINGTON%20DC.MP3" TargetMode="External"/><Relationship Id="rId2222" Type="http://schemas.openxmlformats.org/officeDocument/2006/relationships/hyperlink" Target="https://audio.iskcondesiretree.com/01_-_Srila_Prabhupada/01_-_Lectures/01_-_English/02_-_Month_wise/06_-_June/29/RC_MEL_1974-06-29_Transcendental_Psychiatry.mp3" TargetMode="External"/><Relationship Id="rId3552" Type="http://schemas.openxmlformats.org/officeDocument/2006/relationships/hyperlink" Target="https://audio.iskcondesiretree.com/01_-_Srila_Prabhupada/01_-_Lectures/01_-_English/01_-_Topic_wise/Morning_Walk/SP_Morning_Walk_-_San_Francisco_1975-07-19_%27I_Have_Gold%27_-_%27I_Am_God%27.mp3" TargetMode="External"/><Relationship Id="rId4883" Type="http://schemas.openxmlformats.org/officeDocument/2006/relationships/hyperlink" Target="https://audio.iskcondesiretree.com/01_-_Srila_Prabhupada/01_-_Lectures/01_-_English/02_-_Month_wise/07_-_July/03/SB-07-06-20%E2%80%9323_1976-07-03_SB-WASHINGTON%20DC.MP3" TargetMode="External"/><Relationship Id="rId2223" Type="http://schemas.openxmlformats.org/officeDocument/2006/relationships/hyperlink" Target="https://audio.iskcondesiretree.com/01_-_Srila_Prabhupada/01_-_Lectures/01_-_English/02_-_Month_wise/06_-_June/29/Walk_1974-06-29_MW-MELBOURNE.MP3" TargetMode="External"/><Relationship Id="rId3555" Type="http://schemas.openxmlformats.org/officeDocument/2006/relationships/hyperlink" Target="https://audio.iskcondesiretree.com/01_-_Srila_Prabhupada/01_-_Lectures/01_-_English/02_-_Month_wise/07_-_July/19/SB-06-01-37_1975-07-19_SB-SAN%20FRANCISCO.MP3" TargetMode="External"/><Relationship Id="rId4886" Type="http://schemas.openxmlformats.org/officeDocument/2006/relationships/hyperlink" Target="https://audio.iskcondesiretree.com/01_-_Srila_Prabhupada/01_-_Lectures/01_-_English/02_-_Month_wise/07_-_July/04/Cc_M_20-098_WDC_1976-07-04_Big_Boon_for_a_Bad_Bunch.mp3" TargetMode="External"/><Relationship Id="rId2224" Type="http://schemas.openxmlformats.org/officeDocument/2006/relationships/hyperlink" Target="https://audio.iskcondesiretree.com/01_-_Srila_Prabhupada/01_-_Lectures/01_-_English/01_-_Topic_wise/Bhagavad_Gita/Chapter-09/SP_BG_09-01-02_Melbourne_1974-06-30.mp3" TargetMode="External"/><Relationship Id="rId3554" Type="http://schemas.openxmlformats.org/officeDocument/2006/relationships/hyperlink" Target="https://audio.iskcondesiretree.com/01_-_Srila_Prabhupada/01_-_Lectures/01_-_English/02_-_Month_wise/07_-_July/19/MW_SF_1975-07-19_I_Have_Gold-I_Am_God.mp3" TargetMode="External"/><Relationship Id="rId4885" Type="http://schemas.openxmlformats.org/officeDocument/2006/relationships/hyperlink" Target="https://audio.iskcondesiretree.com/01_-_Srila_Prabhupada/01_-_Lectures/01_-_English/01_-_Topic_wise/Chaitanya_Charitamrita/Madhya_Lila/SP_CC_M_20-098_Washington-DC_1976-07-04_Big_Boon_for_a_Bad_Bunch.mp3" TargetMode="External"/><Relationship Id="rId2214" Type="http://schemas.openxmlformats.org/officeDocument/2006/relationships/hyperlink" Target="https://audio.iskcondesiretree.com/01_-_Srila_Prabhupada/01_-_Lectures/01_-_English/02_-_Month_wise/06_-_June/29/Bg_07-01_MEL_1974-06-29_Surrounded_by_Krishna_Atmosphere.mp3" TargetMode="External"/><Relationship Id="rId3546" Type="http://schemas.openxmlformats.org/officeDocument/2006/relationships/hyperlink" Target="https://audio.iskcondesiretree.com/01_-_Srila_Prabhupada/01_-_Lectures/01_-_English/01_-_Topic_wise/Morning_Walk/SP_Morning_Walk_-_San_Francisco_1975-07-18_Crossing_the_Ocean_by_Becoming_a_Fish.mp3" TargetMode="External"/><Relationship Id="rId4877" Type="http://schemas.openxmlformats.org/officeDocument/2006/relationships/hyperlink" Target="https://audio.iskcondesiretree.com/01_-_Srila_Prabhupada/01_-_Lectures/01_-_English/02_-_Month_wise/07_-_July/02/Conv_1976-07-02_R1-NEW%20VRINDAVAN.MP3" TargetMode="External"/><Relationship Id="rId2215" Type="http://schemas.openxmlformats.org/officeDocument/2006/relationships/hyperlink" Target="https://audio.iskcondesiretree.com/01_-_Srila_Prabhupada/01_-_Lectures/01_-_English/02_-_Month_wise/06_-_June/29/Bg_09-01_MEL_1974-06-29_Chant_Dance_Eat_Prasadam_Go_Home.mp3" TargetMode="External"/><Relationship Id="rId3545" Type="http://schemas.openxmlformats.org/officeDocument/2006/relationships/hyperlink" Target="https://audio.iskcondesiretree.com/01_-_Srila_Prabhupada/01_-_Lectures/01_-_English/02_-_Month_wise/07_-_July/17/Walk_1975-07-17_MW-SAN%20FRANCISCO.MP3" TargetMode="External"/><Relationship Id="rId4876" Type="http://schemas.openxmlformats.org/officeDocument/2006/relationships/hyperlink" Target="https://audio.iskcondesiretree.com/01_-_Srila_Prabhupada/01_-_Lectures/01_-_English/02_-_Month_wise/07_-_July/02/Arrival_1976-07-02_AR-WASHINGTON%20DC.MP3" TargetMode="External"/><Relationship Id="rId2216" Type="http://schemas.openxmlformats.org/officeDocument/2006/relationships/hyperlink" Target="https://audio.iskcondesiretree.com/01_-_Srila_Prabhupada/01_-_Lectures/01_-_English/02_-_Month_wise/06_-_June/29/Conv_1974-06-29_R1-MELBOURNE.MP3" TargetMode="External"/><Relationship Id="rId3548" Type="http://schemas.openxmlformats.org/officeDocument/2006/relationships/hyperlink" Target="https://audio.iskcondesiretree.com/01_-_Srila_Prabhupada/01_-_Lectures/01_-_English/02_-_Month_wise/07_-_July/18/MW_SF_1975-07-18_Crossing_the_Ocean_by_Becoming_a_Fish.mp3" TargetMode="External"/><Relationship Id="rId4879" Type="http://schemas.openxmlformats.org/officeDocument/2006/relationships/hyperlink" Target="https://audio.iskcondesiretree.com/01_-_Srila_Prabhupada/01_-_Lectures/01_-_English/02_-_Month_wise/07_-_July/02/SB-07-06-19_1976-07-02_SB-NEW%20VRINDAVAN.MP3" TargetMode="External"/><Relationship Id="rId2217" Type="http://schemas.openxmlformats.org/officeDocument/2006/relationships/hyperlink" Target="https://audio.iskcondesiretree.com/01_-_Srila_Prabhupada/01_-_Lectures/01_-_English/02_-_Month_wise/06_-_June/29/Conv_1974-06-29_R2-MELBOURNE.MP3" TargetMode="External"/><Relationship Id="rId3547" Type="http://schemas.openxmlformats.org/officeDocument/2006/relationships/hyperlink" Target="https://audio.iskcondesiretree.com/01_-_Srila_Prabhupada/01_-_Lectures/01_-_English/01_-_Topic_wise/Srimad_Bhagavatam/Canto-06/SP_SB_6-01-33_San_Francisco_1975-07-18_Catching_the_Tail_of_a_Dog.mp3" TargetMode="External"/><Relationship Id="rId4878" Type="http://schemas.openxmlformats.org/officeDocument/2006/relationships/hyperlink" Target="https://audio.iskcondesiretree.com/01_-_Srila_Prabhupada/01_-_Lectures/01_-_English/02_-_Month_wise/07_-_July/02/RC_WDC_1976-07-02_Prabhupada_Respecting_Prasadam_We_etc.mp3" TargetMode="External"/><Relationship Id="rId2218" Type="http://schemas.openxmlformats.org/officeDocument/2006/relationships/hyperlink" Target="https://audio.iskcondesiretree.com/01_-_Srila_Prabhupada/01_-_Lectures/01_-_English/02_-_Month_wise/06_-_June/29/Interv_MEL_1974-06-29_Press-Transcendental_Psychiatry.mp3" TargetMode="External"/><Relationship Id="rId2219" Type="http://schemas.openxmlformats.org/officeDocument/2006/relationships/hyperlink" Target="https://audio.iskcondesiretree.com/01_-_Srila_Prabhupada/01_-_Lectures/01_-_English/02_-_Month_wise/06_-_June/29/Interview_1974-06-29_IV-MELBOURNE.MP3" TargetMode="External"/><Relationship Id="rId3549" Type="http://schemas.openxmlformats.org/officeDocument/2006/relationships/hyperlink" Target="https://audio.iskcondesiretree.com/01_-_Srila_Prabhupada/01_-_Lectures/01_-_English/02_-_Month_wise/07_-_July/18/SB-06-01-33_1975-07-18_SB-SAN%20FRANCISCO.MP3" TargetMode="External"/><Relationship Id="rId3540" Type="http://schemas.openxmlformats.org/officeDocument/2006/relationships/hyperlink" Target="https://audio.iskcondesiretree.com/01_-_Srila_Prabhupada/01_-_Lectures/01_-_English/01_-_Topic_wise/Morning_Walk/SP_Morning_Walk_-_San_Francisco_1975-07-17_Human_Civilization--Where.mp3" TargetMode="External"/><Relationship Id="rId4871" Type="http://schemas.openxmlformats.org/officeDocument/2006/relationships/hyperlink" Target="https://audio.iskcondesiretree.com/01_-_Srila_Prabhupada/01_-_Lectures/01_-_English/02_-_Month_wise/07_-_July/01/RC_NV_1976-07-01_Religious_or_Wretched.mp3" TargetMode="External"/><Relationship Id="rId4870" Type="http://schemas.openxmlformats.org/officeDocument/2006/relationships/hyperlink" Target="https://audio.iskcondesiretree.com/01_-_Srila_Prabhupada/01_-_Lectures/01_-_English/02_-_Month_wise/07_-_July/01/Conv_1976-07-01_R1-NEW%20VRINDAVAN.MP3" TargetMode="External"/><Relationship Id="rId2210" Type="http://schemas.openxmlformats.org/officeDocument/2006/relationships/hyperlink" Target="https://audio.iskcondesiretree.com/01_-_Srila_Prabhupada/01_-_Lectures/01_-_English/01_-_Topic_wise/Morning_Walk/SP_Morning_Walk_-_Melbourne_1974-06-29_Unlimitedly_Merciful_Lord.mp3" TargetMode="External"/><Relationship Id="rId3542" Type="http://schemas.openxmlformats.org/officeDocument/2006/relationships/hyperlink" Target="https://audio.iskcondesiretree.com/01_-_Srila_Prabhupada/01_-_Lectures/01_-_English/02_-_Month_wise/07_-_July/17/MW_SF_1975-07-17_Human_Civilization_Where.mp3" TargetMode="External"/><Relationship Id="rId4873" Type="http://schemas.openxmlformats.org/officeDocument/2006/relationships/hyperlink" Target="https://audio.iskcondesiretree.com/01_-_Srila_Prabhupada/01_-_Lectures/01_-_English/02_-_Month_wise/07_-_July/01/SB_7-06-17_NV_1976-07-01_Material_Entrapment.mp3" TargetMode="External"/><Relationship Id="rId2211" Type="http://schemas.openxmlformats.org/officeDocument/2006/relationships/hyperlink" Target="https://audio.iskcondesiretree.com/01_-_Srila_Prabhupada/01_-_Lectures/01_-_English/01_-_Topic_wise/Room_Conversation/SP_Room_Conversation_Melbourne_1974-06-29_Bishop--Original_Sin--Original_Sanctity.mp3" TargetMode="External"/><Relationship Id="rId3541" Type="http://schemas.openxmlformats.org/officeDocument/2006/relationships/hyperlink" Target="https://audio.iskcondesiretree.com/01_-_Srila_Prabhupada/01_-_Lectures/01_-_English/01_-_Topic_wise/Srimad_Bhagavatam/Canto-06/SP_SB_6-01-32_San_Francisco_1975-07-17_Universal_Government.mp3" TargetMode="External"/><Relationship Id="rId4872" Type="http://schemas.openxmlformats.org/officeDocument/2006/relationships/hyperlink" Target="https://audio.iskcondesiretree.com/01_-_Srila_Prabhupada/01_-_Lectures/01_-_English/02_-_Month_wise/07_-_July/01/SB-07-06-17%E2%80%9318_1976-07-01_SB-NEW%20VRINDAVAN.MP3" TargetMode="External"/><Relationship Id="rId2212" Type="http://schemas.openxmlformats.org/officeDocument/2006/relationships/hyperlink" Target="https://audio.iskcondesiretree.com/01_-_Srila_Prabhupada/01_-_Lectures/01_-_English/01_-_Topic_wise/Room_Conversation/SP_Room_Conversation_Melbourne_1974-06-29_Transcendental_Psychiatry.mp3" TargetMode="External"/><Relationship Id="rId3544" Type="http://schemas.openxmlformats.org/officeDocument/2006/relationships/hyperlink" Target="https://audio.iskcondesiretree.com/01_-_Srila_Prabhupada/01_-_Lectures/01_-_English/02_-_Month_wise/07_-_July/17/SB_6-01-32_SF_1975-07-17_Universal_Government.mp3" TargetMode="External"/><Relationship Id="rId4875" Type="http://schemas.openxmlformats.org/officeDocument/2006/relationships/hyperlink" Target="https://audio.iskcondesiretree.com/01_-_Srila_Prabhupada/01_-_Lectures/01_-_English/01_-_Topic_wise/Srimad_Bhagavatam/Canto-07/SP_SB_7-06-19_New_Vrindavan_1976-07-02_Material_Service_-_Nobody--etc.mp3" TargetMode="External"/><Relationship Id="rId2213" Type="http://schemas.openxmlformats.org/officeDocument/2006/relationships/hyperlink" Target="https://audio.iskcondesiretree.com/01_-_Srila_Prabhupada/01_-_Lectures/01_-_English/02_-_Month_wise/06_-_June/29/Bg-07-01_1974-06-29_BG-MELBOURNE.MP3" TargetMode="External"/><Relationship Id="rId3543" Type="http://schemas.openxmlformats.org/officeDocument/2006/relationships/hyperlink" Target="https://audio.iskcondesiretree.com/01_-_Srila_Prabhupada/01_-_Lectures/01_-_English/02_-_Month_wise/07_-_July/17/SB-06-01-32_1975-07-17_SB-SAN%20FRANCISCO.MP3" TargetMode="External"/><Relationship Id="rId4874" Type="http://schemas.openxmlformats.org/officeDocument/2006/relationships/hyperlink" Target="https://audio.iskcondesiretree.com/01_-_Srila_Prabhupada/01_-_Lectures/01_-_English/01_-_Topic_wise/Room_Conversation/SP_Room_Conversation_Washington_DC_1976-07-02_Prabhupada_Respecting_Prasadam--We--etc.mp3" TargetMode="External"/><Relationship Id="rId2247" Type="http://schemas.openxmlformats.org/officeDocument/2006/relationships/hyperlink" Target="https://audio.iskcondesiretree.com/01_-_Srila_Prabhupada/01_-_Lectures/01_-_English/01_-_Topic_wise/Srimad_Bhagavatam/Canto-01/SP_SB_1-08-19_Chicago_1974-07-05_For_Dull-Headed_Asses_God--etc.mp3" TargetMode="External"/><Relationship Id="rId3579" Type="http://schemas.openxmlformats.org/officeDocument/2006/relationships/hyperlink" Target="https://audio.iskcondesiretree.com/01_-_Srila_Prabhupada/01_-_Lectures/01_-_English/01_-_Topic_wise/Srimad_Bhagavatam/Canto-06/SP_SB_6-1-43_Los_Angeles_1975-07-24.MP3" TargetMode="External"/><Relationship Id="rId2248" Type="http://schemas.openxmlformats.org/officeDocument/2006/relationships/hyperlink" Target="https://audio.iskcondesiretree.com/01_-_Srila_Prabhupada/01_-_Lectures/01_-_English/02_-_Month_wise/07_-_July/05/SB-01-08-19_1974-07-05_SB-CHICAGO.MP3" TargetMode="External"/><Relationship Id="rId3578" Type="http://schemas.openxmlformats.org/officeDocument/2006/relationships/hyperlink" Target="https://audio.iskcondesiretree.com/01_-_Srila_Prabhupada/01_-_Lectures/01_-_English/01_-_Topic_wise/Morning_Walk/SP_Morning_Walk_-_Los_Angeles_1975-07-24_Progress_Means_When_You_Conquer_Death.mp3" TargetMode="External"/><Relationship Id="rId2249" Type="http://schemas.openxmlformats.org/officeDocument/2006/relationships/hyperlink" Target="https://audio.iskcondesiretree.com/01_-_Srila_Prabhupada/01_-_Lectures/01_-_English/02_-_Month_wise/07_-_July/05/SB_1-08-19_CHI_1974-07-05_For_Dull-Headed_Asses_God_etc.mp3" TargetMode="External"/><Relationship Id="rId3571" Type="http://schemas.openxmlformats.org/officeDocument/2006/relationships/hyperlink" Target="https://audio.iskcondesiretree.com/01_-_Srila_Prabhupada/01_-_Lectures/01_-_English/02_-_Month_wise/07_-_July/21/SB-06-01-40_1975-07-21_SB-SAN%20FRANCISCO.MP3" TargetMode="External"/><Relationship Id="rId2240" Type="http://schemas.openxmlformats.org/officeDocument/2006/relationships/hyperlink" Target="https://audio.iskcondesiretree.com/01_-_Srila_Prabhupada/01_-_Lectures/01_-_English/01_-_Topic_wise/Bhagavad_Gita/Chapter-17/SP_BG_17-01-03_Melbourne_1974-07-04_Faith-Blind_and_Sighted.mp3" TargetMode="External"/><Relationship Id="rId3570" Type="http://schemas.openxmlformats.org/officeDocument/2006/relationships/hyperlink" Target="https://audio.iskcondesiretree.com/01_-_Srila_Prabhupada/01_-_Lectures/01_-_English/02_-_Month_wise/07_-_July/21/MW_SF_1975-07-21_Moon_Rocks_from_Arizona.mp3" TargetMode="External"/><Relationship Id="rId2241" Type="http://schemas.openxmlformats.org/officeDocument/2006/relationships/hyperlink" Target="https://audio.iskcondesiretree.com/01_-_Srila_Prabhupada/01_-_Lectures/01_-_English/01_-_Topic_wise/Interview/SP_Interview_Chicago_1974-07-04_Envious_Reporter.mp3" TargetMode="External"/><Relationship Id="rId3573" Type="http://schemas.openxmlformats.org/officeDocument/2006/relationships/hyperlink" Target="https://audio.iskcondesiretree.com/01_-_Srila_Prabhupada/01_-_Lectures/01_-_English/02_-_Month_wise/07_-_July/21/Walk_1975-07-21_MW-SAN%20FRANCISCO.MP3" TargetMode="External"/><Relationship Id="rId2242" Type="http://schemas.openxmlformats.org/officeDocument/2006/relationships/hyperlink" Target="https://audio.iskcondesiretree.com/01_-_Srila_Prabhupada/01_-_Lectures/01_-_English/01_-_Topic_wise/Srimad_Bhagavatam/Canto-01/SP_SB_1-08-18_Chicago_1974-07-04_Krishna_is_So_Kind._He_Has--etc.mp3" TargetMode="External"/><Relationship Id="rId3572" Type="http://schemas.openxmlformats.org/officeDocument/2006/relationships/hyperlink" Target="https://audio.iskcondesiretree.com/01_-_Srila_Prabhupada/01_-_Lectures/01_-_English/02_-_Month_wise/07_-_July/21/SB_6-01-40_SF_1975-07-21_God_Is_Krishna-Satan_Is_Maya.mp3" TargetMode="External"/><Relationship Id="rId2243" Type="http://schemas.openxmlformats.org/officeDocument/2006/relationships/hyperlink" Target="https://audio.iskcondesiretree.com/01_-_Srila_Prabhupada/01_-_Lectures/01_-_English/02_-_Month_wise/07_-_July/04/Bg_17-01_MEL_1974-07-04_Faith-Blind_and_Sighted.mp3" TargetMode="External"/><Relationship Id="rId3575" Type="http://schemas.openxmlformats.org/officeDocument/2006/relationships/hyperlink" Target="https://audio.iskcondesiretree.com/01_-_Srila_Prabhupada/01_-_Lectures/01_-_English/02_-_Month_wise/07_-_July/22/SB-06-01-41_1975-07-22_SB-LOS%20ANGELES.MP3" TargetMode="External"/><Relationship Id="rId2244" Type="http://schemas.openxmlformats.org/officeDocument/2006/relationships/hyperlink" Target="https://audio.iskcondesiretree.com/01_-_Srila_Prabhupada/01_-_Lectures/01_-_English/02_-_Month_wise/07_-_July/04/Interview_1974-07-04_IV-CHICAGO.MP3" TargetMode="External"/><Relationship Id="rId3574" Type="http://schemas.openxmlformats.org/officeDocument/2006/relationships/hyperlink" Target="https://audio.iskcondesiretree.com/01_-_Srila_Prabhupada/01_-_Lectures/01_-_English/01_-_Topic_wise/Srimad_Bhagavatam/Canto-06/SP_SB_6-1-41_Los_Angeles_1975-07-22.MP3" TargetMode="External"/><Relationship Id="rId2245" Type="http://schemas.openxmlformats.org/officeDocument/2006/relationships/hyperlink" Target="https://audio.iskcondesiretree.com/01_-_Srila_Prabhupada/01_-_Lectures/01_-_English/02_-_Month_wise/07_-_July/04/SB-01-08-18_1974-07-04_SB-CHICAGO.MP3" TargetMode="External"/><Relationship Id="rId3577" Type="http://schemas.openxmlformats.org/officeDocument/2006/relationships/hyperlink" Target="https://audio.iskcondesiretree.com/01_-_Srila_Prabhupada/01_-_Lectures/01_-_English/02_-_Month_wise/07_-_July/23/SB-06-01-42_1975-07-23_SB-LOS%20ANGELES.MP3" TargetMode="External"/><Relationship Id="rId2246" Type="http://schemas.openxmlformats.org/officeDocument/2006/relationships/hyperlink" Target="https://audio.iskcondesiretree.com/01_-_Srila_Prabhupada/01_-_Lectures/01_-_English/02_-_Month_wise/07_-_July/04/SB_1-08-18_CHI_1974-07-04_Krishna_is_So_Kind._He_Has_etc.mp3" TargetMode="External"/><Relationship Id="rId3576" Type="http://schemas.openxmlformats.org/officeDocument/2006/relationships/hyperlink" Target="https://audio.iskcondesiretree.com/01_-_Srila_Prabhupada/01_-_Lectures/01_-_English/01_-_Topic_wise/Srimad_Bhagavatam/Canto-06/SP_SB_6-1-42_Los_Angeles_1975-07-23.MP3" TargetMode="External"/><Relationship Id="rId2236" Type="http://schemas.openxmlformats.org/officeDocument/2006/relationships/hyperlink" Target="https://audio.iskcondesiretree.com/01_-_Srila_Prabhupada/01_-_Lectures/01_-_English/02_-_Month_wise/07_-_July/02/Conv_1974-07-02_R1-MELBOURNE.MP3" TargetMode="External"/><Relationship Id="rId3568" Type="http://schemas.openxmlformats.org/officeDocument/2006/relationships/hyperlink" Target="https://audio.iskcondesiretree.com/01_-_Srila_Prabhupada/01_-_Lectures/01_-_English/02_-_Month_wise/07_-_July/21/Conv_1975-07-21_R1-SAN%20FRANCISCO.MP3" TargetMode="External"/><Relationship Id="rId4899" Type="http://schemas.openxmlformats.org/officeDocument/2006/relationships/hyperlink" Target="https://audio.iskcondesiretree.com/01_-_Srila_Prabhupada/01_-_Lectures/01_-_English/02_-_Month_wise/07_-_July/05/Conv_1976-07-05_R4-WASHINGTON%20DC.MP3" TargetMode="External"/><Relationship Id="rId2237" Type="http://schemas.openxmlformats.org/officeDocument/2006/relationships/hyperlink" Target="https://audio.iskcondesiretree.com/01_-_Srila_Prabhupada/01_-_Lectures/01_-_English/02_-_Month_wise/07_-_July/02/Conv_1974-07-02_R2-MELBOURNE.MP3" TargetMode="External"/><Relationship Id="rId3567" Type="http://schemas.openxmlformats.org/officeDocument/2006/relationships/hyperlink" Target="https://audio.iskcondesiretree.com/01_-_Srila_Prabhupada/01_-_Lectures/01_-_English/01_-_Topic_wise/Various/SP_Lecture_San_Francisco_1975-07-21_Gurudasa_Sannyasa_and_Harinama_Initiations.MP3" TargetMode="External"/><Relationship Id="rId4898" Type="http://schemas.openxmlformats.org/officeDocument/2006/relationships/hyperlink" Target="https://audio.iskcondesiretree.com/01_-_Srila_Prabhupada/01_-_Lectures/01_-_English/02_-_Month_wise/07_-_July/05/Conv_1976-07-05_R3-WASHINGTON%20DC.MP3" TargetMode="External"/><Relationship Id="rId2238" Type="http://schemas.openxmlformats.org/officeDocument/2006/relationships/hyperlink" Target="https://audio.iskcondesiretree.com/01_-_Srila_Prabhupada/01_-_Lectures/01_-_English/02_-_Month_wise/07_-_July/02/RC_MEL_1974-07-02_Scientists--Scientist_Who_Made_Your_Brain.mp3" TargetMode="External"/><Relationship Id="rId2239" Type="http://schemas.openxmlformats.org/officeDocument/2006/relationships/hyperlink" Target="https://audio.iskcondesiretree.com/01_-_Srila_Prabhupada/01_-_Lectures/01_-_English/02_-_Month_wise/07_-_July/02/RC_MEL_1974-07-02_World_Wars_I_and_II-Caused_by_etc.mp3" TargetMode="External"/><Relationship Id="rId3569" Type="http://schemas.openxmlformats.org/officeDocument/2006/relationships/hyperlink" Target="https://audio.iskcondesiretree.com/01_-_Srila_Prabhupada/01_-_Lectures/01_-_English/02_-_Month_wise/07_-_July/21/Initiations_1975-07-21_IN-SAN%20FRANCISCO.MP3" TargetMode="External"/><Relationship Id="rId3560" Type="http://schemas.openxmlformats.org/officeDocument/2006/relationships/hyperlink" Target="https://audio.iskcondesiretree.com/01_-_Srila_Prabhupada/01_-_Lectures/01_-_English/02_-_Month_wise/07_-_July/20/MW_SF_1975-07-20_Life_from_Chemicals-Prove_by_Experiment.mp3" TargetMode="External"/><Relationship Id="rId4891" Type="http://schemas.openxmlformats.org/officeDocument/2006/relationships/hyperlink" Target="https://audio.iskcondesiretree.com/01_-_Srila_Prabhupada/01_-_Lectures/01_-_English/01_-_Topic_wise/Chaitanya_Charitamrita/Madhya_Lila/SP_CC_M_20-100_Washington-DC_1976-07-05_Material_Masters--You_Can%27t_Satisfy.mp3" TargetMode="External"/><Relationship Id="rId4890" Type="http://schemas.openxmlformats.org/officeDocument/2006/relationships/hyperlink" Target="https://audio.iskcondesiretree.com/01_-_Srila_Prabhupada/01_-_Lectures/01_-_English/02_-_Month_wise/07_-_July/04/Walk_1976-07-04_MW-WASHINGTON%20DC.MP3" TargetMode="External"/><Relationship Id="rId2230" Type="http://schemas.openxmlformats.org/officeDocument/2006/relationships/hyperlink" Target="https://audio.iskcondesiretree.com/01_-_Srila_Prabhupada/01_-_Lectures/01_-_English/02_-_Month_wise/07_-_July/01/Lect_MEL_1974-07-01_To_Students-Talking_to_a_Trashy_Audience.mp3" TargetMode="External"/><Relationship Id="rId3562" Type="http://schemas.openxmlformats.org/officeDocument/2006/relationships/hyperlink" Target="https://audio.iskcondesiretree.com/01_-_Srila_Prabhupada/01_-_Lectures/01_-_English/02_-_Month_wise/07_-_July/20/SB_6-01-39_SF_1975-07-20_Who_Is_Punishable.mp3" TargetMode="External"/><Relationship Id="rId4893" Type="http://schemas.openxmlformats.org/officeDocument/2006/relationships/hyperlink" Target="https://audio.iskcondesiretree.com/01_-_Srila_Prabhupada/01_-_Lectures/01_-_English/01_-_Topic_wise/Room_Conversation/SP_Room_Conversation_Washington_DC_1976-07-05_Prof--Righteous-Roguish.mp3" TargetMode="External"/><Relationship Id="rId2231" Type="http://schemas.openxmlformats.org/officeDocument/2006/relationships/hyperlink" Target="https://audio.iskcondesiretree.com/01_-_Srila_Prabhupada/01_-_Lectures/01_-_English/02_-_Month_wise/07_-_July/01/Lecture_1974-07-01_LE-MELBOURNE.MP3" TargetMode="External"/><Relationship Id="rId3561" Type="http://schemas.openxmlformats.org/officeDocument/2006/relationships/hyperlink" Target="https://audio.iskcondesiretree.com/01_-_Srila_Prabhupada/01_-_Lectures/01_-_English/02_-_Month_wise/07_-_July/20/SB-06-01-39_1975-07-20_SB-SAN%20FRANCISCO.MP3" TargetMode="External"/><Relationship Id="rId4892" Type="http://schemas.openxmlformats.org/officeDocument/2006/relationships/hyperlink" Target="https://audio.iskcondesiretree.com/01_-_Srila_Prabhupada/01_-_Lectures/01_-_English/01_-_Topic_wise/Morning_Walk/SP_Morning_Walk_-_Washington_DC_1976-07-05_Bengalis--Spoiled_by_Vivekananda.mp3" TargetMode="External"/><Relationship Id="rId2232" Type="http://schemas.openxmlformats.org/officeDocument/2006/relationships/hyperlink" Target="https://audio.iskcondesiretree.com/01_-_Srila_Prabhupada/01_-_Lectures/01_-_English/02_-_Month_wise/07_-_July/01/RC_MEL_1974-07-01_Bhurijana_and_Others-Cooking_Smoke_etc.mp3" TargetMode="External"/><Relationship Id="rId3564" Type="http://schemas.openxmlformats.org/officeDocument/2006/relationships/hyperlink" Target="https://audio.iskcondesiretree.com/01_-_Srila_Prabhupada/01_-_Lectures/01_-_English/01_-_Topic_wise/Morning_Walk/SP_Morning_Walk_-_San_Francisco_1975-07-21_Moon_Rocks_from_Arizona.mp3" TargetMode="External"/><Relationship Id="rId4895" Type="http://schemas.openxmlformats.org/officeDocument/2006/relationships/hyperlink" Target="https://audio.iskcondesiretree.com/01_-_Srila_Prabhupada/01_-_Lectures/01_-_English/02_-_Month_wise/07_-_July/05/CcMadhya-20-100_1976-07-05_CC-WASHINGTON%20DC.MP3" TargetMode="External"/><Relationship Id="rId2233" Type="http://schemas.openxmlformats.org/officeDocument/2006/relationships/hyperlink" Target="https://audio.iskcondesiretree.com/01_-_Srila_Prabhupada/01_-_Lectures/01_-_English/01_-_Topic_wise/Room_Conversation/SP_Room_Conversation_Melbourne_1974-07-02_Scientists--Scientist_Who_Made_Your_Brain.mp3" TargetMode="External"/><Relationship Id="rId3563" Type="http://schemas.openxmlformats.org/officeDocument/2006/relationships/hyperlink" Target="https://audio.iskcondesiretree.com/01_-_Srila_Prabhupada/01_-_Lectures/01_-_English/02_-_Month_wise/07_-_July/20/Walk_1975-07-20_MW-SAN%20FRANCISCO.MP3" TargetMode="External"/><Relationship Id="rId4894" Type="http://schemas.openxmlformats.org/officeDocument/2006/relationships/hyperlink" Target="https://audio.iskcondesiretree.com/01_-_Srila_Prabhupada/01_-_Lectures/01_-_English/02_-_Month_wise/07_-_July/05/Cc_M_20-100_WDC_1976-07-05_Material_Masters-You_Can%27t_Satisfy.mp3" TargetMode="External"/><Relationship Id="rId2234" Type="http://schemas.openxmlformats.org/officeDocument/2006/relationships/hyperlink" Target="https://audio.iskcondesiretree.com/01_-_Srila_Prabhupada/01_-_Lectures/01_-_English/01_-_Topic_wise/Room_Conversation/SP_Room_Conversation_Melbourne_1974-07-02_World_Wars_I_and_II--Caused_by--etc.mp3" TargetMode="External"/><Relationship Id="rId3566" Type="http://schemas.openxmlformats.org/officeDocument/2006/relationships/hyperlink" Target="https://audio.iskcondesiretree.com/01_-_Srila_Prabhupada/01_-_Lectures/01_-_English/01_-_Topic_wise/Srimad_Bhagavatam/Canto-06/SP_SB_6-01-40_San_Francisco_1975-07-21_God_Is_Krishna-Satan_Is_Maya.mp3" TargetMode="External"/><Relationship Id="rId4897" Type="http://schemas.openxmlformats.org/officeDocument/2006/relationships/hyperlink" Target="https://audio.iskcondesiretree.com/01_-_Srila_Prabhupada/01_-_Lectures/01_-_English/02_-_Month_wise/07_-_July/05/Conv_1976-07-05_R2-WASHINGTON%20DC.MP3" TargetMode="External"/><Relationship Id="rId2235" Type="http://schemas.openxmlformats.org/officeDocument/2006/relationships/hyperlink" Target="https://audio.iskcondesiretree.com/01_-_Srila_Prabhupada/01_-_Lectures/01_-_English/02_-_Month_wise/07_-_July/02/Bg-16-07%E2%80%9323_1974-07-02_R2-MELBOURNE.MP3" TargetMode="External"/><Relationship Id="rId3565" Type="http://schemas.openxmlformats.org/officeDocument/2006/relationships/hyperlink" Target="https://audio.iskcondesiretree.com/01_-_Srila_Prabhupada/01_-_Lectures/01_-_English/01_-_Topic_wise/Room_Conversation/SP_Room_Conversation_01_San_Francisco_1975-07-21.MP3" TargetMode="External"/><Relationship Id="rId4896" Type="http://schemas.openxmlformats.org/officeDocument/2006/relationships/hyperlink" Target="https://audio.iskcondesiretree.com/01_-_Srila_Prabhupada/01_-_Lectures/01_-_English/02_-_Month_wise/07_-_July/05/Conv_1976-07-05_R1-WASHINGTON%20DC.MP3" TargetMode="External"/><Relationship Id="rId2290" Type="http://schemas.openxmlformats.org/officeDocument/2006/relationships/hyperlink" Target="https://audio.iskcondesiretree.com/01_-_Srila_Prabhupada/01_-_Lectures/01_-_English/01_-_Topic_wise/Srimad_Bhagavatam/Canto-01/SP_SB_1-02-17_New_Vrindavan_1974-07-18.mp3" TargetMode="External"/><Relationship Id="rId2291" Type="http://schemas.openxmlformats.org/officeDocument/2006/relationships/hyperlink" Target="https://audio.iskcondesiretree.com/01_-_Srila_Prabhupada/01_-_Lectures/01_-_English/02_-_Month_wise/07_-_July/18/SB-01-02-17_1974-07-18_SB-NEW%20VRINDAVAN.MP3" TargetMode="External"/><Relationship Id="rId2292" Type="http://schemas.openxmlformats.org/officeDocument/2006/relationships/hyperlink" Target="https://audio.iskcondesiretree.com/01_-_Srila_Prabhupada/01_-_Lectures/01_-_English/01_-_Topic_wise/Srimad_Bhagavatam/Canto-01/SP_SB_1-02-18_New_Vrindavan_1974-07-19.mp3" TargetMode="External"/><Relationship Id="rId2293" Type="http://schemas.openxmlformats.org/officeDocument/2006/relationships/hyperlink" Target="https://audio.iskcondesiretree.com/01_-_Srila_Prabhupada/01_-_Lectures/01_-_English/02_-_Month_wise/07_-_July/19/SB-01-02-18_1974-07-19_SB-NEW%20VRINDAVAN.MP3" TargetMode="External"/><Relationship Id="rId2294" Type="http://schemas.openxmlformats.org/officeDocument/2006/relationships/hyperlink" Target="https://audio.iskcondesiretree.com/01_-_Srila_Prabhupada/01_-_Lectures/01_-_English/01_-_Topic_wise/Srimad_Bhagavatam/Canto-01/SP_SB_1-02-19_New_Vrindavan_1974-07-21.mp3" TargetMode="External"/><Relationship Id="rId2295" Type="http://schemas.openxmlformats.org/officeDocument/2006/relationships/hyperlink" Target="https://audio.iskcondesiretree.com/01_-_Srila_Prabhupada/01_-_Lectures/01_-_English/02_-_Month_wise/07_-_July/21/SB-01-02-19_1974-07-21_SB-NEW%20VRINDAVAN.MP3" TargetMode="External"/><Relationship Id="rId2296" Type="http://schemas.openxmlformats.org/officeDocument/2006/relationships/hyperlink" Target="https://audio.iskcondesiretree.com/01_-_Srila_Prabhupada/01_-_Lectures/01_-_English/01_-_Topic_wise/Srimad_Bhagavatam/Canto-01/SP_SB_1-02-20_New_York_1974-07-24.mp3" TargetMode="External"/><Relationship Id="rId2297" Type="http://schemas.openxmlformats.org/officeDocument/2006/relationships/hyperlink" Target="https://audio.iskcondesiretree.com/01_-_Srila_Prabhupada/01_-_Lectures/01_-_English/02_-_Month_wise/07_-_July/24/SB-01-02-20_1974-07-24_SB-NEW%20YORK.MP3" TargetMode="External"/><Relationship Id="rId2298" Type="http://schemas.openxmlformats.org/officeDocument/2006/relationships/hyperlink" Target="https://audio.iskcondesiretree.com/01_-_Srila_Prabhupada/01_-_Lectures/01_-_English/01_-_Topic_wise/Departure_Address/SP_Departure_Address_1974-07-25_New_York.mp3" TargetMode="External"/><Relationship Id="rId2299" Type="http://schemas.openxmlformats.org/officeDocument/2006/relationships/hyperlink" Target="https://audio.iskcondesiretree.com/01_-_Srila_Prabhupada/01_-_Lectures/01_-_English/02_-_Month_wise/07_-_July/25/Departure_1974-07-25_DP-NEW%20YORK.MP3" TargetMode="External"/><Relationship Id="rId4901" Type="http://schemas.openxmlformats.org/officeDocument/2006/relationships/hyperlink" Target="https://audio.iskcondesiretree.com/01_-_Srila_Prabhupada/01_-_Lectures/01_-_English/02_-_Month_wise/07_-_July/05/RC_WDC_1976-07-05_Prof-Righteous-Roguish.mp3" TargetMode="External"/><Relationship Id="rId4900" Type="http://schemas.openxmlformats.org/officeDocument/2006/relationships/hyperlink" Target="https://audio.iskcondesiretree.com/01_-_Srila_Prabhupada/01_-_Lectures/01_-_English/02_-_Month_wise/07_-_July/05/MW_WDC_1976-07-05_Bengalis--Spoiled_by_Vivekananda.mp3" TargetMode="External"/><Relationship Id="rId4903" Type="http://schemas.openxmlformats.org/officeDocument/2006/relationships/hyperlink" Target="https://audio.iskcondesiretree.com/01_-_Srila_Prabhupada/01_-_Lectures/01_-_English/01_-_Topic_wise/Room_Conversation/SP_Room_Conversation_Washington_DC_1976-07-06_Svarupa_Damodar--Matter_and_the_Glance_of_God.mp3" TargetMode="External"/><Relationship Id="rId4902" Type="http://schemas.openxmlformats.org/officeDocument/2006/relationships/hyperlink" Target="https://audio.iskcondesiretree.com/01_-_Srila_Prabhupada/01_-_Lectures/01_-_English/02_-_Month_wise/07_-_July/05/Walk_1976-07-05_MW-WASHINGTON%20DC.MP3" TargetMode="External"/><Relationship Id="rId4905" Type="http://schemas.openxmlformats.org/officeDocument/2006/relationships/hyperlink" Target="https://audio.iskcondesiretree.com/01_-_Srila_Prabhupada/01_-_Lectures/01_-_English/02_-_Month_wise/07_-_July/06/Address_1976-07-06_AD-WASHINGTON%20DC.MP3" TargetMode="External"/><Relationship Id="rId4904" Type="http://schemas.openxmlformats.org/officeDocument/2006/relationships/hyperlink" Target="https://audio.iskcondesiretree.com/01_-_Srila_Prabhupada/01_-_Lectures/01_-_English/01_-_Topic_wise/Various/SP_Lecture_Washington_DC_1976-07-06_At_10th_Anniversary_of_ISKCON--etc.mp3" TargetMode="External"/><Relationship Id="rId4907" Type="http://schemas.openxmlformats.org/officeDocument/2006/relationships/hyperlink" Target="https://audio.iskcondesiretree.com/01_-_Srila_Prabhupada/01_-_Lectures/01_-_English/02_-_Month_wise/07_-_July/06/Conv_1976-07-06_R1-WASHINGTON%20DC.MP3" TargetMode="External"/><Relationship Id="rId4906" Type="http://schemas.openxmlformats.org/officeDocument/2006/relationships/hyperlink" Target="https://audio.iskcondesiretree.com/01_-_Srila_Prabhupada/01_-_Lectures/01_-_English/02_-_Month_wise/07_-_July/06/CcMadhya-20-101_1976-07-06_CC-WASHINGTON%20DC.MP3" TargetMode="External"/><Relationship Id="rId4909" Type="http://schemas.openxmlformats.org/officeDocument/2006/relationships/hyperlink" Target="https://audio.iskcondesiretree.com/01_-_Srila_Prabhupada/01_-_Lectures/01_-_English/02_-_Month_wise/07_-_July/06/Conv_1976-07-06_R3-WASHINGTON%20DC.MP3" TargetMode="External"/><Relationship Id="rId4908" Type="http://schemas.openxmlformats.org/officeDocument/2006/relationships/hyperlink" Target="https://audio.iskcondesiretree.com/01_-_Srila_Prabhupada/01_-_Lectures/01_-_English/02_-_Month_wise/07_-_July/06/Conv_1976-07-06_R2-WASHINGTON%20DC.MP3" TargetMode="External"/><Relationship Id="rId2302" Type="http://schemas.openxmlformats.org/officeDocument/2006/relationships/hyperlink" Target="https://audio.iskcondesiretree.com/01_-_Srila_Prabhupada/01_-_Lectures/01_-_English/02_-_Month_wise/08_-_August/02/Bg_04-10_VRN_1974-08-02_No_Question_of_Happiness_Here.mp3" TargetMode="External"/><Relationship Id="rId3634" Type="http://schemas.openxmlformats.org/officeDocument/2006/relationships/hyperlink" Target="https://audio.iskcondesiretree.com/01_-_Srila_Prabhupada/01_-_Lectures/01_-_English/02_-_Month_wise/08_-_August/03/SB-06-01-50_1975-08-03_SB-DETROIT.MP3" TargetMode="External"/><Relationship Id="rId4965" Type="http://schemas.openxmlformats.org/officeDocument/2006/relationships/hyperlink" Target="https://audio.iskcondesiretree.com/01_-_Srila_Prabhupada/01_-_Lectures/01_-_English/02_-_Month_wise/07_-_July/13/RC_NY_1976-07-13_Love-Perverted_or_Pure.mp3" TargetMode="External"/><Relationship Id="rId2303" Type="http://schemas.openxmlformats.org/officeDocument/2006/relationships/hyperlink" Target="https://audio.iskcondesiretree.com/01_-_Srila_Prabhupada/01_-_Lectures/01_-_English/01_-_Topic_wise/Bhagavad_Gita/Chapter-04/SP_BG_04-11_Vrindavan_1974-08-03_This_Skin%3DSuffering_This--etc.mp3" TargetMode="External"/><Relationship Id="rId3633" Type="http://schemas.openxmlformats.org/officeDocument/2006/relationships/hyperlink" Target="https://audio.iskcondesiretree.com/01_-_Srila_Prabhupada/01_-_Lectures/01_-_English/02_-_Month_wise/08_-_August/03/SB-01-02-09_1975-08-03_S2-DETROIT.MP3" TargetMode="External"/><Relationship Id="rId4964" Type="http://schemas.openxmlformats.org/officeDocument/2006/relationships/hyperlink" Target="https://audio.iskcondesiretree.com/01_-_Srila_Prabhupada/01_-_Lectures/01_-_English/02_-_Month_wise/07_-_July/13/Darshan_1976-07-13_ED-NEW%20YORK.MP3" TargetMode="External"/><Relationship Id="rId2304" Type="http://schemas.openxmlformats.org/officeDocument/2006/relationships/hyperlink" Target="https://audio.iskcondesiretree.com/01_-_Srila_Prabhupada/01_-_Lectures/01_-_English/01_-_Topic_wise/Srimad_Bhagavatam/Canto-01/SP_SB_1-05-22_Vrindavan_1974-08-03_Show_Your_Knowledge%27s_Origin.mp3" TargetMode="External"/><Relationship Id="rId3636" Type="http://schemas.openxmlformats.org/officeDocument/2006/relationships/hyperlink" Target="https://audio.iskcondesiretree.com/01_-_Srila_Prabhupada/01_-_Lectures/01_-_English/01_-_Topic_wise/Morning_Walk/SP_Morning_Walk_-_Detroit_1975-08-04.MP3" TargetMode="External"/><Relationship Id="rId4967" Type="http://schemas.openxmlformats.org/officeDocument/2006/relationships/hyperlink" Target="https://audio.iskcondesiretree.com/01_-_Srila_Prabhupada/01_-_Lectures/01_-_English/01_-_Topic_wise/Interview/SP_Interview_New_York_1976-07-14_Press--Newsday_Magazine--In_Any_Language.mp3" TargetMode="External"/><Relationship Id="rId2305" Type="http://schemas.openxmlformats.org/officeDocument/2006/relationships/hyperlink" Target="https://audio.iskcondesiretree.com/01_-_Srila_Prabhupada/01_-_Lectures/01_-_English/02_-_Month_wise/08_-_August/03/Bg-04-11_1974-08-03_BG-VRNDAVAN.MP3" TargetMode="External"/><Relationship Id="rId3635" Type="http://schemas.openxmlformats.org/officeDocument/2006/relationships/hyperlink" Target="https://audio.iskcondesiretree.com/01_-_Srila_Prabhupada/01_-_Lectures/01_-_English/02_-_Month_wise/08_-_August/03/SB_6-01-50_DET_1975-08-03_Live_Happily_and_Go_Back.mp3" TargetMode="External"/><Relationship Id="rId4966" Type="http://schemas.openxmlformats.org/officeDocument/2006/relationships/hyperlink" Target="https://audio.iskcondesiretree.com/01_-_Srila_Prabhupada/01_-_Lectures/01_-_English/02_-_Month_wise/07_-_July/13/Walk_1976-07-13_MW-NEW%20YORK.MP3" TargetMode="External"/><Relationship Id="rId2306" Type="http://schemas.openxmlformats.org/officeDocument/2006/relationships/hyperlink" Target="https://audio.iskcondesiretree.com/01_-_Srila_Prabhupada/01_-_Lectures/01_-_English/02_-_Month_wise/08_-_August/03/Bg_04-11_VRN_1974-08-03_This_Skin_Suffering_This_etc.mp3" TargetMode="External"/><Relationship Id="rId3638" Type="http://schemas.openxmlformats.org/officeDocument/2006/relationships/hyperlink" Target="https://audio.iskcondesiretree.com/01_-_Srila_Prabhupada/01_-_Lectures/01_-_English/02_-_Month_wise/04_-_April/SB-06-01-51_1975-08-04_SB-DETROIT.MP3" TargetMode="External"/><Relationship Id="rId4969" Type="http://schemas.openxmlformats.org/officeDocument/2006/relationships/hyperlink" Target="https://audio.iskcondesiretree.com/01_-_Srila_Prabhupada/01_-_Lectures/01_-_English/02_-_Month_wise/07_-_July/14/Conv_1976-07-14_R1-NEW%20YORK.MP3" TargetMode="External"/><Relationship Id="rId2307" Type="http://schemas.openxmlformats.org/officeDocument/2006/relationships/hyperlink" Target="https://audio.iskcondesiretree.com/01_-_Srila_Prabhupada/01_-_Lectures/01_-_English/02_-_Month_wise/08_-_August/03/SB-01-05-22_1974-08-03_SB-VRNDAVAN.MP3" TargetMode="External"/><Relationship Id="rId3637" Type="http://schemas.openxmlformats.org/officeDocument/2006/relationships/hyperlink" Target="https://audio.iskcondesiretree.com/01_-_Srila_Prabhupada/01_-_Lectures/01_-_English/01_-_Topic_wise/Srimad_Bhagavatam/Canto-06/SP_SB_6-01-51_Detroit_1975-08-04_All_Wrapped_Up_in_Matter.mp3" TargetMode="External"/><Relationship Id="rId4968" Type="http://schemas.openxmlformats.org/officeDocument/2006/relationships/hyperlink" Target="https://audio.iskcondesiretree.com/01_-_Srila_Prabhupada/01_-_Lectures/01_-_English/01_-_Topic_wise/Interview/SP_Interview_New_York_1976-07-14_Press--Newsweek_Magazine--Are--etc.mp3" TargetMode="External"/><Relationship Id="rId2308" Type="http://schemas.openxmlformats.org/officeDocument/2006/relationships/hyperlink" Target="https://audio.iskcondesiretree.com/01_-_Srila_Prabhupada/01_-_Lectures/01_-_English/02_-_Month_wise/08_-_August/03/SB_1-05-22_VRN_1974-08-03_Show_Your_Knowledge%27s_Origin.mp3" TargetMode="External"/><Relationship Id="rId2309" Type="http://schemas.openxmlformats.org/officeDocument/2006/relationships/hyperlink" Target="https://audio.iskcondesiretree.com/01_-_Srila_Prabhupada/01_-_Lectures/01_-_English/01_-_Topic_wise/Bhagavad_Gita/Chapter-04/SP_BG_04-12_Vrindavan_1974-08-04_Big_Ambition-Little_Brain.mp3" TargetMode="External"/><Relationship Id="rId3639" Type="http://schemas.openxmlformats.org/officeDocument/2006/relationships/hyperlink" Target="https://audio.iskcondesiretree.com/01_-_Srila_Prabhupada/01_-_Lectures/01_-_English/02_-_Month_wise/04_-_April/Walk_1975-08-04_MW-DETROIT.MP3" TargetMode="External"/><Relationship Id="rId3630" Type="http://schemas.openxmlformats.org/officeDocument/2006/relationships/hyperlink" Target="https://audio.iskcondesiretree.com/01_-_Srila_Prabhupada/01_-_Lectures/01_-_English/01_-_Topic_wise/Srimad_Bhagavatam/Canto-06/SP_SB_6-01-50_Detroit_1975-08-03_Live_Happily_and_Go_Back.mp3" TargetMode="External"/><Relationship Id="rId4961" Type="http://schemas.openxmlformats.org/officeDocument/2006/relationships/hyperlink" Target="https://audio.iskcondesiretree.com/01_-_Srila_Prabhupada/01_-_Lectures/01_-_English/01_-_Topic_wise/Room_Conversation/SP_Room_Conversation_New_York_1976-07-13_Love--Perverted_or_Pure.mp3" TargetMode="External"/><Relationship Id="rId4960" Type="http://schemas.openxmlformats.org/officeDocument/2006/relationships/hyperlink" Target="https://audio.iskcondesiretree.com/01_-_Srila_Prabhupada/01_-_Lectures/01_-_English/01_-_Topic_wise/Chaitanya_Charitamrita/Madhya_Lila/SP_CC_M_20-107_New_York_1976-07-13_Well-Placed_Greed.mp3" TargetMode="External"/><Relationship Id="rId2300" Type="http://schemas.openxmlformats.org/officeDocument/2006/relationships/hyperlink" Target="https://audio.iskcondesiretree.com/01_-_Srila_Prabhupada/01_-_Lectures/01_-_English/01_-_Topic_wise/Bhagavad_Gita/Chapter-04/SP_BG_04-10_Vrindavan_1974-08-02_No_Question_of_Happiness_Here.mp3" TargetMode="External"/><Relationship Id="rId3632" Type="http://schemas.openxmlformats.org/officeDocument/2006/relationships/hyperlink" Target="https://audio.iskcondesiretree.com/01_-_Srila_Prabhupada/01_-_Lectures/01_-_English/02_-_Month_wise/08_-_August/03/Conv_1975-08-03_CC-DETROIT.MP3" TargetMode="External"/><Relationship Id="rId4963" Type="http://schemas.openxmlformats.org/officeDocument/2006/relationships/hyperlink" Target="https://audio.iskcondesiretree.com/01_-_Srila_Prabhupada/01_-_Lectures/01_-_English/02_-_Month_wise/07_-_July/13/CcMadhya-20-107_1976-07-13_CC-NEW%20YORK.MP3" TargetMode="External"/><Relationship Id="rId2301" Type="http://schemas.openxmlformats.org/officeDocument/2006/relationships/hyperlink" Target="https://audio.iskcondesiretree.com/01_-_Srila_Prabhupada/01_-_Lectures/01_-_English/02_-_Month_wise/08_-_August/02/Bg-04-10_1974-08-02_BG-VRNDAVAN.MP3" TargetMode="External"/><Relationship Id="rId3631" Type="http://schemas.openxmlformats.org/officeDocument/2006/relationships/hyperlink" Target="https://audio.iskcondesiretree.com/01_-_Srila_Prabhupada/01_-_Lectures/01_-_English/01_-_Topic_wise/Various/SP_Car_Conversation_Detroit_1975-08-03.MP3" TargetMode="External"/><Relationship Id="rId4962" Type="http://schemas.openxmlformats.org/officeDocument/2006/relationships/hyperlink" Target="https://audio.iskcondesiretree.com/01_-_Srila_Prabhupada/01_-_Lectures/01_-_English/02_-_Month_wise/07_-_July/13/Cc_M_20-107_NY_1976-07-13_Well-Placed_Greed.mp3" TargetMode="External"/><Relationship Id="rId3623" Type="http://schemas.openxmlformats.org/officeDocument/2006/relationships/hyperlink" Target="https://audio.iskcondesiretree.com/01_-_Srila_Prabhupada/01_-_Lectures/01_-_English/02_-_Month_wise/08_-_August/01/Conv_1975-08-01_R1-NEW%20ORLEANS.MP3" TargetMode="External"/><Relationship Id="rId4954" Type="http://schemas.openxmlformats.org/officeDocument/2006/relationships/hyperlink" Target="https://audio.iskcondesiretree.com/01_-_Srila_Prabhupada/01_-_Lectures/01_-_English/02_-_Month_wise/07_-_July/11/Walk_1976-07-11_MW-NEW%20YORK.MP3" TargetMode="External"/><Relationship Id="rId3622" Type="http://schemas.openxmlformats.org/officeDocument/2006/relationships/hyperlink" Target="https://audio.iskcondesiretree.com/01_-_Srila_Prabhupada/01_-_Lectures/01_-_English/01_-_Topic_wise/Various/SP_Lecture_New_Orleans_1975-08-01_Walk_Around_Farm.MP3" TargetMode="External"/><Relationship Id="rId4953" Type="http://schemas.openxmlformats.org/officeDocument/2006/relationships/hyperlink" Target="https://audio.iskcondesiretree.com/01_-_Srila_Prabhupada/01_-_Lectures/01_-_English/02_-_Month_wise/07_-_July/11/RC_NY_1976-07-11_Christ-Our_Guru.mp3" TargetMode="External"/><Relationship Id="rId3625" Type="http://schemas.openxmlformats.org/officeDocument/2006/relationships/hyperlink" Target="https://audio.iskcondesiretree.com/01_-_Srila_Prabhupada/01_-_Lectures/01_-_English/02_-_Month_wise/08_-_August/01/SB_6-01-49_NO_1975-08-01_Take_Advantage_of_the_Sastra.mp3" TargetMode="External"/><Relationship Id="rId4956" Type="http://schemas.openxmlformats.org/officeDocument/2006/relationships/hyperlink" Target="https://audio.iskcondesiretree.com/01_-_Srila_Prabhupada/01_-_Lectures/01_-_English/02_-_Month_wise/07_-_July/12/Bg-play_1976-07-12_BG-NEW%20YORK.MP3" TargetMode="External"/><Relationship Id="rId3624" Type="http://schemas.openxmlformats.org/officeDocument/2006/relationships/hyperlink" Target="https://audio.iskcondesiretree.com/01_-_Srila_Prabhupada/01_-_Lectures/01_-_English/02_-_Month_wise/08_-_August/01/SB-06-01-49_1975-08-01_SB-NEW%20ORLEANS.MP3" TargetMode="External"/><Relationship Id="rId4955" Type="http://schemas.openxmlformats.org/officeDocument/2006/relationships/hyperlink" Target="https://audio.iskcondesiretree.com/01_-_Srila_Prabhupada/01_-_Lectures/01_-_English/01_-_Topic_wise/Chaitanya_Charitamrita/Madhya_Lila/SP_CC_M_20-106_New_York_1976-07-12_Occupational_Duty_of_the_Soul.mp3" TargetMode="External"/><Relationship Id="rId3627" Type="http://schemas.openxmlformats.org/officeDocument/2006/relationships/hyperlink" Target="https://audio.iskcondesiretree.com/01_-_Srila_Prabhupada/01_-_Lectures/01_-_English/01_-_Topic_wise/Srimad_Bhagavatam/Canto-01/SP_SB_1-02-09_Detroit_1975-08-02_Can_Sugar_Not_be_Sweet.mp3" TargetMode="External"/><Relationship Id="rId4958" Type="http://schemas.openxmlformats.org/officeDocument/2006/relationships/hyperlink" Target="https://audio.iskcondesiretree.com/01_-_Srila_Prabhupada/01_-_Lectures/01_-_English/02_-_Month_wise/07_-_July/12/CcMadhya-20-106_1976-07-12_CC-NEW%20YORK.MP3" TargetMode="External"/><Relationship Id="rId3626" Type="http://schemas.openxmlformats.org/officeDocument/2006/relationships/hyperlink" Target="https://audio.iskcondesiretree.com/01_-_Srila_Prabhupada/01_-_Lectures/01_-_English/02_-_Month_wise/08_-_August/01/Walk_1975-08-01_MF-NEW%20ORLEANS.MP3" TargetMode="External"/><Relationship Id="rId4957" Type="http://schemas.openxmlformats.org/officeDocument/2006/relationships/hyperlink" Target="https://audio.iskcondesiretree.com/01_-_Srila_Prabhupada/01_-_Lectures/01_-_English/02_-_Month_wise/07_-_July/12/Cc_M_20-106_NY_1976-07-12_Occupational_Duty_of_the_Soul.mp3" TargetMode="External"/><Relationship Id="rId3629" Type="http://schemas.openxmlformats.org/officeDocument/2006/relationships/hyperlink" Target="https://audio.iskcondesiretree.com/01_-_Srila_Prabhupada/01_-_Lectures/01_-_English/01_-_Topic_wise/Srimad_Bhagavatam/Canto-01/SP_SB_1-2-9_Detroit_1975-08-03_University_Lecture.MP3" TargetMode="External"/><Relationship Id="rId3628" Type="http://schemas.openxmlformats.org/officeDocument/2006/relationships/hyperlink" Target="https://audio.iskcondesiretree.com/01_-_Srila_Prabhupada/01_-_Lectures/01_-_English/02_-_Month_wise/08_-_August/02/SB_1-02-09_DET_1975-08-02_Can_Sugar_Not_be_Sweet.mp3" TargetMode="External"/><Relationship Id="rId4959" Type="http://schemas.openxmlformats.org/officeDocument/2006/relationships/hyperlink" Target="https://audio.iskcondesiretree.com/01_-_Srila_Prabhupada/01_-_Lectures/01_-_English/02_-_Month_wise/07_-_July/12/Walk_1976-07-12_MW-NEW%20YORK.MP3" TargetMode="External"/><Relationship Id="rId4950" Type="http://schemas.openxmlformats.org/officeDocument/2006/relationships/hyperlink" Target="https://audio.iskcondesiretree.com/01_-_Srila_Prabhupada/01_-_Lectures/01_-_English/02_-_Month_wise/07_-_July/11/Darshan_1976-07-11_ED-NEW%20YORK.MP3" TargetMode="External"/><Relationship Id="rId3621" Type="http://schemas.openxmlformats.org/officeDocument/2006/relationships/hyperlink" Target="https://audio.iskcondesiretree.com/01_-_Srila_Prabhupada/01_-_Lectures/01_-_English/01_-_Topic_wise/Srimad_Bhagavatam/Canto-06/SP_SB_6-01-49_New_Orleans_1975-08-01_Take_Advantage_of_the_Sastra.mp3" TargetMode="External"/><Relationship Id="rId4952" Type="http://schemas.openxmlformats.org/officeDocument/2006/relationships/hyperlink" Target="https://audio.iskcondesiretree.com/01_-_Srila_Prabhupada/01_-_Lectures/01_-_English/02_-_Month_wise/07_-_July/11/RC_NY_1976-07-11_Can_God_Directly_Talk_to_Man.mp3" TargetMode="External"/><Relationship Id="rId3620" Type="http://schemas.openxmlformats.org/officeDocument/2006/relationships/hyperlink" Target="https://audio.iskcondesiretree.com/01_-_Srila_Prabhupada/01_-_Lectures/01_-_English/01_-_Topic_wise/Room_Conversation/SP_Room_Conversation_01_New_Orleans_1975-08-01.MP3" TargetMode="External"/><Relationship Id="rId4951" Type="http://schemas.openxmlformats.org/officeDocument/2006/relationships/hyperlink" Target="https://audio.iskcondesiretree.com/01_-_Srila_Prabhupada/01_-_Lectures/01_-_English/02_-_Month_wise/07_-_July/11/RC_NY_1976-07-11_Animal_Killers_Will_Never_Understand_God.mp3" TargetMode="External"/><Relationship Id="rId2324" Type="http://schemas.openxmlformats.org/officeDocument/2006/relationships/hyperlink" Target="https://audio.iskcondesiretree.com/01_-_Srila_Prabhupada/01_-_Lectures/01_-_English/02_-_Month_wise/08_-_August/06/Bg-04-14_1974-08-06_BG-VRNDAVAN.MP3" TargetMode="External"/><Relationship Id="rId3656" Type="http://schemas.openxmlformats.org/officeDocument/2006/relationships/hyperlink" Target="https://audio.iskcondesiretree.com/01_-_Srila_Prabhupada/01_-_Lectures/01_-_English/02_-_Month_wise/08_-_August/11/Arrival_1975-08-11_AR-PARIS.MP3" TargetMode="External"/><Relationship Id="rId4987" Type="http://schemas.openxmlformats.org/officeDocument/2006/relationships/hyperlink" Target="https://audio.iskcondesiretree.com/01_-_Srila_Prabhupada/01_-_Lectures/01_-_English/02_-_Month_wise/07_-_July/17/Cc_M_20-110_NY_1976-07-17_See_Illumination_of_God.mp3" TargetMode="External"/><Relationship Id="rId2325" Type="http://schemas.openxmlformats.org/officeDocument/2006/relationships/hyperlink" Target="https://audio.iskcondesiretree.com/01_-_Srila_Prabhupada/01_-_Lectures/01_-_English/02_-_Month_wise/08_-_August/06/Bg_04-14_VRN_1974-08-06_Who_Can_Understand_Krishna.mp3" TargetMode="External"/><Relationship Id="rId3655" Type="http://schemas.openxmlformats.org/officeDocument/2006/relationships/hyperlink" Target="https://audio.iskcondesiretree.com/01_-_Srila_Prabhupada/01_-_Lectures/01_-_English/02_-_Month_wise/08_-_August/11/Arr_PAR_1975-08-11_Where_Are_Your_Liberty-Equality-Fraternity.mp3" TargetMode="External"/><Relationship Id="rId4986" Type="http://schemas.openxmlformats.org/officeDocument/2006/relationships/hyperlink" Target="https://audio.iskcondesiretree.com/01_-_Srila_Prabhupada/01_-_Lectures/01_-_English/01_-_Topic_wise/Room_Conversation/SP_Room_Conversation_New_York_1976-07-17_Krishna_Supreme_or_Second-Best.mp3" TargetMode="External"/><Relationship Id="rId2326" Type="http://schemas.openxmlformats.org/officeDocument/2006/relationships/hyperlink" Target="https://audio.iskcondesiretree.com/01_-_Srila_Prabhupada/01_-_Lectures/01_-_English/02_-_Month_wise/08_-_August/06/SB-01-05-25_1974-08-06_SB-VRNDAVAN.MP3" TargetMode="External"/><Relationship Id="rId3658" Type="http://schemas.openxmlformats.org/officeDocument/2006/relationships/hyperlink" Target="https://audio.iskcondesiretree.com/01_-_Srila_Prabhupada/01_-_Lectures/01_-_English/02_-_Month_wise/08_-_August/11/SB-06-01-55_1975-08-11_SB-PARIS.MP3" TargetMode="External"/><Relationship Id="rId4989" Type="http://schemas.openxmlformats.org/officeDocument/2006/relationships/hyperlink" Target="https://audio.iskcondesiretree.com/01_-_Srila_Prabhupada/01_-_Lectures/01_-_English/02_-_Month_wise/07_-_July/17/Conv_1976-07-17_R1-NEW%20YORK.MP3" TargetMode="External"/><Relationship Id="rId2327" Type="http://schemas.openxmlformats.org/officeDocument/2006/relationships/hyperlink" Target="https://audio.iskcondesiretree.com/01_-_Srila_Prabhupada/01_-_Lectures/01_-_English/02_-_Month_wise/08_-_August/06/SB_1-05-25_VRN_1974-08-06_Self_Attraction-Dirty_or_Divine.mp3" TargetMode="External"/><Relationship Id="rId3657" Type="http://schemas.openxmlformats.org/officeDocument/2006/relationships/hyperlink" Target="https://audio.iskcondesiretree.com/01_-_Srila_Prabhupada/01_-_Lectures/01_-_English/02_-_Month_wise/08_-_August/11/Dictation-SB-06-12-24-35_1975-08-11_DT-PARIS.MP3" TargetMode="External"/><Relationship Id="rId4988" Type="http://schemas.openxmlformats.org/officeDocument/2006/relationships/hyperlink" Target="https://audio.iskcondesiretree.com/01_-_Srila_Prabhupada/01_-_Lectures/01_-_English/02_-_Month_wise/07_-_July/17/CcMadhya-20-110_1976-07-17_CC-NEW%20YORK.MP3" TargetMode="External"/><Relationship Id="rId2328" Type="http://schemas.openxmlformats.org/officeDocument/2006/relationships/hyperlink" Target="https://audio.iskcondesiretree.com/01_-_Srila_Prabhupada/01_-_Lectures/01_-_English/01_-_Topic_wise/Bhagavad_Gita/Chapter-07/SP_BG_07-03_Vrindavan_1974-08-09_Abominable_Ananda.mp3" TargetMode="External"/><Relationship Id="rId2329" Type="http://schemas.openxmlformats.org/officeDocument/2006/relationships/hyperlink" Target="https://audio.iskcondesiretree.com/01_-_Srila_Prabhupada/01_-_Lectures/01_-_English/01_-_Topic_wise/Srimad_Bhagavatam/Canto-01/SP_SB_1-05-28_Vrindavan_1974-08-09_Secret_of_Supreme_Satisfaction.mp3" TargetMode="External"/><Relationship Id="rId3659" Type="http://schemas.openxmlformats.org/officeDocument/2006/relationships/hyperlink" Target="https://audio.iskcondesiretree.com/01_-_Srila_Prabhupada/01_-_Lectures/01_-_English/02_-_Month_wise/08_-_August/11/SB_6-01-55_PAR_1975-08-11_Dangerous_Yogis.mp3" TargetMode="External"/><Relationship Id="rId3650" Type="http://schemas.openxmlformats.org/officeDocument/2006/relationships/hyperlink" Target="https://audio.iskcondesiretree.com/01_-_Srila_Prabhupada/01_-_Lectures/01_-_English/02_-_Month_wise/08_-_August/07/MW_TOR_1975-08-07_Dog_by_Action-Human_by_Law.mp3" TargetMode="External"/><Relationship Id="rId4981" Type="http://schemas.openxmlformats.org/officeDocument/2006/relationships/hyperlink" Target="https://audio.iskcondesiretree.com/01_-_Srila_Prabhupada/01_-_Lectures/01_-_English/02_-_Month_wise/07_-_July/16/Interv_NY_1976-07-16_Press-Associated_Press_The_etc.mp3" TargetMode="External"/><Relationship Id="rId4980" Type="http://schemas.openxmlformats.org/officeDocument/2006/relationships/hyperlink" Target="https://audio.iskcondesiretree.com/01_-_Srila_Prabhupada/01_-_Lectures/01_-_English/02_-_Month_wise/07_-_July/16/Conv_1976-07-16_R1-NEW%20YORK.MP3" TargetMode="External"/><Relationship Id="rId2320" Type="http://schemas.openxmlformats.org/officeDocument/2006/relationships/hyperlink" Target="https://audio.iskcondesiretree.com/01_-_Srila_Prabhupada/01_-_Lectures/01_-_English/02_-_Month_wise/08_-_August/05/SB-01-05-24_1974-08-05_SB-VRNDAVAN.MP3" TargetMode="External"/><Relationship Id="rId3652" Type="http://schemas.openxmlformats.org/officeDocument/2006/relationships/hyperlink" Target="https://audio.iskcondesiretree.com/01_-_Srila_Prabhupada/01_-_Lectures/01_-_English/01_-_Topic_wise/Arrival_Address/SP_Arrival_Paris_1975-08-11_Where_Are_Your_Liberty-Equality-Fraternity.mp3" TargetMode="External"/><Relationship Id="rId4983" Type="http://schemas.openxmlformats.org/officeDocument/2006/relationships/hyperlink" Target="https://audio.iskcondesiretree.com/01_-_Srila_Prabhupada/01_-_Lectures/01_-_English/02_-_Month_wise/07_-_July/16/Lecture_1976-07-16_LE-PORT%20ROYAL.MP3" TargetMode="External"/><Relationship Id="rId2321" Type="http://schemas.openxmlformats.org/officeDocument/2006/relationships/hyperlink" Target="https://audio.iskcondesiretree.com/01_-_Srila_Prabhupada/01_-_Lectures/01_-_English/02_-_Month_wise/08_-_August/05/SB_1-05-24_VRN_1974-08-05_Great_Devotee-Great_Discipline.mp3" TargetMode="External"/><Relationship Id="rId3651" Type="http://schemas.openxmlformats.org/officeDocument/2006/relationships/hyperlink" Target="https://audio.iskcondesiretree.com/01_-_Srila_Prabhupada/01_-_Lectures/01_-_English/02_-_Month_wise/08_-_August/07/Walk_1975-08-07_MW-TORONTO.MP3" TargetMode="External"/><Relationship Id="rId4982" Type="http://schemas.openxmlformats.org/officeDocument/2006/relationships/hyperlink" Target="https://audio.iskcondesiretree.com/01_-_Srila_Prabhupada/01_-_Lectures/01_-_English/02_-_Month_wise/07_-_July/16/Interview_1976-07-16_IV-NEW%20YORK.MP3" TargetMode="External"/><Relationship Id="rId2322" Type="http://schemas.openxmlformats.org/officeDocument/2006/relationships/hyperlink" Target="https://audio.iskcondesiretree.com/01_-_Srila_Prabhupada/01_-_Lectures/01_-_English/01_-_Topic_wise/Bhagavad_Gita/Chapter-04/SP_BG_04-14_Vrindavan_1974-08-06_Who_Can_Understand_Krishna.mp3" TargetMode="External"/><Relationship Id="rId3654" Type="http://schemas.openxmlformats.org/officeDocument/2006/relationships/hyperlink" Target="https://audio.iskcondesiretree.com/01_-_Srila_Prabhupada/01_-_Lectures/01_-_English/01_-_Topic_wise/Srimad_Bhagavatam/Canto-06/SP_SB_6-12-24-35_Paris_1975-08-11.MP3" TargetMode="External"/><Relationship Id="rId4985" Type="http://schemas.openxmlformats.org/officeDocument/2006/relationships/hyperlink" Target="https://audio.iskcondesiretree.com/01_-_Srila_Prabhupada/01_-_Lectures/01_-_English/01_-_Topic_wise/Interview/SP_Interview_New_York_1976-07-17_Trans_India_Magazine--Life%2C--etc.mp3" TargetMode="External"/><Relationship Id="rId2323" Type="http://schemas.openxmlformats.org/officeDocument/2006/relationships/hyperlink" Target="https://audio.iskcondesiretree.com/01_-_Srila_Prabhupada/01_-_Lectures/01_-_English/01_-_Topic_wise/Srimad_Bhagavatam/Canto-01/SP_SB_1-05-25_Vrindavan_1974-08-06_Self_Attraction-Dirty_or_Divine.mp3" TargetMode="External"/><Relationship Id="rId3653" Type="http://schemas.openxmlformats.org/officeDocument/2006/relationships/hyperlink" Target="https://audio.iskcondesiretree.com/01_-_Srila_Prabhupada/01_-_Lectures/01_-_English/01_-_Topic_wise/Srimad_Bhagavatam/Canto-06/SP_SB_6-01-55_Paris_1975-08-11_Dangerous_Yogis.mp3" TargetMode="External"/><Relationship Id="rId4984" Type="http://schemas.openxmlformats.org/officeDocument/2006/relationships/hyperlink" Target="https://audio.iskcondesiretree.com/01_-_Srila_Prabhupada/01_-_Lectures/01_-_English/01_-_Topic_wise/Chaitanya_Charitamrita/Madhya_Lila/SP_CC_M_20-110_New_York_1976-07-17_See_Illumination_of_God.mp3" TargetMode="External"/><Relationship Id="rId2313" Type="http://schemas.openxmlformats.org/officeDocument/2006/relationships/hyperlink" Target="https://audio.iskcondesiretree.com/01_-_Srila_Prabhupada/01_-_Lectures/01_-_English/02_-_Month_wise/08_-_August/04/Bg_04-12_VRN_1974-08-04_Big_Ambition-Little_Brain.mp3" TargetMode="External"/><Relationship Id="rId3645" Type="http://schemas.openxmlformats.org/officeDocument/2006/relationships/hyperlink" Target="https://audio.iskcondesiretree.com/01_-_Srila_Prabhupada/01_-_Lectures/01_-_English/02_-_Month_wise/08_-_August/05/Walk_1975-08-05_MW-DETROIT.MP3" TargetMode="External"/><Relationship Id="rId4976" Type="http://schemas.openxmlformats.org/officeDocument/2006/relationships/hyperlink" Target="https://audio.iskcondesiretree.com/01_-_Srila_Prabhupada/01_-_Lectures/01_-_English/02_-_Month_wise/07_-_July/15/Cc_M_20-108_NY_1976-07-15_Servant-What_Loss_Master_What_Gain.mp3" TargetMode="External"/><Relationship Id="rId2314" Type="http://schemas.openxmlformats.org/officeDocument/2006/relationships/hyperlink" Target="https://audio.iskcondesiretree.com/01_-_Srila_Prabhupada/01_-_Lectures/01_-_English/02_-_Month_wise/08_-_August/04/SB_1-05-23_VRN_1974-08-04_Service_to_Devotees-How_Potent.mp3" TargetMode="External"/><Relationship Id="rId3644" Type="http://schemas.openxmlformats.org/officeDocument/2006/relationships/hyperlink" Target="https://audio.iskcondesiretree.com/01_-_Srila_Prabhupada/01_-_Lectures/01_-_English/02_-_Month_wise/08_-_August/05/SB_6-01-52_DET_1975-08-05_No_Hard_Labor-Only_Light.mp3" TargetMode="External"/><Relationship Id="rId4975" Type="http://schemas.openxmlformats.org/officeDocument/2006/relationships/hyperlink" Target="https://audio.iskcondesiretree.com/01_-_Srila_Prabhupada/01_-_Lectures/01_-_English/01_-_Topic_wise/Chaitanya_Charitamrita/Madhya_Lila/SP_CC_M_20-108_New_York_1976-07-15_Servant--What_Loss_Master--What_Gain.mp3" TargetMode="External"/><Relationship Id="rId2315" Type="http://schemas.openxmlformats.org/officeDocument/2006/relationships/hyperlink" Target="https://audio.iskcondesiretree.com/01_-_Srila_Prabhupada/01_-_Lectures/01_-_English/01_-_Topic_wise/Bhagavad_Gita/Chapter-04/SP_BG_04-13_Vrindavan_1974-08-05.mp3" TargetMode="External"/><Relationship Id="rId3647" Type="http://schemas.openxmlformats.org/officeDocument/2006/relationships/hyperlink" Target="https://audio.iskcondesiretree.com/01_-_Srila_Prabhupada/01_-_Lectures/01_-_English/02_-_Month_wise/08_-_August/06/MW_DET_1975-08-06_Krishna_and_Christ-Father_%26_Son.mp3" TargetMode="External"/><Relationship Id="rId4978" Type="http://schemas.openxmlformats.org/officeDocument/2006/relationships/hyperlink" Target="https://audio.iskcondesiretree.com/01_-_Srila_Prabhupada/01_-_Lectures/01_-_English/02_-_Month_wise/07_-_July/15/Conv_1976-07-15_CV-NEW%20YORK.MP3" TargetMode="External"/><Relationship Id="rId2316" Type="http://schemas.openxmlformats.org/officeDocument/2006/relationships/hyperlink" Target="https://audio.iskcondesiretree.com/01_-_Srila_Prabhupada/01_-_Lectures/01_-_English/01_-_Topic_wise/Room_Conversation/SP_Room_Conversation_01_Vrindavan_1974-08-05.mp3" TargetMode="External"/><Relationship Id="rId3646" Type="http://schemas.openxmlformats.org/officeDocument/2006/relationships/hyperlink" Target="https://audio.iskcondesiretree.com/01_-_Srila_Prabhupada/01_-_Lectures/01_-_English/01_-_Topic_wise/Morning_Walk/SP_Morning_Walk_-_Detroit_1975-08-06_Krishna_and_Christ-Father_%26_Son.mp3" TargetMode="External"/><Relationship Id="rId4977" Type="http://schemas.openxmlformats.org/officeDocument/2006/relationships/hyperlink" Target="https://audio.iskcondesiretree.com/01_-_Srila_Prabhupada/01_-_Lectures/01_-_English/02_-_Month_wise/07_-_July/15/CcMadhya-20-108-109_1976-07-15_CC-NEW%20YORK.MP3" TargetMode="External"/><Relationship Id="rId2317" Type="http://schemas.openxmlformats.org/officeDocument/2006/relationships/hyperlink" Target="https://audio.iskcondesiretree.com/01_-_Srila_Prabhupada/01_-_Lectures/01_-_English/01_-_Topic_wise/Srimad_Bhagavatam/Canto-01/SP_SB_1-05-24_Vrindavan_1974-08-05_Great_Devotee-Great_Discipline.mp3" TargetMode="External"/><Relationship Id="rId3649" Type="http://schemas.openxmlformats.org/officeDocument/2006/relationships/hyperlink" Target="https://audio.iskcondesiretree.com/01_-_Srila_Prabhupada/01_-_Lectures/01_-_English/01_-_Topic_wise/Morning_Walk/SP_Morning_Walk_-_Toronto_1975-08-07_Dog_by_Action-Human_by_Law.mp3" TargetMode="External"/><Relationship Id="rId2318" Type="http://schemas.openxmlformats.org/officeDocument/2006/relationships/hyperlink" Target="https://audio.iskcondesiretree.com/01_-_Srila_Prabhupada/01_-_Lectures/01_-_English/02_-_Month_wise/08_-_August/05/Bg-04-13_1974-08-05_BG-VRNDAVAN.MP3" TargetMode="External"/><Relationship Id="rId3648" Type="http://schemas.openxmlformats.org/officeDocument/2006/relationships/hyperlink" Target="https://audio.iskcondesiretree.com/01_-_Srila_Prabhupada/01_-_Lectures/01_-_English/02_-_Month_wise/08_-_August/06/Walk_1975-08-06_MW-DETROIT.MP3" TargetMode="External"/><Relationship Id="rId4979" Type="http://schemas.openxmlformats.org/officeDocument/2006/relationships/hyperlink" Target="https://audio.iskcondesiretree.com/01_-_Srila_Prabhupada/01_-_Lectures/01_-_English/01_-_Topic_wise/Interview/SP_Interview_New_York_1976-07-16_Press--Associated_Press--The--etc.mp3" TargetMode="External"/><Relationship Id="rId2319" Type="http://schemas.openxmlformats.org/officeDocument/2006/relationships/hyperlink" Target="https://audio.iskcondesiretree.com/01_-_Srila_Prabhupada/01_-_Lectures/01_-_English/02_-_Month_wise/08_-_August/05/Conv_1974-08-05_R1-VRNDAVAN.MP3" TargetMode="External"/><Relationship Id="rId4970" Type="http://schemas.openxmlformats.org/officeDocument/2006/relationships/hyperlink" Target="https://audio.iskcondesiretree.com/01_-_Srila_Prabhupada/01_-_Lectures/01_-_English/02_-_Month_wise/07_-_July/14/Interv_NY_1976-07-14_Press-Newsday_Magazine-In_Any_Language.mp3" TargetMode="External"/><Relationship Id="rId3641" Type="http://schemas.openxmlformats.org/officeDocument/2006/relationships/hyperlink" Target="https://audio.iskcondesiretree.com/01_-_Srila_Prabhupada/01_-_Lectures/01_-_English/01_-_Topic_wise/Morning_Walk/SP_Morning_Walk_-_Detroit_1975-08-05.MP3" TargetMode="External"/><Relationship Id="rId4972" Type="http://schemas.openxmlformats.org/officeDocument/2006/relationships/hyperlink" Target="https://audio.iskcondesiretree.com/01_-_Srila_Prabhupada/01_-_Lectures/01_-_English/02_-_Month_wise/07_-_July/14/Interview_1976-07-14_IV-NEW%20YORK.MP3" TargetMode="External"/><Relationship Id="rId2310" Type="http://schemas.openxmlformats.org/officeDocument/2006/relationships/hyperlink" Target="https://audio.iskcondesiretree.com/01_-_Srila_Prabhupada/01_-_Lectures/01_-_English/01_-_Topic_wise/Srimad_Bhagavatam/Canto-01/SP_SB_1-05-23_Vrindavan_1974-08-04_Service_to_Devotees-How_Potent.mp3" TargetMode="External"/><Relationship Id="rId3640" Type="http://schemas.openxmlformats.org/officeDocument/2006/relationships/hyperlink" Target="https://audio.iskcondesiretree.com/01_-_Srila_Prabhupada/01_-_Lectures/01_-_English/02_-_Month_wise/08_-_August/04/SB_6-01-51_DET_1975-08-04_All_Wrapped_Up_in_Matter.mp3" TargetMode="External"/><Relationship Id="rId4971" Type="http://schemas.openxmlformats.org/officeDocument/2006/relationships/hyperlink" Target="https://audio.iskcondesiretree.com/01_-_Srila_Prabhupada/01_-_Lectures/01_-_English/02_-_Month_wise/07_-_July/14/Interv_NY_1976-07-14_Press-Newsweek_Magazine_Are_etc.mp3" TargetMode="External"/><Relationship Id="rId2311" Type="http://schemas.openxmlformats.org/officeDocument/2006/relationships/hyperlink" Target="https://audio.iskcondesiretree.com/01_-_Srila_Prabhupada/01_-_Lectures/01_-_English/02_-_Month_wise/04_-_April/Bg-04-12_1974-08-04_SB-VRNDAVAN.MP3" TargetMode="External"/><Relationship Id="rId3643" Type="http://schemas.openxmlformats.org/officeDocument/2006/relationships/hyperlink" Target="https://audio.iskcondesiretree.com/01_-_Srila_Prabhupada/01_-_Lectures/01_-_English/02_-_Month_wise/08_-_August/05/SB-06-01-52_1975-08-05_SB-DETROIT.MP3" TargetMode="External"/><Relationship Id="rId4974" Type="http://schemas.openxmlformats.org/officeDocument/2006/relationships/hyperlink" Target="https://audio.iskcondesiretree.com/01_-_Srila_Prabhupada/01_-_Lectures/01_-_English/02_-_Month_wise/07_-_July/14/Walk_1976-07-14_MW-NEW%20YORK.MP3" TargetMode="External"/><Relationship Id="rId2312" Type="http://schemas.openxmlformats.org/officeDocument/2006/relationships/hyperlink" Target="https://audio.iskcondesiretree.com/01_-_Srila_Prabhupada/01_-_Lectures/01_-_English/02_-_Month_wise/04_-_April/SB-01-05-23_1974-08-04_SB-VRNDAVAN.MP3" TargetMode="External"/><Relationship Id="rId3642" Type="http://schemas.openxmlformats.org/officeDocument/2006/relationships/hyperlink" Target="https://audio.iskcondesiretree.com/01_-_Srila_Prabhupada/01_-_Lectures/01_-_English/01_-_Topic_wise/Srimad_Bhagavatam/Canto-06/SP_SB_6-01-52_Detroit_1975-08-05_New_Orleans_Hard_Labor-Only_Light.mp3" TargetMode="External"/><Relationship Id="rId4973" Type="http://schemas.openxmlformats.org/officeDocument/2006/relationships/hyperlink" Target="https://audio.iskcondesiretree.com/01_-_Srila_Prabhupada/01_-_Lectures/01_-_English/02_-_Month_wise/07_-_July/14/Interview_1976-07-14_NEW%20YORK.MP3" TargetMode="External"/><Relationship Id="rId4921" Type="http://schemas.openxmlformats.org/officeDocument/2006/relationships/hyperlink" Target="https://audio.iskcondesiretree.com/01_-_Srila_Prabhupada/01_-_Lectures/01_-_English/02_-_Month_wise/07_-_July/07/Conv_1976-07-07_R2-BALTIMORE.MP3" TargetMode="External"/><Relationship Id="rId4920" Type="http://schemas.openxmlformats.org/officeDocument/2006/relationships/hyperlink" Target="https://audio.iskcondesiretree.com/01_-_Srila_Prabhupada/01_-_Lectures/01_-_English/02_-_Month_wise/07_-_July/07/Conv_1976-07-07_R1-BALTIMORE.MP3" TargetMode="External"/><Relationship Id="rId4923" Type="http://schemas.openxmlformats.org/officeDocument/2006/relationships/hyperlink" Target="https://audio.iskcondesiretree.com/01_-_Srila_Prabhupada/01_-_Lectures/01_-_English/02_-_Month_wise/07_-_July/07/RC_WDC_1976-07-07_From_Mental_Speculator_to_Mahatma.mp3" TargetMode="External"/><Relationship Id="rId4922" Type="http://schemas.openxmlformats.org/officeDocument/2006/relationships/hyperlink" Target="https://audio.iskcondesiretree.com/01_-_Srila_Prabhupada/01_-_Lectures/01_-_English/02_-_Month_wise/07_-_July/07/Darshan_1976-07-07_ED-WASHINGTON%20DC.MP3" TargetMode="External"/><Relationship Id="rId4925" Type="http://schemas.openxmlformats.org/officeDocument/2006/relationships/hyperlink" Target="https://audio.iskcondesiretree.com/01_-_Srila_Prabhupada/01_-_Lectures/01_-_English/02_-_Month_wise/07_-_July/07/RC_WDC_1976-07-07_Scientists--Two_Grains_of_Sand_on_etc.mp3" TargetMode="External"/><Relationship Id="rId4924" Type="http://schemas.openxmlformats.org/officeDocument/2006/relationships/hyperlink" Target="https://audio.iskcondesiretree.com/01_-_Srila_Prabhupada/01_-_Lectures/01_-_English/02_-_Month_wise/07_-_July/07/RC_WDC_1976-07-07_Prof--Rascals_Know_Everything_Except_God.mp3" TargetMode="External"/><Relationship Id="rId4927" Type="http://schemas.openxmlformats.org/officeDocument/2006/relationships/hyperlink" Target="https://audio.iskcondesiretree.com/01_-_Srila_Prabhupada/01_-_Lectures/01_-_English/01_-_Topic_wise/Room_Conversation/SP_Room_Conversation_Washington_DC_1976-07-08_Government_of_the_Rascals_by_the_Rascals.mp3" TargetMode="External"/><Relationship Id="rId4926" Type="http://schemas.openxmlformats.org/officeDocument/2006/relationships/hyperlink" Target="https://audio.iskcondesiretree.com/01_-_Srila_Prabhupada/01_-_Lectures/01_-_English/01_-_Topic_wise/Chaitanya_Charitamrita/Madhya_Lila/SP_CC_M_20-103_Washington-DC_1976-07-08_Survival_of_the_Fittest.mp3" TargetMode="External"/><Relationship Id="rId4929" Type="http://schemas.openxmlformats.org/officeDocument/2006/relationships/hyperlink" Target="https://audio.iskcondesiretree.com/01_-_Srila_Prabhupada/01_-_Lectures/01_-_English/02_-_Month_wise/07_-_July/08/Cc_M_20-103_WDC_1976-07-08_Survival_of_the_Fittest.mp3" TargetMode="External"/><Relationship Id="rId4928" Type="http://schemas.openxmlformats.org/officeDocument/2006/relationships/hyperlink" Target="https://audio.iskcondesiretree.com/01_-_Srila_Prabhupada/01_-_Lectures/01_-_English/01_-_Topic_wise/Room_Conversation/SP_Room_Conversation_Washington_DC_1976-07-08_S_Damodar--Life_Comes_By_the--etc.mp3" TargetMode="External"/><Relationship Id="rId4910" Type="http://schemas.openxmlformats.org/officeDocument/2006/relationships/hyperlink" Target="https://audio.iskcondesiretree.com/01_-_Srila_Prabhupada/01_-_Lectures/01_-_English/02_-_Month_wise/07_-_July/06/Conv_1976-07-06_R4-WASHINGTON%20DC.MP3" TargetMode="External"/><Relationship Id="rId4912" Type="http://schemas.openxmlformats.org/officeDocument/2006/relationships/hyperlink" Target="https://audio.iskcondesiretree.com/01_-_Srila_Prabhupada/01_-_Lectures/01_-_English/02_-_Month_wise/07_-_July/06/Lect_WDC_1976-07-06_At_10th_Anniversary_of_ISKCON_etc.mp3" TargetMode="External"/><Relationship Id="rId4911" Type="http://schemas.openxmlformats.org/officeDocument/2006/relationships/hyperlink" Target="https://audio.iskcondesiretree.com/01_-_Srila_Prabhupada/01_-_Lectures/01_-_English/02_-_Month_wise/07_-_July/06/Darshan_1976-07-06_ED-WASHINGTON%20DC.MP3" TargetMode="External"/><Relationship Id="rId4914" Type="http://schemas.openxmlformats.org/officeDocument/2006/relationships/hyperlink" Target="https://audio.iskcondesiretree.com/01_-_Srila_Prabhupada/01_-_Lectures/01_-_English/01_-_Topic_wise/Chaitanya_Charitamrita/Madhya_Lila/SP_CC_M_20-102_Washington-DC_1976-07-07_Nobody_Is_Fit--Nobody_Survives.mp3" TargetMode="External"/><Relationship Id="rId4913" Type="http://schemas.openxmlformats.org/officeDocument/2006/relationships/hyperlink" Target="https://audio.iskcondesiretree.com/01_-_Srila_Prabhupada/01_-_Lectures/01_-_English/02_-_Month_wise/07_-_July/06/RC_WDC_1976-07-06_Svarupa_Damodar-Matter_and_the_Glance_of_God.mp3" TargetMode="External"/><Relationship Id="rId4916" Type="http://schemas.openxmlformats.org/officeDocument/2006/relationships/hyperlink" Target="https://audio.iskcondesiretree.com/01_-_Srila_Prabhupada/01_-_Lectures/01_-_English/01_-_Topic_wise/Room_Conversation/SP_Room_Conversation_Washington_DC_1976-07-07_Prof--Rascals_Know_Everything_Except_God.mp3" TargetMode="External"/><Relationship Id="rId4915" Type="http://schemas.openxmlformats.org/officeDocument/2006/relationships/hyperlink" Target="https://audio.iskcondesiretree.com/01_-_Srila_Prabhupada/01_-_Lectures/01_-_English/01_-_Topic_wise/Room_Conversation/SP_Room_Conversation_Washington_DC_1976-07-07_From_Mental_Speculator_to_Mahatma.mp3" TargetMode="External"/><Relationship Id="rId4918" Type="http://schemas.openxmlformats.org/officeDocument/2006/relationships/hyperlink" Target="https://audio.iskcondesiretree.com/01_-_Srila_Prabhupada/01_-_Lectures/01_-_English/02_-_Month_wise/07_-_July/07/Cc_M_20-102_WDC_1976-07-07_Nobody_Is_Fit-Nobody_Survives.mp3" TargetMode="External"/><Relationship Id="rId4917" Type="http://schemas.openxmlformats.org/officeDocument/2006/relationships/hyperlink" Target="https://audio.iskcondesiretree.com/01_-_Srila_Prabhupada/01_-_Lectures/01_-_English/01_-_Topic_wise/Room_Conversation/SP_Room_Conversation_Washington_DC_1976-07-07_Scientists--Two_Grains_of_Sand_on--etc.mp3" TargetMode="External"/><Relationship Id="rId4919" Type="http://schemas.openxmlformats.org/officeDocument/2006/relationships/hyperlink" Target="https://audio.iskcondesiretree.com/01_-_Srila_Prabhupada/01_-_Lectures/01_-_English/02_-_Month_wise/07_-_July/07/CcMadhya-20-102_1976-07-07_CC-BALTIMORE.MP3" TargetMode="External"/><Relationship Id="rId3612" Type="http://schemas.openxmlformats.org/officeDocument/2006/relationships/hyperlink" Target="https://audio.iskcondesiretree.com/01_-_Srila_Prabhupada/01_-_Lectures/01_-_English/01_-_Topic_wise/Srimad_Bhagavatam/Canto-06/SP_SB_6-01-48_Dallas_1975-07-30_Part_and_Parcel_of_Krishna.mp3" TargetMode="External"/><Relationship Id="rId4943" Type="http://schemas.openxmlformats.org/officeDocument/2006/relationships/hyperlink" Target="https://audio.iskcondesiretree.com/01_-_Srila_Prabhupada/01_-_Lectures/01_-_English/02_-_Month_wise/07_-_July/10/Walk_1976-07-10_MW-NEW%20YORK.MP3" TargetMode="External"/><Relationship Id="rId3611" Type="http://schemas.openxmlformats.org/officeDocument/2006/relationships/hyperlink" Target="https://audio.iskcondesiretree.com/01_-_Srila_Prabhupada/01_-_Lectures/01_-_English/01_-_Topic_wise/Morning_Walk/SP_Morning_Walk_-_Dallas_1975-07-30.MP3" TargetMode="External"/><Relationship Id="rId4942" Type="http://schemas.openxmlformats.org/officeDocument/2006/relationships/hyperlink" Target="https://audio.iskcondesiretree.com/01_-_Srila_Prabhupada/01_-_Lectures/01_-_English/02_-_Month_wise/07_-_July/10/Conv_1976-07-10_R1-NEW%20YORK.MP3" TargetMode="External"/><Relationship Id="rId3614" Type="http://schemas.openxmlformats.org/officeDocument/2006/relationships/hyperlink" Target="https://audio.iskcondesiretree.com/01_-_Srila_Prabhupada/01_-_Lectures/01_-_English/02_-_Month_wise/07_-_July/30/SB_6-01-48_DAL_1975-07-30_Part_and_Parcel_of_Krishna.mp3" TargetMode="External"/><Relationship Id="rId4945" Type="http://schemas.openxmlformats.org/officeDocument/2006/relationships/hyperlink" Target="https://audio.iskcondesiretree.com/01_-_Srila_Prabhupada/01_-_Lectures/01_-_English/01_-_Topic_wise/Room_Conversation/SP_Room_Conversation_New_York_1976-07-11_Animal_Killers_Will_Never_Understand_God.mp3" TargetMode="External"/><Relationship Id="rId3613" Type="http://schemas.openxmlformats.org/officeDocument/2006/relationships/hyperlink" Target="https://audio.iskcondesiretree.com/01_-_Srila_Prabhupada/01_-_Lectures/01_-_English/02_-_Month_wise/07_-_July/30/SB-06-01-48_1975-07-30_SB-DALLAS.MP3" TargetMode="External"/><Relationship Id="rId4944" Type="http://schemas.openxmlformats.org/officeDocument/2006/relationships/hyperlink" Target="https://audio.iskcondesiretree.com/01_-_Srila_Prabhupada/01_-_Lectures/01_-_English/01_-_Topic_wise/Chaitanya_Charitamrita/Madhya_Lila/SP_CC_M_20-105_New_York_1976-07-11_Approach_the_Spiritual--etc.mp3" TargetMode="External"/><Relationship Id="rId3616" Type="http://schemas.openxmlformats.org/officeDocument/2006/relationships/hyperlink" Target="https://audio.iskcondesiretree.com/01_-_Srila_Prabhupada/01_-_Lectures/01_-_English/01_-_Topic_wise/Morning_Walk/SP_Morning_Walk_-_Dallas_1975-07-31.MP3" TargetMode="External"/><Relationship Id="rId4947" Type="http://schemas.openxmlformats.org/officeDocument/2006/relationships/hyperlink" Target="https://audio.iskcondesiretree.com/01_-_Srila_Prabhupada/01_-_Lectures/01_-_English/01_-_Topic_wise/Room_Conversation/SP_Room_Conversation_New_York_1976-07-11_Christ-Our_Guru.mp3" TargetMode="External"/><Relationship Id="rId3615" Type="http://schemas.openxmlformats.org/officeDocument/2006/relationships/hyperlink" Target="https://audio.iskcondesiretree.com/01_-_Srila_Prabhupada/01_-_Lectures/01_-_English/02_-_Month_wise/07_-_July/30/Walk_1975-07-30_MW-DALLAS.MP3" TargetMode="External"/><Relationship Id="rId4946" Type="http://schemas.openxmlformats.org/officeDocument/2006/relationships/hyperlink" Target="https://audio.iskcondesiretree.com/01_-_Srila_Prabhupada/01_-_Lectures/01_-_English/01_-_Topic_wise/Room_Conversation/SP_Room_Conversation_New_York_1976-07-11_Can_God_Directly_Talk_to_Man.mp3" TargetMode="External"/><Relationship Id="rId3618" Type="http://schemas.openxmlformats.org/officeDocument/2006/relationships/hyperlink" Target="https://audio.iskcondesiretree.com/01_-_Srila_Prabhupada/01_-_Lectures/01_-_English/02_-_Month_wise/07_-_July/31/Conv_1975-07-31_R1-NEW%20ORLEANS.MP3" TargetMode="External"/><Relationship Id="rId4949" Type="http://schemas.openxmlformats.org/officeDocument/2006/relationships/hyperlink" Target="https://audio.iskcondesiretree.com/01_-_Srila_Prabhupada/01_-_Lectures/01_-_English/02_-_Month_wise/07_-_July/11/CcMadhya-20-105_1976-07-11_CC-NEW%20YORK.MP3" TargetMode="External"/><Relationship Id="rId3617" Type="http://schemas.openxmlformats.org/officeDocument/2006/relationships/hyperlink" Target="https://audio.iskcondesiretree.com/01_-_Srila_Prabhupada/01_-_Lectures/01_-_English/01_-_Topic_wise/Room_Conversation/SP_Room_Conversation_01_New_Orleans_1975-07-31.MP3" TargetMode="External"/><Relationship Id="rId4948" Type="http://schemas.openxmlformats.org/officeDocument/2006/relationships/hyperlink" Target="https://audio.iskcondesiretree.com/01_-_Srila_Prabhupada/01_-_Lectures/01_-_English/02_-_Month_wise/07_-_July/11/Cc_M_20-105_NY_1976-07-11_Approach_the_Spiritual_etc.mp3" TargetMode="External"/><Relationship Id="rId3619" Type="http://schemas.openxmlformats.org/officeDocument/2006/relationships/hyperlink" Target="https://audio.iskcondesiretree.com/01_-_Srila_Prabhupada/01_-_Lectures/01_-_English/02_-_Month_wise/07_-_July/31/Walk_1975-07-31_MW-DALLAS.MP3" TargetMode="External"/><Relationship Id="rId3610" Type="http://schemas.openxmlformats.org/officeDocument/2006/relationships/hyperlink" Target="https://audio.iskcondesiretree.com/01_-_Srila_Prabhupada/01_-_Lectures/01_-_English/02_-_Month_wise/07_-_July/29/Walk_1975-07-29_MW-DALLAS.MP3" TargetMode="External"/><Relationship Id="rId4941" Type="http://schemas.openxmlformats.org/officeDocument/2006/relationships/hyperlink" Target="https://audio.iskcondesiretree.com/01_-_Srila_Prabhupada/01_-_Lectures/01_-_English/02_-_Month_wise/07_-_July/10/CcMadhya-20-104_1976-07-10_CC-NEW%20YORK.MP3" TargetMode="External"/><Relationship Id="rId4940" Type="http://schemas.openxmlformats.org/officeDocument/2006/relationships/hyperlink" Target="https://audio.iskcondesiretree.com/01_-_Srila_Prabhupada/01_-_Lectures/01_-_English/02_-_Month_wise/07_-_July/09/Walk_1976-07-09_MW-WASHINGTON%20DC.MP3" TargetMode="External"/><Relationship Id="rId3601" Type="http://schemas.openxmlformats.org/officeDocument/2006/relationships/hyperlink" Target="https://audio.iskcondesiretree.com/01_-_Srila_Prabhupada/01_-_Lectures/01_-_English/01_-_Topic_wise/Interview/SP_Interview_Dallas_1975-07-28_Press_At_Airport--Without--etc.mp3" TargetMode="External"/><Relationship Id="rId4932" Type="http://schemas.openxmlformats.org/officeDocument/2006/relationships/hyperlink" Target="https://audio.iskcondesiretree.com/01_-_Srila_Prabhupada/01_-_Lectures/01_-_English/02_-_Month_wise/07_-_July/08/Conv_1976-07-08_R2-WASHINGTON%20DC.MP3" TargetMode="External"/><Relationship Id="rId3600" Type="http://schemas.openxmlformats.org/officeDocument/2006/relationships/hyperlink" Target="https://audio.iskcondesiretree.com/01_-_Srila_Prabhupada/01_-_Lectures/01_-_English/02_-_Month_wise/07_-_July/27/Walk_1975-07-27MW-SAN%20DIEGO.MP3" TargetMode="External"/><Relationship Id="rId4931" Type="http://schemas.openxmlformats.org/officeDocument/2006/relationships/hyperlink" Target="https://audio.iskcondesiretree.com/01_-_Srila_Prabhupada/01_-_Lectures/01_-_English/02_-_Month_wise/07_-_July/08/Conv_1976-07-08_R1-WASHINGTON%20DC.MP3" TargetMode="External"/><Relationship Id="rId3603" Type="http://schemas.openxmlformats.org/officeDocument/2006/relationships/hyperlink" Target="https://audio.iskcondesiretree.com/01_-_Srila_Prabhupada/01_-_Lectures/01_-_English/02_-_Month_wise/07_-_July/28/Interv_DAL_1975-07-28_Press_At_Airport_Without_etc.mp3" TargetMode="External"/><Relationship Id="rId4934" Type="http://schemas.openxmlformats.org/officeDocument/2006/relationships/hyperlink" Target="https://audio.iskcondesiretree.com/01_-_Srila_Prabhupada/01_-_Lectures/01_-_English/02_-_Month_wise/07_-_July/08/Interview_1976-07-08_IV-WASHINGTON%20DC.MP3" TargetMode="External"/><Relationship Id="rId3602" Type="http://schemas.openxmlformats.org/officeDocument/2006/relationships/hyperlink" Target="https://audio.iskcondesiretree.com/01_-_Srila_Prabhupada/01_-_Lectures/01_-_English/01_-_Topic_wise/Morning_Walk/SP_Morning_Walk_-_San_Diego_1975-07-28.MP3" TargetMode="External"/><Relationship Id="rId4933" Type="http://schemas.openxmlformats.org/officeDocument/2006/relationships/hyperlink" Target="https://audio.iskcondesiretree.com/01_-_Srila_Prabhupada/01_-_Lectures/01_-_English/02_-_Month_wise/07_-_July/08/Darshan_1976-07-08_ED-WASHINGTON%20DC.MP3" TargetMode="External"/><Relationship Id="rId3605" Type="http://schemas.openxmlformats.org/officeDocument/2006/relationships/hyperlink" Target="https://audio.iskcondesiretree.com/01_-_Srila_Prabhupada/01_-_Lectures/01_-_English/02_-_Month_wise/07_-_July/28/Walk_1975-07-28_MW-SAN%20DIEGO.MP3" TargetMode="External"/><Relationship Id="rId4936" Type="http://schemas.openxmlformats.org/officeDocument/2006/relationships/hyperlink" Target="https://audio.iskcondesiretree.com/01_-_Srila_Prabhupada/01_-_Lectures/01_-_English/02_-_Month_wise/07_-_July/08/RC_WDC_1976-07-08_S._Damodar_Life_Comes_By_the_etc.mp3" TargetMode="External"/><Relationship Id="rId3604" Type="http://schemas.openxmlformats.org/officeDocument/2006/relationships/hyperlink" Target="https://audio.iskcondesiretree.com/01_-_Srila_Prabhupada/01_-_Lectures/01_-_English/02_-_Month_wise/07_-_July/28/PressConf_1975-07-28_PC-DALLAS.MP3" TargetMode="External"/><Relationship Id="rId4935" Type="http://schemas.openxmlformats.org/officeDocument/2006/relationships/hyperlink" Target="https://audio.iskcondesiretree.com/01_-_Srila_Prabhupada/01_-_Lectures/01_-_English/02_-_Month_wise/07_-_July/08/RC_WDC_1976-07-08_Government_of_the_Rascals_by_the_Rascals.mp3" TargetMode="External"/><Relationship Id="rId3607" Type="http://schemas.openxmlformats.org/officeDocument/2006/relationships/hyperlink" Target="https://audio.iskcondesiretree.com/01_-_Srila_Prabhupada/01_-_Lectures/01_-_English/01_-_Topic_wise/Srimad_Bhagavatam/Canto-06/SP_SB_6-01-47_Dallas_1975-07-29_Your_Next_Life-What_Will_It_Be.mp3" TargetMode="External"/><Relationship Id="rId4938" Type="http://schemas.openxmlformats.org/officeDocument/2006/relationships/hyperlink" Target="https://audio.iskcondesiretree.com/01_-_Srila_Prabhupada/01_-_Lectures/01_-_English/02_-_Month_wise/07_-_July/09/Arrival_1976-07-09_AR-NEW%20YORK.MP3" TargetMode="External"/><Relationship Id="rId3606" Type="http://schemas.openxmlformats.org/officeDocument/2006/relationships/hyperlink" Target="https://audio.iskcondesiretree.com/01_-_Srila_Prabhupada/01_-_Lectures/01_-_English/01_-_Topic_wise/Morning_Walk/SP_Morning_Walk_-_Dallas_1975-07-29.MP3" TargetMode="External"/><Relationship Id="rId4937" Type="http://schemas.openxmlformats.org/officeDocument/2006/relationships/hyperlink" Target="https://audio.iskcondesiretree.com/01_-_Srila_Prabhupada/01_-_Lectures/01_-_English/02_-_Month_wise/07_-_July/09/Arrival_1976-07-09_AD-NEW%20YORK.MP3" TargetMode="External"/><Relationship Id="rId3609" Type="http://schemas.openxmlformats.org/officeDocument/2006/relationships/hyperlink" Target="https://audio.iskcondesiretree.com/01_-_Srila_Prabhupada/01_-_Lectures/01_-_English/02_-_Month_wise/07_-_July/29/SB_6-01-47_DAL_1975-07-29_Your_Next_Life-What_Will_It_Be.mp3" TargetMode="External"/><Relationship Id="rId3608" Type="http://schemas.openxmlformats.org/officeDocument/2006/relationships/hyperlink" Target="https://audio.iskcondesiretree.com/01_-_Srila_Prabhupada/01_-_Lectures/01_-_English/02_-_Month_wise/07_-_July/29/SB-06-01-47_1975-07-29_SB-DALLAS.MP3" TargetMode="External"/><Relationship Id="rId4939" Type="http://schemas.openxmlformats.org/officeDocument/2006/relationships/hyperlink" Target="https://audio.iskcondesiretree.com/01_-_Srila_Prabhupada/01_-_Lectures/01_-_English/02_-_Month_wise/07_-_July/09/Conv_1976-07-09_R1-NEW%20YORK.MP3" TargetMode="External"/><Relationship Id="rId4930" Type="http://schemas.openxmlformats.org/officeDocument/2006/relationships/hyperlink" Target="https://audio.iskcondesiretree.com/01_-_Srila_Prabhupada/01_-_Lectures/01_-_English/02_-_Month_wise/07_-_July/08/CcMadhya-20-103_1976-07-08_CC-WASHINGTON%20DC.MP3" TargetMode="External"/><Relationship Id="rId1059" Type="http://schemas.openxmlformats.org/officeDocument/2006/relationships/hyperlink" Target="https://audio.iskcondesiretree.com/01_-_Srila_Prabhupada/01_-_Lectures/01_-_English/01_-_Topic_wise/Bhagavad_Gita/Chapter-01/SP_BG_01-02-03_London_1973-07-09_Death_Is_God.mp3" TargetMode="External"/><Relationship Id="rId2380" Type="http://schemas.openxmlformats.org/officeDocument/2006/relationships/hyperlink" Target="https://audio.iskcondesiretree.com/01_-_Srila_Prabhupada/01_-_Lectures/01_-_English/01_-_Topic_wise/Bhagavad_Gita/Chapter-04/SP_BG_04-10_Calcutta_1974-09-23_The_World_Is_a_Foreign_Country.mp3" TargetMode="External"/><Relationship Id="rId1050" Type="http://schemas.openxmlformats.org/officeDocument/2006/relationships/hyperlink" Target="https://audio.iskcondesiretree.com/01_-_Srila_Prabhupada/01_-_Lectures/01_-_English/02_-_Month_wise/06_-_June/27/SB_1-10-14_MAY_1973-06-27_Truly_Selfless_Love.mp3" TargetMode="External"/><Relationship Id="rId2381" Type="http://schemas.openxmlformats.org/officeDocument/2006/relationships/hyperlink" Target="https://audio.iskcondesiretree.com/01_-_Srila_Prabhupada/01_-_Lectures/01_-_English/02_-_Month_wise/09_-_September/23/Bg-04-10_1974-09-23_BG-CALCUTTA.MP3" TargetMode="External"/><Relationship Id="rId1051" Type="http://schemas.openxmlformats.org/officeDocument/2006/relationships/hyperlink" Target="https://audio.iskcondesiretree.com/01_-_Srila_Prabhupada/01_-_Lectures/01_-_English/01_-_Topic_wise/Bhagavad_Gita/Chapter-09/SP_BG_09-10_Calcutta_1973-06-29_Dead_Heads_and_Supreme_Life.mp3" TargetMode="External"/><Relationship Id="rId2382" Type="http://schemas.openxmlformats.org/officeDocument/2006/relationships/hyperlink" Target="https://audio.iskcondesiretree.com/01_-_Srila_Prabhupada/01_-_Lectures/01_-_English/02_-_Month_wise/09_-_September/23/Bg_04-10_CAL_1974-09-23_The_World_Is_a_Foreign_Country.mp3" TargetMode="External"/><Relationship Id="rId1052" Type="http://schemas.openxmlformats.org/officeDocument/2006/relationships/hyperlink" Target="https://audio.iskcondesiretree.com/01_-_Srila_Prabhupada/01_-_Lectures/01_-_English/02_-_Month_wise/06_-_June/29/Bg_09-10_CAL_1973-06-29_Dead_Heads_and_Supreme_Life.mp3" TargetMode="External"/><Relationship Id="rId2383" Type="http://schemas.openxmlformats.org/officeDocument/2006/relationships/hyperlink" Target="https://audio.iskcondesiretree.com/01_-_Srila_Prabhupada/01_-_Lectures/01_-_English/02_-_Month_wise/09_-_September/23/Radhastami_1974-09-23_BG-CALCUTTA.MP3" TargetMode="External"/><Relationship Id="rId1053" Type="http://schemas.openxmlformats.org/officeDocument/2006/relationships/hyperlink" Target="https://audio.iskcondesiretree.com/01_-_Srila_Prabhupada/01_-_Lectures/01_-_English/01_-_Topic_wise/Bhagavad_Gita/Chapter-09/SP_BG_09-11_Calcutta_1973-06-30_If_You_Want_to_Remain_Mudha....mp3" TargetMode="External"/><Relationship Id="rId2384" Type="http://schemas.openxmlformats.org/officeDocument/2006/relationships/hyperlink" Target="https://audio.iskcondesiretree.com/01_-_Srila_Prabhupada/01_-_Lectures/01_-_English/01_-_Topic_wise/Srimad_Bhagavatam/Canto-01/SP_SB_1-02-18_Calcutta_1974-09-26_Hear_Krishna%27s_Glories-Be_Cleansed.mp3" TargetMode="External"/><Relationship Id="rId1054" Type="http://schemas.openxmlformats.org/officeDocument/2006/relationships/hyperlink" Target="https://audio.iskcondesiretree.com/01_-_Srila_Prabhupada/01_-_Lectures/01_-_English/02_-_Month_wise/06_-_June/30/Bg_09-11_CAL_1973-06-30_If_You_Want_to_Remain_Mudha.mp3" TargetMode="External"/><Relationship Id="rId2385" Type="http://schemas.openxmlformats.org/officeDocument/2006/relationships/hyperlink" Target="https://audio.iskcondesiretree.com/01_-_Srila_Prabhupada/01_-_Lectures/01_-_English/02_-_Month_wise/09_-_September/26/SB-01-02-18_1974-09-26_SB-CALCUTTA.MP3" TargetMode="External"/><Relationship Id="rId1055" Type="http://schemas.openxmlformats.org/officeDocument/2006/relationships/hyperlink" Target="https://audio.iskcondesiretree.com/01_-_Srila_Prabhupada/01_-_Lectures/01_-_English/01_-_Topic_wise/Arrival_Address/SP_Arrival_London_1973-07-07_Bhakti_Science_Is_Very_Simple.mp3" TargetMode="External"/><Relationship Id="rId2386" Type="http://schemas.openxmlformats.org/officeDocument/2006/relationships/hyperlink" Target="https://audio.iskcondesiretree.com/01_-_Srila_Prabhupada/01_-_Lectures/01_-_English/02_-_Month_wise/09_-_September/26/SB_1-02-18_CAL_1974-09-26_Hear_Krishna%27s_Glories-Be_Cleansed.mp3" TargetMode="External"/><Relationship Id="rId1056" Type="http://schemas.openxmlformats.org/officeDocument/2006/relationships/hyperlink" Target="https://audio.iskcondesiretree.com/01_-_Srila_Prabhupada/01_-_Lectures/01_-_English/01_-_Topic_wise/Bhagavad_Gita/Chapter-01/SP_BG_01-01_London_1973-07-07_The_Material_World_Means--etc.mp3" TargetMode="External"/><Relationship Id="rId2387" Type="http://schemas.openxmlformats.org/officeDocument/2006/relationships/hyperlink" Target="https://audio.iskcondesiretree.com/01_-_Srila_Prabhupada/01_-_Lectures/01_-_English/01_-_Topic_wise/Arrival_Address/SP_Arrival_Mayapur_1974-09-27_This_Mission_Will_Be_Successful.mp3" TargetMode="External"/><Relationship Id="rId1057" Type="http://schemas.openxmlformats.org/officeDocument/2006/relationships/hyperlink" Target="https://audio.iskcondesiretree.com/01_-_Srila_Prabhupada/01_-_Lectures/01_-_English/02_-_Month_wise/07_-_July/07/Arr_LON_1973-07-07_Bhakti_Science_Is_Very_Simple.mp3" TargetMode="External"/><Relationship Id="rId2388" Type="http://schemas.openxmlformats.org/officeDocument/2006/relationships/hyperlink" Target="https://audio.iskcondesiretree.com/01_-_Srila_Prabhupada/01_-_Lectures/01_-_English/01_-_Topic_wise/Srimad_Bhagavatam/Canto-01/SP_SB_1-02-19_Calcutta_1974-09-27_Understanding-Krishna%27s_Mercy.mp3" TargetMode="External"/><Relationship Id="rId1058" Type="http://schemas.openxmlformats.org/officeDocument/2006/relationships/hyperlink" Target="https://audio.iskcondesiretree.com/01_-_Srila_Prabhupada/01_-_Lectures/01_-_English/02_-_Month_wise/07_-_July/07/Bg_01-01_LON_1973-07-07_The_Material_World_Means_etc.mp3" TargetMode="External"/><Relationship Id="rId2389" Type="http://schemas.openxmlformats.org/officeDocument/2006/relationships/hyperlink" Target="https://audio.iskcondesiretree.com/01_-_Srila_Prabhupada/01_-_Lectures/01_-_English/02_-_Month_wise/09_-_September/27/Arr_MAY_1974-09-27_This_Mission_Will_Be_Successful.mp3" TargetMode="External"/><Relationship Id="rId1048" Type="http://schemas.openxmlformats.org/officeDocument/2006/relationships/hyperlink" Target="https://audio.iskcondesiretree.com/01_-_Srila_Prabhupada/01_-_Lectures/01_-_English/02_-_Month_wise/06_-_June/26/SB_1-10-13_MAY_1973-06-26_Associating_with_Krishna.mp3" TargetMode="External"/><Relationship Id="rId2379" Type="http://schemas.openxmlformats.org/officeDocument/2006/relationships/hyperlink" Target="https://audio.iskcondesiretree.com/01_-_Srila_Prabhupada/01_-_Lectures/01_-_English/02_-_Month_wise/09_-_September/22/Bg-13-26_1974-09-22_BG-DELHI.MP3" TargetMode="External"/><Relationship Id="rId1049" Type="http://schemas.openxmlformats.org/officeDocument/2006/relationships/hyperlink" Target="https://audio.iskcondesiretree.com/01_-_Srila_Prabhupada/01_-_Lectures/01_-_English/01_-_Topic_wise/Srimad_Bhagavatam/Canto-01/SP_SB_1-10-14_Mayapur_1973-06-27_Truly_Selfless_Love.mp3" TargetMode="External"/><Relationship Id="rId2370" Type="http://schemas.openxmlformats.org/officeDocument/2006/relationships/hyperlink" Target="https://audio.iskcondesiretree.com/01_-_Srila_Prabhupada/01_-_Lectures/01_-_English/02_-_Month_wise/08_-_August/17/SB-01-05-36_1974-08-17_SB-VRNDAVAN.MP3" TargetMode="External"/><Relationship Id="rId1040" Type="http://schemas.openxmlformats.org/officeDocument/2006/relationships/hyperlink" Target="https://audio.iskcondesiretree.com/01_-_Srila_Prabhupada/01_-_Lectures/01_-_English/02_-_Month_wise/06_-_June/20/SB_1-10-05_MAY_1973-06-20_Comforts_for_the_Body_and_Soul.mp3" TargetMode="External"/><Relationship Id="rId2371" Type="http://schemas.openxmlformats.org/officeDocument/2006/relationships/hyperlink" Target="https://audio.iskcondesiretree.com/01_-_Srila_Prabhupada/01_-_Lectures/01_-_English/01_-_Topic_wise/Various/SP_Ceremony_Speech_Vrindavan_1974-08-18.mp3" TargetMode="External"/><Relationship Id="rId1041" Type="http://schemas.openxmlformats.org/officeDocument/2006/relationships/hyperlink" Target="https://audio.iskcondesiretree.com/01_-_Srila_Prabhupada/01_-_Lectures/01_-_English/01_-_Topic_wise/Srimad_Bhagavatam/Canto-01/SP_SB_1-10-06_Mayapur_1973-06-21_Peaceful_People_in_Kingdom.mp3" TargetMode="External"/><Relationship Id="rId2372" Type="http://schemas.openxmlformats.org/officeDocument/2006/relationships/hyperlink" Target="https://audio.iskcondesiretree.com/01_-_Srila_Prabhupada/01_-_Lectures/01_-_English/02_-_Month_wise/08_-_August/18/Speech_1974-08-18_SP-VRNDAVAN.MP3" TargetMode="External"/><Relationship Id="rId1042" Type="http://schemas.openxmlformats.org/officeDocument/2006/relationships/hyperlink" Target="https://audio.iskcondesiretree.com/01_-_Srila_Prabhupada/01_-_Lectures/01_-_English/02_-_Month_wise/06_-_June/21/SB_1-10-06_MAY_1973-06-21_Peaceful_People_in_Kingdom.mp3" TargetMode="External"/><Relationship Id="rId2373" Type="http://schemas.openxmlformats.org/officeDocument/2006/relationships/hyperlink" Target="https://audio.iskcondesiretree.com/01_-_Srila_Prabhupada/01_-_Lectures/01_-_English/01_-_Topic_wise/Various/SP_Garden_Conversation_Vrindavan_1974-09-10.mp3" TargetMode="External"/><Relationship Id="rId1043" Type="http://schemas.openxmlformats.org/officeDocument/2006/relationships/hyperlink" Target="https://audio.iskcondesiretree.com/01_-_Srila_Prabhupada/01_-_Lectures/01_-_English/01_-_Topic_wise/Srimad_Bhagavatam/Canto-01/SP_SB_1-10-07_Mayapur_1973-06-22_Independence-More_Dependence.mp3" TargetMode="External"/><Relationship Id="rId2374" Type="http://schemas.openxmlformats.org/officeDocument/2006/relationships/hyperlink" Target="https://audio.iskcondesiretree.com/01_-_Srila_Prabhupada/01_-_Lectures/01_-_English/02_-_Month_wise/09_-_September/10/Conv_1974-09-10_GC-VRNDAVAN.MP3" TargetMode="External"/><Relationship Id="rId1044" Type="http://schemas.openxmlformats.org/officeDocument/2006/relationships/hyperlink" Target="https://audio.iskcondesiretree.com/01_-_Srila_Prabhupada/01_-_Lectures/01_-_English/02_-_Month_wise/06_-_June/22/SB_1-10-07_MAY_1973-06-22_Independence-More_Dependence.mp3" TargetMode="External"/><Relationship Id="rId2375" Type="http://schemas.openxmlformats.org/officeDocument/2006/relationships/hyperlink" Target="https://audio.iskcondesiretree.com/01_-_Srila_Prabhupada/01_-_Lectures/01_-_English/02_-_Month_wise/09_-_September/10/Walk_1974-09-10_MW-VRNDAVAN.MP3" TargetMode="External"/><Relationship Id="rId1045" Type="http://schemas.openxmlformats.org/officeDocument/2006/relationships/hyperlink" Target="https://audio.iskcondesiretree.com/01_-_Srila_Prabhupada/01_-_Lectures/01_-_English/01_-_Topic_wise/Srimad_Bhagavatam/Canto-01/SP_SB_1-10-11_Mayapur_1973-06-25_Satsanga...Asatsanga.mp3" TargetMode="External"/><Relationship Id="rId2376" Type="http://schemas.openxmlformats.org/officeDocument/2006/relationships/hyperlink" Target="https://audio.iskcondesiretree.com/01_-_Srila_Prabhupada/01_-_Lectures/01_-_English/01_-_Topic_wise/Various/SP_Garden_Conversation_Vrindavan_1974-09-11.mp3" TargetMode="External"/><Relationship Id="rId1046" Type="http://schemas.openxmlformats.org/officeDocument/2006/relationships/hyperlink" Target="https://audio.iskcondesiretree.com/01_-_Srila_Prabhupada/01_-_Lectures/01_-_English/02_-_Month_wise/06_-_June/25/SB_1-10-11_MAY_1973-06-25_Satsanga_Asatsanga.mp3" TargetMode="External"/><Relationship Id="rId2377" Type="http://schemas.openxmlformats.org/officeDocument/2006/relationships/hyperlink" Target="https://audio.iskcondesiretree.com/01_-_Srila_Prabhupada/01_-_Lectures/01_-_English/02_-_Month_wise/09_-_September/11/Conv_1974-09-11_GC-VRNDAVAN.MP3" TargetMode="External"/><Relationship Id="rId1047" Type="http://schemas.openxmlformats.org/officeDocument/2006/relationships/hyperlink" Target="https://audio.iskcondesiretree.com/01_-_Srila_Prabhupada/01_-_Lectures/01_-_English/01_-_Topic_wise/Srimad_Bhagavatam/Canto-01/SP_SB_1-10-13_Mayapur_1973-06-26_Associating_with_Krishna.mp3" TargetMode="External"/><Relationship Id="rId2378" Type="http://schemas.openxmlformats.org/officeDocument/2006/relationships/hyperlink" Target="https://audio.iskcondesiretree.com/01_-_Srila_Prabhupada/01_-_Lectures/01_-_English/01_-_Topic_wise/Bhagavad_Gita/Chapter-13/SP_BG_13-26_Delhi_1974-09-22.mp3" TargetMode="External"/><Relationship Id="rId1070" Type="http://schemas.openxmlformats.org/officeDocument/2006/relationships/hyperlink" Target="https://audio.iskcondesiretree.com/01_-_Srila_Prabhupada/01_-_Lectures/01_-_English/02_-_Month_wise/07_-_July/10/RC_LON_1973-07-10_Prof._Waddell_of_Private_Boys_etc.mp3" TargetMode="External"/><Relationship Id="rId1071" Type="http://schemas.openxmlformats.org/officeDocument/2006/relationships/hyperlink" Target="https://audio.iskcondesiretree.com/01_-_Srila_Prabhupada/01_-_Lectures/04_-_Translation/Portuguese/More/SP_BG_01-04_-_1973-07-10_London.mp3" TargetMode="External"/><Relationship Id="rId1072" Type="http://schemas.openxmlformats.org/officeDocument/2006/relationships/hyperlink" Target="https://audio.iskcondesiretree.com/01_-_Srila_Prabhupada/01_-_Lectures/01_-_English/01_-_Topic_wise/Bhagavad_Gita/Chapter-01/SP_BG_01-07_London_1973-07-11_Vaisnavism_Is_Not_Cowardism.mp3" TargetMode="External"/><Relationship Id="rId1073" Type="http://schemas.openxmlformats.org/officeDocument/2006/relationships/hyperlink" Target="https://audio.iskcondesiretree.com/01_-_Srila_Prabhupada/01_-_Lectures/01_-_English/01_-_Topic_wise/Room_Conversation/SP_Room_Conversation_London_1973-07-11_Educationists--The_Greatest_Gain.mp3" TargetMode="External"/><Relationship Id="rId1074" Type="http://schemas.openxmlformats.org/officeDocument/2006/relationships/hyperlink" Target="https://audio.iskcondesiretree.com/01_-_Srila_Prabhupada/01_-_Lectures/01_-_English/01_-_Topic_wise/Room_Conversation/SP_Room_Conversation_London_1973-07-11_Guest--Young_Wise_Men_Old_Hypocrites.mp3" TargetMode="External"/><Relationship Id="rId1075" Type="http://schemas.openxmlformats.org/officeDocument/2006/relationships/hyperlink" Target="https://audio.iskcondesiretree.com/01_-_Srila_Prabhupada/01_-_Lectures/01_-_English/01_-_Topic_wise/Room_Conversation/SP_Room_Conversation_London_1973-07-11_Guest_%26_Devotees--Yoga_Feeling--etc.mp3" TargetMode="External"/><Relationship Id="rId1076" Type="http://schemas.openxmlformats.org/officeDocument/2006/relationships/hyperlink" Target="https://audio.iskcondesiretree.com/01_-_Srila_Prabhupada/01_-_Lectures/01_-_English/02_-_Month_wise/07_-_July/11/Bg_01-07_LON_1973-07-11_Vaisnavism_Is_Not_Cowardism.mp3" TargetMode="External"/><Relationship Id="rId1077" Type="http://schemas.openxmlformats.org/officeDocument/2006/relationships/hyperlink" Target="https://audio.iskcondesiretree.com/01_-_Srila_Prabhupada/01_-_Lectures/01_-_English/02_-_Month_wise/07_-_July/11/RC_LON_1973-07-11_Educationists-The_Greatest_Gain.mp3" TargetMode="External"/><Relationship Id="rId1078" Type="http://schemas.openxmlformats.org/officeDocument/2006/relationships/hyperlink" Target="https://audio.iskcondesiretree.com/01_-_Srila_Prabhupada/01_-_Lectures/01_-_English/02_-_Month_wise/07_-_July/11/RC_LON_1973-07-11_Guest-Young_Wise_Men_Old_Hypocrites.mp3" TargetMode="External"/><Relationship Id="rId1079" Type="http://schemas.openxmlformats.org/officeDocument/2006/relationships/hyperlink" Target="https://audio.iskcondesiretree.com/01_-_Srila_Prabhupada/01_-_Lectures/01_-_English/02_-_Month_wise/07_-_July/11/RC_LON_1973-07-11_Guest_%26_Devotees-Yoga_Feeling_etc.mp3" TargetMode="External"/><Relationship Id="rId2390" Type="http://schemas.openxmlformats.org/officeDocument/2006/relationships/hyperlink" Target="https://audio.iskcondesiretree.com/01_-_Srila_Prabhupada/01_-_Lectures/01_-_English/02_-_Month_wise/09_-_September/27/Arrival_1974-09-27_AR-MAYAPUR.MP3" TargetMode="External"/><Relationship Id="rId1060" Type="http://schemas.openxmlformats.org/officeDocument/2006/relationships/hyperlink" Target="https://audio.iskcondesiretree.com/01_-_Srila_Prabhupada/01_-_Lectures/01_-_English/01_-_Topic_wise/Room_Conversation/SP_Room_Conversation_London_1973-07-09_Act_According_to_Krishna%27s_Whims.mp3" TargetMode="External"/><Relationship Id="rId2391" Type="http://schemas.openxmlformats.org/officeDocument/2006/relationships/hyperlink" Target="https://audio.iskcondesiretree.com/01_-_Srila_Prabhupada/01_-_Lectures/01_-_English/02_-_Month_wise/09_-_September/27/SB-01-02-19_1974-09-27_SB-CALCUTTA.MP3" TargetMode="External"/><Relationship Id="rId1061" Type="http://schemas.openxmlformats.org/officeDocument/2006/relationships/hyperlink" Target="https://audio.iskcondesiretree.com/01_-_Srila_Prabhupada/01_-_Lectures/01_-_English/01_-_Topic_wise/Room_Conversation/SP_Room_Conversation_London_1973-07-09_Slaughterhouse_School.mp3" TargetMode="External"/><Relationship Id="rId2392" Type="http://schemas.openxmlformats.org/officeDocument/2006/relationships/hyperlink" Target="https://audio.iskcondesiretree.com/01_-_Srila_Prabhupada/01_-_Lectures/01_-_English/02_-_Month_wise/09_-_September/27/SB_1-02-19_CAL_1974-09-27_Understanding-Krishna%27s_Mercy.mp3" TargetMode="External"/><Relationship Id="rId1062" Type="http://schemas.openxmlformats.org/officeDocument/2006/relationships/hyperlink" Target="https://audio.iskcondesiretree.com/01_-_Srila_Prabhupada/01_-_Lectures/01_-_English/01_-_Topic_wise/Room_Conversation/SP_Room_Conversation_London_1973-07-09_Where_is_the_Education_About_Our_Future_Life.mp3" TargetMode="External"/><Relationship Id="rId2393" Type="http://schemas.openxmlformats.org/officeDocument/2006/relationships/hyperlink" Target="https://audio.iskcondesiretree.com/01_-_Srila_Prabhupada/01_-_Lectures/01_-_English/01_-_Topic_wise/Srimad_Bhagavatam/Canto-01/SP_SB_1-08-18_Mayapur_1974-09-28_%27Democracy%27_vs._Divine_Rule.mp3" TargetMode="External"/><Relationship Id="rId1063" Type="http://schemas.openxmlformats.org/officeDocument/2006/relationships/hyperlink" Target="https://audio.iskcondesiretree.com/01_-_Srila_Prabhupada/01_-_Lectures/01_-_English/02_-_Month_wise/07_-_July/09/Bg_01-02_LON_1973-07-09_Death_Is_God.mp3" TargetMode="External"/><Relationship Id="rId2394" Type="http://schemas.openxmlformats.org/officeDocument/2006/relationships/hyperlink" Target="https://audio.iskcondesiretree.com/01_-_Srila_Prabhupada/01_-_Lectures/01_-_English/02_-_Month_wise/09_-_September/28/SB-01-08-18_1974-09-28_SB-MAYAPUR.MP3" TargetMode="External"/><Relationship Id="rId1064" Type="http://schemas.openxmlformats.org/officeDocument/2006/relationships/hyperlink" Target="https://audio.iskcondesiretree.com/01_-_Srila_Prabhupada/01_-_Lectures/01_-_English/02_-_Month_wise/07_-_July/09/RC_LON_1973-07-09_Act_According_to_Krishna%27s_Whims.mp3" TargetMode="External"/><Relationship Id="rId2395" Type="http://schemas.openxmlformats.org/officeDocument/2006/relationships/hyperlink" Target="https://audio.iskcondesiretree.com/01_-_Srila_Prabhupada/01_-_Lectures/01_-_English/02_-_Month_wise/09_-_September/28/SB_1-08-18_MAY_1974-09-28_Democracy_vs_Divine_Rule.mp3" TargetMode="External"/><Relationship Id="rId1065" Type="http://schemas.openxmlformats.org/officeDocument/2006/relationships/hyperlink" Target="https://audio.iskcondesiretree.com/01_-_Srila_Prabhupada/01_-_Lectures/01_-_English/02_-_Month_wise/07_-_July/09/RC_LON_1973-07-09_Slaughterhouse_School.mp3" TargetMode="External"/><Relationship Id="rId2396" Type="http://schemas.openxmlformats.org/officeDocument/2006/relationships/hyperlink" Target="https://audio.iskcondesiretree.com/01_-_Srila_Prabhupada/01_-_Lectures/01_-_English/01_-_Topic_wise/Srimad_Bhagavatam/Canto-01/SP_SB_1-08-19_Mayapur_1974-09-29_We_Came_Here_to_Pass_Stool.mp3" TargetMode="External"/><Relationship Id="rId1066" Type="http://schemas.openxmlformats.org/officeDocument/2006/relationships/hyperlink" Target="https://audio.iskcondesiretree.com/01_-_Srila_Prabhupada/01_-_Lectures/01_-_English/02_-_Month_wise/07_-_July/09/RC_LON_1973-07-09_Where_is_the_Education_About_Our_Future_Life.mp3" TargetMode="External"/><Relationship Id="rId2397" Type="http://schemas.openxmlformats.org/officeDocument/2006/relationships/hyperlink" Target="https://audio.iskcondesiretree.com/01_-_Srila_Prabhupada/01_-_Lectures/01_-_English/02_-_Month_wise/09_-_September/29/Lecture%E2%80%93Bengali_1974-09-29_LE-MAYAPUR.MP3" TargetMode="External"/><Relationship Id="rId1067" Type="http://schemas.openxmlformats.org/officeDocument/2006/relationships/hyperlink" Target="https://audio.iskcondesiretree.com/01_-_Srila_Prabhupada/01_-_Lectures/01_-_English/01_-_Topic_wise/Bhagavad_Gita/Chapter-01/SP_BG_01-04_London_1973-07-10_Everything_Even--etc.mp3" TargetMode="External"/><Relationship Id="rId2398" Type="http://schemas.openxmlformats.org/officeDocument/2006/relationships/hyperlink" Target="https://audio.iskcondesiretree.com/01_-_Srila_Prabhupada/01_-_Lectures/01_-_English/02_-_Month_wise/09_-_September/29/SB-01-08-19_1974-09-29_SB-MAYAPUR.MP3" TargetMode="External"/><Relationship Id="rId1068" Type="http://schemas.openxmlformats.org/officeDocument/2006/relationships/hyperlink" Target="https://audio.iskcondesiretree.com/01_-_Srila_Prabhupada/01_-_Lectures/01_-_English/01_-_Topic_wise/Room_Conversation/SP_Room_Conversation_London_1973-07-10_Prof_Waddell_of_Private_Boys--etc.mp3" TargetMode="External"/><Relationship Id="rId2399" Type="http://schemas.openxmlformats.org/officeDocument/2006/relationships/hyperlink" Target="https://audio.iskcondesiretree.com/01_-_Srila_Prabhupada/01_-_Lectures/01_-_English/02_-_Month_wise/09_-_September/29/SB_1-08-19_MAY_1974-09-29_We_Came_Here_to_Pass_Stool.mp3" TargetMode="External"/><Relationship Id="rId1069" Type="http://schemas.openxmlformats.org/officeDocument/2006/relationships/hyperlink" Target="https://audio.iskcondesiretree.com/01_-_Srila_Prabhupada/01_-_Lectures/01_-_English/02_-_Month_wise/07_-_July/10/Bg_01-04_LON_1973-07-10_Everything_Even_etc.mp3" TargetMode="External"/><Relationship Id="rId1015" Type="http://schemas.openxmlformats.org/officeDocument/2006/relationships/hyperlink" Target="https://audio.iskcondesiretree.com/01_-_Srila_Prabhupada/01_-_Lectures/01_-_English/01_-_Topic_wise/Srimad_Bhagavatam/Canto-01/SP_SB_1-09-02_Los_Angeles_1973-05-16_The_Opulence_of_Krsna_Consciousness.mp3" TargetMode="External"/><Relationship Id="rId2346" Type="http://schemas.openxmlformats.org/officeDocument/2006/relationships/hyperlink" Target="https://audio.iskcondesiretree.com/01_-_Srila_Prabhupada/01_-_Lectures/01_-_English/02_-_Month_wise/08_-_August/11/SB_1-05-30_VRN_1974-08-11_Mahatma_Speaks_in_Krishna%27s_Favor.mp3" TargetMode="External"/><Relationship Id="rId3678" Type="http://schemas.openxmlformats.org/officeDocument/2006/relationships/hyperlink" Target="https://audio.iskcondesiretree.com/01_-_Srila_Prabhupada/01_-_Lectures/01_-_English/01_-_Topic_wise/Room_Conversation/SP_Room_Conversation_01_Bombay_1975-08-21.MP3" TargetMode="External"/><Relationship Id="rId1016" Type="http://schemas.openxmlformats.org/officeDocument/2006/relationships/hyperlink" Target="https://audio.iskcondesiretree.com/01_-_Srila_Prabhupada/01_-_Lectures/01_-_English/02_-_Month_wise/05_-_May/16/SB_1-09-02_LA_1973-05-16_The_Opulence_of_Krsna_Consciousness.mp3" TargetMode="External"/><Relationship Id="rId2347" Type="http://schemas.openxmlformats.org/officeDocument/2006/relationships/hyperlink" Target="https://audio.iskcondesiretree.com/01_-_Srila_Prabhupada/01_-_Lectures/01_-_English/01_-_Topic_wise/Bhagavad_Gita/Chapter-07/SP_BG_07-06_Vrindavan_1974-08-12_Krishna-Our_Personal_Powerhouse.mp3" TargetMode="External"/><Relationship Id="rId3677" Type="http://schemas.openxmlformats.org/officeDocument/2006/relationships/hyperlink" Target="https://audio.iskcondesiretree.com/01_-_Srila_Prabhupada/01_-_Lectures/01_-_English/02_-_Month_wise/08_-_August/19/SB-06-01-58%E2%80%93Hindi_1975-08-19_SB-BOMBAY.MP3" TargetMode="External"/><Relationship Id="rId1017" Type="http://schemas.openxmlformats.org/officeDocument/2006/relationships/hyperlink" Target="https://audio.iskcondesiretree.com/01_-_Srila_Prabhupada/01_-_Lectures/01_-_English/01_-_Topic_wise/Morning_Walk/SP_Morning_Walk_-_Los_Angeles_1973-05-17_Taking_the_Mystery_Out_of_Mystic_Power.mp3" TargetMode="External"/><Relationship Id="rId2348" Type="http://schemas.openxmlformats.org/officeDocument/2006/relationships/hyperlink" Target="https://audio.iskcondesiretree.com/01_-_Srila_Prabhupada/01_-_Lectures/01_-_English/01_-_Topic_wise/Srimad_Bhagavatam/Canto-01/SP_SB_1-05-31_Vrindavan_1974-08-12.mp3" TargetMode="External"/><Relationship Id="rId1018" Type="http://schemas.openxmlformats.org/officeDocument/2006/relationships/hyperlink" Target="https://audio.iskcondesiretree.com/01_-_Srila_Prabhupada/01_-_Lectures/01_-_English/01_-_Topic_wise/Srimad_Bhagavatam/Canto-01/SP_SB_1-09-03_Los_Angeles_1973-05-17_Qualifications_of_Bhakta_and_Bhagavan.mp3" TargetMode="External"/><Relationship Id="rId2349" Type="http://schemas.openxmlformats.org/officeDocument/2006/relationships/hyperlink" Target="https://audio.iskcondesiretree.com/01_-_Srila_Prabhupada/01_-_Lectures/01_-_English/02_-_Month_wise/08_-_August/12/Bg-07-06_1974-08-12_BG-VRNDAVAN.MP3" TargetMode="External"/><Relationship Id="rId3679" Type="http://schemas.openxmlformats.org/officeDocument/2006/relationships/hyperlink" Target="https://audio.iskcondesiretree.com/01_-_Srila_Prabhupada/01_-_Lectures/01_-_English/02_-_Month_wise/08_-_August/21/Conv_1975-08-21_R1-BOMBAY.MP3" TargetMode="External"/><Relationship Id="rId1019" Type="http://schemas.openxmlformats.org/officeDocument/2006/relationships/hyperlink" Target="https://audio.iskcondesiretree.com/01_-_Srila_Prabhupada/01_-_Lectures/01_-_English/02_-_Month_wise/05_-_May/17/MW_LA_1973-05-17_Taking_the_Mystery_Out_of_Mystic_Power.mp3" TargetMode="External"/><Relationship Id="rId3670" Type="http://schemas.openxmlformats.org/officeDocument/2006/relationships/hyperlink" Target="https://audio.iskcondesiretree.com/01_-_Srila_Prabhupada/01_-_Lectures/01_-_English/01_-_Topic_wise/Srimad_Bhagavatam/Canto-06/SP_SB_6-01-56_Bombay_1975-08-14_Skin_Expert_to_Soul_Expert.mp3" TargetMode="External"/><Relationship Id="rId2340" Type="http://schemas.openxmlformats.org/officeDocument/2006/relationships/hyperlink" Target="https://audio.iskcondesiretree.com/01_-_Srila_Prabhupada/01_-_Lectures/01_-_English/01_-_Topic_wise/Bhagavad_Gita/Chapter-07/SP_BG_07-05_Vrindavan_1974-08-11_God_Is_God-Dog_Is_Dog.mp3" TargetMode="External"/><Relationship Id="rId3672" Type="http://schemas.openxmlformats.org/officeDocument/2006/relationships/hyperlink" Target="https://audio.iskcondesiretree.com/01_-_Srila_Prabhupada/01_-_Lectures/01_-_English/02_-_Month_wise/08_-_August/14/SB_6-01-56_BOM_1975-08-14_Skin_Expert_to_Soul_Expert.mp3" TargetMode="External"/><Relationship Id="rId1010" Type="http://schemas.openxmlformats.org/officeDocument/2006/relationships/hyperlink" Target="https://audio.iskcondesiretree.com/01_-_Srila_Prabhupada/01_-_Lectures/01_-_English/02_-_Month_wise/05_-_May/14/SB_1-08-52_LA_1973-05-14_Slaughterhouse_Victims_Were_etc.mp3" TargetMode="External"/><Relationship Id="rId2341" Type="http://schemas.openxmlformats.org/officeDocument/2006/relationships/hyperlink" Target="https://audio.iskcondesiretree.com/01_-_Srila_Prabhupada/01_-_Lectures/01_-_English/01_-_Topic_wise/Srimad_Bhagavatam/Canto-01/SP_SB_1-05-30_Vrindavan_1974-08-11_Mahatma_Speaks_in_Krishna%27s_Favor.mp3" TargetMode="External"/><Relationship Id="rId3671" Type="http://schemas.openxmlformats.org/officeDocument/2006/relationships/hyperlink" Target="https://audio.iskcondesiretree.com/01_-_Srila_Prabhupada/01_-_Lectures/01_-_English/02_-_Month_wise/08_-_August/14/SB-06-01-56%E2%80%9357_1975-08-14_SB-BOMBAY.MP3" TargetMode="External"/><Relationship Id="rId1011" Type="http://schemas.openxmlformats.org/officeDocument/2006/relationships/hyperlink" Target="https://audio.iskcondesiretree.com/01_-_Srila_Prabhupada/01_-_Lectures/01_-_English/01_-_Topic_wise/Morning_Walk/SP_Morning_Walk_-_Los_Angeles_1973-05-15_Science_vs._Veda_vs._Religion.mp3" TargetMode="External"/><Relationship Id="rId2342" Type="http://schemas.openxmlformats.org/officeDocument/2006/relationships/hyperlink" Target="https://audio.iskcondesiretree.com/01_-_Srila_Prabhupada/01_-_Lectures/01_-_English/02_-_Month_wise/08_-_August/11/Bg-07-05_1974-08-11_BG-VRNDAVAN.MP3" TargetMode="External"/><Relationship Id="rId3674" Type="http://schemas.openxmlformats.org/officeDocument/2006/relationships/hyperlink" Target="https://audio.iskcondesiretree.com/01_-_Srila_Prabhupada/01_-_Lectures/01_-_English/02_-_Month_wise/08_-_August/15/Walk_1975-08-15_MW-BOMBAY.MP3" TargetMode="External"/><Relationship Id="rId1012" Type="http://schemas.openxmlformats.org/officeDocument/2006/relationships/hyperlink" Target="https://audio.iskcondesiretree.com/01_-_Srila_Prabhupada/01_-_Lectures/01_-_English/01_-_Topic_wise/Srimad_Bhagavatam/Canto-01/SP_SB_1-09-01_Los_Angeles_1973-05-15_Equality-How.mp3" TargetMode="External"/><Relationship Id="rId2343" Type="http://schemas.openxmlformats.org/officeDocument/2006/relationships/hyperlink" Target="https://audio.iskcondesiretree.com/01_-_Srila_Prabhupada/01_-_Lectures/01_-_English/02_-_Month_wise/08_-_August/11/Bg_07-05_VRN_1974-08-11_God_Is_God-Dog_Is_Dog.mp3" TargetMode="External"/><Relationship Id="rId3673" Type="http://schemas.openxmlformats.org/officeDocument/2006/relationships/hyperlink" Target="https://audio.iskcondesiretree.com/01_-_Srila_Prabhupada/01_-_Lectures/01_-_English/01_-_Topic_wise/Morning_Walk/SP_Morning_Walk_-_Bombay_1975-08-15.MP3" TargetMode="External"/><Relationship Id="rId1013" Type="http://schemas.openxmlformats.org/officeDocument/2006/relationships/hyperlink" Target="https://audio.iskcondesiretree.com/01_-_Srila_Prabhupada/01_-_Lectures/01_-_English/02_-_Month_wise/05_-_May/15/MW_LA_1973-05-15_Science_Vs_Veda_Vs_Religion.mp3" TargetMode="External"/><Relationship Id="rId2344" Type="http://schemas.openxmlformats.org/officeDocument/2006/relationships/hyperlink" Target="https://audio.iskcondesiretree.com/01_-_Srila_Prabhupada/01_-_Lectures/01_-_English/02_-_Month_wise/08_-_August/11/Janmastami_1974-08-11_BG-VRNDAVAN.MP3" TargetMode="External"/><Relationship Id="rId3676" Type="http://schemas.openxmlformats.org/officeDocument/2006/relationships/hyperlink" Target="https://audio.iskcondesiretree.com/01_-_Srila_Prabhupada/01_-_Lectures/01_-_English/02_-_Month_wise/08_-_August/17/Walk_1975-08-17_MW-BOMBAY.MP3" TargetMode="External"/><Relationship Id="rId1014" Type="http://schemas.openxmlformats.org/officeDocument/2006/relationships/hyperlink" Target="https://audio.iskcondesiretree.com/01_-_Srila_Prabhupada/01_-_Lectures/01_-_English/02_-_Month_wise/05_-_May/15/SB_1-09-01_LA_1973-05-15_Equality-How.mp3" TargetMode="External"/><Relationship Id="rId2345" Type="http://schemas.openxmlformats.org/officeDocument/2006/relationships/hyperlink" Target="https://audio.iskcondesiretree.com/01_-_Srila_Prabhupada/01_-_Lectures/01_-_English/02_-_Month_wise/08_-_August/11/SB-01-05-30_1974-08-11_SB-VRNDAVAN.MP3" TargetMode="External"/><Relationship Id="rId3675" Type="http://schemas.openxmlformats.org/officeDocument/2006/relationships/hyperlink" Target="https://audio.iskcondesiretree.com/01_-_Srila_Prabhupada/01_-_Lectures/01_-_English/01_-_Topic_wise/Morning_Walk/SP_Morning_Walk_-_Bombay_1975-08-17.MP3" TargetMode="External"/><Relationship Id="rId1004" Type="http://schemas.openxmlformats.org/officeDocument/2006/relationships/hyperlink" Target="https://audio.iskcondesiretree.com/01_-_Srila_Prabhupada/01_-_Lectures/01_-_English/01_-_Topic_wise/Morning_Walk/SP_Morning_Walk_-_Los_Angeles_1973-05-13_Sudras_Hear_from_Scientists.mp3" TargetMode="External"/><Relationship Id="rId2335" Type="http://schemas.openxmlformats.org/officeDocument/2006/relationships/hyperlink" Target="https://audio.iskcondesiretree.com/01_-_Srila_Prabhupada/01_-_Lectures/01_-_English/01_-_Topic_wise/Srimad_Bhagavatam/Canto-01/SP_SB_1-05-29_Vrindavan_1974-08-10_Here_is_a_Disciple_of_Kali.mp3" TargetMode="External"/><Relationship Id="rId3667" Type="http://schemas.openxmlformats.org/officeDocument/2006/relationships/hyperlink" Target="https://audio.iskcondesiretree.com/01_-_Srila_Prabhupada/01_-_Lectures/01_-_English/02_-_Month_wise/08_-_August/13/SB-06-01-55_1975-08-13_SB-LONDON.MP3" TargetMode="External"/><Relationship Id="rId4998" Type="http://schemas.openxmlformats.org/officeDocument/2006/relationships/hyperlink" Target="https://audio.iskcondesiretree.com/01_-_Srila_Prabhupada/01_-_Lectures/01_-_English/02_-_Month_wise/07_-_July/18/Walk_1976-07-18_MW-NEW%20YORK.MP3" TargetMode="External"/><Relationship Id="rId1005" Type="http://schemas.openxmlformats.org/officeDocument/2006/relationships/hyperlink" Target="https://audio.iskcondesiretree.com/01_-_Srila_Prabhupada/01_-_Lectures/01_-_English/01_-_Topic_wise/Srimad_Bhagavatam/Canto-01/SP_SB_1-08-51_Los_Angeles_1973-05-13_Responsibilities_of_Fathers--etc.mp3" TargetMode="External"/><Relationship Id="rId2336" Type="http://schemas.openxmlformats.org/officeDocument/2006/relationships/hyperlink" Target="https://audio.iskcondesiretree.com/01_-_Srila_Prabhupada/01_-_Lectures/01_-_English/02_-_Month_wise/08_-_August/10/Bg-07-04_1974-08-10_BG-VRNDAVAN.MP3" TargetMode="External"/><Relationship Id="rId3666" Type="http://schemas.openxmlformats.org/officeDocument/2006/relationships/hyperlink" Target="https://audio.iskcondesiretree.com/01_-_Srila_Prabhupada/01_-_Lectures/01_-_English/01_-_Topic_wise/Srimad_Bhagavatam/Canto-06/SP_SB_6-01-55_London_1975-08-13_Be_a_Helper-Not_the_Whole_Show.mp3" TargetMode="External"/><Relationship Id="rId4997" Type="http://schemas.openxmlformats.org/officeDocument/2006/relationships/hyperlink" Target="https://audio.iskcondesiretree.com/01_-_Srila_Prabhupada/01_-_Lectures/01_-_English/02_-_Month_wise/07_-_July/18/RathaYatra_1976-07-18_RY-NEW%20YORK.MP3" TargetMode="External"/><Relationship Id="rId1006" Type="http://schemas.openxmlformats.org/officeDocument/2006/relationships/hyperlink" Target="https://audio.iskcondesiretree.com/01_-_Srila_Prabhupada/01_-_Lectures/01_-_English/02_-_Month_wise/05_-_May/13/MW_LA_1973-05-13_Evolution_Devolution_and_Elevation.mp3" TargetMode="External"/><Relationship Id="rId2337" Type="http://schemas.openxmlformats.org/officeDocument/2006/relationships/hyperlink" Target="https://audio.iskcondesiretree.com/01_-_Srila_Prabhupada/01_-_Lectures/01_-_English/02_-_Month_wise/08_-_August/10/Bg_07-04_VRN_1974-08-10_Society%2C_Friendship_and_Love.mp3" TargetMode="External"/><Relationship Id="rId3669" Type="http://schemas.openxmlformats.org/officeDocument/2006/relationships/hyperlink" Target="https://audio.iskcondesiretree.com/01_-_Srila_Prabhupada/01_-_Lectures/01_-_English/02_-_Month_wise/08_-_August/13/Walk_1975-08-13_MW-LONDON.MP3" TargetMode="External"/><Relationship Id="rId1007" Type="http://schemas.openxmlformats.org/officeDocument/2006/relationships/hyperlink" Target="https://audio.iskcondesiretree.com/01_-_Srila_Prabhupada/01_-_Lectures/01_-_English/02_-_Month_wise/05_-_May/13/MW_LA_1973-05-13_Sudras_Hear_from_Scientists.mp3" TargetMode="External"/><Relationship Id="rId2338" Type="http://schemas.openxmlformats.org/officeDocument/2006/relationships/hyperlink" Target="https://audio.iskcondesiretree.com/01_-_Srila_Prabhupada/01_-_Lectures/01_-_English/02_-_Month_wise/08_-_August/10/SB-01-05-29_1974-08-10_SB-VRNDAVAN.MP3" TargetMode="External"/><Relationship Id="rId3668" Type="http://schemas.openxmlformats.org/officeDocument/2006/relationships/hyperlink" Target="https://audio.iskcondesiretree.com/01_-_Srila_Prabhupada/01_-_Lectures/01_-_English/02_-_Month_wise/08_-_August/13/SB_6-01-55_LON_1975-08-13_Be_a_Helper-Not_the_Whole_Show.mp3" TargetMode="External"/><Relationship Id="rId4999" Type="http://schemas.openxmlformats.org/officeDocument/2006/relationships/hyperlink" Target="https://audio.iskcondesiretree.com/01_-_Srila_Prabhupada/01_-_Lectures/01_-_English/02_-_Month_wise/07_-_July/19/CcMadhya-20-111_1976-07-19_CC-NEW%20YORK.MP3" TargetMode="External"/><Relationship Id="rId1008" Type="http://schemas.openxmlformats.org/officeDocument/2006/relationships/hyperlink" Target="https://audio.iskcondesiretree.com/01_-_Srila_Prabhupada/01_-_Lectures/01_-_English/02_-_Month_wise/05_-_May/13/SB_1-08-51_LA_1973-05-13_Responsibilities_of_Fathers_etc.mp3" TargetMode="External"/><Relationship Id="rId2339" Type="http://schemas.openxmlformats.org/officeDocument/2006/relationships/hyperlink" Target="https://audio.iskcondesiretree.com/01_-_Srila_Prabhupada/01_-_Lectures/01_-_English/02_-_Month_wise/08_-_August/10/SB_1-05-29_VRN_1974-08-10_Here_is_a_Disciple_of_Kali.mp3" TargetMode="External"/><Relationship Id="rId1009" Type="http://schemas.openxmlformats.org/officeDocument/2006/relationships/hyperlink" Target="https://audio.iskcondesiretree.com/01_-_Srila_Prabhupada/01_-_Lectures/01_-_English/01_-_Topic_wise/Srimad_Bhagavatam/Canto-01/SP_SB_1-08-52_Los_Angeles_1973-05-14_Slaughterhouse_Victims_Were--etc.mp3" TargetMode="External"/><Relationship Id="rId4990" Type="http://schemas.openxmlformats.org/officeDocument/2006/relationships/hyperlink" Target="https://audio.iskcondesiretree.com/01_-_Srila_Prabhupada/01_-_Lectures/01_-_English/02_-_Month_wise/07_-_July/17/Interv_NY_1976-07-17_Trans_India_Magazine_Life_etc.mp3" TargetMode="External"/><Relationship Id="rId3661" Type="http://schemas.openxmlformats.org/officeDocument/2006/relationships/hyperlink" Target="https://audio.iskcondesiretree.com/01_-_Srila_Prabhupada/01_-_Lectures/01_-_English/01_-_Topic_wise/Room_Conversation/SP_Room_Conversation_Paris_1975-08-12.MP3" TargetMode="External"/><Relationship Id="rId4992" Type="http://schemas.openxmlformats.org/officeDocument/2006/relationships/hyperlink" Target="https://audio.iskcondesiretree.com/01_-_Srila_Prabhupada/01_-_Lectures/01_-_English/02_-_Month_wise/07_-_July/17/RC_NY_1976-07-17_Krishna-Supreme_or_Second-Best.mp3" TargetMode="External"/><Relationship Id="rId2330" Type="http://schemas.openxmlformats.org/officeDocument/2006/relationships/hyperlink" Target="https://audio.iskcondesiretree.com/01_-_Srila_Prabhupada/01_-_Lectures/01_-_English/02_-_Month_wise/08_-_August/09/Bg-07-03_1974-08-09_BG-VRNDAVAN.MP3" TargetMode="External"/><Relationship Id="rId3660" Type="http://schemas.openxmlformats.org/officeDocument/2006/relationships/hyperlink" Target="https://audio.iskcondesiretree.com/01_-_Srila_Prabhupada/01_-_Lectures/01_-_English/01_-_Topic_wise/Morning_Walk/SP_Morning_Walk_-_Paris_1975-08-12_Responsible_Jackals.mp3" TargetMode="External"/><Relationship Id="rId4991" Type="http://schemas.openxmlformats.org/officeDocument/2006/relationships/hyperlink" Target="https://audio.iskcondesiretree.com/01_-_Srila_Prabhupada/01_-_Lectures/01_-_English/02_-_Month_wise/07_-_July/17/Interview_1976-07-17_IV-NEW%20YORK.MP3" TargetMode="External"/><Relationship Id="rId1000" Type="http://schemas.openxmlformats.org/officeDocument/2006/relationships/hyperlink" Target="https://audio.iskcondesiretree.com/01_-_Srila_Prabhupada/01_-_Lectures/01_-_English/02_-_Month_wise/05_-_May/10/SB_1-08-48_LA_1973-05-10_This_Body_Belongs_to_Others.mp3" TargetMode="External"/><Relationship Id="rId2331" Type="http://schemas.openxmlformats.org/officeDocument/2006/relationships/hyperlink" Target="https://audio.iskcondesiretree.com/01_-_Srila_Prabhupada/01_-_Lectures/01_-_English/02_-_Month_wise/08_-_August/09/Bg_07-03_VRN_1974-08-09_Abominable_Ananda.mp3" TargetMode="External"/><Relationship Id="rId3663" Type="http://schemas.openxmlformats.org/officeDocument/2006/relationships/hyperlink" Target="https://audio.iskcondesiretree.com/01_-_Srila_Prabhupada/01_-_Lectures/01_-_English/02_-_Month_wise/08_-_August/12/MW_PAR_1975-08-12_Responsible_Jackals.mp3" TargetMode="External"/><Relationship Id="rId4994" Type="http://schemas.openxmlformats.org/officeDocument/2006/relationships/hyperlink" Target="https://audio.iskcondesiretree.com/01_-_Srila_Prabhupada/01_-_Lectures/01_-_English/01_-_Topic_wise/Festivals/SP_Festivals_New_York_1976-07-18_Ratha-yatra--The_Culture_of_Liberty.mp3" TargetMode="External"/><Relationship Id="rId1001" Type="http://schemas.openxmlformats.org/officeDocument/2006/relationships/hyperlink" Target="https://audio.iskcondesiretree.com/01_-_Srila_Prabhupada/01_-_Lectures/01_-_English/01_-_Topic_wise/Srimad_Bhagavatam/Canto-01/SP_SB_1-08-50_Los_Angeles_1973-05-12_When_to_Be_Nonviolent_-_Violent.mp3" TargetMode="External"/><Relationship Id="rId2332" Type="http://schemas.openxmlformats.org/officeDocument/2006/relationships/hyperlink" Target="https://audio.iskcondesiretree.com/01_-_Srila_Prabhupada/01_-_Lectures/01_-_English/02_-_Month_wise/08_-_August/09/SB-01-05-28_1974-08-09_SB-VRNDAVAN.MP3" TargetMode="External"/><Relationship Id="rId3662" Type="http://schemas.openxmlformats.org/officeDocument/2006/relationships/hyperlink" Target="https://audio.iskcondesiretree.com/01_-_Srila_Prabhupada/01_-_Lectures/01_-_English/02_-_Month_wise/08_-_August/12/Conv_1975-08-12_R1-PARIS.MP3" TargetMode="External"/><Relationship Id="rId4993" Type="http://schemas.openxmlformats.org/officeDocument/2006/relationships/hyperlink" Target="https://audio.iskcondesiretree.com/01_-_Srila_Prabhupada/01_-_Lectures/01_-_English/02_-_Month_wise/07_-_July/17/Walk_1976-07-17_MW-NEW%20YORK.MP3" TargetMode="External"/><Relationship Id="rId1002" Type="http://schemas.openxmlformats.org/officeDocument/2006/relationships/hyperlink" Target="https://audio.iskcondesiretree.com/01_-_Srila_Prabhupada/01_-_Lectures/01_-_English/02_-_Month_wise/05_-_May/12/SB_1-08-50_LA_1973-05-12_When_to_Be_Nonviolent_Violent.mp3" TargetMode="External"/><Relationship Id="rId2333" Type="http://schemas.openxmlformats.org/officeDocument/2006/relationships/hyperlink" Target="https://audio.iskcondesiretree.com/01_-_Srila_Prabhupada/01_-_Lectures/01_-_English/02_-_Month_wise/08_-_August/09/SB_1-05-28_VRN_1974-08-09_Secret_of_Supreme_Satisfaction.mp3" TargetMode="External"/><Relationship Id="rId3665" Type="http://schemas.openxmlformats.org/officeDocument/2006/relationships/hyperlink" Target="https://audio.iskcondesiretree.com/01_-_Srila_Prabhupada/01_-_Lectures/01_-_English/01_-_Topic_wise/Morning_Walk/SP_Morning_Walk_-_London_1975-08-13.MP3" TargetMode="External"/><Relationship Id="rId4996" Type="http://schemas.openxmlformats.org/officeDocument/2006/relationships/hyperlink" Target="https://audio.iskcondesiretree.com/01_-_Srila_Prabhupada/01_-_Lectures/01_-_English/02_-_Month_wise/07_-_July/18/Fest_NY_1976-07-18_Ratha-yatra-The_Culture_of_Liberty.mp3" TargetMode="External"/><Relationship Id="rId1003" Type="http://schemas.openxmlformats.org/officeDocument/2006/relationships/hyperlink" Target="https://audio.iskcondesiretree.com/01_-_Srila_Prabhupada/01_-_Lectures/01_-_English/01_-_Topic_wise/Morning_Walk/SP_Morning_Walk_-_Los_Angeles_1973-05-13_Evolution_Devolution_and_Elevation.mp3" TargetMode="External"/><Relationship Id="rId2334" Type="http://schemas.openxmlformats.org/officeDocument/2006/relationships/hyperlink" Target="https://audio.iskcondesiretree.com/01_-_Srila_Prabhupada/01_-_Lectures/01_-_English/01_-_Topic_wise/Bhagavad_Gita/Chapter-07/SP_BG_07-04_Vrindavan_1974-08-10_Society_Friendship_and_Love.mp3" TargetMode="External"/><Relationship Id="rId3664" Type="http://schemas.openxmlformats.org/officeDocument/2006/relationships/hyperlink" Target="https://audio.iskcondesiretree.com/01_-_Srila_Prabhupada/01_-_Lectures/01_-_English/02_-_Month_wise/08_-_August/12/Walk_1975-08-12_MW-PARIS.MP3" TargetMode="External"/><Relationship Id="rId4995" Type="http://schemas.openxmlformats.org/officeDocument/2006/relationships/hyperlink" Target="https://audio.iskcondesiretree.com/01_-_Srila_Prabhupada/01_-_Lectures/01_-_English/02_-_Month_wise/07_-_July/18/Conv_1976-07-18_R1-NEW%20YORK.MP3" TargetMode="External"/><Relationship Id="rId1037" Type="http://schemas.openxmlformats.org/officeDocument/2006/relationships/hyperlink" Target="https://audio.iskcondesiretree.com/01_-_Srila_Prabhupada/01_-_Lectures/01_-_English/01_-_Topic_wise/Srimad_Bhagavatam/Canto-01/SP_SB_1-10-04_Mayapur_1973-06-19_When_People_Become_Demons.mp3" TargetMode="External"/><Relationship Id="rId2368" Type="http://schemas.openxmlformats.org/officeDocument/2006/relationships/hyperlink" Target="https://audio.iskcondesiretree.com/01_-_Srila_Prabhupada/01_-_Lectures/01_-_English/02_-_Month_wise/08_-_August/16/SB_1-05-35_VRN_1974-08-16_Krishna-Satisfied_with_Devotees.mp3" TargetMode="External"/><Relationship Id="rId1038" Type="http://schemas.openxmlformats.org/officeDocument/2006/relationships/hyperlink" Target="https://audio.iskcondesiretree.com/01_-_Srila_Prabhupada/01_-_Lectures/01_-_English/02_-_Month_wise/06_-_June/19/SB_1-10-04_MAY_1973-06-19_When_People_Become_Demons.mp3" TargetMode="External"/><Relationship Id="rId2369" Type="http://schemas.openxmlformats.org/officeDocument/2006/relationships/hyperlink" Target="https://audio.iskcondesiretree.com/01_-_Srila_Prabhupada/01_-_Lectures/01_-_English/01_-_Topic_wise/Srimad_Bhagavatam/Canto-01/SP_SB_1-05-36_Vrindavan_1974-08-17.mp3" TargetMode="External"/><Relationship Id="rId3699" Type="http://schemas.openxmlformats.org/officeDocument/2006/relationships/hyperlink" Target="https://audio.iskcondesiretree.com/01_-_Srila_Prabhupada/01_-_Lectures/01_-_English/02_-_Month_wise/08_-_August/29/Walk_1975-08-29_MW-VRNDAVAN.MP3" TargetMode="External"/><Relationship Id="rId1039" Type="http://schemas.openxmlformats.org/officeDocument/2006/relationships/hyperlink" Target="https://audio.iskcondesiretree.com/01_-_Srila_Prabhupada/01_-_Lectures/01_-_English/01_-_Topic_wise/Srimad_Bhagavatam/Canto-01/SP_SB_1-10-05_Mayapur_1973-06-20_Comforts_for_the_Body_and_Soul.mp3" TargetMode="External"/><Relationship Id="rId3690" Type="http://schemas.openxmlformats.org/officeDocument/2006/relationships/hyperlink" Target="https://audio.iskcondesiretree.com/01_-_Srila_Prabhupada/01_-_Lectures/01_-_English/01_-_Topic_wise/Srimad_Bhagavatam/Canto-06/SP_SB_6-01-61_Vrindavan_1975-08-28_Sexual_Heart_Disease.mp3" TargetMode="External"/><Relationship Id="rId2360" Type="http://schemas.openxmlformats.org/officeDocument/2006/relationships/hyperlink" Target="https://audio.iskcondesiretree.com/01_-_Srila_Prabhupada/01_-_Lectures/01_-_English/02_-_Month_wise/08_-_August/14/SB_1-05-33_VRN_1974-08-14_Lower_Planets_or_Liberation.mp3" TargetMode="External"/><Relationship Id="rId3692" Type="http://schemas.openxmlformats.org/officeDocument/2006/relationships/hyperlink" Target="https://audio.iskcondesiretree.com/01_-_Srila_Prabhupada/01_-_Lectures/01_-_English/02_-_Month_wise/08_-_August/28/SB_6-01-61_VRN_1975-08-28_Sexual_Heart_Disease.mp3" TargetMode="External"/><Relationship Id="rId1030" Type="http://schemas.openxmlformats.org/officeDocument/2006/relationships/hyperlink" Target="https://audio.iskcondesiretree.com/01_-_Srila_Prabhupada/01_-_Lectures/01_-_English/02_-_Month_wise/06_-_June/15/SB_1-09-49_MAY_1973-06-15_Ruling_by_Religious_Principles.mp3" TargetMode="External"/><Relationship Id="rId2361" Type="http://schemas.openxmlformats.org/officeDocument/2006/relationships/hyperlink" Target="https://audio.iskcondesiretree.com/01_-_Srila_Prabhupada/01_-_Lectures/01_-_English/01_-_Topic_wise/Bhagavad_Gita/Chapter-07/SP_BG_07-09_Vrindavan_1974-08-15_Transcendental_%27Nature_Study%27.mp3" TargetMode="External"/><Relationship Id="rId3691" Type="http://schemas.openxmlformats.org/officeDocument/2006/relationships/hyperlink" Target="https://audio.iskcondesiretree.com/01_-_Srila_Prabhupada/01_-_Lectures/01_-_English/02_-_Month_wise/08_-_August/28/SB-06-01-61_1975-08-28_SB-VRNDAVAN.MP3" TargetMode="External"/><Relationship Id="rId1031" Type="http://schemas.openxmlformats.org/officeDocument/2006/relationships/hyperlink" Target="https://audio.iskcondesiretree.com/01_-_Srila_Prabhupada/01_-_Lectures/01_-_English/01_-_Topic_wise/Srimad_Bhagavatam/Canto-01/SP_SB_1-10-01_Mayapur_1973-06-16_Yudhisthira-Perfect_Surrender.mp3" TargetMode="External"/><Relationship Id="rId2362" Type="http://schemas.openxmlformats.org/officeDocument/2006/relationships/hyperlink" Target="https://audio.iskcondesiretree.com/01_-_Srila_Prabhupada/01_-_Lectures/01_-_English/02_-_Month_wise/08_-_August/15/Bg-07-09_1974-08-15_BG-VRNDAVAN.MP3" TargetMode="External"/><Relationship Id="rId3694" Type="http://schemas.openxmlformats.org/officeDocument/2006/relationships/hyperlink" Target="https://audio.iskcondesiretree.com/01_-_Srila_Prabhupada/01_-_Lectures/01_-_English/01_-_Topic_wise/Morning_Walk/SP_Morning_Walk_-_Vrindavan_1975-08-29.MP3" TargetMode="External"/><Relationship Id="rId1032" Type="http://schemas.openxmlformats.org/officeDocument/2006/relationships/hyperlink" Target="https://audio.iskcondesiretree.com/01_-_Srila_Prabhupada/01_-_Lectures/01_-_English/02_-_Month_wise/06_-_June/16/SB_1-10-01_MAY_1973-06-16_Yudhisthira-Perfect_Surrender.mp3" TargetMode="External"/><Relationship Id="rId2363" Type="http://schemas.openxmlformats.org/officeDocument/2006/relationships/hyperlink" Target="https://audio.iskcondesiretree.com/01_-_Srila_Prabhupada/01_-_Lectures/01_-_English/02_-_Month_wise/08_-_August/15/Bg_07-09_VRN_1974-08-15_Transcendental_Nature_Study.mp3" TargetMode="External"/><Relationship Id="rId3693" Type="http://schemas.openxmlformats.org/officeDocument/2006/relationships/hyperlink" Target="https://audio.iskcondesiretree.com/01_-_Srila_Prabhupada/01_-_Lectures/01_-_English/02_-_Month_wise/08_-_August/28/Walk_1975-08-28_MW-VRNDAVAN.MP3" TargetMode="External"/><Relationship Id="rId1033" Type="http://schemas.openxmlformats.org/officeDocument/2006/relationships/hyperlink" Target="https://audio.iskcondesiretree.com/01_-_Srila_Prabhupada/01_-_Lectures/01_-_English/01_-_Topic_wise/Srimad_Bhagavatam/Canto-01/SP_SB_1-10-02_Mayapur_1973-06-17_Seeing_That_Krishna_Is_Satisfied.mp3" TargetMode="External"/><Relationship Id="rId2364" Type="http://schemas.openxmlformats.org/officeDocument/2006/relationships/hyperlink" Target="https://audio.iskcondesiretree.com/01_-_Srila_Prabhupada/01_-_Lectures/01_-_English/01_-_Topic_wise/Bhagavad_Gita/Chapter-07/SP_BG_07-10_Vrindavan_1974-08-16.mp3" TargetMode="External"/><Relationship Id="rId3696" Type="http://schemas.openxmlformats.org/officeDocument/2006/relationships/hyperlink" Target="https://audio.iskcondesiretree.com/01_-_Srila_Prabhupada/01_-_Lectures/01_-_English/02_-_Month_wise/08_-_August/29/Bg-Lecture%E2%80%93Hindi_1975-08-29_BG-VRNDAVAN.MP3" TargetMode="External"/><Relationship Id="rId1034" Type="http://schemas.openxmlformats.org/officeDocument/2006/relationships/hyperlink" Target="https://audio.iskcondesiretree.com/01_-_Srila_Prabhupada/01_-_Lectures/01_-_English/02_-_Month_wise/06_-_June/17/SB_1-10-02_MAY_1973-06-17_Seeing_That_Krishna_Is_Satisfied.mp3" TargetMode="External"/><Relationship Id="rId2365" Type="http://schemas.openxmlformats.org/officeDocument/2006/relationships/hyperlink" Target="https://audio.iskcondesiretree.com/01_-_Srila_Prabhupada/01_-_Lectures/01_-_English/01_-_Topic_wise/Srimad_Bhagavatam/Canto-01/SP_SB_1-05-35_Vrindavan_1974-08-16_Krishna-Satisfied_with_Devotees.mp3" TargetMode="External"/><Relationship Id="rId3695" Type="http://schemas.openxmlformats.org/officeDocument/2006/relationships/hyperlink" Target="https://audio.iskcondesiretree.com/01_-_Srila_Prabhupada/01_-_Lectures/01_-_English/01_-_Topic_wise/Srimad_Bhagavatam/Canto-06/SP_SB_6-01-62_Vrindavan_1975-08-29_The_Agitated_Mind.mp3" TargetMode="External"/><Relationship Id="rId1035" Type="http://schemas.openxmlformats.org/officeDocument/2006/relationships/hyperlink" Target="https://audio.iskcondesiretree.com/01_-_Srila_Prabhupada/01_-_Lectures/01_-_English/01_-_Topic_wise/Srimad_Bhagavatam/Canto-01/SP_SB_1-10-03_Mayapur_1973-06-18_God-Conscious_Monarchy.mp3" TargetMode="External"/><Relationship Id="rId2366" Type="http://schemas.openxmlformats.org/officeDocument/2006/relationships/hyperlink" Target="https://audio.iskcondesiretree.com/01_-_Srila_Prabhupada/01_-_Lectures/01_-_English/02_-_Month_wise/08_-_August/16/Bg-07-10_1974-08-16_BG-VRNDAVAN.MP3" TargetMode="External"/><Relationship Id="rId3698" Type="http://schemas.openxmlformats.org/officeDocument/2006/relationships/hyperlink" Target="https://audio.iskcondesiretree.com/01_-_Srila_Prabhupada/01_-_Lectures/01_-_English/02_-_Month_wise/08_-_August/29/SB_6-01-62_VRN_1975-08-29_The_Agitated_Mind.mp3" TargetMode="External"/><Relationship Id="rId1036" Type="http://schemas.openxmlformats.org/officeDocument/2006/relationships/hyperlink" Target="https://audio.iskcondesiretree.com/01_-_Srila_Prabhupada/01_-_Lectures/01_-_English/02_-_Month_wise/06_-_June/18/SB_1-10-03_MAY_1973-06-18_God-Conscious_Monarchy.mp3" TargetMode="External"/><Relationship Id="rId2367" Type="http://schemas.openxmlformats.org/officeDocument/2006/relationships/hyperlink" Target="https://audio.iskcondesiretree.com/01_-_Srila_Prabhupada/01_-_Lectures/01_-_English/02_-_Month_wise/08_-_August/16/SB-01-05-35_1974-08-16_SB-VRNDAVAN.MP3" TargetMode="External"/><Relationship Id="rId3697" Type="http://schemas.openxmlformats.org/officeDocument/2006/relationships/hyperlink" Target="https://audio.iskcondesiretree.com/01_-_Srila_Prabhupada/01_-_Lectures/01_-_English/02_-_Month_wise/08_-_August/29/SB-06-01-62_1975-08-29_SB-VRNDAVAN.MP3" TargetMode="External"/><Relationship Id="rId1026" Type="http://schemas.openxmlformats.org/officeDocument/2006/relationships/hyperlink" Target="https://audio.iskcondesiretree.com/01_-_Srila_Prabhupada/01_-_Lectures/01_-_English/02_-_Month_wise/05_-_May/22/SB_1-09-40_NY_1973-05-22_We_Alone_Teach_You%27re_Not_This_Body.mp3" TargetMode="External"/><Relationship Id="rId2357" Type="http://schemas.openxmlformats.org/officeDocument/2006/relationships/hyperlink" Target="https://audio.iskcondesiretree.com/01_-_Srila_Prabhupada/01_-_Lectures/01_-_English/02_-_Month_wise/08_-_August/13/SB_1-05-23_VRN_1974-08-13_See_Whether_Your_Life_Is_Perfect.mp3" TargetMode="External"/><Relationship Id="rId3689" Type="http://schemas.openxmlformats.org/officeDocument/2006/relationships/hyperlink" Target="https://audio.iskcondesiretree.com/01_-_Srila_Prabhupada/01_-_Lectures/01_-_English/01_-_Topic_wise/Morning_Walk/SP_Morning_Walk_-_Vrindavan_1975-08-28.MP3" TargetMode="External"/><Relationship Id="rId1027" Type="http://schemas.openxmlformats.org/officeDocument/2006/relationships/hyperlink" Target="https://audio.iskcondesiretree.com/01_-_Srila_Prabhupada/01_-_Lectures/01_-_English/01_-_Topic_wise/Srimad_Bhagavatam/Canto-01/SP_SB_1-09-48_Mayapur_1973-06-14_Gandhari-Chaste_and_Faithful.mp3" TargetMode="External"/><Relationship Id="rId2358" Type="http://schemas.openxmlformats.org/officeDocument/2006/relationships/hyperlink" Target="https://audio.iskcondesiretree.com/01_-_Srila_Prabhupada/01_-_Lectures/01_-_English/01_-_Topic_wise/Srimad_Bhagavatam/Canto-01/SP_SB_1-05-33_Vrindavan_1974-08-14_Lower_Planets_or_Liberation.mp3" TargetMode="External"/><Relationship Id="rId3688" Type="http://schemas.openxmlformats.org/officeDocument/2006/relationships/hyperlink" Target="https://audio.iskcondesiretree.com/01_-_Srila_Prabhupada/01_-_Lectures/01_-_English/02_-_Month_wise/08_-_August/27/Walk_1975-08-27_MW-VRNDAVAN.MP3" TargetMode="External"/><Relationship Id="rId1028" Type="http://schemas.openxmlformats.org/officeDocument/2006/relationships/hyperlink" Target="https://audio.iskcondesiretree.com/01_-_Srila_Prabhupada/01_-_Lectures/01_-_English/02_-_Month_wise/06_-_June/14/SB_1-09-48_MAY_1973-06-14_Gandhari-Chaste_and_Faithful.mp3" TargetMode="External"/><Relationship Id="rId2359" Type="http://schemas.openxmlformats.org/officeDocument/2006/relationships/hyperlink" Target="https://audio.iskcondesiretree.com/01_-_Srila_Prabhupada/01_-_Lectures/01_-_English/02_-_Month_wise/08_-_August/14/SB-01-05-33_1974-08-14_SB-VRNDAVAN.MP3" TargetMode="External"/><Relationship Id="rId1029" Type="http://schemas.openxmlformats.org/officeDocument/2006/relationships/hyperlink" Target="https://audio.iskcondesiretree.com/01_-_Srila_Prabhupada/01_-_Lectures/01_-_English/01_-_Topic_wise/Srimad_Bhagavatam/Canto-01/SP_SB_1-09-49_Mayapur_1973-06-15_Ruling_by_Religious_Principles.mp3" TargetMode="External"/><Relationship Id="rId3681" Type="http://schemas.openxmlformats.org/officeDocument/2006/relationships/hyperlink" Target="https://audio.iskcondesiretree.com/01_-_Srila_Prabhupada/01_-_Lectures/01_-_English/02_-_Month_wise/08_-_August/24/Walk_1975-08-24_MW-DELHI.MP3" TargetMode="External"/><Relationship Id="rId2350" Type="http://schemas.openxmlformats.org/officeDocument/2006/relationships/hyperlink" Target="https://audio.iskcondesiretree.com/01_-_Srila_Prabhupada/01_-_Lectures/01_-_English/02_-_Month_wise/08_-_August/12/Bg_07-06_VRN_1974-08-12_Krishna-Our_Personal_Powerhouse.mp3" TargetMode="External"/><Relationship Id="rId3680" Type="http://schemas.openxmlformats.org/officeDocument/2006/relationships/hyperlink" Target="https://audio.iskcondesiretree.com/01_-_Srila_Prabhupada/01_-_Lectures/01_-_English/01_-_Topic_wise/Morning_Walk/SP_Morning_Walk_-_Delhi_1975-08-24.MP3" TargetMode="External"/><Relationship Id="rId1020" Type="http://schemas.openxmlformats.org/officeDocument/2006/relationships/hyperlink" Target="https://audio.iskcondesiretree.com/01_-_Srila_Prabhupada/01_-_Lectures/01_-_English/02_-_Month_wise/05_-_May/17/SB_1-09-03_LA_1973-05-17_Qualifications_of_Bhakta_and_Bhagavan.mp3" TargetMode="External"/><Relationship Id="rId2351" Type="http://schemas.openxmlformats.org/officeDocument/2006/relationships/hyperlink" Target="https://audio.iskcondesiretree.com/01_-_Srila_Prabhupada/01_-_Lectures/01_-_English/02_-_Month_wise/08_-_August/12/SB-01-05-31_1974-08-12_SB-VRNDAVAN.MP3" TargetMode="External"/><Relationship Id="rId3683" Type="http://schemas.openxmlformats.org/officeDocument/2006/relationships/hyperlink" Target="https://audio.iskcondesiretree.com/01_-_Srila_Prabhupada/01_-_Lectures/01_-_English/02_-_Month_wise/08_-_August/25/Walk_1975-08-25_MW-VRNDAVAN.MP3" TargetMode="External"/><Relationship Id="rId1021" Type="http://schemas.openxmlformats.org/officeDocument/2006/relationships/hyperlink" Target="https://audio.iskcondesiretree.com/01_-_Srila_Prabhupada/01_-_Lectures/01_-_English/01_-_Topic_wise/Various/SP_Lecture_Dallas_1973-05-19_Why_We_Can%27t_Forget_About_God.mp3" TargetMode="External"/><Relationship Id="rId2352" Type="http://schemas.openxmlformats.org/officeDocument/2006/relationships/hyperlink" Target="https://audio.iskcondesiretree.com/01_-_Srila_Prabhupada/01_-_Lectures/01_-_English/01_-_Topic_wise/Bhagavad_Gita/Chapter-07/SP_BG_07-07_Vrindavan_1974-08-13_Everything_Is_Resting_On_Krishna.mp3" TargetMode="External"/><Relationship Id="rId3682" Type="http://schemas.openxmlformats.org/officeDocument/2006/relationships/hyperlink" Target="https://audio.iskcondesiretree.com/01_-_Srila_Prabhupada/01_-_Lectures/01_-_English/01_-_Topic_wise/Morning_Walk/SP_Morning_Walk_-_Vrindavan_1975-08-25.MP3" TargetMode="External"/><Relationship Id="rId1022" Type="http://schemas.openxmlformats.org/officeDocument/2006/relationships/hyperlink" Target="https://audio.iskcondesiretree.com/01_-_Srila_Prabhupada/01_-_Lectures/01_-_English/02_-_Month_wise/05_-_May/19/Lect_DAL_1973-05-19_Why_We_Can%27t_Forget_About_God.mp3" TargetMode="External"/><Relationship Id="rId2353" Type="http://schemas.openxmlformats.org/officeDocument/2006/relationships/hyperlink" Target="https://audio.iskcondesiretree.com/01_-_Srila_Prabhupada/01_-_Lectures/01_-_English/01_-_Topic_wise/Srimad_Bhagavatam/Canto-01/SP_SB_1-05-23_Vrindavan_1974-08-13_See_Whether_Your_Life_Is_Perfect.mp3" TargetMode="External"/><Relationship Id="rId3685" Type="http://schemas.openxmlformats.org/officeDocument/2006/relationships/hyperlink" Target="https://audio.iskcondesiretree.com/01_-_Srila_Prabhupada/01_-_Lectures/01_-_English/02_-_Month_wise/08_-_August/26/Bg-07-01%E2%80%93Hindi_1975-08-26_BG-VRNDAVAN.MP3" TargetMode="External"/><Relationship Id="rId1023" Type="http://schemas.openxmlformats.org/officeDocument/2006/relationships/hyperlink" Target="https://audio.iskcondesiretree.com/01_-_Srila_Prabhupada/01_-_Lectures/01_-_English/01_-_Topic_wise/Srimad_Bhagavatam/Canto-03/SP_SB_3-01-10_Dallas_1973-05-21_Sage_Advice_For_Human_Society.mp3" TargetMode="External"/><Relationship Id="rId2354" Type="http://schemas.openxmlformats.org/officeDocument/2006/relationships/hyperlink" Target="https://audio.iskcondesiretree.com/01_-_Srila_Prabhupada/01_-_Lectures/01_-_English/02_-_Month_wise/08_-_August/13/Bg-07-07_1974-08-13_BG-VRNDAVAN.MP3" TargetMode="External"/><Relationship Id="rId3684" Type="http://schemas.openxmlformats.org/officeDocument/2006/relationships/hyperlink" Target="https://audio.iskcondesiretree.com/01_-_Srila_Prabhupada/01_-_Lectures/01_-_English/01_-_Topic_wise/Room_Conversation/SP_Room_Conversation_01_Vrindavan_1975-08-26.MP3" TargetMode="External"/><Relationship Id="rId1024" Type="http://schemas.openxmlformats.org/officeDocument/2006/relationships/hyperlink" Target="https://audio.iskcondesiretree.com/01_-_Srila_Prabhupada/01_-_Lectures/01_-_English/02_-_Month_wise/05_-_May/21/SB_3-01-10_DAL_1973-05-21_Sage_Advice_For_Human_Society.mp3" TargetMode="External"/><Relationship Id="rId2355" Type="http://schemas.openxmlformats.org/officeDocument/2006/relationships/hyperlink" Target="https://audio.iskcondesiretree.com/01_-_Srila_Prabhupada/01_-_Lectures/01_-_English/02_-_Month_wise/08_-_August/13/Bg_07-07_VRN_1974-08-13_Everything_Is_Resting_On_Krishna.mp3" TargetMode="External"/><Relationship Id="rId3687" Type="http://schemas.openxmlformats.org/officeDocument/2006/relationships/hyperlink" Target="https://audio.iskcondesiretree.com/01_-_Srila_Prabhupada/01_-_Lectures/01_-_English/01_-_Topic_wise/Morning_Walk/SP_Morning_Walk_-_Vrindavan_1975-08-27.MP3" TargetMode="External"/><Relationship Id="rId1025" Type="http://schemas.openxmlformats.org/officeDocument/2006/relationships/hyperlink" Target="https://audio.iskcondesiretree.com/01_-_Srila_Prabhupada/01_-_Lectures/01_-_English/01_-_Topic_wise/Srimad_Bhagavatam/Canto-01/SP_SB_1-09-40_New_York_1973-05-22_We_Alone_Teach_%27You%27re_Not_This_Body%27.mp3" TargetMode="External"/><Relationship Id="rId2356" Type="http://schemas.openxmlformats.org/officeDocument/2006/relationships/hyperlink" Target="https://audio.iskcondesiretree.com/01_-_Srila_Prabhupada/01_-_Lectures/01_-_English/02_-_Month_wise/08_-_August/13/SB-01-05-32_1974-08-13_SB-VRNDAVAN.MP3" TargetMode="External"/><Relationship Id="rId3686" Type="http://schemas.openxmlformats.org/officeDocument/2006/relationships/hyperlink" Target="https://audio.iskcondesiretree.com/01_-_Srila_Prabhupada/01_-_Lectures/01_-_English/02_-_Month_wise/08_-_August/26/Conv_1975-08-26_R1-VRNDAVAN.MP3" TargetMode="External"/><Relationship Id="rId1090" Type="http://schemas.openxmlformats.org/officeDocument/2006/relationships/hyperlink" Target="https://audio.iskcondesiretree.com/01_-_Srila_Prabhupada/01_-_Lectures/01_-_English/01_-_Topic_wise/Bhagavad_Gita/Chapter-01/SP_BG_01-16-19_London_1973-07-16_Everybody_Wants_to_Be_Served.mp3" TargetMode="External"/><Relationship Id="rId1091" Type="http://schemas.openxmlformats.org/officeDocument/2006/relationships/hyperlink" Target="https://audio.iskcondesiretree.com/01_-_Srila_Prabhupada/01_-_Lectures/01_-_English/02_-_Month_wise/07_-_July/16/Bg_01-16_LON_1973-07-16_Everybody_Wants_to_Be_Served.mp3" TargetMode="External"/><Relationship Id="rId1092" Type="http://schemas.openxmlformats.org/officeDocument/2006/relationships/hyperlink" Target="https://audio.iskcondesiretree.com/01_-_Srila_Prabhupada/01_-_Lectures/01_-_English/01_-_Topic_wise/Bhagavad_Gita/Chapter-01/SP_BG_01-20_London_1973-07-17_First_Second_and_Third-Class_Rascals.mp3" TargetMode="External"/><Relationship Id="rId1093" Type="http://schemas.openxmlformats.org/officeDocument/2006/relationships/hyperlink" Target="https://audio.iskcondesiretree.com/01_-_Srila_Prabhupada/01_-_Lectures/01_-_English/02_-_Month_wise/07_-_July/17/Bg_01-20_LON_1973-07-17_First_Second_and_Third-Class_Rascals.mp3" TargetMode="External"/><Relationship Id="rId1094" Type="http://schemas.openxmlformats.org/officeDocument/2006/relationships/hyperlink" Target="https://audio.iskcondesiretree.com/01_-_Srila_Prabhupada/01_-_Lectures/01_-_English/01_-_Topic_wise/Bhagavad_Gita/Chapter-01/SP_BG_01-21_London_1973-07-18_Fallible_%26_Infallible_Religion.mp3" TargetMode="External"/><Relationship Id="rId1095" Type="http://schemas.openxmlformats.org/officeDocument/2006/relationships/hyperlink" Target="https://audio.iskcondesiretree.com/01_-_Srila_Prabhupada/01_-_Lectures/01_-_English/02_-_Month_wise/07_-_July/18/Bg_01-21_LON_1973-07-18_Fallible_%26_Infallible_Religion.mp3" TargetMode="External"/><Relationship Id="rId1096" Type="http://schemas.openxmlformats.org/officeDocument/2006/relationships/hyperlink" Target="https://audio.iskcondesiretree.com/01_-_Srila_Prabhupada/01_-_Lectures/01_-_English/01_-_Topic_wise/Bhagavad_Gita/Chapter-01/SP_BG_01-23_London_1973-07-19_How_to_Enjoy_Real_Bliss.mp3" TargetMode="External"/><Relationship Id="rId1097" Type="http://schemas.openxmlformats.org/officeDocument/2006/relationships/hyperlink" Target="https://audio.iskcondesiretree.com/01_-_Srila_Prabhupada/01_-_Lectures/01_-_English/01_-_Topic_wise/Room_Conversation/SP_Room_Conversation_London_1973-07-19_Rasas-Variety_of_Liking_Krishna.mp3" TargetMode="External"/><Relationship Id="rId1098" Type="http://schemas.openxmlformats.org/officeDocument/2006/relationships/hyperlink" Target="https://audio.iskcondesiretree.com/01_-_Srila_Prabhupada/01_-_Lectures/01_-_English/02_-_Month_wise/07_-_July/19/Bg_01-23_LON_1973-07-19_How_to_Enjoy_Real_Bliss.mp3" TargetMode="External"/><Relationship Id="rId1099" Type="http://schemas.openxmlformats.org/officeDocument/2006/relationships/hyperlink" Target="https://audio.iskcondesiretree.com/01_-_Srila_Prabhupada/01_-_Lectures/01_-_English/02_-_Month_wise/07_-_July/19/RC_LON_1973-07-19_Rasas-Variety_of_Liking_Krishna.mp3" TargetMode="External"/><Relationship Id="rId1080" Type="http://schemas.openxmlformats.org/officeDocument/2006/relationships/hyperlink" Target="https://audio.iskcondesiretree.com/01_-_Srila_Prabhupada/01_-_Lectures/01_-_English/01_-_Topic_wise/Bhagavad_Gita/Chapter-01/SP_BG_01-10_London_1973-07-12_The_KC_Movement_Should_Touch--etc.mp3" TargetMode="External"/><Relationship Id="rId1081" Type="http://schemas.openxmlformats.org/officeDocument/2006/relationships/hyperlink" Target="https://audio.iskcondesiretree.com/01_-_Srila_Prabhupada/01_-_Lectures/01_-_English/01_-_Topic_wise/Room_Conversation/SP_Room_Conversation_London_1973-07-12_Schoolmaster--Krishna-More_than_Nirvana.mp3" TargetMode="External"/><Relationship Id="rId1082" Type="http://schemas.openxmlformats.org/officeDocument/2006/relationships/hyperlink" Target="https://audio.iskcondesiretree.com/01_-_Srila_Prabhupada/01_-_Lectures/01_-_English/02_-_Month_wise/07_-_July/12/Bg_01-10_LON_1973-07-12_The_KC_Movement_Should_Touch_etc.mp3" TargetMode="External"/><Relationship Id="rId1083" Type="http://schemas.openxmlformats.org/officeDocument/2006/relationships/hyperlink" Target="https://audio.iskcondesiretree.com/01_-_Srila_Prabhupada/01_-_Lectures/01_-_English/02_-_Month_wise/07_-_July/12/RC_LON_1973-07-12_Schoolmaster-Krishna-More_than_Nirvana.mp3" TargetMode="External"/><Relationship Id="rId1084" Type="http://schemas.openxmlformats.org/officeDocument/2006/relationships/hyperlink" Target="https://audio.iskcondesiretree.com/01_-_Srila_Prabhupada/01_-_Lectures/01_-_English/01_-_Topic_wise/Bhagavad_Gita/Chapter-01/SP_BG_01-11-12_London_1973-07-13_Wanting_to_Be_Cheated.mp3" TargetMode="External"/><Relationship Id="rId1085" Type="http://schemas.openxmlformats.org/officeDocument/2006/relationships/hyperlink" Target="https://audio.iskcondesiretree.com/01_-_Srila_Prabhupada/01_-_Lectures/01_-_English/02_-_Month_wise/07_-_July/13/Bg_01-11_LON_1973-07-13_Wanting_to_Be_Cheated.mp3" TargetMode="External"/><Relationship Id="rId1086" Type="http://schemas.openxmlformats.org/officeDocument/2006/relationships/hyperlink" Target="https://audio.iskcondesiretree.com/01_-_Srila_Prabhupada/01_-_Lectures/01_-_English/01_-_Topic_wise/Bhagavad_Gita/Chapter-01/SP_BG_01-13_London_1973-07-14_People_Want_to_Be_Cheated.mp3" TargetMode="External"/><Relationship Id="rId1087" Type="http://schemas.openxmlformats.org/officeDocument/2006/relationships/hyperlink" Target="https://audio.iskcondesiretree.com/01_-_Srila_Prabhupada/01_-_Lectures/01_-_English/02_-_Month_wise/07_-_July/14/Bg_01-13_LON_1973-07-14_People_Want_to_Be_Cheated.mp3" TargetMode="External"/><Relationship Id="rId1088" Type="http://schemas.openxmlformats.org/officeDocument/2006/relationships/hyperlink" Target="https://audio.iskcondesiretree.com/01_-_Srila_Prabhupada/01_-_Lectures/01_-_English/01_-_Topic_wise/Bhagavad_Gita/Chapter-01/SP_BG_01-15_London_1973-07-15_Spiritual--etc.mp3" TargetMode="External"/><Relationship Id="rId1089" Type="http://schemas.openxmlformats.org/officeDocument/2006/relationships/hyperlink" Target="https://audio.iskcondesiretree.com/01_-_Srila_Prabhupada/01_-_Lectures/01_-_English/02_-_Month_wise/07_-_July/15/Bg_01-15_LON_1973-07-15_Spiritual_etc.mp3" TargetMode="External"/><Relationship Id="rId2423" Type="http://schemas.openxmlformats.org/officeDocument/2006/relationships/hyperlink" Target="https://audio.iskcondesiretree.com/01_-_Srila_Prabhupada/01_-_Lectures/01_-_English/01_-_Topic_wise/Srimad_Bhagavatam/Canto-01/SP_SB_1-08-29_Mayapur_1974-10-09_Krishna%27s_Loving_Impartiality.mp3" TargetMode="External"/><Relationship Id="rId3755" Type="http://schemas.openxmlformats.org/officeDocument/2006/relationships/hyperlink" Target="https://audio.iskcondesiretree.com/01_-_Srila_Prabhupada/01_-_Lectures/01_-_English/02_-_Month_wise/09_-_September/13/SB-06-02-11_1975-09-13_SB-VRNDAVAN.MP3" TargetMode="External"/><Relationship Id="rId2424" Type="http://schemas.openxmlformats.org/officeDocument/2006/relationships/hyperlink" Target="https://audio.iskcondesiretree.com/01_-_Srila_Prabhupada/01_-_Lectures/01_-_English/02_-_Month_wise/10_-_October/09/SB-01-08-29_1974-10-09_SB-MAYAPUR.MP3" TargetMode="External"/><Relationship Id="rId3754" Type="http://schemas.openxmlformats.org/officeDocument/2006/relationships/hyperlink" Target="https://audio.iskcondesiretree.com/01_-_Srila_Prabhupada/01_-_Lectures/01_-_English/02_-_Month_wise/09_-_September/13/MW_VRN_1975-09-13_Who_Made_You_Embodied.mp3" TargetMode="External"/><Relationship Id="rId2425" Type="http://schemas.openxmlformats.org/officeDocument/2006/relationships/hyperlink" Target="https://audio.iskcondesiretree.com/01_-_Srila_Prabhupada/01_-_Lectures/01_-_English/02_-_Month_wise/10_-_October/09/SB_1-08-29_MAY_1974-10-09_Krishna%27s_Loving_Impartiality.mp3" TargetMode="External"/><Relationship Id="rId3757" Type="http://schemas.openxmlformats.org/officeDocument/2006/relationships/hyperlink" Target="https://audio.iskcondesiretree.com/01_-_Srila_Prabhupada/01_-_Lectures/01_-_English/02_-_Month_wise/09_-_September/13/Walk_1975-09-13_MW-VRNDAVAN.MP3" TargetMode="External"/><Relationship Id="rId2426" Type="http://schemas.openxmlformats.org/officeDocument/2006/relationships/hyperlink" Target="https://audio.iskcondesiretree.com/01_-_Srila_Prabhupada/01_-_Lectures/01_-_English/01_-_Topic_wise/Srimad_Bhagavatam/Canto-01/SP_SB_1-08-30_Mayapur_1974-10-10_Krishna%27s_Active_Inactivity.mp3" TargetMode="External"/><Relationship Id="rId3756" Type="http://schemas.openxmlformats.org/officeDocument/2006/relationships/hyperlink" Target="https://audio.iskcondesiretree.com/01_-_Srila_Prabhupada/01_-_Lectures/01_-_English/02_-_Month_wise/09_-_September/13/SB_6-02-11_VRN_1975-09-13_Unalloyed_Peace-How.mp3" TargetMode="External"/><Relationship Id="rId2427" Type="http://schemas.openxmlformats.org/officeDocument/2006/relationships/hyperlink" Target="https://audio.iskcondesiretree.com/01_-_Srila_Prabhupada/01_-_Lectures/01_-_English/02_-_Month_wise/10_-_October/10/SB-01-08-30_1974-10-10_SB-MAYAPUR.MP3" TargetMode="External"/><Relationship Id="rId3759" Type="http://schemas.openxmlformats.org/officeDocument/2006/relationships/hyperlink" Target="https://audio.iskcondesiretree.com/01_-_Srila_Prabhupada/01_-_Lectures/01_-_English/01_-_Topic_wise/Srimad_Bhagavatam/Canto-06/SP_SB_6-02-13_Vrindavan_1975-09-15_Seeing_Is_Not_Believing.mp3" TargetMode="External"/><Relationship Id="rId2428" Type="http://schemas.openxmlformats.org/officeDocument/2006/relationships/hyperlink" Target="https://audio.iskcondesiretree.com/01_-_Srila_Prabhupada/01_-_Lectures/01_-_English/02_-_Month_wise/10_-_October/10/SB_1-08-30_MAY_1974-10-10_Krishna%27s_Active_Inactivity.mp3" TargetMode="External"/><Relationship Id="rId3758" Type="http://schemas.openxmlformats.org/officeDocument/2006/relationships/hyperlink" Target="https://audio.iskcondesiretree.com/01_-_Srila_Prabhupada/01_-_Lectures/01_-_English/01_-_Topic_wise/Morning_Walk/SP_Morning_Walk_-_Vrindavan_1975-09-15_Successful_Suicide--G-Zero-D.mp3" TargetMode="External"/><Relationship Id="rId2429" Type="http://schemas.openxmlformats.org/officeDocument/2006/relationships/hyperlink" Target="https://audio.iskcondesiretree.com/01_-_Srila_Prabhupada/01_-_Lectures/01_-_English/01_-_Topic_wise/Srimad_Bhagavatam/Canto-01/SP_SB_1-08-31_Mayapur_1974-10-11_A_Devotee_Likes_to_Be--etc.mp3" TargetMode="External"/><Relationship Id="rId3751" Type="http://schemas.openxmlformats.org/officeDocument/2006/relationships/hyperlink" Target="https://audio.iskcondesiretree.com/01_-_Srila_Prabhupada/01_-_Lectures/01_-_English/01_-_Topic_wise/Morning_Walk/SP_Morning_Walk_-_Vrindavan_1975-09-13_Who_Made_You_Embodied.mp3" TargetMode="External"/><Relationship Id="rId2420" Type="http://schemas.openxmlformats.org/officeDocument/2006/relationships/hyperlink" Target="https://audio.iskcondesiretree.com/01_-_Srila_Prabhupada/01_-_Lectures/01_-_English/01_-_Topic_wise/Srimad_Bhagavatam/Canto-01/SP_SB_1-08-28_Mayapur_1974-10-08_Don%27t_Be_a_%27Skin_Observer%27.mp3" TargetMode="External"/><Relationship Id="rId3750" Type="http://schemas.openxmlformats.org/officeDocument/2006/relationships/hyperlink" Target="https://audio.iskcondesiretree.com/01_-_Srila_Prabhupada/01_-_Lectures/01_-_English/02_-_Month_wise/09_-_September/11/SB_6-02-08_VRN_1975-09-11_Chant_Hare_Krishna-No_Loss.mp3" TargetMode="External"/><Relationship Id="rId2421" Type="http://schemas.openxmlformats.org/officeDocument/2006/relationships/hyperlink" Target="https://audio.iskcondesiretree.com/01_-_Srila_Prabhupada/01_-_Lectures/01_-_English/02_-_Month_wise/10_-_October/08/SB-01-08-28_1974-10-08_SB-MAYAPUR.MP3" TargetMode="External"/><Relationship Id="rId3753" Type="http://schemas.openxmlformats.org/officeDocument/2006/relationships/hyperlink" Target="https://audio.iskcondesiretree.com/01_-_Srila_Prabhupada/01_-_Lectures/01_-_English/02_-_Month_wise/09_-_September/13/Lecture%E2%80%93Hindi_1975-09-13_LE-VRNDAVAN.MP3" TargetMode="External"/><Relationship Id="rId2422" Type="http://schemas.openxmlformats.org/officeDocument/2006/relationships/hyperlink" Target="https://audio.iskcondesiretree.com/01_-_Srila_Prabhupada/01_-_Lectures/01_-_English/02_-_Month_wise/10_-_October/08/SB_1-08-28_MAY_1974-10-08_Don%27t_Be_a_Skin_Observer.mp3" TargetMode="External"/><Relationship Id="rId3752" Type="http://schemas.openxmlformats.org/officeDocument/2006/relationships/hyperlink" Target="https://audio.iskcondesiretree.com/01_-_Srila_Prabhupada/01_-_Lectures/01_-_English/01_-_Topic_wise/Srimad_Bhagavatam/Canto-06/SP_SB_6-02-11_Vrindavan_1975-09-13_Unalloyed_Peace-How.mp3" TargetMode="External"/><Relationship Id="rId2412" Type="http://schemas.openxmlformats.org/officeDocument/2006/relationships/hyperlink" Target="https://audio.iskcondesiretree.com/01_-_Srila_Prabhupada/01_-_Lectures/01_-_English/02_-_Month_wise/10_-_October/04/SB_1-08-24_MAY_1974-10-04_Always_Expect_Danger.mp3" TargetMode="External"/><Relationship Id="rId3744" Type="http://schemas.openxmlformats.org/officeDocument/2006/relationships/hyperlink" Target="https://audio.iskcondesiretree.com/01_-_Srila_Prabhupada/01_-_Lectures/01_-_English/02_-_Month_wise/09_-_September/09/Walk_1975-09-09_MW-VRNDAVAN.MP3" TargetMode="External"/><Relationship Id="rId2413" Type="http://schemas.openxmlformats.org/officeDocument/2006/relationships/hyperlink" Target="https://audio.iskcondesiretree.com/01_-_Srila_Prabhupada/01_-_Lectures/01_-_English/01_-_Topic_wise/Srimad_Bhagavatam/Canto-01/SP_SB_1-08-25_Vrindavan_1974-10-05_Reincarnation-Very_Risky.mp3" TargetMode="External"/><Relationship Id="rId3743" Type="http://schemas.openxmlformats.org/officeDocument/2006/relationships/hyperlink" Target="https://audio.iskcondesiretree.com/01_-_Srila_Prabhupada/01_-_Lectures/01_-_English/02_-_Month_wise/09_-_September/09/SB_6-02-05_VRN_1975-09-09_In_Contact_with_a_Bona_Fide_Guru.mp3" TargetMode="External"/><Relationship Id="rId2414" Type="http://schemas.openxmlformats.org/officeDocument/2006/relationships/hyperlink" Target="https://audio.iskcondesiretree.com/01_-_Srila_Prabhupada/01_-_Lectures/01_-_English/02_-_Month_wise/10_-_October/05/SB-01-08-25_1974-10-05_SB-MAYAPUR.MP3" TargetMode="External"/><Relationship Id="rId3746" Type="http://schemas.openxmlformats.org/officeDocument/2006/relationships/hyperlink" Target="https://audio.iskcondesiretree.com/01_-_Srila_Prabhupada/01_-_Lectures/01_-_English/02_-_Month_wise/09_-_September/10/SB-06-02-07_1975-09-10_SB-VRNDAVAN.MP3" TargetMode="External"/><Relationship Id="rId2415" Type="http://schemas.openxmlformats.org/officeDocument/2006/relationships/hyperlink" Target="https://audio.iskcondesiretree.com/01_-_Srila_Prabhupada/01_-_Lectures/01_-_English/02_-_Month_wise/10_-_October/05/SB_1-08-25_VRN_1974-10-05_Reincarnation-Very_Risky.mp3" TargetMode="External"/><Relationship Id="rId3745" Type="http://schemas.openxmlformats.org/officeDocument/2006/relationships/hyperlink" Target="https://audio.iskcondesiretree.com/01_-_Srila_Prabhupada/01_-_Lectures/01_-_English/01_-_Topic_wise/Srimad_Bhagavatam/Canto-06/SP_SB_6-02-07_Vrindavan_1975-09-10_Government_and_Guardians.mp3" TargetMode="External"/><Relationship Id="rId2416" Type="http://schemas.openxmlformats.org/officeDocument/2006/relationships/hyperlink" Target="https://audio.iskcondesiretree.com/01_-_Srila_Prabhupada/01_-_Lectures/01_-_English/01_-_Topic_wise/Srimad_Bhagavatam/Canto-01/SP_SB_1-08-26_Mayapur_1974-10-06_I%27ve_Got_Something.mp3" TargetMode="External"/><Relationship Id="rId3748" Type="http://schemas.openxmlformats.org/officeDocument/2006/relationships/hyperlink" Target="https://audio.iskcondesiretree.com/01_-_Srila_Prabhupada/01_-_Lectures/01_-_English/01_-_Topic_wise/Srimad_Bhagavatam/Canto-06/SP_SB_6-02-08_Vrindavan_1975-09-11_Chant_Hare_Krishna-No_Loss.mp3" TargetMode="External"/><Relationship Id="rId2417" Type="http://schemas.openxmlformats.org/officeDocument/2006/relationships/hyperlink" Target="https://audio.iskcondesiretree.com/01_-_Srila_Prabhupada/01_-_Lectures/01_-_English/02_-_Month_wise/10_-_October/06/SB-01-08-26_1974-10-06_SB-MAYAPUR.MP3" TargetMode="External"/><Relationship Id="rId3747" Type="http://schemas.openxmlformats.org/officeDocument/2006/relationships/hyperlink" Target="https://audio.iskcondesiretree.com/01_-_Srila_Prabhupada/01_-_Lectures/01_-_English/02_-_Month_wise/09_-_September/10/SB_6-02-07_VRN_1975-09-10_Government_and_Guardians.mp3" TargetMode="External"/><Relationship Id="rId2418" Type="http://schemas.openxmlformats.org/officeDocument/2006/relationships/hyperlink" Target="https://audio.iskcondesiretree.com/01_-_Srila_Prabhupada/01_-_Lectures/01_-_English/02_-_Month_wise/10_-_October/06/SB_1-08-26_MAY_1974-10-06_I%27ve_Got_Something.mp3" TargetMode="External"/><Relationship Id="rId2419" Type="http://schemas.openxmlformats.org/officeDocument/2006/relationships/hyperlink" Target="https://audio.iskcondesiretree.com/01_-_Srila_Prabhupada/01_-_Lectures/01_-_English/02_-_Month_wise/10_-_October/07/Lecture%E2%80%93Bengali_1974-10-07_LE-MAYAPUR.MP3" TargetMode="External"/><Relationship Id="rId3749" Type="http://schemas.openxmlformats.org/officeDocument/2006/relationships/hyperlink" Target="https://audio.iskcondesiretree.com/01_-_Srila_Prabhupada/01_-_Lectures/01_-_English/02_-_Month_wise/09_-_September/11/SB-06-02-08_1975-09-11_SB-VRNDAVAN.MP3" TargetMode="External"/><Relationship Id="rId3740" Type="http://schemas.openxmlformats.org/officeDocument/2006/relationships/hyperlink" Target="https://audio.iskcondesiretree.com/01_-_Srila_Prabhupada/01_-_Lectures/01_-_English/01_-_Topic_wise/Morning_Walk/SP_Morning_Walk_-_Vrindavan_1975-09-09.MP3" TargetMode="External"/><Relationship Id="rId2410" Type="http://schemas.openxmlformats.org/officeDocument/2006/relationships/hyperlink" Target="https://audio.iskcondesiretree.com/01_-_Srila_Prabhupada/01_-_Lectures/01_-_English/01_-_Topic_wise/Srimad_Bhagavatam/Canto-01/SP_SB_1-08-24_Mayapur_1974-10-04_Always_Expect_Danger.mp3" TargetMode="External"/><Relationship Id="rId3742" Type="http://schemas.openxmlformats.org/officeDocument/2006/relationships/hyperlink" Target="https://audio.iskcondesiretree.com/01_-_Srila_Prabhupada/01_-_Lectures/01_-_English/02_-_Month_wise/09_-_September/09/SB-06-02-05%E2%80%9306_1975-09-09_SB-VRNDAVAN.MP3" TargetMode="External"/><Relationship Id="rId2411" Type="http://schemas.openxmlformats.org/officeDocument/2006/relationships/hyperlink" Target="https://audio.iskcondesiretree.com/01_-_Srila_Prabhupada/01_-_Lectures/01_-_English/02_-_Month_wise/10_-_October/04/SB-01-08-24_1974-10-04_SB-MAYAPUR.MP3" TargetMode="External"/><Relationship Id="rId3741" Type="http://schemas.openxmlformats.org/officeDocument/2006/relationships/hyperlink" Target="https://audio.iskcondesiretree.com/01_-_Srila_Prabhupada/01_-_Lectures/01_-_English/01_-_Topic_wise/Srimad_Bhagavatam/Canto-06/SP_SB_6-02-05_Vrindavan_1975-09-09_In_Contact_with_a_Bona_Fide_Guru.mp3" TargetMode="External"/><Relationship Id="rId1114" Type="http://schemas.openxmlformats.org/officeDocument/2006/relationships/hyperlink" Target="https://audio.iskcondesiretree.com/01_-_Srila_Prabhupada/01_-_Lectures/01_-_English/02_-_Month_wise/07_-_July/23/RC_LON_1973-07-23_Lord_Brockway-Our_Service_Bring_Suffering.mp3" TargetMode="External"/><Relationship Id="rId2445" Type="http://schemas.openxmlformats.org/officeDocument/2006/relationships/hyperlink" Target="https://audio.iskcondesiretree.com/01_-_Srila_Prabhupada/01_-_Lectures/01_-_English/01_-_Topic_wise/Srimad_Bhagavatam/Canto-01/SP_SB_1-08-36_Mayapur_1974-10-16_Senses_On_Strike.mp3" TargetMode="External"/><Relationship Id="rId3777" Type="http://schemas.openxmlformats.org/officeDocument/2006/relationships/hyperlink" Target="https://audio.iskcondesiretree.com/01_-_Srila_Prabhupada/01_-_Lectures/01_-_English/02_-_Month_wise/09_-_September/19/SB_6-02-16_VRN_1975-09-19_Krishna_in_Outlaw_Country.mp3" TargetMode="External"/><Relationship Id="rId1115" Type="http://schemas.openxmlformats.org/officeDocument/2006/relationships/hyperlink" Target="https://audio.iskcondesiretree.com/01_-_Srila_Prabhupada/01_-_Lectures/01_-_English/02_-_Month_wise/07_-_July/23/SB_1-02-06_LON_1973-07-23_East_and_West_Should_Cooperate.mp3" TargetMode="External"/><Relationship Id="rId2446" Type="http://schemas.openxmlformats.org/officeDocument/2006/relationships/hyperlink" Target="https://audio.iskcondesiretree.com/01_-_Srila_Prabhupada/01_-_Lectures/01_-_English/02_-_Month_wise/10_-_October/16/Lecture%E2%80%93Bengali_1974-10-16_LE-MAYAPUR.MP3" TargetMode="External"/><Relationship Id="rId3776" Type="http://schemas.openxmlformats.org/officeDocument/2006/relationships/hyperlink" Target="https://audio.iskcondesiretree.com/01_-_Srila_Prabhupada/01_-_Lectures/01_-_English/02_-_Month_wise/09_-_September/19/SB-06-02-16_1975-09-19_SB-VRNDAVAN.MP3" TargetMode="External"/><Relationship Id="rId1116" Type="http://schemas.openxmlformats.org/officeDocument/2006/relationships/hyperlink" Target="https://audio.iskcondesiretree.com/01_-_Srila_Prabhupada/01_-_Lectures/01_-_English/01_-_Topic_wise/Bhagavad_Gita/Chapter-01/SP_BG_01-31_London_1973-07-24_Immediate_vs._Ultimate_Good.mp3" TargetMode="External"/><Relationship Id="rId2447" Type="http://schemas.openxmlformats.org/officeDocument/2006/relationships/hyperlink" Target="https://audio.iskcondesiretree.com/01_-_Srila_Prabhupada/01_-_Lectures/01_-_English/02_-_Month_wise/10_-_October/16/SB-01-08-36_1974-10-16_SB-MAYAPUR.MP3" TargetMode="External"/><Relationship Id="rId3779" Type="http://schemas.openxmlformats.org/officeDocument/2006/relationships/hyperlink" Target="https://audio.iskcondesiretree.com/01_-_Srila_Prabhupada/01_-_Lectures/01_-_English/01_-_Topic_wise/Srimad_Bhagavatam/Canto-06/SP_SB_6-02-17_Vrindavan_1975-09-20_Don%27t_Try_to_Be_Happy_Here.mp3" TargetMode="External"/><Relationship Id="rId1117" Type="http://schemas.openxmlformats.org/officeDocument/2006/relationships/hyperlink" Target="https://audio.iskcondesiretree.com/01_-_Srila_Prabhupada/01_-_Lectures/01_-_English/01_-_Topic_wise/Room_Conversation/SP_Room_Conversation_London_1973-07-24_Reporter--Violent_Nonviolence.mp3" TargetMode="External"/><Relationship Id="rId2448" Type="http://schemas.openxmlformats.org/officeDocument/2006/relationships/hyperlink" Target="https://audio.iskcondesiretree.com/01_-_Srila_Prabhupada/01_-_Lectures/01_-_English/02_-_Month_wise/10_-_October/16/SB_1-08-36_MAY_1974-10-16_Senses_On_Strike.mp3" TargetMode="External"/><Relationship Id="rId3778" Type="http://schemas.openxmlformats.org/officeDocument/2006/relationships/hyperlink" Target="https://audio.iskcondesiretree.com/01_-_Srila_Prabhupada/01_-_Lectures/01_-_English/02_-_Month_wise/09_-_September/19/Walk_1975-09-19_MW-VRNDAVAN.MP3" TargetMode="External"/><Relationship Id="rId1118" Type="http://schemas.openxmlformats.org/officeDocument/2006/relationships/hyperlink" Target="https://audio.iskcondesiretree.com/01_-_Srila_Prabhupada/01_-_Lectures/01_-_English/02_-_Month_wise/07_-_July/24/Bg_01-31_LON_1973-07-24_Immediate_vs_Ultimate_Good.mp3" TargetMode="External"/><Relationship Id="rId2449" Type="http://schemas.openxmlformats.org/officeDocument/2006/relationships/hyperlink" Target="https://audio.iskcondesiretree.com/01_-_Srila_Prabhupada/01_-_Lectures/01_-_English/01_-_Topic_wise/Srimad_Bhagavatam/Canto-01/SP_SB_1-08-39_Mayapur_1974-10-19_Keep_Krishna_Here.mp3" TargetMode="External"/><Relationship Id="rId1119" Type="http://schemas.openxmlformats.org/officeDocument/2006/relationships/hyperlink" Target="https://audio.iskcondesiretree.com/01_-_Srila_Prabhupada/01_-_Lectures/01_-_English/02_-_Month_wise/07_-_July/24/RC_LON_1973-07-24_Reporter-Violent_Nonviolence.mp3" TargetMode="External"/><Relationship Id="rId3771" Type="http://schemas.openxmlformats.org/officeDocument/2006/relationships/hyperlink" Target="https://audio.iskcondesiretree.com/01_-_Srila_Prabhupada/01_-_Lectures/01_-_English/02_-_Month_wise/09_-_September/18/SB-06-02-15_1975-09-18_SB-VRNDAVAN.MP3" TargetMode="External"/><Relationship Id="rId2440" Type="http://schemas.openxmlformats.org/officeDocument/2006/relationships/hyperlink" Target="https://audio.iskcondesiretree.com/01_-_Srila_Prabhupada/01_-_Lectures/01_-_English/02_-_Month_wise/10_-_October/14/SB_1-08-34_MAY_1974-10-14_Relief_from_Unbearable_Burdens.mp3" TargetMode="External"/><Relationship Id="rId3770" Type="http://schemas.openxmlformats.org/officeDocument/2006/relationships/hyperlink" Target="https://audio.iskcondesiretree.com/01_-_Srila_Prabhupada/01_-_Lectures/01_-_English/01_-_Topic_wise/Srimad_Bhagavatam/Canto-06/SP_SB_6-02-15_Vrindavan_1975-09-18_The_Glories_of_the_Holy_Name.mp3" TargetMode="External"/><Relationship Id="rId1110" Type="http://schemas.openxmlformats.org/officeDocument/2006/relationships/hyperlink" Target="https://audio.iskcondesiretree.com/01_-_Srila_Prabhupada/01_-_Lectures/01_-_English/01_-_Topic_wise/Bhagavad_Gita/Chapter-01/SP_BG_01-30_London_1973-07-23_Expanded_Selfishness.mp3" TargetMode="External"/><Relationship Id="rId2441" Type="http://schemas.openxmlformats.org/officeDocument/2006/relationships/hyperlink" Target="https://audio.iskcondesiretree.com/01_-_Srila_Prabhupada/01_-_Lectures/01_-_English/01_-_Topic_wise/Srimad_Bhagavatam/Canto-01/SP_SB_1-08-35_Mayapur_1974-10-15_Rascal_Surrender.mp3" TargetMode="External"/><Relationship Id="rId3773" Type="http://schemas.openxmlformats.org/officeDocument/2006/relationships/hyperlink" Target="https://audio.iskcondesiretree.com/01_-_Srila_Prabhupada/01_-_Lectures/01_-_English/02_-_Month_wise/09_-_September/18/Walk_1975-09-18_MW-VRNDAVAN.MP3" TargetMode="External"/><Relationship Id="rId1111" Type="http://schemas.openxmlformats.org/officeDocument/2006/relationships/hyperlink" Target="https://audio.iskcondesiretree.com/01_-_Srila_Prabhupada/01_-_Lectures/01_-_English/01_-_Topic_wise/Room_Conversation/SP_Room_Conversation_London_1973-07-23_Lord_Brockway--Our_Service_Bring_Suffering.mp3" TargetMode="External"/><Relationship Id="rId2442" Type="http://schemas.openxmlformats.org/officeDocument/2006/relationships/hyperlink" Target="https://audio.iskcondesiretree.com/01_-_Srila_Prabhupada/01_-_Lectures/01_-_English/02_-_Month_wise/10_-_October/15/Lecture%E2%80%93Bengali_1974-10-15_LE-MAYAPUR.MP3" TargetMode="External"/><Relationship Id="rId3772" Type="http://schemas.openxmlformats.org/officeDocument/2006/relationships/hyperlink" Target="https://audio.iskcondesiretree.com/01_-_Srila_Prabhupada/01_-_Lectures/01_-_English/02_-_Month_wise/09_-_September/18/SB_6-02-15_VRN_1975-09-18_The_Glories_of_the_Holy_Name.mp3" TargetMode="External"/><Relationship Id="rId1112" Type="http://schemas.openxmlformats.org/officeDocument/2006/relationships/hyperlink" Target="https://audio.iskcondesiretree.com/01_-_Srila_Prabhupada/01_-_Lectures/01_-_English/01_-_Topic_wise/Srimad_Bhagavatam/Canto-01/SP_SB_1-02-06_London_1973-07-23_East_and_West_Should_Cooperate.mp3" TargetMode="External"/><Relationship Id="rId2443" Type="http://schemas.openxmlformats.org/officeDocument/2006/relationships/hyperlink" Target="https://audio.iskcondesiretree.com/01_-_Srila_Prabhupada/01_-_Lectures/01_-_English/02_-_Month_wise/10_-_October/15/SB-01-08-35_1974-10-15_SB-MAYAPUR.MP3" TargetMode="External"/><Relationship Id="rId3775" Type="http://schemas.openxmlformats.org/officeDocument/2006/relationships/hyperlink" Target="https://audio.iskcondesiretree.com/01_-_Srila_Prabhupada/01_-_Lectures/01_-_English/01_-_Topic_wise/Srimad_Bhagavatam/Canto-06/SP_SB_6-02-16_Vrindavan_1975-09-19_Krishna_in_Outlaw_Country.mp3" TargetMode="External"/><Relationship Id="rId1113" Type="http://schemas.openxmlformats.org/officeDocument/2006/relationships/hyperlink" Target="https://audio.iskcondesiretree.com/01_-_Srila_Prabhupada/01_-_Lectures/01_-_English/02_-_Month_wise/07_-_July/23/Bg_01-30_LON_1973-07-23_Expanded_Selfishness.mp3" TargetMode="External"/><Relationship Id="rId2444" Type="http://schemas.openxmlformats.org/officeDocument/2006/relationships/hyperlink" Target="https://audio.iskcondesiretree.com/01_-_Srila_Prabhupada/01_-_Lectures/01_-_English/02_-_Month_wise/10_-_October/15/SB_1-08-35_MAY_1974-10-15_Rascal_Surrender.mp3" TargetMode="External"/><Relationship Id="rId3774" Type="http://schemas.openxmlformats.org/officeDocument/2006/relationships/hyperlink" Target="https://audio.iskcondesiretree.com/01_-_Srila_Prabhupada/01_-_Lectures/01_-_English/01_-_Topic_wise/Morning_Walk/SP_Morning_Walk_-_Vrindavan_1975-09-19.MP3" TargetMode="External"/><Relationship Id="rId1103" Type="http://schemas.openxmlformats.org/officeDocument/2006/relationships/hyperlink" Target="https://audio.iskcondesiretree.com/01_-_Srila_Prabhupada/01_-_Lectures/01_-_English/01_-_Topic_wise/Room_Conversation/SP_Room_Conversation_London_1973-07-21_Alastair_Hardy--It_Is_Also_Vedic_Literature.mp3" TargetMode="External"/><Relationship Id="rId2434" Type="http://schemas.openxmlformats.org/officeDocument/2006/relationships/hyperlink" Target="https://audio.iskcondesiretree.com/01_-_Srila_Prabhupada/01_-_Lectures/01_-_English/02_-_Month_wise/10_-_October/12/SB_1-08-32_MAY_1974-10-12_Become_Dear_to_Krishna.mp3" TargetMode="External"/><Relationship Id="rId3766" Type="http://schemas.openxmlformats.org/officeDocument/2006/relationships/hyperlink" Target="https://audio.iskcondesiretree.com/01_-_Srila_Prabhupada/01_-_Lectures/01_-_English/02_-_Month_wise/09_-_September/17/SB-06-02-14_1975-09-17_SB-VRNDAVAN.MP3" TargetMode="External"/><Relationship Id="rId1104" Type="http://schemas.openxmlformats.org/officeDocument/2006/relationships/hyperlink" Target="https://audio.iskcondesiretree.com/01_-_Srila_Prabhupada/01_-_Lectures/01_-_English/02_-_Month_wise/07_-_July/21/Bg_01-26_LON_1973-07-21_Society_Friendship_and_Love.mp3" TargetMode="External"/><Relationship Id="rId2435" Type="http://schemas.openxmlformats.org/officeDocument/2006/relationships/hyperlink" Target="https://audio.iskcondesiretree.com/01_-_Srila_Prabhupada/01_-_Lectures/01_-_English/01_-_Topic_wise/Srimad_Bhagavatam/Canto-01/SP_SB_1-08-33_Mayapur_1974-10-13_The_Whole_Thing_in_One_Word.mp3" TargetMode="External"/><Relationship Id="rId3765" Type="http://schemas.openxmlformats.org/officeDocument/2006/relationships/hyperlink" Target="https://audio.iskcondesiretree.com/01_-_Srila_Prabhupada/01_-_Lectures/01_-_English/01_-_Topic_wise/Srimad_Bhagavatam/Canto-06/SP_SB_6-02-14_Vrindavan_1975-09-17_Non-Anxiety-Ask_for_It_by_Name.mp3" TargetMode="External"/><Relationship Id="rId1105" Type="http://schemas.openxmlformats.org/officeDocument/2006/relationships/hyperlink" Target="https://audio.iskcondesiretree.com/01_-_Srila_Prabhupada/01_-_Lectures/01_-_English/02_-_Month_wise/07_-_July/21/RC_LON_1973-07-21_Alastair_Hardy-It_Is_Also_Vedic_Literature.mp3" TargetMode="External"/><Relationship Id="rId2436" Type="http://schemas.openxmlformats.org/officeDocument/2006/relationships/hyperlink" Target="https://audio.iskcondesiretree.com/01_-_Srila_Prabhupada/01_-_Lectures/01_-_English/02_-_Month_wise/10_-_October/13/SB-01-08-33_1974-10-13_SB-MAYAPUR.MP3" TargetMode="External"/><Relationship Id="rId3768" Type="http://schemas.openxmlformats.org/officeDocument/2006/relationships/hyperlink" Target="https://audio.iskcondesiretree.com/01_-_Srila_Prabhupada/01_-_Lectures/01_-_English/02_-_Month_wise/09_-_September/17/Walk_1975-09-17_MW-VRNDAVAN.MP3" TargetMode="External"/><Relationship Id="rId1106" Type="http://schemas.openxmlformats.org/officeDocument/2006/relationships/hyperlink" Target="https://audio.iskcondesiretree.com/01_-_Srila_Prabhupada/01_-_Lectures/01_-_English/01_-_Topic_wise/Bhagavad_Gita/Chapter-01/SP_BG_01-28_London_1973-07-22_The_Art_of_Preaching.mp3" TargetMode="External"/><Relationship Id="rId2437" Type="http://schemas.openxmlformats.org/officeDocument/2006/relationships/hyperlink" Target="https://audio.iskcondesiretree.com/01_-_Srila_Prabhupada/01_-_Lectures/01_-_English/02_-_Month_wise/10_-_October/13/SB_1-08-33_MAY_1974-10-13_The_Whole_Thing_in_One_Word.mp3" TargetMode="External"/><Relationship Id="rId3767" Type="http://schemas.openxmlformats.org/officeDocument/2006/relationships/hyperlink" Target="https://audio.iskcondesiretree.com/01_-_Srila_Prabhupada/01_-_Lectures/01_-_English/02_-_Month_wise/09_-_September/17/SB_6-02-14_VRN_1975-09-17_Non-Anxiety-Ask_for_It_by_Name.mp3" TargetMode="External"/><Relationship Id="rId1107" Type="http://schemas.openxmlformats.org/officeDocument/2006/relationships/hyperlink" Target="https://audio.iskcondesiretree.com/01_-_Srila_Prabhupada/01_-_Lectures/01_-_English/01_-_Topic_wise/Room_Conversation/SP_Room_Conversation_London_1973-07-22_Dr_Arnold_Toynbee--etc.mp3" TargetMode="External"/><Relationship Id="rId2438" Type="http://schemas.openxmlformats.org/officeDocument/2006/relationships/hyperlink" Target="https://audio.iskcondesiretree.com/01_-_Srila_Prabhupada/01_-_Lectures/01_-_English/01_-_Topic_wise/Srimad_Bhagavatam/Canto-01/SP_SB_1-08-34_Mayapur_1974-10-14_Relief_from_Unbearable_Burdens.mp3" TargetMode="External"/><Relationship Id="rId1108" Type="http://schemas.openxmlformats.org/officeDocument/2006/relationships/hyperlink" Target="https://audio.iskcondesiretree.com/01_-_Srila_Prabhupada/01_-_Lectures/01_-_English/02_-_Month_wise/07_-_July/22/Bg_01-28_LON_1973-07-22_The_Art_of_Preaching.mp3" TargetMode="External"/><Relationship Id="rId2439" Type="http://schemas.openxmlformats.org/officeDocument/2006/relationships/hyperlink" Target="https://audio.iskcondesiretree.com/01_-_Srila_Prabhupada/01_-_Lectures/01_-_English/02_-_Month_wise/10_-_October/14/SB-01-08-34_1974-10-14_SB-MAYAPUR.MP3" TargetMode="External"/><Relationship Id="rId3769" Type="http://schemas.openxmlformats.org/officeDocument/2006/relationships/hyperlink" Target="https://audio.iskcondesiretree.com/01_-_Srila_Prabhupada/01_-_Lectures/01_-_English/01_-_Topic_wise/Morning_Walk/SP_Morning_Walk_-_Vrindavan_1975-09-18.MP3" TargetMode="External"/><Relationship Id="rId1109" Type="http://schemas.openxmlformats.org/officeDocument/2006/relationships/hyperlink" Target="https://audio.iskcondesiretree.com/01_-_Srila_Prabhupada/01_-_Lectures/01_-_English/02_-_Month_wise/07_-_July/22/RC_LON_1973-07-22_Dr_Arnold_Toynbee_etc.mp3" TargetMode="External"/><Relationship Id="rId3760" Type="http://schemas.openxmlformats.org/officeDocument/2006/relationships/hyperlink" Target="https://audio.iskcondesiretree.com/01_-_Srila_Prabhupada/01_-_Lectures/01_-_English/02_-_Month_wise/09_-_September/15/MW_VRN_1975-09-15_Successful_Suicide-G-Zero-D.mp3" TargetMode="External"/><Relationship Id="rId2430" Type="http://schemas.openxmlformats.org/officeDocument/2006/relationships/hyperlink" Target="https://audio.iskcondesiretree.com/01_-_Srila_Prabhupada/01_-_Lectures/01_-_English/02_-_Month_wise/10_-_October/11/SB-01-08-31_1974-10-11_SB-MAYAPUR.MP3" TargetMode="External"/><Relationship Id="rId3762" Type="http://schemas.openxmlformats.org/officeDocument/2006/relationships/hyperlink" Target="https://audio.iskcondesiretree.com/01_-_Srila_Prabhupada/01_-_Lectures/01_-_English/02_-_Month_wise/09_-_September/15/SB_6-02-13_VRN_1975-09-15_Seeing_Is_Not_Believing.mp3" TargetMode="External"/><Relationship Id="rId1100" Type="http://schemas.openxmlformats.org/officeDocument/2006/relationships/hyperlink" Target="https://audio.iskcondesiretree.com/01_-_Srila_Prabhupada/01_-_Lectures/01_-_English/01_-_Topic_wise/Bhagavad_Gita/Chapter-01/SP_BG_01-24_London_1973-07-20_If_You_Stay_with--etc.mp3" TargetMode="External"/><Relationship Id="rId2431" Type="http://schemas.openxmlformats.org/officeDocument/2006/relationships/hyperlink" Target="https://audio.iskcondesiretree.com/01_-_Srila_Prabhupada/01_-_Lectures/01_-_English/02_-_Month_wise/10_-_October/11/SB_1-08-31_MAY_1974-10-11_A_Devotee_Likes_to_Be_etc.mp3" TargetMode="External"/><Relationship Id="rId3761" Type="http://schemas.openxmlformats.org/officeDocument/2006/relationships/hyperlink" Target="https://audio.iskcondesiretree.com/01_-_Srila_Prabhupada/01_-_Lectures/01_-_English/02_-_Month_wise/09_-_September/15/SB-06-02-13_1975-09-15_SB-VRNDAVAN.MP3" TargetMode="External"/><Relationship Id="rId1101" Type="http://schemas.openxmlformats.org/officeDocument/2006/relationships/hyperlink" Target="https://audio.iskcondesiretree.com/01_-_Srila_Prabhupada/01_-_Lectures/01_-_English/02_-_Month_wise/07_-_July/20/Bg_01-24_LON_1973-07-20_If_You_Stay_with_etc.mp3" TargetMode="External"/><Relationship Id="rId2432" Type="http://schemas.openxmlformats.org/officeDocument/2006/relationships/hyperlink" Target="https://audio.iskcondesiretree.com/01_-_Srila_Prabhupada/01_-_Lectures/01_-_English/01_-_Topic_wise/Srimad_Bhagavatam/Canto-01/SP_SB_1-08-32_Mayapur_1974-10-12_Become_Dear_to_Krishna.mp3" TargetMode="External"/><Relationship Id="rId3764" Type="http://schemas.openxmlformats.org/officeDocument/2006/relationships/hyperlink" Target="https://audio.iskcondesiretree.com/01_-_Srila_Prabhupada/01_-_Lectures/01_-_English/01_-_Topic_wise/Morning_Walk/SP_Morning_Walk_-_Vrindavan_1975-09-17.MP3" TargetMode="External"/><Relationship Id="rId1102" Type="http://schemas.openxmlformats.org/officeDocument/2006/relationships/hyperlink" Target="https://audio.iskcondesiretree.com/01_-_Srila_Prabhupada/01_-_Lectures/01_-_English/01_-_Topic_wise/Bhagavad_Gita/Chapter-01/SP_BG_01-26_London_1973-07-21_Society_Friendship_and_Love.mp3" TargetMode="External"/><Relationship Id="rId2433" Type="http://schemas.openxmlformats.org/officeDocument/2006/relationships/hyperlink" Target="https://audio.iskcondesiretree.com/01_-_Srila_Prabhupada/01_-_Lectures/01_-_English/02_-_Month_wise/10_-_October/12/SB-01-08-32_1974-10-12_SB-MAYAPUR.MP3" TargetMode="External"/><Relationship Id="rId3763" Type="http://schemas.openxmlformats.org/officeDocument/2006/relationships/hyperlink" Target="https://audio.iskcondesiretree.com/01_-_Srila_Prabhupada/01_-_Lectures/01_-_English/02_-_Month_wise/09_-_September/15/Walk_1975-09-15_MW-VRNDAVAN.MP3" TargetMode="External"/><Relationship Id="rId3711" Type="http://schemas.openxmlformats.org/officeDocument/2006/relationships/hyperlink" Target="https://audio.iskcondesiretree.com/01_-_Srila_Prabhupada/01_-_Lectures/01_-_English/02_-_Month_wise/09_-_September/02/SB-06-01-66_1975-09-02_SB-VRNDAVAN.MP3" TargetMode="External"/><Relationship Id="rId3710" Type="http://schemas.openxmlformats.org/officeDocument/2006/relationships/hyperlink" Target="https://audio.iskcondesiretree.com/01_-_Srila_Prabhupada/01_-_Lectures/01_-_English/01_-_Topic_wise/Srimad_Bhagavatam/Canto-06/SP_SB_6-01-66_Vrindavan_1975-09-02_How_to_Degrade_Yourself.mp3" TargetMode="External"/><Relationship Id="rId3713" Type="http://schemas.openxmlformats.org/officeDocument/2006/relationships/hyperlink" Target="https://audio.iskcondesiretree.com/01_-_Srila_Prabhupada/01_-_Lectures/01_-_English/01_-_Topic_wise/Morning_Walk/SP_Morning_Walk_-_Vrindavan_1975-09-03.MP3" TargetMode="External"/><Relationship Id="rId3712" Type="http://schemas.openxmlformats.org/officeDocument/2006/relationships/hyperlink" Target="https://audio.iskcondesiretree.com/01_-_Srila_Prabhupada/01_-_Lectures/01_-_English/02_-_Month_wise/09_-_September/02/SB_6-01-66_VRN_1975-09-02_How_to_Degrade_Yourself.mp3" TargetMode="External"/><Relationship Id="rId3715" Type="http://schemas.openxmlformats.org/officeDocument/2006/relationships/hyperlink" Target="https://audio.iskcondesiretree.com/01_-_Srila_Prabhupada/01_-_Lectures/01_-_English/02_-_Month_wise/09_-_September/03/SB-06-01-67_1975-09-03_SB-VRNDAVAN.MP3" TargetMode="External"/><Relationship Id="rId3714" Type="http://schemas.openxmlformats.org/officeDocument/2006/relationships/hyperlink" Target="https://audio.iskcondesiretree.com/01_-_Srila_Prabhupada/01_-_Lectures/01_-_English/01_-_Topic_wise/Srimad_Bhagavatam/Canto-06/SP_SB_6-01-67_Vrindavan_1975-09-03_Life_Is_Very_Risky.mp3" TargetMode="External"/><Relationship Id="rId3717" Type="http://schemas.openxmlformats.org/officeDocument/2006/relationships/hyperlink" Target="https://audio.iskcondesiretree.com/01_-_Srila_Prabhupada/01_-_Lectures/01_-_English/02_-_Month_wise/09_-_September/03/Walk_1975-09-03_MW-VRNDAVAN.MP3" TargetMode="External"/><Relationship Id="rId3716" Type="http://schemas.openxmlformats.org/officeDocument/2006/relationships/hyperlink" Target="https://audio.iskcondesiretree.com/01_-_Srila_Prabhupada/01_-_Lectures/01_-_English/02_-_Month_wise/09_-_September/03/SB_6-01-67_VRN_1975-09-03_Life_Is_Very_Risky.mp3" TargetMode="External"/><Relationship Id="rId3719" Type="http://schemas.openxmlformats.org/officeDocument/2006/relationships/hyperlink" Target="https://audio.iskcondesiretree.com/01_-_Srila_Prabhupada/01_-_Lectures/01_-_English/01_-_Topic_wise/Srimad_Bhagavatam/Canto-06/SP_SB_6-01-68_Vrindavan_1975-09-04_Don%27t_Infect_Yourself_with--etc.mp3" TargetMode="External"/><Relationship Id="rId3718" Type="http://schemas.openxmlformats.org/officeDocument/2006/relationships/hyperlink" Target="https://audio.iskcondesiretree.com/01_-_Srila_Prabhupada/01_-_Lectures/01_-_English/01_-_Topic_wise/Morning_Walk/SP_Morning_Walk_-_Vrindavan_1975-09-04.MP3" TargetMode="External"/><Relationship Id="rId3700" Type="http://schemas.openxmlformats.org/officeDocument/2006/relationships/hyperlink" Target="https://audio.iskcondesiretree.com/01_-_Srila_Prabhupada/01_-_Lectures/01_-_English/01_-_Topic_wise/Srimad_Bhagavatam/Canto-06/SP_SB_6-01-63_Vrindavan_1975-08-30_Haunted_Enjoyment.mp3" TargetMode="External"/><Relationship Id="rId3702" Type="http://schemas.openxmlformats.org/officeDocument/2006/relationships/hyperlink" Target="https://audio.iskcondesiretree.com/01_-_Srila_Prabhupada/01_-_Lectures/01_-_English/02_-_Month_wise/08_-_August/30/SB-06-01-63_1975-08-30_SB-VRNDAVAN.MP3" TargetMode="External"/><Relationship Id="rId3701" Type="http://schemas.openxmlformats.org/officeDocument/2006/relationships/hyperlink" Target="https://audio.iskcondesiretree.com/01_-_Srila_Prabhupada/01_-_Lectures/01_-_English/02_-_Month_wise/08_-_August/30/Bg-07-03%E2%80%93Hindi_1975-08-30_BG-VRNDAVAN.MP3" TargetMode="External"/><Relationship Id="rId3704" Type="http://schemas.openxmlformats.org/officeDocument/2006/relationships/hyperlink" Target="https://audio.iskcondesiretree.com/01_-_Srila_Prabhupada/01_-_Lectures/01_-_English/02_-_Month_wise/08_-_August/31/Lecture%E2%80%93Hindi_1975-08-31_LE-VRNDAVAN.MP3" TargetMode="External"/><Relationship Id="rId3703" Type="http://schemas.openxmlformats.org/officeDocument/2006/relationships/hyperlink" Target="https://audio.iskcondesiretree.com/01_-_Srila_Prabhupada/01_-_Lectures/01_-_English/02_-_Month_wise/08_-_August/30/SB_6-01-63_VRN_1975-08-30_Haunted_Enjoyment.mp3" TargetMode="External"/><Relationship Id="rId3706" Type="http://schemas.openxmlformats.org/officeDocument/2006/relationships/hyperlink" Target="https://audio.iskcondesiretree.com/01_-_Srila_Prabhupada/01_-_Lectures/01_-_English/01_-_Topic_wise/Srimad_Bhagavatam/Canto-06/SP_SB_6-01-64_Vrindavan_1975-09-01_Above_Material_Nature.mp3" TargetMode="External"/><Relationship Id="rId3705" Type="http://schemas.openxmlformats.org/officeDocument/2006/relationships/hyperlink" Target="https://audio.iskcondesiretree.com/01_-_Srila_Prabhupada/01_-_Lectures/01_-_English/01_-_Topic_wise/Morning_Walk/SP_Morning_Walk_-_Vrindavan_1975-09-01.MP3" TargetMode="External"/><Relationship Id="rId3708" Type="http://schemas.openxmlformats.org/officeDocument/2006/relationships/hyperlink" Target="https://audio.iskcondesiretree.com/01_-_Srila_Prabhupada/01_-_Lectures/01_-_English/02_-_Month_wise/09_-_September/01/SB_6-01-64_VRN_1975-09-01_Above_Material_Nature.mp3" TargetMode="External"/><Relationship Id="rId3707" Type="http://schemas.openxmlformats.org/officeDocument/2006/relationships/hyperlink" Target="https://audio.iskcondesiretree.com/01_-_Srila_Prabhupada/01_-_Lectures/01_-_English/02_-_Month_wise/09_-_September/01/SB-06-01-64%E2%80%9365_1975-09-01_SB-VRNDAVAN.MP3" TargetMode="External"/><Relationship Id="rId3709" Type="http://schemas.openxmlformats.org/officeDocument/2006/relationships/hyperlink" Target="https://audio.iskcondesiretree.com/01_-_Srila_Prabhupada/01_-_Lectures/01_-_English/02_-_Month_wise/09_-_September/01/Walk_1975-09-01_MW-VRNDAVAN.MP3" TargetMode="External"/><Relationship Id="rId2401" Type="http://schemas.openxmlformats.org/officeDocument/2006/relationships/hyperlink" Target="https://audio.iskcondesiretree.com/01_-_Srila_Prabhupada/01_-_Lectures/01_-_English/02_-_Month_wise/09_-_September/30/SB-01-08-20_1974-09-30_SB-MAYAPUR.MP3" TargetMode="External"/><Relationship Id="rId3733" Type="http://schemas.openxmlformats.org/officeDocument/2006/relationships/hyperlink" Target="https://audio.iskcondesiretree.com/01_-_Srila_Prabhupada/01_-_Lectures/01_-_English/02_-_Month_wise/09_-_September/06/Walk_1975-09-06_MW-VRNDAVAN.MP3" TargetMode="External"/><Relationship Id="rId2402" Type="http://schemas.openxmlformats.org/officeDocument/2006/relationships/hyperlink" Target="https://audio.iskcondesiretree.com/01_-_Srila_Prabhupada/01_-_Lectures/01_-_English/02_-_Month_wise/09_-_September/30/SB_1-08-20_MAY_1974-09-30_To_Be_Understood_by_Anyone.mp3" TargetMode="External"/><Relationship Id="rId3732" Type="http://schemas.openxmlformats.org/officeDocument/2006/relationships/hyperlink" Target="https://audio.iskcondesiretree.com/01_-_Srila_Prabhupada/01_-_Lectures/01_-_English/02_-_Month_wise/09_-_September/06/SB_6-02-02_VRN_1975-09-06_The_Absolute_Science.mp3" TargetMode="External"/><Relationship Id="rId2403" Type="http://schemas.openxmlformats.org/officeDocument/2006/relationships/hyperlink" Target="https://audio.iskcondesiretree.com/01_-_Srila_Prabhupada/01_-_Lectures/01_-_English/01_-_Topic_wise/Srimad_Bhagavatam/Canto-01/SP_SB_1-08-21_Mayapur_1974-10-01_The_Krishna_Connection.mp3" TargetMode="External"/><Relationship Id="rId3735" Type="http://schemas.openxmlformats.org/officeDocument/2006/relationships/hyperlink" Target="https://audio.iskcondesiretree.com/01_-_Srila_Prabhupada/01_-_Lectures/01_-_English/02_-_Month_wise/09_-_September/07/SB-06-02-03_1975-09-07_SB-VRNDAVAN.MP3" TargetMode="External"/><Relationship Id="rId2404" Type="http://schemas.openxmlformats.org/officeDocument/2006/relationships/hyperlink" Target="https://audio.iskcondesiretree.com/01_-_Srila_Prabhupada/01_-_Lectures/01_-_English/02_-_Month_wise/10_-_October/01/SB-01-08-21_1974-10-01_SB-MAYAPUR.MP3" TargetMode="External"/><Relationship Id="rId3734" Type="http://schemas.openxmlformats.org/officeDocument/2006/relationships/hyperlink" Target="https://audio.iskcondesiretree.com/01_-_Srila_Prabhupada/01_-_Lectures/01_-_English/01_-_Topic_wise/Srimad_Bhagavatam/Canto-06/SP_SB_6-02-03_Vrindavan_1975-09-07_Save_Your_Dependent.mp3" TargetMode="External"/><Relationship Id="rId2405" Type="http://schemas.openxmlformats.org/officeDocument/2006/relationships/hyperlink" Target="https://audio.iskcondesiretree.com/01_-_Srila_Prabhupada/01_-_Lectures/01_-_English/02_-_Month_wise/10_-_October/01/SB_1-08-21_MAY_1974-10-01_The_Krishna_Connection.mp3" TargetMode="External"/><Relationship Id="rId3737" Type="http://schemas.openxmlformats.org/officeDocument/2006/relationships/hyperlink" Target="https://audio.iskcondesiretree.com/01_-_Srila_Prabhupada/01_-_Lectures/01_-_English/01_-_Topic_wise/Srimad_Bhagavatam/Canto-06/SP_SB_6-02-04_Vrindavan_1975-09-08_Behave_Ideally_or_Don%27t_Preach.mp3" TargetMode="External"/><Relationship Id="rId2406" Type="http://schemas.openxmlformats.org/officeDocument/2006/relationships/hyperlink" Target="https://audio.iskcondesiretree.com/01_-_Srila_Prabhupada/01_-_Lectures/01_-_English/01_-_Topic_wise/Srimad_Bhagavatam/Canto-01/SP_SB_1-08-23_Mayapur_1974-10-03_A_Slip_%27Twixt_the_Cup_and_Lip.mp3" TargetMode="External"/><Relationship Id="rId3736" Type="http://schemas.openxmlformats.org/officeDocument/2006/relationships/hyperlink" Target="https://audio.iskcondesiretree.com/01_-_Srila_Prabhupada/01_-_Lectures/01_-_English/02_-_Month_wise/09_-_September/07/SB_6-02-03_VRN_1975-09-07_Save_Your_Dependent.mp3" TargetMode="External"/><Relationship Id="rId2407" Type="http://schemas.openxmlformats.org/officeDocument/2006/relationships/hyperlink" Target="https://audio.iskcondesiretree.com/01_-_Srila_Prabhupada/01_-_Lectures/01_-_English/02_-_Month_wise/10_-_October/03/Lecture%E2%80%93Bengali_1974-10-03_LE-MAYAPUR.MP3" TargetMode="External"/><Relationship Id="rId3739" Type="http://schemas.openxmlformats.org/officeDocument/2006/relationships/hyperlink" Target="https://audio.iskcondesiretree.com/01_-_Srila_Prabhupada/01_-_Lectures/01_-_English/02_-_Month_wise/09_-_September/08/SB_6-02-04_VRN_1975-09-08_Behave_Ideally_or_Don%27t_Preach.mp3" TargetMode="External"/><Relationship Id="rId2408" Type="http://schemas.openxmlformats.org/officeDocument/2006/relationships/hyperlink" Target="https://audio.iskcondesiretree.com/01_-_Srila_Prabhupada/01_-_Lectures/01_-_English/02_-_Month_wise/10_-_October/03/SB-01-08-23_1974-10-03_SB-MAYAPUR.MP3" TargetMode="External"/><Relationship Id="rId3738" Type="http://schemas.openxmlformats.org/officeDocument/2006/relationships/hyperlink" Target="https://audio.iskcondesiretree.com/01_-_Srila_Prabhupada/01_-_Lectures/01_-_English/02_-_Month_wise/09_-_September/08/SB-06-02-04_1975-09-08_SB-VRNDAVAN.MP3" TargetMode="External"/><Relationship Id="rId2409" Type="http://schemas.openxmlformats.org/officeDocument/2006/relationships/hyperlink" Target="https://audio.iskcondesiretree.com/01_-_Srila_Prabhupada/01_-_Lectures/01_-_English/02_-_Month_wise/10_-_October/03/SB_1-08-23_MAY_1974-10-03_A_Slip_Twixt_the_Cup_and_Lip.mp3" TargetMode="External"/><Relationship Id="rId3731" Type="http://schemas.openxmlformats.org/officeDocument/2006/relationships/hyperlink" Target="https://audio.iskcondesiretree.com/01_-_Srila_Prabhupada/01_-_Lectures/01_-_English/02_-_Month_wise/09_-_September/06/SB-06-02-02_1975-09-06_SB-VRNDAVAN.MP3" TargetMode="External"/><Relationship Id="rId2400" Type="http://schemas.openxmlformats.org/officeDocument/2006/relationships/hyperlink" Target="https://audio.iskcondesiretree.com/01_-_Srila_Prabhupada/01_-_Lectures/01_-_English/01_-_Topic_wise/Srimad_Bhagavatam/Canto-01/SP_SB_1-08-20_Mayapur_1974-09-30_To_Be_Understood_by_Anyone.mp3" TargetMode="External"/><Relationship Id="rId3730" Type="http://schemas.openxmlformats.org/officeDocument/2006/relationships/hyperlink" Target="https://audio.iskcondesiretree.com/01_-_Srila_Prabhupada/01_-_Lectures/01_-_English/02_-_Month_wise/09_-_September/06/MW_VRN_1975-09-06_Sex_Propaganda_Can%27t_Stop_Death.mp3" TargetMode="External"/><Relationship Id="rId3722" Type="http://schemas.openxmlformats.org/officeDocument/2006/relationships/hyperlink" Target="https://audio.iskcondesiretree.com/01_-_Srila_Prabhupada/01_-_Lectures/01_-_English/02_-_Month_wise/09_-_September/04/Walk_1975-09-04_MW-VRNDAVAN.MP3" TargetMode="External"/><Relationship Id="rId3721" Type="http://schemas.openxmlformats.org/officeDocument/2006/relationships/hyperlink" Target="https://audio.iskcondesiretree.com/01_-_Srila_Prabhupada/01_-_Lectures/01_-_English/02_-_Month_wise/09_-_September/04/SB_6-01-68_VRN_1975-09-04_Don%27t_Infect_Yourself_with_etc.mp3" TargetMode="External"/><Relationship Id="rId3724" Type="http://schemas.openxmlformats.org/officeDocument/2006/relationships/hyperlink" Target="https://audio.iskcondesiretree.com/01_-_Srila_Prabhupada/01_-_Lectures/01_-_English/01_-_Topic_wise/Srimad_Bhagavatam/Canto-06/SP_SB_6-02-01_Vrindavan_1975-09-05_ABC%27s_of_Degradation_%26_Elevation.mp3" TargetMode="External"/><Relationship Id="rId3723" Type="http://schemas.openxmlformats.org/officeDocument/2006/relationships/hyperlink" Target="https://audio.iskcondesiretree.com/01_-_Srila_Prabhupada/01_-_Lectures/01_-_English/01_-_Topic_wise/Morning_Walk/SP_Morning_Walk_-_Vrindavan_1975-09-05.MP3" TargetMode="External"/><Relationship Id="rId3726" Type="http://schemas.openxmlformats.org/officeDocument/2006/relationships/hyperlink" Target="https://audio.iskcondesiretree.com/01_-_Srila_Prabhupada/01_-_Lectures/01_-_English/02_-_Month_wise/09_-_September/05/SB_6-02-01_VRN_1975-09-05_ABC%27s_of_Degradation_%26_Elevation.mp3" TargetMode="External"/><Relationship Id="rId3725" Type="http://schemas.openxmlformats.org/officeDocument/2006/relationships/hyperlink" Target="https://audio.iskcondesiretree.com/01_-_Srila_Prabhupada/01_-_Lectures/01_-_English/02_-_Month_wise/09_-_September/05/SB-06-02-01_1975-09-05_SB-VRNDAVAN.MP3" TargetMode="External"/><Relationship Id="rId3728" Type="http://schemas.openxmlformats.org/officeDocument/2006/relationships/hyperlink" Target="https://audio.iskcondesiretree.com/01_-_Srila_Prabhupada/01_-_Lectures/01_-_English/01_-_Topic_wise/Morning_Walk/SP_Morning_Walk_-_Vrindavan_1975-09-06_Sex_Propaganda_Can%27t_Stop_Death.mp3" TargetMode="External"/><Relationship Id="rId3727" Type="http://schemas.openxmlformats.org/officeDocument/2006/relationships/hyperlink" Target="https://audio.iskcondesiretree.com/01_-_Srila_Prabhupada/01_-_Lectures/01_-_English/02_-_Month_wise/09_-_September/05/Walk_1975-09-05_MW-VRNDAVAN.MP3" TargetMode="External"/><Relationship Id="rId3729" Type="http://schemas.openxmlformats.org/officeDocument/2006/relationships/hyperlink" Target="https://audio.iskcondesiretree.com/01_-_Srila_Prabhupada/01_-_Lectures/01_-_English/01_-_Topic_wise/Srimad_Bhagavatam/Canto-06/SP_SB_6-02-02_Vrindavan_1975-09-06_The_Absolute_Science.mp3" TargetMode="External"/><Relationship Id="rId3720" Type="http://schemas.openxmlformats.org/officeDocument/2006/relationships/hyperlink" Target="https://audio.iskcondesiretree.com/01_-_Srila_Prabhupada/01_-_Lectures/01_-_English/02_-_Month_wise/09_-_September/04/SB-06-01-68_1975-09-04_SB-VRNDAVAN.MP3" TargetMode="External"/><Relationship Id="rId1170" Type="http://schemas.openxmlformats.org/officeDocument/2006/relationships/hyperlink" Target="https://audio.iskcondesiretree.com/01_-_Srila_Prabhupada/01_-_Lectures/01_-_English/02_-_Month_wise/08_-_August/12/Bg_13-04_PAR_1973-08-12_Varieties_of_Insanities.mp3" TargetMode="External"/><Relationship Id="rId1171" Type="http://schemas.openxmlformats.org/officeDocument/2006/relationships/hyperlink" Target="https://audio.iskcondesiretree.com/01_-_Srila_Prabhupada/01_-_Lectures/01_-_English/02_-_Month_wise/08_-_August/12/RC_PAR_1973-08-12_Recalling_a_Life_of_Pure_Devotion.mp3" TargetMode="External"/><Relationship Id="rId1172" Type="http://schemas.openxmlformats.org/officeDocument/2006/relationships/hyperlink" Target="https://audio.iskcondesiretree.com/01_-_Srila_Prabhupada/01_-_Lectures/01_-_English/01_-_Topic_wise/Bhagavad_Gita/Chapter-13/SP_BG_13-05_Paris_1973-08-13_Even_the_Lion_Has_to_Struggle.mp3" TargetMode="External"/><Relationship Id="rId1173" Type="http://schemas.openxmlformats.org/officeDocument/2006/relationships/hyperlink" Target="https://audio.iskcondesiretree.com/01_-_Srila_Prabhupada/01_-_Lectures/01_-_English/01_-_Topic_wise/Room_Conversation/SP_Room_Conversation_Paris_1973-08-13_About_Guru_Maharaji--What_to_Do--etc.mp3" TargetMode="External"/><Relationship Id="rId1174" Type="http://schemas.openxmlformats.org/officeDocument/2006/relationships/hyperlink" Target="https://audio.iskcondesiretree.com/01_-_Srila_Prabhupada/01_-_Lectures/01_-_English/01_-_Topic_wise/Room_Conversation/SP_Room_Conversation_Paris_1973-08-13_French_Nun--First-Class_Mysticism.mp3" TargetMode="External"/><Relationship Id="rId1175" Type="http://schemas.openxmlformats.org/officeDocument/2006/relationships/hyperlink" Target="https://audio.iskcondesiretree.com/01_-_Srila_Prabhupada/01_-_Lectures/01_-_English/01_-_Topic_wise/Room_Conversation/SP_Room_Conversation_Paris_1973-08-13_Rosicrucians--Vague_Bogus_A_Waste_of_Time.mp3" TargetMode="External"/><Relationship Id="rId1176" Type="http://schemas.openxmlformats.org/officeDocument/2006/relationships/hyperlink" Target="https://audio.iskcondesiretree.com/01_-_Srila_Prabhupada/01_-_Lectures/01_-_English/01_-_Topic_wise/Room_Conversation/SP_Room_Conversation_Paris_1973-08-13_Sanskrit_Prof--Any_Sane_Man_Will--etc.mp3" TargetMode="External"/><Relationship Id="rId1177" Type="http://schemas.openxmlformats.org/officeDocument/2006/relationships/hyperlink" Target="https://audio.iskcondesiretree.com/01_-_Srila_Prabhupada/01_-_Lectures/01_-_English/02_-_Month_wise/08_-_August/13/Bg_13-05_PAR_1973-08-13_Even_the_Lion_Has_to_Struggle.mp3" TargetMode="External"/><Relationship Id="rId1178" Type="http://schemas.openxmlformats.org/officeDocument/2006/relationships/hyperlink" Target="https://audio.iskcondesiretree.com/01_-_Srila_Prabhupada/01_-_Lectures/01_-_English/02_-_Month_wise/08_-_August/13/RC_PAR_1973-08-13_About_Guru_Maharaji_What_to_Do_etc.mp3" TargetMode="External"/><Relationship Id="rId1179" Type="http://schemas.openxmlformats.org/officeDocument/2006/relationships/hyperlink" Target="https://audio.iskcondesiretree.com/01_-_Srila_Prabhupada/01_-_Lectures/01_-_English/02_-_Month_wise/08_-_August/13/RC_PAR_1973-08-13_French_Nun_First-Class_Mysticism.mp3" TargetMode="External"/><Relationship Id="rId1169" Type="http://schemas.openxmlformats.org/officeDocument/2006/relationships/hyperlink" Target="https://audio.iskcondesiretree.com/01_-_Srila_Prabhupada/01_-_Lectures/01_-_English/01_-_Topic_wise/Room_Conversation/SP_Room_Conversation_Paris_1973-08-12_Recalling_a_Life_of_Pure_Devotion.mp3" TargetMode="External"/><Relationship Id="rId2490" Type="http://schemas.openxmlformats.org/officeDocument/2006/relationships/hyperlink" Target="https://audio.iskcondesiretree.com/01_-_Srila_Prabhupada/01_-_Lectures/01_-_English/02_-_Month_wise/11_-_November/03/SB_3-25-03_BOM_1974-11-03_Krishna_Has_Everything.mp3" TargetMode="External"/><Relationship Id="rId1160" Type="http://schemas.openxmlformats.org/officeDocument/2006/relationships/hyperlink" Target="https://audio.iskcondesiretree.com/01_-_Srila_Prabhupada/01_-_Lectures/01_-_English/02_-_Month_wise/08_-_August/10/Bg_13-01_PAR_1973-08-10_Real_Answers_to_Life%27s_Real_Questions.mp3" TargetMode="External"/><Relationship Id="rId2491" Type="http://schemas.openxmlformats.org/officeDocument/2006/relationships/hyperlink" Target="https://audio.iskcondesiretree.com/01_-_Srila_Prabhupada/01_-_Lectures/01_-_English/01_-_Topic_wise/Srimad_Bhagavatam/Canto-03/SP_SB_3-25-04_Bombay_1974-11-04_Approach_a_Proper_Guru.mp3" TargetMode="External"/><Relationship Id="rId1161" Type="http://schemas.openxmlformats.org/officeDocument/2006/relationships/hyperlink" Target="https://audio.iskcondesiretree.com/01_-_Srila_Prabhupada/01_-_Lectures/01_-_English/02_-_Month_wise/08_-_August/10/RC_PAR_1973-08-10_Daughter_of_French_Author-Doggish_Knowledge.mp3" TargetMode="External"/><Relationship Id="rId2492" Type="http://schemas.openxmlformats.org/officeDocument/2006/relationships/hyperlink" Target="https://audio.iskcondesiretree.com/01_-_Srila_Prabhupada/01_-_Lectures/01_-_English/02_-_Month_wise/11_-_November/04/SB-03-25-04_1974-11-04_SB-BOMBAY.MP3" TargetMode="External"/><Relationship Id="rId1162" Type="http://schemas.openxmlformats.org/officeDocument/2006/relationships/hyperlink" Target="https://audio.iskcondesiretree.com/01_-_Srila_Prabhupada/01_-_Lectures/01_-_English/01_-_Topic_wise/Bhagavad_Gita/Chapter-13/SP_BG_13-03_Paris_1973-08-11_Krishna%27s_Definition_of_Knowledge.mp3" TargetMode="External"/><Relationship Id="rId2493" Type="http://schemas.openxmlformats.org/officeDocument/2006/relationships/hyperlink" Target="https://audio.iskcondesiretree.com/01_-_Srila_Prabhupada/01_-_Lectures/01_-_English/02_-_Month_wise/11_-_November/04/SB_3-25-04_BOM_1974-11-04_Approach_a_Proper_Guru.mp3" TargetMode="External"/><Relationship Id="rId1163" Type="http://schemas.openxmlformats.org/officeDocument/2006/relationships/hyperlink" Target="https://audio.iskcondesiretree.com/01_-_Srila_Prabhupada/01_-_Lectures/01_-_English/01_-_Topic_wise/Room_Conversation/SP_Room_Conversation_Paris_1973-08-11_Our_Freedom-God%27s_Flaw.mp3" TargetMode="External"/><Relationship Id="rId2494" Type="http://schemas.openxmlformats.org/officeDocument/2006/relationships/hyperlink" Target="https://audio.iskcondesiretree.com/01_-_Srila_Prabhupada/01_-_Lectures/01_-_English/01_-_Topic_wise/Srimad_Bhagavatam/Canto-03/SP_SB_3-25-05_Bombay_1974-11-05_An_%27Independent%27_Woman--etc.mp3" TargetMode="External"/><Relationship Id="rId1164" Type="http://schemas.openxmlformats.org/officeDocument/2006/relationships/hyperlink" Target="https://audio.iskcondesiretree.com/01_-_Srila_Prabhupada/01_-_Lectures/01_-_English/01_-_Topic_wise/Room_Conversation/SP_Room_Conversation_Paris_1973-08-11_UNESCO_Worker--Simply_Wasting_Time--etc.mp3" TargetMode="External"/><Relationship Id="rId2495" Type="http://schemas.openxmlformats.org/officeDocument/2006/relationships/hyperlink" Target="https://audio.iskcondesiretree.com/01_-_Srila_Prabhupada/01_-_Lectures/01_-_English/02_-_Month_wise/11_-_November/05/SB-03-25-05%E2%80%9306_1974-11-05_SB-BOMBAY.MP3" TargetMode="External"/><Relationship Id="rId1165" Type="http://schemas.openxmlformats.org/officeDocument/2006/relationships/hyperlink" Target="https://audio.iskcondesiretree.com/01_-_Srila_Prabhupada/01_-_Lectures/01_-_English/02_-_Month_wise/08_-_August/11/Bg_13-03_PAR_1973-08-11_Krishna%27s_Definition_of_Knowledge.mp3" TargetMode="External"/><Relationship Id="rId2496" Type="http://schemas.openxmlformats.org/officeDocument/2006/relationships/hyperlink" Target="https://audio.iskcondesiretree.com/01_-_Srila_Prabhupada/01_-_Lectures/01_-_English/02_-_Month_wise/11_-_November/05/SB_3-25-05_BOM_1974-11-05_An_Independent_Woman_etc.mp3" TargetMode="External"/><Relationship Id="rId1166" Type="http://schemas.openxmlformats.org/officeDocument/2006/relationships/hyperlink" Target="https://audio.iskcondesiretree.com/01_-_Srila_Prabhupada/01_-_Lectures/01_-_English/02_-_Month_wise/08_-_August/11/RC_PAR_1973-08-11_Our_Freedom-God%27s_Flaw.mp3" TargetMode="External"/><Relationship Id="rId2497" Type="http://schemas.openxmlformats.org/officeDocument/2006/relationships/hyperlink" Target="https://audio.iskcondesiretree.com/01_-_Srila_Prabhupada/01_-_Lectures/01_-_English/01_-_Topic_wise/Srimad_Bhagavatam/Canto-03/SP_SB_3-25-07_Bombay_1974-11-07_Sensual_Darkness-Spiritual--etc.mp3" TargetMode="External"/><Relationship Id="rId1167" Type="http://schemas.openxmlformats.org/officeDocument/2006/relationships/hyperlink" Target="https://audio.iskcondesiretree.com/01_-_Srila_Prabhupada/01_-_Lectures/01_-_English/02_-_Month_wise/08_-_August/11/RC_PAR_1973-08-11_UNESCO_Worker-Simply_Wasting_Time_etc.mp3" TargetMode="External"/><Relationship Id="rId2498" Type="http://schemas.openxmlformats.org/officeDocument/2006/relationships/hyperlink" Target="https://audio.iskcondesiretree.com/01_-_Srila_Prabhupada/01_-_Lectures/01_-_English/02_-_Month_wise/11_-_November/07/SB-03-25-07_1974-11-07_SB-BOMBAY.MP3" TargetMode="External"/><Relationship Id="rId1168" Type="http://schemas.openxmlformats.org/officeDocument/2006/relationships/hyperlink" Target="https://audio.iskcondesiretree.com/01_-_Srila_Prabhupada/01_-_Lectures/01_-_English/01_-_Topic_wise/Bhagavad_Gita/Chapter-13/SP_BG_13-04_Paris_1973-08-12_Varieties_of_Insanities.mp3" TargetMode="External"/><Relationship Id="rId2499" Type="http://schemas.openxmlformats.org/officeDocument/2006/relationships/hyperlink" Target="https://audio.iskcondesiretree.com/01_-_Srila_Prabhupada/01_-_Lectures/01_-_English/02_-_Month_wise/11_-_November/07/SB_3-25-07_BOM_1974-11-07_Sensual_Darkness-Spiritual_etc.mp3" TargetMode="External"/><Relationship Id="rId1190" Type="http://schemas.openxmlformats.org/officeDocument/2006/relationships/hyperlink" Target="https://audio.iskcondesiretree.com/01_-_Srila_Prabhupada/01_-_Lectures/01_-_English/01_-_Topic_wise/Bhagavad_Gita/Chapter-02/SP_BG_02-13_London_1973-08-19_I_Am_Not_This_Cage.mp3" TargetMode="External"/><Relationship Id="rId1191" Type="http://schemas.openxmlformats.org/officeDocument/2006/relationships/hyperlink" Target="https://audio.iskcondesiretree.com/01_-_Srila_Prabhupada/01_-_Lectures/01_-_English/02_-_Month_wise/08_-_August/19/Bg_02-13_LON_1973-08-19_I_Am_Not_This_Cage.mp3" TargetMode="External"/><Relationship Id="rId1192" Type="http://schemas.openxmlformats.org/officeDocument/2006/relationships/hyperlink" Target="https://audio.iskcondesiretree.com/01_-_Srila_Prabhupada/01_-_Lectures/01_-_English/01_-_Topic_wise/Bhagavad_Gita/Chapter-02/SP_BG_02-14_London_1973-08-20_The_Skin_Disease.mp3" TargetMode="External"/><Relationship Id="rId1193" Type="http://schemas.openxmlformats.org/officeDocument/2006/relationships/hyperlink" Target="https://audio.iskcondesiretree.com/01_-_Srila_Prabhupada/01_-_Lectures/01_-_English/02_-_Month_wise/08_-_August/20/Bg_02-14_LON_1973-08-20_The_Skin_Disease.mp3" TargetMode="External"/><Relationship Id="rId1194" Type="http://schemas.openxmlformats.org/officeDocument/2006/relationships/hyperlink" Target="https://audio.iskcondesiretree.com/01_-_Srila_Prabhupada/01_-_Lectures/01_-_English/01_-_Topic_wise/Bhagavad_Gita/Chapter-02/SP_BG_02-15_London_1973-08-21_Don%27t_Cheat_Others.mp3" TargetMode="External"/><Relationship Id="rId1195" Type="http://schemas.openxmlformats.org/officeDocument/2006/relationships/hyperlink" Target="https://audio.iskcondesiretree.com/01_-_Srila_Prabhupada/01_-_Lectures/01_-_English/01_-_Topic_wise/Festivals/SP_Festivals_London_1973-08-21_Deity_Installation--Purpose_of--etc.mp3" TargetMode="External"/><Relationship Id="rId1196" Type="http://schemas.openxmlformats.org/officeDocument/2006/relationships/hyperlink" Target="https://audio.iskcondesiretree.com/01_-_Srila_Prabhupada/01_-_Lectures/01_-_English/01_-_Topic_wise/Festivals/SP_Festivals_London_1973-08-21_Deity_Installation--Why_Krishna--etc.mp3" TargetMode="External"/><Relationship Id="rId1197" Type="http://schemas.openxmlformats.org/officeDocument/2006/relationships/hyperlink" Target="https://audio.iskcondesiretree.com/01_-_Srila_Prabhupada/01_-_Lectures/01_-_English/01_-_Topic_wise/Festivals/SP_Festivals_London_1973-08-21_Deity_Installation.mp3" TargetMode="External"/><Relationship Id="rId1198" Type="http://schemas.openxmlformats.org/officeDocument/2006/relationships/hyperlink" Target="https://audio.iskcondesiretree.com/01_-_Srila_Prabhupada/01_-_Lectures/01_-_English/01_-_Topic_wise/Festivals/SP_Festivals_London_1973-08-21_Janmastami.mp3" TargetMode="External"/><Relationship Id="rId1199" Type="http://schemas.openxmlformats.org/officeDocument/2006/relationships/hyperlink" Target="https://audio.iskcondesiretree.com/01_-_Srila_Prabhupada/01_-_Lectures/01_-_English/02_-_Month_wise/08_-_August/21/Bg_02-15_LON_1973-08-21_Don%27t_Cheat_Others.mp3" TargetMode="External"/><Relationship Id="rId1180" Type="http://schemas.openxmlformats.org/officeDocument/2006/relationships/hyperlink" Target="https://audio.iskcondesiretree.com/01_-_Srila_Prabhupada/01_-_Lectures/01_-_English/02_-_Month_wise/08_-_August/13/RC_PAR_1973-08-13_Rosicrucians_Vague_Bogus_A_Waste_of_Time.mp3" TargetMode="External"/><Relationship Id="rId1181" Type="http://schemas.openxmlformats.org/officeDocument/2006/relationships/hyperlink" Target="https://audio.iskcondesiretree.com/01_-_Srila_Prabhupada/01_-_Lectures/01_-_English/02_-_Month_wise/08_-_August/13/RC_PAR_1973-08-13_Sanskrit_Prof_Any_Sane_Man_Will_etc.mp3" TargetMode="External"/><Relationship Id="rId1182" Type="http://schemas.openxmlformats.org/officeDocument/2006/relationships/hyperlink" Target="https://audio.iskcondesiretree.com/01_-_Srila_Prabhupada/01_-_Lectures/01_-_English/01_-_Topic_wise/Bhagavad_Gita/Chapter-02/SP_BG_02-09_London_1973-08-15_Satisfying_the_Senses_and_the_Heart.mp3" TargetMode="External"/><Relationship Id="rId1183" Type="http://schemas.openxmlformats.org/officeDocument/2006/relationships/hyperlink" Target="https://audio.iskcondesiretree.com/01_-_Srila_Prabhupada/01_-_Lectures/01_-_English/02_-_Month_wise/08_-_August/15/Bg_02-09_LON_1973-08-15_Satisfying_the_Senses_and_the_Heart.mp3" TargetMode="External"/><Relationship Id="rId1184" Type="http://schemas.openxmlformats.org/officeDocument/2006/relationships/hyperlink" Target="https://audio.iskcondesiretree.com/01_-_Srila_Prabhupada/01_-_Lectures/01_-_English/01_-_Topic_wise/Bhagavad_Gita/Chapter-02/SP_BG_02-10_London_1973-08-16_Arjuna_Playing_the_Role_of_a_Rascal.mp3" TargetMode="External"/><Relationship Id="rId1185" Type="http://schemas.openxmlformats.org/officeDocument/2006/relationships/hyperlink" Target="https://audio.iskcondesiretree.com/01_-_Srila_Prabhupada/01_-_Lectures/01_-_English/02_-_Month_wise/08_-_August/16/Bg_02-10_LON_1973-08-16_Arjuna_Playing_the_Role_of_a_Rascal.mp3" TargetMode="External"/><Relationship Id="rId1186" Type="http://schemas.openxmlformats.org/officeDocument/2006/relationships/hyperlink" Target="https://audio.iskcondesiretree.com/01_-_Srila_Prabhupada/01_-_Lectures/01_-_English/01_-_Topic_wise/Bhagavad_Gita/Chapter-02/SP_BG_02-11_London_1973-08-17_You%27re_Talking_Like_a_Learned--etc.mp3" TargetMode="External"/><Relationship Id="rId1187" Type="http://schemas.openxmlformats.org/officeDocument/2006/relationships/hyperlink" Target="https://audio.iskcondesiretree.com/01_-_Srila_Prabhupada/01_-_Lectures/01_-_English/02_-_Month_wise/08_-_August/17/Bg_02-11_LON_1973-08-17_You%27re_Talking_Like_a_Learned_etc.mp3" TargetMode="External"/><Relationship Id="rId1188" Type="http://schemas.openxmlformats.org/officeDocument/2006/relationships/hyperlink" Target="https://audio.iskcondesiretree.com/01_-_Srila_Prabhupada/01_-_Lectures/01_-_English/01_-_Topic_wise/Bhagavad_Gita/Chapter-02/SP_BG_02-12_London_1973-08-18_What_Abortionists_Don%27t_Know.mp3" TargetMode="External"/><Relationship Id="rId1189" Type="http://schemas.openxmlformats.org/officeDocument/2006/relationships/hyperlink" Target="https://audio.iskcondesiretree.com/01_-_Srila_Prabhupada/01_-_Lectures/01_-_English/02_-_Month_wise/08_-_August/18/Bg_02-12_LON_1973-08-18_What_Abortionists_Don%27t_Know.mp3" TargetMode="External"/><Relationship Id="rId1136" Type="http://schemas.openxmlformats.org/officeDocument/2006/relationships/hyperlink" Target="https://audio.iskcondesiretree.com/01_-_Srila_Prabhupada/01_-_Lectures/01_-_English/01_-_Topic_wise/Bhagavad_Gita/Chapter-01/SP_BG_01-44_London_1973-07-31_Only_Rascal_Says_Krishna_Is_Immoral.mp3" TargetMode="External"/><Relationship Id="rId2467" Type="http://schemas.openxmlformats.org/officeDocument/2006/relationships/hyperlink" Target="https://audio.iskcondesiretree.com/01_-_Srila_Prabhupada/01_-_Lectures/01_-_English/01_-_Topic_wise/Srimad_Bhagavatam/Canto-01/SP_SB_1-08-45_Mayapur_1974-10-25_Krishna_Wants_to_Be_Controlled.mp3" TargetMode="External"/><Relationship Id="rId3799" Type="http://schemas.openxmlformats.org/officeDocument/2006/relationships/hyperlink" Target="https://audio.iskcondesiretree.com/01_-_Srila_Prabhupada/01_-_Lectures/01_-_English/02_-_Month_wise/10_-_October/01/Arrival_1975-10-01_A2-MAURITIUS.MP3" TargetMode="External"/><Relationship Id="rId1137" Type="http://schemas.openxmlformats.org/officeDocument/2006/relationships/hyperlink" Target="https://audio.iskcondesiretree.com/01_-_Srila_Prabhupada/01_-_Lectures/01_-_English/02_-_Month_wise/07_-_July/31/Bg_01-44_LON_1973-07-31_Only_Rascal_Says_Krishna_Is_Immoral.mp3" TargetMode="External"/><Relationship Id="rId2468" Type="http://schemas.openxmlformats.org/officeDocument/2006/relationships/hyperlink" Target="https://audio.iskcondesiretree.com/01_-_Srila_Prabhupada/01_-_Lectures/01_-_English/02_-_Month_wise/10_-_October/25/SB-01-08-45_1974-10-25_SB-MAYAPUR.MP3" TargetMode="External"/><Relationship Id="rId3798" Type="http://schemas.openxmlformats.org/officeDocument/2006/relationships/hyperlink" Target="https://audio.iskcondesiretree.com/01_-_Srila_Prabhupada/01_-_Lectures/01_-_English/02_-_Month_wise/10_-_October/01/Arr_MAU_1975-10-01_This_Body_Is_a_Bag.mp3" TargetMode="External"/><Relationship Id="rId1138" Type="http://schemas.openxmlformats.org/officeDocument/2006/relationships/hyperlink" Target="https://audio.iskcondesiretree.com/01_-_Srila_Prabhupada/01_-_Lectures/01_-_English/01_-_Topic_wise/Bhagavad_Gita/Chapter-01/SP_BG_01-45_London_1973-08-01_Krishna%27s_Order_Is_Final.mp3" TargetMode="External"/><Relationship Id="rId2469" Type="http://schemas.openxmlformats.org/officeDocument/2006/relationships/hyperlink" Target="https://audio.iskcondesiretree.com/01_-_Srila_Prabhupada/01_-_Lectures/01_-_English/02_-_Month_wise/10_-_October/25/SB_1-08-45_MAY_1974-10-25_Krishna_Wants_to_Be_Controlled.mp3" TargetMode="External"/><Relationship Id="rId1139" Type="http://schemas.openxmlformats.org/officeDocument/2006/relationships/hyperlink" Target="https://audio.iskcondesiretree.com/01_-_Srila_Prabhupada/01_-_Lectures/01_-_English/02_-_Month_wise/08_-_August/01/Bg_01-45_LON_1973-08-01_Krishna%27s_Order_Is_Final.mp3" TargetMode="External"/><Relationship Id="rId3791" Type="http://schemas.openxmlformats.org/officeDocument/2006/relationships/hyperlink" Target="https://audio.iskcondesiretree.com/01_-_Srila_Prabhupada/01_-_Lectures/01_-_English/02_-_Month_wise/09_-_September/27/Walk_1975-09-27_MW-AHMEDABAD.MP3" TargetMode="External"/><Relationship Id="rId2460" Type="http://schemas.openxmlformats.org/officeDocument/2006/relationships/hyperlink" Target="https://audio.iskcondesiretree.com/01_-_Srila_Prabhupada/01_-_Lectures/01_-_English/02_-_Month_wise/10_-_October/22/SB_1-08-42_MAY_1974-10-22_The_Psychology_of_the_Eternal.mp3" TargetMode="External"/><Relationship Id="rId3790" Type="http://schemas.openxmlformats.org/officeDocument/2006/relationships/hyperlink" Target="https://audio.iskcondesiretree.com/01_-_Srila_Prabhupada/01_-_Lectures/01_-_English/02_-_Month_wise/09_-_September/27/SB-01-02-06%E2%80%93Hindi_1975-09-27_SB-AHMEDABAD.MP3" TargetMode="External"/><Relationship Id="rId1130" Type="http://schemas.openxmlformats.org/officeDocument/2006/relationships/hyperlink" Target="https://audio.iskcondesiretree.com/01_-_Srila_Prabhupada/01_-_Lectures/01_-_English/01_-_Topic_wise/Bhagavad_Gita/Chapter-01/SP_BG_01-40_London_1973-07-28_The_Psychology_of_Chastity.mp3" TargetMode="External"/><Relationship Id="rId2461" Type="http://schemas.openxmlformats.org/officeDocument/2006/relationships/hyperlink" Target="https://audio.iskcondesiretree.com/01_-_Srila_Prabhupada/01_-_Lectures/01_-_English/01_-_Topic_wise/Srimad_Bhagavatam/Canto-01/SP_SB_1-08-43_Mayapur_1974-10-23_Enter_Krishna%27s_Family.mp3" TargetMode="External"/><Relationship Id="rId3793" Type="http://schemas.openxmlformats.org/officeDocument/2006/relationships/hyperlink" Target="https://audio.iskcondesiretree.com/01_-_Srila_Prabhupada/01_-_Lectures/01_-_English/02_-_Month_wise/09_-_September/29/Walk_1975-09-29_MW-AHMEDABAD.MP3" TargetMode="External"/><Relationship Id="rId1131" Type="http://schemas.openxmlformats.org/officeDocument/2006/relationships/hyperlink" Target="https://audio.iskcondesiretree.com/01_-_Srila_Prabhupada/01_-_Lectures/01_-_English/02_-_Month_wise/07_-_July/28/Bg_01-40_LON_1973-07-28_The_Psychology_of_Chastity.mp3" TargetMode="External"/><Relationship Id="rId2462" Type="http://schemas.openxmlformats.org/officeDocument/2006/relationships/hyperlink" Target="https://audio.iskcondesiretree.com/01_-_Srila_Prabhupada/01_-_Lectures/01_-_English/02_-_Month_wise/10_-_October/23/SB-01-08-43_1974-10-23_SB-MAYAPUR.MP3" TargetMode="External"/><Relationship Id="rId3792" Type="http://schemas.openxmlformats.org/officeDocument/2006/relationships/hyperlink" Target="https://audio.iskcondesiretree.com/01_-_Srila_Prabhupada/01_-_Lectures/01_-_English/01_-_Topic_wise/Morning_Walk/SP_Morning_Walk_-_Ahmedabad_1975-09-29.MP3" TargetMode="External"/><Relationship Id="rId1132" Type="http://schemas.openxmlformats.org/officeDocument/2006/relationships/hyperlink" Target="https://audio.iskcondesiretree.com/01_-_Srila_Prabhupada/01_-_Lectures/01_-_English/01_-_Topic_wise/Bhagavad_Gita/Chapter-01/SP_BG_01-41_London_1973-07-29_Relief_from_Today%27s_Hell.mp3" TargetMode="External"/><Relationship Id="rId2463" Type="http://schemas.openxmlformats.org/officeDocument/2006/relationships/hyperlink" Target="https://audio.iskcondesiretree.com/01_-_Srila_Prabhupada/01_-_Lectures/01_-_English/02_-_Month_wise/10_-_October/23/SB_1-08-43_MAY_1974-10-23_Enter_Krishna%27s_Family.mp3" TargetMode="External"/><Relationship Id="rId3795" Type="http://schemas.openxmlformats.org/officeDocument/2006/relationships/hyperlink" Target="https://audio.iskcondesiretree.com/01_-_Srila_Prabhupada/01_-_Lectures/01_-_English/02_-_Month_wise/09_-_September/30/Walk_1975-09-30_MW-BOMBAY.MP3" TargetMode="External"/><Relationship Id="rId1133" Type="http://schemas.openxmlformats.org/officeDocument/2006/relationships/hyperlink" Target="https://audio.iskcondesiretree.com/01_-_Srila_Prabhupada/01_-_Lectures/01_-_English/02_-_Month_wise/07_-_July/29/Bg_01-41_LON_1973-07-29_Relief_from_Today%27s_Hell.mp3" TargetMode="External"/><Relationship Id="rId2464" Type="http://schemas.openxmlformats.org/officeDocument/2006/relationships/hyperlink" Target="https://audio.iskcondesiretree.com/01_-_Srila_Prabhupada/01_-_Lectures/01_-_English/01_-_Topic_wise/Srimad_Bhagavatam/Canto-01/SP_SB_1-08-44_Mayapur_1974-10-24_Selected_Words_for_the_Smiling_Lord.mp3" TargetMode="External"/><Relationship Id="rId3794" Type="http://schemas.openxmlformats.org/officeDocument/2006/relationships/hyperlink" Target="https://audio.iskcondesiretree.com/01_-_Srila_Prabhupada/01_-_Lectures/01_-_English/01_-_Topic_wise/Morning_Walk/SP_Morning_Walk_-_Bombay_1975-09-30.MP3" TargetMode="External"/><Relationship Id="rId1134" Type="http://schemas.openxmlformats.org/officeDocument/2006/relationships/hyperlink" Target="https://audio.iskcondesiretree.com/01_-_Srila_Prabhupada/01_-_Lectures/01_-_English/01_-_Topic_wise/Bhagavad_Gita/Chapter-01/SP_BG_01-43_London_1973-07-30_There_Is_Only_One_Remedy.mp3" TargetMode="External"/><Relationship Id="rId2465" Type="http://schemas.openxmlformats.org/officeDocument/2006/relationships/hyperlink" Target="https://audio.iskcondesiretree.com/01_-_Srila_Prabhupada/01_-_Lectures/01_-_English/02_-_Month_wise/10_-_October/24/SB-01-08-44_1974-10-24_SB-MAYAPUR.MP3" TargetMode="External"/><Relationship Id="rId3797" Type="http://schemas.openxmlformats.org/officeDocument/2006/relationships/hyperlink" Target="https://audio.iskcondesiretree.com/01_-_Srila_Prabhupada/01_-_Lectures/01_-_English/01_-_Topic_wise/Bhagavad_Gita/Chapter-02/SP_BG_02-11_Mauritius_1975-10-01_Lament_for_a_Lump.mp3" TargetMode="External"/><Relationship Id="rId1135" Type="http://schemas.openxmlformats.org/officeDocument/2006/relationships/hyperlink" Target="https://audio.iskcondesiretree.com/01_-_Srila_Prabhupada/01_-_Lectures/01_-_English/02_-_Month_wise/07_-_July/30/Bg_01-43_LON_1973-07-30_There_Is_Only_One_Remedy.mp3" TargetMode="External"/><Relationship Id="rId2466" Type="http://schemas.openxmlformats.org/officeDocument/2006/relationships/hyperlink" Target="https://audio.iskcondesiretree.com/01_-_Srila_Prabhupada/01_-_Lectures/01_-_English/02_-_Month_wise/10_-_October/24/SB_1-08-44_MAY_1974-10-24_Selected_Words_for_the_Smiling_Lord.mp3" TargetMode="External"/><Relationship Id="rId3796" Type="http://schemas.openxmlformats.org/officeDocument/2006/relationships/hyperlink" Target="https://audio.iskcondesiretree.com/01_-_Srila_Prabhupada/01_-_Lectures/01_-_English/01_-_Topic_wise/Arrival_Address/SP_Arrival_Mauritius_1975-10-01_This_Body_Is_a_Bag.mp3" TargetMode="External"/><Relationship Id="rId1125" Type="http://schemas.openxmlformats.org/officeDocument/2006/relationships/hyperlink" Target="https://audio.iskcondesiretree.com/01_-_Srila_Prabhupada/01_-_Lectures/01_-_English/01_-_Topic_wise/Room_Conversation/SP_Room_Conversation_London_1973-07-26_Schumacher_%26_Popworth--Purifying--etc.mp3" TargetMode="External"/><Relationship Id="rId2456" Type="http://schemas.openxmlformats.org/officeDocument/2006/relationships/hyperlink" Target="https://audio.iskcondesiretree.com/01_-_Srila_Prabhupada/01_-_Lectures/01_-_English/02_-_Month_wise/10_-_October/21/SB-01-08-41_1974-10-21_SB-MAYAPUR.MP3" TargetMode="External"/><Relationship Id="rId3788" Type="http://schemas.openxmlformats.org/officeDocument/2006/relationships/hyperlink" Target="https://audio.iskcondesiretree.com/01_-_Srila_Prabhupada/01_-_Lectures/01_-_English/01_-_Topic_wise/Morning_Walk/SP_Morning_Walk_-_Ahmedabad_1975-09-27.MP3" TargetMode="External"/><Relationship Id="rId1126" Type="http://schemas.openxmlformats.org/officeDocument/2006/relationships/hyperlink" Target="https://audio.iskcondesiretree.com/01_-_Srila_Prabhupada/01_-_Lectures/01_-_English/02_-_Month_wise/07_-_July/26/Bg_01-36_LON_1973-07-26_Devotee_Has_All_Good_Qualities.mp3" TargetMode="External"/><Relationship Id="rId2457" Type="http://schemas.openxmlformats.org/officeDocument/2006/relationships/hyperlink" Target="https://audio.iskcondesiretree.com/01_-_Srila_Prabhupada/01_-_Lectures/01_-_English/02_-_Month_wise/10_-_October/21/SB_1-08-41_MAY_1974-10-21_The_Ropes_of_Affection.mp3" TargetMode="External"/><Relationship Id="rId3787" Type="http://schemas.openxmlformats.org/officeDocument/2006/relationships/hyperlink" Target="https://audio.iskcondesiretree.com/01_-_Srila_Prabhupada/01_-_Lectures/01_-_English/02_-_Month_wise/09_-_September/26/Walk_1975-09-26_MW-AHMEDABAD.MP3" TargetMode="External"/><Relationship Id="rId1127" Type="http://schemas.openxmlformats.org/officeDocument/2006/relationships/hyperlink" Target="https://audio.iskcondesiretree.com/01_-_Srila_Prabhupada/01_-_Lectures/01_-_English/02_-_Month_wise/07_-_July/26/RC_LON_1973-07-26_Schumacher_%26_Popworth_Purifying_etc.mp3" TargetMode="External"/><Relationship Id="rId2458" Type="http://schemas.openxmlformats.org/officeDocument/2006/relationships/hyperlink" Target="https://audio.iskcondesiretree.com/01_-_Srila_Prabhupada/01_-_Lectures/01_-_English/01_-_Topic_wise/Srimad_Bhagavatam/Canto-01/SP_SB_1-08-42_Mayapur_1974-10-22_The_Psychology_of_the_Eternal.mp3" TargetMode="External"/><Relationship Id="rId1128" Type="http://schemas.openxmlformats.org/officeDocument/2006/relationships/hyperlink" Target="https://audio.iskcondesiretree.com/01_-_Srila_Prabhupada/01_-_Lectures/01_-_English/01_-_Topic_wise/Bhagavad_Gita/Chapter-01/SP_BG_01-37-39_London_1973-07-27_The_Way_to_Save_Society.mp3" TargetMode="External"/><Relationship Id="rId2459" Type="http://schemas.openxmlformats.org/officeDocument/2006/relationships/hyperlink" Target="https://audio.iskcondesiretree.com/01_-_Srila_Prabhupada/01_-_Lectures/01_-_English/02_-_Month_wise/10_-_October/22/SB-01-08-42_1974-10-22_SB-MAYAPUR.MP3" TargetMode="External"/><Relationship Id="rId3789" Type="http://schemas.openxmlformats.org/officeDocument/2006/relationships/hyperlink" Target="https://audio.iskcondesiretree.com/01_-_Srila_Prabhupada/01_-_Lectures/01_-_English/02_-_Month_wise/09_-_September/27/Conv%E2%80%93Hindi_1975-09-27_R1-AHMEDABAD.MP3" TargetMode="External"/><Relationship Id="rId1129" Type="http://schemas.openxmlformats.org/officeDocument/2006/relationships/hyperlink" Target="https://audio.iskcondesiretree.com/01_-_Srila_Prabhupada/01_-_Lectures/01_-_English/02_-_Month_wise/07_-_July/27/Bg_01-37_LON_1973-07-27_The_Way_to_Save_Society.mp3" TargetMode="External"/><Relationship Id="rId3780" Type="http://schemas.openxmlformats.org/officeDocument/2006/relationships/hyperlink" Target="https://audio.iskcondesiretree.com/01_-_Srila_Prabhupada/01_-_Lectures/01_-_English/02_-_Month_wise/09_-_September/20/SB-06-02-17_1975-09-20_SB-VRNDAVAN.MP3" TargetMode="External"/><Relationship Id="rId2450" Type="http://schemas.openxmlformats.org/officeDocument/2006/relationships/hyperlink" Target="https://audio.iskcondesiretree.com/01_-_Srila_Prabhupada/01_-_Lectures/01_-_English/02_-_Month_wise/10_-_October/19/SB-01-08-39_1974-10-19_SB-MAYAPUR.MP3" TargetMode="External"/><Relationship Id="rId3782" Type="http://schemas.openxmlformats.org/officeDocument/2006/relationships/hyperlink" Target="https://audio.iskcondesiretree.com/01_-_Srila_Prabhupada/01_-_Lectures/01_-_English/01_-_Topic_wise/Morning_Walk/SP_Morning_Walk_-_Hyderabad_1975-09-25_From_the_Frying_Pan_to_the_Fire.mp3" TargetMode="External"/><Relationship Id="rId1120" Type="http://schemas.openxmlformats.org/officeDocument/2006/relationships/hyperlink" Target="https://audio.iskcondesiretree.com/01_-_Srila_Prabhupada/01_-_Lectures/01_-_English/01_-_Topic_wise/Bhagavad_Gita/Chapter-01/SP_BG_01-32_London_1973-07-25_Shortcut_to_Spiritual_Knowledge.mp3" TargetMode="External"/><Relationship Id="rId2451" Type="http://schemas.openxmlformats.org/officeDocument/2006/relationships/hyperlink" Target="https://audio.iskcondesiretree.com/01_-_Srila_Prabhupada/01_-_Lectures/01_-_English/02_-_Month_wise/10_-_October/19/SB_1-08-39_MAY_1974-10-19_Keep_Krishna_Here.mp3" TargetMode="External"/><Relationship Id="rId3781" Type="http://schemas.openxmlformats.org/officeDocument/2006/relationships/hyperlink" Target="https://audio.iskcondesiretree.com/01_-_Srila_Prabhupada/01_-_Lectures/01_-_English/02_-_Month_wise/09_-_September/20/SB_6-02-17_VRN_1975-09-20_Don%27t_Try_to_Be_Happy_Here.mp3" TargetMode="External"/><Relationship Id="rId1121" Type="http://schemas.openxmlformats.org/officeDocument/2006/relationships/hyperlink" Target="https://audio.iskcondesiretree.com/01_-_Srila_Prabhupada/01_-_Lectures/01_-_English/01_-_Topic_wise/Room_Conversation/SP_Room_Conversation_London_1973-07-25_Devotee%27s_Mother_and_Jesuit_Priest.mp3" TargetMode="External"/><Relationship Id="rId2452" Type="http://schemas.openxmlformats.org/officeDocument/2006/relationships/hyperlink" Target="https://audio.iskcondesiretree.com/01_-_Srila_Prabhupada/01_-_Lectures/01_-_English/01_-_Topic_wise/Srimad_Bhagavatam/Canto-01/SP_SB_1-08-40_Mayapur_1974-10-20_Modern_Inventions_Make_Hell.mp3" TargetMode="External"/><Relationship Id="rId3784" Type="http://schemas.openxmlformats.org/officeDocument/2006/relationships/hyperlink" Target="https://audio.iskcondesiretree.com/01_-_Srila_Prabhupada/01_-_Lectures/01_-_English/02_-_Month_wise/09_-_September/25/MW_HYD_1975-09-25_From_the_Frying_Pan_to_the_Fire.mp3" TargetMode="External"/><Relationship Id="rId1122" Type="http://schemas.openxmlformats.org/officeDocument/2006/relationships/hyperlink" Target="https://audio.iskcondesiretree.com/01_-_Srila_Prabhupada/01_-_Lectures/01_-_English/02_-_Month_wise/07_-_July/25/Bg_01-32_LON_1973-07-25_Shortcut_to_Spiritual_Knowledge.mp3" TargetMode="External"/><Relationship Id="rId2453" Type="http://schemas.openxmlformats.org/officeDocument/2006/relationships/hyperlink" Target="https://audio.iskcondesiretree.com/01_-_Srila_Prabhupada/01_-_Lectures/01_-_English/02_-_Month_wise/10_-_October/20/SB-01-08-40_1974-10-20_SB-MAYAPUR.MP3" TargetMode="External"/><Relationship Id="rId3783" Type="http://schemas.openxmlformats.org/officeDocument/2006/relationships/hyperlink" Target="https://audio.iskcondesiretree.com/01_-_Srila_Prabhupada/01_-_Lectures/01_-_English/02_-_Month_wise/09_-_September/25/Bg-07-01%E2%80%93Hindi_1975-09-25_BG-AHMEDABAD.MP3" TargetMode="External"/><Relationship Id="rId1123" Type="http://schemas.openxmlformats.org/officeDocument/2006/relationships/hyperlink" Target="https://audio.iskcondesiretree.com/01_-_Srila_Prabhupada/01_-_Lectures/01_-_English/02_-_Month_wise/07_-_July/25/RC_LON_1973-07-25_Devotee%27s_Mother_and_Jesuit_Priest.mp3" TargetMode="External"/><Relationship Id="rId2454" Type="http://schemas.openxmlformats.org/officeDocument/2006/relationships/hyperlink" Target="https://audio.iskcondesiretree.com/01_-_Srila_Prabhupada/01_-_Lectures/01_-_English/02_-_Month_wise/10_-_October/20/SB_1-08-40_MAY_1974-10-20_Modern_Inventions_Make_Hell.mp3" TargetMode="External"/><Relationship Id="rId3786" Type="http://schemas.openxmlformats.org/officeDocument/2006/relationships/hyperlink" Target="https://audio.iskcondesiretree.com/01_-_Srila_Prabhupada/01_-_Lectures/01_-_English/01_-_Topic_wise/Morning_Walk/SP_Morning_Walk_-_Ahmedabad_1975-09-26.MP3" TargetMode="External"/><Relationship Id="rId1124" Type="http://schemas.openxmlformats.org/officeDocument/2006/relationships/hyperlink" Target="https://audio.iskcondesiretree.com/01_-_Srila_Prabhupada/01_-_Lectures/01_-_English/01_-_Topic_wise/Bhagavad_Gita/Chapter-01/SP_BG_01-36_London_1973-07-26_Devotee_Has_All_Good_Qualities.mp3" TargetMode="External"/><Relationship Id="rId2455" Type="http://schemas.openxmlformats.org/officeDocument/2006/relationships/hyperlink" Target="https://audio.iskcondesiretree.com/01_-_Srila_Prabhupada/01_-_Lectures/01_-_English/01_-_Topic_wise/Srimad_Bhagavatam/Canto-01/SP_SB_1-08-41_Mayapur_1974-10-21_The_Ropes_of_Affection.mp3" TargetMode="External"/><Relationship Id="rId3785" Type="http://schemas.openxmlformats.org/officeDocument/2006/relationships/hyperlink" Target="https://audio.iskcondesiretree.com/01_-_Srila_Prabhupada/01_-_Lectures/01_-_English/02_-_Month_wise/09_-_September/25/Walk_1975-09-25_MW-AHMEDABAD.MP3" TargetMode="External"/><Relationship Id="rId1158" Type="http://schemas.openxmlformats.org/officeDocument/2006/relationships/hyperlink" Target="https://audio.iskcondesiretree.com/01_-_Srila_Prabhupada/01_-_Lectures/01_-_English/01_-_Topic_wise/Bhagavad_Gita/Chapter-13/SP_BG_13-01-02_Paris_1973-08-10_Real_Answers_to_Life%27s_Real_Questions.mp3" TargetMode="External"/><Relationship Id="rId2489" Type="http://schemas.openxmlformats.org/officeDocument/2006/relationships/hyperlink" Target="https://audio.iskcondesiretree.com/01_-_Srila_Prabhupada/01_-_Lectures/01_-_English/02_-_Month_wise/11_-_November/03/SB-03-25-03_1974-11-03_SB-BOMBAY.MP3" TargetMode="External"/><Relationship Id="rId1159" Type="http://schemas.openxmlformats.org/officeDocument/2006/relationships/hyperlink" Target="https://audio.iskcondesiretree.com/01_-_Srila_Prabhupada/01_-_Lectures/01_-_English/01_-_Topic_wise/Room_Conversation/SP_Room_Conversation_Paris_1973-08-10_Daughter_of_French_Author--Doggish_Knowledge.mp3" TargetMode="External"/><Relationship Id="rId2480" Type="http://schemas.openxmlformats.org/officeDocument/2006/relationships/hyperlink" Target="https://audio.iskcondesiretree.com/01_-_Srila_Prabhupada/01_-_Lectures/01_-_English/02_-_Month_wise/10_-_October/29/SB-01-08-49_1974-10-29_SB-MAYAPUR.MP3" TargetMode="External"/><Relationship Id="rId1150" Type="http://schemas.openxmlformats.org/officeDocument/2006/relationships/hyperlink" Target="https://audio.iskcondesiretree.com/01_-_Srila_Prabhupada/01_-_Lectures/01_-_English/01_-_Topic_wise/Bhagavad_Gita/Chapter-02/SP_BG_02-08_London_1973-08-08_Surpassing_These_Senses.mp3" TargetMode="External"/><Relationship Id="rId2481" Type="http://schemas.openxmlformats.org/officeDocument/2006/relationships/hyperlink" Target="https://audio.iskcondesiretree.com/01_-_Srila_Prabhupada/01_-_Lectures/01_-_English/02_-_Month_wise/10_-_October/29/SB_1-08-49_MAY_1974-10-29_Devotees_Have_No_Debts.mp3" TargetMode="External"/><Relationship Id="rId1151" Type="http://schemas.openxmlformats.org/officeDocument/2006/relationships/hyperlink" Target="https://audio.iskcondesiretree.com/01_-_Srila_Prabhupada/01_-_Lectures/01_-_English/02_-_Month_wise/08_-_August/08/Bg_02-08_LON_1973-08-08_Surpassing_These_Senses.mp3" TargetMode="External"/><Relationship Id="rId2482" Type="http://schemas.openxmlformats.org/officeDocument/2006/relationships/hyperlink" Target="https://audio.iskcondesiretree.com/01_-_Srila_Prabhupada/01_-_Lectures/01_-_English/01_-_Topic_wise/Srimad_Bhagavatam/Canto-03/SP_SB_3-25-01_Bombay_1974-11-01_Fire_Is_Fire_Gold_Is_Gold--etc.mp3" TargetMode="External"/><Relationship Id="rId1152" Type="http://schemas.openxmlformats.org/officeDocument/2006/relationships/hyperlink" Target="https://audio.iskcondesiretree.com/01_-_Srila_Prabhupada/01_-_Lectures/01_-_English/01_-_Topic_wise/Arrival_Address/SP_Arrival_Paris_1973-08-09_Understand_This_Movement.mp3" TargetMode="External"/><Relationship Id="rId2483" Type="http://schemas.openxmlformats.org/officeDocument/2006/relationships/hyperlink" Target="https://audio.iskcondesiretree.com/01_-_Srila_Prabhupada/01_-_Lectures/01_-_English/02_-_Month_wise/11_-_November/01/SB-03-25-01_1974-11-01_SB-BOMBAY.MP3" TargetMode="External"/><Relationship Id="rId1153" Type="http://schemas.openxmlformats.org/officeDocument/2006/relationships/hyperlink" Target="https://audio.iskcondesiretree.com/01_-_Srila_Prabhupada/01_-_Lectures/01_-_English/01_-_Topic_wise/Morning_Walk/SP_Morning_Walk_-_Paris_1973-08-09_Animal_Killing.mp3" TargetMode="External"/><Relationship Id="rId2484" Type="http://schemas.openxmlformats.org/officeDocument/2006/relationships/hyperlink" Target="https://audio.iskcondesiretree.com/01_-_Srila_Prabhupada/01_-_Lectures/01_-_English/02_-_Month_wise/11_-_November/01/SB_3-25-01_BOM_1974-11-01_Fire_Is_Fire_Gold_Is_Gold_etc.mp3" TargetMode="External"/><Relationship Id="rId1154" Type="http://schemas.openxmlformats.org/officeDocument/2006/relationships/hyperlink" Target="https://audio.iskcondesiretree.com/01_-_Srila_Prabhupada/01_-_Lectures/01_-_English/01_-_Topic_wise/Room_Conversation/SP_Room_Conversation_Paris_1973-08-09_Priest_Cardinal_Danielou--Thou--etc.mp3" TargetMode="External"/><Relationship Id="rId2485" Type="http://schemas.openxmlformats.org/officeDocument/2006/relationships/hyperlink" Target="https://audio.iskcondesiretree.com/01_-_Srila_Prabhupada/01_-_Lectures/01_-_English/01_-_Topic_wise/Srimad_Bhagavatam/Canto-03/SP_SB_3-25-02_Bombay_1974-11-02_Eat_Drink_Be_Merry--%28For--etc.mp3" TargetMode="External"/><Relationship Id="rId1155" Type="http://schemas.openxmlformats.org/officeDocument/2006/relationships/hyperlink" Target="https://audio.iskcondesiretree.com/01_-_Srila_Prabhupada/01_-_Lectures/01_-_English/02_-_Month_wise/08_-_August/09/Arr_PAR_1973-08-09_Understand_This_Movement.mp3" TargetMode="External"/><Relationship Id="rId2486" Type="http://schemas.openxmlformats.org/officeDocument/2006/relationships/hyperlink" Target="https://audio.iskcondesiretree.com/01_-_Srila_Prabhupada/01_-_Lectures/01_-_English/02_-_Month_wise/11_-_November/02/SB-03-25-02_1974-11-02_SB-BOMBAY.MP3" TargetMode="External"/><Relationship Id="rId1156" Type="http://schemas.openxmlformats.org/officeDocument/2006/relationships/hyperlink" Target="https://audio.iskcondesiretree.com/01_-_Srila_Prabhupada/01_-_Lectures/01_-_English/02_-_Month_wise/08_-_August/09/MW_PAR_1973-08-09_Animal_Killing.mp3" TargetMode="External"/><Relationship Id="rId2487" Type="http://schemas.openxmlformats.org/officeDocument/2006/relationships/hyperlink" Target="https://audio.iskcondesiretree.com/01_-_Srila_Prabhupada/01_-_Lectures/01_-_English/02_-_Month_wise/11_-_November/02/SB_3-25-02_BOM_1974-11-02_Eat%2C_Drink%2C_Be_Merry_For_etc.mp3" TargetMode="External"/><Relationship Id="rId1157" Type="http://schemas.openxmlformats.org/officeDocument/2006/relationships/hyperlink" Target="https://audio.iskcondesiretree.com/01_-_Srila_Prabhupada/01_-_Lectures/01_-_English/02_-_Month_wise/08_-_August/09/RC_PAR_1973-08-09_Priest_Cardinal_Danielou-Thou_etc.mp3" TargetMode="External"/><Relationship Id="rId2488" Type="http://schemas.openxmlformats.org/officeDocument/2006/relationships/hyperlink" Target="https://audio.iskcondesiretree.com/01_-_Srila_Prabhupada/01_-_Lectures/01_-_English/01_-_Topic_wise/Srimad_Bhagavatam/Canto-03/SP_SB_3-25-03_Bombay_1974-11-03_Krishna_Has_Everything.mp3" TargetMode="External"/><Relationship Id="rId1147" Type="http://schemas.openxmlformats.org/officeDocument/2006/relationships/hyperlink" Target="https://audio.iskcondesiretree.com/01_-_Srila_Prabhupada/01_-_Lectures/01_-_English/02_-_Month_wise/08_-_August/06/Bg_02-06_LON_1973-08-06_How_to_Utilize_Fighting_Spirit.mp3" TargetMode="External"/><Relationship Id="rId2478" Type="http://schemas.openxmlformats.org/officeDocument/2006/relationships/hyperlink" Target="https://audio.iskcondesiretree.com/01_-_Srila_Prabhupada/01_-_Lectures/01_-_English/02_-_Month_wise/10_-_October/28/SB_1-08-48_MAY_1974-10-28_My_Body_and_I_Belong_to_Krishna.mp3" TargetMode="External"/><Relationship Id="rId1148" Type="http://schemas.openxmlformats.org/officeDocument/2006/relationships/hyperlink" Target="https://audio.iskcondesiretree.com/01_-_Srila_Prabhupada/01_-_Lectures/01_-_English/01_-_Topic_wise/Bhagavad_Gita/Chapter-02/SP_BG_02-07_London_1973-08-07_You_Must_Approach_Krishna.mp3" TargetMode="External"/><Relationship Id="rId2479" Type="http://schemas.openxmlformats.org/officeDocument/2006/relationships/hyperlink" Target="https://audio.iskcondesiretree.com/01_-_Srila_Prabhupada/01_-_Lectures/01_-_English/01_-_Topic_wise/Srimad_Bhagavatam/Canto-01/SP_SB_1-08-49_Mayapur_1974-10-29_Devotees_Have_New_Orleans_Debts.mp3" TargetMode="External"/><Relationship Id="rId1149" Type="http://schemas.openxmlformats.org/officeDocument/2006/relationships/hyperlink" Target="https://audio.iskcondesiretree.com/01_-_Srila_Prabhupada/01_-_Lectures/01_-_English/02_-_Month_wise/08_-_August/07/Bg_02-07_LON_1973-08-07_You_Must_Approach_Krishna.mp3" TargetMode="External"/><Relationship Id="rId2470" Type="http://schemas.openxmlformats.org/officeDocument/2006/relationships/hyperlink" Target="https://audio.iskcondesiretree.com/01_-_Srila_Prabhupada/01_-_Lectures/01_-_English/01_-_Topic_wise/Srimad_Bhagavatam/Canto-01/SP_SB_1-08-46_Mayapur_1974-10-26_Politics-Me_King_Others_Killed.mp3" TargetMode="External"/><Relationship Id="rId1140" Type="http://schemas.openxmlformats.org/officeDocument/2006/relationships/hyperlink" Target="https://audio.iskcondesiretree.com/01_-_Srila_Prabhupada/01_-_Lectures/01_-_English/01_-_Topic_wise/Bhagavad_Gita/Chapter-02/SP_BG_02-02_London_1973-08-03_Becoming_Spiritually_Masterful.mp3" TargetMode="External"/><Relationship Id="rId2471" Type="http://schemas.openxmlformats.org/officeDocument/2006/relationships/hyperlink" Target="https://audio.iskcondesiretree.com/01_-_Srila_Prabhupada/01_-_Lectures/01_-_English/02_-_Month_wise/10_-_October/26/SB-01-08-46_1974-10-26_SB-MAYAPUR.MP3" TargetMode="External"/><Relationship Id="rId1141" Type="http://schemas.openxmlformats.org/officeDocument/2006/relationships/hyperlink" Target="https://audio.iskcondesiretree.com/01_-_Srila_Prabhupada/01_-_Lectures/01_-_English/02_-_Month_wise/08_-_August/03/Bg_02-02_LON_1973-08-03_Becoming_Spiritually_Masterful.mp3" TargetMode="External"/><Relationship Id="rId2472" Type="http://schemas.openxmlformats.org/officeDocument/2006/relationships/hyperlink" Target="https://audio.iskcondesiretree.com/01_-_Srila_Prabhupada/01_-_Lectures/01_-_English/02_-_Month_wise/10_-_October/26/SB_1-08-46_MAY_1974-10-26_Politics-Me_King_Others_Killed.mp3" TargetMode="External"/><Relationship Id="rId1142" Type="http://schemas.openxmlformats.org/officeDocument/2006/relationships/hyperlink" Target="https://audio.iskcondesiretree.com/01_-_Srila_Prabhupada/01_-_Lectures/01_-_English/01_-_Topic_wise/Bhagavad_Gita/Chapter-02/SP_BG_02-03_London_1973-08-04_Special_Senses_Are_Required.mp3" TargetMode="External"/><Relationship Id="rId2473" Type="http://schemas.openxmlformats.org/officeDocument/2006/relationships/hyperlink" Target="https://audio.iskcondesiretree.com/01_-_Srila_Prabhupada/01_-_Lectures/01_-_English/01_-_Topic_wise/Srimad_Bhagavatam/Canto-01/SP_SB_1-08-47_Mayapur_1974-10-27_Material_Affection_Has_New_Orleans_Meaning.mp3" TargetMode="External"/><Relationship Id="rId1143" Type="http://schemas.openxmlformats.org/officeDocument/2006/relationships/hyperlink" Target="https://audio.iskcondesiretree.com/01_-_Srila_Prabhupada/01_-_Lectures/01_-_English/02_-_Month_wise/08_-_August/04/Bg_02-03_LON_1973-08-04_Special_Senses_Are_Required.mp3" TargetMode="External"/><Relationship Id="rId2474" Type="http://schemas.openxmlformats.org/officeDocument/2006/relationships/hyperlink" Target="https://audio.iskcondesiretree.com/01_-_Srila_Prabhupada/01_-_Lectures/01_-_English/02_-_Month_wise/10_-_October/27/SB-01-08-47_1974-10-27_SB-MAYAPUR.MP3" TargetMode="External"/><Relationship Id="rId1144" Type="http://schemas.openxmlformats.org/officeDocument/2006/relationships/hyperlink" Target="https://audio.iskcondesiretree.com/01_-_Srila_Prabhupada/01_-_Lectures/01_-_English/01_-_Topic_wise/Bhagavad_Gita/Chapter-02/SP_BG_02-04-05_London_1973-08-05_When_to_Reject_Guru.mp3" TargetMode="External"/><Relationship Id="rId2475" Type="http://schemas.openxmlformats.org/officeDocument/2006/relationships/hyperlink" Target="https://audio.iskcondesiretree.com/01_-_Srila_Prabhupada/01_-_Lectures/01_-_English/02_-_Month_wise/10_-_October/27/SB_1-08-47_MAY_1974-10-27_Material_Affection_Has_No_Meaning.mp3" TargetMode="External"/><Relationship Id="rId1145" Type="http://schemas.openxmlformats.org/officeDocument/2006/relationships/hyperlink" Target="https://audio.iskcondesiretree.com/01_-_Srila_Prabhupada/01_-_Lectures/01_-_English/02_-_Month_wise/08_-_August/05/Bg_02-04_LON_1973-08-05_When_to_Reject_Guru.mp3" TargetMode="External"/><Relationship Id="rId2476" Type="http://schemas.openxmlformats.org/officeDocument/2006/relationships/hyperlink" Target="https://audio.iskcondesiretree.com/01_-_Srila_Prabhupada/01_-_Lectures/01_-_English/01_-_Topic_wise/Srimad_Bhagavatam/Canto-01/SP_SB_1-08-48_Mayapur_1974-10-28_My_Body_and_I_Belong_to_Krishna.mp3" TargetMode="External"/><Relationship Id="rId1146" Type="http://schemas.openxmlformats.org/officeDocument/2006/relationships/hyperlink" Target="https://audio.iskcondesiretree.com/01_-_Srila_Prabhupada/01_-_Lectures/01_-_English/01_-_Topic_wise/Bhagavad_Gita/Chapter-02/SP_BG_02-06_London_1973-08-06_How_to_Utilize_Fighting_Spirit.mp3" TargetMode="External"/><Relationship Id="rId2477" Type="http://schemas.openxmlformats.org/officeDocument/2006/relationships/hyperlink" Target="https://audio.iskcondesiretree.com/01_-_Srila_Prabhupada/01_-_Lectures/01_-_English/02_-_Month_wise/10_-_October/28/SB-01-08-48_1974-10-28_SB-MAYAPUR.MP3" TargetMode="External"/><Relationship Id="rId6009" Type="http://schemas.openxmlformats.org/officeDocument/2006/relationships/hyperlink" Target="https://audio.iskcondesiretree.com/01_-_Srila_Prabhupada/01_-_Lectures/01_-_English/02_-_Month_wise/11_-_November/07/Conv_1977-11-07_R5-VRNDAVAN.MP3" TargetMode="External"/><Relationship Id="rId6000" Type="http://schemas.openxmlformats.org/officeDocument/2006/relationships/hyperlink" Target="https://audio.iskcondesiretree.com/01_-_Srila_Prabhupada/01_-_Lectures/01_-_English/02_-_Month_wise/11_-_November/05/Conv_1977-11-05_R5-VRNDAVAN.MP3" TargetMode="External"/><Relationship Id="rId6003" Type="http://schemas.openxmlformats.org/officeDocument/2006/relationships/hyperlink" Target="https://audio.iskcondesiretree.com/01_-_Srila_Prabhupada/01_-_Lectures/01_-_English/02_-_Month_wise/11_-_November/06/Conv_1977-11-06_R2-VRNDAVAN.MP3" TargetMode="External"/><Relationship Id="rId6004" Type="http://schemas.openxmlformats.org/officeDocument/2006/relationships/hyperlink" Target="https://audio.iskcondesiretree.com/01_-_Srila_Prabhupada/01_-_Lectures/01_-_English/02_-_Month_wise/11_-_November/06/Conv_1977-11-06_R3-VRNDAVAN.MP3" TargetMode="External"/><Relationship Id="rId6001" Type="http://schemas.openxmlformats.org/officeDocument/2006/relationships/hyperlink" Target="https://audio.iskcondesiretree.com/01_-_Srila_Prabhupada/01_-_Lectures/01_-_English/02_-_Month_wise/11_-_November/05/Conv_1977-11-05_R6-VRNDAVAN.MP3" TargetMode="External"/><Relationship Id="rId6002" Type="http://schemas.openxmlformats.org/officeDocument/2006/relationships/hyperlink" Target="https://audio.iskcondesiretree.com/01_-_Srila_Prabhupada/01_-_Lectures/01_-_English/02_-_Month_wise/11_-_November/06/Conv_1977-11-06_R1-VRNDAVAN.MP3" TargetMode="External"/><Relationship Id="rId6007" Type="http://schemas.openxmlformats.org/officeDocument/2006/relationships/hyperlink" Target="https://audio.iskcondesiretree.com/01_-_Srila_Prabhupada/01_-_Lectures/01_-_English/02_-_Month_wise/11_-_November/07/Conv_1977-11-07_R3-VRNDAVAN.MP3" TargetMode="External"/><Relationship Id="rId6008" Type="http://schemas.openxmlformats.org/officeDocument/2006/relationships/hyperlink" Target="https://audio.iskcondesiretree.com/01_-_Srila_Prabhupada/01_-_Lectures/01_-_English/02_-_Month_wise/11_-_November/07/Conv_1977-11-07_R4-VRNDAVAN.MP3" TargetMode="External"/><Relationship Id="rId6005" Type="http://schemas.openxmlformats.org/officeDocument/2006/relationships/hyperlink" Target="https://audio.iskcondesiretree.com/01_-_Srila_Prabhupada/01_-_Lectures/01_-_English/02_-_Month_wise/11_-_November/07/Conv_1977-11-07_R1-VRNDAVAN.MP3" TargetMode="External"/><Relationship Id="rId6006" Type="http://schemas.openxmlformats.org/officeDocument/2006/relationships/hyperlink" Target="https://audio.iskcondesiretree.com/01_-_Srila_Prabhupada/01_-_Lectures/01_-_English/02_-_Month_wise/11_-_November/07/Conv_1977-11-07_R2-VRNDAVAN.MP3" TargetMode="External"/><Relationship Id="rId6061" Type="http://schemas.openxmlformats.org/officeDocument/2006/relationships/hyperlink" Target="https://audio.iskcondesiretree.com/01_-_Srila_Prabhupada/01_-_Lectures/01_-_English/01_-_Topic_wise/Krishna_Book/SP_Krsna_Book_Dict_13_-_The_Stealing_of_the_Boys_and_Calves.mp3" TargetMode="External"/><Relationship Id="rId6062" Type="http://schemas.openxmlformats.org/officeDocument/2006/relationships/hyperlink" Target="https://audio.iskcondesiretree.com/01_-_Srila_Prabhupada/01_-_Lectures/01_-_English/01_-_Topic_wise/Krishna_Book/SP_Krsna_Book_Dict_14_-_Prayers_Offered_by_Lord_Brahma.mp3" TargetMode="External"/><Relationship Id="rId6060" Type="http://schemas.openxmlformats.org/officeDocument/2006/relationships/hyperlink" Target="https://audio.iskcondesiretree.com/01_-_Srila_Prabhupada/01_-_Lectures/01_-_English/01_-_Topic_wise/Krishna_Book/SP_Krsna_Book_Dict_12_-_The_Killing_of_the_Aghasura_Demon.mp3" TargetMode="External"/><Relationship Id="rId6065" Type="http://schemas.openxmlformats.org/officeDocument/2006/relationships/hyperlink" Target="https://audio.iskcondesiretree.com/01_-_Srila_Prabhupada/01_-_Lectures/01_-_English/01_-_Topic_wise/Krishna_Book/SP_Krsna_Book_Dict_17_-_Extinguishing_the_Forest_Fire.mp3" TargetMode="External"/><Relationship Id="rId6066" Type="http://schemas.openxmlformats.org/officeDocument/2006/relationships/hyperlink" Target="https://audio.iskcondesiretree.com/01_-_Srila_Prabhupada/01_-_Lectures/01_-_English/01_-_Topic_wise/Krishna_Book/SP_Krsna_Book_Dict_18_-_The_Killing_the_Demon_Pralambasura.mp3" TargetMode="External"/><Relationship Id="rId6063" Type="http://schemas.openxmlformats.org/officeDocument/2006/relationships/hyperlink" Target="https://audio.iskcondesiretree.com/01_-_Srila_Prabhupada/01_-_Lectures/01_-_English/01_-_Topic_wise/Krishna_Book/SP_Krsna_Book_Dict_15_-_The_Killing_of_Dhenukasura.mp3" TargetMode="External"/><Relationship Id="rId6064" Type="http://schemas.openxmlformats.org/officeDocument/2006/relationships/hyperlink" Target="https://audio.iskcondesiretree.com/01_-_Srila_Prabhupada/01_-_Lectures/01_-_English/01_-_Topic_wise/Krishna_Book/SP_Krsna_Book_Dict_16_-_The_Subduing_Kaliya.mp3" TargetMode="External"/><Relationship Id="rId6069" Type="http://schemas.openxmlformats.org/officeDocument/2006/relationships/hyperlink" Target="https://audio.iskcondesiretree.com/01_-_Srila_Prabhupada/01_-_Lectures/01_-_English/01_-_Topic_wise/Krishna_Book/SP_Krsna_Book_Dict_21_-_The_Gopis_Attracted_by_the_Flute.mp3" TargetMode="External"/><Relationship Id="rId6067" Type="http://schemas.openxmlformats.org/officeDocument/2006/relationships/hyperlink" Target="https://audio.iskcondesiretree.com/01_-_Srila_Prabhupada/01_-_Lectures/01_-_English/01_-_Topic_wise/Krishna_Book/SP_Krsna_Book_Dict_19_-_Devouring_the_Forest_Fire.mp3" TargetMode="External"/><Relationship Id="rId6068" Type="http://schemas.openxmlformats.org/officeDocument/2006/relationships/hyperlink" Target="https://audio.iskcondesiretree.com/01_-_Srila_Prabhupada/01_-_Lectures/01_-_English/01_-_Topic_wise/Krishna_Book/SP_Krsna_Book_Dict_20_-_Description_of_Autumn.mp3" TargetMode="External"/><Relationship Id="rId6050" Type="http://schemas.openxmlformats.org/officeDocument/2006/relationships/hyperlink" Target="https://audio.iskcondesiretree.com/01_-_Srila_Prabhupada/01_-_Lectures/01_-_English/01_-_Topic_wise/Krishna_Book/SP_Krsna_Book_Dict_02_-_Prayers_by_the_Demigods.mp3" TargetMode="External"/><Relationship Id="rId6051" Type="http://schemas.openxmlformats.org/officeDocument/2006/relationships/hyperlink" Target="https://audio.iskcondesiretree.com/01_-_Srila_Prabhupada/01_-_Lectures/01_-_English/01_-_Topic_wise/Krishna_Book/SP_Krsna_Book_Dict_03_-_The_Birth_of_Lord_Krishna.mp3" TargetMode="External"/><Relationship Id="rId6054" Type="http://schemas.openxmlformats.org/officeDocument/2006/relationships/hyperlink" Target="https://audio.iskcondesiretree.com/01_-_Srila_Prabhupada/01_-_Lectures/01_-_English/01_-_Topic_wise/Krishna_Book/SP_Krsna_Book_Dict_06_-_Putana_Killed.mp3" TargetMode="External"/><Relationship Id="rId6055" Type="http://schemas.openxmlformats.org/officeDocument/2006/relationships/hyperlink" Target="https://audio.iskcondesiretree.com/01_-_Srila_Prabhupada/01_-_Lectures/01_-_English/01_-_Topic_wise/Krishna_Book/SP_Krsna_Book_Dict_07_-_Salvation_of_Trnavarta.mp3" TargetMode="External"/><Relationship Id="rId6052" Type="http://schemas.openxmlformats.org/officeDocument/2006/relationships/hyperlink" Target="https://audio.iskcondesiretree.com/01_-_Srila_Prabhupada/01_-_Lectures/01_-_English/01_-_Topic_wise/Krishna_Book/SP_Krsna_Book_Dict_04_-_Kamsa_Begins_His_Persecutions.mp3" TargetMode="External"/><Relationship Id="rId6053" Type="http://schemas.openxmlformats.org/officeDocument/2006/relationships/hyperlink" Target="https://audio.iskcondesiretree.com/01_-_Srila_Prabhupada/01_-_Lectures/01_-_English/01_-_Topic_wise/Krishna_Book/SP_Krsna_Book_Dict_05_-_The_Meeting_of_Nanda_and_Vasudeva.mp3" TargetMode="External"/><Relationship Id="rId6058" Type="http://schemas.openxmlformats.org/officeDocument/2006/relationships/hyperlink" Target="https://audio.iskcondesiretree.com/01_-_Srila_Prabhupada/01_-_Lectures/01_-_English/01_-_Topic_wise/Krishna_Book/SP_Krsna_Book_Dict_10_-_The_Deliverance_of_Nalakuvera.mp3" TargetMode="External"/><Relationship Id="rId6059" Type="http://schemas.openxmlformats.org/officeDocument/2006/relationships/hyperlink" Target="https://audio.iskcondesiretree.com/01_-_Srila_Prabhupada/01_-_Lectures/01_-_English/01_-_Topic_wise/Krishna_Book/SP_Krsna_Book_Dict_11_-_The_Killing_Vatsasura_and_Bakasura.mp3" TargetMode="External"/><Relationship Id="rId6056" Type="http://schemas.openxmlformats.org/officeDocument/2006/relationships/hyperlink" Target="https://audio.iskcondesiretree.com/01_-_Srila_Prabhupada/01_-_Lectures/01_-_English/01_-_Topic_wise/Krishna_Book/SP_Krsna_Book_Dict_08_-_Vision_of_the_Universal_Form.mp3" TargetMode="External"/><Relationship Id="rId6057" Type="http://schemas.openxmlformats.org/officeDocument/2006/relationships/hyperlink" Target="https://audio.iskcondesiretree.com/01_-_Srila_Prabhupada/01_-_Lectures/01_-_English/01_-_Topic_wise/Krishna_Book/SP_Krsna_Book_Dict_09_-_Mother_Yasoda_Binds_Krishna.mp3" TargetMode="External"/><Relationship Id="rId3810" Type="http://schemas.openxmlformats.org/officeDocument/2006/relationships/hyperlink" Target="https://audio.iskcondesiretree.com/01_-_Srila_Prabhupada/01_-_Lectures/01_-_English/02_-_Month_wise/10_-_October/03/MW_MAU_1975-10-03_Progress-Die_Quickly.mp3" TargetMode="External"/><Relationship Id="rId3812" Type="http://schemas.openxmlformats.org/officeDocument/2006/relationships/hyperlink" Target="https://audio.iskcondesiretree.com/01_-_Srila_Prabhupada/01_-_Lectures/01_-_English/02_-_Month_wise/10_-_October/03/Walk_1975-10-03_MW-MAURITIUS.MP3" TargetMode="External"/><Relationship Id="rId3811" Type="http://schemas.openxmlformats.org/officeDocument/2006/relationships/hyperlink" Target="https://audio.iskcondesiretree.com/01_-_Srila_Prabhupada/01_-_Lectures/01_-_English/02_-_Month_wise/10_-_October/03/MW_MAU_1975-10-03_The_Great_Ones-All_Rascals.mp3" TargetMode="External"/><Relationship Id="rId3814" Type="http://schemas.openxmlformats.org/officeDocument/2006/relationships/hyperlink" Target="https://audio.iskcondesiretree.com/01_-_Srila_Prabhupada/01_-_Lectures/01_-_English/01_-_Topic_wise/Room_Conversation/SP_Room_Conversation_Mauritius_1975-10-04_Students--Death-The_Ultimate_Philosophy.mp3" TargetMode="External"/><Relationship Id="rId3813" Type="http://schemas.openxmlformats.org/officeDocument/2006/relationships/hyperlink" Target="https://audio.iskcondesiretree.com/01_-_Srila_Prabhupada/01_-_Lectures/01_-_English/01_-_Topic_wise/Morning_Walk/SP_Morning_Walk_-_Mauritius_1975-10-04_The_Modern_Misunderstanding.mp3" TargetMode="External"/><Relationship Id="rId3816" Type="http://schemas.openxmlformats.org/officeDocument/2006/relationships/hyperlink" Target="https://audio.iskcondesiretree.com/01_-_Srila_Prabhupada/01_-_Lectures/01_-_English/02_-_Month_wise/10_-_October/04/Conv_1975-10-04_R1-MAURITIUS.MP3" TargetMode="External"/><Relationship Id="rId3815" Type="http://schemas.openxmlformats.org/officeDocument/2006/relationships/hyperlink" Target="https://audio.iskcondesiretree.com/01_-_Srila_Prabhupada/01_-_Lectures/01_-_English/01_-_Topic_wise/Srimad_Bhagavatam/Canto-07/SP_SB_7-05-31_Mauritius_1975-10-04_Books_for_the_Blind.mp3" TargetMode="External"/><Relationship Id="rId3818" Type="http://schemas.openxmlformats.org/officeDocument/2006/relationships/hyperlink" Target="https://audio.iskcondesiretree.com/01_-_Srila_Prabhupada/01_-_Lectures/01_-_English/02_-_Month_wise/10_-_October/04/RC_MAU_1975-10-04_Students-Death-The_Ultimate_Philosophy.mp3" TargetMode="External"/><Relationship Id="rId3817" Type="http://schemas.openxmlformats.org/officeDocument/2006/relationships/hyperlink" Target="https://audio.iskcondesiretree.com/01_-_Srila_Prabhupada/01_-_Lectures/01_-_English/02_-_Month_wise/10_-_October/04/MW_MAU_1975-10-04_The_Modern_Misunderstanding.mp3" TargetMode="External"/><Relationship Id="rId3819" Type="http://schemas.openxmlformats.org/officeDocument/2006/relationships/hyperlink" Target="https://audio.iskcondesiretree.com/01_-_Srila_Prabhupada/01_-_Lectures/01_-_English/02_-_Month_wise/10_-_October/04/SB-07-05-31_1975-10-04_SB-MAURITIUS.MP3" TargetMode="External"/><Relationship Id="rId6090" Type="http://schemas.openxmlformats.org/officeDocument/2006/relationships/hyperlink" Target="https://audio.iskcondesiretree.com/01_-_Srila_Prabhupada/01_-_Lectures/01_-_English/01_-_Topic_wise/Krishna_Book/SP_Krsna_Book_Dict_46_-_Uddhava_Visits_Vrindavan.mp3" TargetMode="External"/><Relationship Id="rId6091" Type="http://schemas.openxmlformats.org/officeDocument/2006/relationships/hyperlink" Target="https://audio.iskcondesiretree.com/01_-_Srila_Prabhupada/01_-_Lectures/01_-_English/01_-_Topic_wise/Krishna_Book/SP_Krsna_Book_Dict_47_-_Delivery_of_a_Message_To_the_Gopis.mp3" TargetMode="External"/><Relationship Id="rId6083" Type="http://schemas.openxmlformats.org/officeDocument/2006/relationships/hyperlink" Target="https://audio.iskcondesiretree.com/01_-_Srila_Prabhupada/01_-_Lectures/01_-_English/01_-_Topic_wise/Krishna_Book/SP_Krsna_Book_Dict_39_-_Akrura%27s_Return_Journey.mp3" TargetMode="External"/><Relationship Id="rId6084" Type="http://schemas.openxmlformats.org/officeDocument/2006/relationships/hyperlink" Target="https://audio.iskcondesiretree.com/01_-_Srila_Prabhupada/01_-_Lectures/01_-_English/01_-_Topic_wise/Krishna_Book/SP_Krsna_Book_Dict_40_-_Prayers_by_Akrura.mp3" TargetMode="External"/><Relationship Id="rId6081" Type="http://schemas.openxmlformats.org/officeDocument/2006/relationships/hyperlink" Target="https://audio.iskcondesiretree.com/01_-_Srila_Prabhupada/01_-_Lectures/01_-_English/01_-_Topic_wise/Krishna_Book/SP_Krsna_Book_Dict_37_-_The_Killing_Kesi_and_Vyomasura.mp3" TargetMode="External"/><Relationship Id="rId6082" Type="http://schemas.openxmlformats.org/officeDocument/2006/relationships/hyperlink" Target="https://audio.iskcondesiretree.com/01_-_Srila_Prabhupada/01_-_Lectures/01_-_English/01_-_Topic_wise/Krishna_Book/SP_Krsna_Book_Dict_38_-_Akrura%27s_Arrival_in_Vrindavan.mp3" TargetMode="External"/><Relationship Id="rId6087" Type="http://schemas.openxmlformats.org/officeDocument/2006/relationships/hyperlink" Target="https://audio.iskcondesiretree.com/01_-_Srila_Prabhupada/01_-_Lectures/01_-_English/01_-_Topic_wise/Krishna_Book/SP_Krsna_Book_Dict_43_-_Killing_the_Elephant_Kuvalayapida.mp3" TargetMode="External"/><Relationship Id="rId6088" Type="http://schemas.openxmlformats.org/officeDocument/2006/relationships/hyperlink" Target="https://audio.iskcondesiretree.com/01_-_Srila_Prabhupada/01_-_Lectures/01_-_English/01_-_Topic_wise/Krishna_Book/SP_Krsna_Book_Dict_44_-_The_Killing_of_Kamsa.mp3" TargetMode="External"/><Relationship Id="rId6085" Type="http://schemas.openxmlformats.org/officeDocument/2006/relationships/hyperlink" Target="https://audio.iskcondesiretree.com/01_-_Srila_Prabhupada/01_-_Lectures/01_-_English/01_-_Topic_wise/Krishna_Book/SP_Krsna_Book_Dict_41_-_Krishna_Enters_Mathura.mp3" TargetMode="External"/><Relationship Id="rId6086" Type="http://schemas.openxmlformats.org/officeDocument/2006/relationships/hyperlink" Target="https://audio.iskcondesiretree.com/01_-_Srila_Prabhupada/01_-_Lectures/01_-_English/01_-_Topic_wise/Krishna_Book/SP_Krsna_Book_Dict_42_-_The_Breaking_of_the_Bow_in_the_Arena.mp3" TargetMode="External"/><Relationship Id="rId6089" Type="http://schemas.openxmlformats.org/officeDocument/2006/relationships/hyperlink" Target="https://audio.iskcondesiretree.com/01_-_Srila_Prabhupada/01_-_Lectures/01_-_English/01_-_Topic_wise/Krishna_Book/SP_Krsna_Book_Dict_45_-_Krishna_Recovers_the_Teacher%27s_Son.mp3" TargetMode="External"/><Relationship Id="rId3801" Type="http://schemas.openxmlformats.org/officeDocument/2006/relationships/hyperlink" Target="https://audio.iskcondesiretree.com/01_-_Srila_Prabhupada/01_-_Lectures/01_-_English/02_-_Month_wise/10_-_October/01/Bg-02-11_1975-10-01_BG-MAURITIUS.MP3" TargetMode="External"/><Relationship Id="rId3800" Type="http://schemas.openxmlformats.org/officeDocument/2006/relationships/hyperlink" Target="https://audio.iskcondesiretree.com/01_-_Srila_Prabhupada/01_-_Lectures/01_-_English/02_-_Month_wise/10_-_October/01/Arrival_1975-10-01_AR-MAURITIUS.MP3" TargetMode="External"/><Relationship Id="rId3803" Type="http://schemas.openxmlformats.org/officeDocument/2006/relationships/hyperlink" Target="https://audio.iskcondesiretree.com/01_-_Srila_Prabhupada/01_-_Lectures/01_-_English/01_-_Topic_wise/Srimad_Bhagavatam/Canto-07/SP_SB_7-05-30_Mauritius_1975-10-02_Material_Life.mp3" TargetMode="External"/><Relationship Id="rId3802" Type="http://schemas.openxmlformats.org/officeDocument/2006/relationships/hyperlink" Target="https://audio.iskcondesiretree.com/01_-_Srila_Prabhupada/01_-_Lectures/01_-_English/02_-_Month_wise/10_-_October/01/Bg_02-11_MAU_1975-10-01_Lament_for_a_Lump.mp3" TargetMode="External"/><Relationship Id="rId3805" Type="http://schemas.openxmlformats.org/officeDocument/2006/relationships/hyperlink" Target="https://audio.iskcondesiretree.com/01_-_Srila_Prabhupada/01_-_Lectures/01_-_English/02_-_Month_wise/10_-_October/02/SB-07-05-30_1975-10-02_SB-MAURITIUS.MP3" TargetMode="External"/><Relationship Id="rId3804" Type="http://schemas.openxmlformats.org/officeDocument/2006/relationships/hyperlink" Target="https://audio.iskcondesiretree.com/01_-_Srila_Prabhupada/01_-_Lectures/01_-_English/02_-_Month_wise/10_-_October/02/PressConf_1975-10-02_PC-MAURITIUS.MP3" TargetMode="External"/><Relationship Id="rId3807" Type="http://schemas.openxmlformats.org/officeDocument/2006/relationships/hyperlink" Target="https://audio.iskcondesiretree.com/01_-_Srila_Prabhupada/01_-_Lectures/01_-_English/02_-_Month_wise/10_-_October/02/Walk_1975-10-02_MW-MAURITIUS.MP3" TargetMode="External"/><Relationship Id="rId3806" Type="http://schemas.openxmlformats.org/officeDocument/2006/relationships/hyperlink" Target="https://audio.iskcondesiretree.com/01_-_Srila_Prabhupada/01_-_Lectures/01_-_English/02_-_Month_wise/10_-_October/02/SB_7-05-30_MAU_1975-10-02_Material_Life.mp3" TargetMode="External"/><Relationship Id="rId3809" Type="http://schemas.openxmlformats.org/officeDocument/2006/relationships/hyperlink" Target="https://audio.iskcondesiretree.com/01_-_Srila_Prabhupada/01_-_Lectures/01_-_English/01_-_Topic_wise/Morning_Walk/SP_Morning_Walk_-_Mauritius_1975-10-03_The_Great_Ones-All_Rascals.mp3" TargetMode="External"/><Relationship Id="rId3808" Type="http://schemas.openxmlformats.org/officeDocument/2006/relationships/hyperlink" Target="https://audio.iskcondesiretree.com/01_-_Srila_Prabhupada/01_-_Lectures/01_-_English/01_-_Topic_wise/Morning_Walk/SP_Morning_Walk_-_Mauritius_1975-10-03_Progress-Die_Quickly.mp3" TargetMode="External"/><Relationship Id="rId6080" Type="http://schemas.openxmlformats.org/officeDocument/2006/relationships/hyperlink" Target="https://audio.iskcondesiretree.com/01_-_Srila_Prabhupada/01_-_Lectures/01_-_English/01_-_Topic_wise/Krishna_Book/SP_Krsna_Book_Dict_36_-_Kamsa_Sends_Akrura_For_Krishna.mp3" TargetMode="External"/><Relationship Id="rId6072" Type="http://schemas.openxmlformats.org/officeDocument/2006/relationships/hyperlink" Target="https://audio.iskcondesiretree.com/01_-_Srila_Prabhupada/01_-_Lectures/01_-_English/01_-_Topic_wise/Krishna_Book/SP_Krsna_Book_Dict_24_-_Worshiping_Govardhana_Hill.mp3" TargetMode="External"/><Relationship Id="rId6073" Type="http://schemas.openxmlformats.org/officeDocument/2006/relationships/hyperlink" Target="https://audio.iskcondesiretree.com/01_-_Srila_Prabhupada/01_-_Lectures/01_-_English/01_-_Topic_wise/Krishna_Book/SP_Krsna_Book_Dict_25_-_Devastating_Rainfall.mp3" TargetMode="External"/><Relationship Id="rId6070" Type="http://schemas.openxmlformats.org/officeDocument/2006/relationships/hyperlink" Target="https://audio.iskcondesiretree.com/01_-_Srila_Prabhupada/01_-_Lectures/01_-_English/01_-_Topic_wise/Krishna_Book/SP_Krsna_Book_Dict_22_-_Stealing_the_Garments_of_the_Gopis.mp3" TargetMode="External"/><Relationship Id="rId6071" Type="http://schemas.openxmlformats.org/officeDocument/2006/relationships/hyperlink" Target="https://audio.iskcondesiretree.com/01_-_Srila_Prabhupada/01_-_Lectures/01_-_English/01_-_Topic_wise/Krishna_Book/SP_Krsna_Book_Dict_23_-_Delivering_the_Brahmins%27_Wives.mp3" TargetMode="External"/><Relationship Id="rId6076" Type="http://schemas.openxmlformats.org/officeDocument/2006/relationships/hyperlink" Target="https://audio.iskcondesiretree.com/01_-_Srila_Prabhupada/01_-_Lectures/01_-_English/01_-_Topic_wise/Krishna_Book/SP_Krsna_Book_Dict_28_-_Releasing_Nanda_Maharaja.mp3" TargetMode="External"/><Relationship Id="rId6077" Type="http://schemas.openxmlformats.org/officeDocument/2006/relationships/hyperlink" Target="https://audio.iskcondesiretree.com/01_-_Srila_Prabhupada/01_-_Lectures/01_-_English/01_-_Topic_wise/Krishna_Book/SP_Krsna_Book_Dict_29_-_The_Rasa_Dance_-_Introduction.mp3" TargetMode="External"/><Relationship Id="rId6074" Type="http://schemas.openxmlformats.org/officeDocument/2006/relationships/hyperlink" Target="https://audio.iskcondesiretree.com/01_-_Srila_Prabhupada/01_-_Lectures/01_-_English/01_-_Topic_wise/Krishna_Book/SP_Krsna_Book_Dict_26_-_Wonderful_Krishna.mp3" TargetMode="External"/><Relationship Id="rId6075" Type="http://schemas.openxmlformats.org/officeDocument/2006/relationships/hyperlink" Target="https://audio.iskcondesiretree.com/01_-_Srila_Prabhupada/01_-_Lectures/01_-_English/01_-_Topic_wise/Krishna_Book/SP_Krsna_Book_Dict_27_-_Prayers_by_Indra.mp3" TargetMode="External"/><Relationship Id="rId6078" Type="http://schemas.openxmlformats.org/officeDocument/2006/relationships/hyperlink" Target="https://audio.iskcondesiretree.com/01_-_Srila_Prabhupada/01_-_Lectures/01_-_English/01_-_Topic_wise/Krishna_Book/SP_Krsna_Book_Dict_34_-_Vidyadhara_Liberated.mp3" TargetMode="External"/><Relationship Id="rId6079" Type="http://schemas.openxmlformats.org/officeDocument/2006/relationships/hyperlink" Target="https://audio.iskcondesiretree.com/01_-_Srila_Prabhupada/01_-_Lectures/01_-_English/01_-_Topic_wise/Krishna_Book/SP_Krsna_Book_Dict_35_-_Gopis%27_Feelings_of_Separation.mp3" TargetMode="External"/><Relationship Id="rId6021" Type="http://schemas.openxmlformats.org/officeDocument/2006/relationships/hyperlink" Target="https://audio.iskcondesiretree.com/01_-_Srila_Prabhupada/01_-_Lectures/01_-_English/02_-_Month_wise/11_-_November/12/Conv_1977-11-12_R2-VRNDAVAN.MP3" TargetMode="External"/><Relationship Id="rId6022" Type="http://schemas.openxmlformats.org/officeDocument/2006/relationships/hyperlink" Target="https://audio.iskcondesiretree.com/01_-_Srila_Prabhupada/01_-_Lectures/01_-_English/02_-_Month_wise/11_-_November/13/Conv_1977-11-13_R1-VRNDAVAN.MP3" TargetMode="External"/><Relationship Id="rId6020" Type="http://schemas.openxmlformats.org/officeDocument/2006/relationships/hyperlink" Target="https://audio.iskcondesiretree.com/01_-_Srila_Prabhupada/01_-_Lectures/01_-_English/02_-_Month_wise/11_-_November/12/Conv_1977-11-12_R1-VRNDAVAN.MP3" TargetMode="External"/><Relationship Id="rId6025" Type="http://schemas.openxmlformats.org/officeDocument/2006/relationships/hyperlink" Target="https://audio.iskcondesiretree.com/01_-_Srila_Prabhupada/01_-_Lectures/01_-_English/02_-_Month_wise/11_-_November/14/PrabhupadaVigil_1977-11-14_VG-VRNDAVAN.MP3" TargetMode="External"/><Relationship Id="rId6026" Type="http://schemas.openxmlformats.org/officeDocument/2006/relationships/hyperlink" Target="https://audio.iskcondesiretree.com/01_-_Srila_Prabhupada/01_-_Lectures/01_-_English/02_-_Month_wise/11_-_November/15/VrindavanProcession_1977-11-15_SP-VRNDAVAN.MP3" TargetMode="External"/><Relationship Id="rId6023" Type="http://schemas.openxmlformats.org/officeDocument/2006/relationships/hyperlink" Target="https://audio.iskcondesiretree.com/01_-_Srila_Prabhupada/01_-_Lectures/01_-_English/02_-_Month_wise/11_-_November/13/Conv_1977-11-13_R2-VRNDAVAN.MP3" TargetMode="External"/><Relationship Id="rId6024" Type="http://schemas.openxmlformats.org/officeDocument/2006/relationships/hyperlink" Target="https://audio.iskcondesiretree.com/01_-_Srila_Prabhupada/01_-_Lectures/01_-_English/02_-_Month_wise/11_-_November/14/ChantingDisappNight_1977-11-14_SP-VRNDAVAN.MP3" TargetMode="External"/><Relationship Id="rId6029" Type="http://schemas.openxmlformats.org/officeDocument/2006/relationships/hyperlink" Target="https://audio.iskcondesiretree.com/01_-_Srila_Prabhupada/01_-_Lectures/01_-_English/01_-_Topic_wise/Bhagavad_Gita/More/SP_BG_00-04_Los_Angeles_1968-23-11_Intro_to_Bhagavad_Gita--etc.mp3" TargetMode="External"/><Relationship Id="rId6027" Type="http://schemas.openxmlformats.org/officeDocument/2006/relationships/hyperlink" Target="https://audio.iskcondesiretree.com/01_-_Srila_Prabhupada/01_-_Lectures/01_-_English/01_-_Topic_wise/Various/SP_Lecture_New_York_1966-05-00_Getting_the_Higher_Taste--Control_the_Tongue.mp3" TargetMode="External"/><Relationship Id="rId6028" Type="http://schemas.openxmlformats.org/officeDocument/2006/relationships/hyperlink" Target="https://audio.iskcondesiretree.com/01_-_Srila_Prabhupada/01_-_Lectures/01_-_English/01_-_Topic_wise/Festivals/SP_Festivals_San_Francisco_1968-03-00_Advent_of_Ramacandra--Code_for_the--etc.mp3" TargetMode="External"/><Relationship Id="rId6010" Type="http://schemas.openxmlformats.org/officeDocument/2006/relationships/hyperlink" Target="https://audio.iskcondesiretree.com/01_-_Srila_Prabhupada/01_-_Lectures/01_-_English/02_-_Month_wise/11_-_November/08/Conv_1977-11-08_R1-VRNDAVAN.MP3" TargetMode="External"/><Relationship Id="rId6011" Type="http://schemas.openxmlformats.org/officeDocument/2006/relationships/hyperlink" Target="https://audio.iskcondesiretree.com/01_-_Srila_Prabhupada/01_-_Lectures/01_-_English/02_-_Month_wise/11_-_November/08/Conv_1977-11-08_R2-VRNDAVAN.MP3" TargetMode="External"/><Relationship Id="rId6014" Type="http://schemas.openxmlformats.org/officeDocument/2006/relationships/hyperlink" Target="https://audio.iskcondesiretree.com/01_-_Srila_Prabhupada/01_-_Lectures/01_-_English/02_-_Month_wise/11_-_November/09/Conv_1977-11-09_R3-VRNDAVAN.MP3" TargetMode="External"/><Relationship Id="rId6015" Type="http://schemas.openxmlformats.org/officeDocument/2006/relationships/hyperlink" Target="https://audio.iskcondesiretree.com/01_-_Srila_Prabhupada/01_-_Lectures/01_-_English/02_-_Month_wise/11_-_November/09/Conv_1977-11-09_R4-VRNDAVAN.MP3" TargetMode="External"/><Relationship Id="rId6012" Type="http://schemas.openxmlformats.org/officeDocument/2006/relationships/hyperlink" Target="https://audio.iskcondesiretree.com/01_-_Srila_Prabhupada/01_-_Lectures/01_-_English/02_-_Month_wise/11_-_November/09/Conv_1977-11-09_R1-VRNDAVAN.MP3" TargetMode="External"/><Relationship Id="rId6013" Type="http://schemas.openxmlformats.org/officeDocument/2006/relationships/hyperlink" Target="https://audio.iskcondesiretree.com/01_-_Srila_Prabhupada/01_-_Lectures/01_-_English/02_-_Month_wise/11_-_November/09/Conv_1977-11-09_R2-VRNDAVAN.MP3" TargetMode="External"/><Relationship Id="rId6018" Type="http://schemas.openxmlformats.org/officeDocument/2006/relationships/hyperlink" Target="https://audio.iskcondesiretree.com/01_-_Srila_Prabhupada/01_-_Lectures/01_-_English/02_-_Month_wise/11_-_November/10/Conv_1977-11-10_R3-VRNDAVAN.MP3" TargetMode="External"/><Relationship Id="rId6019" Type="http://schemas.openxmlformats.org/officeDocument/2006/relationships/hyperlink" Target="https://audio.iskcondesiretree.com/01_-_Srila_Prabhupada/01_-_Lectures/01_-_English/02_-_Month_wise/11_-_November/11/Conv_1977-11-11_R1-VRNDAVAN.MP3" TargetMode="External"/><Relationship Id="rId6016" Type="http://schemas.openxmlformats.org/officeDocument/2006/relationships/hyperlink" Target="https://audio.iskcondesiretree.com/01_-_Srila_Prabhupada/01_-_Lectures/01_-_English/02_-_Month_wise/11_-_November/10/Conv_1977-11-10_R1-VRNDAVAN.MP3" TargetMode="External"/><Relationship Id="rId6017" Type="http://schemas.openxmlformats.org/officeDocument/2006/relationships/hyperlink" Target="https://audio.iskcondesiretree.com/01_-_Srila_Prabhupada/01_-_Lectures/01_-_English/02_-_Month_wise/11_-_November/10/Conv_1977-11-10_R2-VRNDAVAN.MP3" TargetMode="External"/><Relationship Id="rId6040" Type="http://schemas.openxmlformats.org/officeDocument/2006/relationships/hyperlink" Target="https://audio.iskcondesiretree.com/01_-_Srila_Prabhupada/01_-_Lectures/01_-_English/01_-_Topic_wise/Bhagavad_Gita_Recitation/SP_BG_Recitation_Chapter-07_-_Sanskrit.mp3" TargetMode="External"/><Relationship Id="rId6043" Type="http://schemas.openxmlformats.org/officeDocument/2006/relationships/hyperlink" Target="https://audio.iskcondesiretree.com/01_-_Srila_Prabhupada/01_-_Lectures/01_-_English/01_-_Topic_wise/Bhagavad_Gita_Recitation/SP_BG_Recitation_Chapter-10_-_Sanskrit.mp3" TargetMode="External"/><Relationship Id="rId6044" Type="http://schemas.openxmlformats.org/officeDocument/2006/relationships/hyperlink" Target="https://audio.iskcondesiretree.com/01_-_Srila_Prabhupada/01_-_Lectures/01_-_English/01_-_Topic_wise/Bhagavad_Gita_Recitation/SP_BG_Recitation_Chapter-11_-_Sanskrit.mp3" TargetMode="External"/><Relationship Id="rId6041" Type="http://schemas.openxmlformats.org/officeDocument/2006/relationships/hyperlink" Target="https://audio.iskcondesiretree.com/01_-_Srila_Prabhupada/01_-_Lectures/01_-_English/01_-_Topic_wise/Bhagavad_Gita_Recitation/SP_BG_Recitation_Chapter-08_-_Sanskrit.mp3" TargetMode="External"/><Relationship Id="rId6042" Type="http://schemas.openxmlformats.org/officeDocument/2006/relationships/hyperlink" Target="https://audio.iskcondesiretree.com/01_-_Srila_Prabhupada/01_-_Lectures/01_-_English/01_-_Topic_wise/Bhagavad_Gita_Recitation/SP_BG_Recitation_Chapter-09_-_Sanskrit.mp3" TargetMode="External"/><Relationship Id="rId6047" Type="http://schemas.openxmlformats.org/officeDocument/2006/relationships/hyperlink" Target="https://audio.iskcondesiretree.com/01_-_Srila_Prabhupada/01_-_Lectures/01_-_English/01_-_Topic_wise/Happening/03-AC_Bhaktivedanta_Swami_-_Chant_to_the_Mercy_of_the_Spiritual_Master.mp3" TargetMode="External"/><Relationship Id="rId6048" Type="http://schemas.openxmlformats.org/officeDocument/2006/relationships/hyperlink" Target="https://audio.iskcondesiretree.com/01_-_Srila_Prabhupada/01_-_Lectures/01_-_English/01_-_Topic_wise/Krishna_Book/SP_Krsna_Book_Dict_00_-_Introduction.mp3" TargetMode="External"/><Relationship Id="rId6045" Type="http://schemas.openxmlformats.org/officeDocument/2006/relationships/hyperlink" Target="https://audio.iskcondesiretree.com/01_-_Srila_Prabhupada/01_-_Lectures/01_-_English/01_-_Topic_wise/Happening/01-AC_Bhaktivedanta_Swami_-_Hare_Krishna_Mantra_Chant.mp3" TargetMode="External"/><Relationship Id="rId6046" Type="http://schemas.openxmlformats.org/officeDocument/2006/relationships/hyperlink" Target="https://audio.iskcondesiretree.com/01_-_Srila_Prabhupada/01_-_Lectures/01_-_English/01_-_Topic_wise/Happening/02-AC_Bhaktivedanta_Swami_-_Address_of_Swami_AC_Bhaktivedanta.mp3" TargetMode="External"/><Relationship Id="rId6049" Type="http://schemas.openxmlformats.org/officeDocument/2006/relationships/hyperlink" Target="https://audio.iskcondesiretree.com/01_-_Srila_Prabhupada/01_-_Lectures/01_-_English/01_-_Topic_wise/Krishna_Book/SP_Krsna_Book_Dict_01_-_The_Advent_of_Lord_Krishna.mp3" TargetMode="External"/><Relationship Id="rId6032" Type="http://schemas.openxmlformats.org/officeDocument/2006/relationships/hyperlink" Target="https://audio.iskcondesiretree.com/01_-_Srila_Prabhupada/01_-_Lectures/01_-_English/01_-_Topic_wise/Arrival_Address/SP_Address_Los_Angeles_1970-10-00_Americans--Leaders_of_all_the--etc.mp3" TargetMode="External"/><Relationship Id="rId6033" Type="http://schemas.openxmlformats.org/officeDocument/2006/relationships/hyperlink" Target="https://audio.iskcondesiretree.com/01_-_Srila_Prabhupada/01_-_Lectures/01_-_English/01_-_Topic_wise/Arrival_Address/SP_Address_Los_Angeles_1970-10-00_Prabhupada_Leaves_US_for_India_via_Japan.mp3" TargetMode="External"/><Relationship Id="rId6030" Type="http://schemas.openxmlformats.org/officeDocument/2006/relationships/hyperlink" Target="https://audio.iskcondesiretree.com/01_-_Srila_Prabhupada/01_-_Lectures/01_-_English/01_-_Topic_wise/Bhagavad_Gita/Chapter-07/SP_BG_07-01_Los_Angeles_1969-02_Bhagavad-gita_As_It_Is--Not--etc.mp3" TargetMode="External"/><Relationship Id="rId6031" Type="http://schemas.openxmlformats.org/officeDocument/2006/relationships/hyperlink" Target="https://audio.iskcondesiretree.com/01_-_Srila_Prabhupada/01_-_Lectures/01_-_English/01_-_Topic_wise/Various/SP_Lecture_Los_Angeles_1970-02-00_Vedanta_Sutra.mp3" TargetMode="External"/><Relationship Id="rId6036" Type="http://schemas.openxmlformats.org/officeDocument/2006/relationships/hyperlink" Target="https://audio.iskcondesiretree.com/01_-_Srila_Prabhupada/01_-_Lectures/01_-_English/01_-_Topic_wise/Bhagavad_Gita_Recitation/SP_BG_Recitation_Chapter-03_-_Sanskrit.mp3" TargetMode="External"/><Relationship Id="rId6037" Type="http://schemas.openxmlformats.org/officeDocument/2006/relationships/hyperlink" Target="https://audio.iskcondesiretree.com/01_-_Srila_Prabhupada/01_-_Lectures/01_-_English/01_-_Topic_wise/Bhagavad_Gita_Recitation/SP_BG_Recitation_Chapter-04_-_Sanskrit.mp3" TargetMode="External"/><Relationship Id="rId6034" Type="http://schemas.openxmlformats.org/officeDocument/2006/relationships/hyperlink" Target="https://audio.iskcondesiretree.com/01_-_Srila_Prabhupada/01_-_Lectures/01_-_English/01_-_Topic_wise/Bhagavad_Gita_Recitation/SP_BG_Recitation_Chapter-01_-_Sanskrit.mp3" TargetMode="External"/><Relationship Id="rId6035" Type="http://schemas.openxmlformats.org/officeDocument/2006/relationships/hyperlink" Target="https://audio.iskcondesiretree.com/01_-_Srila_Prabhupada/01_-_Lectures/01_-_English/01_-_Topic_wise/Bhagavad_Gita_Recitation/SP_BG_Recitation_Chapter-02_-_Sanskrit.mp3" TargetMode="External"/><Relationship Id="rId6038" Type="http://schemas.openxmlformats.org/officeDocument/2006/relationships/hyperlink" Target="https://audio.iskcondesiretree.com/01_-_Srila_Prabhupada/01_-_Lectures/01_-_English/01_-_Topic_wise/Bhagavad_Gita_Recitation/SP_BG_Recitation_Chapter-05_-_Sanskrit.mp3" TargetMode="External"/><Relationship Id="rId6039" Type="http://schemas.openxmlformats.org/officeDocument/2006/relationships/hyperlink" Target="https://audio.iskcondesiretree.com/01_-_Srila_Prabhupada/01_-_Lectures/01_-_English/01_-_Topic_wise/Bhagavad_Gita_Recitation/SP_BG_Recitation_Chapter-06_-_Sanskrit.mp3" TargetMode="External"/><Relationship Id="rId1213" Type="http://schemas.openxmlformats.org/officeDocument/2006/relationships/hyperlink" Target="https://audio.iskcondesiretree.com/01_-_Srila_Prabhupada/01_-_Lectures/01_-_English/02_-_Month_wise/08_-_August/23/Lect_LON_1973-08-23_What_Is_Religion.mp3" TargetMode="External"/><Relationship Id="rId2544" Type="http://schemas.openxmlformats.org/officeDocument/2006/relationships/hyperlink" Target="https://audio.iskcondesiretree.com/01_-_Srila_Prabhupada/01_-_Lectures/01_-_English/02_-_Month_wise/11_-_November/22/SB-03-25-22_1974-11-22_SB-BOMBAY.MP3" TargetMode="External"/><Relationship Id="rId3876" Type="http://schemas.openxmlformats.org/officeDocument/2006/relationships/hyperlink" Target="https://audio.iskcondesiretree.com/01_-_Srila_Prabhupada/01_-_Lectures/01_-_English/02_-_Month_wise/10_-_October/15/SB_1-07-05_JOH_1975-10-15_Survival_of_the_What_Fittest.mp3" TargetMode="External"/><Relationship Id="rId1214" Type="http://schemas.openxmlformats.org/officeDocument/2006/relationships/hyperlink" Target="https://audio.iskcondesiretree.com/01_-_Srila_Prabhupada/01_-_Lectures/01_-_English/01_-_Topic_wise/Bhagavad_Gita/Chapter-02/SP_BG_02-18_London_1973-08-24_The_Soul_Will_Not_Be_Killed.mp3" TargetMode="External"/><Relationship Id="rId2545" Type="http://schemas.openxmlformats.org/officeDocument/2006/relationships/hyperlink" Target="https://audio.iskcondesiretree.com/01_-_Srila_Prabhupada/01_-_Lectures/01_-_English/02_-_Month_wise/11_-_November/22/SB_3-25-22_BOM_1974-11-22_The_Only_Rescue.mp3" TargetMode="External"/><Relationship Id="rId3875" Type="http://schemas.openxmlformats.org/officeDocument/2006/relationships/hyperlink" Target="https://audio.iskcondesiretree.com/01_-_Srila_Prabhupada/01_-_Lectures/01_-_English/02_-_Month_wise/10_-_October/15/SB-01-07-05%E2%80%9306_1975-10-15_SB-JOHANNESBURG.MP3" TargetMode="External"/><Relationship Id="rId1215" Type="http://schemas.openxmlformats.org/officeDocument/2006/relationships/hyperlink" Target="https://audio.iskcondesiretree.com/01_-_Srila_Prabhupada/01_-_Lectures/01_-_English/02_-_Month_wise/08_-_August/24/Bg_02-18_LON_1973-08-24_The_Soul_Will_Not_Be_Killed.mp3" TargetMode="External"/><Relationship Id="rId2546" Type="http://schemas.openxmlformats.org/officeDocument/2006/relationships/hyperlink" Target="https://audio.iskcondesiretree.com/01_-_Srila_Prabhupada/01_-_Lectures/01_-_English/01_-_Topic_wise/Srimad_Bhagavatam/Canto-03/SP_SB_3-25-23_Bombay_1974-11-23_Devotees_Don%27t_Feel_Suffering.mp3" TargetMode="External"/><Relationship Id="rId3878" Type="http://schemas.openxmlformats.org/officeDocument/2006/relationships/hyperlink" Target="https://audio.iskcondesiretree.com/01_-_Srila_Prabhupada/01_-_Lectures/01_-_English/02_-_Month_wise/10_-_October/16/Conv_1975-10-16_R1-JOHANNESBURG.MP3" TargetMode="External"/><Relationship Id="rId1216" Type="http://schemas.openxmlformats.org/officeDocument/2006/relationships/hyperlink" Target="https://audio.iskcondesiretree.com/01_-_Srila_Prabhupada/01_-_Lectures/01_-_English/01_-_Topic_wise/Bhagavad_Gita/Chapter-02/SP_BG_02-19-20_London_1973-08-25_Dogs_and_Cats_Don%27t_Need_Freud.mp3" TargetMode="External"/><Relationship Id="rId2547" Type="http://schemas.openxmlformats.org/officeDocument/2006/relationships/hyperlink" Target="https://audio.iskcondesiretree.com/01_-_Srila_Prabhupada/01_-_Lectures/01_-_English/02_-_Month_wise/11_-_November/23/SB-03-25-23_1974-11-23_SB-BOMBAY.MP3" TargetMode="External"/><Relationship Id="rId3877" Type="http://schemas.openxmlformats.org/officeDocument/2006/relationships/hyperlink" Target="https://audio.iskcondesiretree.com/01_-_Srila_Prabhupada/01_-_Lectures/01_-_English/01_-_Topic_wise/Room_Conversation/SP_Room_Conversation_Johannesburg_1975-10-16_People_Follow_Leader.mp3" TargetMode="External"/><Relationship Id="rId1217" Type="http://schemas.openxmlformats.org/officeDocument/2006/relationships/hyperlink" Target="https://audio.iskcondesiretree.com/01_-_Srila_Prabhupada/01_-_Lectures/01_-_English/02_-_Month_wise/08_-_August/25/Bg_02-19_LON_1973-08-25_Dogs_and_Cats_Don%27t_Need_Freud.mp3" TargetMode="External"/><Relationship Id="rId2548" Type="http://schemas.openxmlformats.org/officeDocument/2006/relationships/hyperlink" Target="https://audio.iskcondesiretree.com/01_-_Srila_Prabhupada/01_-_Lectures/01_-_English/02_-_Month_wise/11_-_November/23/SB_3-25-23_BOM_1974-11-23_Devotees_Don%27t_Feel_Suffering.mp3" TargetMode="External"/><Relationship Id="rId1218" Type="http://schemas.openxmlformats.org/officeDocument/2006/relationships/hyperlink" Target="https://audio.iskcondesiretree.com/01_-_Srila_Prabhupada/01_-_Lectures/01_-_English/01_-_Topic_wise/Bhagavad_Gita/Chapter-02/SP_BG_02-21-22_London_1973-08-26_Your_Body_Is_Ready_Sir--Come%21.mp3" TargetMode="External"/><Relationship Id="rId2549" Type="http://schemas.openxmlformats.org/officeDocument/2006/relationships/hyperlink" Target="https://audio.iskcondesiretree.com/01_-_Srila_Prabhupada/01_-_Lectures/01_-_English/01_-_Topic_wise/Srimad_Bhagavatam/Canto-03/SP_SB_3-25-24_Bombay_1974-11-24_Association_of_Devotees.mp3" TargetMode="External"/><Relationship Id="rId3879" Type="http://schemas.openxmlformats.org/officeDocument/2006/relationships/hyperlink" Target="https://audio.iskcondesiretree.com/01_-_Srila_Prabhupada/01_-_Lectures/01_-_English/02_-_Month_wise/10_-_October/16/RC_JOH_1975-10-16_People_Follow_Leader.mp3" TargetMode="External"/><Relationship Id="rId1219" Type="http://schemas.openxmlformats.org/officeDocument/2006/relationships/hyperlink" Target="https://audio.iskcondesiretree.com/01_-_Srila_Prabhupada/01_-_Lectures/01_-_English/01_-_Topic_wise/Various/SP_Lecture_London_1973-08-26_The_HK_Movement_What_and_Why.mp3" TargetMode="External"/><Relationship Id="rId3870" Type="http://schemas.openxmlformats.org/officeDocument/2006/relationships/hyperlink" Target="https://audio.iskcondesiretree.com/01_-_Srila_Prabhupada/01_-_Lectures/01_-_English/02_-_Month_wise/10_-_October/14/SB_1-07-02_DUR_1975-10-14_Seeing_Krishna_24_Hours_a_Day.mp3" TargetMode="External"/><Relationship Id="rId2540" Type="http://schemas.openxmlformats.org/officeDocument/2006/relationships/hyperlink" Target="https://audio.iskcondesiretree.com/01_-_Srila_Prabhupada/01_-_Lectures/01_-_English/02_-_Month_wise/11_-_November/21/SB-03-25-21_1974-11-21_SB-BOMBAY.MP3" TargetMode="External"/><Relationship Id="rId3872" Type="http://schemas.openxmlformats.org/officeDocument/2006/relationships/hyperlink" Target="https://audio.iskcondesiretree.com/01_-_Srila_Prabhupada/01_-_Lectures/01_-_English/01_-_Topic_wise/Srimad_Bhagavatam/Canto-01/SP_SB_1-07-05_Johannesburg_1975-10-15_Survival_of_the...What_Fittest.mp3" TargetMode="External"/><Relationship Id="rId1210" Type="http://schemas.openxmlformats.org/officeDocument/2006/relationships/hyperlink" Target="https://audio.iskcondesiretree.com/01_-_Srila_Prabhupada/01_-_Lectures/01_-_English/01_-_Topic_wise/Bhagavad_Gita/Chapter-02/SP_BG_02-17_London_1973-08-23_We_Are_Individuals_Eternally.mp3" TargetMode="External"/><Relationship Id="rId2541" Type="http://schemas.openxmlformats.org/officeDocument/2006/relationships/hyperlink" Target="https://audio.iskcondesiretree.com/01_-_Srila_Prabhupada/01_-_Lectures/01_-_English/02_-_Month_wise/11_-_November/21/SB_3-25-21_BOM_1974-11-21_The_Sadhu%27s_Symptoms.mp3" TargetMode="External"/><Relationship Id="rId3871" Type="http://schemas.openxmlformats.org/officeDocument/2006/relationships/hyperlink" Target="https://audio.iskcondesiretree.com/01_-_Srila_Prabhupada/01_-_Lectures/01_-_English/01_-_Topic_wise/Room_Conversation/SP_Room_Conversation_Durban_1975-10-15_Dogs%27_Obstinacy.mp3" TargetMode="External"/><Relationship Id="rId1211" Type="http://schemas.openxmlformats.org/officeDocument/2006/relationships/hyperlink" Target="https://audio.iskcondesiretree.com/01_-_Srila_Prabhupada/01_-_Lectures/01_-_English/01_-_Topic_wise/Various/SP_Lecture_London_1973-08-23_What_Is_Religion.mp3" TargetMode="External"/><Relationship Id="rId2542" Type="http://schemas.openxmlformats.org/officeDocument/2006/relationships/hyperlink" Target="https://audio.iskcondesiretree.com/01_-_Srila_Prabhupada/01_-_Lectures/01_-_English/01_-_Topic_wise/Srimad_Bhagavatam/Canto-03/SP_SB_3-25-22_Bombay_1974-11-22_The_Only_Rescu.mp3" TargetMode="External"/><Relationship Id="rId3874" Type="http://schemas.openxmlformats.org/officeDocument/2006/relationships/hyperlink" Target="https://audio.iskcondesiretree.com/01_-_Srila_Prabhupada/01_-_Lectures/01_-_English/02_-_Month_wise/10_-_October/15/RC_DUR_1975-10-15_Dogs%27_Obstinacy.mp3" TargetMode="External"/><Relationship Id="rId1212" Type="http://schemas.openxmlformats.org/officeDocument/2006/relationships/hyperlink" Target="https://audio.iskcondesiretree.com/01_-_Srila_Prabhupada/01_-_Lectures/01_-_English/02_-_Month_wise/08_-_August/23/Bg_02-17_LON_1973-08-23_We_Are_Individuals_Eternally.mp3" TargetMode="External"/><Relationship Id="rId2543" Type="http://schemas.openxmlformats.org/officeDocument/2006/relationships/hyperlink" Target="https://audio.iskcondesiretree.com/01_-_Srila_Prabhupada/01_-_Lectures/01_-_English/01_-_Topic_wise/Srimad_Bhagavatam/Canto-03/SP_SB_3-25-22_Bombay_1974-11-22_The_Only_Rescue.mp3" TargetMode="External"/><Relationship Id="rId3873" Type="http://schemas.openxmlformats.org/officeDocument/2006/relationships/hyperlink" Target="https://audio.iskcondesiretree.com/01_-_Srila_Prabhupada/01_-_Lectures/01_-_English/02_-_Month_wise/10_-_October/15/Conv_1975-10-15_R1-JOHANNESBURG.MP3" TargetMode="External"/><Relationship Id="rId1202" Type="http://schemas.openxmlformats.org/officeDocument/2006/relationships/hyperlink" Target="https://audio.iskcondesiretree.com/01_-_Srila_Prabhupada/01_-_Lectures/01_-_English/02_-_Month_wise/08_-_August/21/Fest_LON_1973-08-21_Deity_Installation_Why_Krishna_etc.mp3" TargetMode="External"/><Relationship Id="rId2533" Type="http://schemas.openxmlformats.org/officeDocument/2006/relationships/hyperlink" Target="https://audio.iskcondesiretree.com/01_-_Srila_Prabhupada/01_-_Lectures/01_-_English/01_-_Topic_wise/Srimad_Bhagavatam/Canto-03/SP_SB_3-25-19_Bombay_1974-11-19_One_Kind_of_Devotion_Will_Do.mp3" TargetMode="External"/><Relationship Id="rId3865" Type="http://schemas.openxmlformats.org/officeDocument/2006/relationships/hyperlink" Target="https://audio.iskcondesiretree.com/01_-_Srila_Prabhupada/01_-_Lectures/01_-_English/02_-_Month_wise/10_-_October/14/Conv_1975-10-14_R1-JOHANNESBURG.MP3" TargetMode="External"/><Relationship Id="rId1203" Type="http://schemas.openxmlformats.org/officeDocument/2006/relationships/hyperlink" Target="https://audio.iskcondesiretree.com/01_-_Srila_Prabhupada/01_-_Lectures/01_-_English/02_-_Month_wise/08_-_August/21/Fest_LON_1973-08-21_Janmastami.mp3" TargetMode="External"/><Relationship Id="rId2534" Type="http://schemas.openxmlformats.org/officeDocument/2006/relationships/hyperlink" Target="https://audio.iskcondesiretree.com/01_-_Srila_Prabhupada/01_-_Lectures/01_-_English/02_-_Month_wise/11_-_November/19/SB-03-25-19_1974-11-19_SB-BOMBAY.MP3" TargetMode="External"/><Relationship Id="rId3864" Type="http://schemas.openxmlformats.org/officeDocument/2006/relationships/hyperlink" Target="https://audio.iskcondesiretree.com/01_-_Srila_Prabhupada/01_-_Lectures/01_-_English/01_-_Topic_wise/Srimad_Bhagavatam/Canto-01/SP_SB_1-07-02_Durban_1975-10-14_Seeing_Krishna_24_Hours_a_Day.mp3" TargetMode="External"/><Relationship Id="rId1204" Type="http://schemas.openxmlformats.org/officeDocument/2006/relationships/hyperlink" Target="https://audio.iskcondesiretree.com/01_-_Srila_Prabhupada/01_-_Lectures/01_-_English/01_-_Topic_wise/Bhagavad_Gita/Chapter-02/SP_BG_02-16_London_1973-08-22_Nonexistent_and_Existent.mp3" TargetMode="External"/><Relationship Id="rId2535" Type="http://schemas.openxmlformats.org/officeDocument/2006/relationships/hyperlink" Target="https://audio.iskcondesiretree.com/01_-_Srila_Prabhupada/01_-_Lectures/01_-_English/02_-_Month_wise/11_-_November/19/SB_3-25-19_BOM_1974-11-19_One_Kind_of_Devotion_Will_Do.mp3" TargetMode="External"/><Relationship Id="rId3867" Type="http://schemas.openxmlformats.org/officeDocument/2006/relationships/hyperlink" Target="https://audio.iskcondesiretree.com/01_-_Srila_Prabhupada/01_-_Lectures/01_-_English/02_-_Month_wise/10_-_October/14/MW_JOH_1975-10-14_Mischievous_Merit.mp3" TargetMode="External"/><Relationship Id="rId1205" Type="http://schemas.openxmlformats.org/officeDocument/2006/relationships/hyperlink" Target="https://audio.iskcondesiretree.com/01_-_Srila_Prabhupada/01_-_Lectures/01_-_English/01_-_Topic_wise/Festivals/SP_Festivals_London_1973-08-22_Vyasa-puja--Thanks_to_the_Original_Guru.mp3" TargetMode="External"/><Relationship Id="rId2536" Type="http://schemas.openxmlformats.org/officeDocument/2006/relationships/hyperlink" Target="https://audio.iskcondesiretree.com/01_-_Srila_Prabhupada/01_-_Lectures/01_-_English/01_-_Topic_wise/Srimad_Bhagavatam/Canto-03/SP_SB_3-25-20_Bombay_1974-11-20_How_to_Get_Rid_of_This_Body.mp3" TargetMode="External"/><Relationship Id="rId3866" Type="http://schemas.openxmlformats.org/officeDocument/2006/relationships/hyperlink" Target="https://audio.iskcondesiretree.com/01_-_Srila_Prabhupada/01_-_Lectures/01_-_English/02_-_Month_wise/10_-_October/14/Lecture_1975-10-14_LE-JOHANNESBURG.MP3" TargetMode="External"/><Relationship Id="rId1206" Type="http://schemas.openxmlformats.org/officeDocument/2006/relationships/hyperlink" Target="https://audio.iskcondesiretree.com/01_-_Srila_Prabhupada/01_-_Lectures/01_-_English/01_-_Topic_wise/Festivals/SP_Festivals_London_1973-08-22_Vyasa-puja--What_Is_Guru.mp3" TargetMode="External"/><Relationship Id="rId2537" Type="http://schemas.openxmlformats.org/officeDocument/2006/relationships/hyperlink" Target="https://audio.iskcondesiretree.com/01_-_Srila_Prabhupada/01_-_Lectures/01_-_English/02_-_Month_wise/11_-_November/20/SB-03-25-20_1974-11-20_SB-BOMBAY.MP3" TargetMode="External"/><Relationship Id="rId3869" Type="http://schemas.openxmlformats.org/officeDocument/2006/relationships/hyperlink" Target="https://audio.iskcondesiretree.com/01_-_Srila_Prabhupada/01_-_Lectures/01_-_English/02_-_Month_wise/10_-_October/14/SB-01-07-02%E2%80%9304_1975-10-14_SB-JOHANNESBURG.MP3" TargetMode="External"/><Relationship Id="rId1207" Type="http://schemas.openxmlformats.org/officeDocument/2006/relationships/hyperlink" Target="https://audio.iskcondesiretree.com/01_-_Srila_Prabhupada/01_-_Lectures/01_-_English/02_-_Month_wise/08_-_August/22/Bg_02-16_LON_1973-08-22_Nonexistent_and_Existent.mp3" TargetMode="External"/><Relationship Id="rId2538" Type="http://schemas.openxmlformats.org/officeDocument/2006/relationships/hyperlink" Target="https://audio.iskcondesiretree.com/01_-_Srila_Prabhupada/01_-_Lectures/01_-_English/02_-_Month_wise/11_-_November/20/SB_3-25-20_BOM_1974-11-20_How_to_Get_Rid_of_This_Body.mp3" TargetMode="External"/><Relationship Id="rId3868" Type="http://schemas.openxmlformats.org/officeDocument/2006/relationships/hyperlink" Target="https://audio.iskcondesiretree.com/01_-_Srila_Prabhupada/01_-_Lectures/01_-_English/02_-_Month_wise/10_-_October/14/RC_JOH_1975-10-14_Monkeys_Produced_Man_and_You_Call_etc.mp3" TargetMode="External"/><Relationship Id="rId1208" Type="http://schemas.openxmlformats.org/officeDocument/2006/relationships/hyperlink" Target="https://audio.iskcondesiretree.com/01_-_Srila_Prabhupada/01_-_Lectures/01_-_English/02_-_Month_wise/08_-_August/22/Fest_LON_1973-08-22_Vyasa-puja--Thanks_to_the_Original_Guru.mp3" TargetMode="External"/><Relationship Id="rId2539" Type="http://schemas.openxmlformats.org/officeDocument/2006/relationships/hyperlink" Target="https://audio.iskcondesiretree.com/01_-_Srila_Prabhupada/01_-_Lectures/01_-_English/01_-_Topic_wise/Srimad_Bhagavatam/Canto-03/SP_SB_3-25-21_Bombay_1974-11-21_The_Sadhu%27s_Symptoms.mp3" TargetMode="External"/><Relationship Id="rId1209" Type="http://schemas.openxmlformats.org/officeDocument/2006/relationships/hyperlink" Target="https://audio.iskcondesiretree.com/01_-_Srila_Prabhupada/01_-_Lectures/01_-_English/02_-_Month_wise/08_-_August/22/Fest_LON_1973-08-22_Vyasa-puja--What_Is_Guru.mp3" TargetMode="External"/><Relationship Id="rId3861" Type="http://schemas.openxmlformats.org/officeDocument/2006/relationships/hyperlink" Target="https://audio.iskcondesiretree.com/01_-_Srila_Prabhupada/01_-_Lectures/01_-_English/01_-_Topic_wise/Morning_Walk/SP_Morning_Walk_-_Johannesburg_1975-10-14_Mischievous_Merit.mp3" TargetMode="External"/><Relationship Id="rId2530" Type="http://schemas.openxmlformats.org/officeDocument/2006/relationships/hyperlink" Target="https://audio.iskcondesiretree.com/01_-_Srila_Prabhupada/01_-_Lectures/01_-_English/01_-_Topic_wise/Srimad_Bhagavatam/Canto-03/SP_SB_3-25-18_Bombay_1974-11-18_Nobody%27s_Servant_but_Krishna%27s.mp3" TargetMode="External"/><Relationship Id="rId3860" Type="http://schemas.openxmlformats.org/officeDocument/2006/relationships/hyperlink" Target="https://audio.iskcondesiretree.com/01_-_Srila_Prabhupada/01_-_Lectures/01_-_English/02_-_Month_wise/10_-_October/13/Walk_1975-10-13_MW-DURBAN.MP3" TargetMode="External"/><Relationship Id="rId1200" Type="http://schemas.openxmlformats.org/officeDocument/2006/relationships/hyperlink" Target="https://audio.iskcondesiretree.com/01_-_Srila_Prabhupada/01_-_Lectures/01_-_English/02_-_Month_wise/08_-_August/21/Fest_LON_1973-08-21_Deity_Installation-Purpose_of_etc.mp3" TargetMode="External"/><Relationship Id="rId2531" Type="http://schemas.openxmlformats.org/officeDocument/2006/relationships/hyperlink" Target="https://audio.iskcondesiretree.com/01_-_Srila_Prabhupada/01_-_Lectures/01_-_English/02_-_Month_wise/11_-_November/18/SB-03-25-18_1974-11-18_SB-BOMBAY.MP3" TargetMode="External"/><Relationship Id="rId3863" Type="http://schemas.openxmlformats.org/officeDocument/2006/relationships/hyperlink" Target="https://audio.iskcondesiretree.com/01_-_Srila_Prabhupada/01_-_Lectures/01_-_English/01_-_Topic_wise/Srimad_Bhagavatam/Canto-01/SP_SB_1-07-02-04_Durban_1975-10-14_Seeing_Krishna_24_Hours_a_Day.MP3" TargetMode="External"/><Relationship Id="rId1201" Type="http://schemas.openxmlformats.org/officeDocument/2006/relationships/hyperlink" Target="https://audio.iskcondesiretree.com/01_-_Srila_Prabhupada/01_-_Lectures/01_-_English/02_-_Month_wise/08_-_August/21/Fest_LON_1973-08-21_Deity_Installation.mp3" TargetMode="External"/><Relationship Id="rId2532" Type="http://schemas.openxmlformats.org/officeDocument/2006/relationships/hyperlink" Target="https://audio.iskcondesiretree.com/01_-_Srila_Prabhupada/01_-_Lectures/01_-_English/02_-_Month_wise/11_-_November/18/SB_3-25-18_BOM_1974-11-18_Nobody%27s_Servant_but_Krishna%27s.mp3" TargetMode="External"/><Relationship Id="rId3862" Type="http://schemas.openxmlformats.org/officeDocument/2006/relationships/hyperlink" Target="https://audio.iskcondesiretree.com/01_-_Srila_Prabhupada/01_-_Lectures/01_-_English/01_-_Topic_wise/Room_Conversation/SP_Room_Conversation_Johannesburg_1975-10-14_Monkeys_Produced_Man--and_You_Call--etc.mp3" TargetMode="External"/><Relationship Id="rId1235" Type="http://schemas.openxmlformats.org/officeDocument/2006/relationships/hyperlink" Target="https://audio.iskcondesiretree.com/01_-_Srila_Prabhupada/01_-_Lectures/01_-_English/01_-_Topic_wise/Room_Conversation/SP_Room_Conversation_London_1973-08-31_God_Is_One-Is_Religion_Two.mp3" TargetMode="External"/><Relationship Id="rId2566" Type="http://schemas.openxmlformats.org/officeDocument/2006/relationships/hyperlink" Target="https://audio.iskcondesiretree.com/01_-_Srila_Prabhupada/01_-_Lectures/01_-_English/02_-_Month_wise/11_-_November/29/SB_3-25-29_BOM_1974-11-29_Understanding_Highest_Truth.mp3" TargetMode="External"/><Relationship Id="rId3898" Type="http://schemas.openxmlformats.org/officeDocument/2006/relationships/hyperlink" Target="https://audio.iskcondesiretree.com/01_-_Srila_Prabhupada/01_-_Lectures/01_-_English/02_-_Month_wise/10_-_October/20/MW_JOH_1975-10-20_I%27m_Happy-I%27m_Fool_Number_One.mp3" TargetMode="External"/><Relationship Id="rId1236" Type="http://schemas.openxmlformats.org/officeDocument/2006/relationships/hyperlink" Target="https://audio.iskcondesiretree.com/01_-_Srila_Prabhupada/01_-_Lectures/01_-_English/02_-_Month_wise/08_-_August/31/Bg_02-30_LON_1973-08-31_Matter_Grows_on_the_Platform_of_Spirit.mp3" TargetMode="External"/><Relationship Id="rId2567" Type="http://schemas.openxmlformats.org/officeDocument/2006/relationships/hyperlink" Target="https://audio.iskcondesiretree.com/01_-_Srila_Prabhupada/01_-_Lectures/01_-_English/01_-_Topic_wise/Srimad_Bhagavatam/Canto-03/SP_SB_3-25-30_Bombay_1974-11-30_Understanding-Standing_Under.mp3" TargetMode="External"/><Relationship Id="rId3897" Type="http://schemas.openxmlformats.org/officeDocument/2006/relationships/hyperlink" Target="https://audio.iskcondesiretree.com/01_-_Srila_Prabhupada/01_-_Lectures/01_-_English/01_-_Topic_wise/Srimad_Bhagavatam/Canto-05/SP_SB_5-05-01_Johannesburg_1975-10-20_The_Natural_World--Unnatural.mp3" TargetMode="External"/><Relationship Id="rId1237" Type="http://schemas.openxmlformats.org/officeDocument/2006/relationships/hyperlink" Target="https://audio.iskcondesiretree.com/01_-_Srila_Prabhupada/01_-_Lectures/01_-_English/02_-_Month_wise/08_-_August/31/RC_LON_1973-08-31_God_Is_One-Is_Religion_Two.mp3" TargetMode="External"/><Relationship Id="rId2568" Type="http://schemas.openxmlformats.org/officeDocument/2006/relationships/hyperlink" Target="https://audio.iskcondesiretree.com/01_-_Srila_Prabhupada/01_-_Lectures/01_-_English/02_-_Month_wise/11_-_November/30/SB-03-25-30_1974-11-30_SB-BOMBAY.MP3" TargetMode="External"/><Relationship Id="rId1238" Type="http://schemas.openxmlformats.org/officeDocument/2006/relationships/hyperlink" Target="https://audio.iskcondesiretree.com/01_-_Srila_Prabhupada/01_-_Lectures/01_-_English/01_-_Topic_wise/Bhagavad_Gita/Chapter-02/SP_BG_02-31_London_1973-09-01_Duties_of_the_Body_and_Soul.mp3" TargetMode="External"/><Relationship Id="rId2569" Type="http://schemas.openxmlformats.org/officeDocument/2006/relationships/hyperlink" Target="https://audio.iskcondesiretree.com/01_-_Srila_Prabhupada/01_-_Lectures/01_-_English/02_-_Month_wise/11_-_November/30/SB_3-25-30_BOM_1974-11-30_Understanding-Standing_Under.mp3" TargetMode="External"/><Relationship Id="rId3899" Type="http://schemas.openxmlformats.org/officeDocument/2006/relationships/hyperlink" Target="https://audio.iskcondesiretree.com/01_-_Srila_Prabhupada/01_-_Lectures/01_-_English/02_-_Month_wise/10_-_October/20/SB-05-05-01_1975-10-20_SB-JOHANNESBURG.MP3" TargetMode="External"/><Relationship Id="rId1239" Type="http://schemas.openxmlformats.org/officeDocument/2006/relationships/hyperlink" Target="https://audio.iskcondesiretree.com/01_-_Srila_Prabhupada/01_-_Lectures/01_-_English/01_-_Topic_wise/Room_Conversation/SP_Room_Conversation_London_1973-09-01_Radharani_Recommends_to_Krishna.mp3" TargetMode="External"/><Relationship Id="rId3890" Type="http://schemas.openxmlformats.org/officeDocument/2006/relationships/hyperlink" Target="https://audio.iskcondesiretree.com/01_-_Srila_Prabhupada/01_-_Lectures/01_-_English/02_-_Month_wise/10_-_October/18/MW_JOH_1975-10-18_Modern_Education_Makes_Asses.mp3" TargetMode="External"/><Relationship Id="rId2560" Type="http://schemas.openxmlformats.org/officeDocument/2006/relationships/hyperlink" Target="https://audio.iskcondesiretree.com/01_-_Srila_Prabhupada/01_-_Lectures/01_-_English/02_-_Month_wise/11_-_November/27/SB_3-25-27_BOM_1974-11-27_World_Is_Under_Misunderstanding.mp3" TargetMode="External"/><Relationship Id="rId3892" Type="http://schemas.openxmlformats.org/officeDocument/2006/relationships/hyperlink" Target="https://audio.iskcondesiretree.com/01_-_Srila_Prabhupada/01_-_Lectures/01_-_English/01_-_Topic_wise/Bhagavad_Gita/Chapter-04/SP_BG_04-13_Johannesburg_1975-10-19_Sunday_Feast--Cat_and_Dog_Society.mp3" TargetMode="External"/><Relationship Id="rId1230" Type="http://schemas.openxmlformats.org/officeDocument/2006/relationships/hyperlink" Target="https://audio.iskcondesiretree.com/01_-_Srila_Prabhupada/01_-_Lectures/01_-_English/01_-_Topic_wise/Room_Conversation/SP_Room_Conversation_London_1973-08-30_Schoolmaster--Everybody_Is_Chanting.mp3" TargetMode="External"/><Relationship Id="rId2561" Type="http://schemas.openxmlformats.org/officeDocument/2006/relationships/hyperlink" Target="https://audio.iskcondesiretree.com/01_-_Srila_Prabhupada/01_-_Lectures/01_-_English/01_-_Topic_wise/Srimad_Bhagavatam/Canto-03/SP_SB_3-25-28_Bombay_1974-11-28_You_Must_Go_to_a_Guru.mp3" TargetMode="External"/><Relationship Id="rId3891" Type="http://schemas.openxmlformats.org/officeDocument/2006/relationships/hyperlink" Target="https://audio.iskcondesiretree.com/01_-_Srila_Prabhupada/01_-_Lectures/01_-_English/02_-_Month_wise/10_-_October/18/Walk_1975-10-18_MW-JOHANNESBURG.MP3" TargetMode="External"/><Relationship Id="rId1231" Type="http://schemas.openxmlformats.org/officeDocument/2006/relationships/hyperlink" Target="https://audio.iskcondesiretree.com/01_-_Srila_Prabhupada/01_-_Lectures/01_-_English/02_-_Month_wise/08_-_August/30/Bg_02-28_LON_1973-08-30_Materialists-What_Do_They_Know.mp3" TargetMode="External"/><Relationship Id="rId2562" Type="http://schemas.openxmlformats.org/officeDocument/2006/relationships/hyperlink" Target="https://audio.iskcondesiretree.com/01_-_Srila_Prabhupada/01_-_Lectures/01_-_English/02_-_Month_wise/11_-_November/28/SB-03-25-28_1974-11-28_SB-BOMBAY.MP3" TargetMode="External"/><Relationship Id="rId3894" Type="http://schemas.openxmlformats.org/officeDocument/2006/relationships/hyperlink" Target="https://audio.iskcondesiretree.com/01_-_Srila_Prabhupada/01_-_Lectures/01_-_English/02_-_Month_wise/10_-_October/19/Bg_04-13_JOH_1975-10-19_Sunday_Feast-Cat_and_Dog_Society.mp3" TargetMode="External"/><Relationship Id="rId1232" Type="http://schemas.openxmlformats.org/officeDocument/2006/relationships/hyperlink" Target="https://audio.iskcondesiretree.com/01_-_Srila_Prabhupada/01_-_Lectures/01_-_English/02_-_Month_wise/08_-_August/30/MW_LON_1973-08-30_With_Schoolmaster-Keeping_People_in_Darkness.mp3" TargetMode="External"/><Relationship Id="rId2563" Type="http://schemas.openxmlformats.org/officeDocument/2006/relationships/hyperlink" Target="https://audio.iskcondesiretree.com/01_-_Srila_Prabhupada/01_-_Lectures/01_-_English/02_-_Month_wise/11_-_November/28/SB_3-25-28_BOM_1974-11-28_You_Must_Go_to_a_Guru.mp3" TargetMode="External"/><Relationship Id="rId3893" Type="http://schemas.openxmlformats.org/officeDocument/2006/relationships/hyperlink" Target="https://audio.iskcondesiretree.com/01_-_Srila_Prabhupada/01_-_Lectures/01_-_English/02_-_Month_wise/10_-_October/19/Bg-04-13_1975-10-19_BG-JOHANNESBURG.MP3" TargetMode="External"/><Relationship Id="rId1233" Type="http://schemas.openxmlformats.org/officeDocument/2006/relationships/hyperlink" Target="https://audio.iskcondesiretree.com/01_-_Srila_Prabhupada/01_-_Lectures/01_-_English/02_-_Month_wise/08_-_August/30/RC_LON_1973-08-30_Schoolmaster-Everybody_Is_Chanting.mp3" TargetMode="External"/><Relationship Id="rId2564" Type="http://schemas.openxmlformats.org/officeDocument/2006/relationships/hyperlink" Target="https://audio.iskcondesiretree.com/01_-_Srila_Prabhupada/01_-_Lectures/01_-_English/01_-_Topic_wise/Srimad_Bhagavatam/Canto-03/SP_SB_3-25-29_Bombay_1974-11-29_Understanding_Highest_Truth.mp3" TargetMode="External"/><Relationship Id="rId3896" Type="http://schemas.openxmlformats.org/officeDocument/2006/relationships/hyperlink" Target="https://audio.iskcondesiretree.com/01_-_Srila_Prabhupada/01_-_Lectures/01_-_English/01_-_Topic_wise/Morning_Walk/SP_Morning_Walk_-_Johannesburg_1975-10-20_I%27m_Happy-I%27m_Fool_Number_One.mp3" TargetMode="External"/><Relationship Id="rId1234" Type="http://schemas.openxmlformats.org/officeDocument/2006/relationships/hyperlink" Target="https://audio.iskcondesiretree.com/01_-_Srila_Prabhupada/01_-_Lectures/01_-_English/01_-_Topic_wise/Bhagavad_Gita/Chapter-02/SP_BG_02-30_London_1973-08-31_Matter_Grows_on_the_Platform_of_Spirit.mp3" TargetMode="External"/><Relationship Id="rId2565" Type="http://schemas.openxmlformats.org/officeDocument/2006/relationships/hyperlink" Target="https://audio.iskcondesiretree.com/01_-_Srila_Prabhupada/01_-_Lectures/01_-_English/02_-_Month_wise/11_-_November/29/SB-03-25-29_1974-11-29_SB-BOMBAY.MP3" TargetMode="External"/><Relationship Id="rId3895" Type="http://schemas.openxmlformats.org/officeDocument/2006/relationships/hyperlink" Target="https://audio.iskcondesiretree.com/01_-_Srila_Prabhupada/01_-_Lectures/01_-_English/02_-_Month_wise/10_-_October/19/Walk_1975-10-19_MW-JOHANNESBURG.MP3" TargetMode="External"/><Relationship Id="rId1224" Type="http://schemas.openxmlformats.org/officeDocument/2006/relationships/hyperlink" Target="https://audio.iskcondesiretree.com/01_-_Srila_Prabhupada/01_-_Lectures/01_-_English/01_-_Topic_wise/Bhagavad_Gita/Chapter-02/SP_BG_02-25_London_1973-08-28_Relieving_Our_Bodily_Burden.mp3" TargetMode="External"/><Relationship Id="rId2555" Type="http://schemas.openxmlformats.org/officeDocument/2006/relationships/hyperlink" Target="https://audio.iskcondesiretree.com/01_-_Srila_Prabhupada/01_-_Lectures/01_-_English/01_-_Topic_wise/Srimad_Bhagavatam/Canto-03/SP_SB_3-25-26_Bombay_1974-11-26_Krishna_Gratification.mp3" TargetMode="External"/><Relationship Id="rId3887" Type="http://schemas.openxmlformats.org/officeDocument/2006/relationships/hyperlink" Target="https://audio.iskcondesiretree.com/01_-_Srila_Prabhupada/01_-_Lectures/01_-_English/01_-_Topic_wise/Morning_Walk/SP_Morning_Walk_-_Johannesburg_1975-10-18_Modern_Education_Makes_Asses.mp3" TargetMode="External"/><Relationship Id="rId1225" Type="http://schemas.openxmlformats.org/officeDocument/2006/relationships/hyperlink" Target="https://audio.iskcondesiretree.com/01_-_Srila_Prabhupada/01_-_Lectures/01_-_English/02_-_Month_wise/08_-_August/28/Bg_02-25_LON_1973-08-28_Relieving_Our_Bodily_Burden.mp3" TargetMode="External"/><Relationship Id="rId2556" Type="http://schemas.openxmlformats.org/officeDocument/2006/relationships/hyperlink" Target="https://audio.iskcondesiretree.com/01_-_Srila_Prabhupada/01_-_Lectures/01_-_English/02_-_Month_wise/11_-_November/26/SB-03-25-26_1974-11-26_SB-BOMBAY.MP3" TargetMode="External"/><Relationship Id="rId3886" Type="http://schemas.openxmlformats.org/officeDocument/2006/relationships/hyperlink" Target="https://audio.iskcondesiretree.com/01_-_Srila_Prabhupada/01_-_Lectures/01_-_English/01_-_Topic_wise/Bhagavad_Gita/Chapter-16/SP_BG_16-06_Durban_1975-10-18_Demons%27_Symptoms.mp3" TargetMode="External"/><Relationship Id="rId1226" Type="http://schemas.openxmlformats.org/officeDocument/2006/relationships/hyperlink" Target="https://audio.iskcondesiretree.com/01_-_Srila_Prabhupada/01_-_Lectures/01_-_English/01_-_Topic_wise/Bhagavad_Gita/Chapter-02/SP_BG_02-26-27_London_1973-08-29_Why_Lament_Over_Chemicals.mp3" TargetMode="External"/><Relationship Id="rId2557" Type="http://schemas.openxmlformats.org/officeDocument/2006/relationships/hyperlink" Target="https://audio.iskcondesiretree.com/01_-_Srila_Prabhupada/01_-_Lectures/01_-_English/02_-_Month_wise/11_-_November/26/SB_3-25-26_BOM_1974-11-26_Krishna_Gratification.mp3" TargetMode="External"/><Relationship Id="rId3889" Type="http://schemas.openxmlformats.org/officeDocument/2006/relationships/hyperlink" Target="https://audio.iskcondesiretree.com/01_-_Srila_Prabhupada/01_-_Lectures/01_-_English/02_-_Month_wise/10_-_October/18/Bg_16-06_DUR_1975-10-18_Demons_Symptoms.mp3" TargetMode="External"/><Relationship Id="rId1227" Type="http://schemas.openxmlformats.org/officeDocument/2006/relationships/hyperlink" Target="https://audio.iskcondesiretree.com/01_-_Srila_Prabhupada/01_-_Lectures/01_-_English/02_-_Month_wise/08_-_August/29/Bg_02-26_LON_1973-08-29_Why_Lament_Over_Chemicals.mp3" TargetMode="External"/><Relationship Id="rId2558" Type="http://schemas.openxmlformats.org/officeDocument/2006/relationships/hyperlink" Target="https://audio.iskcondesiretree.com/01_-_Srila_Prabhupada/01_-_Lectures/01_-_English/01_-_Topic_wise/Srimad_Bhagavatam/Canto-03/SP_SB_3-25-27_Bombay_1974-11-27_World_Is_Under_Misunderstanding.mp3" TargetMode="External"/><Relationship Id="rId3888" Type="http://schemas.openxmlformats.org/officeDocument/2006/relationships/hyperlink" Target="https://audio.iskcondesiretree.com/01_-_Srila_Prabhupada/01_-_Lectures/01_-_English/02_-_Month_wise/10_-_October/18/Bg-16-06_1975-10-18_BG-JOHANNESBURG.MP3" TargetMode="External"/><Relationship Id="rId1228" Type="http://schemas.openxmlformats.org/officeDocument/2006/relationships/hyperlink" Target="https://audio.iskcondesiretree.com/01_-_Srila_Prabhupada/01_-_Lectures/01_-_English/01_-_Topic_wise/Bhagavad_Gita/Chapter-02/SP_BG_02-28_London_1973-08-30_Materialists--What_Do_They_Know.mp3" TargetMode="External"/><Relationship Id="rId2559" Type="http://schemas.openxmlformats.org/officeDocument/2006/relationships/hyperlink" Target="https://audio.iskcondesiretree.com/01_-_Srila_Prabhupada/01_-_Lectures/01_-_English/02_-_Month_wise/11_-_November/27/SB-03-25-27_1974-11-27_SB-BOMBAY.MP3" TargetMode="External"/><Relationship Id="rId1229" Type="http://schemas.openxmlformats.org/officeDocument/2006/relationships/hyperlink" Target="https://audio.iskcondesiretree.com/01_-_Srila_Prabhupada/01_-_Lectures/01_-_English/01_-_Topic_wise/Morning_Walk/SP_Morning_Walk_-_London_1973-08-30_With_Schoolmaster--Keeping_People_in_Darkness.mp3" TargetMode="External"/><Relationship Id="rId3881" Type="http://schemas.openxmlformats.org/officeDocument/2006/relationships/hyperlink" Target="https://audio.iskcondesiretree.com/01_-_Srila_Prabhupada/01_-_Lectures/01_-_English/01_-_Topic_wise/Bhagavad_Gita/Chapter-02/SP_BG_02-01_Johannesburg_1975-10-17_When_to_Approach_a_Guru.mp3" TargetMode="External"/><Relationship Id="rId2550" Type="http://schemas.openxmlformats.org/officeDocument/2006/relationships/hyperlink" Target="https://audio.iskcondesiretree.com/01_-_Srila_Prabhupada/01_-_Lectures/01_-_English/02_-_Month_wise/11_-_November/24/SB-03-25-24_1974-11-24_SB-BOMBAY.MP3" TargetMode="External"/><Relationship Id="rId3880" Type="http://schemas.openxmlformats.org/officeDocument/2006/relationships/hyperlink" Target="https://audio.iskcondesiretree.com/01_-_Srila_Prabhupada/01_-_Lectures/01_-_English/02_-_Month_wise/10_-_October/16/Walk_1975-10-16_MW-JOHANNESBURG.MP3" TargetMode="External"/><Relationship Id="rId1220" Type="http://schemas.openxmlformats.org/officeDocument/2006/relationships/hyperlink" Target="https://audio.iskcondesiretree.com/01_-_Srila_Prabhupada/01_-_Lectures/01_-_English/02_-_Month_wise/08_-_August/26/Bg_02-21_LON_1973-08-26_Your_Body_Is_Ready_Sir--Come%21.mp3" TargetMode="External"/><Relationship Id="rId2551" Type="http://schemas.openxmlformats.org/officeDocument/2006/relationships/hyperlink" Target="https://audio.iskcondesiretree.com/01_-_Srila_Prabhupada/01_-_Lectures/01_-_English/02_-_Month_wise/11_-_November/24/SB_3-25-24_BOM_1974-11-24_Association_of_Devotees.mp3" TargetMode="External"/><Relationship Id="rId3883" Type="http://schemas.openxmlformats.org/officeDocument/2006/relationships/hyperlink" Target="https://audio.iskcondesiretree.com/01_-_Srila_Prabhupada/01_-_Lectures/01_-_English/02_-_Month_wise/10_-_October/17/Bg_02-01_JOH_1975-10-17_When_to_Approach_a_Guru.mp3" TargetMode="External"/><Relationship Id="rId1221" Type="http://schemas.openxmlformats.org/officeDocument/2006/relationships/hyperlink" Target="https://audio.iskcondesiretree.com/01_-_Srila_Prabhupada/01_-_Lectures/01_-_English/02_-_Month_wise/08_-_August/26/Lect_LON_1973-08-26_The_HK_Movement_What_and_Why.mp3" TargetMode="External"/><Relationship Id="rId2552" Type="http://schemas.openxmlformats.org/officeDocument/2006/relationships/hyperlink" Target="https://audio.iskcondesiretree.com/01_-_Srila_Prabhupada/01_-_Lectures/01_-_English/01_-_Topic_wise/Srimad_Bhagavatam/Canto-03/SP_SB_3-25-25_Bombay_1974-11-25_Taste_of_Talks_About_Krishna.mp3" TargetMode="External"/><Relationship Id="rId3882" Type="http://schemas.openxmlformats.org/officeDocument/2006/relationships/hyperlink" Target="https://audio.iskcondesiretree.com/01_-_Srila_Prabhupada/01_-_Lectures/01_-_English/02_-_Month_wise/10_-_October/17/Bg-02-01%E2%80%9311_1975-10-17_BG-JOHANNESBURG.MP3" TargetMode="External"/><Relationship Id="rId1222" Type="http://schemas.openxmlformats.org/officeDocument/2006/relationships/hyperlink" Target="https://audio.iskcondesiretree.com/01_-_Srila_Prabhupada/01_-_Lectures/01_-_English/01_-_Topic_wise/Bhagavad_Gita/Chapter-02/SP_BG_02-23-24_London_1973-08-27_You_Are_a_Sample_of_Krishna.mp3" TargetMode="External"/><Relationship Id="rId2553" Type="http://schemas.openxmlformats.org/officeDocument/2006/relationships/hyperlink" Target="https://audio.iskcondesiretree.com/01_-_Srila_Prabhupada/01_-_Lectures/01_-_English/02_-_Month_wise/11_-_November/25/SB-03-25-25_1974-11-25_SB-BOMBAY.MP3" TargetMode="External"/><Relationship Id="rId3885" Type="http://schemas.openxmlformats.org/officeDocument/2006/relationships/hyperlink" Target="https://audio.iskcondesiretree.com/01_-_Srila_Prabhupada/01_-_Lectures/01_-_English/02_-_Month_wise/10_-_October/17/Walk_1975-10-17_MW-JOHANNESBURG.MP3" TargetMode="External"/><Relationship Id="rId1223" Type="http://schemas.openxmlformats.org/officeDocument/2006/relationships/hyperlink" Target="https://audio.iskcondesiretree.com/01_-_Srila_Prabhupada/01_-_Lectures/01_-_English/02_-_Month_wise/08_-_August/27/Bg_02-23_LON_1973-08-27_You_Are_a_Sample_of_Krishna.mp3" TargetMode="External"/><Relationship Id="rId2554" Type="http://schemas.openxmlformats.org/officeDocument/2006/relationships/hyperlink" Target="https://audio.iskcondesiretree.com/01_-_Srila_Prabhupada/01_-_Lectures/01_-_English/02_-_Month_wise/11_-_November/25/SB_3-25-25_BOM_1974-11-25_Taste_of_Talks_About_Krishna.mp3" TargetMode="External"/><Relationship Id="rId3884" Type="http://schemas.openxmlformats.org/officeDocument/2006/relationships/hyperlink" Target="https://audio.iskcondesiretree.com/01_-_Srila_Prabhupada/01_-_Lectures/01_-_English/02_-_Month_wise/10_-_October/17/Conv_1975-10-17_R1-JOHANNESBURG.MP3" TargetMode="External"/><Relationship Id="rId2500" Type="http://schemas.openxmlformats.org/officeDocument/2006/relationships/hyperlink" Target="https://audio.iskcondesiretree.com/01_-_Srila_Prabhupada/01_-_Lectures/01_-_English/01_-_Topic_wise/Srimad_Bhagavatam/Canto-03/SP_SB_3-25-08_Bombay_1974-11-08_This_World_Is_Darkness.mp3" TargetMode="External"/><Relationship Id="rId3832" Type="http://schemas.openxmlformats.org/officeDocument/2006/relationships/hyperlink" Target="https://audio.iskcondesiretree.com/01_-_Srila_Prabhupada/01_-_Lectures/01_-_English/01_-_Topic_wise/Various/SP_Lecture_Durban_1975-10-07_At_City_Hall--Sense_Gratification-No_Sense.mp3" TargetMode="External"/><Relationship Id="rId2501" Type="http://schemas.openxmlformats.org/officeDocument/2006/relationships/hyperlink" Target="https://audio.iskcondesiretree.com/01_-_Srila_Prabhupada/01_-_Lectures/01_-_English/02_-_Month_wise/11_-_November/08/SB-03-25-08_1974-11-08_SB-BOMBAY.MP3" TargetMode="External"/><Relationship Id="rId3831" Type="http://schemas.openxmlformats.org/officeDocument/2006/relationships/hyperlink" Target="https://audio.iskcondesiretree.com/01_-_Srila_Prabhupada/01_-_Lectures/01_-_English/02_-_Month_wise/10_-_October/06/Walk_1975-10-06_MW-DURBAN.MP3" TargetMode="External"/><Relationship Id="rId2502" Type="http://schemas.openxmlformats.org/officeDocument/2006/relationships/hyperlink" Target="https://audio.iskcondesiretree.com/01_-_Srila_Prabhupada/01_-_Lectures/01_-_English/02_-_Month_wise/11_-_November/08/SB_3-25-08_BOM_1974-11-08_This_World_Is_Darkness.mp3" TargetMode="External"/><Relationship Id="rId3834" Type="http://schemas.openxmlformats.org/officeDocument/2006/relationships/hyperlink" Target="https://audio.iskcondesiretree.com/01_-_Srila_Prabhupada/01_-_Lectures/01_-_English/02_-_Month_wise/10_-_October/07/Lecture_1975-10-07_LE-DURBAN.MP3" TargetMode="External"/><Relationship Id="rId2503" Type="http://schemas.openxmlformats.org/officeDocument/2006/relationships/hyperlink" Target="https://audio.iskcondesiretree.com/01_-_Srila_Prabhupada/01_-_Lectures/01_-_English/01_-_Topic_wise/Srimad_Bhagavatam/Canto-03/SP_SB_3-25-09_Bombay_1974-11-09_%27Advanced%27_Equals_Ass.mp3" TargetMode="External"/><Relationship Id="rId3833" Type="http://schemas.openxmlformats.org/officeDocument/2006/relationships/hyperlink" Target="https://audio.iskcondesiretree.com/01_-_Srila_Prabhupada/01_-_Lectures/01_-_English/02_-_Month_wise/10_-_October/07/Lect_DUR_1975-10-07_At_City_Hall-Sense_Gratification-No_Sense.mp3" TargetMode="External"/><Relationship Id="rId2504" Type="http://schemas.openxmlformats.org/officeDocument/2006/relationships/hyperlink" Target="https://audio.iskcondesiretree.com/01_-_Srila_Prabhupada/01_-_Lectures/01_-_English/02_-_Month_wise/11_-_November/09/SB-03-25-09_1974-11-09_SB-BOMBAY.MP3" TargetMode="External"/><Relationship Id="rId3836" Type="http://schemas.openxmlformats.org/officeDocument/2006/relationships/hyperlink" Target="https://audio.iskcondesiretree.com/01_-_Srila_Prabhupada/01_-_Lectures/01_-_English/02_-_Month_wise/10_-_October/08/Conv_1975-10-08_R1-DURBAN.MP3" TargetMode="External"/><Relationship Id="rId2505" Type="http://schemas.openxmlformats.org/officeDocument/2006/relationships/hyperlink" Target="https://audio.iskcondesiretree.com/01_-_Srila_Prabhupada/01_-_Lectures/01_-_English/02_-_Month_wise/11_-_November/09/SB_3-25-09_BOM_1974-11-09_Advanced_Equals_Ass.mp3" TargetMode="External"/><Relationship Id="rId3835" Type="http://schemas.openxmlformats.org/officeDocument/2006/relationships/hyperlink" Target="https://audio.iskcondesiretree.com/01_-_Srila_Prabhupada/01_-_Lectures/01_-_English/02_-_Month_wise/10_-_October/07/Walk_1975-10-07_MW-DURBAN.MP3" TargetMode="External"/><Relationship Id="rId2506" Type="http://schemas.openxmlformats.org/officeDocument/2006/relationships/hyperlink" Target="https://audio.iskcondesiretree.com/01_-_Srila_Prabhupada/01_-_Lectures/01_-_English/01_-_Topic_wise/Srimad_Bhagavatam/Canto-03/SP_SB_3-25-10_Bombay_1974-11-10_Get_Free_from_Attachments.mp3" TargetMode="External"/><Relationship Id="rId3838" Type="http://schemas.openxmlformats.org/officeDocument/2006/relationships/hyperlink" Target="https://audio.iskcondesiretree.com/01_-_Srila_Prabhupada/01_-_Lectures/01_-_English/02_-_Month_wise/10_-_October/08/Walk_1975-10-08_MW-DURBAN.MP3" TargetMode="External"/><Relationship Id="rId2507" Type="http://schemas.openxmlformats.org/officeDocument/2006/relationships/hyperlink" Target="https://audio.iskcondesiretree.com/01_-_Srila_Prabhupada/01_-_Lectures/01_-_English/02_-_Month_wise/11_-_November/10/SB-03-25-10_1974-11-10_SB-BOMBAY.MP3" TargetMode="External"/><Relationship Id="rId3837" Type="http://schemas.openxmlformats.org/officeDocument/2006/relationships/hyperlink" Target="https://audio.iskcondesiretree.com/01_-_Srila_Prabhupada/01_-_Lectures/01_-_English/02_-_Month_wise/10_-_October/08/Conv_1975-10-08_R2-DURBAN.MP3" TargetMode="External"/><Relationship Id="rId2508" Type="http://schemas.openxmlformats.org/officeDocument/2006/relationships/hyperlink" Target="https://audio.iskcondesiretree.com/01_-_Srila_Prabhupada/01_-_Lectures/01_-_English/02_-_Month_wise/11_-_November/10/SB_3-25-10_BOM_1974-11-10_Get_Free_from_Attachments.mp3" TargetMode="External"/><Relationship Id="rId2509" Type="http://schemas.openxmlformats.org/officeDocument/2006/relationships/hyperlink" Target="https://audio.iskcondesiretree.com/01_-_Srila_Prabhupada/01_-_Lectures/01_-_English/01_-_Topic_wise/Srimad_Bhagavatam/Canto-03/SP_SB_3-25-11_Bombay_1974-11-11_Even_Expert_Swimmers_Struggle.mp3" TargetMode="External"/><Relationship Id="rId3839" Type="http://schemas.openxmlformats.org/officeDocument/2006/relationships/hyperlink" Target="https://audio.iskcondesiretree.com/01_-_Srila_Prabhupada/01_-_Lectures/01_-_English/01_-_Topic_wise/Bhagavad_Gita/Chapter-07/SP_BG_07-01_Durban_1975-10-09_Relatively_Dirty_or_Absolutely_Clean.mp3" TargetMode="External"/><Relationship Id="rId3830" Type="http://schemas.openxmlformats.org/officeDocument/2006/relationships/hyperlink" Target="https://audio.iskcondesiretree.com/01_-_Srila_Prabhupada/01_-_Lectures/01_-_English/02_-_Month_wise/10_-_October/05/Walk_1975-10-05_MW-MAURITIUS.MP3" TargetMode="External"/><Relationship Id="rId3821" Type="http://schemas.openxmlformats.org/officeDocument/2006/relationships/hyperlink" Target="https://audio.iskcondesiretree.com/01_-_Srila_Prabhupada/01_-_Lectures/01_-_English/02_-_Month_wise/10_-_October/04/Walk_1975-10-04_MW-MAURITIUS.MP3" TargetMode="External"/><Relationship Id="rId3820" Type="http://schemas.openxmlformats.org/officeDocument/2006/relationships/hyperlink" Target="https://audio.iskcondesiretree.com/01_-_Srila_Prabhupada/01_-_Lectures/01_-_English/02_-_Month_wise/10_-_October/04/SB_7-05-31_MAU_1975-10-04_Books_for_the_Blind.mp3" TargetMode="External"/><Relationship Id="rId3823" Type="http://schemas.openxmlformats.org/officeDocument/2006/relationships/hyperlink" Target="https://audio.iskcondesiretree.com/01_-_Srila_Prabhupada/01_-_Lectures/01_-_English/01_-_Topic_wise/Room_Conversation/SP_Room_Conversation_Mauritius_1975-10-05_Blueprint_for_a_Blissful_Life.mp3" TargetMode="External"/><Relationship Id="rId3822" Type="http://schemas.openxmlformats.org/officeDocument/2006/relationships/hyperlink" Target="https://audio.iskcondesiretree.com/01_-_Srila_Prabhupada/01_-_Lectures/01_-_English/01_-_Topic_wise/Morning_Walk/SP_Morning_Walk_-_Mauritius_1975-10-05_Human_Life-Don%27t_Miss_the_Boat.mp3" TargetMode="External"/><Relationship Id="rId3825" Type="http://schemas.openxmlformats.org/officeDocument/2006/relationships/hyperlink" Target="https://audio.iskcondesiretree.com/01_-_Srila_Prabhupada/01_-_Lectures/01_-_English/02_-_Month_wise/10_-_October/05/Conv_1975-10-05_R1-MAURITIUS.MP3" TargetMode="External"/><Relationship Id="rId3824" Type="http://schemas.openxmlformats.org/officeDocument/2006/relationships/hyperlink" Target="https://audio.iskcondesiretree.com/01_-_Srila_Prabhupada/01_-_Lectures/01_-_English/01_-_Topic_wise/Srimad_Bhagavatam/Canto-01/SP_SB_1-02-06_Mauritius_1975-10-05_Our_Superior_Engagement.mp3" TargetMode="External"/><Relationship Id="rId3827" Type="http://schemas.openxmlformats.org/officeDocument/2006/relationships/hyperlink" Target="https://audio.iskcondesiretree.com/01_-_Srila_Prabhupada/01_-_Lectures/01_-_English/02_-_Month_wise/10_-_October/05/RC_MAU_1975-10-05_Blueprint_for_a_Blissful_Life.mp3" TargetMode="External"/><Relationship Id="rId3826" Type="http://schemas.openxmlformats.org/officeDocument/2006/relationships/hyperlink" Target="https://audio.iskcondesiretree.com/01_-_Srila_Prabhupada/01_-_Lectures/01_-_English/02_-_Month_wise/10_-_October/05/MW_MAU_1975-10-05_Human_Life-Don%27t_Miss_the_Boat.mp3" TargetMode="External"/><Relationship Id="rId3829" Type="http://schemas.openxmlformats.org/officeDocument/2006/relationships/hyperlink" Target="https://audio.iskcondesiretree.com/01_-_Srila_Prabhupada/01_-_Lectures/01_-_English/02_-_Month_wise/10_-_October/05/SB_1-02-06_MAU_1975-10-05_Our_Superior_Engagement.mp3" TargetMode="External"/><Relationship Id="rId3828" Type="http://schemas.openxmlformats.org/officeDocument/2006/relationships/hyperlink" Target="https://audio.iskcondesiretree.com/01_-_Srila_Prabhupada/01_-_Lectures/01_-_English/02_-_Month_wise/10_-_October/05/SB-01-02-06_1975-10-05_SB-MAURITIUS.MP3" TargetMode="External"/><Relationship Id="rId6094" Type="http://schemas.openxmlformats.org/officeDocument/2006/relationships/hyperlink" Target="https://audio.iskcondesiretree.com/01_-_Srila_Prabhupada/01_-_Lectures/01_-_English/01_-_Topic_wise/Krishna_Book/SP_Krsna_Book_Dict_50_-_Krishna_Erects_the_Dvaraka_Fort.mp3" TargetMode="External"/><Relationship Id="rId6095" Type="http://schemas.openxmlformats.org/officeDocument/2006/relationships/hyperlink" Target="https://audio.iskcondesiretree.com/01_-_Srila_Prabhupada/01_-_Lectures/01_-_English/01_-_Topic_wise/Krishna_Book/SP_Krsna_Book_Dict_51_-_The_Deliverance_of_Mucukunda.mp3" TargetMode="External"/><Relationship Id="rId6092" Type="http://schemas.openxmlformats.org/officeDocument/2006/relationships/hyperlink" Target="https://audio.iskcondesiretree.com/01_-_Srila_Prabhupada/01_-_Lectures/01_-_English/01_-_Topic_wise/Krishna_Book/SP_Krsna_Book_Dict_48_-_Krishna_Pleases_His_Devotees.mp3" TargetMode="External"/><Relationship Id="rId6093" Type="http://schemas.openxmlformats.org/officeDocument/2006/relationships/hyperlink" Target="https://audio.iskcondesiretree.com/01_-_Srila_Prabhupada/01_-_Lectures/01_-_English/01_-_Topic_wise/Krishna_Book/SP_Krsna_Book_Dict_49_-_Ill-Motivated_Dhrtarastra.mp3" TargetMode="External"/><Relationship Id="rId6098" Type="http://schemas.openxmlformats.org/officeDocument/2006/relationships/hyperlink" Target="https://audio.iskcondesiretree.com/01_-_Srila_Prabhupada/01_-_Lectures/01_-_English/01_-_Topic_wise/Krishna_Book/SP_Krsna_Book_Dict_54_-_Krishna_Defeats_All_Princes.mp3" TargetMode="External"/><Relationship Id="rId6099" Type="http://schemas.openxmlformats.org/officeDocument/2006/relationships/hyperlink" Target="https://audio.iskcondesiretree.com/01_-_Srila_Prabhupada/01_-_Lectures/01_-_English/01_-_Topic_wise/Krishna_Book/SP_Krsna_Book_Dict_55_-_Pradyumna_Born_To_Krishna.mp3" TargetMode="External"/><Relationship Id="rId6096" Type="http://schemas.openxmlformats.org/officeDocument/2006/relationships/hyperlink" Target="https://audio.iskcondesiretree.com/01_-_Srila_Prabhupada/01_-_Lectures/01_-_English/01_-_Topic_wise/Krishna_Book/SP_Krsna_Book_Dict_52_-_Krishna%2C_the_Ranchor.mp3" TargetMode="External"/><Relationship Id="rId6097" Type="http://schemas.openxmlformats.org/officeDocument/2006/relationships/hyperlink" Target="https://audio.iskcondesiretree.com/01_-_Srila_Prabhupada/01_-_Lectures/01_-_English/01_-_Topic_wise/Krishna_Book/SP_Krsna_Book_Dict_53_-_Krishna_Kidnaps_Rukmini.mp3" TargetMode="External"/><Relationship Id="rId2522" Type="http://schemas.openxmlformats.org/officeDocument/2006/relationships/hyperlink" Target="https://audio.iskcondesiretree.com/01_-_Srila_Prabhupada/01_-_Lectures/01_-_English/02_-_Month_wise/11_-_November/15/SB-03-25-15_1974-11-15_SB-BOMBAY.MP3" TargetMode="External"/><Relationship Id="rId3854" Type="http://schemas.openxmlformats.org/officeDocument/2006/relationships/hyperlink" Target="https://audio.iskcondesiretree.com/01_-_Srila_Prabhupada/01_-_Lectures/01_-_English/01_-_Topic_wise/Room_Conversation/SP_Room_Conversation_Durban_1975-10-13_Why_No_More_Men_from_Apes.mp3" TargetMode="External"/><Relationship Id="rId2523" Type="http://schemas.openxmlformats.org/officeDocument/2006/relationships/hyperlink" Target="https://audio.iskcondesiretree.com/01_-_Srila_Prabhupada/01_-_Lectures/01_-_English/02_-_Month_wise/11_-_November/15/SB_3-25-15_BOM_1974-11-15_Conditioned_or_Krishnized.mp3" TargetMode="External"/><Relationship Id="rId3853" Type="http://schemas.openxmlformats.org/officeDocument/2006/relationships/hyperlink" Target="https://audio.iskcondesiretree.com/01_-_Srila_Prabhupada/01_-_Lectures/01_-_English/01_-_Topic_wise/Morning_Walk/SP_Morning_Walk_-_Durban_1975-10-13_Modern_Primitives.mp3" TargetMode="External"/><Relationship Id="rId2524" Type="http://schemas.openxmlformats.org/officeDocument/2006/relationships/hyperlink" Target="https://audio.iskcondesiretree.com/01_-_Srila_Prabhupada/01_-_Lectures/01_-_English/01_-_Topic_wise/Srimad_Bhagavatam/Canto-03/SP_SB_3-25-16_Bombay_1974-11-16_Mind_Is_Covered_by_Dirty_Things.mp3" TargetMode="External"/><Relationship Id="rId3856" Type="http://schemas.openxmlformats.org/officeDocument/2006/relationships/hyperlink" Target="https://audio.iskcondesiretree.com/01_-_Srila_Prabhupada/01_-_Lectures/01_-_English/02_-_Month_wise/10_-_October/13/Bg_13-01_DUR_1975-10-13_The_Rented_House.mp3" TargetMode="External"/><Relationship Id="rId2525" Type="http://schemas.openxmlformats.org/officeDocument/2006/relationships/hyperlink" Target="https://audio.iskcondesiretree.com/01_-_Srila_Prabhupada/01_-_Lectures/01_-_English/02_-_Month_wise/11_-_November/16/SB-03-25-16_1974-11-16_SB-BOMBAY.MP3" TargetMode="External"/><Relationship Id="rId3855" Type="http://schemas.openxmlformats.org/officeDocument/2006/relationships/hyperlink" Target="https://audio.iskcondesiretree.com/01_-_Srila_Prabhupada/01_-_Lectures/01_-_English/02_-_Month_wise/10_-_October/13/Bg-13-01%E2%80%9303_1975-10-13_BG-DURBAN.MP3" TargetMode="External"/><Relationship Id="rId2526" Type="http://schemas.openxmlformats.org/officeDocument/2006/relationships/hyperlink" Target="https://audio.iskcondesiretree.com/01_-_Srila_Prabhupada/01_-_Lectures/01_-_English/02_-_Month_wise/11_-_November/16/SB_3-25-16_BOM_1974-11-16_Mind_Is_Covered_by_Dirty_Things.mp3" TargetMode="External"/><Relationship Id="rId3858" Type="http://schemas.openxmlformats.org/officeDocument/2006/relationships/hyperlink" Target="https://audio.iskcondesiretree.com/01_-_Srila_Prabhupada/01_-_Lectures/01_-_English/02_-_Month_wise/10_-_October/13/MW_DUR_1975-10-13_Modern_Primitives.mp3" TargetMode="External"/><Relationship Id="rId2527" Type="http://schemas.openxmlformats.org/officeDocument/2006/relationships/hyperlink" Target="https://audio.iskcondesiretree.com/01_-_Srila_Prabhupada/01_-_Lectures/01_-_English/01_-_Topic_wise/Srimad_Bhagavatam/Canto-03/SP_SB_3-25-17_Bombay_1974-11-17_Seeing_the_Real_Person.mp3" TargetMode="External"/><Relationship Id="rId3857" Type="http://schemas.openxmlformats.org/officeDocument/2006/relationships/hyperlink" Target="https://audio.iskcondesiretree.com/01_-_Srila_Prabhupada/01_-_Lectures/01_-_English/02_-_Month_wise/10_-_October/13/Conv_1975-10-13_CR-DURBAN.MP3" TargetMode="External"/><Relationship Id="rId2528" Type="http://schemas.openxmlformats.org/officeDocument/2006/relationships/hyperlink" Target="https://audio.iskcondesiretree.com/01_-_Srila_Prabhupada/01_-_Lectures/01_-_English/02_-_Month_wise/11_-_November/17/SB-03-25-17_1974-11-17_SB-BOMBAY.MP3" TargetMode="External"/><Relationship Id="rId2529" Type="http://schemas.openxmlformats.org/officeDocument/2006/relationships/hyperlink" Target="https://audio.iskcondesiretree.com/01_-_Srila_Prabhupada/01_-_Lectures/01_-_English/02_-_Month_wise/11_-_November/17/SB_3-25-17_BOM_1974-11-17_Seeing_the_Real_Person.mp3" TargetMode="External"/><Relationship Id="rId3859" Type="http://schemas.openxmlformats.org/officeDocument/2006/relationships/hyperlink" Target="https://audio.iskcondesiretree.com/01_-_Srila_Prabhupada/01_-_Lectures/01_-_English/02_-_Month_wise/10_-_October/13/RC_DUR_1975-10-13_Why_No_More_Men_from_Apes.mp3" TargetMode="External"/><Relationship Id="rId3850" Type="http://schemas.openxmlformats.org/officeDocument/2006/relationships/hyperlink" Target="https://audio.iskcondesiretree.com/01_-_Srila_Prabhupada/01_-_Lectures/01_-_English/02_-_Month_wise/10_-_October/12/Walk_1975-10-12_MW-DURBAN.MP3" TargetMode="External"/><Relationship Id="rId2520" Type="http://schemas.openxmlformats.org/officeDocument/2006/relationships/hyperlink" Target="https://audio.iskcondesiretree.com/01_-_Srila_Prabhupada/01_-_Lectures/01_-_English/02_-_Month_wise/11_-_November/14/SB_3-25-14_BOM_1974-11-14_Relief_from_the_Poison-Fire.mp3" TargetMode="External"/><Relationship Id="rId3852" Type="http://schemas.openxmlformats.org/officeDocument/2006/relationships/hyperlink" Target="https://audio.iskcondesiretree.com/01_-_Srila_Prabhupada/01_-_Lectures/01_-_English/01_-_Topic_wise/Bhagavad_Gita/Chapter-13/SP_BG_13-01_Durban_1975-10-13_The_Rented_House.mp3" TargetMode="External"/><Relationship Id="rId2521" Type="http://schemas.openxmlformats.org/officeDocument/2006/relationships/hyperlink" Target="https://audio.iskcondesiretree.com/01_-_Srila_Prabhupada/01_-_Lectures/01_-_English/01_-_Topic_wise/Srimad_Bhagavatam/Canto-03/SP_SB_3-25-15_Bombay_1974-11-15_Conditioned_or_Krishnized.mp3" TargetMode="External"/><Relationship Id="rId3851" Type="http://schemas.openxmlformats.org/officeDocument/2006/relationships/hyperlink" Target="https://audio.iskcondesiretree.com/01_-_Srila_Prabhupada/01_-_Lectures/01_-_English/01_-_Topic_wise/Bhagavad_Gita/Chapter-13/SP_BG_13-01-02_Durban_1975-10-13_The_Rented_House.MP3" TargetMode="External"/><Relationship Id="rId2511" Type="http://schemas.openxmlformats.org/officeDocument/2006/relationships/hyperlink" Target="https://audio.iskcondesiretree.com/01_-_Srila_Prabhupada/01_-_Lectures/01_-_English/02_-_Month_wise/11_-_November/11/SB_3-25-11_BOM_1974-11-11_Even_Expert_Swimmers_Struggle.mp3" TargetMode="External"/><Relationship Id="rId3843" Type="http://schemas.openxmlformats.org/officeDocument/2006/relationships/hyperlink" Target="https://audio.iskcondesiretree.com/01_-_Srila_Prabhupada/01_-_Lectures/01_-_English/01_-_Topic_wise/Room_Conversation/SP_Room_Conversation_Durban_1975-10-10_Prof--This_Body_Is_Always_Dead.mp3" TargetMode="External"/><Relationship Id="rId2512" Type="http://schemas.openxmlformats.org/officeDocument/2006/relationships/hyperlink" Target="https://audio.iskcondesiretree.com/01_-_Srila_Prabhupada/01_-_Lectures/01_-_English/01_-_Topic_wise/Srimad_Bhagavatam/Canto-03/SP_SB_3-25-12_Bombay_1974-11-12_Village_Talk-Vaikuntha_Talk.mp3" TargetMode="External"/><Relationship Id="rId3842" Type="http://schemas.openxmlformats.org/officeDocument/2006/relationships/hyperlink" Target="https://audio.iskcondesiretree.com/01_-_Srila_Prabhupada/01_-_Lectures/01_-_English/02_-_Month_wise/10_-_October/09/Walk_1975-10-09_MW-DURBAN.MP3" TargetMode="External"/><Relationship Id="rId2513" Type="http://schemas.openxmlformats.org/officeDocument/2006/relationships/hyperlink" Target="https://audio.iskcondesiretree.com/01_-_Srila_Prabhupada/01_-_Lectures/01_-_English/02_-_Month_wise/11_-_November/12/SB-03-25-12_1974-11-12_SB-BOMBAY.MP3" TargetMode="External"/><Relationship Id="rId3845" Type="http://schemas.openxmlformats.org/officeDocument/2006/relationships/hyperlink" Target="https://audio.iskcondesiretree.com/01_-_Srila_Prabhupada/01_-_Lectures/01_-_English/02_-_Month_wise/10_-_October/10/RC_DUR_1975-10-10_Prof-This_Body_Is_Always_Dead.mp3" TargetMode="External"/><Relationship Id="rId2514" Type="http://schemas.openxmlformats.org/officeDocument/2006/relationships/hyperlink" Target="https://audio.iskcondesiretree.com/01_-_Srila_Prabhupada/01_-_Lectures/01_-_English/02_-_Month_wise/11_-_November/12/SB_3-25-12_BOM_1974-11-12_Village_Talk-Vaikuntha_Talk.mp3" TargetMode="External"/><Relationship Id="rId3844" Type="http://schemas.openxmlformats.org/officeDocument/2006/relationships/hyperlink" Target="https://audio.iskcondesiretree.com/01_-_Srila_Prabhupada/01_-_Lectures/01_-_English/02_-_Month_wise/10_-_October/10/Conv_1975-10-10_R1-DURBAN.MP3" TargetMode="External"/><Relationship Id="rId2515" Type="http://schemas.openxmlformats.org/officeDocument/2006/relationships/hyperlink" Target="https://audio.iskcondesiretree.com/01_-_Srila_Prabhupada/01_-_Lectures/01_-_English/01_-_Topic_wise/Srimad_Bhagavatam/Canto-03/SP_SB_3-25-13_Bombay_1974-11-13_Above_Happiness_and_Distress.mp3" TargetMode="External"/><Relationship Id="rId3847" Type="http://schemas.openxmlformats.org/officeDocument/2006/relationships/hyperlink" Target="https://audio.iskcondesiretree.com/01_-_Srila_Prabhupada/01_-_Lectures/01_-_English/01_-_Topic_wise/Various/SP_Lecture_Durban_1975-10-11_Happiness_on_the_Planet_of_Misery.mp3" TargetMode="External"/><Relationship Id="rId2516" Type="http://schemas.openxmlformats.org/officeDocument/2006/relationships/hyperlink" Target="https://audio.iskcondesiretree.com/01_-_Srila_Prabhupada/01_-_Lectures/01_-_English/02_-_Month_wise/11_-_November/13/SB-03-25-13_1974-11-13_SB-BOMBAY.MP3" TargetMode="External"/><Relationship Id="rId3846" Type="http://schemas.openxmlformats.org/officeDocument/2006/relationships/hyperlink" Target="https://audio.iskcondesiretree.com/01_-_Srila_Prabhupada/01_-_Lectures/01_-_English/02_-_Month_wise/10_-_October/10/Walk_1975-10-10_MW-DURBAN.MP3" TargetMode="External"/><Relationship Id="rId2517" Type="http://schemas.openxmlformats.org/officeDocument/2006/relationships/hyperlink" Target="https://audio.iskcondesiretree.com/01_-_Srila_Prabhupada/01_-_Lectures/01_-_English/02_-_Month_wise/11_-_November/13/SB_3-25-13_BOM_1974-11-13_Above_Happiness_and_Distress.mp3" TargetMode="External"/><Relationship Id="rId3849" Type="http://schemas.openxmlformats.org/officeDocument/2006/relationships/hyperlink" Target="https://audio.iskcondesiretree.com/01_-_Srila_Prabhupada/01_-_Lectures/01_-_English/02_-_Month_wise/10_-_October/11/Lect_DUR_1975-10-11_Happiness_on_the_Planet_of_Misery.mp3" TargetMode="External"/><Relationship Id="rId2518" Type="http://schemas.openxmlformats.org/officeDocument/2006/relationships/hyperlink" Target="https://audio.iskcondesiretree.com/01_-_Srila_Prabhupada/01_-_Lectures/01_-_English/01_-_Topic_wise/Srimad_Bhagavatam/Canto-03/SP_SB_3-25-14_Bombay_1974-11-14_Relief_from_the_Poison-Fire.mp3" TargetMode="External"/><Relationship Id="rId3848" Type="http://schemas.openxmlformats.org/officeDocument/2006/relationships/hyperlink" Target="https://audio.iskcondesiretree.com/01_-_Srila_Prabhupada/01_-_Lectures/01_-_English/02_-_Month_wise/10_-_October/11/Bg-18-45_1975-10-11_BG-DURBAN.MP3" TargetMode="External"/><Relationship Id="rId2519" Type="http://schemas.openxmlformats.org/officeDocument/2006/relationships/hyperlink" Target="https://audio.iskcondesiretree.com/01_-_Srila_Prabhupada/01_-_Lectures/01_-_English/02_-_Month_wise/11_-_November/14/SB-03-25-14_1974-11-14_SB-BOMBAY.MP3" TargetMode="External"/><Relationship Id="rId3841" Type="http://schemas.openxmlformats.org/officeDocument/2006/relationships/hyperlink" Target="https://audio.iskcondesiretree.com/01_-_Srila_Prabhupada/01_-_Lectures/01_-_English/02_-_Month_wise/10_-_October/09/Bg_07-01_DUR_1975-10-09_Relatively_Dirty_or_Absolutely_Clean.mp3" TargetMode="External"/><Relationship Id="rId2510" Type="http://schemas.openxmlformats.org/officeDocument/2006/relationships/hyperlink" Target="https://audio.iskcondesiretree.com/01_-_Srila_Prabhupada/01_-_Lectures/01_-_English/02_-_Month_wise/11_-_November/11/SB-03-25-11_1974-11-11_SB-BOMBAY.MP3" TargetMode="External"/><Relationship Id="rId3840" Type="http://schemas.openxmlformats.org/officeDocument/2006/relationships/hyperlink" Target="https://audio.iskcondesiretree.com/01_-_Srila_Prabhupada/01_-_Lectures/01_-_English/02_-_Month_wise/10_-_October/09/Bg-07-01_1975-10-09_BG-DURBAN.MP3" TargetMode="External"/><Relationship Id="rId1290" Type="http://schemas.openxmlformats.org/officeDocument/2006/relationships/hyperlink" Target="https://audio.iskcondesiretree.com/01_-_Srila_Prabhupada/01_-_Lectures/01_-_English/02_-_Month_wise/09_-_September/25/Lect_BOM_1973-09-25_To_Lifemembers-Goloka_VRN_Is_Everywhere.mp3" TargetMode="External"/><Relationship Id="rId1291" Type="http://schemas.openxmlformats.org/officeDocument/2006/relationships/hyperlink" Target="https://audio.iskcondesiretree.com/01_-_Srila_Prabhupada/01_-_Lectures/01_-_English/01_-_Topic_wise/Bhagavad_Gita/Chapter-13/SP_BG_13-03_Bombay_1973-09-26_Forgotten_That_We_Are_Spirit.mp3" TargetMode="External"/><Relationship Id="rId1292" Type="http://schemas.openxmlformats.org/officeDocument/2006/relationships/hyperlink" Target="https://audio.iskcondesiretree.com/01_-_Srila_Prabhupada/01_-_Lectures/01_-_English/02_-_Month_wise/09_-_September/26/Bg_13-03_BOM_1973-09-26_Forgotten_That_We_Are_Spirit.mp3" TargetMode="External"/><Relationship Id="rId1293" Type="http://schemas.openxmlformats.org/officeDocument/2006/relationships/hyperlink" Target="https://audio.iskcondesiretree.com/01_-_Srila_Prabhupada/01_-_Lectures/01_-_English/01_-_Topic_wise/Bhagavad_Gita/Chapter-13/SP_BG_13-04_Bombay_1973-09-27_The_Witness_and_the_Wanderer.mp3" TargetMode="External"/><Relationship Id="rId1294" Type="http://schemas.openxmlformats.org/officeDocument/2006/relationships/hyperlink" Target="https://audio.iskcondesiretree.com/01_-_Srila_Prabhupada/01_-_Lectures/01_-_English/02_-_Month_wise/09_-_September/27/Bg_13-04_BOM_1973-09-27_The_Witness_and_the_Wanderer.mp3" TargetMode="External"/><Relationship Id="rId1295" Type="http://schemas.openxmlformats.org/officeDocument/2006/relationships/hyperlink" Target="https://audio.iskcondesiretree.com/01_-_Srila_Prabhupada/01_-_Lectures/01_-_English/01_-_Topic_wise/Bhagavad_Gita/Chapter-13/SP_BG_13-05_Bombay_1973-09-28_The_Process_of_Progress.mp3" TargetMode="External"/><Relationship Id="rId1296" Type="http://schemas.openxmlformats.org/officeDocument/2006/relationships/hyperlink" Target="https://audio.iskcondesiretree.com/01_-_Srila_Prabhupada/01_-_Lectures/01_-_English/02_-_Month_wise/09_-_September/28/Bg_13-05_BOM_1973-09-28_The_Process_of_Progress.mp3" TargetMode="External"/><Relationship Id="rId1297" Type="http://schemas.openxmlformats.org/officeDocument/2006/relationships/hyperlink" Target="https://audio.iskcondesiretree.com/01_-_Srila_Prabhupada/01_-_Lectures/01_-_English/01_-_Topic_wise/Bhagavad_Gita/Chapter-13/SP_BG_13-06-07_Bombay_1973-09-29_Surrender_to_the_Supreme_Person.mp3" TargetMode="External"/><Relationship Id="rId1298" Type="http://schemas.openxmlformats.org/officeDocument/2006/relationships/hyperlink" Target="https://audio.iskcondesiretree.com/01_-_Srila_Prabhupada/01_-_Lectures/01_-_English/01_-_Topic_wise/Bhagavad_Gita/Chapter-13/SP_BG_13-06_Bombay_1973-09-29_Nothing_Is_Material.mp3" TargetMode="External"/><Relationship Id="rId1299" Type="http://schemas.openxmlformats.org/officeDocument/2006/relationships/hyperlink" Target="https://audio.iskcondesiretree.com/01_-_Srila_Prabhupada/01_-_Lectures/01_-_English/02_-_Month_wise/09_-_September/29/Bg_13-06_BOM_1973-09-29_Nothing_Is_Material.mp3" TargetMode="External"/><Relationship Id="rId1280" Type="http://schemas.openxmlformats.org/officeDocument/2006/relationships/hyperlink" Target="https://audio.iskcondesiretree.com/01_-_Srila_Prabhupada/01_-_Lectures/01_-_English/01_-_Topic_wise/Bhagavad_Gita/Chapter-02/SP_BG_02-39_London_1973-09-12_Supreme_Deceiver_and_Lover.mp3" TargetMode="External"/><Relationship Id="rId1281" Type="http://schemas.openxmlformats.org/officeDocument/2006/relationships/hyperlink" Target="https://audio.iskcondesiretree.com/01_-_Srila_Prabhupada/01_-_Lectures/01_-_English/01_-_Topic_wise/Srimad_Bhagavatam/Canto-01/SP_SB_1-05-11_London_1973-09-12_Great_Books_for_a_Gross_Age.mp3" TargetMode="External"/><Relationship Id="rId1282" Type="http://schemas.openxmlformats.org/officeDocument/2006/relationships/hyperlink" Target="https://audio.iskcondesiretree.com/01_-_Srila_Prabhupada/01_-_Lectures/01_-_English/02_-_Month_wise/09_-_September/12/Bg_02-39_LON_1973-09-12_Supreme_Deceiver_and_Lover.mp3" TargetMode="External"/><Relationship Id="rId1283" Type="http://schemas.openxmlformats.org/officeDocument/2006/relationships/hyperlink" Target="https://audio.iskcondesiretree.com/01_-_Srila_Prabhupada/01_-_Lectures/01_-_English/02_-_Month_wise/09_-_September/12/SB_1-05-11_LON_1973-09-12_Great_Books_for_a_Gross_Age.mp3" TargetMode="External"/><Relationship Id="rId1284" Type="http://schemas.openxmlformats.org/officeDocument/2006/relationships/hyperlink" Target="https://audio.iskcondesiretree.com/01_-_Srila_Prabhupada/01_-_Lectures/01_-_English/01_-_Topic_wise/Bhagavad_Gita/Chapter-13/SP_BG_13-01_Bombay_1973-09-24_Material_Happiness_Is_Not_All.mp3" TargetMode="External"/><Relationship Id="rId1285" Type="http://schemas.openxmlformats.org/officeDocument/2006/relationships/hyperlink" Target="https://audio.iskcondesiretree.com/01_-_Srila_Prabhupada/01_-_Lectures/01_-_English/02_-_Month_wise/09_-_September/24/Bg_13-01_BOM_1973-09-24_Material_Happiness_Is_Not_All.mp3" TargetMode="External"/><Relationship Id="rId1286" Type="http://schemas.openxmlformats.org/officeDocument/2006/relationships/hyperlink" Target="https://audio.iskcondesiretree.com/01_-_Srila_Prabhupada/01_-_Lectures/01_-_English/01_-_Topic_wise/Bhagavad_Gita/Chapter-13/SP_BG_13-01-02_Bombay_1973-09-25_Knowing_Self_Bodily_%27Land%27--etc.mp3" TargetMode="External"/><Relationship Id="rId1287" Type="http://schemas.openxmlformats.org/officeDocument/2006/relationships/hyperlink" Target="https://audio.iskcondesiretree.com/01_-_Srila_Prabhupada/01_-_Lectures/01_-_English/01_-_Topic_wise/Bhagavad_Gita/Chapter-13/SP_BG_13-01_Bombay_1973-09-25_Knowing_Self_Bodily_%27Land%27--etc.mp3" TargetMode="External"/><Relationship Id="rId1288" Type="http://schemas.openxmlformats.org/officeDocument/2006/relationships/hyperlink" Target="https://audio.iskcondesiretree.com/01_-_Srila_Prabhupada/01_-_Lectures/01_-_English/01_-_Topic_wise/Various/SP_Lecture_Bombay_1973-09-25_To_Lifemembers--Goloka_Vrindavan_Is_Everywhere.mp3" TargetMode="External"/><Relationship Id="rId1289" Type="http://schemas.openxmlformats.org/officeDocument/2006/relationships/hyperlink" Target="https://audio.iskcondesiretree.com/01_-_Srila_Prabhupada/01_-_Lectures/01_-_English/02_-_Month_wise/09_-_September/25/Bg_13-01_BOM_1973-09-25_Knowing_Self%2C_Bodily_Land_etc.mp3" TargetMode="External"/><Relationship Id="rId1257" Type="http://schemas.openxmlformats.org/officeDocument/2006/relationships/hyperlink" Target="https://audio.iskcondesiretree.com/01_-_Srila_Prabhupada/01_-_Lectures/01_-_English/02_-_Month_wise/09_-_September/06/SB_5-05-01_STO_1973-09-06_%27Isms%27_Are_Sense_Gratification.mp3" TargetMode="External"/><Relationship Id="rId2588" Type="http://schemas.openxmlformats.org/officeDocument/2006/relationships/hyperlink" Target="https://audio.iskcondesiretree.com/01_-_Srila_Prabhupada/01_-_Lectures/01_-_English/01_-_Topic_wise/Srimad_Bhagavatam/Canto-03/SP_SB_3-25-38_Bombay_1974-12-07_Krishna%27s_Service-Absolute_Delight.mp3" TargetMode="External"/><Relationship Id="rId1258" Type="http://schemas.openxmlformats.org/officeDocument/2006/relationships/hyperlink" Target="https://audio.iskcondesiretree.com/01_-_Srila_Prabhupada/01_-_Lectures/01_-_English/01_-_Topic_wise/Bhagavad_Gita/Chapter-13/SP_BG_13-01-02_Stockholm_1973-09-07_At_University_Nature_the--etc.mp3" TargetMode="External"/><Relationship Id="rId2589" Type="http://schemas.openxmlformats.org/officeDocument/2006/relationships/hyperlink" Target="https://audio.iskcondesiretree.com/01_-_Srila_Prabhupada/01_-_Lectures/01_-_English/02_-_Month_wise/12_-_December/07/SB-03-25-38_1974-12-07_SB-BOMBAY.MP3" TargetMode="External"/><Relationship Id="rId1259" Type="http://schemas.openxmlformats.org/officeDocument/2006/relationships/hyperlink" Target="https://audio.iskcondesiretree.com/01_-_Srila_Prabhupada/01_-_Lectures/01_-_English/01_-_Topic_wise/Srimad_Bhagavatam/Canto-05/SP_SB_5-05-01_Stockholm_1973-09-07_Horrible_Civilization-Going_to_Hell.mp3" TargetMode="External"/><Relationship Id="rId2580" Type="http://schemas.openxmlformats.org/officeDocument/2006/relationships/hyperlink" Target="https://audio.iskcondesiretree.com/01_-_Srila_Prabhupada/01_-_Lectures/01_-_English/02_-_Month_wise/12_-_December/04/SB-03-25-35_1974-12-04_SB-BOMBAY.MP3" TargetMode="External"/><Relationship Id="rId1250" Type="http://schemas.openxmlformats.org/officeDocument/2006/relationships/hyperlink" Target="https://audio.iskcondesiretree.com/01_-_Srila_Prabhupada/01_-_Lectures/01_-_English/01_-_Topic_wise/Arrival_Address/SP_Arrival_Stockholm_1973-09-05_Complete_Freedom.mp3" TargetMode="External"/><Relationship Id="rId2581" Type="http://schemas.openxmlformats.org/officeDocument/2006/relationships/hyperlink" Target="https://audio.iskcondesiretree.com/01_-_Srila_Prabhupada/01_-_Lectures/01_-_English/02_-_Month_wise/12_-_December/04/SB_3-25-35_BOM_1974-12-04_Eager_to_Talk_with_Krishna.mp3" TargetMode="External"/><Relationship Id="rId1251" Type="http://schemas.openxmlformats.org/officeDocument/2006/relationships/hyperlink" Target="https://audio.iskcondesiretree.com/01_-_Srila_Prabhupada/01_-_Lectures/01_-_English/01_-_Topic_wise/Festivals/SP_Festivals_London_1973-09-05_Appearance_Day_of_Srimati_Radharani.mp3" TargetMode="External"/><Relationship Id="rId2582" Type="http://schemas.openxmlformats.org/officeDocument/2006/relationships/hyperlink" Target="https://audio.iskcondesiretree.com/01_-_Srila_Prabhupada/01_-_Lectures/01_-_English/01_-_Topic_wise/Srimad_Bhagavatam/Canto-03/SP_SB_3-25-36_Bombay_1974-12-05_The_Lord_Is_Charming.mp3" TargetMode="External"/><Relationship Id="rId1252" Type="http://schemas.openxmlformats.org/officeDocument/2006/relationships/hyperlink" Target="https://audio.iskcondesiretree.com/01_-_Srila_Prabhupada/01_-_Lectures/01_-_English/02_-_Month_wise/09_-_September/05/Arr_STO_1973-09-05_Complete_Freedom.mp3" TargetMode="External"/><Relationship Id="rId2583" Type="http://schemas.openxmlformats.org/officeDocument/2006/relationships/hyperlink" Target="https://audio.iskcondesiretree.com/01_-_Srila_Prabhupada/01_-_Lectures/01_-_English/02_-_Month_wise/12_-_December/05/SB-03-25-36_1974-12-05_SB-BOMBAY.MP3" TargetMode="External"/><Relationship Id="rId1253" Type="http://schemas.openxmlformats.org/officeDocument/2006/relationships/hyperlink" Target="https://audio.iskcondesiretree.com/01_-_Srila_Prabhupada/01_-_Lectures/01_-_English/02_-_Month_wise/09_-_September/05/Fest_LON_1973-09-05_Appearance_Day_of_Srimati_Radharani.mp3" TargetMode="External"/><Relationship Id="rId2584" Type="http://schemas.openxmlformats.org/officeDocument/2006/relationships/hyperlink" Target="https://audio.iskcondesiretree.com/01_-_Srila_Prabhupada/01_-_Lectures/01_-_English/02_-_Month_wise/12_-_December/05/SB_3-25-36_BOM_1974-12-05_The_Lord_Is_Charming.mp3" TargetMode="External"/><Relationship Id="rId1254" Type="http://schemas.openxmlformats.org/officeDocument/2006/relationships/hyperlink" Target="https://audio.iskcondesiretree.com/01_-_Srila_Prabhupada/01_-_Lectures/01_-_English/01_-_Topic_wise/Srimad_Bhagavatam/Canto-05/SP_SB_5-05-01_Stockholm_1973-09-06_%27Isms%27_Are_Sense_Gratification.mp3" TargetMode="External"/><Relationship Id="rId2585" Type="http://schemas.openxmlformats.org/officeDocument/2006/relationships/hyperlink" Target="https://audio.iskcondesiretree.com/01_-_Srila_Prabhupada/01_-_Lectures/01_-_English/01_-_Topic_wise/Srimad_Bhagavatam/Canto-03/SP_SB_3-25-37_Bombay_1974-12-06_The_Devotional_Position.mp3" TargetMode="External"/><Relationship Id="rId1255" Type="http://schemas.openxmlformats.org/officeDocument/2006/relationships/hyperlink" Target="https://audio.iskcondesiretree.com/01_-_Srila_Prabhupada/01_-_Lectures/01_-_English/01_-_Topic_wise/Various/SP_Lecture_Stockholm_1973-09-06_To_Students--Brahma_Samhita.mp3" TargetMode="External"/><Relationship Id="rId2586" Type="http://schemas.openxmlformats.org/officeDocument/2006/relationships/hyperlink" Target="https://audio.iskcondesiretree.com/01_-_Srila_Prabhupada/01_-_Lectures/01_-_English/02_-_Month_wise/12_-_December/06/SB-03-25-37_1974-12-06_SB-BOMBAY.MP3" TargetMode="External"/><Relationship Id="rId1256" Type="http://schemas.openxmlformats.org/officeDocument/2006/relationships/hyperlink" Target="https://audio.iskcondesiretree.com/01_-_Srila_Prabhupada/01_-_Lectures/01_-_English/02_-_Month_wise/09_-_September/06/Lect_STO_1973-09-06_To_Students--Brahma_Samhita.mp3" TargetMode="External"/><Relationship Id="rId2587" Type="http://schemas.openxmlformats.org/officeDocument/2006/relationships/hyperlink" Target="https://audio.iskcondesiretree.com/01_-_Srila_Prabhupada/01_-_Lectures/01_-_English/02_-_Month_wise/12_-_December/06/SB_3-25-37_BOM_1974-12-06_The_Devotional_Position.mp3" TargetMode="External"/><Relationship Id="rId1246" Type="http://schemas.openxmlformats.org/officeDocument/2006/relationships/hyperlink" Target="https://audio.iskcondesiretree.com/01_-_Srila_Prabhupada/01_-_Lectures/01_-_English/01_-_Topic_wise/Bhagavad_Gita/Chapter-02/SP_BG_02-33-35_London_1973-09-03_Dishonor_Is_Worse_than_Death.mp3" TargetMode="External"/><Relationship Id="rId2577" Type="http://schemas.openxmlformats.org/officeDocument/2006/relationships/hyperlink" Target="https://audio.iskcondesiretree.com/01_-_Srila_Prabhupada/01_-_Lectures/01_-_English/02_-_Month_wise/12_-_December/03/SB-03-25-33%E2%80%9334_1974-12-03_SB-BOMBAY.MP3" TargetMode="External"/><Relationship Id="rId1247" Type="http://schemas.openxmlformats.org/officeDocument/2006/relationships/hyperlink" Target="https://audio.iskcondesiretree.com/01_-_Srila_Prabhupada/01_-_Lectures/01_-_English/02_-_Month_wise/09_-_September/03/Bg_02-33_LON_1973-09-03_Dishonor_Is_Worse_than_Death.mp3" TargetMode="External"/><Relationship Id="rId2578" Type="http://schemas.openxmlformats.org/officeDocument/2006/relationships/hyperlink" Target="https://audio.iskcondesiretree.com/01_-_Srila_Prabhupada/01_-_Lectures/01_-_English/02_-_Month_wise/12_-_December/03/SB_3-25-33_BOM_1974-12-03_How_to_Dissolve_Our_Suffering.mp3" TargetMode="External"/><Relationship Id="rId1248" Type="http://schemas.openxmlformats.org/officeDocument/2006/relationships/hyperlink" Target="https://audio.iskcondesiretree.com/01_-_Srila_Prabhupada/01_-_Lectures/01_-_English/01_-_Topic_wise/Bhagavad_Gita/Chapter-02/SP_BG_02-36-38_London_1973-09-04_Compassion_On_the_Battlefield.mp3" TargetMode="External"/><Relationship Id="rId2579" Type="http://schemas.openxmlformats.org/officeDocument/2006/relationships/hyperlink" Target="https://audio.iskcondesiretree.com/01_-_Srila_Prabhupada/01_-_Lectures/01_-_English/01_-_Topic_wise/Srimad_Bhagavatam/Canto-03/SP_SB_3-25-35_Bombay_1974-12-04_Eager_to_Talk_with_Krishna.mp3" TargetMode="External"/><Relationship Id="rId1249" Type="http://schemas.openxmlformats.org/officeDocument/2006/relationships/hyperlink" Target="https://audio.iskcondesiretree.com/01_-_Srila_Prabhupada/01_-_Lectures/01_-_English/02_-_Month_wise/09_-_September/04/Bg_02-36_LON_1973-09-04_Compassion_On_the_Battlefield.mp3" TargetMode="External"/><Relationship Id="rId2570" Type="http://schemas.openxmlformats.org/officeDocument/2006/relationships/hyperlink" Target="https://audio.iskcondesiretree.com/01_-_Srila_Prabhupada/01_-_Lectures/01_-_English/01_-_Topic_wise/Srimad_Bhagavatam/Canto-03/SP_SB_3-25-31_Bombay_1974-12-01_Hear_About_Krishna_Submissively.mp3" TargetMode="External"/><Relationship Id="rId1240" Type="http://schemas.openxmlformats.org/officeDocument/2006/relationships/hyperlink" Target="https://audio.iskcondesiretree.com/01_-_Srila_Prabhupada/01_-_Lectures/01_-_English/02_-_Month_wise/09_-_September/01/Bg_02-31_LON_1973-09-01_Duties_of_the_Body_and_Soul.mp3" TargetMode="External"/><Relationship Id="rId2571" Type="http://schemas.openxmlformats.org/officeDocument/2006/relationships/hyperlink" Target="https://audio.iskcondesiretree.com/01_-_Srila_Prabhupada/01_-_Lectures/01_-_English/02_-_Month_wise/12_-_December/01/SB-03-25-31_1974-12-01_SB-BOMBAY.MP3" TargetMode="External"/><Relationship Id="rId1241" Type="http://schemas.openxmlformats.org/officeDocument/2006/relationships/hyperlink" Target="https://audio.iskcondesiretree.com/01_-_Srila_Prabhupada/01_-_Lectures/01_-_English/02_-_Month_wise/09_-_September/01/RC_LON_1973-09-01_Radharani_Recommends_to_Krishna.mp3" TargetMode="External"/><Relationship Id="rId2572" Type="http://schemas.openxmlformats.org/officeDocument/2006/relationships/hyperlink" Target="https://audio.iskcondesiretree.com/01_-_Srila_Prabhupada/01_-_Lectures/01_-_English/02_-_Month_wise/12_-_December/01/SB_3-25-31_BOM_1974-12-01_Hear_About_Krishna_Submissively.mp3" TargetMode="External"/><Relationship Id="rId1242" Type="http://schemas.openxmlformats.org/officeDocument/2006/relationships/hyperlink" Target="https://audio.iskcondesiretree.com/01_-_Srila_Prabhupada/01_-_Lectures/01_-_English/01_-_Topic_wise/Bhagavad_Gita/Chapter-02/SP_BG_02-32_London_1973-09-02_Government_Must_Be_Very_Strict.mp3" TargetMode="External"/><Relationship Id="rId2573" Type="http://schemas.openxmlformats.org/officeDocument/2006/relationships/hyperlink" Target="https://audio.iskcondesiretree.com/01_-_Srila_Prabhupada/01_-_Lectures/01_-_English/01_-_Topic_wise/Srimad_Bhagavatam/Canto-03/SP_SB_3-25-32_Bombay_1974-12-02_From_Degradation_to_Devotion.mp3" TargetMode="External"/><Relationship Id="rId1243" Type="http://schemas.openxmlformats.org/officeDocument/2006/relationships/hyperlink" Target="https://audio.iskcondesiretree.com/01_-_Srila_Prabhupada/01_-_Lectures/01_-_English/01_-_Topic_wise/Room_Conversation/SP_Room_Conversation_London_1973-09-02_We_Can_Defy_All_the_Rascals.mp3" TargetMode="External"/><Relationship Id="rId2574" Type="http://schemas.openxmlformats.org/officeDocument/2006/relationships/hyperlink" Target="https://audio.iskcondesiretree.com/01_-_Srila_Prabhupada/01_-_Lectures/01_-_English/02_-_Month_wise/12_-_December/02/SB-03-25-32_1974-12-02_SB-BOMBAY.MP3" TargetMode="External"/><Relationship Id="rId1244" Type="http://schemas.openxmlformats.org/officeDocument/2006/relationships/hyperlink" Target="https://audio.iskcondesiretree.com/01_-_Srila_Prabhupada/01_-_Lectures/01_-_English/02_-_Month_wise/09_-_September/02/Bg_02-32_LON_1973-09-02_Government_Must_Be_Very_Strict.mp3" TargetMode="External"/><Relationship Id="rId2575" Type="http://schemas.openxmlformats.org/officeDocument/2006/relationships/hyperlink" Target="https://audio.iskcondesiretree.com/01_-_Srila_Prabhupada/01_-_Lectures/01_-_English/02_-_Month_wise/12_-_December/02/SB_3-25-32_BOM_1974-12-02_From_Degradation_to_Devotion.mp3" TargetMode="External"/><Relationship Id="rId1245" Type="http://schemas.openxmlformats.org/officeDocument/2006/relationships/hyperlink" Target="https://audio.iskcondesiretree.com/01_-_Srila_Prabhupada/01_-_Lectures/01_-_English/02_-_Month_wise/09_-_September/02/RC_LON_1973-09-02_We_Can_Defy_All_the_Rascals.mp3" TargetMode="External"/><Relationship Id="rId2576" Type="http://schemas.openxmlformats.org/officeDocument/2006/relationships/hyperlink" Target="https://audio.iskcondesiretree.com/01_-_Srila_Prabhupada/01_-_Lectures/01_-_English/01_-_Topic_wise/Srimad_Bhagavatam/Canto-03/SP_SB_3-25-33_Bombay_1974-12-03_How_to_Dissolve_Our_Suffering.mp3" TargetMode="External"/><Relationship Id="rId1279" Type="http://schemas.openxmlformats.org/officeDocument/2006/relationships/hyperlink" Target="https://audio.iskcondesiretree.com/01_-_Srila_Prabhupada/01_-_Lectures/01_-_English/02_-_Month_wise/09_-_September/10/SB_5-05-01_STO_1973-09-10_In_Ignorance_All_Is_Defeat.mp3" TargetMode="External"/><Relationship Id="rId1270" Type="http://schemas.openxmlformats.org/officeDocument/2006/relationships/hyperlink" Target="https://audio.iskcondesiretree.com/01_-_Srila_Prabhupada/01_-_Lectures/01_-_English/01_-_Topic_wise/Srimad_Bhagavatam/Canto-05/SP_SB_5-05-03_Stockholm_1973-09-09_Living_Like_Animals.mp3" TargetMode="External"/><Relationship Id="rId1271" Type="http://schemas.openxmlformats.org/officeDocument/2006/relationships/hyperlink" Target="https://audio.iskcondesiretree.com/01_-_Srila_Prabhupada/01_-_Lectures/01_-_English/01_-_Topic_wise/Various/SP_Lecture_Stockholm_1973-09-09_To_Students_on--etc.mp3" TargetMode="External"/><Relationship Id="rId1272" Type="http://schemas.openxmlformats.org/officeDocument/2006/relationships/hyperlink" Target="https://audio.iskcondesiretree.com/01_-_Srila_Prabhupada/01_-_Lectures/01_-_English/02_-_Month_wise/09_-_September/09/Lect_STO_1973-09-09_To_Students_on_etc.mp3" TargetMode="External"/><Relationship Id="rId1273" Type="http://schemas.openxmlformats.org/officeDocument/2006/relationships/hyperlink" Target="https://audio.iskcondesiretree.com/01_-_Srila_Prabhupada/01_-_Lectures/01_-_English/02_-_Month_wise/09_-_September/09/SB_5-05-03_STO_1973-09-09_Living_Like_Animals.mp3" TargetMode="External"/><Relationship Id="rId1274" Type="http://schemas.openxmlformats.org/officeDocument/2006/relationships/hyperlink" Target="https://audio.iskcondesiretree.com/01_-_Srila_Prabhupada/01_-_Lectures/01_-_English/01_-_Topic_wise/Bhagavad_Gita/Chapter-07/SP_BG_07-01-03_Stockholm_1973-09-10_Nothing_More_to_Be_Known.mp3" TargetMode="External"/><Relationship Id="rId1275" Type="http://schemas.openxmlformats.org/officeDocument/2006/relationships/hyperlink" Target="https://audio.iskcondesiretree.com/01_-_Srila_Prabhupada/01_-_Lectures/01_-_English/01_-_Topic_wise/Room_Conversation/SP_Room_Conversation_Stockholm_1973-09-10_Psychiatrist--Ours_Is_a_Psychiatric_Movement.mp3" TargetMode="External"/><Relationship Id="rId1276" Type="http://schemas.openxmlformats.org/officeDocument/2006/relationships/hyperlink" Target="https://audio.iskcondesiretree.com/01_-_Srila_Prabhupada/01_-_Lectures/01_-_English/01_-_Topic_wise/Srimad_Bhagavatam/Canto-05/SP_SB_5-05-01_Stockholm_1973-09-10_In_Ignorance_All_Is_Defeat.mp3" TargetMode="External"/><Relationship Id="rId1277" Type="http://schemas.openxmlformats.org/officeDocument/2006/relationships/hyperlink" Target="https://audio.iskcondesiretree.com/01_-_Srila_Prabhupada/01_-_Lectures/01_-_English/02_-_Month_wise/09_-_September/10/Bg_07-01_STO_1973-09-10_Nothing_More_to_Be_Known.mp3" TargetMode="External"/><Relationship Id="rId1278" Type="http://schemas.openxmlformats.org/officeDocument/2006/relationships/hyperlink" Target="https://audio.iskcondesiretree.com/01_-_Srila_Prabhupada/01_-_Lectures/01_-_English/02_-_Month_wise/09_-_September/10/RC_STO_1973-09-10_Psychiatrist-Ours_Is_a_Psychiatric_Movement.mp3" TargetMode="External"/><Relationship Id="rId1268" Type="http://schemas.openxmlformats.org/officeDocument/2006/relationships/hyperlink" Target="https://audio.iskcondesiretree.com/01_-_Srila_Prabhupada/01_-_Lectures/01_-_English/02_-_Month_wise/09_-_September/08/Bg_07-01_STO_1973-09-08_At_University_What_Supreme_etc.mp3" TargetMode="External"/><Relationship Id="rId2599" Type="http://schemas.openxmlformats.org/officeDocument/2006/relationships/hyperlink" Target="https://audio.iskcondesiretree.com/01_-_Srila_Prabhupada/01_-_Lectures/01_-_English/02_-_Month_wise/12_-_December/10/SB_3-25-42_BOM_1974-12-10_Don%27t_Take_Krishna_Lightly.mp3" TargetMode="External"/><Relationship Id="rId1269" Type="http://schemas.openxmlformats.org/officeDocument/2006/relationships/hyperlink" Target="https://audio.iskcondesiretree.com/01_-_Srila_Prabhupada/01_-_Lectures/01_-_English/02_-_Month_wise/09_-_September/08/SB_5-05-01_STO_1973-09-08_Leaders_Will_Force_You_to_etc.mp3" TargetMode="External"/><Relationship Id="rId2590" Type="http://schemas.openxmlformats.org/officeDocument/2006/relationships/hyperlink" Target="https://audio.iskcondesiretree.com/01_-_Srila_Prabhupada/01_-_Lectures/01_-_English/02_-_Month_wise/12_-_December/07/SB_3-25-38_BOM_1974-12-07_Krishna%27s_Service-Absolute_Delight.mp3" TargetMode="External"/><Relationship Id="rId1260" Type="http://schemas.openxmlformats.org/officeDocument/2006/relationships/hyperlink" Target="https://audio.iskcondesiretree.com/01_-_Srila_Prabhupada/01_-_Lectures/01_-_English/01_-_Topic_wise/Srimad_Bhagavatam/Canto-05/SP_SB_5-05-01_Stockholm_1973-09-07_To_Students--Horrible--etc.mp3" TargetMode="External"/><Relationship Id="rId2591" Type="http://schemas.openxmlformats.org/officeDocument/2006/relationships/hyperlink" Target="https://audio.iskcondesiretree.com/01_-_Srila_Prabhupada/01_-_Lectures/01_-_English/01_-_Topic_wise/Srimad_Bhagavatam/Canto-03/SP_SB_3-25-39_Bombay_1974-12-08_Take_Krishna_As_Everything.mp3" TargetMode="External"/><Relationship Id="rId1261" Type="http://schemas.openxmlformats.org/officeDocument/2006/relationships/hyperlink" Target="https://audio.iskcondesiretree.com/01_-_Srila_Prabhupada/01_-_Lectures/01_-_English/01_-_Topic_wise/Various/SP_Lecture_Stockholm_1973-09-07_To_Students_Classless_Society_Impossible.mp3" TargetMode="External"/><Relationship Id="rId2592" Type="http://schemas.openxmlformats.org/officeDocument/2006/relationships/hyperlink" Target="https://audio.iskcondesiretree.com/01_-_Srila_Prabhupada/01_-_Lectures/01_-_English/02_-_Month_wise/12_-_December/08/SB-03-25-39%E2%80%9340_1974-12-08_SB-BOMBAY.MP3" TargetMode="External"/><Relationship Id="rId1262" Type="http://schemas.openxmlformats.org/officeDocument/2006/relationships/hyperlink" Target="https://audio.iskcondesiretree.com/01_-_Srila_Prabhupada/01_-_Lectures/01_-_English/02_-_Month_wise/09_-_September/07/Bg_13-01_STO_1973-09-07_At_University_Nature_the_etc.mp3" TargetMode="External"/><Relationship Id="rId2593" Type="http://schemas.openxmlformats.org/officeDocument/2006/relationships/hyperlink" Target="https://audio.iskcondesiretree.com/01_-_Srila_Prabhupada/01_-_Lectures/01_-_English/02_-_Month_wise/12_-_December/08/SB_3-25-39_BOM_1974-12-08_Take_Krishna_As_Everything.mp3" TargetMode="External"/><Relationship Id="rId1263" Type="http://schemas.openxmlformats.org/officeDocument/2006/relationships/hyperlink" Target="https://audio.iskcondesiretree.com/01_-_Srila_Prabhupada/01_-_Lectures/01_-_English/02_-_Month_wise/09_-_September/07/Lect_STO_1973-09-07_To_Students_Classless_Society_Impossible.mp3" TargetMode="External"/><Relationship Id="rId2594" Type="http://schemas.openxmlformats.org/officeDocument/2006/relationships/hyperlink" Target="https://audio.iskcondesiretree.com/01_-_Srila_Prabhupada/01_-_Lectures/01_-_English/01_-_Topic_wise/Srimad_Bhagavatam/Canto-03/SP_SB_3-25-41_Bombay_1974-12-09_Atheists...%27Overbold%27.mp3" TargetMode="External"/><Relationship Id="rId1264" Type="http://schemas.openxmlformats.org/officeDocument/2006/relationships/hyperlink" Target="https://audio.iskcondesiretree.com/01_-_Srila_Prabhupada/01_-_Lectures/01_-_English/02_-_Month_wise/09_-_September/07/SB_5-05-01_STO_1973-09-07_Horrible_Civilization-Going_to_Hell.mp3" TargetMode="External"/><Relationship Id="rId2595" Type="http://schemas.openxmlformats.org/officeDocument/2006/relationships/hyperlink" Target="https://audio.iskcondesiretree.com/01_-_Srila_Prabhupada/01_-_Lectures/01_-_English/02_-_Month_wise/12_-_December/09/SB-03-25-41_1974-12-09_SB-BOMBAY.MP3" TargetMode="External"/><Relationship Id="rId1265" Type="http://schemas.openxmlformats.org/officeDocument/2006/relationships/hyperlink" Target="https://audio.iskcondesiretree.com/01_-_Srila_Prabhupada/01_-_Lectures/01_-_English/02_-_Month_wise/09_-_September/07/SB_5-05-01_STO_1973-09-07_To_Students-Horrible_etc.mp3" TargetMode="External"/><Relationship Id="rId2596" Type="http://schemas.openxmlformats.org/officeDocument/2006/relationships/hyperlink" Target="https://audio.iskcondesiretree.com/01_-_Srila_Prabhupada/01_-_Lectures/01_-_English/02_-_Month_wise/12_-_December/09/SB_3-25-41_BOM_1974-12-09_Atheists_Overbold.mp3" TargetMode="External"/><Relationship Id="rId1266" Type="http://schemas.openxmlformats.org/officeDocument/2006/relationships/hyperlink" Target="https://audio.iskcondesiretree.com/01_-_Srila_Prabhupada/01_-_Lectures/01_-_English/01_-_Topic_wise/Bhagavad_Gita/Chapter-07/SP_BG_07-01_Stockholm_1973-09-08_At_University_What_Supreme--etc.mp3" TargetMode="External"/><Relationship Id="rId2597" Type="http://schemas.openxmlformats.org/officeDocument/2006/relationships/hyperlink" Target="https://audio.iskcondesiretree.com/01_-_Srila_Prabhupada/01_-_Lectures/01_-_English/01_-_Topic_wise/Srimad_Bhagavatam/Canto-03/SP_SB_3-25-42_Bombay_1974-12-10_Don%27t_Take_Krishna_Lightly.mp3" TargetMode="External"/><Relationship Id="rId1267" Type="http://schemas.openxmlformats.org/officeDocument/2006/relationships/hyperlink" Target="https://audio.iskcondesiretree.com/01_-_Srila_Prabhupada/01_-_Lectures/01_-_English/01_-_Topic_wise/Srimad_Bhagavatam/Canto-05/SP_SB_5-05-01_Stockholm_1973-09-08_Leaders_Will_Force_You_to--etc.mp3" TargetMode="External"/><Relationship Id="rId2598" Type="http://schemas.openxmlformats.org/officeDocument/2006/relationships/hyperlink" Target="https://audio.iskcondesiretree.com/01_-_Srila_Prabhupada/01_-_Lectures/01_-_English/02_-_Month_wise/12_-_December/10/SB-03-25-42_1974-12-10_SB-BOMBAY.MP3" TargetMode="External"/><Relationship Id="rId3070" Type="http://schemas.openxmlformats.org/officeDocument/2006/relationships/hyperlink" Target="https://audio.iskcondesiretree.com/01_-_Srila_Prabhupada/01_-_Lectures/01_-_English/02_-_Month_wise/04_-_April/07/Walk_1975-04-07_MW-MAYAPUR.MP3" TargetMode="External"/><Relationship Id="rId3072" Type="http://schemas.openxmlformats.org/officeDocument/2006/relationships/hyperlink" Target="https://audio.iskcondesiretree.com/01_-_Srila_Prabhupada/01_-_Lectures/01_-_English/01_-_Topic_wise/Morning_Walk/SP_Morning_Walk_-_Mayapur_1975-04-08.MP3" TargetMode="External"/><Relationship Id="rId3071" Type="http://schemas.openxmlformats.org/officeDocument/2006/relationships/hyperlink" Target="https://audio.iskcondesiretree.com/01_-_Srila_Prabhupada/01_-_Lectures/01_-_English/01_-_Topic_wise/Chaitanya_Charitamrita/Adi_Lila/SP_CC_A_01-15_Mayapur_1975-04-08_Gold_Religion.mp3" TargetMode="External"/><Relationship Id="rId3074" Type="http://schemas.openxmlformats.org/officeDocument/2006/relationships/hyperlink" Target="https://audio.iskcondesiretree.com/01_-_Srila_Prabhupada/01_-_Lectures/01_-_English/02_-_Month_wise/04_-_April/08/CcAdi-01-015_1975-04-08_CC-MAYAPUR.MP3" TargetMode="External"/><Relationship Id="rId3073" Type="http://schemas.openxmlformats.org/officeDocument/2006/relationships/hyperlink" Target="https://audio.iskcondesiretree.com/01_-_Srila_Prabhupada/01_-_Lectures/01_-_English/02_-_Month_wise/04_-_April/08/Cc_A_1-15_MAY_1975-04-08_Gold_Religion.mp3" TargetMode="External"/><Relationship Id="rId3076" Type="http://schemas.openxmlformats.org/officeDocument/2006/relationships/hyperlink" Target="https://audio.iskcondesiretree.com/01_-_Srila_Prabhupada/01_-_Lectures/01_-_English/01_-_Topic_wise/Chaitanya_Charitamrita/Adi_Lila/SP_CC_A_01-16_Hyderabad_1975-04-09_Window_to_the_Spiritual_World.mp3" TargetMode="External"/><Relationship Id="rId3075" Type="http://schemas.openxmlformats.org/officeDocument/2006/relationships/hyperlink" Target="https://audio.iskcondesiretree.com/01_-_Srila_Prabhupada/01_-_Lectures/01_-_English/02_-_Month_wise/04_-_April/08/Walk_1975-04-08_MW-MAYAPUR.MP3" TargetMode="External"/><Relationship Id="rId3078" Type="http://schemas.openxmlformats.org/officeDocument/2006/relationships/hyperlink" Target="https://audio.iskcondesiretree.com/01_-_Srila_Prabhupada/01_-_Lectures/01_-_English/02_-_Month_wise/04_-_April/09/Cc_A_1-16_HYD_1975-04-09_Window_to_the_Spiritual_World.mp3" TargetMode="External"/><Relationship Id="rId3077" Type="http://schemas.openxmlformats.org/officeDocument/2006/relationships/hyperlink" Target="https://audio.iskcondesiretree.com/01_-_Srila_Prabhupada/01_-_Lectures/01_-_English/01_-_Topic_wise/Morning_Walk/SP_Morning_Walk_-_Mayapur_1975-04-09.MP3" TargetMode="External"/><Relationship Id="rId3079" Type="http://schemas.openxmlformats.org/officeDocument/2006/relationships/hyperlink" Target="https://audio.iskcondesiretree.com/01_-_Srila_Prabhupada/01_-_Lectures/01_-_English/02_-_Month_wise/04_-_April/09/CcAdi-01-016_1975-04-09_CC-MAYAPUR.MP3" TargetMode="External"/><Relationship Id="rId4390" Type="http://schemas.openxmlformats.org/officeDocument/2006/relationships/hyperlink" Target="https://audio.iskcondesiretree.com/01_-_Srila_Prabhupada/01_-_Lectures/02_-_Bengali/1976-03-20_Lecture_-_Haridaspur.mp3" TargetMode="External"/><Relationship Id="rId3061" Type="http://schemas.openxmlformats.org/officeDocument/2006/relationships/hyperlink" Target="https://audio.iskcondesiretree.com/01_-_Srila_Prabhupada/01_-_Lectures/01_-_English/02_-_Month_wise/04_-_April/06/CcAdi-01-013_1975-04-06_CC-MAYAPUR.MP3" TargetMode="External"/><Relationship Id="rId4392" Type="http://schemas.openxmlformats.org/officeDocument/2006/relationships/hyperlink" Target="https://audio.iskcondesiretree.com/01_-_Srila_Prabhupada/01_-_Lectures/01_-_English/01_-_Topic_wise/Srimad_Bhagavatam/Canto-07/SP_SB_7-09-42_Mayapur_1976-03-22_Impossible_to_Be_Independent.mp3" TargetMode="External"/><Relationship Id="rId3060" Type="http://schemas.openxmlformats.org/officeDocument/2006/relationships/hyperlink" Target="https://audio.iskcondesiretree.com/01_-_Srila_Prabhupada/01_-_Lectures/01_-_English/01_-_Topic_wise/Various/SP_Lecture_Mayapur_1975-04-06.MP3" TargetMode="External"/><Relationship Id="rId4391" Type="http://schemas.openxmlformats.org/officeDocument/2006/relationships/hyperlink" Target="https://audio.iskcondesiretree.com/01_-_Srila_Prabhupada/01_-_Lectures/01_-_English/02_-_Month_wise/03_-_March/21/Walk_1976-03-21_MW-MAYAPUR.MP3" TargetMode="External"/><Relationship Id="rId3063" Type="http://schemas.openxmlformats.org/officeDocument/2006/relationships/hyperlink" Target="https://audio.iskcondesiretree.com/01_-_Srila_Prabhupada/01_-_Lectures/01_-_English/02_-_Month_wise/04_-_April/06/MW_HYD_1975-04-06_A_Perfect_Disciple%27s_Imperfection.mp3" TargetMode="External"/><Relationship Id="rId4394" Type="http://schemas.openxmlformats.org/officeDocument/2006/relationships/hyperlink" Target="https://audio.iskcondesiretree.com/01_-_Srila_Prabhupada/01_-_Lectures/01_-_English/02_-_Month_wise/03_-_March/22/Conv%E2%80%93Bengali_1976-03-22_R1-MAYAPUR.MP3" TargetMode="External"/><Relationship Id="rId3062" Type="http://schemas.openxmlformats.org/officeDocument/2006/relationships/hyperlink" Target="https://audio.iskcondesiretree.com/01_-_Srila_Prabhupada/01_-_Lectures/01_-_English/02_-_Month_wise/04_-_April/06/Lecture_1975-04-06_LE-MAYAPUR.MP3" TargetMode="External"/><Relationship Id="rId4393" Type="http://schemas.openxmlformats.org/officeDocument/2006/relationships/hyperlink" Target="https://audio.iskcondesiretree.com/01_-_Srila_Prabhupada/01_-_Lectures/01_-_English/02_-_Month_wise/03_-_March/22/Arrival_1976-03-22_AR-CALCUTTA.MP3" TargetMode="External"/><Relationship Id="rId3065" Type="http://schemas.openxmlformats.org/officeDocument/2006/relationships/hyperlink" Target="https://audio.iskcondesiretree.com/01_-_Srila_Prabhupada/01_-_Lectures/01_-_English/01_-_Topic_wise/Chaitanya_Charitamrita/Adi_Lila/SP_CC_A_01-14_Mayapur_1975-04-07_For_Materialists_Stool_Is_Sublime.mp3" TargetMode="External"/><Relationship Id="rId4396" Type="http://schemas.openxmlformats.org/officeDocument/2006/relationships/hyperlink" Target="https://audio.iskcondesiretree.com/01_-_Srila_Prabhupada/01_-_Lectures/01_-_English/02_-_Month_wise/03_-_March/22/SB_7-09-42_MAY_1976-03-22_Impossible_to_Be_Independent.mp3" TargetMode="External"/><Relationship Id="rId3064" Type="http://schemas.openxmlformats.org/officeDocument/2006/relationships/hyperlink" Target="https://audio.iskcondesiretree.com/01_-_Srila_Prabhupada/01_-_Lectures/01_-_English/02_-_Month_wise/04_-_April/06/Walk_1975-04-06_MW-MAYAPUR.MP3" TargetMode="External"/><Relationship Id="rId4395" Type="http://schemas.openxmlformats.org/officeDocument/2006/relationships/hyperlink" Target="https://audio.iskcondesiretree.com/01_-_Srila_Prabhupada/01_-_Lectures/01_-_English/02_-_Month_wise/03_-_March/22/SB-07-09-42_1976-03-22_SB-MAYAPUR.MP3" TargetMode="External"/><Relationship Id="rId3067" Type="http://schemas.openxmlformats.org/officeDocument/2006/relationships/hyperlink" Target="https://audio.iskcondesiretree.com/01_-_Srila_Prabhupada/01_-_Lectures/01_-_English/02_-_Month_wise/04_-_April/07/Cc_A_1-14_MAY_1975-04-07_For_Materialists_Stool_Is_Sublime.mp3" TargetMode="External"/><Relationship Id="rId4398" Type="http://schemas.openxmlformats.org/officeDocument/2006/relationships/hyperlink" Target="https://audio.iskcondesiretree.com/01_-_Srila_Prabhupada/01_-_Lectures/01_-_English/02_-_Month_wise/03_-_March/23/SB-07-09-43_1976-03-23_SB-CALCUTTA.MP3" TargetMode="External"/><Relationship Id="rId3066" Type="http://schemas.openxmlformats.org/officeDocument/2006/relationships/hyperlink" Target="https://audio.iskcondesiretree.com/01_-_Srila_Prabhupada/01_-_Lectures/01_-_English/01_-_Topic_wise/Morning_Walk/SP_Morning_Walk_-_Hyderabad_1975-04-07_You_Can_Chant_Even_in_Moscow.mp3" TargetMode="External"/><Relationship Id="rId4397" Type="http://schemas.openxmlformats.org/officeDocument/2006/relationships/hyperlink" Target="https://audio.iskcondesiretree.com/01_-_Srila_Prabhupada/01_-_Lectures/02_-_Bengali/1976-03-22_Lecture_-_Mayapur.MP3" TargetMode="External"/><Relationship Id="rId3069" Type="http://schemas.openxmlformats.org/officeDocument/2006/relationships/hyperlink" Target="https://audio.iskcondesiretree.com/01_-_Srila_Prabhupada/01_-_Lectures/01_-_English/02_-_Month_wise/04_-_April/07/MW_HYD_1975-04-07_You_Can_Chant_Even_in_Moscow.mp3" TargetMode="External"/><Relationship Id="rId3068" Type="http://schemas.openxmlformats.org/officeDocument/2006/relationships/hyperlink" Target="https://audio.iskcondesiretree.com/01_-_Srila_Prabhupada/01_-_Lectures/01_-_English/02_-_Month_wise/04_-_April/07/CcAdi-01-014_1975-04-07_CC-MAYAPUR.MP3" TargetMode="External"/><Relationship Id="rId4399" Type="http://schemas.openxmlformats.org/officeDocument/2006/relationships/hyperlink" Target="https://audio.iskcondesiretree.com/01_-_Srila_Prabhupada/01_-_Lectures/01_-_English/02_-_Month_wise/03_-_March/24/Conv_1976-03-24_R1-CALCUTTA.MP3" TargetMode="External"/><Relationship Id="rId3090" Type="http://schemas.openxmlformats.org/officeDocument/2006/relationships/hyperlink" Target="https://audio.iskcondesiretree.com/01_-_Srila_Prabhupada/01_-_Lectures/01_-_English/01_-_Topic_wise/Room_Conversation/SP_Room_Conversation_Hyderabad_1975-04-12_You_Cannot_Preach_Your_Philosophy.mp3" TargetMode="External"/><Relationship Id="rId3092" Type="http://schemas.openxmlformats.org/officeDocument/2006/relationships/hyperlink" Target="https://audio.iskcondesiretree.com/01_-_Srila_Prabhupada/01_-_Lectures/01_-_English/02_-_Month_wise/04_-_April/12/Conv_1975-04-12_R1-HYDERABAD.MP3" TargetMode="External"/><Relationship Id="rId3091" Type="http://schemas.openxmlformats.org/officeDocument/2006/relationships/hyperlink" Target="https://audio.iskcondesiretree.com/01_-_Srila_Prabhupada/01_-_Lectures/01_-_English/01_-_Topic_wise/Srimad_Bhagavatam/Canto-05/SP_SB_5-05-02_Hyderabad_1975-04-12_The_Essence_of_Scripture.mp3" TargetMode="External"/><Relationship Id="rId3094" Type="http://schemas.openxmlformats.org/officeDocument/2006/relationships/hyperlink" Target="https://audio.iskcondesiretree.com/01_-_Srila_Prabhupada/01_-_Lectures/01_-_English/02_-_Month_wise/04_-_April/12/Conv_1975-04-12_R3-HYDERABAD.MP3" TargetMode="External"/><Relationship Id="rId3093" Type="http://schemas.openxmlformats.org/officeDocument/2006/relationships/hyperlink" Target="https://audio.iskcondesiretree.com/01_-_Srila_Prabhupada/01_-_Lectures/01_-_English/02_-_Month_wise/04_-_April/12/Conv_1975-04-12_R2-HYDERABAD.MP3" TargetMode="External"/><Relationship Id="rId3096" Type="http://schemas.openxmlformats.org/officeDocument/2006/relationships/hyperlink" Target="https://audio.iskcondesiretree.com/01_-_Srila_Prabhupada/01_-_Lectures/01_-_English/02_-_Month_wise/04_-_April/12/RC_HYD_1975-04-12_You_Cannot_Preach_Your_Philosophy.mp3" TargetMode="External"/><Relationship Id="rId3095" Type="http://schemas.openxmlformats.org/officeDocument/2006/relationships/hyperlink" Target="https://audio.iskcondesiretree.com/01_-_Srila_Prabhupada/01_-_Lectures/01_-_English/02_-_Month_wise/04_-_April/12/RC_HYD_1975-04-12_Sannyasa_Mentality.mp3" TargetMode="External"/><Relationship Id="rId3098" Type="http://schemas.openxmlformats.org/officeDocument/2006/relationships/hyperlink" Target="https://audio.iskcondesiretree.com/01_-_Srila_Prabhupada/01_-_Lectures/01_-_English/02_-_Month_wise/04_-_April/12/SB_5-05-02_HYD_1975-04-12_The_Essence_of_Scripture.mp3" TargetMode="External"/><Relationship Id="rId3097" Type="http://schemas.openxmlformats.org/officeDocument/2006/relationships/hyperlink" Target="https://audio.iskcondesiretree.com/01_-_Srila_Prabhupada/01_-_Lectures/01_-_English/02_-_Month_wise/04_-_April/12/SB-05-05-02_1975-04-12_SB-HYDERABAD.MP3" TargetMode="External"/><Relationship Id="rId3099" Type="http://schemas.openxmlformats.org/officeDocument/2006/relationships/hyperlink" Target="https://audio.iskcondesiretree.com/01_-_Srila_Prabhupada/01_-_Lectures/01_-_English/01_-_Topic_wise/Srimad_Bhagavatam/Canto-05/SP_SB_5-05-02_Hyderabad_1975-04-13_Liberation_Meaning_What.mp3" TargetMode="External"/><Relationship Id="rId3081" Type="http://schemas.openxmlformats.org/officeDocument/2006/relationships/hyperlink" Target="https://audio.iskcondesiretree.com/01_-_Srila_Prabhupada/01_-_Lectures/01_-_English/01_-_Topic_wise/Srimad_Bhagavatam/Canto-05/SP_SB_5-05-01_Hyderabad_1975-04-10_Gold_Is_Gold_God_Is_God.mp3" TargetMode="External"/><Relationship Id="rId3080" Type="http://schemas.openxmlformats.org/officeDocument/2006/relationships/hyperlink" Target="https://audio.iskcondesiretree.com/01_-_Srila_Prabhupada/01_-_Lectures/01_-_English/02_-_Month_wise/04_-_April/09/Walk_1975-04-09_MW-MAYAPUR.MP3" TargetMode="External"/><Relationship Id="rId3083" Type="http://schemas.openxmlformats.org/officeDocument/2006/relationships/hyperlink" Target="https://audio.iskcondesiretree.com/01_-_Srila_Prabhupada/01_-_Lectures/01_-_English/02_-_Month_wise/04_-_April/10/SB_5-05-01_HYD_1975-04-10_Gold_Is_Gold%2C_God_Is_God.mp3" TargetMode="External"/><Relationship Id="rId3082" Type="http://schemas.openxmlformats.org/officeDocument/2006/relationships/hyperlink" Target="https://audio.iskcondesiretree.com/01_-_Srila_Prabhupada/01_-_Lectures/01_-_English/02_-_Month_wise/04_-_April/10/SB-05-05-01_1975-04-10_SB-HYDERABAD.MP3" TargetMode="External"/><Relationship Id="rId3085" Type="http://schemas.openxmlformats.org/officeDocument/2006/relationships/hyperlink" Target="https://audio.iskcondesiretree.com/01_-_Srila_Prabhupada/01_-_Lectures/01_-_English/02_-_Month_wise/04_-_April/11/SB-05-05-02_1975-04-11_SB-HYDERABAD.MP3" TargetMode="External"/><Relationship Id="rId3084" Type="http://schemas.openxmlformats.org/officeDocument/2006/relationships/hyperlink" Target="https://audio.iskcondesiretree.com/01_-_Srila_Prabhupada/01_-_Lectures/01_-_English/01_-_Topic_wise/Srimad_Bhagavatam/Canto-05/SP_SB_5-05-02_Hyderabad_1975-04-11_Don%27t_Kill_Yourself.mp3" TargetMode="External"/><Relationship Id="rId3087" Type="http://schemas.openxmlformats.org/officeDocument/2006/relationships/hyperlink" Target="https://audio.iskcondesiretree.com/01_-_Srila_Prabhupada/01_-_Lectures/01_-_English/01_-_Topic_wise/Room_Conversation/SP_Room_Conversation_01_Hyderabad_1975-04-12.MP3" TargetMode="External"/><Relationship Id="rId3086" Type="http://schemas.openxmlformats.org/officeDocument/2006/relationships/hyperlink" Target="https://audio.iskcondesiretree.com/01_-_Srila_Prabhupada/01_-_Lectures/01_-_English/02_-_Month_wise/04_-_April/11/SB_5-05-02_HYD_1975-04-11_Don%27t_Kill_Yourself.mp3" TargetMode="External"/><Relationship Id="rId3089" Type="http://schemas.openxmlformats.org/officeDocument/2006/relationships/hyperlink" Target="https://audio.iskcondesiretree.com/01_-_Srila_Prabhupada/01_-_Lectures/01_-_English/01_-_Topic_wise/Room_Conversation/SP_Room_Conversation_Hyderabad_1975-04-12_Sannyasa_Mentality.mp3" TargetMode="External"/><Relationship Id="rId3088" Type="http://schemas.openxmlformats.org/officeDocument/2006/relationships/hyperlink" Target="https://audio.iskcondesiretree.com/01_-_Srila_Prabhupada/01_-_Lectures/01_-_English/01_-_Topic_wise/Room_Conversation/SP_Room_Conversation_02_Hyderabad_1975-04-12.MP3" TargetMode="External"/><Relationship Id="rId3039" Type="http://schemas.openxmlformats.org/officeDocument/2006/relationships/hyperlink" Target="https://audio.iskcondesiretree.com/01_-_Srila_Prabhupada/01_-_Lectures/01_-_English/02_-_Month_wise/04_-_April/03/Cc_A_1-10_MAY_1975-04-03_Getting_God_to_Talk_to_You.mp3" TargetMode="External"/><Relationship Id="rId5691" Type="http://schemas.openxmlformats.org/officeDocument/2006/relationships/hyperlink" Target="https://audio.iskcondesiretree.com/01_-_Srila_Prabhupada/01_-_Lectures/01_-_English/02_-_Month_wise/02_-_Feburary/10/Walk_1977-02-10_MW-MAYAPUR.MP3" TargetMode="External"/><Relationship Id="rId5692" Type="http://schemas.openxmlformats.org/officeDocument/2006/relationships/hyperlink" Target="https://audio.iskcondesiretree.com/01_-_Srila_Prabhupada/01_-_Lectures/01_-_English/01_-_Topic_wise/Srimad_Bhagavatam/Canto-07/SP_SB_7-09-04_Mayapur_1977-02-11_Prahlada--Krishna%27s--etc.mp3" TargetMode="External"/><Relationship Id="rId3030" Type="http://schemas.openxmlformats.org/officeDocument/2006/relationships/hyperlink" Target="https://audio.iskcondesiretree.com/01_-_Srila_Prabhupada/01_-_Lectures/01_-_English/01_-_Topic_wise/Chaitanya_Charitamrita/Adi_Lila/SP_CC_A_01-09_Mayapur_1975-04-02_Big_Chunk_of_Nonsense.mp3" TargetMode="External"/><Relationship Id="rId4361" Type="http://schemas.openxmlformats.org/officeDocument/2006/relationships/hyperlink" Target="https://audio.iskcondesiretree.com/01_-_Srila_Prabhupada/01_-_Lectures/01_-_English/02_-_Month_wise/03_-_March/15/SB_7-09-37_MAY_1976-03-15_Faith_Vs_Fact.mp3" TargetMode="External"/><Relationship Id="rId4360" Type="http://schemas.openxmlformats.org/officeDocument/2006/relationships/hyperlink" Target="https://audio.iskcondesiretree.com/01_-_Srila_Prabhupada/01_-_Lectures/01_-_English/02_-_Month_wise/03_-_March/15/SB-07-09-37_1976-03-15_SB-MAYAPUR.MP3" TargetMode="External"/><Relationship Id="rId5690" Type="http://schemas.openxmlformats.org/officeDocument/2006/relationships/hyperlink" Target="https://audio.iskcondesiretree.com/01_-_Srila_Prabhupada/01_-_Lectures/01_-_English/02_-_Month_wise/02_-_Feburary/10/SB-07-09-01_1977-02-10_SB-MAYAPUR.MP3" TargetMode="External"/><Relationship Id="rId3032" Type="http://schemas.openxmlformats.org/officeDocument/2006/relationships/hyperlink" Target="https://audio.iskcondesiretree.com/01_-_Srila_Prabhupada/01_-_Lectures/01_-_English/02_-_Month_wise/04_-_April/02/Cc_A_1-09_MAY_1975-04-02_Big_Chunk_of_Nonsense.mp3" TargetMode="External"/><Relationship Id="rId4363" Type="http://schemas.openxmlformats.org/officeDocument/2006/relationships/hyperlink" Target="https://audio.iskcondesiretree.com/01_-_Srila_Prabhupada/01_-_Lectures/01_-_English/01_-_Topic_wise/Morning_Walk/SP_Morning_Walk_-_Mayapur_1976-03-16_What_Is_Next.mp3" TargetMode="External"/><Relationship Id="rId5695" Type="http://schemas.openxmlformats.org/officeDocument/2006/relationships/hyperlink" Target="https://audio.iskcondesiretree.com/01_-_Srila_Prabhupada/01_-_Lectures/01_-_English/01_-_Topic_wise/Srimad_Bhagavatam/Canto-07/SP_SB_7-09-02_Bhuvanesvara_1977-02-12_Lakshmi_and_Narayan.mp3" TargetMode="External"/><Relationship Id="rId3031" Type="http://schemas.openxmlformats.org/officeDocument/2006/relationships/hyperlink" Target="https://audio.iskcondesiretree.com/01_-_Srila_Prabhupada/01_-_Lectures/01_-_English/01_-_Topic_wise/Morning_Walk/SP_Morning_Walk_-_Mayapur_1975-04-02_Very_Expert_in_Misinterpreting.mp3" TargetMode="External"/><Relationship Id="rId4362" Type="http://schemas.openxmlformats.org/officeDocument/2006/relationships/hyperlink" Target="https://audio.iskcondesiretree.com/01_-_Srila_Prabhupada/01_-_Lectures/01_-_English/02_-_Month_wise/03_-_March/15/Walk_1976-03-15_MW-MAYAPUR.MP3" TargetMode="External"/><Relationship Id="rId5696" Type="http://schemas.openxmlformats.org/officeDocument/2006/relationships/hyperlink" Target="https://audio.iskcondesiretree.com/01_-_Srila_Prabhupada/01_-_Lectures/01_-_English/02_-_Month_wise/02_-_Feburary/12/Conv_1977-02-12_R1-MAYAPUR.MP3" TargetMode="External"/><Relationship Id="rId3034" Type="http://schemas.openxmlformats.org/officeDocument/2006/relationships/hyperlink" Target="https://audio.iskcondesiretree.com/01_-_Srila_Prabhupada/01_-_Lectures/01_-_English/02_-_Month_wise/04_-_April/02/MW_MAY_1975-04-02_Very_Expert_in_Misinterpreting.mp3" TargetMode="External"/><Relationship Id="rId4365" Type="http://schemas.openxmlformats.org/officeDocument/2006/relationships/hyperlink" Target="https://audio.iskcondesiretree.com/01_-_Srila_Prabhupada/01_-_Lectures/01_-_English/01_-_Topic_wise/Various/SP_Lecture_Mayapur_1976-03-16_Initiation_Sannyasa--No_Ism--No_Schism.mp3" TargetMode="External"/><Relationship Id="rId5693" Type="http://schemas.openxmlformats.org/officeDocument/2006/relationships/hyperlink" Target="https://audio.iskcondesiretree.com/01_-_Srila_Prabhupada/01_-_Lectures/01_-_English/02_-_Month_wise/02_-_Feburary/11/Conv_1977-02-11_R1-MAYAPUR.MP3" TargetMode="External"/><Relationship Id="rId3033" Type="http://schemas.openxmlformats.org/officeDocument/2006/relationships/hyperlink" Target="https://audio.iskcondesiretree.com/01_-_Srila_Prabhupada/01_-_Lectures/01_-_English/02_-_Month_wise/04_-_April/02/CcAdi-01-009_1975-04-02_CC-MAYAPUR.MP3" TargetMode="External"/><Relationship Id="rId4364" Type="http://schemas.openxmlformats.org/officeDocument/2006/relationships/hyperlink" Target="https://audio.iskcondesiretree.com/01_-_Srila_Prabhupada/01_-_Lectures/01_-_English/01_-_Topic_wise/Srimad_Bhagavatam/Canto-07/SP_SB_7-09-38_Mayapur_1976-03-16_Gaura_Purnima--The_Undercover_Avatar.mp3" TargetMode="External"/><Relationship Id="rId5694" Type="http://schemas.openxmlformats.org/officeDocument/2006/relationships/hyperlink" Target="https://audio.iskcondesiretree.com/01_-_Srila_Prabhupada/01_-_Lectures/01_-_English/02_-_Month_wise/02_-_Feburary/11/SB_7-09-04_MAY_1977-02-11_Prahlada--Krishna%27s_etc.mp3" TargetMode="External"/><Relationship Id="rId3036" Type="http://schemas.openxmlformats.org/officeDocument/2006/relationships/hyperlink" Target="https://audio.iskcondesiretree.com/01_-_Srila_Prabhupada/01_-_Lectures/01_-_English/01_-_Topic_wise/Chaitanya_Charitamrita/Adi_Lila/SP_CC_A_01-10_Mayapur_1975-04-03_Getting_God_to_Talk_to_You.mp3" TargetMode="External"/><Relationship Id="rId4367" Type="http://schemas.openxmlformats.org/officeDocument/2006/relationships/hyperlink" Target="https://audio.iskcondesiretree.com/01_-_Srila_Prabhupada/01_-_Lectures/01_-_English/02_-_Month_wise/03_-_March/16/Initiations_1976-03-16_IN-MAYAPUR.MP3" TargetMode="External"/><Relationship Id="rId5699" Type="http://schemas.openxmlformats.org/officeDocument/2006/relationships/hyperlink" Target="https://audio.iskcondesiretree.com/01_-_Srila_Prabhupada/01_-_Lectures/01_-_English/02_-_Month_wise/02_-_Feburary/14/Conv_1977-02-14_R1-MAYAPUR.MP3" TargetMode="External"/><Relationship Id="rId3035" Type="http://schemas.openxmlformats.org/officeDocument/2006/relationships/hyperlink" Target="https://audio.iskcondesiretree.com/01_-_Srila_Prabhupada/01_-_Lectures/01_-_English/02_-_Month_wise/04_-_April/02/Walk_1975-04-02_MW-MAYAPUR.MP3" TargetMode="External"/><Relationship Id="rId4366" Type="http://schemas.openxmlformats.org/officeDocument/2006/relationships/hyperlink" Target="https://audio.iskcondesiretree.com/01_-_Srila_Prabhupada/01_-_Lectures/01_-_English/02_-_Month_wise/03_-_March/16/Conv_1976-03-16_R1-MAYAPUR.MP3" TargetMode="External"/><Relationship Id="rId3038" Type="http://schemas.openxmlformats.org/officeDocument/2006/relationships/hyperlink" Target="https://audio.iskcondesiretree.com/01_-_Srila_Prabhupada/01_-_Lectures/01_-_English/01_-_Topic_wise/Morning_Walk/SP_Morning_Walk_-_Mayapur_1975-04-03_The_Return_Ticket_Hell--Heaven--Hell.mp3" TargetMode="External"/><Relationship Id="rId4369" Type="http://schemas.openxmlformats.org/officeDocument/2006/relationships/hyperlink" Target="https://audio.iskcondesiretree.com/01_-_Srila_Prabhupada/01_-_Lectures/01_-_English/02_-_Month_wise/03_-_March/16/MW_MAY_1976-03-16_What_Is_Next.mp3" TargetMode="External"/><Relationship Id="rId5697" Type="http://schemas.openxmlformats.org/officeDocument/2006/relationships/hyperlink" Target="https://audio.iskcondesiretree.com/01_-_Srila_Prabhupada/01_-_Lectures/01_-_English/02_-_Month_wise/02_-_Feburary/12/SB-07-09-02_1977-02-12_SB-MAYAPUR.MP3" TargetMode="External"/><Relationship Id="rId3037" Type="http://schemas.openxmlformats.org/officeDocument/2006/relationships/hyperlink" Target="https://audio.iskcondesiretree.com/01_-_Srila_Prabhupada/01_-_Lectures/01_-_English/01_-_Topic_wise/Morning_Walk/SP_Morning_Walk_-_Mayapur_1975-04-03_High-Tech_High-Sci_Rascals.mp3" TargetMode="External"/><Relationship Id="rId4368" Type="http://schemas.openxmlformats.org/officeDocument/2006/relationships/hyperlink" Target="https://audio.iskcondesiretree.com/01_-_Srila_Prabhupada/01_-_Lectures/01_-_English/02_-_Month_wise/03_-_March/16/Lect_MAY_1976-03-16_Initiation_Sannyasa_No_Ism_No_Schism.mp3" TargetMode="External"/><Relationship Id="rId5698" Type="http://schemas.openxmlformats.org/officeDocument/2006/relationships/hyperlink" Target="https://audio.iskcondesiretree.com/01_-_Srila_Prabhupada/01_-_Lectures/01_-_English/02_-_Month_wise/02_-_Feburary/12/SB_7-09-02_BHU_1977-02-12_Lakshmi_and_Narayan.mp3" TargetMode="External"/><Relationship Id="rId3029" Type="http://schemas.openxmlformats.org/officeDocument/2006/relationships/hyperlink" Target="https://audio.iskcondesiretree.com/01_-_Srila_Prabhupada/01_-_Lectures/01_-_English/02_-_Month_wise/04_-_April/01/Walk_1975-04-01_MW-MAYAPUR.MP3" TargetMode="External"/><Relationship Id="rId3028" Type="http://schemas.openxmlformats.org/officeDocument/2006/relationships/hyperlink" Target="https://audio.iskcondesiretree.com/01_-_Srila_Prabhupada/01_-_Lectures/01_-_English/02_-_Month_wise/04_-_April/01/RC_MAY_1975-04-01_Theologian_Speculators.mp3" TargetMode="External"/><Relationship Id="rId4359" Type="http://schemas.openxmlformats.org/officeDocument/2006/relationships/hyperlink" Target="https://audio.iskcondesiretree.com/01_-_Srila_Prabhupada/01_-_Lectures/01_-_English/01_-_Topic_wise/Srimad_Bhagavatam/Canto-07/SP_SB_7-09-37_Mayapur_1976-03-15_Faith_Vs._Fact.mp3" TargetMode="External"/><Relationship Id="rId5680" Type="http://schemas.openxmlformats.org/officeDocument/2006/relationships/hyperlink" Target="https://audio.iskcondesiretree.com/01_-_Srila_Prabhupada/01_-_Lectures/01_-_English/01_-_Topic_wise/Arrival_Address/SP_Arrival_Calcutta_1977-02-04_The_Fight_Against_Atheism.mp3" TargetMode="External"/><Relationship Id="rId5681" Type="http://schemas.openxmlformats.org/officeDocument/2006/relationships/hyperlink" Target="https://audio.iskcondesiretree.com/01_-_Srila_Prabhupada/01_-_Lectures/01_-_English/02_-_Month_wise/02_-_Feburary/04/Arr_CAL_1977-02-04_The_Fight_Against_Atheism.mp3" TargetMode="External"/><Relationship Id="rId4350" Type="http://schemas.openxmlformats.org/officeDocument/2006/relationships/hyperlink" Target="https://audio.iskcondesiretree.com/01_-_Srila_Prabhupada/01_-_Lectures/01_-_English/02_-_Month_wise/03_-_March/12/SB-07-09-34_1976-03-12_SB-MAYAPUR.MP3" TargetMode="External"/><Relationship Id="rId3021" Type="http://schemas.openxmlformats.org/officeDocument/2006/relationships/hyperlink" Target="https://audio.iskcondesiretree.com/01_-_Srila_Prabhupada/01_-_Lectures/01_-_English/01_-_Topic_wise/Chaitanya_Charitamrita/Adi_Lila/SP_CC_A_01-08_Mayapur_1975-04-01_Spread_Krsna_Consciousness--etc.mp3" TargetMode="External"/><Relationship Id="rId4352" Type="http://schemas.openxmlformats.org/officeDocument/2006/relationships/hyperlink" Target="https://audio.iskcondesiretree.com/01_-_Srila_Prabhupada/01_-_Lectures/01_-_English/02_-_Month_wise/03_-_March/12/Walk_1976-03-12_MW-MAYAPUR.MP3" TargetMode="External"/><Relationship Id="rId5684" Type="http://schemas.openxmlformats.org/officeDocument/2006/relationships/hyperlink" Target="https://audio.iskcondesiretree.com/01_-_Srila_Prabhupada/01_-_Lectures/01_-_English/02_-_Month_wise/02_-_Feburary/05/Conv_1977-02-05_CR-CALCUTTA.MP3" TargetMode="External"/><Relationship Id="rId3020" Type="http://schemas.openxmlformats.org/officeDocument/2006/relationships/hyperlink" Target="https://audio.iskcondesiretree.com/01_-_Srila_Prabhupada/01_-_Lectures/01_-_English/02_-_Month_wise/03_-_March/31/Conv_1975-03-31_R1-MAYAPUR.MP3" TargetMode="External"/><Relationship Id="rId4351" Type="http://schemas.openxmlformats.org/officeDocument/2006/relationships/hyperlink" Target="https://audio.iskcondesiretree.com/01_-_Srila_Prabhupada/01_-_Lectures/01_-_English/02_-_Month_wise/03_-_March/12/SB_7-09-34_MAY_1976-03-12_Make_Krishna_Smile.mp3" TargetMode="External"/><Relationship Id="rId5685" Type="http://schemas.openxmlformats.org/officeDocument/2006/relationships/hyperlink" Target="https://audio.iskcondesiretree.com/01_-_Srila_Prabhupada/01_-_Lectures/01_-_English/02_-_Month_wise/02_-_Feburary/06/SB-01-08-18%E2%80%93Hindi_1977-02-06_SB-CALCUTTA.MP3" TargetMode="External"/><Relationship Id="rId3023" Type="http://schemas.openxmlformats.org/officeDocument/2006/relationships/hyperlink" Target="https://audio.iskcondesiretree.com/01_-_Srila_Prabhupada/01_-_Lectures/01_-_English/01_-_Topic_wise/Room_Conversation/SP_Room_Conversation_Mayapur_1975-04-01_Theologian_Speculators.mp3" TargetMode="External"/><Relationship Id="rId4354" Type="http://schemas.openxmlformats.org/officeDocument/2006/relationships/hyperlink" Target="https://audio.iskcondesiretree.com/01_-_Srila_Prabhupada/01_-_Lectures/01_-_English/02_-_Month_wise/03_-_March/13/Walk_1976-03-13_MW-MAYAPUR.MP3" TargetMode="External"/><Relationship Id="rId5682" Type="http://schemas.openxmlformats.org/officeDocument/2006/relationships/hyperlink" Target="https://audio.iskcondesiretree.com/01_-_Srila_Prabhupada/01_-_Lectures/01_-_English/02_-_Month_wise/02_-_Feburary/04/Arrival_1977-02-04_AR-CALCUTTA.MP3" TargetMode="External"/><Relationship Id="rId3022" Type="http://schemas.openxmlformats.org/officeDocument/2006/relationships/hyperlink" Target="https://audio.iskcondesiretree.com/01_-_Srila_Prabhupada/01_-_Lectures/01_-_English/01_-_Topic_wise/Morning_Walk/SP_Morning_Walk_-_Mayapur_1975-04-01_Deaf_Man_Thinks_All_Others_are_Deaf.mp3" TargetMode="External"/><Relationship Id="rId4353" Type="http://schemas.openxmlformats.org/officeDocument/2006/relationships/hyperlink" Target="https://audio.iskcondesiretree.com/01_-_Srila_Prabhupada/01_-_Lectures/01_-_English/02_-_Month_wise/03_-_March/13/SB-07-09-35_1976-03-13_SB-MAYAPUR.MP3" TargetMode="External"/><Relationship Id="rId5683" Type="http://schemas.openxmlformats.org/officeDocument/2006/relationships/hyperlink" Target="https://audio.iskcondesiretree.com/01_-_Srila_Prabhupada/01_-_Lectures/01_-_English/02_-_Month_wise/02_-_Feburary/04/Conv_1977-02-04_R1-CALCUTTA.MP3" TargetMode="External"/><Relationship Id="rId3025" Type="http://schemas.openxmlformats.org/officeDocument/2006/relationships/hyperlink" Target="https://audio.iskcondesiretree.com/01_-_Srila_Prabhupada/01_-_Lectures/01_-_English/02_-_Month_wise/04_-_April/01/CcAdi-01-008_1975-04-01_CC-MAYAPUR.MP3" TargetMode="External"/><Relationship Id="rId4356" Type="http://schemas.openxmlformats.org/officeDocument/2006/relationships/hyperlink" Target="https://audio.iskcondesiretree.com/01_-_Srila_Prabhupada/01_-_Lectures/01_-_English/02_-_Month_wise/03_-_March/14/SB-07-09-36_1976-03-14_SB-MAYAPUR.MP3" TargetMode="External"/><Relationship Id="rId5688" Type="http://schemas.openxmlformats.org/officeDocument/2006/relationships/hyperlink" Target="https://audio.iskcondesiretree.com/01_-_Srila_Prabhupada/01_-_Lectures/01_-_English/02_-_Month_wise/02_-_Feburary/08/Bhaktisiddhanta_Appearance_1977-02-08_BA-MAYAPUR.MP3" TargetMode="External"/><Relationship Id="rId3024" Type="http://schemas.openxmlformats.org/officeDocument/2006/relationships/hyperlink" Target="https://audio.iskcondesiretree.com/01_-_Srila_Prabhupada/01_-_Lectures/01_-_English/02_-_Month_wise/04_-_April/01/Cc_A_1-08_MAY_1975-04-01_Spread_Krsna_Consciousness_etc.mp3" TargetMode="External"/><Relationship Id="rId4355" Type="http://schemas.openxmlformats.org/officeDocument/2006/relationships/hyperlink" Target="https://audio.iskcondesiretree.com/01_-_Srila_Prabhupada/01_-_Lectures/01_-_English/01_-_Topic_wise/Srimad_Bhagavatam/Canto-07/SP_SB_7-09-36_Mayapur_1976-03-14_Simple_Boy-Real_God.mp3" TargetMode="External"/><Relationship Id="rId5689" Type="http://schemas.openxmlformats.org/officeDocument/2006/relationships/hyperlink" Target="https://audio.iskcondesiretree.com/01_-_Srila_Prabhupada/01_-_Lectures/01_-_English/02_-_Month_wise/02_-_Feburary/08/Fest_MAY_1977-02-08_Bhaktisiddhantas_Appearance.mp3" TargetMode="External"/><Relationship Id="rId3027" Type="http://schemas.openxmlformats.org/officeDocument/2006/relationships/hyperlink" Target="https://audio.iskcondesiretree.com/01_-_Srila_Prabhupada/01_-_Lectures/01_-_English/02_-_Month_wise/04_-_April/01/MW_MAY_1975-04-01_Deaf_Man_Thinks_All_Others_are_Deaf.mp3" TargetMode="External"/><Relationship Id="rId4358" Type="http://schemas.openxmlformats.org/officeDocument/2006/relationships/hyperlink" Target="https://audio.iskcondesiretree.com/01_-_Srila_Prabhupada/01_-_Lectures/01_-_English/02_-_Month_wise/03_-_March/14/Walk_1976-03-14_MW-MAYAPUR.MP3" TargetMode="External"/><Relationship Id="rId5686" Type="http://schemas.openxmlformats.org/officeDocument/2006/relationships/hyperlink" Target="https://audio.iskcondesiretree.com/01_-_Srila_Prabhupada/01_-_Lectures/01_-_English/02_-_Month_wise/02_-_Feburary/07/Arrival_1977-02-07_AR-MAYAPUR.MP3" TargetMode="External"/><Relationship Id="rId3026" Type="http://schemas.openxmlformats.org/officeDocument/2006/relationships/hyperlink" Target="https://audio.iskcondesiretree.com/01_-_Srila_Prabhupada/01_-_Lectures/01_-_English/02_-_Month_wise/04_-_April/01/Conv_1975-04-01_R1-MAYAPUR.MP3" TargetMode="External"/><Relationship Id="rId4357" Type="http://schemas.openxmlformats.org/officeDocument/2006/relationships/hyperlink" Target="https://audio.iskcondesiretree.com/01_-_Srila_Prabhupada/01_-_Lectures/01_-_English/02_-_Month_wise/03_-_March/14/SB_7-09-36_MAY_1976-03-14_Simple_Boy-Real_God.mp3" TargetMode="External"/><Relationship Id="rId5687" Type="http://schemas.openxmlformats.org/officeDocument/2006/relationships/hyperlink" Target="https://audio.iskcondesiretree.com/01_-_Srila_Prabhupada/01_-_Lectures/01_-_English/01_-_Topic_wise/Festivals/SP_Festivals_Mayapur_1977-02-08_Bhaktisiddhantas_Appearance.mp3" TargetMode="External"/><Relationship Id="rId3050" Type="http://schemas.openxmlformats.org/officeDocument/2006/relationships/hyperlink" Target="https://audio.iskcondesiretree.com/01_-_Srila_Prabhupada/01_-_Lectures/01_-_English/02_-_Month_wise/04_-_April/04/MW_MAY_1975-04-04_Preparing_for_World_War_Three.mp3" TargetMode="External"/><Relationship Id="rId4381" Type="http://schemas.openxmlformats.org/officeDocument/2006/relationships/hyperlink" Target="https://audio.iskcondesiretree.com/01_-_Srila_Prabhupada/01_-_Lectures/01_-_English/02_-_Month_wise/03_-_March/18/MW_MAY_1976-03-18_Chance_None_but_One.mp3" TargetMode="External"/><Relationship Id="rId4380" Type="http://schemas.openxmlformats.org/officeDocument/2006/relationships/hyperlink" Target="https://audio.iskcondesiretree.com/01_-_Srila_Prabhupada/01_-_Lectures/01_-_English/01_-_Topic_wise/Srimad_Bhagavatam/Canto-07/SP_SB_7-09-40_Mayapur_1976-03-18_Serve_One_Master_Or_Many.mp3" TargetMode="External"/><Relationship Id="rId3052" Type="http://schemas.openxmlformats.org/officeDocument/2006/relationships/hyperlink" Target="https://audio.iskcondesiretree.com/01_-_Srila_Prabhupada/01_-_Lectures/01_-_English/02_-_Month_wise/04_-_April/04/Walk_1975-04-04_MW-MAYAPUR.MP3" TargetMode="External"/><Relationship Id="rId4383" Type="http://schemas.openxmlformats.org/officeDocument/2006/relationships/hyperlink" Target="https://audio.iskcondesiretree.com/01_-_Srila_Prabhupada/01_-_Lectures/01_-_English/02_-_Month_wise/03_-_March/18/SB_7-09-40_MAY_1976-03-18_Serve_One_Master_Or_Many.mp3" TargetMode="External"/><Relationship Id="rId3051" Type="http://schemas.openxmlformats.org/officeDocument/2006/relationships/hyperlink" Target="https://audio.iskcondesiretree.com/01_-_Srila_Prabhupada/01_-_Lectures/01_-_English/02_-_Month_wise/04_-_April/04/RC_MAY_1975-04-04_They_Are_Envious_of_Me.mp3" TargetMode="External"/><Relationship Id="rId4382" Type="http://schemas.openxmlformats.org/officeDocument/2006/relationships/hyperlink" Target="https://audio.iskcondesiretree.com/01_-_Srila_Prabhupada/01_-_Lectures/01_-_English/02_-_Month_wise/03_-_March/18/SB-07-09-40_1976-03-18_SB-MAYAPUR.MP3" TargetMode="External"/><Relationship Id="rId3054" Type="http://schemas.openxmlformats.org/officeDocument/2006/relationships/hyperlink" Target="https://audio.iskcondesiretree.com/01_-_Srila_Prabhupada/01_-_Lectures/01_-_English/01_-_Topic_wise/Morning_Walk/SP_Morning_Walk_-_Mayapur_1975-04-05.MP3" TargetMode="External"/><Relationship Id="rId4385" Type="http://schemas.openxmlformats.org/officeDocument/2006/relationships/hyperlink" Target="https://audio.iskcondesiretree.com/01_-_Srila_Prabhupada/01_-_Lectures/01_-_English/01_-_Topic_wise/Srimad_Bhagavatam/Canto-07/SP_SB_7-09-41_Mayapur_1976-03-19_Is_God_Unkind.mp3" TargetMode="External"/><Relationship Id="rId3053" Type="http://schemas.openxmlformats.org/officeDocument/2006/relationships/hyperlink" Target="https://audio.iskcondesiretree.com/01_-_Srila_Prabhupada/01_-_Lectures/01_-_English/01_-_Topic_wise/Chaitanya_Charitamrita/Adi_Lila/SP_CC_A_01-12_Mayapur_1975-04-05_Big_Chunk-Big_Chumps-Big_Controller.mp3" TargetMode="External"/><Relationship Id="rId4384" Type="http://schemas.openxmlformats.org/officeDocument/2006/relationships/hyperlink" Target="https://audio.iskcondesiretree.com/01_-_Srila_Prabhupada/01_-_Lectures/01_-_English/02_-_Month_wise/03_-_March/18/Walk_1976-03-18_MW-MAYAPUR.MP3" TargetMode="External"/><Relationship Id="rId3056" Type="http://schemas.openxmlformats.org/officeDocument/2006/relationships/hyperlink" Target="https://audio.iskcondesiretree.com/01_-_Srila_Prabhupada/01_-_Lectures/01_-_English/02_-_Month_wise/04_-_April/05/CcAdi-01-012_1975-04-05_CC-MAYAPUR.MP3" TargetMode="External"/><Relationship Id="rId4387" Type="http://schemas.openxmlformats.org/officeDocument/2006/relationships/hyperlink" Target="https://audio.iskcondesiretree.com/01_-_Srila_Prabhupada/01_-_Lectures/01_-_English/02_-_Month_wise/03_-_March/19/SB_7-09-41_MAY_1976-03-19_Is_God_Unkind.mp3" TargetMode="External"/><Relationship Id="rId3055" Type="http://schemas.openxmlformats.org/officeDocument/2006/relationships/hyperlink" Target="https://audio.iskcondesiretree.com/01_-_Srila_Prabhupada/01_-_Lectures/01_-_English/02_-_Month_wise/04_-_April/05/Cc_A_1-12_MAY_1975-04-05_Big_Chunk-Big_Chumps-Big_Controller.mp3" TargetMode="External"/><Relationship Id="rId4386" Type="http://schemas.openxmlformats.org/officeDocument/2006/relationships/hyperlink" Target="https://audio.iskcondesiretree.com/01_-_Srila_Prabhupada/01_-_Lectures/01_-_English/02_-_Month_wise/03_-_March/19/SB-07-09-41_1976-03-19_SB-MAYAPUR.MP3" TargetMode="External"/><Relationship Id="rId3058" Type="http://schemas.openxmlformats.org/officeDocument/2006/relationships/hyperlink" Target="https://audio.iskcondesiretree.com/01_-_Srila_Prabhupada/01_-_Lectures/01_-_English/01_-_Topic_wise/Chaitanya_Charitamrita/Adi_Lila/SP_CC_A_01-13_Mayapur_1975-04-06.MP3" TargetMode="External"/><Relationship Id="rId4389" Type="http://schemas.openxmlformats.org/officeDocument/2006/relationships/hyperlink" Target="https://audio.iskcondesiretree.com/01_-_Srila_Prabhupada/01_-_Lectures/01_-_English/02_-_Month_wise/03_-_March/20/Lecture_1976-03-20_LE%E2%80%93Bengali-HARIDASPUR.MP3" TargetMode="External"/><Relationship Id="rId3057" Type="http://schemas.openxmlformats.org/officeDocument/2006/relationships/hyperlink" Target="https://audio.iskcondesiretree.com/01_-_Srila_Prabhupada/01_-_Lectures/01_-_English/02_-_Month_wise/04_-_April/05/Walk_1975-04-05_MW-MAYAPUR.MP3" TargetMode="External"/><Relationship Id="rId4388" Type="http://schemas.openxmlformats.org/officeDocument/2006/relationships/hyperlink" Target="https://audio.iskcondesiretree.com/01_-_Srila_Prabhupada/01_-_Lectures/01_-_English/02_-_Month_wise/03_-_March/19/Walk_1976-03-19_MW-MAYAPUR.MP3" TargetMode="External"/><Relationship Id="rId3059" Type="http://schemas.openxmlformats.org/officeDocument/2006/relationships/hyperlink" Target="https://audio.iskcondesiretree.com/01_-_Srila_Prabhupada/01_-_Lectures/01_-_English/01_-_Topic_wise/Morning_Walk/SP_Morning_Walk_-_Hyderabad_1975-04-06_A_Perfect_Disciple%27s_Imperfection.mp3" TargetMode="External"/><Relationship Id="rId4370" Type="http://schemas.openxmlformats.org/officeDocument/2006/relationships/hyperlink" Target="https://audio.iskcondesiretree.com/01_-_Srila_Prabhupada/01_-_Lectures/01_-_English/02_-_Month_wise/03_-_March/16/SB-07-09-38_1976-03-16_SB-MAYAPUR.MP3" TargetMode="External"/><Relationship Id="rId3041" Type="http://schemas.openxmlformats.org/officeDocument/2006/relationships/hyperlink" Target="https://audio.iskcondesiretree.com/01_-_Srila_Prabhupada/01_-_Lectures/01_-_English/02_-_Month_wise/04_-_April/03/MW_MAY_1975-04-03_High-Tech_High-Sci_Rascals.mp3" TargetMode="External"/><Relationship Id="rId4372" Type="http://schemas.openxmlformats.org/officeDocument/2006/relationships/hyperlink" Target="https://audio.iskcondesiretree.com/01_-_Srila_Prabhupada/01_-_Lectures/01_-_English/02_-_Month_wise/03_-_March/16/Walk_1976-03-16_MW-MAYAPUR.MP3" TargetMode="External"/><Relationship Id="rId3040" Type="http://schemas.openxmlformats.org/officeDocument/2006/relationships/hyperlink" Target="https://audio.iskcondesiretree.com/01_-_Srila_Prabhupada/01_-_Lectures/01_-_English/02_-_Month_wise/04_-_April/03/CcAdi-01-010_1975-04-03_CC-MAYAPUR.MP3" TargetMode="External"/><Relationship Id="rId4371" Type="http://schemas.openxmlformats.org/officeDocument/2006/relationships/hyperlink" Target="https://audio.iskcondesiretree.com/01_-_Srila_Prabhupada/01_-_Lectures/01_-_English/02_-_Month_wise/03_-_March/16/SB_7-09-38_MAY_1976-03-16_Gaura_Purnima--The_Undercover_Avatar.mp3" TargetMode="External"/><Relationship Id="rId3043" Type="http://schemas.openxmlformats.org/officeDocument/2006/relationships/hyperlink" Target="https://audio.iskcondesiretree.com/01_-_Srila_Prabhupada/01_-_Lectures/01_-_English/02_-_Month_wise/04_-_April/03/Walk_1975-04-03_MW-MAYAPUR.MP3" TargetMode="External"/><Relationship Id="rId4374" Type="http://schemas.openxmlformats.org/officeDocument/2006/relationships/hyperlink" Target="https://audio.iskcondesiretree.com/01_-_Srila_Prabhupada/01_-_Lectures/01_-_English/01_-_Topic_wise/Srimad_Bhagavatam/Canto-07/SP_SB_7-09-39_Mayapur_1976-03-17_How_Will_They_Become_Brahmanas.mp3" TargetMode="External"/><Relationship Id="rId3042" Type="http://schemas.openxmlformats.org/officeDocument/2006/relationships/hyperlink" Target="https://audio.iskcondesiretree.com/01_-_Srila_Prabhupada/01_-_Lectures/01_-_English/02_-_Month_wise/04_-_April/03/MW_MAY_1975-04-03_The_Return_Ticket_Hell_Heaven_Hell.mp3" TargetMode="External"/><Relationship Id="rId4373" Type="http://schemas.openxmlformats.org/officeDocument/2006/relationships/hyperlink" Target="https://audio.iskcondesiretree.com/01_-_Srila_Prabhupada/01_-_Lectures/01_-_English/01_-_Topic_wise/Morning_Walk/SP_Morning_Walk_-_Mayapur_1976-03-17_Brain_Is_Already_Created.mp3" TargetMode="External"/><Relationship Id="rId3045" Type="http://schemas.openxmlformats.org/officeDocument/2006/relationships/hyperlink" Target="https://audio.iskcondesiretree.com/01_-_Srila_Prabhupada/01_-_Lectures/01_-_English/01_-_Topic_wise/Morning_Walk/SP_Morning_Walk_-_Mayapur_1975-04-04_Preparing_for_World_War_Three.mp3" TargetMode="External"/><Relationship Id="rId4376" Type="http://schemas.openxmlformats.org/officeDocument/2006/relationships/hyperlink" Target="https://audio.iskcondesiretree.com/01_-_Srila_Prabhupada/01_-_Lectures/01_-_English/02_-_Month_wise/03_-_March/17/SB-07-09-39_1976-03-17_SB-MAYAPUR.MP3" TargetMode="External"/><Relationship Id="rId3044" Type="http://schemas.openxmlformats.org/officeDocument/2006/relationships/hyperlink" Target="https://audio.iskcondesiretree.com/01_-_Srila_Prabhupada/01_-_Lectures/01_-_English/01_-_Topic_wise/Chaitanya_Charitamrita/Adi_Lila/SP_CC_A_01-11_Mayapur_1975-04-04_Update_On_Struggle_Immortal--etc.mp3" TargetMode="External"/><Relationship Id="rId4375" Type="http://schemas.openxmlformats.org/officeDocument/2006/relationships/hyperlink" Target="https://audio.iskcondesiretree.com/01_-_Srila_Prabhupada/01_-_Lectures/01_-_English/02_-_Month_wise/03_-_March/17/MW_MAY_1976-03-17_Brain_Is_Already_Created.mp3" TargetMode="External"/><Relationship Id="rId3047" Type="http://schemas.openxmlformats.org/officeDocument/2006/relationships/hyperlink" Target="https://audio.iskcondesiretree.com/01_-_Srila_Prabhupada/01_-_Lectures/01_-_English/02_-_Month_wise/04_-_April/04/Cc_A_1-11_MAY_1975-04-04_Update_On_Struggle_Immortal_etc.mp3" TargetMode="External"/><Relationship Id="rId4378" Type="http://schemas.openxmlformats.org/officeDocument/2006/relationships/hyperlink" Target="https://audio.iskcondesiretree.com/01_-_Srila_Prabhupada/01_-_Lectures/01_-_English/02_-_Month_wise/03_-_March/17/Walk_1976-03-17_MW-MAYAPUR.MP3" TargetMode="External"/><Relationship Id="rId3046" Type="http://schemas.openxmlformats.org/officeDocument/2006/relationships/hyperlink" Target="https://audio.iskcondesiretree.com/01_-_Srila_Prabhupada/01_-_Lectures/01_-_English/01_-_Topic_wise/Room_Conversation/SP_Room_Conversation_Mayapur_1975-04-04_They_Are_Envious_of_Me.mp3" TargetMode="External"/><Relationship Id="rId4377" Type="http://schemas.openxmlformats.org/officeDocument/2006/relationships/hyperlink" Target="https://audio.iskcondesiretree.com/01_-_Srila_Prabhupada/01_-_Lectures/01_-_English/02_-_Month_wise/03_-_March/17/SB_7-09-39_MAY_1976-03-17_How_Will_They_Become_Brahmanas.mp3" TargetMode="External"/><Relationship Id="rId3049" Type="http://schemas.openxmlformats.org/officeDocument/2006/relationships/hyperlink" Target="https://audio.iskcondesiretree.com/01_-_Srila_Prabhupada/01_-_Lectures/01_-_English/02_-_Month_wise/04_-_April/04/Conv_1975-04-04_R1-MAYAPUR.MP3" TargetMode="External"/><Relationship Id="rId3048" Type="http://schemas.openxmlformats.org/officeDocument/2006/relationships/hyperlink" Target="https://audio.iskcondesiretree.com/01_-_Srila_Prabhupada/01_-_Lectures/01_-_English/02_-_Month_wise/04_-_April/04/CcAdi-01-011_1975-04-04_CC-MAYAPUR.MP3" TargetMode="External"/><Relationship Id="rId4379" Type="http://schemas.openxmlformats.org/officeDocument/2006/relationships/hyperlink" Target="https://audio.iskcondesiretree.com/01_-_Srila_Prabhupada/01_-_Lectures/01_-_English/01_-_Topic_wise/Morning_Walk/SP_Morning_Walk_-_Mayapur_1976-03-18_Chance...None_-_but_One.mp3" TargetMode="External"/><Relationship Id="rId5714" Type="http://schemas.openxmlformats.org/officeDocument/2006/relationships/hyperlink" Target="https://audio.iskcondesiretree.com/01_-_Srila_Prabhupada/01_-_Lectures/01_-_English/02_-_Month_wise/02_-_Feburary/18/Conv_1977-02-18_R3-MAYAPUR.MP3" TargetMode="External"/><Relationship Id="rId5715" Type="http://schemas.openxmlformats.org/officeDocument/2006/relationships/hyperlink" Target="https://audio.iskcondesiretree.com/01_-_Srila_Prabhupada/01_-_Lectures/01_-_English/02_-_Month_wise/02_-_Feburary/18/Conv_1977-02-18_R4-MAYAPUR.MP3" TargetMode="External"/><Relationship Id="rId5712" Type="http://schemas.openxmlformats.org/officeDocument/2006/relationships/hyperlink" Target="https://audio.iskcondesiretree.com/01_-_Srila_Prabhupada/01_-_Lectures/01_-_English/02_-_Month_wise/02_-_Feburary/18/Conv_1977-02-18_R1-MAYAPUR.MP3" TargetMode="External"/><Relationship Id="rId5713" Type="http://schemas.openxmlformats.org/officeDocument/2006/relationships/hyperlink" Target="https://audio.iskcondesiretree.com/01_-_Srila_Prabhupada/01_-_Lectures/01_-_English/02_-_Month_wise/02_-_Feburary/18/Conv_1977-02-18_R2-MAYAPUR.MP3" TargetMode="External"/><Relationship Id="rId5718" Type="http://schemas.openxmlformats.org/officeDocument/2006/relationships/hyperlink" Target="https://audio.iskcondesiretree.com/01_-_Srila_Prabhupada/01_-_Lectures/01_-_English/02_-_Month_wise/02_-_Feburary/19/Conv_1977-02-19_R1-MAYAPUR.MP3" TargetMode="External"/><Relationship Id="rId5719" Type="http://schemas.openxmlformats.org/officeDocument/2006/relationships/hyperlink" Target="https://audio.iskcondesiretree.com/01_-_Srila_Prabhupada/01_-_Lectures/01_-_English/02_-_Month_wise/02_-_Feburary/19/Conv_1977-02-19_R2-MAYAPUR.MP3" TargetMode="External"/><Relationship Id="rId5716" Type="http://schemas.openxmlformats.org/officeDocument/2006/relationships/hyperlink" Target="https://audio.iskcondesiretree.com/01_-_Srila_Prabhupada/01_-_Lectures/01_-_English/02_-_Month_wise/02_-_Feburary/18/SB-07-09-04_1977-02-18_SB-MAYAPUR.MP3" TargetMode="External"/><Relationship Id="rId5717" Type="http://schemas.openxmlformats.org/officeDocument/2006/relationships/hyperlink" Target="https://audio.iskcondesiretree.com/01_-_Srila_Prabhupada/01_-_Lectures/01_-_English/02_-_Month_wise/02_-_Feburary/18/SB_7-09-04_MAY_1977-02-18_Can_God_Become_Angry.mp3" TargetMode="External"/><Relationship Id="rId5710" Type="http://schemas.openxmlformats.org/officeDocument/2006/relationships/hyperlink" Target="https://audio.iskcondesiretree.com/01_-_Srila_Prabhupada/01_-_Lectures/01_-_English/02_-_Month_wise/02_-_Feburary/17/SB_7-09-03_MAY_1977-02-17_Easily_Available_for_Devotees.mp3" TargetMode="External"/><Relationship Id="rId5711" Type="http://schemas.openxmlformats.org/officeDocument/2006/relationships/hyperlink" Target="https://audio.iskcondesiretree.com/01_-_Srila_Prabhupada/01_-_Lectures/01_-_English/01_-_Topic_wise/Srimad_Bhagavatam/Canto-07/SP_SB_7-09-04_Mayapur_1977-02-18_Can_God_Become_Angry.mp3" TargetMode="External"/><Relationship Id="rId5703" Type="http://schemas.openxmlformats.org/officeDocument/2006/relationships/hyperlink" Target="https://audio.iskcondesiretree.com/01_-_Srila_Prabhupada/01_-_Lectures/01_-_English/01_-_Topic_wise/Room_Conversation/SP_Room_Conversation_Mayapur_1977-02-16_The_Secret_of_Safety.mp3" TargetMode="External"/><Relationship Id="rId5704" Type="http://schemas.openxmlformats.org/officeDocument/2006/relationships/hyperlink" Target="https://audio.iskcondesiretree.com/01_-_Srila_Prabhupada/01_-_Lectures/01_-_English/02_-_Month_wise/02_-_Feburary/16/Conv_1977-02-16_R1-MAYAPUR.MP3" TargetMode="External"/><Relationship Id="rId5701" Type="http://schemas.openxmlformats.org/officeDocument/2006/relationships/hyperlink" Target="https://audio.iskcondesiretree.com/01_-_Srila_Prabhupada/01_-_Lectures/01_-_English/02_-_Month_wise/02_-_Feburary/14/Conv_1977-02-14_RO-MAYAPUR.MP3" TargetMode="External"/><Relationship Id="rId5702" Type="http://schemas.openxmlformats.org/officeDocument/2006/relationships/hyperlink" Target="https://audio.iskcondesiretree.com/01_-_Srila_Prabhupada/01_-_Lectures/01_-_English/02_-_Month_wise/02_-_Feburary/15/Darshan_1977-02-15_ED-MAYAPUR.MP3" TargetMode="External"/><Relationship Id="rId5707" Type="http://schemas.openxmlformats.org/officeDocument/2006/relationships/hyperlink" Target="https://audio.iskcondesiretree.com/01_-_Srila_Prabhupada/01_-_Lectures/01_-_English/01_-_Topic_wise/Srimad_Bhagavatam/Canto-07/SP_SB_7-09-03_Mayapur_1977-02-17_Easily_Available_for_Devotees.mp3" TargetMode="External"/><Relationship Id="rId5708" Type="http://schemas.openxmlformats.org/officeDocument/2006/relationships/hyperlink" Target="https://audio.iskcondesiretree.com/01_-_Srila_Prabhupada/01_-_Lectures/01_-_English/02_-_Month_wise/02_-_Feburary/17/Conv_1977-02-17_R1-MAYAPUR.MP3" TargetMode="External"/><Relationship Id="rId5705" Type="http://schemas.openxmlformats.org/officeDocument/2006/relationships/hyperlink" Target="https://audio.iskcondesiretree.com/01_-_Srila_Prabhupada/01_-_Lectures/01_-_English/02_-_Month_wise/02_-_Feburary/16/Conv_1977-02-16_R2-MAYAPUR.MP3" TargetMode="External"/><Relationship Id="rId5706" Type="http://schemas.openxmlformats.org/officeDocument/2006/relationships/hyperlink" Target="https://audio.iskcondesiretree.com/01_-_Srila_Prabhupada/01_-_Lectures/01_-_English/02_-_Month_wise/02_-_Feburary/16/RC_MAY_1977-02-16_The_Secret_of_Safety.mp3" TargetMode="External"/><Relationship Id="rId5709" Type="http://schemas.openxmlformats.org/officeDocument/2006/relationships/hyperlink" Target="https://audio.iskcondesiretree.com/01_-_Srila_Prabhupada/01_-_Lectures/01_-_English/02_-_Month_wise/02_-_Feburary/17/SB-07-09-03_1977-02-17_SB-MAYAPUR.MP3" TargetMode="External"/><Relationship Id="rId5700" Type="http://schemas.openxmlformats.org/officeDocument/2006/relationships/hyperlink" Target="https://audio.iskcondesiretree.com/01_-_Srila_Prabhupada/01_-_Lectures/01_-_English/02_-_Month_wise/02_-_Feburary/14/Conv_1977-02-14_R2-MAYAPUR.MP3" TargetMode="External"/><Relationship Id="rId3117" Type="http://schemas.openxmlformats.org/officeDocument/2006/relationships/hyperlink" Target="https://audio.iskcondesiretree.com/01_-_Srila_Prabhupada/01_-_Lectures/01_-_English/02_-_Month_wise/04_-_April/17/Bg-09-01_1975-04-17_BG-VRNDAVAN.MP3" TargetMode="External"/><Relationship Id="rId4448" Type="http://schemas.openxmlformats.org/officeDocument/2006/relationships/hyperlink" Target="https://audio.iskcondesiretree.com/01_-_Srila_Prabhupada/01_-_Lectures/01_-_English/02_-_Month_wise/04_-_April/08/SB_7-09-53_VRN_1976-04-08_Please_Krishna%2C_See_Krishna.mp3" TargetMode="External"/><Relationship Id="rId3116" Type="http://schemas.openxmlformats.org/officeDocument/2006/relationships/hyperlink" Target="https://audio.iskcondesiretree.com/01_-_Srila_Prabhupada/01_-_Lectures/01_-_English/01_-_Topic_wise/Morning_Walk/SP_Morning_Walk_-_Vrindavan_1975-04-17.MP3" TargetMode="External"/><Relationship Id="rId4447" Type="http://schemas.openxmlformats.org/officeDocument/2006/relationships/hyperlink" Target="https://audio.iskcondesiretree.com/01_-_Srila_Prabhupada/01_-_Lectures/01_-_English/02_-_Month_wise/04_-_April/08/SB-07-09-53_1976-04-08_SB-VRNDAVAN.MP3" TargetMode="External"/><Relationship Id="rId3119" Type="http://schemas.openxmlformats.org/officeDocument/2006/relationships/hyperlink" Target="https://audio.iskcondesiretree.com/01_-_Srila_Prabhupada/01_-_Lectures/01_-_English/02_-_Month_wise/04_-_April/17/Walk_1975-04-17_MW-VRNDAVAN.MP3" TargetMode="External"/><Relationship Id="rId5778" Type="http://schemas.openxmlformats.org/officeDocument/2006/relationships/hyperlink" Target="https://audio.iskcondesiretree.com/01_-_Srila_Prabhupada/01_-_Lectures/01_-_English/02_-_Month_wise/03_-_March/29/SB%E2%80%9305-05-03%E2%80%9304_1977-03-29_SB-BOMBAY.MP3" TargetMode="External"/><Relationship Id="rId3118" Type="http://schemas.openxmlformats.org/officeDocument/2006/relationships/hyperlink" Target="https://audio.iskcondesiretree.com/01_-_Srila_Prabhupada/01_-_Lectures/01_-_English/02_-_Month_wise/04_-_April/17/Bg_09-01_VRN_1975-04-17_How_to_Become_Non-Envious.mp3" TargetMode="External"/><Relationship Id="rId4449" Type="http://schemas.openxmlformats.org/officeDocument/2006/relationships/hyperlink" Target="https://audio.iskcondesiretree.com/01_-_Srila_Prabhupada/01_-_Lectures/01_-_English/02_-_Month_wise/04_-_April/08/Speech%E2%80%93Hindi_1976-04-08_SP-VRNDAVAN.MP3" TargetMode="External"/><Relationship Id="rId5779" Type="http://schemas.openxmlformats.org/officeDocument/2006/relationships/hyperlink" Target="https://audio.iskcondesiretree.com/01_-_Srila_Prabhupada/01_-_Lectures/01_-_English/02_-_Month_wise/03_-_March/30/Conv_1977-03-30_R1-BOMBAY.MP3" TargetMode="External"/><Relationship Id="rId4440" Type="http://schemas.openxmlformats.org/officeDocument/2006/relationships/hyperlink" Target="https://audio.iskcondesiretree.com/01_-_Srila_Prabhupada/01_-_Lectures/01_-_English/02_-_Month_wise/04_-_April/07/Lect_VRN_1976-04-07_The_Guru%27s_Business_is_Not_to_etc.mp3" TargetMode="External"/><Relationship Id="rId5772" Type="http://schemas.openxmlformats.org/officeDocument/2006/relationships/hyperlink" Target="https://audio.iskcondesiretree.com/01_-_Srila_Prabhupada/01_-_Lectures/01_-_English/02_-_Month_wise/03_-_March/27/Conv_1977-03-27_R2-BOMBAY.MP3" TargetMode="External"/><Relationship Id="rId5773" Type="http://schemas.openxmlformats.org/officeDocument/2006/relationships/hyperlink" Target="https://audio.iskcondesiretree.com/01_-_Srila_Prabhupada/01_-_Lectures/01_-_English/02_-_Month_wise/03_-_March/27/Conv_1977-03-27_R3-BOMBAY.MP3" TargetMode="External"/><Relationship Id="rId3111" Type="http://schemas.openxmlformats.org/officeDocument/2006/relationships/hyperlink" Target="https://audio.iskcondesiretree.com/01_-_Srila_Prabhupada/01_-_Lectures/01_-_English/02_-_Month_wise/04_-_April/14/RC_HYD_1975-04-14_Supreme_Science%2C_Supreme_Music.mp3" TargetMode="External"/><Relationship Id="rId4442" Type="http://schemas.openxmlformats.org/officeDocument/2006/relationships/hyperlink" Target="https://audio.iskcondesiretree.com/01_-_Srila_Prabhupada/01_-_Lectures/01_-_English/02_-_Month_wise/04_-_April/07/SB-07-09-52_1976-04-07_SB-VRNDAVAN.MP3" TargetMode="External"/><Relationship Id="rId5770" Type="http://schemas.openxmlformats.org/officeDocument/2006/relationships/hyperlink" Target="https://audio.iskcondesiretree.com/01_-_Srila_Prabhupada/01_-_Lectures/01_-_English/02_-_Month_wise/03_-_March/26/Lecture_1977-03-26_LE-BOMBAY.MP3" TargetMode="External"/><Relationship Id="rId3110" Type="http://schemas.openxmlformats.org/officeDocument/2006/relationships/hyperlink" Target="https://audio.iskcondesiretree.com/01_-_Srila_Prabhupada/01_-_Lectures/01_-_English/02_-_Month_wise/04_-_April/14/Lecture_1975-04-14_LE-HYDERABAD.MP3" TargetMode="External"/><Relationship Id="rId4441" Type="http://schemas.openxmlformats.org/officeDocument/2006/relationships/hyperlink" Target="https://audio.iskcondesiretree.com/01_-_Srila_Prabhupada/01_-_Lectures/01_-_English/02_-_Month_wise/04_-_April/07/Lecture_1976-04-07_LE-VRNDAVAN.MP3" TargetMode="External"/><Relationship Id="rId5771" Type="http://schemas.openxmlformats.org/officeDocument/2006/relationships/hyperlink" Target="https://audio.iskcondesiretree.com/01_-_Srila_Prabhupada/01_-_Lectures/01_-_English/02_-_Month_wise/03_-_March/27/Conv_1977-03-27_R1-BOMBAY.MP3" TargetMode="External"/><Relationship Id="rId3113" Type="http://schemas.openxmlformats.org/officeDocument/2006/relationships/hyperlink" Target="https://audio.iskcondesiretree.com/01_-_Srila_Prabhupada/01_-_Lectures/01_-_English/02_-_Month_wise/04_-_April/15/SB-05-05-03_1975-04-15_SB-HYDERABAD.MP3" TargetMode="External"/><Relationship Id="rId4444" Type="http://schemas.openxmlformats.org/officeDocument/2006/relationships/hyperlink" Target="https://audio.iskcondesiretree.com/01_-_Srila_Prabhupada/01_-_Lectures/01_-_English/02_-_Month_wise/04_-_April/07/Walk_1976-04-07_MW-VRNDAVAN.MP3" TargetMode="External"/><Relationship Id="rId5776" Type="http://schemas.openxmlformats.org/officeDocument/2006/relationships/hyperlink" Target="https://audio.iskcondesiretree.com/01_-_Srila_Prabhupada/01_-_Lectures/01_-_English/02_-_Month_wise/03_-_March/29/Conv_1977-03-29_R1-BOMBAY.MP3" TargetMode="External"/><Relationship Id="rId3112" Type="http://schemas.openxmlformats.org/officeDocument/2006/relationships/hyperlink" Target="https://audio.iskcondesiretree.com/01_-_Srila_Prabhupada/01_-_Lectures/01_-_English/01_-_Topic_wise/Srimad_Bhagavatam/Canto-05/SP_SB_5-05-02_Hyderabad_1975-04-15_How_to_Find_a_Grhasta-mahatma.mp3" TargetMode="External"/><Relationship Id="rId4443" Type="http://schemas.openxmlformats.org/officeDocument/2006/relationships/hyperlink" Target="https://audio.iskcondesiretree.com/01_-_Srila_Prabhupada/01_-_Lectures/01_-_English/02_-_Month_wise/04_-_April/07/SB_7-09-52_VRN_1976-04-07_Nondevotees_Cruel_Cruel_Cruel.mp3" TargetMode="External"/><Relationship Id="rId5777" Type="http://schemas.openxmlformats.org/officeDocument/2006/relationships/hyperlink" Target="https://audio.iskcondesiretree.com/01_-_Srila_Prabhupada/01_-_Lectures/01_-_English/02_-_Month_wise/03_-_March/29/Lect_BOM_1977-03-29_We_Have_to_Tolerate.mp3" TargetMode="External"/><Relationship Id="rId3115" Type="http://schemas.openxmlformats.org/officeDocument/2006/relationships/hyperlink" Target="https://audio.iskcondesiretree.com/01_-_Srila_Prabhupada/01_-_Lectures/01_-_English/01_-_Topic_wise/Bhagavad_Gita/Chapter-09/SP_BG_09-01_Vrindavan_1975-04-17_How_to_Become_Non-Envious.mp3" TargetMode="External"/><Relationship Id="rId4446" Type="http://schemas.openxmlformats.org/officeDocument/2006/relationships/hyperlink" Target="https://audio.iskcondesiretree.com/01_-_Srila_Prabhupada/01_-_Lectures/01_-_English/02_-_Month_wise/04_-_April/08/Lecture%E2%80%93Hindi_1976-04-08_LE-VRNDAVAN.MP3" TargetMode="External"/><Relationship Id="rId5774" Type="http://schemas.openxmlformats.org/officeDocument/2006/relationships/hyperlink" Target="https://audio.iskcondesiretree.com/01_-_Srila_Prabhupada/01_-_Lectures/01_-_English/02_-_Month_wise/03_-_March/27/Conv_1977-03-27_R4-BOMBAY.MP3" TargetMode="External"/><Relationship Id="rId3114" Type="http://schemas.openxmlformats.org/officeDocument/2006/relationships/hyperlink" Target="https://audio.iskcondesiretree.com/01_-_Srila_Prabhupada/01_-_Lectures/01_-_English/02_-_Month_wise/04_-_April/15/SB_5-05-02_HYD_1975-04-15_How_to_Find_a_Grhasta-mahatma.mp3" TargetMode="External"/><Relationship Id="rId4445" Type="http://schemas.openxmlformats.org/officeDocument/2006/relationships/hyperlink" Target="https://audio.iskcondesiretree.com/01_-_Srila_Prabhupada/01_-_Lectures/01_-_English/01_-_Topic_wise/Srimad_Bhagavatam/Canto-07/SP_SB_7-09-53_Vrindavan_1976-04-08_Please_Krishna_See_Krishna.mp3" TargetMode="External"/><Relationship Id="rId5775" Type="http://schemas.openxmlformats.org/officeDocument/2006/relationships/hyperlink" Target="https://audio.iskcondesiretree.com/01_-_Srila_Prabhupada/01_-_Lectures/01_-_English/01_-_Topic_wise/Various/SP_Lecture_Bombay_1977-03-29_We_Have_to_Tolerate.mp3" TargetMode="External"/><Relationship Id="rId3106" Type="http://schemas.openxmlformats.org/officeDocument/2006/relationships/hyperlink" Target="https://audio.iskcondesiretree.com/01_-_Srila_Prabhupada/01_-_Lectures/01_-_English/02_-_Month_wise/04_-_April/14/Addr_HYD_1975-04-14_At_Life_Member%27s_House_Let_Us_etc.mp3" TargetMode="External"/><Relationship Id="rId4437" Type="http://schemas.openxmlformats.org/officeDocument/2006/relationships/hyperlink" Target="https://audio.iskcondesiretree.com/01_-_Srila_Prabhupada/01_-_Lectures/01_-_English/02_-_Month_wise/04_-_April/06/Walk_1976-04-06_MW-VRNDAVAN.MP3" TargetMode="External"/><Relationship Id="rId5769" Type="http://schemas.openxmlformats.org/officeDocument/2006/relationships/hyperlink" Target="https://audio.iskcondesiretree.com/01_-_Srila_Prabhupada/01_-_Lectures/01_-_English/02_-_Month_wise/03_-_March/26/Conv_1977-03-26_R3-BOMBAY.MP3" TargetMode="External"/><Relationship Id="rId3105" Type="http://schemas.openxmlformats.org/officeDocument/2006/relationships/hyperlink" Target="https://audio.iskcondesiretree.com/01_-_Srila_Prabhupada/01_-_Lectures/01_-_English/01_-_Topic_wise/Various/SP_Lecture_Hyderabad_1975-04-14_Let_Us_Become_Dogs_of_Krishna.mp3" TargetMode="External"/><Relationship Id="rId4436" Type="http://schemas.openxmlformats.org/officeDocument/2006/relationships/hyperlink" Target="https://audio.iskcondesiretree.com/01_-_Srila_Prabhupada/01_-_Lectures/01_-_English/02_-_Month_wise/04_-_April/06/SB-07-09-51_1976-04-06_SB-VRNDAVAN.MP3" TargetMode="External"/><Relationship Id="rId3108" Type="http://schemas.openxmlformats.org/officeDocument/2006/relationships/hyperlink" Target="https://audio.iskcondesiretree.com/01_-_Srila_Prabhupada/01_-_Lectures/01_-_English/02_-_Month_wise/04_-_April/14/Lect_HYD_1975-04-14_Let_Us_Become_Dogs_of_Krishna.mp3" TargetMode="External"/><Relationship Id="rId4439" Type="http://schemas.openxmlformats.org/officeDocument/2006/relationships/hyperlink" Target="https://audio.iskcondesiretree.com/01_-_Srila_Prabhupada/01_-_Lectures/01_-_English/01_-_Topic_wise/Various/SP_Lecture_Vrindavan_1976-04-07_The_Guru%27s_Business_is_Not_to--etc.mp3" TargetMode="External"/><Relationship Id="rId5767" Type="http://schemas.openxmlformats.org/officeDocument/2006/relationships/hyperlink" Target="https://audio.iskcondesiretree.com/01_-_Srila_Prabhupada/01_-_Lectures/01_-_English/02_-_Month_wise/03_-_March/26/Conv_1977-03-26_R1-BOMBAY.MP3" TargetMode="External"/><Relationship Id="rId3107" Type="http://schemas.openxmlformats.org/officeDocument/2006/relationships/hyperlink" Target="https://audio.iskcondesiretree.com/01_-_Srila_Prabhupada/01_-_Lectures/01_-_English/02_-_Month_wise/04_-_April/14/Conv_1975-04-14_R1-HYDERABAD.MP3" TargetMode="External"/><Relationship Id="rId4438" Type="http://schemas.openxmlformats.org/officeDocument/2006/relationships/hyperlink" Target="https://audio.iskcondesiretree.com/01_-_Srila_Prabhupada/01_-_Lectures/01_-_English/01_-_Topic_wise/Srimad_Bhagavatam/Canto-07/SP_SB_7-09-52_Vrindavan_1976-04-07_Nondevotees--Cruel_Cruel_Cruel.mp3" TargetMode="External"/><Relationship Id="rId5768" Type="http://schemas.openxmlformats.org/officeDocument/2006/relationships/hyperlink" Target="https://audio.iskcondesiretree.com/01_-_Srila_Prabhupada/01_-_Lectures/01_-_English/02_-_Month_wise/03_-_March/26/Conv_1977-03-26_R2-BOMBAY.MP3" TargetMode="External"/><Relationship Id="rId3109" Type="http://schemas.openxmlformats.org/officeDocument/2006/relationships/hyperlink" Target="https://audio.iskcondesiretree.com/01_-_Srila_Prabhupada/01_-_Lectures/01_-_English/02_-_Month_wise/04_-_April/14/Lecture_1975-04-14_L2-HYDERABAD.MP3" TargetMode="External"/><Relationship Id="rId5761" Type="http://schemas.openxmlformats.org/officeDocument/2006/relationships/hyperlink" Target="https://audio.iskcondesiretree.com/01_-_Srila_Prabhupada/01_-_Lectures/01_-_English/02_-_Month_wise/03_-_March/24/Conv_1977-03-24_R1-BOMBAY.MP3" TargetMode="External"/><Relationship Id="rId5762" Type="http://schemas.openxmlformats.org/officeDocument/2006/relationships/hyperlink" Target="https://audio.iskcondesiretree.com/01_-_Srila_Prabhupada/01_-_Lectures/01_-_English/02_-_Month_wise/03_-_March/24/Lect_BOM_1977-03-24_Krishna%27s_Yoga_System_Not_New.mp3" TargetMode="External"/><Relationship Id="rId3100" Type="http://schemas.openxmlformats.org/officeDocument/2006/relationships/hyperlink" Target="https://audio.iskcondesiretree.com/01_-_Srila_Prabhupada/01_-_Lectures/01_-_English/02_-_Month_wise/04_-_April/13/SB-05-05-02_1975-04-13_SB-HYDERABAD.MP3" TargetMode="External"/><Relationship Id="rId4431" Type="http://schemas.openxmlformats.org/officeDocument/2006/relationships/hyperlink" Target="https://audio.iskcondesiretree.com/01_-_Srila_Prabhupada/01_-_Lectures/01_-_English/02_-_Month_wise/04_-_April/05/SB-07-09-50_1976-04-05_SB-VRNDAVAN.MP3" TargetMode="External"/><Relationship Id="rId4430" Type="http://schemas.openxmlformats.org/officeDocument/2006/relationships/hyperlink" Target="https://audio.iskcondesiretree.com/01_-_Srila_Prabhupada/01_-_Lectures/01_-_English/02_-_Month_wise/04_-_April/05/Conv_1976-04-05_R1-VRNDAVAN.MP3" TargetMode="External"/><Relationship Id="rId5760" Type="http://schemas.openxmlformats.org/officeDocument/2006/relationships/hyperlink" Target="https://audio.iskcondesiretree.com/01_-_Srila_Prabhupada/01_-_Lectures/01_-_English/01_-_Topic_wise/Various/SP_Lecture_Bombay_1977-03-24_Krishna%27s_Yoga_System_-_Not_New.mp3" TargetMode="External"/><Relationship Id="rId3102" Type="http://schemas.openxmlformats.org/officeDocument/2006/relationships/hyperlink" Target="https://audio.iskcondesiretree.com/01_-_Srila_Prabhupada/01_-_Lectures/01_-_English/01_-_Topic_wise/Arrival_Address/SP_Address_Hyderabad_1975-04-14_At_Life_Member%27s_House--Let_Us--etc.mp3" TargetMode="External"/><Relationship Id="rId4433" Type="http://schemas.openxmlformats.org/officeDocument/2006/relationships/hyperlink" Target="https://audio.iskcondesiretree.com/01_-_Srila_Prabhupada/01_-_Lectures/01_-_English/02_-_Month_wise/04_-_April/06/Conv_1976-04-06_R2-VRNDAVAN.MP3" TargetMode="External"/><Relationship Id="rId5765" Type="http://schemas.openxmlformats.org/officeDocument/2006/relationships/hyperlink" Target="https://audio.iskcondesiretree.com/01_-_Srila_Prabhupada/01_-_Lectures/01_-_English/02_-_Month_wise/03_-_March/25/SB_5-05-01_BOM_1977-03-25_Don%27t_Live_the_Life_of_a_Hog.mp3" TargetMode="External"/><Relationship Id="rId3101" Type="http://schemas.openxmlformats.org/officeDocument/2006/relationships/hyperlink" Target="https://audio.iskcondesiretree.com/01_-_Srila_Prabhupada/01_-_Lectures/01_-_English/02_-_Month_wise/04_-_April/13/SB_5-05-02_HYD_1975-04-13_Liberation_Meaning_What.mp3" TargetMode="External"/><Relationship Id="rId4432" Type="http://schemas.openxmlformats.org/officeDocument/2006/relationships/hyperlink" Target="https://audio.iskcondesiretree.com/01_-_Srila_Prabhupada/01_-_Lectures/01_-_English/02_-_Month_wise/04_-_April/05/Walk_1976-04-05-MW-VRNDAVAN.MP3" TargetMode="External"/><Relationship Id="rId5766" Type="http://schemas.openxmlformats.org/officeDocument/2006/relationships/hyperlink" Target="https://audio.iskcondesiretree.com/01_-_Srila_Prabhupada/01_-_Lectures/01_-_English/02_-_Month_wise/03_-_March/25/SB%E2%80%9305-05-01%E2%80%9302_1977-03-25_SB-BOMBAY.MP3" TargetMode="External"/><Relationship Id="rId3104" Type="http://schemas.openxmlformats.org/officeDocument/2006/relationships/hyperlink" Target="https://audio.iskcondesiretree.com/01_-_Srila_Prabhupada/01_-_Lectures/01_-_English/01_-_Topic_wise/Various/SP_Lecture_Hyderabad_1975-04-14.MP3" TargetMode="External"/><Relationship Id="rId4435" Type="http://schemas.openxmlformats.org/officeDocument/2006/relationships/hyperlink" Target="https://audio.iskcondesiretree.com/01_-_Srila_Prabhupada/01_-_Lectures/01_-_English/02_-_Month_wise/04_-_April/06/Meeting_1976-04-06_ME-VRNDAVAN.MP3" TargetMode="External"/><Relationship Id="rId5763" Type="http://schemas.openxmlformats.org/officeDocument/2006/relationships/hyperlink" Target="https://audio.iskcondesiretree.com/01_-_Srila_Prabhupada/01_-_Lectures/01_-_English/02_-_Month_wise/03_-_March/24/SB-02-03-20_1977-03-24_SB-BOMBAY.MP3" TargetMode="External"/><Relationship Id="rId3103" Type="http://schemas.openxmlformats.org/officeDocument/2006/relationships/hyperlink" Target="https://audio.iskcondesiretree.com/01_-_Srila_Prabhupada/01_-_Lectures/01_-_English/01_-_Topic_wise/Room_Conversation/SP_Room_Conversation_Hyderabad_1975-04-14_Supreme_Science_Supreme_Music.mp3" TargetMode="External"/><Relationship Id="rId4434" Type="http://schemas.openxmlformats.org/officeDocument/2006/relationships/hyperlink" Target="https://audio.iskcondesiretree.com/01_-_Srila_Prabhupada/01_-_Lectures/01_-_English/02_-_Month_wise/04_-_April/06/Conv%E2%80%93Hindi_1976-04-06_R1-VRNDAVAN.MP3" TargetMode="External"/><Relationship Id="rId5764" Type="http://schemas.openxmlformats.org/officeDocument/2006/relationships/hyperlink" Target="https://audio.iskcondesiretree.com/01_-_Srila_Prabhupada/01_-_Lectures/01_-_English/01_-_Topic_wise/Srimad_Bhagavatam/Canto-05/SP_SB_5-05-01_Bombay_1977-03-25_Don%27t_Live_the_Life_of_a_Hog.mp3" TargetMode="External"/><Relationship Id="rId3139" Type="http://schemas.openxmlformats.org/officeDocument/2006/relationships/hyperlink" Target="https://audio.iskcondesiretree.com/01_-_Srila_Prabhupada/01_-_Lectures/01_-_English/01_-_Topic_wise/Srimad_Bhagavatam/Canto-01/SP_SB_1-07-07_Vrindavan_1975-04-24_Curing_Our_Heart_Disease.mp3" TargetMode="External"/><Relationship Id="rId3138" Type="http://schemas.openxmlformats.org/officeDocument/2006/relationships/hyperlink" Target="https://audio.iskcondesiretree.com/01_-_Srila_Prabhupada/01_-_Lectures/01_-_English/02_-_Month_wise/04_-_April/23/Walk_1975-04-23_MW-VRNDAVAN.MP3" TargetMode="External"/><Relationship Id="rId4469" Type="http://schemas.openxmlformats.org/officeDocument/2006/relationships/hyperlink" Target="https://audio.iskcondesiretree.com/01_-_Srila_Prabhupada/01_-_Lectures/01_-_English/02_-_Month_wise/04_-_April/13/Walk_1976-04-13_MW-BOMBAY.MP3" TargetMode="External"/><Relationship Id="rId5790" Type="http://schemas.openxmlformats.org/officeDocument/2006/relationships/hyperlink" Target="https://audio.iskcondesiretree.com/01_-_Srila_Prabhupada/01_-_Lectures/01_-_English/02_-_Month_wise/04_-_April/04/RC_BOM_1977-04-04_Unlock_the_Universal_Science.mp3" TargetMode="External"/><Relationship Id="rId5791" Type="http://schemas.openxmlformats.org/officeDocument/2006/relationships/hyperlink" Target="https://audio.iskcondesiretree.com/01_-_Srila_Prabhupada/01_-_Lectures/01_-_English/02_-_Month_wise/04_-_April/05/Conv_1977-04-05_R1-BOMBAY.MP3" TargetMode="External"/><Relationship Id="rId4460" Type="http://schemas.openxmlformats.org/officeDocument/2006/relationships/hyperlink" Target="https://audio.iskcondesiretree.com/01_-_Srila_Prabhupada/01_-_Lectures/01_-_English/02_-_Month_wise/04_-_April/10/SB_7-09-55_VRN_1976-04-10_The_Spoiling_Civilization.mp3" TargetMode="External"/><Relationship Id="rId3131" Type="http://schemas.openxmlformats.org/officeDocument/2006/relationships/hyperlink" Target="https://audio.iskcondesiretree.com/01_-_Srila_Prabhupada/01_-_Lectures/01_-_English/02_-_Month_wise/04_-_April/20/Lect_VRN_1975-04-20_These_Boys_Were_Jagai_%26_Madhai.mp3" TargetMode="External"/><Relationship Id="rId4462" Type="http://schemas.openxmlformats.org/officeDocument/2006/relationships/hyperlink" Target="https://audio.iskcondesiretree.com/01_-_Srila_Prabhupada/01_-_Lectures/01_-_English/01_-_Topic_wise/Srimad_Bhagavatam/Canto-07/SP_SB_7-12-01_Bombay_1976-04-12_I_Don%27t_Say_You%27re_a_Rascal.mp3" TargetMode="External"/><Relationship Id="rId5794" Type="http://schemas.openxmlformats.org/officeDocument/2006/relationships/hyperlink" Target="https://audio.iskcondesiretree.com/01_-_Srila_Prabhupada/01_-_Lectures/01_-_English/02_-_Month_wise/04_-_April/05/Interview_1977-04-05_IV-BOMBAY.MP3" TargetMode="External"/><Relationship Id="rId3130" Type="http://schemas.openxmlformats.org/officeDocument/2006/relationships/hyperlink" Target="https://audio.iskcondesiretree.com/01_-_Srila_Prabhupada/01_-_Lectures/01_-_English/02_-_Month_wise/04_-_April/20/Conv_1975-04-20_R1-VRNDAVAN.MP3" TargetMode="External"/><Relationship Id="rId4461" Type="http://schemas.openxmlformats.org/officeDocument/2006/relationships/hyperlink" Target="https://audio.iskcondesiretree.com/01_-_Srila_Prabhupada/01_-_Lectures/01_-_English/02_-_Month_wise/04_-_April/10/Walk_1976-04-10_MW-VRNDAVAN.MP3" TargetMode="External"/><Relationship Id="rId5795" Type="http://schemas.openxmlformats.org/officeDocument/2006/relationships/hyperlink" Target="https://audio.iskcondesiretree.com/01_-_Srila_Prabhupada/01_-_Lectures/01_-_English/02_-_Month_wise/04_-_April/10/Conv_1977-04-10_R1-BOMBAY.MP3" TargetMode="External"/><Relationship Id="rId3133" Type="http://schemas.openxmlformats.org/officeDocument/2006/relationships/hyperlink" Target="https://audio.iskcondesiretree.com/01_-_Srila_Prabhupada/01_-_Lectures/01_-_English/02_-_Month_wise/04_-_April/20/Speech_1975-04-20_SP-VRNDAVAN.MP3" TargetMode="External"/><Relationship Id="rId4464" Type="http://schemas.openxmlformats.org/officeDocument/2006/relationships/hyperlink" Target="https://audio.iskcondesiretree.com/01_-_Srila_Prabhupada/01_-_Lectures/01_-_English/02_-_Month_wise/04_-_April/12/SB_7-12-01_BOM_1976-04-12_I_Don%27t_Say_You%27re_a_Rascal.mp3" TargetMode="External"/><Relationship Id="rId5792" Type="http://schemas.openxmlformats.org/officeDocument/2006/relationships/hyperlink" Target="https://audio.iskcondesiretree.com/01_-_Srila_Prabhupada/01_-_Lectures/01_-_English/02_-_Month_wise/04_-_April/05/Conv_1977-04-05_R2-BOMBAY.MP3" TargetMode="External"/><Relationship Id="rId3132" Type="http://schemas.openxmlformats.org/officeDocument/2006/relationships/hyperlink" Target="https://audio.iskcondesiretree.com/01_-_Srila_Prabhupada/01_-_Lectures/01_-_English/02_-_Month_wise/04_-_April/20/RC_VRN_1975-04-20_Governor-The_State_Should_Train_Men.mp3" TargetMode="External"/><Relationship Id="rId4463" Type="http://schemas.openxmlformats.org/officeDocument/2006/relationships/hyperlink" Target="https://audio.iskcondesiretree.com/01_-_Srila_Prabhupada/01_-_Lectures/01_-_English/02_-_Month_wise/04_-_April/12/SB-07-12-01_1976-04-12_SB-BOMBAY.MP3" TargetMode="External"/><Relationship Id="rId5793" Type="http://schemas.openxmlformats.org/officeDocument/2006/relationships/hyperlink" Target="https://audio.iskcondesiretree.com/01_-_Srila_Prabhupada/01_-_Lectures/01_-_English/02_-_Month_wise/04_-_April/05/Conv_1977-04-05_R3-BOMBAY.MP3" TargetMode="External"/><Relationship Id="rId3135" Type="http://schemas.openxmlformats.org/officeDocument/2006/relationships/hyperlink" Target="https://audio.iskcondesiretree.com/01_-_Srila_Prabhupada/01_-_Lectures/01_-_English/01_-_Topic_wise/Srimad_Bhagavatam/Canto-01/SP_SB_1-07-06_Vrindavan_1975-04-23_Making_Good_Use_of_the_Useless.mp3" TargetMode="External"/><Relationship Id="rId4466" Type="http://schemas.openxmlformats.org/officeDocument/2006/relationships/hyperlink" Target="https://audio.iskcondesiretree.com/01_-_Srila_Prabhupada/01_-_Lectures/01_-_English/01_-_Topic_wise/Srimad_Bhagavatam/Canto-07/SP_SB_7-12-02_Bombay_1976-04-13_Hippie_Population.mp3" TargetMode="External"/><Relationship Id="rId5798" Type="http://schemas.openxmlformats.org/officeDocument/2006/relationships/hyperlink" Target="https://audio.iskcondesiretree.com/01_-_Srila_Prabhupada/01_-_Lectures/01_-_English/02_-_Month_wise/04_-_April/13/Conv_1977-04-13_R1-BOMBAY.MP3" TargetMode="External"/><Relationship Id="rId3134" Type="http://schemas.openxmlformats.org/officeDocument/2006/relationships/hyperlink" Target="https://audio.iskcondesiretree.com/01_-_Srila_Prabhupada/01_-_Lectures/01_-_English/01_-_Topic_wise/Morning_Walk/SP_Morning_Walk_-_Vrindavan_1975-04-23.MP3" TargetMode="External"/><Relationship Id="rId4465" Type="http://schemas.openxmlformats.org/officeDocument/2006/relationships/hyperlink" Target="https://audio.iskcondesiretree.com/01_-_Srila_Prabhupada/01_-_Lectures/01_-_English/02_-_Month_wise/04_-_April/12/Walk_1976-04-12_MW-BOMBAY.MP3" TargetMode="External"/><Relationship Id="rId5799" Type="http://schemas.openxmlformats.org/officeDocument/2006/relationships/hyperlink" Target="https://audio.iskcondesiretree.com/01_-_Srila_Prabhupada/01_-_Lectures/01_-_English/02_-_Month_wise/04_-_April/15/Conv_1977-04-15_R1-BOMBAY.MP3" TargetMode="External"/><Relationship Id="rId3137" Type="http://schemas.openxmlformats.org/officeDocument/2006/relationships/hyperlink" Target="https://audio.iskcondesiretree.com/01_-_Srila_Prabhupada/01_-_Lectures/01_-_English/02_-_Month_wise/04_-_April/23/SB_1-07-06_VRN_1975-04-23_Making_Good_Use_of_the_Useless.mp3" TargetMode="External"/><Relationship Id="rId4468" Type="http://schemas.openxmlformats.org/officeDocument/2006/relationships/hyperlink" Target="https://audio.iskcondesiretree.com/01_-_Srila_Prabhupada/01_-_Lectures/01_-_English/02_-_Month_wise/04_-_April/13/SB_7-12-02_BOM_1976-04-13_Hippie_Population.mp3" TargetMode="External"/><Relationship Id="rId5796" Type="http://schemas.openxmlformats.org/officeDocument/2006/relationships/hyperlink" Target="https://audio.iskcondesiretree.com/01_-_Srila_Prabhupada/01_-_Lectures/01_-_English/02_-_Month_wise/04_-_April/10/Conv_1977-04-10_R2-BOMBAY.MP3" TargetMode="External"/><Relationship Id="rId3136" Type="http://schemas.openxmlformats.org/officeDocument/2006/relationships/hyperlink" Target="https://audio.iskcondesiretree.com/01_-_Srila_Prabhupada/01_-_Lectures/01_-_English/02_-_Month_wise/04_-_April/23/SB-01-07-06_1975-04-23_SB-VRNDAVAN.MP3" TargetMode="External"/><Relationship Id="rId4467" Type="http://schemas.openxmlformats.org/officeDocument/2006/relationships/hyperlink" Target="https://audio.iskcondesiretree.com/01_-_Srila_Prabhupada/01_-_Lectures/01_-_English/02_-_Month_wise/04_-_April/13/SB-07-12-02_1976-04-13_SB-BOMBAY.MP3" TargetMode="External"/><Relationship Id="rId5797" Type="http://schemas.openxmlformats.org/officeDocument/2006/relationships/hyperlink" Target="https://audio.iskcondesiretree.com/01_-_Srila_Prabhupada/01_-_Lectures/01_-_English/02_-_Month_wise/04_-_April/11/Conv_1977-04-11_R1-BOMBAY.MP3" TargetMode="External"/><Relationship Id="rId3128" Type="http://schemas.openxmlformats.org/officeDocument/2006/relationships/hyperlink" Target="https://audio.iskcondesiretree.com/01_-_Srila_Prabhupada/01_-_Lectures/01_-_English/01_-_Topic_wise/Various/SP_Lecture_Vrindavan_1975-04-20_These_Boys_Were_Jagai_%26_Madhai.mp3" TargetMode="External"/><Relationship Id="rId4459" Type="http://schemas.openxmlformats.org/officeDocument/2006/relationships/hyperlink" Target="https://audio.iskcondesiretree.com/01_-_Srila_Prabhupada/01_-_Lectures/01_-_English/02_-_Month_wise/04_-_April/10/SB-07-09-55_1976-04-10_SB-VRNDAVAN.MP3" TargetMode="External"/><Relationship Id="rId3127" Type="http://schemas.openxmlformats.org/officeDocument/2006/relationships/hyperlink" Target="https://audio.iskcondesiretree.com/01_-_Srila_Prabhupada/01_-_Lectures/01_-_English/01_-_Topic_wise/Room_Conversation/SP_Room_Conversation_Vrindavan_1975-04-20_Governor--The_State_Should_Train_Men.mp3" TargetMode="External"/><Relationship Id="rId4458" Type="http://schemas.openxmlformats.org/officeDocument/2006/relationships/hyperlink" Target="https://audio.iskcondesiretree.com/01_-_Srila_Prabhupada/01_-_Lectures/01_-_English/02_-_Month_wise/04_-_April/10/MW_VRN_1976-04-10_The_Crow_Tal-Fruit_Controversy.mp3" TargetMode="External"/><Relationship Id="rId5789" Type="http://schemas.openxmlformats.org/officeDocument/2006/relationships/hyperlink" Target="https://audio.iskcondesiretree.com/01_-_Srila_Prabhupada/01_-_Lectures/01_-_English/01_-_Topic_wise/Room_Conversation/SP_Room_Conversation_Bombay_1977-04-04_Unlock_the_Universal_Science.mp3" TargetMode="External"/><Relationship Id="rId3129" Type="http://schemas.openxmlformats.org/officeDocument/2006/relationships/hyperlink" Target="https://audio.iskcondesiretree.com/01_-_Srila_Prabhupada/01_-_Lectures/01_-_English/02_-_Month_wise/04_-_April/20/CcMadhya-19-053_1975-04-20_SP-VRNDAVAN.MP3" TargetMode="External"/><Relationship Id="rId5780" Type="http://schemas.openxmlformats.org/officeDocument/2006/relationships/hyperlink" Target="https://audio.iskcondesiretree.com/01_-_Srila_Prabhupada/01_-_Lectures/01_-_English/02_-_Month_wise/03_-_March/31/Conv_1977-03-31_R1-BOMBAY.MP3" TargetMode="External"/><Relationship Id="rId3120" Type="http://schemas.openxmlformats.org/officeDocument/2006/relationships/hyperlink" Target="https://audio.iskcondesiretree.com/01_-_Srila_Prabhupada/01_-_Lectures/01_-_English/01_-_Topic_wise/Srimad_Bhagavatam/Canto-01/SP_SB_1-07-06_Vrindavan_1975-04-18_Unwanted_Nonsense-and_Freedom.mp3" TargetMode="External"/><Relationship Id="rId4451" Type="http://schemas.openxmlformats.org/officeDocument/2006/relationships/hyperlink" Target="https://audio.iskcondesiretree.com/01_-_Srila_Prabhupada/01_-_Lectures/01_-_English/01_-_Topic_wise/Srimad_Bhagavatam/Canto-07/SP_SB_7-09-54_Vrindavan_1976-04-09_New_Orleans_More_Wanting.mp3" TargetMode="External"/><Relationship Id="rId5783" Type="http://schemas.openxmlformats.org/officeDocument/2006/relationships/hyperlink" Target="https://audio.iskcondesiretree.com/01_-_Srila_Prabhupada/01_-_Lectures/01_-_English/01_-_Topic_wise/Room_Conversation/SP_Room_Conversation_Bombay_1977-04-01_From_Skyscraper_Constructor_to--etc.mp3" TargetMode="External"/><Relationship Id="rId4450" Type="http://schemas.openxmlformats.org/officeDocument/2006/relationships/hyperlink" Target="https://audio.iskcondesiretree.com/01_-_Srila_Prabhupada/01_-_Lectures/01_-_English/02_-_Month_wise/04_-_April/08/Walk_1976-04-08_MW-VRNDAVAN.MP3" TargetMode="External"/><Relationship Id="rId5784" Type="http://schemas.openxmlformats.org/officeDocument/2006/relationships/hyperlink" Target="https://audio.iskcondesiretree.com/01_-_Srila_Prabhupada/01_-_Lectures/01_-_English/01_-_Topic_wise/Various/SP_Lecture_Bombay_1977-04-01_Higher_Knowledge.mp3" TargetMode="External"/><Relationship Id="rId3122" Type="http://schemas.openxmlformats.org/officeDocument/2006/relationships/hyperlink" Target="https://audio.iskcondesiretree.com/01_-_Srila_Prabhupada/01_-_Lectures/01_-_English/02_-_Month_wise/04_-_April/18/SB_1-07-06_VRN_1975-04-18_Unwanted_Nonsense_and_Freedom.mp3" TargetMode="External"/><Relationship Id="rId4453" Type="http://schemas.openxmlformats.org/officeDocument/2006/relationships/hyperlink" Target="https://audio.iskcondesiretree.com/01_-_Srila_Prabhupada/01_-_Lectures/01_-_English/02_-_Month_wise/04_-_April/09/SB-07-09-54_1976-04-09_SB-VRNDAVAN.MP3" TargetMode="External"/><Relationship Id="rId5781" Type="http://schemas.openxmlformats.org/officeDocument/2006/relationships/hyperlink" Target="https://audio.iskcondesiretree.com/01_-_Srila_Prabhupada/01_-_Lectures/01_-_English/02_-_Month_wise/03_-_March/31/Conv_1977-03-31_R2-BOMBAY.MP3" TargetMode="External"/><Relationship Id="rId3121" Type="http://schemas.openxmlformats.org/officeDocument/2006/relationships/hyperlink" Target="https://audio.iskcondesiretree.com/01_-_Srila_Prabhupada/01_-_Lectures/01_-_English/02_-_Month_wise/04_-_April/18/SB-01-07-06_1975-04-18_SB-VRNDAVAN.MP3" TargetMode="External"/><Relationship Id="rId4452" Type="http://schemas.openxmlformats.org/officeDocument/2006/relationships/hyperlink" Target="https://audio.iskcondesiretree.com/01_-_Srila_Prabhupada/01_-_Lectures/01_-_English/02_-_Month_wise/04_-_April/09/Lecture%E2%80%93Hindi_1976-04-09_LE-VRNDAVAN.MP3" TargetMode="External"/><Relationship Id="rId5782" Type="http://schemas.openxmlformats.org/officeDocument/2006/relationships/hyperlink" Target="https://audio.iskcondesiretree.com/01_-_Srila_Prabhupada/01_-_Lectures/01_-_English/02_-_Month_wise/03_-_March/31/Conv_1977-03-31_R3-BOMBAY.MP3" TargetMode="External"/><Relationship Id="rId3124" Type="http://schemas.openxmlformats.org/officeDocument/2006/relationships/hyperlink" Target="https://audio.iskcondesiretree.com/01_-_Srila_Prabhupada/01_-_Lectures/01_-_English/01_-_Topic_wise/Room_Conversation/SP_Room_Conversation_Vrindavan_1975-04-19.MP3" TargetMode="External"/><Relationship Id="rId4455" Type="http://schemas.openxmlformats.org/officeDocument/2006/relationships/hyperlink" Target="https://audio.iskcondesiretree.com/01_-_Srila_Prabhupada/01_-_Lectures/01_-_English/02_-_Month_wise/04_-_April/09/Walk_1976-04-09_MW-VRNDAVAN.MP3" TargetMode="External"/><Relationship Id="rId5787" Type="http://schemas.openxmlformats.org/officeDocument/2006/relationships/hyperlink" Target="https://audio.iskcondesiretree.com/01_-_Srila_Prabhupada/01_-_Lectures/01_-_English/02_-_Month_wise/04_-_April/01/RC_BOM_1977-04-01_From_Skyscraper_Constructor_to_etc.mp3" TargetMode="External"/><Relationship Id="rId3123" Type="http://schemas.openxmlformats.org/officeDocument/2006/relationships/hyperlink" Target="https://audio.iskcondesiretree.com/01_-_Srila_Prabhupada/01_-_Lectures/01_-_English/01_-_Topic_wise/Morning_Walk/SP_Morning_Walk_-_Vrindavan_1975-04-19.MP3" TargetMode="External"/><Relationship Id="rId4454" Type="http://schemas.openxmlformats.org/officeDocument/2006/relationships/hyperlink" Target="https://audio.iskcondesiretree.com/01_-_Srila_Prabhupada/01_-_Lectures/01_-_English/02_-_Month_wise/04_-_April/09/SB_7-09-54_VRN_1976-04-09_No_More_Wanting.mp3" TargetMode="External"/><Relationship Id="rId5788" Type="http://schemas.openxmlformats.org/officeDocument/2006/relationships/hyperlink" Target="https://audio.iskcondesiretree.com/01_-_Srila_Prabhupada/01_-_Lectures/01_-_English/02_-_Month_wise/04_-_April/02/Conv_1977-04-02_R1-BOMBAY.MP3" TargetMode="External"/><Relationship Id="rId3126" Type="http://schemas.openxmlformats.org/officeDocument/2006/relationships/hyperlink" Target="https://audio.iskcondesiretree.com/01_-_Srila_Prabhupada/01_-_Lectures/01_-_English/02_-_Month_wise/04_-_April/19/Walk_1975-04-19_MW-VRNDAVAN.MP3" TargetMode="External"/><Relationship Id="rId4457" Type="http://schemas.openxmlformats.org/officeDocument/2006/relationships/hyperlink" Target="https://audio.iskcondesiretree.com/01_-_Srila_Prabhupada/01_-_Lectures/01_-_English/01_-_Topic_wise/Srimad_Bhagavatam/Canto-07/SP_SB_7-09-55_Vrindavan_1976-04-10_The_Spoiling_Civilization.mp3" TargetMode="External"/><Relationship Id="rId5785" Type="http://schemas.openxmlformats.org/officeDocument/2006/relationships/hyperlink" Target="https://audio.iskcondesiretree.com/01_-_Srila_Prabhupada/01_-_Lectures/01_-_English/02_-_Month_wise/04_-_April/01/Lect_BOM_1977-04-01_Higher_Knowledge.mp3" TargetMode="External"/><Relationship Id="rId3125" Type="http://schemas.openxmlformats.org/officeDocument/2006/relationships/hyperlink" Target="https://audio.iskcondesiretree.com/01_-_Srila_Prabhupada/01_-_Lectures/01_-_English/02_-_Month_wise/04_-_April/19/Conv_1975-04-19_R1-VRNDAVAN.MP3" TargetMode="External"/><Relationship Id="rId4456" Type="http://schemas.openxmlformats.org/officeDocument/2006/relationships/hyperlink" Target="https://audio.iskcondesiretree.com/01_-_Srila_Prabhupada/01_-_Lectures/01_-_English/01_-_Topic_wise/Morning_Walk/SP_Morning_Walk_-_Vrindavan_1976-04-10_The_Crow_Tal-Fruit_Controversy.mp3" TargetMode="External"/><Relationship Id="rId5786" Type="http://schemas.openxmlformats.org/officeDocument/2006/relationships/hyperlink" Target="https://audio.iskcondesiretree.com/01_-_Srila_Prabhupada/01_-_Lectures/01_-_English/02_-_Month_wise/04_-_April/01/Lecture_1977-04-01_LE-BOMBAY.MP3" TargetMode="External"/><Relationship Id="rId4404" Type="http://schemas.openxmlformats.org/officeDocument/2006/relationships/hyperlink" Target="https://audio.iskcondesiretree.com/01_-_Srila_Prabhupada/01_-_Lectures/01_-_English/02_-_Month_wise/03_-_March/25/Bg_02-11_DEL_1976-03-25_Evolution-Darwinian_or_Divine.mp3" TargetMode="External"/><Relationship Id="rId5736" Type="http://schemas.openxmlformats.org/officeDocument/2006/relationships/hyperlink" Target="https://audio.iskcondesiretree.com/01_-_Srila_Prabhupada/01_-_Lectures/01_-_English/02_-_Month_wise/02_-_Feburary/26/SB-07-09-06_1977-02-26_SB-MAYAPUR.MP3" TargetMode="External"/><Relationship Id="rId4403" Type="http://schemas.openxmlformats.org/officeDocument/2006/relationships/hyperlink" Target="https://audio.iskcondesiretree.com/01_-_Srila_Prabhupada/01_-_Lectures/01_-_English/02_-_Month_wise/03_-_March/25/Bg-02-11_1976-03-25_BG-DELHI.MP3" TargetMode="External"/><Relationship Id="rId5737" Type="http://schemas.openxmlformats.org/officeDocument/2006/relationships/hyperlink" Target="https://audio.iskcondesiretree.com/01_-_Srila_Prabhupada/01_-_Lectures/01_-_English/02_-_Month_wise/02_-_Feburary/26/SB_7-09-06_MAY_1977-02-26_God--Supreme_Being.mp3" TargetMode="External"/><Relationship Id="rId4406" Type="http://schemas.openxmlformats.org/officeDocument/2006/relationships/hyperlink" Target="https://audio.iskcondesiretree.com/01_-_Srila_Prabhupada/01_-_Lectures/01_-_English/02_-_Month_wise/03_-_March/25/Interv_DEL_1976-03-25_Press--India-_Overintelligent.mp3" TargetMode="External"/><Relationship Id="rId5734" Type="http://schemas.openxmlformats.org/officeDocument/2006/relationships/hyperlink" Target="https://audio.iskcondesiretree.com/01_-_Srila_Prabhupada/01_-_Lectures/01_-_English/02_-_Month_wise/02_-_Feburary/26/Darshan_1977-02-26_ED-MAYAPUR.MP3" TargetMode="External"/><Relationship Id="rId4405" Type="http://schemas.openxmlformats.org/officeDocument/2006/relationships/hyperlink" Target="https://audio.iskcondesiretree.com/01_-_Srila_Prabhupada/01_-_Lectures/01_-_English/02_-_Month_wise/03_-_March/25/Conv_1976-03-25_R1-DELHI.MP3" TargetMode="External"/><Relationship Id="rId5735" Type="http://schemas.openxmlformats.org/officeDocument/2006/relationships/hyperlink" Target="https://audio.iskcondesiretree.com/01_-_Srila_Prabhupada/01_-_Lectures/01_-_English/02_-_Month_wise/02_-_Feburary/26/Interview_Hindi-English_1977-02-26_IV-MAYAPUR.MP3" TargetMode="External"/><Relationship Id="rId4408" Type="http://schemas.openxmlformats.org/officeDocument/2006/relationships/hyperlink" Target="https://audio.iskcondesiretree.com/01_-_Srila_Prabhupada/01_-_Lectures/01_-_English/02_-_Month_wise/03_-_March/25/Walk_1976-03-25_MW-DELHI.MP3" TargetMode="External"/><Relationship Id="rId4407" Type="http://schemas.openxmlformats.org/officeDocument/2006/relationships/hyperlink" Target="https://audio.iskcondesiretree.com/01_-_Srila_Prabhupada/01_-_Lectures/01_-_English/02_-_Month_wise/03_-_March/25/MW_DEL_1976-03-25_Suffering_Is_Your_Creation.mp3" TargetMode="External"/><Relationship Id="rId5738" Type="http://schemas.openxmlformats.org/officeDocument/2006/relationships/hyperlink" Target="https://audio.iskcondesiretree.com/01_-_Srila_Prabhupada/01_-_Lectures/01_-_English/01_-_Topic_wise/Srimad_Bhagavatam/Canto-07/SP_SB_7-09-07_Mayapur_1977-02-27_Touch_Krishna_By_Your_Tongue.mp3" TargetMode="External"/><Relationship Id="rId4409" Type="http://schemas.openxmlformats.org/officeDocument/2006/relationships/hyperlink" Target="https://audio.iskcondesiretree.com/01_-_Srila_Prabhupada/01_-_Lectures/01_-_English/01_-_Topic_wise/Morning_Walk/SP_Morning_Walk_-_Delhi_1976-03-26_Impious_and_Pious_are_the_Same.mp3" TargetMode="External"/><Relationship Id="rId5739" Type="http://schemas.openxmlformats.org/officeDocument/2006/relationships/hyperlink" Target="https://audio.iskcondesiretree.com/01_-_Srila_Prabhupada/01_-_Lectures/01_-_English/02_-_Month_wise/02_-_Feburary/27/Conv_1977-02-27_R1-MAYAPUR.MP3" TargetMode="External"/><Relationship Id="rId4400" Type="http://schemas.openxmlformats.org/officeDocument/2006/relationships/hyperlink" Target="https://audio.iskcondesiretree.com/01_-_Srila_Prabhupada/01_-_Lectures/01_-_English/01_-_Topic_wise/Bhagavad_Gita/Chapter-02/SP_BG_02-11_Delhi_1976-03-25_Evolution-Darwinian_or_Divine.mp3" TargetMode="External"/><Relationship Id="rId5732" Type="http://schemas.openxmlformats.org/officeDocument/2006/relationships/hyperlink" Target="https://audio.iskcondesiretree.com/01_-_Srila_Prabhupada/01_-_Lectures/01_-_English/02_-_Month_wise/02_-_Feburary/25/SB_7-09-05_MAY_1977-02-25_Don%27t_Think_God_Has_No_Feeling.mp3" TargetMode="External"/><Relationship Id="rId5733" Type="http://schemas.openxmlformats.org/officeDocument/2006/relationships/hyperlink" Target="https://audio.iskcondesiretree.com/01_-_Srila_Prabhupada/01_-_Lectures/01_-_English/01_-_Topic_wise/Srimad_Bhagavatam/Canto-07/SP_SB_7-09-06_Mayapur_1977-02-26_God--Supreme_Being.mp3" TargetMode="External"/><Relationship Id="rId4402" Type="http://schemas.openxmlformats.org/officeDocument/2006/relationships/hyperlink" Target="https://audio.iskcondesiretree.com/01_-_Srila_Prabhupada/01_-_Lectures/01_-_English/01_-_Topic_wise/Morning_Walk/SP_Morning_Walk_-_Delhi_1976-03-25_Suffering_Is_Your_Creation.mp3" TargetMode="External"/><Relationship Id="rId5730" Type="http://schemas.openxmlformats.org/officeDocument/2006/relationships/hyperlink" Target="https://audio.iskcondesiretree.com/01_-_Srila_Prabhupada/01_-_Lectures/01_-_English/02_-_Month_wise/02_-_Feburary/25/Darshan_1977-02-25_ED-MAYAPUR.MP3" TargetMode="External"/><Relationship Id="rId4401" Type="http://schemas.openxmlformats.org/officeDocument/2006/relationships/hyperlink" Target="https://audio.iskcondesiretree.com/01_-_Srila_Prabhupada/01_-_Lectures/01_-_English/01_-_Topic_wise/Interview/SP_Interview_Delhi_1976-03-25_Press--India-_Overintelligent.mp3" TargetMode="External"/><Relationship Id="rId5731" Type="http://schemas.openxmlformats.org/officeDocument/2006/relationships/hyperlink" Target="https://audio.iskcondesiretree.com/01_-_Srila_Prabhupada/01_-_Lectures/01_-_English/02_-_Month_wise/02_-_Feburary/25/SB-07-09-05_1977-02-25_SB-MAYAPUR.MP3" TargetMode="External"/><Relationship Id="rId5725" Type="http://schemas.openxmlformats.org/officeDocument/2006/relationships/hyperlink" Target="https://audio.iskcondesiretree.com/01_-_Srila_Prabhupada/01_-_Lectures/01_-_English/02_-_Month_wise/02_-_Feburary/24/Conv_1977-02-24_R1-MAYAPUR.MP3" TargetMode="External"/><Relationship Id="rId5726" Type="http://schemas.openxmlformats.org/officeDocument/2006/relationships/hyperlink" Target="https://audio.iskcondesiretree.com/01_-_Srila_Prabhupada/01_-_Lectures/01_-_English/02_-_Month_wise/02_-_Feburary/24/Darshan_1977-02-24_ED-MAYAPUR.MP3" TargetMode="External"/><Relationship Id="rId5723" Type="http://schemas.openxmlformats.org/officeDocument/2006/relationships/hyperlink" Target="https://audio.iskcondesiretree.com/01_-_Srila_Prabhupada/01_-_Lectures/01_-_English/02_-_Month_wise/02_-_Feburary/20/Conv_1977-02-20_R1-MAYAPUR.MP3" TargetMode="External"/><Relationship Id="rId5724" Type="http://schemas.openxmlformats.org/officeDocument/2006/relationships/hyperlink" Target="https://audio.iskcondesiretree.com/01_-_Srila_Prabhupada/01_-_Lectures/01_-_English/02_-_Month_wise/02_-_Feburary/21/Conv_1977-02-21_R1-MAYAPUR.MP3" TargetMode="External"/><Relationship Id="rId5729" Type="http://schemas.openxmlformats.org/officeDocument/2006/relationships/hyperlink" Target="https://audio.iskcondesiretree.com/01_-_Srila_Prabhupada/01_-_Lectures/01_-_English/02_-_Month_wise/02_-_Feburary/25/Conv_1977-02-25_R2-MAYAPUR.MP3" TargetMode="External"/><Relationship Id="rId5727" Type="http://schemas.openxmlformats.org/officeDocument/2006/relationships/hyperlink" Target="https://audio.iskcondesiretree.com/01_-_Srila_Prabhupada/01_-_Lectures/01_-_English/01_-_Topic_wise/Srimad_Bhagavatam/Canto-07/SP_SB_7-09-05_Mayapur_1977-02-25_Don%27t_Think_God_Has_New_Orleans_Feeling.mp3" TargetMode="External"/><Relationship Id="rId5728" Type="http://schemas.openxmlformats.org/officeDocument/2006/relationships/hyperlink" Target="https://audio.iskcondesiretree.com/01_-_Srila_Prabhupada/01_-_Lectures/01_-_English/02_-_Month_wise/02_-_Feburary/25/Conv_1977-02-25_R1-MAYAPUR.MP3" TargetMode="External"/><Relationship Id="rId5721" Type="http://schemas.openxmlformats.org/officeDocument/2006/relationships/hyperlink" Target="https://audio.iskcondesiretree.com/01_-_Srila_Prabhupada/01_-_Lectures/01_-_English/02_-_Month_wise/02_-_Feburary/19/Conv_1977-02-19_R4-MAYAPUR.MP3" TargetMode="External"/><Relationship Id="rId5722" Type="http://schemas.openxmlformats.org/officeDocument/2006/relationships/hyperlink" Target="https://audio.iskcondesiretree.com/01_-_Srila_Prabhupada/01_-_Lectures/01_-_English/02_-_Month_wise/02_-_Feburary/19/Darshan_1977-02-19_ED-MAYAPUR.MP3" TargetMode="External"/><Relationship Id="rId5720" Type="http://schemas.openxmlformats.org/officeDocument/2006/relationships/hyperlink" Target="https://audio.iskcondesiretree.com/01_-_Srila_Prabhupada/01_-_Lectures/01_-_English/02_-_Month_wise/02_-_Feburary/19/Conv_1977-02-19_R3-MAYAPUR.MP3" TargetMode="External"/><Relationship Id="rId4426" Type="http://schemas.openxmlformats.org/officeDocument/2006/relationships/hyperlink" Target="https://audio.iskcondesiretree.com/01_-_Srila_Prabhupada/01_-_Lectures/01_-_English/02_-_Month_wise/04_-_April/04/Conv_1976-04-04_R1-VRNDAVAN.MP3" TargetMode="External"/><Relationship Id="rId5758" Type="http://schemas.openxmlformats.org/officeDocument/2006/relationships/hyperlink" Target="https://audio.iskcondesiretree.com/01_-_Srila_Prabhupada/01_-_Lectures/01_-_English/02_-_Month_wise/03_-_March/23/RC_BOM_1977-03-23_Krishna_Culture.mp3" TargetMode="External"/><Relationship Id="rId4425" Type="http://schemas.openxmlformats.org/officeDocument/2006/relationships/hyperlink" Target="https://audio.iskcondesiretree.com/01_-_Srila_Prabhupada/01_-_Lectures/01_-_English/01_-_Topic_wise/Srimad_Bhagavatam/Canto-07/SP_SB_7-09-49_Vrindavan_1976-04-04_Big_Talk_Hard_Work-_Not_the_Way.mp3" TargetMode="External"/><Relationship Id="rId5759" Type="http://schemas.openxmlformats.org/officeDocument/2006/relationships/hyperlink" Target="https://audio.iskcondesiretree.com/01_-_Srila_Prabhupada/01_-_Lectures/01_-_English/02_-_Month_wise/03_-_March/23/SB-02-03-18%E2%80%9319_1977-03-23_SB-BOMBAY.MP3" TargetMode="External"/><Relationship Id="rId4428" Type="http://schemas.openxmlformats.org/officeDocument/2006/relationships/hyperlink" Target="https://audio.iskcondesiretree.com/01_-_Srila_Prabhupada/01_-_Lectures/01_-_English/02_-_Month_wise/04_-_April/04/SB-07-09-49_1976-04-04_SB-VRNDAVAN.MP3" TargetMode="External"/><Relationship Id="rId5756" Type="http://schemas.openxmlformats.org/officeDocument/2006/relationships/hyperlink" Target="https://audio.iskcondesiretree.com/01_-_Srila_Prabhupada/01_-_Lectures/01_-_English/02_-_Month_wise/03_-_March/22/Conv_1977-03-22_R1-BOMBAY.MP3" TargetMode="External"/><Relationship Id="rId4427" Type="http://schemas.openxmlformats.org/officeDocument/2006/relationships/hyperlink" Target="https://audio.iskcondesiretree.com/01_-_Srila_Prabhupada/01_-_Lectures/01_-_English/02_-_Month_wise/04_-_April/04/Initiations_1976-04-04_IN-VRNDAVAN.MP3" TargetMode="External"/><Relationship Id="rId5757" Type="http://schemas.openxmlformats.org/officeDocument/2006/relationships/hyperlink" Target="https://audio.iskcondesiretree.com/01_-_Srila_Prabhupada/01_-_Lectures/01_-_English/01_-_Topic_wise/Room_Conversation/SP_Room_Conversation_Bombay_1977-03-23_Krishna_Culture.mp3" TargetMode="External"/><Relationship Id="rId4429" Type="http://schemas.openxmlformats.org/officeDocument/2006/relationships/hyperlink" Target="https://audio.iskcondesiretree.com/01_-_Srila_Prabhupada/01_-_Lectures/01_-_English/02_-_Month_wise/04_-_April/04/SB_7-09-49_VRN_1976-04-04_Big_Talk%2C_Hard_Work-_Not_the_Way.mp3" TargetMode="External"/><Relationship Id="rId5750" Type="http://schemas.openxmlformats.org/officeDocument/2006/relationships/hyperlink" Target="https://audio.iskcondesiretree.com/01_-_Srila_Prabhupada/01_-_Lectures/01_-_English/02_-_Month_wise/03_-_March/01/Conv_1977-03-01_R1-MAYAPUR.MP3" TargetMode="External"/><Relationship Id="rId5751" Type="http://schemas.openxmlformats.org/officeDocument/2006/relationships/hyperlink" Target="https://audio.iskcondesiretree.com/01_-_Srila_Prabhupada/01_-_Lectures/01_-_English/02_-_Month_wise/03_-_March/01/Conv_1977-03-01_R2-MAYAPUR.MP3" TargetMode="External"/><Relationship Id="rId4420" Type="http://schemas.openxmlformats.org/officeDocument/2006/relationships/hyperlink" Target="https://audio.iskcondesiretree.com/01_-_Srila_Prabhupada/01_-_Lectures/01_-_English/02_-_Month_wise/04_-_April/02/SB-07-09-47_1976-04-02_SB-VRNDAVAN.MP3" TargetMode="External"/><Relationship Id="rId4422" Type="http://schemas.openxmlformats.org/officeDocument/2006/relationships/hyperlink" Target="https://audio.iskcondesiretree.com/01_-_Srila_Prabhupada/01_-_Lectures/01_-_English/02_-_Month_wise/04_-_April/02/Walk_1976-04-02_MW-VRNDAVAN.MP3" TargetMode="External"/><Relationship Id="rId5754" Type="http://schemas.openxmlformats.org/officeDocument/2006/relationships/hyperlink" Target="https://audio.iskcondesiretree.com/01_-_Srila_Prabhupada/01_-_Lectures/01_-_English/02_-_Month_wise/03_-_March/02/Conv_1977-03-02_R1-MAYAPUR.MP3" TargetMode="External"/><Relationship Id="rId4421" Type="http://schemas.openxmlformats.org/officeDocument/2006/relationships/hyperlink" Target="https://audio.iskcondesiretree.com/01_-_Srila_Prabhupada/01_-_Lectures/01_-_English/02_-_Month_wise/04_-_April/02/SB_7-09-47_VRN_1976-04-02_Demonic_Habits_Are_Being_Killed.mp3" TargetMode="External"/><Relationship Id="rId5755" Type="http://schemas.openxmlformats.org/officeDocument/2006/relationships/hyperlink" Target="https://audio.iskcondesiretree.com/01_-_Srila_Prabhupada/01_-_Lectures/01_-_English/02_-_Month_wise/03_-_March/04/Conv_1977-03-04_R1-MAYAPUR.MP3" TargetMode="External"/><Relationship Id="rId4424" Type="http://schemas.openxmlformats.org/officeDocument/2006/relationships/hyperlink" Target="https://audio.iskcondesiretree.com/01_-_Srila_Prabhupada/01_-_Lectures/01_-_English/02_-_Month_wise/04_-_April/03/Walk_1976-04-03_MW-VRNDAVAN.MP3" TargetMode="External"/><Relationship Id="rId5752" Type="http://schemas.openxmlformats.org/officeDocument/2006/relationships/hyperlink" Target="https://audio.iskcondesiretree.com/01_-_Srila_Prabhupada/01_-_Lectures/01_-_English/02_-_Month_wise/03_-_March/01/SB-07-09-09_1977-03-01_SB-MAYAPUR.MP3" TargetMode="External"/><Relationship Id="rId4423" Type="http://schemas.openxmlformats.org/officeDocument/2006/relationships/hyperlink" Target="https://audio.iskcondesiretree.com/01_-_Srila_Prabhupada/01_-_Lectures/01_-_English/02_-_Month_wise/04_-_April/03/SB-07-09-48_1976-04-03_SB-VRNDAVAN.MP3" TargetMode="External"/><Relationship Id="rId5753" Type="http://schemas.openxmlformats.org/officeDocument/2006/relationships/hyperlink" Target="https://audio.iskcondesiretree.com/01_-_Srila_Prabhupada/01_-_Lectures/01_-_English/02_-_Month_wise/03_-_March/01/SB_7-09-09_MAY_1977-03-01_Dedicate_Your_Life_To_Krishna.mp3" TargetMode="External"/><Relationship Id="rId4415" Type="http://schemas.openxmlformats.org/officeDocument/2006/relationships/hyperlink" Target="https://audio.iskcondesiretree.com/01_-_Srila_Prabhupada/01_-_Lectures/01_-_English/01_-_Topic_wise/Srimad_Bhagavatam/Canto-07/SP_SB_7-05-23_Vrindavan_1976-03-31_Hear_from_a_Real_Devotee.mp3" TargetMode="External"/><Relationship Id="rId5747" Type="http://schemas.openxmlformats.org/officeDocument/2006/relationships/hyperlink" Target="https://audio.iskcondesiretree.com/01_-_Srila_Prabhupada/01_-_Lectures/01_-_English/02_-_Month_wise/02_-_Feburary/28/SB-07-09-08_1977-02-28_SB-MAYAPUR.MP3" TargetMode="External"/><Relationship Id="rId4414" Type="http://schemas.openxmlformats.org/officeDocument/2006/relationships/hyperlink" Target="https://audio.iskcondesiretree.com/01_-_Srila_Prabhupada/01_-_Lectures/01_-_English/02_-_Month_wise/03_-_March/26/Walk_1976-03-26_MW-DELHI.MP3" TargetMode="External"/><Relationship Id="rId5748" Type="http://schemas.openxmlformats.org/officeDocument/2006/relationships/hyperlink" Target="https://audio.iskcondesiretree.com/01_-_Srila_Prabhupada/01_-_Lectures/01_-_English/02_-_Month_wise/02_-_Feburary/28/SB_7-09-08_MAY_1977-02-28_How_A_Devotee_Thinks.mp3" TargetMode="External"/><Relationship Id="rId4417" Type="http://schemas.openxmlformats.org/officeDocument/2006/relationships/hyperlink" Target="https://audio.iskcondesiretree.com/01_-_Srila_Prabhupada/01_-_Lectures/01_-_English/02_-_Month_wise/03_-_March/31/SB_7-05-23_VRN_1976-03-31_Hear_from_a_Real_Devotee.mp3" TargetMode="External"/><Relationship Id="rId5745" Type="http://schemas.openxmlformats.org/officeDocument/2006/relationships/hyperlink" Target="https://audio.iskcondesiretree.com/01_-_Srila_Prabhupada/01_-_Lectures/01_-_English/02_-_Month_wise/02_-_Feburary/28/Conv_1977-02-28_R2-MAYAPUR.MP3" TargetMode="External"/><Relationship Id="rId4416" Type="http://schemas.openxmlformats.org/officeDocument/2006/relationships/hyperlink" Target="https://audio.iskcondesiretree.com/01_-_Srila_Prabhupada/01_-_Lectures/01_-_English/02_-_Month_wise/03_-_March/31/SB-07-05-23%E2%80%9324_1976-03-31_SB-VRNDAVAN.MP3" TargetMode="External"/><Relationship Id="rId5746" Type="http://schemas.openxmlformats.org/officeDocument/2006/relationships/hyperlink" Target="https://audio.iskcondesiretree.com/01_-_Srila_Prabhupada/01_-_Lectures/01_-_English/02_-_Month_wise/02_-_Feburary/28/Conv_1977-02-28_R3-MAYAPUR.MP3" TargetMode="External"/><Relationship Id="rId4419" Type="http://schemas.openxmlformats.org/officeDocument/2006/relationships/hyperlink" Target="https://audio.iskcondesiretree.com/01_-_Srila_Prabhupada/01_-_Lectures/01_-_English/01_-_Topic_wise/Srimad_Bhagavatam/Canto-07/SP_SB_7-09-47_Vrindavan_1976-04-02_Demonic_Habits_Are_Being_Killed.mp3" TargetMode="External"/><Relationship Id="rId4418" Type="http://schemas.openxmlformats.org/officeDocument/2006/relationships/hyperlink" Target="https://audio.iskcondesiretree.com/01_-_Srila_Prabhupada/01_-_Lectures/01_-_English/02_-_Month_wise/04_-_April/01/SB-07-09-46_1976-04-01_SB-VRNDAVAN.MP3" TargetMode="External"/><Relationship Id="rId5749" Type="http://schemas.openxmlformats.org/officeDocument/2006/relationships/hyperlink" Target="https://audio.iskcondesiretree.com/01_-_Srila_Prabhupada/01_-_Lectures/01_-_English/01_-_Topic_wise/Srimad_Bhagavatam/Canto-07/SP_SB_7-09-09_Mayapur_1977-03-01_Dedicate_Your_Life_To_Krishna.mp3" TargetMode="External"/><Relationship Id="rId5740" Type="http://schemas.openxmlformats.org/officeDocument/2006/relationships/hyperlink" Target="https://audio.iskcondesiretree.com/01_-_Srila_Prabhupada/01_-_Lectures/01_-_English/02_-_Month_wise/02_-_Feburary/27/Conv_1977-02-27_R2-MAYAPUR.MP3" TargetMode="External"/><Relationship Id="rId4411" Type="http://schemas.openxmlformats.org/officeDocument/2006/relationships/hyperlink" Target="https://audio.iskcondesiretree.com/01_-_Srila_Prabhupada/01_-_Lectures/01_-_English/02_-_Month_wise/03_-_March/26/MW_DEL_1976-03-26_Impious_and_Pious_are_the_Same.mp3" TargetMode="External"/><Relationship Id="rId5743" Type="http://schemas.openxmlformats.org/officeDocument/2006/relationships/hyperlink" Target="https://audio.iskcondesiretree.com/01_-_Srila_Prabhupada/01_-_Lectures/01_-_English/01_-_Topic_wise/Srimad_Bhagavatam/Canto-07/SP_SB_7-09-08_Mayapur_1977-02-28_How_A_Devotee_Thinks.mp3" TargetMode="External"/><Relationship Id="rId4410" Type="http://schemas.openxmlformats.org/officeDocument/2006/relationships/hyperlink" Target="https://audio.iskcondesiretree.com/01_-_Srila_Prabhupada/01_-_Lectures/01_-_English/01_-_Topic_wise/Srimad_Bhagavatam/Canto-07/SP_SB_7-09-44_Mayapur_1976-03-26_How_to_Get_Krishna%27s_Attention.mp3" TargetMode="External"/><Relationship Id="rId5744" Type="http://schemas.openxmlformats.org/officeDocument/2006/relationships/hyperlink" Target="https://audio.iskcondesiretree.com/01_-_Srila_Prabhupada/01_-_Lectures/01_-_English/02_-_Month_wise/02_-_Feburary/28/Conv_1977-02-28_R1-MAYAPUR.MP3" TargetMode="External"/><Relationship Id="rId4413" Type="http://schemas.openxmlformats.org/officeDocument/2006/relationships/hyperlink" Target="https://audio.iskcondesiretree.com/01_-_Srila_Prabhupada/01_-_Lectures/01_-_English/02_-_Month_wise/03_-_March/26/SB_7-09-44_MAY_1976-03-26_How_to_Get_Krishna%27s_Attention.mp3" TargetMode="External"/><Relationship Id="rId5741" Type="http://schemas.openxmlformats.org/officeDocument/2006/relationships/hyperlink" Target="https://audio.iskcondesiretree.com/01_-_Srila_Prabhupada/01_-_Lectures/01_-_English/02_-_Month_wise/02_-_Feburary/27/SB-07-09-07_1977-02-27_SB-MAYAPUR.MP3" TargetMode="External"/><Relationship Id="rId4412" Type="http://schemas.openxmlformats.org/officeDocument/2006/relationships/hyperlink" Target="https://audio.iskcondesiretree.com/01_-_Srila_Prabhupada/01_-_Lectures/01_-_English/02_-_Month_wise/03_-_March/26/SB-07-09-44_1976-03-26_SB-DELHI.MP3" TargetMode="External"/><Relationship Id="rId5742" Type="http://schemas.openxmlformats.org/officeDocument/2006/relationships/hyperlink" Target="https://audio.iskcondesiretree.com/01_-_Srila_Prabhupada/01_-_Lectures/01_-_English/02_-_Month_wise/02_-_Feburary/27/SB_7-09-07_MAY_1977-02-27_Touch_Krishna_By_Your_Tongue.mp3" TargetMode="External"/><Relationship Id="rId3191" Type="http://schemas.openxmlformats.org/officeDocument/2006/relationships/hyperlink" Target="https://audio.iskcondesiretree.com/01_-_Srila_Prabhupada/01_-_Lectures/01_-_English/01_-_Topic_wise/Room_Conversation/SP_Room_Converstion_01_Perth_1975-05-17.MP3" TargetMode="External"/><Relationship Id="rId3190" Type="http://schemas.openxmlformats.org/officeDocument/2006/relationships/hyperlink" Target="https://audio.iskcondesiretree.com/01_-_Srila_Prabhupada/01_-_Lectures/01_-_English/01_-_Topic_wise/Morning_Walk/SP_Morning_Walk_-_Perth_1975-05-17.MP3" TargetMode="External"/><Relationship Id="rId3193" Type="http://schemas.openxmlformats.org/officeDocument/2006/relationships/hyperlink" Target="https://audio.iskcondesiretree.com/01_-_Srila_Prabhupada/01_-_Lectures/01_-_English/02_-_Month_wise/05_-_May/17/Walk_1975-05-17_MW-PERTH.MP3" TargetMode="External"/><Relationship Id="rId3192" Type="http://schemas.openxmlformats.org/officeDocument/2006/relationships/hyperlink" Target="https://audio.iskcondesiretree.com/01_-_Srila_Prabhupada/01_-_Lectures/01_-_English/02_-_Month_wise/05_-_May/17/Conv_1975-05-17_R1-PERTH.MP3" TargetMode="External"/><Relationship Id="rId3195" Type="http://schemas.openxmlformats.org/officeDocument/2006/relationships/hyperlink" Target="https://audio.iskcondesiretree.com/01_-_Srila_Prabhupada/01_-_Lectures/01_-_English/01_-_Topic_wise/Morning_Walk/SP_Morning_Walk_-_Melbourne_1975-05-19_The_Envious_and_the_Merciful.mp3" TargetMode="External"/><Relationship Id="rId3194" Type="http://schemas.openxmlformats.org/officeDocument/2006/relationships/hyperlink" Target="https://audio.iskcondesiretree.com/01_-_Srila_Prabhupada/01_-_Lectures/01_-_English/01_-_Topic_wise/Interview/SP_Interview_Melbourne_1975-05-19_Press--No_Culture-Just_Money.mp3" TargetMode="External"/><Relationship Id="rId3197" Type="http://schemas.openxmlformats.org/officeDocument/2006/relationships/hyperlink" Target="https://audio.iskcondesiretree.com/01_-_Srila_Prabhupada/01_-_Lectures/01_-_English/01_-_Topic_wise/Room_Conversation/SP_Room_Conversation_Melbourne_1975-05-19_When_Looking_Inward_is_Looking_Outward.mp3" TargetMode="External"/><Relationship Id="rId3196" Type="http://schemas.openxmlformats.org/officeDocument/2006/relationships/hyperlink" Target="https://audio.iskcondesiretree.com/01_-_Srila_Prabhupada/01_-_Lectures/01_-_English/01_-_Topic_wise/Room_Conversation/SP_Room_Conversation_Melbourne_1975-05-19_Mystic_Concoction_vs_Spiritual_Vision.mp3" TargetMode="External"/><Relationship Id="rId3199" Type="http://schemas.openxmlformats.org/officeDocument/2006/relationships/hyperlink" Target="https://audio.iskcondesiretree.com/01_-_Srila_Prabhupada/01_-_Lectures/01_-_English/01_-_Topic_wise/Various/SP_Lecture_Melbourne_1975-05-19_We_Are_Doing_Our_Bit_to_Make--etc.mp3" TargetMode="External"/><Relationship Id="rId3198" Type="http://schemas.openxmlformats.org/officeDocument/2006/relationships/hyperlink" Target="https://audio.iskcondesiretree.com/01_-_Srila_Prabhupada/01_-_Lectures/01_-_English/01_-_Topic_wise/Room_Conversation/SP_Room_Converstion_01_Melbourne_1975-05-19.MP3" TargetMode="External"/><Relationship Id="rId3180" Type="http://schemas.openxmlformats.org/officeDocument/2006/relationships/hyperlink" Target="https://audio.iskcondesiretree.com/01_-_Srila_Prabhupada/01_-_Lectures/01_-_English/02_-_Month_wise/05_-_May/14/Walk_1975-05-14_MW-PERTH.MP3" TargetMode="External"/><Relationship Id="rId3182" Type="http://schemas.openxmlformats.org/officeDocument/2006/relationships/hyperlink" Target="https://audio.iskcondesiretree.com/01_-_Srila_Prabhupada/01_-_Lectures/01_-_English/02_-_Month_wise/05_-_May/15/Walk_1975-05-15_MW-PERTH.MP3" TargetMode="External"/><Relationship Id="rId3181" Type="http://schemas.openxmlformats.org/officeDocument/2006/relationships/hyperlink" Target="https://audio.iskcondesiretree.com/01_-_Srila_Prabhupada/01_-_Lectures/01_-_English/01_-_Topic_wise/Morning_Walk/SP_Morning_Walk_-_Perth_1975-05-15.MP3" TargetMode="External"/><Relationship Id="rId3184" Type="http://schemas.openxmlformats.org/officeDocument/2006/relationships/hyperlink" Target="https://audio.iskcondesiretree.com/01_-_Srila_Prabhupada/01_-_Lectures/01_-_English/01_-_Topic_wise/Room_Conversation/SP_Room_Conversation_01_Perth_1975-05-16.MP3" TargetMode="External"/><Relationship Id="rId3183" Type="http://schemas.openxmlformats.org/officeDocument/2006/relationships/hyperlink" Target="https://audio.iskcondesiretree.com/01_-_Srila_Prabhupada/01_-_Lectures/01_-_English/01_-_Topic_wise/Morning_Walk/SP_Morning_Walk_-_Perth_1975-05-16.MP3" TargetMode="External"/><Relationship Id="rId3186" Type="http://schemas.openxmlformats.org/officeDocument/2006/relationships/hyperlink" Target="https://audio.iskcondesiretree.com/01_-_Srila_Prabhupada/01_-_Lectures/01_-_English/02_-_Month_wise/05_-_May/16/Conv_1975-05-16_R1-PERTH.MP3" TargetMode="External"/><Relationship Id="rId3185" Type="http://schemas.openxmlformats.org/officeDocument/2006/relationships/hyperlink" Target="https://audio.iskcondesiretree.com/01_-_Srila_Prabhupada/01_-_Lectures/01_-_English/01_-_Topic_wise/Room_Conversation/SP_Room_Conversation_Perth_1975-05-16_Alcohol_%26_Drug_Hospital--Send_All--etc.mp3" TargetMode="External"/><Relationship Id="rId3188" Type="http://schemas.openxmlformats.org/officeDocument/2006/relationships/hyperlink" Target="https://audio.iskcondesiretree.com/01_-_Srila_Prabhupada/01_-_Lectures/01_-_English/02_-_Month_wise/05_-_May/16/RC_PER_1975-05-16_Alcohol_%26_Drug_Hospital_Send_All_etc.mp3" TargetMode="External"/><Relationship Id="rId3187" Type="http://schemas.openxmlformats.org/officeDocument/2006/relationships/hyperlink" Target="https://audio.iskcondesiretree.com/01_-_Srila_Prabhupada/01_-_Lectures/01_-_English/02_-_Month_wise/05_-_May/16/Conv_1975-05-16_R2-PERTH.MP3" TargetMode="External"/><Relationship Id="rId3189" Type="http://schemas.openxmlformats.org/officeDocument/2006/relationships/hyperlink" Target="https://audio.iskcondesiretree.com/01_-_Srila_Prabhupada/01_-_Lectures/01_-_English/02_-_Month_wise/05_-_May/16/Walk_1975-05-16_MW-PERTH.MP3" TargetMode="External"/><Relationship Id="rId4480" Type="http://schemas.openxmlformats.org/officeDocument/2006/relationships/hyperlink" Target="https://audio.iskcondesiretree.com/01_-_Srila_Prabhupada/01_-_Lectures/01_-_English/02_-_Month_wise/04_-_April/15/SB-07-12-04_1976-04-15_SB-BOMBAY.MP3" TargetMode="External"/><Relationship Id="rId3151" Type="http://schemas.openxmlformats.org/officeDocument/2006/relationships/hyperlink" Target="https://audio.iskcondesiretree.com/01_-_Srila_Prabhupada/01_-_Lectures/01_-_English/01_-_Topic_wise/Room_Conversation/SP_Room_Conversation_Perth_1975-05-08_Philosopher--Drug_Philosophy_---etc.mp3" TargetMode="External"/><Relationship Id="rId4482" Type="http://schemas.openxmlformats.org/officeDocument/2006/relationships/hyperlink" Target="https://audio.iskcondesiretree.com/01_-_Srila_Prabhupada/01_-_Lectures/01_-_English/02_-_Month_wise/04_-_April/15/Walk_1976-04-15_MW-BOMBAY.MP3" TargetMode="External"/><Relationship Id="rId3150" Type="http://schemas.openxmlformats.org/officeDocument/2006/relationships/hyperlink" Target="https://audio.iskcondesiretree.com/01_-_Srila_Prabhupada/01_-_Lectures/01_-_English/01_-_Topic_wise/Morning_Walk/SP_Morning_Walk_-_Perth_1975-05-08_Enlightened_Egoism.mp3" TargetMode="External"/><Relationship Id="rId4481" Type="http://schemas.openxmlformats.org/officeDocument/2006/relationships/hyperlink" Target="https://audio.iskcondesiretree.com/01_-_Srila_Prabhupada/01_-_Lectures/01_-_English/02_-_Month_wise/04_-_April/15/SB_7-12-04_BOM_1976-04-15_Shortcut_Your_Necessities.mp3" TargetMode="External"/><Relationship Id="rId3153" Type="http://schemas.openxmlformats.org/officeDocument/2006/relationships/hyperlink" Target="https://audio.iskcondesiretree.com/01_-_Srila_Prabhupada/01_-_Lectures/01_-_English/02_-_Month_wise/05_-_May/08/MW_PER_1975-05-08_Enlightened_Egoism.mp3" TargetMode="External"/><Relationship Id="rId4484" Type="http://schemas.openxmlformats.org/officeDocument/2006/relationships/hyperlink" Target="https://audio.iskcondesiretree.com/01_-_Srila_Prabhupada/01_-_Lectures/01_-_English/02_-_Month_wise/04_-_April/16/SB-07-12-05_1976-04-16_SB-BOMBAY.MP3" TargetMode="External"/><Relationship Id="rId3152" Type="http://schemas.openxmlformats.org/officeDocument/2006/relationships/hyperlink" Target="https://audio.iskcondesiretree.com/01_-_Srila_Prabhupada/01_-_Lectures/01_-_English/02_-_Month_wise/05_-_May/08/Conv_1975-05-08_R1-PERTH.MP3" TargetMode="External"/><Relationship Id="rId4483" Type="http://schemas.openxmlformats.org/officeDocument/2006/relationships/hyperlink" Target="https://audio.iskcondesiretree.com/01_-_Srila_Prabhupada/01_-_Lectures/01_-_English/01_-_Topic_wise/Srimad_Bhagavatam/Canto-07/SP_SB_7-12-05_Bombay_1976-04-16_Our_Main_Principle-Chant.mp3" TargetMode="External"/><Relationship Id="rId3155" Type="http://schemas.openxmlformats.org/officeDocument/2006/relationships/hyperlink" Target="https://audio.iskcondesiretree.com/01_-_Srila_Prabhupada/01_-_Lectures/01_-_English/02_-_Month_wise/05_-_May/08/Walk_1975-05-08_MW-PERTH.MP3" TargetMode="External"/><Relationship Id="rId4486" Type="http://schemas.openxmlformats.org/officeDocument/2006/relationships/hyperlink" Target="https://audio.iskcondesiretree.com/01_-_Srila_Prabhupada/01_-_Lectures/01_-_English/02_-_Month_wise/04_-_April/16/Walk_1976-04-16_MW-BOMBAY.MP3" TargetMode="External"/><Relationship Id="rId3154" Type="http://schemas.openxmlformats.org/officeDocument/2006/relationships/hyperlink" Target="https://audio.iskcondesiretree.com/01_-_Srila_Prabhupada/01_-_Lectures/01_-_English/02_-_Month_wise/05_-_May/08/RC_PER_1975-05-08_Philosopher--Drug_Philosophy_etc.mp3" TargetMode="External"/><Relationship Id="rId4485" Type="http://schemas.openxmlformats.org/officeDocument/2006/relationships/hyperlink" Target="https://audio.iskcondesiretree.com/01_-_Srila_Prabhupada/01_-_Lectures/01_-_English/02_-_Month_wise/04_-_April/16/SB_7-12-05_BOM_1976-04-16_Our_Main_Principle-Chant.mp3" TargetMode="External"/><Relationship Id="rId3157" Type="http://schemas.openxmlformats.org/officeDocument/2006/relationships/hyperlink" Target="https://audio.iskcondesiretree.com/01_-_Srila_Prabhupada/01_-_Lectures/01_-_English/02_-_Month_wise/05_-_May/09/Walk_1975-05-09_MW-PERTH.MP3" TargetMode="External"/><Relationship Id="rId4488" Type="http://schemas.openxmlformats.org/officeDocument/2006/relationships/hyperlink" Target="https://audio.iskcondesiretree.com/01_-_Srila_Prabhupada/01_-_Lectures/01_-_English/01_-_Topic_wise/Srimad_Bhagavatam/Canto-07/SP_SB_7-12-06_Bombay_1976-04-17_Know_Everything_of_Something.mp3" TargetMode="External"/><Relationship Id="rId3156" Type="http://schemas.openxmlformats.org/officeDocument/2006/relationships/hyperlink" Target="https://audio.iskcondesiretree.com/01_-_Srila_Prabhupada/01_-_Lectures/01_-_English/01_-_Topic_wise/Morning_Walk/SP_Morning_Walk_-_Perth_1975-05-09.MP3" TargetMode="External"/><Relationship Id="rId4487" Type="http://schemas.openxmlformats.org/officeDocument/2006/relationships/hyperlink" Target="https://audio.iskcondesiretree.com/01_-_Srila_Prabhupada/01_-_Lectures/01_-_English/01_-_Topic_wise/Morning_Walk/SP_Morning_Walk_-_Bombay_1976-04-17_How_to_Use_This_Body.mp3" TargetMode="External"/><Relationship Id="rId3159" Type="http://schemas.openxmlformats.org/officeDocument/2006/relationships/hyperlink" Target="https://audio.iskcondesiretree.com/01_-_Srila_Prabhupada/01_-_Lectures/01_-_English/01_-_Topic_wise/Room_Conversation/SP_Room_Conversation_Perth_1975-05-10.MP3" TargetMode="External"/><Relationship Id="rId3158" Type="http://schemas.openxmlformats.org/officeDocument/2006/relationships/hyperlink" Target="https://audio.iskcondesiretree.com/01_-_Srila_Prabhupada/01_-_Lectures/01_-_English/01_-_Topic_wise/Morning_Walk/SP_Morning_Walk_-_Perth_1975-05-10.MP3" TargetMode="External"/><Relationship Id="rId4489" Type="http://schemas.openxmlformats.org/officeDocument/2006/relationships/hyperlink" Target="https://audio.iskcondesiretree.com/01_-_Srila_Prabhupada/01_-_Lectures/01_-_English/02_-_Month_wise/04_-_April/17/Conv_1976-04-17_R1-BOMBAY.MP3" TargetMode="External"/><Relationship Id="rId3149" Type="http://schemas.openxmlformats.org/officeDocument/2006/relationships/hyperlink" Target="https://audio.iskcondesiretree.com/01_-_Srila_Prabhupada/01_-_Lectures/01_-_English/02_-_Month_wise/05_-_May/07/Walk_1975-05-07_MW-PERTH.MP3" TargetMode="External"/><Relationship Id="rId3140" Type="http://schemas.openxmlformats.org/officeDocument/2006/relationships/hyperlink" Target="https://audio.iskcondesiretree.com/01_-_Srila_Prabhupada/01_-_Lectures/01_-_English/02_-_Month_wise/04_-_April/24/SB-01-07-07_1975-04-24_SB-VRNDAVAN.MP3" TargetMode="External"/><Relationship Id="rId4471" Type="http://schemas.openxmlformats.org/officeDocument/2006/relationships/hyperlink" Target="https://audio.iskcondesiretree.com/01_-_Srila_Prabhupada/01_-_Lectures/01_-_English/01_-_Topic_wise/Srimad_Bhagavatam/Canto-07/SP_SB_7-12-03_Bombay_1976-04-14_Sex_Life-Spiritual_Life.mp3" TargetMode="External"/><Relationship Id="rId4470" Type="http://schemas.openxmlformats.org/officeDocument/2006/relationships/hyperlink" Target="https://audio.iskcondesiretree.com/01_-_Srila_Prabhupada/01_-_Lectures/01_-_English/01_-_Topic_wise/Morning_Walk/SP_Morning_Walk_-_Bombay_1976-04-14_Don%27t_Give_Your_Vote_to_the_Rogues.mp3" TargetMode="External"/><Relationship Id="rId3142" Type="http://schemas.openxmlformats.org/officeDocument/2006/relationships/hyperlink" Target="https://audio.iskcondesiretree.com/01_-_Srila_Prabhupada/01_-_Lectures/01_-_English/01_-_Topic_wise/Various/SP_Lecture_Vrindavan_1975-04-27_Explanation_of_Nrsimha_Vallabha.MP3" TargetMode="External"/><Relationship Id="rId4473" Type="http://schemas.openxmlformats.org/officeDocument/2006/relationships/hyperlink" Target="https://audio.iskcondesiretree.com/01_-_Srila_Prabhupada/01_-_Lectures/01_-_English/02_-_Month_wise/04_-_April/14/MW_BOM_1976-04-14_Don%27t_Give_Your_Vote_to_the_Rogues.mp3" TargetMode="External"/><Relationship Id="rId3141" Type="http://schemas.openxmlformats.org/officeDocument/2006/relationships/hyperlink" Target="https://audio.iskcondesiretree.com/01_-_Srila_Prabhupada/01_-_Lectures/01_-_English/02_-_Month_wise/04_-_April/24/SB_1-07-07_VRN_1975-04-24_Curing_Our_Heart_Disease.mp3" TargetMode="External"/><Relationship Id="rId4472" Type="http://schemas.openxmlformats.org/officeDocument/2006/relationships/hyperlink" Target="https://audio.iskcondesiretree.com/01_-_Srila_Prabhupada/01_-_Lectures/01_-_English/02_-_Month_wise/04_-_April/14/Conv_1976-04-14-R1-BOMBAY.MP3" TargetMode="External"/><Relationship Id="rId3144" Type="http://schemas.openxmlformats.org/officeDocument/2006/relationships/hyperlink" Target="https://audio.iskcondesiretree.com/01_-_Srila_Prabhupada/01_-_Lectures/01_-_English/01_-_Topic_wise/Morning_Walk/SP_Morning_Walk_-_Vrindavan_1975-04-28.MP3" TargetMode="External"/><Relationship Id="rId4475" Type="http://schemas.openxmlformats.org/officeDocument/2006/relationships/hyperlink" Target="https://audio.iskcondesiretree.com/01_-_Srila_Prabhupada/01_-_Lectures/01_-_English/02_-_Month_wise/04_-_April/14/SB_7-12-03_BOM_1976-04-14_Sex_Life-Spiritual_Life.mp3" TargetMode="External"/><Relationship Id="rId3143" Type="http://schemas.openxmlformats.org/officeDocument/2006/relationships/hyperlink" Target="https://audio.iskcondesiretree.com/01_-_Srila_Prabhupada/01_-_Lectures/01_-_English/02_-_Month_wise/04_-_April/27/Speech_1975-04-27_SP-VRNDAVAN.MP3" TargetMode="External"/><Relationship Id="rId4474" Type="http://schemas.openxmlformats.org/officeDocument/2006/relationships/hyperlink" Target="https://audio.iskcondesiretree.com/01_-_Srila_Prabhupada/01_-_Lectures/01_-_English/02_-_Month_wise/04_-_April/14/SB-07-12-03_1976-04-14_SB-BOMBAY.MP3" TargetMode="External"/><Relationship Id="rId3146" Type="http://schemas.openxmlformats.org/officeDocument/2006/relationships/hyperlink" Target="https://audio.iskcondesiretree.com/01_-_Srila_Prabhupada/01_-_Lectures/01_-_English/01_-_Topic_wise/Various/SP_Lecture_Perth_1975-05-06_Evening_Discussion.MP3" TargetMode="External"/><Relationship Id="rId4477" Type="http://schemas.openxmlformats.org/officeDocument/2006/relationships/hyperlink" Target="https://audio.iskcondesiretree.com/01_-_Srila_Prabhupada/01_-_Lectures/01_-_English/01_-_Topic_wise/Morning_Walk/SP_Morning_Walk_-_Bombay_1976-04-15_A_Child_Can_Do_this_Preaching_Work.mp3" TargetMode="External"/><Relationship Id="rId3145" Type="http://schemas.openxmlformats.org/officeDocument/2006/relationships/hyperlink" Target="https://audio.iskcondesiretree.com/01_-_Srila_Prabhupada/01_-_Lectures/01_-_English/02_-_Month_wise/04_-_April/28/Walk_1975-04-28_MW-VRNDAVAN.MP3" TargetMode="External"/><Relationship Id="rId4476" Type="http://schemas.openxmlformats.org/officeDocument/2006/relationships/hyperlink" Target="https://audio.iskcondesiretree.com/01_-_Srila_Prabhupada/01_-_Lectures/01_-_English/02_-_Month_wise/04_-_April/14/Walk_1976-04-14_MW-BOMBAY.MP3" TargetMode="External"/><Relationship Id="rId3148" Type="http://schemas.openxmlformats.org/officeDocument/2006/relationships/hyperlink" Target="https://audio.iskcondesiretree.com/01_-_Srila_Prabhupada/01_-_Lectures/01_-_English/01_-_Topic_wise/Morning_Walk/SP_Morning_Walk_-_Perth_1975-05-07.MP3" TargetMode="External"/><Relationship Id="rId4479" Type="http://schemas.openxmlformats.org/officeDocument/2006/relationships/hyperlink" Target="https://audio.iskcondesiretree.com/01_-_Srila_Prabhupada/01_-_Lectures/01_-_English/02_-_Month_wise/04_-_April/15/MW_BOM_1976-04-15_A_Child_Can_Do_this_Preaching_Work.mp3" TargetMode="External"/><Relationship Id="rId3147" Type="http://schemas.openxmlformats.org/officeDocument/2006/relationships/hyperlink" Target="https://audio.iskcondesiretree.com/01_-_Srila_Prabhupada/01_-_Lectures/01_-_English/02_-_Month_wise/05_-_May/06/Darshan_1975-05-06_ED-PERTH.MP3" TargetMode="External"/><Relationship Id="rId4478" Type="http://schemas.openxmlformats.org/officeDocument/2006/relationships/hyperlink" Target="https://audio.iskcondesiretree.com/01_-_Srila_Prabhupada/01_-_Lectures/01_-_English/01_-_Topic_wise/Srimad_Bhagavatam/Canto-07/SP_SB_7-12-04_Bombay_1976-04-15_Shortcut_Your_Necessities.mp3" TargetMode="External"/><Relationship Id="rId3171" Type="http://schemas.openxmlformats.org/officeDocument/2006/relationships/hyperlink" Target="https://audio.iskcondesiretree.com/01_-_Srila_Prabhupada/01_-_Lectures/01_-_English/01_-_Topic_wise/Room_Conversation/SP_Room_Conversation_02_Perth_1975-05-13.MP3" TargetMode="External"/><Relationship Id="rId3170" Type="http://schemas.openxmlformats.org/officeDocument/2006/relationships/hyperlink" Target="https://audio.iskcondesiretree.com/01_-_Srila_Prabhupada/01_-_Lectures/01_-_English/01_-_Topic_wise/Room_Conversation/SP_Room_Conversation_01_Perth_1975-05-13.MP3" TargetMode="External"/><Relationship Id="rId3173" Type="http://schemas.openxmlformats.org/officeDocument/2006/relationships/hyperlink" Target="https://audio.iskcondesiretree.com/01_-_Srila_Prabhupada/01_-_Lectures/01_-_English/02_-_Month_wise/05_-_May/13/Conv_1975-05-13_R1-PERTH.MP3" TargetMode="External"/><Relationship Id="rId3172" Type="http://schemas.openxmlformats.org/officeDocument/2006/relationships/hyperlink" Target="https://audio.iskcondesiretree.com/01_-_Srila_Prabhupada/01_-_Lectures/01_-_English/01_-_Topic_wise/Room_Conversation/SP_Room_Conversation_03_Perth_1975-05-13.MP3" TargetMode="External"/><Relationship Id="rId3175" Type="http://schemas.openxmlformats.org/officeDocument/2006/relationships/hyperlink" Target="https://audio.iskcondesiretree.com/01_-_Srila_Prabhupada/01_-_Lectures/01_-_English/02_-_Month_wise/05_-_May/13/Conv_1975-05-13_R3-PERTH.MP3" TargetMode="External"/><Relationship Id="rId3174" Type="http://schemas.openxmlformats.org/officeDocument/2006/relationships/hyperlink" Target="https://audio.iskcondesiretree.com/01_-_Srila_Prabhupada/01_-_Lectures/01_-_English/02_-_Month_wise/05_-_May/13/Conv_1975-05-13_R2-PERTH.MP3" TargetMode="External"/><Relationship Id="rId3177" Type="http://schemas.openxmlformats.org/officeDocument/2006/relationships/hyperlink" Target="https://audio.iskcondesiretree.com/01_-_Srila_Prabhupada/01_-_Lectures/01_-_English/01_-_Topic_wise/Morning_Walk/SP_Morning_Walk_-_Perth_1975-05-14.MP3" TargetMode="External"/><Relationship Id="rId3176" Type="http://schemas.openxmlformats.org/officeDocument/2006/relationships/hyperlink" Target="https://audio.iskcondesiretree.com/01_-_Srila_Prabhupada/01_-_Lectures/01_-_English/02_-_Month_wise/05_-_May/13/Walk_1975-05-13_MW-PERTH.MP3" TargetMode="External"/><Relationship Id="rId3179" Type="http://schemas.openxmlformats.org/officeDocument/2006/relationships/hyperlink" Target="https://audio.iskcondesiretree.com/01_-_Srila_Prabhupada/01_-_Lectures/01_-_English/02_-_Month_wise/05_-_May/14/RC_PER_1975-05-14_Geographer-No_Grain-Will_You_Eat_Money.mp3" TargetMode="External"/><Relationship Id="rId3178" Type="http://schemas.openxmlformats.org/officeDocument/2006/relationships/hyperlink" Target="https://audio.iskcondesiretree.com/01_-_Srila_Prabhupada/01_-_Lectures/01_-_English/01_-_Topic_wise/Room_Conversation/SP_Room_Conversation_Perth_1975-05-14_Geographer--No_Grain-Will_You_Eat_Money.mp3" TargetMode="External"/><Relationship Id="rId3160" Type="http://schemas.openxmlformats.org/officeDocument/2006/relationships/hyperlink" Target="https://audio.iskcondesiretree.com/01_-_Srila_Prabhupada/01_-_Lectures/01_-_English/02_-_Month_wise/05_-_May/10/Conv_1975-05-10_R1-PERTH.MP3" TargetMode="External"/><Relationship Id="rId4491" Type="http://schemas.openxmlformats.org/officeDocument/2006/relationships/hyperlink" Target="https://audio.iskcondesiretree.com/01_-_Srila_Prabhupada/01_-_Lectures/01_-_English/02_-_Month_wise/04_-_April/17/SB-07-12-06_1976-04-17_SB-BOMBAY.MP3" TargetMode="External"/><Relationship Id="rId4490" Type="http://schemas.openxmlformats.org/officeDocument/2006/relationships/hyperlink" Target="https://audio.iskcondesiretree.com/01_-_Srila_Prabhupada/01_-_Lectures/01_-_English/02_-_Month_wise/04_-_April/17/MW_BOM_1976-04-17_How_to_Use_This_Body.mp3" TargetMode="External"/><Relationship Id="rId3162" Type="http://schemas.openxmlformats.org/officeDocument/2006/relationships/hyperlink" Target="https://audio.iskcondesiretree.com/01_-_Srila_Prabhupada/01_-_Lectures/01_-_English/01_-_Topic_wise/Morning_Walk/SP_Morning_Walk_-_Perth_1975-05-11.MP3" TargetMode="External"/><Relationship Id="rId4493" Type="http://schemas.openxmlformats.org/officeDocument/2006/relationships/hyperlink" Target="https://audio.iskcondesiretree.com/01_-_Srila_Prabhupada/01_-_Lectures/01_-_English/02_-_Month_wise/04_-_April/17/Walk_1976-04-17_MW-BOMBAY.MP3" TargetMode="External"/><Relationship Id="rId3161" Type="http://schemas.openxmlformats.org/officeDocument/2006/relationships/hyperlink" Target="https://audio.iskcondesiretree.com/01_-_Srila_Prabhupada/01_-_Lectures/01_-_English/02_-_Month_wise/05_-_May/10/Walk_1975-05-10_MW-PERTH.MP3" TargetMode="External"/><Relationship Id="rId4492" Type="http://schemas.openxmlformats.org/officeDocument/2006/relationships/hyperlink" Target="https://audio.iskcondesiretree.com/01_-_Srila_Prabhupada/01_-_Lectures/01_-_English/02_-_Month_wise/04_-_April/17/SB_7-12-06_BOM_1976-04-17_Know_Everything_of_Something.mp3" TargetMode="External"/><Relationship Id="rId3164" Type="http://schemas.openxmlformats.org/officeDocument/2006/relationships/hyperlink" Target="https://audio.iskcondesiretree.com/01_-_Srila_Prabhupada/01_-_Lectures/01_-_English/01_-_Topic_wise/Morning_Walk/SP_Morning_Walk_-_Perth_1975-05-12.MP3" TargetMode="External"/><Relationship Id="rId4495" Type="http://schemas.openxmlformats.org/officeDocument/2006/relationships/hyperlink" Target="https://audio.iskcondesiretree.com/01_-_Srila_Prabhupada/01_-_Lectures/01_-_English/01_-_Topic_wise/Bhagavad_Gita/Chapter-09/SP_BG_09-01_Melbourne_1976-04-19_Craft_vs._Knowledge.mp3" TargetMode="External"/><Relationship Id="rId3163" Type="http://schemas.openxmlformats.org/officeDocument/2006/relationships/hyperlink" Target="https://audio.iskcondesiretree.com/01_-_Srila_Prabhupada/01_-_Lectures/01_-_English/02_-_Month_wise/05_-_May/11/Walk_1975-05-11_MW-PERTH.MP3" TargetMode="External"/><Relationship Id="rId4494" Type="http://schemas.openxmlformats.org/officeDocument/2006/relationships/hyperlink" Target="https://audio.iskcondesiretree.com/01_-_Srila_Prabhupada/01_-_Lectures/01_-_English/01_-_Topic_wise/Arrival_Address/SP_Arrival_Melbourne_1976-04-19_Meaning_of_God.mp3" TargetMode="External"/><Relationship Id="rId3166" Type="http://schemas.openxmlformats.org/officeDocument/2006/relationships/hyperlink" Target="https://audio.iskcondesiretree.com/01_-_Srila_Prabhupada/01_-_Lectures/01_-_English/02_-_Month_wise/05_-_May/12/Conv_1975-05-12_R1-PERTH.MP3" TargetMode="External"/><Relationship Id="rId4497" Type="http://schemas.openxmlformats.org/officeDocument/2006/relationships/hyperlink" Target="https://audio.iskcondesiretree.com/01_-_Srila_Prabhupada/01_-_Lectures/01_-_English/02_-_Month_wise/04_-_April/19/Arrival_1976-04-19_AR-MELBOURNE.MP3" TargetMode="External"/><Relationship Id="rId3165" Type="http://schemas.openxmlformats.org/officeDocument/2006/relationships/hyperlink" Target="https://audio.iskcondesiretree.com/01_-_Srila_Prabhupada/01_-_Lectures/01_-_English/01_-_Topic_wise/Room_Conversation/SP_Room_Conversation_Perth_1975-05-12_Psychiatrist_and_Indian--etc.mp3" TargetMode="External"/><Relationship Id="rId4496" Type="http://schemas.openxmlformats.org/officeDocument/2006/relationships/hyperlink" Target="https://audio.iskcondesiretree.com/01_-_Srila_Prabhupada/01_-_Lectures/01_-_English/02_-_Month_wise/04_-_April/19/Arr_MEL_1976-04-19_Meaning_of_God.mp3" TargetMode="External"/><Relationship Id="rId3168" Type="http://schemas.openxmlformats.org/officeDocument/2006/relationships/hyperlink" Target="https://audio.iskcondesiretree.com/01_-_Srila_Prabhupada/01_-_Lectures/01_-_English/02_-_Month_wise/05_-_May/12/Walk_1975-05-12_MW-PERTH.MP3" TargetMode="External"/><Relationship Id="rId4499" Type="http://schemas.openxmlformats.org/officeDocument/2006/relationships/hyperlink" Target="https://audio.iskcondesiretree.com/01_-_Srila_Prabhupada/01_-_Lectures/01_-_English/02_-_Month_wise/04_-_April/19/Bg_09-01_MEL_1976-04-19_Craft_vs._Knowledge.mp3" TargetMode="External"/><Relationship Id="rId3167" Type="http://schemas.openxmlformats.org/officeDocument/2006/relationships/hyperlink" Target="https://audio.iskcondesiretree.com/01_-_Srila_Prabhupada/01_-_Lectures/01_-_English/02_-_Month_wise/05_-_May/12/RC_PER_1975-05-12_Psychiatrist_and_Indian_etc.mp3" TargetMode="External"/><Relationship Id="rId4498" Type="http://schemas.openxmlformats.org/officeDocument/2006/relationships/hyperlink" Target="https://audio.iskcondesiretree.com/01_-_Srila_Prabhupada/01_-_Lectures/01_-_English/02_-_Month_wise/04_-_April/19/Bg-09-01_1976-04-19_BG-MELBOURNE.MP3" TargetMode="External"/><Relationship Id="rId3169" Type="http://schemas.openxmlformats.org/officeDocument/2006/relationships/hyperlink" Target="https://audio.iskcondesiretree.com/01_-_Srila_Prabhupada/01_-_Lectures/01_-_English/01_-_Topic_wise/Morning_Walk/SP_Morning_Walk_-_Perth_1975-05-13.MP3" TargetMode="External"/><Relationship Id="rId5813" Type="http://schemas.openxmlformats.org/officeDocument/2006/relationships/hyperlink" Target="https://audio.iskcondesiretree.com/01_-_Srila_Prabhupada/01_-_Lectures/01_-_English/02_-_Month_wise/04_-_April/22/Conv_1977-04-22_R1-BOMBAY.MP3" TargetMode="External"/><Relationship Id="rId5814" Type="http://schemas.openxmlformats.org/officeDocument/2006/relationships/hyperlink" Target="https://audio.iskcondesiretree.com/01_-_Srila_Prabhupada/01_-_Lectures/01_-_English/02_-_Month_wise/04_-_April/22/Conv_1977-04-22_R2-BOMBAY.MP3" TargetMode="External"/><Relationship Id="rId5811" Type="http://schemas.openxmlformats.org/officeDocument/2006/relationships/hyperlink" Target="https://audio.iskcondesiretree.com/01_-_Srila_Prabhupada/01_-_Lectures/01_-_English/02_-_Month_wise/04_-_April/19/Conv_1977-04-19_R3-BOMBAY.MP3" TargetMode="External"/><Relationship Id="rId5812" Type="http://schemas.openxmlformats.org/officeDocument/2006/relationships/hyperlink" Target="https://audio.iskcondesiretree.com/01_-_Srila_Prabhupada/01_-_Lectures/01_-_English/02_-_Month_wise/04_-_April/20/Conv_1977-04-20_R1-BOMBAY.MP3" TargetMode="External"/><Relationship Id="rId5817" Type="http://schemas.openxmlformats.org/officeDocument/2006/relationships/hyperlink" Target="https://audio.iskcondesiretree.com/01_-_Srila_Prabhupada/01_-_Lectures/01_-_English/02_-_Month_wise/04_-_April/23/Meeting_1977-04-23_ME-BOMBAY.MP3" TargetMode="External"/><Relationship Id="rId5818" Type="http://schemas.openxmlformats.org/officeDocument/2006/relationships/hyperlink" Target="https://audio.iskcondesiretree.com/01_-_Srila_Prabhupada/01_-_Lectures/01_-_English/01_-_Topic_wise/Room_Conversation/SP_Room_Conversation_Bombay_1977-04-24_Service_to_Man-Service_to_God.mp3" TargetMode="External"/><Relationship Id="rId5815" Type="http://schemas.openxmlformats.org/officeDocument/2006/relationships/hyperlink" Target="https://audio.iskcondesiretree.com/01_-_Srila_Prabhupada/01_-_Lectures/01_-_English/02_-_Month_wise/04_-_April/22/Conv_1977-04-22_R3-BOMBAY.MP3" TargetMode="External"/><Relationship Id="rId5816" Type="http://schemas.openxmlformats.org/officeDocument/2006/relationships/hyperlink" Target="https://audio.iskcondesiretree.com/01_-_Srila_Prabhupada/01_-_Lectures/01_-_English/02_-_Month_wise/04_-_April/23/Conv_1977-04-23_R1-BOMBAY.MP3" TargetMode="External"/><Relationship Id="rId5819" Type="http://schemas.openxmlformats.org/officeDocument/2006/relationships/hyperlink" Target="https://audio.iskcondesiretree.com/01_-_Srila_Prabhupada/01_-_Lectures/01_-_English/02_-_Month_wise/04_-_April/24/Meeting_1977-04-24_ME-BOMBAY.MP3" TargetMode="External"/><Relationship Id="rId5810" Type="http://schemas.openxmlformats.org/officeDocument/2006/relationships/hyperlink" Target="https://audio.iskcondesiretree.com/01_-_Srila_Prabhupada/01_-_Lectures/01_-_English/02_-_Month_wise/04_-_April/19/Conv_1977-04-19_R2-BOMBAY.MP3" TargetMode="External"/><Relationship Id="rId5802" Type="http://schemas.openxmlformats.org/officeDocument/2006/relationships/hyperlink" Target="https://audio.iskcondesiretree.com/01_-_Srila_Prabhupada/01_-_Lectures/01_-_English/01_-_Topic_wise/Room_Conversation/SP_Room_Conversation_Bombay_1977-04-17_Do_Some_Preaching.mp3" TargetMode="External"/><Relationship Id="rId5803" Type="http://schemas.openxmlformats.org/officeDocument/2006/relationships/hyperlink" Target="https://audio.iskcondesiretree.com/01_-_Srila_Prabhupada/01_-_Lectures/01_-_English/02_-_Month_wise/04_-_April/17/Conv_1977-04-17_R1-BOMBAY.MP3" TargetMode="External"/><Relationship Id="rId5800" Type="http://schemas.openxmlformats.org/officeDocument/2006/relationships/hyperlink" Target="https://audio.iskcondesiretree.com/01_-_Srila_Prabhupada/01_-_Lectures/01_-_English/02_-_Month_wise/04_-_April/16/Conv_1977-04-16_R1-BOMBAY.MP3" TargetMode="External"/><Relationship Id="rId5801" Type="http://schemas.openxmlformats.org/officeDocument/2006/relationships/hyperlink" Target="https://audio.iskcondesiretree.com/01_-_Srila_Prabhupada/01_-_Lectures/01_-_English/01_-_Topic_wise/Room_Conversation/SP_Room_Conversation_Bombay_1977-04-17_Beyond_Sense_Perception.mp3" TargetMode="External"/><Relationship Id="rId5806" Type="http://schemas.openxmlformats.org/officeDocument/2006/relationships/hyperlink" Target="https://audio.iskcondesiretree.com/01_-_Srila_Prabhupada/01_-_Lectures/01_-_English/02_-_Month_wise/04_-_April/17/RC_BOM_1977-04-17_Do_Some_Preaching.mp3" TargetMode="External"/><Relationship Id="rId5807" Type="http://schemas.openxmlformats.org/officeDocument/2006/relationships/hyperlink" Target="https://audio.iskcondesiretree.com/01_-_Srila_Prabhupada/01_-_Lectures/01_-_English/02_-_Month_wise/04_-_April/18/Conv_1977-04-18_R1-BOMBAY.MP3" TargetMode="External"/><Relationship Id="rId5804" Type="http://schemas.openxmlformats.org/officeDocument/2006/relationships/hyperlink" Target="https://audio.iskcondesiretree.com/01_-_Srila_Prabhupada/01_-_Lectures/01_-_English/02_-_Month_wise/04_-_April/17/Conv_1977-04-17_R2-BOMBAY.MP3" TargetMode="External"/><Relationship Id="rId5805" Type="http://schemas.openxmlformats.org/officeDocument/2006/relationships/hyperlink" Target="https://audio.iskcondesiretree.com/01_-_Srila_Prabhupada/01_-_Lectures/01_-_English/02_-_Month_wise/04_-_April/17/RC_BOM_1977-04-17_Beyond_Sense_Perception.mp3" TargetMode="External"/><Relationship Id="rId5808" Type="http://schemas.openxmlformats.org/officeDocument/2006/relationships/hyperlink" Target="https://audio.iskcondesiretree.com/01_-_Srila_Prabhupada/01_-_Lectures/01_-_English/02_-_Month_wise/04_-_April/18/Conv_1977-04-18_R2-BOMBAY.MP3" TargetMode="External"/><Relationship Id="rId5809" Type="http://schemas.openxmlformats.org/officeDocument/2006/relationships/hyperlink" Target="https://audio.iskcondesiretree.com/01_-_Srila_Prabhupada/01_-_Lectures/01_-_English/02_-_Month_wise/04_-_April/19/Conv_1977-04-19_R1-BOMBAY.MP3" TargetMode="External"/><Relationship Id="rId4503" Type="http://schemas.openxmlformats.org/officeDocument/2006/relationships/hyperlink" Target="https://audio.iskcondesiretree.com/01_-_Srila_Prabhupada/01_-_Lectures/01_-_English/02_-_Month_wise/04_-_April/20/Bg_09-02_MEL_1976-04-20_The_King_of_Knowledge.mp3" TargetMode="External"/><Relationship Id="rId5835" Type="http://schemas.openxmlformats.org/officeDocument/2006/relationships/hyperlink" Target="https://audio.iskcondesiretree.com/01_-_Srila_Prabhupada/01_-_Lectures/01_-_English/02_-_Month_wise/05_-_May/08/Conv_1977-05-08_R2-RISHIKESH.MP3" TargetMode="External"/><Relationship Id="rId4502" Type="http://schemas.openxmlformats.org/officeDocument/2006/relationships/hyperlink" Target="https://audio.iskcondesiretree.com/01_-_Srila_Prabhupada/01_-_Lectures/01_-_English/02_-_Month_wise/04_-_April/20/Bg-09-02_1976-04-20_BG-MELBOURNE.MP3" TargetMode="External"/><Relationship Id="rId5836" Type="http://schemas.openxmlformats.org/officeDocument/2006/relationships/hyperlink" Target="https://audio.iskcondesiretree.com/01_-_Srila_Prabhupada/01_-_Lectures/01_-_English/02_-_Month_wise/05_-_May/08/Conv_1977-05-08_R3-RISHIKESH.MP3" TargetMode="External"/><Relationship Id="rId4505" Type="http://schemas.openxmlformats.org/officeDocument/2006/relationships/hyperlink" Target="https://audio.iskcondesiretree.com/01_-_Srila_Prabhupada/01_-_Lectures/01_-_English/02_-_Month_wise/04_-_April/20/Interview_1976-04-20_R2-MELBOURNE.MP3" TargetMode="External"/><Relationship Id="rId5833" Type="http://schemas.openxmlformats.org/officeDocument/2006/relationships/hyperlink" Target="https://audio.iskcondesiretree.com/01_-_Srila_Prabhupada/01_-_Lectures/01_-_English/02_-_Month_wise/05_-_May/02/Conv_1977-05-02_R2-BOMBAY.MP3" TargetMode="External"/><Relationship Id="rId4504" Type="http://schemas.openxmlformats.org/officeDocument/2006/relationships/hyperlink" Target="https://audio.iskcondesiretree.com/01_-_Srila_Prabhupada/01_-_Lectures/01_-_English/02_-_Month_wise/04_-_April/20/Interview_1976-04-20_R1-MELBOURNE.MP3" TargetMode="External"/><Relationship Id="rId5834" Type="http://schemas.openxmlformats.org/officeDocument/2006/relationships/hyperlink" Target="https://audio.iskcondesiretree.com/01_-_Srila_Prabhupada/01_-_Lectures/01_-_English/02_-_Month_wise/05_-_May/08/Conv_1977-05-08_R1-RISHIKESH.MP3" TargetMode="External"/><Relationship Id="rId4507" Type="http://schemas.openxmlformats.org/officeDocument/2006/relationships/hyperlink" Target="https://audio.iskcondesiretree.com/01_-_Srila_Prabhupada/01_-_Lectures/01_-_English/01_-_Topic_wise/Bhagavad_Gita/Chapter-09/SP_BG_09-03_Melbourne_1976-04-21_Serve_God_or_Serve_Dog.mp3" TargetMode="External"/><Relationship Id="rId5839" Type="http://schemas.openxmlformats.org/officeDocument/2006/relationships/hyperlink" Target="https://audio.iskcondesiretree.com/01_-_Srila_Prabhupada/01_-_Lectures/01_-_English/02_-_Month_wise/05_-_May/09/RC_HRI_1977-05-09_Don%27t_Be_a_Dog-Be_a_Guru.mp3" TargetMode="External"/><Relationship Id="rId4506" Type="http://schemas.openxmlformats.org/officeDocument/2006/relationships/hyperlink" Target="https://audio.iskcondesiretree.com/01_-_Srila_Prabhupada/01_-_Lectures/01_-_English/02_-_Month_wise/04_-_April/20/RC_MEL_1976-04-20_Who_Is_Within_the_Body.mp3" TargetMode="External"/><Relationship Id="rId4509" Type="http://schemas.openxmlformats.org/officeDocument/2006/relationships/hyperlink" Target="https://audio.iskcondesiretree.com/01_-_Srila_Prabhupada/01_-_Lectures/01_-_English/02_-_Month_wise/04_-_April/21/Bg-09-03_1976-04-21_BG-MELBOURNE.MP3" TargetMode="External"/><Relationship Id="rId5837" Type="http://schemas.openxmlformats.org/officeDocument/2006/relationships/hyperlink" Target="https://audio.iskcondesiretree.com/01_-_Srila_Prabhupada/01_-_Lectures/01_-_English/01_-_Topic_wise/Room_Conversation/SP_Room_Conversation_Hrisikesh_1977-05-09_Don%27t_Be_a_Dog-Be_a_Guru.mp3" TargetMode="External"/><Relationship Id="rId4508" Type="http://schemas.openxmlformats.org/officeDocument/2006/relationships/hyperlink" Target="https://audio.iskcondesiretree.com/01_-_Srila_Prabhupada/01_-_Lectures/01_-_English/01_-_Topic_wise/Morning_Walk/SP_Morning_Walk_-_Melbourne_1976-04-21_The_Philosophy_of_Cow_Dung.mp3" TargetMode="External"/><Relationship Id="rId5838" Type="http://schemas.openxmlformats.org/officeDocument/2006/relationships/hyperlink" Target="https://audio.iskcondesiretree.com/01_-_Srila_Prabhupada/01_-_Lectures/01_-_English/02_-_Month_wise/05_-_May/09/Darshan_1977-05-09_ED-RISHIKESH.MP3" TargetMode="External"/><Relationship Id="rId5831" Type="http://schemas.openxmlformats.org/officeDocument/2006/relationships/hyperlink" Target="https://audio.iskcondesiretree.com/01_-_Srila_Prabhupada/01_-_Lectures/01_-_English/02_-_Month_wise/04_-_April/30/Conv_1977-04-30_R2-BOMBAY.MP3" TargetMode="External"/><Relationship Id="rId5832" Type="http://schemas.openxmlformats.org/officeDocument/2006/relationships/hyperlink" Target="https://audio.iskcondesiretree.com/01_-_Srila_Prabhupada/01_-_Lectures/01_-_English/02_-_Month_wise/05_-_May/02/Conv_1977-05-02_R1-BOMBAY.MP3" TargetMode="External"/><Relationship Id="rId4501" Type="http://schemas.openxmlformats.org/officeDocument/2006/relationships/hyperlink" Target="https://audio.iskcondesiretree.com/01_-_Srila_Prabhupada/01_-_Lectures/01_-_English/01_-_Topic_wise/Room_Conversation/SP_Room_Conversation_Melbourne_1976-04-20_Who_Is_Within_the_Body.mp3" TargetMode="External"/><Relationship Id="rId4500" Type="http://schemas.openxmlformats.org/officeDocument/2006/relationships/hyperlink" Target="https://audio.iskcondesiretree.com/01_-_Srila_Prabhupada/01_-_Lectures/01_-_English/01_-_Topic_wise/Bhagavad_Gita/Chapter-09/SP_BG_09-02_Melbourne_1976-04-20_The_King_of_Knowledge.mp3" TargetMode="External"/><Relationship Id="rId5830" Type="http://schemas.openxmlformats.org/officeDocument/2006/relationships/hyperlink" Target="https://audio.iskcondesiretree.com/01_-_Srila_Prabhupada/01_-_Lectures/01_-_English/02_-_Month_wise/04_-_April/30/Conv_1977-04-30_R1-BOMBAY.MP3" TargetMode="External"/><Relationship Id="rId5824" Type="http://schemas.openxmlformats.org/officeDocument/2006/relationships/hyperlink" Target="https://audio.iskcondesiretree.com/01_-_Srila_Prabhupada/01_-_Lectures/01_-_English/02_-_Month_wise/04_-_April/25/RC_BOM_1977-04-25_Go_to_the_Dogs_or_the_Gita.mp3" TargetMode="External"/><Relationship Id="rId5825" Type="http://schemas.openxmlformats.org/officeDocument/2006/relationships/hyperlink" Target="https://audio.iskcondesiretree.com/01_-_Srila_Prabhupada/01_-_Lectures/01_-_English/01_-_Topic_wise/Room_Conversation/SP_Room_Conversation_Bombay_1977-04-28_Animal_Expertise.mp3" TargetMode="External"/><Relationship Id="rId5822" Type="http://schemas.openxmlformats.org/officeDocument/2006/relationships/hyperlink" Target="https://audio.iskcondesiretree.com/01_-_Srila_Prabhupada/01_-_Lectures/01_-_English/02_-_Month_wise/04_-_April/25/Conv_1977-04-25_R1-BOMBAY.MP3" TargetMode="External"/><Relationship Id="rId5823" Type="http://schemas.openxmlformats.org/officeDocument/2006/relationships/hyperlink" Target="https://audio.iskcondesiretree.com/01_-_Srila_Prabhupada/01_-_Lectures/01_-_English/02_-_Month_wise/04_-_April/25/Conv_1977-04-25_R2-BOMBAY.MP3" TargetMode="External"/><Relationship Id="rId5828" Type="http://schemas.openxmlformats.org/officeDocument/2006/relationships/hyperlink" Target="https://audio.iskcondesiretree.com/01_-_Srila_Prabhupada/01_-_Lectures/01_-_English/02_-_Month_wise/04_-_April/28/RC_BOM_1977-04-28_Animal_Expertise.mp3" TargetMode="External"/><Relationship Id="rId5829" Type="http://schemas.openxmlformats.org/officeDocument/2006/relationships/hyperlink" Target="https://audio.iskcondesiretree.com/01_-_Srila_Prabhupada/01_-_Lectures/01_-_English/02_-_Month_wise/04_-_April/29/Conv_1977-04-29_R1-BOMBAY.MP3" TargetMode="External"/><Relationship Id="rId5826" Type="http://schemas.openxmlformats.org/officeDocument/2006/relationships/hyperlink" Target="https://audio.iskcondesiretree.com/01_-_Srila_Prabhupada/01_-_Lectures/01_-_English/02_-_Month_wise/04_-_April/28/Conv_1977-04-28_R1-BOMBAY.MP3" TargetMode="External"/><Relationship Id="rId5827" Type="http://schemas.openxmlformats.org/officeDocument/2006/relationships/hyperlink" Target="https://audio.iskcondesiretree.com/01_-_Srila_Prabhupada/01_-_Lectures/01_-_English/02_-_Month_wise/04_-_April/28/Conv_1977-04-28_R2-BOMBAY.MP3" TargetMode="External"/><Relationship Id="rId5820" Type="http://schemas.openxmlformats.org/officeDocument/2006/relationships/hyperlink" Target="https://audio.iskcondesiretree.com/01_-_Srila_Prabhupada/01_-_Lectures/01_-_English/02_-_Month_wise/04_-_April/24/RC_BOM_1977-04-24_Service_to_Man-Service_to_God.mp3" TargetMode="External"/><Relationship Id="rId5821" Type="http://schemas.openxmlformats.org/officeDocument/2006/relationships/hyperlink" Target="https://audio.iskcondesiretree.com/01_-_Srila_Prabhupada/01_-_Lectures/01_-_English/01_-_Topic_wise/Room_Conversation/SP_Room_Conversation_Bombay_1977-04-25_Go_to_the_Dogs_or_the_Gita.mp3" TargetMode="External"/><Relationship Id="rId3238" Type="http://schemas.openxmlformats.org/officeDocument/2006/relationships/hyperlink" Target="https://audio.iskcondesiretree.com/01_-_Srila_Prabhupada/01_-_Lectures/01_-_English/01_-_Topic_wise/Bhagavad_Gita/Chapter-07/SP_BG_07-01_Fiji_1975-05-24_The_Only_Business_of_the_Human_Being.mp3" TargetMode="External"/><Relationship Id="rId4569" Type="http://schemas.openxmlformats.org/officeDocument/2006/relationships/hyperlink" Target="https://audio.iskcondesiretree.com/01_-_Srila_Prabhupada/01_-_Lectures/01_-_English/02_-_Month_wise/05_-_May/05/SB-06-01-01_1976-05-05_SB-HONOLULU.MP3" TargetMode="External"/><Relationship Id="rId3237" Type="http://schemas.openxmlformats.org/officeDocument/2006/relationships/hyperlink" Target="https://audio.iskcondesiretree.com/01_-_Srila_Prabhupada/01_-_Lectures/01_-_English/02_-_Month_wise/05_-_May/23/Walk_1975-05-23_MW-MELBOURNE.MP3" TargetMode="External"/><Relationship Id="rId4568" Type="http://schemas.openxmlformats.org/officeDocument/2006/relationships/hyperlink" Target="https://audio.iskcondesiretree.com/01_-_Srila_Prabhupada/01_-_Lectures/01_-_English/02_-_Month_wise/05_-_May/05/Conv_1976-05-05_R1-HONOLULU.MP3" TargetMode="External"/><Relationship Id="rId5899" Type="http://schemas.openxmlformats.org/officeDocument/2006/relationships/hyperlink" Target="https://audio.iskcondesiretree.com/01_-_Srila_Prabhupada/01_-_Lectures/01_-_English/02_-_Month_wise/07_-_July/01/Conv_1977-07-01_R4-VRNDAVAN.MP3" TargetMode="External"/><Relationship Id="rId3239" Type="http://schemas.openxmlformats.org/officeDocument/2006/relationships/hyperlink" Target="https://audio.iskcondesiretree.com/01_-_Srila_Prabhupada/01_-_Lectures/01_-_English/02_-_Month_wise/05_-_May/24/Bg-07-01_1975-05-24_BG-FIJI.MP3" TargetMode="External"/><Relationship Id="rId5890" Type="http://schemas.openxmlformats.org/officeDocument/2006/relationships/hyperlink" Target="https://audio.iskcondesiretree.com/01_-_Srila_Prabhupada/01_-_Lectures/01_-_English/02_-_Month_wise/06_-_June/28/Conv_1977-06-28_R2-VRNDAVAN.MP3" TargetMode="External"/><Relationship Id="rId3230" Type="http://schemas.openxmlformats.org/officeDocument/2006/relationships/hyperlink" Target="https://audio.iskcondesiretree.com/01_-_Srila_Prabhupada/01_-_Lectures/01_-_English/02_-_Month_wise/05_-_May/22/Conv_1975-05-22_R2-MELBOURNE.MP3" TargetMode="External"/><Relationship Id="rId4561" Type="http://schemas.openxmlformats.org/officeDocument/2006/relationships/hyperlink" Target="https://audio.iskcondesiretree.com/01_-_Srila_Prabhupada/01_-_Lectures/01_-_English/02_-_Month_wise/05_-_May/03/Conv_1976-05-03_R1-FIJI.MP3" TargetMode="External"/><Relationship Id="rId5893" Type="http://schemas.openxmlformats.org/officeDocument/2006/relationships/hyperlink" Target="https://audio.iskcondesiretree.com/01_-_Srila_Prabhupada/01_-_Lectures/01_-_English/02_-_Month_wise/06_-_June/30/Conv_1977-06-30_R1-VRNDAVAN.MP3" TargetMode="External"/><Relationship Id="rId4560" Type="http://schemas.openxmlformats.org/officeDocument/2006/relationships/hyperlink" Target="https://audio.iskcondesiretree.com/01_-_Srila_Prabhupada/01_-_Lectures/01_-_English/02_-_Month_wise/05_-_May/03/Arrival_1976-05-03_AR-HONOLULU.MP3" TargetMode="External"/><Relationship Id="rId5894" Type="http://schemas.openxmlformats.org/officeDocument/2006/relationships/hyperlink" Target="https://audio.iskcondesiretree.com/01_-_Srila_Prabhupada/01_-_Lectures/01_-_English/02_-_Month_wise/06_-_June/30/Conv_1977-06-30_R2-VRNDAVAN.MP3" TargetMode="External"/><Relationship Id="rId3232" Type="http://schemas.openxmlformats.org/officeDocument/2006/relationships/hyperlink" Target="https://audio.iskcondesiretree.com/01_-_Srila_Prabhupada/01_-_Lectures/01_-_English/02_-_Month_wise/05_-_May/22/SB_6-01-01_MEL_1975-05-22_Hog%27s_Life_Eat_Any_Damned_Food.mp3" TargetMode="External"/><Relationship Id="rId4563" Type="http://schemas.openxmlformats.org/officeDocument/2006/relationships/hyperlink" Target="https://audio.iskcondesiretree.com/01_-_Srila_Prabhupada/01_-_Lectures/01_-_English/02_-_Month_wise/05_-_May/03/RC_HON_1976-05-03_Making_Common_Cause_for_Krishna.mp3" TargetMode="External"/><Relationship Id="rId5891" Type="http://schemas.openxmlformats.org/officeDocument/2006/relationships/hyperlink" Target="https://audio.iskcondesiretree.com/01_-_Srila_Prabhupada/01_-_Lectures/01_-_English/02_-_Month_wise/06_-_June/28/Conv_1977-06-28_R3-VRNDAVAN.MP3" TargetMode="External"/><Relationship Id="rId3231" Type="http://schemas.openxmlformats.org/officeDocument/2006/relationships/hyperlink" Target="https://audio.iskcondesiretree.com/01_-_Srila_Prabhupada/01_-_Lectures/01_-_English/02_-_Month_wise/05_-_May/22/RC_MEL_1975-05-22_Lawyers-If_One_Doesn%27t_Know_What_etc.mp3" TargetMode="External"/><Relationship Id="rId4562" Type="http://schemas.openxmlformats.org/officeDocument/2006/relationships/hyperlink" Target="https://audio.iskcondesiretree.com/01_-_Srila_Prabhupada/01_-_Lectures/01_-_English/02_-_Month_wise/05_-_May/03/Conv_1976-05-03_R1-HONOLULU.MP3" TargetMode="External"/><Relationship Id="rId5892" Type="http://schemas.openxmlformats.org/officeDocument/2006/relationships/hyperlink" Target="https://audio.iskcondesiretree.com/01_-_Srila_Prabhupada/01_-_Lectures/01_-_English/02_-_Month_wise/06_-_June/28/Conv_1977-06-28_R4-VRNDAVAN.MP3" TargetMode="External"/><Relationship Id="rId3234" Type="http://schemas.openxmlformats.org/officeDocument/2006/relationships/hyperlink" Target="https://audio.iskcondesiretree.com/01_-_Srila_Prabhupada/01_-_Lectures/01_-_English/02_-_Month_wise/05_-_May/22/Walk_1975-05-22_MW-MELBOURNE.MP3" TargetMode="External"/><Relationship Id="rId4565" Type="http://schemas.openxmlformats.org/officeDocument/2006/relationships/hyperlink" Target="https://audio.iskcondesiretree.com/01_-_Srila_Prabhupada/01_-_Lectures/01_-_English/01_-_Topic_wise/Room_Conversation/SP_Room_Conversation_Honolulu_1976-05-04_That_Rascal-Mao_Tse-Tung.mp3" TargetMode="External"/><Relationship Id="rId5897" Type="http://schemas.openxmlformats.org/officeDocument/2006/relationships/hyperlink" Target="https://audio.iskcondesiretree.com/01_-_Srila_Prabhupada/01_-_Lectures/01_-_English/02_-_Month_wise/07_-_July/01/Conv_1977-07-01_R2-VRNDAVAN.MP3" TargetMode="External"/><Relationship Id="rId3233" Type="http://schemas.openxmlformats.org/officeDocument/2006/relationships/hyperlink" Target="https://audio.iskcondesiretree.com/01_-_Srila_Prabhupada/01_-_Lectures/01_-_English/02_-_Month_wise/05_-_May/22/SB%E2%80%9306-01-01%E2%80%9302_1975-05-22_SB-MELBOURNE.MP3" TargetMode="External"/><Relationship Id="rId4564" Type="http://schemas.openxmlformats.org/officeDocument/2006/relationships/hyperlink" Target="https://audio.iskcondesiretree.com/01_-_Srila_Prabhupada/01_-_Lectures/01_-_English/02_-_Month_wise/05_-_May/03/Walk_1976-05-03_MW-FIJI.MP3" TargetMode="External"/><Relationship Id="rId5898" Type="http://schemas.openxmlformats.org/officeDocument/2006/relationships/hyperlink" Target="https://audio.iskcondesiretree.com/01_-_Srila_Prabhupada/01_-_Lectures/01_-_English/02_-_Month_wise/07_-_July/01/Conv_1977-07-01_R3-VRNDAVAN.MP3" TargetMode="External"/><Relationship Id="rId3236" Type="http://schemas.openxmlformats.org/officeDocument/2006/relationships/hyperlink" Target="https://audio.iskcondesiretree.com/01_-_Srila_Prabhupada/01_-_Lectures/01_-_English/02_-_Month_wise/05_-_May/23/MW_MEL_1975-05-23_The_One_Way_to_Rectify_Rascals.mp3" TargetMode="External"/><Relationship Id="rId4567" Type="http://schemas.openxmlformats.org/officeDocument/2006/relationships/hyperlink" Target="https://audio.iskcondesiretree.com/01_-_Srila_Prabhupada/01_-_Lectures/01_-_English/02_-_Month_wise/05_-_May/04/RC_HON_1976-05-04_That_Rascal_Mao_Tse_Tung.mp3" TargetMode="External"/><Relationship Id="rId5895" Type="http://schemas.openxmlformats.org/officeDocument/2006/relationships/hyperlink" Target="https://audio.iskcondesiretree.com/01_-_Srila_Prabhupada/01_-_Lectures/01_-_English/02_-_Month_wise/06_-_June/30/Conv_1977-06-30_R3-VRNDAVAN.MP3" TargetMode="External"/><Relationship Id="rId3235" Type="http://schemas.openxmlformats.org/officeDocument/2006/relationships/hyperlink" Target="https://audio.iskcondesiretree.com/01_-_Srila_Prabhupada/01_-_Lectures/01_-_English/01_-_Topic_wise/Morning_Walk/SP_Morning_Walk_-_Melbourne_1975-05-23_The_One_Way_to_Rectify_Rascals.mp3" TargetMode="External"/><Relationship Id="rId4566" Type="http://schemas.openxmlformats.org/officeDocument/2006/relationships/hyperlink" Target="https://audio.iskcondesiretree.com/01_-_Srila_Prabhupada/01_-_Lectures/01_-_English/02_-_Month_wise/05_-_May/04/Conv_1976-05-04_R1-HONOLULU.MP3" TargetMode="External"/><Relationship Id="rId5896" Type="http://schemas.openxmlformats.org/officeDocument/2006/relationships/hyperlink" Target="https://audio.iskcondesiretree.com/01_-_Srila_Prabhupada/01_-_Lectures/01_-_English/02_-_Month_wise/07_-_July/01/Conv_1977-07-01_R1-VRNDAVAN.MP3" TargetMode="External"/><Relationship Id="rId3227" Type="http://schemas.openxmlformats.org/officeDocument/2006/relationships/hyperlink" Target="https://audio.iskcondesiretree.com/01_-_Srila_Prabhupada/01_-_Lectures/01_-_English/01_-_Topic_wise/Srimad_Bhagavatam/Canto-06/SP_SB_6-01-01-02_Melbourne_1975-05-22_Hog%27s_Life-_Eat_Any_Damned_Food.MP3" TargetMode="External"/><Relationship Id="rId4558" Type="http://schemas.openxmlformats.org/officeDocument/2006/relationships/hyperlink" Target="https://audio.iskcondesiretree.com/01_-_Srila_Prabhupada/01_-_Lectures/01_-_English/02_-_Month_wise/05_-_May/02/Fest_FIJ_1976-05-02_Deity_Installation_Enjoy_etc.mp3" TargetMode="External"/><Relationship Id="rId3226" Type="http://schemas.openxmlformats.org/officeDocument/2006/relationships/hyperlink" Target="https://audio.iskcondesiretree.com/01_-_Srila_Prabhupada/01_-_Lectures/01_-_English/01_-_Topic_wise/Room_Conversation/SP_Room_Converstion_01_Melbourne_1975-05-22.MP3" TargetMode="External"/><Relationship Id="rId4557" Type="http://schemas.openxmlformats.org/officeDocument/2006/relationships/hyperlink" Target="https://audio.iskcondesiretree.com/01_-_Srila_Prabhupada/01_-_Lectures/01_-_English/02_-_Month_wise/05_-_May/02/DeityInstall_1976-05-02_DI-FIJI.MP3" TargetMode="External"/><Relationship Id="rId3229" Type="http://schemas.openxmlformats.org/officeDocument/2006/relationships/hyperlink" Target="https://audio.iskcondesiretree.com/01_-_Srila_Prabhupada/01_-_Lectures/01_-_English/02_-_Month_wise/05_-_May/22/Conv_1975-05-22_R1-MELBOURNE.MP3" TargetMode="External"/><Relationship Id="rId5888" Type="http://schemas.openxmlformats.org/officeDocument/2006/relationships/hyperlink" Target="https://audio.iskcondesiretree.com/01_-_Srila_Prabhupada/01_-_Lectures/01_-_English/02_-_Month_wise/06_-_June/27/Conv_1977-06-27_R1-VRNDAVAN.MP3" TargetMode="External"/><Relationship Id="rId3228" Type="http://schemas.openxmlformats.org/officeDocument/2006/relationships/hyperlink" Target="https://audio.iskcondesiretree.com/01_-_Srila_Prabhupada/01_-_Lectures/01_-_English/01_-_Topic_wise/Srimad_Bhagavatam/Canto-06/SP_SB_6-01-01_Melbourne_1975-05-22_Hog%27s_Life-_Eat_Any_Damned_Food.mp3" TargetMode="External"/><Relationship Id="rId4559" Type="http://schemas.openxmlformats.org/officeDocument/2006/relationships/hyperlink" Target="https://audio.iskcondesiretree.com/01_-_Srila_Prabhupada/01_-_Lectures/01_-_English/01_-_Topic_wise/Room_Conversation/SP_Room_Conversation_Honolulu_1976-05-03_Making_Common_Cause_for_Krishna.mp3" TargetMode="External"/><Relationship Id="rId5889" Type="http://schemas.openxmlformats.org/officeDocument/2006/relationships/hyperlink" Target="https://audio.iskcondesiretree.com/01_-_Srila_Prabhupada/01_-_Lectures/01_-_English/02_-_Month_wise/06_-_June/28/Conv_1977-06-28_R1-VRNDAVAN.MP3" TargetMode="External"/><Relationship Id="rId4550" Type="http://schemas.openxmlformats.org/officeDocument/2006/relationships/hyperlink" Target="https://audio.iskcondesiretree.com/01_-_Srila_Prabhupada/01_-_Lectures/01_-_English/02_-_Month_wise/04_-_April/27/RC_AUC_1976-04-27_Wildcats_and_Special_Rascals.mp3" TargetMode="External"/><Relationship Id="rId5882" Type="http://schemas.openxmlformats.org/officeDocument/2006/relationships/hyperlink" Target="https://audio.iskcondesiretree.com/01_-_Srila_Prabhupada/01_-_Lectures/01_-_English/02_-_Month_wise/06_-_June/21/Conv_1977-06-21_R1-VRNDAVAN.MP3" TargetMode="External"/><Relationship Id="rId5883" Type="http://schemas.openxmlformats.org/officeDocument/2006/relationships/hyperlink" Target="https://audio.iskcondesiretree.com/01_-_Srila_Prabhupada/01_-_Lectures/01_-_English/02_-_Month_wise/06_-_June/22/Conv_1977-06-22_R1-VRNDAVAN.MP3" TargetMode="External"/><Relationship Id="rId3221" Type="http://schemas.openxmlformats.org/officeDocument/2006/relationships/hyperlink" Target="https://audio.iskcondesiretree.com/01_-_Srila_Prabhupada/01_-_Lectures/01_-_English/02_-_Month_wise/05_-_May/21/SB-06-01-01_1975-05-21_SB-MELBOURNE.MP3" TargetMode="External"/><Relationship Id="rId4552" Type="http://schemas.openxmlformats.org/officeDocument/2006/relationships/hyperlink" Target="https://audio.iskcondesiretree.com/01_-_Srila_Prabhupada/01_-_Lectures/01_-_English/01_-_Topic_wise/Room_Conversation/SP_Room_Conversation_Fiji_1976-05-01_President_Big-Pig.mp3" TargetMode="External"/><Relationship Id="rId5880" Type="http://schemas.openxmlformats.org/officeDocument/2006/relationships/hyperlink" Target="https://audio.iskcondesiretree.com/01_-_Srila_Prabhupada/01_-_Lectures/01_-_English/02_-_Month_wise/06_-_June/20/Conv_1977-06-20_R1-VRNDAVAN.MP3" TargetMode="External"/><Relationship Id="rId3220" Type="http://schemas.openxmlformats.org/officeDocument/2006/relationships/hyperlink" Target="https://audio.iskcondesiretree.com/01_-_Srila_Prabhupada/01_-_Lectures/01_-_English/02_-_Month_wise/05_-_May/21/RC_MEL_1975-05-21_Director_of_Research_Vox_etc.mp3" TargetMode="External"/><Relationship Id="rId4551" Type="http://schemas.openxmlformats.org/officeDocument/2006/relationships/hyperlink" Target="https://audio.iskcondesiretree.com/01_-_Srila_Prabhupada/01_-_Lectures/01_-_English/02_-_Month_wise/04_-_April/30/Conv_1976-04-30_R1-FIJI.MP3" TargetMode="External"/><Relationship Id="rId5881" Type="http://schemas.openxmlformats.org/officeDocument/2006/relationships/hyperlink" Target="https://audio.iskcondesiretree.com/01_-_Srila_Prabhupada/01_-_Lectures/01_-_English/02_-_Month_wise/06_-_June/20/Conv_1977-06-20_R2-VRNDAVAN.MP3" TargetMode="External"/><Relationship Id="rId3223" Type="http://schemas.openxmlformats.org/officeDocument/2006/relationships/hyperlink" Target="https://audio.iskcondesiretree.com/01_-_Srila_Prabhupada/01_-_Lectures/01_-_English/02_-_Month_wise/05_-_May/21/Walk_1975-05-21_MW-MELBOURNE.MP3" TargetMode="External"/><Relationship Id="rId4554" Type="http://schemas.openxmlformats.org/officeDocument/2006/relationships/hyperlink" Target="https://audio.iskcondesiretree.com/01_-_Srila_Prabhupada/01_-_Lectures/01_-_English/02_-_Month_wise/05_-_May/01/RC_FIJ_1976-05-01_President_Big_Pig.mp3" TargetMode="External"/><Relationship Id="rId5886" Type="http://schemas.openxmlformats.org/officeDocument/2006/relationships/hyperlink" Target="https://audio.iskcondesiretree.com/01_-_Srila_Prabhupada/01_-_Lectures/01_-_English/02_-_Month_wise/06_-_June/26/Conv_1977-06-26_R1-VRNDAVAN.MP3" TargetMode="External"/><Relationship Id="rId3222" Type="http://schemas.openxmlformats.org/officeDocument/2006/relationships/hyperlink" Target="https://audio.iskcondesiretree.com/01_-_Srila_Prabhupada/01_-_Lectures/01_-_English/02_-_Month_wise/05_-_May/21/SB_6-01-01_MEL_1975-05-21_Serve_the_Divine_or_Designations.mp3" TargetMode="External"/><Relationship Id="rId4553" Type="http://schemas.openxmlformats.org/officeDocument/2006/relationships/hyperlink" Target="https://audio.iskcondesiretree.com/01_-_Srila_Prabhupada/01_-_Lectures/01_-_English/02_-_Month_wise/05_-_May/01/Conv_1976-05-01_R1-FIJI.MP3" TargetMode="External"/><Relationship Id="rId5887" Type="http://schemas.openxmlformats.org/officeDocument/2006/relationships/hyperlink" Target="https://audio.iskcondesiretree.com/01_-_Srila_Prabhupada/01_-_Lectures/01_-_English/02_-_Month_wise/06_-_June/26/Inspection_1977-06-26_GI-VRNDAVAN.MP3" TargetMode="External"/><Relationship Id="rId3225" Type="http://schemas.openxmlformats.org/officeDocument/2006/relationships/hyperlink" Target="https://audio.iskcondesiretree.com/01_-_Srila_Prabhupada/01_-_Lectures/01_-_English/01_-_Topic_wise/Room_Conversation/SP_Room_Conversation_Melbourne_1975-05-22_Lawyers--If_One_Doesn%27t_Know_What--etc.mp3" TargetMode="External"/><Relationship Id="rId4556" Type="http://schemas.openxmlformats.org/officeDocument/2006/relationships/hyperlink" Target="https://audio.iskcondesiretree.com/01_-_Srila_Prabhupada/01_-_Lectures/01_-_English/02_-_Month_wise/05_-_May/02/Conv_1976-05-02_R1-FIJI.MP3" TargetMode="External"/><Relationship Id="rId5884" Type="http://schemas.openxmlformats.org/officeDocument/2006/relationships/hyperlink" Target="https://audio.iskcondesiretree.com/01_-_Srila_Prabhupada/01_-_Lectures/01_-_English/02_-_Month_wise/06_-_June/23/Conv_1977-06-23_R1-VRNDAVAN.MP3" TargetMode="External"/><Relationship Id="rId3224" Type="http://schemas.openxmlformats.org/officeDocument/2006/relationships/hyperlink" Target="https://audio.iskcondesiretree.com/01_-_Srila_Prabhupada/01_-_Lectures/01_-_English/01_-_Topic_wise/Morning_Walk/SP_Morning_Walk_-_Melbourne_1975-05-22.MP3" TargetMode="External"/><Relationship Id="rId4555" Type="http://schemas.openxmlformats.org/officeDocument/2006/relationships/hyperlink" Target="https://audio.iskcondesiretree.com/01_-_Srila_Prabhupada/01_-_Lectures/01_-_English/01_-_Topic_wise/Festivals/SP_Festivals_Fiji_1976-05-02_Deity_Installation_Enjoy--etc.mp3" TargetMode="External"/><Relationship Id="rId5885" Type="http://schemas.openxmlformats.org/officeDocument/2006/relationships/hyperlink" Target="https://audio.iskcondesiretree.com/01_-_Srila_Prabhupada/01_-_Lectures/01_-_English/02_-_Month_wise/06_-_June/24/Conv_1977-06-24_R1-VRNDAVAN.MP3" TargetMode="External"/><Relationship Id="rId3259" Type="http://schemas.openxmlformats.org/officeDocument/2006/relationships/hyperlink" Target="https://audio.iskcondesiretree.com/01_-_Srila_Prabhupada/01_-_Lectures/01_-_English/02_-_Month_wise/06_-_June/01/SB_3-28-01_HON_1975-06-01_The_Path_to_Permanence.mp3" TargetMode="External"/><Relationship Id="rId3250" Type="http://schemas.openxmlformats.org/officeDocument/2006/relationships/hyperlink" Target="https://audio.iskcondesiretree.com/01_-_Srila_Prabhupada/01_-_Lectures/01_-_English/02_-_Month_wise/05_-_May/27/Walk_1975-05-27_MW-HONOLULU.MP3" TargetMode="External"/><Relationship Id="rId4581" Type="http://schemas.openxmlformats.org/officeDocument/2006/relationships/hyperlink" Target="https://audio.iskcondesiretree.com/01_-_Srila_Prabhupada/01_-_Lectures/01_-_English/01_-_Topic_wise/Srimad_Bhagavatam/Canto-06/SP_SB_6-01-08_Honolulu_1976-05-09_The_Only_Hope.mp3" TargetMode="External"/><Relationship Id="rId4580" Type="http://schemas.openxmlformats.org/officeDocument/2006/relationships/hyperlink" Target="https://audio.iskcondesiretree.com/01_-_Srila_Prabhupada/01_-_Lectures/01_-_English/02_-_Month_wise/05_-_May/08/SB_6-01-07_HON_1976-05-08_Why_Are_There_Varieties_of_Life.mp3" TargetMode="External"/><Relationship Id="rId3252" Type="http://schemas.openxmlformats.org/officeDocument/2006/relationships/hyperlink" Target="https://audio.iskcondesiretree.com/01_-_Srila_Prabhupada/01_-_Lectures/01_-_English/02_-_Month_wise/05_-_May/28/Walk_1975-05-28_MW-HONOLULU.MP3" TargetMode="External"/><Relationship Id="rId4583" Type="http://schemas.openxmlformats.org/officeDocument/2006/relationships/hyperlink" Target="https://audio.iskcondesiretree.com/01_-_Srila_Prabhupada/01_-_Lectures/01_-_English/02_-_Month_wise/05_-_May/09/SB_6-01-08_HON_1976-05-09_The_Only_Hope.mp3" TargetMode="External"/><Relationship Id="rId3251" Type="http://schemas.openxmlformats.org/officeDocument/2006/relationships/hyperlink" Target="https://audio.iskcondesiretree.com/01_-_Srila_Prabhupada/01_-_Lectures/01_-_English/01_-_Topic_wise/Morning_Walk/SP_Morning_Walk_-_Honolulu_1975-05-28.MP3" TargetMode="External"/><Relationship Id="rId4582" Type="http://schemas.openxmlformats.org/officeDocument/2006/relationships/hyperlink" Target="https://audio.iskcondesiretree.com/01_-_Srila_Prabhupada/01_-_Lectures/01_-_English/02_-_Month_wise/05_-_May/09/SB-06-01-08_1976-05-09_SB-HONOLULU.MP3" TargetMode="External"/><Relationship Id="rId3254" Type="http://schemas.openxmlformats.org/officeDocument/2006/relationships/hyperlink" Target="https://audio.iskcondesiretree.com/01_-_Srila_Prabhupada/01_-_Lectures/01_-_English/02_-_Month_wise/05_-_May/29/Walk_1975-05-29_MW-HONOLULU.MP3" TargetMode="External"/><Relationship Id="rId4585" Type="http://schemas.openxmlformats.org/officeDocument/2006/relationships/hyperlink" Target="https://audio.iskcondesiretree.com/01_-_Srila_Prabhupada/01_-_Lectures/01_-_English/02_-_Month_wise/05_-_May/10/SB-06-01-09_1976-05-10_SB-HONOLULU.MP3" TargetMode="External"/><Relationship Id="rId3253" Type="http://schemas.openxmlformats.org/officeDocument/2006/relationships/hyperlink" Target="https://audio.iskcondesiretree.com/01_-_Srila_Prabhupada/01_-_Lectures/01_-_English/01_-_Topic_wise/Morning_Walk/SP_Morning_Walk_-_Honolulu_1975-05-29.MP3" TargetMode="External"/><Relationship Id="rId4584" Type="http://schemas.openxmlformats.org/officeDocument/2006/relationships/hyperlink" Target="https://audio.iskcondesiretree.com/01_-_Srila_Prabhupada/01_-_Lectures/01_-_English/01_-_Topic_wise/Srimad_Bhagavatam/Canto-06/SP_SB_6-01-09_Honolulu_1976-05-10_I_Don%27t_Wish_to_Die--Can_You_Help_Me.mp3" TargetMode="External"/><Relationship Id="rId3256" Type="http://schemas.openxmlformats.org/officeDocument/2006/relationships/hyperlink" Target="https://audio.iskcondesiretree.com/01_-_Srila_Prabhupada/01_-_Lectures/01_-_English/02_-_Month_wise/05_-_May/31/Walk_1975-05-31_MW-HONOLULU.MP3" TargetMode="External"/><Relationship Id="rId4587" Type="http://schemas.openxmlformats.org/officeDocument/2006/relationships/hyperlink" Target="https://audio.iskcondesiretree.com/01_-_Srila_Prabhupada/01_-_Lectures/01_-_English/01_-_Topic_wise/Srimad_Bhagavatam/Canto-06/SP_SB_6-01-10_Honolulu_1976-05-11_There_Is_New_Orleans_Culture_%26_Education.mp3" TargetMode="External"/><Relationship Id="rId3255" Type="http://schemas.openxmlformats.org/officeDocument/2006/relationships/hyperlink" Target="https://audio.iskcondesiretree.com/01_-_Srila_Prabhupada/01_-_Lectures/01_-_English/01_-_Topic_wise/Morning_Walk/SP_Morning_Walk_-_Honolulu_1975-05-31.MP3" TargetMode="External"/><Relationship Id="rId4586" Type="http://schemas.openxmlformats.org/officeDocument/2006/relationships/hyperlink" Target="https://audio.iskcondesiretree.com/01_-_Srila_Prabhupada/01_-_Lectures/01_-_English/02_-_Month_wise/05_-_May/10/SB_6-01-09_HON_1976-05-10_I_Don%27t_Wish_to_Die_Can_You_Help_Me.mp3" TargetMode="External"/><Relationship Id="rId3258" Type="http://schemas.openxmlformats.org/officeDocument/2006/relationships/hyperlink" Target="https://audio.iskcondesiretree.com/01_-_Srila_Prabhupada/01_-_Lectures/01_-_English/02_-_Month_wise/06_-_June/01/SB-03-28-01_1975-06-01_SB-HONOLULU.MP3" TargetMode="External"/><Relationship Id="rId4589" Type="http://schemas.openxmlformats.org/officeDocument/2006/relationships/hyperlink" Target="https://audio.iskcondesiretree.com/01_-_Srila_Prabhupada/01_-_Lectures/01_-_English/02_-_Month_wise/05_-_May/11/SB-06-01-10_1976-05-11_SB-HONOLULU.MP3" TargetMode="External"/><Relationship Id="rId3257" Type="http://schemas.openxmlformats.org/officeDocument/2006/relationships/hyperlink" Target="https://audio.iskcondesiretree.com/01_-_Srila_Prabhupada/01_-_Lectures/01_-_English/01_-_Topic_wise/Srimad_Bhagavatam/Canto-03/SP_SB_3-28-01_Honolulu_1975-06-01_The_Path_to_Permanence.mp3" TargetMode="External"/><Relationship Id="rId4588" Type="http://schemas.openxmlformats.org/officeDocument/2006/relationships/hyperlink" Target="https://audio.iskcondesiretree.com/01_-_Srila_Prabhupada/01_-_Lectures/01_-_English/02_-_Month_wise/05_-_May/11/Lecture_1976-05-11_LE-HONOLULU.MP3" TargetMode="External"/><Relationship Id="rId3249" Type="http://schemas.openxmlformats.org/officeDocument/2006/relationships/hyperlink" Target="https://audio.iskcondesiretree.com/01_-_Srila_Prabhupada/01_-_Lectures/01_-_English/01_-_Topic_wise/Morning_Walk/SP_Morning_Walk_-_Honolulu_1975-05-27.MP3" TargetMode="External"/><Relationship Id="rId3248" Type="http://schemas.openxmlformats.org/officeDocument/2006/relationships/hyperlink" Target="https://audio.iskcondesiretree.com/01_-_Srila_Prabhupada/01_-_Lectures/01_-_English/02_-_Month_wise/05_-_May/25/Lecture_1975-05-25_LE-HONOLULU.MP3" TargetMode="External"/><Relationship Id="rId4579" Type="http://schemas.openxmlformats.org/officeDocument/2006/relationships/hyperlink" Target="https://audio.iskcondesiretree.com/01_-_Srila_Prabhupada/01_-_Lectures/01_-_English/02_-_Month_wise/05_-_May/08/SB-06-01-07_1976-05-08_SB-HONOLULU.MP3" TargetMode="External"/><Relationship Id="rId4570" Type="http://schemas.openxmlformats.org/officeDocument/2006/relationships/hyperlink" Target="https://audio.iskcondesiretree.com/01_-_Srila_Prabhupada/01_-_Lectures/01_-_English/01_-_Topic_wise/Srimad_Bhagavatam/Canto-06/SP_SB_6-01-02_Honolulu_1976-05-06_Know_Krishna...or_New_Orleans_Way_Out.mp3" TargetMode="External"/><Relationship Id="rId3241" Type="http://schemas.openxmlformats.org/officeDocument/2006/relationships/hyperlink" Target="https://audio.iskcondesiretree.com/01_-_Srila_Prabhupada/01_-_Lectures/01_-_English/01_-_Topic_wise/Arrival_Address/SP_Arrival_Lecture_Honolulu_1975-05-25.MP3" TargetMode="External"/><Relationship Id="rId4572" Type="http://schemas.openxmlformats.org/officeDocument/2006/relationships/hyperlink" Target="https://audio.iskcondesiretree.com/01_-_Srila_Prabhupada/01_-_Lectures/01_-_English/02_-_Month_wise/05_-_May/06/SB-06-01-02_1976-05-06_SB-HONOLULU.MP3" TargetMode="External"/><Relationship Id="rId3240" Type="http://schemas.openxmlformats.org/officeDocument/2006/relationships/hyperlink" Target="https://audio.iskcondesiretree.com/01_-_Srila_Prabhupada/01_-_Lectures/01_-_English/02_-_Month_wise/05_-_May/24/Bg_07-01_FIJ_1975-05-24_The_Only_Business_of_the_Human_Being.mp3" TargetMode="External"/><Relationship Id="rId4571" Type="http://schemas.openxmlformats.org/officeDocument/2006/relationships/hyperlink" Target="https://audio.iskcondesiretree.com/01_-_Srila_Prabhupada/01_-_Lectures/01_-_English/02_-_Month_wise/05_-_May/06/Lecture_1976-05-06_LE-HONOLULU.MP3" TargetMode="External"/><Relationship Id="rId3243" Type="http://schemas.openxmlformats.org/officeDocument/2006/relationships/hyperlink" Target="https://audio.iskcondesiretree.com/01_-_Srila_Prabhupada/01_-_Lectures/01_-_English/01_-_Topic_wise/Various/SP_Lecture_Honolulu_1975-05-25_Become_a_Devotee-God_Will_Take_Special_Care.mp3" TargetMode="External"/><Relationship Id="rId4574" Type="http://schemas.openxmlformats.org/officeDocument/2006/relationships/hyperlink" Target="https://audio.iskcondesiretree.com/01_-_Srila_Prabhupada/01_-_Lectures/01_-_English/01_-_Topic_wise/Srimad_Bhagavatam/Canto-06/SP_SB_6-01-06_Honolulu_1976-05-07_Saved_from_Severe_Punishment.mp3" TargetMode="External"/><Relationship Id="rId3242" Type="http://schemas.openxmlformats.org/officeDocument/2006/relationships/hyperlink" Target="https://audio.iskcondesiretree.com/01_-_Srila_Prabhupada/01_-_Lectures/01_-_English/01_-_Topic_wise/Interview/SP_Interview_Fiji_1975-05-25_Radio--You_Can_Make_Whole_World_India.mp3" TargetMode="External"/><Relationship Id="rId4573" Type="http://schemas.openxmlformats.org/officeDocument/2006/relationships/hyperlink" Target="https://audio.iskcondesiretree.com/01_-_Srila_Prabhupada/01_-_Lectures/01_-_English/02_-_Month_wise/05_-_May/06/SB_6-01-02_HON_1976-05-06_Know_Krishna...or_No_Way_Out.mp3" TargetMode="External"/><Relationship Id="rId3245" Type="http://schemas.openxmlformats.org/officeDocument/2006/relationships/hyperlink" Target="https://audio.iskcondesiretree.com/01_-_Srila_Prabhupada/01_-_Lectures/01_-_English/02_-_Month_wise/05_-_May/25/Interv_FIJ_1975-05-25_Radio-You_Can_Make_Whole_World_India.mp3" TargetMode="External"/><Relationship Id="rId4576" Type="http://schemas.openxmlformats.org/officeDocument/2006/relationships/hyperlink" Target="https://audio.iskcondesiretree.com/01_-_Srila_Prabhupada/01_-_Lectures/01_-_English/02_-_Month_wise/05_-_May/07/SB-06-01-06_1976-05-07_SB-HONOLULU.MP3" TargetMode="External"/><Relationship Id="rId3244" Type="http://schemas.openxmlformats.org/officeDocument/2006/relationships/hyperlink" Target="https://audio.iskcondesiretree.com/01_-_Srila_Prabhupada/01_-_Lectures/01_-_English/02_-_Month_wise/05_-_May/25/Arrival_1975-05-25_AR-HONOLULU.MP3" TargetMode="External"/><Relationship Id="rId4575" Type="http://schemas.openxmlformats.org/officeDocument/2006/relationships/hyperlink" Target="https://audio.iskcondesiretree.com/01_-_Srila_Prabhupada/01_-_Lectures/01_-_English/02_-_Month_wise/05_-_May/07/Conv_1976-05-07_R1-HONOLULU.MP3" TargetMode="External"/><Relationship Id="rId3247" Type="http://schemas.openxmlformats.org/officeDocument/2006/relationships/hyperlink" Target="https://audio.iskcondesiretree.com/01_-_Srila_Prabhupada/01_-_Lectures/01_-_English/02_-_Month_wise/05_-_May/25/Lect_HON_1975-05-25_Become_a_Devotee-God_Will_Take_Special_Care.mp3" TargetMode="External"/><Relationship Id="rId4578" Type="http://schemas.openxmlformats.org/officeDocument/2006/relationships/hyperlink" Target="https://audio.iskcondesiretree.com/01_-_Srila_Prabhupada/01_-_Lectures/01_-_English/01_-_Topic_wise/Srimad_Bhagavatam/Canto-06/SP_SB_6-01-07_Honolulu_1976-05-08_Why_Are_There_Varieties_of_Life.mp3" TargetMode="External"/><Relationship Id="rId3246" Type="http://schemas.openxmlformats.org/officeDocument/2006/relationships/hyperlink" Target="https://audio.iskcondesiretree.com/01_-_Srila_Prabhupada/01_-_Lectures/01_-_English/02_-_Month_wise/05_-_May/25/Interview_1975-05-25_IV-FIJI.MP3" TargetMode="External"/><Relationship Id="rId4577" Type="http://schemas.openxmlformats.org/officeDocument/2006/relationships/hyperlink" Target="https://audio.iskcondesiretree.com/01_-_Srila_Prabhupada/01_-_Lectures/01_-_English/02_-_Month_wise/05_-_May/07/SB_6-01-06_HON_1976-05-07_Saved_from_Severe_Punishment.mp3" TargetMode="External"/><Relationship Id="rId4525" Type="http://schemas.openxmlformats.org/officeDocument/2006/relationships/hyperlink" Target="https://audio.iskcondesiretree.com/01_-_Srila_Prabhupada/01_-_Lectures/01_-_English/02_-_Month_wise/04_-_April/23/Conv_1976-04-23_R1-MELBOURNE.MP3" TargetMode="External"/><Relationship Id="rId5857" Type="http://schemas.openxmlformats.org/officeDocument/2006/relationships/hyperlink" Target="https://audio.iskcondesiretree.com/01_-_Srila_Prabhupada/01_-_Lectures/01_-_English/02_-_Month_wise/05_-_May/21/Conv_1977-05-21_R1-VRNDAVAN.MP3" TargetMode="External"/><Relationship Id="rId4524" Type="http://schemas.openxmlformats.org/officeDocument/2006/relationships/hyperlink" Target="https://audio.iskcondesiretree.com/01_-_Srila_Prabhupada/01_-_Lectures/01_-_English/02_-_Month_wise/04_-_April/23/Bg_09-04_MEL_1976-04-23_God_Is_There_and_Everywhere.mp3" TargetMode="External"/><Relationship Id="rId5858" Type="http://schemas.openxmlformats.org/officeDocument/2006/relationships/hyperlink" Target="https://audio.iskcondesiretree.com/01_-_Srila_Prabhupada/01_-_Lectures/01_-_English/02_-_Month_wise/05_-_May/22/Conv_1977-05-22_R1-VRNDAVAN.MP3" TargetMode="External"/><Relationship Id="rId4527" Type="http://schemas.openxmlformats.org/officeDocument/2006/relationships/hyperlink" Target="https://audio.iskcondesiretree.com/01_-_Srila_Prabhupada/01_-_Lectures/01_-_English/02_-_Month_wise/04_-_April/23/Initiations_1976-04-23_IN-MELBOURNE.MP3" TargetMode="External"/><Relationship Id="rId5855" Type="http://schemas.openxmlformats.org/officeDocument/2006/relationships/hyperlink" Target="https://audio.iskcondesiretree.com/01_-_Srila_Prabhupada/01_-_Lectures/01_-_English/02_-_Month_wise/05_-_May/19/Conv_1977-05-19_R1-VRNDAVAN.MP3" TargetMode="External"/><Relationship Id="rId4526" Type="http://schemas.openxmlformats.org/officeDocument/2006/relationships/hyperlink" Target="https://audio.iskcondesiretree.com/01_-_Srila_Prabhupada/01_-_Lectures/01_-_English/02_-_Month_wise/04_-_April/23/Conv_1976-04-23_R2-MELBOURNE.MP3" TargetMode="External"/><Relationship Id="rId5856" Type="http://schemas.openxmlformats.org/officeDocument/2006/relationships/hyperlink" Target="https://audio.iskcondesiretree.com/01_-_Srila_Prabhupada/01_-_Lectures/01_-_English/02_-_Month_wise/05_-_May/20/Conv_1977-05-20_R1-VRNDAVAN.MP3" TargetMode="External"/><Relationship Id="rId4529" Type="http://schemas.openxmlformats.org/officeDocument/2006/relationships/hyperlink" Target="https://audio.iskcondesiretree.com/01_-_Srila_Prabhupada/01_-_Lectures/01_-_English/01_-_Topic_wise/Bhagavad_Gita/Chapter-09/SP_BG_09-05_Melbourne_1976-04-24_Material_World-Spiritual_World.mp3" TargetMode="External"/><Relationship Id="rId4528" Type="http://schemas.openxmlformats.org/officeDocument/2006/relationships/hyperlink" Target="https://audio.iskcondesiretree.com/01_-_Srila_Prabhupada/01_-_Lectures/01_-_English/02_-_Month_wise/04_-_April/23/RC_MEL_1976-04-23_Cleanse_the_Core_of_the_Heart.mp3" TargetMode="External"/><Relationship Id="rId5859" Type="http://schemas.openxmlformats.org/officeDocument/2006/relationships/hyperlink" Target="https://audio.iskcondesiretree.com/01_-_Srila_Prabhupada/01_-_Lectures/01_-_English/02_-_Month_wise/05_-_May/24/Conv_1977-05-24_R1-VRNDAVAN.MP3" TargetMode="External"/><Relationship Id="rId5850" Type="http://schemas.openxmlformats.org/officeDocument/2006/relationships/hyperlink" Target="https://audio.iskcondesiretree.com/01_-_Srila_Prabhupada/01_-_Lectures/01_-_English/02_-_Month_wise/05_-_May/14/Darshan_1977-05-14_ED-RISHIKESH.MP3" TargetMode="External"/><Relationship Id="rId4521" Type="http://schemas.openxmlformats.org/officeDocument/2006/relationships/hyperlink" Target="https://audio.iskcondesiretree.com/01_-_Srila_Prabhupada/01_-_Lectures/01_-_English/01_-_Topic_wise/Bhagavad_Gita/Chapter-09/SP_BG_09-04_Melbourne_1976-04-23_God_Is_There_and_Everywhere.mp3" TargetMode="External"/><Relationship Id="rId5853" Type="http://schemas.openxmlformats.org/officeDocument/2006/relationships/hyperlink" Target="https://audio.iskcondesiretree.com/01_-_Srila_Prabhupada/01_-_Lectures/01_-_English/02_-_Month_wise/05_-_May/17/Arrival_1977-05-17_AR-VRNDAVAN.MP3" TargetMode="External"/><Relationship Id="rId4520" Type="http://schemas.openxmlformats.org/officeDocument/2006/relationships/hyperlink" Target="https://audio.iskcondesiretree.com/01_-_Srila_Prabhupada/01_-_Lectures/01_-_English/02_-_Month_wise/04_-_April/22/Interv_MEL_1976-04-22_Press-First_Understand_Your_Self.mp3" TargetMode="External"/><Relationship Id="rId5854" Type="http://schemas.openxmlformats.org/officeDocument/2006/relationships/hyperlink" Target="https://audio.iskcondesiretree.com/01_-_Srila_Prabhupada/01_-_Lectures/01_-_English/02_-_Month_wise/05_-_May/17/Conv_1977-05-17_R1-VRNDAVAN.MP3" TargetMode="External"/><Relationship Id="rId4523" Type="http://schemas.openxmlformats.org/officeDocument/2006/relationships/hyperlink" Target="https://audio.iskcondesiretree.com/01_-_Srila_Prabhupada/01_-_Lectures/01_-_English/02_-_Month_wise/04_-_April/23/Bg-09-04_1976-04-23_BG-MELBOURNE.MP3" TargetMode="External"/><Relationship Id="rId5851" Type="http://schemas.openxmlformats.org/officeDocument/2006/relationships/hyperlink" Target="https://audio.iskcondesiretree.com/01_-_Srila_Prabhupada/01_-_Lectures/01_-_English/02_-_Month_wise/05_-_May/14/RC_HRI_1977-05-14_Dry_Land_in_Ocean_of_Faults.mp3" TargetMode="External"/><Relationship Id="rId4522" Type="http://schemas.openxmlformats.org/officeDocument/2006/relationships/hyperlink" Target="https://audio.iskcondesiretree.com/01_-_Srila_Prabhupada/01_-_Lectures/01_-_English/01_-_Topic_wise/Room_Conversation/SP_Room_Conversation_Melbourne_1976-04-23_Cleanse_the_Core_of_the_Heart.mp3" TargetMode="External"/><Relationship Id="rId5852" Type="http://schemas.openxmlformats.org/officeDocument/2006/relationships/hyperlink" Target="https://audio.iskcondesiretree.com/01_-_Srila_Prabhupada/01_-_Lectures/01_-_English/02_-_Month_wise/05_-_May/15/Darshan_1977-05-15_ED-RISHIKESH.MP3" TargetMode="External"/><Relationship Id="rId4514" Type="http://schemas.openxmlformats.org/officeDocument/2006/relationships/hyperlink" Target="https://audio.iskcondesiretree.com/01_-_Srila_Prabhupada/01_-_Lectures/01_-_English/01_-_Topic_wise/Interview/SP_Interview_Melbourne_1976-04-22_Press--First%2C_Understand_Your_Self.mp3" TargetMode="External"/><Relationship Id="rId5846" Type="http://schemas.openxmlformats.org/officeDocument/2006/relationships/hyperlink" Target="https://audio.iskcondesiretree.com/01_-_Srila_Prabhupada/01_-_Lectures/01_-_English/01_-_Topic_wise/Room_Conversation/SP_Room_Conversation_Hrisikesh_1977-05-13_Real_Mystic_Power.mp3" TargetMode="External"/><Relationship Id="rId4513" Type="http://schemas.openxmlformats.org/officeDocument/2006/relationships/hyperlink" Target="https://audio.iskcondesiretree.com/01_-_Srila_Prabhupada/01_-_Lectures/01_-_English/01_-_Topic_wise/Bhagavad_Gita/Chapter-09/SP_BG_09-04_Melbourne_1976-04-22_Civilized_Evolution.mp3" TargetMode="External"/><Relationship Id="rId5847" Type="http://schemas.openxmlformats.org/officeDocument/2006/relationships/hyperlink" Target="https://audio.iskcondesiretree.com/01_-_Srila_Prabhupada/01_-_Lectures/01_-_English/02_-_Month_wise/05_-_May/13/Darshan_1977-05-13_ED-RISHIKESH.MP3" TargetMode="External"/><Relationship Id="rId4516" Type="http://schemas.openxmlformats.org/officeDocument/2006/relationships/hyperlink" Target="https://audio.iskcondesiretree.com/01_-_Srila_Prabhupada/01_-_Lectures/01_-_English/02_-_Month_wise/04_-_April/22/Bg_09-04_MEL_1976-04-22_Civilized_Evolution.mp3" TargetMode="External"/><Relationship Id="rId5844" Type="http://schemas.openxmlformats.org/officeDocument/2006/relationships/hyperlink" Target="https://audio.iskcondesiretree.com/01_-_Srila_Prabhupada/01_-_Lectures/01_-_English/02_-_Month_wise/05_-_May/12/Darshan_1977-05-12_ED-RISHIKESH.MP3" TargetMode="External"/><Relationship Id="rId4515" Type="http://schemas.openxmlformats.org/officeDocument/2006/relationships/hyperlink" Target="https://audio.iskcondesiretree.com/01_-_Srila_Prabhupada/01_-_Lectures/01_-_English/02_-_Month_wise/04_-_April/22/Bg-09-04_1976-04-22_BG-MELBOURNE.MP3" TargetMode="External"/><Relationship Id="rId5845" Type="http://schemas.openxmlformats.org/officeDocument/2006/relationships/hyperlink" Target="https://audio.iskcondesiretree.com/01_-_Srila_Prabhupada/01_-_Lectures/01_-_English/02_-_Month_wise/05_-_May/12/RC_HRI_1977-05-12_Every_Village_Neighborhood_Home_etc.mp3" TargetMode="External"/><Relationship Id="rId4518" Type="http://schemas.openxmlformats.org/officeDocument/2006/relationships/hyperlink" Target="https://audio.iskcondesiretree.com/01_-_Srila_Prabhupada/01_-_Lectures/01_-_English/02_-_Month_wise/04_-_April/22/Conv_1976-04-22_R2-MELBOURNE.MP3" TargetMode="External"/><Relationship Id="rId4517" Type="http://schemas.openxmlformats.org/officeDocument/2006/relationships/hyperlink" Target="https://audio.iskcondesiretree.com/01_-_Srila_Prabhupada/01_-_Lectures/01_-_English/02_-_Month_wise/04_-_April/22/Conv_1976-04-22_R1-MELBOURNE.MP3" TargetMode="External"/><Relationship Id="rId5848" Type="http://schemas.openxmlformats.org/officeDocument/2006/relationships/hyperlink" Target="https://audio.iskcondesiretree.com/01_-_Srila_Prabhupada/01_-_Lectures/01_-_English/02_-_Month_wise/05_-_May/13/RC_HRI_1977-05-13_Real_Mystic_Power.mp3" TargetMode="External"/><Relationship Id="rId4519" Type="http://schemas.openxmlformats.org/officeDocument/2006/relationships/hyperlink" Target="https://audio.iskcondesiretree.com/01_-_Srila_Prabhupada/01_-_Lectures/01_-_English/02_-_Month_wise/04_-_April/22/Conv_1976-04-22_R3-MELBOURNE.MP3" TargetMode="External"/><Relationship Id="rId5849" Type="http://schemas.openxmlformats.org/officeDocument/2006/relationships/hyperlink" Target="https://audio.iskcondesiretree.com/01_-_Srila_Prabhupada/01_-_Lectures/01_-_English/01_-_Topic_wise/Room_Conversation/SP_Room_Conversation_Hrisikesh_1977-05-14_Dry_Land_in_Ocean_of_Faults.mp3" TargetMode="External"/><Relationship Id="rId4510" Type="http://schemas.openxmlformats.org/officeDocument/2006/relationships/hyperlink" Target="https://audio.iskcondesiretree.com/01_-_Srila_Prabhupada/01_-_Lectures/01_-_English/02_-_Month_wise/04_-_April/21/Bg_09-03_MEL_1976-04-21_Serve_God_or_Serve_Dog.mp3" TargetMode="External"/><Relationship Id="rId5842" Type="http://schemas.openxmlformats.org/officeDocument/2006/relationships/hyperlink" Target="https://audio.iskcondesiretree.com/01_-_Srila_Prabhupada/01_-_Lectures/01_-_English/02_-_Month_wise/05_-_May/11/RC_HRI_1977-05-11_Krishna_Is_That_One.mp3" TargetMode="External"/><Relationship Id="rId5843" Type="http://schemas.openxmlformats.org/officeDocument/2006/relationships/hyperlink" Target="https://audio.iskcondesiretree.com/01_-_Srila_Prabhupada/01_-_Lectures/01_-_English/01_-_Topic_wise/Room_Conversation/SP_Room_Conversation_Hrisikesh_1977-05-12_Every_Village_Neighborhood_Home--etc.mp3" TargetMode="External"/><Relationship Id="rId4512" Type="http://schemas.openxmlformats.org/officeDocument/2006/relationships/hyperlink" Target="https://audio.iskcondesiretree.com/01_-_Srila_Prabhupada/01_-_Lectures/01_-_English/02_-_Month_wise/04_-_April/21/Walk_1976-04-21_MW-MELBOURNE.MP3" TargetMode="External"/><Relationship Id="rId5840" Type="http://schemas.openxmlformats.org/officeDocument/2006/relationships/hyperlink" Target="https://audio.iskcondesiretree.com/01_-_Srila_Prabhupada/01_-_Lectures/01_-_English/01_-_Topic_wise/Room_Conversation/SP_Room_Conversation_Hrisikesh_1977-05-11_Krishna_Is_That_One.mp3" TargetMode="External"/><Relationship Id="rId4511" Type="http://schemas.openxmlformats.org/officeDocument/2006/relationships/hyperlink" Target="https://audio.iskcondesiretree.com/01_-_Srila_Prabhupada/01_-_Lectures/01_-_English/02_-_Month_wise/04_-_April/21/MW_MEL_1976-04-21_The_Philosophy_of_Cow_Dung.mp3" TargetMode="External"/><Relationship Id="rId5841" Type="http://schemas.openxmlformats.org/officeDocument/2006/relationships/hyperlink" Target="https://audio.iskcondesiretree.com/01_-_Srila_Prabhupada/01_-_Lectures/01_-_English/02_-_Month_wise/05_-_May/11/Darshan_1977-05-11_ED-RISHIKESH.MP3" TargetMode="External"/><Relationship Id="rId3216" Type="http://schemas.openxmlformats.org/officeDocument/2006/relationships/hyperlink" Target="https://audio.iskcondesiretree.com/01_-_Srila_Prabhupada/01_-_Lectures/01_-_English/01_-_Topic_wise/Morning_Walk/SP_Morning_Walk_-_Melbourne_1975-05-21.MP3" TargetMode="External"/><Relationship Id="rId4547" Type="http://schemas.openxmlformats.org/officeDocument/2006/relationships/hyperlink" Target="https://audio.iskcondesiretree.com/01_-_Srila_Prabhupada/01_-_Lectures/01_-_English/02_-_Month_wise/04_-_April/27/Conv_1976-04-27_R1-AUCKLAND.MP3" TargetMode="External"/><Relationship Id="rId5879" Type="http://schemas.openxmlformats.org/officeDocument/2006/relationships/hyperlink" Target="https://audio.iskcondesiretree.com/01_-_Srila_Prabhupada/01_-_Lectures/01_-_English/02_-_Month_wise/06_-_June/19/Conv_1977-06-19_R2-VRNDAVAN.MP3" TargetMode="External"/><Relationship Id="rId3215" Type="http://schemas.openxmlformats.org/officeDocument/2006/relationships/hyperlink" Target="https://audio.iskcondesiretree.com/01_-_Srila_Prabhupada/01_-_Lectures/01_-_English/02_-_Month_wise/05_-_May/20/Walk_1975-05-20_MW-MELBOURNE.MP3" TargetMode="External"/><Relationship Id="rId4546" Type="http://schemas.openxmlformats.org/officeDocument/2006/relationships/hyperlink" Target="https://audio.iskcondesiretree.com/01_-_Srila_Prabhupada/01_-_Lectures/01_-_English/02_-_Month_wise/04_-_April/27/CcMadhya-20-098%E2%80%93102_1976-04-27_CC-AUCKLAND.MP3" TargetMode="External"/><Relationship Id="rId3218" Type="http://schemas.openxmlformats.org/officeDocument/2006/relationships/hyperlink" Target="https://audio.iskcondesiretree.com/01_-_Srila_Prabhupada/01_-_Lectures/01_-_English/01_-_Topic_wise/Srimad_Bhagavatam/Canto-06/SP_SB_6-01-01_Melbourne_1975-05-21_Serve_the_Divine_or_Designations.mp3" TargetMode="External"/><Relationship Id="rId4549" Type="http://schemas.openxmlformats.org/officeDocument/2006/relationships/hyperlink" Target="https://audio.iskcondesiretree.com/01_-_Srila_Prabhupada/01_-_Lectures/01_-_English/02_-_Month_wise/04_-_April/27/PressConf_1976-04-27_PC-AUCKLAND.MP3" TargetMode="External"/><Relationship Id="rId5877" Type="http://schemas.openxmlformats.org/officeDocument/2006/relationships/hyperlink" Target="https://audio.iskcondesiretree.com/01_-_Srila_Prabhupada/01_-_Lectures/01_-_English/02_-_Month_wise/06_-_June/18/Conv_1977-06-18_R1-VRNDAVAN.MP3" TargetMode="External"/><Relationship Id="rId3217" Type="http://schemas.openxmlformats.org/officeDocument/2006/relationships/hyperlink" Target="https://audio.iskcondesiretree.com/01_-_Srila_Prabhupada/01_-_Lectures/01_-_English/01_-_Topic_wise/Room_Conversation/SP_Room_Conversation_Melbourne_1975-05-21_Director_of_Research--Vox--etc.mp3" TargetMode="External"/><Relationship Id="rId4548" Type="http://schemas.openxmlformats.org/officeDocument/2006/relationships/hyperlink" Target="https://audio.iskcondesiretree.com/01_-_Srila_Prabhupada/01_-_Lectures/01_-_English/02_-_Month_wise/04_-_April/27/Interv_AUC_1976-04-27_Press--This_Religion_Is_Yours_Also.mp3" TargetMode="External"/><Relationship Id="rId5878" Type="http://schemas.openxmlformats.org/officeDocument/2006/relationships/hyperlink" Target="https://audio.iskcondesiretree.com/01_-_Srila_Prabhupada/01_-_Lectures/01_-_English/02_-_Month_wise/06_-_June/19/Conv_1977-06-19_R1-VRNDAVAN.MP3" TargetMode="External"/><Relationship Id="rId3219" Type="http://schemas.openxmlformats.org/officeDocument/2006/relationships/hyperlink" Target="https://audio.iskcondesiretree.com/01_-_Srila_Prabhupada/01_-_Lectures/01_-_English/02_-_Month_wise/05_-_May/21/Conv_1975-05-21_R1-MELBOURNE.MP3" TargetMode="External"/><Relationship Id="rId5871" Type="http://schemas.openxmlformats.org/officeDocument/2006/relationships/hyperlink" Target="https://audio.iskcondesiretree.com/01_-_Srila_Prabhupada/01_-_Lectures/01_-_English/02_-_Month_wise/05_-_May/29/Conv_1977-05-29_R1-VRNDAVAN.MP3" TargetMode="External"/><Relationship Id="rId5872" Type="http://schemas.openxmlformats.org/officeDocument/2006/relationships/hyperlink" Target="https://audio.iskcondesiretree.com/01_-_Srila_Prabhupada/01_-_Lectures/01_-_English/02_-_Month_wise/05_-_May/29/Conv_1977-05-29_R2-VRNDAVAN.MP3" TargetMode="External"/><Relationship Id="rId3210" Type="http://schemas.openxmlformats.org/officeDocument/2006/relationships/hyperlink" Target="https://audio.iskcondesiretree.com/01_-_Srila_Prabhupada/01_-_Lectures/01_-_English/01_-_Topic_wise/Room_Conversation/SP_Room_Converstion_01_Melbourne_1975-05-20.MP3" TargetMode="External"/><Relationship Id="rId4541" Type="http://schemas.openxmlformats.org/officeDocument/2006/relationships/hyperlink" Target="https://audio.iskcondesiretree.com/01_-_Srila_Prabhupada/01_-_Lectures/01_-_English/01_-_Topic_wise/Arrival_Address/SP_Address_Auckland_1976-04-27_Boat_Breeze_and_Captain.mp3" TargetMode="External"/><Relationship Id="rId4540" Type="http://schemas.openxmlformats.org/officeDocument/2006/relationships/hyperlink" Target="https://audio.iskcondesiretree.com/01_-_Srila_Prabhupada/01_-_Lectures/01_-_English/02_-_Month_wise/04_-_April/26/Walk_1976-04-26_MW-MELBOURNE.MP3" TargetMode="External"/><Relationship Id="rId5870" Type="http://schemas.openxmlformats.org/officeDocument/2006/relationships/hyperlink" Target="https://audio.iskcondesiretree.com/01_-_Srila_Prabhupada/01_-_Lectures/01_-_English/02_-_Month_wise/05_-_May/28/PrabhupadaVigil_1977-05-28_VG-VRNDAVAN.MP3" TargetMode="External"/><Relationship Id="rId3212" Type="http://schemas.openxmlformats.org/officeDocument/2006/relationships/hyperlink" Target="https://audio.iskcondesiretree.com/01_-_Srila_Prabhupada/01_-_Lectures/01_-_English/02_-_Month_wise/05_-_May/20/Conv_1975-05-20_R1-MELBOURNE.MP3" TargetMode="External"/><Relationship Id="rId4543" Type="http://schemas.openxmlformats.org/officeDocument/2006/relationships/hyperlink" Target="https://audio.iskcondesiretree.com/01_-_Srila_Prabhupada/01_-_Lectures/01_-_English/01_-_Topic_wise/Room_Conversation/SP_Room_Conversation_Auckland_1976-04-27_Wildcats_and_Special_Rascals.mp3" TargetMode="External"/><Relationship Id="rId5875" Type="http://schemas.openxmlformats.org/officeDocument/2006/relationships/hyperlink" Target="https://audio.iskcondesiretree.com/01_-_Srila_Prabhupada/01_-_Lectures/01_-_English/02_-_Month_wise/06_-_June/02/Conv_1977-06-02_DC-VRNDAVAN.MP3" TargetMode="External"/><Relationship Id="rId3211" Type="http://schemas.openxmlformats.org/officeDocument/2006/relationships/hyperlink" Target="https://audio.iskcondesiretree.com/01_-_Srila_Prabhupada/01_-_Lectures/01_-_English/01_-_Topic_wise/Srimad_Bhagavatam/Canto-06/SP_SB_6-01-01_Melbourne_1975-05-20_What_to_Do_About_Death.mp3" TargetMode="External"/><Relationship Id="rId4542" Type="http://schemas.openxmlformats.org/officeDocument/2006/relationships/hyperlink" Target="https://audio.iskcondesiretree.com/01_-_Srila_Prabhupada/01_-_Lectures/01_-_English/01_-_Topic_wise/Interview/SP_Interview_Auckland_1976-04-27_Press--This_Religion_Is_Yours_Also.mp3" TargetMode="External"/><Relationship Id="rId5876" Type="http://schemas.openxmlformats.org/officeDocument/2006/relationships/hyperlink" Target="https://audio.iskcondesiretree.com/01_-_Srila_Prabhupada/01_-_Lectures/01_-_English/02_-_Month_wise/06_-_June/17/Conv_1977-06-17_R1-VRNDAVAN.MP3" TargetMode="External"/><Relationship Id="rId3214" Type="http://schemas.openxmlformats.org/officeDocument/2006/relationships/hyperlink" Target="https://audio.iskcondesiretree.com/01_-_Srila_Prabhupada/01_-_Lectures/01_-_English/02_-_Month_wise/05_-_May/20/SB%E2%80%9306-01-01%E2%80%9304_1975-05-20_SB-MELBOURNE.MP3" TargetMode="External"/><Relationship Id="rId4545" Type="http://schemas.openxmlformats.org/officeDocument/2006/relationships/hyperlink" Target="https://audio.iskcondesiretree.com/01_-_Srila_Prabhupada/01_-_Lectures/01_-_English/02_-_Month_wise/04_-_April/27/Arrival_1976-04-27_AR-AUCKLAND.MP3" TargetMode="External"/><Relationship Id="rId5873" Type="http://schemas.openxmlformats.org/officeDocument/2006/relationships/hyperlink" Target="https://audio.iskcondesiretree.com/01_-_Srila_Prabhupada/01_-_Lectures/01_-_English/02_-_Month_wise/05_-_May/31/Conv_1977-05-31_R1-VRNDAVAN.MP3" TargetMode="External"/><Relationship Id="rId3213" Type="http://schemas.openxmlformats.org/officeDocument/2006/relationships/hyperlink" Target="https://audio.iskcondesiretree.com/01_-_Srila_Prabhupada/01_-_Lectures/01_-_English/02_-_Month_wise/05_-_May/20/SB_6-01-01_MEL_1975-05-20_What_to_Do_About_Death.mp3" TargetMode="External"/><Relationship Id="rId4544" Type="http://schemas.openxmlformats.org/officeDocument/2006/relationships/hyperlink" Target="https://audio.iskcondesiretree.com/01_-_Srila_Prabhupada/01_-_Lectures/01_-_English/02_-_Month_wise/04_-_April/27/Arr_AUC_1976-04-27_Boat%2C_Breeze_and_Captain.mp3" TargetMode="External"/><Relationship Id="rId5874" Type="http://schemas.openxmlformats.org/officeDocument/2006/relationships/hyperlink" Target="https://audio.iskcondesiretree.com/01_-_Srila_Prabhupada/01_-_Lectures/01_-_English/02_-_Month_wise/06_-_June/01/Conv_1977-06-01_DC-VRNDAVAN.MP3" TargetMode="External"/><Relationship Id="rId3205" Type="http://schemas.openxmlformats.org/officeDocument/2006/relationships/hyperlink" Target="https://audio.iskcondesiretree.com/01_-_Srila_Prabhupada/01_-_Lectures/01_-_English/02_-_Month_wise/05_-_May/19/RC_MEL_1975-05-19_Mystic_Concoction_vs_Spiritual_Vision.mp3" TargetMode="External"/><Relationship Id="rId4536" Type="http://schemas.openxmlformats.org/officeDocument/2006/relationships/hyperlink" Target="https://audio.iskcondesiretree.com/01_-_Srila_Prabhupada/01_-_Lectures/01_-_English/01_-_Topic_wise/Morning_Walk/SP_Morning_Walk_-_Melbourne_1976-04-26_Krishna_Anxiety.mp3" TargetMode="External"/><Relationship Id="rId5868" Type="http://schemas.openxmlformats.org/officeDocument/2006/relationships/hyperlink" Target="https://audio.iskcondesiretree.com/01_-_Srila_Prabhupada/01_-_Lectures/01_-_English/02_-_Month_wise/05_-_May/28/Conv_1977-05-28_R1-VRNDAVAN.MP3" TargetMode="External"/><Relationship Id="rId3204" Type="http://schemas.openxmlformats.org/officeDocument/2006/relationships/hyperlink" Target="https://audio.iskcondesiretree.com/01_-_Srila_Prabhupada/01_-_Lectures/01_-_English/02_-_Month_wise/05_-_May/19/MW_MEL_1975-05-19_The_Envious_and_the_Merciful.mp3" TargetMode="External"/><Relationship Id="rId4535" Type="http://schemas.openxmlformats.org/officeDocument/2006/relationships/hyperlink" Target="https://audio.iskcondesiretree.com/01_-_Srila_Prabhupada/01_-_Lectures/01_-_English/01_-_Topic_wise/Bhagavad_Gita/Chapter-09/SP_BG_09-10_Melbourne_1976-04-26_Destination-Lord_of_Destiny.mp3" TargetMode="External"/><Relationship Id="rId5869" Type="http://schemas.openxmlformats.org/officeDocument/2006/relationships/hyperlink" Target="https://audio.iskcondesiretree.com/01_-_Srila_Prabhupada/01_-_Lectures/01_-_English/02_-_Month_wise/05_-_May/28/Meeting_1977-05-28_ME-VRNDAVAN.MP3" TargetMode="External"/><Relationship Id="rId3207" Type="http://schemas.openxmlformats.org/officeDocument/2006/relationships/hyperlink" Target="https://audio.iskcondesiretree.com/01_-_Srila_Prabhupada/01_-_Lectures/01_-_English/02_-_Month_wise/05_-_May/19/SB-Lecture_1975-05-19_SB-MELBOURNE.MP3" TargetMode="External"/><Relationship Id="rId4538" Type="http://schemas.openxmlformats.org/officeDocument/2006/relationships/hyperlink" Target="https://audio.iskcondesiretree.com/01_-_Srila_Prabhupada/01_-_Lectures/01_-_English/02_-_Month_wise/04_-_April/26/Bg_09-10_MEL_1976-04-26_Destination-Lord_of_Destiny.mp3" TargetMode="External"/><Relationship Id="rId5866" Type="http://schemas.openxmlformats.org/officeDocument/2006/relationships/hyperlink" Target="https://audio.iskcondesiretree.com/01_-_Srila_Prabhupada/01_-_Lectures/01_-_English/02_-_Month_wise/05_-_May/27/Conv_1977-05-27_R2-VRNDAVAN.MP3" TargetMode="External"/><Relationship Id="rId3206" Type="http://schemas.openxmlformats.org/officeDocument/2006/relationships/hyperlink" Target="https://audio.iskcondesiretree.com/01_-_Srila_Prabhupada/01_-_Lectures/01_-_English/02_-_Month_wise/05_-_May/19/RC_MEL_1975-05-19_When_Looking_Inward_is_Looking_Outward.mp3" TargetMode="External"/><Relationship Id="rId4537" Type="http://schemas.openxmlformats.org/officeDocument/2006/relationships/hyperlink" Target="https://audio.iskcondesiretree.com/01_-_Srila_Prabhupada/01_-_Lectures/01_-_English/02_-_Month_wise/04_-_April/26/Bg-09-10_1976-04-26_BG-MELBOURNE.MP3" TargetMode="External"/><Relationship Id="rId5867" Type="http://schemas.openxmlformats.org/officeDocument/2006/relationships/hyperlink" Target="https://audio.iskcondesiretree.com/01_-_Srila_Prabhupada/01_-_Lectures/01_-_English/02_-_Month_wise/05_-_May/27/PrabhupadaVigil_1977-05-27_VG-VRNDAVAN.MP3" TargetMode="External"/><Relationship Id="rId3209" Type="http://schemas.openxmlformats.org/officeDocument/2006/relationships/hyperlink" Target="https://audio.iskcondesiretree.com/01_-_Srila_Prabhupada/01_-_Lectures/01_-_English/01_-_Topic_wise/Morning_Walk/SP_Morning_Walk_-_Melbourne_1975-05-20.MP3" TargetMode="External"/><Relationship Id="rId3208" Type="http://schemas.openxmlformats.org/officeDocument/2006/relationships/hyperlink" Target="https://audio.iskcondesiretree.com/01_-_Srila_Prabhupada/01_-_Lectures/01_-_English/02_-_Month_wise/05_-_May/19/Walk_1975-05-19_MW-MELBOURNE.MP3" TargetMode="External"/><Relationship Id="rId4539" Type="http://schemas.openxmlformats.org/officeDocument/2006/relationships/hyperlink" Target="https://audio.iskcondesiretree.com/01_-_Srila_Prabhupada/01_-_Lectures/01_-_English/02_-_Month_wise/04_-_April/26/MW_MEL_1976-04-26_Krishna_Anxiety.mp3" TargetMode="External"/><Relationship Id="rId5860" Type="http://schemas.openxmlformats.org/officeDocument/2006/relationships/hyperlink" Target="https://audio.iskcondesiretree.com/01_-_Srila_Prabhupada/01_-_Lectures/01_-_English/02_-_Month_wise/05_-_May/24/Conv_1977-05-24_R2-VRNDAVAN.MP3" TargetMode="External"/><Relationship Id="rId5861" Type="http://schemas.openxmlformats.org/officeDocument/2006/relationships/hyperlink" Target="https://audio.iskcondesiretree.com/01_-_Srila_Prabhupada/01_-_Lectures/01_-_English/02_-_Month_wise/05_-_May/24/Conv_1977-05-24_R3-VRNDAVAN.MP3" TargetMode="External"/><Relationship Id="rId4530" Type="http://schemas.openxmlformats.org/officeDocument/2006/relationships/hyperlink" Target="https://audio.iskcondesiretree.com/01_-_Srila_Prabhupada/01_-_Lectures/01_-_English/01_-_Topic_wise/Morning_Walk/SP_Morning_Walk_-_Melbourne_1976-04-24_Happy_Suffering.mp3" TargetMode="External"/><Relationship Id="rId3201" Type="http://schemas.openxmlformats.org/officeDocument/2006/relationships/hyperlink" Target="https://audio.iskcondesiretree.com/01_-_Srila_Prabhupada/01_-_Lectures/01_-_English/02_-_Month_wise/05_-_May/19/Conv_1975-05-19_R2-MELBOURNE.MP3" TargetMode="External"/><Relationship Id="rId4532" Type="http://schemas.openxmlformats.org/officeDocument/2006/relationships/hyperlink" Target="https://audio.iskcondesiretree.com/01_-_Srila_Prabhupada/01_-_Lectures/01_-_English/02_-_Month_wise/04_-_April/24/Bg_09-05_MEL_1976-04-24_Material_World-Spiritual_World.mp3" TargetMode="External"/><Relationship Id="rId5864" Type="http://schemas.openxmlformats.org/officeDocument/2006/relationships/hyperlink" Target="https://audio.iskcondesiretree.com/01_-_Srila_Prabhupada/01_-_Lectures/01_-_English/02_-_Month_wise/05_-_May/25/Conv_1977-05-25_R2-VRNDAVAN.MP3" TargetMode="External"/><Relationship Id="rId3200" Type="http://schemas.openxmlformats.org/officeDocument/2006/relationships/hyperlink" Target="https://audio.iskcondesiretree.com/01_-_Srila_Prabhupada/01_-_Lectures/01_-_English/02_-_Month_wise/05_-_May/19/Conv_1975-05-19_R1-MELBOURNE.MP3" TargetMode="External"/><Relationship Id="rId4531" Type="http://schemas.openxmlformats.org/officeDocument/2006/relationships/hyperlink" Target="https://audio.iskcondesiretree.com/01_-_Srila_Prabhupada/01_-_Lectures/01_-_English/02_-_Month_wise/04_-_April/24/Bg-09-05_1976-04-24-BG-MELBOURNE.MP3" TargetMode="External"/><Relationship Id="rId5865" Type="http://schemas.openxmlformats.org/officeDocument/2006/relationships/hyperlink" Target="https://audio.iskcondesiretree.com/01_-_Srila_Prabhupada/01_-_Lectures/01_-_English/02_-_Month_wise/05_-_May/27/Conv_1977-05-27_R1-VRNDAVAN.MP3" TargetMode="External"/><Relationship Id="rId3203" Type="http://schemas.openxmlformats.org/officeDocument/2006/relationships/hyperlink" Target="https://audio.iskcondesiretree.com/01_-_Srila_Prabhupada/01_-_Lectures/01_-_English/02_-_Month_wise/05_-_May/19/Lect_MEL_1975-05-19_We_Are_Doing_Our_Bit_to_Make_etc.mp3" TargetMode="External"/><Relationship Id="rId4534" Type="http://schemas.openxmlformats.org/officeDocument/2006/relationships/hyperlink" Target="https://audio.iskcondesiretree.com/01_-_Srila_Prabhupada/01_-_Lectures/01_-_English/02_-_Month_wise/04_-_April/24/Walk_1976-04-24_MW-MELBOURNE.MP3" TargetMode="External"/><Relationship Id="rId5862" Type="http://schemas.openxmlformats.org/officeDocument/2006/relationships/hyperlink" Target="https://audio.iskcondesiretree.com/01_-_Srila_Prabhupada/01_-_Lectures/01_-_English/02_-_Month_wise/05_-_May/24/Conv_1977-05-24_R4-VRNDAVAN.MP3" TargetMode="External"/><Relationship Id="rId3202" Type="http://schemas.openxmlformats.org/officeDocument/2006/relationships/hyperlink" Target="https://audio.iskcondesiretree.com/01_-_Srila_Prabhupada/01_-_Lectures/01_-_English/02_-_Month_wise/05_-_May/19/Interv_MEL_1975-05-19_Press-No_Culture-Just_Money.mp3" TargetMode="External"/><Relationship Id="rId4533" Type="http://schemas.openxmlformats.org/officeDocument/2006/relationships/hyperlink" Target="https://audio.iskcondesiretree.com/01_-_Srila_Prabhupada/01_-_Lectures/01_-_English/02_-_Month_wise/04_-_April/24/MW_MEL_1976-04-24_Happy_Suffering.mp3" TargetMode="External"/><Relationship Id="rId5863" Type="http://schemas.openxmlformats.org/officeDocument/2006/relationships/hyperlink" Target="https://audio.iskcondesiretree.com/01_-_Srila_Prabhupada/01_-_Lectures/01_-_English/02_-_Month_wise/05_-_May/25/Conv_1977-05-25_R1-VRNDAVAN.MP3" TargetMode="External"/><Relationship Id="rId190" Type="http://schemas.openxmlformats.org/officeDocument/2006/relationships/hyperlink" Target="https://audio.iskcondesiretree.com/01_-_Srila_Prabhupada/01_-_Lectures/01_-_English/01_-_Topic_wise/Chaitanya_Charitamrita/Madhya_Lila/SP_CC_M_20-337_New_York_1966-12-25_One_Good_Quality_in_Kali-Yuga.mp3" TargetMode="External"/><Relationship Id="rId194" Type="http://schemas.openxmlformats.org/officeDocument/2006/relationships/hyperlink" Target="https://audio.iskcondesiretree.com/01_-_Srila_Prabhupada/01_-_Lectures/01_-_English/02_-_Month_wise/12_-_December/26/Bg_09-34_NY_1966-12-26_Being_Completely_Absorbed_in_etc.mp3" TargetMode="External"/><Relationship Id="rId193" Type="http://schemas.openxmlformats.org/officeDocument/2006/relationships/hyperlink" Target="https://audio.iskcondesiretree.com/01_-_Srila_Prabhupada/01_-_Lectures/01_-_English/01_-_Topic_wise/Chaitanya_Charitamrita/Madhya_Lila/SP_CC_M_20-353_New_York_1966-12-26_Scriptural_Test_for_Avataras.mp3" TargetMode="External"/><Relationship Id="rId192" Type="http://schemas.openxmlformats.org/officeDocument/2006/relationships/hyperlink" Target="https://audio.iskcondesiretree.com/01_-_Srila_Prabhupada/01_-_Lectures/01_-_English/01_-_Topic_wise/Bhagavad_Gita/Chapter-09/SP_BG_09-34_New_York_1966-12-26_Being_Completely_Absorbed_in--etc.mp3" TargetMode="External"/><Relationship Id="rId191" Type="http://schemas.openxmlformats.org/officeDocument/2006/relationships/hyperlink" Target="https://audio.iskcondesiretree.com/01_-_Srila_Prabhupada/01_-_Lectures/01_-_English/02_-_Month_wise/12_-_December/25/Cc_M_20-337_NY_1966-12-25_One_Good_Quality_in_Kali-Yuga.mp3" TargetMode="External"/><Relationship Id="rId187" Type="http://schemas.openxmlformats.org/officeDocument/2006/relationships/hyperlink" Target="https://audio.iskcondesiretree.com/01_-_Srila_Prabhupada/01_-_Lectures/01_-_English/02_-_Month_wise/12_-_December/23/Cc_M_20-330_NY_1966-12-23_Yugavataras-Incarnations_etc.mp3" TargetMode="External"/><Relationship Id="rId186" Type="http://schemas.openxmlformats.org/officeDocument/2006/relationships/hyperlink" Target="https://audio.iskcondesiretree.com/01_-_Srila_Prabhupada/01_-_Lectures/01_-_English/01_-_Topic_wise/Chaitanya_Charitamrita/Madhya_Lila/SP_CC_M_20-330_New_York_1966-12-23_Yugavataras--Incarnations--etc.mp3" TargetMode="External"/><Relationship Id="rId185" Type="http://schemas.openxmlformats.org/officeDocument/2006/relationships/hyperlink" Target="https://audio.iskcondesiretree.com/01_-_Srila_Prabhupada/01_-_Lectures/01_-_English/02_-_Month_wise/12_-_December/22/Cc_M_20-318_NY_1966-12-22_Manvantara-Avataras_etc.mp3" TargetMode="External"/><Relationship Id="rId184" Type="http://schemas.openxmlformats.org/officeDocument/2006/relationships/hyperlink" Target="https://audio.iskcondesiretree.com/01_-_Srila_Prabhupada/01_-_Lectures/01_-_English/01_-_Topic_wise/Chaitanya_Charitamrita/Madhya_Lila/SP_CC_M_20-318_New_York_1966-12-22_Manvantara-Avataras----etc.mp3" TargetMode="External"/><Relationship Id="rId189" Type="http://schemas.openxmlformats.org/officeDocument/2006/relationships/hyperlink" Target="https://audio.iskcondesiretree.com/01_-_Srila_Prabhupada/01_-_Lectures/01_-_English/02_-_Month_wise/12_-_December/24/Cc_M_20-334_NY_1966-12-24_Chant_Holy_Name_Together.mp3" TargetMode="External"/><Relationship Id="rId188" Type="http://schemas.openxmlformats.org/officeDocument/2006/relationships/hyperlink" Target="https://audio.iskcondesiretree.com/01_-_Srila_Prabhupada/01_-_Lectures/01_-_English/01_-_Topic_wise/Chaitanya_Charitamrita/Madhya_Lila/SP_CC_M_20-334_New_York_1966-12-24_Chant_Holy_Name_Together.mp3" TargetMode="External"/><Relationship Id="rId183" Type="http://schemas.openxmlformats.org/officeDocument/2006/relationships/hyperlink" Target="https://audio.iskcondesiretree.com/01_-_Srila_Prabhupada/01_-_Lectures/01_-_English/02_-_Month_wise/12_-_December/21/Cc_M_20-313_NY_1966-12-21_Krishna_Can_See_Everything.mp3" TargetMode="External"/><Relationship Id="rId182" Type="http://schemas.openxmlformats.org/officeDocument/2006/relationships/hyperlink" Target="https://audio.iskcondesiretree.com/01_-_Srila_Prabhupada/01_-_Lectures/01_-_English/01_-_Topic_wise/Chaitanya_Charitamrita/Madhya_Lila/SP_CC_M_20-313_New_York_1966-12-21_Krishna_Can_See_Everything.mp3" TargetMode="External"/><Relationship Id="rId181" Type="http://schemas.openxmlformats.org/officeDocument/2006/relationships/hyperlink" Target="https://audio.iskcondesiretree.com/01_-_Srila_Prabhupada/01_-_Lectures/01_-_English/02_-_Month_wise/12_-_December/20/Cc_M_20-298_NY_1966-12-20_Gunavataras-The_etc.mp3" TargetMode="External"/><Relationship Id="rId180" Type="http://schemas.openxmlformats.org/officeDocument/2006/relationships/hyperlink" Target="https://audio.iskcondesiretree.com/01_-_Srila_Prabhupada/01_-_Lectures/01_-_English/02_-_Month_wise/12_-_December/20/Bg_09-29_NY_1966-12-20_Krishna%27s_Devotion_to_His_Devotee.mp3" TargetMode="External"/><Relationship Id="rId176" Type="http://schemas.openxmlformats.org/officeDocument/2006/relationships/hyperlink" Target="https://audio.iskcondesiretree.com/01_-_Srila_Prabhupada/01_-_Lectures/01_-_English/02_-_Month_wise/12_-_December/19/Bg_09-27_NY_1966-12-19_Karma_Love_and_Devotion.mp3" TargetMode="External"/><Relationship Id="rId175" Type="http://schemas.openxmlformats.org/officeDocument/2006/relationships/hyperlink" Target="https://audio.iskcondesiretree.com/01_-_Srila_Prabhupada/01_-_Lectures/01_-_English/01_-_Topic_wise/Chaitanya_Charitamrita/Madhya_Lila/SP_CC_M_20-294_New_York_1966-12-19_Lilavataras--No_End_to_Them.mp3" TargetMode="External"/><Relationship Id="rId174" Type="http://schemas.openxmlformats.org/officeDocument/2006/relationships/hyperlink" Target="https://audio.iskcondesiretree.com/01_-_Srila_Prabhupada/01_-_Lectures/01_-_English/01_-_Topic_wise/Bhagavad_Gita/Chapter-09/SP_BG_09-27-29_New_York_1966-12-19_Karma_Love_and_Devotion.mp3" TargetMode="External"/><Relationship Id="rId173" Type="http://schemas.openxmlformats.org/officeDocument/2006/relationships/hyperlink" Target="https://audio.iskcondesiretree.com/01_-_Srila_Prabhupada/01_-_Lectures/01_-_English/02_-_Month_wise/12_-_December/18/Cc_M_20-281_NY_1966-12-18_Manifestation_of_Universe.mp3" TargetMode="External"/><Relationship Id="rId179" Type="http://schemas.openxmlformats.org/officeDocument/2006/relationships/hyperlink" Target="https://audio.iskcondesiretree.com/01_-_Srila_Prabhupada/01_-_Lectures/01_-_English/01_-_Topic_wise/Chaitanya_Charitamrita/Madhya_Lila/SP_CC_M_20-298_New_York_1966-12-20_Gunavataras--The--etc.mp3" TargetMode="External"/><Relationship Id="rId178" Type="http://schemas.openxmlformats.org/officeDocument/2006/relationships/hyperlink" Target="https://audio.iskcondesiretree.com/01_-_Srila_Prabhupada/01_-_Lectures/01_-_English/01_-_Topic_wise/Bhagavad_Gita/Chapter-09/SP_BG_09-29-32_New_York_1966-12-20_Krishna%27s_Devotion_to_His_Devotee.mp3" TargetMode="External"/><Relationship Id="rId177" Type="http://schemas.openxmlformats.org/officeDocument/2006/relationships/hyperlink" Target="https://audio.iskcondesiretree.com/01_-_Srila_Prabhupada/01_-_Lectures/01_-_English/02_-_Month_wise/12_-_December/19/Cc_M_20-294_NY_1966-12-19_Lilavataras-No_End_to_Them.mp3" TargetMode="External"/><Relationship Id="rId198" Type="http://schemas.openxmlformats.org/officeDocument/2006/relationships/hyperlink" Target="https://audio.iskcondesiretree.com/01_-_Srila_Prabhupada/01_-_Lectures/01_-_English/01_-_Topic_wise/Chaitanya_Charitamrita/Madhya_Lila/SP_CC_M_20-360_New_York_1966-12-30_What_Is_the_Use_of_Becoming--etc.mp3" TargetMode="External"/><Relationship Id="rId197" Type="http://schemas.openxmlformats.org/officeDocument/2006/relationships/hyperlink" Target="https://audio.iskcondesiretree.com/01_-_Srila_Prabhupada/01_-_Lectures/01_-_English/02_-_Month_wise/12_-_December/28/Cc_M_20-354_NY_1966-12-28_Symptoms_of_Saintly_Persons.mp3" TargetMode="External"/><Relationship Id="rId196" Type="http://schemas.openxmlformats.org/officeDocument/2006/relationships/hyperlink" Target="https://audio.iskcondesiretree.com/01_-_Srila_Prabhupada/01_-_Lectures/01_-_English/01_-_Topic_wise/Chaitanya_Charitamrita/Madhya_Lila/SP_CC_M_20-354_New_York_1966-12-28_Symptoms_of_Saintly_Persons.mp3" TargetMode="External"/><Relationship Id="rId195" Type="http://schemas.openxmlformats.org/officeDocument/2006/relationships/hyperlink" Target="https://audio.iskcondesiretree.com/01_-_Srila_Prabhupada/01_-_Lectures/01_-_English/02_-_Month_wise/12_-_December/26/Cc_M_20-353_NY_1966-12-26_Scriptural_Test_for_Avataras.mp3" TargetMode="External"/><Relationship Id="rId199" Type="http://schemas.openxmlformats.org/officeDocument/2006/relationships/hyperlink" Target="https://audio.iskcondesiretree.com/01_-_Srila_Prabhupada/01_-_Lectures/01_-_English/02_-_Month_wise/12_-_December/30/Cc_M_20-360_NY_1966-12-30_What_Is_the_Use_of_Becoming_etc.mp3" TargetMode="External"/><Relationship Id="rId150" Type="http://schemas.openxmlformats.org/officeDocument/2006/relationships/hyperlink" Target="https://audio.iskcondesiretree.com/01_-_Srila_Prabhupada/01_-_Lectures/01_-_English/01_-_Topic_wise/Bhagavad_Gita/Chapter-09/SP_BG_09-20-21_New_York_1966-12-06_Heavenly_Planets--Temporary_Happiness.mp3" TargetMode="External"/><Relationship Id="rId149" Type="http://schemas.openxmlformats.org/officeDocument/2006/relationships/hyperlink" Target="https://audio.iskcondesiretree.com/01_-_Srila_Prabhupada/01_-_Lectures/01_-_English/02_-_Month_wise/12_-_December/05/Cc_M_20-152_NY_1966-12-05_Krishna-Source_of_Everything.mp3" TargetMode="External"/><Relationship Id="rId148" Type="http://schemas.openxmlformats.org/officeDocument/2006/relationships/hyperlink" Target="https://audio.iskcondesiretree.com/01_-_Srila_Prabhupada/01_-_Lectures/01_-_English/01_-_Topic_wise/Chaitanya_Charitamrita/Madhya_Lila/SP_CC_M_20-152_New_York_1966-12-05_Krishna-Source_of_Everything.mp3" TargetMode="External"/><Relationship Id="rId3270" Type="http://schemas.openxmlformats.org/officeDocument/2006/relationships/hyperlink" Target="https://audio.iskcondesiretree.com/01_-_Srila_Prabhupada/01_-_Lectures/01_-_English/02_-_Month_wise/06_-_June/07/RC_HAW_1975-06-07_Yogi_Bhajan--Looking_Toward_Unity_of_Men.mp3" TargetMode="External"/><Relationship Id="rId3272" Type="http://schemas.openxmlformats.org/officeDocument/2006/relationships/hyperlink" Target="https://audio.iskcondesiretree.com/01_-_Srila_Prabhupada/01_-_Lectures/01_-_English/01_-_Topic_wise/Morning_Walk/SP_Morning_Walk_-_Honolulu_1975-06-08.MP3" TargetMode="External"/><Relationship Id="rId3271" Type="http://schemas.openxmlformats.org/officeDocument/2006/relationships/hyperlink" Target="https://audio.iskcondesiretree.com/01_-_Srila_Prabhupada/01_-_Lectures/01_-_English/02_-_Month_wise/06_-_June/07/Walk_1975-06-07_MW-HONOLULU.MP3" TargetMode="External"/><Relationship Id="rId143" Type="http://schemas.openxmlformats.org/officeDocument/2006/relationships/hyperlink" Target="https://audio.iskcondesiretree.com/01_-_Srila_Prabhupada/01_-_Lectures/01_-_English/02_-_Month_wise/12_-_December/02/Bg_09-15_NY_1966-12-02_Everything_Comes_from_God_Including_Maya.mp3" TargetMode="External"/><Relationship Id="rId3274" Type="http://schemas.openxmlformats.org/officeDocument/2006/relationships/hyperlink" Target="https://audio.iskcondesiretree.com/01_-_Srila_Prabhupada/01_-_Lectures/01_-_English/02_-_Month_wise/06_-_June/08/SB_6-01-01_HAW_1975-06-08_Saving_the_Independent_from_Hell.mp3" TargetMode="External"/><Relationship Id="rId142" Type="http://schemas.openxmlformats.org/officeDocument/2006/relationships/hyperlink" Target="https://audio.iskcondesiretree.com/01_-_Srila_Prabhupada/01_-_Lectures/01_-_English/01_-_Topic_wise/Bhagavad_Gita/Chapter-09/SP_BG_09-15-18_New_York_1966-12-02_Everything_Comes_from_God_Including_Maya.mp3" TargetMode="External"/><Relationship Id="rId3273" Type="http://schemas.openxmlformats.org/officeDocument/2006/relationships/hyperlink" Target="https://audio.iskcondesiretree.com/01_-_Srila_Prabhupada/01_-_Lectures/01_-_English/01_-_Topic_wise/Srimad_Bhagavatam/Canto-06/SP_SB_6-01-01_Hawaii_1975-06-08_Saving_the_Independent_from_Hell.mp3" TargetMode="External"/><Relationship Id="rId141" Type="http://schemas.openxmlformats.org/officeDocument/2006/relationships/hyperlink" Target="https://audio.iskcondesiretree.com/01_-_Srila_Prabhupada/01_-_Lectures/01_-_English/02_-_Month_wise/12_-_December/01/Cc_M_20-144_NY_1966-12-01_Central_Point_of_Attraction_is_Krsna.mp3" TargetMode="External"/><Relationship Id="rId3276" Type="http://schemas.openxmlformats.org/officeDocument/2006/relationships/hyperlink" Target="https://audio.iskcondesiretree.com/01_-_Srila_Prabhupada/01_-_Lectures/01_-_English/02_-_Month_wise/06_-_June/08/Walk_1975-06-08_MW-HONOLULU.MP3" TargetMode="External"/><Relationship Id="rId140" Type="http://schemas.openxmlformats.org/officeDocument/2006/relationships/hyperlink" Target="https://audio.iskcondesiretree.com/01_-_Srila_Prabhupada/01_-_Lectures/01_-_English/02_-_Month_wise/12_-_December/01/Bg_09-15_NY_1966-12-01_Sravanam_Kirtanam_Vishnu.mp3" TargetMode="External"/><Relationship Id="rId3275" Type="http://schemas.openxmlformats.org/officeDocument/2006/relationships/hyperlink" Target="https://audio.iskcondesiretree.com/01_-_Srila_Prabhupada/01_-_Lectures/01_-_English/02_-_Month_wise/06_-_June/08/SB%E2%80%9306-01-06%E2%80%9307_1975-06-08_SB-HONOLULU.MP3" TargetMode="External"/><Relationship Id="rId147" Type="http://schemas.openxmlformats.org/officeDocument/2006/relationships/hyperlink" Target="https://audio.iskcondesiretree.com/01_-_Srila_Prabhupada/01_-_Lectures/01_-_English/02_-_Month_wise/12_-_December/04/Bg_09-18_NY_1966-12-04_One_Should_Directly_Approach_Krishna.mp3" TargetMode="External"/><Relationship Id="rId3278" Type="http://schemas.openxmlformats.org/officeDocument/2006/relationships/hyperlink" Target="https://audio.iskcondesiretree.com/01_-_Srila_Prabhupada/01_-_Lectures/01_-_English/02_-_Month_wise/06_-_June/10/Walk_1975-06-10_MW-HONOLULU.MP3" TargetMode="External"/><Relationship Id="rId146" Type="http://schemas.openxmlformats.org/officeDocument/2006/relationships/hyperlink" Target="https://audio.iskcondesiretree.com/01_-_Srila_Prabhupada/01_-_Lectures/01_-_English/01_-_Topic_wise/Bhagavad_Gita/Chapter-09/SP_BG_09-18-19_New_York_1966-12-04_One_Should_Directly_Approach_Krishna.mp3" TargetMode="External"/><Relationship Id="rId3277" Type="http://schemas.openxmlformats.org/officeDocument/2006/relationships/hyperlink" Target="https://audio.iskcondesiretree.com/01_-_Srila_Prabhupada/01_-_Lectures/01_-_English/01_-_Topic_wise/Morning_Walk/SP_Morning_Walk_-_Honolulu_1975-06-10.MP3" TargetMode="External"/><Relationship Id="rId145" Type="http://schemas.openxmlformats.org/officeDocument/2006/relationships/hyperlink" Target="https://audio.iskcondesiretree.com/01_-_Srila_Prabhupada/01_-_Lectures/01_-_English/02_-_Month_wise/12_-_December/03/Cc_M_20-146_NY_1966-12-03_Vedic_Knowledge_Points_to_Lord_Krsna.mp3" TargetMode="External"/><Relationship Id="rId144" Type="http://schemas.openxmlformats.org/officeDocument/2006/relationships/hyperlink" Target="https://audio.iskcondesiretree.com/01_-_Srila_Prabhupada/01_-_Lectures/01_-_English/01_-_Topic_wise/Chaitanya_Charitamrita/Madhya_Lila/SP_CC_M_20-146_New_York_1966-12-03_Vedic_Knowledge_Points_to_Lord_Krsna.mp3" TargetMode="External"/><Relationship Id="rId3279" Type="http://schemas.openxmlformats.org/officeDocument/2006/relationships/hyperlink" Target="https://audio.iskcondesiretree.com/01_-_Srila_Prabhupada/01_-_Lectures/01_-_English/01_-_Topic_wise/Morning_Walk/SP_Morning_Walk_-_Honolulu_1975-06-11.MP3" TargetMode="External"/><Relationship Id="rId139" Type="http://schemas.openxmlformats.org/officeDocument/2006/relationships/hyperlink" Target="https://audio.iskcondesiretree.com/01_-_Srila_Prabhupada/01_-_Lectures/01_-_English/01_-_Topic_wise/Chaitanya_Charitamrita/Madhya_Lila/SP_CC_M_20-144_New_York_1966-12-01_Central_Point_of_Attraction_is_Krsna.mp3" TargetMode="External"/><Relationship Id="rId138" Type="http://schemas.openxmlformats.org/officeDocument/2006/relationships/hyperlink" Target="https://audio.iskcondesiretree.com/01_-_Srila_Prabhupada/01_-_Lectures/01_-_English/01_-_Topic_wise/Bhagavad_Gita/Chapter-09/SP_BG_09-15_New_York_1966-12-01_Sravanam_Kirtanam_Vishnu.mp3" TargetMode="External"/><Relationship Id="rId137" Type="http://schemas.openxmlformats.org/officeDocument/2006/relationships/hyperlink" Target="https://audio.iskcondesiretree.com/01_-_Srila_Prabhupada/01_-_Lectures/01_-_English/02_-_Month_wise/11_-_November/30/Cc_M_20-142_NY_1966-11-30_Liberated-When_One_Tastes_etc.mp3" TargetMode="External"/><Relationship Id="rId4590" Type="http://schemas.openxmlformats.org/officeDocument/2006/relationships/hyperlink" Target="https://audio.iskcondesiretree.com/01_-_Srila_Prabhupada/01_-_Lectures/01_-_English/02_-_Month_wise/05_-_May/11/SB_6-01-10_HON_1976-05-11_There_Is_No_Culture_%26_Education.mp3" TargetMode="External"/><Relationship Id="rId3261" Type="http://schemas.openxmlformats.org/officeDocument/2006/relationships/hyperlink" Target="https://audio.iskcondesiretree.com/01_-_Srila_Prabhupada/01_-_Lectures/01_-_English/02_-_Month_wise/06_-_June/02/Walk_1975-06-02_MW-HONOLULU.MP3" TargetMode="External"/><Relationship Id="rId4592" Type="http://schemas.openxmlformats.org/officeDocument/2006/relationships/hyperlink" Target="https://audio.iskcondesiretree.com/01_-_Srila_Prabhupada/01_-_Lectures/01_-_English/01_-_Topic_wise/Srimad_Bhagavatam/Canto-06/SP_SB_6-01-11_Honolulu_1976-05-12_Real_Reform_School.mp3" TargetMode="External"/><Relationship Id="rId3260" Type="http://schemas.openxmlformats.org/officeDocument/2006/relationships/hyperlink" Target="https://audio.iskcondesiretree.com/01_-_Srila_Prabhupada/01_-_Lectures/01_-_English/01_-_Topic_wise/Morning_Walk/SP_Morning_Walk_-_Honolulu_1975-06-02.MP3" TargetMode="External"/><Relationship Id="rId4591" Type="http://schemas.openxmlformats.org/officeDocument/2006/relationships/hyperlink" Target="https://audio.iskcondesiretree.com/01_-_Srila_Prabhupada/01_-_Lectures/01_-_English/01_-_Topic_wise/Morning_Walk/SP_Morning_Walk_-_Honolulu_1976-05-12_Dance_Eat_and_Live_Eternally.mp3" TargetMode="External"/><Relationship Id="rId132" Type="http://schemas.openxmlformats.org/officeDocument/2006/relationships/hyperlink" Target="https://audio.iskcondesiretree.com/01_-_Srila_Prabhupada/01_-_Lectures/01_-_English/01_-_Topic_wise/Chaitanya_Charitamrita/Madhya_Lila/SP_CC_M_20-137_New_York_1966-11-28_I_Am_Attained_By--etc.mp3" TargetMode="External"/><Relationship Id="rId3263" Type="http://schemas.openxmlformats.org/officeDocument/2006/relationships/hyperlink" Target="https://audio.iskcondesiretree.com/01_-_Srila_Prabhupada/01_-_Lectures/01_-_English/02_-_Month_wise/06_-_June/03/Initiations_1975-06-03_IN-HONOLULU.MP3" TargetMode="External"/><Relationship Id="rId4594" Type="http://schemas.openxmlformats.org/officeDocument/2006/relationships/hyperlink" Target="https://audio.iskcondesiretree.com/01_-_Srila_Prabhupada/01_-_Lectures/01_-_English/02_-_Month_wise/05_-_May/12/MW_HON_1976-05-12_Dance_Eat_and_Live_Eternally.mp3" TargetMode="External"/><Relationship Id="rId131" Type="http://schemas.openxmlformats.org/officeDocument/2006/relationships/hyperlink" Target="https://audio.iskcondesiretree.com/01_-_Srila_Prabhupada/01_-_Lectures/01_-_English/02_-_Month_wise/11_-_November/27/Cc_M_20-131_NY_1966-11-27_The_Vedas_Are_Your_Astrologer.mp3" TargetMode="External"/><Relationship Id="rId3262" Type="http://schemas.openxmlformats.org/officeDocument/2006/relationships/hyperlink" Target="https://audio.iskcondesiretree.com/01_-_Srila_Prabhupada/01_-_Lectures/01_-_English/01_-_Topic_wise/Various/SP_Lecture_Honolulu_1975-06-03_Initiation_of_Ambarisa_Dasa.MP3" TargetMode="External"/><Relationship Id="rId4593" Type="http://schemas.openxmlformats.org/officeDocument/2006/relationships/hyperlink" Target="https://audio.iskcondesiretree.com/01_-_Srila_Prabhupada/01_-_Lectures/01_-_English/02_-_Month_wise/05_-_May/12/Conv_1976-05-12_R1-HONOLULU.MP3" TargetMode="External"/><Relationship Id="rId130" Type="http://schemas.openxmlformats.org/officeDocument/2006/relationships/hyperlink" Target="https://audio.iskcondesiretree.com/01_-_Srila_Prabhupada/01_-_Lectures/01_-_English/02_-_Month_wise/11_-_November/27/Bg_09-11_NY_1966-11-27_Find_Real_Pleasure_Serving_Krishna.mp3" TargetMode="External"/><Relationship Id="rId3265" Type="http://schemas.openxmlformats.org/officeDocument/2006/relationships/hyperlink" Target="https://audio.iskcondesiretree.com/01_-_Srila_Prabhupada/01_-_Lectures/01_-_English/02_-_Month_wise/06_-_June/04/Walk_1975-06-04_MW-HONOLULU.MP3" TargetMode="External"/><Relationship Id="rId4596" Type="http://schemas.openxmlformats.org/officeDocument/2006/relationships/hyperlink" Target="https://audio.iskcondesiretree.com/01_-_Srila_Prabhupada/01_-_Lectures/01_-_English/02_-_Month_wise/05_-_May/12/SB_6-01-11_HON_1976-05-12_Real_Reform_School.mp3" TargetMode="External"/><Relationship Id="rId3264" Type="http://schemas.openxmlformats.org/officeDocument/2006/relationships/hyperlink" Target="https://audio.iskcondesiretree.com/01_-_Srila_Prabhupada/01_-_Lectures/01_-_English/01_-_Topic_wise/Morning_Walk/SP_Morning_Walk_-_Honolulu_1975-06-04.MP3" TargetMode="External"/><Relationship Id="rId4595" Type="http://schemas.openxmlformats.org/officeDocument/2006/relationships/hyperlink" Target="https://audio.iskcondesiretree.com/01_-_Srila_Prabhupada/01_-_Lectures/01_-_English/02_-_Month_wise/05_-_May/12/SB-06-01-11_1976-05-12_SB-HONOLULU.MP3" TargetMode="External"/><Relationship Id="rId136" Type="http://schemas.openxmlformats.org/officeDocument/2006/relationships/hyperlink" Target="https://audio.iskcondesiretree.com/01_-_Srila_Prabhupada/01_-_Lectures/01_-_English/01_-_Topic_wise/Chaitanya_Charitamrita/Madhya_Lila/SP_CC_M_20-142_New_York_1966-11-30_Liberated-When_One_Tastes--etc.mp3" TargetMode="External"/><Relationship Id="rId3267" Type="http://schemas.openxmlformats.org/officeDocument/2006/relationships/hyperlink" Target="https://audio.iskcondesiretree.com/01_-_Srila_Prabhupada/01_-_Lectures/01_-_English/01_-_Topic_wise/Room_Conversation/SP_Room_Conversation_Hawaii_1975-06-07_Yogi_Bhajan--Looking_Toward_Unity_of_Men.mp3" TargetMode="External"/><Relationship Id="rId4598" Type="http://schemas.openxmlformats.org/officeDocument/2006/relationships/hyperlink" Target="https://audio.iskcondesiretree.com/01_-_Srila_Prabhupada/01_-_Lectures/01_-_English/01_-_Topic_wise/Srimad_Bhagavatam/Canto-06/SP_SB_6-01-12_Honolulu_1976-05-13_How_Can_One_Become_Civilized.mp3" TargetMode="External"/><Relationship Id="rId135" Type="http://schemas.openxmlformats.org/officeDocument/2006/relationships/hyperlink" Target="https://audio.iskcondesiretree.com/01_-_Srila_Prabhupada/01_-_Lectures/01_-_English/02_-_Month_wise/11_-_November/29/Cc_M_20-137_NY_1966-11-29_This_System_Is_Called_Abhideya.mp3" TargetMode="External"/><Relationship Id="rId3266" Type="http://schemas.openxmlformats.org/officeDocument/2006/relationships/hyperlink" Target="https://audio.iskcondesiretree.com/01_-_Srila_Prabhupada/01_-_Lectures/01_-_English/01_-_Topic_wise/Morning_Walk/SP_Morning_Walk_-_Hawaii_1975-06-07_Human_Sheep_and_Jackals.mp3" TargetMode="External"/><Relationship Id="rId4597" Type="http://schemas.openxmlformats.org/officeDocument/2006/relationships/hyperlink" Target="https://audio.iskcondesiretree.com/01_-_Srila_Prabhupada/01_-_Lectures/01_-_English/02_-_Month_wise/05_-_May/12/Walk_1976-05-12_MW-HONOLULU.MP3" TargetMode="External"/><Relationship Id="rId134" Type="http://schemas.openxmlformats.org/officeDocument/2006/relationships/hyperlink" Target="https://audio.iskcondesiretree.com/01_-_Srila_Prabhupada/01_-_Lectures/01_-_English/01_-_Topic_wise/Chaitanya_Charitamrita/Madhya_Lila/SP_CC_M_20-137_New_York_1966-11-29_This_System_Is_Called_Abhideya.mp3" TargetMode="External"/><Relationship Id="rId3269" Type="http://schemas.openxmlformats.org/officeDocument/2006/relationships/hyperlink" Target="https://audio.iskcondesiretree.com/01_-_Srila_Prabhupada/01_-_Lectures/01_-_English/02_-_Month_wise/06_-_June/07/MW_HAW_1975-06-07_Human_Sheep_and_Jackals.mp3" TargetMode="External"/><Relationship Id="rId133" Type="http://schemas.openxmlformats.org/officeDocument/2006/relationships/hyperlink" Target="https://audio.iskcondesiretree.com/01_-_Srila_Prabhupada/01_-_Lectures/01_-_English/02_-_Month_wise/11_-_November/28/Cc_M_20-137_NY_1966-11-28_I_Am_Attained_By_etc.mp3" TargetMode="External"/><Relationship Id="rId3268" Type="http://schemas.openxmlformats.org/officeDocument/2006/relationships/hyperlink" Target="https://audio.iskcondesiretree.com/01_-_Srila_Prabhupada/01_-_Lectures/01_-_English/02_-_Month_wise/06_-_June/07/Conv_1975-06-07_R1-HONOLULU.MP3" TargetMode="External"/><Relationship Id="rId4599" Type="http://schemas.openxmlformats.org/officeDocument/2006/relationships/hyperlink" Target="https://audio.iskcondesiretree.com/01_-_Srila_Prabhupada/01_-_Lectures/01_-_English/02_-_Month_wise/05_-_May/13/Conv_1976-05-13_R1-HONOLULU.MP3" TargetMode="External"/><Relationship Id="rId172" Type="http://schemas.openxmlformats.org/officeDocument/2006/relationships/hyperlink" Target="https://audio.iskcondesiretree.com/01_-_Srila_Prabhupada/01_-_Lectures/01_-_English/01_-_Topic_wise/Chaitanya_Charitamrita/Madhya_Lila/SP_CC_M_20-281_New_York_1966-12-18_Manifestation_of_Universe.mp3" TargetMode="External"/><Relationship Id="rId171" Type="http://schemas.openxmlformats.org/officeDocument/2006/relationships/hyperlink" Target="https://audio.iskcondesiretree.com/01_-_Srila_Prabhupada/01_-_Lectures/01_-_English/02_-_Month_wise/12_-_December/17/Cc_M_20-254_NY_1966-12-17_Krishna%27s_Spiritual_%26_Material_World.mp3" TargetMode="External"/><Relationship Id="rId170" Type="http://schemas.openxmlformats.org/officeDocument/2006/relationships/hyperlink" Target="https://audio.iskcondesiretree.com/01_-_Srila_Prabhupada/01_-_Lectures/01_-_English/01_-_Topic_wise/Chaitanya_Charitamrita/Madhya_Lila/SP_CC_M_20-254_New_York_1966-12-17_Krishna%27s_Spiritual_%26_Material_World.mp3" TargetMode="External"/><Relationship Id="rId3290" Type="http://schemas.openxmlformats.org/officeDocument/2006/relationships/hyperlink" Target="https://audio.iskcondesiretree.com/01_-_Srila_Prabhupada/01_-_Lectures/01_-_English/01_-_Topic_wise/Room_Conversation/SP_Room_Converstion_01_Honolulu_1975-06-15.MP3" TargetMode="External"/><Relationship Id="rId3292" Type="http://schemas.openxmlformats.org/officeDocument/2006/relationships/hyperlink" Target="https://audio.iskcondesiretree.com/01_-_Srila_Prabhupada/01_-_Lectures/01_-_English/01_-_Topic_wise/Room_Conversation/SP_Room_Converstion_03_Honolulu_1975-06-15.MP3" TargetMode="External"/><Relationship Id="rId3291" Type="http://schemas.openxmlformats.org/officeDocument/2006/relationships/hyperlink" Target="https://audio.iskcondesiretree.com/01_-_Srila_Prabhupada/01_-_Lectures/01_-_English/01_-_Topic_wise/Room_Conversation/SP_Room_Converstion_02_Honolulu_1975-06-15.MP3" TargetMode="External"/><Relationship Id="rId3294" Type="http://schemas.openxmlformats.org/officeDocument/2006/relationships/hyperlink" Target="https://audio.iskcondesiretree.com/01_-_Srila_Prabhupada/01_-_Lectures/01_-_English/01_-_Topic_wise/Srimad_Bhagavatam/Canto-06/SP_SB_6-01-07_Honolulu_1975-06-15_The_Perfect_Sympathizer.mp3" TargetMode="External"/><Relationship Id="rId3293" Type="http://schemas.openxmlformats.org/officeDocument/2006/relationships/hyperlink" Target="https://audio.iskcondesiretree.com/01_-_Srila_Prabhupada/01_-_Lectures/01_-_English/01_-_Topic_wise/Room_Conversation/SP_Room_Converstion_04_Honolulu_1975-06-15.MP3" TargetMode="External"/><Relationship Id="rId165" Type="http://schemas.openxmlformats.org/officeDocument/2006/relationships/hyperlink" Target="https://audio.iskcondesiretree.com/01_-_Srila_Prabhupada/01_-_Lectures/01_-_English/02_-_Month_wise/12_-_December/14/Cc_M_20-172_NY_1966-12-14_Krishna%27s_Original_etc.mp3" TargetMode="External"/><Relationship Id="rId3296" Type="http://schemas.openxmlformats.org/officeDocument/2006/relationships/hyperlink" Target="https://audio.iskcondesiretree.com/01_-_Srila_Prabhupada/01_-_Lectures/01_-_English/02_-_Month_wise/06_-_June/15/Conv_1975-06-15_R2-HONOLULU.MP3" TargetMode="External"/><Relationship Id="rId164" Type="http://schemas.openxmlformats.org/officeDocument/2006/relationships/hyperlink" Target="https://audio.iskcondesiretree.com/01_-_Srila_Prabhupada/01_-_Lectures/01_-_English/01_-_Topic_wise/Chaitanya_Charitamrita/Madhya_Lila/SP_CC_M_20-172_New_York_1966-12-14_Krishna%27s_Original--etc.mp3" TargetMode="External"/><Relationship Id="rId3295" Type="http://schemas.openxmlformats.org/officeDocument/2006/relationships/hyperlink" Target="https://audio.iskcondesiretree.com/01_-_Srila_Prabhupada/01_-_Lectures/01_-_English/02_-_Month_wise/06_-_June/15/Conv_1975-06-15_R1-HONOLULU.MP3" TargetMode="External"/><Relationship Id="rId163" Type="http://schemas.openxmlformats.org/officeDocument/2006/relationships/hyperlink" Target="https://audio.iskcondesiretree.com/01_-_Srila_Prabhupada/01_-_Lectures/01_-_English/02_-_Month_wise/12_-_December/13/Cc_M_20-164_NY_1966-12-13_Only_by_Devotion_Can_One_etc.mp3" TargetMode="External"/><Relationship Id="rId3298" Type="http://schemas.openxmlformats.org/officeDocument/2006/relationships/hyperlink" Target="https://audio.iskcondesiretree.com/01_-_Srila_Prabhupada/01_-_Lectures/01_-_English/02_-_Month_wise/06_-_June/15/Conv_1975-06-15_R4-HONOLULU.MP3" TargetMode="External"/><Relationship Id="rId162" Type="http://schemas.openxmlformats.org/officeDocument/2006/relationships/hyperlink" Target="https://audio.iskcondesiretree.com/01_-_Srila_Prabhupada/01_-_Lectures/01_-_English/01_-_Topic_wise/Chaitanya_Charitamrita/Madhya_Lila/SP_CC_M_20-164_New_York_1966-12-13_Only_by_Devotion_Can_One--etc.mp3" TargetMode="External"/><Relationship Id="rId3297" Type="http://schemas.openxmlformats.org/officeDocument/2006/relationships/hyperlink" Target="https://audio.iskcondesiretree.com/01_-_Srila_Prabhupada/01_-_Lectures/01_-_English/02_-_Month_wise/06_-_June/15/Conv_1975-06-15_R3-HONOLULU.MP3" TargetMode="External"/><Relationship Id="rId169" Type="http://schemas.openxmlformats.org/officeDocument/2006/relationships/hyperlink" Target="https://audio.iskcondesiretree.com/01_-_Srila_Prabhupada/01_-_Lectures/01_-_English/02_-_Month_wise/12_-_December/16/Cc_M_20-245_NY_1966-12-16_Six_Types_of_Avataras.mp3" TargetMode="External"/><Relationship Id="rId168" Type="http://schemas.openxmlformats.org/officeDocument/2006/relationships/hyperlink" Target="https://audio.iskcondesiretree.com/01_-_Srila_Prabhupada/01_-_Lectures/01_-_English/02_-_Month_wise/12_-_December/16/Bg_09-26_NY_1966-12-16_Do_Everything_As_An_Offering_to_Krsna.mp3" TargetMode="External"/><Relationship Id="rId3299" Type="http://schemas.openxmlformats.org/officeDocument/2006/relationships/hyperlink" Target="https://audio.iskcondesiretree.com/01_-_Srila_Prabhupada/01_-_Lectures/01_-_English/02_-_Month_wise/06_-_June/15/SB-06-01-07_1975-06-15_SB-HONOLULU.MP3" TargetMode="External"/><Relationship Id="rId167" Type="http://schemas.openxmlformats.org/officeDocument/2006/relationships/hyperlink" Target="https://audio.iskcondesiretree.com/01_-_Srila_Prabhupada/01_-_Lectures/01_-_English/01_-_Topic_wise/Chaitanya_Charitamrita/Madhya_Lila/SP_CC_M_20-245_New_York_1966-12-16_Six_Types_of_Avataras.mp3" TargetMode="External"/><Relationship Id="rId166" Type="http://schemas.openxmlformats.org/officeDocument/2006/relationships/hyperlink" Target="https://audio.iskcondesiretree.com/01_-_Srila_Prabhupada/01_-_Lectures/01_-_English/01_-_Topic_wise/Bhagavad_Gita/Chapter-09/SP_BG_09-26-27_New_York_1966-12-16_Do_Everything_As_An_Offering_to_Krsna.mp3" TargetMode="External"/><Relationship Id="rId161" Type="http://schemas.openxmlformats.org/officeDocument/2006/relationships/hyperlink" Target="https://audio.iskcondesiretree.com/01_-_Srila_Prabhupada/01_-_Lectures/01_-_English/02_-_Month_wise/12_-_December/12/Bg_09-24_NY_1966-12-12_Those_Who_Do_Not_Recognize_My_etc.mp3" TargetMode="External"/><Relationship Id="rId160" Type="http://schemas.openxmlformats.org/officeDocument/2006/relationships/hyperlink" Target="https://audio.iskcondesiretree.com/01_-_Srila_Prabhupada/01_-_Lectures/01_-_English/01_-_Topic_wise/Bhagavad_Gita/Chapter-09/SP_BG_09-24-26_New_York_1966-12-12_Those_Who_Do_Not_Recognize_My--etc.mp3" TargetMode="External"/><Relationship Id="rId159" Type="http://schemas.openxmlformats.org/officeDocument/2006/relationships/hyperlink" Target="https://audio.iskcondesiretree.com/01_-_Srila_Prabhupada/01_-_Lectures/01_-_English/02_-_Month_wise/12_-_December/11/Cc_M_20-156_NY_1966-12-11_Intimate_Association_with_etc.mp3" TargetMode="External"/><Relationship Id="rId3281" Type="http://schemas.openxmlformats.org/officeDocument/2006/relationships/hyperlink" Target="https://audio.iskcondesiretree.com/01_-_Srila_Prabhupada/01_-_Lectures/01_-_English/02_-_Month_wise/06_-_June/11/Conv_1975-06-11_R1-HONOLULU.MP3" TargetMode="External"/><Relationship Id="rId3280" Type="http://schemas.openxmlformats.org/officeDocument/2006/relationships/hyperlink" Target="https://audio.iskcondesiretree.com/01_-_Srila_Prabhupada/01_-_Lectures/01_-_English/01_-_Topic_wise/Room_Conversation/SP_Room_Converstion_01_Honolulu_1975-06-11.MP3" TargetMode="External"/><Relationship Id="rId3283" Type="http://schemas.openxmlformats.org/officeDocument/2006/relationships/hyperlink" Target="https://audio.iskcondesiretree.com/01_-_Srila_Prabhupada/01_-_Lectures/01_-_English/01_-_Topic_wise/Room_Conversation/SP_Room_Converstion_01_Honolulu_1975-06-12.MP3" TargetMode="External"/><Relationship Id="rId3282" Type="http://schemas.openxmlformats.org/officeDocument/2006/relationships/hyperlink" Target="https://audio.iskcondesiretree.com/01_-_Srila_Prabhupada/01_-_Lectures/01_-_English/02_-_Month_wise/06_-_June/11/Walk_1975-06-11_MW-HONOLULU.MP3" TargetMode="External"/><Relationship Id="rId154" Type="http://schemas.openxmlformats.org/officeDocument/2006/relationships/hyperlink" Target="https://audio.iskcondesiretree.com/01_-_Srila_Prabhupada/01_-_Lectures/01_-_English/01_-_Topic_wise/Bhagavad_Gita/Chapter-09/SP_BG_09-22-23_New_York_1966-12-08_God_Is_Open_for_Everyone.mp3" TargetMode="External"/><Relationship Id="rId3285" Type="http://schemas.openxmlformats.org/officeDocument/2006/relationships/hyperlink" Target="https://audio.iskcondesiretree.com/01_-_Srila_Prabhupada/01_-_Lectures/01_-_English/01_-_Topic_wise/Morning_Walk/SP_Morning_Walk_-_Honolulu_1975-06-14.MP3" TargetMode="External"/><Relationship Id="rId153" Type="http://schemas.openxmlformats.org/officeDocument/2006/relationships/hyperlink" Target="https://audio.iskcondesiretree.com/01_-_Srila_Prabhupada/01_-_Lectures/01_-_English/02_-_Month_wise/12_-_December/07/Cc_M_20-154_NY_1966-12-07_Can_There_Be_Peace_Without_etc.mp3" TargetMode="External"/><Relationship Id="rId3284" Type="http://schemas.openxmlformats.org/officeDocument/2006/relationships/hyperlink" Target="https://audio.iskcondesiretree.com/01_-_Srila_Prabhupada/01_-_Lectures/01_-_English/02_-_Month_wise/06_-_June/12/Conv_1975-06-12_R1-HONOLULU.MP3" TargetMode="External"/><Relationship Id="rId152" Type="http://schemas.openxmlformats.org/officeDocument/2006/relationships/hyperlink" Target="https://audio.iskcondesiretree.com/01_-_Srila_Prabhupada/01_-_Lectures/01_-_English/01_-_Topic_wise/Chaitanya_Charitamrita/Madhya_Lila/SP_CC_M_20-154_New_York_1966-12-07_Can_There_Be_Peace_Without--etc.mp3" TargetMode="External"/><Relationship Id="rId3287" Type="http://schemas.openxmlformats.org/officeDocument/2006/relationships/hyperlink" Target="https://audio.iskcondesiretree.com/01_-_Srila_Prabhupada/01_-_Lectures/01_-_English/02_-_Month_wise/06_-_June/14/Conv_1975-06-14_R1-HONOLULU.MP3" TargetMode="External"/><Relationship Id="rId151" Type="http://schemas.openxmlformats.org/officeDocument/2006/relationships/hyperlink" Target="https://audio.iskcondesiretree.com/01_-_Srila_Prabhupada/01_-_Lectures/01_-_English/02_-_Month_wise/12_-_December/06/Bg_09-20_NY_1966-12-06_Heavenly_Planets-Temporary_Happiness.mp3" TargetMode="External"/><Relationship Id="rId3286" Type="http://schemas.openxmlformats.org/officeDocument/2006/relationships/hyperlink" Target="https://audio.iskcondesiretree.com/01_-_Srila_Prabhupada/01_-_Lectures/01_-_English/01_-_Topic_wise/Room_Conversation/SP_Room_Converstion_01_Honolulu_1975-06-14.MP3" TargetMode="External"/><Relationship Id="rId158" Type="http://schemas.openxmlformats.org/officeDocument/2006/relationships/hyperlink" Target="https://audio.iskcondesiretree.com/01_-_Srila_Prabhupada/01_-_Lectures/01_-_English/01_-_Topic_wise/Chaitanya_Charitamrita/Madhya_Lila/SP_CC_M_20-156_New_York_1966-12-11_Intimate_Association_with--etc.mp3" TargetMode="External"/><Relationship Id="rId3289" Type="http://schemas.openxmlformats.org/officeDocument/2006/relationships/hyperlink" Target="https://audio.iskcondesiretree.com/01_-_Srila_Prabhupada/01_-_Lectures/01_-_English/01_-_Topic_wise/Morning_Walk/SP_Morning_Walk_-_Honolulu_1975-06-15.MP3" TargetMode="External"/><Relationship Id="rId157" Type="http://schemas.openxmlformats.org/officeDocument/2006/relationships/hyperlink" Target="https://audio.iskcondesiretree.com/01_-_Srila_Prabhupada/01_-_Lectures/01_-_English/02_-_Month_wise/12_-_December/10/Bg_09-23_NY_1966-12-10_I_Am_the_Only_Enjoyer_and_the_etc.mp3" TargetMode="External"/><Relationship Id="rId3288" Type="http://schemas.openxmlformats.org/officeDocument/2006/relationships/hyperlink" Target="https://audio.iskcondesiretree.com/01_-_Srila_Prabhupada/01_-_Lectures/01_-_English/02_-_Month_wise/06_-_June/14/Walk_1975-06-14_MW-HONOLULU.MP3" TargetMode="External"/><Relationship Id="rId156" Type="http://schemas.openxmlformats.org/officeDocument/2006/relationships/hyperlink" Target="https://audio.iskcondesiretree.com/01_-_Srila_Prabhupada/01_-_Lectures/01_-_English/01_-_Topic_wise/Bhagavad_Gita/Chapter-09/SP_BG_09-23_New_York_1966-12-10_I_Am_the_Only_Enjoyer_and_the--etc.mp3" TargetMode="External"/><Relationship Id="rId155" Type="http://schemas.openxmlformats.org/officeDocument/2006/relationships/hyperlink" Target="https://audio.iskcondesiretree.com/01_-_Srila_Prabhupada/01_-_Lectures/01_-_English/02_-_Month_wise/12_-_December/08/Bg_09-22_NY_1966-12-08_God_Is_Open_for_Everyone.mp3" TargetMode="External"/><Relationship Id="rId4602" Type="http://schemas.openxmlformats.org/officeDocument/2006/relationships/hyperlink" Target="https://audio.iskcondesiretree.com/01_-_Srila_Prabhupada/01_-_Lectures/01_-_English/01_-_Topic_wise/Srimad_Bhagavatam/Canto-06/SP_SB_6-01-13-14_Honolulu_1976-05-14_Sex_and_the_Sober.MP3" TargetMode="External"/><Relationship Id="rId5934" Type="http://schemas.openxmlformats.org/officeDocument/2006/relationships/hyperlink" Target="https://audio.iskcondesiretree.com/01_-_Srila_Prabhupada/01_-_Lectures/01_-_English/02_-_Month_wise/10_-_October/08/Conv_1977-10-08_R1-VRNDAVAN.MP3" TargetMode="External"/><Relationship Id="rId4601" Type="http://schemas.openxmlformats.org/officeDocument/2006/relationships/hyperlink" Target="https://audio.iskcondesiretree.com/01_-_Srila_Prabhupada/01_-_Lectures/01_-_English/02_-_Month_wise/05_-_May/13/SB_6-01-12_HON_1976-05-13_How_Can_One_Become_Civilized.mp3" TargetMode="External"/><Relationship Id="rId5935" Type="http://schemas.openxmlformats.org/officeDocument/2006/relationships/hyperlink" Target="https://audio.iskcondesiretree.com/01_-_Srila_Prabhupada/01_-_Lectures/01_-_English/02_-_Month_wise/10_-_October/08/Conv_1977-10-08_R2-VRNDAVAN.MP3" TargetMode="External"/><Relationship Id="rId4604" Type="http://schemas.openxmlformats.org/officeDocument/2006/relationships/hyperlink" Target="https://audio.iskcondesiretree.com/01_-_Srila_Prabhupada/01_-_Lectures/01_-_English/02_-_Month_wise/05_-_May/14/SB-06-01-12%E2%80%9314_1976-05-14_SB-HONOLULU.MP3" TargetMode="External"/><Relationship Id="rId5932" Type="http://schemas.openxmlformats.org/officeDocument/2006/relationships/hyperlink" Target="https://audio.iskcondesiretree.com/01_-_Srila_Prabhupada/01_-_Lectures/01_-_English/02_-_Month_wise/10_-_October/06/Conv_1977-10-06_R1-VRNDAVAN.MP3" TargetMode="External"/><Relationship Id="rId4603" Type="http://schemas.openxmlformats.org/officeDocument/2006/relationships/hyperlink" Target="https://audio.iskcondesiretree.com/01_-_Srila_Prabhupada/01_-_Lectures/01_-_English/01_-_Topic_wise/Srimad_Bhagavatam/Canto-06/SP_SB_6-01-13%3D14_Honolulu_1976-05-14_Sex_and_the_Sober.mp3" TargetMode="External"/><Relationship Id="rId5933" Type="http://schemas.openxmlformats.org/officeDocument/2006/relationships/hyperlink" Target="https://audio.iskcondesiretree.com/01_-_Srila_Prabhupada/01_-_Lectures/01_-_English/02_-_Month_wise/10_-_October/06/Conv_1977-10-06_R2-VRNDAVAN.MP3" TargetMode="External"/><Relationship Id="rId4606" Type="http://schemas.openxmlformats.org/officeDocument/2006/relationships/hyperlink" Target="https://audio.iskcondesiretree.com/01_-_Srila_Prabhupada/01_-_Lectures/01_-_English/01_-_Topic_wise/Morning_Walk/SP_Morning_Walk_-_Honolulu_1976-05-15_Christians_Don%27t_Accept_Christ.mp3" TargetMode="External"/><Relationship Id="rId5938" Type="http://schemas.openxmlformats.org/officeDocument/2006/relationships/hyperlink" Target="https://audio.iskcondesiretree.com/01_-_Srila_Prabhupada/01_-_Lectures/01_-_English/02_-_Month_wise/10_-_October/10/Doctor_1977-10-10_VI-VRNDAVAN.MP3" TargetMode="External"/><Relationship Id="rId4605" Type="http://schemas.openxmlformats.org/officeDocument/2006/relationships/hyperlink" Target="https://audio.iskcondesiretree.com/01_-_Srila_Prabhupada/01_-_Lectures/01_-_English/02_-_Month_wise/05_-_May/14/SB_6-01-13%3D14_HON_1976-05-14_Sex_and_the_Sober.mp3" TargetMode="External"/><Relationship Id="rId5939" Type="http://schemas.openxmlformats.org/officeDocument/2006/relationships/hyperlink" Target="https://audio.iskcondesiretree.com/01_-_Srila_Prabhupada/01_-_Lectures/01_-_English/02_-_Month_wise/10_-_October/11/Conv_1977-10-11_R1-VRNDAVAN.MP3" TargetMode="External"/><Relationship Id="rId4608" Type="http://schemas.openxmlformats.org/officeDocument/2006/relationships/hyperlink" Target="https://audio.iskcondesiretree.com/01_-_Srila_Prabhupada/01_-_Lectures/01_-_English/02_-_Month_wise/05_-_May/15/MW_HON_1976-05-15_Christians_Don%27t_Accept_Christ.mp3" TargetMode="External"/><Relationship Id="rId5936" Type="http://schemas.openxmlformats.org/officeDocument/2006/relationships/hyperlink" Target="https://audio.iskcondesiretree.com/01_-_Srila_Prabhupada/01_-_Lectures/01_-_English/02_-_Month_wise/10_-_October/09/Conv_1977-10-09_R1-VRNDAVAN.MP3" TargetMode="External"/><Relationship Id="rId4607" Type="http://schemas.openxmlformats.org/officeDocument/2006/relationships/hyperlink" Target="https://audio.iskcondesiretree.com/01_-_Srila_Prabhupada/01_-_Lectures/01_-_English/02_-_Month_wise/05_-_May/15/Conv_1976-05-15_R1-HONOLULU.MP3" TargetMode="External"/><Relationship Id="rId5937" Type="http://schemas.openxmlformats.org/officeDocument/2006/relationships/hyperlink" Target="https://audio.iskcondesiretree.com/01_-_Srila_Prabhupada/01_-_Lectures/01_-_English/02_-_Month_wise/10_-_October/10/Conv_1977-10-10_R1-VRNDAVAN.MP3" TargetMode="External"/><Relationship Id="rId4609" Type="http://schemas.openxmlformats.org/officeDocument/2006/relationships/hyperlink" Target="https://audio.iskcondesiretree.com/01_-_Srila_Prabhupada/01_-_Lectures/01_-_English/02_-_Month_wise/05_-_May/15/SB-06-01-15_1976-05-15_SB-HONOLULU.MP3" TargetMode="External"/><Relationship Id="rId5930" Type="http://schemas.openxmlformats.org/officeDocument/2006/relationships/hyperlink" Target="https://audio.iskcondesiretree.com/01_-_Srila_Prabhupada/01_-_Lectures/01_-_English/02_-_Month_wise/10_-_October/03/Conv_1977-10-03_R1-VRNDAVAN.MP3" TargetMode="External"/><Relationship Id="rId5931" Type="http://schemas.openxmlformats.org/officeDocument/2006/relationships/hyperlink" Target="https://audio.iskcondesiretree.com/01_-_Srila_Prabhupada/01_-_Lectures/01_-_English/02_-_Month_wise/10_-_October/04/Conv_1977-10-04_R1-VRNDAVAN.MP3" TargetMode="External"/><Relationship Id="rId4600" Type="http://schemas.openxmlformats.org/officeDocument/2006/relationships/hyperlink" Target="https://audio.iskcondesiretree.com/01_-_Srila_Prabhupada/01_-_Lectures/01_-_English/02_-_Month_wise/05_-_May/13/SB-06-01-12_1976-05-13_SB-HONOLULU.MP3" TargetMode="External"/><Relationship Id="rId5923" Type="http://schemas.openxmlformats.org/officeDocument/2006/relationships/hyperlink" Target="https://audio.iskcondesiretree.com/01_-_Srila_Prabhupada/01_-_Lectures/01_-_English/02_-_Month_wise/07_-_July/31/Conv_1977-07-31_R1-VRNDAVAN.MP3" TargetMode="External"/><Relationship Id="rId5924" Type="http://schemas.openxmlformats.org/officeDocument/2006/relationships/hyperlink" Target="https://audio.iskcondesiretree.com/01_-_Srila_Prabhupada/01_-_Lectures/01_-_English/02_-_Month_wise/08_-_August/08/Conv_1977-08-08_R1-VRNDAVAN.MP3" TargetMode="External"/><Relationship Id="rId5921" Type="http://schemas.openxmlformats.org/officeDocument/2006/relationships/hyperlink" Target="https://audio.iskcondesiretree.com/01_-_Srila_Prabhupada/01_-_Lectures/01_-_English/02_-_Month_wise/07_-_July/26/Conv_1977-07-26_R1-VRNDAVAN.MP3" TargetMode="External"/><Relationship Id="rId5922" Type="http://schemas.openxmlformats.org/officeDocument/2006/relationships/hyperlink" Target="https://audio.iskcondesiretree.com/01_-_Srila_Prabhupada/01_-_Lectures/01_-_English/02_-_Month_wise/07_-_July/27/Conv_1977-07-27_R1-VRNDAVAN.MP3" TargetMode="External"/><Relationship Id="rId5927" Type="http://schemas.openxmlformats.org/officeDocument/2006/relationships/hyperlink" Target="https://audio.iskcondesiretree.com/01_-_Srila_Prabhupada/01_-_Lectures/01_-_English/02_-_Month_wise/08_-_August/17/Conv_1977-08-17_R1-VRNDAVAN.MP3" TargetMode="External"/><Relationship Id="rId5928" Type="http://schemas.openxmlformats.org/officeDocument/2006/relationships/hyperlink" Target="https://audio.iskcondesiretree.com/01_-_Srila_Prabhupada/01_-_Lectures/01_-_English/02_-_Month_wise/08_-_August/29/Conv_1977-08-29_R1-LONDON.MP3" TargetMode="External"/><Relationship Id="rId5925" Type="http://schemas.openxmlformats.org/officeDocument/2006/relationships/hyperlink" Target="https://audio.iskcondesiretree.com/01_-_Srila_Prabhupada/01_-_Lectures/01_-_English/02_-_Month_wise/08_-_August/10/Conv_1977-08-10_R1-VRNDAVAN.MP3" TargetMode="External"/><Relationship Id="rId5926" Type="http://schemas.openxmlformats.org/officeDocument/2006/relationships/hyperlink" Target="https://audio.iskcondesiretree.com/01_-_Srila_Prabhupada/01_-_Lectures/01_-_English/02_-_Month_wise/08_-_August/11/Conv_1977-08-11_R1-VRNDAVAN.MP3" TargetMode="External"/><Relationship Id="rId5929" Type="http://schemas.openxmlformats.org/officeDocument/2006/relationships/hyperlink" Target="https://audio.iskcondesiretree.com/01_-_Srila_Prabhupada/01_-_Lectures/01_-_English/02_-_Month_wise/10_-_October/02/Conv_1977-10-02_R1-VRNDAVAN.MP3" TargetMode="External"/><Relationship Id="rId5920" Type="http://schemas.openxmlformats.org/officeDocument/2006/relationships/hyperlink" Target="https://audio.iskcondesiretree.com/01_-_Srila_Prabhupada/01_-_Lectures/01_-_English/02_-_Month_wise/07_-_July/19/Conv_1977-07-19_R2-VRNDAVAN.MP3" TargetMode="External"/><Relationship Id="rId4624" Type="http://schemas.openxmlformats.org/officeDocument/2006/relationships/hyperlink" Target="https://audio.iskcondesiretree.com/01_-_Srila_Prabhupada/01_-_Lectures/01_-_English/02_-_Month_wise/05_-_May/19/SB_6-01-19_HON_1976-05-19_Barking_Like_a_Dog.mp3" TargetMode="External"/><Relationship Id="rId5956" Type="http://schemas.openxmlformats.org/officeDocument/2006/relationships/hyperlink" Target="https://audio.iskcondesiretree.com/01_-_Srila_Prabhupada/01_-_Lectures/01_-_English/02_-_Month_wise/10_-_October/18/Conv_1977-10-18_R1-VRNDAVAN.MP3" TargetMode="External"/><Relationship Id="rId4623" Type="http://schemas.openxmlformats.org/officeDocument/2006/relationships/hyperlink" Target="https://audio.iskcondesiretree.com/01_-_Srila_Prabhupada/01_-_Lectures/01_-_English/02_-_Month_wise/05_-_May/19/SB-06-01-19_1976-05-19_SB-HONOLULU.MP3" TargetMode="External"/><Relationship Id="rId5957" Type="http://schemas.openxmlformats.org/officeDocument/2006/relationships/hyperlink" Target="https://audio.iskcondesiretree.com/01_-_Srila_Prabhupada/01_-_Lectures/01_-_English/02_-_Month_wise/10_-_October/18/Conv_1977-10-18_R2-VRNDAVAN.MP3" TargetMode="External"/><Relationship Id="rId4626" Type="http://schemas.openxmlformats.org/officeDocument/2006/relationships/hyperlink" Target="https://audio.iskcondesiretree.com/01_-_Srila_Prabhupada/01_-_Lectures/01_-_English/02_-_Month_wise/05_-_May/20/Conv_1976-05-20_R1-HONOLULU.MP3" TargetMode="External"/><Relationship Id="rId5954" Type="http://schemas.openxmlformats.org/officeDocument/2006/relationships/hyperlink" Target="https://audio.iskcondesiretree.com/01_-_Srila_Prabhupada/01_-_Lectures/01_-_English/02_-_Month_wise/10_-_October/17/Conv_1977-10-17_R1-VRNDAVAN.MP3" TargetMode="External"/><Relationship Id="rId4625" Type="http://schemas.openxmlformats.org/officeDocument/2006/relationships/hyperlink" Target="https://audio.iskcondesiretree.com/01_-_Srila_Prabhupada/01_-_Lectures/01_-_English/01_-_Topic_wise/Srimad_Bhagavatam/Canto-06/SP_SB_6-01-20_Honolulu_1976-05-20_Wasting_Human_Form_of_Life.mp3" TargetMode="External"/><Relationship Id="rId5955" Type="http://schemas.openxmlformats.org/officeDocument/2006/relationships/hyperlink" Target="https://audio.iskcondesiretree.com/01_-_Srila_Prabhupada/01_-_Lectures/01_-_English/02_-_Month_wise/10_-_October/17/Conv_1977-10-17_R2-VRNDAVAN.MP3" TargetMode="External"/><Relationship Id="rId4628" Type="http://schemas.openxmlformats.org/officeDocument/2006/relationships/hyperlink" Target="https://audio.iskcondesiretree.com/01_-_Srila_Prabhupada/01_-_Lectures/01_-_English/02_-_Month_wise/05_-_May/20/SB-06-01-20_1976-05-20_SB-HONOLULU.MP3" TargetMode="External"/><Relationship Id="rId4627" Type="http://schemas.openxmlformats.org/officeDocument/2006/relationships/hyperlink" Target="https://audio.iskcondesiretree.com/01_-_Srila_Prabhupada/01_-_Lectures/01_-_English/02_-_Month_wise/05_-_May/20/Conv_1976-05-20_R2-HONOLULU.MP3" TargetMode="External"/><Relationship Id="rId5958" Type="http://schemas.openxmlformats.org/officeDocument/2006/relationships/hyperlink" Target="https://audio.iskcondesiretree.com/01_-_Srila_Prabhupada/01_-_Lectures/01_-_English/02_-_Month_wise/10_-_October/18/Conv_1977-10-18_R3-VRNDAVAN.MP3" TargetMode="External"/><Relationship Id="rId4629" Type="http://schemas.openxmlformats.org/officeDocument/2006/relationships/hyperlink" Target="https://audio.iskcondesiretree.com/01_-_Srila_Prabhupada/01_-_Lectures/01_-_English/02_-_Month_wise/05_-_May/20/SB_6-01-20_HON_1976-05-20_Wasting_Human_Form_of_Life.mp3" TargetMode="External"/><Relationship Id="rId5959" Type="http://schemas.openxmlformats.org/officeDocument/2006/relationships/hyperlink" Target="https://audio.iskcondesiretree.com/01_-_Srila_Prabhupada/01_-_Lectures/01_-_English/02_-_Month_wise/10_-_October/19/Conv_1977-10-19_R1-VRNDAVAN.MP3" TargetMode="External"/><Relationship Id="rId4620" Type="http://schemas.openxmlformats.org/officeDocument/2006/relationships/hyperlink" Target="https://audio.iskcondesiretree.com/01_-_Srila_Prabhupada/01_-_Lectures/01_-_English/02_-_Month_wise/05_-_May/18/SB_6-01-18_HON_1976-05-18_Everything_Here_Is_Punishment.mp3" TargetMode="External"/><Relationship Id="rId5952" Type="http://schemas.openxmlformats.org/officeDocument/2006/relationships/hyperlink" Target="https://audio.iskcondesiretree.com/01_-_Srila_Prabhupada/01_-_Lectures/01_-_English/02_-_Month_wise/10_-_October/16/Conv_1977-10-16_R2-VRNDAVAN.MP3" TargetMode="External"/><Relationship Id="rId5953" Type="http://schemas.openxmlformats.org/officeDocument/2006/relationships/hyperlink" Target="https://audio.iskcondesiretree.com/01_-_Srila_Prabhupada/01_-_Lectures/01_-_English/02_-_Month_wise/10_-_October/16/Conv_1977-10-16_R3-VRNDAVAN.MP3" TargetMode="External"/><Relationship Id="rId4622" Type="http://schemas.openxmlformats.org/officeDocument/2006/relationships/hyperlink" Target="https://audio.iskcondesiretree.com/01_-_Srila_Prabhupada/01_-_Lectures/01_-_English/02_-_Month_wise/05_-_May/19/Conv_1976-05-19_R1-HONOLULU.MP3" TargetMode="External"/><Relationship Id="rId5950" Type="http://schemas.openxmlformats.org/officeDocument/2006/relationships/hyperlink" Target="https://audio.iskcondesiretree.com/01_-_Srila_Prabhupada/01_-_Lectures/01_-_English/02_-_Month_wise/10_-_October/15/Conv_1977-10-15_R3-VRNDAVAN.MP3" TargetMode="External"/><Relationship Id="rId4621" Type="http://schemas.openxmlformats.org/officeDocument/2006/relationships/hyperlink" Target="https://audio.iskcondesiretree.com/01_-_Srila_Prabhupada/01_-_Lectures/01_-_English/01_-_Topic_wise/Srimad_Bhagavatam/Canto-06/SP_SB_6-01-19_Honolulu_1976-05-19_Barking_Like_a_Dog.mp3" TargetMode="External"/><Relationship Id="rId5951" Type="http://schemas.openxmlformats.org/officeDocument/2006/relationships/hyperlink" Target="https://audio.iskcondesiretree.com/01_-_Srila_Prabhupada/01_-_Lectures/01_-_English/02_-_Month_wise/10_-_October/16/Conv_1977-10-16_R1-VRNDAVAN.MP3" TargetMode="External"/><Relationship Id="rId4613" Type="http://schemas.openxmlformats.org/officeDocument/2006/relationships/hyperlink" Target="https://audio.iskcondesiretree.com/01_-_Srila_Prabhupada/01_-_Lectures/01_-_English/02_-_Month_wise/05_-_May/16/SB_6-01-16_HON_1976-05-16_Mercy_of_the_Spiritual_Master.mp3" TargetMode="External"/><Relationship Id="rId5945" Type="http://schemas.openxmlformats.org/officeDocument/2006/relationships/hyperlink" Target="https://audio.iskcondesiretree.com/01_-_Srila_Prabhupada/01_-_Lectures/01_-_English/02_-_Month_wise/10_-_October/14/Conv_1977-10-14_R1-VRNDAVAN.MP3" TargetMode="External"/><Relationship Id="rId4612" Type="http://schemas.openxmlformats.org/officeDocument/2006/relationships/hyperlink" Target="https://audio.iskcondesiretree.com/01_-_Srila_Prabhupada/01_-_Lectures/01_-_English/02_-_Month_wise/05_-_May/16/SB-06-01-16_1976-05-16_SB-HONOLULU.MP3" TargetMode="External"/><Relationship Id="rId5946" Type="http://schemas.openxmlformats.org/officeDocument/2006/relationships/hyperlink" Target="https://audio.iskcondesiretree.com/01_-_Srila_Prabhupada/01_-_Lectures/01_-_English/02_-_Month_wise/10_-_October/14/Conv_1977-10-14_R2-VRNDAVAN.MP3" TargetMode="External"/><Relationship Id="rId4615" Type="http://schemas.openxmlformats.org/officeDocument/2006/relationships/hyperlink" Target="https://audio.iskcondesiretree.com/01_-_Srila_Prabhupada/01_-_Lectures/01_-_English/02_-_Month_wise/05_-_May/17/SB-06-01-17_1976-05-17_SB-HONOLULU.MP3" TargetMode="External"/><Relationship Id="rId5943" Type="http://schemas.openxmlformats.org/officeDocument/2006/relationships/hyperlink" Target="https://audio.iskcondesiretree.com/01_-_Srila_Prabhupada/01_-_Lectures/01_-_English/02_-_Month_wise/10_-_October/13/Conv_1977-10-13_R2-VRNDAVAN.MP3" TargetMode="External"/><Relationship Id="rId4614" Type="http://schemas.openxmlformats.org/officeDocument/2006/relationships/hyperlink" Target="https://audio.iskcondesiretree.com/01_-_Srila_Prabhupada/01_-_Lectures/01_-_English/02_-_Month_wise/05_-_May/17/Lecture_1976-05-17_LE-HONOLULU.MP3" TargetMode="External"/><Relationship Id="rId5944" Type="http://schemas.openxmlformats.org/officeDocument/2006/relationships/hyperlink" Target="https://audio.iskcondesiretree.com/01_-_Srila_Prabhupada/01_-_Lectures/01_-_English/02_-_Month_wise/10_-_October/13/Conv_1977-10-13_R3-VRNDAVAN.MP3" TargetMode="External"/><Relationship Id="rId4617" Type="http://schemas.openxmlformats.org/officeDocument/2006/relationships/hyperlink" Target="https://audio.iskcondesiretree.com/01_-_Srila_Prabhupada/01_-_Lectures/01_-_English/02_-_Month_wise/05_-_May/18/Conv_1976-05-18_R1-HONOLULU.MP3" TargetMode="External"/><Relationship Id="rId5949" Type="http://schemas.openxmlformats.org/officeDocument/2006/relationships/hyperlink" Target="https://audio.iskcondesiretree.com/01_-_Srila_Prabhupada/01_-_Lectures/01_-_English/02_-_Month_wise/10_-_October/15/Conv_1977-10-15_R2-VRNDAVAN.MP3" TargetMode="External"/><Relationship Id="rId4616" Type="http://schemas.openxmlformats.org/officeDocument/2006/relationships/hyperlink" Target="https://audio.iskcondesiretree.com/01_-_Srila_Prabhupada/01_-_Lectures/01_-_English/01_-_Topic_wise/Srimad_Bhagavatam/Canto-06/SP_SB_6-01-18_Honolulu_1976-05-18_Everything_Here_Is_Punishment.mp3" TargetMode="External"/><Relationship Id="rId4619" Type="http://schemas.openxmlformats.org/officeDocument/2006/relationships/hyperlink" Target="https://audio.iskcondesiretree.com/01_-_Srila_Prabhupada/01_-_Lectures/01_-_English/02_-_Month_wise/05_-_May/18/SB-06-01-18_1976-05-18_SB-HONOLULU.MP3" TargetMode="External"/><Relationship Id="rId5947" Type="http://schemas.openxmlformats.org/officeDocument/2006/relationships/hyperlink" Target="https://audio.iskcondesiretree.com/01_-_Srila_Prabhupada/01_-_Lectures/01_-_English/02_-_Month_wise/10_-_October/14/Conv_1977-10-14_R3-VRNDAVAN.MP3" TargetMode="External"/><Relationship Id="rId4618" Type="http://schemas.openxmlformats.org/officeDocument/2006/relationships/hyperlink" Target="https://audio.iskcondesiretree.com/01_-_Srila_Prabhupada/01_-_Lectures/01_-_English/02_-_Month_wise/05_-_May/18/Conv_1976-05-18_R2-HONOLULU.MP3" TargetMode="External"/><Relationship Id="rId5948" Type="http://schemas.openxmlformats.org/officeDocument/2006/relationships/hyperlink" Target="https://audio.iskcondesiretree.com/01_-_Srila_Prabhupada/01_-_Lectures/01_-_English/02_-_Month_wise/10_-_October/15/Conv_1977-10-15_R1-VRNDAVAN.MP3" TargetMode="External"/><Relationship Id="rId5941" Type="http://schemas.openxmlformats.org/officeDocument/2006/relationships/hyperlink" Target="https://audio.iskcondesiretree.com/01_-_Srila_Prabhupada/01_-_Lectures/01_-_English/02_-_Month_wise/10_-_October/12/Conv_1977-10-12_R1-VRNDAVAN.MP3" TargetMode="External"/><Relationship Id="rId5942" Type="http://schemas.openxmlformats.org/officeDocument/2006/relationships/hyperlink" Target="https://audio.iskcondesiretree.com/01_-_Srila_Prabhupada/01_-_Lectures/01_-_English/02_-_Month_wise/10_-_October/13/Conv_1977-10-13_R1-VRNDAVAN.MP3" TargetMode="External"/><Relationship Id="rId4611" Type="http://schemas.openxmlformats.org/officeDocument/2006/relationships/hyperlink" Target="https://audio.iskcondesiretree.com/01_-_Srila_Prabhupada/01_-_Lectures/01_-_English/01_-_Topic_wise/Srimad_Bhagavatam/Canto-06/SP_SB_6-01-16_Honolulu_1976-05-16_Mercy_of_the_Spiritual_Master.mp3" TargetMode="External"/><Relationship Id="rId4610" Type="http://schemas.openxmlformats.org/officeDocument/2006/relationships/hyperlink" Target="https://audio.iskcondesiretree.com/01_-_Srila_Prabhupada/01_-_Lectures/01_-_English/02_-_Month_wise/05_-_May/15/Walk_1976-05-15_MW-HONOLULU.MP3" TargetMode="External"/><Relationship Id="rId5940" Type="http://schemas.openxmlformats.org/officeDocument/2006/relationships/hyperlink" Target="https://audio.iskcondesiretree.com/01_-_Srila_Prabhupada/01_-_Lectures/01_-_English/02_-_Month_wise/10_-_October/11/Conv_1977-10-11_R2-VRNDAVAN.MP3" TargetMode="External"/><Relationship Id="rId5912" Type="http://schemas.openxmlformats.org/officeDocument/2006/relationships/hyperlink" Target="https://audio.iskcondesiretree.com/01_-_Srila_Prabhupada/01_-_Lectures/01_-_English/02_-_Month_wise/07_-_July/08/Conv_1977-07-08_R2-VRNDAVAN.MP3" TargetMode="External"/><Relationship Id="rId5913" Type="http://schemas.openxmlformats.org/officeDocument/2006/relationships/hyperlink" Target="https://audio.iskcondesiretree.com/01_-_Srila_Prabhupada/01_-_Lectures/01_-_English/02_-_Month_wise/07_-_July/10/Conv_1977-07-10_R1-VRNDAVAN.MP3" TargetMode="External"/><Relationship Id="rId5910" Type="http://schemas.openxmlformats.org/officeDocument/2006/relationships/hyperlink" Target="https://audio.iskcondesiretree.com/01_-_Srila_Prabhupada/01_-_Lectures/01_-_English/02_-_Month_wise/07_-_July/07/Conv_1977-07-07_R3-VRNDAVAN.MP3" TargetMode="External"/><Relationship Id="rId5911" Type="http://schemas.openxmlformats.org/officeDocument/2006/relationships/hyperlink" Target="https://audio.iskcondesiretree.com/01_-_Srila_Prabhupada/01_-_Lectures/01_-_English/02_-_Month_wise/07_-_July/08/Conv_1977-07-08_R1-VRNDAVAN.MP3" TargetMode="External"/><Relationship Id="rId5916" Type="http://schemas.openxmlformats.org/officeDocument/2006/relationships/hyperlink" Target="https://audio.iskcondesiretree.com/01_-_Srila_Prabhupada/01_-_Lectures/01_-_English/02_-_Month_wise/07_-_July/15/Conv_1977-07-15_R1-VRNDAVAN.MP3" TargetMode="External"/><Relationship Id="rId5917" Type="http://schemas.openxmlformats.org/officeDocument/2006/relationships/hyperlink" Target="https://audio.iskcondesiretree.com/01_-_Srila_Prabhupada/01_-_Lectures/01_-_English/02_-_Month_wise/07_-_July/17/Conv_1977-07-17_R1-VRNDAVAN.MP3" TargetMode="External"/><Relationship Id="rId5914" Type="http://schemas.openxmlformats.org/officeDocument/2006/relationships/hyperlink" Target="https://audio.iskcondesiretree.com/01_-_Srila_Prabhupada/01_-_Lectures/01_-_English/02_-_Month_wise/07_-_July/14/Conv_1977-07-14_R1-VRNDAVAN.MP3" TargetMode="External"/><Relationship Id="rId5915" Type="http://schemas.openxmlformats.org/officeDocument/2006/relationships/hyperlink" Target="https://audio.iskcondesiretree.com/01_-_Srila_Prabhupada/01_-_Lectures/01_-_English/02_-_Month_wise/07_-_July/14/Conv_1977-07-14_R2-VRNDAVAN.MP3" TargetMode="External"/><Relationship Id="rId5918" Type="http://schemas.openxmlformats.org/officeDocument/2006/relationships/hyperlink" Target="https://audio.iskcondesiretree.com/01_-_Srila_Prabhupada/01_-_Lectures/01_-_English/02_-_Month_wise/07_-_July/17/Conv_1977-07-17_R2-VRNDAVAN.MP3" TargetMode="External"/><Relationship Id="rId5919" Type="http://schemas.openxmlformats.org/officeDocument/2006/relationships/hyperlink" Target="https://audio.iskcondesiretree.com/01_-_Srila_Prabhupada/01_-_Lectures/01_-_English/02_-_Month_wise/07_-_July/19/Conv_1977-07-19_R1-VRNDAVAN.MP3" TargetMode="External"/><Relationship Id="rId5901" Type="http://schemas.openxmlformats.org/officeDocument/2006/relationships/hyperlink" Target="https://audio.iskcondesiretree.com/01_-_Srila_Prabhupada/01_-_Lectures/01_-_English/02_-_Month_wise/07_-_July/01/Conv_1977-07-01_R6-VRNDAVAN.MP3" TargetMode="External"/><Relationship Id="rId5902" Type="http://schemas.openxmlformats.org/officeDocument/2006/relationships/hyperlink" Target="https://audio.iskcondesiretree.com/01_-_Srila_Prabhupada/01_-_Lectures/01_-_English/02_-_Month_wise/07_-_July/02/Conv_1977-07-02_R1-VRNDAVAN.MP3" TargetMode="External"/><Relationship Id="rId5900" Type="http://schemas.openxmlformats.org/officeDocument/2006/relationships/hyperlink" Target="https://audio.iskcondesiretree.com/01_-_Srila_Prabhupada/01_-_Lectures/01_-_English/02_-_Month_wise/07_-_July/01/Conv_1977-07-01_R5-VRNDAVAN.MP3" TargetMode="External"/><Relationship Id="rId5905" Type="http://schemas.openxmlformats.org/officeDocument/2006/relationships/hyperlink" Target="https://audio.iskcondesiretree.com/01_-_Srila_Prabhupada/01_-_Lectures/01_-_English/02_-_Month_wise/07_-_July/05/Conv_1977-07-05_R1-VRNDAVAN.MP3" TargetMode="External"/><Relationship Id="rId5906" Type="http://schemas.openxmlformats.org/officeDocument/2006/relationships/hyperlink" Target="https://audio.iskcondesiretree.com/01_-_Srila_Prabhupada/01_-_Lectures/01_-_English/02_-_Month_wise/07_-_July/05/DiscussionBhu-mandala_1977-07-05_DC-VRNDAVAN.MP3" TargetMode="External"/><Relationship Id="rId5903" Type="http://schemas.openxmlformats.org/officeDocument/2006/relationships/hyperlink" Target="https://audio.iskcondesiretree.com/01_-_Srila_Prabhupada/01_-_Lectures/01_-_English/02_-_Month_wise/07_-_July/02/DiscussionBhu-mandala_1977-07-02_DC-VRNDAVAN.MP3" TargetMode="External"/><Relationship Id="rId5904" Type="http://schemas.openxmlformats.org/officeDocument/2006/relationships/hyperlink" Target="https://audio.iskcondesiretree.com/01_-_Srila_Prabhupada/01_-_Lectures/01_-_English/02_-_Month_wise/07_-_July/03/DiscussionBhu-mandala_1977-07-03_DC-VRNDAVAN.MP3" TargetMode="External"/><Relationship Id="rId5909" Type="http://schemas.openxmlformats.org/officeDocument/2006/relationships/hyperlink" Target="https://audio.iskcondesiretree.com/01_-_Srila_Prabhupada/01_-_Lectures/01_-_English/02_-_Month_wise/07_-_July/07/Conv_1977-07-07_R2-VRNDAVAN.MP3" TargetMode="External"/><Relationship Id="rId5907" Type="http://schemas.openxmlformats.org/officeDocument/2006/relationships/hyperlink" Target="https://audio.iskcondesiretree.com/01_-_Srila_Prabhupada/01_-_Lectures/01_-_English/02_-_Month_wise/07_-_July/06/Conv_1977-07-06_R1-VRNDAVAN.MP3" TargetMode="External"/><Relationship Id="rId5908" Type="http://schemas.openxmlformats.org/officeDocument/2006/relationships/hyperlink" Target="https://audio.iskcondesiretree.com/01_-_Srila_Prabhupada/01_-_Lectures/01_-_English/02_-_Month_wise/07_-_July/07/Conv_1977-07-07_R1-VRNDAVAN.MP3" TargetMode="External"/><Relationship Id="rId2027" Type="http://schemas.openxmlformats.org/officeDocument/2006/relationships/hyperlink" Target="https://audio.iskcondesiretree.com/01_-_Srila_Prabhupada/01_-_Lectures/01_-_English/01_-_Topic_wise/Srimad_Bhagavatam/Canto-01/SP_SB_1-13-10_Geneva_1974-06-01_Make_Your_Heart_a_Place_of_Pilgrimage.mp3" TargetMode="External"/><Relationship Id="rId3359" Type="http://schemas.openxmlformats.org/officeDocument/2006/relationships/hyperlink" Target="https://audio.iskcondesiretree.com/01_-_Srila_Prabhupada/01_-_Lectures/01_-_English/01_-_Topic_wise/Room_Conversation/SP_Room_Conversation_Los_Angeles_1975-06-24_Profs--Bird-Brained_Scholarship.mp3" TargetMode="External"/><Relationship Id="rId2028" Type="http://schemas.openxmlformats.org/officeDocument/2006/relationships/hyperlink" Target="https://audio.iskcondesiretree.com/01_-_Srila_Prabhupada/01_-_Lectures/01_-_English/02_-_Month_wise/06_-_June/01/Bg-04-11_1974-06-01_BG-GENEVA.MP3" TargetMode="External"/><Relationship Id="rId3358" Type="http://schemas.openxmlformats.org/officeDocument/2006/relationships/hyperlink" Target="https://audio.iskcondesiretree.com/01_-_Srila_Prabhupada/01_-_Lectures/01_-_English/01_-_Topic_wise/Morning_Walk/SP_Morning_Walk_-_Los_Angeles_1975-06-24.MP3" TargetMode="External"/><Relationship Id="rId4689" Type="http://schemas.openxmlformats.org/officeDocument/2006/relationships/hyperlink" Target="https://audio.iskcondesiretree.com/01_-_Srila_Prabhupada/01_-_Lectures/01_-_English/02_-_Month_wise/06_-_June/04/Walk_1976-06-04_MW-LOS%20ANGELES.MP3" TargetMode="External"/><Relationship Id="rId2029" Type="http://schemas.openxmlformats.org/officeDocument/2006/relationships/hyperlink" Target="https://audio.iskcondesiretree.com/01_-_Srila_Prabhupada/01_-_Lectures/01_-_English/02_-_Month_wise/06_-_June/01/Bg_04-11_GEN_1974-06-01_We_Are_Naturally_Jubilant.mp3" TargetMode="External"/><Relationship Id="rId107" Type="http://schemas.openxmlformats.org/officeDocument/2006/relationships/hyperlink" Target="https://audio.iskcondesiretree.com/01_-_Srila_Prabhupada/01_-_Lectures/01_-_English/02_-_Month_wise/11_-_November/20/Bg_08-22_NY_1966-11-20_Only_by_Bhakti_Can_One_Enter_etc.mp3" TargetMode="External"/><Relationship Id="rId106" Type="http://schemas.openxmlformats.org/officeDocument/2006/relationships/hyperlink" Target="https://audio.iskcondesiretree.com/01_-_Srila_Prabhupada/01_-_Lectures/01_-_English/01_-_Topic_wise/Bhagavad_Gita/Chapter-08/SP_BG_08-22-27_New_York_1966-11-20_Only_by_Bhakti_Can_One_Enter--etc.mp3" TargetMode="External"/><Relationship Id="rId105" Type="http://schemas.openxmlformats.org/officeDocument/2006/relationships/hyperlink" Target="https://audio.iskcondesiretree.com/01_-_Srila_Prabhupada/01_-_Lectures/01_-_English/02_-_Month_wise/11_-_November/19/Bg_08-21_NY_1966-11-19_The_Supreme_Abode-Attainable_etc.mp3" TargetMode="External"/><Relationship Id="rId104" Type="http://schemas.openxmlformats.org/officeDocument/2006/relationships/hyperlink" Target="https://audio.iskcondesiretree.com/01_-_Srila_Prabhupada/01_-_Lectures/01_-_English/01_-_Topic_wise/Bhagavad_Gita/Chapter-08/SP_BG_08-21-22_New_York_1966-11-19_The_Supreme_Abode--Attainable--etc.mp3" TargetMode="External"/><Relationship Id="rId109" Type="http://schemas.openxmlformats.org/officeDocument/2006/relationships/hyperlink" Target="https://audio.iskcondesiretree.com/01_-_Srila_Prabhupada/01_-_Lectures/01_-_English/02_-_Month_wise/11_-_November/21/Bg_08-28_NY_1966-11-21_This_Knowledge_Is_the_King_of_etc.mp3" TargetMode="External"/><Relationship Id="rId4680" Type="http://schemas.openxmlformats.org/officeDocument/2006/relationships/hyperlink" Target="https://audio.iskcondesiretree.com/01_-_Srila_Prabhupada/01_-_Lectures/01_-_English/02_-_Month_wise/06_-_June/03/Conv_1976-06-03_IV-LOS%20ANGELES.MP3" TargetMode="External"/><Relationship Id="rId108" Type="http://schemas.openxmlformats.org/officeDocument/2006/relationships/hyperlink" Target="https://audio.iskcondesiretree.com/01_-_Srila_Prabhupada/01_-_Lectures/01_-_English/01_-_Topic_wise/Bhagavad_Gita/Chapter-08/SP_BG_08-28_09-01_New_York_1966-11-21_This_Knowledge_Is_the_King_of--etc.mp3" TargetMode="External"/><Relationship Id="rId3351" Type="http://schemas.openxmlformats.org/officeDocument/2006/relationships/hyperlink" Target="https://audio.iskcondesiretree.com/01_-_Srila_Prabhupada/01_-_Lectures/01_-_English/01_-_Topic_wise/Srimad_Bhagavatam/Canto-06/SP_SB_6-01-10_Los_Angeles_1975-06-23_New_Orleans_Heart_Free_of_Dirt.mp3" TargetMode="External"/><Relationship Id="rId4682" Type="http://schemas.openxmlformats.org/officeDocument/2006/relationships/hyperlink" Target="https://audio.iskcondesiretree.com/01_-_Srila_Prabhupada/01_-_Lectures/01_-_English/02_-_Month_wise/06_-_June/03/SB-06-01-37_1976-06-03_SB-LOS%20ANGELES.MP3" TargetMode="External"/><Relationship Id="rId2020" Type="http://schemas.openxmlformats.org/officeDocument/2006/relationships/hyperlink" Target="https://audio.iskcondesiretree.com/01_-_Srila_Prabhupada/01_-_Lectures/01_-_English/02_-_Month_wise/05_-_May/31/Conv_1974-05-31_R2-GENEVA.MP3" TargetMode="External"/><Relationship Id="rId3350" Type="http://schemas.openxmlformats.org/officeDocument/2006/relationships/hyperlink" Target="https://audio.iskcondesiretree.com/01_-_Srila_Prabhupada/01_-_Lectures/01_-_English/01_-_Topic_wise/Room_Conversation/SP_Room_Conversation_Los_Angeles_1975-06-23_Philosopher--Bad_Allowed_by_the_All-Good.mp3" TargetMode="External"/><Relationship Id="rId4681" Type="http://schemas.openxmlformats.org/officeDocument/2006/relationships/hyperlink" Target="https://audio.iskcondesiretree.com/01_-_Srila_Prabhupada/01_-_Lectures/01_-_English/02_-_Month_wise/06_-_June/03/MW_LA_1976-06-03_Death_and_Dreams.mp3" TargetMode="External"/><Relationship Id="rId2021" Type="http://schemas.openxmlformats.org/officeDocument/2006/relationships/hyperlink" Target="https://audio.iskcondesiretree.com/01_-_Srila_Prabhupada/01_-_Lectures/01_-_English/02_-_Month_wise/05_-_May/31/RC_GEN_1974-05-31_Hatha-yoga_Teacher_Submission_etc.mp3" TargetMode="External"/><Relationship Id="rId3353" Type="http://schemas.openxmlformats.org/officeDocument/2006/relationships/hyperlink" Target="https://audio.iskcondesiretree.com/01_-_Srila_Prabhupada/01_-_Lectures/01_-_English/02_-_Month_wise/06_-_June/23/MW_LA_1975-06-23_Varnashram_College_3-Colleges_for_etc.mp3" TargetMode="External"/><Relationship Id="rId4684" Type="http://schemas.openxmlformats.org/officeDocument/2006/relationships/hyperlink" Target="https://audio.iskcondesiretree.com/01_-_Srila_Prabhupada/01_-_Lectures/01_-_English/02_-_Month_wise/06_-_June/03/Walk_1976-06-03_MW-LOS%20ANGELES.MP3" TargetMode="External"/><Relationship Id="rId2022" Type="http://schemas.openxmlformats.org/officeDocument/2006/relationships/hyperlink" Target="https://audio.iskcondesiretree.com/01_-_Srila_Prabhupada/01_-_Lectures/01_-_English/02_-_Month_wise/05_-_May/31/RC_GEN_1974-05-31_U.N_International_Labor_etc.mp3" TargetMode="External"/><Relationship Id="rId3352" Type="http://schemas.openxmlformats.org/officeDocument/2006/relationships/hyperlink" Target="https://audio.iskcondesiretree.com/01_-_Srila_Prabhupada/01_-_Lectures/01_-_English/02_-_Month_wise/06_-_June/23/Conv_1975-06-23_R1-LOS%20ANGELES.MP3" TargetMode="External"/><Relationship Id="rId4683" Type="http://schemas.openxmlformats.org/officeDocument/2006/relationships/hyperlink" Target="https://audio.iskcondesiretree.com/01_-_Srila_Prabhupada/01_-_Lectures/01_-_English/02_-_Month_wise/06_-_June/03/SB_6-01-37_LA_1976-06-03_Follow_What_Krishna_Says.mp3" TargetMode="External"/><Relationship Id="rId103" Type="http://schemas.openxmlformats.org/officeDocument/2006/relationships/hyperlink" Target="https://audio.iskcondesiretree.com/01_-_Srila_Prabhupada/01_-_Lectures/01_-_English/02_-_Month_wise/11_-_November/18/Bg_08-20_NY_1966-11-18_There_Is_Another_etc.mp3" TargetMode="External"/><Relationship Id="rId2023" Type="http://schemas.openxmlformats.org/officeDocument/2006/relationships/hyperlink" Target="https://audio.iskcondesiretree.com/01_-_Srila_Prabhupada/01_-_Lectures/01_-_English/02_-_Month_wise/05_-_May/31/SB-01-07-06_1974-05-31_SB-GENEVA.MP3" TargetMode="External"/><Relationship Id="rId3355" Type="http://schemas.openxmlformats.org/officeDocument/2006/relationships/hyperlink" Target="https://audio.iskcondesiretree.com/01_-_Srila_Prabhupada/01_-_Lectures/01_-_English/02_-_Month_wise/06_-_June/23/SB-06-01-10_1975-06-23_SB-LOS%20ANGELES.MP3" TargetMode="External"/><Relationship Id="rId4686" Type="http://schemas.openxmlformats.org/officeDocument/2006/relationships/hyperlink" Target="https://audio.iskcondesiretree.com/01_-_Srila_Prabhupada/01_-_Lectures/01_-_English/02_-_Month_wise/06_-_June/04/Conv_1976-06-04_IV-LOS%20ANGELES.MP3" TargetMode="External"/><Relationship Id="rId102" Type="http://schemas.openxmlformats.org/officeDocument/2006/relationships/hyperlink" Target="https://audio.iskcondesiretree.com/01_-_Srila_Prabhupada/01_-_Lectures/01_-_English/01_-_Topic_wise/Bhagavad_Gita/Chapter-08/SP_BG_08-20-22_New_York_1966-11-18_There_Is_Another--etc.mp3" TargetMode="External"/><Relationship Id="rId2024" Type="http://schemas.openxmlformats.org/officeDocument/2006/relationships/hyperlink" Target="https://audio.iskcondesiretree.com/01_-_Srila_Prabhupada/01_-_Lectures/01_-_English/02_-_Month_wise/05_-_May/31/SB_1-07-06_GEN_1974-05-31_All_Problems_Are_Illusion.mp3" TargetMode="External"/><Relationship Id="rId3354" Type="http://schemas.openxmlformats.org/officeDocument/2006/relationships/hyperlink" Target="https://audio.iskcondesiretree.com/01_-_Srila_Prabhupada/01_-_Lectures/01_-_English/02_-_Month_wise/06_-_June/23/RC_LA_1975-06-23_Philosopher--Bad_Allowed_by_the_All-Good.mp3" TargetMode="External"/><Relationship Id="rId4685" Type="http://schemas.openxmlformats.org/officeDocument/2006/relationships/hyperlink" Target="https://audio.iskcondesiretree.com/01_-_Srila_Prabhupada/01_-_Lectures/01_-_English/01_-_Topic_wise/Srimad_Bhagavatam/Canto-06/SP_SB_6-01-38_Los_Angeles_1976-06-04_Jeweled_Snakes.mp3" TargetMode="External"/><Relationship Id="rId101" Type="http://schemas.openxmlformats.org/officeDocument/2006/relationships/hyperlink" Target="https://audio.iskcondesiretree.com/01_-_Srila_Prabhupada/01_-_Lectures/01_-_English/02_-_Month_wise/11_-_November/17/Bg_08-15_NY_1966-11-17_Nature_of_the_Material_World_etc.mp3" TargetMode="External"/><Relationship Id="rId2025" Type="http://schemas.openxmlformats.org/officeDocument/2006/relationships/hyperlink" Target="https://audio.iskcondesiretree.com/01_-_Srila_Prabhupada/01_-_Lectures/01_-_English/01_-_Topic_wise/Bhagavad_Gita/Chapter-04/SP_BG_04-11_Geneva_1974-06-01_We_Are_Naturally_Jubilant.mp3" TargetMode="External"/><Relationship Id="rId3357" Type="http://schemas.openxmlformats.org/officeDocument/2006/relationships/hyperlink" Target="https://audio.iskcondesiretree.com/01_-_Srila_Prabhupada/01_-_Lectures/01_-_English/02_-_Month_wise/06_-_June/23/Walk_1975-06-23_MW-LOS%20ANGELES.MP3" TargetMode="External"/><Relationship Id="rId4688" Type="http://schemas.openxmlformats.org/officeDocument/2006/relationships/hyperlink" Target="https://audio.iskcondesiretree.com/01_-_Srila_Prabhupada/01_-_Lectures/01_-_English/02_-_Month_wise/06_-_June/04/SB_6-01-38_LA_1976-06-04_Jeweled_Snakes.mp3" TargetMode="External"/><Relationship Id="rId100" Type="http://schemas.openxmlformats.org/officeDocument/2006/relationships/hyperlink" Target="https://audio.iskcondesiretree.com/01_-_Srila_Prabhupada/01_-_Lectures/01_-_English/01_-_Topic_wise/Bhagavad_Gita/Chapter-08/SP_BG_08-15-20_New_York_1966-11-17_Nature_of_the_Material_World--etc.mp3" TargetMode="External"/><Relationship Id="rId2026" Type="http://schemas.openxmlformats.org/officeDocument/2006/relationships/hyperlink" Target="https://audio.iskcondesiretree.com/01_-_Srila_Prabhupada/01_-_Lectures/01_-_English/01_-_Topic_wise/Morning_Walk/SP_Morning_Walk_-_Geneva_1974-06-01.mp3" TargetMode="External"/><Relationship Id="rId3356" Type="http://schemas.openxmlformats.org/officeDocument/2006/relationships/hyperlink" Target="https://audio.iskcondesiretree.com/01_-_Srila_Prabhupada/01_-_Lectures/01_-_English/02_-_Month_wise/06_-_June/23/SB_6-01-10_LA_1975-06-23_No_Heart_Free_of_Dirt.mp3" TargetMode="External"/><Relationship Id="rId4687" Type="http://schemas.openxmlformats.org/officeDocument/2006/relationships/hyperlink" Target="https://audio.iskcondesiretree.com/01_-_Srila_Prabhupada/01_-_Lectures/01_-_English/02_-_Month_wise/06_-_June/04/SB-06-01-38_1976-06-04_SB-LOS%20ANGELES.MP3" TargetMode="External"/><Relationship Id="rId2016" Type="http://schemas.openxmlformats.org/officeDocument/2006/relationships/hyperlink" Target="https://audio.iskcondesiretree.com/01_-_Srila_Prabhupada/01_-_Lectures/01_-_English/01_-_Topic_wise/Room_Conversation/SP_Room_Conversation_Geneva_1974-05-31_UN_International_Labor--etc.mp3" TargetMode="External"/><Relationship Id="rId3348" Type="http://schemas.openxmlformats.org/officeDocument/2006/relationships/hyperlink" Target="https://audio.iskcondesiretree.com/01_-_Srila_Prabhupada/01_-_Lectures/01_-_English/02_-_Month_wise/06_-_June/22/Walk_1975-06-22_MW-LOS%20ANGELES.MP3" TargetMode="External"/><Relationship Id="rId4679" Type="http://schemas.openxmlformats.org/officeDocument/2006/relationships/hyperlink" Target="https://audio.iskcondesiretree.com/01_-_Srila_Prabhupada/01_-_Lectures/01_-_English/01_-_Topic_wise/Srimad_Bhagavatam/Canto-06/SP_SB_6-01-37_Los_Angeles_1976-06-03_Follow_What_Krishna_Says.mp3" TargetMode="External"/><Relationship Id="rId2017" Type="http://schemas.openxmlformats.org/officeDocument/2006/relationships/hyperlink" Target="https://audio.iskcondesiretree.com/01_-_Srila_Prabhupada/01_-_Lectures/01_-_English/01_-_Topic_wise/Srimad_Bhagavatam/Canto-01/SP_SB_1-07-06_Geneva_1974-05-31_All_Problems_Are_Illusion.mp3" TargetMode="External"/><Relationship Id="rId3347" Type="http://schemas.openxmlformats.org/officeDocument/2006/relationships/hyperlink" Target="https://audio.iskcondesiretree.com/01_-_Srila_Prabhupada/01_-_Lectures/01_-_English/02_-_Month_wise/06_-_June/22/SB-06-01-09_1975-06-22_SB-LOS%20ANGELES.MP3" TargetMode="External"/><Relationship Id="rId4678" Type="http://schemas.openxmlformats.org/officeDocument/2006/relationships/hyperlink" Target="https://audio.iskcondesiretree.com/01_-_Srila_Prabhupada/01_-_Lectures/01_-_English/01_-_Topic_wise/Morning_Walk/SP_Morning_Walk_-_Los_Angeles_1976-06-03_Death_and_Dreams.mp3" TargetMode="External"/><Relationship Id="rId2018" Type="http://schemas.openxmlformats.org/officeDocument/2006/relationships/hyperlink" Target="https://audio.iskcondesiretree.com/01_-_Srila_Prabhupada/01_-_Lectures/01_-_English/02_-_Month_wise/05_-_May/31/Bg-04-10_1974-05-31_BG-GENEVA.MP3" TargetMode="External"/><Relationship Id="rId2019" Type="http://schemas.openxmlformats.org/officeDocument/2006/relationships/hyperlink" Target="https://audio.iskcondesiretree.com/01_-_Srila_Prabhupada/01_-_Lectures/01_-_English/02_-_Month_wise/05_-_May/31/Conv_1974-05-31_R1-GENEVA.MP3" TargetMode="External"/><Relationship Id="rId3349" Type="http://schemas.openxmlformats.org/officeDocument/2006/relationships/hyperlink" Target="https://audio.iskcondesiretree.com/01_-_Srila_Prabhupada/01_-_Lectures/01_-_English/01_-_Topic_wise/Morning_Walk/SP_Morning_Walk_-_Los_Angeles_1975-06-23_Varnashram_College_3--Colleges_for--etc.mp3" TargetMode="External"/><Relationship Id="rId3340" Type="http://schemas.openxmlformats.org/officeDocument/2006/relationships/hyperlink" Target="https://audio.iskcondesiretree.com/01_-_Srila_Prabhupada/01_-_Lectures/01_-_English/02_-_Month_wise/06_-_June/21/Walk_1975-06-21_MW-LOS%20ANGELES.MP3" TargetMode="External"/><Relationship Id="rId4671" Type="http://schemas.openxmlformats.org/officeDocument/2006/relationships/hyperlink" Target="https://audio.iskcondesiretree.com/01_-_Srila_Prabhupada/01_-_Lectures/01_-_English/02_-_Month_wise/05_-_May/31/SB-06-01-32_1976-05-31_SB-HONOLULU.MP3" TargetMode="External"/><Relationship Id="rId4670" Type="http://schemas.openxmlformats.org/officeDocument/2006/relationships/hyperlink" Target="https://audio.iskcondesiretree.com/01_-_Srila_Prabhupada/01_-_Lectures/01_-_English/02_-_Month_wise/05_-_May/31/Conv_1976-05-31_R1-HONOLULU.MP3" TargetMode="External"/><Relationship Id="rId2010" Type="http://schemas.openxmlformats.org/officeDocument/2006/relationships/hyperlink" Target="https://audio.iskcondesiretree.com/01_-_Srila_Prabhupada/01_-_Lectures/01_-_English/02_-_Month_wise/05_-_May/30/Lect_GEN_1974-05-30_I_See_the_Spirit_Soul.mp3" TargetMode="External"/><Relationship Id="rId3342" Type="http://schemas.openxmlformats.org/officeDocument/2006/relationships/hyperlink" Target="https://audio.iskcondesiretree.com/01_-_Srila_Prabhupada/01_-_Lectures/01_-_English/01_-_Topic_wise/Room_Conversation/SP_Room_Conversation_Los_Angeles_1975-06-22_Dr_Gerson--Happiness_Is_for_the_Devotees.mp3" TargetMode="External"/><Relationship Id="rId4673" Type="http://schemas.openxmlformats.org/officeDocument/2006/relationships/hyperlink" Target="https://audio.iskcondesiretree.com/01_-_Srila_Prabhupada/01_-_Lectures/01_-_English/02_-_Month_wise/05_-_May/31/Walk_1976-05-31_MW-HONOLULU.MP3" TargetMode="External"/><Relationship Id="rId2011" Type="http://schemas.openxmlformats.org/officeDocument/2006/relationships/hyperlink" Target="https://audio.iskcondesiretree.com/01_-_Srila_Prabhupada/01_-_Lectures/01_-_English/02_-_Month_wise/05_-_May/30/MW_GEN_1974-05-30_Free_to_Enjoy.mp3" TargetMode="External"/><Relationship Id="rId3341" Type="http://schemas.openxmlformats.org/officeDocument/2006/relationships/hyperlink" Target="https://audio.iskcondesiretree.com/01_-_Srila_Prabhupada/01_-_Lectures/01_-_English/01_-_Topic_wise/Morning_Walk/SP_Morning_Walk_-_Los_Angeles_1975-06-22_Dedicated_to_the_Supreme_Scientist.mp3" TargetMode="External"/><Relationship Id="rId4672" Type="http://schemas.openxmlformats.org/officeDocument/2006/relationships/hyperlink" Target="https://audio.iskcondesiretree.com/01_-_Srila_Prabhupada/01_-_Lectures/01_-_English/02_-_Month_wise/05_-_May/31/SB_6-01-32_HON_1976-05-31_Everything_working_etc.mp3" TargetMode="External"/><Relationship Id="rId2012" Type="http://schemas.openxmlformats.org/officeDocument/2006/relationships/hyperlink" Target="https://audio.iskcondesiretree.com/01_-_Srila_Prabhupada/01_-_Lectures/01_-_English/02_-_Month_wise/05_-_May/30/Reception_1974-05-30_AR-GENEVA.MP3" TargetMode="External"/><Relationship Id="rId3344" Type="http://schemas.openxmlformats.org/officeDocument/2006/relationships/hyperlink" Target="https://audio.iskcondesiretree.com/01_-_Srila_Prabhupada/01_-_Lectures/01_-_English/02_-_Month_wise/06_-_June/22/Conv_1975-06-22_GC-LOS%20ANGELES.MP3" TargetMode="External"/><Relationship Id="rId4675" Type="http://schemas.openxmlformats.org/officeDocument/2006/relationships/hyperlink" Target="https://audio.iskcondesiretree.com/01_-_Srila_Prabhupada/01_-_Lectures/01_-_English/02_-_Month_wise/06_-_June/01/SB-06-01-33_1976-06-01_SB-HONOLULU.MP3" TargetMode="External"/><Relationship Id="rId2013" Type="http://schemas.openxmlformats.org/officeDocument/2006/relationships/hyperlink" Target="https://audio.iskcondesiretree.com/01_-_Srila_Prabhupada/01_-_Lectures/01_-_English/02_-_Month_wise/05_-_May/30/Walk_1974-05-30_MW-ROME.MP3" TargetMode="External"/><Relationship Id="rId3343" Type="http://schemas.openxmlformats.org/officeDocument/2006/relationships/hyperlink" Target="https://audio.iskcondesiretree.com/01_-_Srila_Prabhupada/01_-_Lectures/01_-_English/01_-_Topic_wise/Srimad_Bhagavatam/Canto-06/SP_SB_6-01-09_Los_Angeles_1975-06-22.MP3" TargetMode="External"/><Relationship Id="rId4674" Type="http://schemas.openxmlformats.org/officeDocument/2006/relationships/hyperlink" Target="https://audio.iskcondesiretree.com/01_-_Srila_Prabhupada/01_-_Lectures/01_-_English/01_-_Topic_wise/Srimad_Bhagavatam/Canto-06/SP_SB_6-01-33_Honolulu_1976-06-01_New_Orleans_Sex_in_the_Spiritual_World.mp3" TargetMode="External"/><Relationship Id="rId2014" Type="http://schemas.openxmlformats.org/officeDocument/2006/relationships/hyperlink" Target="https://audio.iskcondesiretree.com/01_-_Srila_Prabhupada/01_-_Lectures/01_-_English/01_-_Topic_wise/Bhagavad_Gita/Chapter-04/SP_BG_04-10_Geneva_1974-05-31.mp3" TargetMode="External"/><Relationship Id="rId3346" Type="http://schemas.openxmlformats.org/officeDocument/2006/relationships/hyperlink" Target="https://audio.iskcondesiretree.com/01_-_Srila_Prabhupada/01_-_Lectures/01_-_English/02_-_Month_wise/06_-_June/22/RC_LA_1975-06-22_Dr._Gerson-Happiness_Is_for_the_Devotees.mp3" TargetMode="External"/><Relationship Id="rId4677" Type="http://schemas.openxmlformats.org/officeDocument/2006/relationships/hyperlink" Target="https://audio.iskcondesiretree.com/01_-_Srila_Prabhupada/01_-_Lectures/01_-_English/02_-_Month_wise/06_-_June/02/SB-06-01-34%E2%80%9336_1976-06-02_SB-LOS%20ANGELES.MP3" TargetMode="External"/><Relationship Id="rId2015" Type="http://schemas.openxmlformats.org/officeDocument/2006/relationships/hyperlink" Target="https://audio.iskcondesiretree.com/01_-_Srila_Prabhupada/01_-_Lectures/01_-_English/01_-_Topic_wise/Room_Conversation/SP_Room_Conversation_Geneva_1974-05-31_Hatha-yoga_Teacher--Submission--etc.mp3" TargetMode="External"/><Relationship Id="rId3345" Type="http://schemas.openxmlformats.org/officeDocument/2006/relationships/hyperlink" Target="https://audio.iskcondesiretree.com/01_-_Srila_Prabhupada/01_-_Lectures/01_-_English/02_-_Month_wise/06_-_June/22/MW_LA_1975-06-22_Dedicated_to_the_Supreme_Scientist.mp3" TargetMode="External"/><Relationship Id="rId4676" Type="http://schemas.openxmlformats.org/officeDocument/2006/relationships/hyperlink" Target="https://audio.iskcondesiretree.com/01_-_Srila_Prabhupada/01_-_Lectures/01_-_English/02_-_Month_wise/06_-_June/01/SB_6-01-33_HON_1976-06-01_No_Sex_in_the_Spiritual_World.mp3" TargetMode="External"/><Relationship Id="rId2049" Type="http://schemas.openxmlformats.org/officeDocument/2006/relationships/hyperlink" Target="https://audio.iskcondesiretree.com/01_-_Srila_Prabhupada/01_-_Lectures/01_-_English/02_-_Month_wise/06_-_June/04/RC_GEN_1974-06-04_Biochemist-Scientific_and_Spiritual-Unite.mp3" TargetMode="External"/><Relationship Id="rId129" Type="http://schemas.openxmlformats.org/officeDocument/2006/relationships/hyperlink" Target="https://audio.iskcondesiretree.com/01_-_Srila_Prabhupada/01_-_Lectures/01_-_English/01_-_Topic_wise/Chaitanya_Charitamrita/Madhya_Lila/SP_CC_M_20-131_New_York_1966-11-27_The_Vedas_Are_Your_Astrologer.mp3" TargetMode="External"/><Relationship Id="rId128" Type="http://schemas.openxmlformats.org/officeDocument/2006/relationships/hyperlink" Target="https://audio.iskcondesiretree.com/01_-_Srila_Prabhupada/01_-_Lectures/01_-_English/01_-_Topic_wise/Bhagavad_Gita/Chapter-09/SP_BG_09-11-14_New_York_1966-11-27_Find_Real_Pleasure_Serving_Krishna.mp3" TargetMode="External"/><Relationship Id="rId127" Type="http://schemas.openxmlformats.org/officeDocument/2006/relationships/hyperlink" Target="https://audio.iskcondesiretree.com/01_-_Srila_Prabhupada/01_-_Lectures/01_-_English/02_-_Month_wise/11_-_November/26/Cc_M_20-124_NY_1966-11-26_Back_to_Godhead-Life%27s_Ultimate_Goal.mp3" TargetMode="External"/><Relationship Id="rId126" Type="http://schemas.openxmlformats.org/officeDocument/2006/relationships/hyperlink" Target="https://audio.iskcondesiretree.com/01_-_Srila_Prabhupada/01_-_Lectures/01_-_English/01_-_Topic_wise/Chaitanya_Charitamrita/Madhya_Lila/SP_CC_M_20-124_New_York_1966-11-26_Back_to_Godhead--Life%27s_Ultimate_Goal.mp3" TargetMode="External"/><Relationship Id="rId3371" Type="http://schemas.openxmlformats.org/officeDocument/2006/relationships/hyperlink" Target="https://audio.iskcondesiretree.com/01_-_Srila_Prabhupada/01_-_Lectures/01_-_English/01_-_Topic_wise/Morning_Walk/SP_Morning_Walk_-_Los_Angeles_1975-06-26_Hypnotized_by_Television_or_by_Krishna.mp3" TargetMode="External"/><Relationship Id="rId2040" Type="http://schemas.openxmlformats.org/officeDocument/2006/relationships/hyperlink" Target="https://audio.iskcondesiretree.com/01_-_Srila_Prabhupada/01_-_Lectures/01_-_English/01_-_Topic_wise/Srimad_Bhagavatam/Canto-01/SP_SB_1-13-12_Geneva_1974-06-03_Dear_Words_for_Dormant_Hearts.mp3" TargetMode="External"/><Relationship Id="rId3370" Type="http://schemas.openxmlformats.org/officeDocument/2006/relationships/hyperlink" Target="https://audio.iskcondesiretree.com/01_-_Srila_Prabhupada/01_-_Lectures/01_-_English/02_-_Month_wise/06_-_June/25/Walk_1975-06-25_MW-LOS%20ANGELES.MP3" TargetMode="External"/><Relationship Id="rId121" Type="http://schemas.openxmlformats.org/officeDocument/2006/relationships/hyperlink" Target="https://audio.iskcondesiretree.com/01_-_Srila_Prabhupada/01_-_Lectures/01_-_English/01_-_Topic_wise/Chaitanya_Charitamrita/Madhya_Lila/SP_CC_M_20-119_New_York_1966-11-24_Are_We_Krishna%27s_Competitors.mp3" TargetMode="External"/><Relationship Id="rId2041" Type="http://schemas.openxmlformats.org/officeDocument/2006/relationships/hyperlink" Target="https://audio.iskcondesiretree.com/01_-_Srila_Prabhupada/01_-_Lectures/01_-_English/02_-_Month_wise/06_-_June/03/SB-01-13-12%E2%80%9314_1974-06-03_SB-GENEVA.MP3" TargetMode="External"/><Relationship Id="rId3373" Type="http://schemas.openxmlformats.org/officeDocument/2006/relationships/hyperlink" Target="https://audio.iskcondesiretree.com/01_-_Srila_Prabhupada/01_-_Lectures/01_-_English/01_-_Topic_wise/Room_Conversation/SP_Room_Conversation_02_Los_Angeles_1975-06-26.MP3" TargetMode="External"/><Relationship Id="rId120" Type="http://schemas.openxmlformats.org/officeDocument/2006/relationships/hyperlink" Target="https://audio.iskcondesiretree.com/01_-_Srila_Prabhupada/01_-_Lectures/01_-_English/01_-_Topic_wise/Bhagavad_Gita/Chapter-09/SP_BG_09-04-07_New_York_1966-11-24_Krishna_Is_Everywhere_and--etc.mp3" TargetMode="External"/><Relationship Id="rId2042" Type="http://schemas.openxmlformats.org/officeDocument/2006/relationships/hyperlink" Target="https://audio.iskcondesiretree.com/01_-_Srila_Prabhupada/01_-_Lectures/01_-_English/02_-_Month_wise/06_-_June/03/SB_1-13-12_GEN_1974-06-03_Dear_Words_for_Dormant_Hearts.mp3" TargetMode="External"/><Relationship Id="rId3372" Type="http://schemas.openxmlformats.org/officeDocument/2006/relationships/hyperlink" Target="https://audio.iskcondesiretree.com/01_-_Srila_Prabhupada/01_-_Lectures/01_-_English/01_-_Topic_wise/Room_Conversation/SP_Room_Conversation_01_Los_Angeles_1975-06-26.MP3" TargetMode="External"/><Relationship Id="rId2043" Type="http://schemas.openxmlformats.org/officeDocument/2006/relationships/hyperlink" Target="https://audio.iskcondesiretree.com/01_-_Srila_Prabhupada/01_-_Lectures/01_-_English/02_-_Month_wise/06_-_June/03/Walk_1974-06-03_MW-GENEVA.MP3" TargetMode="External"/><Relationship Id="rId3375" Type="http://schemas.openxmlformats.org/officeDocument/2006/relationships/hyperlink" Target="https://audio.iskcondesiretree.com/01_-_Srila_Prabhupada/01_-_Lectures/01_-_English/02_-_Month_wise/06_-_June/26/Conv_1975-06-26_R1-LOS%20ANGELES.MP3" TargetMode="External"/><Relationship Id="rId2044" Type="http://schemas.openxmlformats.org/officeDocument/2006/relationships/hyperlink" Target="https://audio.iskcondesiretree.com/01_-_Srila_Prabhupada/01_-_Lectures/01_-_English/01_-_Topic_wise/Room_Conversation/SP_Room_Conversation_Geneva_1974-06-04_Biochemist--Scientific_and_Spiritual-Unite.mp3" TargetMode="External"/><Relationship Id="rId3374" Type="http://schemas.openxmlformats.org/officeDocument/2006/relationships/hyperlink" Target="https://audio.iskcondesiretree.com/01_-_Srila_Prabhupada/01_-_Lectures/01_-_English/01_-_Topic_wise/Srimad_Bhagavatam/Canto-06/SP_SB_6-01-13_Honolulu_1975-06-26_God_is_not_a_Petty_Thing.mp3" TargetMode="External"/><Relationship Id="rId125" Type="http://schemas.openxmlformats.org/officeDocument/2006/relationships/hyperlink" Target="https://audio.iskcondesiretree.com/01_-_Srila_Prabhupada/01_-_Lectures/01_-_English/02_-_Month_wise/11_-_November/25/Cc_M_20-121_NY_1966-11-25_Vedas%2C_Guru_and_Supersoul.mp3" TargetMode="External"/><Relationship Id="rId2045" Type="http://schemas.openxmlformats.org/officeDocument/2006/relationships/hyperlink" Target="https://audio.iskcondesiretree.com/01_-_Srila_Prabhupada/01_-_Lectures/01_-_English/01_-_Topic_wise/Room_Conversation/SP_Room_Conversation_Geneva_1974-06-04_Prof_of_Sanskrit--Avatars_Come_to--etc.mp3" TargetMode="External"/><Relationship Id="rId3377" Type="http://schemas.openxmlformats.org/officeDocument/2006/relationships/hyperlink" Target="https://audio.iskcondesiretree.com/01_-_Srila_Prabhupada/01_-_Lectures/01_-_English/02_-_Month_wise/06_-_June/26/MW_LA_1975-06-26_Hypnotized_by_Television_or_by_Krishna.mp3" TargetMode="External"/><Relationship Id="rId124" Type="http://schemas.openxmlformats.org/officeDocument/2006/relationships/hyperlink" Target="https://audio.iskcondesiretree.com/01_-_Srila_Prabhupada/01_-_Lectures/01_-_English/01_-_Topic_wise/Chaitanya_Charitamrita/Madhya_Lila/SP_CC_M_20-121_New_York_1966-11-25_Vedas_Guru_and_Supersoul.mp3" TargetMode="External"/><Relationship Id="rId2046" Type="http://schemas.openxmlformats.org/officeDocument/2006/relationships/hyperlink" Target="https://audio.iskcondesiretree.com/01_-_Srila_Prabhupada/01_-_Lectures/01_-_English/01_-_Topic_wise/Srimad_Bhagavatam/Canto-01/SP_SB_1-13-15_Geneva_1974-06-04_Why_One_GBC_Became_a_Sudra.mp3" TargetMode="External"/><Relationship Id="rId3376" Type="http://schemas.openxmlformats.org/officeDocument/2006/relationships/hyperlink" Target="https://audio.iskcondesiretree.com/01_-_Srila_Prabhupada/01_-_Lectures/01_-_English/02_-_Month_wise/06_-_June/26/Conv_1975-06-26_R2-LOS%20ANGELES.MP3" TargetMode="External"/><Relationship Id="rId123" Type="http://schemas.openxmlformats.org/officeDocument/2006/relationships/hyperlink" Target="https://audio.iskcondesiretree.com/01_-_Srila_Prabhupada/01_-_Lectures/01_-_English/02_-_Month_wise/11_-_November/24/Cc_M_20-119_NY_1966-11-24_Are_We_Krishna%27s_Competitors.mp3" TargetMode="External"/><Relationship Id="rId2047" Type="http://schemas.openxmlformats.org/officeDocument/2006/relationships/hyperlink" Target="https://audio.iskcondesiretree.com/01_-_Srila_Prabhupada/01_-_Lectures/01_-_English/02_-_Month_wise/06_-_June/04/Conv_1974-06-04_R1-GENEVA.MP3" TargetMode="External"/><Relationship Id="rId3379" Type="http://schemas.openxmlformats.org/officeDocument/2006/relationships/hyperlink" Target="https://audio.iskcondesiretree.com/01_-_Srila_Prabhupada/01_-_Lectures/01_-_English/02_-_Month_wise/06_-_June/26/SB_6-01-13_HON_1975-06-26_God_is_not_a_Petty_Thing.mp3" TargetMode="External"/><Relationship Id="rId122" Type="http://schemas.openxmlformats.org/officeDocument/2006/relationships/hyperlink" Target="https://audio.iskcondesiretree.com/01_-_Srila_Prabhupada/01_-_Lectures/01_-_English/02_-_Month_wise/11_-_November/24/Bg_09-04_NY_1966-11-24_Krishna_Is_Everywhere_and_etc.mp3" TargetMode="External"/><Relationship Id="rId2048" Type="http://schemas.openxmlformats.org/officeDocument/2006/relationships/hyperlink" Target="https://audio.iskcondesiretree.com/01_-_Srila_Prabhupada/01_-_Lectures/01_-_English/02_-_Month_wise/06_-_June/04/Conv_1974-06-04_R2-GENEVA.MP3" TargetMode="External"/><Relationship Id="rId3378" Type="http://schemas.openxmlformats.org/officeDocument/2006/relationships/hyperlink" Target="https://audio.iskcondesiretree.com/01_-_Srila_Prabhupada/01_-_Lectures/01_-_English/02_-_Month_wise/06_-_June/26/SB-06-01-13%E2%80%9314_1975-06-26_SB-LOS%20ANGELES.MP3" TargetMode="External"/><Relationship Id="rId2038" Type="http://schemas.openxmlformats.org/officeDocument/2006/relationships/hyperlink" Target="https://audio.iskcondesiretree.com/01_-_Srila_Prabhupada/01_-_Lectures/01_-_English/02_-_Month_wise/06_-_June/02/Walk_1974-06-02_MW-GENEVA.MP3" TargetMode="External"/><Relationship Id="rId2039" Type="http://schemas.openxmlformats.org/officeDocument/2006/relationships/hyperlink" Target="https://audio.iskcondesiretree.com/01_-_Srila_Prabhupada/01_-_Lectures/01_-_English/01_-_Topic_wise/Morning_Walk/SP_Morning_Walk_-_Geneva_1974-06-03.mp3" TargetMode="External"/><Relationship Id="rId3369" Type="http://schemas.openxmlformats.org/officeDocument/2006/relationships/hyperlink" Target="https://audio.iskcondesiretree.com/01_-_Srila_Prabhupada/01_-_Lectures/01_-_English/02_-_Month_wise/06_-_June/25/SB_6-01-12_LA_1975-06-25_Repent_Sinners_How.mp3" TargetMode="External"/><Relationship Id="rId118" Type="http://schemas.openxmlformats.org/officeDocument/2006/relationships/hyperlink" Target="https://audio.iskcondesiretree.com/01_-_Srila_Prabhupada/01_-_Lectures/01_-_English/02_-_Month_wise/11_-_November/23/Bg_09-02_NY_1966-11-23_Everything_Is_Resting_On_Krishna-Shine.mp3" TargetMode="External"/><Relationship Id="rId117" Type="http://schemas.openxmlformats.org/officeDocument/2006/relationships/hyperlink" Target="https://audio.iskcondesiretree.com/01_-_Srila_Prabhupada/01_-_Lectures/01_-_English/01_-_Topic_wise/Chaitanya_Charitamrita/Madhya_Lila/SP_CC_M_20-118_New_York_1966-11-23_Material_Infection_Equals--etc.mp3" TargetMode="External"/><Relationship Id="rId116" Type="http://schemas.openxmlformats.org/officeDocument/2006/relationships/hyperlink" Target="https://audio.iskcondesiretree.com/01_-_Srila_Prabhupada/01_-_Lectures/01_-_English/01_-_Topic_wise/Bhagavad_Gita/Chapter-09/SP_BG_09-02-05_New_York_1966-11-23_Everything_Is_Resting_On_Krishna-Shine.mp3" TargetMode="External"/><Relationship Id="rId115" Type="http://schemas.openxmlformats.org/officeDocument/2006/relationships/hyperlink" Target="https://audio.iskcondesiretree.com/01_-_Srila_Prabhupada/01_-_Lectures/01_-_English/02_-_Month_wise/11_-_November/22/Cc_M_20-100_NY_1966-11-22_Sadhu_Inquires_for_the_Sake_etc.mp3" TargetMode="External"/><Relationship Id="rId3360" Type="http://schemas.openxmlformats.org/officeDocument/2006/relationships/hyperlink" Target="https://audio.iskcondesiretree.com/01_-_Srila_Prabhupada/01_-_Lectures/01_-_English/02_-_Month_wise/06_-_June/24/Conv_1975-06-24_GC-LOS%20ANGELES.MP3" TargetMode="External"/><Relationship Id="rId4691" Type="http://schemas.openxmlformats.org/officeDocument/2006/relationships/hyperlink" Target="https://audio.iskcondesiretree.com/01_-_Srila_Prabhupada/01_-_Lectures/01_-_English/02_-_Month_wise/06_-_June/05/SB-06-01-39_1976-06-05_SB-LOS%20ANGELES.MP3" TargetMode="External"/><Relationship Id="rId119" Type="http://schemas.openxmlformats.org/officeDocument/2006/relationships/hyperlink" Target="https://audio.iskcondesiretree.com/01_-_Srila_Prabhupada/01_-_Lectures/01_-_English/02_-_Month_wise/11_-_November/23/Cc_M_20-118_NY_1966-11-23_Material_Infection_Equals_etc.mp3" TargetMode="External"/><Relationship Id="rId4690" Type="http://schemas.openxmlformats.org/officeDocument/2006/relationships/hyperlink" Target="https://audio.iskcondesiretree.com/01_-_Srila_Prabhupada/01_-_Lectures/01_-_English/01_-_Topic_wise/Srimad_Bhagavatam/Canto-06/SP_SB_6-01-39_Los_Angeles_1976-06-05_Does_Your_Heart_Cry_Out_for_God.mp3" TargetMode="External"/><Relationship Id="rId110" Type="http://schemas.openxmlformats.org/officeDocument/2006/relationships/hyperlink" Target="https://audio.iskcondesiretree.com/01_-_Srila_Prabhupada/01_-_Lectures/01_-_English/01_-_Topic_wise/Bhagavad_Gita/Chapter-09/SP_BG_09-02_New_York_1966-11-22_It_Is_Everlasting_and_It_Is--etc.mp3" TargetMode="External"/><Relationship Id="rId2030" Type="http://schemas.openxmlformats.org/officeDocument/2006/relationships/hyperlink" Target="https://audio.iskcondesiretree.com/01_-_Srila_Prabhupada/01_-_Lectures/01_-_English/02_-_Month_wise/06_-_June/01/SB-01-13-10_1974-06-01_SB-GENEVA.MP3" TargetMode="External"/><Relationship Id="rId3362" Type="http://schemas.openxmlformats.org/officeDocument/2006/relationships/hyperlink" Target="https://audio.iskcondesiretree.com/01_-_Srila_Prabhupada/01_-_Lectures/01_-_English/02_-_Month_wise/06_-_June/24/Walk_1975-06-24_MW-LOS%20ANGELES.MP3" TargetMode="External"/><Relationship Id="rId4693" Type="http://schemas.openxmlformats.org/officeDocument/2006/relationships/hyperlink" Target="https://audio.iskcondesiretree.com/01_-_Srila_Prabhupada/01_-_Lectures/01_-_English/02_-_Month_wise/06_-_June/05/Walk_1976-06-05_MW-LOS%20ANGELES.MP3" TargetMode="External"/><Relationship Id="rId2031" Type="http://schemas.openxmlformats.org/officeDocument/2006/relationships/hyperlink" Target="https://audio.iskcondesiretree.com/01_-_Srila_Prabhupada/01_-_Lectures/01_-_English/02_-_Month_wise/06_-_June/01/SB_1-13-10_GEN_1974-06-01_Make_Your_Heart_a_Place_of_Pilgrimage.mp3" TargetMode="External"/><Relationship Id="rId3361" Type="http://schemas.openxmlformats.org/officeDocument/2006/relationships/hyperlink" Target="https://audio.iskcondesiretree.com/01_-_Srila_Prabhupada/01_-_Lectures/01_-_English/02_-_Month_wise/06_-_June/24/RC_LA_1975-06-24_Profs-Bird-Brained_Scholarship.mp3" TargetMode="External"/><Relationship Id="rId4692" Type="http://schemas.openxmlformats.org/officeDocument/2006/relationships/hyperlink" Target="https://audio.iskcondesiretree.com/01_-_Srila_Prabhupada/01_-_Lectures/01_-_English/02_-_Month_wise/06_-_June/05/SB_6-01-39_LA_1976-06-05_Does_Your_Heart_Cry_Out_for_God.mp3" TargetMode="External"/><Relationship Id="rId2032" Type="http://schemas.openxmlformats.org/officeDocument/2006/relationships/hyperlink" Target="https://audio.iskcondesiretree.com/01_-_Srila_Prabhupada/01_-_Lectures/01_-_English/02_-_Month_wise/06_-_June/01/Walk_1974-06-01_MW-GENEVA.MP3" TargetMode="External"/><Relationship Id="rId3364" Type="http://schemas.openxmlformats.org/officeDocument/2006/relationships/hyperlink" Target="https://audio.iskcondesiretree.com/01_-_Srila_Prabhupada/01_-_Lectures/01_-_English/01_-_Topic_wise/Room_Conversation/SP_Room_Conversation_Los_Angeles_1975-06-25_God_Is_As_Sure_As_Death.mp3" TargetMode="External"/><Relationship Id="rId4695" Type="http://schemas.openxmlformats.org/officeDocument/2006/relationships/hyperlink" Target="https://audio.iskcondesiretree.com/01_-_Srila_Prabhupada/01_-_Lectures/01_-_English/02_-_Month_wise/06_-_June/06/SB-06-01-40_1976-06-06_SB-LOS%20ANGELES.MP3" TargetMode="External"/><Relationship Id="rId2033" Type="http://schemas.openxmlformats.org/officeDocument/2006/relationships/hyperlink" Target="https://audio.iskcondesiretree.com/01_-_Srila_Prabhupada/01_-_Lectures/01_-_English/01_-_Topic_wise/Morning_Walk/SP_Morning_Walk_-_Geneva_1974-06-02_Fighting_with_This_Maya.mp3" TargetMode="External"/><Relationship Id="rId3363" Type="http://schemas.openxmlformats.org/officeDocument/2006/relationships/hyperlink" Target="https://audio.iskcondesiretree.com/01_-_Srila_Prabhupada/01_-_Lectures/01_-_English/01_-_Topic_wise/Morning_Walk/SP_Morning_Walk_-_Los_Angeles_1975-06-25_Here_Is_God--Why_Not_Accept.mp3" TargetMode="External"/><Relationship Id="rId4694" Type="http://schemas.openxmlformats.org/officeDocument/2006/relationships/hyperlink" Target="https://audio.iskcondesiretree.com/01_-_Srila_Prabhupada/01_-_Lectures/01_-_English/01_-_Topic_wise/Srimad_Bhagavatam/Canto-06/SP_SB_6-01-40_Los_Angeles_1976-06-06_Graduates_of_Transcendental_Tech.mp3" TargetMode="External"/><Relationship Id="rId114" Type="http://schemas.openxmlformats.org/officeDocument/2006/relationships/hyperlink" Target="https://audio.iskcondesiretree.com/01_-_Srila_Prabhupada/01_-_Lectures/01_-_English/02_-_Month_wise/11_-_November/22/Cc_M_20-097_NY_1966-11-22_I_Shall_Give_You_Protection_etc.mp3" TargetMode="External"/><Relationship Id="rId2034" Type="http://schemas.openxmlformats.org/officeDocument/2006/relationships/hyperlink" Target="https://audio.iskcondesiretree.com/01_-_Srila_Prabhupada/01_-_Lectures/01_-_English/01_-_Topic_wise/Srimad_Bhagavatam/Canto-01/SP_SB_1-13-11_Geneva_1974-06-02_Your_Qualification-Renouncing.mp3" TargetMode="External"/><Relationship Id="rId3366" Type="http://schemas.openxmlformats.org/officeDocument/2006/relationships/hyperlink" Target="https://audio.iskcondesiretree.com/01_-_Srila_Prabhupada/01_-_Lectures/01_-_English/02_-_Month_wise/06_-_June/25/MW_LA_1975-06-25_Here_Is_God-Why_Not_Accept.mp3" TargetMode="External"/><Relationship Id="rId4697" Type="http://schemas.openxmlformats.org/officeDocument/2006/relationships/hyperlink" Target="https://audio.iskcondesiretree.com/01_-_Srila_Prabhupada/01_-_Lectures/01_-_English/02_-_Month_wise/06_-_June/06/Walk_1976-06-06_MW-LOS%20ANGELES.MP3" TargetMode="External"/><Relationship Id="rId113" Type="http://schemas.openxmlformats.org/officeDocument/2006/relationships/hyperlink" Target="https://audio.iskcondesiretree.com/01_-_Srila_Prabhupada/01_-_Lectures/01_-_English/02_-_Month_wise/11_-_November/22/Bg_09-02_NY_1966-11-22_It_Is_Everlasting%2C_and_It_Is_etc.mp3" TargetMode="External"/><Relationship Id="rId2035" Type="http://schemas.openxmlformats.org/officeDocument/2006/relationships/hyperlink" Target="https://audio.iskcondesiretree.com/01_-_Srila_Prabhupada/01_-_Lectures/01_-_English/02_-_Month_wise/06_-_June/02/MW_GEN_1974-06-02_Fighting_with_This_Maya.mp3" TargetMode="External"/><Relationship Id="rId3365" Type="http://schemas.openxmlformats.org/officeDocument/2006/relationships/hyperlink" Target="https://audio.iskcondesiretree.com/01_-_Srila_Prabhupada/01_-_Lectures/01_-_English/01_-_Topic_wise/Srimad_Bhagavatam/Canto-06/SP_SB_6-01-12_Los_Angeles_1975-06-25_Repent_Sinners--How.mp3" TargetMode="External"/><Relationship Id="rId4696" Type="http://schemas.openxmlformats.org/officeDocument/2006/relationships/hyperlink" Target="https://audio.iskcondesiretree.com/01_-_Srila_Prabhupada/01_-_Lectures/01_-_English/02_-_Month_wise/06_-_June/06/SB_6-01-40_LA_1976-06-06_Graduates_of_Transcendental_Tech.mp3" TargetMode="External"/><Relationship Id="rId112" Type="http://schemas.openxmlformats.org/officeDocument/2006/relationships/hyperlink" Target="https://audio.iskcondesiretree.com/01_-_Srila_Prabhupada/01_-_Lectures/01_-_English/01_-_Topic_wise/Chaitanya_Charitamrita/Madhya_Lila/SP_CC_M_20-100_New_York_1966-11-22_Sadhu_Inquires_for_the_Sake--etc.mp3" TargetMode="External"/><Relationship Id="rId2036" Type="http://schemas.openxmlformats.org/officeDocument/2006/relationships/hyperlink" Target="https://audio.iskcondesiretree.com/01_-_Srila_Prabhupada/01_-_Lectures/01_-_English/02_-_Month_wise/06_-_June/02/SB-01-13-11_1974-06-02_SB-GENEVA.MP3" TargetMode="External"/><Relationship Id="rId3368" Type="http://schemas.openxmlformats.org/officeDocument/2006/relationships/hyperlink" Target="https://audio.iskcondesiretree.com/01_-_Srila_Prabhupada/01_-_Lectures/01_-_English/02_-_Month_wise/06_-_June/25/SB-06-01-12_1975-06-25_SB-LOS%20ANGELES.MP3" TargetMode="External"/><Relationship Id="rId4699" Type="http://schemas.openxmlformats.org/officeDocument/2006/relationships/hyperlink" Target="https://audio.iskcondesiretree.com/01_-_Srila_Prabhupada/01_-_Lectures/01_-_English/01_-_Topic_wise/Srimad_Bhagavatam/Canto-06/SP_SB_6-01-41_Los_Angeles_1976-06-07_Total_Dependence-Independence.mp3" TargetMode="External"/><Relationship Id="rId111" Type="http://schemas.openxmlformats.org/officeDocument/2006/relationships/hyperlink" Target="https://audio.iskcondesiretree.com/01_-_Srila_Prabhupada/01_-_Lectures/01_-_English/01_-_Topic_wise/Chaitanya_Charitamrita/Madhya_Lila/SP_CC_M_20-097_New_York_1966-11-22_I_Shall_Give_You_Protection--etc.mp3" TargetMode="External"/><Relationship Id="rId2037" Type="http://schemas.openxmlformats.org/officeDocument/2006/relationships/hyperlink" Target="https://audio.iskcondesiretree.com/01_-_Srila_Prabhupada/01_-_Lectures/01_-_English/02_-_Month_wise/06_-_June/02/SB_1-13-11_GEN_1974-06-02_Your_Qualification-Renouncing.mp3" TargetMode="External"/><Relationship Id="rId3367" Type="http://schemas.openxmlformats.org/officeDocument/2006/relationships/hyperlink" Target="https://audio.iskcondesiretree.com/01_-_Srila_Prabhupada/01_-_Lectures/01_-_English/02_-_Month_wise/06_-_June/25/RC_LA_1975-06-25_God_Is_As_Sure_As_Death.mp3" TargetMode="External"/><Relationship Id="rId4698" Type="http://schemas.openxmlformats.org/officeDocument/2006/relationships/hyperlink" Target="https://audio.iskcondesiretree.com/01_-_Srila_Prabhupada/01_-_Lectures/01_-_English/01_-_Topic_wise/Morning_Walk/SP_Morning_Walk_-_Los_Angeles_1976-06-07_Spiritual_Pursuit-_Purifying_or_Putrefying.mp3" TargetMode="External"/><Relationship Id="rId3315" Type="http://schemas.openxmlformats.org/officeDocument/2006/relationships/hyperlink" Target="https://audio.iskcondesiretree.com/01_-_Srila_Prabhupada/01_-_Lectures/01_-_English/02_-_Month_wise/06_-_June/17/Conv_1975-06-17_R1-HONOLULU.MP3" TargetMode="External"/><Relationship Id="rId4646" Type="http://schemas.openxmlformats.org/officeDocument/2006/relationships/hyperlink" Target="https://audio.iskcondesiretree.com/01_-_Srila_Prabhupada/01_-_Lectures/01_-_English/02_-_Month_wise/05_-_May/25/SB_6-01-25_HON_1976-05-25_Hiranyakasipu_vs_Prahlada.mp3" TargetMode="External"/><Relationship Id="rId5978" Type="http://schemas.openxmlformats.org/officeDocument/2006/relationships/hyperlink" Target="https://audio.iskcondesiretree.com/01_-_Srila_Prabhupada/01_-_Lectures/01_-_English/02_-_Month_wise/10_-_October/31/Dictation-SB-10-14-01_1977-10-31_SB-VRNDAVAN.MP3" TargetMode="External"/><Relationship Id="rId3314" Type="http://schemas.openxmlformats.org/officeDocument/2006/relationships/hyperlink" Target="https://audio.iskcondesiretree.com/01_-_Srila_Prabhupada/01_-_Lectures/01_-_English/01_-_Topic_wise/Srimad_Bhagavatam/Canto-06/SP_SB_6-01-17_Honolulu_1975-06-17_Happiness--Dance_With_Krishna.mp3" TargetMode="External"/><Relationship Id="rId4645" Type="http://schemas.openxmlformats.org/officeDocument/2006/relationships/hyperlink" Target="https://audio.iskcondesiretree.com/01_-_Srila_Prabhupada/01_-_Lectures/01_-_English/02_-_Month_wise/05_-_May/25/SB-06-01-25_1976-05-25_SB-HONOLULU.MP3" TargetMode="External"/><Relationship Id="rId5979" Type="http://schemas.openxmlformats.org/officeDocument/2006/relationships/hyperlink" Target="https://audio.iskcondesiretree.com/01_-_Srila_Prabhupada/01_-_Lectures/01_-_English/02_-_Month_wise/11_-_November/02/Conv-NewBooks_1977-11-02_R1-VRNDAVAN.MP3" TargetMode="External"/><Relationship Id="rId3317" Type="http://schemas.openxmlformats.org/officeDocument/2006/relationships/hyperlink" Target="https://audio.iskcondesiretree.com/01_-_Srila_Prabhupada/01_-_Lectures/01_-_English/02_-_Month_wise/06_-_June/17/Walk_1975-06-17_MW-HONOLULU.MP3" TargetMode="External"/><Relationship Id="rId4648" Type="http://schemas.openxmlformats.org/officeDocument/2006/relationships/hyperlink" Target="https://audio.iskcondesiretree.com/01_-_Srila_Prabhupada/01_-_Lectures/01_-_English/01_-_Topic_wise/Srimad_Bhagavatam/Canto-06/SP_SB_6-01-26_Honolulu_1976-05-26_Krishna%27s_Sense_Gratification.mp3" TargetMode="External"/><Relationship Id="rId5976" Type="http://schemas.openxmlformats.org/officeDocument/2006/relationships/hyperlink" Target="https://audio.iskcondesiretree.com/01_-_Srila_Prabhupada/01_-_Lectures/01_-_English/02_-_Month_wise/10_-_October/31/Conv_1977-10-31_R1-VRNDAVAN.MP3" TargetMode="External"/><Relationship Id="rId3316" Type="http://schemas.openxmlformats.org/officeDocument/2006/relationships/hyperlink" Target="https://audio.iskcondesiretree.com/01_-_Srila_Prabhupada/01_-_Lectures/01_-_English/02_-_Month_wise/06_-_June/17/SB_6-01-17_HON_1975-06-17_Happiness-Dance_With_Krishna.mp3" TargetMode="External"/><Relationship Id="rId4647" Type="http://schemas.openxmlformats.org/officeDocument/2006/relationships/hyperlink" Target="https://audio.iskcondesiretree.com/01_-_Srila_Prabhupada/01_-_Lectures/01_-_English/02_-_Month_wise/05_-_May/25/Walk_1976-05-25_MW-HONOLULU.MP3" TargetMode="External"/><Relationship Id="rId5977" Type="http://schemas.openxmlformats.org/officeDocument/2006/relationships/hyperlink" Target="https://audio.iskcondesiretree.com/01_-_Srila_Prabhupada/01_-_Lectures/01_-_English/02_-_Month_wise/10_-_October/31/Conv_1977-10-31_R2-VRNDAVAN.MP3" TargetMode="External"/><Relationship Id="rId3319" Type="http://schemas.openxmlformats.org/officeDocument/2006/relationships/hyperlink" Target="https://audio.iskcondesiretree.com/01_-_Srila_Prabhupada/01_-_Lectures/01_-_English/01_-_Topic_wise/Room_Conversation/SP_Room_Converstion_01_Honolulu_1975-06-18.MP3" TargetMode="External"/><Relationship Id="rId3318" Type="http://schemas.openxmlformats.org/officeDocument/2006/relationships/hyperlink" Target="https://audio.iskcondesiretree.com/01_-_Srila_Prabhupada/01_-_Lectures/01_-_English/01_-_Topic_wise/Morning_Walk/SP_Morning_Walk_-_Honolulu_1975-06-18.MP3" TargetMode="External"/><Relationship Id="rId4649" Type="http://schemas.openxmlformats.org/officeDocument/2006/relationships/hyperlink" Target="https://audio.iskcondesiretree.com/01_-_Srila_Prabhupada/01_-_Lectures/01_-_English/02_-_Month_wise/05_-_May/26/SB-06-01-26_1976-05-26_SB-HONOLULU.MP3" TargetMode="External"/><Relationship Id="rId5970" Type="http://schemas.openxmlformats.org/officeDocument/2006/relationships/hyperlink" Target="https://audio.iskcondesiretree.com/01_-_Srila_Prabhupada/01_-_Lectures/01_-_English/02_-_Month_wise/10_-_October/27/Dictation-SB-10-13-62_1977-10-27_SB-VRNDAVAN.MP3" TargetMode="External"/><Relationship Id="rId5971" Type="http://schemas.openxmlformats.org/officeDocument/2006/relationships/hyperlink" Target="https://audio.iskcondesiretree.com/01_-_Srila_Prabhupada/01_-_Lectures/01_-_English/02_-_Month_wise/10_-_October/28/Conv_1977-10-28_R1-VRNDAVAN.MP3" TargetMode="External"/><Relationship Id="rId4640" Type="http://schemas.openxmlformats.org/officeDocument/2006/relationships/hyperlink" Target="https://audio.iskcondesiretree.com/01_-_Srila_Prabhupada/01_-_Lectures/01_-_English/01_-_Topic_wise/Srimad_Bhagavatam/Canto-06/SP_SB_6-01-24_Honolulu_1976-05-24_Trade_the_Dark_Well_for_Vrindavan_Forest.mp3" TargetMode="External"/><Relationship Id="rId3311" Type="http://schemas.openxmlformats.org/officeDocument/2006/relationships/hyperlink" Target="https://audio.iskcondesiretree.com/01_-_Srila_Prabhupada/01_-_Lectures/01_-_English/02_-_Month_wise/06_-_June/16/Walk_1975-06-16_MW-HONOLULU.MP3" TargetMode="External"/><Relationship Id="rId4642" Type="http://schemas.openxmlformats.org/officeDocument/2006/relationships/hyperlink" Target="https://audio.iskcondesiretree.com/01_-_Srila_Prabhupada/01_-_Lectures/01_-_English/02_-_Month_wise/05_-_May/24/SB-06-01-24_1976-05-24_SB-HONOLULU.MP3" TargetMode="External"/><Relationship Id="rId5974" Type="http://schemas.openxmlformats.org/officeDocument/2006/relationships/hyperlink" Target="https://audio.iskcondesiretree.com/01_-_Srila_Prabhupada/01_-_Lectures/01_-_English/02_-_Month_wise/10_-_October/30/Conv_1977-10-30_R1-VRNDAVAN.MP3" TargetMode="External"/><Relationship Id="rId3310" Type="http://schemas.openxmlformats.org/officeDocument/2006/relationships/hyperlink" Target="https://audio.iskcondesiretree.com/01_-_Srila_Prabhupada/01_-_Lectures/01_-_English/02_-_Month_wise/06_-_June/16/Conv_1975-06-16_R4-HONOLULU.MP3" TargetMode="External"/><Relationship Id="rId4641" Type="http://schemas.openxmlformats.org/officeDocument/2006/relationships/hyperlink" Target="https://audio.iskcondesiretree.com/01_-_Srila_Prabhupada/01_-_Lectures/01_-_English/02_-_Month_wise/05_-_May/24/Conv_1976-05-24_R1-HONOLULU.MP3" TargetMode="External"/><Relationship Id="rId5975" Type="http://schemas.openxmlformats.org/officeDocument/2006/relationships/hyperlink" Target="https://audio.iskcondesiretree.com/01_-_Srila_Prabhupada/01_-_Lectures/01_-_English/02_-_Month_wise/10_-_October/30/Conv_1977-10-30_R2-VRNDAVAN.MP3" TargetMode="External"/><Relationship Id="rId3313" Type="http://schemas.openxmlformats.org/officeDocument/2006/relationships/hyperlink" Target="https://audio.iskcondesiretree.com/01_-_Srila_Prabhupada/01_-_Lectures/01_-_English/01_-_Topic_wise/Room_Conversation/SP_Room_Converstion_01_Honolulu_1975-06-17.MP3" TargetMode="External"/><Relationship Id="rId4644" Type="http://schemas.openxmlformats.org/officeDocument/2006/relationships/hyperlink" Target="https://audio.iskcondesiretree.com/01_-_Srila_Prabhupada/01_-_Lectures/01_-_English/01_-_Topic_wise/Srimad_Bhagavatam/Canto-06/SP_SB_6-01-25_Honolulu_1976-05-25_Hiranyakasipu_vs._Prahlada.mp3" TargetMode="External"/><Relationship Id="rId5972" Type="http://schemas.openxmlformats.org/officeDocument/2006/relationships/hyperlink" Target="https://audio.iskcondesiretree.com/01_-_Srila_Prabhupada/01_-_Lectures/01_-_English/02_-_Month_wise/10_-_October/28/Conv_1977-10-28_R2-VRNDAVAN.MP3" TargetMode="External"/><Relationship Id="rId3312" Type="http://schemas.openxmlformats.org/officeDocument/2006/relationships/hyperlink" Target="https://audio.iskcondesiretree.com/01_-_Srila_Prabhupada/01_-_Lectures/01_-_English/01_-_Topic_wise/Morning_Walk/SP_Morning_Walk_-_Honolulu_1975-06-17.MP3" TargetMode="External"/><Relationship Id="rId4643" Type="http://schemas.openxmlformats.org/officeDocument/2006/relationships/hyperlink" Target="https://audio.iskcondesiretree.com/01_-_Srila_Prabhupada/01_-_Lectures/01_-_English/02_-_Month_wise/05_-_May/24/SB_6-01-24_HON_1976-05-24_Trade_the_Dark_Well_for_VRN_Forest.mp3" TargetMode="External"/><Relationship Id="rId5973" Type="http://schemas.openxmlformats.org/officeDocument/2006/relationships/hyperlink" Target="https://audio.iskcondesiretree.com/01_-_Srila_Prabhupada/01_-_Lectures/01_-_English/02_-_Month_wise/10_-_October/29/Conv_1977-10-29_R1-VRNDAVAN.MP3" TargetMode="External"/><Relationship Id="rId3304" Type="http://schemas.openxmlformats.org/officeDocument/2006/relationships/hyperlink" Target="https://audio.iskcondesiretree.com/01_-_Srila_Prabhupada/01_-_Lectures/01_-_English/01_-_Topic_wise/Room_Conversation/SP_Room_Converstion_02_Honolulu_1975-06-16.MP3" TargetMode="External"/><Relationship Id="rId4635" Type="http://schemas.openxmlformats.org/officeDocument/2006/relationships/hyperlink" Target="https://audio.iskcondesiretree.com/01_-_Srila_Prabhupada/01_-_Lectures/01_-_English/02_-_Month_wise/05_-_May/22/SB-06-01-22_1976-05-22_SB-HONOLULU.MP3" TargetMode="External"/><Relationship Id="rId5967" Type="http://schemas.openxmlformats.org/officeDocument/2006/relationships/hyperlink" Target="https://audio.iskcondesiretree.com/01_-_Srila_Prabhupada/01_-_Lectures/01_-_English/02_-_Month_wise/10_-_October/25/Dictation-SB_1977-10-25_SB-VRNDAVAN.MP3" TargetMode="External"/><Relationship Id="rId3303" Type="http://schemas.openxmlformats.org/officeDocument/2006/relationships/hyperlink" Target="https://audio.iskcondesiretree.com/01_-_Srila_Prabhupada/01_-_Lectures/01_-_English/01_-_Topic_wise/Room_Conversation/SP_Room_Converstion_01_Honolulu_1975-06-16.MP3" TargetMode="External"/><Relationship Id="rId4634" Type="http://schemas.openxmlformats.org/officeDocument/2006/relationships/hyperlink" Target="https://audio.iskcondesiretree.com/01_-_Srila_Prabhupada/01_-_Lectures/01_-_English/01_-_Topic_wise/Srimad_Bhagavatam/Canto-06/SP_SB_6-01-22_Honolulu_1976-05-22_Dancing-dog_Guru_Will_Not_Help.mp3" TargetMode="External"/><Relationship Id="rId5968" Type="http://schemas.openxmlformats.org/officeDocument/2006/relationships/hyperlink" Target="https://audio.iskcondesiretree.com/01_-_Srila_Prabhupada/01_-_Lectures/01_-_English/02_-_Month_wise/10_-_October/26/Conv_1977-10-26_R1-VRNDAVAN.MP3" TargetMode="External"/><Relationship Id="rId3306" Type="http://schemas.openxmlformats.org/officeDocument/2006/relationships/hyperlink" Target="https://audio.iskcondesiretree.com/01_-_Srila_Prabhupada/01_-_Lectures/01_-_English/01_-_Topic_wise/Room_Conversation/SP_Room_Converstion_04_Honolulu_1975-06-16.MP3" TargetMode="External"/><Relationship Id="rId4637" Type="http://schemas.openxmlformats.org/officeDocument/2006/relationships/hyperlink" Target="https://audio.iskcondesiretree.com/01_-_Srila_Prabhupada/01_-_Lectures/01_-_English/01_-_Topic_wise/Srimad_Bhagavatam/Canto-06/SP_SB_6-01-23_Honolulu_1976-05-23_Don%27t_Be_a_Hypocrite.mp3" TargetMode="External"/><Relationship Id="rId5965" Type="http://schemas.openxmlformats.org/officeDocument/2006/relationships/hyperlink" Target="https://audio.iskcondesiretree.com/01_-_Srila_Prabhupada/01_-_Lectures/01_-_English/02_-_Month_wise/10_-_October/24/Conv_1977-10-24_R1-VRNDAVAN.MP3" TargetMode="External"/><Relationship Id="rId3305" Type="http://schemas.openxmlformats.org/officeDocument/2006/relationships/hyperlink" Target="https://audio.iskcondesiretree.com/01_-_Srila_Prabhupada/01_-_Lectures/01_-_English/01_-_Topic_wise/Room_Conversation/SP_Room_Converstion_03_Honolulu_1975-06-16.MP3" TargetMode="External"/><Relationship Id="rId4636" Type="http://schemas.openxmlformats.org/officeDocument/2006/relationships/hyperlink" Target="https://audio.iskcondesiretree.com/01_-_Srila_Prabhupada/01_-_Lectures/01_-_English/02_-_Month_wise/05_-_May/22/SB_6-01-22_HON_1976-05-22_Dancing-dog_Guru_Will_Not_Help.mp3" TargetMode="External"/><Relationship Id="rId5966" Type="http://schemas.openxmlformats.org/officeDocument/2006/relationships/hyperlink" Target="https://audio.iskcondesiretree.com/01_-_Srila_Prabhupada/01_-_Lectures/01_-_English/02_-_Month_wise/10_-_October/25/Conv_1977-10-25_R1-VRNDAVAN.MP3" TargetMode="External"/><Relationship Id="rId3308" Type="http://schemas.openxmlformats.org/officeDocument/2006/relationships/hyperlink" Target="https://audio.iskcondesiretree.com/01_-_Srila_Prabhupada/01_-_Lectures/01_-_English/02_-_Month_wise/06_-_June/16/Conv_1975-06-16_R2-HONOLULU.MP3" TargetMode="External"/><Relationship Id="rId4639" Type="http://schemas.openxmlformats.org/officeDocument/2006/relationships/hyperlink" Target="https://audio.iskcondesiretree.com/01_-_Srila_Prabhupada/01_-_Lectures/01_-_English/02_-_Month_wise/05_-_May/23/SB_6-01-23_HON_1976-05-23_Don%27t_Be_a_Hypocrite.mp3" TargetMode="External"/><Relationship Id="rId3307" Type="http://schemas.openxmlformats.org/officeDocument/2006/relationships/hyperlink" Target="https://audio.iskcondesiretree.com/01_-_Srila_Prabhupada/01_-_Lectures/01_-_English/02_-_Month_wise/06_-_June/16/Conv_1975-06-16_R1-HONOLULU.MP3" TargetMode="External"/><Relationship Id="rId4638" Type="http://schemas.openxmlformats.org/officeDocument/2006/relationships/hyperlink" Target="https://audio.iskcondesiretree.com/01_-_Srila_Prabhupada/01_-_Lectures/01_-_English/02_-_Month_wise/05_-_May/23/SB-06-01-23_1976-05-23_SB-HONOLULU.MP3" TargetMode="External"/><Relationship Id="rId5969" Type="http://schemas.openxmlformats.org/officeDocument/2006/relationships/hyperlink" Target="https://audio.iskcondesiretree.com/01_-_Srila_Prabhupada/01_-_Lectures/01_-_English/02_-_Month_wise/10_-_October/27/Conv_1977-10-27_R1-VRNDAVAN.MP3" TargetMode="External"/><Relationship Id="rId3309" Type="http://schemas.openxmlformats.org/officeDocument/2006/relationships/hyperlink" Target="https://audio.iskcondesiretree.com/01_-_Srila_Prabhupada/01_-_Lectures/01_-_English/02_-_Month_wise/06_-_June/16/Conv_1975-06-16_R3-HONOLULU.MP3" TargetMode="External"/><Relationship Id="rId5960" Type="http://schemas.openxmlformats.org/officeDocument/2006/relationships/hyperlink" Target="https://audio.iskcondesiretree.com/01_-_Srila_Prabhupada/01_-_Lectures/01_-_English/02_-_Month_wise/10_-_October/20/Conv_1977-10-20_R1-VRNDAVAN.MP3" TargetMode="External"/><Relationship Id="rId3300" Type="http://schemas.openxmlformats.org/officeDocument/2006/relationships/hyperlink" Target="https://audio.iskcondesiretree.com/01_-_Srila_Prabhupada/01_-_Lectures/01_-_English/02_-_Month_wise/06_-_June/15/SB_6-01-07_HON_1975-06-15_The_Perfect_Sympathizer.mp3" TargetMode="External"/><Relationship Id="rId4631" Type="http://schemas.openxmlformats.org/officeDocument/2006/relationships/hyperlink" Target="https://audio.iskcondesiretree.com/01_-_Srila_Prabhupada/01_-_Lectures/01_-_English/02_-_Month_wise/05_-_May/21/Conv_1976-05-21_R1-HONOLULU.MP3" TargetMode="External"/><Relationship Id="rId5963" Type="http://schemas.openxmlformats.org/officeDocument/2006/relationships/hyperlink" Target="https://audio.iskcondesiretree.com/01_-_Srila_Prabhupada/01_-_Lectures/01_-_English/02_-_Month_wise/10_-_October/22/Conv_1977-10-22_R1-VRNDAVAN.MP3" TargetMode="External"/><Relationship Id="rId4630" Type="http://schemas.openxmlformats.org/officeDocument/2006/relationships/hyperlink" Target="https://audio.iskcondesiretree.com/01_-_Srila_Prabhupada/01_-_Lectures/01_-_English/01_-_Topic_wise/Srimad_Bhagavatam/Canto-06/SP_SB_6-01-21_Honolulu_1976-05-21_True_Guru.mp3" TargetMode="External"/><Relationship Id="rId5964" Type="http://schemas.openxmlformats.org/officeDocument/2006/relationships/hyperlink" Target="https://audio.iskcondesiretree.com/01_-_Srila_Prabhupada/01_-_Lectures/01_-_English/02_-_Month_wise/10_-_October/22/Dictation-SB_1977-10-22_SB-VRNDAVAN.MP3" TargetMode="External"/><Relationship Id="rId3302" Type="http://schemas.openxmlformats.org/officeDocument/2006/relationships/hyperlink" Target="https://audio.iskcondesiretree.com/01_-_Srila_Prabhupada/01_-_Lectures/01_-_English/01_-_Topic_wise/Morning_Walk/SP_Morning_Walk_-_Honolulu_1975-06-16.MP3" TargetMode="External"/><Relationship Id="rId4633" Type="http://schemas.openxmlformats.org/officeDocument/2006/relationships/hyperlink" Target="https://audio.iskcondesiretree.com/01_-_Srila_Prabhupada/01_-_Lectures/01_-_English/02_-_Month_wise/05_-_May/21/SB_6-01-21_HON_1976-05-21_True_Guru.mp3" TargetMode="External"/><Relationship Id="rId5961" Type="http://schemas.openxmlformats.org/officeDocument/2006/relationships/hyperlink" Target="https://audio.iskcondesiretree.com/01_-_Srila_Prabhupada/01_-_Lectures/01_-_English/02_-_Month_wise/10_-_October/21/Conv_1977-10-21_R1-VRNDAVAN.MP3" TargetMode="External"/><Relationship Id="rId3301" Type="http://schemas.openxmlformats.org/officeDocument/2006/relationships/hyperlink" Target="https://audio.iskcondesiretree.com/01_-_Srila_Prabhupada/01_-_Lectures/01_-_English/02_-_Month_wise/06_-_June/15/Walk_1975-06-15_MW-HONOLULU.MP3" TargetMode="External"/><Relationship Id="rId4632" Type="http://schemas.openxmlformats.org/officeDocument/2006/relationships/hyperlink" Target="https://audio.iskcondesiretree.com/01_-_Srila_Prabhupada/01_-_Lectures/01_-_English/02_-_Month_wise/05_-_May/21/SB-06-01-21_1976-05-21_SB-HONOLULU.MP3" TargetMode="External"/><Relationship Id="rId5962" Type="http://schemas.openxmlformats.org/officeDocument/2006/relationships/hyperlink" Target="https://audio.iskcondesiretree.com/01_-_Srila_Prabhupada/01_-_Lectures/01_-_English/02_-_Month_wise/10_-_October/21/Conv_1977-10-21_R2-VRNDAVAN.MP3" TargetMode="External"/><Relationship Id="rId2005" Type="http://schemas.openxmlformats.org/officeDocument/2006/relationships/hyperlink" Target="https://audio.iskcondesiretree.com/01_-_Srila_Prabhupada/01_-_Lectures/01_-_English/02_-_Month_wise/05_-_May/28/Walk_1974-05-28_MW-ROME.MP3" TargetMode="External"/><Relationship Id="rId3337" Type="http://schemas.openxmlformats.org/officeDocument/2006/relationships/hyperlink" Target="https://audio.iskcondesiretree.com/01_-_Srila_Prabhupada/01_-_Lectures/01_-_English/02_-_Month_wise/06_-_June/21/MW_LA_1975-06-21_Struggling_for_Eternality.mp3" TargetMode="External"/><Relationship Id="rId4668" Type="http://schemas.openxmlformats.org/officeDocument/2006/relationships/hyperlink" Target="https://audio.iskcondesiretree.com/01_-_Srila_Prabhupada/01_-_Lectures/01_-_English/02_-_Month_wise/05_-_May/30/Walk_1976-05-30_MW-HONOLULU.MP3" TargetMode="External"/><Relationship Id="rId2006" Type="http://schemas.openxmlformats.org/officeDocument/2006/relationships/hyperlink" Target="https://audio.iskcondesiretree.com/01_-_Srila_Prabhupada/01_-_Lectures/01_-_English/02_-_Month_wise/05_-_May/29/Walk_1974-05-29_MW-ROME.MP3" TargetMode="External"/><Relationship Id="rId3336" Type="http://schemas.openxmlformats.org/officeDocument/2006/relationships/hyperlink" Target="https://audio.iskcondesiretree.com/01_-_Srila_Prabhupada/01_-_Lectures/01_-_English/01_-_Topic_wise/Srimad_Bhagavatam/Canto-06/SP_SB_6-01-08_Los_Angeles_1975-06-21_A_Vaisnavas_Concern.mp3" TargetMode="External"/><Relationship Id="rId4667" Type="http://schemas.openxmlformats.org/officeDocument/2006/relationships/hyperlink" Target="https://audio.iskcondesiretree.com/01_-_Srila_Prabhupada/01_-_Lectures/01_-_English/02_-_Month_wise/05_-_May/30/SB_6-01-31_HON_1976-05-30_Krishna%2C_Kindly_Marry_Us.mp3" TargetMode="External"/><Relationship Id="rId2007" Type="http://schemas.openxmlformats.org/officeDocument/2006/relationships/hyperlink" Target="https://audio.iskcondesiretree.com/01_-_Srila_Prabhupada/01_-_Lectures/01_-_English/01_-_Topic_wise/Morning_Walk/SP_Morning_Walk_-_Geneva_1974-05-30_Free_to_Enjoy.mp3" TargetMode="External"/><Relationship Id="rId3339" Type="http://schemas.openxmlformats.org/officeDocument/2006/relationships/hyperlink" Target="https://audio.iskcondesiretree.com/01_-_Srila_Prabhupada/01_-_Lectures/01_-_English/02_-_Month_wise/06_-_June/21/SB_6-01-08_LA_1975-06-21_A_Vaisnavas_Concern.mp3" TargetMode="External"/><Relationship Id="rId5998" Type="http://schemas.openxmlformats.org/officeDocument/2006/relationships/hyperlink" Target="https://audio.iskcondesiretree.com/01_-_Srila_Prabhupada/01_-_Lectures/01_-_English/02_-_Month_wise/11_-_November/05/Conv_1977-11-05_R3-VRNDAVAN.MP3" TargetMode="External"/><Relationship Id="rId2008" Type="http://schemas.openxmlformats.org/officeDocument/2006/relationships/hyperlink" Target="https://audio.iskcondesiretree.com/01_-_Srila_Prabhupada/01_-_Lectures/01_-_English/01_-_Topic_wise/Morning_Walk/SP_Morning_Walk_-_Rome_1974-05-30.mp3" TargetMode="External"/><Relationship Id="rId3338" Type="http://schemas.openxmlformats.org/officeDocument/2006/relationships/hyperlink" Target="https://audio.iskcondesiretree.com/01_-_Srila_Prabhupada/01_-_Lectures/01_-_English/02_-_Month_wise/06_-_June/21/SB-06-01-08_1975-06-21_SB-LOS%20ANGELES.MP3" TargetMode="External"/><Relationship Id="rId4669" Type="http://schemas.openxmlformats.org/officeDocument/2006/relationships/hyperlink" Target="https://audio.iskcondesiretree.com/01_-_Srila_Prabhupada/01_-_Lectures/01_-_English/01_-_Topic_wise/Srimad_Bhagavatam/Canto-06/SP_SB_6-01-32_Honolulu_1976-05-31_Everything_working--etc.mp3" TargetMode="External"/><Relationship Id="rId5999" Type="http://schemas.openxmlformats.org/officeDocument/2006/relationships/hyperlink" Target="https://audio.iskcondesiretree.com/01_-_Srila_Prabhupada/01_-_Lectures/01_-_English/02_-_Month_wise/11_-_November/05/Conv_1977-11-05_R4-VRNDAVAN.MP3" TargetMode="External"/><Relationship Id="rId2009" Type="http://schemas.openxmlformats.org/officeDocument/2006/relationships/hyperlink" Target="https://audio.iskcondesiretree.com/01_-_Srila_Prabhupada/01_-_Lectures/01_-_English/01_-_Topic_wise/Various/SP_Lecture_Geneva_1974-05-30_I_See_the_Spirit_Soul.mp3" TargetMode="External"/><Relationship Id="rId4660" Type="http://schemas.openxmlformats.org/officeDocument/2006/relationships/hyperlink" Target="https://audio.iskcondesiretree.com/01_-_Srila_Prabhupada/01_-_Lectures/01_-_English/01_-_Topic_wise/Srimad_Bhagavatam/Canto-06/SP_SB_6-01-30_Honolulu_1976-05-29_He%27s_Chanting_Narayana_Take_Him.mp3" TargetMode="External"/><Relationship Id="rId5992" Type="http://schemas.openxmlformats.org/officeDocument/2006/relationships/hyperlink" Target="https://audio.iskcondesiretree.com/01_-_Srila_Prabhupada/01_-_Lectures/01_-_English/02_-_Month_wise/11_-_November/03/Conv_1977-11-03_R6-VRNDAVAN.MP3" TargetMode="External"/><Relationship Id="rId5993" Type="http://schemas.openxmlformats.org/officeDocument/2006/relationships/hyperlink" Target="https://audio.iskcondesiretree.com/01_-_Srila_Prabhupada/01_-_Lectures/01_-_English/02_-_Month_wise/11_-_November/03/Conv_1977-11-03_R7-VRNDAVAN.MP3" TargetMode="External"/><Relationship Id="rId3331" Type="http://schemas.openxmlformats.org/officeDocument/2006/relationships/hyperlink" Target="https://audio.iskcondesiretree.com/01_-_Srila_Prabhupada/01_-_Lectures/01_-_English/02_-_Month_wise/06_-_June/20/Arrival_1975-06-20_AR-LOS%20ANGELES.MP3" TargetMode="External"/><Relationship Id="rId4662" Type="http://schemas.openxmlformats.org/officeDocument/2006/relationships/hyperlink" Target="https://audio.iskcondesiretree.com/01_-_Srila_Prabhupada/01_-_Lectures/01_-_English/02_-_Month_wise/05_-_May/29/SB_6-01-30_HON_1976-05-29_He%27s_Chanting_Narayana_Take_Him.mp3" TargetMode="External"/><Relationship Id="rId5990" Type="http://schemas.openxmlformats.org/officeDocument/2006/relationships/hyperlink" Target="https://audio.iskcondesiretree.com/01_-_Srila_Prabhupada/01_-_Lectures/01_-_English/02_-_Month_wise/11_-_November/03/Conv_1977-11-03_R4-VRNDAVAN.MP3" TargetMode="External"/><Relationship Id="rId2000" Type="http://schemas.openxmlformats.org/officeDocument/2006/relationships/hyperlink" Target="https://audio.iskcondesiretree.com/01_-_Srila_Prabhupada/01_-_Lectures/01_-_English/01_-_Topic_wise/Srimad_Bhagavatam/Canto-01/SP_SB_1-02-04_Rome_1974-05-28_%27Riverside--etc.mp3" TargetMode="External"/><Relationship Id="rId3330" Type="http://schemas.openxmlformats.org/officeDocument/2006/relationships/hyperlink" Target="https://audio.iskcondesiretree.com/01_-_Srila_Prabhupada/01_-_Lectures/01_-_English/02_-_Month_wise/06_-_June/20/Arrival_1975-06-20_A2-LOS%20ANGELES.MP3" TargetMode="External"/><Relationship Id="rId4661" Type="http://schemas.openxmlformats.org/officeDocument/2006/relationships/hyperlink" Target="https://audio.iskcondesiretree.com/01_-_Srila_Prabhupada/01_-_Lectures/01_-_English/02_-_Month_wise/05_-_May/29/SB-06-01-30_1976-05-29_SB-HONOLULU.MP3" TargetMode="External"/><Relationship Id="rId5991" Type="http://schemas.openxmlformats.org/officeDocument/2006/relationships/hyperlink" Target="https://audio.iskcondesiretree.com/01_-_Srila_Prabhupada/01_-_Lectures/01_-_English/02_-_Month_wise/11_-_November/03/Conv_1977-11-03_R5-VRNDAVAN.MP3" TargetMode="External"/><Relationship Id="rId2001" Type="http://schemas.openxmlformats.org/officeDocument/2006/relationships/hyperlink" Target="https://audio.iskcondesiretree.com/01_-_Srila_Prabhupada/01_-_Lectures/01_-_English/01_-_Topic_wise/Srimad_Bhagavatam/Canto-01/SP_SB_1-02-04_Rome_1974-05-28_Riverside--etc.mp3" TargetMode="External"/><Relationship Id="rId3333" Type="http://schemas.openxmlformats.org/officeDocument/2006/relationships/hyperlink" Target="https://audio.iskcondesiretree.com/01_-_Srila_Prabhupada/01_-_Lectures/01_-_English/02_-_Month_wise/06_-_June/20/Departure_1975-06-20_DP-HONOLULU.MP3" TargetMode="External"/><Relationship Id="rId4664" Type="http://schemas.openxmlformats.org/officeDocument/2006/relationships/hyperlink" Target="https://audio.iskcondesiretree.com/01_-_Srila_Prabhupada/01_-_Lectures/01_-_English/01_-_Topic_wise/Srimad_Bhagavatam/Canto-06/SP_SB_6-01-31_Honolulu_1976-05-30_Krishna_Kindly_Marry_Us.mp3" TargetMode="External"/><Relationship Id="rId5996" Type="http://schemas.openxmlformats.org/officeDocument/2006/relationships/hyperlink" Target="https://audio.iskcondesiretree.com/01_-_Srila_Prabhupada/01_-_Lectures/01_-_English/02_-_Month_wise/11_-_November/05/Conv_1977-11-05_R1-VRNDAVAN.MP3" TargetMode="External"/><Relationship Id="rId2002" Type="http://schemas.openxmlformats.org/officeDocument/2006/relationships/hyperlink" Target="https://audio.iskcondesiretree.com/01_-_Srila_Prabhupada/01_-_Lectures/01_-_English/02_-_Month_wise/05_-_May/28/MW_ROM_1974-05-28_Stick_to_Your_Principles_People_Will_Come.mp3" TargetMode="External"/><Relationship Id="rId3332" Type="http://schemas.openxmlformats.org/officeDocument/2006/relationships/hyperlink" Target="https://audio.iskcondesiretree.com/01_-_Srila_Prabhupada/01_-_Lectures/01_-_English/02_-_Month_wise/06_-_June/20/Conv_1975-06-20_CR-HONOLULU.MP3" TargetMode="External"/><Relationship Id="rId4663" Type="http://schemas.openxmlformats.org/officeDocument/2006/relationships/hyperlink" Target="https://audio.iskcondesiretree.com/01_-_Srila_Prabhupada/01_-_Lectures/01_-_English/02_-_Month_wise/05_-_May/29/Walk_1976-05-29_MW-HONOLULU.MP3" TargetMode="External"/><Relationship Id="rId5997" Type="http://schemas.openxmlformats.org/officeDocument/2006/relationships/hyperlink" Target="https://audio.iskcondesiretree.com/01_-_Srila_Prabhupada/01_-_Lectures/01_-_English/02_-_Month_wise/11_-_November/05/Conv_1977-11-05_R2-VRNDAVAN.MP3" TargetMode="External"/><Relationship Id="rId2003" Type="http://schemas.openxmlformats.org/officeDocument/2006/relationships/hyperlink" Target="https://audio.iskcondesiretree.com/01_-_Srila_Prabhupada/01_-_Lectures/01_-_English/02_-_Month_wise/05_-_May/28/SB-01-02-04_1974-05-28_SB-ROME.MP3" TargetMode="External"/><Relationship Id="rId3335" Type="http://schemas.openxmlformats.org/officeDocument/2006/relationships/hyperlink" Target="https://audio.iskcondesiretree.com/01_-_Srila_Prabhupada/01_-_Lectures/01_-_English/01_-_Topic_wise/Morning_Walk/SP_Morning_Walk_-_Los_Angeles_1975-06-21_Struggling_for_Eternality.mp3" TargetMode="External"/><Relationship Id="rId4666" Type="http://schemas.openxmlformats.org/officeDocument/2006/relationships/hyperlink" Target="https://audio.iskcondesiretree.com/01_-_Srila_Prabhupada/01_-_Lectures/01_-_English/02_-_Month_wise/05_-_May/30/SB-06-01-31_1976-05-30_SB-HONOLULU.MP3" TargetMode="External"/><Relationship Id="rId5994" Type="http://schemas.openxmlformats.org/officeDocument/2006/relationships/hyperlink" Target="https://audio.iskcondesiretree.com/01_-_Srila_Prabhupada/01_-_Lectures/01_-_English/02_-_Month_wise/11_-_November/03/Conv_1977-11-03_R8-VRNDAVAN.MP3" TargetMode="External"/><Relationship Id="rId2004" Type="http://schemas.openxmlformats.org/officeDocument/2006/relationships/hyperlink" Target="https://audio.iskcondesiretree.com/01_-_Srila_Prabhupada/01_-_Lectures/01_-_English/02_-_Month_wise/05_-_May/28/SB_1-02-04_ROM_1974-05-28_Riverside_etc.mp3" TargetMode="External"/><Relationship Id="rId3334" Type="http://schemas.openxmlformats.org/officeDocument/2006/relationships/hyperlink" Target="https://audio.iskcondesiretree.com/01_-_Srila_Prabhupada/01_-_Lectures/01_-_English/02_-_Month_wise/06_-_June/20/RC_LA_1975-06-20_These_Are_Krishna%27s_Books.mp3" TargetMode="External"/><Relationship Id="rId4665" Type="http://schemas.openxmlformats.org/officeDocument/2006/relationships/hyperlink" Target="https://audio.iskcondesiretree.com/01_-_Srila_Prabhupada/01_-_Lectures/01_-_English/02_-_Month_wise/05_-_May/30/Conv_1976-05-30_R1-HONOLULU.MP3" TargetMode="External"/><Relationship Id="rId5995" Type="http://schemas.openxmlformats.org/officeDocument/2006/relationships/hyperlink" Target="https://audio.iskcondesiretree.com/01_-_Srila_Prabhupada/01_-_Lectures/01_-_English/02_-_Month_wise/11_-_November/04/Conv_1977-11-04_R1-VRNDAVAN.MP3" TargetMode="External"/><Relationship Id="rId3326" Type="http://schemas.openxmlformats.org/officeDocument/2006/relationships/hyperlink" Target="https://audio.iskcondesiretree.com/01_-_Srila_Prabhupada/01_-_Lectures/01_-_English/01_-_Topic_wise/Departure_Address/SP_Departure_Lecture_Honolulu_1975-06-20.MP3" TargetMode="External"/><Relationship Id="rId4657" Type="http://schemas.openxmlformats.org/officeDocument/2006/relationships/hyperlink" Target="https://audio.iskcondesiretree.com/01_-_Srila_Prabhupada/01_-_Lectures/01_-_English/02_-_Month_wise/05_-_May/28/SB-06-01-28%E2%80%9329_1976-05-28_SB-HONOLULU.MP3" TargetMode="External"/><Relationship Id="rId5989" Type="http://schemas.openxmlformats.org/officeDocument/2006/relationships/hyperlink" Target="https://audio.iskcondesiretree.com/01_-_Srila_Prabhupada/01_-_Lectures/01_-_English/02_-_Month_wise/11_-_November/03/Conv_1977-11-03_R3-VRNDAVAN.MP3" TargetMode="External"/><Relationship Id="rId3325" Type="http://schemas.openxmlformats.org/officeDocument/2006/relationships/hyperlink" Target="https://audio.iskcondesiretree.com/01_-_Srila_Prabhupada/01_-_Lectures/01_-_English/01_-_Topic_wise/Arrival_Address/SP_Arrival_Los_Angeles_1975-06-20_Kindly_Help_Me.mp3" TargetMode="External"/><Relationship Id="rId4656" Type="http://schemas.openxmlformats.org/officeDocument/2006/relationships/hyperlink" Target="https://audio.iskcondesiretree.com/01_-_Srila_Prabhupada/01_-_Lectures/01_-_English/01_-_Topic_wise/Srimad_Bhagavatam/Canto-06/SP_SB_6-01-28_Honolulu_1976-05-28_Killing_the_Soul.mp3" TargetMode="External"/><Relationship Id="rId3328" Type="http://schemas.openxmlformats.org/officeDocument/2006/relationships/hyperlink" Target="https://audio.iskcondesiretree.com/01_-_Srila_Prabhupada/01_-_Lectures/01_-_English/01_-_Topic_wise/Various/SP_Car_Conversation_Honolulu_1975-06-20.MP3" TargetMode="External"/><Relationship Id="rId4659" Type="http://schemas.openxmlformats.org/officeDocument/2006/relationships/hyperlink" Target="https://audio.iskcondesiretree.com/01_-_Srila_Prabhupada/01_-_Lectures/01_-_English/02_-_Month_wise/05_-_May/28/Walk_1976-05-28_MW-HONOLULU.MP3" TargetMode="External"/><Relationship Id="rId5987" Type="http://schemas.openxmlformats.org/officeDocument/2006/relationships/hyperlink" Target="https://audio.iskcondesiretree.com/01_-_Srila_Prabhupada/01_-_Lectures/01_-_English/02_-_Month_wise/11_-_November/03/Conv_1977-11-03_R1-VRNDAVAN.MP3" TargetMode="External"/><Relationship Id="rId3327" Type="http://schemas.openxmlformats.org/officeDocument/2006/relationships/hyperlink" Target="https://audio.iskcondesiretree.com/01_-_Srila_Prabhupada/01_-_Lectures/01_-_English/01_-_Topic_wise/Room_Conversation/SP_Room_Conversation_Los_Angeles_1975-06-20_These_Are_Krishna%27s_Books.mp3" TargetMode="External"/><Relationship Id="rId4658" Type="http://schemas.openxmlformats.org/officeDocument/2006/relationships/hyperlink" Target="https://audio.iskcondesiretree.com/01_-_Srila_Prabhupada/01_-_Lectures/01_-_English/02_-_Month_wise/05_-_May/28/SB_6-01-28_HON_1976-05-28_Killing_the_Soul.mp3" TargetMode="External"/><Relationship Id="rId5988" Type="http://schemas.openxmlformats.org/officeDocument/2006/relationships/hyperlink" Target="https://audio.iskcondesiretree.com/01_-_Srila_Prabhupada/01_-_Lectures/01_-_English/02_-_Month_wise/11_-_November/03/Conv_1977-11-03_R2-VRNDAVAN.MP3" TargetMode="External"/><Relationship Id="rId3329" Type="http://schemas.openxmlformats.org/officeDocument/2006/relationships/hyperlink" Target="https://audio.iskcondesiretree.com/01_-_Srila_Prabhupada/01_-_Lectures/01_-_English/02_-_Month_wise/06_-_June/20/Arr_LA_1975-06-20_Kindly_Help_Me.mp3" TargetMode="External"/><Relationship Id="rId5981" Type="http://schemas.openxmlformats.org/officeDocument/2006/relationships/hyperlink" Target="https://audio.iskcondesiretree.com/01_-_Srila_Prabhupada/01_-_Lectures/01_-_English/02_-_Month_wise/11_-_November/02/Conv_1977-11-02_R3-VRNDAVAN.MP3" TargetMode="External"/><Relationship Id="rId5982" Type="http://schemas.openxmlformats.org/officeDocument/2006/relationships/hyperlink" Target="https://audio.iskcondesiretree.com/01_-_Srila_Prabhupada/01_-_Lectures/01_-_English/02_-_Month_wise/11_-_November/02/Conv_1977-11-02_R4-VRNDAVAN.MP3" TargetMode="External"/><Relationship Id="rId3320" Type="http://schemas.openxmlformats.org/officeDocument/2006/relationships/hyperlink" Target="https://audio.iskcondesiretree.com/01_-_Srila_Prabhupada/01_-_Lectures/01_-_English/02_-_Month_wise/06_-_June/18/Conv_1975-06-18_R1-HONOLULU.MP3" TargetMode="External"/><Relationship Id="rId4651" Type="http://schemas.openxmlformats.org/officeDocument/2006/relationships/hyperlink" Target="https://audio.iskcondesiretree.com/01_-_Srila_Prabhupada/01_-_Lectures/01_-_English/02_-_Month_wise/05_-_May/26/Walk_1976-05-26_MW-HONOLULU.MP3" TargetMode="External"/><Relationship Id="rId4650" Type="http://schemas.openxmlformats.org/officeDocument/2006/relationships/hyperlink" Target="https://audio.iskcondesiretree.com/01_-_Srila_Prabhupada/01_-_Lectures/01_-_English/02_-_Month_wise/05_-_May/26/SB_6-01-26_HON_1976-05-26_Krishna%27s_Sense_Gratification.mp3" TargetMode="External"/><Relationship Id="rId5980" Type="http://schemas.openxmlformats.org/officeDocument/2006/relationships/hyperlink" Target="https://audio.iskcondesiretree.com/01_-_Srila_Prabhupada/01_-_Lectures/01_-_English/02_-_Month_wise/11_-_November/02/Conv_1977-11-02_R2-VRNDAVAN.MP3" TargetMode="External"/><Relationship Id="rId3322" Type="http://schemas.openxmlformats.org/officeDocument/2006/relationships/hyperlink" Target="https://audio.iskcondesiretree.com/01_-_Srila_Prabhupada/01_-_Lectures/01_-_English/01_-_Topic_wise/Morning_Walk/SP_Morning_Walk_-_Honolulu_1975-06-19.MP3" TargetMode="External"/><Relationship Id="rId4653" Type="http://schemas.openxmlformats.org/officeDocument/2006/relationships/hyperlink" Target="https://audio.iskcondesiretree.com/01_-_Srila_Prabhupada/01_-_Lectures/01_-_English/02_-_Month_wise/05_-_May/27/SB-06-01-27_1976-05-27_SB-HONOLULU.MP3" TargetMode="External"/><Relationship Id="rId5985" Type="http://schemas.openxmlformats.org/officeDocument/2006/relationships/hyperlink" Target="https://audio.iskcondesiretree.com/01_-_Srila_Prabhupada/01_-_Lectures/01_-_English/02_-_Month_wise/11_-_November/02/Conv_1977-11-02_R7-VRNDAVAN.MP3" TargetMode="External"/><Relationship Id="rId3321" Type="http://schemas.openxmlformats.org/officeDocument/2006/relationships/hyperlink" Target="https://audio.iskcondesiretree.com/01_-_Srila_Prabhupada/01_-_Lectures/01_-_English/02_-_Month_wise/06_-_June/18/Walk_1975-06-18_MW-HONOLULU.MP3" TargetMode="External"/><Relationship Id="rId4652" Type="http://schemas.openxmlformats.org/officeDocument/2006/relationships/hyperlink" Target="https://audio.iskcondesiretree.com/01_-_Srila_Prabhupada/01_-_Lectures/01_-_English/01_-_Topic_wise/Srimad_Bhagavatam/Canto-06/SP_SB_6-01-27_Honolulu_1976-05-27_God_Is_Not_Dead-You_Are_Dead.mp3" TargetMode="External"/><Relationship Id="rId5986" Type="http://schemas.openxmlformats.org/officeDocument/2006/relationships/hyperlink" Target="https://audio.iskcondesiretree.com/01_-_Srila_Prabhupada/01_-_Lectures/01_-_English/02_-_Month_wise/11_-_November/02/Conv_1977-11-02_R8-VRNDAVAN.MP3" TargetMode="External"/><Relationship Id="rId3324" Type="http://schemas.openxmlformats.org/officeDocument/2006/relationships/hyperlink" Target="https://audio.iskcondesiretree.com/01_-_Srila_Prabhupada/01_-_Lectures/01_-_English/01_-_Topic_wise/Arrival_Address/SP_Arrival_Lecture_Los_Angeles_1975-06-20.MP3" TargetMode="External"/><Relationship Id="rId4655" Type="http://schemas.openxmlformats.org/officeDocument/2006/relationships/hyperlink" Target="https://audio.iskcondesiretree.com/01_-_Srila_Prabhupada/01_-_Lectures/01_-_English/02_-_Month_wise/05_-_May/27/Walk_1976-05-27_MW-HONOLULU.MP3" TargetMode="External"/><Relationship Id="rId5983" Type="http://schemas.openxmlformats.org/officeDocument/2006/relationships/hyperlink" Target="https://audio.iskcondesiretree.com/01_-_Srila_Prabhupada/01_-_Lectures/01_-_English/02_-_Month_wise/11_-_November/02/Conv_1977-11-02_R5-VRNDAVAN.MP3" TargetMode="External"/><Relationship Id="rId3323" Type="http://schemas.openxmlformats.org/officeDocument/2006/relationships/hyperlink" Target="https://audio.iskcondesiretree.com/01_-_Srila_Prabhupada/01_-_Lectures/01_-_English/02_-_Month_wise/06_-_June/19/Walk_1975-06-19_MW-HONOLULU.MP3" TargetMode="External"/><Relationship Id="rId4654" Type="http://schemas.openxmlformats.org/officeDocument/2006/relationships/hyperlink" Target="https://audio.iskcondesiretree.com/01_-_Srila_Prabhupada/01_-_Lectures/01_-_English/02_-_Month_wise/05_-_May/27/SB_6-01-27_HON_1976-05-27_God_Is_Not_Dead-You_Are_Dead.mp3" TargetMode="External"/><Relationship Id="rId5984" Type="http://schemas.openxmlformats.org/officeDocument/2006/relationships/hyperlink" Target="https://audio.iskcondesiretree.com/01_-_Srila_Prabhupada/01_-_Lectures/01_-_English/02_-_Month_wise/11_-_November/02/Conv_1977-11-02_R6-VRNDAVAN.MP3" TargetMode="External"/><Relationship Id="rId2090" Type="http://schemas.openxmlformats.org/officeDocument/2006/relationships/hyperlink" Target="https://audio.iskcondesiretree.com/01_-_Srila_Prabhupada/01_-_Lectures/01_-_English/01_-_Topic_wise/Morning_Walk/SP_Morning_Walk_-_Paris_1974-06-11_Krishna-Background_of_Courage.mp3" TargetMode="External"/><Relationship Id="rId2091" Type="http://schemas.openxmlformats.org/officeDocument/2006/relationships/hyperlink" Target="https://audio.iskcondesiretree.com/01_-_Srila_Prabhupada/01_-_Lectures/01_-_English/01_-_Topic_wise/Room_Conversation/SP_Room_Conversation_Paris_1974-06-11_Let_Cows_Die_Naturally.mp3" TargetMode="External"/><Relationship Id="rId2092" Type="http://schemas.openxmlformats.org/officeDocument/2006/relationships/hyperlink" Target="https://audio.iskcondesiretree.com/01_-_Srila_Prabhupada/01_-_Lectures/01_-_English/01_-_Topic_wise/Room_Conversation/SP_Room_Conversation_Paris_1974-06-11_Slaughterhouse_Civilization.mp3" TargetMode="External"/><Relationship Id="rId2093" Type="http://schemas.openxmlformats.org/officeDocument/2006/relationships/hyperlink" Target="https://audio.iskcondesiretree.com/01_-_Srila_Prabhupada/01_-_Lectures/01_-_English/01_-_Topic_wise/Srimad_Bhagavatam/Canto-02/SP_SB_2-01-02_Paris_1974-06-11_From_One_Garbage_Body_to_Another.mp3" TargetMode="External"/><Relationship Id="rId2094" Type="http://schemas.openxmlformats.org/officeDocument/2006/relationships/hyperlink" Target="https://audio.iskcondesiretree.com/01_-_Srila_Prabhupada/01_-_Lectures/01_-_English/02_-_Month_wise/06_-_June/11/Conv_1974-06-11_R1-PARIS.MP3" TargetMode="External"/><Relationship Id="rId2095" Type="http://schemas.openxmlformats.org/officeDocument/2006/relationships/hyperlink" Target="https://audio.iskcondesiretree.com/01_-_Srila_Prabhupada/01_-_Lectures/01_-_English/02_-_Month_wise/06_-_June/11/MW_PAR_1974-06-11_Krishna-Background_of_Courage.mp3" TargetMode="External"/><Relationship Id="rId2096" Type="http://schemas.openxmlformats.org/officeDocument/2006/relationships/hyperlink" Target="https://audio.iskcondesiretree.com/01_-_Srila_Prabhupada/01_-_Lectures/01_-_English/02_-_Month_wise/06_-_June/11/RC_PAR_1974-06-11_Let_Cows_Die_Naturally.mp3" TargetMode="External"/><Relationship Id="rId2097" Type="http://schemas.openxmlformats.org/officeDocument/2006/relationships/hyperlink" Target="https://audio.iskcondesiretree.com/01_-_Srila_Prabhupada/01_-_Lectures/01_-_English/02_-_Month_wise/06_-_June/11/RC_PAR_1974-06-11_Slaughterhouse_Civilization.mp3" TargetMode="External"/><Relationship Id="rId2098" Type="http://schemas.openxmlformats.org/officeDocument/2006/relationships/hyperlink" Target="https://audio.iskcondesiretree.com/01_-_Srila_Prabhupada/01_-_Lectures/01_-_English/02_-_Month_wise/06_-_June/11/SB-02-01-02_1974-06-11_SB-PARIS.MP3" TargetMode="External"/><Relationship Id="rId2099" Type="http://schemas.openxmlformats.org/officeDocument/2006/relationships/hyperlink" Target="https://audio.iskcondesiretree.com/01_-_Srila_Prabhupada/01_-_Lectures/01_-_English/02_-_Month_wise/06_-_June/11/SB_2-01-02_PAR_1974-06-11_From_One_Garbage_Body_to_Another.mp3" TargetMode="External"/><Relationship Id="rId3391" Type="http://schemas.openxmlformats.org/officeDocument/2006/relationships/hyperlink" Target="https://audio.iskcondesiretree.com/01_-_Srila_Prabhupada/01_-_Lectures/01_-_English/01_-_Topic_wise/Srimad_Bhagavatam/Canto-06/SP_SB_6-01-15_Denver_1975-06-28_The_Whole_Material_World_is--etc.mp3" TargetMode="External"/><Relationship Id="rId2060" Type="http://schemas.openxmlformats.org/officeDocument/2006/relationships/hyperlink" Target="https://audio.iskcondesiretree.com/01_-_Srila_Prabhupada/01_-_Lectures/01_-_English/02_-_Month_wise/06_-_June/05/RC_GEN_1974-06-05_Protestant_Leaders_Love_God_Love_etc.mp3" TargetMode="External"/><Relationship Id="rId3390" Type="http://schemas.openxmlformats.org/officeDocument/2006/relationships/hyperlink" Target="https://audio.iskcondesiretree.com/01_-_Srila_Prabhupada/01_-_Lectures/01_-_English/01_-_Topic_wise/Morning_Walk/SP_Morning_Walk_-_Denver_1975-06-28_Dog_Race_in_a_Dangerous_Place.mp3" TargetMode="External"/><Relationship Id="rId2061" Type="http://schemas.openxmlformats.org/officeDocument/2006/relationships/hyperlink" Target="https://audio.iskcondesiretree.com/01_-_Srila_Prabhupada/01_-_Lectures/01_-_English/02_-_Month_wise/06_-_June/05/Walk_1974-06-05_MW-GENEVA.MP3" TargetMode="External"/><Relationship Id="rId3393" Type="http://schemas.openxmlformats.org/officeDocument/2006/relationships/hyperlink" Target="https://audio.iskcondesiretree.com/01_-_Srila_Prabhupada/01_-_Lectures/01_-_English/02_-_Month_wise/06_-_June/28/SB-06-01-15_1975-06-28_SB-DENVER.MP3" TargetMode="External"/><Relationship Id="rId2062" Type="http://schemas.openxmlformats.org/officeDocument/2006/relationships/hyperlink" Target="https://audio.iskcondesiretree.com/01_-_Srila_Prabhupada/01_-_Lectures/01_-_English/01_-_Topic_wise/Bhagavad_Gita/Chapter-13/SP_BG_13-35_Geneva_1974-06-06_Food_and_Freedom.mp3" TargetMode="External"/><Relationship Id="rId3392" Type="http://schemas.openxmlformats.org/officeDocument/2006/relationships/hyperlink" Target="https://audio.iskcondesiretree.com/01_-_Srila_Prabhupada/01_-_Lectures/01_-_English/02_-_Month_wise/06_-_June/28/MW_DEN_1975-06-28_Dog_Race_in_a_Dangerous_Place.mp3" TargetMode="External"/><Relationship Id="rId2063" Type="http://schemas.openxmlformats.org/officeDocument/2006/relationships/hyperlink" Target="https://audio.iskcondesiretree.com/01_-_Srila_Prabhupada/01_-_Lectures/01_-_English/01_-_Topic_wise/Morning_Walk/SP_Morning_Walk_-_Geneva_1974-06-06_One_Machine_Makes_100_Men_Unemployed.mp3" TargetMode="External"/><Relationship Id="rId3395" Type="http://schemas.openxmlformats.org/officeDocument/2006/relationships/hyperlink" Target="https://audio.iskcondesiretree.com/01_-_Srila_Prabhupada/01_-_Lectures/01_-_English/02_-_Month_wise/06_-_June/28/Walk_1975-06-28_MW-DENVER.MP3" TargetMode="External"/><Relationship Id="rId2064" Type="http://schemas.openxmlformats.org/officeDocument/2006/relationships/hyperlink" Target="https://audio.iskcondesiretree.com/01_-_Srila_Prabhupada/01_-_Lectures/01_-_English/01_-_Topic_wise/Various/SP_Lecture_Geneva_1974-06-06_To_World_Health--etc.mp3" TargetMode="External"/><Relationship Id="rId3394" Type="http://schemas.openxmlformats.org/officeDocument/2006/relationships/hyperlink" Target="https://audio.iskcondesiretree.com/01_-_Srila_Prabhupada/01_-_Lectures/01_-_English/02_-_Month_wise/06_-_June/28/SB_6-01-15_DEN_1975-06-28_The_Whole_Material_World_is_etc.mp3" TargetMode="External"/><Relationship Id="rId2065" Type="http://schemas.openxmlformats.org/officeDocument/2006/relationships/hyperlink" Target="https://audio.iskcondesiretree.com/01_-_Srila_Prabhupada/01_-_Lectures/01_-_English/02_-_Month_wise/06_-_June/06/Bg-13-35_1974-06-06_BG-GENEVA.MP3" TargetMode="External"/><Relationship Id="rId3397" Type="http://schemas.openxmlformats.org/officeDocument/2006/relationships/hyperlink" Target="https://audio.iskcondesiretree.com/01_-_Srila_Prabhupada/01_-_Lectures/01_-_English/01_-_Topic_wise/Srimad_Bhagavatam/Canto-01/SP_SB_1-2-6_Denver_1975-06-29_Sunday_Feast_Lecture.MP3" TargetMode="External"/><Relationship Id="rId2066" Type="http://schemas.openxmlformats.org/officeDocument/2006/relationships/hyperlink" Target="https://audio.iskcondesiretree.com/01_-_Srila_Prabhupada/01_-_Lectures/01_-_English/02_-_Month_wise/06_-_June/06/Bg_13-35_GEN_1974-06-06_Food_and_Freedom.mp3" TargetMode="External"/><Relationship Id="rId3396" Type="http://schemas.openxmlformats.org/officeDocument/2006/relationships/hyperlink" Target="https://audio.iskcondesiretree.com/01_-_Srila_Prabhupada/01_-_Lectures/01_-_English/01_-_Topic_wise/Morning_Walk/SP_Morning_Walk_-_Denver_1975-06-29_With_Less_Labor_Back_to_Godhead.mp3" TargetMode="External"/><Relationship Id="rId2067" Type="http://schemas.openxmlformats.org/officeDocument/2006/relationships/hyperlink" Target="https://audio.iskcondesiretree.com/01_-_Srila_Prabhupada/01_-_Lectures/01_-_English/02_-_Month_wise/06_-_June/06/Lect_GEN_1974-06-06_To_World_Health_etc.mp3" TargetMode="External"/><Relationship Id="rId3399" Type="http://schemas.openxmlformats.org/officeDocument/2006/relationships/hyperlink" Target="https://audio.iskcondesiretree.com/01_-_Srila_Prabhupada/01_-_Lectures/01_-_English/02_-_Month_wise/06_-_June/29/MW_DEN_1975-06-29_With_Less_Labor_Back_to_Godhead.mp3" TargetMode="External"/><Relationship Id="rId2068" Type="http://schemas.openxmlformats.org/officeDocument/2006/relationships/hyperlink" Target="https://audio.iskcondesiretree.com/01_-_Srila_Prabhupada/01_-_Lectures/01_-_English/02_-_Month_wise/06_-_June/06/Lecture_1974-06-06_LE-GENEVA.MP3" TargetMode="External"/><Relationship Id="rId3398" Type="http://schemas.openxmlformats.org/officeDocument/2006/relationships/hyperlink" Target="https://audio.iskcondesiretree.com/01_-_Srila_Prabhupada/01_-_Lectures/01_-_English/01_-_Topic_wise/Srimad_Bhagavatam/Canto-06/SP_SB_6-1-16_Denver_1975-06-29.MP3" TargetMode="External"/><Relationship Id="rId2069" Type="http://schemas.openxmlformats.org/officeDocument/2006/relationships/hyperlink" Target="https://audio.iskcondesiretree.com/01_-_Srila_Prabhupada/01_-_Lectures/01_-_English/02_-_Month_wise/06_-_June/06/MW_GEN_1974-06-06_One_Machine_Makes_100_Men_Unemployed.mp3" TargetMode="External"/><Relationship Id="rId3380" Type="http://schemas.openxmlformats.org/officeDocument/2006/relationships/hyperlink" Target="https://audio.iskcondesiretree.com/01_-_Srila_Prabhupada/01_-_Lectures/01_-_English/02_-_Month_wise/06_-_June/26/Walk_1975-06-26_MW-LOS%20ANGELES.MP3" TargetMode="External"/><Relationship Id="rId2050" Type="http://schemas.openxmlformats.org/officeDocument/2006/relationships/hyperlink" Target="https://audio.iskcondesiretree.com/01_-_Srila_Prabhupada/01_-_Lectures/01_-_English/02_-_Month_wise/06_-_June/04/RC_GEN_1974-06-04_Prof_of_Sanskrit-Avatars_Come_to_etc.mp3" TargetMode="External"/><Relationship Id="rId3382" Type="http://schemas.openxmlformats.org/officeDocument/2006/relationships/hyperlink" Target="https://audio.iskcondesiretree.com/01_-_Srila_Prabhupada/01_-_Lectures/01_-_English/01_-_Topic_wise/Departure_Address/SP_Departure_Lecture_Los_Angeles_1975-06-27.MP3" TargetMode="External"/><Relationship Id="rId2051" Type="http://schemas.openxmlformats.org/officeDocument/2006/relationships/hyperlink" Target="https://audio.iskcondesiretree.com/01_-_Srila_Prabhupada/01_-_Lectures/01_-_English/02_-_Month_wise/06_-_June/04/SB-01-13-15_1974-06-04_SB-GENEVA.MP3" TargetMode="External"/><Relationship Id="rId3381" Type="http://schemas.openxmlformats.org/officeDocument/2006/relationships/hyperlink" Target="https://audio.iskcondesiretree.com/01_-_Srila_Prabhupada/01_-_Lectures/01_-_English/01_-_Topic_wise/Arrival_Address/SP_Arrival_Delhi_1975-06-27_Americans_with_Krsna_Consciousness.mp3" TargetMode="External"/><Relationship Id="rId2052" Type="http://schemas.openxmlformats.org/officeDocument/2006/relationships/hyperlink" Target="https://audio.iskcondesiretree.com/01_-_Srila_Prabhupada/01_-_Lectures/01_-_English/02_-_Month_wise/06_-_June/04/SB_1-13-15_GEN_1974-06-04_Why_One_GBC_Became_a_Sudra.mp3" TargetMode="External"/><Relationship Id="rId3384" Type="http://schemas.openxmlformats.org/officeDocument/2006/relationships/hyperlink" Target="https://audio.iskcondesiretree.com/01_-_Srila_Prabhupada/01_-_Lectures/01_-_English/01_-_Topic_wise/Srimad_Bhagavatam/Canto-06/SP_SB_6-1-15_Los_Angeles_1975-06-27.MP3" TargetMode="External"/><Relationship Id="rId2053" Type="http://schemas.openxmlformats.org/officeDocument/2006/relationships/hyperlink" Target="https://audio.iskcondesiretree.com/01_-_Srila_Prabhupada/01_-_Lectures/01_-_English/01_-_Topic_wise/Morning_Walk/SP_Morning_Walk_-_Geneva_1974-06-05_Your_Position-Conditioned%21.mp3" TargetMode="External"/><Relationship Id="rId3383" Type="http://schemas.openxmlformats.org/officeDocument/2006/relationships/hyperlink" Target="https://audio.iskcondesiretree.com/01_-_Srila_Prabhupada/01_-_Lectures/01_-_English/01_-_Topic_wise/Morning_Walk/SP_Morning_Walk_-_Atlanta_1975-06-27.MP3" TargetMode="External"/><Relationship Id="rId2054" Type="http://schemas.openxmlformats.org/officeDocument/2006/relationships/hyperlink" Target="https://audio.iskcondesiretree.com/01_-_Srila_Prabhupada/01_-_Lectures/01_-_English/01_-_Topic_wise/Room_Conversation/SP_Room_Conversation_Geneva_1974-06-05_Nuclear_Physicist--Spiritual_Physics.mp3" TargetMode="External"/><Relationship Id="rId3386" Type="http://schemas.openxmlformats.org/officeDocument/2006/relationships/hyperlink" Target="https://audio.iskcondesiretree.com/01_-_Srila_Prabhupada/01_-_Lectures/01_-_English/02_-_Month_wise/06_-_June/27/Arrival_1975-06-27_AR-DENVER.MP3" TargetMode="External"/><Relationship Id="rId2055" Type="http://schemas.openxmlformats.org/officeDocument/2006/relationships/hyperlink" Target="https://audio.iskcondesiretree.com/01_-_Srila_Prabhupada/01_-_Lectures/01_-_English/01_-_Topic_wise/Room_Conversation/SP_Room_Conversation_Geneva_1974-06-05_Protestant_Leaders--Love_God_Love--etc.mp3" TargetMode="External"/><Relationship Id="rId3385" Type="http://schemas.openxmlformats.org/officeDocument/2006/relationships/hyperlink" Target="https://audio.iskcondesiretree.com/01_-_Srila_Prabhupada/01_-_Lectures/01_-_English/02_-_Month_wise/06_-_June/27/Arr_DEN_1975-06-27_Americans_with_Krsna_Consciousness.mp3" TargetMode="External"/><Relationship Id="rId2056" Type="http://schemas.openxmlformats.org/officeDocument/2006/relationships/hyperlink" Target="https://audio.iskcondesiretree.com/01_-_Srila_Prabhupada/01_-_Lectures/01_-_English/02_-_Month_wise/06_-_June/05/Conv_1974-06-05_R1-GENEVA.MP3" TargetMode="External"/><Relationship Id="rId3388" Type="http://schemas.openxmlformats.org/officeDocument/2006/relationships/hyperlink" Target="https://audio.iskcondesiretree.com/01_-_Srila_Prabhupada/01_-_Lectures/01_-_English/02_-_Month_wise/06_-_June/27/SB-06-01-15_1975-06-27_SB-LOS%20ANGELES.MP3" TargetMode="External"/><Relationship Id="rId2057" Type="http://schemas.openxmlformats.org/officeDocument/2006/relationships/hyperlink" Target="https://audio.iskcondesiretree.com/01_-_Srila_Prabhupada/01_-_Lectures/01_-_English/02_-_Month_wise/06_-_June/05/Conv_1974-06-05_R2-GENEVA.MP3" TargetMode="External"/><Relationship Id="rId3387" Type="http://schemas.openxmlformats.org/officeDocument/2006/relationships/hyperlink" Target="https://audio.iskcondesiretree.com/01_-_Srila_Prabhupada/01_-_Lectures/01_-_English/02_-_Month_wise/06_-_June/27/Departure_1975-06-27_DP-LOS%20ANGELES.MP3" TargetMode="External"/><Relationship Id="rId2058" Type="http://schemas.openxmlformats.org/officeDocument/2006/relationships/hyperlink" Target="https://audio.iskcondesiretree.com/01_-_Srila_Prabhupada/01_-_Lectures/01_-_English/02_-_Month_wise/06_-_June/05/MW_GEN_1974-06-05_Your_Position_Conditioned.mp3" TargetMode="External"/><Relationship Id="rId2059" Type="http://schemas.openxmlformats.org/officeDocument/2006/relationships/hyperlink" Target="https://audio.iskcondesiretree.com/01_-_Srila_Prabhupada/01_-_Lectures/01_-_English/02_-_Month_wise/06_-_June/05/RC_GEN_1974-06-05_Nuclear_Physicist_Spiritual_Physics.mp3" TargetMode="External"/><Relationship Id="rId3389" Type="http://schemas.openxmlformats.org/officeDocument/2006/relationships/hyperlink" Target="https://audio.iskcondesiretree.com/01_-_Srila_Prabhupada/01_-_Lectures/01_-_English/02_-_Month_wise/06_-_June/27/Walk_1975-06-27_MW-LOS%20ANGELES.MP3" TargetMode="External"/><Relationship Id="rId2080" Type="http://schemas.openxmlformats.org/officeDocument/2006/relationships/hyperlink" Target="https://audio.iskcondesiretree.com/01_-_Srila_Prabhupada/01_-_Lectures/01_-_English/01_-_Topic_wise/Morning_Walk/SP_Morning_Walk_-_Geneva_1974-06-09_Psychology_of_the_Human_Animal.mp3" TargetMode="External"/><Relationship Id="rId2081" Type="http://schemas.openxmlformats.org/officeDocument/2006/relationships/hyperlink" Target="https://audio.iskcondesiretree.com/01_-_Srila_Prabhupada/01_-_Lectures/01_-_English/01_-_Topic_wise/Room_Conversation/SP_Room_Conversation_Paris_1974-06-09_How_to_Experience_the_Supreme.mp3" TargetMode="External"/><Relationship Id="rId2082" Type="http://schemas.openxmlformats.org/officeDocument/2006/relationships/hyperlink" Target="https://audio.iskcondesiretree.com/01_-_Srila_Prabhupada/01_-_Lectures/01_-_English/01_-_Topic_wise/Srimad_Bhagavatam/Canto-02/SP_SB_2-01-01_Paris_1974-06-09_Hankering_to_Hear_About_Krishna.mp3" TargetMode="External"/><Relationship Id="rId2083" Type="http://schemas.openxmlformats.org/officeDocument/2006/relationships/hyperlink" Target="https://audio.iskcondesiretree.com/01_-_Srila_Prabhupada/01_-_Lectures/01_-_English/02_-_Month_wise/06_-_June/09/MW_GEN_1974-06-09_Psychology_of_the_Human_Animal.mp3" TargetMode="External"/><Relationship Id="rId2084" Type="http://schemas.openxmlformats.org/officeDocument/2006/relationships/hyperlink" Target="https://audio.iskcondesiretree.com/01_-_Srila_Prabhupada/01_-_Lectures/01_-_English/02_-_Month_wise/06_-_June/09/RC_PAR_1974-06-09_How_to_Experience_the_Supreme.mp3" TargetMode="External"/><Relationship Id="rId2085" Type="http://schemas.openxmlformats.org/officeDocument/2006/relationships/hyperlink" Target="https://audio.iskcondesiretree.com/01_-_Srila_Prabhupada/01_-_Lectures/01_-_English/02_-_Month_wise/06_-_June/09/SB-02-01-01_1974-06-09_SB-PARIS.MP3" TargetMode="External"/><Relationship Id="rId2086" Type="http://schemas.openxmlformats.org/officeDocument/2006/relationships/hyperlink" Target="https://audio.iskcondesiretree.com/01_-_Srila_Prabhupada/01_-_Lectures/01_-_English/02_-_Month_wise/06_-_June/09/SB_2-01-01_PAR_1974-06-09_Hankering_to_Hear_About_Krishna.mp3" TargetMode="External"/><Relationship Id="rId2087" Type="http://schemas.openxmlformats.org/officeDocument/2006/relationships/hyperlink" Target="https://audio.iskcondesiretree.com/01_-_Srila_Prabhupada/01_-_Lectures/01_-_English/02_-_Month_wise/06_-_June/09/Walk_1974-06-09_MW-PARIS.MP3" TargetMode="External"/><Relationship Id="rId2088" Type="http://schemas.openxmlformats.org/officeDocument/2006/relationships/hyperlink" Target="https://audio.iskcondesiretree.com/01_-_Srila_Prabhupada/01_-_Lectures/01_-_English/01_-_Topic_wise/Room_Conversation/SP_Room_Conversation_01_Paris_1974-06-10.mp3" TargetMode="External"/><Relationship Id="rId2089" Type="http://schemas.openxmlformats.org/officeDocument/2006/relationships/hyperlink" Target="https://audio.iskcondesiretree.com/01_-_Srila_Prabhupada/01_-_Lectures/01_-_English/02_-_Month_wise/06_-_June/10/Conv_1974-06-10_R1-PARIS.MP3" TargetMode="External"/><Relationship Id="rId2070" Type="http://schemas.openxmlformats.org/officeDocument/2006/relationships/hyperlink" Target="https://audio.iskcondesiretree.com/01_-_Srila_Prabhupada/01_-_Lectures/01_-_English/02_-_Month_wise/06_-_June/06/Walk_1974-06-06_MW-GENEVA.MP3" TargetMode="External"/><Relationship Id="rId2071" Type="http://schemas.openxmlformats.org/officeDocument/2006/relationships/hyperlink" Target="https://audio.iskcondesiretree.com/01_-_Srila_Prabhupada/01_-_Lectures/01_-_English/01_-_Topic_wise/Bhagavad_Gita/Chapter-08/SP_BG_08-01_Geneva_1974-06-07_Women_Should_Give_Birth_Soon.mp3" TargetMode="External"/><Relationship Id="rId2072" Type="http://schemas.openxmlformats.org/officeDocument/2006/relationships/hyperlink" Target="https://audio.iskcondesiretree.com/01_-_Srila_Prabhupada/01_-_Lectures/01_-_English/02_-_Month_wise/06_-_June/07/Bg-08-01_1974-06-07_BG-GENEVA.MP3" TargetMode="External"/><Relationship Id="rId2073" Type="http://schemas.openxmlformats.org/officeDocument/2006/relationships/hyperlink" Target="https://audio.iskcondesiretree.com/01_-_Srila_Prabhupada/01_-_Lectures/01_-_English/02_-_Month_wise/06_-_June/07/Bg_08-01_GEN_1974-06-07_Women_Should_Give_Birth_Soon.mp3" TargetMode="External"/><Relationship Id="rId2074" Type="http://schemas.openxmlformats.org/officeDocument/2006/relationships/hyperlink" Target="https://audio.iskcondesiretree.com/01_-_Srila_Prabhupada/01_-_Lectures/01_-_English/01_-_Topic_wise/Arrival_Address/SP_Arrival_Paris_1974-06-08_Krishna_Means_the_Active_Principle--etc.mp3" TargetMode="External"/><Relationship Id="rId2075" Type="http://schemas.openxmlformats.org/officeDocument/2006/relationships/hyperlink" Target="https://audio.iskcondesiretree.com/01_-_Srila_Prabhupada/01_-_Lectures/01_-_English/01_-_Topic_wise/Morning_Walk/SP_Morning_Walk_-_Geneva_1974-06-08_The_Meaning_of_Marriage.mp3" TargetMode="External"/><Relationship Id="rId2076" Type="http://schemas.openxmlformats.org/officeDocument/2006/relationships/hyperlink" Target="https://audio.iskcondesiretree.com/01_-_Srila_Prabhupada/01_-_Lectures/01_-_English/02_-_Month_wise/06_-_June/08/Arr_PAR_1974-06-08_Krishna_Means_the_Active_Principle_etc.mp3" TargetMode="External"/><Relationship Id="rId2077" Type="http://schemas.openxmlformats.org/officeDocument/2006/relationships/hyperlink" Target="https://audio.iskcondesiretree.com/01_-_Srila_Prabhupada/01_-_Lectures/01_-_English/02_-_Month_wise/06_-_June/08/Arrival_1974-06-08_AR-PARIS.MP3" TargetMode="External"/><Relationship Id="rId2078" Type="http://schemas.openxmlformats.org/officeDocument/2006/relationships/hyperlink" Target="https://audio.iskcondesiretree.com/01_-_Srila_Prabhupada/01_-_Lectures/01_-_English/02_-_Month_wise/06_-_June/08/MW_GEN_1974-06-08_The_Meaning_of_Marriage.mp3" TargetMode="External"/><Relationship Id="rId2079" Type="http://schemas.openxmlformats.org/officeDocument/2006/relationships/hyperlink" Target="https://audio.iskcondesiretree.com/01_-_Srila_Prabhupada/01_-_Lectures/01_-_English/02_-_Month_wise/06_-_June/08/Walk_1974-06-08_MW-GENEVA.MP3" TargetMode="External"/><Relationship Id="rId4723" Type="http://schemas.openxmlformats.org/officeDocument/2006/relationships/hyperlink" Target="https://audio.iskcondesiretree.com/01_-_Srila_Prabhupada/01_-_Lectures/01_-_English/01_-_Topic_wise/Srimad_Bhagavatam/Canto-06/SP_SB_6-01-44_Los_Angeles_1976-06-10_Lion-killer_Rabbit.mp3" TargetMode="External"/><Relationship Id="rId4722" Type="http://schemas.openxmlformats.org/officeDocument/2006/relationships/hyperlink" Target="https://audio.iskcondesiretree.com/01_-_Srila_Prabhupada/01_-_Lectures/01_-_English/02_-_Month_wise/06_-_June/09/Walk_1976-06-09_MW-LOS%20ANGELES.MP3" TargetMode="External"/><Relationship Id="rId4725" Type="http://schemas.openxmlformats.org/officeDocument/2006/relationships/hyperlink" Target="https://audio.iskcondesiretree.com/01_-_Srila_Prabhupada/01_-_Lectures/01_-_English/02_-_Month_wise/06_-_June/10/Conv_1976-06-10_R1-LOS%20ANGELES.MP3" TargetMode="External"/><Relationship Id="rId4724" Type="http://schemas.openxmlformats.org/officeDocument/2006/relationships/hyperlink" Target="https://audio.iskcondesiretree.com/01_-_Srila_Prabhupada/01_-_Lectures/01_-_English/02_-_Month_wise/06_-_June/10/Conv_1976-06-10_GC-LOS%20ANGELES.MP3" TargetMode="External"/><Relationship Id="rId4727" Type="http://schemas.openxmlformats.org/officeDocument/2006/relationships/hyperlink" Target="https://audio.iskcondesiretree.com/01_-_Srila_Prabhupada/01_-_Lectures/01_-_English/02_-_Month_wise/06_-_June/10/Initiations_1976-06-10_LOS%20ANGELES.MP3" TargetMode="External"/><Relationship Id="rId4726" Type="http://schemas.openxmlformats.org/officeDocument/2006/relationships/hyperlink" Target="https://audio.iskcondesiretree.com/01_-_Srila_Prabhupada/01_-_Lectures/01_-_English/02_-_Month_wise/06_-_June/10/Conv_1976-06-10_R2-LOS%20ANGELES.MP3" TargetMode="External"/><Relationship Id="rId4729" Type="http://schemas.openxmlformats.org/officeDocument/2006/relationships/hyperlink" Target="https://audio.iskcondesiretree.com/01_-_Srila_Prabhupada/01_-_Lectures/01_-_English/02_-_Month_wise/06_-_June/10/SB_6-01-44_LA_1976-06-10_Lion-killer_Rabbit.mp3" TargetMode="External"/><Relationship Id="rId4728" Type="http://schemas.openxmlformats.org/officeDocument/2006/relationships/hyperlink" Target="https://audio.iskcondesiretree.com/01_-_Srila_Prabhupada/01_-_Lectures/01_-_English/02_-_Month_wise/06_-_June/10/SB-06-01-44_1976-06-10_SB-LOS%20ANGELES.MP3" TargetMode="External"/><Relationship Id="rId4721" Type="http://schemas.openxmlformats.org/officeDocument/2006/relationships/hyperlink" Target="https://audio.iskcondesiretree.com/01_-_Srila_Prabhupada/01_-_Lectures/01_-_English/02_-_Month_wise/06_-_June/09/SB_6-01-43_LA_1976-06-09_Better_Without_Disturbance.mp3" TargetMode="External"/><Relationship Id="rId4720" Type="http://schemas.openxmlformats.org/officeDocument/2006/relationships/hyperlink" Target="https://audio.iskcondesiretree.com/01_-_Srila_Prabhupada/01_-_Lectures/01_-_English/02_-_Month_wise/06_-_June/09/SB-06-01-43_1976-06-09_SB-LOS%20ANGELES.MP3" TargetMode="External"/><Relationship Id="rId4712" Type="http://schemas.openxmlformats.org/officeDocument/2006/relationships/hyperlink" Target="https://audio.iskcondesiretree.com/01_-_Srila_Prabhupada/01_-_Lectures/01_-_English/02_-_Month_wise/06_-_June/08/SB_6-01-42_LA_1976-06-08_No_Fakir-Go_to_Guru.mp3" TargetMode="External"/><Relationship Id="rId4711" Type="http://schemas.openxmlformats.org/officeDocument/2006/relationships/hyperlink" Target="https://audio.iskcondesiretree.com/01_-_Srila_Prabhupada/01_-_Lectures/01_-_English/02_-_Month_wise/06_-_June/08/SB-06-01-42_1976-06-08_SB-LOS%20ANGELES.MP3" TargetMode="External"/><Relationship Id="rId4714" Type="http://schemas.openxmlformats.org/officeDocument/2006/relationships/hyperlink" Target="https://audio.iskcondesiretree.com/01_-_Srila_Prabhupada/01_-_Lectures/01_-_English/01_-_Topic_wise/Room_Conversation/SP_Room_Conversation_Los_Angeles_1976-06-09_The_Huge_Little_Chance.mp3" TargetMode="External"/><Relationship Id="rId4713" Type="http://schemas.openxmlformats.org/officeDocument/2006/relationships/hyperlink" Target="https://audio.iskcondesiretree.com/01_-_Srila_Prabhupada/01_-_Lectures/01_-_English/02_-_Month_wise/06_-_June/08/Walk_1976-06-08_MW-LOS%20ANGELES.MP3" TargetMode="External"/><Relationship Id="rId4716" Type="http://schemas.openxmlformats.org/officeDocument/2006/relationships/hyperlink" Target="https://audio.iskcondesiretree.com/01_-_Srila_Prabhupada/01_-_Lectures/01_-_English/02_-_Month_wise/06_-_June/09/Conv_1976-06-09_GC-LOS%20ANGELES.MP3" TargetMode="External"/><Relationship Id="rId4715" Type="http://schemas.openxmlformats.org/officeDocument/2006/relationships/hyperlink" Target="https://audio.iskcondesiretree.com/01_-_Srila_Prabhupada/01_-_Lectures/01_-_English/01_-_Topic_wise/Srimad_Bhagavatam/Canto-06/SP_SB_6-01-43_Los_Angeles_1976-06-09_Better_Without_Disturbance.mp3" TargetMode="External"/><Relationship Id="rId4718" Type="http://schemas.openxmlformats.org/officeDocument/2006/relationships/hyperlink" Target="https://audio.iskcondesiretree.com/01_-_Srila_Prabhupada/01_-_Lectures/01_-_English/02_-_Month_wise/06_-_June/09/Conv_1976-06-09_R2-LOS%20ANGELES.MP3" TargetMode="External"/><Relationship Id="rId4717" Type="http://schemas.openxmlformats.org/officeDocument/2006/relationships/hyperlink" Target="https://audio.iskcondesiretree.com/01_-_Srila_Prabhupada/01_-_Lectures/01_-_English/02_-_Month_wise/06_-_June/09/Conv_1976-06-09_R1-LOS%20ANGELES.MP3" TargetMode="External"/><Relationship Id="rId4719" Type="http://schemas.openxmlformats.org/officeDocument/2006/relationships/hyperlink" Target="https://audio.iskcondesiretree.com/01_-_Srila_Prabhupada/01_-_Lectures/01_-_English/02_-_Month_wise/06_-_June/09/RC_LA_1976-06-09_The_Huge_Little_Chance.mp3" TargetMode="External"/><Relationship Id="rId4710" Type="http://schemas.openxmlformats.org/officeDocument/2006/relationships/hyperlink" Target="https://audio.iskcondesiretree.com/01_-_Srila_Prabhupada/01_-_Lectures/01_-_English/02_-_Month_wise/06_-_June/08/RC_LA_1976-06-08_Prabhupada%27s_Journey_to_America.mp3" TargetMode="External"/><Relationship Id="rId3414" Type="http://schemas.openxmlformats.org/officeDocument/2006/relationships/hyperlink" Target="https://audio.iskcondesiretree.com/01_-_Srila_Prabhupada/01_-_Lectures/01_-_English/02_-_Month_wise/07_-_July/01/SB_6-01-18_DEN_1975-07-01_Prasadam_Krishna%27s_etc.mp3" TargetMode="External"/><Relationship Id="rId4745" Type="http://schemas.openxmlformats.org/officeDocument/2006/relationships/hyperlink" Target="https://audio.iskcondesiretree.com/01_-_Srila_Prabhupada/01_-_Lectures/01_-_English/02_-_Month_wise/06_-_June/14/Conv_1976-06-14_GC-DETROIT.MP3" TargetMode="External"/><Relationship Id="rId3413" Type="http://schemas.openxmlformats.org/officeDocument/2006/relationships/hyperlink" Target="https://audio.iskcondesiretree.com/01_-_Srila_Prabhupada/01_-_Lectures/01_-_English/02_-_Month_wise/07_-_July/01/SB-06-01-18_1975-07-01_SB-DENVER.MP3" TargetMode="External"/><Relationship Id="rId4744" Type="http://schemas.openxmlformats.org/officeDocument/2006/relationships/hyperlink" Target="https://audio.iskcondesiretree.com/01_-_Srila_Prabhupada/01_-_Lectures/01_-_English/01_-_Topic_wise/Room_Conversation/SP_Room_Conversation_Detroit_1976-06-14_Animal_Civilization.mp3" TargetMode="External"/><Relationship Id="rId3416" Type="http://schemas.openxmlformats.org/officeDocument/2006/relationships/hyperlink" Target="https://audio.iskcondesiretree.com/01_-_Srila_Prabhupada/01_-_Lectures/01_-_English/02_-_Month_wise/07_-_July/01/Walk_1975-07-01_MW-DENVER.MP3" TargetMode="External"/><Relationship Id="rId4747" Type="http://schemas.openxmlformats.org/officeDocument/2006/relationships/hyperlink" Target="https://audio.iskcondesiretree.com/01_-_Srila_Prabhupada/01_-_Lectures/01_-_English/02_-_Month_wise/06_-_June/14/RC_DET_1976-06-14_Animal_Civilization.mp3" TargetMode="External"/><Relationship Id="rId3415" Type="http://schemas.openxmlformats.org/officeDocument/2006/relationships/hyperlink" Target="https://audio.iskcondesiretree.com/01_-_Srila_Prabhupada/01_-_Lectures/01_-_English/02_-_Month_wise/07_-_July/01/SB_6-01-19_DEN_1975-07-01_Pure_Profit.mp3" TargetMode="External"/><Relationship Id="rId4746" Type="http://schemas.openxmlformats.org/officeDocument/2006/relationships/hyperlink" Target="https://audio.iskcondesiretree.com/01_-_Srila_Prabhupada/01_-_Lectures/01_-_English/02_-_Month_wise/06_-_June/14/Conv_1976-06-14_R1-DETROIT.MP3" TargetMode="External"/><Relationship Id="rId3418" Type="http://schemas.openxmlformats.org/officeDocument/2006/relationships/hyperlink" Target="https://audio.iskcondesiretree.com/01_-_Srila_Prabhupada/01_-_Lectures/01_-_English/02_-_Month_wise/07_-_July/02/MW_DEN_1975-07-02_Each_Second_a_New_Body.mp3" TargetMode="External"/><Relationship Id="rId4749" Type="http://schemas.openxmlformats.org/officeDocument/2006/relationships/hyperlink" Target="https://audio.iskcondesiretree.com/01_-_Srila_Prabhupada/01_-_Lectures/01_-_English/02_-_Month_wise/06_-_June/14/Walk_1976-06-14_MW-DETROIT.MP3" TargetMode="External"/><Relationship Id="rId3417" Type="http://schemas.openxmlformats.org/officeDocument/2006/relationships/hyperlink" Target="https://audio.iskcondesiretree.com/01_-_Srila_Prabhupada/01_-_Lectures/01_-_English/01_-_Topic_wise/Morning_Walk/SP_Morning_Walk_-_Denver_1975-07-02_Each_Second_a_New_Body.mp3" TargetMode="External"/><Relationship Id="rId4748" Type="http://schemas.openxmlformats.org/officeDocument/2006/relationships/hyperlink" Target="https://audio.iskcondesiretree.com/01_-_Srila_Prabhupada/01_-_Lectures/01_-_English/02_-_Month_wise/06_-_June/14/SB-06-01-48_1976-06-14_SB-DETROIT.MP3" TargetMode="External"/><Relationship Id="rId3419" Type="http://schemas.openxmlformats.org/officeDocument/2006/relationships/hyperlink" Target="https://audio.iskcondesiretree.com/01_-_Srila_Prabhupada/01_-_Lectures/01_-_English/02_-_Month_wise/07_-_July/02/SB-06-01-19_1975-07-02_SB-DENVER.MP3" TargetMode="External"/><Relationship Id="rId3410" Type="http://schemas.openxmlformats.org/officeDocument/2006/relationships/hyperlink" Target="https://audio.iskcondesiretree.com/01_-_Srila_Prabhupada/01_-_Lectures/01_-_English/01_-_Topic_wise/Srimad_Bhagavatam/Canto-06/SP_SB_6-01-18_Denver_1975-07-01_Prasadam_Krishna%27s--etc.mp3" TargetMode="External"/><Relationship Id="rId4741" Type="http://schemas.openxmlformats.org/officeDocument/2006/relationships/hyperlink" Target="https://audio.iskcondesiretree.com/01_-_Srila_Prabhupada/01_-_Lectures/01_-_English/02_-_Month_wise/06_-_June/13/SB-06-01-47_1976-06-13_SB-DETROIT.MP3" TargetMode="External"/><Relationship Id="rId4740" Type="http://schemas.openxmlformats.org/officeDocument/2006/relationships/hyperlink" Target="https://audio.iskcondesiretree.com/01_-_Srila_Prabhupada/01_-_Lectures/01_-_English/02_-_Month_wise/06_-_June/13/Conv_1976-06-13_R1-DETROIT.MP3" TargetMode="External"/><Relationship Id="rId3412" Type="http://schemas.openxmlformats.org/officeDocument/2006/relationships/hyperlink" Target="https://audio.iskcondesiretree.com/01_-_Srila_Prabhupada/01_-_Lectures/01_-_English/02_-_Month_wise/07_-_July/01/MW_DEN_1975-07-01_Spiritual_Food_and_Finance.mp3" TargetMode="External"/><Relationship Id="rId4743" Type="http://schemas.openxmlformats.org/officeDocument/2006/relationships/hyperlink" Target="https://audio.iskcondesiretree.com/01_-_Srila_Prabhupada/01_-_Lectures/01_-_English/02_-_Month_wise/06_-_June/13/Walk_1976-06-13_MW-DETROIT.MP3" TargetMode="External"/><Relationship Id="rId3411" Type="http://schemas.openxmlformats.org/officeDocument/2006/relationships/hyperlink" Target="https://audio.iskcondesiretree.com/01_-_Srila_Prabhupada/01_-_Lectures/01_-_English/01_-_Topic_wise/Srimad_Bhagavatam/Canto-06/SP_SB_6-01-19_Denver_1975-07-01_Pure_Profit.mp3" TargetMode="External"/><Relationship Id="rId4742" Type="http://schemas.openxmlformats.org/officeDocument/2006/relationships/hyperlink" Target="https://audio.iskcondesiretree.com/01_-_Srila_Prabhupada/01_-_Lectures/01_-_English/02_-_Month_wise/06_-_June/13/SB_6-01-47_DET_1976-06-13_Animal_Killers_Cannot_Understand_God.mp3" TargetMode="External"/><Relationship Id="rId3403" Type="http://schemas.openxmlformats.org/officeDocument/2006/relationships/hyperlink" Target="https://audio.iskcondesiretree.com/01_-_Srila_Prabhupada/01_-_Lectures/01_-_English/01_-_Topic_wise/Morning_Walk/SP_Morning_Walk_-_Denver_1975-06-30_Most_Powerful_Personality.mp3" TargetMode="External"/><Relationship Id="rId4734" Type="http://schemas.openxmlformats.org/officeDocument/2006/relationships/hyperlink" Target="https://audio.iskcondesiretree.com/01_-_Srila_Prabhupada/01_-_Lectures/01_-_English/02_-_Month_wise/06_-_June/11/SB_6-01-45_LA_1976-06-11_Krishna%27s_Central_Intelligence_Agency.mp3" TargetMode="External"/><Relationship Id="rId3402" Type="http://schemas.openxmlformats.org/officeDocument/2006/relationships/hyperlink" Target="https://audio.iskcondesiretree.com/01_-_Srila_Prabhupada/01_-_Lectures/01_-_English/02_-_Month_wise/06_-_June/29/Walk_1975-06-29_MW-DENVER.MP3" TargetMode="External"/><Relationship Id="rId4733" Type="http://schemas.openxmlformats.org/officeDocument/2006/relationships/hyperlink" Target="https://audio.iskcondesiretree.com/01_-_Srila_Prabhupada/01_-_Lectures/01_-_English/02_-_Month_wise/06_-_June/11/SB-06-01-45_1976-06-11_SB-LOS%20ANGELES.MP3" TargetMode="External"/><Relationship Id="rId3405" Type="http://schemas.openxmlformats.org/officeDocument/2006/relationships/hyperlink" Target="https://audio.iskcondesiretree.com/01_-_Srila_Prabhupada/01_-_Lectures/01_-_English/02_-_Month_wise/06_-_June/30/MW_DEN_1975-06-30_Most_Powerful_Personality.mp3" TargetMode="External"/><Relationship Id="rId4736" Type="http://schemas.openxmlformats.org/officeDocument/2006/relationships/hyperlink" Target="https://audio.iskcondesiretree.com/01_-_Srila_Prabhupada/01_-_Lectures/01_-_English/02_-_Month_wise/06_-_June/10/Initiations_1976-06-12_LOS%20ANGELES.MP3" TargetMode="External"/><Relationship Id="rId3404" Type="http://schemas.openxmlformats.org/officeDocument/2006/relationships/hyperlink" Target="https://audio.iskcondesiretree.com/01_-_Srila_Prabhupada/01_-_Lectures/01_-_English/01_-_Topic_wise/Srimad_Bhagavatam/Canto-06/SP_SB_6-01-17_Denver_1975-06-30_Who_Is_a_True_Christian.mp3" TargetMode="External"/><Relationship Id="rId4735" Type="http://schemas.openxmlformats.org/officeDocument/2006/relationships/hyperlink" Target="https://audio.iskcondesiretree.com/01_-_Srila_Prabhupada/01_-_Lectures/01_-_English/02_-_Month_wise/06_-_June/11/Walk_1976-06-11_MW-LOS%20ANGELES.MP3" TargetMode="External"/><Relationship Id="rId3407" Type="http://schemas.openxmlformats.org/officeDocument/2006/relationships/hyperlink" Target="https://audio.iskcondesiretree.com/01_-_Srila_Prabhupada/01_-_Lectures/01_-_English/02_-_Month_wise/06_-_June/30/SB_6-01-17_DEN_1975-06-30_Who_Is_a_True_Christian.mp3" TargetMode="External"/><Relationship Id="rId4738" Type="http://schemas.openxmlformats.org/officeDocument/2006/relationships/hyperlink" Target="https://audio.iskcondesiretree.com/01_-_Srila_Prabhupada/01_-_Lectures/01_-_English/02_-_Month_wise/06_-_June/12/SB-06-01-46_1976-06-12_SB-DETROIT.MP3" TargetMode="External"/><Relationship Id="rId3406" Type="http://schemas.openxmlformats.org/officeDocument/2006/relationships/hyperlink" Target="https://audio.iskcondesiretree.com/01_-_Srila_Prabhupada/01_-_Lectures/01_-_English/02_-_Month_wise/06_-_June/30/SB-06-01-17_1975-06-30_SB-DENVER.MP3" TargetMode="External"/><Relationship Id="rId4737" Type="http://schemas.openxmlformats.org/officeDocument/2006/relationships/hyperlink" Target="https://audio.iskcondesiretree.com/01_-_Srila_Prabhupada/01_-_Lectures/01_-_English/02_-_Month_wise/06_-_June/12/Interview_1976-06-12_IV-DETROIT.MP3" TargetMode="External"/><Relationship Id="rId3409" Type="http://schemas.openxmlformats.org/officeDocument/2006/relationships/hyperlink" Target="https://audio.iskcondesiretree.com/01_-_Srila_Prabhupada/01_-_Lectures/01_-_English/01_-_Topic_wise/Morning_Walk/SP_Morning_Walk_-_Denver_1975-07-01_Spiritual_Food_and_Finance.mp3" TargetMode="External"/><Relationship Id="rId3408" Type="http://schemas.openxmlformats.org/officeDocument/2006/relationships/hyperlink" Target="https://audio.iskcondesiretree.com/01_-_Srila_Prabhupada/01_-_Lectures/01_-_English/02_-_Month_wise/06_-_June/30/Walk_1975-06-30_MW-DENVER.MP3" TargetMode="External"/><Relationship Id="rId4739" Type="http://schemas.openxmlformats.org/officeDocument/2006/relationships/hyperlink" Target="https://audio.iskcondesiretree.com/01_-_Srila_Prabhupada/01_-_Lectures/01_-_English/01_-_Topic_wise/Srimad_Bhagavatam/Canto-06/SP_SB_6-01-47_Detroit_1976-06-13_Animal_Killers_Cannot_Understand_God.mp3" TargetMode="External"/><Relationship Id="rId4730" Type="http://schemas.openxmlformats.org/officeDocument/2006/relationships/hyperlink" Target="https://audio.iskcondesiretree.com/01_-_Srila_Prabhupada/01_-_Lectures/01_-_English/02_-_Month_wise/06_-_June/10/Walk_1976-06-10_MW-LOS%20ANGELES.MP3" TargetMode="External"/><Relationship Id="rId3401" Type="http://schemas.openxmlformats.org/officeDocument/2006/relationships/hyperlink" Target="https://audio.iskcondesiretree.com/01_-_Srila_Prabhupada/01_-_Lectures/01_-_English/02_-_Month_wise/06_-_June/29/SB-06-01-16_1975-06-29_SB-DENVER.MP3" TargetMode="External"/><Relationship Id="rId4732" Type="http://schemas.openxmlformats.org/officeDocument/2006/relationships/hyperlink" Target="https://audio.iskcondesiretree.com/01_-_Srila_Prabhupada/01_-_Lectures/01_-_English/02_-_Month_wise/06_-_June/11/Arrival_1976-06-11_AR-DETROIT.MP3" TargetMode="External"/><Relationship Id="rId3400" Type="http://schemas.openxmlformats.org/officeDocument/2006/relationships/hyperlink" Target="https://audio.iskcondesiretree.com/01_-_Srila_Prabhupada/01_-_Lectures/01_-_English/02_-_Month_wise/06_-_June/29/SB-01-02-06_1975-06-29_SF-DENVER.MP3" TargetMode="External"/><Relationship Id="rId4731" Type="http://schemas.openxmlformats.org/officeDocument/2006/relationships/hyperlink" Target="https://audio.iskcondesiretree.com/01_-_Srila_Prabhupada/01_-_Lectures/01_-_English/01_-_Topic_wise/Srimad_Bhagavatam/Canto-06/SP_SB_6-01-45_Los_Angeles_1976-06-11_Krishna%27s_Central_Intelligence_Agency.mp3" TargetMode="External"/><Relationship Id="rId4701" Type="http://schemas.openxmlformats.org/officeDocument/2006/relationships/hyperlink" Target="https://audio.iskcondesiretree.com/01_-_Srila_Prabhupada/01_-_Lectures/01_-_English/02_-_Month_wise/06_-_June/07/SB-06-01-41_1976-06-07_SB-LOS%20ANGELES.MP3" TargetMode="External"/><Relationship Id="rId4700" Type="http://schemas.openxmlformats.org/officeDocument/2006/relationships/hyperlink" Target="https://audio.iskcondesiretree.com/01_-_Srila_Prabhupada/01_-_Lectures/01_-_English/02_-_Month_wise/06_-_June/07/MW_LA_1976-06-07_Spiritual_Pursuit-_Purifying_or_Putrefying.mp3" TargetMode="External"/><Relationship Id="rId4703" Type="http://schemas.openxmlformats.org/officeDocument/2006/relationships/hyperlink" Target="https://audio.iskcondesiretree.com/01_-_Srila_Prabhupada/01_-_Lectures/01_-_English/02_-_Month_wise/06_-_June/07/Walk_1976-06-07_MW-LOS%20ANGELES.MP3" TargetMode="External"/><Relationship Id="rId4702" Type="http://schemas.openxmlformats.org/officeDocument/2006/relationships/hyperlink" Target="https://audio.iskcondesiretree.com/01_-_Srila_Prabhupada/01_-_Lectures/01_-_English/02_-_Month_wise/06_-_June/07/SB_6-01-41_LA_1976-06-07_Total_Dependence-Independence.mp3" TargetMode="External"/><Relationship Id="rId4705" Type="http://schemas.openxmlformats.org/officeDocument/2006/relationships/hyperlink" Target="https://audio.iskcondesiretree.com/01_-_Srila_Prabhupada/01_-_Lectures/01_-_English/01_-_Topic_wise/Room_Conversation/SP_Room_Conversation_Los_Angeles_1976-06-08_Prabhupada%27s_Journey_to_America.mp3" TargetMode="External"/><Relationship Id="rId4704" Type="http://schemas.openxmlformats.org/officeDocument/2006/relationships/hyperlink" Target="https://audio.iskcondesiretree.com/01_-_Srila_Prabhupada/01_-_Lectures/01_-_English/01_-_Topic_wise/Morning_Walk/SP_Morning_Walk_-_Los_Angeles_1976-06-08_Evolutionary_Suffering.mp3" TargetMode="External"/><Relationship Id="rId4707" Type="http://schemas.openxmlformats.org/officeDocument/2006/relationships/hyperlink" Target="https://audio.iskcondesiretree.com/01_-_Srila_Prabhupada/01_-_Lectures/01_-_English/02_-_Month_wise/06_-_June/08/Conv_1976-06-08_GC-LOS%20ANGELES.MP3" TargetMode="External"/><Relationship Id="rId4706" Type="http://schemas.openxmlformats.org/officeDocument/2006/relationships/hyperlink" Target="https://audio.iskcondesiretree.com/01_-_Srila_Prabhupada/01_-_Lectures/01_-_English/01_-_Topic_wise/Srimad_Bhagavatam/Canto-06/SP_SB_6-01-42_Los_Angeles_1976-06-08_New_Orleans_Fakir-Go_to_Guru.mp3" TargetMode="External"/><Relationship Id="rId4709" Type="http://schemas.openxmlformats.org/officeDocument/2006/relationships/hyperlink" Target="https://audio.iskcondesiretree.com/01_-_Srila_Prabhupada/01_-_Lectures/01_-_English/02_-_Month_wise/06_-_June/08/MW_LA_1976-06-08_Evolutionary_Suffering.mp3" TargetMode="External"/><Relationship Id="rId4708" Type="http://schemas.openxmlformats.org/officeDocument/2006/relationships/hyperlink" Target="https://audio.iskcondesiretree.com/01_-_Srila_Prabhupada/01_-_Lectures/01_-_English/02_-_Month_wise/06_-_June/08/Conv_1976-06-08_R1-LOS%20ANGELES.MP3" TargetMode="External"/><Relationship Id="rId2148" Type="http://schemas.openxmlformats.org/officeDocument/2006/relationships/hyperlink" Target="https://audio.iskcondesiretree.com/01_-_Srila_Prabhupada/01_-_Lectures/01_-_English/02_-_Month_wise/06_-_June/15/SB_2-01-07_PAR_1974-06-15_The_Topmost_etc.mp3" TargetMode="External"/><Relationship Id="rId2149" Type="http://schemas.openxmlformats.org/officeDocument/2006/relationships/hyperlink" Target="https://audio.iskcondesiretree.com/01_-_Srila_Prabhupada/01_-_Lectures/01_-_English/01_-_Topic_wise/Bhagavad_Gita/Chapter-02/SP_BG_02-01_Germany_1974-06-16_Who_Is_Krishna.mp3" TargetMode="External"/><Relationship Id="rId3479" Type="http://schemas.openxmlformats.org/officeDocument/2006/relationships/hyperlink" Target="https://audio.iskcondesiretree.com/01_-_Srila_Prabhupada/01_-_Lectures/01_-_English/02_-_Month_wise/07_-_July/09/Walk_1975-07-09_MW-CHICAGO.MP3" TargetMode="External"/><Relationship Id="rId3470" Type="http://schemas.openxmlformats.org/officeDocument/2006/relationships/hyperlink" Target="https://audio.iskcondesiretree.com/01_-_Srila_Prabhupada/01_-_Lectures/01_-_English/02_-_Month_wise/07_-_July/09/Conv_1975-07-09_R1-CHICAGO.MP3" TargetMode="External"/><Relationship Id="rId2140" Type="http://schemas.openxmlformats.org/officeDocument/2006/relationships/hyperlink" Target="https://audio.iskcondesiretree.com/01_-_Srila_Prabhupada/01_-_Lectures/01_-_English/01_-_Topic_wise/Room_Conversation/SP_Room_Conversation_Paris_1974-06-15_About_Kali-yuga_In_the--etc.mp3" TargetMode="External"/><Relationship Id="rId3472" Type="http://schemas.openxmlformats.org/officeDocument/2006/relationships/hyperlink" Target="https://audio.iskcondesiretree.com/01_-_Srila_Prabhupada/01_-_Lectures/01_-_English/02_-_Month_wise/07_-_July/09/Interv_CHI_1975-07-09_Television-Actual_Woman%27s_Liberation.mp3" TargetMode="External"/><Relationship Id="rId2141" Type="http://schemas.openxmlformats.org/officeDocument/2006/relationships/hyperlink" Target="https://audio.iskcondesiretree.com/01_-_Srila_Prabhupada/01_-_Lectures/01_-_English/01_-_Topic_wise/Room_Conversation/SP_Room_Conversation_Paris_1974-06-15_Buddhist--You_Cannot_Change_God.mp3" TargetMode="External"/><Relationship Id="rId3471" Type="http://schemas.openxmlformats.org/officeDocument/2006/relationships/hyperlink" Target="https://audio.iskcondesiretree.com/01_-_Srila_Prabhupada/01_-_Lectures/01_-_English/02_-_Month_wise/07_-_July/09/Interv_CHI_1975-07-09_Press-A_Higher_Philosophy.mp3" TargetMode="External"/><Relationship Id="rId2142" Type="http://schemas.openxmlformats.org/officeDocument/2006/relationships/hyperlink" Target="https://audio.iskcondesiretree.com/01_-_Srila_Prabhupada/01_-_Lectures/01_-_English/01_-_Topic_wise/Srimad_Bhagavatam/Canto-02/SP_SB_2-01-07_Paris_1974-06-15_The_Topmost--etc.mp3" TargetMode="External"/><Relationship Id="rId3474" Type="http://schemas.openxmlformats.org/officeDocument/2006/relationships/hyperlink" Target="https://audio.iskcondesiretree.com/01_-_Srila_Prabhupada/01_-_Lectures/01_-_English/02_-_Month_wise/07_-_July/09/MW_CHI_1975-07-09_All-isms_is_Equal_to_Animalism.mp3" TargetMode="External"/><Relationship Id="rId2143" Type="http://schemas.openxmlformats.org/officeDocument/2006/relationships/hyperlink" Target="https://audio.iskcondesiretree.com/01_-_Srila_Prabhupada/01_-_Lectures/01_-_English/02_-_Month_wise/06_-_June/15/Conv_1974-06-15_R1-PARIS.MP3" TargetMode="External"/><Relationship Id="rId3473" Type="http://schemas.openxmlformats.org/officeDocument/2006/relationships/hyperlink" Target="https://audio.iskcondesiretree.com/01_-_Srila_Prabhupada/01_-_Lectures/01_-_English/02_-_Month_wise/07_-_July/09/Interview_1975-07-09_IV-CHICAGO.MP3" TargetMode="External"/><Relationship Id="rId2144" Type="http://schemas.openxmlformats.org/officeDocument/2006/relationships/hyperlink" Target="https://audio.iskcondesiretree.com/01_-_Srila_Prabhupada/01_-_Lectures/01_-_English/02_-_Month_wise/06_-_June/15/Conv_1974-06-15_R2-PARIS.MP3" TargetMode="External"/><Relationship Id="rId3476" Type="http://schemas.openxmlformats.org/officeDocument/2006/relationships/hyperlink" Target="https://audio.iskcondesiretree.com/01_-_Srila_Prabhupada/01_-_Lectures/01_-_English/02_-_Month_wise/07_-_July/09/RC_CHI_1975-07-09_Can_You_Pass_a_Resolution.mp3" TargetMode="External"/><Relationship Id="rId2145" Type="http://schemas.openxmlformats.org/officeDocument/2006/relationships/hyperlink" Target="https://audio.iskcondesiretree.com/01_-_Srila_Prabhupada/01_-_Lectures/01_-_English/02_-_Month_wise/06_-_June/15/RC_PAR_1974-06-15_About_Kali-yuga_In_the_etc.mp3" TargetMode="External"/><Relationship Id="rId3475" Type="http://schemas.openxmlformats.org/officeDocument/2006/relationships/hyperlink" Target="https://audio.iskcondesiretree.com/01_-_Srila_Prabhupada/01_-_Lectures/01_-_English/02_-_Month_wise/07_-_July/09/PressConf_1975-07-09_PC-CHICAGO.MP3" TargetMode="External"/><Relationship Id="rId2146" Type="http://schemas.openxmlformats.org/officeDocument/2006/relationships/hyperlink" Target="https://audio.iskcondesiretree.com/01_-_Srila_Prabhupada/01_-_Lectures/01_-_English/02_-_Month_wise/06_-_June/15/RC_PAR_1974-06-15_Buddhist--You_Cannot_Change_God.mp3" TargetMode="External"/><Relationship Id="rId3478" Type="http://schemas.openxmlformats.org/officeDocument/2006/relationships/hyperlink" Target="https://audio.iskcondesiretree.com/01_-_Srila_Prabhupada/01_-_Lectures/01_-_English/02_-_Month_wise/07_-_July/09/SB_6-01-25_CHI_1975-07-09_Attachment-To_Shadows.mp3" TargetMode="External"/><Relationship Id="rId2147" Type="http://schemas.openxmlformats.org/officeDocument/2006/relationships/hyperlink" Target="https://audio.iskcondesiretree.com/01_-_Srila_Prabhupada/01_-_Lectures/01_-_English/02_-_Month_wise/06_-_June/15/SB-02-01-07_1974-06-15_SB-PARIS.MP3" TargetMode="External"/><Relationship Id="rId3477" Type="http://schemas.openxmlformats.org/officeDocument/2006/relationships/hyperlink" Target="https://audio.iskcondesiretree.com/01_-_Srila_Prabhupada/01_-_Lectures/01_-_English/02_-_Month_wise/07_-_July/09/SB-06-01-25_1975-07-09_SB-CHICAGO.MP3" TargetMode="External"/><Relationship Id="rId2137" Type="http://schemas.openxmlformats.org/officeDocument/2006/relationships/hyperlink" Target="https://audio.iskcondesiretree.com/01_-_Srila_Prabhupada/01_-_Lectures/01_-_English/02_-_Month_wise/06_-_June/14/SB-02-01-06_1974-06-14_SB-PARIS.MP3" TargetMode="External"/><Relationship Id="rId3469" Type="http://schemas.openxmlformats.org/officeDocument/2006/relationships/hyperlink" Target="https://audio.iskcondesiretree.com/01_-_Srila_Prabhupada/01_-_Lectures/01_-_English/01_-_Topic_wise/Srimad_Bhagavatam/Canto-06/SP_SB_6-01-25_Chicago_1975-07-09_Attachment-To_Shadows.mp3" TargetMode="External"/><Relationship Id="rId2138" Type="http://schemas.openxmlformats.org/officeDocument/2006/relationships/hyperlink" Target="https://audio.iskcondesiretree.com/01_-_Srila_Prabhupada/01_-_Lectures/01_-_English/02_-_Month_wise/06_-_June/14/SB_2-01-06_PAR_1974-06-14_Do_You_Know_How_to_Die.mp3" TargetMode="External"/><Relationship Id="rId3468" Type="http://schemas.openxmlformats.org/officeDocument/2006/relationships/hyperlink" Target="https://audio.iskcondesiretree.com/01_-_Srila_Prabhupada/01_-_Lectures/01_-_English/01_-_Topic_wise/Room_Conversation/SP_Room_Conversation_Chicago_1975-07-09_Can_You_Pass_a_Resolution.mp3" TargetMode="External"/><Relationship Id="rId4799" Type="http://schemas.openxmlformats.org/officeDocument/2006/relationships/hyperlink" Target="https://audio.iskcondesiretree.com/01_-_Srila_Prabhupada/01_-_Lectures/01_-_English/02_-_Month_wise/06_-_June/21/MW_TOR_1976-06-21_Everyone_Wants_to_Become_Krishna.mp3" TargetMode="External"/><Relationship Id="rId2139" Type="http://schemas.openxmlformats.org/officeDocument/2006/relationships/hyperlink" Target="https://audio.iskcondesiretree.com/01_-_Srila_Prabhupada/01_-_Lectures/01_-_English/02_-_Month_wise/06_-_June/14/Walk_1974-06-14_MW-PARIS.MP3" TargetMode="External"/><Relationship Id="rId4790" Type="http://schemas.openxmlformats.org/officeDocument/2006/relationships/hyperlink" Target="https://audio.iskcondesiretree.com/01_-_Srila_Prabhupada/01_-_Lectures/01_-_English/01_-_Topic_wise/Various/SP_Lecture_Toronto_1976-06-20_Sunday_Feast--Don%27t_Forget_Your_Heritage.mp3" TargetMode="External"/><Relationship Id="rId3461" Type="http://schemas.openxmlformats.org/officeDocument/2006/relationships/hyperlink" Target="https://audio.iskcondesiretree.com/01_-_Srila_Prabhupada/01_-_Lectures/01_-_English/02_-_Month_wise/07_-_July/08/MW_CHI_1975-07-08_How_Blind_People_Are.mp3" TargetMode="External"/><Relationship Id="rId4792" Type="http://schemas.openxmlformats.org/officeDocument/2006/relationships/hyperlink" Target="https://audio.iskcondesiretree.com/01_-_Srila_Prabhupada/01_-_Lectures/01_-_English/02_-_Month_wise/06_-_June/20/Lect_TOR_1976-06-20_Sunday_Feast-Don%27t_Forget_Your_Heritage.mp3" TargetMode="External"/><Relationship Id="rId2130" Type="http://schemas.openxmlformats.org/officeDocument/2006/relationships/hyperlink" Target="https://audio.iskcondesiretree.com/01_-_Srila_Prabhupada/01_-_Lectures/01_-_English/01_-_Topic_wise/Morning_Walk/SP_Morning_Walk_-_Paris_1974-06-14_The_Nonsectarian_Signboard.mp3" TargetMode="External"/><Relationship Id="rId3460" Type="http://schemas.openxmlformats.org/officeDocument/2006/relationships/hyperlink" Target="https://audio.iskcondesiretree.com/01_-_Srila_Prabhupada/01_-_Lectures/01_-_English/01_-_Topic_wise/Srimad_Bhagavatam/Canto-06/SP_SB_6-01-24_Chicago_1975-07-08_Family_Life.mp3" TargetMode="External"/><Relationship Id="rId4791" Type="http://schemas.openxmlformats.org/officeDocument/2006/relationships/hyperlink" Target="https://audio.iskcondesiretree.com/01_-_Srila_Prabhupada/01_-_Lectures/01_-_English/02_-_Month_wise/06_-_June/20/Bg-09-03_1976-06-20_BG-TORONTO.MP3" TargetMode="External"/><Relationship Id="rId2131" Type="http://schemas.openxmlformats.org/officeDocument/2006/relationships/hyperlink" Target="https://audio.iskcondesiretree.com/01_-_Srila_Prabhupada/01_-_Lectures/01_-_English/01_-_Topic_wise/Room_Conversation/SP_Room_Conversation_Paris_1974-06-14_Prof--In_Every_Town_and_Village.mp3" TargetMode="External"/><Relationship Id="rId3463" Type="http://schemas.openxmlformats.org/officeDocument/2006/relationships/hyperlink" Target="https://audio.iskcondesiretree.com/01_-_Srila_Prabhupada/01_-_Lectures/01_-_English/02_-_Month_wise/07_-_July/08/SB_6-01-24_CHI_1975-07-08_Family_Life.mp3" TargetMode="External"/><Relationship Id="rId4794" Type="http://schemas.openxmlformats.org/officeDocument/2006/relationships/hyperlink" Target="https://audio.iskcondesiretree.com/01_-_Srila_Prabhupada/01_-_Lectures/01_-_English/02_-_Month_wise/06_-_June/20/SB_7-06-04_TOR_1976-06-20_Innermost_Benefit_from_the_etc.mp3" TargetMode="External"/><Relationship Id="rId2132" Type="http://schemas.openxmlformats.org/officeDocument/2006/relationships/hyperlink" Target="https://audio.iskcondesiretree.com/01_-_Srila_Prabhupada/01_-_Lectures/01_-_English/01_-_Topic_wise/Srimad_Bhagavatam/Canto-02/SP_SB_2-01-06_Paris_1974-06-14_Do_You_Know_How_to_Die.mp3" TargetMode="External"/><Relationship Id="rId3462" Type="http://schemas.openxmlformats.org/officeDocument/2006/relationships/hyperlink" Target="https://audio.iskcondesiretree.com/01_-_Srila_Prabhupada/01_-_Lectures/01_-_English/02_-_Month_wise/07_-_July/08/SB-06-01-24_1975-07-08_SB-CHICAGO.MP3" TargetMode="External"/><Relationship Id="rId4793" Type="http://schemas.openxmlformats.org/officeDocument/2006/relationships/hyperlink" Target="https://audio.iskcondesiretree.com/01_-_Srila_Prabhupada/01_-_Lectures/01_-_English/02_-_Month_wise/06_-_June/20/SB-07-06-04_1976-06-20_SB-TORONTO.MP3" TargetMode="External"/><Relationship Id="rId2133" Type="http://schemas.openxmlformats.org/officeDocument/2006/relationships/hyperlink" Target="https://audio.iskcondesiretree.com/01_-_Srila_Prabhupada/01_-_Lectures/01_-_English/02_-_Month_wise/06_-_June/14/Conv_1974-06-14_R1-PARIS.MP3" TargetMode="External"/><Relationship Id="rId3465" Type="http://schemas.openxmlformats.org/officeDocument/2006/relationships/hyperlink" Target="https://audio.iskcondesiretree.com/01_-_Srila_Prabhupada/01_-_Lectures/01_-_English/01_-_Topic_wise/Interview/SP_Interview_Chicago_1975-07-09_Press--A_Higher_Philosophy.mp3" TargetMode="External"/><Relationship Id="rId4796" Type="http://schemas.openxmlformats.org/officeDocument/2006/relationships/hyperlink" Target="https://audio.iskcondesiretree.com/01_-_Srila_Prabhupada/01_-_Lectures/01_-_English/01_-_Topic_wise/Morning_Walk/SP_Morning_Walk_-_Toronto_1976-06-21_Everyone_Wants_to_Become_Krishna.mp3" TargetMode="External"/><Relationship Id="rId2134" Type="http://schemas.openxmlformats.org/officeDocument/2006/relationships/hyperlink" Target="https://audio.iskcondesiretree.com/01_-_Srila_Prabhupada/01_-_Lectures/01_-_English/02_-_Month_wise/06_-_June/14/Lecture_1974-06-14_LE-PARIS.MP3" TargetMode="External"/><Relationship Id="rId3464" Type="http://schemas.openxmlformats.org/officeDocument/2006/relationships/hyperlink" Target="https://audio.iskcondesiretree.com/01_-_Srila_Prabhupada/01_-_Lectures/01_-_English/02_-_Month_wise/07_-_July/08/Walk_1975-07-08_MW-CHICAGO.MP3" TargetMode="External"/><Relationship Id="rId4795" Type="http://schemas.openxmlformats.org/officeDocument/2006/relationships/hyperlink" Target="https://audio.iskcondesiretree.com/01_-_Srila_Prabhupada/01_-_Lectures/01_-_English/02_-_Month_wise/06_-_June/20/Walk_1976-06-20_MW-TORONTO.MP3" TargetMode="External"/><Relationship Id="rId2135" Type="http://schemas.openxmlformats.org/officeDocument/2006/relationships/hyperlink" Target="https://audio.iskcondesiretree.com/01_-_Srila_Prabhupada/01_-_Lectures/01_-_English/02_-_Month_wise/06_-_June/14/MW_PAR_1974-06-14_The_Nonsectarian_Signboard.mp3" TargetMode="External"/><Relationship Id="rId3467" Type="http://schemas.openxmlformats.org/officeDocument/2006/relationships/hyperlink" Target="https://audio.iskcondesiretree.com/01_-_Srila_Prabhupada/01_-_Lectures/01_-_English/01_-_Topic_wise/Morning_Walk/SP_Morning_Walk_-_Chicago_1975-07-09_All-isms_is_Equal_to_Animalism.mp3" TargetMode="External"/><Relationship Id="rId4798" Type="http://schemas.openxmlformats.org/officeDocument/2006/relationships/hyperlink" Target="https://audio.iskcondesiretree.com/01_-_Srila_Prabhupada/01_-_Lectures/01_-_English/02_-_Month_wise/06_-_June/21/Conv_1976-06-21_CR-TORONTO.MP3" TargetMode="External"/><Relationship Id="rId2136" Type="http://schemas.openxmlformats.org/officeDocument/2006/relationships/hyperlink" Target="https://audio.iskcondesiretree.com/01_-_Srila_Prabhupada/01_-_Lectures/01_-_English/02_-_Month_wise/06_-_June/14/RC_PAR_1974-06-14_Prof--In_Every_Town_and_Village.mp3" TargetMode="External"/><Relationship Id="rId3466" Type="http://schemas.openxmlformats.org/officeDocument/2006/relationships/hyperlink" Target="https://audio.iskcondesiretree.com/01_-_Srila_Prabhupada/01_-_Lectures/01_-_English/01_-_Topic_wise/Interview/SP_Interview_Chicago_1975-07-09_Television--Actual_Woman%27s_Liberation.mp3" TargetMode="External"/><Relationship Id="rId4797" Type="http://schemas.openxmlformats.org/officeDocument/2006/relationships/hyperlink" Target="https://audio.iskcondesiretree.com/01_-_Srila_Prabhupada/01_-_Lectures/01_-_English/02_-_Month_wise/06_-_June/21/Arrival_1976-06-21_AR-NEW%20VRINDAVAN.MP3" TargetMode="External"/><Relationship Id="rId3490" Type="http://schemas.openxmlformats.org/officeDocument/2006/relationships/hyperlink" Target="https://audio.iskcondesiretree.com/01_-_Srila_Prabhupada/01_-_Lectures/01_-_English/01_-_Topic_wise/Srimad_Bhagavatam/Canto-06/SP_SB_6-01-26_Chicago_1975-07-11_An_Ass%27s_Affection.mp3" TargetMode="External"/><Relationship Id="rId2160" Type="http://schemas.openxmlformats.org/officeDocument/2006/relationships/hyperlink" Target="https://audio.iskcondesiretree.com/01_-_Srila_Prabhupada/01_-_Lectures/01_-_English/01_-_Topic_wise/Morning_Walk/SP_Morning_Walk_-_Paris_1974-06-19_People_Want_to_Banish_God.mp3" TargetMode="External"/><Relationship Id="rId3492" Type="http://schemas.openxmlformats.org/officeDocument/2006/relationships/hyperlink" Target="https://audio.iskcondesiretree.com/01_-_Srila_Prabhupada/01_-_Lectures/01_-_English/02_-_Month_wise/07_-_July/11/Arrival_1975-07-11_A2-PHILADELPHIA.MP3" TargetMode="External"/><Relationship Id="rId2161" Type="http://schemas.openxmlformats.org/officeDocument/2006/relationships/hyperlink" Target="https://audio.iskcondesiretree.com/01_-_Srila_Prabhupada/01_-_Lectures/01_-_English/01_-_Topic_wise/Room_Conversation/SP_Room_Conversation_Germany_1974-06-19_Prof_Durckheim_1--Outside_the--etc.mp3" TargetMode="External"/><Relationship Id="rId3491" Type="http://schemas.openxmlformats.org/officeDocument/2006/relationships/hyperlink" Target="https://audio.iskcondesiretree.com/01_-_Srila_Prabhupada/01_-_Lectures/01_-_English/02_-_Month_wise/07_-_July/11/Arr_PHI_1975-07-11_The_Dancing_Platform.mp3" TargetMode="External"/><Relationship Id="rId2162" Type="http://schemas.openxmlformats.org/officeDocument/2006/relationships/hyperlink" Target="https://audio.iskcondesiretree.com/01_-_Srila_Prabhupada/01_-_Lectures/01_-_English/01_-_Topic_wise/Room_Conversation/SP_Room_Conversation_Germany_1974-06-19_Prof_Durckheim_2--Take_the_Name_of--etc.mp3" TargetMode="External"/><Relationship Id="rId3494" Type="http://schemas.openxmlformats.org/officeDocument/2006/relationships/hyperlink" Target="https://audio.iskcondesiretree.com/01_-_Srila_Prabhupada/01_-_Lectures/01_-_English/02_-_Month_wise/07_-_July/11/Initiations_1975-07-11_IN-CHICAGO.MP3" TargetMode="External"/><Relationship Id="rId2163" Type="http://schemas.openxmlformats.org/officeDocument/2006/relationships/hyperlink" Target="https://audio.iskcondesiretree.com/01_-_Srila_Prabhupada/01_-_Lectures/01_-_English/02_-_Month_wise/06_-_June/19/Conv_1974-06-19_R1-GERMANY.MP3" TargetMode="External"/><Relationship Id="rId3493" Type="http://schemas.openxmlformats.org/officeDocument/2006/relationships/hyperlink" Target="https://audio.iskcondesiretree.com/01_-_Srila_Prabhupada/01_-_Lectures/01_-_English/02_-_Month_wise/07_-_July/11/Arrival_1975-07-11_AR-PHILADELPHIA.MP3" TargetMode="External"/><Relationship Id="rId2164" Type="http://schemas.openxmlformats.org/officeDocument/2006/relationships/hyperlink" Target="https://audio.iskcondesiretree.com/01_-_Srila_Prabhupada/01_-_Lectures/01_-_English/02_-_Month_wise/06_-_June/19/MW_PAR_1974-06-19_People_Want_to_Banish_God.mp3" TargetMode="External"/><Relationship Id="rId3496" Type="http://schemas.openxmlformats.org/officeDocument/2006/relationships/hyperlink" Target="https://audio.iskcondesiretree.com/01_-_Srila_Prabhupada/01_-_Lectures/01_-_English/02_-_Month_wise/07_-_July/11/MW_CHI_1975-07-11_Darwin%27s_Speculation_is_Not_Science.mp3" TargetMode="External"/><Relationship Id="rId2165" Type="http://schemas.openxmlformats.org/officeDocument/2006/relationships/hyperlink" Target="https://audio.iskcondesiretree.com/01_-_Srila_Prabhupada/01_-_Lectures/01_-_English/02_-_Month_wise/06_-_June/19/RC_GER_1974-06-19_Prof_Durckheim_1_Outside_the_etc.mp3" TargetMode="External"/><Relationship Id="rId3495" Type="http://schemas.openxmlformats.org/officeDocument/2006/relationships/hyperlink" Target="https://audio.iskcondesiretree.com/01_-_Srila_Prabhupada/01_-_Lectures/01_-_English/02_-_Month_wise/07_-_July/11/Interv_PHI_1975-07-11_Press-Spirits_in_Alien_Machines.mp3" TargetMode="External"/><Relationship Id="rId2166" Type="http://schemas.openxmlformats.org/officeDocument/2006/relationships/hyperlink" Target="https://audio.iskcondesiretree.com/01_-_Srila_Prabhupada/01_-_Lectures/01_-_English/02_-_Month_wise/06_-_June/19/RC_GER_1974-06-19_Prof_Durckheim_2_Take_the_Name_of_etc.mp3" TargetMode="External"/><Relationship Id="rId3498" Type="http://schemas.openxmlformats.org/officeDocument/2006/relationships/hyperlink" Target="https://audio.iskcondesiretree.com/01_-_Srila_Prabhupada/01_-_Lectures/01_-_English/02_-_Month_wise/07_-_July/11/SB_6-01-26_CHI_1975-07-11_An_Ass%27s_Affection.mp3" TargetMode="External"/><Relationship Id="rId2167" Type="http://schemas.openxmlformats.org/officeDocument/2006/relationships/hyperlink" Target="https://audio.iskcondesiretree.com/01_-_Srila_Prabhupada/01_-_Lectures/01_-_English/02_-_Month_wise/06_-_June/19/Walk_1974-06-19_MW-GERMANY.MP3" TargetMode="External"/><Relationship Id="rId3497" Type="http://schemas.openxmlformats.org/officeDocument/2006/relationships/hyperlink" Target="https://audio.iskcondesiretree.com/01_-_Srila_Prabhupada/01_-_Lectures/01_-_English/02_-_Month_wise/07_-_July/11/SB-06-01-26_1975-07-11_SB-CHICAGO.MP3" TargetMode="External"/><Relationship Id="rId2168" Type="http://schemas.openxmlformats.org/officeDocument/2006/relationships/hyperlink" Target="https://audio.iskcondesiretree.com/01_-_Srila_Prabhupada/01_-_Lectures/01_-_English/01_-_Topic_wise/Morning_Walk/SP_Morning_Walk_-_Germany_1974-06-20_Different_Bodies_%C3%A2%E2%82%AC%E2%80%9C_Different_Bothers.mp3" TargetMode="External"/><Relationship Id="rId2169" Type="http://schemas.openxmlformats.org/officeDocument/2006/relationships/hyperlink" Target="https://audio.iskcondesiretree.com/01_-_Srila_Prabhupada/01_-_Lectures/01_-_English/01_-_Topic_wise/Morning_Walk/SP_Morning_Walk_-_Germany_1974-06-20_Different_Bodies_%E2%80%93_Different_Bothers.mp3" TargetMode="External"/><Relationship Id="rId3499" Type="http://schemas.openxmlformats.org/officeDocument/2006/relationships/hyperlink" Target="https://audio.iskcondesiretree.com/01_-_Srila_Prabhupada/01_-_Lectures/01_-_English/02_-_Month_wise/07_-_July/11/Walk_1975-07-11_MW-CHICAGO.MP3" TargetMode="External"/><Relationship Id="rId2159" Type="http://schemas.openxmlformats.org/officeDocument/2006/relationships/hyperlink" Target="https://audio.iskcondesiretree.com/01_-_Srila_Prabhupada/01_-_Lectures/01_-_English/02_-_Month_wise/06_-_June/18/Bg_02-13_GER_1974-06-18_We_Must_Surrender-God_or_Dog.mp3" TargetMode="External"/><Relationship Id="rId3481" Type="http://schemas.openxmlformats.org/officeDocument/2006/relationships/hyperlink" Target="https://audio.iskcondesiretree.com/01_-_Srila_Prabhupada/01_-_Lectures/01_-_English/01_-_Topic_wise/Room_Conversation/SP_Room_Conversation_01_Chicago_1975-07-10.MP3" TargetMode="External"/><Relationship Id="rId2150" Type="http://schemas.openxmlformats.org/officeDocument/2006/relationships/hyperlink" Target="https://audio.iskcondesiretree.com/01_-_Srila_Prabhupada/01_-_Lectures/01_-_English/02_-_Month_wise/06_-_June/16/Bg-02-01%E2%80%9305_1974-06-16_BG-GERMANY.MP3" TargetMode="External"/><Relationship Id="rId3480" Type="http://schemas.openxmlformats.org/officeDocument/2006/relationships/hyperlink" Target="https://audio.iskcondesiretree.com/01_-_Srila_Prabhupada/01_-_Lectures/01_-_English/01_-_Topic_wise/Morning_Walk/SP_Morning_Walk_-_Chicago_1975-07-10.MP3" TargetMode="External"/><Relationship Id="rId2151" Type="http://schemas.openxmlformats.org/officeDocument/2006/relationships/hyperlink" Target="https://audio.iskcondesiretree.com/01_-_Srila_Prabhupada/01_-_Lectures/01_-_English/02_-_Month_wise/06_-_June/16/Bg_02-01_GER_1974-06-16_Who_Is_Krishna.mp3" TargetMode="External"/><Relationship Id="rId3483" Type="http://schemas.openxmlformats.org/officeDocument/2006/relationships/hyperlink" Target="https://audio.iskcondesiretree.com/01_-_Srila_Prabhupada/01_-_Lectures/01_-_English/02_-_Month_wise/07_-_July/10/Conv_1975-07-10_R1-CHICAGO.MP3" TargetMode="External"/><Relationship Id="rId2152" Type="http://schemas.openxmlformats.org/officeDocument/2006/relationships/hyperlink" Target="https://audio.iskcondesiretree.com/01_-_Srila_Prabhupada/01_-_Lectures/01_-_English/01_-_Topic_wise/Morning_Walk/SP_Morning_Walk_-_Germany_1974-06-17_Fools%27_Paradise_Lost.mp3" TargetMode="External"/><Relationship Id="rId3482" Type="http://schemas.openxmlformats.org/officeDocument/2006/relationships/hyperlink" Target="https://audio.iskcondesiretree.com/01_-_Srila_Prabhupada/01_-_Lectures/01_-_English/01_-_Topic_wise/Various/SP_Lecture_and_Initiation_Chicago_1975-07-10.MP3" TargetMode="External"/><Relationship Id="rId2153" Type="http://schemas.openxmlformats.org/officeDocument/2006/relationships/hyperlink" Target="https://audio.iskcondesiretree.com/01_-_Srila_Prabhupada/01_-_Lectures/01_-_English/01_-_Topic_wise/Room_Conversation/SP_Room_Conversation_01_Germany_1974-06-17.mp3" TargetMode="External"/><Relationship Id="rId3485" Type="http://schemas.openxmlformats.org/officeDocument/2006/relationships/hyperlink" Target="https://audio.iskcondesiretree.com/01_-_Srila_Prabhupada/01_-_Lectures/01_-_English/02_-_Month_wise/07_-_July/10/Walk_1975-07-10_MW-CHICAGO.MP3" TargetMode="External"/><Relationship Id="rId2154" Type="http://schemas.openxmlformats.org/officeDocument/2006/relationships/hyperlink" Target="https://audio.iskcondesiretree.com/01_-_Srila_Prabhupada/01_-_Lectures/01_-_English/02_-_Month_wise/06_-_June/17/Conv_1974-06-17_R1-GERMANY.MP3" TargetMode="External"/><Relationship Id="rId3484" Type="http://schemas.openxmlformats.org/officeDocument/2006/relationships/hyperlink" Target="https://audio.iskcondesiretree.com/01_-_Srila_Prabhupada/01_-_Lectures/01_-_English/02_-_Month_wise/07_-_July/10/Initiations_1975-07-10_IN-CHICAGO.MP3" TargetMode="External"/><Relationship Id="rId2155" Type="http://schemas.openxmlformats.org/officeDocument/2006/relationships/hyperlink" Target="https://audio.iskcondesiretree.com/01_-_Srila_Prabhupada/01_-_Lectures/01_-_English/02_-_Month_wise/06_-_June/17/MW_GER_1974-06-17_Fools%27_Paradise_Lost.mp3" TargetMode="External"/><Relationship Id="rId3487" Type="http://schemas.openxmlformats.org/officeDocument/2006/relationships/hyperlink" Target="https://audio.iskcondesiretree.com/01_-_Srila_Prabhupada/01_-_Lectures/01_-_English/01_-_Topic_wise/Arrival_Address/SP_Arrival_Philadelphia_1975-07-11_The_Dancing_Platform.mp3" TargetMode="External"/><Relationship Id="rId2156" Type="http://schemas.openxmlformats.org/officeDocument/2006/relationships/hyperlink" Target="https://audio.iskcondesiretree.com/01_-_Srila_Prabhupada/01_-_Lectures/01_-_English/02_-_Month_wise/06_-_June/17/Walk_1974-06-17_MW-GERMANY.MP3" TargetMode="External"/><Relationship Id="rId3486" Type="http://schemas.openxmlformats.org/officeDocument/2006/relationships/hyperlink" Target="https://audio.iskcondesiretree.com/01_-_Srila_Prabhupada/01_-_Lectures/01_-_English/01_-_Topic_wise/Arrival_Address/SP_Arrival_Philadelphia_1975-07-11.MP3" TargetMode="External"/><Relationship Id="rId2157" Type="http://schemas.openxmlformats.org/officeDocument/2006/relationships/hyperlink" Target="https://audio.iskcondesiretree.com/01_-_Srila_Prabhupada/01_-_Lectures/01_-_English/01_-_Topic_wise/Bhagavad_Gita/Chapter-02/SP_BG_02-13_Germany_1974-06-18_We_Must_Surrender-God_or_Dog.mp3" TargetMode="External"/><Relationship Id="rId3489" Type="http://schemas.openxmlformats.org/officeDocument/2006/relationships/hyperlink" Target="https://audio.iskcondesiretree.com/01_-_Srila_Prabhupada/01_-_Lectures/01_-_English/01_-_Topic_wise/Morning_Walk/SP_Morning_Walk_-_Chicago_1975-07-11_Darwin%27s_Speculation_is_Not_Science.mp3" TargetMode="External"/><Relationship Id="rId2158" Type="http://schemas.openxmlformats.org/officeDocument/2006/relationships/hyperlink" Target="https://audio.iskcondesiretree.com/01_-_Srila_Prabhupada/01_-_Lectures/01_-_English/02_-_Month_wise/06_-_June/18/Bg-02-13_1974-06-18_BG-GERMANY.MP3" TargetMode="External"/><Relationship Id="rId3488" Type="http://schemas.openxmlformats.org/officeDocument/2006/relationships/hyperlink" Target="https://audio.iskcondesiretree.com/01_-_Srila_Prabhupada/01_-_Lectures/01_-_English/01_-_Topic_wise/Interview/SP_Interview_Philadelphia_1975-07-11_Press--Spirits_in_Alien_Machines.mp3" TargetMode="External"/><Relationship Id="rId2104" Type="http://schemas.openxmlformats.org/officeDocument/2006/relationships/hyperlink" Target="https://audio.iskcondesiretree.com/01_-_Srila_Prabhupada/01_-_Lectures/01_-_English/01_-_Topic_wise/Srimad_Bhagavatam/Canto-02/SP_SB_2-01-03_Paris_1974-06-12_Not_Even_Napoleon_Was_Safe.mp3" TargetMode="External"/><Relationship Id="rId3436" Type="http://schemas.openxmlformats.org/officeDocument/2006/relationships/hyperlink" Target="https://audio.iskcondesiretree.com/01_-_Srila_Prabhupada/01_-_Lectures/01_-_English/01_-_Topic_wise/Morning_Walk/SP_Morning_Walk_-_Chicago_1975-07-05_The_Rarest_Books_in_the_World.mp3" TargetMode="External"/><Relationship Id="rId4767" Type="http://schemas.openxmlformats.org/officeDocument/2006/relationships/hyperlink" Target="https://audio.iskcondesiretree.com/01_-_Srila_Prabhupada/01_-_Lectures/01_-_English/02_-_Month_wise/06_-_June/17/Conv_1976-06-17_R2-TORONTO.MP3" TargetMode="External"/><Relationship Id="rId2105" Type="http://schemas.openxmlformats.org/officeDocument/2006/relationships/hyperlink" Target="https://audio.iskcondesiretree.com/01_-_Srila_Prabhupada/01_-_Lectures/01_-_English/01_-_Topic_wise/Various/SP_Car_Conversation_Paris_1974-06-12.mp3" TargetMode="External"/><Relationship Id="rId3435" Type="http://schemas.openxmlformats.org/officeDocument/2006/relationships/hyperlink" Target="https://audio.iskcondesiretree.com/01_-_Srila_Prabhupada/01_-_Lectures/01_-_English/02_-_Month_wise/07_-_July/04/Walk_1975-07-04_MW-CHICAGO.MP3" TargetMode="External"/><Relationship Id="rId4766" Type="http://schemas.openxmlformats.org/officeDocument/2006/relationships/hyperlink" Target="https://audio.iskcondesiretree.com/01_-_Srila_Prabhupada/01_-_Lectures/01_-_English/02_-_Month_wise/06_-_June/17/Conv_1976-06-17_R1-TORONTO.MP3" TargetMode="External"/><Relationship Id="rId2106" Type="http://schemas.openxmlformats.org/officeDocument/2006/relationships/hyperlink" Target="https://audio.iskcondesiretree.com/01_-_Srila_Prabhupada/01_-_Lectures/01_-_English/02_-_Month_wise/06_-_June/12/Conv_1974-06-12_CR-PARIS.MP3" TargetMode="External"/><Relationship Id="rId3438" Type="http://schemas.openxmlformats.org/officeDocument/2006/relationships/hyperlink" Target="https://audio.iskcondesiretree.com/01_-_Srila_Prabhupada/01_-_Lectures/01_-_English/01_-_Topic_wise/Room_Conversation/SP_Room_Conversation_Chicago_1975-07-05_Editor_of_Playboy_Magazine--Can_a--etc.mp3" TargetMode="External"/><Relationship Id="rId4769" Type="http://schemas.openxmlformats.org/officeDocument/2006/relationships/hyperlink" Target="https://audio.iskcondesiretree.com/01_-_Srila_Prabhupada/01_-_Lectures/01_-_English/02_-_Month_wise/06_-_June/17/SB-07-06-01_1976-06-17_SB-TORONTO.MP3" TargetMode="External"/><Relationship Id="rId2107" Type="http://schemas.openxmlformats.org/officeDocument/2006/relationships/hyperlink" Target="https://audio.iskcondesiretree.com/01_-_Srila_Prabhupada/01_-_Lectures/01_-_English/02_-_Month_wise/06_-_June/12/Conv_1974-06-12_R1-PARIS.MP3" TargetMode="External"/><Relationship Id="rId3437" Type="http://schemas.openxmlformats.org/officeDocument/2006/relationships/hyperlink" Target="https://audio.iskcondesiretree.com/01_-_Srila_Prabhupada/01_-_Lectures/01_-_English/01_-_Topic_wise/Room_Conversation/SP_Room_Conversation_Chicago_1975-07-05_Chicago_Police_Dept--How_to_Prevent_Crime.mp3" TargetMode="External"/><Relationship Id="rId4768" Type="http://schemas.openxmlformats.org/officeDocument/2006/relationships/hyperlink" Target="https://audio.iskcondesiretree.com/01_-_Srila_Prabhupada/01_-_Lectures/01_-_English/02_-_Month_wise/06_-_June/17/Lect_TOR_1976-06-17_Initiation-Today_Nobody_etc.mp3" TargetMode="External"/><Relationship Id="rId2108" Type="http://schemas.openxmlformats.org/officeDocument/2006/relationships/hyperlink" Target="https://audio.iskcondesiretree.com/01_-_Srila_Prabhupada/01_-_Lectures/01_-_English/02_-_Month_wise/06_-_June/12/Conv_1974-06-12_R2-PARIS.MP3" TargetMode="External"/><Relationship Id="rId2109" Type="http://schemas.openxmlformats.org/officeDocument/2006/relationships/hyperlink" Target="https://audio.iskcondesiretree.com/01_-_Srila_Prabhupada/01_-_Lectures/01_-_English/02_-_Month_wise/06_-_June/12/MW_PAR_1974-06-12_God_Is_Not_Dead-Your_Intelligence_Is_Dead.mp3" TargetMode="External"/><Relationship Id="rId3439" Type="http://schemas.openxmlformats.org/officeDocument/2006/relationships/hyperlink" Target="https://audio.iskcondesiretree.com/01_-_Srila_Prabhupada/01_-_Lectures/01_-_English/01_-_Topic_wise/Srimad_Bhagavatam/Canto-06/SP_SB_6-01-21_Chicago_1975-07-05_How_to_Prevent_Crime.mp3" TargetMode="External"/><Relationship Id="rId3430" Type="http://schemas.openxmlformats.org/officeDocument/2006/relationships/hyperlink" Target="https://audio.iskcondesiretree.com/01_-_Srila_Prabhupada/01_-_Lectures/01_-_English/02_-_Month_wise/07_-_July/04/Conv_1975-07-04_R1-CHICAGO.MP3" TargetMode="External"/><Relationship Id="rId4761" Type="http://schemas.openxmlformats.org/officeDocument/2006/relationships/hyperlink" Target="https://audio.iskcondesiretree.com/01_-_Srila_Prabhupada/01_-_Lectures/01_-_English/01_-_Topic_wise/Srimad_Bhagavatam/Canto-06/SP_SB_6-01-50_Detroit_1976-06-16_Medicine_for_Conditioned_Mind.mp3" TargetMode="External"/><Relationship Id="rId4760" Type="http://schemas.openxmlformats.org/officeDocument/2006/relationships/hyperlink" Target="https://audio.iskcondesiretree.com/01_-_Srila_Prabhupada/01_-_Lectures/01_-_English/02_-_Month_wise/06_-_June/15/Walk_1976-06-15_MW-DETROIT.MP3" TargetMode="External"/><Relationship Id="rId2100" Type="http://schemas.openxmlformats.org/officeDocument/2006/relationships/hyperlink" Target="https://audio.iskcondesiretree.com/01_-_Srila_Prabhupada/01_-_Lectures/01_-_English/02_-_Month_wise/06_-_June/11/Walk_1974-06-11_MW-PARIS.MP3" TargetMode="External"/><Relationship Id="rId3432" Type="http://schemas.openxmlformats.org/officeDocument/2006/relationships/hyperlink" Target="https://audio.iskcondesiretree.com/01_-_Srila_Prabhupada/01_-_Lectures/01_-_English/02_-_Month_wise/07_-_July/04/RC_CHI_1975-07-04_Mayor_of_Evanston-Administrators_etc.mp3" TargetMode="External"/><Relationship Id="rId4763" Type="http://schemas.openxmlformats.org/officeDocument/2006/relationships/hyperlink" Target="https://audio.iskcondesiretree.com/01_-_Srila_Prabhupada/01_-_Lectures/01_-_English/02_-_Month_wise/06_-_June/16/SB-06-01-50_1976-06-16_SB-DETROIT.MP3" TargetMode="External"/><Relationship Id="rId2101" Type="http://schemas.openxmlformats.org/officeDocument/2006/relationships/hyperlink" Target="https://audio.iskcondesiretree.com/01_-_Srila_Prabhupada/01_-_Lectures/01_-_English/01_-_Topic_wise/Morning_Walk/SP_Morning_Walk_-_Paris_1974-06-12_God_Is_Not_Dead-Your_Intelligence_Is_Dead.mp3" TargetMode="External"/><Relationship Id="rId3431" Type="http://schemas.openxmlformats.org/officeDocument/2006/relationships/hyperlink" Target="https://audio.iskcondesiretree.com/01_-_Srila_Prabhupada/01_-_Lectures/01_-_English/02_-_Month_wise/07_-_July/04/MW_CHI_1975-07-04_Scientists_Controlling_Nature_That_etc.mp3" TargetMode="External"/><Relationship Id="rId4762" Type="http://schemas.openxmlformats.org/officeDocument/2006/relationships/hyperlink" Target="https://audio.iskcondesiretree.com/01_-_Srila_Prabhupada/01_-_Lectures/01_-_English/02_-_Month_wise/06_-_June/16/Conv_1976-06-16_R1-DETROIT.MP3" TargetMode="External"/><Relationship Id="rId2102" Type="http://schemas.openxmlformats.org/officeDocument/2006/relationships/hyperlink" Target="https://audio.iskcondesiretree.com/01_-_Srila_Prabhupada/01_-_Lectures/01_-_English/01_-_Topic_wise/Room_Conversation/SP_Room_Conversation_Paris_1974-06-12_Communist--etc.mp3" TargetMode="External"/><Relationship Id="rId3434" Type="http://schemas.openxmlformats.org/officeDocument/2006/relationships/hyperlink" Target="https://audio.iskcondesiretree.com/01_-_Srila_Prabhupada/01_-_Lectures/01_-_English/02_-_Month_wise/07_-_July/04/SB_6-01-20_CHI_1975-07-04_Crime-Why_and_What_to_Do.mp3" TargetMode="External"/><Relationship Id="rId4765" Type="http://schemas.openxmlformats.org/officeDocument/2006/relationships/hyperlink" Target="https://audio.iskcondesiretree.com/01_-_Srila_Prabhupada/01_-_Lectures/01_-_English/01_-_Topic_wise/Various/SP_Lecture_Toronto_1976-06-17_Initiation--Today_Nobody--etc.mp3" TargetMode="External"/><Relationship Id="rId2103" Type="http://schemas.openxmlformats.org/officeDocument/2006/relationships/hyperlink" Target="https://audio.iskcondesiretree.com/01_-_Srila_Prabhupada/01_-_Lectures/01_-_English/01_-_Topic_wise/Room_Conversation/SP_Room_Conversation_Paris_1974-06-12_French_Poet--Flies_Want_to_Enjoy_the_Fire.mp3" TargetMode="External"/><Relationship Id="rId3433" Type="http://schemas.openxmlformats.org/officeDocument/2006/relationships/hyperlink" Target="https://audio.iskcondesiretree.com/01_-_Srila_Prabhupada/01_-_Lectures/01_-_English/02_-_Month_wise/07_-_July/04/SB-06-01-20_1975-07-04_SB-CHICAGO.MP3" TargetMode="External"/><Relationship Id="rId4764" Type="http://schemas.openxmlformats.org/officeDocument/2006/relationships/hyperlink" Target="https://audio.iskcondesiretree.com/01_-_Srila_Prabhupada/01_-_Lectures/01_-_English/02_-_Month_wise/06_-_June/16/SB_6-01-50_DET_1976-06-16_Medicine_for_Conditioned_Mind.mp3" TargetMode="External"/><Relationship Id="rId3425" Type="http://schemas.openxmlformats.org/officeDocument/2006/relationships/hyperlink" Target="https://audio.iskcondesiretree.com/01_-_Srila_Prabhupada/01_-_Lectures/01_-_English/02_-_Month_wise/07_-_July/03/MW_DEN_1975-07-03_Sometimes_This_Material_World_Is_etc.mp3" TargetMode="External"/><Relationship Id="rId4756" Type="http://schemas.openxmlformats.org/officeDocument/2006/relationships/hyperlink" Target="https://audio.iskcondesiretree.com/01_-_Srila_Prabhupada/01_-_Lectures/01_-_English/02_-_Month_wise/06_-_June/15/Initiations_1976-06-15_IN-DETROIT.MP3" TargetMode="External"/><Relationship Id="rId3424" Type="http://schemas.openxmlformats.org/officeDocument/2006/relationships/hyperlink" Target="https://audio.iskcondesiretree.com/01_-_Srila_Prabhupada/01_-_Lectures/01_-_English/02_-_Month_wise/07_-_July/03/Arrival_1975-07-03_AR-CHICAGO.MP3" TargetMode="External"/><Relationship Id="rId4755" Type="http://schemas.openxmlformats.org/officeDocument/2006/relationships/hyperlink" Target="https://audio.iskcondesiretree.com/01_-_Srila_Prabhupada/01_-_Lectures/01_-_English/02_-_Month_wise/06_-_June/15/Conv_1976-06-15_R3-DETROIT.MP3" TargetMode="External"/><Relationship Id="rId3427" Type="http://schemas.openxmlformats.org/officeDocument/2006/relationships/hyperlink" Target="https://audio.iskcondesiretree.com/01_-_Srila_Prabhupada/01_-_Lectures/01_-_English/01_-_Topic_wise/Morning_Walk/SP_Morning_Walk_-_Chicago_1975-07-04_Scientists_Controlling_Nature--That--etc.mp3" TargetMode="External"/><Relationship Id="rId4758" Type="http://schemas.openxmlformats.org/officeDocument/2006/relationships/hyperlink" Target="https://audio.iskcondesiretree.com/01_-_Srila_Prabhupada/01_-_Lectures/01_-_English/02_-_Month_wise/06_-_June/15/SB-06-01-49_1976-06-15_SB-DETROIT.MP3" TargetMode="External"/><Relationship Id="rId3426" Type="http://schemas.openxmlformats.org/officeDocument/2006/relationships/hyperlink" Target="https://audio.iskcondesiretree.com/01_-_Srila_Prabhupada/01_-_Lectures/01_-_English/02_-_Month_wise/07_-_July/03/Walk_1975-07-03_MW-DENVER.MP3" TargetMode="External"/><Relationship Id="rId4757" Type="http://schemas.openxmlformats.org/officeDocument/2006/relationships/hyperlink" Target="https://audio.iskcondesiretree.com/01_-_Srila_Prabhupada/01_-_Lectures/01_-_English/02_-_Month_wise/06_-_June/15/RC_DET_1976-06-15_Priests--Handicapped_By_Mundane_Piety.mp3" TargetMode="External"/><Relationship Id="rId3429" Type="http://schemas.openxmlformats.org/officeDocument/2006/relationships/hyperlink" Target="https://audio.iskcondesiretree.com/01_-_Srila_Prabhupada/01_-_Lectures/01_-_English/01_-_Topic_wise/Srimad_Bhagavatam/Canto-06/SP_SB_6-01-20_Chicago_1975-07-04_Crime-Why_and_What_to_Do.mp3" TargetMode="External"/><Relationship Id="rId3428" Type="http://schemas.openxmlformats.org/officeDocument/2006/relationships/hyperlink" Target="https://audio.iskcondesiretree.com/01_-_Srila_Prabhupada/01_-_Lectures/01_-_English/01_-_Topic_wise/Room_Conversation/SP_Room_Conversation_Chicago_1975-07-04_Mayor_of_Evanston--Administrators--etc.mp3" TargetMode="External"/><Relationship Id="rId4759" Type="http://schemas.openxmlformats.org/officeDocument/2006/relationships/hyperlink" Target="https://audio.iskcondesiretree.com/01_-_Srila_Prabhupada/01_-_Lectures/01_-_English/02_-_Month_wise/06_-_June/15/SB_6-01-49_DET_1976-06-15_Deity_Installation_Sense_etc.mp3" TargetMode="External"/><Relationship Id="rId4750" Type="http://schemas.openxmlformats.org/officeDocument/2006/relationships/hyperlink" Target="https://audio.iskcondesiretree.com/01_-_Srila_Prabhupada/01_-_Lectures/01_-_English/01_-_Topic_wise/Room_Conversation/SP_Room_Conversation_Detroit_1976-06-15_Priests--Handicapped_By_Mundane_Piety.mp3" TargetMode="External"/><Relationship Id="rId3421" Type="http://schemas.openxmlformats.org/officeDocument/2006/relationships/hyperlink" Target="https://audio.iskcondesiretree.com/01_-_Srila_Prabhupada/01_-_Lectures/01_-_English/01_-_Topic_wise/Arrival_Address/SP_Arrival_Chicago_1975-07-03_My_Mission_Is_To_Stop_the_Crimes--etc.mp3" TargetMode="External"/><Relationship Id="rId4752" Type="http://schemas.openxmlformats.org/officeDocument/2006/relationships/hyperlink" Target="https://audio.iskcondesiretree.com/01_-_Srila_Prabhupada/01_-_Lectures/01_-_English/02_-_Month_wise/06_-_June/15/Bg-02-01%E2%80%9312_1976-06-15_BG-DETROIT.MP3" TargetMode="External"/><Relationship Id="rId3420" Type="http://schemas.openxmlformats.org/officeDocument/2006/relationships/hyperlink" Target="https://audio.iskcondesiretree.com/01_-_Srila_Prabhupada/01_-_Lectures/01_-_English/02_-_Month_wise/07_-_July/02/Walk_1975-07-02_MW-DENVER.MP3" TargetMode="External"/><Relationship Id="rId4751" Type="http://schemas.openxmlformats.org/officeDocument/2006/relationships/hyperlink" Target="https://audio.iskcondesiretree.com/01_-_Srila_Prabhupada/01_-_Lectures/01_-_English/01_-_Topic_wise/Srimad_Bhagavatam/Canto-06/SP_SB_6-01-49_Detroit_1976-06-15_Deity_Installation--Sense--etc.mp3" TargetMode="External"/><Relationship Id="rId3423" Type="http://schemas.openxmlformats.org/officeDocument/2006/relationships/hyperlink" Target="https://audio.iskcondesiretree.com/01_-_Srila_Prabhupada/01_-_Lectures/01_-_English/02_-_Month_wise/07_-_July/03/Arr_CHI_1975-07-03_My_Mission_Is_To_Stop_the_Crimes_etc.mp3" TargetMode="External"/><Relationship Id="rId4754" Type="http://schemas.openxmlformats.org/officeDocument/2006/relationships/hyperlink" Target="https://audio.iskcondesiretree.com/01_-_Srila_Prabhupada/01_-_Lectures/01_-_English/02_-_Month_wise/06_-_June/15/Conv_1976-06-15_R2-DETROIT.MP3" TargetMode="External"/><Relationship Id="rId3422" Type="http://schemas.openxmlformats.org/officeDocument/2006/relationships/hyperlink" Target="https://audio.iskcondesiretree.com/01_-_Srila_Prabhupada/01_-_Lectures/01_-_English/01_-_Topic_wise/Morning_Walk/SP_Morning_Walk_-_Denver_1975-07-03_Sometimes_This_Material_World_Is--etc.mp3" TargetMode="External"/><Relationship Id="rId4753" Type="http://schemas.openxmlformats.org/officeDocument/2006/relationships/hyperlink" Target="https://audio.iskcondesiretree.com/01_-_Srila_Prabhupada/01_-_Lectures/01_-_English/02_-_Month_wise/06_-_June/15/Conv_1976-06-15_R1-DETROIT.MP3" TargetMode="External"/><Relationship Id="rId2126" Type="http://schemas.openxmlformats.org/officeDocument/2006/relationships/hyperlink" Target="https://audio.iskcondesiretree.com/01_-_Srila_Prabhupada/01_-_Lectures/01_-_English/02_-_Month_wise/06_-_June/13/RC_PAR_1974-06-13_Russian_Orthodox_Church_Moral_etc.mp3" TargetMode="External"/><Relationship Id="rId3458" Type="http://schemas.openxmlformats.org/officeDocument/2006/relationships/hyperlink" Target="https://audio.iskcondesiretree.com/01_-_Srila_Prabhupada/01_-_Lectures/01_-_English/02_-_Month_wise/07_-_July/07/Walk_1975-07-07_MW-CHICAGO.MP3" TargetMode="External"/><Relationship Id="rId4789" Type="http://schemas.openxmlformats.org/officeDocument/2006/relationships/hyperlink" Target="https://audio.iskcondesiretree.com/01_-_Srila_Prabhupada/01_-_Lectures/01_-_English/01_-_Topic_wise/Srimad_Bhagavatam/Canto-07/SP_SB_7-06-04_Toronto_1976-06-20_Innermost_Benefit_from_the--etc.mp3" TargetMode="External"/><Relationship Id="rId2127" Type="http://schemas.openxmlformats.org/officeDocument/2006/relationships/hyperlink" Target="https://audio.iskcondesiretree.com/01_-_Srila_Prabhupada/01_-_Lectures/01_-_English/02_-_Month_wise/06_-_June/13/SB-02-01-05_1974-06-13_SB-PARIS.MP3" TargetMode="External"/><Relationship Id="rId3457" Type="http://schemas.openxmlformats.org/officeDocument/2006/relationships/hyperlink" Target="https://audio.iskcondesiretree.com/01_-_Srila_Prabhupada/01_-_Lectures/01_-_English/02_-_Month_wise/07_-_July/07/SB_6-01-23_CHI_1975-07-07_Time_and_Tide_Wait_for_No_Man.mp3" TargetMode="External"/><Relationship Id="rId4788" Type="http://schemas.openxmlformats.org/officeDocument/2006/relationships/hyperlink" Target="https://audio.iskcondesiretree.com/01_-_Srila_Prabhupada/01_-_Lectures/01_-_English/02_-_Month_wise/06_-_June/19/Walk_1976-06-19_MW-TORONTO.MP3" TargetMode="External"/><Relationship Id="rId2128" Type="http://schemas.openxmlformats.org/officeDocument/2006/relationships/hyperlink" Target="https://audio.iskcondesiretree.com/01_-_Srila_Prabhupada/01_-_Lectures/01_-_English/02_-_Month_wise/06_-_June/13/SB_2-01-05_PAR_1974-06-13_Hear%2C_Chant_and_Be_Fearless.mp3" TargetMode="External"/><Relationship Id="rId2129" Type="http://schemas.openxmlformats.org/officeDocument/2006/relationships/hyperlink" Target="https://audio.iskcondesiretree.com/01_-_Srila_Prabhupada/01_-_Lectures/01_-_English/02_-_Month_wise/06_-_June/13/Walk_1974-06-13_MW-PARIS.MP3" TargetMode="External"/><Relationship Id="rId3459" Type="http://schemas.openxmlformats.org/officeDocument/2006/relationships/hyperlink" Target="https://audio.iskcondesiretree.com/01_-_Srila_Prabhupada/01_-_Lectures/01_-_English/01_-_Topic_wise/Morning_Walk/SP_Morning_Walk_-_Chicago_1975-07-08_How_Blind_People_Are%21.mp3" TargetMode="External"/><Relationship Id="rId3450" Type="http://schemas.openxmlformats.org/officeDocument/2006/relationships/hyperlink" Target="https://audio.iskcondesiretree.com/01_-_Srila_Prabhupada/01_-_Lectures/01_-_English/02_-_Month_wise/07_-_July/06/MW_CHI_1975-07-06_These_Demonic_Communists_Should_Be_Finished.mp3" TargetMode="External"/><Relationship Id="rId4781" Type="http://schemas.openxmlformats.org/officeDocument/2006/relationships/hyperlink" Target="https://audio.iskcondesiretree.com/01_-_Srila_Prabhupada/01_-_Lectures/01_-_English/02_-_Month_wise/06_-_June/18/SB-07-06-02_1976-06-18_SB-TORONTO.MP3" TargetMode="External"/><Relationship Id="rId4780" Type="http://schemas.openxmlformats.org/officeDocument/2006/relationships/hyperlink" Target="https://audio.iskcondesiretree.com/01_-_Srila_Prabhupada/01_-_Lectures/01_-_English/02_-_Month_wise/06_-_June/18/RC_TOR_1976-06-18_Prof_O%27Connell-Real_Education_is_etc.mp3" TargetMode="External"/><Relationship Id="rId2120" Type="http://schemas.openxmlformats.org/officeDocument/2006/relationships/hyperlink" Target="https://audio.iskcondesiretree.com/01_-_Srila_Prabhupada/01_-_Lectures/01_-_English/02_-_Month_wise/06_-_June/13/Bg-07-01%E2%80%9303_1974-06-13_BG-PARIS.MP3" TargetMode="External"/><Relationship Id="rId3452" Type="http://schemas.openxmlformats.org/officeDocument/2006/relationships/hyperlink" Target="https://audio.iskcondesiretree.com/01_-_Srila_Prabhupada/01_-_Lectures/01_-_English/02_-_Month_wise/07_-_July/06/SB_6-01-22_CHI_1975-07-06_Fifth_Class_Education_etc.mp3" TargetMode="External"/><Relationship Id="rId4783" Type="http://schemas.openxmlformats.org/officeDocument/2006/relationships/hyperlink" Target="https://audio.iskcondesiretree.com/01_-_Srila_Prabhupada/01_-_Lectures/01_-_English/02_-_Month_wise/06_-_June/18/Walk_1976-06-18_MW-TORONTO.MP3" TargetMode="External"/><Relationship Id="rId2121" Type="http://schemas.openxmlformats.org/officeDocument/2006/relationships/hyperlink" Target="https://audio.iskcondesiretree.com/01_-_Srila_Prabhupada/01_-_Lectures/01_-_English/02_-_Month_wise/06_-_June/13/Bg_07-01_PAR_1974-06-13_Serious_Ones_Will_Come_to_etc.mp3" TargetMode="External"/><Relationship Id="rId3451" Type="http://schemas.openxmlformats.org/officeDocument/2006/relationships/hyperlink" Target="https://audio.iskcondesiretree.com/01_-_Srila_Prabhupada/01_-_Lectures/01_-_English/02_-_Month_wise/07_-_July/06/SB-06-01-22_1975-07-06_SB-CHICAGO.MP3" TargetMode="External"/><Relationship Id="rId4782" Type="http://schemas.openxmlformats.org/officeDocument/2006/relationships/hyperlink" Target="https://audio.iskcondesiretree.com/01_-_Srila_Prabhupada/01_-_Lectures/01_-_English/02_-_Month_wise/06_-_June/18/SB_7-06-02_TOR_1976-06-18_Innermost_Benefit_from_the_etc.mp3" TargetMode="External"/><Relationship Id="rId2122" Type="http://schemas.openxmlformats.org/officeDocument/2006/relationships/hyperlink" Target="https://audio.iskcondesiretree.com/01_-_Srila_Prabhupada/01_-_Lectures/01_-_English/02_-_Month_wise/06_-_June/13/Conv_1974-06-13_R1-PARIS.MP3" TargetMode="External"/><Relationship Id="rId3454" Type="http://schemas.openxmlformats.org/officeDocument/2006/relationships/hyperlink" Target="https://audio.iskcondesiretree.com/01_-_Srila_Prabhupada/01_-_Lectures/01_-_English/01_-_Topic_wise/Morning_Walk/SP_Morning_Walk_-_Chicago_1975-07-07.MP3" TargetMode="External"/><Relationship Id="rId4785" Type="http://schemas.openxmlformats.org/officeDocument/2006/relationships/hyperlink" Target="https://audio.iskcondesiretree.com/01_-_Srila_Prabhupada/01_-_Lectures/01_-_English/02_-_Month_wise/06_-_June/19/Lecture_1976-06-19_LE-TORONTO.MP3" TargetMode="External"/><Relationship Id="rId2123" Type="http://schemas.openxmlformats.org/officeDocument/2006/relationships/hyperlink" Target="https://audio.iskcondesiretree.com/01_-_Srila_Prabhupada/01_-_Lectures/01_-_English/02_-_Month_wise/06_-_June/13/Conv_1974-06-13_R2-PARIS.MP3" TargetMode="External"/><Relationship Id="rId3453" Type="http://schemas.openxmlformats.org/officeDocument/2006/relationships/hyperlink" Target="https://audio.iskcondesiretree.com/01_-_Srila_Prabhupada/01_-_Lectures/01_-_English/02_-_Month_wise/07_-_July/06/Walk_1975-07-06_MW-CHICAGO.MP3" TargetMode="External"/><Relationship Id="rId4784" Type="http://schemas.openxmlformats.org/officeDocument/2006/relationships/hyperlink" Target="https://audio.iskcondesiretree.com/01_-_Srila_Prabhupada/01_-_Lectures/01_-_English/01_-_Topic_wise/Srimad_Bhagavatam/Canto-07/SP_SB_7-06-03_Toronto_1976-06-19_Pots_Change_-_Contents_Stay.mp3" TargetMode="External"/><Relationship Id="rId2124" Type="http://schemas.openxmlformats.org/officeDocument/2006/relationships/hyperlink" Target="https://audio.iskcondesiretree.com/01_-_Srila_Prabhupada/01_-_Lectures/01_-_English/02_-_Month_wise/06_-_June/13/MW_PAR_1974-06-13_Maya-Everything_Belongs_to_Me.mp3" TargetMode="External"/><Relationship Id="rId3456" Type="http://schemas.openxmlformats.org/officeDocument/2006/relationships/hyperlink" Target="https://audio.iskcondesiretree.com/01_-_Srila_Prabhupada/01_-_Lectures/01_-_English/02_-_Month_wise/07_-_July/07/SB-06-01-23_1975-07-07_SB-CHICAGO.MP3" TargetMode="External"/><Relationship Id="rId4787" Type="http://schemas.openxmlformats.org/officeDocument/2006/relationships/hyperlink" Target="https://audio.iskcondesiretree.com/01_-_Srila_Prabhupada/01_-_Lectures/01_-_English/02_-_Month_wise/06_-_June/19/SB_7-06-03_TOR_1976-06-19_Pots_Change_Contents_Stay.mp3" TargetMode="External"/><Relationship Id="rId2125" Type="http://schemas.openxmlformats.org/officeDocument/2006/relationships/hyperlink" Target="https://audio.iskcondesiretree.com/01_-_Srila_Prabhupada/01_-_Lectures/01_-_English/02_-_Month_wise/06_-_June/13/RC_PAR_1974-06-13_Buddhist_Deshimaru_Zen_and_the_etc.mp3" TargetMode="External"/><Relationship Id="rId3455" Type="http://schemas.openxmlformats.org/officeDocument/2006/relationships/hyperlink" Target="https://audio.iskcondesiretree.com/01_-_Srila_Prabhupada/01_-_Lectures/01_-_English/01_-_Topic_wise/Srimad_Bhagavatam/Canto-06/SP_SB_6-01-23_Chicago_1975-07-07_Time_and_Tide_Wait_for_New_Orleans_Man.mp3" TargetMode="External"/><Relationship Id="rId4786" Type="http://schemas.openxmlformats.org/officeDocument/2006/relationships/hyperlink" Target="https://audio.iskcondesiretree.com/01_-_Srila_Prabhupada/01_-_Lectures/01_-_English/02_-_Month_wise/06_-_June/19/SB-07-06-03_1976-06-19_SB-TORONTO.MP3" TargetMode="External"/><Relationship Id="rId2115" Type="http://schemas.openxmlformats.org/officeDocument/2006/relationships/hyperlink" Target="https://audio.iskcondesiretree.com/01_-_Srila_Prabhupada/01_-_Lectures/01_-_English/01_-_Topic_wise/Bhagavad_Gita/Chapter-07/SP_BG_07-01_Paris_1974-06-13_Serious_Ones_Will_Come_to--etc.mp3" TargetMode="External"/><Relationship Id="rId3447" Type="http://schemas.openxmlformats.org/officeDocument/2006/relationships/hyperlink" Target="https://audio.iskcondesiretree.com/01_-_Srila_Prabhupada/01_-_Lectures/01_-_English/02_-_Month_wise/07_-_July/05/Walk_1975-07-05_MW-CHICAGO.MP3" TargetMode="External"/><Relationship Id="rId4778" Type="http://schemas.openxmlformats.org/officeDocument/2006/relationships/hyperlink" Target="https://audio.iskcondesiretree.com/01_-_Srila_Prabhupada/01_-_Lectures/01_-_English/02_-_Month_wise/06_-_June/18/MW_TOR_1976-06-18_Dealing_With_the_Envious.mp3" TargetMode="External"/><Relationship Id="rId2116" Type="http://schemas.openxmlformats.org/officeDocument/2006/relationships/hyperlink" Target="https://audio.iskcondesiretree.com/01_-_Srila_Prabhupada/01_-_Lectures/01_-_English/01_-_Topic_wise/Morning_Walk/SP_Morning_Walk_-_Paris_1974-06-13_Maya-Everything_Belongs_to_Me.mp3" TargetMode="External"/><Relationship Id="rId3446" Type="http://schemas.openxmlformats.org/officeDocument/2006/relationships/hyperlink" Target="https://audio.iskcondesiretree.com/01_-_Srila_Prabhupada/01_-_Lectures/01_-_English/02_-_Month_wise/07_-_July/05/SB_6-01-21_CHI_1975-07-05_How_to_Prevent_Crime.mp3" TargetMode="External"/><Relationship Id="rId4777" Type="http://schemas.openxmlformats.org/officeDocument/2006/relationships/hyperlink" Target="https://audio.iskcondesiretree.com/01_-_Srila_Prabhupada/01_-_Lectures/01_-_English/02_-_Month_wise/06_-_June/18/Interview_1976-06-18_IV-TORONTO.MP3" TargetMode="External"/><Relationship Id="rId2117" Type="http://schemas.openxmlformats.org/officeDocument/2006/relationships/hyperlink" Target="https://audio.iskcondesiretree.com/01_-_Srila_Prabhupada/01_-_Lectures/01_-_English/01_-_Topic_wise/Room_Conversation/SP_Room_Conversation_Paris_1974-06-13_Buddhist_Deshimaru--Zen_and_the--etc.mp3" TargetMode="External"/><Relationship Id="rId3449" Type="http://schemas.openxmlformats.org/officeDocument/2006/relationships/hyperlink" Target="https://audio.iskcondesiretree.com/01_-_Srila_Prabhupada/01_-_Lectures/01_-_English/01_-_Topic_wise/Srimad_Bhagavatam/Canto-06/SP_SB_6-01-22_Chicago_1975-07-06_Fifth_Class_Education...--etc.mp3" TargetMode="External"/><Relationship Id="rId2118" Type="http://schemas.openxmlformats.org/officeDocument/2006/relationships/hyperlink" Target="https://audio.iskcondesiretree.com/01_-_Srila_Prabhupada/01_-_Lectures/01_-_English/01_-_Topic_wise/Room_Conversation/SP_Room_Conversation_Paris_1974-06-13_Russian_Orthodox_Church--Moral--etc.mp3" TargetMode="External"/><Relationship Id="rId3448" Type="http://schemas.openxmlformats.org/officeDocument/2006/relationships/hyperlink" Target="https://audio.iskcondesiretree.com/01_-_Srila_Prabhupada/01_-_Lectures/01_-_English/01_-_Topic_wise/Morning_Walk/SP_Morning_Walk_-_Chicago_1975-07-06_These_Demonic_Communists_Should_Be_Finished.mp3" TargetMode="External"/><Relationship Id="rId4779" Type="http://schemas.openxmlformats.org/officeDocument/2006/relationships/hyperlink" Target="https://audio.iskcondesiretree.com/01_-_Srila_Prabhupada/01_-_Lectures/01_-_English/02_-_Month_wise/06_-_June/18/RC_TOR_1976-06-18_Don%27t_Screw_Out_Your_Concocted_Meaning.mp3" TargetMode="External"/><Relationship Id="rId2119" Type="http://schemas.openxmlformats.org/officeDocument/2006/relationships/hyperlink" Target="https://audio.iskcondesiretree.com/01_-_Srila_Prabhupada/01_-_Lectures/01_-_English/01_-_Topic_wise/Srimad_Bhagavatam/Canto-02/SP_SB_2-01-05_Paris_1974-06-13_Hear_Chant_and_Be_Fearless.mp3" TargetMode="External"/><Relationship Id="rId4770" Type="http://schemas.openxmlformats.org/officeDocument/2006/relationships/hyperlink" Target="https://audio.iskcondesiretree.com/01_-_Srila_Prabhupada/01_-_Lectures/01_-_English/01_-_Topic_wise/Morning_Walk/SP_Morning_Walk_-_Toronto_1976-06-18_Dealing_With_the_Envious.mp3" TargetMode="External"/><Relationship Id="rId3441" Type="http://schemas.openxmlformats.org/officeDocument/2006/relationships/hyperlink" Target="https://audio.iskcondesiretree.com/01_-_Srila_Prabhupada/01_-_Lectures/01_-_English/02_-_Month_wise/07_-_July/05/Conv_1975-07-05_R2-CHICAGO.MP3" TargetMode="External"/><Relationship Id="rId4772" Type="http://schemas.openxmlformats.org/officeDocument/2006/relationships/hyperlink" Target="https://audio.iskcondesiretree.com/01_-_Srila_Prabhupada/01_-_Lectures/01_-_English/01_-_Topic_wise/Room_Conversation/SP_Room_Conversation_Toronto_1976-06-18_Prof_O%27Connell--Real_Education_is--etc.mp3" TargetMode="External"/><Relationship Id="rId2110" Type="http://schemas.openxmlformats.org/officeDocument/2006/relationships/hyperlink" Target="https://audio.iskcondesiretree.com/01_-_Srila_Prabhupada/01_-_Lectures/01_-_English/02_-_Month_wise/06_-_June/12/RC_PAR_1974-06-12_Communist_etc.mp3" TargetMode="External"/><Relationship Id="rId3440" Type="http://schemas.openxmlformats.org/officeDocument/2006/relationships/hyperlink" Target="https://audio.iskcondesiretree.com/01_-_Srila_Prabhupada/01_-_Lectures/01_-_English/02_-_Month_wise/07_-_July/05/Conv_1975-07-05_R1-CHICAGO.MP3" TargetMode="External"/><Relationship Id="rId4771" Type="http://schemas.openxmlformats.org/officeDocument/2006/relationships/hyperlink" Target="https://audio.iskcondesiretree.com/01_-_Srila_Prabhupada/01_-_Lectures/01_-_English/01_-_Topic_wise/Room_Conversation/SP_Room_Conversation_Toronto_1976-06-18_Don%27t_Screw_Out_Your_Concocted_Meaning.mp3" TargetMode="External"/><Relationship Id="rId2111" Type="http://schemas.openxmlformats.org/officeDocument/2006/relationships/hyperlink" Target="https://audio.iskcondesiretree.com/01_-_Srila_Prabhupada/01_-_Lectures/01_-_English/02_-_Month_wise/06_-_June/12/RC_PAR_1974-06-12_French_Poet--Flies_Want_to_Enjoy_the_Fire.mp3" TargetMode="External"/><Relationship Id="rId3443" Type="http://schemas.openxmlformats.org/officeDocument/2006/relationships/hyperlink" Target="https://audio.iskcondesiretree.com/01_-_Srila_Prabhupada/01_-_Lectures/01_-_English/02_-_Month_wise/07_-_July/05/RC_CHI_1975-07-05_CHI_Police_Dept.--How_to_Prevent_Crime.mp3" TargetMode="External"/><Relationship Id="rId4774" Type="http://schemas.openxmlformats.org/officeDocument/2006/relationships/hyperlink" Target="https://audio.iskcondesiretree.com/01_-_Srila_Prabhupada/01_-_Lectures/01_-_English/02_-_Month_wise/06_-_June/18/Conv_1976-06-18_R1-TORONTO.MP3" TargetMode="External"/><Relationship Id="rId2112" Type="http://schemas.openxmlformats.org/officeDocument/2006/relationships/hyperlink" Target="https://audio.iskcondesiretree.com/01_-_Srila_Prabhupada/01_-_Lectures/01_-_English/02_-_Month_wise/06_-_June/12/SB-02-01-03_1974-06-12_SB-PARIS.MP3" TargetMode="External"/><Relationship Id="rId3442" Type="http://schemas.openxmlformats.org/officeDocument/2006/relationships/hyperlink" Target="https://audio.iskcondesiretree.com/01_-_Srila_Prabhupada/01_-_Lectures/01_-_English/02_-_Month_wise/07_-_July/05/MW_CHI_1975-07-05_The_Rarest_Books_in_the_World.mp3" TargetMode="External"/><Relationship Id="rId4773" Type="http://schemas.openxmlformats.org/officeDocument/2006/relationships/hyperlink" Target="https://audio.iskcondesiretree.com/01_-_Srila_Prabhupada/01_-_Lectures/01_-_English/01_-_Topic_wise/Srimad_Bhagavatam/Canto-07/SP_SB_7-06-02_Toronto_1976-06-18_Innermost_Benefit_from_the--etc.mp3" TargetMode="External"/><Relationship Id="rId2113" Type="http://schemas.openxmlformats.org/officeDocument/2006/relationships/hyperlink" Target="https://audio.iskcondesiretree.com/01_-_Srila_Prabhupada/01_-_Lectures/01_-_English/02_-_Month_wise/06_-_June/12/SB_2-01-03_PAR_1974-06-12_Not_Even_Napoleon_Was_Safe.mp3" TargetMode="External"/><Relationship Id="rId3445" Type="http://schemas.openxmlformats.org/officeDocument/2006/relationships/hyperlink" Target="https://audio.iskcondesiretree.com/01_-_Srila_Prabhupada/01_-_Lectures/01_-_English/02_-_Month_wise/07_-_July/05/SB-06-01-21_1975-07-05_SB-CHICAGO.MP3" TargetMode="External"/><Relationship Id="rId4776" Type="http://schemas.openxmlformats.org/officeDocument/2006/relationships/hyperlink" Target="https://audio.iskcondesiretree.com/01_-_Srila_Prabhupada/01_-_Lectures/01_-_English/02_-_Month_wise/06_-_June/18/Interview_1976-06-18_I2-TORONTO.MP3" TargetMode="External"/><Relationship Id="rId2114" Type="http://schemas.openxmlformats.org/officeDocument/2006/relationships/hyperlink" Target="https://audio.iskcondesiretree.com/01_-_Srila_Prabhupada/01_-_Lectures/01_-_English/02_-_Month_wise/06_-_June/12/Walk_1974-06-12_MW-PARIS.MP3" TargetMode="External"/><Relationship Id="rId3444" Type="http://schemas.openxmlformats.org/officeDocument/2006/relationships/hyperlink" Target="https://audio.iskcondesiretree.com/01_-_Srila_Prabhupada/01_-_Lectures/01_-_English/02_-_Month_wise/07_-_July/05/RC_CHI_1975-07-05_Editor_of_Playboy_Magazine-Can_a_etc.mp3" TargetMode="External"/><Relationship Id="rId4775" Type="http://schemas.openxmlformats.org/officeDocument/2006/relationships/hyperlink" Target="https://audio.iskcondesiretree.com/01_-_Srila_Prabhupada/01_-_Lectures/01_-_English/02_-_Month_wise/06_-_June/18/Initiations_1976-06-18_IN-TORONTO.MP3" TargetMode="External"/><Relationship Id="rId5251" Type="http://schemas.openxmlformats.org/officeDocument/2006/relationships/hyperlink" Target="https://audio.iskcondesiretree.com/01_-_Srila_Prabhupada/01_-_Lectures/01_-_English/01_-_Topic_wise/Srimad_Bhagavatam/Canto-01/SP_SB_1-07-25_Vrindavan_1976-09-22_The_Age_of_Embarrassment.mp3" TargetMode="External"/><Relationship Id="rId5252" Type="http://schemas.openxmlformats.org/officeDocument/2006/relationships/hyperlink" Target="https://audio.iskcondesiretree.com/01_-_Srila_Prabhupada/01_-_Lectures/01_-_English/02_-_Month_wise/09_-_September/22/SB-01-07-25_1976-09-22_SB-VRNDAVAN.MP3" TargetMode="External"/><Relationship Id="rId5250" Type="http://schemas.openxmlformats.org/officeDocument/2006/relationships/hyperlink" Target="https://audio.iskcondesiretree.com/01_-_Srila_Prabhupada/01_-_Lectures/01_-_English/02_-_Month_wise/09_-_September/21/SB_1-07-24_VRN_1976-09-21_This_Material_Life_Has_No_Value.mp3" TargetMode="External"/><Relationship Id="rId5255" Type="http://schemas.openxmlformats.org/officeDocument/2006/relationships/hyperlink" Target="https://audio.iskcondesiretree.com/01_-_Srila_Prabhupada/01_-_Lectures/01_-_English/02_-_Month_wise/09_-_September/23/SB-01-07-26_1976-09-23_SB-VRNDAVAN.MP3" TargetMode="External"/><Relationship Id="rId5256" Type="http://schemas.openxmlformats.org/officeDocument/2006/relationships/hyperlink" Target="https://audio.iskcondesiretree.com/01_-_Srila_Prabhupada/01_-_Lectures/01_-_English/02_-_Month_wise/09_-_September/23/SB_1-07-26_VRN_1976-09-23_Freedom_Without_Fall-Down.mp3" TargetMode="External"/><Relationship Id="rId5253" Type="http://schemas.openxmlformats.org/officeDocument/2006/relationships/hyperlink" Target="https://audio.iskcondesiretree.com/01_-_Srila_Prabhupada/01_-_Lectures/01_-_English/02_-_Month_wise/09_-_September/22/SB_1-07-25_VRN_1976-09-22_The_Age_of_Embarrassment.mp3" TargetMode="External"/><Relationship Id="rId5254" Type="http://schemas.openxmlformats.org/officeDocument/2006/relationships/hyperlink" Target="https://audio.iskcondesiretree.com/01_-_Srila_Prabhupada/01_-_Lectures/01_-_English/01_-_Topic_wise/Srimad_Bhagavatam/Canto-01/SP_SB_1-07-26_Vrindavan_1976-09-23_Freedom_Without_Fall-Down.mp3" TargetMode="External"/><Relationship Id="rId5259" Type="http://schemas.openxmlformats.org/officeDocument/2006/relationships/hyperlink" Target="https://audio.iskcondesiretree.com/01_-_Srila_Prabhupada/01_-_Lectures/01_-_English/02_-_Month_wise/09_-_September/24/SB_1-07-27_VRN_1976-09-24_Krishna-Blessing_or_Burden.mp3" TargetMode="External"/><Relationship Id="rId5257" Type="http://schemas.openxmlformats.org/officeDocument/2006/relationships/hyperlink" Target="https://audio.iskcondesiretree.com/01_-_Srila_Prabhupada/01_-_Lectures/01_-_English/01_-_Topic_wise/Srimad_Bhagavatam/Canto-01/SP_SB_1-07-27_Vrindavan_1976-09-24_Krishna-Blessing_or_Burden.mp3" TargetMode="External"/><Relationship Id="rId5258" Type="http://schemas.openxmlformats.org/officeDocument/2006/relationships/hyperlink" Target="https://audio.iskcondesiretree.com/01_-_Srila_Prabhupada/01_-_Lectures/01_-_English/02_-_Month_wise/09_-_September/24/SB-01-07-27_1976-09-24_SB-VRNDAVAN.MP3" TargetMode="External"/><Relationship Id="rId5240" Type="http://schemas.openxmlformats.org/officeDocument/2006/relationships/hyperlink" Target="https://audio.iskcondesiretree.com/01_-_Srila_Prabhupada/01_-_Lectures/01_-_English/02_-_Month_wise/09_-_September/17/SB-01-07-20%E2%80%9321_1976-09-17_SB-VRNDAVAN.MP3" TargetMode="External"/><Relationship Id="rId5241" Type="http://schemas.openxmlformats.org/officeDocument/2006/relationships/hyperlink" Target="https://audio.iskcondesiretree.com/01_-_Srila_Prabhupada/01_-_Lectures/01_-_English/02_-_Month_wise/09_-_September/17/SB_1-07-20_VRN_1976-09-17_Don%27t_Wait_for_Another_Life.mp3" TargetMode="External"/><Relationship Id="rId5244" Type="http://schemas.openxmlformats.org/officeDocument/2006/relationships/hyperlink" Target="https://audio.iskcondesiretree.com/01_-_Srila_Prabhupada/01_-_Lectures/01_-_English/02_-_Month_wise/09_-_September/18/SB_1-07-22_VRN_1976-09-18_Material_Advancement-Suffering.mp3" TargetMode="External"/><Relationship Id="rId5245" Type="http://schemas.openxmlformats.org/officeDocument/2006/relationships/hyperlink" Target="https://audio.iskcondesiretree.com/01_-_Srila_Prabhupada/01_-_Lectures/01_-_English/01_-_Topic_wise/Srimad_Bhagavatam/Canto-01/SP_SB_1-07-23_Vrindavan_1976-09-20_Krishna%27s_Real_Representative.mp3" TargetMode="External"/><Relationship Id="rId5242" Type="http://schemas.openxmlformats.org/officeDocument/2006/relationships/hyperlink" Target="https://audio.iskcondesiretree.com/01_-_Srila_Prabhupada/01_-_Lectures/01_-_English/01_-_Topic_wise/Srimad_Bhagavatam/Canto-01/SP_SB_1-07-22_Vrindavan_1976-09-18_Material_Advancement-Suffering.mp3" TargetMode="External"/><Relationship Id="rId5243" Type="http://schemas.openxmlformats.org/officeDocument/2006/relationships/hyperlink" Target="https://audio.iskcondesiretree.com/01_-_Srila_Prabhupada/01_-_Lectures/01_-_English/02_-_Month_wise/09_-_September/18/SB-01-07-22_1976-09-18_SB-VRNDAVAN.MP3" TargetMode="External"/><Relationship Id="rId5248" Type="http://schemas.openxmlformats.org/officeDocument/2006/relationships/hyperlink" Target="https://audio.iskcondesiretree.com/01_-_Srila_Prabhupada/01_-_Lectures/01_-_English/01_-_Topic_wise/Srimad_Bhagavatam/Canto-01/SP_SB_1-07-24_Vrindavan_1976-09-21_This_Material_Life_Has_New_Orleans_Value.mp3" TargetMode="External"/><Relationship Id="rId5249" Type="http://schemas.openxmlformats.org/officeDocument/2006/relationships/hyperlink" Target="https://audio.iskcondesiretree.com/01_-_Srila_Prabhupada/01_-_Lectures/01_-_English/02_-_Month_wise/09_-_September/21/SB-01-07-24_1976-09-21_SB-VRNDAVAN.MP3" TargetMode="External"/><Relationship Id="rId5246" Type="http://schemas.openxmlformats.org/officeDocument/2006/relationships/hyperlink" Target="https://audio.iskcondesiretree.com/01_-_Srila_Prabhupada/01_-_Lectures/01_-_English/02_-_Month_wise/09_-_September/20/SB-01-07-23_1976-09-20_SB-VRNDAVAN.MP3" TargetMode="External"/><Relationship Id="rId5247" Type="http://schemas.openxmlformats.org/officeDocument/2006/relationships/hyperlink" Target="https://audio.iskcondesiretree.com/01_-_Srila_Prabhupada/01_-_Lectures/01_-_English/02_-_Month_wise/09_-_September/20/SB_1-07-23_VRN_1976-09-20_Krishna%27s_Real_Representative.mp3" TargetMode="External"/><Relationship Id="rId5270" Type="http://schemas.openxmlformats.org/officeDocument/2006/relationships/hyperlink" Target="https://audio.iskcondesiretree.com/01_-_Srila_Prabhupada/01_-_Lectures/01_-_English/02_-_Month_wise/09_-_September/27/SB-01-07-32%E2%80%9333_1976-09-27_SB-VRNDAVAN.MP3" TargetMode="External"/><Relationship Id="rId5273" Type="http://schemas.openxmlformats.org/officeDocument/2006/relationships/hyperlink" Target="https://audio.iskcondesiretree.com/01_-_Srila_Prabhupada/01_-_Lectures/01_-_English/02_-_Month_wise/09_-_September/28/SB-01-07-34%E2%80%9335_1976-09-28_SB-VRNDAVAN.MP3" TargetMode="External"/><Relationship Id="rId5274" Type="http://schemas.openxmlformats.org/officeDocument/2006/relationships/hyperlink" Target="https://audio.iskcondesiretree.com/01_-_Srila_Prabhupada/01_-_Lectures/01_-_English/02_-_Month_wise/09_-_September/28/SB_1-07-34_VRN_1976-09-28_The_Psychology_of_the_True_Brahmana.mp3" TargetMode="External"/><Relationship Id="rId5271" Type="http://schemas.openxmlformats.org/officeDocument/2006/relationships/hyperlink" Target="https://audio.iskcondesiretree.com/01_-_Srila_Prabhupada/01_-_Lectures/01_-_English/02_-_Month_wise/09_-_September/27/SB_1-07-32_VRN_1976-09-27_Counteracting_Kali-Yuga.mp3" TargetMode="External"/><Relationship Id="rId5272" Type="http://schemas.openxmlformats.org/officeDocument/2006/relationships/hyperlink" Target="https://audio.iskcondesiretree.com/01_-_Srila_Prabhupada/01_-_Lectures/01_-_English/01_-_Topic_wise/Srimad_Bhagavatam/Canto-01/SP_SB_1-07-34_Vrindavan_1976-09-28_The_Psychology_of_the_True_Brahmana.mp3" TargetMode="External"/><Relationship Id="rId5277" Type="http://schemas.openxmlformats.org/officeDocument/2006/relationships/hyperlink" Target="https://audio.iskcondesiretree.com/01_-_Srila_Prabhupada/01_-_Lectures/01_-_English/01_-_Topic_wise/Srimad_Bhagavatam/Canto-01/SP_SB_1-07-36_Vrindavan_1976-09-29_The_Point--Is_Krishna_Pleased.mp3" TargetMode="External"/><Relationship Id="rId5278" Type="http://schemas.openxmlformats.org/officeDocument/2006/relationships/hyperlink" Target="https://audio.iskcondesiretree.com/01_-_Srila_Prabhupada/01_-_Lectures/01_-_English/02_-_Month_wise/09_-_September/29/Conv_1976-09-29_R1-VRNDAVAN.MP3" TargetMode="External"/><Relationship Id="rId5275" Type="http://schemas.openxmlformats.org/officeDocument/2006/relationships/hyperlink" Target="https://audio.iskcondesiretree.com/01_-_Srila_Prabhupada/01_-_Lectures/01_-_English/01_-_Topic_wise/Room_Conversation/SP_Room_Conversation_Vrindavan_1976-09-29_Doctor_-_Fact_Faith_Foolishness.mp3" TargetMode="External"/><Relationship Id="rId5276" Type="http://schemas.openxmlformats.org/officeDocument/2006/relationships/hyperlink" Target="https://audio.iskcondesiretree.com/01_-_Srila_Prabhupada/01_-_Lectures/01_-_English/01_-_Topic_wise/Srimad_Bhagavatam/Canto-01/SP_SB_1-07-36-37_Vrindavan_1976-09-29_The_Point--Is_Krishna_Pleased.mp3" TargetMode="External"/><Relationship Id="rId5279" Type="http://schemas.openxmlformats.org/officeDocument/2006/relationships/hyperlink" Target="https://audio.iskcondesiretree.com/01_-_Srila_Prabhupada/01_-_Lectures/01_-_English/02_-_Month_wise/09_-_September/29/RC_VRN_1976-09-29_Doctor-Fact_Faith_Foolishness.mp3" TargetMode="External"/><Relationship Id="rId5262" Type="http://schemas.openxmlformats.org/officeDocument/2006/relationships/hyperlink" Target="https://audio.iskcondesiretree.com/01_-_Srila_Prabhupada/01_-_Lectures/01_-_English/02_-_Month_wise/09_-_September/25/SB-01-07-28%E2%80%9329_1976-09-25_SB-VRNDAVAN.MP3" TargetMode="External"/><Relationship Id="rId5263" Type="http://schemas.openxmlformats.org/officeDocument/2006/relationships/hyperlink" Target="https://audio.iskcondesiretree.com/01_-_Srila_Prabhupada/01_-_Lectures/01_-_English/02_-_Month_wise/09_-_September/25/SB_1-07-28_VRN_1976-09-25_Who_Needs_Krishna.mp3" TargetMode="External"/><Relationship Id="rId5260" Type="http://schemas.openxmlformats.org/officeDocument/2006/relationships/hyperlink" Target="https://audio.iskcondesiretree.com/01_-_Srila_Prabhupada/01_-_Lectures/01_-_English/01_-_Topic_wise/Srimad_Bhagavatam/Canto-01/SP_SB_1-07-28-29_Vrindavan_1976-09-25_Who_Needs_Krishna.mp3" TargetMode="External"/><Relationship Id="rId5261" Type="http://schemas.openxmlformats.org/officeDocument/2006/relationships/hyperlink" Target="https://audio.iskcondesiretree.com/01_-_Srila_Prabhupada/01_-_Lectures/01_-_English/01_-_Topic_wise/Srimad_Bhagavatam/Canto-01/SP_SB_1-07-28_Vrindavan_1976-09-25_Who_Needs_Krishna.mp3" TargetMode="External"/><Relationship Id="rId5266" Type="http://schemas.openxmlformats.org/officeDocument/2006/relationships/hyperlink" Target="https://audio.iskcondesiretree.com/01_-_Srila_Prabhupada/01_-_Lectures/01_-_English/02_-_Month_wise/09_-_September/26/Conv_1976-09-26_R1-VRNDAVAN.MP3" TargetMode="External"/><Relationship Id="rId5267" Type="http://schemas.openxmlformats.org/officeDocument/2006/relationships/hyperlink" Target="https://audio.iskcondesiretree.com/01_-_Srila_Prabhupada/01_-_Lectures/01_-_English/02_-_Month_wise/09_-_September/26/SB-01-07-30%E2%80%9331_1976-09-26_SB-VRNDAVAN.MP3" TargetMode="External"/><Relationship Id="rId5264" Type="http://schemas.openxmlformats.org/officeDocument/2006/relationships/hyperlink" Target="https://audio.iskcondesiretree.com/01_-_Srila_Prabhupada/01_-_Lectures/01_-_English/01_-_Topic_wise/Srimad_Bhagavatam/Canto-01/SP_SB_1-07-30-31_Vrindavan_1976-09-26_Why_Make_Krishna_Impersonal.mp3" TargetMode="External"/><Relationship Id="rId5265" Type="http://schemas.openxmlformats.org/officeDocument/2006/relationships/hyperlink" Target="https://audio.iskcondesiretree.com/01_-_Srila_Prabhupada/01_-_Lectures/01_-_English/01_-_Topic_wise/Srimad_Bhagavatam/Canto-01/SP_SB_1-07-30_Vrindavan_1976-09-26_Why_Make_Krishna_Impersonal.mp3" TargetMode="External"/><Relationship Id="rId5268" Type="http://schemas.openxmlformats.org/officeDocument/2006/relationships/hyperlink" Target="https://audio.iskcondesiretree.com/01_-_Srila_Prabhupada/01_-_Lectures/01_-_English/02_-_Month_wise/09_-_September/26/SB_1-07-30_VRN_1976-09-26_Why_Make_Krishna_Impersonal.mp3" TargetMode="External"/><Relationship Id="rId5269" Type="http://schemas.openxmlformats.org/officeDocument/2006/relationships/hyperlink" Target="https://audio.iskcondesiretree.com/01_-_Srila_Prabhupada/01_-_Lectures/01_-_English/01_-_Topic_wise/Srimad_Bhagavatam/Canto-01/SP_SB_1-07-32_Vrindavan_1976-09-27_Counteracting_Kali-Yuga.mp3" TargetMode="External"/><Relationship Id="rId5219" Type="http://schemas.openxmlformats.org/officeDocument/2006/relationships/hyperlink" Target="https://audio.iskcondesiretree.com/01_-_Srila_Prabhupada/01_-_Lectures/01_-_English/02_-_Month_wise/09_-_September/11/SB-01-07-12_1976-09-11_SB-VRNDAVAN.MP3" TargetMode="External"/><Relationship Id="rId5217" Type="http://schemas.openxmlformats.org/officeDocument/2006/relationships/hyperlink" Target="https://audio.iskcondesiretree.com/01_-_Srila_Prabhupada/01_-_Lectures/01_-_English/02_-_Month_wise/09_-_September/11/Conv_1976-09-11_R1-VRNDAVAN.MP3" TargetMode="External"/><Relationship Id="rId5218" Type="http://schemas.openxmlformats.org/officeDocument/2006/relationships/hyperlink" Target="https://audio.iskcondesiretree.com/01_-_Srila_Prabhupada/01_-_Lectures/01_-_English/02_-_Month_wise/09_-_September/11/Conv_1976-09-11_R2-VRNDAVAN.MP3" TargetMode="External"/><Relationship Id="rId392" Type="http://schemas.openxmlformats.org/officeDocument/2006/relationships/hyperlink" Target="https://audio.iskcondesiretree.com/01_-_Srila_Prabhupada/01_-_Lectures/01_-_English/01_-_Topic_wise/Various/SP_Lecture_New_York_1969-04-09_Practical_Renunciation.mp3" TargetMode="External"/><Relationship Id="rId391" Type="http://schemas.openxmlformats.org/officeDocument/2006/relationships/hyperlink" Target="https://audio.iskcondesiretree.com/01_-_Srila_Prabhupada/01_-_Lectures/01_-_English/01_-_Topic_wise/Srimad_Bhagavatam/Canto-07/SP_SB_7-06-01_New_York_1969-04-09_Why_Are_You_Spoiling_My_Boy.mp3" TargetMode="External"/><Relationship Id="rId390" Type="http://schemas.openxmlformats.org/officeDocument/2006/relationships/hyperlink" Target="https://audio.iskcondesiretree.com/01_-_Srila_Prabhupada/01_-_Lectures/01_-_English/02_-_Month_wise/03_-_March/27/Fest_HAW_1969-03-27_Rama_Navami.mp3" TargetMode="External"/><Relationship Id="rId385" Type="http://schemas.openxmlformats.org/officeDocument/2006/relationships/hyperlink" Target="https://audio.iskcondesiretree.com/01_-_Srila_Prabhupada/01_-_Lectures/01_-_English/01_-_Topic_wise/Various/SP_Lecture_Honolulu_1969-03-23_Everyone_Can_Get_the_Highest--etc.mp3" TargetMode="External"/><Relationship Id="rId5211" Type="http://schemas.openxmlformats.org/officeDocument/2006/relationships/hyperlink" Target="https://audio.iskcondesiretree.com/01_-_Srila_Prabhupada/01_-_Lectures/01_-_English/02_-_Month_wise/09_-_September/09/SB-01-07-10_1976-09-09_SB-VRNDAVAN.MP3" TargetMode="External"/><Relationship Id="rId384" Type="http://schemas.openxmlformats.org/officeDocument/2006/relationships/hyperlink" Target="https://audio.iskcondesiretree.com/01_-_Srila_Prabhupada/01_-_Lectures/01_-_English/02_-_Month_wise/03_-_March/05/Fest_HAW_1969-03-05_Day_After_Gaura_Purnima-B.mp3" TargetMode="External"/><Relationship Id="rId5212" Type="http://schemas.openxmlformats.org/officeDocument/2006/relationships/hyperlink" Target="https://audio.iskcondesiretree.com/01_-_Srila_Prabhupada/01_-_Lectures/01_-_English/02_-_Month_wise/09_-_September/09/SB_1-07-10_VRN_1976-09-09_Read_These_Books.mp3" TargetMode="External"/><Relationship Id="rId383" Type="http://schemas.openxmlformats.org/officeDocument/2006/relationships/hyperlink" Target="https://audio.iskcondesiretree.com/01_-_Srila_Prabhupada/01_-_Lectures/01_-_English/02_-_Month_wise/03_-_March/05/Fest_HAW_1969-03-05_Day_After_Gaura_Purnima-A.mp3" TargetMode="External"/><Relationship Id="rId382" Type="http://schemas.openxmlformats.org/officeDocument/2006/relationships/hyperlink" Target="https://audio.iskcondesiretree.com/01_-_Srila_Prabhupada/01_-_Lectures/01_-_English/01_-_Topic_wise/Festivals/SP_Festivals_Hawaii_1969-03-05_Day_After_Gaura_Purnima-02.mp3" TargetMode="External"/><Relationship Id="rId5210" Type="http://schemas.openxmlformats.org/officeDocument/2006/relationships/hyperlink" Target="https://audio.iskcondesiretree.com/01_-_Srila_Prabhupada/01_-_Lectures/01_-_English/02_-_Month_wise/09_-_September/09/RC_VRN_1976-09-09_What_Have_They_%28Godbrothers%29_Done.mp3" TargetMode="External"/><Relationship Id="rId389" Type="http://schemas.openxmlformats.org/officeDocument/2006/relationships/hyperlink" Target="https://audio.iskcondesiretree.com/01_-_Srila_Prabhupada/01_-_Lectures/01_-_English/01_-_Topic_wise/Festivals/SP_Festivals_Hawaii_1969-03-27_Rama_Navami.mp3" TargetMode="External"/><Relationship Id="rId5215" Type="http://schemas.openxmlformats.org/officeDocument/2006/relationships/hyperlink" Target="https://audio.iskcondesiretree.com/01_-_Srila_Prabhupada/01_-_Lectures/01_-_English/02_-_Month_wise/09_-_September/10/SB_1-07-11_VRN_1976-09-10_When_Mad_Is_Not_Bad.mp3" TargetMode="External"/><Relationship Id="rId388" Type="http://schemas.openxmlformats.org/officeDocument/2006/relationships/hyperlink" Target="https://audio.iskcondesiretree.com/01_-_Srila_Prabhupada/01_-_Lectures/01_-_English/02_-_Month_wise/03_-_March/24/SB_7-09-11_HON_1969-03-24_Krishna_Help_Me_Forget_You_etc.mp3" TargetMode="External"/><Relationship Id="rId5216" Type="http://schemas.openxmlformats.org/officeDocument/2006/relationships/hyperlink" Target="https://audio.iskcondesiretree.com/01_-_Srila_Prabhupada/01_-_Lectures/01_-_English/01_-_Topic_wise/Srimad_Bhagavatam/Canto-01/SP_SB_1-07-12_Vrindavan_1976-09-11_Bhakti_On_the_Battlefield.mp3" TargetMode="External"/><Relationship Id="rId387" Type="http://schemas.openxmlformats.org/officeDocument/2006/relationships/hyperlink" Target="https://audio.iskcondesiretree.com/01_-_Srila_Prabhupada/01_-_Lectures/01_-_English/01_-_Topic_wise/Srimad_Bhagavatam/Canto-07/SP_SB_7-09-11_Honolulu_1969-03-24_Krishna_Help_Me_Forget_You.--etc.mp3" TargetMode="External"/><Relationship Id="rId5213" Type="http://schemas.openxmlformats.org/officeDocument/2006/relationships/hyperlink" Target="https://audio.iskcondesiretree.com/01_-_Srila_Prabhupada/01_-_Lectures/01_-_English/01_-_Topic_wise/Srimad_Bhagavatam/Canto-01/SP_SB_1-07-11_Vrindavan_1976-09-10_When_Madras_Is_Not_Bad.mp3" TargetMode="External"/><Relationship Id="rId386" Type="http://schemas.openxmlformats.org/officeDocument/2006/relationships/hyperlink" Target="https://audio.iskcondesiretree.com/01_-_Srila_Prabhupada/01_-_Lectures/01_-_English/02_-_Month_wise/03_-_March/23/Lect_HON_1969-03-23_Everyone_Can_Get_the_Highest_etc.mp3" TargetMode="External"/><Relationship Id="rId5214" Type="http://schemas.openxmlformats.org/officeDocument/2006/relationships/hyperlink" Target="https://audio.iskcondesiretree.com/01_-_Srila_Prabhupada/01_-_Lectures/01_-_English/02_-_Month_wise/09_-_September/10/SB-01-07-11_1976-09-10_SB-VRNDAVAN.MP3" TargetMode="External"/><Relationship Id="rId5208" Type="http://schemas.openxmlformats.org/officeDocument/2006/relationships/hyperlink" Target="https://audio.iskcondesiretree.com/01_-_Srila_Prabhupada/01_-_Lectures/01_-_English/02_-_Month_wise/09_-_September/09/Conv_1976-09-09_R2-VRNDAVAN.MP3" TargetMode="External"/><Relationship Id="rId5209" Type="http://schemas.openxmlformats.org/officeDocument/2006/relationships/hyperlink" Target="https://audio.iskcondesiretree.com/01_-_Srila_Prabhupada/01_-_Lectures/01_-_English/02_-_Month_wise/09_-_September/09/RC_VRN_1976-09-09_Chastity_Vs_Change-O-Mania.mp3" TargetMode="External"/><Relationship Id="rId5206" Type="http://schemas.openxmlformats.org/officeDocument/2006/relationships/hyperlink" Target="https://audio.iskcondesiretree.com/01_-_Srila_Prabhupada/01_-_Lectures/01_-_English/01_-_Topic_wise/Srimad_Bhagavatam/Canto-01/SP_SB_1-07-10_Vrindavan_1976-09-09_Read_These_Books.mp3" TargetMode="External"/><Relationship Id="rId5207" Type="http://schemas.openxmlformats.org/officeDocument/2006/relationships/hyperlink" Target="https://audio.iskcondesiretree.com/01_-_Srila_Prabhupada/01_-_Lectures/01_-_English/02_-_Month_wise/09_-_September/09/Conv_1976-09-09_R1-VRNDAVAN.MP3" TargetMode="External"/><Relationship Id="rId381" Type="http://schemas.openxmlformats.org/officeDocument/2006/relationships/hyperlink" Target="https://audio.iskcondesiretree.com/01_-_Srila_Prabhupada/01_-_Lectures/01_-_English/01_-_Topic_wise/Festivals/SP_Festivals_Hawaii_1969-03-05_Day_After_Gaura_Purnima-01.mp3" TargetMode="External"/><Relationship Id="rId380" Type="http://schemas.openxmlformats.org/officeDocument/2006/relationships/hyperlink" Target="https://audio.iskcondesiretree.com/01_-_Srila_Prabhupada/01_-_Lectures/01_-_English/02_-_Month_wise/02_-_Feburary/19/Bg_06-30_LA_1969-02-19_Yoga_System--UNIVERSAL_LOVE_etc.mp3" TargetMode="External"/><Relationship Id="rId379" Type="http://schemas.openxmlformats.org/officeDocument/2006/relationships/hyperlink" Target="https://audio.iskcondesiretree.com/01_-_Srila_Prabhupada/01_-_Lectures/01_-_English/01_-_Topic_wise/Bhagavad_Gita/Chapter-06/SP_BG_06-30-34_Los_Angeles_1969-02-19_Yoga_System--UNIVERSAL_LOVE----etc.mp3" TargetMode="External"/><Relationship Id="rId374" Type="http://schemas.openxmlformats.org/officeDocument/2006/relationships/hyperlink" Target="https://audio.iskcondesiretree.com/01_-_Srila_Prabhupada/01_-_Lectures/01_-_English/02_-_Month_wise/02_-_Feburary/16/Bg_06-13_LA_1969-02-16_Yoga_System--We_Want_Something_etc.mp3" TargetMode="External"/><Relationship Id="rId5200" Type="http://schemas.openxmlformats.org/officeDocument/2006/relationships/hyperlink" Target="https://audio.iskcondesiretree.com/01_-_Srila_Prabhupada/01_-_Lectures/01_-_English/02_-_Month_wise/09_-_September/07/RC_VRN_1976-09-07_Spiritual_Happiness_and_Suicidal_Monkey.mp3" TargetMode="External"/><Relationship Id="rId373" Type="http://schemas.openxmlformats.org/officeDocument/2006/relationships/hyperlink" Target="https://audio.iskcondesiretree.com/01_-_Srila_Prabhupada/01_-_Lectures/01_-_English/01_-_Topic_wise/Bhagavad_Gita/Chapter-06/SP_BG_06-13-15_Los_Angeles_1969-02-16_Yoga_System--We_Want_Something--etc.mp3" TargetMode="External"/><Relationship Id="rId5201" Type="http://schemas.openxmlformats.org/officeDocument/2006/relationships/hyperlink" Target="https://audio.iskcondesiretree.com/01_-_Srila_Prabhupada/01_-_Lectures/01_-_English/02_-_Month_wise/09_-_September/07/SB-01-07-08_1976-09-07_SB-VRNDAVAN.MP3" TargetMode="External"/><Relationship Id="rId372" Type="http://schemas.openxmlformats.org/officeDocument/2006/relationships/hyperlink" Target="https://audio.iskcondesiretree.com/01_-_Srila_Prabhupada/01_-_Lectures/01_-_English/02_-_Month_wise/02_-_Feburary/15/Bg_06-06_LA_1969-02-15_Yoga_System--Conquering_the_Mind.mp3" TargetMode="External"/><Relationship Id="rId371" Type="http://schemas.openxmlformats.org/officeDocument/2006/relationships/hyperlink" Target="https://audio.iskcondesiretree.com/01_-_Srila_Prabhupada/01_-_Lectures/01_-_English/01_-_Topic_wise/Bhagavad_Gita/Chapter-06/SP_BG_06-06_Los_Angeles_1969-02-15_Yoga_System--Conquering_the_Mind.mp3" TargetMode="External"/><Relationship Id="rId378" Type="http://schemas.openxmlformats.org/officeDocument/2006/relationships/hyperlink" Target="https://audio.iskcondesiretree.com/01_-_Srila_Prabhupada/01_-_Lectures/01_-_English/02_-_Month_wise/02_-_Feburary/18/Bg_06-25_LA_1969-02-18_Yoga_System--Be_Self-Centered.mp3" TargetMode="External"/><Relationship Id="rId5204" Type="http://schemas.openxmlformats.org/officeDocument/2006/relationships/hyperlink" Target="https://audio.iskcondesiretree.com/01_-_Srila_Prabhupada/01_-_Lectures/01_-_English/01_-_Topic_wise/Room_Conversation/SP_Room_Conversation_Vrindavan_1976-09-09_Chastity_vs_Change-O-Mania.mp3" TargetMode="External"/><Relationship Id="rId377" Type="http://schemas.openxmlformats.org/officeDocument/2006/relationships/hyperlink" Target="https://audio.iskcondesiretree.com/01_-_Srila_Prabhupada/01_-_Lectures/01_-_English/01_-_Topic_wise/Bhagavad_Gita/Chapter-06/SP_BG_06-25-29_Los_Angeles_1969-02-18_Yoga_System--Be_Self-Centered.mp3" TargetMode="External"/><Relationship Id="rId5205" Type="http://schemas.openxmlformats.org/officeDocument/2006/relationships/hyperlink" Target="https://audio.iskcondesiretree.com/01_-_Srila_Prabhupada/01_-_Lectures/01_-_English/01_-_Topic_wise/Room_Conversation/SP_Room_Conversation_Vrindavan_1976-09-09_What_Have_They_Godbrothers_Done.mp3" TargetMode="External"/><Relationship Id="rId376" Type="http://schemas.openxmlformats.org/officeDocument/2006/relationships/hyperlink" Target="https://audio.iskcondesiretree.com/01_-_Srila_Prabhupada/01_-_Lectures/01_-_English/02_-_Month_wise/02_-_Feburary/17/Bg_06-16_LA_1969-02-17_Yoga_System--Keep_This_Useless_Body_Fit.mp3" TargetMode="External"/><Relationship Id="rId5202" Type="http://schemas.openxmlformats.org/officeDocument/2006/relationships/hyperlink" Target="https://audio.iskcondesiretree.com/01_-_Srila_Prabhupada/01_-_Lectures/01_-_English/02_-_Month_wise/09_-_September/07/SB_1-07-08_VRN_1976-09-07_Our_Condition-Precarious.mp3" TargetMode="External"/><Relationship Id="rId375" Type="http://schemas.openxmlformats.org/officeDocument/2006/relationships/hyperlink" Target="https://audio.iskcondesiretree.com/01_-_Srila_Prabhupada/01_-_Lectures/01_-_English/01_-_Topic_wise/Bhagavad_Gita/Chapter-06/SP_BG_06-16-24_Los_Angeles_1969-02-17_Yoga_System--Keep_This_Useless_Body_Fit.mp3" TargetMode="External"/><Relationship Id="rId5203" Type="http://schemas.openxmlformats.org/officeDocument/2006/relationships/hyperlink" Target="https://audio.iskcondesiretree.com/01_-_Srila_Prabhupada/01_-_Lectures/01_-_English/02_-_Month_wise/09_-_September/08/SB-01-07-09_1976-09-08_SB-VRNDAVAN.MP3" TargetMode="External"/><Relationship Id="rId5239" Type="http://schemas.openxmlformats.org/officeDocument/2006/relationships/hyperlink" Target="https://audio.iskcondesiretree.com/01_-_Srila_Prabhupada/01_-_Lectures/01_-_English/02_-_Month_wise/09_-_September/17/Conv_1976-09-17_R1-VRNDAVAN.MP3" TargetMode="External"/><Relationship Id="rId5230" Type="http://schemas.openxmlformats.org/officeDocument/2006/relationships/hyperlink" Target="https://audio.iskcondesiretree.com/01_-_Srila_Prabhupada/01_-_Lectures/01_-_English/01_-_Topic_wise/Srimad_Bhagavatam/Canto-01/SP_SB_1-07-18_Vrindavan_1976-09-15_Darkness_and_Disturbance.mp3" TargetMode="External"/><Relationship Id="rId5233" Type="http://schemas.openxmlformats.org/officeDocument/2006/relationships/hyperlink" Target="https://audio.iskcondesiretree.com/01_-_Srila_Prabhupada/01_-_Lectures/01_-_English/01_-_Topic_wise/Srimad_Bhagavatam/Canto-01/SP_SB_1-07-19_Vrindavan_1976-09-16_Hare_Krishna-Lord_and_Potency.mp3" TargetMode="External"/><Relationship Id="rId5234" Type="http://schemas.openxmlformats.org/officeDocument/2006/relationships/hyperlink" Target="https://audio.iskcondesiretree.com/01_-_Srila_Prabhupada/01_-_Lectures/01_-_English/02_-_Month_wise/09_-_September/16/Conv_1976-09-16_R1-VRNDAVAN.MP3" TargetMode="External"/><Relationship Id="rId5231" Type="http://schemas.openxmlformats.org/officeDocument/2006/relationships/hyperlink" Target="https://audio.iskcondesiretree.com/01_-_Srila_Prabhupada/01_-_Lectures/01_-_English/02_-_Month_wise/09_-_September/15/SB-01-07-18_1976-09-15_SB-VRNDAVAN.MP3" TargetMode="External"/><Relationship Id="rId5232" Type="http://schemas.openxmlformats.org/officeDocument/2006/relationships/hyperlink" Target="https://audio.iskcondesiretree.com/01_-_Srila_Prabhupada/01_-_Lectures/01_-_English/02_-_Month_wise/09_-_September/15/SB_1-07-18_VRN_1976-09-15_Darkness_and_Disturbance.mp3" TargetMode="External"/><Relationship Id="rId5237" Type="http://schemas.openxmlformats.org/officeDocument/2006/relationships/hyperlink" Target="https://audio.iskcondesiretree.com/01_-_Srila_Prabhupada/01_-_Lectures/01_-_English/01_-_Topic_wise/Srimad_Bhagavatam/Canto-01/SP_SB_1-07-20-21_Vrindavan_1976-09-17_Don%27t_Wait_for_Another_Life.mp3" TargetMode="External"/><Relationship Id="rId5238" Type="http://schemas.openxmlformats.org/officeDocument/2006/relationships/hyperlink" Target="https://audio.iskcondesiretree.com/01_-_Srila_Prabhupada/01_-_Lectures/01_-_English/01_-_Topic_wise/Srimad_Bhagavatam/Canto-01/SP_SB_1-07-20_Vrindavan_1976-09-17_Don%27t_Wait_for_Another_Life.mp3" TargetMode="External"/><Relationship Id="rId5235" Type="http://schemas.openxmlformats.org/officeDocument/2006/relationships/hyperlink" Target="https://audio.iskcondesiretree.com/01_-_Srila_Prabhupada/01_-_Lectures/01_-_English/02_-_Month_wise/09_-_September/16/SB-01-07-19_1976-09-16_SB-VRNDAVAN.MP3" TargetMode="External"/><Relationship Id="rId5236" Type="http://schemas.openxmlformats.org/officeDocument/2006/relationships/hyperlink" Target="https://audio.iskcondesiretree.com/01_-_Srila_Prabhupada/01_-_Lectures/01_-_English/02_-_Month_wise/09_-_September/16/SB_1-07-19_VRN_1976-09-16_Hare_Krishna-Lord_and_Potency.mp3" TargetMode="External"/><Relationship Id="rId5228" Type="http://schemas.openxmlformats.org/officeDocument/2006/relationships/hyperlink" Target="https://audio.iskcondesiretree.com/01_-_Srila_Prabhupada/01_-_Lectures/01_-_English/02_-_Month_wise/09_-_September/13/SB_1-07-15_VRN_1976-09-13_The_Mammoth_Mantra.mp3" TargetMode="External"/><Relationship Id="rId5229" Type="http://schemas.openxmlformats.org/officeDocument/2006/relationships/hyperlink" Target="https://audio.iskcondesiretree.com/01_-_Srila_Prabhupada/01_-_Lectures/01_-_English/02_-_Month_wise/09_-_September/14/SB-01-07-16_1976-09-14_SB-VRNDAVAN.MP3" TargetMode="External"/><Relationship Id="rId396" Type="http://schemas.openxmlformats.org/officeDocument/2006/relationships/hyperlink" Target="https://audio.iskcondesiretree.com/01_-_Srila_Prabhupada/01_-_Lectures/01_-_English/02_-_Month_wise/04_-_April/10/SB_2-01-01_NY_1969-04-10_The_Krishna-Approaching_Body.mp3" TargetMode="External"/><Relationship Id="rId5222" Type="http://schemas.openxmlformats.org/officeDocument/2006/relationships/hyperlink" Target="https://audio.iskcondesiretree.com/01_-_Srila_Prabhupada/01_-_Lectures/01_-_English/02_-_Month_wise/09_-_September/12/Conv_1976-09-12_R1-VRNDAVAN.MP3" TargetMode="External"/><Relationship Id="rId395" Type="http://schemas.openxmlformats.org/officeDocument/2006/relationships/hyperlink" Target="https://audio.iskcondesiretree.com/01_-_Srila_Prabhupada/01_-_Lectures/01_-_English/01_-_Topic_wise/Srimad_Bhagavatam/Canto-02/SP_SB_2-01-01_New_York_1969-04-10_The_Krishna-Approaching_Body.mp3" TargetMode="External"/><Relationship Id="rId5223" Type="http://schemas.openxmlformats.org/officeDocument/2006/relationships/hyperlink" Target="https://audio.iskcondesiretree.com/01_-_Srila_Prabhupada/01_-_Lectures/01_-_English/02_-_Month_wise/09_-_September/12/SB-01-07-13%E2%80%9314_1976-09-12_SB-VRNDAVAN.MP3" TargetMode="External"/><Relationship Id="rId394" Type="http://schemas.openxmlformats.org/officeDocument/2006/relationships/hyperlink" Target="https://audio.iskcondesiretree.com/01_-_Srila_Prabhupada/01_-_Lectures/01_-_English/02_-_Month_wise/04_-_April/09/SB_7-06-01_NY_1969-04-09_Why_Are_You_Spoiling_My_Boy.mp3" TargetMode="External"/><Relationship Id="rId5220" Type="http://schemas.openxmlformats.org/officeDocument/2006/relationships/hyperlink" Target="https://audio.iskcondesiretree.com/01_-_Srila_Prabhupada/01_-_Lectures/01_-_English/02_-_Month_wise/09_-_September/11/SB_1-07-12_VRN_1976-09-11_Bhakti_On_the_Battlefield.mp3" TargetMode="External"/><Relationship Id="rId393" Type="http://schemas.openxmlformats.org/officeDocument/2006/relationships/hyperlink" Target="https://audio.iskcondesiretree.com/01_-_Srila_Prabhupada/01_-_Lectures/01_-_English/02_-_Month_wise/04_-_April/09/Lect_NY_1969-04-09_Practical_Renunciation.mp3" TargetMode="External"/><Relationship Id="rId5221" Type="http://schemas.openxmlformats.org/officeDocument/2006/relationships/hyperlink" Target="https://audio.iskcondesiretree.com/01_-_Srila_Prabhupada/01_-_Lectures/01_-_English/01_-_Topic_wise/Srimad_Bhagavatam/Canto-01/SP_SB_1-07-13_Vrindavan_1976-09-12_There_Is_New_Orleans_Training.mp3" TargetMode="External"/><Relationship Id="rId5226" Type="http://schemas.openxmlformats.org/officeDocument/2006/relationships/hyperlink" Target="https://audio.iskcondesiretree.com/01_-_Srila_Prabhupada/01_-_Lectures/01_-_English/02_-_Month_wise/09_-_September/13/LetterToSaiBaba_1976-09-13_LR-VRNDAVAN.MP3" TargetMode="External"/><Relationship Id="rId399" Type="http://schemas.openxmlformats.org/officeDocument/2006/relationships/hyperlink" Target="https://audio.iskcondesiretree.com/01_-_Srila_Prabhupada/01_-_Lectures/01_-_English/01_-_Topic_wise/Srimad_Bhagavatam/Canto-11/SP_SB_11-03-21_New_York_1969-04-13_Commanders-in-Chief_in_the--etc.mp3" TargetMode="External"/><Relationship Id="rId5227" Type="http://schemas.openxmlformats.org/officeDocument/2006/relationships/hyperlink" Target="https://audio.iskcondesiretree.com/01_-_Srila_Prabhupada/01_-_Lectures/01_-_English/02_-_Month_wise/09_-_September/13/SB-01-07-15_1976-09-13_SB-VRNDAVAN.MP3" TargetMode="External"/><Relationship Id="rId398" Type="http://schemas.openxmlformats.org/officeDocument/2006/relationships/hyperlink" Target="https://audio.iskcondesiretree.com/01_-_Srila_Prabhupada/01_-_Lectures/01_-_English/02_-_Month_wise/04_-_April/11/Lect_NY_1969-04-11_One_Who_Does_Not_Understand_etc.mp3" TargetMode="External"/><Relationship Id="rId5224" Type="http://schemas.openxmlformats.org/officeDocument/2006/relationships/hyperlink" Target="https://audio.iskcondesiretree.com/01_-_Srila_Prabhupada/01_-_Lectures/01_-_English/02_-_Month_wise/09_-_September/12/SB_1-07-13_VRN_1976-09-12_There_Is_No_Training.mp3" TargetMode="External"/><Relationship Id="rId397" Type="http://schemas.openxmlformats.org/officeDocument/2006/relationships/hyperlink" Target="https://audio.iskcondesiretree.com/01_-_Srila_Prabhupada/01_-_Lectures/01_-_English/01_-_Topic_wise/Various/SP_Lecture_New_York_1969-04-11_One_Who_Does_Not_Understand--etc.mp3" TargetMode="External"/><Relationship Id="rId5225" Type="http://schemas.openxmlformats.org/officeDocument/2006/relationships/hyperlink" Target="https://audio.iskcondesiretree.com/01_-_Srila_Prabhupada/01_-_Lectures/01_-_English/01_-_Topic_wise/Srimad_Bhagavatam/Canto-01/SP_SB_1-07-15_Vrindavan_1976-09-13_The_Mammoth_Mantra.mp3" TargetMode="External"/><Relationship Id="rId1730" Type="http://schemas.openxmlformats.org/officeDocument/2006/relationships/hyperlink" Target="https://audio.iskcondesiretree.com/01_-_Srila_Prabhupada/01_-_Lectures/01_-_English/02_-_Month_wise/03_-_March/18/SB-02-01-03_1974-03-18_SB-VRNDAVAN.MP3" TargetMode="External"/><Relationship Id="rId1731" Type="http://schemas.openxmlformats.org/officeDocument/2006/relationships/hyperlink" Target="https://audio.iskcondesiretree.com/01_-_Srila_Prabhupada/01_-_Lectures/01_-_English/02_-_Month_wise/03_-_March/18/Walk_1974-03-18_MW-VRNDAVAN.MP3" TargetMode="External"/><Relationship Id="rId1732" Type="http://schemas.openxmlformats.org/officeDocument/2006/relationships/hyperlink" Target="https://audio.iskcondesiretree.com/01_-_Srila_Prabhupada/01_-_Lectures/01_-_English/01_-_Topic_wise/Srimad_Bhagavatam/Canto-02/SP_SB_2-01-04_Vrindavan_1974-03-19_A_Madman%27s_So-called_Soldiers.mp3" TargetMode="External"/><Relationship Id="rId1733" Type="http://schemas.openxmlformats.org/officeDocument/2006/relationships/hyperlink" Target="https://audio.iskcondesiretree.com/01_-_Srila_Prabhupada/01_-_Lectures/01_-_English/02_-_Month_wise/03_-_March/19/SB-02-01-04_1974-03-19_SB-VRNDAVAN.MP3" TargetMode="External"/><Relationship Id="rId1734" Type="http://schemas.openxmlformats.org/officeDocument/2006/relationships/hyperlink" Target="https://audio.iskcondesiretree.com/01_-_Srila_Prabhupada/01_-_Lectures/01_-_English/02_-_Month_wise/03_-_March/19/SB_2-01-04_VRN_1974-03-19_A_Madman%27s_So-called_Soldiers.mp3" TargetMode="External"/><Relationship Id="rId1735" Type="http://schemas.openxmlformats.org/officeDocument/2006/relationships/hyperlink" Target="https://audio.iskcondesiretree.com/01_-_Srila_Prabhupada/01_-_Lectures/01_-_English/01_-_Topic_wise/Morning_Walk/SP_Morning_Walk_-_Bombay_1974-03-20.mp3" TargetMode="External"/><Relationship Id="rId1736" Type="http://schemas.openxmlformats.org/officeDocument/2006/relationships/hyperlink" Target="https://audio.iskcondesiretree.com/01_-_Srila_Prabhupada/01_-_Lectures/01_-_English/02_-_Month_wise/03_-_March/20/Conv_1974-03-20_R1-BOMBAY.MP3" TargetMode="External"/><Relationship Id="rId1737" Type="http://schemas.openxmlformats.org/officeDocument/2006/relationships/hyperlink" Target="https://audio.iskcondesiretree.com/01_-_Srila_Prabhupada/01_-_Lectures/01_-_English/01_-_Topic_wise/Bhagavad_Gita/Chapter-04/SP_BG_04-01_Bombay_1974-03-21_Take_Perfect_Knowledge.mp3" TargetMode="External"/><Relationship Id="rId1738" Type="http://schemas.openxmlformats.org/officeDocument/2006/relationships/hyperlink" Target="https://audio.iskcondesiretree.com/01_-_Srila_Prabhupada/01_-_Lectures/01_-_English/02_-_Month_wise/03_-_March/21/Bg-04-01_1974-03-21_BG-BOMBAY.MP3" TargetMode="External"/><Relationship Id="rId1739" Type="http://schemas.openxmlformats.org/officeDocument/2006/relationships/hyperlink" Target="https://audio.iskcondesiretree.com/01_-_Srila_Prabhupada/01_-_Lectures/01_-_English/02_-_Month_wise/03_-_March/21/Bg_04-01_BOM_1974-03-21_Take_Perfect_Knowledge.mp3" TargetMode="External"/><Relationship Id="rId1720" Type="http://schemas.openxmlformats.org/officeDocument/2006/relationships/hyperlink" Target="https://audio.iskcondesiretree.com/01_-_Srila_Prabhupada/01_-_Lectures/01_-_English/02_-_Month_wise/03_-_March/16/SB-02-01-01_1974-03-16_SB-VRNDAVAN.MP3" TargetMode="External"/><Relationship Id="rId1721" Type="http://schemas.openxmlformats.org/officeDocument/2006/relationships/hyperlink" Target="https://audio.iskcondesiretree.com/01_-_Srila_Prabhupada/01_-_Lectures/01_-_English/02_-_Month_wise/03_-_March/16/SB_2-01-01_VRN_1974-03-16_How_to_Be_Fearless_at_Death.mp3" TargetMode="External"/><Relationship Id="rId1722" Type="http://schemas.openxmlformats.org/officeDocument/2006/relationships/hyperlink" Target="https://audio.iskcondesiretree.com/01_-_Srila_Prabhupada/01_-_Lectures/01_-_English/02_-_Month_wise/03_-_March/16/Walk_1974-03-16_MW-VRNDAVAN.MP3" TargetMode="External"/><Relationship Id="rId1723" Type="http://schemas.openxmlformats.org/officeDocument/2006/relationships/hyperlink" Target="https://audio.iskcondesiretree.com/01_-_Srila_Prabhupada/01_-_Lectures/01_-_English/01_-_Topic_wise/Morning_Walk/SP_Morning_Walk_-_Vrindavan_1974-03-17_Stop_All_Bogus_Religion.mp3" TargetMode="External"/><Relationship Id="rId1724" Type="http://schemas.openxmlformats.org/officeDocument/2006/relationships/hyperlink" Target="https://audio.iskcondesiretree.com/01_-_Srila_Prabhupada/01_-_Lectures/01_-_English/01_-_Topic_wise/Srimad_Bhagavatam/Canto-02/SP_SB_2-01-02_Vrindavan_1974-03-17_The_Self-Aware_Command_Respect.mp3" TargetMode="External"/><Relationship Id="rId1725" Type="http://schemas.openxmlformats.org/officeDocument/2006/relationships/hyperlink" Target="https://audio.iskcondesiretree.com/01_-_Srila_Prabhupada/01_-_Lectures/01_-_English/02_-_Month_wise/03_-_March/17/MW_VRN_1974-03-17_Stop_All_Bogus_Religion.mp3" TargetMode="External"/><Relationship Id="rId1726" Type="http://schemas.openxmlformats.org/officeDocument/2006/relationships/hyperlink" Target="https://audio.iskcondesiretree.com/01_-_Srila_Prabhupada/01_-_Lectures/01_-_English/02_-_Month_wise/03_-_March/17/SB-02-01-02_1974-03-17_SB-VRNDAVAN.MP3" TargetMode="External"/><Relationship Id="rId1727" Type="http://schemas.openxmlformats.org/officeDocument/2006/relationships/hyperlink" Target="https://audio.iskcondesiretree.com/01_-_Srila_Prabhupada/01_-_Lectures/01_-_English/02_-_Month_wise/03_-_March/17/SB_2-01-02_VRN_1974-03-17_The_Self-Aware_Command_Respect.mp3" TargetMode="External"/><Relationship Id="rId1728" Type="http://schemas.openxmlformats.org/officeDocument/2006/relationships/hyperlink" Target="https://audio.iskcondesiretree.com/01_-_Srila_Prabhupada/01_-_Lectures/01_-_English/02_-_Month_wise/03_-_March/17/Walk_1974-03-17_MW-VRNDAVAN.MP3" TargetMode="External"/><Relationship Id="rId1729" Type="http://schemas.openxmlformats.org/officeDocument/2006/relationships/hyperlink" Target="https://audio.iskcondesiretree.com/01_-_Srila_Prabhupada/01_-_Lectures/01_-_English/01_-_Topic_wise/Morning_Walk/SP_Morning_Walk_-_Vrindavan_1974-03-18.mp3" TargetMode="External"/><Relationship Id="rId1752" Type="http://schemas.openxmlformats.org/officeDocument/2006/relationships/hyperlink" Target="https://audio.iskcondesiretree.com/01_-_Srila_Prabhupada/01_-_Lectures/01_-_English/02_-_Month_wise/03_-_March/24/Bg_04-04_BOM_1974-03-24_Why_We_Forget_and_God_Doesn%27t.mp3" TargetMode="External"/><Relationship Id="rId1753" Type="http://schemas.openxmlformats.org/officeDocument/2006/relationships/hyperlink" Target="https://audio.iskcondesiretree.com/01_-_Srila_Prabhupada/01_-_Lectures/01_-_English/02_-_Month_wise/03_-_March/24/MW_BOM_1974-03-24_Everyone_Is_Serving.mp3" TargetMode="External"/><Relationship Id="rId1754" Type="http://schemas.openxmlformats.org/officeDocument/2006/relationships/hyperlink" Target="https://audio.iskcondesiretree.com/01_-_Srila_Prabhupada/01_-_Lectures/01_-_English/02_-_Month_wise/03_-_March/24/Walk_1974-03-24_MW-BOMBAY.MP3" TargetMode="External"/><Relationship Id="rId1755" Type="http://schemas.openxmlformats.org/officeDocument/2006/relationships/hyperlink" Target="https://audio.iskcondesiretree.com/01_-_Srila_Prabhupada/01_-_Lectures/01_-_English/01_-_Topic_wise/Bhagavad_Gita/Chapter-04/SP_BG_04-05_Bombay_1974-03-25_Learning_to_Love_Unlimited_One.mp3" TargetMode="External"/><Relationship Id="rId1756" Type="http://schemas.openxmlformats.org/officeDocument/2006/relationships/hyperlink" Target="https://audio.iskcondesiretree.com/01_-_Srila_Prabhupada/01_-_Lectures/01_-_English/01_-_Topic_wise/Morning_Walk/SP_Morning_Walk_-_Bombay_1974-03-25.mp3" TargetMode="External"/><Relationship Id="rId1757" Type="http://schemas.openxmlformats.org/officeDocument/2006/relationships/hyperlink" Target="https://audio.iskcondesiretree.com/01_-_Srila_Prabhupada/01_-_Lectures/01_-_English/02_-_Month_wise/03_-_March/25/Bg-04-05_1974-03-25_BG-BOMBAY.MP3" TargetMode="External"/><Relationship Id="rId1758" Type="http://schemas.openxmlformats.org/officeDocument/2006/relationships/hyperlink" Target="https://audio.iskcondesiretree.com/01_-_Srila_Prabhupada/01_-_Lectures/01_-_English/02_-_Month_wise/03_-_March/25/Bg_04-05_BOM_1974-03-25_Learning_to_Love_Unlimited_One.mp3" TargetMode="External"/><Relationship Id="rId1759" Type="http://schemas.openxmlformats.org/officeDocument/2006/relationships/hyperlink" Target="https://audio.iskcondesiretree.com/01_-_Srila_Prabhupada/01_-_Lectures/01_-_English/02_-_Month_wise/03_-_March/25/Walk_1974-03-25_MW-BOMBAY.MP3" TargetMode="External"/><Relationship Id="rId1750" Type="http://schemas.openxmlformats.org/officeDocument/2006/relationships/hyperlink" Target="https://audio.iskcondesiretree.com/01_-_Srila_Prabhupada/01_-_Lectures/01_-_English/01_-_Topic_wise/Morning_Walk/SP_Morning_Walk_-_Bombay_1974-03-24_Everyone_Is_Serving.mp3" TargetMode="External"/><Relationship Id="rId1751" Type="http://schemas.openxmlformats.org/officeDocument/2006/relationships/hyperlink" Target="https://audio.iskcondesiretree.com/01_-_Srila_Prabhupada/01_-_Lectures/01_-_English/02_-_Month_wise/03_-_March/24/Bg-04-04_1974-03-24_BG-BOMBAY.MP3" TargetMode="External"/><Relationship Id="rId1741" Type="http://schemas.openxmlformats.org/officeDocument/2006/relationships/hyperlink" Target="https://audio.iskcondesiretree.com/01_-_Srila_Prabhupada/01_-_Lectures/01_-_English/02_-_Month_wise/03_-_March/22/Bg-04-02_1974-03-22_BG-BOMBAY.MP3" TargetMode="External"/><Relationship Id="rId1742" Type="http://schemas.openxmlformats.org/officeDocument/2006/relationships/hyperlink" Target="https://audio.iskcondesiretree.com/01_-_Srila_Prabhupada/01_-_Lectures/01_-_English/02_-_Month_wise/03_-_March/22/Bg_04-02_BOM_1974-03-22_Government%27s_Choice-Krishna_etc.mp3" TargetMode="External"/><Relationship Id="rId1743" Type="http://schemas.openxmlformats.org/officeDocument/2006/relationships/hyperlink" Target="https://audio.iskcondesiretree.com/01_-_Srila_Prabhupada/01_-_Lectures/01_-_English/01_-_Topic_wise/Bhagavad_Gita/Chapter-04/SP_BG_04-03_Bombay_1974-03-23_Cheating_Religion_Thrown_Out.mp3" TargetMode="External"/><Relationship Id="rId1744" Type="http://schemas.openxmlformats.org/officeDocument/2006/relationships/hyperlink" Target="https://audio.iskcondesiretree.com/01_-_Srila_Prabhupada/01_-_Lectures/01_-_English/01_-_Topic_wise/Morning_Walk/SP_Morning_Walk_-_Bombay_1974-03-23_A_Kindly_Slap_for_a_Fool.mp3" TargetMode="External"/><Relationship Id="rId1745" Type="http://schemas.openxmlformats.org/officeDocument/2006/relationships/hyperlink" Target="https://audio.iskcondesiretree.com/01_-_Srila_Prabhupada/01_-_Lectures/01_-_English/02_-_Month_wise/03_-_March/23/Bg-04-03_1974-03-23_BG-BOMBAY.MP3" TargetMode="External"/><Relationship Id="rId1746" Type="http://schemas.openxmlformats.org/officeDocument/2006/relationships/hyperlink" Target="https://audio.iskcondesiretree.com/01_-_Srila_Prabhupada/01_-_Lectures/01_-_English/02_-_Month_wise/03_-_March/23/Bg_04-03_BOM_1974-03-23_Cheating_Religion_Thrown_Out.mp3" TargetMode="External"/><Relationship Id="rId1747" Type="http://schemas.openxmlformats.org/officeDocument/2006/relationships/hyperlink" Target="https://audio.iskcondesiretree.com/01_-_Srila_Prabhupada/01_-_Lectures/01_-_English/02_-_Month_wise/03_-_March/23/MW_BOM_1974-03-23_A_Kindly_Slap_for_a_Fool.mp3" TargetMode="External"/><Relationship Id="rId1748" Type="http://schemas.openxmlformats.org/officeDocument/2006/relationships/hyperlink" Target="https://audio.iskcondesiretree.com/01_-_Srila_Prabhupada/01_-_Lectures/01_-_English/02_-_Month_wise/03_-_March/23/Walk_1974-03-23_MW-BOMBAY.MP3" TargetMode="External"/><Relationship Id="rId1749" Type="http://schemas.openxmlformats.org/officeDocument/2006/relationships/hyperlink" Target="https://audio.iskcondesiretree.com/01_-_Srila_Prabhupada/01_-_Lectures/01_-_English/01_-_Topic_wise/Bhagavad_Gita/Chapter-04/SP_BG_04-04_Bombay_1974-03-24_Why_We_Forget_and_God_Doesn%27t.mp3" TargetMode="External"/><Relationship Id="rId1740" Type="http://schemas.openxmlformats.org/officeDocument/2006/relationships/hyperlink" Target="https://audio.iskcondesiretree.com/01_-_Srila_Prabhupada/01_-_Lectures/01_-_English/01_-_Topic_wise/Bhagavad_Gita/Chapter-04/SP_BG_04-02_Bombay_1974-03-22_Government%27s_Choice-Krishna--etc.mp3" TargetMode="External"/><Relationship Id="rId5291" Type="http://schemas.openxmlformats.org/officeDocument/2006/relationships/hyperlink" Target="https://audio.iskcondesiretree.com/01_-_Srila_Prabhupada/01_-_Lectures/01_-_English/02_-_Month_wise/10_-_October/02/SB-01-07-41%E2%80%9342_1976-10-02_SB-VRNDAVAN.MP3" TargetMode="External"/><Relationship Id="rId5292" Type="http://schemas.openxmlformats.org/officeDocument/2006/relationships/hyperlink" Target="https://audio.iskcondesiretree.com/01_-_Srila_Prabhupada/01_-_Lectures/01_-_English/02_-_Month_wise/10_-_October/02/SB_1-07-41_VRN_1976-10-02_Servant_of_Servant_of_Servant.mp3" TargetMode="External"/><Relationship Id="rId5290" Type="http://schemas.openxmlformats.org/officeDocument/2006/relationships/hyperlink" Target="https://audio.iskcondesiretree.com/01_-_Srila_Prabhupada/01_-_Lectures/01_-_English/01_-_Topic_wise/Srimad_Bhagavatam/Canto-01/SP_SB_1-07-41_Vrindavan_1976-10-02_Servant_of_Servant_of_Servant.mp3" TargetMode="External"/><Relationship Id="rId5295" Type="http://schemas.openxmlformats.org/officeDocument/2006/relationships/hyperlink" Target="https://audio.iskcondesiretree.com/01_-_Srila_Prabhupada/01_-_Lectures/01_-_English/02_-_Month_wise/10_-_October/03/Conv_1976-10-03_R1-VRNDAVAN.MP3" TargetMode="External"/><Relationship Id="rId5296" Type="http://schemas.openxmlformats.org/officeDocument/2006/relationships/hyperlink" Target="https://audio.iskcondesiretree.com/01_-_Srila_Prabhupada/01_-_Lectures/01_-_English/02_-_Month_wise/10_-_October/03/SB-01-07-43_1976-10-03_SB-VRNDAVAN.MP3" TargetMode="External"/><Relationship Id="rId5293" Type="http://schemas.openxmlformats.org/officeDocument/2006/relationships/hyperlink" Target="https://audio.iskcondesiretree.com/01_-_Srila_Prabhupada/01_-_Lectures/01_-_English/02_-_Month_wise/10_-_October/02/Walk_1976-10-02_MW-VRNDAVAN.MP3" TargetMode="External"/><Relationship Id="rId5294" Type="http://schemas.openxmlformats.org/officeDocument/2006/relationships/hyperlink" Target="https://audio.iskcondesiretree.com/01_-_Srila_Prabhupada/01_-_Lectures/01_-_English/01_-_Topic_wise/Srimad_Bhagavatam/Canto-01/SP_SB_1-07-43_Vrindavan_1976-10-03_Husband_Wife_and_Happy_Home.mp3" TargetMode="External"/><Relationship Id="rId5299" Type="http://schemas.openxmlformats.org/officeDocument/2006/relationships/hyperlink" Target="https://audio.iskcondesiretree.com/01_-_Srila_Prabhupada/01_-_Lectures/01_-_English/02_-_Month_wise/10_-_October/04/Conv_1976-10-04_R1-VRNDAVAN.MP3" TargetMode="External"/><Relationship Id="rId5297" Type="http://schemas.openxmlformats.org/officeDocument/2006/relationships/hyperlink" Target="https://audio.iskcondesiretree.com/01_-_Srila_Prabhupada/01_-_Lectures/01_-_English/02_-_Month_wise/10_-_October/03/SB_1-07-43_VRN_1976-10-03_Husband_Wife_and_Happy_Home.mp3" TargetMode="External"/><Relationship Id="rId5298" Type="http://schemas.openxmlformats.org/officeDocument/2006/relationships/hyperlink" Target="https://audio.iskcondesiretree.com/01_-_Srila_Prabhupada/01_-_Lectures/01_-_English/01_-_Topic_wise/Srimad_Bhagavatam/Canto-01/SP_SB_1-07-44_Vrindavan_1976-10-04_To_Serve_Vaisnava_Is_More...mp3" TargetMode="External"/><Relationship Id="rId5280" Type="http://schemas.openxmlformats.org/officeDocument/2006/relationships/hyperlink" Target="https://audio.iskcondesiretree.com/01_-_Srila_Prabhupada/01_-_Lectures/01_-_English/02_-_Month_wise/09_-_September/29/SB-01-07-36%E2%80%9337_1976-09-29_SB-VRNDAVAN.MP3" TargetMode="External"/><Relationship Id="rId5281" Type="http://schemas.openxmlformats.org/officeDocument/2006/relationships/hyperlink" Target="https://audio.iskcondesiretree.com/01_-_Srila_Prabhupada/01_-_Lectures/01_-_English/02_-_Month_wise/09_-_September/29/SB_1-07-36_VRN_1976-09-29_The_Point-Is_Krishna_Pleased.mp3" TargetMode="External"/><Relationship Id="rId5284" Type="http://schemas.openxmlformats.org/officeDocument/2006/relationships/hyperlink" Target="https://audio.iskcondesiretree.com/01_-_Srila_Prabhupada/01_-_Lectures/01_-_English/02_-_Month_wise/09_-_September/30/Conv_1976-09-30_R1-VRNDAVAN.MP3" TargetMode="External"/><Relationship Id="rId5285" Type="http://schemas.openxmlformats.org/officeDocument/2006/relationships/hyperlink" Target="https://audio.iskcondesiretree.com/01_-_Srila_Prabhupada/01_-_Lectures/01_-_English/02_-_Month_wise/09_-_September/30/SB-01-07-38%E2%80%9339_1976-09-30_SB-VRNDAVAN.MP3" TargetMode="External"/><Relationship Id="rId5282" Type="http://schemas.openxmlformats.org/officeDocument/2006/relationships/hyperlink" Target="https://audio.iskcondesiretree.com/01_-_Srila_Prabhupada/01_-_Lectures/01_-_English/01_-_Topic_wise/Srimad_Bhagavatam/Canto-01/SP_SB_1-07-38-39_Vrindavan_1976-09-30_Don%27t_Keep_a_Guru_As_Fashion.mp3" TargetMode="External"/><Relationship Id="rId5283" Type="http://schemas.openxmlformats.org/officeDocument/2006/relationships/hyperlink" Target="https://audio.iskcondesiretree.com/01_-_Srila_Prabhupada/01_-_Lectures/01_-_English/01_-_Topic_wise/Srimad_Bhagavatam/Canto-01/SP_SB_1-07-38_Vrindavan_1976-09-30_Don%27t_Keep_a_Guru_As_Fashion.mp3" TargetMode="External"/><Relationship Id="rId5288" Type="http://schemas.openxmlformats.org/officeDocument/2006/relationships/hyperlink" Target="https://audio.iskcondesiretree.com/01_-_Srila_Prabhupada/01_-_Lectures/01_-_English/02_-_Month_wise/10_-_October/01/SB-01-07-40_1976-10-01_SB-VRNDAVAN.MP3" TargetMode="External"/><Relationship Id="rId5289" Type="http://schemas.openxmlformats.org/officeDocument/2006/relationships/hyperlink" Target="https://audio.iskcondesiretree.com/01_-_Srila_Prabhupada/01_-_Lectures/01_-_English/02_-_Month_wise/10_-_October/01/SB_1-07-40_VRN_1976-10-01_The_Callous_Can%27t_Pass_Krishna%27s_Test.mp3" TargetMode="External"/><Relationship Id="rId5286" Type="http://schemas.openxmlformats.org/officeDocument/2006/relationships/hyperlink" Target="https://audio.iskcondesiretree.com/01_-_Srila_Prabhupada/01_-_Lectures/01_-_English/02_-_Month_wise/09_-_September/30/SB_1-07-38_VRN_1976-09-30_Don%27t_Keep_a_Guru_As_Fashion.mp3" TargetMode="External"/><Relationship Id="rId5287" Type="http://schemas.openxmlformats.org/officeDocument/2006/relationships/hyperlink" Target="https://audio.iskcondesiretree.com/01_-_Srila_Prabhupada/01_-_Lectures/01_-_English/01_-_Topic_wise/Srimad_Bhagavatam/Canto-01/SP_SB_1-07-40_Vrindavan_1976-10-01_The_Callous_Can%27t_Pass_Krishna%27s_Test.mp3" TargetMode="External"/><Relationship Id="rId1710" Type="http://schemas.openxmlformats.org/officeDocument/2006/relationships/hyperlink" Target="https://audio.iskcondesiretree.com/01_-_Srila_Prabhupada/01_-_Lectures/01_-_English/02_-_Month_wise/03_-_March/15/CcAdi-07-008_1974-03-15_CC-VRNDAVAN.MP3" TargetMode="External"/><Relationship Id="rId1711" Type="http://schemas.openxmlformats.org/officeDocument/2006/relationships/hyperlink" Target="https://audio.iskcondesiretree.com/01_-_Srila_Prabhupada/01_-_Lectures/01_-_English/02_-_Month_wise/03_-_March/15/Conv_1974-03-15_R1-VRNDAVAN.MP3" TargetMode="External"/><Relationship Id="rId1712" Type="http://schemas.openxmlformats.org/officeDocument/2006/relationships/hyperlink" Target="https://audio.iskcondesiretree.com/01_-_Srila_Prabhupada/01_-_Lectures/01_-_English/02_-_Month_wise/03_-_March/15/MW_VRN_1974-03-15_Varnashram_College_2--One_etc.mp3" TargetMode="External"/><Relationship Id="rId1713" Type="http://schemas.openxmlformats.org/officeDocument/2006/relationships/hyperlink" Target="https://audio.iskcondesiretree.com/01_-_Srila_Prabhupada/01_-_Lectures/01_-_English/02_-_Month_wise/03_-_March/15/Walk_1974-03-15_MW-VRNDAVAN.MP3" TargetMode="External"/><Relationship Id="rId1714" Type="http://schemas.openxmlformats.org/officeDocument/2006/relationships/hyperlink" Target="https://audio.iskcondesiretree.com/01_-_Srila_Prabhupada/01_-_Lectures/01_-_English/01_-_Topic_wise/Morning_Walk/SP_Morning_Walk_-_Vrindavan_1974-03-16.mp3" TargetMode="External"/><Relationship Id="rId1715" Type="http://schemas.openxmlformats.org/officeDocument/2006/relationships/hyperlink" Target="https://audio.iskcondesiretree.com/01_-_Srila_Prabhupada/01_-_Lectures/01_-_English/01_-_Topic_wise/Room_Conversation/SP_Room_Conversation_01_Vrindavan_1974-03-16.mp3" TargetMode="External"/><Relationship Id="rId1716" Type="http://schemas.openxmlformats.org/officeDocument/2006/relationships/hyperlink" Target="https://audio.iskcondesiretree.com/01_-_Srila_Prabhupada/01_-_Lectures/01_-_English/01_-_Topic_wise/Room_Conversation/SP_Room_Conversation_02_Vrindavan_1974-03-16.mp3" TargetMode="External"/><Relationship Id="rId1717" Type="http://schemas.openxmlformats.org/officeDocument/2006/relationships/hyperlink" Target="https://audio.iskcondesiretree.com/01_-_Srila_Prabhupada/01_-_Lectures/01_-_English/01_-_Topic_wise/Srimad_Bhagavatam/Canto-02/SP_SB_2-01-01_Vrindavan_1974-03-16_How_to_Be_Fearless_at_Death.mp3" TargetMode="External"/><Relationship Id="rId1718" Type="http://schemas.openxmlformats.org/officeDocument/2006/relationships/hyperlink" Target="https://audio.iskcondesiretree.com/01_-_Srila_Prabhupada/01_-_Lectures/01_-_English/02_-_Month_wise/03_-_March/16/Conv_1974-03-16_R1-VRNDAVAN.MP3" TargetMode="External"/><Relationship Id="rId1719" Type="http://schemas.openxmlformats.org/officeDocument/2006/relationships/hyperlink" Target="https://audio.iskcondesiretree.com/01_-_Srila_Prabhupada/01_-_Lectures/01_-_English/02_-_Month_wise/03_-_March/16/Conv_1974-03-16_R2-VRNDAVAN.MP3" TargetMode="External"/><Relationship Id="rId1700" Type="http://schemas.openxmlformats.org/officeDocument/2006/relationships/hyperlink" Target="https://audio.iskcondesiretree.com/01_-_Srila_Prabhupada/01_-_Lectures/01_-_English/02_-_Month_wise/03_-_March/13/Cc_A_7-91_VRN_1974-03-13_Singing_in_Saintly_Company.mp3" TargetMode="External"/><Relationship Id="rId1701" Type="http://schemas.openxmlformats.org/officeDocument/2006/relationships/hyperlink" Target="https://audio.iskcondesiretree.com/01_-_Srila_Prabhupada/01_-_Lectures/01_-_English/02_-_Month_wise/03_-_March/13/CcAdi-07-091%E2%80%93092_1974-03-13_CC-VRNDAVAN.MP3" TargetMode="External"/><Relationship Id="rId1702" Type="http://schemas.openxmlformats.org/officeDocument/2006/relationships/hyperlink" Target="https://audio.iskcondesiretree.com/01_-_Srila_Prabhupada/01_-_Lectures/01_-_English/02_-_Month_wise/03_-_March/13/Walk_1974-03-13_MW-VRNDAVAN.MP3" TargetMode="External"/><Relationship Id="rId1703" Type="http://schemas.openxmlformats.org/officeDocument/2006/relationships/hyperlink" Target="https://audio.iskcondesiretree.com/01_-_Srila_Prabhupada/01_-_Lectures/01_-_English/01_-_Topic_wise/Morning_Walk/SP_Morning_Walk_-_Vrindavan_1974-03-14_Varnashram_College_1--Revise_Human--etc.mp3" TargetMode="External"/><Relationship Id="rId1704" Type="http://schemas.openxmlformats.org/officeDocument/2006/relationships/hyperlink" Target="https://audio.iskcondesiretree.com/01_-_Srila_Prabhupada/01_-_Lectures/01_-_English/02_-_Month_wise/03_-_March/14/Lecture_1974-03-14_LE-VRNDAVAN.MP3" TargetMode="External"/><Relationship Id="rId1705" Type="http://schemas.openxmlformats.org/officeDocument/2006/relationships/hyperlink" Target="https://audio.iskcondesiretree.com/01_-_Srila_Prabhupada/01_-_Lectures/01_-_English/02_-_Month_wise/03_-_March/14/MW_VRN_1974-03-14_Varnashram_College_1--Revise_Human_etc.mp3" TargetMode="External"/><Relationship Id="rId1706" Type="http://schemas.openxmlformats.org/officeDocument/2006/relationships/hyperlink" Target="https://audio.iskcondesiretree.com/01_-_Srila_Prabhupada/01_-_Lectures/01_-_English/02_-_Month_wise/03_-_March/14/Walk_1974-03-14_MW-VRNDAVAN.MP3" TargetMode="External"/><Relationship Id="rId1707" Type="http://schemas.openxmlformats.org/officeDocument/2006/relationships/hyperlink" Target="https://audio.iskcondesiretree.com/01_-_Srila_Prabhupada/01_-_Lectures/01_-_English/01_-_Topic_wise/Chaitanya_Charitamrita/Adi_Lila/SP_CC_A_07-08_Vrindavan_1974-03-15.mp3" TargetMode="External"/><Relationship Id="rId1708" Type="http://schemas.openxmlformats.org/officeDocument/2006/relationships/hyperlink" Target="https://audio.iskcondesiretree.com/01_-_Srila_Prabhupada/01_-_Lectures/01_-_English/01_-_Topic_wise/Morning_Walk/SP_Morning_Walk_-_Vrindavan_1974-03-15_Varnashram_College_2--One--etc.mp3" TargetMode="External"/><Relationship Id="rId1709" Type="http://schemas.openxmlformats.org/officeDocument/2006/relationships/hyperlink" Target="https://audio.iskcondesiretree.com/01_-_Srila_Prabhupada/01_-_Lectures/01_-_English/01_-_Topic_wise/Room_Conversation/SP_Room_Conversation_with_Sannyasis_Vrindavan_1974-03-15.mp3" TargetMode="External"/><Relationship Id="rId40" Type="http://schemas.openxmlformats.org/officeDocument/2006/relationships/hyperlink" Target="https://audio.iskcondesiretree.com/01_-_Srila_Prabhupada/01_-_Lectures/01_-_English/01_-_Topic_wise/Bhagavad_Gita/Chapter-03/SP_BG_03-17_New_York_1966-05-27_Bhagavad-gita--_for_the_Common_Man.mp3" TargetMode="External"/><Relationship Id="rId42" Type="http://schemas.openxmlformats.org/officeDocument/2006/relationships/hyperlink" Target="https://audio.iskcondesiretree.com/01_-_Srila_Prabhupada/01_-_Lectures/01_-_English/01_-_Topic_wise/Bhagavad_Gita/Chapter-03/SP_BG_03-21-24_New_York_1966-05-30_How_to_Become_An_Ideal_Person.mp3" TargetMode="External"/><Relationship Id="rId41" Type="http://schemas.openxmlformats.org/officeDocument/2006/relationships/hyperlink" Target="https://audio.iskcondesiretree.com/01_-_Srila_Prabhupada/01_-_Lectures/01_-_English/02_-_Month_wise/05_-_May/27/Bg_03-17_NY_1966-05-27_Bhagavad-gita_for_the_Common_Man.mp3" TargetMode="External"/><Relationship Id="rId44" Type="http://schemas.openxmlformats.org/officeDocument/2006/relationships/hyperlink" Target="https://audio.iskcondesiretree.com/01_-_Srila_Prabhupada/01_-_Lectures/01_-_English/01_-_Topic_wise/Bhagavad_Gita/Chapter-04/SP_BG_04-03-06_New_York_1966-07-18_Forgetfulness_of_the_Lord.mp3" TargetMode="External"/><Relationship Id="rId43" Type="http://schemas.openxmlformats.org/officeDocument/2006/relationships/hyperlink" Target="https://audio.iskcondesiretree.com/01_-_Srila_Prabhupada/01_-_Lectures/01_-_English/02_-_Month_wise/05_-_May/30/Bg_03-21_NY_1966-05-30_How_to_Become_An_Ideal_Person.mp3" TargetMode="External"/><Relationship Id="rId46" Type="http://schemas.openxmlformats.org/officeDocument/2006/relationships/hyperlink" Target="https://audio.iskcondesiretree.com/01_-_Srila_Prabhupada/01_-_Lectures/01_-_English/01_-_Topic_wise/Bhagavad_Gita/Chapter-04/SP_BG_04-06-08_New_York_1966-07-20_Why_the_Lord_and_His--etc.mp3" TargetMode="External"/><Relationship Id="rId45" Type="http://schemas.openxmlformats.org/officeDocument/2006/relationships/hyperlink" Target="https://audio.iskcondesiretree.com/01_-_Srila_Prabhupada/01_-_Lectures/01_-_English/02_-_Month_wise/07_-_July/18/Bg_04-03_NY_1966-07-18_Forgetfulness_of_the_Lord.mp3" TargetMode="External"/><Relationship Id="rId48" Type="http://schemas.openxmlformats.org/officeDocument/2006/relationships/hyperlink" Target="https://audio.iskcondesiretree.com/01_-_Srila_Prabhupada/01_-_Lectures/01_-_English/01_-_Topic_wise/Bhagavad_Gita/Chapter-04/SP_BG_04-09_New_York_1966-07-25_Take_Assistance_From_A_Person--etc.mp3" TargetMode="External"/><Relationship Id="rId47" Type="http://schemas.openxmlformats.org/officeDocument/2006/relationships/hyperlink" Target="https://audio.iskcondesiretree.com/01_-_Srila_Prabhupada/01_-_Lectures/01_-_English/02_-_Month_wise/07_-_July/20/Bg_04-06_NY_1966-07-20_Why_the_Lord_and_His_etc.mp3" TargetMode="External"/><Relationship Id="rId49" Type="http://schemas.openxmlformats.org/officeDocument/2006/relationships/hyperlink" Target="https://audio.iskcondesiretree.com/01_-_Srila_Prabhupada/01_-_Lectures/01_-_English/02_-_Month_wise/07_-_July/25/Bg_04-09_NY_1966-07-25_Take_Assistance_From_A_Person_etc.mp3" TargetMode="External"/><Relationship Id="rId31" Type="http://schemas.openxmlformats.org/officeDocument/2006/relationships/hyperlink" Target="https://audio.iskcondesiretree.com/01_-_Srila_Prabhupada/01_-_Lectures/01_-_English/02_-_Month_wise/04_-_April/19/Bg_02-55_NY_1966-04-19_Engaging_in_Devotional_Service_etc.mp3" TargetMode="External"/><Relationship Id="rId30" Type="http://schemas.openxmlformats.org/officeDocument/2006/relationships/hyperlink" Target="https://audio.iskcondesiretree.com/01_-_Srila_Prabhupada/01_-_Lectures/01_-_English/01_-_Topic_wise/Bhagavad_Gita/Chapter-02/SP_BG_02-55_New_York_1966-04-19_Engaging_in_Devotional_Service--etc.mp3" TargetMode="External"/><Relationship Id="rId33" Type="http://schemas.openxmlformats.org/officeDocument/2006/relationships/hyperlink" Target="https://audio.iskcondesiretree.com/01_-_Srila_Prabhupada/01_-_Lectures/01_-_English/02_-_Month_wise/04_-_April/27/Bg_02-58_NY_1966-04-27_The_Secret_of_Detachment.mp3" TargetMode="External"/><Relationship Id="rId32" Type="http://schemas.openxmlformats.org/officeDocument/2006/relationships/hyperlink" Target="https://audio.iskcondesiretree.com/01_-_Srila_Prabhupada/01_-_Lectures/01_-_English/01_-_Topic_wise/Bhagavad_Gita/Chapter-02/SP_BG_02-58_New_York_1966-04-27_The_Secret_of_Detachment.mp3" TargetMode="External"/><Relationship Id="rId35" Type="http://schemas.openxmlformats.org/officeDocument/2006/relationships/hyperlink" Target="https://audio.iskcondesiretree.com/01_-_Srila_Prabhupada/01_-_Lectures/01_-_English/02_-_Month_wise/05_-_May/20/Bg_03-08_NY_1966-05-20_Yajna_Means_Work_for_Vishnu.mp3" TargetMode="External"/><Relationship Id="rId34" Type="http://schemas.openxmlformats.org/officeDocument/2006/relationships/hyperlink" Target="https://audio.iskcondesiretree.com/01_-_Srila_Prabhupada/01_-_Lectures/01_-_English/01_-_Topic_wise/Bhagavad_Gita/Chapter-03/SP_BG_03-08-13_New_York_1966-05-20_Yajna_Means_Work_for_Vishnu.mp3" TargetMode="External"/><Relationship Id="rId37" Type="http://schemas.openxmlformats.org/officeDocument/2006/relationships/hyperlink" Target="https://audio.iskcondesiretree.com/01_-_Srila_Prabhupada/01_-_Lectures/01_-_English/02_-_Month_wise/05_-_May/23/Bg_03-13_NY_1966-05-23_Karma-yoga_Becoming_God%27s_Yes_Man.mp3" TargetMode="External"/><Relationship Id="rId36" Type="http://schemas.openxmlformats.org/officeDocument/2006/relationships/hyperlink" Target="https://audio.iskcondesiretree.com/01_-_Srila_Prabhupada/01_-_Lectures/01_-_English/01_-_Topic_wise/Bhagavad_Gita/Chapter-03/SP_BG_03-13-16_New_York_1966-05-23_Karma-yoga-_Becoming_God%27s_Yes_Man.mp3" TargetMode="External"/><Relationship Id="rId39" Type="http://schemas.openxmlformats.org/officeDocument/2006/relationships/hyperlink" Target="https://audio.iskcondesiretree.com/01_-_Srila_Prabhupada/01_-_Lectures/01_-_English/02_-_Month_wise/05_-_May/25/Bg_03-16_NY_1966-05-25_You_Have_to_Love_Through_God.mp3" TargetMode="External"/><Relationship Id="rId38" Type="http://schemas.openxmlformats.org/officeDocument/2006/relationships/hyperlink" Target="https://audio.iskcondesiretree.com/01_-_Srila_Prabhupada/01_-_Lectures/01_-_English/01_-_Topic_wise/Bhagavad_Gita/Chapter-03/SP_BG_03-16_New_York_1966-05-25_You_Have_to_Love_Through_God.mp3" TargetMode="External"/><Relationship Id="rId20" Type="http://schemas.openxmlformats.org/officeDocument/2006/relationships/hyperlink" Target="https://audio.iskcondesiretree.com/01_-_Srila_Prabhupada/01_-_Lectures/01_-_English/01_-_Topic_wise/Bhagavad_Gita/Chapter-02/SP_BG_02-47_New_York_1966-03-28_Soul%27s_Constitutional_Position.mp3" TargetMode="External"/><Relationship Id="rId22" Type="http://schemas.openxmlformats.org/officeDocument/2006/relationships/hyperlink" Target="https://audio.iskcondesiretree.com/01_-_Srila_Prabhupada/01_-_Lectures/01_-_English/01_-_Topic_wise/Bhagavad_Gita/Chapter-02/SP_BG_02-48_New_York_1966-04-01_Keeping_in_Touch_with_the_Supreme.mp3" TargetMode="External"/><Relationship Id="rId21" Type="http://schemas.openxmlformats.org/officeDocument/2006/relationships/hyperlink" Target="https://audio.iskcondesiretree.com/01_-_Srila_Prabhupada/01_-_Lectures/01_-_English/02_-_Month_wise/03_-_March/28/Bg_02-47_NY_1966-03-28_Soul%27s_Constitutional_Position.mp3" TargetMode="External"/><Relationship Id="rId24" Type="http://schemas.openxmlformats.org/officeDocument/2006/relationships/hyperlink" Target="https://audio.iskcondesiretree.com/01_-_Srila_Prabhupada/01_-_Lectures/01_-_English/01_-_Topic_wise/Bhagavad_Gita/Chapter-02/SP_BG_02-49_New_York_1966-04-05_One_Should_Spend_All_Energies--etc.mp3" TargetMode="External"/><Relationship Id="rId23" Type="http://schemas.openxmlformats.org/officeDocument/2006/relationships/hyperlink" Target="https://audio.iskcondesiretree.com/01_-_Srila_Prabhupada/01_-_Lectures/01_-_English/02_-_Month_wise/04_-_April/01/Bg_02-48_NY_1966-04-01_Keeping_in_Touch_with_the_Supreme.mp3" TargetMode="External"/><Relationship Id="rId26" Type="http://schemas.openxmlformats.org/officeDocument/2006/relationships/hyperlink" Target="https://audio.iskcondesiretree.com/01_-_Srila_Prabhupada/01_-_Lectures/01_-_English/01_-_Topic_wise/Bhagavad_Gita/Chapter-02/SP_BG_02-51-54_New_York_1966-04-12_Dovetailing_Yourself_with_the_Supreme.mp3" TargetMode="External"/><Relationship Id="rId25" Type="http://schemas.openxmlformats.org/officeDocument/2006/relationships/hyperlink" Target="https://audio.iskcondesiretree.com/01_-_Srila_Prabhupada/01_-_Lectures/01_-_English/02_-_Month_wise/04_-_April/05/Bg_02-49_NY_1966-04-05_One_Should_Spend_All_Energies_etc.mp3" TargetMode="External"/><Relationship Id="rId28" Type="http://schemas.openxmlformats.org/officeDocument/2006/relationships/hyperlink" Target="https://audio.iskcondesiretree.com/01_-_Srila_Prabhupada/01_-_Lectures/01_-_English/01_-_Topic_wise/Bhagavad_Gita/Chapter-02/SP_BG_02-55_New_York_1966-04-15_Coming_Off_the_Mental_Platform.mp3" TargetMode="External"/><Relationship Id="rId27" Type="http://schemas.openxmlformats.org/officeDocument/2006/relationships/hyperlink" Target="https://audio.iskcondesiretree.com/01_-_Srila_Prabhupada/01_-_Lectures/01_-_English/02_-_Month_wise/04_-_April/12/Bg_02-51_NY_1966-04-12_Dovetailing_Yourself_with_the_Supreme.mp3" TargetMode="External"/><Relationship Id="rId29" Type="http://schemas.openxmlformats.org/officeDocument/2006/relationships/hyperlink" Target="https://audio.iskcondesiretree.com/01_-_Srila_Prabhupada/01_-_Lectures/01_-_English/02_-_Month_wise/04_-_April/15/Bg_02-55_NY_1966-04-15_Coming_Off_the_Mental_Platform.mp3" TargetMode="External"/><Relationship Id="rId11" Type="http://schemas.openxmlformats.org/officeDocument/2006/relationships/hyperlink" Target="https://audio.iskcondesiretree.com/01_-_Srila_Prabhupada/01_-_Lectures/01_-_English/01_-_Topic_wise/Bhagavad_Gita/Chapter-02/SP_BG_02-11_New_York_1966-03-04_The_Fragrance_of_the_Soul--etc.mp3" TargetMode="External"/><Relationship Id="rId10" Type="http://schemas.openxmlformats.org/officeDocument/2006/relationships/hyperlink" Target="https://audio.iskcondesiretree.com/01_-_Srila_Prabhupada/01_-_Lectures/01_-_English/02_-_Month_wise/03_-_March/02/Bg_02-07_NY_1966-03-02_Part_3_The_Unavoidable_Battle_etc.mp3" TargetMode="External"/><Relationship Id="rId13" Type="http://schemas.openxmlformats.org/officeDocument/2006/relationships/hyperlink" Target="https://audio.iskcondesiretree.com/01_-_Srila_Prabhupada/01_-_Lectures/01_-_English/01_-_Topic_wise/Bhagavad_Gita/Chapter-02/SP_BG_02-12_New_York_1966-03-09_God_Is_Individual_Person.mp3" TargetMode="External"/><Relationship Id="rId12" Type="http://schemas.openxmlformats.org/officeDocument/2006/relationships/hyperlink" Target="https://audio.iskcondesiretree.com/01_-_Srila_Prabhupada/01_-_Lectures/01_-_English/02_-_Month_wise/03_-_March/04/Bg_02-11_NY_1966-03-04_The_Fragrance_of_the_Soul_etc.mp3" TargetMode="External"/><Relationship Id="rId15" Type="http://schemas.openxmlformats.org/officeDocument/2006/relationships/hyperlink" Target="https://audio.iskcondesiretree.com/01_-_Srila_Prabhupada/01_-_Lectures/01_-_English/01_-_Topic_wise/Bhagavad_Gita/Chapter-02/SP_BG_02-13_New_York_1966-03-11_A_Disturbed_Mind_Is_Due_to_Ignorance.mp3" TargetMode="External"/><Relationship Id="rId14" Type="http://schemas.openxmlformats.org/officeDocument/2006/relationships/hyperlink" Target="https://audio.iskcondesiretree.com/01_-_Srila_Prabhupada/01_-_Lectures/01_-_English/02_-_Month_wise/03_-_March/09/Bg_02-12_NY_1966-03-09_God_Is_Individual_Person.mp3" TargetMode="External"/><Relationship Id="rId17" Type="http://schemas.openxmlformats.org/officeDocument/2006/relationships/hyperlink" Target="https://audio.iskcondesiretree.com/01_-_Srila_Prabhupada/01_-_Lectures/04_-_Translation/Portuguese/by_Lilananda_Prabhu/SP_BG_02-13_NY_1966-03-11_Uma_Mente_Perturbada_e_Devido_a_Ignorancia.mp3" TargetMode="External"/><Relationship Id="rId16" Type="http://schemas.openxmlformats.org/officeDocument/2006/relationships/hyperlink" Target="https://audio.iskcondesiretree.com/01_-_Srila_Prabhupada/01_-_Lectures/01_-_English/02_-_Month_wise/03_-_March/11/Bg_02-13_NY_1966-03-11_A_Disturbed_Mind_Is_Due_to_Ignorance.mp3" TargetMode="External"/><Relationship Id="rId19" Type="http://schemas.openxmlformats.org/officeDocument/2006/relationships/hyperlink" Target="https://audio.iskcondesiretree.com/01_-_Srila_Prabhupada/01_-_Lectures/01_-_English/02_-_Month_wise/03_-_March/25/SB_1-02-17_NY_1966-03-25_Krishna_Is_Omnipotent.mp3" TargetMode="External"/><Relationship Id="rId18" Type="http://schemas.openxmlformats.org/officeDocument/2006/relationships/hyperlink" Target="https://audio.iskcondesiretree.com/01_-_Srila_Prabhupada/01_-_Lectures/01_-_English/01_-_Topic_wise/Srimad_Bhagavatam/Canto-01/SP_SB_1-02-17_New_York_1966-03-25_Krishna_Is_Omnipotent.mp3" TargetMode="External"/><Relationship Id="rId84" Type="http://schemas.openxmlformats.org/officeDocument/2006/relationships/hyperlink" Target="https://audio.iskcondesiretree.com/01_-_Srila_Prabhupada/01_-_Lectures/01_-_English/01_-_Topic_wise/Bhagavad_Gita/Chapter-06/SP_BG_06-40-43_New_York_1966-09-18_Yoga_System--There_Is_No_Loss--etc.mp3" TargetMode="External"/><Relationship Id="rId1774" Type="http://schemas.openxmlformats.org/officeDocument/2006/relationships/hyperlink" Target="https://audio.iskcondesiretree.com/01_-_Srila_Prabhupada/01_-_Lectures/01_-_English/02_-_Month_wise/03_-_March/28/Bg-04-08_1974-03-28_BG-BOMBAY.MP3" TargetMode="External"/><Relationship Id="rId83" Type="http://schemas.openxmlformats.org/officeDocument/2006/relationships/hyperlink" Target="https://audio.iskcondesiretree.com/01_-_Srila_Prabhupada/01_-_Lectures/01_-_English/02_-_Month_wise/09_-_September/14/Bg_06-32_NY_1966-09-14_Yoga_System-Vairagya_It%27s_etc.mp3" TargetMode="External"/><Relationship Id="rId1775" Type="http://schemas.openxmlformats.org/officeDocument/2006/relationships/hyperlink" Target="https://audio.iskcondesiretree.com/01_-_Srila_Prabhupada/01_-_Lectures/01_-_English/02_-_Month_wise/03_-_March/28/Bg_04-08_BOM_1974-03-28_Everyone_is_Trying_to_Become_the_Master.mp3" TargetMode="External"/><Relationship Id="rId86" Type="http://schemas.openxmlformats.org/officeDocument/2006/relationships/hyperlink" Target="https://audio.iskcondesiretree.com/01_-_Srila_Prabhupada/01_-_Lectures/01_-_English/01_-_Topic_wise/Bhagavad_Gita/Chapter-07/SP_BG_07-08-14_New_York_1966-10-02_Remembering_Krishna_24_Hours_a_Day.mp3" TargetMode="External"/><Relationship Id="rId1776" Type="http://schemas.openxmlformats.org/officeDocument/2006/relationships/hyperlink" Target="https://audio.iskcondesiretree.com/01_-_Srila_Prabhupada/01_-_Lectures/01_-_English/02_-_Month_wise/03_-_March/28/Walk_1974-03-28_MW-BOMBAY.MP3" TargetMode="External"/><Relationship Id="rId85" Type="http://schemas.openxmlformats.org/officeDocument/2006/relationships/hyperlink" Target="https://audio.iskcondesiretree.com/01_-_Srila_Prabhupada/01_-_Lectures/01_-_English/02_-_Month_wise/09_-_September/18/Bg_06-40_NY_1966-09-18_Yoga_System--There_Is_No_Loss_etc.mp3" TargetMode="External"/><Relationship Id="rId1777" Type="http://schemas.openxmlformats.org/officeDocument/2006/relationships/hyperlink" Target="https://audio.iskcondesiretree.com/01_-_Srila_Prabhupada/01_-_Lectures/01_-_English/01_-_Topic_wise/Bhagavad_Gita/Chapter-04/SP_BG_04-09_Bombay_1974-03-29_Cheater_Leaders.mp3" TargetMode="External"/><Relationship Id="rId88" Type="http://schemas.openxmlformats.org/officeDocument/2006/relationships/hyperlink" Target="https://audio.iskcondesiretree.com/01_-_Srila_Prabhupada/01_-_Lectures/01_-_English/01_-_Topic_wise/Bhagavad_Gita/Chapter-07/SP_BG_07-15-18_New_York_1966-10-09_Four_Classes_of_Men_Come_to_God.mp3" TargetMode="External"/><Relationship Id="rId1778" Type="http://schemas.openxmlformats.org/officeDocument/2006/relationships/hyperlink" Target="https://audio.iskcondesiretree.com/01_-_Srila_Prabhupada/01_-_Lectures/01_-_English/01_-_Topic_wise/Morning_Walk/SP_Morning_Walk_-_Bombay_1974-03-29_Misleading_and_Misled.mp3" TargetMode="External"/><Relationship Id="rId87" Type="http://schemas.openxmlformats.org/officeDocument/2006/relationships/hyperlink" Target="https://audio.iskcondesiretree.com/01_-_Srila_Prabhupada/01_-_Lectures/01_-_English/02_-_Month_wise/10_-_October/02/Bg_07-08_NY_1966-10-02_Remembering_Krishna_24_Hours_a_Day.mp3" TargetMode="External"/><Relationship Id="rId1779" Type="http://schemas.openxmlformats.org/officeDocument/2006/relationships/hyperlink" Target="https://audio.iskcondesiretree.com/01_-_Srila_Prabhupada/01_-_Lectures/01_-_English/02_-_Month_wise/03_-_March/29/Bg-04-09_1974-03-29_BG-BOMBAY.MP3" TargetMode="External"/><Relationship Id="rId89" Type="http://schemas.openxmlformats.org/officeDocument/2006/relationships/hyperlink" Target="https://audio.iskcondesiretree.com/01_-_Srila_Prabhupada/01_-_Lectures/01_-_English/02_-_Month_wise/10_-_October/09/Bg_07-15_NY_1966-10-09_Four_Classes_of_Men_Come_to_God.mp3" TargetMode="External"/><Relationship Id="rId80" Type="http://schemas.openxmlformats.org/officeDocument/2006/relationships/hyperlink" Target="https://audio.iskcondesiretree.com/01_-_Srila_Prabhupada/01_-_Lectures/01_-_English/01_-_Topic_wise/Bhagavad_Gita/Chapter-06/SP_BG_06-21-25_New_York_1966-09-09_Yoga_System--Searching_After--etc.mp3" TargetMode="External"/><Relationship Id="rId82" Type="http://schemas.openxmlformats.org/officeDocument/2006/relationships/hyperlink" Target="https://audio.iskcondesiretree.com/01_-_Srila_Prabhupada/01_-_Lectures/01_-_English/01_-_Topic_wise/Bhagavad_Gita/Chapter-06/SP_BG_06-32_New_York_1966-09-14_Yoga_System--Vairagya_It%27s--etc.mp3" TargetMode="External"/><Relationship Id="rId81" Type="http://schemas.openxmlformats.org/officeDocument/2006/relationships/hyperlink" Target="https://audio.iskcondesiretree.com/01_-_Srila_Prabhupada/01_-_Lectures/01_-_English/02_-_Month_wise/09_-_September/09/Bg_06-21_NY_1966-09-09_Yoga_System_Searching_After_etc.mp3" TargetMode="External"/><Relationship Id="rId1770" Type="http://schemas.openxmlformats.org/officeDocument/2006/relationships/hyperlink" Target="https://audio.iskcondesiretree.com/01_-_Srila_Prabhupada/01_-_Lectures/01_-_English/02_-_Month_wise/03_-_March/27/Conv_1974-03-27_RF-BOMBAY.MP3" TargetMode="External"/><Relationship Id="rId1771" Type="http://schemas.openxmlformats.org/officeDocument/2006/relationships/hyperlink" Target="https://audio.iskcondesiretree.com/01_-_Srila_Prabhupada/01_-_Lectures/01_-_English/02_-_Month_wise/03_-_March/27/Walk_1974-03-27_MW-BOMBAY.MP3" TargetMode="External"/><Relationship Id="rId1772" Type="http://schemas.openxmlformats.org/officeDocument/2006/relationships/hyperlink" Target="https://audio.iskcondesiretree.com/01_-_Srila_Prabhupada/01_-_Lectures/01_-_English/01_-_Topic_wise/Bhagavad_Gita/Chapter-04/SP_BG_04-08_Bombay_1974-03-28_Everyone_is_Trying_to_Become_the_Master.mp3" TargetMode="External"/><Relationship Id="rId1773" Type="http://schemas.openxmlformats.org/officeDocument/2006/relationships/hyperlink" Target="https://audio.iskcondesiretree.com/01_-_Srila_Prabhupada/01_-_Lectures/01_-_English/01_-_Topic_wise/Morning_Walk/SP_Morning_Walk_-_Bombay_1974-03-28.mp3" TargetMode="External"/><Relationship Id="rId73" Type="http://schemas.openxmlformats.org/officeDocument/2006/relationships/hyperlink" Target="https://audio.iskcondesiretree.com/01_-_Srila_Prabhupada/01_-_Lectures/01_-_English/02_-_Month_wise/09_-_September/04/Bg_06-04_NY_1966-09-04_Engaging_the_Mind_in_Krsna_Consciousness.mp3" TargetMode="External"/><Relationship Id="rId1763" Type="http://schemas.openxmlformats.org/officeDocument/2006/relationships/hyperlink" Target="https://audio.iskcondesiretree.com/01_-_Srila_Prabhupada/01_-_Lectures/01_-_English/02_-_Month_wise/03_-_March/26/Bg_04-06_BOM_1974-03-26_Try_to_Be_Godly_%28Not_God%29.mp3" TargetMode="External"/><Relationship Id="rId72" Type="http://schemas.openxmlformats.org/officeDocument/2006/relationships/hyperlink" Target="https://audio.iskcondesiretree.com/01_-_Srila_Prabhupada/01_-_Lectures/01_-_English/01_-_Topic_wise/Bhagavad_Gita/Chapter-06/SP_BG_06-04-09_New_York_1966-09-04_Engaging_the_Mind_in_Krsna_Consciousness.mp3" TargetMode="External"/><Relationship Id="rId1764" Type="http://schemas.openxmlformats.org/officeDocument/2006/relationships/hyperlink" Target="https://audio.iskcondesiretree.com/01_-_Srila_Prabhupada/01_-_Lectures/01_-_English/02_-_Month_wise/03_-_March/26/Walk_1974-03-26_MW-BOMBAY.MP3" TargetMode="External"/><Relationship Id="rId75" Type="http://schemas.openxmlformats.org/officeDocument/2006/relationships/hyperlink" Target="https://audio.iskcondesiretree.com/01_-_Srila_Prabhupada/01_-_Lectures/01_-_English/01_-_Topic_wise/Bhagavad_Gita/Chapter-06/SP_BG_06-11-19_New_York_1966-09-07_Yoga_System--Chant_the_Holy--etc.mp3" TargetMode="External"/><Relationship Id="rId1765" Type="http://schemas.openxmlformats.org/officeDocument/2006/relationships/hyperlink" Target="https://audio.iskcondesiretree.com/01_-_Srila_Prabhupada/01_-_Lectures/01_-_English/01_-_Topic_wise/Bhagavad_Gita/Chapter-04/SP_BG_04-07_Bombay_1974-03-27_Dharma_and_the_Disease.mp3" TargetMode="External"/><Relationship Id="rId74" Type="http://schemas.openxmlformats.org/officeDocument/2006/relationships/hyperlink" Target="https://audio.iskcondesiretree.com/01_-_Srila_Prabhupada/01_-_Lectures/01_-_English/01_-_Topic_wise/Bhagavad_Gita/Chapter-06/SP_BG_06-04-09_New_York_1966-09-07_How_One_Should_Perform_Yoga.mp3" TargetMode="External"/><Relationship Id="rId1766" Type="http://schemas.openxmlformats.org/officeDocument/2006/relationships/hyperlink" Target="https://audio.iskcondesiretree.com/01_-_Srila_Prabhupada/01_-_Lectures/01_-_English/01_-_Topic_wise/Morning_Walk/SP_Morning_Walk_-_Bombay_1974-03-27.mp3" TargetMode="External"/><Relationship Id="rId77" Type="http://schemas.openxmlformats.org/officeDocument/2006/relationships/hyperlink" Target="https://audio.iskcondesiretree.com/01_-_Srila_Prabhupada/01_-_Lectures/01_-_English/02_-_Month_wise/09_-_September/07/Bg_06-11_NY_1966-09-07_Yoga_System-Chant_the_Holy_etc.mp3" TargetMode="External"/><Relationship Id="rId1767" Type="http://schemas.openxmlformats.org/officeDocument/2006/relationships/hyperlink" Target="https://audio.iskcondesiretree.com/01_-_Srila_Prabhupada/01_-_Lectures/01_-_English/01_-_Topic_wise/Room_Conversation/SP_Room_Conversation_Bombay_1974-03-27.mp3" TargetMode="External"/><Relationship Id="rId76" Type="http://schemas.openxmlformats.org/officeDocument/2006/relationships/hyperlink" Target="https://audio.iskcondesiretree.com/01_-_Srila_Prabhupada/01_-_Lectures/01_-_English/02_-_Month_wise/09_-_September/07/Bg_06-04_NY_1966-09-07_How_One_Should_Perform_Yoga.mp3" TargetMode="External"/><Relationship Id="rId1768" Type="http://schemas.openxmlformats.org/officeDocument/2006/relationships/hyperlink" Target="https://audio.iskcondesiretree.com/01_-_Srila_Prabhupada/01_-_Lectures/01_-_English/02_-_Month_wise/03_-_March/27/Bg-04-07_1974-03-27_BG-BOMBAY.MP3" TargetMode="External"/><Relationship Id="rId79" Type="http://schemas.openxmlformats.org/officeDocument/2006/relationships/hyperlink" Target="https://audio.iskcondesiretree.com/01_-_Srila_Prabhupada/01_-_Lectures/01_-_English/02_-_Month_wise/09_-_September/08/Lect_NY_1966-09-08_Introduction_to_Maha_mantra.mp3" TargetMode="External"/><Relationship Id="rId1769" Type="http://schemas.openxmlformats.org/officeDocument/2006/relationships/hyperlink" Target="https://audio.iskcondesiretree.com/01_-_Srila_Prabhupada/01_-_Lectures/01_-_English/02_-_Month_wise/03_-_March/27/Bg_04-07_BOM_1974-03-27_Dharma_and_the_Disease.mp3" TargetMode="External"/><Relationship Id="rId78" Type="http://schemas.openxmlformats.org/officeDocument/2006/relationships/hyperlink" Target="https://audio.iskcondesiretree.com/01_-_Srila_Prabhupada/01_-_Lectures/01_-_English/01_-_Topic_wise/Various/SP_Lecture_New_York_1966-09-08_Introduction_to_Maha-mantra.mp3" TargetMode="External"/><Relationship Id="rId71" Type="http://schemas.openxmlformats.org/officeDocument/2006/relationships/hyperlink" Target="https://audio.iskcondesiretree.com/01_-_Srila_Prabhupada/01_-_Lectures/01_-_English/02_-_Month_wise/09_-_September/02/Bg_06-01_NY_1966-09-02_You_Serve_Krishna_or_Maya.mp3" TargetMode="External"/><Relationship Id="rId70" Type="http://schemas.openxmlformats.org/officeDocument/2006/relationships/hyperlink" Target="https://audio.iskcondesiretree.com/01_-_Srila_Prabhupada/01_-_Lectures/01_-_English/01_-_Topic_wise/Bhagavad_Gita/Chapter-06/SP_BG_06-01-04_New_York_1966-09-02_You_Serve_Krishna_or_Maya.mp3" TargetMode="External"/><Relationship Id="rId1760" Type="http://schemas.openxmlformats.org/officeDocument/2006/relationships/hyperlink" Target="https://audio.iskcondesiretree.com/01_-_Srila_Prabhupada/01_-_Lectures/01_-_English/01_-_Topic_wise/Bhagavad_Gita/Chapter-04/SP_BG_04-06_Bombay_1974-03-26_Try_to_Be_Godly_-_Not_God.mp3" TargetMode="External"/><Relationship Id="rId1761" Type="http://schemas.openxmlformats.org/officeDocument/2006/relationships/hyperlink" Target="https://audio.iskcondesiretree.com/01_-_Srila_Prabhupada/01_-_Lectures/01_-_English/01_-_Topic_wise/Morning_Walk/SP_Morning_Walk_-_Bombay_1974-03-26.mp3" TargetMode="External"/><Relationship Id="rId1762" Type="http://schemas.openxmlformats.org/officeDocument/2006/relationships/hyperlink" Target="https://audio.iskcondesiretree.com/01_-_Srila_Prabhupada/01_-_Lectures/01_-_English/02_-_Month_wise/03_-_March/26/Bg-04-06_1974-03-26_BG-BOMBAY.MP3" TargetMode="External"/><Relationship Id="rId62" Type="http://schemas.openxmlformats.org/officeDocument/2006/relationships/hyperlink" Target="https://audio.iskcondesiretree.com/01_-_Srila_Prabhupada/01_-_Lectures/01_-_English/02_-_Month_wise/08_-_August/09/Bg_04-20_NY_1966-08-09_Varieties_of_Sacrifice.mp3" TargetMode="External"/><Relationship Id="rId1796" Type="http://schemas.openxmlformats.org/officeDocument/2006/relationships/hyperlink" Target="https://audio.iskcondesiretree.com/01_-_Srila_Prabhupada/01_-_Lectures/01_-_English/01_-_Topic_wise/Festivals/SP_Festivals_Bombay_1974-04-01_Lord_Rama_Appearance--Maha-mantra--etc.mp3" TargetMode="External"/><Relationship Id="rId61" Type="http://schemas.openxmlformats.org/officeDocument/2006/relationships/hyperlink" Target="https://audio.iskcondesiretree.com/01_-_Srila_Prabhupada/01_-_Lectures/01_-_English/01_-_Topic_wise/Bhagavad_Gita/Chapter-04/SP_BG_04-20-24_New_York_1966-08-09_Varieties_of_Sacrifice.mp3" TargetMode="External"/><Relationship Id="rId1797" Type="http://schemas.openxmlformats.org/officeDocument/2006/relationships/hyperlink" Target="https://audio.iskcondesiretree.com/01_-_Srila_Prabhupada/01_-_Lectures/01_-_English/01_-_Topic_wise/Morning_Walk/SP_Morning_Walk_-_Bombay_1974-04-01_Serve_Krishna_or_Serve_Others.mp3" TargetMode="External"/><Relationship Id="rId64" Type="http://schemas.openxmlformats.org/officeDocument/2006/relationships/hyperlink" Target="https://audio.iskcondesiretree.com/01_-_Srila_Prabhupada/01_-_Lectures/01_-_English/02_-_Month_wise/08_-_August/12/Bg_04-24_NY_1966-08-12_Varnasrama_Dharma.mp3" TargetMode="External"/><Relationship Id="rId1798" Type="http://schemas.openxmlformats.org/officeDocument/2006/relationships/hyperlink" Target="https://audio.iskcondesiretree.com/01_-_Srila_Prabhupada/01_-_Lectures/01_-_English/02_-_Month_wise/04_-_April/01/Bg-04-12_1974-04-01_BG-BOMBAY.MP3" TargetMode="External"/><Relationship Id="rId63" Type="http://schemas.openxmlformats.org/officeDocument/2006/relationships/hyperlink" Target="https://audio.iskcondesiretree.com/01_-_Srila_Prabhupada/01_-_Lectures/01_-_English/01_-_Topic_wise/Bhagavad_Gita/Chapter-04/SP_BG_04-24-34_New_York_1966-08-12_Varnasrama_Dharma.mp3" TargetMode="External"/><Relationship Id="rId1799" Type="http://schemas.openxmlformats.org/officeDocument/2006/relationships/hyperlink" Target="https://audio.iskcondesiretree.com/01_-_Srila_Prabhupada/01_-_Lectures/01_-_English/02_-_Month_wise/04_-_April/01/Bg_04-12_BOM_1974-04-01_Hear_Talk_Chant_Eat_Work_etc.mp3" TargetMode="External"/><Relationship Id="rId66" Type="http://schemas.openxmlformats.org/officeDocument/2006/relationships/hyperlink" Target="https://audio.iskcondesiretree.com/01_-_Srila_Prabhupada/01_-_Lectures/01_-_English/01_-_Topic_wise/Bhagavad_Gita/Chapter-05/SP_BG_05-07-14_New_York_1966-08-27_Krsna_and_We-Very_Intimately_Connected.mp3" TargetMode="External"/><Relationship Id="rId65" Type="http://schemas.openxmlformats.org/officeDocument/2006/relationships/hyperlink" Target="https://audio.iskcondesiretree.com/01_-_Srila_Prabhupada/01_-_Lectures/01_-_English/01_-_Topic_wise/Bhagavad_Gita/Chapter-04/SP_BG_04-34_New_York_1966-08-17_Only_Think_of_Krishna.mp3" TargetMode="External"/><Relationship Id="rId68" Type="http://schemas.openxmlformats.org/officeDocument/2006/relationships/hyperlink" Target="https://audio.iskcondesiretree.com/01_-_Srila_Prabhupada/01_-_Lectures/01_-_English/01_-_Topic_wise/Bhagavad_Gita/Chapter-05/SP_BG_05-22_New_York_1966-08-31_Actual_Sense_Pleasure.mp3" TargetMode="External"/><Relationship Id="rId67" Type="http://schemas.openxmlformats.org/officeDocument/2006/relationships/hyperlink" Target="https://audio.iskcondesiretree.com/01_-_Srila_Prabhupada/01_-_Lectures/01_-_English/02_-_Month_wise/08_-_August/27/Bg_05-07_NY_1966-08-27_Krsna_and_We-Very_Intimately_Connected.mp3" TargetMode="External"/><Relationship Id="rId60" Type="http://schemas.openxmlformats.org/officeDocument/2006/relationships/hyperlink" Target="https://audio.iskcondesiretree.com/01_-_Srila_Prabhupada/01_-_Lectures/01_-_English/02_-_Month_wise/08_-_August/08/Bg_04-19_NY_1966-08-08_How_to_Satisfy_Krishna.mp3" TargetMode="External"/><Relationship Id="rId69" Type="http://schemas.openxmlformats.org/officeDocument/2006/relationships/hyperlink" Target="https://audio.iskcondesiretree.com/01_-_Srila_Prabhupada/01_-_Lectures/01_-_English/02_-_Month_wise/08_-_August/31/Bg_05-22_NY_1966-08-31_Actual_Sense_Pleasure.mp3" TargetMode="External"/><Relationship Id="rId1790" Type="http://schemas.openxmlformats.org/officeDocument/2006/relationships/hyperlink" Target="https://audio.iskcondesiretree.com/01_-_Srila_Prabhupada/01_-_Lectures/01_-_English/01_-_Topic_wise/Morning_Walk/SP_Morning_Walk_-_Bombay_1974-03-31_Take_Shelter_of_Eternal_Life.mp3" TargetMode="External"/><Relationship Id="rId1791" Type="http://schemas.openxmlformats.org/officeDocument/2006/relationships/hyperlink" Target="https://audio.iskcondesiretree.com/01_-_Srila_Prabhupada/01_-_Lectures/01_-_English/02_-_Month_wise/03_-_March/31/Bg-04-11_1974-03-31_BG-BOMBAY.MP3" TargetMode="External"/><Relationship Id="rId1792" Type="http://schemas.openxmlformats.org/officeDocument/2006/relationships/hyperlink" Target="https://audio.iskcondesiretree.com/01_-_Srila_Prabhupada/01_-_Lectures/01_-_English/02_-_Month_wise/03_-_March/31/Bg_04-11_BOM_1974-03-31_Krishna_Will_Accept_you_Any_etc.mp3" TargetMode="External"/><Relationship Id="rId1793" Type="http://schemas.openxmlformats.org/officeDocument/2006/relationships/hyperlink" Target="https://audio.iskcondesiretree.com/01_-_Srila_Prabhupada/01_-_Lectures/01_-_English/02_-_Month_wise/03_-_March/31/MW_BOM_1974-03-31_Take_Shelter_of_Eternal_Life.mp3" TargetMode="External"/><Relationship Id="rId1794" Type="http://schemas.openxmlformats.org/officeDocument/2006/relationships/hyperlink" Target="https://audio.iskcondesiretree.com/01_-_Srila_Prabhupada/01_-_Lectures/01_-_English/02_-_Month_wise/03_-_March/31/Walk_1974-03-31_MW-BOMBAY.MP3" TargetMode="External"/><Relationship Id="rId1795" Type="http://schemas.openxmlformats.org/officeDocument/2006/relationships/hyperlink" Target="https://audio.iskcondesiretree.com/01_-_Srila_Prabhupada/01_-_Lectures/01_-_English/01_-_Topic_wise/Bhagavad_Gita/Chapter-04/SP_BG_04-12_Bombay_1974-04-01_Hear_Talk_Chant_Eat_Work--etc.mp3" TargetMode="External"/><Relationship Id="rId51" Type="http://schemas.openxmlformats.org/officeDocument/2006/relationships/hyperlink" Target="https://audio.iskcondesiretree.com/01_-_Srila_Prabhupada/01_-_Lectures/01_-_English/02_-_Month_wise/07_-_July/28/Bg_04-11_NY_1966-07-28_Know_Krishna-Get_Liberation.mp3" TargetMode="External"/><Relationship Id="rId1785" Type="http://schemas.openxmlformats.org/officeDocument/2006/relationships/hyperlink" Target="https://audio.iskcondesiretree.com/01_-_Srila_Prabhupada/01_-_Lectures/01_-_English/02_-_Month_wise/03_-_March/30/Bg-04-10_1974-03-30_BG-BOMBAY.MP3" TargetMode="External"/><Relationship Id="rId50" Type="http://schemas.openxmlformats.org/officeDocument/2006/relationships/hyperlink" Target="https://audio.iskcondesiretree.com/01_-_Srila_Prabhupada/01_-_Lectures/01_-_English/01_-_Topic_wise/Bhagavad_Gita/Chapter-04/SP_BG_04-11_New_York_1966-07-28_Know_Krishna--Get_Liberation.mp3" TargetMode="External"/><Relationship Id="rId1786" Type="http://schemas.openxmlformats.org/officeDocument/2006/relationships/hyperlink" Target="https://audio.iskcondesiretree.com/01_-_Srila_Prabhupada/01_-_Lectures/01_-_English/02_-_Month_wise/03_-_March/30/Bg_04-10_BOM_1974-03-30_Reducing_our_Animality_etc.mp3" TargetMode="External"/><Relationship Id="rId53" Type="http://schemas.openxmlformats.org/officeDocument/2006/relationships/hyperlink" Target="https://audio.iskcondesiretree.com/01_-_Srila_Prabhupada/01_-_Lectures/01_-_English/02_-_Month_wise/07_-_July/30/Bg_04-12_NY_1966-07-30_Become_Brahmana_Twice-born.mp3" TargetMode="External"/><Relationship Id="rId1787" Type="http://schemas.openxmlformats.org/officeDocument/2006/relationships/hyperlink" Target="https://audio.iskcondesiretree.com/01_-_Srila_Prabhupada/01_-_Lectures/01_-_English/02_-_Month_wise/03_-_March/30/MW_BOM_1974-03-30_Lesson_in_Humility_and_Tolerance.mp3" TargetMode="External"/><Relationship Id="rId52" Type="http://schemas.openxmlformats.org/officeDocument/2006/relationships/hyperlink" Target="https://audio.iskcondesiretree.com/01_-_Srila_Prabhupada/01_-_Lectures/01_-_English/01_-_Topic_wise/Bhagavad_Gita/Chapter-04/SP_BG_04-12-13_New_York_1966-07-30_Become_Brahmana--Twice-born.mp3" TargetMode="External"/><Relationship Id="rId1788" Type="http://schemas.openxmlformats.org/officeDocument/2006/relationships/hyperlink" Target="https://audio.iskcondesiretree.com/01_-_Srila_Prabhupada/01_-_Lectures/01_-_English/02_-_Month_wise/03_-_March/30/Walk_1974-03-30_MW-BOMBAY.MP3" TargetMode="External"/><Relationship Id="rId55" Type="http://schemas.openxmlformats.org/officeDocument/2006/relationships/hyperlink" Target="https://audio.iskcondesiretree.com/01_-_Srila_Prabhupada/01_-_Lectures/01_-_English/02_-_Month_wise/08_-_August/01/Bg_04-13_NY_1966-08-01_Divisions_of_Human_Society.mp3" TargetMode="External"/><Relationship Id="rId1789" Type="http://schemas.openxmlformats.org/officeDocument/2006/relationships/hyperlink" Target="https://audio.iskcondesiretree.com/01_-_Srila_Prabhupada/01_-_Lectures/01_-_English/01_-_Topic_wise/Bhagavad_Gita/Chapter-04/SP_BG_04-11_Bombay_1974-03-31_Krishna_Will_Accept_you_Any--etc.mp3" TargetMode="External"/><Relationship Id="rId54" Type="http://schemas.openxmlformats.org/officeDocument/2006/relationships/hyperlink" Target="https://audio.iskcondesiretree.com/01_-_Srila_Prabhupada/01_-_Lectures/01_-_English/01_-_Topic_wise/Bhagavad_Gita/Chapter-04/SP_BG_04-13-14_New_York_1966-08-01_Divisions_of_Human_Society.mp3" TargetMode="External"/><Relationship Id="rId57" Type="http://schemas.openxmlformats.org/officeDocument/2006/relationships/hyperlink" Target="https://audio.iskcondesiretree.com/01_-_Srila_Prabhupada/01_-_Lectures/01_-_English/02_-_Month_wise/08_-_August/03/Bg_04-14_NY_1966-08-03_Karma_Akarma.mp3" TargetMode="External"/><Relationship Id="rId56" Type="http://schemas.openxmlformats.org/officeDocument/2006/relationships/hyperlink" Target="https://audio.iskcondesiretree.com/01_-_Srila_Prabhupada/01_-_Lectures/01_-_English/01_-_Topic_wise/Bhagavad_Gita/Chapter-04/SP_BG_04-14-19_New_York_1966-08-03_Karma-Akarma.mp3" TargetMode="External"/><Relationship Id="rId59" Type="http://schemas.openxmlformats.org/officeDocument/2006/relationships/hyperlink" Target="https://audio.iskcondesiretree.com/01_-_Srila_Prabhupada/01_-_Lectures/01_-_English/01_-_Topic_wise/Bhagavad_Gita/Chapter-04/SP_BG_04-19_New_York_1966-08-08_How_to_Satisfy_Krishna.mp3" TargetMode="External"/><Relationship Id="rId58" Type="http://schemas.openxmlformats.org/officeDocument/2006/relationships/hyperlink" Target="https://audio.iskcondesiretree.com/01_-_Srila_Prabhupada/01_-_Lectures/01_-_English/01_-_Topic_wise/Bhagavad_Gita/Chapter-04/SP_BG_04-19-22_New_York_1966-08-08_How_to_Satisfy_Krishna.mp3" TargetMode="External"/><Relationship Id="rId1780" Type="http://schemas.openxmlformats.org/officeDocument/2006/relationships/hyperlink" Target="https://audio.iskcondesiretree.com/01_-_Srila_Prabhupada/01_-_Lectures/01_-_English/02_-_Month_wise/03_-_March/29/Bg_04-09_BOM_1974-03-29_Cheater_Leaders.mp3" TargetMode="External"/><Relationship Id="rId1781" Type="http://schemas.openxmlformats.org/officeDocument/2006/relationships/hyperlink" Target="https://audio.iskcondesiretree.com/01_-_Srila_Prabhupada/01_-_Lectures/01_-_English/02_-_Month_wise/03_-_March/29/MW_BOM_1974-03-29_Misleading_and_Misled.mp3" TargetMode="External"/><Relationship Id="rId1782" Type="http://schemas.openxmlformats.org/officeDocument/2006/relationships/hyperlink" Target="https://audio.iskcondesiretree.com/01_-_Srila_Prabhupada/01_-_Lectures/01_-_English/02_-_Month_wise/03_-_March/29/Walk_1974-03-29_MW-BOMBAY.MP3" TargetMode="External"/><Relationship Id="rId1783" Type="http://schemas.openxmlformats.org/officeDocument/2006/relationships/hyperlink" Target="https://audio.iskcondesiretree.com/01_-_Srila_Prabhupada/01_-_Lectures/01_-_English/01_-_Topic_wise/Bhagavad_Gita/Chapter-04/SP_BG_04-10_Bombay_1974-03-30_Reducing_our_Animality--etc.mp3" TargetMode="External"/><Relationship Id="rId1784" Type="http://schemas.openxmlformats.org/officeDocument/2006/relationships/hyperlink" Target="https://audio.iskcondesiretree.com/01_-_Srila_Prabhupada/01_-_Lectures/01_-_English/01_-_Topic_wise/Morning_Walk/SP_Morning_Walk_-_Bombay_1974-03-30_Lesson_in_Humility_and_Tolerance.mp3" TargetMode="External"/><Relationship Id="rId349" Type="http://schemas.openxmlformats.org/officeDocument/2006/relationships/hyperlink" Target="https://audio.iskcondesiretree.com/01_-_Srila_Prabhupada/01_-_Lectures/01_-_English/01_-_Topic_wise/Various/SP_Lecture_Los_Angeles_1969-01-05_Purport_to_a_Song_by_Narottama_dasa_Thakura.mp3" TargetMode="External"/><Relationship Id="rId348" Type="http://schemas.openxmlformats.org/officeDocument/2006/relationships/hyperlink" Target="https://audio.iskcondesiretree.com/01_-_Srila_Prabhupada/01_-_Lectures/01_-_English/02_-_Month_wise/01_-_January/03/Bg_04-01_LA_1969-01-03_The_Most_Important_Knowledge.mp3" TargetMode="External"/><Relationship Id="rId347" Type="http://schemas.openxmlformats.org/officeDocument/2006/relationships/hyperlink" Target="https://audio.iskcondesiretree.com/01_-_Srila_Prabhupada/01_-_Lectures/01_-_English/01_-_Topic_wise/Bhagavad_Gita/Chapter-04/SP_BG_04-01-06_Los_Angeles_1969-01-03_The_Most_Important_Knowledge.mp3" TargetMode="External"/><Relationship Id="rId346" Type="http://schemas.openxmlformats.org/officeDocument/2006/relationships/hyperlink" Target="https://audio.iskcondesiretree.com/01_-_Srila_Prabhupada/01_-_Lectures/01_-_English/02_-_Month_wise/01_-_January/01/BG_03-31_LA_1969-01-01_Servant_of_God_or_Dog.mp3" TargetMode="External"/><Relationship Id="rId341" Type="http://schemas.openxmlformats.org/officeDocument/2006/relationships/hyperlink" Target="https://audio.iskcondesiretree.com/01_-_Srila_Prabhupada/01_-_Lectures/01_-_English/01_-_Topic_wise/Bhagavad_Gita/Chapter-03/SP_BG_03-18-30_Los_Angeles_1968-12-30_How_a_Self_Realized_Soul_Acts.mp3" TargetMode="External"/><Relationship Id="rId340" Type="http://schemas.openxmlformats.org/officeDocument/2006/relationships/hyperlink" Target="https://audio.iskcondesiretree.com/01_-_Srila_Prabhupada/01_-_Lectures/01_-_English/02_-_Month_wise/12_-_December/27/Bg_03-11_LA_1968-12-27_There_Is_No_Overpopulation.mp3" TargetMode="External"/><Relationship Id="rId345" Type="http://schemas.openxmlformats.org/officeDocument/2006/relationships/hyperlink" Target="https://audio.iskcondesiretree.com/01_-_Srila_Prabhupada/01_-_Lectures/01_-_English/01_-_Topic_wise/Bhagavad_Gita/Chapter-03/SP_BG_03-29-43_Los_Angeles_1969-01-01_Servant_of_God_or_Dog.mp3" TargetMode="External"/><Relationship Id="rId344" Type="http://schemas.openxmlformats.org/officeDocument/2006/relationships/hyperlink" Target="https://audio.iskcondesiretree.com/01_-_Srila_Prabhupada/01_-_Lectures/01_-_English/02_-_Month_wise/12_-_December/30/Interv_LA_1968-12-30_Press-New_Cosmic_Star_Progress_etc.mp3" TargetMode="External"/><Relationship Id="rId343" Type="http://schemas.openxmlformats.org/officeDocument/2006/relationships/hyperlink" Target="https://audio.iskcondesiretree.com/01_-_Srila_Prabhupada/01_-_Lectures/01_-_English/02_-_Month_wise/12_-_December/30/Bg_03-18_LA_1968-12-30_How_a_Self_Realized_Soul_Acts.mp3" TargetMode="External"/><Relationship Id="rId342" Type="http://schemas.openxmlformats.org/officeDocument/2006/relationships/hyperlink" Target="https://audio.iskcondesiretree.com/01_-_Srila_Prabhupada/01_-_Lectures/01_-_English/01_-_Topic_wise/Interview/SP_Interview_Los_Angeles_1968-12-30_Press-New_Cosmic_Star--Progress--etc.mp3" TargetMode="External"/><Relationship Id="rId338" Type="http://schemas.openxmlformats.org/officeDocument/2006/relationships/hyperlink" Target="https://audio.iskcondesiretree.com/01_-_Srila_Prabhupada/01_-_Lectures/01_-_English/02_-_Month_wise/12_-_December/26/Interv_LA_1968-12-26_Press-LA_Times-Lunacy_of_Moon_Mission.mp3" TargetMode="External"/><Relationship Id="rId337" Type="http://schemas.openxmlformats.org/officeDocument/2006/relationships/hyperlink" Target="https://audio.iskcondesiretree.com/01_-_Srila_Prabhupada/01_-_Lectures/01_-_English/01_-_Topic_wise/Interview/SP_Interview_Los_Angeles_1968-12-26_Press-LA_Times--Lunacy_of_Moon_Mission.mp3" TargetMode="External"/><Relationship Id="rId336" Type="http://schemas.openxmlformats.org/officeDocument/2006/relationships/hyperlink" Target="https://audio.iskcondesiretree.com/01_-_Srila_Prabhupada/01_-_Lectures/01_-_English/02_-_Month_wise/12_-_December/23/Lect_LA_1968-12-23_Message_to_London_Temple.mp3" TargetMode="External"/><Relationship Id="rId335" Type="http://schemas.openxmlformats.org/officeDocument/2006/relationships/hyperlink" Target="https://audio.iskcondesiretree.com/01_-_Srila_Prabhupada/01_-_Lectures/01_-_English/02_-_Month_wise/12_-_December/23/Bg_03-06_LA_1968-12-23_From_Pretension_to_Purity.mp3" TargetMode="External"/><Relationship Id="rId339" Type="http://schemas.openxmlformats.org/officeDocument/2006/relationships/hyperlink" Target="https://audio.iskcondesiretree.com/01_-_Srila_Prabhupada/01_-_Lectures/01_-_English/01_-_Topic_wise/Bhagavad_Gita/Chapter-03/SP_BG_03-11-19_Los_Angeles_1968-12-27_There_Is_No_Overpopulation.mp3" TargetMode="External"/><Relationship Id="rId330" Type="http://schemas.openxmlformats.org/officeDocument/2006/relationships/hyperlink" Target="https://audio.iskcondesiretree.com/01_-_Srila_Prabhupada/01_-_Lectures/01_-_English/02_-_Month_wise/12_-_December/20/Bg_03-01_LA_1968-12-20_Philosophy_%26_Religion_Combined.mp3" TargetMode="External"/><Relationship Id="rId334" Type="http://schemas.openxmlformats.org/officeDocument/2006/relationships/hyperlink" Target="https://audio.iskcondesiretree.com/01_-_Srila_Prabhupada/01_-_Lectures/01_-_English/01_-_Topic_wise/Various/SP_Lecture_Los_Angeles_1968-12-23_Message_to_London_Temple.mp3" TargetMode="External"/><Relationship Id="rId333" Type="http://schemas.openxmlformats.org/officeDocument/2006/relationships/hyperlink" Target="https://audio.iskcondesiretree.com/01_-_Srila_Prabhupada/01_-_Lectures/01_-_English/01_-_Topic_wise/Bhagavad_Gita/Chapter-03/SP_BG_03-06-10_Los_Angeles_1968-12-23_From_Pretension_to_Purity.mp3" TargetMode="External"/><Relationship Id="rId332" Type="http://schemas.openxmlformats.org/officeDocument/2006/relationships/hyperlink" Target="https://audio.iskcondesiretree.com/01_-_Srila_Prabhupada/01_-_Lectures/01_-_English/02_-_Month_wise/12_-_December/22/Interv_LA_1968-12-22_Press--Manifesto_of_Krsna_Consciousness.mp3" TargetMode="External"/><Relationship Id="rId331" Type="http://schemas.openxmlformats.org/officeDocument/2006/relationships/hyperlink" Target="https://audio.iskcondesiretree.com/01_-_Srila_Prabhupada/01_-_Lectures/01_-_English/01_-_Topic_wise/Interview/SP_Interview_Los_Angeles_1968-12-22_Press--Manifesto_of_Krsna_Consciousness.mp3" TargetMode="External"/><Relationship Id="rId5318" Type="http://schemas.openxmlformats.org/officeDocument/2006/relationships/hyperlink" Target="https://audio.iskcondesiretree.com/01_-_Srila_Prabhupada/01_-_Lectures/01_-_English/01_-_Topic_wise/Srimad_Bhagavatam/Canto-01/SP_SB_1-02-05_Aligarh_1976-10-09_The_Religion_Above_All_Cheating.mp3" TargetMode="External"/><Relationship Id="rId5319" Type="http://schemas.openxmlformats.org/officeDocument/2006/relationships/hyperlink" Target="https://audio.iskcondesiretree.com/01_-_Srila_Prabhupada/01_-_Lectures/01_-_English/02_-_Month_wise/10_-_October/09/Arr_ALI_1976-10-09_The_Anti-secular_Science.mp3" TargetMode="External"/><Relationship Id="rId5316" Type="http://schemas.openxmlformats.org/officeDocument/2006/relationships/hyperlink" Target="https://audio.iskcondesiretree.com/01_-_Srila_Prabhupada/01_-_Lectures/01_-_English/02_-_Month_wise/10_-_October/08/SB_1-07-51_VRN_1976-10-08_Anyone_Can_Become_Devotee.mp3" TargetMode="External"/><Relationship Id="rId5317" Type="http://schemas.openxmlformats.org/officeDocument/2006/relationships/hyperlink" Target="https://audio.iskcondesiretree.com/01_-_Srila_Prabhupada/01_-_Lectures/01_-_English/01_-_Topic_wise/Arrival_Address/SP_Address_Aligarh_1976-10-09_The_Anti-secular_Science.mp3" TargetMode="External"/><Relationship Id="rId370" Type="http://schemas.openxmlformats.org/officeDocument/2006/relationships/hyperlink" Target="https://audio.iskcondesiretree.com/01_-_Srila_Prabhupada/01_-_Lectures/01_-_English/02_-_Month_wise/02_-_Feburary/14/Bg_06-02_LA_1969-02-14_Yoga_System--The_Yoga_Ladder.mp3" TargetMode="External"/><Relationship Id="rId369" Type="http://schemas.openxmlformats.org/officeDocument/2006/relationships/hyperlink" Target="https://audio.iskcondesiretree.com/01_-_Srila_Prabhupada/01_-_Lectures/01_-_English/01_-_Topic_wise/Bhagavad_Gita/Chapter-06/SP_BG_06-02-05_Los_Angeles_1969-02-14_Yoga_System--The_Yoga_Ladder.mp3" TargetMode="External"/><Relationship Id="rId368" Type="http://schemas.openxmlformats.org/officeDocument/2006/relationships/hyperlink" Target="https://audio.iskcondesiretree.com/01_-_Srila_Prabhupada/01_-_Lectures/01_-_English/02_-_Month_wise/02_-_Feburary/13/Bg_06-01_LA_1969-02-13_Yoga_System--Everything_Is_Spiritual.mp3" TargetMode="External"/><Relationship Id="rId363" Type="http://schemas.openxmlformats.org/officeDocument/2006/relationships/hyperlink" Target="https://audio.iskcondesiretree.com/01_-_Srila_Prabhupada/01_-_Lectures/01_-_English/01_-_Topic_wise/Various/SP_Lecture_Los_Angeles_1969-02-09_Guaranteed_Relief.mp3" TargetMode="External"/><Relationship Id="rId5310" Type="http://schemas.openxmlformats.org/officeDocument/2006/relationships/hyperlink" Target="https://audio.iskcondesiretree.com/01_-_Srila_Prabhupada/01_-_Lectures/01_-_English/01_-_Topic_wise/Srimad_Bhagavatam/Canto-01/SP_SB_1-07-49-50_Vrindavan_1976-10-07_Love_God_Love_His_Dog.mp3" TargetMode="External"/><Relationship Id="rId362" Type="http://schemas.openxmlformats.org/officeDocument/2006/relationships/hyperlink" Target="https://audio.iskcondesiretree.com/01_-_Srila_Prabhupada/01_-_Lectures/01_-_English/02_-_Month_wise/02_-_Feburary/07/Fest_LA_1969-02-07_Bhaktisiddhanta_Appearance.mp3" TargetMode="External"/><Relationship Id="rId5311" Type="http://schemas.openxmlformats.org/officeDocument/2006/relationships/hyperlink" Target="https://audio.iskcondesiretree.com/01_-_Srila_Prabhupada/01_-_Lectures/01_-_English/01_-_Topic_wise/Srimad_Bhagavatam/Canto-01/SP_SB_1-07-49_Vrindavan_1976-10-07_Love_God_Love_His_Dog.mp3" TargetMode="External"/><Relationship Id="rId361" Type="http://schemas.openxmlformats.org/officeDocument/2006/relationships/hyperlink" Target="https://audio.iskcondesiretree.com/01_-_Srila_Prabhupada/01_-_Lectures/01_-_English/01_-_Topic_wise/Festivals/SP_Festivals_Los_Angeles_1969-02-07_Bhaktisiddhanta_Appearance.mp3" TargetMode="External"/><Relationship Id="rId360" Type="http://schemas.openxmlformats.org/officeDocument/2006/relationships/hyperlink" Target="https://audio.iskcondesiretree.com/01_-_Srila_Prabhupada/01_-_Lectures/01_-_English/02_-_Month_wise/01_-_January/31/Fest_LA_1969-01-31_Nityananda_Appearance--Song_%26_Purport.mp3" TargetMode="External"/><Relationship Id="rId367" Type="http://schemas.openxmlformats.org/officeDocument/2006/relationships/hyperlink" Target="https://audio.iskcondesiretree.com/01_-_Srila_Prabhupada/01_-_Lectures/01_-_English/01_-_Topic_wise/Bhagavad_Gita/Chapter-06/SP_BG_06-01_Los_Angeles_1969-02-13_Yoga_System--Everything_Is_Spiritual.mp3" TargetMode="External"/><Relationship Id="rId5314" Type="http://schemas.openxmlformats.org/officeDocument/2006/relationships/hyperlink" Target="https://audio.iskcondesiretree.com/01_-_Srila_Prabhupada/01_-_Lectures/01_-_English/01_-_Topic_wise/Srimad_Bhagavatam/Canto-01/SP_SB_1-07-51_Vrindavan_1976-10-08_Anyone_Can_Become_Devotee.mp3" TargetMode="External"/><Relationship Id="rId366" Type="http://schemas.openxmlformats.org/officeDocument/2006/relationships/hyperlink" Target="https://audio.iskcondesiretree.com/01_-_Srila_Prabhupada/01_-_Lectures/01_-_English/02_-_Month_wise/02_-_Feburary/10/Lect_LA_1969-02-10_Our_Natural_Nectarean_Life.mp3" TargetMode="External"/><Relationship Id="rId5315" Type="http://schemas.openxmlformats.org/officeDocument/2006/relationships/hyperlink" Target="https://audio.iskcondesiretree.com/01_-_Srila_Prabhupada/01_-_Lectures/01_-_English/02_-_Month_wise/10_-_October/08/SB-01-07-51%E2%80%9352_1976-10-08_SB-VRNDAVAN.MP3" TargetMode="External"/><Relationship Id="rId365" Type="http://schemas.openxmlformats.org/officeDocument/2006/relationships/hyperlink" Target="https://audio.iskcondesiretree.com/01_-_Srila_Prabhupada/01_-_Lectures/01_-_English/01_-_Topic_wise/Various/SP_Lecture_Los_Angeles_1969-02-10_Our_Natural_Nectarean_Life.mp3" TargetMode="External"/><Relationship Id="rId5312" Type="http://schemas.openxmlformats.org/officeDocument/2006/relationships/hyperlink" Target="https://audio.iskcondesiretree.com/01_-_Srila_Prabhupada/01_-_Lectures/01_-_English/02_-_Month_wise/10_-_October/07/SB_1-07-49_VRN_1976-10-07_Love_God_Love_His_Dog.mp3" TargetMode="External"/><Relationship Id="rId364" Type="http://schemas.openxmlformats.org/officeDocument/2006/relationships/hyperlink" Target="https://audio.iskcondesiretree.com/01_-_Srila_Prabhupada/01_-_Lectures/01_-_English/02_-_Month_wise/02_-_Feburary/09/Lect_LA_1969-02-09_Guaranteed_Relief.mp3" TargetMode="External"/><Relationship Id="rId5313" Type="http://schemas.openxmlformats.org/officeDocument/2006/relationships/hyperlink" Target="https://audio.iskcondesiretree.com/01_-_Srila_Prabhupada/01_-_Lectures/01_-_English/01_-_Topic_wise/Srimad_Bhagavatam/Canto-01/SP_SB_1-07-51-52_Vrindavan_1976-10-08_Anyone_Can_Become_Devotee.mp3" TargetMode="External"/><Relationship Id="rId95" Type="http://schemas.openxmlformats.org/officeDocument/2006/relationships/hyperlink" Target="https://audio.iskcondesiretree.com/01_-_Srila_Prabhupada/01_-_Lectures/01_-_English/02_-_Month_wise/11_-_November/15/Bg_08-12_NY_1966-11-15_Make_Sure_to_Pass_that_Final_etc.mp3" TargetMode="External"/><Relationship Id="rId5307" Type="http://schemas.openxmlformats.org/officeDocument/2006/relationships/hyperlink" Target="https://audio.iskcondesiretree.com/01_-_Srila_Prabhupada/01_-_Lectures/01_-_English/01_-_Topic_wise/Srimad_Bhagavatam/Canto-01/SP_SB_1-07-47_Vrindavan_1976-10-06_A_Devotee%27s_Heart.mp3" TargetMode="External"/><Relationship Id="rId94" Type="http://schemas.openxmlformats.org/officeDocument/2006/relationships/hyperlink" Target="https://audio.iskcondesiretree.com/01_-_Srila_Prabhupada/01_-_Lectures/01_-_English/01_-_Topic_wise/Bhagavad_Gita/Chapter-08/SP_BG_08-12-14_New_York_1966-11-15_Make_Sure_to_Pass_that_Final--etc.mp3" TargetMode="External"/><Relationship Id="rId5308" Type="http://schemas.openxmlformats.org/officeDocument/2006/relationships/hyperlink" Target="https://audio.iskcondesiretree.com/01_-_Srila_Prabhupada/01_-_Lectures/01_-_English/02_-_Month_wise/10_-_October/06/SB-01-07-47%E2%80%9348_1976-10-06_SB-VRNDAVAN.MP3" TargetMode="External"/><Relationship Id="rId97" Type="http://schemas.openxmlformats.org/officeDocument/2006/relationships/hyperlink" Target="https://audio.iskcondesiretree.com/01_-_Srila_Prabhupada/01_-_Lectures/01_-_English/01_-_Topic_wise/Chaitanya_Charitamrita/Madhya_Lila/SP_CC_M_20-125_New_York_1966-11-16_Engage_Your_Mind_Always_in--etc.mp3" TargetMode="External"/><Relationship Id="rId5305" Type="http://schemas.openxmlformats.org/officeDocument/2006/relationships/hyperlink" Target="https://audio.iskcondesiretree.com/01_-_Srila_Prabhupada/01_-_Lectures/01_-_English/02_-_Month_wise/10_-_October/05/SB_1-07-45_VRN_1976-10-05_Deity_Worship-Not_Idol_Worship.mp3" TargetMode="External"/><Relationship Id="rId96" Type="http://schemas.openxmlformats.org/officeDocument/2006/relationships/hyperlink" Target="https://audio.iskcondesiretree.com/01_-_Srila_Prabhupada/01_-_Lectures/01_-_English/01_-_Topic_wise/Bhagavad_Gita/Chapter-08/SP_BG_08-14-15_New_York_1966-11-16_Remember_Krishna_Without_Deviation.mp3" TargetMode="External"/><Relationship Id="rId5306" Type="http://schemas.openxmlformats.org/officeDocument/2006/relationships/hyperlink" Target="https://audio.iskcondesiretree.com/01_-_Srila_Prabhupada/01_-_Lectures/01_-_English/01_-_Topic_wise/Srimad_Bhagavatam/Canto-01/SP_SB_1-07-47-48_Vrindavan_1976-10-06_A_Devotee%27s_Heart.mp3" TargetMode="External"/><Relationship Id="rId99" Type="http://schemas.openxmlformats.org/officeDocument/2006/relationships/hyperlink" Target="https://audio.iskcondesiretree.com/01_-_Srila_Prabhupada/01_-_Lectures/01_-_English/02_-_Month_wise/11_-_November/16/Cc_M_20-125_NY_1966-11-16_Engage_Your_Mind_Always_in_etc.mp3" TargetMode="External"/><Relationship Id="rId98" Type="http://schemas.openxmlformats.org/officeDocument/2006/relationships/hyperlink" Target="https://audio.iskcondesiretree.com/01_-_Srila_Prabhupada/01_-_Lectures/01_-_English/02_-_Month_wise/11_-_November/16/Bg_08-14_NY_1966-11-16_Remember_Krishna_Without_Deviation.mp3" TargetMode="External"/><Relationship Id="rId5309" Type="http://schemas.openxmlformats.org/officeDocument/2006/relationships/hyperlink" Target="https://audio.iskcondesiretree.com/01_-_Srila_Prabhupada/01_-_Lectures/01_-_English/02_-_Month_wise/10_-_October/06/SB_1-07-47_VRN_1976-10-06_A_Devotee%27s_Heart.mp3" TargetMode="External"/><Relationship Id="rId91" Type="http://schemas.openxmlformats.org/officeDocument/2006/relationships/hyperlink" Target="https://audio.iskcondesiretree.com/01_-_Srila_Prabhupada/01_-_Lectures/01_-_English/02_-_Month_wise/10_-_October/23/Bg_07-28_NY_1966-10-23_Discovering_Your_REAL_Interest.mp3" TargetMode="External"/><Relationship Id="rId90" Type="http://schemas.openxmlformats.org/officeDocument/2006/relationships/hyperlink" Target="https://audio.iskcondesiretree.com/01_-_Srila_Prabhupada/01_-_Lectures/01_-_English/01_-_Topic_wise/Bhagavad_Gita/Chapter-07/SP_BG_07-27-30_New_York_1966-10-23_Discovering_Your_REAL_Interest.mp3" TargetMode="External"/><Relationship Id="rId93" Type="http://schemas.openxmlformats.org/officeDocument/2006/relationships/hyperlink" Target="https://audio.iskcondesiretree.com/01_-_Srila_Prabhupada/01_-_Lectures/01_-_English/02_-_Month_wise/11_-_November/04/Fest_NY_1966-11-04_Govardhana_Puja.mp3" TargetMode="External"/><Relationship Id="rId92" Type="http://schemas.openxmlformats.org/officeDocument/2006/relationships/hyperlink" Target="https://audio.iskcondesiretree.com/01_-_Srila_Prabhupada/01_-_Lectures/01_-_English/01_-_Topic_wise/Festivals/SP_Festivals_New_York_1966-11-04_Govardhana_Puja.mp3" TargetMode="External"/><Relationship Id="rId359" Type="http://schemas.openxmlformats.org/officeDocument/2006/relationships/hyperlink" Target="https://audio.iskcondesiretree.com/01_-_Srila_Prabhupada/01_-_Lectures/01_-_English/01_-_Topic_wise/Festivals/SP_Festivals_Los_Angeles_1969-01-31_Nityananda_Appearance--Song_%26_Purport.mp3" TargetMode="External"/><Relationship Id="rId358" Type="http://schemas.openxmlformats.org/officeDocument/2006/relationships/hyperlink" Target="https://audio.iskcondesiretree.com/01_-_Srila_Prabhupada/01_-_Lectures/01_-_English/02_-_Month_wise/01_-_January/10/Bg_04-19_LA_1969-01-10_Curing_the_Material_Disease.mp3" TargetMode="External"/><Relationship Id="rId357" Type="http://schemas.openxmlformats.org/officeDocument/2006/relationships/hyperlink" Target="https://audio.iskcondesiretree.com/01_-_Srila_Prabhupada/01_-_Lectures/01_-_English/01_-_Topic_wise/Bhagavad_Gita/Chapter-04/SP_BG_04-19-25_Los_Angeles_1969-01-10_Curing_the_Material_Disease.mp3" TargetMode="External"/><Relationship Id="rId352" Type="http://schemas.openxmlformats.org/officeDocument/2006/relationships/hyperlink" Target="https://audio.iskcondesiretree.com/01_-_Srila_Prabhupada/01_-_Lectures/01_-_English/02_-_Month_wise/01_-_January/06/Bg_04-07_LA_1969-01-06_The_Krishna_Consciousness_etc.mp3" TargetMode="External"/><Relationship Id="rId351" Type="http://schemas.openxmlformats.org/officeDocument/2006/relationships/hyperlink" Target="https://audio.iskcondesiretree.com/01_-_Srila_Prabhupada/01_-_Lectures/01_-_English/01_-_Topic_wise/Bhagavad_Gita/Chapter-04/SP_BG_04-06-10_Los_Angeles_1969-01-06_The_Krishna_Consciousness--etc.mp3" TargetMode="External"/><Relationship Id="rId5300" Type="http://schemas.openxmlformats.org/officeDocument/2006/relationships/hyperlink" Target="https://audio.iskcondesiretree.com/01_-_Srila_Prabhupada/01_-_Lectures/01_-_English/02_-_Month_wise/10_-_October/04/SB-01-07-44_1976-10-04_SB-VRNDAVAN.MP3" TargetMode="External"/><Relationship Id="rId350" Type="http://schemas.openxmlformats.org/officeDocument/2006/relationships/hyperlink" Target="https://audio.iskcondesiretree.com/01_-_Srila_Prabhupada/01_-_Lectures/01_-_English/02_-_Month_wise/01_-_January/05/Lect_LA_1969-01-05_Purport_to_a_Song_by_Narottama_dasa_Thakura.mp3" TargetMode="External"/><Relationship Id="rId356" Type="http://schemas.openxmlformats.org/officeDocument/2006/relationships/hyperlink" Target="https://audio.iskcondesiretree.com/01_-_Srila_Prabhupada/01_-_Lectures/01_-_English/02_-_Month_wise/01_-_January/08/Bg_04-11_LA_1969-01-08_Krishna_Belongs_to_Everyone.mp3" TargetMode="External"/><Relationship Id="rId5303" Type="http://schemas.openxmlformats.org/officeDocument/2006/relationships/hyperlink" Target="https://audio.iskcondesiretree.com/01_-_Srila_Prabhupada/01_-_Lectures/01_-_English/01_-_Topic_wise/Srimad_Bhagavatam/Canto-01/SP_SB_1-07-45_Vrindavan_1976-10-05_Deity_Worship-Not_Idol_Worship.mp3" TargetMode="External"/><Relationship Id="rId355" Type="http://schemas.openxmlformats.org/officeDocument/2006/relationships/hyperlink" Target="https://audio.iskcondesiretree.com/01_-_Srila_Prabhupada/01_-_Lectures/01_-_English/01_-_Topic_wise/Bhagavad_Gita/Chapter-04/SP_BG_04-11-18_Los_Angeles_1969-01-08_Krishna_Belongs_to_Everyone.mp3" TargetMode="External"/><Relationship Id="rId5304" Type="http://schemas.openxmlformats.org/officeDocument/2006/relationships/hyperlink" Target="https://audio.iskcondesiretree.com/01_-_Srila_Prabhupada/01_-_Lectures/01_-_English/02_-_Month_wise/10_-_October/05/SB-01-07-45%E2%80%9346_1976-10-05_SB-VRNDAVAN.MP3" TargetMode="External"/><Relationship Id="rId354" Type="http://schemas.openxmlformats.org/officeDocument/2006/relationships/hyperlink" Target="https://audio.iskcondesiretree.com/01_-_Srila_Prabhupada/01_-_Lectures/01_-_English/02_-_Month_wise/01_-_January/07/Lect_NY_1969-01-07_Purport_to_a_Song_by_Govinda_Dasa.mp3" TargetMode="External"/><Relationship Id="rId5301" Type="http://schemas.openxmlformats.org/officeDocument/2006/relationships/hyperlink" Target="https://audio.iskcondesiretree.com/01_-_Srila_Prabhupada/01_-_Lectures/01_-_English/02_-_Month_wise/10_-_October/04/SB_1-07-44_VRN_1976-10-04_To_Serve_Vaisnava_Is_More.mp3" TargetMode="External"/><Relationship Id="rId353" Type="http://schemas.openxmlformats.org/officeDocument/2006/relationships/hyperlink" Target="https://audio.iskcondesiretree.com/01_-_Srila_Prabhupada/01_-_Lectures/01_-_English/01_-_Topic_wise/Various/SP_Lecture_New_York_1969-01-07_Purport_to_a_Song_by_Govinda_Dasa.mp3" TargetMode="External"/><Relationship Id="rId5302" Type="http://schemas.openxmlformats.org/officeDocument/2006/relationships/hyperlink" Target="https://audio.iskcondesiretree.com/01_-_Srila_Prabhupada/01_-_Lectures/01_-_English/01_-_Topic_wise/Srimad_Bhagavatam/Canto-01/SP_SB_1-07-45-46_Vrindavan_1976-10-05_Deity_Worship-Not_Idol_Worship.mp3" TargetMode="External"/><Relationship Id="rId305" Type="http://schemas.openxmlformats.org/officeDocument/2006/relationships/hyperlink" Target="https://audio.iskcondesiretree.com/01_-_Srila_Prabhupada/01_-_Lectures/01_-_English/02_-_Month_wise/11_-_November/29/Bg_02-13_LA_1968-11-29_Staying_Undisturbed_in_Distress.mp3" TargetMode="External"/><Relationship Id="rId304" Type="http://schemas.openxmlformats.org/officeDocument/2006/relationships/hyperlink" Target="https://audio.iskcondesiretree.com/01_-_Srila_Prabhupada/01_-_Lectures/01_-_English/01_-_Topic_wise/Bhagavad_Gita/Chapter-02/SP_BG_02-13-17_Los_Angeles_1968-11-29_Staying_Undisturbed_in_Distress.mp3" TargetMode="External"/><Relationship Id="rId303" Type="http://schemas.openxmlformats.org/officeDocument/2006/relationships/hyperlink" Target="https://audio.iskcondesiretree.com/01_-_Srila_Prabhupada/01_-_Lectures/01_-_English/02_-_Month_wise/11_-_November/27/Bg_02-08_LA_1968-11-27_Revive_Our_Relationship_with_Krishna.mp3" TargetMode="External"/><Relationship Id="rId302" Type="http://schemas.openxmlformats.org/officeDocument/2006/relationships/hyperlink" Target="https://audio.iskcondesiretree.com/01_-_Srila_Prabhupada/01_-_Lectures/01_-_English/01_-_Topic_wise/Bhagavad_Gita/Chapter-02/SP_BG_02-08-12_Los_Angeles_1968-11-27_Revive_Our_Relationship_with_Krishna.mp3" TargetMode="External"/><Relationship Id="rId309" Type="http://schemas.openxmlformats.org/officeDocument/2006/relationships/hyperlink" Target="https://audio.iskcondesiretree.com/01_-_Srila_Prabhupada/01_-_Lectures/01_-_English/01_-_Topic_wise/Srimad_Bhagavatam/Canto-02/SP_SB_2-02-05_Los_Angeles_1968-12-02_Serving_Krishna_Not_Ordinary_Thing.mp3" TargetMode="External"/><Relationship Id="rId308" Type="http://schemas.openxmlformats.org/officeDocument/2006/relationships/hyperlink" Target="https://audio.iskcondesiretree.com/01_-_Srila_Prabhupada/01_-_Lectures/01_-_English/01_-_Topic_wise/Bhagavad_Gita/Chapter-07/SP_BG_07-01_Los_Angeles_1968-12-02_Pros_and_Cons_of_the_Material_World.mp3" TargetMode="External"/><Relationship Id="rId307" Type="http://schemas.openxmlformats.org/officeDocument/2006/relationships/hyperlink" Target="https://audio.iskcondesiretree.com/01_-_Srila_Prabhupada/01_-_Lectures/01_-_English/02_-_Month_wise/12_-_December/01/Lect_LA_1968-12-01_Initiation-The_Path_of_Purification.mp3" TargetMode="External"/><Relationship Id="rId306" Type="http://schemas.openxmlformats.org/officeDocument/2006/relationships/hyperlink" Target="https://audio.iskcondesiretree.com/01_-_Srila_Prabhupada/01_-_Lectures/01_-_English/01_-_Topic_wise/Various/SP_Lecture_Los_Angeles_1968-12-01_Initiation--The_Path_of_Purification.mp3" TargetMode="External"/><Relationship Id="rId301" Type="http://schemas.openxmlformats.org/officeDocument/2006/relationships/hyperlink" Target="https://audio.iskcondesiretree.com/01_-_Srila_Prabhupada/01_-_Lectures/01_-_English/02_-_Month_wise/11_-_November/25/Bg_02-01_LA_1968-11-25_The_Missing_Self-Understanding.mp3" TargetMode="External"/><Relationship Id="rId300" Type="http://schemas.openxmlformats.org/officeDocument/2006/relationships/hyperlink" Target="https://audio.iskcondesiretree.com/01_-_Srila_Prabhupada/01_-_Lectures/01_-_English/01_-_Topic_wise/Bhagavad_Gita/Chapter-02/SP_BG_02-01-10_Los_Angeles_1968-11-25_The_Missing_Self-Understanding.mp3" TargetMode="External"/><Relationship Id="rId327" Type="http://schemas.openxmlformats.org/officeDocument/2006/relationships/hyperlink" Target="https://audio.iskcondesiretree.com/01_-_Srila_Prabhupada/01_-_Lectures/01_-_English/02_-_Month_wise/12_-_December/19/Bg_02-62_LA_1968-12-19_Secret_of_Controlling_the_Senses.mp3" TargetMode="External"/><Relationship Id="rId326" Type="http://schemas.openxmlformats.org/officeDocument/2006/relationships/hyperlink" Target="https://audio.iskcondesiretree.com/01_-_Srila_Prabhupada/01_-_Lectures/01_-_English/01_-_Topic_wise/Various/SP_Lecture_Los_Angeles_1968-12-19_Initiation--Avoiding_the_Ten_Offenses.mp3" TargetMode="External"/><Relationship Id="rId325" Type="http://schemas.openxmlformats.org/officeDocument/2006/relationships/hyperlink" Target="https://audio.iskcondesiretree.com/01_-_Srila_Prabhupada/01_-_Lectures/01_-_English/01_-_Topic_wise/Bhagavad_Gita/Chapter-02/SP_BG_02-62-72_Los_Angeles_1968-12-19_Secret_of_Controlling_the_Senses.mp3" TargetMode="External"/><Relationship Id="rId324" Type="http://schemas.openxmlformats.org/officeDocument/2006/relationships/hyperlink" Target="https://audio.iskcondesiretree.com/01_-_Srila_Prabhupada/01_-_Lectures/01_-_English/02_-_Month_wise/12_-_December/16/Bg_02-46_LA_1968-12-16_The_Miser_and_the_Mahatma.mp3" TargetMode="External"/><Relationship Id="rId329" Type="http://schemas.openxmlformats.org/officeDocument/2006/relationships/hyperlink" Target="https://audio.iskcondesiretree.com/01_-_Srila_Prabhupada/01_-_Lectures/01_-_English/01_-_Topic_wise/Bhagavad_Gita/Chapter-03/SP_BG_03-01-05_Los_Angeles_1968-12-20_Philosophy_%26_Religion_Combined.mp3" TargetMode="External"/><Relationship Id="rId328" Type="http://schemas.openxmlformats.org/officeDocument/2006/relationships/hyperlink" Target="https://audio.iskcondesiretree.com/01_-_Srila_Prabhupada/01_-_Lectures/01_-_English/02_-_Month_wise/12_-_December/19/Lect_LA_1968-12-19_Initiation-Avoiding_the_Ten_Offenses.mp3" TargetMode="External"/><Relationship Id="rId323" Type="http://schemas.openxmlformats.org/officeDocument/2006/relationships/hyperlink" Target="https://audio.iskcondesiretree.com/01_-_Srila_Prabhupada/01_-_Lectures/01_-_English/01_-_Topic_wise/Bhagavad_Gita/Chapter-02/SP_BG_02-46-62_Los_Angeles_1968-12-16_The_Miser_and_the_Mahatma.mp3" TargetMode="External"/><Relationship Id="rId322" Type="http://schemas.openxmlformats.org/officeDocument/2006/relationships/hyperlink" Target="https://audio.iskcondesiretree.com/01_-_Srila_Prabhupada/01_-_Lectures/01_-_English/02_-_Month_wise/12_-_December/14/Bg_02-19_LA_1968-12-14_Learning_the_Science_of_the_Soul.mp3" TargetMode="External"/><Relationship Id="rId321" Type="http://schemas.openxmlformats.org/officeDocument/2006/relationships/hyperlink" Target="https://audio.iskcondesiretree.com/01_-_Srila_Prabhupada/01_-_Lectures/01_-_English/01_-_Topic_wise/Bhagavad_Gita/Chapter-02/SP_BG_02-19-25_Los_Angeles_1968-12-14_Learning_the_Science_of_the_Soul.mp3" TargetMode="External"/><Relationship Id="rId320" Type="http://schemas.openxmlformats.org/officeDocument/2006/relationships/hyperlink" Target="https://audio.iskcondesiretree.com/01_-_Srila_Prabhupada/01_-_Lectures/01_-_English/02_-_Month_wise/12_-_December/13/Bg_02-40_LA_1968-12-13_Material_vs_Spiritual_Culture.mp3" TargetMode="External"/><Relationship Id="rId316" Type="http://schemas.openxmlformats.org/officeDocument/2006/relationships/hyperlink" Target="https://audio.iskcondesiretree.com/01_-_Srila_Prabhupada/01_-_Lectures/01_-_English/01_-_Topic_wise/Bhagavad_Gita/Chapter-02/SP_BG_02-28-38_Los_Angeles_1968-12-11_Some_Look_On_the_Soul_As_Amazing.mp3" TargetMode="External"/><Relationship Id="rId315" Type="http://schemas.openxmlformats.org/officeDocument/2006/relationships/hyperlink" Target="https://audio.iskcondesiretree.com/01_-_Srila_Prabhupada/01_-_Lectures/01_-_English/02_-_Month_wise/12_-_December/09/Fest_LA_1968-12-09_Disappearance_Bhaktisiddhanta_Sarasvati.mp3" TargetMode="External"/><Relationship Id="rId314" Type="http://schemas.openxmlformats.org/officeDocument/2006/relationships/hyperlink" Target="https://audio.iskcondesiretree.com/01_-_Srila_Prabhupada/01_-_Lectures/01_-_English/01_-_Topic_wise/Festivals/SP_Festivals_Los_Angeles_1968-12-09_Disappearance--Bhaktisiddhanta_Sarasvati.mp3" TargetMode="External"/><Relationship Id="rId313" Type="http://schemas.openxmlformats.org/officeDocument/2006/relationships/hyperlink" Target="https://audio.iskcondesiretree.com/01_-_Srila_Prabhupada/01_-_Lectures/01_-_English/02_-_Month_wise/12_-_December/06/Bg_02-26_LA_1968-12-06_Evolution_and_Other_Rubbish.mp3" TargetMode="External"/><Relationship Id="rId319" Type="http://schemas.openxmlformats.org/officeDocument/2006/relationships/hyperlink" Target="https://audio.iskcondesiretree.com/01_-_Srila_Prabhupada/01_-_Lectures/01_-_English/01_-_Topic_wise/Bhagavad_Gita/Chapter-02/SP_BG_02-40_Los_Angeles_1968-12-13_Material_vs._Spiritual_Culture.mp3" TargetMode="External"/><Relationship Id="rId318" Type="http://schemas.openxmlformats.org/officeDocument/2006/relationships/hyperlink" Target="https://audio.iskcondesiretree.com/01_-_Srila_Prabhupada/01_-_Lectures/01_-_English/01_-_Topic_wise/Bhagavad_Gita/Chapter-02/SP_BG_02-40-45_Los_Angeles_1968-12-13_Material_vs._Spiritual_Culture.mp3" TargetMode="External"/><Relationship Id="rId317" Type="http://schemas.openxmlformats.org/officeDocument/2006/relationships/hyperlink" Target="https://audio.iskcondesiretree.com/01_-_Srila_Prabhupada/01_-_Lectures/01_-_English/02_-_Month_wise/12_-_December/11/Bg_02-28_LA_1968-12-11_Some_Look_On_the_Soul_As_Amazing.mp3" TargetMode="External"/><Relationship Id="rId312" Type="http://schemas.openxmlformats.org/officeDocument/2006/relationships/hyperlink" Target="https://audio.iskcondesiretree.com/01_-_Srila_Prabhupada/01_-_Lectures/01_-_English/01_-_Topic_wise/Bhagavad_Gita/Chapter-02/SP_BG_02-26_Los_Angeles_1968-12-06_Evolution_and_Other_Rubbish.mp3" TargetMode="External"/><Relationship Id="rId311" Type="http://schemas.openxmlformats.org/officeDocument/2006/relationships/hyperlink" Target="https://audio.iskcondesiretree.com/01_-_Srila_Prabhupada/01_-_Lectures/01_-_English/02_-_Month_wise/12_-_December/02/SB_2-02-05_LA_1968-12-02_Serving_Krishna_Not_Ordinary_Thing.mp3" TargetMode="External"/><Relationship Id="rId310" Type="http://schemas.openxmlformats.org/officeDocument/2006/relationships/hyperlink" Target="https://audio.iskcondesiretree.com/01_-_Srila_Prabhupada/01_-_Lectures/01_-_English/02_-_Month_wise/12_-_December/02/Bg_07-01_LA_1968-12-02_Pros_and_Cons_of_the_Material_World.mp3" TargetMode="External"/><Relationship Id="rId4040" Type="http://schemas.openxmlformats.org/officeDocument/2006/relationships/hyperlink" Target="https://audio.iskcondesiretree.com/01_-_Srila_Prabhupada/01_-_Lectures/01_-_English/02_-_Month_wise/12_-_December/02/SB_7-06-01_VRN_1975-12-02_Here_Is_God-Krishna-Take_It.mp3" TargetMode="External"/><Relationship Id="rId5372" Type="http://schemas.openxmlformats.org/officeDocument/2006/relationships/hyperlink" Target="https://audio.iskcondesiretree.com/01_-_Srila_Prabhupada/01_-_Lectures/01_-_English/02_-_Month_wise/11_-_November/03/Conv_1976-11-03_R2-VRNDAVAN.MP3" TargetMode="External"/><Relationship Id="rId5373" Type="http://schemas.openxmlformats.org/officeDocument/2006/relationships/hyperlink" Target="https://audio.iskcondesiretree.com/01_-_Srila_Prabhupada/01_-_Lectures/01_-_English/02_-_Month_wise/11_-_November/03/RC_VRN_1976-11-03_Sex_Education-Wasting_Time.mp3" TargetMode="External"/><Relationship Id="rId4042" Type="http://schemas.openxmlformats.org/officeDocument/2006/relationships/hyperlink" Target="https://audio.iskcondesiretree.com/01_-_Srila_Prabhupada/01_-_Lectures/01_-_English/01_-_Topic_wise/Srimad_Bhagavatam/Canto-07/SP_SB_7-06-02_Vrindavan_1975-12-03_Everyone_Is_Dear_to_Krishna.mp3" TargetMode="External"/><Relationship Id="rId5370" Type="http://schemas.openxmlformats.org/officeDocument/2006/relationships/hyperlink" Target="https://audio.iskcondesiretree.com/01_-_Srila_Prabhupada/01_-_Lectures/01_-_English/01_-_Topic_wise/Srimad_Bhagavatam/Canto-05/SP_SB_5-05-15_Vrindavan_1976-11-03_Not_Brainwashing--Brain_Cleaning.mp3" TargetMode="External"/><Relationship Id="rId4041" Type="http://schemas.openxmlformats.org/officeDocument/2006/relationships/hyperlink" Target="https://audio.iskcondesiretree.com/01_-_Srila_Prabhupada/01_-_Lectures/01_-_English/01_-_Topic_wise/Morning_Walk/SP_Morning_Walk_-_Vrindavan_1975-12-03_Voidists_Impersonalists.mp3" TargetMode="External"/><Relationship Id="rId5371" Type="http://schemas.openxmlformats.org/officeDocument/2006/relationships/hyperlink" Target="https://audio.iskcondesiretree.com/01_-_Srila_Prabhupada/01_-_Lectures/01_-_English/02_-_Month_wise/11_-_November/03/Conv_1976-11-03_R1-VRNDAVAN.MP3" TargetMode="External"/><Relationship Id="rId4044" Type="http://schemas.openxmlformats.org/officeDocument/2006/relationships/hyperlink" Target="https://audio.iskcondesiretree.com/01_-_Srila_Prabhupada/01_-_Lectures/01_-_English/02_-_Month_wise/12_-_December/03/SB-07-06-02_1975-12-03_SB-VRNDAVAN.MP3" TargetMode="External"/><Relationship Id="rId5376" Type="http://schemas.openxmlformats.org/officeDocument/2006/relationships/hyperlink" Target="https://audio.iskcondesiretree.com/01_-_Srila_Prabhupada/01_-_Lectures/01_-_English/01_-_Topic_wise/Room_Conversation/SP_Room_Conversation_Vrindavan_1976-11-04_Nobody_Is_Satisfied_Income.mp3" TargetMode="External"/><Relationship Id="rId4043" Type="http://schemas.openxmlformats.org/officeDocument/2006/relationships/hyperlink" Target="https://audio.iskcondesiretree.com/01_-_Srila_Prabhupada/01_-_Lectures/01_-_English/02_-_Month_wise/12_-_December/03/MW_VRN_1975-12-03_Voidists%2C_Impersonalists.mp3" TargetMode="External"/><Relationship Id="rId5377" Type="http://schemas.openxmlformats.org/officeDocument/2006/relationships/hyperlink" Target="https://audio.iskcondesiretree.com/01_-_Srila_Prabhupada/01_-_Lectures/01_-_English/01_-_Topic_wise/Srimad_Bhagavatam/Canto-05/SP_SB_5-05-16_Vrindavan_1976-11-04_Envious_Monkey_Business.mp3" TargetMode="External"/><Relationship Id="rId4046" Type="http://schemas.openxmlformats.org/officeDocument/2006/relationships/hyperlink" Target="https://audio.iskcondesiretree.com/01_-_Srila_Prabhupada/01_-_Lectures/01_-_English/02_-_Month_wise/12_-_December/03/Walk_1975-12-03_MW-VRNDAVAN.MP3" TargetMode="External"/><Relationship Id="rId5374" Type="http://schemas.openxmlformats.org/officeDocument/2006/relationships/hyperlink" Target="https://audio.iskcondesiretree.com/01_-_Srila_Prabhupada/01_-_Lectures/01_-_English/02_-_Month_wise/11_-_November/03/SB-05-05-15_1976-11-03_SB-VRNDAVAN.MP3" TargetMode="External"/><Relationship Id="rId4045" Type="http://schemas.openxmlformats.org/officeDocument/2006/relationships/hyperlink" Target="https://audio.iskcondesiretree.com/01_-_Srila_Prabhupada/01_-_Lectures/01_-_English/02_-_Month_wise/12_-_December/03/SB_7-06-02_VRN_1975-12-03_Everyone_Is_Dear_to_Krishna.mp3" TargetMode="External"/><Relationship Id="rId5375" Type="http://schemas.openxmlformats.org/officeDocument/2006/relationships/hyperlink" Target="https://audio.iskcondesiretree.com/01_-_Srila_Prabhupada/01_-_Lectures/01_-_English/02_-_Month_wise/11_-_November/03/SB_5-05-15_VRN_1976-11-03_Not_Brainwashing-Brain_Cleaning.mp3" TargetMode="External"/><Relationship Id="rId4048" Type="http://schemas.openxmlformats.org/officeDocument/2006/relationships/hyperlink" Target="https://audio.iskcondesiretree.com/01_-_Srila_Prabhupada/01_-_Lectures/01_-_English/01_-_Topic_wise/Srimad_Bhagavatam/Canto-07/SP_SB_7-06-03_Vrindavan_1975-12-04_Our_Human_Opportunity.mp3" TargetMode="External"/><Relationship Id="rId4047" Type="http://schemas.openxmlformats.org/officeDocument/2006/relationships/hyperlink" Target="https://audio.iskcondesiretree.com/01_-_Srila_Prabhupada/01_-_Lectures/01_-_English/01_-_Topic_wise/Morning_Walk/SP_Morning_Walk_-_Vrindavan_1975-12-04_Want_to_Imitate_Rama.mp3" TargetMode="External"/><Relationship Id="rId5378" Type="http://schemas.openxmlformats.org/officeDocument/2006/relationships/hyperlink" Target="https://audio.iskcondesiretree.com/01_-_Srila_Prabhupada/01_-_Lectures/01_-_English/02_-_Month_wise/11_-_November/04/Conv_1976-11-04_R1-VRNDAVAN.MP3" TargetMode="External"/><Relationship Id="rId4049" Type="http://schemas.openxmlformats.org/officeDocument/2006/relationships/hyperlink" Target="https://audio.iskcondesiretree.com/01_-_Srila_Prabhupada/01_-_Lectures/01_-_English/02_-_Month_wise/12_-_December/04/MW_VRN_1975-12-04_Want_to_Imitate_Rama.mp3" TargetMode="External"/><Relationship Id="rId5379" Type="http://schemas.openxmlformats.org/officeDocument/2006/relationships/hyperlink" Target="https://audio.iskcondesiretree.com/01_-_Srila_Prabhupada/01_-_Lectures/01_-_English/02_-_Month_wise/11_-_November/04/RC_VRN_1976-11-04_Nobody_Is_Satisfied_Income.mp3" TargetMode="External"/><Relationship Id="rId5361" Type="http://schemas.openxmlformats.org/officeDocument/2006/relationships/hyperlink" Target="https://audio.iskcondesiretree.com/01_-_Srila_Prabhupada/01_-_Lectures/01_-_English/02_-_Month_wise/10_-_October/31/SB-05-05-09_1976-10-31_SB-VRNDAVAN.MP3" TargetMode="External"/><Relationship Id="rId5362" Type="http://schemas.openxmlformats.org/officeDocument/2006/relationships/hyperlink" Target="https://audio.iskcondesiretree.com/01_-_Srila_Prabhupada/01_-_Lectures/01_-_English/02_-_Month_wise/10_-_October/31/SB_5-05-09_VRN_1976-10-31_Being_with_Krishna_Is_Fact.mp3" TargetMode="External"/><Relationship Id="rId4031" Type="http://schemas.openxmlformats.org/officeDocument/2006/relationships/hyperlink" Target="https://audio.iskcondesiretree.com/01_-_Srila_Prabhupada/01_-_Lectures/01_-_English/02_-_Month_wise/11_-_November/28/SB_5-05-01_DEL_1975-11-28_Hog_Civilization.mp3" TargetMode="External"/><Relationship Id="rId4030" Type="http://schemas.openxmlformats.org/officeDocument/2006/relationships/hyperlink" Target="https://audio.iskcondesiretree.com/01_-_Srila_Prabhupada/01_-_Lectures/01_-_English/02_-_Month_wise/11_-_November/28/SB-05-05-01_1975-11-28_SB-DELHI.MP3" TargetMode="External"/><Relationship Id="rId5360" Type="http://schemas.openxmlformats.org/officeDocument/2006/relationships/hyperlink" Target="https://audio.iskcondesiretree.com/01_-_Srila_Prabhupada/01_-_Lectures/01_-_English/02_-_Month_wise/10_-_October/31/Conv_1976-10-31_R1-VRNDAVAN.MP3" TargetMode="External"/><Relationship Id="rId297" Type="http://schemas.openxmlformats.org/officeDocument/2006/relationships/hyperlink" Target="https://audio.iskcondesiretree.com/01_-_Srila_Prabhupada/01_-_Lectures/01_-_English/01_-_Topic_wise/Various/SP_Lecture_Los_Angeles_1968-11-18_Getting_Outside_of_the_Material_Boundaries.mp3" TargetMode="External"/><Relationship Id="rId4033" Type="http://schemas.openxmlformats.org/officeDocument/2006/relationships/hyperlink" Target="https://audio.iskcondesiretree.com/01_-_Srila_Prabhupada/01_-_Lectures/01_-_English/02_-_Month_wise/11_-_November/29/MW_DEL_1975-11-29_Lions_Are_Better_than_Marxists.mp3" TargetMode="External"/><Relationship Id="rId5365" Type="http://schemas.openxmlformats.org/officeDocument/2006/relationships/hyperlink" Target="https://audio.iskcondesiretree.com/01_-_Srila_Prabhupada/01_-_Lectures/01_-_English/02_-_Month_wise/11_-_November/01/SB_5-05-10_VRN_1976-11-01_Simple_Living.mp3" TargetMode="External"/><Relationship Id="rId296" Type="http://schemas.openxmlformats.org/officeDocument/2006/relationships/hyperlink" Target="https://audio.iskcondesiretree.com/01_-_Srila_Prabhupada/01_-_Lectures/01_-_English/01_-_Topic_wise/Festivals/SP_Festivals_Los_Angeles_1968-11-18_Bhajan%2C_Lect%2C_Kirtan_on_Six_Goswamis.mp3" TargetMode="External"/><Relationship Id="rId4032" Type="http://schemas.openxmlformats.org/officeDocument/2006/relationships/hyperlink" Target="https://audio.iskcondesiretree.com/01_-_Srila_Prabhupada/01_-_Lectures/01_-_English/01_-_Topic_wise/Morning_Walk/SP_Morning_Walk_-_Delhi_1975-11-29_Lions_Are_Better_than_Marxists.mp3" TargetMode="External"/><Relationship Id="rId5366" Type="http://schemas.openxmlformats.org/officeDocument/2006/relationships/hyperlink" Target="https://audio.iskcondesiretree.com/01_-_Srila_Prabhupada/01_-_Lectures/01_-_English/02_-_Month_wise/11_-_November/02/Conv_1976-11-02_R1-VRNDAVAN.MP3" TargetMode="External"/><Relationship Id="rId295" Type="http://schemas.openxmlformats.org/officeDocument/2006/relationships/hyperlink" Target="https://audio.iskcondesiretree.com/01_-_Srila_Prabhupada/01_-_Lectures/01_-_English/02_-_Month_wise/11_-_November/15/Lect_LA_1968-11-15_Dipping_Into_Ocean_of_Love_of_Krishna.mp3" TargetMode="External"/><Relationship Id="rId4035" Type="http://schemas.openxmlformats.org/officeDocument/2006/relationships/hyperlink" Target="https://audio.iskcondesiretree.com/01_-_Srila_Prabhupada/01_-_Lectures/01_-_English/01_-_Topic_wise/Morning_Walk/SP_Morning_Walk_-_Delhi_1975-11-30_Income_Tax_Department-Cheating_Department.mp3" TargetMode="External"/><Relationship Id="rId5363" Type="http://schemas.openxmlformats.org/officeDocument/2006/relationships/hyperlink" Target="https://audio.iskcondesiretree.com/01_-_Srila_Prabhupada/01_-_Lectures/01_-_English/01_-_Topic_wise/Srimad_Bhagavatam/Canto-05/SP_SB_5-05-10_Vrindavan_1976-11-01_Simple_Living.mp3" TargetMode="External"/><Relationship Id="rId294" Type="http://schemas.openxmlformats.org/officeDocument/2006/relationships/hyperlink" Target="https://audio.iskcondesiretree.com/01_-_Srila_Prabhupada/01_-_Lectures/01_-_English/01_-_Topic_wise/Various/SP_Lecture_Los_Angeles_1968-11-15_Dipping_Into_Ocean_of_Love_of_Krishna.mp3" TargetMode="External"/><Relationship Id="rId4034" Type="http://schemas.openxmlformats.org/officeDocument/2006/relationships/hyperlink" Target="https://audio.iskcondesiretree.com/01_-_Srila_Prabhupada/01_-_Lectures/01_-_English/02_-_Month_wise/11_-_November/29/Walk_1975-11-29_MW-DELHI.MP3" TargetMode="External"/><Relationship Id="rId5364" Type="http://schemas.openxmlformats.org/officeDocument/2006/relationships/hyperlink" Target="https://audio.iskcondesiretree.com/01_-_Srila_Prabhupada/01_-_Lectures/01_-_English/02_-_Month_wise/11_-_November/01/SB-05-05-10%E2%80%9313_1976-11-01_SB-VRNDAVAN.MP3" TargetMode="External"/><Relationship Id="rId4037" Type="http://schemas.openxmlformats.org/officeDocument/2006/relationships/hyperlink" Target="https://audio.iskcondesiretree.com/01_-_Srila_Prabhupada/01_-_Lectures/01_-_English/02_-_Month_wise/11_-_November/30/Walk_1975-11-30_MW-DELHI.MP3" TargetMode="External"/><Relationship Id="rId5369" Type="http://schemas.openxmlformats.org/officeDocument/2006/relationships/hyperlink" Target="https://audio.iskcondesiretree.com/01_-_Srila_Prabhupada/01_-_Lectures/01_-_English/01_-_Topic_wise/Room_Conversation/SP_Room_Conversation_Vrindavan_1976-11-03_Sex_Education-Wasting_Time.mp3" TargetMode="External"/><Relationship Id="rId4036" Type="http://schemas.openxmlformats.org/officeDocument/2006/relationships/hyperlink" Target="https://audio.iskcondesiretree.com/01_-_Srila_Prabhupada/01_-_Lectures/01_-_English/02_-_Month_wise/11_-_November/30/MW_DEL_1975-11-30_Income_Tax_Department-Cheating_Department.mp3" TargetMode="External"/><Relationship Id="rId299" Type="http://schemas.openxmlformats.org/officeDocument/2006/relationships/hyperlink" Target="https://audio.iskcondesiretree.com/01_-_Srila_Prabhupada/01_-_Lectures/01_-_English/02_-_Month_wise/11_-_November/18/Lect_LA_1968-11-18_Getting_Outside_of_the_Material_Boundaries.mp3" TargetMode="External"/><Relationship Id="rId4039" Type="http://schemas.openxmlformats.org/officeDocument/2006/relationships/hyperlink" Target="https://audio.iskcondesiretree.com/01_-_Srila_Prabhupada/01_-_Lectures/01_-_English/02_-_Month_wise/12_-_December/02/SB-07-06-01_1975-12-02_SB-VRNDAVAN.MP3" TargetMode="External"/><Relationship Id="rId5367" Type="http://schemas.openxmlformats.org/officeDocument/2006/relationships/hyperlink" Target="https://audio.iskcondesiretree.com/01_-_Srila_Prabhupada/01_-_Lectures/01_-_English/02_-_Month_wise/11_-_November/02/Conv_1976-11-02_R2-VRNDAVAN.MP3" TargetMode="External"/><Relationship Id="rId298" Type="http://schemas.openxmlformats.org/officeDocument/2006/relationships/hyperlink" Target="https://audio.iskcondesiretree.com/01_-_Srila_Prabhupada/01_-_Lectures/01_-_English/02_-_Month_wise/11_-_November/18/Fest_LA_1968-11-18_Bhajan%2C_Lect%2C_Kirtan_on_Six_Goswamis.mp3" TargetMode="External"/><Relationship Id="rId4038" Type="http://schemas.openxmlformats.org/officeDocument/2006/relationships/hyperlink" Target="https://audio.iskcondesiretree.com/01_-_Srila_Prabhupada/01_-_Lectures/01_-_English/01_-_Topic_wise/Srimad_Bhagavatam/Canto-07/SP_SB_7-06-01_Vrindavan_1975-12-02_Here_Is_God-Krishna-Take_It.mp3" TargetMode="External"/><Relationship Id="rId5368" Type="http://schemas.openxmlformats.org/officeDocument/2006/relationships/hyperlink" Target="https://audio.iskcondesiretree.com/01_-_Srila_Prabhupada/01_-_Lectures/01_-_English/02_-_Month_wise/11_-_November/02/SB-05-05-14_1976-11-02_SB-VRNDAVAN.MP3" TargetMode="External"/><Relationship Id="rId5390" Type="http://schemas.openxmlformats.org/officeDocument/2006/relationships/hyperlink" Target="https://audio.iskcondesiretree.com/01_-_Srila_Prabhupada/01_-_Lectures/01_-_English/02_-_Month_wise/11_-_November/06/SB-05-05-18_1976-11-06_SB-VRNDAVAN.MP3" TargetMode="External"/><Relationship Id="rId5391" Type="http://schemas.openxmlformats.org/officeDocument/2006/relationships/hyperlink" Target="https://audio.iskcondesiretree.com/01_-_Srila_Prabhupada/01_-_Lectures/01_-_English/02_-_Month_wise/11_-_November/06/SB_5-05-18_VRN_1976-11-06_Guru_Shouldn%27t_Cheat_Disciple.mp3" TargetMode="External"/><Relationship Id="rId4060" Type="http://schemas.openxmlformats.org/officeDocument/2006/relationships/hyperlink" Target="https://audio.iskcondesiretree.com/01_-_Srila_Prabhupada/01_-_Lectures/01_-_English/02_-_Month_wise/12_-_December/07/SB-07-06-05_1975-12-07_SB-VRNDAVAN.MP3" TargetMode="External"/><Relationship Id="rId4062" Type="http://schemas.openxmlformats.org/officeDocument/2006/relationships/hyperlink" Target="https://audio.iskcondesiretree.com/01_-_Srila_Prabhupada/01_-_Lectures/01_-_English/02_-_Month_wise/12_-_December/07/Walk_1975-12-07_MW-VRNDAVAN.MP3" TargetMode="External"/><Relationship Id="rId5394" Type="http://schemas.openxmlformats.org/officeDocument/2006/relationships/hyperlink" Target="https://audio.iskcondesiretree.com/01_-_Srila_Prabhupada/01_-_Lectures/01_-_English/02_-_Month_wise/11_-_November/07/SB_5-05-19_VRN_1976-11-07_Spiritual_Eye_Surgery.mp3" TargetMode="External"/><Relationship Id="rId4061" Type="http://schemas.openxmlformats.org/officeDocument/2006/relationships/hyperlink" Target="https://audio.iskcondesiretree.com/01_-_Srila_Prabhupada/01_-_Lectures/01_-_English/02_-_Month_wise/12_-_December/07/SB_7-06-05_VRN_1975-12-07_Polished_Pig-ism.mp3" TargetMode="External"/><Relationship Id="rId5395" Type="http://schemas.openxmlformats.org/officeDocument/2006/relationships/hyperlink" Target="https://audio.iskcondesiretree.com/01_-_Srila_Prabhupada/01_-_Lectures/01_-_English/01_-_Topic_wise/Srimad_Bhagavatam/Canto-05/SP_SB_5-05-20_Vrindavan_1976-11-08_Whole_Planet_Belongs_to_Krishna.mp3" TargetMode="External"/><Relationship Id="rId4064" Type="http://schemas.openxmlformats.org/officeDocument/2006/relationships/hyperlink" Target="https://audio.iskcondesiretree.com/01_-_Srila_Prabhupada/01_-_Lectures/01_-_English/02_-_Month_wise/12_-_December/08/SB-07-06-06_1975-12-08_SB-VRNDAVAN.MP3" TargetMode="External"/><Relationship Id="rId5392" Type="http://schemas.openxmlformats.org/officeDocument/2006/relationships/hyperlink" Target="https://audio.iskcondesiretree.com/01_-_Srila_Prabhupada/01_-_Lectures/01_-_English/01_-_Topic_wise/Srimad_Bhagavatam/Canto-05/SP_SB_5-05-19_Vrindavan_1976-11-07_Spiritual_Eye_Surgery.mp3" TargetMode="External"/><Relationship Id="rId4063" Type="http://schemas.openxmlformats.org/officeDocument/2006/relationships/hyperlink" Target="https://audio.iskcondesiretree.com/01_-_Srila_Prabhupada/01_-_Lectures/01_-_English/01_-_Topic_wise/Srimad_Bhagavatam/Canto-07/SP_SB_7-06-06_Vrindavan_1975-12-08_The_Victors_and_the_Victimized.mp3" TargetMode="External"/><Relationship Id="rId5393" Type="http://schemas.openxmlformats.org/officeDocument/2006/relationships/hyperlink" Target="https://audio.iskcondesiretree.com/01_-_Srila_Prabhupada/01_-_Lectures/01_-_English/02_-_Month_wise/11_-_November/07/SB-05-05-19_1976-11-07_SB-VRNDAVAN.MP3" TargetMode="External"/><Relationship Id="rId4066" Type="http://schemas.openxmlformats.org/officeDocument/2006/relationships/hyperlink" Target="https://audio.iskcondesiretree.com/01_-_Srila_Prabhupada/01_-_Lectures/01_-_English/01_-_Topic_wise/Srimad_Bhagavatam/Canto-07/SP_SB_7-06-07_Vrindavan_1975-12-09_We%27re_Taking_Death_As_Life.mp3" TargetMode="External"/><Relationship Id="rId5398" Type="http://schemas.openxmlformats.org/officeDocument/2006/relationships/hyperlink" Target="https://audio.iskcondesiretree.com/01_-_Srila_Prabhupada/01_-_Lectures/01_-_English/01_-_Topic_wise/Srimad_Bhagavatam/Canto-05/SP_SB_5-05-21_Vrindavan_1976-11-09_Evolved_Consciousness.mp3" TargetMode="External"/><Relationship Id="rId4065" Type="http://schemas.openxmlformats.org/officeDocument/2006/relationships/hyperlink" Target="https://audio.iskcondesiretree.com/01_-_Srila_Prabhupada/01_-_Lectures/01_-_English/02_-_Month_wise/12_-_December/08/SB_7-06-06_VRN_1975-12-08_The_Victors_and_the_Victimized.mp3" TargetMode="External"/><Relationship Id="rId5399" Type="http://schemas.openxmlformats.org/officeDocument/2006/relationships/hyperlink" Target="https://audio.iskcondesiretree.com/01_-_Srila_Prabhupada/01_-_Lectures/01_-_English/02_-_Month_wise/11_-_November/09/SB-05-05-21%E2%80%9322_1976-11-09_SB-VRNDAVAN.MP3" TargetMode="External"/><Relationship Id="rId4068" Type="http://schemas.openxmlformats.org/officeDocument/2006/relationships/hyperlink" Target="https://audio.iskcondesiretree.com/01_-_Srila_Prabhupada/01_-_Lectures/01_-_English/02_-_Month_wise/12_-_December/09/SB_7-06-07_VRN_1975-12-09_We%27re_Taking_Death_As_Life.mp3" TargetMode="External"/><Relationship Id="rId5396" Type="http://schemas.openxmlformats.org/officeDocument/2006/relationships/hyperlink" Target="https://audio.iskcondesiretree.com/01_-_Srila_Prabhupada/01_-_Lectures/01_-_English/02_-_Month_wise/11_-_November/08/SB-05-05-20_1976-11-08_SB-VRNDAVAN.MP3" TargetMode="External"/><Relationship Id="rId4067" Type="http://schemas.openxmlformats.org/officeDocument/2006/relationships/hyperlink" Target="https://audio.iskcondesiretree.com/01_-_Srila_Prabhupada/01_-_Lectures/01_-_English/02_-_Month_wise/12_-_December/09/SB-07-06-07_1975-12-09_SB-VRNDAVAN.MP3" TargetMode="External"/><Relationship Id="rId5397" Type="http://schemas.openxmlformats.org/officeDocument/2006/relationships/hyperlink" Target="https://audio.iskcondesiretree.com/01_-_Srila_Prabhupada/01_-_Lectures/01_-_English/02_-_Month_wise/11_-_November/08/SB_5-05-20_VRN_1976-11-08_Whole_Planet_Belongs_to_Krishna.mp3" TargetMode="External"/><Relationship Id="rId4069" Type="http://schemas.openxmlformats.org/officeDocument/2006/relationships/hyperlink" Target="https://audio.iskcondesiretree.com/01_-_Srila_Prabhupada/01_-_Lectures/01_-_English/02_-_Month_wise/12_-_December/09/Walk_1975-12-09_MW-VRNDAVAN.MP3" TargetMode="External"/><Relationship Id="rId5380" Type="http://schemas.openxmlformats.org/officeDocument/2006/relationships/hyperlink" Target="https://audio.iskcondesiretree.com/01_-_Srila_Prabhupada/01_-_Lectures/01_-_English/02_-_Month_wise/11_-_November/04/SB-05-05-16_1976-11-04_SB-VRNDAVAN.MP3" TargetMode="External"/><Relationship Id="rId4051" Type="http://schemas.openxmlformats.org/officeDocument/2006/relationships/hyperlink" Target="https://audio.iskcondesiretree.com/01_-_Srila_Prabhupada/01_-_Lectures/01_-_English/02_-_Month_wise/12_-_December/04/SB_7-06-03_VRN_1975-12-04_Our_Human_Opportunity.mp3" TargetMode="External"/><Relationship Id="rId5383" Type="http://schemas.openxmlformats.org/officeDocument/2006/relationships/hyperlink" Target="https://audio.iskcondesiretree.com/01_-_Srila_Prabhupada/01_-_Lectures/01_-_English/01_-_Topic_wise/Srimad_Bhagavatam/Canto-05/SP_SB_5-05-17_Vrindavan_1976-11-05_%27Classless%27_Means--etc.mp3" TargetMode="External"/><Relationship Id="rId4050" Type="http://schemas.openxmlformats.org/officeDocument/2006/relationships/hyperlink" Target="https://audio.iskcondesiretree.com/01_-_Srila_Prabhupada/01_-_Lectures/01_-_English/02_-_Month_wise/12_-_December/04/SB-07-06-03_1975-12-04_SB-VRNDAVAN.MP3" TargetMode="External"/><Relationship Id="rId5384" Type="http://schemas.openxmlformats.org/officeDocument/2006/relationships/hyperlink" Target="https://audio.iskcondesiretree.com/01_-_Srila_Prabhupada/01_-_Lectures/01_-_English/02_-_Month_wise/11_-_November/05/Conv_1976-11-05_R1-VRNDAVAN.MP3" TargetMode="External"/><Relationship Id="rId4053" Type="http://schemas.openxmlformats.org/officeDocument/2006/relationships/hyperlink" Target="https://audio.iskcondesiretree.com/01_-_Srila_Prabhupada/01_-_Lectures/01_-_English/01_-_Topic_wise/Srimad_Bhagavatam/Canto-07/SP_SB_7-06-04_Vrindavan_1975-12-05_How_to_Waste_Your_Life.mp3" TargetMode="External"/><Relationship Id="rId5381" Type="http://schemas.openxmlformats.org/officeDocument/2006/relationships/hyperlink" Target="https://audio.iskcondesiretree.com/01_-_Srila_Prabhupada/01_-_Lectures/01_-_English/02_-_Month_wise/11_-_November/04/SB_5-05-16_VRN_1976-11-04_Envious_Monkey_Business.mp3" TargetMode="External"/><Relationship Id="rId4052" Type="http://schemas.openxmlformats.org/officeDocument/2006/relationships/hyperlink" Target="https://audio.iskcondesiretree.com/01_-_Srila_Prabhupada/01_-_Lectures/01_-_English/02_-_Month_wise/12_-_December/04/Walk_1975-12-04_MW-VRNDAVAN.MP3" TargetMode="External"/><Relationship Id="rId5382" Type="http://schemas.openxmlformats.org/officeDocument/2006/relationships/hyperlink" Target="https://audio.iskcondesiretree.com/01_-_Srila_Prabhupada/01_-_Lectures/01_-_English/01_-_Topic_wise/Room_Conversation/SP_Room_Conversation_Vrindavan_1976-11-05_Gurukula_Guidelines.mp3" TargetMode="External"/><Relationship Id="rId4055" Type="http://schemas.openxmlformats.org/officeDocument/2006/relationships/hyperlink" Target="https://audio.iskcondesiretree.com/01_-_Srila_Prabhupada/01_-_Lectures/01_-_English/02_-_Month_wise/12_-_December/05/SB_7-06-04_VRN_1975-12-05_How_to_Waste_Your_Life.mp3" TargetMode="External"/><Relationship Id="rId5387" Type="http://schemas.openxmlformats.org/officeDocument/2006/relationships/hyperlink" Target="https://audio.iskcondesiretree.com/01_-_Srila_Prabhupada/01_-_Lectures/01_-_English/02_-_Month_wise/11_-_November/05/SB_5-05-17_VRN_1976-11-05_Classless_Means_etc.mp3" TargetMode="External"/><Relationship Id="rId4054" Type="http://schemas.openxmlformats.org/officeDocument/2006/relationships/hyperlink" Target="https://audio.iskcondesiretree.com/01_-_Srila_Prabhupada/01_-_Lectures/01_-_English/02_-_Month_wise/12_-_December/05/SB-07-06-04_1975-12-05_SB-VRNDAVAN.MP3" TargetMode="External"/><Relationship Id="rId5388" Type="http://schemas.openxmlformats.org/officeDocument/2006/relationships/hyperlink" Target="https://audio.iskcondesiretree.com/01_-_Srila_Prabhupada/01_-_Lectures/01_-_English/01_-_Topic_wise/Srimad_Bhagavatam/Canto-05/SP_SB_5-05-18_Vrindavan_1976-11-06_Guru_Shouldn%27t_Cheat_Disciple.mp3" TargetMode="External"/><Relationship Id="rId4057" Type="http://schemas.openxmlformats.org/officeDocument/2006/relationships/hyperlink" Target="https://audio.iskcondesiretree.com/01_-_Srila_Prabhupada/01_-_Lectures/01_-_English/01_-_Topic_wise/Morning_Walk/SP_Morning_Walk_-_Delhi_1975-12-07_Scientific_Eggheads-_Manufacture_an_Egg.mp3" TargetMode="External"/><Relationship Id="rId5385" Type="http://schemas.openxmlformats.org/officeDocument/2006/relationships/hyperlink" Target="https://audio.iskcondesiretree.com/01_-_Srila_Prabhupada/01_-_Lectures/01_-_English/02_-_Month_wise/11_-_November/05/RC_VRN_1976-11-05_Gurukula_Guidelines.mp3" TargetMode="External"/><Relationship Id="rId4056" Type="http://schemas.openxmlformats.org/officeDocument/2006/relationships/hyperlink" Target="https://audio.iskcondesiretree.com/01_-_Srila_Prabhupada/01_-_Lectures/01_-_English/02_-_Month_wise/12_-_December/06/Initiations_1975-12-06_LE-VRNDAVAN.MP3" TargetMode="External"/><Relationship Id="rId5386" Type="http://schemas.openxmlformats.org/officeDocument/2006/relationships/hyperlink" Target="https://audio.iskcondesiretree.com/01_-_Srila_Prabhupada/01_-_Lectures/01_-_English/02_-_Month_wise/11_-_November/05/SB-05-05-17_1976-11-05_SB-VRNDAVAN.MP3" TargetMode="External"/><Relationship Id="rId4059" Type="http://schemas.openxmlformats.org/officeDocument/2006/relationships/hyperlink" Target="https://audio.iskcondesiretree.com/01_-_Srila_Prabhupada/01_-_Lectures/01_-_English/02_-_Month_wise/12_-_December/07/MW_DEL_1975-12-07_Scientific_Eggheads-_Manufacture_an_Egg.mp3" TargetMode="External"/><Relationship Id="rId4058" Type="http://schemas.openxmlformats.org/officeDocument/2006/relationships/hyperlink" Target="https://audio.iskcondesiretree.com/01_-_Srila_Prabhupada/01_-_Lectures/01_-_English/01_-_Topic_wise/Srimad_Bhagavatam/Canto-07/SP_SB_7-06-05_Vrindavan_1975-12-07_Polished_Pig-ism.mp3" TargetMode="External"/><Relationship Id="rId5389" Type="http://schemas.openxmlformats.org/officeDocument/2006/relationships/hyperlink" Target="https://audio.iskcondesiretree.com/01_-_Srila_Prabhupada/01_-_Lectures/01_-_English/02_-_Month_wise/11_-_November/06/Conv_1976-11-06_R1-VRNDAVAN.MP3" TargetMode="External"/><Relationship Id="rId4008" Type="http://schemas.openxmlformats.org/officeDocument/2006/relationships/hyperlink" Target="https://audio.iskcondesiretree.com/01_-_Srila_Prabhupada/01_-_Lectures/01_-_English/02_-_Month_wise/11_-_November/18/MW_BOM_1975-11-18_Bhakta_Is_the_Only_Scientist.mp3" TargetMode="External"/><Relationship Id="rId4007" Type="http://schemas.openxmlformats.org/officeDocument/2006/relationships/hyperlink" Target="https://audio.iskcondesiretree.com/01_-_Srila_Prabhupada/01_-_Lectures/01_-_English/02_-_Month_wise/11_-_November/18/Lect_BOM_1975-11-18_Initiation_Sannyasa-Deliver_One_etc.mp3" TargetMode="External"/><Relationship Id="rId5338" Type="http://schemas.openxmlformats.org/officeDocument/2006/relationships/hyperlink" Target="https://audio.iskcondesiretree.com/01_-_Srila_Prabhupada/01_-_Lectures/01_-_English/02_-_Month_wise/10_-_October/17/Addr_CHA_1976-10-17_To_Rotary_Club_Let_Krishna_Speak_etc.mp3" TargetMode="External"/><Relationship Id="rId4009" Type="http://schemas.openxmlformats.org/officeDocument/2006/relationships/hyperlink" Target="https://audio.iskcondesiretree.com/01_-_Srila_Prabhupada/01_-_Lectures/01_-_English/02_-_Month_wise/11_-_November/18/Walk_1975-11-18_MW-BOMBAY.MP3" TargetMode="External"/><Relationship Id="rId5339" Type="http://schemas.openxmlformats.org/officeDocument/2006/relationships/hyperlink" Target="https://audio.iskcondesiretree.com/01_-_Srila_Prabhupada/01_-_Lectures/01_-_English/02_-_Month_wise/10_-_October/17/Address_1976-10-17_LE-CHANDIGARH.MP3" TargetMode="External"/><Relationship Id="rId271" Type="http://schemas.openxmlformats.org/officeDocument/2006/relationships/hyperlink" Target="https://audio.iskcondesiretree.com/01_-_Srila_Prabhupada/01_-_Lectures/01_-_English/02_-_Month_wise/10_-_October/02/Lect_SEA_1968-10-02_The_Pulse_of_Universal_Body.mp3" TargetMode="External"/><Relationship Id="rId270" Type="http://schemas.openxmlformats.org/officeDocument/2006/relationships/hyperlink" Target="https://audio.iskcondesiretree.com/01_-_Srila_Prabhupada/01_-_Lectures/01_-_English/01_-_Topic_wise/Various/SP_Lecture_Seattle_1968-10-02_The_Pulse_of_Universal_Body.mp3" TargetMode="External"/><Relationship Id="rId269" Type="http://schemas.openxmlformats.org/officeDocument/2006/relationships/hyperlink" Target="https://audio.iskcondesiretree.com/01_-_Srila_Prabhupada/01_-_Lectures/01_-_English/02_-_Month_wise/09_-_September/30/Lect_SEA_1968-09-30_Beyond_Frustration-Science_of_Loving_God.mp3" TargetMode="External"/><Relationship Id="rId264" Type="http://schemas.openxmlformats.org/officeDocument/2006/relationships/hyperlink" Target="https://audio.iskcondesiretree.com/01_-_Srila_Prabhupada/01_-_Lectures/01_-_English/01_-_Topic_wise/Various/SP_Lecture_Seattle_1968-09-25_Spiritual_Liberation_and_Beyond.mp3" TargetMode="External"/><Relationship Id="rId4000" Type="http://schemas.openxmlformats.org/officeDocument/2006/relationships/hyperlink" Target="https://audio.iskcondesiretree.com/01_-_Srila_Prabhupada/01_-_Lectures/01_-_English/02_-_Month_wise/11_-_November/17/Cc_M_20-110_BOM_1975-11-17_Truth_About_False_Ego.mp3" TargetMode="External"/><Relationship Id="rId5332" Type="http://schemas.openxmlformats.org/officeDocument/2006/relationships/hyperlink" Target="https://audio.iskcondesiretree.com/01_-_Srila_Prabhupada/01_-_Lectures/01_-_English/02_-_Month_wise/10_-_October/15/Bg-07-01%E2%80%93Hindi_1976-10-15_BG-CHANDIGARH.MP3" TargetMode="External"/><Relationship Id="rId263" Type="http://schemas.openxmlformats.org/officeDocument/2006/relationships/hyperlink" Target="https://audio.iskcondesiretree.com/01_-_Srila_Prabhupada/01_-_Lectures/01_-_English/02_-_Month_wise/09_-_September/11/Bg_07-02_SF_1968-09-11_Ultimate_Understanding_etc.mp3" TargetMode="External"/><Relationship Id="rId5333" Type="http://schemas.openxmlformats.org/officeDocument/2006/relationships/hyperlink" Target="https://audio.iskcondesiretree.com/01_-_Srila_Prabhupada/01_-_Lectures/01_-_English/01_-_Topic_wise/Interview/SP_Interview_Chandigarh_1976-10-16_Press--Everyone_of_You-Become_Guru.mp3" TargetMode="External"/><Relationship Id="rId262" Type="http://schemas.openxmlformats.org/officeDocument/2006/relationships/hyperlink" Target="https://audio.iskcondesiretree.com/01_-_Srila_Prabhupada/01_-_Lectures/01_-_English/01_-_Topic_wise/Bhagavad_Gita/Chapter-07/SP_BG_07-02_San_Francisco_1968-09-11_Ultimate_Understanding--etc.mp3" TargetMode="External"/><Relationship Id="rId4002" Type="http://schemas.openxmlformats.org/officeDocument/2006/relationships/hyperlink" Target="https://audio.iskcondesiretree.com/01_-_Srila_Prabhupada/01_-_Lectures/01_-_English/02_-_Month_wise/11_-_November/17/MW_BOM_1975-11-17_Dressed_Animals-Educated_Dogs.mp3" TargetMode="External"/><Relationship Id="rId5330" Type="http://schemas.openxmlformats.org/officeDocument/2006/relationships/hyperlink" Target="https://audio.iskcondesiretree.com/01_-_Srila_Prabhupada/01_-_Lectures/01_-_English/02_-_Month_wise/10_-_October/14/RC_CHA_1976-10-14_Next_Body-Are_You_Not_Afraid.mp3" TargetMode="External"/><Relationship Id="rId261" Type="http://schemas.openxmlformats.org/officeDocument/2006/relationships/hyperlink" Target="https://audio.iskcondesiretree.com/01_-_Srila_Prabhupada/01_-_Lectures/01_-_English/02_-_Month_wise/09_-_September/10/Bg_07-01_SF_1968-09-10_Yoga_Our_Confidential_etc.mp3" TargetMode="External"/><Relationship Id="rId4001" Type="http://schemas.openxmlformats.org/officeDocument/2006/relationships/hyperlink" Target="https://audio.iskcondesiretree.com/01_-_Srila_Prabhupada/01_-_Lectures/01_-_English/02_-_Month_wise/11_-_November/17/CcMadhya-20-110%E2%80%93111_1975-11-17_CC-BOMBAY.MP3" TargetMode="External"/><Relationship Id="rId5331" Type="http://schemas.openxmlformats.org/officeDocument/2006/relationships/hyperlink" Target="https://audio.iskcondesiretree.com/01_-_Srila_Prabhupada/01_-_Lectures/01_-_English/02_-_Month_wise/10_-_October/14/Walk_1976-10-14_MW-CHANDIGARH.MP3" TargetMode="External"/><Relationship Id="rId268" Type="http://schemas.openxmlformats.org/officeDocument/2006/relationships/hyperlink" Target="https://audio.iskcondesiretree.com/01_-_Srila_Prabhupada/01_-_Lectures/01_-_English/01_-_Topic_wise/Various/SP_Lecture_Seattle_1968-09-30_Beyond_Frustration-Science_of_Loving_God.mp3" TargetMode="External"/><Relationship Id="rId4004" Type="http://schemas.openxmlformats.org/officeDocument/2006/relationships/hyperlink" Target="https://audio.iskcondesiretree.com/01_-_Srila_Prabhupada/01_-_Lectures/01_-_English/01_-_Topic_wise/Morning_Walk/SP_Morning_Walk_-_Bombay_1975-11-18_Bhakta_Is_the_Only_Scientist.mp3" TargetMode="External"/><Relationship Id="rId5336" Type="http://schemas.openxmlformats.org/officeDocument/2006/relationships/hyperlink" Target="https://audio.iskcondesiretree.com/01_-_Srila_Prabhupada/01_-_Lectures/01_-_English/02_-_Month_wise/10_-_October/16/Interview_1976-10-16_IV-CHANDIGARH.MP3" TargetMode="External"/><Relationship Id="rId267" Type="http://schemas.openxmlformats.org/officeDocument/2006/relationships/hyperlink" Target="https://audio.iskcondesiretree.com/01_-_Srila_Prabhupada/01_-_Lectures/01_-_English/02_-_Month_wise/09_-_September/27/Lect_SEA_1968-09-27_How_to_Go_from_Misery_to_Mastery.mp3" TargetMode="External"/><Relationship Id="rId4003" Type="http://schemas.openxmlformats.org/officeDocument/2006/relationships/hyperlink" Target="https://audio.iskcondesiretree.com/01_-_Srila_Prabhupada/01_-_Lectures/01_-_English/02_-_Month_wise/11_-_November/17/Walk_1975-11-17_MW-BOMBAY.MP3" TargetMode="External"/><Relationship Id="rId5337" Type="http://schemas.openxmlformats.org/officeDocument/2006/relationships/hyperlink" Target="https://audio.iskcondesiretree.com/01_-_Srila_Prabhupada/01_-_Lectures/01_-_English/01_-_Topic_wise/Arrival_Address/SP_Address_Chandigarh_1976-10-17_To_Rotary_Club--Let_Krishna_Speak--etc.mp3" TargetMode="External"/><Relationship Id="rId266" Type="http://schemas.openxmlformats.org/officeDocument/2006/relationships/hyperlink" Target="https://audio.iskcondesiretree.com/01_-_Srila_Prabhupada/01_-_Lectures/01_-_English/01_-_Topic_wise/Various/SP_Lecture_Seattle_1968-09-27_How_to_Go_from_Misery_to_Mastery.mp3" TargetMode="External"/><Relationship Id="rId4006" Type="http://schemas.openxmlformats.org/officeDocument/2006/relationships/hyperlink" Target="https://audio.iskcondesiretree.com/01_-_Srila_Prabhupada/01_-_Lectures/01_-_English/02_-_Month_wise/11_-_November/18/Initiations_1975-11-18_IN-BOMBAY.MP3" TargetMode="External"/><Relationship Id="rId5334" Type="http://schemas.openxmlformats.org/officeDocument/2006/relationships/hyperlink" Target="https://audio.iskcondesiretree.com/01_-_Srila_Prabhupada/01_-_Lectures/01_-_English/02_-_Month_wise/10_-_October/16/Bg-09-03%E2%80%93Hindi_1976-10-16_BG-CHANDIGARH.MP3" TargetMode="External"/><Relationship Id="rId265" Type="http://schemas.openxmlformats.org/officeDocument/2006/relationships/hyperlink" Target="https://audio.iskcondesiretree.com/01_-_Srila_Prabhupada/01_-_Lectures/01_-_English/02_-_Month_wise/09_-_September/25/Lect_SEA_1968-09-25_Spiritual_Liberation_and_Beyond.mp3" TargetMode="External"/><Relationship Id="rId4005" Type="http://schemas.openxmlformats.org/officeDocument/2006/relationships/hyperlink" Target="https://audio.iskcondesiretree.com/01_-_Srila_Prabhupada/01_-_Lectures/01_-_English/01_-_Topic_wise/Various/SP_Lecture_Bombay_1975-11-18_Initiation_Sannyasa--Deliver_One--etc.mp3" TargetMode="External"/><Relationship Id="rId5335" Type="http://schemas.openxmlformats.org/officeDocument/2006/relationships/hyperlink" Target="https://audio.iskcondesiretree.com/01_-_Srila_Prabhupada/01_-_Lectures/01_-_English/02_-_Month_wise/10_-_October/16/Interv_CHA_1976-10-16_Press-Everyone_of_You_Become_Guru.mp3" TargetMode="External"/><Relationship Id="rId5329" Type="http://schemas.openxmlformats.org/officeDocument/2006/relationships/hyperlink" Target="https://audio.iskcondesiretree.com/01_-_Srila_Prabhupada/01_-_Lectures/01_-_English/02_-_Month_wise/10_-_October/14/Address_Hindi_1976-10-14_AD-CHANDIGARH.MP3" TargetMode="External"/><Relationship Id="rId5327" Type="http://schemas.openxmlformats.org/officeDocument/2006/relationships/hyperlink" Target="https://audio.iskcondesiretree.com/01_-_Srila_Prabhupada/01_-_Lectures/01_-_English/02_-_Month_wise/10_-_October/13/Address_Hindi_1976-10-13_LE-CHANDIGARH.MP3" TargetMode="External"/><Relationship Id="rId5328" Type="http://schemas.openxmlformats.org/officeDocument/2006/relationships/hyperlink" Target="https://audio.iskcondesiretree.com/01_-_Srila_Prabhupada/01_-_Lectures/01_-_English/01_-_Topic_wise/Room_Conversation/SP_Room_Conversation_Chandigarh_1976-10-14_Next_Body-Are_You_Not_Afraid.mp3" TargetMode="External"/><Relationship Id="rId260" Type="http://schemas.openxmlformats.org/officeDocument/2006/relationships/hyperlink" Target="https://audio.iskcondesiretree.com/01_-_Srila_Prabhupada/01_-_Lectures/01_-_English/01_-_Topic_wise/Bhagavad_Gita/Chapter-07/SP_BG_07-01_San_Francisco_1968-09-10_Yoga--_Our_Confidential--etc.mp3" TargetMode="External"/><Relationship Id="rId259" Type="http://schemas.openxmlformats.org/officeDocument/2006/relationships/hyperlink" Target="https://audio.iskcondesiretree.com/01_-_Srila_Prabhupada/01_-_Lectures/01_-_English/02_-_Month_wise/08_-_August/30/Fest_MON_1968-08-30_Radhastami.mp3" TargetMode="External"/><Relationship Id="rId258" Type="http://schemas.openxmlformats.org/officeDocument/2006/relationships/hyperlink" Target="https://audio.iskcondesiretree.com/01_-_Srila_Prabhupada/01_-_Lectures/01_-_English/01_-_Topic_wise/Festivals/SP_Festivals_Montreal_1968-08-30_Radhastami.mp3" TargetMode="External"/><Relationship Id="rId253" Type="http://schemas.openxmlformats.org/officeDocument/2006/relationships/hyperlink" Target="https://audio.iskcondesiretree.com/01_-_Srila_Prabhupada/01_-_Lectures/01_-_English/02_-_Month_wise/08_-_August/18/SB_7-09-12_MON_1968-08-18_God_is_Dead_The_Vulture%27s_Curse.mp3" TargetMode="External"/><Relationship Id="rId5321" Type="http://schemas.openxmlformats.org/officeDocument/2006/relationships/hyperlink" Target="https://audio.iskcondesiretree.com/01_-_Srila_Prabhupada/01_-_Lectures/01_-_English/02_-_Month_wise/10_-_October/09/Conv_1976-10-09_G1-ALIGARH.MP3" TargetMode="External"/><Relationship Id="rId252" Type="http://schemas.openxmlformats.org/officeDocument/2006/relationships/hyperlink" Target="https://audio.iskcondesiretree.com/01_-_Srila_Prabhupada/01_-_Lectures/01_-_English/01_-_Topic_wise/Srimad_Bhagavatam/Canto-07/SP_SB_7-09-12_Montreal_1968-08-18_God_is_Dead--The_Vulture%27s_Curse.mp3" TargetMode="External"/><Relationship Id="rId5322" Type="http://schemas.openxmlformats.org/officeDocument/2006/relationships/hyperlink" Target="https://audio.iskcondesiretree.com/01_-_Srila_Prabhupada/01_-_Lectures/01_-_English/02_-_Month_wise/10_-_October/09/Conv_1976-10-09_R1-ALIGARH.MP3" TargetMode="External"/><Relationship Id="rId251" Type="http://schemas.openxmlformats.org/officeDocument/2006/relationships/hyperlink" Target="https://audio.iskcondesiretree.com/01_-_Srila_Prabhupada/01_-_Lectures/01_-_English/02_-_Month_wise/08_-_August/17/SB_7-09-11_MON_1968-08-17_Krishna_Is_Begging_Your_Love.mp3" TargetMode="External"/><Relationship Id="rId250" Type="http://schemas.openxmlformats.org/officeDocument/2006/relationships/hyperlink" Target="https://audio.iskcondesiretree.com/01_-_Srila_Prabhupada/01_-_Lectures/01_-_English/01_-_Topic_wise/Srimad_Bhagavatam/Canto-07/SP_SB_7-09-11_Montreal_1968-08-17_Krishna_Is_Begging_Your_Love.mp3" TargetMode="External"/><Relationship Id="rId5320" Type="http://schemas.openxmlformats.org/officeDocument/2006/relationships/hyperlink" Target="https://audio.iskcondesiretree.com/01_-_Srila_Prabhupada/01_-_Lectures/01_-_English/02_-_Month_wise/10_-_October/09/Arrival_1976-10-09_AR-ALIGARH.MP3" TargetMode="External"/><Relationship Id="rId257" Type="http://schemas.openxmlformats.org/officeDocument/2006/relationships/hyperlink" Target="https://audio.iskcondesiretree.com/01_-_Srila_Prabhupada/01_-_Lectures/01_-_English/02_-_Month_wise/08_-_August/20/SB_7-09-13_MON_1968-08-20_Getting_a_Job_with_the_etc.mp3" TargetMode="External"/><Relationship Id="rId5325" Type="http://schemas.openxmlformats.org/officeDocument/2006/relationships/hyperlink" Target="https://audio.iskcondesiretree.com/01_-_Srila_Prabhupada/01_-_Lectures/01_-_English/02_-_Month_wise/10_-_October/10/Lecture%E2%80%93Hindi_1976-10-10_LE-ALIGARH.MP3" TargetMode="External"/><Relationship Id="rId256" Type="http://schemas.openxmlformats.org/officeDocument/2006/relationships/hyperlink" Target="https://audio.iskcondesiretree.com/01_-_Srila_Prabhupada/01_-_Lectures/01_-_English/01_-_Topic_wise/Srimad_Bhagavatam/Canto-07/SP_SB_7-09-13_Montreal_1968-08-20_Getting_a_Job_with_the--etc.mp3" TargetMode="External"/><Relationship Id="rId5326" Type="http://schemas.openxmlformats.org/officeDocument/2006/relationships/hyperlink" Target="https://audio.iskcondesiretree.com/01_-_Srila_Prabhupada/01_-_Lectures/01_-_English/02_-_Month_wise/10_-_October/10/SB-01-02-06%E2%80%93Hindi_1976-10-10_SB-ALIGARH.MP3" TargetMode="External"/><Relationship Id="rId255" Type="http://schemas.openxmlformats.org/officeDocument/2006/relationships/hyperlink" Target="https://audio.iskcondesiretree.com/01_-_Srila_Prabhupada/01_-_Lectures/01_-_English/02_-_Month_wise/08_-_August/19/SB_7-09-12_MON_1968-08-19_God_Only_Cares_How_Much_You_LOVE_Him.mp3" TargetMode="External"/><Relationship Id="rId5323" Type="http://schemas.openxmlformats.org/officeDocument/2006/relationships/hyperlink" Target="https://audio.iskcondesiretree.com/01_-_Srila_Prabhupada/01_-_Lectures/01_-_English/02_-_Month_wise/10_-_October/09/SB-01-02-05_1976-10-09_SB-ALIGARH.MP3" TargetMode="External"/><Relationship Id="rId254" Type="http://schemas.openxmlformats.org/officeDocument/2006/relationships/hyperlink" Target="https://audio.iskcondesiretree.com/01_-_Srila_Prabhupada/01_-_Lectures/01_-_English/01_-_Topic_wise/Srimad_Bhagavatam/Canto-07/SP_SB_7-09-12_Montreal_1968-08-19_God_Only_Cares_How_Much_You_LOVE_Him.mp3" TargetMode="External"/><Relationship Id="rId5324" Type="http://schemas.openxmlformats.org/officeDocument/2006/relationships/hyperlink" Target="https://audio.iskcondesiretree.com/01_-_Srila_Prabhupada/01_-_Lectures/01_-_English/02_-_Month_wise/10_-_October/09/SB_1-02-05_ALI_1976-10-09_The_Religion_Above_All_Cheating.mp3" TargetMode="External"/><Relationship Id="rId4029" Type="http://schemas.openxmlformats.org/officeDocument/2006/relationships/hyperlink" Target="https://audio.iskcondesiretree.com/01_-_Srila_Prabhupada/01_-_Lectures/01_-_English/01_-_Topic_wise/Srimad_Bhagavatam/Canto-05/SP_SB_5-05-01_Delhi_1975-11-28_Hog_Civilization.mp3" TargetMode="External"/><Relationship Id="rId293" Type="http://schemas.openxmlformats.org/officeDocument/2006/relationships/hyperlink" Target="https://audio.iskcondesiretree.com/01_-_Srila_Prabhupada/01_-_Lectures/01_-_English/02_-_Month_wise/11_-_November/13/Lect_LA_1968-11-13_I_Have_Passed_My_Life_Uselessly.mp3" TargetMode="External"/><Relationship Id="rId292" Type="http://schemas.openxmlformats.org/officeDocument/2006/relationships/hyperlink" Target="https://audio.iskcondesiretree.com/01_-_Srila_Prabhupada/01_-_Lectures/01_-_English/01_-_Topic_wise/Various/SP_Lecture_Los_Angeles_1968-11-13_I_Have_Passed_My_Life_Uselessly.mp3" TargetMode="External"/><Relationship Id="rId291" Type="http://schemas.openxmlformats.org/officeDocument/2006/relationships/hyperlink" Target="https://audio.iskcondesiretree.com/01_-_Srila_Prabhupada/01_-_Lectures/01_-_English/02_-_Month_wise/11_-_November/08/Lect_LA_1968-11-08_Brahma_Samhita_29-The_Spiritual_etc.mp3" TargetMode="External"/><Relationship Id="rId290" Type="http://schemas.openxmlformats.org/officeDocument/2006/relationships/hyperlink" Target="https://audio.iskcondesiretree.com/01_-_Srila_Prabhupada/01_-_Lectures/01_-_English/01_-_Topic_wise/Various/SP_Lecture_Los_Angeles_1968-11-08_Brahma_Samhita_29--The_Spiritual--etc.mp3" TargetMode="External"/><Relationship Id="rId5350" Type="http://schemas.openxmlformats.org/officeDocument/2006/relationships/hyperlink" Target="https://audio.iskcondesiretree.com/01_-_Srila_Prabhupada/01_-_Lectures/01_-_English/01_-_Topic_wise/Srimad_Bhagavatam/Canto-05/SP_SB_5-05-06_Vrindavan_1976-10-28_Civilization_%3D_Degradation.mp3" TargetMode="External"/><Relationship Id="rId5351" Type="http://schemas.openxmlformats.org/officeDocument/2006/relationships/hyperlink" Target="https://audio.iskcondesiretree.com/01_-_Srila_Prabhupada/01_-_Lectures/01_-_English/02_-_Month_wise/10_-_October/28/SB-05-05-06_1976-10-28_SB-VRNDAVAN.MP3" TargetMode="External"/><Relationship Id="rId4020" Type="http://schemas.openxmlformats.org/officeDocument/2006/relationships/hyperlink" Target="https://audio.iskcondesiretree.com/01_-_Srila_Prabhupada/01_-_Lectures/01_-_English/01_-_Topic_wise/Morning_Walk/SP_Morning_Walk_-_Bombay_1975-11-24_No_Rain-Chant.mp3" TargetMode="External"/><Relationship Id="rId286" Type="http://schemas.openxmlformats.org/officeDocument/2006/relationships/hyperlink" Target="https://audio.iskcondesiretree.com/01_-_Srila_Prabhupada/01_-_Lectures/01_-_English/02_-_Month_wise/10_-_October/21/Fest_SEA_1968-10-21_Disappearance_of_Keshava_Maharaja.mp3" TargetMode="External"/><Relationship Id="rId4022" Type="http://schemas.openxmlformats.org/officeDocument/2006/relationships/hyperlink" Target="https://audio.iskcondesiretree.com/01_-_Srila_Prabhupada/01_-_Lectures/01_-_English/02_-_Month_wise/11_-_November/24/CcMadhya-06-154_1975-11-24_CC-BOMBAY.MP3" TargetMode="External"/><Relationship Id="rId5354" Type="http://schemas.openxmlformats.org/officeDocument/2006/relationships/hyperlink" Target="https://audio.iskcondesiretree.com/01_-_Srila_Prabhupada/01_-_Lectures/01_-_English/02_-_Month_wise/10_-_October/29/SB-05-05-07_1976-10-29_SB-VRNDAVAN.MP3" TargetMode="External"/><Relationship Id="rId285" Type="http://schemas.openxmlformats.org/officeDocument/2006/relationships/hyperlink" Target="https://audio.iskcondesiretree.com/01_-_Srila_Prabhupada/01_-_Lectures/01_-_English/01_-_Topic_wise/Srimad_Bhagavatam/Canto-07/SP_SB_7-09-08_Germany_1968-10-21_Nobody_Can_Exist_Without_God.mp3" TargetMode="External"/><Relationship Id="rId4021" Type="http://schemas.openxmlformats.org/officeDocument/2006/relationships/hyperlink" Target="https://audio.iskcondesiretree.com/01_-_Srila_Prabhupada/01_-_Lectures/01_-_English/02_-_Month_wise/11_-_November/24/Cc_M_20-112_BOM_1975-11-24_You_Can%27t_Demand_Peace.mp3" TargetMode="External"/><Relationship Id="rId5355" Type="http://schemas.openxmlformats.org/officeDocument/2006/relationships/hyperlink" Target="https://audio.iskcondesiretree.com/01_-_Srila_Prabhupada/01_-_Lectures/01_-_English/02_-_Month_wise/10_-_October/29/SB_5-05-07_VRN_1976-10-29_Fully_Extended_Self-Interest.mp3" TargetMode="External"/><Relationship Id="rId284" Type="http://schemas.openxmlformats.org/officeDocument/2006/relationships/hyperlink" Target="https://audio.iskcondesiretree.com/01_-_Srila_Prabhupada/01_-_Lectures/01_-_English/01_-_Topic_wise/Festivals/SP_Festivals_Seattle_1968-10-21_Disappearance_of_Keshava_Maharaja.mp3" TargetMode="External"/><Relationship Id="rId4024" Type="http://schemas.openxmlformats.org/officeDocument/2006/relationships/hyperlink" Target="https://audio.iskcondesiretree.com/01_-_Srila_Prabhupada/01_-_Lectures/01_-_English/02_-_Month_wise/11_-_November/24/Walk_1975-11-24_MW-BOMBAY.MP3" TargetMode="External"/><Relationship Id="rId5352" Type="http://schemas.openxmlformats.org/officeDocument/2006/relationships/hyperlink" Target="https://audio.iskcondesiretree.com/01_-_Srila_Prabhupada/01_-_Lectures/01_-_English/02_-_Month_wise/10_-_October/28/SB_5-05-06_VRN_1976-10-28_Civilization_-_Degradation.mp3" TargetMode="External"/><Relationship Id="rId283" Type="http://schemas.openxmlformats.org/officeDocument/2006/relationships/hyperlink" Target="https://audio.iskcondesiretree.com/01_-_Srila_Prabhupada/01_-_Lectures/01_-_English/02_-_Month_wise/10_-_October/20/Lect_SEA_1968-10-20_To_Students-From_Tiger_to_Rat.mp3" TargetMode="External"/><Relationship Id="rId4023" Type="http://schemas.openxmlformats.org/officeDocument/2006/relationships/hyperlink" Target="https://audio.iskcondesiretree.com/01_-_Srila_Prabhupada/01_-_Lectures/01_-_English/02_-_Month_wise/11_-_November/24/MW_BOM_1975-11-24_No_Rain-Chant.mp3" TargetMode="External"/><Relationship Id="rId5353" Type="http://schemas.openxmlformats.org/officeDocument/2006/relationships/hyperlink" Target="https://audio.iskcondesiretree.com/01_-_Srila_Prabhupada/01_-_Lectures/01_-_English/01_-_Topic_wise/Srimad_Bhagavatam/Canto-05/SP_SB_5-05-07_Vrindavan_1976-10-29_Fully_Extended_Self-Interest.mp3" TargetMode="External"/><Relationship Id="rId4026" Type="http://schemas.openxmlformats.org/officeDocument/2006/relationships/hyperlink" Target="https://audio.iskcondesiretree.com/01_-_Srila_Prabhupada/01_-_Lectures/01_-_English/01_-_Topic_wise/Morning_Walk/SP_Morning_Walk_-_Delhi_1975-11-26_Other_Religious_Systems_Have_No_Knowledge.mp3" TargetMode="External"/><Relationship Id="rId5358" Type="http://schemas.openxmlformats.org/officeDocument/2006/relationships/hyperlink" Target="https://audio.iskcondesiretree.com/01_-_Srila_Prabhupada/01_-_Lectures/01_-_English/02_-_Month_wise/10_-_October/30/SB_5-05-08_VRN_1976-10-30_Remain_with_Celibacy_and_be_Happy.mp3" TargetMode="External"/><Relationship Id="rId289" Type="http://schemas.openxmlformats.org/officeDocument/2006/relationships/hyperlink" Target="https://audio.iskcondesiretree.com/01_-_Srila_Prabhupada/01_-_Lectures/01_-_English/02_-_Month_wise/10_-_October/23/SB_2-01-02_MON_1968-10-23_Leer_and_Fear_or_Hear.mp3" TargetMode="External"/><Relationship Id="rId4025" Type="http://schemas.openxmlformats.org/officeDocument/2006/relationships/hyperlink" Target="https://audio.iskcondesiretree.com/01_-_Srila_Prabhupada/01_-_Lectures/01_-_English/02_-_Month_wise/11_-_November/25/Conv_1975-11-25_R1-DELHI.MP3" TargetMode="External"/><Relationship Id="rId5359" Type="http://schemas.openxmlformats.org/officeDocument/2006/relationships/hyperlink" Target="https://audio.iskcondesiretree.com/01_-_Srila_Prabhupada/01_-_Lectures/01_-_English/01_-_Topic_wise/Srimad_Bhagavatam/Canto-05/SP_SB_5-05-09_Vrindavan_1976-10-31_Being_with_Krishna_Is_Fact.mp3" TargetMode="External"/><Relationship Id="rId288" Type="http://schemas.openxmlformats.org/officeDocument/2006/relationships/hyperlink" Target="https://audio.iskcondesiretree.com/01_-_Srila_Prabhupada/01_-_Lectures/01_-_English/01_-_Topic_wise/Srimad_Bhagavatam/Canto-02/SP_SB_2-01-02_Montreal_1968-10-23_Leer_and_Fear...or_Hear.mp3" TargetMode="External"/><Relationship Id="rId4028" Type="http://schemas.openxmlformats.org/officeDocument/2006/relationships/hyperlink" Target="https://audio.iskcondesiretree.com/01_-_Srila_Prabhupada/01_-_Lectures/01_-_English/02_-_Month_wise/11_-_November/26/Walk_1975-11-26_MW-DELHI.MP3" TargetMode="External"/><Relationship Id="rId5356" Type="http://schemas.openxmlformats.org/officeDocument/2006/relationships/hyperlink" Target="https://audio.iskcondesiretree.com/01_-_Srila_Prabhupada/01_-_Lectures/01_-_English/01_-_Topic_wise/Srimad_Bhagavatam/Canto-05/SP_SB_5-05-08_Vrindavan_1976-10-30_Remain_with_Celibacy_and_be_Happy.mp3" TargetMode="External"/><Relationship Id="rId287" Type="http://schemas.openxmlformats.org/officeDocument/2006/relationships/hyperlink" Target="https://audio.iskcondesiretree.com/01_-_Srila_Prabhupada/01_-_Lectures/01_-_English/02_-_Month_wise/10_-_October/21/SB_7-09-08_SEA_1968-10-21_Nobody_Can_Exist_Without_God.mp3" TargetMode="External"/><Relationship Id="rId4027" Type="http://schemas.openxmlformats.org/officeDocument/2006/relationships/hyperlink" Target="https://audio.iskcondesiretree.com/01_-_Srila_Prabhupada/01_-_Lectures/01_-_English/02_-_Month_wise/11_-_November/26/MW_DEL_1975-11-26_Other_Religious_Systems_Have_No_Knowledge.mp3" TargetMode="External"/><Relationship Id="rId5357" Type="http://schemas.openxmlformats.org/officeDocument/2006/relationships/hyperlink" Target="https://audio.iskcondesiretree.com/01_-_Srila_Prabhupada/01_-_Lectures/01_-_English/02_-_Month_wise/10_-_October/30/SB-05-05-08_1976-10-30_SB-VRNDAVAN.MP3" TargetMode="External"/><Relationship Id="rId4019" Type="http://schemas.openxmlformats.org/officeDocument/2006/relationships/hyperlink" Target="https://audio.iskcondesiretree.com/01_-_Srila_Prabhupada/01_-_Lectures/01_-_English/01_-_Topic_wise/Chaitanya_Charitamrita/Madhya_Lila/SP_CC_M_20-112_Bombay_1975-11-24_You_Can%27t_Demand_Peace.mp3" TargetMode="External"/><Relationship Id="rId4018" Type="http://schemas.openxmlformats.org/officeDocument/2006/relationships/hyperlink" Target="https://audio.iskcondesiretree.com/01_-_Srila_Prabhupada/01_-_Lectures/01_-_English/02_-_Month_wise/11_-_November/21/Walk_1975-11-21_MW-BOMBAY.MP3" TargetMode="External"/><Relationship Id="rId5349" Type="http://schemas.openxmlformats.org/officeDocument/2006/relationships/hyperlink" Target="https://audio.iskcondesiretree.com/01_-_Srila_Prabhupada/01_-_Lectures/01_-_English/02_-_Month_wise/10_-_October/27/SB-05-05-05_1976-10-27_SB-VRNDAVAN.MP3" TargetMode="External"/><Relationship Id="rId282" Type="http://schemas.openxmlformats.org/officeDocument/2006/relationships/hyperlink" Target="https://audio.iskcondesiretree.com/01_-_Srila_Prabhupada/01_-_Lectures/01_-_English/02_-_Month_wise/10_-_October/20/Lect_SEA_1968-10-20_Initiation-On_the_Maha-Mantra.mp3" TargetMode="External"/><Relationship Id="rId281" Type="http://schemas.openxmlformats.org/officeDocument/2006/relationships/hyperlink" Target="https://audio.iskcondesiretree.com/01_-_Srila_Prabhupada/01_-_Lectures/01_-_English/02_-_Month_wise/10_-_October/20/Lect_SEA_1968-10-20_Initiation-Counteract_Age_of_Quarrel.mp3" TargetMode="External"/><Relationship Id="rId280" Type="http://schemas.openxmlformats.org/officeDocument/2006/relationships/hyperlink" Target="https://audio.iskcondesiretree.com/01_-_Srila_Prabhupada/01_-_Lectures/01_-_English/01_-_Topic_wise/Various/SP_Lecture_Seattle_1968-10-20_To_Students--From_Tiger_to_Rat.mp3" TargetMode="External"/><Relationship Id="rId5340" Type="http://schemas.openxmlformats.org/officeDocument/2006/relationships/hyperlink" Target="https://audio.iskcondesiretree.com/01_-_Srila_Prabhupada/01_-_Lectures/01_-_English/02_-_Month_wise/10_-_October/18/Bg-13-08%E2%80%9312%E2%80%93Hindi_1976-10-18_BG-CHANDIGARH.MP3" TargetMode="External"/><Relationship Id="rId275" Type="http://schemas.openxmlformats.org/officeDocument/2006/relationships/hyperlink" Target="https://audio.iskcondesiretree.com/01_-_Srila_Prabhupada/01_-_Lectures/01_-_English/02_-_Month_wise/10_-_October/07/Lect_SEA_1968-10-07_It_is_Very_Pleasant_to_Become_a_etc.mp3" TargetMode="External"/><Relationship Id="rId4011" Type="http://schemas.openxmlformats.org/officeDocument/2006/relationships/hyperlink" Target="https://audio.iskcondesiretree.com/01_-_Srila_Prabhupada/01_-_Lectures/01_-_English/02_-_Month_wise/11_-_November/19/MW_BOM_1975-11-19_Everyone_Knows_Your_Philosophy.mp3" TargetMode="External"/><Relationship Id="rId5343" Type="http://schemas.openxmlformats.org/officeDocument/2006/relationships/hyperlink" Target="https://audio.iskcondesiretree.com/01_-_Srila_Prabhupada/01_-_Lectures/01_-_English/02_-_Month_wise/10_-_October/23/SB-05-05-01_1976-10-23_SB-VRNDAVAN.MP3" TargetMode="External"/><Relationship Id="rId274" Type="http://schemas.openxmlformats.org/officeDocument/2006/relationships/hyperlink" Target="https://audio.iskcondesiretree.com/01_-_Srila_Prabhupada/01_-_Lectures/01_-_English/01_-_Topic_wise/Various/SP_Lecture_Seattle_1968-10-07_It_is_Very_Pleasant_to_Become_a--etc.mp3" TargetMode="External"/><Relationship Id="rId4010" Type="http://schemas.openxmlformats.org/officeDocument/2006/relationships/hyperlink" Target="https://audio.iskcondesiretree.com/01_-_Srila_Prabhupada/01_-_Lectures/01_-_English/01_-_Topic_wise/Morning_Walk/SP_Morning_Walk_-_Bombay_1975-11-19_Everyone_Knows_Your_Philosophy.mp3" TargetMode="External"/><Relationship Id="rId5344" Type="http://schemas.openxmlformats.org/officeDocument/2006/relationships/hyperlink" Target="https://audio.iskcondesiretree.com/01_-_Srila_Prabhupada/01_-_Lectures/01_-_English/02_-_Month_wise/10_-_October/23/SB_5-05-01_VRN_1976-10-23_Real_Austerity.mp3" TargetMode="External"/><Relationship Id="rId273" Type="http://schemas.openxmlformats.org/officeDocument/2006/relationships/hyperlink" Target="https://audio.iskcondesiretree.com/01_-_Srila_Prabhupada/01_-_Lectures/01_-_English/02_-_Month_wise/10_-_October/04/Lect_SEA_1968-10-04_If_You_Know_Krishna%2C_You_Know_Everything.mp3" TargetMode="External"/><Relationship Id="rId4013" Type="http://schemas.openxmlformats.org/officeDocument/2006/relationships/hyperlink" Target="https://audio.iskcondesiretree.com/01_-_Srila_Prabhupada/01_-_Lectures/01_-_English/01_-_Topic_wise/Morning_Walk/SP_Morning_Walk_-_Bombay_1975-11-20_Christ_Survived_the_Cross.mp3" TargetMode="External"/><Relationship Id="rId5341" Type="http://schemas.openxmlformats.org/officeDocument/2006/relationships/hyperlink" Target="https://audio.iskcondesiretree.com/01_-_Srila_Prabhupada/01_-_Lectures/01_-_English/02_-_Month_wise/10_-_October/22/SB-05-05-01_1976-10-22_SB-VRNDAVAN.MP3" TargetMode="External"/><Relationship Id="rId272" Type="http://schemas.openxmlformats.org/officeDocument/2006/relationships/hyperlink" Target="https://audio.iskcondesiretree.com/01_-_Srila_Prabhupada/01_-_Lectures/01_-_English/01_-_Topic_wise/Various/SP_Lecture_Seattle_1968-10-04_If_You_Know_Krishna_You_Know_Everything.mp3" TargetMode="External"/><Relationship Id="rId4012" Type="http://schemas.openxmlformats.org/officeDocument/2006/relationships/hyperlink" Target="https://audio.iskcondesiretree.com/01_-_Srila_Prabhupada/01_-_Lectures/01_-_English/02_-_Month_wise/11_-_November/19/Walk_1975-11-19_MW-BOMBAY.MP3" TargetMode="External"/><Relationship Id="rId5342" Type="http://schemas.openxmlformats.org/officeDocument/2006/relationships/hyperlink" Target="https://audio.iskcondesiretree.com/01_-_Srila_Prabhupada/01_-_Lectures/01_-_English/01_-_Topic_wise/Srimad_Bhagavatam/Canto-05/SP_SB_5-05-01_Vrindavan_1976-10-23_Real_Austerity.mp3" TargetMode="External"/><Relationship Id="rId279" Type="http://schemas.openxmlformats.org/officeDocument/2006/relationships/hyperlink" Target="https://audio.iskcondesiretree.com/01_-_Srila_Prabhupada/01_-_Lectures/01_-_English/01_-_Topic_wise/Various/SP_Lecture_Seattle_1968-10-20_Initiation--On_the_Maha-Mantra.mp3" TargetMode="External"/><Relationship Id="rId4015" Type="http://schemas.openxmlformats.org/officeDocument/2006/relationships/hyperlink" Target="https://audio.iskcondesiretree.com/01_-_Srila_Prabhupada/01_-_Lectures/01_-_English/02_-_Month_wise/11_-_November/20/Walk_1975-11-20_MW-BOMBAY.MP3" TargetMode="External"/><Relationship Id="rId5347" Type="http://schemas.openxmlformats.org/officeDocument/2006/relationships/hyperlink" Target="https://audio.iskcondesiretree.com/01_-_Srila_Prabhupada/01_-_Lectures/01_-_English/02_-_Month_wise/10_-_October/26/Conv_1976-10-26_R1-VRNDAVAN.MP3" TargetMode="External"/><Relationship Id="rId278" Type="http://schemas.openxmlformats.org/officeDocument/2006/relationships/hyperlink" Target="https://audio.iskcondesiretree.com/01_-_Srila_Prabhupada/01_-_Lectures/01_-_English/01_-_Topic_wise/Various/SP_Lecture_Seattle_1968-10-20_Initiation--Counteract_Age_of_Quarrel.mp3" TargetMode="External"/><Relationship Id="rId4014" Type="http://schemas.openxmlformats.org/officeDocument/2006/relationships/hyperlink" Target="https://audio.iskcondesiretree.com/01_-_Srila_Prabhupada/01_-_Lectures/01_-_English/02_-_Month_wise/11_-_November/20/MW_BOM_1975-11-20_Christ_Survived_the_Cross.mp3" TargetMode="External"/><Relationship Id="rId5348" Type="http://schemas.openxmlformats.org/officeDocument/2006/relationships/hyperlink" Target="https://audio.iskcondesiretree.com/01_-_Srila_Prabhupada/01_-_Lectures/01_-_English/02_-_Month_wise/10_-_October/26/SB-05-05-04_1976-10-26_SB-VRNDAVAN.MP3" TargetMode="External"/><Relationship Id="rId277" Type="http://schemas.openxmlformats.org/officeDocument/2006/relationships/hyperlink" Target="https://audio.iskcondesiretree.com/01_-_Srila_Prabhupada/01_-_Lectures/01_-_English/02_-_Month_wise/10_-_October/18/Lect_SEA_1968-10-18_Transcendental_Television.mp3" TargetMode="External"/><Relationship Id="rId4017" Type="http://schemas.openxmlformats.org/officeDocument/2006/relationships/hyperlink" Target="https://audio.iskcondesiretree.com/01_-_Srila_Prabhupada/01_-_Lectures/01_-_English/02_-_Month_wise/11_-_November/21/MW_BOM_1975-11-21_Aryan_Blood-A_Misnomer.mp3" TargetMode="External"/><Relationship Id="rId5345" Type="http://schemas.openxmlformats.org/officeDocument/2006/relationships/hyperlink" Target="https://audio.iskcondesiretree.com/01_-_Srila_Prabhupada/01_-_Lectures/01_-_English/02_-_Month_wise/10_-_October/24/SB-05-05-02_1976-10-24_SB-VRNDAVAN.MP3" TargetMode="External"/><Relationship Id="rId276" Type="http://schemas.openxmlformats.org/officeDocument/2006/relationships/hyperlink" Target="https://audio.iskcondesiretree.com/01_-_Srila_Prabhupada/01_-_Lectures/01_-_English/01_-_Topic_wise/Various/SP_Lecture_Seattle_1968-10-18_Transcendental_Television.mp3" TargetMode="External"/><Relationship Id="rId4016" Type="http://schemas.openxmlformats.org/officeDocument/2006/relationships/hyperlink" Target="https://audio.iskcondesiretree.com/01_-_Srila_Prabhupada/01_-_Lectures/01_-_English/01_-_Topic_wise/Morning_Walk/SP_Morning_Walk_-_Bombay_1975-11-21_Aryan_Blood-A_Misnomer.mp3" TargetMode="External"/><Relationship Id="rId5346" Type="http://schemas.openxmlformats.org/officeDocument/2006/relationships/hyperlink" Target="https://audio.iskcondesiretree.com/01_-_Srila_Prabhupada/01_-_Lectures/01_-_English/02_-_Month_wise/10_-_October/25/SB-05-05-03_1976-10-25_SB-VRNDAVAN.MP3" TargetMode="External"/><Relationship Id="rId1851" Type="http://schemas.openxmlformats.org/officeDocument/2006/relationships/hyperlink" Target="https://audio.iskcondesiretree.com/01_-_Srila_Prabhupada/01_-_Lectures/01_-_English/02_-_Month_wise/04_-_April/10/Bg-04-21_1974-04-10_BG-BOMBAY.MP3" TargetMode="External"/><Relationship Id="rId1852" Type="http://schemas.openxmlformats.org/officeDocument/2006/relationships/hyperlink" Target="https://audio.iskcondesiretree.com/01_-_Srila_Prabhupada/01_-_Lectures/01_-_English/02_-_Month_wise/04_-_April/10/Bg_04-21_BOM_1974-04-10_A_Life_of_Purity.mp3" TargetMode="External"/><Relationship Id="rId1853" Type="http://schemas.openxmlformats.org/officeDocument/2006/relationships/hyperlink" Target="https://audio.iskcondesiretree.com/01_-_Srila_Prabhupada/01_-_Lectures/01_-_English/02_-_Month_wise/04_-_April/10/MW_BOM_1974-04-10_Our_Business_is_to_Point_Out_Who_Is_etc.mp3" TargetMode="External"/><Relationship Id="rId1854" Type="http://schemas.openxmlformats.org/officeDocument/2006/relationships/hyperlink" Target="https://audio.iskcondesiretree.com/01_-_Srila_Prabhupada/01_-_Lectures/01_-_English/02_-_Month_wise/04_-_April/10/Walk_1974-04-10_MW-BOMBAY.MP3" TargetMode="External"/><Relationship Id="rId1855" Type="http://schemas.openxmlformats.org/officeDocument/2006/relationships/hyperlink" Target="https://audio.iskcondesiretree.com/01_-_Srila_Prabhupada/01_-_Lectures/01_-_English/01_-_Topic_wise/Bhagavad_Gita/Chapter-04/SP_BG_04-22_Bombay_1974-04-11_Envious_Gross-bodily_Religions.mp3" TargetMode="External"/><Relationship Id="rId1856" Type="http://schemas.openxmlformats.org/officeDocument/2006/relationships/hyperlink" Target="https://audio.iskcondesiretree.com/01_-_Srila_Prabhupada/01_-_Lectures/01_-_English/01_-_Topic_wise/Morning_Walk/SP_Morning_Walk_-_Bombay_1974-04-11.mp3" TargetMode="External"/><Relationship Id="rId1857" Type="http://schemas.openxmlformats.org/officeDocument/2006/relationships/hyperlink" Target="https://audio.iskcondesiretree.com/01_-_Srila_Prabhupada/01_-_Lectures/01_-_English/02_-_Month_wise/04_-_April/11/Bg-04-22_1974-04-11_BG-BOMBAY.MP3" TargetMode="External"/><Relationship Id="rId1858" Type="http://schemas.openxmlformats.org/officeDocument/2006/relationships/hyperlink" Target="https://audio.iskcondesiretree.com/01_-_Srila_Prabhupada/01_-_Lectures/01_-_English/02_-_Month_wise/04_-_April/11/Bg_04-22_BOM_1974-04-11_Envious%2C_Gross-bodily_Religions.mp3" TargetMode="External"/><Relationship Id="rId1859" Type="http://schemas.openxmlformats.org/officeDocument/2006/relationships/hyperlink" Target="https://audio.iskcondesiretree.com/01_-_Srila_Prabhupada/01_-_Lectures/01_-_English/02_-_Month_wise/04_-_April/11/Walk_1974-04-11_MW-BOMBAY.MP3" TargetMode="External"/><Relationship Id="rId1850" Type="http://schemas.openxmlformats.org/officeDocument/2006/relationships/hyperlink" Target="https://audio.iskcondesiretree.com/01_-_Srila_Prabhupada/01_-_Lectures/01_-_English/01_-_Topic_wise/Morning_Walk/SP_Morning_Walk_-_Bombay_1974-04-10_Our_Business_is_to_Point_Out_Who_Is--etc.mp3" TargetMode="External"/><Relationship Id="rId1840" Type="http://schemas.openxmlformats.org/officeDocument/2006/relationships/hyperlink" Target="https://audio.iskcondesiretree.com/01_-_Srila_Prabhupada/01_-_Lectures/01_-_English/01_-_Topic_wise/Bhagavad_Gita/Chapter-04/SP_BG_04-19_Bombay_1974-04-08_Material_Life-Lusty_Desires.mp3" TargetMode="External"/><Relationship Id="rId1841" Type="http://schemas.openxmlformats.org/officeDocument/2006/relationships/hyperlink" Target="https://audio.iskcondesiretree.com/01_-_Srila_Prabhupada/01_-_Lectures/01_-_English/01_-_Topic_wise/Morning_Walk/SP_Morning_Walk_-_Bombay_1974-04-08_All_Philosophies_Are_Mayavadi.mp3" TargetMode="External"/><Relationship Id="rId1842" Type="http://schemas.openxmlformats.org/officeDocument/2006/relationships/hyperlink" Target="https://audio.iskcondesiretree.com/01_-_Srila_Prabhupada/01_-_Lectures/01_-_English/02_-_Month_wise/04_-_April/08/Bg-04-19_1974-04-08_BG-BOMBAY.MP3" TargetMode="External"/><Relationship Id="rId1843" Type="http://schemas.openxmlformats.org/officeDocument/2006/relationships/hyperlink" Target="https://audio.iskcondesiretree.com/01_-_Srila_Prabhupada/01_-_Lectures/01_-_English/02_-_Month_wise/04_-_April/08/Bg_04-19_BOM_1974-04-08_Material_Life_Lusty_Desires.mp3" TargetMode="External"/><Relationship Id="rId1844" Type="http://schemas.openxmlformats.org/officeDocument/2006/relationships/hyperlink" Target="https://audio.iskcondesiretree.com/01_-_Srila_Prabhupada/01_-_Lectures/01_-_English/02_-_Month_wise/04_-_April/08/MW_BOM_1974-04-08_All_Philosophies_Are_Mayavadi.mp3" TargetMode="External"/><Relationship Id="rId1845" Type="http://schemas.openxmlformats.org/officeDocument/2006/relationships/hyperlink" Target="https://audio.iskcondesiretree.com/01_-_Srila_Prabhupada/01_-_Lectures/01_-_English/02_-_Month_wise/04_-_April/08/Walk_1974-04-08_MW-BOMBAY.MP3" TargetMode="External"/><Relationship Id="rId1846" Type="http://schemas.openxmlformats.org/officeDocument/2006/relationships/hyperlink" Target="https://audio.iskcondesiretree.com/01_-_Srila_Prabhupada/01_-_Lectures/01_-_English/01_-_Topic_wise/Bhagavad_Gita/Chapter-04/SP_BG_04-20_Bombay_1974-04-09_Mundane_and_Divine_Dividends.mp3" TargetMode="External"/><Relationship Id="rId1847" Type="http://schemas.openxmlformats.org/officeDocument/2006/relationships/hyperlink" Target="https://audio.iskcondesiretree.com/01_-_Srila_Prabhupada/01_-_Lectures/01_-_English/02_-_Month_wise/04_-_April/09/Bg-04-20_1974-04-09_BG-BOMBAY.MP3" TargetMode="External"/><Relationship Id="rId1848" Type="http://schemas.openxmlformats.org/officeDocument/2006/relationships/hyperlink" Target="https://audio.iskcondesiretree.com/01_-_Srila_Prabhupada/01_-_Lectures/01_-_English/02_-_Month_wise/04_-_April/09/Bg_04-20_BOM_1974-04-09_Mundane_and_Divine_Dividends.mp3" TargetMode="External"/><Relationship Id="rId1849" Type="http://schemas.openxmlformats.org/officeDocument/2006/relationships/hyperlink" Target="https://audio.iskcondesiretree.com/01_-_Srila_Prabhupada/01_-_Lectures/01_-_English/01_-_Topic_wise/Bhagavad_Gita/Chapter-04/SP_BG_04-21_Bombay_1974-04-10_A_Life_of_Purity.mp3" TargetMode="External"/><Relationship Id="rId1873" Type="http://schemas.openxmlformats.org/officeDocument/2006/relationships/hyperlink" Target="https://audio.iskcondesiretree.com/01_-_Srila_Prabhupada/01_-_Lectures/01_-_English/02_-_Month_wise/04_-_April/14/Walk_1974-04-14_MW-BOMBAY.MP3" TargetMode="External"/><Relationship Id="rId1874" Type="http://schemas.openxmlformats.org/officeDocument/2006/relationships/hyperlink" Target="https://audio.iskcondesiretree.com/01_-_Srila_Prabhupada/01_-_Lectures/01_-_English/01_-_Topic_wise/Bhagavad_Gita/Chapter-04/SP_BG_04-26_Bombay_1974-04-15_Attracted_by_Spiritual_Affairs.mp3" TargetMode="External"/><Relationship Id="rId1875" Type="http://schemas.openxmlformats.org/officeDocument/2006/relationships/hyperlink" Target="https://audio.iskcondesiretree.com/01_-_Srila_Prabhupada/01_-_Lectures/01_-_English/02_-_Month_wise/04_-_April/15/Bg-04-26_1974-04-15_BG-BOMBAY.MP3" TargetMode="External"/><Relationship Id="rId1876" Type="http://schemas.openxmlformats.org/officeDocument/2006/relationships/hyperlink" Target="https://audio.iskcondesiretree.com/01_-_Srila_Prabhupada/01_-_Lectures/01_-_English/02_-_Month_wise/04_-_April/15/Bg_04-26_BOM_1974-04-15_Attracted_by_Spiritual_Affairs.mp3" TargetMode="External"/><Relationship Id="rId1877" Type="http://schemas.openxmlformats.org/officeDocument/2006/relationships/hyperlink" Target="https://audio.iskcondesiretree.com/01_-_Srila_Prabhupada/01_-_Lectures/01_-_English/01_-_Topic_wise/Bhagavad_Gita/Chapter-04/SP_BG_04-27_Bombay_1974-04-16_Learning_to_Satisfy_the_Right_Senses.mp3" TargetMode="External"/><Relationship Id="rId1878" Type="http://schemas.openxmlformats.org/officeDocument/2006/relationships/hyperlink" Target="https://audio.iskcondesiretree.com/01_-_Srila_Prabhupada/01_-_Lectures/01_-_English/01_-_Topic_wise/Morning_Walk/SP_Morning_Walk_-_Bombay_1974-04-16.mp3" TargetMode="External"/><Relationship Id="rId1879" Type="http://schemas.openxmlformats.org/officeDocument/2006/relationships/hyperlink" Target="https://audio.iskcondesiretree.com/01_-_Srila_Prabhupada/01_-_Lectures/01_-_English/02_-_Month_wise/04_-_April/16/Bg-04-27_1974-04-16_BG-BOMBAY.MP3" TargetMode="External"/><Relationship Id="rId1870" Type="http://schemas.openxmlformats.org/officeDocument/2006/relationships/hyperlink" Target="https://audio.iskcondesiretree.com/01_-_Srila_Prabhupada/01_-_Lectures/01_-_English/01_-_Topic_wise/Bhagavad_Gita/Chapter-04/SP_BG_04-25_Bombay_1974-04-14.mp3" TargetMode="External"/><Relationship Id="rId1871" Type="http://schemas.openxmlformats.org/officeDocument/2006/relationships/hyperlink" Target="https://audio.iskcondesiretree.com/01_-_Srila_Prabhupada/01_-_Lectures/01_-_English/01_-_Topic_wise/Morning_Walk/SP_Morning_Walk_-_Bombay_1974-04-14.mp3" TargetMode="External"/><Relationship Id="rId1872" Type="http://schemas.openxmlformats.org/officeDocument/2006/relationships/hyperlink" Target="https://audio.iskcondesiretree.com/01_-_Srila_Prabhupada/01_-_Lectures/01_-_English/02_-_Month_wise/04_-_April/14/Bg-04-25_1974-04-14_BG-BOMBAY.MP3" TargetMode="External"/><Relationship Id="rId1862" Type="http://schemas.openxmlformats.org/officeDocument/2006/relationships/hyperlink" Target="https://audio.iskcondesiretree.com/01_-_Srila_Prabhupada/01_-_Lectures/01_-_English/02_-_Month_wise/04_-_April/12/Bg-04-23_1974-04-12_BG-BOMBAY.MP3" TargetMode="External"/><Relationship Id="rId1863" Type="http://schemas.openxmlformats.org/officeDocument/2006/relationships/hyperlink" Target="https://audio.iskcondesiretree.com/01_-_Srila_Prabhupada/01_-_Lectures/01_-_English/02_-_Month_wise/04_-_April/12/Bg_04-23_BOM_1974-04-12_Liberation_Guaranteed.mp3" TargetMode="External"/><Relationship Id="rId1864" Type="http://schemas.openxmlformats.org/officeDocument/2006/relationships/hyperlink" Target="https://audio.iskcondesiretree.com/01_-_Srila_Prabhupada/01_-_Lectures/01_-_English/02_-_Month_wise/04_-_April/12/Walk_1974-04-12_MW-BOMBAY.MP3" TargetMode="External"/><Relationship Id="rId1865" Type="http://schemas.openxmlformats.org/officeDocument/2006/relationships/hyperlink" Target="https://audio.iskcondesiretree.com/01_-_Srila_Prabhupada/01_-_Lectures/01_-_English/01_-_Topic_wise/Bhagavad_Gita/Chapter-04/SP_BG_04-24_Bombay_1974-04-13_You_Can%27t_Separate_Anything.mp3" TargetMode="External"/><Relationship Id="rId1866" Type="http://schemas.openxmlformats.org/officeDocument/2006/relationships/hyperlink" Target="https://audio.iskcondesiretree.com/01_-_Srila_Prabhupada/01_-_Lectures/01_-_English/01_-_Topic_wise/Morning_Walk/SP_Morning_Walk_-_Bombay_1974-04-13.mp3" TargetMode="External"/><Relationship Id="rId1867" Type="http://schemas.openxmlformats.org/officeDocument/2006/relationships/hyperlink" Target="https://audio.iskcondesiretree.com/01_-_Srila_Prabhupada/01_-_Lectures/01_-_English/02_-_Month_wise/04_-_April/13/Bg-04-24_1974-04-13_BG-BOMBAY.MP3" TargetMode="External"/><Relationship Id="rId1868" Type="http://schemas.openxmlformats.org/officeDocument/2006/relationships/hyperlink" Target="https://audio.iskcondesiretree.com/01_-_Srila_Prabhupada/01_-_Lectures/01_-_English/02_-_Month_wise/04_-_April/13/Bg_04-24_BOM_1974-04-13_You_Can%27t_Separate_Anything.mp3" TargetMode="External"/><Relationship Id="rId1869" Type="http://schemas.openxmlformats.org/officeDocument/2006/relationships/hyperlink" Target="https://audio.iskcondesiretree.com/01_-_Srila_Prabhupada/01_-_Lectures/01_-_English/02_-_Month_wise/04_-_April/13/Walk_1974-04-13_MW-BOMBAY.MP3" TargetMode="External"/><Relationship Id="rId1860" Type="http://schemas.openxmlformats.org/officeDocument/2006/relationships/hyperlink" Target="https://audio.iskcondesiretree.com/01_-_Srila_Prabhupada/01_-_Lectures/01_-_English/01_-_Topic_wise/Bhagavad_Gita/Chapter-04/SP_BG_04-23_Bombay_1974-04-12_Liberation_Guaranteed.mp3" TargetMode="External"/><Relationship Id="rId1861" Type="http://schemas.openxmlformats.org/officeDocument/2006/relationships/hyperlink" Target="https://audio.iskcondesiretree.com/01_-_Srila_Prabhupada/01_-_Lectures/01_-_English/01_-_Topic_wise/Morning_Walk/SP_Morning_Walk_-_Bombay_1974-04-12.mp3" TargetMode="External"/><Relationship Id="rId1810" Type="http://schemas.openxmlformats.org/officeDocument/2006/relationships/hyperlink" Target="https://audio.iskcondesiretree.com/01_-_Srila_Prabhupada/01_-_Lectures/01_-_English/02_-_Month_wise/04_-_April/02/Walk_1974-04-02_MW-BOMBAY.MP3" TargetMode="External"/><Relationship Id="rId1811" Type="http://schemas.openxmlformats.org/officeDocument/2006/relationships/hyperlink" Target="https://audio.iskcondesiretree.com/01_-_Srila_Prabhupada/01_-_Lectures/01_-_English/01_-_Topic_wise/Bhagavad_Gita/Chapter-04/SP_BG_04-14_Bombay_1974-04-03_Liberated_By_Understanding--etc.mp3" TargetMode="External"/><Relationship Id="rId1812" Type="http://schemas.openxmlformats.org/officeDocument/2006/relationships/hyperlink" Target="https://audio.iskcondesiretree.com/01_-_Srila_Prabhupada/01_-_Lectures/01_-_English/01_-_Topic_wise/Morning_Walk/SP_Morning_Walk_-_Bombay_1974-04-03_Brahman_is_Impersonal_But--etc.mp3" TargetMode="External"/><Relationship Id="rId1813" Type="http://schemas.openxmlformats.org/officeDocument/2006/relationships/hyperlink" Target="https://audio.iskcondesiretree.com/01_-_Srila_Prabhupada/01_-_Lectures/01_-_English/02_-_Month_wise/04_-_April/03/Bg-04-14_1974-04-03_BG-BOMBAY.MP3" TargetMode="External"/><Relationship Id="rId1814" Type="http://schemas.openxmlformats.org/officeDocument/2006/relationships/hyperlink" Target="https://audio.iskcondesiretree.com/01_-_Srila_Prabhupada/01_-_Lectures/01_-_English/02_-_Month_wise/04_-_April/03/Bg_04-14_BOM_1974-04-03_Liberated_By_Understanding_etc.mp3" TargetMode="External"/><Relationship Id="rId1815" Type="http://schemas.openxmlformats.org/officeDocument/2006/relationships/hyperlink" Target="https://audio.iskcondesiretree.com/01_-_Srila_Prabhupada/01_-_Lectures/01_-_English/02_-_Month_wise/04_-_April/03/MW_BOM_1974-04-03_Brahman_is_Impersonal_But_etc.mp3" TargetMode="External"/><Relationship Id="rId1816" Type="http://schemas.openxmlformats.org/officeDocument/2006/relationships/hyperlink" Target="https://audio.iskcondesiretree.com/01_-_Srila_Prabhupada/01_-_Lectures/01_-_English/02_-_Month_wise/04_-_April/03/Walk_1974-04-03_MW-BOMBAY.MP3" TargetMode="External"/><Relationship Id="rId1817" Type="http://schemas.openxmlformats.org/officeDocument/2006/relationships/hyperlink" Target="https://audio.iskcondesiretree.com/01_-_Srila_Prabhupada/01_-_Lectures/01_-_English/01_-_Topic_wise/Bhagavad_Gita/Chapter-04/SP_BG_04-15_Bombay_1974-04-04.mp3" TargetMode="External"/><Relationship Id="rId1818" Type="http://schemas.openxmlformats.org/officeDocument/2006/relationships/hyperlink" Target="https://audio.iskcondesiretree.com/01_-_Srila_Prabhupada/01_-_Lectures/01_-_English/01_-_Topic_wise/Morning_Walk/SP_Morning_Walk_-_Bombay_1974-04-04_Unlimited_Is_Not_Impersonal.mp3" TargetMode="External"/><Relationship Id="rId1819" Type="http://schemas.openxmlformats.org/officeDocument/2006/relationships/hyperlink" Target="https://audio.iskcondesiretree.com/01_-_Srila_Prabhupada/01_-_Lectures/01_-_English/02_-_Month_wise/04_-_April/04/Bg-04-15_1974-04-04_BG-BOMBAY.MP3" TargetMode="External"/><Relationship Id="rId4080" Type="http://schemas.openxmlformats.org/officeDocument/2006/relationships/hyperlink" Target="https://audio.iskcondesiretree.com/01_-_Srila_Prabhupada/01_-_Lectures/01_-_English/02_-_Month_wise/12_-_December/11/SB_7-06-09_VRN_1975-12-11_Attachment_Education.mp3" TargetMode="External"/><Relationship Id="rId4082" Type="http://schemas.openxmlformats.org/officeDocument/2006/relationships/hyperlink" Target="https://audio.iskcondesiretree.com/01_-_Srila_Prabhupada/01_-_Lectures/01_-_English/01_-_Topic_wise/Morning_Walk/SP_Morning_Walk_-_Vrindavan_1975-12-12_Our_Gross_and_Subtle_Toys.mp3" TargetMode="External"/><Relationship Id="rId4081" Type="http://schemas.openxmlformats.org/officeDocument/2006/relationships/hyperlink" Target="https://audio.iskcondesiretree.com/01_-_Srila_Prabhupada/01_-_Lectures/01_-_English/02_-_Month_wise/12_-_December/11/Walk_1975-12-11_MW-VRNDAVAN.MP3" TargetMode="External"/><Relationship Id="rId4084" Type="http://schemas.openxmlformats.org/officeDocument/2006/relationships/hyperlink" Target="https://audio.iskcondesiretree.com/01_-_Srila_Prabhupada/01_-_Lectures/01_-_English/02_-_Month_wise/12_-_December/12/MW_VRN_1975-12-12_Our_Gross_and_Subtle_Toys.mp3" TargetMode="External"/><Relationship Id="rId4083" Type="http://schemas.openxmlformats.org/officeDocument/2006/relationships/hyperlink" Target="https://audio.iskcondesiretree.com/01_-_Srila_Prabhupada/01_-_Lectures/01_-_English/01_-_Topic_wise/Srimad_Bhagavatam/Canto-07/SP_SB_7-06-10_Vrindavan_1975-12-12_Krishna_and_Non-Krishna_Desires.mp3" TargetMode="External"/><Relationship Id="rId4086" Type="http://schemas.openxmlformats.org/officeDocument/2006/relationships/hyperlink" Target="https://audio.iskcondesiretree.com/01_-_Srila_Prabhupada/01_-_Lectures/01_-_English/02_-_Month_wise/12_-_December/12/SB_7-06-10_VRN_1975-12-12_Krishna_and_Non-Krishna_Desires.mp3" TargetMode="External"/><Relationship Id="rId4085" Type="http://schemas.openxmlformats.org/officeDocument/2006/relationships/hyperlink" Target="https://audio.iskcondesiretree.com/01_-_Srila_Prabhupada/01_-_Lectures/01_-_English/02_-_Month_wise/12_-_December/12/SB-07-06-10_1975-12-12_SB-VRNDAVAN.MP3" TargetMode="External"/><Relationship Id="rId4088" Type="http://schemas.openxmlformats.org/officeDocument/2006/relationships/hyperlink" Target="https://audio.iskcondesiretree.com/01_-_Srila_Prabhupada/01_-_Lectures/01_-_English/01_-_Topic_wise/Morning_Walk/SP_Morning_Walk_-_Delhi_1975-12-14_Happiness_Is_for_Intelligent.mp3" TargetMode="External"/><Relationship Id="rId4087" Type="http://schemas.openxmlformats.org/officeDocument/2006/relationships/hyperlink" Target="https://audio.iskcondesiretree.com/01_-_Srila_Prabhupada/01_-_Lectures/01_-_English/02_-_Month_wise/12_-_December/12/Walk_1975-12-12_MW-VRNDAVAN.MP3" TargetMode="External"/><Relationship Id="rId4089" Type="http://schemas.openxmlformats.org/officeDocument/2006/relationships/hyperlink" Target="https://audio.iskcondesiretree.com/01_-_Srila_Prabhupada/01_-_Lectures/01_-_English/01_-_Topic_wise/Room_Conversation/SP_Room_Conversation_Delhi_1975-12-14_All_Doing_the_Same_Business.mp3" TargetMode="External"/><Relationship Id="rId1800" Type="http://schemas.openxmlformats.org/officeDocument/2006/relationships/hyperlink" Target="https://audio.iskcondesiretree.com/01_-_Srila_Prabhupada/01_-_Lectures/01_-_English/02_-_Month_wise/04_-_April/01/CornerStone_1974-04-01_CS-BOMBAY.MP3" TargetMode="External"/><Relationship Id="rId1801" Type="http://schemas.openxmlformats.org/officeDocument/2006/relationships/hyperlink" Target="https://audio.iskcondesiretree.com/01_-_Srila_Prabhupada/01_-_Lectures/01_-_English/02_-_Month_wise/04_-_April/01/Fest_BOM_1974-04-01_Lord_Rama_Appearance--Maha-mantra_etc.mp3" TargetMode="External"/><Relationship Id="rId1802" Type="http://schemas.openxmlformats.org/officeDocument/2006/relationships/hyperlink" Target="https://audio.iskcondesiretree.com/01_-_Srila_Prabhupada/01_-_Lectures/01_-_English/02_-_Month_wise/04_-_April/01/MW_BOM_1974-04-01_Serve_Krishna_or_Serve_Others.mp3" TargetMode="External"/><Relationship Id="rId1803" Type="http://schemas.openxmlformats.org/officeDocument/2006/relationships/hyperlink" Target="https://audio.iskcondesiretree.com/01_-_Srila_Prabhupada/01_-_Lectures/01_-_English/02_-_Month_wise/04_-_April/01/Ramachandra_Appearance_1974-04-01_BG-BOMBAY.MP3" TargetMode="External"/><Relationship Id="rId1804" Type="http://schemas.openxmlformats.org/officeDocument/2006/relationships/hyperlink" Target="https://audio.iskcondesiretree.com/01_-_Srila_Prabhupada/01_-_Lectures/01_-_English/02_-_Month_wise/04_-_April/01/Walk_1974-04-01_MW-BOMBAY.MP3" TargetMode="External"/><Relationship Id="rId1805" Type="http://schemas.openxmlformats.org/officeDocument/2006/relationships/hyperlink" Target="https://audio.iskcondesiretree.com/01_-_Srila_Prabhupada/01_-_Lectures/01_-_English/01_-_Topic_wise/Bhagavad_Gita/Chapter-04/SP_BG_04-13_Bombay_1974-04-02_Kill_Krishna_Gita_Commentaries.mp3" TargetMode="External"/><Relationship Id="rId1806" Type="http://schemas.openxmlformats.org/officeDocument/2006/relationships/hyperlink" Target="https://audio.iskcondesiretree.com/01_-_Srila_Prabhupada/01_-_Lectures/01_-_English/01_-_Topic_wise/Morning_Walk/SP_Morning_Walk_-_Bombay_1974-04-02_Krishna_Eats_from_Devotee%27s_Hand.mp3" TargetMode="External"/><Relationship Id="rId1807" Type="http://schemas.openxmlformats.org/officeDocument/2006/relationships/hyperlink" Target="https://audio.iskcondesiretree.com/01_-_Srila_Prabhupada/01_-_Lectures/01_-_English/02_-_Month_wise/04_-_April/02/Bg-04-13_1974-04-02_BG-BOMBAY.MP3" TargetMode="External"/><Relationship Id="rId1808" Type="http://schemas.openxmlformats.org/officeDocument/2006/relationships/hyperlink" Target="https://audio.iskcondesiretree.com/01_-_Srila_Prabhupada/01_-_Lectures/01_-_English/02_-_Month_wise/04_-_April/02/Bg_04-13_BOM_1974-04-02_Kill_Krishna_Gita_Commentaries.mp3" TargetMode="External"/><Relationship Id="rId1809" Type="http://schemas.openxmlformats.org/officeDocument/2006/relationships/hyperlink" Target="https://audio.iskcondesiretree.com/01_-_Srila_Prabhupada/01_-_Lectures/01_-_English/02_-_Month_wise/04_-_April/02/MW_BOM_1974-04-02_Krishna_Eats_from_Devotee%27s_Hand.mp3" TargetMode="External"/><Relationship Id="rId4071" Type="http://schemas.openxmlformats.org/officeDocument/2006/relationships/hyperlink" Target="https://audio.iskcondesiretree.com/01_-_Srila_Prabhupada/01_-_Lectures/01_-_English/01_-_Topic_wise/Srimad_Bhagavatam/Canto-07/SP_SB_7-06-08_Vrindavan_1975-12-10_Madras_Attachments_in_a_Bad_Age.mp3" TargetMode="External"/><Relationship Id="rId4070" Type="http://schemas.openxmlformats.org/officeDocument/2006/relationships/hyperlink" Target="https://audio.iskcondesiretree.com/01_-_Srila_Prabhupada/01_-_Lectures/01_-_English/01_-_Topic_wise/Morning_Walk/SP_Morning_Walk_-_Vrindavan_1975-12-10_Why_Doesn%27t_Swamiji_Like_Women.mp3" TargetMode="External"/><Relationship Id="rId4073" Type="http://schemas.openxmlformats.org/officeDocument/2006/relationships/hyperlink" Target="https://audio.iskcondesiretree.com/01_-_Srila_Prabhupada/01_-_Lectures/01_-_English/02_-_Month_wise/12_-_December/10/SB-07-06-08_1975-12-10_SB-VRNDAVAN.MP3" TargetMode="External"/><Relationship Id="rId4072" Type="http://schemas.openxmlformats.org/officeDocument/2006/relationships/hyperlink" Target="https://audio.iskcondesiretree.com/01_-_Srila_Prabhupada/01_-_Lectures/01_-_English/02_-_Month_wise/12_-_December/10/MW_VRN_1975-12-10_Why_Doesn%27t_Swamiji_Like_Women.mp3" TargetMode="External"/><Relationship Id="rId4075" Type="http://schemas.openxmlformats.org/officeDocument/2006/relationships/hyperlink" Target="https://audio.iskcondesiretree.com/01_-_Srila_Prabhupada/01_-_Lectures/01_-_English/02_-_Month_wise/12_-_December/10/Walk_1975-12-10_MW-VRNDAVAN.MP3" TargetMode="External"/><Relationship Id="rId4074" Type="http://schemas.openxmlformats.org/officeDocument/2006/relationships/hyperlink" Target="https://audio.iskcondesiretree.com/01_-_Srila_Prabhupada/01_-_Lectures/01_-_English/02_-_Month_wise/12_-_December/10/SB_7-06-08_VRN_1975-12-10_Mad_Attachments_in_a_Bad_Age.mp3" TargetMode="External"/><Relationship Id="rId4077" Type="http://schemas.openxmlformats.org/officeDocument/2006/relationships/hyperlink" Target="https://audio.iskcondesiretree.com/01_-_Srila_Prabhupada/01_-_Lectures/01_-_English/01_-_Topic_wise/Srimad_Bhagavatam/Canto-07/SP_SB_7-06-09_Vrindavan_1975-12-11_Attachment_Education.mp3" TargetMode="External"/><Relationship Id="rId4076" Type="http://schemas.openxmlformats.org/officeDocument/2006/relationships/hyperlink" Target="https://audio.iskcondesiretree.com/01_-_Srila_Prabhupada/01_-_Lectures/01_-_English/01_-_Topic_wise/Morning_Walk/SP_Morning_Walk_-_Vrindavan_1975-12-11_Knowledge-To_Find_the_Source.mp3" TargetMode="External"/><Relationship Id="rId4079" Type="http://schemas.openxmlformats.org/officeDocument/2006/relationships/hyperlink" Target="https://audio.iskcondesiretree.com/01_-_Srila_Prabhupada/01_-_Lectures/01_-_English/02_-_Month_wise/12_-_December/11/SB-07-06-09_1975-12-11_SB-VRNDAVAN.MP3" TargetMode="External"/><Relationship Id="rId4078" Type="http://schemas.openxmlformats.org/officeDocument/2006/relationships/hyperlink" Target="https://audio.iskcondesiretree.com/01_-_Srila_Prabhupada/01_-_Lectures/01_-_English/02_-_Month_wise/12_-_December/11/MW_VRN_1975-12-11_Knowledge-To_Find_the_Source.mp3" TargetMode="External"/><Relationship Id="rId1830" Type="http://schemas.openxmlformats.org/officeDocument/2006/relationships/hyperlink" Target="https://audio.iskcondesiretree.com/01_-_Srila_Prabhupada/01_-_Lectures/01_-_English/01_-_Topic_wise/Bhagavad_Gita/Chapter-04/SP_BG_04-17_Bombay_1974-04-06_How_to_Act-How_Not_to_Act.mp3" TargetMode="External"/><Relationship Id="rId1831" Type="http://schemas.openxmlformats.org/officeDocument/2006/relationships/hyperlink" Target="https://audio.iskcondesiretree.com/01_-_Srila_Prabhupada/01_-_Lectures/01_-_English/01_-_Topic_wise/Morning_Walk/SP_Morning_Walk_-_Bombay_1974-04-06.mp3" TargetMode="External"/><Relationship Id="rId1832" Type="http://schemas.openxmlformats.org/officeDocument/2006/relationships/hyperlink" Target="https://audio.iskcondesiretree.com/01_-_Srila_Prabhupada/01_-_Lectures/01_-_English/02_-_Month_wise/04_-_April/06/Bg-04-17_1974-04-06_BG-BOMBAY.MP3" TargetMode="External"/><Relationship Id="rId1833" Type="http://schemas.openxmlformats.org/officeDocument/2006/relationships/hyperlink" Target="https://audio.iskcondesiretree.com/01_-_Srila_Prabhupada/01_-_Lectures/01_-_English/02_-_Month_wise/04_-_April/06/Bg_04-17_BOM_1974-04-06_How_to_Act-How_Not_to_Act.mp3" TargetMode="External"/><Relationship Id="rId1834" Type="http://schemas.openxmlformats.org/officeDocument/2006/relationships/hyperlink" Target="https://audio.iskcondesiretree.com/01_-_Srila_Prabhupada/01_-_Lectures/01_-_English/02_-_Month_wise/04_-_April/06/Walk_1974-04-06_MW-BOMBAY.MP3" TargetMode="External"/><Relationship Id="rId1835" Type="http://schemas.openxmlformats.org/officeDocument/2006/relationships/hyperlink" Target="https://audio.iskcondesiretree.com/01_-_Srila_Prabhupada/01_-_Lectures/01_-_English/01_-_Topic_wise/Bhagavad_Gita/Chapter-04/SP_BG_04-18_Bombay_1974-04-07_The_Highest_Success_in_Life.mp3" TargetMode="External"/><Relationship Id="rId1836" Type="http://schemas.openxmlformats.org/officeDocument/2006/relationships/hyperlink" Target="https://audio.iskcondesiretree.com/01_-_Srila_Prabhupada/01_-_Lectures/01_-_English/01_-_Topic_wise/Morning_Walk/SP_Morning_Walk_-_Bombay_1974-04-07.mp3" TargetMode="External"/><Relationship Id="rId1837" Type="http://schemas.openxmlformats.org/officeDocument/2006/relationships/hyperlink" Target="https://audio.iskcondesiretree.com/01_-_Srila_Prabhupada/01_-_Lectures/01_-_English/02_-_Month_wise/04_-_April/07/Bg-04-18_1974-04-07_BG-BOMBAY.MP3" TargetMode="External"/><Relationship Id="rId1838" Type="http://schemas.openxmlformats.org/officeDocument/2006/relationships/hyperlink" Target="https://audio.iskcondesiretree.com/01_-_Srila_Prabhupada/01_-_Lectures/01_-_English/02_-_Month_wise/04_-_April/07/Bg_04-18_BOM_1974-04-07_The_Highest_Success_in_Life.mp3" TargetMode="External"/><Relationship Id="rId1839" Type="http://schemas.openxmlformats.org/officeDocument/2006/relationships/hyperlink" Target="https://audio.iskcondesiretree.com/01_-_Srila_Prabhupada/01_-_Lectures/01_-_English/02_-_Month_wise/04_-_April/07/Walk_1974-04-07_MW-BOMBAY.MP3" TargetMode="External"/><Relationship Id="rId1820" Type="http://schemas.openxmlformats.org/officeDocument/2006/relationships/hyperlink" Target="https://audio.iskcondesiretree.com/01_-_Srila_Prabhupada/01_-_Lectures/01_-_English/02_-_Month_wise/04_-_April/04/MW_BOM_1974-04-04_Unlimited_Is_Not_Impersonal.mp3" TargetMode="External"/><Relationship Id="rId1821" Type="http://schemas.openxmlformats.org/officeDocument/2006/relationships/hyperlink" Target="https://audio.iskcondesiretree.com/01_-_Srila_Prabhupada/01_-_Lectures/01_-_English/02_-_Month_wise/04_-_April/04/Walk_1974-04-04_MW-BOMBAY.MP3" TargetMode="External"/><Relationship Id="rId1822" Type="http://schemas.openxmlformats.org/officeDocument/2006/relationships/hyperlink" Target="https://audio.iskcondesiretree.com/01_-_Srila_Prabhupada/01_-_Lectures/01_-_English/01_-_Topic_wise/Bhagavad_Gita/Chapter-04/SP_BG_04-15_Bombay_1974-04-05_Modern_Civilization_Vs._Model--etc.mp3" TargetMode="External"/><Relationship Id="rId1823" Type="http://schemas.openxmlformats.org/officeDocument/2006/relationships/hyperlink" Target="https://audio.iskcondesiretree.com/01_-_Srila_Prabhupada/01_-_Lectures/01_-_English/01_-_Topic_wise/Bhagavad_Gita/Chapter-04/SP_BG_04-16_Bombay_1974-04-05_Today%27s_Education.mp3" TargetMode="External"/><Relationship Id="rId1824" Type="http://schemas.openxmlformats.org/officeDocument/2006/relationships/hyperlink" Target="https://audio.iskcondesiretree.com/01_-_Srila_Prabhupada/01_-_Lectures/01_-_English/01_-_Topic_wise/Morning_Walk/SP_Morning_Walk_-_Bombay_1974-04-05_Arguments_Smashed.mp3" TargetMode="External"/><Relationship Id="rId1825" Type="http://schemas.openxmlformats.org/officeDocument/2006/relationships/hyperlink" Target="https://audio.iskcondesiretree.com/01_-_Srila_Prabhupada/01_-_Lectures/01_-_English/02_-_Month_wise/04_-_April/05/Bg-04-16_1974-04-05_BG-BOMBAY.MP3" TargetMode="External"/><Relationship Id="rId1826" Type="http://schemas.openxmlformats.org/officeDocument/2006/relationships/hyperlink" Target="https://audio.iskcondesiretree.com/01_-_Srila_Prabhupada/01_-_Lectures/01_-_English/02_-_Month_wise/04_-_April/05/Bg_04-15_BOM_1974-04-05_Modern_Civilization_Vs._Model_etc.mp3" TargetMode="External"/><Relationship Id="rId1827" Type="http://schemas.openxmlformats.org/officeDocument/2006/relationships/hyperlink" Target="https://audio.iskcondesiretree.com/01_-_Srila_Prabhupada/01_-_Lectures/01_-_English/02_-_Month_wise/04_-_April/05/Bg_04-16_BOM_1974-04-05_Today%27s_Education.mp3" TargetMode="External"/><Relationship Id="rId1828" Type="http://schemas.openxmlformats.org/officeDocument/2006/relationships/hyperlink" Target="https://audio.iskcondesiretree.com/01_-_Srila_Prabhupada/01_-_Lectures/01_-_English/02_-_Month_wise/04_-_April/05/MW_BOM_1974-04-05_Arguments_Smashed.mp3" TargetMode="External"/><Relationship Id="rId1829" Type="http://schemas.openxmlformats.org/officeDocument/2006/relationships/hyperlink" Target="https://audio.iskcondesiretree.com/01_-_Srila_Prabhupada/01_-_Lectures/01_-_English/02_-_Month_wise/04_-_April/05/Walk_1974-04-05_MW-BOMBAY.MP3" TargetMode="External"/><Relationship Id="rId4091" Type="http://schemas.openxmlformats.org/officeDocument/2006/relationships/hyperlink" Target="https://audio.iskcondesiretree.com/01_-_Srila_Prabhupada/01_-_Lectures/01_-_English/02_-_Month_wise/12_-_December/14/MW_DEL_1975-12-14_Happiness_Is_for_Intelligent.mp3" TargetMode="External"/><Relationship Id="rId4090" Type="http://schemas.openxmlformats.org/officeDocument/2006/relationships/hyperlink" Target="https://audio.iskcondesiretree.com/01_-_Srila_Prabhupada/01_-_Lectures/01_-_English/02_-_Month_wise/12_-_December/14/Conv_1975-12-14_R1-DELHI.MP3" TargetMode="External"/><Relationship Id="rId4093" Type="http://schemas.openxmlformats.org/officeDocument/2006/relationships/hyperlink" Target="https://audio.iskcondesiretree.com/01_-_Srila_Prabhupada/01_-_Lectures/01_-_English/02_-_Month_wise/12_-_December/14/Walk_1975-12-14_MW-DELHI.MP3" TargetMode="External"/><Relationship Id="rId4092" Type="http://schemas.openxmlformats.org/officeDocument/2006/relationships/hyperlink" Target="https://audio.iskcondesiretree.com/01_-_Srila_Prabhupada/01_-_Lectures/01_-_English/02_-_Month_wise/12_-_December/14/RC_DEL_1975-12-14_All_Doing_the_Same_Business.mp3" TargetMode="External"/><Relationship Id="rId4095" Type="http://schemas.openxmlformats.org/officeDocument/2006/relationships/hyperlink" Target="https://audio.iskcondesiretree.com/01_-_Srila_Prabhupada/01_-_Lectures/01_-_English/02_-_Month_wise/12_-_December/16/MW_BOM_1975-12-16_Scholar-Deviation_from_Krishna.mp3" TargetMode="External"/><Relationship Id="rId4094" Type="http://schemas.openxmlformats.org/officeDocument/2006/relationships/hyperlink" Target="https://audio.iskcondesiretree.com/01_-_Srila_Prabhupada/01_-_Lectures/01_-_English/01_-_Topic_wise/Morning_Walk/SP_Morning_Walk_-_Bombay_1975-12-16_Scholar-Deviation_from_Krishna.mp3" TargetMode="External"/><Relationship Id="rId4097" Type="http://schemas.openxmlformats.org/officeDocument/2006/relationships/hyperlink" Target="https://audio.iskcondesiretree.com/01_-_Srila_Prabhupada/01_-_Lectures/01_-_English/02_-_Month_wise/12_-_December/16/Walk_1975-12-16_MW-BOMBAY.MP3" TargetMode="External"/><Relationship Id="rId4096" Type="http://schemas.openxmlformats.org/officeDocument/2006/relationships/hyperlink" Target="https://audio.iskcondesiretree.com/01_-_Srila_Prabhupada/01_-_Lectures/01_-_English/02_-_Month_wise/12_-_December/16/SB-07-06-01_1975-12-16_LE-BOMBAY.MP3" TargetMode="External"/><Relationship Id="rId4099" Type="http://schemas.openxmlformats.org/officeDocument/2006/relationships/hyperlink" Target="https://audio.iskcondesiretree.com/01_-_Srila_Prabhupada/01_-_Lectures/01_-_English/01_-_Topic_wise/Srimad_Bhagavatam/Canto-07/SP_SB_7-06-01_Bombay_1975-12-17_We_Are_Expansions_of_Radharani.mp3" TargetMode="External"/><Relationship Id="rId4098" Type="http://schemas.openxmlformats.org/officeDocument/2006/relationships/hyperlink" Target="https://audio.iskcondesiretree.com/01_-_Srila_Prabhupada/01_-_Lectures/01_-_English/01_-_Topic_wise/Morning_Walk/SP_Morning_Walk_-_Bombay_1975-12-17_No_Question_of_Hating_Women.mp3" TargetMode="External"/><Relationship Id="rId1895" Type="http://schemas.openxmlformats.org/officeDocument/2006/relationships/hyperlink" Target="https://audio.iskcondesiretree.com/01_-_Srila_Prabhupada/01_-_Lectures/01_-_English/01_-_Topic_wise/Bhagavad_Gita/Chapter-13/SP_BG_13-03_Hyderabad_1974-04-19_Take_Knowledge_from_Krishna.mp3" TargetMode="External"/><Relationship Id="rId1896" Type="http://schemas.openxmlformats.org/officeDocument/2006/relationships/hyperlink" Target="https://audio.iskcondesiretree.com/01_-_Srila_Prabhupada/01_-_Lectures/01_-_English/01_-_Topic_wise/Morning_Walk/SP_Morning_Walk_-_Hyderabad_1974-04-19.mp3" TargetMode="External"/><Relationship Id="rId1897" Type="http://schemas.openxmlformats.org/officeDocument/2006/relationships/hyperlink" Target="https://audio.iskcondesiretree.com/01_-_Srila_Prabhupada/01_-_Lectures/01_-_English/02_-_Month_wise/04_-_April/19/Bg-13-03_1974-04-19_BG-HYDERABAD.MP3" TargetMode="External"/><Relationship Id="rId1898" Type="http://schemas.openxmlformats.org/officeDocument/2006/relationships/hyperlink" Target="https://audio.iskcondesiretree.com/01_-_Srila_Prabhupada/01_-_Lectures/01_-_English/02_-_Month_wise/04_-_April/19/Bg_13-03_HYD_1974-04-19_Take_Knowledge_from_Krishna.mp3" TargetMode="External"/><Relationship Id="rId1899" Type="http://schemas.openxmlformats.org/officeDocument/2006/relationships/hyperlink" Target="https://audio.iskcondesiretree.com/01_-_Srila_Prabhupada/01_-_Lectures/01_-_English/02_-_Month_wise/04_-_April/19/Lecture%E2%80%93Hindi_1974-04-19_LE-HYDERABAD.MP3" TargetMode="External"/><Relationship Id="rId1890" Type="http://schemas.openxmlformats.org/officeDocument/2006/relationships/hyperlink" Target="https://audio.iskcondesiretree.com/01_-_Srila_Prabhupada/01_-_Lectures/01_-_English/02_-_Month_wise/04_-_April/18/Interv_HYD_1974-04-18_Press--If_You_Want_a_Good_Society.mp3" TargetMode="External"/><Relationship Id="rId1891" Type="http://schemas.openxmlformats.org/officeDocument/2006/relationships/hyperlink" Target="https://audio.iskcondesiretree.com/01_-_Srila_Prabhupada/01_-_Lectures/01_-_English/02_-_Month_wise/04_-_April/18/Interview_1974-04-18-PC-HYDERABAD.MP3" TargetMode="External"/><Relationship Id="rId1892" Type="http://schemas.openxmlformats.org/officeDocument/2006/relationships/hyperlink" Target="https://audio.iskcondesiretree.com/01_-_Srila_Prabhupada/01_-_Lectures/01_-_English/02_-_Month_wise/04_-_April/18/SB-01-02-06_1974-04-18_SB-HYDERABAD.MP3" TargetMode="External"/><Relationship Id="rId1893" Type="http://schemas.openxmlformats.org/officeDocument/2006/relationships/hyperlink" Target="https://audio.iskcondesiretree.com/01_-_Srila_Prabhupada/01_-_Lectures/01_-_English/02_-_Month_wise/04_-_April/18/SB_1-02-06_HYD_1974-04-18_Bhakti_Is_Not_a_Business.mp3" TargetMode="External"/><Relationship Id="rId1894" Type="http://schemas.openxmlformats.org/officeDocument/2006/relationships/hyperlink" Target="https://audio.iskcondesiretree.com/01_-_Srila_Prabhupada/01_-_Lectures/01_-_English/02_-_Month_wise/04_-_April/18/Walk_1974-04-18_MW-BOMBAY.MP3" TargetMode="External"/><Relationship Id="rId1884" Type="http://schemas.openxmlformats.org/officeDocument/2006/relationships/hyperlink" Target="https://audio.iskcondesiretree.com/01_-_Srila_Prabhupada/01_-_Lectures/01_-_English/02_-_Month_wise/04_-_April/17/Bg-04-28_1974-04-17_BG-BOMBAY.MP3" TargetMode="External"/><Relationship Id="rId1885" Type="http://schemas.openxmlformats.org/officeDocument/2006/relationships/hyperlink" Target="https://audio.iskcondesiretree.com/01_-_Srila_Prabhupada/01_-_Lectures/01_-_English/02_-_Month_wise/04_-_April/17/Bg_04-28_BOM_1974-04-17_The_Magic_of_Krsna_Consciousness.mp3" TargetMode="External"/><Relationship Id="rId1886" Type="http://schemas.openxmlformats.org/officeDocument/2006/relationships/hyperlink" Target="https://audio.iskcondesiretree.com/01_-_Srila_Prabhupada/01_-_Lectures/01_-_English/02_-_Month_wise/04_-_April/17/Walk_1974-04-17_MW-BOMBAY.MP3" TargetMode="External"/><Relationship Id="rId1887" Type="http://schemas.openxmlformats.org/officeDocument/2006/relationships/hyperlink" Target="https://audio.iskcondesiretree.com/01_-_Srila_Prabhupada/01_-_Lectures/01_-_English/01_-_Topic_wise/Interview/SP_Interview_Hyderabad_1974-04-18_Press--If_You_Want_a_Good_Society.mp3" TargetMode="External"/><Relationship Id="rId1888" Type="http://schemas.openxmlformats.org/officeDocument/2006/relationships/hyperlink" Target="https://audio.iskcondesiretree.com/01_-_Srila_Prabhupada/01_-_Lectures/01_-_English/01_-_Topic_wise/Morning_Walk/SP_Morning_Walk_-_Bombay_1974-04-18.mp3" TargetMode="External"/><Relationship Id="rId1889" Type="http://schemas.openxmlformats.org/officeDocument/2006/relationships/hyperlink" Target="https://audio.iskcondesiretree.com/01_-_Srila_Prabhupada/01_-_Lectures/01_-_English/01_-_Topic_wise/Srimad_Bhagavatam/Canto-01/SP_SB_1-02-06_Hyderabad_1974-04-18_Bhakti_Is_Not_a_Business.mp3" TargetMode="External"/><Relationship Id="rId1880" Type="http://schemas.openxmlformats.org/officeDocument/2006/relationships/hyperlink" Target="https://audio.iskcondesiretree.com/01_-_Srila_Prabhupada/01_-_Lectures/01_-_English/02_-_Month_wise/04_-_April/16/Bg_04-27_BOM_1974-04-16_Learning_to_Satisfy_the_Right_Senses.mp3" TargetMode="External"/><Relationship Id="rId1881" Type="http://schemas.openxmlformats.org/officeDocument/2006/relationships/hyperlink" Target="https://audio.iskcondesiretree.com/01_-_Srila_Prabhupada/01_-_Lectures/01_-_English/02_-_Month_wise/04_-_April/16/Walk_1974-04-16_MW-BOMBAY.MP3" TargetMode="External"/><Relationship Id="rId1882" Type="http://schemas.openxmlformats.org/officeDocument/2006/relationships/hyperlink" Target="https://audio.iskcondesiretree.com/01_-_Srila_Prabhupada/01_-_Lectures/01_-_English/01_-_Topic_wise/Bhagavad_Gita/Chapter-04/SP_BG_04-28_Bombay_1974-04-17_The_Magic_of_Krsna_Consciousness.mp3" TargetMode="External"/><Relationship Id="rId1883" Type="http://schemas.openxmlformats.org/officeDocument/2006/relationships/hyperlink" Target="https://audio.iskcondesiretree.com/01_-_Srila_Prabhupada/01_-_Lectures/01_-_English/01_-_Topic_wise/Morning_Walk/SP_Morning_Walk_-_Bombay_1974-04-17.mp3" TargetMode="External"/><Relationship Id="rId5417" Type="http://schemas.openxmlformats.org/officeDocument/2006/relationships/hyperlink" Target="https://audio.iskcondesiretree.com/01_-_Srila_Prabhupada/01_-_Lectures/01_-_English/02_-_Month_wise/11_-_November/13/SB_5-05-26_VRN_1976-11-13_Krishna_Is_Within_the_Atom.mp3" TargetMode="External"/><Relationship Id="rId5418" Type="http://schemas.openxmlformats.org/officeDocument/2006/relationships/hyperlink" Target="https://audio.iskcondesiretree.com/01_-_Srila_Prabhupada/01_-_Lectures/01_-_English/01_-_Topic_wise/Srimad_Bhagavatam/Canto-05/SP_SB_5-05-27_Vrindavan_1976-11-14_The_Greatest_Bewilderment.mp3" TargetMode="External"/><Relationship Id="rId5415" Type="http://schemas.openxmlformats.org/officeDocument/2006/relationships/hyperlink" Target="https://audio.iskcondesiretree.com/01_-_Srila_Prabhupada/01_-_Lectures/01_-_English/02_-_Month_wise/11_-_November/13/RC_VRN_1976-11-13_Vote_for_the_Hare_Krishna%27s.mp3" TargetMode="External"/><Relationship Id="rId5416" Type="http://schemas.openxmlformats.org/officeDocument/2006/relationships/hyperlink" Target="https://audio.iskcondesiretree.com/01_-_Srila_Prabhupada/01_-_Lectures/01_-_English/02_-_Month_wise/11_-_November/13/SB-05-05-26_1976-11-13_SB-VRNDAVAN.MP3" TargetMode="External"/><Relationship Id="rId5419" Type="http://schemas.openxmlformats.org/officeDocument/2006/relationships/hyperlink" Target="https://audio.iskcondesiretree.com/01_-_Srila_Prabhupada/01_-_Lectures/01_-_English/02_-_Month_wise/11_-_November/14/Conv_1976-11-14_R1-VRNDAVAN.MP3" TargetMode="External"/><Relationship Id="rId228" Type="http://schemas.openxmlformats.org/officeDocument/2006/relationships/hyperlink" Target="https://audio.iskcondesiretree.com/01_-_Srila_Prabhupada/01_-_Lectures/01_-_English/01_-_Topic_wise/Interview/SP_Interview_San_Francisco_1968-03-09_Radio--KPFK_LA--Transfer_Your--etc.mp3" TargetMode="External"/><Relationship Id="rId227" Type="http://schemas.openxmlformats.org/officeDocument/2006/relationships/hyperlink" Target="https://audio.iskcondesiretree.com/01_-_Srila_Prabhupada/01_-_Lectures/01_-_English/02_-_Month_wise/02_-_Feburary/02/Lect_LA_1968-02-02_Relish_of_Renunciation_Sweetness_etc.mp3" TargetMode="External"/><Relationship Id="rId226" Type="http://schemas.openxmlformats.org/officeDocument/2006/relationships/hyperlink" Target="https://audio.iskcondesiretree.com/01_-_Srila_Prabhupada/01_-_Lectures/01_-_English/01_-_Topic_wise/Various/SP_Lecture_Los_Angeles_1968-02-02_Relish_of_Renunciation_Sweetness--etc.mp3" TargetMode="External"/><Relationship Id="rId225" Type="http://schemas.openxmlformats.org/officeDocument/2006/relationships/hyperlink" Target="https://audio.iskcondesiretree.com/01_-_Srila_Prabhupada/01_-_Lectures/01_-_English/02_-_Month_wise/04_-_April/05/RC_SF_1967-04-05_Part_2_Outline_of_Lord_Caitanya_Play.mp3" TargetMode="External"/><Relationship Id="rId229" Type="http://schemas.openxmlformats.org/officeDocument/2006/relationships/hyperlink" Target="https://audio.iskcondesiretree.com/01_-_Srila_Prabhupada/01_-_Lectures/01_-_English/02_-_Month_wise/03_-_March/09/Interv_SF_1968-03-09_Radio--KPFK_LA--Transfer_Your_etc.mp3" TargetMode="External"/><Relationship Id="rId220" Type="http://schemas.openxmlformats.org/officeDocument/2006/relationships/hyperlink" Target="https://audio.iskcondesiretree.com/01_-_Srila_Prabhupada/01_-_Lectures/01_-_English/01_-_Topic_wise/Chaitanya_Charitamrita/More/SP_CC_A_Intro_San_Francisco_1967-03-18_Introduction.mp3" TargetMode="External"/><Relationship Id="rId5410" Type="http://schemas.openxmlformats.org/officeDocument/2006/relationships/hyperlink" Target="https://audio.iskcondesiretree.com/01_-_Srila_Prabhupada/01_-_Lectures/01_-_English/02_-_Month_wise/11_-_November/12/SB-05-05-25_1976-11-12_SB-VRNDAVAN.MP3" TargetMode="External"/><Relationship Id="rId224" Type="http://schemas.openxmlformats.org/officeDocument/2006/relationships/hyperlink" Target="https://audio.iskcondesiretree.com/01_-_Srila_Prabhupada/01_-_Lectures/01_-_English/02_-_Month_wise/04_-_April/05/RC_SF_1967-04-05_Part_1_Outline_of_Lord_Caitanya_Play.mp3" TargetMode="External"/><Relationship Id="rId5413" Type="http://schemas.openxmlformats.org/officeDocument/2006/relationships/hyperlink" Target="https://audio.iskcondesiretree.com/01_-_Srila_Prabhupada/01_-_Lectures/01_-_English/01_-_Topic_wise/Srimad_Bhagavatam/Canto-05/SP_SB_5-05-26_Vrindavan_1976-11-13_Krishna_Is_Within_the_Atom.mp3" TargetMode="External"/><Relationship Id="rId223" Type="http://schemas.openxmlformats.org/officeDocument/2006/relationships/hyperlink" Target="https://audio.iskcondesiretree.com/01_-_Srila_Prabhupada/01_-_Lectures/01_-_English/01_-_Topic_wise/Room_Conversation/SP_Room_Conversation_Sanand_Francisco_1967-04-05_Part_2_Outline_of_Lord_Caitanya_Play.mp3" TargetMode="External"/><Relationship Id="rId5414" Type="http://schemas.openxmlformats.org/officeDocument/2006/relationships/hyperlink" Target="https://audio.iskcondesiretree.com/01_-_Srila_Prabhupada/01_-_Lectures/01_-_English/02_-_Month_wise/11_-_November/13/Conv_1976-11-13_R1-VRNDAVAN.MP3" TargetMode="External"/><Relationship Id="rId222" Type="http://schemas.openxmlformats.org/officeDocument/2006/relationships/hyperlink" Target="https://audio.iskcondesiretree.com/01_-_Srila_Prabhupada/01_-_Lectures/01_-_English/01_-_Topic_wise/Room_Conversation/SP_Room_Conversation_Sanand_Francisco_1967-04-05_Part_1_Outline_of_Lord_Caitanya_Play.mp3" TargetMode="External"/><Relationship Id="rId5411" Type="http://schemas.openxmlformats.org/officeDocument/2006/relationships/hyperlink" Target="https://audio.iskcondesiretree.com/01_-_Srila_Prabhupada/01_-_Lectures/01_-_English/02_-_Month_wise/11_-_November/12/SB_5-05-25_VRN_1976-11-12_Hog_Intestines_or_Halava.mp3" TargetMode="External"/><Relationship Id="rId221" Type="http://schemas.openxmlformats.org/officeDocument/2006/relationships/hyperlink" Target="https://audio.iskcondesiretree.com/01_-_Srila_Prabhupada/01_-_Lectures/01_-_English/02_-_Month_wise/03_-_March/18/Cc_A_Intro_SF_1967-03-18_Introduction.mp3" TargetMode="External"/><Relationship Id="rId5412" Type="http://schemas.openxmlformats.org/officeDocument/2006/relationships/hyperlink" Target="https://audio.iskcondesiretree.com/01_-_Srila_Prabhupada/01_-_Lectures/01_-_English/01_-_Topic_wise/Room_Conversation/SP_Room_Conversation_Vrindavan_1976-11-13_Vote_for_the_Hare_Krishna%27s.mp3" TargetMode="External"/><Relationship Id="rId5406" Type="http://schemas.openxmlformats.org/officeDocument/2006/relationships/hyperlink" Target="https://audio.iskcondesiretree.com/01_-_Srila_Prabhupada/01_-_Lectures/01_-_English/02_-_Month_wise/11_-_November/11/Conv_1976-11-11_R1-VRNDAVAN.MP3" TargetMode="External"/><Relationship Id="rId5407" Type="http://schemas.openxmlformats.org/officeDocument/2006/relationships/hyperlink" Target="https://audio.iskcondesiretree.com/01_-_Srila_Prabhupada/01_-_Lectures/01_-_English/02_-_Month_wise/11_-_November/11/SB-05-05-24_1976-11-11_SB-VRNDAVAN.MP3" TargetMode="External"/><Relationship Id="rId5404" Type="http://schemas.openxmlformats.org/officeDocument/2006/relationships/hyperlink" Target="https://audio.iskcondesiretree.com/01_-_Srila_Prabhupada/01_-_Lectures/01_-_English/02_-_Month_wise/11_-_November/10/SB_5-05-23_VRN_1976-11-10_Culture-Brahminical_or_Animal.mp3" TargetMode="External"/><Relationship Id="rId5405" Type="http://schemas.openxmlformats.org/officeDocument/2006/relationships/hyperlink" Target="https://audio.iskcondesiretree.com/01_-_Srila_Prabhupada/01_-_Lectures/01_-_English/01_-_Topic_wise/Srimad_Bhagavatam/Canto-05/SP_SB_5-05-24_Vrindavan_1976-11-11_Transcendental_Goodness.mp3" TargetMode="External"/><Relationship Id="rId5408" Type="http://schemas.openxmlformats.org/officeDocument/2006/relationships/hyperlink" Target="https://audio.iskcondesiretree.com/01_-_Srila_Prabhupada/01_-_Lectures/01_-_English/02_-_Month_wise/11_-_November/11/SB_5-05-24_VRN_1976-11-11_Transcendental_Goodness.mp3" TargetMode="External"/><Relationship Id="rId5409" Type="http://schemas.openxmlformats.org/officeDocument/2006/relationships/hyperlink" Target="https://audio.iskcondesiretree.com/01_-_Srila_Prabhupada/01_-_Lectures/01_-_English/01_-_Topic_wise/Srimad_Bhagavatam/Canto-05/SP_SB_5-05-25_Vrindavan_1976-11-12_Hog_Intestines_or_Halava.mp3" TargetMode="External"/><Relationship Id="rId217" Type="http://schemas.openxmlformats.org/officeDocument/2006/relationships/hyperlink" Target="https://audio.iskcondesiretree.com/01_-_Srila_Prabhupada/01_-_Lectures/01_-_English/02_-_Month_wise/01_-_January/16/Cc_M_22-031_NY_1967-01-16_Krishna_Is_Sunshine_Maya_Is_Darkness.mp3" TargetMode="External"/><Relationship Id="rId216" Type="http://schemas.openxmlformats.org/officeDocument/2006/relationships/hyperlink" Target="https://audio.iskcondesiretree.com/01_-_Srila_Prabhupada/01_-_Lectures/01_-_English/01_-_Topic_wise/Chaitanya_Charitamrita/Madhya_Lila/SP_CC_M_22-031_New_York_1967-01-16_Krishna_Is_Sunshine_Maya_Is_Darkness.mp3" TargetMode="External"/><Relationship Id="rId215" Type="http://schemas.openxmlformats.org/officeDocument/2006/relationships/hyperlink" Target="https://audio.iskcondesiretree.com/01_-_Srila_Prabhupada/01_-_Lectures/01_-_English/02_-_Month_wise/01_-_January/11/Cc_M_22-021_NY_1967-01-11_Devotional_Service_Will_etc.mp3" TargetMode="External"/><Relationship Id="rId214" Type="http://schemas.openxmlformats.org/officeDocument/2006/relationships/hyperlink" Target="https://audio.iskcondesiretree.com/01_-_Srila_Prabhupada/01_-_Lectures/01_-_English/01_-_Topic_wise/Chaitanya_Charitamrita/Madhya_Lila/SP_CC_M_22-021_New_York_1967-01-11_Devotional_Service_Will--etc.mp3" TargetMode="External"/><Relationship Id="rId219" Type="http://schemas.openxmlformats.org/officeDocument/2006/relationships/hyperlink" Target="https://audio.iskcondesiretree.com/01_-_Srila_Prabhupada/01_-_Lectures/01_-_English/02_-_Month_wise/03_-_March/15/SB_7-07-29_SF_1967-03-15_Here_Is_A_Personality_to_etc.mp3" TargetMode="External"/><Relationship Id="rId218" Type="http://schemas.openxmlformats.org/officeDocument/2006/relationships/hyperlink" Target="https://audio.iskcondesiretree.com/01_-_Srila_Prabhupada/01_-_Lectures/01_-_English/01_-_Topic_wise/Srimad_Bhagavatam/Canto-07/SP_SB_7-07-29_San_Francisco_1967-03-15_Here_Is_A_Personality_to--etc.mp3" TargetMode="External"/><Relationship Id="rId213" Type="http://schemas.openxmlformats.org/officeDocument/2006/relationships/hyperlink" Target="https://audio.iskcondesiretree.com/01_-_Srila_Prabhupada/01_-_Lectures/01_-_English/02_-_Month_wise/01_-_January/10/Cc_M_22-014_NY_1967-01-10_Nitya-baddhas_Nitya-muktas.mp3" TargetMode="External"/><Relationship Id="rId5402" Type="http://schemas.openxmlformats.org/officeDocument/2006/relationships/hyperlink" Target="https://audio.iskcondesiretree.com/01_-_Srila_Prabhupada/01_-_Lectures/01_-_English/02_-_Month_wise/11_-_November/10/Conv_1976-11-10_R1-VRNDAVAN.MP3" TargetMode="External"/><Relationship Id="rId212" Type="http://schemas.openxmlformats.org/officeDocument/2006/relationships/hyperlink" Target="https://audio.iskcondesiretree.com/01_-_Srila_Prabhupada/01_-_Lectures/01_-_English/01_-_Topic_wise/Chaitanya_Charitamrita/Madhya_Lila/SP_CC_M_22-014_New_York_1967-01-10_Nitya-baddhas_Nitya-muktas.mp3" TargetMode="External"/><Relationship Id="rId5403" Type="http://schemas.openxmlformats.org/officeDocument/2006/relationships/hyperlink" Target="https://audio.iskcondesiretree.com/01_-_Srila_Prabhupada/01_-_Lectures/01_-_English/02_-_Month_wise/11_-_November/10/SB-05-05-23_1976-11-10_SB-VRNDAVAN.MP3" TargetMode="External"/><Relationship Id="rId211" Type="http://schemas.openxmlformats.org/officeDocument/2006/relationships/hyperlink" Target="https://audio.iskcondesiretree.com/01_-_Srila_Prabhupada/01_-_Lectures/01_-_English/02_-_Month_wise/01_-_January/09/Cc_M_22-011_NY_1967-01-09_They_Think_We_Are_All_Right.mp3" TargetMode="External"/><Relationship Id="rId5400" Type="http://schemas.openxmlformats.org/officeDocument/2006/relationships/hyperlink" Target="https://audio.iskcondesiretree.com/01_-_Srila_Prabhupada/01_-_Lectures/01_-_English/02_-_Month_wise/11_-_November/09/SB_5-05-21_VRN_1976-11-09_Evolved_Consciousness.mp3" TargetMode="External"/><Relationship Id="rId210" Type="http://schemas.openxmlformats.org/officeDocument/2006/relationships/hyperlink" Target="https://audio.iskcondesiretree.com/01_-_Srila_Prabhupada/01_-_Lectures/01_-_English/01_-_Topic_wise/Chaitanya_Charitamrita/Madhya_Lila/SP_CC_M_22-011_New_York_1967-01-09_They_Think%2C_%E2%80%98We_Are_All_Right%E2%80%99.mp3" TargetMode="External"/><Relationship Id="rId5401" Type="http://schemas.openxmlformats.org/officeDocument/2006/relationships/hyperlink" Target="https://audio.iskcondesiretree.com/01_-_Srila_Prabhupada/01_-_Lectures/01_-_English/01_-_Topic_wise/Srimad_Bhagavatam/Canto-05/SP_SB_5-05-23_Vrindavan_1976-11-10_Culture-Brahminical_or_Animal.mp3" TargetMode="External"/><Relationship Id="rId4107" Type="http://schemas.openxmlformats.org/officeDocument/2006/relationships/hyperlink" Target="https://audio.iskcondesiretree.com/01_-_Srila_Prabhupada/01_-_Lectures/01_-_English/02_-_Month_wise/12_-_December/20/Bg-07-01_1975-12-20_BG-BOMBAY.MP3" TargetMode="External"/><Relationship Id="rId5439" Type="http://schemas.openxmlformats.org/officeDocument/2006/relationships/hyperlink" Target="https://audio.iskcondesiretree.com/01_-_Srila_Prabhupada/01_-_Lectures/01_-_English/01_-_Topic_wise/Srimad_Bhagavatam/Canto-05/SP_SB_5-05-33_Vrindavan_1976-11-20_Ask_Rascal_Incarnations--etc.mp3" TargetMode="External"/><Relationship Id="rId4106" Type="http://schemas.openxmlformats.org/officeDocument/2006/relationships/hyperlink" Target="https://audio.iskcondesiretree.com/01_-_Srila_Prabhupada/01_-_Lectures/01_-_English/01_-_Topic_wise/Morning_Walk/SP_Morning_Walk_-_Bombay_1975-12-20_God_and_Guru-No_Substitutes.mp3" TargetMode="External"/><Relationship Id="rId4109" Type="http://schemas.openxmlformats.org/officeDocument/2006/relationships/hyperlink" Target="https://audio.iskcondesiretree.com/01_-_Srila_Prabhupada/01_-_Lectures/01_-_English/02_-_Month_wise/12_-_December/20/MW_BOM_1975-12-20_God_and_Guru-No_Substitutes.mp3" TargetMode="External"/><Relationship Id="rId5437" Type="http://schemas.openxmlformats.org/officeDocument/2006/relationships/hyperlink" Target="https://audio.iskcondesiretree.com/01_-_Srila_Prabhupada/01_-_Lectures/01_-_English/02_-_Month_wise/11_-_November/19/SB_5-05-32_VRN_1976-11-19_Krishna_Movement_Can%27t_Be_Killed.mp3" TargetMode="External"/><Relationship Id="rId4108" Type="http://schemas.openxmlformats.org/officeDocument/2006/relationships/hyperlink" Target="https://audio.iskcondesiretree.com/01_-_Srila_Prabhupada/01_-_Lectures/01_-_English/02_-_Month_wise/12_-_December/20/Bg_07-01_BOM_1975-12-20_The_Real_Thing.mp3" TargetMode="External"/><Relationship Id="rId5438" Type="http://schemas.openxmlformats.org/officeDocument/2006/relationships/hyperlink" Target="https://audio.iskcondesiretree.com/01_-_Srila_Prabhupada/01_-_Lectures/01_-_English/01_-_Topic_wise/Room_Conversation/SP_Room_Conversation_Vrindavan_1976-11-20_Skyscraper_Thoughts_Dangerous.mp3" TargetMode="External"/><Relationship Id="rId249" Type="http://schemas.openxmlformats.org/officeDocument/2006/relationships/hyperlink" Target="https://audio.iskcondesiretree.com/01_-_Srila_Prabhupada/01_-_Lectures/01_-_English/02_-_Month_wise/08_-_August/16/Fest_MON_1968-08-16_Janmastami.mp3" TargetMode="External"/><Relationship Id="rId248" Type="http://schemas.openxmlformats.org/officeDocument/2006/relationships/hyperlink" Target="https://audio.iskcondesiretree.com/01_-_Srila_Prabhupada/01_-_Lectures/01_-_English/01_-_Topic_wise/Festivals/SP_Festivals_Montreal_1968-08-16_Janmastami.mp3" TargetMode="External"/><Relationship Id="rId247" Type="http://schemas.openxmlformats.org/officeDocument/2006/relationships/hyperlink" Target="https://audio.iskcondesiretree.com/01_-_Srila_Prabhupada/01_-_Lectures/01_-_English/02_-_Month_wise/08_-_August/13/Bg_04-07_MON_1968-08-13_The_Divine_Descent_of_Our_Duty.mp3" TargetMode="External"/><Relationship Id="rId242" Type="http://schemas.openxmlformats.org/officeDocument/2006/relationships/hyperlink" Target="https://audio.iskcondesiretree.com/01_-_Srila_Prabhupada/01_-_Lectures/01_-_English/01_-_Topic_wise/Srimad_Bhagavatam/Canto-07/SP_SB_7-06-06_Montreal_1968-06-23_Center_Society_on_Spiritual_Profit.mp3" TargetMode="External"/><Relationship Id="rId5431" Type="http://schemas.openxmlformats.org/officeDocument/2006/relationships/hyperlink" Target="https://audio.iskcondesiretree.com/01_-_Srila_Prabhupada/01_-_Lectures/01_-_English/02_-_Month_wise/11_-_November/17/SB-05-05-30_1976-11-17_SB-VRNDAVAN.MP3" TargetMode="External"/><Relationship Id="rId241" Type="http://schemas.openxmlformats.org/officeDocument/2006/relationships/hyperlink" Target="https://audio.iskcondesiretree.com/01_-_Srila_Prabhupada/01_-_Lectures/01_-_English/02_-_Month_wise/06_-_June/16/SB_7-06-03_MON_1968-06-16_Stop_Adjusting_the_Material_World.mp3" TargetMode="External"/><Relationship Id="rId5432" Type="http://schemas.openxmlformats.org/officeDocument/2006/relationships/hyperlink" Target="https://audio.iskcondesiretree.com/01_-_Srila_Prabhupada/01_-_Lectures/01_-_English/02_-_Month_wise/11_-_November/17/Walk_1976-11-17_MW-VRNDAVANA.MP3" TargetMode="External"/><Relationship Id="rId240" Type="http://schemas.openxmlformats.org/officeDocument/2006/relationships/hyperlink" Target="https://audio.iskcondesiretree.com/01_-_Srila_Prabhupada/01_-_Lectures/01_-_English/01_-_Topic_wise/Srimad_Bhagavatam/Canto-07/SP_SB_7-06-03_Montreal_1968-06-16_Stop_Adjusting_the_Material_World.mp3" TargetMode="External"/><Relationship Id="rId4101" Type="http://schemas.openxmlformats.org/officeDocument/2006/relationships/hyperlink" Target="https://audio.iskcondesiretree.com/01_-_Srila_Prabhupada/01_-_Lectures/01_-_English/02_-_Month_wise/12_-_December/17/SB_7-06-01_BOM_1975-12-17_We_Are_Expansions_of_Radharani.mp3" TargetMode="External"/><Relationship Id="rId4100" Type="http://schemas.openxmlformats.org/officeDocument/2006/relationships/hyperlink" Target="https://audio.iskcondesiretree.com/01_-_Srila_Prabhupada/01_-_Lectures/01_-_English/02_-_Month_wise/12_-_December/17/MW_BOM_1975-12-17_No_Question_of_Hating_Women.mp3" TargetMode="External"/><Relationship Id="rId5430" Type="http://schemas.openxmlformats.org/officeDocument/2006/relationships/hyperlink" Target="https://audio.iskcondesiretree.com/01_-_Srila_Prabhupada/01_-_Lectures/01_-_English/02_-_Month_wise/11_-_November/16/SB_5-05-29_VRN_1976-11-16_Peace_Impossible.mp3" TargetMode="External"/><Relationship Id="rId246" Type="http://schemas.openxmlformats.org/officeDocument/2006/relationships/hyperlink" Target="https://audio.iskcondesiretree.com/01_-_Srila_Prabhupada/01_-_Lectures/01_-_English/01_-_Topic_wise/Bhagavad_Gita/Chapter-04/SP_BG_04-07_Montreal_1968-08-13_The_Divine_Descent_of_Our_Duty.mp3" TargetMode="External"/><Relationship Id="rId4103" Type="http://schemas.openxmlformats.org/officeDocument/2006/relationships/hyperlink" Target="https://audio.iskcondesiretree.com/01_-_Srila_Prabhupada/01_-_Lectures/01_-_English/02_-_Month_wise/12_-_December/18/Walk_1975-12-18_MW-BOMBAY.MP3" TargetMode="External"/><Relationship Id="rId5435" Type="http://schemas.openxmlformats.org/officeDocument/2006/relationships/hyperlink" Target="https://audio.iskcondesiretree.com/01_-_Srila_Prabhupada/01_-_Lectures/01_-_English/01_-_Topic_wise/Srimad_Bhagavatam/Canto-05/SP_SB_5-05-32_Vrindavan_1976-11-19_Krishna_Movement_Can%27t_Be_Killed.mp3" TargetMode="External"/><Relationship Id="rId245" Type="http://schemas.openxmlformats.org/officeDocument/2006/relationships/hyperlink" Target="https://audio.iskcondesiretree.com/01_-_Srila_Prabhupada/01_-_Lectures/01_-_English/02_-_Month_wise/07_-_July/12/SB_7-09-10_MON_1968-07-12_The_Difference_Between_a_etc.mp3" TargetMode="External"/><Relationship Id="rId4102" Type="http://schemas.openxmlformats.org/officeDocument/2006/relationships/hyperlink" Target="https://audio.iskcondesiretree.com/01_-_Srila_Prabhupada/01_-_Lectures/01_-_English/02_-_Month_wise/12_-_December/17/Walk_1975-12-17_MW-BOMBAY.MP3" TargetMode="External"/><Relationship Id="rId5436" Type="http://schemas.openxmlformats.org/officeDocument/2006/relationships/hyperlink" Target="https://audio.iskcondesiretree.com/01_-_Srila_Prabhupada/01_-_Lectures/01_-_English/02_-_Month_wise/11_-_November/19/SB-05-05-32_1976-11-19_SB-VRNDAVAN.MP3" TargetMode="External"/><Relationship Id="rId244" Type="http://schemas.openxmlformats.org/officeDocument/2006/relationships/hyperlink" Target="https://audio.iskcondesiretree.com/01_-_Srila_Prabhupada/01_-_Lectures/01_-_English/01_-_Topic_wise/Srimad_Bhagavatam/Canto-07/SP_SB_7-09-10_Montreal_1968-07-12_The_Difference_Between_a--etc.mp3" TargetMode="External"/><Relationship Id="rId4105" Type="http://schemas.openxmlformats.org/officeDocument/2006/relationships/hyperlink" Target="https://audio.iskcondesiretree.com/01_-_Srila_Prabhupada/01_-_Lectures/01_-_English/01_-_Topic_wise/Bhagavad_Gita/Chapter-07/SP_BG_07-01_Bombay_1975-12-20_The_Real_Thing.mp3" TargetMode="External"/><Relationship Id="rId5433" Type="http://schemas.openxmlformats.org/officeDocument/2006/relationships/hyperlink" Target="https://audio.iskcondesiretree.com/01_-_Srila_Prabhupada/01_-_Lectures/01_-_English/02_-_Month_wise/11_-_November/18/Conv_1976-11-18_R1-VRNDAVAN.MP3" TargetMode="External"/><Relationship Id="rId243" Type="http://schemas.openxmlformats.org/officeDocument/2006/relationships/hyperlink" Target="https://audio.iskcondesiretree.com/01_-_Srila_Prabhupada/01_-_Lectures/01_-_English/02_-_Month_wise/06_-_June/23/SB_7-06-06_MON_1968-06-23_Center_Society_on_Spiritual_Profit.mp3" TargetMode="External"/><Relationship Id="rId4104" Type="http://schemas.openxmlformats.org/officeDocument/2006/relationships/hyperlink" Target="https://audio.iskcondesiretree.com/01_-_Srila_Prabhupada/01_-_Lectures/01_-_English/02_-_Month_wise/12_-_December/19/Walk_1975-12-19_MW-BOMBAY.MP3" TargetMode="External"/><Relationship Id="rId5434" Type="http://schemas.openxmlformats.org/officeDocument/2006/relationships/hyperlink" Target="https://audio.iskcondesiretree.com/01_-_Srila_Prabhupada/01_-_Lectures/01_-_English/02_-_Month_wise/11_-_November/18/SB-05-05-31_1976-11-18_SB-VRNDAVAN.MP3" TargetMode="External"/><Relationship Id="rId5428" Type="http://schemas.openxmlformats.org/officeDocument/2006/relationships/hyperlink" Target="https://audio.iskcondesiretree.com/01_-_Srila_Prabhupada/01_-_Lectures/01_-_English/01_-_Topic_wise/Srimad_Bhagavatam/Canto-05/SP_SB_5-05-29_Vrindavan_1976-11-16_Peace_Impossible.mp3" TargetMode="External"/><Relationship Id="rId5429" Type="http://schemas.openxmlformats.org/officeDocument/2006/relationships/hyperlink" Target="https://audio.iskcondesiretree.com/01_-_Srila_Prabhupada/01_-_Lectures/01_-_English/02_-_Month_wise/11_-_November/16/SB-05-05-29_1976-11-16_SB-VRNDAVAN.MP3" TargetMode="External"/><Relationship Id="rId5426" Type="http://schemas.openxmlformats.org/officeDocument/2006/relationships/hyperlink" Target="https://audio.iskcondesiretree.com/01_-_Srila_Prabhupada/01_-_Lectures/01_-_English/02_-_Month_wise/11_-_November/15/SB-05-05-28_1976-11-15_SB-VRNDAVAN.MP3" TargetMode="External"/><Relationship Id="rId5427" Type="http://schemas.openxmlformats.org/officeDocument/2006/relationships/hyperlink" Target="https://audio.iskcondesiretree.com/01_-_Srila_Prabhupada/01_-_Lectures/01_-_English/02_-_Month_wise/11_-_November/15/SB_5-05-28_VRN_1976-11-15_Maharajas_and_Maha-rascals.mp3" TargetMode="External"/><Relationship Id="rId239" Type="http://schemas.openxmlformats.org/officeDocument/2006/relationships/hyperlink" Target="https://audio.iskcondesiretree.com/01_-_Srila_Prabhupada/01_-_Lectures/01_-_English/02_-_Month_wise/06_-_June/11/Lect_MON_1968-06-11_To_Students_%28young%29_My_and_etc.mp3" TargetMode="External"/><Relationship Id="rId238" Type="http://schemas.openxmlformats.org/officeDocument/2006/relationships/hyperlink" Target="https://audio.iskcondesiretree.com/01_-_Srila_Prabhupada/01_-_Lectures/01_-_English/01_-_Topic_wise/Various/SP_Lecture_Montreal_1968-06-11_To_Students_%28young%29--My_and--etc.mp3" TargetMode="External"/><Relationship Id="rId237" Type="http://schemas.openxmlformats.org/officeDocument/2006/relationships/hyperlink" Target="https://audio.iskcondesiretree.com/01_-_Srila_Prabhupada/01_-_Lectures/01_-_English/02_-_Month_wise/04_-_April/02/Lect_SF_1968-04-02_Skyscraper_Civilization_vs_Soul_etc.mp3" TargetMode="External"/><Relationship Id="rId236" Type="http://schemas.openxmlformats.org/officeDocument/2006/relationships/hyperlink" Target="https://audio.iskcondesiretree.com/01_-_Srila_Prabhupada/01_-_Lectures/01_-_English/01_-_Topic_wise/Various/SP_Lecture_San_Francisco_1968-04-02_Skyscraper_Civilization_vs_Soul--etc.mp3" TargetMode="External"/><Relationship Id="rId231" Type="http://schemas.openxmlformats.org/officeDocument/2006/relationships/hyperlink" Target="https://audio.iskcondesiretree.com/01_-_Srila_Prabhupada/01_-_Lectures/01_-_English/02_-_Month_wise/03_-_March/15/SB_7-06-01_SF_1968-03-15_A_Way_to_Spend_Your_Time.mp3" TargetMode="External"/><Relationship Id="rId5420" Type="http://schemas.openxmlformats.org/officeDocument/2006/relationships/hyperlink" Target="https://audio.iskcondesiretree.com/01_-_Srila_Prabhupada/01_-_Lectures/01_-_English/02_-_Month_wise/11_-_November/14/Conv_1976-11-14_R2-VRNDAVAN.MP3" TargetMode="External"/><Relationship Id="rId230" Type="http://schemas.openxmlformats.org/officeDocument/2006/relationships/hyperlink" Target="https://audio.iskcondesiretree.com/01_-_Srila_Prabhupada/01_-_Lectures/01_-_English/01_-_Topic_wise/Srimad_Bhagavatam/Canto-07/SP_SB_7-06-01_San_Francisco_1968-03-15_A_Way_to_Spend_Your_Time.mp3" TargetMode="External"/><Relationship Id="rId5421" Type="http://schemas.openxmlformats.org/officeDocument/2006/relationships/hyperlink" Target="https://audio.iskcondesiretree.com/01_-_Srila_Prabhupada/01_-_Lectures/01_-_English/02_-_Month_wise/11_-_November/14/Lecture%E2%80%93Hindi_1976-11-14_LE-VRNDAVAN.MP3" TargetMode="External"/><Relationship Id="rId235" Type="http://schemas.openxmlformats.org/officeDocument/2006/relationships/hyperlink" Target="https://audio.iskcondesiretree.com/01_-_Srila_Prabhupada/01_-_Lectures/01_-_English/02_-_Month_wise/03_-_March/28/SB_1-03-01_SF_1968-03-28_God_Has_No_Body_Like_Ours.mp3" TargetMode="External"/><Relationship Id="rId5424" Type="http://schemas.openxmlformats.org/officeDocument/2006/relationships/hyperlink" Target="https://audio.iskcondesiretree.com/01_-_Srila_Prabhupada/01_-_Lectures/01_-_English/01_-_Topic_wise/Srimad_Bhagavatam/Canto-05/SP_SB_5-05-28_Vrindavan_1976-11-15_Maharajas_and_Maha-rascals.mp3" TargetMode="External"/><Relationship Id="rId234" Type="http://schemas.openxmlformats.org/officeDocument/2006/relationships/hyperlink" Target="https://audio.iskcondesiretree.com/01_-_Srila_Prabhupada/01_-_Lectures/01_-_English/01_-_Topic_wise/Srimad_Bhagavatam/Canto-01/SP_SB_1-03-01_San_Francisco_1968-03-28_God_Has_New_Orleans_Body_Like_Ours.mp3" TargetMode="External"/><Relationship Id="rId5425" Type="http://schemas.openxmlformats.org/officeDocument/2006/relationships/hyperlink" Target="https://audio.iskcondesiretree.com/01_-_Srila_Prabhupada/01_-_Lectures/01_-_English/02_-_Month_wise/11_-_November/15/Conv_1976-11-15_R1-VRNDAVAN.MP3" TargetMode="External"/><Relationship Id="rId233" Type="http://schemas.openxmlformats.org/officeDocument/2006/relationships/hyperlink" Target="https://audio.iskcondesiretree.com/01_-_Srila_Prabhupada/01_-_Lectures/01_-_English/02_-_Month_wise/03_-_March/23/MW_SF_1968-03-23_Prayer_for_a_Passionate_Planet.mp3" TargetMode="External"/><Relationship Id="rId5422" Type="http://schemas.openxmlformats.org/officeDocument/2006/relationships/hyperlink" Target="https://audio.iskcondesiretree.com/01_-_Srila_Prabhupada/01_-_Lectures/01_-_English/02_-_Month_wise/11_-_November/14/SB-05-05-27_1976-11-14_SB-VRNDAVAN.MP3" TargetMode="External"/><Relationship Id="rId232" Type="http://schemas.openxmlformats.org/officeDocument/2006/relationships/hyperlink" Target="https://audio.iskcondesiretree.com/01_-_Srila_Prabhupada/01_-_Lectures/01_-_English/01_-_Topic_wise/Morning_Walk/SP_Morning_Walk_-_San_Francisco_1968-03-23_Prayer_for_a_Passionate_Planet.mp3" TargetMode="External"/><Relationship Id="rId5423" Type="http://schemas.openxmlformats.org/officeDocument/2006/relationships/hyperlink" Target="https://audio.iskcondesiretree.com/01_-_Srila_Prabhupada/01_-_Lectures/01_-_English/02_-_Month_wise/11_-_November/14/SB_5-05-27_VRN_1976-11-14_The_Greatest_Bewilderment.mp3" TargetMode="External"/><Relationship Id="rId206" Type="http://schemas.openxmlformats.org/officeDocument/2006/relationships/hyperlink" Target="https://audio.iskcondesiretree.com/01_-_Srila_Prabhupada/01_-_Lectures/01_-_English/01_-_Topic_wise/Bhagavad_Gita/Chapter-10/SP_BG_10-04-05_New_York_1967-01-04_Knowledge--Understanding--etc.mp3" TargetMode="External"/><Relationship Id="rId205" Type="http://schemas.openxmlformats.org/officeDocument/2006/relationships/hyperlink" Target="https://audio.iskcondesiretree.com/01_-_Srila_Prabhupada/01_-_Lectures/01_-_English/02_-_Month_wise/01_-_January/03/Cc_M_21-001_NY_1967-01-03_They_Are_Very_Much_Serious_etc.mp3" TargetMode="External"/><Relationship Id="rId204" Type="http://schemas.openxmlformats.org/officeDocument/2006/relationships/hyperlink" Target="https://audio.iskcondesiretree.com/01_-_Srila_Prabhupada/01_-_Lectures/01_-_English/01_-_Topic_wise/Chaitanya_Charitamrita/Madhya_Lila/SP_CC_M_21-001_New_York_1967-01-03_They_Are_Very_Much_Serious--etc.mp3" TargetMode="External"/><Relationship Id="rId203" Type="http://schemas.openxmlformats.org/officeDocument/2006/relationships/hyperlink" Target="https://audio.iskcondesiretree.com/01_-_Srila_Prabhupada/01_-_Lectures/01_-_English/02_-_Month_wise/01_-_January/01/BG_10-02_NY_1967-01-01_The_Process_for_Understanding_God.mp3" TargetMode="External"/><Relationship Id="rId209" Type="http://schemas.openxmlformats.org/officeDocument/2006/relationships/hyperlink" Target="https://audio.iskcondesiretree.com/01_-_Srila_Prabhupada/01_-_Lectures/01_-_English/02_-_Month_wise/01_-_January/04/Cc_M_21-013_NY_1967-01-04_Brahma_and_Indra_Were_Astonished.mp3" TargetMode="External"/><Relationship Id="rId208" Type="http://schemas.openxmlformats.org/officeDocument/2006/relationships/hyperlink" Target="https://audio.iskcondesiretree.com/01_-_Srila_Prabhupada/01_-_Lectures/01_-_English/02_-_Month_wise/01_-_January/04/Bg_10-04_NY_1967-01-04_Knowledge--Understanding_etc.mp3" TargetMode="External"/><Relationship Id="rId207" Type="http://schemas.openxmlformats.org/officeDocument/2006/relationships/hyperlink" Target="https://audio.iskcondesiretree.com/01_-_Srila_Prabhupada/01_-_Lectures/01_-_English/01_-_Topic_wise/Chaitanya_Charitamrita/Madhya_Lila/SP_CC_M_21-013_New_York_1967-01-04_Brahma_and_Indra_Were_Astonished.mp3" TargetMode="External"/><Relationship Id="rId202" Type="http://schemas.openxmlformats.org/officeDocument/2006/relationships/hyperlink" Target="https://audio.iskcondesiretree.com/01_-_Srila_Prabhupada/01_-_Lectures/01_-_English/01_-_Topic_wise/Bhagavad_Gita/Chapter-10/SP_BG_10-02-03_New_York_1967-01-01_The_Process_for_Understanding_God.mp3" TargetMode="External"/><Relationship Id="rId201" Type="http://schemas.openxmlformats.org/officeDocument/2006/relationships/hyperlink" Target="https://audio.iskcondesiretree.com/01_-_Srila_Prabhupada/01_-_Lectures/01_-_English/02_-_Month_wise/12_-_December/31/Cc_M_20-367_NY_1966-12-31_Chief_Saktyavesa_Avatara.mp3" TargetMode="External"/><Relationship Id="rId200" Type="http://schemas.openxmlformats.org/officeDocument/2006/relationships/hyperlink" Target="https://audio.iskcondesiretree.com/01_-_Srila_Prabhupada/01_-_Lectures/01_-_English/01_-_Topic_wise/Chaitanya_Charitamrita/Madhya_Lila/SP_CC_M_20-367_New_York_1966-12-31_Chief_Saktyavesa_Avatara.mp3" TargetMode="External"/><Relationship Id="rId5490" Type="http://schemas.openxmlformats.org/officeDocument/2006/relationships/hyperlink" Target="https://audio.iskcondesiretree.com/01_-_Srila_Prabhupada/01_-_Lectures/01_-_English/01_-_Topic_wise/Bhagavad_Gita/Chapter-07/SP_BG_07-06_Hyderabad_1976-12-11_How_Have_We_Become_Bad.mp3" TargetMode="External"/><Relationship Id="rId4161" Type="http://schemas.openxmlformats.org/officeDocument/2006/relationships/hyperlink" Target="https://audio.iskcondesiretree.com/01_-_Srila_Prabhupada/01_-_Lectures/01_-_English/01_-_Topic_wise/Srimad_Bhagavatam/Canto-06/SP_SB_6-01-06_Nellore_1976-01-05_Cleansing_Away_Our_Criminality.mp3" TargetMode="External"/><Relationship Id="rId5493" Type="http://schemas.openxmlformats.org/officeDocument/2006/relationships/hyperlink" Target="https://audio.iskcondesiretree.com/01_-_Srila_Prabhupada/01_-_Lectures/01_-_English/01_-_Topic_wise/Bhagavad_Gita/Chapter-02/SP_BG_02-12_Hyderabad_1976-12-12_The_Minister_of_Defense_Has--etc.mp3" TargetMode="External"/><Relationship Id="rId4160" Type="http://schemas.openxmlformats.org/officeDocument/2006/relationships/hyperlink" Target="https://audio.iskcondesiretree.com/01_-_Srila_Prabhupada/01_-_Lectures/01_-_English/02_-_Month_wise/01_-_January/04/Walk_1976-01-04_MW-NELLORE.MP3" TargetMode="External"/><Relationship Id="rId5494" Type="http://schemas.openxmlformats.org/officeDocument/2006/relationships/hyperlink" Target="https://audio.iskcondesiretree.com/01_-_Srila_Prabhupada/01_-_Lectures/01_-_English/02_-_Month_wise/12_-_December/12/Bg-02-12_1976-12-12_BG-HYDERABAD.MP3" TargetMode="External"/><Relationship Id="rId4163" Type="http://schemas.openxmlformats.org/officeDocument/2006/relationships/hyperlink" Target="https://audio.iskcondesiretree.com/01_-_Srila_Prabhupada/01_-_Lectures/01_-_English/02_-_Month_wise/01_-_January/05/SB_6-01-06_NEL_1976-01-05_Cleansing_Away_Our_Criminality.mp3" TargetMode="External"/><Relationship Id="rId5491" Type="http://schemas.openxmlformats.org/officeDocument/2006/relationships/hyperlink" Target="https://audio.iskcondesiretree.com/01_-_Srila_Prabhupada/01_-_Lectures/01_-_English/02_-_Month_wise/12_-_December/11/Bg-07-06_1976-12-11_BG-HYDERABAD.MP3" TargetMode="External"/><Relationship Id="rId4162" Type="http://schemas.openxmlformats.org/officeDocument/2006/relationships/hyperlink" Target="https://audio.iskcondesiretree.com/01_-_Srila_Prabhupada/01_-_Lectures/01_-_English/02_-_Month_wise/01_-_January/05/SB-06-01-06_1976-01-05_SB-NELLORE.MP3" TargetMode="External"/><Relationship Id="rId5492" Type="http://schemas.openxmlformats.org/officeDocument/2006/relationships/hyperlink" Target="https://audio.iskcondesiretree.com/01_-_Srila_Prabhupada/01_-_Lectures/01_-_English/02_-_Month_wise/12_-_December/11/Bg_07-06_HYD_1976-12-11_How_Have_We_Become_Bad.mp3" TargetMode="External"/><Relationship Id="rId4165" Type="http://schemas.openxmlformats.org/officeDocument/2006/relationships/hyperlink" Target="https://audio.iskcondesiretree.com/01_-_Srila_Prabhupada/01_-_Lectures/01_-_English/02_-_Month_wise/01_-_January/06/MW_NEL_1976-01-06_Why_Not_Become_a_Wise_Man.mp3" TargetMode="External"/><Relationship Id="rId5497" Type="http://schemas.openxmlformats.org/officeDocument/2006/relationships/hyperlink" Target="https://audio.iskcondesiretree.com/01_-_Srila_Prabhupada/01_-_Lectures/01_-_English/01_-_Topic_wise/Bhagavad_Gita/Chapter-16/SP_BG_16-06_Hyderabad_1976-12-13_Vedic_Secular_State.mp3" TargetMode="External"/><Relationship Id="rId4164" Type="http://schemas.openxmlformats.org/officeDocument/2006/relationships/hyperlink" Target="https://audio.iskcondesiretree.com/01_-_Srila_Prabhupada/01_-_Lectures/01_-_English/01_-_Topic_wise/Morning_Walk/SP_Morning_Walk_-_Nellore_1976-01-06_Why_Not_Become_a_Wise_Man.mp3" TargetMode="External"/><Relationship Id="rId5498" Type="http://schemas.openxmlformats.org/officeDocument/2006/relationships/hyperlink" Target="https://audio.iskcondesiretree.com/01_-_Srila_Prabhupada/01_-_Lectures/01_-_English/02_-_Month_wise/12_-_December/13/Bg-16-06_1976-12-13_BG-HYDERABAD.MP3" TargetMode="External"/><Relationship Id="rId4167" Type="http://schemas.openxmlformats.org/officeDocument/2006/relationships/hyperlink" Target="https://audio.iskcondesiretree.com/01_-_Srila_Prabhupada/01_-_Lectures/01_-_English/01_-_Topic_wise/Srimad_Bhagavatam/Canto-06/SP_SB_6-01-09_Nellore_1976-01-07_Devotional_Desire.mp3" TargetMode="External"/><Relationship Id="rId5495" Type="http://schemas.openxmlformats.org/officeDocument/2006/relationships/hyperlink" Target="https://audio.iskcondesiretree.com/01_-_Srila_Prabhupada/01_-_Lectures/01_-_English/02_-_Month_wise/12_-_December/12/Bg_02-12_HYD_1976-12-12_The_Minister_of_Defense_Has_etc.mp3" TargetMode="External"/><Relationship Id="rId4166" Type="http://schemas.openxmlformats.org/officeDocument/2006/relationships/hyperlink" Target="https://audio.iskcondesiretree.com/01_-_Srila_Prabhupada/01_-_Lectures/01_-_English/02_-_Month_wise/01_-_January/06/Walk_1976-01-06_MW-NELLORE.MP3" TargetMode="External"/><Relationship Id="rId5496" Type="http://schemas.openxmlformats.org/officeDocument/2006/relationships/hyperlink" Target="https://audio.iskcondesiretree.com/01_-_Srila_Prabhupada/01_-_Lectures/01_-_English/02_-_Month_wise/12_-_December/12/Conv_1976-12-12_R1-HYDERABAD.MP3" TargetMode="External"/><Relationship Id="rId4169" Type="http://schemas.openxmlformats.org/officeDocument/2006/relationships/hyperlink" Target="https://audio.iskcondesiretree.com/01_-_Srila_Prabhupada/01_-_Lectures/01_-_English/02_-_Month_wise/01_-_January/07/SB-06-01-09_1976-01-07_SB-NELLORE.MP3" TargetMode="External"/><Relationship Id="rId4168" Type="http://schemas.openxmlformats.org/officeDocument/2006/relationships/hyperlink" Target="https://audio.iskcondesiretree.com/01_-_Srila_Prabhupada/01_-_Lectures/01_-_English/02_-_Month_wise/01_-_January/07/Conv_1976-01-07_R1-NELLORE.MP3" TargetMode="External"/><Relationship Id="rId5499" Type="http://schemas.openxmlformats.org/officeDocument/2006/relationships/hyperlink" Target="https://audio.iskcondesiretree.com/01_-_Srila_Prabhupada/01_-_Lectures/01_-_English/02_-_Month_wise/12_-_December/13/Bg_16-06_HYD_1976-12-13_Vedic_Secular_State.mp3" TargetMode="External"/><Relationship Id="rId4150" Type="http://schemas.openxmlformats.org/officeDocument/2006/relationships/hyperlink" Target="https://audio.iskcondesiretree.com/01_-_Srila_Prabhupada/01_-_Lectures/01_-_English/01_-_Topic_wise/Room_Conversation/SP_Room_Conversation_Nellore_1976-01-03_Napoleon-Drink_Horse_Urine.mp3" TargetMode="External"/><Relationship Id="rId5482" Type="http://schemas.openxmlformats.org/officeDocument/2006/relationships/hyperlink" Target="https://audio.iskcondesiretree.com/01_-_Srila_Prabhupada/01_-_Lectures/01_-_English/01_-_Topic_wise/Room_Conversation/SP_Room_Conversation_Hyderabad_1976-12-10_Scientists_Etiquette_Don%27t_Talk_of_God.mp3" TargetMode="External"/><Relationship Id="rId5483" Type="http://schemas.openxmlformats.org/officeDocument/2006/relationships/hyperlink" Target="https://audio.iskcondesiretree.com/01_-_Srila_Prabhupada/01_-_Lectures/01_-_English/01_-_Topic_wise/Various/SP_Lecture_Hyderabad_1976-12-10_Hearing_Srila_Bhaktisiddhanta_Was_My_Hobby.mp3" TargetMode="External"/><Relationship Id="rId4152" Type="http://schemas.openxmlformats.org/officeDocument/2006/relationships/hyperlink" Target="https://audio.iskcondesiretree.com/01_-_Srila_Prabhupada/01_-_Lectures/01_-_English/02_-_Month_wise/01_-_January/03/MW_NEL_1976-01-03_Independent_Thinking.mp3" TargetMode="External"/><Relationship Id="rId5480" Type="http://schemas.openxmlformats.org/officeDocument/2006/relationships/hyperlink" Target="https://audio.iskcondesiretree.com/01_-_Srila_Prabhupada/01_-_Lectures/01_-_English/01_-_Topic_wise/Festivals/SP_Festivals_Hyderabad_1976-12-10_Bhaktisiddhanta_Disappearance.mp3" TargetMode="External"/><Relationship Id="rId4151" Type="http://schemas.openxmlformats.org/officeDocument/2006/relationships/hyperlink" Target="https://audio.iskcondesiretree.com/01_-_Srila_Prabhupada/01_-_Lectures/01_-_English/02_-_Month_wise/01_-_January/03/Conv_1976-01-03_R1-NELLORE.MP3" TargetMode="External"/><Relationship Id="rId5481" Type="http://schemas.openxmlformats.org/officeDocument/2006/relationships/hyperlink" Target="https://audio.iskcondesiretree.com/01_-_Srila_Prabhupada/01_-_Lectures/01_-_English/01_-_Topic_wise/Room_Conversation/SP_Room_Conversation_Hyderabad_1976-12-10_Love_Feast_Was_Beginning.mp3" TargetMode="External"/><Relationship Id="rId4154" Type="http://schemas.openxmlformats.org/officeDocument/2006/relationships/hyperlink" Target="https://audio.iskcondesiretree.com/01_-_Srila_Prabhupada/01_-_Lectures/01_-_English/02_-_Month_wise/01_-_January/03/Walk_1976-01-03_MW-NELLORE.MP3" TargetMode="External"/><Relationship Id="rId5486" Type="http://schemas.openxmlformats.org/officeDocument/2006/relationships/hyperlink" Target="https://audio.iskcondesiretree.com/01_-_Srila_Prabhupada/01_-_Lectures/01_-_English/02_-_Month_wise/12_-_December/10/Fest_HYD_1976-12-10_Bhaktisiddhanta_Disappearance.mp3" TargetMode="External"/><Relationship Id="rId4153" Type="http://schemas.openxmlformats.org/officeDocument/2006/relationships/hyperlink" Target="https://audio.iskcondesiretree.com/01_-_Srila_Prabhupada/01_-_Lectures/01_-_English/02_-_Month_wise/01_-_January/03/RC_NEL_1976-01-03_Napoleon-Drink_Horse_Urine.mp3" TargetMode="External"/><Relationship Id="rId5487" Type="http://schemas.openxmlformats.org/officeDocument/2006/relationships/hyperlink" Target="https://audio.iskcondesiretree.com/01_-_Srila_Prabhupada/01_-_Lectures/01_-_English/02_-_Month_wise/12_-_December/10/Lect_HYD_1976-12-10_Hearing_Srila_Bhaktisiddhanta_Was_My_Hobby.mp3" TargetMode="External"/><Relationship Id="rId4156" Type="http://schemas.openxmlformats.org/officeDocument/2006/relationships/hyperlink" Target="https://audio.iskcondesiretree.com/01_-_Srila_Prabhupada/01_-_Lectures/01_-_English/01_-_Topic_wise/Various/SP_Lecture_Nellore_1976-01-04_Teach_What_Krishna_Has_Said.mp3" TargetMode="External"/><Relationship Id="rId5484" Type="http://schemas.openxmlformats.org/officeDocument/2006/relationships/hyperlink" Target="https://audio.iskcondesiretree.com/01_-_Srila_Prabhupada/01_-_Lectures/01_-_English/02_-_Month_wise/12_-_December/10/Bhaktisiddhanta_Disappearance_1976-12-10_DB-HYDERABAD.MP3" TargetMode="External"/><Relationship Id="rId4155" Type="http://schemas.openxmlformats.org/officeDocument/2006/relationships/hyperlink" Target="https://audio.iskcondesiretree.com/01_-_Srila_Prabhupada/01_-_Lectures/01_-_English/01_-_Topic_wise/Morning_Walk/SP_Morning_Walk_-_Nellore_1976-01-04_Caitanya_Mahaprabhu_Left_the--etc.mp3" TargetMode="External"/><Relationship Id="rId5485" Type="http://schemas.openxmlformats.org/officeDocument/2006/relationships/hyperlink" Target="https://audio.iskcondesiretree.com/01_-_Srila_Prabhupada/01_-_Lectures/01_-_English/02_-_Month_wise/12_-_December/10/Conv_1976-12-10_R1-HYDERABAD.MP3" TargetMode="External"/><Relationship Id="rId4158" Type="http://schemas.openxmlformats.org/officeDocument/2006/relationships/hyperlink" Target="https://audio.iskcondesiretree.com/01_-_Srila_Prabhupada/01_-_Lectures/01_-_English/02_-_Month_wise/01_-_January/04/Lecture_1976-01-04_LE-NELLORE.MP3" TargetMode="External"/><Relationship Id="rId4157" Type="http://schemas.openxmlformats.org/officeDocument/2006/relationships/hyperlink" Target="https://audio.iskcondesiretree.com/01_-_Srila_Prabhupada/01_-_Lectures/01_-_English/02_-_Month_wise/01_-_January/04/Lect_NEL_1976-01-04_Teach_What_Krishna_Has_Said.mp3" TargetMode="External"/><Relationship Id="rId5488" Type="http://schemas.openxmlformats.org/officeDocument/2006/relationships/hyperlink" Target="https://audio.iskcondesiretree.com/01_-_Srila_Prabhupada/01_-_Lectures/01_-_English/02_-_Month_wise/12_-_December/10/RC_HYD_1976-12-10_Love_Feast_Was_Beginning.mp3" TargetMode="External"/><Relationship Id="rId4159" Type="http://schemas.openxmlformats.org/officeDocument/2006/relationships/hyperlink" Target="https://audio.iskcondesiretree.com/01_-_Srila_Prabhupada/01_-_Lectures/01_-_English/02_-_Month_wise/01_-_January/04/MW_NEL_1976-01-04_Caitanya_Mahaprabhu_Left_the_etc.mp3" TargetMode="External"/><Relationship Id="rId5489" Type="http://schemas.openxmlformats.org/officeDocument/2006/relationships/hyperlink" Target="https://audio.iskcondesiretree.com/01_-_Srila_Prabhupada/01_-_Lectures/01_-_English/02_-_Month_wise/12_-_December/10/RC_HYD_1976-12-10_Scientists_Etiquette_Don%27t_Talk_of_God.mp3" TargetMode="External"/><Relationship Id="rId1910" Type="http://schemas.openxmlformats.org/officeDocument/2006/relationships/hyperlink" Target="https://audio.iskcondesiretree.com/01_-_Srila_Prabhupada/01_-_Lectures/01_-_English/02_-_Month_wise/04_-_April/21/SB-01-02-07_1974-04-21_SB-HYDERABAD.MP3" TargetMode="External"/><Relationship Id="rId1911" Type="http://schemas.openxmlformats.org/officeDocument/2006/relationships/hyperlink" Target="https://audio.iskcondesiretree.com/01_-_Srila_Prabhupada/01_-_Lectures/01_-_English/02_-_Month_wise/04_-_April/21/SB_1-02-07_HYD_1974-04-21_Understand_Your_Position.mp3" TargetMode="External"/><Relationship Id="rId1912" Type="http://schemas.openxmlformats.org/officeDocument/2006/relationships/hyperlink" Target="https://audio.iskcondesiretree.com/01_-_Srila_Prabhupada/01_-_Lectures/01_-_English/01_-_Topic_wise/Morning_Walk/SP_Morning_Walk_-_Hyderabad_1974-04-22_If_You_Love_God...Why_Disobey.mp3" TargetMode="External"/><Relationship Id="rId1913" Type="http://schemas.openxmlformats.org/officeDocument/2006/relationships/hyperlink" Target="https://audio.iskcondesiretree.com/01_-_Srila_Prabhupada/01_-_Lectures/01_-_English/01_-_Topic_wise/Srimad_Bhagavatam/Canto-01/SP_SB_1-02-08_Hyderabad_1974-04-22_Duty...or_a_Waste_of_Time.mp3" TargetMode="External"/><Relationship Id="rId1914" Type="http://schemas.openxmlformats.org/officeDocument/2006/relationships/hyperlink" Target="https://audio.iskcondesiretree.com/01_-_Srila_Prabhupada/01_-_Lectures/01_-_English/02_-_Month_wise/04_-_April/22/MW_HYD_1974-04-22_If_You_Love_God_Why_Disobey.mp3" TargetMode="External"/><Relationship Id="rId1915" Type="http://schemas.openxmlformats.org/officeDocument/2006/relationships/hyperlink" Target="https://audio.iskcondesiretree.com/01_-_Srila_Prabhupada/01_-_Lectures/01_-_English/02_-_Month_wise/04_-_April/22/SB-01-02-08_1974-04-22_SB-HYDERABAD.MP3" TargetMode="External"/><Relationship Id="rId1916" Type="http://schemas.openxmlformats.org/officeDocument/2006/relationships/hyperlink" Target="https://audio.iskcondesiretree.com/01_-_Srila_Prabhupada/01_-_Lectures/01_-_English/02_-_Month_wise/04_-_April/22/SB_1-02-08_HYD_1974-04-22_Duty_or_a_Waste_of_Time.mp3" TargetMode="External"/><Relationship Id="rId1917" Type="http://schemas.openxmlformats.org/officeDocument/2006/relationships/hyperlink" Target="https://audio.iskcondesiretree.com/01_-_Srila_Prabhupada/01_-_Lectures/01_-_English/02_-_Month_wise/04_-_April/22/Walk_1974-04-22_MW-HYDERABAD.MP3" TargetMode="External"/><Relationship Id="rId1918" Type="http://schemas.openxmlformats.org/officeDocument/2006/relationships/hyperlink" Target="https://audio.iskcondesiretree.com/01_-_Srila_Prabhupada/01_-_Lectures/01_-_English/01_-_Topic_wise/Morning_Walk/SP_Morning_Walk_-_Hyderabad_1974-04-23_Protect_Against_Degradation.mp3" TargetMode="External"/><Relationship Id="rId1919" Type="http://schemas.openxmlformats.org/officeDocument/2006/relationships/hyperlink" Target="https://audio.iskcondesiretree.com/01_-_Srila_Prabhupada/01_-_Lectures/01_-_English/01_-_Topic_wise/Srimad_Bhagavatam/Canto-01/SP_SB_1-02-09_Hyderabad_1974-04-23_Illusion_Realized.mp3" TargetMode="External"/><Relationship Id="rId4181" Type="http://schemas.openxmlformats.org/officeDocument/2006/relationships/hyperlink" Target="https://audio.iskcondesiretree.com/01_-_Srila_Prabhupada/01_-_Lectures/01_-_English/02_-_Month_wise/01_-_January/13/SB-05-05-02_Bengali_1976-01-13_SB-CALCUTTA.MP3" TargetMode="External"/><Relationship Id="rId4180" Type="http://schemas.openxmlformats.org/officeDocument/2006/relationships/hyperlink" Target="https://audio.iskcondesiretree.com/01_-_Srila_Prabhupada/01_-_Lectures/01_-_English/02_-_Month_wise/01_-_January/12/Walk_1976-01-12_MW-BOMBAY.MP3" TargetMode="External"/><Relationship Id="rId4183" Type="http://schemas.openxmlformats.org/officeDocument/2006/relationships/hyperlink" Target="https://audio.iskcondesiretree.com/01_-_Srila_Prabhupada/01_-_Lectures/01_-_English/02_-_Month_wise/01_-_January/14/SB-05-05-02_Bengali_1976-01-14_SB-CALCUTTA.MP3" TargetMode="External"/><Relationship Id="rId4182" Type="http://schemas.openxmlformats.org/officeDocument/2006/relationships/hyperlink" Target="https://audio.iskcondesiretree.com/01_-_Srila_Prabhupada/01_-_Lectures/01_-_English/02_-_Month_wise/01_-_January/13/Walk_1976-01-13_MW-CALCUTTA.MP3" TargetMode="External"/><Relationship Id="rId4185" Type="http://schemas.openxmlformats.org/officeDocument/2006/relationships/hyperlink" Target="https://audio.iskcondesiretree.com/01_-_Srila_Prabhupada/01_-_Lectures/01_-_English/02_-_Month_wise/01_-_January/15/Speech_1976-01-15_SE-MAYAPUR.MP3" TargetMode="External"/><Relationship Id="rId4184" Type="http://schemas.openxmlformats.org/officeDocument/2006/relationships/hyperlink" Target="https://audio.iskcondesiretree.com/01_-_Srila_Prabhupada/01_-_Lectures/01_-_English/02_-_Month_wise/01_-_January/15/Conv_1976-01-15_R1-MAYAPUR.MP3" TargetMode="External"/><Relationship Id="rId4187" Type="http://schemas.openxmlformats.org/officeDocument/2006/relationships/hyperlink" Target="https://audio.iskcondesiretree.com/01_-_Srila_Prabhupada/01_-_Lectures/01_-_English/01_-_Topic_wise/Room_Conversation/SP_Room_Conversation_Mayapur_1976-01-16_Science-Dogmatic_Foolishness.mp3" TargetMode="External"/><Relationship Id="rId4186" Type="http://schemas.openxmlformats.org/officeDocument/2006/relationships/hyperlink" Target="https://audio.iskcondesiretree.com/01_-_Srila_Prabhupada/01_-_Lectures/01_-_English/02_-_Month_wise/01_-_January/15/Walk_1976-01-15_MW-CALCUTTA.MP3" TargetMode="External"/><Relationship Id="rId4189" Type="http://schemas.openxmlformats.org/officeDocument/2006/relationships/hyperlink" Target="https://audio.iskcondesiretree.com/01_-_Srila_Prabhupada/01_-_Lectures/01_-_English/02_-_Month_wise/01_-_January/16/RC_MAY_1976-01-16_Science-Dogmatic_Foolishness.mp3" TargetMode="External"/><Relationship Id="rId4188" Type="http://schemas.openxmlformats.org/officeDocument/2006/relationships/hyperlink" Target="https://audio.iskcondesiretree.com/01_-_Srila_Prabhupada/01_-_Lectures/01_-_English/02_-_Month_wise/01_-_January/16/Conv_1976-01-16_R1-MAYAPUR.MP3" TargetMode="External"/><Relationship Id="rId1900" Type="http://schemas.openxmlformats.org/officeDocument/2006/relationships/hyperlink" Target="https://audio.iskcondesiretree.com/01_-_Srila_Prabhupada/01_-_Lectures/01_-_English/02_-_Month_wise/04_-_April/19/Walk_1974-04-19_MW-HYDERABAD.MP3" TargetMode="External"/><Relationship Id="rId1901" Type="http://schemas.openxmlformats.org/officeDocument/2006/relationships/hyperlink" Target="https://audio.iskcondesiretree.com/01_-_Srila_Prabhupada/01_-_Lectures/01_-_English/01_-_Topic_wise/Bhagavad_Gita/Chapter-13/SP_BG_13-04_Hyderabad_1974-04-20_The_Knowledge_from_Narayana.mp3" TargetMode="External"/><Relationship Id="rId1902" Type="http://schemas.openxmlformats.org/officeDocument/2006/relationships/hyperlink" Target="https://audio.iskcondesiretree.com/01_-_Srila_Prabhupada/01_-_Lectures/01_-_English/01_-_Topic_wise/Morning_Walk/SP_Morning_Walk_-_Hyderabad_1974-04-20_You_Have_Not_Seen_God...Liar.mp3" TargetMode="External"/><Relationship Id="rId1903" Type="http://schemas.openxmlformats.org/officeDocument/2006/relationships/hyperlink" Target="https://audio.iskcondesiretree.com/01_-_Srila_Prabhupada/01_-_Lectures/01_-_English/01_-_Topic_wise/Room_Conversation/SP_Room_Conversation_01_Bombay_1974-04-20.mp3" TargetMode="External"/><Relationship Id="rId1904" Type="http://schemas.openxmlformats.org/officeDocument/2006/relationships/hyperlink" Target="https://audio.iskcondesiretree.com/01_-_Srila_Prabhupada/01_-_Lectures/01_-_English/02_-_Month_wise/04_-_April/20/Bg-13-04_1974-04-20_BG-HYDERABAD.MP3" TargetMode="External"/><Relationship Id="rId1905" Type="http://schemas.openxmlformats.org/officeDocument/2006/relationships/hyperlink" Target="https://audio.iskcondesiretree.com/01_-_Srila_Prabhupada/01_-_Lectures/01_-_English/02_-_Month_wise/04_-_April/20/Bg_13-04_HYD_1974-04-20_The_Knowledge_from_Narayana.mp3" TargetMode="External"/><Relationship Id="rId1906" Type="http://schemas.openxmlformats.org/officeDocument/2006/relationships/hyperlink" Target="https://audio.iskcondesiretree.com/01_-_Srila_Prabhupada/01_-_Lectures/01_-_English/02_-_Month_wise/04_-_April/20/Conv_1974-04-20_R1-HYDERABAD.MP3" TargetMode="External"/><Relationship Id="rId1907" Type="http://schemas.openxmlformats.org/officeDocument/2006/relationships/hyperlink" Target="https://audio.iskcondesiretree.com/01_-_Srila_Prabhupada/01_-_Lectures/01_-_English/02_-_Month_wise/04_-_April/20/MW_HYD_1974-04-20_You_Have_Not_Seen_God_Liar.mp3" TargetMode="External"/><Relationship Id="rId1908" Type="http://schemas.openxmlformats.org/officeDocument/2006/relationships/hyperlink" Target="https://audio.iskcondesiretree.com/01_-_Srila_Prabhupada/01_-_Lectures/01_-_English/02_-_Month_wise/04_-_April/20/Walk_1974-04-20_MW-HYDERABAD.MP3" TargetMode="External"/><Relationship Id="rId1909" Type="http://schemas.openxmlformats.org/officeDocument/2006/relationships/hyperlink" Target="https://audio.iskcondesiretree.com/01_-_Srila_Prabhupada/01_-_Lectures/01_-_English/01_-_Topic_wise/Srimad_Bhagavatam/Canto-01/SP_SB_1-02-07_Hyderabad_1974-04-21_Understand_Your_Position.mp3" TargetMode="External"/><Relationship Id="rId4170" Type="http://schemas.openxmlformats.org/officeDocument/2006/relationships/hyperlink" Target="https://audio.iskcondesiretree.com/01_-_Srila_Prabhupada/01_-_Lectures/01_-_English/02_-_Month_wise/01_-_January/07/SB_6-01-09_NEL_1976-01-07_Devotional_Desire.mp3" TargetMode="External"/><Relationship Id="rId4172" Type="http://schemas.openxmlformats.org/officeDocument/2006/relationships/hyperlink" Target="https://audio.iskcondesiretree.com/01_-_Srila_Prabhupada/01_-_Lectures/01_-_English/01_-_Topic_wise/Srimad_Bhagavatam/Canto-06/SP_SB_6-01-15_Nellore_1976-01-08_Liberation_by_Pure_Understanding.mp3" TargetMode="External"/><Relationship Id="rId4171" Type="http://schemas.openxmlformats.org/officeDocument/2006/relationships/hyperlink" Target="https://audio.iskcondesiretree.com/01_-_Srila_Prabhupada/01_-_Lectures/01_-_English/01_-_Topic_wise/Room_Conversation/SP_Room_Conversation_Nellore_1976-01-08_Special_Eyes.mp3" TargetMode="External"/><Relationship Id="rId4174" Type="http://schemas.openxmlformats.org/officeDocument/2006/relationships/hyperlink" Target="https://audio.iskcondesiretree.com/01_-_Srila_Prabhupada/01_-_Lectures/01_-_English/02_-_Month_wise/01_-_January/08/RC_NEL_1976-01-08_Special_Eyes.mp3" TargetMode="External"/><Relationship Id="rId4173" Type="http://schemas.openxmlformats.org/officeDocument/2006/relationships/hyperlink" Target="https://audio.iskcondesiretree.com/01_-_Srila_Prabhupada/01_-_Lectures/01_-_English/02_-_Month_wise/01_-_January/08/Conv_1976-01-08_R1-NELLORE.MP3" TargetMode="External"/><Relationship Id="rId4176" Type="http://schemas.openxmlformats.org/officeDocument/2006/relationships/hyperlink" Target="https://audio.iskcondesiretree.com/01_-_Srila_Prabhupada/01_-_Lectures/01_-_English/02_-_Month_wise/01_-_January/08/SB_6-01-15_NEL_1976-01-08_Liberation_by_Pure_Understanding.mp3" TargetMode="External"/><Relationship Id="rId4175" Type="http://schemas.openxmlformats.org/officeDocument/2006/relationships/hyperlink" Target="https://audio.iskcondesiretree.com/01_-_Srila_Prabhupada/01_-_Lectures/01_-_English/02_-_Month_wise/01_-_January/08/SB-06-01-15_1976-01-08_SB-NELLORE.MP3" TargetMode="External"/><Relationship Id="rId4178" Type="http://schemas.openxmlformats.org/officeDocument/2006/relationships/hyperlink" Target="https://audio.iskcondesiretree.com/01_-_Srila_Prabhupada/01_-_Lectures/01_-_English/02_-_Month_wise/01_-_January/09/Walk_1976-01-09_MW-MADRAS.MP3" TargetMode="External"/><Relationship Id="rId4177" Type="http://schemas.openxmlformats.org/officeDocument/2006/relationships/hyperlink" Target="https://audio.iskcondesiretree.com/01_-_Srila_Prabhupada/01_-_Lectures/01_-_English/02_-_Month_wise/01_-_January/08/Walk_1976-01-08_MW-NELLORE.MP3" TargetMode="External"/><Relationship Id="rId4179" Type="http://schemas.openxmlformats.org/officeDocument/2006/relationships/hyperlink" Target="https://audio.iskcondesiretree.com/01_-_Srila_Prabhupada/01_-_Lectures/01_-_English/02_-_Month_wise/01_-_January/12/SB-05-05-01_Hindi_1976-01-12_SB-BOMBAY.MP3" TargetMode="External"/><Relationship Id="rId4129" Type="http://schemas.openxmlformats.org/officeDocument/2006/relationships/hyperlink" Target="https://audio.iskcondesiretree.com/01_-_Srila_Prabhupada/01_-_Lectures/01_-_English/02_-_Month_wise/12_-_December/26/Bg-16-07_1975-12-26_BG-SANAND.MP3" TargetMode="External"/><Relationship Id="rId4128" Type="http://schemas.openxmlformats.org/officeDocument/2006/relationships/hyperlink" Target="https://audio.iskcondesiretree.com/01_-_Srila_Prabhupada/01_-_Lectures/01_-_English/01_-_Topic_wise/Room_Conversation/SP_Room_Conversation_Sanand_1975-12-26_Hampered_Enjoyment.mp3" TargetMode="External"/><Relationship Id="rId5459" Type="http://schemas.openxmlformats.org/officeDocument/2006/relationships/hyperlink" Target="https://audio.iskcondesiretree.com/01_-_Srila_Prabhupada/01_-_Lectures/01_-_English/02_-_Month_wise/11_-_November/27/SB-05-06-05_1976-11-27_SB-VRNDAVAN.MP3" TargetMode="External"/><Relationship Id="rId5450" Type="http://schemas.openxmlformats.org/officeDocument/2006/relationships/hyperlink" Target="https://audio.iskcondesiretree.com/01_-_Srila_Prabhupada/01_-_Lectures/01_-_English/02_-_Month_wise/11_-_November/24/SB-05-06-02_1976-11-24_SB-VRNDAVAN.MP3" TargetMode="External"/><Relationship Id="rId4121" Type="http://schemas.openxmlformats.org/officeDocument/2006/relationships/hyperlink" Target="https://audio.iskcondesiretree.com/01_-_Srila_Prabhupada/01_-_Lectures/01_-_English/02_-_Month_wise/12_-_December/24/Lecture%E2%80%93Hindi_1975-12-24_LE-SANAND.MP3" TargetMode="External"/><Relationship Id="rId5453" Type="http://schemas.openxmlformats.org/officeDocument/2006/relationships/hyperlink" Target="https://audio.iskcondesiretree.com/01_-_Srila_Prabhupada/01_-_Lectures/01_-_English/02_-_Month_wise/11_-_November/25/SB-05-06-03_1976-11-25_SB-VRNDAVAN.MP3" TargetMode="External"/><Relationship Id="rId4120" Type="http://schemas.openxmlformats.org/officeDocument/2006/relationships/hyperlink" Target="https://audio.iskcondesiretree.com/01_-_Srila_Prabhupada/01_-_Lectures/01_-_English/02_-_Month_wise/12_-_December/23/Walk_1975-12-23_MW-BOMBAY.MP3" TargetMode="External"/><Relationship Id="rId5454" Type="http://schemas.openxmlformats.org/officeDocument/2006/relationships/hyperlink" Target="https://audio.iskcondesiretree.com/01_-_Srila_Prabhupada/01_-_Lectures/01_-_English/02_-_Month_wise/11_-_November/25/SB_5-06-03_VRN_1976-11-25_Never_Trust_Your_Mind.mp3" TargetMode="External"/><Relationship Id="rId4123" Type="http://schemas.openxmlformats.org/officeDocument/2006/relationships/hyperlink" Target="https://audio.iskcondesiretree.com/01_-_Srila_Prabhupada/01_-_Lectures/01_-_English/01_-_Topic_wise/Various/SP_Lecture_Sanand_1975-12-25_Follow...or_Folly.mp3" TargetMode="External"/><Relationship Id="rId5451" Type="http://schemas.openxmlformats.org/officeDocument/2006/relationships/hyperlink" Target="https://audio.iskcondesiretree.com/01_-_Srila_Prabhupada/01_-_Lectures/01_-_English/01_-_Topic_wise/Srimad_Bhagavatam/Canto-05/SP_SB_5-06-03_Vrindavan_1976-11-25_Never_Trust_Your_Mind.mp3" TargetMode="External"/><Relationship Id="rId4122" Type="http://schemas.openxmlformats.org/officeDocument/2006/relationships/hyperlink" Target="https://audio.iskcondesiretree.com/01_-_Srila_Prabhupada/01_-_Lectures/01_-_English/02_-_Month_wise/12_-_December/24/Walk_1975-12-24_MW-BOMBAY.MP3" TargetMode="External"/><Relationship Id="rId5452" Type="http://schemas.openxmlformats.org/officeDocument/2006/relationships/hyperlink" Target="https://audio.iskcondesiretree.com/01_-_Srila_Prabhupada/01_-_Lectures/01_-_English/02_-_Month_wise/11_-_November/25/Conv_1976-11-25_R1-VRNDAVAN.MP3" TargetMode="External"/><Relationship Id="rId4125" Type="http://schemas.openxmlformats.org/officeDocument/2006/relationships/hyperlink" Target="https://audio.iskcondesiretree.com/01_-_Srila_Prabhupada/01_-_Lectures/01_-_English/02_-_Month_wise/12_-_December/25/Lect_SAN_1975-12-25_Follow_or_Folly.mp3" TargetMode="External"/><Relationship Id="rId5457" Type="http://schemas.openxmlformats.org/officeDocument/2006/relationships/hyperlink" Target="https://audio.iskcondesiretree.com/01_-_Srila_Prabhupada/01_-_Lectures/01_-_English/02_-_Month_wise/11_-_November/26/SB_5-06-04_VRN_1976-11-26_The_Unchaste_Mind.mp3" TargetMode="External"/><Relationship Id="rId4124" Type="http://schemas.openxmlformats.org/officeDocument/2006/relationships/hyperlink" Target="https://audio.iskcondesiretree.com/01_-_Srila_Prabhupada/01_-_Lectures/01_-_English/02_-_Month_wise/12_-_December/25/Bg-07-01_1975-12-25_BG-SANAND.MP3" TargetMode="External"/><Relationship Id="rId5458" Type="http://schemas.openxmlformats.org/officeDocument/2006/relationships/hyperlink" Target="https://audio.iskcondesiretree.com/01_-_Srila_Prabhupada/01_-_Lectures/01_-_English/01_-_Topic_wise/Srimad_Bhagavatam/Canto-05/SP_SB_5-06-05_Vrindavan_1976-11-27_Divine_Couple.mp3" TargetMode="External"/><Relationship Id="rId4127" Type="http://schemas.openxmlformats.org/officeDocument/2006/relationships/hyperlink" Target="https://audio.iskcondesiretree.com/01_-_Srila_Prabhupada/01_-_Lectures/01_-_English/01_-_Topic_wise/Bhagavad_Gita/Chapter-16/SP_BG_16-07_Sanand_1975-12-26_From_Papa-yoni_to_Devata.mp3" TargetMode="External"/><Relationship Id="rId5455" Type="http://schemas.openxmlformats.org/officeDocument/2006/relationships/hyperlink" Target="https://audio.iskcondesiretree.com/01_-_Srila_Prabhupada/01_-_Lectures/01_-_English/01_-_Topic_wise/Srimad_Bhagavatam/Canto-05/SP_SB_5-06-04_Vrindavan_1976-11-26_The_Unchaste_Mind.mp3" TargetMode="External"/><Relationship Id="rId4126" Type="http://schemas.openxmlformats.org/officeDocument/2006/relationships/hyperlink" Target="https://audio.iskcondesiretree.com/01_-_Srila_Prabhupada/01_-_Lectures/01_-_English/02_-_Month_wise/12_-_December/25/Walk_1975-12-25_MW-SANAND.MP3" TargetMode="External"/><Relationship Id="rId5456" Type="http://schemas.openxmlformats.org/officeDocument/2006/relationships/hyperlink" Target="https://audio.iskcondesiretree.com/01_-_Srila_Prabhupada/01_-_Lectures/01_-_English/02_-_Month_wise/11_-_November/26/SB-05-06-04_1976-11-26_SB-VRNDAVAN.MP3" TargetMode="External"/><Relationship Id="rId4118" Type="http://schemas.openxmlformats.org/officeDocument/2006/relationships/hyperlink" Target="https://audio.iskcondesiretree.com/01_-_Srila_Prabhupada/01_-_Lectures/01_-_English/02_-_Month_wise/12_-_December/23/MW_BOM_1975-12-23_Bhakti_Not_Business.mp3" TargetMode="External"/><Relationship Id="rId4117" Type="http://schemas.openxmlformats.org/officeDocument/2006/relationships/hyperlink" Target="https://audio.iskcondesiretree.com/01_-_Srila_Prabhupada/01_-_Lectures/01_-_English/01_-_Topic_wise/Morning_Walk/SP_Morning_Walk_-_Bombay_1975-12-23_In_Love_with_God_24_Hours_a_Day.mp3" TargetMode="External"/><Relationship Id="rId5448" Type="http://schemas.openxmlformats.org/officeDocument/2006/relationships/hyperlink" Target="https://audio.iskcondesiretree.com/01_-_Srila_Prabhupada/01_-_Lectures/01_-_English/02_-_Month_wise/11_-_November/23/SB-05-06-01_1976-11-23_SB-VRNDAVAN.MP3" TargetMode="External"/><Relationship Id="rId4119" Type="http://schemas.openxmlformats.org/officeDocument/2006/relationships/hyperlink" Target="https://audio.iskcondesiretree.com/01_-_Srila_Prabhupada/01_-_Lectures/01_-_English/02_-_Month_wise/12_-_December/23/MW_BOM_1975-12-23_In_Love_with_God_24_Hours_a_Day.mp3" TargetMode="External"/><Relationship Id="rId5449" Type="http://schemas.openxmlformats.org/officeDocument/2006/relationships/hyperlink" Target="https://audio.iskcondesiretree.com/01_-_Srila_Prabhupada/01_-_Lectures/01_-_English/02_-_Month_wise/11_-_November/24/Conv_1976-11-24_R1-VRNDAVAN.MP3" TargetMode="External"/><Relationship Id="rId4110" Type="http://schemas.openxmlformats.org/officeDocument/2006/relationships/hyperlink" Target="https://audio.iskcondesiretree.com/01_-_Srila_Prabhupada/01_-_Lectures/01_-_English/02_-_Month_wise/12_-_December/20/Walk_1975-12-20_MW-BOMBAY.MP3" TargetMode="External"/><Relationship Id="rId5442" Type="http://schemas.openxmlformats.org/officeDocument/2006/relationships/hyperlink" Target="https://audio.iskcondesiretree.com/01_-_Srila_Prabhupada/01_-_Lectures/01_-_English/02_-_Month_wise/11_-_November/20/SB-05-05-33_1976-11-20_SB-VRNDAVAN.MP3" TargetMode="External"/><Relationship Id="rId5443" Type="http://schemas.openxmlformats.org/officeDocument/2006/relationships/hyperlink" Target="https://audio.iskcondesiretree.com/01_-_Srila_Prabhupada/01_-_Lectures/01_-_English/02_-_Month_wise/11_-_November/20/SB_5-05-33_VRN_1976-11-20_Ask_Rascal_Incarnations_etc.mp3" TargetMode="External"/><Relationship Id="rId4112" Type="http://schemas.openxmlformats.org/officeDocument/2006/relationships/hyperlink" Target="https://audio.iskcondesiretree.com/01_-_Srila_Prabhupada/01_-_Lectures/01_-_English/01_-_Topic_wise/Festivals/SP_Festivals_Bombay_1975-12-22_Bhaktisiddhanta_Disappearance.mp3" TargetMode="External"/><Relationship Id="rId5440" Type="http://schemas.openxmlformats.org/officeDocument/2006/relationships/hyperlink" Target="https://audio.iskcondesiretree.com/01_-_Srila_Prabhupada/01_-_Lectures/01_-_English/02_-_Month_wise/11_-_November/20/Conv_1976-11-20_R1-VRNDAVAN.MP3" TargetMode="External"/><Relationship Id="rId4111" Type="http://schemas.openxmlformats.org/officeDocument/2006/relationships/hyperlink" Target="https://audio.iskcondesiretree.com/01_-_Srila_Prabhupada/01_-_Lectures/01_-_English/01_-_Topic_wise/Bhagavad_Gita/Chapter-16/SP_BG_16-07_Bombay_1975-12-22_Demons_and_Devotees.mp3" TargetMode="External"/><Relationship Id="rId5441" Type="http://schemas.openxmlformats.org/officeDocument/2006/relationships/hyperlink" Target="https://audio.iskcondesiretree.com/01_-_Srila_Prabhupada/01_-_Lectures/01_-_English/02_-_Month_wise/11_-_November/20/RC_VRN_1976-11-20_Skyscraper_Thoughts_Dangerous.mp3" TargetMode="External"/><Relationship Id="rId4114" Type="http://schemas.openxmlformats.org/officeDocument/2006/relationships/hyperlink" Target="https://audio.iskcondesiretree.com/01_-_Srila_Prabhupada/01_-_Lectures/01_-_English/02_-_Month_wise/12_-_December/22/Bg_16-07_BOM_1975-12-22_Demons_and_Devotees.mp3" TargetMode="External"/><Relationship Id="rId5446" Type="http://schemas.openxmlformats.org/officeDocument/2006/relationships/hyperlink" Target="https://audio.iskcondesiretree.com/01_-_Srila_Prabhupada/01_-_Lectures/01_-_English/02_-_Month_wise/11_-_November/21/SB_5-05-34_VRN_1976-11-21_Brahmacari_Escapes_Tribulation.mp3" TargetMode="External"/><Relationship Id="rId4113" Type="http://schemas.openxmlformats.org/officeDocument/2006/relationships/hyperlink" Target="https://audio.iskcondesiretree.com/01_-_Srila_Prabhupada/01_-_Lectures/01_-_English/02_-_Month_wise/12_-_December/22/Bg-16-07_1975-12-22_DB-BOMBAY.MP3" TargetMode="External"/><Relationship Id="rId5447" Type="http://schemas.openxmlformats.org/officeDocument/2006/relationships/hyperlink" Target="https://audio.iskcondesiretree.com/01_-_Srila_Prabhupada/01_-_Lectures/01_-_English/02_-_Month_wise/11_-_November/22/SB-05-05-35_1976-11-22_SB-VRNDAVAN.MP3" TargetMode="External"/><Relationship Id="rId4116" Type="http://schemas.openxmlformats.org/officeDocument/2006/relationships/hyperlink" Target="https://audio.iskcondesiretree.com/01_-_Srila_Prabhupada/01_-_Lectures/01_-_English/01_-_Topic_wise/Morning_Walk/SP_Morning_Walk_-_Bombay_1975-12-23_Bhakti...Not_Business.mp3" TargetMode="External"/><Relationship Id="rId5444" Type="http://schemas.openxmlformats.org/officeDocument/2006/relationships/hyperlink" Target="https://audio.iskcondesiretree.com/01_-_Srila_Prabhupada/01_-_Lectures/01_-_English/01_-_Topic_wise/Srimad_Bhagavatam/Canto-05/SP_SB_5-05-34_Vrindavan_1976-11-21_Brahmacari_Escapes_Tribulation.mp3" TargetMode="External"/><Relationship Id="rId4115" Type="http://schemas.openxmlformats.org/officeDocument/2006/relationships/hyperlink" Target="https://audio.iskcondesiretree.com/01_-_Srila_Prabhupada/01_-_Lectures/01_-_English/02_-_Month_wise/12_-_December/22/Fest_BOM_1975-12-22_Bhaktisiddhanta_Disappearance.mp3" TargetMode="External"/><Relationship Id="rId5445" Type="http://schemas.openxmlformats.org/officeDocument/2006/relationships/hyperlink" Target="https://audio.iskcondesiretree.com/01_-_Srila_Prabhupada/01_-_Lectures/01_-_English/02_-_Month_wise/11_-_November/21/SB-05-05-34_1976-11-21_SB-VRNDAVAN.MP3" TargetMode="External"/><Relationship Id="rId5471" Type="http://schemas.openxmlformats.org/officeDocument/2006/relationships/hyperlink" Target="https://audio.iskcondesiretree.com/01_-_Srila_Prabhupada/01_-_Lectures/01_-_English/02_-_Month_wise/12_-_December/03/Darshan_1976-12-03_ED-HYDERABAD.MP3" TargetMode="External"/><Relationship Id="rId5472" Type="http://schemas.openxmlformats.org/officeDocument/2006/relationships/hyperlink" Target="https://audio.iskcondesiretree.com/01_-_Srila_Prabhupada/01_-_Lectures/01_-_English/02_-_Month_wise/12_-_December/03/RC_HYD_1976-12-03_Evening_Darshan.mp3" TargetMode="External"/><Relationship Id="rId4141" Type="http://schemas.openxmlformats.org/officeDocument/2006/relationships/hyperlink" Target="https://audio.iskcondesiretree.com/01_-_Srila_Prabhupada/01_-_Lectures/01_-_English/02_-_Month_wise/01_-_January/01/Bg-03-27_1976-01-01-MADRAS.MP3" TargetMode="External"/><Relationship Id="rId4140" Type="http://schemas.openxmlformats.org/officeDocument/2006/relationships/hyperlink" Target="https://audio.iskcondesiretree.com/01_-_Srila_Prabhupada/01_-_Lectures/01_-_English/01_-_Topic_wise/Bhagavad_Gita/Chapter-03/SP_BG_03-07_Madras_1976-01-01_Educating_the_Mudhas.mp3" TargetMode="External"/><Relationship Id="rId5470" Type="http://schemas.openxmlformats.org/officeDocument/2006/relationships/hyperlink" Target="https://audio.iskcondesiretree.com/01_-_Srila_Prabhupada/01_-_Lectures/01_-_English/01_-_Topic_wise/Room_Conversation/SP_Room_Conversation_Hyderabad_1976-12-03_Evening_Darshan.mp3" TargetMode="External"/><Relationship Id="rId4143" Type="http://schemas.openxmlformats.org/officeDocument/2006/relationships/hyperlink" Target="https://audio.iskcondesiretree.com/01_-_Srila_Prabhupada/01_-_Lectures/01_-_English/01_-_Topic_wise/Morning_Walk/SP_Morning_Walk_-_Madras_1976-01-02_Bodily_Spirituality_Exposed.mp3" TargetMode="External"/><Relationship Id="rId5475" Type="http://schemas.openxmlformats.org/officeDocument/2006/relationships/hyperlink" Target="https://audio.iskcondesiretree.com/01_-_Srila_Prabhupada/01_-_Lectures/01_-_English/02_-_Month_wise/12_-_December/05/Conv_1976-12-05_R1-HYDERABAD.MP3" TargetMode="External"/><Relationship Id="rId4142" Type="http://schemas.openxmlformats.org/officeDocument/2006/relationships/hyperlink" Target="https://audio.iskcondesiretree.com/01_-_Srila_Prabhupada/01_-_Lectures/01_-_English/02_-_Month_wise/01_-_January/01/BG_03-07_MAD_1976-01-01_Educating_the_Mudhas.mp3" TargetMode="External"/><Relationship Id="rId5476" Type="http://schemas.openxmlformats.org/officeDocument/2006/relationships/hyperlink" Target="https://audio.iskcondesiretree.com/01_-_Srila_Prabhupada/01_-_Lectures/01_-_English/02_-_Month_wise/12_-_December/05/Walk_1976-12-05_MW-HYDERABAD.MP3" TargetMode="External"/><Relationship Id="rId4145" Type="http://schemas.openxmlformats.org/officeDocument/2006/relationships/hyperlink" Target="https://audio.iskcondesiretree.com/01_-_Srila_Prabhupada/01_-_Lectures/01_-_English/02_-_Month_wise/01_-_January/02/MW_MAD_1976-01-02_Bodily_Spirituality_Exposed.mp3" TargetMode="External"/><Relationship Id="rId5473" Type="http://schemas.openxmlformats.org/officeDocument/2006/relationships/hyperlink" Target="https://audio.iskcondesiretree.com/01_-_Srila_Prabhupada/01_-_Lectures/01_-_English/02_-_Month_wise/12_-_December/04/Darshan%E2%80%93Hindi_1976-12-04_ED-HYDERABAD.MP3" TargetMode="External"/><Relationship Id="rId4144" Type="http://schemas.openxmlformats.org/officeDocument/2006/relationships/hyperlink" Target="https://audio.iskcondesiretree.com/01_-_Srila_Prabhupada/01_-_Lectures/01_-_English/01_-_Topic_wise/Srimad_Bhagavatam/Canto-07/SP_SB_7-06-01_Madras_1976-01-02_Spiritual_Convalescence_%26_Cure.mp3" TargetMode="External"/><Relationship Id="rId5474" Type="http://schemas.openxmlformats.org/officeDocument/2006/relationships/hyperlink" Target="https://audio.iskcondesiretree.com/01_-_Srila_Prabhupada/01_-_Lectures/01_-_English/02_-_Month_wise/12_-_December/04/Walk_1976-12-04_MW-HYDERABAD.MP3" TargetMode="External"/><Relationship Id="rId4147" Type="http://schemas.openxmlformats.org/officeDocument/2006/relationships/hyperlink" Target="https://audio.iskcondesiretree.com/01_-_Srila_Prabhupada/01_-_Lectures/01_-_English/02_-_Month_wise/01_-_January/02/SB_7-06-01_MAD_1976-01-02_Spiritual_Convalescence_%26_Cure.mp3" TargetMode="External"/><Relationship Id="rId5479" Type="http://schemas.openxmlformats.org/officeDocument/2006/relationships/hyperlink" Target="https://audio.iskcondesiretree.com/01_-_Srila_Prabhupada/01_-_Lectures/01_-_English/02_-_Month_wise/12_-_December/09/Conv_1976-12-09_R1-HYDERABAD.MP3" TargetMode="External"/><Relationship Id="rId4146" Type="http://schemas.openxmlformats.org/officeDocument/2006/relationships/hyperlink" Target="https://audio.iskcondesiretree.com/01_-_Srila_Prabhupada/01_-_Lectures/01_-_English/02_-_Month_wise/01_-_January/02/SB-07-06-01_1976-01-02_SB-MADRAS.MP3" TargetMode="External"/><Relationship Id="rId4149" Type="http://schemas.openxmlformats.org/officeDocument/2006/relationships/hyperlink" Target="https://audio.iskcondesiretree.com/01_-_Srila_Prabhupada/01_-_Lectures/01_-_English/01_-_Topic_wise/Morning_Walk/SP_Morning_Walk_-_Nellore_1976-01-03_Independent_Thinking.mp3" TargetMode="External"/><Relationship Id="rId5477" Type="http://schemas.openxmlformats.org/officeDocument/2006/relationships/hyperlink" Target="https://audio.iskcondesiretree.com/01_-_Srila_Prabhupada/01_-_Lectures/01_-_English/02_-_Month_wise/12_-_December/07/Conv_1976-12-07_R1-HYDERABAD.MP3" TargetMode="External"/><Relationship Id="rId4148" Type="http://schemas.openxmlformats.org/officeDocument/2006/relationships/hyperlink" Target="https://audio.iskcondesiretree.com/01_-_Srila_Prabhupada/01_-_Lectures/01_-_English/02_-_Month_wise/01_-_January/02/Walk_1976-01-02_MW-MADRAS.MP3" TargetMode="External"/><Relationship Id="rId5478" Type="http://schemas.openxmlformats.org/officeDocument/2006/relationships/hyperlink" Target="https://audio.iskcondesiretree.com/01_-_Srila_Prabhupada/01_-_Lectures/01_-_English/02_-_Month_wise/12_-_December/07/Walk_1976-12-07_MW-HYDERABAD.MP3" TargetMode="External"/><Relationship Id="rId4139" Type="http://schemas.openxmlformats.org/officeDocument/2006/relationships/hyperlink" Target="https://audio.iskcondesiretree.com/01_-_Srila_Prabhupada/01_-_Lectures/01_-_English/02_-_Month_wise/12_-_December/28/Bg-07-02%E2%80%93Hindi_1975-12-28_BG-SANAND.MP3" TargetMode="External"/><Relationship Id="rId5460" Type="http://schemas.openxmlformats.org/officeDocument/2006/relationships/hyperlink" Target="https://audio.iskcondesiretree.com/01_-_Srila_Prabhupada/01_-_Lectures/01_-_English/02_-_Month_wise/11_-_November/27/SB_5-06-05_VRN_1976-11-27_Divine_Couple.mp3" TargetMode="External"/><Relationship Id="rId5461" Type="http://schemas.openxmlformats.org/officeDocument/2006/relationships/hyperlink" Target="https://audio.iskcondesiretree.com/01_-_Srila_Prabhupada/01_-_Lectures/01_-_English/01_-_Topic_wise/Srimad_Bhagavatam/Canto-05/SP_SB_5-05-06_Vrindavan_1976-11-28_Krishna%27s_Criminal_and_Civil_depts.mp3" TargetMode="External"/><Relationship Id="rId4130" Type="http://schemas.openxmlformats.org/officeDocument/2006/relationships/hyperlink" Target="https://audio.iskcondesiretree.com/01_-_Srila_Prabhupada/01_-_Lectures/01_-_English/02_-_Month_wise/12_-_December/26/Bg_16-07_SAN_1975-12-26_From_Papa-yoni_to_Devata.mp3" TargetMode="External"/><Relationship Id="rId4132" Type="http://schemas.openxmlformats.org/officeDocument/2006/relationships/hyperlink" Target="https://audio.iskcondesiretree.com/01_-_Srila_Prabhupada/01_-_Lectures/01_-_English/02_-_Month_wise/12_-_December/26/Lecture%E2%80%93Hindi_1975-12-26_LE-SANAND.MP3" TargetMode="External"/><Relationship Id="rId5464" Type="http://schemas.openxmlformats.org/officeDocument/2006/relationships/hyperlink" Target="https://audio.iskcondesiretree.com/01_-_Srila_Prabhupada/01_-_Lectures/01_-_English/01_-_Topic_wise/Srimad_Bhagavatam/Canto-05/SP_SB_5-06-07_Vrindavan_1976-11-29_Mayavadis_Think_Krishna_Is_Maya.mp3" TargetMode="External"/><Relationship Id="rId4131" Type="http://schemas.openxmlformats.org/officeDocument/2006/relationships/hyperlink" Target="https://audio.iskcondesiretree.com/01_-_Srila_Prabhupada/01_-_Lectures/01_-_English/02_-_Month_wise/12_-_December/26/Conv_1975-12-26_RF-SANAND.MP3" TargetMode="External"/><Relationship Id="rId5465" Type="http://schemas.openxmlformats.org/officeDocument/2006/relationships/hyperlink" Target="https://audio.iskcondesiretree.com/01_-_Srila_Prabhupada/01_-_Lectures/01_-_English/02_-_Month_wise/11_-_November/29/SB-05-06-07_1976-11-29_SB-VRNDAVAN.MP3" TargetMode="External"/><Relationship Id="rId4134" Type="http://schemas.openxmlformats.org/officeDocument/2006/relationships/hyperlink" Target="https://audio.iskcondesiretree.com/01_-_Srila_Prabhupada/01_-_Lectures/01_-_English/02_-_Month_wise/12_-_December/26/Walk_1975-12-26_MW-SANAND.MP3" TargetMode="External"/><Relationship Id="rId5462" Type="http://schemas.openxmlformats.org/officeDocument/2006/relationships/hyperlink" Target="https://audio.iskcondesiretree.com/01_-_Srila_Prabhupada/01_-_Lectures/01_-_English/02_-_Month_wise/11_-_November/28/SB-05-06-06_1976-11-28_SB-VRNDAVAN.MP3" TargetMode="External"/><Relationship Id="rId4133" Type="http://schemas.openxmlformats.org/officeDocument/2006/relationships/hyperlink" Target="https://audio.iskcondesiretree.com/01_-_Srila_Prabhupada/01_-_Lectures/01_-_English/02_-_Month_wise/12_-_December/26/RC_SAN_1975-12-26_Hampered_Enjoyment.mp3" TargetMode="External"/><Relationship Id="rId5463" Type="http://schemas.openxmlformats.org/officeDocument/2006/relationships/hyperlink" Target="https://audio.iskcondesiretree.com/01_-_Srila_Prabhupada/01_-_Lectures/01_-_English/02_-_Month_wise/11_-_November/28/SB_5-05-06_VRN_1976-11-28_Krishna%27s_Criminal_and_Civil_depts.mp3" TargetMode="External"/><Relationship Id="rId4136" Type="http://schemas.openxmlformats.org/officeDocument/2006/relationships/hyperlink" Target="https://audio.iskcondesiretree.com/01_-_Srila_Prabhupada/01_-_Lectures/01_-_English/02_-_Month_wise/12_-_December/27/Bg-03-14_1975-12-27_BG-SANAND.MP3" TargetMode="External"/><Relationship Id="rId5468" Type="http://schemas.openxmlformats.org/officeDocument/2006/relationships/hyperlink" Target="https://audio.iskcondesiretree.com/01_-_Srila_Prabhupada/01_-_Lectures/01_-_English/02_-_Month_wise/11_-_November/30/SB-05-06-08_1976-11-30_SB-VRNDAVAN.MP3" TargetMode="External"/><Relationship Id="rId4135" Type="http://schemas.openxmlformats.org/officeDocument/2006/relationships/hyperlink" Target="https://audio.iskcondesiretree.com/01_-_Srila_Prabhupada/01_-_Lectures/01_-_English/01_-_Topic_wise/Various/SP_Lecture_Sanand_1975-12-27_Attachment_to_Krishna_Is_Natural.mp3" TargetMode="External"/><Relationship Id="rId5469" Type="http://schemas.openxmlformats.org/officeDocument/2006/relationships/hyperlink" Target="https://audio.iskcondesiretree.com/01_-_Srila_Prabhupada/01_-_Lectures/01_-_English/02_-_Month_wise/11_-_November/30/SB_5-06-08_VRN_1976-11-30_Fire_Brigade_Cannot_etc.mp3" TargetMode="External"/><Relationship Id="rId4138" Type="http://schemas.openxmlformats.org/officeDocument/2006/relationships/hyperlink" Target="https://audio.iskcondesiretree.com/01_-_Srila_Prabhupada/01_-_Lectures/01_-_English/02_-_Month_wise/12_-_December/27/Lect_SAN_1975-12-27_Attachment_to_Krishna_Is_Natural.mp3" TargetMode="External"/><Relationship Id="rId5466" Type="http://schemas.openxmlformats.org/officeDocument/2006/relationships/hyperlink" Target="https://audio.iskcondesiretree.com/01_-_Srila_Prabhupada/01_-_Lectures/01_-_English/02_-_Month_wise/11_-_November/29/SB_5-06-07_VRN_1976-11-29_Mayavadis_Think_Krishna_Is_Maya.mp3" TargetMode="External"/><Relationship Id="rId4137" Type="http://schemas.openxmlformats.org/officeDocument/2006/relationships/hyperlink" Target="https://audio.iskcondesiretree.com/01_-_Srila_Prabhupada/01_-_Lectures/01_-_English/02_-_Month_wise/12_-_December/27/Bg-07-07_1975-12-27_BG-SANAND.MP3" TargetMode="External"/><Relationship Id="rId5467" Type="http://schemas.openxmlformats.org/officeDocument/2006/relationships/hyperlink" Target="https://audio.iskcondesiretree.com/01_-_Srila_Prabhupada/01_-_Lectures/01_-_English/01_-_Topic_wise/Srimad_Bhagavatam/Canto-05/SP_SB_5-06-08_Vrindavan_1976-11-30_Fire_Brigade_Cannot--etc.mp3" TargetMode="External"/><Relationship Id="rId1972" Type="http://schemas.openxmlformats.org/officeDocument/2006/relationships/hyperlink" Target="https://audio.iskcondesiretree.com/01_-_Srila_Prabhupada/01_-_Lectures/01_-_English/01_-_Topic_wise/Room_Conversation/SP_Room_Conversation_Rome_1974-05-24_Rascal_Leasers_-_Putting_People_into_Chaos.mp3" TargetMode="External"/><Relationship Id="rId1973" Type="http://schemas.openxmlformats.org/officeDocument/2006/relationships/hyperlink" Target="https://audio.iskcondesiretree.com/01_-_Srila_Prabhupada/01_-_Lectures/01_-_English/01_-_Topic_wise/Room_Conversation/SP_Room_Conversation_Rome_1974-05-24_Secretary_to_the_Pope--Love_for--etc.mp3" TargetMode="External"/><Relationship Id="rId1974" Type="http://schemas.openxmlformats.org/officeDocument/2006/relationships/hyperlink" Target="https://audio.iskcondesiretree.com/01_-_Srila_Prabhupada/01_-_Lectures/01_-_English/01_-_Topic_wise/Room_Conversation/SP_Room_Conversation_Rome_1974-05-24_The_Head_of_the_Social_Body_Must_be_Clean.mp3" TargetMode="External"/><Relationship Id="rId1975" Type="http://schemas.openxmlformats.org/officeDocument/2006/relationships/hyperlink" Target="https://audio.iskcondesiretree.com/01_-_Srila_Prabhupada/01_-_Lectures/01_-_English/01_-_Topic_wise/Srimad_Bhagavatam/Canto-01/SP_SB_1-02-06_Rome_1974-05-24_Body-isms_Like_%27Democracy%27--etc.mp3" TargetMode="External"/><Relationship Id="rId1976" Type="http://schemas.openxmlformats.org/officeDocument/2006/relationships/hyperlink" Target="https://audio.iskcondesiretree.com/01_-_Srila_Prabhupada/01_-_Lectures/01_-_English/02_-_Month_wise/05_-_May/24/Conv_1974-05-24_R1-ROME.MP3" TargetMode="External"/><Relationship Id="rId1977" Type="http://schemas.openxmlformats.org/officeDocument/2006/relationships/hyperlink" Target="https://audio.iskcondesiretree.com/01_-_Srila_Prabhupada/01_-_Lectures/01_-_English/02_-_Month_wise/05_-_May/24/Conv_1974-05-24_R2-ROME.MP3" TargetMode="External"/><Relationship Id="rId1978" Type="http://schemas.openxmlformats.org/officeDocument/2006/relationships/hyperlink" Target="https://audio.iskcondesiretree.com/01_-_Srila_Prabhupada/01_-_Lectures/01_-_English/02_-_Month_wise/05_-_May/24/MW_ROM_1974-05-24_Relief-Only_for_First-class_Devotees.mp3" TargetMode="External"/><Relationship Id="rId1979" Type="http://schemas.openxmlformats.org/officeDocument/2006/relationships/hyperlink" Target="https://audio.iskcondesiretree.com/01_-_Srila_Prabhupada/01_-_Lectures/01_-_English/02_-_Month_wise/05_-_May/24/RC_ROM_1974-05-24_Rascal_Leasers_Putting_People_into_Chaos.mp3" TargetMode="External"/><Relationship Id="rId1970" Type="http://schemas.openxmlformats.org/officeDocument/2006/relationships/hyperlink" Target="https://audio.iskcondesiretree.com/01_-_Srila_Prabhupada/01_-_Lectures/01_-_English/01_-_Topic_wise/Morning_Walk/SP_Morning_Walk_-_Rome_1974-05-24_Relief--Only_for_First-class_Devotees.mp3" TargetMode="External"/><Relationship Id="rId1971" Type="http://schemas.openxmlformats.org/officeDocument/2006/relationships/hyperlink" Target="https://audio.iskcondesiretree.com/01_-_Srila_Prabhupada/01_-_Lectures/01_-_English/01_-_Topic_wise/Room_Conversation/SP_Room_Conversation_02_Rome_1974-05-24.mp3" TargetMode="External"/><Relationship Id="rId1961" Type="http://schemas.openxmlformats.org/officeDocument/2006/relationships/hyperlink" Target="https://audio.iskcondesiretree.com/01_-_Srila_Prabhupada/01_-_Lectures/01_-_English/02_-_Month_wise/05_-_May/08/Walk_1974-05-08_MW-BOMBAY.MP3" TargetMode="External"/><Relationship Id="rId1962" Type="http://schemas.openxmlformats.org/officeDocument/2006/relationships/hyperlink" Target="https://audio.iskcondesiretree.com/01_-_Srila_Prabhupada/01_-_Lectures/01_-_English/01_-_Topic_wise/Morning_Walk/SP_Morning_Walk_-_Bombay_1974-05-09.mp3" TargetMode="External"/><Relationship Id="rId1963" Type="http://schemas.openxmlformats.org/officeDocument/2006/relationships/hyperlink" Target="https://audio.iskcondesiretree.com/01_-_Srila_Prabhupada/01_-_Lectures/01_-_English/02_-_Month_wise/05_-_May/09/Walk_1974-05-09_MW-BOMBAY.MP3" TargetMode="External"/><Relationship Id="rId1964" Type="http://schemas.openxmlformats.org/officeDocument/2006/relationships/hyperlink" Target="https://audio.iskcondesiretree.com/01_-_Srila_Prabhupada/01_-_Lectures/01_-_English/01_-_Topic_wise/Bhagavad_Gita/Chapter-12/SP_BG_12-13_Bombay_1974-05-12_The_STRUGGLE--Atheists_vs._Theist.mp3" TargetMode="External"/><Relationship Id="rId1965" Type="http://schemas.openxmlformats.org/officeDocument/2006/relationships/hyperlink" Target="https://audio.iskcondesiretree.com/01_-_Srila_Prabhupada/01_-_Lectures/01_-_English/02_-_Month_wise/05_-_May/12/Bg-12-13%E2%80%9314_1974-05-12_BG-BOMBAY.MP3" TargetMode="External"/><Relationship Id="rId1966" Type="http://schemas.openxmlformats.org/officeDocument/2006/relationships/hyperlink" Target="https://audio.iskcondesiretree.com/01_-_Srila_Prabhupada/01_-_Lectures/01_-_English/02_-_Month_wise/05_-_May/12/Bg_12-13_BOM_1974-05-12_The_STRUGGLE_Atheists_vs_Theist.mp3" TargetMode="External"/><Relationship Id="rId1967" Type="http://schemas.openxmlformats.org/officeDocument/2006/relationships/hyperlink" Target="https://audio.iskcondesiretree.com/01_-_Srila_Prabhupada/01_-_Lectures/01_-_English/01_-_Topic_wise/Room_Conversation/SP_Room_Conversation_Rome_1974-05-23_Irish_Poet--Dog-ism_Cat-ism.mp3" TargetMode="External"/><Relationship Id="rId1968" Type="http://schemas.openxmlformats.org/officeDocument/2006/relationships/hyperlink" Target="https://audio.iskcondesiretree.com/01_-_Srila_Prabhupada/01_-_Lectures/01_-_English/02_-_Month_wise/05_-_May/23/Conv_1974-05-23_R1-ROME.MP3" TargetMode="External"/><Relationship Id="rId1969" Type="http://schemas.openxmlformats.org/officeDocument/2006/relationships/hyperlink" Target="https://audio.iskcondesiretree.com/01_-_Srila_Prabhupada/01_-_Lectures/01_-_English/02_-_Month_wise/05_-_May/23/RC_ROM_1974-05-23_Irish_Poet--Dogism_Catism.mp3" TargetMode="External"/><Relationship Id="rId1960" Type="http://schemas.openxmlformats.org/officeDocument/2006/relationships/hyperlink" Target="https://audio.iskcondesiretree.com/01_-_Srila_Prabhupada/01_-_Lectures/01_-_English/01_-_Topic_wise/Morning_Walk/SP_Morning_Walk_-_Bombay_1974-05-08.mp3" TargetMode="External"/><Relationship Id="rId1994" Type="http://schemas.openxmlformats.org/officeDocument/2006/relationships/hyperlink" Target="https://audio.iskcondesiretree.com/01_-_Srila_Prabhupada/01_-_Lectures/01_-_English/01_-_Topic_wise/Morning_Walk/SP_Morning_Walk_-_Rome_1974-05-27.mp3" TargetMode="External"/><Relationship Id="rId1995" Type="http://schemas.openxmlformats.org/officeDocument/2006/relationships/hyperlink" Target="https://audio.iskcondesiretree.com/01_-_Srila_Prabhupada/01_-_Lectures/01_-_English/01_-_Topic_wise/Srimad_Bhagavatam/Canto-01/SP_SB_1-02-03_Rome_1974-05-27_Darkness_Of_Disobedience.mp3" TargetMode="External"/><Relationship Id="rId1996" Type="http://schemas.openxmlformats.org/officeDocument/2006/relationships/hyperlink" Target="https://audio.iskcondesiretree.com/01_-_Srila_Prabhupada/01_-_Lectures/01_-_English/02_-_Month_wise/05_-_May/27/SB-01-02-03_1974-05-27_SB-ROME.MP3" TargetMode="External"/><Relationship Id="rId1997" Type="http://schemas.openxmlformats.org/officeDocument/2006/relationships/hyperlink" Target="https://audio.iskcondesiretree.com/01_-_Srila_Prabhupada/01_-_Lectures/01_-_English/02_-_Month_wise/05_-_May/27/SB_1-02-03_ROM_1974-05-27_Darkness_Of_Disobedience.mp3" TargetMode="External"/><Relationship Id="rId1998" Type="http://schemas.openxmlformats.org/officeDocument/2006/relationships/hyperlink" Target="https://audio.iskcondesiretree.com/01_-_Srila_Prabhupada/01_-_Lectures/01_-_English/02_-_Month_wise/05_-_May/27/Walk_1974-05-27_MW-ROME.MP3" TargetMode="External"/><Relationship Id="rId1999" Type="http://schemas.openxmlformats.org/officeDocument/2006/relationships/hyperlink" Target="https://audio.iskcondesiretree.com/01_-_Srila_Prabhupada/01_-_Lectures/01_-_English/01_-_Topic_wise/Morning_Walk/SP_Morning_Walk_-_Rome_1974-05-28_Stick_to_Your_Principles--People_Will_Come.mp3" TargetMode="External"/><Relationship Id="rId1990" Type="http://schemas.openxmlformats.org/officeDocument/2006/relationships/hyperlink" Target="https://audio.iskcondesiretree.com/01_-_Srila_Prabhupada/01_-_Lectures/01_-_English/01_-_Topic_wise/Srimad_Bhagavatam/Canto-01/SP_SB_1-02-02_Rome_1974-05-26_The_Supreme_Destination_Is--etc.mp3" TargetMode="External"/><Relationship Id="rId1991" Type="http://schemas.openxmlformats.org/officeDocument/2006/relationships/hyperlink" Target="https://audio.iskcondesiretree.com/01_-_Srila_Prabhupada/01_-_Lectures/01_-_English/02_-_Month_wise/05_-_May/26/SB-01-02-02_1974-05-26_SB-ROME.MP3" TargetMode="External"/><Relationship Id="rId1992" Type="http://schemas.openxmlformats.org/officeDocument/2006/relationships/hyperlink" Target="https://audio.iskcondesiretree.com/01_-_Srila_Prabhupada/01_-_Lectures/01_-_English/02_-_Month_wise/05_-_May/26/SB_1-02-02_ROM_1974-05-26_The_Supreme_Destination_Is_etc.mp3" TargetMode="External"/><Relationship Id="rId1993" Type="http://schemas.openxmlformats.org/officeDocument/2006/relationships/hyperlink" Target="https://audio.iskcondesiretree.com/01_-_Srila_Prabhupada/01_-_Lectures/01_-_English/02_-_Month_wise/05_-_May/26/Walk_1974-05-26_MW-ROME.MP3" TargetMode="External"/><Relationship Id="rId1983" Type="http://schemas.openxmlformats.org/officeDocument/2006/relationships/hyperlink" Target="https://audio.iskcondesiretree.com/01_-_Srila_Prabhupada/01_-_Lectures/01_-_English/02_-_Month_wise/05_-_May/24/SB_1-02-06_ROM_1974-05-24_Body-isms_Like_Democracy_etc.mp3" TargetMode="External"/><Relationship Id="rId1984" Type="http://schemas.openxmlformats.org/officeDocument/2006/relationships/hyperlink" Target="https://audio.iskcondesiretree.com/01_-_Srila_Prabhupada/01_-_Lectures/01_-_English/02_-_Month_wise/05_-_May/24/Walk_1974-05-24_MW-ROME.MP3" TargetMode="External"/><Relationship Id="rId1985" Type="http://schemas.openxmlformats.org/officeDocument/2006/relationships/hyperlink" Target="https://audio.iskcondesiretree.com/01_-_Srila_Prabhupada/01_-_Lectures/01_-_English/01_-_Topic_wise/Bhagavad_Gita/Chapter-04/SP_BG_04-10_Public_Lecture_Rome_1974-05-25.mp3" TargetMode="External"/><Relationship Id="rId1986" Type="http://schemas.openxmlformats.org/officeDocument/2006/relationships/hyperlink" Target="https://audio.iskcondesiretree.com/01_-_Srila_Prabhupada/01_-_Lectures/01_-_English/01_-_Topic_wise/Morning_Walk/SP_Morning_Walk_-_Rome_1974-05-25.mp3" TargetMode="External"/><Relationship Id="rId1987" Type="http://schemas.openxmlformats.org/officeDocument/2006/relationships/hyperlink" Target="https://audio.iskcondesiretree.com/01_-_Srila_Prabhupada/01_-_Lectures/01_-_English/02_-_Month_wise/05_-_May/25/Bg-04-10_1974-05-25_BG-ROME.MP3" TargetMode="External"/><Relationship Id="rId1988" Type="http://schemas.openxmlformats.org/officeDocument/2006/relationships/hyperlink" Target="https://audio.iskcondesiretree.com/01_-_Srila_Prabhupada/01_-_Lectures/01_-_English/02_-_Month_wise/05_-_May/25/Walk_1974-05-25_MW-ROME.MP3" TargetMode="External"/><Relationship Id="rId1989" Type="http://schemas.openxmlformats.org/officeDocument/2006/relationships/hyperlink" Target="https://audio.iskcondesiretree.com/01_-_Srila_Prabhupada/01_-_Lectures/01_-_English/01_-_Topic_wise/Morning_Walk/SP_Morning_Walk_-_Rome_1974-05-26.mp3" TargetMode="External"/><Relationship Id="rId1980" Type="http://schemas.openxmlformats.org/officeDocument/2006/relationships/hyperlink" Target="https://audio.iskcondesiretree.com/01_-_Srila_Prabhupada/01_-_Lectures/01_-_English/02_-_Month_wise/05_-_May/24/RC_ROM_1974-05-24_Secretary_to_the_Pope_Love_for_etc.mp3" TargetMode="External"/><Relationship Id="rId1981" Type="http://schemas.openxmlformats.org/officeDocument/2006/relationships/hyperlink" Target="https://audio.iskcondesiretree.com/01_-_Srila_Prabhupada/01_-_Lectures/01_-_English/02_-_Month_wise/05_-_May/24/RC_ROM_1974-05-24_The_Head_of_the_Social_Body_Must_be_Clean.mp3" TargetMode="External"/><Relationship Id="rId1982" Type="http://schemas.openxmlformats.org/officeDocument/2006/relationships/hyperlink" Target="https://audio.iskcondesiretree.com/01_-_Srila_Prabhupada/01_-_Lectures/01_-_English/02_-_Month_wise/05_-_May/24/SB-01-02-06_1974-05-24_SB-ROME.MP3" TargetMode="External"/><Relationship Id="rId1930" Type="http://schemas.openxmlformats.org/officeDocument/2006/relationships/hyperlink" Target="https://audio.iskcondesiretree.com/01_-_Srila_Prabhupada/01_-_Lectures/01_-_English/01_-_Topic_wise/Interview/SP_Interview_-_With_Minister_Tirupati_1974-04-26.mp3" TargetMode="External"/><Relationship Id="rId1931" Type="http://schemas.openxmlformats.org/officeDocument/2006/relationships/hyperlink" Target="https://audio.iskcondesiretree.com/01_-_Srila_Prabhupada/01_-_Lectures/01_-_English/01_-_Topic_wise/Room_Conversation/SP_Room_Conversation_01_Tirupati_1974-04-26.mp3" TargetMode="External"/><Relationship Id="rId1932" Type="http://schemas.openxmlformats.org/officeDocument/2006/relationships/hyperlink" Target="https://audio.iskcondesiretree.com/01_-_Srila_Prabhupada/01_-_Lectures/01_-_English/01_-_Topic_wise/Srimad_Bhagavatam/Canto-01/SP_SB_01-02-11_Tirupati_1974-04-26.mp3" TargetMode="External"/><Relationship Id="rId1933" Type="http://schemas.openxmlformats.org/officeDocument/2006/relationships/hyperlink" Target="https://audio.iskcondesiretree.com/01_-_Srila_Prabhupada/01_-_Lectures/01_-_English/02_-_Month_wise/04_-_April/26/Conv_1974-04-26_R1-TIRUPATI.MP3" TargetMode="External"/><Relationship Id="rId1934" Type="http://schemas.openxmlformats.org/officeDocument/2006/relationships/hyperlink" Target="https://audio.iskcondesiretree.com/01_-_Srila_Prabhupada/01_-_Lectures/01_-_English/02_-_Month_wise/04_-_April/26/Interview_1974-04-26_IV-TIRUPATI.MP3" TargetMode="External"/><Relationship Id="rId1935" Type="http://schemas.openxmlformats.org/officeDocument/2006/relationships/hyperlink" Target="https://audio.iskcondesiretree.com/01_-_Srila_Prabhupada/01_-_Lectures/01_-_English/02_-_Month_wise/04_-_April/26/SB-01-02-11_1974-04-26_SB-TIRUPATI.MP3" TargetMode="External"/><Relationship Id="rId1936" Type="http://schemas.openxmlformats.org/officeDocument/2006/relationships/hyperlink" Target="https://audio.iskcondesiretree.com/01_-_Srila_Prabhupada/01_-_Lectures/01_-_English/01_-_Topic_wise/Bhagavad_Gita/Chapter-07/SP_BG_07-01_Hyderabad_1974-04-27_Krishna_in_His_Vibration_Form.mp3" TargetMode="External"/><Relationship Id="rId1937" Type="http://schemas.openxmlformats.org/officeDocument/2006/relationships/hyperlink" Target="https://audio.iskcondesiretree.com/01_-_Srila_Prabhupada/01_-_Lectures/01_-_English/02_-_Month_wise/04_-_April/27/Bg-07-01_1974-04-27_BG-HYDERABAD.MP3" TargetMode="External"/><Relationship Id="rId1938" Type="http://schemas.openxmlformats.org/officeDocument/2006/relationships/hyperlink" Target="https://audio.iskcondesiretree.com/01_-_Srila_Prabhupada/01_-_Lectures/01_-_English/02_-_Month_wise/04_-_April/27/Bg_07-01_HYD_1974-04-27_Krishna_in_His_Vibration_Form.mp3" TargetMode="External"/><Relationship Id="rId1939" Type="http://schemas.openxmlformats.org/officeDocument/2006/relationships/hyperlink" Target="https://audio.iskcondesiretree.com/01_-_Srila_Prabhupada/01_-_Lectures/01_-_English/01_-_Topic_wise/Bhagavad_Gita/Chapter-07/SP_BG_07-02_Hyderabad_1974-04-28_Seeing_Krishna_Within_the_Heart.mp3" TargetMode="External"/><Relationship Id="rId1920" Type="http://schemas.openxmlformats.org/officeDocument/2006/relationships/hyperlink" Target="https://audio.iskcondesiretree.com/01_-_Srila_Prabhupada/01_-_Lectures/01_-_English/02_-_Month_wise/04_-_April/23/Lecture%E2%80%93Hindi_1974-04-23_LE-HYDERABAD.MP3" TargetMode="External"/><Relationship Id="rId1921" Type="http://schemas.openxmlformats.org/officeDocument/2006/relationships/hyperlink" Target="https://audio.iskcondesiretree.com/01_-_Srila_Prabhupada/01_-_Lectures/01_-_English/02_-_Month_wise/04_-_April/23/MW_HYD_1974-04-23_Protect_Against_Degradation.mp3" TargetMode="External"/><Relationship Id="rId1922" Type="http://schemas.openxmlformats.org/officeDocument/2006/relationships/hyperlink" Target="https://audio.iskcondesiretree.com/01_-_Srila_Prabhupada/01_-_Lectures/01_-_English/02_-_Month_wise/04_-_April/23/SB-01-02-09_1974-04-23_SB-HYDERABAD.MP3" TargetMode="External"/><Relationship Id="rId1923" Type="http://schemas.openxmlformats.org/officeDocument/2006/relationships/hyperlink" Target="https://audio.iskcondesiretree.com/01_-_Srila_Prabhupada/01_-_Lectures/01_-_English/02_-_Month_wise/04_-_April/23/SB_1-02-09_HYD_1974-04-23_Illusion_Realized.mp3" TargetMode="External"/><Relationship Id="rId1924" Type="http://schemas.openxmlformats.org/officeDocument/2006/relationships/hyperlink" Target="https://audio.iskcondesiretree.com/01_-_Srila_Prabhupada/01_-_Lectures/01_-_English/02_-_Month_wise/04_-_April/23/Walk_1974-04-23_MW-HYDERABAD.MP3" TargetMode="External"/><Relationship Id="rId1925" Type="http://schemas.openxmlformats.org/officeDocument/2006/relationships/hyperlink" Target="https://audio.iskcondesiretree.com/01_-_Srila_Prabhupada/01_-_Lectures/01_-_English/01_-_Topic_wise/Morning_Walk/SP_Morning_Walk_-_Hyderabad_1974-04-24.mp3" TargetMode="External"/><Relationship Id="rId1926" Type="http://schemas.openxmlformats.org/officeDocument/2006/relationships/hyperlink" Target="https://audio.iskcondesiretree.com/01_-_Srila_Prabhupada/01_-_Lectures/01_-_English/01_-_Topic_wise/Srimad_Bhagavatam/Canto-01/SP_SB_01-02-10_Hyderabad_1974-04-24.mp3" TargetMode="External"/><Relationship Id="rId1927" Type="http://schemas.openxmlformats.org/officeDocument/2006/relationships/hyperlink" Target="https://audio.iskcondesiretree.com/01_-_Srila_Prabhupada/01_-_Lectures/01_-_English/02_-_Month_wise/04_-_April/24/SB-01-02-10_1974-04-24_SB-HYDERABAD.MP3" TargetMode="External"/><Relationship Id="rId1928" Type="http://schemas.openxmlformats.org/officeDocument/2006/relationships/hyperlink" Target="https://audio.iskcondesiretree.com/01_-_Srila_Prabhupada/01_-_Lectures/01_-_English/02_-_Month_wise/04_-_April/24/Walk_1974-04-24_MW-HYDERABAD.MP3" TargetMode="External"/><Relationship Id="rId1929" Type="http://schemas.openxmlformats.org/officeDocument/2006/relationships/hyperlink" Target="https://audio.iskcondesiretree.com/01_-_Srila_Prabhupada/01_-_Lectures/01_-_English/02_-_Month_wise/04_-_April/25/Lecture%E2%80%93Hindi_1974-04-25_LE-TIRUPATI.MP3" TargetMode="External"/><Relationship Id="rId4190" Type="http://schemas.openxmlformats.org/officeDocument/2006/relationships/hyperlink" Target="https://audio.iskcondesiretree.com/01_-_Srila_Prabhupada/01_-_Lectures/01_-_English/02_-_Month_wise/01_-_January/16/Walk_1976-01-16_MW-MAYAPUR.MP3" TargetMode="External"/><Relationship Id="rId4192" Type="http://schemas.openxmlformats.org/officeDocument/2006/relationships/hyperlink" Target="https://audio.iskcondesiretree.com/01_-_Srila_Prabhupada/01_-_Lectures/01_-_English/02_-_Month_wise/01_-_January/17/Walk_1976-01-17_R1-MAYAPUR.MP3" TargetMode="External"/><Relationship Id="rId4191" Type="http://schemas.openxmlformats.org/officeDocument/2006/relationships/hyperlink" Target="https://audio.iskcondesiretree.com/01_-_Srila_Prabhupada/01_-_Lectures/01_-_English/02_-_Month_wise/01_-_January/17/Walk_1976-01-17_MW-MAYAPUR.MP3" TargetMode="External"/><Relationship Id="rId4194" Type="http://schemas.openxmlformats.org/officeDocument/2006/relationships/hyperlink" Target="https://audio.iskcondesiretree.com/01_-_Srila_Prabhupada/01_-_Lectures/01_-_English/02_-_Month_wise/01_-_January/18/Walk_1976-01-18_MW-MAYAPUR.MP3" TargetMode="External"/><Relationship Id="rId4193" Type="http://schemas.openxmlformats.org/officeDocument/2006/relationships/hyperlink" Target="https://audio.iskcondesiretree.com/01_-_Srila_Prabhupada/01_-_Lectures/01_-_English/02_-_Month_wise/01_-_January/18/Conv_1976-01-18_R1-MAYAPUR.MP3" TargetMode="External"/><Relationship Id="rId4196" Type="http://schemas.openxmlformats.org/officeDocument/2006/relationships/hyperlink" Target="https://audio.iskcondesiretree.com/01_-_Srila_Prabhupada/01_-_Lectures/01_-_English/02_-_Month_wise/01_-_January/19/Walk_1976-01-19_MW-MAYAPUR.MP3" TargetMode="External"/><Relationship Id="rId4195" Type="http://schemas.openxmlformats.org/officeDocument/2006/relationships/hyperlink" Target="https://audio.iskcondesiretree.com/01_-_Srila_Prabhupada/01_-_Lectures/01_-_English/02_-_Month_wise/01_-_January/19/Conv_1976-01-19_R1-MAYAPUR.MP3" TargetMode="External"/><Relationship Id="rId4198" Type="http://schemas.openxmlformats.org/officeDocument/2006/relationships/hyperlink" Target="https://audio.iskcondesiretree.com/01_-_Srila_Prabhupada/01_-_Lectures/01_-_English/02_-_Month_wise/01_-_January/21/Walk_1976-01-21_MW-MAYAPUR.MP3" TargetMode="External"/><Relationship Id="rId4197" Type="http://schemas.openxmlformats.org/officeDocument/2006/relationships/hyperlink" Target="https://audio.iskcondesiretree.com/01_-_Srila_Prabhupada/01_-_Lectures/01_-_English/02_-_Month_wise/01_-_January/20/Walk_1976-01-20_MW-MAYAPUR.MP3" TargetMode="External"/><Relationship Id="rId4199" Type="http://schemas.openxmlformats.org/officeDocument/2006/relationships/hyperlink" Target="https://audio.iskcondesiretree.com/01_-_Srila_Prabhupada/01_-_Lectures/01_-_English/02_-_Month_wise/01_-_January/22/Walk_1976-01-22_MW-MAYAPUR.MP3" TargetMode="External"/><Relationship Id="rId1950" Type="http://schemas.openxmlformats.org/officeDocument/2006/relationships/hyperlink" Target="https://audio.iskcondesiretree.com/01_-_Srila_Prabhupada/01_-_Lectures/01_-_English/02_-_Month_wise/05_-_May/03/Walk_1974-05-03_MW-BOMBAY.MP3" TargetMode="External"/><Relationship Id="rId1951" Type="http://schemas.openxmlformats.org/officeDocument/2006/relationships/hyperlink" Target="https://audio.iskcondesiretree.com/01_-_Srila_Prabhupada/01_-_Lectures/01_-_English/01_-_Topic_wise/Morning_Walk/SP_Morning_Walk_-_Bombay_1974-05-04.mp3" TargetMode="External"/><Relationship Id="rId1952" Type="http://schemas.openxmlformats.org/officeDocument/2006/relationships/hyperlink" Target="https://audio.iskcondesiretree.com/01_-_Srila_Prabhupada/01_-_Lectures/01_-_English/02_-_Month_wise/05_-_May/04/Walk_1974-05-04_MW-BOMBAY.MP3" TargetMode="External"/><Relationship Id="rId1953" Type="http://schemas.openxmlformats.org/officeDocument/2006/relationships/hyperlink" Target="https://audio.iskcondesiretree.com/01_-_Srila_Prabhupada/01_-_Lectures/01_-_English/01_-_Topic_wise/Festivals/SP_Festivals_Bombay_1974-05-05_Nrsimhadeva_Appearance.mp3" TargetMode="External"/><Relationship Id="rId1954" Type="http://schemas.openxmlformats.org/officeDocument/2006/relationships/hyperlink" Target="https://audio.iskcondesiretree.com/01_-_Srila_Prabhupada/01_-_Lectures/01_-_English/01_-_Topic_wise/Morning_Walk/SP_Morning_Walk_-_Bombay_1974-05-05.mp3" TargetMode="External"/><Relationship Id="rId1955" Type="http://schemas.openxmlformats.org/officeDocument/2006/relationships/hyperlink" Target="https://audio.iskcondesiretree.com/01_-_Srila_Prabhupada/01_-_Lectures/01_-_English/02_-_Month_wise/05_-_May/05/Fest_BOM_1974-05-05_Nrsimhadeva_Appearance.mp3" TargetMode="External"/><Relationship Id="rId1956" Type="http://schemas.openxmlformats.org/officeDocument/2006/relationships/hyperlink" Target="https://audio.iskcondesiretree.com/01_-_Srila_Prabhupada/01_-_Lectures/01_-_English/02_-_Month_wise/05_-_May/05/NrsimhaDeva_Appearance_1974-05-05_NA-BOMBAY.MP3" TargetMode="External"/><Relationship Id="rId1957" Type="http://schemas.openxmlformats.org/officeDocument/2006/relationships/hyperlink" Target="https://audio.iskcondesiretree.com/01_-_Srila_Prabhupada/01_-_Lectures/01_-_English/02_-_Month_wise/05_-_May/05/Walk_1974-05-05_MW-BOMBAY.MP3" TargetMode="External"/><Relationship Id="rId1958" Type="http://schemas.openxmlformats.org/officeDocument/2006/relationships/hyperlink" Target="https://audio.iskcondesiretree.com/01_-_Srila_Prabhupada/01_-_Lectures/01_-_English/01_-_Topic_wise/Morning_Walk/SP_Morning_Walk_-_Bombay_1974-05-06.mp3" TargetMode="External"/><Relationship Id="rId1959" Type="http://schemas.openxmlformats.org/officeDocument/2006/relationships/hyperlink" Target="https://audio.iskcondesiretree.com/01_-_Srila_Prabhupada/01_-_Lectures/01_-_English/02_-_Month_wise/05_-_May/06/Walk_1974-05-06_MW-BOMBAY.MP3" TargetMode="External"/><Relationship Id="rId1940" Type="http://schemas.openxmlformats.org/officeDocument/2006/relationships/hyperlink" Target="https://audio.iskcondesiretree.com/01_-_Srila_Prabhupada/01_-_Lectures/01_-_English/02_-_Month_wise/04_-_April/28/Bg-07-02_1974-04-28_BG-HYDERABAD.MP3" TargetMode="External"/><Relationship Id="rId1941" Type="http://schemas.openxmlformats.org/officeDocument/2006/relationships/hyperlink" Target="https://audio.iskcondesiretree.com/01_-_Srila_Prabhupada/01_-_Lectures/01_-_English/02_-_Month_wise/04_-_April/28/Bg_07-02_HYD_1974-04-28_Seeing_Krishna_Within_the_Heart.mp3" TargetMode="External"/><Relationship Id="rId1942" Type="http://schemas.openxmlformats.org/officeDocument/2006/relationships/hyperlink" Target="https://audio.iskcondesiretree.com/01_-_Srila_Prabhupada/01_-_Lectures/01_-_English/01_-_Topic_wise/Morning_Walk/SP_Morning_Walk_-_Hyderabad_1974-04-29_Miracles_and_MIRACLES.mp3" TargetMode="External"/><Relationship Id="rId1943" Type="http://schemas.openxmlformats.org/officeDocument/2006/relationships/hyperlink" Target="https://audio.iskcondesiretree.com/01_-_Srila_Prabhupada/01_-_Lectures/01_-_English/02_-_Month_wise/04_-_April/29/MW_HYD_1974-04-29_Miracles_and_MIRACLES.mp3" TargetMode="External"/><Relationship Id="rId1944" Type="http://schemas.openxmlformats.org/officeDocument/2006/relationships/hyperlink" Target="https://audio.iskcondesiretree.com/01_-_Srila_Prabhupada/01_-_Lectures/01_-_English/02_-_Month_wise/04_-_April/29/Walk_1974-04-29_MW-HYDERABAD.MP3" TargetMode="External"/><Relationship Id="rId1945" Type="http://schemas.openxmlformats.org/officeDocument/2006/relationships/hyperlink" Target="https://audio.iskcondesiretree.com/01_-_Srila_Prabhupada/01_-_Lectures/01_-_English/01_-_Topic_wise/Morning_Walk/SP_Morning_Walk_-_Bombay_1974-05-01.mp3" TargetMode="External"/><Relationship Id="rId1946" Type="http://schemas.openxmlformats.org/officeDocument/2006/relationships/hyperlink" Target="https://audio.iskcondesiretree.com/01_-_Srila_Prabhupada/01_-_Lectures/01_-_English/02_-_Month_wise/05_-_May/01/Walk_1974-05-01_MW-BOMBAY.MP3" TargetMode="External"/><Relationship Id="rId1947" Type="http://schemas.openxmlformats.org/officeDocument/2006/relationships/hyperlink" Target="https://audio.iskcondesiretree.com/01_-_Srila_Prabhupada/01_-_Lectures/01_-_English/01_-_Topic_wise/Morning_Walk/SP_Morning_Walk_-_Bombay_1974-05-02.mp3" TargetMode="External"/><Relationship Id="rId1948" Type="http://schemas.openxmlformats.org/officeDocument/2006/relationships/hyperlink" Target="https://audio.iskcondesiretree.com/01_-_Srila_Prabhupada/01_-_Lectures/01_-_English/02_-_Month_wise/05_-_May/02/Walk_1974-05-02_MW-BOMBAY.MP3" TargetMode="External"/><Relationship Id="rId1949" Type="http://schemas.openxmlformats.org/officeDocument/2006/relationships/hyperlink" Target="https://audio.iskcondesiretree.com/01_-_Srila_Prabhupada/01_-_Lectures/01_-_English/01_-_Topic_wise/Morning_Walk/SP_Morning_Walk_-_Bombay_1974-05-03.mp3" TargetMode="External"/><Relationship Id="rId509" Type="http://schemas.openxmlformats.org/officeDocument/2006/relationships/hyperlink" Target="https://audio.iskcondesiretree.com/01_-_Srila_Prabhupada/01_-_Lectures/01_-_English/02_-_Month_wise/05_-_May/06/Iso_02_LA_1970-05-06_Everyone_Is_Seeing_Krishna.mp3" TargetMode="External"/><Relationship Id="rId508" Type="http://schemas.openxmlformats.org/officeDocument/2006/relationships/hyperlink" Target="https://audio.iskcondesiretree.com/01_-_Srila_Prabhupada/01_-_Lectures/01_-_English/01_-_Topic_wise/Isopanishad/SP_Isopanisad_02_Los_Angeles_1970-05-06_Everyone_Is_Seeing_Krishna.mp3" TargetMode="External"/><Relationship Id="rId503" Type="http://schemas.openxmlformats.org/officeDocument/2006/relationships/hyperlink" Target="https://audio.iskcondesiretree.com/01_-_Srila_Prabhupada/01_-_Lectures/01_-_English/02_-_Month_wise/04_-_April/29/Iso_01_LA_1970-04-29_Our_Foolishness.mp3" TargetMode="External"/><Relationship Id="rId502" Type="http://schemas.openxmlformats.org/officeDocument/2006/relationships/hyperlink" Target="https://audio.iskcondesiretree.com/01_-_Srila_Prabhupada/01_-_Lectures/01_-_English/01_-_Topic_wise/Isopanishad/SP_Isopanisad_01_Los_Angeles_1970-04-29_Our_Foolishness.mp3" TargetMode="External"/><Relationship Id="rId501" Type="http://schemas.openxmlformats.org/officeDocument/2006/relationships/hyperlink" Target="https://audio.iskcondesiretree.com/01_-_Srila_Prabhupada/01_-_Lectures/01_-_English/02_-_Month_wise/04_-_April/27/Iso_00_LA_1970-04-27_Our_Foolishness_Equals_Our_Defeat.mp3" TargetMode="External"/><Relationship Id="rId500" Type="http://schemas.openxmlformats.org/officeDocument/2006/relationships/hyperlink" Target="https://audio.iskcondesiretree.com/01_-_Srila_Prabhupada/01_-_Lectures/01_-_English/01_-_Topic_wise/Isopanishad/SP_Isopanisad_00_Los_Angeles_1970-04-27_Our_Foolishness_Equals_Our_Defeat.mp3" TargetMode="External"/><Relationship Id="rId507" Type="http://schemas.openxmlformats.org/officeDocument/2006/relationships/hyperlink" Target="https://audio.iskcondesiretree.com/01_-_Srila_Prabhupada/01_-_Lectures/01_-_English/02_-_Month_wise/05_-_May/02/Iso_00_LA_1970-05-02_Matter_Has_No_Power.mp3" TargetMode="External"/><Relationship Id="rId506" Type="http://schemas.openxmlformats.org/officeDocument/2006/relationships/hyperlink" Target="https://audio.iskcondesiretree.com/01_-_Srila_Prabhupada/01_-_Lectures/01_-_English/01_-_Topic_wise/Isopanishad/SP_Isopanisad_00_Los_Angeles_1970-05-02_Matter_Has_No_Power.mp3" TargetMode="External"/><Relationship Id="rId505" Type="http://schemas.openxmlformats.org/officeDocument/2006/relationships/hyperlink" Target="https://audio.iskcondesiretree.com/01_-_Srila_Prabhupada/01_-_Lectures/01_-_English/02_-_Month_wise/04_-_April/30/Iso_01_LA_1970-04-30_Our_Defeat.mp3" TargetMode="External"/><Relationship Id="rId504" Type="http://schemas.openxmlformats.org/officeDocument/2006/relationships/hyperlink" Target="https://audio.iskcondesiretree.com/01_-_Srila_Prabhupada/01_-_Lectures/01_-_English/01_-_Topic_wise/Isopanishad/SP_Isopanisad_01_Los_Angeles_1970-04-30_Our_Defeat.mp3" TargetMode="External"/><Relationship Id="rId525" Type="http://schemas.openxmlformats.org/officeDocument/2006/relationships/hyperlink" Target="https://audio.iskcondesiretree.com/01_-_Srila_Prabhupada/01_-_Lectures/01_-_English/02_-_Month_wise/03_-_March/17/Lect_BOM_1971-03-17_Take_Shelter_of_the_Six_Goswamis.mp3" TargetMode="External"/><Relationship Id="rId524" Type="http://schemas.openxmlformats.org/officeDocument/2006/relationships/hyperlink" Target="https://audio.iskcondesiretree.com/01_-_Srila_Prabhupada/01_-_Lectures/01_-_English/01_-_Topic_wise/Various/SP_Lecture_Bombay_1971-03-17_Take_Shelter_of_the_Six_Goswamis.mp3" TargetMode="External"/><Relationship Id="rId523" Type="http://schemas.openxmlformats.org/officeDocument/2006/relationships/hyperlink" Target="https://audio.iskcondesiretree.com/01_-_Srila_Prabhupada/01_-_Lectures/01_-_English/02_-_Month_wise/02_-_Feburary/15/Fest_GOR_1971-02-15_Bhaktisiddhanta_Appearance_PM.mp3" TargetMode="External"/><Relationship Id="rId522" Type="http://schemas.openxmlformats.org/officeDocument/2006/relationships/hyperlink" Target="https://audio.iskcondesiretree.com/01_-_Srila_Prabhupada/01_-_Lectures/01_-_English/02_-_Month_wise/02_-_Feburary/15/Fest_GOR_1971-02-15_Bhaktisiddhanta_Appearance_AM.mp3" TargetMode="External"/><Relationship Id="rId529" Type="http://schemas.openxmlformats.org/officeDocument/2006/relationships/hyperlink" Target="https://audio.iskcondesiretree.com/01_-_Srila_Prabhupada/01_-_Lectures/01_-_English/01_-_Topic_wise/Various/SP_Lecture_Los_Angeles_1971-05-28_The_Most_Wonderful_Thing--And_One--etc.mp3" TargetMode="External"/><Relationship Id="rId528" Type="http://schemas.openxmlformats.org/officeDocument/2006/relationships/hyperlink" Target="https://audio.iskcondesiretree.com/01_-_Srila_Prabhupada/01_-_Lectures/01_-_English/01_-_Topic_wise/Various/SP_Lecture_Los_Angeles_1971-05-28_Just_Learn_How_to_Love_Krishna.mp3" TargetMode="External"/><Relationship Id="rId527" Type="http://schemas.openxmlformats.org/officeDocument/2006/relationships/hyperlink" Target="https://audio.iskcondesiretree.com/01_-_Srila_Prabhupada/01_-_Lectures/01_-_English/02_-_Month_wise/03_-_March/18/SB_7-07-19_BOM_1971-03-18_Designations_Demoniac.mp3" TargetMode="External"/><Relationship Id="rId526" Type="http://schemas.openxmlformats.org/officeDocument/2006/relationships/hyperlink" Target="https://audio.iskcondesiretree.com/01_-_Srila_Prabhupada/01_-_Lectures/01_-_English/01_-_Topic_wise/Srimad_Bhagavatam/Canto-07/SP_SB_7-07-19_Bombay_1971-03-18_Designations_-_Demoniac.mp3" TargetMode="External"/><Relationship Id="rId521" Type="http://schemas.openxmlformats.org/officeDocument/2006/relationships/hyperlink" Target="https://audio.iskcondesiretree.com/01_-_Srila_Prabhupada/01_-_Lectures/01_-_English/01_-_Topic_wise/Festivals/SP_Festivals_Gorakhpur_1971-02-15_Bhaktisiddhanta_Appearance_PM.mp3" TargetMode="External"/><Relationship Id="rId520" Type="http://schemas.openxmlformats.org/officeDocument/2006/relationships/hyperlink" Target="https://audio.iskcondesiretree.com/01_-_Srila_Prabhupada/01_-_Lectures/01_-_English/01_-_Topic_wise/Festivals/SP_Festivals_Gorakhpur_1971-02-15_Bhaktisiddhanta_Appearance_AM.mp3" TargetMode="External"/><Relationship Id="rId519" Type="http://schemas.openxmlformats.org/officeDocument/2006/relationships/hyperlink" Target="https://audio.iskcondesiretree.com/01_-_Srila_Prabhupada/01_-_Lectures/01_-_English/02_-_Month_wise/07_-_July/04/Fest_SF_1970-07-04_Gundica_Marjana.mp3" TargetMode="External"/><Relationship Id="rId514" Type="http://schemas.openxmlformats.org/officeDocument/2006/relationships/hyperlink" Target="https://audio.iskcondesiretree.com/01_-_Srila_Prabhupada/01_-_Lectures/01_-_English/01_-_Topic_wise/Nectar_Of_Devotion/SP_NOD_Los_Angles_1970-06-23_-_We_Don%27t_Want_Petty_Gods.mp3" TargetMode="External"/><Relationship Id="rId513" Type="http://schemas.openxmlformats.org/officeDocument/2006/relationships/hyperlink" Target="https://audio.iskcondesiretree.com/01_-_Srila_Prabhupada/01_-_Lectures/01_-_English/02_-_Month_wise/05_-_May/18/Iso_15_LA_1970-05-18_The_Senses_Defanged.mp3" TargetMode="External"/><Relationship Id="rId512" Type="http://schemas.openxmlformats.org/officeDocument/2006/relationships/hyperlink" Target="https://audio.iskcondesiretree.com/01_-_Srila_Prabhupada/01_-_Lectures/01_-_English/01_-_Topic_wise/Isopanishad/SP_Isopanisad_15_Los_Angeles_1970-05-18_The_Senses_Defanged.mp3" TargetMode="External"/><Relationship Id="rId511" Type="http://schemas.openxmlformats.org/officeDocument/2006/relationships/hyperlink" Target="https://audio.iskcondesiretree.com/01_-_Srila_Prabhupada/01_-_Lectures/01_-_English/02_-_Month_wise/05_-_May/14/Iso_10_LA_1970-05-14_The_Senses.mp3" TargetMode="External"/><Relationship Id="rId518" Type="http://schemas.openxmlformats.org/officeDocument/2006/relationships/hyperlink" Target="https://audio.iskcondesiretree.com/01_-_Srila_Prabhupada/01_-_Lectures/01_-_English/01_-_Topic_wise/Festivals/SP_Festivals_San_Francisco_1970-07-04_Gundica_Marjana.mp3" TargetMode="External"/><Relationship Id="rId517" Type="http://schemas.openxmlformats.org/officeDocument/2006/relationships/hyperlink" Target="https://audio.iskcondesiretree.com/01_-_Srila_Prabhupada/01_-_Lectures/01_-_English/02_-_Month_wise/07_-_July/01/SB_2-01-01_LA_1970-07-01_Death_Is_As_Sure_As_Death.mp3" TargetMode="External"/><Relationship Id="rId516" Type="http://schemas.openxmlformats.org/officeDocument/2006/relationships/hyperlink" Target="https://audio.iskcondesiretree.com/01_-_Srila_Prabhupada/01_-_Lectures/01_-_English/01_-_Topic_wise/Srimad_Bhagavatam/Canto-02/SP_SB_2-01-01_Los_Angeles_1970-07-01_Death_Is_As_Sure_As_Death.mp3" TargetMode="External"/><Relationship Id="rId515" Type="http://schemas.openxmlformats.org/officeDocument/2006/relationships/hyperlink" Target="https://audio.iskcondesiretree.com/01_-_Srila_Prabhupada/01_-_Lectures/01_-_English/02_-_Month_wise/06_-_June/23/NOD_Lect_LA_1970-06-23_We_Don%27t_Want_Petty_Gods.mp3" TargetMode="External"/><Relationship Id="rId510" Type="http://schemas.openxmlformats.org/officeDocument/2006/relationships/hyperlink" Target="https://audio.iskcondesiretree.com/01_-_Srila_Prabhupada/01_-_Lectures/01_-_English/01_-_Topic_wise/Isopanishad/SP_Isopanisad_10_Los_Angeles_1970-05-14_The_Senses.mp3" TargetMode="External"/><Relationship Id="rId4206" Type="http://schemas.openxmlformats.org/officeDocument/2006/relationships/hyperlink" Target="https://audio.iskcondesiretree.com/01_-_Srila_Prabhupada/01_-_Lectures/01_-_English/02_-_Month_wise/02_-_Feburary/04/MW_MAY_1976-02-04_Science_Makes_Everybody_a_Fool.mp3" TargetMode="External"/><Relationship Id="rId5538" Type="http://schemas.openxmlformats.org/officeDocument/2006/relationships/hyperlink" Target="https://audio.iskcondesiretree.com/01_-_Srila_Prabhupada/01_-_Lectures/01_-_English/02_-_Month_wise/12_-_December/28/SB_5-06-10_BOM_1976-12-28_Real_Varnasrama.mp3" TargetMode="External"/><Relationship Id="rId4205" Type="http://schemas.openxmlformats.org/officeDocument/2006/relationships/hyperlink" Target="https://audio.iskcondesiretree.com/01_-_Srila_Prabhupada/01_-_Lectures/01_-_English/01_-_Topic_wise/Morning_Walk/SP_Morning_Walk_-_Mayapur_1976-02-04_Science_Makes_Everybody_a_Fool.mp3" TargetMode="External"/><Relationship Id="rId5539" Type="http://schemas.openxmlformats.org/officeDocument/2006/relationships/hyperlink" Target="https://audio.iskcondesiretree.com/01_-_Srila_Prabhupada/01_-_Lectures/01_-_English/01_-_Topic_wise/Srimad_Bhagavatam/Canto-05/SP_SB_5-06-11_Bombay_1976-12-29_Soul-Killing_Civilization.mp3" TargetMode="External"/><Relationship Id="rId4208" Type="http://schemas.openxmlformats.org/officeDocument/2006/relationships/hyperlink" Target="https://audio.iskcondesiretree.com/01_-_Srila_Prabhupada/01_-_Lectures/01_-_English/01_-_Topic_wise/Morning_Walk/SP_Morning_Walk_-_Mayapur_1976-02-05_Primordial_Criminality.mp3" TargetMode="External"/><Relationship Id="rId5536" Type="http://schemas.openxmlformats.org/officeDocument/2006/relationships/hyperlink" Target="https://audio.iskcondesiretree.com/01_-_Srila_Prabhupada/01_-_Lectures/01_-_English/02_-_Month_wise/12_-_December/28/Conv_1976-12-28_R2-BOMBAY.MP3" TargetMode="External"/><Relationship Id="rId4207" Type="http://schemas.openxmlformats.org/officeDocument/2006/relationships/hyperlink" Target="https://audio.iskcondesiretree.com/01_-_Srila_Prabhupada/01_-_Lectures/01_-_English/02_-_Month_wise/02_-_Feburary/04/Walk_1976-02-04_MW-MAYAPUR.MP3" TargetMode="External"/><Relationship Id="rId5537" Type="http://schemas.openxmlformats.org/officeDocument/2006/relationships/hyperlink" Target="https://audio.iskcondesiretree.com/01_-_Srila_Prabhupada/01_-_Lectures/01_-_English/02_-_Month_wise/12_-_December/28/SB-05-06-10_1976-12-28_SB-BOMBAY.MP3" TargetMode="External"/><Relationship Id="rId590" Type="http://schemas.openxmlformats.org/officeDocument/2006/relationships/hyperlink" Target="https://audio.iskcondesiretree.com/01_-_Srila_Prabhupada/01_-_Lectures/01_-_English/02_-_Month_wise/05_-_May/30/SB_2-03-13_LA_1972-05-30_A_Devotee_Is_Kind.mp3" TargetMode="External"/><Relationship Id="rId4209" Type="http://schemas.openxmlformats.org/officeDocument/2006/relationships/hyperlink" Target="https://audio.iskcondesiretree.com/01_-_Srila_Prabhupada/01_-_Lectures/01_-_English/01_-_Topic_wise/Various/SP_Lecture_Mayapur_1976-02-05_Initiation_Sannyasa--Welfare_to_Others.mp3" TargetMode="External"/><Relationship Id="rId589" Type="http://schemas.openxmlformats.org/officeDocument/2006/relationships/hyperlink" Target="https://audio.iskcondesiretree.com/01_-_Srila_Prabhupada/01_-_Lectures/01_-_English/01_-_Topic_wise/Srimad_Bhagavatam/Canto-02/SP_SB_2-03-13_Los_Angeles_1972-05-30_A_Devotee_Is_Kind.mp3" TargetMode="External"/><Relationship Id="rId588" Type="http://schemas.openxmlformats.org/officeDocument/2006/relationships/hyperlink" Target="https://audio.iskcondesiretree.com/01_-_Srila_Prabhupada/01_-_Lectures/01_-_English/02_-_Month_wise/05_-_May/28/SB_2-03-10_LA_1972-05-28_Only_a_Devotee_of_Krishna_etc.mp3" TargetMode="External"/><Relationship Id="rId583" Type="http://schemas.openxmlformats.org/officeDocument/2006/relationships/hyperlink" Target="https://audio.iskcondesiretree.com/01_-_Srila_Prabhupada/01_-_Lectures/01_-_English/01_-_Topic_wise/Various/SP_Lecture_Los_Angeles_1972-05-27_Initiation--This_Foolish_Civilization.mp3" TargetMode="External"/><Relationship Id="rId5530" Type="http://schemas.openxmlformats.org/officeDocument/2006/relationships/hyperlink" Target="https://audio.iskcondesiretree.com/01_-_Srila_Prabhupada/01_-_Lectures/01_-_English/02_-_Month_wise/12_-_December/26/SB-05-05-02%E2%80%93Hindi_1976-12-26_SB-BOMBAY.MP3" TargetMode="External"/><Relationship Id="rId582" Type="http://schemas.openxmlformats.org/officeDocument/2006/relationships/hyperlink" Target="https://audio.iskcondesiretree.com/01_-_Srila_Prabhupada/01_-_Lectures/01_-_English/01_-_Topic_wise/Festivals/SP_Festivals_Los_Angeles_1972-05-27_Nrsimhadeva_Appearance--Divinity%2C--etc.mp3" TargetMode="External"/><Relationship Id="rId5531" Type="http://schemas.openxmlformats.org/officeDocument/2006/relationships/hyperlink" Target="https://audio.iskcondesiretree.com/01_-_Srila_Prabhupada/01_-_Lectures/01_-_English/02_-_Month_wise/12_-_December/27/Conv_1976-12-27_R1-BOMBAY.MP3" TargetMode="External"/><Relationship Id="rId581" Type="http://schemas.openxmlformats.org/officeDocument/2006/relationships/hyperlink" Target="https://audio.iskcondesiretree.com/01_-_Srila_Prabhupada/01_-_Lectures/01_-_English/02_-_Month_wise/05_-_May/26/SB_2-03-09_LA_1972-05-26_If_You_Actually_Want_Freedom_etc.mp3" TargetMode="External"/><Relationship Id="rId4200" Type="http://schemas.openxmlformats.org/officeDocument/2006/relationships/hyperlink" Target="https://audio.iskcondesiretree.com/01_-_Srila_Prabhupada/01_-_Lectures/01_-_English/02_-_Month_wise/01_-_January/23/Walk_1976-01-23_MW-MAYAPUR.MP3" TargetMode="External"/><Relationship Id="rId580" Type="http://schemas.openxmlformats.org/officeDocument/2006/relationships/hyperlink" Target="https://audio.iskcondesiretree.com/01_-_Srila_Prabhupada/01_-_Lectures/01_-_English/01_-_Topic_wise/Srimad_Bhagavatam/Canto-02/SP_SB_2-03-09_Los_Angeles_1972-05-26_If_You_Actually_Want_Freedom--etc.mp3" TargetMode="External"/><Relationship Id="rId587" Type="http://schemas.openxmlformats.org/officeDocument/2006/relationships/hyperlink" Target="https://audio.iskcondesiretree.com/01_-_Srila_Prabhupada/01_-_Lectures/01_-_English/01_-_Topic_wise/Srimad_Bhagavatam/Canto-02/SP_SB_2-03-10_Los_Angeles_1972-05-28_Only_a_Devotee_of_Krishna--etc.mp3" TargetMode="External"/><Relationship Id="rId4202" Type="http://schemas.openxmlformats.org/officeDocument/2006/relationships/hyperlink" Target="https://audio.iskcondesiretree.com/01_-_Srila_Prabhupada/01_-_Lectures/01_-_English/01_-_Topic_wise/Morning_Walk/SP_Morning_Walk_-_Mayapur_1976-02-03_You_Scientists_Make_the_Sun_Rise_at--etc.mp3" TargetMode="External"/><Relationship Id="rId5534" Type="http://schemas.openxmlformats.org/officeDocument/2006/relationships/hyperlink" Target="https://audio.iskcondesiretree.com/01_-_Srila_Prabhupada/01_-_Lectures/01_-_English/01_-_Topic_wise/Srimad_Bhagavatam/Canto-05/SP_SB_5-06-10_Bombay_1976-12-28_Real_Varnasrama.mp3" TargetMode="External"/><Relationship Id="rId586" Type="http://schemas.openxmlformats.org/officeDocument/2006/relationships/hyperlink" Target="https://audio.iskcondesiretree.com/01_-_Srila_Prabhupada/01_-_Lectures/01_-_English/02_-_Month_wise/05_-_May/27/Lect_LA_1972-05-27_Initiation_Sannyasa.mp3" TargetMode="External"/><Relationship Id="rId4201" Type="http://schemas.openxmlformats.org/officeDocument/2006/relationships/hyperlink" Target="https://audio.iskcondesiretree.com/01_-_Srila_Prabhupada/01_-_Lectures/01_-_English/02_-_Month_wise/12_-_December/25/Walk_1976-01-25MW-BOMBAY.MP3" TargetMode="External"/><Relationship Id="rId5535" Type="http://schemas.openxmlformats.org/officeDocument/2006/relationships/hyperlink" Target="https://audio.iskcondesiretree.com/01_-_Srila_Prabhupada/01_-_Lectures/01_-_English/02_-_Month_wise/12_-_December/28/Conv_1976-12-28_R1-BOMBAY.MP3" TargetMode="External"/><Relationship Id="rId585" Type="http://schemas.openxmlformats.org/officeDocument/2006/relationships/hyperlink" Target="https://audio.iskcondesiretree.com/01_-_Srila_Prabhupada/01_-_Lectures/01_-_English/02_-_Month_wise/05_-_May/27/Lect_LA_1972-05-27_Initiation-This_Foolish_Civilization.mp3" TargetMode="External"/><Relationship Id="rId4204" Type="http://schemas.openxmlformats.org/officeDocument/2006/relationships/hyperlink" Target="https://audio.iskcondesiretree.com/01_-_Srila_Prabhupada/01_-_Lectures/01_-_English/02_-_Month_wise/02_-_Feburary/03/Walk_1976-02-03_MW-MAYAPUR.MP3" TargetMode="External"/><Relationship Id="rId5532" Type="http://schemas.openxmlformats.org/officeDocument/2006/relationships/hyperlink" Target="https://audio.iskcondesiretree.com/01_-_Srila_Prabhupada/01_-_Lectures/01_-_English/02_-_Month_wise/12_-_December/27/Conv_1976-12-27_R2-BOMBAY.MP3" TargetMode="External"/><Relationship Id="rId584" Type="http://schemas.openxmlformats.org/officeDocument/2006/relationships/hyperlink" Target="https://audio.iskcondesiretree.com/01_-_Srila_Prabhupada/01_-_Lectures/01_-_English/02_-_Month_wise/05_-_May/27/Fest_LA_1972-05-27_Nrsimhadeva_Appearance_Divinity_etc.mp3" TargetMode="External"/><Relationship Id="rId4203" Type="http://schemas.openxmlformats.org/officeDocument/2006/relationships/hyperlink" Target="https://audio.iskcondesiretree.com/01_-_Srila_Prabhupada/01_-_Lectures/01_-_English/02_-_Month_wise/02_-_Feburary/03/MW_MAY_1976-02-03_You_Scientists_Make_the_Sun_Rise_at_etc.mp3" TargetMode="External"/><Relationship Id="rId5533" Type="http://schemas.openxmlformats.org/officeDocument/2006/relationships/hyperlink" Target="https://audio.iskcondesiretree.com/01_-_Srila_Prabhupada/01_-_Lectures/01_-_English/02_-_Month_wise/12_-_December/27/Conv_1976-12-27_R3-BOMBAY.MP3" TargetMode="External"/><Relationship Id="rId5527" Type="http://schemas.openxmlformats.org/officeDocument/2006/relationships/hyperlink" Target="https://audio.iskcondesiretree.com/01_-_Srila_Prabhupada/01_-_Lectures/01_-_English/02_-_Month_wise/12_-_December/26/Conv_1976-12-26_R1-BOMBAY.MP3" TargetMode="External"/><Relationship Id="rId5528" Type="http://schemas.openxmlformats.org/officeDocument/2006/relationships/hyperlink" Target="https://audio.iskcondesiretree.com/01_-_Srila_Prabhupada/01_-_Lectures/01_-_English/02_-_Month_wise/12_-_December/26/Conv_1976-12-26_R2-BOMBAY.MP3" TargetMode="External"/><Relationship Id="rId5525" Type="http://schemas.openxmlformats.org/officeDocument/2006/relationships/hyperlink" Target="https://audio.iskcondesiretree.com/01_-_Srila_Prabhupada/01_-_Lectures/01_-_English/02_-_Month_wise/12_-_December/25/SB-05-05-01_1976-12-25_SB-BOMBAY.MP3" TargetMode="External"/><Relationship Id="rId5526" Type="http://schemas.openxmlformats.org/officeDocument/2006/relationships/hyperlink" Target="https://audio.iskcondesiretree.com/01_-_Srila_Prabhupada/01_-_Lectures/01_-_English/02_-_Month_wise/12_-_December/25/SB_5-05-01_BOM_1976-12-25_Human-Not_Working_Like_Animal.mp3" TargetMode="External"/><Relationship Id="rId5529" Type="http://schemas.openxmlformats.org/officeDocument/2006/relationships/hyperlink" Target="https://audio.iskcondesiretree.com/01_-_Srila_Prabhupada/01_-_Lectures/01_-_English/02_-_Month_wise/12_-_December/26/Conv_1976-12-26_R3-BOMBAY.MP3" TargetMode="External"/><Relationship Id="rId579" Type="http://schemas.openxmlformats.org/officeDocument/2006/relationships/hyperlink" Target="https://audio.iskcondesiretree.com/01_-_Srila_Prabhupada/01_-_Lectures/01_-_English/02_-_Month_wise/05_-_May/22/SB_2-03-01_LA_1972-05-22_If_You_Want_Vagina_Instead_of_Krishna.mp3" TargetMode="External"/><Relationship Id="rId578" Type="http://schemas.openxmlformats.org/officeDocument/2006/relationships/hyperlink" Target="https://audio.iskcondesiretree.com/01_-_Srila_Prabhupada/01_-_Lectures/01_-_English/01_-_Topic_wise/Srimad_Bhagavatam/Canto-02/SP_SB_2-03-01_Los_Angeles_1972-05-22_If_You_Want_Vagina_Instead_of_Krishna.mp3" TargetMode="External"/><Relationship Id="rId577" Type="http://schemas.openxmlformats.org/officeDocument/2006/relationships/hyperlink" Target="https://audio.iskcondesiretree.com/01_-_Srila_Prabhupada/01_-_Lectures/01_-_English/02_-_Month_wise/05_-_May/21/Lect_LA_1972-05-21_Sunday_Feast--The_Higher_Science.mp3" TargetMode="External"/><Relationship Id="rId572" Type="http://schemas.openxmlformats.org/officeDocument/2006/relationships/hyperlink" Target="https://audio.iskcondesiretree.com/01_-_Srila_Prabhupada/01_-_Lectures/01_-_English/01_-_Topic_wise/Srimad_Bhagavatam/Canto-02/SP_SB_2-03-01_Los_Angeles_1972-05-19_Who_Can_Say_%27I%27m_Not_on_the--etc.mp3" TargetMode="External"/><Relationship Id="rId571" Type="http://schemas.openxmlformats.org/officeDocument/2006/relationships/hyperlink" Target="https://audio.iskcondesiretree.com/01_-_Srila_Prabhupada/01_-_Lectures/01_-_English/02_-_Month_wise/05_-_May/18/Lect_LA_1972-05-18_Krishna-All_Attractive_Just_Imagine.mp3" TargetMode="External"/><Relationship Id="rId5520" Type="http://schemas.openxmlformats.org/officeDocument/2006/relationships/hyperlink" Target="https://audio.iskcondesiretree.com/01_-_Srila_Prabhupada/01_-_Lectures/01_-_English/02_-_Month_wise/12_-_December/24/SB-05-05-01%E2%80%93Hindi_1976-12-24_SB-BOMBAY.MP3" TargetMode="External"/><Relationship Id="rId570" Type="http://schemas.openxmlformats.org/officeDocument/2006/relationships/hyperlink" Target="https://audio.iskcondesiretree.com/01_-_Srila_Prabhupada/01_-_Lectures/01_-_English/02_-_Month_wise/05_-_May/18/Arr_LA_1972-05-18_Seeing_the_Source_of_This_Love.mp3" TargetMode="External"/><Relationship Id="rId576" Type="http://schemas.openxmlformats.org/officeDocument/2006/relationships/hyperlink" Target="https://audio.iskcondesiretree.com/01_-_Srila_Prabhupada/01_-_Lectures/01_-_English/01_-_Topic_wise/Various/SP_Lecture_Los_Angeles_1972-05-21_Sunday_Feast--The_Higher_Science.mp3" TargetMode="External"/><Relationship Id="rId5523" Type="http://schemas.openxmlformats.org/officeDocument/2006/relationships/hyperlink" Target="https://audio.iskcondesiretree.com/01_-_Srila_Prabhupada/01_-_Lectures/01_-_English/02_-_Month_wise/12_-_December/25/Conv_1976-12-25_R1-BOMBAY.MP3" TargetMode="External"/><Relationship Id="rId575" Type="http://schemas.openxmlformats.org/officeDocument/2006/relationships/hyperlink" Target="https://audio.iskcondesiretree.com/01_-_Srila_Prabhupada/01_-_Lectures/01_-_English/02_-_Month_wise/05_-_May/20/SB_2-03-02_LA_1972-05-20_Why_Are_You_Going_to_Hell.mp3" TargetMode="External"/><Relationship Id="rId5524" Type="http://schemas.openxmlformats.org/officeDocument/2006/relationships/hyperlink" Target="https://audio.iskcondesiretree.com/01_-_Srila_Prabhupada/01_-_Lectures/01_-_English/02_-_Month_wise/12_-_December/25/MW_BOM_1976-12-25_Coverings_Concoctions_Gandhi_etc.mp3" TargetMode="External"/><Relationship Id="rId574" Type="http://schemas.openxmlformats.org/officeDocument/2006/relationships/hyperlink" Target="https://audio.iskcondesiretree.com/01_-_Srila_Prabhupada/01_-_Lectures/01_-_English/01_-_Topic_wise/Srimad_Bhagavatam/Canto-02/SP_SB_2-03-02_Los_Angeles_1972-05-20_Why_Are_You_Going_to_Hell.mp3" TargetMode="External"/><Relationship Id="rId5521" Type="http://schemas.openxmlformats.org/officeDocument/2006/relationships/hyperlink" Target="https://audio.iskcondesiretree.com/01_-_Srila_Prabhupada/01_-_Lectures/01_-_English/01_-_Topic_wise/Morning_Walk/SP_Morning_Walk_-_Bombay_1976-12-25_Coverings--Concoctions--Gandhi--etc.mp3" TargetMode="External"/><Relationship Id="rId573" Type="http://schemas.openxmlformats.org/officeDocument/2006/relationships/hyperlink" Target="https://audio.iskcondesiretree.com/01_-_Srila_Prabhupada/01_-_Lectures/01_-_English/02_-_Month_wise/05_-_May/19/SB_2-03-01_LA_1972-05-19_Who_Can_Say_I_m_Not_on_the_etc.mp3" TargetMode="External"/><Relationship Id="rId5522" Type="http://schemas.openxmlformats.org/officeDocument/2006/relationships/hyperlink" Target="https://audio.iskcondesiretree.com/01_-_Srila_Prabhupada/01_-_Lectures/01_-_English/01_-_Topic_wise/Srimad_Bhagavatam/Canto-05/SP_SB_5-05-01_Bombay_1976-12-25_Human--Not_Working_Like_Animal.mp3" TargetMode="External"/><Relationship Id="rId4228" Type="http://schemas.openxmlformats.org/officeDocument/2006/relationships/hyperlink" Target="https://audio.iskcondesiretree.com/01_-_Srila_Prabhupada/01_-_Lectures/01_-_English/02_-_Month_wise/02_-_Feburary/10/Walk_1976-02-10_MW-MAYAPUR.MP3" TargetMode="External"/><Relationship Id="rId4227" Type="http://schemas.openxmlformats.org/officeDocument/2006/relationships/hyperlink" Target="https://audio.iskcondesiretree.com/01_-_Srila_Prabhupada/01_-_Lectures/01_-_English/02_-_Month_wise/02_-_Feburary/10/SB_7-09-03_MAY_1976-02-10_Never_Think_%27I_Have_Become_Big.mp3" TargetMode="External"/><Relationship Id="rId5558" Type="http://schemas.openxmlformats.org/officeDocument/2006/relationships/hyperlink" Target="https://audio.iskcondesiretree.com/01_-_Srila_Prabhupada/01_-_Lectures/01_-_English/02_-_Month_wise/01_-_January/04/MW_BOM_1977-01-04_Can_You_Know_You_Are_Liberated.mp3" TargetMode="External"/><Relationship Id="rId4229" Type="http://schemas.openxmlformats.org/officeDocument/2006/relationships/hyperlink" Target="https://audio.iskcondesiretree.com/01_-_Srila_Prabhupada/01_-_Lectures/01_-_English/02_-_Month_wise/02_-_Feburary/11/SB-07-09-04_1976-02-11_SB-MAYAPUR.MP3" TargetMode="External"/><Relationship Id="rId5559" Type="http://schemas.openxmlformats.org/officeDocument/2006/relationships/hyperlink" Target="https://audio.iskcondesiretree.com/01_-_Srila_Prabhupada/01_-_Lectures/01_-_English/02_-_Month_wise/01_-_January/04/Walk_1977-01-04_MW-BOMBAY.MP3" TargetMode="External"/><Relationship Id="rId4220" Type="http://schemas.openxmlformats.org/officeDocument/2006/relationships/hyperlink" Target="https://audio.iskcondesiretree.com/01_-_Srila_Prabhupada/01_-_Lectures/01_-_English/01_-_Topic_wise/Morning_Walk/SP_Morning_Walk_-_Mayapur_1976-02-09_Varnashram_Dharma--How_Necessary.mp3" TargetMode="External"/><Relationship Id="rId5552" Type="http://schemas.openxmlformats.org/officeDocument/2006/relationships/hyperlink" Target="https://audio.iskcondesiretree.com/01_-_Srila_Prabhupada/01_-_Lectures/01_-_English/02_-_Month_wise/01_-_January/02/RC_BOM_1977-01-02_You_Have_Performed_the_Greatest_Miracle.mp3" TargetMode="External"/><Relationship Id="rId5553" Type="http://schemas.openxmlformats.org/officeDocument/2006/relationships/hyperlink" Target="https://audio.iskcondesiretree.com/01_-_Srila_Prabhupada/01_-_Lectures/01_-_English/02_-_Month_wise/01_-_January/02/Walk_1977-01-02_MW-BOMBAY.MP3" TargetMode="External"/><Relationship Id="rId4222" Type="http://schemas.openxmlformats.org/officeDocument/2006/relationships/hyperlink" Target="https://audio.iskcondesiretree.com/01_-_Srila_Prabhupada/01_-_Lectures/01_-_English/02_-_Month_wise/02_-_Feburary/09/Walk_1976-02-09_MW-MAYAPUR.MP3" TargetMode="External"/><Relationship Id="rId5550" Type="http://schemas.openxmlformats.org/officeDocument/2006/relationships/hyperlink" Target="https://audio.iskcondesiretree.com/01_-_Srila_Prabhupada/01_-_Lectures/01_-_English/02_-_Month_wise/01_-_January/02/Conv_1977-01-02_R2-BOMBAY.MP3" TargetMode="External"/><Relationship Id="rId4221" Type="http://schemas.openxmlformats.org/officeDocument/2006/relationships/hyperlink" Target="https://audio.iskcondesiretree.com/01_-_Srila_Prabhupada/01_-_Lectures/01_-_English/02_-_Month_wise/02_-_Feburary/09/MW_MAY_1976-02-09_Varnashram_Dharma--How_Necessary.mp3" TargetMode="External"/><Relationship Id="rId5551" Type="http://schemas.openxmlformats.org/officeDocument/2006/relationships/hyperlink" Target="https://audio.iskcondesiretree.com/01_-_Srila_Prabhupada/01_-_Lectures/01_-_English/02_-_Month_wise/01_-_January/02/Conv_1977-01-02_R3-BOMBAY.MP3" TargetMode="External"/><Relationship Id="rId4224" Type="http://schemas.openxmlformats.org/officeDocument/2006/relationships/hyperlink" Target="https://audio.iskcondesiretree.com/01_-_Srila_Prabhupada/01_-_Lectures/01_-_English/01_-_Topic_wise/Srimad_Bhagavatam/Canto-07/SP_SB_7-09-03_Mayapur_1976-02-10_Never_Think_%27I_Have_Become_Big%27.mp3" TargetMode="External"/><Relationship Id="rId5556" Type="http://schemas.openxmlformats.org/officeDocument/2006/relationships/hyperlink" Target="https://audio.iskcondesiretree.com/01_-_Srila_Prabhupada/01_-_Lectures/01_-_English/01_-_Topic_wise/Morning_Walk/SP_Morning_Walk_-_Bombay_1977-01-04_Can_You_Know_You_Are_Liberated.mp3" TargetMode="External"/><Relationship Id="rId4223" Type="http://schemas.openxmlformats.org/officeDocument/2006/relationships/hyperlink" Target="https://audio.iskcondesiretree.com/01_-_Srila_Prabhupada/01_-_Lectures/01_-_English/01_-_Topic_wise/Morning_Walk/SP_Morning_Walk_-_Mayapur_1976-02-10_Ten-Handed_Krishna.mp3" TargetMode="External"/><Relationship Id="rId5557" Type="http://schemas.openxmlformats.org/officeDocument/2006/relationships/hyperlink" Target="https://audio.iskcondesiretree.com/01_-_Srila_Prabhupada/01_-_Lectures/01_-_English/02_-_Month_wise/01_-_January/04/Conv_1977-01-04_R1-BOMBAY.MP3" TargetMode="External"/><Relationship Id="rId4226" Type="http://schemas.openxmlformats.org/officeDocument/2006/relationships/hyperlink" Target="https://audio.iskcondesiretree.com/01_-_Srila_Prabhupada/01_-_Lectures/01_-_English/02_-_Month_wise/02_-_Feburary/10/SB-07-09-03_1976-02-10_SB-MAYAPUR.MP3" TargetMode="External"/><Relationship Id="rId5554" Type="http://schemas.openxmlformats.org/officeDocument/2006/relationships/hyperlink" Target="https://audio.iskcondesiretree.com/01_-_Srila_Prabhupada/01_-_Lectures/01_-_English/02_-_Month_wise/01_-_January/03/Conv_1977-01-03_R1-BOMBAY.MP3" TargetMode="External"/><Relationship Id="rId4225" Type="http://schemas.openxmlformats.org/officeDocument/2006/relationships/hyperlink" Target="https://audio.iskcondesiretree.com/01_-_Srila_Prabhupada/01_-_Lectures/01_-_English/02_-_Month_wise/02_-_Feburary/10/MW_MAY_1976-02-10_Ten-Handed_Krishna.mp3" TargetMode="External"/><Relationship Id="rId5555" Type="http://schemas.openxmlformats.org/officeDocument/2006/relationships/hyperlink" Target="https://audio.iskcondesiretree.com/01_-_Srila_Prabhupada/01_-_Lectures/01_-_English/02_-_Month_wise/01_-_January/03/Conv_1977-01-03_R2-BOMBAY.MP3" TargetMode="External"/><Relationship Id="rId4217" Type="http://schemas.openxmlformats.org/officeDocument/2006/relationships/hyperlink" Target="https://audio.iskcondesiretree.com/01_-_Srila_Prabhupada/01_-_Lectures/01_-_English/01_-_Topic_wise/Srimad_Bhagavatam/Canto-07/SP_SB_7-09-01_Mayapur_1976-02-08_Don%27t_Make_Krishna_Unhappy.mp3" TargetMode="External"/><Relationship Id="rId5549" Type="http://schemas.openxmlformats.org/officeDocument/2006/relationships/hyperlink" Target="https://audio.iskcondesiretree.com/01_-_Srila_Prabhupada/01_-_Lectures/01_-_English/02_-_Month_wise/01_-_January/02/Conv_1977-01-02_R1-BOMBAY.MP3" TargetMode="External"/><Relationship Id="rId4216" Type="http://schemas.openxmlformats.org/officeDocument/2006/relationships/hyperlink" Target="https://audio.iskcondesiretree.com/01_-_Srila_Prabhupada/01_-_Lectures/01_-_English/02_-_Month_wise/02_-_Feburary/06/Walk_1976-02-06_MW-MAYAPUR.MP3" TargetMode="External"/><Relationship Id="rId4219" Type="http://schemas.openxmlformats.org/officeDocument/2006/relationships/hyperlink" Target="https://audio.iskcondesiretree.com/01_-_Srila_Prabhupada/01_-_Lectures/01_-_English/02_-_Month_wise/02_-_Feburary/08/SB_7-09-01_MAY_1976-02-08_Don%27t_Make_Krishna_Unhappy.mp3" TargetMode="External"/><Relationship Id="rId5547" Type="http://schemas.openxmlformats.org/officeDocument/2006/relationships/hyperlink" Target="https://audio.iskcondesiretree.com/01_-_Srila_Prabhupada/01_-_Lectures/01_-_English/02_-_Month_wise/12_-_December/31/Interview_1976-12-31_IV-BOMBAY.MP3" TargetMode="External"/><Relationship Id="rId4218" Type="http://schemas.openxmlformats.org/officeDocument/2006/relationships/hyperlink" Target="https://audio.iskcondesiretree.com/01_-_Srila_Prabhupada/01_-_Lectures/01_-_English/02_-_Month_wise/02_-_Feburary/08/SB-07-09-01_1976-02-08_SB-MAYAPUR.MP3" TargetMode="External"/><Relationship Id="rId5548" Type="http://schemas.openxmlformats.org/officeDocument/2006/relationships/hyperlink" Target="https://audio.iskcondesiretree.com/01_-_Srila_Prabhupada/01_-_Lectures/01_-_English/01_-_Topic_wise/Room_Conversation/SP_Room_Conversation_Bombay_1977-01-02_You_Have_Performed_the_Greatest_Miracle.mp3" TargetMode="External"/><Relationship Id="rId599" Type="http://schemas.openxmlformats.org/officeDocument/2006/relationships/hyperlink" Target="https://audio.iskcondesiretree.com/01_-_Srila_Prabhupada/01_-_Lectures/01_-_English/01_-_Topic_wise/Srimad_Bhagavatam/Canto-02/SP_SB_2-03-18_Los_Angeles_1972-06-13_Hogs_Dogs_Camels_and_Asses.mp3" TargetMode="External"/><Relationship Id="rId594" Type="http://schemas.openxmlformats.org/officeDocument/2006/relationships/hyperlink" Target="https://audio.iskcondesiretree.com/01_-_Srila_Prabhupada/01_-_Lectures/01_-_English/01_-_Topic_wise/Srimad_Bhagavatam/Canto-02/SP_SB_2-03-15_Los_Angeles_1972-06-01_Devotion_to_Krishna.mp3" TargetMode="External"/><Relationship Id="rId5541" Type="http://schemas.openxmlformats.org/officeDocument/2006/relationships/hyperlink" Target="https://audio.iskcondesiretree.com/01_-_Srila_Prabhupada/01_-_Lectures/01_-_English/02_-_Month_wise/12_-_December/29/SB-05-06-11_1976-12-29_SB-BOMBAY.MP3" TargetMode="External"/><Relationship Id="rId593" Type="http://schemas.openxmlformats.org/officeDocument/2006/relationships/hyperlink" Target="https://audio.iskcondesiretree.com/01_-_Srila_Prabhupada/01_-_Lectures/01_-_English/02_-_Month_wise/05_-_May/31/SB_2-03-14_LA_1972-05-31_If_You_Actually_Feel_for_People.mp3" TargetMode="External"/><Relationship Id="rId5542" Type="http://schemas.openxmlformats.org/officeDocument/2006/relationships/hyperlink" Target="https://audio.iskcondesiretree.com/01_-_Srila_Prabhupada/01_-_Lectures/01_-_English/02_-_Month_wise/12_-_December/29/SB_5-06-11_BOM_1976-12-29_Soul-Killing_Civilization.mp3" TargetMode="External"/><Relationship Id="rId592" Type="http://schemas.openxmlformats.org/officeDocument/2006/relationships/hyperlink" Target="https://audio.iskcondesiretree.com/01_-_Srila_Prabhupada/01_-_Lectures/01_-_English/01_-_Topic_wise/Srimad_Bhagavatam/Canto-02/SP_SB_2-03-14_Los_Angeles_1972-05-31_If_You_Actually_Feel_for_People.mp3" TargetMode="External"/><Relationship Id="rId4211" Type="http://schemas.openxmlformats.org/officeDocument/2006/relationships/hyperlink" Target="https://audio.iskcondesiretree.com/01_-_Srila_Prabhupada/01_-_Lectures/01_-_English/02_-_Month_wise/02_-_Feburary/05/Lect_MAY_1976-02-05_Initiation_Sannyasa--Welfare_to_Others.mp3" TargetMode="External"/><Relationship Id="rId591" Type="http://schemas.openxmlformats.org/officeDocument/2006/relationships/hyperlink" Target="https://audio.iskcondesiretree.com/01_-_Srila_Prabhupada/01_-_Lectures/01_-_English/01_-_Topic_wise/Srimad_Bhagavatam/Canto-02/SP_SB_2-03-14-15_Los_Angeles_1972-05-31_If_You_Actually_Feel_for_People.mp3" TargetMode="External"/><Relationship Id="rId4210" Type="http://schemas.openxmlformats.org/officeDocument/2006/relationships/hyperlink" Target="https://audio.iskcondesiretree.com/01_-_Srila_Prabhupada/01_-_Lectures/01_-_English/02_-_Month_wise/02_-_Feburary/05/Initiations_1976-02-05_IN-MAYAPUR.MP3" TargetMode="External"/><Relationship Id="rId5540" Type="http://schemas.openxmlformats.org/officeDocument/2006/relationships/hyperlink" Target="https://audio.iskcondesiretree.com/01_-_Srila_Prabhupada/01_-_Lectures/01_-_English/02_-_Month_wise/12_-_December/29/Conv_1976-12-29_R1-BOMBAY.MP3" TargetMode="External"/><Relationship Id="rId598" Type="http://schemas.openxmlformats.org/officeDocument/2006/relationships/hyperlink" Target="https://audio.iskcondesiretree.com/01_-_Srila_Prabhupada/01_-_Lectures/01_-_English/01_-_Topic_wise/Srimad_Bhagavatam/Canto-02/SP_SB_2-03-18-19_Los_Angeles_1972-06-13_Hogs_Dogs_Camels_and_Asses.mp3" TargetMode="External"/><Relationship Id="rId4213" Type="http://schemas.openxmlformats.org/officeDocument/2006/relationships/hyperlink" Target="https://audio.iskcondesiretree.com/01_-_Srila_Prabhupada/01_-_Lectures/01_-_English/02_-_Month_wise/02_-_Feburary/05/Walk_1976-02-05_MW-MAYAPUR.MP3" TargetMode="External"/><Relationship Id="rId5545" Type="http://schemas.openxmlformats.org/officeDocument/2006/relationships/hyperlink" Target="https://audio.iskcondesiretree.com/01_-_Srila_Prabhupada/01_-_Lectures/01_-_English/02_-_Month_wise/12_-_December/31/Conv_1976-12-31_R1-BOMBAY.MP3" TargetMode="External"/><Relationship Id="rId597" Type="http://schemas.openxmlformats.org/officeDocument/2006/relationships/hyperlink" Target="https://audio.iskcondesiretree.com/01_-_Srila_Prabhupada/01_-_Lectures/01_-_English/02_-_Month_wise/06_-_June/12/SB_2-03-17_LA_1972-06-12_If_You_Want_to_Live_Forever.mp3" TargetMode="External"/><Relationship Id="rId4212" Type="http://schemas.openxmlformats.org/officeDocument/2006/relationships/hyperlink" Target="https://audio.iskcondesiretree.com/01_-_Srila_Prabhupada/01_-_Lectures/01_-_English/02_-_Month_wise/02_-_Feburary/05/MW_MAY_1976-02-05_Primordial_Criminality.mp3" TargetMode="External"/><Relationship Id="rId5546" Type="http://schemas.openxmlformats.org/officeDocument/2006/relationships/hyperlink" Target="https://audio.iskcondesiretree.com/01_-_Srila_Prabhupada/01_-_Lectures/01_-_English/02_-_Month_wise/12_-_December/31/Conv_1976-12-31_R2-BOMBAY.MP3" TargetMode="External"/><Relationship Id="rId596" Type="http://schemas.openxmlformats.org/officeDocument/2006/relationships/hyperlink" Target="https://audio.iskcondesiretree.com/01_-_Srila_Prabhupada/01_-_Lectures/01_-_English/01_-_Topic_wise/Srimad_Bhagavatam/Canto-02/SP_SB_2-03-17_Los_Angeles_1972-06-12_If_You_Want_to_Live_Forever.mp3" TargetMode="External"/><Relationship Id="rId4215" Type="http://schemas.openxmlformats.org/officeDocument/2006/relationships/hyperlink" Target="https://audio.iskcondesiretree.com/01_-_Srila_Prabhupada/01_-_Lectures/01_-_English/02_-_Month_wise/02_-_Feburary/06/MW_MAY_1976-02-06_The_Fighting_Philosophy.mp3" TargetMode="External"/><Relationship Id="rId5543" Type="http://schemas.openxmlformats.org/officeDocument/2006/relationships/hyperlink" Target="https://audio.iskcondesiretree.com/01_-_Srila_Prabhupada/01_-_Lectures/01_-_English/02_-_Month_wise/12_-_December/29/Walk_1976-12-29_MW-BOMBAY.MP3" TargetMode="External"/><Relationship Id="rId595" Type="http://schemas.openxmlformats.org/officeDocument/2006/relationships/hyperlink" Target="https://audio.iskcondesiretree.com/01_-_Srila_Prabhupada/01_-_Lectures/01_-_English/02_-_Month_wise/06_-_June/01/SB_2-03-15_LA_1972-06-01_Devotion_to_Krishna.mp3" TargetMode="External"/><Relationship Id="rId4214" Type="http://schemas.openxmlformats.org/officeDocument/2006/relationships/hyperlink" Target="https://audio.iskcondesiretree.com/01_-_Srila_Prabhupada/01_-_Lectures/01_-_English/01_-_Topic_wise/Morning_Walk/SP_Morning_Walk_-_Mayapur_1976-02-06_The_Fighting_Philosophy.mp3" TargetMode="External"/><Relationship Id="rId5544" Type="http://schemas.openxmlformats.org/officeDocument/2006/relationships/hyperlink" Target="https://audio.iskcondesiretree.com/01_-_Srila_Prabhupada/01_-_Lectures/01_-_English/02_-_Month_wise/12_-_December/30/Conv_1976-12-30_R1-BOMBAY.MP3" TargetMode="External"/><Relationship Id="rId547" Type="http://schemas.openxmlformats.org/officeDocument/2006/relationships/hyperlink" Target="https://audio.iskcondesiretree.com/01_-_Srila_Prabhupada/01_-_Lectures/01_-_English/02_-_Month_wise/07_-_July/22/SB_6-01-08_NY_1971-07-22_Krishna_Is_etc.mp3" TargetMode="External"/><Relationship Id="rId546" Type="http://schemas.openxmlformats.org/officeDocument/2006/relationships/hyperlink" Target="https://audio.iskcondesiretree.com/01_-_Srila_Prabhupada/01_-_Lectures/01_-_English/01_-_Topic_wise/Srimad_Bhagavatam/Canto-06/SP_SB_6-01-08_New_York_1971-07-22_Krishna_Is--etc.mp3" TargetMode="External"/><Relationship Id="rId545" Type="http://schemas.openxmlformats.org/officeDocument/2006/relationships/hyperlink" Target="https://audio.iskcondesiretree.com/01_-_Srila_Prabhupada/01_-_Lectures/01_-_English/02_-_Month_wise/07_-_July/20/Lect_NY_1971-07-20_Horseless_Carriage_Wingless_etc.mp3" TargetMode="External"/><Relationship Id="rId544" Type="http://schemas.openxmlformats.org/officeDocument/2006/relationships/hyperlink" Target="https://audio.iskcondesiretree.com/01_-_Srila_Prabhupada/01_-_Lectures/01_-_English/01_-_Topic_wise/Various/SP_Lecture_New_York_1971-07-20_Horseless_Carriage_-_Wingless--etc.mp3" TargetMode="External"/><Relationship Id="rId549" Type="http://schemas.openxmlformats.org/officeDocument/2006/relationships/hyperlink" Target="https://audio.iskcondesiretree.com/01_-_Srila_Prabhupada/01_-_Lectures/01_-_English/02_-_Month_wise/07_-_July/24/SB_6-01-09_NY_1971-07-24_Heinous_Proposals_Heinous_Habits.mp3" TargetMode="External"/><Relationship Id="rId548" Type="http://schemas.openxmlformats.org/officeDocument/2006/relationships/hyperlink" Target="https://audio.iskcondesiretree.com/01_-_Srila_Prabhupada/01_-_Lectures/01_-_English/01_-_Topic_wise/Srimad_Bhagavatam/Canto-06/SP_SB_6-01-09_New_York_1971-07-24_Heinous_Proposals_-_Heinous_Habits.mp3" TargetMode="External"/><Relationship Id="rId543" Type="http://schemas.openxmlformats.org/officeDocument/2006/relationships/hyperlink" Target="https://audio.iskcondesiretree.com/01_-_Srila_Prabhupada/01_-_Lectures/01_-_English/02_-_Month_wise/07_-_July/17/Lect_DET_1971-07-17_Initiation-This_Kartala_Playing_etc.mp3" TargetMode="External"/><Relationship Id="rId542" Type="http://schemas.openxmlformats.org/officeDocument/2006/relationships/hyperlink" Target="https://audio.iskcondesiretree.com/01_-_Srila_Prabhupada/01_-_Lectures/01_-_English/01_-_Topic_wise/Various/SP_Lecture_Detroit_1971-07-17_Initiation--This_Kartala-Playing--etc.mp3" TargetMode="External"/><Relationship Id="rId541" Type="http://schemas.openxmlformats.org/officeDocument/2006/relationships/hyperlink" Target="https://audio.iskcondesiretree.com/01_-_Srila_Prabhupada/01_-_Lectures/01_-_English/02_-_Month_wise/07_-_July/15/SB_6-01-11_NY_1971-07-15_Karma_and_Again-and-Again_Cures.mp3" TargetMode="External"/><Relationship Id="rId540" Type="http://schemas.openxmlformats.org/officeDocument/2006/relationships/hyperlink" Target="https://audio.iskcondesiretree.com/01_-_Srila_Prabhupada/01_-_Lectures/01_-_English/01_-_Topic_wise/Srimad_Bhagavatam/Canto-06/SP_SB_6-01-11_New_York_1971-07-15_Karma_and_Again-and-Again_Cures.mp3" TargetMode="External"/><Relationship Id="rId536" Type="http://schemas.openxmlformats.org/officeDocument/2006/relationships/hyperlink" Target="https://audio.iskcondesiretree.com/01_-_Srila_Prabhupada/01_-_Lectures/01_-_English/02_-_Month_wise/06_-_June/27/Fest_SF_1971-06-27_Ratha-yatra-Spiritualize_Your_etc.mp3" TargetMode="External"/><Relationship Id="rId535" Type="http://schemas.openxmlformats.org/officeDocument/2006/relationships/hyperlink" Target="https://audio.iskcondesiretree.com/01_-_Srila_Prabhupada/01_-_Lectures/01_-_English/02_-_Month_wise/06_-_June/27/Fest_SF_1971-06-27_Ratha-yatra-Do_Not_Think_There_is_etc.mp3" TargetMode="External"/><Relationship Id="rId534" Type="http://schemas.openxmlformats.org/officeDocument/2006/relationships/hyperlink" Target="https://audio.iskcondesiretree.com/01_-_Srila_Prabhupada/01_-_Lectures/01_-_English/01_-_Topic_wise/Various/SP_Lecture_San_Francisco_1971-06-27_On_Six_Goswamis--etc.mp3" TargetMode="External"/><Relationship Id="rId533" Type="http://schemas.openxmlformats.org/officeDocument/2006/relationships/hyperlink" Target="https://audio.iskcondesiretree.com/01_-_Srila_Prabhupada/01_-_Lectures/01_-_English/01_-_Topic_wise/Festivals/SP_Festivals_San_Francisco_1971-06-27_Ratha-yatra--Spiritualize_Your--etc.mp3" TargetMode="External"/><Relationship Id="rId539" Type="http://schemas.openxmlformats.org/officeDocument/2006/relationships/hyperlink" Target="https://audio.iskcondesiretree.com/01_-_Srila_Prabhupada/01_-_Lectures/01_-_English/02_-_Month_wise/07_-_July/01/Fest_LA_1971-07-01_Ratha_Yatra.mp3" TargetMode="External"/><Relationship Id="rId538" Type="http://schemas.openxmlformats.org/officeDocument/2006/relationships/hyperlink" Target="https://audio.iskcondesiretree.com/01_-_Srila_Prabhupada/01_-_Lectures/01_-_English/01_-_Topic_wise/Festivals/SP_Festivals_Los_Angeles_1971-07-01_Ratha_Yatra.mp3" TargetMode="External"/><Relationship Id="rId537" Type="http://schemas.openxmlformats.org/officeDocument/2006/relationships/hyperlink" Target="https://audio.iskcondesiretree.com/01_-_Srila_Prabhupada/01_-_Lectures/01_-_English/02_-_Month_wise/06_-_June/27/Lect_SF_1971-06-27_On_Six_Goswamis_etc.mp3" TargetMode="External"/><Relationship Id="rId532" Type="http://schemas.openxmlformats.org/officeDocument/2006/relationships/hyperlink" Target="https://audio.iskcondesiretree.com/01_-_Srila_Prabhupada/01_-_Lectures/01_-_English/01_-_Topic_wise/Festivals/SP_Festivals_San_Francisco_1971-06-27_Ratha-yatra--Do_Not_Think_There_is--etc.mp3" TargetMode="External"/><Relationship Id="rId531" Type="http://schemas.openxmlformats.org/officeDocument/2006/relationships/hyperlink" Target="https://audio.iskcondesiretree.com/01_-_Srila_Prabhupada/01_-_Lectures/01_-_English/02_-_Month_wise/05_-_May/28/Lect_LA_1971-05-28_The_Most_Wonderful_Thing_And_One_etc.mp3" TargetMode="External"/><Relationship Id="rId530" Type="http://schemas.openxmlformats.org/officeDocument/2006/relationships/hyperlink" Target="https://audio.iskcondesiretree.com/01_-_Srila_Prabhupada/01_-_Lectures/01_-_English/02_-_Month_wise/05_-_May/28/Lect_LA_1971-05-28_Just_Learn_How_to_Love_Krishna.mp3" TargetMode="External"/><Relationship Id="rId5516" Type="http://schemas.openxmlformats.org/officeDocument/2006/relationships/hyperlink" Target="https://audio.iskcondesiretree.com/01_-_Srila_Prabhupada/01_-_Lectures/01_-_English/02_-_Month_wise/12_-_December/20/Conv_1976-12-20_R1-WARDHA.MP3" TargetMode="External"/><Relationship Id="rId5517" Type="http://schemas.openxmlformats.org/officeDocument/2006/relationships/hyperlink" Target="https://audio.iskcondesiretree.com/01_-_Srila_Prabhupada/01_-_Lectures/01_-_English/02_-_Month_wise/12_-_December/20/Lecture%E2%80%93Hindi_1976-12-20_LE-WARDHA.MP3" TargetMode="External"/><Relationship Id="rId5514" Type="http://schemas.openxmlformats.org/officeDocument/2006/relationships/hyperlink" Target="https://audio.iskcondesiretree.com/01_-_Srila_Prabhupada/01_-_Lectures/01_-_English/02_-_Month_wise/12_-_December/20/Arrival_1976-12-20_AR-BOMBAY.MP3" TargetMode="External"/><Relationship Id="rId5515" Type="http://schemas.openxmlformats.org/officeDocument/2006/relationships/hyperlink" Target="https://audio.iskcondesiretree.com/01_-_Srila_Prabhupada/01_-_Lectures/01_-_English/02_-_Month_wise/12_-_December/20/Conv_1976-12-20_R1-BOMBAY.MP3" TargetMode="External"/><Relationship Id="rId5518" Type="http://schemas.openxmlformats.org/officeDocument/2006/relationships/hyperlink" Target="https://audio.iskcondesiretree.com/01_-_Srila_Prabhupada/01_-_Lectures/01_-_English/02_-_Month_wise/12_-_December/22/Conv_1976-12-22_R1-POONA.MP3" TargetMode="External"/><Relationship Id="rId5519" Type="http://schemas.openxmlformats.org/officeDocument/2006/relationships/hyperlink" Target="https://audio.iskcondesiretree.com/01_-_Srila_Prabhupada/01_-_Lectures/01_-_English/02_-_Month_wise/12_-_December/22/Conv_1976-12-22_R2-POONA.MP3" TargetMode="External"/><Relationship Id="rId569" Type="http://schemas.openxmlformats.org/officeDocument/2006/relationships/hyperlink" Target="https://audio.iskcondesiretree.com/01_-_Srila_Prabhupada/01_-_Lectures/01_-_English/01_-_Topic_wise/Various/SP_Lecture_Los_Angeles_1972-05-18_Krishna-All_Attractive_Just_Imagine.mp3" TargetMode="External"/><Relationship Id="rId568" Type="http://schemas.openxmlformats.org/officeDocument/2006/relationships/hyperlink" Target="https://audio.iskcondesiretree.com/01_-_Srila_Prabhupada/01_-_Lectures/01_-_English/01_-_Topic_wise/Arrival_Address/SP_Arrival_Los_Angeles_1972-05-18_Seeing_the_Source_of_This_Love.mp3" TargetMode="External"/><Relationship Id="rId567" Type="http://schemas.openxmlformats.org/officeDocument/2006/relationships/hyperlink" Target="https://audio.iskcondesiretree.com/01_-_Srila_Prabhupada/01_-_Lectures/01_-_English/02_-_Month_wise/03_-_March/06/Lect_CAL_1972-03-06_Elevating_The_Low-Born--_and_the_High-Born.mp3" TargetMode="External"/><Relationship Id="rId566" Type="http://schemas.openxmlformats.org/officeDocument/2006/relationships/hyperlink" Target="https://audio.iskcondesiretree.com/01_-_Srila_Prabhupada/01_-_Lectures/01_-_English/01_-_Topic_wise/Various/SP_Lecture_Calcutta_1972-03-06_Elevating_The_Low-Born--_and_the_High-Born.mp3" TargetMode="External"/><Relationship Id="rId561" Type="http://schemas.openxmlformats.org/officeDocument/2006/relationships/hyperlink" Target="https://audio.iskcondesiretree.com/01_-_Srila_Prabhupada/01_-_Lectures/01_-_English/01_-_Topic_wise/Srimad_Bhagavatam/Canto-01/SP_SB_1-02-06_Calcutta_1972-02-23_The_Spirit_of_Giving_to--etc.mp3" TargetMode="External"/><Relationship Id="rId560" Type="http://schemas.openxmlformats.org/officeDocument/2006/relationships/hyperlink" Target="https://audio.iskcondesiretree.com/01_-_Srila_Prabhupada/01_-_Lectures/01_-_English/01_-_Topic_wise/Bhagavad_Gita/Chapter-16/SP_BG_16-05_Calcutta_1972-02-23_Some_Way_or_Other_Become--etc.mp3" TargetMode="External"/><Relationship Id="rId565" Type="http://schemas.openxmlformats.org/officeDocument/2006/relationships/hyperlink" Target="https://audio.iskcondesiretree.com/01_-_Srila_Prabhupada/01_-_Lectures/01_-_English/02_-_Month_wise/02_-_Feburary/24/Lect_CAL_1972-02-24_The_Origin_Was_A_Chunk--We_Are_etc.mp3" TargetMode="External"/><Relationship Id="rId5512" Type="http://schemas.openxmlformats.org/officeDocument/2006/relationships/hyperlink" Target="https://audio.iskcondesiretree.com/01_-_Srila_Prabhupada/01_-_Lectures/01_-_English/02_-_Month_wise/12_-_December/17/Bg-03-25_1976-12-17_BG-HYDERABAD.MP3" TargetMode="External"/><Relationship Id="rId564" Type="http://schemas.openxmlformats.org/officeDocument/2006/relationships/hyperlink" Target="https://audio.iskcondesiretree.com/01_-_Srila_Prabhupada/01_-_Lectures/01_-_English/01_-_Topic_wise/Various/SP_Lecture_Calcutta_1972-02-24_The_Origin_Was_A_Chunk--We_Are--etc.mp3" TargetMode="External"/><Relationship Id="rId5513" Type="http://schemas.openxmlformats.org/officeDocument/2006/relationships/hyperlink" Target="https://audio.iskcondesiretree.com/01_-_Srila_Prabhupada/01_-_Lectures/01_-_English/02_-_Month_wise/12_-_December/17/Bg_03-25_HYD_1976-12-17_Plan_Making_for_More_Suffering.mp3" TargetMode="External"/><Relationship Id="rId563" Type="http://schemas.openxmlformats.org/officeDocument/2006/relationships/hyperlink" Target="https://audio.iskcondesiretree.com/01_-_Srila_Prabhupada/01_-_Lectures/01_-_English/02_-_Month_wise/02_-_Feburary/23/SB_1-02-06_CAL_1972-02-23_The_Spirit_of_Giving_to_etc.mp3" TargetMode="External"/><Relationship Id="rId5510" Type="http://schemas.openxmlformats.org/officeDocument/2006/relationships/hyperlink" Target="https://audio.iskcondesiretree.com/01_-_Srila_Prabhupada/01_-_Lectures/01_-_English/02_-_Month_wise/12_-_December/16/PressConf_1976-12-16_PC-HYDERABAD.MP3" TargetMode="External"/><Relationship Id="rId562" Type="http://schemas.openxmlformats.org/officeDocument/2006/relationships/hyperlink" Target="https://audio.iskcondesiretree.com/01_-_Srila_Prabhupada/01_-_Lectures/01_-_English/02_-_Month_wise/02_-_Feburary/23/Bg_16-05_CAL_1972-02-23_Some_Way_or_Other_Become_etc.mp3" TargetMode="External"/><Relationship Id="rId5511" Type="http://schemas.openxmlformats.org/officeDocument/2006/relationships/hyperlink" Target="https://audio.iskcondesiretree.com/01_-_Srila_Prabhupada/01_-_Lectures/01_-_English/01_-_Topic_wise/Bhagavad_Gita/Chapter-03/SP_BG_03-25_Hyderabad_1976-12-17_Plan_Making_for_More_Suffering.mp3" TargetMode="External"/><Relationship Id="rId5505" Type="http://schemas.openxmlformats.org/officeDocument/2006/relationships/hyperlink" Target="https://audio.iskcondesiretree.com/01_-_Srila_Prabhupada/01_-_Lectures/01_-_English/02_-_Month_wise/12_-_December/15/Bg_16-07_HYD_1976-12-15_The_Asuric_Public.mp3" TargetMode="External"/><Relationship Id="rId5506" Type="http://schemas.openxmlformats.org/officeDocument/2006/relationships/hyperlink" Target="https://audio.iskcondesiretree.com/01_-_Srila_Prabhupada/01_-_Lectures/01_-_English/01_-_Topic_wise/Bhagavad_Gita/Chapter-16/SP_BG_16-08_Hyderabad_1976-12-16_Deliver_Your_Neighborhood.mp3" TargetMode="External"/><Relationship Id="rId5503" Type="http://schemas.openxmlformats.org/officeDocument/2006/relationships/hyperlink" Target="https://audio.iskcondesiretree.com/01_-_Srila_Prabhupada/01_-_Lectures/01_-_English/01_-_Topic_wise/Bhagavad_Gita/Chapter-16/SP_BG_16-07_Hyderabad_1976-12-15_The_Asuric_Public.mp3" TargetMode="External"/><Relationship Id="rId5504" Type="http://schemas.openxmlformats.org/officeDocument/2006/relationships/hyperlink" Target="https://audio.iskcondesiretree.com/01_-_Srila_Prabhupada/01_-_Lectures/01_-_English/02_-_Month_wise/12_-_December/15/Bg-16-07_1976-12-15_BG-HYDERABAD.MP3" TargetMode="External"/><Relationship Id="rId5509" Type="http://schemas.openxmlformats.org/officeDocument/2006/relationships/hyperlink" Target="https://audio.iskcondesiretree.com/01_-_Srila_Prabhupada/01_-_Lectures/01_-_English/02_-_Month_wise/12_-_December/16/Conv_1976-12-16_R1-HYDERABAD.MP3" TargetMode="External"/><Relationship Id="rId5507" Type="http://schemas.openxmlformats.org/officeDocument/2006/relationships/hyperlink" Target="https://audio.iskcondesiretree.com/01_-_Srila_Prabhupada/01_-_Lectures/01_-_English/02_-_Month_wise/12_-_December/16/Bg-16-08_1976-12-16_BG-HYDERABAD.MP3" TargetMode="External"/><Relationship Id="rId5508" Type="http://schemas.openxmlformats.org/officeDocument/2006/relationships/hyperlink" Target="https://audio.iskcondesiretree.com/01_-_Srila_Prabhupada/01_-_Lectures/01_-_English/02_-_Month_wise/12_-_December/16/Bg_16-08_HYD_1976-12-16_Deliver_Your_Neighborhood.mp3" TargetMode="External"/><Relationship Id="rId558" Type="http://schemas.openxmlformats.org/officeDocument/2006/relationships/hyperlink" Target="https://audio.iskcondesiretree.com/01_-_Srila_Prabhupada/01_-_Lectures/01_-_English/01_-_Topic_wise/Bhagavad_Gita/Chapter-07/SP_BG_07-01_London_1971-08-04_Beauty_of_Brahminical_Culture.mp3" TargetMode="External"/><Relationship Id="rId557" Type="http://schemas.openxmlformats.org/officeDocument/2006/relationships/hyperlink" Target="https://audio.iskcondesiretree.com/01_-_Srila_Prabhupada/01_-_Lectures/01_-_English/02_-_Month_wise/08_-_August/03/SB_6-01-15_LON_1971-08-03_Understand_Krishna-Be_Liberated.mp3" TargetMode="External"/><Relationship Id="rId556" Type="http://schemas.openxmlformats.org/officeDocument/2006/relationships/hyperlink" Target="https://audio.iskcondesiretree.com/01_-_Srila_Prabhupada/01_-_Lectures/01_-_English/01_-_Topic_wise/Srimad_Bhagavatam/Canto-06/SP_SB_6-01-15_London_1971-08-03_Understand_Krishna-Be_Liberated.mp3" TargetMode="External"/><Relationship Id="rId555" Type="http://schemas.openxmlformats.org/officeDocument/2006/relationships/hyperlink" Target="https://audio.iskcondesiretree.com/01_-_Srila_Prabhupada/01_-_Lectures/01_-_English/02_-_Month_wise/07_-_July/29/Interv_GAI_1971-07-29_The_Only_Way_to_Love_God_In_This_Age.mp3" TargetMode="External"/><Relationship Id="rId559" Type="http://schemas.openxmlformats.org/officeDocument/2006/relationships/hyperlink" Target="https://audio.iskcondesiretree.com/01_-_Srila_Prabhupada/01_-_Lectures/01_-_English/02_-_Month_wise/08_-_August/04/Bg_07-01_LON_1971-08-04_Beauty_of_Brahminical_Culture.mp3" TargetMode="External"/><Relationship Id="rId550" Type="http://schemas.openxmlformats.org/officeDocument/2006/relationships/hyperlink" Target="https://audio.iskcondesiretree.com/01_-_Srila_Prabhupada/01_-_Lectures/01_-_English/01_-_Topic_wise/Arrival_Address/SP_Arrival_Gainesville_1971-07-29_Everyone_Has_Got_Love_For_Krishna.mp3" TargetMode="External"/><Relationship Id="rId554" Type="http://schemas.openxmlformats.org/officeDocument/2006/relationships/hyperlink" Target="https://audio.iskcondesiretree.com/01_-_Srila_Prabhupada/01_-_Lectures/01_-_English/02_-_Month_wise/07_-_July/29/Bg_07-01_GAI_1971-07-29_This_Movement_Appeals_etc.mp3" TargetMode="External"/><Relationship Id="rId5501" Type="http://schemas.openxmlformats.org/officeDocument/2006/relationships/hyperlink" Target="https://audio.iskcondesiretree.com/01_-_Srila_Prabhupada/01_-_Lectures/01_-_English/02_-_Month_wise/12_-_December/14/Bg-16-07_1976-12-14_BG-HYDERABAD.MP3" TargetMode="External"/><Relationship Id="rId553" Type="http://schemas.openxmlformats.org/officeDocument/2006/relationships/hyperlink" Target="https://audio.iskcondesiretree.com/01_-_Srila_Prabhupada/01_-_Lectures/01_-_English/02_-_Month_wise/07_-_July/29/Arr_GAI_1971-07-29_Everyone_Has_Got_Love_For_Krishna.mp3" TargetMode="External"/><Relationship Id="rId5502" Type="http://schemas.openxmlformats.org/officeDocument/2006/relationships/hyperlink" Target="https://audio.iskcondesiretree.com/01_-_Srila_Prabhupada/01_-_Lectures/01_-_English/02_-_Month_wise/12_-_December/14/Bg_16-07_HYD_1976-12-14_The_Path_of_No.mp3" TargetMode="External"/><Relationship Id="rId552" Type="http://schemas.openxmlformats.org/officeDocument/2006/relationships/hyperlink" Target="https://audio.iskcondesiretree.com/01_-_Srila_Prabhupada/01_-_Lectures/01_-_English/01_-_Topic_wise/Interview/SP_Interview_Gainesville_1971-07-29_The_Only_Way_to_Love_God_In_This_Age.mp3" TargetMode="External"/><Relationship Id="rId551" Type="http://schemas.openxmlformats.org/officeDocument/2006/relationships/hyperlink" Target="https://audio.iskcondesiretree.com/01_-_Srila_Prabhupada/01_-_Lectures/01_-_English/01_-_Topic_wise/Bhagavad_Gita/Chapter-07/SP_BG_07-01_Gainesville_1971-07-29_This_Movement_Appeals--etc.mp3" TargetMode="External"/><Relationship Id="rId5500" Type="http://schemas.openxmlformats.org/officeDocument/2006/relationships/hyperlink" Target="https://audio.iskcondesiretree.com/01_-_Srila_Prabhupada/01_-_Lectures/01_-_English/01_-_Topic_wise/Bhagavad_Gita/Chapter-16/SP_BG_16-07_Hyderabad_1976-12-14_The_Path_of_No.mp3" TargetMode="External"/><Relationship Id="rId4280" Type="http://schemas.openxmlformats.org/officeDocument/2006/relationships/hyperlink" Target="https://audio.iskcondesiretree.com/01_-_Srila_Prabhupada/01_-_Lectures/01_-_English/02_-_Month_wise/02_-_Feburary/25/MW_MAY_1976-02-25_The_Process_of_Disgust.mp3" TargetMode="External"/><Relationship Id="rId4282" Type="http://schemas.openxmlformats.org/officeDocument/2006/relationships/hyperlink" Target="https://audio.iskcondesiretree.com/01_-_Srila_Prabhupada/01_-_Lectures/01_-_English/02_-_Month_wise/02_-_Feburary/25/SB_7-09-18_MAY_1976-02-25_Literature_vs_Literature.mp3" TargetMode="External"/><Relationship Id="rId4281" Type="http://schemas.openxmlformats.org/officeDocument/2006/relationships/hyperlink" Target="https://audio.iskcondesiretree.com/01_-_Srila_Prabhupada/01_-_Lectures/01_-_English/02_-_Month_wise/02_-_Feburary/25/SB-07-09-18_1976-02-25_SB-MAYAPUR.MP3" TargetMode="External"/><Relationship Id="rId4284" Type="http://schemas.openxmlformats.org/officeDocument/2006/relationships/hyperlink" Target="https://audio.iskcondesiretree.com/01_-_Srila_Prabhupada/01_-_Lectures/01_-_English/01_-_Topic_wise/Morning_Walk/SP_Morning_Walk_-_Mayapur_1976-02-26_Nothing_But_Krishna.mp3" TargetMode="External"/><Relationship Id="rId4283" Type="http://schemas.openxmlformats.org/officeDocument/2006/relationships/hyperlink" Target="https://audio.iskcondesiretree.com/01_-_Srila_Prabhupada/01_-_Lectures/01_-_English/02_-_Month_wise/02_-_Feburary/25/Walk_1976-02-25_MW-MAYAPUR.MP3" TargetMode="External"/><Relationship Id="rId4286" Type="http://schemas.openxmlformats.org/officeDocument/2006/relationships/hyperlink" Target="https://audio.iskcondesiretree.com/01_-_Srila_Prabhupada/01_-_Lectures/01_-_English/02_-_Month_wise/02_-_Feburary/26/MW_MAY_1976-02-26_Nothing_But_Krishna.mp3" TargetMode="External"/><Relationship Id="rId4285" Type="http://schemas.openxmlformats.org/officeDocument/2006/relationships/hyperlink" Target="https://audio.iskcondesiretree.com/01_-_Srila_Prabhupada/01_-_Lectures/01_-_English/01_-_Topic_wise/Srimad_Bhagavatam/Canto-07/SP_SB_7-09-19_Mayapur_1976-02-26_Remember_the_Titanic.mp3" TargetMode="External"/><Relationship Id="rId4288" Type="http://schemas.openxmlformats.org/officeDocument/2006/relationships/hyperlink" Target="https://audio.iskcondesiretree.com/01_-_Srila_Prabhupada/01_-_Lectures/01_-_English/02_-_Month_wise/02_-_Feburary/26/SB_7-09-19_MAY_1976-02-26_Remember_the_Titanic.mp3" TargetMode="External"/><Relationship Id="rId4287" Type="http://schemas.openxmlformats.org/officeDocument/2006/relationships/hyperlink" Target="https://audio.iskcondesiretree.com/01_-_Srila_Prabhupada/01_-_Lectures/01_-_English/02_-_Month_wise/02_-_Feburary/26/SB-07-09-19_1976-02-26_SB-MAYAPUR.MP3" TargetMode="External"/><Relationship Id="rId4289" Type="http://schemas.openxmlformats.org/officeDocument/2006/relationships/hyperlink" Target="https://audio.iskcondesiretree.com/01_-_Srila_Prabhupada/01_-_Lectures/01_-_English/02_-_Month_wise/02_-_Feburary/26/Walk_1976-02-26_MW-MAYAPUR.MP3" TargetMode="External"/><Relationship Id="rId4271" Type="http://schemas.openxmlformats.org/officeDocument/2006/relationships/hyperlink" Target="https://audio.iskcondesiretree.com/01_-_Srila_Prabhupada/01_-_Lectures/01_-_English/02_-_Month_wise/02_-_Feburary/22/Walk_1976-02-22_MW-MAYAPUR.MP3" TargetMode="External"/><Relationship Id="rId4270" Type="http://schemas.openxmlformats.org/officeDocument/2006/relationships/hyperlink" Target="https://audio.iskcondesiretree.com/01_-_Srila_Prabhupada/01_-_Lectures/01_-_English/02_-_Month_wise/02_-_Feburary/22/SB_7-09-15_MAY_1976-02-22_No_Gentleman_Can_Live_Here.mp3" TargetMode="External"/><Relationship Id="rId4273" Type="http://schemas.openxmlformats.org/officeDocument/2006/relationships/hyperlink" Target="https://audio.iskcondesiretree.com/01_-_Srila_Prabhupada/01_-_Lectures/01_-_English/02_-_Month_wise/02_-_Feburary/23/SB-07-09-16_1976-02-23_SB-MAYAPUR.MP3" TargetMode="External"/><Relationship Id="rId4272" Type="http://schemas.openxmlformats.org/officeDocument/2006/relationships/hyperlink" Target="https://audio.iskcondesiretree.com/01_-_Srila_Prabhupada/01_-_Lectures/01_-_English/01_-_Topic_wise/Srimad_Bhagavatam/Canto-07/SP_SB_7-09-16_Mayapur_1976-02-23_Spreading_the_Moonlight.mp3" TargetMode="External"/><Relationship Id="rId4275" Type="http://schemas.openxmlformats.org/officeDocument/2006/relationships/hyperlink" Target="https://audio.iskcondesiretree.com/01_-_Srila_Prabhupada/01_-_Lectures/01_-_English/01_-_Topic_wise/Srimad_Bhagavatam/Canto-07/SP_SB_7-09-17_Mayapur_1976-02-24_Crushed_by_the_Wheel_of_Time.mp3" TargetMode="External"/><Relationship Id="rId4274" Type="http://schemas.openxmlformats.org/officeDocument/2006/relationships/hyperlink" Target="https://audio.iskcondesiretree.com/01_-_Srila_Prabhupada/01_-_Lectures/01_-_English/02_-_Month_wise/02_-_Feburary/23/SB_7-09-16_MAY_1976-02-23_Spreading_the_Moonlight.mp3" TargetMode="External"/><Relationship Id="rId4277" Type="http://schemas.openxmlformats.org/officeDocument/2006/relationships/hyperlink" Target="https://audio.iskcondesiretree.com/01_-_Srila_Prabhupada/01_-_Lectures/01_-_English/02_-_Month_wise/02_-_Feburary/24/SB_7-09-17_MAY_1976-02-24_Crushed_by_the_Wheel_of_Time.mp3" TargetMode="External"/><Relationship Id="rId4276" Type="http://schemas.openxmlformats.org/officeDocument/2006/relationships/hyperlink" Target="https://audio.iskcondesiretree.com/01_-_Srila_Prabhupada/01_-_Lectures/01_-_English/02_-_Month_wise/02_-_Feburary/24/SB-07-09-17_1976-02-24_SB-MAYAPUR.MP3" TargetMode="External"/><Relationship Id="rId4279" Type="http://schemas.openxmlformats.org/officeDocument/2006/relationships/hyperlink" Target="https://audio.iskcondesiretree.com/01_-_Srila_Prabhupada/01_-_Lectures/01_-_English/01_-_Topic_wise/Srimad_Bhagavatam/Canto-07/SP_SB_7-09-18_Mayapur_1976-02-25_Literature_vs._Litter-ature.mp3" TargetMode="External"/><Relationship Id="rId4278" Type="http://schemas.openxmlformats.org/officeDocument/2006/relationships/hyperlink" Target="https://audio.iskcondesiretree.com/01_-_Srila_Prabhupada/01_-_Lectures/01_-_English/01_-_Topic_wise/Morning_Walk/SP_Morning_Walk_-_Mayapur_1976-02-25_The_Process_of_Disgust.mp3" TargetMode="External"/><Relationship Id="rId4291" Type="http://schemas.openxmlformats.org/officeDocument/2006/relationships/hyperlink" Target="https://audio.iskcondesiretree.com/01_-_Srila_Prabhupada/01_-_Lectures/01_-_English/02_-_Month_wise/02_-_Feburary/27/SB-07-09-20_1976-02-27_SB-MAYAPUR.MP3" TargetMode="External"/><Relationship Id="rId4290" Type="http://schemas.openxmlformats.org/officeDocument/2006/relationships/hyperlink" Target="https://audio.iskcondesiretree.com/01_-_Srila_Prabhupada/01_-_Lectures/01_-_English/01_-_Topic_wise/Srimad_Bhagavatam/Canto-07/SP_SB_7-09-20_Mayapur_1976-02-27_Nothing_Other_than_Krishna.mp3" TargetMode="External"/><Relationship Id="rId4293" Type="http://schemas.openxmlformats.org/officeDocument/2006/relationships/hyperlink" Target="https://audio.iskcondesiretree.com/01_-_Srila_Prabhupada/01_-_Lectures/01_-_English/02_-_Month_wise/02_-_Feburary/27/Walk_1976-02-27_MW-MAYAPUR.MP3" TargetMode="External"/><Relationship Id="rId4292" Type="http://schemas.openxmlformats.org/officeDocument/2006/relationships/hyperlink" Target="https://audio.iskcondesiretree.com/01_-_Srila_Prabhupada/01_-_Lectures/01_-_English/02_-_Month_wise/02_-_Feburary/27/SB_7-09-20_MAY_1976-02-27_Nothing_Other_than_Krishna.mp3" TargetMode="External"/><Relationship Id="rId4295" Type="http://schemas.openxmlformats.org/officeDocument/2006/relationships/hyperlink" Target="https://audio.iskcondesiretree.com/01_-_Srila_Prabhupada/01_-_Lectures/01_-_English/02_-_Month_wise/02_-_Feburary/28/SB-07-09-21_1976-02-28_SB-MAYAPUR.MP3" TargetMode="External"/><Relationship Id="rId4294" Type="http://schemas.openxmlformats.org/officeDocument/2006/relationships/hyperlink" Target="https://audio.iskcondesiretree.com/01_-_Srila_Prabhupada/01_-_Lectures/01_-_English/01_-_Topic_wise/Srimad_Bhagavatam/Canto-07/SP_SB_7-09-21_Mayapur_1976-02-28_Beginning_of_Material_Life.mp3" TargetMode="External"/><Relationship Id="rId4297" Type="http://schemas.openxmlformats.org/officeDocument/2006/relationships/hyperlink" Target="https://audio.iskcondesiretree.com/01_-_Srila_Prabhupada/01_-_Lectures/01_-_English/02_-_Month_wise/02_-_Feburary/28/Walk_1976-02-28_MW-MAYAPUR.MP3" TargetMode="External"/><Relationship Id="rId4296" Type="http://schemas.openxmlformats.org/officeDocument/2006/relationships/hyperlink" Target="https://audio.iskcondesiretree.com/01_-_Srila_Prabhupada/01_-_Lectures/01_-_English/02_-_Month_wise/02_-_Feburary/28/SB_7-09-21_MAY_1976-02-28_Beginning_of_Material_Life.mp3" TargetMode="External"/><Relationship Id="rId4299" Type="http://schemas.openxmlformats.org/officeDocument/2006/relationships/hyperlink" Target="https://audio.iskcondesiretree.com/01_-_Srila_Prabhupada/01_-_Lectures/01_-_English/02_-_Month_wise/02_-_Feburary/29/SB-07-09-22_1976-02-29_SB-MAYAPUR.MP3" TargetMode="External"/><Relationship Id="rId4298" Type="http://schemas.openxmlformats.org/officeDocument/2006/relationships/hyperlink" Target="https://audio.iskcondesiretree.com/01_-_Srila_Prabhupada/01_-_Lectures/01_-_English/01_-_Topic_wise/Srimad_Bhagavatam/Canto-07/SP_SB_7-09-22_Mayapur_1976-02-29_It_Is_Not_Alright.mp3" TargetMode="External"/><Relationship Id="rId4249" Type="http://schemas.openxmlformats.org/officeDocument/2006/relationships/hyperlink" Target="https://audio.iskcondesiretree.com/01_-_Srila_Prabhupada/01_-_Lectures/01_-_English/02_-_Month_wise/02_-_Feburary/18/SB_7-09-11_MAY_1976-02-18_Krishna_Needs_Us_Why.mp3" TargetMode="External"/><Relationship Id="rId5570" Type="http://schemas.openxmlformats.org/officeDocument/2006/relationships/hyperlink" Target="https://audio.iskcondesiretree.com/01_-_Srila_Prabhupada/01_-_Lectures/01_-_English/01_-_Topic_wise/Room_Conversation/SP_Room_Conversation_Bombay_1977-01-08_Relief_from_the_Body.mp3" TargetMode="External"/><Relationship Id="rId5571" Type="http://schemas.openxmlformats.org/officeDocument/2006/relationships/hyperlink" Target="https://audio.iskcondesiretree.com/01_-_Srila_Prabhupada/01_-_Lectures/01_-_English/02_-_Month_wise/01_-_January/08/Conv_1977-01-08_R1-BOMBAY.MP3" TargetMode="External"/><Relationship Id="rId4240" Type="http://schemas.openxmlformats.org/officeDocument/2006/relationships/hyperlink" Target="https://audio.iskcondesiretree.com/01_-_Srila_Prabhupada/01_-_Lectures/01_-_English/02_-_Month_wise/02_-_Feburary/15/SB_7-09-08_MAY_1976-02-15_Hell%2C_Heaven_or_Home_Decide.mp3" TargetMode="External"/><Relationship Id="rId4242" Type="http://schemas.openxmlformats.org/officeDocument/2006/relationships/hyperlink" Target="https://audio.iskcondesiretree.com/01_-_Srila_Prabhupada/01_-_Lectures/01_-_English/02_-_Month_wise/02_-_Feburary/16/SB-07-09-09_1976-02-16_SB-MAYAPUR.MP3" TargetMode="External"/><Relationship Id="rId5574" Type="http://schemas.openxmlformats.org/officeDocument/2006/relationships/hyperlink" Target="https://audio.iskcondesiretree.com/01_-_Srila_Prabhupada/01_-_Lectures/01_-_English/02_-_Month_wise/01_-_January/08/Conv_1977-01-08_R4-BOMBAY.MP3" TargetMode="External"/><Relationship Id="rId4241" Type="http://schemas.openxmlformats.org/officeDocument/2006/relationships/hyperlink" Target="https://audio.iskcondesiretree.com/01_-_Srila_Prabhupada/01_-_Lectures/01_-_English/01_-_Topic_wise/Srimad_Bhagavatam/Canto-07/SP_SB_7-09-09_Mayapur_1976-02-16_Education_Is_Not_Electronic.mp3" TargetMode="External"/><Relationship Id="rId5575" Type="http://schemas.openxmlformats.org/officeDocument/2006/relationships/hyperlink" Target="https://audio.iskcondesiretree.com/01_-_Srila_Prabhupada/01_-_Lectures/01_-_English/02_-_Month_wise/01_-_January/08/Conv_1977-01-08_R5-BOMBAY.MP3" TargetMode="External"/><Relationship Id="rId4244" Type="http://schemas.openxmlformats.org/officeDocument/2006/relationships/hyperlink" Target="https://audio.iskcondesiretree.com/01_-_Srila_Prabhupada/01_-_Lectures/01_-_English/01_-_Topic_wise/Srimad_Bhagavatam/Canto-07/SP_SB_7-09-10_Mayapur_1976-02-17_Every_Dog_Has_His_Pride.mp3" TargetMode="External"/><Relationship Id="rId5572" Type="http://schemas.openxmlformats.org/officeDocument/2006/relationships/hyperlink" Target="https://audio.iskcondesiretree.com/01_-_Srila_Prabhupada/01_-_Lectures/01_-_English/02_-_Month_wise/01_-_January/08/Conv_1977-01-08_R2-BOMBAY.MP3" TargetMode="External"/><Relationship Id="rId4243" Type="http://schemas.openxmlformats.org/officeDocument/2006/relationships/hyperlink" Target="https://audio.iskcondesiretree.com/01_-_Srila_Prabhupada/01_-_Lectures/01_-_English/02_-_Month_wise/02_-_Feburary/16/SB_7-09-09_MAY_1976-02-16_Education_Is_Not_Electronic.mp3" TargetMode="External"/><Relationship Id="rId5573" Type="http://schemas.openxmlformats.org/officeDocument/2006/relationships/hyperlink" Target="https://audio.iskcondesiretree.com/01_-_Srila_Prabhupada/01_-_Lectures/01_-_English/02_-_Month_wise/01_-_January/08/Conv_1977-01-08_R3-BOMBAY.MP3" TargetMode="External"/><Relationship Id="rId4246" Type="http://schemas.openxmlformats.org/officeDocument/2006/relationships/hyperlink" Target="https://audio.iskcondesiretree.com/01_-_Srila_Prabhupada/01_-_Lectures/01_-_English/02_-_Month_wise/02_-_Feburary/17/SB_7-09-10_MAY_1976-02-17_Every_Dog_Has_His_Pride.mp3" TargetMode="External"/><Relationship Id="rId5578" Type="http://schemas.openxmlformats.org/officeDocument/2006/relationships/hyperlink" Target="https://audio.iskcondesiretree.com/01_-_Srila_Prabhupada/01_-_Lectures/01_-_English/02_-_Month_wise/01_-_January/08/MW_BOM_1977-01-08_About_Kumbha_Mela--Know_and_Do_What_etc.mp3" TargetMode="External"/><Relationship Id="rId4245" Type="http://schemas.openxmlformats.org/officeDocument/2006/relationships/hyperlink" Target="https://audio.iskcondesiretree.com/01_-_Srila_Prabhupada/01_-_Lectures/01_-_English/02_-_Month_wise/02_-_Feburary/17/SB-07-09-10_1976-02-17_SB-MAYAPUR.MP3" TargetMode="External"/><Relationship Id="rId5579" Type="http://schemas.openxmlformats.org/officeDocument/2006/relationships/hyperlink" Target="https://audio.iskcondesiretree.com/01_-_Srila_Prabhupada/01_-_Lectures/01_-_English/02_-_Month_wise/01_-_January/08/RC_BOM_1977-01-08_Relief_from_the_Body.mp3" TargetMode="External"/><Relationship Id="rId4248" Type="http://schemas.openxmlformats.org/officeDocument/2006/relationships/hyperlink" Target="https://audio.iskcondesiretree.com/01_-_Srila_Prabhupada/01_-_Lectures/01_-_English/02_-_Month_wise/02_-_Feburary/18/SB-07-09-11_1976-02-18_SB-MAYAPUR.MP3" TargetMode="External"/><Relationship Id="rId5576" Type="http://schemas.openxmlformats.org/officeDocument/2006/relationships/hyperlink" Target="https://audio.iskcondesiretree.com/01_-_Srila_Prabhupada/01_-_Lectures/01_-_English/02_-_Month_wise/01_-_January/08/Conv_1977-01-08_R6-BOMBAY.MP3" TargetMode="External"/><Relationship Id="rId4247" Type="http://schemas.openxmlformats.org/officeDocument/2006/relationships/hyperlink" Target="https://audio.iskcondesiretree.com/01_-_Srila_Prabhupada/01_-_Lectures/01_-_English/01_-_Topic_wise/Srimad_Bhagavatam/Canto-07/SP_SB_7-09-11_Mayapur_1976-02-18_Krishna_Needs_Us--Why.mp3" TargetMode="External"/><Relationship Id="rId5577" Type="http://schemas.openxmlformats.org/officeDocument/2006/relationships/hyperlink" Target="https://audio.iskcondesiretree.com/01_-_Srila_Prabhupada/01_-_Lectures/01_-_English/02_-_Month_wise/01_-_January/08/Conv_1977-01-08_R7-BOMBAY.MP3" TargetMode="External"/><Relationship Id="rId4239" Type="http://schemas.openxmlformats.org/officeDocument/2006/relationships/hyperlink" Target="https://audio.iskcondesiretree.com/01_-_Srila_Prabhupada/01_-_Lectures/01_-_English/02_-_Month_wise/02_-_Feburary/15/SB-07-09-08_1976-02-15_SB-MAYAPUR.MP3" TargetMode="External"/><Relationship Id="rId4238" Type="http://schemas.openxmlformats.org/officeDocument/2006/relationships/hyperlink" Target="https://audio.iskcondesiretree.com/01_-_Srila_Prabhupada/01_-_Lectures/01_-_English/01_-_Topic_wise/Srimad_Bhagavatam/Canto-07/SP_SB_7-09-08_Mayapur_1976-02-15_Hell_Heaven_or_Home--Decide.mp3" TargetMode="External"/><Relationship Id="rId5569" Type="http://schemas.openxmlformats.org/officeDocument/2006/relationships/hyperlink" Target="https://audio.iskcondesiretree.com/01_-_Srila_Prabhupada/01_-_Lectures/01_-_English/01_-_Topic_wise/Morning_Walk/SP_Morning_Walk_-_Bombay_1977-01-08_About_Kumbha_Mela--Know_and_Do_What--etc.mp3" TargetMode="External"/><Relationship Id="rId5560" Type="http://schemas.openxmlformats.org/officeDocument/2006/relationships/hyperlink" Target="https://audio.iskcondesiretree.com/01_-_Srila_Prabhupada/01_-_Lectures/01_-_English/01_-_Topic_wise/Room_Conversation/SP_Room_Conversation_Bombay_1977-01-05_Krishna_Gives_Sincere_Right_Guru.mp3" TargetMode="External"/><Relationship Id="rId495" Type="http://schemas.openxmlformats.org/officeDocument/2006/relationships/hyperlink" Target="https://audio.iskcondesiretree.com/01_-_Srila_Prabhupada/01_-_Lectures/01_-_English/01_-_Topic_wise/Various/SP_Lecture_Los_Angeles_1970-02-20_Initiation_Sannyasa--The_Spiritual--etc.mp3" TargetMode="External"/><Relationship Id="rId4231" Type="http://schemas.openxmlformats.org/officeDocument/2006/relationships/hyperlink" Target="https://audio.iskcondesiretree.com/01_-_Srila_Prabhupada/01_-_Lectures/01_-_English/01_-_Topic_wise/Morning_Walk/SP_Morning_Walk_-_Mayapur_1976-02-12_Laziness_Is_Less_than_Demonic.mp3" TargetMode="External"/><Relationship Id="rId5563" Type="http://schemas.openxmlformats.org/officeDocument/2006/relationships/hyperlink" Target="https://audio.iskcondesiretree.com/01_-_Srila_Prabhupada/01_-_Lectures/01_-_English/02_-_Month_wise/01_-_January/05/Letter_To_Russian_1977-01-05_R3-BOMBAY.MP3" TargetMode="External"/><Relationship Id="rId494" Type="http://schemas.openxmlformats.org/officeDocument/2006/relationships/hyperlink" Target="https://audio.iskcondesiretree.com/01_-_Srila_Prabhupada/01_-_Lectures/01_-_English/01_-_Topic_wise/Various/SP_Lecture_Los_Angeles_1970-02-20_Initiation--Ten_Offenses_to_be_Avoided.mp3" TargetMode="External"/><Relationship Id="rId4230" Type="http://schemas.openxmlformats.org/officeDocument/2006/relationships/hyperlink" Target="https://audio.iskcondesiretree.com/01_-_Srila_Prabhupada/01_-_Lectures/01_-_English/02_-_Month_wise/02_-_Feburary/11/Walk_1976-02-11_MW-MAYAPUR.MP3" TargetMode="External"/><Relationship Id="rId5564" Type="http://schemas.openxmlformats.org/officeDocument/2006/relationships/hyperlink" Target="https://audio.iskcondesiretree.com/01_-_Srila_Prabhupada/01_-_Lectures/01_-_English/02_-_Month_wise/01_-_January/05/RC_BOM_1977-01-05_Krishna_Gives_Sincere_Right_Guru.mp3" TargetMode="External"/><Relationship Id="rId493" Type="http://schemas.openxmlformats.org/officeDocument/2006/relationships/hyperlink" Target="https://audio.iskcondesiretree.com/01_-_Srila_Prabhupada/01_-_Lectures/01_-_English/02_-_Month_wise/02_-_Feburary/18/Fest_LA_1970-02-18_Varaha_Appearance.mp3" TargetMode="External"/><Relationship Id="rId4233" Type="http://schemas.openxmlformats.org/officeDocument/2006/relationships/hyperlink" Target="https://audio.iskcondesiretree.com/01_-_Srila_Prabhupada/01_-_Lectures/01_-_English/02_-_Month_wise/02_-_Feburary/12/SB-07-09-05_1976-02-12_SB-MAYAPUR.MP3" TargetMode="External"/><Relationship Id="rId5561" Type="http://schemas.openxmlformats.org/officeDocument/2006/relationships/hyperlink" Target="https://audio.iskcondesiretree.com/01_-_Srila_Prabhupada/01_-_Lectures/01_-_English/02_-_Month_wise/01_-_January/05/Conv_1977-01-05_R1-BOMBAY.MP3" TargetMode="External"/><Relationship Id="rId492" Type="http://schemas.openxmlformats.org/officeDocument/2006/relationships/hyperlink" Target="https://audio.iskcondesiretree.com/01_-_Srila_Prabhupada/01_-_Lectures/01_-_English/01_-_Topic_wise/Festivals/SP_Festivals_Los_Angeles_1970-02-18_Varaha_Appearance.mp3" TargetMode="External"/><Relationship Id="rId4232" Type="http://schemas.openxmlformats.org/officeDocument/2006/relationships/hyperlink" Target="https://audio.iskcondesiretree.com/01_-_Srila_Prabhupada/01_-_Lectures/01_-_English/02_-_Month_wise/02_-_Feburary/12/MW_MAY_1976-02-12_Laziness_Is_Less_than_Demonic.mp3" TargetMode="External"/><Relationship Id="rId5562" Type="http://schemas.openxmlformats.org/officeDocument/2006/relationships/hyperlink" Target="https://audio.iskcondesiretree.com/01_-_Srila_Prabhupada/01_-_Lectures/01_-_English/02_-_Month_wise/01_-_January/05/Conv_1977-01-05_R2-BOMBAY.MP3" TargetMode="External"/><Relationship Id="rId499" Type="http://schemas.openxmlformats.org/officeDocument/2006/relationships/hyperlink" Target="https://audio.iskcondesiretree.com/01_-_Srila_Prabhupada/01_-_Lectures/01_-_English/02_-_Month_wise/04_-_April/16/Lect_LA_1970-04-16_Get_Some_Land_and_a_Cow_and_Find_Your_Spirit.mp3" TargetMode="External"/><Relationship Id="rId4235" Type="http://schemas.openxmlformats.org/officeDocument/2006/relationships/hyperlink" Target="https://audio.iskcondesiretree.com/01_-_Srila_Prabhupada/01_-_Lectures/01_-_English/01_-_Topic_wise/Srimad_Bhagavatam/Canto-07/SP_SB_7-09-07_Mayapur_1976-02-14_Making_Faith_Firm.mp3" TargetMode="External"/><Relationship Id="rId5567" Type="http://schemas.openxmlformats.org/officeDocument/2006/relationships/hyperlink" Target="https://audio.iskcondesiretree.com/01_-_Srila_Prabhupada/01_-_Lectures/01_-_English/02_-_Month_wise/01_-_January/07/Conv_1977-01-07_R1-BOMBAY.MP3" TargetMode="External"/><Relationship Id="rId498" Type="http://schemas.openxmlformats.org/officeDocument/2006/relationships/hyperlink" Target="https://audio.iskcondesiretree.com/01_-_Srila_Prabhupada/01_-_Lectures/01_-_English/01_-_Topic_wise/Various/SP_Lecture_Los_Angeles_1970-04-16_Get_Some_Land_and_a_Cow_and_Find_Your_Spirit.mp3" TargetMode="External"/><Relationship Id="rId4234" Type="http://schemas.openxmlformats.org/officeDocument/2006/relationships/hyperlink" Target="https://audio.iskcondesiretree.com/01_-_Srila_Prabhupada/01_-_Lectures/01_-_English/02_-_Month_wise/02_-_Feburary/12/Walk_1976-02-12_MW-MAYAPUR.MP3" TargetMode="External"/><Relationship Id="rId5568" Type="http://schemas.openxmlformats.org/officeDocument/2006/relationships/hyperlink" Target="https://audio.iskcondesiretree.com/01_-_Srila_Prabhupada/01_-_Lectures/01_-_English/02_-_Month_wise/01_-_January/07/Darshan_1977-01-07_ED-BOMBAY.MP3" TargetMode="External"/><Relationship Id="rId497" Type="http://schemas.openxmlformats.org/officeDocument/2006/relationships/hyperlink" Target="https://audio.iskcondesiretree.com/01_-_Srila_Prabhupada/01_-_Lectures/01_-_English/02_-_Month_wise/02_-_Feburary/20/Lect_LA_1970-02-20_Initiation_Sannyasa--The_Spiritual_etc.mp3" TargetMode="External"/><Relationship Id="rId4237" Type="http://schemas.openxmlformats.org/officeDocument/2006/relationships/hyperlink" Target="https://audio.iskcondesiretree.com/01_-_Srila_Prabhupada/01_-_Lectures/01_-_English/02_-_Month_wise/02_-_Feburary/14/SB_7-09-07_MAY_1976-02-14_Making_Faith_Firm.mp3" TargetMode="External"/><Relationship Id="rId5565" Type="http://schemas.openxmlformats.org/officeDocument/2006/relationships/hyperlink" Target="https://audio.iskcondesiretree.com/01_-_Srila_Prabhupada/01_-_Lectures/01_-_English/02_-_Month_wise/01_-_January/06/Conv_1977-01-06_R1-BOMBAY.MP3" TargetMode="External"/><Relationship Id="rId496" Type="http://schemas.openxmlformats.org/officeDocument/2006/relationships/hyperlink" Target="https://audio.iskcondesiretree.com/01_-_Srila_Prabhupada/01_-_Lectures/01_-_English/02_-_Month_wise/02_-_Feburary/20/Lect_LA_1970-02-20_Initiation--Ten_Offenses_to_be_Avoided.mp3" TargetMode="External"/><Relationship Id="rId4236" Type="http://schemas.openxmlformats.org/officeDocument/2006/relationships/hyperlink" Target="https://audio.iskcondesiretree.com/01_-_Srila_Prabhupada/01_-_Lectures/01_-_English/02_-_Month_wise/02_-_Feburary/14/SB-07-09-07_1976-02-14_SB-MAYAPUR.MP3" TargetMode="External"/><Relationship Id="rId5566" Type="http://schemas.openxmlformats.org/officeDocument/2006/relationships/hyperlink" Target="https://audio.iskcondesiretree.com/01_-_Srila_Prabhupada/01_-_Lectures/01_-_English/02_-_Month_wise/01_-_January/06/Conv_1977-01-06_R2-BOMBAY.MP3" TargetMode="External"/><Relationship Id="rId4260" Type="http://schemas.openxmlformats.org/officeDocument/2006/relationships/hyperlink" Target="https://audio.iskcondesiretree.com/01_-_Srila_Prabhupada/01_-_Lectures/01_-_English/01_-_Topic_wise/Srimad_Bhagavatam/Canto-07/SP_SB_7-09-14_Mayapur_1976-02-21_Demoniac--Disturbing_%26_Disturbed.mp3" TargetMode="External"/><Relationship Id="rId5592" Type="http://schemas.openxmlformats.org/officeDocument/2006/relationships/hyperlink" Target="https://audio.iskcondesiretree.com/01_-_Srila_Prabhupada/01_-_Lectures/01_-_English/02_-_Month_wise/01_-_January/13/Lecture_1977-01-13_LE-ALLAHABAD.MP3" TargetMode="External"/><Relationship Id="rId5593" Type="http://schemas.openxmlformats.org/officeDocument/2006/relationships/hyperlink" Target="https://audio.iskcondesiretree.com/01_-_Srila_Prabhupada/01_-_Lectures/01_-_English/01_-_Topic_wise/Various/SP_Lecture_Allahabad_1977-01-15_At_Kumba_Mela--Avoid_Atheistic_Mahatmas.mp3" TargetMode="External"/><Relationship Id="rId4262" Type="http://schemas.openxmlformats.org/officeDocument/2006/relationships/hyperlink" Target="https://audio.iskcondesiretree.com/01_-_Srila_Prabhupada/01_-_Lectures/01_-_English/02_-_Month_wise/02_-_Feburary/21/Bhaktisiddhanta_Appearance_1976-02-21_BA-MAYAPUR.MP3" TargetMode="External"/><Relationship Id="rId5590" Type="http://schemas.openxmlformats.org/officeDocument/2006/relationships/hyperlink" Target="https://audio.iskcondesiretree.com/01_-_Srila_Prabhupada/01_-_Lectures/01_-_English/02_-_Month_wise/01_-_January/11/Conv_1977-01-11_TT-INDIA.MP3" TargetMode="External"/><Relationship Id="rId4261" Type="http://schemas.openxmlformats.org/officeDocument/2006/relationships/hyperlink" Target="https://audio.iskcondesiretree.com/01_-_Srila_Prabhupada/01_-_Lectures/01_-_English/01_-_Topic_wise/Various/SP_Lecture_Mayapur_1976-02-21_What_to_Fear.mp3" TargetMode="External"/><Relationship Id="rId5591" Type="http://schemas.openxmlformats.org/officeDocument/2006/relationships/hyperlink" Target="https://audio.iskcondesiretree.com/01_-_Srila_Prabhupada/01_-_Lectures/01_-_English/02_-_Month_wise/01_-_January/13/Conv_1977-01-13_R1-ALLAHABAD.MP3" TargetMode="External"/><Relationship Id="rId4264" Type="http://schemas.openxmlformats.org/officeDocument/2006/relationships/hyperlink" Target="https://audio.iskcondesiretree.com/01_-_Srila_Prabhupada/01_-_Lectures/01_-_English/02_-_Month_wise/02_-_Feburary/21/Lect_MAY_1976-02-21_What_to_Fear.mp3" TargetMode="External"/><Relationship Id="rId5596" Type="http://schemas.openxmlformats.org/officeDocument/2006/relationships/hyperlink" Target="https://audio.iskcondesiretree.com/01_-_Srila_Prabhupada/01_-_Lectures/01_-_English/02_-_Month_wise/01_-_January/15/Lecture_1977-01-15_LE-ALLAHABAD.MP3" TargetMode="External"/><Relationship Id="rId4263" Type="http://schemas.openxmlformats.org/officeDocument/2006/relationships/hyperlink" Target="https://audio.iskcondesiretree.com/01_-_Srila_Prabhupada/01_-_Lectures/01_-_English/02_-_Month_wise/02_-_Feburary/21/Fest_MAY_1976-02-21_Bhaktisiddhanta_Appearance.mp3" TargetMode="External"/><Relationship Id="rId5597" Type="http://schemas.openxmlformats.org/officeDocument/2006/relationships/hyperlink" Target="https://audio.iskcondesiretree.com/01_-_Srila_Prabhupada/01_-_Lectures/01_-_English/02_-_Month_wise/01_-_January/16/Conv_1977-01-16_R1-CALCUTTA.MP3" TargetMode="External"/><Relationship Id="rId4266" Type="http://schemas.openxmlformats.org/officeDocument/2006/relationships/hyperlink" Target="https://audio.iskcondesiretree.com/01_-_Srila_Prabhupada/01_-_Lectures/01_-_English/02_-_Month_wise/02_-_Feburary/21/SB_7-09-14_MAY_1976-02-21_Demoniac--Disturbing_%26_Disturbed.mp3" TargetMode="External"/><Relationship Id="rId5594" Type="http://schemas.openxmlformats.org/officeDocument/2006/relationships/hyperlink" Target="https://audio.iskcondesiretree.com/01_-_Srila_Prabhupada/01_-_Lectures/01_-_English/02_-_Month_wise/01_-_January/15/Conv_1977-01-15_R1-ALLAHABAD.MP3" TargetMode="External"/><Relationship Id="rId4265" Type="http://schemas.openxmlformats.org/officeDocument/2006/relationships/hyperlink" Target="https://audio.iskcondesiretree.com/01_-_Srila_Prabhupada/01_-_Lectures/01_-_English/02_-_Month_wise/02_-_Feburary/21/SB-07-09-14_1976-02-21_SB-MAYAPUR.MP3" TargetMode="External"/><Relationship Id="rId5595" Type="http://schemas.openxmlformats.org/officeDocument/2006/relationships/hyperlink" Target="https://audio.iskcondesiretree.com/01_-_Srila_Prabhupada/01_-_Lectures/01_-_English/02_-_Month_wise/01_-_January/15/Lect_ALL_1977-01-15_At_Kumba_Mela--Avoid_Atheistic_Mahatmas.mp3" TargetMode="External"/><Relationship Id="rId4268" Type="http://schemas.openxmlformats.org/officeDocument/2006/relationships/hyperlink" Target="https://audio.iskcondesiretree.com/01_-_Srila_Prabhupada/01_-_Lectures/01_-_English/01_-_Topic_wise/Srimad_Bhagavatam/Canto-07/SP_SB_7-09-15_Mayapur_1976-02-22_New_Orleans_Gentleman_Can_Live_Here.mp3" TargetMode="External"/><Relationship Id="rId4267" Type="http://schemas.openxmlformats.org/officeDocument/2006/relationships/hyperlink" Target="https://audio.iskcondesiretree.com/01_-_Srila_Prabhupada/01_-_Lectures/01_-_English/02_-_Month_wise/02_-_Feburary/21/Walk_1976-02-21_MW-MAYAPUR.MP3" TargetMode="External"/><Relationship Id="rId5598" Type="http://schemas.openxmlformats.org/officeDocument/2006/relationships/hyperlink" Target="https://audio.iskcondesiretree.com/01_-_Srila_Prabhupada/01_-_Lectures/01_-_English/02_-_Month_wise/01_-_January/16/Conv_1977-01-16_R2-CALCUTTA.MP3" TargetMode="External"/><Relationship Id="rId4269" Type="http://schemas.openxmlformats.org/officeDocument/2006/relationships/hyperlink" Target="https://audio.iskcondesiretree.com/01_-_Srila_Prabhupada/01_-_Lectures/01_-_English/02_-_Month_wise/02_-_Feburary/22/SB-07-09-15_1976-02-22_SB-MAYAPUR.MP3" TargetMode="External"/><Relationship Id="rId5599" Type="http://schemas.openxmlformats.org/officeDocument/2006/relationships/hyperlink" Target="https://audio.iskcondesiretree.com/01_-_Srila_Prabhupada/01_-_Lectures/01_-_English/02_-_Month_wise/01_-_January/16/Conv_1977-01-16_R3-CALCUTTA.MP3" TargetMode="External"/><Relationship Id="rId5581" Type="http://schemas.openxmlformats.org/officeDocument/2006/relationships/hyperlink" Target="https://audio.iskcondesiretree.com/01_-_Srila_Prabhupada/01_-_Lectures/01_-_English/01_-_Topic_wise/Room_Conversation/SP_Room_Conversation_Bombay_1977-01-09_Everyone_is_Trying_to_Become_Krishna.mp3" TargetMode="External"/><Relationship Id="rId5582" Type="http://schemas.openxmlformats.org/officeDocument/2006/relationships/hyperlink" Target="https://audio.iskcondesiretree.com/01_-_Srila_Prabhupada/01_-_Lectures/01_-_English/01_-_Topic_wise/Room_Conversation/SP_Room_Conversation_Bombay_1977-01-09_Yogi--Accept_No_Fakirs_No_Substitutes.mp3" TargetMode="External"/><Relationship Id="rId4251" Type="http://schemas.openxmlformats.org/officeDocument/2006/relationships/hyperlink" Target="https://audio.iskcondesiretree.com/01_-_Srila_Prabhupada/01_-_Lectures/01_-_English/01_-_Topic_wise/Srimad_Bhagavatam/Canto-07/SP_SB_7-09-12_Mayapur_1976-02-19_Follow_Without_Mental_Concoction.mp3" TargetMode="External"/><Relationship Id="rId4250" Type="http://schemas.openxmlformats.org/officeDocument/2006/relationships/hyperlink" Target="https://audio.iskcondesiretree.com/01_-_Srila_Prabhupada/01_-_Lectures/01_-_English/02_-_Month_wise/02_-_Feburary/18/Walk_1976-02-18_MW-MAYAPUR.MP3" TargetMode="External"/><Relationship Id="rId5580" Type="http://schemas.openxmlformats.org/officeDocument/2006/relationships/hyperlink" Target="https://audio.iskcondesiretree.com/01_-_Srila_Prabhupada/01_-_Lectures/01_-_English/02_-_Month_wise/01_-_January/08/Walk_1977-01-08_MW-BOMBAY.MP3" TargetMode="External"/><Relationship Id="rId4253" Type="http://schemas.openxmlformats.org/officeDocument/2006/relationships/hyperlink" Target="https://audio.iskcondesiretree.com/01_-_Srila_Prabhupada/01_-_Lectures/01_-_English/02_-_Month_wise/02_-_Feburary/19/SB_7-09-12_MAY_1976-02-19_Follow_Without_Mental_Concoction.mp3" TargetMode="External"/><Relationship Id="rId5585" Type="http://schemas.openxmlformats.org/officeDocument/2006/relationships/hyperlink" Target="https://audio.iskcondesiretree.com/01_-_Srila_Prabhupada/01_-_Lectures/01_-_English/02_-_Month_wise/01_-_January/09/Conv_1977-01-09_R3-BOMBAY.MP3" TargetMode="External"/><Relationship Id="rId4252" Type="http://schemas.openxmlformats.org/officeDocument/2006/relationships/hyperlink" Target="https://audio.iskcondesiretree.com/01_-_Srila_Prabhupada/01_-_Lectures/01_-_English/02_-_Month_wise/02_-_Feburary/19/SB-07-09-12_1976-02-19_SB-MAYAPUR.MP3" TargetMode="External"/><Relationship Id="rId5586" Type="http://schemas.openxmlformats.org/officeDocument/2006/relationships/hyperlink" Target="https://audio.iskcondesiretree.com/01_-_Srila_Prabhupada/01_-_Lectures/01_-_English/02_-_Month_wise/01_-_January/09/RC_BOM_1977-01-09_Everyone_is_Trying_to_Become_Krishna.mp3" TargetMode="External"/><Relationship Id="rId4255" Type="http://schemas.openxmlformats.org/officeDocument/2006/relationships/hyperlink" Target="https://audio.iskcondesiretree.com/01_-_Srila_Prabhupada/01_-_Lectures/01_-_English/01_-_Topic_wise/Srimad_Bhagavatam/Canto-07/SP_SB_7-09-13_Mayapur_1976-02-20_Snakes_Don%27t_Scare_Devotees.mp3" TargetMode="External"/><Relationship Id="rId5583" Type="http://schemas.openxmlformats.org/officeDocument/2006/relationships/hyperlink" Target="https://audio.iskcondesiretree.com/01_-_Srila_Prabhupada/01_-_Lectures/01_-_English/02_-_Month_wise/01_-_January/09/Conv_1977-01-09_R1-BOMBAY.MP3" TargetMode="External"/><Relationship Id="rId4254" Type="http://schemas.openxmlformats.org/officeDocument/2006/relationships/hyperlink" Target="https://audio.iskcondesiretree.com/01_-_Srila_Prabhupada/01_-_Lectures/01_-_English/02_-_Month_wise/02_-_Feburary/19/Walk_1976-02-19_MW-MAYAPUR.MP3" TargetMode="External"/><Relationship Id="rId5584" Type="http://schemas.openxmlformats.org/officeDocument/2006/relationships/hyperlink" Target="https://audio.iskcondesiretree.com/01_-_Srila_Prabhupada/01_-_Lectures/01_-_English/02_-_Month_wise/01_-_January/09/Conv_1977-01-09_R2-BOMBAY.MP3" TargetMode="External"/><Relationship Id="rId4257" Type="http://schemas.openxmlformats.org/officeDocument/2006/relationships/hyperlink" Target="https://audio.iskcondesiretree.com/01_-_Srila_Prabhupada/01_-_Lectures/01_-_English/02_-_Month_wise/02_-_Feburary/20/SB_7-09-13_MAY_1976-02-20_Snakes_Don%27t_Scare_Devotees.mp3" TargetMode="External"/><Relationship Id="rId5589" Type="http://schemas.openxmlformats.org/officeDocument/2006/relationships/hyperlink" Target="https://audio.iskcondesiretree.com/01_-_Srila_Prabhupada/01_-_Lectures/01_-_English/02_-_Month_wise/01_-_January/10/Conv_1977-01-10_R1-BOMBAY.MP3" TargetMode="External"/><Relationship Id="rId4256" Type="http://schemas.openxmlformats.org/officeDocument/2006/relationships/hyperlink" Target="https://audio.iskcondesiretree.com/01_-_Srila_Prabhupada/01_-_Lectures/01_-_English/02_-_Month_wise/02_-_Feburary/20/SB-07-09-13_1976-02-20_SB-MAYAPUR.MP3" TargetMode="External"/><Relationship Id="rId4259" Type="http://schemas.openxmlformats.org/officeDocument/2006/relationships/hyperlink" Target="https://audio.iskcondesiretree.com/01_-_Srila_Prabhupada/01_-_Lectures/01_-_English/01_-_Topic_wise/Festivals/SP_Festivals_Mayapur_1976-02-21_Bhaktisiddhanta_Appearance.mp3" TargetMode="External"/><Relationship Id="rId5587" Type="http://schemas.openxmlformats.org/officeDocument/2006/relationships/hyperlink" Target="https://audio.iskcondesiretree.com/01_-_Srila_Prabhupada/01_-_Lectures/01_-_English/02_-_Month_wise/01_-_January/09/RC_BOM_1977-01-09_Yogi-Accept_No_Fakirs%2C_No_Substitutes.mp3" TargetMode="External"/><Relationship Id="rId4258" Type="http://schemas.openxmlformats.org/officeDocument/2006/relationships/hyperlink" Target="https://audio.iskcondesiretree.com/01_-_Srila_Prabhupada/01_-_Lectures/01_-_English/02_-_Month_wise/02_-_Feburary/20/Walk_1976-02-20_MW-MAYAPUR.MP3" TargetMode="External"/><Relationship Id="rId5588" Type="http://schemas.openxmlformats.org/officeDocument/2006/relationships/hyperlink" Target="https://audio.iskcondesiretree.com/01_-_Srila_Prabhupada/01_-_Lectures/01_-_English/02_-_Month_wise/01_-_January/09/Walk_1977-01-09_MW-BOMBAY.MP3" TargetMode="External"/><Relationship Id="rId409" Type="http://schemas.openxmlformats.org/officeDocument/2006/relationships/hyperlink" Target="https://audio.iskcondesiretree.com/01_-_Srila_Prabhupada/01_-_Lectures/01_-_English/01_-_Topic_wise/Various/SP_Lecture_Boston_1969-05-03_To_Students--Well_Centered--etc.mp3" TargetMode="External"/><Relationship Id="rId404" Type="http://schemas.openxmlformats.org/officeDocument/2006/relationships/hyperlink" Target="https://audio.iskcondesiretree.com/01_-_Srila_Prabhupada/01_-_Lectures/01_-_English/02_-_Month_wise/04_-_April/29/RC_BOS_1969-04-29_Hippies_May_Be_Sinners_But_We_Raise_Them.mp3" TargetMode="External"/><Relationship Id="rId403" Type="http://schemas.openxmlformats.org/officeDocument/2006/relationships/hyperlink" Target="https://audio.iskcondesiretree.com/01_-_Srila_Prabhupada/01_-_Lectures/01_-_English/01_-_Topic_wise/Room_Conversation/SP_Room_Conversation_Boston_1969-04-29_Hippies_Mayapur_Be_Sinners_But_We_Raise_Them.mp3" TargetMode="External"/><Relationship Id="rId402" Type="http://schemas.openxmlformats.org/officeDocument/2006/relationships/hyperlink" Target="https://audio.iskcondesiretree.com/01_-_Srila_Prabhupada/01_-_Lectures/01_-_English/02_-_Month_wise/04_-_April/17/Lect_NY_1969-04-17_Krishna_Obliged_Me_to_Come_With_etc.mp3" TargetMode="External"/><Relationship Id="rId401" Type="http://schemas.openxmlformats.org/officeDocument/2006/relationships/hyperlink" Target="https://audio.iskcondesiretree.com/01_-_Srila_Prabhupada/01_-_Lectures/01_-_English/01_-_Topic_wise/Various/SP_Lecture_New_York_1969-04-17_Krishna_Obliged_Me_to_Come_With--etc.mp3" TargetMode="External"/><Relationship Id="rId408" Type="http://schemas.openxmlformats.org/officeDocument/2006/relationships/hyperlink" Target="https://audio.iskcondesiretree.com/01_-_Srila_Prabhupada/01_-_Lectures/01_-_English/02_-_Month_wise/05_-_May/01/Lect_BOS_1969-05-01_Krishna_Conscious_Very_Kind.mp3" TargetMode="External"/><Relationship Id="rId407" Type="http://schemas.openxmlformats.org/officeDocument/2006/relationships/hyperlink" Target="https://audio.iskcondesiretree.com/01_-_Srila_Prabhupada/01_-_Lectures/01_-_English/02_-_Month_wise/05_-_May/01/Fest_BOS_1969-05-01_Lord_Nrsimhadevas_Appearance.mp3" TargetMode="External"/><Relationship Id="rId406" Type="http://schemas.openxmlformats.org/officeDocument/2006/relationships/hyperlink" Target="https://audio.iskcondesiretree.com/01_-_Srila_Prabhupada/01_-_Lectures/01_-_English/01_-_Topic_wise/Various/SP_Lecture_Boston_1969-05-01_Krishna_Conscious_-_Very_Kind.mp3" TargetMode="External"/><Relationship Id="rId405" Type="http://schemas.openxmlformats.org/officeDocument/2006/relationships/hyperlink" Target="https://audio.iskcondesiretree.com/01_-_Srila_Prabhupada/01_-_Lectures/01_-_English/01_-_Topic_wise/Festivals/SP_Festivals_Boston_1969-05-01_Lord_Nrsimhadevas_Appearance.mp3" TargetMode="External"/><Relationship Id="rId400" Type="http://schemas.openxmlformats.org/officeDocument/2006/relationships/hyperlink" Target="https://audio.iskcondesiretree.com/01_-_Srila_Prabhupada/01_-_Lectures/01_-_English/02_-_Month_wise/04_-_April/13/SB_E-11-03-21_NY_1969-04-13_Commanders-in-Chief_in_the_etc.mp3" TargetMode="External"/><Relationship Id="rId4327" Type="http://schemas.openxmlformats.org/officeDocument/2006/relationships/hyperlink" Target="https://audio.iskcondesiretree.com/01_-_Srila_Prabhupada/01_-_Lectures/01_-_English/02_-_Month_wise/03_-_March/07/SB_7-09-29_MAY_1976-03-07_The_Clever_One.mp3" TargetMode="External"/><Relationship Id="rId5659" Type="http://schemas.openxmlformats.org/officeDocument/2006/relationships/hyperlink" Target="https://audio.iskcondesiretree.com/01_-_Srila_Prabhupada/01_-_Lectures/01_-_English/02_-_Month_wise/01_-_January/31/Conv_1977-01-31_R3-BHUBANESWAR.MP3" TargetMode="External"/><Relationship Id="rId4326" Type="http://schemas.openxmlformats.org/officeDocument/2006/relationships/hyperlink" Target="https://audio.iskcondesiretree.com/01_-_Srila_Prabhupada/01_-_Lectures/01_-_English/02_-_Month_wise/03_-_March/07/SB-07-09-29_1976-03-07_SB-MAYAPUR.MP3" TargetMode="External"/><Relationship Id="rId4329" Type="http://schemas.openxmlformats.org/officeDocument/2006/relationships/hyperlink" Target="https://audio.iskcondesiretree.com/01_-_Srila_Prabhupada/01_-_Lectures/01_-_English/01_-_Topic_wise/Srimad_Bhagavatam/Canto-07/SP_SB_7-09-30_Mayapur_1976-03-08_Enter_the_Spirit.mp3" TargetMode="External"/><Relationship Id="rId5657" Type="http://schemas.openxmlformats.org/officeDocument/2006/relationships/hyperlink" Target="https://audio.iskcondesiretree.com/01_-_Srila_Prabhupada/01_-_Lectures/01_-_English/02_-_Month_wise/01_-_January/31/Conv_1977-01-31_R1-BHUBANESWAR.MP3" TargetMode="External"/><Relationship Id="rId4328" Type="http://schemas.openxmlformats.org/officeDocument/2006/relationships/hyperlink" Target="https://audio.iskcondesiretree.com/01_-_Srila_Prabhupada/01_-_Lectures/01_-_English/02_-_Month_wise/03_-_March/07/Walk_1976-03-07_MW-MAYAPUR.MP3" TargetMode="External"/><Relationship Id="rId5658" Type="http://schemas.openxmlformats.org/officeDocument/2006/relationships/hyperlink" Target="https://audio.iskcondesiretree.com/01_-_Srila_Prabhupada/01_-_Lectures/01_-_English/02_-_Month_wise/01_-_January/31/Conv_1977-01-31_R2-BHUBANESWAR.MP3" TargetMode="External"/><Relationship Id="rId469" Type="http://schemas.openxmlformats.org/officeDocument/2006/relationships/hyperlink" Target="https://audio.iskcondesiretree.com/01_-_Srila_Prabhupada/01_-_Lectures/01_-_English/01_-_Topic_wise/Room_Conversation/SP_Room_Conversation_London_1969-09-11_Harrison_Lennon_%26_Yoko_Ono.mp3" TargetMode="External"/><Relationship Id="rId468" Type="http://schemas.openxmlformats.org/officeDocument/2006/relationships/hyperlink" Target="https://audio.iskcondesiretree.com/01_-_Srila_Prabhupada/01_-_Lectures/01_-_English/01_-_Topic_wise/Arrival_Address/SP_Arrival_London_1969-09-11_I_Teach_What_You_Have_Forgotten.mp3" TargetMode="External"/><Relationship Id="rId467" Type="http://schemas.openxmlformats.org/officeDocument/2006/relationships/hyperlink" Target="https://audio.iskcondesiretree.com/01_-_Srila_Prabhupada/01_-_Lectures/01_-_English/02_-_Month_wise/09_-_September/08/Bg_07-14_HAM_1969-09-08_Let_Us_Die_Like_etc.mp3" TargetMode="External"/><Relationship Id="rId462" Type="http://schemas.openxmlformats.org/officeDocument/2006/relationships/hyperlink" Target="https://audio.iskcondesiretree.com/01_-_Srila_Prabhupada/01_-_Lectures/01_-_English/02_-_Month_wise/09_-_September/04/Fest_HAM_1969-09-04_Janmastami-Fearlessness_There_etc.mp3" TargetMode="External"/><Relationship Id="rId5651" Type="http://schemas.openxmlformats.org/officeDocument/2006/relationships/hyperlink" Target="https://audio.iskcondesiretree.com/01_-_Srila_Prabhupada/01_-_Lectures/01_-_English/02_-_Month_wise/01_-_January/30/Conv_1977-01-30_R1-BHUBANESWAR.MP3" TargetMode="External"/><Relationship Id="rId461" Type="http://schemas.openxmlformats.org/officeDocument/2006/relationships/hyperlink" Target="https://audio.iskcondesiretree.com/01_-_Srila_Prabhupada/01_-_Lectures/01_-_English/01_-_Topic_wise/Various/SP_Lecture_Hamburg_1969-09-04_Initiation--The_Sense_to--etc.mp3" TargetMode="External"/><Relationship Id="rId5652" Type="http://schemas.openxmlformats.org/officeDocument/2006/relationships/hyperlink" Target="https://audio.iskcondesiretree.com/01_-_Srila_Prabhupada/01_-_Lectures/01_-_English/02_-_Month_wise/01_-_January/30/Conv_1977-01-30_R2-BHUBANESWAR.MP3" TargetMode="External"/><Relationship Id="rId460" Type="http://schemas.openxmlformats.org/officeDocument/2006/relationships/hyperlink" Target="https://audio.iskcondesiretree.com/01_-_Srila_Prabhupada/01_-_Lectures/01_-_English/01_-_Topic_wise/Festivals/SP_Festivals_Hamburg_1969-09-04_Janmastami--Fearlessness--There--etc.mp3" TargetMode="External"/><Relationship Id="rId4321" Type="http://schemas.openxmlformats.org/officeDocument/2006/relationships/hyperlink" Target="https://audio.iskcondesiretree.com/01_-_Srila_Prabhupada/01_-_Lectures/01_-_English/02_-_Month_wise/03_-_March/06/SB_7-09-28_MAY_1976-03-06_Serpents_and_Servants.mp3" TargetMode="External"/><Relationship Id="rId4320" Type="http://schemas.openxmlformats.org/officeDocument/2006/relationships/hyperlink" Target="https://audio.iskcondesiretree.com/01_-_Srila_Prabhupada/01_-_Lectures/01_-_English/02_-_Month_wise/03_-_March/06/SB-07-09-28_1976-03-06_SB-MAYAPUR.MP3" TargetMode="External"/><Relationship Id="rId5650" Type="http://schemas.openxmlformats.org/officeDocument/2006/relationships/hyperlink" Target="https://audio.iskcondesiretree.com/01_-_Srila_Prabhupada/01_-_Lectures/01_-_English/01_-_Topic_wise/Morning_Walk/SP_Morning_Walk_-_Bhuvanesvara_1977-01-30_Meaninglessness_Has_Hidden_Meaning.mp3" TargetMode="External"/><Relationship Id="rId466" Type="http://schemas.openxmlformats.org/officeDocument/2006/relationships/hyperlink" Target="https://audio.iskcondesiretree.com/01_-_Srila_Prabhupada/01_-_Lectures/01_-_English/01_-_Topic_wise/Bhagavad_Gita/Chapter-07/SP_BG_07-14_Hamburg_1969-09-08_Let_Us_Die_Like--etc.mp3" TargetMode="External"/><Relationship Id="rId4323" Type="http://schemas.openxmlformats.org/officeDocument/2006/relationships/hyperlink" Target="https://audio.iskcondesiretree.com/01_-_Srila_Prabhupada/01_-_Lectures/01_-_English/01_-_Topic_wise/Morning_Walk/SP_Morning_Walk_-_Mayapur_1976-03-07_Disciple-Discipline.mp3" TargetMode="External"/><Relationship Id="rId5655" Type="http://schemas.openxmlformats.org/officeDocument/2006/relationships/hyperlink" Target="https://audio.iskcondesiretree.com/01_-_Srila_Prabhupada/01_-_Lectures/01_-_English/01_-_Topic_wise/Festivals/SP_Festivals_Bhuvanesvara_1977-01-31_On_the_Advent_of_Lord_Varaha.mp3" TargetMode="External"/><Relationship Id="rId465" Type="http://schemas.openxmlformats.org/officeDocument/2006/relationships/hyperlink" Target="https://audio.iskcondesiretree.com/01_-_Srila_Prabhupada/01_-_Lectures/01_-_English/02_-_Month_wise/09_-_September/05/Fest_HAM_1969-09-05_Vyasa-puja.mp3" TargetMode="External"/><Relationship Id="rId4322" Type="http://schemas.openxmlformats.org/officeDocument/2006/relationships/hyperlink" Target="https://audio.iskcondesiretree.com/01_-_Srila_Prabhupada/01_-_Lectures/02_-_Bengali/1976-03-06_Lecture_-_Mayapur.MP3" TargetMode="External"/><Relationship Id="rId5656" Type="http://schemas.openxmlformats.org/officeDocument/2006/relationships/hyperlink" Target="https://audio.iskcondesiretree.com/01_-_Srila_Prabhupada/01_-_Lectures/01_-_English/01_-_Topic_wise/Room_Conversation/SP_Room_Conversation_Bhuvanesvara_1977-01-31_The_Great_Soul.mp3" TargetMode="External"/><Relationship Id="rId464" Type="http://schemas.openxmlformats.org/officeDocument/2006/relationships/hyperlink" Target="https://audio.iskcondesiretree.com/01_-_Srila_Prabhupada/01_-_Lectures/01_-_English/01_-_Topic_wise/Festivals/SP_Festivals_Hamburg_1969-09-05_Vyasa-puja.mp3" TargetMode="External"/><Relationship Id="rId4325" Type="http://schemas.openxmlformats.org/officeDocument/2006/relationships/hyperlink" Target="https://audio.iskcondesiretree.com/01_-_Srila_Prabhupada/01_-_Lectures/01_-_English/02_-_Month_wise/03_-_March/07/MW_MAY_1976-03-07_Disciple-Discipline.mp3" TargetMode="External"/><Relationship Id="rId5653" Type="http://schemas.openxmlformats.org/officeDocument/2006/relationships/hyperlink" Target="https://audio.iskcondesiretree.com/01_-_Srila_Prabhupada/01_-_Lectures/01_-_English/02_-_Month_wise/01_-_January/30/MW_BHU_1977-01-30_Meaninglessness_Has_Hidden_Meaning.mp3" TargetMode="External"/><Relationship Id="rId463" Type="http://schemas.openxmlformats.org/officeDocument/2006/relationships/hyperlink" Target="https://audio.iskcondesiretree.com/01_-_Srila_Prabhupada/01_-_Lectures/01_-_English/02_-_Month_wise/09_-_September/04/Lect_HAM_1969-09-04_Initiation-The_Sense_to_etc.mp3" TargetMode="External"/><Relationship Id="rId4324" Type="http://schemas.openxmlformats.org/officeDocument/2006/relationships/hyperlink" Target="https://audio.iskcondesiretree.com/01_-_Srila_Prabhupada/01_-_Lectures/01_-_English/01_-_Topic_wise/Srimad_Bhagavatam/Canto-07/SP_SB_7-09-29_Mayapur_1976-03-07_The_Clever_One.mp3" TargetMode="External"/><Relationship Id="rId5654" Type="http://schemas.openxmlformats.org/officeDocument/2006/relationships/hyperlink" Target="https://audio.iskcondesiretree.com/01_-_Srila_Prabhupada/01_-_Lectures/01_-_English/02_-_Month_wise/01_-_January/30/Walk_1977-01-30_MW-BHUBANESWAR.MP3" TargetMode="External"/><Relationship Id="rId4316" Type="http://schemas.openxmlformats.org/officeDocument/2006/relationships/hyperlink" Target="https://audio.iskcondesiretree.com/01_-_Srila_Prabhupada/01_-_Lectures/01_-_English/02_-_Month_wise/03_-_March/05/SB_7-09-27_MAY_1976-03-05_Jealousy--It%27s_Cause_and_Cure.mp3" TargetMode="External"/><Relationship Id="rId5648" Type="http://schemas.openxmlformats.org/officeDocument/2006/relationships/hyperlink" Target="https://audio.iskcondesiretree.com/01_-_Srila_Prabhupada/01_-_Lectures/01_-_English/02_-_Month_wise/01_-_January/29/Conv_1977-01-29_R2-BHUBANESWAR.MP3" TargetMode="External"/><Relationship Id="rId4315" Type="http://schemas.openxmlformats.org/officeDocument/2006/relationships/hyperlink" Target="https://audio.iskcondesiretree.com/01_-_Srila_Prabhupada/01_-_Lectures/01_-_English/02_-_Month_wise/03_-_March/05/SB-07-09-27_1976-03-05_SB-MAYAPUR.MP3" TargetMode="External"/><Relationship Id="rId5649" Type="http://schemas.openxmlformats.org/officeDocument/2006/relationships/hyperlink" Target="https://audio.iskcondesiretree.com/01_-_Srila_Prabhupada/01_-_Lectures/01_-_English/02_-_Month_wise/01_-_January/29/Walk_1977-01-29_MW-BHUBANESWAR.MP3" TargetMode="External"/><Relationship Id="rId4318" Type="http://schemas.openxmlformats.org/officeDocument/2006/relationships/hyperlink" Target="https://audio.iskcondesiretree.com/01_-_Srila_Prabhupada/01_-_Lectures/01_-_English/01_-_Topic_wise/Srimad_Bhagavatam/Canto-07/SP_SB_7-09-28_Mayapur_1976-03-06_Serpents_and_Servants.mp3" TargetMode="External"/><Relationship Id="rId5646" Type="http://schemas.openxmlformats.org/officeDocument/2006/relationships/hyperlink" Target="https://audio.iskcondesiretree.com/01_-_Srila_Prabhupada/01_-_Lectures/01_-_English/02_-_Month_wise/01_-_January/29/Bg-07-01_1977-01-29_BG-BHUBANESWAR.MP3" TargetMode="External"/><Relationship Id="rId4317" Type="http://schemas.openxmlformats.org/officeDocument/2006/relationships/hyperlink" Target="https://audio.iskcondesiretree.com/01_-_Srila_Prabhupada/01_-_Lectures/01_-_English/02_-_Month_wise/03_-_March/05/Walk_1976-03-05_MW-MAYAPUR.MP3" TargetMode="External"/><Relationship Id="rId5647" Type="http://schemas.openxmlformats.org/officeDocument/2006/relationships/hyperlink" Target="https://audio.iskcondesiretree.com/01_-_Srila_Prabhupada/01_-_Lectures/01_-_English/02_-_Month_wise/01_-_January/29/Conv_1977-01-29_R1-BHUBANESWAR.MP3" TargetMode="External"/><Relationship Id="rId4319" Type="http://schemas.openxmlformats.org/officeDocument/2006/relationships/hyperlink" Target="https://audio.iskcondesiretree.com/01_-_Srila_Prabhupada/01_-_Lectures/01_-_English/02_-_Month_wise/03_-_March/06/Meeting%E2%80%93Bengali_1976-03-06_ME-MAYAPUR.MP3" TargetMode="External"/><Relationship Id="rId459" Type="http://schemas.openxmlformats.org/officeDocument/2006/relationships/hyperlink" Target="https://audio.iskcondesiretree.com/01_-_Srila_Prabhupada/01_-_Lectures/01_-_English/02_-_Month_wise/07_-_July/16/Fest_LA_1969-07-16_Deity_Installation.mp3" TargetMode="External"/><Relationship Id="rId458" Type="http://schemas.openxmlformats.org/officeDocument/2006/relationships/hyperlink" Target="https://audio.iskcondesiretree.com/01_-_Srila_Prabhupada/01_-_Lectures/01_-_English/01_-_Topic_wise/Festivals/SP_Festivals_Los_Angeles_1969-07-16_Deity_Installation.mp3" TargetMode="External"/><Relationship Id="rId457" Type="http://schemas.openxmlformats.org/officeDocument/2006/relationships/hyperlink" Target="https://audio.iskcondesiretree.com/01_-_Srila_Prabhupada/01_-_Lectures/01_-_English/02_-_Month_wise/07_-_July/12/SB_Lect_LA_1969-07-12_This_Life_Is_Very_Valuable.mp3" TargetMode="External"/><Relationship Id="rId456" Type="http://schemas.openxmlformats.org/officeDocument/2006/relationships/hyperlink" Target="https://audio.iskcondesiretree.com/01_-_Srila_Prabhupada/01_-_Lectures/01_-_English/01_-_Topic_wise/Srimad_Bhagavatam/More/SP_SB_Lect_Los_Angeles_1969-07-12_This_Life_Is_Very_Valuable.mp3" TargetMode="External"/><Relationship Id="rId451" Type="http://schemas.openxmlformats.org/officeDocument/2006/relationships/hyperlink" Target="https://audio.iskcondesiretree.com/01_-_Srila_Prabhupada/01_-_Lectures/01_-_English/02_-_Month_wise/06_-_June/18/SB_1-05-14_NV_1969-06-18_Abominable_Nonsense_Don%27t_etc.mp3" TargetMode="External"/><Relationship Id="rId5640" Type="http://schemas.openxmlformats.org/officeDocument/2006/relationships/hyperlink" Target="https://audio.iskcondesiretree.com/01_-_Srila_Prabhupada/01_-_Lectures/01_-_English/02_-_Month_wise/01_-_January/27/Conv_1977-01-27_R1-PURI.MP3" TargetMode="External"/><Relationship Id="rId450" Type="http://schemas.openxmlformats.org/officeDocument/2006/relationships/hyperlink" Target="https://audio.iskcondesiretree.com/01_-_Srila_Prabhupada/01_-_Lectures/01_-_English/01_-_Topic_wise/Srimad_Bhagavatam/Canto-01/SP_SB_1-05-14_New_Vrindavan_1969-06-18_Abominable_Nonsense--Don%27t--etc.mp3" TargetMode="External"/><Relationship Id="rId5641" Type="http://schemas.openxmlformats.org/officeDocument/2006/relationships/hyperlink" Target="https://audio.iskcondesiretree.com/01_-_Srila_Prabhupada/01_-_Lectures/01_-_English/02_-_Month_wise/01_-_January/27/Conv_1977-01-27_R2-BHUBANESWAR.MP3" TargetMode="External"/><Relationship Id="rId4310" Type="http://schemas.openxmlformats.org/officeDocument/2006/relationships/hyperlink" Target="https://audio.iskcondesiretree.com/01_-_Srila_Prabhupada/01_-_Lectures/01_-_English/02_-_Month_wise/03_-_March/03/Walk_1976-03-03_MW-MAYAPUR.MP3" TargetMode="External"/><Relationship Id="rId455" Type="http://schemas.openxmlformats.org/officeDocument/2006/relationships/hyperlink" Target="https://audio.iskcondesiretree.com/01_-_Srila_Prabhupada/01_-_Lectures/01_-_English/02_-_Month_wise/06_-_June/22/SB_1-05-18_NV_1969-06-22_Krishna%27s_Hypnotism.mp3" TargetMode="External"/><Relationship Id="rId4312" Type="http://schemas.openxmlformats.org/officeDocument/2006/relationships/hyperlink" Target="https://audio.iskcondesiretree.com/01_-_Srila_Prabhupada/01_-_Lectures/01_-_English/02_-_Month_wise/03_-_March/04/SB-07-09-26_1976-03-04_SB-MAYAPUR.MP3" TargetMode="External"/><Relationship Id="rId5644" Type="http://schemas.openxmlformats.org/officeDocument/2006/relationships/hyperlink" Target="https://audio.iskcondesiretree.com/01_-_Srila_Prabhupada/01_-_Lectures/01_-_English/02_-_Month_wise/01_-_January/28/Conv_1977-01-28_R2-BHUBANESWAR.MP3" TargetMode="External"/><Relationship Id="rId454" Type="http://schemas.openxmlformats.org/officeDocument/2006/relationships/hyperlink" Target="https://audio.iskcondesiretree.com/01_-_Srila_Prabhupada/01_-_Lectures/01_-_English/01_-_Topic_wise/Srimad_Bhagavatam/Canto-01/SP_SB_1-05-18_New_Vrindavan_1969-06-22_Krishna%27s_Hypnotism.mp3" TargetMode="External"/><Relationship Id="rId4311" Type="http://schemas.openxmlformats.org/officeDocument/2006/relationships/hyperlink" Target="https://audio.iskcondesiretree.com/01_-_Srila_Prabhupada/01_-_Lectures/01_-_English/01_-_Topic_wise/Srimad_Bhagavatam/Canto-07/SP_SB_7-09-26_Mayapur_1976-03-04_Krishna%27s_Touch.mp3" TargetMode="External"/><Relationship Id="rId5645" Type="http://schemas.openxmlformats.org/officeDocument/2006/relationships/hyperlink" Target="https://audio.iskcondesiretree.com/01_-_Srila_Prabhupada/01_-_Lectures/01_-_English/02_-_Month_wise/01_-_January/28/Walk_1977-01-28_MW-BHUBANESWAR.MP3" TargetMode="External"/><Relationship Id="rId453" Type="http://schemas.openxmlformats.org/officeDocument/2006/relationships/hyperlink" Target="https://audio.iskcondesiretree.com/01_-_Srila_Prabhupada/01_-_Lectures/01_-_English/02_-_Month_wise/06_-_June/19/SB_1-05-15_NV_1969-06-19_At_Least_Lift_Your_Anchor.mp3" TargetMode="External"/><Relationship Id="rId4314" Type="http://schemas.openxmlformats.org/officeDocument/2006/relationships/hyperlink" Target="https://audio.iskcondesiretree.com/01_-_Srila_Prabhupada/01_-_Lectures/01_-_English/01_-_Topic_wise/Srimad_Bhagavatam/Canto-07/SP_SB_7-09-27_Mayapur_1976-03-05_Jealousy--It%27s_Cause_and_Cure.mp3" TargetMode="External"/><Relationship Id="rId5642" Type="http://schemas.openxmlformats.org/officeDocument/2006/relationships/hyperlink" Target="https://audio.iskcondesiretree.com/01_-_Srila_Prabhupada/01_-_Lectures/01_-_English/02_-_Month_wise/01_-_January/27/Conv_1977-01-27_R2-PURI.MP3" TargetMode="External"/><Relationship Id="rId452" Type="http://schemas.openxmlformats.org/officeDocument/2006/relationships/hyperlink" Target="https://audio.iskcondesiretree.com/01_-_Srila_Prabhupada/01_-_Lectures/01_-_English/01_-_Topic_wise/Srimad_Bhagavatam/Canto-01/SP_SB_1-05-15_New_Vrindavan_1969-06-19_At_Least_Lift_Your_Anchor.mp3" TargetMode="External"/><Relationship Id="rId4313" Type="http://schemas.openxmlformats.org/officeDocument/2006/relationships/hyperlink" Target="https://audio.iskcondesiretree.com/01_-_Srila_Prabhupada/01_-_Lectures/01_-_English/02_-_Month_wise/03_-_March/04/SB_7-09-26_MAY_1976-03-04_Krishna%27s_Touch.mp3" TargetMode="External"/><Relationship Id="rId5643" Type="http://schemas.openxmlformats.org/officeDocument/2006/relationships/hyperlink" Target="https://audio.iskcondesiretree.com/01_-_Srila_Prabhupada/01_-_Lectures/01_-_English/02_-_Month_wise/01_-_January/28/Conv_1977-01-28_R1-BHUBANESWAR.MP3" TargetMode="External"/><Relationship Id="rId3018" Type="http://schemas.openxmlformats.org/officeDocument/2006/relationships/hyperlink" Target="https://audio.iskcondesiretree.com/01_-_Srila_Prabhupada/01_-_Lectures/01_-_English/02_-_Month_wise/03_-_March/31/Cc_A_1-07_MAY_1975-03-31_Ever_Expanding_Life_with_Krishna.mp3" TargetMode="External"/><Relationship Id="rId4349" Type="http://schemas.openxmlformats.org/officeDocument/2006/relationships/hyperlink" Target="https://audio.iskcondesiretree.com/01_-_Srila_Prabhupada/01_-_Lectures/01_-_English/02_-_Month_wise/03_-_March/12/MW_MAY_1976-03-12_One_Should_Give_to_Temple.mp3" TargetMode="External"/><Relationship Id="rId3017" Type="http://schemas.openxmlformats.org/officeDocument/2006/relationships/hyperlink" Target="https://audio.iskcondesiretree.com/01_-_Srila_Prabhupada/01_-_Lectures/01_-_English/01_-_Topic_wise/Room_Conversation/SP_Room_Conversation_Mayapur_1975-03-31_Conversations_with_Devotees.MP3" TargetMode="External"/><Relationship Id="rId4348" Type="http://schemas.openxmlformats.org/officeDocument/2006/relationships/hyperlink" Target="https://audio.iskcondesiretree.com/01_-_Srila_Prabhupada/01_-_Lectures/01_-_English/01_-_Topic_wise/Srimad_Bhagavatam/Canto-07/SP_SB_7-09-34_Mayapur_1976-03-12_Make_Krishna_Smile.mp3" TargetMode="External"/><Relationship Id="rId5679" Type="http://schemas.openxmlformats.org/officeDocument/2006/relationships/hyperlink" Target="https://audio.iskcondesiretree.com/01_-_Srila_Prabhupada/01_-_Lectures/01_-_English/02_-_Month_wise/02_-_Feburary/03/RC_BHU_1977-02-03_Jesus_Christ--We_Give_Christ_All_Honor.mp3" TargetMode="External"/><Relationship Id="rId3019" Type="http://schemas.openxmlformats.org/officeDocument/2006/relationships/hyperlink" Target="https://audio.iskcondesiretree.com/01_-_Srila_Prabhupada/01_-_Lectures/01_-_English/02_-_Month_wise/03_-_March/31/CcAdi-01-007_1975-03-31_CC-MAYAPUR.MP3" TargetMode="External"/><Relationship Id="rId491" Type="http://schemas.openxmlformats.org/officeDocument/2006/relationships/hyperlink" Target="https://audio.iskcondesiretree.com/01_-_Srila_Prabhupada/01_-_Lectures/01_-_English/02_-_Month_wise/01_-_January/17/SB_6-01-21_LA_1970-01-17_Purity_Made_Easy.mp3" TargetMode="External"/><Relationship Id="rId490" Type="http://schemas.openxmlformats.org/officeDocument/2006/relationships/hyperlink" Target="https://audio.iskcondesiretree.com/01_-_Srila_Prabhupada/01_-_Lectures/01_-_English/01_-_Topic_wise/Srimad_Bhagavatam/Canto-06/SP_SB_6-01-21_Los_Angeles_1970-01-17_Purity_Made_Easy.mp3" TargetMode="External"/><Relationship Id="rId489" Type="http://schemas.openxmlformats.org/officeDocument/2006/relationships/hyperlink" Target="https://audio.iskcondesiretree.com/01_-_Srila_Prabhupada/01_-_Lectures/01_-_English/02_-_Month_wise/01_-_January/09/SB_6-01-12_LA_1970-01-09_Vedic_Culture_vs_Industrialism.mp3" TargetMode="External"/><Relationship Id="rId5670" Type="http://schemas.openxmlformats.org/officeDocument/2006/relationships/hyperlink" Target="https://audio.iskcondesiretree.com/01_-_Srila_Prabhupada/01_-_Lectures/01_-_English/02_-_Month_wise/02_-_Feburary/02/Conv_1977-02-02_R2-BHUBANESWAR.MP3" TargetMode="External"/><Relationship Id="rId484" Type="http://schemas.openxmlformats.org/officeDocument/2006/relationships/hyperlink" Target="https://audio.iskcondesiretree.com/01_-_Srila_Prabhupada/01_-_Lectures/01_-_English/01_-_Topic_wise/Festivals/SP_Festivals_Los_Angeles_1969-12-09_Bhaktisiddhanta_Disappearance.mp3" TargetMode="External"/><Relationship Id="rId3010" Type="http://schemas.openxmlformats.org/officeDocument/2006/relationships/hyperlink" Target="https://audio.iskcondesiretree.com/01_-_Srila_Prabhupada/01_-_Lectures/01_-_English/01_-_Topic_wise/Room_Conversation/SP_Room_Conversation_Mayapur_1975-03-30_Meeting_with_GBC.MP3" TargetMode="External"/><Relationship Id="rId4341" Type="http://schemas.openxmlformats.org/officeDocument/2006/relationships/hyperlink" Target="https://audio.iskcondesiretree.com/01_-_Srila_Prabhupada/01_-_Lectures/01_-_English/01_-_Topic_wise/Morning_Walk/SP_Morning_Walk_-_Mayapur_1976-03-11_God_Will_Come_If_there_are_Devotees.mp3" TargetMode="External"/><Relationship Id="rId5673" Type="http://schemas.openxmlformats.org/officeDocument/2006/relationships/hyperlink" Target="https://audio.iskcondesiretree.com/01_-_Srila_Prabhupada/01_-_Lectures/01_-_English/02_-_Month_wise/02_-_Feburary/02/RC_BHU_1977-02-02_Svarupa_Damodar--Very_Artificial_Intelligence.mp3" TargetMode="External"/><Relationship Id="rId483" Type="http://schemas.openxmlformats.org/officeDocument/2006/relationships/hyperlink" Target="https://audio.iskcondesiretree.com/01_-_Srila_Prabhupada/01_-_Lectures/01_-_English/02_-_Month_wise/09_-_September/23/Fest_LON_1969-09-23_Bhaktivinode_Appearance.mp3" TargetMode="External"/><Relationship Id="rId4340" Type="http://schemas.openxmlformats.org/officeDocument/2006/relationships/hyperlink" Target="https://audio.iskcondesiretree.com/01_-_Srila_Prabhupada/01_-_Lectures/01_-_English/02_-_Month_wise/03_-_March/10/Walk_1976-03-10_MW-MAYAPUR.MP3" TargetMode="External"/><Relationship Id="rId5674" Type="http://schemas.openxmlformats.org/officeDocument/2006/relationships/hyperlink" Target="https://audio.iskcondesiretree.com/01_-_Srila_Prabhupada/01_-_Lectures/01_-_English/02_-_Month_wise/02_-_Feburary/02/Speech_1977-02-02_CM-BHUBANESWAR.MP3" TargetMode="External"/><Relationship Id="rId482" Type="http://schemas.openxmlformats.org/officeDocument/2006/relationships/hyperlink" Target="https://audio.iskcondesiretree.com/01_-_Srila_Prabhupada/01_-_Lectures/01_-_English/01_-_Topic_wise/Festivals/SP_Festivals_London_1969-09-23_Bhaktivinode_Appearance.mp3" TargetMode="External"/><Relationship Id="rId3012" Type="http://schemas.openxmlformats.org/officeDocument/2006/relationships/hyperlink" Target="https://audio.iskcondesiretree.com/01_-_Srila_Prabhupada/01_-_Lectures/01_-_English/02_-_Month_wise/03_-_March/30/CcAdi-01-006_1975-03-30_CC-MAYAPUR.MP3" TargetMode="External"/><Relationship Id="rId4343" Type="http://schemas.openxmlformats.org/officeDocument/2006/relationships/hyperlink" Target="https://audio.iskcondesiretree.com/01_-_Srila_Prabhupada/01_-_Lectures/01_-_English/02_-_Month_wise/03_-_March/11/MW_MAY_1976-03-11_God_Will_Come_If_there_are_Devotees.mp3" TargetMode="External"/><Relationship Id="rId5671" Type="http://schemas.openxmlformats.org/officeDocument/2006/relationships/hyperlink" Target="https://audio.iskcondesiretree.com/01_-_Srila_Prabhupada/01_-_Lectures/01_-_English/02_-_Month_wise/02_-_Feburary/02/Fest_BHU_1977-02-02_Nityananda_Appearance.mp3" TargetMode="External"/><Relationship Id="rId481" Type="http://schemas.openxmlformats.org/officeDocument/2006/relationships/hyperlink" Target="https://audio.iskcondesiretree.com/01_-_Srila_Prabhupada/01_-_Lectures/01_-_English/02_-_Month_wise/09_-_September/18/Fest_LON_1969-09-18_Radhastami.mp3" TargetMode="External"/><Relationship Id="rId3011" Type="http://schemas.openxmlformats.org/officeDocument/2006/relationships/hyperlink" Target="https://audio.iskcondesiretree.com/01_-_Srila_Prabhupada/01_-_Lectures/01_-_English/02_-_Month_wise/03_-_March/30/Cc_A_1-06_MAY_1975-03-30_Krishna_Is_Enjoying_Differently.mp3" TargetMode="External"/><Relationship Id="rId4342" Type="http://schemas.openxmlformats.org/officeDocument/2006/relationships/hyperlink" Target="https://audio.iskcondesiretree.com/01_-_Srila_Prabhupada/01_-_Lectures/01_-_English/01_-_Topic_wise/Srimad_Bhagavatam/Canto-07/SP_SB_7-09-33_Mayapur_1976-03-11_Basic_Principle.mp3" TargetMode="External"/><Relationship Id="rId5672" Type="http://schemas.openxmlformats.org/officeDocument/2006/relationships/hyperlink" Target="https://audio.iskcondesiretree.com/01_-_Srila_Prabhupada/01_-_Lectures/01_-_English/02_-_Month_wise/02_-_Feburary/02/Nityananda_Appearance_1977-02-02_NA-BHUBANESWAR.MP3" TargetMode="External"/><Relationship Id="rId488" Type="http://schemas.openxmlformats.org/officeDocument/2006/relationships/hyperlink" Target="https://audio.iskcondesiretree.com/01_-_Srila_Prabhupada/01_-_Lectures/01_-_English/01_-_Topic_wise/Srimad_Bhagavatam/Canto-06/SP_SB_6-01-12_Los_Angeles_1970-01-09_Vedic_Culture_vs._Industrialism.mp3" TargetMode="External"/><Relationship Id="rId3014" Type="http://schemas.openxmlformats.org/officeDocument/2006/relationships/hyperlink" Target="https://audio.iskcondesiretree.com/01_-_Srila_Prabhupada/01_-_Lectures/01_-_English/02_-_Month_wise/03_-_March/30/Conv_1975-03-30_R2-MAYAPUR.MP3" TargetMode="External"/><Relationship Id="rId4345" Type="http://schemas.openxmlformats.org/officeDocument/2006/relationships/hyperlink" Target="https://audio.iskcondesiretree.com/01_-_Srila_Prabhupada/01_-_Lectures/01_-_English/02_-_Month_wise/03_-_March/11/SB_7-09-33_MAY_1976-03-11_Basic_Principle.mp3" TargetMode="External"/><Relationship Id="rId5677" Type="http://schemas.openxmlformats.org/officeDocument/2006/relationships/hyperlink" Target="https://audio.iskcondesiretree.com/01_-_Srila_Prabhupada/01_-_Lectures/01_-_English/02_-_Month_wise/02_-_Feburary/03/Conv_1977-02-03_R1-BHUBANESWAR.MP3" TargetMode="External"/><Relationship Id="rId487" Type="http://schemas.openxmlformats.org/officeDocument/2006/relationships/hyperlink" Target="https://audio.iskcondesiretree.com/01_-_Srila_Prabhupada/01_-_Lectures/01_-_English/02_-_Month_wise/12_-_December/22/SB_2-01-01_BOS_1969-12-22_Self-Realized_vs_Body_Realized.mp3" TargetMode="External"/><Relationship Id="rId3013" Type="http://schemas.openxmlformats.org/officeDocument/2006/relationships/hyperlink" Target="https://audio.iskcondesiretree.com/01_-_Srila_Prabhupada/01_-_Lectures/01_-_English/02_-_Month_wise/03_-_March/30/Conv_1975-03-30_R1-MAYAPUR.MP3" TargetMode="External"/><Relationship Id="rId4344" Type="http://schemas.openxmlformats.org/officeDocument/2006/relationships/hyperlink" Target="https://audio.iskcondesiretree.com/01_-_Srila_Prabhupada/01_-_Lectures/01_-_English/02_-_Month_wise/03_-_March/11/SB-07-09-33_1976-03-11_SB-MAYAPUR.MP3" TargetMode="External"/><Relationship Id="rId5678" Type="http://schemas.openxmlformats.org/officeDocument/2006/relationships/hyperlink" Target="https://audio.iskcondesiretree.com/01_-_Srila_Prabhupada/01_-_Lectures/01_-_English/02_-_Month_wise/02_-_Feburary/03/Conv_1977-02-03_R2-BHUBANESWAR.MP3" TargetMode="External"/><Relationship Id="rId486" Type="http://schemas.openxmlformats.org/officeDocument/2006/relationships/hyperlink" Target="https://audio.iskcondesiretree.com/01_-_Srila_Prabhupada/01_-_Lectures/01_-_English/01_-_Topic_wise/Srimad_Bhagavatam/Canto-02/SP_SB_2-01-01_Boston_1969-12-22_Self-Realized_vs._Body-Realized.mp3" TargetMode="External"/><Relationship Id="rId3016" Type="http://schemas.openxmlformats.org/officeDocument/2006/relationships/hyperlink" Target="https://audio.iskcondesiretree.com/01_-_Srila_Prabhupada/01_-_Lectures/01_-_English/01_-_Topic_wise/Chaitanya_Charitamrita/Adi_Lila/SP_CC_A_01-07_Mayapur_1975-03-31_Ever_Expanding_Life_with_Krishna.mp3" TargetMode="External"/><Relationship Id="rId4347" Type="http://schemas.openxmlformats.org/officeDocument/2006/relationships/hyperlink" Target="https://audio.iskcondesiretree.com/01_-_Srila_Prabhupada/01_-_Lectures/01_-_English/01_-_Topic_wise/Morning_Walk/SP_Morning_Walk_-_Mayapur_1976-03-12_One_Should_Give_to_Temple.mp3" TargetMode="External"/><Relationship Id="rId5675" Type="http://schemas.openxmlformats.org/officeDocument/2006/relationships/hyperlink" Target="https://audio.iskcondesiretree.com/01_-_Srila_Prabhupada/01_-_Lectures/01_-_English/02_-_Month_wise/02_-_Feburary/02/Walk_1977-02-02_MW-BHUBANESWAR.MP3" TargetMode="External"/><Relationship Id="rId485" Type="http://schemas.openxmlformats.org/officeDocument/2006/relationships/hyperlink" Target="https://audio.iskcondesiretree.com/01_-_Srila_Prabhupada/01_-_Lectures/01_-_English/02_-_Month_wise/12_-_December/09/Fest_LA_1969-12-09_Bhaktisiddhanta_Disappearance.mp3" TargetMode="External"/><Relationship Id="rId3015" Type="http://schemas.openxmlformats.org/officeDocument/2006/relationships/hyperlink" Target="https://audio.iskcondesiretree.com/01_-_Srila_Prabhupada/01_-_Lectures/01_-_English/02_-_Month_wise/03_-_March/30/RC_MAY_1975-03-30_Entering_the_Family_of_Krishna.mp3" TargetMode="External"/><Relationship Id="rId4346" Type="http://schemas.openxmlformats.org/officeDocument/2006/relationships/hyperlink" Target="https://audio.iskcondesiretree.com/01_-_Srila_Prabhupada/01_-_Lectures/01_-_English/02_-_Month_wise/03_-_March/11/Walk_1976-03-11_MW-MAYAPUR.MP3" TargetMode="External"/><Relationship Id="rId5676" Type="http://schemas.openxmlformats.org/officeDocument/2006/relationships/hyperlink" Target="https://audio.iskcondesiretree.com/01_-_Srila_Prabhupada/01_-_Lectures/01_-_English/01_-_Topic_wise/Room_Conversation/SP_Room_Conversation_Bhuvanesvara_1977-02-03_Jesus_Christ--We_Give_Christ_All_Honor.mp3" TargetMode="External"/><Relationship Id="rId3007" Type="http://schemas.openxmlformats.org/officeDocument/2006/relationships/hyperlink" Target="https://audio.iskcondesiretree.com/01_-_Srila_Prabhupada/01_-_Lectures/01_-_English/02_-_Month_wise/03_-_March/29/Lecture_1975-03-29_LE-MAYAPUR.MP3" TargetMode="External"/><Relationship Id="rId4338" Type="http://schemas.openxmlformats.org/officeDocument/2006/relationships/hyperlink" Target="https://audio.iskcondesiretree.com/01_-_Srila_Prabhupada/01_-_Lectures/01_-_English/02_-_Month_wise/03_-_March/10/SB-07-09-32_1976-03-10_SB-MAYAPUR.MP3" TargetMode="External"/><Relationship Id="rId3006" Type="http://schemas.openxmlformats.org/officeDocument/2006/relationships/hyperlink" Target="https://audio.iskcondesiretree.com/01_-_Srila_Prabhupada/01_-_Lectures/01_-_English/02_-_Month_wise/03_-_March/29/CcAdi-01-005_1975-03-29_CC-MAYAPUR.MP3" TargetMode="External"/><Relationship Id="rId4337" Type="http://schemas.openxmlformats.org/officeDocument/2006/relationships/hyperlink" Target="https://audio.iskcondesiretree.com/01_-_Srila_Prabhupada/01_-_Lectures/01_-_English/01_-_Topic_wise/Srimad_Bhagavatam/Canto-07/SP_SB_7-09-32_Mayapur_1976-03-10_The_All_Pure_and_Powerful.mp3" TargetMode="External"/><Relationship Id="rId3009" Type="http://schemas.openxmlformats.org/officeDocument/2006/relationships/hyperlink" Target="https://audio.iskcondesiretree.com/01_-_Srila_Prabhupada/01_-_Lectures/01_-_English/01_-_Topic_wise/Room_Conversation/SP_Room_Conversation_Mayapur_1975-03-30_Entering_the_Family_of_Krishna.mp3" TargetMode="External"/><Relationship Id="rId5668" Type="http://schemas.openxmlformats.org/officeDocument/2006/relationships/hyperlink" Target="https://audio.iskcondesiretree.com/01_-_Srila_Prabhupada/01_-_Lectures/01_-_English/01_-_Topic_wise/Room_Conversation/SP_Room_Conversation_Bhuvanesvara_1977-02-02_Svarupa_Damodar--Very_Artificial_Intelligence.mp3" TargetMode="External"/><Relationship Id="rId3008" Type="http://schemas.openxmlformats.org/officeDocument/2006/relationships/hyperlink" Target="https://audio.iskcondesiretree.com/01_-_Srila_Prabhupada/01_-_Lectures/01_-_English/01_-_Topic_wise/Chaitanya_Charitamrita/Adi_Lila/SP_CC_A_01-06_Mayapur_1975-03-30_Krishna_Is_Enjoying_Differently.mp3" TargetMode="External"/><Relationship Id="rId4339" Type="http://schemas.openxmlformats.org/officeDocument/2006/relationships/hyperlink" Target="https://audio.iskcondesiretree.com/01_-_Srila_Prabhupada/01_-_Lectures/01_-_English/02_-_Month_wise/03_-_March/10/SB_7-09-32_MAY_1976-03-10_The_All_Pure_and_Powerful.mp3" TargetMode="External"/><Relationship Id="rId5669" Type="http://schemas.openxmlformats.org/officeDocument/2006/relationships/hyperlink" Target="https://audio.iskcondesiretree.com/01_-_Srila_Prabhupada/01_-_Lectures/01_-_English/02_-_Month_wise/02_-_Feburary/02/Conv_1977-02-02_R1-BHUBANESWAR.MP3" TargetMode="External"/><Relationship Id="rId480" Type="http://schemas.openxmlformats.org/officeDocument/2006/relationships/hyperlink" Target="https://audio.iskcondesiretree.com/01_-_Srila_Prabhupada/01_-_Lectures/01_-_English/01_-_Topic_wise/Festivals/SP_Festivals_London_1969-09-18_Radhastami.mp3" TargetMode="External"/><Relationship Id="rId479" Type="http://schemas.openxmlformats.org/officeDocument/2006/relationships/hyperlink" Target="https://audio.iskcondesiretree.com/01_-_Srila_Prabhupada/01_-_Lectures/01_-_English/02_-_Month_wise/09_-_September/17/SB_5-05-02_LON_1969-09-17_We_Spirit_Souls_Have_Immense_Power.mp3" TargetMode="External"/><Relationship Id="rId478" Type="http://schemas.openxmlformats.org/officeDocument/2006/relationships/hyperlink" Target="https://audio.iskcondesiretree.com/01_-_Srila_Prabhupada/01_-_Lectures/01_-_English/01_-_Topic_wise/Srimad_Bhagavatam/Canto-05/SP_SB_5-05-02_London_1969-09-17_We_Spirit_Souls_Have_Immense_Power.mp3" TargetMode="External"/><Relationship Id="rId473" Type="http://schemas.openxmlformats.org/officeDocument/2006/relationships/hyperlink" Target="https://audio.iskcondesiretree.com/01_-_Srila_Prabhupada/01_-_Lectures/01_-_English/02_-_Month_wise/09_-_September/12/SB_5-05-01_LON_1969-09-12_Depend_On_Krishna.mp3" TargetMode="External"/><Relationship Id="rId4330" Type="http://schemas.openxmlformats.org/officeDocument/2006/relationships/hyperlink" Target="https://audio.iskcondesiretree.com/01_-_Srila_Prabhupada/01_-_Lectures/01_-_English/02_-_Month_wise/03_-_March/08/SB-07-09-30_1976-03-08_SB-MAYAPUR.MP3" TargetMode="External"/><Relationship Id="rId5662" Type="http://schemas.openxmlformats.org/officeDocument/2006/relationships/hyperlink" Target="https://audio.iskcondesiretree.com/01_-_Srila_Prabhupada/01_-_Lectures/01_-_English/02_-_Month_wise/01_-_January/31/VarahaApp_1977-01-31_VA-BHUBANESWAR.MP3" TargetMode="External"/><Relationship Id="rId472" Type="http://schemas.openxmlformats.org/officeDocument/2006/relationships/hyperlink" Target="https://audio.iskcondesiretree.com/01_-_Srila_Prabhupada/01_-_Lectures/01_-_English/01_-_Topic_wise/Srimad_Bhagavatam/Canto-05/SP_SB_5-05-01_London_1969-09-12_Depend_On_Krishna.mp3" TargetMode="External"/><Relationship Id="rId5663" Type="http://schemas.openxmlformats.org/officeDocument/2006/relationships/hyperlink" Target="https://audio.iskcondesiretree.com/01_-_Srila_Prabhupada/01_-_Lectures/01_-_English/02_-_Month_wise/01_-_January/31/Walk_1977-01-31_MW-BHUBANESWAR.MP3" TargetMode="External"/><Relationship Id="rId471" Type="http://schemas.openxmlformats.org/officeDocument/2006/relationships/hyperlink" Target="https://audio.iskcondesiretree.com/01_-_Srila_Prabhupada/01_-_Lectures/01_-_English/02_-_Month_wise/09_-_September/11/RC_LON_1969-09-11_Harrison_Lennon_%26_Yoko_Ono.mp3" TargetMode="External"/><Relationship Id="rId3001" Type="http://schemas.openxmlformats.org/officeDocument/2006/relationships/hyperlink" Target="https://audio.iskcondesiretree.com/01_-_Srila_Prabhupada/01_-_Lectures/01_-_English/02_-_Month_wise/03_-_March/28/Cc_A_1-04_MAY_1975-03-28_Every_One_of_You--Become_a_Guru.mp3" TargetMode="External"/><Relationship Id="rId4332" Type="http://schemas.openxmlformats.org/officeDocument/2006/relationships/hyperlink" Target="https://audio.iskcondesiretree.com/01_-_Srila_Prabhupada/01_-_Lectures/01_-_English/02_-_Month_wise/03_-_March/08/Walk_1976-03-08_MW-MAYAPUR.MP3" TargetMode="External"/><Relationship Id="rId5660" Type="http://schemas.openxmlformats.org/officeDocument/2006/relationships/hyperlink" Target="https://audio.iskcondesiretree.com/01_-_Srila_Prabhupada/01_-_Lectures/01_-_English/02_-_Month_wise/01_-_January/31/Fest_BHU_1977-01-31_On_the_Advent_of_Lord_Varaha.mp3" TargetMode="External"/><Relationship Id="rId470" Type="http://schemas.openxmlformats.org/officeDocument/2006/relationships/hyperlink" Target="https://audio.iskcondesiretree.com/01_-_Srila_Prabhupada/01_-_Lectures/01_-_English/02_-_Month_wise/09_-_September/11/Arr_LON_1969-09-11_I_Teach_What_You_Have_Forgotten.mp3" TargetMode="External"/><Relationship Id="rId3000" Type="http://schemas.openxmlformats.org/officeDocument/2006/relationships/hyperlink" Target="https://audio.iskcondesiretree.com/01_-_Srila_Prabhupada/01_-_Lectures/01_-_English/01_-_Topic_wise/Chaitanya_Charitamrita/Adi_Lila/SP_CC_A_01-04_Mayapur_1975-03-28_Every_One_of_You--Become_a_Guru.mp3" TargetMode="External"/><Relationship Id="rId4331" Type="http://schemas.openxmlformats.org/officeDocument/2006/relationships/hyperlink" Target="https://audio.iskcondesiretree.com/01_-_Srila_Prabhupada/01_-_Lectures/01_-_English/02_-_Month_wise/03_-_March/08/SB_7-09-30_MAY_1976-03-08_Enter_the_Spirit.mp3" TargetMode="External"/><Relationship Id="rId5661" Type="http://schemas.openxmlformats.org/officeDocument/2006/relationships/hyperlink" Target="https://audio.iskcondesiretree.com/01_-_Srila_Prabhupada/01_-_Lectures/01_-_English/02_-_Month_wise/01_-_January/31/RC_BHU_1977-01-31_The_Great_Soul.mp3" TargetMode="External"/><Relationship Id="rId477" Type="http://schemas.openxmlformats.org/officeDocument/2006/relationships/hyperlink" Target="https://audio.iskcondesiretree.com/01_-_Srila_Prabhupada/01_-_Lectures/01_-_English/02_-_Month_wise/09_-_September/16/Addr_LON_1969-09-16_Go_to_the_Dazzling-bright_Sky_of_Freedom.mp3" TargetMode="External"/><Relationship Id="rId3003" Type="http://schemas.openxmlformats.org/officeDocument/2006/relationships/hyperlink" Target="https://audio.iskcondesiretree.com/01_-_Srila_Prabhupada/01_-_Lectures/01_-_English/01_-_Topic_wise/Chaitanya_Charitamrita/Adi_Lila/SP_CC_A_01-05_Mayapur_1975-03-29_Science_of_Supreme_Pleasure.mp3" TargetMode="External"/><Relationship Id="rId4334" Type="http://schemas.openxmlformats.org/officeDocument/2006/relationships/hyperlink" Target="https://audio.iskcondesiretree.com/01_-_Srila_Prabhupada/01_-_Lectures/01_-_English/02_-_Month_wise/03_-_March/09/SB-07-09-31_1976-03-09_SB-MAYAPUR.MP3" TargetMode="External"/><Relationship Id="rId5666" Type="http://schemas.openxmlformats.org/officeDocument/2006/relationships/hyperlink" Target="https://audio.iskcondesiretree.com/01_-_Srila_Prabhupada/01_-_Lectures/01_-_English/02_-_Month_wise/02_-_Feburary/01/Walk_1977-02-01_MW-BHUBANESWAR.MP3" TargetMode="External"/><Relationship Id="rId476" Type="http://schemas.openxmlformats.org/officeDocument/2006/relationships/hyperlink" Target="https://audio.iskcondesiretree.com/01_-_Srila_Prabhupada/01_-_Lectures/01_-_English/01_-_Topic_wise/Arrival_Address/SP_Address_London_1969-09-16_Go_to_the_Dazzling-bright_Sky_of_Freedom.mp3" TargetMode="External"/><Relationship Id="rId3002" Type="http://schemas.openxmlformats.org/officeDocument/2006/relationships/hyperlink" Target="https://audio.iskcondesiretree.com/01_-_Srila_Prabhupada/01_-_Lectures/01_-_English/02_-_Month_wise/03_-_March/28/CcAdi-01-004_1975-03-28_CC-MAYAPUR.MP3" TargetMode="External"/><Relationship Id="rId4333" Type="http://schemas.openxmlformats.org/officeDocument/2006/relationships/hyperlink" Target="https://audio.iskcondesiretree.com/01_-_Srila_Prabhupada/01_-_Lectures/01_-_English/01_-_Topic_wise/Srimad_Bhagavatam/Canto-07/SP_SB_7-09-31_Mayapur_1976-03-09_First_Lesson--Who_Am_I.mp3" TargetMode="External"/><Relationship Id="rId5667" Type="http://schemas.openxmlformats.org/officeDocument/2006/relationships/hyperlink" Target="https://audio.iskcondesiretree.com/01_-_Srila_Prabhupada/01_-_Lectures/01_-_English/01_-_Topic_wise/Festivals/SP_Festivals_Bhuvanesvara_1977-02-02_Nityananda_Appearance.mp3" TargetMode="External"/><Relationship Id="rId475" Type="http://schemas.openxmlformats.org/officeDocument/2006/relationships/hyperlink" Target="https://audio.iskcondesiretree.com/01_-_Srila_Prabhupada/01_-_Lectures/01_-_English/02_-_Month_wise/09_-_September/15/Lect_LON_1969-09-15_At_Conway_Hall-I_Teach_What_You_etc.mp3" TargetMode="External"/><Relationship Id="rId3005" Type="http://schemas.openxmlformats.org/officeDocument/2006/relationships/hyperlink" Target="https://audio.iskcondesiretree.com/01_-_Srila_Prabhupada/01_-_Lectures/01_-_English/02_-_Month_wise/03_-_March/29/Cc_A_1-05_MAY_1975-03-29_Science_of_Supreme_Pleasure.mp3" TargetMode="External"/><Relationship Id="rId4336" Type="http://schemas.openxmlformats.org/officeDocument/2006/relationships/hyperlink" Target="https://audio.iskcondesiretree.com/01_-_Srila_Prabhupada/01_-_Lectures/01_-_English/02_-_Month_wise/03_-_March/09/Walk_1976-03-09_MW-MAYAPUR.MP3" TargetMode="External"/><Relationship Id="rId5664" Type="http://schemas.openxmlformats.org/officeDocument/2006/relationships/hyperlink" Target="https://audio.iskcondesiretree.com/01_-_Srila_Prabhupada/01_-_Lectures/01_-_English/01_-_Topic_wise/Morning_Walk/SP_Morning_Walk_-_Bhuvanesvara_1977-02-01_Science_Atheists-Blind_Bluffers.mp3" TargetMode="External"/><Relationship Id="rId474" Type="http://schemas.openxmlformats.org/officeDocument/2006/relationships/hyperlink" Target="https://audio.iskcondesiretree.com/01_-_Srila_Prabhupada/01_-_Lectures/01_-_English/01_-_Topic_wise/Various/SP_Lecture_London_1969-09-15_At_Conway_Hall--I_Teach_What_You--etc.mp3" TargetMode="External"/><Relationship Id="rId3004" Type="http://schemas.openxmlformats.org/officeDocument/2006/relationships/hyperlink" Target="https://audio.iskcondesiretree.com/01_-_Srila_Prabhupada/01_-_Lectures/01_-_English/01_-_Topic_wise/Various/SP_Lecture_Mayapur_1975-03-29_After_Manipur_Dancing.MP3" TargetMode="External"/><Relationship Id="rId4335" Type="http://schemas.openxmlformats.org/officeDocument/2006/relationships/hyperlink" Target="https://audio.iskcondesiretree.com/01_-_Srila_Prabhupada/01_-_Lectures/01_-_English/02_-_Month_wise/03_-_March/09/SB_7-09-31_MAY_1976-03-09_First_Lesson--Who_Am_I.mp3" TargetMode="External"/><Relationship Id="rId5665" Type="http://schemas.openxmlformats.org/officeDocument/2006/relationships/hyperlink" Target="https://audio.iskcondesiretree.com/01_-_Srila_Prabhupada/01_-_Lectures/01_-_English/02_-_Month_wise/02_-_Feburary/01/MW_BHU_1977-02-01_Science_Atheists-Blind_Bluffers.mp3" TargetMode="External"/><Relationship Id="rId5615" Type="http://schemas.openxmlformats.org/officeDocument/2006/relationships/hyperlink" Target="https://audio.iskcondesiretree.com/01_-_Srila_Prabhupada/01_-_Lectures/01_-_English/02_-_Month_wise/01_-_January/22/Bg-07-01_1977-01-22_BG-BHUBANESWAR.MP3" TargetMode="External"/><Relationship Id="rId5616" Type="http://schemas.openxmlformats.org/officeDocument/2006/relationships/hyperlink" Target="https://audio.iskcondesiretree.com/01_-_Srila_Prabhupada/01_-_Lectures/01_-_English/02_-_Month_wise/01_-_January/22/Conv_1977-01-22_R1-BHUBANESWAR.MP3" TargetMode="External"/><Relationship Id="rId5613" Type="http://schemas.openxmlformats.org/officeDocument/2006/relationships/hyperlink" Target="https://audio.iskcondesiretree.com/01_-_Srila_Prabhupada/01_-_Lectures/01_-_English/02_-_Month_wise/01_-_January/21/Lecture_1977-01-21_LE-BHUBANESWAR.MP3" TargetMode="External"/><Relationship Id="rId5614" Type="http://schemas.openxmlformats.org/officeDocument/2006/relationships/hyperlink" Target="https://audio.iskcondesiretree.com/01_-_Srila_Prabhupada/01_-_Lectures/01_-_English/02_-_Month_wise/01_-_January/21/Walk_1977-01-21MW-BHUBANESWAR.MP3" TargetMode="External"/><Relationship Id="rId5619" Type="http://schemas.openxmlformats.org/officeDocument/2006/relationships/hyperlink" Target="https://audio.iskcondesiretree.com/01_-_Srila_Prabhupada/01_-_Lectures/01_-_English/01_-_Topic_wise/Various/SP_Lecture_Bhuvanesvara_1977-01-23_You_Can_Become_Greatest_Devotee.mp3" TargetMode="External"/><Relationship Id="rId5617" Type="http://schemas.openxmlformats.org/officeDocument/2006/relationships/hyperlink" Target="https://audio.iskcondesiretree.com/01_-_Srila_Prabhupada/01_-_Lectures/01_-_English/02_-_Month_wise/01_-_January/22/Conv_1977-01-22_R2-BHUBANESWAR.MP3" TargetMode="External"/><Relationship Id="rId5618" Type="http://schemas.openxmlformats.org/officeDocument/2006/relationships/hyperlink" Target="https://audio.iskcondesiretree.com/01_-_Srila_Prabhupada/01_-_Lectures/01_-_English/02_-_Month_wise/01_-_January/22/Conv_1977-01-22_R3-BHUBANESWAR.MP3" TargetMode="External"/><Relationship Id="rId426" Type="http://schemas.openxmlformats.org/officeDocument/2006/relationships/hyperlink" Target="https://audio.iskcondesiretree.com/01_-_Srila_Prabhupada/01_-_Lectures/01_-_English/02_-_Month_wise/05_-_May/12/Lect_COL_1969-05-12_To_Students_We_Are_Begging_etc.mp3" TargetMode="External"/><Relationship Id="rId425" Type="http://schemas.openxmlformats.org/officeDocument/2006/relationships/hyperlink" Target="https://audio.iskcondesiretree.com/01_-_Srila_Prabhupada/01_-_Lectures/01_-_English/01_-_Topic_wise/Various/SP_Lecture_Columbus_1969-05-12_To_Students--We_Are_Begging--etc.mp3" TargetMode="External"/><Relationship Id="rId424" Type="http://schemas.openxmlformats.org/officeDocument/2006/relationships/hyperlink" Target="https://audio.iskcondesiretree.com/01_-_Srila_Prabhupada/01_-_Lectures/01_-_English/01_-_Topic_wise/Room_Conversation/SP_Room_Conversation_Columbus_1969-05-12_Allen_Ginsberg--Our_Krishna_is_Love.mp3" TargetMode="External"/><Relationship Id="rId423" Type="http://schemas.openxmlformats.org/officeDocument/2006/relationships/hyperlink" Target="https://audio.iskcondesiretree.com/01_-_Srila_Prabhupada/01_-_Lectures/01_-_English/02_-_Month_wise/05_-_May/11/RC_COL_1969-05-11_Allen_Ginsberg_Freedom_Is_Frustration.mp3" TargetMode="External"/><Relationship Id="rId429" Type="http://schemas.openxmlformats.org/officeDocument/2006/relationships/hyperlink" Target="https://audio.iskcondesiretree.com/01_-_Srila_Prabhupada/01_-_Lectures/01_-_English/02_-_Month_wise/05_-_May/13/RC_COL_1969-05-13_Allen_Ginsberg-Walk_Through_Kali_Yuga.mp3" TargetMode="External"/><Relationship Id="rId428" Type="http://schemas.openxmlformats.org/officeDocument/2006/relationships/hyperlink" Target="https://audio.iskcondesiretree.com/01_-_Srila_Prabhupada/01_-_Lectures/01_-_English/01_-_Topic_wise/Room_Conversation/SP_Room_Conversation_Columbus_1969-05-13_Allen_Ginsberg--Walk_Through_Kali_Yuga.mp3" TargetMode="External"/><Relationship Id="rId427" Type="http://schemas.openxmlformats.org/officeDocument/2006/relationships/hyperlink" Target="https://audio.iskcondesiretree.com/01_-_Srila_Prabhupada/01_-_Lectures/01_-_English/02_-_Month_wise/05_-_May/12/RC_COL_1969-05-12_Allen_Ginsberg_Our_Krishna_is_Love.mp3" TargetMode="External"/><Relationship Id="rId422" Type="http://schemas.openxmlformats.org/officeDocument/2006/relationships/hyperlink" Target="https://audio.iskcondesiretree.com/01_-_Srila_Prabhupada/01_-_Lectures/01_-_English/02_-_Month_wise/05_-_May/11/Addr_COL_1969-05-11_Addr_to_Indian_Association.mp3" TargetMode="External"/><Relationship Id="rId5611" Type="http://schemas.openxmlformats.org/officeDocument/2006/relationships/hyperlink" Target="https://audio.iskcondesiretree.com/01_-_Srila_Prabhupada/01_-_Lectures/01_-_English/02_-_Month_wise/01_-_January/21/Conv_1977-01-21_R5-BHUBANESWAR.MP3" TargetMode="External"/><Relationship Id="rId421" Type="http://schemas.openxmlformats.org/officeDocument/2006/relationships/hyperlink" Target="https://audio.iskcondesiretree.com/01_-_Srila_Prabhupada/01_-_Lectures/01_-_English/01_-_Topic_wise/Room_Conversation/SP_Room_Conversation_Columbus_1969-05-11_Allen_Ginsberg--Freedom_Is_Frustration.mp3" TargetMode="External"/><Relationship Id="rId5612" Type="http://schemas.openxmlformats.org/officeDocument/2006/relationships/hyperlink" Target="https://audio.iskcondesiretree.com/01_-_Srila_Prabhupada/01_-_Lectures/01_-_English/02_-_Month_wise/01_-_January/21/Conv_1977-01-21_R6-BHUBANESWAR.MP3" TargetMode="External"/><Relationship Id="rId420" Type="http://schemas.openxmlformats.org/officeDocument/2006/relationships/hyperlink" Target="https://audio.iskcondesiretree.com/01_-_Srila_Prabhupada/01_-_Lectures/01_-_English/01_-_Topic_wise/Arrival_Address/SP_Address_Columbus_1969-05-11_Addr_to_Indian_Association.mp3" TargetMode="External"/><Relationship Id="rId5610" Type="http://schemas.openxmlformats.org/officeDocument/2006/relationships/hyperlink" Target="https://audio.iskcondesiretree.com/01_-_Srila_Prabhupada/01_-_Lectures/01_-_English/02_-_Month_wise/01_-_January/21/Conv_1977-01-21_R4-BHUBANESWAR.MP3" TargetMode="External"/><Relationship Id="rId5604" Type="http://schemas.openxmlformats.org/officeDocument/2006/relationships/hyperlink" Target="https://audio.iskcondesiretree.com/01_-_Srila_Prabhupada/01_-_Lectures/01_-_English/02_-_Month_wise/01_-_January/20/Conv_1977-01-20_R1-BHUBANESWAR.MP3" TargetMode="External"/><Relationship Id="rId5605" Type="http://schemas.openxmlformats.org/officeDocument/2006/relationships/hyperlink" Target="https://audio.iskcondesiretree.com/01_-_Srila_Prabhupada/01_-_Lectures/01_-_English/02_-_Month_wise/01_-_January/20/Conv_1977-01-20_R2-BHUBANESWAR.MP3" TargetMode="External"/><Relationship Id="rId5602" Type="http://schemas.openxmlformats.org/officeDocument/2006/relationships/hyperlink" Target="https://audio.iskcondesiretree.com/01_-_Srila_Prabhupada/01_-_Lectures/01_-_English/02_-_Month_wise/01_-_January/19/Conv_1977-01-19_R2-BHUBANESWAR.MP3" TargetMode="External"/><Relationship Id="rId5603" Type="http://schemas.openxmlformats.org/officeDocument/2006/relationships/hyperlink" Target="https://audio.iskcondesiretree.com/01_-_Srila_Prabhupada/01_-_Lectures/01_-_English/02_-_Month_wise/01_-_January/19/Lecture_1977-01-19_LE-BHUBANESWAR.MP3" TargetMode="External"/><Relationship Id="rId5608" Type="http://schemas.openxmlformats.org/officeDocument/2006/relationships/hyperlink" Target="https://audio.iskcondesiretree.com/01_-_Srila_Prabhupada/01_-_Lectures/01_-_English/02_-_Month_wise/01_-_January/21/Conv_1977-01-21_R2-BHUBANESWAR.MP3" TargetMode="External"/><Relationship Id="rId5609" Type="http://schemas.openxmlformats.org/officeDocument/2006/relationships/hyperlink" Target="https://audio.iskcondesiretree.com/01_-_Srila_Prabhupada/01_-_Lectures/01_-_English/02_-_Month_wise/01_-_January/21/Conv_1977-01-21_R3-BHUBANESWAR.MP3" TargetMode="External"/><Relationship Id="rId5606" Type="http://schemas.openxmlformats.org/officeDocument/2006/relationships/hyperlink" Target="https://audio.iskcondesiretree.com/01_-_Srila_Prabhupada/01_-_Lectures/01_-_English/02_-_Month_wise/01_-_January/20/Walk_1977-01-20_MW-BHUBANESWAR.MP3" TargetMode="External"/><Relationship Id="rId5607" Type="http://schemas.openxmlformats.org/officeDocument/2006/relationships/hyperlink" Target="https://audio.iskcondesiretree.com/01_-_Srila_Prabhupada/01_-_Lectures/01_-_English/02_-_Month_wise/01_-_January/21/Conv_1977-01-21_R1-BHUBANESWAR.MP3" TargetMode="External"/><Relationship Id="rId415" Type="http://schemas.openxmlformats.org/officeDocument/2006/relationships/hyperlink" Target="https://audio.iskcondesiretree.com/01_-_Srila_Prabhupada/01_-_Lectures/01_-_English/02_-_Month_wise/05_-_May/09/Fest_COL_1969-05-09_Temple_Opening--Religion_Means_etc.mp3" TargetMode="External"/><Relationship Id="rId414" Type="http://schemas.openxmlformats.org/officeDocument/2006/relationships/hyperlink" Target="https://audio.iskcondesiretree.com/01_-_Srila_Prabhupada/01_-_Lectures/01_-_English/02_-_Month_wise/05_-_May/09/Bg_04-01_COL_1969-05-09_Big_Scholars_Can%27t_Get_What_etc.mp3" TargetMode="External"/><Relationship Id="rId413" Type="http://schemas.openxmlformats.org/officeDocument/2006/relationships/hyperlink" Target="https://audio.iskcondesiretree.com/01_-_Srila_Prabhupada/01_-_Lectures/01_-_English/01_-_Topic_wise/Festivals/SP_Festivals_Columbus_1969-05-09_Temple_Opening--Religion_Means--etc.mp3" TargetMode="External"/><Relationship Id="rId412" Type="http://schemas.openxmlformats.org/officeDocument/2006/relationships/hyperlink" Target="https://audio.iskcondesiretree.com/01_-_Srila_Prabhupada/01_-_Lectures/01_-_English/01_-_Topic_wise/Bhagavad_Gita/Chapter-04/SP_BG_04-01_Columbus_1969-05-09_Big_Scholars_Can%27t_Get_What--etc.mp3" TargetMode="External"/><Relationship Id="rId419" Type="http://schemas.openxmlformats.org/officeDocument/2006/relationships/hyperlink" Target="https://audio.iskcondesiretree.com/01_-_Srila_Prabhupada/01_-_Lectures/01_-_English/02_-_Month_wise/05_-_May/10/RC_COL_1969-05-10_Seed_of_Frustration.mp3" TargetMode="External"/><Relationship Id="rId418" Type="http://schemas.openxmlformats.org/officeDocument/2006/relationships/hyperlink" Target="https://audio.iskcondesiretree.com/01_-_Srila_Prabhupada/01_-_Lectures/01_-_English/02_-_Month_wise/05_-_May/10/RC_COL_1969-05-10_Follow_Christ_or_Buddha_or_Krishna_etc.mp3" TargetMode="External"/><Relationship Id="rId417" Type="http://schemas.openxmlformats.org/officeDocument/2006/relationships/hyperlink" Target="https://audio.iskcondesiretree.com/01_-_Srila_Prabhupada/01_-_Lectures/01_-_English/01_-_Topic_wise/Room_Conversation/SP_Room_Conversation_Columbus_1969-05-10_Seed_of_Frustration.mp3" TargetMode="External"/><Relationship Id="rId416" Type="http://schemas.openxmlformats.org/officeDocument/2006/relationships/hyperlink" Target="https://audio.iskcondesiretree.com/01_-_Srila_Prabhupada/01_-_Lectures/01_-_English/01_-_Topic_wise/Room_Conversation/SP_Room_Conversation_Columbus_1969-05-10_Follow_Christ_or_Buddha_or_Krishna--etc.mp3" TargetMode="External"/><Relationship Id="rId411" Type="http://schemas.openxmlformats.org/officeDocument/2006/relationships/hyperlink" Target="https://audio.iskcondesiretree.com/01_-_Srila_Prabhupada/01_-_Lectures/01_-_English/01_-_Topic_wise/Bhagavad_Gita/Chapter-04/SP_BG_04-01-02_Columbus_1969-05-09_Big_Scholars_Can%27t_Get_What--etc.mp3" TargetMode="External"/><Relationship Id="rId5600" Type="http://schemas.openxmlformats.org/officeDocument/2006/relationships/hyperlink" Target="https://audio.iskcondesiretree.com/01_-_Srila_Prabhupada/01_-_Lectures/01_-_English/02_-_Month_wise/01_-_January/19/Arrival_1977-01-19_AR-BHUBANESWAR.MP3" TargetMode="External"/><Relationship Id="rId410" Type="http://schemas.openxmlformats.org/officeDocument/2006/relationships/hyperlink" Target="https://audio.iskcondesiretree.com/01_-_Srila_Prabhupada/01_-_Lectures/01_-_English/02_-_Month_wise/05_-_May/03/Lect_BOS_1969-05-03_To_Students_Well_Centered_etc.mp3" TargetMode="External"/><Relationship Id="rId5601" Type="http://schemas.openxmlformats.org/officeDocument/2006/relationships/hyperlink" Target="https://audio.iskcondesiretree.com/01_-_Srila_Prabhupada/01_-_Lectures/01_-_English/02_-_Month_wise/01_-_January/19/Conv_1977-01-19_R1-BHUBANESWAR.MP3" TargetMode="External"/><Relationship Id="rId4305" Type="http://schemas.openxmlformats.org/officeDocument/2006/relationships/hyperlink" Target="https://audio.iskcondesiretree.com/01_-_Srila_Prabhupada/01_-_Lectures/01_-_English/02_-_Month_wise/03_-_March/01/Walk_1976-03-01_MW-MAYAPUR.MP3" TargetMode="External"/><Relationship Id="rId5637" Type="http://schemas.openxmlformats.org/officeDocument/2006/relationships/hyperlink" Target="https://audio.iskcondesiretree.com/01_-_Srila_Prabhupada/01_-_Lectures/01_-_English/02_-_Month_wise/01_-_January/26/ChantsByBrahmanas_1977-01-26_R2-PURI.MP3" TargetMode="External"/><Relationship Id="rId4304" Type="http://schemas.openxmlformats.org/officeDocument/2006/relationships/hyperlink" Target="https://audio.iskcondesiretree.com/01_-_Srila_Prabhupada/01_-_Lectures/01_-_English/02_-_Month_wise/03_-_March/01/SB_7-09-23_MAY_1976-03-01_Krishna_Impersonators_Killed.mp3" TargetMode="External"/><Relationship Id="rId5638" Type="http://schemas.openxmlformats.org/officeDocument/2006/relationships/hyperlink" Target="https://audio.iskcondesiretree.com/01_-_Srila_Prabhupada/01_-_Lectures/01_-_English/02_-_Month_wise/01_-_January/26/Conv_1977-01-26_R1-PURI.MP3" TargetMode="External"/><Relationship Id="rId4307" Type="http://schemas.openxmlformats.org/officeDocument/2006/relationships/hyperlink" Target="https://audio.iskcondesiretree.com/01_-_Srila_Prabhupada/01_-_Lectures/01_-_English/02_-_Month_wise/03_-_March/02/SB-07-09-24_1976-03-02_SB-MAYAPUR.MP3" TargetMode="External"/><Relationship Id="rId5635" Type="http://schemas.openxmlformats.org/officeDocument/2006/relationships/hyperlink" Target="https://audio.iskcondesiretree.com/01_-_Srila_Prabhupada/01_-_Lectures/01_-_English/02_-_Month_wise/01_-_January/25/Walk_1977-01-25_MW-PURI.MP3" TargetMode="External"/><Relationship Id="rId4306" Type="http://schemas.openxmlformats.org/officeDocument/2006/relationships/hyperlink" Target="https://audio.iskcondesiretree.com/01_-_Srila_Prabhupada/01_-_Lectures/01_-_English/01_-_Topic_wise/Srimad_Bhagavatam/Canto-07/SP_SB_7-09-24_Mayapur_1976-03-02_The_Master_Disease.mp3" TargetMode="External"/><Relationship Id="rId5636" Type="http://schemas.openxmlformats.org/officeDocument/2006/relationships/hyperlink" Target="https://audio.iskcondesiretree.com/01_-_Srila_Prabhupada/01_-_Lectures/01_-_English/02_-_Month_wise/01_-_January/26/Address_1977-01-26_AD-PURI.MP3" TargetMode="External"/><Relationship Id="rId4309" Type="http://schemas.openxmlformats.org/officeDocument/2006/relationships/hyperlink" Target="https://audio.iskcondesiretree.com/01_-_Srila_Prabhupada/01_-_Lectures/01_-_English/02_-_Month_wise/03_-_March/02/Walk_1976-03-02_MW-MAYAPUR.MP3" TargetMode="External"/><Relationship Id="rId4308" Type="http://schemas.openxmlformats.org/officeDocument/2006/relationships/hyperlink" Target="https://audio.iskcondesiretree.com/01_-_Srila_Prabhupada/01_-_Lectures/01_-_English/02_-_Month_wise/03_-_March/02/SB_7-09-24_MAY_1976-03-02_The_Master_Disease.mp3" TargetMode="External"/><Relationship Id="rId5639" Type="http://schemas.openxmlformats.org/officeDocument/2006/relationships/hyperlink" Target="https://audio.iskcondesiretree.com/01_-_Srila_Prabhupada/01_-_Lectures/01_-_English/02_-_Month_wise/01_-_January/27/Conv_1977-01-27_R1-BHUBANESWAR.MP3" TargetMode="External"/><Relationship Id="rId448" Type="http://schemas.openxmlformats.org/officeDocument/2006/relationships/hyperlink" Target="https://audio.iskcondesiretree.com/01_-_Srila_Prabhupada/01_-_Lectures/01_-_English/01_-_Topic_wise/Srimad_Bhagavatam/Canto-01/SP_SB_1-05-14_New_Vrindavan_1969-06-16_One_Has_to_Live_in_God.mp3" TargetMode="External"/><Relationship Id="rId447" Type="http://schemas.openxmlformats.org/officeDocument/2006/relationships/hyperlink" Target="https://audio.iskcondesiretree.com/01_-_Srila_Prabhupada/01_-_Lectures/01_-_English/02_-_Month_wise/06_-_June/13/SB_1-05-13_NV_1969-06-13_Wonderful_Cure_for_Illusion.mp3" TargetMode="External"/><Relationship Id="rId446" Type="http://schemas.openxmlformats.org/officeDocument/2006/relationships/hyperlink" Target="https://audio.iskcondesiretree.com/01_-_Srila_Prabhupada/01_-_Lectures/01_-_English/01_-_Topic_wise/Srimad_Bhagavatam/Canto-01/SP_SB_1-05-13_New_Vrindavan_1969-06-13_Wonderful_Cure_for_Illusion.mp3" TargetMode="External"/><Relationship Id="rId445" Type="http://schemas.openxmlformats.org/officeDocument/2006/relationships/hyperlink" Target="https://audio.iskcondesiretree.com/01_-_Srila_Prabhupada/01_-_Lectures/01_-_English/02_-_Month_wise/06_-_June/11/SB_1-05-12_NV_1969-06-11_Unnecessary_Necessities_and_etc.mp3" TargetMode="External"/><Relationship Id="rId449" Type="http://schemas.openxmlformats.org/officeDocument/2006/relationships/hyperlink" Target="https://audio.iskcondesiretree.com/01_-_Srila_Prabhupada/01_-_Lectures/01_-_English/02_-_Month_wise/06_-_June/16/SB_1-05-14_NV_1969-06-16_One_Has_to_Live_in_God.mp3" TargetMode="External"/><Relationship Id="rId440" Type="http://schemas.openxmlformats.org/officeDocument/2006/relationships/hyperlink" Target="https://audio.iskcondesiretree.com/01_-_Srila_Prabhupada/01_-_Lectures/01_-_English/01_-_Topic_wise/Srimad_Bhagavatam/Canto-01/SP_SB_1-05-09_New_Vrindavan_1969-06-06_First_Business--Protect_Your_Soul.mp3" TargetMode="External"/><Relationship Id="rId5630" Type="http://schemas.openxmlformats.org/officeDocument/2006/relationships/hyperlink" Target="https://audio.iskcondesiretree.com/01_-_Srila_Prabhupada/01_-_Lectures/01_-_English/02_-_Month_wise/01_-_January/24/Walk_1977-01-24_MW-BHUBANESWAR.MP3" TargetMode="External"/><Relationship Id="rId444" Type="http://schemas.openxmlformats.org/officeDocument/2006/relationships/hyperlink" Target="https://audio.iskcondesiretree.com/01_-_Srila_Prabhupada/01_-_Lectures/01_-_English/01_-_Topic_wise/Srimad_Bhagavatam/Canto-01/SP_SB_1-05-12_New_Vrindavan_1969-06-11_Unnecessary_Necessities_and--etc.mp3" TargetMode="External"/><Relationship Id="rId4301" Type="http://schemas.openxmlformats.org/officeDocument/2006/relationships/hyperlink" Target="https://audio.iskcondesiretree.com/01_-_Srila_Prabhupada/01_-_Lectures/01_-_English/02_-_Month_wise/02_-_Feburary/29/Walk_1976-02-29_MW-MAYAPUR.MP3" TargetMode="External"/><Relationship Id="rId5633" Type="http://schemas.openxmlformats.org/officeDocument/2006/relationships/hyperlink" Target="https://audio.iskcondesiretree.com/01_-_Srila_Prabhupada/01_-_Lectures/01_-_English/02_-_Month_wise/01_-_January/25/Conv_1977-01-25_R2-PURI.MP3" TargetMode="External"/><Relationship Id="rId443" Type="http://schemas.openxmlformats.org/officeDocument/2006/relationships/hyperlink" Target="https://audio.iskcondesiretree.com/01_-_Srila_Prabhupada/01_-_Lectures/01_-_English/02_-_Month_wise/06_-_June/10/SB_1-05-11_NV_1969-06-10_Spiritual_Aesthetics-Swanlike_Men.mp3" TargetMode="External"/><Relationship Id="rId4300" Type="http://schemas.openxmlformats.org/officeDocument/2006/relationships/hyperlink" Target="https://audio.iskcondesiretree.com/01_-_Srila_Prabhupada/01_-_Lectures/01_-_English/02_-_Month_wise/02_-_Feburary/29/SB_7-09-22_MAY_1976-02-29_It_Is_Not_Alright.mp3" TargetMode="External"/><Relationship Id="rId5634" Type="http://schemas.openxmlformats.org/officeDocument/2006/relationships/hyperlink" Target="https://audio.iskcondesiretree.com/01_-_Srila_Prabhupada/01_-_Lectures/01_-_English/02_-_Month_wise/01_-_January/25/RC_BHU_1977-01-25_Sex_and_Salt_May_Be_Bad_for_You-_Not_Krishna.mp3" TargetMode="External"/><Relationship Id="rId442" Type="http://schemas.openxmlformats.org/officeDocument/2006/relationships/hyperlink" Target="https://audio.iskcondesiretree.com/01_-_Srila_Prabhupada/01_-_Lectures/01_-_English/01_-_Topic_wise/Srimad_Bhagavatam/Canto-01/SP_SB_1-05-11_New_Vrindavan_1969-06-10_Spiritual_Aesthetics_-_Swanlike_Men.mp3" TargetMode="External"/><Relationship Id="rId4303" Type="http://schemas.openxmlformats.org/officeDocument/2006/relationships/hyperlink" Target="https://audio.iskcondesiretree.com/01_-_Srila_Prabhupada/01_-_Lectures/01_-_English/02_-_Month_wise/03_-_March/01/SB-07-09-23_1976-03-01_SB-MAYAPUR.MP3" TargetMode="External"/><Relationship Id="rId5631" Type="http://schemas.openxmlformats.org/officeDocument/2006/relationships/hyperlink" Target="https://audio.iskcondesiretree.com/01_-_Srila_Prabhupada/01_-_Lectures/01_-_English/01_-_Topic_wise/Room_Conversation/SP_Room_Conversation_Bhuvanesvara_1977-01-25_Sex_and_Salt_Mayapur_Be_Bad_for_You_Not_Krishna.mp3" TargetMode="External"/><Relationship Id="rId441" Type="http://schemas.openxmlformats.org/officeDocument/2006/relationships/hyperlink" Target="https://audio.iskcondesiretree.com/01_-_Srila_Prabhupada/01_-_Lectures/01_-_English/02_-_Month_wise/06_-_June/06/SB_1-05-09_NV_1969-06-06_First_Business_Protect_Your_Soul.mp3" TargetMode="External"/><Relationship Id="rId4302" Type="http://schemas.openxmlformats.org/officeDocument/2006/relationships/hyperlink" Target="https://audio.iskcondesiretree.com/01_-_Srila_Prabhupada/01_-_Lectures/01_-_English/01_-_Topic_wise/Srimad_Bhagavatam/Canto-07/SP_SB_7-09-23_Mayapur_1976-03-01_Krishna_Impersonators_Killed.mp3" TargetMode="External"/><Relationship Id="rId5632" Type="http://schemas.openxmlformats.org/officeDocument/2006/relationships/hyperlink" Target="https://audio.iskcondesiretree.com/01_-_Srila_Prabhupada/01_-_Lectures/01_-_English/02_-_Month_wise/01_-_January/25/Conv_1977-01-25_R1-PURI.MP3" TargetMode="External"/><Relationship Id="rId5626" Type="http://schemas.openxmlformats.org/officeDocument/2006/relationships/hyperlink" Target="https://audio.iskcondesiretree.com/01_-_Srila_Prabhupada/01_-_Lectures/01_-_English/02_-_Month_wise/01_-_January/24/CcMadhya-08-128_1977-01-24_CC-BHUBANESWAR.MP3" TargetMode="External"/><Relationship Id="rId5627" Type="http://schemas.openxmlformats.org/officeDocument/2006/relationships/hyperlink" Target="https://audio.iskcondesiretree.com/01_-_Srila_Prabhupada/01_-_Lectures/01_-_English/02_-_Month_wise/01_-_January/24/Conv_1977-01-24_R1-BHUBANESWAR.MP3" TargetMode="External"/><Relationship Id="rId5624" Type="http://schemas.openxmlformats.org/officeDocument/2006/relationships/hyperlink" Target="https://audio.iskcondesiretree.com/01_-_Srila_Prabhupada/01_-_Lectures/01_-_English/02_-_Month_wise/01_-_January/23/Lecture_1977-01-23_LE-BHUBANESWAR.MP3" TargetMode="External"/><Relationship Id="rId5625" Type="http://schemas.openxmlformats.org/officeDocument/2006/relationships/hyperlink" Target="https://audio.iskcondesiretree.com/01_-_Srila_Prabhupada/01_-_Lectures/01_-_English/01_-_Topic_wise/Various/SP_Lecture_Bhuvanesvara_1977-01-24_Unfortunates_Not_Attracted_to_the--etc.mp3" TargetMode="External"/><Relationship Id="rId5628" Type="http://schemas.openxmlformats.org/officeDocument/2006/relationships/hyperlink" Target="https://audio.iskcondesiretree.com/01_-_Srila_Prabhupada/01_-_Lectures/01_-_English/02_-_Month_wise/01_-_January/24/Conv_1977-01-24_R2-BHUBANESWAR.MP3" TargetMode="External"/><Relationship Id="rId5629" Type="http://schemas.openxmlformats.org/officeDocument/2006/relationships/hyperlink" Target="https://audio.iskcondesiretree.com/01_-_Srila_Prabhupada/01_-_Lectures/01_-_English/02_-_Month_wise/01_-_January/24/Lect_BHU_1977-01-24_Unfortunates_Not_Attracted_to_the_etc.mp3" TargetMode="External"/><Relationship Id="rId437" Type="http://schemas.openxmlformats.org/officeDocument/2006/relationships/hyperlink" Target="https://audio.iskcondesiretree.com/01_-_Srila_Prabhupada/01_-_Lectures/01_-_English/02_-_Month_wise/05_-_May/24/SB_1-05-08_NV_1969-05-24_Sky_Flowers_and_Horse_Eggs.mp3" TargetMode="External"/><Relationship Id="rId436" Type="http://schemas.openxmlformats.org/officeDocument/2006/relationships/hyperlink" Target="https://audio.iskcondesiretree.com/01_-_Srila_Prabhupada/01_-_Lectures/01_-_English/01_-_Topic_wise/Srimad_Bhagavatam/Canto-01/SP_SB_1-05-08_New_Vrindavan_1969-05-24_Sky_Flowers_and_Horse_Eggs.mp3" TargetMode="External"/><Relationship Id="rId435" Type="http://schemas.openxmlformats.org/officeDocument/2006/relationships/hyperlink" Target="https://audio.iskcondesiretree.com/01_-_Srila_Prabhupada/01_-_Lectures/01_-_English/02_-_Month_wise/05_-_May/23/SB_1-05-02_NV_1969-05-23_Don%27t_Change_Activities_etc.mp3" TargetMode="External"/><Relationship Id="rId434" Type="http://schemas.openxmlformats.org/officeDocument/2006/relationships/hyperlink" Target="https://audio.iskcondesiretree.com/01_-_Srila_Prabhupada/01_-_Lectures/01_-_English/01_-_Topic_wise/Srimad_Bhagavatam/Canto-01/SP_SB_1-05-02_New_Vrindavan_1969-05-23_Don%27t_Change_Activities...--etc.mp3" TargetMode="External"/><Relationship Id="rId439" Type="http://schemas.openxmlformats.org/officeDocument/2006/relationships/hyperlink" Target="https://audio.iskcondesiretree.com/01_-_Srila_Prabhupada/01_-_Lectures/01_-_English/02_-_Month_wise/06_-_June/04/Lect_NV_1969-06-04_Initiation-This_World_Is_Hong_Kong_Flu.mp3" TargetMode="External"/><Relationship Id="rId438" Type="http://schemas.openxmlformats.org/officeDocument/2006/relationships/hyperlink" Target="https://audio.iskcondesiretree.com/01_-_Srila_Prabhupada/01_-_Lectures/01_-_English/01_-_Topic_wise/Various/SP_Lecture_New_Vrindavan_1969-06-04_Initiation--This_World_Is_Hong_Kong_Flu.mp3" TargetMode="External"/><Relationship Id="rId433" Type="http://schemas.openxmlformats.org/officeDocument/2006/relationships/hyperlink" Target="https://audio.iskcondesiretree.com/01_-_Srila_Prabhupada/01_-_Lectures/01_-_English/02_-_Month_wise/05_-_May/14/RC_COL_1969-05-14_Allen_Ginsberg-The_Senses_Come_to_etc.mp3" TargetMode="External"/><Relationship Id="rId5622" Type="http://schemas.openxmlformats.org/officeDocument/2006/relationships/hyperlink" Target="https://audio.iskcondesiretree.com/01_-_Srila_Prabhupada/01_-_Lectures/01_-_English/02_-_Month_wise/01_-_January/23/Darshan_1977-01-23_ED-BHUBANESWAR.MP3" TargetMode="External"/><Relationship Id="rId432" Type="http://schemas.openxmlformats.org/officeDocument/2006/relationships/hyperlink" Target="https://audio.iskcondesiretree.com/01_-_Srila_Prabhupada/01_-_Lectures/01_-_English/02_-_Month_wise/05_-_May/14/Lect_COL_1969-05-14_Caste_System_Cast_Out.mp3" TargetMode="External"/><Relationship Id="rId5623" Type="http://schemas.openxmlformats.org/officeDocument/2006/relationships/hyperlink" Target="https://audio.iskcondesiretree.com/01_-_Srila_Prabhupada/01_-_Lectures/01_-_English/02_-_Month_wise/01_-_January/23/Lect_BHU_1977-01-23_You_Can_Become_Greatest_Devotee.mp3" TargetMode="External"/><Relationship Id="rId431" Type="http://schemas.openxmlformats.org/officeDocument/2006/relationships/hyperlink" Target="https://audio.iskcondesiretree.com/01_-_Srila_Prabhupada/01_-_Lectures/01_-_English/01_-_Topic_wise/Various/SP_Lecture_Columbus_1969-05-14_Caste_System_Cast_Out.mp3" TargetMode="External"/><Relationship Id="rId5620" Type="http://schemas.openxmlformats.org/officeDocument/2006/relationships/hyperlink" Target="https://audio.iskcondesiretree.com/01_-_Srila_Prabhupada/01_-_Lectures/01_-_English/02_-_Month_wise/01_-_January/23/Conv_1977-01-23_R1-BHUBANESWAR.MP3" TargetMode="External"/><Relationship Id="rId430" Type="http://schemas.openxmlformats.org/officeDocument/2006/relationships/hyperlink" Target="https://audio.iskcondesiretree.com/01_-_Srila_Prabhupada/01_-_Lectures/01_-_English/01_-_Topic_wise/Room_Conversation/SP_Room_Conversation_Columbus_1969-05-14_Allen_Ginsberg--The_Senses_Come_to--etc.mp3" TargetMode="External"/><Relationship Id="rId5621" Type="http://schemas.openxmlformats.org/officeDocument/2006/relationships/hyperlink" Target="https://audio.iskcondesiretree.com/01_-_Srila_Prabhupada/01_-_Lectures/01_-_English/02_-_Month_wise/01_-_January/23/Conv_1977-01-23_R2-BHUBANESWAR.MP3" TargetMode="External"/><Relationship Id="rId6108" Type="http://schemas.openxmlformats.org/officeDocument/2006/relationships/hyperlink" Target="https://audio.iskcondesiretree.com/01_-_Srila_Prabhupada/01_-_Lectures/01_-_English/01_-_Topic_wise/Krishna_Book/SP_Krsna_Book_Dict_74_-_The_Deliverance_of_Sisupala.mp3" TargetMode="External"/><Relationship Id="rId6109" Type="http://schemas.openxmlformats.org/officeDocument/2006/relationships/hyperlink" Target="https://audio.iskcondesiretree.com/01_-_Srila_Prabhupada/01_-_Lectures/01_-_English/01_-_Topic_wise/Krishna_Book/SP_Krsna_Book_Dict_75_-_Why_Duryodhana_Felt_Insulted.mp3" TargetMode="External"/><Relationship Id="rId6102" Type="http://schemas.openxmlformats.org/officeDocument/2006/relationships/hyperlink" Target="https://audio.iskcondesiretree.com/01_-_Srila_Prabhupada/01_-_Lectures/01_-_English/01_-_Topic_wise/Krishna_Book/SP_Krsna_Book_Dict_62_-_The_Meeting_of_Usa_and_Anirudha.mp3" TargetMode="External"/><Relationship Id="rId6103" Type="http://schemas.openxmlformats.org/officeDocument/2006/relationships/hyperlink" Target="https://audio.iskcondesiretree.com/01_-_Srila_Prabhupada/01_-_Lectures/01_-_English/01_-_Topic_wise/Krishna_Book/SP_Krsna_Book_Dict_63_-_Krishna_Fights_with_Banasura.mp3" TargetMode="External"/><Relationship Id="rId6100" Type="http://schemas.openxmlformats.org/officeDocument/2006/relationships/hyperlink" Target="https://audio.iskcondesiretree.com/01_-_Srila_Prabhupada/01_-_Lectures/01_-_English/01_-_Topic_wise/Krishna_Book/SP_Krsna_Book_Dict_56_-_The_Story_of_the_Syamantaka_Jewel.mp3" TargetMode="External"/><Relationship Id="rId6101" Type="http://schemas.openxmlformats.org/officeDocument/2006/relationships/hyperlink" Target="https://audio.iskcondesiretree.com/01_-_Srila_Prabhupada/01_-_Lectures/01_-_English/01_-_Topic_wise/Krishna_Book/SP_Krsna_Book_Dict_57_-_The_Killing_Satrajit_%26_Satadhanva.mp3" TargetMode="External"/><Relationship Id="rId6106" Type="http://schemas.openxmlformats.org/officeDocument/2006/relationships/hyperlink" Target="https://audio.iskcondesiretree.com/01_-_Srila_Prabhupada/01_-_Lectures/01_-_English/01_-_Topic_wise/Krishna_Book/SP_Krsna_Book_Dict_72_-_The_Liberation_of_King_Jarasandha.mp3" TargetMode="External"/><Relationship Id="rId6107" Type="http://schemas.openxmlformats.org/officeDocument/2006/relationships/hyperlink" Target="https://audio.iskcondesiretree.com/01_-_Srila_Prabhupada/01_-_Lectures/01_-_English/01_-_Topic_wise/Krishna_Book/SP_Krsna_Book_Dict_73_-_Krishna_Returns_To_Hastinapura.mp3" TargetMode="External"/><Relationship Id="rId6104" Type="http://schemas.openxmlformats.org/officeDocument/2006/relationships/hyperlink" Target="https://audio.iskcondesiretree.com/01_-_Srila_Prabhupada/01_-_Lectures/01_-_English/01_-_Topic_wise/Krishna_Book/SP_Krsna_Book_Dict_64_-_The_Story_of_King_Nrga.mp3" TargetMode="External"/><Relationship Id="rId6105" Type="http://schemas.openxmlformats.org/officeDocument/2006/relationships/hyperlink" Target="https://audio.iskcondesiretree.com/01_-_Srila_Prabhupada/01_-_Lectures/01_-_English/01_-_Topic_wise/Krishna_Book/SP_Krsna_Book_Dict_65_-_Lord_Balarama_Visits_Vrindavan.mp3" TargetMode="External"/><Relationship Id="rId6120" Type="http://schemas.openxmlformats.org/officeDocument/2006/relationships/hyperlink" Target="https://audio.iskcondesiretree.com/01_-_Srila_Prabhupada/01_-_Lectures/01_-_English/01_-_Topic_wise/Krishna_Book/SP_Krsna_Book_Dict_86_-_The_Kidnapping_of_Subhadra.mp3" TargetMode="External"/><Relationship Id="rId6121" Type="http://schemas.openxmlformats.org/officeDocument/2006/relationships/hyperlink" Target="https://audio.iskcondesiretree.com/01_-_Srila_Prabhupada/01_-_Lectures/01_-_English/01_-_Topic_wise/Krishna_Book/SP_Krsna_Book_Dict_87_-_Prayers_by_the_Personified_Vedas.mp3" TargetMode="External"/><Relationship Id="rId6124" Type="http://schemas.openxmlformats.org/officeDocument/2006/relationships/hyperlink" Target="https://audio.iskcondesiretree.com/01_-_Srila_Prabhupada/01_-_Lectures/01_-_English/01_-_Topic_wise/Krishna_Book/SP_Krsna_Book_Dict_90_-_Summary_Description.mp3" TargetMode="External"/><Relationship Id="rId6125" Type="http://schemas.openxmlformats.org/officeDocument/2006/relationships/hyperlink" Target="https://audio.iskcondesiretree.com/01_-_Srila_Prabhupada/01_-_Lectures/01_-_English/01_-_Topic_wise/Stories/SP_Story_01_Introduction.mp3" TargetMode="External"/><Relationship Id="rId6122" Type="http://schemas.openxmlformats.org/officeDocument/2006/relationships/hyperlink" Target="https://audio.iskcondesiretree.com/01_-_Srila_Prabhupada/01_-_Lectures/01_-_English/01_-_Topic_wise/Krishna_Book/SP_Krsna_Book_Dict_88_-_The_Deliverance_of_Lord_Shiva.mp3" TargetMode="External"/><Relationship Id="rId6123" Type="http://schemas.openxmlformats.org/officeDocument/2006/relationships/hyperlink" Target="https://audio.iskcondesiretree.com/01_-_Srila_Prabhupada/01_-_Lectures/01_-_English/01_-_Topic_wise/Krishna_Book/SP_Krsna_Book_Dict_89_-_The_Superexcellent_Power_of_Krishna.mp3" TargetMode="External"/><Relationship Id="rId6128" Type="http://schemas.openxmlformats.org/officeDocument/2006/relationships/hyperlink" Target="https://audio.iskcondesiretree.com/01_-_Srila_Prabhupada/01_-_Lectures/01_-_English/01_-_Topic_wise/Stories/SP_Story_04_Arjunacarya.mp3" TargetMode="External"/><Relationship Id="rId6129" Type="http://schemas.openxmlformats.org/officeDocument/2006/relationships/hyperlink" Target="https://audio.iskcondesiretree.com/01_-_Srila_Prabhupada/01_-_Lectures/01_-_English/01_-_Topic_wise/Stories/SP_Story_05_Bilvamangala_Thakura.mp3" TargetMode="External"/><Relationship Id="rId6126" Type="http://schemas.openxmlformats.org/officeDocument/2006/relationships/hyperlink" Target="https://audio.iskcondesiretree.com/01_-_Srila_Prabhupada/01_-_Lectures/01_-_English/01_-_Topic_wise/Stories/SP_Story_02_Again_become_mouse.mp3" TargetMode="External"/><Relationship Id="rId6127" Type="http://schemas.openxmlformats.org/officeDocument/2006/relationships/hyperlink" Target="https://audio.iskcondesiretree.com/01_-_Srila_Prabhupada/01_-_Lectures/01_-_English/01_-_Topic_wise/Stories/SP_Story_03_Alexander_the_Great.mp3" TargetMode="External"/><Relationship Id="rId6119" Type="http://schemas.openxmlformats.org/officeDocument/2006/relationships/hyperlink" Target="https://audio.iskcondesiretree.com/01_-_Srila_Prabhupada/01_-_Lectures/01_-_English/01_-_Topic_wise/Krishna_Book/SP_Krsna_Book_Dict_85_-_Instructions_For_Vasudeva.mp3" TargetMode="External"/><Relationship Id="rId6110" Type="http://schemas.openxmlformats.org/officeDocument/2006/relationships/hyperlink" Target="https://audio.iskcondesiretree.com/01_-_Srila_Prabhupada/01_-_Lectures/01_-_English/01_-_Topic_wise/Krishna_Book/SP_Krsna_Book_Dict_76_-_Battle_Between_Salva_and_the_Yadus.mp3" TargetMode="External"/><Relationship Id="rId6113" Type="http://schemas.openxmlformats.org/officeDocument/2006/relationships/hyperlink" Target="https://audio.iskcondesiretree.com/01_-_Srila_Prabhupada/01_-_Lectures/01_-_English/01_-_Topic_wise/Krishna_Book/SP_Krsna_Book_Dict_79_-_The_Liberation_of_Balvala.mp3" TargetMode="External"/><Relationship Id="rId6114" Type="http://schemas.openxmlformats.org/officeDocument/2006/relationships/hyperlink" Target="https://audio.iskcondesiretree.com/01_-_Srila_Prabhupada/01_-_Lectures/01_-_English/01_-_Topic_wise/Krishna_Book/SP_Krsna_Book_Dict_80_-_The_Meeting_of_Krishna_with_Sudama.mp3" TargetMode="External"/><Relationship Id="rId6111" Type="http://schemas.openxmlformats.org/officeDocument/2006/relationships/hyperlink" Target="https://audio.iskcondesiretree.com/01_-_Srila_Prabhupada/01_-_Lectures/01_-_English/01_-_Topic_wise/Krishna_Book/SP_Krsna_Book_Dict_77_-_The_Deliverance_of_Salva.mp3" TargetMode="External"/><Relationship Id="rId6112" Type="http://schemas.openxmlformats.org/officeDocument/2006/relationships/hyperlink" Target="https://audio.iskcondesiretree.com/01_-_Srila_Prabhupada/01_-_Lectures/01_-_English/01_-_Topic_wise/Krishna_Book/SP_Krsna_Book_Dict_78_-_Killing_Dantavakra_and_Viduratha.mp3" TargetMode="External"/><Relationship Id="rId6117" Type="http://schemas.openxmlformats.org/officeDocument/2006/relationships/hyperlink" Target="https://audio.iskcondesiretree.com/01_-_Srila_Prabhupada/01_-_Lectures/01_-_English/01_-_Topic_wise/Krishna_Book/SP_Krsna_Book_Dict_83_-_Draupadi_Meets_Krishna%27s_Queens.mp3" TargetMode="External"/><Relationship Id="rId6118" Type="http://schemas.openxmlformats.org/officeDocument/2006/relationships/hyperlink" Target="https://audio.iskcondesiretree.com/01_-_Srila_Prabhupada/01_-_Lectures/01_-_English/01_-_Topic_wise/Krishna_Book/SP_Krsna_Book_Dict_84_-_The_Sacrifices_Performed_by_Vasudeva.mp3" TargetMode="External"/><Relationship Id="rId6115" Type="http://schemas.openxmlformats.org/officeDocument/2006/relationships/hyperlink" Target="https://audio.iskcondesiretree.com/01_-_Srila_Prabhupada/01_-_Lectures/01_-_English/01_-_Topic_wise/Krishna_Book/SP_Krsna_Book_Dict_81_-_Brahmana_Sudama_Benedicted.mp3" TargetMode="External"/><Relationship Id="rId6116" Type="http://schemas.openxmlformats.org/officeDocument/2006/relationships/hyperlink" Target="https://audio.iskcondesiretree.com/01_-_Srila_Prabhupada/01_-_Lectures/01_-_English/01_-_Topic_wise/Krishna_Book/SP_Krsna_Book_Dict_82_-_Meeting_the_Inhabitants_of_Vrindavan.mp3" TargetMode="External"/><Relationship Id="rId1" Type="http://schemas.openxmlformats.org/officeDocument/2006/relationships/hyperlink" Target="https://audio.iskcondesiretree.com/01_-_Srila_Prabhupada/01_-_Lectures/01_-_English/01_-_Topic_wise/Bhagavad_Gita/More/SP_BG_00-01_New_York_1966-02-19_-20_Intro_1_to_Bhagavad_Gita.mp3" TargetMode="External"/><Relationship Id="rId2" Type="http://schemas.openxmlformats.org/officeDocument/2006/relationships/hyperlink" Target="https://audio.iskcondesiretree.com/01_-_Srila_Prabhupada/01_-_Lectures/01_-_English/01_-_Topic_wise/Bhagavad_Gita/More/SP_BG_00-02_New_York_1966-02-19_-20_Intro_2_to_Bhagavad_Gita.mp3" TargetMode="External"/><Relationship Id="rId3" Type="http://schemas.openxmlformats.org/officeDocument/2006/relationships/hyperlink" Target="https://audio.iskcondesiretree.com/01_-_Srila_Prabhupada/01_-_Lectures/01_-_English/01_-_Topic_wise/Bhagavad_Gita/More/SP_BG_00-03_New_York_1966-02-19_-20_Intro_3_to_Bhagavad_Gita.mp3" TargetMode="External"/><Relationship Id="rId4" Type="http://schemas.openxmlformats.org/officeDocument/2006/relationships/hyperlink" Target="https://audio.iskcondesiretree.com/01_-_Srila_Prabhupada/01_-_Lectures/01_-_English/02_-_Month_wise/02_-_Feburary/19/Bg_00-01_NY_1966-02-19_20_Intro_1--_to_Bhagavad_Gita.mp3" TargetMode="External"/><Relationship Id="rId9" Type="http://schemas.openxmlformats.org/officeDocument/2006/relationships/hyperlink" Target="https://audio.iskcondesiretree.com/01_-_Srila_Prabhupada/01_-_Lectures/01_-_English/02_-_Month_wise/03_-_March/02/Bg_02-07_NY_1966-03-02_Part_2_The_Unavoidable_Battle_etc.mp3" TargetMode="External"/><Relationship Id="rId5" Type="http://schemas.openxmlformats.org/officeDocument/2006/relationships/hyperlink" Target="https://audio.iskcondesiretree.com/01_-_Srila_Prabhupada/01_-_Lectures/01_-_English/02_-_Month_wise/02_-_Feburary/19/Bg_00-02_NY_1966-02-19_20_Intro_2--_to_Bhagavad_Gita.mp3" TargetMode="External"/><Relationship Id="rId6" Type="http://schemas.openxmlformats.org/officeDocument/2006/relationships/hyperlink" Target="https://audio.iskcondesiretree.com/01_-_Srila_Prabhupada/01_-_Lectures/01_-_English/02_-_Month_wise/02_-_Feburary/19/Bg_00-03_NY_1966-02-19_20_Intro_3--_to_Bhagavad_Gita.mp3" TargetMode="External"/><Relationship Id="rId7" Type="http://schemas.openxmlformats.org/officeDocument/2006/relationships/hyperlink" Target="https://audio.iskcondesiretree.com/01_-_Srila_Prabhupada/01_-_Lectures/01_-_English/01_-_Topic_wise/Bhagavad_Gita/Chapter-02/SP_BG_02-07-11_New_York_1966-03-02-The_Unavoidable_Battle--etc.mp3" TargetMode="External"/><Relationship Id="rId8" Type="http://schemas.openxmlformats.org/officeDocument/2006/relationships/hyperlink" Target="https://audio.iskcondesiretree.com/01_-_Srila_Prabhupada/01_-_Lectures/01_-_English/02_-_Month_wise/03_-_March/02/Bg_02-07_NY_1966-03-02_Part_1_The_Unavoidable_Battle_etc.mp3" TargetMode="External"/><Relationship Id="rId3911" Type="http://schemas.openxmlformats.org/officeDocument/2006/relationships/hyperlink" Target="https://audio.iskcondesiretree.com/01_-_Srila_Prabhupada/01_-_Lectures/01_-_English/02_-_Month_wise/10_-_October/25/Walk_1975-10-25_MW-MAURITIUS.MP3" TargetMode="External"/><Relationship Id="rId3910" Type="http://schemas.openxmlformats.org/officeDocument/2006/relationships/hyperlink" Target="https://audio.iskcondesiretree.com/01_-_Srila_Prabhupada/01_-_Lectures/01_-_English/02_-_Month_wise/10_-_October/22/SB_5-05-02_JOH_1975-10-22_Get_Out_of_Material_Disease.mp3" TargetMode="External"/><Relationship Id="rId3913" Type="http://schemas.openxmlformats.org/officeDocument/2006/relationships/hyperlink" Target="https://audio.iskcondesiretree.com/01_-_Srila_Prabhupada/01_-_Lectures/01_-_English/02_-_Month_wise/10_-_October/26/SB-03-28-17_1975-10-26_SB-NAIROBI.MP3" TargetMode="External"/><Relationship Id="rId3912" Type="http://schemas.openxmlformats.org/officeDocument/2006/relationships/hyperlink" Target="https://audio.iskcondesiretree.com/01_-_Srila_Prabhupada/01_-_Lectures/01_-_English/01_-_Topic_wise/Srimad_Bhagavatam/Canto-03/SP_SB_3-28-17_Nairobi_1975-10-26_I_Must_Love_Krishna.mp3" TargetMode="External"/><Relationship Id="rId3915" Type="http://schemas.openxmlformats.org/officeDocument/2006/relationships/hyperlink" Target="https://audio.iskcondesiretree.com/01_-_Srila_Prabhupada/01_-_Lectures/01_-_English/02_-_Month_wise/10_-_October/26/Walk_1975-10-26_MW-MAURITIUS.MP3" TargetMode="External"/><Relationship Id="rId3914" Type="http://schemas.openxmlformats.org/officeDocument/2006/relationships/hyperlink" Target="https://audio.iskcondesiretree.com/01_-_Srila_Prabhupada/01_-_Lectures/01_-_English/02_-_Month_wise/10_-_October/26/SB_3-28-17_NAI_1975-10-26_I_Must_Love_Krishna.mp3" TargetMode="External"/><Relationship Id="rId3917" Type="http://schemas.openxmlformats.org/officeDocument/2006/relationships/hyperlink" Target="https://audio.iskcondesiretree.com/01_-_Srila_Prabhupada/01_-_Lectures/01_-_English/01_-_Topic_wise/Srimad_Bhagavatam/Canto-03/SP_SB_3-12-18_Nairobi_1975-10-27_Stay_Under_Krishna%27s_Protection.mp3" TargetMode="External"/><Relationship Id="rId3916" Type="http://schemas.openxmlformats.org/officeDocument/2006/relationships/hyperlink" Target="https://audio.iskcondesiretree.com/01_-_Srila_Prabhupada/01_-_Lectures/01_-_English/01_-_Topic_wise/Bhagavad_Gita/Chapter-07/SP_BG_07-01_Nairobi_1975-10-27_Always_Think_of_Krishna.mp3" TargetMode="External"/><Relationship Id="rId3919" Type="http://schemas.openxmlformats.org/officeDocument/2006/relationships/hyperlink" Target="https://audio.iskcondesiretree.com/01_-_Srila_Prabhupada/01_-_Lectures/01_-_English/02_-_Month_wise/10_-_October/27/Bg_07-01_NAI_1975-10-27_Always_Think_of_Krishna.mp3" TargetMode="External"/><Relationship Id="rId3918" Type="http://schemas.openxmlformats.org/officeDocument/2006/relationships/hyperlink" Target="https://audio.iskcondesiretree.com/01_-_Srila_Prabhupada/01_-_Lectures/01_-_English/02_-_Month_wise/10_-_October/27/Bg-07-01_1975-10-27_BG-NAIROBI.MP3" TargetMode="External"/><Relationship Id="rId6190" Type="http://schemas.openxmlformats.org/officeDocument/2006/relationships/hyperlink" Target="https://audio.iskcondesiretree.com/01_-_Srila_Prabhupada/01_-_Lectures/03_-_Hindi/SP_Hindi_18_Lectures_%26_Conversations.mp3" TargetMode="External"/><Relationship Id="rId6182" Type="http://schemas.openxmlformats.org/officeDocument/2006/relationships/hyperlink" Target="https://audio.iskcondesiretree.com/01_-_Srila_Prabhupada/01_-_Lectures/03_-_Hindi/SP_Hindi_10_Lectures_%26_Conversations.mp3" TargetMode="External"/><Relationship Id="rId6183" Type="http://schemas.openxmlformats.org/officeDocument/2006/relationships/hyperlink" Target="https://audio.iskcondesiretree.com/01_-_Srila_Prabhupada/01_-_Lectures/03_-_Hindi/SP_Hindi_11_Lectures_%26_Conversations.mp3" TargetMode="External"/><Relationship Id="rId6180" Type="http://schemas.openxmlformats.org/officeDocument/2006/relationships/hyperlink" Target="https://audio.iskcondesiretree.com/01_-_Srila_Prabhupada/01_-_Lectures/03_-_Hindi/SP_Hindi_08_Lectures_%26_Conversations.mp3" TargetMode="External"/><Relationship Id="rId6181" Type="http://schemas.openxmlformats.org/officeDocument/2006/relationships/hyperlink" Target="https://audio.iskcondesiretree.com/01_-_Srila_Prabhupada/01_-_Lectures/03_-_Hindi/SP_Hindi_09_Lectures_%26_Conversations.mp3" TargetMode="External"/><Relationship Id="rId6186" Type="http://schemas.openxmlformats.org/officeDocument/2006/relationships/hyperlink" Target="https://audio.iskcondesiretree.com/01_-_Srila_Prabhupada/01_-_Lectures/03_-_Hindi/SP_Hindi_14_Lectures_%26_Conversations.mp3" TargetMode="External"/><Relationship Id="rId6187" Type="http://schemas.openxmlformats.org/officeDocument/2006/relationships/hyperlink" Target="https://audio.iskcondesiretree.com/01_-_Srila_Prabhupada/01_-_Lectures/03_-_Hindi/SP_Hindi_15_Lectures_%26_Conversations.mp3" TargetMode="External"/><Relationship Id="rId6184" Type="http://schemas.openxmlformats.org/officeDocument/2006/relationships/hyperlink" Target="https://audio.iskcondesiretree.com/01_-_Srila_Prabhupada/01_-_Lectures/03_-_Hindi/SP_Hindi_12_Lectures_%26_Conversations.mp3" TargetMode="External"/><Relationship Id="rId6185" Type="http://schemas.openxmlformats.org/officeDocument/2006/relationships/hyperlink" Target="https://audio.iskcondesiretree.com/01_-_Srila_Prabhupada/01_-_Lectures/03_-_Hindi/SP_Hindi_13_Lectures_%26_Conversations.mp3" TargetMode="External"/><Relationship Id="rId6188" Type="http://schemas.openxmlformats.org/officeDocument/2006/relationships/hyperlink" Target="https://audio.iskcondesiretree.com/01_-_Srila_Prabhupada/01_-_Lectures/03_-_Hindi/SP_Hindi_16_Lectures_%26_Conversations.mp3" TargetMode="External"/><Relationship Id="rId6189" Type="http://schemas.openxmlformats.org/officeDocument/2006/relationships/hyperlink" Target="https://audio.iskcondesiretree.com/01_-_Srila_Prabhupada/01_-_Lectures/03_-_Hindi/SP_Hindi_17_Lectures_%26_Conversations.mp3" TargetMode="External"/><Relationship Id="rId3900" Type="http://schemas.openxmlformats.org/officeDocument/2006/relationships/hyperlink" Target="https://audio.iskcondesiretree.com/01_-_Srila_Prabhupada/01_-_Lectures/01_-_English/02_-_Month_wise/10_-_October/20/SB_5-05-01_JOH_1975-10-20_The_Natural_World_Unnatural.mp3" TargetMode="External"/><Relationship Id="rId3902" Type="http://schemas.openxmlformats.org/officeDocument/2006/relationships/hyperlink" Target="https://audio.iskcondesiretree.com/01_-_Srila_Prabhupada/01_-_Lectures/01_-_English/01_-_Topic_wise/Morning_Walk/SP_Morning_Walk_-_Johannesburg_1975-10-21_Abortionists-Kick_Them_in_Nose.mp3" TargetMode="External"/><Relationship Id="rId3901" Type="http://schemas.openxmlformats.org/officeDocument/2006/relationships/hyperlink" Target="https://audio.iskcondesiretree.com/01_-_Srila_Prabhupada/01_-_Lectures/01_-_English/02_-_Month_wise/10_-_October/20/Walk_1975-10-20_MW-JOHANNESBURG.MP3" TargetMode="External"/><Relationship Id="rId3904" Type="http://schemas.openxmlformats.org/officeDocument/2006/relationships/hyperlink" Target="https://audio.iskcondesiretree.com/01_-_Srila_Prabhupada/01_-_Lectures/01_-_English/02_-_Month_wise/10_-_October/21/Conv_1975-10-21_R1-JOHANNESBURG.MP3" TargetMode="External"/><Relationship Id="rId3903" Type="http://schemas.openxmlformats.org/officeDocument/2006/relationships/hyperlink" Target="https://audio.iskcondesiretree.com/01_-_Srila_Prabhupada/01_-_Lectures/01_-_English/01_-_Topic_wise/Room_Conversation/SP_Room_Conversation_Johannesburg_1975-10-21_Border_Between_Matter_%26_Spirit.mp3" TargetMode="External"/><Relationship Id="rId3906" Type="http://schemas.openxmlformats.org/officeDocument/2006/relationships/hyperlink" Target="https://audio.iskcondesiretree.com/01_-_Srila_Prabhupada/01_-_Lectures/01_-_English/02_-_Month_wise/10_-_October/21/RC_JOH_1975-10-21_Border_Between_Matter_%26_Spirit.mp3" TargetMode="External"/><Relationship Id="rId3905" Type="http://schemas.openxmlformats.org/officeDocument/2006/relationships/hyperlink" Target="https://audio.iskcondesiretree.com/01_-_Srila_Prabhupada/01_-_Lectures/01_-_English/02_-_Month_wise/10_-_October/21/MW_JOH_1975-10-21_Abortionists-Kick_Them_in_Nose.mp3" TargetMode="External"/><Relationship Id="rId3908" Type="http://schemas.openxmlformats.org/officeDocument/2006/relationships/hyperlink" Target="https://audio.iskcondesiretree.com/01_-_Srila_Prabhupada/01_-_Lectures/01_-_English/01_-_Topic_wise/Srimad_Bhagavatam/Canto-05/SP_SB_5-05-02_Johannesburg_1975-10-22_Get_Out_of_Material_Disease.mp3" TargetMode="External"/><Relationship Id="rId3907" Type="http://schemas.openxmlformats.org/officeDocument/2006/relationships/hyperlink" Target="https://audio.iskcondesiretree.com/01_-_Srila_Prabhupada/01_-_Lectures/01_-_English/02_-_Month_wise/10_-_October/21/Walk_1975-10-21_MW-JOHANNESBURG.MP3" TargetMode="External"/><Relationship Id="rId3909" Type="http://schemas.openxmlformats.org/officeDocument/2006/relationships/hyperlink" Target="https://audio.iskcondesiretree.com/01_-_Srila_Prabhupada/01_-_Lectures/01_-_English/02_-_Month_wise/10_-_October/22/SB-05-05-02_1975-10-22_SB-JOHANNESBURG.MP3" TargetMode="External"/><Relationship Id="rId6171" Type="http://schemas.openxmlformats.org/officeDocument/2006/relationships/hyperlink" Target="https://audio.iskcondesiretree.com/01_-_Srila_Prabhupada/01_-_Lectures/01_-_English/02_-_Month_wise/10_-_October/07/SB-01-07-49%E2%80%9350_761007SB-VRNDAVAN.MP3" TargetMode="External"/><Relationship Id="rId6172" Type="http://schemas.openxmlformats.org/officeDocument/2006/relationships/hyperlink" Target="https://audio.iskcondesiretree.com/01_-_Srila_Prabhupada/01_-_Lectures/02_-_Bengali/01_-_General_Lecture.mp3" TargetMode="External"/><Relationship Id="rId6170" Type="http://schemas.openxmlformats.org/officeDocument/2006/relationships/hyperlink" Target="https://audio.iskcondesiretree.com/01_-_Srila_Prabhupada/01_-_Lectures/01_-_English/01_-_Topic_wise/Stories/SP_Story_46_Simply_wonderful.mp3" TargetMode="External"/><Relationship Id="rId6175" Type="http://schemas.openxmlformats.org/officeDocument/2006/relationships/hyperlink" Target="https://audio.iskcondesiretree.com/01_-_Srila_Prabhupada/01_-_Lectures/03_-_Hindi/SP_Hindi_03_Lectures_%26_Conversations.mp3" TargetMode="External"/><Relationship Id="rId6176" Type="http://schemas.openxmlformats.org/officeDocument/2006/relationships/hyperlink" Target="https://audio.iskcondesiretree.com/01_-_Srila_Prabhupada/01_-_Lectures/03_-_Hindi/SP_Hindi_04_Lectures_%26_Conversations.mp3" TargetMode="External"/><Relationship Id="rId6173" Type="http://schemas.openxmlformats.org/officeDocument/2006/relationships/hyperlink" Target="https://audio.iskcondesiretree.com/01_-_Srila_Prabhupada/01_-_Lectures/03_-_Hindi/SP_Hindi_01_Lectures_%26_Conversations.mp3" TargetMode="External"/><Relationship Id="rId6174" Type="http://schemas.openxmlformats.org/officeDocument/2006/relationships/hyperlink" Target="https://audio.iskcondesiretree.com/01_-_Srila_Prabhupada/01_-_Lectures/03_-_Hindi/SP_Hindi_02_Lectures_%26_Conversations.mp3" TargetMode="External"/><Relationship Id="rId6179" Type="http://schemas.openxmlformats.org/officeDocument/2006/relationships/hyperlink" Target="https://audio.iskcondesiretree.com/01_-_Srila_Prabhupada/01_-_Lectures/03_-_Hindi/SP_Hindi_07_Lectures_%26_Conversations.mp3" TargetMode="External"/><Relationship Id="rId6177" Type="http://schemas.openxmlformats.org/officeDocument/2006/relationships/hyperlink" Target="https://audio.iskcondesiretree.com/01_-_Srila_Prabhupada/01_-_Lectures/03_-_Hindi/SP_Hindi_05_Lectures_%26_Conversations.mp3" TargetMode="External"/><Relationship Id="rId6178" Type="http://schemas.openxmlformats.org/officeDocument/2006/relationships/hyperlink" Target="https://audio.iskcondesiretree.com/01_-_Srila_Prabhupada/01_-_Lectures/03_-_Hindi/SP_Hindi_06_Lectures_%26_Conversations.mp3" TargetMode="External"/><Relationship Id="rId3931" Type="http://schemas.openxmlformats.org/officeDocument/2006/relationships/hyperlink" Target="https://audio.iskcondesiretree.com/01_-_Srila_Prabhupada/01_-_Lectures/01_-_English/02_-_Month_wise/10_-_October/29/Bg_07-03_NAI_1975-10-29_Everyone_Here_Is_a_Fool_Number_One.mp3" TargetMode="External"/><Relationship Id="rId2600" Type="http://schemas.openxmlformats.org/officeDocument/2006/relationships/hyperlink" Target="https://audio.iskcondesiretree.com/01_-_Srila_Prabhupada/01_-_Lectures/01_-_English/01_-_Topic_wise/Srimad_Bhagavatam/Canto-03/SP_SB_3-25-43_Bombay_1974-12-11_New_Orleans_More_Fear.mp3" TargetMode="External"/><Relationship Id="rId3930" Type="http://schemas.openxmlformats.org/officeDocument/2006/relationships/hyperlink" Target="https://audio.iskcondesiretree.com/01_-_Srila_Prabhupada/01_-_Lectures/01_-_English/02_-_Month_wise/10_-_October/29/Bg-07-03_1975-10-29_BG-NAIROBI.MP3" TargetMode="External"/><Relationship Id="rId2601" Type="http://schemas.openxmlformats.org/officeDocument/2006/relationships/hyperlink" Target="https://audio.iskcondesiretree.com/01_-_Srila_Prabhupada/01_-_Lectures/01_-_English/02_-_Month_wise/12_-_December/11/SB-03-25-43_1974-12-11_SB-BOMBAY.MP3" TargetMode="External"/><Relationship Id="rId3933" Type="http://schemas.openxmlformats.org/officeDocument/2006/relationships/hyperlink" Target="https://audio.iskcondesiretree.com/01_-_Srila_Prabhupada/01_-_Lectures/01_-_English/02_-_Month_wise/10_-_October/29/Conv_1975-10-29_R2-NAIROBI.MP3" TargetMode="External"/><Relationship Id="rId2602" Type="http://schemas.openxmlformats.org/officeDocument/2006/relationships/hyperlink" Target="https://audio.iskcondesiretree.com/01_-_Srila_Prabhupada/01_-_Lectures/01_-_English/02_-_Month_wise/12_-_December/11/SB_3-25-43_BOM_1974-12-11_No_More_Fear.mp3" TargetMode="External"/><Relationship Id="rId3932" Type="http://schemas.openxmlformats.org/officeDocument/2006/relationships/hyperlink" Target="https://audio.iskcondesiretree.com/01_-_Srila_Prabhupada/01_-_Lectures/01_-_English/02_-_Month_wise/10_-_October/29/Conv_1975-10-29_R1-NAIROBI.MP3" TargetMode="External"/><Relationship Id="rId2603" Type="http://schemas.openxmlformats.org/officeDocument/2006/relationships/hyperlink" Target="https://audio.iskcondesiretree.com/01_-_Srila_Prabhupada/01_-_Lectures/01_-_English/01_-_Topic_wise/Srimad_Bhagavatam/Canto-03/SP_SB_3-25-44_Bombay_1974-12-12_New_Orleans_Water_in_the_Desert.mp3" TargetMode="External"/><Relationship Id="rId3935" Type="http://schemas.openxmlformats.org/officeDocument/2006/relationships/hyperlink" Target="https://audio.iskcondesiretree.com/01_-_Srila_Prabhupada/01_-_Lectures/01_-_English/02_-_Month_wise/10_-_October/29/SB-03-28-19_1975-10-29_SB-NAIROBI.MP3" TargetMode="External"/><Relationship Id="rId2604" Type="http://schemas.openxmlformats.org/officeDocument/2006/relationships/hyperlink" Target="https://audio.iskcondesiretree.com/01_-_Srila_Prabhupada/01_-_Lectures/01_-_English/02_-_Month_wise/12_-_December/12/SB-03-25-44_1974-12-12_SB-BOMBAY.MP3" TargetMode="External"/><Relationship Id="rId3934" Type="http://schemas.openxmlformats.org/officeDocument/2006/relationships/hyperlink" Target="https://audio.iskcondesiretree.com/01_-_Srila_Prabhupada/01_-_Lectures/01_-_English/02_-_Month_wise/10_-_October/29/RC_NAI_1975-10-29_Serving_Krishna-Feeding_Stomach.mp3" TargetMode="External"/><Relationship Id="rId2605" Type="http://schemas.openxmlformats.org/officeDocument/2006/relationships/hyperlink" Target="https://audio.iskcondesiretree.com/01_-_Srila_Prabhupada/01_-_Lectures/01_-_English/02_-_Month_wise/12_-_December/12/SB_3-25-44_BOM_1974-12-12_No_Water_in_the_Desert.mp3" TargetMode="External"/><Relationship Id="rId3937" Type="http://schemas.openxmlformats.org/officeDocument/2006/relationships/hyperlink" Target="https://audio.iskcondesiretree.com/01_-_Srila_Prabhupada/01_-_Lectures/01_-_English/02_-_Month_wise/10_-_October/29/Walk_1975-10-29_MW-NAIROBI.MP3" TargetMode="External"/><Relationship Id="rId2606" Type="http://schemas.openxmlformats.org/officeDocument/2006/relationships/hyperlink" Target="https://audio.iskcondesiretree.com/01_-_Srila_Prabhupada/01_-_Lectures/01_-_English/01_-_Topic_wise/Srimad_Bhagavatam/Canto-03/SP_SB_3-26-01_Bombay_1974-12-13_Getting_Uncontaminated.mp3" TargetMode="External"/><Relationship Id="rId3936" Type="http://schemas.openxmlformats.org/officeDocument/2006/relationships/hyperlink" Target="https://audio.iskcondesiretree.com/01_-_Srila_Prabhupada/01_-_Lectures/01_-_English/02_-_Month_wise/10_-_October/29/SB_3-28-19_NAI_1975-10-29_Krishna%27s_Impression_in_Heart.mp3" TargetMode="External"/><Relationship Id="rId808" Type="http://schemas.openxmlformats.org/officeDocument/2006/relationships/hyperlink" Target="https://audio.iskcondesiretree.com/01_-_Srila_Prabhupada/01_-_Lectures/01_-_English/01_-_Topic_wise/Nectar_Of_Devotion/SP_NOD_Vrindavan_1972-11-11_-_Engage_All_Beautiful_Women_in-etc.mp3" TargetMode="External"/><Relationship Id="rId2607" Type="http://schemas.openxmlformats.org/officeDocument/2006/relationships/hyperlink" Target="https://audio.iskcondesiretree.com/01_-_Srila_Prabhupada/01_-_Lectures/01_-_English/02_-_Month_wise/12_-_December/13/SB-03-26-01_1974-12-13_SB-BOMBAY.MP3" TargetMode="External"/><Relationship Id="rId3939" Type="http://schemas.openxmlformats.org/officeDocument/2006/relationships/hyperlink" Target="https://audio.iskcondesiretree.com/01_-_Srila_Prabhupada/01_-_Lectures/01_-_English/02_-_Month_wise/10_-_October/30/SB-03-28-20_1975-10-30_SB-NAIROBI.MP3" TargetMode="External"/><Relationship Id="rId807" Type="http://schemas.openxmlformats.org/officeDocument/2006/relationships/hyperlink" Target="https://audio.iskcondesiretree.com/01_-_Srila_Prabhupada/01_-_Lectures/01_-_English/02_-_Month_wise/11_-_November/10/SB_1-02-31_VRN_1972-11-10_Getting_in_Touch_With_Krishna.mp3" TargetMode="External"/><Relationship Id="rId2608" Type="http://schemas.openxmlformats.org/officeDocument/2006/relationships/hyperlink" Target="https://audio.iskcondesiretree.com/01_-_Srila_Prabhupada/01_-_Lectures/01_-_English/02_-_Month_wise/12_-_December/13/SB_3-26-01_BOM_1974-12-13_Getting_Uncontaminated.mp3" TargetMode="External"/><Relationship Id="rId3938" Type="http://schemas.openxmlformats.org/officeDocument/2006/relationships/hyperlink" Target="https://audio.iskcondesiretree.com/01_-_Srila_Prabhupada/01_-_Lectures/01_-_English/01_-_Topic_wise/Srimad_Bhagavatam/Canto-03/SP_SB_3-28-20_Nairobi_1975-10-30_A_Most_Moving_%27Statue%27.mp3" TargetMode="External"/><Relationship Id="rId806" Type="http://schemas.openxmlformats.org/officeDocument/2006/relationships/hyperlink" Target="https://audio.iskcondesiretree.com/01_-_Srila_Prabhupada/01_-_Lectures/01_-_English/02_-_Month_wise/11_-_November/10/NOD_13_VRN_1972-11-10_The_Complete_Science_of_Bhakti-Yoga.mp3" TargetMode="External"/><Relationship Id="rId2609" Type="http://schemas.openxmlformats.org/officeDocument/2006/relationships/hyperlink" Target="https://audio.iskcondesiretree.com/01_-_Srila_Prabhupada/01_-_Lectures/01_-_English/01_-_Topic_wise/Srimad_Bhagavatam/Canto-03/SP_SB_3-26-02_Bombay_1974-12-14_You_Belong_to_Spiritual_World.mp3" TargetMode="External"/><Relationship Id="rId805" Type="http://schemas.openxmlformats.org/officeDocument/2006/relationships/hyperlink" Target="https://audio.iskcondesiretree.com/01_-_Srila_Prabhupada/01_-_Lectures/01_-_English/01_-_Topic_wise/Srimad_Bhagavatam/Canto-01/SP_SB_1-02-31_Vrindavan_1972-11-10_Getting_in_Touch_With_Krishna.mp3" TargetMode="External"/><Relationship Id="rId809" Type="http://schemas.openxmlformats.org/officeDocument/2006/relationships/hyperlink" Target="https://audio.iskcondesiretree.com/01_-_Srila_Prabhupada/01_-_Lectures/01_-_English/01_-_Topic_wise/Srimad_Bhagavatam/Canto-01/SP_SB_1-02-32_Vrindavan_1972-11-11_Oneness_Is_Variety.mp3" TargetMode="External"/><Relationship Id="rId800" Type="http://schemas.openxmlformats.org/officeDocument/2006/relationships/hyperlink" Target="https://audio.iskcondesiretree.com/01_-_Srila_Prabhupada/01_-_Lectures/01_-_English/01_-_Topic_wise/Nectar_Of_Devotion/SP_NOD_Vrindavan_1972-11-09_-_Dance_with_Krishna_Not_Alone-etc.mp3" TargetMode="External"/><Relationship Id="rId804" Type="http://schemas.openxmlformats.org/officeDocument/2006/relationships/hyperlink" Target="https://audio.iskcondesiretree.com/01_-_Srila_Prabhupada/01_-_Lectures/01_-_English/01_-_Topic_wise/Nectar_Of_Devotion/SP_NOD_13_Vrindavan_1972-11-10_-_The_Complete_Science_of_Bhakti_Yoga.mp3" TargetMode="External"/><Relationship Id="rId803" Type="http://schemas.openxmlformats.org/officeDocument/2006/relationships/hyperlink" Target="https://audio.iskcondesiretree.com/01_-_Srila_Prabhupada/01_-_Lectures/01_-_English/02_-_Month_wise/11_-_November/09/SB_1-02-30_VRN_1972-11-09_We_Are_Controlled.mp3" TargetMode="External"/><Relationship Id="rId802" Type="http://schemas.openxmlformats.org/officeDocument/2006/relationships/hyperlink" Target="https://audio.iskcondesiretree.com/01_-_Srila_Prabhupada/01_-_Lectures/01_-_English/02_-_Month_wise/11_-_November/09/NOD_Lect_VRN_1972-11-09_Dance_with_Krishna-Not_Alone_etc.mp3" TargetMode="External"/><Relationship Id="rId801" Type="http://schemas.openxmlformats.org/officeDocument/2006/relationships/hyperlink" Target="https://audio.iskcondesiretree.com/01_-_Srila_Prabhupada/01_-_Lectures/01_-_English/01_-_Topic_wise/Srimad_Bhagavatam/Canto-01/SP_SB_1-02-30_Vrindavan_1972-11-09_We_Are_Controlled.mp3" TargetMode="External"/><Relationship Id="rId3920" Type="http://schemas.openxmlformats.org/officeDocument/2006/relationships/hyperlink" Target="https://audio.iskcondesiretree.com/01_-_Srila_Prabhupada/01_-_Lectures/01_-_English/02_-_Month_wise/10_-_October/27/SB-03-28-18_1975-10-27_SB-NAIROBI.MP3" TargetMode="External"/><Relationship Id="rId3922" Type="http://schemas.openxmlformats.org/officeDocument/2006/relationships/hyperlink" Target="https://audio.iskcondesiretree.com/01_-_Srila_Prabhupada/01_-_Lectures/04_-_Translation/Portuguese/by_Lilananda_Prabhu/SP_BG_07-01_NAI_1975-10-27_Sempre_Pense_em_Krsna.mp3" TargetMode="External"/><Relationship Id="rId3921" Type="http://schemas.openxmlformats.org/officeDocument/2006/relationships/hyperlink" Target="https://audio.iskcondesiretree.com/01_-_Srila_Prabhupada/01_-_Lectures/01_-_English/02_-_Month_wise/10_-_October/27/SB_3-12-18_NAI_1975-10-27_Stay_Under_Krishna%27s_Protection.mp3" TargetMode="External"/><Relationship Id="rId3924" Type="http://schemas.openxmlformats.org/officeDocument/2006/relationships/hyperlink" Target="https://audio.iskcondesiretree.com/01_-_Srila_Prabhupada/01_-_Lectures/01_-_English/02_-_Month_wise/10_-_October/28/Bg-07-02_1975-10-28_BG-NAIROBI.MP3" TargetMode="External"/><Relationship Id="rId3923" Type="http://schemas.openxmlformats.org/officeDocument/2006/relationships/hyperlink" Target="https://audio.iskcondesiretree.com/01_-_Srila_Prabhupada/01_-_Lectures/01_-_English/01_-_Topic_wise/Bhagavad_Gita/Chapter-07/SP_BG_07-02_Nairobi_1975-10-28_Madmen_Can%27t_Give_You_Knowledge.mp3" TargetMode="External"/><Relationship Id="rId3926" Type="http://schemas.openxmlformats.org/officeDocument/2006/relationships/hyperlink" Target="https://audio.iskcondesiretree.com/01_-_Srila_Prabhupada/01_-_Lectures/01_-_English/02_-_Month_wise/10_-_October/28/Walk_1975-10-28_MW-NAIROBI.MP3" TargetMode="External"/><Relationship Id="rId3925" Type="http://schemas.openxmlformats.org/officeDocument/2006/relationships/hyperlink" Target="https://audio.iskcondesiretree.com/01_-_Srila_Prabhupada/01_-_Lectures/01_-_English/02_-_Month_wise/10_-_October/28/Bg_07-02_NAI_1975-10-28_Madmen_Can%27t_Give_You_Knowledge.mp3" TargetMode="External"/><Relationship Id="rId3928" Type="http://schemas.openxmlformats.org/officeDocument/2006/relationships/hyperlink" Target="https://audio.iskcondesiretree.com/01_-_Srila_Prabhupada/01_-_Lectures/01_-_English/01_-_Topic_wise/Room_Conversation/SP_Room_Conversation_Nairobi_1975-10-29_Serving_Krishna-Feeding_Stomach.mp3" TargetMode="External"/><Relationship Id="rId3927" Type="http://schemas.openxmlformats.org/officeDocument/2006/relationships/hyperlink" Target="https://audio.iskcondesiretree.com/01_-_Srila_Prabhupada/01_-_Lectures/01_-_English/01_-_Topic_wise/Bhagavad_Gita/Chapter-07/SP_BG_07-03_Nairobi_1975-10-29_Everyone_Here_Is_a_Fool_Number_One.mp3" TargetMode="External"/><Relationship Id="rId3929" Type="http://schemas.openxmlformats.org/officeDocument/2006/relationships/hyperlink" Target="https://audio.iskcondesiretree.com/01_-_Srila_Prabhupada/01_-_Lectures/01_-_English/01_-_Topic_wise/Srimad_Bhagavatam/Canto-03/SP_SB_3-28-19_Nairobi_1975-10-29_Krishna%27s_Impression_in_Heart.mp3" TargetMode="External"/><Relationship Id="rId6193" Type="http://schemas.openxmlformats.org/officeDocument/2006/relationships/hyperlink" Target="https://audio.iskcondesiretree.com/01_-_Srila_Prabhupada/01_-_Lectures/03_-_Hindi/SP_Hindi_21_Lectures_%26_Conversations.mp3" TargetMode="External"/><Relationship Id="rId6194" Type="http://schemas.openxmlformats.org/officeDocument/2006/relationships/hyperlink" Target="https://audio.iskcondesiretree.com/01_-_Srila_Prabhupada/01_-_Lectures/03_-_Hindi/SP_Hindi_22_Lectures_%26_Conversations.mp3" TargetMode="External"/><Relationship Id="rId6191" Type="http://schemas.openxmlformats.org/officeDocument/2006/relationships/hyperlink" Target="https://audio.iskcondesiretree.com/01_-_Srila_Prabhupada/01_-_Lectures/03_-_Hindi/SP_Hindi_19_Lectures_%26_Conversations.mp3" TargetMode="External"/><Relationship Id="rId6192" Type="http://schemas.openxmlformats.org/officeDocument/2006/relationships/hyperlink" Target="https://audio.iskcondesiretree.com/01_-_Srila_Prabhupada/01_-_Lectures/03_-_Hindi/SP_Hindi_20_Lectures_%26_Conversations.mp3" TargetMode="External"/><Relationship Id="rId6197" Type="http://schemas.openxmlformats.org/officeDocument/2006/relationships/hyperlink" Target="https://audio.iskcondesiretree.com/01_-_Srila_Prabhupada/01_-_Lectures/03_-_Hindi/SP_Hindi_25_Lectures_%26_Conversations.mp3" TargetMode="External"/><Relationship Id="rId6198" Type="http://schemas.openxmlformats.org/officeDocument/2006/relationships/hyperlink" Target="https://audio.iskcondesiretree.com/01_-_Srila_Prabhupada/01_-_Lectures/03_-_Hindi/SP_Hindi_26_Lectures_%26_Conversations.mp3" TargetMode="External"/><Relationship Id="rId6195" Type="http://schemas.openxmlformats.org/officeDocument/2006/relationships/hyperlink" Target="https://audio.iskcondesiretree.com/01_-_Srila_Prabhupada/01_-_Lectures/03_-_Hindi/SP_Hindi_23_Lectures_%26_Conversations.mp3" TargetMode="External"/><Relationship Id="rId6196" Type="http://schemas.openxmlformats.org/officeDocument/2006/relationships/hyperlink" Target="https://audio.iskcondesiretree.com/01_-_Srila_Prabhupada/01_-_Lectures/03_-_Hindi/SP_Hindi_24_Lectures_%26_Conversations.mp3" TargetMode="External"/><Relationship Id="rId6199" Type="http://schemas.openxmlformats.org/officeDocument/2006/relationships/hyperlink" Target="https://audio.iskcondesiretree.com/01_-_Srila_Prabhupada/01_-_Lectures/03_-_Hindi/SP_Hindi_27_Lectures_%26_Conversations.mp3" TargetMode="External"/><Relationship Id="rId6142" Type="http://schemas.openxmlformats.org/officeDocument/2006/relationships/hyperlink" Target="https://audio.iskcondesiretree.com/01_-_Srila_Prabhupada/01_-_Lectures/01_-_English/01_-_Topic_wise/Stories/SP_Story_18_Stool_and_urine.mp3" TargetMode="External"/><Relationship Id="rId6143" Type="http://schemas.openxmlformats.org/officeDocument/2006/relationships/hyperlink" Target="https://audio.iskcondesiretree.com/01_-_Srila_Prabhupada/01_-_Lectures/01_-_English/01_-_Topic_wise/Stories/SP_Story_19_Illiterate_brahmana.mp3" TargetMode="External"/><Relationship Id="rId6140" Type="http://schemas.openxmlformats.org/officeDocument/2006/relationships/hyperlink" Target="https://audio.iskcondesiretree.com/01_-_Srila_Prabhupada/01_-_Lectures/01_-_English/01_-_Topic_wise/Stories/SP_Story_16_Glad_stone.mp3" TargetMode="External"/><Relationship Id="rId6141" Type="http://schemas.openxmlformats.org/officeDocument/2006/relationships/hyperlink" Target="https://audio.iskcondesiretree.com/01_-_Srila_Prabhupada/01_-_Lectures/01_-_English/01_-_Topic_wise/Stories/SP_Story_17_Mahabharata.mp3" TargetMode="External"/><Relationship Id="rId6146" Type="http://schemas.openxmlformats.org/officeDocument/2006/relationships/hyperlink" Target="https://audio.iskcondesiretree.com/01_-_Srila_Prabhupada/01_-_Lectures/01_-_English/01_-_Topic_wise/Stories/SP_Story_22_Krsna_breaking_promise.mp3" TargetMode="External"/><Relationship Id="rId6147" Type="http://schemas.openxmlformats.org/officeDocument/2006/relationships/hyperlink" Target="https://audio.iskcondesiretree.com/01_-_Srila_Prabhupada/01_-_Lectures/01_-_English/01_-_Topic_wise/Stories/SP_Story_23_European_Krsna_is_God.mp3" TargetMode="External"/><Relationship Id="rId6144" Type="http://schemas.openxmlformats.org/officeDocument/2006/relationships/hyperlink" Target="https://audio.iskcondesiretree.com/01_-_Srila_Prabhupada/01_-_Lectures/01_-_English/01_-_Topic_wise/Stories/SP_Story_20_Jackal_king.mp3" TargetMode="External"/><Relationship Id="rId6145" Type="http://schemas.openxmlformats.org/officeDocument/2006/relationships/hyperlink" Target="https://audio.iskcondesiretree.com/01_-_Srila_Prabhupada/01_-_Lectures/01_-_English/01_-_Topic_wise/Stories/SP_Story_21_King_and_ass.mp3" TargetMode="External"/><Relationship Id="rId6148" Type="http://schemas.openxmlformats.org/officeDocument/2006/relationships/hyperlink" Target="https://audio.iskcondesiretree.com/01_-_Srila_Prabhupada/01_-_Lectures/01_-_English/01_-_Topic_wise/Stories/SP_Story_24_Jayan_and_a_looks_like_Sri_Caitanya_Mahaprabhu.mp3" TargetMode="External"/><Relationship Id="rId6149" Type="http://schemas.openxmlformats.org/officeDocument/2006/relationships/hyperlink" Target="https://audio.iskcondesiretree.com/01_-_Srila_Prabhupada/01_-_Lectures/01_-_English/01_-_Topic_wise/Stories/SP_Story_25_Krsna%27s_headache.mp3" TargetMode="External"/><Relationship Id="rId6131" Type="http://schemas.openxmlformats.org/officeDocument/2006/relationships/hyperlink" Target="https://audio.iskcondesiretree.com/01_-_Srila_Prabhupada/01_-_Lectures/01_-_English/01_-_Topic_wise/Stories/SP_Story_07_The_Brahmana_and_the_Cobbler.mp3" TargetMode="External"/><Relationship Id="rId6132" Type="http://schemas.openxmlformats.org/officeDocument/2006/relationships/hyperlink" Target="https://audio.iskcondesiretree.com/01_-_Srila_Prabhupada/01_-_Lectures/01_-_English/01_-_Topic_wise/Stories/SP_Story_08_Can%27t_can%27t_can%27t.mp3" TargetMode="External"/><Relationship Id="rId6130" Type="http://schemas.openxmlformats.org/officeDocument/2006/relationships/hyperlink" Target="https://audio.iskcondesiretree.com/01_-_Srila_Prabhupada/01_-_Lectures/01_-_English/01_-_Topic_wise/Stories/SP_Story_06_Birds_in_net.mp3" TargetMode="External"/><Relationship Id="rId6135" Type="http://schemas.openxmlformats.org/officeDocument/2006/relationships/hyperlink" Target="https://audio.iskcondesiretree.com/01_-_Srila_Prabhupada/01_-_Lectures/01_-_English/01_-_Topic_wise/Stories/SP_Story_11_Don%27t_live_don%27t_die.mp3" TargetMode="External"/><Relationship Id="rId6136" Type="http://schemas.openxmlformats.org/officeDocument/2006/relationships/hyperlink" Target="https://audio.iskcondesiretree.com/01_-_Srila_Prabhupada/01_-_Lectures/01_-_English/01_-_Topic_wise/Stories/SP_Story_12_Dr.mp3" TargetMode="External"/><Relationship Id="rId6133" Type="http://schemas.openxmlformats.org/officeDocument/2006/relationships/hyperlink" Target="https://audio.iskcondesiretree.com/01_-_Srila_Prabhupada/01_-_Lectures/01_-_English/01_-_Topic_wise/Stories/SP_Story_09_Cut_coat_tails.mp3" TargetMode="External"/><Relationship Id="rId6134" Type="http://schemas.openxmlformats.org/officeDocument/2006/relationships/hyperlink" Target="https://audio.iskcondesiretree.com/01_-_Srila_Prabhupada/01_-_Lectures/01_-_English/01_-_Topic_wise/Stories/SP_Story_10_Dina_bandhu_dada.mp3" TargetMode="External"/><Relationship Id="rId6139" Type="http://schemas.openxmlformats.org/officeDocument/2006/relationships/hyperlink" Target="https://audio.iskcondesiretree.com/01_-_Srila_Prabhupada/01_-_Lectures/01_-_English/01_-_Topic_wise/Stories/SP_Story_15_Ghost_ghost.mp3" TargetMode="External"/><Relationship Id="rId6137" Type="http://schemas.openxmlformats.org/officeDocument/2006/relationships/hyperlink" Target="https://audio.iskcondesiretree.com/01_-_Srila_Prabhupada/01_-_Lectures/01_-_English/01_-_Topic_wise/Stories/SP_Story_13_Feeding_market_people.mp3" TargetMode="External"/><Relationship Id="rId6138" Type="http://schemas.openxmlformats.org/officeDocument/2006/relationships/hyperlink" Target="https://audio.iskcondesiretree.com/01_-_Srila_Prabhupada/01_-_Lectures/01_-_English/01_-_Topic_wise/Stories/SP_Story_14_Gandhari_Duryodhana_Krsna.mp3" TargetMode="External"/><Relationship Id="rId6160" Type="http://schemas.openxmlformats.org/officeDocument/2006/relationships/hyperlink" Target="https://audio.iskcondesiretree.com/01_-_Srila_Prabhupada/01_-_Lectures/01_-_English/01_-_Topic_wise/Stories/SP_Story_36_Shah_Jahan.mp3" TargetMode="External"/><Relationship Id="rId6161" Type="http://schemas.openxmlformats.org/officeDocument/2006/relationships/hyperlink" Target="https://audio.iskcondesiretree.com/01_-_Srila_Prabhupada/01_-_Lectures/01_-_English/01_-_Topic_wise/Stories/SP_Story_37_Siva_Parvati_watermelon.mp3" TargetMode="External"/><Relationship Id="rId6164" Type="http://schemas.openxmlformats.org/officeDocument/2006/relationships/hyperlink" Target="https://audio.iskcondesiretree.com/01_-_Srila_Prabhupada/01_-_Lectures/01_-_English/01_-_Topic_wise/Stories/SP_Story_40_Savitri.mp3" TargetMode="External"/><Relationship Id="rId6165" Type="http://schemas.openxmlformats.org/officeDocument/2006/relationships/hyperlink" Target="https://audio.iskcondesiretree.com/01_-_Srila_Prabhupada/01_-_Lectures/01_-_English/01_-_Topic_wise/Stories/SP_Story_41_Thief_to_Vrindavana.mp3" TargetMode="External"/><Relationship Id="rId6162" Type="http://schemas.openxmlformats.org/officeDocument/2006/relationships/hyperlink" Target="https://audio.iskcondesiretree.com/01_-_Srila_Prabhupada/01_-_Lectures/01_-_English/01_-_Topic_wise/Stories/SP_Story_38_16000_wives.mp3" TargetMode="External"/><Relationship Id="rId6163" Type="http://schemas.openxmlformats.org/officeDocument/2006/relationships/hyperlink" Target="https://audio.iskcondesiretree.com/01_-_Srila_Prabhupada/01_-_Lectures/01_-_English/01_-_Topic_wise/Stories/SP_Story_39_Smearing_stool.mp3" TargetMode="External"/><Relationship Id="rId6168" Type="http://schemas.openxmlformats.org/officeDocument/2006/relationships/hyperlink" Target="https://audio.iskcondesiretree.com/01_-_Srila_Prabhupada/01_-_Lectures/01_-_English/01_-_Topic_wise/Stories/SP_Story_44_Yogi_burning_finger.mp3" TargetMode="External"/><Relationship Id="rId6169" Type="http://schemas.openxmlformats.org/officeDocument/2006/relationships/hyperlink" Target="https://audio.iskcondesiretree.com/01_-_Srila_Prabhupada/01_-_Lectures/01_-_English/01_-_Topic_wise/Stories/SP_Story_45_Yogi_who_could_walk_on_water.mp3" TargetMode="External"/><Relationship Id="rId6166" Type="http://schemas.openxmlformats.org/officeDocument/2006/relationships/hyperlink" Target="https://audio.iskcondesiretree.com/01_-_Srila_Prabhupada/01_-_Lectures/01_-_English/01_-_Topic_wise/Stories/SP_Story_42_Vastrana_lila.mp3" TargetMode="External"/><Relationship Id="rId6167" Type="http://schemas.openxmlformats.org/officeDocument/2006/relationships/hyperlink" Target="https://audio.iskcondesiretree.com/01_-_Srila_Prabhupada/01_-_Lectures/01_-_English/01_-_Topic_wise/Stories/SP_Story_43_Visvamitra_Muni.mp3" TargetMode="External"/><Relationship Id="rId6150" Type="http://schemas.openxmlformats.org/officeDocument/2006/relationships/hyperlink" Target="https://audio.iskcondesiretree.com/01_-_Srila_Prabhupada/01_-_Lectures/01_-_English/01_-_Topic_wise/Stories/SP_Story_26_Lady_carrying_sticks_on_head.mp3" TargetMode="External"/><Relationship Id="rId6153" Type="http://schemas.openxmlformats.org/officeDocument/2006/relationships/hyperlink" Target="https://audio.iskcondesiretree.com/01_-_Srila_Prabhupada/01_-_Lectures/01_-_English/01_-_Topic_wise/Stories/SP_Story_29_Monkey_and_log.mp3" TargetMode="External"/><Relationship Id="rId6154" Type="http://schemas.openxmlformats.org/officeDocument/2006/relationships/hyperlink" Target="https://audio.iskcondesiretree.com/01_-_Srila_Prabhupada/01_-_Lectures/01_-_English/01_-_Topic_wise/Stories/SP_Story_30_Mrgari_the_hunter.mp3" TargetMode="External"/><Relationship Id="rId6151" Type="http://schemas.openxmlformats.org/officeDocument/2006/relationships/hyperlink" Target="https://audio.iskcondesiretree.com/01_-_Srila_Prabhupada/01_-_Lectures/01_-_English/01_-_Topic_wise/Stories/SP_Story_27_Liquid_Beauty.mp3" TargetMode="External"/><Relationship Id="rId6152" Type="http://schemas.openxmlformats.org/officeDocument/2006/relationships/hyperlink" Target="https://audio.iskcondesiretree.com/01_-_Srila_Prabhupada/01_-_Lectures/01_-_English/01_-_Topic_wise/Stories/SP_Story_28_Mira_bhai_%26_Rupa_Gosvami.mp3" TargetMode="External"/><Relationship Id="rId6157" Type="http://schemas.openxmlformats.org/officeDocument/2006/relationships/hyperlink" Target="https://audio.iskcondesiretree.com/01_-_Srila_Prabhupada/01_-_Lectures/01_-_English/01_-_Topic_wise/Stories/SP_Story_33_Saksi_Gopala.mp3" TargetMode="External"/><Relationship Id="rId6158" Type="http://schemas.openxmlformats.org/officeDocument/2006/relationships/hyperlink" Target="https://audio.iskcondesiretree.com/01_-_Srila_Prabhupada/01_-_Lectures/01_-_English/01_-_Topic_wise/Stories/SP_Story_34_Sanatana_%26_Radharani.mp3" TargetMode="External"/><Relationship Id="rId6155" Type="http://schemas.openxmlformats.org/officeDocument/2006/relationships/hyperlink" Target="https://audio.iskcondesiretree.com/01_-_Srila_Prabhupada/01_-_Lectures/01_-_English/01_-_Topic_wise/Stories/SP_Story_31_Potter.mp3" TargetMode="External"/><Relationship Id="rId6156" Type="http://schemas.openxmlformats.org/officeDocument/2006/relationships/hyperlink" Target="https://audio.iskcondesiretree.com/01_-_Srila_Prabhupada/01_-_Lectures/01_-_English/01_-_Topic_wise/Stories/SP_Story_32_Radha_and_Krsna_at_Kuruksetra.mp3" TargetMode="External"/><Relationship Id="rId6159" Type="http://schemas.openxmlformats.org/officeDocument/2006/relationships/hyperlink" Target="https://audio.iskcondesiretree.com/01_-_Srila_Prabhupada/01_-_Lectures/01_-_English/01_-_Topic_wise/Stories/SP_Story_35_Scholar_and_the_boatman.mp3" TargetMode="External"/><Relationship Id="rId1334" Type="http://schemas.openxmlformats.org/officeDocument/2006/relationships/hyperlink" Target="https://audio.iskcondesiretree.com/01_-_Srila_Prabhupada/01_-_Lectures/01_-_English/02_-_Month_wise/10_-_October/25/Bg_13-26_BOM_1973-10-25_Birth_and_Death_Transcending_etc.mp3" TargetMode="External"/><Relationship Id="rId2665" Type="http://schemas.openxmlformats.org/officeDocument/2006/relationships/hyperlink" Target="https://audio.iskcondesiretree.com/01_-_Srila_Prabhupada/01_-_Lectures/01_-_English/02_-_Month_wise/01_-_January/02/SB-03-26-25_1975-01-02_SB-BOMBAY.MP3" TargetMode="External"/><Relationship Id="rId3997" Type="http://schemas.openxmlformats.org/officeDocument/2006/relationships/hyperlink" Target="https://audio.iskcondesiretree.com/01_-_Srila_Prabhupada/01_-_Lectures/01_-_English/02_-_Month_wise/11_-_November/16/Walk_1975-11-16_MW-BOMBAY.MP3" TargetMode="External"/><Relationship Id="rId1335" Type="http://schemas.openxmlformats.org/officeDocument/2006/relationships/hyperlink" Target="https://audio.iskcondesiretree.com/01_-_Srila_Prabhupada/01_-_Lectures/01_-_English/01_-_Topic_wise/Room_Conversation/SP_Room_Conversation_Bombay_1973-10-26_At_Airport--That_Is_Not_Perfection.mp3" TargetMode="External"/><Relationship Id="rId2666" Type="http://schemas.openxmlformats.org/officeDocument/2006/relationships/hyperlink" Target="https://audio.iskcondesiretree.com/01_-_Srila_Prabhupada/01_-_Lectures/01_-_English/02_-_Month_wise/01_-_January/02/SB_3-26-25_BOM_1975-01-02_Secret_of_Satisfying_Everyone.mp3" TargetMode="External"/><Relationship Id="rId3996" Type="http://schemas.openxmlformats.org/officeDocument/2006/relationships/hyperlink" Target="https://audio.iskcondesiretree.com/01_-_Srila_Prabhupada/01_-_Lectures/01_-_English/02_-_Month_wise/11_-_November/16/MW_BOM_1975-11-16_Scientists%2C_Goats%2C_Politicians.mp3" TargetMode="External"/><Relationship Id="rId1336" Type="http://schemas.openxmlformats.org/officeDocument/2006/relationships/hyperlink" Target="https://audio.iskcondesiretree.com/01_-_Srila_Prabhupada/01_-_Lectures/01_-_English/02_-_Month_wise/10_-_October/26/RC_BOM_1973-10-26_At_Airport-That_Is_Not_Perfection.mp3" TargetMode="External"/><Relationship Id="rId2667" Type="http://schemas.openxmlformats.org/officeDocument/2006/relationships/hyperlink" Target="https://audio.iskcondesiretree.com/01_-_Srila_Prabhupada/01_-_Lectures/01_-_English/01_-_Topic_wise/Srimad_Bhagavatam/Canto-03/SP_SB_3-26-26_Bombay_1975-01-03_Breaking_Our_Karmic_Chains.mp3" TargetMode="External"/><Relationship Id="rId3999" Type="http://schemas.openxmlformats.org/officeDocument/2006/relationships/hyperlink" Target="https://audio.iskcondesiretree.com/01_-_Srila_Prabhupada/01_-_Lectures/01_-_English/01_-_Topic_wise/Morning_Walk/SP_Morning_Walk_-_Bombay_1975-11-17_Dressed_Animals-Educated_Dogs.mp3" TargetMode="External"/><Relationship Id="rId1337" Type="http://schemas.openxmlformats.org/officeDocument/2006/relationships/hyperlink" Target="https://audio.iskcondesiretree.com/01_-_Srila_Prabhupada/01_-_Lectures/01_-_English/01_-_Topic_wise/Bhagavad_Gita/Chapter-15/SP_BG_15-01_Bombay_1973-10-28_See_Spiritual_Identity_Everywhere.mp3" TargetMode="External"/><Relationship Id="rId2668" Type="http://schemas.openxmlformats.org/officeDocument/2006/relationships/hyperlink" Target="https://audio.iskcondesiretree.com/01_-_Srila_Prabhupada/01_-_Lectures/01_-_English/02_-_Month_wise/01_-_January/03/Conv_1975-01-03_R1-BOMBAY.MP3" TargetMode="External"/><Relationship Id="rId3998" Type="http://schemas.openxmlformats.org/officeDocument/2006/relationships/hyperlink" Target="https://audio.iskcondesiretree.com/01_-_Srila_Prabhupada/01_-_Lectures/01_-_English/01_-_Topic_wise/Chaitanya_Charitamrita/Madhya_Lila/SP_CC_M_20-110_Bombay_1975-11-17_Truth_About_False_Ego.mp3" TargetMode="External"/><Relationship Id="rId1338" Type="http://schemas.openxmlformats.org/officeDocument/2006/relationships/hyperlink" Target="https://audio.iskcondesiretree.com/01_-_Srila_Prabhupada/01_-_Lectures/01_-_English/02_-_Month_wise/10_-_October/28/Bg_15-01_BOM_1973-10-28_See_Spiritual_Identity_Everywhere.mp3" TargetMode="External"/><Relationship Id="rId2669" Type="http://schemas.openxmlformats.org/officeDocument/2006/relationships/hyperlink" Target="https://audio.iskcondesiretree.com/01_-_Srila_Prabhupada/01_-_Lectures/01_-_English/02_-_Month_wise/01_-_January/03/SB-03-26-26_1975-01-03_SB-BOMBAY.MP3" TargetMode="External"/><Relationship Id="rId1339" Type="http://schemas.openxmlformats.org/officeDocument/2006/relationships/hyperlink" Target="https://audio.iskcondesiretree.com/01_-_Srila_Prabhupada/01_-_Lectures/01_-_English/01_-_Topic_wise/Room_Conversation/SP_Room_Conversation_Vrindavan_1973-10-31_Glories_of_the_Supreme_Lord.mp3" TargetMode="External"/><Relationship Id="rId745" Type="http://schemas.openxmlformats.org/officeDocument/2006/relationships/hyperlink" Target="https://audio.iskcondesiretree.com/01_-_Srila_Prabhupada/01_-_Lectures/01_-_English/02_-_Month_wise/10_-_October/24/SB_1-02-13_VRN_1972-10-24_If_Krishna_Says_All_etc.mp3" TargetMode="External"/><Relationship Id="rId744" Type="http://schemas.openxmlformats.org/officeDocument/2006/relationships/hyperlink" Target="https://audio.iskcondesiretree.com/01_-_Srila_Prabhupada/01_-_Lectures/01_-_English/02_-_Month_wise/10_-_October/24/NOD_03_VRN_1972-10-24_The_Complete_Science_of_Bhakti_Yoga.mp3" TargetMode="External"/><Relationship Id="rId743" Type="http://schemas.openxmlformats.org/officeDocument/2006/relationships/hyperlink" Target="https://audio.iskcondesiretree.com/01_-_Srila_Prabhupada/01_-_Lectures/01_-_English/01_-_Topic_wise/Srimad_Bhagavatam/Canto-01/SP_SB_1-02-13_Vrindavan_1972-10-24_If_Krishna_Says_All--etc.mp3" TargetMode="External"/><Relationship Id="rId742" Type="http://schemas.openxmlformats.org/officeDocument/2006/relationships/hyperlink" Target="https://audio.iskcondesiretree.com/01_-_Srila_Prabhupada/01_-_Lectures/01_-_English/01_-_Topic_wise/Nectar_Of_Devotion/SP_NOD_03_Vrindavan_1972-10-24_-_The_Complete_Science_of_Bhakti_Yoga.mp3" TargetMode="External"/><Relationship Id="rId749" Type="http://schemas.openxmlformats.org/officeDocument/2006/relationships/hyperlink" Target="https://audio.iskcondesiretree.com/01_-_Srila_Prabhupada/01_-_Lectures/01_-_English/01_-_Topic_wise/Srimad_Bhagavatam/Canto-01/SP_SB_1-02-16_Vrindavan_1972-10-27_Developing_Taste_for_the--etc.mp3" TargetMode="External"/><Relationship Id="rId748" Type="http://schemas.openxmlformats.org/officeDocument/2006/relationships/hyperlink" Target="https://audio.iskcondesiretree.com/01_-_Srila_Prabhupada/01_-_Lectures/01_-_English/01_-_Topic_wise/Nectar_Of_Devotion/SP_NOD_Vrindavan_1972-10-27_-_From_Low_Grade_Society_to_the-etc.mp3" TargetMode="External"/><Relationship Id="rId747" Type="http://schemas.openxmlformats.org/officeDocument/2006/relationships/hyperlink" Target="https://audio.iskcondesiretree.com/01_-_Srila_Prabhupada/01_-_Lectures/01_-_English/02_-_Month_wise/10_-_October/26/NOD_04_VRN_1972-10-26_The_Complete_Science_of_Bhakti-Yoga.mp3" TargetMode="External"/><Relationship Id="rId746" Type="http://schemas.openxmlformats.org/officeDocument/2006/relationships/hyperlink" Target="https://audio.iskcondesiretree.com/01_-_Srila_Prabhupada/01_-_Lectures/01_-_English/01_-_Topic_wise/Nectar_Of_Devotion/SP_NOD_04_Vrindavan_1972-10-26_-_The_Complete_Science_of_Bhakti_Yoga.mp3" TargetMode="External"/><Relationship Id="rId3991" Type="http://schemas.openxmlformats.org/officeDocument/2006/relationships/hyperlink" Target="https://audio.iskcondesiretree.com/01_-_Srila_Prabhupada/01_-_Lectures/01_-_English/02_-_Month_wise/11_-_November/15/Walk_1975-11-15_MW-BOMBAY.MP3" TargetMode="External"/><Relationship Id="rId2660" Type="http://schemas.openxmlformats.org/officeDocument/2006/relationships/hyperlink" Target="https://audio.iskcondesiretree.com/01_-_Srila_Prabhupada/01_-_Lectures/01_-_English/02_-_Month_wise/12_-_December/31/SB-03.26.22_1974-12-31_SB-BOMBAY.MP3" TargetMode="External"/><Relationship Id="rId3990" Type="http://schemas.openxmlformats.org/officeDocument/2006/relationships/hyperlink" Target="https://audio.iskcondesiretree.com/01_-_Srila_Prabhupada/01_-_Lectures/01_-_English/02_-_Month_wise/11_-_November/15/Lecture%E2%80%93Hindi_1975-11-15_LE-BOMBAY.MP3" TargetMode="External"/><Relationship Id="rId741" Type="http://schemas.openxmlformats.org/officeDocument/2006/relationships/hyperlink" Target="https://audio.iskcondesiretree.com/01_-_Srila_Prabhupada/01_-_Lectures/01_-_English/02_-_Month_wise/10_-_October/23/SB_1-02-12_VRN_1972-10-23_Beyond_Business_of_Hogs_and_Dogs.mp3" TargetMode="External"/><Relationship Id="rId1330" Type="http://schemas.openxmlformats.org/officeDocument/2006/relationships/hyperlink" Target="https://audio.iskcondesiretree.com/01_-_Srila_Prabhupada/01_-_Lectures/01_-_English/02_-_Month_wise/10_-_October/22/Bg_13-23_BOM_1973-10-22_How_to_Understand_the_Overseer.mp3" TargetMode="External"/><Relationship Id="rId2661" Type="http://schemas.openxmlformats.org/officeDocument/2006/relationships/hyperlink" Target="https://audio.iskcondesiretree.com/01_-_Srila_Prabhupada/01_-_Lectures/01_-_English/01_-_Topic_wise/Srimad_Bhagavatam/Canto-03/SP_SB_3-26-23_Bombay_1975-01-01_Slave_vs._Revolting_Mentality.mp3" TargetMode="External"/><Relationship Id="rId3993" Type="http://schemas.openxmlformats.org/officeDocument/2006/relationships/hyperlink" Target="https://audio.iskcondesiretree.com/01_-_Srila_Prabhupada/01_-_Lectures/01_-_English/01_-_Topic_wise/Various/SP_Lecture_Bombay_1975-11-16_The_Covered_Margin--Uncovered.mp3" TargetMode="External"/><Relationship Id="rId740" Type="http://schemas.openxmlformats.org/officeDocument/2006/relationships/hyperlink" Target="https://audio.iskcondesiretree.com/01_-_Srila_Prabhupada/01_-_Lectures/01_-_English/02_-_Month_wise/10_-_October/23/NOD_Lect_VRN_1972-10-23_An_Advanced_Devotee_Never_etc.mp3" TargetMode="External"/><Relationship Id="rId1331" Type="http://schemas.openxmlformats.org/officeDocument/2006/relationships/hyperlink" Target="https://audio.iskcondesiretree.com/01_-_Srila_Prabhupada/01_-_Lectures/01_-_English/01_-_Topic_wise/Bhagavad_Gita/Chapter-13/SP_BG_13-24_Bombay_1973-10-23_Solving_the_Problems_of_Life.mp3" TargetMode="External"/><Relationship Id="rId2662" Type="http://schemas.openxmlformats.org/officeDocument/2006/relationships/hyperlink" Target="https://audio.iskcondesiretree.com/01_-_Srila_Prabhupada/01_-_Lectures/01_-_English/02_-_Month_wise/01_-_January/01/SB-03-26-23-24_1975-01-01-BOMBAY.MP3" TargetMode="External"/><Relationship Id="rId3992" Type="http://schemas.openxmlformats.org/officeDocument/2006/relationships/hyperlink" Target="https://audio.iskcondesiretree.com/01_-_Srila_Prabhupada/01_-_Lectures/01_-_English/01_-_Topic_wise/Morning_Walk/SP_Morning_Walk_-_Bombay_1975-11-16_Scientists_Goats_Politicians.mp3" TargetMode="External"/><Relationship Id="rId1332" Type="http://schemas.openxmlformats.org/officeDocument/2006/relationships/hyperlink" Target="https://audio.iskcondesiretree.com/01_-_Srila_Prabhupada/01_-_Lectures/01_-_English/02_-_Month_wise/10_-_October/23/Bg_13-24_BOM_1973-10-23_Solving_the_Problems_of_Life.mp3" TargetMode="External"/><Relationship Id="rId2663" Type="http://schemas.openxmlformats.org/officeDocument/2006/relationships/hyperlink" Target="https://audio.iskcondesiretree.com/01_-_Srila_Prabhupada/01_-_Lectures/01_-_English/02_-_Month_wise/01_-_January/01/SB_3-26-23_BOM_1975-01-01_Slave_vs_Revolting_Mentality.mp3" TargetMode="External"/><Relationship Id="rId3995" Type="http://schemas.openxmlformats.org/officeDocument/2006/relationships/hyperlink" Target="https://audio.iskcondesiretree.com/01_-_Srila_Prabhupada/01_-_Lectures/01_-_English/02_-_Month_wise/11_-_November/16/Lect_BOM_1975-11-16_The_Covered_Margin_Uncovered.mp3" TargetMode="External"/><Relationship Id="rId1333" Type="http://schemas.openxmlformats.org/officeDocument/2006/relationships/hyperlink" Target="https://audio.iskcondesiretree.com/01_-_Srila_Prabhupada/01_-_Lectures/01_-_English/01_-_Topic_wise/Bhagavad_Gita/Chapter-13/SP_BG_13-26_Bombay_1973-10-25_Birth_and_Death-_Transcending--etc.mp3" TargetMode="External"/><Relationship Id="rId2664" Type="http://schemas.openxmlformats.org/officeDocument/2006/relationships/hyperlink" Target="https://audio.iskcondesiretree.com/01_-_Srila_Prabhupada/01_-_Lectures/01_-_English/01_-_Topic_wise/Srimad_Bhagavatam/Canto-03/SP_SB_3-26-25_Bombay_1975-01-02_Secret_of_Satisfying_Everyone.mp3" TargetMode="External"/><Relationship Id="rId3994" Type="http://schemas.openxmlformats.org/officeDocument/2006/relationships/hyperlink" Target="https://audio.iskcondesiretree.com/01_-_Srila_Prabhupada/01_-_Lectures/01_-_English/02_-_Month_wise/11_-_November/16/CcMadhya-20-108_1975-11-16_CC-BOMBAY.MP3" TargetMode="External"/><Relationship Id="rId1323" Type="http://schemas.openxmlformats.org/officeDocument/2006/relationships/hyperlink" Target="https://audio.iskcondesiretree.com/01_-_Srila_Prabhupada/01_-_Lectures/01_-_English/01_-_Topic_wise/Bhagavad_Gita/Chapter-13/SP_BG_13-21_Bombay_1973-10-15_An_Abominable_Body.mp3" TargetMode="External"/><Relationship Id="rId2654" Type="http://schemas.openxmlformats.org/officeDocument/2006/relationships/hyperlink" Target="https://audio.iskcondesiretree.com/01_-_Srila_Prabhupada/01_-_Lectures/01_-_English/01_-_Topic_wise/Srimad_Bhagavatam/Canto-03/SP_SB_3-26-20_Bombay_1974-12-29_We%27re_All_Asleep.mp3" TargetMode="External"/><Relationship Id="rId3986" Type="http://schemas.openxmlformats.org/officeDocument/2006/relationships/hyperlink" Target="https://audio.iskcondesiretree.com/01_-_Srila_Prabhupada/01_-_Lectures/01_-_English/01_-_Topic_wise/Morning_Walk/SP_Morning_Walk_-_Bombay_1975-11-14_Scientific_Know-Nothings.mp3" TargetMode="External"/><Relationship Id="rId1324" Type="http://schemas.openxmlformats.org/officeDocument/2006/relationships/hyperlink" Target="https://audio.iskcondesiretree.com/01_-_Srila_Prabhupada/01_-_Lectures/01_-_English/02_-_Month_wise/10_-_October/15/Bg_13-21_BOM_1973-10-15_An_Abominable_Body.mp3" TargetMode="External"/><Relationship Id="rId2655" Type="http://schemas.openxmlformats.org/officeDocument/2006/relationships/hyperlink" Target="https://audio.iskcondesiretree.com/01_-_Srila_Prabhupada/01_-_Lectures/01_-_English/02_-_Month_wise/12_-_December/29/SB-03-26-20_1974-12-29_SB-BOMBAY.MP3" TargetMode="External"/><Relationship Id="rId3985" Type="http://schemas.openxmlformats.org/officeDocument/2006/relationships/hyperlink" Target="https://audio.iskcondesiretree.com/01_-_Srila_Prabhupada/01_-_Lectures/01_-_English/02_-_Month_wise/11_-_November/13/Walk_1975-11-13_MW-BOMBAY.MP3" TargetMode="External"/><Relationship Id="rId1325" Type="http://schemas.openxmlformats.org/officeDocument/2006/relationships/hyperlink" Target="https://audio.iskcondesiretree.com/01_-_Srila_Prabhupada/01_-_Lectures/01_-_English/01_-_Topic_wise/Various/SP_Lecture_Bombay_1973-10-18_At_Bharati_Vidya_Bhavan.mp3" TargetMode="External"/><Relationship Id="rId2656" Type="http://schemas.openxmlformats.org/officeDocument/2006/relationships/hyperlink" Target="https://audio.iskcondesiretree.com/01_-_Srila_Prabhupada/01_-_Lectures/01_-_English/02_-_Month_wise/12_-_December/29/SB_3-26-20_BOM_1974-12-29_We%27re_All_Asleep.mp3" TargetMode="External"/><Relationship Id="rId3988" Type="http://schemas.openxmlformats.org/officeDocument/2006/relationships/hyperlink" Target="https://audio.iskcondesiretree.com/01_-_Srila_Prabhupada/01_-_Lectures/01_-_English/02_-_Month_wise/11_-_November/14/SB-05-05-01%E2%80%93Hindi_1975-11-14_SB-BOMBAY.MP3" TargetMode="External"/><Relationship Id="rId1326" Type="http://schemas.openxmlformats.org/officeDocument/2006/relationships/hyperlink" Target="https://audio.iskcondesiretree.com/01_-_Srila_Prabhupada/01_-_Lectures/01_-_English/02_-_Month_wise/10_-_October/18/Lect_BOM_1973-10-18_At_Bharati_Vidya_Bhavan.mp3" TargetMode="External"/><Relationship Id="rId2657" Type="http://schemas.openxmlformats.org/officeDocument/2006/relationships/hyperlink" Target="https://audio.iskcondesiretree.com/01_-_Srila_Prabhupada/01_-_Lectures/01_-_English/01_-_Topic_wise/Srimad_Bhagavatam/Canto-03/SP_SB_3-26-21_Bombay_1974-12-30_The_Only_Way_to_Peace_of_Mind.mp3" TargetMode="External"/><Relationship Id="rId3987" Type="http://schemas.openxmlformats.org/officeDocument/2006/relationships/hyperlink" Target="https://audio.iskcondesiretree.com/01_-_Srila_Prabhupada/01_-_Lectures/01_-_English/02_-_Month_wise/11_-_November/14/MW_BOM_1975-11-14_Scientific_Know-Nothings.mp3" TargetMode="External"/><Relationship Id="rId1327" Type="http://schemas.openxmlformats.org/officeDocument/2006/relationships/hyperlink" Target="https://audio.iskcondesiretree.com/01_-_Srila_Prabhupada/01_-_Lectures/01_-_English/01_-_Topic_wise/Bhagavad_Gita/Chapter-13/SP_BG_13-22_Bombay_1973-10-20_Through_the_Modes_of_Nature.mp3" TargetMode="External"/><Relationship Id="rId2658" Type="http://schemas.openxmlformats.org/officeDocument/2006/relationships/hyperlink" Target="https://audio.iskcondesiretree.com/01_-_Srila_Prabhupada/01_-_Lectures/01_-_English/02_-_Month_wise/12_-_December/30/SB-03-26-21_1974-12-30_SB-BOMBAY.MP3" TargetMode="External"/><Relationship Id="rId1328" Type="http://schemas.openxmlformats.org/officeDocument/2006/relationships/hyperlink" Target="https://audio.iskcondesiretree.com/01_-_Srila_Prabhupada/01_-_Lectures/01_-_English/02_-_Month_wise/10_-_October/20/Bg_13-22_BOM_1973-10-20_Through_the_Modes_of_Nature.mp3" TargetMode="External"/><Relationship Id="rId2659" Type="http://schemas.openxmlformats.org/officeDocument/2006/relationships/hyperlink" Target="https://audio.iskcondesiretree.com/01_-_Srila_Prabhupada/01_-_Lectures/01_-_English/01_-_Topic_wise/Srimad_Bhagavatam/Canto-03/SP_SB_3-26-22_Bombay_1974-12-31_Our_Natural_Consciousness.mp3" TargetMode="External"/><Relationship Id="rId3989" Type="http://schemas.openxmlformats.org/officeDocument/2006/relationships/hyperlink" Target="https://audio.iskcondesiretree.com/01_-_Srila_Prabhupada/01_-_Lectures/01_-_English/02_-_Month_wise/11_-_November/14/Walk_1975-11-14_MW-BOMBAY.MP3" TargetMode="External"/><Relationship Id="rId1329" Type="http://schemas.openxmlformats.org/officeDocument/2006/relationships/hyperlink" Target="https://audio.iskcondesiretree.com/01_-_Srila_Prabhupada/01_-_Lectures/01_-_English/01_-_Topic_wise/Bhagavad_Gita/Chapter-13/SP_BG_13-23_Bombay_1973-10-22_How_to_Understand_the_Overseer.mp3" TargetMode="External"/><Relationship Id="rId739" Type="http://schemas.openxmlformats.org/officeDocument/2006/relationships/hyperlink" Target="https://audio.iskcondesiretree.com/01_-_Srila_Prabhupada/01_-_Lectures/01_-_English/01_-_Topic_wise/Srimad_Bhagavatam/Canto-01/SP_SB_1-02-12_Vrindavan_1972-10-23_Beyond_Business_of_Hogs_and_Dogs.mp3" TargetMode="External"/><Relationship Id="rId734" Type="http://schemas.openxmlformats.org/officeDocument/2006/relationships/hyperlink" Target="https://audio.iskcondesiretree.com/01_-_Srila_Prabhupada/01_-_Lectures/01_-_English/02_-_Month_wise/10_-_October/21/NOD_02_VRN_1972-10-21_The_Complete_Science_of_Bhakti-Yoga.mp3" TargetMode="External"/><Relationship Id="rId733" Type="http://schemas.openxmlformats.org/officeDocument/2006/relationships/hyperlink" Target="https://audio.iskcondesiretree.com/01_-_Srila_Prabhupada/01_-_Lectures/01_-_English/01_-_Topic_wise/Srimad_Bhagavatam/Canto-01/SP_SB_1-02-10_Vrindavan_1972-10-21_New_Orleans_Industrial_Development.mp3" TargetMode="External"/><Relationship Id="rId732" Type="http://schemas.openxmlformats.org/officeDocument/2006/relationships/hyperlink" Target="https://audio.iskcondesiretree.com/01_-_Srila_Prabhupada/01_-_Lectures/01_-_English/01_-_Topic_wise/Nectar_Of_Devotion/SP_NOD_02_Vrindavan_1972-10-21_-_The_Complete_Science_of_Bhakti_Yoga.mp3" TargetMode="External"/><Relationship Id="rId731" Type="http://schemas.openxmlformats.org/officeDocument/2006/relationships/hyperlink" Target="https://audio.iskcondesiretree.com/01_-_Srila_Prabhupada/01_-_Lectures/01_-_English/02_-_Month_wise/10_-_October/20/SB_1-02-09_VRN_1972-10-20_Everyone_Can_Serve_Krishna.mp3" TargetMode="External"/><Relationship Id="rId738" Type="http://schemas.openxmlformats.org/officeDocument/2006/relationships/hyperlink" Target="https://audio.iskcondesiretree.com/01_-_Srila_Prabhupada/01_-_Lectures/01_-_English/01_-_Topic_wise/Nectar_Of_Devotion/SP_NOD_Vrindavan_1972-10-23_-_An_Advanced_Devotee_Never-etc.mp3" TargetMode="External"/><Relationship Id="rId737" Type="http://schemas.openxmlformats.org/officeDocument/2006/relationships/hyperlink" Target="https://audio.iskcondesiretree.com/01_-_Srila_Prabhupada/01_-_Lectures/01_-_English/02_-_Month_wise/10_-_October/22/SB_1-02-11_VRN_1972-10-22_The_Last_Word_in_Understanding.mp3" TargetMode="External"/><Relationship Id="rId736" Type="http://schemas.openxmlformats.org/officeDocument/2006/relationships/hyperlink" Target="https://audio.iskcondesiretree.com/01_-_Srila_Prabhupada/01_-_Lectures/01_-_English/01_-_Topic_wise/Srimad_Bhagavatam/Canto-01/SP_SB_1-02-11_Vrindavan_1972-10-22_The_Last_Word_in_Understanding.mp3" TargetMode="External"/><Relationship Id="rId735" Type="http://schemas.openxmlformats.org/officeDocument/2006/relationships/hyperlink" Target="https://audio.iskcondesiretree.com/01_-_Srila_Prabhupada/01_-_Lectures/01_-_English/02_-_Month_wise/10_-_October/21/SB_1-02-10_VRN_1972-10-21_No_Industrial_Development.mp3" TargetMode="External"/><Relationship Id="rId3980" Type="http://schemas.openxmlformats.org/officeDocument/2006/relationships/hyperlink" Target="https://audio.iskcondesiretree.com/01_-_Srila_Prabhupada/01_-_Lectures/01_-_English/02_-_Month_wise/11_-_November/12/CcMadhya-20-120_1975-11-12_CC-BOMBAY.MP3" TargetMode="External"/><Relationship Id="rId730" Type="http://schemas.openxmlformats.org/officeDocument/2006/relationships/hyperlink" Target="https://audio.iskcondesiretree.com/01_-_Srila_Prabhupada/01_-_Lectures/01_-_English/02_-_Month_wise/10_-_October/20/NOD_01_VRN_1972-10-20_The_Complete_Science_of_Bhakti-Yoga.mp3" TargetMode="External"/><Relationship Id="rId2650" Type="http://schemas.openxmlformats.org/officeDocument/2006/relationships/hyperlink" Target="https://audio.iskcondesiretree.com/01_-_Srila_Prabhupada/01_-_Lectures/01_-_English/02_-_Month_wise/12_-_December/27/SB_3-26-18_BOM_1974-12-27_United_by_Chanting_and_Dancing.mp3" TargetMode="External"/><Relationship Id="rId3982" Type="http://schemas.openxmlformats.org/officeDocument/2006/relationships/hyperlink" Target="https://audio.iskcondesiretree.com/01_-_Srila_Prabhupada/01_-_Lectures/01_-_English/02_-_Month_wise/11_-_November/12/Walk_1975-11-12_MW-BOMBAY.MP3" TargetMode="External"/><Relationship Id="rId1320" Type="http://schemas.openxmlformats.org/officeDocument/2006/relationships/hyperlink" Target="https://audio.iskcondesiretree.com/01_-_Srila_Prabhupada/01_-_Lectures/01_-_English/02_-_Month_wise/10_-_October/13/Bg_13-19_BOM_1973-10-13_Object_of_Knowledge.mp3" TargetMode="External"/><Relationship Id="rId2651" Type="http://schemas.openxmlformats.org/officeDocument/2006/relationships/hyperlink" Target="https://audio.iskcondesiretree.com/01_-_Srila_Prabhupada/01_-_Lectures/01_-_English/01_-_Topic_wise/Srimad_Bhagavatam/Canto-03/SP_SB_3-26-19_Bombay_1974-12-28_This_Society_Needs_Some_Brains.mp3" TargetMode="External"/><Relationship Id="rId3981" Type="http://schemas.openxmlformats.org/officeDocument/2006/relationships/hyperlink" Target="https://audio.iskcondesiretree.com/01_-_Srila_Prabhupada/01_-_Lectures/01_-_English/02_-_Month_wise/11_-_November/12/MW_BOM_1975-11-12_Maya_and_Her_Ministers.mp3" TargetMode="External"/><Relationship Id="rId1321" Type="http://schemas.openxmlformats.org/officeDocument/2006/relationships/hyperlink" Target="https://audio.iskcondesiretree.com/01_-_Srila_Prabhupada/01_-_Lectures/01_-_English/01_-_Topic_wise/Bhagavad_Gita/Chapter-13/SP_BG_13-20_Bombay_1973-10-14_The_Enjoying_Spirit.mp3" TargetMode="External"/><Relationship Id="rId2652" Type="http://schemas.openxmlformats.org/officeDocument/2006/relationships/hyperlink" Target="https://audio.iskcondesiretree.com/01_-_Srila_Prabhupada/01_-_Lectures/01_-_English/02_-_Month_wise/12_-_December/28/SB-03-26-19_1974-12-28_SB-BOMBAY.MP3" TargetMode="External"/><Relationship Id="rId3984" Type="http://schemas.openxmlformats.org/officeDocument/2006/relationships/hyperlink" Target="https://audio.iskcondesiretree.com/01_-_Srila_Prabhupada/01_-_Lectures/01_-_English/02_-_Month_wise/11_-_November/13/MW_BOM_1975-11-13_Anyone_Who_is_Not_a_Devotee_Is_a_Rascal.mp3" TargetMode="External"/><Relationship Id="rId1322" Type="http://schemas.openxmlformats.org/officeDocument/2006/relationships/hyperlink" Target="https://audio.iskcondesiretree.com/01_-_Srila_Prabhupada/01_-_Lectures/01_-_English/02_-_Month_wise/10_-_October/14/Bg_13-20_BOM_1973-10-14_The_Enjoying_Spirit.mp3" TargetMode="External"/><Relationship Id="rId2653" Type="http://schemas.openxmlformats.org/officeDocument/2006/relationships/hyperlink" Target="https://audio.iskcondesiretree.com/01_-_Srila_Prabhupada/01_-_Lectures/01_-_English/02_-_Month_wise/12_-_December/28/SB_3-26-19_BOM_1974-12-28_This_Society_Needs_Some_Brains.mp3" TargetMode="External"/><Relationship Id="rId3983" Type="http://schemas.openxmlformats.org/officeDocument/2006/relationships/hyperlink" Target="https://audio.iskcondesiretree.com/01_-_Srila_Prabhupada/01_-_Lectures/01_-_English/01_-_Topic_wise/Morning_Walk/SP_Morning_Walk_-_Bombay_1975-11-13_Anyone_Who_is_Not_a_Devotee_Is_a_Rascal.mp3" TargetMode="External"/><Relationship Id="rId1356" Type="http://schemas.openxmlformats.org/officeDocument/2006/relationships/hyperlink" Target="https://audio.iskcondesiretree.com/01_-_Srila_Prabhupada/01_-_Lectures/01_-_English/02_-_Month_wise/11_-_November/08/SB_2-01-05_DEL_1973-11-08_Hearing_Your_Way_Clear.mp3" TargetMode="External"/><Relationship Id="rId2687" Type="http://schemas.openxmlformats.org/officeDocument/2006/relationships/hyperlink" Target="https://audio.iskcondesiretree.com/01_-_Srila_Prabhupada/01_-_Lectures/01_-_English/02_-_Month_wise/01_-_January/09/SB-03-26-32_1975-01-09_SB-BOMBAY.MP3" TargetMode="External"/><Relationship Id="rId1357" Type="http://schemas.openxmlformats.org/officeDocument/2006/relationships/hyperlink" Target="https://audio.iskcondesiretree.com/01_-_Srila_Prabhupada/01_-_Lectures/01_-_English/01_-_Topic_wise/Various/SP_Lecture_Delhi_1973-11-10_At_Pandal--Hog_Happiness_-_Human_Happiness.mp3" TargetMode="External"/><Relationship Id="rId2688" Type="http://schemas.openxmlformats.org/officeDocument/2006/relationships/hyperlink" Target="https://audio.iskcondesiretree.com/01_-_Srila_Prabhupada/01_-_Lectures/01_-_English/02_-_Month_wise/01_-_January/09/SB_3-26-32_BOM_1975-01-09_Creation-Sound_Explanation.mp3" TargetMode="External"/><Relationship Id="rId1358" Type="http://schemas.openxmlformats.org/officeDocument/2006/relationships/hyperlink" Target="https://audio.iskcondesiretree.com/01_-_Srila_Prabhupada/01_-_Lectures/01_-_English/02_-_Month_wise/11_-_November/10/Lect_DEL_1973-11-10_At_Pandal-Hog_Happiness_Human_Happiness.mp3" TargetMode="External"/><Relationship Id="rId2689" Type="http://schemas.openxmlformats.org/officeDocument/2006/relationships/hyperlink" Target="https://audio.iskcondesiretree.com/01_-_Srila_Prabhupada/01_-_Lectures/01_-_English/01_-_Topic_wise/Srimad_Bhagavatam/Canto-03/SP_SB_3-26-34_Bombay_1975-01-11_Passing_Life%27s_Final_Examination.mp3" TargetMode="External"/><Relationship Id="rId1359" Type="http://schemas.openxmlformats.org/officeDocument/2006/relationships/hyperlink" Target="https://audio.iskcondesiretree.com/01_-_Srila_Prabhupada/01_-_Lectures/01_-_English/01_-_Topic_wise/Srimad_Bhagavatam/Canto-01/SP_SB_1-02-05_Delhi_1973-11-11_The_Ultimate_Gain_in_Life.mp3" TargetMode="External"/><Relationship Id="rId767" Type="http://schemas.openxmlformats.org/officeDocument/2006/relationships/hyperlink" Target="https://audio.iskcondesiretree.com/01_-_Srila_Prabhupada/01_-_Lectures/01_-_English/02_-_Month_wise/10_-_October/31/SB_1-02-20_VRN_1972-10-31_Spiritual_Life_Means_Joyfulness.mp3" TargetMode="External"/><Relationship Id="rId766" Type="http://schemas.openxmlformats.org/officeDocument/2006/relationships/hyperlink" Target="https://audio.iskcondesiretree.com/01_-_Srila_Prabhupada/01_-_Lectures/01_-_English/02_-_Month_wise/10_-_October/31/NOD_06_VRN_1972-10-31_The_Complete_Science_of_Bhakti-Yoga.mp3" TargetMode="External"/><Relationship Id="rId765" Type="http://schemas.openxmlformats.org/officeDocument/2006/relationships/hyperlink" Target="https://audio.iskcondesiretree.com/01_-_Srila_Prabhupada/01_-_Lectures/01_-_English/01_-_Topic_wise/Srimad_Bhagavatam/Canto-01/SP_SB_1-02-20_Vrindavan_1972-10-31_Spiritual_Life_Means_Joyfulness.mp3" TargetMode="External"/><Relationship Id="rId764" Type="http://schemas.openxmlformats.org/officeDocument/2006/relationships/hyperlink" Target="https://audio.iskcondesiretree.com/01_-_Srila_Prabhupada/01_-_Lectures/01_-_English/01_-_Topic_wise/Nectar_Of_Devotion/SP_NOD_06_Vrindavan_1972-10-31_-_The_Complete_Science_of_Bhakti_Yoga.mp3" TargetMode="External"/><Relationship Id="rId769" Type="http://schemas.openxmlformats.org/officeDocument/2006/relationships/hyperlink" Target="https://audio.iskcondesiretree.com/01_-_Srila_Prabhupada/01_-_Lectures/01_-_English/01_-_Topic_wise/Srimad_Bhagavatam/Canto-01/SP_SB_1-02-21_Vrindavan_1972-11-01_Untying_the_Knot_Between--etc.mp3" TargetMode="External"/><Relationship Id="rId768" Type="http://schemas.openxmlformats.org/officeDocument/2006/relationships/hyperlink" Target="https://audio.iskcondesiretree.com/01_-_Srila_Prabhupada/01_-_Lectures/01_-_English/01_-_Topic_wise/Nectar_Of_Devotion/SP_NOD_Vrindavan_1972-11-01_-_Devotion_Is_Action_Without_Designation.mp3" TargetMode="External"/><Relationship Id="rId2680" Type="http://schemas.openxmlformats.org/officeDocument/2006/relationships/hyperlink" Target="https://audio.iskcondesiretree.com/01_-_Srila_Prabhupada/01_-_Lectures/01_-_English/01_-_Topic_wise/Srimad_Bhagavatam/Canto-03/SP_SB_3-26-30_Bombay_1975-01-07_We_Should_Have_Firm_Faith.mp3" TargetMode="External"/><Relationship Id="rId1350" Type="http://schemas.openxmlformats.org/officeDocument/2006/relationships/hyperlink" Target="https://audio.iskcondesiretree.com/01_-_Srila_Prabhupada/01_-_Lectures/01_-_English/02_-_Month_wise/11_-_November/04/SB_2-01-01_DEL_1973-11-04_In_VRN_There_are_More_etc.mp3" TargetMode="External"/><Relationship Id="rId2681" Type="http://schemas.openxmlformats.org/officeDocument/2006/relationships/hyperlink" Target="https://audio.iskcondesiretree.com/01_-_Srila_Prabhupada/01_-_Lectures/01_-_English/02_-_Month_wise/01_-_January/07/SB-03-26-30_1975-01-07_SB-BOMBAY.MP3" TargetMode="External"/><Relationship Id="rId1351" Type="http://schemas.openxmlformats.org/officeDocument/2006/relationships/hyperlink" Target="https://audio.iskcondesiretree.com/01_-_Srila_Prabhupada/01_-_Lectures/01_-_English/01_-_Topic_wise/Srimad_Bhagavatam/Canto-02/SP_SB_2-01-03_Delhi_1973-11-06_The_Sighted_and_the_Blind.mp3" TargetMode="External"/><Relationship Id="rId2682" Type="http://schemas.openxmlformats.org/officeDocument/2006/relationships/hyperlink" Target="https://audio.iskcondesiretree.com/01_-_Srila_Prabhupada/01_-_Lectures/01_-_English/02_-_Month_wise/01_-_January/07/SB_3-26-30_BOM_1975-01-07_We_Should_Have_Firm_Faith.mp3" TargetMode="External"/><Relationship Id="rId763" Type="http://schemas.openxmlformats.org/officeDocument/2006/relationships/hyperlink" Target="https://audio.iskcondesiretree.com/01_-_Srila_Prabhupada/01_-_Lectures/01_-_English/02_-_Month_wise/10_-_October/30/SB_1-02-19_VRN_1972-10-30_Above_Nature%27s_Modes_to_Happiness.mp3" TargetMode="External"/><Relationship Id="rId1352" Type="http://schemas.openxmlformats.org/officeDocument/2006/relationships/hyperlink" Target="https://audio.iskcondesiretree.com/01_-_Srila_Prabhupada/01_-_Lectures/01_-_English/02_-_Month_wise/11_-_November/06/SB_2-01-03_DEL_1973-11-06_The_Sighted_and_the_Blind.mp3" TargetMode="External"/><Relationship Id="rId2683" Type="http://schemas.openxmlformats.org/officeDocument/2006/relationships/hyperlink" Target="https://audio.iskcondesiretree.com/01_-_Srila_Prabhupada/01_-_Lectures/01_-_English/01_-_Topic_wise/Srimad_Bhagavatam/Canto-03/SP_SB_3-26-31_Bombay_1975-01-08_First-class_Yoga.mp3" TargetMode="External"/><Relationship Id="rId762" Type="http://schemas.openxmlformats.org/officeDocument/2006/relationships/hyperlink" Target="https://audio.iskcondesiretree.com/01_-_Srila_Prabhupada/01_-_Lectures/01_-_English/02_-_Month_wise/10_-_October/30/NOD_07_VRN_1972-10-30_The_Complete_Science_of_Bhakti-Yoga.mp3" TargetMode="External"/><Relationship Id="rId1353" Type="http://schemas.openxmlformats.org/officeDocument/2006/relationships/hyperlink" Target="https://audio.iskcondesiretree.com/01_-_Srila_Prabhupada/01_-_Lectures/01_-_English/01_-_Topic_wise/Srimad_Bhagavatam/Canto-02/SP_SB_2-01-04_Delhi_1973-11-07_The_Anatomy_of_Madness.mp3" TargetMode="External"/><Relationship Id="rId2684" Type="http://schemas.openxmlformats.org/officeDocument/2006/relationships/hyperlink" Target="https://audio.iskcondesiretree.com/01_-_Srila_Prabhupada/01_-_Lectures/01_-_English/02_-_Month_wise/01_-_January/08/SB-03-26-31_1975-01-08_SB-BOMBAY.MP3" TargetMode="External"/><Relationship Id="rId761" Type="http://schemas.openxmlformats.org/officeDocument/2006/relationships/hyperlink" Target="https://audio.iskcondesiretree.com/01_-_Srila_Prabhupada/01_-_Lectures/01_-_English/01_-_Topic_wise/Srimad_Bhagavatam/Canto-01/SP_SB_1-02-19_Vrindavan_1972-10-30_Above_Nature%27s_Modes_to_Happiness.mp3" TargetMode="External"/><Relationship Id="rId1354" Type="http://schemas.openxmlformats.org/officeDocument/2006/relationships/hyperlink" Target="https://audio.iskcondesiretree.com/01_-_Srila_Prabhupada/01_-_Lectures/01_-_English/02_-_Month_wise/11_-_November/07/SB_2-01-04_DEL_1973-11-07_The_Anatomy_of_Madness.mp3" TargetMode="External"/><Relationship Id="rId2685" Type="http://schemas.openxmlformats.org/officeDocument/2006/relationships/hyperlink" Target="https://audio.iskcondesiretree.com/01_-_Srila_Prabhupada/01_-_Lectures/01_-_English/02_-_Month_wise/01_-_January/08/SB_3-26-31_BOM_1975-01-08_First-class_Yoga.mp3" TargetMode="External"/><Relationship Id="rId760" Type="http://schemas.openxmlformats.org/officeDocument/2006/relationships/hyperlink" Target="https://audio.iskcondesiretree.com/01_-_Srila_Prabhupada/01_-_Lectures/01_-_English/01_-_Topic_wise/Nectar_Of_Devotion/SP_NOD_07_Vrindavan_1972-10-30_-_The_Complete_Science_of_Bhakti_Yoga.mp3" TargetMode="External"/><Relationship Id="rId1355" Type="http://schemas.openxmlformats.org/officeDocument/2006/relationships/hyperlink" Target="https://audio.iskcondesiretree.com/01_-_Srila_Prabhupada/01_-_Lectures/01_-_English/01_-_Topic_wise/Srimad_Bhagavatam/Canto-02/SP_SB_2-01-05_Delhi_1973-11-08_Hearing_Your_Way_Clear.mp3" TargetMode="External"/><Relationship Id="rId2686" Type="http://schemas.openxmlformats.org/officeDocument/2006/relationships/hyperlink" Target="https://audio.iskcondesiretree.com/01_-_Srila_Prabhupada/01_-_Lectures/01_-_English/01_-_Topic_wise/Srimad_Bhagavatam/Canto-03/SP_SB_3-26-32_Bombay_1975-01-09_Creation--Sound_Explanation.mp3" TargetMode="External"/><Relationship Id="rId1345" Type="http://schemas.openxmlformats.org/officeDocument/2006/relationships/hyperlink" Target="https://audio.iskcondesiretree.com/01_-_Srila_Prabhupada/01_-_Lectures/01_-_English/01_-_Topic_wise/Bhagavad_Gita/Chapter-04/SP_BG_04-18_Delhi_1973-11-03_Everyone_Without_Krishna--etc.mp3" TargetMode="External"/><Relationship Id="rId2676" Type="http://schemas.openxmlformats.org/officeDocument/2006/relationships/hyperlink" Target="https://audio.iskcondesiretree.com/01_-_Srila_Prabhupada/01_-_Lectures/01_-_English/02_-_Month_wise/01_-_January/05/SB_3-26-28_BOM_1975-01-05_Centering_the_Central_Sense.mp3" TargetMode="External"/><Relationship Id="rId1346" Type="http://schemas.openxmlformats.org/officeDocument/2006/relationships/hyperlink" Target="https://audio.iskcondesiretree.com/01_-_Srila_Prabhupada/01_-_Lectures/01_-_English/01_-_Topic_wise/Room_Conversation/SP_Room_Conversation_Delhi_1973-11-03_Krishna%27s_Special_Favor_Upon_Srila_Prabhupada.mp3" TargetMode="External"/><Relationship Id="rId2677" Type="http://schemas.openxmlformats.org/officeDocument/2006/relationships/hyperlink" Target="https://audio.iskcondesiretree.com/01_-_Srila_Prabhupada/01_-_Lectures/01_-_English/01_-_Topic_wise/Srimad_Bhagavatam/Canto-03/SP_SB_3-26-29_Bombay_1975-01-06_This_Body_Is_Imitation.mp3" TargetMode="External"/><Relationship Id="rId1347" Type="http://schemas.openxmlformats.org/officeDocument/2006/relationships/hyperlink" Target="https://audio.iskcondesiretree.com/01_-_Srila_Prabhupada/01_-_Lectures/01_-_English/02_-_Month_wise/11_-_November/03/Bg_04-18_DEL_1973-11-03_Everyone_Without_Krishna_etc.mp3" TargetMode="External"/><Relationship Id="rId2678" Type="http://schemas.openxmlformats.org/officeDocument/2006/relationships/hyperlink" Target="https://audio.iskcondesiretree.com/01_-_Srila_Prabhupada/01_-_Lectures/01_-_English/02_-_Month_wise/01_-_January/06/SB-03-26-29_1975-01-06_SB-BOMBAY.MP3" TargetMode="External"/><Relationship Id="rId1348" Type="http://schemas.openxmlformats.org/officeDocument/2006/relationships/hyperlink" Target="https://audio.iskcondesiretree.com/01_-_Srila_Prabhupada/01_-_Lectures/01_-_English/02_-_Month_wise/11_-_November/03/RC_DEL_1973-11-03_Krishna%27s_Special_Favor_Upon_Srila_Prabhupada.mp3" TargetMode="External"/><Relationship Id="rId2679" Type="http://schemas.openxmlformats.org/officeDocument/2006/relationships/hyperlink" Target="https://audio.iskcondesiretree.com/01_-_Srila_Prabhupada/01_-_Lectures/01_-_English/02_-_Month_wise/01_-_January/06/SB_3-26-29_BOM_1975-01-06_This_Body_Is_Imitation.mp3" TargetMode="External"/><Relationship Id="rId1349" Type="http://schemas.openxmlformats.org/officeDocument/2006/relationships/hyperlink" Target="https://audio.iskcondesiretree.com/01_-_Srila_Prabhupada/01_-_Lectures/01_-_English/01_-_Topic_wise/Srimad_Bhagavatam/Canto-02/SP_SB_2-01-01_Delhi_1973-11-04_In_Vrindavan_There_are_More--etc.mp3" TargetMode="External"/><Relationship Id="rId756" Type="http://schemas.openxmlformats.org/officeDocument/2006/relationships/hyperlink" Target="https://audio.iskcondesiretree.com/01_-_Srila_Prabhupada/01_-_Lectures/01_-_English/01_-_Topic_wise/Nectar_Of_Devotion/SP_NOD_Vrindavan_1972-10-29_-_The_Mental_Culture_of_Krsna-etc.mp3" TargetMode="External"/><Relationship Id="rId755" Type="http://schemas.openxmlformats.org/officeDocument/2006/relationships/hyperlink" Target="https://audio.iskcondesiretree.com/01_-_Srila_Prabhupada/01_-_Lectures/01_-_English/02_-_Month_wise/10_-_October/28/SB_1-02-17_VRN_1972-10-28_Taking_Help_from_the_Friend_etc.mp3" TargetMode="External"/><Relationship Id="rId754" Type="http://schemas.openxmlformats.org/officeDocument/2006/relationships/hyperlink" Target="https://audio.iskcondesiretree.com/01_-_Srila_Prabhupada/01_-_Lectures/01_-_English/02_-_Month_wise/10_-_October/28/NOD_05_VRN_1972-10-28_The_Complete_Science_of_Bhakti-Yoga.mp3" TargetMode="External"/><Relationship Id="rId753" Type="http://schemas.openxmlformats.org/officeDocument/2006/relationships/hyperlink" Target="https://audio.iskcondesiretree.com/01_-_Srila_Prabhupada/01_-_Lectures/01_-_English/01_-_Topic_wise/Srimad_Bhagavatam/Canto-01/SP_SB_1-02-17_Vrindavan_1972-10-28_Taking_Help_from_the_Friend--etc.mp3" TargetMode="External"/><Relationship Id="rId759" Type="http://schemas.openxmlformats.org/officeDocument/2006/relationships/hyperlink" Target="https://audio.iskcondesiretree.com/01_-_Srila_Prabhupada/01_-_Lectures/01_-_English/02_-_Month_wise/10_-_October/29/SB_1-02-18_VRN_1972-10-29_All_That_Is_Troublesome_to_etc.mp3" TargetMode="External"/><Relationship Id="rId758" Type="http://schemas.openxmlformats.org/officeDocument/2006/relationships/hyperlink" Target="https://audio.iskcondesiretree.com/01_-_Srila_Prabhupada/01_-_Lectures/01_-_English/02_-_Month_wise/10_-_October/29/NOD_Lect_VRN_1972-10-29_The_Mental_Culture_of_Krsna_etc.mp3" TargetMode="External"/><Relationship Id="rId757" Type="http://schemas.openxmlformats.org/officeDocument/2006/relationships/hyperlink" Target="https://audio.iskcondesiretree.com/01_-_Srila_Prabhupada/01_-_Lectures/01_-_English/01_-_Topic_wise/Srimad_Bhagavatam/Canto-01/SP_SB_1-02-18_Vrindavan_1972-10-29_All_That_Is_Troublesome_to--etc.mp3" TargetMode="External"/><Relationship Id="rId2670" Type="http://schemas.openxmlformats.org/officeDocument/2006/relationships/hyperlink" Target="https://audio.iskcondesiretree.com/01_-_Srila_Prabhupada/01_-_Lectures/01_-_English/02_-_Month_wise/01_-_January/03/SB_3-26-26_BOM_1975-01-03_Breaking_Our_Karmic_Chains.mp3" TargetMode="External"/><Relationship Id="rId1340" Type="http://schemas.openxmlformats.org/officeDocument/2006/relationships/hyperlink" Target="https://audio.iskcondesiretree.com/01_-_Srila_Prabhupada/01_-_Lectures/01_-_English/02_-_Month_wise/10_-_October/31/RC_VRN_1973-10-31_Glories_of_the_Supreme_Lord.mp3" TargetMode="External"/><Relationship Id="rId2671" Type="http://schemas.openxmlformats.org/officeDocument/2006/relationships/hyperlink" Target="https://audio.iskcondesiretree.com/01_-_Srila_Prabhupada/01_-_Lectures/01_-_English/01_-_Topic_wise/Srimad_Bhagavatam/Canto-03/SP_SB_3-26-27_Bombay_1975-01-04_Controlling_the_Uncontrollable.mp3" TargetMode="External"/><Relationship Id="rId752" Type="http://schemas.openxmlformats.org/officeDocument/2006/relationships/hyperlink" Target="https://audio.iskcondesiretree.com/01_-_Srila_Prabhupada/01_-_Lectures/01_-_English/01_-_Topic_wise/Nectar_Of_Devotion/SP_NOD_05_Vrindavan_1972-10-28_-_The_Complete_Science_of_Bhakti_Yoga.mp3" TargetMode="External"/><Relationship Id="rId1341" Type="http://schemas.openxmlformats.org/officeDocument/2006/relationships/hyperlink" Target="https://audio.iskcondesiretree.com/01_-_Srila_Prabhupada/01_-_Lectures/01_-_English/01_-_Topic_wise/Room_Conversation/SP_Room_Conversation_Delhi_1973-11-01_These_Miseries_Will_Follow_You.mp3" TargetMode="External"/><Relationship Id="rId2672" Type="http://schemas.openxmlformats.org/officeDocument/2006/relationships/hyperlink" Target="https://audio.iskcondesiretree.com/01_-_Srila_Prabhupada/01_-_Lectures/01_-_English/02_-_Month_wise/01_-_January/04/SB-03-26-27_1975-01-04_SB-BOMBAY.MP3" TargetMode="External"/><Relationship Id="rId751" Type="http://schemas.openxmlformats.org/officeDocument/2006/relationships/hyperlink" Target="https://audio.iskcondesiretree.com/01_-_Srila_Prabhupada/01_-_Lectures/01_-_English/02_-_Month_wise/10_-_October/27/SB_1-02-16_VRN_1972-10-27_Developing_Taste_for_the_etc.mp3" TargetMode="External"/><Relationship Id="rId1342" Type="http://schemas.openxmlformats.org/officeDocument/2006/relationships/hyperlink" Target="https://audio.iskcondesiretree.com/01_-_Srila_Prabhupada/01_-_Lectures/01_-_English/02_-_Month_wise/11_-_November/01/RC_DEL_1973-11-01_These_Miseries_Will_Follow_You.mp3" TargetMode="External"/><Relationship Id="rId2673" Type="http://schemas.openxmlformats.org/officeDocument/2006/relationships/hyperlink" Target="https://audio.iskcondesiretree.com/01_-_Srila_Prabhupada/01_-_Lectures/01_-_English/02_-_Month_wise/01_-_January/04/SB_3-26-27_BOM_1975-01-04_Controlling_the_Uncontrollable.mp3" TargetMode="External"/><Relationship Id="rId750" Type="http://schemas.openxmlformats.org/officeDocument/2006/relationships/hyperlink" Target="https://audio.iskcondesiretree.com/01_-_Srila_Prabhupada/01_-_Lectures/01_-_English/02_-_Month_wise/10_-_October/27/NOD_Lect_VRN_1972-10-27_From_Low-Grade_Society_to_the_etc.mp3" TargetMode="External"/><Relationship Id="rId1343" Type="http://schemas.openxmlformats.org/officeDocument/2006/relationships/hyperlink" Target="https://audio.iskcondesiretree.com/01_-_Srila_Prabhupada/01_-_Lectures/01_-_English/01_-_Topic_wise/Room_Conversation/SP_Room_Conversation_Delhi_1973-11-02_High_Words_Will_Not_Do.mp3" TargetMode="External"/><Relationship Id="rId2674" Type="http://schemas.openxmlformats.org/officeDocument/2006/relationships/hyperlink" Target="https://audio.iskcondesiretree.com/01_-_Srila_Prabhupada/01_-_Lectures/01_-_English/01_-_Topic_wise/Srimad_Bhagavatam/Canto-03/SP_SB_3-26-28_Bombay_1975-01-05_Centering_the_Central_Sense.mp3" TargetMode="External"/><Relationship Id="rId1344" Type="http://schemas.openxmlformats.org/officeDocument/2006/relationships/hyperlink" Target="https://audio.iskcondesiretree.com/01_-_Srila_Prabhupada/01_-_Lectures/01_-_English/02_-_Month_wise/11_-_November/02/RC_DEL_1973-11-02_High_Words_Will_Not_Do.mp3" TargetMode="External"/><Relationship Id="rId2675" Type="http://schemas.openxmlformats.org/officeDocument/2006/relationships/hyperlink" Target="https://audio.iskcondesiretree.com/01_-_Srila_Prabhupada/01_-_Lectures/01_-_English/02_-_Month_wise/01_-_January/05/SB-03-26-28_1975-01-05_SB-BOMBAY.MP3" TargetMode="External"/><Relationship Id="rId2621" Type="http://schemas.openxmlformats.org/officeDocument/2006/relationships/hyperlink" Target="https://audio.iskcondesiretree.com/01_-_Srila_Prabhupada/01_-_Lectures/01_-_English/01_-_Topic_wise/Srimad_Bhagavatam/Canto-03/SP_SB_3-26-06_Bombay_1974-12-18_Atheistic_Arrogance.mp3" TargetMode="External"/><Relationship Id="rId3953" Type="http://schemas.openxmlformats.org/officeDocument/2006/relationships/hyperlink" Target="https://audio.iskcondesiretree.com/01_-_Srila_Prabhupada/01_-_Lectures/01_-_English/02_-_Month_wise/11_-_November/02/Lecture%E2%80%93Hindi_1975-11-02_LE-BOMBAY.MP3" TargetMode="External"/><Relationship Id="rId2622" Type="http://schemas.openxmlformats.org/officeDocument/2006/relationships/hyperlink" Target="https://audio.iskcondesiretree.com/01_-_Srila_Prabhupada/01_-_Lectures/01_-_English/02_-_Month_wise/12_-_December/18/SB-03-26-06_1974-12-18_SB-BOMBAY.MP3" TargetMode="External"/><Relationship Id="rId3952" Type="http://schemas.openxmlformats.org/officeDocument/2006/relationships/hyperlink" Target="https://audio.iskcondesiretree.com/01_-_Srila_Prabhupada/01_-_Lectures/01_-_English/02_-_Month_wise/11_-_November/01/Walk_1975-11-01_MW-NAIROBI.MP3" TargetMode="External"/><Relationship Id="rId2623" Type="http://schemas.openxmlformats.org/officeDocument/2006/relationships/hyperlink" Target="https://audio.iskcondesiretree.com/01_-_Srila_Prabhupada/01_-_Lectures/01_-_English/02_-_Month_wise/12_-_December/18/SB_3-26-06_BOM_1974-12-18_Atheistic_Arrogance.mp3" TargetMode="External"/><Relationship Id="rId3955" Type="http://schemas.openxmlformats.org/officeDocument/2006/relationships/hyperlink" Target="https://audio.iskcondesiretree.com/01_-_Srila_Prabhupada/01_-_Lectures/01_-_English/01_-_Topic_wise/Chaitanya_Charitamrita/Madhya_Lila/SP_CC_M_20-101_Bombay_1975-11-03_To_Become_Spiritually_Advanced.mp3" TargetMode="External"/><Relationship Id="rId2624" Type="http://schemas.openxmlformats.org/officeDocument/2006/relationships/hyperlink" Target="https://audio.iskcondesiretree.com/01_-_Srila_Prabhupada/01_-_Lectures/01_-_English/01_-_Topic_wise/Srimad_Bhagavatam/Canto-03/SP_SB_3-26-07_Bombay_1974-12-19_Tangle_of_Material_Happiness.mp3" TargetMode="External"/><Relationship Id="rId3954" Type="http://schemas.openxmlformats.org/officeDocument/2006/relationships/hyperlink" Target="https://audio.iskcondesiretree.com/01_-_Srila_Prabhupada/01_-_Lectures/01_-_English/02_-_Month_wise/11_-_November/02/Walk_1975-11-02_MW-NAIROBI.MP3" TargetMode="External"/><Relationship Id="rId2625" Type="http://schemas.openxmlformats.org/officeDocument/2006/relationships/hyperlink" Target="https://audio.iskcondesiretree.com/01_-_Srila_Prabhupada/01_-_Lectures/01_-_English/02_-_Month_wise/12_-_December/19/SB-03-26-07_1974-12-19_SB-BOMBAY.MP3" TargetMode="External"/><Relationship Id="rId3957" Type="http://schemas.openxmlformats.org/officeDocument/2006/relationships/hyperlink" Target="https://audio.iskcondesiretree.com/01_-_Srila_Prabhupada/01_-_Lectures/01_-_English/02_-_Month_wise/11_-_November/03/Cc_M_20-101_BOM_1975-11-03_To_Become_Spiritually_Advanced.mp3" TargetMode="External"/><Relationship Id="rId2626" Type="http://schemas.openxmlformats.org/officeDocument/2006/relationships/hyperlink" Target="https://audio.iskcondesiretree.com/01_-_Srila_Prabhupada/01_-_Lectures/01_-_English/02_-_Month_wise/12_-_December/19/SB_3-26-07_BOM_1974-12-19_Tangle_of_Material_Happiness.mp3" TargetMode="External"/><Relationship Id="rId3956" Type="http://schemas.openxmlformats.org/officeDocument/2006/relationships/hyperlink" Target="https://audio.iskcondesiretree.com/01_-_Srila_Prabhupada/01_-_Lectures/01_-_English/01_-_Topic_wise/Morning_Walk/SP_Morning_Walk_-_Bombay_1975-11-03_Peace_in_Society_of_Dogs.mp3" TargetMode="External"/><Relationship Id="rId2627" Type="http://schemas.openxmlformats.org/officeDocument/2006/relationships/hyperlink" Target="https://audio.iskcondesiretree.com/01_-_Srila_Prabhupada/01_-_Lectures/01_-_English/01_-_Topic_wise/Srimad_Bhagavatam/Canto-03/SP_SB_3-26-08_Bombay_1974-12-20_The_Enjoyer_Mentality.mp3" TargetMode="External"/><Relationship Id="rId3959" Type="http://schemas.openxmlformats.org/officeDocument/2006/relationships/hyperlink" Target="https://audio.iskcondesiretree.com/01_-_Srila_Prabhupada/01_-_Lectures/01_-_English/02_-_Month_wise/11_-_November/03/MW_BOM_1975-11-03_Peace_in_Society_of_Dogs.mp3" TargetMode="External"/><Relationship Id="rId2628" Type="http://schemas.openxmlformats.org/officeDocument/2006/relationships/hyperlink" Target="https://audio.iskcondesiretree.com/01_-_Srila_Prabhupada/01_-_Lectures/01_-_English/02_-_Month_wise/12_-_December/20/SB-03-26-08_1974-12-20_SB-BOMBAY.MP3" TargetMode="External"/><Relationship Id="rId3958" Type="http://schemas.openxmlformats.org/officeDocument/2006/relationships/hyperlink" Target="https://audio.iskcondesiretree.com/01_-_Srila_Prabhupada/01_-_Lectures/01_-_English/02_-_Month_wise/11_-_November/03/CcMadhya-20-101%E2%80%93104_1975-11-03_CC-BOMBAY.MP3" TargetMode="External"/><Relationship Id="rId709" Type="http://schemas.openxmlformats.org/officeDocument/2006/relationships/hyperlink" Target="https://audio.iskcondesiretree.com/01_-_Srila_Prabhupada/01_-_Lectures/01_-_English/02_-_Month_wise/09_-_September/29/SB_1-03-24_LA_1972-09-29_Lord_Buddha-Tricking_the_etc.mp3" TargetMode="External"/><Relationship Id="rId2629" Type="http://schemas.openxmlformats.org/officeDocument/2006/relationships/hyperlink" Target="https://audio.iskcondesiretree.com/01_-_Srila_Prabhupada/01_-_Lectures/01_-_English/02_-_Month_wise/12_-_December/20/SB_3-26-08_BOM_1974-12-20_The_Enjoyer_Mentality.mp3" TargetMode="External"/><Relationship Id="rId708" Type="http://schemas.openxmlformats.org/officeDocument/2006/relationships/hyperlink" Target="https://audio.iskcondesiretree.com/01_-_Srila_Prabhupada/01_-_Lectures/01_-_English/01_-_Topic_wise/Srimad_Bhagavatam/Canto-01/SP_SB_1-03-24_Los_Angeles_1972-09-29_Lord_Buddha--Tricking_the--etc.mp3" TargetMode="External"/><Relationship Id="rId707" Type="http://schemas.openxmlformats.org/officeDocument/2006/relationships/hyperlink" Target="https://audio.iskcondesiretree.com/01_-_Srila_Prabhupada/01_-_Lectures/01_-_English/02_-_Month_wise/09_-_September/28/SB_1-03-23_LA_1972-09-28_What_Is_Actual_Happiness.mp3" TargetMode="External"/><Relationship Id="rId706" Type="http://schemas.openxmlformats.org/officeDocument/2006/relationships/hyperlink" Target="https://audio.iskcondesiretree.com/01_-_Srila_Prabhupada/01_-_Lectures/01_-_English/01_-_Topic_wise/Srimad_Bhagavatam/Canto-01/SP_SB_1-03-23_Los_Angeles_1972-09-28_What_Is_Actual_Happiness.mp3" TargetMode="External"/><Relationship Id="rId701" Type="http://schemas.openxmlformats.org/officeDocument/2006/relationships/hyperlink" Target="https://audio.iskcondesiretree.com/01_-_Srila_Prabhupada/01_-_Lectures/01_-_English/02_-_Month_wise/09_-_September/25/SB_1-03-20_LA_1972-09-25_This_Tax_That_Tax-Tax_Tax_Tax.mp3" TargetMode="External"/><Relationship Id="rId700" Type="http://schemas.openxmlformats.org/officeDocument/2006/relationships/hyperlink" Target="https://audio.iskcondesiretree.com/01_-_Srila_Prabhupada/01_-_Lectures/01_-_English/01_-_Topic_wise/Srimad_Bhagavatam/Canto-01/SP_SB_1-03-20_Los_Angeles_1972-09-25_This_Tax_That_Tax-Tax_Tax_Tax.mp3" TargetMode="External"/><Relationship Id="rId705" Type="http://schemas.openxmlformats.org/officeDocument/2006/relationships/hyperlink" Target="https://audio.iskcondesiretree.com/01_-_Srila_Prabhupada/01_-_Lectures/01_-_English/02_-_Month_wise/09_-_September/27/SB_1-03-22_LA_1972-09-27_Incarnation_of_God_Isn%27t_Cheap.mp3" TargetMode="External"/><Relationship Id="rId704" Type="http://schemas.openxmlformats.org/officeDocument/2006/relationships/hyperlink" Target="https://audio.iskcondesiretree.com/01_-_Srila_Prabhupada/01_-_Lectures/01_-_English/01_-_Topic_wise/Srimad_Bhagavatam/Canto-01/SP_SB_1-03-22_Los_Angeles_1972-09-27_Incarnation_of_God_Isn%27t_Cheap.mp3" TargetMode="External"/><Relationship Id="rId703" Type="http://schemas.openxmlformats.org/officeDocument/2006/relationships/hyperlink" Target="https://audio.iskcondesiretree.com/01_-_Srila_Prabhupada/01_-_Lectures/01_-_English/02_-_Month_wise/09_-_September/26/SB_1-03-21_LA_1972-09-26_Intelligent_Words_for_This_Age.mp3" TargetMode="External"/><Relationship Id="rId702" Type="http://schemas.openxmlformats.org/officeDocument/2006/relationships/hyperlink" Target="https://audio.iskcondesiretree.com/01_-_Srila_Prabhupada/01_-_Lectures/01_-_English/01_-_Topic_wise/Srimad_Bhagavatam/Canto-01/SP_SB_1-03-21_Los_Angeles_1972-09-26_Intelligent_Words_for_This_Age.mp3" TargetMode="External"/><Relationship Id="rId3951" Type="http://schemas.openxmlformats.org/officeDocument/2006/relationships/hyperlink" Target="https://audio.iskcondesiretree.com/01_-_Srila_Prabhupada/01_-_Lectures/01_-_English/02_-_Month_wise/11_-_November/01/SB_3-28-21_NAI_1975-11-01_Why_Pay_Electric_etc.mp3" TargetMode="External"/><Relationship Id="rId2620" Type="http://schemas.openxmlformats.org/officeDocument/2006/relationships/hyperlink" Target="https://audio.iskcondesiretree.com/01_-_Srila_Prabhupada/01_-_Lectures/01_-_English/02_-_Month_wise/12_-_December/17/SB_3-26-05_BOM_1974-12-17_Crazy_Fellows_and_Colorful_Life.mp3" TargetMode="External"/><Relationship Id="rId3950" Type="http://schemas.openxmlformats.org/officeDocument/2006/relationships/hyperlink" Target="https://audio.iskcondesiretree.com/01_-_Srila_Prabhupada/01_-_Lectures/01_-_English/02_-_Month_wise/11_-_November/01/SB-03-28-21_1975-11-01_SB-NAIROBI.MP3" TargetMode="External"/><Relationship Id="rId2610" Type="http://schemas.openxmlformats.org/officeDocument/2006/relationships/hyperlink" Target="https://audio.iskcondesiretree.com/01_-_Srila_Prabhupada/01_-_Lectures/01_-_English/02_-_Month_wise/12_-_December/14/SB-03-26-02_1974-12-14_SB-BOMBAY.MP3" TargetMode="External"/><Relationship Id="rId3942" Type="http://schemas.openxmlformats.org/officeDocument/2006/relationships/hyperlink" Target="https://audio.iskcondesiretree.com/01_-_Srila_Prabhupada/01_-_Lectures/01_-_English/02_-_Month_wise/10_-_October/31/Bg-07-04_1975-10-31_BG-NAIROBI.MP3" TargetMode="External"/><Relationship Id="rId2611" Type="http://schemas.openxmlformats.org/officeDocument/2006/relationships/hyperlink" Target="https://audio.iskcondesiretree.com/01_-_Srila_Prabhupada/01_-_Lectures/01_-_English/02_-_Month_wise/12_-_December/14/SB_3-26-02_BOM_1974-12-14_You_Belong_to_Spiritual_World.mp3" TargetMode="External"/><Relationship Id="rId3941" Type="http://schemas.openxmlformats.org/officeDocument/2006/relationships/hyperlink" Target="https://audio.iskcondesiretree.com/01_-_Srila_Prabhupada/01_-_Lectures/01_-_English/01_-_Topic_wise/Bhagavad_Gita/Chapter-07/SP_BG_07-04_Nairobi_1975-10-31_Darwin-Monkeys%27_Knowledge.mp3" TargetMode="External"/><Relationship Id="rId2612" Type="http://schemas.openxmlformats.org/officeDocument/2006/relationships/hyperlink" Target="https://audio.iskcondesiretree.com/01_-_Srila_Prabhupada/01_-_Lectures/01_-_English/01_-_Topic_wise/Srimad_Bhagavatam/Canto-03/SP_SB_3-26-03_Bombay_1974-12-15_Our_Knowledge_Is_Not_Knowledge.mp3" TargetMode="External"/><Relationship Id="rId3944" Type="http://schemas.openxmlformats.org/officeDocument/2006/relationships/hyperlink" Target="https://audio.iskcondesiretree.com/01_-_Srila_Prabhupada/01_-_Lectures/01_-_English/01_-_Topic_wise/Bhagavad_Gita/Chapter-07/SP_BG_07-05_Nairobi_1975-11-01_High_Energy-Low_Energy.mp3" TargetMode="External"/><Relationship Id="rId2613" Type="http://schemas.openxmlformats.org/officeDocument/2006/relationships/hyperlink" Target="https://audio.iskcondesiretree.com/01_-_Srila_Prabhupada/01_-_Lectures/01_-_English/02_-_Month_wise/12_-_December/15/SB-03-26-03_1974-12-15_SB-BOMBAY.MP3" TargetMode="External"/><Relationship Id="rId3943" Type="http://schemas.openxmlformats.org/officeDocument/2006/relationships/hyperlink" Target="https://audio.iskcondesiretree.com/01_-_Srila_Prabhupada/01_-_Lectures/01_-_English/02_-_Month_wise/10_-_October/31/Bg_07-04_NAI_1975-10-31_Darwin-Monkeys_Knowledge.mp3" TargetMode="External"/><Relationship Id="rId2614" Type="http://schemas.openxmlformats.org/officeDocument/2006/relationships/hyperlink" Target="https://audio.iskcondesiretree.com/01_-_Srila_Prabhupada/01_-_Lectures/01_-_English/02_-_Month_wise/12_-_December/15/SB_3-26-03_BOM_1974-12-15_Our_Knowledge_Is_Not_Knowledge.mp3" TargetMode="External"/><Relationship Id="rId3946" Type="http://schemas.openxmlformats.org/officeDocument/2006/relationships/hyperlink" Target="https://audio.iskcondesiretree.com/01_-_Srila_Prabhupada/01_-_Lectures/01_-_English/01_-_Topic_wise/Srimad_Bhagavatam/Canto-03/SP_SB_3-28-21_Nairobi_1975-11-01_Why_Pay_Electric--etc.mp3" TargetMode="External"/><Relationship Id="rId2615" Type="http://schemas.openxmlformats.org/officeDocument/2006/relationships/hyperlink" Target="https://audio.iskcondesiretree.com/01_-_Srila_Prabhupada/01_-_Lectures/01_-_English/01_-_Topic_wise/Srimad_Bhagavatam/Canto-03/SP_SB_3-26-04_Bombay_1974-12-16_The_Truth_Will_Set_You_Free.mp3" TargetMode="External"/><Relationship Id="rId3945" Type="http://schemas.openxmlformats.org/officeDocument/2006/relationships/hyperlink" Target="https://audio.iskcondesiretree.com/01_-_Srila_Prabhupada/01_-_Lectures/01_-_English/01_-_Topic_wise/Room_Conversation/SP_Room_Conversation_Nairobi_1975-11-01_Lord%27s_Gigantic_Body.mp3" TargetMode="External"/><Relationship Id="rId2616" Type="http://schemas.openxmlformats.org/officeDocument/2006/relationships/hyperlink" Target="https://audio.iskcondesiretree.com/01_-_Srila_Prabhupada/01_-_Lectures/01_-_English/02_-_Month_wise/12_-_December/16/SB-03-26-04_1974-12-16_SB-BOMBAY.MP3" TargetMode="External"/><Relationship Id="rId3948" Type="http://schemas.openxmlformats.org/officeDocument/2006/relationships/hyperlink" Target="https://audio.iskcondesiretree.com/01_-_Srila_Prabhupada/01_-_Lectures/01_-_English/02_-_Month_wise/11_-_November/01/Bg_07-05_NAI_1975-11-01_High_Energy-Low_Energy.mp3" TargetMode="External"/><Relationship Id="rId2617" Type="http://schemas.openxmlformats.org/officeDocument/2006/relationships/hyperlink" Target="https://audio.iskcondesiretree.com/01_-_Srila_Prabhupada/01_-_Lectures/01_-_English/02_-_Month_wise/12_-_December/16/SB_3-26-04_BOM_1974-12-16_The_Truth_Will_Set_You_Free.mp3" TargetMode="External"/><Relationship Id="rId3947" Type="http://schemas.openxmlformats.org/officeDocument/2006/relationships/hyperlink" Target="https://audio.iskcondesiretree.com/01_-_Srila_Prabhupada/01_-_Lectures/01_-_English/02_-_Month_wise/11_-_November/01/Bg-07-05_1975-11-01_BG-NAIROBI.MP3" TargetMode="External"/><Relationship Id="rId2618" Type="http://schemas.openxmlformats.org/officeDocument/2006/relationships/hyperlink" Target="https://audio.iskcondesiretree.com/01_-_Srila_Prabhupada/01_-_Lectures/01_-_English/01_-_Topic_wise/Srimad_Bhagavatam/Canto-03/SP_SB_3-26-05_Bombay_1974-12-17_Crazy_Fellows_and_Colorful_Life.mp3" TargetMode="External"/><Relationship Id="rId2619" Type="http://schemas.openxmlformats.org/officeDocument/2006/relationships/hyperlink" Target="https://audio.iskcondesiretree.com/01_-_Srila_Prabhupada/01_-_Lectures/01_-_English/02_-_Month_wise/12_-_December/17/SB-03-26-05_1974-12-17_SB-BOMBAY.MP3" TargetMode="External"/><Relationship Id="rId3949" Type="http://schemas.openxmlformats.org/officeDocument/2006/relationships/hyperlink" Target="https://audio.iskcondesiretree.com/01_-_Srila_Prabhupada/01_-_Lectures/01_-_English/02_-_Month_wise/11_-_November/01/RC_NAI_1975-11-01_Lord%27s_Gigantic_Body.mp3" TargetMode="External"/><Relationship Id="rId3940" Type="http://schemas.openxmlformats.org/officeDocument/2006/relationships/hyperlink" Target="https://audio.iskcondesiretree.com/01_-_Srila_Prabhupada/01_-_Lectures/01_-_English/02_-_Month_wise/10_-_October/30/SB_3-28-20_NAI_1975-10-30_A_Most_Moving_Statue.mp3" TargetMode="External"/><Relationship Id="rId1312" Type="http://schemas.openxmlformats.org/officeDocument/2006/relationships/hyperlink" Target="https://audio.iskcondesiretree.com/01_-_Srila_Prabhupada/01_-_Lectures/01_-_English/02_-_Month_wise/10_-_October/09/Bg_13-15_BOM_1973-10-09_God_Has_No_Material_Body.mp3" TargetMode="External"/><Relationship Id="rId2643" Type="http://schemas.openxmlformats.org/officeDocument/2006/relationships/hyperlink" Target="https://audio.iskcondesiretree.com/01_-_Srila_Prabhupada/01_-_Lectures/01_-_English/02_-_Month_wise/12_-_December/25/SB-03-26-16_1974-12-25_SB-BOMBAY.MP3" TargetMode="External"/><Relationship Id="rId3975" Type="http://schemas.openxmlformats.org/officeDocument/2006/relationships/hyperlink" Target="https://audio.iskcondesiretree.com/01_-_Srila_Prabhupada/01_-_Lectures/01_-_English/02_-_Month_wise/11_-_November/11/MW_BOM_1975-11-11_Advancement_of_Maya.mp3" TargetMode="External"/><Relationship Id="rId1313" Type="http://schemas.openxmlformats.org/officeDocument/2006/relationships/hyperlink" Target="https://audio.iskcondesiretree.com/01_-_Srila_Prabhupada/01_-_Lectures/01_-_English/01_-_Topic_wise/Bhagavad_Gita/Chapter-13/SP_BG_13-16_Bombay_1973-10-10_The_Supreme_Truth_Is_a_Person.mp3" TargetMode="External"/><Relationship Id="rId2644" Type="http://schemas.openxmlformats.org/officeDocument/2006/relationships/hyperlink" Target="https://audio.iskcondesiretree.com/01_-_Srila_Prabhupada/01_-_Lectures/01_-_English/02_-_Month_wise/12_-_December/25/SB_3-26-16_BOM_1974-12-25_Fear-The_Time_Factor.mp3" TargetMode="External"/><Relationship Id="rId3974" Type="http://schemas.openxmlformats.org/officeDocument/2006/relationships/hyperlink" Target="https://audio.iskcondesiretree.com/01_-_Srila_Prabhupada/01_-_Lectures/01_-_English/01_-_Topic_wise/Morning_Walk/SP_Morning_Walk_-_Bombay_1975-11-11_Advancement_of_Maya.mp3" TargetMode="External"/><Relationship Id="rId1314" Type="http://schemas.openxmlformats.org/officeDocument/2006/relationships/hyperlink" Target="https://audio.iskcondesiretree.com/01_-_Srila_Prabhupada/01_-_Lectures/01_-_English/02_-_Month_wise/10_-_October/10/Bg_13-16_BOM_1973-10-10_The_Supreme_Truth_Is_a_Person.mp3" TargetMode="External"/><Relationship Id="rId2645" Type="http://schemas.openxmlformats.org/officeDocument/2006/relationships/hyperlink" Target="https://audio.iskcondesiretree.com/01_-_Srila_Prabhupada/01_-_Lectures/01_-_English/01_-_Topic_wise/Srimad_Bhagavatam/Canto-03/SP_SB_3-26-17_Bombay_1974-12-26_Don%27t_Remain_Asleep.mp3" TargetMode="External"/><Relationship Id="rId3977" Type="http://schemas.openxmlformats.org/officeDocument/2006/relationships/hyperlink" Target="https://audio.iskcondesiretree.com/01_-_Srila_Prabhupada/01_-_Lectures/01_-_English/01_-_Topic_wise/Chaitanya_Charitamrita/Madhya_Lila/SP_CC_M_20-102_Bombay_1975-11-12_Who_Am_I--Why_Am_I_Miserable.mp3" TargetMode="External"/><Relationship Id="rId1315" Type="http://schemas.openxmlformats.org/officeDocument/2006/relationships/hyperlink" Target="https://audio.iskcondesiretree.com/01_-_Srila_Prabhupada/01_-_Lectures/01_-_English/01_-_Topic_wise/Bhagavad_Gita/Chapter-13/SP_BG_13-17_Bombay_1973-10-11_Krishna_Is_Everywhere_in_Full.mp3" TargetMode="External"/><Relationship Id="rId2646" Type="http://schemas.openxmlformats.org/officeDocument/2006/relationships/hyperlink" Target="https://audio.iskcondesiretree.com/01_-_Srila_Prabhupada/01_-_Lectures/01_-_English/02_-_Month_wise/12_-_December/26/SB-03-26-17_1974-12-26_SB-BOMBAY.MP3" TargetMode="External"/><Relationship Id="rId3976" Type="http://schemas.openxmlformats.org/officeDocument/2006/relationships/hyperlink" Target="https://audio.iskcondesiretree.com/01_-_Srila_Prabhupada/01_-_Lectures/01_-_English/02_-_Month_wise/11_-_November/11/Walk_1975-11-11_MW-BOMBAY.MP3" TargetMode="External"/><Relationship Id="rId1316" Type="http://schemas.openxmlformats.org/officeDocument/2006/relationships/hyperlink" Target="https://audio.iskcondesiretree.com/01_-_Srila_Prabhupada/01_-_Lectures/01_-_English/02_-_Month_wise/10_-_October/11/Bg_13-17_BOM_1973-10-11_Krishna_Is_Everywhere_in_Full.mp3" TargetMode="External"/><Relationship Id="rId2647" Type="http://schemas.openxmlformats.org/officeDocument/2006/relationships/hyperlink" Target="https://audio.iskcondesiretree.com/01_-_Srila_Prabhupada/01_-_Lectures/01_-_English/02_-_Month_wise/12_-_December/26/SB_3-26-17_BOM_1974-12-26_Don%27t_Remain_Asleep.mp3" TargetMode="External"/><Relationship Id="rId3979" Type="http://schemas.openxmlformats.org/officeDocument/2006/relationships/hyperlink" Target="https://audio.iskcondesiretree.com/01_-_Srila_Prabhupada/01_-_Lectures/01_-_English/02_-_Month_wise/11_-_November/12/Cc_M_20-102_BOM_1975-11-12_Who_Am_I-Why_Am_I_Miserable.mp3" TargetMode="External"/><Relationship Id="rId1317" Type="http://schemas.openxmlformats.org/officeDocument/2006/relationships/hyperlink" Target="https://audio.iskcondesiretree.com/01_-_Srila_Prabhupada/01_-_Lectures/01_-_English/01_-_Topic_wise/Bhagavad_Gita/Chapter-13/SP_BG_13-18_Bombay_1973-10-12_Universal_Effulgence_of_Krishna.mp3" TargetMode="External"/><Relationship Id="rId2648" Type="http://schemas.openxmlformats.org/officeDocument/2006/relationships/hyperlink" Target="https://audio.iskcondesiretree.com/01_-_Srila_Prabhupada/01_-_Lectures/01_-_English/01_-_Topic_wise/Srimad_Bhagavatam/Canto-03/SP_SB_3-26-18_Bombay_1974-12-27_United_by_Chanting_and_Dancing.mp3" TargetMode="External"/><Relationship Id="rId3978" Type="http://schemas.openxmlformats.org/officeDocument/2006/relationships/hyperlink" Target="https://audio.iskcondesiretree.com/01_-_Srila_Prabhupada/01_-_Lectures/01_-_English/01_-_Topic_wise/Morning_Walk/SP_Morning_Walk_-_Bombay_1975-11-12_Maya_and_Her_Ministers.mp3" TargetMode="External"/><Relationship Id="rId1318" Type="http://schemas.openxmlformats.org/officeDocument/2006/relationships/hyperlink" Target="https://audio.iskcondesiretree.com/01_-_Srila_Prabhupada/01_-_Lectures/01_-_English/02_-_Month_wise/10_-_October/12/Bg_13-18_BOM_1973-10-12_Universal_Effulgence_of_Krishna.mp3" TargetMode="External"/><Relationship Id="rId2649" Type="http://schemas.openxmlformats.org/officeDocument/2006/relationships/hyperlink" Target="https://audio.iskcondesiretree.com/01_-_Srila_Prabhupada/01_-_Lectures/01_-_English/02_-_Month_wise/12_-_December/27/SB-03-26-18_1974-12-27_SB-BOMBAY.MP3" TargetMode="External"/><Relationship Id="rId1319" Type="http://schemas.openxmlformats.org/officeDocument/2006/relationships/hyperlink" Target="https://audio.iskcondesiretree.com/01_-_Srila_Prabhupada/01_-_Lectures/01_-_English/01_-_Topic_wise/Bhagavad_Gita/Chapter-13/SP_BG_13-19_Bombay_1973-10-13_Object_of_Knowledge.mp3" TargetMode="External"/><Relationship Id="rId729" Type="http://schemas.openxmlformats.org/officeDocument/2006/relationships/hyperlink" Target="https://audio.iskcondesiretree.com/01_-_Srila_Prabhupada/01_-_Lectures/01_-_English/01_-_Topic_wise/Srimad_Bhagavatam/Canto-01/SP_SB_1-02-09_Vrindavan_1972-10-20_Everyone_Can_Serve_Krishna.mp3" TargetMode="External"/><Relationship Id="rId728" Type="http://schemas.openxmlformats.org/officeDocument/2006/relationships/hyperlink" Target="https://audio.iskcondesiretree.com/01_-_Srila_Prabhupada/01_-_Lectures/01_-_English/01_-_Topic_wise/Nectar_Of_Devotion/SP_NOD_01_Vrindavan_1972-10-20_-_The_Complete_Science_of_Bhakti_Yoga.mp3" TargetMode="External"/><Relationship Id="rId723" Type="http://schemas.openxmlformats.org/officeDocument/2006/relationships/hyperlink" Target="https://audio.iskcondesiretree.com/01_-_Srila_Prabhupada/01_-_Lectures/01_-_English/02_-_Month_wise/10_-_October/05/SB_1-03-30_LA_1972-10-05_Krishna_Is_Within_Every_Atom.mp3" TargetMode="External"/><Relationship Id="rId722" Type="http://schemas.openxmlformats.org/officeDocument/2006/relationships/hyperlink" Target="https://audio.iskcondesiretree.com/01_-_Srila_Prabhupada/01_-_Lectures/01_-_English/01_-_Topic_wise/Srimad_Bhagavatam/Canto-01/SP_SB_1-03-30_Los_Angeles_1972-10-05_Krishna_Is_Within_Every_Atom.mp3" TargetMode="External"/><Relationship Id="rId721" Type="http://schemas.openxmlformats.org/officeDocument/2006/relationships/hyperlink" Target="https://audio.iskcondesiretree.com/01_-_Srila_Prabhupada/01_-_Lectures/01_-_English/02_-_Month_wise/10_-_October/04/SB_1-03-29_LA_1972-10-04_God_Is_Everywhere.mp3" TargetMode="External"/><Relationship Id="rId720" Type="http://schemas.openxmlformats.org/officeDocument/2006/relationships/hyperlink" Target="https://audio.iskcondesiretree.com/01_-_Srila_Prabhupada/01_-_Lectures/01_-_English/01_-_Topic_wise/Srimad_Bhagavatam/Canto-01/SP_SB_1-03-29_Los_Angeles_1972-10-04_God_Is_Everywhere.mp3" TargetMode="External"/><Relationship Id="rId727" Type="http://schemas.openxmlformats.org/officeDocument/2006/relationships/hyperlink" Target="https://audio.iskcondesiretree.com/01_-_Srila_Prabhupada/01_-_Lectures/01_-_English/02_-_Month_wise/10_-_October/19/Fest_VRN_1972-10-19_Krsna_Dasa_Kaviraja_Appearance.mp3" TargetMode="External"/><Relationship Id="rId726" Type="http://schemas.openxmlformats.org/officeDocument/2006/relationships/hyperlink" Target="https://audio.iskcondesiretree.com/01_-_Srila_Prabhupada/01_-_Lectures/01_-_English/01_-_Topic_wise/Festivals/SP_Festivals_Vrindavan_1972-10-19_Krsna_Dasa_Kaviraja_Appearance.mp3" TargetMode="External"/><Relationship Id="rId725" Type="http://schemas.openxmlformats.org/officeDocument/2006/relationships/hyperlink" Target="https://audio.iskcondesiretree.com/01_-_Srila_Prabhupada/01_-_Lectures/01_-_English/02_-_Month_wise/10_-_October/06/Addr_LA_1972-10-06_The_Original_Person-Perfect_Knowledge.mp3" TargetMode="External"/><Relationship Id="rId724" Type="http://schemas.openxmlformats.org/officeDocument/2006/relationships/hyperlink" Target="https://audio.iskcondesiretree.com/01_-_Srila_Prabhupada/01_-_Lectures/01_-_English/01_-_Topic_wise/Arrival_Address/SP_Address_Los_Angeles_1972-10-06_The_Original_Person--Perfect_Knowledge.mp3" TargetMode="External"/><Relationship Id="rId3971" Type="http://schemas.openxmlformats.org/officeDocument/2006/relationships/hyperlink" Target="https://audio.iskcondesiretree.com/01_-_Srila_Prabhupada/01_-_Lectures/01_-_English/01_-_Topic_wise/Morning_Walk/SP_Morning_Walk_-_Bombay_1975-11-10_Nationalism_Is_Irrationalism.mp3" TargetMode="External"/><Relationship Id="rId2640" Type="http://schemas.openxmlformats.org/officeDocument/2006/relationships/hyperlink" Target="https://audio.iskcondesiretree.com/01_-_Srila_Prabhupada/01_-_Lectures/01_-_English/02_-_Month_wise/12_-_December/24/SB-03-26-15_1974-12-24_SB-BOMBAY.MP3" TargetMode="External"/><Relationship Id="rId3970" Type="http://schemas.openxmlformats.org/officeDocument/2006/relationships/hyperlink" Target="https://audio.iskcondesiretree.com/01_-_Srila_Prabhupada/01_-_Lectures/01_-_English/02_-_Month_wise/11_-_November/09/CcMadhya-20-100%E2%80%93108_1975-11-09_CC-BOMBAY.MP3" TargetMode="External"/><Relationship Id="rId1310" Type="http://schemas.openxmlformats.org/officeDocument/2006/relationships/hyperlink" Target="https://audio.iskcondesiretree.com/01_-_Srila_Prabhupada/01_-_Lectures/01_-_English/02_-_Month_wise/10_-_October/07/Bg_13-14_BOM_1973-10-07_Nondevotees_Miss_the_Object.mp3" TargetMode="External"/><Relationship Id="rId2641" Type="http://schemas.openxmlformats.org/officeDocument/2006/relationships/hyperlink" Target="https://audio.iskcondesiretree.com/01_-_Srila_Prabhupada/01_-_Lectures/01_-_English/02_-_Month_wise/12_-_December/24/SB_3-26-15_BOM_1974-12-24_Maya_Is_Krishna%27s.mp3" TargetMode="External"/><Relationship Id="rId3973" Type="http://schemas.openxmlformats.org/officeDocument/2006/relationships/hyperlink" Target="https://audio.iskcondesiretree.com/01_-_Srila_Prabhupada/01_-_Lectures/01_-_English/02_-_Month_wise/11_-_November/10/Walk_1975-11-10_MW-BOMBAY.MP3" TargetMode="External"/><Relationship Id="rId1311" Type="http://schemas.openxmlformats.org/officeDocument/2006/relationships/hyperlink" Target="https://audio.iskcondesiretree.com/01_-_Srila_Prabhupada/01_-_Lectures/01_-_English/01_-_Topic_wise/Bhagavad_Gita/Chapter-13/SP_BG_13-15_Bombay_1973-10-09_God_Has_No_Material_Body.mp3" TargetMode="External"/><Relationship Id="rId2642" Type="http://schemas.openxmlformats.org/officeDocument/2006/relationships/hyperlink" Target="https://audio.iskcondesiretree.com/01_-_Srila_Prabhupada/01_-_Lectures/01_-_English/01_-_Topic_wise/Srimad_Bhagavatam/Canto-03/SP_SB_3-26-16_Bombay_1974-12-25_Fear--The_Time_Factor.mp3" TargetMode="External"/><Relationship Id="rId3972" Type="http://schemas.openxmlformats.org/officeDocument/2006/relationships/hyperlink" Target="https://audio.iskcondesiretree.com/01_-_Srila_Prabhupada/01_-_Lectures/01_-_English/02_-_Month_wise/11_-_November/10/MW_BOM_1975-11-10_Nationalism_Is_Irrationalism.mp3" TargetMode="External"/><Relationship Id="rId1301" Type="http://schemas.openxmlformats.org/officeDocument/2006/relationships/hyperlink" Target="https://audio.iskcondesiretree.com/01_-_Srila_Prabhupada/01_-_Lectures/01_-_English/01_-_Topic_wise/Bhagavad_Gita/Chapter-13/SP_BG_13-08-12_Bombay_1973-10-02_How_to_Go_Beyond_Your_Destiny.mp3" TargetMode="External"/><Relationship Id="rId2632" Type="http://schemas.openxmlformats.org/officeDocument/2006/relationships/hyperlink" Target="https://audio.iskcondesiretree.com/01_-_Srila_Prabhupada/01_-_Lectures/01_-_English/02_-_Month_wise/12_-_December/21/SB_3-26-09_BOM_1974-12-21_Controlled_Enjoyer.mp3" TargetMode="External"/><Relationship Id="rId3964" Type="http://schemas.openxmlformats.org/officeDocument/2006/relationships/hyperlink" Target="https://audio.iskcondesiretree.com/01_-_Srila_Prabhupada/01_-_Lectures/01_-_English/02_-_Month_wise/11_-_November/07/Walk_1975-11-07_MW-BOMBAY.MP3" TargetMode="External"/><Relationship Id="rId1302" Type="http://schemas.openxmlformats.org/officeDocument/2006/relationships/hyperlink" Target="https://audio.iskcondesiretree.com/01_-_Srila_Prabhupada/01_-_Lectures/01_-_English/02_-_Month_wise/10_-_October/02/Bg_13-08_BOM_1973-10-02_How_to_Go_Beyond_Your_Destiny.mp3" TargetMode="External"/><Relationship Id="rId2633" Type="http://schemas.openxmlformats.org/officeDocument/2006/relationships/hyperlink" Target="https://audio.iskcondesiretree.com/01_-_Srila_Prabhupada/01_-_Lectures/01_-_English/01_-_Topic_wise/Srimad_Bhagavatam/Canto-03/SP_SB_3-26-10_Bombay_1974-12-22_The_World--not_God--Is_Impersonal.mp3" TargetMode="External"/><Relationship Id="rId3963" Type="http://schemas.openxmlformats.org/officeDocument/2006/relationships/hyperlink" Target="https://audio.iskcondesiretree.com/01_-_Srila_Prabhupada/01_-_Lectures/01_-_English/02_-_Month_wise/11_-_November/07/MW_BOM_1975-11-07_Discussion_of_Dioramas.mp3" TargetMode="External"/><Relationship Id="rId1303" Type="http://schemas.openxmlformats.org/officeDocument/2006/relationships/hyperlink" Target="https://audio.iskcondesiretree.com/01_-_Srila_Prabhupada/01_-_Lectures/01_-_English/01_-_Topic_wise/Room_Conversation/SP_Room_Conversation_Bombay_1973-10-04_Evolving_Toward_Perfection.mp3" TargetMode="External"/><Relationship Id="rId2634" Type="http://schemas.openxmlformats.org/officeDocument/2006/relationships/hyperlink" Target="https://audio.iskcondesiretree.com/01_-_Srila_Prabhupada/01_-_Lectures/01_-_English/02_-_Month_wise/12_-_December/22/SB-03-26-10_1974-12-22_SB-BOMBAY.MP3" TargetMode="External"/><Relationship Id="rId3966" Type="http://schemas.openxmlformats.org/officeDocument/2006/relationships/hyperlink" Target="https://audio.iskcondesiretree.com/01_-_Srila_Prabhupada/01_-_Lectures/01_-_English/02_-_Month_wise/11_-_November/08/MW_BOM_1975-11-08_So-Called_Knowledge_Is_Useless.mp3" TargetMode="External"/><Relationship Id="rId1304" Type="http://schemas.openxmlformats.org/officeDocument/2006/relationships/hyperlink" Target="https://audio.iskcondesiretree.com/01_-_Srila_Prabhupada/01_-_Lectures/01_-_English/02_-_Month_wise/10_-_October/04/RC_BOM_1973-10-04_Evolving_Toward_Perfection.mp3" TargetMode="External"/><Relationship Id="rId2635" Type="http://schemas.openxmlformats.org/officeDocument/2006/relationships/hyperlink" Target="https://audio.iskcondesiretree.com/01_-_Srila_Prabhupada/01_-_Lectures/01_-_English/02_-_Month_wise/12_-_December/22/SB_3-26-10_BOM_1974-12-22_The_World_not_God_Is_Impersonal.mp3" TargetMode="External"/><Relationship Id="rId3965" Type="http://schemas.openxmlformats.org/officeDocument/2006/relationships/hyperlink" Target="https://audio.iskcondesiretree.com/01_-_Srila_Prabhupada/01_-_Lectures/01_-_English/01_-_Topic_wise/Morning_Walk/SP_Morning_Walk_-_Bombay_1975-11-08_So-Called_Knowledge_Is_Useless.mp3" TargetMode="External"/><Relationship Id="rId1305" Type="http://schemas.openxmlformats.org/officeDocument/2006/relationships/hyperlink" Target="https://audio.iskcondesiretree.com/01_-_Srila_Prabhupada/01_-_Lectures/01_-_English/01_-_Topic_wise/Bhagavad_Gita/Chapter-13/SP_BG_13-08_Bombay_1973-10-05_You_Have_to_Approach_an_Acarya.mp3" TargetMode="External"/><Relationship Id="rId2636" Type="http://schemas.openxmlformats.org/officeDocument/2006/relationships/hyperlink" Target="https://audio.iskcondesiretree.com/01_-_Srila_Prabhupada/01_-_Lectures/01_-_English/01_-_Topic_wise/Srimad_Bhagavatam/Canto-03/SP_SB_3-26-11_Bombay_1974-12-23_Analyze_the_Trap...and_Escape.mp3" TargetMode="External"/><Relationship Id="rId3968" Type="http://schemas.openxmlformats.org/officeDocument/2006/relationships/hyperlink" Target="https://audio.iskcondesiretree.com/01_-_Srila_Prabhupada/01_-_Lectures/01_-_English/01_-_Topic_wise/Chaitanya_Charitamrita/Madhya_Lila/SP_CC_M_20-100_Bombay_1975-11-09_How_to_Accept_the_Lord%27s_Instruction.mp3" TargetMode="External"/><Relationship Id="rId1306" Type="http://schemas.openxmlformats.org/officeDocument/2006/relationships/hyperlink" Target="https://audio.iskcondesiretree.com/01_-_Srila_Prabhupada/01_-_Lectures/01_-_English/02_-_Month_wise/10_-_October/05/Bg_13-08_BOM_1973-10-05_You_Have_to_Approach_an_Acarya.mp3" TargetMode="External"/><Relationship Id="rId2637" Type="http://schemas.openxmlformats.org/officeDocument/2006/relationships/hyperlink" Target="https://audio.iskcondesiretree.com/01_-_Srila_Prabhupada/01_-_Lectures/01_-_English/02_-_Month_wise/12_-_December/23/SB-03-26-11%E2%80%9314_1974-12-23_SB-BOMBAY.MP3" TargetMode="External"/><Relationship Id="rId3967" Type="http://schemas.openxmlformats.org/officeDocument/2006/relationships/hyperlink" Target="https://audio.iskcondesiretree.com/01_-_Srila_Prabhupada/01_-_Lectures/01_-_English/02_-_Month_wise/11_-_November/08/Walk_1975-11-08_MW-BOMBAY.MP3" TargetMode="External"/><Relationship Id="rId1307" Type="http://schemas.openxmlformats.org/officeDocument/2006/relationships/hyperlink" Target="https://audio.iskcondesiretree.com/01_-_Srila_Prabhupada/01_-_Lectures/01_-_English/01_-_Topic_wise/Bhagavad_Gita/Chapter-13/SP_BG_13-13_Bombay_1973-10-06_Clutches_of_Birth_and_Death.mp3" TargetMode="External"/><Relationship Id="rId2638" Type="http://schemas.openxmlformats.org/officeDocument/2006/relationships/hyperlink" Target="https://audio.iskcondesiretree.com/01_-_Srila_Prabhupada/01_-_Lectures/01_-_English/02_-_Month_wise/12_-_December/23/SB_3-26-11_BOM_1974-12-23_Analyze_the_Trap_and_Escape.mp3" TargetMode="External"/><Relationship Id="rId1308" Type="http://schemas.openxmlformats.org/officeDocument/2006/relationships/hyperlink" Target="https://audio.iskcondesiretree.com/01_-_Srila_Prabhupada/01_-_Lectures/01_-_English/02_-_Month_wise/10_-_October/06/Bg_13-13_BOM_1973-10-06_Clutches_of_Birth_and_Death.mp3" TargetMode="External"/><Relationship Id="rId2639" Type="http://schemas.openxmlformats.org/officeDocument/2006/relationships/hyperlink" Target="https://audio.iskcondesiretree.com/01_-_Srila_Prabhupada/01_-_Lectures/01_-_English/01_-_Topic_wise/Srimad_Bhagavatam/Canto-03/SP_SB_3-26-15_Bombay_1974-12-24_Maya_Is_Krishna%27s.mp3" TargetMode="External"/><Relationship Id="rId3969" Type="http://schemas.openxmlformats.org/officeDocument/2006/relationships/hyperlink" Target="https://audio.iskcondesiretree.com/01_-_Srila_Prabhupada/01_-_Lectures/01_-_English/02_-_Month_wise/11_-_November/09/Cc_M_20-100_BOM_1975-11-09_How_to_Accept_the_Lord%27s_Instruction.mp3" TargetMode="External"/><Relationship Id="rId1309" Type="http://schemas.openxmlformats.org/officeDocument/2006/relationships/hyperlink" Target="https://audio.iskcondesiretree.com/01_-_Srila_Prabhupada/01_-_Lectures/01_-_English/01_-_Topic_wise/Bhagavad_Gita/Chapter-13/SP_BG_13-14_Bombay_1973-10-07_Nondevotees_Miss_the_Object.mp3" TargetMode="External"/><Relationship Id="rId719" Type="http://schemas.openxmlformats.org/officeDocument/2006/relationships/hyperlink" Target="https://audio.iskcondesiretree.com/01_-_Srila_Prabhupada/01_-_Lectures/01_-_English/02_-_Month_wise/10_-_October/03/SB_1-03-28_LA_1972-10-03_ISKCON_Is_Incarnation_of_Krishna.mp3" TargetMode="External"/><Relationship Id="rId718" Type="http://schemas.openxmlformats.org/officeDocument/2006/relationships/hyperlink" Target="https://audio.iskcondesiretree.com/01_-_Srila_Prabhupada/01_-_Lectures/01_-_English/01_-_Topic_wise/Srimad_Bhagavatam/Canto-01/SP_SB_1-03-28_Los_Angeles_1972-10-03_ISKCON_Is_Incarnation_of_Krishna.mp3" TargetMode="External"/><Relationship Id="rId717" Type="http://schemas.openxmlformats.org/officeDocument/2006/relationships/hyperlink" Target="https://audio.iskcondesiretree.com/01_-_Srila_Prabhupada/01_-_Lectures/01_-_English/02_-_Month_wise/10_-_October/02/SB_1-03-27_LA_1972-10-02_The_Perfect_Philosophy.mp3" TargetMode="External"/><Relationship Id="rId712" Type="http://schemas.openxmlformats.org/officeDocument/2006/relationships/hyperlink" Target="https://audio.iskcondesiretree.com/01_-_Srila_Prabhupada/01_-_Lectures/01_-_English/02_-_Month_wise/09_-_September/30/Lect_LB_1972-09-30_Beyond_Mirage_to_the_Real_World.mp3" TargetMode="External"/><Relationship Id="rId711" Type="http://schemas.openxmlformats.org/officeDocument/2006/relationships/hyperlink" Target="https://audio.iskcondesiretree.com/01_-_Srila_Prabhupada/01_-_Lectures/01_-_English/01_-_Topic_wise/Various/SP_Lecture_Laguna_Beach_1972-09-30_Beyond_Mirage_to_the_Real_World.mp3" TargetMode="External"/><Relationship Id="rId710" Type="http://schemas.openxmlformats.org/officeDocument/2006/relationships/hyperlink" Target="https://audio.iskcondesiretree.com/01_-_Srila_Prabhupada/01_-_Lectures/01_-_English/01_-_Topic_wise/Srimad_Bhagavatam/Canto-01/SP_SB_1-03-25_Los_Angeles_1972-09-30_The_Folly_of_Our_Age.mp3" TargetMode="External"/><Relationship Id="rId716" Type="http://schemas.openxmlformats.org/officeDocument/2006/relationships/hyperlink" Target="https://audio.iskcondesiretree.com/01_-_Srila_Prabhupada/01_-_Lectures/01_-_English/01_-_Topic_wise/Srimad_Bhagavatam/Canto-01/SP_SB_1-03-27_Los_Angeles_1972-10-02_The_Perfect_Philosophy.mp3" TargetMode="External"/><Relationship Id="rId715" Type="http://schemas.openxmlformats.org/officeDocument/2006/relationships/hyperlink" Target="https://audio.iskcondesiretree.com/01_-_Srila_Prabhupada/01_-_Lectures/01_-_English/02_-_Month_wise/10_-_October/01/SB_1-03-26_LA_1972-10-01_First_Educate_People.mp3" TargetMode="External"/><Relationship Id="rId714" Type="http://schemas.openxmlformats.org/officeDocument/2006/relationships/hyperlink" Target="https://audio.iskcondesiretree.com/01_-_Srila_Prabhupada/01_-_Lectures/01_-_English/01_-_Topic_wise/Srimad_Bhagavatam/Canto-01/SP_SB_1-03-26_Los_Angeles_1972-10-01_First_Educate_People.mp3" TargetMode="External"/><Relationship Id="rId713" Type="http://schemas.openxmlformats.org/officeDocument/2006/relationships/hyperlink" Target="https://audio.iskcondesiretree.com/01_-_Srila_Prabhupada/01_-_Lectures/01_-_English/02_-_Month_wise/09_-_September/30/SB_1-03-25_LA_1972-09-30_The_Folly_of_Our_Age.mp3" TargetMode="External"/><Relationship Id="rId3960" Type="http://schemas.openxmlformats.org/officeDocument/2006/relationships/hyperlink" Target="https://audio.iskcondesiretree.com/01_-_Srila_Prabhupada/01_-_Lectures/01_-_English/02_-_Month_wise/11_-_November/03/Walk_1975-11-03_MW-BOMBAY.MP3" TargetMode="External"/><Relationship Id="rId2630" Type="http://schemas.openxmlformats.org/officeDocument/2006/relationships/hyperlink" Target="https://audio.iskcondesiretree.com/01_-_Srila_Prabhupada/01_-_Lectures/01_-_English/01_-_Topic_wise/Srimad_Bhagavatam/Canto-03/SP_SB_3-26-09_Bombay_1974-12-21_Controlled_Enjoyer.mp3" TargetMode="External"/><Relationship Id="rId3962" Type="http://schemas.openxmlformats.org/officeDocument/2006/relationships/hyperlink" Target="https://audio.iskcondesiretree.com/01_-_Srila_Prabhupada/01_-_Lectures/01_-_English/01_-_Topic_wise/Morning_Walk/SP_Morning_Walk_-_Bombay_1975-11-07_Discussion_of_Dioramas.mp3" TargetMode="External"/><Relationship Id="rId1300" Type="http://schemas.openxmlformats.org/officeDocument/2006/relationships/hyperlink" Target="https://audio.iskcondesiretree.com/01_-_Srila_Prabhupada/01_-_Lectures/01_-_English/02_-_Month_wise/09_-_September/30/Bg_13-08_BOM_1973-09-30_Surrender_to_the_Supreme_Person.mp3" TargetMode="External"/><Relationship Id="rId2631" Type="http://schemas.openxmlformats.org/officeDocument/2006/relationships/hyperlink" Target="https://audio.iskcondesiretree.com/01_-_Srila_Prabhupada/01_-_Lectures/01_-_English/02_-_Month_wise/12_-_December/21/SB-03-26-09_1974-12-21_SB-BOMBAY.MP3" TargetMode="External"/><Relationship Id="rId3961" Type="http://schemas.openxmlformats.org/officeDocument/2006/relationships/hyperlink" Target="https://audio.iskcondesiretree.com/01_-_Srila_Prabhupada/01_-_Lectures/01_-_English/02_-_Month_wise/11_-_November/04/Walk_1975-11-04_MW-BOMBAY.MP3" TargetMode="External"/><Relationship Id="rId1378" Type="http://schemas.openxmlformats.org/officeDocument/2006/relationships/hyperlink" Target="https://audio.iskcondesiretree.com/01_-_Srila_Prabhupada/01_-_Lectures/01_-_English/02_-_Month_wise/12_-_December/01/SB_1-15-21_LA_1973-12-01_Civilization_Minus_Krishna.mp3" TargetMode="External"/><Relationship Id="rId1379" Type="http://schemas.openxmlformats.org/officeDocument/2006/relationships/hyperlink" Target="https://audio.iskcondesiretree.com/01_-_Srila_Prabhupada/01_-_Lectures/01_-_English/01_-_Topic_wise/Morning_Walk/SP_Morning_Walk_-_Los_Angeles_1973-12-02_What_the_Heart_Needs.mp3" TargetMode="External"/><Relationship Id="rId789" Type="http://schemas.openxmlformats.org/officeDocument/2006/relationships/hyperlink" Target="https://audio.iskcondesiretree.com/01_-_Srila_Prabhupada/01_-_Lectures/01_-_English/01_-_Topic_wise/Srimad_Bhagavatam/Canto-01/SP_SB_1-02-26_Vrindavan_1972-11-06_People_Are_Being_Killed.mp3" TargetMode="External"/><Relationship Id="rId788" Type="http://schemas.openxmlformats.org/officeDocument/2006/relationships/hyperlink" Target="https://audio.iskcondesiretree.com/01_-_Srila_Prabhupada/01_-_Lectures/01_-_English/01_-_Topic_wise/Nectar_Of_Devotion/SP_NOD_Vrindavan_1972-11-06_-_Advantages_of_Taking_to_Krsna-etc.mp3" TargetMode="External"/><Relationship Id="rId787" Type="http://schemas.openxmlformats.org/officeDocument/2006/relationships/hyperlink" Target="https://audio.iskcondesiretree.com/01_-_Srila_Prabhupada/01_-_Lectures/01_-_English/02_-_Month_wise/11_-_November/05/SB_1-02-25_VRN_1972-11-05_Impersonalists_Misguide_People.mp3" TargetMode="External"/><Relationship Id="rId786" Type="http://schemas.openxmlformats.org/officeDocument/2006/relationships/hyperlink" Target="https://audio.iskcondesiretree.com/01_-_Srila_Prabhupada/01_-_Lectures/01_-_English/02_-_Month_wise/11_-_November/05/NOD_10_VRN_1972-11-05_The_Complete_Science_of_Bhakti-Yoga.mp3" TargetMode="External"/><Relationship Id="rId781" Type="http://schemas.openxmlformats.org/officeDocument/2006/relationships/hyperlink" Target="https://audio.iskcondesiretree.com/01_-_Srila_Prabhupada/01_-_Lectures/01_-_English/01_-_Topic_wise/Srimad_Bhagavatam/Canto-01/SP_SB_1-02-24_Vrindavan_1972-11-04_Rising_Beyond_the_Modes.mp3" TargetMode="External"/><Relationship Id="rId1370" Type="http://schemas.openxmlformats.org/officeDocument/2006/relationships/hyperlink" Target="https://audio.iskcondesiretree.com/01_-_Srila_Prabhupada/01_-_Lectures/01_-_English/02_-_Month_wise/11_-_November/18/SB_1-02-12_DEL_1973-11-18_Qualifying_to_Dance_with_Krishna.mp3" TargetMode="External"/><Relationship Id="rId780" Type="http://schemas.openxmlformats.org/officeDocument/2006/relationships/hyperlink" Target="https://audio.iskcondesiretree.com/01_-_Srila_Prabhupada/01_-_Lectures/01_-_English/01_-_Topic_wise/Nectar_Of_Devotion/SP_NOD_09_Vrindavan_1972-11-04_-_The_Complete_Science_of_Bhakti_Yoga.mp3" TargetMode="External"/><Relationship Id="rId1371" Type="http://schemas.openxmlformats.org/officeDocument/2006/relationships/hyperlink" Target="https://audio.iskcondesiretree.com/01_-_Srila_Prabhupada/01_-_Lectures/01_-_English/01_-_Topic_wise/Srimad_Bhagavatam/Canto-01/SP_SB_1-10-04_London_1973-11-25_Get_Necessities_from_the_Land.mp3" TargetMode="External"/><Relationship Id="rId1372" Type="http://schemas.openxmlformats.org/officeDocument/2006/relationships/hyperlink" Target="https://audio.iskcondesiretree.com/01_-_Srila_Prabhupada/01_-_Lectures/01_-_English/02_-_Month_wise/11_-_November/25/SB_1-10-04_LON_1973-11-25_Get_Necessities_from_the_Land.mp3" TargetMode="External"/><Relationship Id="rId1373" Type="http://schemas.openxmlformats.org/officeDocument/2006/relationships/hyperlink" Target="https://audio.iskcondesiretree.com/01_-_Srila_Prabhupada/01_-_Lectures/01_-_English/01_-_Topic_wise/Srimad_Bhagavatam/Canto-01/SP_SB_1-15-01_New_York_1973-11-29_Very_Intimately_Connected.mp3" TargetMode="External"/><Relationship Id="rId785" Type="http://schemas.openxmlformats.org/officeDocument/2006/relationships/hyperlink" Target="https://audio.iskcondesiretree.com/01_-_Srila_Prabhupada/01_-_Lectures/01_-_English/01_-_Topic_wise/Srimad_Bhagavatam/Canto-01/SP_SB_1-02-25_Vrindavan_1972-11-05_Impersonalists_Misguide_People.mp3" TargetMode="External"/><Relationship Id="rId1374" Type="http://schemas.openxmlformats.org/officeDocument/2006/relationships/hyperlink" Target="https://audio.iskcondesiretree.com/01_-_Srila_Prabhupada/01_-_Lectures/01_-_English/02_-_Month_wise/11_-_November/29/SB_1-15-01_NY_1973-11-29_Very_Intimately_Connected.mp3" TargetMode="External"/><Relationship Id="rId784" Type="http://schemas.openxmlformats.org/officeDocument/2006/relationships/hyperlink" Target="https://audio.iskcondesiretree.com/01_-_Srila_Prabhupada/01_-_Lectures/01_-_English/01_-_Topic_wise/Nectar_Of_Devotion/SP_NOD_10_Vrindavan_1972-11-05_-_The_Complete_Science_of_Bhakti_Yoga.mp3" TargetMode="External"/><Relationship Id="rId1375" Type="http://schemas.openxmlformats.org/officeDocument/2006/relationships/hyperlink" Target="https://audio.iskcondesiretree.com/01_-_Srila_Prabhupada/01_-_Lectures/01_-_English/01_-_Topic_wise/Srimad_Bhagavatam/Canto-01/SP_SB_1-15-20_Los_Angeles_1973-11-30_Again_Become_a_Mouse.mp3" TargetMode="External"/><Relationship Id="rId783" Type="http://schemas.openxmlformats.org/officeDocument/2006/relationships/hyperlink" Target="https://audio.iskcondesiretree.com/01_-_Srila_Prabhupada/01_-_Lectures/01_-_English/02_-_Month_wise/11_-_November/04/SB_1-02-24_VRN_1972-11-04_Rising_Beyond_the_Modes.mp3" TargetMode="External"/><Relationship Id="rId1376" Type="http://schemas.openxmlformats.org/officeDocument/2006/relationships/hyperlink" Target="https://audio.iskcondesiretree.com/01_-_Srila_Prabhupada/01_-_Lectures/01_-_English/02_-_Month_wise/11_-_November/30/SB_1-15-20_LA_1973-11-30_Again_Become_a_Mouse.mp3" TargetMode="External"/><Relationship Id="rId782" Type="http://schemas.openxmlformats.org/officeDocument/2006/relationships/hyperlink" Target="https://audio.iskcondesiretree.com/01_-_Srila_Prabhupada/01_-_Lectures/01_-_English/02_-_Month_wise/11_-_November/04/NOD_09_VRN_1972-11-04_The_Complete_Science_of_Bhakti-Yoga.mp3" TargetMode="External"/><Relationship Id="rId1377" Type="http://schemas.openxmlformats.org/officeDocument/2006/relationships/hyperlink" Target="https://audio.iskcondesiretree.com/01_-_Srila_Prabhupada/01_-_Lectures/01_-_English/01_-_Topic_wise/Srimad_Bhagavatam/Canto-01/SP_SB_1-15-21_Los_Angeles_1973-12-01_Civilization_Minus_Krishna.mp3" TargetMode="External"/><Relationship Id="rId1367" Type="http://schemas.openxmlformats.org/officeDocument/2006/relationships/hyperlink" Target="https://audio.iskcondesiretree.com/01_-_Srila_Prabhupada/01_-_Lectures/01_-_English/01_-_Topic_wise/Srimad_Bhagavatam/Canto-01/SP_SB_1-02-10_Delhi_1973-11-16_Love_Comes_from_Krishna.mp3" TargetMode="External"/><Relationship Id="rId2698" Type="http://schemas.openxmlformats.org/officeDocument/2006/relationships/hyperlink" Target="https://audio.iskcondesiretree.com/01_-_Srila_Prabhupada/01_-_Lectures/01_-_English/01_-_Topic_wise/Srimad_Bhagavatam/Canto-03/SP_SB_3-26-40_Bombay_1975-01-15_Study_Krishna_Analytically.mp3" TargetMode="External"/><Relationship Id="rId1368" Type="http://schemas.openxmlformats.org/officeDocument/2006/relationships/hyperlink" Target="https://audio.iskcondesiretree.com/01_-_Srila_Prabhupada/01_-_Lectures/01_-_English/02_-_Month_wise/11_-_November/16/SB_1-02-10_DEL_1973-11-16_Love_Comes_from_Krishna.mp3" TargetMode="External"/><Relationship Id="rId2699" Type="http://schemas.openxmlformats.org/officeDocument/2006/relationships/hyperlink" Target="https://audio.iskcondesiretree.com/01_-_Srila_Prabhupada/01_-_Lectures/01_-_English/02_-_Month_wise/01_-_January/15/SB-03-26-40_1975-01-15_SB-BOMBAY.MP3" TargetMode="External"/><Relationship Id="rId1369" Type="http://schemas.openxmlformats.org/officeDocument/2006/relationships/hyperlink" Target="https://audio.iskcondesiretree.com/01_-_Srila_Prabhupada/01_-_Lectures/01_-_English/01_-_Topic_wise/Srimad_Bhagavatam/Canto-01/SP_SB_1-02-12_Delhi_1973-11-18_Qualifying_to_Dance_with_Krishna.mp3" TargetMode="External"/><Relationship Id="rId778" Type="http://schemas.openxmlformats.org/officeDocument/2006/relationships/hyperlink" Target="https://audio.iskcondesiretree.com/01_-_Srila_Prabhupada/01_-_Lectures/01_-_English/02_-_Month_wise/11_-_November/03/NOD_Lect_VRN_1972-11-03_People_Want_Hodgepodge_Not_etc.mp3" TargetMode="External"/><Relationship Id="rId777" Type="http://schemas.openxmlformats.org/officeDocument/2006/relationships/hyperlink" Target="https://audio.iskcondesiretree.com/01_-_Srila_Prabhupada/01_-_Lectures/01_-_English/01_-_Topic_wise/Srimad_Bhagavatam/Canto-01/SP_SB_1-02-23_Vrindavan_1972-11-03_How_to_Derive_the_Ultimate_Benefit.mp3" TargetMode="External"/><Relationship Id="rId776" Type="http://schemas.openxmlformats.org/officeDocument/2006/relationships/hyperlink" Target="https://audio.iskcondesiretree.com/01_-_Srila_Prabhupada/01_-_Lectures/01_-_English/01_-_Topic_wise/Nectar_Of_Devotion/SP_NOD_Vrindavan_1972-11-03_-_People_Want_Hodge_podge_Not-etc.mp3" TargetMode="External"/><Relationship Id="rId775" Type="http://schemas.openxmlformats.org/officeDocument/2006/relationships/hyperlink" Target="https://audio.iskcondesiretree.com/01_-_Srila_Prabhupada/01_-_Lectures/01_-_English/02_-_Month_wise/11_-_November/02/SB_1-02-22_VRN_1972-11-02_Enlivening_to_the_Self.mp3" TargetMode="External"/><Relationship Id="rId779" Type="http://schemas.openxmlformats.org/officeDocument/2006/relationships/hyperlink" Target="https://audio.iskcondesiretree.com/01_-_Srila_Prabhupada/01_-_Lectures/01_-_English/02_-_Month_wise/11_-_November/03/SB_1-02-23_VRN_1972-11-03_How_to_Derive_the_Ultimate_Benefit.mp3" TargetMode="External"/><Relationship Id="rId770" Type="http://schemas.openxmlformats.org/officeDocument/2006/relationships/hyperlink" Target="https://audio.iskcondesiretree.com/01_-_Srila_Prabhupada/01_-_Lectures/01_-_English/02_-_Month_wise/11_-_November/01/NOD_Lect_VRN_1972-11-01_Devotion_Is_Action_Without_Designation.mp3" TargetMode="External"/><Relationship Id="rId2690" Type="http://schemas.openxmlformats.org/officeDocument/2006/relationships/hyperlink" Target="https://audio.iskcondesiretree.com/01_-_Srila_Prabhupada/01_-_Lectures/01_-_English/02_-_Month_wise/01_-_January/11/SB-03-26-34_1975-01-11_SB-BOMBAY.MP3" TargetMode="External"/><Relationship Id="rId1360" Type="http://schemas.openxmlformats.org/officeDocument/2006/relationships/hyperlink" Target="https://audio.iskcondesiretree.com/01_-_Srila_Prabhupada/01_-_Lectures/01_-_English/02_-_Month_wise/11_-_November/11/SB_1-02-05_DEL_1973-11-11_The_Ultimate_Gain_in_Life.mp3" TargetMode="External"/><Relationship Id="rId2691" Type="http://schemas.openxmlformats.org/officeDocument/2006/relationships/hyperlink" Target="https://audio.iskcondesiretree.com/01_-_Srila_Prabhupada/01_-_Lectures/01_-_English/02_-_Month_wise/01_-_January/11/SB_3-26-34_BOM_1975-01-11_Passing_Life%27s_Final_Examination.mp3" TargetMode="External"/><Relationship Id="rId1361" Type="http://schemas.openxmlformats.org/officeDocument/2006/relationships/hyperlink" Target="https://audio.iskcondesiretree.com/01_-_Srila_Prabhupada/01_-_Lectures/01_-_English/01_-_Topic_wise/Srimad_Bhagavatam/Canto-01/SP_SB_1-02-06_Delhi_1973-11-12_Toward_Perfect_Peace_of_Mind.mp3" TargetMode="External"/><Relationship Id="rId2692" Type="http://schemas.openxmlformats.org/officeDocument/2006/relationships/hyperlink" Target="https://audio.iskcondesiretree.com/01_-_Srila_Prabhupada/01_-_Lectures/01_-_English/01_-_Topic_wise/Srimad_Bhagavatam/Canto-03/SP_SB_3-26-35_Bombay_1975-01-12_Tolerance_of_Matter%27s_Touch.mp3" TargetMode="External"/><Relationship Id="rId1362" Type="http://schemas.openxmlformats.org/officeDocument/2006/relationships/hyperlink" Target="https://audio.iskcondesiretree.com/01_-_Srila_Prabhupada/01_-_Lectures/01_-_English/02_-_Month_wise/11_-_November/12/SB_1-02-06_DEL_1973-11-12_Toward_Perfect_Peace_of_Mind.mp3" TargetMode="External"/><Relationship Id="rId2693" Type="http://schemas.openxmlformats.org/officeDocument/2006/relationships/hyperlink" Target="https://audio.iskcondesiretree.com/01_-_Srila_Prabhupada/01_-_Lectures/01_-_English/02_-_Month_wise/01_-_January/12/SB-03-26-35%E2%80%9336_1975-01-12_SB-BOMBAY.MP3" TargetMode="External"/><Relationship Id="rId774" Type="http://schemas.openxmlformats.org/officeDocument/2006/relationships/hyperlink" Target="https://audio.iskcondesiretree.com/01_-_Srila_Prabhupada/01_-_Lectures/01_-_English/02_-_Month_wise/11_-_November/02/NOD_08_VRN_1972-11-02_The_Complete_Science_of_Bhakti-Yoga.mp3" TargetMode="External"/><Relationship Id="rId1363" Type="http://schemas.openxmlformats.org/officeDocument/2006/relationships/hyperlink" Target="https://audio.iskcondesiretree.com/01_-_Srila_Prabhupada/01_-_Lectures/01_-_English/01_-_Topic_wise/Srimad_Bhagavatam/Canto-01/SP_SB_1-02-07_Delhi_1973-11-13_Understand_God_from_God.mp3" TargetMode="External"/><Relationship Id="rId2694" Type="http://schemas.openxmlformats.org/officeDocument/2006/relationships/hyperlink" Target="https://audio.iskcondesiretree.com/01_-_Srila_Prabhupada/01_-_Lectures/01_-_English/02_-_Month_wise/01_-_January/12/SB_3-26-35_BOM_1975-01-12_Tolerance_of_Matter%27s_Touch.mp3" TargetMode="External"/><Relationship Id="rId773" Type="http://schemas.openxmlformats.org/officeDocument/2006/relationships/hyperlink" Target="https://audio.iskcondesiretree.com/01_-_Srila_Prabhupada/01_-_Lectures/01_-_English/01_-_Topic_wise/Srimad_Bhagavatam/Canto-01/SP_SB_1-02-22_Vrindavan_1972-11-02_Enlivening_to_the_Self.mp3" TargetMode="External"/><Relationship Id="rId1364" Type="http://schemas.openxmlformats.org/officeDocument/2006/relationships/hyperlink" Target="https://audio.iskcondesiretree.com/01_-_Srila_Prabhupada/01_-_Lectures/01_-_English/02_-_Month_wise/11_-_November/13/SB_1-02-07_DEL_1973-11-13_Understand_God_from_God.mp3" TargetMode="External"/><Relationship Id="rId2695" Type="http://schemas.openxmlformats.org/officeDocument/2006/relationships/hyperlink" Target="https://audio.iskcondesiretree.com/01_-_Srila_Prabhupada/01_-_Lectures/01_-_English/01_-_Topic_wise/Srimad_Bhagavatam/Canto-03/SP_SB_3-26-39_Bombay_1975-01-14_Forest_Fire_of_False_Ego.mp3" TargetMode="External"/><Relationship Id="rId772" Type="http://schemas.openxmlformats.org/officeDocument/2006/relationships/hyperlink" Target="https://audio.iskcondesiretree.com/01_-_Srila_Prabhupada/01_-_Lectures/01_-_English/01_-_Topic_wise/Nectar_Of_Devotion/SP_NOD_08_Vrindavan_1972-11-02_-_The_Complete_Science_of_Bhakti_Yoga.mp3" TargetMode="External"/><Relationship Id="rId1365" Type="http://schemas.openxmlformats.org/officeDocument/2006/relationships/hyperlink" Target="https://audio.iskcondesiretree.com/01_-_Srila_Prabhupada/01_-_Lectures/01_-_English/01_-_Topic_wise/Srimad_Bhagavatam/Canto-01/SP_SB_1-02-09_Delhi_1973-11-14_Real_Dharma-It%27s_Not_Karma.mp3" TargetMode="External"/><Relationship Id="rId2696" Type="http://schemas.openxmlformats.org/officeDocument/2006/relationships/hyperlink" Target="https://audio.iskcondesiretree.com/01_-_Srila_Prabhupada/01_-_Lectures/01_-_English/02_-_Month_wise/01_-_January/14/SB-03-26-39_1975-01-14_SB-BOMBAY.MP3" TargetMode="External"/><Relationship Id="rId771" Type="http://schemas.openxmlformats.org/officeDocument/2006/relationships/hyperlink" Target="https://audio.iskcondesiretree.com/01_-_Srila_Prabhupada/01_-_Lectures/01_-_English/02_-_Month_wise/11_-_November/01/SB_1-02-21_VRN_1972-11-01_Untying_the_Knot_Between_etc.mp3" TargetMode="External"/><Relationship Id="rId1366" Type="http://schemas.openxmlformats.org/officeDocument/2006/relationships/hyperlink" Target="https://audio.iskcondesiretree.com/01_-_Srila_Prabhupada/01_-_Lectures/01_-_English/02_-_Month_wise/11_-_November/14/SB_1-02-09_DEL_1973-11-14_Real_Dharma-It%27s_Not_Karma.mp3" TargetMode="External"/><Relationship Id="rId2697" Type="http://schemas.openxmlformats.org/officeDocument/2006/relationships/hyperlink" Target="https://audio.iskcondesiretree.com/01_-_Srila_Prabhupada/01_-_Lectures/01_-_English/02_-_Month_wise/01_-_January/14/SB_3-26-39_BOM_1975-01-14_Forest_Fire_of_False_Ego.mp3" TargetMode="External"/><Relationship Id="rId1390" Type="http://schemas.openxmlformats.org/officeDocument/2006/relationships/hyperlink" Target="https://audio.iskcondesiretree.com/01_-_Srila_Prabhupada/01_-_Lectures/01_-_English/02_-_Month_wise/12_-_December/04/SB_1-15-25_LA_1973-12-04_Varnasrama-Overhauling_Hell.mp3" TargetMode="External"/><Relationship Id="rId1391" Type="http://schemas.openxmlformats.org/officeDocument/2006/relationships/hyperlink" Target="https://audio.iskcondesiretree.com/01_-_Srila_Prabhupada/01_-_Lectures/01_-_English/01_-_Topic_wise/Morning_Walk/SP_Morning_Walk_-_Los_Angeles_1973-12-05_Don%27t_Do_Your_Own_Thing.mp3" TargetMode="External"/><Relationship Id="rId1392" Type="http://schemas.openxmlformats.org/officeDocument/2006/relationships/hyperlink" Target="https://audio.iskcondesiretree.com/01_-_Srila_Prabhupada/01_-_Lectures/01_-_English/01_-_Topic_wise/Morning_Walk/SP_Morning_Walk_-_Los_Angeles_1973-12-05_We_Have_Free_Will.mp3" TargetMode="External"/><Relationship Id="rId1393" Type="http://schemas.openxmlformats.org/officeDocument/2006/relationships/hyperlink" Target="https://audio.iskcondesiretree.com/01_-_Srila_Prabhupada/01_-_Lectures/01_-_English/01_-_Topic_wise/Srimad_Bhagavatam/Canto-01/SP_SB_1-15-26_Los_Angeles_1973-12-05_Making_the_World_Truly_Aryan.mp3" TargetMode="External"/><Relationship Id="rId1394" Type="http://schemas.openxmlformats.org/officeDocument/2006/relationships/hyperlink" Target="https://audio.iskcondesiretree.com/01_-_Srila_Prabhupada/01_-_Lectures/01_-_English/01_-_Topic_wise/Srimad_Bhagavatam/Canto-01/SP_SB_1-15-27_Los_Angeles_1973-12-05_Mistaking_Suffering_for_Enjoyment.mp3" TargetMode="External"/><Relationship Id="rId1395" Type="http://schemas.openxmlformats.org/officeDocument/2006/relationships/hyperlink" Target="https://audio.iskcondesiretree.com/01_-_Srila_Prabhupada/01_-_Lectures/01_-_English/02_-_Month_wise/12_-_December/05/MW_LA_1973-12-05_Don%27t_Do_Your_Own_Thing.mp3" TargetMode="External"/><Relationship Id="rId1396" Type="http://schemas.openxmlformats.org/officeDocument/2006/relationships/hyperlink" Target="https://audio.iskcondesiretree.com/01_-_Srila_Prabhupada/01_-_Lectures/01_-_English/02_-_Month_wise/12_-_December/05/MW_LA_1973-12-05_We_Have_Free_Will.mp3" TargetMode="External"/><Relationship Id="rId1397" Type="http://schemas.openxmlformats.org/officeDocument/2006/relationships/hyperlink" Target="https://audio.iskcondesiretree.com/01_-_Srila_Prabhupada/01_-_Lectures/01_-_English/02_-_Month_wise/12_-_December/05/SB_1-15-26_LA_1973-12-05_Making_the_World_Truly_Aryan.mp3" TargetMode="External"/><Relationship Id="rId1398" Type="http://schemas.openxmlformats.org/officeDocument/2006/relationships/hyperlink" Target="https://audio.iskcondesiretree.com/01_-_Srila_Prabhupada/01_-_Lectures/01_-_English/02_-_Month_wise/12_-_December/05/SB_1-15-27_LA_1973-12-05_Mistaking_Suffering_for_Enjoyment.mp3" TargetMode="External"/><Relationship Id="rId1399" Type="http://schemas.openxmlformats.org/officeDocument/2006/relationships/hyperlink" Target="https://audio.iskcondesiretree.com/01_-_Srila_Prabhupada/01_-_Lectures/01_-_English/01_-_Topic_wise/Srimad_Bhagavatam/Canto-01/SP_SB_1-15-28_Los_Angeles_1973-12-06_Who_to_Meditate_On.mp3" TargetMode="External"/><Relationship Id="rId1389" Type="http://schemas.openxmlformats.org/officeDocument/2006/relationships/hyperlink" Target="https://audio.iskcondesiretree.com/01_-_Srila_Prabhupada/01_-_Lectures/01_-_English/02_-_Month_wise/12_-_December/04/MW_LA_1973-12-04_Sincere_Atheist-Honest_Thief.mp3" TargetMode="External"/><Relationship Id="rId799" Type="http://schemas.openxmlformats.org/officeDocument/2006/relationships/hyperlink" Target="https://audio.iskcondesiretree.com/01_-_Srila_Prabhupada/01_-_Lectures/01_-_English/02_-_Month_wise/11_-_November/08/SB_1-02-28_VRN_1972-11-08_Kamsa%27s_and_Ravana%27s_Secular_State.mp3" TargetMode="External"/><Relationship Id="rId798" Type="http://schemas.openxmlformats.org/officeDocument/2006/relationships/hyperlink" Target="https://audio.iskcondesiretree.com/01_-_Srila_Prabhupada/01_-_Lectures/01_-_English/02_-_Month_wise/11_-_November/08/NOD_12_VRN_1972-11-08_The_Complete_Science_of_Bhakti-Yoga.mp3" TargetMode="External"/><Relationship Id="rId797" Type="http://schemas.openxmlformats.org/officeDocument/2006/relationships/hyperlink" Target="https://audio.iskcondesiretree.com/01_-_Srila_Prabhupada/01_-_Lectures/01_-_English/01_-_Topic_wise/Srimad_Bhagavatam/Canto-01/SP_SB_1-02-28_Vrindavan_1972-11-08_Kamsa%27s_and_Ravana%27s_Secular_State.mp3" TargetMode="External"/><Relationship Id="rId1380" Type="http://schemas.openxmlformats.org/officeDocument/2006/relationships/hyperlink" Target="https://audio.iskcondesiretree.com/01_-_Srila_Prabhupada/01_-_Lectures/01_-_English/01_-_Topic_wise/Srimad_Bhagavatam/Canto-01/SP_SB_1-15-22_Los_Angeles_1973-12-02_Intoxication_on_Top_of_Intoxication.mp3" TargetMode="External"/><Relationship Id="rId792" Type="http://schemas.openxmlformats.org/officeDocument/2006/relationships/hyperlink" Target="https://audio.iskcondesiretree.com/01_-_Srila_Prabhupada/01_-_Lectures/01_-_English/01_-_Topic_wise/Nectar_Of_Devotion/SP_NOD_11_Vrindavan_1972-11-07_-_The_Complete_Science_of_Bhakti_Yoga.mp3" TargetMode="External"/><Relationship Id="rId1381" Type="http://schemas.openxmlformats.org/officeDocument/2006/relationships/hyperlink" Target="https://audio.iskcondesiretree.com/01_-_Srila_Prabhupada/01_-_Lectures/01_-_English/02_-_Month_wise/12_-_December/02/MW_LA_1973-12-02_What_the_Heart_Needs.mp3" TargetMode="External"/><Relationship Id="rId791" Type="http://schemas.openxmlformats.org/officeDocument/2006/relationships/hyperlink" Target="https://audio.iskcondesiretree.com/01_-_Srila_Prabhupada/01_-_Lectures/01_-_English/02_-_Month_wise/11_-_November/06/SB_1-02-26_VRN_1972-11-06_People_Are_Being_Killed.mp3" TargetMode="External"/><Relationship Id="rId1382" Type="http://schemas.openxmlformats.org/officeDocument/2006/relationships/hyperlink" Target="https://audio.iskcondesiretree.com/01_-_Srila_Prabhupada/01_-_Lectures/01_-_English/02_-_Month_wise/12_-_December/02/SB_1-15-22_LA_1973-12-02_Intoxication_on_Top_of_Intoxication.mp3" TargetMode="External"/><Relationship Id="rId790" Type="http://schemas.openxmlformats.org/officeDocument/2006/relationships/hyperlink" Target="https://audio.iskcondesiretree.com/01_-_Srila_Prabhupada/01_-_Lectures/01_-_English/02_-_Month_wise/11_-_November/06/NOD_Lect_VRN_1972-11-06_Advantages_of_Taking_to_Krsna_etc.mp3" TargetMode="External"/><Relationship Id="rId1383" Type="http://schemas.openxmlformats.org/officeDocument/2006/relationships/hyperlink" Target="https://audio.iskcondesiretree.com/01_-_Srila_Prabhupada/01_-_Lectures/01_-_English/01_-_Topic_wise/Morning_Walk/SP_Morning_Walk_-_Los_Angeles_1973-12-03_Amino_Asses.mp3" TargetMode="External"/><Relationship Id="rId1384" Type="http://schemas.openxmlformats.org/officeDocument/2006/relationships/hyperlink" Target="https://audio.iskcondesiretree.com/01_-_Srila_Prabhupada/01_-_Lectures/01_-_English/01_-_Topic_wise/Srimad_Bhagavatam/Canto-01/SP_SB_1-15-24_Los_Angeles_1973-12-03_You_Think_You_Can_Bluff_the--etc.mp3" TargetMode="External"/><Relationship Id="rId796" Type="http://schemas.openxmlformats.org/officeDocument/2006/relationships/hyperlink" Target="https://audio.iskcondesiretree.com/01_-_Srila_Prabhupada/01_-_Lectures/01_-_English/01_-_Topic_wise/Nectar_Of_Devotion/SP_NOD_12_Vrindavan_1972-11-08_-_The_Complete_Science_of_Bhakti_Yoga.mp3" TargetMode="External"/><Relationship Id="rId1385" Type="http://schemas.openxmlformats.org/officeDocument/2006/relationships/hyperlink" Target="https://audio.iskcondesiretree.com/01_-_Srila_Prabhupada/01_-_Lectures/01_-_English/02_-_Month_wise/12_-_December/03/MW_LA_1973-12-03_Amino_Asses.mp3" TargetMode="External"/><Relationship Id="rId795" Type="http://schemas.openxmlformats.org/officeDocument/2006/relationships/hyperlink" Target="https://audio.iskcondesiretree.com/01_-_Srila_Prabhupada/01_-_Lectures/01_-_English/02_-_Month_wise/11_-_November/07/SB_1-02-27_VRN_1972-11-07_Devotee_Doesn%27t_Want_Anything.mp3" TargetMode="External"/><Relationship Id="rId1386" Type="http://schemas.openxmlformats.org/officeDocument/2006/relationships/hyperlink" Target="https://audio.iskcondesiretree.com/01_-_Srila_Prabhupada/01_-_Lectures/01_-_English/02_-_Month_wise/12_-_December/03/SB_1-15-24_LA_1973-12-03_You_Think_You_Can_Bluff_the_etc.mp3" TargetMode="External"/><Relationship Id="rId794" Type="http://schemas.openxmlformats.org/officeDocument/2006/relationships/hyperlink" Target="https://audio.iskcondesiretree.com/01_-_Srila_Prabhupada/01_-_Lectures/01_-_English/02_-_Month_wise/11_-_November/07/NOD_11_VRN_1972-11-07_The_Complete_Science_of_Bhakti-Yoga.mp3" TargetMode="External"/><Relationship Id="rId1387" Type="http://schemas.openxmlformats.org/officeDocument/2006/relationships/hyperlink" Target="https://audio.iskcondesiretree.com/01_-_Srila_Prabhupada/01_-_Lectures/01_-_English/01_-_Topic_wise/Morning_Walk/SP_Morning_Walk_-_Los_Angeles_1973-12-04_Sincere_Atheist-Honest_Thief.mp3" TargetMode="External"/><Relationship Id="rId793" Type="http://schemas.openxmlformats.org/officeDocument/2006/relationships/hyperlink" Target="https://audio.iskcondesiretree.com/01_-_Srila_Prabhupada/01_-_Lectures/01_-_English/01_-_Topic_wise/Srimad_Bhagavatam/Canto-01/SP_SB_1-02-27_Vrindavan_1972-11-07_Devotee_Doesn%27t_Want_Anything.mp3" TargetMode="External"/><Relationship Id="rId1388" Type="http://schemas.openxmlformats.org/officeDocument/2006/relationships/hyperlink" Target="https://audio.iskcondesiretree.com/01_-_Srila_Prabhupada/01_-_Lectures/01_-_English/01_-_Topic_wise/Srimad_Bhagavatam/Canto-01/SP_SB_1-15-25_Los_Angeles_1973-12-04_Varnasrama-Overhauling_Hell.mp3" TargetMode="External"/><Relationship Id="rId6201" Type="http://schemas.openxmlformats.org/officeDocument/2006/relationships/hyperlink" Target="https://audio.iskcondesiretree.com/01_-_Srila_Prabhupada/01_-_Lectures/03_-_Hindi/SP_Hindi_29_Lectures_%26_Conversations.mp3" TargetMode="External"/><Relationship Id="rId6202" Type="http://schemas.openxmlformats.org/officeDocument/2006/relationships/hyperlink" Target="https://audio.iskcondesiretree.com/01_-_Srila_Prabhupada/01_-_Lectures/03_-_Hindi/SP_Hindi_30_Lectures_%26_Conversations.mp3" TargetMode="External"/><Relationship Id="rId6200" Type="http://schemas.openxmlformats.org/officeDocument/2006/relationships/hyperlink" Target="https://audio.iskcondesiretree.com/01_-_Srila_Prabhupada/01_-_Lectures/03_-_Hindi/SP_Hindi_28_Lectures_%26_Conversations.mp3" TargetMode="External"/><Relationship Id="rId6205" Type="http://schemas.openxmlformats.org/officeDocument/2006/relationships/drawing" Target="../drawings/drawing2.xml"/><Relationship Id="rId6203" Type="http://schemas.openxmlformats.org/officeDocument/2006/relationships/hyperlink" Target="https://audio.iskcondesiretree.com/01_-_Srila_Prabhupada/01_-_Lectures/03_-_Hindi/SP_Hindi_31_Lectures_%26_Conversations.mp3" TargetMode="External"/><Relationship Id="rId6204" Type="http://schemas.openxmlformats.org/officeDocument/2006/relationships/hyperlink" Target="https://audio.iskcondesiretree.com/01_-_Srila_Prabhupada/01_-_Lectures/03_-_Hindi/SP_Hindi_32_Lectures_%26_Conversations.mp3" TargetMode="External"/><Relationship Id="rId2700" Type="http://schemas.openxmlformats.org/officeDocument/2006/relationships/hyperlink" Target="https://audio.iskcondesiretree.com/01_-_Srila_Prabhupada/01_-_Lectures/01_-_English/02_-_Month_wise/01_-_January/15/SB_3-26-40_BOM_1975-01-15_Study_Krishna_Analytically.mp3" TargetMode="External"/><Relationship Id="rId2701" Type="http://schemas.openxmlformats.org/officeDocument/2006/relationships/hyperlink" Target="https://audio.iskcondesiretree.com/01_-_Srila_Prabhupada/01_-_Lectures/01_-_English/01_-_Topic_wise/Srimad_Bhagavatam/Canto-03/SP_SB_3-26-41_Bombay_1975-01-16_Working_of_Universal_Machinery.mp3" TargetMode="External"/><Relationship Id="rId2702" Type="http://schemas.openxmlformats.org/officeDocument/2006/relationships/hyperlink" Target="https://audio.iskcondesiretree.com/01_-_Srila_Prabhupada/01_-_Lectures/01_-_English/02_-_Month_wise/01_-_January/16/SB-03-26-41_1975-01-16_SB-BOMBAY.MP3" TargetMode="External"/><Relationship Id="rId2703" Type="http://schemas.openxmlformats.org/officeDocument/2006/relationships/hyperlink" Target="https://audio.iskcondesiretree.com/01_-_Srila_Prabhupada/01_-_Lectures/01_-_English/02_-_Month_wise/01_-_January/16/SB_3-26-41_BOM_1975-01-16_Working_of_Universal_Machinery.mp3" TargetMode="External"/><Relationship Id="rId2704" Type="http://schemas.openxmlformats.org/officeDocument/2006/relationships/hyperlink" Target="https://audio.iskcondesiretree.com/01_-_Srila_Prabhupada/01_-_Lectures/01_-_English/01_-_Topic_wise/Srimad_Bhagavatam/Canto-03/SP_SB_3-26-42_Bombay_1975-01-17_Universal_Mixer_%26_Taste_Maker.mp3" TargetMode="External"/><Relationship Id="rId2705" Type="http://schemas.openxmlformats.org/officeDocument/2006/relationships/hyperlink" Target="https://audio.iskcondesiretree.com/01_-_Srila_Prabhupada/01_-_Lectures/01_-_English/02_-_Month_wise/01_-_January/17/SB-03-26-42_1975-01-17_SB-BOMBAY.MP3" TargetMode="External"/><Relationship Id="rId2706" Type="http://schemas.openxmlformats.org/officeDocument/2006/relationships/hyperlink" Target="https://audio.iskcondesiretree.com/01_-_Srila_Prabhupada/01_-_Lectures/01_-_English/02_-_Month_wise/01_-_January/17/SB_3-26-42_BOM_1975-01-17_Universal_Mixer_%26_Taste_Maker.mp3" TargetMode="External"/><Relationship Id="rId2707" Type="http://schemas.openxmlformats.org/officeDocument/2006/relationships/hyperlink" Target="https://audio.iskcondesiretree.com/01_-_Srila_Prabhupada/01_-_Lectures/01_-_English/01_-_Topic_wise/Srimad_Bhagavatam/Canto-03/SP_SB_3-26-43_Bombay_1975-01-18_Refreshment_for_Parched_Mind.mp3" TargetMode="External"/><Relationship Id="rId2708" Type="http://schemas.openxmlformats.org/officeDocument/2006/relationships/hyperlink" Target="https://audio.iskcondesiretree.com/01_-_Srila_Prabhupada/01_-_Lectures/01_-_English/02_-_Month_wise/01_-_January/18/SB-03-26-43_1975-01-18_SB-BOMBAY.MP3" TargetMode="External"/><Relationship Id="rId2709" Type="http://schemas.openxmlformats.org/officeDocument/2006/relationships/hyperlink" Target="https://audio.iskcondesiretree.com/01_-_Srila_Prabhupada/01_-_Lectures/01_-_English/02_-_Month_wise/01_-_January/18/SB_3-26-43_BOM_1975-01-18_Refreshment_for_Parched_Mind.mp3" TargetMode="External"/><Relationship Id="rId2720" Type="http://schemas.openxmlformats.org/officeDocument/2006/relationships/hyperlink" Target="https://audio.iskcondesiretree.com/01_-_Srila_Prabhupada/01_-_Lectures/01_-_English/02_-_Month_wise/01_-_January/22/SB-03-26-47_1975-01-22_SB-BOMBAY.MP3" TargetMode="External"/><Relationship Id="rId2721" Type="http://schemas.openxmlformats.org/officeDocument/2006/relationships/hyperlink" Target="https://audio.iskcondesiretree.com/01_-_Srila_Prabhupada/01_-_Lectures/01_-_English/02_-_Month_wise/01_-_January/22/SB_3-26-47_BOM_1975-01-22_Dead_Sound--Living_Sound.mp3" TargetMode="External"/><Relationship Id="rId2722" Type="http://schemas.openxmlformats.org/officeDocument/2006/relationships/hyperlink" Target="https://audio.iskcondesiretree.com/01_-_Srila_Prabhupada/01_-_Lectures/01_-_English/01_-_Topic_wise/Bhagavad_Gita/Chapter-16/SP_BG_16-07-09_Bombay_1975-01-23_Cornerstone_for_Godly_Civilization.mp3" TargetMode="External"/><Relationship Id="rId2723" Type="http://schemas.openxmlformats.org/officeDocument/2006/relationships/hyperlink" Target="https://audio.iskcondesiretree.com/01_-_Srila_Prabhupada/01_-_Lectures/01_-_English/02_-_Month_wise/01_-_January/23/Bg-16-07%E2%80%9309_1975-01-23_CS-BOMBAY.MP3" TargetMode="External"/><Relationship Id="rId2724" Type="http://schemas.openxmlformats.org/officeDocument/2006/relationships/hyperlink" Target="https://audio.iskcondesiretree.com/01_-_Srila_Prabhupada/01_-_Lectures/01_-_English/02_-_Month_wise/01_-_January/23/Bg_16-07_BOM_1975-01-23_Cornerstone_for_Godly_Civilization.mp3" TargetMode="External"/><Relationship Id="rId2725" Type="http://schemas.openxmlformats.org/officeDocument/2006/relationships/hyperlink" Target="https://audio.iskcondesiretree.com/01_-_Srila_Prabhupada/01_-_Lectures/01_-_English/01_-_Topic_wise/Bhagavad_Gita/Chapter-07/SP_BG_07-01_Hong_Kong_1975-01-25_Transfer_Your_Attachment.mp3" TargetMode="External"/><Relationship Id="rId2726" Type="http://schemas.openxmlformats.org/officeDocument/2006/relationships/hyperlink" Target="https://audio.iskcondesiretree.com/01_-_Srila_Prabhupada/01_-_Lectures/01_-_English/02_-_Month_wise/01_-_January/25/Bg-07-01_1975-01-25_BG-HONG%20KONG.MP3" TargetMode="External"/><Relationship Id="rId2727" Type="http://schemas.openxmlformats.org/officeDocument/2006/relationships/hyperlink" Target="https://audio.iskcondesiretree.com/01_-_Srila_Prabhupada/01_-_Lectures/01_-_English/02_-_Month_wise/01_-_January/25/Bg_07-01_HK_1975-01-25_Transfer_Your_Attachment.mp3" TargetMode="External"/><Relationship Id="rId2728" Type="http://schemas.openxmlformats.org/officeDocument/2006/relationships/hyperlink" Target="https://audio.iskcondesiretree.com/01_-_Srila_Prabhupada/01_-_Lectures/01_-_English/01_-_Topic_wise/Room_Conversation/SP_Room_Conversation_Hong_Kong_1975-01-26_Children--This_Is_Yoga.mp3" TargetMode="External"/><Relationship Id="rId2729" Type="http://schemas.openxmlformats.org/officeDocument/2006/relationships/hyperlink" Target="https://audio.iskcondesiretree.com/01_-_Srila_Prabhupada/01_-_Lectures/01_-_English/02_-_Month_wise/01_-_January/26/Darshan_1975-01-26_CD-HONG%20KONG.MP3" TargetMode="External"/><Relationship Id="rId2710" Type="http://schemas.openxmlformats.org/officeDocument/2006/relationships/hyperlink" Target="https://audio.iskcondesiretree.com/01_-_Srila_Prabhupada/01_-_Lectures/01_-_English/01_-_Topic_wise/Srimad_Bhagavatam/Canto-03/SP_SB_3-26-44_Bombay_1975-01-19_Pure_Love.mp3" TargetMode="External"/><Relationship Id="rId2711" Type="http://schemas.openxmlformats.org/officeDocument/2006/relationships/hyperlink" Target="https://audio.iskcondesiretree.com/01_-_Srila_Prabhupada/01_-_Lectures/01_-_English/02_-_Month_wise/01_-_January/19/SB-03-26-44_1975-01-19_SB-BOMBAY.MP3" TargetMode="External"/><Relationship Id="rId2712" Type="http://schemas.openxmlformats.org/officeDocument/2006/relationships/hyperlink" Target="https://audio.iskcondesiretree.com/01_-_Srila_Prabhupada/01_-_Lectures/01_-_English/02_-_Month_wise/01_-_January/19/SB_3-26-44_BOM_1975-01-19_Pure_Love.mp3" TargetMode="External"/><Relationship Id="rId2713" Type="http://schemas.openxmlformats.org/officeDocument/2006/relationships/hyperlink" Target="https://audio.iskcondesiretree.com/01_-_Srila_Prabhupada/01_-_Lectures/01_-_English/01_-_Topic_wise/Srimad_Bhagavatam/Canto-03/SP_SB_3-26-45_Bombay_1975-01-20_Transcendental_Transaction.mp3" TargetMode="External"/><Relationship Id="rId2714" Type="http://schemas.openxmlformats.org/officeDocument/2006/relationships/hyperlink" Target="https://audio.iskcondesiretree.com/01_-_Srila_Prabhupada/01_-_Lectures/01_-_English/02_-_Month_wise/01_-_January/20/SB-03-26-45_1975-01-20_SB-BOMBAY.MP3" TargetMode="External"/><Relationship Id="rId2715" Type="http://schemas.openxmlformats.org/officeDocument/2006/relationships/hyperlink" Target="https://audio.iskcondesiretree.com/01_-_Srila_Prabhupada/01_-_Lectures/01_-_English/02_-_Month_wise/01_-_January/20/SB_3-26-45_BOM_1975-01-20_Transcendental_Transaction.mp3" TargetMode="External"/><Relationship Id="rId2716" Type="http://schemas.openxmlformats.org/officeDocument/2006/relationships/hyperlink" Target="https://audio.iskcondesiretree.com/01_-_Srila_Prabhupada/01_-_Lectures/01_-_English/01_-_Topic_wise/Srimad_Bhagavatam/Canto-03/SP_SB_3-26-46_Bombay_1975-01-21_Putting_Krishna_in_His_Place.mp3" TargetMode="External"/><Relationship Id="rId2717" Type="http://schemas.openxmlformats.org/officeDocument/2006/relationships/hyperlink" Target="https://audio.iskcondesiretree.com/01_-_Srila_Prabhupada/01_-_Lectures/01_-_English/02_-_Month_wise/01_-_January/21/SB-03-26-46_1975-01-21_SB-BOMBAY.MP3" TargetMode="External"/><Relationship Id="rId2718" Type="http://schemas.openxmlformats.org/officeDocument/2006/relationships/hyperlink" Target="https://audio.iskcondesiretree.com/01_-_Srila_Prabhupada/01_-_Lectures/01_-_English/02_-_Month_wise/01_-_January/21/SB_3-26-46_BOM_1975-01-21_Putting_Krishna_in_His_Place.mp3" TargetMode="External"/><Relationship Id="rId2719" Type="http://schemas.openxmlformats.org/officeDocument/2006/relationships/hyperlink" Target="https://audio.iskcondesiretree.com/01_-_Srila_Prabhupada/01_-_Lectures/01_-_English/01_-_Topic_wise/Srimad_Bhagavatam/Canto-03/SP_SB_3-26-47_Bombay_1975-01-22_Dead_Sound--Living_Sound.mp3" TargetMode="External"/><Relationship Id="rId1455" Type="http://schemas.openxmlformats.org/officeDocument/2006/relationships/hyperlink" Target="https://audio.iskcondesiretree.com/01_-_Srila_Prabhupada/01_-_Lectures/01_-_English/01_-_Topic_wise/Srimad_Bhagavatam/Canto-01/SP_SB_1-15-47_Los_Angeles_1973-12-25_Seeing_Krishna_Face_to_Face.mp3" TargetMode="External"/><Relationship Id="rId2786" Type="http://schemas.openxmlformats.org/officeDocument/2006/relationships/hyperlink" Target="https://audio.iskcondesiretree.com/01_-_Srila_Prabhupada/01_-_Lectures/01_-_English/02_-_Month_wise/02_-_Feburary/11/Arrival_1975-02-11_AR-MEXICO%20CITY.MP3" TargetMode="External"/><Relationship Id="rId1456" Type="http://schemas.openxmlformats.org/officeDocument/2006/relationships/hyperlink" Target="https://audio.iskcondesiretree.com/01_-_Srila_Prabhupada/01_-_Lectures/01_-_English/02_-_Month_wise/12_-_December/25/SB_1-15-47_LA_1973-12-25_Seeing_Krishna_Face_to_Face.mp3" TargetMode="External"/><Relationship Id="rId2787" Type="http://schemas.openxmlformats.org/officeDocument/2006/relationships/hyperlink" Target="https://audio.iskcondesiretree.com/01_-_Srila_Prabhupada/01_-_Lectures/01_-_English/02_-_Month_wise/02_-_Feburary/11/Bg-02-11_1975-02-11_BG-MEXICO%20CITY.MP3" TargetMode="External"/><Relationship Id="rId1457" Type="http://schemas.openxmlformats.org/officeDocument/2006/relationships/hyperlink" Target="https://audio.iskcondesiretree.com/01_-_Srila_Prabhupada/01_-_Lectures/01_-_English/01_-_Topic_wise/Srimad_Bhagavatam/Canto-01/SP_SB_1-15-49_Los_Angeles_1973-12-26_What_to_Think_About_at_Death.mp3" TargetMode="External"/><Relationship Id="rId2788" Type="http://schemas.openxmlformats.org/officeDocument/2006/relationships/hyperlink" Target="https://audio.iskcondesiretree.com/01_-_Srila_Prabhupada/01_-_Lectures/01_-_English/02_-_Month_wise/02_-_Feburary/11/Bg_02-11_MEX_1975-02-11_Associate_with_Faithful.mp3" TargetMode="External"/><Relationship Id="rId1458" Type="http://schemas.openxmlformats.org/officeDocument/2006/relationships/hyperlink" Target="https://audio.iskcondesiretree.com/01_-_Srila_Prabhupada/01_-_Lectures/01_-_English/02_-_Month_wise/12_-_December/26/SB_1-15-49_LA_1973-12-26_What_to_Think_About_at_Death.mp3" TargetMode="External"/><Relationship Id="rId2789" Type="http://schemas.openxmlformats.org/officeDocument/2006/relationships/hyperlink" Target="https://audio.iskcondesiretree.com/01_-_Srila_Prabhupada/01_-_Lectures/01_-_English/01_-_Topic_wise/Bhagavad_Gita/Chapter-02/SP_BG_02-12_Mexico_1975-02-12_Don%27t_Be_Animalistic_Scholar.mp3" TargetMode="External"/><Relationship Id="rId1459" Type="http://schemas.openxmlformats.org/officeDocument/2006/relationships/hyperlink" Target="https://audio.iskcondesiretree.com/01_-_Srila_Prabhupada/01_-_Lectures/01_-_English/01_-_Topic_wise/Srimad_Bhagavatam/Canto-01/SP_SB_1-15-50_Los_Angeles_1973-12-27_Simply_Depending_On_Krishna.mp3" TargetMode="External"/><Relationship Id="rId629" Type="http://schemas.openxmlformats.org/officeDocument/2006/relationships/hyperlink" Target="https://audio.iskcondesiretree.com/01_-_Srila_Prabhupada/01_-_Lectures/01_-_English/02_-_Month_wise/06_-_June/29/RC_SD_1972-06-29_Wherever_You_Go_Your_Fortune_or_etc.mp3" TargetMode="External"/><Relationship Id="rId624" Type="http://schemas.openxmlformats.org/officeDocument/2006/relationships/hyperlink" Target="https://audio.iskcondesiretree.com/01_-_Srila_Prabhupada/01_-_Lectures/01_-_English/01_-_Topic_wise/Srimad_Bhagavatam/Canto-02/SP_SB_2-04-02_Los_Angeles_1972-06-26_Fight_for_Freedom.mp3" TargetMode="External"/><Relationship Id="rId623" Type="http://schemas.openxmlformats.org/officeDocument/2006/relationships/hyperlink" Target="https://audio.iskcondesiretree.com/01_-_Srila_Prabhupada/01_-_Lectures/01_-_English/02_-_Month_wise/06_-_June/25/SB_2-04-02_LA_1972-06-25_Simply_Negating_Is_No_Good.mp3" TargetMode="External"/><Relationship Id="rId622" Type="http://schemas.openxmlformats.org/officeDocument/2006/relationships/hyperlink" Target="https://audio.iskcondesiretree.com/01_-_Srila_Prabhupada/01_-_Lectures/01_-_English/01_-_Topic_wise/Srimad_Bhagavatam/Canto-02/SP_SB_2-04-02_Los_Angeles_1972-06-25_Simply_Negating_Is_New_Orleans_Good.mp3" TargetMode="External"/><Relationship Id="rId621" Type="http://schemas.openxmlformats.org/officeDocument/2006/relationships/hyperlink" Target="https://audio.iskcondesiretree.com/01_-_Srila_Prabhupada/01_-_Lectures/01_-_English/02_-_Month_wise/06_-_June/24/SB_2-04-01_LA_1972-06-24_Searching_After_Krishna.mp3" TargetMode="External"/><Relationship Id="rId628" Type="http://schemas.openxmlformats.org/officeDocument/2006/relationships/hyperlink" Target="https://audio.iskcondesiretree.com/01_-_Srila_Prabhupada/01_-_Lectures/01_-_English/01_-_Topic_wise/Room_Conversation/SP_Room_Conversation_Sanand_Diego_1972-06-29_Wherever_You_Go_Your_Fortune_or--etc.mp3" TargetMode="External"/><Relationship Id="rId627" Type="http://schemas.openxmlformats.org/officeDocument/2006/relationships/hyperlink" Target="https://audio.iskcondesiretree.com/01_-_Srila_Prabhupada/01_-_Lectures/01_-_English/02_-_Month_wise/06_-_June/27/SB_2-04-03_LA_1972-06-27_Make_Krishna_Your_Beloved.mp3" TargetMode="External"/><Relationship Id="rId626" Type="http://schemas.openxmlformats.org/officeDocument/2006/relationships/hyperlink" Target="https://audio.iskcondesiretree.com/01_-_Srila_Prabhupada/01_-_Lectures/01_-_English/01_-_Topic_wise/Srimad_Bhagavatam/Canto-02/SP_SB_2-04-03_Los_Angeles_1972-06-27_Make_Krishna_Your_Beloved.mp3" TargetMode="External"/><Relationship Id="rId625" Type="http://schemas.openxmlformats.org/officeDocument/2006/relationships/hyperlink" Target="https://audio.iskcondesiretree.com/01_-_Srila_Prabhupada/01_-_Lectures/01_-_English/02_-_Month_wise/06_-_June/26/SB_2-04-02_LA_1972-06-26_Fight_for_Freedom.mp3" TargetMode="External"/><Relationship Id="rId2780" Type="http://schemas.openxmlformats.org/officeDocument/2006/relationships/hyperlink" Target="https://audio.iskcondesiretree.com/01_-_Srila_Prabhupada/01_-_Lectures/01_-_English/02_-_Month_wise/02_-_Feburary/10/SB-02-08-07_1975-02-10_SB-LOS%20ANGELES.MP3" TargetMode="External"/><Relationship Id="rId1450" Type="http://schemas.openxmlformats.org/officeDocument/2006/relationships/hyperlink" Target="https://audio.iskcondesiretree.com/01_-_Srila_Prabhupada/01_-_Lectures/01_-_English/02_-_Month_wise/12_-_December/22/SB_1-15-44_LA_1973-12-22_Our_Real_Problem_Isn%27t_Petrol.mp3" TargetMode="External"/><Relationship Id="rId2781" Type="http://schemas.openxmlformats.org/officeDocument/2006/relationships/hyperlink" Target="https://audio.iskcondesiretree.com/01_-_Srila_Prabhupada/01_-_Lectures/01_-_English/02_-_Month_wise/02_-_Feburary/10/SB_2-08-07_LA_1975-02-10_What_Caused_Our_Coming_Here.mp3" TargetMode="External"/><Relationship Id="rId620" Type="http://schemas.openxmlformats.org/officeDocument/2006/relationships/hyperlink" Target="https://audio.iskcondesiretree.com/01_-_Srila_Prabhupada/01_-_Lectures/01_-_English/01_-_Topic_wise/Srimad_Bhagavatam/Canto-02/SP_SB_2-04-01_Los_Angeles_1972-06-24_Searching_After_Krishna.mp3" TargetMode="External"/><Relationship Id="rId1451" Type="http://schemas.openxmlformats.org/officeDocument/2006/relationships/hyperlink" Target="https://audio.iskcondesiretree.com/01_-_Srila_Prabhupada/01_-_Lectures/01_-_English/01_-_Topic_wise/Srimad_Bhagavatam/Canto-01/SP_SB_1-15-45_Los_Angeles_1973-12-23_This_Civilization_Will_Not_Help.mp3" TargetMode="External"/><Relationship Id="rId2782" Type="http://schemas.openxmlformats.org/officeDocument/2006/relationships/hyperlink" Target="https://audio.iskcondesiretree.com/01_-_Srila_Prabhupada/01_-_Lectures/01_-_English/02_-_Month_wise/02_-_Feburary/10/Walk_1975-02-10_MW-LOS%20ANGELES.MP3" TargetMode="External"/><Relationship Id="rId1452" Type="http://schemas.openxmlformats.org/officeDocument/2006/relationships/hyperlink" Target="https://audio.iskcondesiretree.com/01_-_Srila_Prabhupada/01_-_Lectures/01_-_English/02_-_Month_wise/12_-_December/23/SB_1-15-45_LA_1973-12-23_This_Civilization_Will_Not_Help.mp3" TargetMode="External"/><Relationship Id="rId2783" Type="http://schemas.openxmlformats.org/officeDocument/2006/relationships/hyperlink" Target="https://audio.iskcondesiretree.com/01_-_Srila_Prabhupada/01_-_Lectures/01_-_English/01_-_Topic_wise/Arrival_Address/SP_Arrival_Mexico_1975-02-11_No_Sex_Life_in_the_Spirit_Soul.mp3" TargetMode="External"/><Relationship Id="rId1453" Type="http://schemas.openxmlformats.org/officeDocument/2006/relationships/hyperlink" Target="https://audio.iskcondesiretree.com/01_-_Srila_Prabhupada/01_-_Lectures/01_-_English/01_-_Topic_wise/Srimad_Bhagavatam/Canto-01/SP_SB_1-15-46_Los_Angeles_1973-12-24_Predictions_for_Age_of_Quarrel.mp3" TargetMode="External"/><Relationship Id="rId2784" Type="http://schemas.openxmlformats.org/officeDocument/2006/relationships/hyperlink" Target="https://audio.iskcondesiretree.com/01_-_Srila_Prabhupada/01_-_Lectures/01_-_English/01_-_Topic_wise/Bhagavad_Gita/Chapter-02/SP_BG_02-11_Mexico_1975-02-11_Associate_with_Faithful.mp3" TargetMode="External"/><Relationship Id="rId1454" Type="http://schemas.openxmlformats.org/officeDocument/2006/relationships/hyperlink" Target="https://audio.iskcondesiretree.com/01_-_Srila_Prabhupada/01_-_Lectures/01_-_English/02_-_Month_wise/12_-_December/24/SB_1-15-46_LA_1973-12-24_Predictions_for_Age_of_Quarrel.mp3" TargetMode="External"/><Relationship Id="rId2785" Type="http://schemas.openxmlformats.org/officeDocument/2006/relationships/hyperlink" Target="https://audio.iskcondesiretree.com/01_-_Srila_Prabhupada/01_-_Lectures/01_-_English/02_-_Month_wise/02_-_Feburary/11/Arr_MEX_1975-02-11_No_Sex_Life_in_the_Spirit_Soul.mp3" TargetMode="External"/><Relationship Id="rId1444" Type="http://schemas.openxmlformats.org/officeDocument/2006/relationships/hyperlink" Target="https://audio.iskcondesiretree.com/01_-_Srila_Prabhupada/01_-_Lectures/01_-_English/02_-_Month_wise/12_-_December/18/SB_1-15-40_LA_1973-12-18_Bondage_and_Freedom.mp3" TargetMode="External"/><Relationship Id="rId2775" Type="http://schemas.openxmlformats.org/officeDocument/2006/relationships/hyperlink" Target="https://audio.iskcondesiretree.com/01_-_Srila_Prabhupada/01_-_Lectures/01_-_English/01_-_Topic_wise/Arrival_Address/SP_Arrival_Los_Angeles_1975-02-09_Krishna_Consciousness_Is_in_Everyone%27s_Heart.mp3" TargetMode="External"/><Relationship Id="rId1445" Type="http://schemas.openxmlformats.org/officeDocument/2006/relationships/hyperlink" Target="https://audio.iskcondesiretree.com/01_-_Srila_Prabhupada/01_-_Lectures/01_-_English/01_-_Topic_wise/Srimad_Bhagavatam/Canto-01/SP_SB_1-15-41_Los_Angeles_1973-12-19_Aural_Concentration.mp3" TargetMode="External"/><Relationship Id="rId2776" Type="http://schemas.openxmlformats.org/officeDocument/2006/relationships/hyperlink" Target="https://audio.iskcondesiretree.com/01_-_Srila_Prabhupada/01_-_Lectures/01_-_English/02_-_Month_wise/02_-_Feburary/09/Arr_LA_1975-02-09_Krishna_Consciousness_Is_in_Everyone%27s_Heart.mp3" TargetMode="External"/><Relationship Id="rId1446" Type="http://schemas.openxmlformats.org/officeDocument/2006/relationships/hyperlink" Target="https://audio.iskcondesiretree.com/01_-_Srila_Prabhupada/01_-_Lectures/01_-_English/02_-_Month_wise/12_-_December/19/SB_1-15-41_LA_1973-12-19_Aural_Concentration.mp3" TargetMode="External"/><Relationship Id="rId2777" Type="http://schemas.openxmlformats.org/officeDocument/2006/relationships/hyperlink" Target="https://audio.iskcondesiretree.com/01_-_Srila_Prabhupada/01_-_Lectures/01_-_English/02_-_Month_wise/02_-_Feburary/09/Arrival_1975-02-09_AR-LOS%20ANGELES.MP3" TargetMode="External"/><Relationship Id="rId1447" Type="http://schemas.openxmlformats.org/officeDocument/2006/relationships/hyperlink" Target="https://audio.iskcondesiretree.com/01_-_Srila_Prabhupada/01_-_Lectures/01_-_English/01_-_Topic_wise/Srimad_Bhagavatam/Canto-01/SP_SB_1-15-42_Los_Angeles_1973-12-20_Trust_a_God_You_Don%27t_Know.mp3" TargetMode="External"/><Relationship Id="rId2778" Type="http://schemas.openxmlformats.org/officeDocument/2006/relationships/hyperlink" Target="https://audio.iskcondesiretree.com/01_-_Srila_Prabhupada/01_-_Lectures/01_-_English/01_-_Topic_wise/Morning_Walk/SP_Morning_Walk_-_Los_Angeles_1975-02-10.MP3" TargetMode="External"/><Relationship Id="rId1448" Type="http://schemas.openxmlformats.org/officeDocument/2006/relationships/hyperlink" Target="https://audio.iskcondesiretree.com/01_-_Srila_Prabhupada/01_-_Lectures/01_-_English/02_-_Month_wise/12_-_December/20/SB_1-15-42_LA_1973-12-20_Trust_a_God_You_Don%27t_Know.mp3" TargetMode="External"/><Relationship Id="rId2779" Type="http://schemas.openxmlformats.org/officeDocument/2006/relationships/hyperlink" Target="https://audio.iskcondesiretree.com/01_-_Srila_Prabhupada/01_-_Lectures/01_-_English/01_-_Topic_wise/Srimad_Bhagavatam/Canto-02/SP_SB_2-08-07_Los_Angeles_1975-02-10_What_Caused_Our_Coming_Here.mp3" TargetMode="External"/><Relationship Id="rId1449" Type="http://schemas.openxmlformats.org/officeDocument/2006/relationships/hyperlink" Target="https://audio.iskcondesiretree.com/01_-_Srila_Prabhupada/01_-_Lectures/01_-_English/01_-_Topic_wise/Srimad_Bhagavatam/Canto-01/SP_SB_1-15-44_Los_Angeles_1973-12-22_Our_Real_Problem_Isn%27t_Petrol.mp3" TargetMode="External"/><Relationship Id="rId619" Type="http://schemas.openxmlformats.org/officeDocument/2006/relationships/hyperlink" Target="https://audio.iskcondesiretree.com/01_-_Srila_Prabhupada/01_-_Lectures/01_-_English/02_-_Month_wise/06_-_June/23/SB_2-03-25_LA_1972-06-23_Spiritual_Realization_etc.mp3" TargetMode="External"/><Relationship Id="rId618" Type="http://schemas.openxmlformats.org/officeDocument/2006/relationships/hyperlink" Target="https://audio.iskcondesiretree.com/01_-_Srila_Prabhupada/01_-_Lectures/01_-_English/01_-_Topic_wise/Srimad_Bhagavatam/Canto-02/SP_SB_2-03-25_Los_Angeles_1972-06-23_Spiritual_Realization--etc.mp3" TargetMode="External"/><Relationship Id="rId613" Type="http://schemas.openxmlformats.org/officeDocument/2006/relationships/hyperlink" Target="https://audio.iskcondesiretree.com/01_-_Srila_Prabhupada/01_-_Lectures/01_-_English/02_-_Month_wise/06_-_June/19/SB_2-03-22_LA_1972-06-19_Peacock-plume_Eyes.mp3" TargetMode="External"/><Relationship Id="rId612" Type="http://schemas.openxmlformats.org/officeDocument/2006/relationships/hyperlink" Target="https://audio.iskcondesiretree.com/01_-_Srila_Prabhupada/01_-_Lectures/01_-_English/01_-_Topic_wise/Srimad_Bhagavatam/Canto-02/SP_SB_2-03-22_Los_Angeles_1972-06-19_Peacock-plume_Eyes.mp3" TargetMode="External"/><Relationship Id="rId611" Type="http://schemas.openxmlformats.org/officeDocument/2006/relationships/hyperlink" Target="https://audio.iskcondesiretree.com/01_-_Srila_Prabhupada/01_-_Lectures/01_-_English/02_-_Month_wise/06_-_June/18/SB_2-03-21_LA_1972-06-18_Lifting_the_Burden_from_Society.mp3" TargetMode="External"/><Relationship Id="rId610" Type="http://schemas.openxmlformats.org/officeDocument/2006/relationships/hyperlink" Target="https://audio.iskcondesiretree.com/01_-_Srila_Prabhupada/01_-_Lectures/01_-_English/01_-_Topic_wise/Srimad_Bhagavatam/Canto-02/SP_SB_2-03-21_Los_Angeles_1972-06-18_Lifting_the_Burden_from_Society.mp3" TargetMode="External"/><Relationship Id="rId617" Type="http://schemas.openxmlformats.org/officeDocument/2006/relationships/hyperlink" Target="https://audio.iskcondesiretree.com/01_-_Srila_Prabhupada/01_-_Lectures/01_-_English/02_-_Month_wise/06_-_June/22/SB_2-03-24_LA_1972-06-22_Steel_framed_Hearts.mp3" TargetMode="External"/><Relationship Id="rId616" Type="http://schemas.openxmlformats.org/officeDocument/2006/relationships/hyperlink" Target="https://audio.iskcondesiretree.com/01_-_Srila_Prabhupada/01_-_Lectures/01_-_English/01_-_Topic_wise/Srimad_Bhagavatam/Canto-02/SP_SB_2-03-24_Los_Angeles_1972-06-22_Steel-framed_Hearts.mp3" TargetMode="External"/><Relationship Id="rId615" Type="http://schemas.openxmlformats.org/officeDocument/2006/relationships/hyperlink" Target="https://audio.iskcondesiretree.com/01_-_Srila_Prabhupada/01_-_Lectures/01_-_English/02_-_Month_wise/06_-_June/20/SB_2-03-23_LA_1972-06-20_Only_a_Devotee_of_a_Devotee_etc.mp3" TargetMode="External"/><Relationship Id="rId614" Type="http://schemas.openxmlformats.org/officeDocument/2006/relationships/hyperlink" Target="https://audio.iskcondesiretree.com/01_-_Srila_Prabhupada/01_-_Lectures/01_-_English/01_-_Topic_wise/Srimad_Bhagavatam/Canto-02/SP_SB_2-03-23_Los_Angeles_1972-06-20_Only_a_Devotee_of_a_Devotee--etc.mp3" TargetMode="External"/><Relationship Id="rId2770" Type="http://schemas.openxmlformats.org/officeDocument/2006/relationships/hyperlink" Target="https://audio.iskcondesiretree.com/01_-_Srila_Prabhupada/01_-_Lectures/01_-_English/02_-_Month_wise/02_-_Feburary/07/Bg_16-11_HAW_1975-02-07_Anxiety_Unlimited.mp3" TargetMode="External"/><Relationship Id="rId1440" Type="http://schemas.openxmlformats.org/officeDocument/2006/relationships/hyperlink" Target="https://audio.iskcondesiretree.com/01_-_Srila_Prabhupada/01_-_Lectures/01_-_English/02_-_Month_wise/12_-_December/17/SB_1-15-39_LA_1973-12-17_Retirement%2C_Timely_and_Transcendental.mp3" TargetMode="External"/><Relationship Id="rId2771" Type="http://schemas.openxmlformats.org/officeDocument/2006/relationships/hyperlink" Target="https://audio.iskcondesiretree.com/01_-_Srila_Prabhupada/01_-_Lectures/01_-_English/01_-_Topic_wise/Bhagavad_Gita/Chapter-16/SP_BG_16-13-15_Hawaii_1975-02-08_Devotional_and_Demonic_Desires.MP3" TargetMode="External"/><Relationship Id="rId1441" Type="http://schemas.openxmlformats.org/officeDocument/2006/relationships/hyperlink" Target="https://audio.iskcondesiretree.com/01_-_Srila_Prabhupada/01_-_Lectures/01_-_English/01_-_Topic_wise/Morning_Walk/SP_Morning_Walk_-_Los_Angeles_1973-12-18_In_God_We_Trust-Meaning_What.mp3" TargetMode="External"/><Relationship Id="rId2772" Type="http://schemas.openxmlformats.org/officeDocument/2006/relationships/hyperlink" Target="https://audio.iskcondesiretree.com/01_-_Srila_Prabhupada/01_-_Lectures/01_-_English/01_-_Topic_wise/Bhagavad_Gita/Chapter-16/SP_BG_16-13_Hawaii_1975-02-08_Devotional_and_Demonic_Desires.mp3" TargetMode="External"/><Relationship Id="rId1442" Type="http://schemas.openxmlformats.org/officeDocument/2006/relationships/hyperlink" Target="https://audio.iskcondesiretree.com/01_-_Srila_Prabhupada/01_-_Lectures/01_-_English/01_-_Topic_wise/Srimad_Bhagavatam/Canto-01/SP_SB_1-15-40_Los_Angeles_1973-12-18_Bondage_and_Freedom.mp3" TargetMode="External"/><Relationship Id="rId2773" Type="http://schemas.openxmlformats.org/officeDocument/2006/relationships/hyperlink" Target="https://audio.iskcondesiretree.com/01_-_Srila_Prabhupada/01_-_Lectures/01_-_English/02_-_Month_wise/02_-_Feburary/08/Bg-16-13%E2%80%9315_1975-02-08_BG-HONOLULU.MP3" TargetMode="External"/><Relationship Id="rId1443" Type="http://schemas.openxmlformats.org/officeDocument/2006/relationships/hyperlink" Target="https://audio.iskcondesiretree.com/01_-_Srila_Prabhupada/01_-_Lectures/01_-_English/02_-_Month_wise/12_-_December/18/MW_LA_1973-12-18_In_God_We_Trust-Meaning_What.mp3" TargetMode="External"/><Relationship Id="rId2774" Type="http://schemas.openxmlformats.org/officeDocument/2006/relationships/hyperlink" Target="https://audio.iskcondesiretree.com/01_-_Srila_Prabhupada/01_-_Lectures/01_-_English/02_-_Month_wise/02_-_Feburary/08/Bg_16-13_HAW_1975-02-08_Devotional_and_Demonic_Desires.mp3" TargetMode="External"/><Relationship Id="rId1477" Type="http://schemas.openxmlformats.org/officeDocument/2006/relationships/hyperlink" Target="https://audio.iskcondesiretree.com/01_-_Srila_Prabhupada/01_-_Lectures/01_-_English/02_-_Month_wise/01_-_January/03/MW_LA_1974-01-03_Cats_Dogs_Camels%2C_Goats_%26_Madmen.mp3" TargetMode="External"/><Relationship Id="rId1478" Type="http://schemas.openxmlformats.org/officeDocument/2006/relationships/hyperlink" Target="https://audio.iskcondesiretree.com/01_-_Srila_Prabhupada/01_-_Lectures/01_-_English/02_-_Month_wise/01_-_January/03/SB-01-16-06_1974-01-03_SB-LOS_ANGELES.MP3" TargetMode="External"/><Relationship Id="rId1479" Type="http://schemas.openxmlformats.org/officeDocument/2006/relationships/hyperlink" Target="https://audio.iskcondesiretree.com/01_-_Srila_Prabhupada/01_-_Lectures/01_-_English/02_-_Month_wise/01_-_January/03/SB_1-16-06_LA_1974-01-03_The_Medicine_for_Death.mp3" TargetMode="External"/><Relationship Id="rId646" Type="http://schemas.openxmlformats.org/officeDocument/2006/relationships/hyperlink" Target="https://audio.iskcondesiretree.com/01_-_Srila_Prabhupada/01_-_Lectures/01_-_English/01_-_Topic_wise/Srimad_Bhagavatam/Canto-01/SP_SB_1-02-15_Los_Angeles_1972-08-18_Cutting_the_Knots_of_Karma.mp3" TargetMode="External"/><Relationship Id="rId645" Type="http://schemas.openxmlformats.org/officeDocument/2006/relationships/hyperlink" Target="https://audio.iskcondesiretree.com/01_-_Srila_Prabhupada/01_-_Lectures/01_-_English/02_-_Month_wise/08_-_August/17/SB_1-02-14_LA_1972-08-17_Make_Four_Social_Classes.mp3" TargetMode="External"/><Relationship Id="rId644" Type="http://schemas.openxmlformats.org/officeDocument/2006/relationships/hyperlink" Target="https://audio.iskcondesiretree.com/01_-_Srila_Prabhupada/01_-_Lectures/01_-_English/01_-_Topic_wise/Srimad_Bhagavatam/Canto-01/SP_SB_1-02-14_Los_Angeles_1972-08-17_Make_Four_Social_Classes.mp3" TargetMode="External"/><Relationship Id="rId643" Type="http://schemas.openxmlformats.org/officeDocument/2006/relationships/hyperlink" Target="https://audio.iskcondesiretree.com/01_-_Srila_Prabhupada/01_-_Lectures/01_-_English/02_-_Month_wise/08_-_August/15/SB_1-02-12_LA_1972-08-15_Become_Very_Eager_to_See_Krishna.mp3" TargetMode="External"/><Relationship Id="rId649" Type="http://schemas.openxmlformats.org/officeDocument/2006/relationships/hyperlink" Target="https://audio.iskcondesiretree.com/01_-_Srila_Prabhupada/01_-_Lectures/01_-_English/02_-_Month_wise/08_-_August/19/SB_1-02-16_LA_1972-08-19_The_Way_to_Go_Back_to_Godhead.mp3" TargetMode="External"/><Relationship Id="rId648" Type="http://schemas.openxmlformats.org/officeDocument/2006/relationships/hyperlink" Target="https://audio.iskcondesiretree.com/01_-_Srila_Prabhupada/01_-_Lectures/01_-_English/01_-_Topic_wise/Srimad_Bhagavatam/Canto-01/SP_SB_1-02-16_Los_Angeles_1972-08-19_The_Way_to_Go_Back_to_Godhead.mp3" TargetMode="External"/><Relationship Id="rId647" Type="http://schemas.openxmlformats.org/officeDocument/2006/relationships/hyperlink" Target="https://audio.iskcondesiretree.com/01_-_Srila_Prabhupada/01_-_Lectures/01_-_English/02_-_Month_wise/08_-_August/18/SB_1-02-15_LA_1972-08-18_Cutting_the_Knots_of_Karma.mp3" TargetMode="External"/><Relationship Id="rId1470" Type="http://schemas.openxmlformats.org/officeDocument/2006/relationships/hyperlink" Target="https://audio.iskcondesiretree.com/01_-_Srila_Prabhupada/01_-_Lectures/01_-_English/02_-_Month_wise/01_-_January/01/SB-01-16-04_1974-01-01-LOS_ANGELES.MP3" TargetMode="External"/><Relationship Id="rId1471" Type="http://schemas.openxmlformats.org/officeDocument/2006/relationships/hyperlink" Target="https://audio.iskcondesiretree.com/01_-_Srila_Prabhupada/01_-_Lectures/01_-_English/02_-_Month_wise/01_-_January/01/SB_1-16-04_LA_1974-01-01_Kali_Began_with_Animal_Killing.mp3" TargetMode="External"/><Relationship Id="rId1472" Type="http://schemas.openxmlformats.org/officeDocument/2006/relationships/hyperlink" Target="https://audio.iskcondesiretree.com/01_-_Srila_Prabhupada/01_-_Lectures/01_-_English/01_-_Topic_wise/Srimad_Bhagavatam/Canto-01/SP_SB_1-16-05_Los_Angeles_1974-01-02_Fish_but_Don%27t_Touch_the_Water.mp3" TargetMode="External"/><Relationship Id="rId642" Type="http://schemas.openxmlformats.org/officeDocument/2006/relationships/hyperlink" Target="https://audio.iskcondesiretree.com/01_-_Srila_Prabhupada/01_-_Lectures/01_-_English/01_-_Topic_wise/Srimad_Bhagavatam/Canto-01/SP_SB_1-02-12_Los_Angeles_1972-08-15_Become_Very_Eager_to_See_Krishna.mp3" TargetMode="External"/><Relationship Id="rId1473" Type="http://schemas.openxmlformats.org/officeDocument/2006/relationships/hyperlink" Target="https://audio.iskcondesiretree.com/01_-_Srila_Prabhupada/01_-_Lectures/01_-_English/02_-_Month_wise/01_-_January/02/SB-01-16-05_1974-01-02_SB-LOS_ANGELES.MP3" TargetMode="External"/><Relationship Id="rId641" Type="http://schemas.openxmlformats.org/officeDocument/2006/relationships/hyperlink" Target="https://audio.iskcondesiretree.com/01_-_Srila_Prabhupada/01_-_Lectures/01_-_English/02_-_Month_wise/07_-_July/20/Arr_PAR_1972-07-20_Why_Study_the_Perishable.mp3" TargetMode="External"/><Relationship Id="rId1474" Type="http://schemas.openxmlformats.org/officeDocument/2006/relationships/hyperlink" Target="https://audio.iskcondesiretree.com/01_-_Srila_Prabhupada/01_-_Lectures/01_-_English/02_-_Month_wise/01_-_January/02/SB_1-16-05_LA_1974-01-02_Fish_but_Don%27t_Touch_the_Water.mp3" TargetMode="External"/><Relationship Id="rId640" Type="http://schemas.openxmlformats.org/officeDocument/2006/relationships/hyperlink" Target="https://audio.iskcondesiretree.com/01_-_Srila_Prabhupada/01_-_Lectures/01_-_English/01_-_Topic_wise/Arrival_Address/SP_Arrival_Paris_1972-07-20_Why_Study_the_Perishable.mp3" TargetMode="External"/><Relationship Id="rId1475" Type="http://schemas.openxmlformats.org/officeDocument/2006/relationships/hyperlink" Target="https://audio.iskcondesiretree.com/01_-_Srila_Prabhupada/01_-_Lectures/01_-_English/01_-_Topic_wise/Morning_Walk/SP_Morning_Walk_-_Los_Angeles_1974-01-03_Cats_Dogs_Camels_Goats_%26_Madmen.mp3" TargetMode="External"/><Relationship Id="rId1476" Type="http://schemas.openxmlformats.org/officeDocument/2006/relationships/hyperlink" Target="https://audio.iskcondesiretree.com/01_-_Srila_Prabhupada/01_-_Lectures/01_-_English/01_-_Topic_wise/Srimad_Bhagavatam/Canto-01/SP_SB_1-16-06_Los_Angeles_1974-01-03_The_Medicine_for_Death.mp3" TargetMode="External"/><Relationship Id="rId1466" Type="http://schemas.openxmlformats.org/officeDocument/2006/relationships/hyperlink" Target="https://audio.iskcondesiretree.com/01_-_Srila_Prabhupada/01_-_Lectures/01_-_English/02_-_Month_wise/12_-_December/30/SB_1-16-02_LA_1973-12-30_Brahmanas_Slip-Kali-yuga_Starts.mp3" TargetMode="External"/><Relationship Id="rId2797" Type="http://schemas.openxmlformats.org/officeDocument/2006/relationships/hyperlink" Target="https://audio.iskcondesiretree.com/01_-_Srila_Prabhupada/01_-_Lectures/01_-_English/02_-_Month_wise/02_-_Feburary/13/RC_MEX_1975-02-13_Sanskrit_Prof--Why_Is_There_Anything.mp3" TargetMode="External"/><Relationship Id="rId1467" Type="http://schemas.openxmlformats.org/officeDocument/2006/relationships/hyperlink" Target="https://audio.iskcondesiretree.com/01_-_Srila_Prabhupada/01_-_Lectures/01_-_English/01_-_Topic_wise/Srimad_Bhagavatam/Canto-01/SP_SB_1-16-03_Los_Angeles_1973-12-31_You_Can_See_and_Talk_with_God.mp3" TargetMode="External"/><Relationship Id="rId2798" Type="http://schemas.openxmlformats.org/officeDocument/2006/relationships/hyperlink" Target="https://audio.iskcondesiretree.com/01_-_Srila_Prabhupada/01_-_Lectures/01_-_English/01_-_Topic_wise/Bhagavad_Gita/Chapter-02/SP_BG_02-14_Mexico_City_1975-02-14_Forbearance_to_Cure_the_Body.mp3" TargetMode="External"/><Relationship Id="rId1468" Type="http://schemas.openxmlformats.org/officeDocument/2006/relationships/hyperlink" Target="https://audio.iskcondesiretree.com/01_-_Srila_Prabhupada/01_-_Lectures/01_-_English/02_-_Month_wise/12_-_December/31/SB_1-16-03_LA_1973-12-31_You_Can_See_and_Talk_with_God.mp3" TargetMode="External"/><Relationship Id="rId2799" Type="http://schemas.openxmlformats.org/officeDocument/2006/relationships/hyperlink" Target="https://audio.iskcondesiretree.com/01_-_Srila_Prabhupada/01_-_Lectures/01_-_English/01_-_Topic_wise/Various/SP_Questions_and_Answers_with_Devotees_1975-02-14_Mexico_City.MP3" TargetMode="External"/><Relationship Id="rId1469" Type="http://schemas.openxmlformats.org/officeDocument/2006/relationships/hyperlink" Target="https://audio.iskcondesiretree.com/01_-_Srila_Prabhupada/01_-_Lectures/01_-_English/01_-_Topic_wise/Srimad_Bhagavatam/Canto-01/SP_SB_1-16-04_Los_Angeles_1974-01-01_Kali_Began_with_Animal_Killing.mp3" TargetMode="External"/><Relationship Id="rId635" Type="http://schemas.openxmlformats.org/officeDocument/2006/relationships/hyperlink" Target="https://audio.iskcondesiretree.com/01_-_Srila_Prabhupada/01_-_Lectures/01_-_English/01_-_Topic_wise/Festivals/SP_Festivals_San_Diego_1972-07-01_At_Balboa_Park--World_Is_Enchanted_by_Sex.mp3" TargetMode="External"/><Relationship Id="rId634" Type="http://schemas.openxmlformats.org/officeDocument/2006/relationships/hyperlink" Target="https://audio.iskcondesiretree.com/01_-_Srila_Prabhupada/01_-_Lectures/01_-_English/01_-_Topic_wise/Bhagavad_Gita/Chapter-07/SP_BG_07-01_San_Diego_1972-07-01_Life%27s_Aim_Is_Self-Realization.mp3" TargetMode="External"/><Relationship Id="rId633" Type="http://schemas.openxmlformats.org/officeDocument/2006/relationships/hyperlink" Target="https://audio.iskcondesiretree.com/01_-_Srila_Prabhupada/01_-_Lectures/01_-_English/02_-_Month_wise/06_-_June/30/MW_SD_1972-06-30_Scientists-Envious_Bombastic_Rascals.mp3" TargetMode="External"/><Relationship Id="rId632" Type="http://schemas.openxmlformats.org/officeDocument/2006/relationships/hyperlink" Target="https://audio.iskcondesiretree.com/01_-_Srila_Prabhupada/01_-_Lectures/01_-_English/02_-_Month_wise/06_-_June/30/Lect_SD_1972-06-30_Initiation-Svaha_for_Krishna_or_for_Maya.mp3" TargetMode="External"/><Relationship Id="rId639" Type="http://schemas.openxmlformats.org/officeDocument/2006/relationships/hyperlink" Target="https://audio.iskcondesiretree.com/01_-_Srila_Prabhupada/01_-_Lectures/01_-_English/02_-_Month_wise/07_-_July/13/Fest_LON_1972-07-13_Ratha_Yatra_Parts_1_%26_2.mp3" TargetMode="External"/><Relationship Id="rId638" Type="http://schemas.openxmlformats.org/officeDocument/2006/relationships/hyperlink" Target="https://audio.iskcondesiretree.com/01_-_Srila_Prabhupada/01_-_Lectures/01_-_English/01_-_Topic_wise/Festivals/SP_Festivals_London_1972-07-13_Ratha_Yatra_Parts_1_%26_2.mp3" TargetMode="External"/><Relationship Id="rId637" Type="http://schemas.openxmlformats.org/officeDocument/2006/relationships/hyperlink" Target="https://audio.iskcondesiretree.com/01_-_Srila_Prabhupada/01_-_Lectures/01_-_English/02_-_Month_wise/07_-_July/01/Fest_SD_1972-07-01_At_Balboa_Park-World_Is_Enchanted_by_Sex.mp3" TargetMode="External"/><Relationship Id="rId636" Type="http://schemas.openxmlformats.org/officeDocument/2006/relationships/hyperlink" Target="https://audio.iskcondesiretree.com/01_-_Srila_Prabhupada/01_-_Lectures/01_-_English/02_-_Month_wise/07_-_July/01/Bg_07-01_SD_1972-07-01_Life%27s_Aim_Is_Self-Realization.mp3" TargetMode="External"/><Relationship Id="rId2790" Type="http://schemas.openxmlformats.org/officeDocument/2006/relationships/hyperlink" Target="https://audio.iskcondesiretree.com/01_-_Srila_Prabhupada/01_-_Lectures/01_-_English/01_-_Topic_wise/Room_Conversation/SP_Room_Conversation_Mexico_1975-02-12_Sanskrit_Prof--Bona_Fide_or_Bogus.mp3" TargetMode="External"/><Relationship Id="rId1460" Type="http://schemas.openxmlformats.org/officeDocument/2006/relationships/hyperlink" Target="https://audio.iskcondesiretree.com/01_-_Srila_Prabhupada/01_-_Lectures/01_-_English/02_-_Month_wise/12_-_December/27/SB_1-15-50_LA_1973-12-27_Simply_Depending_On_Krishna.mp3" TargetMode="External"/><Relationship Id="rId2791" Type="http://schemas.openxmlformats.org/officeDocument/2006/relationships/hyperlink" Target="https://audio.iskcondesiretree.com/01_-_Srila_Prabhupada/01_-_Lectures/01_-_English/02_-_Month_wise/02_-_Feburary/12/Bg-02-12_1975-02-12_BG-MEXICO%20CITY.MP3" TargetMode="External"/><Relationship Id="rId1461" Type="http://schemas.openxmlformats.org/officeDocument/2006/relationships/hyperlink" Target="https://audio.iskcondesiretree.com/01_-_Srila_Prabhupada/01_-_Lectures/01_-_English/01_-_Topic_wise/Srimad_Bhagavatam/Canto-01/SP_SB_1-15-51_Los_Angeles_1973-12-28_How_to_Become_Very_Dear_to_God.mp3" TargetMode="External"/><Relationship Id="rId2792" Type="http://schemas.openxmlformats.org/officeDocument/2006/relationships/hyperlink" Target="https://audio.iskcondesiretree.com/01_-_Srila_Prabhupada/01_-_Lectures/01_-_English/02_-_Month_wise/02_-_Feburary/12/Bg_02-12_MEX_1975-02-12_Don%27t_Be_Animalistic_Scholar.mp3" TargetMode="External"/><Relationship Id="rId631" Type="http://schemas.openxmlformats.org/officeDocument/2006/relationships/hyperlink" Target="https://audio.iskcondesiretree.com/01_-_Srila_Prabhupada/01_-_Lectures/01_-_English/01_-_Topic_wise/Various/SP_Lecture_San_Diego_1972-06-30_Initiation--Svaha_for_Krishna_or_for_Maya.mp3" TargetMode="External"/><Relationship Id="rId1462" Type="http://schemas.openxmlformats.org/officeDocument/2006/relationships/hyperlink" Target="https://audio.iskcondesiretree.com/01_-_Srila_Prabhupada/01_-_Lectures/01_-_English/02_-_Month_wise/12_-_December/28/SB_1-15-51_LA_1973-12-28_How_to_Become_Very_Dear_to_God.mp3" TargetMode="External"/><Relationship Id="rId2793" Type="http://schemas.openxmlformats.org/officeDocument/2006/relationships/hyperlink" Target="https://audio.iskcondesiretree.com/01_-_Srila_Prabhupada/01_-_Lectures/01_-_English/02_-_Month_wise/02_-_Feburary/12/Conv_1975-02-12_R1-MEXICO%20CITY.MP3" TargetMode="External"/><Relationship Id="rId630" Type="http://schemas.openxmlformats.org/officeDocument/2006/relationships/hyperlink" Target="https://audio.iskcondesiretree.com/01_-_Srila_Prabhupada/01_-_Lectures/01_-_English/01_-_Topic_wise/Morning_Walk/SP_Morning_Walk_-_San_Diego_1972-06-30_Scientists--Envious_Bombastic_Rascals.mp3" TargetMode="External"/><Relationship Id="rId1463" Type="http://schemas.openxmlformats.org/officeDocument/2006/relationships/hyperlink" Target="https://audio.iskcondesiretree.com/01_-_Srila_Prabhupada/01_-_Lectures/01_-_English/01_-_Topic_wise/Srimad_Bhagavatam/Canto-01/SP_SB_1-16-01_Los_Angeles_1973-12-29_The_Best_Form_of_Government.mp3" TargetMode="External"/><Relationship Id="rId2794" Type="http://schemas.openxmlformats.org/officeDocument/2006/relationships/hyperlink" Target="https://audio.iskcondesiretree.com/01_-_Srila_Prabhupada/01_-_Lectures/01_-_English/02_-_Month_wise/02_-_Feburary/12/RC_MEX_1975-02-12_Sanskrit_Prof--Bona_Fide_or_Bogus.mp3" TargetMode="External"/><Relationship Id="rId1464" Type="http://schemas.openxmlformats.org/officeDocument/2006/relationships/hyperlink" Target="https://audio.iskcondesiretree.com/01_-_Srila_Prabhupada/01_-_Lectures/01_-_English/02_-_Month_wise/12_-_December/29/SB_1-16-01_LA_1973-12-29_The_Best_Form_of_Government.mp3" TargetMode="External"/><Relationship Id="rId2795" Type="http://schemas.openxmlformats.org/officeDocument/2006/relationships/hyperlink" Target="https://audio.iskcondesiretree.com/01_-_Srila_Prabhupada/01_-_Lectures/01_-_English/01_-_Topic_wise/Room_Conversation/SP_Room_Conversation_Mexico_1975-02-13_Sanskrit_Prof--Why_Is_There_Anything.mp3" TargetMode="External"/><Relationship Id="rId1465" Type="http://schemas.openxmlformats.org/officeDocument/2006/relationships/hyperlink" Target="https://audio.iskcondesiretree.com/01_-_Srila_Prabhupada/01_-_Lectures/01_-_English/01_-_Topic_wise/Srimad_Bhagavatam/Canto-01/SP_SB_1-16-02_Los_Angeles_1973-12-30_Brahmanas_Slip--Kali-yuga_Starts.mp3" TargetMode="External"/><Relationship Id="rId2796" Type="http://schemas.openxmlformats.org/officeDocument/2006/relationships/hyperlink" Target="https://audio.iskcondesiretree.com/01_-_Srila_Prabhupada/01_-_Lectures/01_-_English/02_-_Month_wise/02_-_Feburary/13/Conv_1975-02-13_R1-MEXICO%20CITY.MP3" TargetMode="External"/><Relationship Id="rId1411" Type="http://schemas.openxmlformats.org/officeDocument/2006/relationships/hyperlink" Target="https://audio.iskcondesiretree.com/01_-_Srila_Prabhupada/01_-_Lectures/01_-_English/01_-_Topic_wise/Morning_Walk/SP_Morning_Walk_-_Los_Angeles_1973-12-11_Scientific_Church.mp3" TargetMode="External"/><Relationship Id="rId2742" Type="http://schemas.openxmlformats.org/officeDocument/2006/relationships/hyperlink" Target="https://audio.iskcondesiretree.com/01_-_Srila_Prabhupada/01_-_Lectures/01_-_English/02_-_Month_wise/01_-_January/29/Bg_16-01_HAW_1975-01-29_The_Cure_for_Fear.mp3" TargetMode="External"/><Relationship Id="rId1412" Type="http://schemas.openxmlformats.org/officeDocument/2006/relationships/hyperlink" Target="https://audio.iskcondesiretree.com/01_-_Srila_Prabhupada/01_-_Lectures/01_-_English/01_-_Topic_wise/Srimad_Bhagavatam/Canto-01/SP_SB_1-15-33_Los_Angeles_1973-12-11_Separation_and_Search.mp3" TargetMode="External"/><Relationship Id="rId2743" Type="http://schemas.openxmlformats.org/officeDocument/2006/relationships/hyperlink" Target="https://audio.iskcondesiretree.com/01_-_Srila_Prabhupada/01_-_Lectures/01_-_English/01_-_Topic_wise/Bhagavad_Gita/Chapter-16/SP_BG_16-04_Hawaii_1975-01-30_Become_Devotee_or_Remain_Demon.mp3" TargetMode="External"/><Relationship Id="rId1413" Type="http://schemas.openxmlformats.org/officeDocument/2006/relationships/hyperlink" Target="https://audio.iskcondesiretree.com/01_-_Srila_Prabhupada/01_-_Lectures/01_-_English/02_-_Month_wise/12_-_December/11/MW_LA_1973-12-11_Scientific_Church.mp3" TargetMode="External"/><Relationship Id="rId2744" Type="http://schemas.openxmlformats.org/officeDocument/2006/relationships/hyperlink" Target="https://audio.iskcondesiretree.com/01_-_Srila_Prabhupada/01_-_Lectures/01_-_English/02_-_Month_wise/01_-_January/30/Bg-16-04_1975-01-30_BG-HONOLULU.MP3" TargetMode="External"/><Relationship Id="rId1414" Type="http://schemas.openxmlformats.org/officeDocument/2006/relationships/hyperlink" Target="https://audio.iskcondesiretree.com/01_-_Srila_Prabhupada/01_-_Lectures/01_-_English/02_-_Month_wise/12_-_December/11/SB_1-15-33_LA_1973-12-11_Separation_and_Search.mp3" TargetMode="External"/><Relationship Id="rId2745" Type="http://schemas.openxmlformats.org/officeDocument/2006/relationships/hyperlink" Target="https://audio.iskcondesiretree.com/01_-_Srila_Prabhupada/01_-_Lectures/01_-_English/02_-_Month_wise/01_-_January/30/Bg_16-04_HAW_1975-01-30_Become_Devotee_or_Remain_Demon.mp3" TargetMode="External"/><Relationship Id="rId1415" Type="http://schemas.openxmlformats.org/officeDocument/2006/relationships/hyperlink" Target="https://audio.iskcondesiretree.com/01_-_Srila_Prabhupada/01_-_Lectures/01_-_English/01_-_Topic_wise/Srimad_Bhagavatam/Canto-01/SP_SB_1-15-34_Los_Angeles_1973-12-12_Demonic_Means_Puffed_Up.mp3" TargetMode="External"/><Relationship Id="rId2746" Type="http://schemas.openxmlformats.org/officeDocument/2006/relationships/hyperlink" Target="https://audio.iskcondesiretree.com/01_-_Srila_Prabhupada/01_-_Lectures/01_-_English/01_-_Topic_wise/Bhagavad_Gita/Chapter-16/SP_BG_16-05_Hawaii_1975-01-31_Becoming_a_Dog.mp3" TargetMode="External"/><Relationship Id="rId1416" Type="http://schemas.openxmlformats.org/officeDocument/2006/relationships/hyperlink" Target="https://audio.iskcondesiretree.com/01_-_Srila_Prabhupada/01_-_Lectures/01_-_English/02_-_Month_wise/12_-_December/12/SB_1-15-34_LA_1973-12-12_Demonic_Means_Puffed_Up.mp3" TargetMode="External"/><Relationship Id="rId2747" Type="http://schemas.openxmlformats.org/officeDocument/2006/relationships/hyperlink" Target="https://audio.iskcondesiretree.com/01_-_Srila_Prabhupada/01_-_Lectures/01_-_English/02_-_Month_wise/01_-_January/31/Bg-16-05_1975-01-31_BG-HONOLULU.MP3" TargetMode="External"/><Relationship Id="rId1417" Type="http://schemas.openxmlformats.org/officeDocument/2006/relationships/hyperlink" Target="https://audio.iskcondesiretree.com/01_-_Srila_Prabhupada/01_-_Lectures/01_-_English/01_-_Topic_wise/Festivals/SP_Festivals_Los_Angeles_1973-12-13_Bhaktisiddhanta_Disappearance.mp3" TargetMode="External"/><Relationship Id="rId2748" Type="http://schemas.openxmlformats.org/officeDocument/2006/relationships/hyperlink" Target="https://audio.iskcondesiretree.com/01_-_Srila_Prabhupada/01_-_Lectures/01_-_English/02_-_Month_wise/01_-_January/31/Bg_16-05_HAW_1975-01-31_Becoming_a_Dog.mp3" TargetMode="External"/><Relationship Id="rId1418" Type="http://schemas.openxmlformats.org/officeDocument/2006/relationships/hyperlink" Target="https://audio.iskcondesiretree.com/01_-_Srila_Prabhupada/01_-_Lectures/01_-_English/01_-_Topic_wise/Festivals/SP_Festivals_Los_Angeles_1973-12-13_Disappearance--Bhaktisiddhanta_Sarasvati.mp3" TargetMode="External"/><Relationship Id="rId2749" Type="http://schemas.openxmlformats.org/officeDocument/2006/relationships/hyperlink" Target="https://audio.iskcondesiretree.com/01_-_Srila_Prabhupada/01_-_Lectures/01_-_English/01_-_Topic_wise/Bhagavad_Gita/Chapter-16/SP_BG_16-06_Hawaii_1975-02-02_Education_in_Becoming_Divine.mp3" TargetMode="External"/><Relationship Id="rId1419" Type="http://schemas.openxmlformats.org/officeDocument/2006/relationships/hyperlink" Target="https://audio.iskcondesiretree.com/01_-_Srila_Prabhupada/01_-_Lectures/01_-_English/01_-_Topic_wise/Morning_Walk/SP_Morning_Walk_-_Los_Angeles_1973-12-13_America_Has_to_Stop_Demonism.mp3" TargetMode="External"/><Relationship Id="rId2740" Type="http://schemas.openxmlformats.org/officeDocument/2006/relationships/hyperlink" Target="https://audio.iskcondesiretree.com/01_-_Srila_Prabhupada/01_-_Lectures/01_-_English/01_-_Topic_wise/Bhagavad_Gita/Chapter-16/SP_BG_16-01_Hawaii_1975-01-29_The_Cure_for_Fear.mp3" TargetMode="External"/><Relationship Id="rId1410" Type="http://schemas.openxmlformats.org/officeDocument/2006/relationships/hyperlink" Target="https://audio.iskcondesiretree.com/01_-_Srila_Prabhupada/01_-_Lectures/01_-_English/02_-_Month_wise/12_-_December/09/SB_1-15-31_LA_1973-12-09_Illusory_Contemplations.mp3" TargetMode="External"/><Relationship Id="rId2741" Type="http://schemas.openxmlformats.org/officeDocument/2006/relationships/hyperlink" Target="https://audio.iskcondesiretree.com/01_-_Srila_Prabhupada/01_-_Lectures/01_-_English/02_-_Month_wise/01_-_January/29/Bg-16-01%E2%80%9303_1975-01-29_BG-HONOLULU.MP3" TargetMode="External"/><Relationship Id="rId1400" Type="http://schemas.openxmlformats.org/officeDocument/2006/relationships/hyperlink" Target="https://audio.iskcondesiretree.com/01_-_Srila_Prabhupada/01_-_Lectures/01_-_English/02_-_Month_wise/12_-_December/06/SB_1-15-28_LA_1973-12-06_Who_to_Meditate_On.mp3" TargetMode="External"/><Relationship Id="rId2731" Type="http://schemas.openxmlformats.org/officeDocument/2006/relationships/hyperlink" Target="https://audio.iskcondesiretree.com/01_-_Srila_Prabhupada/01_-_Lectures/01_-_English/01_-_Topic_wise/Bhagavad_Gita/Chapter-16/SP_BG_16-07_Tokyo_1975-01-27_Turning_Asuras_Into_Suras.mp3" TargetMode="External"/><Relationship Id="rId1401" Type="http://schemas.openxmlformats.org/officeDocument/2006/relationships/hyperlink" Target="https://audio.iskcondesiretree.com/01_-_Srila_Prabhupada/01_-_Lectures/01_-_English/01_-_Topic_wise/Morning_Walk/SP_Morning_Walk_-_Los_Angeles_1973-12-07_Progress_Towards_Darkness.mp3" TargetMode="External"/><Relationship Id="rId2732" Type="http://schemas.openxmlformats.org/officeDocument/2006/relationships/hyperlink" Target="https://audio.iskcondesiretree.com/01_-_Srila_Prabhupada/01_-_Lectures/01_-_English/01_-_Topic_wise/Room_Conversation/SP_Room_Conversation_Tokyo_1975-01-27_%27Mixture%27_Means_Mixer.mp3" TargetMode="External"/><Relationship Id="rId1402" Type="http://schemas.openxmlformats.org/officeDocument/2006/relationships/hyperlink" Target="https://audio.iskcondesiretree.com/01_-_Srila_Prabhupada/01_-_Lectures/01_-_English/01_-_Topic_wise/Srimad_Bhagavatam/Canto-01/SP_SB_1-15-29_Los_Angeles_1973-12-07_Becoming_Anxiety-Less.mp3" TargetMode="External"/><Relationship Id="rId2733" Type="http://schemas.openxmlformats.org/officeDocument/2006/relationships/hyperlink" Target="https://audio.iskcondesiretree.com/01_-_Srila_Prabhupada/01_-_Lectures/01_-_English/02_-_Month_wise/01_-_January/27/Bg-16-07_1975-01-27_BG-TOKYO.MP3" TargetMode="External"/><Relationship Id="rId1403" Type="http://schemas.openxmlformats.org/officeDocument/2006/relationships/hyperlink" Target="https://audio.iskcondesiretree.com/01_-_Srila_Prabhupada/01_-_Lectures/01_-_English/02_-_Month_wise/12_-_December/07/MW_LA_1973-12-07_Progress_Towards_Darkness.mp3" TargetMode="External"/><Relationship Id="rId2734" Type="http://schemas.openxmlformats.org/officeDocument/2006/relationships/hyperlink" Target="https://audio.iskcondesiretree.com/01_-_Srila_Prabhupada/01_-_Lectures/01_-_English/02_-_Month_wise/01_-_January/27/Bg_16-07_TOK_1975-01-27_Turning_Asuras_Into_Suras.mp3" TargetMode="External"/><Relationship Id="rId1404" Type="http://schemas.openxmlformats.org/officeDocument/2006/relationships/hyperlink" Target="https://audio.iskcondesiretree.com/01_-_Srila_Prabhupada/01_-_Lectures/01_-_English/02_-_Month_wise/12_-_December/07/SB_1-15-29_LA_1973-12-07_Becoming_Anxiety-Less.mp3" TargetMode="External"/><Relationship Id="rId2735" Type="http://schemas.openxmlformats.org/officeDocument/2006/relationships/hyperlink" Target="https://audio.iskcondesiretree.com/01_-_Srila_Prabhupada/01_-_Lectures/01_-_English/02_-_Month_wise/01_-_January/27/Conv_1975-01-27_R1-TOKYO.MP3" TargetMode="External"/><Relationship Id="rId1405" Type="http://schemas.openxmlformats.org/officeDocument/2006/relationships/hyperlink" Target="https://audio.iskcondesiretree.com/01_-_Srila_Prabhupada/01_-_Lectures/01_-_English/01_-_Topic_wise/Srimad_Bhagavatam/Canto-01/SP_SB_1-15-30_Los_Angeles_1973-12-08_Hearing_the_Gita_As_Arjuna_Did.mp3" TargetMode="External"/><Relationship Id="rId2736" Type="http://schemas.openxmlformats.org/officeDocument/2006/relationships/hyperlink" Target="https://audio.iskcondesiretree.com/01_-_Srila_Prabhupada/01_-_Lectures/01_-_English/02_-_Month_wise/01_-_January/27/RC_TOK_1975-01-27_Mixture_Means_Mixer.mp3" TargetMode="External"/><Relationship Id="rId1406" Type="http://schemas.openxmlformats.org/officeDocument/2006/relationships/hyperlink" Target="https://audio.iskcondesiretree.com/01_-_Srila_Prabhupada/01_-_Lectures/01_-_English/02_-_Month_wise/12_-_December/08/SB_1-15-30_LA_1973-12-08_Hearing_the_Gita_As_Arjuna_Did.mp3" TargetMode="External"/><Relationship Id="rId2737" Type="http://schemas.openxmlformats.org/officeDocument/2006/relationships/hyperlink" Target="https://audio.iskcondesiretree.com/01_-_Srila_Prabhupada/01_-_Lectures/01_-_English/01_-_Topic_wise/Bhagavad_Gita/Chapter-16/SP_BG_16-08_Tokyo_1975-01-28_The_Unseen_Controller.mp3" TargetMode="External"/><Relationship Id="rId1407" Type="http://schemas.openxmlformats.org/officeDocument/2006/relationships/hyperlink" Target="https://audio.iskcondesiretree.com/01_-_Srila_Prabhupada/01_-_Lectures/01_-_English/01_-_Topic_wise/Room_Conversation/SP_Room_Conversation_Los_Angeles_1973-12-09_Prof--A_Little_Krishna_Consciousness--etc.mp3" TargetMode="External"/><Relationship Id="rId2738" Type="http://schemas.openxmlformats.org/officeDocument/2006/relationships/hyperlink" Target="https://audio.iskcondesiretree.com/01_-_Srila_Prabhupada/01_-_Lectures/01_-_English/02_-_Month_wise/01_-_January/28/Bg-16-08_1975-01-28_BG-TOKYO.MP3" TargetMode="External"/><Relationship Id="rId1408" Type="http://schemas.openxmlformats.org/officeDocument/2006/relationships/hyperlink" Target="https://audio.iskcondesiretree.com/01_-_Srila_Prabhupada/01_-_Lectures/01_-_English/01_-_Topic_wise/Srimad_Bhagavatam/Canto-01/SP_SB_1-15-31_Los_Angeles_1973-12-09_Illusory_Contemplations.mp3" TargetMode="External"/><Relationship Id="rId2739" Type="http://schemas.openxmlformats.org/officeDocument/2006/relationships/hyperlink" Target="https://audio.iskcondesiretree.com/01_-_Srila_Prabhupada/01_-_Lectures/01_-_English/02_-_Month_wise/01_-_January/28/Bg_16-08_TOK_1975-01-28_The_Unseen_Controller.mp3" TargetMode="External"/><Relationship Id="rId1409" Type="http://schemas.openxmlformats.org/officeDocument/2006/relationships/hyperlink" Target="https://audio.iskcondesiretree.com/01_-_Srila_Prabhupada/01_-_Lectures/01_-_English/02_-_Month_wise/12_-_December/09/RC_LA_1973-12-09_Prof-A_Little_Krishna_Consciousness_etc.mp3" TargetMode="External"/><Relationship Id="rId2730" Type="http://schemas.openxmlformats.org/officeDocument/2006/relationships/hyperlink" Target="https://audio.iskcondesiretree.com/01_-_Srila_Prabhupada/01_-_Lectures/01_-_English/02_-_Month_wise/01_-_January/26/RC_HK_1975-01-26_Children-This_Is_Yoga.mp3" TargetMode="External"/><Relationship Id="rId1433" Type="http://schemas.openxmlformats.org/officeDocument/2006/relationships/hyperlink" Target="https://audio.iskcondesiretree.com/01_-_Srila_Prabhupada/01_-_Lectures/01_-_English/01_-_Topic_wise/Morning_Walk/SP_Morning_Walk_-_Los_Angeles_1973-12-16_The_Absolute_Need_for_God.mp3" TargetMode="External"/><Relationship Id="rId2764" Type="http://schemas.openxmlformats.org/officeDocument/2006/relationships/hyperlink" Target="https://audio.iskcondesiretree.com/01_-_Srila_Prabhupada/01_-_Lectures/01_-_English/02_-_Month_wise/02_-_Feburary/05/Bg_16-09_HAW_1975-02-05_The_Demonic-No_Sense_of_God.mp3" TargetMode="External"/><Relationship Id="rId1434" Type="http://schemas.openxmlformats.org/officeDocument/2006/relationships/hyperlink" Target="https://audio.iskcondesiretree.com/01_-_Srila_Prabhupada/01_-_Lectures/01_-_English/01_-_Topic_wise/Srimad_Bhagavatam/Canto-01/SP_SB_1-15-38_Los_Angeles_1973-12-16_The_Ruler_Should_Be_Devotee.mp3" TargetMode="External"/><Relationship Id="rId2765" Type="http://schemas.openxmlformats.org/officeDocument/2006/relationships/hyperlink" Target="https://audio.iskcondesiretree.com/01_-_Srila_Prabhupada/01_-_Lectures/01_-_English/01_-_Topic_wise/Bhagavad_Gita/Chapter-16/SP_BG_16-10_Hawaii_1975-02-06_The_Demonic_Attitude.mp3" TargetMode="External"/><Relationship Id="rId1435" Type="http://schemas.openxmlformats.org/officeDocument/2006/relationships/hyperlink" Target="https://audio.iskcondesiretree.com/01_-_Srila_Prabhupada/01_-_Lectures/01_-_English/02_-_Month_wise/12_-_December/16/MW_LA_1973-12-16_The_Absolute_Need_for_God.mp3" TargetMode="External"/><Relationship Id="rId2766" Type="http://schemas.openxmlformats.org/officeDocument/2006/relationships/hyperlink" Target="https://audio.iskcondesiretree.com/01_-_Srila_Prabhupada/01_-_Lectures/01_-_English/02_-_Month_wise/02_-_Feburary/06/Bg-16-10_1975-02-06_BG-HONOLULU.MP3" TargetMode="External"/><Relationship Id="rId1436" Type="http://schemas.openxmlformats.org/officeDocument/2006/relationships/hyperlink" Target="https://audio.iskcondesiretree.com/01_-_Srila_Prabhupada/01_-_Lectures/01_-_English/02_-_Month_wise/12_-_December/16/SB_1-15-38_LA_1973-12-16_The_Ruler_Should_Be_Devotee.mp3" TargetMode="External"/><Relationship Id="rId2767" Type="http://schemas.openxmlformats.org/officeDocument/2006/relationships/hyperlink" Target="https://audio.iskcondesiretree.com/01_-_Srila_Prabhupada/01_-_Lectures/01_-_English/02_-_Month_wise/02_-_Feburary/06/Bg_16-10_HAW_1975-02-06_The_Demonic_Attitude.mp3" TargetMode="External"/><Relationship Id="rId1437" Type="http://schemas.openxmlformats.org/officeDocument/2006/relationships/hyperlink" Target="https://audio.iskcondesiretree.com/01_-_Srila_Prabhupada/01_-_Lectures/01_-_English/01_-_Topic_wise/Morning_Walk/SP_Morning_Walk_-_Los_Angeles_1973-12-17_Soul_Science.mp3" TargetMode="External"/><Relationship Id="rId2768" Type="http://schemas.openxmlformats.org/officeDocument/2006/relationships/hyperlink" Target="https://audio.iskcondesiretree.com/01_-_Srila_Prabhupada/01_-_Lectures/01_-_English/01_-_Topic_wise/Bhagavad_Gita/Chapter-16/SP_BG_16-11_Hawaii_1975-02-07_Anxiety_Unlimited.mp3" TargetMode="External"/><Relationship Id="rId1438" Type="http://schemas.openxmlformats.org/officeDocument/2006/relationships/hyperlink" Target="https://audio.iskcondesiretree.com/01_-_Srila_Prabhupada/01_-_Lectures/01_-_English/01_-_Topic_wise/Srimad_Bhagavatam/Canto-01/SP_SB_1-15-39_Los_Angeles_1973-12-17_Retirement_Timely_and_Transcendental.mp3" TargetMode="External"/><Relationship Id="rId2769" Type="http://schemas.openxmlformats.org/officeDocument/2006/relationships/hyperlink" Target="https://audio.iskcondesiretree.com/01_-_Srila_Prabhupada/01_-_Lectures/01_-_English/02_-_Month_wise/02_-_Feburary/07/Bg-16-11%E2%80%9312_1975-02-07_BG-HONOLULU.MP3" TargetMode="External"/><Relationship Id="rId1439" Type="http://schemas.openxmlformats.org/officeDocument/2006/relationships/hyperlink" Target="https://audio.iskcondesiretree.com/01_-_Srila_Prabhupada/01_-_Lectures/01_-_English/02_-_Month_wise/12_-_December/17/MW_LA_1973-12-17_Soul_Science.mp3" TargetMode="External"/><Relationship Id="rId609" Type="http://schemas.openxmlformats.org/officeDocument/2006/relationships/hyperlink" Target="https://audio.iskcondesiretree.com/01_-_Srila_Prabhupada/01_-_Lectures/01_-_English/02_-_Month_wise/06_-_June/17/SB_2-03-20_LA_1972-06-17_Criminal_Enjoyment.mp3" TargetMode="External"/><Relationship Id="rId608" Type="http://schemas.openxmlformats.org/officeDocument/2006/relationships/hyperlink" Target="https://audio.iskcondesiretree.com/01_-_Srila_Prabhupada/01_-_Lectures/01_-_English/01_-_Topic_wise/Srimad_Bhagavatam/Canto-02/SP_SB_2-03-20_Los_Angeles_1972-06-17_Criminal_Enjoyment.mp3" TargetMode="External"/><Relationship Id="rId607" Type="http://schemas.openxmlformats.org/officeDocument/2006/relationships/hyperlink" Target="https://audio.iskcondesiretree.com/01_-_Srila_Prabhupada/01_-_Lectures/01_-_English/02_-_Month_wise/06_-_June/16/SB_2-03-20_LA_1972-06-16_Ear_Holes_Like_Snake_Holes.mp3" TargetMode="External"/><Relationship Id="rId602" Type="http://schemas.openxmlformats.org/officeDocument/2006/relationships/hyperlink" Target="https://audio.iskcondesiretree.com/01_-_Srila_Prabhupada/01_-_Lectures/01_-_English/02_-_Month_wise/06_-_June/13/SB_2-03-19_LA_1972-06-13_Doghouse_or_Igloo-_Home_Sweet_Home.mp3" TargetMode="External"/><Relationship Id="rId601" Type="http://schemas.openxmlformats.org/officeDocument/2006/relationships/hyperlink" Target="https://audio.iskcondesiretree.com/01_-_Srila_Prabhupada/01_-_Lectures/01_-_English/02_-_Month_wise/06_-_June/13/SB_2-03-18_LA_1972-06-13_Hogs%2C_Dogs%2C_Camels_and_Asses.mp3" TargetMode="External"/><Relationship Id="rId600" Type="http://schemas.openxmlformats.org/officeDocument/2006/relationships/hyperlink" Target="https://audio.iskcondesiretree.com/01_-_Srila_Prabhupada/01_-_Lectures/01_-_English/01_-_Topic_wise/Srimad_Bhagavatam/Canto-02/SP_SB_2-03-19_Los_Angeles_1972-06-13_Doghouse_or_Igloo-_Home_Sweet_Home.mp3" TargetMode="External"/><Relationship Id="rId606" Type="http://schemas.openxmlformats.org/officeDocument/2006/relationships/hyperlink" Target="https://audio.iskcondesiretree.com/01_-_Srila_Prabhupada/01_-_Lectures/01_-_English/01_-_Topic_wise/Srimad_Bhagavatam/Canto-02/SP_SB_2-03-20_Los_Angeles_1972-06-16_Ear_Holes_Like_Snake_Holes.mp3" TargetMode="External"/><Relationship Id="rId605" Type="http://schemas.openxmlformats.org/officeDocument/2006/relationships/hyperlink" Target="https://audio.iskcondesiretree.com/01_-_Srila_Prabhupada/01_-_Lectures/01_-_English/01_-_Topic_wise/Srimad_Bhagavatam/Canto-02/SP_SB_2-03-20-21_Los_Angeles_1972-06-16_Ear_Holes_Like_Snake_Holes.mp3" TargetMode="External"/><Relationship Id="rId604" Type="http://schemas.openxmlformats.org/officeDocument/2006/relationships/hyperlink" Target="https://audio.iskcondesiretree.com/01_-_Srila_Prabhupada/01_-_Lectures/01_-_English/02_-_Month_wise/06_-_June/15/SB_2-03-19_LA_1972-06-15_A_Thorn_Chewing_etc.mp3" TargetMode="External"/><Relationship Id="rId603" Type="http://schemas.openxmlformats.org/officeDocument/2006/relationships/hyperlink" Target="https://audio.iskcondesiretree.com/01_-_Srila_Prabhupada/01_-_Lectures/01_-_English/01_-_Topic_wise/Srimad_Bhagavatam/Canto-02/SP_SB_2-03-19_Los_Angeles_1972-06-15_A_Thorn_Chewing--etc.mp3" TargetMode="External"/><Relationship Id="rId2760" Type="http://schemas.openxmlformats.org/officeDocument/2006/relationships/hyperlink" Target="https://audio.iskcondesiretree.com/01_-_Srila_Prabhupada/01_-_Lectures/01_-_English/02_-_Month_wise/02_-_Feburary/04/Bg_16-08_HAW_1975-02-04_Who_Is_Demon_and_Who_Is_Divine.mp3" TargetMode="External"/><Relationship Id="rId1430" Type="http://schemas.openxmlformats.org/officeDocument/2006/relationships/hyperlink" Target="https://audio.iskcondesiretree.com/01_-_Srila_Prabhupada/01_-_Lectures/01_-_English/01_-_Topic_wise/Srimad_Bhagavatam/Canto-01/SP_SB_1-15-37_Los_Angeles_1973-12-15_Exalted_Elected_Dogs_and_Asses.mp3" TargetMode="External"/><Relationship Id="rId2761" Type="http://schemas.openxmlformats.org/officeDocument/2006/relationships/hyperlink" Target="https://audio.iskcondesiretree.com/01_-_Srila_Prabhupada/01_-_Lectures/01_-_English/02_-_Month_wise/02_-_Feburary/04/Walk_1975-02-04_MW-HONOLULU.MP3" TargetMode="External"/><Relationship Id="rId1431" Type="http://schemas.openxmlformats.org/officeDocument/2006/relationships/hyperlink" Target="https://audio.iskcondesiretree.com/01_-_Srila_Prabhupada/01_-_Lectures/01_-_English/02_-_Month_wise/12_-_December/15/MW_LA_1973-12-15_Philosophy_of_the_Mad.mp3" TargetMode="External"/><Relationship Id="rId2762" Type="http://schemas.openxmlformats.org/officeDocument/2006/relationships/hyperlink" Target="https://audio.iskcondesiretree.com/01_-_Srila_Prabhupada/01_-_Lectures/01_-_English/01_-_Topic_wise/Bhagavad_Gita/Chapter-16/SP_BG_16-09_Hawaii_1975-02-05_The_Demonic-No_Sense_of_God.mp3" TargetMode="External"/><Relationship Id="rId1432" Type="http://schemas.openxmlformats.org/officeDocument/2006/relationships/hyperlink" Target="https://audio.iskcondesiretree.com/01_-_Srila_Prabhupada/01_-_Lectures/01_-_English/02_-_Month_wise/12_-_December/15/SB_1-15-37_LA_1973-12-15_Exalted_Elected_Dogs_and_Asses.mp3" TargetMode="External"/><Relationship Id="rId2763" Type="http://schemas.openxmlformats.org/officeDocument/2006/relationships/hyperlink" Target="https://audio.iskcondesiretree.com/01_-_Srila_Prabhupada/01_-_Lectures/01_-_English/02_-_Month_wise/02_-_Feburary/05/Bg-16-09_1975-02-05_BG-HONOLULU.MP3" TargetMode="External"/><Relationship Id="rId1422" Type="http://schemas.openxmlformats.org/officeDocument/2006/relationships/hyperlink" Target="https://audio.iskcondesiretree.com/01_-_Srila_Prabhupada/01_-_Lectures/01_-_English/02_-_Month_wise/12_-_December/13/Fest_LA_1973-12-13_Disappearance_Bhaktisiddhanta_Sarasvati.mp3" TargetMode="External"/><Relationship Id="rId2753" Type="http://schemas.openxmlformats.org/officeDocument/2006/relationships/hyperlink" Target="https://audio.iskcondesiretree.com/01_-_Srila_Prabhupada/01_-_Lectures/01_-_English/01_-_Topic_wise/Morning_Walk/SP_Morning_Walk_-_Hawaii_1975-02-03_Must_All_Devotees_Live_in_Temple.mp3" TargetMode="External"/><Relationship Id="rId1423" Type="http://schemas.openxmlformats.org/officeDocument/2006/relationships/hyperlink" Target="https://audio.iskcondesiretree.com/01_-_Srila_Prabhupada/01_-_Lectures/01_-_English/02_-_Month_wise/12_-_December/13/MW_LA_1973-12-13_America_Has_to_Stop_Demonism.mp3" TargetMode="External"/><Relationship Id="rId2754" Type="http://schemas.openxmlformats.org/officeDocument/2006/relationships/hyperlink" Target="https://audio.iskcondesiretree.com/01_-_Srila_Prabhupada/01_-_Lectures/01_-_English/02_-_Month_wise/02_-_Feburary/03/Bg-16-07_1975-02-03_BG-HONOLULU.MP3" TargetMode="External"/><Relationship Id="rId1424" Type="http://schemas.openxmlformats.org/officeDocument/2006/relationships/hyperlink" Target="https://audio.iskcondesiretree.com/01_-_Srila_Prabhupada/01_-_Lectures/01_-_English/02_-_Month_wise/12_-_December/13/SB_1-15-35_LA_1973-12-13_The_Mantra_of_Meekness.mp3" TargetMode="External"/><Relationship Id="rId2755" Type="http://schemas.openxmlformats.org/officeDocument/2006/relationships/hyperlink" Target="https://audio.iskcondesiretree.com/01_-_Srila_Prabhupada/01_-_Lectures/01_-_English/02_-_Month_wise/02_-_Feburary/03/Bg_16-07_HAW_1975-02-03_The_Demonic_Want_Degradation.mp3" TargetMode="External"/><Relationship Id="rId1425" Type="http://schemas.openxmlformats.org/officeDocument/2006/relationships/hyperlink" Target="https://audio.iskcondesiretree.com/01_-_Srila_Prabhupada/01_-_Lectures/01_-_English/01_-_Topic_wise/Morning_Walk/SP_Morning_Walk_-_Los_Angeles_1973-12-14_Demons_Elected_by_Demons.mp3" TargetMode="External"/><Relationship Id="rId2756" Type="http://schemas.openxmlformats.org/officeDocument/2006/relationships/hyperlink" Target="https://audio.iskcondesiretree.com/01_-_Srila_Prabhupada/01_-_Lectures/01_-_English/02_-_Month_wise/02_-_Feburary/03/MW_HAW_1975-02-03_Must_All_Devotees_Live_in_Temple.mp3" TargetMode="External"/><Relationship Id="rId1426" Type="http://schemas.openxmlformats.org/officeDocument/2006/relationships/hyperlink" Target="https://audio.iskcondesiretree.com/01_-_Srila_Prabhupada/01_-_Lectures/01_-_English/01_-_Topic_wise/Srimad_Bhagavatam/Canto-01/SP_SB_1-15-36_Los_Angeles_1973-12-14_From_External_Illusion.mp3" TargetMode="External"/><Relationship Id="rId2757" Type="http://schemas.openxmlformats.org/officeDocument/2006/relationships/hyperlink" Target="https://audio.iskcondesiretree.com/01_-_Srila_Prabhupada/01_-_Lectures/01_-_English/02_-_Month_wise/02_-_Feburary/03/Walk_1975-02-03_MW-HONOLULU.MP3" TargetMode="External"/><Relationship Id="rId1427" Type="http://schemas.openxmlformats.org/officeDocument/2006/relationships/hyperlink" Target="https://audio.iskcondesiretree.com/01_-_Srila_Prabhupada/01_-_Lectures/01_-_English/02_-_Month_wise/12_-_December/14/MW_LA_1973-12-14_Demons_Elected_by_Demons.mp3" TargetMode="External"/><Relationship Id="rId2758" Type="http://schemas.openxmlformats.org/officeDocument/2006/relationships/hyperlink" Target="https://audio.iskcondesiretree.com/01_-_Srila_Prabhupada/01_-_Lectures/01_-_English/01_-_Topic_wise/Bhagavad_Gita/Chapter-16/SP_BG_16-08_Hawaii_1975-02-04_Who_Is_Demon_and_Who_Is_Divine.mp3" TargetMode="External"/><Relationship Id="rId1428" Type="http://schemas.openxmlformats.org/officeDocument/2006/relationships/hyperlink" Target="https://audio.iskcondesiretree.com/01_-_Srila_Prabhupada/01_-_Lectures/01_-_English/02_-_Month_wise/12_-_December/14/SB_1-15-36_LA_1973-12-14_From_External_Illusion.mp3" TargetMode="External"/><Relationship Id="rId2759" Type="http://schemas.openxmlformats.org/officeDocument/2006/relationships/hyperlink" Target="https://audio.iskcondesiretree.com/01_-_Srila_Prabhupada/01_-_Lectures/01_-_English/02_-_Month_wise/02_-_Feburary/04/Bg-16-08_1975-02-04_BG-HONOLULU.MP3" TargetMode="External"/><Relationship Id="rId1429" Type="http://schemas.openxmlformats.org/officeDocument/2006/relationships/hyperlink" Target="https://audio.iskcondesiretree.com/01_-_Srila_Prabhupada/01_-_Lectures/01_-_English/01_-_Topic_wise/Morning_Walk/SP_Morning_Walk_-_Los_Angeles_1973-12-15_Philosophy_of_the_Mad.mp3" TargetMode="External"/><Relationship Id="rId2750" Type="http://schemas.openxmlformats.org/officeDocument/2006/relationships/hyperlink" Target="https://audio.iskcondesiretree.com/01_-_Srila_Prabhupada/01_-_Lectures/01_-_English/02_-_Month_wise/02_-_Feburary/02/Bg-16-06_1975-02-02BG-HONOLULU.MP3" TargetMode="External"/><Relationship Id="rId1420" Type="http://schemas.openxmlformats.org/officeDocument/2006/relationships/hyperlink" Target="https://audio.iskcondesiretree.com/01_-_Srila_Prabhupada/01_-_Lectures/01_-_English/01_-_Topic_wise/Srimad_Bhagavatam/Canto-01/SP_SB_1-15-35_Los_Angeles_1973-12-13_The_Mantra_of_Meekness.mp3" TargetMode="External"/><Relationship Id="rId2751" Type="http://schemas.openxmlformats.org/officeDocument/2006/relationships/hyperlink" Target="https://audio.iskcondesiretree.com/01_-_Srila_Prabhupada/01_-_Lectures/01_-_English/02_-_Month_wise/02_-_Feburary/02/Bg_16-06_HAW_1975-02-02_Education_in_Becoming_Divine.mp3" TargetMode="External"/><Relationship Id="rId1421" Type="http://schemas.openxmlformats.org/officeDocument/2006/relationships/hyperlink" Target="https://audio.iskcondesiretree.com/01_-_Srila_Prabhupada/01_-_Lectures/01_-_English/02_-_Month_wise/12_-_December/13/Fest_LA_1973-12-13_Bhaktisiddhanta_Disappearance.mp3" TargetMode="External"/><Relationship Id="rId2752" Type="http://schemas.openxmlformats.org/officeDocument/2006/relationships/hyperlink" Target="https://audio.iskcondesiretree.com/01_-_Srila_Prabhupada/01_-_Lectures/01_-_English/01_-_Topic_wise/Bhagavad_Gita/Chapter-16/SP_BG_16-07_Hawaii_1975-02-03_The_Demonic_Want_Degradation.mp3" TargetMode="External"/><Relationship Id="rId699" Type="http://schemas.openxmlformats.org/officeDocument/2006/relationships/hyperlink" Target="https://audio.iskcondesiretree.com/01_-_Srila_Prabhupada/01_-_Lectures/01_-_English/02_-_Month_wise/09_-_September/24/SB_1-03-19_LA_1972-09-24_Offering_Everything_to_Krishna.mp3" TargetMode="External"/><Relationship Id="rId698" Type="http://schemas.openxmlformats.org/officeDocument/2006/relationships/hyperlink" Target="https://audio.iskcondesiretree.com/01_-_Srila_Prabhupada/01_-_Lectures/01_-_English/01_-_Topic_wise/Srimad_Bhagavatam/Canto-01/SP_SB_1-03-19_Los_Angeles_1972-09-24_Offering_Everything_to_Krishna.mp3" TargetMode="External"/><Relationship Id="rId693" Type="http://schemas.openxmlformats.org/officeDocument/2006/relationships/hyperlink" Target="https://audio.iskcondesiretree.com/01_-_Srila_Prabhupada/01_-_Lectures/01_-_English/02_-_Month_wise/09_-_September/20/SB_1-03-15_LA_1972-09-20_Don%27t_Be_Carried_Away_by_Maya.mp3" TargetMode="External"/><Relationship Id="rId692" Type="http://schemas.openxmlformats.org/officeDocument/2006/relationships/hyperlink" Target="https://audio.iskcondesiretree.com/01_-_Srila_Prabhupada/01_-_Lectures/01_-_English/01_-_Topic_wise/Srimad_Bhagavatam/Canto-01/SP_SB_1-03-15_Los_Angeles_1972-09-20_Don%27t_Be_Carried_Away_by_Maya.mp3" TargetMode="External"/><Relationship Id="rId691" Type="http://schemas.openxmlformats.org/officeDocument/2006/relationships/hyperlink" Target="https://audio.iskcondesiretree.com/01_-_Srila_Prabhupada/01_-_Lectures/01_-_English/02_-_Month_wise/09_-_September/19/SB_1-03-14_LA_1972-09-19_Today%27s_Civilized_Man_Less_etc.mp3" TargetMode="External"/><Relationship Id="rId690" Type="http://schemas.openxmlformats.org/officeDocument/2006/relationships/hyperlink" Target="https://audio.iskcondesiretree.com/01_-_Srila_Prabhupada/01_-_Lectures/01_-_English/01_-_Topic_wise/Srimad_Bhagavatam/Canto-01/SP_SB_1-03-14_Los_Angeles_1972-09-19_Today%27s_Civilized_Man--Less--etc.mp3" TargetMode="External"/><Relationship Id="rId697" Type="http://schemas.openxmlformats.org/officeDocument/2006/relationships/hyperlink" Target="https://audio.iskcondesiretree.com/01_-_Srila_Prabhupada/01_-_Lectures/01_-_English/02_-_Month_wise/09_-_September/22/SB_1-03-17_LA_1972-09-22_Ideal_Married_Life.mp3" TargetMode="External"/><Relationship Id="rId696" Type="http://schemas.openxmlformats.org/officeDocument/2006/relationships/hyperlink" Target="https://audio.iskcondesiretree.com/01_-_Srila_Prabhupada/01_-_Lectures/01_-_English/01_-_Topic_wise/Srimad_Bhagavatam/Canto-01/SP_SB_1-03-17_Los_Angeles_1972-09-22_Ideal_Married_Life.mp3" TargetMode="External"/><Relationship Id="rId695" Type="http://schemas.openxmlformats.org/officeDocument/2006/relationships/hyperlink" Target="https://audio.iskcondesiretree.com/01_-_Srila_Prabhupada/01_-_Lectures/01_-_English/02_-_Month_wise/09_-_September/21/SB_1-03-16_LA_1972-09-21_Don%27t_Think_You_Are_All_in_All.mp3" TargetMode="External"/><Relationship Id="rId694" Type="http://schemas.openxmlformats.org/officeDocument/2006/relationships/hyperlink" Target="https://audio.iskcondesiretree.com/01_-_Srila_Prabhupada/01_-_Lectures/01_-_English/01_-_Topic_wise/Srimad_Bhagavatam/Canto-01/SP_SB_1-03-16_Los_Angeles_1972-09-21_Don%27t_Think_You_Are_All_in_All.mp3" TargetMode="External"/><Relationship Id="rId1499" Type="http://schemas.openxmlformats.org/officeDocument/2006/relationships/hyperlink" Target="https://audio.iskcondesiretree.com/01_-_Srila_Prabhupada/01_-_Lectures/01_-_English/02_-_Month_wise/01_-_January/08/SB_1-16-11_LA_1974-01-08_Subduing_the_Demons.mp3" TargetMode="External"/><Relationship Id="rId668" Type="http://schemas.openxmlformats.org/officeDocument/2006/relationships/hyperlink" Target="https://audio.iskcondesiretree.com/01_-_Srila_Prabhupada/01_-_Lectures/01_-_English/01_-_Topic_wise/Arrival_Address/SP_Address_New_Vrindavan_1972-08-31_Just_Hear_About_Krishna.mp3" TargetMode="External"/><Relationship Id="rId667" Type="http://schemas.openxmlformats.org/officeDocument/2006/relationships/hyperlink" Target="https://audio.iskcondesiretree.com/01_-_Srila_Prabhupada/01_-_Lectures/01_-_English/02_-_Month_wise/08_-_August/28/SB_1-02-25_LA_1972-08-28_Paltry_Research_Work.mp3" TargetMode="External"/><Relationship Id="rId666" Type="http://schemas.openxmlformats.org/officeDocument/2006/relationships/hyperlink" Target="https://audio.iskcondesiretree.com/01_-_Srila_Prabhupada/01_-_Lectures/01_-_English/01_-_Topic_wise/Srimad_Bhagavatam/Canto-01/SP_SB_1-02-25_Los_Angeles_1972-08-28_Paltry_Research_Work.mp3" TargetMode="External"/><Relationship Id="rId665" Type="http://schemas.openxmlformats.org/officeDocument/2006/relationships/hyperlink" Target="https://audio.iskcondesiretree.com/01_-_Srila_Prabhupada/01_-_Lectures/01_-_English/02_-_Month_wise/08_-_August/27/SB_1-02-24_LA_1972-08-27_How_to_See_the_Absolute_Truth.mp3" TargetMode="External"/><Relationship Id="rId669" Type="http://schemas.openxmlformats.org/officeDocument/2006/relationships/hyperlink" Target="https://audio.iskcondesiretree.com/01_-_Srila_Prabhupada/01_-_Lectures/01_-_English/02_-_Month_wise/08_-_August/31/Addr_NV_1972-08-31_Just_Hear_About_Krishna.mp3" TargetMode="External"/><Relationship Id="rId1490" Type="http://schemas.openxmlformats.org/officeDocument/2006/relationships/hyperlink" Target="https://audio.iskcondesiretree.com/01_-_Srila_Prabhupada/01_-_Lectures/01_-_English/01_-_Topic_wise/Morning_Walk/SP_Morning_Walk_-_Los_Angeles_1974-01-07_What_Is_Real_Leadership.mp3" TargetMode="External"/><Relationship Id="rId660" Type="http://schemas.openxmlformats.org/officeDocument/2006/relationships/hyperlink" Target="https://audio.iskcondesiretree.com/01_-_Srila_Prabhupada/01_-_Lectures/01_-_English/01_-_Topic_wise/Srimad_Bhagavatam/Canto-01/SP_SB_1-02-22_Los_Angeles_1972-08-25_A_First-class_Devotee_Is--etc.mp3" TargetMode="External"/><Relationship Id="rId1491" Type="http://schemas.openxmlformats.org/officeDocument/2006/relationships/hyperlink" Target="https://audio.iskcondesiretree.com/01_-_Srila_Prabhupada/01_-_Lectures/01_-_English/01_-_Topic_wise/Srimad_Bhagavatam/Canto-01/SP_SB_1-16-10_Los_Angeles_1974-01-07_Pariksit%27s_Answer_to_Kali.mp3" TargetMode="External"/><Relationship Id="rId1492" Type="http://schemas.openxmlformats.org/officeDocument/2006/relationships/hyperlink" Target="https://audio.iskcondesiretree.com/01_-_Srila_Prabhupada/01_-_Lectures/01_-_English/02_-_Month_wise/01_-_January/07/MW_LA_1974-01-07_What_Is_Real_Leadership.mp3" TargetMode="External"/><Relationship Id="rId1493" Type="http://schemas.openxmlformats.org/officeDocument/2006/relationships/hyperlink" Target="https://audio.iskcondesiretree.com/01_-_Srila_Prabhupada/01_-_Lectures/01_-_English/02_-_Month_wise/01_-_January/07/SB-01-16-10_1974-01-07_SB-LOS_ANGELES.MP3" TargetMode="External"/><Relationship Id="rId1494" Type="http://schemas.openxmlformats.org/officeDocument/2006/relationships/hyperlink" Target="https://audio.iskcondesiretree.com/01_-_Srila_Prabhupada/01_-_Lectures/01_-_English/02_-_Month_wise/01_-_January/07/SB_1-16-10_LA_1974-01-07_Pariksit%27s_Answer_to_Kali.mp3" TargetMode="External"/><Relationship Id="rId664" Type="http://schemas.openxmlformats.org/officeDocument/2006/relationships/hyperlink" Target="https://audio.iskcondesiretree.com/01_-_Srila_Prabhupada/01_-_Lectures/01_-_English/01_-_Topic_wise/Srimad_Bhagavatam/Canto-01/SP_SB_1-02-24_Los_Angeles_1972-08-27_How_to_See_the_Absolute_Truth.mp3" TargetMode="External"/><Relationship Id="rId1495" Type="http://schemas.openxmlformats.org/officeDocument/2006/relationships/hyperlink" Target="https://audio.iskcondesiretree.com/01_-_Srila_Prabhupada/01_-_Lectures/01_-_English/02_-_Month_wise/01_-_January/07/Walk_1974-01-07_MW-LOS_ANGELES.MP3" TargetMode="External"/><Relationship Id="rId663" Type="http://schemas.openxmlformats.org/officeDocument/2006/relationships/hyperlink" Target="https://audio.iskcondesiretree.com/01_-_Srila_Prabhupada/01_-_Lectures/01_-_English/02_-_Month_wise/08_-_August/26/SB_1-02-23_LA_1972-08-26_The_Material_World-A_Chance.mp3" TargetMode="External"/><Relationship Id="rId1496" Type="http://schemas.openxmlformats.org/officeDocument/2006/relationships/hyperlink" Target="https://audio.iskcondesiretree.com/01_-_Srila_Prabhupada/01_-_Lectures/01_-_English/01_-_Topic_wise/Morning_Walk/SP_Morning_Walk_-_Los_Angeles_1974-01-08.mp3" TargetMode="External"/><Relationship Id="rId662" Type="http://schemas.openxmlformats.org/officeDocument/2006/relationships/hyperlink" Target="https://audio.iskcondesiretree.com/01_-_Srila_Prabhupada/01_-_Lectures/01_-_English/01_-_Topic_wise/Srimad_Bhagavatam/Canto-01/SP_SB_1-02-23_Los_Angeles_1972-08-26_The_Material_World-A_Chance.mp3" TargetMode="External"/><Relationship Id="rId1497" Type="http://schemas.openxmlformats.org/officeDocument/2006/relationships/hyperlink" Target="https://audio.iskcondesiretree.com/01_-_Srila_Prabhupada/01_-_Lectures/01_-_English/01_-_Topic_wise/Srimad_Bhagavatam/Canto-01/SP_SB_1-16-11_Los_Angeles_1974-01-08_Subduing_the_Demons.mp3" TargetMode="External"/><Relationship Id="rId661" Type="http://schemas.openxmlformats.org/officeDocument/2006/relationships/hyperlink" Target="https://audio.iskcondesiretree.com/01_-_Srila_Prabhupada/01_-_Lectures/01_-_English/02_-_Month_wise/08_-_August/25/SB_1-02-22_LA_1972-08-25_A_First-class_Devotee_Is_etc.mp3" TargetMode="External"/><Relationship Id="rId1498" Type="http://schemas.openxmlformats.org/officeDocument/2006/relationships/hyperlink" Target="https://audio.iskcondesiretree.com/01_-_Srila_Prabhupada/01_-_Lectures/01_-_English/02_-_Month_wise/01_-_January/08/SB-01-16-11_1974-01-08_SB-LOS_ANGELES.MP3" TargetMode="External"/><Relationship Id="rId1488" Type="http://schemas.openxmlformats.org/officeDocument/2006/relationships/hyperlink" Target="https://audio.iskcondesiretree.com/01_-_Srila_Prabhupada/01_-_Lectures/01_-_English/02_-_Month_wise/01_-_January/05/SB_1-16-08_LA_1974-01-05_How_to_Stop_Death.mp3" TargetMode="External"/><Relationship Id="rId1489" Type="http://schemas.openxmlformats.org/officeDocument/2006/relationships/hyperlink" Target="https://audio.iskcondesiretree.com/01_-_Srila_Prabhupada/01_-_Lectures/01_-_English/02_-_Month_wise/01_-_January/05/Walk_1974-01-05_MW-LOS_ANGELES.MP3" TargetMode="External"/><Relationship Id="rId657" Type="http://schemas.openxmlformats.org/officeDocument/2006/relationships/hyperlink" Target="https://audio.iskcondesiretree.com/01_-_Srila_Prabhupada/01_-_Lectures/01_-_English/02_-_Month_wise/08_-_August/23/SB_1-02-20_LA_1972-08-23_Spiritual_Life_Is_Scientific.mp3" TargetMode="External"/><Relationship Id="rId656" Type="http://schemas.openxmlformats.org/officeDocument/2006/relationships/hyperlink" Target="https://audio.iskcondesiretree.com/01_-_Srila_Prabhupada/01_-_Lectures/01_-_English/01_-_Topic_wise/Srimad_Bhagavatam/Canto-01/SP_SB_1-02-20_Los_Angeles_1972-08-23_Spiritual_Life_Is_Scientific.mp3" TargetMode="External"/><Relationship Id="rId655" Type="http://schemas.openxmlformats.org/officeDocument/2006/relationships/hyperlink" Target="https://audio.iskcondesiretree.com/01_-_Srila_Prabhupada/01_-_Lectures/01_-_English/02_-_Month_wise/08_-_August/22/SB_1-02-19_LA_1972-08-22_The_Bhakti_Lift_to_Love_and_etc.mp3" TargetMode="External"/><Relationship Id="rId654" Type="http://schemas.openxmlformats.org/officeDocument/2006/relationships/hyperlink" Target="https://audio.iskcondesiretree.com/01_-_Srila_Prabhupada/01_-_Lectures/01_-_English/01_-_Topic_wise/Srimad_Bhagavatam/Canto-01/SP_SB_1-02-19_Los_Angeles_1972-08-22_The_Bhakti_Lift_to_Love_and--etc.mp3" TargetMode="External"/><Relationship Id="rId659" Type="http://schemas.openxmlformats.org/officeDocument/2006/relationships/hyperlink" Target="https://audio.iskcondesiretree.com/01_-_Srila_Prabhupada/01_-_Lectures/01_-_English/02_-_Month_wise/08_-_August/24/SB_1-02-21_LA_1972-08-24_In_This_Material_World_We_etc.mp3" TargetMode="External"/><Relationship Id="rId658" Type="http://schemas.openxmlformats.org/officeDocument/2006/relationships/hyperlink" Target="https://audio.iskcondesiretree.com/01_-_Srila_Prabhupada/01_-_Lectures/01_-_English/01_-_Topic_wise/Srimad_Bhagavatam/Canto-01/SP_SB_1-02-21_Los_Angeles_1972-08-24_In_This_Material_World_We--etc.mp3" TargetMode="External"/><Relationship Id="rId1480" Type="http://schemas.openxmlformats.org/officeDocument/2006/relationships/hyperlink" Target="https://audio.iskcondesiretree.com/01_-_Srila_Prabhupada/01_-_Lectures/01_-_English/02_-_Month_wise/01_-_January/03/Walk_1974-01-03_MW-LOS_ANGELES.MP3" TargetMode="External"/><Relationship Id="rId1481" Type="http://schemas.openxmlformats.org/officeDocument/2006/relationships/hyperlink" Target="https://audio.iskcondesiretree.com/01_-_Srila_Prabhupada/01_-_Lectures/01_-_English/01_-_Topic_wise/Srimad_Bhagavatam/Canto-01/SP_SB_1-16-07_Los_Angeles_1974-01-04_Inevitable_Death_and_a_Way_Out.mp3" TargetMode="External"/><Relationship Id="rId1482" Type="http://schemas.openxmlformats.org/officeDocument/2006/relationships/hyperlink" Target="https://audio.iskcondesiretree.com/01_-_Srila_Prabhupada/01_-_Lectures/01_-_English/02_-_Month_wise/01_-_January/04/SB-01-16-07_1974-01-04_SB-LOS_ANGELES.MP3" TargetMode="External"/><Relationship Id="rId1483" Type="http://schemas.openxmlformats.org/officeDocument/2006/relationships/hyperlink" Target="https://audio.iskcondesiretree.com/01_-_Srila_Prabhupada/01_-_Lectures/01_-_English/02_-_Month_wise/01_-_January/04/SB_1-16-07_LA_1974-01-04_Inevitable_Death_and_a_Way_Out.mp3" TargetMode="External"/><Relationship Id="rId653" Type="http://schemas.openxmlformats.org/officeDocument/2006/relationships/hyperlink" Target="https://audio.iskcondesiretree.com/01_-_Srila_Prabhupada/01_-_Lectures/01_-_English/02_-_Month_wise/08_-_August/21/SB_1-02-18_LA_1972-08-21_The_Choice-Krishna_or_Maya.mp3" TargetMode="External"/><Relationship Id="rId1484" Type="http://schemas.openxmlformats.org/officeDocument/2006/relationships/hyperlink" Target="https://audio.iskcondesiretree.com/01_-_Srila_Prabhupada/01_-_Lectures/01_-_English/01_-_Topic_wise/Morning_Walk/SP_Morning_Walk_-_Los_Angeles_1974-01-05_Dance_Eat_and_Live_Eternally.mp3" TargetMode="External"/><Relationship Id="rId652" Type="http://schemas.openxmlformats.org/officeDocument/2006/relationships/hyperlink" Target="https://audio.iskcondesiretree.com/01_-_Srila_Prabhupada/01_-_Lectures/01_-_English/01_-_Topic_wise/Srimad_Bhagavatam/Canto-01/SP_SB_1-02-18_Los_Angeles_1972-08-21_The_Choice-Krishna_or_Maya.mp3" TargetMode="External"/><Relationship Id="rId1485" Type="http://schemas.openxmlformats.org/officeDocument/2006/relationships/hyperlink" Target="https://audio.iskcondesiretree.com/01_-_Srila_Prabhupada/01_-_Lectures/01_-_English/01_-_Topic_wise/Srimad_Bhagavatam/Canto-01/SP_SB_1-16-08_Los_Angeles_1974-01-05_How_to_Stop_Death.mp3" TargetMode="External"/><Relationship Id="rId651" Type="http://schemas.openxmlformats.org/officeDocument/2006/relationships/hyperlink" Target="https://audio.iskcondesiretree.com/01_-_Srila_Prabhupada/01_-_Lectures/01_-_English/02_-_Month_wise/08_-_August/20/SB_1-02-17_LA_1972-08-20_Krsna_Is_Selfish_He_Wants_etc.mp3" TargetMode="External"/><Relationship Id="rId1486" Type="http://schemas.openxmlformats.org/officeDocument/2006/relationships/hyperlink" Target="https://audio.iskcondesiretree.com/01_-_Srila_Prabhupada/01_-_Lectures/01_-_English/02_-_Month_wise/01_-_January/05/MW_LA_1974-01-05_Dance%2C_Eat_and_Live_Eternally.mp3" TargetMode="External"/><Relationship Id="rId650" Type="http://schemas.openxmlformats.org/officeDocument/2006/relationships/hyperlink" Target="https://audio.iskcondesiretree.com/01_-_Srila_Prabhupada/01_-_Lectures/01_-_English/01_-_Topic_wise/Srimad_Bhagavatam/Canto-01/SP_SB_1-02-17_Los_Angeles_1972-08-20_Krsna_Is_Selfish--_He_Wants--etc.mp3" TargetMode="External"/><Relationship Id="rId1487" Type="http://schemas.openxmlformats.org/officeDocument/2006/relationships/hyperlink" Target="https://audio.iskcondesiretree.com/01_-_Srila_Prabhupada/01_-_Lectures/01_-_English/02_-_Month_wise/01_-_January/05/SB-01-16-08_1974-01-05_SB-LOS_ANGELES.MP3" TargetMode="External"/><Relationship Id="rId689" Type="http://schemas.openxmlformats.org/officeDocument/2006/relationships/hyperlink" Target="https://audio.iskcondesiretree.com/01_-_Srila_Prabhupada/01_-_Lectures/01_-_English/02_-_Month_wise/09_-_September/18/SB_1-03-13_LA_1972-09-18_You_Must_First_Be_Gentle.mp3" TargetMode="External"/><Relationship Id="rId688" Type="http://schemas.openxmlformats.org/officeDocument/2006/relationships/hyperlink" Target="https://audio.iskcondesiretree.com/01_-_Srila_Prabhupada/01_-_Lectures/01_-_English/01_-_Topic_wise/Srimad_Bhagavatam/Canto-01/SP_SB_1-03-13_Los_Angeles_1972-09-18_You_Must_First_Be_Gentle.mp3" TargetMode="External"/><Relationship Id="rId687" Type="http://schemas.openxmlformats.org/officeDocument/2006/relationships/hyperlink" Target="https://audio.iskcondesiretree.com/01_-_Srila_Prabhupada/01_-_Lectures/01_-_English/02_-_Month_wise/09_-_September/17/SB_1-03-11_LA_1972-09-17_How_a_Devotee_Approaches_Krishna.mp3" TargetMode="External"/><Relationship Id="rId682" Type="http://schemas.openxmlformats.org/officeDocument/2006/relationships/hyperlink" Target="https://audio.iskcondesiretree.com/01_-_Srila_Prabhupada/01_-_Lectures/01_-_English/01_-_Topic_wise/Srimad_Bhagavatam/Canto-01/SP_SB_1-03-07_Los_Angeles_1972-09-13_Krishna_Will_Save_You.mp3" TargetMode="External"/><Relationship Id="rId681" Type="http://schemas.openxmlformats.org/officeDocument/2006/relationships/hyperlink" Target="https://audio.iskcondesiretree.com/01_-_Srila_Prabhupada/01_-_Lectures/01_-_English/02_-_Month_wise/09_-_September/08/Bg_02-13_PIT_1972-09-08_Hear_from_the_Authority-Krishna.mp3" TargetMode="External"/><Relationship Id="rId680" Type="http://schemas.openxmlformats.org/officeDocument/2006/relationships/hyperlink" Target="https://audio.iskcondesiretree.com/01_-_Srila_Prabhupada/01_-_Lectures/01_-_English/01_-_Topic_wise/Bhagavad_Gita/Chapter-02/SP_BG_02-13_Pittsburgh_1972-09-08_Hear_from_the_Authority-Krishna.mp3" TargetMode="External"/><Relationship Id="rId686" Type="http://schemas.openxmlformats.org/officeDocument/2006/relationships/hyperlink" Target="https://audio.iskcondesiretree.com/01_-_Srila_Prabhupada/01_-_Lectures/01_-_English/01_-_Topic_wise/Srimad_Bhagavatam/Canto-01/SP_SB_1-03-11_Los_Angeles_1972-09-17_How_a_Devotee_Approaches_Krishna.mp3" TargetMode="External"/><Relationship Id="rId685" Type="http://schemas.openxmlformats.org/officeDocument/2006/relationships/hyperlink" Target="https://audio.iskcondesiretree.com/01_-_Srila_Prabhupada/01_-_Lectures/01_-_English/02_-_Month_wise/09_-_September/16/SB_1-03-10_LA_1972-09-16_Modern_Facilities-Beneficial_etc.mp3" TargetMode="External"/><Relationship Id="rId684" Type="http://schemas.openxmlformats.org/officeDocument/2006/relationships/hyperlink" Target="https://audio.iskcondesiretree.com/01_-_Srila_Prabhupada/01_-_Lectures/01_-_English/01_-_Topic_wise/Srimad_Bhagavatam/Canto-01/SP_SB_1-03-10_Los_Angeles_1972-09-16_Modern_Facilities-Beneficial--etc.mp3" TargetMode="External"/><Relationship Id="rId683" Type="http://schemas.openxmlformats.org/officeDocument/2006/relationships/hyperlink" Target="https://audio.iskcondesiretree.com/01_-_Srila_Prabhupada/01_-_Lectures/01_-_English/02_-_Month_wise/09_-_September/13/SB_1-03-07_LA_1972-09-13_Krishna_Will_Save_You.mp3" TargetMode="External"/><Relationship Id="rId679" Type="http://schemas.openxmlformats.org/officeDocument/2006/relationships/hyperlink" Target="https://audio.iskcondesiretree.com/01_-_Srila_Prabhupada/01_-_Lectures/01_-_English/02_-_Month_wise/09_-_September/07/SB_1-02-09_NV_1972-09-07_The_Art_of_Knowing_What_to_etc.mp3" TargetMode="External"/><Relationship Id="rId678" Type="http://schemas.openxmlformats.org/officeDocument/2006/relationships/hyperlink" Target="https://audio.iskcondesiretree.com/01_-_Srila_Prabhupada/01_-_Lectures/01_-_English/01_-_Topic_wise/Srimad_Bhagavatam/Canto-01/SP_SB_1-02-09_New_Vrindavan_1972-09-07_The_Art_of_Knowing_What_to--etc.mp3" TargetMode="External"/><Relationship Id="rId677" Type="http://schemas.openxmlformats.org/officeDocument/2006/relationships/hyperlink" Target="https://audio.iskcondesiretree.com/01_-_Srila_Prabhupada/01_-_Lectures/01_-_English/02_-_Month_wise/09_-_September/06/SB_1-02-08_NV_1972-09-06_Spiritualize_Your_Subtle_Body.mp3" TargetMode="External"/><Relationship Id="rId676" Type="http://schemas.openxmlformats.org/officeDocument/2006/relationships/hyperlink" Target="https://audio.iskcondesiretree.com/01_-_Srila_Prabhupada/01_-_Lectures/01_-_English/01_-_Topic_wise/Srimad_Bhagavatam/Canto-01/SP_SB_1-02-08_New_Vrindavan_1972-09-06_Spiritualize_Your_Subtle_Body.mp3" TargetMode="External"/><Relationship Id="rId671" Type="http://schemas.openxmlformats.org/officeDocument/2006/relationships/hyperlink" Target="https://audio.iskcondesiretree.com/01_-_Srila_Prabhupada/01_-_Lectures/01_-_English/02_-_Month_wise/09_-_September/02/Fest_NV_1972-09-02_Vyasa-puja.mp3" TargetMode="External"/><Relationship Id="rId670" Type="http://schemas.openxmlformats.org/officeDocument/2006/relationships/hyperlink" Target="https://audio.iskcondesiretree.com/01_-_Srila_Prabhupada/01_-_Lectures/01_-_English/01_-_Topic_wise/Festivals/SP_Festivals_New_Vrindavan_1972-09-02_Vyasa-puja.mp3" TargetMode="External"/><Relationship Id="rId675" Type="http://schemas.openxmlformats.org/officeDocument/2006/relationships/hyperlink" Target="https://audio.iskcondesiretree.com/01_-_Srila_Prabhupada/01_-_Lectures/01_-_English/02_-_Month_wise/09_-_September/05/SB_1-02-06_NV_1972-09-05_This_Nice_Car_Is_Rotten.mp3" TargetMode="External"/><Relationship Id="rId674" Type="http://schemas.openxmlformats.org/officeDocument/2006/relationships/hyperlink" Target="https://audio.iskcondesiretree.com/01_-_Srila_Prabhupada/01_-_Lectures/01_-_English/01_-_Topic_wise/Srimad_Bhagavatam/Canto-01/SP_SB_1-02-06_New_Vrindavan_1972-09-05_This_Nice_Caracas_Is_Rotten.mp3" TargetMode="External"/><Relationship Id="rId673" Type="http://schemas.openxmlformats.org/officeDocument/2006/relationships/hyperlink" Target="https://audio.iskcondesiretree.com/01_-_Srila_Prabhupada/01_-_Lectures/01_-_English/02_-_Month_wise/09_-_September/04/SB_1-02-05_NV_1972-09-04_This_Bhagavatam_Culture_is_etc.mp3" TargetMode="External"/><Relationship Id="rId672" Type="http://schemas.openxmlformats.org/officeDocument/2006/relationships/hyperlink" Target="https://audio.iskcondesiretree.com/01_-_Srila_Prabhupada/01_-_Lectures/01_-_English/01_-_Topic_wise/Srimad_Bhagavatam/Canto-01/SP_SB_1-02-05_New_Vrindavan_1972-09-04_This_Bhagavatam_Culture_is--etc.mp3" TargetMode="External"/><Relationship Id="rId5019" Type="http://schemas.openxmlformats.org/officeDocument/2006/relationships/hyperlink" Target="https://audio.iskcondesiretree.com/01_-_Srila_Prabhupada/01_-_Lectures/01_-_English/02_-_Month_wise/07_-_July/25/Lecture_1976-07-25_L3-LONDON.MP3" TargetMode="External"/><Relationship Id="rId5010" Type="http://schemas.openxmlformats.org/officeDocument/2006/relationships/hyperlink" Target="https://audio.iskcondesiretree.com/01_-_Srila_Prabhupada/01_-_Lectures/01_-_English/02_-_Month_wise/07_-_July/23/Cc_M_20-113_LON_1976-07-23_Inconceivable_but_Believable.mp3" TargetMode="External"/><Relationship Id="rId5013" Type="http://schemas.openxmlformats.org/officeDocument/2006/relationships/hyperlink" Target="https://audio.iskcondesiretree.com/01_-_Srila_Prabhupada/01_-_Lectures/01_-_English/02_-_Month_wise/07_-_July/23/Interview_1976-07-23_IV-LONDON.MP3" TargetMode="External"/><Relationship Id="rId5014" Type="http://schemas.openxmlformats.org/officeDocument/2006/relationships/hyperlink" Target="https://audio.iskcondesiretree.com/01_-_Srila_Prabhupada/01_-_Lectures/01_-_English/02_-_Month_wise/07_-_July/24/Conv_1976-07-24_R1-LONDON.MP3" TargetMode="External"/><Relationship Id="rId5011" Type="http://schemas.openxmlformats.org/officeDocument/2006/relationships/hyperlink" Target="https://audio.iskcondesiretree.com/01_-_Srila_Prabhupada/01_-_Lectures/01_-_English/02_-_Month_wise/07_-_July/23/CcMadhya-20-113_1976-07-23_CC-LONDON.MP3" TargetMode="External"/><Relationship Id="rId5012" Type="http://schemas.openxmlformats.org/officeDocument/2006/relationships/hyperlink" Target="https://audio.iskcondesiretree.com/01_-_Srila_Prabhupada/01_-_Lectures/01_-_English/02_-_Month_wise/07_-_July/23/Interv_LON_1976-07-23_Press-Lon._Observer_Sentiment_etc.mp3" TargetMode="External"/><Relationship Id="rId5017" Type="http://schemas.openxmlformats.org/officeDocument/2006/relationships/hyperlink" Target="https://audio.iskcondesiretree.com/01_-_Srila_Prabhupada/01_-_Lectures/01_-_English/02_-_Month_wise/07_-_July/25/Lecture_1976-07-25_L1-LONDON.MP3" TargetMode="External"/><Relationship Id="rId5018" Type="http://schemas.openxmlformats.org/officeDocument/2006/relationships/hyperlink" Target="https://audio.iskcondesiretree.com/01_-_Srila_Prabhupada/01_-_Lectures/01_-_English/02_-_Month_wise/07_-_July/25/Lecture_1976-07-25_L2-LONDON.MP3" TargetMode="External"/><Relationship Id="rId5015" Type="http://schemas.openxmlformats.org/officeDocument/2006/relationships/hyperlink" Target="https://audio.iskcondesiretree.com/01_-_Srila_Prabhupada/01_-_Lectures/01_-_English/01_-_Topic_wise/Bhagavad_Gita/Chapter-13/SP_BG_13-03_London_1976-07-25_Controllers--Junior_and_Senior.mp3" TargetMode="External"/><Relationship Id="rId5016" Type="http://schemas.openxmlformats.org/officeDocument/2006/relationships/hyperlink" Target="https://audio.iskcondesiretree.com/01_-_Srila_Prabhupada/01_-_Lectures/01_-_English/02_-_Month_wise/07_-_July/25/Bg_13-03_LON_1976-07-25_Controllers-Junior_and_Senior.mp3" TargetMode="External"/><Relationship Id="rId5008" Type="http://schemas.openxmlformats.org/officeDocument/2006/relationships/hyperlink" Target="https://audio.iskcondesiretree.com/01_-_Srila_Prabhupada/01_-_Lectures/01_-_English/01_-_Topic_wise/Chaitanya_Charitamrita/Madhya_Lila/SP_CC_M_20-113_London_1976-07-23_Inconceivable_but_Believable.mp3" TargetMode="External"/><Relationship Id="rId5009" Type="http://schemas.openxmlformats.org/officeDocument/2006/relationships/hyperlink" Target="https://audio.iskcondesiretree.com/01_-_Srila_Prabhupada/01_-_Lectures/01_-_English/01_-_Topic_wise/Interview/SP_Interview_London_1976-07-23_Press--Lon._Observer_Sentiment--etc.mp3" TargetMode="External"/><Relationship Id="rId5002" Type="http://schemas.openxmlformats.org/officeDocument/2006/relationships/hyperlink" Target="https://audio.iskcondesiretree.com/01_-_Srila_Prabhupada/01_-_Lectures/01_-_English/01_-_Topic_wise/Chaitanya_Charitamrita/Madhya_Lila/SP_CC_M_20-112_New_York_1976-07-20_Everywhere_His_Mystic_Potency.mp3" TargetMode="External"/><Relationship Id="rId5003" Type="http://schemas.openxmlformats.org/officeDocument/2006/relationships/hyperlink" Target="https://audio.iskcondesiretree.com/01_-_Srila_Prabhupada/01_-_Lectures/01_-_English/02_-_Month_wise/07_-_July/20/Cc_M_20-112_NY_1976-07-20_Everywhere_His_Mystic_Potency.mp3" TargetMode="External"/><Relationship Id="rId5000" Type="http://schemas.openxmlformats.org/officeDocument/2006/relationships/hyperlink" Target="https://audio.iskcondesiretree.com/01_-_Srila_Prabhupada/01_-_Lectures/01_-_English/02_-_Month_wise/07_-_July/19/Conv_1976-07-19_R1-NEW%20YORK.MP3" TargetMode="External"/><Relationship Id="rId5001" Type="http://schemas.openxmlformats.org/officeDocument/2006/relationships/hyperlink" Target="https://audio.iskcondesiretree.com/01_-_Srila_Prabhupada/01_-_Lectures/01_-_English/02_-_Month_wise/07_-_July/19/Conv_1976-07-19_R2-NEW%20YORK.MP3" TargetMode="External"/><Relationship Id="rId5006" Type="http://schemas.openxmlformats.org/officeDocument/2006/relationships/hyperlink" Target="https://audio.iskcondesiretree.com/01_-_Srila_Prabhupada/01_-_Lectures/01_-_English/02_-_Month_wise/07_-_July/20/Walk_1976-07-20_MW-NEW%20YORK.MP3" TargetMode="External"/><Relationship Id="rId5007" Type="http://schemas.openxmlformats.org/officeDocument/2006/relationships/hyperlink" Target="https://audio.iskcondesiretree.com/01_-_Srila_Prabhupada/01_-_Lectures/01_-_English/02_-_Month_wise/07_-_July/21/Conv_1976-07-21_CR-NEW%20YORK.MP3" TargetMode="External"/><Relationship Id="rId5004" Type="http://schemas.openxmlformats.org/officeDocument/2006/relationships/hyperlink" Target="https://audio.iskcondesiretree.com/01_-_Srila_Prabhupada/01_-_Lectures/01_-_English/02_-_Month_wise/07_-_July/20/CcMadhya-20-112_1976-07-20_CC-NEW%20YORK.MP3" TargetMode="External"/><Relationship Id="rId5005" Type="http://schemas.openxmlformats.org/officeDocument/2006/relationships/hyperlink" Target="https://audio.iskcondesiretree.com/01_-_Srila_Prabhupada/01_-_Lectures/01_-_English/02_-_Month_wise/07_-_July/20/Conv_1976-07-20_CR-NEW%20YORK.MP3" TargetMode="External"/><Relationship Id="rId5031" Type="http://schemas.openxmlformats.org/officeDocument/2006/relationships/hyperlink" Target="https://audio.iskcondesiretree.com/01_-_Srila_Prabhupada/01_-_Lectures/01_-_English/02_-_Month_wise/07_-_July/28/Arrival_1976-07-28_AR-PARIS.MP3" TargetMode="External"/><Relationship Id="rId5032" Type="http://schemas.openxmlformats.org/officeDocument/2006/relationships/hyperlink" Target="https://audio.iskcondesiretree.com/01_-_Srila_Prabhupada/01_-_Lectures/01_-_English/02_-_Month_wise/07_-_July/29/Arrival_1976-07-29_AR-NEW%20MAYAPUR.MP3" TargetMode="External"/><Relationship Id="rId5030" Type="http://schemas.openxmlformats.org/officeDocument/2006/relationships/hyperlink" Target="https://audio.iskcondesiretree.com/01_-_Srila_Prabhupada/01_-_Lectures/01_-_English/02_-_Month_wise/07_-_July/27/RC_LON_1976-07-27_A_Wrong_Civilization.mp3" TargetMode="External"/><Relationship Id="rId5035" Type="http://schemas.openxmlformats.org/officeDocument/2006/relationships/hyperlink" Target="https://audio.iskcondesiretree.com/01_-_Srila_Prabhupada/01_-_Lectures/01_-_English/02_-_Month_wise/07_-_July/31/Conv_1976-07-31_R1-NEW%20MAYAPUR.MP3" TargetMode="External"/><Relationship Id="rId5036" Type="http://schemas.openxmlformats.org/officeDocument/2006/relationships/hyperlink" Target="https://audio.iskcondesiretree.com/01_-_Srila_Prabhupada/01_-_Lectures/01_-_English/02_-_Month_wise/07_-_July/31/Conv_1976-07-31_R2-NEW%20MAYAPUR.MP3" TargetMode="External"/><Relationship Id="rId5033" Type="http://schemas.openxmlformats.org/officeDocument/2006/relationships/hyperlink" Target="https://audio.iskcondesiretree.com/01_-_Srila_Prabhupada/01_-_Lectures/01_-_English/01_-_Topic_wise/Room_Conversation/SP_Room_Conversation_Paris_1976-07-31_Vedic_Civilization_vs_None.mp3" TargetMode="External"/><Relationship Id="rId5034" Type="http://schemas.openxmlformats.org/officeDocument/2006/relationships/hyperlink" Target="https://audio.iskcondesiretree.com/01_-_Srila_Prabhupada/01_-_Lectures/01_-_English/02_-_Month_wise/07_-_July/31/Bg-10-08_1976-07-31_BG-NEW%20MAYAPUR.MP3" TargetMode="External"/><Relationship Id="rId5039" Type="http://schemas.openxmlformats.org/officeDocument/2006/relationships/hyperlink" Target="https://audio.iskcondesiretree.com/01_-_Srila_Prabhupada/01_-_Lectures/01_-_English/01_-_Topic_wise/Morning_Walk/SP_Morning_Walk_-_Paris_1976-08-02_Master%3DSlave.mp3" TargetMode="External"/><Relationship Id="rId5037" Type="http://schemas.openxmlformats.org/officeDocument/2006/relationships/hyperlink" Target="https://audio.iskcondesiretree.com/01_-_Srila_Prabhupada/01_-_Lectures/01_-_English/02_-_Month_wise/07_-_July/31/RC_PAR_1976-07-31_Vedic_Civilization_vs_None.mp3" TargetMode="External"/><Relationship Id="rId5038" Type="http://schemas.openxmlformats.org/officeDocument/2006/relationships/hyperlink" Target="https://audio.iskcondesiretree.com/01_-_Srila_Prabhupada/01_-_Lectures/01_-_English/02_-_Month_wise/07_-_July/31/Walk_1976-07-31_MW-NEW%20MAYAPUR.MP3" TargetMode="External"/><Relationship Id="rId5020" Type="http://schemas.openxmlformats.org/officeDocument/2006/relationships/hyperlink" Target="https://audio.iskcondesiretree.com/01_-_Srila_Prabhupada/01_-_Lectures/01_-_English/01_-_Topic_wise/Room_Conversation/SP_Room_Conversation_London_1976-07-26_The_Next_Life.mp3" TargetMode="External"/><Relationship Id="rId5021" Type="http://schemas.openxmlformats.org/officeDocument/2006/relationships/hyperlink" Target="https://audio.iskcondesiretree.com/01_-_Srila_Prabhupada/01_-_Lectures/01_-_English/02_-_Month_wise/07_-_July/26/Conv_1976-07-26_R1-LONDON.MP3" TargetMode="External"/><Relationship Id="rId5024" Type="http://schemas.openxmlformats.org/officeDocument/2006/relationships/hyperlink" Target="https://audio.iskcondesiretree.com/01_-_Srila_Prabhupada/01_-_Lectures/01_-_English/01_-_Topic_wise/Room_Conversation/SP_Room_Conversation_London_1976-07-27_A_Wrong_Civilization.mp3" TargetMode="External"/><Relationship Id="rId5025" Type="http://schemas.openxmlformats.org/officeDocument/2006/relationships/hyperlink" Target="https://audio.iskcondesiretree.com/01_-_Srila_Prabhupada/01_-_Lectures/01_-_English/01_-_Topic_wise/Various/SP_Lecture_London_1976-07-27_To_Indian_Community.mp3" TargetMode="External"/><Relationship Id="rId5022" Type="http://schemas.openxmlformats.org/officeDocument/2006/relationships/hyperlink" Target="https://audio.iskcondesiretree.com/01_-_Srila_Prabhupada/01_-_Lectures/01_-_English/02_-_Month_wise/07_-_July/26/Conv_1976-07-26_R2-LONDON.MP3" TargetMode="External"/><Relationship Id="rId5023" Type="http://schemas.openxmlformats.org/officeDocument/2006/relationships/hyperlink" Target="https://audio.iskcondesiretree.com/01_-_Srila_Prabhupada/01_-_Lectures/01_-_English/02_-_Month_wise/07_-_July/26/RC_LON_1976-07-26_The_Next_Life.mp3" TargetMode="External"/><Relationship Id="rId5028" Type="http://schemas.openxmlformats.org/officeDocument/2006/relationships/hyperlink" Target="https://audio.iskcondesiretree.com/01_-_Srila_Prabhupada/01_-_Lectures/01_-_English/02_-_Month_wise/07_-_July/27/Interview_1976-07-27_IV-LONDON.MP3" TargetMode="External"/><Relationship Id="rId5029" Type="http://schemas.openxmlformats.org/officeDocument/2006/relationships/hyperlink" Target="https://audio.iskcondesiretree.com/01_-_Srila_Prabhupada/01_-_Lectures/01_-_English/02_-_Month_wise/07_-_July/27/Lect_LON_1976-07-27_To_Indian_Community.mp3" TargetMode="External"/><Relationship Id="rId5026" Type="http://schemas.openxmlformats.org/officeDocument/2006/relationships/hyperlink" Target="https://audio.iskcondesiretree.com/01_-_Srila_Prabhupada/01_-_Lectures/01_-_English/02_-_Month_wise/07_-_July/27/Conv_1976-07-27_R1-LONDON.MP3" TargetMode="External"/><Relationship Id="rId5027" Type="http://schemas.openxmlformats.org/officeDocument/2006/relationships/hyperlink" Target="https://audio.iskcondesiretree.com/01_-_Srila_Prabhupada/01_-_Lectures/01_-_English/02_-_Month_wise/07_-_July/27/Conv%E2%80%93Hindi_1976-07-27_R2-LONDON.MP3" TargetMode="External"/><Relationship Id="rId2820" Type="http://schemas.openxmlformats.org/officeDocument/2006/relationships/hyperlink" Target="https://audio.iskcondesiretree.com/01_-_Srila_Prabhupada/01_-_Lectures/01_-_English/02_-_Month_wise/02_-_Feburary/19/RC_CAR_1975-02-19_Profs--A_Perfect_Master.mp3" TargetMode="External"/><Relationship Id="rId2821" Type="http://schemas.openxmlformats.org/officeDocument/2006/relationships/hyperlink" Target="https://audio.iskcondesiretree.com/01_-_Srila_Prabhupada/01_-_Lectures/01_-_English/02_-_Month_wise/02_-_Feburary/19/RC_CAR_1975-02-19_Profs--One_Perfect_Can_Teach_Thousands.mp3" TargetMode="External"/><Relationship Id="rId2822" Type="http://schemas.openxmlformats.org/officeDocument/2006/relationships/hyperlink" Target="https://audio.iskcondesiretree.com/01_-_Srila_Prabhupada/01_-_Lectures/01_-_English/01_-_Topic_wise/Srimad_Bhagavatam/Canto-01/SP_SB_1-01-01_Caracas_1975-02-20_Increasing_Your_Problems.mp3" TargetMode="External"/><Relationship Id="rId2823" Type="http://schemas.openxmlformats.org/officeDocument/2006/relationships/hyperlink" Target="https://audio.iskcondesiretree.com/01_-_Srila_Prabhupada/01_-_Lectures/01_-_English/02_-_Month_wise/02_-_Feburary/20/SB-01-01-01_1975-02-20_SB-CARACAS.MP3" TargetMode="External"/><Relationship Id="rId2824" Type="http://schemas.openxmlformats.org/officeDocument/2006/relationships/hyperlink" Target="https://audio.iskcondesiretree.com/01_-_Srila_Prabhupada/01_-_Lectures/01_-_English/02_-_Month_wise/02_-_Feburary/20/SB_1-01-01_CAR_1975-02-20_Increasing_Your_Problems.mp3" TargetMode="External"/><Relationship Id="rId2825" Type="http://schemas.openxmlformats.org/officeDocument/2006/relationships/hyperlink" Target="https://audio.iskcondesiretree.com/01_-_Srila_Prabhupada/01_-_Lectures/01_-_English/01_-_Topic_wise/Morning_Walk/SP_Morning_Walk_-_Caracas_1975-02-21_Philosophy_Is_Philosophy.mp3" TargetMode="External"/><Relationship Id="rId2826" Type="http://schemas.openxmlformats.org/officeDocument/2006/relationships/hyperlink" Target="https://audio.iskcondesiretree.com/01_-_Srila_Prabhupada/01_-_Lectures/01_-_English/01_-_Topic_wise/Room_Conversation/SP_Room_Conversation_Caracas_1975-02-21_Metaphysics_Society--Atma_and_Super-Atma.mp3" TargetMode="External"/><Relationship Id="rId2827" Type="http://schemas.openxmlformats.org/officeDocument/2006/relationships/hyperlink" Target="https://audio.iskcondesiretree.com/01_-_Srila_Prabhupada/01_-_Lectures/01_-_English/01_-_Topic_wise/Srimad_Bhagavatam/Canto-01/SP_SB_1-01-01_Caracas_1975-02-21_The_Caracas_Is_Ford-But_Ford_Is--etc.mp3" TargetMode="External"/><Relationship Id="rId2828" Type="http://schemas.openxmlformats.org/officeDocument/2006/relationships/hyperlink" Target="https://audio.iskcondesiretree.com/01_-_Srila_Prabhupada/01_-_Lectures/01_-_English/02_-_Month_wise/02_-_Feburary/21/Conv_1975-02-21_R1-CARACAS.MP3" TargetMode="External"/><Relationship Id="rId2829" Type="http://schemas.openxmlformats.org/officeDocument/2006/relationships/hyperlink" Target="https://audio.iskcondesiretree.com/01_-_Srila_Prabhupada/01_-_Lectures/01_-_English/02_-_Month_wise/02_-_Feburary/21/MW_CAR_1975-02-21_Philosophy_Is_Philosophy.mp3" TargetMode="External"/><Relationship Id="rId5093" Type="http://schemas.openxmlformats.org/officeDocument/2006/relationships/hyperlink" Target="https://audio.iskcondesiretree.com/01_-_Srila_Prabhupada/01_-_Lectures/01_-_English/02_-_Month_wise/08_-_August/11/Walk_1976-08-11_MW-TEHRAN.MP3" TargetMode="External"/><Relationship Id="rId5094" Type="http://schemas.openxmlformats.org/officeDocument/2006/relationships/hyperlink" Target="https://audio.iskcondesiretree.com/01_-_Srila_Prabhupada/01_-_Lectures/01_-_English/01_-_Topic_wise/Room_Conversation/SP_Room_Conversation_Tehran_1976-08-12_God_Is_Great-How_Great.mp3" TargetMode="External"/><Relationship Id="rId5091" Type="http://schemas.openxmlformats.org/officeDocument/2006/relationships/hyperlink" Target="https://audio.iskcondesiretree.com/01_-_Srila_Prabhupada/01_-_Lectures/01_-_English/02_-_Month_wise/08_-_August/11/Darshan_1976-08-11_ED-TEHRAN.MP3" TargetMode="External"/><Relationship Id="rId5092" Type="http://schemas.openxmlformats.org/officeDocument/2006/relationships/hyperlink" Target="https://audio.iskcondesiretree.com/01_-_Srila_Prabhupada/01_-_Lectures/01_-_English/02_-_Month_wise/08_-_August/11/RC_TEH_1976-08-11_Progress_Means_Problems.mp3" TargetMode="External"/><Relationship Id="rId5097" Type="http://schemas.openxmlformats.org/officeDocument/2006/relationships/hyperlink" Target="https://audio.iskcondesiretree.com/01_-_Srila_Prabhupada/01_-_Lectures/01_-_English/02_-_Month_wise/08_-_August/12/Conv_1976-08-12_R3-TEHRAN.MP3" TargetMode="External"/><Relationship Id="rId5098" Type="http://schemas.openxmlformats.org/officeDocument/2006/relationships/hyperlink" Target="https://audio.iskcondesiretree.com/01_-_Srila_Prabhupada/01_-_Lectures/01_-_English/02_-_Month_wise/08_-_August/12/Conv_1976-08-12_R4-TEHRAN.MP3" TargetMode="External"/><Relationship Id="rId5095" Type="http://schemas.openxmlformats.org/officeDocument/2006/relationships/hyperlink" Target="https://audio.iskcondesiretree.com/01_-_Srila_Prabhupada/01_-_Lectures/01_-_English/02_-_Month_wise/08_-_August/12/Conv_1976-08-12_R1-TEHRAN.MP3" TargetMode="External"/><Relationship Id="rId5096" Type="http://schemas.openxmlformats.org/officeDocument/2006/relationships/hyperlink" Target="https://audio.iskcondesiretree.com/01_-_Srila_Prabhupada/01_-_Lectures/01_-_English/02_-_Month_wise/08_-_August/12/Conv_1976-08-12_R2-TEHRAN.MP3" TargetMode="External"/><Relationship Id="rId5099" Type="http://schemas.openxmlformats.org/officeDocument/2006/relationships/hyperlink" Target="https://audio.iskcondesiretree.com/01_-_Srila_Prabhupada/01_-_Lectures/01_-_English/02_-_Month_wise/08_-_August/12/Darshan_1976-08-12_ED-TEHRAN.MP3" TargetMode="External"/><Relationship Id="rId2810" Type="http://schemas.openxmlformats.org/officeDocument/2006/relationships/hyperlink" Target="https://audio.iskcondesiretree.com/01_-_Srila_Prabhupada/01_-_Lectures/01_-_English/02_-_Month_wise/02_-_Feburary/16/Bg-02-16_1975-02-16_BG-MEXICO%20CITY.MP3" TargetMode="External"/><Relationship Id="rId2811" Type="http://schemas.openxmlformats.org/officeDocument/2006/relationships/hyperlink" Target="https://audio.iskcondesiretree.com/01_-_Srila_Prabhupada/01_-_Lectures/01_-_English/02_-_Month_wise/02_-_Feburary/16/Bg_02-16_MEX_City_1975-02-16_Any_Understanding_of_God.mp3" TargetMode="External"/><Relationship Id="rId2812" Type="http://schemas.openxmlformats.org/officeDocument/2006/relationships/hyperlink" Target="https://audio.iskcondesiretree.com/01_-_Srila_Prabhupada/01_-_Lectures/01_-_English/01_-_Topic_wise/Bhagavad_Gita/Chapter-02/SP_BG_02-17_Mexico_City_1975-02-17_Don%27t_Increase_the_Disease.mp3" TargetMode="External"/><Relationship Id="rId2813" Type="http://schemas.openxmlformats.org/officeDocument/2006/relationships/hyperlink" Target="https://audio.iskcondesiretree.com/01_-_Srila_Prabhupada/01_-_Lectures/01_-_English/02_-_Month_wise/02_-_Feburary/17/Bg-02-17_1975-02-17_BG-MEXICO%20CITY.MP3" TargetMode="External"/><Relationship Id="rId2814" Type="http://schemas.openxmlformats.org/officeDocument/2006/relationships/hyperlink" Target="https://audio.iskcondesiretree.com/01_-_Srila_Prabhupada/01_-_Lectures/01_-_English/02_-_Month_wise/02_-_Feburary/17/Bg_02-17_MEX_City_1975-02-17_Don%27t_Increase_the_Disease.mp3" TargetMode="External"/><Relationship Id="rId2815" Type="http://schemas.openxmlformats.org/officeDocument/2006/relationships/hyperlink" Target="https://audio.iskcondesiretree.com/01_-_Srila_Prabhupada/01_-_Lectures/01_-_English/01_-_Topic_wise/Departure_Address/SP_Departure_Address_1975-02-18_Mexico_City_Spanish_Translator.MP3" TargetMode="External"/><Relationship Id="rId2816" Type="http://schemas.openxmlformats.org/officeDocument/2006/relationships/hyperlink" Target="https://audio.iskcondesiretree.com/01_-_Srila_Prabhupada/01_-_Lectures/01_-_English/02_-_Month_wise/02_-_Feburary/18/Departure_1975-02-18_DP-MEXICO%20CITY.MP3" TargetMode="External"/><Relationship Id="rId2817" Type="http://schemas.openxmlformats.org/officeDocument/2006/relationships/hyperlink" Target="https://audio.iskcondesiretree.com/01_-_Srila_Prabhupada/01_-_Lectures/01_-_English/01_-_Topic_wise/Room_Conversation/SP_Room_Conversation_Caracas_1975-02-19_Profs--A_Perfect_Master.mp3" TargetMode="External"/><Relationship Id="rId2818" Type="http://schemas.openxmlformats.org/officeDocument/2006/relationships/hyperlink" Target="https://audio.iskcondesiretree.com/01_-_Srila_Prabhupada/01_-_Lectures/01_-_English/01_-_Topic_wise/Room_Conversation/SP_Room_Conversation_Caracas_1975-02-19_Profs--One_Perfect_Can_Teach_Thousands.mp3" TargetMode="External"/><Relationship Id="rId2819" Type="http://schemas.openxmlformats.org/officeDocument/2006/relationships/hyperlink" Target="https://audio.iskcondesiretree.com/01_-_Srila_Prabhupada/01_-_Lectures/01_-_English/02_-_Month_wise/02_-_Feburary/19/Conv_1975-02-19_R1-CARACAS.MP3" TargetMode="External"/><Relationship Id="rId5090" Type="http://schemas.openxmlformats.org/officeDocument/2006/relationships/hyperlink" Target="https://audio.iskcondesiretree.com/01_-_Srila_Prabhupada/01_-_Lectures/01_-_English/02_-_Month_wise/08_-_August/11/Conv_1976-08-11_R1-TEHRAN.MP3" TargetMode="External"/><Relationship Id="rId5082" Type="http://schemas.openxmlformats.org/officeDocument/2006/relationships/hyperlink" Target="https://audio.iskcondesiretree.com/01_-_Srila_Prabhupada/01_-_Lectures/01_-_English/01_-_Topic_wise/Room_Conversation/SP_Room_Conversation_Tehran_1976-08-10_Freedom_to_Satisfy_Krishna.mp3" TargetMode="External"/><Relationship Id="rId5083" Type="http://schemas.openxmlformats.org/officeDocument/2006/relationships/hyperlink" Target="https://audio.iskcondesiretree.com/01_-_Srila_Prabhupada/01_-_Lectures/01_-_English/01_-_Topic_wise/Room_Conversation/SP_Room_Conversation_Tehran_1976-08-10_Small_Can_Fall-Wise_Can_Rise.mp3" TargetMode="External"/><Relationship Id="rId5080" Type="http://schemas.openxmlformats.org/officeDocument/2006/relationships/hyperlink" Target="https://audio.iskcondesiretree.com/01_-_Srila_Prabhupada/01_-_Lectures/01_-_English/02_-_Month_wise/08_-_August/09/RC_TEH_1976-08-09_The_Good_of_Humanity.mp3" TargetMode="External"/><Relationship Id="rId5081" Type="http://schemas.openxmlformats.org/officeDocument/2006/relationships/hyperlink" Target="https://audio.iskcondesiretree.com/01_-_Srila_Prabhupada/01_-_Lectures/01_-_English/02_-_Month_wise/08_-_August/09/SB-03-22-20_1976-08-09_SB-TEHRAN.MP3" TargetMode="External"/><Relationship Id="rId5086" Type="http://schemas.openxmlformats.org/officeDocument/2006/relationships/hyperlink" Target="https://audio.iskcondesiretree.com/01_-_Srila_Prabhupada/01_-_Lectures/01_-_English/02_-_Month_wise/08_-_August/10/RC_TEH_1976-08-10_Freedom_to_Satisfy_Krishna.mp3" TargetMode="External"/><Relationship Id="rId5087" Type="http://schemas.openxmlformats.org/officeDocument/2006/relationships/hyperlink" Target="https://audio.iskcondesiretree.com/01_-_Srila_Prabhupada/01_-_Lectures/01_-_English/02_-_Month_wise/08_-_August/10/RC_TEH_1976-08-10_Small_Can_Fall-Wise_Can_Rise.mp3" TargetMode="External"/><Relationship Id="rId5084" Type="http://schemas.openxmlformats.org/officeDocument/2006/relationships/hyperlink" Target="https://audio.iskcondesiretree.com/01_-_Srila_Prabhupada/01_-_Lectures/01_-_English/02_-_Month_wise/08_-_August/10/Conv_1976-08-10_R1-TEHRAN.MP3" TargetMode="External"/><Relationship Id="rId5085" Type="http://schemas.openxmlformats.org/officeDocument/2006/relationships/hyperlink" Target="https://audio.iskcondesiretree.com/01_-_Srila_Prabhupada/01_-_Lectures/01_-_English/02_-_Month_wise/08_-_August/10/Darshan_1976-08-10_ED-TEHRAN.MP3" TargetMode="External"/><Relationship Id="rId5088" Type="http://schemas.openxmlformats.org/officeDocument/2006/relationships/hyperlink" Target="https://audio.iskcondesiretree.com/01_-_Srila_Prabhupada/01_-_Lectures/01_-_English/02_-_Month_wise/08_-_August/10/SB-03-22-21_1976-08-10_SB-TEHRAN.MP3" TargetMode="External"/><Relationship Id="rId5089" Type="http://schemas.openxmlformats.org/officeDocument/2006/relationships/hyperlink" Target="https://audio.iskcondesiretree.com/01_-_Srila_Prabhupada/01_-_Lectures/01_-_English/01_-_Topic_wise/Room_Conversation/SP_Room_Conversation_Tehran_1976-08-11_Progress_Means_Problems.mp3" TargetMode="External"/><Relationship Id="rId1510" Type="http://schemas.openxmlformats.org/officeDocument/2006/relationships/hyperlink" Target="https://audio.iskcondesiretree.com/01_-_Srila_Prabhupada/01_-_Lectures/01_-_English/02_-_Month_wise/01_-_January/10/MW_LA_1974-01-10_Good_and_Not-so-good_Brains.mp3" TargetMode="External"/><Relationship Id="rId2841" Type="http://schemas.openxmlformats.org/officeDocument/2006/relationships/hyperlink" Target="https://audio.iskcondesiretree.com/01_-_Srila_Prabhupada/01_-_Lectures/01_-_English/01_-_Topic_wise/Srimad_Bhagavatam/Canto-01/SP_SB_1-01-02_Caracas_1975-02-23_You_Are_Always_Dependent_on--etc.mp3" TargetMode="External"/><Relationship Id="rId1511" Type="http://schemas.openxmlformats.org/officeDocument/2006/relationships/hyperlink" Target="https://audio.iskcondesiretree.com/01_-_Srila_Prabhupada/01_-_Lectures/01_-_English/02_-_Month_wise/01_-_January/10/SB-01-16-13%E2%80%9315_1974-01-10_SB-LOS_ANGELES.MP3" TargetMode="External"/><Relationship Id="rId2842" Type="http://schemas.openxmlformats.org/officeDocument/2006/relationships/hyperlink" Target="https://audio.iskcondesiretree.com/01_-_Srila_Prabhupada/01_-_Lectures/01_-_English/02_-_Month_wise/02_-_Feburary/23/SB-01-01-02_1975-02-23_SB-CARACAS.MP3" TargetMode="External"/><Relationship Id="rId1512" Type="http://schemas.openxmlformats.org/officeDocument/2006/relationships/hyperlink" Target="https://audio.iskcondesiretree.com/01_-_Srila_Prabhupada/01_-_Lectures/01_-_English/02_-_Month_wise/01_-_January/10/SB_1-16-13_LA_1974-01-10_Mischievous_and_Magnanimous.mp3" TargetMode="External"/><Relationship Id="rId2843" Type="http://schemas.openxmlformats.org/officeDocument/2006/relationships/hyperlink" Target="https://audio.iskcondesiretree.com/01_-_Srila_Prabhupada/01_-_Lectures/01_-_English/02_-_Month_wise/02_-_Feburary/23/SB_1-01-02_CAR_1975-02-23_You_Are_Always_Dependent_on_etc.mp3" TargetMode="External"/><Relationship Id="rId1513" Type="http://schemas.openxmlformats.org/officeDocument/2006/relationships/hyperlink" Target="https://audio.iskcondesiretree.com/01_-_Srila_Prabhupada/01_-_Lectures/01_-_English/02_-_Month_wise/01_-_January/10/Walk_1974-01-10_MW-LOS_ANGELES.MP3" TargetMode="External"/><Relationship Id="rId2844" Type="http://schemas.openxmlformats.org/officeDocument/2006/relationships/hyperlink" Target="https://audio.iskcondesiretree.com/01_-_Srila_Prabhupada/01_-_Lectures/01_-_English/02_-_Month_wise/02_-_Feburary/23/Walk_1975-02-23_MW-CARACAS.MP3" TargetMode="External"/><Relationship Id="rId1514" Type="http://schemas.openxmlformats.org/officeDocument/2006/relationships/hyperlink" Target="https://audio.iskcondesiretree.com/01_-_Srila_Prabhupada/01_-_Lectures/01_-_English/01_-_Topic_wise/Morning_Walk/SP_Morning_Walk_-_Los_Angeles_1974-01-11.mp3" TargetMode="External"/><Relationship Id="rId2845" Type="http://schemas.openxmlformats.org/officeDocument/2006/relationships/hyperlink" Target="https://audio.iskcondesiretree.com/01_-_Srila_Prabhupada/01_-_Lectures/01_-_English/01_-_Topic_wise/Srimad_Bhagavatam/Canto-01/SP_SB_1-01-03_Caracas_1975-02-24_There_is_New_Orleans_Religion_Except--etc.mp3" TargetMode="External"/><Relationship Id="rId1515" Type="http://schemas.openxmlformats.org/officeDocument/2006/relationships/hyperlink" Target="https://audio.iskcondesiretree.com/01_-_Srila_Prabhupada/01_-_Lectures/01_-_English/01_-_Topic_wise/Srimad_Bhagavatam/Canto-01/SP_SB_1-16-16_Los_Angeles_1974-01-11_Respects-Who_Will_Chastise.mp3" TargetMode="External"/><Relationship Id="rId2846" Type="http://schemas.openxmlformats.org/officeDocument/2006/relationships/hyperlink" Target="https://audio.iskcondesiretree.com/01_-_Srila_Prabhupada/01_-_Lectures/01_-_English/02_-_Month_wise/02_-_Feburary/24/SB-01-01-03_1975-02-24_SB-CARACAS.MP3" TargetMode="External"/><Relationship Id="rId1516" Type="http://schemas.openxmlformats.org/officeDocument/2006/relationships/hyperlink" Target="https://audio.iskcondesiretree.com/01_-_Srila_Prabhupada/01_-_Lectures/01_-_English/02_-_Month_wise/01_-_January/11/SB-01-16-16_1974-01-11_SB-LOS_ANGELES.MP3" TargetMode="External"/><Relationship Id="rId2847" Type="http://schemas.openxmlformats.org/officeDocument/2006/relationships/hyperlink" Target="https://audio.iskcondesiretree.com/01_-_Srila_Prabhupada/01_-_Lectures/01_-_English/02_-_Month_wise/02_-_Feburary/24/SB_1-01-03_CAR_1975-02-24_There_is_No_Religion_Except_etc.mp3" TargetMode="External"/><Relationship Id="rId1517" Type="http://schemas.openxmlformats.org/officeDocument/2006/relationships/hyperlink" Target="https://audio.iskcondesiretree.com/01_-_Srila_Prabhupada/01_-_Lectures/01_-_English/02_-_Month_wise/01_-_January/11/SB_1-16-16_LA_1974-01-11_Respects-Who_Will_Chastise.mp3" TargetMode="External"/><Relationship Id="rId2848" Type="http://schemas.openxmlformats.org/officeDocument/2006/relationships/hyperlink" Target="https://audio.iskcondesiretree.com/01_-_Srila_Prabhupada/01_-_Lectures/01_-_English/01_-_Topic_wise/Arrival_Address/SP_Arrival_Miami_1975-02-25_Real_Success_is_to_Get_Out_of_the--etc.mp3" TargetMode="External"/><Relationship Id="rId1518" Type="http://schemas.openxmlformats.org/officeDocument/2006/relationships/hyperlink" Target="https://audio.iskcondesiretree.com/01_-_Srila_Prabhupada/01_-_Lectures/01_-_English/02_-_Month_wise/01_-_January/11/Walk_1974-01-11_MW-LOS_ANGELES.MP3" TargetMode="External"/><Relationship Id="rId2849" Type="http://schemas.openxmlformats.org/officeDocument/2006/relationships/hyperlink" Target="https://audio.iskcondesiretree.com/01_-_Srila_Prabhupada/01_-_Lectures/01_-_English/01_-_Topic_wise/Bhagavad_Gita/Chapter-13/SP_BG_13-01-02_Miami_1975-02-25_Technical_Education--etc.MP3" TargetMode="External"/><Relationship Id="rId1519" Type="http://schemas.openxmlformats.org/officeDocument/2006/relationships/hyperlink" Target="https://audio.iskcondesiretree.com/01_-_Srila_Prabhupada/01_-_Lectures/01_-_English/01_-_Topic_wise/Morning_Walk/SP_Morning_Walk_-_Los_Angeles_1974-01-12.mp3" TargetMode="External"/><Relationship Id="rId2840" Type="http://schemas.openxmlformats.org/officeDocument/2006/relationships/hyperlink" Target="https://audio.iskcondesiretree.com/01_-_Srila_Prabhupada/01_-_Lectures/04_-_Translation/Portuguese/More/SP_Various_-_Conversation_-_1975-02-22_Caracas.mp3" TargetMode="External"/><Relationship Id="rId2830" Type="http://schemas.openxmlformats.org/officeDocument/2006/relationships/hyperlink" Target="https://audio.iskcondesiretree.com/01_-_Srila_Prabhupada/01_-_Lectures/01_-_English/02_-_Month_wise/02_-_Feburary/21/RC_CAR_1975-02-21_Metaphysics_Society--Atma_and_Super-Atma.mp3" TargetMode="External"/><Relationship Id="rId1500" Type="http://schemas.openxmlformats.org/officeDocument/2006/relationships/hyperlink" Target="https://audio.iskcondesiretree.com/01_-_Srila_Prabhupada/01_-_Lectures/01_-_English/02_-_Month_wise/01_-_January/08/Walk_1974-01-08_MW-LOS_ANGELES.MP3" TargetMode="External"/><Relationship Id="rId2831" Type="http://schemas.openxmlformats.org/officeDocument/2006/relationships/hyperlink" Target="https://audio.iskcondesiretree.com/01_-_Srila_Prabhupada/01_-_Lectures/01_-_English/02_-_Month_wise/02_-_Feburary/21/SB-01-01-01_1975-02-21_SB-CARACAS.MP3" TargetMode="External"/><Relationship Id="rId1501" Type="http://schemas.openxmlformats.org/officeDocument/2006/relationships/hyperlink" Target="https://audio.iskcondesiretree.com/01_-_Srila_Prabhupada/01_-_Lectures/01_-_English/01_-_Topic_wise/Morning_Walk/SP_Morning_Walk_-_Los_Angeles_1974-01-09_The_Night-and-Day_Dream.mp3" TargetMode="External"/><Relationship Id="rId2832" Type="http://schemas.openxmlformats.org/officeDocument/2006/relationships/hyperlink" Target="https://audio.iskcondesiretree.com/01_-_Srila_Prabhupada/01_-_Lectures/01_-_English/02_-_Month_wise/02_-_Feburary/21/SB_1-01-01_CAR_1975-02-21_The_Car_Is_Ford-But_Ford_Is_.mp3" TargetMode="External"/><Relationship Id="rId1502" Type="http://schemas.openxmlformats.org/officeDocument/2006/relationships/hyperlink" Target="https://audio.iskcondesiretree.com/01_-_Srila_Prabhupada/01_-_Lectures/01_-_English/01_-_Topic_wise/Srimad_Bhagavatam/Canto-01/SP_SB_1-16-12_Los_Angeles_1974-01-09_Rogues_and_Rascals_Cause_War.mp3" TargetMode="External"/><Relationship Id="rId2833" Type="http://schemas.openxmlformats.org/officeDocument/2006/relationships/hyperlink" Target="https://audio.iskcondesiretree.com/01_-_Srila_Prabhupada/01_-_Lectures/01_-_English/02_-_Month_wise/02_-_Feburary/21/Walk_1975-02-21_MW-CARACAS.MP3" TargetMode="External"/><Relationship Id="rId1503" Type="http://schemas.openxmlformats.org/officeDocument/2006/relationships/hyperlink" Target="https://audio.iskcondesiretree.com/01_-_Srila_Prabhupada/01_-_Lectures/01_-_English/02_-_Month_wise/01_-_January/09/MW_LA_1974-01-09_The_Night-and-Day_Dream.mp3" TargetMode="External"/><Relationship Id="rId2834" Type="http://schemas.openxmlformats.org/officeDocument/2006/relationships/hyperlink" Target="https://audio.iskcondesiretree.com/01_-_Srila_Prabhupada/01_-_Lectures/01_-_English/01_-_Topic_wise/Room_Conversation/SP_Room_Conversation_Caracas_1975-02-22_Psychiatrist--If_the_Driver_Is_Defective.mp3" TargetMode="External"/><Relationship Id="rId1504" Type="http://schemas.openxmlformats.org/officeDocument/2006/relationships/hyperlink" Target="https://audio.iskcondesiretree.com/01_-_Srila_Prabhupada/01_-_Lectures/01_-_English/02_-_Month_wise/01_-_January/09/SB-01-16-12_1974-01-09_SB-LOS_ANGELES.MP3" TargetMode="External"/><Relationship Id="rId2835" Type="http://schemas.openxmlformats.org/officeDocument/2006/relationships/hyperlink" Target="https://audio.iskcondesiretree.com/01_-_Srila_Prabhupada/01_-_Lectures/01_-_English/01_-_Topic_wise/Various/SP_Lecture_Caracas_1975-02-22_Initiation--Who_Can_Conquer_God.mp3" TargetMode="External"/><Relationship Id="rId1505" Type="http://schemas.openxmlformats.org/officeDocument/2006/relationships/hyperlink" Target="https://audio.iskcondesiretree.com/01_-_Srila_Prabhupada/01_-_Lectures/01_-_English/02_-_Month_wise/01_-_January/09/SB_1-16-12_LA_1974-01-09_Rogues_and_Rascals_Cause_War.mp3" TargetMode="External"/><Relationship Id="rId2836" Type="http://schemas.openxmlformats.org/officeDocument/2006/relationships/hyperlink" Target="https://audio.iskcondesiretree.com/01_-_Srila_Prabhupada/01_-_Lectures/01_-_English/02_-_Month_wise/02_-_Feburary/22/Conv_1975-02-22_R1-CARACAS.MP3" TargetMode="External"/><Relationship Id="rId1506" Type="http://schemas.openxmlformats.org/officeDocument/2006/relationships/hyperlink" Target="https://audio.iskcondesiretree.com/01_-_Srila_Prabhupada/01_-_Lectures/01_-_English/02_-_Month_wise/01_-_January/09/Walk_1974-01-09_MW-LOS_ANGELES.MP3" TargetMode="External"/><Relationship Id="rId2837" Type="http://schemas.openxmlformats.org/officeDocument/2006/relationships/hyperlink" Target="https://audio.iskcondesiretree.com/01_-_Srila_Prabhupada/01_-_Lectures/01_-_English/02_-_Month_wise/02_-_Feburary/22/Initiations_1975-02-22_IN-CARACAS.MP3" TargetMode="External"/><Relationship Id="rId1507" Type="http://schemas.openxmlformats.org/officeDocument/2006/relationships/hyperlink" Target="https://audio.iskcondesiretree.com/01_-_Srila_Prabhupada/01_-_Lectures/01_-_English/01_-_Topic_wise/Morning_Walk/SP_Morning_Walk_-_Los_Angeles_1974-01-10_Good_and_Not-so-good_Brains.mp3" TargetMode="External"/><Relationship Id="rId2838" Type="http://schemas.openxmlformats.org/officeDocument/2006/relationships/hyperlink" Target="https://audio.iskcondesiretree.com/01_-_Srila_Prabhupada/01_-_Lectures/01_-_English/02_-_Month_wise/02_-_Feburary/22/Lect_CAR_1975-02-22_Initiation--Who_Can_Conquer_God.mp3" TargetMode="External"/><Relationship Id="rId1508" Type="http://schemas.openxmlformats.org/officeDocument/2006/relationships/hyperlink" Target="https://audio.iskcondesiretree.com/01_-_Srila_Prabhupada/01_-_Lectures/01_-_English/01_-_Topic_wise/Srimad_Bhagavatam/Canto-01/SP_SB_1-16-13_Los_Angeles_1974-01-10_Mischievous_and_Magnanimous.mp3" TargetMode="External"/><Relationship Id="rId2839" Type="http://schemas.openxmlformats.org/officeDocument/2006/relationships/hyperlink" Target="https://audio.iskcondesiretree.com/01_-_Srila_Prabhupada/01_-_Lectures/01_-_English/02_-_Month_wise/02_-_Feburary/22/RC_CAR_1975-02-22_Psychiatrist--If_the_Driver_Is_Defective.mp3" TargetMode="External"/><Relationship Id="rId1509" Type="http://schemas.openxmlformats.org/officeDocument/2006/relationships/hyperlink" Target="https://audio.iskcondesiretree.com/01_-_Srila_Prabhupada/01_-_Lectures/01_-_English/02_-_Month_wise/01_-_January/10/Initiations_1974-01-10_IN-LOS_ANGELES.MP3" TargetMode="External"/><Relationship Id="rId5050" Type="http://schemas.openxmlformats.org/officeDocument/2006/relationships/hyperlink" Target="https://audio.iskcondesiretree.com/01_-_Srila_Prabhupada/01_-_Lectures/01_-_English/01_-_Topic_wise/Bhagavad_Gita/Chapter-09/SP_BG_09-34_Paris_1976-08-03_Real_Love_of_Self.mp3" TargetMode="External"/><Relationship Id="rId5053" Type="http://schemas.openxmlformats.org/officeDocument/2006/relationships/hyperlink" Target="https://audio.iskcondesiretree.com/01_-_Srila_Prabhupada/01_-_Lectures/01_-_English/02_-_Month_wise/08_-_August/03/Bg-09-34_1976-08-03_BG-NEW%20MAYAPUR.MP3" TargetMode="External"/><Relationship Id="rId5054" Type="http://schemas.openxmlformats.org/officeDocument/2006/relationships/hyperlink" Target="https://audio.iskcondesiretree.com/01_-_Srila_Prabhupada/01_-_Lectures/01_-_English/02_-_Month_wise/08_-_August/03/Bg_09-34_PAR_1976-08-03_Real_Love_of_Self.mp3" TargetMode="External"/><Relationship Id="rId5051" Type="http://schemas.openxmlformats.org/officeDocument/2006/relationships/hyperlink" Target="https://audio.iskcondesiretree.com/01_-_Srila_Prabhupada/01_-_Lectures/01_-_English/01_-_Topic_wise/Room_Conversation/SP_Room_Conversation_New_Mayapur_1976-08-03_Prodigal_Sons_and_Silly_Jackals.mp3" TargetMode="External"/><Relationship Id="rId5052" Type="http://schemas.openxmlformats.org/officeDocument/2006/relationships/hyperlink" Target="https://audio.iskcondesiretree.com/01_-_Srila_Prabhupada/01_-_Lectures/01_-_English/01_-_Topic_wise/Room_Conversation/SP_Room_Conversation_Paris_1976-08-03_Satisfaction_Without_Science_Sex--etc.mp3" TargetMode="External"/><Relationship Id="rId5057" Type="http://schemas.openxmlformats.org/officeDocument/2006/relationships/hyperlink" Target="https://audio.iskcondesiretree.com/01_-_Srila_Prabhupada/01_-_Lectures/01_-_English/02_-_Month_wise/08_-_August/03/Conv_1976-08-03_R3-NEW%20MAYAPUR.MP3" TargetMode="External"/><Relationship Id="rId5058" Type="http://schemas.openxmlformats.org/officeDocument/2006/relationships/hyperlink" Target="https://audio.iskcondesiretree.com/01_-_Srila_Prabhupada/01_-_Lectures/01_-_English/02_-_Month_wise/08_-_August/03/RC_NM_1976-08-03_Prodigal_Sons_and_Silly_Jackals.mp3" TargetMode="External"/><Relationship Id="rId5055" Type="http://schemas.openxmlformats.org/officeDocument/2006/relationships/hyperlink" Target="https://audio.iskcondesiretree.com/01_-_Srila_Prabhupada/01_-_Lectures/01_-_English/02_-_Month_wise/08_-_August/03/Conv_1976-08-03_R1-NEW%20MAYAPUR.MP3" TargetMode="External"/><Relationship Id="rId5056" Type="http://schemas.openxmlformats.org/officeDocument/2006/relationships/hyperlink" Target="https://audio.iskcondesiretree.com/01_-_Srila_Prabhupada/01_-_Lectures/01_-_English/02_-_Month_wise/08_-_August/03/Conv_1976-08-03_R2-NEW%20MAYAPUR.MP3" TargetMode="External"/><Relationship Id="rId5059" Type="http://schemas.openxmlformats.org/officeDocument/2006/relationships/hyperlink" Target="https://audio.iskcondesiretree.com/01_-_Srila_Prabhupada/01_-_Lectures/01_-_English/02_-_Month_wise/08_-_August/03/RC_PAR_1976-08-03_Satisfaction_Without_Science_Sex_etc.mp3" TargetMode="External"/><Relationship Id="rId5042" Type="http://schemas.openxmlformats.org/officeDocument/2006/relationships/hyperlink" Target="https://audio.iskcondesiretree.com/01_-_Srila_Prabhupada/01_-_Lectures/01_-_English/02_-_Month_wise/08_-_August/02/Conv_1976-08-02_R1-NEW%20MAYAPUR.MP3" TargetMode="External"/><Relationship Id="rId5043" Type="http://schemas.openxmlformats.org/officeDocument/2006/relationships/hyperlink" Target="https://audio.iskcondesiretree.com/01_-_Srila_Prabhupada/01_-_Lectures/01_-_English/02_-_Month_wise/08_-_August/02/Conv_1976-08-02_R2-NEW%20MAYAPUR.MP3" TargetMode="External"/><Relationship Id="rId5040" Type="http://schemas.openxmlformats.org/officeDocument/2006/relationships/hyperlink" Target="https://audio.iskcondesiretree.com/01_-_Srila_Prabhupada/01_-_Lectures/01_-_English/01_-_Topic_wise/Room_Conversation/SP_Room_Conversation_Paris_1976-08-02_Becoming_Guru.mp3" TargetMode="External"/><Relationship Id="rId5041" Type="http://schemas.openxmlformats.org/officeDocument/2006/relationships/hyperlink" Target="https://audio.iskcondesiretree.com/01_-_Srila_Prabhupada/01_-_Lectures/01_-_English/01_-_Topic_wise/Room_Conversation/SP_Room_Conversation_Paris_1976-08-02_Gurukula_Teachers.mp3" TargetMode="External"/><Relationship Id="rId5046" Type="http://schemas.openxmlformats.org/officeDocument/2006/relationships/hyperlink" Target="https://audio.iskcondesiretree.com/01_-_Srila_Prabhupada/01_-_Lectures/01_-_English/02_-_Month_wise/08_-_August/02/MW_PAR_1976-08-02_Master%3DSlave.mp3" TargetMode="External"/><Relationship Id="rId5047" Type="http://schemas.openxmlformats.org/officeDocument/2006/relationships/hyperlink" Target="https://audio.iskcondesiretree.com/01_-_Srila_Prabhupada/01_-_Lectures/01_-_English/02_-_Month_wise/08_-_August/02/RC_PAR_1976-08-02_Becoming_Guru.mp3" TargetMode="External"/><Relationship Id="rId5044" Type="http://schemas.openxmlformats.org/officeDocument/2006/relationships/hyperlink" Target="https://audio.iskcondesiretree.com/01_-_Srila_Prabhupada/01_-_Lectures/01_-_English/02_-_Month_wise/08_-_August/02/Conv_1976-08-02_R3-NEW%20MAYAPUR.MP3" TargetMode="External"/><Relationship Id="rId5045" Type="http://schemas.openxmlformats.org/officeDocument/2006/relationships/hyperlink" Target="https://audio.iskcondesiretree.com/01_-_Srila_Prabhupada/01_-_Lectures/01_-_English/02_-_Month_wise/08_-_August/02/Lecture_1976-08-02_LE-NEW%20MAYAPUR.MP3" TargetMode="External"/><Relationship Id="rId5048" Type="http://schemas.openxmlformats.org/officeDocument/2006/relationships/hyperlink" Target="https://audio.iskcondesiretree.com/01_-_Srila_Prabhupada/01_-_Lectures/01_-_English/02_-_Month_wise/08_-_August/02/RC_PAR_1976-08-02_Gurukula_Teachers.mp3" TargetMode="External"/><Relationship Id="rId5049" Type="http://schemas.openxmlformats.org/officeDocument/2006/relationships/hyperlink" Target="https://audio.iskcondesiretree.com/01_-_Srila_Prabhupada/01_-_Lectures/01_-_English/02_-_Month_wise/08_-_August/02/Walk_1976-08-02_MW-NEW%20MAYAPUR.MP3" TargetMode="External"/><Relationship Id="rId2800" Type="http://schemas.openxmlformats.org/officeDocument/2006/relationships/hyperlink" Target="https://audio.iskcondesiretree.com/01_-_Srila_Prabhupada/01_-_Lectures/01_-_English/02_-_Month_wise/02_-_Feburary/14/Bg-02-14_1975-02-14_BG-MEXICO%20CITY.MP3" TargetMode="External"/><Relationship Id="rId2801" Type="http://schemas.openxmlformats.org/officeDocument/2006/relationships/hyperlink" Target="https://audio.iskcondesiretree.com/01_-_Srila_Prabhupada/01_-_Lectures/01_-_English/02_-_Month_wise/02_-_Feburary/14/Bg_02-14_MEX_City_1975-02-14_Forbearance_to_Cure_the_Body.mp3" TargetMode="External"/><Relationship Id="rId2802" Type="http://schemas.openxmlformats.org/officeDocument/2006/relationships/hyperlink" Target="https://audio.iskcondesiretree.com/01_-_Srila_Prabhupada/01_-_Lectures/01_-_English/02_-_Month_wise/02_-_Feburary/14/Conv_1975-02-14_QA-MEXICO%20CITY.MP3" TargetMode="External"/><Relationship Id="rId2803" Type="http://schemas.openxmlformats.org/officeDocument/2006/relationships/hyperlink" Target="https://audio.iskcondesiretree.com/01_-_Srila_Prabhupada/01_-_Lectures/01_-_English/01_-_Topic_wise/Bhagavad_Gita/Chapter-02/SP_BG_02-15_Mexico_City_1975-02-15_Immortality_or_Itching.mp3" TargetMode="External"/><Relationship Id="rId2804" Type="http://schemas.openxmlformats.org/officeDocument/2006/relationships/hyperlink" Target="https://audio.iskcondesiretree.com/01_-_Srila_Prabhupada/01_-_Lectures/01_-_English/01_-_Topic_wise/Room_Conversation/SP_Room_Conversation_Mexico_1975-02-15_Philosopher-Yogi--Psychology_for--etc.mp3" TargetMode="External"/><Relationship Id="rId2805" Type="http://schemas.openxmlformats.org/officeDocument/2006/relationships/hyperlink" Target="https://audio.iskcondesiretree.com/01_-_Srila_Prabhupada/01_-_Lectures/01_-_English/02_-_Month_wise/02_-_Feburary/15/Bg-02-15_1975-02-15_BG-MEXICO%20CITY.MP3" TargetMode="External"/><Relationship Id="rId2806" Type="http://schemas.openxmlformats.org/officeDocument/2006/relationships/hyperlink" Target="https://audio.iskcondesiretree.com/01_-_Srila_Prabhupada/01_-_Lectures/01_-_English/02_-_Month_wise/02_-_Feburary/15/Bg_02-15_MEX_City_1975-02-15_Immortality..._or_Itching.mp3" TargetMode="External"/><Relationship Id="rId2807" Type="http://schemas.openxmlformats.org/officeDocument/2006/relationships/hyperlink" Target="https://audio.iskcondesiretree.com/01_-_Srila_Prabhupada/01_-_Lectures/01_-_English/02_-_Month_wise/02_-_Feburary/15/Conv_1975-02-15_R1-MEXICO%20CITY.MP3" TargetMode="External"/><Relationship Id="rId2808" Type="http://schemas.openxmlformats.org/officeDocument/2006/relationships/hyperlink" Target="https://audio.iskcondesiretree.com/01_-_Srila_Prabhupada/01_-_Lectures/01_-_English/02_-_Month_wise/02_-_Feburary/15/RC_MEX_1975-02-15_Philosopher-Yogi--Psychology_for_etc.mp3" TargetMode="External"/><Relationship Id="rId2809" Type="http://schemas.openxmlformats.org/officeDocument/2006/relationships/hyperlink" Target="https://audio.iskcondesiretree.com/01_-_Srila_Prabhupada/01_-_Lectures/01_-_English/01_-_Topic_wise/Bhagavad_Gita/Chapter-02/SP_BG_02-16_Mexico_City_1975-02-16_Any_Understanding_of_God.mp3" TargetMode="External"/><Relationship Id="rId5071" Type="http://schemas.openxmlformats.org/officeDocument/2006/relationships/hyperlink" Target="https://audio.iskcondesiretree.com/01_-_Srila_Prabhupada/01_-_Lectures/01_-_English/02_-_Month_wise/08_-_August/08/Walk_1976-08-08_MW-TEHRAN.MP3" TargetMode="External"/><Relationship Id="rId5072" Type="http://schemas.openxmlformats.org/officeDocument/2006/relationships/hyperlink" Target="https://audio.iskcondesiretree.com/01_-_Srila_Prabhupada/01_-_Lectures/01_-_English/01_-_Topic_wise/Morning_Walk/SP_Morning_Walk_-_Tehran_1976-08-09_A_World_Run_by_Mad_Rascals.mp3" TargetMode="External"/><Relationship Id="rId5070" Type="http://schemas.openxmlformats.org/officeDocument/2006/relationships/hyperlink" Target="https://audio.iskcondesiretree.com/01_-_Srila_Prabhupada/01_-_Lectures/01_-_English/02_-_Month_wise/08_-_August/08/SB-03-22-19_1976-08-08_SB-TEHRAN.MP3" TargetMode="External"/><Relationship Id="rId5075" Type="http://schemas.openxmlformats.org/officeDocument/2006/relationships/hyperlink" Target="https://audio.iskcondesiretree.com/01_-_Srila_Prabhupada/01_-_Lectures/01_-_English/02_-_Month_wise/08_-_August/09/Conv_1976-08-09_GC-TEHRAN.MP3" TargetMode="External"/><Relationship Id="rId5076" Type="http://schemas.openxmlformats.org/officeDocument/2006/relationships/hyperlink" Target="https://audio.iskcondesiretree.com/01_-_Srila_Prabhupada/01_-_Lectures/01_-_English/02_-_Month_wise/08_-_August/09/Conv_1976-08-09_R1-TEHRAN.MP3" TargetMode="External"/><Relationship Id="rId5073" Type="http://schemas.openxmlformats.org/officeDocument/2006/relationships/hyperlink" Target="https://audio.iskcondesiretree.com/01_-_Srila_Prabhupada/01_-_Lectures/01_-_English/01_-_Topic_wise/Room_Conversation/SP_Room_Conversation_Tehran_1976-08-09_Highly_Elevated_Vultures.mp3" TargetMode="External"/><Relationship Id="rId5074" Type="http://schemas.openxmlformats.org/officeDocument/2006/relationships/hyperlink" Target="https://audio.iskcondesiretree.com/01_-_Srila_Prabhupada/01_-_Lectures/01_-_English/01_-_Topic_wise/Room_Conversation/SP_Room_Conversation_Tehran_1976-08-09_The_%27Good_of_Humanity%27.mp3" TargetMode="External"/><Relationship Id="rId5079" Type="http://schemas.openxmlformats.org/officeDocument/2006/relationships/hyperlink" Target="https://audio.iskcondesiretree.com/01_-_Srila_Prabhupada/01_-_Lectures/01_-_English/02_-_Month_wise/08_-_August/09/RC_TEH_1976-08-09_Highly_Elevated_Vultures.mp3" TargetMode="External"/><Relationship Id="rId5077" Type="http://schemas.openxmlformats.org/officeDocument/2006/relationships/hyperlink" Target="https://audio.iskcondesiretree.com/01_-_Srila_Prabhupada/01_-_Lectures/01_-_English/02_-_Month_wise/08_-_August/09/Conv_1976-08-09_R2-TEHRAN.MP3" TargetMode="External"/><Relationship Id="rId5078" Type="http://schemas.openxmlformats.org/officeDocument/2006/relationships/hyperlink" Target="https://audio.iskcondesiretree.com/01_-_Srila_Prabhupada/01_-_Lectures/01_-_English/02_-_Month_wise/08_-_August/09/MW_TEH_1976-08-09_A_World_Run_by_Mad_Rascals.mp3" TargetMode="External"/><Relationship Id="rId5060" Type="http://schemas.openxmlformats.org/officeDocument/2006/relationships/hyperlink" Target="https://audio.iskcondesiretree.com/01_-_Srila_Prabhupada/01_-_Lectures/01_-_English/01_-_Topic_wise/Bhagavad_Gita/Chapter-04/SP_BG_04-24_New_Mayapur_1976-08-04_Krishna_is_there--_But_You--etc.mp3" TargetMode="External"/><Relationship Id="rId5061" Type="http://schemas.openxmlformats.org/officeDocument/2006/relationships/hyperlink" Target="https://audio.iskcondesiretree.com/01_-_Srila_Prabhupada/01_-_Lectures/01_-_English/02_-_Month_wise/04_-_April/Bg-04-24_1976-08-04_BG-NEW%20MAYAPUR.MP3" TargetMode="External"/><Relationship Id="rId5064" Type="http://schemas.openxmlformats.org/officeDocument/2006/relationships/hyperlink" Target="https://audio.iskcondesiretree.com/01_-_Srila_Prabhupada/01_-_Lectures/01_-_English/02_-_Month_wise/08_-_August/04/Bg_04-24_NM_1976-08-04_Krishna_is_there_But_You_etc.mp3" TargetMode="External"/><Relationship Id="rId5065" Type="http://schemas.openxmlformats.org/officeDocument/2006/relationships/hyperlink" Target="https://audio.iskcondesiretree.com/01_-_Srila_Prabhupada/01_-_Lectures/01_-_English/02_-_Month_wise/08_-_August/05/Bg-15-15_1976-08-05_BG-NEW%20MAYAPUR.MP3" TargetMode="External"/><Relationship Id="rId5062" Type="http://schemas.openxmlformats.org/officeDocument/2006/relationships/hyperlink" Target="https://audio.iskcondesiretree.com/01_-_Srila_Prabhupada/01_-_Lectures/01_-_English/02_-_Month_wise/04_-_April/Conv_1976-08-04_EW-NEW%20MAYAPUR.MP3" TargetMode="External"/><Relationship Id="rId5063" Type="http://schemas.openxmlformats.org/officeDocument/2006/relationships/hyperlink" Target="https://audio.iskcondesiretree.com/01_-_Srila_Prabhupada/01_-_Lectures/01_-_English/02_-_Month_wise/04_-_April/Conv_1976-08-04_R1-NEW%20MAYAPUR.MP3" TargetMode="External"/><Relationship Id="rId5068" Type="http://schemas.openxmlformats.org/officeDocument/2006/relationships/hyperlink" Target="https://audio.iskcondesiretree.com/01_-_Srila_Prabhupada/01_-_Lectures/01_-_English/02_-_Month_wise/08_-_August/07/Conv_1976-08-07_R1-TEHRAN.MP3" TargetMode="External"/><Relationship Id="rId5069" Type="http://schemas.openxmlformats.org/officeDocument/2006/relationships/hyperlink" Target="https://audio.iskcondesiretree.com/01_-_Srila_Prabhupada/01_-_Lectures/01_-_English/02_-_Month_wise/08_-_August/08/Conv_1976-08-08_R1-TEHRAN.MP3" TargetMode="External"/><Relationship Id="rId5066" Type="http://schemas.openxmlformats.org/officeDocument/2006/relationships/hyperlink" Target="https://audio.iskcondesiretree.com/01_-_Srila_Prabhupada/01_-_Lectures/01_-_English/02_-_Month_wise/08_-_August/05/Conv_1976-08-05_R1-NEW%20MAYAPUR.MP3" TargetMode="External"/><Relationship Id="rId5067" Type="http://schemas.openxmlformats.org/officeDocument/2006/relationships/hyperlink" Target="https://audio.iskcondesiretree.com/01_-_Srila_Prabhupada/01_-_Lectures/01_-_English/02_-_Month_wise/08_-_August/05/Meeting_1976-08-05_R2-NEW%20MAYAPUR.MP3" TargetMode="External"/><Relationship Id="rId1576" Type="http://schemas.openxmlformats.org/officeDocument/2006/relationships/hyperlink" Target="https://audio.iskcondesiretree.com/01_-_Srila_Prabhupada/01_-_Lectures/01_-_English/01_-_Topic_wise/Morning_Walk/SP_Morning_Walk_-_Tokyo_1974-01-30.mp3" TargetMode="External"/><Relationship Id="rId1577" Type="http://schemas.openxmlformats.org/officeDocument/2006/relationships/hyperlink" Target="https://audio.iskcondesiretree.com/01_-_Srila_Prabhupada/01_-_Lectures/01_-_English/01_-_Topic_wise/Room_Conversation/SP_Room_Conversation_Tokyo_1974-01-30.mp3" TargetMode="External"/><Relationship Id="rId1578" Type="http://schemas.openxmlformats.org/officeDocument/2006/relationships/hyperlink" Target="https://audio.iskcondesiretree.com/01_-_Srila_Prabhupada/01_-_Lectures/01_-_English/01_-_Topic_wise/Srimad_Bhagavatam/Canto-01/SP_SB_1-16-36_Tokyo_1974-01-30_Kali-yuga--Disagree_with_Guru.mp3" TargetMode="External"/><Relationship Id="rId1579" Type="http://schemas.openxmlformats.org/officeDocument/2006/relationships/hyperlink" Target="https://audio.iskcondesiretree.com/01_-_Srila_Prabhupada/01_-_Lectures/01_-_English/02_-_Month_wise/01_-_January/30/Conv_1974-01-30_R1-TOKYO.MP3" TargetMode="External"/><Relationship Id="rId987" Type="http://schemas.openxmlformats.org/officeDocument/2006/relationships/hyperlink" Target="https://audio.iskcondesiretree.com/01_-_Srila_Prabhupada/01_-_Lectures/01_-_English/01_-_Topic_wise/Srimad_Bhagavatam/Canto-01/SP_SB_1-08-42_Los_Angeles_1973-05-04_How_Not_to_Be_in_the_Material_World.mp3" TargetMode="External"/><Relationship Id="rId986" Type="http://schemas.openxmlformats.org/officeDocument/2006/relationships/hyperlink" Target="https://audio.iskcondesiretree.com/01_-_Srila_Prabhupada/01_-_Lectures/01_-_English/02_-_Month_wise/05_-_May/03/SB_1-08-41_LA_1973-05-03_The_Greatest_Enemy_of_Human_Society.mp3" TargetMode="External"/><Relationship Id="rId985" Type="http://schemas.openxmlformats.org/officeDocument/2006/relationships/hyperlink" Target="https://audio.iskcondesiretree.com/01_-_Srila_Prabhupada/01_-_Lectures/01_-_English/01_-_Topic_wise/Srimad_Bhagavatam/Canto-01/SP_SB_1-08-41_Los_Angeles_1973-05-03_The_Greatest_Enemy_of_Human_Society.mp3" TargetMode="External"/><Relationship Id="rId984" Type="http://schemas.openxmlformats.org/officeDocument/2006/relationships/hyperlink" Target="https://audio.iskcondesiretree.com/01_-_Srila_Prabhupada/01_-_Lectures/01_-_English/02_-_Month_wise/05_-_May/02/SB_1-08-40_LA_1973-05-02_By_Krishna%27s_Glance_All_Is_OK.mp3" TargetMode="External"/><Relationship Id="rId989" Type="http://schemas.openxmlformats.org/officeDocument/2006/relationships/hyperlink" Target="https://audio.iskcondesiretree.com/01_-_Srila_Prabhupada/01_-_Lectures/01_-_English/01_-_Topic_wise/Morning_Walk/SP_Morning_Walk_-_Los_Angeles_1973-05-05_In_the_Ocean_Frogs_are_Conspicuous--etc.mp3" TargetMode="External"/><Relationship Id="rId988" Type="http://schemas.openxmlformats.org/officeDocument/2006/relationships/hyperlink" Target="https://audio.iskcondesiretree.com/01_-_Srila_Prabhupada/01_-_Lectures/01_-_English/02_-_Month_wise/05_-_May/04/SB_1-08-42_LA_1973-05-04_How_Not_to_Be_in_the_Material_World.mp3" TargetMode="External"/><Relationship Id="rId1570" Type="http://schemas.openxmlformats.org/officeDocument/2006/relationships/hyperlink" Target="https://audio.iskcondesiretree.com/01_-_Srila_Prabhupada/01_-_Lectures/01_-_English/01_-_Topic_wise/Various/SP_Lecture_Honolulu_1974-01-28_Initiation.mp3" TargetMode="External"/><Relationship Id="rId1571" Type="http://schemas.openxmlformats.org/officeDocument/2006/relationships/hyperlink" Target="https://audio.iskcondesiretree.com/01_-_Srila_Prabhupada/01_-_Lectures/01_-_English/02_-_Month_wise/01_-_January/28/Initiations_1974-01-28_IN-HONOLULU.MP3" TargetMode="External"/><Relationship Id="rId983" Type="http://schemas.openxmlformats.org/officeDocument/2006/relationships/hyperlink" Target="https://audio.iskcondesiretree.com/01_-_Srila_Prabhupada/01_-_Lectures/01_-_English/01_-_Topic_wise/Srimad_Bhagavatam/Canto-01/SP_SB_1-08-40_Los_Angeles_1973-05-02_By_Krishna%27s_Glance_All_Is_OK.mp3" TargetMode="External"/><Relationship Id="rId1572" Type="http://schemas.openxmlformats.org/officeDocument/2006/relationships/hyperlink" Target="https://audio.iskcondesiretree.com/01_-_Srila_Prabhupada/01_-_Lectures/01_-_English/02_-_Month_wise/01_-_January/28/SB-01-16-35_1974-01-28_SB-HONOLULU.MP3" TargetMode="External"/><Relationship Id="rId982" Type="http://schemas.openxmlformats.org/officeDocument/2006/relationships/hyperlink" Target="https://audio.iskcondesiretree.com/01_-_Srila_Prabhupada/01_-_Lectures/01_-_English/02_-_Month_wise/05_-_May/01/SB_1-08-39_LA_1973-05-01_How_Everything_Can_Become_Beautiful.mp3" TargetMode="External"/><Relationship Id="rId1573" Type="http://schemas.openxmlformats.org/officeDocument/2006/relationships/hyperlink" Target="https://audio.iskcondesiretree.com/01_-_Srila_Prabhupada/01_-_Lectures/01_-_English/02_-_Month_wise/01_-_January/28/SB_1-16-35_HAW_1974-01-28_Initiations_Make_a_Farce-No_etc.mp3" TargetMode="External"/><Relationship Id="rId981" Type="http://schemas.openxmlformats.org/officeDocument/2006/relationships/hyperlink" Target="https://audio.iskcondesiretree.com/01_-_Srila_Prabhupada/01_-_Lectures/01_-_English/01_-_Topic_wise/Srimad_Bhagavatam/Canto-01/SP_SB_1-08-39_Los_Angeles_1973-05-01_How_Everything_Can_Become_Beautiful.mp3" TargetMode="External"/><Relationship Id="rId1574" Type="http://schemas.openxmlformats.org/officeDocument/2006/relationships/hyperlink" Target="https://audio.iskcondesiretree.com/01_-_Srila_Prabhupada/01_-_Lectures/01_-_English/01_-_Topic_wise/Arrival_Address/SP_Arrival_Lecture_Tokyo_1974-01-29.mp3" TargetMode="External"/><Relationship Id="rId980" Type="http://schemas.openxmlformats.org/officeDocument/2006/relationships/hyperlink" Target="https://audio.iskcondesiretree.com/01_-_Srila_Prabhupada/01_-_Lectures/01_-_English/02_-_Month_wise/04_-_April/30/SB_1-08-38_LA_1973-04-30_Our_Senses_Belong_to_Krishna.mp3" TargetMode="External"/><Relationship Id="rId1575" Type="http://schemas.openxmlformats.org/officeDocument/2006/relationships/hyperlink" Target="https://audio.iskcondesiretree.com/01_-_Srila_Prabhupada/01_-_Lectures/01_-_English/02_-_Month_wise/01_-_January/29/Arrival_1974-01-29_AR-TOKYO.MP3" TargetMode="External"/><Relationship Id="rId1565" Type="http://schemas.openxmlformats.org/officeDocument/2006/relationships/hyperlink" Target="https://audio.iskcondesiretree.com/01_-_Srila_Prabhupada/01_-_Lectures/01_-_English/01_-_Topic_wise/Srimad_Bhagavatam/Canto-01/SP_SB_1-16-26_Hawaii_1974-01-23_How_Can_I_Be_God.mp3" TargetMode="External"/><Relationship Id="rId2896" Type="http://schemas.openxmlformats.org/officeDocument/2006/relationships/hyperlink" Target="https://audio.iskcondesiretree.com/01_-_Srila_Prabhupada/01_-_Lectures/01_-_English/02_-_Month_wise/03_-_March/02/Lecture_1975-03-02_LE-ATLANTA.MP3" TargetMode="External"/><Relationship Id="rId1566" Type="http://schemas.openxmlformats.org/officeDocument/2006/relationships/hyperlink" Target="https://audio.iskcondesiretree.com/01_-_Srila_Prabhupada/01_-_Lectures/01_-_English/02_-_Month_wise/01_-_January/23/SB-01-16-26%E2%80%9330_1974-01-23_SB-HONOLULU.MP3" TargetMode="External"/><Relationship Id="rId2897" Type="http://schemas.openxmlformats.org/officeDocument/2006/relationships/hyperlink" Target="https://audio.iskcondesiretree.com/01_-_Srila_Prabhupada/01_-_Lectures/01_-_English/02_-_Month_wise/03_-_March/02/Walk_1975-03-02_MW-ATLANTA.MP3" TargetMode="External"/><Relationship Id="rId1567" Type="http://schemas.openxmlformats.org/officeDocument/2006/relationships/hyperlink" Target="https://audio.iskcondesiretree.com/01_-_Srila_Prabhupada/01_-_Lectures/01_-_English/02_-_Month_wise/01_-_January/23/SB_1-16-26_HAW_1974-01-23_How_Can_I_Be_God.mp3" TargetMode="External"/><Relationship Id="rId2898" Type="http://schemas.openxmlformats.org/officeDocument/2006/relationships/hyperlink" Target="https://audio.iskcondesiretree.com/01_-_Srila_Prabhupada/01_-_Lectures/01_-_English/01_-_Topic_wise/Arrival_Address/SP_Arrival_Dallas_1975-03-03_Education_Means_Krishna_Consciousness.mp3" TargetMode="External"/><Relationship Id="rId1568" Type="http://schemas.openxmlformats.org/officeDocument/2006/relationships/hyperlink" Target="https://audio.iskcondesiretree.com/01_-_Srila_Prabhupada/01_-_Lectures/01_-_English/02_-_Month_wise/01_-_January/23/Walk_1974-01-23_MW-HONOLULU.MP3" TargetMode="External"/><Relationship Id="rId2899" Type="http://schemas.openxmlformats.org/officeDocument/2006/relationships/hyperlink" Target="https://audio.iskcondesiretree.com/01_-_Srila_Prabhupada/01_-_Lectures/01_-_English/01_-_Topic_wise/Srimad_Bhagavatam/Canto-03/SP_SB_3-12-19_Dallas_1975-03-03_Entering_Krishna%27s_Family.mp3" TargetMode="External"/><Relationship Id="rId1569" Type="http://schemas.openxmlformats.org/officeDocument/2006/relationships/hyperlink" Target="https://audio.iskcondesiretree.com/01_-_Srila_Prabhupada/01_-_Lectures/01_-_English/01_-_Topic_wise/Srimad_Bhagavatam/Canto-01/SP_SB_1-16-35_Hawaii_1974-01-28_Initiations_Make_a_Farce-No--etc.mp3" TargetMode="External"/><Relationship Id="rId976" Type="http://schemas.openxmlformats.org/officeDocument/2006/relationships/hyperlink" Target="https://audio.iskcondesiretree.com/01_-_Srila_Prabhupada/01_-_Lectures/01_-_English/02_-_Month_wise/04_-_April/28/SB_1-08-36_LA_1973-04-28_Just_Go_On_Hearing_About_Krishna.mp3" TargetMode="External"/><Relationship Id="rId975" Type="http://schemas.openxmlformats.org/officeDocument/2006/relationships/hyperlink" Target="https://audio.iskcondesiretree.com/01_-_Srila_Prabhupada/01_-_Lectures/01_-_English/02_-_Month_wise/04_-_April/28/MW_LA_1973-04-28_Greedy_Pushy_Scientists.mp3" TargetMode="External"/><Relationship Id="rId974" Type="http://schemas.openxmlformats.org/officeDocument/2006/relationships/hyperlink" Target="https://audio.iskcondesiretree.com/01_-_Srila_Prabhupada/01_-_Lectures/01_-_English/01_-_Topic_wise/Srimad_Bhagavatam/Canto-01/SP_SB_1-08-36_Los_Angeles_1973-04-28_Just_Go_On_Hearing_About_Krishna.mp3" TargetMode="External"/><Relationship Id="rId973" Type="http://schemas.openxmlformats.org/officeDocument/2006/relationships/hyperlink" Target="https://audio.iskcondesiretree.com/01_-_Srila_Prabhupada/01_-_Lectures/01_-_English/01_-_Topic_wise/Morning_Walk/SP_Morning_Walk_-_Los_Angeles_1973-04-28_Greedy_Pushy_Scientists.mp3" TargetMode="External"/><Relationship Id="rId979" Type="http://schemas.openxmlformats.org/officeDocument/2006/relationships/hyperlink" Target="https://audio.iskcondesiretree.com/01_-_Srila_Prabhupada/01_-_Lectures/01_-_English/01_-_Topic_wise/Srimad_Bhagavatam/Canto-01/SP_SB_1-08-38_Los_Angeles_1973-04-30_Our_Senses_Belong_to_Krishna.mp3" TargetMode="External"/><Relationship Id="rId978" Type="http://schemas.openxmlformats.org/officeDocument/2006/relationships/hyperlink" Target="https://audio.iskcondesiretree.com/01_-_Srila_Prabhupada/01_-_Lectures/01_-_English/02_-_Month_wise/04_-_April/29/SB_1-08-37_LA_1973-04-29_We_Are_in_Dangerous_Position.mp3" TargetMode="External"/><Relationship Id="rId977" Type="http://schemas.openxmlformats.org/officeDocument/2006/relationships/hyperlink" Target="https://audio.iskcondesiretree.com/01_-_Srila_Prabhupada/01_-_Lectures/01_-_English/01_-_Topic_wise/Srimad_Bhagavatam/Canto-01/SP_SB_1-08-37_Los_Angeles_1973-04-29_We_Are_in_Dangerous_Position.mp3" TargetMode="External"/><Relationship Id="rId2890" Type="http://schemas.openxmlformats.org/officeDocument/2006/relationships/hyperlink" Target="https://audio.iskcondesiretree.com/01_-_Srila_Prabhupada/01_-_Lectures/01_-_English/01_-_Topic_wise/Various/SP_Lecture_Atlanta_1975-03-02_At_Sunday_Feast--Mahaprabhu%27s_Mercy.mp3" TargetMode="External"/><Relationship Id="rId1560" Type="http://schemas.openxmlformats.org/officeDocument/2006/relationships/hyperlink" Target="https://audio.iskcondesiretree.com/01_-_Srila_Prabhupada/01_-_Lectures/01_-_English/02_-_Month_wise/01_-_January/21/Walk_1974-01-21_MW-HONOLULU.MP3" TargetMode="External"/><Relationship Id="rId2891" Type="http://schemas.openxmlformats.org/officeDocument/2006/relationships/hyperlink" Target="https://audio.iskcondesiretree.com/01_-_Srila_Prabhupada/01_-_Lectures/01_-_English/02_-_Month_wise/03_-_March/02/Bhaktisiddhanta_Appearance_1975-03-02_BA-ATLANTA.MP3" TargetMode="External"/><Relationship Id="rId972" Type="http://schemas.openxmlformats.org/officeDocument/2006/relationships/hyperlink" Target="https://audio.iskcondesiretree.com/01_-_Srila_Prabhupada/01_-_Lectures/01_-_English/02_-_Month_wise/04_-_April/26/SB_1-08-34_LA_1973-04-26_Seeing_the_World%27s_Soul.mp3" TargetMode="External"/><Relationship Id="rId1561" Type="http://schemas.openxmlformats.org/officeDocument/2006/relationships/hyperlink" Target="https://audio.iskcondesiretree.com/01_-_Srila_Prabhupada/01_-_Lectures/01_-_English/01_-_Topic_wise/Morning_Walk/SP_Morning_Walk_-_Hawaii_1974-01-22_The_Greatest_Grandest_Father.mp3" TargetMode="External"/><Relationship Id="rId2892" Type="http://schemas.openxmlformats.org/officeDocument/2006/relationships/hyperlink" Target="https://audio.iskcondesiretree.com/01_-_Srila_Prabhupada/01_-_Lectures/01_-_English/02_-_Month_wise/03_-_March/02/Conv_1975-03-02_R1-ATLANTA.MP3" TargetMode="External"/><Relationship Id="rId971" Type="http://schemas.openxmlformats.org/officeDocument/2006/relationships/hyperlink" Target="https://audio.iskcondesiretree.com/01_-_Srila_Prabhupada/01_-_Lectures/01_-_English/01_-_Topic_wise/Srimad_Bhagavatam/Canto-01/SP_SB_1-08-34_Los_Angeles_1973-04-26_Seeing_the_World%27s_Soul.mp3" TargetMode="External"/><Relationship Id="rId1562" Type="http://schemas.openxmlformats.org/officeDocument/2006/relationships/hyperlink" Target="https://audio.iskcondesiretree.com/01_-_Srila_Prabhupada/01_-_Lectures/01_-_English/02_-_Month_wise/01_-_January/22/MW_HAW_1974-01-22_The_Greatest_Grandest_Father.mp3" TargetMode="External"/><Relationship Id="rId2893" Type="http://schemas.openxmlformats.org/officeDocument/2006/relationships/hyperlink" Target="https://audio.iskcondesiretree.com/01_-_Srila_Prabhupada/01_-_Lectures/01_-_English/02_-_Month_wise/03_-_March/02/Conv_1975-03-02_R2-ATLANTA.MP3" TargetMode="External"/><Relationship Id="rId970" Type="http://schemas.openxmlformats.org/officeDocument/2006/relationships/hyperlink" Target="https://audio.iskcondesiretree.com/01_-_Srila_Prabhupada/01_-_Lectures/01_-_English/02_-_Month_wise/04_-_April/25/SB_1-08-33_LA_1973-04-25_Converting_Crows_Into_Swans.mp3" TargetMode="External"/><Relationship Id="rId1563" Type="http://schemas.openxmlformats.org/officeDocument/2006/relationships/hyperlink" Target="https://audio.iskcondesiretree.com/01_-_Srila_Prabhupada/01_-_Lectures/01_-_English/02_-_Month_wise/01_-_January/22/Walk_1974-01-22_MW-HONOLULU.MP3" TargetMode="External"/><Relationship Id="rId2894" Type="http://schemas.openxmlformats.org/officeDocument/2006/relationships/hyperlink" Target="https://audio.iskcondesiretree.com/01_-_Srila_Prabhupada/01_-_Lectures/01_-_English/02_-_Month_wise/03_-_March/02/Fest_ATL_1975-03-02_On_the_Appearance_Day_of_Srila_etc.mp3" TargetMode="External"/><Relationship Id="rId1564" Type="http://schemas.openxmlformats.org/officeDocument/2006/relationships/hyperlink" Target="https://audio.iskcondesiretree.com/01_-_Srila_Prabhupada/01_-_Lectures/01_-_English/01_-_Topic_wise/Morning_Walk/SP_Morning_Walk_-_Honolulu_1974-01-23.mp3" TargetMode="External"/><Relationship Id="rId2895" Type="http://schemas.openxmlformats.org/officeDocument/2006/relationships/hyperlink" Target="https://audio.iskcondesiretree.com/01_-_Srila_Prabhupada/01_-_Lectures/01_-_English/02_-_Month_wise/03_-_March/02/Lect_ATL_1975-03-02_At_Sunday_Feast--Mahaprabhu%27s_Mercy.mp3" TargetMode="External"/><Relationship Id="rId1598" Type="http://schemas.openxmlformats.org/officeDocument/2006/relationships/hyperlink" Target="https://audio.iskcondesiretree.com/01_-_Srila_Prabhupada/01_-_Lectures/01_-_English/02_-_Month_wise/02_-_Feburary/08/Conv_1974-02-08_R2-VRNDAVAN.MP3" TargetMode="External"/><Relationship Id="rId1599" Type="http://schemas.openxmlformats.org/officeDocument/2006/relationships/hyperlink" Target="https://audio.iskcondesiretree.com/01_-_Srila_Prabhupada/01_-_Lectures/01_-_English/01_-_Topic_wise/Room_Conversation/SP_Room_Conversation_Vrindavan_1974-02-09.mp3" TargetMode="External"/><Relationship Id="rId1590" Type="http://schemas.openxmlformats.org/officeDocument/2006/relationships/hyperlink" Target="https://audio.iskcondesiretree.com/01_-_Srila_Prabhupada/01_-_Lectures/01_-_English/01_-_Topic_wise/Bhagavad_Gita/Chapter-04/SP_BG_04-01_Vrindavan_1974-02-07.mp3" TargetMode="External"/><Relationship Id="rId1591" Type="http://schemas.openxmlformats.org/officeDocument/2006/relationships/hyperlink" Target="https://audio.iskcondesiretree.com/01_-_Srila_Prabhupada/01_-_Lectures/01_-_English/02_-_Month_wise/02_-_Feburary/07/Bg-04-01_1974-02-07_BG-VRNDAVAN.MP3" TargetMode="External"/><Relationship Id="rId1592" Type="http://schemas.openxmlformats.org/officeDocument/2006/relationships/hyperlink" Target="https://audio.iskcondesiretree.com/01_-_Srila_Prabhupada/01_-_Lectures/01_-_English/02_-_Month_wise/02_-_Feburary/07/Conv_1974-02-07_R1-VRNDAVAN.MP3" TargetMode="External"/><Relationship Id="rId1593" Type="http://schemas.openxmlformats.org/officeDocument/2006/relationships/hyperlink" Target="https://audio.iskcondesiretree.com/01_-_Srila_Prabhupada/01_-_Lectures/01_-_English/01_-_Topic_wise/Bhagavad_Gita/Chapter-04/SP_BG_04-02_Vrindavan_1974-02-08.mp3" TargetMode="External"/><Relationship Id="rId1594" Type="http://schemas.openxmlformats.org/officeDocument/2006/relationships/hyperlink" Target="https://audio.iskcondesiretree.com/01_-_Srila_Prabhupada/01_-_Lectures/01_-_English/01_-_Topic_wise/Room_Conversation/SP_Room_Conversation_01_Vrindavan_1974-02-08.mp3" TargetMode="External"/><Relationship Id="rId1595" Type="http://schemas.openxmlformats.org/officeDocument/2006/relationships/hyperlink" Target="https://audio.iskcondesiretree.com/01_-_Srila_Prabhupada/01_-_Lectures/01_-_English/01_-_Topic_wise/Room_Conversation/SP_Room_Conversation_02_Vrindavan_1974-02-08.mp3" TargetMode="External"/><Relationship Id="rId1596" Type="http://schemas.openxmlformats.org/officeDocument/2006/relationships/hyperlink" Target="https://audio.iskcondesiretree.com/01_-_Srila_Prabhupada/01_-_Lectures/01_-_English/02_-_Month_wise/02_-_Feburary/08/Bg-04-02_1974-02-08_BG-VRNDAVAN.MP3" TargetMode="External"/><Relationship Id="rId1597" Type="http://schemas.openxmlformats.org/officeDocument/2006/relationships/hyperlink" Target="https://audio.iskcondesiretree.com/01_-_Srila_Prabhupada/01_-_Lectures/01_-_English/02_-_Month_wise/02_-_Feburary/08/Conv_1974-02-08_R1-VRNDAVAN.MP3" TargetMode="External"/><Relationship Id="rId1587" Type="http://schemas.openxmlformats.org/officeDocument/2006/relationships/hyperlink" Target="https://audio.iskcondesiretree.com/01_-_Srila_Prabhupada/01_-_Lectures/01_-_English/02_-_Month_wise/02_-_Feburary/06/Bg-09-01%E2%80%9314_1974-02-06_BG-VRNDAVAN.MP3" TargetMode="External"/><Relationship Id="rId1588" Type="http://schemas.openxmlformats.org/officeDocument/2006/relationships/hyperlink" Target="https://audio.iskcondesiretree.com/01_-_Srila_Prabhupada/01_-_Lectures/01_-_English/02_-_Month_wise/02_-_Feburary/06/Conv_1974-02-06_R1-VRNDAVAN.MP3" TargetMode="External"/><Relationship Id="rId1589" Type="http://schemas.openxmlformats.org/officeDocument/2006/relationships/hyperlink" Target="https://audio.iskcondesiretree.com/01_-_Srila_Prabhupada/01_-_Lectures/01_-_English/02_-_Month_wise/02_-_Feburary/06/RC_VRN_1974-02-06_Gurudas--Krishna_%26_Guru-Not_in_Every_Birth.mp3" TargetMode="External"/><Relationship Id="rId998" Type="http://schemas.openxmlformats.org/officeDocument/2006/relationships/hyperlink" Target="https://audio.iskcondesiretree.com/01_-_Srila_Prabhupada/01_-_Lectures/01_-_English/02_-_Month_wise/05_-_May/08/SB_1-08-46_LA_1973-05-08_The_Ksatriya_Spirit.mp3" TargetMode="External"/><Relationship Id="rId997" Type="http://schemas.openxmlformats.org/officeDocument/2006/relationships/hyperlink" Target="https://audio.iskcondesiretree.com/01_-_Srila_Prabhupada/01_-_Lectures/01_-_English/01_-_Topic_wise/Srimad_Bhagavatam/Canto-01/SP_SB_1-08-46_Los_Angeles_1973-05-08_The_Ksatriya_Spirit.mp3" TargetMode="External"/><Relationship Id="rId996" Type="http://schemas.openxmlformats.org/officeDocument/2006/relationships/hyperlink" Target="https://audio.iskcondesiretree.com/01_-_Srila_Prabhupada/01_-_Lectures/01_-_English/02_-_Month_wise/05_-_May/07/SB_1-08-45_LA_1973-05-07_We_Can_Purchase_Krishna_by_Love.mp3" TargetMode="External"/><Relationship Id="rId995" Type="http://schemas.openxmlformats.org/officeDocument/2006/relationships/hyperlink" Target="https://audio.iskcondesiretree.com/01_-_Srila_Prabhupada/01_-_Lectures/01_-_English/01_-_Topic_wise/Srimad_Bhagavatam/Canto-01/SP_SB_1-08-45_Los_Angeles_1973-05-07_We_Can_Purchase_Krishna_by_Love.mp3" TargetMode="External"/><Relationship Id="rId999" Type="http://schemas.openxmlformats.org/officeDocument/2006/relationships/hyperlink" Target="https://audio.iskcondesiretree.com/01_-_Srila_Prabhupada/01_-_Lectures/01_-_English/01_-_Topic_wise/Srimad_Bhagavatam/Canto-01/SP_SB_1-08-48_Los_Angeles_1973-05-10_This_Body_Belongs_to_Others.mp3" TargetMode="External"/><Relationship Id="rId990" Type="http://schemas.openxmlformats.org/officeDocument/2006/relationships/hyperlink" Target="https://audio.iskcondesiretree.com/01_-_Srila_Prabhupada/01_-_Lectures/01_-_English/01_-_Topic_wise/Srimad_Bhagavatam/Canto-01/SP_SB_1-08-43_Los_Angeles_1973-05-05_Protector_of_Cows_and_Brahmanas.mp3" TargetMode="External"/><Relationship Id="rId1580" Type="http://schemas.openxmlformats.org/officeDocument/2006/relationships/hyperlink" Target="https://audio.iskcondesiretree.com/01_-_Srila_Prabhupada/01_-_Lectures/01_-_English/02_-_Month_wise/01_-_January/30/SB-01-16-36_1974-01-30_SB-TOKYO.MP3" TargetMode="External"/><Relationship Id="rId1581" Type="http://schemas.openxmlformats.org/officeDocument/2006/relationships/hyperlink" Target="https://audio.iskcondesiretree.com/01_-_Srila_Prabhupada/01_-_Lectures/01_-_English/02_-_Month_wise/01_-_January/30/SB_1-16-36_TOK_1974-01-30_Kali-yuga--Disagree_with_Guru.mp3" TargetMode="External"/><Relationship Id="rId1582" Type="http://schemas.openxmlformats.org/officeDocument/2006/relationships/hyperlink" Target="https://audio.iskcondesiretree.com/01_-_Srila_Prabhupada/01_-_Lectures/01_-_English/02_-_Month_wise/01_-_January/30/Walk_1974-01-30_MW-TOKYO.MP3" TargetMode="External"/><Relationship Id="rId994" Type="http://schemas.openxmlformats.org/officeDocument/2006/relationships/hyperlink" Target="https://audio.iskcondesiretree.com/01_-_Srila_Prabhupada/01_-_Lectures/01_-_English/02_-_Month_wise/05_-_May/06/SB_1-08-44_LA_1973-05-06_Approaching_All-Good_Absolute.mp3" TargetMode="External"/><Relationship Id="rId1583" Type="http://schemas.openxmlformats.org/officeDocument/2006/relationships/hyperlink" Target="https://audio.iskcondesiretree.com/01_-_Srila_Prabhupada/01_-_Lectures/01_-_English/01_-_Topic_wise/Bhagavad_Gita/Chapter-07/SP_BG_07-01-05_Hong_Kong_1974-01-31.mp3" TargetMode="External"/><Relationship Id="rId993" Type="http://schemas.openxmlformats.org/officeDocument/2006/relationships/hyperlink" Target="https://audio.iskcondesiretree.com/01_-_Srila_Prabhupada/01_-_Lectures/01_-_English/01_-_Topic_wise/Srimad_Bhagavatam/Canto-01/SP_SB_1-08-44_Los_Angeles_1973-05-06_Approaching_All-Good_Absolute.mp3" TargetMode="External"/><Relationship Id="rId1584" Type="http://schemas.openxmlformats.org/officeDocument/2006/relationships/hyperlink" Target="https://audio.iskcondesiretree.com/01_-_Srila_Prabhupada/01_-_Lectures/01_-_English/02_-_Month_wise/01_-_January/31/Bg-07-01%E2%80%9305_1974-01-31_BG-HONG%20KONG.MP3" TargetMode="External"/><Relationship Id="rId992" Type="http://schemas.openxmlformats.org/officeDocument/2006/relationships/hyperlink" Target="https://audio.iskcondesiretree.com/01_-_Srila_Prabhupada/01_-_Lectures/01_-_English/02_-_Month_wise/05_-_May/05/SB_1-08-43_LA_1973-05-05_Protector_of_Cows_and_Brahmanas.mp3" TargetMode="External"/><Relationship Id="rId1585" Type="http://schemas.openxmlformats.org/officeDocument/2006/relationships/hyperlink" Target="https://audio.iskcondesiretree.com/01_-_Srila_Prabhupada/01_-_Lectures/01_-_English/01_-_Topic_wise/Bhagavad_Gita/Chapter-03/SP_BG_03-09-14_Vrindavan_1974-02-06.mp3" TargetMode="External"/><Relationship Id="rId991" Type="http://schemas.openxmlformats.org/officeDocument/2006/relationships/hyperlink" Target="https://audio.iskcondesiretree.com/01_-_Srila_Prabhupada/01_-_Lectures/01_-_English/02_-_Month_wise/05_-_May/05/MW_LA_1973-05-05_In_the_Ocean_Frogs_are_Conspicuous_etc.mp3" TargetMode="External"/><Relationship Id="rId1586" Type="http://schemas.openxmlformats.org/officeDocument/2006/relationships/hyperlink" Target="https://audio.iskcondesiretree.com/01_-_Srila_Prabhupada/01_-_Lectures/01_-_English/01_-_Topic_wise/Room_Conversation/SP_Room_Conversation_Vrindavan_1974-02-06_Gurudas--Krishna_%26_Guru-Not_in_Every_Birth.mp3" TargetMode="External"/><Relationship Id="rId1532" Type="http://schemas.openxmlformats.org/officeDocument/2006/relationships/hyperlink" Target="https://audio.iskcondesiretree.com/01_-_Srila_Prabhupada/01_-_Lectures/01_-_English/01_-_Topic_wise/Srimad_Bhagavatam/Canto-01/SP_SB_1-16-20_Hawaii_1974-01-16_Bad_Good_and_Truly_Good.mp3" TargetMode="External"/><Relationship Id="rId2863" Type="http://schemas.openxmlformats.org/officeDocument/2006/relationships/hyperlink" Target="https://audio.iskcondesiretree.com/01_-_Srila_Prabhupada/01_-_Lectures/01_-_English/01_-_Topic_wise/Arrival_Address/SP_Address_Atlanta_1975-02-28_So_I_See_Your_Temple_Is_the_Best.mp3" TargetMode="External"/><Relationship Id="rId1533" Type="http://schemas.openxmlformats.org/officeDocument/2006/relationships/hyperlink" Target="https://audio.iskcondesiretree.com/01_-_Srila_Prabhupada/01_-_Lectures/01_-_English/02_-_Month_wise/01_-_January/16/SB-01-16-20_1974-01-16_SB-HONOLULU.MP3" TargetMode="External"/><Relationship Id="rId2864" Type="http://schemas.openxmlformats.org/officeDocument/2006/relationships/hyperlink" Target="https://audio.iskcondesiretree.com/01_-_Srila_Prabhupada/01_-_Lectures/01_-_English/01_-_Topic_wise/Room_Conversation/SP_Room_Conversation_Atlanta_1975-02-28_Svarupa_Damodar--Research_Means_Rascal.mp3" TargetMode="External"/><Relationship Id="rId1534" Type="http://schemas.openxmlformats.org/officeDocument/2006/relationships/hyperlink" Target="https://audio.iskcondesiretree.com/01_-_Srila_Prabhupada/01_-_Lectures/01_-_English/02_-_Month_wise/01_-_January/16/SB_1-16-20_HAW_1974-01-16_Bad_Good_and_Truly_Good.mp3" TargetMode="External"/><Relationship Id="rId2865" Type="http://schemas.openxmlformats.org/officeDocument/2006/relationships/hyperlink" Target="https://audio.iskcondesiretree.com/01_-_Srila_Prabhupada/01_-_Lectures/01_-_English/01_-_Topic_wise/Various/SP_Lecture_Purport_to_Parama_Karuna_1975-02-28_Atlanta.MP3" TargetMode="External"/><Relationship Id="rId1535" Type="http://schemas.openxmlformats.org/officeDocument/2006/relationships/hyperlink" Target="https://audio.iskcondesiretree.com/01_-_Srila_Prabhupada/01_-_Lectures/01_-_English/02_-_Month_wise/01_-_January/16/Walk_1974-01-16_MW-HONOLULU.MP3" TargetMode="External"/><Relationship Id="rId2866" Type="http://schemas.openxmlformats.org/officeDocument/2006/relationships/hyperlink" Target="https://audio.iskcondesiretree.com/01_-_Srila_Prabhupada/01_-_Lectures/01_-_English/02_-_Month_wise/02_-_Feburary/28/Arr_ATL_1975-02-28_So_I_See_Your_Temple_Is_the_Best.mp3" TargetMode="External"/><Relationship Id="rId1536" Type="http://schemas.openxmlformats.org/officeDocument/2006/relationships/hyperlink" Target="https://audio.iskcondesiretree.com/01_-_Srila_Prabhupada/01_-_Lectures/01_-_English/01_-_Topic_wise/Srimad_Bhagavatam/Canto-01/SP_SB_1-16-21_Hawaii_1974-01-17_Unlawful_Meat-eaters_Restricted.mp3" TargetMode="External"/><Relationship Id="rId2867" Type="http://schemas.openxmlformats.org/officeDocument/2006/relationships/hyperlink" Target="https://audio.iskcondesiretree.com/01_-_Srila_Prabhupada/01_-_Lectures/01_-_English/02_-_Month_wise/02_-_Feburary/28/Arrival_1975-02-28_AR-ATLANTA.MP3" TargetMode="External"/><Relationship Id="rId1537" Type="http://schemas.openxmlformats.org/officeDocument/2006/relationships/hyperlink" Target="https://audio.iskcondesiretree.com/01_-_Srila_Prabhupada/01_-_Lectures/01_-_English/02_-_Month_wise/01_-_January/17/SB-01-16-21_1974-01-17_SB-HONOLULU.MP3" TargetMode="External"/><Relationship Id="rId2868" Type="http://schemas.openxmlformats.org/officeDocument/2006/relationships/hyperlink" Target="https://audio.iskcondesiretree.com/01_-_Srila_Prabhupada/01_-_Lectures/01_-_English/02_-_Month_wise/02_-_Feburary/28/Conv_1975-02-28_R1-ATLANTA.MP3" TargetMode="External"/><Relationship Id="rId1538" Type="http://schemas.openxmlformats.org/officeDocument/2006/relationships/hyperlink" Target="https://audio.iskcondesiretree.com/01_-_Srila_Prabhupada/01_-_Lectures/01_-_English/02_-_Month_wise/01_-_January/17/SB_1-16-21_HAW_1974-01-17_Unlawful_Meat-eaters_Restricted.mp3" TargetMode="External"/><Relationship Id="rId2869" Type="http://schemas.openxmlformats.org/officeDocument/2006/relationships/hyperlink" Target="https://audio.iskcondesiretree.com/01_-_Srila_Prabhupada/01_-_Lectures/01_-_English/02_-_Month_wise/02_-_Feburary/28/PurportParamaKoruna_1975-02-28_PU-ATLANTA.MP3" TargetMode="External"/><Relationship Id="rId1539" Type="http://schemas.openxmlformats.org/officeDocument/2006/relationships/hyperlink" Target="https://audio.iskcondesiretree.com/01_-_Srila_Prabhupada/01_-_Lectures/01_-_English/01_-_Topic_wise/Morning_Walk/SP_Morning_Walk_-_Hawaii_1974-01-18_We_Controllers_Are_Getting_Kicked.mp3" TargetMode="External"/><Relationship Id="rId949" Type="http://schemas.openxmlformats.org/officeDocument/2006/relationships/hyperlink" Target="https://audio.iskcondesiretree.com/01_-_Srila_Prabhupada/01_-_Lectures/01_-_English/01_-_Topic_wise/Srimad_Bhagavatam/Canto-01/SP_SB_1-08-24_Los_Angeles_1973-04-16_If_Krishna_Wants_to_Protect--etc.mp3" TargetMode="External"/><Relationship Id="rId948" Type="http://schemas.openxmlformats.org/officeDocument/2006/relationships/hyperlink" Target="https://audio.iskcondesiretree.com/01_-_Srila_Prabhupada/01_-_Lectures/01_-_English/02_-_Month_wise/04_-_April/15/SB_1-08-23_LA_1973-04-15_Beginning_of_Material_Life_is_Envy.mp3" TargetMode="External"/><Relationship Id="rId943" Type="http://schemas.openxmlformats.org/officeDocument/2006/relationships/hyperlink" Target="https://audio.iskcondesiretree.com/01_-_Srila_Prabhupada/01_-_Lectures/01_-_English/01_-_Topic_wise/Bhagavad_Gita/Chapter-02/SP_BG_02-13_Los_Angeles_1973-04-14_The_First_Lesson-Not_This_Body.mp3" TargetMode="External"/><Relationship Id="rId942" Type="http://schemas.openxmlformats.org/officeDocument/2006/relationships/hyperlink" Target="https://audio.iskcondesiretree.com/01_-_Srila_Prabhupada/01_-_Lectures/01_-_English/02_-_Month_wise/04_-_April/13/SB_1-08-21_NY_1973-04-13_Spiritual_Sense_Gratification.mp3" TargetMode="External"/><Relationship Id="rId941" Type="http://schemas.openxmlformats.org/officeDocument/2006/relationships/hyperlink" Target="https://audio.iskcondesiretree.com/01_-_Srila_Prabhupada/01_-_Lectures/01_-_English/02_-_Month_wise/04_-_April/13/Arr_LA_1973-04-13_My_Lord%2C_I_Don%27t_Want_Anything_Material.mp3" TargetMode="External"/><Relationship Id="rId940" Type="http://schemas.openxmlformats.org/officeDocument/2006/relationships/hyperlink" Target="https://audio.iskcondesiretree.com/01_-_Srila_Prabhupada/01_-_Lectures/01_-_English/01_-_Topic_wise/Srimad_Bhagavatam/Canto-01/SP_SB_1-08-21_New_York_1973-04-13_Spiritual_Sense_Gratification.mp3" TargetMode="External"/><Relationship Id="rId947" Type="http://schemas.openxmlformats.org/officeDocument/2006/relationships/hyperlink" Target="https://audio.iskcondesiretree.com/01_-_Srila_Prabhupada/01_-_Lectures/01_-_English/01_-_Topic_wise/Srimad_Bhagavatam/Canto-01/SP_SB_1-08-23_Los_Angeles_1973-04-15_Beginning_of_Material_Life_is_Envy.mp3" TargetMode="External"/><Relationship Id="rId946" Type="http://schemas.openxmlformats.org/officeDocument/2006/relationships/hyperlink" Target="https://audio.iskcondesiretree.com/01_-_Srila_Prabhupada/01_-_Lectures/01_-_English/02_-_Month_wise/04_-_April/14/SB_1-08-22_LA_1973-04-14_If_You_Actually_Love_God_You_etc.mp3" TargetMode="External"/><Relationship Id="rId945" Type="http://schemas.openxmlformats.org/officeDocument/2006/relationships/hyperlink" Target="https://audio.iskcondesiretree.com/01_-_Srila_Prabhupada/01_-_Lectures/01_-_English/02_-_Month_wise/04_-_April/14/Bg_02-13_LA_1973-04-14_The_First_Lesson-Not_This_Body.mp3" TargetMode="External"/><Relationship Id="rId944" Type="http://schemas.openxmlformats.org/officeDocument/2006/relationships/hyperlink" Target="https://audio.iskcondesiretree.com/01_-_Srila_Prabhupada/01_-_Lectures/01_-_English/01_-_Topic_wise/Srimad_Bhagavatam/Canto-01/SP_SB_1-08-22_Los_Angeles_1973-04-14_If_You_Actually_Love_God_You--etc.mp3" TargetMode="External"/><Relationship Id="rId2860" Type="http://schemas.openxmlformats.org/officeDocument/2006/relationships/hyperlink" Target="https://audio.iskcondesiretree.com/01_-_Srila_Prabhupada/01_-_Lectures/01_-_English/01_-_Topic_wise/Bhagavad_Gita/Chapter-13/SP_BG_13-04_Miami_1975-02-27_Different_Varieties.mp3" TargetMode="External"/><Relationship Id="rId1530" Type="http://schemas.openxmlformats.org/officeDocument/2006/relationships/hyperlink" Target="https://audio.iskcondesiretree.com/01_-_Srila_Prabhupada/01_-_Lectures/01_-_English/02_-_Month_wise/01_-_January/15/Walk_1974-01-15_MW-HONOLULU.MP3" TargetMode="External"/><Relationship Id="rId2861" Type="http://schemas.openxmlformats.org/officeDocument/2006/relationships/hyperlink" Target="https://audio.iskcondesiretree.com/01_-_Srila_Prabhupada/01_-_Lectures/01_-_English/02_-_Month_wise/02_-_Feburary/27/Bg-13-04_1975-02-27_BG-MIAMI.MP3" TargetMode="External"/><Relationship Id="rId1531" Type="http://schemas.openxmlformats.org/officeDocument/2006/relationships/hyperlink" Target="https://audio.iskcondesiretree.com/01_-_Srila_Prabhupada/01_-_Lectures/01_-_English/01_-_Topic_wise/Morning_Walk/SP_Morning_Walk_-_Honolulu_1974-01-16.mp3" TargetMode="External"/><Relationship Id="rId2862" Type="http://schemas.openxmlformats.org/officeDocument/2006/relationships/hyperlink" Target="https://audio.iskcondesiretree.com/01_-_Srila_Prabhupada/01_-_Lectures/01_-_English/02_-_Month_wise/02_-_Feburary/27/Bg_13-04_MIA_1975-02-27_Different_Varieties.mp3" TargetMode="External"/><Relationship Id="rId1521" Type="http://schemas.openxmlformats.org/officeDocument/2006/relationships/hyperlink" Target="https://audio.iskcondesiretree.com/01_-_Srila_Prabhupada/01_-_Lectures/01_-_English/02_-_Month_wise/01_-_January/12/SB-01-16-17_1974-01-12_SB-LOS_ANGELES.MP3" TargetMode="External"/><Relationship Id="rId2852" Type="http://schemas.openxmlformats.org/officeDocument/2006/relationships/hyperlink" Target="https://audio.iskcondesiretree.com/01_-_Srila_Prabhupada/01_-_Lectures/01_-_English/02_-_Month_wise/02_-_Feburary/25/Arr_MIA_1975-02-25_Real_Success_is_to_Get_Out_of_the_etc.mp3" TargetMode="External"/><Relationship Id="rId1522" Type="http://schemas.openxmlformats.org/officeDocument/2006/relationships/hyperlink" Target="https://audio.iskcondesiretree.com/01_-_Srila_Prabhupada/01_-_Lectures/01_-_English/02_-_Month_wise/01_-_January/12/SB_1-16-17_LA_1974-01-12_Democracy-Elect_Rascal_Monarch.mp3" TargetMode="External"/><Relationship Id="rId2853" Type="http://schemas.openxmlformats.org/officeDocument/2006/relationships/hyperlink" Target="https://audio.iskcondesiretree.com/01_-_Srila_Prabhupada/01_-_Lectures/01_-_English/02_-_Month_wise/02_-_Feburary/25/Arrival_1975-02-25_AR-MIAMI.MP3" TargetMode="External"/><Relationship Id="rId1523" Type="http://schemas.openxmlformats.org/officeDocument/2006/relationships/hyperlink" Target="https://audio.iskcondesiretree.com/01_-_Srila_Prabhupada/01_-_Lectures/01_-_English/02_-_Month_wise/01_-_January/12/Walk_1974-01-12_MW-LOS_ANGELES.MP3" TargetMode="External"/><Relationship Id="rId2854" Type="http://schemas.openxmlformats.org/officeDocument/2006/relationships/hyperlink" Target="https://audio.iskcondesiretree.com/01_-_Srila_Prabhupada/01_-_Lectures/01_-_English/02_-_Month_wise/02_-_Feburary/25/Bg-13-01%E2%80%9302_1975-02-25_BG-MIAMI.MP3" TargetMode="External"/><Relationship Id="rId1524" Type="http://schemas.openxmlformats.org/officeDocument/2006/relationships/hyperlink" Target="https://audio.iskcondesiretree.com/01_-_Srila_Prabhupada/01_-_Lectures/01_-_English/01_-_Topic_wise/Srimad_Bhagavatam/Canto-01/SP_SB_01-16-18_Los_Angeles_1974-01-13.mp3" TargetMode="External"/><Relationship Id="rId2855" Type="http://schemas.openxmlformats.org/officeDocument/2006/relationships/hyperlink" Target="https://audio.iskcondesiretree.com/01_-_Srila_Prabhupada/01_-_Lectures/01_-_English/02_-_Month_wise/02_-_Feburary/25/Bg_13-01_MIA_1975-02-25_Technical_Education_etc.mp3" TargetMode="External"/><Relationship Id="rId1525" Type="http://schemas.openxmlformats.org/officeDocument/2006/relationships/hyperlink" Target="https://audio.iskcondesiretree.com/01_-_Srila_Prabhupada/01_-_Lectures/01_-_English/02_-_Month_wise/01_-_January/13/SB-01-16-18_1974-01-13_SB-LOS_ANGELES.MP3" TargetMode="External"/><Relationship Id="rId2856" Type="http://schemas.openxmlformats.org/officeDocument/2006/relationships/hyperlink" Target="https://audio.iskcondesiretree.com/01_-_Srila_Prabhupada/01_-_Lectures/01_-_English/02_-_Month_wise/02_-_Feburary/25/Departure_1975-02-25_DP-CARACAS.MP3" TargetMode="External"/><Relationship Id="rId1526" Type="http://schemas.openxmlformats.org/officeDocument/2006/relationships/hyperlink" Target="https://audio.iskcondesiretree.com/01_-_Srila_Prabhupada/01_-_Lectures/01_-_English/01_-_Topic_wise/Morning_Walk/SP_Morning_Walk_-_Honolulu_1974-01-15.mp3" TargetMode="External"/><Relationship Id="rId2857" Type="http://schemas.openxmlformats.org/officeDocument/2006/relationships/hyperlink" Target="https://audio.iskcondesiretree.com/01_-_Srila_Prabhupada/01_-_Lectures/01_-_English/01_-_Topic_wise/Bhagavad_Gita/Chapter-13/SP_BG_13-03_Miami_1975-02-26_We_Need_to_Satisfy_Our_Lord.mp3" TargetMode="External"/><Relationship Id="rId1527" Type="http://schemas.openxmlformats.org/officeDocument/2006/relationships/hyperlink" Target="https://audio.iskcondesiretree.com/01_-_Srila_Prabhupada/01_-_Lectures/01_-_English/01_-_Topic_wise/Srimad_Bhagavatam/Canto-01/SP_SB_1-16-19_Hawaii_1974-01-15_Antidotes_for_Contaminated_Age.mp3" TargetMode="External"/><Relationship Id="rId2858" Type="http://schemas.openxmlformats.org/officeDocument/2006/relationships/hyperlink" Target="https://audio.iskcondesiretree.com/01_-_Srila_Prabhupada/01_-_Lectures/01_-_English/02_-_Month_wise/02_-_Feburary/26/Bg-13-03_1975-02-26-BG-MIAMI.MP3" TargetMode="External"/><Relationship Id="rId1528" Type="http://schemas.openxmlformats.org/officeDocument/2006/relationships/hyperlink" Target="https://audio.iskcondesiretree.com/01_-_Srila_Prabhupada/01_-_Lectures/01_-_English/02_-_Month_wise/01_-_January/15/SB-01-16-19_1974-01-15_SB-HONOLULU.MP3" TargetMode="External"/><Relationship Id="rId2859" Type="http://schemas.openxmlformats.org/officeDocument/2006/relationships/hyperlink" Target="https://audio.iskcondesiretree.com/01_-_Srila_Prabhupada/01_-_Lectures/01_-_English/02_-_Month_wise/02_-_Feburary/26/Bg_13-03_MIA_1975-02-26_We_Need_to_Satisfy_Our_Lord.mp3" TargetMode="External"/><Relationship Id="rId1529" Type="http://schemas.openxmlformats.org/officeDocument/2006/relationships/hyperlink" Target="https://audio.iskcondesiretree.com/01_-_Srila_Prabhupada/01_-_Lectures/01_-_English/02_-_Month_wise/01_-_January/15/SB_1-16-19_HAW_1974-01-15_Antidotes_for_Contaminated_Age.mp3" TargetMode="External"/><Relationship Id="rId939" Type="http://schemas.openxmlformats.org/officeDocument/2006/relationships/hyperlink" Target="https://audio.iskcondesiretree.com/01_-_Srila_Prabhupada/01_-_Lectures/01_-_English/01_-_Topic_wise/Arrival_Address/SP_Arrival_Los_Angeles_1973-04-13_My_Lord%2C_I_Don%27t_Want_Anything_Material.mp3" TargetMode="External"/><Relationship Id="rId938" Type="http://schemas.openxmlformats.org/officeDocument/2006/relationships/hyperlink" Target="https://audio.iskcondesiretree.com/01_-_Srila_Prabhupada/01_-_Lectures/01_-_English/02_-_Month_wise/04_-_April/12/SB_1-08-20_NY_1973-04-12_Queen_Kunti%27s_Humility.mp3" TargetMode="External"/><Relationship Id="rId937" Type="http://schemas.openxmlformats.org/officeDocument/2006/relationships/hyperlink" Target="https://audio.iskcondesiretree.com/01_-_Srila_Prabhupada/01_-_Lectures/01_-_English/01_-_Topic_wise/Srimad_Bhagavatam/Canto-01/SP_SB_1-08-20_New_York_1973-04-12_Queen_Kunti%27s_Humility.mp3" TargetMode="External"/><Relationship Id="rId932" Type="http://schemas.openxmlformats.org/officeDocument/2006/relationships/hyperlink" Target="https://audio.iskcondesiretree.com/01_-_Srila_Prabhupada/01_-_Lectures/01_-_English/02_-_Month_wise/04_-_April/05/Arr_NY_1973-04-05_This_Life_is_Not_Very_Congenial.mp3" TargetMode="External"/><Relationship Id="rId931" Type="http://schemas.openxmlformats.org/officeDocument/2006/relationships/hyperlink" Target="https://audio.iskcondesiretree.com/01_-_Srila_Prabhupada/01_-_Lectures/01_-_English/01_-_Topic_wise/Arrival_Address/SP_Arrival_New_York_1973-04-05_This_Life_is_Not_Very_Congenial.mp3" TargetMode="External"/><Relationship Id="rId930" Type="http://schemas.openxmlformats.org/officeDocument/2006/relationships/hyperlink" Target="https://audio.iskcondesiretree.com/01_-_Srila_Prabhupada/01_-_Lectures/02_-_Bengali/1973-03-16_Lecture_-_Mayapur.mp3" TargetMode="External"/><Relationship Id="rId936" Type="http://schemas.openxmlformats.org/officeDocument/2006/relationships/hyperlink" Target="https://audio.iskcondesiretree.com/01_-_Srila_Prabhupada/01_-_Lectures/01_-_English/02_-_Month_wise/04_-_April/10/SB_1-08-18_NY_1973-04-10_How_to_See_Greatness_of_God.mp3" TargetMode="External"/><Relationship Id="rId935" Type="http://schemas.openxmlformats.org/officeDocument/2006/relationships/hyperlink" Target="https://audio.iskcondesiretree.com/01_-_Srila_Prabhupada/01_-_Lectures/01_-_English/01_-_Topic_wise/Srimad_Bhagavatam/Canto-01/SP_SB_1-08-18_New_York_1973-04-10_How_to_See_Greatness_of_God.mp3" TargetMode="External"/><Relationship Id="rId934" Type="http://schemas.openxmlformats.org/officeDocument/2006/relationships/hyperlink" Target="https://audio.iskcondesiretree.com/01_-_Srila_Prabhupada/01_-_Lectures/01_-_English/02_-_Month_wise/04_-_April/08/Bg_04-13_NY_1973-04-08_Sunday_Feast_The_Social_Body_etc.mp3" TargetMode="External"/><Relationship Id="rId933" Type="http://schemas.openxmlformats.org/officeDocument/2006/relationships/hyperlink" Target="https://audio.iskcondesiretree.com/01_-_Srila_Prabhupada/01_-_Lectures/01_-_English/01_-_Topic_wise/Bhagavad_Gita/Chapter-04/SP_BG_04-13_New_York_1973-04-08_Sunday_Feast--The_Social_Body--etc.mp3" TargetMode="External"/><Relationship Id="rId2850" Type="http://schemas.openxmlformats.org/officeDocument/2006/relationships/hyperlink" Target="https://audio.iskcondesiretree.com/01_-_Srila_Prabhupada/01_-_Lectures/01_-_English/01_-_Topic_wise/Bhagavad_Gita/Chapter-13/SP_BG_13-01_Miami_1975-02-25_Technical_Education--etc.mp3" TargetMode="External"/><Relationship Id="rId1520" Type="http://schemas.openxmlformats.org/officeDocument/2006/relationships/hyperlink" Target="https://audio.iskcondesiretree.com/01_-_Srila_Prabhupada/01_-_Lectures/01_-_English/01_-_Topic_wise/Srimad_Bhagavatam/Canto-01/SP_SB_1-16-17_Los_Angeles_1974-01-12_Democracy-Elect_Rascal_Monarch.mp3" TargetMode="External"/><Relationship Id="rId2851" Type="http://schemas.openxmlformats.org/officeDocument/2006/relationships/hyperlink" Target="https://audio.iskcondesiretree.com/01_-_Srila_Prabhupada/01_-_Lectures/01_-_English/01_-_Topic_wise/Departure_Address/SP_Departure_Address_1975-02-25_Caracas.MP3" TargetMode="External"/><Relationship Id="rId1554" Type="http://schemas.openxmlformats.org/officeDocument/2006/relationships/hyperlink" Target="https://audio.iskcondesiretree.com/01_-_Srila_Prabhupada/01_-_Lectures/01_-_English/02_-_Month_wise/01_-_January/20/SB_1-16-24_HAW_1974-01-20_Finish_the_Business.mp3" TargetMode="External"/><Relationship Id="rId2885" Type="http://schemas.openxmlformats.org/officeDocument/2006/relationships/hyperlink" Target="https://audio.iskcondesiretree.com/01_-_Srila_Prabhupada/01_-_Lectures/01_-_English/02_-_Month_wise/03_-_March/01/Walk_1975-03-01_MW-ATLANTA.MP3" TargetMode="External"/><Relationship Id="rId1555" Type="http://schemas.openxmlformats.org/officeDocument/2006/relationships/hyperlink" Target="https://audio.iskcondesiretree.com/01_-_Srila_Prabhupada/01_-_Lectures/01_-_English/02_-_Month_wise/01_-_January/20/Walk_1974-01-20_MW-HONOLULU.MP3" TargetMode="External"/><Relationship Id="rId2886" Type="http://schemas.openxmlformats.org/officeDocument/2006/relationships/hyperlink" Target="https://audio.iskcondesiretree.com/01_-_Srila_Prabhupada/01_-_Lectures/01_-_English/01_-_Topic_wise/Festivals/SP_Festivals_Atlanta_1975-03-02_On_the_Appearance_Day_of_Srila--etc.mp3" TargetMode="External"/><Relationship Id="rId1556" Type="http://schemas.openxmlformats.org/officeDocument/2006/relationships/hyperlink" Target="https://audio.iskcondesiretree.com/01_-_Srila_Prabhupada/01_-_Lectures/01_-_English/01_-_Topic_wise/Morning_Walk/SP_Morning_Walk_-_Honolulu_1974-01-21.mp3" TargetMode="External"/><Relationship Id="rId2887" Type="http://schemas.openxmlformats.org/officeDocument/2006/relationships/hyperlink" Target="https://audio.iskcondesiretree.com/01_-_Srila_Prabhupada/01_-_Lectures/01_-_English/01_-_Topic_wise/Morning_Walk/SP_Morning_Walk_-_Atlanta_1975-03-02.MP3" TargetMode="External"/><Relationship Id="rId1557" Type="http://schemas.openxmlformats.org/officeDocument/2006/relationships/hyperlink" Target="https://audio.iskcondesiretree.com/01_-_Srila_Prabhupada/01_-_Lectures/01_-_English/01_-_Topic_wise/Srimad_Bhagavatam/Canto-01/SP_SB_1-16-25_Hawaii_1974-01-21_Finding_Happiness.mp3" TargetMode="External"/><Relationship Id="rId2888" Type="http://schemas.openxmlformats.org/officeDocument/2006/relationships/hyperlink" Target="https://audio.iskcondesiretree.com/01_-_Srila_Prabhupada/01_-_Lectures/01_-_English/01_-_Topic_wise/Room_Conversation/SP_Room_Conversation_01_Atlanta_1975-03-02.MP3" TargetMode="External"/><Relationship Id="rId1558" Type="http://schemas.openxmlformats.org/officeDocument/2006/relationships/hyperlink" Target="https://audio.iskcondesiretree.com/01_-_Srila_Prabhupada/01_-_Lectures/01_-_English/02_-_Month_wise/01_-_January/21/SB-01-16-25%E2%80%9330_1974-01-21_SB-HONOLULU.MP3" TargetMode="External"/><Relationship Id="rId2889" Type="http://schemas.openxmlformats.org/officeDocument/2006/relationships/hyperlink" Target="https://audio.iskcondesiretree.com/01_-_Srila_Prabhupada/01_-_Lectures/01_-_English/01_-_Topic_wise/Room_Conversation/SP_Room_Conversation_02_Atlanta_1975-03-02.MP3" TargetMode="External"/><Relationship Id="rId1559" Type="http://schemas.openxmlformats.org/officeDocument/2006/relationships/hyperlink" Target="https://audio.iskcondesiretree.com/01_-_Srila_Prabhupada/01_-_Lectures/01_-_English/02_-_Month_wise/01_-_January/21/SB_1-16-25_HAW_1974-01-21_Finding_Happiness.mp3" TargetMode="External"/><Relationship Id="rId965" Type="http://schemas.openxmlformats.org/officeDocument/2006/relationships/hyperlink" Target="https://audio.iskcondesiretree.com/01_-_Srila_Prabhupada/01_-_Lectures/01_-_English/01_-_Topic_wise/Srimad_Bhagavatam/Canto-01/SP_SB_1-08-31_Los_Angeles_1973-04-23_Increase_Your_Love_for_Krishna.mp3" TargetMode="External"/><Relationship Id="rId964" Type="http://schemas.openxmlformats.org/officeDocument/2006/relationships/hyperlink" Target="https://audio.iskcondesiretree.com/01_-_Srila_Prabhupada/01_-_Lectures/01_-_English/02_-_Month_wise/04_-_April/22/SB_1-08-30_LA_1973-04-22_Chant_Chant_Chant_Can%27t_etc.mp3" TargetMode="External"/><Relationship Id="rId963" Type="http://schemas.openxmlformats.org/officeDocument/2006/relationships/hyperlink" Target="https://audio.iskcondesiretree.com/01_-_Srila_Prabhupada/01_-_Lectures/01_-_English/01_-_Topic_wise/Srimad_Bhagavatam/Canto-01/SP_SB_1-08-30_Los_Angeles_1973-04-22_Chant_Chant_Chant--Can%27t--etc.mp3" TargetMode="External"/><Relationship Id="rId962" Type="http://schemas.openxmlformats.org/officeDocument/2006/relationships/hyperlink" Target="https://audio.iskcondesiretree.com/01_-_Srila_Prabhupada/01_-_Lectures/01_-_English/02_-_Month_wise/04_-_April/21/SB_1-08-29_LA_1973-04-21_Try_to_Satisfy_Krishna.mp3" TargetMode="External"/><Relationship Id="rId969" Type="http://schemas.openxmlformats.org/officeDocument/2006/relationships/hyperlink" Target="https://audio.iskcondesiretree.com/01_-_Srila_Prabhupada/01_-_Lectures/01_-_English/01_-_Topic_wise/Srimad_Bhagavatam/Canto-01/SP_SB_1-08-33_Los_Angeles_1973-04-25_Converting_Crows_Into_Swans.mp3" TargetMode="External"/><Relationship Id="rId968" Type="http://schemas.openxmlformats.org/officeDocument/2006/relationships/hyperlink" Target="https://audio.iskcondesiretree.com/01_-_Srila_Prabhupada/01_-_Lectures/01_-_English/02_-_Month_wise/04_-_April/24/SB_1-08-32_LA_1973-04-24_Why_Does_the_Unborn_Take_Birth.mp3" TargetMode="External"/><Relationship Id="rId967" Type="http://schemas.openxmlformats.org/officeDocument/2006/relationships/hyperlink" Target="https://audio.iskcondesiretree.com/01_-_Srila_Prabhupada/01_-_Lectures/01_-_English/01_-_Topic_wise/Srimad_Bhagavatam/Canto-01/SP_SB_1-08-32_Los_Angeles_1973-04-24_Why_Does_the_Unborn_Take_Birth.mp3" TargetMode="External"/><Relationship Id="rId966" Type="http://schemas.openxmlformats.org/officeDocument/2006/relationships/hyperlink" Target="https://audio.iskcondesiretree.com/01_-_Srila_Prabhupada/01_-_Lectures/01_-_English/02_-_Month_wise/04_-_April/23/SB_1-08-31_LA_1973-04-23_Increase_Your_Love_for_Krishna.mp3" TargetMode="External"/><Relationship Id="rId2880" Type="http://schemas.openxmlformats.org/officeDocument/2006/relationships/hyperlink" Target="https://audio.iskcondesiretree.com/01_-_Srila_Prabhupada/01_-_Lectures/01_-_English/02_-_Month_wise/03_-_March/01/Conv_1975-03-01_R2-ATLANTA.MP3" TargetMode="External"/><Relationship Id="rId961" Type="http://schemas.openxmlformats.org/officeDocument/2006/relationships/hyperlink" Target="https://audio.iskcondesiretree.com/01_-_Srila_Prabhupada/01_-_Lectures/01_-_English/01_-_Topic_wise/Srimad_Bhagavatam/Canto-01/SP_SB_1-08-29_Los_Angeles_1973-04-21_Try_to_Satisfy_Krishna.mp3" TargetMode="External"/><Relationship Id="rId1550" Type="http://schemas.openxmlformats.org/officeDocument/2006/relationships/hyperlink" Target="https://audio.iskcondesiretree.com/01_-_Srila_Prabhupada/01_-_Lectures/01_-_English/02_-_Month_wise/01_-_January/19/Walk_1974-01-19_MW-HONOLULU.MP3" TargetMode="External"/><Relationship Id="rId2881" Type="http://schemas.openxmlformats.org/officeDocument/2006/relationships/hyperlink" Target="https://audio.iskcondesiretree.com/01_-_Srila_Prabhupada/01_-_Lectures/01_-_English/02_-_Month_wise/03_-_March/01/MW_ATL_1975-03-01_Don%27t_Speculate-Hear.mp3" TargetMode="External"/><Relationship Id="rId960" Type="http://schemas.openxmlformats.org/officeDocument/2006/relationships/hyperlink" Target="https://audio.iskcondesiretree.com/01_-_Srila_Prabhupada/01_-_Lectures/01_-_English/02_-_Month_wise/04_-_April/20/SB_1-08-28_LA_1973-04-20_Krishna_Is_Equal_to_Everyone.mp3" TargetMode="External"/><Relationship Id="rId1551" Type="http://schemas.openxmlformats.org/officeDocument/2006/relationships/hyperlink" Target="https://audio.iskcondesiretree.com/01_-_Srila_Prabhupada/01_-_Lectures/01_-_English/01_-_Topic_wise/Morning_Walk/SP_Morning_Walk_-_Honolulu_1974-01-20.mp3" TargetMode="External"/><Relationship Id="rId2882" Type="http://schemas.openxmlformats.org/officeDocument/2006/relationships/hyperlink" Target="https://audio.iskcondesiretree.com/01_-_Srila_Prabhupada/01_-_Lectures/01_-_English/02_-_Month_wise/03_-_March/01/RC_ATL_1975-03-01_Prof_of_Religion--Everyone_Creating_etc.mp3" TargetMode="External"/><Relationship Id="rId1552" Type="http://schemas.openxmlformats.org/officeDocument/2006/relationships/hyperlink" Target="https://audio.iskcondesiretree.com/01_-_Srila_Prabhupada/01_-_Lectures/01_-_English/01_-_Topic_wise/Srimad_Bhagavatam/Canto-01/SP_SB_1-16-24_Hawaii_1974-01-20_Finish_the_Business.mp3" TargetMode="External"/><Relationship Id="rId2883" Type="http://schemas.openxmlformats.org/officeDocument/2006/relationships/hyperlink" Target="https://audio.iskcondesiretree.com/01_-_Srila_Prabhupada/01_-_Lectures/01_-_English/02_-_Month_wise/03_-_March/01/RC_ATL_1975-03-01_Svarupa_Damodar--Origin_of_Specious_Theories.mp3" TargetMode="External"/><Relationship Id="rId1553" Type="http://schemas.openxmlformats.org/officeDocument/2006/relationships/hyperlink" Target="https://audio.iskcondesiretree.com/01_-_Srila_Prabhupada/01_-_Lectures/01_-_English/02_-_Month_wise/01_-_January/20/SB-01-16-24_1974-01-20_SB-HONOLULU.MP3" TargetMode="External"/><Relationship Id="rId2884" Type="http://schemas.openxmlformats.org/officeDocument/2006/relationships/hyperlink" Target="https://audio.iskcondesiretree.com/01_-_Srila_Prabhupada/01_-_Lectures/01_-_English/02_-_Month_wise/03_-_March/01/RC_ATL_1975-03-01_Svarupa_Damodar--Science-No_Chance.mp3" TargetMode="External"/><Relationship Id="rId1543" Type="http://schemas.openxmlformats.org/officeDocument/2006/relationships/hyperlink" Target="https://audio.iskcondesiretree.com/01_-_Srila_Prabhupada/01_-_Lectures/01_-_English/02_-_Month_wise/01_-_January/18/SB-01-16-22_1974-01-18_SB-HONOLULU.MP3" TargetMode="External"/><Relationship Id="rId2874" Type="http://schemas.openxmlformats.org/officeDocument/2006/relationships/hyperlink" Target="https://audio.iskcondesiretree.com/01_-_Srila_Prabhupada/01_-_Lectures/01_-_English/01_-_Topic_wise/Room_Conversation/SP_Room_Conversation_Atlanta_1975-03-01_Prof_of_Religion--Everyone_Creating--etc.mp3" TargetMode="External"/><Relationship Id="rId1544" Type="http://schemas.openxmlformats.org/officeDocument/2006/relationships/hyperlink" Target="https://audio.iskcondesiretree.com/01_-_Srila_Prabhupada/01_-_Lectures/01_-_English/02_-_Month_wise/01_-_January/18/SB_1-16-22_HAW_1974-01-18_Cow_Killing-Rascal_Government.mp3" TargetMode="External"/><Relationship Id="rId2875" Type="http://schemas.openxmlformats.org/officeDocument/2006/relationships/hyperlink" Target="https://audio.iskcondesiretree.com/01_-_Srila_Prabhupada/01_-_Lectures/01_-_English/01_-_Topic_wise/Room_Conversation/SP_Room_Conversation_Atlanta_1975-03-01_Svarupa_Damodar--Origin_of_Specious_Theories.mp3" TargetMode="External"/><Relationship Id="rId1545" Type="http://schemas.openxmlformats.org/officeDocument/2006/relationships/hyperlink" Target="https://audio.iskcondesiretree.com/01_-_Srila_Prabhupada/01_-_Lectures/01_-_English/02_-_Month_wise/01_-_January/18/Walk_1974-01-18_MW-HONOLULU.MP3" TargetMode="External"/><Relationship Id="rId2876" Type="http://schemas.openxmlformats.org/officeDocument/2006/relationships/hyperlink" Target="https://audio.iskcondesiretree.com/01_-_Srila_Prabhupada/01_-_Lectures/01_-_English/01_-_Topic_wise/Room_Conversation/SP_Room_Conversation_Atlanta_1975-03-01_Svarupa_Damodar--Science-No_Chance.mp3" TargetMode="External"/><Relationship Id="rId1546" Type="http://schemas.openxmlformats.org/officeDocument/2006/relationships/hyperlink" Target="https://audio.iskcondesiretree.com/01_-_Srila_Prabhupada/01_-_Lectures/01_-_English/01_-_Topic_wise/Morning_Walk/SP_Morning_Walk_-_Honolulu_1974-01-19.mp3" TargetMode="External"/><Relationship Id="rId2877" Type="http://schemas.openxmlformats.org/officeDocument/2006/relationships/hyperlink" Target="https://audio.iskcondesiretree.com/01_-_Srila_Prabhupada/01_-_Lectures/01_-_English/02_-_Month_wise/03_-_March/01/Cc_A_7-01_ATL_1975-03-01_The_Vulturous_and_the_Virtuous.mp3" TargetMode="External"/><Relationship Id="rId1547" Type="http://schemas.openxmlformats.org/officeDocument/2006/relationships/hyperlink" Target="https://audio.iskcondesiretree.com/01_-_Srila_Prabhupada/01_-_Lectures/01_-_English/01_-_Topic_wise/Srimad_Bhagavatam/Canto-01/SP_SB_1-16-23_Hawaii_1974-01-19_Beware_the_Busy_Fool.mp3" TargetMode="External"/><Relationship Id="rId2878" Type="http://schemas.openxmlformats.org/officeDocument/2006/relationships/hyperlink" Target="https://audio.iskcondesiretree.com/01_-_Srila_Prabhupada/01_-_Lectures/01_-_English/02_-_Month_wise/03_-_March/01/CcAdi-07-001_1975-03-01_CC-ATLANTA.MP3" TargetMode="External"/><Relationship Id="rId1548" Type="http://schemas.openxmlformats.org/officeDocument/2006/relationships/hyperlink" Target="https://audio.iskcondesiretree.com/01_-_Srila_Prabhupada/01_-_Lectures/01_-_English/02_-_Month_wise/01_-_January/19/SB-01-16-23_1974-01-19_SB-HONOLULU.MP3" TargetMode="External"/><Relationship Id="rId2879" Type="http://schemas.openxmlformats.org/officeDocument/2006/relationships/hyperlink" Target="https://audio.iskcondesiretree.com/01_-_Srila_Prabhupada/01_-_Lectures/01_-_English/02_-_Month_wise/03_-_March/01/Conv_1975-03-01_R1-ATLANTA.MP3" TargetMode="External"/><Relationship Id="rId1549" Type="http://schemas.openxmlformats.org/officeDocument/2006/relationships/hyperlink" Target="https://audio.iskcondesiretree.com/01_-_Srila_Prabhupada/01_-_Lectures/01_-_English/02_-_Month_wise/01_-_January/19/SB_1-16-23_HAW_1974-01-19_Beware_the_Busy_Fool.mp3" TargetMode="External"/><Relationship Id="rId959" Type="http://schemas.openxmlformats.org/officeDocument/2006/relationships/hyperlink" Target="https://audio.iskcondesiretree.com/01_-_Srila_Prabhupada/01_-_Lectures/01_-_English/01_-_Topic_wise/Srimad_Bhagavatam/Canto-01/SP_SB_1-08-28_Los_Angeles_1973-04-20_Krishna_Is_Equal_to_Everyone.mp3" TargetMode="External"/><Relationship Id="rId954" Type="http://schemas.openxmlformats.org/officeDocument/2006/relationships/hyperlink" Target="https://audio.iskcondesiretree.com/01_-_Srila_Prabhupada/01_-_Lectures/01_-_English/02_-_Month_wise/04_-_April/18/SB_1-08-26_LA_1973-04-18_Krishna_Conscious_Communism.mp3" TargetMode="External"/><Relationship Id="rId953" Type="http://schemas.openxmlformats.org/officeDocument/2006/relationships/hyperlink" Target="https://audio.iskcondesiretree.com/01_-_Srila_Prabhupada/01_-_Lectures/01_-_English/01_-_Topic_wise/Srimad_Bhagavatam/Canto-01/SP_SB_1-08-26_Los_Angeles_1973-04-18_Krishna_Conscious_Communism.mp3" TargetMode="External"/><Relationship Id="rId952" Type="http://schemas.openxmlformats.org/officeDocument/2006/relationships/hyperlink" Target="https://audio.iskcondesiretree.com/01_-_Srila_Prabhupada/01_-_Lectures/01_-_English/02_-_Month_wise/04_-_April/17/SB_1-08-25_LA_1973-04-17_Cross_This_Ocean_of_Danger.mp3" TargetMode="External"/><Relationship Id="rId951" Type="http://schemas.openxmlformats.org/officeDocument/2006/relationships/hyperlink" Target="https://audio.iskcondesiretree.com/01_-_Srila_Prabhupada/01_-_Lectures/01_-_English/01_-_Topic_wise/Srimad_Bhagavatam/Canto-01/SP_SB_1-08-25_Los_Angeles_1973-04-17_Cross_This_Ocean_of_Danger.mp3" TargetMode="External"/><Relationship Id="rId958" Type="http://schemas.openxmlformats.org/officeDocument/2006/relationships/hyperlink" Target="https://audio.iskcondesiretree.com/01_-_Srila_Prabhupada/01_-_Lectures/01_-_English/02_-_Month_wise/04_-_April/19/SB_1-08-27_LA_1973-04-19_Predominator_to_Predominated.mp3" TargetMode="External"/><Relationship Id="rId957" Type="http://schemas.openxmlformats.org/officeDocument/2006/relationships/hyperlink" Target="https://audio.iskcondesiretree.com/01_-_Srila_Prabhupada/01_-_Lectures/01_-_English/02_-_Month_wise/04_-_April/19/MW_LA_1973-04-19_The_Scientists_Bluff.mp3" TargetMode="External"/><Relationship Id="rId956" Type="http://schemas.openxmlformats.org/officeDocument/2006/relationships/hyperlink" Target="https://audio.iskcondesiretree.com/01_-_Srila_Prabhupada/01_-_Lectures/01_-_English/01_-_Topic_wise/Srimad_Bhagavatam/Canto-01/SP_SB_1-08-27_Los_Angeles_1973-04-19_Predominator_to_Predominated.mp3" TargetMode="External"/><Relationship Id="rId955" Type="http://schemas.openxmlformats.org/officeDocument/2006/relationships/hyperlink" Target="https://audio.iskcondesiretree.com/01_-_Srila_Prabhupada/01_-_Lectures/01_-_English/01_-_Topic_wise/Morning_Walk/SP_Morning_Walk_-_Los_Angeles_1973-04-19_The_Scientists%27_Bluff.mp3" TargetMode="External"/><Relationship Id="rId950" Type="http://schemas.openxmlformats.org/officeDocument/2006/relationships/hyperlink" Target="https://audio.iskcondesiretree.com/01_-_Srila_Prabhupada/01_-_Lectures/01_-_English/02_-_Month_wise/04_-_April/16/SB_1-08-24_LA_1973-04-16_If_Krishna_Wants_to_Protect_etc.mp3" TargetMode="External"/><Relationship Id="rId2870" Type="http://schemas.openxmlformats.org/officeDocument/2006/relationships/hyperlink" Target="https://audio.iskcondesiretree.com/01_-_Srila_Prabhupada/01_-_Lectures/01_-_English/02_-_Month_wise/02_-_Feburary/28/RC_ATL_1975-02-28_Svarupa_Damodar--Research_Means_Rascal.mp3" TargetMode="External"/><Relationship Id="rId1540" Type="http://schemas.openxmlformats.org/officeDocument/2006/relationships/hyperlink" Target="https://audio.iskcondesiretree.com/01_-_Srila_Prabhupada/01_-_Lectures/01_-_English/01_-_Topic_wise/Srimad_Bhagavatam/Canto-01/SP_SB_1-16-22_Hawaii_1974-01-18_Cow_Killing-Rascal_Government.mp3" TargetMode="External"/><Relationship Id="rId2871" Type="http://schemas.openxmlformats.org/officeDocument/2006/relationships/hyperlink" Target="https://audio.iskcondesiretree.com/01_-_Srila_Prabhupada/01_-_Lectures/04_-_Translation/Portuguese/More/SP_Various_-_Conversation_-_1975-02-28_Atlanta.mp3" TargetMode="External"/><Relationship Id="rId1541" Type="http://schemas.openxmlformats.org/officeDocument/2006/relationships/hyperlink" Target="https://audio.iskcondesiretree.com/01_-_Srila_Prabhupada/01_-_Lectures/01_-_English/01_-_Topic_wise/Srimad_Bhagavatam/Canto-02/SP_SB_02-01-03_Vrindavan_1974-01-18.mp3" TargetMode="External"/><Relationship Id="rId2872" Type="http://schemas.openxmlformats.org/officeDocument/2006/relationships/hyperlink" Target="https://audio.iskcondesiretree.com/01_-_Srila_Prabhupada/01_-_Lectures/01_-_English/01_-_Topic_wise/Chaitanya_Charitamrita/Adi_Lila/SP_CC_A_07-01_Atlanta_1975-03-01_The_Vulturous_and_the_Virtuous.mp3" TargetMode="External"/><Relationship Id="rId1542" Type="http://schemas.openxmlformats.org/officeDocument/2006/relationships/hyperlink" Target="https://audio.iskcondesiretree.com/01_-_Srila_Prabhupada/01_-_Lectures/01_-_English/02_-_Month_wise/01_-_January/18/MW_HAW_1974-01-18_We_Controllers_Are_Getting_Kicked.mp3" TargetMode="External"/><Relationship Id="rId2873" Type="http://schemas.openxmlformats.org/officeDocument/2006/relationships/hyperlink" Target="https://audio.iskcondesiretree.com/01_-_Srila_Prabhupada/01_-_Lectures/01_-_English/01_-_Topic_wise/Morning_Walk/SP_Morning_Walk_-_Atlanta_1975-03-01_Don%27t_Speculate-Hear%21.mp3" TargetMode="External"/><Relationship Id="rId5130" Type="http://schemas.openxmlformats.org/officeDocument/2006/relationships/hyperlink" Target="https://audio.iskcondesiretree.com/01_-_Srila_Prabhupada/01_-_Lectures/01_-_English/02_-_Month_wise/08_-_August/17/Interview_1976-08-17_IV-HYDERABAD.MP3" TargetMode="External"/><Relationship Id="rId5131" Type="http://schemas.openxmlformats.org/officeDocument/2006/relationships/hyperlink" Target="https://audio.iskcondesiretree.com/01_-_Srila_Prabhupada/01_-_Lectures/01_-_English/01_-_Topic_wise/Festivals/SP_Festivals_Hyderabad_1976-08-18_Temple_Opening--Krishna--etc.mp3" TargetMode="External"/><Relationship Id="rId5134" Type="http://schemas.openxmlformats.org/officeDocument/2006/relationships/hyperlink" Target="https://audio.iskcondesiretree.com/01_-_Srila_Prabhupada/01_-_Lectures/01_-_English/01_-_Topic_wise/Festivals/SP_Festivals_Hyderabad_1976-08-19_Vyasa-puja--How_to_Avoid_Reincarnation.mp3" TargetMode="External"/><Relationship Id="rId5135" Type="http://schemas.openxmlformats.org/officeDocument/2006/relationships/hyperlink" Target="https://audio.iskcondesiretree.com/01_-_Srila_Prabhupada/01_-_Lectures/01_-_English/02_-_Month_wise/08_-_August/19/Conv_1976-08-19_R1-HYDERABAD.MP3" TargetMode="External"/><Relationship Id="rId5132" Type="http://schemas.openxmlformats.org/officeDocument/2006/relationships/hyperlink" Target="https://audio.iskcondesiretree.com/01_-_Srila_Prabhupada/01_-_Lectures/01_-_English/02_-_Month_wise/08_-_August/18/Fest_HYD_1976-08-18_Temple_Opening_Krishna_etc.mp3" TargetMode="External"/><Relationship Id="rId5133" Type="http://schemas.openxmlformats.org/officeDocument/2006/relationships/hyperlink" Target="https://audio.iskcondesiretree.com/01_-_Srila_Prabhupada/01_-_Lectures/01_-_English/02_-_Month_wise/08_-_August/18/SB-01-07-06_1976-08-18_SB-HYDERABAD.MP3" TargetMode="External"/><Relationship Id="rId5138" Type="http://schemas.openxmlformats.org/officeDocument/2006/relationships/hyperlink" Target="https://audio.iskcondesiretree.com/01_-_Srila_Prabhupada/01_-_Lectures/01_-_English/02_-_Month_wise/08_-_August/19/VyasaPuja_1976-08-19_VP-HYDERABAD.MP3" TargetMode="External"/><Relationship Id="rId5139" Type="http://schemas.openxmlformats.org/officeDocument/2006/relationships/hyperlink" Target="https://audio.iskcondesiretree.com/01_-_Srila_Prabhupada/01_-_Lectures/01_-_English/02_-_Month_wise/08_-_August/20/Conv_1976-08-20_R1-HYDERABAD.MP3" TargetMode="External"/><Relationship Id="rId5136" Type="http://schemas.openxmlformats.org/officeDocument/2006/relationships/hyperlink" Target="https://audio.iskcondesiretree.com/01_-_Srila_Prabhupada/01_-_Lectures/01_-_English/02_-_Month_wise/08_-_August/19/Conv_1976-08-19_R2-HYDERABAD.MP3" TargetMode="External"/><Relationship Id="rId5137" Type="http://schemas.openxmlformats.org/officeDocument/2006/relationships/hyperlink" Target="https://audio.iskcondesiretree.com/01_-_Srila_Prabhupada/01_-_Lectures/01_-_English/02_-_Month_wise/08_-_August/19/Fest_HYD_1976-08-19_Vyasa-puja-How_to_Avoid_Reincarnation.mp3" TargetMode="External"/><Relationship Id="rId5129" Type="http://schemas.openxmlformats.org/officeDocument/2006/relationships/hyperlink" Target="https://audio.iskcondesiretree.com/01_-_Srila_Prabhupada/01_-_Lectures/01_-_English/02_-_Month_wise/08_-_August/17/Interv_HYD_1976-08-17_Press-Spiritual_Re-education_etc.mp3" TargetMode="External"/><Relationship Id="rId5120" Type="http://schemas.openxmlformats.org/officeDocument/2006/relationships/hyperlink" Target="https://audio.iskcondesiretree.com/01_-_Srila_Prabhupada/01_-_Lectures/01_-_English/02_-_Month_wise/08_-_August/16/Speech_1976-08-16_SP-HYDERABAD.MP3" TargetMode="External"/><Relationship Id="rId5123" Type="http://schemas.openxmlformats.org/officeDocument/2006/relationships/hyperlink" Target="https://audio.iskcondesiretree.com/01_-_Srila_Prabhupada/01_-_Lectures/01_-_English/01_-_Topic_wise/Interview/SP_Interview_Hyderabad_1976-08-17_Press--Spiritual_Re-education--etc.mp3" TargetMode="External"/><Relationship Id="rId5124" Type="http://schemas.openxmlformats.org/officeDocument/2006/relationships/hyperlink" Target="https://audio.iskcondesiretree.com/01_-_Srila_Prabhupada/01_-_Lectures/01_-_English/02_-_Month_wise/08_-_August/17/Bg-13-22_1976-08-17_BG-HYDERABAD.MP3" TargetMode="External"/><Relationship Id="rId5121" Type="http://schemas.openxmlformats.org/officeDocument/2006/relationships/hyperlink" Target="https://audio.iskcondesiretree.com/01_-_Srila_Prabhupada/01_-_Lectures/01_-_English/01_-_Topic_wise/Bhagavad_Gita/Chapter-13/SP_BG_13-22_Hyderabad_1976-08-17_At_Any_Moment--Kicked_Out.mp3" TargetMode="External"/><Relationship Id="rId5122" Type="http://schemas.openxmlformats.org/officeDocument/2006/relationships/hyperlink" Target="https://audio.iskcondesiretree.com/01_-_Srila_Prabhupada/01_-_Lectures/01_-_English/01_-_Topic_wise/Chaitanya_Charitamrita/Madhya_Lila/SP_CC_M_20-395_Hyderabad_1976-08-17_Vaisnava_Philosophy.mp3" TargetMode="External"/><Relationship Id="rId5127" Type="http://schemas.openxmlformats.org/officeDocument/2006/relationships/hyperlink" Target="https://audio.iskcondesiretree.com/01_-_Srila_Prabhupada/01_-_Lectures/01_-_English/02_-_Month_wise/08_-_August/17/CcMadhya-20-395_1976-08-17_CC-HYDERABAD.MP3" TargetMode="External"/><Relationship Id="rId5128" Type="http://schemas.openxmlformats.org/officeDocument/2006/relationships/hyperlink" Target="https://audio.iskcondesiretree.com/01_-_Srila_Prabhupada/01_-_Lectures/01_-_English/02_-_Month_wise/08_-_August/17/Conv_1976-08-17_R1-HYDERABAD.MP3" TargetMode="External"/><Relationship Id="rId5125" Type="http://schemas.openxmlformats.org/officeDocument/2006/relationships/hyperlink" Target="https://audio.iskcondesiretree.com/01_-_Srila_Prabhupada/01_-_Lectures/01_-_English/02_-_Month_wise/08_-_August/17/Bg_13-22_HYD_1976-08-17_At_Any_Moment_Kicked_Out.mp3" TargetMode="External"/><Relationship Id="rId5126" Type="http://schemas.openxmlformats.org/officeDocument/2006/relationships/hyperlink" Target="https://audio.iskcondesiretree.com/01_-_Srila_Prabhupada/01_-_Lectures/01_-_English/02_-_Month_wise/08_-_August/17/Cc_M_20-395_HYD_1976-08-17_Vaisnava_Philosophy.mp3" TargetMode="External"/><Relationship Id="rId5152" Type="http://schemas.openxmlformats.org/officeDocument/2006/relationships/hyperlink" Target="https://audio.iskcondesiretree.com/01_-_Srila_Prabhupada/01_-_Lectures/01_-_English/02_-_Month_wise/08_-_August/22/RC_HYD_1976-08-22_A_Favorable_Newspaper_Article.mp3" TargetMode="External"/><Relationship Id="rId5153" Type="http://schemas.openxmlformats.org/officeDocument/2006/relationships/hyperlink" Target="https://audio.iskcondesiretree.com/01_-_Srila_Prabhupada/01_-_Lectures/01_-_English/02_-_Month_wise/08_-_August/22/RC_HYD_1976-08-22_Government_Minister_Relief_from_etc.mp3" TargetMode="External"/><Relationship Id="rId5150" Type="http://schemas.openxmlformats.org/officeDocument/2006/relationships/hyperlink" Target="https://audio.iskcondesiretree.com/01_-_Srila_Prabhupada/01_-_Lectures/01_-_English/02_-_Month_wise/08_-_August/22/Conv_1976-08-22_R3-HYDERABAD.MP3" TargetMode="External"/><Relationship Id="rId5151" Type="http://schemas.openxmlformats.org/officeDocument/2006/relationships/hyperlink" Target="https://audio.iskcondesiretree.com/01_-_Srila_Prabhupada/01_-_Lectures/01_-_English/02_-_Month_wise/08_-_August/22/Initiations_1976-08-22-IN-HYDERABAD.MP3" TargetMode="External"/><Relationship Id="rId5156" Type="http://schemas.openxmlformats.org/officeDocument/2006/relationships/hyperlink" Target="https://audio.iskcondesiretree.com/01_-_Srila_Prabhupada/01_-_Lectures/01_-_English/01_-_Topic_wise/Room_Conversation/SP_Room_Conversation_Hyderabad_1976-08-24_Sweepers_Lepers_and_Government_Ministers.mp3" TargetMode="External"/><Relationship Id="rId5157" Type="http://schemas.openxmlformats.org/officeDocument/2006/relationships/hyperlink" Target="https://audio.iskcondesiretree.com/01_-_Srila_Prabhupada/01_-_Lectures/01_-_English/02_-_Month_wise/08_-_August/24/Conv_1976-08-24_R1-HYDERABAD.MP3" TargetMode="External"/><Relationship Id="rId5154" Type="http://schemas.openxmlformats.org/officeDocument/2006/relationships/hyperlink" Target="https://audio.iskcondesiretree.com/01_-_Srila_Prabhupada/01_-_Lectures/01_-_English/02_-_Month_wise/08_-_August/22/RC_HYD_1976-08-22_Government_Ministers_Government_etc.mp3" TargetMode="External"/><Relationship Id="rId5155" Type="http://schemas.openxmlformats.org/officeDocument/2006/relationships/hyperlink" Target="https://audio.iskcondesiretree.com/01_-_Srila_Prabhupada/01_-_Lectures/01_-_English/02_-_Month_wise/08_-_August/23/Walk_1976-08-23_MW-HYDERABAD.MP3" TargetMode="External"/><Relationship Id="rId5158" Type="http://schemas.openxmlformats.org/officeDocument/2006/relationships/hyperlink" Target="https://audio.iskcondesiretree.com/01_-_Srila_Prabhupada/01_-_Lectures/01_-_English/02_-_Month_wise/08_-_August/24/Conv_1976-08-24_R2-HYDERABAD.MP3" TargetMode="External"/><Relationship Id="rId5159" Type="http://schemas.openxmlformats.org/officeDocument/2006/relationships/hyperlink" Target="https://audio.iskcondesiretree.com/01_-_Srila_Prabhupada/01_-_Lectures/01_-_English/02_-_Month_wise/08_-_August/24/Conv_1976-08-24_R3-HYDERABAD.MP3" TargetMode="External"/><Relationship Id="rId5141" Type="http://schemas.openxmlformats.org/officeDocument/2006/relationships/hyperlink" Target="https://audio.iskcondesiretree.com/01_-_Srila_Prabhupada/01_-_Lectures/01_-_English/02_-_Month_wise/08_-_August/21/Conv_1976-08-21_R2-HYDERABAD.MP3" TargetMode="External"/><Relationship Id="rId5142" Type="http://schemas.openxmlformats.org/officeDocument/2006/relationships/hyperlink" Target="https://audio.iskcondesiretree.com/01_-_Srila_Prabhupada/01_-_Lectures/01_-_English/01_-_Topic_wise/Bhagavad_Gita/Chapter-07/SP_BG_07-01_Hyderabad_1976-08-22_Increase_Your_Attachment_to_the_Lord.mp3" TargetMode="External"/><Relationship Id="rId5140" Type="http://schemas.openxmlformats.org/officeDocument/2006/relationships/hyperlink" Target="https://audio.iskcondesiretree.com/01_-_Srila_Prabhupada/01_-_Lectures/01_-_English/02_-_Month_wise/08_-_August/21/Conv_1976-08-21_R1-HYDERABAD.MP3" TargetMode="External"/><Relationship Id="rId5145" Type="http://schemas.openxmlformats.org/officeDocument/2006/relationships/hyperlink" Target="https://audio.iskcondesiretree.com/01_-_Srila_Prabhupada/01_-_Lectures/01_-_English/01_-_Topic_wise/Room_Conversation/SP_Room_Conversation_Hyderabad_1976-08-22_Government_Ministers--Government--etc.mp3" TargetMode="External"/><Relationship Id="rId5146" Type="http://schemas.openxmlformats.org/officeDocument/2006/relationships/hyperlink" Target="https://audio.iskcondesiretree.com/01_-_Srila_Prabhupada/01_-_Lectures/01_-_English/02_-_Month_wise/08_-_August/22/Bg-07-01_1976-08-22_BG-HYDERABAD.MP3" TargetMode="External"/><Relationship Id="rId5143" Type="http://schemas.openxmlformats.org/officeDocument/2006/relationships/hyperlink" Target="https://audio.iskcondesiretree.com/01_-_Srila_Prabhupada/01_-_Lectures/01_-_English/01_-_Topic_wise/Room_Conversation/SP_Room_Conversation_Hyderabad_1976-08-22_A_Favorable_Newspaper_Article.mp3" TargetMode="External"/><Relationship Id="rId5144" Type="http://schemas.openxmlformats.org/officeDocument/2006/relationships/hyperlink" Target="https://audio.iskcondesiretree.com/01_-_Srila_Prabhupada/01_-_Lectures/01_-_English/01_-_Topic_wise/Room_Conversation/SP_Room_Conversation_Hyderabad_1976-08-22_Government_Minister--Relief_from--etc.mp3" TargetMode="External"/><Relationship Id="rId5149" Type="http://schemas.openxmlformats.org/officeDocument/2006/relationships/hyperlink" Target="https://audio.iskcondesiretree.com/01_-_Srila_Prabhupada/01_-_Lectures/01_-_English/02_-_Month_wise/08_-_August/22/Conv_1976-08-22_R2-HYDERABAD.MP3" TargetMode="External"/><Relationship Id="rId5147" Type="http://schemas.openxmlformats.org/officeDocument/2006/relationships/hyperlink" Target="https://audio.iskcondesiretree.com/01_-_Srila_Prabhupada/01_-_Lectures/01_-_English/02_-_Month_wise/08_-_August/22/Bg_07-01_HYD_1976-08-22_Increase_Your_Attachment_to_the_Lord.mp3" TargetMode="External"/><Relationship Id="rId5148" Type="http://schemas.openxmlformats.org/officeDocument/2006/relationships/hyperlink" Target="https://audio.iskcondesiretree.com/01_-_Srila_Prabhupada/01_-_Lectures/01_-_English/02_-_Month_wise/08_-_August/22/Conv_1976-08-22_R1-HYDERABAD.MP3" TargetMode="External"/><Relationship Id="rId5118" Type="http://schemas.openxmlformats.org/officeDocument/2006/relationships/hyperlink" Target="https://audio.iskcondesiretree.com/01_-_Srila_Prabhupada/01_-_Lectures/01_-_English/02_-_Month_wise/08_-_August/16/Darshan_1976-08-16_AR-HYDERABAD.MP3" TargetMode="External"/><Relationship Id="rId5119" Type="http://schemas.openxmlformats.org/officeDocument/2006/relationships/hyperlink" Target="https://audio.iskcondesiretree.com/01_-_Srila_Prabhupada/01_-_Lectures/01_-_English/02_-_Month_wise/08_-_August/16/RC_BOM_1976-08-16_Prestige-No_Match_for_Karma.mp3" TargetMode="External"/><Relationship Id="rId5112" Type="http://schemas.openxmlformats.org/officeDocument/2006/relationships/hyperlink" Target="https://audio.iskcondesiretree.com/01_-_Srila_Prabhupada/01_-_Lectures/01_-_English/02_-_Month_wise/08_-_August/14/RC_BOM_1976-08-14_Spreading_Krishna%27s_Instructions.mp3" TargetMode="External"/><Relationship Id="rId5113" Type="http://schemas.openxmlformats.org/officeDocument/2006/relationships/hyperlink" Target="https://audio.iskcondesiretree.com/01_-_Srila_Prabhupada/01_-_Lectures/01_-_English/02_-_Month_wise/08_-_August/15/Darshan_1976-08-15_ED-BOMBAY.MP3" TargetMode="External"/><Relationship Id="rId5110" Type="http://schemas.openxmlformats.org/officeDocument/2006/relationships/hyperlink" Target="https://audio.iskcondesiretree.com/01_-_Srila_Prabhupada/01_-_Lectures/01_-_English/02_-_Month_wise/08_-_August/14/MW_BOM_1976-08-14_Cow_Care.mp3" TargetMode="External"/><Relationship Id="rId5111" Type="http://schemas.openxmlformats.org/officeDocument/2006/relationships/hyperlink" Target="https://audio.iskcondesiretree.com/01_-_Srila_Prabhupada/01_-_Lectures/01_-_English/02_-_Month_wise/08_-_August/14/RC_BOM_1976-08-14_Fertile_Brain-Rather_Be_a_Fool.mp3" TargetMode="External"/><Relationship Id="rId5116" Type="http://schemas.openxmlformats.org/officeDocument/2006/relationships/hyperlink" Target="https://audio.iskcondesiretree.com/01_-_Srila_Prabhupada/01_-_Lectures/01_-_English/02_-_Month_wise/08_-_August/16/Conv_1976-08-16_R1-BOMBAY.MP3" TargetMode="External"/><Relationship Id="rId5117" Type="http://schemas.openxmlformats.org/officeDocument/2006/relationships/hyperlink" Target="https://audio.iskcondesiretree.com/01_-_Srila_Prabhupada/01_-_Lectures/01_-_English/02_-_Month_wise/08_-_August/16/Conv_1976-08-16_R1-HYDERABAD.MP3" TargetMode="External"/><Relationship Id="rId5114" Type="http://schemas.openxmlformats.org/officeDocument/2006/relationships/hyperlink" Target="https://audio.iskcondesiretree.com/01_-_Srila_Prabhupada/01_-_Lectures/01_-_English/02_-_Month_wise/08_-_August/15/Walk_1976-08-15_MW-BOMBAY.MP3" TargetMode="External"/><Relationship Id="rId5115" Type="http://schemas.openxmlformats.org/officeDocument/2006/relationships/hyperlink" Target="https://audio.iskcondesiretree.com/01_-_Srila_Prabhupada/01_-_Lectures/01_-_English/01_-_Topic_wise/Room_Conversation/SP_Room_Conversation_Bombay_1976-08-16_Prestige-No_Match_for_Karma.mp3" TargetMode="External"/><Relationship Id="rId5109" Type="http://schemas.openxmlformats.org/officeDocument/2006/relationships/hyperlink" Target="https://audio.iskcondesiretree.com/01_-_Srila_Prabhupada/01_-_Lectures/01_-_English/02_-_Month_wise/08_-_August/14/Darshan_1976-08-14_ED-BOMBAY.MP3" TargetMode="External"/><Relationship Id="rId5107" Type="http://schemas.openxmlformats.org/officeDocument/2006/relationships/hyperlink" Target="https://audio.iskcondesiretree.com/01_-_Srila_Prabhupada/01_-_Lectures/01_-_English/02_-_Month_wise/08_-_August/14/Conv_1976-08-14_R1-BOMBAY.MP3" TargetMode="External"/><Relationship Id="rId5108" Type="http://schemas.openxmlformats.org/officeDocument/2006/relationships/hyperlink" Target="https://audio.iskcondesiretree.com/01_-_Srila_Prabhupada/01_-_Lectures/01_-_English/02_-_Month_wise/08_-_August/14/Conv%E2%80%93Hindi_1976-08-14_R2-BOMBAY.MP3" TargetMode="External"/><Relationship Id="rId5101" Type="http://schemas.openxmlformats.org/officeDocument/2006/relationships/hyperlink" Target="https://audio.iskcondesiretree.com/01_-_Srila_Prabhupada/01_-_Lectures/01_-_English/02_-_Month_wise/08_-_August/12/SB-03-22-22_1976-08-12_SB-TEHRAN.MP3" TargetMode="External"/><Relationship Id="rId5102" Type="http://schemas.openxmlformats.org/officeDocument/2006/relationships/hyperlink" Target="https://audio.iskcondesiretree.com/01_-_Srila_Prabhupada/01_-_Lectures/01_-_English/02_-_Month_wise/08_-_August/12/Walk_1976-08-12_MW-TEHRAN.MP3" TargetMode="External"/><Relationship Id="rId5100" Type="http://schemas.openxmlformats.org/officeDocument/2006/relationships/hyperlink" Target="https://audio.iskcondesiretree.com/01_-_Srila_Prabhupada/01_-_Lectures/01_-_English/02_-_Month_wise/08_-_August/12/RC_TEH_1976-08-12_God_Is_Great-How_Great.mp3" TargetMode="External"/><Relationship Id="rId5105" Type="http://schemas.openxmlformats.org/officeDocument/2006/relationships/hyperlink" Target="https://audio.iskcondesiretree.com/01_-_Srila_Prabhupada/01_-_Lectures/01_-_English/01_-_Topic_wise/Room_Conversation/SP_Room_Conversation_Bombay_1976-08-14_Fertile_Brain-Rather_Be_a_Fool.mp3" TargetMode="External"/><Relationship Id="rId5106" Type="http://schemas.openxmlformats.org/officeDocument/2006/relationships/hyperlink" Target="https://audio.iskcondesiretree.com/01_-_Srila_Prabhupada/01_-_Lectures/01_-_English/01_-_Topic_wise/Room_Conversation/SP_Room_Conversation_Bombay_1976-08-14_Spreading_Krishna%27s_Instructions.mp3" TargetMode="External"/><Relationship Id="rId5103" Type="http://schemas.openxmlformats.org/officeDocument/2006/relationships/hyperlink" Target="https://audio.iskcondesiretree.com/01_-_Srila_Prabhupada/01_-_Lectures/01_-_English/02_-_Month_wise/08_-_August/13/Arrival_1976-08-13_AR-BOMBAY.MP3" TargetMode="External"/><Relationship Id="rId5104" Type="http://schemas.openxmlformats.org/officeDocument/2006/relationships/hyperlink" Target="https://audio.iskcondesiretree.com/01_-_Srila_Prabhupada/01_-_Lectures/01_-_English/01_-_Topic_wise/Morning_Walk/SP_Morning_Walk_-_Bombay_1976-08-14_Cow_Care.mp3" TargetMode="External"/><Relationship Id="rId2940" Type="http://schemas.openxmlformats.org/officeDocument/2006/relationships/hyperlink" Target="https://audio.iskcondesiretree.com/01_-_Srila_Prabhupada/01_-_Lectures/01_-_English/02_-_Month_wise/03_-_March/11/Bg_07-03_LON_1975-03-11_Your_Next_Life%2C_Sir-Bow%2C_Wow.mp3" TargetMode="External"/><Relationship Id="rId1610" Type="http://schemas.openxmlformats.org/officeDocument/2006/relationships/hyperlink" Target="https://audio.iskcondesiretree.com/01_-_Srila_Prabhupada/01_-_Lectures/01_-_English/02_-_Month_wise/02_-_Feburary/12/Lecture_1974-02-12_LE-VRNDAVAN.MP3" TargetMode="External"/><Relationship Id="rId2941" Type="http://schemas.openxmlformats.org/officeDocument/2006/relationships/hyperlink" Target="https://audio.iskcondesiretree.com/01_-_Srila_Prabhupada/01_-_Lectures/01_-_English/02_-_Month_wise/03_-_March/11/MW_LON_1975-03-11_Not_Only_India-The_Whole_World.mp3" TargetMode="External"/><Relationship Id="rId1611" Type="http://schemas.openxmlformats.org/officeDocument/2006/relationships/hyperlink" Target="https://audio.iskcondesiretree.com/01_-_Srila_Prabhupada/01_-_Lectures/01_-_English/01_-_Topic_wise/Bhagavad_Gita/Chapter-04/SP_BG_04-05_Vrindavan_1974-02-13.mp3" TargetMode="External"/><Relationship Id="rId2942" Type="http://schemas.openxmlformats.org/officeDocument/2006/relationships/hyperlink" Target="https://audio.iskcondesiretree.com/01_-_Srila_Prabhupada/01_-_Lectures/01_-_English/02_-_Month_wise/03_-_March/11/Walk_1975-03-11_MW-LONDON.MP3" TargetMode="External"/><Relationship Id="rId1612" Type="http://schemas.openxmlformats.org/officeDocument/2006/relationships/hyperlink" Target="https://audio.iskcondesiretree.com/01_-_Srila_Prabhupada/01_-_Lectures/01_-_English/01_-_Topic_wise/Room_Conversation/SP_Room_Conversation_01_Vrindavan_1974-02-13.mp3" TargetMode="External"/><Relationship Id="rId2943" Type="http://schemas.openxmlformats.org/officeDocument/2006/relationships/hyperlink" Target="https://audio.iskcondesiretree.com/01_-_Srila_Prabhupada/01_-_Lectures/01_-_English/01_-_Topic_wise/Departure_Address/SP_Departure_Lecture_1975-03-12_London.MP3" TargetMode="External"/><Relationship Id="rId1613" Type="http://schemas.openxmlformats.org/officeDocument/2006/relationships/hyperlink" Target="https://audio.iskcondesiretree.com/01_-_Srila_Prabhupada/01_-_Lectures/01_-_English/01_-_Topic_wise/Room_Conversation/SP_Room_Conversation_02_Vrindavan_1974-02-13.mp3" TargetMode="External"/><Relationship Id="rId2944" Type="http://schemas.openxmlformats.org/officeDocument/2006/relationships/hyperlink" Target="https://audio.iskcondesiretree.com/01_-_Srila_Prabhupada/01_-_Lectures/01_-_English/01_-_Topic_wise/Various/SP_Lecture_London_1975-03-12_Krishna_Candy-Every_Side_Sweet.mp3" TargetMode="External"/><Relationship Id="rId1614" Type="http://schemas.openxmlformats.org/officeDocument/2006/relationships/hyperlink" Target="https://audio.iskcondesiretree.com/01_-_Srila_Prabhupada/01_-_Lectures/01_-_English/02_-_Month_wise/02_-_Feburary/13/Bg-04-05_1974-02-13_BG-VRNDAVAN.MP3" TargetMode="External"/><Relationship Id="rId2945" Type="http://schemas.openxmlformats.org/officeDocument/2006/relationships/hyperlink" Target="https://audio.iskcondesiretree.com/01_-_Srila_Prabhupada/01_-_Lectures/01_-_English/02_-_Month_wise/03_-_March/12/Departure_1975-03-12_DP-LONDON.MP3" TargetMode="External"/><Relationship Id="rId1615" Type="http://schemas.openxmlformats.org/officeDocument/2006/relationships/hyperlink" Target="https://audio.iskcondesiretree.com/01_-_Srila_Prabhupada/01_-_Lectures/01_-_English/02_-_Month_wise/02_-_Feburary/13/Conv_1974-02-13_R1-VRNDAVAN.MP3" TargetMode="External"/><Relationship Id="rId2946" Type="http://schemas.openxmlformats.org/officeDocument/2006/relationships/hyperlink" Target="https://audio.iskcondesiretree.com/01_-_Srila_Prabhupada/01_-_Lectures/01_-_English/02_-_Month_wise/03_-_March/12/Lect_LON_1975-03-12_Krishna_Candy-Every_Side_Sweet.mp3" TargetMode="External"/><Relationship Id="rId1616" Type="http://schemas.openxmlformats.org/officeDocument/2006/relationships/hyperlink" Target="https://audio.iskcondesiretree.com/01_-_Srila_Prabhupada/01_-_Lectures/01_-_English/02_-_Month_wise/02_-_Feburary/13/Conv_1974-02-13_R2-VRNDAVAN.MP3" TargetMode="External"/><Relationship Id="rId2947" Type="http://schemas.openxmlformats.org/officeDocument/2006/relationships/hyperlink" Target="https://audio.iskcondesiretree.com/01_-_Srila_Prabhupada/01_-_Lectures/01_-_English/01_-_Topic_wise/Morning_Walk/SP_Morning_Walk_-_Tehran_1975-03-13.MP3" TargetMode="External"/><Relationship Id="rId907" Type="http://schemas.openxmlformats.org/officeDocument/2006/relationships/hyperlink" Target="https://audio.iskcondesiretree.com/01_-_Srila_Prabhupada/01_-_Lectures/01_-_English/01_-_Topic_wise/Nectar_Of_Devotion/SP_NOD_Calcutta_1973-01-27_-_The_Common_Cause_Is_Krishna.mp3" TargetMode="External"/><Relationship Id="rId1617" Type="http://schemas.openxmlformats.org/officeDocument/2006/relationships/hyperlink" Target="https://audio.iskcondesiretree.com/01_-_Srila_Prabhupada/01_-_Lectures/01_-_English/02_-_Month_wise/02_-_Feburary/13/Lecture%E2%80%93Hindi_1974-02-13_LE-VRNDAVAN.MP3" TargetMode="External"/><Relationship Id="rId2948" Type="http://schemas.openxmlformats.org/officeDocument/2006/relationships/hyperlink" Target="https://audio.iskcondesiretree.com/01_-_Srila_Prabhupada/01_-_Lectures/01_-_English/01_-_Topic_wise/Room_Conversation/SP_Room_Conversation_Tehran_1975-03-13_Canadian_Ambassador_to--etc.mp3" TargetMode="External"/><Relationship Id="rId906" Type="http://schemas.openxmlformats.org/officeDocument/2006/relationships/hyperlink" Target="https://audio.iskcondesiretree.com/01_-_Srila_Prabhupada/01_-_Lectures/01_-_English/01_-_Topic_wise/Bhagavad_Gita/Chapter-07/SP_BG_07-01_Calcutta_1973-01-27_The_Only_Way_to_Understand_God.mp3" TargetMode="External"/><Relationship Id="rId1618" Type="http://schemas.openxmlformats.org/officeDocument/2006/relationships/hyperlink" Target="https://audio.iskcondesiretree.com/01_-_Srila_Prabhupada/01_-_Lectures/01_-_English/02_-_Month_wise/02_-_Feburary/14/Conv_1974-02-14_R1-VRNDAVAN.MP3" TargetMode="External"/><Relationship Id="rId2949" Type="http://schemas.openxmlformats.org/officeDocument/2006/relationships/hyperlink" Target="https://audio.iskcondesiretree.com/01_-_Srila_Prabhupada/01_-_Lectures/01_-_English/01_-_Topic_wise/Room_Conversation/SP_Room_Conversation_Tehran_1975-03-13_Indians--Only_Krishna_Should_Be_Satisfied.mp3" TargetMode="External"/><Relationship Id="rId905" Type="http://schemas.openxmlformats.org/officeDocument/2006/relationships/hyperlink" Target="https://audio.iskcondesiretree.com/01_-_Srila_Prabhupada/01_-_Lectures/01_-_English/02_-_Month_wise/01_-_January/26/Lect_CAL_1973-01-26_Initiation_Sannyasa--When_I_Went_etc.mp3" TargetMode="External"/><Relationship Id="rId1619" Type="http://schemas.openxmlformats.org/officeDocument/2006/relationships/hyperlink" Target="https://audio.iskcondesiretree.com/01_-_Srila_Prabhupada/01_-_Lectures/01_-_English/01_-_Topic_wise/Morning_Walk/SP_Morning_Walk_-_Hawaii_1974-02-17_Let_Everyone_Be_Happy.mp3" TargetMode="External"/><Relationship Id="rId904" Type="http://schemas.openxmlformats.org/officeDocument/2006/relationships/hyperlink" Target="https://audio.iskcondesiretree.com/01_-_Srila_Prabhupada/01_-_Lectures/01_-_English/01_-_Topic_wise/Various/SP_Lecture_Calcutta_1973-01-26_Initiation_Sannyasa--When_I_Went--etc.mp3" TargetMode="External"/><Relationship Id="rId909" Type="http://schemas.openxmlformats.org/officeDocument/2006/relationships/hyperlink" Target="https://audio.iskcondesiretree.com/01_-_Srila_Prabhupada/01_-_Lectures/01_-_English/02_-_Month_wise/01_-_January/27/NOD_Lect_CAL_1973-01-27_The_Common_Cause_Is_Krishna.mp3" TargetMode="External"/><Relationship Id="rId908" Type="http://schemas.openxmlformats.org/officeDocument/2006/relationships/hyperlink" Target="https://audio.iskcondesiretree.com/01_-_Srila_Prabhupada/01_-_Lectures/01_-_English/02_-_Month_wise/01_-_January/27/Bg_07-01_CAL_1973-01-27_The_Only_Way_to_Understand_God.mp3" TargetMode="External"/><Relationship Id="rId903" Type="http://schemas.openxmlformats.org/officeDocument/2006/relationships/hyperlink" Target="https://audio.iskcondesiretree.com/01_-_Srila_Prabhupada/01_-_Lectures/01_-_English/02_-_Month_wise/01_-_January/25/NOD_Lect_CAL_1973-01-25_Remember_Krsna--and_Never_Forget_Him.mp3" TargetMode="External"/><Relationship Id="rId902" Type="http://schemas.openxmlformats.org/officeDocument/2006/relationships/hyperlink" Target="https://audio.iskcondesiretree.com/01_-_Srila_Prabhupada/01_-_Lectures/01_-_English/01_-_Topic_wise/Nectar_Of_Devotion/SP_NOD_Calcutta_1973-01-25_-_Remember_Krsna_and_Never_Forget_Him.mp3" TargetMode="External"/><Relationship Id="rId901" Type="http://schemas.openxmlformats.org/officeDocument/2006/relationships/hyperlink" Target="https://audio.iskcondesiretree.com/01_-_Srila_Prabhupada/01_-_Lectures/01_-_English/02_-_Month_wise/01_-_January/14/Lect_BOM_1973-01-14_At_Pandal--It_Is_Not_that_Only_etc.mp3" TargetMode="External"/><Relationship Id="rId900" Type="http://schemas.openxmlformats.org/officeDocument/2006/relationships/hyperlink" Target="https://audio.iskcondesiretree.com/01_-_Srila_Prabhupada/01_-_Lectures/01_-_English/01_-_Topic_wise/Various/SP_Lecture_Bombay_1973-01-14_At_Pandal--It_Is_Not_that_Only--etc.mp3" TargetMode="External"/><Relationship Id="rId2930" Type="http://schemas.openxmlformats.org/officeDocument/2006/relationships/hyperlink" Target="https://audio.iskcondesiretree.com/01_-_Srila_Prabhupada/01_-_Lectures/01_-_English/02_-_Month_wise/03_-_March/09/Bg-07-01_1975-03-09_BG-LONDON.MP3" TargetMode="External"/><Relationship Id="rId1600" Type="http://schemas.openxmlformats.org/officeDocument/2006/relationships/hyperlink" Target="https://audio.iskcondesiretree.com/01_-_Srila_Prabhupada/01_-_Lectures/01_-_English/02_-_Month_wise/02_-_Feburary/09/Conv_1974-02-09_R1-VRNDAVAN.MP3" TargetMode="External"/><Relationship Id="rId2931" Type="http://schemas.openxmlformats.org/officeDocument/2006/relationships/hyperlink" Target="https://audio.iskcondesiretree.com/01_-_Srila_Prabhupada/01_-_Lectures/01_-_English/02_-_Month_wise/03_-_March/09/Bg_07-01_LON_1975-03-09_Attachment_to_the_Supreme.mp3" TargetMode="External"/><Relationship Id="rId1601" Type="http://schemas.openxmlformats.org/officeDocument/2006/relationships/hyperlink" Target="https://audio.iskcondesiretree.com/01_-_Srila_Prabhupada/01_-_Lectures/01_-_English/01_-_Topic_wise/Bhagavad_Gita/Chapter-04/SP_BG_04-03_Vrindavan_1974-02-10.mp3" TargetMode="External"/><Relationship Id="rId2932" Type="http://schemas.openxmlformats.org/officeDocument/2006/relationships/hyperlink" Target="https://audio.iskcondesiretree.com/01_-_Srila_Prabhupada/01_-_Lectures/01_-_English/02_-_Month_wise/03_-_March/09/Conv_1975-03-09_R1-LONDON.MP3" TargetMode="External"/><Relationship Id="rId1602" Type="http://schemas.openxmlformats.org/officeDocument/2006/relationships/hyperlink" Target="https://audio.iskcondesiretree.com/01_-_Srila_Prabhupada/01_-_Lectures/01_-_English/02_-_Month_wise/02_-_Feburary/10/Bg-04-03_1974-02-10_BG-VRNDAVAN.MP3" TargetMode="External"/><Relationship Id="rId2933" Type="http://schemas.openxmlformats.org/officeDocument/2006/relationships/hyperlink" Target="https://audio.iskcondesiretree.com/01_-_Srila_Prabhupada/01_-_Lectures/01_-_English/02_-_Month_wise/03_-_March/09/RC_LON_1975-03-09_Reporter--Produce_Food_or_Problems.mp3" TargetMode="External"/><Relationship Id="rId1603" Type="http://schemas.openxmlformats.org/officeDocument/2006/relationships/hyperlink" Target="https://audio.iskcondesiretree.com/01_-_Srila_Prabhupada/01_-_Lectures/01_-_English/01_-_Topic_wise/Festivals/SP_Festivals_Vrindavan_1974-02-11_Appearance_Day_of_Srila_Bhaktisiddhanta_Sarasvati_Thakura.mp3" TargetMode="External"/><Relationship Id="rId2934" Type="http://schemas.openxmlformats.org/officeDocument/2006/relationships/hyperlink" Target="https://audio.iskcondesiretree.com/01_-_Srila_Prabhupada/01_-_Lectures/01_-_English/01_-_Topic_wise/Bhagavad_Gita/Chapter-07/SP_BG_07-02_London_1975-03-10_Madras_After_the_Disease.mp3" TargetMode="External"/><Relationship Id="rId1604" Type="http://schemas.openxmlformats.org/officeDocument/2006/relationships/hyperlink" Target="https://audio.iskcondesiretree.com/01_-_Srila_Prabhupada/01_-_Lectures/01_-_English/01_-_Topic_wise/Morning_Walk/SP_Morning_Walk_-_Vrindavan_1974-02-11.mp3" TargetMode="External"/><Relationship Id="rId2935" Type="http://schemas.openxmlformats.org/officeDocument/2006/relationships/hyperlink" Target="https://audio.iskcondesiretree.com/01_-_Srila_Prabhupada/01_-_Lectures/01_-_English/02_-_Month_wise/03_-_March/10/Bg-07-02_1975-03-10_BG-LONDON.MP3" TargetMode="External"/><Relationship Id="rId1605" Type="http://schemas.openxmlformats.org/officeDocument/2006/relationships/hyperlink" Target="https://audio.iskcondesiretree.com/01_-_Srila_Prabhupada/01_-_Lectures/01_-_English/02_-_Month_wise/02_-_Feburary/11/Bhaktisiddhanta_Appearance_1974-02-11_BA-VRNDAVAN.MP3" TargetMode="External"/><Relationship Id="rId2936" Type="http://schemas.openxmlformats.org/officeDocument/2006/relationships/hyperlink" Target="https://audio.iskcondesiretree.com/01_-_Srila_Prabhupada/01_-_Lectures/01_-_English/02_-_Month_wise/03_-_March/10/Bg_07-02_LON_1975-03-10_Mad_After_the_Disease.mp3" TargetMode="External"/><Relationship Id="rId1606" Type="http://schemas.openxmlformats.org/officeDocument/2006/relationships/hyperlink" Target="https://audio.iskcondesiretree.com/01_-_Srila_Prabhupada/01_-_Lectures/01_-_English/02_-_Month_wise/02_-_Feburary/11/Conv_1974-02-11_MW-VRNDAVAN.MP3" TargetMode="External"/><Relationship Id="rId2937" Type="http://schemas.openxmlformats.org/officeDocument/2006/relationships/hyperlink" Target="https://audio.iskcondesiretree.com/01_-_Srila_Prabhupada/01_-_Lectures/01_-_English/01_-_Topic_wise/Bhagavad_Gita/Chapter-07/SP_BG_07-03_London_1975-03-11_Your_Next_Life_Sir-Bow_Wow.mp3" TargetMode="External"/><Relationship Id="rId1607" Type="http://schemas.openxmlformats.org/officeDocument/2006/relationships/hyperlink" Target="https://audio.iskcondesiretree.com/01_-_Srila_Prabhupada/01_-_Lectures/01_-_English/01_-_Topic_wise/Bhagavad_Gita/Chapter-04/SP_BG_04-04_Vrindavan_1974-02-12.mp3" TargetMode="External"/><Relationship Id="rId2938" Type="http://schemas.openxmlformats.org/officeDocument/2006/relationships/hyperlink" Target="https://audio.iskcondesiretree.com/01_-_Srila_Prabhupada/01_-_Lectures/01_-_English/01_-_Topic_wise/Morning_Walk/SP_Morning_Walk_-_London_1975-03-11_Not_Only_India-The_Whole_World.mp3" TargetMode="External"/><Relationship Id="rId1608" Type="http://schemas.openxmlformats.org/officeDocument/2006/relationships/hyperlink" Target="https://audio.iskcondesiretree.com/01_-_Srila_Prabhupada/01_-_Lectures/01_-_English/01_-_Topic_wise/Various/SP_Lecture_Vrindavan_1974-02-12.mp3" TargetMode="External"/><Relationship Id="rId2939" Type="http://schemas.openxmlformats.org/officeDocument/2006/relationships/hyperlink" Target="https://audio.iskcondesiretree.com/01_-_Srila_Prabhupada/01_-_Lectures/01_-_English/02_-_Month_wise/03_-_March/11/Bg-07-03_1975-03-11_BG-LONDON.MP3" TargetMode="External"/><Relationship Id="rId1609" Type="http://schemas.openxmlformats.org/officeDocument/2006/relationships/hyperlink" Target="https://audio.iskcondesiretree.com/01_-_Srila_Prabhupada/01_-_Lectures/01_-_English/02_-_Month_wise/02_-_Feburary/12/Bg-04-04_1974-02-12_BG-VRNDAVAN.MP3" TargetMode="External"/><Relationship Id="rId1631" Type="http://schemas.openxmlformats.org/officeDocument/2006/relationships/hyperlink" Target="https://audio.iskcondesiretree.com/01_-_Srila_Prabhupada/01_-_Lectures/01_-_English/01_-_Topic_wise/Morning_Walk/SP_Morning_Walk_-_Bombay_1974-02-20.mp3" TargetMode="External"/><Relationship Id="rId2962" Type="http://schemas.openxmlformats.org/officeDocument/2006/relationships/hyperlink" Target="https://audio.iskcondesiretree.com/01_-_Srila_Prabhupada/01_-_Lectures/01_-_English/02_-_Month_wise/03_-_March/14/Conv_1975-03-14_R1-TEHRAN.MP3" TargetMode="External"/><Relationship Id="rId1632" Type="http://schemas.openxmlformats.org/officeDocument/2006/relationships/hyperlink" Target="https://audio.iskcondesiretree.com/01_-_Srila_Prabhupada/01_-_Lectures/01_-_English/02_-_Month_wise/02_-_Feburary/20/Bg-07-05_1974-02-20_BG-BOMBAY.MP3" TargetMode="External"/><Relationship Id="rId2963" Type="http://schemas.openxmlformats.org/officeDocument/2006/relationships/hyperlink" Target="https://audio.iskcondesiretree.com/01_-_Srila_Prabhupada/01_-_Lectures/01_-_English/02_-_Month_wise/03_-_March/14/Conv_1975-03-14_R2-TEHRAN.MP3" TargetMode="External"/><Relationship Id="rId1633" Type="http://schemas.openxmlformats.org/officeDocument/2006/relationships/hyperlink" Target="https://audio.iskcondesiretree.com/01_-_Srila_Prabhupada/01_-_Lectures/01_-_English/02_-_Month_wise/02_-_Feburary/20/Walk_1974-02-20_MW-BOMBAY.MP3" TargetMode="External"/><Relationship Id="rId2964" Type="http://schemas.openxmlformats.org/officeDocument/2006/relationships/hyperlink" Target="https://audio.iskcondesiretree.com/01_-_Srila_Prabhupada/01_-_Lectures/01_-_English/02_-_Month_wise/03_-_March/14/RC_TEH_1975-03-14_Yoga_Student--The_Clear_Conception_of_God.mp3" TargetMode="External"/><Relationship Id="rId1634" Type="http://schemas.openxmlformats.org/officeDocument/2006/relationships/hyperlink" Target="https://audio.iskcondesiretree.com/01_-_Srila_Prabhupada/01_-_Lectures/01_-_English/01_-_Topic_wise/Room_Conversation/SP_Room_Conversation_01_Vrindavan_1974-02-21.mp3" TargetMode="External"/><Relationship Id="rId2965" Type="http://schemas.openxmlformats.org/officeDocument/2006/relationships/hyperlink" Target="https://audio.iskcondesiretree.com/01_-_Srila_Prabhupada/01_-_Lectures/01_-_English/02_-_Month_wise/03_-_March/14/Walk_1975-03-14_MW-TEHRAN.MP3" TargetMode="External"/><Relationship Id="rId1635" Type="http://schemas.openxmlformats.org/officeDocument/2006/relationships/hyperlink" Target="https://audio.iskcondesiretree.com/01_-_Srila_Prabhupada/01_-_Lectures/01_-_English/01_-_Topic_wise/Bhagavad_Gita/Chapter-07/SP_BG_07-07_Bombay_1974-02-22_Superior_to_All_Hodgepodge.mp3" TargetMode="External"/><Relationship Id="rId2966" Type="http://schemas.openxmlformats.org/officeDocument/2006/relationships/hyperlink" Target="https://audio.iskcondesiretree.com/01_-_Srila_Prabhupada/01_-_Lectures/01_-_English/01_-_Topic_wise/Morning_Walk/SP_Morning_Walk_-_Tehran_1975-03-15.MP3" TargetMode="External"/><Relationship Id="rId1636" Type="http://schemas.openxmlformats.org/officeDocument/2006/relationships/hyperlink" Target="https://audio.iskcondesiretree.com/01_-_Srila_Prabhupada/01_-_Lectures/01_-_English/01_-_Topic_wise/Morning_Walk/SP_Morning_Walk_-_Bombay_1974-02-22.mp3" TargetMode="External"/><Relationship Id="rId2967" Type="http://schemas.openxmlformats.org/officeDocument/2006/relationships/hyperlink" Target="https://audio.iskcondesiretree.com/01_-_Srila_Prabhupada/01_-_Lectures/01_-_English/01_-_Topic_wise/Room_Conversation/SP_Room_Conversation_01_Tehran_1975-03-15.MP3" TargetMode="External"/><Relationship Id="rId1637" Type="http://schemas.openxmlformats.org/officeDocument/2006/relationships/hyperlink" Target="https://audio.iskcondesiretree.com/01_-_Srila_Prabhupada/01_-_Lectures/01_-_English/02_-_Month_wise/02_-_Feburary/22/Bg-07-07_1974-02-22_BG-BOMBAY.MP3" TargetMode="External"/><Relationship Id="rId2968" Type="http://schemas.openxmlformats.org/officeDocument/2006/relationships/hyperlink" Target="https://audio.iskcondesiretree.com/01_-_Srila_Prabhupada/01_-_Lectures/01_-_English/02_-_Month_wise/03_-_March/15/Conv_1975-03-15_R1-TEHRAN.MP3" TargetMode="External"/><Relationship Id="rId1638" Type="http://schemas.openxmlformats.org/officeDocument/2006/relationships/hyperlink" Target="https://audio.iskcondesiretree.com/01_-_Srila_Prabhupada/01_-_Lectures/01_-_English/02_-_Month_wise/02_-_Feburary/22/Bg_07-07_BOM_1974-02-22_Superior_to_All_Hodgepodge.mp3" TargetMode="External"/><Relationship Id="rId2969" Type="http://schemas.openxmlformats.org/officeDocument/2006/relationships/hyperlink" Target="https://audio.iskcondesiretree.com/01_-_Srila_Prabhupada/01_-_Lectures/01_-_English/02_-_Month_wise/03_-_March/15/Walk_1975-03-15_MW-TEHRAN.MP3" TargetMode="External"/><Relationship Id="rId929" Type="http://schemas.openxmlformats.org/officeDocument/2006/relationships/hyperlink" Target="https://audio.iskcondesiretree.com/01_-_Srila_Prabhupada/01_-_Lectures/02_-_Bengali/1973-03-13_Lecture_-_Calcutta.mp3" TargetMode="External"/><Relationship Id="rId1639" Type="http://schemas.openxmlformats.org/officeDocument/2006/relationships/hyperlink" Target="https://audio.iskcondesiretree.com/01_-_Srila_Prabhupada/01_-_Lectures/01_-_English/02_-_Month_wise/02_-_Feburary/22/Walk_1974-02-22_MW-BOMBAY.MP3" TargetMode="External"/><Relationship Id="rId928" Type="http://schemas.openxmlformats.org/officeDocument/2006/relationships/hyperlink" Target="https://audio.iskcondesiretree.com/01_-_Srila_Prabhupada/01_-_Lectures/02_-_Bengali/1973-03-12_Lecture_-_Calcutta.mp3" TargetMode="External"/><Relationship Id="rId927" Type="http://schemas.openxmlformats.org/officeDocument/2006/relationships/hyperlink" Target="https://audio.iskcondesiretree.com/01_-_Srila_Prabhupada/01_-_Lectures/01_-_English/02_-_Month_wise/03_-_March/06/Bg_10-01_CAL_1973-03-06_More_or_Less_Demons--Still_etc.mp3" TargetMode="External"/><Relationship Id="rId926" Type="http://schemas.openxmlformats.org/officeDocument/2006/relationships/hyperlink" Target="https://audio.iskcondesiretree.com/01_-_Srila_Prabhupada/01_-_Lectures/01_-_English/01_-_Topic_wise/Bhagavad_Gita/Chapter-10/SP_BG_10-01_Calcutta_1973-03-06_More_or_Less_Demons--Still--etc.mp3" TargetMode="External"/><Relationship Id="rId921" Type="http://schemas.openxmlformats.org/officeDocument/2006/relationships/hyperlink" Target="https://audio.iskcondesiretree.com/01_-_Srila_Prabhupada/01_-_Lectures/01_-_English/02_-_Month_wise/01_-_January/31/NOD_Pg-35_CAL_1973-01-31_Real_Self-Interest.mp3" TargetMode="External"/><Relationship Id="rId920" Type="http://schemas.openxmlformats.org/officeDocument/2006/relationships/hyperlink" Target="https://audio.iskcondesiretree.com/01_-_Srila_Prabhupada/01_-_Lectures/01_-_English/02_-_Month_wise/01_-_January/31/Lect_CAL_1973-01-31_At_Indo-American_etc.mp3" TargetMode="External"/><Relationship Id="rId925" Type="http://schemas.openxmlformats.org/officeDocument/2006/relationships/hyperlink" Target="https://audio.iskcondesiretree.com/01_-_Srila_Prabhupada/01_-_Lectures/01_-_English/02_-_Month_wise/02_-_Feburary/20/SB_1-01-19_AUC_1973-02-20_The_Acharya_Knows_How_to_etc.mp3" TargetMode="External"/><Relationship Id="rId924" Type="http://schemas.openxmlformats.org/officeDocument/2006/relationships/hyperlink" Target="https://audio.iskcondesiretree.com/01_-_Srila_Prabhupada/01_-_Lectures/01_-_English/01_-_Topic_wise/Srimad_Bhagavatam/Canto-01/SP_SB_1-01-19_Auckland_1973-02-20_The_Acharya_Knows_How_to--etc.mp3" TargetMode="External"/><Relationship Id="rId923" Type="http://schemas.openxmlformats.org/officeDocument/2006/relationships/hyperlink" Target="https://audio.iskcondesiretree.com/01_-_Srila_Prabhupada/01_-_Lectures/01_-_English/02_-_Month_wise/02_-_Feburary/16/Bg_07-01_SYD_1973-02-16_Connect_With_the_Supreme_Lord.mp3" TargetMode="External"/><Relationship Id="rId922" Type="http://schemas.openxmlformats.org/officeDocument/2006/relationships/hyperlink" Target="https://audio.iskcondesiretree.com/01_-_Srila_Prabhupada/01_-_Lectures/01_-_English/01_-_Topic_wise/Bhagavad_Gita/Chapter-07/SP_BG_07-01_Sydney_1973-02-16_Connect_With_the_Supreme_Lord.mp3" TargetMode="External"/><Relationship Id="rId2960" Type="http://schemas.openxmlformats.org/officeDocument/2006/relationships/hyperlink" Target="https://audio.iskcondesiretree.com/01_-_Srila_Prabhupada/01_-_Lectures/01_-_English/01_-_Topic_wise/Room_Conversation/SP_Room_Conversation_Tehran_1975-03-14_Yoga_Student--The_Clear_Conception_of_God.mp3" TargetMode="External"/><Relationship Id="rId1630" Type="http://schemas.openxmlformats.org/officeDocument/2006/relationships/hyperlink" Target="https://audio.iskcondesiretree.com/01_-_Srila_Prabhupada/01_-_Lectures/01_-_English/01_-_Topic_wise/Bhagavad_Gita/Chapter-07/SP_BG_07-05_Bombay_1974-02-20.mp3" TargetMode="External"/><Relationship Id="rId2961" Type="http://schemas.openxmlformats.org/officeDocument/2006/relationships/hyperlink" Target="https://audio.iskcondesiretree.com/01_-_Srila_Prabhupada/01_-_Lectures/01_-_English/01_-_Topic_wise/Room_Conversation/SP_Room_Conversation_Tehran_1975-03-14_Yoga_Student_and_Other_Guests.MP3" TargetMode="External"/><Relationship Id="rId1620" Type="http://schemas.openxmlformats.org/officeDocument/2006/relationships/hyperlink" Target="https://audio.iskcondesiretree.com/01_-_Srila_Prabhupada/01_-_Lectures/01_-_English/02_-_Month_wise/02_-_Feburary/17/MW_HAW_1974-02-17_Let_Everyone_Be_Happy.mp3" TargetMode="External"/><Relationship Id="rId2951" Type="http://schemas.openxmlformats.org/officeDocument/2006/relationships/hyperlink" Target="https://audio.iskcondesiretree.com/01_-_Srila_Prabhupada/01_-_Lectures/01_-_English/01_-_Topic_wise/Srimad_Bhagavatam/Canto-01/SP_SB_1-10-03_Tehran_1975-03-13_Monarchy_%26_Maha-Mantra-Perfect.mp3" TargetMode="External"/><Relationship Id="rId1621" Type="http://schemas.openxmlformats.org/officeDocument/2006/relationships/hyperlink" Target="https://audio.iskcondesiretree.com/01_-_Srila_Prabhupada/01_-_Lectures/01_-_English/02_-_Month_wise/02_-_Feburary/17/Walk_1974-02-17_MW-BOMBAY.MP3" TargetMode="External"/><Relationship Id="rId2952" Type="http://schemas.openxmlformats.org/officeDocument/2006/relationships/hyperlink" Target="https://audio.iskcondesiretree.com/01_-_Srila_Prabhupada/01_-_Lectures/01_-_English/02_-_Month_wise/03_-_March/13/Conv_1975-03-13_R1-TEHRAN.MP3" TargetMode="External"/><Relationship Id="rId1622" Type="http://schemas.openxmlformats.org/officeDocument/2006/relationships/hyperlink" Target="https://audio.iskcondesiretree.com/01_-_Srila_Prabhupada/01_-_Lectures/01_-_English/01_-_Topic_wise/Bhagavad_Gita/Chapter-07/SP_BG_07-03_Bombay_1974-02-18_One_in_Many_Million.mp3" TargetMode="External"/><Relationship Id="rId2953" Type="http://schemas.openxmlformats.org/officeDocument/2006/relationships/hyperlink" Target="https://audio.iskcondesiretree.com/01_-_Srila_Prabhupada/01_-_Lectures/01_-_English/02_-_Month_wise/03_-_March/13/Conv_1975-03-13_R2-TEHRAN.MP3" TargetMode="External"/><Relationship Id="rId1623" Type="http://schemas.openxmlformats.org/officeDocument/2006/relationships/hyperlink" Target="https://audio.iskcondesiretree.com/01_-_Srila_Prabhupada/01_-_Lectures/01_-_English/02_-_Month_wise/02_-_Feburary/18/Bg-07-03_1974-02-18_BG-BOMBAY.MP3" TargetMode="External"/><Relationship Id="rId2954" Type="http://schemas.openxmlformats.org/officeDocument/2006/relationships/hyperlink" Target="https://audio.iskcondesiretree.com/01_-_Srila_Prabhupada/01_-_Lectures/01_-_English/02_-_Month_wise/03_-_March/13/RC_TEH_1975-03-13_Canadian_Ambassador_to_etc.mp3" TargetMode="External"/><Relationship Id="rId1624" Type="http://schemas.openxmlformats.org/officeDocument/2006/relationships/hyperlink" Target="https://audio.iskcondesiretree.com/01_-_Srila_Prabhupada/01_-_Lectures/01_-_English/02_-_Month_wise/02_-_Feburary/18/Bg_07-03_BOM_1974-02-18_One_in_Many_Million.mp3" TargetMode="External"/><Relationship Id="rId2955" Type="http://schemas.openxmlformats.org/officeDocument/2006/relationships/hyperlink" Target="https://audio.iskcondesiretree.com/01_-_Srila_Prabhupada/01_-_Lectures/01_-_English/02_-_Month_wise/03_-_March/13/RC_TEH_1975-03-13_Indians--Only_Krishna_Should_Be_Satisfied.mp3" TargetMode="External"/><Relationship Id="rId1625" Type="http://schemas.openxmlformats.org/officeDocument/2006/relationships/hyperlink" Target="https://audio.iskcondesiretree.com/01_-_Srila_Prabhupada/01_-_Lectures/01_-_English/01_-_Topic_wise/Bhagavad_Gita/Chapter-07/SP_BG_07-04_Bombay_1974-02-19_Chemicals_Come_from_Life.mp3" TargetMode="External"/><Relationship Id="rId2956" Type="http://schemas.openxmlformats.org/officeDocument/2006/relationships/hyperlink" Target="https://audio.iskcondesiretree.com/01_-_Srila_Prabhupada/01_-_Lectures/01_-_English/02_-_Month_wise/03_-_March/13/SB-01-10-03%E2%80%9304_1975-03-13_SB-TEHRAN.MP3" TargetMode="External"/><Relationship Id="rId1626" Type="http://schemas.openxmlformats.org/officeDocument/2006/relationships/hyperlink" Target="https://audio.iskcondesiretree.com/01_-_Srila_Prabhupada/01_-_Lectures/01_-_English/01_-_Topic_wise/Morning_Walk/SP_Morning_Walk_-_Bombay_1974-02-19.mp3" TargetMode="External"/><Relationship Id="rId2957" Type="http://schemas.openxmlformats.org/officeDocument/2006/relationships/hyperlink" Target="https://audio.iskcondesiretree.com/01_-_Srila_Prabhupada/01_-_Lectures/01_-_English/02_-_Month_wise/03_-_March/13/SB_1-10-03_TEH_1975-03-13_Monarchy_%26_Maha-Mantra-Perfect.mp3" TargetMode="External"/><Relationship Id="rId1627" Type="http://schemas.openxmlformats.org/officeDocument/2006/relationships/hyperlink" Target="https://audio.iskcondesiretree.com/01_-_Srila_Prabhupada/01_-_Lectures/01_-_English/02_-_Month_wise/02_-_Feburary/19/Bg-07-04_1974-02-19_BG-BOMBAY.MP3" TargetMode="External"/><Relationship Id="rId2958" Type="http://schemas.openxmlformats.org/officeDocument/2006/relationships/hyperlink" Target="https://audio.iskcondesiretree.com/01_-_Srila_Prabhupada/01_-_Lectures/01_-_English/02_-_Month_wise/03_-_March/13/Walk_1975-03-13_MW-TEHRAN.MP3" TargetMode="External"/><Relationship Id="rId918" Type="http://schemas.openxmlformats.org/officeDocument/2006/relationships/hyperlink" Target="https://audio.iskcondesiretree.com/01_-_Srila_Prabhupada/01_-_Lectures/01_-_English/01_-_Topic_wise/Nectar_Of_Devotion/SP_NOD_Pg-35_Calcutta_1973-01-31_-_Real_Self_Interest.mp3" TargetMode="External"/><Relationship Id="rId1628" Type="http://schemas.openxmlformats.org/officeDocument/2006/relationships/hyperlink" Target="https://audio.iskcondesiretree.com/01_-_Srila_Prabhupada/01_-_Lectures/01_-_English/02_-_Month_wise/02_-_Feburary/19/Bg_07-04_BOM_1974-02-19_Chemicals_Come_from_Life.mp3" TargetMode="External"/><Relationship Id="rId2959" Type="http://schemas.openxmlformats.org/officeDocument/2006/relationships/hyperlink" Target="https://audio.iskcondesiretree.com/01_-_Srila_Prabhupada/01_-_Lectures/01_-_English/01_-_Topic_wise/Morning_Walk/SP_Morning_Walk_-_Tehran_1975-03-14.MP3" TargetMode="External"/><Relationship Id="rId917" Type="http://schemas.openxmlformats.org/officeDocument/2006/relationships/hyperlink" Target="https://audio.iskcondesiretree.com/01_-_Srila_Prabhupada/01_-_Lectures/01_-_English/02_-_Month_wise/01_-_January/30/NOD_Pg-33_CAL_1973-01-30_A_Devotee%27s_Pleasure.mp3" TargetMode="External"/><Relationship Id="rId1629" Type="http://schemas.openxmlformats.org/officeDocument/2006/relationships/hyperlink" Target="https://audio.iskcondesiretree.com/01_-_Srila_Prabhupada/01_-_Lectures/01_-_English/02_-_Month_wise/02_-_Feburary/19/Walk_1974-02-19_MW-BOMBAY.MP3" TargetMode="External"/><Relationship Id="rId916" Type="http://schemas.openxmlformats.org/officeDocument/2006/relationships/hyperlink" Target="https://audio.iskcondesiretree.com/01_-_Srila_Prabhupada/01_-_Lectures/01_-_English/02_-_Month_wise/01_-_January/30/Lect_CAL_1973-01-30_To_Businessmen--Business_%26_etc.mp3" TargetMode="External"/><Relationship Id="rId915" Type="http://schemas.openxmlformats.org/officeDocument/2006/relationships/hyperlink" Target="https://audio.iskcondesiretree.com/01_-_Srila_Prabhupada/01_-_Lectures/01_-_English/01_-_Topic_wise/Various/SP_Lecture_Calcutta_1973-01-30_To_Businessmen--Business_%26--etc.mp3" TargetMode="External"/><Relationship Id="rId919" Type="http://schemas.openxmlformats.org/officeDocument/2006/relationships/hyperlink" Target="https://audio.iskcondesiretree.com/01_-_Srila_Prabhupada/01_-_Lectures/01_-_English/01_-_Topic_wise/Various/SP_Lecture_Calcutta_1973-01-31_At_Indo-American--etc.mp3" TargetMode="External"/><Relationship Id="rId910" Type="http://schemas.openxmlformats.org/officeDocument/2006/relationships/hyperlink" Target="https://audio.iskcondesiretree.com/01_-_Srila_Prabhupada/01_-_Lectures/01_-_English/01_-_Topic_wise/Nectar_Of_Devotion/SP_NOD_Pg-32_Calcutta_1973-01-29_-_Three_Kinds_of_Happiness.mp3" TargetMode="External"/><Relationship Id="rId914" Type="http://schemas.openxmlformats.org/officeDocument/2006/relationships/hyperlink" Target="https://audio.iskcondesiretree.com/01_-_Srila_Prabhupada/01_-_Lectures/01_-_English/01_-_Topic_wise/Nectar_Of_Devotion/SP_NOD_Pg-33_Calcutta_1973-01-30_-_A_Devotee%27s_Pleasure.mp3" TargetMode="External"/><Relationship Id="rId913" Type="http://schemas.openxmlformats.org/officeDocument/2006/relationships/hyperlink" Target="https://audio.iskcondesiretree.com/01_-_Srila_Prabhupada/01_-_Lectures/01_-_English/02_-_Month_wise/01_-_January/29/NOD_Pg-32_CAL_1973-01-29_Three_Kinds_of_Happiness.mp3" TargetMode="External"/><Relationship Id="rId912" Type="http://schemas.openxmlformats.org/officeDocument/2006/relationships/hyperlink" Target="https://audio.iskcondesiretree.com/01_-_Srila_Prabhupada/01_-_Lectures/01_-_English/02_-_Month_wise/01_-_January/29/Lect_CAL_1973-01-29_To_Students--Something_Tangible.mp3" TargetMode="External"/><Relationship Id="rId911" Type="http://schemas.openxmlformats.org/officeDocument/2006/relationships/hyperlink" Target="https://audio.iskcondesiretree.com/01_-_Srila_Prabhupada/01_-_Lectures/01_-_English/01_-_Topic_wise/Various/SP_Lecture_Calcutta_1973-01-29_To_Students--Something_Tangible.mp3" TargetMode="External"/><Relationship Id="rId2950" Type="http://schemas.openxmlformats.org/officeDocument/2006/relationships/hyperlink" Target="https://audio.iskcondesiretree.com/01_-_Srila_Prabhupada/01_-_Lectures/01_-_English/01_-_Topic_wise/Srimad_Bhagavatam/Canto-01/SP_SB_1-10-03-04_Tehran_1975-03-13_Monarchy_%26_Maha-Mantra-Perfect.MP3" TargetMode="External"/><Relationship Id="rId2900" Type="http://schemas.openxmlformats.org/officeDocument/2006/relationships/hyperlink" Target="https://audio.iskcondesiretree.com/01_-_Srila_Prabhupada/01_-_Lectures/01_-_English/02_-_Month_wise/03_-_March/03/Arr_DAL_1975-03-03_Education_Means_Krishna_Consciousness.mp3" TargetMode="External"/><Relationship Id="rId2901" Type="http://schemas.openxmlformats.org/officeDocument/2006/relationships/hyperlink" Target="https://audio.iskcondesiretree.com/01_-_Srila_Prabhupada/01_-_Lectures/01_-_English/02_-_Month_wise/03_-_March/03/Lecture_1975-03-03_LE-DALLAS.MP3" TargetMode="External"/><Relationship Id="rId2902" Type="http://schemas.openxmlformats.org/officeDocument/2006/relationships/hyperlink" Target="https://audio.iskcondesiretree.com/01_-_Srila_Prabhupada/01_-_Lectures/01_-_English/02_-_Month_wise/03_-_March/03/SB-03-12-19_1975-03-03_SB-DALLAS.MP3" TargetMode="External"/><Relationship Id="rId2903" Type="http://schemas.openxmlformats.org/officeDocument/2006/relationships/hyperlink" Target="https://audio.iskcondesiretree.com/01_-_Srila_Prabhupada/01_-_Lectures/01_-_English/02_-_Month_wise/03_-_March/03/SB_3-12-19_DAL_1975-03-03_Entering_Krishna%27s_Family.mp3" TargetMode="External"/><Relationship Id="rId2904" Type="http://schemas.openxmlformats.org/officeDocument/2006/relationships/hyperlink" Target="https://audio.iskcondesiretree.com/01_-_Srila_Prabhupada/01_-_Lectures/01_-_English/01_-_Topic_wise/Chaitanya_Charitamrita/Adi_Lila/SP_CC_A_01-15_Dallas_1975-03-04_Our_Hospital_Can_Stop_Death.mp3" TargetMode="External"/><Relationship Id="rId2905" Type="http://schemas.openxmlformats.org/officeDocument/2006/relationships/hyperlink" Target="https://audio.iskcondesiretree.com/01_-_Srila_Prabhupada/01_-_Lectures/01_-_English/01_-_Topic_wise/Morning_Walk/SP_Morning_Walk_-_Dallas_1975-03-04_Life-Work_Hard_and_Sin.mp3" TargetMode="External"/><Relationship Id="rId2906" Type="http://schemas.openxmlformats.org/officeDocument/2006/relationships/hyperlink" Target="https://audio.iskcondesiretree.com/01_-_Srila_Prabhupada/01_-_Lectures/01_-_English/02_-_Month_wise/03_-_March/04/Cc_A_1-15_DAL_1975-03-04_Our_Hospital_Can_Stop_Death.mp3" TargetMode="External"/><Relationship Id="rId2907" Type="http://schemas.openxmlformats.org/officeDocument/2006/relationships/hyperlink" Target="https://audio.iskcondesiretree.com/01_-_Srila_Prabhupada/01_-_Lectures/01_-_English/02_-_Month_wise/03_-_March/04/CcAdi-01-015_1975-03-04_CC-DALLAS.MP3" TargetMode="External"/><Relationship Id="rId2908" Type="http://schemas.openxmlformats.org/officeDocument/2006/relationships/hyperlink" Target="https://audio.iskcondesiretree.com/01_-_Srila_Prabhupada/01_-_Lectures/01_-_English/02_-_Month_wise/03_-_March/04/MW_DAL_1975-03-04_Life-Work_Hard_and_Sin.mp3" TargetMode="External"/><Relationship Id="rId2909" Type="http://schemas.openxmlformats.org/officeDocument/2006/relationships/hyperlink" Target="https://audio.iskcondesiretree.com/01_-_Srila_Prabhupada/01_-_Lectures/01_-_English/02_-_Month_wise/03_-_March/04/Walk_1975-03-04_MW-DALLAS.MP3" TargetMode="External"/><Relationship Id="rId5170" Type="http://schemas.openxmlformats.org/officeDocument/2006/relationships/hyperlink" Target="https://audio.iskcondesiretree.com/01_-_Srila_Prabhupada/01_-_Lectures/01_-_English/02_-_Month_wise/08_-_August/31/Initiations_1976-08-31_IN-DELHI.MP3" TargetMode="External"/><Relationship Id="rId5171" Type="http://schemas.openxmlformats.org/officeDocument/2006/relationships/hyperlink" Target="https://audio.iskcondesiretree.com/01_-_Srila_Prabhupada/01_-_Lectures/01_-_English/02_-_Month_wise/08_-_August/31/Meeting_1976-08-31_R1-DELHI.MP3" TargetMode="External"/><Relationship Id="rId5174" Type="http://schemas.openxmlformats.org/officeDocument/2006/relationships/hyperlink" Target="https://audio.iskcondesiretree.com/01_-_Srila_Prabhupada/01_-_Lectures/01_-_English/02_-_Month_wise/09_-_September/02/Walk_1976-09-02_MW-DELHI.MP3" TargetMode="External"/><Relationship Id="rId5175" Type="http://schemas.openxmlformats.org/officeDocument/2006/relationships/hyperlink" Target="https://audio.iskcondesiretree.com/01_-_Srila_Prabhupada/01_-_Lectures/01_-_English/01_-_Topic_wise/Arrival_Address/SP_Arrival_Vrindavan_1976-09-03_Understand_God.mp3" TargetMode="External"/><Relationship Id="rId5172" Type="http://schemas.openxmlformats.org/officeDocument/2006/relationships/hyperlink" Target="https://audio.iskcondesiretree.com/01_-_Srila_Prabhupada/01_-_Lectures/01_-_English/02_-_Month_wise/08_-_August/31/Walk_1976-08-31_MW-DELHI.MP3" TargetMode="External"/><Relationship Id="rId5173" Type="http://schemas.openxmlformats.org/officeDocument/2006/relationships/hyperlink" Target="https://audio.iskcondesiretree.com/01_-_Srila_Prabhupada/01_-_Lectures/01_-_English/02_-_Month_wise/09_-_September/01/Darshan_1976-09-01_ED-DELHI.MP3" TargetMode="External"/><Relationship Id="rId5178" Type="http://schemas.openxmlformats.org/officeDocument/2006/relationships/hyperlink" Target="https://audio.iskcondesiretree.com/01_-_Srila_Prabhupada/01_-_Lectures/01_-_English/02_-_Month_wise/09_-_September/03/Conv_1976-09-03_G1-VRNDAVAN.MP3" TargetMode="External"/><Relationship Id="rId5179" Type="http://schemas.openxmlformats.org/officeDocument/2006/relationships/hyperlink" Target="https://audio.iskcondesiretree.com/01_-_Srila_Prabhupada/01_-_Lectures/01_-_English/02_-_Month_wise/09_-_September/03/Conv_1976-09-03_R1-VRNDAVAN.MP3" TargetMode="External"/><Relationship Id="rId5176" Type="http://schemas.openxmlformats.org/officeDocument/2006/relationships/hyperlink" Target="https://audio.iskcondesiretree.com/01_-_Srila_Prabhupada/01_-_Lectures/01_-_English/02_-_Month_wise/09_-_September/03/Arr_VRN_1976-09-03_Understand_God.mp3" TargetMode="External"/><Relationship Id="rId5177" Type="http://schemas.openxmlformats.org/officeDocument/2006/relationships/hyperlink" Target="https://audio.iskcondesiretree.com/01_-_Srila_Prabhupada/01_-_Lectures/01_-_English/02_-_Month_wise/09_-_September/03/Bg-07-15_1976-09-03_BG-VRNDAVAN.MP3" TargetMode="External"/><Relationship Id="rId5160" Type="http://schemas.openxmlformats.org/officeDocument/2006/relationships/hyperlink" Target="https://audio.iskcondesiretree.com/01_-_Srila_Prabhupada/01_-_Lectures/01_-_English/02_-_Month_wise/08_-_August/24/RC_HYD_1976-08-24_Sweepers_Lepers_and_Government_Ministers.mp3" TargetMode="External"/><Relationship Id="rId5163" Type="http://schemas.openxmlformats.org/officeDocument/2006/relationships/hyperlink" Target="https://audio.iskcondesiretree.com/01_-_Srila_Prabhupada/01_-_Lectures/01_-_English/02_-_Month_wise/08_-_August/25/Bg-01-01%E2%80%93Hindi_1976-08-25_BG-HYDERABAD.MP3" TargetMode="External"/><Relationship Id="rId5164" Type="http://schemas.openxmlformats.org/officeDocument/2006/relationships/hyperlink" Target="https://audio.iskcondesiretree.com/01_-_Srila_Prabhupada/01_-_Lectures/01_-_English/02_-_Month_wise/08_-_August/25/Conv_1976-08-25_R1-HYDERABAD.MP3" TargetMode="External"/><Relationship Id="rId5161" Type="http://schemas.openxmlformats.org/officeDocument/2006/relationships/hyperlink" Target="https://audio.iskcondesiretree.com/01_-_Srila_Prabhupada/01_-_Lectures/01_-_English/02_-_Month_wise/08_-_August/24/Walk_1976-08-24_MW-HYDERABAD.MP3" TargetMode="External"/><Relationship Id="rId5162" Type="http://schemas.openxmlformats.org/officeDocument/2006/relationships/hyperlink" Target="https://audio.iskcondesiretree.com/01_-_Srila_Prabhupada/01_-_Lectures/01_-_English/01_-_Topic_wise/Room_Conversation/SP_Room_Conversation_Hyderabad_1976-08-25_There_Is_An_Eternal_World.mp3" TargetMode="External"/><Relationship Id="rId5167" Type="http://schemas.openxmlformats.org/officeDocument/2006/relationships/hyperlink" Target="https://audio.iskcondesiretree.com/01_-_Srila_Prabhupada/01_-_Lectures/01_-_English/02_-_Month_wise/08_-_August/29/SB-05-05-01_1976-08-29_SB-DELHI.MP3" TargetMode="External"/><Relationship Id="rId5168" Type="http://schemas.openxmlformats.org/officeDocument/2006/relationships/hyperlink" Target="https://audio.iskcondesiretree.com/01_-_Srila_Prabhupada/01_-_Lectures/01_-_English/02_-_Month_wise/08_-_August/29/Walk_1976-08-29_MW-DELHI.MP3" TargetMode="External"/><Relationship Id="rId5165" Type="http://schemas.openxmlformats.org/officeDocument/2006/relationships/hyperlink" Target="https://audio.iskcondesiretree.com/01_-_Srila_Prabhupada/01_-_Lectures/01_-_English/02_-_Month_wise/08_-_August/25/RC_HYD_1976-08-25_There_Is_An_Eternal_World.mp3" TargetMode="External"/><Relationship Id="rId5166" Type="http://schemas.openxmlformats.org/officeDocument/2006/relationships/hyperlink" Target="https://audio.iskcondesiretree.com/01_-_Srila_Prabhupada/01_-_Lectures/01_-_English/02_-_Month_wise/08_-_August/27/Walk_1976-08-27_MW-DELHI.MP3" TargetMode="External"/><Relationship Id="rId5169" Type="http://schemas.openxmlformats.org/officeDocument/2006/relationships/hyperlink" Target="https://audio.iskcondesiretree.com/01_-_Srila_Prabhupada/01_-_Lectures/01_-_English/02_-_Month_wise/08_-_August/30/Walk_1976-08-30_MW-DELHI.MP3" TargetMode="External"/><Relationship Id="rId2920" Type="http://schemas.openxmlformats.org/officeDocument/2006/relationships/hyperlink" Target="https://audio.iskcondesiretree.com/01_-_Srila_Prabhupada/01_-_Lectures/01_-_English/02_-_Month_wise/03_-_March/06/SB-02-02-06_1975-03-06_SB-NEW%20YORK.MP3" TargetMode="External"/><Relationship Id="rId2921" Type="http://schemas.openxmlformats.org/officeDocument/2006/relationships/hyperlink" Target="https://audio.iskcondesiretree.com/01_-_Srila_Prabhupada/01_-_Lectures/01_-_English/02_-_Month_wise/03_-_March/06/SB_1-15-27_NY_1975-03-06_Blazing_Fire_Within_the_Heart.mp3" TargetMode="External"/><Relationship Id="rId2922" Type="http://schemas.openxmlformats.org/officeDocument/2006/relationships/hyperlink" Target="https://audio.iskcondesiretree.com/01_-_Srila_Prabhupada/01_-_Lectures/01_-_English/01_-_Topic_wise/Srimad_Bhagavatam/More/SP_SB_New_York_1975-03-07.MP3" TargetMode="External"/><Relationship Id="rId2923" Type="http://schemas.openxmlformats.org/officeDocument/2006/relationships/hyperlink" Target="https://audio.iskcondesiretree.com/01_-_Srila_Prabhupada/01_-_Lectures/01_-_English/02_-_Month_wise/03_-_March/07/SB-Lecture_1975-03-07_SB-NEW%20YORK.MP3" TargetMode="External"/><Relationship Id="rId2924" Type="http://schemas.openxmlformats.org/officeDocument/2006/relationships/hyperlink" Target="https://audio.iskcondesiretree.com/01_-_Srila_Prabhupada/01_-_Lectures/01_-_English/01_-_Topic_wise/Arrival_Address/SP_Arrival_Lecture_London_1975-03-08.MP3" TargetMode="External"/><Relationship Id="rId2925" Type="http://schemas.openxmlformats.org/officeDocument/2006/relationships/hyperlink" Target="https://audio.iskcondesiretree.com/01_-_Srila_Prabhupada/01_-_Lectures/01_-_English/01_-_Topic_wise/Room_Conversation/SP_Room_Conversation_01_London_1975-03-08.MP3" TargetMode="External"/><Relationship Id="rId2926" Type="http://schemas.openxmlformats.org/officeDocument/2006/relationships/hyperlink" Target="https://audio.iskcondesiretree.com/01_-_Srila_Prabhupada/01_-_Lectures/01_-_English/02_-_Month_wise/03_-_March/08/Arrival_1975-03-08_AR-LONDON.MP3" TargetMode="External"/><Relationship Id="rId2927" Type="http://schemas.openxmlformats.org/officeDocument/2006/relationships/hyperlink" Target="https://audio.iskcondesiretree.com/01_-_Srila_Prabhupada/01_-_Lectures/01_-_English/02_-_Month_wise/03_-_March/08/Conv_1975-03-08_R1-LONDON.MP3" TargetMode="External"/><Relationship Id="rId2928" Type="http://schemas.openxmlformats.org/officeDocument/2006/relationships/hyperlink" Target="https://audio.iskcondesiretree.com/01_-_Srila_Prabhupada/01_-_Lectures/01_-_English/01_-_Topic_wise/Bhagavad_Gita/Chapter-07/SP_BG_07-01_London_1975-03-09_Attachment_to_the_Supreme.mp3" TargetMode="External"/><Relationship Id="rId2929" Type="http://schemas.openxmlformats.org/officeDocument/2006/relationships/hyperlink" Target="https://audio.iskcondesiretree.com/01_-_Srila_Prabhupada/01_-_Lectures/01_-_English/01_-_Topic_wise/Room_Conversation/SP_Room_Conversation_London_1975-03-09_Reporter--Produce_Food_or_Problems.mp3" TargetMode="External"/><Relationship Id="rId5192" Type="http://schemas.openxmlformats.org/officeDocument/2006/relationships/hyperlink" Target="https://audio.iskcondesiretree.com/01_-_Srila_Prabhupada/01_-_Lectures/01_-_English/02_-_Month_wise/09_-_September/06/Conv_1976-09-06_R1-VRNDAVAN.MP3" TargetMode="External"/><Relationship Id="rId5193" Type="http://schemas.openxmlformats.org/officeDocument/2006/relationships/hyperlink" Target="https://audio.iskcondesiretree.com/01_-_Srila_Prabhupada/01_-_Lectures/01_-_English/02_-_Month_wise/09_-_September/06/SB-01-07-07_1976-09-06_SB-VRNDAVAN.MP3" TargetMode="External"/><Relationship Id="rId5190" Type="http://schemas.openxmlformats.org/officeDocument/2006/relationships/hyperlink" Target="https://audio.iskcondesiretree.com/01_-_Srila_Prabhupada/01_-_Lectures/01_-_English/01_-_Topic_wise/Srimad_Bhagavatam/Canto-01/SP_SB_1-07-07_Vrindavan_1976-09-06_To_Live_Means_to_Love_Krishna.mp3" TargetMode="External"/><Relationship Id="rId5191" Type="http://schemas.openxmlformats.org/officeDocument/2006/relationships/hyperlink" Target="https://audio.iskcondesiretree.com/01_-_Srila_Prabhupada/01_-_Lectures/01_-_English/02_-_Month_wise/09_-_September/06/Conv_1976-09-06_G1-VRNDAVAN.MP3" TargetMode="External"/><Relationship Id="rId5196" Type="http://schemas.openxmlformats.org/officeDocument/2006/relationships/hyperlink" Target="https://audio.iskcondesiretree.com/01_-_Srila_Prabhupada/01_-_Lectures/01_-_English/01_-_Topic_wise/Srimad_Bhagavatam/Canto-01/SP_SB_1-07-08_Vrindavan_1976-09-07_Our_Condition-Precarious.mp3" TargetMode="External"/><Relationship Id="rId5197" Type="http://schemas.openxmlformats.org/officeDocument/2006/relationships/hyperlink" Target="https://audio.iskcondesiretree.com/01_-_Srila_Prabhupada/01_-_Lectures/01_-_English/02_-_Month_wise/09_-_September/07/Conv_1976-09-07_G1-VRNDAVAN.MP3" TargetMode="External"/><Relationship Id="rId5194" Type="http://schemas.openxmlformats.org/officeDocument/2006/relationships/hyperlink" Target="https://audio.iskcondesiretree.com/01_-_Srila_Prabhupada/01_-_Lectures/01_-_English/02_-_Month_wise/09_-_September/06/SB_1-07-07_VRN_1976-09-06_To_Live_Means_to_Love_Krishna.mp3" TargetMode="External"/><Relationship Id="rId5195" Type="http://schemas.openxmlformats.org/officeDocument/2006/relationships/hyperlink" Target="https://audio.iskcondesiretree.com/01_-_Srila_Prabhupada/01_-_Lectures/01_-_English/01_-_Topic_wise/Room_Conversation/SP_Room_Conversation_Vrindavan_1976-09-07_Spiritual_Happiness_and_Suicidal_Monkey.mp3" TargetMode="External"/><Relationship Id="rId5198" Type="http://schemas.openxmlformats.org/officeDocument/2006/relationships/hyperlink" Target="https://audio.iskcondesiretree.com/01_-_Srila_Prabhupada/01_-_Lectures/01_-_English/02_-_Month_wise/09_-_September/07/Conv_1976-09-07_G2-VRNDAVAN.MP3" TargetMode="External"/><Relationship Id="rId5199" Type="http://schemas.openxmlformats.org/officeDocument/2006/relationships/hyperlink" Target="https://audio.iskcondesiretree.com/01_-_Srila_Prabhupada/01_-_Lectures/01_-_English/02_-_Month_wise/09_-_September/07/Conv_1976-09-07_R1-VRNDAVAN.MP3" TargetMode="External"/><Relationship Id="rId2910" Type="http://schemas.openxmlformats.org/officeDocument/2006/relationships/hyperlink" Target="https://audio.iskcondesiretree.com/01_-_Srila_Prabhupada/01_-_Lectures/01_-_English/01_-_Topic_wise/Interview/SP_Interview_New_York_1975-03-05_Press--We_Are_Hare_Krishna_People.mp3" TargetMode="External"/><Relationship Id="rId2911" Type="http://schemas.openxmlformats.org/officeDocument/2006/relationships/hyperlink" Target="https://audio.iskcondesiretree.com/01_-_Srila_Prabhupada/01_-_Lectures/01_-_English/01_-_Topic_wise/Srimad_Bhagavatam/Canto-02/SP_SB_2-02-05_New_York_1975-03-05_How_Shall_I_Be_Maintained.mp3" TargetMode="External"/><Relationship Id="rId2912" Type="http://schemas.openxmlformats.org/officeDocument/2006/relationships/hyperlink" Target="https://audio.iskcondesiretree.com/01_-_Srila_Prabhupada/01_-_Lectures/01_-_English/02_-_Month_wise/03_-_March/05/Interv_NY_1975-03-05_Press--We_Are_Hare_Krishna_People.mp3" TargetMode="External"/><Relationship Id="rId2913" Type="http://schemas.openxmlformats.org/officeDocument/2006/relationships/hyperlink" Target="https://audio.iskcondesiretree.com/01_-_Srila_Prabhupada/01_-_Lectures/01_-_English/02_-_Month_wise/03_-_March/05/Interview_1975-03-05_IV-NEW%20YORK.MP3" TargetMode="External"/><Relationship Id="rId2914" Type="http://schemas.openxmlformats.org/officeDocument/2006/relationships/hyperlink" Target="https://audio.iskcondesiretree.com/01_-_Srila_Prabhupada/01_-_Lectures/01_-_English/02_-_Month_wise/03_-_March/05/SB-02-02-05_1975-03-05_SB-NEW%20YORK.MP3" TargetMode="External"/><Relationship Id="rId2915" Type="http://schemas.openxmlformats.org/officeDocument/2006/relationships/hyperlink" Target="https://audio.iskcondesiretree.com/01_-_Srila_Prabhupada/01_-_Lectures/01_-_English/02_-_Month_wise/03_-_March/05/SB_2-02-05_NY_1975-03-05_How_Shall_I_Be_Maintained.mp3" TargetMode="External"/><Relationship Id="rId2916" Type="http://schemas.openxmlformats.org/officeDocument/2006/relationships/hyperlink" Target="https://audio.iskcondesiretree.com/01_-_Srila_Prabhupada/01_-_Lectures/01_-_English/01_-_Topic_wise/Srimad_Bhagavatam/Canto-01/SP_SB_1-15-27_New_York_1975-03-06.MP3" TargetMode="External"/><Relationship Id="rId2917" Type="http://schemas.openxmlformats.org/officeDocument/2006/relationships/hyperlink" Target="https://audio.iskcondesiretree.com/01_-_Srila_Prabhupada/01_-_Lectures/01_-_English/01_-_Topic_wise/Srimad_Bhagavatam/Canto-01/SP_SB_1-15-27_New_York_1975-03-06_Blazing_Fire_Within_the_Heart.mp3" TargetMode="External"/><Relationship Id="rId2918" Type="http://schemas.openxmlformats.org/officeDocument/2006/relationships/hyperlink" Target="https://audio.iskcondesiretree.com/01_-_Srila_Prabhupada/01_-_Lectures/01_-_English/01_-_Topic_wise/Srimad_Bhagavatam/Canto-02/SP_SB_2-02-06_New_York_1975-03-06.MP3" TargetMode="External"/><Relationship Id="rId2919" Type="http://schemas.openxmlformats.org/officeDocument/2006/relationships/hyperlink" Target="https://audio.iskcondesiretree.com/01_-_Srila_Prabhupada/01_-_Lectures/01_-_English/02_-_Month_wise/03_-_March/06/SB-01-15-27_1975-03-06_S2-NEW%20YORK.MP3" TargetMode="External"/><Relationship Id="rId5181" Type="http://schemas.openxmlformats.org/officeDocument/2006/relationships/hyperlink" Target="https://audio.iskcondesiretree.com/01_-_Srila_Prabhupada/01_-_Lectures/01_-_English/01_-_Topic_wise/Srimad_Bhagavatam/Canto-01/SP_SB_1-07-05_Vrindavan_1976-09-04_Human_Life-Understand_God.mp3" TargetMode="External"/><Relationship Id="rId5182" Type="http://schemas.openxmlformats.org/officeDocument/2006/relationships/hyperlink" Target="https://audio.iskcondesiretree.com/01_-_Srila_Prabhupada/01_-_Lectures/01_-_English/02_-_Month_wise/09_-_September/04/Conv_1976-09-04_R1-VRNDAVAN.MP3" TargetMode="External"/><Relationship Id="rId5180" Type="http://schemas.openxmlformats.org/officeDocument/2006/relationships/hyperlink" Target="https://audio.iskcondesiretree.com/01_-_Srila_Prabhupada/01_-_Lectures/01_-_English/01_-_Topic_wise/Room_Conversation/SP_Room_Conversation_Vrindavan_1976-09-04_Happy_Within_Yourself.mp3" TargetMode="External"/><Relationship Id="rId5185" Type="http://schemas.openxmlformats.org/officeDocument/2006/relationships/hyperlink" Target="https://audio.iskcondesiretree.com/01_-_Srila_Prabhupada/01_-_Lectures/01_-_English/02_-_Month_wise/09_-_September/04/SB_1-07-05_VRN_1976-09-04_Human_Life-Understand_God.mp3" TargetMode="External"/><Relationship Id="rId5186" Type="http://schemas.openxmlformats.org/officeDocument/2006/relationships/hyperlink" Target="https://audio.iskcondesiretree.com/01_-_Srila_Prabhupada/01_-_Lectures/01_-_English/01_-_Topic_wise/Srimad_Bhagavatam/Canto-01/SP_SB_1-07-06_Vrindavan_1976-09-05_Produce_Grain-Not_Goodyear_Tires.mp3" TargetMode="External"/><Relationship Id="rId5183" Type="http://schemas.openxmlformats.org/officeDocument/2006/relationships/hyperlink" Target="https://audio.iskcondesiretree.com/01_-_Srila_Prabhupada/01_-_Lectures/01_-_English/02_-_Month_wise/09_-_September/04/RC_VRN_1976-09-04_Happy_Within_Yourself.mp3" TargetMode="External"/><Relationship Id="rId5184" Type="http://schemas.openxmlformats.org/officeDocument/2006/relationships/hyperlink" Target="https://audio.iskcondesiretree.com/01_-_Srila_Prabhupada/01_-_Lectures/01_-_English/02_-_Month_wise/09_-_September/04/SB-01-07-05_1976-09-04_SB-VRNDAVAN.MP3" TargetMode="External"/><Relationship Id="rId5189" Type="http://schemas.openxmlformats.org/officeDocument/2006/relationships/hyperlink" Target="https://audio.iskcondesiretree.com/01_-_Srila_Prabhupada/01_-_Lectures/01_-_English/02_-_Month_wise/09_-_September/05/SB_1-07-06_VRN_1976-09-05_Produce_Grain-Not_Goodyear_Tires.mp3" TargetMode="External"/><Relationship Id="rId5187" Type="http://schemas.openxmlformats.org/officeDocument/2006/relationships/hyperlink" Target="https://audio.iskcondesiretree.com/01_-_Srila_Prabhupada/01_-_Lectures/01_-_English/02_-_Month_wise/09_-_September/05/Conv_1976-09-05_R2-VRNDAVAN.MP3" TargetMode="External"/><Relationship Id="rId5188" Type="http://schemas.openxmlformats.org/officeDocument/2006/relationships/hyperlink" Target="https://audio.iskcondesiretree.com/01_-_Srila_Prabhupada/01_-_Lectures/01_-_English/02_-_Month_wise/09_-_September/05/SB-01-07-06_1976-09-05_SB-VRNDAVAN.MP3" TargetMode="External"/><Relationship Id="rId1697" Type="http://schemas.openxmlformats.org/officeDocument/2006/relationships/hyperlink" Target="https://audio.iskcondesiretree.com/01_-_Srila_Prabhupada/01_-_Lectures/01_-_English/02_-_Month_wise/03_-_March/12/Walk_1974-03-12_MW-VRNDAVAN.MP3" TargetMode="External"/><Relationship Id="rId1698" Type="http://schemas.openxmlformats.org/officeDocument/2006/relationships/hyperlink" Target="https://audio.iskcondesiretree.com/01_-_Srila_Prabhupada/01_-_Lectures/01_-_English/01_-_Topic_wise/Chaitanya_Charitamrita/Adi_Lila/SP_CC_A_07-91_Vrindavan_1974-03-13_Singing_in_Saintly_Company.mp3" TargetMode="External"/><Relationship Id="rId1699" Type="http://schemas.openxmlformats.org/officeDocument/2006/relationships/hyperlink" Target="https://audio.iskcondesiretree.com/01_-_Srila_Prabhupada/01_-_Lectures/01_-_English/01_-_Topic_wise/Morning_Walk/SP_Morning_Walk_-_Vrindavan_1974-03-13.mp3" TargetMode="External"/><Relationship Id="rId866" Type="http://schemas.openxmlformats.org/officeDocument/2006/relationships/hyperlink" Target="https://audio.iskcondesiretree.com/01_-_Srila_Prabhupada/01_-_Lectures/01_-_English/01_-_Topic_wise/Bhagavad_Gita/Chapter-07/SP_BG_07-01_Ahmedabad_1972-12-13_Kanistha_Madhyama_Uttama.mp3" TargetMode="External"/><Relationship Id="rId865" Type="http://schemas.openxmlformats.org/officeDocument/2006/relationships/hyperlink" Target="https://audio.iskcondesiretree.com/01_-_Srila_Prabhupada/01_-_Lectures/01_-_English/02_-_Month_wise/12_-_December/12/Bg_06-47_AHM_1972-12-12_Blockhead_to_Bhakta.mp3" TargetMode="External"/><Relationship Id="rId864" Type="http://schemas.openxmlformats.org/officeDocument/2006/relationships/hyperlink" Target="https://audio.iskcondesiretree.com/01_-_Srila_Prabhupada/01_-_Lectures/01_-_English/01_-_Topic_wise/Bhagavad_Gita/Chapter-06/SP_BG_06-47_Ahmedabad_1972-12-12_Blockhead_to_Bhakta.mp3" TargetMode="External"/><Relationship Id="rId863" Type="http://schemas.openxmlformats.org/officeDocument/2006/relationships/hyperlink" Target="https://audio.iskcondesiretree.com/01_-_Srila_Prabhupada/01_-_Lectures/01_-_English/02_-_Month_wise/12_-_December/11/Bg_02-02_AHM_1972-12-11_Classless_Aryanism.mp3" TargetMode="External"/><Relationship Id="rId869" Type="http://schemas.openxmlformats.org/officeDocument/2006/relationships/hyperlink" Target="https://audio.iskcondesiretree.com/01_-_Srila_Prabhupada/01_-_Lectures/01_-_English/02_-_Month_wise/12_-_December/14/Bg_07-01_AHM_1972-12-14_Theory_of_Uncertainty.mp3" TargetMode="External"/><Relationship Id="rId868" Type="http://schemas.openxmlformats.org/officeDocument/2006/relationships/hyperlink" Target="https://audio.iskcondesiretree.com/01_-_Srila_Prabhupada/01_-_Lectures/01_-_English/01_-_Topic_wise/Bhagavad_Gita/Chapter-07/SP_BG_07-01_Ahmedabad_1972-12-14_Theory_of_Uncertainty.mp3" TargetMode="External"/><Relationship Id="rId867" Type="http://schemas.openxmlformats.org/officeDocument/2006/relationships/hyperlink" Target="https://audio.iskcondesiretree.com/01_-_Srila_Prabhupada/01_-_Lectures/01_-_English/02_-_Month_wise/12_-_December/13/Bg_07-01_AHM_1972-12-13_Kanistha_Madhyama_Uttama.mp3" TargetMode="External"/><Relationship Id="rId1690" Type="http://schemas.openxmlformats.org/officeDocument/2006/relationships/hyperlink" Target="https://audio.iskcondesiretree.com/01_-_Srila_Prabhupada/01_-_Lectures/01_-_English/01_-_Topic_wise/Morning_Walk/SP_Morning_Walk_-_Mayapur_1974-03-09_The_Spirit_of_the_Law.mp3" TargetMode="External"/><Relationship Id="rId1691" Type="http://schemas.openxmlformats.org/officeDocument/2006/relationships/hyperlink" Target="https://audio.iskcondesiretree.com/01_-_Srila_Prabhupada/01_-_Lectures/01_-_English/02_-_Month_wise/03_-_March/09/Cc_A_7-07_MAY_1974-03-09_Krishna_Kills_the_Competition.mp3" TargetMode="External"/><Relationship Id="rId1692" Type="http://schemas.openxmlformats.org/officeDocument/2006/relationships/hyperlink" Target="https://audio.iskcondesiretree.com/01_-_Srila_Prabhupada/01_-_Lectures/01_-_English/02_-_Month_wise/03_-_March/09/CcAdi-07-007_1974-03-09_CC-MAYAPUR.MP3" TargetMode="External"/><Relationship Id="rId862" Type="http://schemas.openxmlformats.org/officeDocument/2006/relationships/hyperlink" Target="https://audio.iskcondesiretree.com/01_-_Srila_Prabhupada/01_-_Lectures/01_-_English/01_-_Topic_wise/Bhagavad_Gita/Chapter-02/SP_BG_02-02_Ahmedabad_1972-12-11_Classless_Aryanism.mp3" TargetMode="External"/><Relationship Id="rId1693" Type="http://schemas.openxmlformats.org/officeDocument/2006/relationships/hyperlink" Target="https://audio.iskcondesiretree.com/01_-_Srila_Prabhupada/01_-_Lectures/01_-_English/02_-_Month_wise/03_-_March/09/MW_MAY_1974-03-09_The_Spirit_of_the_Law.mp3" TargetMode="External"/><Relationship Id="rId861" Type="http://schemas.openxmlformats.org/officeDocument/2006/relationships/hyperlink" Target="https://audio.iskcondesiretree.com/01_-_Srila_Prabhupada/01_-_Lectures/01_-_English/02_-_Month_wise/12_-_December/10/Bg_18-67_AHM_1972-12-10_Human_Form_of_Life_Is_for.mp3" TargetMode="External"/><Relationship Id="rId1694" Type="http://schemas.openxmlformats.org/officeDocument/2006/relationships/hyperlink" Target="https://audio.iskcondesiretree.com/01_-_Srila_Prabhupada/01_-_Lectures/01_-_English/02_-_Month_wise/03_-_March/09/Walk_1974-03-09_MW-MAYAPUR.MP3" TargetMode="External"/><Relationship Id="rId860" Type="http://schemas.openxmlformats.org/officeDocument/2006/relationships/hyperlink" Target="https://audio.iskcondesiretree.com/01_-_Srila_Prabhupada/01_-_Lectures/01_-_English/01_-_Topic_wise/Bhagavad_Gita/Chapter-18/SP_BG_18-67_Ahmedabad_1972-12-10_Human_Form_of_Life_Is_for.mp3" TargetMode="External"/><Relationship Id="rId1695" Type="http://schemas.openxmlformats.org/officeDocument/2006/relationships/hyperlink" Target="https://audio.iskcondesiretree.com/01_-_Srila_Prabhupada/01_-_Lectures/01_-_English/02_-_Month_wise/03_-_March/10/Lecture%E2%80%93Bengali_1974-03-10_LE-CALCUTTA.MP3" TargetMode="External"/><Relationship Id="rId1696" Type="http://schemas.openxmlformats.org/officeDocument/2006/relationships/hyperlink" Target="https://audio.iskcondesiretree.com/01_-_Srila_Prabhupada/01_-_Lectures/01_-_English/01_-_Topic_wise/Morning_Walk/SP_Morning_Walk_-_Vrindavan_1974-03-12.mp3" TargetMode="External"/><Relationship Id="rId1686" Type="http://schemas.openxmlformats.org/officeDocument/2006/relationships/hyperlink" Target="https://audio.iskcondesiretree.com/01_-_Srila_Prabhupada/01_-_Lectures/01_-_English/02_-_Month_wise/03_-_March/07/Cc_A_7-05_MAY_1974-03-07_Krishna_Is_the_Ocean_of_Pleasure.mp3" TargetMode="External"/><Relationship Id="rId1687" Type="http://schemas.openxmlformats.org/officeDocument/2006/relationships/hyperlink" Target="https://audio.iskcondesiretree.com/01_-_Srila_Prabhupada/01_-_Lectures/01_-_English/02_-_Month_wise/03_-_March/07/CcAdi-07-005_1974-03-07_CC-MAYAPUR.MP3" TargetMode="External"/><Relationship Id="rId1688" Type="http://schemas.openxmlformats.org/officeDocument/2006/relationships/hyperlink" Target="https://audio.iskcondesiretree.com/01_-_Srila_Prabhupada/01_-_Lectures/01_-_English/02_-_Month_wise/03_-_March/07/Walk_1974-03-07_MW-MAYAPUR.MP3" TargetMode="External"/><Relationship Id="rId1689" Type="http://schemas.openxmlformats.org/officeDocument/2006/relationships/hyperlink" Target="https://audio.iskcondesiretree.com/01_-_Srila_Prabhupada/01_-_Lectures/01_-_English/01_-_Topic_wise/Chaitanya_Charitamrita/Adi_Lila/SP_CC_A_07-07_Mayapur_1974-03-09_Krishna_Kills_the_Competition.mp3" TargetMode="External"/><Relationship Id="rId855" Type="http://schemas.openxmlformats.org/officeDocument/2006/relationships/hyperlink" Target="https://audio.iskcondesiretree.com/01_-_Srila_Prabhupada/01_-_Lectures/01_-_English/02_-_Month_wise/12_-_December/07/Bg_02-01_AHM_1972-12-07_Signs_of_Ignorance_of_Self.mp3" TargetMode="External"/><Relationship Id="rId854" Type="http://schemas.openxmlformats.org/officeDocument/2006/relationships/hyperlink" Target="https://audio.iskcondesiretree.com/01_-_Srila_Prabhupada/01_-_Lectures/01_-_English/01_-_Topic_wise/Bhagavad_Gita/Chapter-02/SP_BG_02-01_Ahmedabad_1972-12-07_Signs_of_Ignorance_of_Self.mp3" TargetMode="External"/><Relationship Id="rId853" Type="http://schemas.openxmlformats.org/officeDocument/2006/relationships/hyperlink" Target="https://audio.iskcondesiretree.com/01_-_Srila_Prabhupada/01_-_Lectures/01_-_English/02_-_Month_wise/12_-_December/06/Bg_02-01_AHM_1972-12-06_Krishna_Gave_Bhagavad-gita_to_etc.mp3" TargetMode="External"/><Relationship Id="rId852" Type="http://schemas.openxmlformats.org/officeDocument/2006/relationships/hyperlink" Target="https://audio.iskcondesiretree.com/01_-_Srila_Prabhupada/01_-_Lectures/01_-_English/01_-_Topic_wise/Bhagavad_Gita/Chapter-02/SP_BG_02-01_Ahmedabad_1972-12-06_Krishna_Gave_Bhagavad-gita_to--etc.mp3" TargetMode="External"/><Relationship Id="rId859" Type="http://schemas.openxmlformats.org/officeDocument/2006/relationships/hyperlink" Target="https://audio.iskcondesiretree.com/01_-_Srila_Prabhupada/01_-_Lectures/01_-_English/02_-_Month_wise/12_-_December/09/Bg_18-67_AHM_1972-12-09_What_Will_Max_Muller_etc.mp3" TargetMode="External"/><Relationship Id="rId858" Type="http://schemas.openxmlformats.org/officeDocument/2006/relationships/hyperlink" Target="https://audio.iskcondesiretree.com/01_-_Srila_Prabhupada/01_-_Lectures/01_-_English/01_-_Topic_wise/Bhagavad_Gita/Chapter-18/SP_BG_18-67_Ahmedabad_1972-12-09_What_Will_Max_Muller--etc.mp3" TargetMode="External"/><Relationship Id="rId857" Type="http://schemas.openxmlformats.org/officeDocument/2006/relationships/hyperlink" Target="https://audio.iskcondesiretree.com/01_-_Srila_Prabhupada/01_-_Lectures/01_-_English/02_-_Month_wise/12_-_December/08/Lect_AHM_1972-12-08_Sankaracarya_Is_Not_Original.mp3" TargetMode="External"/><Relationship Id="rId856" Type="http://schemas.openxmlformats.org/officeDocument/2006/relationships/hyperlink" Target="https://audio.iskcondesiretree.com/01_-_Srila_Prabhupada/01_-_Lectures/01_-_English/01_-_Topic_wise/Various/SP_Lecture_Ahmedabad_1972-12-08_Sankaracarya_Is_Not_Original.mp3" TargetMode="External"/><Relationship Id="rId1680" Type="http://schemas.openxmlformats.org/officeDocument/2006/relationships/hyperlink" Target="https://audio.iskcondesiretree.com/01_-_Srila_Prabhupada/01_-_Lectures/01_-_English/02_-_Month_wise/03_-_March/05/Walk_1974-03-05_MW-MAYAPUR.MP3" TargetMode="External"/><Relationship Id="rId1681" Type="http://schemas.openxmlformats.org/officeDocument/2006/relationships/hyperlink" Target="https://audio.iskcondesiretree.com/01_-_Srila_Prabhupada/01_-_Lectures/01_-_English/01_-_Topic_wise/Morning_Walk/SP_Morning_Walk_-_Mayapur_1974-03-06_Americans_Must_Smell_a_Machine.mp3" TargetMode="External"/><Relationship Id="rId851" Type="http://schemas.openxmlformats.org/officeDocument/2006/relationships/hyperlink" Target="https://audio.iskcondesiretree.com/01_-_Srila_Prabhupada/01_-_Lectures/01_-_English/02_-_Month_wise/12_-_December/05/Lect_AHM_1972-12-05_At_Rotary_Club-There_Are_So_Many_Anomalies.mp3" TargetMode="External"/><Relationship Id="rId1682" Type="http://schemas.openxmlformats.org/officeDocument/2006/relationships/hyperlink" Target="https://audio.iskcondesiretree.com/01_-_Srila_Prabhupada/01_-_Lectures/01_-_English/02_-_Month_wise/03_-_March/06/MW_MAY_1974-03-06_Americans_Must_Smell_a_Machine.mp3" TargetMode="External"/><Relationship Id="rId850" Type="http://schemas.openxmlformats.org/officeDocument/2006/relationships/hyperlink" Target="https://audio.iskcondesiretree.com/01_-_Srila_Prabhupada/01_-_Lectures/01_-_English/01_-_Topic_wise/Various/SP_Lecture_Ahmedabad_1972-12-05_At_Rotary_Club--There_Are_So_Many_Anomalies.mp3" TargetMode="External"/><Relationship Id="rId1683" Type="http://schemas.openxmlformats.org/officeDocument/2006/relationships/hyperlink" Target="https://audio.iskcondesiretree.com/01_-_Srila_Prabhupada/01_-_Lectures/01_-_English/02_-_Month_wise/03_-_March/06/Walk_1974-03-06_MW-MAYAPUR.MP3" TargetMode="External"/><Relationship Id="rId1684" Type="http://schemas.openxmlformats.org/officeDocument/2006/relationships/hyperlink" Target="https://audio.iskcondesiretree.com/01_-_Srila_Prabhupada/01_-_Lectures/01_-_English/01_-_Topic_wise/Chaitanya_Charitamrita/Adi_Lila/SP_CC_A_07-05_Mayapur_1974-03-07_Krishna_Is_the_Ocean_of_Pleasure.mp3" TargetMode="External"/><Relationship Id="rId1685" Type="http://schemas.openxmlformats.org/officeDocument/2006/relationships/hyperlink" Target="https://audio.iskcondesiretree.com/01_-_Srila_Prabhupada/01_-_Lectures/01_-_English/01_-_Topic_wise/Morning_Walk/SP_Morning_Walk_-_Mayapur_1974-03-07.mp3" TargetMode="External"/><Relationship Id="rId888" Type="http://schemas.openxmlformats.org/officeDocument/2006/relationships/hyperlink" Target="https://audio.iskcondesiretree.com/01_-_Srila_Prabhupada/01_-_Lectures/01_-_English/01_-_Topic_wise/Nectar_Of_Devotion/SP_NOD_Bombay_1973-01-05_-_Why_Krishna_Spoke_to_a-etc.mp3" TargetMode="External"/><Relationship Id="rId887" Type="http://schemas.openxmlformats.org/officeDocument/2006/relationships/hyperlink" Target="https://audio.iskcondesiretree.com/01_-_Srila_Prabhupada/01_-_Lectures/01_-_English/02_-_Month_wise/01_-_January/04/NOD_Pg-13_BOM_1973-01-04_Without_KC_There_Cannot_Be_Bliss.mp3" TargetMode="External"/><Relationship Id="rId886" Type="http://schemas.openxmlformats.org/officeDocument/2006/relationships/hyperlink" Target="https://audio.iskcondesiretree.com/01_-_Srila_Prabhupada/01_-_Lectures/01_-_English/01_-_Topic_wise/Nectar_Of_Devotion/SP_NOD_Pg-13_Bombay_1973-01-04_-_Without_KC_There_Cannot_Be_Bliss.mp3" TargetMode="External"/><Relationship Id="rId885" Type="http://schemas.openxmlformats.org/officeDocument/2006/relationships/hyperlink" Target="https://audio.iskcondesiretree.com/01_-_Srila_Prabhupada/01_-_Lectures/01_-_English/02_-_Month_wise/01_-_January/03/Lect_BOM_1973-01-03_Brahma-samhita-Nobody_Knows_Krishna.mp3" TargetMode="External"/><Relationship Id="rId889" Type="http://schemas.openxmlformats.org/officeDocument/2006/relationships/hyperlink" Target="https://audio.iskcondesiretree.com/01_-_Srila_Prabhupada/01_-_Lectures/01_-_English/01_-_Topic_wise/Nectar_Of_Devotion/SP_NOD_Pg-14_Bombay_1973-01-05_-_Invoking_Natural_Love_to_Krishna.mp3" TargetMode="External"/><Relationship Id="rId880" Type="http://schemas.openxmlformats.org/officeDocument/2006/relationships/hyperlink" Target="https://audio.iskcondesiretree.com/01_-_Srila_Prabhupada/01_-_Lectures/01_-_English/01_-_Topic_wise/Bhagavad_Gita/Chapter-13/SP_BG_13-03_Bombay_1972-12-30_Occupant_and_Owner_of_Body.mp3" TargetMode="External"/><Relationship Id="rId884" Type="http://schemas.openxmlformats.org/officeDocument/2006/relationships/hyperlink" Target="https://audio.iskcondesiretree.com/01_-_Srila_Prabhupada/01_-_Lectures/01_-_English/01_-_Topic_wise/Various/SP_Lecture_Bombay_1973-01-03_Brahma-samhita--Nobody_Knows_Krishna.mp3" TargetMode="External"/><Relationship Id="rId883" Type="http://schemas.openxmlformats.org/officeDocument/2006/relationships/hyperlink" Target="https://audio.iskcondesiretree.com/01_-_Srila_Prabhupada/01_-_Lectures/01_-_English/02_-_Month_wise/01_-_January/01/NOD_Pg-13_BOM_1973-01-01_What_Devotees_Want_and_Don%27t_Want.mp3" TargetMode="External"/><Relationship Id="rId882" Type="http://schemas.openxmlformats.org/officeDocument/2006/relationships/hyperlink" Target="https://audio.iskcondesiretree.com/01_-_Srila_Prabhupada/01_-_Lectures/01_-_English/01_-_Topic_wise/Nectar_Of_Devotion/SP_NOD_Pg-13_Bombay_1973-01-01_-_What_Devotees_Want_and_Don%27t_Want.mp3" TargetMode="External"/><Relationship Id="rId881" Type="http://schemas.openxmlformats.org/officeDocument/2006/relationships/hyperlink" Target="https://audio.iskcondesiretree.com/01_-_Srila_Prabhupada/01_-_Lectures/01_-_English/02_-_Month_wise/12_-_December/30/Bg_13-03_BOM_1972-12-30_Occupant_and_Owner_of_Body.mp3" TargetMode="External"/><Relationship Id="rId877" Type="http://schemas.openxmlformats.org/officeDocument/2006/relationships/hyperlink" Target="https://audio.iskcondesiretree.com/01_-_Srila_Prabhupada/01_-_Lectures/01_-_English/02_-_Month_wise/12_-_December/28/NOD_Pg-12_BOM_1972-12-28_The_Superiority_of_Devotional_Mellows.mp3" TargetMode="External"/><Relationship Id="rId876" Type="http://schemas.openxmlformats.org/officeDocument/2006/relationships/hyperlink" Target="https://audio.iskcondesiretree.com/01_-_Srila_Prabhupada/01_-_Lectures/01_-_English/02_-_Month_wise/12_-_December/28/NOD_Lect_BOM_1972-12-28_Surrender_to_Krishna_or_Crocodiles.mp3" TargetMode="External"/><Relationship Id="rId875" Type="http://schemas.openxmlformats.org/officeDocument/2006/relationships/hyperlink" Target="https://audio.iskcondesiretree.com/01_-_Srila_Prabhupada/01_-_Lectures/01_-_English/01_-_Topic_wise/Nectar_Of_Devotion/SP_NOD_Pg-12_Bombay_1972-12-28_-_The_Superiority_of_Devotional_Mellows.mp3" TargetMode="External"/><Relationship Id="rId874" Type="http://schemas.openxmlformats.org/officeDocument/2006/relationships/hyperlink" Target="https://audio.iskcondesiretree.com/01_-_Srila_Prabhupada/01_-_Lectures/01_-_English/01_-_Topic_wise/Nectar_Of_Devotion/SP_NOD_Bombay_1972-12-28_-_Surrender_to_Krishna_or_Crocodiles.mp3" TargetMode="External"/><Relationship Id="rId879" Type="http://schemas.openxmlformats.org/officeDocument/2006/relationships/hyperlink" Target="https://audio.iskcondesiretree.com/01_-_Srila_Prabhupada/01_-_Lectures/01_-_English/02_-_Month_wise/12_-_December/29/Bg_13-01_BOM_1972-12-29_Bodily_Field_and_the_Tiller.mp3" TargetMode="External"/><Relationship Id="rId878" Type="http://schemas.openxmlformats.org/officeDocument/2006/relationships/hyperlink" Target="https://audio.iskcondesiretree.com/01_-_Srila_Prabhupada/01_-_Lectures/01_-_English/01_-_Topic_wise/Bhagavad_Gita/Chapter-13/SP_BG_13-01-02_Bombay_1972-12-29_Bodily_Field_and_the_Tiller.mp3" TargetMode="External"/><Relationship Id="rId873" Type="http://schemas.openxmlformats.org/officeDocument/2006/relationships/hyperlink" Target="https://audio.iskcondesiretree.com/01_-_Srila_Prabhupada/01_-_Lectures/01_-_English/02_-_Month_wise/12_-_December/27/NOD_Pg-12_BOM_1972-12-27_Real_Liberation_Is_Bhakti-Yoga.mp3" TargetMode="External"/><Relationship Id="rId872" Type="http://schemas.openxmlformats.org/officeDocument/2006/relationships/hyperlink" Target="https://audio.iskcondesiretree.com/01_-_Srila_Prabhupada/01_-_Lectures/01_-_English/01_-_Topic_wise/Nectar_Of_Devotion/SP_NOD_Pg-12_Bombay_1972-12-27_-_Real_Liberation_Is_Bhakti_Yoga.mp3" TargetMode="External"/><Relationship Id="rId871" Type="http://schemas.openxmlformats.org/officeDocument/2006/relationships/hyperlink" Target="https://audio.iskcondesiretree.com/01_-_Srila_Prabhupada/01_-_Lectures/01_-_English/02_-_Month_wise/12_-_December/26/NOD_Pg-10_BOM_1972-12-26_Transcendental_Morality.mp3" TargetMode="External"/><Relationship Id="rId870" Type="http://schemas.openxmlformats.org/officeDocument/2006/relationships/hyperlink" Target="https://audio.iskcondesiretree.com/01_-_Srila_Prabhupada/01_-_Lectures/01_-_English/01_-_Topic_wise/Nectar_Of_Devotion/SP_NOD_Pg-10_Bombay_1972-12-26_-_Transcendental_Morality.mp3" TargetMode="External"/><Relationship Id="rId1653" Type="http://schemas.openxmlformats.org/officeDocument/2006/relationships/hyperlink" Target="https://audio.iskcondesiretree.com/01_-_Srila_Prabhupada/01_-_Lectures/01_-_English/02_-_Month_wise/02_-_Feburary/25/Bg_07-11_BOM_1974-02-25_Unplanned_Unwanted_Children.mp3" TargetMode="External"/><Relationship Id="rId2984" Type="http://schemas.openxmlformats.org/officeDocument/2006/relationships/hyperlink" Target="https://audio.iskcondesiretree.com/01_-_Srila_Prabhupada/01_-_Lectures/01_-_English/02_-_Month_wise/03_-_March/23/SB-01-02-08%E2%80%93Hindi_1975-03-23_SB-CALCUTTA.MP3" TargetMode="External"/><Relationship Id="rId1654" Type="http://schemas.openxmlformats.org/officeDocument/2006/relationships/hyperlink" Target="https://audio.iskcondesiretree.com/01_-_Srila_Prabhupada/01_-_Lectures/01_-_English/02_-_Month_wise/02_-_Feburary/25/Walk_1974-02-25_MW-BOMBAY.MP3" TargetMode="External"/><Relationship Id="rId2985" Type="http://schemas.openxmlformats.org/officeDocument/2006/relationships/hyperlink" Target="https://audio.iskcondesiretree.com/01_-_Srila_Prabhupada/01_-_Lectures/01_-_English/01_-_Topic_wise/Chaitanya_Charitamrita/Adi_Lila/SP_CC_A_01-01_Mayapur_1975-03-25_Become_a_Guru%2C_Not_a_God.mp3" TargetMode="External"/><Relationship Id="rId1655" Type="http://schemas.openxmlformats.org/officeDocument/2006/relationships/hyperlink" Target="https://audio.iskcondesiretree.com/01_-_Srila_Prabhupada/01_-_Lectures/01_-_English/01_-_Topic_wise/Bhagavad_Gita/Chapter-15/SP_BG_15-01_Calcutta_1974-02-26_The_Purpose_of_Vedic_Study.mp3" TargetMode="External"/><Relationship Id="rId2986" Type="http://schemas.openxmlformats.org/officeDocument/2006/relationships/hyperlink" Target="https://audio.iskcondesiretree.com/01_-_Srila_Prabhupada/01_-_Lectures/01_-_English/01_-_Topic_wise/Morning_Walk/SP_Morning_Walk_-_Mayapur_1975-03-25.MP3" TargetMode="External"/><Relationship Id="rId1656" Type="http://schemas.openxmlformats.org/officeDocument/2006/relationships/hyperlink" Target="https://audio.iskcondesiretree.com/01_-_Srila_Prabhupada/01_-_Lectures/01_-_English/02_-_Month_wise/02_-_Feburary/26/Bg-15-01_1974-02-26_BG-CALCUTTA.MP3" TargetMode="External"/><Relationship Id="rId2987" Type="http://schemas.openxmlformats.org/officeDocument/2006/relationships/hyperlink" Target="https://audio.iskcondesiretree.com/01_-_Srila_Prabhupada/01_-_Lectures/01_-_English/02_-_Month_wise/03_-_March/25/Cc_A_1-01_MAY_1975-03-25_Become_a_Guru%2C_Not_a_God.mp3" TargetMode="External"/><Relationship Id="rId1657" Type="http://schemas.openxmlformats.org/officeDocument/2006/relationships/hyperlink" Target="https://audio.iskcondesiretree.com/01_-_Srila_Prabhupada/01_-_Lectures/01_-_English/02_-_Month_wise/02_-_Feburary/26/Bg_15-01_CAL_1974-02-26_The_Purpose_of_Vedic_Study.mp3" TargetMode="External"/><Relationship Id="rId2988" Type="http://schemas.openxmlformats.org/officeDocument/2006/relationships/hyperlink" Target="https://audio.iskcondesiretree.com/01_-_Srila_Prabhupada/01_-_Lectures/01_-_English/02_-_Month_wise/03_-_March/25/CcAdi-01-001_1975-03-25_CC-MAYAPUR.MP3" TargetMode="External"/><Relationship Id="rId1658" Type="http://schemas.openxmlformats.org/officeDocument/2006/relationships/hyperlink" Target="https://audio.iskcondesiretree.com/01_-_Srila_Prabhupada/01_-_Lectures/01_-_English/01_-_Topic_wise/Srimad_Bhagavatam/Canto-01/SP_SB_1-02-06_Calcutta_1974-02-27_Krishna_Takes_Only_the--etc.mp3" TargetMode="External"/><Relationship Id="rId2989" Type="http://schemas.openxmlformats.org/officeDocument/2006/relationships/hyperlink" Target="https://audio.iskcondesiretree.com/01_-_Srila_Prabhupada/01_-_Lectures/01_-_English/02_-_Month_wise/03_-_March/25/Walk_1975-03-25_MW-MAYAPUR.MP3" TargetMode="External"/><Relationship Id="rId1659" Type="http://schemas.openxmlformats.org/officeDocument/2006/relationships/hyperlink" Target="https://audio.iskcondesiretree.com/01_-_Srila_Prabhupada/01_-_Lectures/01_-_English/02_-_Month_wise/02_-_Feburary/27/SB-01-02-06_1974-02-27_SB-CALCUTTA.MP3" TargetMode="External"/><Relationship Id="rId829" Type="http://schemas.openxmlformats.org/officeDocument/2006/relationships/hyperlink" Target="https://audio.iskcondesiretree.com/01_-_Srila_Prabhupada/01_-_Lectures/01_-_English/02_-_Month_wise/11_-_November/21/Bg_02-15_HYD_1972-11-21_I_Am_Not_This_Dream.mp3" TargetMode="External"/><Relationship Id="rId828" Type="http://schemas.openxmlformats.org/officeDocument/2006/relationships/hyperlink" Target="https://audio.iskcondesiretree.com/01_-_Srila_Prabhupada/01_-_Lectures/01_-_English/01_-_Topic_wise/Bhagavad_Gita/Chapter-02/SP_BG_02-15_Hyderabad_1972-11-21_I_Am_Not_This_Dream.mp3" TargetMode="External"/><Relationship Id="rId827" Type="http://schemas.openxmlformats.org/officeDocument/2006/relationships/hyperlink" Target="https://audio.iskcondesiretree.com/01_-_Srila_Prabhupada/01_-_Lectures/01_-_English/02_-_Month_wise/11_-_November/19/Bg_02-13_HYD_1972-11-19_Not_One_Became_Devotee.mp3" TargetMode="External"/><Relationship Id="rId822" Type="http://schemas.openxmlformats.org/officeDocument/2006/relationships/hyperlink" Target="https://audio.iskcondesiretree.com/01_-_Srila_Prabhupada/01_-_Lectures/01_-_English/01_-_Topic_wise/Bhagavad_Gita/Chapter-02/SP_BG_02-12_Hyderabad_1972-11-17_Meaning_of_Dhira.mp3" TargetMode="External"/><Relationship Id="rId821" Type="http://schemas.openxmlformats.org/officeDocument/2006/relationships/hyperlink" Target="https://audio.iskcondesiretree.com/01_-_Srila_Prabhupada/01_-_Lectures/01_-_English/02_-_Month_wise/11_-_November/14/SB_1-03-01_VRN_1972-11-14_Our_Eternal_Position.mp3" TargetMode="External"/><Relationship Id="rId820" Type="http://schemas.openxmlformats.org/officeDocument/2006/relationships/hyperlink" Target="https://audio.iskcondesiretree.com/01_-_Srila_Prabhupada/01_-_Lectures/01_-_English/01_-_Topic_wise/Srimad_Bhagavatam/Canto-01/SP_SB_1-03-01_Vrindavan_1972-11-14_Our_Eternal_Position.mp3" TargetMode="External"/><Relationship Id="rId826" Type="http://schemas.openxmlformats.org/officeDocument/2006/relationships/hyperlink" Target="https://audio.iskcondesiretree.com/01_-_Srila_Prabhupada/01_-_Lectures/01_-_English/01_-_Topic_wise/Bhagavad_Gita/Chapter-02/SP_BG_02-13_Hyderabad_1972-11-19_Not_One_Became_Devotee.mp3" TargetMode="External"/><Relationship Id="rId825" Type="http://schemas.openxmlformats.org/officeDocument/2006/relationships/hyperlink" Target="https://audio.iskcondesiretree.com/01_-_Srila_Prabhupada/01_-_Lectures/01_-_English/02_-_Month_wise/11_-_November/18/Bg_02-13_HYD_1972-11-18_We_Are_All_Servants.mp3" TargetMode="External"/><Relationship Id="rId824" Type="http://schemas.openxmlformats.org/officeDocument/2006/relationships/hyperlink" Target="https://audio.iskcondesiretree.com/01_-_Srila_Prabhupada/01_-_Lectures/01_-_English/01_-_Topic_wise/Bhagavad_Gita/Chapter-02/SP_BG_02-13_Hyderabad_1972-11-18_We_Are_All_Servants.mp3" TargetMode="External"/><Relationship Id="rId823" Type="http://schemas.openxmlformats.org/officeDocument/2006/relationships/hyperlink" Target="https://audio.iskcondesiretree.com/01_-_Srila_Prabhupada/01_-_Lectures/01_-_English/02_-_Month_wise/11_-_November/17/Bg_02-12_HYD_1972-11-17_Meaning_of_Dhira.mp3" TargetMode="External"/><Relationship Id="rId2980" Type="http://schemas.openxmlformats.org/officeDocument/2006/relationships/hyperlink" Target="https://audio.iskcondesiretree.com/01_-_Srila_Prabhupada/01_-_Lectures/01_-_English/01_-_Topic_wise/Arrival_Address/SP_Arrival_Talk_Mayapur_1975-03-23.MP3" TargetMode="External"/><Relationship Id="rId1650" Type="http://schemas.openxmlformats.org/officeDocument/2006/relationships/hyperlink" Target="https://audio.iskcondesiretree.com/01_-_Srila_Prabhupada/01_-_Lectures/01_-_English/01_-_Topic_wise/Bhagavad_Gita/Chapter-07/SP_BG_07-11_Bombay_1974-02-25_Unplanned_Unwanted_Children.mp3" TargetMode="External"/><Relationship Id="rId2981" Type="http://schemas.openxmlformats.org/officeDocument/2006/relationships/hyperlink" Target="https://audio.iskcondesiretree.com/01_-_Srila_Prabhupada/01_-_Lectures/01_-_English/01_-_Topic_wise/Room_Conversation/SP_Room_Conversation_Mayapur_1975-03-23_Bhaktivinode_Predicted_Someone.mp3" TargetMode="External"/><Relationship Id="rId1651" Type="http://schemas.openxmlformats.org/officeDocument/2006/relationships/hyperlink" Target="https://audio.iskcondesiretree.com/01_-_Srila_Prabhupada/01_-_Lectures/01_-_English/01_-_Topic_wise/Morning_Walk/SP_Morning_Walk_-_Bombay_1974-02-25.mp3" TargetMode="External"/><Relationship Id="rId2982" Type="http://schemas.openxmlformats.org/officeDocument/2006/relationships/hyperlink" Target="https://audio.iskcondesiretree.com/01_-_Srila_Prabhupada/01_-_Lectures/01_-_English/02_-_Month_wise/03_-_March/23/Arrival_1975-03-23_AR-MAYAPUR.MP3" TargetMode="External"/><Relationship Id="rId1652" Type="http://schemas.openxmlformats.org/officeDocument/2006/relationships/hyperlink" Target="https://audio.iskcondesiretree.com/01_-_Srila_Prabhupada/01_-_Lectures/01_-_English/02_-_Month_wise/02_-_Feburary/25/Bg-07-11%E2%80%9312_1974-02-25_BG-BOMBAY.MP3" TargetMode="External"/><Relationship Id="rId2983" Type="http://schemas.openxmlformats.org/officeDocument/2006/relationships/hyperlink" Target="https://audio.iskcondesiretree.com/01_-_Srila_Prabhupada/01_-_Lectures/01_-_English/02_-_Month_wise/03_-_March/23/RC_MAY_1975-03-23_Bhaktivinode_Predicted_Someone.mp3" TargetMode="External"/><Relationship Id="rId1642" Type="http://schemas.openxmlformats.org/officeDocument/2006/relationships/hyperlink" Target="https://audio.iskcondesiretree.com/01_-_Srila_Prabhupada/01_-_Lectures/01_-_English/02_-_Month_wise/02_-_Feburary/23/Bg-07-08_1974-02-23_BG-BOMBAY.MP3" TargetMode="External"/><Relationship Id="rId2973" Type="http://schemas.openxmlformats.org/officeDocument/2006/relationships/hyperlink" Target="https://audio.iskcondesiretree.com/01_-_Srila_Prabhupada/01_-_Lectures/01_-_English/02_-_Month_wise/03_-_March/20/Arrival_1975-03-20_AR-CALCUTTA.MP3" TargetMode="External"/><Relationship Id="rId1643" Type="http://schemas.openxmlformats.org/officeDocument/2006/relationships/hyperlink" Target="https://audio.iskcondesiretree.com/01_-_Srila_Prabhupada/01_-_Lectures/01_-_English/02_-_Month_wise/02_-_Feburary/23/Bg_07-08_BOM_1974-02-23_Try_to_Experience_Krishna.mp3" TargetMode="External"/><Relationship Id="rId2974" Type="http://schemas.openxmlformats.org/officeDocument/2006/relationships/hyperlink" Target="https://audio.iskcondesiretree.com/01_-_Srila_Prabhupada/01_-_Lectures/01_-_English/01_-_Topic_wise/Interview/SP_Interview_Calcutta1975-03-21_Pseudo_Scientists_Deny_Supreme.mp3" TargetMode="External"/><Relationship Id="rId1644" Type="http://schemas.openxmlformats.org/officeDocument/2006/relationships/hyperlink" Target="https://audio.iskcondesiretree.com/01_-_Srila_Prabhupada/01_-_Lectures/01_-_English/02_-_Month_wise/02_-_Feburary/23/MW_BOM_1974-02-23_A_Good_Man_%26_a_Kick_in_the_Face.mp3" TargetMode="External"/><Relationship Id="rId2975" Type="http://schemas.openxmlformats.org/officeDocument/2006/relationships/hyperlink" Target="https://audio.iskcondesiretree.com/01_-_Srila_Prabhupada/01_-_Lectures/01_-_English/01_-_Topic_wise/Room_Conversation/SP_Room_Conversation_01_Calcutta_1975-03-21.MP3" TargetMode="External"/><Relationship Id="rId1645" Type="http://schemas.openxmlformats.org/officeDocument/2006/relationships/hyperlink" Target="https://audio.iskcondesiretree.com/01_-_Srila_Prabhupada/01_-_Lectures/01_-_English/02_-_Month_wise/02_-_Feburary/23/Walk_1974-02-23_MW-BOMBAY.MP3" TargetMode="External"/><Relationship Id="rId2976" Type="http://schemas.openxmlformats.org/officeDocument/2006/relationships/hyperlink" Target="https://audio.iskcondesiretree.com/01_-_Srila_Prabhupada/01_-_Lectures/01_-_English/02_-_Month_wise/03_-_March/21/Conv_1975-03-21_R1-CALCUTTA.MP3" TargetMode="External"/><Relationship Id="rId1646" Type="http://schemas.openxmlformats.org/officeDocument/2006/relationships/hyperlink" Target="https://audio.iskcondesiretree.com/01_-_Srila_Prabhupada/01_-_Lectures/01_-_English/01_-_Topic_wise/Bhagavad_Gita/Chapter-07/SP_BG_07-09_Bombay_1974-02-24_No_Brain_Behind_Nature.mp3" TargetMode="External"/><Relationship Id="rId2977" Type="http://schemas.openxmlformats.org/officeDocument/2006/relationships/hyperlink" Target="https://audio.iskcondesiretree.com/01_-_Srila_Prabhupada/01_-_Lectures/01_-_English/02_-_Month_wise/03_-_March/21/Interv_CAL_1975-03-21_Pseudo_Scientists_Deny_Supreme.mp3" TargetMode="External"/><Relationship Id="rId1647" Type="http://schemas.openxmlformats.org/officeDocument/2006/relationships/hyperlink" Target="https://audio.iskcondesiretree.com/01_-_Srila_Prabhupada/01_-_Lectures/01_-_English/02_-_Month_wise/02_-_Feburary/24/Bg-07-09%E2%80%9310_1974-02-24_BG-BOMBAY.MP3" TargetMode="External"/><Relationship Id="rId2978" Type="http://schemas.openxmlformats.org/officeDocument/2006/relationships/hyperlink" Target="https://audio.iskcondesiretree.com/01_-_Srila_Prabhupada/01_-_Lectures/01_-_English/02_-_Month_wise/03_-_March/21/SB-01-02-06%E2%80%93Hindi_1975-03-21_SB-CALCUTTA.MP3" TargetMode="External"/><Relationship Id="rId1648" Type="http://schemas.openxmlformats.org/officeDocument/2006/relationships/hyperlink" Target="https://audio.iskcondesiretree.com/01_-_Srila_Prabhupada/01_-_Lectures/01_-_English/02_-_Month_wise/02_-_Feburary/24/Bg_07-09_BOM_1974-02-24_No_Brain_Behind_Nature.mp3" TargetMode="External"/><Relationship Id="rId2979" Type="http://schemas.openxmlformats.org/officeDocument/2006/relationships/hyperlink" Target="https://audio.iskcondesiretree.com/01_-_Srila_Prabhupada/01_-_Lectures/01_-_English/02_-_Month_wise/03_-_March/22/SB-01-02-07%E2%80%93Hindi_1975-03-22_SB-CALCUTTA.MP3" TargetMode="External"/><Relationship Id="rId1649" Type="http://schemas.openxmlformats.org/officeDocument/2006/relationships/hyperlink" Target="https://audio.iskcondesiretree.com/01_-_Srila_Prabhupada/01_-_Lectures/01_-_English/01_-_Topic_wise/Bhagavad_Gita/Chapter-07/SP_BG_07-11-12_Bombay_1974-02-25_Unplanned_Unwanted_Children.mp3" TargetMode="External"/><Relationship Id="rId819" Type="http://schemas.openxmlformats.org/officeDocument/2006/relationships/hyperlink" Target="https://audio.iskcondesiretree.com/01_-_Srila_Prabhupada/01_-_Lectures/01_-_English/02_-_Month_wise/11_-_November/13/SB_1-02-34_VRN_1972-11-13_The_Rascals_Business_Is_etc.mp3" TargetMode="External"/><Relationship Id="rId818" Type="http://schemas.openxmlformats.org/officeDocument/2006/relationships/hyperlink" Target="https://audio.iskcondesiretree.com/01_-_Srila_Prabhupada/01_-_Lectures/01_-_English/02_-_Month_wise/11_-_November/13/NOD_15_VRN_1972-11-13_The_Complete_Science_of_Bhakti-Yoga.mp3" TargetMode="External"/><Relationship Id="rId817" Type="http://schemas.openxmlformats.org/officeDocument/2006/relationships/hyperlink" Target="https://audio.iskcondesiretree.com/01_-_Srila_Prabhupada/01_-_Lectures/01_-_English/01_-_Topic_wise/Srimad_Bhagavatam/Canto-01/SP_SB_1-02-34_Vrindavan_1972-11-13_The_Rascals%27_Business...Is--etc.mp3" TargetMode="External"/><Relationship Id="rId816" Type="http://schemas.openxmlformats.org/officeDocument/2006/relationships/hyperlink" Target="https://audio.iskcondesiretree.com/01_-_Srila_Prabhupada/01_-_Lectures/01_-_English/01_-_Topic_wise/Nectar_Of_Devotion/SP_NOD_15_Vrindavan_1972-11-13_-_The_Complete_Science_of_Bhakti_Yoga.mp3" TargetMode="External"/><Relationship Id="rId811" Type="http://schemas.openxmlformats.org/officeDocument/2006/relationships/hyperlink" Target="https://audio.iskcondesiretree.com/01_-_Srila_Prabhupada/01_-_Lectures/01_-_English/02_-_Month_wise/11_-_November/11/SB_1-02-32_VRN_1972-11-11_Oneness_Is_Variety.mp3" TargetMode="External"/><Relationship Id="rId810" Type="http://schemas.openxmlformats.org/officeDocument/2006/relationships/hyperlink" Target="https://audio.iskcondesiretree.com/01_-_Srila_Prabhupada/01_-_Lectures/01_-_English/02_-_Month_wise/11_-_November/11/NOD_Lect_VRN_1972-11-11_Engage_All_Beautiful_Women_in_etc.mp3" TargetMode="External"/><Relationship Id="rId815" Type="http://schemas.openxmlformats.org/officeDocument/2006/relationships/hyperlink" Target="https://audio.iskcondesiretree.com/01_-_Srila_Prabhupada/01_-_Lectures/01_-_English/02_-_Month_wise/11_-_November/12/SB_1-02-33_VRN_1972-11-12_Subtle_Cosmic_Button-Pusher.mp3" TargetMode="External"/><Relationship Id="rId814" Type="http://schemas.openxmlformats.org/officeDocument/2006/relationships/hyperlink" Target="https://audio.iskcondesiretree.com/01_-_Srila_Prabhupada/01_-_Lectures/01_-_English/02_-_Month_wise/11_-_November/12/NOD_14_VRN_1972-11-12_The_Complete_Science_of_Bhakti-Yoga.mp3" TargetMode="External"/><Relationship Id="rId813" Type="http://schemas.openxmlformats.org/officeDocument/2006/relationships/hyperlink" Target="https://audio.iskcondesiretree.com/01_-_Srila_Prabhupada/01_-_Lectures/01_-_English/01_-_Topic_wise/Srimad_Bhagavatam/Canto-01/SP_SB_1-02-33_Vrindavan_1972-11-12_Subtle_Cosmic_Button-Pusher.mp3" TargetMode="External"/><Relationship Id="rId812" Type="http://schemas.openxmlformats.org/officeDocument/2006/relationships/hyperlink" Target="https://audio.iskcondesiretree.com/01_-_Srila_Prabhupada/01_-_Lectures/01_-_English/01_-_Topic_wise/Nectar_Of_Devotion/SP_NOD_14_Vrindavan_1972-11-12_-_The_Complete_Science_of_Bhakti_Yoga.mp3" TargetMode="External"/><Relationship Id="rId2970" Type="http://schemas.openxmlformats.org/officeDocument/2006/relationships/hyperlink" Target="https://audio.iskcondesiretree.com/01_-_Srila_Prabhupada/01_-_Lectures/01_-_English/01_-_Topic_wise/Arrival_Address/SP_Address_Calcutta_1975-03-20_Hinduism_Muslimism_Christianism--etc.mp3" TargetMode="External"/><Relationship Id="rId1640" Type="http://schemas.openxmlformats.org/officeDocument/2006/relationships/hyperlink" Target="https://audio.iskcondesiretree.com/01_-_Srila_Prabhupada/01_-_Lectures/01_-_English/01_-_Topic_wise/Bhagavad_Gita/Chapter-07/SP_BG_07-08_Bombay_1974-02-23_Try_to_Experience_Krishna.mp3" TargetMode="External"/><Relationship Id="rId2971" Type="http://schemas.openxmlformats.org/officeDocument/2006/relationships/hyperlink" Target="https://audio.iskcondesiretree.com/01_-_Srila_Prabhupada/01_-_Lectures/01_-_English/01_-_Topic_wise/Arrival_Address/SP_Arrival_Address_Calcutta_1975-03-20.MP3" TargetMode="External"/><Relationship Id="rId1641" Type="http://schemas.openxmlformats.org/officeDocument/2006/relationships/hyperlink" Target="https://audio.iskcondesiretree.com/01_-_Srila_Prabhupada/01_-_Lectures/01_-_English/01_-_Topic_wise/Morning_Walk/SP_Morning_Walk_-_Bombay_1974-02-23_A_Good_Man_%26_a_Kick_in_the_Face.mp3" TargetMode="External"/><Relationship Id="rId2972" Type="http://schemas.openxmlformats.org/officeDocument/2006/relationships/hyperlink" Target="https://audio.iskcondesiretree.com/01_-_Srila_Prabhupada/01_-_Lectures/01_-_English/02_-_Month_wise/03_-_March/20/Arr_CAL_1975-03-20_Hinduism%2C_Muslimism%2C_Christianism_etc.mp3" TargetMode="External"/><Relationship Id="rId1675" Type="http://schemas.openxmlformats.org/officeDocument/2006/relationships/hyperlink" Target="https://audio.iskcondesiretree.com/01_-_Srila_Prabhupada/01_-_Lectures/01_-_English/01_-_Topic_wise/Morning_Walk/SP_Morning_Walk_-_Mayapur_1974-03-04.mp3" TargetMode="External"/><Relationship Id="rId1676" Type="http://schemas.openxmlformats.org/officeDocument/2006/relationships/hyperlink" Target="https://audio.iskcondesiretree.com/01_-_Srila_Prabhupada/01_-_Lectures/01_-_English/02_-_Month_wise/03_-_March/04/Cc_A_7-04_MAY_1974-03-04_No_Mills_No_etc.mp3" TargetMode="External"/><Relationship Id="rId1677" Type="http://schemas.openxmlformats.org/officeDocument/2006/relationships/hyperlink" Target="https://audio.iskcondesiretree.com/01_-_Srila_Prabhupada/01_-_Lectures/01_-_English/02_-_Month_wise/03_-_March/04/CcAdi-07-004_1974-03-04_CC-MAYAPUR.MP3" TargetMode="External"/><Relationship Id="rId1678" Type="http://schemas.openxmlformats.org/officeDocument/2006/relationships/hyperlink" Target="https://audio.iskcondesiretree.com/01_-_Srila_Prabhupada/01_-_Lectures/01_-_English/02_-_Month_wise/03_-_March/04/Walk_1974-03-04_MW-MAYAPUR.MP3" TargetMode="External"/><Relationship Id="rId1679" Type="http://schemas.openxmlformats.org/officeDocument/2006/relationships/hyperlink" Target="https://audio.iskcondesiretree.com/01_-_Srila_Prabhupada/01_-_Lectures/01_-_English/01_-_Topic_wise/Morning_Walk/SP_Morning_Walk_-_Mayapur_1974-03-05.mp3" TargetMode="External"/><Relationship Id="rId849" Type="http://schemas.openxmlformats.org/officeDocument/2006/relationships/hyperlink" Target="https://audio.iskcondesiretree.com/01_-_Srila_Prabhupada/01_-_Lectures/01_-_English/02_-_Month_wise/11_-_November/30/Bg_02-26_HYD_1972-11-30_Vedic_and_Parampara_System.mp3" TargetMode="External"/><Relationship Id="rId844" Type="http://schemas.openxmlformats.org/officeDocument/2006/relationships/hyperlink" Target="https://audio.iskcondesiretree.com/01_-_Srila_Prabhupada/01_-_Lectures/01_-_English/01_-_Topic_wise/Arrival_Address/SP_Address_Hyderabad_1972-11-29_To_Rotary_Club--Three_Aspects_of--etc.mp3" TargetMode="External"/><Relationship Id="rId843" Type="http://schemas.openxmlformats.org/officeDocument/2006/relationships/hyperlink" Target="https://audio.iskcondesiretree.com/01_-_Srila_Prabhupada/01_-_Lectures/01_-_English/02_-_Month_wise/11_-_November/28/Bg_02-24_HYD_1972-11-28_Sanatana_Another_Nature.mp3" TargetMode="External"/><Relationship Id="rId842" Type="http://schemas.openxmlformats.org/officeDocument/2006/relationships/hyperlink" Target="https://audio.iskcondesiretree.com/01_-_Srila_Prabhupada/01_-_Lectures/01_-_English/01_-_Topic_wise/Bhagavad_Gita/Chapter-02/SP_BG_02-24_Hyderabad_1972-11-28_Sanatana...Another_Nature.mp3" TargetMode="External"/><Relationship Id="rId841" Type="http://schemas.openxmlformats.org/officeDocument/2006/relationships/hyperlink" Target="https://audio.iskcondesiretree.com/01_-_Srila_Prabhupada/01_-_Lectures/01_-_English/02_-_Month_wise/11_-_November/27/Bg_02-23_HYD_1972-11-27_The_Indestructible_Soul.mp3" TargetMode="External"/><Relationship Id="rId848" Type="http://schemas.openxmlformats.org/officeDocument/2006/relationships/hyperlink" Target="https://audio.iskcondesiretree.com/01_-_Srila_Prabhupada/01_-_Lectures/01_-_English/01_-_Topic_wise/Bhagavad_Gita/Chapter-02/SP_BG_02-26-29_Hyderabad_1972-11-30_Vedic_and_Parampara_System.mp3" TargetMode="External"/><Relationship Id="rId847" Type="http://schemas.openxmlformats.org/officeDocument/2006/relationships/hyperlink" Target="https://audio.iskcondesiretree.com/01_-_Srila_Prabhupada/01_-_Lectures/01_-_English/02_-_Month_wise/11_-_November/29/Bg_02-25_HYD_1972-11-29_Transfer_Your_Love_to_Krishna.mp3" TargetMode="External"/><Relationship Id="rId846" Type="http://schemas.openxmlformats.org/officeDocument/2006/relationships/hyperlink" Target="https://audio.iskcondesiretree.com/01_-_Srila_Prabhupada/01_-_Lectures/01_-_English/02_-_Month_wise/11_-_November/29/Addr_HYD_1972-11-29_To_Rotary_Club-Three_Aspects_of_etc.mp3" TargetMode="External"/><Relationship Id="rId845" Type="http://schemas.openxmlformats.org/officeDocument/2006/relationships/hyperlink" Target="https://audio.iskcondesiretree.com/01_-_Srila_Prabhupada/01_-_Lectures/01_-_English/01_-_Topic_wise/Bhagavad_Gita/Chapter-02/SP_BG_02-25_Hyderabad_1972-11-29_Transfer_Your_Love_to_Krishna.mp3" TargetMode="External"/><Relationship Id="rId1670" Type="http://schemas.openxmlformats.org/officeDocument/2006/relationships/hyperlink" Target="https://audio.iskcondesiretree.com/01_-_Srila_Prabhupada/01_-_Lectures/01_-_English/01_-_Topic_wise/Morning_Walk/SP_Morning_Walk_-_Mayapur_1974-03-03.mp3" TargetMode="External"/><Relationship Id="rId840" Type="http://schemas.openxmlformats.org/officeDocument/2006/relationships/hyperlink" Target="https://audio.iskcondesiretree.com/01_-_Srila_Prabhupada/01_-_Lectures/01_-_English/01_-_Topic_wise/Bhagavad_Gita/Chapter-02/SP_BG_02-23_Hyderabad_1972-11-27_The_Indestructible_Soul.mp3" TargetMode="External"/><Relationship Id="rId1671" Type="http://schemas.openxmlformats.org/officeDocument/2006/relationships/hyperlink" Target="https://audio.iskcondesiretree.com/01_-_Srila_Prabhupada/01_-_Lectures/01_-_English/02_-_Month_wise/03_-_March/03/Cc_A_7-03_MAY_1974-03-03_Stop_Serving_the_Senses.mp3" TargetMode="External"/><Relationship Id="rId1672" Type="http://schemas.openxmlformats.org/officeDocument/2006/relationships/hyperlink" Target="https://audio.iskcondesiretree.com/01_-_Srila_Prabhupada/01_-_Lectures/01_-_English/02_-_Month_wise/03_-_March/03/CcAdi-07-003_1974-03-03_CC-MAYAPUR.MP3" TargetMode="External"/><Relationship Id="rId1673" Type="http://schemas.openxmlformats.org/officeDocument/2006/relationships/hyperlink" Target="https://audio.iskcondesiretree.com/01_-_Srila_Prabhupada/01_-_Lectures/01_-_English/02_-_Month_wise/03_-_March/03/Walk_1974-03-03_MW-MAYAPUR.MP3" TargetMode="External"/><Relationship Id="rId1674" Type="http://schemas.openxmlformats.org/officeDocument/2006/relationships/hyperlink" Target="https://audio.iskcondesiretree.com/01_-_Srila_Prabhupada/01_-_Lectures/01_-_English/01_-_Topic_wise/Chaitanya_Charitamrita/Adi_Lila/SP_CC_A_07-04_Mayapur_1974-03-04_No_Mills%2C_No--etc.mp3" TargetMode="External"/><Relationship Id="rId1664" Type="http://schemas.openxmlformats.org/officeDocument/2006/relationships/hyperlink" Target="https://audio.iskcondesiretree.com/01_-_Srila_Prabhupada/01_-_Lectures/01_-_English/02_-_Month_wise/03_-_March/01/CcAdi-07-001_1974-03-01_CC-MAYAPUR.MP3" TargetMode="External"/><Relationship Id="rId2995" Type="http://schemas.openxmlformats.org/officeDocument/2006/relationships/hyperlink" Target="https://audio.iskcondesiretree.com/01_-_Srila_Prabhupada/01_-_Lectures/01_-_English/01_-_Topic_wise/Chaitanya_Charitamrita/Adi_Lila/SP_CC_A_01-03_Mayapur_1975-03-27_My_My_My--What_Ignorance.mp3" TargetMode="External"/><Relationship Id="rId1665" Type="http://schemas.openxmlformats.org/officeDocument/2006/relationships/hyperlink" Target="https://audio.iskcondesiretree.com/01_-_Srila_Prabhupada/01_-_Lectures/01_-_English/01_-_Topic_wise/Chaitanya_Charitamrita/Adi_Lila/SP_CC_A_07-02_Mayapur_1974-03-02.mp3" TargetMode="External"/><Relationship Id="rId2996" Type="http://schemas.openxmlformats.org/officeDocument/2006/relationships/hyperlink" Target="https://audio.iskcondesiretree.com/01_-_Srila_Prabhupada/01_-_Lectures/01_-_English/01_-_Topic_wise/Room_Conversation/SP_Room_Conversation_01_Mayapur_1975-03-27.MP3" TargetMode="External"/><Relationship Id="rId1666" Type="http://schemas.openxmlformats.org/officeDocument/2006/relationships/hyperlink" Target="https://audio.iskcondesiretree.com/01_-_Srila_Prabhupada/01_-_Lectures/01_-_English/01_-_Topic_wise/Morning_Walk/SP_Morning_Walk_-_Mayapur_1974-03-02.mp3" TargetMode="External"/><Relationship Id="rId2997" Type="http://schemas.openxmlformats.org/officeDocument/2006/relationships/hyperlink" Target="https://audio.iskcondesiretree.com/01_-_Srila_Prabhupada/01_-_Lectures/01_-_English/02_-_Month_wise/03_-_March/27/Cc_A_1-03_MAY_1975-03-27_My_My_My_What_Ignorance.mp3" TargetMode="External"/><Relationship Id="rId1667" Type="http://schemas.openxmlformats.org/officeDocument/2006/relationships/hyperlink" Target="https://audio.iskcondesiretree.com/01_-_Srila_Prabhupada/01_-_Lectures/01_-_English/02_-_Month_wise/03_-_March/02/CcAdi-07-002_1974-03-02_CC-MAYAPUR.MP3" TargetMode="External"/><Relationship Id="rId2998" Type="http://schemas.openxmlformats.org/officeDocument/2006/relationships/hyperlink" Target="https://audio.iskcondesiretree.com/01_-_Srila_Prabhupada/01_-_Lectures/01_-_English/02_-_Month_wise/03_-_March/27/CcAdi-01-003_1975-03-27_CC-MAYAPUR.MP3" TargetMode="External"/><Relationship Id="rId1668" Type="http://schemas.openxmlformats.org/officeDocument/2006/relationships/hyperlink" Target="https://audio.iskcondesiretree.com/01_-_Srila_Prabhupada/01_-_Lectures/01_-_English/02_-_Month_wise/03_-_March/02/Walk_1974-03-02_MW-MAYAPUR.MP3" TargetMode="External"/><Relationship Id="rId2999" Type="http://schemas.openxmlformats.org/officeDocument/2006/relationships/hyperlink" Target="https://audio.iskcondesiretree.com/01_-_Srila_Prabhupada/01_-_Lectures/01_-_English/02_-_Month_wise/03_-_March/27/Conv_1975-03-27_R1-MAYAPUR.MP3" TargetMode="External"/><Relationship Id="rId1669" Type="http://schemas.openxmlformats.org/officeDocument/2006/relationships/hyperlink" Target="https://audio.iskcondesiretree.com/01_-_Srila_Prabhupada/01_-_Lectures/01_-_English/01_-_Topic_wise/Chaitanya_Charitamrita/Adi_Lila/SP_CC_A_07-03_Mayapur_1974-03-03_Stop_Serving_the_Senses.mp3" TargetMode="External"/><Relationship Id="rId839" Type="http://schemas.openxmlformats.org/officeDocument/2006/relationships/hyperlink" Target="https://audio.iskcondesiretree.com/01_-_Srila_Prabhupada/01_-_Lectures/01_-_English/02_-_Month_wise/11_-_November/26/Bg_02-22_HYD_1972-11-26_Rain_Depends_on_Krishna-Not_etc.mp3" TargetMode="External"/><Relationship Id="rId838" Type="http://schemas.openxmlformats.org/officeDocument/2006/relationships/hyperlink" Target="https://audio.iskcondesiretree.com/01_-_Srila_Prabhupada/01_-_Lectures/01_-_English/01_-_Topic_wise/Bhagavad_Gita/Chapter-02/SP_BG_02-22_Hyderabad_1972-11-26_Rain_Depends_on_Krishna--Not--etc.mp3" TargetMode="External"/><Relationship Id="rId833" Type="http://schemas.openxmlformats.org/officeDocument/2006/relationships/hyperlink" Target="https://audio.iskcondesiretree.com/01_-_Srila_Prabhupada/01_-_Lectures/01_-_English/01_-_Topic_wise/Bhagavad_Gita/Chapter-07/SP_BG_07-05_Hyderabad_1972-11-23_Serving_the_Material_World---etc.mp3" TargetMode="External"/><Relationship Id="rId832" Type="http://schemas.openxmlformats.org/officeDocument/2006/relationships/hyperlink" Target="https://audio.iskcondesiretree.com/01_-_Srila_Prabhupada/01_-_Lectures/01_-_English/01_-_Topic_wise/Bhagavad_Gita/Chapter-02/SP_BG_02-18_Hyderabad_1972-11-23_Chant-Cleanse_Your_Brain.mp3" TargetMode="External"/><Relationship Id="rId831" Type="http://schemas.openxmlformats.org/officeDocument/2006/relationships/hyperlink" Target="https://audio.iskcondesiretree.com/01_-_Srila_Prabhupada/01_-_Lectures/01_-_English/02_-_Month_wise/11_-_November/22/Bg_02-17_HYD_1972-11-22_Material_Body_Is_Dead_Body.mp3" TargetMode="External"/><Relationship Id="rId830" Type="http://schemas.openxmlformats.org/officeDocument/2006/relationships/hyperlink" Target="https://audio.iskcondesiretree.com/01_-_Srila_Prabhupada/01_-_Lectures/01_-_English/01_-_Topic_wise/Bhagavad_Gita/Chapter-02/SP_BG_02-17_Hyderabad_1972-11-22_Material_Body_Is_Dead_Body.mp3" TargetMode="External"/><Relationship Id="rId837" Type="http://schemas.openxmlformats.org/officeDocument/2006/relationships/hyperlink" Target="https://audio.iskcondesiretree.com/01_-_Srila_Prabhupada/01_-_Lectures/01_-_English/02_-_Month_wise/11_-_November/25/Bg_02-20_HYD_1972-11-25_Birth_and_Death_Caused_by_Maya.mp3" TargetMode="External"/><Relationship Id="rId836" Type="http://schemas.openxmlformats.org/officeDocument/2006/relationships/hyperlink" Target="https://audio.iskcondesiretree.com/01_-_Srila_Prabhupada/01_-_Lectures/01_-_English/01_-_Topic_wise/Bhagavad_Gita/Chapter-02/SP_BG_02-20_Hyderabad_1972-11-25_Birth_and_Death_Caused_by_Maya.mp3" TargetMode="External"/><Relationship Id="rId835" Type="http://schemas.openxmlformats.org/officeDocument/2006/relationships/hyperlink" Target="https://audio.iskcondesiretree.com/01_-_Srila_Prabhupada/01_-_Lectures/01_-_English/02_-_Month_wise/11_-_November/23/Bg_07-05_HYD_1972-11-23_Serving_the_Material_World_etc.mp3" TargetMode="External"/><Relationship Id="rId834" Type="http://schemas.openxmlformats.org/officeDocument/2006/relationships/hyperlink" Target="https://audio.iskcondesiretree.com/01_-_Srila_Prabhupada/01_-_Lectures/01_-_English/02_-_Month_wise/11_-_November/23/Bg_02-18_HYD_1972-11-23_Chant-Cleanse_Your_Brain.mp3" TargetMode="External"/><Relationship Id="rId2990" Type="http://schemas.openxmlformats.org/officeDocument/2006/relationships/hyperlink" Target="https://audio.iskcondesiretree.com/01_-_Srila_Prabhupada/01_-_Lectures/01_-_English/01_-_Topic_wise/Chaitanya_Charitamrita/Adi_Lila/SP_CC_A_01-02_Mayapur_1975-03-26_The_Darkness_Dispellers.mp3" TargetMode="External"/><Relationship Id="rId1660" Type="http://schemas.openxmlformats.org/officeDocument/2006/relationships/hyperlink" Target="https://audio.iskcondesiretree.com/01_-_Srila_Prabhupada/01_-_Lectures/01_-_English/02_-_Month_wise/02_-_Feburary/27/SB_1-02-06_CAL_1974-02-27_Krishna_Takes_Only_the_etc.mp3" TargetMode="External"/><Relationship Id="rId2991" Type="http://schemas.openxmlformats.org/officeDocument/2006/relationships/hyperlink" Target="https://audio.iskcondesiretree.com/01_-_Srila_Prabhupada/01_-_Lectures/01_-_English/01_-_Topic_wise/Morning_Walk/SP_Morning_Walk_-_Mayapur_1975-03-26.MP3" TargetMode="External"/><Relationship Id="rId1661" Type="http://schemas.openxmlformats.org/officeDocument/2006/relationships/hyperlink" Target="https://audio.iskcondesiretree.com/01_-_Srila_Prabhupada/01_-_Lectures/01_-_English/01_-_Topic_wise/Chaitanya_Charitamrita/Adi_Lila/SP_CC_A_07-01_Mayapur_1974-03-01_Lord_Caitanya--Not%20Killing--etc.mp3" TargetMode="External"/><Relationship Id="rId2992" Type="http://schemas.openxmlformats.org/officeDocument/2006/relationships/hyperlink" Target="https://audio.iskcondesiretree.com/01_-_Srila_Prabhupada/01_-_Lectures/01_-_English/02_-_Month_wise/03_-_March/26/Cc_A_1-02_MAY_1975-03-26_The_Darkness_Dispellers.mp3" TargetMode="External"/><Relationship Id="rId1662" Type="http://schemas.openxmlformats.org/officeDocument/2006/relationships/hyperlink" Target="https://audio.iskcondesiretree.com/01_-_Srila_Prabhupada/01_-_Lectures/01_-_English/01_-_Topic_wise/Chaitanya_Charitamrita/Adi_Lila/SP_CC_A_07-01_Mayapur_1974-03-01_Lord_Caitanya--Not_Killing--etc.mp3" TargetMode="External"/><Relationship Id="rId2993" Type="http://schemas.openxmlformats.org/officeDocument/2006/relationships/hyperlink" Target="https://audio.iskcondesiretree.com/01_-_Srila_Prabhupada/01_-_Lectures/01_-_English/02_-_Month_wise/03_-_March/26/CcAdi-01-002_1975-03-26_CC-MAYAPUR.MP3" TargetMode="External"/><Relationship Id="rId1663" Type="http://schemas.openxmlformats.org/officeDocument/2006/relationships/hyperlink" Target="https://audio.iskcondesiretree.com/01_-_Srila_Prabhupada/01_-_Lectures/01_-_English/02_-_Month_wise/03_-_March/01/Cc_A_7-01_MAY_1974-03-01_Lord_Caitanya--Not_Killing_etc.mp3" TargetMode="External"/><Relationship Id="rId2994" Type="http://schemas.openxmlformats.org/officeDocument/2006/relationships/hyperlink" Target="https://audio.iskcondesiretree.com/01_-_Srila_Prabhupada/01_-_Lectures/01_-_English/02_-_Month_wise/03_-_March/26/Walk_1975-03-26_MW-MAYAPUR.MP3" TargetMode="External"/><Relationship Id="rId899" Type="http://schemas.openxmlformats.org/officeDocument/2006/relationships/hyperlink" Target="https://audio.iskcondesiretree.com/01_-_Srila_Prabhupada/01_-_Lectures/01_-_English/02_-_Month_wise/01_-_January/13/Bg_07-01_BOM_1973-01-13_At_Pandal--Rise_to_Platform_etc.mp3" TargetMode="External"/><Relationship Id="rId898" Type="http://schemas.openxmlformats.org/officeDocument/2006/relationships/hyperlink" Target="https://audio.iskcondesiretree.com/01_-_Srila_Prabhupada/01_-_Lectures/01_-_English/01_-_Topic_wise/Bhagavad_Gita/Chapter-07/SP_BG_07-01_Bombay_1973-01-13_At_Pandal--Rise_to_Platform--etc.mp3" TargetMode="External"/><Relationship Id="rId897" Type="http://schemas.openxmlformats.org/officeDocument/2006/relationships/hyperlink" Target="https://audio.iskcondesiretree.com/01_-_Srila_Prabhupada/01_-_Lectures/01_-_English/02_-_Month_wise/01_-_January/12/SB_Lect_BOM_1973-01-12_At_Pandal--Glories_of_Srimad-Bhagavatam.mp3" TargetMode="External"/><Relationship Id="rId896" Type="http://schemas.openxmlformats.org/officeDocument/2006/relationships/hyperlink" Target="https://audio.iskcondesiretree.com/01_-_Srila_Prabhupada/01_-_Lectures/01_-_English/01_-_Topic_wise/Srimad_Bhagavatam/More/SP_SB_Lect_Bombay_1973-01-12_At_Pandal--Glories_of_Srimad-Bhagavatam.mp3" TargetMode="External"/><Relationship Id="rId891" Type="http://schemas.openxmlformats.org/officeDocument/2006/relationships/hyperlink" Target="https://audio.iskcondesiretree.com/01_-_Srila_Prabhupada/01_-_Lectures/01_-_English/02_-_Month_wise/01_-_January/05/NOD_Pg-14_BOM_1973-01-05_Invoking_Natural_Love_to_Krishna.mp3" TargetMode="External"/><Relationship Id="rId890" Type="http://schemas.openxmlformats.org/officeDocument/2006/relationships/hyperlink" Target="https://audio.iskcondesiretree.com/01_-_Srila_Prabhupada/01_-_Lectures/01_-_English/02_-_Month_wise/01_-_January/05/NOD_Lect_BOM_1973-01-05_Why_Krishna_Spoke_to_a_etc.mp3" TargetMode="External"/><Relationship Id="rId895" Type="http://schemas.openxmlformats.org/officeDocument/2006/relationships/hyperlink" Target="https://audio.iskcondesiretree.com/01_-_Srila_Prabhupada/01_-_Lectures/01_-_English/02_-_Month_wise/01_-_January/11/NOD_Pg-19_BOM_1973-01-11_If_You_Don%27t_Serve_God.mp3" TargetMode="External"/><Relationship Id="rId894" Type="http://schemas.openxmlformats.org/officeDocument/2006/relationships/hyperlink" Target="https://audio.iskcondesiretree.com/01_-_Srila_Prabhupada/01_-_Lectures/01_-_English/01_-_Topic_wise/Nectar_Of_Devotion/SP_NOD_Pg-19_Bombay_1973-01-11_-_If_You_Don%27t_Serve_God.mp3" TargetMode="External"/><Relationship Id="rId893" Type="http://schemas.openxmlformats.org/officeDocument/2006/relationships/hyperlink" Target="https://audio.iskcondesiretree.com/01_-_Srila_Prabhupada/01_-_Lectures/01_-_English/02_-_Month_wise/01_-_January/07/NOD_Pg-17_BOM_1973-01-07_Somehow_or_Other_etc.mp3" TargetMode="External"/><Relationship Id="rId892" Type="http://schemas.openxmlformats.org/officeDocument/2006/relationships/hyperlink" Target="https://audio.iskcondesiretree.com/01_-_Srila_Prabhupada/01_-_Lectures/01_-_English/01_-_Topic_wise/Nectar_Of_Devotion/SP_NOD_Pg-17_Bombay_1973-01-07_-_Some_how_or_Other-etc.mp3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90" Type="http://schemas.openxmlformats.org/officeDocument/2006/relationships/hyperlink" Target="https://docs.google.com/uc?export=download&amp;id=1UXO8LxIAy2fXuTvJQA54k7IQ5MYLKfyC" TargetMode="External"/><Relationship Id="rId194" Type="http://schemas.openxmlformats.org/officeDocument/2006/relationships/hyperlink" Target="https://docs.google.com/uc?export=download&amp;id=1CRsETZbEU6ToHgB9TMR1KwbPx38q-_8O" TargetMode="External"/><Relationship Id="rId193" Type="http://schemas.openxmlformats.org/officeDocument/2006/relationships/hyperlink" Target="https://docs.google.com/uc?export=download&amp;id=1eAV88OfpjhMDEir6ssuKF29K21ofTANN" TargetMode="External"/><Relationship Id="rId192" Type="http://schemas.openxmlformats.org/officeDocument/2006/relationships/hyperlink" Target="https://docs.google.com/uc?export=download&amp;id=1Ko4pqLXtBee5OZ6kBZ8lg9rZTktmVV5z" TargetMode="External"/><Relationship Id="rId191" Type="http://schemas.openxmlformats.org/officeDocument/2006/relationships/hyperlink" Target="https://docs.google.com/uc?export=download&amp;id=1LbVwoy1WDU90GWMUPKpFPQ_7KM3Yr2i2" TargetMode="External"/><Relationship Id="rId187" Type="http://schemas.openxmlformats.org/officeDocument/2006/relationships/hyperlink" Target="https://docs.google.com/uc?export=download&amp;id=17zDcfFiAXxXKepceVLbf-3TGGgcbyTxS" TargetMode="External"/><Relationship Id="rId186" Type="http://schemas.openxmlformats.org/officeDocument/2006/relationships/hyperlink" Target="https://docs.google.com/uc?export=download&amp;id=1tWZQVVQQqKPBj9W2C7aTs3MD3Ij4bnG3" TargetMode="External"/><Relationship Id="rId185" Type="http://schemas.openxmlformats.org/officeDocument/2006/relationships/hyperlink" Target="https://docs.google.com/uc?export=download&amp;id=1B4hsgXBffgugdgQaNU-Ey8fDOD8M_Ozv" TargetMode="External"/><Relationship Id="rId184" Type="http://schemas.openxmlformats.org/officeDocument/2006/relationships/hyperlink" Target="https://docs.google.com/uc?export=download&amp;id=1CzEWpTGsL1KpEHaQdvqfHYI7rhU52zJT" TargetMode="External"/><Relationship Id="rId189" Type="http://schemas.openxmlformats.org/officeDocument/2006/relationships/hyperlink" Target="https://docs.google.com/uc?export=download&amp;id=1AcVjy_2LKDsQHcBbMXouhBIyif3dJzVz" TargetMode="External"/><Relationship Id="rId188" Type="http://schemas.openxmlformats.org/officeDocument/2006/relationships/hyperlink" Target="https://docs.google.com/uc?export=download&amp;id=1AQRWGMTAhVrdV3KJbZQh2lLRAjw9-1gx" TargetMode="External"/><Relationship Id="rId183" Type="http://schemas.openxmlformats.org/officeDocument/2006/relationships/hyperlink" Target="https://docs.google.com/uc?export=download&amp;id=1cKtGf9mcpIcKd-n7RB9qNJvYpv99ugCl" TargetMode="External"/><Relationship Id="rId182" Type="http://schemas.openxmlformats.org/officeDocument/2006/relationships/hyperlink" Target="https://docs.google.com/uc?export=download&amp;id=14TSp_7h17fPrzJ7L9zw4uE3nPosQzQ63" TargetMode="External"/><Relationship Id="rId181" Type="http://schemas.openxmlformats.org/officeDocument/2006/relationships/hyperlink" Target="https://docs.google.com/uc?export=download&amp;id=17tzGmJ1ddkL3BOtMvihksGXI5m_au16Q" TargetMode="External"/><Relationship Id="rId180" Type="http://schemas.openxmlformats.org/officeDocument/2006/relationships/hyperlink" Target="https://docs.google.com/uc?export=download&amp;id=1T2kH9tDMvqE-kjRWnnSP5sPm5pJXHhP1" TargetMode="External"/><Relationship Id="rId176" Type="http://schemas.openxmlformats.org/officeDocument/2006/relationships/hyperlink" Target="https://docs.google.com/uc?export=download&amp;id=1jpUgl8qoVfsIFo8q28S3TlRv6-IWldLZ" TargetMode="External"/><Relationship Id="rId175" Type="http://schemas.openxmlformats.org/officeDocument/2006/relationships/hyperlink" Target="https://docs.google.com/uc?export=download&amp;id=1kQe8OsG7TyhXHRXNz0ycz5Yukr_c0_yG" TargetMode="External"/><Relationship Id="rId174" Type="http://schemas.openxmlformats.org/officeDocument/2006/relationships/hyperlink" Target="https://docs.google.com/uc?export=download&amp;id=1_hZr9IdK0t7wbURwmUe00IBUJwJncUIx" TargetMode="External"/><Relationship Id="rId173" Type="http://schemas.openxmlformats.org/officeDocument/2006/relationships/hyperlink" Target="https://docs.google.com/uc?export=download&amp;id=1Eolko9IPNy4kKrxUaRndAwwwWB-Cwr-h" TargetMode="External"/><Relationship Id="rId179" Type="http://schemas.openxmlformats.org/officeDocument/2006/relationships/hyperlink" Target="https://docs.google.com/uc?export=download&amp;id=1JO9TaCFLaaTFmryd4HrWvjFi3eskVMtS" TargetMode="External"/><Relationship Id="rId178" Type="http://schemas.openxmlformats.org/officeDocument/2006/relationships/hyperlink" Target="https://docs.google.com/uc?export=download&amp;id=1BAk7_BD52bxXP8olJLEklYHMAdmMpuN1" TargetMode="External"/><Relationship Id="rId177" Type="http://schemas.openxmlformats.org/officeDocument/2006/relationships/hyperlink" Target="https://docs.google.com/uc?export=download&amp;id=1V-siGKakDf3WQ7Tcn_CZb9_-W9SdE_tE" TargetMode="External"/><Relationship Id="rId198" Type="http://schemas.openxmlformats.org/officeDocument/2006/relationships/hyperlink" Target="https://docs.google.com/uc?export=download&amp;id=1L2QglGJy7OcfvwdOVMxNJiBXqJnpR3sV" TargetMode="External"/><Relationship Id="rId197" Type="http://schemas.openxmlformats.org/officeDocument/2006/relationships/hyperlink" Target="https://docs.google.com/uc?export=download&amp;id=1TfxUs7yUC9BbM4nYDVZAOSMJ0b_90jqm" TargetMode="External"/><Relationship Id="rId196" Type="http://schemas.openxmlformats.org/officeDocument/2006/relationships/hyperlink" Target="https://docs.google.com/uc?export=download&amp;id=1C-0QwDoJx0nyWrmYXiEl2O4r-5qaq_Mp" TargetMode="External"/><Relationship Id="rId195" Type="http://schemas.openxmlformats.org/officeDocument/2006/relationships/hyperlink" Target="https://docs.google.com/uc?export=download&amp;id=1kRmUoVX3xsCNjriBBvG96OT2-l14V9FO" TargetMode="External"/><Relationship Id="rId199" Type="http://schemas.openxmlformats.org/officeDocument/2006/relationships/hyperlink" Target="https://docs.google.com/uc?export=download&amp;id=1khKUdTguctHXJSJa1q72iXDlCkaGNX8k" TargetMode="External"/><Relationship Id="rId150" Type="http://schemas.openxmlformats.org/officeDocument/2006/relationships/hyperlink" Target="https://docs.google.com/uc?export=download&amp;id=1gbOpVDn94ybTwocB__VypSra7KkkB4ha" TargetMode="External"/><Relationship Id="rId149" Type="http://schemas.openxmlformats.org/officeDocument/2006/relationships/hyperlink" Target="https://docs.google.com/uc?export=download&amp;id=1NwCBZhY3zQEJ3F80ZZ1RNSsC4MOuFLUD" TargetMode="External"/><Relationship Id="rId148" Type="http://schemas.openxmlformats.org/officeDocument/2006/relationships/hyperlink" Target="https://docs.google.com/uc?export=download&amp;id=1zwL-tHv7YjEq885F5OGWgr4GZxgXGgUf" TargetMode="External"/><Relationship Id="rId143" Type="http://schemas.openxmlformats.org/officeDocument/2006/relationships/hyperlink" Target="https://docs.google.com/uc?export=download&amp;id=1pF7ggxpqvIfCi4K4f-jwKL3uiy2UvQbU" TargetMode="External"/><Relationship Id="rId142" Type="http://schemas.openxmlformats.org/officeDocument/2006/relationships/hyperlink" Target="https://docs.google.com/uc?export=download&amp;id=1GD5JCs4hgHDsOQ55-qjkqsR7w7fVxLL8" TargetMode="External"/><Relationship Id="rId141" Type="http://schemas.openxmlformats.org/officeDocument/2006/relationships/hyperlink" Target="https://docs.google.com/uc?export=download&amp;id=162c_0wjnxF4YpZAzkq4JJhCrZlQUF_Vu" TargetMode="External"/><Relationship Id="rId140" Type="http://schemas.openxmlformats.org/officeDocument/2006/relationships/hyperlink" Target="https://docs.google.com/uc?export=download&amp;id=1SIoMIjhrdufEWB_mrEJ30CC4-A4v-p9-" TargetMode="External"/><Relationship Id="rId147" Type="http://schemas.openxmlformats.org/officeDocument/2006/relationships/hyperlink" Target="https://docs.google.com/uc?export=download&amp;id=1Lwzf2USpWC4LJps1kA4MfRnuxZC8eosu" TargetMode="External"/><Relationship Id="rId146" Type="http://schemas.openxmlformats.org/officeDocument/2006/relationships/hyperlink" Target="https://docs.google.com/uc?export=download&amp;id=1pybqdwmSiVJYqlL0dZs_vDXeKfkeTFRN" TargetMode="External"/><Relationship Id="rId145" Type="http://schemas.openxmlformats.org/officeDocument/2006/relationships/hyperlink" Target="https://docs.google.com/uc?export=download&amp;id=1ldYq3YE1GRAOlhrORDyMrG_dyCnxzqSt" TargetMode="External"/><Relationship Id="rId144" Type="http://schemas.openxmlformats.org/officeDocument/2006/relationships/hyperlink" Target="https://docs.google.com/uc?export=download&amp;id=1z6A5VVgr12PRBra47nXephyiER5lDmXV" TargetMode="External"/><Relationship Id="rId139" Type="http://schemas.openxmlformats.org/officeDocument/2006/relationships/hyperlink" Target="https://docs.google.com/uc?export=download&amp;id=1cuJ93cqXtd5kHle_8_eyUquitDbnypGP" TargetMode="External"/><Relationship Id="rId138" Type="http://schemas.openxmlformats.org/officeDocument/2006/relationships/hyperlink" Target="https://docs.google.com/uc?export=download&amp;id=1kRdd-yq4bNHblN4Gzc-__yZWh9XPX2b8" TargetMode="External"/><Relationship Id="rId137" Type="http://schemas.openxmlformats.org/officeDocument/2006/relationships/hyperlink" Target="https://docs.google.com/uc?export=download&amp;id=14Xx_850ETXGh_AzKI6vWY9mmDmSyuV7r" TargetMode="External"/><Relationship Id="rId132" Type="http://schemas.openxmlformats.org/officeDocument/2006/relationships/hyperlink" Target="https://docs.google.com/uc?export=download&amp;id=1AQpGQteNLntZunFXqCwLY8zpiPJFtRa2" TargetMode="External"/><Relationship Id="rId131" Type="http://schemas.openxmlformats.org/officeDocument/2006/relationships/hyperlink" Target="https://docs.google.com/uc?export=download&amp;id=1coFkbgV6fTiSIiPhIXCa6XySHewKECbV" TargetMode="External"/><Relationship Id="rId130" Type="http://schemas.openxmlformats.org/officeDocument/2006/relationships/hyperlink" Target="https://docs.google.com/uc?export=download&amp;id=1QQzB1njr_Gl88edupuf5AAbrYHYfwZx1" TargetMode="External"/><Relationship Id="rId136" Type="http://schemas.openxmlformats.org/officeDocument/2006/relationships/hyperlink" Target="https://docs.google.com/uc?export=download&amp;id=1QHR9Mw2K6DJgC7QezQYf3S9G1afEsh8_" TargetMode="External"/><Relationship Id="rId135" Type="http://schemas.openxmlformats.org/officeDocument/2006/relationships/hyperlink" Target="https://docs.google.com/uc?export=download&amp;id=1rsfpVpFSd4ZbxpCktsiTctteSu6HF2DX" TargetMode="External"/><Relationship Id="rId134" Type="http://schemas.openxmlformats.org/officeDocument/2006/relationships/hyperlink" Target="https://docs.google.com/uc?export=download&amp;id=1wfdCHexuE5b6yDGgY3Tne7lFe-50pFO2" TargetMode="External"/><Relationship Id="rId133" Type="http://schemas.openxmlformats.org/officeDocument/2006/relationships/hyperlink" Target="https://docs.google.com/uc?export=download&amp;id=169_dgABN44bU-fCevlbIBFTuNqJhXf7Q" TargetMode="External"/><Relationship Id="rId172" Type="http://schemas.openxmlformats.org/officeDocument/2006/relationships/hyperlink" Target="https://docs.google.com/uc?export=download&amp;id=1PsizI7ur4io376gXsf3vYvifcNe77r_O" TargetMode="External"/><Relationship Id="rId171" Type="http://schemas.openxmlformats.org/officeDocument/2006/relationships/hyperlink" Target="https://docs.google.com/uc?export=download&amp;id=1Vgk6P5lJlp5Ppq1dKhAgyIS98dw-Tnwj" TargetMode="External"/><Relationship Id="rId170" Type="http://schemas.openxmlformats.org/officeDocument/2006/relationships/hyperlink" Target="https://docs.google.com/uc?export=download&amp;id=112FecHwO9cPqEckakT3uKN2huRlcqRDN" TargetMode="External"/><Relationship Id="rId165" Type="http://schemas.openxmlformats.org/officeDocument/2006/relationships/hyperlink" Target="https://docs.google.com/uc?export=download&amp;id=1NtCgkdVskPA3H4H-OvZF5lQUrRZcK5xk" TargetMode="External"/><Relationship Id="rId164" Type="http://schemas.openxmlformats.org/officeDocument/2006/relationships/hyperlink" Target="https://docs.google.com/uc?export=download&amp;id=1lCEx0wqAtoASiCjnmbOZ_KfLonD3tsy0" TargetMode="External"/><Relationship Id="rId163" Type="http://schemas.openxmlformats.org/officeDocument/2006/relationships/hyperlink" Target="https://docs.google.com/uc?export=download&amp;id=1W5cmIGhAcTOB3BnmyxOG9tB0jtbKfdj2" TargetMode="External"/><Relationship Id="rId162" Type="http://schemas.openxmlformats.org/officeDocument/2006/relationships/hyperlink" Target="https://docs.google.com/uc?export=download&amp;id=17Cd4j0KMGK4-n5V6jEX4ZE3d4TrbRqI6" TargetMode="External"/><Relationship Id="rId169" Type="http://schemas.openxmlformats.org/officeDocument/2006/relationships/hyperlink" Target="https://docs.google.com/uc?export=download&amp;id=1-TUicQfx2cW9G6ag9Og8iDBNhNFkjyuY" TargetMode="External"/><Relationship Id="rId168" Type="http://schemas.openxmlformats.org/officeDocument/2006/relationships/hyperlink" Target="https://docs.google.com/uc?export=download&amp;id=1DnwcJnX6N0QrwwpHK8-HnNWVgJk9O083" TargetMode="External"/><Relationship Id="rId167" Type="http://schemas.openxmlformats.org/officeDocument/2006/relationships/hyperlink" Target="https://docs.google.com/uc?export=download&amp;id=1oRS0iwJSJ9EVHT27zVUuccsJ-sg-qDyF" TargetMode="External"/><Relationship Id="rId166" Type="http://schemas.openxmlformats.org/officeDocument/2006/relationships/hyperlink" Target="https://docs.google.com/uc?export=download&amp;id=1FwA9oTUmt47rkfugg1IibLNGPk3UYOLx" TargetMode="External"/><Relationship Id="rId161" Type="http://schemas.openxmlformats.org/officeDocument/2006/relationships/hyperlink" Target="https://docs.google.com/uc?export=download&amp;id=1qtRoraZUXQ06irsynsbGY381Bc4JJC-5" TargetMode="External"/><Relationship Id="rId160" Type="http://schemas.openxmlformats.org/officeDocument/2006/relationships/hyperlink" Target="https://docs.google.com/uc?export=download&amp;id=1HI8O1WEgpbud0vC3qpSaO9Q9yycq6vyB" TargetMode="External"/><Relationship Id="rId159" Type="http://schemas.openxmlformats.org/officeDocument/2006/relationships/hyperlink" Target="https://docs.google.com/uc?export=download&amp;id=1uK8942dy7kti1hVgT4X60nB6-PGENelR" TargetMode="External"/><Relationship Id="rId154" Type="http://schemas.openxmlformats.org/officeDocument/2006/relationships/hyperlink" Target="https://docs.google.com/uc?export=download&amp;id=1XJLyldPr72WgF0fQwFvARBFki6zoZRww" TargetMode="External"/><Relationship Id="rId153" Type="http://schemas.openxmlformats.org/officeDocument/2006/relationships/hyperlink" Target="https://docs.google.com/uc?export=download&amp;id=1TZ1CNFZiQSmC5w9E7vWkOe4tDskJUYc1" TargetMode="External"/><Relationship Id="rId152" Type="http://schemas.openxmlformats.org/officeDocument/2006/relationships/hyperlink" Target="https://docs.google.com/uc?export=download&amp;id=1mfdQbHFhXCXm1q-9g5ykBmNKJzqaXubF" TargetMode="External"/><Relationship Id="rId151" Type="http://schemas.openxmlformats.org/officeDocument/2006/relationships/hyperlink" Target="https://docs.google.com/uc?export=download&amp;id=1RHkIwHNh6AdBcUBMvtaJXYbsEyjYWcLl" TargetMode="External"/><Relationship Id="rId158" Type="http://schemas.openxmlformats.org/officeDocument/2006/relationships/hyperlink" Target="https://docs.google.com/uc?export=download&amp;id=1Y0aAmsx3sy0w0cLQB-cTuPBm3_T42f_J" TargetMode="External"/><Relationship Id="rId157" Type="http://schemas.openxmlformats.org/officeDocument/2006/relationships/hyperlink" Target="https://docs.google.com/uc?export=download&amp;id=1Q0buGTO1JK8pjsbdEC1qhY3cLj6NSh6s" TargetMode="External"/><Relationship Id="rId156" Type="http://schemas.openxmlformats.org/officeDocument/2006/relationships/hyperlink" Target="https://docs.google.com/uc?export=download&amp;id=1BLcq3H7fJLPf02uF-lxrFPSTQ0kQwSWy" TargetMode="External"/><Relationship Id="rId155" Type="http://schemas.openxmlformats.org/officeDocument/2006/relationships/hyperlink" Target="https://docs.google.com/uc?export=download&amp;id=1JJ29P4J-meglEYsQ4QMigE9fEqTnuCHK" TargetMode="External"/><Relationship Id="rId107" Type="http://schemas.openxmlformats.org/officeDocument/2006/relationships/hyperlink" Target="https://docs.google.com/uc?export=download&amp;id=17ztFBb1MJOqT8Ubnq9ju8flS8HtvALmc" TargetMode="External"/><Relationship Id="rId106" Type="http://schemas.openxmlformats.org/officeDocument/2006/relationships/hyperlink" Target="https://docs.google.com/uc?export=download&amp;id=1VpaEMhKCLWBIBD1ykL9jccb39gGcNTPx" TargetMode="External"/><Relationship Id="rId105" Type="http://schemas.openxmlformats.org/officeDocument/2006/relationships/hyperlink" Target="https://docs.google.com/uc?export=download&amp;id=1pU5dJ-29015qN2HTtBH9PeM2GDu_DV0t" TargetMode="External"/><Relationship Id="rId104" Type="http://schemas.openxmlformats.org/officeDocument/2006/relationships/hyperlink" Target="https://docs.google.com/uc?export=download&amp;id=1ECfhhvv5CD9JtvLtZJV1x7HL3vWUW1pm" TargetMode="External"/><Relationship Id="rId109" Type="http://schemas.openxmlformats.org/officeDocument/2006/relationships/hyperlink" Target="https://docs.google.com/uc?export=download&amp;id=1TX0SAsr3vsbpRqM6pOFlyjS5lrr_fvQX" TargetMode="External"/><Relationship Id="rId108" Type="http://schemas.openxmlformats.org/officeDocument/2006/relationships/hyperlink" Target="https://docs.google.com/uc?export=download&amp;id=1pbAZ0roBRq3YweU-yAY-2_AL5H3-ZHos" TargetMode="External"/><Relationship Id="rId103" Type="http://schemas.openxmlformats.org/officeDocument/2006/relationships/hyperlink" Target="https://docs.google.com/uc?export=download&amp;id=1hdi_XB6fvP9qSuq963mNCpvd5F4Awnru" TargetMode="External"/><Relationship Id="rId102" Type="http://schemas.openxmlformats.org/officeDocument/2006/relationships/hyperlink" Target="https://docs.google.com/uc?export=download&amp;id=1Yt-zU71c6T_mQx3TpCzXqTjRLBLaNiOw" TargetMode="External"/><Relationship Id="rId101" Type="http://schemas.openxmlformats.org/officeDocument/2006/relationships/hyperlink" Target="https://docs.google.com/uc?export=download&amp;id=177b38RvQxscxoX638B9q3hmEfEvXIxhb" TargetMode="External"/><Relationship Id="rId100" Type="http://schemas.openxmlformats.org/officeDocument/2006/relationships/hyperlink" Target="https://docs.google.com/uc?export=download&amp;id=1c-0F5yFn_0lFcvMAI17-5C9TEtun7sPX" TargetMode="External"/><Relationship Id="rId129" Type="http://schemas.openxmlformats.org/officeDocument/2006/relationships/hyperlink" Target="https://docs.google.com/uc?export=download&amp;id=1SmOpJpThSnGcKmy4nKDG7zKlORZ8BbHA" TargetMode="External"/><Relationship Id="rId128" Type="http://schemas.openxmlformats.org/officeDocument/2006/relationships/hyperlink" Target="https://docs.google.com/uc?export=download&amp;id=1k1YSGLeO4qab0cFVfQynPo-E3mHC-l2A" TargetMode="External"/><Relationship Id="rId127" Type="http://schemas.openxmlformats.org/officeDocument/2006/relationships/hyperlink" Target="https://docs.google.com/uc?export=download&amp;id=1IIPh5S6YHeAvn1uEEOASJxJO-tsVmqQN" TargetMode="External"/><Relationship Id="rId126" Type="http://schemas.openxmlformats.org/officeDocument/2006/relationships/hyperlink" Target="https://docs.google.com/uc?export=download&amp;id=12dB8gtAhcdZoHno8o_NMbPoA_GPOeO9V" TargetMode="External"/><Relationship Id="rId121" Type="http://schemas.openxmlformats.org/officeDocument/2006/relationships/hyperlink" Target="https://docs.google.com/uc?export=download&amp;id=13m49z1imZr_YzwJiSTQXy2ftDGO38bKF" TargetMode="External"/><Relationship Id="rId120" Type="http://schemas.openxmlformats.org/officeDocument/2006/relationships/hyperlink" Target="https://docs.google.com/uc?export=download&amp;id=11pQ8ra0RwS3U1bziC5Ng8yluSfrmmQVn" TargetMode="External"/><Relationship Id="rId125" Type="http://schemas.openxmlformats.org/officeDocument/2006/relationships/hyperlink" Target="https://docs.google.com/uc?export=download&amp;id=1zUrE2b6aTZ7qxO4ADUqHI0fPCnaRiYo7" TargetMode="External"/><Relationship Id="rId124" Type="http://schemas.openxmlformats.org/officeDocument/2006/relationships/hyperlink" Target="https://docs.google.com/uc?export=download&amp;id=1A_gePjCKDyK_liQ9Xj-F_FPbwMNDKncB" TargetMode="External"/><Relationship Id="rId123" Type="http://schemas.openxmlformats.org/officeDocument/2006/relationships/hyperlink" Target="https://docs.google.com/uc?export=download&amp;id=158iwpGnOkbKuZFivPhSAD6ExrnebGfR7" TargetMode="External"/><Relationship Id="rId122" Type="http://schemas.openxmlformats.org/officeDocument/2006/relationships/hyperlink" Target="https://docs.google.com/uc?export=download&amp;id=10uCyTNMfX90oP_zAtcTWeRuGqZg1VYZT" TargetMode="External"/><Relationship Id="rId118" Type="http://schemas.openxmlformats.org/officeDocument/2006/relationships/hyperlink" Target="https://docs.google.com/uc?export=download&amp;id=15mXWWPPKyeiGQ6BNAxm7urrka4HJYKNs" TargetMode="External"/><Relationship Id="rId117" Type="http://schemas.openxmlformats.org/officeDocument/2006/relationships/hyperlink" Target="https://docs.google.com/uc?export=download&amp;id=1sxQPIYot6t2Wm16ysKc9WT9Pa0Fz0aEq" TargetMode="External"/><Relationship Id="rId116" Type="http://schemas.openxmlformats.org/officeDocument/2006/relationships/hyperlink" Target="https://docs.google.com/uc?export=download&amp;id=1dSNrGX4MV9K__7OLfCcRi6kNHlmqlVtq" TargetMode="External"/><Relationship Id="rId115" Type="http://schemas.openxmlformats.org/officeDocument/2006/relationships/hyperlink" Target="https://docs.google.com/uc?export=download&amp;id=1dz8jzlifGXkCZ5pPQqPrG2sYUWuv_7zQ" TargetMode="External"/><Relationship Id="rId119" Type="http://schemas.openxmlformats.org/officeDocument/2006/relationships/hyperlink" Target="https://docs.google.com/uc?export=download&amp;id=1Bc4m8iAad8KNTbxEWLgWd0BYfxDagsDU" TargetMode="External"/><Relationship Id="rId110" Type="http://schemas.openxmlformats.org/officeDocument/2006/relationships/hyperlink" Target="https://docs.google.com/uc?export=download&amp;id=1tbPI3ExKvUtmS75XQoLaGxp3vjyiL9p_" TargetMode="External"/><Relationship Id="rId114" Type="http://schemas.openxmlformats.org/officeDocument/2006/relationships/hyperlink" Target="https://docs.google.com/uc?export=download&amp;id=1AhBufyW7BQls07rijywsJ7hhVoZp6shM" TargetMode="External"/><Relationship Id="rId113" Type="http://schemas.openxmlformats.org/officeDocument/2006/relationships/hyperlink" Target="https://docs.google.com/uc?export=download&amp;id=1CozWcKbhY8oZTN_rKRxIhKEjlPCtrdbX" TargetMode="External"/><Relationship Id="rId112" Type="http://schemas.openxmlformats.org/officeDocument/2006/relationships/hyperlink" Target="https://docs.google.com/uc?export=download&amp;id=1v07ltnEGENOjEk7u97gVJmdbHe20SGag" TargetMode="External"/><Relationship Id="rId111" Type="http://schemas.openxmlformats.org/officeDocument/2006/relationships/hyperlink" Target="https://docs.google.com/uc?export=download&amp;id=1jMExaYszlnN7EwJQcmZlcVs3ozNWnqF7" TargetMode="External"/><Relationship Id="rId392" Type="http://schemas.openxmlformats.org/officeDocument/2006/relationships/hyperlink" Target="https://docs.google.com/uc?export=download&amp;id=10rPANWtDAizTO24Vxt3s7dHsmNIBFNGE" TargetMode="External"/><Relationship Id="rId391" Type="http://schemas.openxmlformats.org/officeDocument/2006/relationships/hyperlink" Target="https://docs.google.com/uc?export=download&amp;id=1ssuSS3DeP5yE9EuFX56FgP8_JiDquFIU" TargetMode="External"/><Relationship Id="rId390" Type="http://schemas.openxmlformats.org/officeDocument/2006/relationships/hyperlink" Target="https://docs.google.com/uc?export=download&amp;id=1gSyyuCnfn163uhNVjUSxiweEnyTRbS5a" TargetMode="External"/><Relationship Id="rId385" Type="http://schemas.openxmlformats.org/officeDocument/2006/relationships/hyperlink" Target="https://docs.google.com/uc?export=download&amp;id=1mM3L3dqgWTT4rk8UCkqkLK0vL01unPUg" TargetMode="External"/><Relationship Id="rId384" Type="http://schemas.openxmlformats.org/officeDocument/2006/relationships/hyperlink" Target="https://docs.google.com/uc?export=download&amp;id=1zVssgQzTwajhg5y_EH3foB9TnQss1SSk" TargetMode="External"/><Relationship Id="rId383" Type="http://schemas.openxmlformats.org/officeDocument/2006/relationships/hyperlink" Target="https://docs.google.com/uc?export=download&amp;id=1vDGHF6ThtBGiTIbI6pBvw1CAYt8uYxDE" TargetMode="External"/><Relationship Id="rId382" Type="http://schemas.openxmlformats.org/officeDocument/2006/relationships/hyperlink" Target="https://docs.google.com/uc?export=download&amp;id=1_SUIxA33lB-b2xZUcno1Ci2qhoulEVux" TargetMode="External"/><Relationship Id="rId389" Type="http://schemas.openxmlformats.org/officeDocument/2006/relationships/hyperlink" Target="https://docs.google.com/uc?export=download&amp;id=19rWbnP0yfXGYaaHKiXeSfIK6qFnW1LTe" TargetMode="External"/><Relationship Id="rId388" Type="http://schemas.openxmlformats.org/officeDocument/2006/relationships/hyperlink" Target="https://docs.google.com/uc?export=download&amp;id=1Klox94wgMtNrHVCZjnLSiZ1r7O_UpztC" TargetMode="External"/><Relationship Id="rId387" Type="http://schemas.openxmlformats.org/officeDocument/2006/relationships/hyperlink" Target="https://docs.google.com/uc?export=download&amp;id=1wkh6cgr5iTsBEZUEuOtUipgwQVA7Mf51" TargetMode="External"/><Relationship Id="rId386" Type="http://schemas.openxmlformats.org/officeDocument/2006/relationships/hyperlink" Target="https://docs.google.com/uc?export=download&amp;id=12ws7eE_O-ZipNOEr30rZJx1vbUlevUVm" TargetMode="External"/><Relationship Id="rId381" Type="http://schemas.openxmlformats.org/officeDocument/2006/relationships/hyperlink" Target="https://docs.google.com/uc?export=download&amp;id=120GNalUJfjzlD9XO9_rPKE4miyR4Nhuj" TargetMode="External"/><Relationship Id="rId380" Type="http://schemas.openxmlformats.org/officeDocument/2006/relationships/hyperlink" Target="https://docs.google.com/uc?export=download&amp;id=12QeUfHaTVMOxy25BHLgZgqtJK8dPKBTK" TargetMode="External"/><Relationship Id="rId379" Type="http://schemas.openxmlformats.org/officeDocument/2006/relationships/hyperlink" Target="https://docs.google.com/uc?export=download&amp;id=1Ya-IYjHt7EZMe3Wg-PC8wIUsG7MKtTXw" TargetMode="External"/><Relationship Id="rId374" Type="http://schemas.openxmlformats.org/officeDocument/2006/relationships/hyperlink" Target="https://docs.google.com/uc?export=download&amp;id=1kO9_wcyx_TaC1ydLzKhhdj2kJ_IS2eOH" TargetMode="External"/><Relationship Id="rId373" Type="http://schemas.openxmlformats.org/officeDocument/2006/relationships/hyperlink" Target="https://docs.google.com/uc?export=download&amp;id=1I0-Cy9KAIZIRyoMlwfu8LYNA23-pfDK1" TargetMode="External"/><Relationship Id="rId372" Type="http://schemas.openxmlformats.org/officeDocument/2006/relationships/hyperlink" Target="https://docs.google.com/uc?export=download&amp;id=1Zrlvv--Rq-2txEcYnrygzpaQ61cvU7IJ" TargetMode="External"/><Relationship Id="rId371" Type="http://schemas.openxmlformats.org/officeDocument/2006/relationships/hyperlink" Target="https://docs.google.com/uc?export=download&amp;id=1tXP_m8jEa3GVqlNSOGWcw_Xc8wd2NoJP" TargetMode="External"/><Relationship Id="rId378" Type="http://schemas.openxmlformats.org/officeDocument/2006/relationships/hyperlink" Target="https://docs.google.com/uc?export=download&amp;id=1h1xDdHLH5p41GvWE3CDmNgVeZJZSfs3k" TargetMode="External"/><Relationship Id="rId377" Type="http://schemas.openxmlformats.org/officeDocument/2006/relationships/hyperlink" Target="https://docs.google.com/uc?export=download&amp;id=1P-Wl9cdEiLh2DoxCDmW-g1cy_OGED-tl" TargetMode="External"/><Relationship Id="rId376" Type="http://schemas.openxmlformats.org/officeDocument/2006/relationships/hyperlink" Target="https://docs.google.com/uc?export=download&amp;id=16y_ySrKyDk1Z2YD_kMNTXqT4LHPjdDr2" TargetMode="External"/><Relationship Id="rId375" Type="http://schemas.openxmlformats.org/officeDocument/2006/relationships/hyperlink" Target="https://docs.google.com/uc?export=download&amp;id=1cXm0iYW2eVFqXOJud9LguUO6KheV7yMt" TargetMode="External"/><Relationship Id="rId396" Type="http://schemas.openxmlformats.org/officeDocument/2006/relationships/hyperlink" Target="https://docs.google.com/uc?export=download&amp;id=1OUXAM3wNBhWj3GcDl7PFOaobIUXors61" TargetMode="External"/><Relationship Id="rId395" Type="http://schemas.openxmlformats.org/officeDocument/2006/relationships/hyperlink" Target="https://docs.google.com/uc?export=download&amp;id=1Vw1yW0m6_GZi_Lw0y7p4wGMd4pYsgjXe" TargetMode="External"/><Relationship Id="rId394" Type="http://schemas.openxmlformats.org/officeDocument/2006/relationships/hyperlink" Target="https://docs.google.com/uc?export=download&amp;id=1mtNaczhM2mRtJo_DemTCDJLg_LGCAxLo" TargetMode="External"/><Relationship Id="rId393" Type="http://schemas.openxmlformats.org/officeDocument/2006/relationships/hyperlink" Target="https://docs.google.com/uc?export=download&amp;id=1QqPUiLxAEd4zmAxu9WsAk4ArwKkOBd1U" TargetMode="External"/><Relationship Id="rId399" Type="http://schemas.openxmlformats.org/officeDocument/2006/relationships/hyperlink" Target="https://docs.google.com/uc?export=download&amp;id=1EbKIWNirGfkPMRNt_vP-3hcgwihZ6oXz" TargetMode="External"/><Relationship Id="rId398" Type="http://schemas.openxmlformats.org/officeDocument/2006/relationships/hyperlink" Target="https://docs.google.com/uc?export=download&amp;id=1DdnSJW8sHTds37DHOsF9t4h2RTDfx8w5" TargetMode="External"/><Relationship Id="rId397" Type="http://schemas.openxmlformats.org/officeDocument/2006/relationships/hyperlink" Target="https://docs.google.com/uc?export=download&amp;id=1nTfvawI_BNF_EYjdF3YTRB5d_VPoI0nR" TargetMode="External"/><Relationship Id="rId40" Type="http://schemas.openxmlformats.org/officeDocument/2006/relationships/hyperlink" Target="https://docs.google.com/uc?export=download&amp;id=1sLb_QC7db5q3bc-rIHPSUvgjBqe_1UWf" TargetMode="External"/><Relationship Id="rId42" Type="http://schemas.openxmlformats.org/officeDocument/2006/relationships/hyperlink" Target="https://docs.google.com/uc?export=download&amp;id=1t7dCwNVdjPvLknvP-BbAeJDNdIvk05A1" TargetMode="External"/><Relationship Id="rId41" Type="http://schemas.openxmlformats.org/officeDocument/2006/relationships/hyperlink" Target="https://docs.google.com/uc?export=download&amp;id=1LeJda4zgzsaqkyUyLb2K22BmuRXRVSfs" TargetMode="External"/><Relationship Id="rId44" Type="http://schemas.openxmlformats.org/officeDocument/2006/relationships/hyperlink" Target="https://docs.google.com/uc?export=download&amp;id=1n3RGtPmBQ2XcWzrAgNr_EfvjXPbn5mCP" TargetMode="External"/><Relationship Id="rId43" Type="http://schemas.openxmlformats.org/officeDocument/2006/relationships/hyperlink" Target="https://docs.google.com/uc?export=download&amp;id=1l6DukK-M2W52t09QqXLCVU7K-PoZPTPf" TargetMode="External"/><Relationship Id="rId46" Type="http://schemas.openxmlformats.org/officeDocument/2006/relationships/hyperlink" Target="https://docs.google.com/uc?export=download&amp;id=1o2UTx5CIx1de_ubMjNgei75dGP3Hq2R8" TargetMode="External"/><Relationship Id="rId45" Type="http://schemas.openxmlformats.org/officeDocument/2006/relationships/hyperlink" Target="https://docs.google.com/uc?export=download&amp;id=1XaMa1bA7tzkGBK-R8yeHG1bhfVG7_8h3" TargetMode="External"/><Relationship Id="rId48" Type="http://schemas.openxmlformats.org/officeDocument/2006/relationships/hyperlink" Target="https://docs.google.com/uc?export=download&amp;id=1QJm-wBKfXYiFiNNJJdVuxxkn_25e_NPE" TargetMode="External"/><Relationship Id="rId47" Type="http://schemas.openxmlformats.org/officeDocument/2006/relationships/hyperlink" Target="https://docs.google.com/uc?export=download&amp;id=1f1RIGeiOR0Sxs4jRfWZH5dA0NFBY1eGF" TargetMode="External"/><Relationship Id="rId49" Type="http://schemas.openxmlformats.org/officeDocument/2006/relationships/hyperlink" Target="https://docs.google.com/uc?export=download&amp;id=1Dlik753_-AYdx010eVJSalnjl04V0svt" TargetMode="External"/><Relationship Id="rId31" Type="http://schemas.openxmlformats.org/officeDocument/2006/relationships/hyperlink" Target="https://docs.google.com/uc?export=download&amp;id=1zPfrpf-HnJrMI-rhaYkNUWEfAIdqUdSk" TargetMode="External"/><Relationship Id="rId30" Type="http://schemas.openxmlformats.org/officeDocument/2006/relationships/hyperlink" Target="https://docs.google.com/uc?export=download&amp;id=1FhCGN_SHGMJpYWsI4dQqTKtpGKVksZxg" TargetMode="External"/><Relationship Id="rId33" Type="http://schemas.openxmlformats.org/officeDocument/2006/relationships/hyperlink" Target="https://docs.google.com/uc?export=download&amp;id=1fFSYi_NcBvF1cx8E6CCkSgVE6DHmzNMG" TargetMode="External"/><Relationship Id="rId32" Type="http://schemas.openxmlformats.org/officeDocument/2006/relationships/hyperlink" Target="https://docs.google.com/uc?export=download&amp;id=19RKypWQ2AfwqOatAcuG1I4XwcXlwwF_C" TargetMode="External"/><Relationship Id="rId35" Type="http://schemas.openxmlformats.org/officeDocument/2006/relationships/hyperlink" Target="https://docs.google.com/uc?export=download&amp;id=1htW9LBfVDbO4PMS3xxe7-mOqw2vleyqi" TargetMode="External"/><Relationship Id="rId34" Type="http://schemas.openxmlformats.org/officeDocument/2006/relationships/hyperlink" Target="https://docs.google.com/uc?export=download&amp;id=17kE6LIR4VaMDpNBmZH75pWTLskF20bH1" TargetMode="External"/><Relationship Id="rId37" Type="http://schemas.openxmlformats.org/officeDocument/2006/relationships/hyperlink" Target="https://docs.google.com/uc?export=download&amp;id=1qZOfPusGunYU-IcaUEi0f_HRAGJY_csf" TargetMode="External"/><Relationship Id="rId36" Type="http://schemas.openxmlformats.org/officeDocument/2006/relationships/hyperlink" Target="https://docs.google.com/uc?export=download&amp;id=1K8utklJZlTc80KE2XutftfFHQ07aS5Da" TargetMode="External"/><Relationship Id="rId39" Type="http://schemas.openxmlformats.org/officeDocument/2006/relationships/hyperlink" Target="https://docs.google.com/uc?export=download&amp;id=1R36Mju1iHSmY5EK-YpkxQ4O4iWrk5mO9" TargetMode="External"/><Relationship Id="rId38" Type="http://schemas.openxmlformats.org/officeDocument/2006/relationships/hyperlink" Target="https://docs.google.com/uc?export=download&amp;id=1f6BxYBu6_ypYvhcnrMHEqp1lihCSQTt6" TargetMode="External"/><Relationship Id="rId20" Type="http://schemas.openxmlformats.org/officeDocument/2006/relationships/hyperlink" Target="https://docs.google.com/uc?export=download&amp;id=12Mzfu95b-pt7slkGU8XEGTNbVRslJEeN" TargetMode="External"/><Relationship Id="rId22" Type="http://schemas.openxmlformats.org/officeDocument/2006/relationships/hyperlink" Target="https://docs.google.com/uc?export=download&amp;id=1z3_MnbdB0b8JpvBIwlYVBPzmnMOCerCH" TargetMode="External"/><Relationship Id="rId21" Type="http://schemas.openxmlformats.org/officeDocument/2006/relationships/hyperlink" Target="https://docs.google.com/uc?export=download&amp;id=1ucoLsgYKN_YzMoPtlDEfAmA8rfhUe2x_" TargetMode="External"/><Relationship Id="rId24" Type="http://schemas.openxmlformats.org/officeDocument/2006/relationships/hyperlink" Target="https://docs.google.com/uc?export=download&amp;id=1od6oIPC6ddj6ZB9hnTzTpzrIJR7YE_28" TargetMode="External"/><Relationship Id="rId23" Type="http://schemas.openxmlformats.org/officeDocument/2006/relationships/hyperlink" Target="https://docs.google.com/uc?export=download&amp;id=1vmNRALm3ih8LDJPOA0MPB6Nz_mSDMFJO" TargetMode="External"/><Relationship Id="rId26" Type="http://schemas.openxmlformats.org/officeDocument/2006/relationships/hyperlink" Target="https://docs.google.com/uc?export=download&amp;id=1FVEnThutl5nEuPe4sTCuwb_EQMCV-NZl" TargetMode="External"/><Relationship Id="rId25" Type="http://schemas.openxmlformats.org/officeDocument/2006/relationships/hyperlink" Target="https://docs.google.com/uc?export=download&amp;id=1uwqok80Ima6v21L_6_R-fMpzw97mFKU3" TargetMode="External"/><Relationship Id="rId28" Type="http://schemas.openxmlformats.org/officeDocument/2006/relationships/hyperlink" Target="https://docs.google.com/uc?export=download&amp;id=1PQs5DmGGyn5iN7G7PNEg1IC5qx1bS_U1" TargetMode="External"/><Relationship Id="rId27" Type="http://schemas.openxmlformats.org/officeDocument/2006/relationships/hyperlink" Target="https://docs.google.com/uc?export=download&amp;id=1xKZH5_wx6f2hZQwd4N2RCFYBIC2NS_4a" TargetMode="External"/><Relationship Id="rId29" Type="http://schemas.openxmlformats.org/officeDocument/2006/relationships/hyperlink" Target="https://docs.google.com/uc?export=download&amp;id=1Mf38MgFRAp1kws_I4Pwq_uYiUviJPug7" TargetMode="External"/><Relationship Id="rId11" Type="http://schemas.openxmlformats.org/officeDocument/2006/relationships/hyperlink" Target="https://docs.google.com/uc?export=download&amp;id=1BNiQMRo86MzykVI-U1m2PjCCxTszzcDc" TargetMode="External"/><Relationship Id="rId10" Type="http://schemas.openxmlformats.org/officeDocument/2006/relationships/hyperlink" Target="https://docs.google.com/uc?export=download&amp;id=1iCOLoQgk6q879k8IG2jytUX7bJZPP4lt" TargetMode="External"/><Relationship Id="rId13" Type="http://schemas.openxmlformats.org/officeDocument/2006/relationships/hyperlink" Target="https://docs.google.com/uc?export=download&amp;id=1uTIfWxey7C3w-jVRVX6n0qX7fUmKKPca" TargetMode="External"/><Relationship Id="rId12" Type="http://schemas.openxmlformats.org/officeDocument/2006/relationships/hyperlink" Target="https://docs.google.com/uc?export=download&amp;id=1nEShtuAo5kYZiLJKKMJQf8s06PmM95D0" TargetMode="External"/><Relationship Id="rId15" Type="http://schemas.openxmlformats.org/officeDocument/2006/relationships/hyperlink" Target="https://docs.google.com/uc?export=download&amp;id=1EjUMi1axA9uElb4orCqVtoaiPZLx3H3V" TargetMode="External"/><Relationship Id="rId14" Type="http://schemas.openxmlformats.org/officeDocument/2006/relationships/hyperlink" Target="https://docs.google.com/uc?export=download&amp;id=1XCkDIOXyGCMSqbt7gwmF2nmuIYHlfU4U" TargetMode="External"/><Relationship Id="rId17" Type="http://schemas.openxmlformats.org/officeDocument/2006/relationships/hyperlink" Target="https://docs.google.com/uc?export=download&amp;id=1Y3oCCNZj0pm1_7WoxYqmMrvPdVPPKxgM" TargetMode="External"/><Relationship Id="rId16" Type="http://schemas.openxmlformats.org/officeDocument/2006/relationships/hyperlink" Target="https://docs.google.com/uc?export=download&amp;id=1lh1DPY3fqJgFSxLd1qMIpZjSiyri-xS1" TargetMode="External"/><Relationship Id="rId19" Type="http://schemas.openxmlformats.org/officeDocument/2006/relationships/hyperlink" Target="https://docs.google.com/uc?export=download&amp;id=1UneJbptdFv4fA7as6x4BGJ5Q7IZBB2CU" TargetMode="External"/><Relationship Id="rId18" Type="http://schemas.openxmlformats.org/officeDocument/2006/relationships/hyperlink" Target="https://docs.google.com/uc?export=download&amp;id=14uvzpS9QsVKYAw9Djwxr9aiouPnexzxm" TargetMode="External"/><Relationship Id="rId84" Type="http://schemas.openxmlformats.org/officeDocument/2006/relationships/hyperlink" Target="https://docs.google.com/uc?export=download&amp;id=1ElqcF2d-WWy_gR7L7M3Xr6m85u7Ok6lN" TargetMode="External"/><Relationship Id="rId83" Type="http://schemas.openxmlformats.org/officeDocument/2006/relationships/hyperlink" Target="https://docs.google.com/uc?export=download&amp;id=16u4NK_XtTYgk5NCqXb7hdU-s34eLOzKd" TargetMode="External"/><Relationship Id="rId86" Type="http://schemas.openxmlformats.org/officeDocument/2006/relationships/hyperlink" Target="https://docs.google.com/uc?export=download&amp;id=1Q6-iRussmkDYNKHGyzxNtdoJ1xlNDFmM" TargetMode="External"/><Relationship Id="rId85" Type="http://schemas.openxmlformats.org/officeDocument/2006/relationships/hyperlink" Target="https://docs.google.com/uc?export=download&amp;id=1S78Ji4yQTSsNTXHVD3agyXL8s-pN0Wmb" TargetMode="External"/><Relationship Id="rId88" Type="http://schemas.openxmlformats.org/officeDocument/2006/relationships/hyperlink" Target="https://docs.google.com/uc?export=download&amp;id=1qMUuLWed53GEdBjOTNhQuuKU_R30347G" TargetMode="External"/><Relationship Id="rId87" Type="http://schemas.openxmlformats.org/officeDocument/2006/relationships/hyperlink" Target="https://docs.google.com/uc?export=download&amp;id=1XFJ9Q4dKxVMt5Ez5h3k6xFIS_8BEWqMf" TargetMode="External"/><Relationship Id="rId89" Type="http://schemas.openxmlformats.org/officeDocument/2006/relationships/hyperlink" Target="https://docs.google.com/uc?export=download&amp;id=12D4B60y39VvoXHSNzG4dHJ__35uwBt5N" TargetMode="External"/><Relationship Id="rId80" Type="http://schemas.openxmlformats.org/officeDocument/2006/relationships/hyperlink" Target="https://docs.google.com/uc?export=download&amp;id=1muZwgYjuVNubrXwWNZcwe_TxRAl7VyA7" TargetMode="External"/><Relationship Id="rId82" Type="http://schemas.openxmlformats.org/officeDocument/2006/relationships/hyperlink" Target="https://docs.google.com/uc?export=download&amp;id=1P8hGMvJSSrCpQ6f0fSdznBVXpt1V4p1Y" TargetMode="External"/><Relationship Id="rId81" Type="http://schemas.openxmlformats.org/officeDocument/2006/relationships/hyperlink" Target="https://docs.google.com/uc?export=download&amp;id=1zGCoWxwlrq168rFxKlIjoTtIP3BYlwRg" TargetMode="External"/><Relationship Id="rId73" Type="http://schemas.openxmlformats.org/officeDocument/2006/relationships/hyperlink" Target="https://docs.google.com/uc?export=download&amp;id=1AuqYUSRyXTMpsUazHCgrNBOICfDYO-Jc" TargetMode="External"/><Relationship Id="rId72" Type="http://schemas.openxmlformats.org/officeDocument/2006/relationships/hyperlink" Target="https://docs.google.com/uc?export=download&amp;id=1rLeDeaLXx0V0w2OZdhSopLasxXb5ea3R" TargetMode="External"/><Relationship Id="rId75" Type="http://schemas.openxmlformats.org/officeDocument/2006/relationships/hyperlink" Target="https://docs.google.com/uc?export=download&amp;id=1bkRSV3Tc1_425SQHsuLsYOY0GsmXRhvn" TargetMode="External"/><Relationship Id="rId74" Type="http://schemas.openxmlformats.org/officeDocument/2006/relationships/hyperlink" Target="https://docs.google.com/uc?export=download&amp;id=1THOvYXn-MMB2878TeV3R8mQEHIllEx71" TargetMode="External"/><Relationship Id="rId77" Type="http://schemas.openxmlformats.org/officeDocument/2006/relationships/hyperlink" Target="https://docs.google.com/uc?export=download&amp;id=1QpXb-KLLJ5Dn69hC6cQCtSwqLmxUJ4eY" TargetMode="External"/><Relationship Id="rId76" Type="http://schemas.openxmlformats.org/officeDocument/2006/relationships/hyperlink" Target="https://docs.google.com/uc?export=download&amp;id=1YPq6mvh9NLykuwIS5K68wo32eVyk51f4" TargetMode="External"/><Relationship Id="rId79" Type="http://schemas.openxmlformats.org/officeDocument/2006/relationships/hyperlink" Target="https://docs.google.com/uc?export=download&amp;id=1reJFcOplH0vYP2fWsFRcZ8UTlmOXQeU1" TargetMode="External"/><Relationship Id="rId78" Type="http://schemas.openxmlformats.org/officeDocument/2006/relationships/hyperlink" Target="https://docs.google.com/uc?export=download&amp;id=1LEiOU0OlXlnz65ma2UNYUfL4pZM6Xia5" TargetMode="External"/><Relationship Id="rId71" Type="http://schemas.openxmlformats.org/officeDocument/2006/relationships/hyperlink" Target="https://docs.google.com/uc?export=download&amp;id=1HTvMeDTZ0b8ilb3TY5VVt-HHCOFVaE-7" TargetMode="External"/><Relationship Id="rId70" Type="http://schemas.openxmlformats.org/officeDocument/2006/relationships/hyperlink" Target="https://docs.google.com/uc?export=download&amp;id=19Y7nRWTwK2Bad9Rv9pMbT0Z1dFr-AHTq" TargetMode="External"/><Relationship Id="rId62" Type="http://schemas.openxmlformats.org/officeDocument/2006/relationships/hyperlink" Target="https://docs.google.com/uc?export=download&amp;id=1A7qDjHExj6usUM4YWZDEuRgkryHSAVBa" TargetMode="External"/><Relationship Id="rId61" Type="http://schemas.openxmlformats.org/officeDocument/2006/relationships/hyperlink" Target="https://docs.google.com/uc?export=download&amp;id=1srZvluljGcXSH2xokA8tad0bWkzec-tA" TargetMode="External"/><Relationship Id="rId64" Type="http://schemas.openxmlformats.org/officeDocument/2006/relationships/hyperlink" Target="https://docs.google.com/uc?export=download&amp;id=1e_Om75NbOy3zSGo0nbRPw9MFHd_fYuom" TargetMode="External"/><Relationship Id="rId63" Type="http://schemas.openxmlformats.org/officeDocument/2006/relationships/hyperlink" Target="https://docs.google.com/uc?export=download&amp;id=16b_VubxWMUlHsAHLarfWZ8pPDLM_4DHh" TargetMode="External"/><Relationship Id="rId66" Type="http://schemas.openxmlformats.org/officeDocument/2006/relationships/hyperlink" Target="https://docs.google.com/uc?export=download&amp;id=1JwVRXG5pTHrLyqvY5pMjlUxfyApjTOg5" TargetMode="External"/><Relationship Id="rId65" Type="http://schemas.openxmlformats.org/officeDocument/2006/relationships/hyperlink" Target="https://docs.google.com/uc?export=download&amp;id=1tE8_1Exk-EtY_-X0QFm5CC-VtkywA_OD" TargetMode="External"/><Relationship Id="rId68" Type="http://schemas.openxmlformats.org/officeDocument/2006/relationships/hyperlink" Target="https://docs.google.com/uc?export=download&amp;id=1sAiZY3y_O5JkOw7l8qA0L7Yi8moqgCij" TargetMode="External"/><Relationship Id="rId67" Type="http://schemas.openxmlformats.org/officeDocument/2006/relationships/hyperlink" Target="https://docs.google.com/uc?export=download&amp;id=17WN2Hvd3NA0RFG_1VRSf1AKxBjX0q-wv" TargetMode="External"/><Relationship Id="rId60" Type="http://schemas.openxmlformats.org/officeDocument/2006/relationships/hyperlink" Target="https://docs.google.com/uc?export=download&amp;id=1QHNldt3v6EeVszlaW60_8P4Gs-cF2wgk" TargetMode="External"/><Relationship Id="rId69" Type="http://schemas.openxmlformats.org/officeDocument/2006/relationships/hyperlink" Target="https://docs.google.com/uc?export=download&amp;id=1JmPgEu-yLeC_ZmQDAxBVfD4ezFgcHFyH" TargetMode="External"/><Relationship Id="rId51" Type="http://schemas.openxmlformats.org/officeDocument/2006/relationships/hyperlink" Target="https://docs.google.com/uc?export=download&amp;id=1HeHjKnBQuaamJDT2zQZYlTTZWtr-RoWG" TargetMode="External"/><Relationship Id="rId50" Type="http://schemas.openxmlformats.org/officeDocument/2006/relationships/hyperlink" Target="https://docs.google.com/uc?export=download&amp;id=1MNPiqM96vzf0BHvT9Jz5qWo8IaxtkBHH" TargetMode="External"/><Relationship Id="rId53" Type="http://schemas.openxmlformats.org/officeDocument/2006/relationships/hyperlink" Target="https://docs.google.com/uc?export=download&amp;id=1r8qHjX88vtke_8HqBSfYBM1jJ3gwvGC1" TargetMode="External"/><Relationship Id="rId52" Type="http://schemas.openxmlformats.org/officeDocument/2006/relationships/hyperlink" Target="https://docs.google.com/uc?export=download&amp;id=1d_Tx0zEqykL-QV021zIHbvPQwXkb9czH" TargetMode="External"/><Relationship Id="rId55" Type="http://schemas.openxmlformats.org/officeDocument/2006/relationships/hyperlink" Target="https://docs.google.com/uc?export=download&amp;id=1v7w73qH2zQkGbmVXBS_wnJ-mGz9STNjw" TargetMode="External"/><Relationship Id="rId54" Type="http://schemas.openxmlformats.org/officeDocument/2006/relationships/hyperlink" Target="https://docs.google.com/uc?export=download&amp;id=1V7fm1xAar22G9muFiU0TmIsdW5Pm_TMG" TargetMode="External"/><Relationship Id="rId57" Type="http://schemas.openxmlformats.org/officeDocument/2006/relationships/hyperlink" Target="https://docs.google.com/uc?export=download&amp;id=1pdX0b7zbfkCALMdcscRAhN0OSt_eCOxU" TargetMode="External"/><Relationship Id="rId56" Type="http://schemas.openxmlformats.org/officeDocument/2006/relationships/hyperlink" Target="https://docs.google.com/uc?export=download&amp;id=17XM9wiN-8-Nx6jKz_zJ9BignlY9PQ6Ty" TargetMode="External"/><Relationship Id="rId59" Type="http://schemas.openxmlformats.org/officeDocument/2006/relationships/hyperlink" Target="https://docs.google.com/uc?export=download&amp;id=1Cj87HPvKi5y-k-PLzsT5qM3TOJJ4UT63" TargetMode="External"/><Relationship Id="rId58" Type="http://schemas.openxmlformats.org/officeDocument/2006/relationships/hyperlink" Target="https://docs.google.com/uc?export=download&amp;id=1JqrLr5wTgwMdroOsBO96kPajfe62ysA5" TargetMode="External"/><Relationship Id="rId349" Type="http://schemas.openxmlformats.org/officeDocument/2006/relationships/hyperlink" Target="https://docs.google.com/uc?export=download&amp;id=14FaBw3HvNM18RSUu6j2CbnFG7ayv27Uq" TargetMode="External"/><Relationship Id="rId348" Type="http://schemas.openxmlformats.org/officeDocument/2006/relationships/hyperlink" Target="https://docs.google.com/uc?export=download&amp;id=10Dto64-S-3sCaVyC7cTgAz6c8ibUaxo1" TargetMode="External"/><Relationship Id="rId347" Type="http://schemas.openxmlformats.org/officeDocument/2006/relationships/hyperlink" Target="https://docs.google.com/uc?export=download&amp;id=1eId7TbuNCdvALnGlUrEYMnCPKxwzkFm-" TargetMode="External"/><Relationship Id="rId346" Type="http://schemas.openxmlformats.org/officeDocument/2006/relationships/hyperlink" Target="https://docs.google.com/uc?export=download&amp;id=1x3_5pJMtAQfJ-IiMTP7xI16RfKxKneV3" TargetMode="External"/><Relationship Id="rId341" Type="http://schemas.openxmlformats.org/officeDocument/2006/relationships/hyperlink" Target="https://docs.google.com/uc?export=download&amp;id=1Nf9wJppUN6Wm3TKIwgYgYAnTRS0BxwK8" TargetMode="External"/><Relationship Id="rId340" Type="http://schemas.openxmlformats.org/officeDocument/2006/relationships/hyperlink" Target="https://docs.google.com/uc?export=download&amp;id=13wmH5ncMZIbS8R1aWDs2DGiqeHuEIKG2" TargetMode="External"/><Relationship Id="rId345" Type="http://schemas.openxmlformats.org/officeDocument/2006/relationships/hyperlink" Target="https://docs.google.com/uc?export=download&amp;id=1u12PoLucaB2yRTHtq81GgE_iFWBVI6sj" TargetMode="External"/><Relationship Id="rId344" Type="http://schemas.openxmlformats.org/officeDocument/2006/relationships/hyperlink" Target="https://docs.google.com/uc?export=download&amp;id=1asAgcYvs2Tnjk-sIB9NrNSXsQUECpUht" TargetMode="External"/><Relationship Id="rId343" Type="http://schemas.openxmlformats.org/officeDocument/2006/relationships/hyperlink" Target="https://docs.google.com/uc?export=download&amp;id=1QNjb_DV9I3FpZ6y2hBeATimTT_lgOXxL" TargetMode="External"/><Relationship Id="rId342" Type="http://schemas.openxmlformats.org/officeDocument/2006/relationships/hyperlink" Target="https://docs.google.com/uc?export=download&amp;id=1IKGB-iazl5EevY3RpgoBvmRfV9R4lkLl" TargetMode="External"/><Relationship Id="rId338" Type="http://schemas.openxmlformats.org/officeDocument/2006/relationships/hyperlink" Target="https://docs.google.com/uc?export=download&amp;id=13tJhhtpKF1BssY9nC7VqZMj04m7UCK2b" TargetMode="External"/><Relationship Id="rId337" Type="http://schemas.openxmlformats.org/officeDocument/2006/relationships/hyperlink" Target="https://docs.google.com/uc?export=download&amp;id=1XiRjmlm1EMVrUTuVZPWwSiUW2EHEOTww" TargetMode="External"/><Relationship Id="rId336" Type="http://schemas.openxmlformats.org/officeDocument/2006/relationships/hyperlink" Target="https://docs.google.com/uc?export=download&amp;id=1PiaA9LaIGDMDc0HQxHvJRLqVhd9yYguJ" TargetMode="External"/><Relationship Id="rId335" Type="http://schemas.openxmlformats.org/officeDocument/2006/relationships/hyperlink" Target="https://docs.google.com/uc?export=download&amp;id=1z_eQlYUJvZ3FmYkv97dEKutu7S3crFde" TargetMode="External"/><Relationship Id="rId339" Type="http://schemas.openxmlformats.org/officeDocument/2006/relationships/hyperlink" Target="https://docs.google.com/uc?export=download&amp;id=1ViHqqQ6e0eZsJaMArVMg6hlYWxJQyWUI" TargetMode="External"/><Relationship Id="rId330" Type="http://schemas.openxmlformats.org/officeDocument/2006/relationships/hyperlink" Target="https://docs.google.com/uc?export=download&amp;id=1DDC9o3o0ls5i7hkfboSMhgMOIigFGv1m" TargetMode="External"/><Relationship Id="rId334" Type="http://schemas.openxmlformats.org/officeDocument/2006/relationships/hyperlink" Target="https://docs.google.com/uc?export=download&amp;id=1sSjpvYCq8SvTyMaUprq3F5g-R4IFP6f6" TargetMode="External"/><Relationship Id="rId333" Type="http://schemas.openxmlformats.org/officeDocument/2006/relationships/hyperlink" Target="https://docs.google.com/uc?export=download&amp;id=1YrZbC5BeaiSXxhQcW1AYWPtBxA8QB0gZ" TargetMode="External"/><Relationship Id="rId332" Type="http://schemas.openxmlformats.org/officeDocument/2006/relationships/hyperlink" Target="https://docs.google.com/uc?export=download&amp;id=1R5U58wMHaGU4CjHayLQthbhu6btpcEKK" TargetMode="External"/><Relationship Id="rId331" Type="http://schemas.openxmlformats.org/officeDocument/2006/relationships/hyperlink" Target="https://docs.google.com/uc?export=download&amp;id=1uy6LLthSVxjaKtTqzMEQrJYVb1dhFNDP" TargetMode="External"/><Relationship Id="rId370" Type="http://schemas.openxmlformats.org/officeDocument/2006/relationships/hyperlink" Target="https://docs.google.com/uc?export=download&amp;id=1hQkWZVOpsO9npz-Ui5o3oZdZPQJG4aTP" TargetMode="External"/><Relationship Id="rId369" Type="http://schemas.openxmlformats.org/officeDocument/2006/relationships/hyperlink" Target="https://docs.google.com/uc?export=download&amp;id=1Yj6hRIQr1HlCKDMa3w3Y4VVAFh43ShEh" TargetMode="External"/><Relationship Id="rId368" Type="http://schemas.openxmlformats.org/officeDocument/2006/relationships/hyperlink" Target="https://docs.google.com/uc?export=download&amp;id=1-rxdFD5RhVDElN5VqVCJuA2041i263bD" TargetMode="External"/><Relationship Id="rId363" Type="http://schemas.openxmlformats.org/officeDocument/2006/relationships/hyperlink" Target="https://docs.google.com/uc?export=download&amp;id=1Srp_d5ixOe7x-9eyCEGWKGnbLfzuhk5r" TargetMode="External"/><Relationship Id="rId362" Type="http://schemas.openxmlformats.org/officeDocument/2006/relationships/hyperlink" Target="https://docs.google.com/uc?export=download&amp;id=18dMHfTFupQc7whjpnDJuxrozh-CvpkCF" TargetMode="External"/><Relationship Id="rId361" Type="http://schemas.openxmlformats.org/officeDocument/2006/relationships/hyperlink" Target="https://docs.google.com/uc?export=download&amp;id=1OVuDLPT-O6u5jeOgxSLNn6Wxp92ghYHp" TargetMode="External"/><Relationship Id="rId360" Type="http://schemas.openxmlformats.org/officeDocument/2006/relationships/hyperlink" Target="https://docs.google.com/uc?export=download&amp;id=1E-8xwzqK3N7zgbh1D6k6stIVWgT1mlJn" TargetMode="External"/><Relationship Id="rId367" Type="http://schemas.openxmlformats.org/officeDocument/2006/relationships/hyperlink" Target="https://docs.google.com/uc?export=download&amp;id=10LA2DrXwb62mvzWvLv2XsWReWIVcZCOs" TargetMode="External"/><Relationship Id="rId366" Type="http://schemas.openxmlformats.org/officeDocument/2006/relationships/hyperlink" Target="https://docs.google.com/uc?export=download&amp;id=1Poow1UIrf6IYQpC9HGu-uZceeQFDLzGM" TargetMode="External"/><Relationship Id="rId365" Type="http://schemas.openxmlformats.org/officeDocument/2006/relationships/hyperlink" Target="https://docs.google.com/uc?export=download&amp;id=1S6zYDIVT8Wyq98Qlm1QrYlXyHABmEO_Z" TargetMode="External"/><Relationship Id="rId364" Type="http://schemas.openxmlformats.org/officeDocument/2006/relationships/hyperlink" Target="https://docs.google.com/uc?export=download&amp;id=1WA59MeVUCUpbbMG47bf20KXyYBvpB1ZR" TargetMode="External"/><Relationship Id="rId95" Type="http://schemas.openxmlformats.org/officeDocument/2006/relationships/hyperlink" Target="https://docs.google.com/uc?export=download&amp;id=1Zg4oNFdSy0VB9w0pDwBIytX3-wTaUr1f" TargetMode="External"/><Relationship Id="rId94" Type="http://schemas.openxmlformats.org/officeDocument/2006/relationships/hyperlink" Target="https://docs.google.com/uc?export=download&amp;id=1ZfTgV_daRp7K1SqTz6HBtQgE2WJlk8xB" TargetMode="External"/><Relationship Id="rId97" Type="http://schemas.openxmlformats.org/officeDocument/2006/relationships/hyperlink" Target="https://docs.google.com/uc?export=download&amp;id=1IqPsINXbajzoGyjZ_y_pJkwHSCEaszxQ" TargetMode="External"/><Relationship Id="rId96" Type="http://schemas.openxmlformats.org/officeDocument/2006/relationships/hyperlink" Target="https://docs.google.com/uc?export=download&amp;id=1t9J3fgrj318tJw4igdsVRuSf-D86hBK3" TargetMode="External"/><Relationship Id="rId99" Type="http://schemas.openxmlformats.org/officeDocument/2006/relationships/hyperlink" Target="https://docs.google.com/uc?export=download&amp;id=16cad194E_EvXgIZgZYscZe84ox_yodYD" TargetMode="External"/><Relationship Id="rId98" Type="http://schemas.openxmlformats.org/officeDocument/2006/relationships/hyperlink" Target="https://docs.google.com/uc?export=download&amp;id=16aIPLom8oSlWV5i4ZfTR4P6RztYHSGsd" TargetMode="External"/><Relationship Id="rId91" Type="http://schemas.openxmlformats.org/officeDocument/2006/relationships/hyperlink" Target="https://docs.google.com/uc?export=download&amp;id=1gpMYHwRcbFV4Q1vpuhCINd_iFkpbbEv7" TargetMode="External"/><Relationship Id="rId90" Type="http://schemas.openxmlformats.org/officeDocument/2006/relationships/hyperlink" Target="https://docs.google.com/uc?export=download&amp;id=1PQXCdYA93lqOPBP6wBUr1j-WlvIcyBKf" TargetMode="External"/><Relationship Id="rId93" Type="http://schemas.openxmlformats.org/officeDocument/2006/relationships/hyperlink" Target="https://docs.google.com/uc?export=download&amp;id=1L4JTcc8KDbIzurUgPGRsm6nfrBjPf23A" TargetMode="External"/><Relationship Id="rId92" Type="http://schemas.openxmlformats.org/officeDocument/2006/relationships/hyperlink" Target="https://docs.google.com/uc?export=download&amp;id=1kaeRdIr3FnuQvL9wPqVfQDFFt4qFS0r6" TargetMode="External"/><Relationship Id="rId359" Type="http://schemas.openxmlformats.org/officeDocument/2006/relationships/hyperlink" Target="https://docs.google.com/uc?export=download&amp;id=1Q7bqndvDsIYbphvZKg5FAf4vlbp1UfRo" TargetMode="External"/><Relationship Id="rId358" Type="http://schemas.openxmlformats.org/officeDocument/2006/relationships/hyperlink" Target="https://docs.google.com/uc?export=download&amp;id=1OqJiPYE2IKyjrfPU4uYiRFbFPKyukK3G" TargetMode="External"/><Relationship Id="rId357" Type="http://schemas.openxmlformats.org/officeDocument/2006/relationships/hyperlink" Target="https://docs.google.com/uc?export=download&amp;id=1QKlxUlOkpTjKczrDZS857yf1x5cv74rW" TargetMode="External"/><Relationship Id="rId352" Type="http://schemas.openxmlformats.org/officeDocument/2006/relationships/hyperlink" Target="https://docs.google.com/uc?export=download&amp;id=10VlwmXZJOAW062RLzQqRCCZtyYtYwrha" TargetMode="External"/><Relationship Id="rId351" Type="http://schemas.openxmlformats.org/officeDocument/2006/relationships/hyperlink" Target="https://docs.google.com/uc?export=download&amp;id=1bbnD0nSZ_ocFBi5oRw9xeRwVViSfGnYo" TargetMode="External"/><Relationship Id="rId350" Type="http://schemas.openxmlformats.org/officeDocument/2006/relationships/hyperlink" Target="https://docs.google.com/uc?export=download&amp;id=1BSUZZQrpwVe2vtR7NMmde5nt2_kYbDBC" TargetMode="External"/><Relationship Id="rId356" Type="http://schemas.openxmlformats.org/officeDocument/2006/relationships/hyperlink" Target="https://docs.google.com/uc?export=download&amp;id=1t81JqBJyufIod85V-KyubApCj5BwIP2a" TargetMode="External"/><Relationship Id="rId355" Type="http://schemas.openxmlformats.org/officeDocument/2006/relationships/hyperlink" Target="https://docs.google.com/uc?export=download&amp;id=1wB9-QWXHagH922wH8dpbDSBzDx9T6g5A" TargetMode="External"/><Relationship Id="rId354" Type="http://schemas.openxmlformats.org/officeDocument/2006/relationships/hyperlink" Target="https://docs.google.com/uc?export=download&amp;id=1mnkpYOYr_V9ozUeKfazZCQTKcBQGVLbF" TargetMode="External"/><Relationship Id="rId353" Type="http://schemas.openxmlformats.org/officeDocument/2006/relationships/hyperlink" Target="https://docs.google.com/uc?export=download&amp;id=1UNZUBvI54SOOhrE-ImLxX3YJ5lHv80Ji" TargetMode="External"/><Relationship Id="rId305" Type="http://schemas.openxmlformats.org/officeDocument/2006/relationships/hyperlink" Target="https://docs.google.com/uc?export=download&amp;id=1F8KFsGmmQtngwGgVLm9SoZZ09V3hJ1uD" TargetMode="External"/><Relationship Id="rId304" Type="http://schemas.openxmlformats.org/officeDocument/2006/relationships/hyperlink" Target="https://docs.google.com/uc?export=download&amp;id=1Dj0Sl97QaQnjvacgIYz203dquWmdT8qU" TargetMode="External"/><Relationship Id="rId303" Type="http://schemas.openxmlformats.org/officeDocument/2006/relationships/hyperlink" Target="https://docs.google.com/uc?export=download&amp;id=1s6Xxten1LVMzXKTH9DgE5eBtvou7Uqww" TargetMode="External"/><Relationship Id="rId302" Type="http://schemas.openxmlformats.org/officeDocument/2006/relationships/hyperlink" Target="https://docs.google.com/uc?export=download&amp;id=16tK-KMupAQ-mRw9oBXaxLs6CQnm79csL" TargetMode="External"/><Relationship Id="rId309" Type="http://schemas.openxmlformats.org/officeDocument/2006/relationships/hyperlink" Target="https://docs.google.com/uc?export=download&amp;id=1I2luj11RUrtlB3CkfOFchi4tr_cZpb2U" TargetMode="External"/><Relationship Id="rId308" Type="http://schemas.openxmlformats.org/officeDocument/2006/relationships/hyperlink" Target="https://docs.google.com/uc?export=download&amp;id=1E1uR3gEi8g38THMP0P6hl5ks-acj5INC" TargetMode="External"/><Relationship Id="rId307" Type="http://schemas.openxmlformats.org/officeDocument/2006/relationships/hyperlink" Target="https://docs.google.com/uc?export=download&amp;id=1TLUmneVIod6ASlLtiUUNjg9T2Aor0AOO" TargetMode="External"/><Relationship Id="rId306" Type="http://schemas.openxmlformats.org/officeDocument/2006/relationships/hyperlink" Target="https://docs.google.com/uc?export=download&amp;id=1DHaL8ecgoEkH6H9Sq9cLQiK8NyYN2C7u" TargetMode="External"/><Relationship Id="rId301" Type="http://schemas.openxmlformats.org/officeDocument/2006/relationships/hyperlink" Target="https://docs.google.com/uc?export=download&amp;id=1jywYgD1OK888WgWlX6AZyTwdGWzLKR56" TargetMode="External"/><Relationship Id="rId300" Type="http://schemas.openxmlformats.org/officeDocument/2006/relationships/hyperlink" Target="https://docs.google.com/uc?export=download&amp;id=14SBjEjixC086hDUkNr9rX4-TCk4Bl4M6" TargetMode="External"/><Relationship Id="rId327" Type="http://schemas.openxmlformats.org/officeDocument/2006/relationships/hyperlink" Target="https://docs.google.com/uc?export=download&amp;id=1Z9TLIAIEnAOySla7uhmqx3wVi_qUeagm" TargetMode="External"/><Relationship Id="rId326" Type="http://schemas.openxmlformats.org/officeDocument/2006/relationships/hyperlink" Target="https://docs.google.com/uc?export=download&amp;id=1o4nP-VchT1ufE3pWgK6D-_F3HyuLMFyw" TargetMode="External"/><Relationship Id="rId325" Type="http://schemas.openxmlformats.org/officeDocument/2006/relationships/hyperlink" Target="https://docs.google.com/uc?export=download&amp;id=16jb_3DNnVthqFb4vvwBsZUa_Pgg-681G" TargetMode="External"/><Relationship Id="rId324" Type="http://schemas.openxmlformats.org/officeDocument/2006/relationships/hyperlink" Target="https://docs.google.com/uc?export=download&amp;id=11o2117wgkXFTXfyLQhInUfHx8qi3_cQK" TargetMode="External"/><Relationship Id="rId329" Type="http://schemas.openxmlformats.org/officeDocument/2006/relationships/hyperlink" Target="https://docs.google.com/uc?export=download&amp;id=17XZ55nAKfsE_ixL07o02VGP0AeSvmpr2" TargetMode="External"/><Relationship Id="rId328" Type="http://schemas.openxmlformats.org/officeDocument/2006/relationships/hyperlink" Target="https://docs.google.com/uc?export=download&amp;id=1Q8V0YavPoB65-L0MmkU9mtzmY4r-61gm" TargetMode="External"/><Relationship Id="rId323" Type="http://schemas.openxmlformats.org/officeDocument/2006/relationships/hyperlink" Target="https://docs.google.com/uc?export=download&amp;id=1FzyYFJreka27-BAYPREnxNRhx5fgVKzw" TargetMode="External"/><Relationship Id="rId322" Type="http://schemas.openxmlformats.org/officeDocument/2006/relationships/hyperlink" Target="https://docs.google.com/uc?export=download&amp;id=1JO8poPMy8gHDpDuqkjiuqGvJ9Gtmu8FX" TargetMode="External"/><Relationship Id="rId321" Type="http://schemas.openxmlformats.org/officeDocument/2006/relationships/hyperlink" Target="https://docs.google.com/uc?export=download&amp;id=1n27sjx7zXt00sSTapCAf9lxvrU5sc8cU" TargetMode="External"/><Relationship Id="rId320" Type="http://schemas.openxmlformats.org/officeDocument/2006/relationships/hyperlink" Target="https://docs.google.com/uc?export=download&amp;id=1Bp-Q8u4EBK4rmJmaWCKU5JdumZgbi1uQ" TargetMode="External"/><Relationship Id="rId316" Type="http://schemas.openxmlformats.org/officeDocument/2006/relationships/hyperlink" Target="https://docs.google.com/uc?export=download&amp;id=1rD1Pn1ouOiklfcVsyoNGaKG6rV_g9c5k" TargetMode="External"/><Relationship Id="rId315" Type="http://schemas.openxmlformats.org/officeDocument/2006/relationships/hyperlink" Target="https://docs.google.com/uc?export=download&amp;id=1NvgJF-0liWp96idx4B8Xz3V6hZhn5Dtc" TargetMode="External"/><Relationship Id="rId314" Type="http://schemas.openxmlformats.org/officeDocument/2006/relationships/hyperlink" Target="https://docs.google.com/uc?export=download&amp;id=1H1WYeEqL6S99KxIXY1HAtKHlxZaejn8I" TargetMode="External"/><Relationship Id="rId313" Type="http://schemas.openxmlformats.org/officeDocument/2006/relationships/hyperlink" Target="https://docs.google.com/uc?export=download&amp;id=1dxQgXRjGw5_52uwGDmCGoAzihm0bOVLY" TargetMode="External"/><Relationship Id="rId319" Type="http://schemas.openxmlformats.org/officeDocument/2006/relationships/hyperlink" Target="https://docs.google.com/uc?export=download&amp;id=1wkaBCYnCidV3GgYbeefs5vi0WKotVsdS" TargetMode="External"/><Relationship Id="rId318" Type="http://schemas.openxmlformats.org/officeDocument/2006/relationships/hyperlink" Target="https://docs.google.com/uc?export=download&amp;id=17rkaQDqmuSbBuEFQ42T6vQ0KlGd4LTBa" TargetMode="External"/><Relationship Id="rId317" Type="http://schemas.openxmlformats.org/officeDocument/2006/relationships/hyperlink" Target="https://docs.google.com/uc?export=download&amp;id=1SS2csh_--WSf6FJ4qB1yKPmCF3-HXDga" TargetMode="External"/><Relationship Id="rId312" Type="http://schemas.openxmlformats.org/officeDocument/2006/relationships/hyperlink" Target="https://docs.google.com/uc?export=download&amp;id=1wH-M6IUgGVUkZywq647GHMhnvziBCetY" TargetMode="External"/><Relationship Id="rId311" Type="http://schemas.openxmlformats.org/officeDocument/2006/relationships/hyperlink" Target="https://docs.google.com/uc?export=download&amp;id=1ByVc0EZ04Nbbjt2Ckmw29ilnsSAdBHnS" TargetMode="External"/><Relationship Id="rId310" Type="http://schemas.openxmlformats.org/officeDocument/2006/relationships/hyperlink" Target="https://docs.google.com/uc?export=download&amp;id=1p-FJ2QDF3cU1f3hn8LaOFq7VmUIeS7QG" TargetMode="External"/><Relationship Id="rId297" Type="http://schemas.openxmlformats.org/officeDocument/2006/relationships/hyperlink" Target="https://docs.google.com/uc?export=download&amp;id=1MB5nxsX_Ihbm1GMBECiaBqemJkdRbTnS" TargetMode="External"/><Relationship Id="rId296" Type="http://schemas.openxmlformats.org/officeDocument/2006/relationships/hyperlink" Target="https://docs.google.com/uc?export=download&amp;id=1ZS_ugLqFTA7nR_n45M9uU691ZX8NNn97" TargetMode="External"/><Relationship Id="rId295" Type="http://schemas.openxmlformats.org/officeDocument/2006/relationships/hyperlink" Target="https://docs.google.com/uc?export=download&amp;id=1f7zCK6pspiyIAo_T_-bW8f-US8ypGid4" TargetMode="External"/><Relationship Id="rId294" Type="http://schemas.openxmlformats.org/officeDocument/2006/relationships/hyperlink" Target="https://docs.google.com/uc?export=download&amp;id=1nfJWMCoWYxgPLskVrJ07XFl2CeTm36Ky" TargetMode="External"/><Relationship Id="rId299" Type="http://schemas.openxmlformats.org/officeDocument/2006/relationships/hyperlink" Target="https://docs.google.com/uc?export=download&amp;id=1F5uOg1l32e38J6SNZFYMm3hx1_hyVx-C" TargetMode="External"/><Relationship Id="rId298" Type="http://schemas.openxmlformats.org/officeDocument/2006/relationships/hyperlink" Target="https://docs.google.com/uc?export=download&amp;id=1azbbirCCTgDKXyIFRpRVvyCAu2RTh1sP" TargetMode="External"/><Relationship Id="rId271" Type="http://schemas.openxmlformats.org/officeDocument/2006/relationships/hyperlink" Target="https://docs.google.com/uc?export=download&amp;id=1v5b2GD6BGeYWa8cAQy5bVgfwhQqVT7kJ" TargetMode="External"/><Relationship Id="rId270" Type="http://schemas.openxmlformats.org/officeDocument/2006/relationships/hyperlink" Target="https://docs.google.com/uc?export=download&amp;id=1DOV4LpFv8DgEv1Gec-pX-a2yhBAkFBe4" TargetMode="External"/><Relationship Id="rId269" Type="http://schemas.openxmlformats.org/officeDocument/2006/relationships/hyperlink" Target="https://docs.google.com/uc?export=download&amp;id=1OCc9DdQCzjv6CurTHk8fJXe5bNPWRJRl" TargetMode="External"/><Relationship Id="rId264" Type="http://schemas.openxmlformats.org/officeDocument/2006/relationships/hyperlink" Target="https://docs.google.com/uc?export=download&amp;id=1ADzENOuT8ckuZ_KYyERQ-Je7mFj49EM0" TargetMode="External"/><Relationship Id="rId263" Type="http://schemas.openxmlformats.org/officeDocument/2006/relationships/hyperlink" Target="https://docs.google.com/uc?export=download&amp;id=1LjsSknbZWx7z6EoMBTbbNJd1OoI7u2eH" TargetMode="External"/><Relationship Id="rId262" Type="http://schemas.openxmlformats.org/officeDocument/2006/relationships/hyperlink" Target="https://docs.google.com/uc?export=download&amp;id=1w_NWf2mpe1U-Ph9Cm7gMiBkkpRqzQDWf" TargetMode="External"/><Relationship Id="rId261" Type="http://schemas.openxmlformats.org/officeDocument/2006/relationships/hyperlink" Target="https://docs.google.com/uc?export=download&amp;id=1OKmoZ5YVR-ImUgvYYpCS3gPFnBPOVSb2" TargetMode="External"/><Relationship Id="rId268" Type="http://schemas.openxmlformats.org/officeDocument/2006/relationships/hyperlink" Target="https://docs.google.com/uc?export=download&amp;id=1bXtpIxwOYTyXTrjH1TXTdNYbzKa-x8am" TargetMode="External"/><Relationship Id="rId267" Type="http://schemas.openxmlformats.org/officeDocument/2006/relationships/hyperlink" Target="https://docs.google.com/uc?export=download&amp;id=1eSfuGaqvtr-ZbzQ3iQOoWMi0up32GycY" TargetMode="External"/><Relationship Id="rId266" Type="http://schemas.openxmlformats.org/officeDocument/2006/relationships/hyperlink" Target="https://docs.google.com/uc?export=download&amp;id=1MVUr9w76nu3ParVZA1YIxlfGXPphuYwR" TargetMode="External"/><Relationship Id="rId265" Type="http://schemas.openxmlformats.org/officeDocument/2006/relationships/hyperlink" Target="https://docs.google.com/uc?export=download&amp;id=1g9dZuqQKLyjXy7_V_61z9-mIgBJz7cvR" TargetMode="External"/><Relationship Id="rId260" Type="http://schemas.openxmlformats.org/officeDocument/2006/relationships/hyperlink" Target="https://docs.google.com/uc?export=download&amp;id=1Moi6StrBqUAACzjw4w88YVhcK44UWuxj" TargetMode="External"/><Relationship Id="rId259" Type="http://schemas.openxmlformats.org/officeDocument/2006/relationships/hyperlink" Target="https://docs.google.com/uc?export=download&amp;id=1Kcx4G3J8wcLPLHnD23gziZlzSeb9F7Dq" TargetMode="External"/><Relationship Id="rId258" Type="http://schemas.openxmlformats.org/officeDocument/2006/relationships/hyperlink" Target="https://docs.google.com/uc?export=download&amp;id=18jYae_2oMP-IeAE3GVZgQqed6xcWwLwh" TargetMode="External"/><Relationship Id="rId253" Type="http://schemas.openxmlformats.org/officeDocument/2006/relationships/hyperlink" Target="https://docs.google.com/uc?export=download&amp;id=1HAQLHkZcXyWB7PZZbUSOLsgWjmwz5v5F" TargetMode="External"/><Relationship Id="rId252" Type="http://schemas.openxmlformats.org/officeDocument/2006/relationships/hyperlink" Target="https://docs.google.com/uc?export=download&amp;id=1dr0Q9msXSXDzaGZLLbnHzMKsBxU-tdC8" TargetMode="External"/><Relationship Id="rId251" Type="http://schemas.openxmlformats.org/officeDocument/2006/relationships/hyperlink" Target="https://docs.google.com/uc?export=download&amp;id=1PNtH_f3XgaG-9J8Hk8Xo42JdEVWHfYFs" TargetMode="External"/><Relationship Id="rId250" Type="http://schemas.openxmlformats.org/officeDocument/2006/relationships/hyperlink" Target="https://docs.google.com/uc?export=download&amp;id=1Rr-92JJCYAuDnpgdEyxRlkUg_qqvMRIq" TargetMode="External"/><Relationship Id="rId257" Type="http://schemas.openxmlformats.org/officeDocument/2006/relationships/hyperlink" Target="https://docs.google.com/uc?export=download&amp;id=1PEBHIYdvcrxNAO_PmYkkM-kBx1nUXZ_z" TargetMode="External"/><Relationship Id="rId256" Type="http://schemas.openxmlformats.org/officeDocument/2006/relationships/hyperlink" Target="https://docs.google.com/uc?export=download&amp;id=1VQvV03Dwv9pcxlwElVYJcM2moyOkVvY5" TargetMode="External"/><Relationship Id="rId255" Type="http://schemas.openxmlformats.org/officeDocument/2006/relationships/hyperlink" Target="https://docs.google.com/uc?export=download&amp;id=1KDay5BC9Oim0XqF0-Fg5L3H47E0_XIjR" TargetMode="External"/><Relationship Id="rId254" Type="http://schemas.openxmlformats.org/officeDocument/2006/relationships/hyperlink" Target="https://docs.google.com/uc?export=download&amp;id=1iHjGR3k06ZEEr05iuhs0JenMOk8vxzR9" TargetMode="External"/><Relationship Id="rId293" Type="http://schemas.openxmlformats.org/officeDocument/2006/relationships/hyperlink" Target="https://docs.google.com/uc?export=download&amp;id=1dtjwLUQ37d3yfL4NL30izVnnGIcd_Wxd" TargetMode="External"/><Relationship Id="rId292" Type="http://schemas.openxmlformats.org/officeDocument/2006/relationships/hyperlink" Target="https://docs.google.com/uc?export=download&amp;id=1Jy4obHs_GqXa9nAZjl9d9jOy4cswEYIc" TargetMode="External"/><Relationship Id="rId291" Type="http://schemas.openxmlformats.org/officeDocument/2006/relationships/hyperlink" Target="https://docs.google.com/uc?export=download&amp;id=1DBDMPQSPAAUPz06MI8NPUfiF3KGhc_D8" TargetMode="External"/><Relationship Id="rId290" Type="http://schemas.openxmlformats.org/officeDocument/2006/relationships/hyperlink" Target="https://docs.google.com/uc?export=download&amp;id=1xWjlfSohn0VLAydAFz68YLk62p5ZD90D" TargetMode="External"/><Relationship Id="rId286" Type="http://schemas.openxmlformats.org/officeDocument/2006/relationships/hyperlink" Target="https://docs.google.com/uc?export=download&amp;id=1NULf1x12Lj3Jw63iych6kxDlNRGbQdfQ" TargetMode="External"/><Relationship Id="rId285" Type="http://schemas.openxmlformats.org/officeDocument/2006/relationships/hyperlink" Target="https://docs.google.com/uc?export=download&amp;id=1RyPZOHknRg8NQTEHEbQusdyBYwpQHpOr" TargetMode="External"/><Relationship Id="rId284" Type="http://schemas.openxmlformats.org/officeDocument/2006/relationships/hyperlink" Target="https://docs.google.com/uc?export=download&amp;id=18dEp0LKGlC7P5uILTcnSFWnWTRX8dQ05" TargetMode="External"/><Relationship Id="rId283" Type="http://schemas.openxmlformats.org/officeDocument/2006/relationships/hyperlink" Target="https://docs.google.com/uc?export=download&amp;id=10DTGOlZ1_Hw1CRY5kzsVN6B5JUUJJOt6" TargetMode="External"/><Relationship Id="rId289" Type="http://schemas.openxmlformats.org/officeDocument/2006/relationships/hyperlink" Target="https://docs.google.com/uc?export=download&amp;id=14zLCMq5hch_l8DLanpLjzN29qha6359y" TargetMode="External"/><Relationship Id="rId288" Type="http://schemas.openxmlformats.org/officeDocument/2006/relationships/hyperlink" Target="https://docs.google.com/uc?export=download&amp;id=1dx1r6YeJP76qZ1VMzf1Rtvd8SV5e7VFZ" TargetMode="External"/><Relationship Id="rId287" Type="http://schemas.openxmlformats.org/officeDocument/2006/relationships/hyperlink" Target="https://docs.google.com/uc?export=download&amp;id=1b85bUpA9BLSe10IuYywddsTIBRXUvQVf" TargetMode="External"/><Relationship Id="rId282" Type="http://schemas.openxmlformats.org/officeDocument/2006/relationships/hyperlink" Target="https://docs.google.com/uc?export=download&amp;id=12HiAiNR4ygN8Lv535GagNcDvPaNFVCOg" TargetMode="External"/><Relationship Id="rId281" Type="http://schemas.openxmlformats.org/officeDocument/2006/relationships/hyperlink" Target="https://docs.google.com/uc?export=download&amp;id=1QLP5RSfEkDosM7Dq7XPZxD4qJfGxkFxU" TargetMode="External"/><Relationship Id="rId280" Type="http://schemas.openxmlformats.org/officeDocument/2006/relationships/hyperlink" Target="https://docs.google.com/uc?export=download&amp;id=1Y-tKdk73LrRqBFUFiten3Y5eCcxuYc-I" TargetMode="External"/><Relationship Id="rId275" Type="http://schemas.openxmlformats.org/officeDocument/2006/relationships/hyperlink" Target="https://docs.google.com/uc?export=download&amp;id=1qcez0fJOPQVzvQMpNd40uetHT5RGOMir" TargetMode="External"/><Relationship Id="rId274" Type="http://schemas.openxmlformats.org/officeDocument/2006/relationships/hyperlink" Target="https://docs.google.com/uc?export=download&amp;id=1mnTjtbdEATXxdKDIl8GGswQ1d8W7g3xt" TargetMode="External"/><Relationship Id="rId273" Type="http://schemas.openxmlformats.org/officeDocument/2006/relationships/hyperlink" Target="https://docs.google.com/uc?export=download&amp;id=1aVA2oxRCQMH-0wk0ZM8GSUsSq7MvPieN" TargetMode="External"/><Relationship Id="rId272" Type="http://schemas.openxmlformats.org/officeDocument/2006/relationships/hyperlink" Target="https://docs.google.com/uc?export=download&amp;id=1zW9wFXv2kkyFGcs1m86Tbl_vqwuXxw-q" TargetMode="External"/><Relationship Id="rId279" Type="http://schemas.openxmlformats.org/officeDocument/2006/relationships/hyperlink" Target="https://docs.google.com/uc?export=download&amp;id=1piGUrXNJC_iLKSdE6g2adwWJ9N-hni_Q" TargetMode="External"/><Relationship Id="rId278" Type="http://schemas.openxmlformats.org/officeDocument/2006/relationships/hyperlink" Target="https://docs.google.com/uc?export=download&amp;id=1efomLz5w_hEBXxWUVJEvn_JImpb9uPUP" TargetMode="External"/><Relationship Id="rId277" Type="http://schemas.openxmlformats.org/officeDocument/2006/relationships/hyperlink" Target="https://docs.google.com/uc?export=download&amp;id=1JePFLKxz1Up3M9rprYku344JK-qjzTAB" TargetMode="External"/><Relationship Id="rId276" Type="http://schemas.openxmlformats.org/officeDocument/2006/relationships/hyperlink" Target="https://docs.google.com/uc?export=download&amp;id=1zzacUi6Ho4WVAJQC3fZThmqI7a_PLEFN" TargetMode="External"/><Relationship Id="rId228" Type="http://schemas.openxmlformats.org/officeDocument/2006/relationships/hyperlink" Target="https://docs.google.com/uc?export=download&amp;id=1Lm69z-kBzOUslYQSbj3lYa8lfdkUCasl" TargetMode="External"/><Relationship Id="rId227" Type="http://schemas.openxmlformats.org/officeDocument/2006/relationships/hyperlink" Target="https://docs.google.com/uc?export=download&amp;id=1I28jRA-edilCycT8n8wT217Lf_q0JFQU" TargetMode="External"/><Relationship Id="rId226" Type="http://schemas.openxmlformats.org/officeDocument/2006/relationships/hyperlink" Target="https://docs.google.com/uc?export=download&amp;id=1D1BKhSWFTB0cNgGb1wcNwsDovr5jRwAp" TargetMode="External"/><Relationship Id="rId225" Type="http://schemas.openxmlformats.org/officeDocument/2006/relationships/hyperlink" Target="https://docs.google.com/uc?export=download&amp;id=1SqH-Bz5vZE09Hz9rC-MNgrJ5oLU0lcTP" TargetMode="External"/><Relationship Id="rId229" Type="http://schemas.openxmlformats.org/officeDocument/2006/relationships/hyperlink" Target="https://docs.google.com/uc?export=download&amp;id=1wgPwVteA1s97_da7uVjFtUHBoSYfjeS9" TargetMode="External"/><Relationship Id="rId220" Type="http://schemas.openxmlformats.org/officeDocument/2006/relationships/hyperlink" Target="https://docs.google.com/uc?export=download&amp;id=1sVFJp0P7Qr8BxbEB7aNXxHcY3YzhRfK0" TargetMode="External"/><Relationship Id="rId224" Type="http://schemas.openxmlformats.org/officeDocument/2006/relationships/hyperlink" Target="https://docs.google.com/uc?export=download&amp;id=1OGZrswdBoxumvUwbVHQegaLOfCHyUKHO" TargetMode="External"/><Relationship Id="rId223" Type="http://schemas.openxmlformats.org/officeDocument/2006/relationships/hyperlink" Target="https://docs.google.com/uc?export=download&amp;id=1BS_wv58P1BM_ZxD7JWtZT42X8FVmomIZ" TargetMode="External"/><Relationship Id="rId222" Type="http://schemas.openxmlformats.org/officeDocument/2006/relationships/hyperlink" Target="https://docs.google.com/uc?export=download&amp;id=1IsM1UzVu-69_kkCFiQOcG-a7fNMeAHbs" TargetMode="External"/><Relationship Id="rId221" Type="http://schemas.openxmlformats.org/officeDocument/2006/relationships/hyperlink" Target="https://docs.google.com/uc?export=download&amp;id=167JjFoZfe9XuzfFRbkgATA6dzZIUBO3O" TargetMode="External"/><Relationship Id="rId217" Type="http://schemas.openxmlformats.org/officeDocument/2006/relationships/hyperlink" Target="https://docs.google.com/uc?export=download&amp;id=1ZOXSdAq-JCAdjd-cGtEBTQl7uXkdx_-d" TargetMode="External"/><Relationship Id="rId216" Type="http://schemas.openxmlformats.org/officeDocument/2006/relationships/hyperlink" Target="https://docs.google.com/uc?export=download&amp;id=19aWca13QeRfAIuluxcgwoQG34pxnoJfZ" TargetMode="External"/><Relationship Id="rId215" Type="http://schemas.openxmlformats.org/officeDocument/2006/relationships/hyperlink" Target="https://docs.google.com/uc?export=download&amp;id=1kX3WXmwJ0V8-Rm-b0Ax8RzAXwryfJIje" TargetMode="External"/><Relationship Id="rId214" Type="http://schemas.openxmlformats.org/officeDocument/2006/relationships/hyperlink" Target="https://docs.google.com/uc?export=download&amp;id=1solWp2ZsgIP5Dfw8GHJ_B6IW84SzZKr1" TargetMode="External"/><Relationship Id="rId219" Type="http://schemas.openxmlformats.org/officeDocument/2006/relationships/hyperlink" Target="https://docs.google.com/uc?export=download&amp;id=1f-M2IDltJE7Ehpena6lpMI1n-t1w-vfm" TargetMode="External"/><Relationship Id="rId218" Type="http://schemas.openxmlformats.org/officeDocument/2006/relationships/hyperlink" Target="https://docs.google.com/uc?export=download&amp;id=1MuWfpf0TRnt9KL01tqTnDXceZGm6wEQQ" TargetMode="External"/><Relationship Id="rId213" Type="http://schemas.openxmlformats.org/officeDocument/2006/relationships/hyperlink" Target="https://docs.google.com/uc?export=download&amp;id=1tnqIevKdjzrwBoo_eg7ljCvtVswWB3FY" TargetMode="External"/><Relationship Id="rId212" Type="http://schemas.openxmlformats.org/officeDocument/2006/relationships/hyperlink" Target="https://docs.google.com/uc?export=download&amp;id=1iCbQaPE5KEAcC94Gh_sxPEi8Sszt_qYM" TargetMode="External"/><Relationship Id="rId211" Type="http://schemas.openxmlformats.org/officeDocument/2006/relationships/hyperlink" Target="https://docs.google.com/uc?export=download&amp;id=1qfXMmmoZtBfDwnseHmNccNSXl1zyQstu" TargetMode="External"/><Relationship Id="rId210" Type="http://schemas.openxmlformats.org/officeDocument/2006/relationships/hyperlink" Target="https://docs.google.com/uc?export=download&amp;id=1VgTkIKLRD7pVVJRMdf9wUI9-8VtCrHKV" TargetMode="External"/><Relationship Id="rId249" Type="http://schemas.openxmlformats.org/officeDocument/2006/relationships/hyperlink" Target="https://docs.google.com/uc?export=download&amp;id=1fURpAO_IGd1kJNAs1hNnJ0J0u6feW4f8" TargetMode="External"/><Relationship Id="rId248" Type="http://schemas.openxmlformats.org/officeDocument/2006/relationships/hyperlink" Target="https://docs.google.com/uc?export=download&amp;id=1HSo3jr0I_P3clY_ANZR9XaodDIoFOGRo" TargetMode="External"/><Relationship Id="rId247" Type="http://schemas.openxmlformats.org/officeDocument/2006/relationships/hyperlink" Target="https://docs.google.com/uc?export=download&amp;id=1d_5bzPrK_77x3B-YI8l-ve8yrQsAB6-R" TargetMode="External"/><Relationship Id="rId242" Type="http://schemas.openxmlformats.org/officeDocument/2006/relationships/hyperlink" Target="https://docs.google.com/uc?export=download&amp;id=1O7l3NtbOdpkr2CPvqmFYCMZIb1IiZtAX" TargetMode="External"/><Relationship Id="rId241" Type="http://schemas.openxmlformats.org/officeDocument/2006/relationships/hyperlink" Target="https://docs.google.com/uc?export=download&amp;id=1RpmRWCPrnA-2HX8yIMXR4BAjMO4cF3pe" TargetMode="External"/><Relationship Id="rId240" Type="http://schemas.openxmlformats.org/officeDocument/2006/relationships/hyperlink" Target="https://docs.google.com/uc?export=download&amp;id=1vjmAadgycjJVX5a5P4xfpXVejfHqdwTA" TargetMode="External"/><Relationship Id="rId246" Type="http://schemas.openxmlformats.org/officeDocument/2006/relationships/hyperlink" Target="https://docs.google.com/uc?export=download&amp;id=1GREZ9PbqQtVWLhNdXDKzBgnS1H31Ys6D" TargetMode="External"/><Relationship Id="rId245" Type="http://schemas.openxmlformats.org/officeDocument/2006/relationships/hyperlink" Target="https://docs.google.com/uc?export=download&amp;id=1O25D-yxSZ6YIcBPuMEIcePMVG_r64_j2" TargetMode="External"/><Relationship Id="rId244" Type="http://schemas.openxmlformats.org/officeDocument/2006/relationships/hyperlink" Target="https://docs.google.com/uc?export=download&amp;id=1JVVXmyLyXouw38jqn3SC-HfdF4l9wFGp" TargetMode="External"/><Relationship Id="rId243" Type="http://schemas.openxmlformats.org/officeDocument/2006/relationships/hyperlink" Target="https://docs.google.com/uc?export=download&amp;id=10ycUmHfSrboQyMgsGgwjVbl7_gonoR12" TargetMode="External"/><Relationship Id="rId239" Type="http://schemas.openxmlformats.org/officeDocument/2006/relationships/hyperlink" Target="https://docs.google.com/uc?export=download&amp;id=1TZmU2qsXp9LZpFYwY9aQF_wtt_e-Yg8D" TargetMode="External"/><Relationship Id="rId238" Type="http://schemas.openxmlformats.org/officeDocument/2006/relationships/hyperlink" Target="https://docs.google.com/uc?export=download&amp;id=1TvrqqykrosTGV6wrssURqkDTPq-Y7u56" TargetMode="External"/><Relationship Id="rId237" Type="http://schemas.openxmlformats.org/officeDocument/2006/relationships/hyperlink" Target="https://docs.google.com/uc?export=download&amp;id=1Ilp2eq9Gk71fD5Byo4N_eyzK7eKAyWmo" TargetMode="External"/><Relationship Id="rId236" Type="http://schemas.openxmlformats.org/officeDocument/2006/relationships/hyperlink" Target="https://docs.google.com/uc?export=download&amp;id=1UglNkb60Xlf5mCNR8bay3VtTrlzvy49b" TargetMode="External"/><Relationship Id="rId231" Type="http://schemas.openxmlformats.org/officeDocument/2006/relationships/hyperlink" Target="https://docs.google.com/uc?export=download&amp;id=1riph-CnYRrpYOBvCuEd5zI24IdaGeB6k" TargetMode="External"/><Relationship Id="rId230" Type="http://schemas.openxmlformats.org/officeDocument/2006/relationships/hyperlink" Target="https://docs.google.com/uc?export=download&amp;id=1DJuN-u-2_gR5tIKZpgbJi3Ohtx2mXQ5o" TargetMode="External"/><Relationship Id="rId235" Type="http://schemas.openxmlformats.org/officeDocument/2006/relationships/hyperlink" Target="https://docs.google.com/uc?export=download&amp;id=1YrMeCBCF4eR2lqe9If8Qb1ooKnjqqxpc" TargetMode="External"/><Relationship Id="rId234" Type="http://schemas.openxmlformats.org/officeDocument/2006/relationships/hyperlink" Target="https://docs.google.com/uc?export=download&amp;id=1PiU6pWhfovtGZZGt2x1AAvGvF8ekrSLf" TargetMode="External"/><Relationship Id="rId233" Type="http://schemas.openxmlformats.org/officeDocument/2006/relationships/hyperlink" Target="https://docs.google.com/uc?export=download&amp;id=1q6iTPYMr_C4ePemT2hC8akDpn9kPKpAK" TargetMode="External"/><Relationship Id="rId232" Type="http://schemas.openxmlformats.org/officeDocument/2006/relationships/hyperlink" Target="https://docs.google.com/uc?export=download&amp;id=1xiqXEsFjj_BMfHxUeMfhNvZbnLpKsisk" TargetMode="External"/><Relationship Id="rId206" Type="http://schemas.openxmlformats.org/officeDocument/2006/relationships/hyperlink" Target="https://docs.google.com/uc?export=download&amp;id=1cwSuK-dGatGQUHXcahJAqqRoYGfwCxrG" TargetMode="External"/><Relationship Id="rId205" Type="http://schemas.openxmlformats.org/officeDocument/2006/relationships/hyperlink" Target="https://docs.google.com/uc?export=download&amp;id=1Fe1zrofmYkHGCHI5vdjr_X71OWBU5CFJ" TargetMode="External"/><Relationship Id="rId204" Type="http://schemas.openxmlformats.org/officeDocument/2006/relationships/hyperlink" Target="https://docs.google.com/uc?export=download&amp;id=1zdUIiZENXwCPhG74L_-UwKgmiXurxJKz" TargetMode="External"/><Relationship Id="rId203" Type="http://schemas.openxmlformats.org/officeDocument/2006/relationships/hyperlink" Target="https://docs.google.com/uc?export=download&amp;id=1-0N7n7DupXhEB65xEvB9RzQSCNI4jyjR" TargetMode="External"/><Relationship Id="rId209" Type="http://schemas.openxmlformats.org/officeDocument/2006/relationships/hyperlink" Target="https://docs.google.com/uc?export=download&amp;id=1pSbtJIAFDCCNYSJwpFuUEso12OK_a7t2" TargetMode="External"/><Relationship Id="rId208" Type="http://schemas.openxmlformats.org/officeDocument/2006/relationships/hyperlink" Target="https://docs.google.com/uc?export=download&amp;id=1fs_vM3xr1-2sotigkEilEnoqT2yypFdu" TargetMode="External"/><Relationship Id="rId207" Type="http://schemas.openxmlformats.org/officeDocument/2006/relationships/hyperlink" Target="https://docs.google.com/uc?export=download&amp;id=1R9Bi-MA_DXsam8e3Q1QAbpi016ss257E" TargetMode="External"/><Relationship Id="rId202" Type="http://schemas.openxmlformats.org/officeDocument/2006/relationships/hyperlink" Target="https://docs.google.com/uc?export=download&amp;id=1chnAO-d7wx5WBL8Ypqe28O_wPR0fORG8" TargetMode="External"/><Relationship Id="rId201" Type="http://schemas.openxmlformats.org/officeDocument/2006/relationships/hyperlink" Target="https://docs.google.com/uc?export=download&amp;id=134DzTe7uADZTrhYVbjfqq8QAHPu_Qi7x" TargetMode="External"/><Relationship Id="rId200" Type="http://schemas.openxmlformats.org/officeDocument/2006/relationships/hyperlink" Target="https://docs.google.com/uc?export=download&amp;id=1986QPqIGhChU_iNp-GmaqeMhumUOIhnm" TargetMode="External"/><Relationship Id="rId409" Type="http://schemas.openxmlformats.org/officeDocument/2006/relationships/hyperlink" Target="https://docs.google.com/uc?export=download&amp;id=1-a7kEWlCzTTe1CQCvVdd8bN6vOfrDxIo" TargetMode="External"/><Relationship Id="rId404" Type="http://schemas.openxmlformats.org/officeDocument/2006/relationships/hyperlink" Target="https://docs.google.com/uc?export=download&amp;id=1knSJqhXAzXivy0PgVIYGcLPwElMqcNaD" TargetMode="External"/><Relationship Id="rId403" Type="http://schemas.openxmlformats.org/officeDocument/2006/relationships/hyperlink" Target="https://docs.google.com/uc?export=download&amp;id=19KWQGksPmfy0qWzh8stuPLzOf0sI4MWi" TargetMode="External"/><Relationship Id="rId402" Type="http://schemas.openxmlformats.org/officeDocument/2006/relationships/hyperlink" Target="https://docs.google.com/uc?export=download&amp;id=1KTiMT3b6DItpWwP7yTVYfPsBwxe0x8kA" TargetMode="External"/><Relationship Id="rId401" Type="http://schemas.openxmlformats.org/officeDocument/2006/relationships/hyperlink" Target="https://docs.google.com/uc?export=download&amp;id=1gT3uSB84_P4A4sTEuveES78wUqu9bhUg" TargetMode="External"/><Relationship Id="rId408" Type="http://schemas.openxmlformats.org/officeDocument/2006/relationships/hyperlink" Target="https://docs.google.com/uc?export=download&amp;id=18jZprli617bFOmbRcfmn9Hz9F_5PWb2U" TargetMode="External"/><Relationship Id="rId407" Type="http://schemas.openxmlformats.org/officeDocument/2006/relationships/hyperlink" Target="https://docs.google.com/uc?export=download&amp;id=1WWEJv56TfR3R9QLCSyEIZ4VsL-e1G44F" TargetMode="External"/><Relationship Id="rId406" Type="http://schemas.openxmlformats.org/officeDocument/2006/relationships/hyperlink" Target="https://docs.google.com/uc?export=download&amp;id=1f0bGi34gZWdcuDiM7LBjPQnWme56GDOg" TargetMode="External"/><Relationship Id="rId405" Type="http://schemas.openxmlformats.org/officeDocument/2006/relationships/hyperlink" Target="https://docs.google.com/uc?export=download&amp;id=1tnkhAEVSFMHi2RIO7oz1Kbt8d17ZLP2X" TargetMode="External"/><Relationship Id="rId400" Type="http://schemas.openxmlformats.org/officeDocument/2006/relationships/hyperlink" Target="https://docs.google.com/uc?export=download&amp;id=1gBsaojWA2om83oZZb4VBUjg7bZeYMNIx" TargetMode="External"/><Relationship Id="rId426" Type="http://schemas.openxmlformats.org/officeDocument/2006/relationships/hyperlink" Target="https://docs.google.com/uc?export=download&amp;id=1SBYNDlUsgEeMF5rHGp9vAvTpNH4gX-L1" TargetMode="External"/><Relationship Id="rId425" Type="http://schemas.openxmlformats.org/officeDocument/2006/relationships/hyperlink" Target="https://docs.google.com/uc?export=download&amp;id=1fyZ37qiaX1xBYCbhl6Q-PQgXzQpmUCQ6" TargetMode="External"/><Relationship Id="rId424" Type="http://schemas.openxmlformats.org/officeDocument/2006/relationships/hyperlink" Target="https://docs.google.com/uc?export=download&amp;id=18MSEYrZo0U9i2_bfN20u8KfsL5iwlrEW" TargetMode="External"/><Relationship Id="rId423" Type="http://schemas.openxmlformats.org/officeDocument/2006/relationships/hyperlink" Target="https://docs.google.com/uc?export=download&amp;id=1pJPJBY_CDZOoQjfM_a3iZmp135nQM4LO" TargetMode="External"/><Relationship Id="rId429" Type="http://schemas.openxmlformats.org/officeDocument/2006/relationships/hyperlink" Target="https://docs.google.com/uc?export=download&amp;id=1jF8ccwGhrIkwnlwFGuUqK7inO-eu06mg" TargetMode="External"/><Relationship Id="rId428" Type="http://schemas.openxmlformats.org/officeDocument/2006/relationships/hyperlink" Target="https://docs.google.com/uc?export=download&amp;id=1ytqeCYK4wLXsLZr12LfF3SIRBwQJM92R" TargetMode="External"/><Relationship Id="rId427" Type="http://schemas.openxmlformats.org/officeDocument/2006/relationships/hyperlink" Target="https://docs.google.com/uc?export=download&amp;id=1LzYApHVVVPji7ph4HN-4chEuJdpppv_M" TargetMode="External"/><Relationship Id="rId422" Type="http://schemas.openxmlformats.org/officeDocument/2006/relationships/hyperlink" Target="https://docs.google.com/uc?export=download&amp;id=1WezAIs6LMAWJVGzUhGCVx8brnSpIfeTR" TargetMode="External"/><Relationship Id="rId421" Type="http://schemas.openxmlformats.org/officeDocument/2006/relationships/hyperlink" Target="https://docs.google.com/uc?export=download&amp;id=1Z1pnUrhB3WDvwzihD_SLgkS7a4bM3hTj" TargetMode="External"/><Relationship Id="rId420" Type="http://schemas.openxmlformats.org/officeDocument/2006/relationships/hyperlink" Target="https://docs.google.com/uc?export=download&amp;id=10fzLWr58mrSUYMLH3KHVjm9E3YUIAAtE" TargetMode="External"/><Relationship Id="rId415" Type="http://schemas.openxmlformats.org/officeDocument/2006/relationships/hyperlink" Target="https://docs.google.com/uc?export=download&amp;id=1SnTtXVu__31urcK98Otz4-X9ZpOY40EX" TargetMode="External"/><Relationship Id="rId414" Type="http://schemas.openxmlformats.org/officeDocument/2006/relationships/hyperlink" Target="https://docs.google.com/uc?export=download&amp;id=18-e8je0ivqZolqoe4hNuIV_trZwFJTVJ" TargetMode="External"/><Relationship Id="rId413" Type="http://schemas.openxmlformats.org/officeDocument/2006/relationships/hyperlink" Target="https://docs.google.com/uc?export=download&amp;id=1bICXF29b8AlU35La4NzaNi2x4EEZEmNR" TargetMode="External"/><Relationship Id="rId412" Type="http://schemas.openxmlformats.org/officeDocument/2006/relationships/hyperlink" Target="https://docs.google.com/uc?export=download&amp;id=1Yak4OYe8Il_4DAkVZy8-yJQlSPUM6ep8" TargetMode="External"/><Relationship Id="rId419" Type="http://schemas.openxmlformats.org/officeDocument/2006/relationships/hyperlink" Target="https://docs.google.com/uc?export=download&amp;id=1fpBAfPCeIyNf79A2MkvGc1Gq1Oe9tFvH" TargetMode="External"/><Relationship Id="rId418" Type="http://schemas.openxmlformats.org/officeDocument/2006/relationships/hyperlink" Target="https://docs.google.com/uc?export=download&amp;id=1Ae0RMkuIdVm7xXCn_aOUt1TzP-OARC8b" TargetMode="External"/><Relationship Id="rId417" Type="http://schemas.openxmlformats.org/officeDocument/2006/relationships/hyperlink" Target="https://docs.google.com/uc?export=download&amp;id=1mHEUssF7d3JgKgyL1LZwXNxNENKT1-1L" TargetMode="External"/><Relationship Id="rId416" Type="http://schemas.openxmlformats.org/officeDocument/2006/relationships/hyperlink" Target="https://docs.google.com/uc?export=download&amp;id=1ZtMMaulwdcUCXpwyeQQ_9K4KrxIfiq_8" TargetMode="External"/><Relationship Id="rId411" Type="http://schemas.openxmlformats.org/officeDocument/2006/relationships/hyperlink" Target="https://docs.google.com/uc?export=download&amp;id=1CCT1Z-lKSuAWGLDA_1noqieWZRoLMA9p" TargetMode="External"/><Relationship Id="rId410" Type="http://schemas.openxmlformats.org/officeDocument/2006/relationships/hyperlink" Target="https://docs.google.com/uc?export=download&amp;id=14HCrh_TYP4IFkViVaAXQ4fRKXz0CPih3" TargetMode="External"/><Relationship Id="rId436" Type="http://schemas.openxmlformats.org/officeDocument/2006/relationships/drawing" Target="../drawings/drawing4.xml"/><Relationship Id="rId435" Type="http://schemas.openxmlformats.org/officeDocument/2006/relationships/hyperlink" Target="https://docs.google.com/uc?export=download&amp;id=1TAsABpFlOy9iN1hYq4jwVZSn48GPO3xg" TargetMode="External"/><Relationship Id="rId434" Type="http://schemas.openxmlformats.org/officeDocument/2006/relationships/hyperlink" Target="https://docs.google.com/uc?export=download&amp;id=1eQ2XrqYHRrgPOhGs9fUfXnrSO4Aj2KLC" TargetMode="External"/><Relationship Id="rId433" Type="http://schemas.openxmlformats.org/officeDocument/2006/relationships/hyperlink" Target="https://docs.google.com/uc?export=download&amp;id=1fflPUmikr8EH_97sxQNUv8PUNFscD83n" TargetMode="External"/><Relationship Id="rId432" Type="http://schemas.openxmlformats.org/officeDocument/2006/relationships/hyperlink" Target="https://docs.google.com/uc?export=download&amp;id=1BQy3xXBxe1Uk9wUtp0BBB1XEH_5AqQrj" TargetMode="External"/><Relationship Id="rId431" Type="http://schemas.openxmlformats.org/officeDocument/2006/relationships/hyperlink" Target="https://docs.google.com/uc?export=download&amp;id=1UJmdJ2cRKDhBj0iH6IypbvznCID6Gf3v" TargetMode="External"/><Relationship Id="rId430" Type="http://schemas.openxmlformats.org/officeDocument/2006/relationships/hyperlink" Target="https://docs.google.com/uc?export=download&amp;id=1NeEtYGB8aXETQD-YVyqFauPOegtMlaqK" TargetMode="External"/><Relationship Id="rId1" Type="http://schemas.openxmlformats.org/officeDocument/2006/relationships/hyperlink" Target="https://docs.google.com/uc?export=download&amp;id=1XyAD6IRPD4U3bGB6IKDLogvorjGzu9ix" TargetMode="External"/><Relationship Id="rId2" Type="http://schemas.openxmlformats.org/officeDocument/2006/relationships/hyperlink" Target="https://docs.google.com/uc?export=download&amp;id=1FXB0IL2I6VcBlYU-oazcMIP4_cVi1w4v" TargetMode="External"/><Relationship Id="rId3" Type="http://schemas.openxmlformats.org/officeDocument/2006/relationships/hyperlink" Target="https://docs.google.com/uc?export=download&amp;id=1s5dF2UrkhLg_ay4AENLmLtx18x2NfgYn" TargetMode="External"/><Relationship Id="rId4" Type="http://schemas.openxmlformats.org/officeDocument/2006/relationships/hyperlink" Target="https://docs.google.com/uc?export=download&amp;id=1pL51Dg_Pw2maKf7kiS0lLKlkF_VFk1RP" TargetMode="External"/><Relationship Id="rId9" Type="http://schemas.openxmlformats.org/officeDocument/2006/relationships/hyperlink" Target="https://docs.google.com/uc?export=download&amp;id=18dBnLznvc3Wqgzk_U3witc9qCQD6D81t" TargetMode="External"/><Relationship Id="rId5" Type="http://schemas.openxmlformats.org/officeDocument/2006/relationships/hyperlink" Target="https://docs.google.com/uc?export=download&amp;id=1yduBR804EcVyYp31OWVQVNCTPuQAVOci" TargetMode="External"/><Relationship Id="rId6" Type="http://schemas.openxmlformats.org/officeDocument/2006/relationships/hyperlink" Target="https://docs.google.com/uc?export=download&amp;id=1BdI-lL6Dl2m5e7BOohoCX4Q8-6_W9t5L" TargetMode="External"/><Relationship Id="rId7" Type="http://schemas.openxmlformats.org/officeDocument/2006/relationships/hyperlink" Target="https://docs.google.com/uc?export=download&amp;id=1XA6rCHHkgBnwvVhVHVbDW_7shnrsvWdr" TargetMode="External"/><Relationship Id="rId8" Type="http://schemas.openxmlformats.org/officeDocument/2006/relationships/hyperlink" Target="https://docs.google.com/uc?export=download&amp;id=16c7ucAMeymU9z12U-aeH_IHfxUlbqGI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1.0"/>
  </cols>
  <sheetData>
    <row r="1">
      <c r="A1" s="1" t="s">
        <v>0</v>
      </c>
      <c r="B1" s="2" t="s">
        <v>1</v>
      </c>
      <c r="C1" s="2" t="s">
        <v>2</v>
      </c>
      <c r="D1" s="2" t="s">
        <v>3</v>
      </c>
    </row>
    <row r="2">
      <c r="A2" s="3">
        <v>24157.0</v>
      </c>
      <c r="B2" s="2" t="s">
        <v>4</v>
      </c>
      <c r="C2" s="2" t="s">
        <v>5</v>
      </c>
      <c r="D2" s="4" t="s">
        <v>6</v>
      </c>
    </row>
    <row r="3">
      <c r="A3" s="5">
        <v>24168.0</v>
      </c>
      <c r="B3" s="6"/>
      <c r="C3" s="2" t="s">
        <v>7</v>
      </c>
      <c r="D3" s="4" t="s">
        <v>8</v>
      </c>
    </row>
    <row r="4">
      <c r="A4" s="5">
        <v>24170.0</v>
      </c>
      <c r="B4" s="2" t="s">
        <v>4</v>
      </c>
      <c r="C4" s="2" t="s">
        <v>9</v>
      </c>
      <c r="D4" s="4" t="s">
        <v>10</v>
      </c>
    </row>
    <row r="5">
      <c r="A5" s="5">
        <v>24173.0</v>
      </c>
      <c r="B5" s="2" t="s">
        <v>4</v>
      </c>
      <c r="C5" s="2" t="s">
        <v>11</v>
      </c>
      <c r="D5" s="4" t="s">
        <v>12</v>
      </c>
    </row>
    <row r="6">
      <c r="A6" s="5">
        <v>24175.0</v>
      </c>
      <c r="B6" s="2" t="s">
        <v>4</v>
      </c>
      <c r="C6" s="2" t="s">
        <v>11</v>
      </c>
      <c r="D6" s="4" t="s">
        <v>13</v>
      </c>
    </row>
    <row r="7">
      <c r="A7" s="5">
        <v>24177.0</v>
      </c>
      <c r="B7" s="2" t="s">
        <v>4</v>
      </c>
      <c r="C7" s="2" t="s">
        <v>14</v>
      </c>
      <c r="D7" s="4" t="s">
        <v>15</v>
      </c>
    </row>
    <row r="8">
      <c r="A8" s="5">
        <v>24191.0</v>
      </c>
      <c r="B8" s="2" t="s">
        <v>4</v>
      </c>
      <c r="C8" s="2" t="s">
        <v>16</v>
      </c>
      <c r="D8" s="4" t="s">
        <v>17</v>
      </c>
    </row>
    <row r="9">
      <c r="A9" s="5">
        <v>24194.0</v>
      </c>
      <c r="B9" s="2" t="s">
        <v>4</v>
      </c>
      <c r="C9" s="2" t="s">
        <v>18</v>
      </c>
      <c r="D9" s="4" t="s">
        <v>19</v>
      </c>
    </row>
    <row r="10">
      <c r="A10" s="5">
        <v>24196.0</v>
      </c>
      <c r="B10" s="2" t="s">
        <v>4</v>
      </c>
      <c r="C10" s="2" t="s">
        <v>20</v>
      </c>
      <c r="D10" s="4" t="s">
        <v>21</v>
      </c>
    </row>
    <row r="11">
      <c r="A11" s="5">
        <v>24198.0</v>
      </c>
      <c r="B11" s="2" t="s">
        <v>4</v>
      </c>
      <c r="C11" s="2" t="s">
        <v>22</v>
      </c>
      <c r="D11" s="4" t="s">
        <v>23</v>
      </c>
    </row>
    <row r="12">
      <c r="A12" s="5">
        <v>24202.0</v>
      </c>
      <c r="B12" s="2" t="s">
        <v>4</v>
      </c>
      <c r="C12" s="2" t="s">
        <v>24</v>
      </c>
      <c r="D12" s="4" t="s">
        <v>25</v>
      </c>
    </row>
    <row r="13">
      <c r="A13" s="5">
        <v>24203.0</v>
      </c>
      <c r="B13" s="2" t="s">
        <v>4</v>
      </c>
      <c r="C13" s="2" t="s">
        <v>26</v>
      </c>
      <c r="D13" s="4" t="s">
        <v>27</v>
      </c>
    </row>
    <row r="14">
      <c r="A14" s="5">
        <v>24205.0</v>
      </c>
      <c r="B14" s="2" t="s">
        <v>4</v>
      </c>
      <c r="C14" s="2" t="s">
        <v>28</v>
      </c>
      <c r="D14" s="4" t="s">
        <v>29</v>
      </c>
    </row>
    <row r="15">
      <c r="A15" s="5">
        <v>24210.0</v>
      </c>
      <c r="B15" s="2" t="s">
        <v>4</v>
      </c>
      <c r="C15" s="2" t="s">
        <v>30</v>
      </c>
      <c r="D15" s="4" t="s">
        <v>31</v>
      </c>
    </row>
    <row r="16">
      <c r="A16" s="5">
        <v>24212.0</v>
      </c>
      <c r="B16" s="2" t="s">
        <v>4</v>
      </c>
      <c r="C16" s="2" t="s">
        <v>32</v>
      </c>
      <c r="D16" s="4" t="s">
        <v>33</v>
      </c>
    </row>
    <row r="17">
      <c r="A17" s="5">
        <v>24215.0</v>
      </c>
      <c r="B17" s="2" t="s">
        <v>4</v>
      </c>
      <c r="C17" s="2" t="s">
        <v>34</v>
      </c>
      <c r="D17" s="4" t="s">
        <v>35</v>
      </c>
    </row>
    <row r="18">
      <c r="A18" s="7">
        <v>24247.0</v>
      </c>
      <c r="B18" s="2" t="s">
        <v>4</v>
      </c>
      <c r="C18" s="2" t="s">
        <v>36</v>
      </c>
      <c r="D18" s="4" t="s">
        <v>37</v>
      </c>
    </row>
    <row r="19">
      <c r="A19" s="7">
        <v>24250.0</v>
      </c>
      <c r="B19" s="2" t="s">
        <v>4</v>
      </c>
      <c r="C19" s="2" t="s">
        <v>38</v>
      </c>
      <c r="D19" s="8" t="s">
        <v>39</v>
      </c>
    </row>
    <row r="20">
      <c r="A20" s="7">
        <v>24252.0</v>
      </c>
      <c r="B20" s="2" t="s">
        <v>4</v>
      </c>
      <c r="C20" s="2" t="s">
        <v>40</v>
      </c>
      <c r="D20" s="4" t="s">
        <v>41</v>
      </c>
    </row>
    <row r="21">
      <c r="A21" s="7">
        <v>24254.0</v>
      </c>
      <c r="B21" s="2" t="s">
        <v>4</v>
      </c>
      <c r="C21" s="2" t="s">
        <v>42</v>
      </c>
      <c r="D21" s="4" t="s">
        <v>43</v>
      </c>
    </row>
    <row r="22">
      <c r="A22" s="7">
        <v>24257.0</v>
      </c>
      <c r="B22" s="2" t="s">
        <v>4</v>
      </c>
      <c r="C22" s="2" t="s">
        <v>44</v>
      </c>
      <c r="D22" s="4" t="s">
        <v>45</v>
      </c>
    </row>
    <row r="23">
      <c r="A23" s="5">
        <v>24299.0</v>
      </c>
      <c r="B23" s="2" t="s">
        <v>4</v>
      </c>
      <c r="C23" s="2" t="s">
        <v>46</v>
      </c>
      <c r="D23" s="4" t="s">
        <v>47</v>
      </c>
    </row>
    <row r="24">
      <c r="A24" s="5">
        <v>24301.0</v>
      </c>
      <c r="B24" s="2" t="s">
        <v>4</v>
      </c>
      <c r="C24" s="2" t="s">
        <v>48</v>
      </c>
      <c r="D24" s="4" t="s">
        <v>49</v>
      </c>
    </row>
    <row r="25">
      <c r="A25" s="5">
        <v>24303.0</v>
      </c>
      <c r="B25" s="2" t="s">
        <v>4</v>
      </c>
      <c r="C25" s="2" t="s">
        <v>50</v>
      </c>
      <c r="D25" s="4" t="s">
        <v>51</v>
      </c>
    </row>
    <row r="26">
      <c r="A26" s="5">
        <v>24303.0</v>
      </c>
      <c r="B26" s="2" t="s">
        <v>4</v>
      </c>
      <c r="C26" s="2" t="s">
        <v>50</v>
      </c>
      <c r="D26" s="4" t="s">
        <v>51</v>
      </c>
    </row>
    <row r="27">
      <c r="A27" s="5">
        <v>24306.0</v>
      </c>
      <c r="B27" s="2" t="s">
        <v>4</v>
      </c>
      <c r="C27" s="2" t="s">
        <v>52</v>
      </c>
      <c r="D27" s="4" t="s">
        <v>53</v>
      </c>
    </row>
    <row r="28">
      <c r="A28" s="5">
        <v>24308.0</v>
      </c>
      <c r="B28" s="2" t="s">
        <v>4</v>
      </c>
      <c r="C28" s="2" t="s">
        <v>54</v>
      </c>
      <c r="D28" s="4" t="s">
        <v>55</v>
      </c>
    </row>
    <row r="29">
      <c r="A29" s="5">
        <v>24310.0</v>
      </c>
      <c r="B29" s="2" t="s">
        <v>4</v>
      </c>
      <c r="C29" s="2" t="s">
        <v>56</v>
      </c>
      <c r="D29" s="4" t="s">
        <v>57</v>
      </c>
    </row>
    <row r="30">
      <c r="A30" s="5">
        <v>24313.0</v>
      </c>
      <c r="B30" s="2" t="s">
        <v>4</v>
      </c>
      <c r="C30" s="2" t="s">
        <v>58</v>
      </c>
      <c r="D30" s="4" t="s">
        <v>59</v>
      </c>
    </row>
    <row r="31">
      <c r="A31" s="5">
        <v>24315.0</v>
      </c>
      <c r="B31" s="2" t="s">
        <v>4</v>
      </c>
      <c r="C31" s="2" t="s">
        <v>60</v>
      </c>
      <c r="D31" s="4" t="s">
        <v>61</v>
      </c>
    </row>
    <row r="32">
      <c r="A32" s="5">
        <v>24317.0</v>
      </c>
      <c r="B32" s="2" t="s">
        <v>4</v>
      </c>
      <c r="C32" s="2" t="s">
        <v>62</v>
      </c>
      <c r="D32" s="4" t="s">
        <v>63</v>
      </c>
    </row>
    <row r="33">
      <c r="A33" s="3">
        <v>24320.0</v>
      </c>
      <c r="B33" s="2" t="s">
        <v>4</v>
      </c>
      <c r="C33" s="2" t="s">
        <v>64</v>
      </c>
      <c r="D33" s="4" t="s">
        <v>65</v>
      </c>
    </row>
    <row r="34">
      <c r="A34" s="3">
        <v>24322.0</v>
      </c>
      <c r="B34" s="2" t="s">
        <v>4</v>
      </c>
      <c r="C34" s="2" t="s">
        <v>66</v>
      </c>
      <c r="D34" s="4" t="s">
        <v>67</v>
      </c>
    </row>
    <row r="35">
      <c r="A35" s="3">
        <v>24324.0</v>
      </c>
      <c r="B35" s="2" t="s">
        <v>4</v>
      </c>
      <c r="C35" s="2" t="s">
        <v>68</v>
      </c>
      <c r="D35" s="4" t="s">
        <v>69</v>
      </c>
    </row>
    <row r="36">
      <c r="A36" s="3">
        <v>24327.0</v>
      </c>
      <c r="B36" s="2" t="s">
        <v>4</v>
      </c>
      <c r="C36" s="2" t="s">
        <v>70</v>
      </c>
      <c r="D36" s="4" t="s">
        <v>71</v>
      </c>
    </row>
    <row r="37">
      <c r="A37" s="3">
        <v>24329.0</v>
      </c>
      <c r="B37" s="2" t="s">
        <v>4</v>
      </c>
      <c r="C37" s="2" t="s">
        <v>72</v>
      </c>
      <c r="D37" s="4" t="s">
        <v>73</v>
      </c>
    </row>
    <row r="38">
      <c r="A38" s="3">
        <v>24331.0</v>
      </c>
      <c r="B38" s="2" t="s">
        <v>4</v>
      </c>
      <c r="C38" s="2" t="s">
        <v>74</v>
      </c>
      <c r="D38" s="4" t="s">
        <v>75</v>
      </c>
    </row>
    <row r="39">
      <c r="A39" s="3">
        <v>24334.0</v>
      </c>
      <c r="B39" s="2" t="s">
        <v>4</v>
      </c>
      <c r="C39" s="2" t="s">
        <v>76</v>
      </c>
      <c r="D39" s="4" t="s">
        <v>77</v>
      </c>
    </row>
    <row r="40">
      <c r="A40" s="3">
        <v>24336.0</v>
      </c>
      <c r="B40" s="2" t="s">
        <v>4</v>
      </c>
      <c r="C40" s="2" t="s">
        <v>78</v>
      </c>
      <c r="D40" s="4" t="s">
        <v>79</v>
      </c>
    </row>
    <row r="41">
      <c r="A41" s="3">
        <v>24338.0</v>
      </c>
      <c r="B41" s="2" t="s">
        <v>4</v>
      </c>
      <c r="C41" s="2" t="s">
        <v>80</v>
      </c>
      <c r="D41" s="4" t="s">
        <v>81</v>
      </c>
    </row>
    <row r="42">
      <c r="A42" s="3">
        <v>24341.0</v>
      </c>
      <c r="B42" s="2" t="s">
        <v>4</v>
      </c>
      <c r="C42" s="2" t="s">
        <v>82</v>
      </c>
      <c r="D42" s="4" t="s">
        <v>83</v>
      </c>
    </row>
    <row r="43">
      <c r="A43" s="3">
        <v>24343.0</v>
      </c>
      <c r="B43" s="2" t="s">
        <v>4</v>
      </c>
      <c r="C43" s="2" t="s">
        <v>84</v>
      </c>
      <c r="D43" s="4" t="s">
        <v>85</v>
      </c>
    </row>
    <row r="44">
      <c r="A44" s="3">
        <v>24345.0</v>
      </c>
      <c r="B44" s="2" t="s">
        <v>4</v>
      </c>
      <c r="C44" s="2" t="s">
        <v>86</v>
      </c>
      <c r="D44" s="4" t="s">
        <v>87</v>
      </c>
    </row>
    <row r="45">
      <c r="A45" s="3">
        <v>24348.0</v>
      </c>
      <c r="B45" s="2" t="s">
        <v>4</v>
      </c>
      <c r="C45" s="2" t="s">
        <v>88</v>
      </c>
      <c r="D45" s="4" t="s">
        <v>89</v>
      </c>
    </row>
    <row r="46">
      <c r="A46" s="3">
        <v>24350.0</v>
      </c>
      <c r="B46" s="2" t="s">
        <v>4</v>
      </c>
      <c r="C46" s="2" t="s">
        <v>90</v>
      </c>
      <c r="D46" s="4" t="s">
        <v>91</v>
      </c>
    </row>
    <row r="47">
      <c r="A47" s="1" t="s">
        <v>92</v>
      </c>
      <c r="B47" s="2" t="s">
        <v>4</v>
      </c>
      <c r="C47" s="2" t="s">
        <v>93</v>
      </c>
      <c r="D47" s="4" t="s">
        <v>94</v>
      </c>
    </row>
    <row r="48">
      <c r="A48" s="1" t="s">
        <v>95</v>
      </c>
      <c r="B48" s="2" t="s">
        <v>4</v>
      </c>
      <c r="C48" s="2" t="s">
        <v>96</v>
      </c>
      <c r="D48" s="4" t="s">
        <v>97</v>
      </c>
    </row>
    <row r="49">
      <c r="A49" s="1" t="s">
        <v>98</v>
      </c>
      <c r="B49" s="2" t="s">
        <v>4</v>
      </c>
      <c r="C49" s="2" t="s">
        <v>99</v>
      </c>
      <c r="D49" s="4" t="s">
        <v>100</v>
      </c>
    </row>
    <row r="50">
      <c r="A50" s="1" t="s">
        <v>101</v>
      </c>
      <c r="B50" s="2" t="s">
        <v>4</v>
      </c>
      <c r="C50" s="2" t="s">
        <v>102</v>
      </c>
      <c r="D50" s="4" t="s">
        <v>103</v>
      </c>
    </row>
    <row r="51">
      <c r="A51" s="1" t="s">
        <v>104</v>
      </c>
      <c r="B51" s="2" t="s">
        <v>4</v>
      </c>
      <c r="C51" s="2" t="s">
        <v>105</v>
      </c>
      <c r="D51" s="4" t="s">
        <v>106</v>
      </c>
    </row>
    <row r="52">
      <c r="A52" s="1" t="s">
        <v>107</v>
      </c>
      <c r="B52" s="2" t="s">
        <v>4</v>
      </c>
      <c r="C52" s="2" t="s">
        <v>108</v>
      </c>
      <c r="D52" s="4" t="s">
        <v>109</v>
      </c>
    </row>
    <row r="53">
      <c r="A53" s="1" t="s">
        <v>110</v>
      </c>
      <c r="B53" s="2" t="s">
        <v>4</v>
      </c>
      <c r="C53" s="2" t="s">
        <v>111</v>
      </c>
      <c r="D53" s="4" t="s">
        <v>112</v>
      </c>
    </row>
    <row r="54">
      <c r="A54" s="3">
        <v>24383.0</v>
      </c>
      <c r="B54" s="2" t="s">
        <v>4</v>
      </c>
      <c r="C54" s="2" t="s">
        <v>113</v>
      </c>
      <c r="D54" s="4" t="s">
        <v>114</v>
      </c>
    </row>
    <row r="55">
      <c r="A55" s="3">
        <v>24385.0</v>
      </c>
      <c r="B55" s="2" t="s">
        <v>4</v>
      </c>
      <c r="C55" s="2" t="s">
        <v>115</v>
      </c>
      <c r="D55" s="4" t="s">
        <v>116</v>
      </c>
    </row>
    <row r="56">
      <c r="A56" s="3">
        <v>24387.0</v>
      </c>
      <c r="B56" s="2" t="s">
        <v>4</v>
      </c>
      <c r="C56" s="2" t="s">
        <v>117</v>
      </c>
      <c r="D56" s="4" t="s">
        <v>118</v>
      </c>
    </row>
    <row r="57">
      <c r="A57" s="3">
        <v>24390.0</v>
      </c>
      <c r="B57" s="2" t="s">
        <v>4</v>
      </c>
      <c r="C57" s="2" t="s">
        <v>119</v>
      </c>
      <c r="D57" s="4" t="s">
        <v>120</v>
      </c>
    </row>
    <row r="58">
      <c r="A58" s="3">
        <v>24401.0</v>
      </c>
      <c r="B58" s="2" t="s">
        <v>4</v>
      </c>
      <c r="C58" s="2" t="s">
        <v>121</v>
      </c>
      <c r="D58" s="4" t="s">
        <v>122</v>
      </c>
    </row>
    <row r="59">
      <c r="A59" s="3">
        <v>24406.0</v>
      </c>
      <c r="B59" s="2" t="s">
        <v>4</v>
      </c>
      <c r="C59" s="2" t="s">
        <v>123</v>
      </c>
      <c r="D59" s="4" t="s">
        <v>124</v>
      </c>
    </row>
    <row r="60">
      <c r="A60" s="3">
        <v>24408.0</v>
      </c>
      <c r="B60" s="2" t="s">
        <v>4</v>
      </c>
      <c r="C60" s="2" t="s">
        <v>125</v>
      </c>
      <c r="D60" s="4" t="s">
        <v>126</v>
      </c>
    </row>
    <row r="61">
      <c r="A61" s="3">
        <v>24411.0</v>
      </c>
      <c r="B61" s="2" t="s">
        <v>4</v>
      </c>
      <c r="C61" s="2" t="s">
        <v>127</v>
      </c>
      <c r="D61" s="4" t="s">
        <v>128</v>
      </c>
    </row>
    <row r="62">
      <c r="A62" s="3">
        <v>24413.0</v>
      </c>
      <c r="B62" s="2" t="s">
        <v>4</v>
      </c>
      <c r="C62" s="2" t="s">
        <v>129</v>
      </c>
      <c r="D62" s="4" t="s">
        <v>130</v>
      </c>
    </row>
    <row r="63">
      <c r="A63" s="3">
        <v>24415.0</v>
      </c>
      <c r="B63" s="2" t="s">
        <v>4</v>
      </c>
      <c r="C63" s="2" t="s">
        <v>131</v>
      </c>
      <c r="D63" s="4" t="s">
        <v>132</v>
      </c>
    </row>
    <row r="64">
      <c r="A64" s="3">
        <v>24416.0</v>
      </c>
      <c r="B64" s="2" t="s">
        <v>4</v>
      </c>
      <c r="C64" s="2" t="s">
        <v>133</v>
      </c>
      <c r="D64" s="4" t="s">
        <v>134</v>
      </c>
    </row>
    <row r="65">
      <c r="A65" s="3">
        <v>24418.0</v>
      </c>
      <c r="B65" s="2" t="s">
        <v>4</v>
      </c>
      <c r="C65" s="2" t="s">
        <v>135</v>
      </c>
      <c r="D65" s="4" t="s">
        <v>136</v>
      </c>
    </row>
    <row r="66">
      <c r="A66" s="3">
        <v>24420.0</v>
      </c>
      <c r="B66" s="2" t="s">
        <v>4</v>
      </c>
      <c r="C66" s="2" t="s">
        <v>137</v>
      </c>
      <c r="D66" s="4" t="s">
        <v>138</v>
      </c>
    </row>
    <row r="67">
      <c r="A67" s="3">
        <v>24422.0</v>
      </c>
      <c r="B67" s="2" t="s">
        <v>4</v>
      </c>
      <c r="C67" s="2" t="s">
        <v>139</v>
      </c>
      <c r="D67" s="4" t="s">
        <v>140</v>
      </c>
    </row>
    <row r="68">
      <c r="A68" s="3">
        <v>24425.0</v>
      </c>
      <c r="B68" s="2" t="s">
        <v>4</v>
      </c>
      <c r="C68" s="2" t="s">
        <v>141</v>
      </c>
      <c r="D68" s="4" t="s">
        <v>142</v>
      </c>
    </row>
    <row r="69">
      <c r="A69" s="3">
        <v>24427.0</v>
      </c>
      <c r="B69" s="2" t="s">
        <v>4</v>
      </c>
      <c r="C69" s="2" t="s">
        <v>143</v>
      </c>
      <c r="D69" s="4" t="s">
        <v>144</v>
      </c>
    </row>
    <row r="70">
      <c r="A70" s="3">
        <v>24429.0</v>
      </c>
      <c r="B70" s="2" t="s">
        <v>4</v>
      </c>
      <c r="C70" s="2" t="s">
        <v>145</v>
      </c>
      <c r="D70" s="4" t="s">
        <v>146</v>
      </c>
    </row>
    <row r="71">
      <c r="A71" s="3">
        <v>24432.0</v>
      </c>
      <c r="B71" s="2" t="s">
        <v>4</v>
      </c>
      <c r="C71" s="2" t="s">
        <v>147</v>
      </c>
      <c r="D71" s="4" t="s">
        <v>148</v>
      </c>
    </row>
    <row r="72">
      <c r="A72" s="3">
        <v>24434.0</v>
      </c>
      <c r="B72" s="2" t="s">
        <v>4</v>
      </c>
      <c r="C72" s="2" t="s">
        <v>149</v>
      </c>
      <c r="D72" s="4" t="s">
        <v>150</v>
      </c>
    </row>
    <row r="73">
      <c r="A73" s="3">
        <v>24436.0</v>
      </c>
      <c r="B73" s="2" t="s">
        <v>4</v>
      </c>
      <c r="C73" s="2" t="s">
        <v>151</v>
      </c>
      <c r="D73" s="4" t="s">
        <v>152</v>
      </c>
    </row>
    <row r="74">
      <c r="A74" s="3">
        <v>24438.0</v>
      </c>
      <c r="B74" s="2" t="s">
        <v>4</v>
      </c>
      <c r="C74" s="2" t="s">
        <v>153</v>
      </c>
      <c r="D74" s="4" t="s">
        <v>154</v>
      </c>
    </row>
    <row r="75">
      <c r="A75" s="3">
        <v>24439.0</v>
      </c>
      <c r="B75" s="2" t="s">
        <v>4</v>
      </c>
      <c r="C75" s="2" t="s">
        <v>155</v>
      </c>
      <c r="D75" s="4" t="s">
        <v>156</v>
      </c>
    </row>
    <row r="76">
      <c r="A76" s="3">
        <v>24439.0</v>
      </c>
      <c r="B76" s="2" t="s">
        <v>4</v>
      </c>
      <c r="C76" s="2" t="s">
        <v>157</v>
      </c>
      <c r="D76" s="4" t="s">
        <v>158</v>
      </c>
    </row>
    <row r="77">
      <c r="A77" s="3">
        <v>24440.0</v>
      </c>
      <c r="B77" s="2" t="s">
        <v>4</v>
      </c>
      <c r="C77" s="2" t="s">
        <v>159</v>
      </c>
      <c r="D77" s="4" t="s">
        <v>160</v>
      </c>
    </row>
    <row r="78">
      <c r="A78" s="3">
        <v>24441.0</v>
      </c>
      <c r="B78" s="2" t="s">
        <v>4</v>
      </c>
      <c r="C78" s="2" t="s">
        <v>161</v>
      </c>
      <c r="D78" s="4" t="s">
        <v>162</v>
      </c>
    </row>
    <row r="79">
      <c r="A79" s="3">
        <v>24441.0</v>
      </c>
      <c r="B79" s="2" t="s">
        <v>4</v>
      </c>
      <c r="C79" s="2" t="s">
        <v>163</v>
      </c>
      <c r="D79" s="4" t="s">
        <v>164</v>
      </c>
    </row>
    <row r="80">
      <c r="A80" s="3">
        <v>24442.0</v>
      </c>
      <c r="B80" s="2" t="s">
        <v>4</v>
      </c>
      <c r="C80" s="2" t="s">
        <v>165</v>
      </c>
      <c r="D80" s="4" t="s">
        <v>166</v>
      </c>
    </row>
    <row r="81">
      <c r="A81" s="3">
        <v>24443.0</v>
      </c>
      <c r="B81" s="2" t="s">
        <v>4</v>
      </c>
      <c r="C81" s="2" t="s">
        <v>167</v>
      </c>
      <c r="D81" s="4" t="s">
        <v>168</v>
      </c>
    </row>
    <row r="82">
      <c r="A82" s="3">
        <v>24443.0</v>
      </c>
      <c r="B82" s="2" t="s">
        <v>4</v>
      </c>
      <c r="C82" s="2" t="s">
        <v>169</v>
      </c>
      <c r="D82" s="4" t="s">
        <v>170</v>
      </c>
    </row>
    <row r="83">
      <c r="A83" s="3">
        <v>24444.0</v>
      </c>
      <c r="B83" s="2" t="s">
        <v>4</v>
      </c>
      <c r="C83" s="2" t="s">
        <v>171</v>
      </c>
      <c r="D83" s="4" t="s">
        <v>172</v>
      </c>
    </row>
    <row r="84">
      <c r="A84" s="3">
        <v>24445.0</v>
      </c>
      <c r="B84" s="2" t="s">
        <v>4</v>
      </c>
      <c r="C84" s="2" t="s">
        <v>173</v>
      </c>
      <c r="D84" s="4" t="s">
        <v>174</v>
      </c>
    </row>
    <row r="85">
      <c r="A85" s="3">
        <v>24446.0</v>
      </c>
      <c r="B85" s="2" t="s">
        <v>4</v>
      </c>
      <c r="C85" s="2" t="s">
        <v>175</v>
      </c>
      <c r="D85" s="4" t="s">
        <v>176</v>
      </c>
    </row>
    <row r="86">
      <c r="A86" s="3">
        <v>24446.0</v>
      </c>
      <c r="B86" s="2" t="s">
        <v>4</v>
      </c>
      <c r="C86" s="2" t="s">
        <v>177</v>
      </c>
      <c r="D86" s="4" t="s">
        <v>178</v>
      </c>
    </row>
    <row r="87">
      <c r="A87" s="3">
        <v>24447.0</v>
      </c>
      <c r="B87" s="2" t="s">
        <v>4</v>
      </c>
      <c r="C87" s="2" t="s">
        <v>179</v>
      </c>
      <c r="D87" s="4" t="s">
        <v>180</v>
      </c>
    </row>
    <row r="88">
      <c r="A88" s="3">
        <v>24448.0</v>
      </c>
      <c r="B88" s="2" t="s">
        <v>4</v>
      </c>
      <c r="C88" s="2" t="s">
        <v>181</v>
      </c>
      <c r="D88" s="4" t="s">
        <v>182</v>
      </c>
    </row>
    <row r="89">
      <c r="A89" s="3">
        <v>24448.0</v>
      </c>
      <c r="B89" s="2" t="s">
        <v>4</v>
      </c>
      <c r="C89" s="2" t="s">
        <v>183</v>
      </c>
      <c r="D89" s="4" t="s">
        <v>184</v>
      </c>
    </row>
    <row r="90">
      <c r="A90" s="3">
        <v>24449.0</v>
      </c>
      <c r="B90" s="2" t="s">
        <v>4</v>
      </c>
      <c r="C90" s="2" t="s">
        <v>185</v>
      </c>
      <c r="D90" s="4" t="s">
        <v>186</v>
      </c>
    </row>
    <row r="91">
      <c r="A91" s="3">
        <v>24450.0</v>
      </c>
      <c r="B91" s="2" t="s">
        <v>4</v>
      </c>
      <c r="C91" s="2" t="s">
        <v>187</v>
      </c>
      <c r="D91" s="4" t="s">
        <v>188</v>
      </c>
    </row>
    <row r="92">
      <c r="A92" s="3">
        <v>24450.0</v>
      </c>
      <c r="B92" s="2" t="s">
        <v>4</v>
      </c>
      <c r="C92" s="2" t="s">
        <v>189</v>
      </c>
      <c r="D92" s="4" t="s">
        <v>190</v>
      </c>
    </row>
    <row r="93">
      <c r="A93" s="3">
        <v>24451.0</v>
      </c>
      <c r="B93" s="2" t="s">
        <v>4</v>
      </c>
      <c r="C93" s="2" t="s">
        <v>191</v>
      </c>
      <c r="D93" s="4" t="s">
        <v>192</v>
      </c>
    </row>
    <row r="94">
      <c r="A94" s="3">
        <v>24452.0</v>
      </c>
      <c r="B94" s="2" t="s">
        <v>4</v>
      </c>
      <c r="C94" s="2" t="s">
        <v>193</v>
      </c>
      <c r="D94" s="4" t="s">
        <v>194</v>
      </c>
    </row>
    <row r="95">
      <c r="A95" s="3">
        <v>24453.0</v>
      </c>
      <c r="B95" s="2" t="s">
        <v>4</v>
      </c>
      <c r="C95" s="2" t="s">
        <v>195</v>
      </c>
      <c r="D95" s="4" t="s">
        <v>196</v>
      </c>
    </row>
    <row r="96">
      <c r="A96" s="3">
        <v>24453.0</v>
      </c>
      <c r="B96" s="2" t="s">
        <v>4</v>
      </c>
      <c r="C96" s="2" t="s">
        <v>197</v>
      </c>
      <c r="D96" s="4" t="s">
        <v>198</v>
      </c>
    </row>
    <row r="97">
      <c r="A97" s="3">
        <v>24454.0</v>
      </c>
      <c r="B97" s="2" t="s">
        <v>4</v>
      </c>
      <c r="C97" s="2" t="s">
        <v>199</v>
      </c>
      <c r="D97" s="4" t="s">
        <v>200</v>
      </c>
    </row>
    <row r="98">
      <c r="A98" s="3">
        <v>24455.0</v>
      </c>
      <c r="B98" s="2" t="s">
        <v>4</v>
      </c>
      <c r="C98" s="2" t="s">
        <v>201</v>
      </c>
      <c r="D98" s="4" t="s">
        <v>202</v>
      </c>
    </row>
    <row r="99">
      <c r="A99" s="3">
        <v>24455.0</v>
      </c>
      <c r="B99" s="2" t="s">
        <v>4</v>
      </c>
      <c r="C99" s="2" t="s">
        <v>201</v>
      </c>
      <c r="D99" s="4" t="s">
        <v>202</v>
      </c>
    </row>
    <row r="100">
      <c r="A100" s="3">
        <v>24456.0</v>
      </c>
      <c r="B100" s="2" t="s">
        <v>4</v>
      </c>
      <c r="C100" s="2" t="s">
        <v>203</v>
      </c>
      <c r="D100" s="4" t="s">
        <v>204</v>
      </c>
    </row>
    <row r="101">
      <c r="A101" s="3">
        <v>24457.0</v>
      </c>
      <c r="B101" s="2" t="s">
        <v>4</v>
      </c>
      <c r="C101" s="2" t="s">
        <v>205</v>
      </c>
      <c r="D101" s="4" t="s">
        <v>206</v>
      </c>
    </row>
    <row r="102">
      <c r="A102" s="3">
        <v>24457.0</v>
      </c>
      <c r="B102" s="2" t="s">
        <v>4</v>
      </c>
      <c r="C102" s="2" t="s">
        <v>207</v>
      </c>
      <c r="D102" s="4" t="s">
        <v>208</v>
      </c>
    </row>
    <row r="103">
      <c r="A103" s="3">
        <v>24458.0</v>
      </c>
      <c r="B103" s="2" t="s">
        <v>4</v>
      </c>
      <c r="C103" s="2" t="s">
        <v>209</v>
      </c>
      <c r="D103" s="4" t="s">
        <v>210</v>
      </c>
    </row>
    <row r="104">
      <c r="A104" s="3">
        <v>24459.0</v>
      </c>
      <c r="B104" s="2" t="s">
        <v>4</v>
      </c>
      <c r="C104" s="2" t="s">
        <v>211</v>
      </c>
      <c r="D104" s="4" t="s">
        <v>212</v>
      </c>
    </row>
    <row r="105">
      <c r="A105" s="3">
        <v>24460.0</v>
      </c>
      <c r="B105" s="2" t="s">
        <v>4</v>
      </c>
      <c r="C105" s="2" t="s">
        <v>213</v>
      </c>
      <c r="D105" s="4" t="s">
        <v>214</v>
      </c>
    </row>
    <row r="106">
      <c r="A106" s="3">
        <v>24460.0</v>
      </c>
      <c r="B106" s="2" t="s">
        <v>4</v>
      </c>
      <c r="C106" s="2" t="s">
        <v>215</v>
      </c>
      <c r="D106" s="4" t="s">
        <v>216</v>
      </c>
    </row>
    <row r="107">
      <c r="A107" s="3">
        <v>24461.0</v>
      </c>
      <c r="B107" s="2" t="s">
        <v>4</v>
      </c>
      <c r="C107" s="2" t="s">
        <v>217</v>
      </c>
      <c r="D107" s="4" t="s">
        <v>218</v>
      </c>
    </row>
    <row r="108">
      <c r="A108" s="3">
        <v>24462.0</v>
      </c>
      <c r="B108" s="2" t="s">
        <v>4</v>
      </c>
      <c r="C108" s="2" t="s">
        <v>219</v>
      </c>
      <c r="D108" s="4" t="s">
        <v>220</v>
      </c>
    </row>
    <row r="109">
      <c r="A109" s="3">
        <v>24462.0</v>
      </c>
      <c r="B109" s="2" t="s">
        <v>4</v>
      </c>
      <c r="C109" s="2" t="s">
        <v>221</v>
      </c>
      <c r="D109" s="4" t="s">
        <v>222</v>
      </c>
    </row>
    <row r="110">
      <c r="A110" s="3">
        <v>24463.0</v>
      </c>
      <c r="B110" s="2" t="s">
        <v>4</v>
      </c>
      <c r="C110" s="2" t="s">
        <v>223</v>
      </c>
      <c r="D110" s="4" t="s">
        <v>224</v>
      </c>
    </row>
    <row r="111">
      <c r="A111" s="3">
        <v>24464.0</v>
      </c>
      <c r="B111" s="2" t="s">
        <v>4</v>
      </c>
      <c r="C111" s="2" t="s">
        <v>225</v>
      </c>
      <c r="D111" s="4" t="s">
        <v>226</v>
      </c>
    </row>
    <row r="112">
      <c r="A112" s="3">
        <v>24465.0</v>
      </c>
      <c r="B112" s="2" t="s">
        <v>4</v>
      </c>
      <c r="C112" s="2" t="s">
        <v>227</v>
      </c>
      <c r="D112" s="4" t="s">
        <v>228</v>
      </c>
    </row>
    <row r="113">
      <c r="A113" s="3">
        <v>24466.0</v>
      </c>
      <c r="B113" s="2" t="s">
        <v>4</v>
      </c>
      <c r="C113" s="2" t="s">
        <v>229</v>
      </c>
      <c r="D113" s="4" t="s">
        <v>230</v>
      </c>
    </row>
    <row r="114">
      <c r="A114" s="3">
        <v>24467.0</v>
      </c>
      <c r="B114" s="2" t="s">
        <v>4</v>
      </c>
      <c r="C114" s="2" t="s">
        <v>231</v>
      </c>
      <c r="D114" s="4" t="s">
        <v>232</v>
      </c>
    </row>
    <row r="115">
      <c r="A115" s="3">
        <v>24467.0</v>
      </c>
      <c r="B115" s="2" t="s">
        <v>4</v>
      </c>
      <c r="C115" s="2" t="s">
        <v>233</v>
      </c>
      <c r="D115" s="4" t="s">
        <v>234</v>
      </c>
    </row>
    <row r="116">
      <c r="A116" s="3">
        <v>24468.0</v>
      </c>
      <c r="B116" s="2" t="s">
        <v>4</v>
      </c>
      <c r="C116" s="2" t="s">
        <v>235</v>
      </c>
      <c r="D116" s="4" t="s">
        <v>236</v>
      </c>
    </row>
    <row r="117">
      <c r="A117" s="3">
        <v>24469.0</v>
      </c>
      <c r="B117" s="2" t="s">
        <v>4</v>
      </c>
      <c r="C117" s="2" t="s">
        <v>237</v>
      </c>
      <c r="D117" s="4" t="s">
        <v>238</v>
      </c>
    </row>
    <row r="118">
      <c r="A118" s="3">
        <v>24469.0</v>
      </c>
      <c r="B118" s="2" t="s">
        <v>4</v>
      </c>
      <c r="C118" s="2" t="s">
        <v>239</v>
      </c>
      <c r="D118" s="4" t="s">
        <v>240</v>
      </c>
    </row>
    <row r="119">
      <c r="A119" s="3">
        <v>24470.0</v>
      </c>
      <c r="B119" s="2" t="s">
        <v>4</v>
      </c>
      <c r="C119" s="2" t="s">
        <v>241</v>
      </c>
      <c r="D119" s="4" t="s">
        <v>242</v>
      </c>
    </row>
    <row r="120">
      <c r="A120" s="3">
        <v>24471.0</v>
      </c>
      <c r="B120" s="2" t="s">
        <v>4</v>
      </c>
      <c r="C120" s="2" t="s">
        <v>243</v>
      </c>
      <c r="D120" s="4" t="s">
        <v>244</v>
      </c>
    </row>
    <row r="121">
      <c r="A121" s="3">
        <v>24471.0</v>
      </c>
      <c r="B121" s="6"/>
      <c r="C121" s="2" t="s">
        <v>245</v>
      </c>
      <c r="D121" s="4" t="s">
        <v>246</v>
      </c>
    </row>
    <row r="122">
      <c r="A122" s="3">
        <v>24472.0</v>
      </c>
      <c r="B122" s="2" t="s">
        <v>4</v>
      </c>
      <c r="C122" s="2" t="s">
        <v>247</v>
      </c>
      <c r="D122" s="4" t="s">
        <v>248</v>
      </c>
    </row>
    <row r="123">
      <c r="A123" s="3">
        <v>24473.0</v>
      </c>
      <c r="B123" s="2" t="s">
        <v>4</v>
      </c>
      <c r="C123" s="2" t="s">
        <v>249</v>
      </c>
      <c r="D123" s="4" t="s">
        <v>250</v>
      </c>
    </row>
    <row r="124">
      <c r="A124" s="3">
        <v>24474.0</v>
      </c>
      <c r="B124" s="2" t="s">
        <v>4</v>
      </c>
      <c r="C124" s="2" t="s">
        <v>251</v>
      </c>
      <c r="D124" s="4" t="s">
        <v>252</v>
      </c>
    </row>
    <row r="125">
      <c r="A125" s="3">
        <v>24474.0</v>
      </c>
      <c r="B125" s="2" t="s">
        <v>4</v>
      </c>
      <c r="C125" s="2" t="s">
        <v>253</v>
      </c>
      <c r="D125" s="4" t="s">
        <v>254</v>
      </c>
    </row>
    <row r="126">
      <c r="A126" s="3">
        <v>24475.0</v>
      </c>
      <c r="B126" s="2" t="s">
        <v>4</v>
      </c>
      <c r="C126" s="2" t="s">
        <v>255</v>
      </c>
      <c r="D126" s="4" t="s">
        <v>256</v>
      </c>
    </row>
    <row r="127">
      <c r="A127" s="3">
        <v>24476.0</v>
      </c>
      <c r="B127" s="2" t="s">
        <v>4</v>
      </c>
      <c r="C127" s="2" t="s">
        <v>257</v>
      </c>
      <c r="D127" s="4" t="s">
        <v>258</v>
      </c>
    </row>
    <row r="128">
      <c r="A128" s="3">
        <v>24476.0</v>
      </c>
      <c r="B128" s="2" t="s">
        <v>4</v>
      </c>
      <c r="C128" s="2" t="s">
        <v>259</v>
      </c>
      <c r="D128" s="4" t="s">
        <v>260</v>
      </c>
    </row>
    <row r="129">
      <c r="A129" s="3">
        <v>24477.0</v>
      </c>
      <c r="B129" s="2" t="s">
        <v>4</v>
      </c>
      <c r="C129" s="2" t="s">
        <v>261</v>
      </c>
      <c r="D129" s="4" t="s">
        <v>262</v>
      </c>
    </row>
    <row r="130">
      <c r="A130" s="3">
        <v>24478.0</v>
      </c>
      <c r="B130" s="2" t="s">
        <v>4</v>
      </c>
      <c r="C130" s="2" t="s">
        <v>263</v>
      </c>
      <c r="D130" s="4" t="s">
        <v>264</v>
      </c>
    </row>
    <row r="131">
      <c r="A131" s="3">
        <v>24478.0</v>
      </c>
      <c r="B131" s="2" t="s">
        <v>4</v>
      </c>
      <c r="C131" s="2" t="s">
        <v>265</v>
      </c>
      <c r="D131" s="4" t="s">
        <v>266</v>
      </c>
    </row>
    <row r="132">
      <c r="A132" s="3">
        <v>24479.0</v>
      </c>
      <c r="B132" s="2" t="s">
        <v>4</v>
      </c>
      <c r="C132" s="2" t="s">
        <v>267</v>
      </c>
      <c r="D132" s="4" t="s">
        <v>268</v>
      </c>
    </row>
    <row r="133">
      <c r="A133" s="3">
        <v>24480.0</v>
      </c>
      <c r="B133" s="2" t="s">
        <v>4</v>
      </c>
      <c r="C133" s="2" t="s">
        <v>269</v>
      </c>
      <c r="D133" s="4" t="s">
        <v>270</v>
      </c>
    </row>
    <row r="134">
      <c r="A134" s="3">
        <v>24481.0</v>
      </c>
      <c r="B134" s="2" t="s">
        <v>4</v>
      </c>
      <c r="C134" s="2" t="s">
        <v>271</v>
      </c>
      <c r="D134" s="4" t="s">
        <v>272</v>
      </c>
    </row>
    <row r="135">
      <c r="A135" s="3">
        <v>24482.0</v>
      </c>
      <c r="B135" s="2" t="s">
        <v>4</v>
      </c>
      <c r="C135" s="2" t="s">
        <v>273</v>
      </c>
      <c r="D135" s="4" t="s">
        <v>274</v>
      </c>
    </row>
    <row r="136">
      <c r="A136" s="3">
        <v>24483.0</v>
      </c>
      <c r="B136" s="2" t="s">
        <v>4</v>
      </c>
      <c r="C136" s="2" t="s">
        <v>275</v>
      </c>
      <c r="D136" s="4" t="s">
        <v>276</v>
      </c>
    </row>
    <row r="137">
      <c r="A137" s="3">
        <v>24483.0</v>
      </c>
      <c r="B137" s="2" t="s">
        <v>4</v>
      </c>
      <c r="C137" s="2" t="s">
        <v>277</v>
      </c>
      <c r="D137" s="4" t="s">
        <v>278</v>
      </c>
    </row>
    <row r="138">
      <c r="A138" s="3">
        <v>24487.0</v>
      </c>
      <c r="B138" s="2" t="s">
        <v>4</v>
      </c>
      <c r="C138" s="2" t="s">
        <v>279</v>
      </c>
      <c r="D138" s="4" t="s">
        <v>280</v>
      </c>
    </row>
    <row r="139">
      <c r="A139" s="3">
        <v>24488.0</v>
      </c>
      <c r="B139" s="2" t="s">
        <v>4</v>
      </c>
      <c r="C139" s="2" t="s">
        <v>281</v>
      </c>
      <c r="D139" s="4" t="s">
        <v>282</v>
      </c>
    </row>
    <row r="140">
      <c r="A140" s="3">
        <v>24492.0</v>
      </c>
      <c r="B140" s="2" t="s">
        <v>283</v>
      </c>
      <c r="C140" s="2" t="s">
        <v>284</v>
      </c>
      <c r="D140" s="4" t="s">
        <v>285</v>
      </c>
    </row>
    <row r="141">
      <c r="A141" s="3">
        <v>24493.0</v>
      </c>
      <c r="B141" s="2" t="s">
        <v>283</v>
      </c>
      <c r="C141" s="2" t="s">
        <v>286</v>
      </c>
      <c r="D141" s="4" t="s">
        <v>287</v>
      </c>
    </row>
    <row r="142">
      <c r="A142" s="3">
        <v>24494.0</v>
      </c>
      <c r="B142" s="2" t="s">
        <v>283</v>
      </c>
      <c r="C142" s="2" t="s">
        <v>288</v>
      </c>
      <c r="D142" s="4" t="s">
        <v>289</v>
      </c>
    </row>
    <row r="143">
      <c r="A143" s="3">
        <v>24495.0</v>
      </c>
      <c r="B143" s="2" t="s">
        <v>283</v>
      </c>
      <c r="C143" s="2" t="s">
        <v>290</v>
      </c>
      <c r="D143" s="4" t="s">
        <v>291</v>
      </c>
    </row>
    <row r="144">
      <c r="A144" s="3">
        <v>24496.0</v>
      </c>
      <c r="B144" s="2" t="s">
        <v>283</v>
      </c>
      <c r="C144" s="2" t="s">
        <v>292</v>
      </c>
      <c r="D144" s="4" t="s">
        <v>293</v>
      </c>
    </row>
    <row r="145">
      <c r="A145" s="3">
        <v>24508.0</v>
      </c>
      <c r="B145" s="2" t="s">
        <v>283</v>
      </c>
      <c r="C145" s="2" t="s">
        <v>294</v>
      </c>
      <c r="D145" s="4" t="s">
        <v>295</v>
      </c>
    </row>
    <row r="146">
      <c r="A146" s="3">
        <v>24510.0</v>
      </c>
      <c r="B146" s="2" t="s">
        <v>283</v>
      </c>
      <c r="C146" s="2" t="s">
        <v>296</v>
      </c>
      <c r="D146" s="4" t="s">
        <v>297</v>
      </c>
    </row>
    <row r="147">
      <c r="A147" s="3">
        <v>24511.0</v>
      </c>
      <c r="B147" s="2" t="s">
        <v>283</v>
      </c>
      <c r="C147" s="2" t="s">
        <v>298</v>
      </c>
      <c r="D147" s="4" t="s">
        <v>299</v>
      </c>
    </row>
    <row r="148">
      <c r="A148" s="3">
        <v>24512.0</v>
      </c>
      <c r="B148" s="2" t="s">
        <v>283</v>
      </c>
      <c r="C148" s="2" t="s">
        <v>300</v>
      </c>
      <c r="D148" s="4" t="s">
        <v>301</v>
      </c>
    </row>
    <row r="149">
      <c r="A149" s="3">
        <v>24513.0</v>
      </c>
      <c r="B149" s="2" t="s">
        <v>283</v>
      </c>
      <c r="C149" s="2" t="s">
        <v>302</v>
      </c>
      <c r="D149" s="4" t="s">
        <v>303</v>
      </c>
    </row>
    <row r="150">
      <c r="A150" s="3">
        <v>24520.0</v>
      </c>
      <c r="B150" s="2" t="s">
        <v>283</v>
      </c>
      <c r="C150" s="2" t="s">
        <v>304</v>
      </c>
      <c r="D150" s="4" t="s">
        <v>305</v>
      </c>
    </row>
    <row r="151">
      <c r="A151" s="3">
        <v>24521.0</v>
      </c>
      <c r="B151" s="2" t="s">
        <v>283</v>
      </c>
      <c r="C151" s="2" t="s">
        <v>306</v>
      </c>
      <c r="D151" s="4" t="s">
        <v>307</v>
      </c>
    </row>
    <row r="152">
      <c r="A152" s="3">
        <v>24526.0</v>
      </c>
      <c r="B152" s="2" t="s">
        <v>283</v>
      </c>
      <c r="C152" s="2" t="s">
        <v>308</v>
      </c>
      <c r="D152" s="4" t="s">
        <v>309</v>
      </c>
    </row>
    <row r="153">
      <c r="A153" s="3">
        <v>24527.0</v>
      </c>
      <c r="B153" s="2" t="s">
        <v>283</v>
      </c>
      <c r="C153" s="2" t="s">
        <v>310</v>
      </c>
      <c r="D153" s="4" t="s">
        <v>311</v>
      </c>
    </row>
    <row r="154">
      <c r="A154" s="5">
        <v>24534.0</v>
      </c>
      <c r="B154" s="2" t="s">
        <v>283</v>
      </c>
      <c r="C154" s="2" t="s">
        <v>312</v>
      </c>
      <c r="D154" s="4" t="s">
        <v>313</v>
      </c>
    </row>
    <row r="155">
      <c r="A155" s="5">
        <v>24541.0</v>
      </c>
      <c r="B155" s="2" t="s">
        <v>283</v>
      </c>
      <c r="C155" s="2" t="s">
        <v>314</v>
      </c>
      <c r="D155" s="4" t="s">
        <v>315</v>
      </c>
    </row>
    <row r="156">
      <c r="A156" s="5">
        <v>24544.0</v>
      </c>
      <c r="B156" s="2" t="s">
        <v>283</v>
      </c>
      <c r="C156" s="2" t="s">
        <v>316</v>
      </c>
      <c r="D156" s="4" t="s">
        <v>317</v>
      </c>
    </row>
    <row r="157">
      <c r="A157" s="5">
        <v>24546.0</v>
      </c>
      <c r="B157" s="2" t="s">
        <v>283</v>
      </c>
      <c r="C157" s="2" t="s">
        <v>318</v>
      </c>
      <c r="D157" s="4" t="s">
        <v>319</v>
      </c>
    </row>
    <row r="158">
      <c r="A158" s="5">
        <v>24547.0</v>
      </c>
      <c r="B158" s="2" t="s">
        <v>283</v>
      </c>
      <c r="C158" s="2" t="s">
        <v>20</v>
      </c>
      <c r="D158" s="4" t="s">
        <v>320</v>
      </c>
    </row>
    <row r="159">
      <c r="A159" s="5">
        <v>24548.0</v>
      </c>
      <c r="B159" s="2" t="s">
        <v>283</v>
      </c>
      <c r="C159" s="2" t="s">
        <v>321</v>
      </c>
      <c r="D159" s="4" t="s">
        <v>322</v>
      </c>
    </row>
    <row r="160">
      <c r="A160" s="5">
        <v>24549.0</v>
      </c>
      <c r="B160" s="2" t="s">
        <v>283</v>
      </c>
      <c r="C160" s="2" t="s">
        <v>323</v>
      </c>
      <c r="D160" s="4" t="s">
        <v>324</v>
      </c>
    </row>
    <row r="161">
      <c r="A161" s="5">
        <v>24551.0</v>
      </c>
      <c r="B161" s="2" t="s">
        <v>283</v>
      </c>
      <c r="C161" s="2" t="s">
        <v>325</v>
      </c>
      <c r="D161" s="4" t="s">
        <v>326</v>
      </c>
    </row>
    <row r="162">
      <c r="A162" s="5">
        <v>24553.0</v>
      </c>
      <c r="B162" s="2" t="s">
        <v>283</v>
      </c>
      <c r="C162" s="2" t="s">
        <v>327</v>
      </c>
      <c r="D162" s="4" t="s">
        <v>328</v>
      </c>
    </row>
    <row r="163">
      <c r="A163" s="5">
        <v>24557.0</v>
      </c>
      <c r="B163" s="2" t="s">
        <v>283</v>
      </c>
      <c r="C163" s="2" t="s">
        <v>329</v>
      </c>
      <c r="D163" s="4" t="s">
        <v>330</v>
      </c>
    </row>
    <row r="164">
      <c r="A164" s="5">
        <v>24558.0</v>
      </c>
      <c r="B164" s="2" t="s">
        <v>283</v>
      </c>
      <c r="C164" s="2" t="s">
        <v>331</v>
      </c>
      <c r="D164" s="4" t="s">
        <v>332</v>
      </c>
    </row>
    <row r="165">
      <c r="A165" s="5">
        <v>24560.0</v>
      </c>
      <c r="B165" s="2" t="s">
        <v>283</v>
      </c>
      <c r="C165" s="2" t="s">
        <v>333</v>
      </c>
      <c r="D165" s="4" t="s">
        <v>334</v>
      </c>
    </row>
    <row r="166">
      <c r="A166" s="5">
        <v>24560.0</v>
      </c>
      <c r="B166" s="2" t="s">
        <v>283</v>
      </c>
      <c r="C166" s="2" t="s">
        <v>335</v>
      </c>
      <c r="D166" s="4" t="s">
        <v>336</v>
      </c>
    </row>
    <row r="167">
      <c r="A167" s="5">
        <v>24562.0</v>
      </c>
      <c r="B167" s="2" t="s">
        <v>283</v>
      </c>
      <c r="C167" s="2" t="s">
        <v>337</v>
      </c>
      <c r="D167" s="4" t="s">
        <v>338</v>
      </c>
    </row>
    <row r="168">
      <c r="A168" s="5">
        <v>24567.0</v>
      </c>
      <c r="B168" s="2" t="s">
        <v>283</v>
      </c>
      <c r="C168" s="2" t="s">
        <v>339</v>
      </c>
      <c r="D168" s="4" t="s">
        <v>340</v>
      </c>
    </row>
    <row r="169">
      <c r="A169" s="5">
        <v>24577.0</v>
      </c>
      <c r="B169" s="2" t="s">
        <v>283</v>
      </c>
      <c r="C169" s="2" t="s">
        <v>341</v>
      </c>
      <c r="D169" s="4" t="s">
        <v>342</v>
      </c>
    </row>
    <row r="170">
      <c r="A170" s="5">
        <v>24578.0</v>
      </c>
      <c r="B170" s="2" t="s">
        <v>283</v>
      </c>
      <c r="C170" s="2" t="s">
        <v>343</v>
      </c>
      <c r="D170" s="4" t="s">
        <v>344</v>
      </c>
    </row>
    <row r="171">
      <c r="A171" s="3">
        <v>24843.0</v>
      </c>
      <c r="B171" s="2" t="s">
        <v>345</v>
      </c>
      <c r="C171" s="2" t="s">
        <v>346</v>
      </c>
      <c r="D171" s="4" t="s">
        <v>347</v>
      </c>
    </row>
    <row r="172">
      <c r="A172" s="3">
        <v>24845.0</v>
      </c>
      <c r="B172" s="2" t="s">
        <v>345</v>
      </c>
      <c r="C172" s="2" t="s">
        <v>348</v>
      </c>
      <c r="D172" s="4" t="s">
        <v>349</v>
      </c>
    </row>
    <row r="173">
      <c r="A173" s="3">
        <v>24847.0</v>
      </c>
      <c r="B173" s="2" t="s">
        <v>345</v>
      </c>
      <c r="C173" s="2" t="s">
        <v>350</v>
      </c>
      <c r="D173" s="4" t="s">
        <v>351</v>
      </c>
    </row>
    <row r="174">
      <c r="A174" s="3">
        <v>24849.0</v>
      </c>
      <c r="B174" s="2" t="s">
        <v>345</v>
      </c>
      <c r="C174" s="2" t="s">
        <v>352</v>
      </c>
      <c r="D174" s="4" t="s">
        <v>353</v>
      </c>
    </row>
    <row r="175">
      <c r="A175" s="3">
        <v>24870.0</v>
      </c>
      <c r="B175" s="2" t="s">
        <v>345</v>
      </c>
      <c r="C175" s="2" t="s">
        <v>348</v>
      </c>
      <c r="D175" s="4" t="s">
        <v>354</v>
      </c>
    </row>
    <row r="176">
      <c r="A176" s="5">
        <v>24903.0</v>
      </c>
      <c r="B176" s="2" t="s">
        <v>283</v>
      </c>
      <c r="C176" s="2" t="s">
        <v>312</v>
      </c>
      <c r="D176" s="4" t="s">
        <v>355</v>
      </c>
    </row>
    <row r="177">
      <c r="A177" s="5">
        <v>24906.0</v>
      </c>
      <c r="B177" s="2" t="s">
        <v>283</v>
      </c>
      <c r="C177" s="2" t="s">
        <v>356</v>
      </c>
      <c r="D177" s="4" t="s">
        <v>357</v>
      </c>
    </row>
    <row r="178">
      <c r="A178" s="5">
        <v>24906.0</v>
      </c>
      <c r="B178" s="2" t="s">
        <v>283</v>
      </c>
      <c r="C178" s="2" t="s">
        <v>358</v>
      </c>
      <c r="D178" s="4" t="s">
        <v>359</v>
      </c>
    </row>
    <row r="179">
      <c r="A179" s="5">
        <v>24907.0</v>
      </c>
      <c r="B179" s="2" t="s">
        <v>283</v>
      </c>
      <c r="C179" s="2" t="s">
        <v>360</v>
      </c>
      <c r="D179" s="4" t="s">
        <v>361</v>
      </c>
    </row>
    <row r="180">
      <c r="A180" s="5">
        <v>24909.0</v>
      </c>
      <c r="B180" s="2" t="s">
        <v>283</v>
      </c>
      <c r="C180" s="2" t="s">
        <v>362</v>
      </c>
      <c r="D180" s="4" t="s">
        <v>363</v>
      </c>
    </row>
    <row r="181">
      <c r="A181" s="5">
        <v>24910.0</v>
      </c>
      <c r="B181" s="2" t="s">
        <v>283</v>
      </c>
      <c r="C181" s="2" t="s">
        <v>364</v>
      </c>
      <c r="D181" s="4" t="s">
        <v>365</v>
      </c>
    </row>
    <row r="182">
      <c r="A182" s="5">
        <v>24912.0</v>
      </c>
      <c r="B182" s="2" t="s">
        <v>283</v>
      </c>
      <c r="C182" s="2" t="s">
        <v>312</v>
      </c>
      <c r="D182" s="4" t="s">
        <v>366</v>
      </c>
    </row>
    <row r="183">
      <c r="A183" s="5">
        <v>24913.0</v>
      </c>
      <c r="B183" s="2" t="s">
        <v>283</v>
      </c>
      <c r="C183" s="2" t="s">
        <v>367</v>
      </c>
      <c r="D183" s="4" t="s">
        <v>368</v>
      </c>
    </row>
    <row r="184">
      <c r="A184" s="5">
        <v>24914.0</v>
      </c>
      <c r="B184" s="2" t="s">
        <v>283</v>
      </c>
      <c r="C184" s="2" t="s">
        <v>369</v>
      </c>
      <c r="D184" s="4" t="s">
        <v>370</v>
      </c>
    </row>
    <row r="185">
      <c r="A185" s="5">
        <v>24915.0</v>
      </c>
      <c r="B185" s="2" t="s">
        <v>283</v>
      </c>
      <c r="C185" s="2" t="s">
        <v>371</v>
      </c>
      <c r="D185" s="4" t="s">
        <v>372</v>
      </c>
    </row>
    <row r="186">
      <c r="A186" s="5">
        <v>24917.0</v>
      </c>
      <c r="B186" s="2" t="s">
        <v>283</v>
      </c>
      <c r="C186" s="2" t="s">
        <v>373</v>
      </c>
      <c r="D186" s="4" t="s">
        <v>374</v>
      </c>
    </row>
    <row r="187">
      <c r="A187" s="5">
        <v>24920.0</v>
      </c>
      <c r="B187" s="2" t="s">
        <v>283</v>
      </c>
      <c r="C187" s="2" t="s">
        <v>375</v>
      </c>
      <c r="D187" s="4" t="s">
        <v>376</v>
      </c>
    </row>
    <row r="188">
      <c r="A188" s="5">
        <v>24921.0</v>
      </c>
      <c r="B188" s="2" t="s">
        <v>283</v>
      </c>
      <c r="C188" s="2" t="s">
        <v>377</v>
      </c>
      <c r="D188" s="4" t="s">
        <v>378</v>
      </c>
    </row>
    <row r="189">
      <c r="A189" s="5">
        <v>24922.0</v>
      </c>
      <c r="B189" s="2" t="s">
        <v>283</v>
      </c>
      <c r="C189" s="2" t="s">
        <v>379</v>
      </c>
      <c r="D189" s="4" t="s">
        <v>380</v>
      </c>
    </row>
    <row r="190">
      <c r="A190" s="5">
        <v>24923.0</v>
      </c>
      <c r="B190" s="2" t="s">
        <v>283</v>
      </c>
      <c r="C190" s="2" t="s">
        <v>369</v>
      </c>
      <c r="D190" s="4" t="s">
        <v>381</v>
      </c>
    </row>
    <row r="191">
      <c r="A191" s="5">
        <v>24924.0</v>
      </c>
      <c r="B191" s="2" t="s">
        <v>283</v>
      </c>
      <c r="C191" s="2" t="s">
        <v>375</v>
      </c>
      <c r="D191" s="4" t="s">
        <v>382</v>
      </c>
    </row>
    <row r="192">
      <c r="A192" s="5">
        <v>24925.0</v>
      </c>
      <c r="B192" s="2" t="s">
        <v>283</v>
      </c>
      <c r="C192" s="2" t="s">
        <v>383</v>
      </c>
      <c r="D192" s="4" t="s">
        <v>384</v>
      </c>
    </row>
    <row r="193">
      <c r="A193" s="5">
        <v>24930.0</v>
      </c>
      <c r="B193" s="2" t="s">
        <v>283</v>
      </c>
      <c r="C193" s="2" t="s">
        <v>82</v>
      </c>
      <c r="D193" s="4" t="s">
        <v>385</v>
      </c>
    </row>
    <row r="194">
      <c r="A194" s="7">
        <v>24962.0</v>
      </c>
      <c r="B194" s="2" t="s">
        <v>386</v>
      </c>
      <c r="C194" s="2" t="s">
        <v>387</v>
      </c>
      <c r="D194" s="4" t="s">
        <v>388</v>
      </c>
    </row>
    <row r="195">
      <c r="A195" s="7">
        <v>24964.0</v>
      </c>
      <c r="B195" s="2" t="s">
        <v>386</v>
      </c>
      <c r="C195" s="2" t="s">
        <v>389</v>
      </c>
      <c r="D195" s="4" t="s">
        <v>390</v>
      </c>
    </row>
    <row r="196">
      <c r="A196" s="7">
        <v>24964.0</v>
      </c>
      <c r="B196" s="2" t="s">
        <v>386</v>
      </c>
      <c r="C196" s="2" t="s">
        <v>391</v>
      </c>
      <c r="D196" s="4" t="s">
        <v>392</v>
      </c>
    </row>
    <row r="197">
      <c r="A197" s="7">
        <v>24966.0</v>
      </c>
      <c r="B197" s="2" t="s">
        <v>386</v>
      </c>
      <c r="C197" s="2" t="s">
        <v>393</v>
      </c>
      <c r="D197" s="4" t="s">
        <v>394</v>
      </c>
    </row>
    <row r="198">
      <c r="A198" s="7">
        <v>24966.0</v>
      </c>
      <c r="B198" s="2" t="s">
        <v>386</v>
      </c>
      <c r="C198" s="2" t="s">
        <v>312</v>
      </c>
      <c r="D198" s="4" t="s">
        <v>395</v>
      </c>
    </row>
    <row r="199">
      <c r="A199" s="7">
        <v>24968.0</v>
      </c>
      <c r="B199" s="2" t="s">
        <v>386</v>
      </c>
      <c r="C199" s="2" t="s">
        <v>396</v>
      </c>
      <c r="D199" s="4" t="s">
        <v>397</v>
      </c>
    </row>
    <row r="200">
      <c r="A200" s="7">
        <v>24979.0</v>
      </c>
      <c r="B200" s="2" t="s">
        <v>386</v>
      </c>
      <c r="C200" s="2" t="s">
        <v>360</v>
      </c>
      <c r="D200" s="4" t="s">
        <v>398</v>
      </c>
    </row>
    <row r="201">
      <c r="A201" s="5">
        <v>24992.0</v>
      </c>
      <c r="B201" s="2" t="s">
        <v>399</v>
      </c>
      <c r="C201" s="2" t="s">
        <v>400</v>
      </c>
      <c r="D201" s="4" t="s">
        <v>401</v>
      </c>
    </row>
    <row r="202">
      <c r="A202" s="5">
        <v>24999.0</v>
      </c>
      <c r="B202" s="2" t="s">
        <v>399</v>
      </c>
      <c r="C202" s="2" t="s">
        <v>312</v>
      </c>
      <c r="D202" s="4" t="s">
        <v>402</v>
      </c>
    </row>
    <row r="203">
      <c r="A203" s="5">
        <v>24999.0</v>
      </c>
      <c r="B203" s="2" t="s">
        <v>399</v>
      </c>
      <c r="C203" s="2" t="s">
        <v>403</v>
      </c>
      <c r="D203" s="4" t="s">
        <v>404</v>
      </c>
    </row>
    <row r="204">
      <c r="A204" s="5">
        <v>25000.0</v>
      </c>
      <c r="B204" s="2" t="s">
        <v>399</v>
      </c>
      <c r="C204" s="2" t="s">
        <v>405</v>
      </c>
      <c r="D204" s="4" t="s">
        <v>406</v>
      </c>
    </row>
    <row r="205">
      <c r="A205" s="5">
        <v>25001.0</v>
      </c>
      <c r="B205" s="2" t="s">
        <v>399</v>
      </c>
      <c r="C205" s="2" t="s">
        <v>312</v>
      </c>
      <c r="D205" s="4" t="s">
        <v>407</v>
      </c>
    </row>
    <row r="206">
      <c r="A206" s="5">
        <v>25002.0</v>
      </c>
      <c r="B206" s="2" t="s">
        <v>399</v>
      </c>
      <c r="C206" s="2" t="s">
        <v>408</v>
      </c>
      <c r="D206" s="4" t="s">
        <v>409</v>
      </c>
    </row>
    <row r="207">
      <c r="A207" s="5">
        <v>25003.0</v>
      </c>
      <c r="B207" s="2" t="s">
        <v>399</v>
      </c>
      <c r="C207" s="2" t="s">
        <v>410</v>
      </c>
      <c r="D207" s="4" t="s">
        <v>411</v>
      </c>
    </row>
    <row r="208">
      <c r="A208" s="5">
        <v>25004.0</v>
      </c>
      <c r="B208" s="2" t="s">
        <v>399</v>
      </c>
      <c r="C208" s="2" t="s">
        <v>412</v>
      </c>
      <c r="D208" s="4" t="s">
        <v>413</v>
      </c>
    </row>
    <row r="209">
      <c r="A209" s="5">
        <v>25005.0</v>
      </c>
      <c r="B209" s="2" t="s">
        <v>399</v>
      </c>
      <c r="C209" s="2" t="s">
        <v>414</v>
      </c>
      <c r="D209" s="4" t="s">
        <v>415</v>
      </c>
    </row>
    <row r="210">
      <c r="A210" s="5">
        <v>25008.0</v>
      </c>
      <c r="B210" s="2" t="s">
        <v>399</v>
      </c>
      <c r="C210" s="2" t="s">
        <v>416</v>
      </c>
      <c r="D210" s="4" t="s">
        <v>417</v>
      </c>
    </row>
    <row r="211">
      <c r="A211" s="5">
        <v>25009.0</v>
      </c>
      <c r="B211" s="2" t="s">
        <v>399</v>
      </c>
      <c r="C211" s="2" t="s">
        <v>418</v>
      </c>
      <c r="D211" s="4" t="s">
        <v>419</v>
      </c>
    </row>
    <row r="212">
      <c r="A212" s="5">
        <v>25012.0</v>
      </c>
      <c r="B212" s="2" t="s">
        <v>399</v>
      </c>
      <c r="C212" s="2" t="s">
        <v>420</v>
      </c>
      <c r="D212" s="4" t="s">
        <v>421</v>
      </c>
    </row>
    <row r="213">
      <c r="A213" s="5">
        <v>25015.0</v>
      </c>
      <c r="B213" s="2" t="s">
        <v>399</v>
      </c>
      <c r="C213" s="2" t="s">
        <v>422</v>
      </c>
      <c r="D213" s="4" t="s">
        <v>423</v>
      </c>
    </row>
    <row r="214">
      <c r="A214" s="5">
        <v>25018.0</v>
      </c>
      <c r="B214" s="2" t="s">
        <v>399</v>
      </c>
      <c r="C214" s="2" t="s">
        <v>424</v>
      </c>
      <c r="D214" s="4" t="s">
        <v>425</v>
      </c>
    </row>
    <row r="215">
      <c r="A215" s="5">
        <v>25019.0</v>
      </c>
      <c r="B215" s="2" t="s">
        <v>399</v>
      </c>
      <c r="C215" s="2" t="s">
        <v>426</v>
      </c>
      <c r="D215" s="4" t="s">
        <v>427</v>
      </c>
    </row>
    <row r="216">
      <c r="A216" s="5">
        <v>25020.0</v>
      </c>
      <c r="B216" s="2" t="s">
        <v>399</v>
      </c>
      <c r="C216" s="2" t="s">
        <v>428</v>
      </c>
      <c r="D216" s="4" t="s">
        <v>429</v>
      </c>
    </row>
    <row r="217">
      <c r="A217" s="5">
        <v>25021.0</v>
      </c>
      <c r="B217" s="2" t="s">
        <v>399</v>
      </c>
      <c r="C217" s="2" t="s">
        <v>428</v>
      </c>
      <c r="D217" s="4" t="s">
        <v>430</v>
      </c>
    </row>
    <row r="218">
      <c r="A218" s="5">
        <v>25023.0</v>
      </c>
      <c r="B218" s="2" t="s">
        <v>399</v>
      </c>
      <c r="C218" s="2" t="s">
        <v>431</v>
      </c>
      <c r="D218" s="4" t="s">
        <v>432</v>
      </c>
    </row>
    <row r="219">
      <c r="A219" s="5">
        <v>25025.0</v>
      </c>
      <c r="B219" s="2" t="s">
        <v>399</v>
      </c>
      <c r="C219" s="2" t="s">
        <v>431</v>
      </c>
      <c r="D219" s="4" t="s">
        <v>433</v>
      </c>
    </row>
    <row r="220">
      <c r="A220" s="5">
        <v>25028.0</v>
      </c>
      <c r="B220" s="2" t="s">
        <v>399</v>
      </c>
      <c r="C220" s="2" t="s">
        <v>434</v>
      </c>
      <c r="D220" s="4" t="s">
        <v>435</v>
      </c>
    </row>
    <row r="221">
      <c r="A221" s="5">
        <v>25029.0</v>
      </c>
      <c r="B221" s="2" t="s">
        <v>399</v>
      </c>
      <c r="C221" s="2" t="s">
        <v>434</v>
      </c>
      <c r="D221" s="4" t="s">
        <v>436</v>
      </c>
    </row>
    <row r="222">
      <c r="A222" s="5">
        <v>25031.0</v>
      </c>
      <c r="B222" s="2" t="s">
        <v>399</v>
      </c>
      <c r="C222" s="2" t="s">
        <v>434</v>
      </c>
      <c r="D222" s="4" t="s">
        <v>437</v>
      </c>
    </row>
    <row r="223">
      <c r="A223" s="5">
        <v>25035.0</v>
      </c>
      <c r="B223" s="2" t="s">
        <v>399</v>
      </c>
      <c r="C223" s="2" t="s">
        <v>379</v>
      </c>
      <c r="D223" s="4" t="s">
        <v>438</v>
      </c>
    </row>
    <row r="224">
      <c r="A224" s="5">
        <v>25036.0</v>
      </c>
      <c r="B224" s="2" t="s">
        <v>399</v>
      </c>
      <c r="C224" s="2" t="s">
        <v>439</v>
      </c>
      <c r="D224" s="4" t="s">
        <v>440</v>
      </c>
    </row>
    <row r="225">
      <c r="A225" s="5">
        <v>25037.0</v>
      </c>
      <c r="B225" s="2" t="s">
        <v>399</v>
      </c>
      <c r="C225" s="2" t="s">
        <v>367</v>
      </c>
      <c r="D225" s="4" t="s">
        <v>441</v>
      </c>
    </row>
    <row r="226">
      <c r="A226" s="5">
        <v>25039.0</v>
      </c>
      <c r="B226" s="2" t="s">
        <v>399</v>
      </c>
      <c r="C226" s="2" t="s">
        <v>442</v>
      </c>
      <c r="D226" s="4" t="s">
        <v>443</v>
      </c>
    </row>
    <row r="227">
      <c r="A227" s="5">
        <v>25041.0</v>
      </c>
      <c r="B227" s="2" t="s">
        <v>399</v>
      </c>
      <c r="C227" s="2" t="s">
        <v>444</v>
      </c>
      <c r="D227" s="4" t="s">
        <v>445</v>
      </c>
    </row>
    <row r="228">
      <c r="A228" s="5">
        <v>25043.0</v>
      </c>
      <c r="B228" s="2" t="s">
        <v>399</v>
      </c>
      <c r="C228" s="2" t="s">
        <v>446</v>
      </c>
      <c r="D228" s="4" t="s">
        <v>447</v>
      </c>
    </row>
    <row r="229">
      <c r="A229" s="5">
        <v>25046.0</v>
      </c>
      <c r="B229" s="2" t="s">
        <v>399</v>
      </c>
      <c r="C229" s="2" t="s">
        <v>367</v>
      </c>
      <c r="D229" s="4" t="s">
        <v>448</v>
      </c>
    </row>
    <row r="230">
      <c r="A230" s="5">
        <v>25046.0</v>
      </c>
      <c r="B230" s="2" t="s">
        <v>399</v>
      </c>
      <c r="C230" s="2" t="s">
        <v>449</v>
      </c>
      <c r="D230" s="4" t="s">
        <v>450</v>
      </c>
    </row>
    <row r="231">
      <c r="A231" s="5">
        <v>25047.0</v>
      </c>
      <c r="B231" s="2" t="s">
        <v>399</v>
      </c>
      <c r="C231" s="2" t="s">
        <v>451</v>
      </c>
      <c r="D231" s="4" t="s">
        <v>452</v>
      </c>
    </row>
    <row r="232">
      <c r="A232" s="5">
        <v>25048.0</v>
      </c>
      <c r="B232" s="2" t="s">
        <v>399</v>
      </c>
      <c r="C232" s="2" t="s">
        <v>453</v>
      </c>
      <c r="D232" s="4" t="s">
        <v>454</v>
      </c>
    </row>
    <row r="233">
      <c r="A233" s="3">
        <v>25052.0</v>
      </c>
      <c r="B233" s="2" t="s">
        <v>399</v>
      </c>
      <c r="C233" s="2" t="s">
        <v>455</v>
      </c>
      <c r="D233" s="4" t="s">
        <v>456</v>
      </c>
    </row>
    <row r="234">
      <c r="A234" s="3">
        <v>25053.0</v>
      </c>
      <c r="B234" s="2" t="s">
        <v>399</v>
      </c>
      <c r="C234" s="2" t="s">
        <v>457</v>
      </c>
      <c r="D234" s="4" t="s">
        <v>458</v>
      </c>
    </row>
    <row r="235">
      <c r="A235" s="3">
        <v>25061.0</v>
      </c>
      <c r="B235" s="2" t="s">
        <v>399</v>
      </c>
      <c r="C235" s="2" t="s">
        <v>459</v>
      </c>
      <c r="D235" s="4" t="s">
        <v>460</v>
      </c>
    </row>
    <row r="236">
      <c r="A236" s="3">
        <v>25063.0</v>
      </c>
      <c r="B236" s="2" t="s">
        <v>399</v>
      </c>
      <c r="C236" s="2" t="s">
        <v>405</v>
      </c>
      <c r="D236" s="4" t="s">
        <v>461</v>
      </c>
    </row>
    <row r="237">
      <c r="A237" s="3">
        <v>25064.0</v>
      </c>
      <c r="B237" s="2" t="s">
        <v>399</v>
      </c>
      <c r="C237" s="2" t="s">
        <v>462</v>
      </c>
      <c r="D237" s="4" t="s">
        <v>463</v>
      </c>
    </row>
    <row r="238">
      <c r="A238" s="3">
        <v>25065.0</v>
      </c>
      <c r="B238" s="2" t="s">
        <v>399</v>
      </c>
      <c r="C238" s="2" t="s">
        <v>464</v>
      </c>
      <c r="D238" s="4" t="s">
        <v>465</v>
      </c>
    </row>
    <row r="239">
      <c r="A239" s="3">
        <v>25065.0</v>
      </c>
      <c r="B239" s="2" t="s">
        <v>399</v>
      </c>
      <c r="C239" s="2" t="s">
        <v>466</v>
      </c>
      <c r="D239" s="4" t="s">
        <v>467</v>
      </c>
    </row>
    <row r="240">
      <c r="A240" s="3">
        <v>25066.0</v>
      </c>
      <c r="B240" s="2" t="s">
        <v>399</v>
      </c>
      <c r="C240" s="2" t="s">
        <v>468</v>
      </c>
      <c r="D240" s="4" t="s">
        <v>469</v>
      </c>
    </row>
    <row r="241">
      <c r="A241" s="3">
        <v>25067.0</v>
      </c>
      <c r="B241" s="2" t="s">
        <v>399</v>
      </c>
      <c r="C241" s="2" t="s">
        <v>470</v>
      </c>
      <c r="D241" s="4" t="s">
        <v>471</v>
      </c>
    </row>
    <row r="242">
      <c r="A242" s="3">
        <v>25067.0</v>
      </c>
      <c r="B242" s="2" t="s">
        <v>399</v>
      </c>
      <c r="C242" s="2" t="s">
        <v>472</v>
      </c>
      <c r="D242" s="4" t="s">
        <v>473</v>
      </c>
    </row>
    <row r="243">
      <c r="A243" s="3">
        <v>25068.0</v>
      </c>
      <c r="B243" s="2" t="s">
        <v>399</v>
      </c>
      <c r="C243" s="2" t="s">
        <v>474</v>
      </c>
      <c r="D243" s="4" t="s">
        <v>475</v>
      </c>
    </row>
    <row r="244">
      <c r="A244" s="3">
        <v>25068.0</v>
      </c>
      <c r="B244" s="2" t="s">
        <v>399</v>
      </c>
      <c r="C244" s="2" t="s">
        <v>476</v>
      </c>
      <c r="D244" s="4" t="s">
        <v>477</v>
      </c>
    </row>
    <row r="245">
      <c r="A245" s="3">
        <v>25069.0</v>
      </c>
      <c r="B245" s="2" t="s">
        <v>399</v>
      </c>
      <c r="C245" s="2" t="s">
        <v>474</v>
      </c>
      <c r="D245" s="4" t="s">
        <v>478</v>
      </c>
    </row>
    <row r="246">
      <c r="A246" s="3">
        <v>25070.0</v>
      </c>
      <c r="B246" s="2" t="s">
        <v>399</v>
      </c>
      <c r="C246" s="2" t="s">
        <v>479</v>
      </c>
      <c r="D246" s="4" t="s">
        <v>480</v>
      </c>
    </row>
    <row r="247">
      <c r="A247" s="3">
        <v>25071.0</v>
      </c>
      <c r="B247" s="2" t="s">
        <v>399</v>
      </c>
      <c r="C247" s="2" t="s">
        <v>481</v>
      </c>
      <c r="D247" s="4" t="s">
        <v>482</v>
      </c>
    </row>
    <row r="248">
      <c r="A248" s="3">
        <v>25073.0</v>
      </c>
      <c r="B248" s="2" t="s">
        <v>399</v>
      </c>
      <c r="C248" s="2" t="s">
        <v>367</v>
      </c>
      <c r="D248" s="4" t="s">
        <v>483</v>
      </c>
    </row>
    <row r="249">
      <c r="A249" s="3">
        <v>25074.0</v>
      </c>
      <c r="B249" s="2" t="s">
        <v>399</v>
      </c>
      <c r="C249" s="2" t="s">
        <v>484</v>
      </c>
      <c r="D249" s="4" t="s">
        <v>485</v>
      </c>
    </row>
    <row r="250">
      <c r="A250" s="3">
        <v>25075.0</v>
      </c>
      <c r="B250" s="2" t="s">
        <v>399</v>
      </c>
      <c r="C250" s="2" t="s">
        <v>486</v>
      </c>
      <c r="D250" s="4" t="s">
        <v>487</v>
      </c>
    </row>
    <row r="251">
      <c r="A251" s="3">
        <v>25076.0</v>
      </c>
      <c r="B251" s="2" t="s">
        <v>399</v>
      </c>
      <c r="C251" s="2" t="s">
        <v>488</v>
      </c>
      <c r="D251" s="4" t="s">
        <v>489</v>
      </c>
    </row>
    <row r="252">
      <c r="A252" s="3">
        <v>25079.0</v>
      </c>
      <c r="B252" s="2" t="s">
        <v>399</v>
      </c>
      <c r="C252" s="2" t="s">
        <v>490</v>
      </c>
      <c r="D252" s="4" t="s">
        <v>491</v>
      </c>
    </row>
    <row r="253">
      <c r="A253" s="3">
        <v>25080.0</v>
      </c>
      <c r="B253" s="2" t="s">
        <v>399</v>
      </c>
      <c r="C253" s="2" t="s">
        <v>492</v>
      </c>
      <c r="D253" s="4" t="s">
        <v>493</v>
      </c>
    </row>
    <row r="254">
      <c r="A254" s="1" t="s">
        <v>494</v>
      </c>
      <c r="B254" s="2" t="s">
        <v>4</v>
      </c>
      <c r="C254" s="2" t="s">
        <v>495</v>
      </c>
      <c r="D254" s="4" t="s">
        <v>496</v>
      </c>
    </row>
    <row r="255">
      <c r="A255" s="1" t="s">
        <v>494</v>
      </c>
      <c r="B255" s="2" t="s">
        <v>4</v>
      </c>
      <c r="C255" s="2" t="s">
        <v>367</v>
      </c>
      <c r="D255" s="4" t="s">
        <v>497</v>
      </c>
    </row>
    <row r="256">
      <c r="A256" s="1" t="s">
        <v>498</v>
      </c>
      <c r="B256" s="2" t="s">
        <v>4</v>
      </c>
      <c r="C256" s="2" t="s">
        <v>499</v>
      </c>
      <c r="D256" s="4" t="s">
        <v>500</v>
      </c>
    </row>
    <row r="257">
      <c r="A257" s="1" t="s">
        <v>501</v>
      </c>
      <c r="B257" s="2" t="s">
        <v>283</v>
      </c>
      <c r="C257" s="2" t="s">
        <v>369</v>
      </c>
      <c r="D257" s="4" t="s">
        <v>502</v>
      </c>
    </row>
    <row r="258">
      <c r="A258" s="1" t="s">
        <v>501</v>
      </c>
      <c r="B258" s="2" t="s">
        <v>283</v>
      </c>
      <c r="C258" s="2" t="s">
        <v>503</v>
      </c>
      <c r="D258" s="4" t="s">
        <v>504</v>
      </c>
    </row>
    <row r="259">
      <c r="A259" s="1" t="s">
        <v>505</v>
      </c>
      <c r="B259" s="2" t="s">
        <v>283</v>
      </c>
      <c r="C259" s="2" t="s">
        <v>506</v>
      </c>
      <c r="D259" s="4" t="s">
        <v>507</v>
      </c>
    </row>
    <row r="260">
      <c r="A260" s="1" t="s">
        <v>508</v>
      </c>
      <c r="B260" s="2" t="s">
        <v>283</v>
      </c>
      <c r="C260" s="2" t="s">
        <v>509</v>
      </c>
      <c r="D260" s="4" t="s">
        <v>510</v>
      </c>
    </row>
    <row r="261">
      <c r="A261" s="1" t="s">
        <v>511</v>
      </c>
      <c r="B261" s="2" t="s">
        <v>283</v>
      </c>
      <c r="C261" s="2" t="s">
        <v>512</v>
      </c>
      <c r="D261" s="4" t="s">
        <v>513</v>
      </c>
    </row>
    <row r="262">
      <c r="A262" s="1" t="s">
        <v>514</v>
      </c>
      <c r="B262" s="2" t="s">
        <v>283</v>
      </c>
      <c r="C262" s="2" t="s">
        <v>367</v>
      </c>
      <c r="D262" s="4" t="s">
        <v>515</v>
      </c>
    </row>
    <row r="263">
      <c r="A263" s="1" t="s">
        <v>516</v>
      </c>
      <c r="B263" s="2" t="s">
        <v>517</v>
      </c>
      <c r="C263" s="2" t="s">
        <v>518</v>
      </c>
      <c r="D263" s="4" t="s">
        <v>519</v>
      </c>
    </row>
    <row r="264">
      <c r="A264" s="1" t="s">
        <v>516</v>
      </c>
      <c r="B264" s="2" t="s">
        <v>517</v>
      </c>
      <c r="C264" s="2" t="s">
        <v>520</v>
      </c>
      <c r="D264" s="4" t="s">
        <v>521</v>
      </c>
    </row>
    <row r="265">
      <c r="A265" s="1" t="s">
        <v>522</v>
      </c>
      <c r="B265" s="2" t="s">
        <v>517</v>
      </c>
      <c r="C265" s="2" t="s">
        <v>523</v>
      </c>
      <c r="D265" s="4" t="s">
        <v>524</v>
      </c>
    </row>
    <row r="266">
      <c r="A266" s="1" t="s">
        <v>525</v>
      </c>
      <c r="B266" s="2" t="s">
        <v>517</v>
      </c>
      <c r="C266" s="2" t="s">
        <v>82</v>
      </c>
      <c r="D266" s="4" t="s">
        <v>526</v>
      </c>
    </row>
    <row r="267">
      <c r="A267" s="1" t="s">
        <v>527</v>
      </c>
      <c r="B267" s="2" t="s">
        <v>517</v>
      </c>
      <c r="C267" s="2" t="s">
        <v>528</v>
      </c>
      <c r="D267" s="4" t="s">
        <v>529</v>
      </c>
    </row>
    <row r="268">
      <c r="A268" s="1" t="s">
        <v>530</v>
      </c>
      <c r="B268" s="2" t="s">
        <v>517</v>
      </c>
      <c r="C268" s="2" t="s">
        <v>82</v>
      </c>
      <c r="D268" s="4" t="s">
        <v>531</v>
      </c>
    </row>
    <row r="269">
      <c r="A269" s="3">
        <v>25113.0</v>
      </c>
      <c r="B269" s="2" t="s">
        <v>517</v>
      </c>
      <c r="C269" s="2" t="s">
        <v>82</v>
      </c>
      <c r="D269" s="4" t="s">
        <v>532</v>
      </c>
    </row>
    <row r="270">
      <c r="A270" s="3">
        <v>25115.0</v>
      </c>
      <c r="B270" s="2" t="s">
        <v>517</v>
      </c>
      <c r="C270" s="2" t="s">
        <v>82</v>
      </c>
      <c r="D270" s="4" t="s">
        <v>533</v>
      </c>
    </row>
    <row r="271">
      <c r="A271" s="3">
        <v>25118.0</v>
      </c>
      <c r="B271" s="2" t="s">
        <v>517</v>
      </c>
      <c r="C271" s="2" t="s">
        <v>82</v>
      </c>
      <c r="D271" s="4" t="s">
        <v>534</v>
      </c>
    </row>
    <row r="272">
      <c r="A272" s="3">
        <v>25120.0</v>
      </c>
      <c r="B272" s="2" t="s">
        <v>517</v>
      </c>
      <c r="C272" s="2" t="s">
        <v>82</v>
      </c>
      <c r="D272" s="4" t="s">
        <v>535</v>
      </c>
    </row>
    <row r="273">
      <c r="A273" s="3">
        <v>25122.0</v>
      </c>
      <c r="B273" s="2" t="s">
        <v>517</v>
      </c>
      <c r="C273" s="2" t="s">
        <v>82</v>
      </c>
      <c r="D273" s="4" t="s">
        <v>536</v>
      </c>
    </row>
    <row r="274">
      <c r="A274" s="3">
        <v>25125.0</v>
      </c>
      <c r="B274" s="2" t="s">
        <v>517</v>
      </c>
      <c r="C274" s="2" t="s">
        <v>537</v>
      </c>
      <c r="D274" s="4" t="s">
        <v>538</v>
      </c>
    </row>
    <row r="275">
      <c r="A275" s="3">
        <v>25129.0</v>
      </c>
      <c r="B275" s="2" t="s">
        <v>517</v>
      </c>
      <c r="C275" s="2" t="s">
        <v>82</v>
      </c>
      <c r="D275" s="4" t="s">
        <v>539</v>
      </c>
    </row>
    <row r="276">
      <c r="A276" s="3">
        <v>25131.0</v>
      </c>
      <c r="B276" s="2" t="s">
        <v>517</v>
      </c>
      <c r="C276" s="2" t="s">
        <v>540</v>
      </c>
      <c r="D276" s="4" t="s">
        <v>541</v>
      </c>
    </row>
    <row r="277">
      <c r="A277" s="3">
        <v>25131.0</v>
      </c>
      <c r="B277" s="2" t="s">
        <v>517</v>
      </c>
      <c r="C277" s="2" t="s">
        <v>379</v>
      </c>
      <c r="D277" s="4" t="s">
        <v>542</v>
      </c>
    </row>
    <row r="278">
      <c r="A278" s="3">
        <v>25132.0</v>
      </c>
      <c r="B278" s="2" t="s">
        <v>517</v>
      </c>
      <c r="C278" s="2" t="s">
        <v>543</v>
      </c>
      <c r="D278" s="4" t="s">
        <v>544</v>
      </c>
    </row>
    <row r="279">
      <c r="A279" s="3">
        <v>25132.0</v>
      </c>
      <c r="B279" s="2" t="s">
        <v>517</v>
      </c>
      <c r="C279" s="2" t="s">
        <v>428</v>
      </c>
      <c r="D279" s="4" t="s">
        <v>545</v>
      </c>
    </row>
    <row r="280">
      <c r="A280" s="3">
        <v>25132.0</v>
      </c>
      <c r="B280" s="2" t="s">
        <v>517</v>
      </c>
      <c r="C280" s="2" t="s">
        <v>546</v>
      </c>
      <c r="D280" s="4" t="s">
        <v>547</v>
      </c>
    </row>
    <row r="281">
      <c r="A281" s="3">
        <v>25132.0</v>
      </c>
      <c r="B281" s="2" t="s">
        <v>517</v>
      </c>
      <c r="C281" s="2" t="s">
        <v>548</v>
      </c>
      <c r="D281" s="4" t="s">
        <v>549</v>
      </c>
    </row>
    <row r="282">
      <c r="A282" s="3">
        <v>25134.0</v>
      </c>
      <c r="B282" s="2" t="s">
        <v>399</v>
      </c>
      <c r="C282" s="2" t="s">
        <v>550</v>
      </c>
      <c r="D282" s="4" t="s">
        <v>551</v>
      </c>
    </row>
    <row r="283">
      <c r="A283" s="3">
        <v>25136.0</v>
      </c>
      <c r="B283" s="2" t="s">
        <v>399</v>
      </c>
      <c r="C283" s="2" t="s">
        <v>552</v>
      </c>
      <c r="D283" s="4" t="s">
        <v>553</v>
      </c>
    </row>
    <row r="284">
      <c r="A284" s="3">
        <v>25137.0</v>
      </c>
      <c r="B284" s="2" t="s">
        <v>399</v>
      </c>
      <c r="C284" s="2" t="s">
        <v>82</v>
      </c>
      <c r="D284" s="4" t="s">
        <v>554</v>
      </c>
    </row>
    <row r="285">
      <c r="A285" s="3">
        <v>25141.0</v>
      </c>
      <c r="B285" s="2" t="s">
        <v>345</v>
      </c>
      <c r="C285" s="2" t="s">
        <v>422</v>
      </c>
      <c r="D285" s="4" t="s">
        <v>555</v>
      </c>
    </row>
    <row r="286">
      <c r="A286" s="3">
        <v>25147.0</v>
      </c>
      <c r="B286" s="2" t="s">
        <v>345</v>
      </c>
      <c r="C286" s="2" t="s">
        <v>556</v>
      </c>
      <c r="D286" s="4" t="s">
        <v>557</v>
      </c>
    </row>
    <row r="287">
      <c r="A287" s="3">
        <v>25150.0</v>
      </c>
      <c r="B287" s="2" t="s">
        <v>345</v>
      </c>
      <c r="C287" s="2" t="s">
        <v>558</v>
      </c>
      <c r="D287" s="4" t="s">
        <v>559</v>
      </c>
    </row>
    <row r="288">
      <c r="A288" s="3">
        <v>25151.0</v>
      </c>
      <c r="B288" s="2" t="s">
        <v>345</v>
      </c>
      <c r="C288" s="2" t="s">
        <v>560</v>
      </c>
      <c r="D288" s="4" t="s">
        <v>561</v>
      </c>
    </row>
    <row r="289">
      <c r="A289" s="3">
        <v>25152.0</v>
      </c>
      <c r="B289" s="2" t="s">
        <v>345</v>
      </c>
      <c r="C289" s="2" t="s">
        <v>562</v>
      </c>
      <c r="D289" s="4" t="s">
        <v>563</v>
      </c>
    </row>
    <row r="290">
      <c r="A290" s="3">
        <v>25155.0</v>
      </c>
      <c r="B290" s="2" t="s">
        <v>345</v>
      </c>
      <c r="C290" s="2" t="s">
        <v>564</v>
      </c>
      <c r="D290" s="4" t="s">
        <v>565</v>
      </c>
    </row>
    <row r="291">
      <c r="A291" s="3">
        <v>25156.0</v>
      </c>
      <c r="B291" s="2" t="s">
        <v>345</v>
      </c>
      <c r="C291" s="2" t="s">
        <v>566</v>
      </c>
      <c r="D291" s="4" t="s">
        <v>567</v>
      </c>
    </row>
    <row r="292">
      <c r="A292" s="3">
        <v>25157.0</v>
      </c>
      <c r="B292" s="2" t="s">
        <v>345</v>
      </c>
      <c r="C292" s="2" t="s">
        <v>82</v>
      </c>
      <c r="D292" s="4" t="s">
        <v>568</v>
      </c>
    </row>
    <row r="293">
      <c r="A293" s="3">
        <v>25160.0</v>
      </c>
      <c r="B293" s="2" t="s">
        <v>345</v>
      </c>
      <c r="C293" s="2" t="s">
        <v>569</v>
      </c>
      <c r="D293" s="4" t="s">
        <v>570</v>
      </c>
    </row>
    <row r="294">
      <c r="A294" s="3">
        <v>25165.0</v>
      </c>
      <c r="B294" s="2" t="s">
        <v>345</v>
      </c>
      <c r="C294" s="2" t="s">
        <v>571</v>
      </c>
      <c r="D294" s="4" t="s">
        <v>572</v>
      </c>
    </row>
    <row r="295">
      <c r="A295" s="3">
        <v>25167.0</v>
      </c>
      <c r="B295" s="2" t="s">
        <v>345</v>
      </c>
      <c r="C295" s="2" t="s">
        <v>573</v>
      </c>
      <c r="D295" s="4" t="s">
        <v>574</v>
      </c>
    </row>
    <row r="296">
      <c r="A296" s="3">
        <v>25169.0</v>
      </c>
      <c r="B296" s="2" t="s">
        <v>345</v>
      </c>
      <c r="C296" s="2" t="s">
        <v>575</v>
      </c>
      <c r="D296" s="4" t="s">
        <v>576</v>
      </c>
    </row>
    <row r="297">
      <c r="A297" s="3">
        <v>25171.0</v>
      </c>
      <c r="B297" s="2" t="s">
        <v>345</v>
      </c>
      <c r="C297" s="2" t="s">
        <v>577</v>
      </c>
      <c r="D297" s="4" t="s">
        <v>578</v>
      </c>
    </row>
    <row r="298">
      <c r="A298" s="3">
        <v>25173.0</v>
      </c>
      <c r="B298" s="2" t="s">
        <v>345</v>
      </c>
      <c r="C298" s="2" t="s">
        <v>579</v>
      </c>
      <c r="D298" s="4" t="s">
        <v>580</v>
      </c>
    </row>
    <row r="299">
      <c r="A299" s="3">
        <v>25174.0</v>
      </c>
      <c r="B299" s="2" t="s">
        <v>345</v>
      </c>
      <c r="C299" s="2" t="s">
        <v>369</v>
      </c>
      <c r="D299" s="4" t="s">
        <v>581</v>
      </c>
    </row>
    <row r="300">
      <c r="A300" s="3">
        <v>25174.0</v>
      </c>
      <c r="B300" s="2" t="s">
        <v>345</v>
      </c>
      <c r="C300" s="2" t="s">
        <v>582</v>
      </c>
      <c r="D300" s="4" t="s">
        <v>583</v>
      </c>
    </row>
    <row r="301">
      <c r="A301" s="3">
        <v>25176.0</v>
      </c>
      <c r="B301" s="2" t="s">
        <v>345</v>
      </c>
      <c r="C301" s="2" t="s">
        <v>82</v>
      </c>
      <c r="D301" s="4" t="s">
        <v>584</v>
      </c>
    </row>
    <row r="302">
      <c r="A302" s="3">
        <v>25178.0</v>
      </c>
      <c r="B302" s="2" t="s">
        <v>345</v>
      </c>
      <c r="C302" s="2" t="s">
        <v>585</v>
      </c>
      <c r="D302" s="4" t="s">
        <v>586</v>
      </c>
    </row>
    <row r="303">
      <c r="A303" s="3">
        <v>25181.0</v>
      </c>
      <c r="B303" s="2" t="s">
        <v>345</v>
      </c>
      <c r="C303" s="2" t="s">
        <v>587</v>
      </c>
      <c r="D303" s="4" t="s">
        <v>588</v>
      </c>
    </row>
    <row r="304">
      <c r="A304" s="3">
        <v>25183.0</v>
      </c>
      <c r="B304" s="2" t="s">
        <v>345</v>
      </c>
      <c r="C304" s="2" t="s">
        <v>589</v>
      </c>
      <c r="D304" s="4" t="s">
        <v>590</v>
      </c>
    </row>
    <row r="305">
      <c r="A305" s="3">
        <v>25185.0</v>
      </c>
      <c r="B305" s="2" t="s">
        <v>345</v>
      </c>
      <c r="C305" s="2" t="s">
        <v>591</v>
      </c>
      <c r="D305" s="4" t="s">
        <v>592</v>
      </c>
    </row>
    <row r="306">
      <c r="A306" s="3">
        <v>25188.0</v>
      </c>
      <c r="B306" s="2" t="s">
        <v>345</v>
      </c>
      <c r="C306" s="2" t="s">
        <v>593</v>
      </c>
      <c r="D306" s="4" t="s">
        <v>594</v>
      </c>
    </row>
    <row r="307">
      <c r="A307" s="3">
        <v>25189.0</v>
      </c>
      <c r="B307" s="2" t="s">
        <v>345</v>
      </c>
      <c r="C307" s="2" t="s">
        <v>358</v>
      </c>
      <c r="D307" s="4" t="s">
        <v>595</v>
      </c>
    </row>
    <row r="308">
      <c r="A308" s="3">
        <v>25191.0</v>
      </c>
      <c r="B308" s="2" t="s">
        <v>345</v>
      </c>
      <c r="C308" s="2" t="s">
        <v>596</v>
      </c>
      <c r="D308" s="4" t="s">
        <v>597</v>
      </c>
    </row>
    <row r="309">
      <c r="A309" s="3">
        <v>25191.0</v>
      </c>
      <c r="B309" s="2" t="s">
        <v>345</v>
      </c>
      <c r="C309" s="2" t="s">
        <v>360</v>
      </c>
      <c r="D309" s="4" t="s">
        <v>598</v>
      </c>
    </row>
    <row r="310">
      <c r="A310" s="3">
        <v>25191.0</v>
      </c>
      <c r="B310" s="2" t="s">
        <v>345</v>
      </c>
      <c r="C310" s="2" t="s">
        <v>596</v>
      </c>
      <c r="D310" s="4" t="s">
        <v>597</v>
      </c>
    </row>
    <row r="311">
      <c r="A311" s="3">
        <v>25192.0</v>
      </c>
      <c r="B311" s="2" t="s">
        <v>345</v>
      </c>
      <c r="C311" s="2" t="s">
        <v>599</v>
      </c>
      <c r="D311" s="4" t="s">
        <v>600</v>
      </c>
    </row>
    <row r="312">
      <c r="A312" s="3">
        <v>25193.0</v>
      </c>
      <c r="B312" s="2" t="s">
        <v>345</v>
      </c>
      <c r="C312" s="2" t="s">
        <v>601</v>
      </c>
      <c r="D312" s="4" t="s">
        <v>602</v>
      </c>
    </row>
    <row r="313">
      <c r="A313" s="3">
        <v>25194.0</v>
      </c>
      <c r="B313" s="2" t="s">
        <v>345</v>
      </c>
      <c r="C313" s="2" t="s">
        <v>603</v>
      </c>
      <c r="D313" s="4" t="s">
        <v>604</v>
      </c>
    </row>
    <row r="314">
      <c r="A314" s="3">
        <v>25195.0</v>
      </c>
      <c r="B314" s="2" t="s">
        <v>345</v>
      </c>
      <c r="C314" s="2" t="s">
        <v>605</v>
      </c>
      <c r="D314" s="4" t="s">
        <v>606</v>
      </c>
    </row>
    <row r="315">
      <c r="A315" s="3">
        <v>25195.0</v>
      </c>
      <c r="B315" s="2" t="s">
        <v>345</v>
      </c>
      <c r="C315" s="2" t="s">
        <v>607</v>
      </c>
      <c r="D315" s="4" t="s">
        <v>608</v>
      </c>
    </row>
    <row r="316">
      <c r="A316" s="3">
        <v>25197.0</v>
      </c>
      <c r="B316" s="2" t="s">
        <v>345</v>
      </c>
      <c r="C316" s="2" t="s">
        <v>609</v>
      </c>
      <c r="D316" s="4" t="s">
        <v>610</v>
      </c>
    </row>
    <row r="317">
      <c r="A317" s="3">
        <v>25197.0</v>
      </c>
      <c r="B317" s="2" t="s">
        <v>345</v>
      </c>
      <c r="C317" s="2" t="s">
        <v>611</v>
      </c>
      <c r="D317" s="4" t="s">
        <v>612</v>
      </c>
    </row>
    <row r="318">
      <c r="A318" s="3">
        <v>25198.0</v>
      </c>
      <c r="B318" s="2" t="s">
        <v>345</v>
      </c>
      <c r="C318" s="2" t="s">
        <v>613</v>
      </c>
      <c r="D318" s="4" t="s">
        <v>614</v>
      </c>
    </row>
    <row r="319">
      <c r="A319" s="3">
        <v>25198.0</v>
      </c>
      <c r="B319" s="2" t="s">
        <v>345</v>
      </c>
      <c r="C319" s="2" t="s">
        <v>615</v>
      </c>
      <c r="D319" s="4" t="s">
        <v>616</v>
      </c>
    </row>
    <row r="320">
      <c r="A320" s="3">
        <v>25198.0</v>
      </c>
      <c r="B320" s="2" t="s">
        <v>345</v>
      </c>
      <c r="C320" s="2" t="s">
        <v>617</v>
      </c>
      <c r="D320" s="4" t="s">
        <v>618</v>
      </c>
    </row>
    <row r="321">
      <c r="A321" s="3">
        <v>25199.0</v>
      </c>
      <c r="B321" s="2" t="s">
        <v>345</v>
      </c>
      <c r="C321" s="2" t="s">
        <v>619</v>
      </c>
      <c r="D321" s="4" t="s">
        <v>620</v>
      </c>
    </row>
    <row r="322">
      <c r="A322" s="3">
        <v>25199.0</v>
      </c>
      <c r="B322" s="2" t="s">
        <v>345</v>
      </c>
      <c r="C322" s="2" t="s">
        <v>619</v>
      </c>
      <c r="D322" s="4" t="s">
        <v>620</v>
      </c>
    </row>
    <row r="323">
      <c r="A323" s="3">
        <v>25200.0</v>
      </c>
      <c r="B323" s="2" t="s">
        <v>345</v>
      </c>
      <c r="C323" s="2" t="s">
        <v>621</v>
      </c>
      <c r="D323" s="4" t="s">
        <v>622</v>
      </c>
    </row>
    <row r="324">
      <c r="A324" s="3">
        <v>25200.0</v>
      </c>
      <c r="B324" s="2" t="s">
        <v>345</v>
      </c>
      <c r="C324" s="2" t="s">
        <v>623</v>
      </c>
      <c r="D324" s="4" t="s">
        <v>624</v>
      </c>
    </row>
    <row r="325">
      <c r="A325" s="3">
        <v>25201.0</v>
      </c>
      <c r="B325" s="2" t="s">
        <v>345</v>
      </c>
      <c r="C325" s="2" t="s">
        <v>346</v>
      </c>
      <c r="D325" s="4" t="s">
        <v>625</v>
      </c>
    </row>
    <row r="326">
      <c r="A326" s="3">
        <v>25202.0</v>
      </c>
      <c r="B326" s="2" t="s">
        <v>345</v>
      </c>
      <c r="C326" s="2" t="s">
        <v>626</v>
      </c>
      <c r="D326" s="4" t="s">
        <v>627</v>
      </c>
    </row>
    <row r="327">
      <c r="A327" s="3">
        <v>25202.0</v>
      </c>
      <c r="B327" s="2" t="s">
        <v>345</v>
      </c>
      <c r="C327" s="2" t="s">
        <v>628</v>
      </c>
      <c r="D327" s="4" t="s">
        <v>629</v>
      </c>
    </row>
    <row r="328">
      <c r="A328" s="3">
        <v>25203.0</v>
      </c>
      <c r="B328" s="2" t="s">
        <v>345</v>
      </c>
      <c r="C328" s="2" t="s">
        <v>630</v>
      </c>
      <c r="D328" s="4" t="s">
        <v>631</v>
      </c>
    </row>
    <row r="329">
      <c r="A329" s="3">
        <v>25204.0</v>
      </c>
      <c r="B329" s="2" t="s">
        <v>345</v>
      </c>
      <c r="C329" s="2" t="s">
        <v>632</v>
      </c>
      <c r="D329" s="4" t="s">
        <v>633</v>
      </c>
    </row>
    <row r="330">
      <c r="A330" s="3">
        <v>25205.0</v>
      </c>
      <c r="B330" s="2" t="s">
        <v>345</v>
      </c>
      <c r="C330" s="2" t="s">
        <v>634</v>
      </c>
      <c r="D330" s="4" t="s">
        <v>635</v>
      </c>
    </row>
    <row r="331">
      <c r="A331" s="3">
        <v>25206.0</v>
      </c>
      <c r="B331" s="2" t="s">
        <v>345</v>
      </c>
      <c r="C331" s="2" t="s">
        <v>636</v>
      </c>
      <c r="D331" s="4" t="s">
        <v>637</v>
      </c>
    </row>
    <row r="332">
      <c r="A332" s="3">
        <v>25207.0</v>
      </c>
      <c r="B332" s="2" t="s">
        <v>345</v>
      </c>
      <c r="C332" s="2" t="s">
        <v>638</v>
      </c>
      <c r="D332" s="4" t="s">
        <v>639</v>
      </c>
    </row>
    <row r="333">
      <c r="A333" s="3">
        <v>25209.0</v>
      </c>
      <c r="B333" s="2" t="s">
        <v>345</v>
      </c>
      <c r="C333" s="2" t="s">
        <v>640</v>
      </c>
      <c r="D333" s="4" t="s">
        <v>641</v>
      </c>
    </row>
    <row r="334">
      <c r="A334" s="3">
        <v>25209.0</v>
      </c>
      <c r="B334" s="2" t="s">
        <v>345</v>
      </c>
      <c r="C334" s="2" t="s">
        <v>642</v>
      </c>
      <c r="D334" s="4" t="s">
        <v>643</v>
      </c>
    </row>
    <row r="335">
      <c r="A335" s="3">
        <v>25211.0</v>
      </c>
      <c r="B335" s="2" t="s">
        <v>345</v>
      </c>
      <c r="C335" s="2" t="s">
        <v>644</v>
      </c>
      <c r="D335" s="4" t="s">
        <v>645</v>
      </c>
    </row>
    <row r="336">
      <c r="A336" s="3">
        <v>25211.0</v>
      </c>
      <c r="B336" s="2" t="s">
        <v>345</v>
      </c>
      <c r="C336" s="2" t="s">
        <v>646</v>
      </c>
      <c r="D336" s="4" t="s">
        <v>647</v>
      </c>
    </row>
    <row r="337">
      <c r="A337" s="3">
        <v>25212.0</v>
      </c>
      <c r="B337" s="2" t="s">
        <v>345</v>
      </c>
      <c r="C337" s="2" t="s">
        <v>648</v>
      </c>
      <c r="D337" s="4" t="s">
        <v>649</v>
      </c>
    </row>
    <row r="338">
      <c r="A338" s="3">
        <v>25212.0</v>
      </c>
      <c r="B338" s="2" t="s">
        <v>345</v>
      </c>
      <c r="C338" s="2" t="s">
        <v>650</v>
      </c>
      <c r="D338" s="4" t="s">
        <v>651</v>
      </c>
    </row>
    <row r="339">
      <c r="A339" s="3">
        <v>25213.0</v>
      </c>
      <c r="B339" s="2" t="s">
        <v>345</v>
      </c>
      <c r="C339" s="2" t="s">
        <v>652</v>
      </c>
      <c r="D339" s="4" t="s">
        <v>653</v>
      </c>
    </row>
    <row r="340">
      <c r="A340" s="3">
        <v>25213.0</v>
      </c>
      <c r="B340" s="2" t="s">
        <v>345</v>
      </c>
      <c r="C340" s="2" t="s">
        <v>654</v>
      </c>
      <c r="D340" s="4" t="s">
        <v>655</v>
      </c>
    </row>
    <row r="341">
      <c r="A341" s="3">
        <v>25214.0</v>
      </c>
      <c r="B341" s="2" t="s">
        <v>345</v>
      </c>
      <c r="C341" s="2" t="s">
        <v>656</v>
      </c>
      <c r="D341" s="4" t="s">
        <v>657</v>
      </c>
    </row>
    <row r="342">
      <c r="A342" s="3">
        <v>25214.0</v>
      </c>
      <c r="B342" s="2" t="s">
        <v>345</v>
      </c>
      <c r="C342" s="2" t="s">
        <v>658</v>
      </c>
      <c r="D342" s="4" t="s">
        <v>659</v>
      </c>
    </row>
    <row r="343">
      <c r="A343" s="3">
        <v>25215.0</v>
      </c>
      <c r="B343" s="2" t="s">
        <v>345</v>
      </c>
      <c r="C343" s="2" t="s">
        <v>660</v>
      </c>
      <c r="D343" s="4" t="s">
        <v>661</v>
      </c>
    </row>
    <row r="344">
      <c r="A344" s="3">
        <v>25216.0</v>
      </c>
      <c r="B344" s="2" t="s">
        <v>345</v>
      </c>
      <c r="C344" s="2" t="s">
        <v>662</v>
      </c>
      <c r="D344" s="4" t="s">
        <v>663</v>
      </c>
    </row>
    <row r="345">
      <c r="A345" s="3">
        <v>25216.0</v>
      </c>
      <c r="B345" s="2" t="s">
        <v>345</v>
      </c>
      <c r="C345" s="2" t="s">
        <v>367</v>
      </c>
      <c r="D345" s="4" t="s">
        <v>664</v>
      </c>
    </row>
    <row r="346">
      <c r="A346" s="3">
        <v>25217.0</v>
      </c>
      <c r="B346" s="2" t="s">
        <v>345</v>
      </c>
      <c r="C346" s="2" t="s">
        <v>665</v>
      </c>
      <c r="D346" s="4" t="s">
        <v>666</v>
      </c>
    </row>
    <row r="347">
      <c r="A347" s="3">
        <v>25218.0</v>
      </c>
      <c r="B347" s="2" t="s">
        <v>345</v>
      </c>
      <c r="C347" s="2" t="s">
        <v>82</v>
      </c>
      <c r="D347" s="4" t="s">
        <v>667</v>
      </c>
    </row>
    <row r="348">
      <c r="A348" s="3">
        <v>25219.0</v>
      </c>
      <c r="B348" s="2" t="s">
        <v>345</v>
      </c>
      <c r="C348" s="2" t="s">
        <v>638</v>
      </c>
      <c r="D348" s="4" t="s">
        <v>668</v>
      </c>
    </row>
    <row r="349">
      <c r="A349" s="3">
        <v>25222.0</v>
      </c>
      <c r="B349" s="2" t="s">
        <v>345</v>
      </c>
      <c r="C349" s="2" t="s">
        <v>669</v>
      </c>
      <c r="D349" s="4" t="s">
        <v>670</v>
      </c>
    </row>
    <row r="350">
      <c r="A350" s="3">
        <v>25223.0</v>
      </c>
      <c r="B350" s="2" t="s">
        <v>345</v>
      </c>
      <c r="C350" s="2" t="s">
        <v>671</v>
      </c>
      <c r="D350" s="4" t="s">
        <v>672</v>
      </c>
    </row>
    <row r="351">
      <c r="A351" s="3">
        <v>25223.0</v>
      </c>
      <c r="B351" s="2" t="s">
        <v>345</v>
      </c>
      <c r="C351" s="2" t="s">
        <v>673</v>
      </c>
      <c r="D351" s="4" t="s">
        <v>674</v>
      </c>
    </row>
    <row r="352">
      <c r="A352" s="3">
        <v>25225.0</v>
      </c>
      <c r="B352" s="2" t="s">
        <v>345</v>
      </c>
      <c r="C352" s="2" t="s">
        <v>675</v>
      </c>
      <c r="D352" s="4" t="s">
        <v>676</v>
      </c>
    </row>
    <row r="353">
      <c r="A353" s="3">
        <v>25234.0</v>
      </c>
      <c r="B353" s="2" t="s">
        <v>345</v>
      </c>
      <c r="C353" s="2" t="s">
        <v>677</v>
      </c>
      <c r="D353" s="4" t="s">
        <v>678</v>
      </c>
    </row>
    <row r="354">
      <c r="A354" s="3">
        <v>25241.0</v>
      </c>
      <c r="B354" s="2" t="s">
        <v>345</v>
      </c>
      <c r="C354" s="2" t="s">
        <v>679</v>
      </c>
      <c r="D354" s="4" t="s">
        <v>680</v>
      </c>
    </row>
    <row r="355">
      <c r="A355" s="3">
        <v>25242.0</v>
      </c>
      <c r="B355" s="2" t="s">
        <v>345</v>
      </c>
      <c r="C355" s="2" t="s">
        <v>681</v>
      </c>
      <c r="D355" s="4" t="s">
        <v>682</v>
      </c>
    </row>
    <row r="356">
      <c r="A356" s="3">
        <v>25243.0</v>
      </c>
      <c r="B356" s="2" t="s">
        <v>345</v>
      </c>
      <c r="C356" s="2" t="s">
        <v>367</v>
      </c>
      <c r="D356" s="4" t="s">
        <v>683</v>
      </c>
    </row>
    <row r="357">
      <c r="A357" s="3">
        <v>25244.0</v>
      </c>
      <c r="B357" s="2" t="s">
        <v>345</v>
      </c>
      <c r="C357" s="2" t="s">
        <v>367</v>
      </c>
      <c r="D357" s="4" t="s">
        <v>684</v>
      </c>
    </row>
    <row r="358">
      <c r="A358" s="3">
        <v>25245.0</v>
      </c>
      <c r="B358" s="2" t="s">
        <v>345</v>
      </c>
      <c r="C358" s="2" t="s">
        <v>367</v>
      </c>
      <c r="D358" s="4" t="s">
        <v>685</v>
      </c>
    </row>
    <row r="359">
      <c r="A359" s="3">
        <v>25246.0</v>
      </c>
      <c r="B359" s="2" t="s">
        <v>345</v>
      </c>
      <c r="C359" s="2" t="s">
        <v>686</v>
      </c>
      <c r="D359" s="4" t="s">
        <v>687</v>
      </c>
    </row>
    <row r="360">
      <c r="A360" s="3">
        <v>25246.0</v>
      </c>
      <c r="B360" s="2" t="s">
        <v>345</v>
      </c>
      <c r="C360" s="2" t="s">
        <v>686</v>
      </c>
      <c r="D360" s="4" t="s">
        <v>687</v>
      </c>
    </row>
    <row r="361">
      <c r="A361" s="3">
        <v>25246.0</v>
      </c>
      <c r="B361" s="2" t="s">
        <v>345</v>
      </c>
      <c r="C361" s="2" t="s">
        <v>362</v>
      </c>
      <c r="D361" s="4" t="s">
        <v>688</v>
      </c>
    </row>
    <row r="362">
      <c r="A362" s="3">
        <v>25247.0</v>
      </c>
      <c r="B362" s="2" t="s">
        <v>345</v>
      </c>
      <c r="C362" s="2" t="s">
        <v>689</v>
      </c>
      <c r="D362" s="4" t="s">
        <v>690</v>
      </c>
    </row>
    <row r="363">
      <c r="A363" s="3">
        <v>25248.0</v>
      </c>
      <c r="B363" s="2" t="s">
        <v>345</v>
      </c>
      <c r="C363" s="2" t="s">
        <v>691</v>
      </c>
      <c r="D363" s="4" t="s">
        <v>692</v>
      </c>
    </row>
    <row r="364">
      <c r="A364" s="3">
        <v>25249.0</v>
      </c>
      <c r="B364" s="2" t="s">
        <v>345</v>
      </c>
      <c r="C364" s="2" t="s">
        <v>693</v>
      </c>
      <c r="D364" s="4" t="s">
        <v>694</v>
      </c>
    </row>
    <row r="365">
      <c r="A365" s="3">
        <v>25250.0</v>
      </c>
      <c r="B365" s="2" t="s">
        <v>345</v>
      </c>
      <c r="C365" s="2" t="s">
        <v>695</v>
      </c>
      <c r="D365" s="4" t="s">
        <v>696</v>
      </c>
    </row>
    <row r="366">
      <c r="A366" s="3">
        <v>25251.0</v>
      </c>
      <c r="B366" s="2" t="s">
        <v>345</v>
      </c>
      <c r="C366" s="2" t="s">
        <v>697</v>
      </c>
      <c r="D366" s="4" t="s">
        <v>698</v>
      </c>
    </row>
    <row r="367">
      <c r="A367" s="3">
        <v>25252.0</v>
      </c>
      <c r="B367" s="2" t="s">
        <v>345</v>
      </c>
      <c r="C367" s="2" t="s">
        <v>699</v>
      </c>
      <c r="D367" s="4" t="s">
        <v>700</v>
      </c>
    </row>
    <row r="368">
      <c r="A368" s="3">
        <v>25253.0</v>
      </c>
      <c r="B368" s="2" t="s">
        <v>345</v>
      </c>
      <c r="C368" s="2" t="s">
        <v>701</v>
      </c>
      <c r="D368" s="4" t="s">
        <v>702</v>
      </c>
    </row>
    <row r="369">
      <c r="A369" s="3">
        <v>25254.0</v>
      </c>
      <c r="B369" s="2" t="s">
        <v>345</v>
      </c>
      <c r="C369" s="2" t="s">
        <v>703</v>
      </c>
      <c r="D369" s="4" t="s">
        <v>704</v>
      </c>
    </row>
    <row r="370">
      <c r="A370" s="3">
        <v>25256.0</v>
      </c>
      <c r="B370" s="2" t="s">
        <v>345</v>
      </c>
      <c r="C370" s="2" t="s">
        <v>369</v>
      </c>
      <c r="D370" s="4" t="s">
        <v>705</v>
      </c>
    </row>
    <row r="371">
      <c r="A371" s="5">
        <v>25267.0</v>
      </c>
      <c r="B371" s="2" t="s">
        <v>706</v>
      </c>
      <c r="C371" s="2" t="s">
        <v>707</v>
      </c>
      <c r="D371" s="4" t="s">
        <v>708</v>
      </c>
    </row>
    <row r="372">
      <c r="A372" s="5">
        <v>25271.0</v>
      </c>
      <c r="B372" s="2" t="s">
        <v>345</v>
      </c>
      <c r="C372" s="2" t="s">
        <v>428</v>
      </c>
      <c r="D372" s="4" t="s">
        <v>709</v>
      </c>
    </row>
    <row r="373">
      <c r="A373" s="5">
        <v>25272.0</v>
      </c>
      <c r="B373" s="2" t="s">
        <v>345</v>
      </c>
      <c r="C373" s="2" t="s">
        <v>710</v>
      </c>
      <c r="D373" s="4" t="s">
        <v>711</v>
      </c>
    </row>
    <row r="374">
      <c r="A374" s="5">
        <v>25273.0</v>
      </c>
      <c r="B374" s="2" t="s">
        <v>706</v>
      </c>
      <c r="C374" s="2" t="s">
        <v>434</v>
      </c>
      <c r="D374" s="4" t="s">
        <v>712</v>
      </c>
    </row>
    <row r="375">
      <c r="A375" s="5">
        <v>25276.0</v>
      </c>
      <c r="B375" s="2" t="s">
        <v>706</v>
      </c>
      <c r="C375" s="2" t="s">
        <v>82</v>
      </c>
      <c r="D375" s="4" t="s">
        <v>713</v>
      </c>
    </row>
    <row r="376">
      <c r="A376" s="5">
        <v>25277.0</v>
      </c>
      <c r="B376" s="2" t="s">
        <v>706</v>
      </c>
      <c r="C376" s="2" t="s">
        <v>714</v>
      </c>
      <c r="D376" s="4" t="s">
        <v>715</v>
      </c>
    </row>
    <row r="377">
      <c r="A377" s="5">
        <v>25277.0</v>
      </c>
      <c r="B377" s="2" t="s">
        <v>706</v>
      </c>
      <c r="C377" s="2" t="s">
        <v>716</v>
      </c>
      <c r="D377" s="4" t="s">
        <v>717</v>
      </c>
    </row>
    <row r="378">
      <c r="A378" s="5">
        <v>25282.0</v>
      </c>
      <c r="B378" s="2" t="s">
        <v>706</v>
      </c>
      <c r="C378" s="2" t="s">
        <v>718</v>
      </c>
      <c r="D378" s="4" t="s">
        <v>719</v>
      </c>
    </row>
    <row r="379">
      <c r="A379" s="5">
        <v>25284.0</v>
      </c>
      <c r="B379" s="2" t="s">
        <v>706</v>
      </c>
      <c r="C379" s="2" t="s">
        <v>82</v>
      </c>
      <c r="D379" s="4" t="s">
        <v>720</v>
      </c>
    </row>
    <row r="380">
      <c r="A380" s="5">
        <v>25285.0</v>
      </c>
      <c r="B380" s="2" t="s">
        <v>706</v>
      </c>
      <c r="C380" s="2" t="s">
        <v>721</v>
      </c>
      <c r="D380" s="4" t="s">
        <v>722</v>
      </c>
    </row>
    <row r="381">
      <c r="A381" s="5">
        <v>25286.0</v>
      </c>
      <c r="B381" s="2" t="s">
        <v>706</v>
      </c>
      <c r="C381" s="2" t="s">
        <v>723</v>
      </c>
      <c r="D381" s="4" t="s">
        <v>724</v>
      </c>
    </row>
    <row r="382">
      <c r="A382" s="5">
        <v>25287.0</v>
      </c>
      <c r="B382" s="2" t="s">
        <v>706</v>
      </c>
      <c r="C382" s="2" t="s">
        <v>725</v>
      </c>
      <c r="D382" s="4" t="s">
        <v>726</v>
      </c>
    </row>
    <row r="383">
      <c r="A383" s="5">
        <v>25289.0</v>
      </c>
      <c r="B383" s="2" t="s">
        <v>706</v>
      </c>
      <c r="C383" s="2" t="s">
        <v>727</v>
      </c>
      <c r="D383" s="4" t="s">
        <v>728</v>
      </c>
    </row>
    <row r="384">
      <c r="A384" s="5">
        <v>25290.0</v>
      </c>
      <c r="B384" s="2" t="s">
        <v>706</v>
      </c>
      <c r="C384" s="2" t="s">
        <v>457</v>
      </c>
      <c r="D384" s="4" t="s">
        <v>729</v>
      </c>
    </row>
    <row r="385">
      <c r="A385" s="5">
        <v>25290.0</v>
      </c>
      <c r="B385" s="2" t="s">
        <v>706</v>
      </c>
      <c r="C385" s="2" t="s">
        <v>730</v>
      </c>
      <c r="D385" s="4" t="s">
        <v>731</v>
      </c>
    </row>
    <row r="386">
      <c r="A386" s="5">
        <v>25292.0</v>
      </c>
      <c r="B386" s="2" t="s">
        <v>706</v>
      </c>
      <c r="C386" s="2" t="s">
        <v>82</v>
      </c>
      <c r="D386" s="4" t="s">
        <v>732</v>
      </c>
    </row>
    <row r="387">
      <c r="A387" s="5">
        <v>25293.0</v>
      </c>
      <c r="B387" s="2" t="s">
        <v>283</v>
      </c>
      <c r="C387" s="2" t="s">
        <v>733</v>
      </c>
      <c r="D387" s="4" t="s">
        <v>734</v>
      </c>
    </row>
    <row r="388">
      <c r="A388" s="5">
        <v>25294.0</v>
      </c>
      <c r="B388" s="2" t="s">
        <v>283</v>
      </c>
      <c r="C388" s="2" t="s">
        <v>735</v>
      </c>
      <c r="D388" s="4" t="s">
        <v>736</v>
      </c>
    </row>
    <row r="389">
      <c r="A389" s="5">
        <v>25302.0</v>
      </c>
      <c r="B389" s="2" t="s">
        <v>4</v>
      </c>
      <c r="C389" s="2" t="s">
        <v>737</v>
      </c>
      <c r="D389" s="4" t="s">
        <v>738</v>
      </c>
    </row>
    <row r="390">
      <c r="A390" s="5">
        <v>25302.0</v>
      </c>
      <c r="B390" s="2" t="s">
        <v>4</v>
      </c>
      <c r="C390" s="2" t="s">
        <v>312</v>
      </c>
      <c r="D390" s="4" t="s">
        <v>739</v>
      </c>
    </row>
    <row r="391">
      <c r="A391" s="5">
        <v>25303.0</v>
      </c>
      <c r="B391" s="2" t="s">
        <v>4</v>
      </c>
      <c r="C391" s="2" t="s">
        <v>740</v>
      </c>
      <c r="D391" s="4" t="s">
        <v>741</v>
      </c>
    </row>
    <row r="392">
      <c r="A392" s="5">
        <v>25304.0</v>
      </c>
      <c r="B392" s="2" t="s">
        <v>4</v>
      </c>
      <c r="C392" s="2" t="s">
        <v>742</v>
      </c>
      <c r="D392" s="4" t="s">
        <v>743</v>
      </c>
    </row>
    <row r="393">
      <c r="A393" s="5">
        <v>25304.0</v>
      </c>
      <c r="B393" s="2" t="s">
        <v>4</v>
      </c>
      <c r="C393" s="2" t="s">
        <v>379</v>
      </c>
      <c r="D393" s="4" t="s">
        <v>744</v>
      </c>
    </row>
    <row r="394">
      <c r="A394" s="5">
        <v>25305.0</v>
      </c>
      <c r="B394" s="2" t="s">
        <v>4</v>
      </c>
      <c r="C394" s="2" t="s">
        <v>379</v>
      </c>
      <c r="D394" s="4" t="s">
        <v>745</v>
      </c>
    </row>
    <row r="395">
      <c r="A395" s="5">
        <v>25305.0</v>
      </c>
      <c r="B395" s="2" t="s">
        <v>4</v>
      </c>
      <c r="C395" s="2" t="s">
        <v>82</v>
      </c>
      <c r="D395" s="4" t="s">
        <v>746</v>
      </c>
    </row>
    <row r="396">
      <c r="A396" s="5">
        <v>25306.0</v>
      </c>
      <c r="B396" s="2" t="s">
        <v>4</v>
      </c>
      <c r="C396" s="2" t="s">
        <v>747</v>
      </c>
      <c r="D396" s="4" t="s">
        <v>748</v>
      </c>
    </row>
    <row r="397">
      <c r="A397" s="5">
        <v>25309.0</v>
      </c>
      <c r="B397" s="2" t="s">
        <v>4</v>
      </c>
      <c r="C397" s="2" t="s">
        <v>749</v>
      </c>
      <c r="D397" s="4" t="s">
        <v>750</v>
      </c>
    </row>
    <row r="398">
      <c r="A398" s="5">
        <v>25310.0</v>
      </c>
      <c r="B398" s="2" t="s">
        <v>4</v>
      </c>
      <c r="C398" s="2" t="s">
        <v>82</v>
      </c>
      <c r="D398" s="4" t="s">
        <v>751</v>
      </c>
    </row>
    <row r="399">
      <c r="A399" s="5">
        <v>25316.0</v>
      </c>
      <c r="B399" s="2" t="s">
        <v>4</v>
      </c>
      <c r="C399" s="2" t="s">
        <v>752</v>
      </c>
      <c r="D399" s="4" t="s">
        <v>753</v>
      </c>
    </row>
    <row r="400">
      <c r="A400" s="5">
        <v>25317.0</v>
      </c>
      <c r="B400" s="2" t="s">
        <v>386</v>
      </c>
      <c r="C400" s="2" t="s">
        <v>379</v>
      </c>
      <c r="D400" s="4" t="s">
        <v>754</v>
      </c>
    </row>
    <row r="401">
      <c r="A401" s="5">
        <v>25317.0</v>
      </c>
      <c r="B401" s="2" t="s">
        <v>386</v>
      </c>
      <c r="C401" s="2" t="s">
        <v>379</v>
      </c>
      <c r="D401" s="4" t="s">
        <v>755</v>
      </c>
    </row>
    <row r="402">
      <c r="A402" s="5">
        <v>25317.0</v>
      </c>
      <c r="B402" s="2" t="s">
        <v>386</v>
      </c>
      <c r="C402" s="2" t="s">
        <v>379</v>
      </c>
      <c r="D402" s="4" t="s">
        <v>756</v>
      </c>
    </row>
    <row r="403">
      <c r="A403" s="5">
        <v>25318.0</v>
      </c>
      <c r="B403" s="2" t="s">
        <v>386</v>
      </c>
      <c r="C403" s="2" t="s">
        <v>82</v>
      </c>
      <c r="D403" s="4" t="s">
        <v>757</v>
      </c>
    </row>
    <row r="404">
      <c r="A404" s="5">
        <v>25318.0</v>
      </c>
      <c r="B404" s="2" t="s">
        <v>386</v>
      </c>
      <c r="C404" s="2" t="s">
        <v>758</v>
      </c>
      <c r="D404" s="4" t="s">
        <v>759</v>
      </c>
    </row>
    <row r="405">
      <c r="A405" s="5">
        <v>25319.0</v>
      </c>
      <c r="B405" s="2" t="s">
        <v>386</v>
      </c>
      <c r="C405" s="2" t="s">
        <v>760</v>
      </c>
      <c r="D405" s="4" t="s">
        <v>761</v>
      </c>
    </row>
    <row r="406">
      <c r="A406" s="5">
        <v>25322.0</v>
      </c>
      <c r="B406" s="2" t="s">
        <v>386</v>
      </c>
      <c r="C406" s="2" t="s">
        <v>762</v>
      </c>
      <c r="D406" s="4" t="s">
        <v>763</v>
      </c>
    </row>
    <row r="407">
      <c r="A407" s="5">
        <v>25322.0</v>
      </c>
      <c r="B407" s="2" t="s">
        <v>386</v>
      </c>
      <c r="C407" s="2" t="s">
        <v>764</v>
      </c>
      <c r="D407" s="4" t="s">
        <v>765</v>
      </c>
    </row>
    <row r="408">
      <c r="A408" s="5">
        <v>25323.0</v>
      </c>
      <c r="B408" s="2" t="s">
        <v>386</v>
      </c>
      <c r="C408" s="2" t="s">
        <v>766</v>
      </c>
      <c r="D408" s="4" t="s">
        <v>767</v>
      </c>
    </row>
    <row r="409">
      <c r="A409" s="5">
        <v>25323.0</v>
      </c>
      <c r="B409" s="2" t="s">
        <v>386</v>
      </c>
      <c r="C409" s="2" t="s">
        <v>379</v>
      </c>
      <c r="D409" s="4" t="s">
        <v>768</v>
      </c>
    </row>
    <row r="410">
      <c r="A410" s="7">
        <v>25324.0</v>
      </c>
      <c r="B410" s="2" t="s">
        <v>386</v>
      </c>
      <c r="C410" s="2" t="s">
        <v>769</v>
      </c>
      <c r="D410" s="4" t="s">
        <v>770</v>
      </c>
    </row>
    <row r="411">
      <c r="A411" s="7">
        <v>25325.0</v>
      </c>
      <c r="B411" s="2" t="s">
        <v>386</v>
      </c>
      <c r="C411" s="2" t="s">
        <v>771</v>
      </c>
      <c r="D411" s="4" t="s">
        <v>772</v>
      </c>
    </row>
    <row r="412">
      <c r="A412" s="7">
        <v>25326.0</v>
      </c>
      <c r="B412" s="2" t="s">
        <v>386</v>
      </c>
      <c r="C412" s="2" t="s">
        <v>773</v>
      </c>
      <c r="D412" s="4" t="s">
        <v>774</v>
      </c>
    </row>
    <row r="413">
      <c r="A413" s="7">
        <v>25327.0</v>
      </c>
      <c r="B413" s="2" t="s">
        <v>386</v>
      </c>
      <c r="C413" s="2" t="s">
        <v>775</v>
      </c>
      <c r="D413" s="4" t="s">
        <v>776</v>
      </c>
    </row>
    <row r="414">
      <c r="A414" s="7">
        <v>25328.0</v>
      </c>
      <c r="B414" s="2" t="s">
        <v>386</v>
      </c>
      <c r="C414" s="2" t="s">
        <v>367</v>
      </c>
      <c r="D414" s="4" t="s">
        <v>777</v>
      </c>
    </row>
    <row r="415">
      <c r="A415" s="7">
        <v>25329.0</v>
      </c>
      <c r="B415" s="2" t="s">
        <v>386</v>
      </c>
      <c r="C415" s="2" t="s">
        <v>778</v>
      </c>
      <c r="D415" s="4" t="s">
        <v>779</v>
      </c>
    </row>
    <row r="416">
      <c r="A416" s="7">
        <v>25330.0</v>
      </c>
      <c r="B416" s="2" t="s">
        <v>386</v>
      </c>
      <c r="C416" s="2" t="s">
        <v>780</v>
      </c>
      <c r="D416" s="4" t="s">
        <v>781</v>
      </c>
    </row>
    <row r="417">
      <c r="A417" s="7">
        <v>25332.0</v>
      </c>
      <c r="B417" s="2" t="s">
        <v>782</v>
      </c>
      <c r="C417" s="2" t="s">
        <v>783</v>
      </c>
      <c r="D417" s="4" t="s">
        <v>784</v>
      </c>
    </row>
    <row r="418">
      <c r="A418" s="7">
        <v>25332.0</v>
      </c>
      <c r="B418" s="2" t="s">
        <v>782</v>
      </c>
      <c r="C418" s="2" t="s">
        <v>785</v>
      </c>
      <c r="D418" s="4" t="s">
        <v>786</v>
      </c>
    </row>
    <row r="419">
      <c r="A419" s="7">
        <v>25333.0</v>
      </c>
      <c r="B419" s="2" t="s">
        <v>782</v>
      </c>
      <c r="C419" s="2" t="s">
        <v>379</v>
      </c>
      <c r="D419" s="4" t="s">
        <v>787</v>
      </c>
    </row>
    <row r="420">
      <c r="A420" s="7">
        <v>25334.0</v>
      </c>
      <c r="B420" s="2" t="s">
        <v>782</v>
      </c>
      <c r="C420" s="2" t="s">
        <v>788</v>
      </c>
      <c r="D420" s="4" t="s">
        <v>789</v>
      </c>
    </row>
    <row r="421">
      <c r="A421" s="7">
        <v>25334.0</v>
      </c>
      <c r="B421" s="2" t="s">
        <v>782</v>
      </c>
      <c r="C421" s="2" t="s">
        <v>790</v>
      </c>
      <c r="D421" s="4" t="s">
        <v>791</v>
      </c>
    </row>
    <row r="422">
      <c r="A422" s="7">
        <v>25335.0</v>
      </c>
      <c r="B422" s="2" t="s">
        <v>782</v>
      </c>
      <c r="C422" s="2" t="s">
        <v>792</v>
      </c>
      <c r="D422" s="4" t="s">
        <v>793</v>
      </c>
    </row>
    <row r="423">
      <c r="A423" s="7">
        <v>25335.0</v>
      </c>
      <c r="B423" s="2" t="s">
        <v>782</v>
      </c>
      <c r="C423" s="2" t="s">
        <v>790</v>
      </c>
      <c r="D423" s="4" t="s">
        <v>794</v>
      </c>
    </row>
    <row r="424">
      <c r="A424" s="7">
        <v>25336.0</v>
      </c>
      <c r="B424" s="2" t="s">
        <v>782</v>
      </c>
      <c r="C424" s="2" t="s">
        <v>790</v>
      </c>
      <c r="D424" s="4" t="s">
        <v>795</v>
      </c>
    </row>
    <row r="425">
      <c r="A425" s="7">
        <v>25337.0</v>
      </c>
      <c r="B425" s="2" t="s">
        <v>782</v>
      </c>
      <c r="C425" s="2" t="s">
        <v>796</v>
      </c>
      <c r="D425" s="4" t="s">
        <v>797</v>
      </c>
    </row>
    <row r="426">
      <c r="A426" s="7">
        <v>25337.0</v>
      </c>
      <c r="B426" s="2" t="s">
        <v>782</v>
      </c>
      <c r="C426" s="2" t="s">
        <v>790</v>
      </c>
      <c r="D426" s="4" t="s">
        <v>798</v>
      </c>
    </row>
    <row r="427">
      <c r="A427" s="7">
        <v>25342.0</v>
      </c>
      <c r="B427" s="2" t="s">
        <v>782</v>
      </c>
      <c r="C427" s="2" t="s">
        <v>799</v>
      </c>
      <c r="D427" s="4" t="s">
        <v>800</v>
      </c>
    </row>
    <row r="428">
      <c r="A428" s="7">
        <v>25343.0</v>
      </c>
      <c r="B428" s="2" t="s">
        <v>782</v>
      </c>
      <c r="C428" s="2" t="s">
        <v>801</v>
      </c>
      <c r="D428" s="4" t="s">
        <v>802</v>
      </c>
    </row>
    <row r="429">
      <c r="A429" s="7">
        <v>25344.0</v>
      </c>
      <c r="B429" s="2" t="s">
        <v>803</v>
      </c>
      <c r="C429" s="2" t="s">
        <v>804</v>
      </c>
      <c r="D429" s="4" t="s">
        <v>805</v>
      </c>
    </row>
    <row r="430">
      <c r="A430" s="7">
        <v>25345.0</v>
      </c>
      <c r="B430" s="2" t="s">
        <v>803</v>
      </c>
      <c r="C430" s="2" t="s">
        <v>806</v>
      </c>
      <c r="D430" s="4" t="s">
        <v>807</v>
      </c>
    </row>
    <row r="431">
      <c r="A431" s="7">
        <v>25346.0</v>
      </c>
      <c r="B431" s="2" t="s">
        <v>803</v>
      </c>
      <c r="C431" s="2" t="s">
        <v>808</v>
      </c>
      <c r="D431" s="4" t="s">
        <v>809</v>
      </c>
    </row>
    <row r="432">
      <c r="A432" s="7">
        <v>25347.0</v>
      </c>
      <c r="B432" s="2" t="s">
        <v>803</v>
      </c>
      <c r="C432" s="2" t="s">
        <v>810</v>
      </c>
      <c r="D432" s="4" t="s">
        <v>811</v>
      </c>
    </row>
    <row r="433">
      <c r="A433" s="7">
        <v>25348.0</v>
      </c>
      <c r="B433" s="2" t="s">
        <v>803</v>
      </c>
      <c r="C433" s="2" t="s">
        <v>812</v>
      </c>
      <c r="D433" s="4" t="s">
        <v>813</v>
      </c>
    </row>
    <row r="434">
      <c r="A434" s="5">
        <v>25358.0</v>
      </c>
      <c r="B434" s="2" t="s">
        <v>803</v>
      </c>
      <c r="C434" s="2" t="s">
        <v>814</v>
      </c>
      <c r="D434" s="4" t="s">
        <v>815</v>
      </c>
    </row>
    <row r="435">
      <c r="A435" s="5">
        <v>25360.0</v>
      </c>
      <c r="B435" s="2" t="s">
        <v>803</v>
      </c>
      <c r="C435" s="2" t="s">
        <v>816</v>
      </c>
      <c r="D435" s="4" t="s">
        <v>817</v>
      </c>
    </row>
    <row r="436">
      <c r="A436" s="5">
        <v>25361.0</v>
      </c>
      <c r="B436" s="2" t="s">
        <v>803</v>
      </c>
      <c r="C436" s="2" t="s">
        <v>818</v>
      </c>
      <c r="D436" s="4" t="s">
        <v>819</v>
      </c>
    </row>
    <row r="437">
      <c r="A437" s="5">
        <v>25363.0</v>
      </c>
      <c r="B437" s="2" t="s">
        <v>803</v>
      </c>
      <c r="C437" s="2" t="s">
        <v>820</v>
      </c>
      <c r="D437" s="4" t="s">
        <v>821</v>
      </c>
    </row>
    <row r="438">
      <c r="A438" s="5">
        <v>25364.0</v>
      </c>
      <c r="B438" s="2" t="s">
        <v>803</v>
      </c>
      <c r="C438" s="2" t="s">
        <v>822</v>
      </c>
      <c r="D438" s="4" t="s">
        <v>823</v>
      </c>
    </row>
    <row r="439">
      <c r="A439" s="5">
        <v>25365.0</v>
      </c>
      <c r="B439" s="2" t="s">
        <v>803</v>
      </c>
      <c r="C439" s="2" t="s">
        <v>824</v>
      </c>
      <c r="D439" s="4" t="s">
        <v>825</v>
      </c>
    </row>
    <row r="440">
      <c r="A440" s="5">
        <v>25367.0</v>
      </c>
      <c r="B440" s="2" t="s">
        <v>803</v>
      </c>
      <c r="C440" s="2" t="s">
        <v>826</v>
      </c>
      <c r="D440" s="4" t="s">
        <v>827</v>
      </c>
    </row>
    <row r="441">
      <c r="A441" s="5">
        <v>25370.0</v>
      </c>
      <c r="B441" s="2" t="s">
        <v>803</v>
      </c>
      <c r="C441" s="2" t="s">
        <v>826</v>
      </c>
      <c r="D441" s="4" t="s">
        <v>828</v>
      </c>
    </row>
    <row r="442">
      <c r="A442" s="5">
        <v>25372.0</v>
      </c>
      <c r="B442" s="2" t="s">
        <v>803</v>
      </c>
      <c r="C442" s="2" t="s">
        <v>829</v>
      </c>
      <c r="D442" s="4" t="s">
        <v>830</v>
      </c>
    </row>
    <row r="443">
      <c r="A443" s="5">
        <v>25373.0</v>
      </c>
      <c r="B443" s="2" t="s">
        <v>803</v>
      </c>
      <c r="C443" s="2" t="s">
        <v>831</v>
      </c>
      <c r="D443" s="4" t="s">
        <v>832</v>
      </c>
    </row>
    <row r="444">
      <c r="A444" s="5">
        <v>25375.0</v>
      </c>
      <c r="B444" s="2" t="s">
        <v>803</v>
      </c>
      <c r="C444" s="2" t="s">
        <v>833</v>
      </c>
      <c r="D444" s="4" t="s">
        <v>834</v>
      </c>
    </row>
    <row r="445">
      <c r="A445" s="5">
        <v>25376.0</v>
      </c>
      <c r="B445" s="2" t="s">
        <v>803</v>
      </c>
      <c r="C445" s="2" t="s">
        <v>360</v>
      </c>
      <c r="D445" s="4" t="s">
        <v>835</v>
      </c>
    </row>
    <row r="446">
      <c r="A446" s="5">
        <v>25376.0</v>
      </c>
      <c r="B446" s="2" t="s">
        <v>803</v>
      </c>
      <c r="C446" s="2" t="s">
        <v>836</v>
      </c>
      <c r="D446" s="4" t="s">
        <v>837</v>
      </c>
    </row>
    <row r="447">
      <c r="A447" s="5">
        <v>25396.0</v>
      </c>
      <c r="B447" s="2" t="s">
        <v>345</v>
      </c>
      <c r="C447" s="2" t="s">
        <v>838</v>
      </c>
      <c r="D447" s="4" t="s">
        <v>839</v>
      </c>
    </row>
    <row r="448">
      <c r="A448" s="5">
        <v>25400.0</v>
      </c>
      <c r="B448" s="2" t="s">
        <v>345</v>
      </c>
      <c r="C448" s="2" t="s">
        <v>840</v>
      </c>
      <c r="D448" s="4" t="s">
        <v>841</v>
      </c>
    </row>
    <row r="449">
      <c r="A449" s="5">
        <v>25400.0</v>
      </c>
      <c r="B449" s="2" t="s">
        <v>345</v>
      </c>
      <c r="C449" s="2" t="s">
        <v>842</v>
      </c>
      <c r="D449" s="4" t="s">
        <v>843</v>
      </c>
    </row>
    <row r="450">
      <c r="A450" s="3">
        <v>25419.0</v>
      </c>
      <c r="B450" s="2" t="s">
        <v>345</v>
      </c>
      <c r="C450" s="2" t="s">
        <v>844</v>
      </c>
      <c r="D450" s="4" t="s">
        <v>845</v>
      </c>
    </row>
    <row r="451">
      <c r="A451" s="3">
        <v>25442.0</v>
      </c>
      <c r="B451" s="2" t="s">
        <v>846</v>
      </c>
      <c r="C451" s="2" t="s">
        <v>360</v>
      </c>
      <c r="D451" s="4" t="s">
        <v>847</v>
      </c>
    </row>
    <row r="452">
      <c r="A452" s="1" t="s">
        <v>848</v>
      </c>
      <c r="B452" s="2" t="s">
        <v>849</v>
      </c>
      <c r="C452" s="2" t="s">
        <v>850</v>
      </c>
      <c r="D452" s="4" t="s">
        <v>851</v>
      </c>
    </row>
    <row r="453">
      <c r="A453" s="1" t="s">
        <v>852</v>
      </c>
      <c r="B453" s="2" t="s">
        <v>4</v>
      </c>
      <c r="C453" s="2" t="s">
        <v>367</v>
      </c>
      <c r="D453" s="4" t="s">
        <v>853</v>
      </c>
    </row>
    <row r="454">
      <c r="A454" s="1" t="s">
        <v>854</v>
      </c>
      <c r="B454" s="2" t="s">
        <v>846</v>
      </c>
      <c r="C454" s="2" t="s">
        <v>855</v>
      </c>
      <c r="D454" s="4" t="s">
        <v>856</v>
      </c>
    </row>
    <row r="455">
      <c r="A455" s="1" t="s">
        <v>857</v>
      </c>
      <c r="B455" s="2" t="s">
        <v>846</v>
      </c>
      <c r="C455" s="2" t="s">
        <v>858</v>
      </c>
      <c r="D455" s="4" t="s">
        <v>859</v>
      </c>
    </row>
    <row r="456">
      <c r="A456" s="1" t="s">
        <v>860</v>
      </c>
      <c r="B456" s="2" t="s">
        <v>846</v>
      </c>
      <c r="C456" s="2" t="s">
        <v>379</v>
      </c>
      <c r="D456" s="4" t="s">
        <v>861</v>
      </c>
    </row>
    <row r="457">
      <c r="A457" s="1" t="s">
        <v>862</v>
      </c>
      <c r="B457" s="2" t="s">
        <v>846</v>
      </c>
      <c r="C457" s="2" t="s">
        <v>863</v>
      </c>
      <c r="D457" s="4" t="s">
        <v>864</v>
      </c>
    </row>
    <row r="458">
      <c r="A458" s="1" t="s">
        <v>865</v>
      </c>
      <c r="B458" s="2" t="s">
        <v>849</v>
      </c>
      <c r="C458" s="2" t="s">
        <v>866</v>
      </c>
      <c r="D458" s="4" t="s">
        <v>867</v>
      </c>
    </row>
    <row r="459">
      <c r="A459" s="1" t="s">
        <v>865</v>
      </c>
      <c r="B459" s="2" t="s">
        <v>849</v>
      </c>
      <c r="C459" s="2" t="s">
        <v>868</v>
      </c>
      <c r="D459" s="4" t="s">
        <v>869</v>
      </c>
    </row>
    <row r="460">
      <c r="A460" s="1" t="s">
        <v>870</v>
      </c>
      <c r="B460" s="2" t="s">
        <v>849</v>
      </c>
      <c r="C460" s="2" t="s">
        <v>671</v>
      </c>
      <c r="D460" s="4" t="s">
        <v>871</v>
      </c>
    </row>
    <row r="461">
      <c r="A461" s="1" t="s">
        <v>872</v>
      </c>
      <c r="B461" s="2" t="s">
        <v>849</v>
      </c>
      <c r="C461" s="2" t="s">
        <v>873</v>
      </c>
      <c r="D461" s="4" t="s">
        <v>874</v>
      </c>
    </row>
    <row r="462">
      <c r="A462" s="1" t="s">
        <v>875</v>
      </c>
      <c r="B462" s="2" t="s">
        <v>849</v>
      </c>
      <c r="C462" s="2" t="s">
        <v>876</v>
      </c>
      <c r="D462" s="4" t="s">
        <v>877</v>
      </c>
    </row>
    <row r="463">
      <c r="A463" s="1" t="s">
        <v>878</v>
      </c>
      <c r="B463" s="2" t="s">
        <v>849</v>
      </c>
      <c r="C463" s="2" t="s">
        <v>412</v>
      </c>
      <c r="D463" s="4" t="s">
        <v>879</v>
      </c>
    </row>
    <row r="464">
      <c r="A464" s="1" t="s">
        <v>880</v>
      </c>
      <c r="B464" s="2" t="s">
        <v>849</v>
      </c>
      <c r="C464" s="2" t="s">
        <v>850</v>
      </c>
      <c r="D464" s="4" t="s">
        <v>881</v>
      </c>
    </row>
    <row r="465">
      <c r="A465" s="1" t="s">
        <v>882</v>
      </c>
      <c r="B465" s="2" t="s">
        <v>849</v>
      </c>
      <c r="C465" s="2" t="s">
        <v>379</v>
      </c>
      <c r="D465" s="4" t="s">
        <v>883</v>
      </c>
    </row>
    <row r="466">
      <c r="A466" s="1" t="s">
        <v>884</v>
      </c>
      <c r="B466" s="2" t="s">
        <v>849</v>
      </c>
      <c r="C466" s="2" t="s">
        <v>82</v>
      </c>
      <c r="D466" s="4" t="s">
        <v>885</v>
      </c>
    </row>
    <row r="467">
      <c r="A467" s="3">
        <v>25477.0</v>
      </c>
      <c r="B467" s="2" t="s">
        <v>849</v>
      </c>
      <c r="C467" s="2" t="s">
        <v>886</v>
      </c>
      <c r="D467" s="4" t="s">
        <v>887</v>
      </c>
    </row>
    <row r="468">
      <c r="A468" s="3">
        <v>25537.0</v>
      </c>
      <c r="B468" s="2" t="s">
        <v>849</v>
      </c>
      <c r="C468" s="2" t="s">
        <v>888</v>
      </c>
      <c r="D468" s="4" t="s">
        <v>889</v>
      </c>
    </row>
    <row r="469">
      <c r="A469" s="3">
        <v>25538.0</v>
      </c>
      <c r="B469" s="2" t="s">
        <v>849</v>
      </c>
      <c r="C469" s="2" t="s">
        <v>82</v>
      </c>
      <c r="D469" s="4" t="s">
        <v>890</v>
      </c>
    </row>
    <row r="470">
      <c r="A470" s="3">
        <v>25559.0</v>
      </c>
      <c r="B470" s="2" t="s">
        <v>386</v>
      </c>
      <c r="C470" s="2" t="s">
        <v>891</v>
      </c>
      <c r="D470" s="4" t="s">
        <v>892</v>
      </c>
    </row>
    <row r="471">
      <c r="A471" s="3">
        <v>25560.0</v>
      </c>
      <c r="B471" s="2" t="s">
        <v>386</v>
      </c>
      <c r="C471" s="2" t="s">
        <v>82</v>
      </c>
      <c r="D471" s="4" t="s">
        <v>893</v>
      </c>
    </row>
    <row r="472">
      <c r="A472" s="3">
        <v>25561.0</v>
      </c>
      <c r="B472" s="2" t="s">
        <v>386</v>
      </c>
      <c r="C472" s="2" t="s">
        <v>894</v>
      </c>
      <c r="D472" s="4" t="s">
        <v>895</v>
      </c>
    </row>
    <row r="473">
      <c r="A473" s="3">
        <v>25561.0</v>
      </c>
      <c r="B473" s="2" t="s">
        <v>386</v>
      </c>
      <c r="C473" s="2" t="s">
        <v>896</v>
      </c>
      <c r="D473" s="4" t="s">
        <v>897</v>
      </c>
    </row>
    <row r="474">
      <c r="A474" s="3">
        <v>25563.0</v>
      </c>
      <c r="B474" s="2" t="s">
        <v>386</v>
      </c>
      <c r="C474" s="2" t="s">
        <v>360</v>
      </c>
      <c r="D474" s="4" t="s">
        <v>898</v>
      </c>
    </row>
    <row r="475">
      <c r="A475" s="3">
        <v>25571.0</v>
      </c>
      <c r="B475" s="2" t="s">
        <v>345</v>
      </c>
      <c r="C475" s="2" t="s">
        <v>899</v>
      </c>
      <c r="D475" s="4" t="s">
        <v>900</v>
      </c>
    </row>
    <row r="476">
      <c r="A476" s="3">
        <v>25577.0</v>
      </c>
      <c r="B476" s="2" t="s">
        <v>345</v>
      </c>
      <c r="C476" s="2" t="s">
        <v>901</v>
      </c>
      <c r="D476" s="4" t="s">
        <v>902</v>
      </c>
    </row>
    <row r="477">
      <c r="A477" s="3">
        <v>25583.0</v>
      </c>
      <c r="B477" s="2" t="s">
        <v>345</v>
      </c>
      <c r="C477" s="2" t="s">
        <v>903</v>
      </c>
      <c r="D477" s="4" t="s">
        <v>904</v>
      </c>
    </row>
    <row r="478">
      <c r="A478" s="3">
        <v>25585.0</v>
      </c>
      <c r="B478" s="2" t="s">
        <v>345</v>
      </c>
      <c r="C478" s="2" t="s">
        <v>905</v>
      </c>
      <c r="D478" s="4" t="s">
        <v>906</v>
      </c>
    </row>
    <row r="479">
      <c r="A479" s="3">
        <v>25617.0</v>
      </c>
      <c r="B479" s="2" t="s">
        <v>345</v>
      </c>
      <c r="C479" s="2" t="s">
        <v>907</v>
      </c>
      <c r="D479" s="4" t="s">
        <v>908</v>
      </c>
    </row>
    <row r="480">
      <c r="A480" s="3">
        <v>25619.0</v>
      </c>
      <c r="B480" s="2" t="s">
        <v>345</v>
      </c>
      <c r="C480" s="2" t="s">
        <v>909</v>
      </c>
      <c r="D480" s="4" t="s">
        <v>910</v>
      </c>
    </row>
    <row r="481">
      <c r="A481" s="3">
        <v>25621.0</v>
      </c>
      <c r="B481" s="2" t="s">
        <v>345</v>
      </c>
      <c r="C481" s="2" t="s">
        <v>911</v>
      </c>
      <c r="D481" s="4" t="s">
        <v>912</v>
      </c>
    </row>
    <row r="482">
      <c r="A482" s="5">
        <v>25679.0</v>
      </c>
      <c r="B482" s="2" t="s">
        <v>345</v>
      </c>
      <c r="C482" s="2" t="s">
        <v>913</v>
      </c>
      <c r="D482" s="4" t="s">
        <v>914</v>
      </c>
    </row>
    <row r="483">
      <c r="A483" s="5">
        <v>25684.0</v>
      </c>
      <c r="B483" s="2" t="s">
        <v>345</v>
      </c>
      <c r="C483" s="2" t="s">
        <v>915</v>
      </c>
      <c r="D483" s="4" t="s">
        <v>916</v>
      </c>
    </row>
    <row r="484">
      <c r="A484" s="5">
        <v>25685.0</v>
      </c>
      <c r="B484" s="2" t="s">
        <v>345</v>
      </c>
      <c r="C484" s="2" t="s">
        <v>917</v>
      </c>
      <c r="D484" s="4" t="s">
        <v>918</v>
      </c>
    </row>
    <row r="485">
      <c r="A485" s="5">
        <v>25687.0</v>
      </c>
      <c r="B485" s="2" t="s">
        <v>345</v>
      </c>
      <c r="C485" s="2" t="s">
        <v>919</v>
      </c>
      <c r="D485" s="4" t="s">
        <v>920</v>
      </c>
    </row>
    <row r="486">
      <c r="A486" s="5">
        <v>25688.0</v>
      </c>
      <c r="B486" s="2" t="s">
        <v>345</v>
      </c>
      <c r="C486" s="2" t="s">
        <v>422</v>
      </c>
      <c r="D486" s="4" t="s">
        <v>921</v>
      </c>
    </row>
    <row r="487">
      <c r="A487" s="7">
        <v>25690.0</v>
      </c>
      <c r="B487" s="2" t="s">
        <v>345</v>
      </c>
      <c r="C487" s="2" t="s">
        <v>422</v>
      </c>
      <c r="D487" s="4" t="s">
        <v>922</v>
      </c>
    </row>
    <row r="488">
      <c r="A488" s="7">
        <v>25691.0</v>
      </c>
      <c r="B488" s="2" t="s">
        <v>345</v>
      </c>
      <c r="C488" s="2" t="s">
        <v>422</v>
      </c>
      <c r="D488" s="4" t="s">
        <v>923</v>
      </c>
    </row>
    <row r="489">
      <c r="A489" s="7">
        <v>25692.0</v>
      </c>
      <c r="B489" s="2" t="s">
        <v>345</v>
      </c>
      <c r="C489" s="2" t="s">
        <v>422</v>
      </c>
      <c r="D489" s="4" t="s">
        <v>924</v>
      </c>
    </row>
    <row r="490">
      <c r="A490" s="7">
        <v>25693.0</v>
      </c>
      <c r="B490" s="2" t="s">
        <v>345</v>
      </c>
      <c r="C490" s="2" t="s">
        <v>925</v>
      </c>
      <c r="D490" s="4" t="s">
        <v>926</v>
      </c>
    </row>
    <row r="491">
      <c r="A491" s="7">
        <v>25694.0</v>
      </c>
      <c r="B491" s="2" t="s">
        <v>345</v>
      </c>
      <c r="C491" s="2" t="s">
        <v>927</v>
      </c>
      <c r="D491" s="4" t="s">
        <v>928</v>
      </c>
    </row>
    <row r="492">
      <c r="A492" s="7">
        <v>25695.0</v>
      </c>
      <c r="B492" s="2" t="s">
        <v>345</v>
      </c>
      <c r="C492" s="2" t="s">
        <v>929</v>
      </c>
      <c r="D492" s="4" t="s">
        <v>930</v>
      </c>
    </row>
    <row r="493">
      <c r="A493" s="7">
        <v>25696.0</v>
      </c>
      <c r="B493" s="2" t="s">
        <v>345</v>
      </c>
      <c r="C493" s="2" t="s">
        <v>931</v>
      </c>
      <c r="D493" s="4" t="s">
        <v>932</v>
      </c>
    </row>
    <row r="494">
      <c r="A494" s="7">
        <v>25697.0</v>
      </c>
      <c r="B494" s="2" t="s">
        <v>345</v>
      </c>
      <c r="C494" s="2" t="s">
        <v>933</v>
      </c>
      <c r="D494" s="4" t="s">
        <v>934</v>
      </c>
    </row>
    <row r="495">
      <c r="A495" s="7">
        <v>25698.0</v>
      </c>
      <c r="B495" s="2" t="s">
        <v>345</v>
      </c>
      <c r="C495" s="2" t="s">
        <v>933</v>
      </c>
      <c r="D495" s="4" t="s">
        <v>935</v>
      </c>
    </row>
    <row r="496">
      <c r="A496" s="7">
        <v>25699.0</v>
      </c>
      <c r="B496" s="2" t="s">
        <v>345</v>
      </c>
      <c r="C496" s="2" t="s">
        <v>936</v>
      </c>
      <c r="D496" s="4" t="s">
        <v>937</v>
      </c>
    </row>
    <row r="497">
      <c r="A497" s="7">
        <v>25700.0</v>
      </c>
      <c r="B497" s="2" t="s">
        <v>345</v>
      </c>
      <c r="C497" s="2" t="s">
        <v>936</v>
      </c>
      <c r="D497" s="4" t="s">
        <v>938</v>
      </c>
    </row>
    <row r="498">
      <c r="A498" s="7">
        <v>25701.0</v>
      </c>
      <c r="B498" s="2" t="s">
        <v>345</v>
      </c>
      <c r="C498" s="2" t="s">
        <v>939</v>
      </c>
      <c r="D498" s="4" t="s">
        <v>940</v>
      </c>
    </row>
    <row r="499">
      <c r="A499" s="7">
        <v>25702.0</v>
      </c>
      <c r="B499" s="2" t="s">
        <v>345</v>
      </c>
      <c r="C499" s="2" t="s">
        <v>941</v>
      </c>
      <c r="D499" s="4" t="s">
        <v>942</v>
      </c>
    </row>
    <row r="500">
      <c r="A500" s="7">
        <v>25703.0</v>
      </c>
      <c r="B500" s="2" t="s">
        <v>345</v>
      </c>
      <c r="C500" s="2" t="s">
        <v>943</v>
      </c>
      <c r="D500" s="4" t="s">
        <v>944</v>
      </c>
    </row>
    <row r="501">
      <c r="A501" s="7">
        <v>25704.0</v>
      </c>
      <c r="B501" s="2" t="s">
        <v>345</v>
      </c>
      <c r="C501" s="2" t="s">
        <v>945</v>
      </c>
      <c r="D501" s="4" t="s">
        <v>946</v>
      </c>
    </row>
    <row r="502">
      <c r="A502" s="7">
        <v>25705.0</v>
      </c>
      <c r="B502" s="2" t="s">
        <v>345</v>
      </c>
      <c r="C502" s="2" t="s">
        <v>947</v>
      </c>
      <c r="D502" s="4" t="s">
        <v>948</v>
      </c>
    </row>
    <row r="503">
      <c r="A503" s="7">
        <v>25706.0</v>
      </c>
      <c r="B503" s="2" t="s">
        <v>345</v>
      </c>
      <c r="C503" s="2" t="s">
        <v>949</v>
      </c>
      <c r="D503" s="4" t="s">
        <v>950</v>
      </c>
    </row>
    <row r="504">
      <c r="A504" s="5">
        <v>25733.0</v>
      </c>
      <c r="B504" s="2" t="s">
        <v>345</v>
      </c>
      <c r="C504" s="2" t="s">
        <v>951</v>
      </c>
      <c r="D504" s="4" t="s">
        <v>952</v>
      </c>
    </row>
    <row r="505">
      <c r="A505" s="5">
        <v>25741.0</v>
      </c>
      <c r="B505" s="2" t="s">
        <v>345</v>
      </c>
      <c r="C505" s="2" t="s">
        <v>953</v>
      </c>
      <c r="D505" s="4" t="s">
        <v>954</v>
      </c>
    </row>
    <row r="506">
      <c r="A506" s="5">
        <v>25742.0</v>
      </c>
      <c r="B506" s="2" t="s">
        <v>345</v>
      </c>
      <c r="C506" s="2" t="s">
        <v>955</v>
      </c>
      <c r="D506" s="4" t="s">
        <v>956</v>
      </c>
    </row>
    <row r="507">
      <c r="A507" s="5">
        <v>25749.0</v>
      </c>
      <c r="B507" s="2" t="s">
        <v>345</v>
      </c>
      <c r="C507" s="2" t="s">
        <v>957</v>
      </c>
      <c r="D507" s="4" t="s">
        <v>958</v>
      </c>
    </row>
    <row r="508">
      <c r="A508" s="5">
        <v>25750.0</v>
      </c>
      <c r="B508" s="2" t="s">
        <v>345</v>
      </c>
      <c r="C508" s="2" t="s">
        <v>957</v>
      </c>
      <c r="D508" s="4" t="s">
        <v>959</v>
      </c>
    </row>
    <row r="509">
      <c r="A509" s="5">
        <v>25751.0</v>
      </c>
      <c r="B509" s="2" t="s">
        <v>345</v>
      </c>
      <c r="C509" s="2" t="s">
        <v>740</v>
      </c>
      <c r="D509" s="4" t="s">
        <v>960</v>
      </c>
    </row>
    <row r="510">
      <c r="A510" s="5">
        <v>25752.0</v>
      </c>
      <c r="B510" s="2" t="s">
        <v>345</v>
      </c>
      <c r="C510" s="2" t="s">
        <v>961</v>
      </c>
      <c r="D510" s="4" t="s">
        <v>962</v>
      </c>
    </row>
    <row r="511">
      <c r="A511" s="5">
        <v>25752.0</v>
      </c>
      <c r="B511" s="2" t="s">
        <v>345</v>
      </c>
      <c r="C511" s="2" t="s">
        <v>963</v>
      </c>
      <c r="D511" s="4" t="s">
        <v>964</v>
      </c>
    </row>
    <row r="512">
      <c r="A512" s="5">
        <v>25753.0</v>
      </c>
      <c r="B512" s="2" t="s">
        <v>283</v>
      </c>
      <c r="C512" s="2" t="s">
        <v>965</v>
      </c>
      <c r="D512" s="4" t="s">
        <v>966</v>
      </c>
    </row>
    <row r="513">
      <c r="A513" s="5">
        <v>25754.0</v>
      </c>
      <c r="B513" s="2" t="s">
        <v>283</v>
      </c>
      <c r="C513" s="2" t="s">
        <v>967</v>
      </c>
      <c r="D513" s="4" t="s">
        <v>968</v>
      </c>
    </row>
    <row r="514">
      <c r="A514" s="5">
        <v>25754.0</v>
      </c>
      <c r="B514" s="2" t="s">
        <v>283</v>
      </c>
      <c r="C514" s="2" t="s">
        <v>969</v>
      </c>
      <c r="D514" s="4" t="s">
        <v>970</v>
      </c>
    </row>
    <row r="515">
      <c r="A515" s="5">
        <v>25769.0</v>
      </c>
      <c r="B515" s="2" t="s">
        <v>345</v>
      </c>
      <c r="C515" s="2" t="s">
        <v>909</v>
      </c>
      <c r="D515" s="4" t="s">
        <v>971</v>
      </c>
    </row>
    <row r="516">
      <c r="A516" s="3">
        <v>25781.0</v>
      </c>
      <c r="B516" s="2" t="s">
        <v>345</v>
      </c>
      <c r="C516" s="2" t="s">
        <v>972</v>
      </c>
      <c r="D516" s="4" t="s">
        <v>973</v>
      </c>
    </row>
    <row r="517">
      <c r="A517" s="3">
        <v>25782.0</v>
      </c>
      <c r="B517" s="2" t="s">
        <v>345</v>
      </c>
      <c r="C517" s="2" t="s">
        <v>974</v>
      </c>
      <c r="D517" s="4" t="s">
        <v>975</v>
      </c>
    </row>
    <row r="518">
      <c r="A518" s="1" t="s">
        <v>976</v>
      </c>
      <c r="B518" s="2" t="s">
        <v>977</v>
      </c>
      <c r="C518" s="2" t="s">
        <v>978</v>
      </c>
      <c r="D518" s="4" t="s">
        <v>979</v>
      </c>
    </row>
    <row r="519">
      <c r="A519" s="3">
        <v>25876.0</v>
      </c>
      <c r="B519" s="2" t="s">
        <v>980</v>
      </c>
      <c r="C519" s="2" t="s">
        <v>379</v>
      </c>
      <c r="D519" s="4" t="s">
        <v>981</v>
      </c>
    </row>
    <row r="520">
      <c r="A520" s="3">
        <v>25878.0</v>
      </c>
      <c r="B520" s="2" t="s">
        <v>980</v>
      </c>
      <c r="C520" s="2" t="s">
        <v>899</v>
      </c>
      <c r="D520" s="4" t="s">
        <v>982</v>
      </c>
    </row>
    <row r="521">
      <c r="A521" s="3">
        <v>25878.0</v>
      </c>
      <c r="B521" s="2" t="s">
        <v>980</v>
      </c>
      <c r="C521" s="2" t="s">
        <v>379</v>
      </c>
      <c r="D521" s="4" t="s">
        <v>983</v>
      </c>
    </row>
    <row r="522">
      <c r="A522" s="3">
        <v>25879.0</v>
      </c>
      <c r="B522" s="2" t="s">
        <v>980</v>
      </c>
      <c r="C522" s="2" t="s">
        <v>379</v>
      </c>
      <c r="D522" s="4" t="s">
        <v>984</v>
      </c>
    </row>
    <row r="523">
      <c r="A523" s="3">
        <v>25882.0</v>
      </c>
      <c r="B523" s="2" t="s">
        <v>980</v>
      </c>
      <c r="C523" s="2" t="s">
        <v>985</v>
      </c>
      <c r="D523" s="4" t="s">
        <v>986</v>
      </c>
    </row>
    <row r="524">
      <c r="A524" s="3">
        <v>25887.0</v>
      </c>
      <c r="B524" s="2" t="s">
        <v>980</v>
      </c>
      <c r="C524" s="2" t="s">
        <v>987</v>
      </c>
      <c r="D524" s="4" t="s">
        <v>988</v>
      </c>
    </row>
    <row r="525">
      <c r="A525" s="3">
        <v>25913.0</v>
      </c>
      <c r="B525" s="2" t="s">
        <v>989</v>
      </c>
      <c r="C525" s="2" t="s">
        <v>990</v>
      </c>
      <c r="D525" s="4" t="s">
        <v>991</v>
      </c>
    </row>
    <row r="526">
      <c r="A526" s="3">
        <v>25914.0</v>
      </c>
      <c r="B526" s="2" t="s">
        <v>989</v>
      </c>
      <c r="C526" s="2" t="s">
        <v>992</v>
      </c>
      <c r="D526" s="4" t="s">
        <v>993</v>
      </c>
    </row>
    <row r="527">
      <c r="A527" s="3">
        <v>25915.0</v>
      </c>
      <c r="B527" s="2" t="s">
        <v>989</v>
      </c>
      <c r="C527" s="2" t="s">
        <v>994</v>
      </c>
      <c r="D527" s="4" t="s">
        <v>995</v>
      </c>
    </row>
    <row r="528">
      <c r="A528" s="3">
        <v>25915.0</v>
      </c>
      <c r="B528" s="2" t="s">
        <v>989</v>
      </c>
      <c r="C528" s="2" t="s">
        <v>996</v>
      </c>
      <c r="D528" s="4" t="s">
        <v>997</v>
      </c>
    </row>
    <row r="529">
      <c r="A529" s="3">
        <v>25915.0</v>
      </c>
      <c r="B529" s="2" t="s">
        <v>989</v>
      </c>
      <c r="C529" s="2" t="s">
        <v>379</v>
      </c>
      <c r="D529" s="4" t="s">
        <v>998</v>
      </c>
    </row>
    <row r="530">
      <c r="A530" s="3">
        <v>25916.0</v>
      </c>
      <c r="B530" s="2" t="s">
        <v>989</v>
      </c>
      <c r="C530" s="2" t="s">
        <v>379</v>
      </c>
      <c r="D530" s="4" t="s">
        <v>999</v>
      </c>
    </row>
    <row r="531">
      <c r="A531" s="3">
        <v>25916.0</v>
      </c>
      <c r="B531" s="2" t="s">
        <v>989</v>
      </c>
      <c r="C531" s="2" t="s">
        <v>379</v>
      </c>
      <c r="D531" s="4" t="s">
        <v>1000</v>
      </c>
    </row>
    <row r="532">
      <c r="A532" s="3">
        <v>25916.0</v>
      </c>
      <c r="B532" s="2" t="s">
        <v>989</v>
      </c>
      <c r="C532" s="2" t="s">
        <v>1001</v>
      </c>
      <c r="D532" s="4" t="s">
        <v>1002</v>
      </c>
    </row>
    <row r="533">
      <c r="A533" s="3">
        <v>25917.0</v>
      </c>
      <c r="B533" s="2" t="s">
        <v>989</v>
      </c>
      <c r="C533" s="2" t="s">
        <v>1003</v>
      </c>
      <c r="D533" s="4" t="s">
        <v>1004</v>
      </c>
    </row>
    <row r="534">
      <c r="A534" s="3">
        <v>25917.0</v>
      </c>
      <c r="B534" s="2" t="s">
        <v>989</v>
      </c>
      <c r="C534" s="2" t="s">
        <v>379</v>
      </c>
      <c r="D534" s="4" t="s">
        <v>1005</v>
      </c>
    </row>
    <row r="535">
      <c r="A535" s="3">
        <v>25917.0</v>
      </c>
      <c r="B535" s="2" t="s">
        <v>1006</v>
      </c>
      <c r="C535" s="2" t="s">
        <v>379</v>
      </c>
      <c r="D535" s="4" t="s">
        <v>1007</v>
      </c>
    </row>
    <row r="536">
      <c r="A536" s="3">
        <v>25918.0</v>
      </c>
      <c r="B536" s="2" t="s">
        <v>1006</v>
      </c>
      <c r="C536" s="2" t="s">
        <v>1008</v>
      </c>
      <c r="D536" s="4" t="s">
        <v>1009</v>
      </c>
    </row>
    <row r="537">
      <c r="A537" s="3">
        <v>25919.0</v>
      </c>
      <c r="B537" s="2" t="s">
        <v>1006</v>
      </c>
      <c r="C537" s="2" t="s">
        <v>1010</v>
      </c>
      <c r="D537" s="4" t="s">
        <v>1011</v>
      </c>
    </row>
    <row r="538">
      <c r="A538" s="3">
        <v>25919.0</v>
      </c>
      <c r="B538" s="2" t="s">
        <v>1006</v>
      </c>
      <c r="C538" s="2" t="s">
        <v>379</v>
      </c>
      <c r="D538" s="4" t="s">
        <v>1012</v>
      </c>
    </row>
    <row r="539">
      <c r="A539" s="3">
        <v>25920.0</v>
      </c>
      <c r="B539" s="2" t="s">
        <v>1006</v>
      </c>
      <c r="C539" s="2" t="s">
        <v>1001</v>
      </c>
      <c r="D539" s="4" t="s">
        <v>1013</v>
      </c>
    </row>
    <row r="540">
      <c r="A540" s="3">
        <v>25921.0</v>
      </c>
      <c r="B540" s="2" t="s">
        <v>1006</v>
      </c>
      <c r="C540" s="2" t="s">
        <v>1014</v>
      </c>
      <c r="D540" s="4" t="s">
        <v>1015</v>
      </c>
    </row>
    <row r="541">
      <c r="A541" s="3">
        <v>25922.0</v>
      </c>
      <c r="B541" s="2" t="s">
        <v>1006</v>
      </c>
      <c r="C541" s="2" t="s">
        <v>1001</v>
      </c>
      <c r="D541" s="4" t="s">
        <v>1016</v>
      </c>
    </row>
    <row r="542">
      <c r="A542" s="3">
        <v>25922.0</v>
      </c>
      <c r="B542" s="2" t="s">
        <v>1006</v>
      </c>
      <c r="C542" s="2" t="s">
        <v>1017</v>
      </c>
      <c r="D542" s="4" t="s">
        <v>1018</v>
      </c>
    </row>
    <row r="543">
      <c r="A543" s="3">
        <v>25923.0</v>
      </c>
      <c r="B543" s="2" t="s">
        <v>1006</v>
      </c>
      <c r="C543" s="2" t="s">
        <v>1019</v>
      </c>
      <c r="D543" s="4" t="s">
        <v>1020</v>
      </c>
    </row>
    <row r="544">
      <c r="A544" s="3">
        <v>25923.0</v>
      </c>
      <c r="B544" s="2" t="s">
        <v>1006</v>
      </c>
      <c r="C544" s="2" t="s">
        <v>379</v>
      </c>
      <c r="D544" s="4" t="s">
        <v>1021</v>
      </c>
    </row>
    <row r="545">
      <c r="A545" s="3">
        <v>25923.0</v>
      </c>
      <c r="B545" s="2" t="s">
        <v>1006</v>
      </c>
      <c r="C545" s="2" t="s">
        <v>1022</v>
      </c>
      <c r="D545" s="4" t="s">
        <v>1023</v>
      </c>
    </row>
    <row r="546">
      <c r="A546" s="3">
        <v>25923.0</v>
      </c>
      <c r="B546" s="2" t="s">
        <v>1006</v>
      </c>
      <c r="C546" s="2" t="s">
        <v>1001</v>
      </c>
      <c r="D546" s="4" t="s">
        <v>1024</v>
      </c>
    </row>
    <row r="547">
      <c r="A547" s="3">
        <v>25924.0</v>
      </c>
      <c r="B547" s="2" t="s">
        <v>1006</v>
      </c>
      <c r="C547" s="2" t="s">
        <v>1025</v>
      </c>
      <c r="D547" s="4" t="s">
        <v>1026</v>
      </c>
    </row>
    <row r="548">
      <c r="A548" s="3">
        <v>25925.0</v>
      </c>
      <c r="B548" s="2" t="s">
        <v>1006</v>
      </c>
      <c r="C548" s="2" t="s">
        <v>1027</v>
      </c>
      <c r="D548" s="4" t="s">
        <v>1028</v>
      </c>
    </row>
    <row r="549">
      <c r="A549" s="3">
        <v>25926.0</v>
      </c>
      <c r="B549" s="2" t="s">
        <v>1006</v>
      </c>
      <c r="C549" s="2" t="s">
        <v>1029</v>
      </c>
      <c r="D549" s="4" t="s">
        <v>1030</v>
      </c>
    </row>
    <row r="550">
      <c r="A550" s="3">
        <v>25926.0</v>
      </c>
      <c r="B550" s="2" t="s">
        <v>1006</v>
      </c>
      <c r="C550" s="2" t="s">
        <v>1031</v>
      </c>
      <c r="D550" s="4" t="s">
        <v>1032</v>
      </c>
    </row>
    <row r="551">
      <c r="A551" s="3">
        <v>25927.0</v>
      </c>
      <c r="B551" s="2" t="s">
        <v>1006</v>
      </c>
      <c r="C551" s="2" t="s">
        <v>1033</v>
      </c>
      <c r="D551" s="4" t="s">
        <v>1034</v>
      </c>
    </row>
    <row r="552">
      <c r="A552" s="3">
        <v>25928.0</v>
      </c>
      <c r="B552" s="2" t="s">
        <v>1006</v>
      </c>
      <c r="C552" s="2" t="s">
        <v>1035</v>
      </c>
      <c r="D552" s="4" t="s">
        <v>1036</v>
      </c>
    </row>
    <row r="553">
      <c r="A553" s="3">
        <v>25928.0</v>
      </c>
      <c r="B553" s="2" t="s">
        <v>1006</v>
      </c>
      <c r="C553" s="2" t="s">
        <v>1033</v>
      </c>
      <c r="D553" s="4" t="s">
        <v>1037</v>
      </c>
    </row>
    <row r="554">
      <c r="A554" s="3">
        <v>25929.0</v>
      </c>
      <c r="B554" s="2" t="s">
        <v>1006</v>
      </c>
      <c r="C554" s="2" t="s">
        <v>82</v>
      </c>
      <c r="D554" s="4" t="s">
        <v>1038</v>
      </c>
    </row>
    <row r="555">
      <c r="A555" s="3">
        <v>25930.0</v>
      </c>
      <c r="B555" s="2" t="s">
        <v>1006</v>
      </c>
      <c r="C555" s="2" t="s">
        <v>1001</v>
      </c>
      <c r="D555" s="4" t="s">
        <v>1039</v>
      </c>
    </row>
    <row r="556">
      <c r="A556" s="3">
        <v>25931.0</v>
      </c>
      <c r="B556" s="2" t="s">
        <v>1006</v>
      </c>
      <c r="C556" s="2" t="s">
        <v>1001</v>
      </c>
      <c r="D556" s="4" t="s">
        <v>1040</v>
      </c>
    </row>
    <row r="557">
      <c r="A557" s="3">
        <v>25932.0</v>
      </c>
      <c r="B557" s="2" t="s">
        <v>1006</v>
      </c>
      <c r="C557" s="2" t="s">
        <v>1001</v>
      </c>
      <c r="D557" s="4" t="s">
        <v>1041</v>
      </c>
    </row>
    <row r="558">
      <c r="A558" s="3">
        <v>25933.0</v>
      </c>
      <c r="B558" s="2" t="s">
        <v>1006</v>
      </c>
      <c r="C558" s="2" t="s">
        <v>1042</v>
      </c>
      <c r="D558" s="4" t="s">
        <v>1043</v>
      </c>
    </row>
    <row r="559">
      <c r="A559" s="3">
        <v>25936.0</v>
      </c>
      <c r="B559" s="2" t="s">
        <v>1006</v>
      </c>
      <c r="C559" s="2" t="s">
        <v>1044</v>
      </c>
      <c r="D559" s="4" t="s">
        <v>1045</v>
      </c>
    </row>
    <row r="560">
      <c r="A560" s="3">
        <v>25938.0</v>
      </c>
      <c r="B560" s="2" t="s">
        <v>980</v>
      </c>
      <c r="C560" s="2" t="s">
        <v>1046</v>
      </c>
      <c r="D560" s="4" t="s">
        <v>1047</v>
      </c>
    </row>
    <row r="561">
      <c r="A561" s="3">
        <v>25939.0</v>
      </c>
      <c r="B561" s="2" t="s">
        <v>977</v>
      </c>
      <c r="C561" s="2" t="s">
        <v>1048</v>
      </c>
      <c r="D561" s="4" t="s">
        <v>1049</v>
      </c>
    </row>
    <row r="562">
      <c r="A562" s="3">
        <v>25939.0</v>
      </c>
      <c r="B562" s="2" t="s">
        <v>977</v>
      </c>
      <c r="C562" s="2" t="s">
        <v>1050</v>
      </c>
      <c r="D562" s="4" t="s">
        <v>1051</v>
      </c>
    </row>
    <row r="563">
      <c r="A563" s="3">
        <v>25943.0</v>
      </c>
      <c r="B563" s="2" t="s">
        <v>977</v>
      </c>
      <c r="C563" s="2" t="s">
        <v>1052</v>
      </c>
      <c r="D563" s="4" t="s">
        <v>1053</v>
      </c>
    </row>
    <row r="564">
      <c r="A564" s="3">
        <v>25948.0</v>
      </c>
      <c r="B564" s="2" t="s">
        <v>1054</v>
      </c>
      <c r="C564" s="2" t="s">
        <v>1055</v>
      </c>
      <c r="D564" s="4" t="s">
        <v>1056</v>
      </c>
    </row>
    <row r="565">
      <c r="A565" s="3">
        <v>25949.0</v>
      </c>
      <c r="B565" s="2" t="s">
        <v>1054</v>
      </c>
      <c r="C565" s="2" t="s">
        <v>1057</v>
      </c>
      <c r="D565" s="4" t="s">
        <v>1058</v>
      </c>
    </row>
    <row r="566">
      <c r="A566" s="3">
        <v>25950.0</v>
      </c>
      <c r="B566" s="2" t="s">
        <v>1054</v>
      </c>
      <c r="C566" s="2" t="s">
        <v>1001</v>
      </c>
      <c r="D566" s="4" t="s">
        <v>1059</v>
      </c>
    </row>
    <row r="567">
      <c r="A567" s="3">
        <v>25950.0</v>
      </c>
      <c r="B567" s="2" t="s">
        <v>1054</v>
      </c>
      <c r="C567" s="2" t="s">
        <v>1060</v>
      </c>
      <c r="D567" s="4" t="s">
        <v>1061</v>
      </c>
    </row>
    <row r="568">
      <c r="A568" s="3">
        <v>25950.0</v>
      </c>
      <c r="B568" s="2" t="s">
        <v>1054</v>
      </c>
      <c r="C568" s="2" t="s">
        <v>379</v>
      </c>
      <c r="D568" s="4" t="s">
        <v>1062</v>
      </c>
    </row>
    <row r="569">
      <c r="A569" s="3">
        <v>25951.0</v>
      </c>
      <c r="B569" s="2" t="s">
        <v>1054</v>
      </c>
      <c r="C569" s="2" t="s">
        <v>1001</v>
      </c>
      <c r="D569" s="4" t="s">
        <v>1063</v>
      </c>
    </row>
    <row r="570">
      <c r="A570" s="3">
        <v>25951.0</v>
      </c>
      <c r="B570" s="2" t="s">
        <v>1054</v>
      </c>
      <c r="C570" s="2" t="s">
        <v>379</v>
      </c>
      <c r="D570" s="4" t="s">
        <v>1064</v>
      </c>
    </row>
    <row r="571">
      <c r="A571" s="3">
        <v>25962.0</v>
      </c>
      <c r="B571" s="2" t="s">
        <v>1065</v>
      </c>
      <c r="C571" s="2" t="s">
        <v>1066</v>
      </c>
      <c r="D571" s="4" t="s">
        <v>1067</v>
      </c>
    </row>
    <row r="572">
      <c r="A572" s="3">
        <v>25962.0</v>
      </c>
      <c r="B572" s="2" t="s">
        <v>1054</v>
      </c>
      <c r="C572" s="2" t="s">
        <v>1068</v>
      </c>
      <c r="D572" s="4" t="s">
        <v>1069</v>
      </c>
    </row>
    <row r="573">
      <c r="A573" s="3">
        <v>25963.0</v>
      </c>
      <c r="B573" s="2" t="s">
        <v>1065</v>
      </c>
      <c r="C573" s="2" t="s">
        <v>1070</v>
      </c>
      <c r="D573" s="4" t="s">
        <v>1071</v>
      </c>
    </row>
    <row r="574">
      <c r="A574" s="3">
        <v>25963.0</v>
      </c>
      <c r="B574" s="2" t="s">
        <v>1054</v>
      </c>
      <c r="C574" s="2" t="s">
        <v>1072</v>
      </c>
      <c r="D574" s="4" t="s">
        <v>1073</v>
      </c>
    </row>
    <row r="575">
      <c r="A575" s="3">
        <v>25963.0</v>
      </c>
      <c r="B575" s="2" t="s">
        <v>1054</v>
      </c>
      <c r="C575" s="2" t="s">
        <v>1074</v>
      </c>
      <c r="D575" s="4" t="s">
        <v>1075</v>
      </c>
    </row>
    <row r="576">
      <c r="A576" s="3">
        <v>25963.0</v>
      </c>
      <c r="B576" s="2" t="s">
        <v>1054</v>
      </c>
      <c r="C576" s="2" t="s">
        <v>1076</v>
      </c>
      <c r="D576" s="4" t="s">
        <v>1077</v>
      </c>
    </row>
    <row r="577">
      <c r="A577" s="3">
        <v>25963.0</v>
      </c>
      <c r="B577" s="2" t="s">
        <v>1054</v>
      </c>
      <c r="C577" s="2" t="s">
        <v>1001</v>
      </c>
      <c r="D577" s="4" t="s">
        <v>1078</v>
      </c>
    </row>
    <row r="578">
      <c r="A578" s="3">
        <v>25964.0</v>
      </c>
      <c r="B578" s="2" t="s">
        <v>1065</v>
      </c>
      <c r="C578" s="2" t="s">
        <v>1079</v>
      </c>
      <c r="D578" s="4" t="s">
        <v>1080</v>
      </c>
    </row>
    <row r="579">
      <c r="A579" s="3">
        <v>25965.0</v>
      </c>
      <c r="B579" s="2" t="s">
        <v>1054</v>
      </c>
      <c r="C579" s="2" t="s">
        <v>1081</v>
      </c>
      <c r="D579" s="4" t="s">
        <v>1082</v>
      </c>
    </row>
    <row r="580">
      <c r="A580" s="3">
        <v>25965.0</v>
      </c>
      <c r="B580" s="2" t="s">
        <v>1054</v>
      </c>
      <c r="C580" s="2" t="s">
        <v>1083</v>
      </c>
      <c r="D580" s="4" t="s">
        <v>1084</v>
      </c>
    </row>
    <row r="581">
      <c r="A581" s="3">
        <v>25965.0</v>
      </c>
      <c r="B581" s="2" t="s">
        <v>1054</v>
      </c>
      <c r="C581" s="2" t="s">
        <v>1085</v>
      </c>
      <c r="D581" s="4" t="s">
        <v>1086</v>
      </c>
    </row>
    <row r="582">
      <c r="A582" s="3">
        <v>25965.0</v>
      </c>
      <c r="B582" s="2" t="s">
        <v>1054</v>
      </c>
      <c r="C582" s="2" t="s">
        <v>1087</v>
      </c>
      <c r="D582" s="4" t="s">
        <v>1088</v>
      </c>
    </row>
    <row r="583">
      <c r="A583" s="3">
        <v>25965.0</v>
      </c>
      <c r="B583" s="2" t="s">
        <v>1054</v>
      </c>
      <c r="C583" s="2" t="s">
        <v>1001</v>
      </c>
      <c r="D583" s="4" t="s">
        <v>1089</v>
      </c>
    </row>
    <row r="584">
      <c r="A584" s="3">
        <v>25965.0</v>
      </c>
      <c r="B584" s="2" t="s">
        <v>1054</v>
      </c>
      <c r="C584" s="2" t="s">
        <v>1090</v>
      </c>
      <c r="D584" s="4" t="s">
        <v>1091</v>
      </c>
    </row>
    <row r="585">
      <c r="A585" s="3">
        <v>25966.0</v>
      </c>
      <c r="B585" s="2" t="s">
        <v>1054</v>
      </c>
      <c r="C585" s="2" t="s">
        <v>1092</v>
      </c>
      <c r="D585" s="4" t="s">
        <v>1093</v>
      </c>
    </row>
    <row r="586">
      <c r="A586" s="3">
        <v>25967.0</v>
      </c>
      <c r="B586" s="2" t="s">
        <v>1094</v>
      </c>
      <c r="C586" s="2" t="s">
        <v>1095</v>
      </c>
      <c r="D586" s="4" t="s">
        <v>1096</v>
      </c>
    </row>
    <row r="587">
      <c r="A587" s="3">
        <v>25967.0</v>
      </c>
      <c r="B587" s="2" t="s">
        <v>1094</v>
      </c>
      <c r="C587" s="2" t="s">
        <v>1097</v>
      </c>
      <c r="D587" s="4" t="s">
        <v>1098</v>
      </c>
    </row>
    <row r="588">
      <c r="A588" s="3">
        <v>25967.0</v>
      </c>
      <c r="B588" s="2" t="s">
        <v>1094</v>
      </c>
      <c r="C588" s="2" t="s">
        <v>1099</v>
      </c>
      <c r="D588" s="4" t="s">
        <v>1100</v>
      </c>
    </row>
    <row r="589">
      <c r="A589" s="3">
        <v>25968.0</v>
      </c>
      <c r="B589" s="2" t="s">
        <v>1094</v>
      </c>
      <c r="C589" s="2" t="s">
        <v>1101</v>
      </c>
      <c r="D589" s="4" t="s">
        <v>1102</v>
      </c>
    </row>
    <row r="590">
      <c r="A590" s="3">
        <v>25969.0</v>
      </c>
      <c r="B590" s="2" t="s">
        <v>1094</v>
      </c>
      <c r="C590" s="2" t="s">
        <v>1103</v>
      </c>
      <c r="D590" s="4" t="s">
        <v>1104</v>
      </c>
    </row>
    <row r="591">
      <c r="A591" s="3">
        <v>25970.0</v>
      </c>
      <c r="B591" s="2" t="s">
        <v>1094</v>
      </c>
      <c r="C591" s="2" t="s">
        <v>1105</v>
      </c>
      <c r="D591" s="4" t="s">
        <v>1106</v>
      </c>
    </row>
    <row r="592">
      <c r="A592" s="3">
        <v>25971.0</v>
      </c>
      <c r="B592" s="2" t="s">
        <v>1094</v>
      </c>
      <c r="C592" s="2" t="s">
        <v>1001</v>
      </c>
      <c r="D592" s="4" t="s">
        <v>1107</v>
      </c>
    </row>
    <row r="593">
      <c r="A593" s="3">
        <v>25975.0</v>
      </c>
      <c r="B593" s="2" t="s">
        <v>1094</v>
      </c>
      <c r="C593" s="2" t="s">
        <v>1108</v>
      </c>
      <c r="D593" s="4" t="s">
        <v>1109</v>
      </c>
    </row>
    <row r="594">
      <c r="A594" s="3">
        <v>25975.0</v>
      </c>
      <c r="B594" s="2" t="s">
        <v>1094</v>
      </c>
      <c r="C594" s="2" t="s">
        <v>1001</v>
      </c>
      <c r="D594" s="4" t="s">
        <v>1110</v>
      </c>
    </row>
    <row r="595">
      <c r="A595" s="3">
        <v>25976.0</v>
      </c>
      <c r="B595" s="2" t="s">
        <v>1094</v>
      </c>
      <c r="C595" s="2" t="s">
        <v>1111</v>
      </c>
      <c r="D595" s="4" t="s">
        <v>1112</v>
      </c>
    </row>
    <row r="596">
      <c r="A596" s="3">
        <v>25976.0</v>
      </c>
      <c r="B596" s="2" t="s">
        <v>1094</v>
      </c>
      <c r="C596" s="2" t="s">
        <v>1113</v>
      </c>
      <c r="D596" s="4" t="s">
        <v>1114</v>
      </c>
    </row>
    <row r="597">
      <c r="A597" s="3">
        <v>25976.0</v>
      </c>
      <c r="B597" s="2" t="s">
        <v>1094</v>
      </c>
      <c r="C597" s="2" t="s">
        <v>1001</v>
      </c>
      <c r="D597" s="4" t="s">
        <v>1115</v>
      </c>
    </row>
    <row r="598">
      <c r="A598" s="3">
        <v>25977.0</v>
      </c>
      <c r="B598" s="2" t="s">
        <v>1094</v>
      </c>
      <c r="C598" s="2" t="s">
        <v>1116</v>
      </c>
      <c r="D598" s="4" t="s">
        <v>1117</v>
      </c>
    </row>
    <row r="599">
      <c r="A599" s="3">
        <v>25978.0</v>
      </c>
      <c r="B599" s="2" t="s">
        <v>1094</v>
      </c>
      <c r="C599" s="2" t="s">
        <v>1118</v>
      </c>
      <c r="D599" s="4" t="s">
        <v>1119</v>
      </c>
    </row>
    <row r="600">
      <c r="A600" s="3">
        <v>25978.0</v>
      </c>
      <c r="B600" s="2" t="s">
        <v>1094</v>
      </c>
      <c r="C600" s="2" t="s">
        <v>1120</v>
      </c>
      <c r="D600" s="4" t="s">
        <v>1121</v>
      </c>
    </row>
    <row r="601">
      <c r="A601" s="3">
        <v>25978.0</v>
      </c>
      <c r="B601" s="2" t="s">
        <v>1094</v>
      </c>
      <c r="C601" s="2" t="s">
        <v>1122</v>
      </c>
      <c r="D601" s="4" t="s">
        <v>1123</v>
      </c>
    </row>
    <row r="602">
      <c r="A602" s="3">
        <v>25978.0</v>
      </c>
      <c r="B602" s="2" t="s">
        <v>1094</v>
      </c>
      <c r="C602" s="2" t="s">
        <v>379</v>
      </c>
      <c r="D602" s="4" t="s">
        <v>1124</v>
      </c>
    </row>
    <row r="603">
      <c r="A603" s="3">
        <v>25979.0</v>
      </c>
      <c r="B603" s="2" t="s">
        <v>1094</v>
      </c>
      <c r="C603" s="2" t="s">
        <v>1125</v>
      </c>
      <c r="D603" s="4" t="s">
        <v>1126</v>
      </c>
    </row>
    <row r="604">
      <c r="A604" s="3">
        <v>25979.0</v>
      </c>
      <c r="B604" s="2" t="s">
        <v>1094</v>
      </c>
      <c r="C604" s="2" t="s">
        <v>1127</v>
      </c>
      <c r="D604" s="4" t="s">
        <v>1128</v>
      </c>
    </row>
    <row r="605">
      <c r="A605" s="3">
        <v>25979.0</v>
      </c>
      <c r="B605" s="2" t="s">
        <v>1094</v>
      </c>
      <c r="C605" s="2" t="s">
        <v>1129</v>
      </c>
      <c r="D605" s="4" t="s">
        <v>1130</v>
      </c>
    </row>
    <row r="606">
      <c r="A606" s="3">
        <v>25980.0</v>
      </c>
      <c r="B606" s="2" t="s">
        <v>1094</v>
      </c>
      <c r="C606" s="2" t="s">
        <v>1131</v>
      </c>
      <c r="D606" s="4" t="s">
        <v>1132</v>
      </c>
    </row>
    <row r="607">
      <c r="A607" s="3">
        <v>25980.0</v>
      </c>
      <c r="B607" s="2" t="s">
        <v>1094</v>
      </c>
      <c r="C607" s="2" t="s">
        <v>1133</v>
      </c>
      <c r="D607" s="4" t="s">
        <v>1134</v>
      </c>
    </row>
    <row r="608">
      <c r="A608" s="3">
        <v>25981.0</v>
      </c>
      <c r="B608" s="2" t="s">
        <v>1094</v>
      </c>
      <c r="C608" s="2" t="s">
        <v>1135</v>
      </c>
      <c r="D608" s="4" t="s">
        <v>1136</v>
      </c>
    </row>
    <row r="609">
      <c r="A609" s="3">
        <v>25981.0</v>
      </c>
      <c r="B609" s="2" t="s">
        <v>1094</v>
      </c>
      <c r="C609" s="2" t="s">
        <v>1137</v>
      </c>
      <c r="D609" s="4" t="s">
        <v>1138</v>
      </c>
    </row>
    <row r="610">
      <c r="A610" s="3">
        <v>25981.0</v>
      </c>
      <c r="B610" s="2" t="s">
        <v>1094</v>
      </c>
      <c r="C610" s="2" t="s">
        <v>379</v>
      </c>
      <c r="D610" s="4" t="s">
        <v>1139</v>
      </c>
    </row>
    <row r="611">
      <c r="A611" s="3">
        <v>25981.0</v>
      </c>
      <c r="B611" s="2" t="s">
        <v>1094</v>
      </c>
      <c r="C611" s="2" t="s">
        <v>82</v>
      </c>
      <c r="D611" s="4" t="s">
        <v>1140</v>
      </c>
    </row>
    <row r="612">
      <c r="A612" s="3">
        <v>25982.0</v>
      </c>
      <c r="B612" s="2" t="s">
        <v>1094</v>
      </c>
      <c r="C612" s="2" t="s">
        <v>82</v>
      </c>
      <c r="D612" s="4" t="s">
        <v>1141</v>
      </c>
    </row>
    <row r="613">
      <c r="A613" s="3">
        <v>25982.0</v>
      </c>
      <c r="B613" s="2" t="s">
        <v>1094</v>
      </c>
      <c r="C613" s="2" t="s">
        <v>1142</v>
      </c>
      <c r="D613" s="4" t="s">
        <v>1143</v>
      </c>
    </row>
    <row r="614">
      <c r="A614" s="3">
        <v>25983.0</v>
      </c>
      <c r="B614" s="2" t="s">
        <v>1094</v>
      </c>
      <c r="C614" s="2" t="s">
        <v>1144</v>
      </c>
      <c r="D614" s="4" t="s">
        <v>1145</v>
      </c>
    </row>
    <row r="615">
      <c r="A615" s="3">
        <v>25984.0</v>
      </c>
      <c r="B615" s="2" t="s">
        <v>1094</v>
      </c>
      <c r="C615" s="2" t="s">
        <v>1146</v>
      </c>
      <c r="D615" s="4" t="s">
        <v>1147</v>
      </c>
    </row>
    <row r="616">
      <c r="A616" s="3">
        <v>25987.0</v>
      </c>
      <c r="B616" s="2" t="s">
        <v>1094</v>
      </c>
      <c r="C616" s="2" t="s">
        <v>1148</v>
      </c>
      <c r="D616" s="4" t="s">
        <v>1149</v>
      </c>
    </row>
    <row r="617">
      <c r="A617" s="5">
        <v>26008.0</v>
      </c>
      <c r="B617" s="2" t="s">
        <v>980</v>
      </c>
      <c r="C617" s="2" t="s">
        <v>1150</v>
      </c>
      <c r="D617" s="4" t="s">
        <v>1151</v>
      </c>
    </row>
    <row r="618">
      <c r="A618" s="5">
        <v>26009.0</v>
      </c>
      <c r="B618" s="2" t="s">
        <v>980</v>
      </c>
      <c r="C618" s="2" t="s">
        <v>523</v>
      </c>
      <c r="D618" s="4" t="s">
        <v>1152</v>
      </c>
    </row>
    <row r="619">
      <c r="A619" s="5">
        <v>26010.0</v>
      </c>
      <c r="B619" s="2" t="s">
        <v>980</v>
      </c>
      <c r="C619" s="2" t="s">
        <v>1153</v>
      </c>
      <c r="D619" s="4" t="s">
        <v>1154</v>
      </c>
    </row>
    <row r="620">
      <c r="A620" s="5">
        <v>26010.0</v>
      </c>
      <c r="B620" s="2" t="s">
        <v>980</v>
      </c>
      <c r="C620" s="2" t="s">
        <v>1050</v>
      </c>
      <c r="D620" s="4" t="s">
        <v>1155</v>
      </c>
    </row>
    <row r="621">
      <c r="A621" s="5">
        <v>26011.0</v>
      </c>
      <c r="B621" s="2" t="s">
        <v>980</v>
      </c>
      <c r="C621" s="2" t="s">
        <v>1156</v>
      </c>
      <c r="D621" s="4" t="s">
        <v>1157</v>
      </c>
    </row>
    <row r="622">
      <c r="A622" s="5">
        <v>26012.0</v>
      </c>
      <c r="B622" s="2" t="s">
        <v>980</v>
      </c>
      <c r="C622" s="2" t="s">
        <v>82</v>
      </c>
      <c r="D622" s="4" t="s">
        <v>1158</v>
      </c>
    </row>
    <row r="623">
      <c r="A623" s="5">
        <v>26013.0</v>
      </c>
      <c r="B623" s="2" t="s">
        <v>980</v>
      </c>
      <c r="C623" s="2" t="s">
        <v>1159</v>
      </c>
      <c r="D623" s="4" t="s">
        <v>1160</v>
      </c>
    </row>
    <row r="624">
      <c r="A624" s="5">
        <v>26016.0</v>
      </c>
      <c r="B624" s="2" t="s">
        <v>980</v>
      </c>
      <c r="C624" s="2" t="s">
        <v>1161</v>
      </c>
      <c r="D624" s="4" t="s">
        <v>1162</v>
      </c>
    </row>
    <row r="625">
      <c r="A625" s="5">
        <v>26018.0</v>
      </c>
      <c r="B625" s="2" t="s">
        <v>980</v>
      </c>
      <c r="C625" s="2" t="s">
        <v>1163</v>
      </c>
      <c r="D625" s="4" t="s">
        <v>1164</v>
      </c>
    </row>
    <row r="626">
      <c r="A626" s="5">
        <v>26020.0</v>
      </c>
      <c r="B626" s="2" t="s">
        <v>980</v>
      </c>
      <c r="C626" s="2" t="s">
        <v>1165</v>
      </c>
      <c r="D626" s="4" t="s">
        <v>1166</v>
      </c>
    </row>
    <row r="627">
      <c r="A627" s="5">
        <v>26021.0</v>
      </c>
      <c r="B627" s="2" t="s">
        <v>980</v>
      </c>
      <c r="C627" s="2" t="s">
        <v>1167</v>
      </c>
      <c r="D627" s="4" t="s">
        <v>1168</v>
      </c>
    </row>
    <row r="628">
      <c r="A628" s="5">
        <v>26022.0</v>
      </c>
      <c r="B628" s="2" t="s">
        <v>980</v>
      </c>
      <c r="C628" s="2" t="s">
        <v>1169</v>
      </c>
      <c r="D628" s="4" t="s">
        <v>1170</v>
      </c>
    </row>
    <row r="629">
      <c r="A629" s="5">
        <v>26023.0</v>
      </c>
      <c r="B629" s="2" t="s">
        <v>980</v>
      </c>
      <c r="C629" s="2" t="s">
        <v>1148</v>
      </c>
      <c r="D629" s="4" t="s">
        <v>1171</v>
      </c>
    </row>
    <row r="630">
      <c r="A630" s="5">
        <v>26024.0</v>
      </c>
      <c r="B630" s="2" t="s">
        <v>980</v>
      </c>
      <c r="C630" s="2" t="s">
        <v>1172</v>
      </c>
      <c r="D630" s="4" t="s">
        <v>1173</v>
      </c>
    </row>
    <row r="631">
      <c r="A631" s="5">
        <v>26028.0</v>
      </c>
      <c r="B631" s="2" t="s">
        <v>980</v>
      </c>
      <c r="C631" s="2" t="s">
        <v>1174</v>
      </c>
      <c r="D631" s="4" t="s">
        <v>1175</v>
      </c>
    </row>
    <row r="632">
      <c r="A632" s="5">
        <v>26029.0</v>
      </c>
      <c r="B632" s="2" t="s">
        <v>980</v>
      </c>
      <c r="C632" s="2" t="s">
        <v>1148</v>
      </c>
      <c r="D632" s="4" t="s">
        <v>1176</v>
      </c>
    </row>
    <row r="633">
      <c r="A633" s="5">
        <v>26029.0</v>
      </c>
      <c r="B633" s="2" t="s">
        <v>980</v>
      </c>
      <c r="C633" s="2" t="s">
        <v>379</v>
      </c>
      <c r="D633" s="4" t="s">
        <v>1177</v>
      </c>
    </row>
    <row r="634">
      <c r="A634" s="5">
        <v>26030.0</v>
      </c>
      <c r="B634" s="2" t="s">
        <v>980</v>
      </c>
      <c r="C634" s="2" t="s">
        <v>1178</v>
      </c>
      <c r="D634" s="4" t="s">
        <v>1179</v>
      </c>
    </row>
    <row r="635">
      <c r="A635" s="5">
        <v>26030.0</v>
      </c>
      <c r="B635" s="2" t="s">
        <v>980</v>
      </c>
      <c r="C635" s="2" t="s">
        <v>1148</v>
      </c>
      <c r="D635" s="4" t="s">
        <v>1180</v>
      </c>
    </row>
    <row r="636">
      <c r="A636" s="5">
        <v>26031.0</v>
      </c>
      <c r="B636" s="2" t="s">
        <v>980</v>
      </c>
      <c r="C636" s="2" t="s">
        <v>1181</v>
      </c>
      <c r="D636" s="4" t="s">
        <v>1182</v>
      </c>
    </row>
    <row r="637">
      <c r="A637" s="5">
        <v>26032.0</v>
      </c>
      <c r="B637" s="2" t="s">
        <v>980</v>
      </c>
      <c r="C637" s="2" t="s">
        <v>1183</v>
      </c>
      <c r="D637" s="4" t="s">
        <v>1184</v>
      </c>
    </row>
    <row r="638">
      <c r="A638" s="5">
        <v>26033.0</v>
      </c>
      <c r="B638" s="2" t="s">
        <v>980</v>
      </c>
      <c r="C638" s="2" t="s">
        <v>1148</v>
      </c>
      <c r="D638" s="4" t="s">
        <v>1185</v>
      </c>
    </row>
    <row r="639">
      <c r="A639" s="5">
        <v>26034.0</v>
      </c>
      <c r="B639" s="2" t="s">
        <v>980</v>
      </c>
      <c r="C639" s="2" t="s">
        <v>1148</v>
      </c>
      <c r="D639" s="4" t="s">
        <v>1186</v>
      </c>
    </row>
    <row r="640">
      <c r="A640" s="7">
        <v>26060.0</v>
      </c>
      <c r="B640" s="2" t="s">
        <v>1187</v>
      </c>
      <c r="C640" s="2" t="s">
        <v>1188</v>
      </c>
      <c r="D640" s="4" t="s">
        <v>1189</v>
      </c>
    </row>
    <row r="641">
      <c r="A641" s="7">
        <v>26065.0</v>
      </c>
      <c r="B641" s="2" t="s">
        <v>1190</v>
      </c>
      <c r="C641" s="2" t="s">
        <v>1191</v>
      </c>
      <c r="D641" s="4" t="s">
        <v>1192</v>
      </c>
    </row>
    <row r="642">
      <c r="A642" s="7">
        <v>26066.0</v>
      </c>
      <c r="B642" s="2" t="s">
        <v>1190</v>
      </c>
      <c r="C642" s="2" t="s">
        <v>1193</v>
      </c>
      <c r="D642" s="4" t="s">
        <v>1194</v>
      </c>
    </row>
    <row r="643">
      <c r="A643" s="7">
        <v>26069.0</v>
      </c>
      <c r="B643" s="2" t="s">
        <v>1190</v>
      </c>
      <c r="C643" s="2" t="s">
        <v>373</v>
      </c>
      <c r="D643" s="4" t="s">
        <v>1195</v>
      </c>
    </row>
    <row r="644">
      <c r="A644" s="7">
        <v>26069.0</v>
      </c>
      <c r="B644" s="2" t="s">
        <v>1190</v>
      </c>
      <c r="C644" s="2" t="s">
        <v>358</v>
      </c>
      <c r="D644" s="4" t="s">
        <v>1196</v>
      </c>
    </row>
    <row r="645">
      <c r="A645" s="5">
        <v>26106.0</v>
      </c>
      <c r="B645" s="2" t="s">
        <v>1197</v>
      </c>
      <c r="C645" s="2" t="s">
        <v>1198</v>
      </c>
      <c r="D645" s="4" t="s">
        <v>1199</v>
      </c>
    </row>
    <row r="646">
      <c r="A646" s="5">
        <v>26110.0</v>
      </c>
      <c r="B646" s="2" t="s">
        <v>1200</v>
      </c>
      <c r="C646" s="2" t="s">
        <v>82</v>
      </c>
      <c r="D646" s="4" t="s">
        <v>1201</v>
      </c>
    </row>
    <row r="647">
      <c r="A647" s="5">
        <v>26110.0</v>
      </c>
      <c r="B647" s="2" t="s">
        <v>1200</v>
      </c>
      <c r="C647" s="2" t="s">
        <v>1202</v>
      </c>
      <c r="D647" s="4" t="s">
        <v>1203</v>
      </c>
    </row>
    <row r="648">
      <c r="A648" s="5">
        <v>26110.0</v>
      </c>
      <c r="B648" s="2" t="s">
        <v>1200</v>
      </c>
      <c r="C648" s="2" t="s">
        <v>1204</v>
      </c>
      <c r="D648" s="4" t="s">
        <v>1205</v>
      </c>
    </row>
    <row r="649">
      <c r="A649" s="5">
        <v>26111.0</v>
      </c>
      <c r="B649" s="2" t="s">
        <v>283</v>
      </c>
      <c r="C649" s="2" t="s">
        <v>969</v>
      </c>
      <c r="D649" s="4" t="s">
        <v>1206</v>
      </c>
    </row>
    <row r="650">
      <c r="A650" s="5">
        <v>26111.0</v>
      </c>
      <c r="B650" s="2" t="s">
        <v>283</v>
      </c>
      <c r="C650" s="2" t="s">
        <v>969</v>
      </c>
      <c r="D650" s="4" t="s">
        <v>1207</v>
      </c>
    </row>
    <row r="651">
      <c r="A651" s="5">
        <v>26112.0</v>
      </c>
      <c r="B651" s="2" t="s">
        <v>283</v>
      </c>
      <c r="C651" s="2" t="s">
        <v>82</v>
      </c>
      <c r="D651" s="4" t="s">
        <v>1208</v>
      </c>
    </row>
    <row r="652">
      <c r="A652" s="5">
        <v>26112.0</v>
      </c>
      <c r="B652" s="2" t="s">
        <v>283</v>
      </c>
      <c r="C652" s="2" t="s">
        <v>1209</v>
      </c>
      <c r="D652" s="4" t="s">
        <v>1210</v>
      </c>
    </row>
    <row r="653">
      <c r="A653" s="5">
        <v>26113.0</v>
      </c>
      <c r="B653" s="2" t="s">
        <v>345</v>
      </c>
      <c r="C653" s="2" t="s">
        <v>1211</v>
      </c>
      <c r="D653" s="4" t="s">
        <v>1212</v>
      </c>
    </row>
    <row r="654">
      <c r="A654" s="5">
        <v>26113.0</v>
      </c>
      <c r="B654" s="2" t="s">
        <v>345</v>
      </c>
      <c r="C654" s="2" t="s">
        <v>379</v>
      </c>
      <c r="D654" s="4" t="s">
        <v>1213</v>
      </c>
    </row>
    <row r="655">
      <c r="A655" s="5">
        <v>26113.0</v>
      </c>
      <c r="B655" s="2" t="s">
        <v>345</v>
      </c>
      <c r="C655" s="2" t="s">
        <v>1214</v>
      </c>
      <c r="D655" s="4" t="s">
        <v>1215</v>
      </c>
    </row>
    <row r="656">
      <c r="A656" s="5">
        <v>26114.0</v>
      </c>
      <c r="B656" s="2" t="s">
        <v>345</v>
      </c>
      <c r="C656" s="2" t="s">
        <v>1216</v>
      </c>
      <c r="D656" s="4" t="s">
        <v>1217</v>
      </c>
    </row>
    <row r="657">
      <c r="A657" s="5">
        <v>26115.0</v>
      </c>
      <c r="B657" s="2" t="s">
        <v>345</v>
      </c>
      <c r="C657" s="2" t="s">
        <v>1218</v>
      </c>
      <c r="D657" s="4" t="s">
        <v>1219</v>
      </c>
    </row>
    <row r="658">
      <c r="A658" s="5">
        <v>26115.0</v>
      </c>
      <c r="B658" s="2" t="s">
        <v>345</v>
      </c>
      <c r="C658" s="2" t="s">
        <v>1220</v>
      </c>
      <c r="D658" s="4" t="s">
        <v>1221</v>
      </c>
    </row>
    <row r="659">
      <c r="A659" s="5">
        <v>26116.0</v>
      </c>
      <c r="B659" s="2" t="s">
        <v>345</v>
      </c>
      <c r="C659" s="2" t="s">
        <v>1222</v>
      </c>
      <c r="D659" s="4" t="s">
        <v>1223</v>
      </c>
    </row>
    <row r="660">
      <c r="A660" s="5">
        <v>26116.0</v>
      </c>
      <c r="B660" s="2" t="s">
        <v>345</v>
      </c>
      <c r="C660" s="2" t="s">
        <v>1218</v>
      </c>
      <c r="D660" s="4" t="s">
        <v>1224</v>
      </c>
    </row>
    <row r="661">
      <c r="A661" s="5">
        <v>26116.0</v>
      </c>
      <c r="B661" s="2" t="s">
        <v>345</v>
      </c>
      <c r="C661" s="2" t="s">
        <v>1225</v>
      </c>
      <c r="D661" s="4" t="s">
        <v>1226</v>
      </c>
    </row>
    <row r="662">
      <c r="A662" s="5">
        <v>26118.0</v>
      </c>
      <c r="B662" s="2" t="s">
        <v>345</v>
      </c>
      <c r="C662" s="2" t="s">
        <v>82</v>
      </c>
      <c r="D662" s="4" t="s">
        <v>1227</v>
      </c>
    </row>
    <row r="663">
      <c r="A663" s="5">
        <v>26118.0</v>
      </c>
      <c r="B663" s="2" t="s">
        <v>345</v>
      </c>
      <c r="C663" s="2" t="s">
        <v>379</v>
      </c>
      <c r="D663" s="4" t="s">
        <v>1228</v>
      </c>
    </row>
    <row r="664">
      <c r="A664" s="5">
        <v>26119.0</v>
      </c>
      <c r="B664" s="2" t="s">
        <v>345</v>
      </c>
      <c r="C664" s="2" t="s">
        <v>360</v>
      </c>
      <c r="D664" s="4" t="s">
        <v>1229</v>
      </c>
    </row>
    <row r="665">
      <c r="A665" s="5">
        <v>26119.0</v>
      </c>
      <c r="B665" s="2" t="s">
        <v>345</v>
      </c>
      <c r="C665" s="2" t="s">
        <v>379</v>
      </c>
      <c r="D665" s="4" t="s">
        <v>1230</v>
      </c>
    </row>
    <row r="666">
      <c r="A666" s="5">
        <v>26119.0</v>
      </c>
      <c r="B666" s="2" t="s">
        <v>345</v>
      </c>
      <c r="C666" s="2" t="s">
        <v>1231</v>
      </c>
      <c r="D666" s="4" t="s">
        <v>1232</v>
      </c>
    </row>
    <row r="667">
      <c r="A667" s="5">
        <v>26119.0</v>
      </c>
      <c r="B667" s="2" t="s">
        <v>345</v>
      </c>
      <c r="C667" s="2" t="s">
        <v>367</v>
      </c>
      <c r="D667" s="4" t="s">
        <v>1233</v>
      </c>
    </row>
    <row r="668">
      <c r="A668" s="5">
        <v>26121.0</v>
      </c>
      <c r="B668" s="2" t="s">
        <v>345</v>
      </c>
      <c r="C668" s="2" t="s">
        <v>82</v>
      </c>
      <c r="D668" s="4" t="s">
        <v>1234</v>
      </c>
    </row>
    <row r="669">
      <c r="A669" s="5">
        <v>26122.0</v>
      </c>
      <c r="B669" s="2" t="s">
        <v>345</v>
      </c>
      <c r="C669" s="2" t="s">
        <v>1235</v>
      </c>
      <c r="D669" s="4" t="s">
        <v>1236</v>
      </c>
    </row>
    <row r="670">
      <c r="A670" s="5">
        <v>26123.0</v>
      </c>
      <c r="B670" s="2" t="s">
        <v>345</v>
      </c>
      <c r="C670" s="2" t="s">
        <v>1237</v>
      </c>
      <c r="D670" s="4" t="s">
        <v>1238</v>
      </c>
    </row>
    <row r="671">
      <c r="A671" s="5">
        <v>26123.0</v>
      </c>
      <c r="B671" s="2" t="s">
        <v>345</v>
      </c>
      <c r="C671" s="2" t="s">
        <v>1239</v>
      </c>
      <c r="D671" s="4" t="s">
        <v>1240</v>
      </c>
    </row>
    <row r="672">
      <c r="A672" s="5">
        <v>26124.0</v>
      </c>
      <c r="B672" s="2" t="s">
        <v>345</v>
      </c>
      <c r="C672" s="2" t="s">
        <v>1241</v>
      </c>
      <c r="D672" s="4" t="s">
        <v>1242</v>
      </c>
    </row>
    <row r="673">
      <c r="A673" s="5">
        <v>26125.0</v>
      </c>
      <c r="B673" s="2" t="s">
        <v>345</v>
      </c>
      <c r="C673" s="2" t="s">
        <v>82</v>
      </c>
      <c r="D673" s="4" t="s">
        <v>1243</v>
      </c>
    </row>
    <row r="674">
      <c r="A674" s="5">
        <v>26126.0</v>
      </c>
      <c r="B674" s="2" t="s">
        <v>345</v>
      </c>
      <c r="C674" s="2" t="s">
        <v>82</v>
      </c>
      <c r="D674" s="4" t="s">
        <v>1244</v>
      </c>
    </row>
    <row r="675">
      <c r="A675" s="5">
        <v>26127.0</v>
      </c>
      <c r="B675" s="2" t="s">
        <v>345</v>
      </c>
      <c r="C675" s="2" t="s">
        <v>360</v>
      </c>
      <c r="D675" s="4" t="s">
        <v>1245</v>
      </c>
    </row>
    <row r="676">
      <c r="A676" s="5">
        <v>26130.0</v>
      </c>
      <c r="B676" s="2" t="s">
        <v>1246</v>
      </c>
      <c r="C676" s="2" t="s">
        <v>1247</v>
      </c>
      <c r="D676" s="4" t="s">
        <v>1248</v>
      </c>
    </row>
    <row r="677">
      <c r="A677" s="5">
        <v>26130.0</v>
      </c>
      <c r="B677" s="2" t="s">
        <v>1246</v>
      </c>
      <c r="C677" s="2" t="s">
        <v>82</v>
      </c>
      <c r="D677" s="4" t="s">
        <v>1249</v>
      </c>
    </row>
    <row r="678">
      <c r="A678" s="5">
        <v>26131.0</v>
      </c>
      <c r="B678" s="2" t="s">
        <v>1246</v>
      </c>
      <c r="C678" s="2" t="s">
        <v>1250</v>
      </c>
      <c r="D678" s="4" t="s">
        <v>1251</v>
      </c>
    </row>
    <row r="679">
      <c r="A679" s="5">
        <v>26131.0</v>
      </c>
      <c r="B679" s="2" t="s">
        <v>1246</v>
      </c>
      <c r="C679" s="2" t="s">
        <v>623</v>
      </c>
      <c r="D679" s="4" t="s">
        <v>1252</v>
      </c>
    </row>
    <row r="680">
      <c r="A680" s="5">
        <v>26132.0</v>
      </c>
      <c r="B680" s="2" t="s">
        <v>1246</v>
      </c>
      <c r="C680" s="2" t="s">
        <v>623</v>
      </c>
      <c r="D680" s="4" t="s">
        <v>1253</v>
      </c>
    </row>
    <row r="681">
      <c r="A681" s="5">
        <v>26132.0</v>
      </c>
      <c r="B681" s="2" t="s">
        <v>1246</v>
      </c>
      <c r="C681" s="2" t="s">
        <v>1254</v>
      </c>
      <c r="D681" s="4" t="s">
        <v>1255</v>
      </c>
    </row>
    <row r="682">
      <c r="A682" s="5">
        <v>26133.0</v>
      </c>
      <c r="B682" s="2" t="s">
        <v>4</v>
      </c>
      <c r="C682" s="2" t="s">
        <v>1256</v>
      </c>
      <c r="D682" s="4" t="s">
        <v>1257</v>
      </c>
    </row>
    <row r="683">
      <c r="A683" s="5">
        <v>26134.0</v>
      </c>
      <c r="B683" s="2" t="s">
        <v>4</v>
      </c>
      <c r="C683" s="2" t="s">
        <v>379</v>
      </c>
      <c r="D683" s="4" t="s">
        <v>1258</v>
      </c>
    </row>
    <row r="684">
      <c r="A684" s="5">
        <v>26134.0</v>
      </c>
      <c r="B684" s="2" t="s">
        <v>4</v>
      </c>
      <c r="C684" s="2" t="s">
        <v>82</v>
      </c>
      <c r="D684" s="4" t="s">
        <v>1259</v>
      </c>
    </row>
    <row r="685">
      <c r="A685" s="5">
        <v>26134.0</v>
      </c>
      <c r="B685" s="2" t="s">
        <v>4</v>
      </c>
      <c r="C685" s="2" t="s">
        <v>1122</v>
      </c>
      <c r="D685" s="4" t="s">
        <v>1260</v>
      </c>
    </row>
    <row r="686">
      <c r="A686" s="5">
        <v>26135.0</v>
      </c>
      <c r="B686" s="2" t="s">
        <v>4</v>
      </c>
      <c r="C686" s="2" t="s">
        <v>623</v>
      </c>
      <c r="D686" s="4" t="s">
        <v>1261</v>
      </c>
    </row>
    <row r="687">
      <c r="A687" s="5">
        <v>26135.0</v>
      </c>
      <c r="B687" s="2" t="s">
        <v>4</v>
      </c>
      <c r="C687" s="2" t="s">
        <v>1262</v>
      </c>
      <c r="D687" s="4" t="s">
        <v>1263</v>
      </c>
    </row>
    <row r="688">
      <c r="A688" s="5">
        <v>26136.0</v>
      </c>
      <c r="B688" s="2" t="s">
        <v>4</v>
      </c>
      <c r="C688" s="2" t="s">
        <v>623</v>
      </c>
      <c r="D688" s="4" t="s">
        <v>1264</v>
      </c>
    </row>
    <row r="689">
      <c r="A689" s="5">
        <v>26136.0</v>
      </c>
      <c r="B689" s="2" t="s">
        <v>4</v>
      </c>
      <c r="C689" s="2" t="s">
        <v>1265</v>
      </c>
      <c r="D689" s="4" t="s">
        <v>1266</v>
      </c>
    </row>
    <row r="690">
      <c r="A690" s="5">
        <v>26137.0</v>
      </c>
      <c r="B690" s="2" t="s">
        <v>4</v>
      </c>
      <c r="C690" s="2" t="s">
        <v>623</v>
      </c>
      <c r="D690" s="4" t="s">
        <v>1267</v>
      </c>
    </row>
    <row r="691">
      <c r="A691" s="5">
        <v>26138.0</v>
      </c>
      <c r="B691" s="2" t="s">
        <v>4</v>
      </c>
      <c r="C691" s="2" t="s">
        <v>1268</v>
      </c>
      <c r="D691" s="4" t="s">
        <v>1269</v>
      </c>
    </row>
    <row r="692">
      <c r="A692" s="5">
        <v>26138.0</v>
      </c>
      <c r="B692" s="2" t="s">
        <v>4</v>
      </c>
      <c r="C692" s="2" t="s">
        <v>623</v>
      </c>
      <c r="D692" s="4" t="s">
        <v>1270</v>
      </c>
    </row>
    <row r="693">
      <c r="A693" s="5">
        <v>26139.0</v>
      </c>
      <c r="B693" s="2" t="s">
        <v>4</v>
      </c>
      <c r="C693" s="2" t="s">
        <v>1271</v>
      </c>
      <c r="D693" s="4" t="s">
        <v>1272</v>
      </c>
    </row>
    <row r="694">
      <c r="A694" s="5">
        <v>26139.0</v>
      </c>
      <c r="B694" s="2" t="s">
        <v>4</v>
      </c>
      <c r="C694" s="2" t="s">
        <v>1273</v>
      </c>
      <c r="D694" s="4" t="s">
        <v>1274</v>
      </c>
    </row>
    <row r="695">
      <c r="A695" s="5">
        <v>26139.0</v>
      </c>
      <c r="B695" s="2" t="s">
        <v>4</v>
      </c>
      <c r="C695" s="2" t="s">
        <v>623</v>
      </c>
      <c r="D695" s="4" t="s">
        <v>1275</v>
      </c>
    </row>
    <row r="696">
      <c r="A696" s="5">
        <v>26140.0</v>
      </c>
      <c r="B696" s="2" t="s">
        <v>4</v>
      </c>
      <c r="C696" s="2" t="s">
        <v>1276</v>
      </c>
      <c r="D696" s="4" t="s">
        <v>1277</v>
      </c>
    </row>
    <row r="697">
      <c r="A697" s="5">
        <v>26140.0</v>
      </c>
      <c r="B697" s="2" t="s">
        <v>4</v>
      </c>
      <c r="C697" s="2" t="s">
        <v>623</v>
      </c>
      <c r="D697" s="4" t="s">
        <v>1278</v>
      </c>
    </row>
    <row r="698">
      <c r="A698" s="5">
        <v>26141.0</v>
      </c>
      <c r="B698" s="2" t="s">
        <v>4</v>
      </c>
      <c r="C698" s="2" t="s">
        <v>1279</v>
      </c>
      <c r="D698" s="4" t="s">
        <v>1280</v>
      </c>
    </row>
    <row r="699">
      <c r="A699" s="5">
        <v>26141.0</v>
      </c>
      <c r="B699" s="2" t="s">
        <v>4</v>
      </c>
      <c r="C699" s="2" t="s">
        <v>1281</v>
      </c>
      <c r="D699" s="4" t="s">
        <v>1282</v>
      </c>
    </row>
    <row r="700">
      <c r="A700" s="5">
        <v>26142.0</v>
      </c>
      <c r="B700" s="2" t="s">
        <v>4</v>
      </c>
      <c r="C700" s="2" t="s">
        <v>1276</v>
      </c>
      <c r="D700" s="4" t="s">
        <v>1283</v>
      </c>
    </row>
    <row r="701">
      <c r="A701" s="5">
        <v>26142.0</v>
      </c>
      <c r="B701" s="2" t="s">
        <v>4</v>
      </c>
      <c r="C701" s="2" t="s">
        <v>360</v>
      </c>
      <c r="D701" s="4" t="s">
        <v>1284</v>
      </c>
    </row>
    <row r="702">
      <c r="A702" s="5">
        <v>26143.0</v>
      </c>
      <c r="B702" s="2" t="s">
        <v>1285</v>
      </c>
      <c r="C702" s="2" t="s">
        <v>1211</v>
      </c>
      <c r="D702" s="4" t="s">
        <v>1286</v>
      </c>
    </row>
    <row r="703">
      <c r="A703" s="5">
        <v>26143.0</v>
      </c>
      <c r="B703" s="2" t="s">
        <v>1285</v>
      </c>
      <c r="C703" s="2" t="s">
        <v>1287</v>
      </c>
      <c r="D703" s="4" t="s">
        <v>1288</v>
      </c>
    </row>
    <row r="704">
      <c r="A704" s="5">
        <v>26143.0</v>
      </c>
      <c r="B704" s="2" t="s">
        <v>1285</v>
      </c>
      <c r="C704" s="2" t="s">
        <v>1289</v>
      </c>
      <c r="D704" s="4" t="s">
        <v>1290</v>
      </c>
    </row>
    <row r="705">
      <c r="A705" s="5">
        <v>26145.0</v>
      </c>
      <c r="B705" s="2" t="s">
        <v>1285</v>
      </c>
      <c r="C705" s="2" t="s">
        <v>1291</v>
      </c>
      <c r="D705" s="4" t="s">
        <v>1292</v>
      </c>
    </row>
    <row r="706">
      <c r="A706" s="3">
        <v>26146.0</v>
      </c>
      <c r="B706" s="2" t="s">
        <v>4</v>
      </c>
      <c r="C706" s="2" t="s">
        <v>901</v>
      </c>
      <c r="D706" s="4" t="s">
        <v>1293</v>
      </c>
    </row>
    <row r="707">
      <c r="A707" s="3">
        <v>26147.0</v>
      </c>
      <c r="B707" s="2" t="s">
        <v>4</v>
      </c>
      <c r="C707" s="2" t="s">
        <v>1294</v>
      </c>
      <c r="D707" s="4" t="s">
        <v>1295</v>
      </c>
    </row>
    <row r="708">
      <c r="A708" s="3">
        <v>26148.0</v>
      </c>
      <c r="B708" s="2" t="s">
        <v>849</v>
      </c>
      <c r="C708" s="2" t="s">
        <v>901</v>
      </c>
      <c r="D708" s="4" t="s">
        <v>1296</v>
      </c>
    </row>
    <row r="709">
      <c r="A709" s="3">
        <v>26149.0</v>
      </c>
      <c r="B709" s="2" t="s">
        <v>849</v>
      </c>
      <c r="C709" s="2" t="s">
        <v>1297</v>
      </c>
      <c r="D709" s="4" t="s">
        <v>1298</v>
      </c>
    </row>
    <row r="710">
      <c r="A710" s="3">
        <v>26149.0</v>
      </c>
      <c r="B710" s="2" t="s">
        <v>849</v>
      </c>
      <c r="C710" s="2" t="s">
        <v>1299</v>
      </c>
      <c r="D710" s="4" t="s">
        <v>1300</v>
      </c>
    </row>
    <row r="711">
      <c r="A711" s="3">
        <v>26150.0</v>
      </c>
      <c r="B711" s="2" t="s">
        <v>849</v>
      </c>
      <c r="C711" s="2" t="s">
        <v>412</v>
      </c>
      <c r="D711" s="4" t="s">
        <v>1301</v>
      </c>
    </row>
    <row r="712">
      <c r="A712" s="3">
        <v>26150.0</v>
      </c>
      <c r="B712" s="2" t="s">
        <v>849</v>
      </c>
      <c r="C712" s="2" t="s">
        <v>1302</v>
      </c>
      <c r="D712" s="4" t="s">
        <v>1303</v>
      </c>
    </row>
    <row r="713">
      <c r="A713" s="3">
        <v>26151.0</v>
      </c>
      <c r="B713" s="2" t="s">
        <v>849</v>
      </c>
      <c r="C713" s="2" t="s">
        <v>1304</v>
      </c>
      <c r="D713" s="4" t="s">
        <v>1305</v>
      </c>
    </row>
    <row r="714">
      <c r="A714" s="3">
        <v>26151.0</v>
      </c>
      <c r="B714" s="2" t="s">
        <v>849</v>
      </c>
      <c r="C714" s="2" t="s">
        <v>1306</v>
      </c>
      <c r="D714" s="4" t="s">
        <v>1307</v>
      </c>
    </row>
    <row r="715">
      <c r="A715" s="3">
        <v>26152.0</v>
      </c>
      <c r="B715" s="2" t="s">
        <v>849</v>
      </c>
      <c r="C715" s="2" t="s">
        <v>1304</v>
      </c>
      <c r="D715" s="4" t="s">
        <v>1308</v>
      </c>
    </row>
    <row r="716">
      <c r="A716" s="3">
        <v>26152.0</v>
      </c>
      <c r="B716" s="2" t="s">
        <v>849</v>
      </c>
      <c r="C716" s="2" t="s">
        <v>1309</v>
      </c>
      <c r="D716" s="4" t="s">
        <v>1310</v>
      </c>
    </row>
    <row r="717">
      <c r="A717" s="3">
        <v>26153.0</v>
      </c>
      <c r="B717" s="2" t="s">
        <v>849</v>
      </c>
      <c r="C717" s="2" t="s">
        <v>1311</v>
      </c>
      <c r="D717" s="4" t="s">
        <v>1312</v>
      </c>
    </row>
    <row r="718">
      <c r="A718" s="3">
        <v>26154.0</v>
      </c>
      <c r="B718" s="2" t="s">
        <v>849</v>
      </c>
      <c r="C718" s="2" t="s">
        <v>1050</v>
      </c>
      <c r="D718" s="4" t="s">
        <v>1313</v>
      </c>
    </row>
    <row r="719">
      <c r="A719" s="3">
        <v>26155.0</v>
      </c>
      <c r="B719" s="2" t="s">
        <v>849</v>
      </c>
      <c r="C719" s="2" t="s">
        <v>1314</v>
      </c>
      <c r="D719" s="4" t="s">
        <v>1315</v>
      </c>
    </row>
    <row r="720">
      <c r="A720" s="3">
        <v>26156.0</v>
      </c>
      <c r="B720" s="2" t="s">
        <v>849</v>
      </c>
      <c r="C720" s="2" t="s">
        <v>1316</v>
      </c>
      <c r="D720" s="4" t="s">
        <v>1317</v>
      </c>
    </row>
    <row r="721">
      <c r="A721" s="3">
        <v>26158.0</v>
      </c>
      <c r="B721" s="2" t="s">
        <v>849</v>
      </c>
      <c r="C721" s="2" t="s">
        <v>1318</v>
      </c>
      <c r="D721" s="4" t="s">
        <v>1319</v>
      </c>
    </row>
    <row r="722">
      <c r="A722" s="3">
        <v>26158.0</v>
      </c>
      <c r="B722" s="2" t="s">
        <v>849</v>
      </c>
      <c r="C722" s="2" t="s">
        <v>1320</v>
      </c>
      <c r="D722" s="4" t="s">
        <v>1321</v>
      </c>
    </row>
    <row r="723">
      <c r="A723" s="3">
        <v>26160.0</v>
      </c>
      <c r="B723" s="2" t="s">
        <v>849</v>
      </c>
      <c r="C723" s="2" t="s">
        <v>1322</v>
      </c>
      <c r="D723" s="4" t="s">
        <v>1323</v>
      </c>
    </row>
    <row r="724">
      <c r="A724" s="3">
        <v>26161.0</v>
      </c>
      <c r="B724" s="2" t="s">
        <v>849</v>
      </c>
      <c r="C724" s="2" t="s">
        <v>1322</v>
      </c>
      <c r="D724" s="4" t="s">
        <v>1324</v>
      </c>
    </row>
    <row r="725">
      <c r="A725" s="3">
        <v>26162.0</v>
      </c>
      <c r="B725" s="2" t="s">
        <v>849</v>
      </c>
      <c r="C725" s="2" t="s">
        <v>1322</v>
      </c>
      <c r="D725" s="4" t="s">
        <v>1325</v>
      </c>
    </row>
    <row r="726">
      <c r="A726" s="3">
        <v>26164.0</v>
      </c>
      <c r="B726" s="2" t="s">
        <v>849</v>
      </c>
      <c r="C726" s="2" t="s">
        <v>1326</v>
      </c>
      <c r="D726" s="4" t="s">
        <v>1327</v>
      </c>
    </row>
    <row r="727">
      <c r="A727" s="3">
        <v>26165.0</v>
      </c>
      <c r="B727" s="2" t="s">
        <v>849</v>
      </c>
      <c r="C727" s="2" t="s">
        <v>1326</v>
      </c>
      <c r="D727" s="4" t="s">
        <v>1328</v>
      </c>
    </row>
    <row r="728">
      <c r="A728" s="3">
        <v>26167.0</v>
      </c>
      <c r="B728" s="2" t="s">
        <v>849</v>
      </c>
      <c r="C728" s="2" t="s">
        <v>360</v>
      </c>
      <c r="D728" s="4" t="s">
        <v>1329</v>
      </c>
    </row>
    <row r="729">
      <c r="A729" s="3">
        <v>26169.0</v>
      </c>
      <c r="B729" s="2" t="s">
        <v>849</v>
      </c>
      <c r="C729" s="2" t="s">
        <v>1330</v>
      </c>
      <c r="D729" s="4" t="s">
        <v>1331</v>
      </c>
    </row>
    <row r="730">
      <c r="A730" s="3">
        <v>26171.0</v>
      </c>
      <c r="B730" s="2" t="s">
        <v>849</v>
      </c>
      <c r="C730" s="2" t="s">
        <v>457</v>
      </c>
      <c r="D730" s="4" t="s">
        <v>1332</v>
      </c>
    </row>
    <row r="731">
      <c r="A731" s="3">
        <v>26172.0</v>
      </c>
      <c r="B731" s="2" t="s">
        <v>849</v>
      </c>
      <c r="C731" s="2" t="s">
        <v>457</v>
      </c>
      <c r="D731" s="4" t="s">
        <v>1333</v>
      </c>
    </row>
    <row r="732">
      <c r="A732" s="3">
        <v>26174.0</v>
      </c>
      <c r="B732" s="2" t="s">
        <v>849</v>
      </c>
      <c r="C732" s="2" t="s">
        <v>1334</v>
      </c>
      <c r="D732" s="4" t="s">
        <v>1335</v>
      </c>
    </row>
    <row r="733">
      <c r="A733" s="1" t="s">
        <v>1336</v>
      </c>
      <c r="B733" s="2" t="s">
        <v>849</v>
      </c>
      <c r="C733" s="2" t="s">
        <v>1337</v>
      </c>
      <c r="D733" s="4" t="s">
        <v>1338</v>
      </c>
    </row>
    <row r="734">
      <c r="A734" s="1" t="s">
        <v>1339</v>
      </c>
      <c r="B734" s="2" t="s">
        <v>849</v>
      </c>
      <c r="C734" s="2" t="s">
        <v>1340</v>
      </c>
      <c r="D734" s="4" t="s">
        <v>1341</v>
      </c>
    </row>
    <row r="735">
      <c r="A735" s="1" t="s">
        <v>1342</v>
      </c>
      <c r="B735" s="2" t="s">
        <v>849</v>
      </c>
      <c r="C735" s="2" t="s">
        <v>1343</v>
      </c>
      <c r="D735" s="4" t="s">
        <v>1344</v>
      </c>
    </row>
    <row r="736">
      <c r="A736" s="1" t="s">
        <v>1345</v>
      </c>
      <c r="B736" s="2" t="s">
        <v>849</v>
      </c>
      <c r="C736" s="2" t="s">
        <v>360</v>
      </c>
      <c r="D736" s="4" t="s">
        <v>1346</v>
      </c>
    </row>
    <row r="737">
      <c r="A737" s="1" t="s">
        <v>1347</v>
      </c>
      <c r="B737" s="2" t="s">
        <v>849</v>
      </c>
      <c r="C737" s="2" t="s">
        <v>1348</v>
      </c>
      <c r="D737" s="4" t="s">
        <v>1349</v>
      </c>
    </row>
    <row r="738">
      <c r="A738" s="1" t="s">
        <v>1350</v>
      </c>
      <c r="B738" s="2" t="s">
        <v>849</v>
      </c>
      <c r="C738" s="2" t="s">
        <v>1351</v>
      </c>
      <c r="D738" s="4" t="s">
        <v>1352</v>
      </c>
    </row>
    <row r="739">
      <c r="A739" s="1" t="s">
        <v>1353</v>
      </c>
      <c r="B739" s="2" t="s">
        <v>849</v>
      </c>
      <c r="C739" s="2" t="s">
        <v>1001</v>
      </c>
      <c r="D739" s="4" t="s">
        <v>1354</v>
      </c>
    </row>
    <row r="740">
      <c r="A740" s="1" t="s">
        <v>1355</v>
      </c>
      <c r="B740" s="2" t="s">
        <v>1356</v>
      </c>
      <c r="C740" s="2" t="s">
        <v>1357</v>
      </c>
      <c r="D740" s="4" t="s">
        <v>1358</v>
      </c>
    </row>
    <row r="741">
      <c r="A741" s="1" t="s">
        <v>1355</v>
      </c>
      <c r="B741" s="2" t="s">
        <v>1356</v>
      </c>
      <c r="C741" s="2" t="s">
        <v>1001</v>
      </c>
      <c r="D741" s="4" t="s">
        <v>1359</v>
      </c>
    </row>
    <row r="742">
      <c r="A742" s="1" t="s">
        <v>1360</v>
      </c>
      <c r="B742" s="2" t="s">
        <v>1356</v>
      </c>
      <c r="C742" s="2" t="s">
        <v>14</v>
      </c>
      <c r="D742" s="4" t="s">
        <v>1361</v>
      </c>
    </row>
    <row r="743">
      <c r="A743" s="1" t="s">
        <v>1360</v>
      </c>
      <c r="B743" s="2" t="s">
        <v>1356</v>
      </c>
      <c r="C743" s="2" t="s">
        <v>1362</v>
      </c>
      <c r="D743" s="4" t="s">
        <v>1363</v>
      </c>
    </row>
    <row r="744">
      <c r="A744" s="1" t="s">
        <v>1364</v>
      </c>
      <c r="B744" s="2" t="s">
        <v>1356</v>
      </c>
      <c r="C744" s="2" t="s">
        <v>1001</v>
      </c>
      <c r="D744" s="4" t="s">
        <v>1365</v>
      </c>
    </row>
    <row r="745">
      <c r="A745" s="1" t="s">
        <v>1366</v>
      </c>
      <c r="B745" s="2" t="s">
        <v>1356</v>
      </c>
      <c r="C745" s="2" t="s">
        <v>1367</v>
      </c>
      <c r="D745" s="4" t="s">
        <v>1368</v>
      </c>
    </row>
    <row r="746">
      <c r="A746" s="1" t="s">
        <v>1369</v>
      </c>
      <c r="B746" s="2" t="s">
        <v>1356</v>
      </c>
      <c r="C746" s="2" t="s">
        <v>1370</v>
      </c>
      <c r="D746" s="4" t="s">
        <v>1371</v>
      </c>
    </row>
    <row r="747">
      <c r="A747" s="1" t="s">
        <v>1372</v>
      </c>
      <c r="B747" s="2" t="s">
        <v>1356</v>
      </c>
      <c r="C747" s="2" t="s">
        <v>1373</v>
      </c>
      <c r="D747" s="4" t="s">
        <v>1374</v>
      </c>
    </row>
    <row r="748">
      <c r="A748" s="1" t="s">
        <v>1375</v>
      </c>
      <c r="B748" s="2" t="s">
        <v>1376</v>
      </c>
      <c r="C748" s="2" t="s">
        <v>1377</v>
      </c>
      <c r="D748" s="4" t="s">
        <v>1378</v>
      </c>
    </row>
    <row r="749">
      <c r="A749" s="1" t="s">
        <v>1379</v>
      </c>
      <c r="B749" s="2" t="s">
        <v>1376</v>
      </c>
      <c r="C749" s="2" t="s">
        <v>1380</v>
      </c>
      <c r="D749" s="4" t="s">
        <v>1381</v>
      </c>
    </row>
    <row r="750">
      <c r="A750" s="1" t="s">
        <v>1382</v>
      </c>
      <c r="B750" s="2" t="s">
        <v>1376</v>
      </c>
      <c r="C750" s="2" t="s">
        <v>1383</v>
      </c>
      <c r="D750" s="4" t="s">
        <v>1384</v>
      </c>
    </row>
    <row r="751">
      <c r="A751" s="1" t="s">
        <v>1385</v>
      </c>
      <c r="B751" s="2" t="s">
        <v>1376</v>
      </c>
      <c r="C751" s="2" t="s">
        <v>1383</v>
      </c>
      <c r="D751" s="4" t="s">
        <v>1386</v>
      </c>
    </row>
    <row r="752">
      <c r="A752" s="1" t="s">
        <v>1387</v>
      </c>
      <c r="B752" s="2" t="s">
        <v>1376</v>
      </c>
      <c r="C752" s="2" t="s">
        <v>1383</v>
      </c>
      <c r="D752" s="4" t="s">
        <v>1388</v>
      </c>
    </row>
    <row r="753">
      <c r="A753" s="1" t="s">
        <v>1389</v>
      </c>
      <c r="B753" s="2" t="s">
        <v>1376</v>
      </c>
      <c r="C753" s="2" t="s">
        <v>1390</v>
      </c>
      <c r="D753" s="4" t="s">
        <v>1391</v>
      </c>
    </row>
    <row r="754">
      <c r="A754" s="3">
        <v>26247.0</v>
      </c>
      <c r="B754" s="2" t="s">
        <v>1392</v>
      </c>
      <c r="C754" s="2" t="s">
        <v>1211</v>
      </c>
      <c r="D754" s="4" t="s">
        <v>1393</v>
      </c>
    </row>
    <row r="755">
      <c r="A755" s="3">
        <v>26247.0</v>
      </c>
      <c r="B755" s="2" t="s">
        <v>1392</v>
      </c>
      <c r="C755" s="2" t="s">
        <v>484</v>
      </c>
      <c r="D755" s="4" t="s">
        <v>1394</v>
      </c>
    </row>
    <row r="756">
      <c r="A756" s="3">
        <v>26247.0</v>
      </c>
      <c r="B756" s="2" t="s">
        <v>1392</v>
      </c>
      <c r="C756" s="2" t="s">
        <v>1395</v>
      </c>
      <c r="D756" s="4" t="s">
        <v>1396</v>
      </c>
    </row>
    <row r="757">
      <c r="A757" s="3">
        <v>26247.0</v>
      </c>
      <c r="B757" s="2" t="s">
        <v>1392</v>
      </c>
      <c r="C757" s="2" t="s">
        <v>358</v>
      </c>
      <c r="D757" s="4" t="s">
        <v>1397</v>
      </c>
    </row>
    <row r="758">
      <c r="A758" s="3">
        <v>26248.0</v>
      </c>
      <c r="B758" s="2" t="s">
        <v>1392</v>
      </c>
      <c r="C758" s="2" t="s">
        <v>1148</v>
      </c>
      <c r="D758" s="4" t="s">
        <v>1398</v>
      </c>
    </row>
    <row r="759">
      <c r="A759" s="3">
        <v>26248.0</v>
      </c>
      <c r="B759" s="2" t="s">
        <v>1392</v>
      </c>
      <c r="C759" s="2" t="s">
        <v>730</v>
      </c>
      <c r="D759" s="4" t="s">
        <v>1399</v>
      </c>
    </row>
    <row r="760">
      <c r="A760" s="3">
        <v>26248.0</v>
      </c>
      <c r="B760" s="2" t="s">
        <v>1392</v>
      </c>
      <c r="C760" s="2" t="s">
        <v>1400</v>
      </c>
      <c r="D760" s="4" t="s">
        <v>1401</v>
      </c>
    </row>
    <row r="761">
      <c r="A761" s="3">
        <v>26249.0</v>
      </c>
      <c r="B761" s="2" t="s">
        <v>1392</v>
      </c>
      <c r="C761" s="2" t="s">
        <v>1148</v>
      </c>
      <c r="D761" s="4" t="s">
        <v>1402</v>
      </c>
    </row>
    <row r="762">
      <c r="A762" s="3">
        <v>26249.0</v>
      </c>
      <c r="B762" s="2" t="s">
        <v>1392</v>
      </c>
      <c r="C762" s="2" t="s">
        <v>1403</v>
      </c>
      <c r="D762" s="4" t="s">
        <v>1404</v>
      </c>
    </row>
    <row r="763">
      <c r="A763" s="3">
        <v>26250.0</v>
      </c>
      <c r="B763" s="2" t="s">
        <v>1392</v>
      </c>
      <c r="C763" s="2" t="s">
        <v>1148</v>
      </c>
      <c r="D763" s="4" t="s">
        <v>1405</v>
      </c>
    </row>
    <row r="764">
      <c r="A764" s="3">
        <v>26251.0</v>
      </c>
      <c r="B764" s="2" t="s">
        <v>1392</v>
      </c>
      <c r="C764" s="2" t="s">
        <v>1148</v>
      </c>
      <c r="D764" s="4" t="s">
        <v>1406</v>
      </c>
    </row>
    <row r="765">
      <c r="A765" s="3">
        <v>26252.0</v>
      </c>
      <c r="B765" s="2" t="s">
        <v>1392</v>
      </c>
      <c r="C765" s="2" t="s">
        <v>312</v>
      </c>
      <c r="D765" s="4" t="s">
        <v>1407</v>
      </c>
    </row>
    <row r="766">
      <c r="A766" s="3">
        <v>26253.0</v>
      </c>
      <c r="B766" s="2" t="s">
        <v>1392</v>
      </c>
      <c r="C766" s="2" t="s">
        <v>1408</v>
      </c>
      <c r="D766" s="4" t="s">
        <v>1409</v>
      </c>
    </row>
    <row r="767">
      <c r="A767" s="3">
        <v>26254.0</v>
      </c>
      <c r="B767" s="2" t="s">
        <v>1392</v>
      </c>
      <c r="C767" s="2" t="s">
        <v>1410</v>
      </c>
      <c r="D767" s="4" t="s">
        <v>1411</v>
      </c>
    </row>
    <row r="768">
      <c r="A768" s="3">
        <v>26256.0</v>
      </c>
      <c r="B768" s="2" t="s">
        <v>1392</v>
      </c>
      <c r="C768" s="2" t="s">
        <v>1148</v>
      </c>
      <c r="D768" s="4" t="s">
        <v>1412</v>
      </c>
    </row>
    <row r="769">
      <c r="A769" s="3">
        <v>26257.0</v>
      </c>
      <c r="B769" s="2" t="s">
        <v>1392</v>
      </c>
      <c r="C769" s="2" t="s">
        <v>1148</v>
      </c>
      <c r="D769" s="4" t="s">
        <v>1413</v>
      </c>
    </row>
    <row r="770">
      <c r="A770" s="3">
        <v>26258.0</v>
      </c>
      <c r="B770" s="2" t="s">
        <v>1392</v>
      </c>
      <c r="C770" s="2" t="s">
        <v>1148</v>
      </c>
      <c r="D770" s="4" t="s">
        <v>1414</v>
      </c>
    </row>
    <row r="771">
      <c r="A771" s="3">
        <v>26262.0</v>
      </c>
      <c r="B771" s="2" t="s">
        <v>1392</v>
      </c>
      <c r="C771" s="2" t="s">
        <v>1415</v>
      </c>
      <c r="D771" s="4" t="s">
        <v>1416</v>
      </c>
    </row>
    <row r="772">
      <c r="A772" s="3">
        <v>26265.0</v>
      </c>
      <c r="B772" s="2" t="s">
        <v>1417</v>
      </c>
      <c r="C772" s="2" t="s">
        <v>1418</v>
      </c>
      <c r="D772" s="4" t="s">
        <v>1419</v>
      </c>
    </row>
    <row r="773">
      <c r="A773" s="3">
        <v>26266.0</v>
      </c>
      <c r="B773" s="2" t="s">
        <v>1417</v>
      </c>
      <c r="C773" s="2" t="s">
        <v>1418</v>
      </c>
      <c r="D773" s="4" t="s">
        <v>1420</v>
      </c>
    </row>
    <row r="774">
      <c r="A774" s="3">
        <v>26266.0</v>
      </c>
      <c r="B774" s="2" t="s">
        <v>1417</v>
      </c>
      <c r="C774" s="2" t="s">
        <v>1421</v>
      </c>
      <c r="D774" s="4" t="s">
        <v>1422</v>
      </c>
    </row>
    <row r="775">
      <c r="A775" s="3">
        <v>26270.0</v>
      </c>
      <c r="B775" s="2" t="s">
        <v>1392</v>
      </c>
      <c r="C775" s="2" t="s">
        <v>379</v>
      </c>
      <c r="D775" s="4" t="s">
        <v>1423</v>
      </c>
    </row>
    <row r="776">
      <c r="A776" s="3">
        <v>26271.0</v>
      </c>
      <c r="B776" s="2" t="s">
        <v>1392</v>
      </c>
      <c r="C776" s="2" t="s">
        <v>730</v>
      </c>
      <c r="D776" s="4" t="s">
        <v>1424</v>
      </c>
    </row>
    <row r="777">
      <c r="A777" s="3">
        <v>26271.0</v>
      </c>
      <c r="B777" s="2" t="s">
        <v>1392</v>
      </c>
      <c r="C777" s="2" t="s">
        <v>730</v>
      </c>
      <c r="D777" s="4" t="s">
        <v>1425</v>
      </c>
    </row>
    <row r="778">
      <c r="A778" s="3">
        <v>26272.0</v>
      </c>
      <c r="B778" s="2" t="s">
        <v>1392</v>
      </c>
      <c r="C778" s="2" t="s">
        <v>379</v>
      </c>
      <c r="D778" s="4" t="s">
        <v>1426</v>
      </c>
    </row>
    <row r="779">
      <c r="A779" s="3">
        <v>26272.0</v>
      </c>
      <c r="B779" s="2" t="s">
        <v>1392</v>
      </c>
      <c r="C779" s="2" t="s">
        <v>1427</v>
      </c>
      <c r="D779" s="4" t="s">
        <v>1428</v>
      </c>
    </row>
    <row r="780">
      <c r="A780" s="3">
        <v>26272.0</v>
      </c>
      <c r="B780" s="2" t="s">
        <v>1392</v>
      </c>
      <c r="C780" s="2" t="s">
        <v>1429</v>
      </c>
      <c r="D780" s="4" t="s">
        <v>1430</v>
      </c>
    </row>
    <row r="781">
      <c r="A781" s="3">
        <v>26273.0</v>
      </c>
      <c r="B781" s="2" t="s">
        <v>1392</v>
      </c>
      <c r="C781" s="2" t="s">
        <v>379</v>
      </c>
      <c r="D781" s="4" t="s">
        <v>1431</v>
      </c>
    </row>
    <row r="782">
      <c r="A782" s="3">
        <v>26277.0</v>
      </c>
      <c r="B782" s="2" t="s">
        <v>1392</v>
      </c>
      <c r="C782" s="2" t="s">
        <v>1432</v>
      </c>
      <c r="D782" s="4" t="s">
        <v>1433</v>
      </c>
    </row>
    <row r="783">
      <c r="A783" s="3">
        <v>26278.0</v>
      </c>
      <c r="B783" s="2" t="s">
        <v>1392</v>
      </c>
      <c r="C783" s="2" t="s">
        <v>1434</v>
      </c>
      <c r="D783" s="4" t="s">
        <v>1435</v>
      </c>
    </row>
    <row r="784">
      <c r="A784" s="3">
        <v>26279.0</v>
      </c>
      <c r="B784" s="2" t="s">
        <v>1392</v>
      </c>
      <c r="C784" s="2" t="s">
        <v>379</v>
      </c>
      <c r="D784" s="4" t="s">
        <v>1436</v>
      </c>
    </row>
    <row r="785">
      <c r="A785" s="3">
        <v>26280.0</v>
      </c>
      <c r="B785" s="2" t="s">
        <v>1392</v>
      </c>
      <c r="C785" s="2" t="s">
        <v>82</v>
      </c>
      <c r="D785" s="4" t="s">
        <v>1437</v>
      </c>
    </row>
    <row r="786">
      <c r="A786" s="3">
        <v>26312.0</v>
      </c>
      <c r="B786" s="2" t="s">
        <v>1438</v>
      </c>
      <c r="C786" s="2" t="s">
        <v>1001</v>
      </c>
      <c r="D786" s="4" t="s">
        <v>1439</v>
      </c>
    </row>
    <row r="787">
      <c r="A787" s="3">
        <v>26315.0</v>
      </c>
      <c r="B787" s="2" t="s">
        <v>1438</v>
      </c>
      <c r="C787" s="2" t="s">
        <v>1001</v>
      </c>
      <c r="D787" s="4" t="s">
        <v>1440</v>
      </c>
    </row>
    <row r="788">
      <c r="A788" s="3">
        <v>26316.0</v>
      </c>
      <c r="B788" s="2" t="s">
        <v>1438</v>
      </c>
      <c r="C788" s="2" t="s">
        <v>1441</v>
      </c>
      <c r="D788" s="4" t="s">
        <v>1442</v>
      </c>
    </row>
    <row r="789">
      <c r="A789" s="3">
        <v>26316.0</v>
      </c>
      <c r="B789" s="2" t="s">
        <v>1438</v>
      </c>
      <c r="C789" s="2" t="s">
        <v>1443</v>
      </c>
      <c r="D789" s="4" t="s">
        <v>1444</v>
      </c>
    </row>
    <row r="790">
      <c r="A790" s="3">
        <v>26316.0</v>
      </c>
      <c r="B790" s="2" t="s">
        <v>1438</v>
      </c>
      <c r="C790" s="2" t="s">
        <v>1445</v>
      </c>
      <c r="D790" s="4" t="s">
        <v>1446</v>
      </c>
    </row>
    <row r="791">
      <c r="A791" s="3">
        <v>26316.0</v>
      </c>
      <c r="B791" s="2" t="s">
        <v>1438</v>
      </c>
      <c r="C791" s="2" t="s">
        <v>1001</v>
      </c>
      <c r="D791" s="4" t="s">
        <v>1447</v>
      </c>
    </row>
    <row r="792">
      <c r="A792" s="3">
        <v>26317.0</v>
      </c>
      <c r="B792" s="2" t="s">
        <v>1438</v>
      </c>
      <c r="C792" s="2" t="s">
        <v>1448</v>
      </c>
      <c r="D792" s="4" t="s">
        <v>1449</v>
      </c>
    </row>
    <row r="793">
      <c r="A793" s="3">
        <v>26317.0</v>
      </c>
      <c r="B793" s="2" t="s">
        <v>1438</v>
      </c>
      <c r="C793" s="2" t="s">
        <v>1001</v>
      </c>
      <c r="D793" s="4" t="s">
        <v>1450</v>
      </c>
    </row>
    <row r="794">
      <c r="A794" s="3">
        <v>26318.0</v>
      </c>
      <c r="B794" s="2" t="s">
        <v>1438</v>
      </c>
      <c r="C794" s="2" t="s">
        <v>1001</v>
      </c>
      <c r="D794" s="4" t="s">
        <v>1451</v>
      </c>
    </row>
    <row r="795">
      <c r="A795" s="3">
        <v>26319.0</v>
      </c>
      <c r="B795" s="2" t="s">
        <v>1438</v>
      </c>
      <c r="C795" s="2" t="s">
        <v>1001</v>
      </c>
      <c r="D795" s="4" t="s">
        <v>1452</v>
      </c>
    </row>
    <row r="796">
      <c r="A796" s="3">
        <v>26320.0</v>
      </c>
      <c r="B796" s="2" t="s">
        <v>1438</v>
      </c>
      <c r="C796" s="2" t="s">
        <v>1001</v>
      </c>
      <c r="D796" s="4" t="s">
        <v>1453</v>
      </c>
    </row>
    <row r="797">
      <c r="A797" s="3">
        <v>26335.0</v>
      </c>
      <c r="B797" s="2" t="s">
        <v>980</v>
      </c>
      <c r="C797" s="2" t="s">
        <v>1454</v>
      </c>
      <c r="D797" s="4" t="s">
        <v>1455</v>
      </c>
    </row>
    <row r="798">
      <c r="A798" s="3">
        <v>26341.0</v>
      </c>
      <c r="B798" s="2" t="s">
        <v>1456</v>
      </c>
      <c r="C798" s="2" t="s">
        <v>1457</v>
      </c>
      <c r="D798" s="4" t="s">
        <v>1458</v>
      </c>
    </row>
    <row r="799">
      <c r="A799" s="3">
        <v>26343.0</v>
      </c>
      <c r="B799" s="2" t="s">
        <v>1456</v>
      </c>
      <c r="C799" s="2" t="s">
        <v>369</v>
      </c>
      <c r="D799" s="4" t="s">
        <v>1459</v>
      </c>
    </row>
    <row r="800">
      <c r="A800" s="3">
        <v>26344.0</v>
      </c>
      <c r="B800" s="2" t="s">
        <v>1456</v>
      </c>
      <c r="C800" s="2" t="s">
        <v>379</v>
      </c>
      <c r="D800" s="4" t="s">
        <v>1460</v>
      </c>
    </row>
    <row r="801">
      <c r="A801" s="3">
        <v>26345.0</v>
      </c>
      <c r="B801" s="2" t="s">
        <v>1456</v>
      </c>
      <c r="C801" s="2" t="s">
        <v>1454</v>
      </c>
      <c r="D801" s="4" t="s">
        <v>1461</v>
      </c>
    </row>
    <row r="802">
      <c r="A802" s="3">
        <v>26346.0</v>
      </c>
      <c r="B802" s="2" t="s">
        <v>1462</v>
      </c>
      <c r="C802" s="2" t="s">
        <v>1085</v>
      </c>
      <c r="D802" s="4" t="s">
        <v>1463</v>
      </c>
    </row>
    <row r="803">
      <c r="A803" s="3">
        <v>26347.0</v>
      </c>
      <c r="B803" s="2" t="s">
        <v>1462</v>
      </c>
      <c r="C803" s="2" t="s">
        <v>82</v>
      </c>
      <c r="D803" s="4" t="s">
        <v>1464</v>
      </c>
    </row>
    <row r="804">
      <c r="A804" s="3">
        <v>26348.0</v>
      </c>
      <c r="B804" s="2" t="s">
        <v>1462</v>
      </c>
      <c r="C804" s="2" t="s">
        <v>1465</v>
      </c>
      <c r="D804" s="4" t="s">
        <v>1466</v>
      </c>
    </row>
    <row r="805">
      <c r="A805" s="3">
        <v>26348.0</v>
      </c>
      <c r="B805" s="2" t="s">
        <v>1462</v>
      </c>
      <c r="C805" s="2" t="s">
        <v>1467</v>
      </c>
      <c r="D805" s="4" t="s">
        <v>1468</v>
      </c>
    </row>
    <row r="806">
      <c r="A806" s="3">
        <v>26349.0</v>
      </c>
      <c r="B806" s="2" t="s">
        <v>1462</v>
      </c>
      <c r="C806" s="2" t="s">
        <v>1469</v>
      </c>
      <c r="D806" s="4" t="s">
        <v>1470</v>
      </c>
    </row>
    <row r="807">
      <c r="A807" s="3">
        <v>26349.0</v>
      </c>
      <c r="B807" s="2" t="s">
        <v>1462</v>
      </c>
      <c r="C807" s="2" t="s">
        <v>455</v>
      </c>
      <c r="D807" s="4" t="s">
        <v>1471</v>
      </c>
    </row>
    <row r="808">
      <c r="A808" s="3">
        <v>26350.0</v>
      </c>
      <c r="B808" s="2" t="s">
        <v>1462</v>
      </c>
      <c r="C808" s="2" t="s">
        <v>1472</v>
      </c>
      <c r="D808" s="4" t="s">
        <v>1473</v>
      </c>
    </row>
    <row r="809">
      <c r="A809" s="3">
        <v>26351.0</v>
      </c>
      <c r="B809" s="2" t="s">
        <v>1462</v>
      </c>
      <c r="C809" s="2" t="s">
        <v>1474</v>
      </c>
      <c r="D809" s="4" t="s">
        <v>1475</v>
      </c>
    </row>
    <row r="810">
      <c r="A810" s="3">
        <v>26351.0</v>
      </c>
      <c r="B810" s="2" t="s">
        <v>1462</v>
      </c>
      <c r="C810" s="2" t="s">
        <v>1476</v>
      </c>
      <c r="D810" s="4" t="s">
        <v>1477</v>
      </c>
    </row>
    <row r="811">
      <c r="A811" s="3">
        <v>26352.0</v>
      </c>
      <c r="B811" s="2" t="s">
        <v>977</v>
      </c>
      <c r="C811" s="2" t="s">
        <v>1478</v>
      </c>
      <c r="D811" s="4" t="s">
        <v>1479</v>
      </c>
    </row>
    <row r="812">
      <c r="A812" s="3">
        <v>26352.0</v>
      </c>
      <c r="B812" s="2" t="s">
        <v>977</v>
      </c>
      <c r="C812" s="2" t="s">
        <v>457</v>
      </c>
      <c r="D812" s="4" t="s">
        <v>1480</v>
      </c>
    </row>
    <row r="813">
      <c r="A813" s="3">
        <v>26353.0</v>
      </c>
      <c r="B813" s="2" t="s">
        <v>977</v>
      </c>
      <c r="C813" s="2" t="s">
        <v>82</v>
      </c>
      <c r="D813" s="4" t="s">
        <v>1481</v>
      </c>
    </row>
    <row r="814">
      <c r="A814" s="3">
        <v>26355.0</v>
      </c>
      <c r="B814" s="2" t="s">
        <v>1482</v>
      </c>
      <c r="C814" s="2" t="s">
        <v>1483</v>
      </c>
      <c r="D814" s="4" t="s">
        <v>1484</v>
      </c>
    </row>
    <row r="815">
      <c r="A815" s="3">
        <v>26356.0</v>
      </c>
      <c r="B815" s="2" t="s">
        <v>1485</v>
      </c>
      <c r="C815" s="2" t="s">
        <v>1486</v>
      </c>
      <c r="D815" s="4" t="s">
        <v>1487</v>
      </c>
    </row>
    <row r="816">
      <c r="A816" s="3">
        <v>26356.0</v>
      </c>
      <c r="B816" s="2" t="s">
        <v>1485</v>
      </c>
      <c r="C816" s="2" t="s">
        <v>1488</v>
      </c>
      <c r="D816" s="4" t="s">
        <v>1489</v>
      </c>
    </row>
    <row r="817">
      <c r="A817" s="3">
        <v>26357.0</v>
      </c>
      <c r="B817" s="2" t="s">
        <v>1485</v>
      </c>
      <c r="C817" s="2" t="s">
        <v>1488</v>
      </c>
      <c r="D817" s="4" t="s">
        <v>1490</v>
      </c>
    </row>
    <row r="818">
      <c r="A818" s="3">
        <v>26358.0</v>
      </c>
      <c r="B818" s="2" t="s">
        <v>1485</v>
      </c>
      <c r="C818" s="2" t="s">
        <v>1488</v>
      </c>
      <c r="D818" s="4" t="s">
        <v>1491</v>
      </c>
    </row>
    <row r="819">
      <c r="A819" s="3">
        <v>26358.0</v>
      </c>
      <c r="B819" s="2" t="s">
        <v>1485</v>
      </c>
      <c r="C819" s="2" t="s">
        <v>1492</v>
      </c>
      <c r="D819" s="4" t="s">
        <v>1493</v>
      </c>
    </row>
    <row r="820">
      <c r="A820" s="5">
        <v>26360.0</v>
      </c>
      <c r="B820" s="2" t="s">
        <v>1494</v>
      </c>
      <c r="C820" s="2" t="s">
        <v>1495</v>
      </c>
      <c r="D820" s="4" t="s">
        <v>1496</v>
      </c>
    </row>
    <row r="821">
      <c r="A821" s="5">
        <v>26362.0</v>
      </c>
      <c r="B821" s="2" t="s">
        <v>977</v>
      </c>
      <c r="C821" s="2" t="s">
        <v>1483</v>
      </c>
      <c r="D821" s="4" t="s">
        <v>1497</v>
      </c>
    </row>
    <row r="822">
      <c r="A822" s="5">
        <v>26363.0</v>
      </c>
      <c r="B822" s="2" t="s">
        <v>977</v>
      </c>
      <c r="C822" s="2" t="s">
        <v>428</v>
      </c>
      <c r="D822" s="4" t="s">
        <v>1498</v>
      </c>
    </row>
    <row r="823">
      <c r="A823" s="5">
        <v>26364.0</v>
      </c>
      <c r="B823" s="2" t="s">
        <v>977</v>
      </c>
      <c r="C823" s="2" t="s">
        <v>1499</v>
      </c>
      <c r="D823" s="4" t="s">
        <v>1500</v>
      </c>
    </row>
    <row r="824">
      <c r="A824" s="5">
        <v>26365.0</v>
      </c>
      <c r="B824" s="2" t="s">
        <v>977</v>
      </c>
      <c r="C824" s="2" t="s">
        <v>139</v>
      </c>
      <c r="D824" s="4" t="s">
        <v>1501</v>
      </c>
    </row>
    <row r="825">
      <c r="A825" s="5">
        <v>26365.0</v>
      </c>
      <c r="B825" s="2" t="s">
        <v>977</v>
      </c>
      <c r="C825" s="2" t="s">
        <v>431</v>
      </c>
      <c r="D825" s="4" t="s">
        <v>1502</v>
      </c>
    </row>
    <row r="826">
      <c r="A826" s="5">
        <v>26366.0</v>
      </c>
      <c r="B826" s="2" t="s">
        <v>977</v>
      </c>
      <c r="C826" s="2" t="s">
        <v>1503</v>
      </c>
      <c r="D826" s="4" t="s">
        <v>1504</v>
      </c>
    </row>
    <row r="827">
      <c r="A827" s="5">
        <v>26367.0</v>
      </c>
      <c r="B827" s="2" t="s">
        <v>977</v>
      </c>
      <c r="C827" s="2" t="s">
        <v>1505</v>
      </c>
      <c r="D827" s="4" t="s">
        <v>1506</v>
      </c>
    </row>
    <row r="828">
      <c r="A828" s="5">
        <v>26369.0</v>
      </c>
      <c r="B828" s="9" t="s">
        <v>1417</v>
      </c>
      <c r="C828" s="2" t="s">
        <v>1507</v>
      </c>
      <c r="D828" s="4" t="s">
        <v>1508</v>
      </c>
    </row>
    <row r="829">
      <c r="A829" s="5">
        <v>26369.0</v>
      </c>
      <c r="B829" s="2" t="s">
        <v>1509</v>
      </c>
      <c r="C829" s="2" t="s">
        <v>379</v>
      </c>
      <c r="D829" s="4" t="s">
        <v>1510</v>
      </c>
    </row>
    <row r="830">
      <c r="A830" s="5">
        <v>26370.0</v>
      </c>
      <c r="B830" s="9" t="s">
        <v>1417</v>
      </c>
      <c r="C830" s="2" t="s">
        <v>1511</v>
      </c>
      <c r="D830" s="4" t="s">
        <v>1512</v>
      </c>
    </row>
    <row r="831">
      <c r="A831" s="5">
        <v>26375.0</v>
      </c>
      <c r="B831" s="2" t="s">
        <v>980</v>
      </c>
      <c r="C831" s="2" t="s">
        <v>1148</v>
      </c>
      <c r="D831" s="4" t="s">
        <v>1513</v>
      </c>
    </row>
    <row r="832">
      <c r="A832" s="5">
        <v>26375.0</v>
      </c>
      <c r="B832" s="2" t="s">
        <v>980</v>
      </c>
      <c r="C832" s="2" t="s">
        <v>1514</v>
      </c>
      <c r="D832" s="4" t="s">
        <v>1515</v>
      </c>
    </row>
    <row r="833">
      <c r="A833" s="5">
        <v>26376.0</v>
      </c>
      <c r="B833" s="2" t="s">
        <v>980</v>
      </c>
      <c r="C833" s="2" t="s">
        <v>1148</v>
      </c>
      <c r="D833" s="4" t="s">
        <v>1516</v>
      </c>
    </row>
    <row r="834">
      <c r="A834" s="5">
        <v>26377.0</v>
      </c>
      <c r="B834" s="2" t="s">
        <v>980</v>
      </c>
      <c r="C834" s="2" t="s">
        <v>1148</v>
      </c>
      <c r="D834" s="4" t="s">
        <v>1517</v>
      </c>
    </row>
    <row r="835">
      <c r="A835" s="5">
        <v>26378.0</v>
      </c>
      <c r="B835" s="2" t="s">
        <v>980</v>
      </c>
      <c r="C835" s="2" t="s">
        <v>82</v>
      </c>
      <c r="D835" s="4" t="s">
        <v>1518</v>
      </c>
    </row>
    <row r="836">
      <c r="A836" s="5">
        <v>26379.0</v>
      </c>
      <c r="B836" s="2" t="s">
        <v>980</v>
      </c>
      <c r="C836" s="2" t="s">
        <v>1304</v>
      </c>
      <c r="D836" s="4" t="s">
        <v>1519</v>
      </c>
    </row>
    <row r="837">
      <c r="A837" s="5">
        <v>26380.0</v>
      </c>
      <c r="B837" s="2" t="s">
        <v>980</v>
      </c>
      <c r="C837" s="2" t="s">
        <v>1520</v>
      </c>
      <c r="D837" s="4" t="s">
        <v>1521</v>
      </c>
    </row>
    <row r="838">
      <c r="A838" s="5">
        <v>26382.0</v>
      </c>
      <c r="B838" s="2" t="s">
        <v>980</v>
      </c>
      <c r="C838" s="2" t="s">
        <v>1522</v>
      </c>
      <c r="D838" s="4" t="s">
        <v>1523</v>
      </c>
    </row>
    <row r="839">
      <c r="A839" s="5">
        <v>26383.0</v>
      </c>
      <c r="B839" s="2" t="s">
        <v>980</v>
      </c>
      <c r="C839" s="2" t="s">
        <v>1524</v>
      </c>
      <c r="D839" s="4" t="s">
        <v>1525</v>
      </c>
    </row>
    <row r="840">
      <c r="A840" s="5">
        <v>26383.0</v>
      </c>
      <c r="B840" s="2" t="s">
        <v>980</v>
      </c>
      <c r="C840" s="2" t="s">
        <v>1526</v>
      </c>
      <c r="D840" s="4" t="s">
        <v>1527</v>
      </c>
    </row>
    <row r="841">
      <c r="A841" s="5">
        <v>26384.0</v>
      </c>
      <c r="B841" s="2" t="s">
        <v>980</v>
      </c>
      <c r="C841" s="2" t="s">
        <v>457</v>
      </c>
      <c r="D841" s="4" t="s">
        <v>1528</v>
      </c>
    </row>
    <row r="842">
      <c r="A842" s="5">
        <v>26384.0</v>
      </c>
      <c r="B842" s="2" t="s">
        <v>980</v>
      </c>
      <c r="C842" s="2" t="s">
        <v>1529</v>
      </c>
      <c r="D842" s="4" t="s">
        <v>1530</v>
      </c>
    </row>
    <row r="843">
      <c r="A843" s="5">
        <v>26385.0</v>
      </c>
      <c r="B843" s="2" t="s">
        <v>980</v>
      </c>
      <c r="C843" s="2" t="s">
        <v>367</v>
      </c>
      <c r="D843" s="4" t="s">
        <v>1531</v>
      </c>
    </row>
    <row r="844">
      <c r="A844" s="5">
        <v>26385.0</v>
      </c>
      <c r="B844" s="2" t="s">
        <v>980</v>
      </c>
      <c r="C844" s="2" t="s">
        <v>1532</v>
      </c>
      <c r="D844" s="4" t="s">
        <v>1533</v>
      </c>
    </row>
    <row r="845">
      <c r="A845" s="5">
        <v>26386.0</v>
      </c>
      <c r="B845" s="2" t="s">
        <v>980</v>
      </c>
      <c r="C845" s="2" t="s">
        <v>1534</v>
      </c>
      <c r="D845" s="4" t="s">
        <v>1535</v>
      </c>
    </row>
    <row r="846">
      <c r="A846" s="5">
        <v>26387.0</v>
      </c>
      <c r="B846" s="2" t="s">
        <v>980</v>
      </c>
      <c r="C846" s="2" t="s">
        <v>1534</v>
      </c>
      <c r="D846" s="4" t="s">
        <v>1536</v>
      </c>
    </row>
    <row r="847">
      <c r="A847" s="5">
        <v>26388.0</v>
      </c>
      <c r="B847" s="2" t="s">
        <v>980</v>
      </c>
      <c r="C847" s="2" t="s">
        <v>1537</v>
      </c>
      <c r="D847" s="4" t="s">
        <v>1538</v>
      </c>
    </row>
    <row r="848">
      <c r="A848" s="5">
        <v>26390.0</v>
      </c>
      <c r="B848" s="2" t="s">
        <v>1190</v>
      </c>
      <c r="C848" s="2" t="s">
        <v>1539</v>
      </c>
      <c r="D848" s="4" t="s">
        <v>1540</v>
      </c>
    </row>
    <row r="849">
      <c r="A849" s="5">
        <v>26391.0</v>
      </c>
      <c r="B849" s="2" t="s">
        <v>1190</v>
      </c>
      <c r="C849" s="2" t="s">
        <v>379</v>
      </c>
      <c r="D849" s="4" t="s">
        <v>1541</v>
      </c>
    </row>
    <row r="850">
      <c r="A850" s="5">
        <v>26391.0</v>
      </c>
      <c r="B850" s="2" t="s">
        <v>1190</v>
      </c>
      <c r="C850" s="2" t="s">
        <v>367</v>
      </c>
      <c r="D850" s="4" t="s">
        <v>1542</v>
      </c>
    </row>
    <row r="851">
      <c r="A851" s="5">
        <v>26391.0</v>
      </c>
      <c r="B851" s="2" t="s">
        <v>1190</v>
      </c>
      <c r="C851" s="2" t="s">
        <v>1543</v>
      </c>
      <c r="D851" s="4" t="s">
        <v>1544</v>
      </c>
    </row>
    <row r="852">
      <c r="A852" s="5">
        <v>26392.0</v>
      </c>
      <c r="B852" s="2" t="s">
        <v>1190</v>
      </c>
      <c r="C852" s="2" t="s">
        <v>455</v>
      </c>
      <c r="D852" s="4" t="s">
        <v>1545</v>
      </c>
    </row>
    <row r="853">
      <c r="A853" s="5">
        <v>26394.0</v>
      </c>
      <c r="B853" s="2" t="s">
        <v>1546</v>
      </c>
      <c r="C853" s="2" t="s">
        <v>1390</v>
      </c>
      <c r="D853" s="4" t="s">
        <v>1547</v>
      </c>
    </row>
    <row r="854">
      <c r="A854" s="5">
        <v>26395.0</v>
      </c>
      <c r="B854" s="2" t="s">
        <v>1546</v>
      </c>
      <c r="C854" s="2" t="s">
        <v>1548</v>
      </c>
      <c r="D854" s="4" t="s">
        <v>1549</v>
      </c>
    </row>
    <row r="855">
      <c r="A855" s="5">
        <v>26395.0</v>
      </c>
      <c r="B855" s="2" t="s">
        <v>1546</v>
      </c>
      <c r="C855" s="2" t="s">
        <v>1550</v>
      </c>
      <c r="D855" s="4" t="s">
        <v>1551</v>
      </c>
    </row>
    <row r="856">
      <c r="A856" s="5">
        <v>26396.0</v>
      </c>
      <c r="B856" s="2" t="s">
        <v>1546</v>
      </c>
      <c r="C856" s="2" t="s">
        <v>1552</v>
      </c>
      <c r="D856" s="4" t="s">
        <v>1553</v>
      </c>
    </row>
    <row r="857">
      <c r="A857" s="5">
        <v>26398.0</v>
      </c>
      <c r="B857" s="2" t="s">
        <v>1190</v>
      </c>
      <c r="C857" s="2" t="s">
        <v>1554</v>
      </c>
      <c r="D857" s="4" t="s">
        <v>1555</v>
      </c>
    </row>
    <row r="858">
      <c r="A858" s="5">
        <v>26403.0</v>
      </c>
      <c r="B858" s="2" t="s">
        <v>1556</v>
      </c>
      <c r="C858" s="2" t="s">
        <v>1557</v>
      </c>
      <c r="D858" s="4" t="s">
        <v>1558</v>
      </c>
    </row>
    <row r="859">
      <c r="A859" s="5">
        <v>26404.0</v>
      </c>
      <c r="B859" s="2" t="s">
        <v>1556</v>
      </c>
      <c r="C859" s="2" t="s">
        <v>1559</v>
      </c>
      <c r="D859" s="4" t="s">
        <v>1560</v>
      </c>
    </row>
    <row r="860">
      <c r="A860" s="5">
        <v>26404.0</v>
      </c>
      <c r="B860" s="2" t="s">
        <v>1556</v>
      </c>
      <c r="C860" s="2" t="s">
        <v>1561</v>
      </c>
      <c r="D860" s="4" t="s">
        <v>1562</v>
      </c>
    </row>
    <row r="861">
      <c r="A861" s="5">
        <v>26405.0</v>
      </c>
      <c r="B861" s="2" t="s">
        <v>1556</v>
      </c>
      <c r="C861" s="2" t="s">
        <v>1563</v>
      </c>
      <c r="D861" s="4" t="s">
        <v>1564</v>
      </c>
    </row>
    <row r="862">
      <c r="A862" s="5">
        <v>26406.0</v>
      </c>
      <c r="B862" s="2" t="s">
        <v>1556</v>
      </c>
      <c r="C862" s="2" t="s">
        <v>1565</v>
      </c>
      <c r="D862" s="4" t="s">
        <v>1566</v>
      </c>
    </row>
    <row r="863">
      <c r="A863" s="5">
        <v>26406.0</v>
      </c>
      <c r="B863" s="2" t="s">
        <v>1556</v>
      </c>
      <c r="C863" s="2" t="s">
        <v>379</v>
      </c>
      <c r="D863" s="4" t="s">
        <v>1567</v>
      </c>
    </row>
    <row r="864">
      <c r="A864" s="5">
        <v>26408.0</v>
      </c>
      <c r="B864" s="2" t="s">
        <v>1568</v>
      </c>
      <c r="C864" s="2" t="s">
        <v>1569</v>
      </c>
      <c r="D864" s="4" t="s">
        <v>1570</v>
      </c>
    </row>
    <row r="865">
      <c r="A865" s="5">
        <v>26409.0</v>
      </c>
      <c r="B865" s="2" t="s">
        <v>1568</v>
      </c>
      <c r="C865" s="2" t="s">
        <v>312</v>
      </c>
      <c r="D865" s="4" t="s">
        <v>1571</v>
      </c>
    </row>
    <row r="866">
      <c r="A866" s="5">
        <v>26409.0</v>
      </c>
      <c r="B866" s="2" t="s">
        <v>1568</v>
      </c>
      <c r="C866" s="2" t="s">
        <v>379</v>
      </c>
      <c r="D866" s="4" t="s">
        <v>1572</v>
      </c>
    </row>
    <row r="867">
      <c r="A867" s="5">
        <v>26409.0</v>
      </c>
      <c r="B867" s="2" t="s">
        <v>1573</v>
      </c>
      <c r="C867" s="2" t="s">
        <v>1574</v>
      </c>
      <c r="D867" s="4" t="s">
        <v>1575</v>
      </c>
    </row>
    <row r="868">
      <c r="A868" s="5">
        <v>26409.0</v>
      </c>
      <c r="B868" s="2" t="s">
        <v>1573</v>
      </c>
      <c r="C868" s="2" t="s">
        <v>82</v>
      </c>
      <c r="D868" s="4" t="s">
        <v>1576</v>
      </c>
    </row>
    <row r="869">
      <c r="A869" s="5">
        <v>26410.0</v>
      </c>
      <c r="B869" s="2" t="s">
        <v>1573</v>
      </c>
      <c r="C869" s="2" t="s">
        <v>1577</v>
      </c>
      <c r="D869" s="4" t="s">
        <v>1578</v>
      </c>
    </row>
    <row r="870">
      <c r="A870" s="5">
        <v>26410.0</v>
      </c>
      <c r="B870" s="2" t="s">
        <v>1573</v>
      </c>
      <c r="C870" s="2" t="s">
        <v>1579</v>
      </c>
      <c r="D870" s="4" t="s">
        <v>1580</v>
      </c>
    </row>
    <row r="871">
      <c r="A871" s="5">
        <v>26411.0</v>
      </c>
      <c r="B871" s="2" t="s">
        <v>1573</v>
      </c>
      <c r="C871" s="2" t="s">
        <v>1581</v>
      </c>
      <c r="D871" s="4" t="s">
        <v>1582</v>
      </c>
    </row>
    <row r="872">
      <c r="A872" s="5">
        <v>26411.0</v>
      </c>
      <c r="B872" s="2" t="s">
        <v>1573</v>
      </c>
      <c r="C872" s="2" t="s">
        <v>379</v>
      </c>
      <c r="D872" s="4" t="s">
        <v>1583</v>
      </c>
    </row>
    <row r="873">
      <c r="A873" s="5">
        <v>26411.0</v>
      </c>
      <c r="B873" s="2" t="s">
        <v>1573</v>
      </c>
      <c r="C873" s="2" t="s">
        <v>379</v>
      </c>
      <c r="D873" s="4" t="s">
        <v>1584</v>
      </c>
    </row>
    <row r="874">
      <c r="A874" s="5">
        <v>26411.0</v>
      </c>
      <c r="B874" s="2" t="s">
        <v>1573</v>
      </c>
      <c r="C874" s="2" t="s">
        <v>1585</v>
      </c>
      <c r="D874" s="4" t="s">
        <v>1586</v>
      </c>
    </row>
    <row r="875">
      <c r="A875" s="5">
        <v>26411.0</v>
      </c>
      <c r="B875" s="2" t="s">
        <v>1573</v>
      </c>
      <c r="C875" s="2" t="s">
        <v>1587</v>
      </c>
      <c r="D875" s="4" t="s">
        <v>1588</v>
      </c>
    </row>
    <row r="876">
      <c r="A876" s="5">
        <v>26412.0</v>
      </c>
      <c r="B876" s="2" t="s">
        <v>1573</v>
      </c>
      <c r="C876" s="2" t="s">
        <v>1589</v>
      </c>
      <c r="D876" s="4" t="s">
        <v>1590</v>
      </c>
    </row>
    <row r="877">
      <c r="A877" s="5">
        <v>26413.0</v>
      </c>
      <c r="B877" s="2" t="s">
        <v>1573</v>
      </c>
      <c r="C877" s="2" t="s">
        <v>1591</v>
      </c>
      <c r="D877" s="4" t="s">
        <v>1592</v>
      </c>
    </row>
    <row r="878">
      <c r="A878" s="5">
        <v>26414.0</v>
      </c>
      <c r="B878" s="2" t="s">
        <v>1573</v>
      </c>
      <c r="C878" s="2" t="s">
        <v>1593</v>
      </c>
      <c r="D878" s="4" t="s">
        <v>1594</v>
      </c>
    </row>
    <row r="879">
      <c r="A879" s="5">
        <v>26415.0</v>
      </c>
      <c r="B879" s="2" t="s">
        <v>1573</v>
      </c>
      <c r="C879" s="2" t="s">
        <v>1595</v>
      </c>
      <c r="D879" s="4" t="s">
        <v>1596</v>
      </c>
    </row>
    <row r="880">
      <c r="A880" s="5">
        <v>26416.0</v>
      </c>
      <c r="B880" s="2" t="s">
        <v>1573</v>
      </c>
      <c r="C880" s="2" t="s">
        <v>1597</v>
      </c>
      <c r="D880" s="4" t="s">
        <v>1598</v>
      </c>
    </row>
    <row r="881">
      <c r="A881" s="5">
        <v>26417.0</v>
      </c>
      <c r="B881" s="2" t="s">
        <v>1573</v>
      </c>
      <c r="C881" s="2" t="s">
        <v>1599</v>
      </c>
      <c r="D881" s="4" t="s">
        <v>1600</v>
      </c>
    </row>
    <row r="882">
      <c r="A882" s="5">
        <v>26418.0</v>
      </c>
      <c r="B882" s="2" t="s">
        <v>1573</v>
      </c>
      <c r="C882" s="2" t="s">
        <v>1601</v>
      </c>
      <c r="D882" s="4" t="s">
        <v>1602</v>
      </c>
    </row>
    <row r="883">
      <c r="A883" s="5">
        <v>26418.0</v>
      </c>
      <c r="B883" s="2" t="s">
        <v>1573</v>
      </c>
      <c r="C883" s="2" t="s">
        <v>82</v>
      </c>
      <c r="D883" s="4" t="s">
        <v>1603</v>
      </c>
    </row>
    <row r="884">
      <c r="A884" s="5">
        <v>26419.0</v>
      </c>
      <c r="B884" s="2" t="s">
        <v>1573</v>
      </c>
      <c r="C884" s="2" t="s">
        <v>1604</v>
      </c>
      <c r="D884" s="4" t="s">
        <v>1605</v>
      </c>
    </row>
    <row r="885">
      <c r="A885" s="5">
        <v>26419.0</v>
      </c>
      <c r="B885" s="2" t="s">
        <v>1573</v>
      </c>
      <c r="C885" s="2" t="s">
        <v>1606</v>
      </c>
      <c r="D885" s="4" t="s">
        <v>1607</v>
      </c>
    </row>
    <row r="886">
      <c r="A886" s="7">
        <v>26420.0</v>
      </c>
      <c r="B886" s="2" t="s">
        <v>1573</v>
      </c>
      <c r="C886" s="2" t="s">
        <v>1608</v>
      </c>
      <c r="D886" s="4" t="s">
        <v>1609</v>
      </c>
    </row>
    <row r="887">
      <c r="A887" s="7">
        <v>26420.0</v>
      </c>
      <c r="B887" s="2" t="s">
        <v>1573</v>
      </c>
      <c r="C887" s="2" t="s">
        <v>82</v>
      </c>
      <c r="D887" s="4" t="s">
        <v>1610</v>
      </c>
    </row>
    <row r="888">
      <c r="A888" s="7">
        <v>26421.0</v>
      </c>
      <c r="B888" s="2" t="s">
        <v>1573</v>
      </c>
      <c r="C888" s="2" t="s">
        <v>1611</v>
      </c>
      <c r="D888" s="4" t="s">
        <v>1612</v>
      </c>
    </row>
    <row r="889">
      <c r="A889" s="7">
        <v>26422.0</v>
      </c>
      <c r="B889" s="2" t="s">
        <v>1573</v>
      </c>
      <c r="C889" s="2" t="s">
        <v>1613</v>
      </c>
      <c r="D889" s="4" t="s">
        <v>1614</v>
      </c>
    </row>
    <row r="890">
      <c r="A890" s="7">
        <v>26423.0</v>
      </c>
      <c r="B890" s="2" t="s">
        <v>1573</v>
      </c>
      <c r="C890" s="2" t="s">
        <v>1615</v>
      </c>
      <c r="D890" s="4" t="s">
        <v>1616</v>
      </c>
    </row>
    <row r="891">
      <c r="A891" s="7">
        <v>26424.0</v>
      </c>
      <c r="B891" s="2" t="s">
        <v>1573</v>
      </c>
      <c r="C891" s="2" t="s">
        <v>1617</v>
      </c>
      <c r="D891" s="4" t="s">
        <v>1618</v>
      </c>
    </row>
    <row r="892">
      <c r="A892" s="7">
        <v>26424.0</v>
      </c>
      <c r="B892" s="2" t="s">
        <v>1619</v>
      </c>
      <c r="C892" s="2" t="s">
        <v>1620</v>
      </c>
      <c r="D892" s="4" t="s">
        <v>1621</v>
      </c>
    </row>
    <row r="893">
      <c r="A893" s="7">
        <v>26425.0</v>
      </c>
      <c r="B893" s="2" t="s">
        <v>1622</v>
      </c>
      <c r="C893" s="2" t="s">
        <v>1211</v>
      </c>
      <c r="D893" s="4" t="s">
        <v>1623</v>
      </c>
    </row>
    <row r="894">
      <c r="A894" s="7">
        <v>26429.0</v>
      </c>
      <c r="B894" s="2" t="s">
        <v>1622</v>
      </c>
      <c r="C894" s="2" t="s">
        <v>82</v>
      </c>
      <c r="D894" s="4" t="s">
        <v>1624</v>
      </c>
    </row>
    <row r="895">
      <c r="A895" s="7">
        <v>26437.0</v>
      </c>
      <c r="B895" s="2" t="s">
        <v>345</v>
      </c>
      <c r="C895" s="2" t="s">
        <v>1211</v>
      </c>
      <c r="D895" s="4" t="s">
        <v>1625</v>
      </c>
    </row>
    <row r="896">
      <c r="A896" s="7">
        <v>26437.0</v>
      </c>
      <c r="B896" s="2" t="s">
        <v>345</v>
      </c>
      <c r="C896" s="2" t="s">
        <v>82</v>
      </c>
      <c r="D896" s="4" t="s">
        <v>1626</v>
      </c>
    </row>
    <row r="897">
      <c r="A897" s="7">
        <v>26438.0</v>
      </c>
      <c r="B897" s="2" t="s">
        <v>345</v>
      </c>
      <c r="C897" s="2" t="s">
        <v>1627</v>
      </c>
      <c r="D897" s="4" t="s">
        <v>1628</v>
      </c>
    </row>
    <row r="898">
      <c r="A898" s="7">
        <v>26439.0</v>
      </c>
      <c r="B898" s="2" t="s">
        <v>345</v>
      </c>
      <c r="C898" s="2" t="s">
        <v>1629</v>
      </c>
      <c r="D898" s="4" t="s">
        <v>1630</v>
      </c>
    </row>
    <row r="899">
      <c r="A899" s="7">
        <v>26440.0</v>
      </c>
      <c r="B899" s="2" t="s">
        <v>345</v>
      </c>
      <c r="C899" s="2" t="s">
        <v>669</v>
      </c>
      <c r="D899" s="4" t="s">
        <v>1631</v>
      </c>
    </row>
    <row r="900">
      <c r="A900" s="7">
        <v>26441.0</v>
      </c>
      <c r="B900" s="2" t="s">
        <v>345</v>
      </c>
      <c r="C900" s="2" t="s">
        <v>1632</v>
      </c>
      <c r="D900" s="4" t="s">
        <v>1633</v>
      </c>
    </row>
    <row r="901">
      <c r="A901" s="7">
        <v>26442.0</v>
      </c>
      <c r="B901" s="2" t="s">
        <v>345</v>
      </c>
      <c r="C901" s="2" t="s">
        <v>623</v>
      </c>
      <c r="D901" s="4" t="s">
        <v>1634</v>
      </c>
    </row>
    <row r="902">
      <c r="A902" s="7">
        <v>26443.0</v>
      </c>
      <c r="B902" s="2" t="s">
        <v>345</v>
      </c>
      <c r="C902" s="2" t="s">
        <v>1635</v>
      </c>
      <c r="D902" s="4" t="s">
        <v>1636</v>
      </c>
    </row>
    <row r="903">
      <c r="A903" s="7">
        <v>26444.0</v>
      </c>
      <c r="B903" s="2" t="s">
        <v>345</v>
      </c>
      <c r="C903" s="2" t="s">
        <v>1637</v>
      </c>
      <c r="D903" s="4" t="s">
        <v>1638</v>
      </c>
    </row>
    <row r="904">
      <c r="A904" s="7">
        <v>26444.0</v>
      </c>
      <c r="B904" s="2" t="s">
        <v>345</v>
      </c>
      <c r="C904" s="2" t="s">
        <v>1639</v>
      </c>
      <c r="D904" s="4" t="s">
        <v>1640</v>
      </c>
    </row>
    <row r="905">
      <c r="A905" s="7">
        <v>26445.0</v>
      </c>
      <c r="B905" s="2" t="s">
        <v>345</v>
      </c>
      <c r="C905" s="2" t="s">
        <v>1641</v>
      </c>
      <c r="D905" s="4" t="s">
        <v>1642</v>
      </c>
    </row>
    <row r="906">
      <c r="A906" s="7">
        <v>26445.0</v>
      </c>
      <c r="B906" s="2" t="s">
        <v>345</v>
      </c>
      <c r="C906" s="2" t="s">
        <v>379</v>
      </c>
      <c r="D906" s="4" t="s">
        <v>1643</v>
      </c>
    </row>
    <row r="907">
      <c r="A907" s="7">
        <v>26446.0</v>
      </c>
      <c r="B907" s="2" t="s">
        <v>345</v>
      </c>
      <c r="C907" s="2" t="s">
        <v>1644</v>
      </c>
      <c r="D907" s="4" t="s">
        <v>1645</v>
      </c>
    </row>
    <row r="908">
      <c r="A908" s="7">
        <v>26446.0</v>
      </c>
      <c r="B908" s="2" t="s">
        <v>345</v>
      </c>
      <c r="C908" s="2" t="s">
        <v>20</v>
      </c>
      <c r="D908" s="4" t="s">
        <v>1646</v>
      </c>
    </row>
    <row r="909">
      <c r="A909" s="7">
        <v>26446.0</v>
      </c>
      <c r="B909" s="2" t="s">
        <v>345</v>
      </c>
      <c r="C909" s="2" t="s">
        <v>1647</v>
      </c>
      <c r="D909" s="4" t="s">
        <v>1648</v>
      </c>
    </row>
    <row r="910">
      <c r="A910" s="7">
        <v>26447.0</v>
      </c>
      <c r="B910" s="2" t="s">
        <v>345</v>
      </c>
      <c r="C910" s="2" t="s">
        <v>1649</v>
      </c>
      <c r="D910" s="4" t="s">
        <v>1650</v>
      </c>
    </row>
    <row r="911">
      <c r="A911" s="7">
        <v>26448.0</v>
      </c>
      <c r="B911" s="2" t="s">
        <v>345</v>
      </c>
      <c r="C911" s="2" t="s">
        <v>1651</v>
      </c>
      <c r="D911" s="4" t="s">
        <v>1652</v>
      </c>
    </row>
    <row r="912">
      <c r="A912" s="7">
        <v>26449.0</v>
      </c>
      <c r="B912" s="2" t="s">
        <v>345</v>
      </c>
      <c r="C912" s="2" t="s">
        <v>1653</v>
      </c>
      <c r="D912" s="4" t="s">
        <v>1654</v>
      </c>
    </row>
    <row r="913">
      <c r="A913" s="7">
        <v>26450.0</v>
      </c>
      <c r="B913" s="2" t="s">
        <v>345</v>
      </c>
      <c r="C913" s="2" t="s">
        <v>1655</v>
      </c>
      <c r="D913" s="4" t="s">
        <v>1656</v>
      </c>
    </row>
    <row r="914">
      <c r="A914" s="5">
        <v>26451.0</v>
      </c>
      <c r="B914" s="2" t="s">
        <v>345</v>
      </c>
      <c r="C914" s="2" t="s">
        <v>1657</v>
      </c>
      <c r="D914" s="4" t="s">
        <v>1658</v>
      </c>
    </row>
    <row r="915">
      <c r="A915" s="5">
        <v>26454.0</v>
      </c>
      <c r="B915" s="2" t="s">
        <v>1659</v>
      </c>
      <c r="C915" s="2" t="s">
        <v>1660</v>
      </c>
      <c r="D915" s="4" t="s">
        <v>1661</v>
      </c>
    </row>
    <row r="916">
      <c r="A916" s="5">
        <v>26454.0</v>
      </c>
      <c r="B916" s="2" t="s">
        <v>1659</v>
      </c>
      <c r="C916" s="2" t="s">
        <v>1662</v>
      </c>
      <c r="D916" s="4" t="s">
        <v>1663</v>
      </c>
    </row>
    <row r="917">
      <c r="A917" s="5">
        <v>26454.0</v>
      </c>
      <c r="B917" s="2" t="s">
        <v>1659</v>
      </c>
      <c r="C917" s="2" t="s">
        <v>379</v>
      </c>
      <c r="D917" s="4" t="s">
        <v>1664</v>
      </c>
    </row>
    <row r="918">
      <c r="A918" s="5">
        <v>26457.0</v>
      </c>
      <c r="B918" s="2" t="s">
        <v>345</v>
      </c>
      <c r="C918" s="2" t="s">
        <v>367</v>
      </c>
      <c r="D918" s="4" t="s">
        <v>1665</v>
      </c>
    </row>
    <row r="919">
      <c r="A919" s="5">
        <v>26458.0</v>
      </c>
      <c r="B919" s="2" t="s">
        <v>345</v>
      </c>
      <c r="C919" s="2" t="s">
        <v>367</v>
      </c>
      <c r="D919" s="4" t="s">
        <v>1666</v>
      </c>
    </row>
    <row r="920">
      <c r="A920" s="5">
        <v>26462.0</v>
      </c>
      <c r="B920" s="2" t="s">
        <v>345</v>
      </c>
      <c r="C920" s="2" t="s">
        <v>1667</v>
      </c>
      <c r="D920" s="4" t="s">
        <v>1668</v>
      </c>
    </row>
    <row r="921">
      <c r="A921" s="5">
        <v>26463.0</v>
      </c>
      <c r="B921" s="2" t="s">
        <v>345</v>
      </c>
      <c r="C921" s="2" t="s">
        <v>1669</v>
      </c>
      <c r="D921" s="4" t="s">
        <v>1670</v>
      </c>
    </row>
    <row r="922">
      <c r="A922" s="5">
        <v>26464.0</v>
      </c>
      <c r="B922" s="2" t="s">
        <v>345</v>
      </c>
      <c r="C922" s="2" t="s">
        <v>1671</v>
      </c>
      <c r="D922" s="4" t="s">
        <v>1672</v>
      </c>
    </row>
    <row r="923">
      <c r="A923" s="5">
        <v>26464.0</v>
      </c>
      <c r="B923" s="2" t="s">
        <v>345</v>
      </c>
      <c r="C923" s="2" t="s">
        <v>1673</v>
      </c>
      <c r="D923" s="4" t="s">
        <v>1674</v>
      </c>
    </row>
    <row r="924">
      <c r="A924" s="5">
        <v>26464.0</v>
      </c>
      <c r="B924" s="2" t="s">
        <v>345</v>
      </c>
      <c r="C924" s="2" t="s">
        <v>1675</v>
      </c>
      <c r="D924" s="4" t="s">
        <v>1676</v>
      </c>
    </row>
    <row r="925">
      <c r="A925" s="5">
        <v>26464.0</v>
      </c>
      <c r="B925" s="2" t="s">
        <v>345</v>
      </c>
      <c r="C925" s="2" t="s">
        <v>1677</v>
      </c>
      <c r="D925" s="4" t="s">
        <v>1678</v>
      </c>
    </row>
    <row r="926">
      <c r="A926" s="5">
        <v>26465.0</v>
      </c>
      <c r="B926" s="2" t="s">
        <v>345</v>
      </c>
      <c r="C926" s="2" t="s">
        <v>1673</v>
      </c>
      <c r="D926" s="4" t="s">
        <v>1679</v>
      </c>
    </row>
    <row r="927">
      <c r="A927" s="5">
        <v>26465.0</v>
      </c>
      <c r="B927" s="2" t="s">
        <v>345</v>
      </c>
      <c r="C927" s="2" t="s">
        <v>1680</v>
      </c>
      <c r="D927" s="4" t="s">
        <v>1681</v>
      </c>
    </row>
    <row r="928">
      <c r="A928" s="5">
        <v>26466.0</v>
      </c>
      <c r="B928" s="2" t="s">
        <v>345</v>
      </c>
      <c r="C928" s="2" t="s">
        <v>1682</v>
      </c>
      <c r="D928" s="4" t="s">
        <v>1683</v>
      </c>
    </row>
    <row r="929">
      <c r="A929" s="5">
        <v>26467.0</v>
      </c>
      <c r="B929" s="2" t="s">
        <v>345</v>
      </c>
      <c r="C929" s="2" t="s">
        <v>1684</v>
      </c>
      <c r="D929" s="4" t="s">
        <v>1685</v>
      </c>
    </row>
    <row r="930">
      <c r="A930" s="5">
        <v>26468.0</v>
      </c>
      <c r="B930" s="2" t="s">
        <v>345</v>
      </c>
      <c r="C930" s="2" t="s">
        <v>1686</v>
      </c>
      <c r="D930" s="4" t="s">
        <v>1687</v>
      </c>
    </row>
    <row r="931">
      <c r="A931" s="5">
        <v>26468.0</v>
      </c>
      <c r="B931" s="2" t="s">
        <v>345</v>
      </c>
      <c r="C931" s="2" t="s">
        <v>379</v>
      </c>
      <c r="D931" s="4" t="s">
        <v>1688</v>
      </c>
    </row>
    <row r="932">
      <c r="A932" s="5">
        <v>26468.0</v>
      </c>
      <c r="B932" s="2" t="s">
        <v>345</v>
      </c>
      <c r="C932" s="2" t="s">
        <v>1689</v>
      </c>
      <c r="D932" s="4" t="s">
        <v>1690</v>
      </c>
    </row>
    <row r="933">
      <c r="A933" s="5">
        <v>26469.0</v>
      </c>
      <c r="B933" s="2" t="s">
        <v>345</v>
      </c>
      <c r="C933" s="2" t="s">
        <v>1691</v>
      </c>
      <c r="D933" s="4" t="s">
        <v>1692</v>
      </c>
    </row>
    <row r="934">
      <c r="A934" s="5">
        <v>26470.0</v>
      </c>
      <c r="B934" s="2" t="s">
        <v>345</v>
      </c>
      <c r="C934" s="2" t="s">
        <v>1693</v>
      </c>
      <c r="D934" s="4" t="s">
        <v>1694</v>
      </c>
    </row>
    <row r="935">
      <c r="A935" s="5">
        <v>26471.0</v>
      </c>
      <c r="B935" s="2" t="s">
        <v>345</v>
      </c>
      <c r="C935" s="2" t="s">
        <v>623</v>
      </c>
      <c r="D935" s="4" t="s">
        <v>1695</v>
      </c>
    </row>
    <row r="936">
      <c r="A936" s="5">
        <v>26472.0</v>
      </c>
      <c r="B936" s="2" t="s">
        <v>345</v>
      </c>
      <c r="C936" s="2" t="s">
        <v>1696</v>
      </c>
      <c r="D936" s="4" t="s">
        <v>1697</v>
      </c>
    </row>
    <row r="937">
      <c r="A937" s="5">
        <v>26472.0</v>
      </c>
      <c r="B937" s="2" t="s">
        <v>345</v>
      </c>
      <c r="C937" s="2" t="s">
        <v>1698</v>
      </c>
      <c r="D937" s="4" t="s">
        <v>1699</v>
      </c>
    </row>
    <row r="938">
      <c r="A938" s="5">
        <v>26473.0</v>
      </c>
      <c r="B938" s="2" t="s">
        <v>345</v>
      </c>
      <c r="C938" s="2" t="s">
        <v>1700</v>
      </c>
      <c r="D938" s="4" t="s">
        <v>1701</v>
      </c>
    </row>
    <row r="939">
      <c r="A939" s="5">
        <v>26474.0</v>
      </c>
      <c r="B939" s="2" t="s">
        <v>345</v>
      </c>
      <c r="C939" s="2" t="s">
        <v>1702</v>
      </c>
      <c r="D939" s="4" t="s">
        <v>1703</v>
      </c>
    </row>
    <row r="940">
      <c r="A940" s="5">
        <v>26474.0</v>
      </c>
      <c r="B940" s="2" t="s">
        <v>345</v>
      </c>
      <c r="C940" s="2" t="s">
        <v>379</v>
      </c>
      <c r="D940" s="4" t="s">
        <v>1704</v>
      </c>
    </row>
    <row r="941">
      <c r="A941" s="5">
        <v>26475.0</v>
      </c>
      <c r="B941" s="2" t="s">
        <v>345</v>
      </c>
      <c r="C941" s="2" t="s">
        <v>1705</v>
      </c>
      <c r="D941" s="4" t="s">
        <v>1706</v>
      </c>
    </row>
    <row r="942">
      <c r="A942" s="5">
        <v>26475.0</v>
      </c>
      <c r="B942" s="2" t="s">
        <v>345</v>
      </c>
      <c r="C942" s="2" t="s">
        <v>1707</v>
      </c>
      <c r="D942" s="4" t="s">
        <v>1708</v>
      </c>
    </row>
    <row r="943">
      <c r="A943" s="5">
        <v>26476.0</v>
      </c>
      <c r="B943" s="2" t="s">
        <v>345</v>
      </c>
      <c r="C943" s="2" t="s">
        <v>1707</v>
      </c>
      <c r="D943" s="4" t="s">
        <v>1709</v>
      </c>
    </row>
    <row r="944">
      <c r="A944" s="5">
        <v>26476.0</v>
      </c>
      <c r="B944" s="2" t="s">
        <v>345</v>
      </c>
      <c r="C944" s="2" t="s">
        <v>1705</v>
      </c>
      <c r="D944" s="4" t="s">
        <v>1710</v>
      </c>
    </row>
    <row r="945">
      <c r="A945" s="5">
        <v>26477.0</v>
      </c>
      <c r="B945" s="2" t="s">
        <v>345</v>
      </c>
      <c r="C945" s="2" t="s">
        <v>1711</v>
      </c>
      <c r="D945" s="4" t="s">
        <v>1712</v>
      </c>
    </row>
    <row r="946">
      <c r="A946" s="5">
        <v>26478.0</v>
      </c>
      <c r="B946" s="2" t="s">
        <v>345</v>
      </c>
      <c r="C946" s="2" t="s">
        <v>1713</v>
      </c>
      <c r="D946" s="4" t="s">
        <v>1714</v>
      </c>
    </row>
    <row r="947">
      <c r="A947" s="5">
        <v>26479.0</v>
      </c>
      <c r="B947" s="2" t="s">
        <v>1715</v>
      </c>
      <c r="C947" s="2" t="s">
        <v>1716</v>
      </c>
      <c r="D947" s="4" t="s">
        <v>1717</v>
      </c>
    </row>
    <row r="948">
      <c r="A948" s="5">
        <v>26479.0</v>
      </c>
      <c r="B948" s="2" t="s">
        <v>1715</v>
      </c>
      <c r="C948" s="2" t="s">
        <v>1718</v>
      </c>
      <c r="D948" s="4" t="s">
        <v>1719</v>
      </c>
    </row>
    <row r="949">
      <c r="A949" s="5">
        <v>26479.0</v>
      </c>
      <c r="B949" s="2" t="s">
        <v>1715</v>
      </c>
      <c r="C949" s="2" t="s">
        <v>379</v>
      </c>
      <c r="D949" s="4" t="s">
        <v>1720</v>
      </c>
    </row>
    <row r="950">
      <c r="A950" s="5">
        <v>26479.0</v>
      </c>
      <c r="B950" s="2" t="s">
        <v>1715</v>
      </c>
      <c r="C950" s="2" t="s">
        <v>369</v>
      </c>
      <c r="D950" s="4" t="s">
        <v>1721</v>
      </c>
    </row>
    <row r="951">
      <c r="A951" s="5">
        <v>26480.0</v>
      </c>
      <c r="B951" s="2" t="s">
        <v>1715</v>
      </c>
      <c r="C951" s="2" t="s">
        <v>1722</v>
      </c>
      <c r="D951" s="4" t="s">
        <v>1723</v>
      </c>
    </row>
    <row r="952">
      <c r="A952" s="5">
        <v>26480.0</v>
      </c>
      <c r="B952" s="2" t="s">
        <v>1715</v>
      </c>
      <c r="C952" s="2" t="s">
        <v>358</v>
      </c>
      <c r="D952" s="4" t="s">
        <v>1724</v>
      </c>
    </row>
    <row r="953">
      <c r="A953" s="5">
        <v>26480.0</v>
      </c>
      <c r="B953" s="2" t="s">
        <v>1715</v>
      </c>
      <c r="C953" s="2" t="s">
        <v>1725</v>
      </c>
      <c r="D953" s="4" t="s">
        <v>1726</v>
      </c>
    </row>
    <row r="954">
      <c r="A954" s="5">
        <v>26481.0</v>
      </c>
      <c r="B954" s="2" t="s">
        <v>1715</v>
      </c>
      <c r="C954" s="2" t="s">
        <v>1671</v>
      </c>
      <c r="D954" s="4" t="s">
        <v>1727</v>
      </c>
    </row>
    <row r="955">
      <c r="A955" s="5">
        <v>26481.0</v>
      </c>
      <c r="B955" s="2" t="s">
        <v>1715</v>
      </c>
      <c r="C955" s="2" t="s">
        <v>1728</v>
      </c>
      <c r="D955" s="4" t="s">
        <v>1729</v>
      </c>
    </row>
    <row r="956">
      <c r="A956" s="5">
        <v>26481.0</v>
      </c>
      <c r="B956" s="2" t="s">
        <v>1715</v>
      </c>
      <c r="C956" s="2" t="s">
        <v>379</v>
      </c>
      <c r="D956" s="4" t="s">
        <v>1730</v>
      </c>
    </row>
    <row r="957">
      <c r="A957" s="5">
        <v>26482.0</v>
      </c>
      <c r="B957" s="2" t="s">
        <v>1715</v>
      </c>
      <c r="C957" s="2" t="s">
        <v>369</v>
      </c>
      <c r="D957" s="4" t="s">
        <v>1731</v>
      </c>
    </row>
    <row r="958">
      <c r="A958" s="5">
        <v>26483.0</v>
      </c>
      <c r="B958" s="2" t="s">
        <v>345</v>
      </c>
      <c r="C958" s="2" t="s">
        <v>1732</v>
      </c>
      <c r="D958" s="4" t="s">
        <v>1733</v>
      </c>
    </row>
    <row r="959">
      <c r="A959" s="5">
        <v>26483.0</v>
      </c>
      <c r="B959" s="2" t="s">
        <v>4</v>
      </c>
      <c r="C959" s="2" t="s">
        <v>1734</v>
      </c>
      <c r="D959" s="4" t="s">
        <v>1735</v>
      </c>
    </row>
    <row r="960">
      <c r="A960" s="5">
        <v>26484.0</v>
      </c>
      <c r="B960" s="2" t="s">
        <v>4</v>
      </c>
      <c r="C960" s="2" t="s">
        <v>379</v>
      </c>
      <c r="D960" s="4" t="s">
        <v>1736</v>
      </c>
    </row>
    <row r="961">
      <c r="A961" s="5">
        <v>26484.0</v>
      </c>
      <c r="B961" s="2" t="s">
        <v>4</v>
      </c>
      <c r="C961" s="2" t="s">
        <v>1737</v>
      </c>
      <c r="D961" s="4" t="s">
        <v>1738</v>
      </c>
    </row>
    <row r="962">
      <c r="A962" s="5">
        <v>26484.0</v>
      </c>
      <c r="B962" s="2" t="s">
        <v>4</v>
      </c>
      <c r="C962" s="2" t="s">
        <v>379</v>
      </c>
      <c r="D962" s="4" t="s">
        <v>1739</v>
      </c>
    </row>
    <row r="963">
      <c r="A963" s="5">
        <v>26484.0</v>
      </c>
      <c r="B963" s="2" t="s">
        <v>4</v>
      </c>
      <c r="C963" s="2" t="s">
        <v>1740</v>
      </c>
      <c r="D963" s="4" t="s">
        <v>1741</v>
      </c>
    </row>
    <row r="964">
      <c r="A964" s="5">
        <v>26486.0</v>
      </c>
      <c r="B964" s="2" t="s">
        <v>849</v>
      </c>
      <c r="C964" s="2" t="s">
        <v>1304</v>
      </c>
      <c r="D964" s="4" t="s">
        <v>1742</v>
      </c>
    </row>
    <row r="965">
      <c r="A965" s="5">
        <v>26487.0</v>
      </c>
      <c r="B965" s="2" t="s">
        <v>849</v>
      </c>
      <c r="C965" s="2" t="s">
        <v>1322</v>
      </c>
      <c r="D965" s="4" t="s">
        <v>1743</v>
      </c>
    </row>
    <row r="966">
      <c r="A966" s="5">
        <v>26491.0</v>
      </c>
      <c r="B966" s="2" t="s">
        <v>849</v>
      </c>
      <c r="C966" s="2" t="s">
        <v>1744</v>
      </c>
      <c r="D966" s="4" t="s">
        <v>1745</v>
      </c>
    </row>
    <row r="967">
      <c r="A967" s="5">
        <v>26492.0</v>
      </c>
      <c r="B967" s="2" t="s">
        <v>849</v>
      </c>
      <c r="C967" s="2" t="s">
        <v>82</v>
      </c>
      <c r="D967" s="4" t="s">
        <v>1746</v>
      </c>
    </row>
    <row r="968">
      <c r="A968" s="5">
        <v>26494.0</v>
      </c>
      <c r="B968" s="2" t="s">
        <v>849</v>
      </c>
      <c r="C968" s="2" t="s">
        <v>1747</v>
      </c>
      <c r="D968" s="4" t="s">
        <v>1748</v>
      </c>
    </row>
    <row r="969">
      <c r="A969" s="5">
        <v>26495.0</v>
      </c>
      <c r="B969" s="2" t="s">
        <v>849</v>
      </c>
      <c r="C969" s="2" t="s">
        <v>1749</v>
      </c>
      <c r="D969" s="4" t="s">
        <v>1750</v>
      </c>
    </row>
    <row r="970">
      <c r="A970" s="5">
        <v>26496.0</v>
      </c>
      <c r="B970" s="2" t="s">
        <v>849</v>
      </c>
      <c r="C970" s="2" t="s">
        <v>969</v>
      </c>
      <c r="D970" s="4" t="s">
        <v>1751</v>
      </c>
    </row>
    <row r="971">
      <c r="A971" s="5">
        <v>26496.0</v>
      </c>
      <c r="B971" s="2" t="s">
        <v>849</v>
      </c>
      <c r="C971" s="2" t="s">
        <v>969</v>
      </c>
      <c r="D971" s="4" t="s">
        <v>1752</v>
      </c>
    </row>
    <row r="972">
      <c r="A972" s="5">
        <v>26497.0</v>
      </c>
      <c r="B972" s="2" t="s">
        <v>849</v>
      </c>
      <c r="C972" s="2" t="s">
        <v>379</v>
      </c>
      <c r="D972" s="4" t="s">
        <v>1753</v>
      </c>
    </row>
    <row r="973">
      <c r="A973" s="5">
        <v>26500.0</v>
      </c>
      <c r="B973" s="2" t="s">
        <v>849</v>
      </c>
      <c r="C973" s="2" t="s">
        <v>1754</v>
      </c>
      <c r="D973" s="4" t="s">
        <v>1755</v>
      </c>
    </row>
    <row r="974">
      <c r="A974" s="5">
        <v>26500.0</v>
      </c>
      <c r="B974" s="2" t="s">
        <v>1200</v>
      </c>
      <c r="C974" s="2" t="s">
        <v>1211</v>
      </c>
      <c r="D974" s="4" t="s">
        <v>1756</v>
      </c>
    </row>
    <row r="975">
      <c r="A975" s="5">
        <v>26500.0</v>
      </c>
      <c r="B975" s="2" t="s">
        <v>1200</v>
      </c>
      <c r="C975" s="2" t="s">
        <v>358</v>
      </c>
      <c r="D975" s="4" t="s">
        <v>1757</v>
      </c>
    </row>
    <row r="976">
      <c r="A976" s="5">
        <v>26500.0</v>
      </c>
      <c r="B976" s="2" t="s">
        <v>1200</v>
      </c>
      <c r="C976" s="2" t="s">
        <v>358</v>
      </c>
      <c r="D976" s="4" t="s">
        <v>1758</v>
      </c>
    </row>
    <row r="977">
      <c r="A977" s="5">
        <v>26505.0</v>
      </c>
      <c r="B977" s="2" t="s">
        <v>1200</v>
      </c>
      <c r="C977" s="2" t="s">
        <v>379</v>
      </c>
      <c r="D977" s="4" t="s">
        <v>1759</v>
      </c>
    </row>
    <row r="978">
      <c r="A978" s="5">
        <v>26511.0</v>
      </c>
      <c r="B978" s="2" t="s">
        <v>1760</v>
      </c>
      <c r="C978" s="2" t="s">
        <v>455</v>
      </c>
      <c r="D978" s="4" t="s">
        <v>1761</v>
      </c>
    </row>
    <row r="979">
      <c r="A979" s="3">
        <v>26512.0</v>
      </c>
      <c r="B979" s="2" t="s">
        <v>1760</v>
      </c>
      <c r="C979" s="2" t="s">
        <v>9</v>
      </c>
      <c r="D979" s="4" t="s">
        <v>1762</v>
      </c>
    </row>
    <row r="980">
      <c r="A980" s="3">
        <v>26512.0</v>
      </c>
      <c r="B980" s="2" t="s">
        <v>849</v>
      </c>
      <c r="C980" s="2" t="s">
        <v>379</v>
      </c>
      <c r="D980" s="4" t="s">
        <v>1763</v>
      </c>
    </row>
    <row r="981">
      <c r="A981" s="3">
        <v>26513.0</v>
      </c>
      <c r="B981" s="2" t="s">
        <v>849</v>
      </c>
      <c r="C981" s="2" t="s">
        <v>1764</v>
      </c>
      <c r="D981" s="4" t="s">
        <v>1765</v>
      </c>
    </row>
    <row r="982">
      <c r="A982" s="3">
        <v>26513.0</v>
      </c>
      <c r="B982" s="2" t="s">
        <v>849</v>
      </c>
      <c r="C982" s="2" t="s">
        <v>1766</v>
      </c>
      <c r="D982" s="4" t="s">
        <v>1767</v>
      </c>
    </row>
    <row r="983">
      <c r="A983" s="3">
        <v>26514.0</v>
      </c>
      <c r="B983" s="2" t="s">
        <v>849</v>
      </c>
      <c r="C983" s="2" t="s">
        <v>1768</v>
      </c>
      <c r="D983" s="4" t="s">
        <v>1769</v>
      </c>
    </row>
    <row r="984">
      <c r="A984" s="3">
        <v>26518.0</v>
      </c>
      <c r="B984" s="2" t="s">
        <v>849</v>
      </c>
      <c r="C984" s="2" t="s">
        <v>379</v>
      </c>
      <c r="D984" s="4" t="s">
        <v>1770</v>
      </c>
    </row>
    <row r="985">
      <c r="A985" s="3">
        <v>26519.0</v>
      </c>
      <c r="B985" s="2" t="s">
        <v>849</v>
      </c>
      <c r="C985" s="2" t="s">
        <v>379</v>
      </c>
      <c r="D985" s="4" t="s">
        <v>1771</v>
      </c>
    </row>
    <row r="986">
      <c r="A986" s="3">
        <v>26520.0</v>
      </c>
      <c r="B986" s="2" t="s">
        <v>849</v>
      </c>
      <c r="C986" s="2" t="s">
        <v>1772</v>
      </c>
      <c r="D986" s="4" t="s">
        <v>1773</v>
      </c>
    </row>
    <row r="987">
      <c r="A987" s="3">
        <v>26520.0</v>
      </c>
      <c r="B987" s="2" t="s">
        <v>849</v>
      </c>
      <c r="C987" s="2" t="s">
        <v>379</v>
      </c>
      <c r="D987" s="4" t="s">
        <v>1774</v>
      </c>
    </row>
    <row r="988">
      <c r="A988" s="3">
        <v>26521.0</v>
      </c>
      <c r="B988" s="2" t="s">
        <v>849</v>
      </c>
      <c r="C988" s="2" t="s">
        <v>1775</v>
      </c>
      <c r="D988" s="4" t="s">
        <v>1776</v>
      </c>
    </row>
    <row r="989">
      <c r="A989" s="3">
        <v>26522.0</v>
      </c>
      <c r="B989" s="2" t="s">
        <v>849</v>
      </c>
      <c r="C989" s="2" t="s">
        <v>1777</v>
      </c>
      <c r="D989" s="4" t="s">
        <v>1778</v>
      </c>
    </row>
    <row r="990">
      <c r="A990" s="3">
        <v>26523.0</v>
      </c>
      <c r="B990" s="2" t="s">
        <v>849</v>
      </c>
      <c r="C990" s="2" t="s">
        <v>379</v>
      </c>
      <c r="D990" s="4" t="s">
        <v>1779</v>
      </c>
    </row>
    <row r="991">
      <c r="A991" s="3">
        <v>26524.0</v>
      </c>
      <c r="B991" s="2" t="s">
        <v>849</v>
      </c>
      <c r="C991" s="2" t="s">
        <v>1780</v>
      </c>
      <c r="D991" s="4" t="s">
        <v>1781</v>
      </c>
    </row>
    <row r="992">
      <c r="A992" s="3">
        <v>26525.0</v>
      </c>
      <c r="B992" s="2" t="s">
        <v>345</v>
      </c>
      <c r="C992" s="2" t="s">
        <v>1273</v>
      </c>
      <c r="D992" s="4" t="s">
        <v>1782</v>
      </c>
    </row>
    <row r="993">
      <c r="A993" s="3">
        <v>26526.0</v>
      </c>
      <c r="B993" s="2" t="s">
        <v>345</v>
      </c>
      <c r="C993" s="2" t="s">
        <v>1783</v>
      </c>
      <c r="D993" s="4" t="s">
        <v>1784</v>
      </c>
    </row>
    <row r="994">
      <c r="A994" s="3">
        <v>26528.0</v>
      </c>
      <c r="B994" s="2" t="s">
        <v>345</v>
      </c>
      <c r="C994" s="2" t="s">
        <v>1785</v>
      </c>
      <c r="D994" s="4" t="s">
        <v>1786</v>
      </c>
    </row>
    <row r="995">
      <c r="A995" s="3">
        <v>26528.0</v>
      </c>
      <c r="B995" s="2" t="s">
        <v>345</v>
      </c>
      <c r="C995" s="2" t="s">
        <v>1787</v>
      </c>
      <c r="D995" s="4" t="s">
        <v>1788</v>
      </c>
    </row>
    <row r="996">
      <c r="A996" s="3">
        <v>26529.0</v>
      </c>
      <c r="B996" s="2" t="s">
        <v>345</v>
      </c>
      <c r="C996" s="2" t="s">
        <v>1789</v>
      </c>
      <c r="D996" s="4" t="s">
        <v>1790</v>
      </c>
    </row>
    <row r="997">
      <c r="A997" s="3">
        <v>26530.0</v>
      </c>
      <c r="B997" s="2" t="s">
        <v>345</v>
      </c>
      <c r="C997" s="2" t="s">
        <v>1791</v>
      </c>
      <c r="D997" s="4" t="s">
        <v>1792</v>
      </c>
    </row>
    <row r="998">
      <c r="A998" s="3">
        <v>26531.0</v>
      </c>
      <c r="B998" s="2" t="s">
        <v>345</v>
      </c>
      <c r="C998" s="2" t="s">
        <v>333</v>
      </c>
      <c r="D998" s="4" t="s">
        <v>1793</v>
      </c>
    </row>
    <row r="999">
      <c r="A999" s="3">
        <v>26532.0</v>
      </c>
      <c r="B999" s="2" t="s">
        <v>345</v>
      </c>
      <c r="C999" s="2" t="s">
        <v>1794</v>
      </c>
      <c r="D999" s="4" t="s">
        <v>1795</v>
      </c>
    </row>
    <row r="1000">
      <c r="A1000" s="3">
        <v>26533.0</v>
      </c>
      <c r="B1000" s="2" t="s">
        <v>345</v>
      </c>
      <c r="C1000" s="2" t="s">
        <v>1796</v>
      </c>
      <c r="D1000" s="4" t="s">
        <v>1797</v>
      </c>
    </row>
    <row r="1001">
      <c r="A1001" s="3">
        <v>26534.0</v>
      </c>
      <c r="B1001" s="2" t="s">
        <v>345</v>
      </c>
      <c r="C1001" s="2" t="s">
        <v>1798</v>
      </c>
      <c r="D1001" s="4" t="s">
        <v>1799</v>
      </c>
    </row>
    <row r="1002">
      <c r="A1002" s="3">
        <v>26535.0</v>
      </c>
      <c r="B1002" s="2" t="s">
        <v>345</v>
      </c>
      <c r="C1002" s="2" t="s">
        <v>1800</v>
      </c>
      <c r="D1002" s="4" t="s">
        <v>1801</v>
      </c>
    </row>
    <row r="1003">
      <c r="A1003" s="3">
        <v>26536.0</v>
      </c>
      <c r="B1003" s="2" t="s">
        <v>345</v>
      </c>
      <c r="C1003" s="2" t="s">
        <v>1802</v>
      </c>
      <c r="D1003" s="4" t="s">
        <v>1803</v>
      </c>
    </row>
    <row r="1004">
      <c r="A1004" s="3">
        <v>26537.0</v>
      </c>
      <c r="B1004" s="2" t="s">
        <v>345</v>
      </c>
      <c r="C1004" s="2" t="s">
        <v>1804</v>
      </c>
      <c r="D1004" s="4" t="s">
        <v>1805</v>
      </c>
    </row>
    <row r="1005">
      <c r="A1005" s="3">
        <v>26538.0</v>
      </c>
      <c r="B1005" s="2" t="s">
        <v>345</v>
      </c>
      <c r="C1005" s="2" t="s">
        <v>1806</v>
      </c>
      <c r="D1005" s="4" t="s">
        <v>1807</v>
      </c>
    </row>
    <row r="1006">
      <c r="A1006" s="3">
        <v>26539.0</v>
      </c>
      <c r="B1006" s="2" t="s">
        <v>345</v>
      </c>
      <c r="C1006" s="2" t="s">
        <v>1808</v>
      </c>
      <c r="D1006" s="4" t="s">
        <v>1809</v>
      </c>
    </row>
    <row r="1007">
      <c r="A1007" s="3">
        <v>26540.0</v>
      </c>
      <c r="B1007" s="2" t="s">
        <v>345</v>
      </c>
      <c r="C1007" s="2" t="s">
        <v>1810</v>
      </c>
      <c r="D1007" s="4" t="s">
        <v>1811</v>
      </c>
    </row>
    <row r="1008">
      <c r="A1008" s="3">
        <v>26542.0</v>
      </c>
      <c r="B1008" s="2" t="s">
        <v>803</v>
      </c>
      <c r="C1008" s="2" t="s">
        <v>1812</v>
      </c>
      <c r="D1008" s="4" t="s">
        <v>1813</v>
      </c>
    </row>
    <row r="1009">
      <c r="A1009" s="1" t="s">
        <v>1814</v>
      </c>
      <c r="B1009" s="2" t="s">
        <v>803</v>
      </c>
      <c r="C1009" s="2" t="s">
        <v>1815</v>
      </c>
      <c r="D1009" s="4" t="s">
        <v>1816</v>
      </c>
    </row>
    <row r="1010">
      <c r="A1010" s="1" t="s">
        <v>1814</v>
      </c>
      <c r="B1010" s="2" t="s">
        <v>803</v>
      </c>
      <c r="C1010" s="2" t="s">
        <v>1817</v>
      </c>
      <c r="D1010" s="4" t="s">
        <v>1818</v>
      </c>
    </row>
    <row r="1011">
      <c r="A1011" s="1" t="s">
        <v>1814</v>
      </c>
      <c r="B1011" s="2" t="s">
        <v>803</v>
      </c>
      <c r="C1011" s="2" t="s">
        <v>623</v>
      </c>
      <c r="D1011" s="4" t="s">
        <v>1819</v>
      </c>
    </row>
    <row r="1012">
      <c r="A1012" s="1" t="s">
        <v>1820</v>
      </c>
      <c r="B1012" s="2" t="s">
        <v>803</v>
      </c>
      <c r="C1012" s="2" t="s">
        <v>1821</v>
      </c>
      <c r="D1012" s="4" t="s">
        <v>1822</v>
      </c>
    </row>
    <row r="1013">
      <c r="A1013" s="1" t="s">
        <v>1823</v>
      </c>
      <c r="B1013" s="2" t="s">
        <v>803</v>
      </c>
      <c r="C1013" s="2" t="s">
        <v>455</v>
      </c>
      <c r="D1013" s="4" t="s">
        <v>1824</v>
      </c>
    </row>
    <row r="1014">
      <c r="A1014" s="1" t="s">
        <v>1825</v>
      </c>
      <c r="B1014" s="2" t="s">
        <v>803</v>
      </c>
      <c r="C1014" s="2" t="s">
        <v>457</v>
      </c>
      <c r="D1014" s="4" t="s">
        <v>1826</v>
      </c>
    </row>
    <row r="1015">
      <c r="A1015" s="1" t="s">
        <v>1827</v>
      </c>
      <c r="B1015" s="2" t="s">
        <v>803</v>
      </c>
      <c r="C1015" s="2" t="s">
        <v>1828</v>
      </c>
      <c r="D1015" s="4" t="s">
        <v>1829</v>
      </c>
    </row>
    <row r="1016">
      <c r="A1016" s="1" t="s">
        <v>1830</v>
      </c>
      <c r="B1016" s="2" t="s">
        <v>803</v>
      </c>
      <c r="C1016" s="2" t="s">
        <v>1831</v>
      </c>
      <c r="D1016" s="4" t="s">
        <v>1832</v>
      </c>
    </row>
    <row r="1017">
      <c r="A1017" s="1" t="s">
        <v>1833</v>
      </c>
      <c r="B1017" s="2" t="s">
        <v>803</v>
      </c>
      <c r="C1017" s="2" t="s">
        <v>1834</v>
      </c>
      <c r="D1017" s="4" t="s">
        <v>1835</v>
      </c>
    </row>
    <row r="1018">
      <c r="A1018" s="1" t="s">
        <v>1836</v>
      </c>
      <c r="B1018" s="2" t="s">
        <v>1837</v>
      </c>
      <c r="C1018" s="2" t="s">
        <v>14</v>
      </c>
      <c r="D1018" s="4" t="s">
        <v>1838</v>
      </c>
    </row>
    <row r="1019">
      <c r="A1019" s="1" t="s">
        <v>1839</v>
      </c>
      <c r="B1019" s="2" t="s">
        <v>1837</v>
      </c>
      <c r="C1019" s="2" t="s">
        <v>82</v>
      </c>
      <c r="D1019" s="4" t="s">
        <v>1840</v>
      </c>
    </row>
    <row r="1020">
      <c r="A1020" s="1" t="s">
        <v>1839</v>
      </c>
      <c r="B1020" s="2" t="s">
        <v>1837</v>
      </c>
      <c r="C1020" s="2" t="s">
        <v>358</v>
      </c>
      <c r="D1020" s="4" t="s">
        <v>1841</v>
      </c>
    </row>
    <row r="1021">
      <c r="A1021" s="1" t="s">
        <v>1839</v>
      </c>
      <c r="B1021" s="2" t="s">
        <v>1837</v>
      </c>
      <c r="C1021" s="2" t="s">
        <v>379</v>
      </c>
      <c r="D1021" s="4" t="s">
        <v>1842</v>
      </c>
    </row>
    <row r="1022">
      <c r="A1022" s="1" t="s">
        <v>1843</v>
      </c>
      <c r="B1022" s="2" t="s">
        <v>1844</v>
      </c>
      <c r="C1022" s="2" t="s">
        <v>82</v>
      </c>
      <c r="D1022" s="4" t="s">
        <v>1845</v>
      </c>
    </row>
    <row r="1023">
      <c r="A1023" s="1" t="s">
        <v>1846</v>
      </c>
      <c r="B1023" s="2" t="s">
        <v>1844</v>
      </c>
      <c r="C1023" s="2" t="s">
        <v>1362</v>
      </c>
      <c r="D1023" s="4" t="s">
        <v>1847</v>
      </c>
    </row>
    <row r="1024">
      <c r="A1024" s="1" t="s">
        <v>1848</v>
      </c>
      <c r="B1024" s="2" t="s">
        <v>1844</v>
      </c>
      <c r="C1024" s="2" t="s">
        <v>1849</v>
      </c>
      <c r="D1024" s="4" t="s">
        <v>1850</v>
      </c>
    </row>
    <row r="1025">
      <c r="A1025" s="1" t="s">
        <v>1848</v>
      </c>
      <c r="B1025" s="2" t="s">
        <v>1844</v>
      </c>
      <c r="C1025" s="2" t="s">
        <v>957</v>
      </c>
      <c r="D1025" s="4" t="s">
        <v>1851</v>
      </c>
    </row>
    <row r="1026">
      <c r="A1026" s="1" t="s">
        <v>1852</v>
      </c>
      <c r="B1026" s="2" t="s">
        <v>1844</v>
      </c>
      <c r="C1026" s="2" t="s">
        <v>379</v>
      </c>
      <c r="D1026" s="4" t="s">
        <v>1853</v>
      </c>
    </row>
    <row r="1027">
      <c r="A1027" s="1" t="s">
        <v>1852</v>
      </c>
      <c r="B1027" s="2" t="s">
        <v>1854</v>
      </c>
      <c r="C1027" s="2" t="s">
        <v>1855</v>
      </c>
      <c r="D1027" s="4" t="s">
        <v>1856</v>
      </c>
    </row>
    <row r="1028">
      <c r="A1028" s="1" t="s">
        <v>1857</v>
      </c>
      <c r="B1028" s="2" t="s">
        <v>345</v>
      </c>
      <c r="C1028" s="2" t="s">
        <v>1671</v>
      </c>
      <c r="D1028" s="4" t="s">
        <v>1858</v>
      </c>
    </row>
    <row r="1029">
      <c r="A1029" s="1" t="s">
        <v>1857</v>
      </c>
      <c r="B1029" s="2" t="s">
        <v>345</v>
      </c>
      <c r="C1029" s="2" t="s">
        <v>1859</v>
      </c>
      <c r="D1029" s="4" t="s">
        <v>1860</v>
      </c>
    </row>
    <row r="1030">
      <c r="A1030" s="1" t="s">
        <v>1857</v>
      </c>
      <c r="B1030" s="2" t="s">
        <v>345</v>
      </c>
      <c r="C1030" s="2" t="s">
        <v>1861</v>
      </c>
      <c r="D1030" s="4" t="s">
        <v>1862</v>
      </c>
    </row>
    <row r="1031">
      <c r="A1031" s="1" t="s">
        <v>1863</v>
      </c>
      <c r="B1031" s="2" t="s">
        <v>345</v>
      </c>
      <c r="C1031" s="2" t="s">
        <v>1671</v>
      </c>
      <c r="D1031" s="4" t="s">
        <v>1864</v>
      </c>
    </row>
    <row r="1032">
      <c r="A1032" s="1" t="s">
        <v>1865</v>
      </c>
      <c r="B1032" s="2" t="s">
        <v>345</v>
      </c>
      <c r="C1032" s="2" t="s">
        <v>1671</v>
      </c>
      <c r="D1032" s="4" t="s">
        <v>1866</v>
      </c>
    </row>
    <row r="1033">
      <c r="A1033" s="1" t="s">
        <v>1865</v>
      </c>
      <c r="B1033" s="2" t="s">
        <v>345</v>
      </c>
      <c r="C1033" s="2" t="s">
        <v>1867</v>
      </c>
      <c r="D1033" s="4" t="s">
        <v>1868</v>
      </c>
    </row>
    <row r="1034">
      <c r="A1034" s="1" t="s">
        <v>1869</v>
      </c>
      <c r="B1034" s="2" t="s">
        <v>345</v>
      </c>
      <c r="C1034" s="2" t="s">
        <v>1671</v>
      </c>
      <c r="D1034" s="4" t="s">
        <v>1870</v>
      </c>
    </row>
    <row r="1035">
      <c r="A1035" s="1" t="s">
        <v>1869</v>
      </c>
      <c r="B1035" s="2" t="s">
        <v>345</v>
      </c>
      <c r="C1035" s="2" t="s">
        <v>1871</v>
      </c>
      <c r="D1035" s="4" t="s">
        <v>1872</v>
      </c>
    </row>
    <row r="1036">
      <c r="A1036" s="1" t="s">
        <v>1873</v>
      </c>
      <c r="B1036" s="2" t="s">
        <v>345</v>
      </c>
      <c r="C1036" s="2" t="s">
        <v>1671</v>
      </c>
      <c r="D1036" s="4" t="s">
        <v>1874</v>
      </c>
    </row>
    <row r="1037">
      <c r="A1037" s="1" t="s">
        <v>1873</v>
      </c>
      <c r="B1037" s="2" t="s">
        <v>345</v>
      </c>
      <c r="C1037" s="2" t="s">
        <v>1875</v>
      </c>
      <c r="D1037" s="4" t="s">
        <v>1876</v>
      </c>
    </row>
    <row r="1038">
      <c r="A1038" s="1" t="s">
        <v>1877</v>
      </c>
      <c r="B1038" s="2" t="s">
        <v>345</v>
      </c>
      <c r="C1038" s="2" t="s">
        <v>1671</v>
      </c>
      <c r="D1038" s="4" t="s">
        <v>1878</v>
      </c>
    </row>
    <row r="1039">
      <c r="A1039" s="1" t="s">
        <v>1877</v>
      </c>
      <c r="B1039" s="2" t="s">
        <v>345</v>
      </c>
      <c r="C1039" s="2" t="s">
        <v>1879</v>
      </c>
      <c r="D1039" s="4" t="s">
        <v>1880</v>
      </c>
    </row>
    <row r="1040">
      <c r="A1040" s="1" t="s">
        <v>1881</v>
      </c>
      <c r="B1040" s="2" t="s">
        <v>345</v>
      </c>
      <c r="C1040" s="2" t="s">
        <v>1671</v>
      </c>
      <c r="D1040" s="4" t="s">
        <v>1882</v>
      </c>
    </row>
    <row r="1041">
      <c r="A1041" s="1" t="s">
        <v>1881</v>
      </c>
      <c r="B1041" s="2" t="s">
        <v>345</v>
      </c>
      <c r="C1041" s="2" t="s">
        <v>1883</v>
      </c>
      <c r="D1041" s="4" t="s">
        <v>1884</v>
      </c>
    </row>
    <row r="1042">
      <c r="A1042" s="1" t="s">
        <v>1885</v>
      </c>
      <c r="B1042" s="2" t="s">
        <v>345</v>
      </c>
      <c r="C1042" s="2" t="s">
        <v>1671</v>
      </c>
      <c r="D1042" s="4" t="s">
        <v>1886</v>
      </c>
    </row>
    <row r="1043">
      <c r="A1043" s="1" t="s">
        <v>1885</v>
      </c>
      <c r="B1043" s="2" t="s">
        <v>345</v>
      </c>
      <c r="C1043" s="2" t="s">
        <v>1887</v>
      </c>
      <c r="D1043" s="4" t="s">
        <v>1888</v>
      </c>
    </row>
    <row r="1044">
      <c r="A1044" s="1" t="s">
        <v>1889</v>
      </c>
      <c r="B1044" s="2" t="s">
        <v>345</v>
      </c>
      <c r="C1044" s="2" t="s">
        <v>1671</v>
      </c>
      <c r="D1044" s="4" t="s">
        <v>1890</v>
      </c>
    </row>
    <row r="1045">
      <c r="A1045" s="1" t="s">
        <v>1889</v>
      </c>
      <c r="B1045" s="2" t="s">
        <v>345</v>
      </c>
      <c r="C1045" s="2" t="s">
        <v>1891</v>
      </c>
      <c r="D1045" s="4" t="s">
        <v>1892</v>
      </c>
    </row>
    <row r="1046">
      <c r="A1046" s="1" t="s">
        <v>1889</v>
      </c>
      <c r="B1046" s="2" t="s">
        <v>345</v>
      </c>
      <c r="C1046" s="2" t="s">
        <v>1893</v>
      </c>
      <c r="D1046" s="4" t="s">
        <v>1894</v>
      </c>
    </row>
    <row r="1047">
      <c r="A1047" s="1" t="s">
        <v>1895</v>
      </c>
      <c r="B1047" s="2" t="s">
        <v>345</v>
      </c>
      <c r="C1047" s="2" t="s">
        <v>1671</v>
      </c>
      <c r="D1047" s="4" t="s">
        <v>1896</v>
      </c>
    </row>
    <row r="1048">
      <c r="A1048" s="1" t="s">
        <v>1895</v>
      </c>
      <c r="B1048" s="2" t="s">
        <v>345</v>
      </c>
      <c r="C1048" s="2" t="s">
        <v>1897</v>
      </c>
      <c r="D1048" s="4" t="s">
        <v>1898</v>
      </c>
    </row>
    <row r="1049">
      <c r="A1049" s="1" t="s">
        <v>1899</v>
      </c>
      <c r="B1049" s="2" t="s">
        <v>345</v>
      </c>
      <c r="C1049" s="2" t="s">
        <v>1671</v>
      </c>
      <c r="D1049" s="4" t="s">
        <v>1900</v>
      </c>
    </row>
    <row r="1050">
      <c r="A1050" s="1" t="s">
        <v>1899</v>
      </c>
      <c r="B1050" s="2" t="s">
        <v>345</v>
      </c>
      <c r="C1050" s="2" t="s">
        <v>1901</v>
      </c>
      <c r="D1050" s="4" t="s">
        <v>1902</v>
      </c>
    </row>
    <row r="1051">
      <c r="A1051" s="1" t="s">
        <v>1899</v>
      </c>
      <c r="B1051" s="2" t="s">
        <v>345</v>
      </c>
      <c r="C1051" s="2" t="s">
        <v>1903</v>
      </c>
      <c r="D1051" s="4" t="s">
        <v>1904</v>
      </c>
    </row>
    <row r="1052">
      <c r="A1052" s="1" t="s">
        <v>1905</v>
      </c>
      <c r="B1052" s="2" t="s">
        <v>345</v>
      </c>
      <c r="C1052" s="2" t="s">
        <v>1671</v>
      </c>
      <c r="D1052" s="4" t="s">
        <v>1906</v>
      </c>
    </row>
    <row r="1053">
      <c r="A1053" s="1" t="s">
        <v>1905</v>
      </c>
      <c r="B1053" s="2" t="s">
        <v>345</v>
      </c>
      <c r="C1053" s="2" t="s">
        <v>1907</v>
      </c>
      <c r="D1053" s="4" t="s">
        <v>1908</v>
      </c>
    </row>
    <row r="1054">
      <c r="A1054" s="1" t="s">
        <v>1905</v>
      </c>
      <c r="B1054" s="2" t="s">
        <v>345</v>
      </c>
      <c r="C1054" s="2" t="s">
        <v>1909</v>
      </c>
      <c r="D1054" s="4" t="s">
        <v>1910</v>
      </c>
    </row>
    <row r="1055">
      <c r="A1055" s="1" t="s">
        <v>1911</v>
      </c>
      <c r="B1055" s="2" t="s">
        <v>345</v>
      </c>
      <c r="C1055" s="2" t="s">
        <v>1671</v>
      </c>
      <c r="D1055" s="4" t="s">
        <v>1912</v>
      </c>
    </row>
    <row r="1056">
      <c r="A1056" s="1" t="s">
        <v>1911</v>
      </c>
      <c r="B1056" s="2" t="s">
        <v>345</v>
      </c>
      <c r="C1056" s="2" t="s">
        <v>1913</v>
      </c>
      <c r="D1056" s="4" t="s">
        <v>1914</v>
      </c>
    </row>
    <row r="1057">
      <c r="A1057" s="1" t="s">
        <v>1911</v>
      </c>
      <c r="B1057" s="2" t="s">
        <v>345</v>
      </c>
      <c r="C1057" s="2" t="s">
        <v>1915</v>
      </c>
      <c r="D1057" s="4" t="s">
        <v>1916</v>
      </c>
    </row>
    <row r="1058">
      <c r="A1058" s="1" t="s">
        <v>1911</v>
      </c>
      <c r="B1058" s="2" t="s">
        <v>345</v>
      </c>
      <c r="C1058" s="2" t="s">
        <v>673</v>
      </c>
      <c r="D1058" s="4" t="s">
        <v>1917</v>
      </c>
    </row>
    <row r="1059">
      <c r="A1059" s="1" t="s">
        <v>1918</v>
      </c>
      <c r="B1059" s="2" t="s">
        <v>345</v>
      </c>
      <c r="C1059" s="2" t="s">
        <v>1671</v>
      </c>
      <c r="D1059" s="4" t="s">
        <v>1919</v>
      </c>
    </row>
    <row r="1060">
      <c r="A1060" s="1" t="s">
        <v>1918</v>
      </c>
      <c r="B1060" s="2" t="s">
        <v>345</v>
      </c>
      <c r="C1060" s="2" t="s">
        <v>1920</v>
      </c>
      <c r="D1060" s="4" t="s">
        <v>1921</v>
      </c>
    </row>
    <row r="1061">
      <c r="A1061" s="1" t="s">
        <v>1918</v>
      </c>
      <c r="B1061" s="2" t="s">
        <v>345</v>
      </c>
      <c r="C1061" s="2" t="s">
        <v>1922</v>
      </c>
      <c r="D1061" s="4" t="s">
        <v>1923</v>
      </c>
    </row>
    <row r="1062">
      <c r="A1062" s="1" t="s">
        <v>1924</v>
      </c>
      <c r="B1062" s="2" t="s">
        <v>345</v>
      </c>
      <c r="C1062" s="2" t="s">
        <v>1671</v>
      </c>
      <c r="D1062" s="4" t="s">
        <v>1925</v>
      </c>
    </row>
    <row r="1063">
      <c r="A1063" s="1" t="s">
        <v>1924</v>
      </c>
      <c r="B1063" s="2" t="s">
        <v>345</v>
      </c>
      <c r="C1063" s="2" t="s">
        <v>1926</v>
      </c>
      <c r="D1063" s="4" t="s">
        <v>1927</v>
      </c>
    </row>
    <row r="1064">
      <c r="A1064" s="1" t="s">
        <v>1928</v>
      </c>
      <c r="B1064" s="2" t="s">
        <v>345</v>
      </c>
      <c r="C1064" s="2" t="s">
        <v>1671</v>
      </c>
      <c r="D1064" s="4" t="s">
        <v>1929</v>
      </c>
    </row>
    <row r="1065">
      <c r="A1065" s="1" t="s">
        <v>1928</v>
      </c>
      <c r="B1065" s="2" t="s">
        <v>345</v>
      </c>
      <c r="C1065" s="2" t="s">
        <v>673</v>
      </c>
      <c r="D1065" s="4" t="s">
        <v>1930</v>
      </c>
    </row>
    <row r="1066">
      <c r="A1066" s="1" t="s">
        <v>1928</v>
      </c>
      <c r="B1066" s="2" t="s">
        <v>345</v>
      </c>
      <c r="C1066" s="2" t="s">
        <v>379</v>
      </c>
      <c r="D1066" s="4" t="s">
        <v>1931</v>
      </c>
    </row>
    <row r="1067">
      <c r="A1067" s="1" t="s">
        <v>1928</v>
      </c>
      <c r="B1067" s="2" t="s">
        <v>345</v>
      </c>
      <c r="C1067" s="2" t="s">
        <v>1932</v>
      </c>
      <c r="D1067" s="4" t="s">
        <v>1933</v>
      </c>
    </row>
    <row r="1068">
      <c r="A1068" s="1" t="s">
        <v>1934</v>
      </c>
      <c r="B1068" s="2" t="s">
        <v>345</v>
      </c>
      <c r="C1068" s="2" t="s">
        <v>1671</v>
      </c>
      <c r="D1068" s="4" t="s">
        <v>1935</v>
      </c>
    </row>
    <row r="1069">
      <c r="A1069" s="1" t="s">
        <v>1934</v>
      </c>
      <c r="B1069" s="2" t="s">
        <v>345</v>
      </c>
      <c r="C1069" s="2" t="s">
        <v>1936</v>
      </c>
      <c r="D1069" s="4" t="s">
        <v>1937</v>
      </c>
    </row>
    <row r="1070">
      <c r="A1070" s="1" t="s">
        <v>1934</v>
      </c>
      <c r="B1070" s="2" t="s">
        <v>1938</v>
      </c>
      <c r="C1070" s="2" t="s">
        <v>82</v>
      </c>
      <c r="D1070" s="4" t="s">
        <v>1939</v>
      </c>
    </row>
    <row r="1071">
      <c r="A1071" s="3">
        <v>26573.0</v>
      </c>
      <c r="B1071" s="2" t="s">
        <v>345</v>
      </c>
      <c r="C1071" s="2" t="s">
        <v>1671</v>
      </c>
      <c r="D1071" s="4" t="s">
        <v>1940</v>
      </c>
    </row>
    <row r="1072">
      <c r="A1072" s="3">
        <v>26573.0</v>
      </c>
      <c r="B1072" s="2" t="s">
        <v>345</v>
      </c>
      <c r="C1072" s="2" t="s">
        <v>1941</v>
      </c>
      <c r="D1072" s="4" t="s">
        <v>1942</v>
      </c>
    </row>
    <row r="1073">
      <c r="A1073" s="3">
        <v>26574.0</v>
      </c>
      <c r="B1073" s="2" t="s">
        <v>345</v>
      </c>
      <c r="C1073" s="2" t="s">
        <v>1671</v>
      </c>
      <c r="D1073" s="4" t="s">
        <v>1943</v>
      </c>
    </row>
    <row r="1074">
      <c r="A1074" s="3">
        <v>26574.0</v>
      </c>
      <c r="B1074" s="2" t="s">
        <v>345</v>
      </c>
      <c r="C1074" s="2" t="s">
        <v>1944</v>
      </c>
      <c r="D1074" s="4" t="s">
        <v>1945</v>
      </c>
    </row>
    <row r="1075">
      <c r="A1075" s="3">
        <v>26574.0</v>
      </c>
      <c r="B1075" s="2" t="s">
        <v>345</v>
      </c>
      <c r="C1075" s="2" t="s">
        <v>1946</v>
      </c>
      <c r="D1075" s="4" t="s">
        <v>1947</v>
      </c>
    </row>
    <row r="1076">
      <c r="A1076" s="3">
        <v>26575.0</v>
      </c>
      <c r="B1076" s="2" t="s">
        <v>345</v>
      </c>
      <c r="C1076" s="2" t="s">
        <v>1671</v>
      </c>
      <c r="D1076" s="4" t="s">
        <v>1948</v>
      </c>
    </row>
    <row r="1077">
      <c r="A1077" s="3">
        <v>26575.0</v>
      </c>
      <c r="B1077" s="2" t="s">
        <v>345</v>
      </c>
      <c r="C1077" s="2" t="s">
        <v>1949</v>
      </c>
      <c r="D1077" s="4" t="s">
        <v>1950</v>
      </c>
    </row>
    <row r="1078">
      <c r="A1078" s="3">
        <v>26575.0</v>
      </c>
      <c r="B1078" s="2" t="s">
        <v>345</v>
      </c>
      <c r="C1078" s="2" t="s">
        <v>1951</v>
      </c>
      <c r="D1078" s="4" t="s">
        <v>1952</v>
      </c>
    </row>
    <row r="1079">
      <c r="A1079" s="3">
        <v>26576.0</v>
      </c>
      <c r="B1079" s="2" t="s">
        <v>345</v>
      </c>
      <c r="C1079" s="2" t="s">
        <v>1953</v>
      </c>
      <c r="D1079" s="4" t="s">
        <v>1954</v>
      </c>
    </row>
    <row r="1080">
      <c r="A1080" s="3">
        <v>26577.0</v>
      </c>
      <c r="B1080" s="2" t="s">
        <v>345</v>
      </c>
      <c r="C1080" s="2" t="s">
        <v>1955</v>
      </c>
      <c r="D1080" s="4" t="s">
        <v>1956</v>
      </c>
    </row>
    <row r="1081">
      <c r="A1081" s="3">
        <v>26577.0</v>
      </c>
      <c r="B1081" s="2" t="s">
        <v>345</v>
      </c>
      <c r="C1081" s="2" t="s">
        <v>1957</v>
      </c>
      <c r="D1081" s="4" t="s">
        <v>1958</v>
      </c>
    </row>
    <row r="1082">
      <c r="A1082" s="3">
        <v>26577.0</v>
      </c>
      <c r="B1082" s="2" t="s">
        <v>1959</v>
      </c>
      <c r="C1082" s="2" t="s">
        <v>1960</v>
      </c>
      <c r="D1082" s="4" t="s">
        <v>1961</v>
      </c>
    </row>
    <row r="1083">
      <c r="A1083" s="3">
        <v>26578.0</v>
      </c>
      <c r="B1083" s="2" t="s">
        <v>1959</v>
      </c>
      <c r="C1083" s="2" t="s">
        <v>1962</v>
      </c>
      <c r="D1083" s="4" t="s">
        <v>1963</v>
      </c>
    </row>
    <row r="1084">
      <c r="A1084" s="3">
        <v>26578.0</v>
      </c>
      <c r="B1084" s="2" t="s">
        <v>1959</v>
      </c>
      <c r="C1084" s="2" t="s">
        <v>1964</v>
      </c>
      <c r="D1084" s="4" t="s">
        <v>1965</v>
      </c>
    </row>
    <row r="1085">
      <c r="A1085" s="3">
        <v>26578.0</v>
      </c>
      <c r="B1085" s="2" t="s">
        <v>1959</v>
      </c>
      <c r="C1085" s="2" t="s">
        <v>379</v>
      </c>
      <c r="D1085" s="4" t="s">
        <v>1966</v>
      </c>
    </row>
    <row r="1086">
      <c r="A1086" s="3">
        <v>26579.0</v>
      </c>
      <c r="B1086" s="2" t="s">
        <v>1959</v>
      </c>
      <c r="C1086" s="2" t="s">
        <v>1671</v>
      </c>
      <c r="D1086" s="4" t="s">
        <v>1967</v>
      </c>
    </row>
    <row r="1087">
      <c r="A1087" s="3">
        <v>26580.0</v>
      </c>
      <c r="B1087" s="2" t="s">
        <v>1959</v>
      </c>
      <c r="C1087" s="2" t="s">
        <v>1671</v>
      </c>
      <c r="D1087" s="4" t="s">
        <v>1968</v>
      </c>
    </row>
    <row r="1088">
      <c r="A1088" s="3">
        <v>26581.0</v>
      </c>
      <c r="B1088" s="2" t="s">
        <v>1622</v>
      </c>
      <c r="C1088" s="2" t="s">
        <v>866</v>
      </c>
      <c r="D1088" s="4" t="s">
        <v>1969</v>
      </c>
    </row>
    <row r="1089">
      <c r="A1089" s="3">
        <v>26584.0</v>
      </c>
      <c r="B1089" s="2" t="s">
        <v>1970</v>
      </c>
      <c r="C1089" s="2" t="s">
        <v>14</v>
      </c>
      <c r="D1089" s="4" t="s">
        <v>1971</v>
      </c>
    </row>
    <row r="1090">
      <c r="A1090" s="3">
        <v>26586.0</v>
      </c>
      <c r="B1090" s="2" t="s">
        <v>1392</v>
      </c>
      <c r="C1090" s="2" t="s">
        <v>1972</v>
      </c>
      <c r="D1090" s="4" t="s">
        <v>1973</v>
      </c>
    </row>
    <row r="1091">
      <c r="A1091" s="3">
        <v>26586.0</v>
      </c>
      <c r="B1091" s="2" t="s">
        <v>1392</v>
      </c>
      <c r="C1091" s="2" t="s">
        <v>1001</v>
      </c>
      <c r="D1091" s="4" t="s">
        <v>1974</v>
      </c>
    </row>
    <row r="1092">
      <c r="A1092" s="3">
        <v>26587.0</v>
      </c>
      <c r="B1092" s="9" t="s">
        <v>1417</v>
      </c>
      <c r="C1092" s="2" t="s">
        <v>1671</v>
      </c>
      <c r="D1092" s="4" t="s">
        <v>1975</v>
      </c>
    </row>
    <row r="1093">
      <c r="A1093" s="3">
        <v>26587.0</v>
      </c>
      <c r="B1093" s="9" t="s">
        <v>1417</v>
      </c>
      <c r="C1093" s="2" t="s">
        <v>1976</v>
      </c>
      <c r="D1093" s="4" t="s">
        <v>1977</v>
      </c>
    </row>
    <row r="1094">
      <c r="A1094" s="3">
        <v>26588.0</v>
      </c>
      <c r="B1094" s="9" t="s">
        <v>1417</v>
      </c>
      <c r="C1094" s="2" t="s">
        <v>455</v>
      </c>
      <c r="D1094" s="4" t="s">
        <v>1978</v>
      </c>
    </row>
    <row r="1095">
      <c r="A1095" s="3">
        <v>26588.0</v>
      </c>
      <c r="B1095" s="9" t="s">
        <v>1417</v>
      </c>
      <c r="C1095" s="2" t="s">
        <v>1979</v>
      </c>
      <c r="D1095" s="4" t="s">
        <v>1980</v>
      </c>
    </row>
    <row r="1096">
      <c r="A1096" s="3">
        <v>26589.0</v>
      </c>
      <c r="B1096" s="9" t="s">
        <v>1417</v>
      </c>
      <c r="C1096" s="2" t="s">
        <v>457</v>
      </c>
      <c r="D1096" s="4" t="s">
        <v>1981</v>
      </c>
    </row>
    <row r="1097">
      <c r="A1097" s="3">
        <v>26589.0</v>
      </c>
      <c r="B1097" s="9" t="s">
        <v>1417</v>
      </c>
      <c r="C1097" s="2" t="s">
        <v>1979</v>
      </c>
      <c r="D1097" s="4" t="s">
        <v>1982</v>
      </c>
    </row>
    <row r="1098">
      <c r="A1098" s="3">
        <v>26590.0</v>
      </c>
      <c r="B1098" s="9" t="s">
        <v>1417</v>
      </c>
      <c r="C1098" s="2" t="s">
        <v>1828</v>
      </c>
      <c r="D1098" s="4" t="s">
        <v>1983</v>
      </c>
    </row>
    <row r="1099">
      <c r="A1099" s="3">
        <v>26590.0</v>
      </c>
      <c r="B1099" s="9" t="s">
        <v>1417</v>
      </c>
      <c r="C1099" s="2" t="s">
        <v>1979</v>
      </c>
      <c r="D1099" s="4" t="s">
        <v>1984</v>
      </c>
    </row>
    <row r="1100">
      <c r="A1100" s="3">
        <v>26591.0</v>
      </c>
      <c r="B1100" s="9" t="s">
        <v>1417</v>
      </c>
      <c r="C1100" s="2" t="s">
        <v>1831</v>
      </c>
      <c r="D1100" s="4" t="s">
        <v>1985</v>
      </c>
    </row>
    <row r="1101">
      <c r="A1101" s="3">
        <v>26591.0</v>
      </c>
      <c r="B1101" s="9" t="s">
        <v>1417</v>
      </c>
      <c r="C1101" s="2" t="s">
        <v>1986</v>
      </c>
      <c r="D1101" s="4" t="s">
        <v>1987</v>
      </c>
    </row>
    <row r="1102">
      <c r="A1102" s="3">
        <v>26592.0</v>
      </c>
      <c r="B1102" s="9" t="s">
        <v>1417</v>
      </c>
      <c r="C1102" s="2" t="s">
        <v>1834</v>
      </c>
      <c r="D1102" s="4" t="s">
        <v>1988</v>
      </c>
    </row>
    <row r="1103">
      <c r="A1103" s="3">
        <v>26592.0</v>
      </c>
      <c r="B1103" s="9" t="s">
        <v>1417</v>
      </c>
      <c r="C1103" s="2" t="s">
        <v>1979</v>
      </c>
      <c r="D1103" s="4" t="s">
        <v>1989</v>
      </c>
    </row>
    <row r="1104">
      <c r="A1104" s="3">
        <v>26593.0</v>
      </c>
      <c r="B1104" s="9" t="s">
        <v>1417</v>
      </c>
      <c r="C1104" s="2" t="s">
        <v>1990</v>
      </c>
      <c r="D1104" s="4" t="s">
        <v>1991</v>
      </c>
    </row>
    <row r="1105">
      <c r="A1105" s="3">
        <v>26593.0</v>
      </c>
      <c r="B1105" s="9" t="s">
        <v>1417</v>
      </c>
      <c r="C1105" s="2" t="s">
        <v>1979</v>
      </c>
      <c r="D1105" s="4" t="s">
        <v>1992</v>
      </c>
    </row>
    <row r="1106">
      <c r="A1106" s="3">
        <v>26594.0</v>
      </c>
      <c r="B1106" s="9" t="s">
        <v>1417</v>
      </c>
      <c r="C1106" s="2" t="s">
        <v>909</v>
      </c>
      <c r="D1106" s="4" t="s">
        <v>1993</v>
      </c>
    </row>
    <row r="1107">
      <c r="A1107" s="3">
        <v>26594.0</v>
      </c>
      <c r="B1107" s="9" t="s">
        <v>1417</v>
      </c>
      <c r="C1107" s="2" t="s">
        <v>1772</v>
      </c>
      <c r="D1107" s="4" t="s">
        <v>1994</v>
      </c>
    </row>
    <row r="1108">
      <c r="A1108" s="3">
        <v>26595.0</v>
      </c>
      <c r="B1108" s="9" t="s">
        <v>1417</v>
      </c>
      <c r="C1108" s="2" t="s">
        <v>1783</v>
      </c>
      <c r="D1108" s="4" t="s">
        <v>1995</v>
      </c>
    </row>
    <row r="1109">
      <c r="A1109" s="3">
        <v>26595.0</v>
      </c>
      <c r="B1109" s="9" t="s">
        <v>1417</v>
      </c>
      <c r="C1109" s="2" t="s">
        <v>1979</v>
      </c>
      <c r="D1109" s="4" t="s">
        <v>1996</v>
      </c>
    </row>
    <row r="1110">
      <c r="A1110" s="3">
        <v>26596.0</v>
      </c>
      <c r="B1110" s="9" t="s">
        <v>1417</v>
      </c>
      <c r="C1110" s="2" t="s">
        <v>1997</v>
      </c>
      <c r="D1110" s="4" t="s">
        <v>1998</v>
      </c>
    </row>
    <row r="1111">
      <c r="A1111" s="3">
        <v>26596.0</v>
      </c>
      <c r="B1111" s="9" t="s">
        <v>1417</v>
      </c>
      <c r="C1111" s="2" t="s">
        <v>1979</v>
      </c>
      <c r="D1111" s="4" t="s">
        <v>1999</v>
      </c>
    </row>
    <row r="1112">
      <c r="A1112" s="3">
        <v>26596.0</v>
      </c>
      <c r="B1112" s="9" t="s">
        <v>1417</v>
      </c>
      <c r="C1112" s="2" t="s">
        <v>379</v>
      </c>
      <c r="D1112" s="4" t="s">
        <v>2000</v>
      </c>
    </row>
    <row r="1113">
      <c r="A1113" s="3">
        <v>26597.0</v>
      </c>
      <c r="B1113" s="9" t="s">
        <v>1417</v>
      </c>
      <c r="C1113" s="2" t="s">
        <v>379</v>
      </c>
      <c r="D1113" s="4" t="s">
        <v>2001</v>
      </c>
    </row>
    <row r="1114">
      <c r="A1114" s="3">
        <v>26597.0</v>
      </c>
      <c r="B1114" s="9" t="s">
        <v>1417</v>
      </c>
      <c r="C1114" s="2" t="s">
        <v>379</v>
      </c>
      <c r="D1114" s="4" t="s">
        <v>2002</v>
      </c>
    </row>
    <row r="1115">
      <c r="A1115" s="3">
        <v>26597.0</v>
      </c>
      <c r="B1115" s="9" t="s">
        <v>1417</v>
      </c>
      <c r="C1115" s="2" t="s">
        <v>379</v>
      </c>
      <c r="D1115" s="4" t="s">
        <v>2003</v>
      </c>
    </row>
    <row r="1116">
      <c r="A1116" s="3">
        <v>26598.0</v>
      </c>
      <c r="B1116" s="9" t="s">
        <v>1417</v>
      </c>
      <c r="C1116" s="2" t="s">
        <v>1789</v>
      </c>
      <c r="D1116" s="4" t="s">
        <v>2004</v>
      </c>
    </row>
    <row r="1117">
      <c r="A1117" s="3">
        <v>26598.0</v>
      </c>
      <c r="B1117" s="9" t="s">
        <v>1417</v>
      </c>
      <c r="C1117" s="2" t="s">
        <v>1979</v>
      </c>
      <c r="D1117" s="4" t="s">
        <v>2005</v>
      </c>
    </row>
    <row r="1118">
      <c r="A1118" s="3">
        <v>26599.0</v>
      </c>
      <c r="B1118" s="9" t="s">
        <v>1417</v>
      </c>
      <c r="C1118" s="2" t="s">
        <v>1791</v>
      </c>
      <c r="D1118" s="4" t="s">
        <v>2006</v>
      </c>
    </row>
    <row r="1119">
      <c r="A1119" s="3">
        <v>26599.0</v>
      </c>
      <c r="B1119" s="9" t="s">
        <v>1417</v>
      </c>
      <c r="C1119" s="2" t="s">
        <v>379</v>
      </c>
      <c r="D1119" s="4" t="s">
        <v>2007</v>
      </c>
    </row>
    <row r="1120">
      <c r="A1120" s="3">
        <v>26599.0</v>
      </c>
      <c r="B1120" s="9" t="s">
        <v>1417</v>
      </c>
      <c r="C1120" s="2" t="s">
        <v>1979</v>
      </c>
      <c r="D1120" s="4" t="s">
        <v>2008</v>
      </c>
    </row>
    <row r="1121">
      <c r="A1121" s="3">
        <v>26600.0</v>
      </c>
      <c r="B1121" s="9" t="s">
        <v>1417</v>
      </c>
      <c r="C1121" s="2" t="s">
        <v>333</v>
      </c>
      <c r="D1121" s="4" t="s">
        <v>2009</v>
      </c>
    </row>
    <row r="1122">
      <c r="A1122" s="3">
        <v>26600.0</v>
      </c>
      <c r="B1122" s="9" t="s">
        <v>1417</v>
      </c>
      <c r="C1122" s="2" t="s">
        <v>1979</v>
      </c>
      <c r="D1122" s="4" t="s">
        <v>2010</v>
      </c>
    </row>
    <row r="1123">
      <c r="A1123" s="3">
        <v>26601.0</v>
      </c>
      <c r="B1123" s="9" t="s">
        <v>1417</v>
      </c>
      <c r="C1123" s="2" t="s">
        <v>1794</v>
      </c>
      <c r="D1123" s="4" t="s">
        <v>2011</v>
      </c>
    </row>
    <row r="1124">
      <c r="A1124" s="3">
        <v>26601.0</v>
      </c>
      <c r="B1124" s="9" t="s">
        <v>1417</v>
      </c>
      <c r="C1124" s="2" t="s">
        <v>1979</v>
      </c>
      <c r="D1124" s="4" t="s">
        <v>2012</v>
      </c>
    </row>
    <row r="1125">
      <c r="A1125" s="3">
        <v>26602.0</v>
      </c>
      <c r="B1125" s="9" t="s">
        <v>1417</v>
      </c>
      <c r="C1125" s="2" t="s">
        <v>1796</v>
      </c>
      <c r="D1125" s="4" t="s">
        <v>2013</v>
      </c>
    </row>
    <row r="1126">
      <c r="A1126" s="3">
        <v>26602.0</v>
      </c>
      <c r="B1126" s="9" t="s">
        <v>1417</v>
      </c>
      <c r="C1126" s="2" t="s">
        <v>1979</v>
      </c>
      <c r="D1126" s="4" t="s">
        <v>2014</v>
      </c>
    </row>
    <row r="1127">
      <c r="A1127" s="3">
        <v>26603.0</v>
      </c>
      <c r="B1127" s="9" t="s">
        <v>1417</v>
      </c>
      <c r="C1127" s="2" t="s">
        <v>1798</v>
      </c>
      <c r="D1127" s="4" t="s">
        <v>2015</v>
      </c>
    </row>
    <row r="1128">
      <c r="A1128" s="3">
        <v>26603.0</v>
      </c>
      <c r="B1128" s="9" t="s">
        <v>1417</v>
      </c>
      <c r="C1128" s="2" t="s">
        <v>1979</v>
      </c>
      <c r="D1128" s="4" t="s">
        <v>2016</v>
      </c>
    </row>
    <row r="1129">
      <c r="A1129" s="3">
        <v>26604.0</v>
      </c>
      <c r="B1129" s="9" t="s">
        <v>1417</v>
      </c>
      <c r="C1129" s="2" t="s">
        <v>2017</v>
      </c>
      <c r="D1129" s="4" t="s">
        <v>2018</v>
      </c>
    </row>
    <row r="1130">
      <c r="A1130" s="3">
        <v>26604.0</v>
      </c>
      <c r="B1130" s="9" t="s">
        <v>1417</v>
      </c>
      <c r="C1130" s="2" t="s">
        <v>379</v>
      </c>
      <c r="D1130" s="4" t="s">
        <v>2019</v>
      </c>
    </row>
    <row r="1131">
      <c r="A1131" s="3">
        <v>26604.0</v>
      </c>
      <c r="B1131" s="9" t="s">
        <v>1417</v>
      </c>
      <c r="C1131" s="2" t="s">
        <v>1979</v>
      </c>
      <c r="D1131" s="4" t="s">
        <v>2020</v>
      </c>
    </row>
    <row r="1132">
      <c r="A1132" s="3">
        <v>26605.0</v>
      </c>
      <c r="B1132" s="9" t="s">
        <v>1417</v>
      </c>
      <c r="C1132" s="2" t="s">
        <v>1802</v>
      </c>
      <c r="D1132" s="4" t="s">
        <v>2021</v>
      </c>
    </row>
    <row r="1133">
      <c r="A1133" s="3">
        <v>26605.0</v>
      </c>
      <c r="B1133" s="9" t="s">
        <v>1417</v>
      </c>
      <c r="C1133" s="2" t="s">
        <v>1979</v>
      </c>
      <c r="D1133" s="4" t="s">
        <v>2022</v>
      </c>
    </row>
    <row r="1134">
      <c r="A1134" s="3">
        <v>26606.0</v>
      </c>
      <c r="B1134" s="9" t="s">
        <v>1417</v>
      </c>
      <c r="C1134" s="2" t="s">
        <v>1804</v>
      </c>
      <c r="D1134" s="4" t="s">
        <v>2023</v>
      </c>
    </row>
    <row r="1135">
      <c r="A1135" s="3">
        <v>26606.0</v>
      </c>
      <c r="B1135" s="9" t="s">
        <v>1417</v>
      </c>
      <c r="C1135" s="2" t="s">
        <v>1979</v>
      </c>
      <c r="D1135" s="4" t="s">
        <v>2024</v>
      </c>
    </row>
    <row r="1136">
      <c r="A1136" s="3">
        <v>26607.0</v>
      </c>
      <c r="B1136" s="9" t="s">
        <v>1417</v>
      </c>
      <c r="C1136" s="2" t="s">
        <v>1806</v>
      </c>
      <c r="D1136" s="4" t="s">
        <v>2025</v>
      </c>
    </row>
    <row r="1137">
      <c r="A1137" s="3">
        <v>26607.0</v>
      </c>
      <c r="B1137" s="9" t="s">
        <v>1417</v>
      </c>
      <c r="C1137" s="2" t="s">
        <v>1979</v>
      </c>
      <c r="D1137" s="4" t="s">
        <v>2026</v>
      </c>
    </row>
    <row r="1138">
      <c r="A1138" s="3">
        <v>26608.0</v>
      </c>
      <c r="B1138" s="9" t="s">
        <v>1417</v>
      </c>
      <c r="C1138" s="2" t="s">
        <v>1808</v>
      </c>
      <c r="D1138" s="4" t="s">
        <v>2027</v>
      </c>
    </row>
    <row r="1139">
      <c r="A1139" s="3">
        <v>26608.0</v>
      </c>
      <c r="B1139" s="9" t="s">
        <v>1417</v>
      </c>
      <c r="C1139" s="2" t="s">
        <v>1979</v>
      </c>
      <c r="D1139" s="4" t="s">
        <v>2028</v>
      </c>
    </row>
    <row r="1140">
      <c r="A1140" s="3">
        <v>26609.0</v>
      </c>
      <c r="B1140" s="9" t="s">
        <v>1417</v>
      </c>
      <c r="C1140" s="2" t="s">
        <v>2029</v>
      </c>
      <c r="D1140" s="4" t="s">
        <v>2030</v>
      </c>
    </row>
    <row r="1141">
      <c r="A1141" s="3">
        <v>26609.0</v>
      </c>
      <c r="B1141" s="9" t="s">
        <v>1417</v>
      </c>
      <c r="C1141" s="2" t="s">
        <v>1979</v>
      </c>
      <c r="D1141" s="4" t="s">
        <v>2031</v>
      </c>
    </row>
    <row r="1142">
      <c r="A1142" s="3">
        <v>26610.0</v>
      </c>
      <c r="B1142" s="9" t="s">
        <v>1417</v>
      </c>
      <c r="C1142" s="2" t="s">
        <v>2032</v>
      </c>
      <c r="D1142" s="4" t="s">
        <v>2033</v>
      </c>
    </row>
    <row r="1143">
      <c r="A1143" s="3">
        <v>26610.0</v>
      </c>
      <c r="B1143" s="9" t="s">
        <v>1417</v>
      </c>
      <c r="C1143" s="2" t="s">
        <v>379</v>
      </c>
      <c r="D1143" s="4" t="s">
        <v>2034</v>
      </c>
    </row>
    <row r="1144">
      <c r="A1144" s="3">
        <v>26610.0</v>
      </c>
      <c r="B1144" s="9" t="s">
        <v>1417</v>
      </c>
      <c r="C1144" s="2" t="s">
        <v>1979</v>
      </c>
      <c r="D1144" s="4" t="s">
        <v>2035</v>
      </c>
    </row>
    <row r="1145">
      <c r="A1145" s="3">
        <v>26611.0</v>
      </c>
      <c r="B1145" s="9" t="s">
        <v>1417</v>
      </c>
      <c r="C1145" s="2" t="s">
        <v>2036</v>
      </c>
      <c r="D1145" s="4" t="s">
        <v>2037</v>
      </c>
    </row>
    <row r="1146">
      <c r="A1146" s="3">
        <v>26611.0</v>
      </c>
      <c r="B1146" s="9" t="s">
        <v>1417</v>
      </c>
      <c r="C1146" s="2" t="s">
        <v>1979</v>
      </c>
      <c r="D1146" s="4" t="s">
        <v>2038</v>
      </c>
    </row>
    <row r="1147">
      <c r="A1147" s="3">
        <v>26612.0</v>
      </c>
      <c r="B1147" s="9" t="s">
        <v>1417</v>
      </c>
      <c r="C1147" s="2" t="s">
        <v>2039</v>
      </c>
      <c r="D1147" s="4" t="s">
        <v>2040</v>
      </c>
    </row>
    <row r="1148">
      <c r="A1148" s="3">
        <v>26612.0</v>
      </c>
      <c r="B1148" s="9" t="s">
        <v>1417</v>
      </c>
      <c r="C1148" s="2" t="s">
        <v>1979</v>
      </c>
      <c r="D1148" s="4" t="s">
        <v>2041</v>
      </c>
    </row>
    <row r="1149">
      <c r="A1149" s="3">
        <v>26613.0</v>
      </c>
      <c r="B1149" s="9" t="s">
        <v>1417</v>
      </c>
      <c r="C1149" s="2" t="s">
        <v>1671</v>
      </c>
      <c r="D1149" s="4" t="s">
        <v>2042</v>
      </c>
    </row>
    <row r="1150">
      <c r="A1150" s="3">
        <v>26613.0</v>
      </c>
      <c r="B1150" s="9" t="s">
        <v>1417</v>
      </c>
      <c r="C1150" s="2" t="s">
        <v>2043</v>
      </c>
      <c r="D1150" s="4" t="s">
        <v>2044</v>
      </c>
    </row>
    <row r="1151">
      <c r="A1151" s="3">
        <v>26613.0</v>
      </c>
      <c r="B1151" s="9" t="s">
        <v>1417</v>
      </c>
      <c r="C1151" s="2" t="s">
        <v>1979</v>
      </c>
      <c r="D1151" s="4" t="s">
        <v>2045</v>
      </c>
    </row>
    <row r="1152">
      <c r="A1152" s="3">
        <v>26614.0</v>
      </c>
      <c r="B1152" s="9" t="s">
        <v>1417</v>
      </c>
      <c r="C1152" s="2" t="s">
        <v>2046</v>
      </c>
      <c r="D1152" s="4" t="s">
        <v>2047</v>
      </c>
    </row>
    <row r="1153">
      <c r="A1153" s="3">
        <v>26614.0</v>
      </c>
      <c r="B1153" s="9" t="s">
        <v>1417</v>
      </c>
      <c r="C1153" s="2" t="s">
        <v>1979</v>
      </c>
      <c r="D1153" s="4" t="s">
        <v>2048</v>
      </c>
    </row>
    <row r="1154">
      <c r="A1154" s="3">
        <v>26615.0</v>
      </c>
      <c r="B1154" s="9" t="s">
        <v>1417</v>
      </c>
      <c r="C1154" s="2" t="s">
        <v>2049</v>
      </c>
      <c r="D1154" s="4" t="s">
        <v>2050</v>
      </c>
    </row>
    <row r="1155">
      <c r="A1155" s="3">
        <v>26615.0</v>
      </c>
      <c r="B1155" s="9" t="s">
        <v>1417</v>
      </c>
      <c r="C1155" s="2" t="s">
        <v>1979</v>
      </c>
      <c r="D1155" s="4" t="s">
        <v>2051</v>
      </c>
    </row>
    <row r="1156">
      <c r="A1156" s="3">
        <v>26616.0</v>
      </c>
      <c r="B1156" s="9" t="s">
        <v>1417</v>
      </c>
      <c r="C1156" s="2" t="s">
        <v>2052</v>
      </c>
      <c r="D1156" s="4" t="s">
        <v>2053</v>
      </c>
    </row>
    <row r="1157">
      <c r="A1157" s="3">
        <v>26616.0</v>
      </c>
      <c r="B1157" s="9" t="s">
        <v>1417</v>
      </c>
      <c r="C1157" s="2" t="s">
        <v>1979</v>
      </c>
      <c r="D1157" s="4" t="s">
        <v>2054</v>
      </c>
    </row>
    <row r="1158">
      <c r="A1158" s="3">
        <v>26617.0</v>
      </c>
      <c r="B1158" s="9" t="s">
        <v>1417</v>
      </c>
      <c r="C1158" s="2" t="s">
        <v>2055</v>
      </c>
      <c r="D1158" s="4" t="s">
        <v>2056</v>
      </c>
    </row>
    <row r="1159">
      <c r="A1159" s="3">
        <v>26617.0</v>
      </c>
      <c r="B1159" s="9" t="s">
        <v>1417</v>
      </c>
      <c r="C1159" s="2" t="s">
        <v>1979</v>
      </c>
      <c r="D1159" s="4" t="s">
        <v>2057</v>
      </c>
    </row>
    <row r="1160">
      <c r="A1160" s="3">
        <v>26620.0</v>
      </c>
      <c r="B1160" s="2" t="s">
        <v>2058</v>
      </c>
      <c r="C1160" s="2" t="s">
        <v>11</v>
      </c>
      <c r="D1160" s="4" t="s">
        <v>2059</v>
      </c>
    </row>
    <row r="1161">
      <c r="A1161" s="3">
        <v>26621.0</v>
      </c>
      <c r="B1161" s="2" t="s">
        <v>2058</v>
      </c>
      <c r="C1161" s="2" t="s">
        <v>14</v>
      </c>
      <c r="D1161" s="4" t="s">
        <v>2060</v>
      </c>
    </row>
    <row r="1162">
      <c r="A1162" s="3">
        <v>26622.0</v>
      </c>
      <c r="B1162" s="2" t="s">
        <v>2058</v>
      </c>
      <c r="C1162" s="2" t="s">
        <v>14</v>
      </c>
      <c r="D1162" s="4" t="s">
        <v>2061</v>
      </c>
    </row>
    <row r="1163">
      <c r="A1163" s="3">
        <v>26624.0</v>
      </c>
      <c r="B1163" s="2" t="s">
        <v>2058</v>
      </c>
      <c r="C1163" s="2" t="s">
        <v>2062</v>
      </c>
      <c r="D1163" s="4" t="s">
        <v>2063</v>
      </c>
    </row>
    <row r="1164">
      <c r="A1164" s="3">
        <v>26625.0</v>
      </c>
      <c r="B1164" s="2" t="s">
        <v>2058</v>
      </c>
      <c r="C1164" s="2" t="s">
        <v>2064</v>
      </c>
      <c r="D1164" s="4" t="s">
        <v>2065</v>
      </c>
    </row>
    <row r="1165">
      <c r="A1165" s="3">
        <v>26626.0</v>
      </c>
      <c r="B1165" s="2" t="s">
        <v>2058</v>
      </c>
      <c r="C1165" s="2" t="s">
        <v>2066</v>
      </c>
      <c r="D1165" s="4" t="s">
        <v>2067</v>
      </c>
    </row>
    <row r="1166">
      <c r="A1166" s="3">
        <v>26628.0</v>
      </c>
      <c r="B1166" s="2" t="s">
        <v>2058</v>
      </c>
      <c r="C1166" s="2" t="s">
        <v>2068</v>
      </c>
      <c r="D1166" s="4" t="s">
        <v>2069</v>
      </c>
    </row>
    <row r="1167">
      <c r="A1167" s="3">
        <v>26629.0</v>
      </c>
      <c r="B1167" s="2" t="s">
        <v>2058</v>
      </c>
      <c r="C1167" s="2" t="s">
        <v>457</v>
      </c>
      <c r="D1167" s="4" t="s">
        <v>2070</v>
      </c>
    </row>
    <row r="1168">
      <c r="A1168" s="3">
        <v>26629.0</v>
      </c>
      <c r="B1168" s="2" t="s">
        <v>2058</v>
      </c>
      <c r="C1168" s="2" t="s">
        <v>2071</v>
      </c>
      <c r="D1168" s="4" t="s">
        <v>2072</v>
      </c>
    </row>
    <row r="1169">
      <c r="A1169" s="3">
        <v>26630.0</v>
      </c>
      <c r="B1169" s="2" t="s">
        <v>2058</v>
      </c>
      <c r="C1169" s="2" t="s">
        <v>2073</v>
      </c>
      <c r="D1169" s="4" t="s">
        <v>2074</v>
      </c>
    </row>
    <row r="1170">
      <c r="A1170" s="3">
        <v>26631.0</v>
      </c>
      <c r="B1170" s="2" t="s">
        <v>2058</v>
      </c>
      <c r="C1170" s="2" t="s">
        <v>2075</v>
      </c>
      <c r="D1170" s="4" t="s">
        <v>2076</v>
      </c>
    </row>
    <row r="1171">
      <c r="A1171" s="3">
        <v>26632.0</v>
      </c>
      <c r="B1171" s="2" t="s">
        <v>2058</v>
      </c>
      <c r="C1171" s="2" t="s">
        <v>2077</v>
      </c>
      <c r="D1171" s="4" t="s">
        <v>2078</v>
      </c>
    </row>
    <row r="1172">
      <c r="A1172" s="3">
        <v>26632.0</v>
      </c>
      <c r="B1172" s="2" t="s">
        <v>2058</v>
      </c>
      <c r="C1172" s="2" t="s">
        <v>2079</v>
      </c>
      <c r="D1172" s="4" t="s">
        <v>2080</v>
      </c>
    </row>
    <row r="1173">
      <c r="A1173" s="3">
        <v>26633.0</v>
      </c>
      <c r="B1173" s="2" t="s">
        <v>2058</v>
      </c>
      <c r="C1173" s="2" t="s">
        <v>585</v>
      </c>
      <c r="D1173" s="4" t="s">
        <v>2081</v>
      </c>
    </row>
    <row r="1174">
      <c r="A1174" s="3">
        <v>26638.0</v>
      </c>
      <c r="B1174" s="2" t="s">
        <v>2082</v>
      </c>
      <c r="C1174" s="2" t="s">
        <v>2083</v>
      </c>
      <c r="D1174" s="4" t="s">
        <v>2084</v>
      </c>
    </row>
    <row r="1175">
      <c r="A1175" s="3">
        <v>26639.0</v>
      </c>
      <c r="B1175" s="2" t="s">
        <v>2082</v>
      </c>
      <c r="C1175" s="2" t="s">
        <v>2085</v>
      </c>
      <c r="D1175" s="4" t="s">
        <v>2086</v>
      </c>
    </row>
    <row r="1176">
      <c r="A1176" s="3">
        <v>26640.0</v>
      </c>
      <c r="B1176" s="2" t="s">
        <v>2082</v>
      </c>
      <c r="C1176" s="2" t="s">
        <v>2085</v>
      </c>
      <c r="D1176" s="4" t="s">
        <v>2087</v>
      </c>
    </row>
    <row r="1177">
      <c r="A1177" s="3">
        <v>26641.0</v>
      </c>
      <c r="B1177" s="2" t="s">
        <v>2082</v>
      </c>
      <c r="C1177" s="2" t="s">
        <v>2088</v>
      </c>
      <c r="D1177" s="4" t="s">
        <v>2089</v>
      </c>
    </row>
    <row r="1178">
      <c r="A1178" s="3">
        <v>26641.0</v>
      </c>
      <c r="B1178" s="2" t="s">
        <v>2082</v>
      </c>
      <c r="C1178" s="2" t="s">
        <v>82</v>
      </c>
      <c r="D1178" s="4" t="s">
        <v>2090</v>
      </c>
    </row>
    <row r="1179">
      <c r="A1179" s="3">
        <v>26642.0</v>
      </c>
      <c r="B1179" s="2" t="s">
        <v>2082</v>
      </c>
      <c r="C1179" s="2" t="s">
        <v>2091</v>
      </c>
      <c r="D1179" s="4" t="s">
        <v>2092</v>
      </c>
    </row>
    <row r="1180">
      <c r="A1180" s="3">
        <v>26643.0</v>
      </c>
      <c r="B1180" s="2" t="s">
        <v>2082</v>
      </c>
      <c r="C1180" s="2" t="s">
        <v>2093</v>
      </c>
      <c r="D1180" s="4" t="s">
        <v>2094</v>
      </c>
    </row>
    <row r="1181">
      <c r="A1181" s="3">
        <v>26643.0</v>
      </c>
      <c r="B1181" s="2" t="s">
        <v>2082</v>
      </c>
      <c r="C1181" s="2" t="s">
        <v>1001</v>
      </c>
      <c r="D1181" s="4" t="s">
        <v>2095</v>
      </c>
    </row>
    <row r="1182">
      <c r="A1182" s="3">
        <v>26643.0</v>
      </c>
      <c r="B1182" s="2" t="s">
        <v>2082</v>
      </c>
      <c r="C1182" s="2" t="s">
        <v>1454</v>
      </c>
      <c r="D1182" s="4" t="s">
        <v>2096</v>
      </c>
    </row>
    <row r="1183">
      <c r="A1183" s="3">
        <v>26644.0</v>
      </c>
      <c r="B1183" s="2" t="s">
        <v>2082</v>
      </c>
      <c r="C1183" s="2" t="s">
        <v>2097</v>
      </c>
      <c r="D1183" s="4" t="s">
        <v>2098</v>
      </c>
    </row>
    <row r="1184">
      <c r="A1184" s="3">
        <v>26645.0</v>
      </c>
      <c r="B1184" s="2" t="s">
        <v>2082</v>
      </c>
      <c r="C1184" s="2" t="s">
        <v>2099</v>
      </c>
      <c r="D1184" s="4" t="s">
        <v>2100</v>
      </c>
    </row>
    <row r="1185">
      <c r="A1185" s="3">
        <v>26646.0</v>
      </c>
      <c r="B1185" s="2" t="s">
        <v>2082</v>
      </c>
      <c r="C1185" s="2" t="s">
        <v>369</v>
      </c>
      <c r="D1185" s="4" t="s">
        <v>2101</v>
      </c>
    </row>
    <row r="1186">
      <c r="A1186" s="3">
        <v>26647.0</v>
      </c>
      <c r="B1186" s="2" t="s">
        <v>2082</v>
      </c>
      <c r="C1186" s="2" t="s">
        <v>1297</v>
      </c>
      <c r="D1186" s="4" t="s">
        <v>2102</v>
      </c>
    </row>
    <row r="1187">
      <c r="A1187" s="3">
        <v>26652.0</v>
      </c>
      <c r="B1187" s="2" t="s">
        <v>980</v>
      </c>
      <c r="C1187" s="2" t="s">
        <v>2103</v>
      </c>
      <c r="D1187" s="4" t="s">
        <v>2104</v>
      </c>
    </row>
    <row r="1188">
      <c r="A1188" s="3">
        <v>26653.0</v>
      </c>
      <c r="B1188" s="2" t="s">
        <v>980</v>
      </c>
      <c r="C1188" s="2" t="s">
        <v>2105</v>
      </c>
      <c r="D1188" s="4" t="s">
        <v>2106</v>
      </c>
    </row>
    <row r="1189">
      <c r="A1189" s="3">
        <v>26659.0</v>
      </c>
      <c r="B1189" s="2" t="s">
        <v>980</v>
      </c>
      <c r="C1189" s="2" t="s">
        <v>1831</v>
      </c>
      <c r="D1189" s="4" t="s">
        <v>2107</v>
      </c>
    </row>
    <row r="1190">
      <c r="A1190" s="3">
        <v>26659.0</v>
      </c>
      <c r="B1190" s="2" t="s">
        <v>980</v>
      </c>
      <c r="C1190" s="2" t="s">
        <v>1979</v>
      </c>
      <c r="D1190" s="4" t="s">
        <v>2108</v>
      </c>
    </row>
    <row r="1191">
      <c r="A1191" s="3">
        <v>26660.0</v>
      </c>
      <c r="B1191" s="2" t="s">
        <v>980</v>
      </c>
      <c r="C1191" s="2" t="s">
        <v>379</v>
      </c>
      <c r="D1191" s="4" t="s">
        <v>2109</v>
      </c>
    </row>
    <row r="1192">
      <c r="A1192" s="3">
        <v>26660.0</v>
      </c>
      <c r="B1192" s="2" t="s">
        <v>980</v>
      </c>
      <c r="C1192" s="2" t="s">
        <v>1979</v>
      </c>
      <c r="D1192" s="4" t="s">
        <v>2110</v>
      </c>
    </row>
    <row r="1193">
      <c r="A1193" s="3">
        <v>26661.0</v>
      </c>
      <c r="B1193" s="2" t="s">
        <v>980</v>
      </c>
      <c r="C1193" s="2" t="s">
        <v>1990</v>
      </c>
      <c r="D1193" s="4" t="s">
        <v>2111</v>
      </c>
    </row>
    <row r="1194">
      <c r="A1194" s="3">
        <v>26661.0</v>
      </c>
      <c r="B1194" s="2" t="s">
        <v>980</v>
      </c>
      <c r="C1194" s="2" t="s">
        <v>1979</v>
      </c>
      <c r="D1194" s="4" t="s">
        <v>2112</v>
      </c>
    </row>
    <row r="1195">
      <c r="A1195" s="3">
        <v>26662.0</v>
      </c>
      <c r="B1195" s="2" t="s">
        <v>980</v>
      </c>
      <c r="C1195" s="2" t="s">
        <v>2113</v>
      </c>
      <c r="D1195" s="4" t="s">
        <v>2114</v>
      </c>
    </row>
    <row r="1196">
      <c r="A1196" s="3">
        <v>26662.0</v>
      </c>
      <c r="B1196" s="2" t="s">
        <v>980</v>
      </c>
      <c r="C1196" s="2" t="s">
        <v>2115</v>
      </c>
      <c r="D1196" s="4" t="s">
        <v>2116</v>
      </c>
    </row>
    <row r="1197">
      <c r="A1197" s="3">
        <v>26663.0</v>
      </c>
      <c r="B1197" s="2" t="s">
        <v>980</v>
      </c>
      <c r="C1197" s="2" t="s">
        <v>379</v>
      </c>
      <c r="D1197" s="4" t="s">
        <v>2117</v>
      </c>
    </row>
    <row r="1198">
      <c r="A1198" s="3">
        <v>26663.0</v>
      </c>
      <c r="B1198" s="2" t="s">
        <v>980</v>
      </c>
      <c r="C1198" s="2" t="s">
        <v>2118</v>
      </c>
      <c r="D1198" s="4" t="s">
        <v>2119</v>
      </c>
    </row>
    <row r="1199">
      <c r="A1199" s="3">
        <v>26664.0</v>
      </c>
      <c r="B1199" s="2" t="s">
        <v>980</v>
      </c>
      <c r="C1199" s="2" t="s">
        <v>2120</v>
      </c>
      <c r="D1199" s="4" t="s">
        <v>2121</v>
      </c>
    </row>
    <row r="1200">
      <c r="A1200" s="3">
        <v>26665.0</v>
      </c>
      <c r="B1200" s="2" t="s">
        <v>980</v>
      </c>
      <c r="C1200" s="2" t="s">
        <v>2122</v>
      </c>
      <c r="D1200" s="4" t="s">
        <v>2123</v>
      </c>
    </row>
    <row r="1201">
      <c r="A1201" s="3">
        <v>26665.0</v>
      </c>
      <c r="B1201" s="2" t="s">
        <v>980</v>
      </c>
      <c r="C1201" s="2" t="s">
        <v>1979</v>
      </c>
      <c r="D1201" s="4" t="s">
        <v>2124</v>
      </c>
    </row>
    <row r="1202">
      <c r="A1202" s="3">
        <v>26666.0</v>
      </c>
      <c r="B1202" s="2" t="s">
        <v>980</v>
      </c>
      <c r="C1202" s="2" t="s">
        <v>1979</v>
      </c>
      <c r="D1202" s="4" t="s">
        <v>2125</v>
      </c>
    </row>
    <row r="1203">
      <c r="A1203" s="3">
        <v>26667.0</v>
      </c>
      <c r="B1203" s="2" t="s">
        <v>980</v>
      </c>
      <c r="C1203" s="2" t="s">
        <v>2126</v>
      </c>
      <c r="D1203" s="4" t="s">
        <v>2127</v>
      </c>
    </row>
    <row r="1204">
      <c r="A1204" s="3">
        <v>26668.0</v>
      </c>
      <c r="B1204" s="2" t="s">
        <v>980</v>
      </c>
      <c r="C1204" s="2" t="s">
        <v>1979</v>
      </c>
      <c r="D1204" s="4" t="s">
        <v>2128</v>
      </c>
    </row>
    <row r="1205">
      <c r="A1205" s="3">
        <v>26669.0</v>
      </c>
      <c r="B1205" s="2" t="s">
        <v>980</v>
      </c>
      <c r="C1205" s="2" t="s">
        <v>1979</v>
      </c>
      <c r="D1205" s="4" t="s">
        <v>2129</v>
      </c>
    </row>
    <row r="1206">
      <c r="A1206" s="3">
        <v>26670.0</v>
      </c>
      <c r="B1206" s="2" t="s">
        <v>980</v>
      </c>
      <c r="C1206" s="2" t="s">
        <v>1979</v>
      </c>
      <c r="D1206" s="4" t="s">
        <v>2130</v>
      </c>
    </row>
    <row r="1207">
      <c r="A1207" s="3">
        <v>26671.0</v>
      </c>
      <c r="B1207" s="2" t="s">
        <v>980</v>
      </c>
      <c r="C1207" s="2" t="s">
        <v>1979</v>
      </c>
      <c r="D1207" s="4" t="s">
        <v>2131</v>
      </c>
    </row>
    <row r="1208">
      <c r="A1208" s="3">
        <v>26672.0</v>
      </c>
      <c r="B1208" s="2" t="s">
        <v>980</v>
      </c>
      <c r="C1208" s="2" t="s">
        <v>2132</v>
      </c>
      <c r="D1208" s="4" t="s">
        <v>2133</v>
      </c>
    </row>
    <row r="1209">
      <c r="A1209" s="3">
        <v>26672.0</v>
      </c>
      <c r="B1209" s="2" t="s">
        <v>980</v>
      </c>
      <c r="C1209" s="2" t="s">
        <v>1979</v>
      </c>
      <c r="D1209" s="4" t="s">
        <v>2134</v>
      </c>
    </row>
    <row r="1210">
      <c r="A1210" s="3">
        <v>26673.0</v>
      </c>
      <c r="B1210" s="2" t="s">
        <v>980</v>
      </c>
      <c r="C1210" s="2" t="s">
        <v>1979</v>
      </c>
      <c r="D1210" s="4" t="s">
        <v>2135</v>
      </c>
    </row>
    <row r="1211">
      <c r="A1211" s="3">
        <v>26674.0</v>
      </c>
      <c r="B1211" s="2" t="s">
        <v>980</v>
      </c>
      <c r="C1211" s="2" t="s">
        <v>1979</v>
      </c>
      <c r="D1211" s="4" t="s">
        <v>2136</v>
      </c>
    </row>
    <row r="1212">
      <c r="A1212" s="3">
        <v>26675.0</v>
      </c>
      <c r="B1212" s="2" t="s">
        <v>980</v>
      </c>
      <c r="C1212" s="2" t="s">
        <v>1979</v>
      </c>
      <c r="D1212" s="4" t="s">
        <v>2137</v>
      </c>
    </row>
    <row r="1213">
      <c r="A1213" s="3">
        <v>26676.0</v>
      </c>
      <c r="B1213" s="2" t="s">
        <v>980</v>
      </c>
      <c r="C1213" s="2" t="s">
        <v>2138</v>
      </c>
      <c r="D1213" s="4" t="s">
        <v>2139</v>
      </c>
    </row>
    <row r="1214">
      <c r="A1214" s="3">
        <v>26677.0</v>
      </c>
      <c r="B1214" s="2" t="s">
        <v>980</v>
      </c>
      <c r="C1214" s="2" t="s">
        <v>369</v>
      </c>
      <c r="D1214" s="4" t="s">
        <v>2140</v>
      </c>
    </row>
    <row r="1215">
      <c r="A1215" s="3">
        <v>26678.0</v>
      </c>
      <c r="B1215" s="2" t="s">
        <v>980</v>
      </c>
      <c r="C1215" s="2" t="s">
        <v>2141</v>
      </c>
      <c r="D1215" s="4" t="s">
        <v>2142</v>
      </c>
    </row>
    <row r="1216">
      <c r="A1216" s="3">
        <v>26689.0</v>
      </c>
      <c r="B1216" s="2" t="s">
        <v>977</v>
      </c>
      <c r="C1216" s="2" t="s">
        <v>1979</v>
      </c>
      <c r="D1216" s="4" t="s">
        <v>2143</v>
      </c>
    </row>
    <row r="1217">
      <c r="A1217" s="3">
        <v>26690.0</v>
      </c>
      <c r="B1217" s="2" t="s">
        <v>977</v>
      </c>
      <c r="C1217" s="2" t="s">
        <v>1644</v>
      </c>
      <c r="D1217" s="4" t="s">
        <v>2144</v>
      </c>
    </row>
    <row r="1218">
      <c r="A1218" s="3">
        <v>26691.0</v>
      </c>
      <c r="B1218" s="2" t="s">
        <v>977</v>
      </c>
      <c r="C1218" s="2" t="s">
        <v>369</v>
      </c>
      <c r="D1218" s="4" t="s">
        <v>2145</v>
      </c>
    </row>
    <row r="1219">
      <c r="A1219" s="3">
        <v>26691.0</v>
      </c>
      <c r="B1219" s="2" t="s">
        <v>977</v>
      </c>
      <c r="C1219" s="2" t="s">
        <v>1979</v>
      </c>
      <c r="D1219" s="4" t="s">
        <v>2146</v>
      </c>
    </row>
    <row r="1220">
      <c r="A1220" s="3">
        <v>26692.0</v>
      </c>
      <c r="B1220" s="2" t="s">
        <v>977</v>
      </c>
      <c r="C1220" s="2" t="s">
        <v>1979</v>
      </c>
      <c r="D1220" s="4" t="s">
        <v>2147</v>
      </c>
    </row>
    <row r="1221">
      <c r="A1221" s="3">
        <v>26693.0</v>
      </c>
      <c r="B1221" s="2" t="s">
        <v>977</v>
      </c>
      <c r="C1221" s="2" t="s">
        <v>2148</v>
      </c>
      <c r="D1221" s="4" t="s">
        <v>2149</v>
      </c>
    </row>
    <row r="1222">
      <c r="A1222" s="3">
        <v>26693.0</v>
      </c>
      <c r="B1222" s="2" t="s">
        <v>977</v>
      </c>
      <c r="C1222" s="2" t="s">
        <v>1979</v>
      </c>
      <c r="D1222" s="4" t="s">
        <v>2150</v>
      </c>
    </row>
    <row r="1223">
      <c r="A1223" s="3">
        <v>26694.0</v>
      </c>
      <c r="B1223" s="2" t="s">
        <v>977</v>
      </c>
      <c r="C1223" s="2" t="s">
        <v>2151</v>
      </c>
      <c r="D1223" s="4" t="s">
        <v>2152</v>
      </c>
    </row>
    <row r="1224">
      <c r="A1224" s="3">
        <v>26694.0</v>
      </c>
      <c r="B1224" s="2" t="s">
        <v>977</v>
      </c>
      <c r="C1224" s="2" t="s">
        <v>1979</v>
      </c>
      <c r="D1224" s="4" t="s">
        <v>2153</v>
      </c>
    </row>
    <row r="1225">
      <c r="A1225" s="3">
        <v>26695.0</v>
      </c>
      <c r="B1225" s="2" t="s">
        <v>977</v>
      </c>
      <c r="C1225" s="2" t="s">
        <v>2154</v>
      </c>
      <c r="D1225" s="4" t="s">
        <v>2155</v>
      </c>
    </row>
    <row r="1226">
      <c r="A1226" s="3">
        <v>26695.0</v>
      </c>
      <c r="B1226" s="2" t="s">
        <v>977</v>
      </c>
      <c r="C1226" s="2" t="s">
        <v>1979</v>
      </c>
      <c r="D1226" s="4" t="s">
        <v>2156</v>
      </c>
    </row>
    <row r="1227">
      <c r="A1227" s="3">
        <v>26706.0</v>
      </c>
      <c r="B1227" s="2" t="s">
        <v>1546</v>
      </c>
      <c r="C1227" s="2" t="s">
        <v>2157</v>
      </c>
      <c r="D1227" s="4" t="s">
        <v>2158</v>
      </c>
    </row>
    <row r="1228">
      <c r="A1228" s="3">
        <v>26707.0</v>
      </c>
      <c r="B1228" s="2" t="s">
        <v>1190</v>
      </c>
      <c r="C1228" s="2" t="s">
        <v>2159</v>
      </c>
      <c r="D1228" s="4" t="s">
        <v>2160</v>
      </c>
    </row>
    <row r="1229">
      <c r="A1229" s="3">
        <v>26709.0</v>
      </c>
      <c r="B1229" s="2" t="s">
        <v>1190</v>
      </c>
      <c r="C1229" s="2" t="s">
        <v>82</v>
      </c>
      <c r="D1229" s="4" t="s">
        <v>2161</v>
      </c>
    </row>
    <row r="1230">
      <c r="A1230" s="3">
        <v>26711.0</v>
      </c>
      <c r="B1230" s="2" t="s">
        <v>1190</v>
      </c>
      <c r="C1230" s="2" t="s">
        <v>2162</v>
      </c>
      <c r="D1230" s="4" t="s">
        <v>2163</v>
      </c>
    </row>
    <row r="1231">
      <c r="A1231" s="3">
        <v>26712.0</v>
      </c>
      <c r="B1231" s="2" t="s">
        <v>1190</v>
      </c>
      <c r="C1231" s="2" t="s">
        <v>899</v>
      </c>
      <c r="D1231" s="4" t="s">
        <v>2164</v>
      </c>
    </row>
    <row r="1232">
      <c r="A1232" s="3">
        <v>26715.0</v>
      </c>
      <c r="B1232" s="2" t="s">
        <v>1556</v>
      </c>
      <c r="C1232" s="2" t="s">
        <v>2165</v>
      </c>
      <c r="D1232" s="4" t="s">
        <v>2166</v>
      </c>
    </row>
    <row r="1233">
      <c r="A1233" s="3">
        <v>26716.0</v>
      </c>
      <c r="B1233" s="2" t="s">
        <v>1556</v>
      </c>
      <c r="C1233" s="2" t="s">
        <v>14</v>
      </c>
      <c r="D1233" s="4" t="s">
        <v>2167</v>
      </c>
    </row>
    <row r="1234">
      <c r="A1234" s="3">
        <v>26716.0</v>
      </c>
      <c r="B1234" s="2" t="s">
        <v>1556</v>
      </c>
      <c r="C1234" s="2" t="s">
        <v>2168</v>
      </c>
      <c r="D1234" s="4" t="s">
        <v>2169</v>
      </c>
    </row>
    <row r="1235">
      <c r="A1235" s="3">
        <v>26720.0</v>
      </c>
      <c r="B1235" s="2" t="s">
        <v>2170</v>
      </c>
      <c r="C1235" s="2" t="s">
        <v>367</v>
      </c>
      <c r="D1235" s="4" t="s">
        <v>2171</v>
      </c>
    </row>
    <row r="1236">
      <c r="A1236" s="3">
        <v>26720.0</v>
      </c>
      <c r="B1236" s="2" t="s">
        <v>2170</v>
      </c>
      <c r="C1236" s="2" t="s">
        <v>2172</v>
      </c>
      <c r="D1236" s="4" t="s">
        <v>2173</v>
      </c>
    </row>
    <row r="1237">
      <c r="A1237" s="3">
        <v>26721.0</v>
      </c>
      <c r="B1237" s="2" t="s">
        <v>2170</v>
      </c>
      <c r="C1237" s="2" t="s">
        <v>2174</v>
      </c>
      <c r="D1237" s="4" t="s">
        <v>2175</v>
      </c>
    </row>
    <row r="1238">
      <c r="A1238" s="3">
        <v>26721.0</v>
      </c>
      <c r="B1238" s="2" t="s">
        <v>2170</v>
      </c>
      <c r="C1238" s="2" t="s">
        <v>2176</v>
      </c>
      <c r="D1238" s="4" t="s">
        <v>2177</v>
      </c>
    </row>
    <row r="1239">
      <c r="A1239" s="3">
        <v>26721.0</v>
      </c>
      <c r="B1239" s="2" t="s">
        <v>2170</v>
      </c>
      <c r="C1239" s="2" t="s">
        <v>2178</v>
      </c>
      <c r="D1239" s="4" t="s">
        <v>2179</v>
      </c>
    </row>
    <row r="1240">
      <c r="A1240" s="3">
        <v>26722.0</v>
      </c>
      <c r="B1240" s="2" t="s">
        <v>2170</v>
      </c>
      <c r="C1240" s="2" t="s">
        <v>1764</v>
      </c>
      <c r="D1240" s="4" t="s">
        <v>2180</v>
      </c>
    </row>
    <row r="1241">
      <c r="A1241" s="3">
        <v>26722.0</v>
      </c>
      <c r="B1241" s="2" t="s">
        <v>2170</v>
      </c>
      <c r="C1241" s="2" t="s">
        <v>2181</v>
      </c>
      <c r="D1241" s="4" t="s">
        <v>2182</v>
      </c>
    </row>
    <row r="1242">
      <c r="A1242" s="3">
        <v>26722.0</v>
      </c>
      <c r="B1242" s="2" t="s">
        <v>2170</v>
      </c>
      <c r="C1242" s="2" t="s">
        <v>379</v>
      </c>
      <c r="D1242" s="4" t="s">
        <v>2183</v>
      </c>
    </row>
    <row r="1243">
      <c r="A1243" s="3">
        <v>26722.0</v>
      </c>
      <c r="B1243" s="2" t="s">
        <v>2170</v>
      </c>
      <c r="C1243" s="2" t="s">
        <v>379</v>
      </c>
      <c r="D1243" s="4" t="s">
        <v>2184</v>
      </c>
    </row>
    <row r="1244">
      <c r="A1244" s="3">
        <v>26723.0</v>
      </c>
      <c r="B1244" s="2" t="s">
        <v>2170</v>
      </c>
      <c r="C1244" s="2" t="s">
        <v>1671</v>
      </c>
      <c r="D1244" s="4" t="s">
        <v>2185</v>
      </c>
    </row>
    <row r="1245">
      <c r="A1245" s="3">
        <v>26723.0</v>
      </c>
      <c r="B1245" s="2" t="s">
        <v>2170</v>
      </c>
      <c r="C1245" s="2" t="s">
        <v>82</v>
      </c>
      <c r="D1245" s="4" t="s">
        <v>2186</v>
      </c>
    </row>
    <row r="1246">
      <c r="A1246" s="3">
        <v>26723.0</v>
      </c>
      <c r="B1246" s="2" t="s">
        <v>2170</v>
      </c>
      <c r="C1246" s="2" t="s">
        <v>379</v>
      </c>
      <c r="D1246" s="4" t="s">
        <v>2187</v>
      </c>
    </row>
    <row r="1247">
      <c r="A1247" s="3">
        <v>26723.0</v>
      </c>
      <c r="B1247" s="2" t="s">
        <v>2170</v>
      </c>
      <c r="C1247" s="2" t="s">
        <v>379</v>
      </c>
      <c r="D1247" s="4" t="s">
        <v>2188</v>
      </c>
    </row>
    <row r="1248">
      <c r="A1248" s="3">
        <v>26723.0</v>
      </c>
      <c r="B1248" s="2" t="s">
        <v>2170</v>
      </c>
      <c r="C1248" s="2" t="s">
        <v>2189</v>
      </c>
      <c r="D1248" s="4" t="s">
        <v>2190</v>
      </c>
    </row>
    <row r="1249">
      <c r="A1249" s="5">
        <v>26724.0</v>
      </c>
      <c r="B1249" s="2" t="s">
        <v>2170</v>
      </c>
      <c r="C1249" s="2" t="s">
        <v>2191</v>
      </c>
      <c r="D1249" s="4" t="s">
        <v>2192</v>
      </c>
    </row>
    <row r="1250">
      <c r="A1250" s="5">
        <v>26724.0</v>
      </c>
      <c r="B1250" s="2" t="s">
        <v>2170</v>
      </c>
      <c r="C1250" s="2" t="s">
        <v>2193</v>
      </c>
      <c r="D1250" s="4" t="s">
        <v>2194</v>
      </c>
    </row>
    <row r="1251">
      <c r="A1251" s="5">
        <v>26724.0</v>
      </c>
      <c r="B1251" s="2" t="s">
        <v>2170</v>
      </c>
      <c r="C1251" s="2" t="s">
        <v>82</v>
      </c>
      <c r="D1251" s="4" t="s">
        <v>2195</v>
      </c>
    </row>
    <row r="1252">
      <c r="A1252" s="5">
        <v>26725.0</v>
      </c>
      <c r="B1252" s="2" t="s">
        <v>2170</v>
      </c>
      <c r="C1252" s="2" t="s">
        <v>82</v>
      </c>
      <c r="D1252" s="4" t="s">
        <v>2196</v>
      </c>
    </row>
    <row r="1253">
      <c r="A1253" s="5">
        <v>26728.0</v>
      </c>
      <c r="B1253" s="2" t="s">
        <v>977</v>
      </c>
      <c r="C1253" s="2" t="s">
        <v>11</v>
      </c>
      <c r="D1253" s="4" t="s">
        <v>2197</v>
      </c>
    </row>
    <row r="1254">
      <c r="A1254" s="5">
        <v>26729.0</v>
      </c>
      <c r="B1254" s="2" t="s">
        <v>977</v>
      </c>
      <c r="C1254" s="2" t="s">
        <v>245</v>
      </c>
      <c r="D1254" s="4" t="s">
        <v>2198</v>
      </c>
    </row>
    <row r="1255">
      <c r="A1255" s="5">
        <v>26735.0</v>
      </c>
      <c r="B1255" s="2" t="s">
        <v>977</v>
      </c>
      <c r="C1255" s="2" t="s">
        <v>2199</v>
      </c>
      <c r="D1255" s="4" t="s">
        <v>2200</v>
      </c>
    </row>
    <row r="1256">
      <c r="A1256" s="5">
        <v>26736.0</v>
      </c>
      <c r="B1256" s="2" t="s">
        <v>977</v>
      </c>
      <c r="C1256" s="2" t="s">
        <v>2199</v>
      </c>
      <c r="D1256" s="4" t="s">
        <v>2201</v>
      </c>
    </row>
    <row r="1257">
      <c r="A1257" s="5">
        <v>26739.0</v>
      </c>
      <c r="B1257" s="2" t="s">
        <v>1485</v>
      </c>
      <c r="C1257" s="2" t="s">
        <v>2199</v>
      </c>
      <c r="D1257" s="4" t="s">
        <v>2202</v>
      </c>
    </row>
    <row r="1258">
      <c r="A1258" s="5">
        <v>26740.0</v>
      </c>
      <c r="B1258" s="2" t="s">
        <v>1485</v>
      </c>
      <c r="C1258" s="2" t="s">
        <v>2203</v>
      </c>
      <c r="D1258" s="4" t="s">
        <v>2204</v>
      </c>
    </row>
    <row r="1259">
      <c r="A1259" s="5">
        <v>26740.0</v>
      </c>
      <c r="B1259" s="2" t="s">
        <v>1485</v>
      </c>
      <c r="C1259" s="2" t="s">
        <v>2205</v>
      </c>
      <c r="D1259" s="4" t="s">
        <v>2206</v>
      </c>
    </row>
    <row r="1260">
      <c r="A1260" s="5">
        <v>26741.0</v>
      </c>
      <c r="B1260" s="2" t="s">
        <v>977</v>
      </c>
      <c r="C1260" s="2" t="s">
        <v>82</v>
      </c>
      <c r="D1260" s="4" t="s">
        <v>2207</v>
      </c>
    </row>
    <row r="1261">
      <c r="A1261" s="5">
        <v>26759.0</v>
      </c>
      <c r="B1261" s="2" t="s">
        <v>4</v>
      </c>
      <c r="C1261" s="2" t="s">
        <v>866</v>
      </c>
      <c r="D1261" s="4" t="s">
        <v>2208</v>
      </c>
    </row>
    <row r="1262">
      <c r="A1262" s="5">
        <v>26760.0</v>
      </c>
      <c r="B1262" s="2" t="s">
        <v>4</v>
      </c>
      <c r="C1262" s="2" t="s">
        <v>2209</v>
      </c>
      <c r="D1262" s="4" t="s">
        <v>2210</v>
      </c>
    </row>
    <row r="1263">
      <c r="A1263" s="5">
        <v>26761.0</v>
      </c>
      <c r="B1263" s="2" t="s">
        <v>4</v>
      </c>
      <c r="C1263" s="2" t="s">
        <v>2211</v>
      </c>
      <c r="D1263" s="4" t="s">
        <v>2212</v>
      </c>
    </row>
    <row r="1264">
      <c r="A1264" s="5">
        <v>26762.0</v>
      </c>
      <c r="B1264" s="2" t="s">
        <v>4</v>
      </c>
      <c r="C1264" s="2" t="s">
        <v>2213</v>
      </c>
      <c r="D1264" s="4" t="s">
        <v>2214</v>
      </c>
    </row>
    <row r="1265">
      <c r="A1265" s="5">
        <v>26762.0</v>
      </c>
      <c r="B1265" s="2" t="s">
        <v>4</v>
      </c>
      <c r="C1265" s="2" t="s">
        <v>2215</v>
      </c>
      <c r="D1265" s="4" t="s">
        <v>2216</v>
      </c>
    </row>
    <row r="1266">
      <c r="A1266" s="5">
        <v>26764.0</v>
      </c>
      <c r="B1266" s="2" t="s">
        <v>4</v>
      </c>
      <c r="C1266" s="2" t="s">
        <v>2217</v>
      </c>
      <c r="D1266" s="4" t="s">
        <v>2218</v>
      </c>
    </row>
    <row r="1267">
      <c r="A1267" s="5">
        <v>26765.0</v>
      </c>
      <c r="B1267" s="2" t="s">
        <v>4</v>
      </c>
      <c r="C1267" s="2" t="s">
        <v>14</v>
      </c>
      <c r="D1267" s="4" t="s">
        <v>2219</v>
      </c>
    </row>
    <row r="1268">
      <c r="A1268" s="5">
        <v>26766.0</v>
      </c>
      <c r="B1268" s="2" t="s">
        <v>4</v>
      </c>
      <c r="C1268" s="2" t="s">
        <v>2220</v>
      </c>
      <c r="D1268" s="4" t="s">
        <v>2221</v>
      </c>
    </row>
    <row r="1269">
      <c r="A1269" s="5">
        <v>26767.0</v>
      </c>
      <c r="B1269" s="2" t="s">
        <v>4</v>
      </c>
      <c r="C1269" s="2" t="s">
        <v>2222</v>
      </c>
      <c r="D1269" s="4" t="s">
        <v>2223</v>
      </c>
    </row>
    <row r="1270">
      <c r="A1270" s="5">
        <v>26767.0</v>
      </c>
      <c r="B1270" s="2" t="s">
        <v>345</v>
      </c>
      <c r="C1270" s="2" t="s">
        <v>1211</v>
      </c>
      <c r="D1270" s="4" t="s">
        <v>2224</v>
      </c>
    </row>
    <row r="1271">
      <c r="A1271" s="5">
        <v>26768.0</v>
      </c>
      <c r="B1271" s="2" t="s">
        <v>345</v>
      </c>
      <c r="C1271" s="2" t="s">
        <v>2225</v>
      </c>
      <c r="D1271" s="4" t="s">
        <v>2226</v>
      </c>
    </row>
    <row r="1272">
      <c r="A1272" s="5">
        <v>26769.0</v>
      </c>
      <c r="B1272" s="2" t="s">
        <v>345</v>
      </c>
      <c r="C1272" s="2" t="s">
        <v>2227</v>
      </c>
      <c r="D1272" s="4" t="s">
        <v>2228</v>
      </c>
    </row>
    <row r="1273">
      <c r="A1273" s="5">
        <v>26770.0</v>
      </c>
      <c r="B1273" s="2" t="s">
        <v>345</v>
      </c>
      <c r="C1273" s="2" t="s">
        <v>2229</v>
      </c>
      <c r="D1273" s="4" t="s">
        <v>2230</v>
      </c>
    </row>
    <row r="1274">
      <c r="A1274" s="5">
        <v>26770.0</v>
      </c>
      <c r="B1274" s="2" t="s">
        <v>345</v>
      </c>
      <c r="C1274" s="2" t="s">
        <v>623</v>
      </c>
      <c r="D1274" s="4" t="s">
        <v>2231</v>
      </c>
    </row>
    <row r="1275">
      <c r="A1275" s="5">
        <v>26771.0</v>
      </c>
      <c r="B1275" s="2" t="s">
        <v>345</v>
      </c>
      <c r="C1275" s="2" t="s">
        <v>2232</v>
      </c>
      <c r="D1275" s="4" t="s">
        <v>2233</v>
      </c>
    </row>
    <row r="1276">
      <c r="A1276" s="5">
        <v>26772.0</v>
      </c>
      <c r="B1276" s="2" t="s">
        <v>345</v>
      </c>
      <c r="C1276" s="2" t="s">
        <v>2234</v>
      </c>
      <c r="D1276" s="4" t="s">
        <v>2235</v>
      </c>
    </row>
    <row r="1277">
      <c r="A1277" s="5">
        <v>26773.0</v>
      </c>
      <c r="B1277" s="2" t="s">
        <v>345</v>
      </c>
      <c r="C1277" s="2" t="s">
        <v>2236</v>
      </c>
      <c r="D1277" s="4" t="s">
        <v>2237</v>
      </c>
    </row>
    <row r="1278">
      <c r="A1278" s="5">
        <v>26773.0</v>
      </c>
      <c r="B1278" s="2" t="s">
        <v>345</v>
      </c>
      <c r="C1278" s="2" t="s">
        <v>2238</v>
      </c>
      <c r="D1278" s="4" t="s">
        <v>2239</v>
      </c>
    </row>
    <row r="1279">
      <c r="A1279" s="5">
        <v>26774.0</v>
      </c>
      <c r="B1279" s="2" t="s">
        <v>345</v>
      </c>
      <c r="C1279" s="2" t="s">
        <v>1671</v>
      </c>
      <c r="D1279" s="4" t="s">
        <v>2240</v>
      </c>
    </row>
    <row r="1280">
      <c r="A1280" s="5">
        <v>26774.0</v>
      </c>
      <c r="B1280" s="2" t="s">
        <v>345</v>
      </c>
      <c r="C1280" s="2" t="s">
        <v>2241</v>
      </c>
      <c r="D1280" s="4" t="s">
        <v>2242</v>
      </c>
    </row>
    <row r="1281">
      <c r="A1281" s="5">
        <v>26775.0</v>
      </c>
      <c r="B1281" s="2" t="s">
        <v>345</v>
      </c>
      <c r="C1281" s="2" t="s">
        <v>1671</v>
      </c>
      <c r="D1281" s="4" t="s">
        <v>2243</v>
      </c>
    </row>
    <row r="1282">
      <c r="A1282" s="5">
        <v>26775.0</v>
      </c>
      <c r="B1282" s="2" t="s">
        <v>345</v>
      </c>
      <c r="C1282" s="2" t="s">
        <v>2244</v>
      </c>
      <c r="D1282" s="4" t="s">
        <v>2245</v>
      </c>
    </row>
    <row r="1283">
      <c r="A1283" s="5">
        <v>26776.0</v>
      </c>
      <c r="B1283" s="2" t="s">
        <v>345</v>
      </c>
      <c r="C1283" s="2" t="s">
        <v>2246</v>
      </c>
      <c r="D1283" s="4" t="s">
        <v>2247</v>
      </c>
    </row>
    <row r="1284">
      <c r="A1284" s="5">
        <v>26777.0</v>
      </c>
      <c r="B1284" s="2" t="s">
        <v>345</v>
      </c>
      <c r="C1284" s="2" t="s">
        <v>2248</v>
      </c>
      <c r="D1284" s="4" t="s">
        <v>2249</v>
      </c>
    </row>
    <row r="1285">
      <c r="A1285" s="5">
        <v>26778.0</v>
      </c>
      <c r="B1285" s="2" t="s">
        <v>345</v>
      </c>
      <c r="C1285" s="2" t="s">
        <v>2250</v>
      </c>
      <c r="D1285" s="4" t="s">
        <v>2251</v>
      </c>
    </row>
    <row r="1286">
      <c r="A1286" s="5">
        <v>26779.0</v>
      </c>
      <c r="B1286" s="2" t="s">
        <v>345</v>
      </c>
      <c r="C1286" s="2" t="s">
        <v>1671</v>
      </c>
      <c r="D1286" s="4" t="s">
        <v>2252</v>
      </c>
    </row>
    <row r="1287">
      <c r="A1287" s="5">
        <v>26779.0</v>
      </c>
      <c r="B1287" s="2" t="s">
        <v>345</v>
      </c>
      <c r="C1287" s="2" t="s">
        <v>2253</v>
      </c>
      <c r="D1287" s="4" t="s">
        <v>2254</v>
      </c>
    </row>
    <row r="1288">
      <c r="A1288" s="5">
        <v>26780.0</v>
      </c>
      <c r="B1288" s="2" t="s">
        <v>345</v>
      </c>
      <c r="C1288" s="2" t="s">
        <v>1671</v>
      </c>
      <c r="D1288" s="4" t="s">
        <v>2255</v>
      </c>
    </row>
    <row r="1289">
      <c r="A1289" s="5">
        <v>26780.0</v>
      </c>
      <c r="B1289" s="2" t="s">
        <v>345</v>
      </c>
      <c r="C1289" s="2" t="s">
        <v>2256</v>
      </c>
      <c r="D1289" s="4" t="s">
        <v>2257</v>
      </c>
    </row>
    <row r="1290">
      <c r="A1290" s="5">
        <v>26781.0</v>
      </c>
      <c r="B1290" s="2" t="s">
        <v>345</v>
      </c>
      <c r="C1290" s="2" t="s">
        <v>1671</v>
      </c>
      <c r="D1290" s="4" t="s">
        <v>2258</v>
      </c>
    </row>
    <row r="1291">
      <c r="A1291" s="5">
        <v>26781.0</v>
      </c>
      <c r="B1291" s="2" t="s">
        <v>345</v>
      </c>
      <c r="C1291" s="2" t="s">
        <v>2259</v>
      </c>
      <c r="D1291" s="4" t="s">
        <v>2260</v>
      </c>
    </row>
    <row r="1292">
      <c r="A1292" s="5">
        <v>26782.0</v>
      </c>
      <c r="B1292" s="2" t="s">
        <v>345</v>
      </c>
      <c r="C1292" s="2" t="s">
        <v>1671</v>
      </c>
      <c r="D1292" s="4" t="s">
        <v>2261</v>
      </c>
    </row>
    <row r="1293">
      <c r="A1293" s="5">
        <v>26782.0</v>
      </c>
      <c r="B1293" s="2" t="s">
        <v>345</v>
      </c>
      <c r="C1293" s="2" t="s">
        <v>2262</v>
      </c>
      <c r="D1293" s="4" t="s">
        <v>2263</v>
      </c>
    </row>
    <row r="1294">
      <c r="A1294" s="5">
        <v>26783.0</v>
      </c>
      <c r="B1294" s="2" t="s">
        <v>345</v>
      </c>
      <c r="C1294" s="2" t="s">
        <v>1671</v>
      </c>
      <c r="D1294" s="4" t="s">
        <v>2264</v>
      </c>
    </row>
    <row r="1295">
      <c r="A1295" s="5">
        <v>26783.0</v>
      </c>
      <c r="B1295" s="2" t="s">
        <v>345</v>
      </c>
      <c r="C1295" s="2" t="s">
        <v>2265</v>
      </c>
      <c r="D1295" s="4" t="s">
        <v>2266</v>
      </c>
    </row>
    <row r="1296">
      <c r="A1296" s="5">
        <v>26784.0</v>
      </c>
      <c r="B1296" s="2" t="s">
        <v>345</v>
      </c>
      <c r="C1296" s="2" t="s">
        <v>1671</v>
      </c>
      <c r="D1296" s="4" t="s">
        <v>2267</v>
      </c>
    </row>
    <row r="1297">
      <c r="A1297" s="5">
        <v>26784.0</v>
      </c>
      <c r="B1297" s="2" t="s">
        <v>345</v>
      </c>
      <c r="C1297" s="2" t="s">
        <v>2268</v>
      </c>
      <c r="D1297" s="4" t="s">
        <v>2269</v>
      </c>
    </row>
    <row r="1298">
      <c r="A1298" s="7">
        <v>26785.0</v>
      </c>
      <c r="B1298" s="2" t="s">
        <v>345</v>
      </c>
      <c r="C1298" s="2" t="s">
        <v>1671</v>
      </c>
      <c r="D1298" s="4" t="s">
        <v>2270</v>
      </c>
    </row>
    <row r="1299">
      <c r="A1299" s="7">
        <v>26785.0</v>
      </c>
      <c r="B1299" s="2" t="s">
        <v>345</v>
      </c>
      <c r="C1299" s="2" t="s">
        <v>2271</v>
      </c>
      <c r="D1299" s="4" t="s">
        <v>2272</v>
      </c>
    </row>
    <row r="1300">
      <c r="A1300" s="7">
        <v>26785.0</v>
      </c>
      <c r="B1300" s="2" t="s">
        <v>345</v>
      </c>
      <c r="C1300" s="2" t="s">
        <v>623</v>
      </c>
      <c r="D1300" s="4" t="s">
        <v>2273</v>
      </c>
    </row>
    <row r="1301">
      <c r="A1301" s="7">
        <v>26786.0</v>
      </c>
      <c r="B1301" s="2" t="s">
        <v>345</v>
      </c>
      <c r="C1301" s="2" t="s">
        <v>1671</v>
      </c>
      <c r="D1301" s="4" t="s">
        <v>2274</v>
      </c>
    </row>
    <row r="1302">
      <c r="A1302" s="7">
        <v>26786.0</v>
      </c>
      <c r="B1302" s="2" t="s">
        <v>345</v>
      </c>
      <c r="C1302" s="2" t="s">
        <v>2275</v>
      </c>
      <c r="D1302" s="4" t="s">
        <v>2276</v>
      </c>
    </row>
    <row r="1303">
      <c r="A1303" s="7">
        <v>26787.0</v>
      </c>
      <c r="B1303" s="2" t="s">
        <v>345</v>
      </c>
      <c r="C1303" s="2" t="s">
        <v>1671</v>
      </c>
      <c r="D1303" s="4" t="s">
        <v>2277</v>
      </c>
    </row>
    <row r="1304">
      <c r="A1304" s="7">
        <v>26787.0</v>
      </c>
      <c r="B1304" s="2" t="s">
        <v>345</v>
      </c>
      <c r="C1304" s="2" t="s">
        <v>2278</v>
      </c>
      <c r="D1304" s="4" t="s">
        <v>2279</v>
      </c>
    </row>
    <row r="1305">
      <c r="A1305" s="7">
        <v>26788.0</v>
      </c>
      <c r="B1305" s="2" t="s">
        <v>345</v>
      </c>
      <c r="C1305" s="2" t="s">
        <v>1671</v>
      </c>
      <c r="D1305" s="4" t="s">
        <v>2280</v>
      </c>
    </row>
    <row r="1306">
      <c r="A1306" s="7">
        <v>26788.0</v>
      </c>
      <c r="B1306" s="2" t="s">
        <v>345</v>
      </c>
      <c r="C1306" s="2" t="s">
        <v>2281</v>
      </c>
      <c r="D1306" s="4" t="s">
        <v>2282</v>
      </c>
    </row>
    <row r="1307">
      <c r="A1307" s="7">
        <v>26789.0</v>
      </c>
      <c r="B1307" s="2" t="s">
        <v>345</v>
      </c>
      <c r="C1307" s="2" t="s">
        <v>1671</v>
      </c>
      <c r="D1307" s="4" t="s">
        <v>2283</v>
      </c>
    </row>
    <row r="1308">
      <c r="A1308" s="7">
        <v>26789.0</v>
      </c>
      <c r="B1308" s="2" t="s">
        <v>345</v>
      </c>
      <c r="C1308" s="2" t="s">
        <v>2284</v>
      </c>
      <c r="D1308" s="4" t="s">
        <v>2285</v>
      </c>
    </row>
    <row r="1309">
      <c r="A1309" s="7">
        <v>26790.0</v>
      </c>
      <c r="B1309" s="2" t="s">
        <v>345</v>
      </c>
      <c r="C1309" s="2" t="s">
        <v>2286</v>
      </c>
      <c r="D1309" s="4" t="s">
        <v>2287</v>
      </c>
    </row>
    <row r="1310">
      <c r="A1310" s="7">
        <v>26791.0</v>
      </c>
      <c r="B1310" s="2" t="s">
        <v>345</v>
      </c>
      <c r="C1310" s="2" t="s">
        <v>2288</v>
      </c>
      <c r="D1310" s="4" t="s">
        <v>2289</v>
      </c>
    </row>
    <row r="1311">
      <c r="A1311" s="7">
        <v>26792.0</v>
      </c>
      <c r="B1311" s="2" t="s">
        <v>345</v>
      </c>
      <c r="C1311" s="2" t="s">
        <v>2290</v>
      </c>
      <c r="D1311" s="4" t="s">
        <v>2291</v>
      </c>
    </row>
    <row r="1312">
      <c r="A1312" s="7">
        <v>26793.0</v>
      </c>
      <c r="B1312" s="2" t="s">
        <v>345</v>
      </c>
      <c r="C1312" s="2" t="s">
        <v>1671</v>
      </c>
      <c r="D1312" s="4" t="s">
        <v>2292</v>
      </c>
    </row>
    <row r="1313">
      <c r="A1313" s="7">
        <v>26793.0</v>
      </c>
      <c r="B1313" s="2" t="s">
        <v>345</v>
      </c>
      <c r="C1313" s="2" t="s">
        <v>2293</v>
      </c>
      <c r="D1313" s="4" t="s">
        <v>2294</v>
      </c>
    </row>
    <row r="1314">
      <c r="A1314" s="7">
        <v>26794.0</v>
      </c>
      <c r="B1314" s="2" t="s">
        <v>345</v>
      </c>
      <c r="C1314" s="2" t="s">
        <v>2295</v>
      </c>
      <c r="D1314" s="4" t="s">
        <v>2296</v>
      </c>
    </row>
    <row r="1315">
      <c r="A1315" s="7">
        <v>26795.0</v>
      </c>
      <c r="B1315" s="2" t="s">
        <v>345</v>
      </c>
      <c r="C1315" s="2" t="s">
        <v>1671</v>
      </c>
      <c r="D1315" s="4" t="s">
        <v>2297</v>
      </c>
    </row>
    <row r="1316">
      <c r="A1316" s="7">
        <v>26796.0</v>
      </c>
      <c r="B1316" s="2" t="s">
        <v>345</v>
      </c>
      <c r="C1316" s="2" t="s">
        <v>2298</v>
      </c>
      <c r="D1316" s="4" t="s">
        <v>2299</v>
      </c>
    </row>
    <row r="1317">
      <c r="A1317" s="7">
        <v>26797.0</v>
      </c>
      <c r="B1317" s="2" t="s">
        <v>345</v>
      </c>
      <c r="C1317" s="2" t="s">
        <v>2300</v>
      </c>
      <c r="D1317" s="4" t="s">
        <v>2301</v>
      </c>
    </row>
    <row r="1318">
      <c r="A1318" s="7">
        <v>26797.0</v>
      </c>
      <c r="B1318" s="2" t="s">
        <v>345</v>
      </c>
      <c r="C1318" s="2" t="s">
        <v>2302</v>
      </c>
      <c r="D1318" s="4" t="s">
        <v>2303</v>
      </c>
    </row>
    <row r="1319">
      <c r="A1319" s="7">
        <v>26798.0</v>
      </c>
      <c r="B1319" s="2" t="s">
        <v>345</v>
      </c>
      <c r="C1319" s="2" t="s">
        <v>1671</v>
      </c>
      <c r="D1319" s="4" t="s">
        <v>2304</v>
      </c>
    </row>
    <row r="1320">
      <c r="A1320" s="7">
        <v>26798.0</v>
      </c>
      <c r="B1320" s="2" t="s">
        <v>345</v>
      </c>
      <c r="C1320" s="2" t="s">
        <v>2305</v>
      </c>
      <c r="D1320" s="4" t="s">
        <v>2306</v>
      </c>
    </row>
    <row r="1321">
      <c r="A1321" s="7">
        <v>26799.0</v>
      </c>
      <c r="B1321" s="2" t="s">
        <v>345</v>
      </c>
      <c r="C1321" s="2" t="s">
        <v>2300</v>
      </c>
      <c r="D1321" s="4" t="s">
        <v>2307</v>
      </c>
    </row>
    <row r="1322">
      <c r="A1322" s="7">
        <v>26799.0</v>
      </c>
      <c r="B1322" s="2" t="s">
        <v>345</v>
      </c>
      <c r="C1322" s="2" t="s">
        <v>2308</v>
      </c>
      <c r="D1322" s="4" t="s">
        <v>2309</v>
      </c>
    </row>
    <row r="1323">
      <c r="A1323" s="7">
        <v>26799.0</v>
      </c>
      <c r="B1323" s="2" t="s">
        <v>345</v>
      </c>
      <c r="C1323" s="2" t="s">
        <v>2310</v>
      </c>
      <c r="D1323" s="4" t="s">
        <v>2311</v>
      </c>
    </row>
    <row r="1324">
      <c r="A1324" s="7">
        <v>26800.0</v>
      </c>
      <c r="B1324" s="2" t="s">
        <v>345</v>
      </c>
      <c r="C1324" s="2" t="s">
        <v>2312</v>
      </c>
      <c r="D1324" s="4" t="s">
        <v>2313</v>
      </c>
    </row>
    <row r="1325">
      <c r="A1325" s="7">
        <v>26800.0</v>
      </c>
      <c r="B1325" s="2" t="s">
        <v>345</v>
      </c>
      <c r="C1325" s="2" t="s">
        <v>2314</v>
      </c>
      <c r="D1325" s="4" t="s">
        <v>2315</v>
      </c>
    </row>
    <row r="1326">
      <c r="A1326" s="7">
        <v>26801.0</v>
      </c>
      <c r="B1326" s="2" t="s">
        <v>345</v>
      </c>
      <c r="C1326" s="2" t="s">
        <v>2316</v>
      </c>
      <c r="D1326" s="4" t="s">
        <v>2317</v>
      </c>
    </row>
    <row r="1327">
      <c r="A1327" s="7">
        <v>26801.0</v>
      </c>
      <c r="B1327" s="2" t="s">
        <v>345</v>
      </c>
      <c r="C1327" s="2" t="s">
        <v>2318</v>
      </c>
      <c r="D1327" s="4" t="s">
        <v>2319</v>
      </c>
    </row>
    <row r="1328">
      <c r="A1328" s="7">
        <v>26803.0</v>
      </c>
      <c r="B1328" s="2" t="s">
        <v>1844</v>
      </c>
      <c r="C1328" s="2" t="s">
        <v>866</v>
      </c>
      <c r="D1328" s="4" t="s">
        <v>2320</v>
      </c>
    </row>
    <row r="1329">
      <c r="A1329" s="7">
        <v>26805.0</v>
      </c>
      <c r="B1329" s="2" t="s">
        <v>1844</v>
      </c>
      <c r="C1329" s="2" t="s">
        <v>2321</v>
      </c>
      <c r="D1329" s="4" t="s">
        <v>2322</v>
      </c>
    </row>
    <row r="1330">
      <c r="A1330" s="7">
        <v>26806.0</v>
      </c>
      <c r="B1330" s="2" t="s">
        <v>4</v>
      </c>
      <c r="C1330" s="2" t="s">
        <v>2323</v>
      </c>
      <c r="D1330" s="4" t="s">
        <v>2324</v>
      </c>
    </row>
    <row r="1331">
      <c r="A1331" s="7">
        <v>26808.0</v>
      </c>
      <c r="B1331" s="2" t="s">
        <v>849</v>
      </c>
      <c r="C1331" s="2" t="s">
        <v>2325</v>
      </c>
      <c r="D1331" s="4" t="s">
        <v>2326</v>
      </c>
    </row>
    <row r="1332">
      <c r="A1332" s="5">
        <v>26829.0</v>
      </c>
      <c r="B1332" s="2" t="s">
        <v>1485</v>
      </c>
      <c r="C1332" s="2" t="s">
        <v>2327</v>
      </c>
      <c r="D1332" s="4" t="s">
        <v>2328</v>
      </c>
    </row>
    <row r="1333">
      <c r="A1333" s="5">
        <v>26830.0</v>
      </c>
      <c r="B1333" s="2" t="s">
        <v>1485</v>
      </c>
      <c r="C1333" s="2" t="s">
        <v>2329</v>
      </c>
      <c r="D1333" s="4" t="s">
        <v>2330</v>
      </c>
    </row>
    <row r="1334">
      <c r="A1334" s="5">
        <v>26831.0</v>
      </c>
      <c r="B1334" s="2" t="s">
        <v>1485</v>
      </c>
      <c r="C1334" s="2" t="s">
        <v>2331</v>
      </c>
      <c r="D1334" s="4" t="s">
        <v>2332</v>
      </c>
    </row>
    <row r="1335">
      <c r="A1335" s="5">
        <v>26832.0</v>
      </c>
      <c r="B1335" s="2" t="s">
        <v>1485</v>
      </c>
      <c r="C1335" s="2" t="s">
        <v>2333</v>
      </c>
      <c r="D1335" s="4" t="s">
        <v>2334</v>
      </c>
    </row>
    <row r="1336">
      <c r="A1336" s="5">
        <v>26833.0</v>
      </c>
      <c r="B1336" s="2" t="s">
        <v>1485</v>
      </c>
      <c r="C1336" s="2" t="s">
        <v>2335</v>
      </c>
      <c r="D1336" s="4" t="s">
        <v>2336</v>
      </c>
    </row>
    <row r="1337">
      <c r="A1337" s="5">
        <v>26834.0</v>
      </c>
      <c r="B1337" s="2" t="s">
        <v>1485</v>
      </c>
      <c r="C1337" s="2" t="s">
        <v>2337</v>
      </c>
      <c r="D1337" s="4" t="s">
        <v>2338</v>
      </c>
    </row>
    <row r="1338">
      <c r="A1338" s="5">
        <v>26835.0</v>
      </c>
      <c r="B1338" s="2" t="s">
        <v>1485</v>
      </c>
      <c r="C1338" s="2" t="s">
        <v>2339</v>
      </c>
      <c r="D1338" s="4" t="s">
        <v>2340</v>
      </c>
    </row>
    <row r="1339">
      <c r="A1339" s="5">
        <v>26836.0</v>
      </c>
      <c r="B1339" s="2" t="s">
        <v>1485</v>
      </c>
      <c r="C1339" s="2" t="s">
        <v>2341</v>
      </c>
      <c r="D1339" s="4" t="s">
        <v>2342</v>
      </c>
    </row>
    <row r="1340">
      <c r="A1340" s="5">
        <v>26837.0</v>
      </c>
      <c r="B1340" s="2" t="s">
        <v>1485</v>
      </c>
      <c r="C1340" s="2" t="s">
        <v>2343</v>
      </c>
      <c r="D1340" s="4" t="s">
        <v>2344</v>
      </c>
    </row>
    <row r="1341">
      <c r="A1341" s="5">
        <v>26840.0</v>
      </c>
      <c r="B1341" s="2" t="s">
        <v>1485</v>
      </c>
      <c r="C1341" s="2" t="s">
        <v>2345</v>
      </c>
      <c r="D1341" s="4" t="s">
        <v>2346</v>
      </c>
    </row>
    <row r="1342">
      <c r="A1342" s="5">
        <v>26841.0</v>
      </c>
      <c r="B1342" s="2" t="s">
        <v>1485</v>
      </c>
      <c r="C1342" s="2" t="s">
        <v>2347</v>
      </c>
      <c r="D1342" s="4" t="s">
        <v>2348</v>
      </c>
    </row>
    <row r="1343">
      <c r="A1343" s="5">
        <v>26842.0</v>
      </c>
      <c r="B1343" s="2" t="s">
        <v>1485</v>
      </c>
      <c r="C1343" s="2" t="s">
        <v>2349</v>
      </c>
      <c r="D1343" s="4" t="s">
        <v>2350</v>
      </c>
    </row>
    <row r="1344">
      <c r="A1344" s="5">
        <v>26842.0</v>
      </c>
      <c r="B1344" s="2" t="s">
        <v>2351</v>
      </c>
      <c r="C1344" s="2" t="s">
        <v>2352</v>
      </c>
      <c r="D1344" s="4" t="s">
        <v>2353</v>
      </c>
    </row>
    <row r="1345">
      <c r="A1345" s="5">
        <v>26844.0</v>
      </c>
      <c r="B1345" s="2" t="s">
        <v>977</v>
      </c>
      <c r="C1345" s="2" t="s">
        <v>2354</v>
      </c>
      <c r="D1345" s="4" t="s">
        <v>2355</v>
      </c>
    </row>
    <row r="1346">
      <c r="A1346" s="5">
        <v>26845.0</v>
      </c>
      <c r="B1346" s="2" t="s">
        <v>977</v>
      </c>
      <c r="C1346" s="2" t="s">
        <v>2356</v>
      </c>
      <c r="D1346" s="4" t="s">
        <v>2357</v>
      </c>
    </row>
    <row r="1347">
      <c r="A1347" s="5">
        <v>26852.0</v>
      </c>
      <c r="B1347" s="2" t="s">
        <v>849</v>
      </c>
      <c r="C1347" s="2" t="s">
        <v>2358</v>
      </c>
      <c r="D1347" s="4" t="s">
        <v>2359</v>
      </c>
    </row>
    <row r="1348">
      <c r="A1348" s="5">
        <v>26852.0</v>
      </c>
      <c r="B1348" s="2" t="s">
        <v>849</v>
      </c>
      <c r="C1348" s="2" t="s">
        <v>2360</v>
      </c>
      <c r="D1348" s="4" t="s">
        <v>2361</v>
      </c>
    </row>
    <row r="1349">
      <c r="A1349" s="5">
        <v>26854.0</v>
      </c>
      <c r="B1349" s="2" t="s">
        <v>849</v>
      </c>
      <c r="C1349" s="2" t="s">
        <v>2362</v>
      </c>
      <c r="D1349" s="4" t="s">
        <v>2363</v>
      </c>
    </row>
    <row r="1350">
      <c r="A1350" s="5">
        <v>26854.0</v>
      </c>
      <c r="B1350" s="2" t="s">
        <v>849</v>
      </c>
      <c r="C1350" s="2" t="s">
        <v>2364</v>
      </c>
      <c r="D1350" s="4" t="s">
        <v>2365</v>
      </c>
    </row>
    <row r="1351">
      <c r="A1351" s="5">
        <v>26854.0</v>
      </c>
      <c r="B1351" s="2" t="s">
        <v>849</v>
      </c>
      <c r="C1351" s="2" t="s">
        <v>379</v>
      </c>
      <c r="D1351" s="4" t="s">
        <v>2366</v>
      </c>
    </row>
    <row r="1352">
      <c r="A1352" s="5">
        <v>26855.0</v>
      </c>
      <c r="B1352" s="2" t="s">
        <v>849</v>
      </c>
      <c r="C1352" s="2" t="s">
        <v>2367</v>
      </c>
      <c r="D1352" s="4" t="s">
        <v>2368</v>
      </c>
    </row>
    <row r="1353">
      <c r="A1353" s="5">
        <v>26855.0</v>
      </c>
      <c r="B1353" s="2" t="s">
        <v>849</v>
      </c>
      <c r="C1353" s="2" t="s">
        <v>2369</v>
      </c>
      <c r="D1353" s="4" t="s">
        <v>2370</v>
      </c>
    </row>
    <row r="1354">
      <c r="A1354" s="5">
        <v>26856.0</v>
      </c>
      <c r="B1354" s="2" t="s">
        <v>849</v>
      </c>
      <c r="C1354" s="2" t="s">
        <v>2371</v>
      </c>
      <c r="D1354" s="4" t="s">
        <v>2372</v>
      </c>
    </row>
    <row r="1355">
      <c r="A1355" s="5">
        <v>26856.0</v>
      </c>
      <c r="B1355" s="2" t="s">
        <v>849</v>
      </c>
      <c r="C1355" s="2" t="s">
        <v>2373</v>
      </c>
      <c r="D1355" s="4" t="s">
        <v>2374</v>
      </c>
    </row>
    <row r="1356">
      <c r="A1356" s="5">
        <v>26856.0</v>
      </c>
      <c r="B1356" s="2" t="s">
        <v>849</v>
      </c>
      <c r="C1356" s="2" t="s">
        <v>2375</v>
      </c>
      <c r="D1356" s="4" t="s">
        <v>2376</v>
      </c>
    </row>
    <row r="1357">
      <c r="A1357" s="5">
        <v>26856.0</v>
      </c>
      <c r="B1357" s="2" t="s">
        <v>849</v>
      </c>
      <c r="C1357" s="2" t="s">
        <v>2377</v>
      </c>
      <c r="D1357" s="4" t="s">
        <v>2378</v>
      </c>
    </row>
    <row r="1358">
      <c r="A1358" s="5">
        <v>26856.0</v>
      </c>
      <c r="B1358" s="2" t="s">
        <v>849</v>
      </c>
      <c r="C1358" s="2" t="s">
        <v>379</v>
      </c>
      <c r="D1358" s="4" t="s">
        <v>2379</v>
      </c>
    </row>
    <row r="1359">
      <c r="A1359" s="5">
        <v>26857.0</v>
      </c>
      <c r="B1359" s="2" t="s">
        <v>849</v>
      </c>
      <c r="C1359" s="2" t="s">
        <v>2380</v>
      </c>
      <c r="D1359" s="4" t="s">
        <v>2381</v>
      </c>
    </row>
    <row r="1360">
      <c r="A1360" s="5">
        <v>26857.0</v>
      </c>
      <c r="B1360" s="2" t="s">
        <v>849</v>
      </c>
      <c r="C1360" s="2" t="s">
        <v>2382</v>
      </c>
      <c r="D1360" s="4" t="s">
        <v>2383</v>
      </c>
    </row>
    <row r="1361">
      <c r="A1361" s="5">
        <v>26857.0</v>
      </c>
      <c r="B1361" s="2" t="s">
        <v>849</v>
      </c>
      <c r="C1361" s="2" t="s">
        <v>2384</v>
      </c>
      <c r="D1361" s="4" t="s">
        <v>2385</v>
      </c>
    </row>
    <row r="1362">
      <c r="A1362" s="5">
        <v>26858.0</v>
      </c>
      <c r="B1362" s="2" t="s">
        <v>849</v>
      </c>
      <c r="C1362" s="2" t="s">
        <v>2386</v>
      </c>
      <c r="D1362" s="4" t="s">
        <v>2387</v>
      </c>
    </row>
    <row r="1363">
      <c r="A1363" s="5">
        <v>26858.0</v>
      </c>
      <c r="B1363" s="2" t="s">
        <v>849</v>
      </c>
      <c r="C1363" s="2" t="s">
        <v>2388</v>
      </c>
      <c r="D1363" s="4" t="s">
        <v>2389</v>
      </c>
    </row>
    <row r="1364">
      <c r="A1364" s="5">
        <v>26859.0</v>
      </c>
      <c r="B1364" s="2" t="s">
        <v>849</v>
      </c>
      <c r="C1364" s="2" t="s">
        <v>2390</v>
      </c>
      <c r="D1364" s="4" t="s">
        <v>2391</v>
      </c>
    </row>
    <row r="1365">
      <c r="A1365" s="5">
        <v>26859.0</v>
      </c>
      <c r="B1365" s="2" t="s">
        <v>849</v>
      </c>
      <c r="C1365" s="2" t="s">
        <v>2392</v>
      </c>
      <c r="D1365" s="4" t="s">
        <v>2393</v>
      </c>
    </row>
    <row r="1366">
      <c r="A1366" s="5">
        <v>26860.0</v>
      </c>
      <c r="B1366" s="2" t="s">
        <v>849</v>
      </c>
      <c r="C1366" s="2" t="s">
        <v>2394</v>
      </c>
      <c r="D1366" s="4" t="s">
        <v>2395</v>
      </c>
    </row>
    <row r="1367">
      <c r="A1367" s="5">
        <v>26860.0</v>
      </c>
      <c r="B1367" s="2" t="s">
        <v>849</v>
      </c>
      <c r="C1367" s="2" t="s">
        <v>2396</v>
      </c>
      <c r="D1367" s="4" t="s">
        <v>2397</v>
      </c>
    </row>
    <row r="1368">
      <c r="A1368" s="5">
        <v>26861.0</v>
      </c>
      <c r="B1368" s="2" t="s">
        <v>849</v>
      </c>
      <c r="C1368" s="2" t="s">
        <v>2398</v>
      </c>
      <c r="D1368" s="4" t="s">
        <v>2399</v>
      </c>
    </row>
    <row r="1369">
      <c r="A1369" s="5">
        <v>26861.0</v>
      </c>
      <c r="B1369" s="2" t="s">
        <v>849</v>
      </c>
      <c r="C1369" s="2" t="s">
        <v>379</v>
      </c>
      <c r="D1369" s="4" t="s">
        <v>2400</v>
      </c>
    </row>
    <row r="1370">
      <c r="A1370" s="5">
        <v>26862.0</v>
      </c>
      <c r="B1370" s="2" t="s">
        <v>849</v>
      </c>
      <c r="C1370" s="2" t="s">
        <v>2401</v>
      </c>
      <c r="D1370" s="4" t="s">
        <v>2402</v>
      </c>
    </row>
    <row r="1371">
      <c r="A1371" s="5">
        <v>26863.0</v>
      </c>
      <c r="B1371" s="2" t="s">
        <v>849</v>
      </c>
      <c r="C1371" s="2" t="s">
        <v>2403</v>
      </c>
      <c r="D1371" s="4" t="s">
        <v>2404</v>
      </c>
    </row>
    <row r="1372">
      <c r="A1372" s="5">
        <v>26863.0</v>
      </c>
      <c r="B1372" s="2" t="s">
        <v>849</v>
      </c>
      <c r="C1372" s="2" t="s">
        <v>2405</v>
      </c>
      <c r="D1372" s="4" t="s">
        <v>2406</v>
      </c>
    </row>
    <row r="1373">
      <c r="A1373" s="5">
        <v>26864.0</v>
      </c>
      <c r="B1373" s="2" t="s">
        <v>849</v>
      </c>
      <c r="C1373" s="2" t="s">
        <v>2407</v>
      </c>
      <c r="D1373" s="4" t="s">
        <v>2408</v>
      </c>
    </row>
    <row r="1374">
      <c r="A1374" s="5">
        <v>26864.0</v>
      </c>
      <c r="B1374" s="2" t="s">
        <v>849</v>
      </c>
      <c r="C1374" s="2" t="s">
        <v>379</v>
      </c>
      <c r="D1374" s="4" t="s">
        <v>2409</v>
      </c>
    </row>
    <row r="1375">
      <c r="A1375" s="5">
        <v>26864.0</v>
      </c>
      <c r="B1375" s="2" t="s">
        <v>849</v>
      </c>
      <c r="C1375" s="2" t="s">
        <v>379</v>
      </c>
      <c r="D1375" s="4" t="s">
        <v>2410</v>
      </c>
    </row>
    <row r="1376">
      <c r="A1376" s="5">
        <v>26865.0</v>
      </c>
      <c r="B1376" s="2" t="s">
        <v>849</v>
      </c>
      <c r="C1376" s="2" t="s">
        <v>2411</v>
      </c>
      <c r="D1376" s="4" t="s">
        <v>2412</v>
      </c>
    </row>
    <row r="1377">
      <c r="A1377" s="5">
        <v>26866.0</v>
      </c>
      <c r="B1377" s="2" t="s">
        <v>849</v>
      </c>
      <c r="C1377" s="2" t="s">
        <v>2413</v>
      </c>
      <c r="D1377" s="4" t="s">
        <v>2414</v>
      </c>
    </row>
    <row r="1378">
      <c r="A1378" s="5">
        <v>26866.0</v>
      </c>
      <c r="B1378" s="2" t="s">
        <v>849</v>
      </c>
      <c r="C1378" s="2" t="s">
        <v>2415</v>
      </c>
      <c r="D1378" s="4" t="s">
        <v>2416</v>
      </c>
    </row>
    <row r="1379">
      <c r="A1379" s="5">
        <v>26867.0</v>
      </c>
      <c r="B1379" s="2" t="s">
        <v>849</v>
      </c>
      <c r="C1379" s="2" t="s">
        <v>2417</v>
      </c>
      <c r="D1379" s="4" t="s">
        <v>2418</v>
      </c>
    </row>
    <row r="1380">
      <c r="A1380" s="5">
        <v>26867.0</v>
      </c>
      <c r="B1380" s="2" t="s">
        <v>849</v>
      </c>
      <c r="C1380" s="2" t="s">
        <v>2419</v>
      </c>
      <c r="D1380" s="4" t="s">
        <v>2420</v>
      </c>
    </row>
    <row r="1381">
      <c r="A1381" s="5">
        <v>26867.0</v>
      </c>
      <c r="B1381" s="2" t="s">
        <v>849</v>
      </c>
      <c r="C1381" s="2" t="s">
        <v>2421</v>
      </c>
      <c r="D1381" s="4" t="s">
        <v>2422</v>
      </c>
    </row>
    <row r="1382">
      <c r="A1382" s="5">
        <v>26868.0</v>
      </c>
      <c r="B1382" s="2" t="s">
        <v>849</v>
      </c>
      <c r="C1382" s="2" t="s">
        <v>457</v>
      </c>
      <c r="D1382" s="4" t="s">
        <v>2423</v>
      </c>
    </row>
    <row r="1383">
      <c r="A1383" s="5">
        <v>26868.0</v>
      </c>
      <c r="B1383" s="2" t="s">
        <v>849</v>
      </c>
      <c r="C1383" s="2" t="s">
        <v>2424</v>
      </c>
      <c r="D1383" s="4" t="s">
        <v>2425</v>
      </c>
    </row>
    <row r="1384">
      <c r="A1384" s="5">
        <v>26868.0</v>
      </c>
      <c r="B1384" s="2" t="s">
        <v>849</v>
      </c>
      <c r="C1384" s="2" t="s">
        <v>2426</v>
      </c>
      <c r="D1384" s="4" t="s">
        <v>2427</v>
      </c>
    </row>
    <row r="1385">
      <c r="A1385" s="5">
        <v>26868.0</v>
      </c>
      <c r="B1385" s="2" t="s">
        <v>849</v>
      </c>
      <c r="C1385" s="2" t="s">
        <v>2428</v>
      </c>
      <c r="D1385" s="4" t="s">
        <v>2429</v>
      </c>
    </row>
    <row r="1386">
      <c r="A1386" s="5">
        <v>26868.0</v>
      </c>
      <c r="B1386" s="2" t="s">
        <v>849</v>
      </c>
      <c r="C1386" s="2" t="s">
        <v>2430</v>
      </c>
      <c r="D1386" s="4" t="s">
        <v>2431</v>
      </c>
    </row>
    <row r="1387">
      <c r="A1387" s="5">
        <v>26869.0</v>
      </c>
      <c r="B1387" s="2" t="s">
        <v>849</v>
      </c>
      <c r="C1387" s="2" t="s">
        <v>2432</v>
      </c>
      <c r="D1387" s="4" t="s">
        <v>2433</v>
      </c>
    </row>
    <row r="1388">
      <c r="A1388" s="5">
        <v>26870.0</v>
      </c>
      <c r="B1388" s="2" t="s">
        <v>849</v>
      </c>
      <c r="C1388" s="2" t="s">
        <v>2434</v>
      </c>
      <c r="D1388" s="4" t="s">
        <v>2435</v>
      </c>
    </row>
    <row r="1389">
      <c r="A1389" s="5">
        <v>26871.0</v>
      </c>
      <c r="B1389" s="2" t="s">
        <v>849</v>
      </c>
      <c r="C1389" s="2" t="s">
        <v>2436</v>
      </c>
      <c r="D1389" s="4" t="s">
        <v>2437</v>
      </c>
    </row>
    <row r="1390">
      <c r="A1390" s="5">
        <v>26871.0</v>
      </c>
      <c r="B1390" s="2" t="s">
        <v>849</v>
      </c>
      <c r="C1390" s="2" t="s">
        <v>2438</v>
      </c>
      <c r="D1390" s="4" t="s">
        <v>2439</v>
      </c>
    </row>
    <row r="1391">
      <c r="A1391" s="5">
        <v>26872.0</v>
      </c>
      <c r="B1391" s="2" t="s">
        <v>849</v>
      </c>
      <c r="C1391" s="2" t="s">
        <v>2440</v>
      </c>
      <c r="D1391" s="4" t="s">
        <v>2441</v>
      </c>
    </row>
    <row r="1392">
      <c r="A1392" s="5">
        <v>26872.0</v>
      </c>
      <c r="B1392" s="2" t="s">
        <v>849</v>
      </c>
      <c r="C1392" s="2" t="s">
        <v>2442</v>
      </c>
      <c r="D1392" s="4" t="s">
        <v>2443</v>
      </c>
    </row>
    <row r="1393">
      <c r="A1393" s="5">
        <v>26873.0</v>
      </c>
      <c r="B1393" s="2" t="s">
        <v>849</v>
      </c>
      <c r="C1393" s="2" t="s">
        <v>2444</v>
      </c>
      <c r="D1393" s="4" t="s">
        <v>2445</v>
      </c>
    </row>
    <row r="1394">
      <c r="A1394" s="5">
        <v>26874.0</v>
      </c>
      <c r="B1394" s="2" t="s">
        <v>849</v>
      </c>
      <c r="C1394" s="2" t="s">
        <v>2446</v>
      </c>
      <c r="D1394" s="4" t="s">
        <v>2447</v>
      </c>
    </row>
    <row r="1395">
      <c r="A1395" s="5">
        <v>26875.0</v>
      </c>
      <c r="B1395" s="2" t="s">
        <v>849</v>
      </c>
      <c r="C1395" s="2" t="s">
        <v>2448</v>
      </c>
      <c r="D1395" s="4" t="s">
        <v>2449</v>
      </c>
    </row>
    <row r="1396">
      <c r="A1396" s="5">
        <v>26875.0</v>
      </c>
      <c r="B1396" s="2" t="s">
        <v>849</v>
      </c>
      <c r="C1396" s="2" t="s">
        <v>2450</v>
      </c>
      <c r="D1396" s="4" t="s">
        <v>2451</v>
      </c>
    </row>
    <row r="1397">
      <c r="A1397" s="5">
        <v>26876.0</v>
      </c>
      <c r="B1397" s="2" t="s">
        <v>849</v>
      </c>
      <c r="C1397" s="2" t="s">
        <v>2452</v>
      </c>
      <c r="D1397" s="4" t="s">
        <v>2453</v>
      </c>
    </row>
    <row r="1398">
      <c r="A1398" s="3">
        <v>26877.0</v>
      </c>
      <c r="B1398" s="2" t="s">
        <v>849</v>
      </c>
      <c r="C1398" s="2" t="s">
        <v>2454</v>
      </c>
      <c r="D1398" s="4" t="s">
        <v>2455</v>
      </c>
    </row>
    <row r="1399">
      <c r="A1399" s="3">
        <v>26879.0</v>
      </c>
      <c r="B1399" s="2" t="s">
        <v>849</v>
      </c>
      <c r="C1399" s="2" t="s">
        <v>2456</v>
      </c>
      <c r="D1399" s="4" t="s">
        <v>2457</v>
      </c>
    </row>
    <row r="1400">
      <c r="A1400" s="3">
        <v>26879.0</v>
      </c>
      <c r="B1400" s="2" t="s">
        <v>849</v>
      </c>
      <c r="C1400" s="2" t="s">
        <v>2458</v>
      </c>
      <c r="D1400" s="4" t="s">
        <v>2459</v>
      </c>
    </row>
    <row r="1401">
      <c r="A1401" s="3">
        <v>26880.0</v>
      </c>
      <c r="B1401" s="2" t="s">
        <v>849</v>
      </c>
      <c r="C1401" s="2" t="s">
        <v>2460</v>
      </c>
      <c r="D1401" s="4" t="s">
        <v>2461</v>
      </c>
    </row>
    <row r="1402">
      <c r="A1402" s="3">
        <v>26880.0</v>
      </c>
      <c r="B1402" s="2" t="s">
        <v>849</v>
      </c>
      <c r="C1402" s="2" t="s">
        <v>2462</v>
      </c>
      <c r="D1402" s="4" t="s">
        <v>2463</v>
      </c>
    </row>
    <row r="1403">
      <c r="A1403" s="3">
        <v>26881.0</v>
      </c>
      <c r="B1403" s="2" t="s">
        <v>849</v>
      </c>
      <c r="C1403" s="2" t="s">
        <v>2464</v>
      </c>
      <c r="D1403" s="4" t="s">
        <v>2465</v>
      </c>
    </row>
    <row r="1404">
      <c r="A1404" s="3">
        <v>26881.0</v>
      </c>
      <c r="B1404" s="2" t="s">
        <v>849</v>
      </c>
      <c r="C1404" s="2" t="s">
        <v>2466</v>
      </c>
      <c r="D1404" s="4" t="s">
        <v>2467</v>
      </c>
    </row>
    <row r="1405">
      <c r="A1405" s="3">
        <v>26881.0</v>
      </c>
      <c r="B1405" s="2" t="s">
        <v>849</v>
      </c>
      <c r="C1405" s="2" t="s">
        <v>2468</v>
      </c>
      <c r="D1405" s="4" t="s">
        <v>2469</v>
      </c>
    </row>
    <row r="1406">
      <c r="A1406" s="3">
        <v>26882.0</v>
      </c>
      <c r="B1406" s="2" t="s">
        <v>849</v>
      </c>
      <c r="C1406" s="2" t="s">
        <v>2470</v>
      </c>
      <c r="D1406" s="4" t="s">
        <v>2471</v>
      </c>
    </row>
    <row r="1407">
      <c r="A1407" s="3">
        <v>26882.0</v>
      </c>
      <c r="B1407" s="2" t="s">
        <v>849</v>
      </c>
      <c r="C1407" s="2" t="s">
        <v>2472</v>
      </c>
      <c r="D1407" s="4" t="s">
        <v>2473</v>
      </c>
    </row>
    <row r="1408">
      <c r="A1408" s="3">
        <v>26883.0</v>
      </c>
      <c r="B1408" s="2" t="s">
        <v>849</v>
      </c>
      <c r="C1408" s="2" t="s">
        <v>2474</v>
      </c>
      <c r="D1408" s="4" t="s">
        <v>2475</v>
      </c>
    </row>
    <row r="1409">
      <c r="A1409" s="3">
        <v>26883.0</v>
      </c>
      <c r="B1409" s="2" t="s">
        <v>849</v>
      </c>
      <c r="C1409" s="2" t="s">
        <v>2476</v>
      </c>
      <c r="D1409" s="4" t="s">
        <v>2477</v>
      </c>
    </row>
    <row r="1410">
      <c r="A1410" s="3">
        <v>26884.0</v>
      </c>
      <c r="B1410" s="2" t="s">
        <v>849</v>
      </c>
      <c r="C1410" s="2" t="s">
        <v>2478</v>
      </c>
      <c r="D1410" s="4" t="s">
        <v>2479</v>
      </c>
    </row>
    <row r="1411">
      <c r="A1411" s="3">
        <v>26884.0</v>
      </c>
      <c r="B1411" s="2" t="s">
        <v>1200</v>
      </c>
      <c r="C1411" s="2" t="s">
        <v>866</v>
      </c>
      <c r="D1411" s="4" t="s">
        <v>2480</v>
      </c>
    </row>
    <row r="1412">
      <c r="A1412" s="3">
        <v>26885.0</v>
      </c>
      <c r="B1412" s="2" t="s">
        <v>1200</v>
      </c>
      <c r="C1412" s="2" t="s">
        <v>2481</v>
      </c>
      <c r="D1412" s="4" t="s">
        <v>2482</v>
      </c>
    </row>
    <row r="1413">
      <c r="A1413" s="3">
        <v>26885.0</v>
      </c>
      <c r="B1413" s="2" t="s">
        <v>1200</v>
      </c>
      <c r="C1413" s="2" t="s">
        <v>2483</v>
      </c>
      <c r="D1413" s="4" t="s">
        <v>2484</v>
      </c>
    </row>
    <row r="1414">
      <c r="A1414" s="3">
        <v>26885.0</v>
      </c>
      <c r="B1414" s="2" t="s">
        <v>1200</v>
      </c>
      <c r="C1414" s="2" t="s">
        <v>2485</v>
      </c>
      <c r="D1414" s="4" t="s">
        <v>2486</v>
      </c>
    </row>
    <row r="1415">
      <c r="A1415" s="3">
        <v>26885.0</v>
      </c>
      <c r="B1415" s="2" t="s">
        <v>1200</v>
      </c>
      <c r="C1415" s="2" t="s">
        <v>2487</v>
      </c>
      <c r="D1415" s="4" t="s">
        <v>2488</v>
      </c>
    </row>
    <row r="1416">
      <c r="A1416" s="3">
        <v>26886.0</v>
      </c>
      <c r="B1416" s="2" t="s">
        <v>1200</v>
      </c>
      <c r="C1416" s="2" t="s">
        <v>2113</v>
      </c>
      <c r="D1416" s="4" t="s">
        <v>2489</v>
      </c>
    </row>
    <row r="1417">
      <c r="A1417" s="3">
        <v>26886.0</v>
      </c>
      <c r="B1417" s="2" t="s">
        <v>1200</v>
      </c>
      <c r="C1417" s="2" t="s">
        <v>2490</v>
      </c>
      <c r="D1417" s="4" t="s">
        <v>2491</v>
      </c>
    </row>
    <row r="1418">
      <c r="A1418" s="3">
        <v>26886.0</v>
      </c>
      <c r="B1418" s="2" t="s">
        <v>1200</v>
      </c>
      <c r="C1418" s="2" t="s">
        <v>2492</v>
      </c>
      <c r="D1418" s="4" t="s">
        <v>2493</v>
      </c>
    </row>
    <row r="1419">
      <c r="A1419" s="3">
        <v>26886.0</v>
      </c>
      <c r="B1419" s="2" t="s">
        <v>1200</v>
      </c>
      <c r="C1419" s="2" t="s">
        <v>2494</v>
      </c>
      <c r="D1419" s="4" t="s">
        <v>2495</v>
      </c>
    </row>
    <row r="1420">
      <c r="A1420" s="3">
        <v>26887.0</v>
      </c>
      <c r="B1420" s="2" t="s">
        <v>1200</v>
      </c>
      <c r="C1420" s="2" t="s">
        <v>2118</v>
      </c>
      <c r="D1420" s="4" t="s">
        <v>2496</v>
      </c>
    </row>
    <row r="1421">
      <c r="A1421" s="3">
        <v>26887.0</v>
      </c>
      <c r="B1421" s="2" t="s">
        <v>1200</v>
      </c>
      <c r="C1421" s="2" t="s">
        <v>379</v>
      </c>
      <c r="D1421" s="4" t="s">
        <v>2497</v>
      </c>
    </row>
    <row r="1422">
      <c r="A1422" s="3">
        <v>26888.0</v>
      </c>
      <c r="B1422" s="2" t="s">
        <v>1200</v>
      </c>
      <c r="C1422" s="2" t="s">
        <v>873</v>
      </c>
      <c r="D1422" s="4" t="s">
        <v>2498</v>
      </c>
    </row>
    <row r="1423">
      <c r="A1423" s="3">
        <v>26888.0</v>
      </c>
      <c r="B1423" s="2" t="s">
        <v>849</v>
      </c>
      <c r="C1423" s="2" t="s">
        <v>2499</v>
      </c>
      <c r="D1423" s="4" t="s">
        <v>2500</v>
      </c>
    </row>
    <row r="1424">
      <c r="A1424" s="3">
        <v>26888.0</v>
      </c>
      <c r="B1424" s="2" t="s">
        <v>1200</v>
      </c>
      <c r="C1424" s="2" t="s">
        <v>2501</v>
      </c>
      <c r="D1424" s="4" t="s">
        <v>2502</v>
      </c>
    </row>
    <row r="1425">
      <c r="A1425" s="3">
        <v>26889.0</v>
      </c>
      <c r="B1425" s="2" t="s">
        <v>1200</v>
      </c>
      <c r="C1425" s="2" t="s">
        <v>2503</v>
      </c>
      <c r="D1425" s="4" t="s">
        <v>2504</v>
      </c>
    </row>
    <row r="1426">
      <c r="A1426" s="3">
        <v>26889.0</v>
      </c>
      <c r="B1426" s="2" t="s">
        <v>1200</v>
      </c>
      <c r="C1426" s="2" t="s">
        <v>2505</v>
      </c>
      <c r="D1426" s="4" t="s">
        <v>2506</v>
      </c>
    </row>
    <row r="1427">
      <c r="A1427" s="3">
        <v>26889.0</v>
      </c>
      <c r="B1427" s="2" t="s">
        <v>1200</v>
      </c>
      <c r="C1427" s="2" t="s">
        <v>2507</v>
      </c>
      <c r="D1427" s="4" t="s">
        <v>2508</v>
      </c>
    </row>
    <row r="1428">
      <c r="A1428" s="3">
        <v>26889.0</v>
      </c>
      <c r="B1428" s="2" t="s">
        <v>1200</v>
      </c>
      <c r="C1428" s="2" t="s">
        <v>2509</v>
      </c>
      <c r="D1428" s="4" t="s">
        <v>2510</v>
      </c>
    </row>
    <row r="1429">
      <c r="A1429" s="3">
        <v>26889.0</v>
      </c>
      <c r="B1429" s="2" t="s">
        <v>1200</v>
      </c>
      <c r="C1429" s="2" t="s">
        <v>2511</v>
      </c>
      <c r="D1429" s="4" t="s">
        <v>2512</v>
      </c>
    </row>
    <row r="1430">
      <c r="A1430" s="3">
        <v>26891.0</v>
      </c>
      <c r="B1430" s="2" t="s">
        <v>849</v>
      </c>
      <c r="C1430" s="2" t="s">
        <v>2513</v>
      </c>
      <c r="D1430" s="4" t="s">
        <v>2514</v>
      </c>
    </row>
    <row r="1431">
      <c r="A1431" s="3">
        <v>26892.0</v>
      </c>
      <c r="B1431" s="2" t="s">
        <v>849</v>
      </c>
      <c r="C1431" s="2" t="s">
        <v>2515</v>
      </c>
      <c r="D1431" s="4" t="s">
        <v>2516</v>
      </c>
    </row>
    <row r="1432">
      <c r="A1432" s="3">
        <v>26893.0</v>
      </c>
      <c r="B1432" s="2" t="s">
        <v>849</v>
      </c>
      <c r="C1432" s="2" t="s">
        <v>2517</v>
      </c>
      <c r="D1432" s="4" t="s">
        <v>2518</v>
      </c>
    </row>
    <row r="1433">
      <c r="A1433" s="3">
        <v>26893.0</v>
      </c>
      <c r="B1433" s="2" t="s">
        <v>849</v>
      </c>
      <c r="C1433" s="2" t="s">
        <v>9</v>
      </c>
      <c r="D1433" s="4" t="s">
        <v>2519</v>
      </c>
    </row>
    <row r="1434">
      <c r="A1434" s="3">
        <v>26894.0</v>
      </c>
      <c r="B1434" s="2" t="s">
        <v>849</v>
      </c>
      <c r="C1434" s="2" t="s">
        <v>11</v>
      </c>
      <c r="D1434" s="4" t="s">
        <v>2520</v>
      </c>
    </row>
    <row r="1435">
      <c r="A1435" s="3">
        <v>26895.0</v>
      </c>
      <c r="B1435" s="2" t="s">
        <v>849</v>
      </c>
      <c r="C1435" s="2" t="s">
        <v>14</v>
      </c>
      <c r="D1435" s="4" t="s">
        <v>2521</v>
      </c>
    </row>
    <row r="1436">
      <c r="A1436" s="3">
        <v>26896.0</v>
      </c>
      <c r="B1436" s="2" t="s">
        <v>849</v>
      </c>
      <c r="C1436" s="2" t="s">
        <v>2522</v>
      </c>
      <c r="D1436" s="4" t="s">
        <v>2523</v>
      </c>
    </row>
    <row r="1437">
      <c r="A1437" s="3">
        <v>26897.0</v>
      </c>
      <c r="B1437" s="2" t="s">
        <v>849</v>
      </c>
      <c r="C1437" s="2" t="s">
        <v>2062</v>
      </c>
      <c r="D1437" s="4" t="s">
        <v>2524</v>
      </c>
    </row>
    <row r="1438">
      <c r="A1438" s="3">
        <v>26897.0</v>
      </c>
      <c r="B1438" s="2" t="s">
        <v>849</v>
      </c>
      <c r="C1438" s="2" t="s">
        <v>2525</v>
      </c>
      <c r="D1438" s="4" t="s">
        <v>2526</v>
      </c>
    </row>
    <row r="1439">
      <c r="A1439" s="3">
        <v>26897.0</v>
      </c>
      <c r="B1439" s="2" t="s">
        <v>849</v>
      </c>
      <c r="C1439" s="2" t="s">
        <v>1320</v>
      </c>
      <c r="D1439" s="4" t="s">
        <v>2527</v>
      </c>
    </row>
    <row r="1440">
      <c r="A1440" s="3">
        <v>26898.0</v>
      </c>
      <c r="B1440" s="2" t="s">
        <v>849</v>
      </c>
      <c r="C1440" s="2" t="s">
        <v>2528</v>
      </c>
      <c r="D1440" s="4" t="s">
        <v>2529</v>
      </c>
    </row>
    <row r="1441">
      <c r="A1441" s="3">
        <v>26898.0</v>
      </c>
      <c r="B1441" s="2" t="s">
        <v>849</v>
      </c>
      <c r="C1441" s="2" t="s">
        <v>2530</v>
      </c>
      <c r="D1441" s="4" t="s">
        <v>2531</v>
      </c>
    </row>
    <row r="1442">
      <c r="A1442" s="3">
        <v>26898.0</v>
      </c>
      <c r="B1442" s="2" t="s">
        <v>849</v>
      </c>
      <c r="C1442" s="2" t="s">
        <v>2532</v>
      </c>
      <c r="D1442" s="4" t="s">
        <v>2533</v>
      </c>
    </row>
    <row r="1443">
      <c r="A1443" s="3">
        <v>26899.0</v>
      </c>
      <c r="B1443" s="2" t="s">
        <v>849</v>
      </c>
      <c r="C1443" s="2" t="s">
        <v>2064</v>
      </c>
      <c r="D1443" s="4" t="s">
        <v>2534</v>
      </c>
    </row>
    <row r="1444">
      <c r="A1444" s="3">
        <v>26899.0</v>
      </c>
      <c r="B1444" s="2" t="s">
        <v>849</v>
      </c>
      <c r="C1444" s="2" t="s">
        <v>2535</v>
      </c>
      <c r="D1444" s="4" t="s">
        <v>2536</v>
      </c>
    </row>
    <row r="1445">
      <c r="A1445" s="3">
        <v>26900.0</v>
      </c>
      <c r="B1445" s="2" t="s">
        <v>849</v>
      </c>
      <c r="C1445" s="2" t="s">
        <v>2066</v>
      </c>
      <c r="D1445" s="4" t="s">
        <v>2537</v>
      </c>
    </row>
    <row r="1446">
      <c r="A1446" s="3">
        <v>26901.0</v>
      </c>
      <c r="B1446" s="2" t="s">
        <v>849</v>
      </c>
      <c r="C1446" s="2" t="s">
        <v>2538</v>
      </c>
      <c r="D1446" s="4" t="s">
        <v>2539</v>
      </c>
    </row>
    <row r="1447">
      <c r="A1447" s="3">
        <v>26902.0</v>
      </c>
      <c r="B1447" s="2" t="s">
        <v>849</v>
      </c>
      <c r="C1447" s="2" t="s">
        <v>2540</v>
      </c>
      <c r="D1447" s="4" t="s">
        <v>2541</v>
      </c>
    </row>
    <row r="1448">
      <c r="A1448" s="3">
        <v>26902.0</v>
      </c>
      <c r="B1448" s="2" t="s">
        <v>849</v>
      </c>
      <c r="C1448" s="2" t="s">
        <v>2373</v>
      </c>
      <c r="D1448" s="4" t="s">
        <v>2542</v>
      </c>
    </row>
    <row r="1449">
      <c r="A1449" s="3">
        <v>26902.0</v>
      </c>
      <c r="B1449" s="2" t="s">
        <v>849</v>
      </c>
      <c r="C1449" s="2" t="s">
        <v>82</v>
      </c>
      <c r="D1449" s="4" t="s">
        <v>2543</v>
      </c>
    </row>
    <row r="1450">
      <c r="A1450" s="3">
        <v>26903.0</v>
      </c>
      <c r="B1450" s="2" t="s">
        <v>849</v>
      </c>
      <c r="C1450" s="2" t="s">
        <v>1747</v>
      </c>
      <c r="D1450" s="4" t="s">
        <v>2544</v>
      </c>
    </row>
    <row r="1451">
      <c r="A1451" s="3">
        <v>26903.0</v>
      </c>
      <c r="B1451" s="2" t="s">
        <v>849</v>
      </c>
      <c r="C1451" s="2" t="s">
        <v>2545</v>
      </c>
      <c r="D1451" s="4" t="s">
        <v>2546</v>
      </c>
    </row>
    <row r="1452">
      <c r="A1452" s="3">
        <v>26904.0</v>
      </c>
      <c r="B1452" s="2" t="s">
        <v>849</v>
      </c>
      <c r="C1452" s="2" t="s">
        <v>2339</v>
      </c>
      <c r="D1452" s="4" t="s">
        <v>2547</v>
      </c>
    </row>
    <row r="1453">
      <c r="A1453" s="3">
        <v>26904.0</v>
      </c>
      <c r="B1453" s="2" t="s">
        <v>849</v>
      </c>
      <c r="C1453" s="2" t="s">
        <v>2079</v>
      </c>
      <c r="D1453" s="4" t="s">
        <v>2548</v>
      </c>
    </row>
    <row r="1454">
      <c r="A1454" s="3">
        <v>26905.0</v>
      </c>
      <c r="B1454" s="2" t="s">
        <v>849</v>
      </c>
      <c r="C1454" s="2" t="s">
        <v>2549</v>
      </c>
      <c r="D1454" s="4" t="s">
        <v>2550</v>
      </c>
    </row>
    <row r="1455">
      <c r="A1455" s="3">
        <v>26906.0</v>
      </c>
      <c r="B1455" s="2" t="s">
        <v>849</v>
      </c>
      <c r="C1455" s="2" t="s">
        <v>1671</v>
      </c>
      <c r="D1455" s="4" t="s">
        <v>2551</v>
      </c>
    </row>
    <row r="1456">
      <c r="A1456" s="3">
        <v>26906.0</v>
      </c>
      <c r="B1456" s="2" t="s">
        <v>849</v>
      </c>
      <c r="C1456" s="2" t="s">
        <v>2552</v>
      </c>
      <c r="D1456" s="4" t="s">
        <v>2553</v>
      </c>
    </row>
    <row r="1457">
      <c r="A1457" s="3">
        <v>26906.0</v>
      </c>
      <c r="B1457" s="2" t="s">
        <v>849</v>
      </c>
      <c r="C1457" s="2" t="s">
        <v>2554</v>
      </c>
      <c r="D1457" s="4" t="s">
        <v>2555</v>
      </c>
    </row>
    <row r="1458">
      <c r="A1458" s="3">
        <v>26907.0</v>
      </c>
      <c r="B1458" s="2" t="s">
        <v>849</v>
      </c>
      <c r="C1458" s="2" t="s">
        <v>2556</v>
      </c>
      <c r="D1458" s="4" t="s">
        <v>2557</v>
      </c>
    </row>
    <row r="1459">
      <c r="A1459" s="3">
        <v>26907.0</v>
      </c>
      <c r="B1459" s="2" t="s">
        <v>849</v>
      </c>
      <c r="C1459" s="2" t="s">
        <v>2558</v>
      </c>
      <c r="D1459" s="4" t="s">
        <v>2559</v>
      </c>
    </row>
    <row r="1460">
      <c r="A1460" s="1" t="s">
        <v>2560</v>
      </c>
      <c r="B1460" s="2" t="s">
        <v>849</v>
      </c>
      <c r="C1460" s="2" t="s">
        <v>2561</v>
      </c>
      <c r="D1460" s="4" t="s">
        <v>2562</v>
      </c>
    </row>
    <row r="1461">
      <c r="A1461" s="1" t="s">
        <v>2560</v>
      </c>
      <c r="B1461" s="2" t="s">
        <v>849</v>
      </c>
      <c r="C1461" s="2" t="s">
        <v>2563</v>
      </c>
      <c r="D1461" s="4" t="s">
        <v>2564</v>
      </c>
    </row>
    <row r="1462">
      <c r="A1462" s="1" t="s">
        <v>2560</v>
      </c>
      <c r="B1462" s="2" t="s">
        <v>849</v>
      </c>
      <c r="C1462" s="2" t="s">
        <v>379</v>
      </c>
      <c r="D1462" s="4" t="s">
        <v>2565</v>
      </c>
    </row>
    <row r="1463">
      <c r="A1463" s="1" t="s">
        <v>2566</v>
      </c>
      <c r="B1463" s="2" t="s">
        <v>849</v>
      </c>
      <c r="C1463" s="2" t="s">
        <v>2567</v>
      </c>
      <c r="D1463" s="4" t="s">
        <v>2568</v>
      </c>
    </row>
    <row r="1464">
      <c r="A1464" s="1" t="s">
        <v>2566</v>
      </c>
      <c r="B1464" s="2" t="s">
        <v>849</v>
      </c>
      <c r="C1464" s="2" t="s">
        <v>2392</v>
      </c>
      <c r="D1464" s="4" t="s">
        <v>2569</v>
      </c>
    </row>
    <row r="1465">
      <c r="A1465" s="1" t="s">
        <v>2570</v>
      </c>
      <c r="B1465" s="2" t="s">
        <v>849</v>
      </c>
      <c r="C1465" s="2" t="s">
        <v>2571</v>
      </c>
      <c r="D1465" s="4" t="s">
        <v>2572</v>
      </c>
    </row>
    <row r="1466">
      <c r="A1466" s="1" t="s">
        <v>2573</v>
      </c>
      <c r="B1466" s="2" t="s">
        <v>849</v>
      </c>
      <c r="C1466" s="2" t="s">
        <v>2574</v>
      </c>
      <c r="D1466" s="4" t="s">
        <v>2575</v>
      </c>
    </row>
    <row r="1467">
      <c r="A1467" s="1" t="s">
        <v>2576</v>
      </c>
      <c r="B1467" s="2" t="s">
        <v>849</v>
      </c>
      <c r="C1467" s="2" t="s">
        <v>2577</v>
      </c>
      <c r="D1467" s="4" t="s">
        <v>2578</v>
      </c>
    </row>
    <row r="1468">
      <c r="A1468" s="1" t="s">
        <v>2576</v>
      </c>
      <c r="B1468" s="2" t="s">
        <v>2579</v>
      </c>
      <c r="C1468" s="2" t="s">
        <v>2580</v>
      </c>
      <c r="D1468" s="4" t="s">
        <v>2581</v>
      </c>
    </row>
    <row r="1469">
      <c r="A1469" s="1" t="s">
        <v>2576</v>
      </c>
      <c r="B1469" s="2" t="s">
        <v>2579</v>
      </c>
      <c r="C1469" s="2" t="s">
        <v>2582</v>
      </c>
      <c r="D1469" s="4" t="s">
        <v>2583</v>
      </c>
    </row>
    <row r="1470">
      <c r="A1470" s="1" t="s">
        <v>2576</v>
      </c>
      <c r="B1470" s="2" t="s">
        <v>2579</v>
      </c>
      <c r="C1470" s="2" t="s">
        <v>2584</v>
      </c>
      <c r="D1470" s="4" t="s">
        <v>2585</v>
      </c>
    </row>
    <row r="1471">
      <c r="A1471" s="1" t="s">
        <v>2586</v>
      </c>
      <c r="B1471" s="2" t="s">
        <v>2579</v>
      </c>
      <c r="C1471" s="2" t="s">
        <v>2587</v>
      </c>
      <c r="D1471" s="4" t="s">
        <v>2588</v>
      </c>
    </row>
    <row r="1472">
      <c r="A1472" s="1" t="s">
        <v>2586</v>
      </c>
      <c r="B1472" s="2" t="s">
        <v>2579</v>
      </c>
      <c r="C1472" s="2" t="s">
        <v>2589</v>
      </c>
      <c r="D1472" s="4" t="s">
        <v>2590</v>
      </c>
    </row>
    <row r="1473">
      <c r="A1473" s="1" t="s">
        <v>2591</v>
      </c>
      <c r="B1473" s="2" t="s">
        <v>2579</v>
      </c>
      <c r="C1473" s="2" t="s">
        <v>873</v>
      </c>
      <c r="D1473" s="4" t="s">
        <v>2592</v>
      </c>
    </row>
    <row r="1474">
      <c r="A1474" s="1" t="s">
        <v>2591</v>
      </c>
      <c r="B1474" s="2" t="s">
        <v>2579</v>
      </c>
      <c r="C1474" s="2" t="s">
        <v>2593</v>
      </c>
      <c r="D1474" s="4" t="s">
        <v>2594</v>
      </c>
    </row>
    <row r="1475">
      <c r="A1475" s="1" t="s">
        <v>2591</v>
      </c>
      <c r="B1475" s="2" t="s">
        <v>2579</v>
      </c>
      <c r="C1475" s="2" t="s">
        <v>2595</v>
      </c>
      <c r="D1475" s="4" t="s">
        <v>2596</v>
      </c>
    </row>
    <row r="1476">
      <c r="A1476" s="1" t="s">
        <v>2597</v>
      </c>
      <c r="B1476" s="2" t="s">
        <v>2579</v>
      </c>
      <c r="C1476" s="2" t="s">
        <v>671</v>
      </c>
      <c r="D1476" s="4" t="s">
        <v>2598</v>
      </c>
    </row>
    <row r="1477">
      <c r="A1477" s="1" t="s">
        <v>2597</v>
      </c>
      <c r="B1477" s="2" t="s">
        <v>2599</v>
      </c>
      <c r="C1477" s="2" t="s">
        <v>369</v>
      </c>
      <c r="D1477" s="4" t="s">
        <v>2600</v>
      </c>
    </row>
    <row r="1478">
      <c r="A1478" s="1" t="s">
        <v>2601</v>
      </c>
      <c r="B1478" s="2" t="s">
        <v>2579</v>
      </c>
      <c r="C1478" s="2" t="s">
        <v>2602</v>
      </c>
      <c r="D1478" s="4" t="s">
        <v>2603</v>
      </c>
    </row>
    <row r="1479">
      <c r="A1479" s="1" t="s">
        <v>2601</v>
      </c>
      <c r="B1479" s="2" t="s">
        <v>2579</v>
      </c>
      <c r="C1479" s="2" t="s">
        <v>2604</v>
      </c>
      <c r="D1479" s="4" t="s">
        <v>2605</v>
      </c>
    </row>
    <row r="1480">
      <c r="A1480" s="1" t="s">
        <v>2601</v>
      </c>
      <c r="B1480" s="2" t="s">
        <v>2579</v>
      </c>
      <c r="C1480" s="2" t="s">
        <v>2606</v>
      </c>
      <c r="D1480" s="4" t="s">
        <v>2607</v>
      </c>
    </row>
    <row r="1481">
      <c r="A1481" s="1" t="s">
        <v>2608</v>
      </c>
      <c r="B1481" s="2" t="s">
        <v>2579</v>
      </c>
      <c r="C1481" s="2" t="s">
        <v>1297</v>
      </c>
      <c r="D1481" s="4" t="s">
        <v>2609</v>
      </c>
    </row>
    <row r="1482">
      <c r="A1482" s="1" t="s">
        <v>2608</v>
      </c>
      <c r="B1482" s="2" t="s">
        <v>2579</v>
      </c>
      <c r="C1482" s="2" t="s">
        <v>2610</v>
      </c>
      <c r="D1482" s="4" t="s">
        <v>2611</v>
      </c>
    </row>
    <row r="1483">
      <c r="A1483" s="1" t="s">
        <v>2608</v>
      </c>
      <c r="B1483" s="2" t="s">
        <v>2579</v>
      </c>
      <c r="C1483" s="2" t="s">
        <v>1340</v>
      </c>
      <c r="D1483" s="4" t="s">
        <v>2612</v>
      </c>
    </row>
    <row r="1484">
      <c r="A1484" s="1" t="s">
        <v>2613</v>
      </c>
      <c r="B1484" s="2" t="s">
        <v>849</v>
      </c>
      <c r="C1484" s="2" t="s">
        <v>822</v>
      </c>
      <c r="D1484" s="4" t="s">
        <v>2614</v>
      </c>
    </row>
    <row r="1485">
      <c r="A1485" s="1" t="s">
        <v>2613</v>
      </c>
      <c r="B1485" s="2" t="s">
        <v>849</v>
      </c>
      <c r="C1485" s="2" t="s">
        <v>2615</v>
      </c>
      <c r="D1485" s="4" t="s">
        <v>2616</v>
      </c>
    </row>
    <row r="1486">
      <c r="A1486" s="1" t="s">
        <v>2613</v>
      </c>
      <c r="B1486" s="2" t="s">
        <v>849</v>
      </c>
      <c r="C1486" s="2" t="s">
        <v>2617</v>
      </c>
      <c r="D1486" s="4" t="s">
        <v>2618</v>
      </c>
    </row>
    <row r="1487">
      <c r="A1487" s="1" t="s">
        <v>2619</v>
      </c>
      <c r="B1487" s="2" t="s">
        <v>849</v>
      </c>
      <c r="C1487" s="2" t="s">
        <v>2620</v>
      </c>
      <c r="D1487" s="4" t="s">
        <v>2621</v>
      </c>
    </row>
    <row r="1488">
      <c r="A1488" s="1" t="s">
        <v>2622</v>
      </c>
      <c r="B1488" s="2" t="s">
        <v>980</v>
      </c>
      <c r="C1488" s="2" t="s">
        <v>2623</v>
      </c>
      <c r="D1488" s="4" t="s">
        <v>2624</v>
      </c>
    </row>
    <row r="1489">
      <c r="A1489" s="1" t="s">
        <v>2622</v>
      </c>
      <c r="B1489" s="2" t="s">
        <v>980</v>
      </c>
      <c r="C1489" s="2" t="s">
        <v>379</v>
      </c>
      <c r="D1489" s="4" t="s">
        <v>2625</v>
      </c>
    </row>
    <row r="1490">
      <c r="A1490" s="1" t="s">
        <v>2626</v>
      </c>
      <c r="B1490" s="2" t="s">
        <v>980</v>
      </c>
      <c r="C1490" s="2" t="s">
        <v>379</v>
      </c>
      <c r="D1490" s="4" t="s">
        <v>2627</v>
      </c>
    </row>
    <row r="1491">
      <c r="A1491" s="1" t="s">
        <v>2628</v>
      </c>
      <c r="B1491" s="2" t="s">
        <v>980</v>
      </c>
      <c r="C1491" s="2" t="s">
        <v>82</v>
      </c>
      <c r="D1491" s="4" t="s">
        <v>2629</v>
      </c>
    </row>
    <row r="1492">
      <c r="A1492" s="1" t="s">
        <v>2628</v>
      </c>
      <c r="B1492" s="2" t="s">
        <v>980</v>
      </c>
      <c r="C1492" s="2" t="s">
        <v>379</v>
      </c>
      <c r="D1492" s="4" t="s">
        <v>2630</v>
      </c>
    </row>
    <row r="1493">
      <c r="A1493" s="1" t="s">
        <v>2628</v>
      </c>
      <c r="B1493" s="2" t="s">
        <v>980</v>
      </c>
      <c r="C1493" s="2" t="s">
        <v>2631</v>
      </c>
      <c r="D1493" s="4" t="s">
        <v>2632</v>
      </c>
    </row>
    <row r="1494">
      <c r="A1494" s="1" t="s">
        <v>2633</v>
      </c>
      <c r="B1494" s="2" t="s">
        <v>980</v>
      </c>
      <c r="C1494" s="2" t="s">
        <v>2113</v>
      </c>
      <c r="D1494" s="4" t="s">
        <v>2634</v>
      </c>
    </row>
    <row r="1495">
      <c r="A1495" s="1" t="s">
        <v>2635</v>
      </c>
      <c r="B1495" s="2" t="s">
        <v>980</v>
      </c>
      <c r="C1495" s="2" t="s">
        <v>2113</v>
      </c>
      <c r="D1495" s="4" t="s">
        <v>2636</v>
      </c>
    </row>
    <row r="1496">
      <c r="A1496" s="1" t="s">
        <v>2637</v>
      </c>
      <c r="B1496" s="2" t="s">
        <v>980</v>
      </c>
      <c r="C1496" s="2" t="s">
        <v>2118</v>
      </c>
      <c r="D1496" s="4" t="s">
        <v>2638</v>
      </c>
    </row>
    <row r="1497">
      <c r="A1497" s="1" t="s">
        <v>2639</v>
      </c>
      <c r="B1497" s="2" t="s">
        <v>980</v>
      </c>
      <c r="C1497" s="2" t="s">
        <v>2501</v>
      </c>
      <c r="D1497" s="4" t="s">
        <v>2640</v>
      </c>
    </row>
    <row r="1498">
      <c r="A1498" s="1" t="s">
        <v>2641</v>
      </c>
      <c r="B1498" s="2" t="s">
        <v>980</v>
      </c>
      <c r="C1498" s="2" t="s">
        <v>2503</v>
      </c>
      <c r="D1498" s="4" t="s">
        <v>2642</v>
      </c>
    </row>
    <row r="1499">
      <c r="A1499" s="1" t="s">
        <v>2643</v>
      </c>
      <c r="B1499" s="2" t="s">
        <v>980</v>
      </c>
      <c r="C1499" s="2" t="s">
        <v>552</v>
      </c>
      <c r="D1499" s="4" t="s">
        <v>2644</v>
      </c>
    </row>
    <row r="1500">
      <c r="A1500" s="1" t="s">
        <v>2645</v>
      </c>
      <c r="B1500" s="2" t="s">
        <v>980</v>
      </c>
      <c r="C1500" s="2" t="s">
        <v>2646</v>
      </c>
      <c r="D1500" s="4" t="s">
        <v>2647</v>
      </c>
    </row>
    <row r="1501">
      <c r="A1501" s="3">
        <v>26939.0</v>
      </c>
      <c r="B1501" s="2" t="s">
        <v>980</v>
      </c>
      <c r="C1501" s="2" t="s">
        <v>2646</v>
      </c>
      <c r="D1501" s="4" t="s">
        <v>2648</v>
      </c>
    </row>
    <row r="1502">
      <c r="A1502" s="3">
        <v>26940.0</v>
      </c>
      <c r="B1502" s="2" t="s">
        <v>980</v>
      </c>
      <c r="C1502" s="2" t="s">
        <v>2646</v>
      </c>
      <c r="D1502" s="4" t="s">
        <v>2649</v>
      </c>
    </row>
    <row r="1503">
      <c r="A1503" s="3">
        <v>26941.0</v>
      </c>
      <c r="B1503" s="2" t="s">
        <v>980</v>
      </c>
      <c r="C1503" s="2" t="s">
        <v>2375</v>
      </c>
      <c r="D1503" s="4" t="s">
        <v>2650</v>
      </c>
    </row>
    <row r="1504">
      <c r="A1504" s="3">
        <v>26942.0</v>
      </c>
      <c r="B1504" s="2" t="s">
        <v>980</v>
      </c>
      <c r="C1504" s="2" t="s">
        <v>2646</v>
      </c>
      <c r="D1504" s="4" t="s">
        <v>2651</v>
      </c>
    </row>
    <row r="1505">
      <c r="A1505" s="3">
        <v>26943.0</v>
      </c>
      <c r="B1505" s="2" t="s">
        <v>980</v>
      </c>
      <c r="C1505" s="2" t="s">
        <v>2652</v>
      </c>
      <c r="D1505" s="4" t="s">
        <v>2653</v>
      </c>
    </row>
    <row r="1506">
      <c r="A1506" s="3">
        <v>26944.0</v>
      </c>
      <c r="B1506" s="2" t="s">
        <v>980</v>
      </c>
      <c r="C1506" s="2" t="s">
        <v>2654</v>
      </c>
      <c r="D1506" s="4" t="s">
        <v>2655</v>
      </c>
    </row>
    <row r="1507">
      <c r="A1507" s="3">
        <v>26946.0</v>
      </c>
      <c r="B1507" s="2" t="s">
        <v>980</v>
      </c>
      <c r="C1507" s="2" t="s">
        <v>2656</v>
      </c>
      <c r="D1507" s="4" t="s">
        <v>2657</v>
      </c>
    </row>
    <row r="1508">
      <c r="A1508" s="3">
        <v>26947.0</v>
      </c>
      <c r="B1508" s="2" t="s">
        <v>980</v>
      </c>
      <c r="C1508" s="2" t="s">
        <v>2658</v>
      </c>
      <c r="D1508" s="4" t="s">
        <v>2659</v>
      </c>
    </row>
    <row r="1509">
      <c r="A1509" s="3">
        <v>26948.0</v>
      </c>
      <c r="B1509" s="2" t="s">
        <v>980</v>
      </c>
      <c r="C1509" s="2" t="s">
        <v>2660</v>
      </c>
      <c r="D1509" s="4" t="s">
        <v>2661</v>
      </c>
    </row>
    <row r="1510">
      <c r="A1510" s="3">
        <v>26949.0</v>
      </c>
      <c r="B1510" s="2" t="s">
        <v>980</v>
      </c>
      <c r="C1510" s="2" t="s">
        <v>2662</v>
      </c>
      <c r="D1510" s="4" t="s">
        <v>2663</v>
      </c>
    </row>
    <row r="1511">
      <c r="A1511" s="3">
        <v>26950.0</v>
      </c>
      <c r="B1511" s="2" t="s">
        <v>980</v>
      </c>
      <c r="C1511" s="2" t="s">
        <v>2664</v>
      </c>
      <c r="D1511" s="4" t="s">
        <v>2665</v>
      </c>
    </row>
    <row r="1512">
      <c r="A1512" s="3">
        <v>26951.0</v>
      </c>
      <c r="B1512" s="2" t="s">
        <v>980</v>
      </c>
      <c r="C1512" s="2" t="s">
        <v>2666</v>
      </c>
      <c r="D1512" s="4" t="s">
        <v>2667</v>
      </c>
    </row>
    <row r="1513">
      <c r="A1513" s="3">
        <v>26952.0</v>
      </c>
      <c r="B1513" s="2" t="s">
        <v>980</v>
      </c>
      <c r="C1513" s="2" t="s">
        <v>2668</v>
      </c>
      <c r="D1513" s="4" t="s">
        <v>2669</v>
      </c>
    </row>
    <row r="1514">
      <c r="A1514" s="3">
        <v>26955.0</v>
      </c>
      <c r="B1514" s="2" t="s">
        <v>980</v>
      </c>
      <c r="C1514" s="2" t="s">
        <v>2670</v>
      </c>
      <c r="D1514" s="4" t="s">
        <v>2671</v>
      </c>
    </row>
    <row r="1515">
      <c r="A1515" s="3">
        <v>26957.0</v>
      </c>
      <c r="B1515" s="2" t="s">
        <v>980</v>
      </c>
      <c r="C1515" s="2" t="s">
        <v>2672</v>
      </c>
      <c r="D1515" s="4" t="s">
        <v>2673</v>
      </c>
    </row>
    <row r="1516">
      <c r="A1516" s="3">
        <v>26959.0</v>
      </c>
      <c r="B1516" s="2" t="s">
        <v>980</v>
      </c>
      <c r="C1516" s="2" t="s">
        <v>2674</v>
      </c>
      <c r="D1516" s="4" t="s">
        <v>2675</v>
      </c>
    </row>
    <row r="1517">
      <c r="A1517" s="3">
        <v>26960.0</v>
      </c>
      <c r="B1517" s="2" t="s">
        <v>980</v>
      </c>
      <c r="C1517" s="2" t="s">
        <v>2676</v>
      </c>
      <c r="D1517" s="4" t="s">
        <v>2677</v>
      </c>
    </row>
    <row r="1518">
      <c r="A1518" s="3">
        <v>26962.0</v>
      </c>
      <c r="B1518" s="2" t="s">
        <v>980</v>
      </c>
      <c r="C1518" s="2" t="s">
        <v>2678</v>
      </c>
      <c r="D1518" s="4" t="s">
        <v>2679</v>
      </c>
    </row>
    <row r="1519">
      <c r="A1519" s="3">
        <v>26963.0</v>
      </c>
      <c r="B1519" s="2" t="s">
        <v>980</v>
      </c>
      <c r="C1519" s="2" t="s">
        <v>2680</v>
      </c>
      <c r="D1519" s="4" t="s">
        <v>2681</v>
      </c>
    </row>
    <row r="1520">
      <c r="A1520" s="3">
        <v>26963.0</v>
      </c>
      <c r="B1520" s="2" t="s">
        <v>980</v>
      </c>
      <c r="C1520" s="2" t="s">
        <v>2193</v>
      </c>
      <c r="D1520" s="4" t="s">
        <v>2682</v>
      </c>
    </row>
    <row r="1521">
      <c r="A1521" s="3">
        <v>26963.0</v>
      </c>
      <c r="B1521" s="2" t="s">
        <v>980</v>
      </c>
      <c r="C1521" s="2" t="s">
        <v>2683</v>
      </c>
      <c r="D1521" s="4" t="s">
        <v>2684</v>
      </c>
    </row>
    <row r="1522">
      <c r="A1522" s="3">
        <v>26965.0</v>
      </c>
      <c r="B1522" s="9" t="s">
        <v>1417</v>
      </c>
      <c r="C1522" s="2" t="s">
        <v>2685</v>
      </c>
      <c r="D1522" s="4" t="s">
        <v>2686</v>
      </c>
    </row>
    <row r="1523">
      <c r="A1523" s="3">
        <v>26966.0</v>
      </c>
      <c r="B1523" s="9" t="s">
        <v>1417</v>
      </c>
      <c r="C1523" s="2" t="s">
        <v>2680</v>
      </c>
      <c r="D1523" s="4" t="s">
        <v>2687</v>
      </c>
    </row>
    <row r="1524">
      <c r="A1524" s="3">
        <v>26967.0</v>
      </c>
      <c r="B1524" s="9" t="s">
        <v>1417</v>
      </c>
      <c r="C1524" s="2" t="s">
        <v>2688</v>
      </c>
      <c r="D1524" s="4" t="s">
        <v>2689</v>
      </c>
    </row>
    <row r="1525">
      <c r="A1525" s="3">
        <v>26968.0</v>
      </c>
      <c r="B1525" s="9" t="s">
        <v>1417</v>
      </c>
      <c r="C1525" s="2" t="s">
        <v>400</v>
      </c>
      <c r="D1525" s="4" t="s">
        <v>2690</v>
      </c>
    </row>
    <row r="1526">
      <c r="A1526" s="3">
        <v>26968.0</v>
      </c>
      <c r="B1526" s="9" t="s">
        <v>1417</v>
      </c>
      <c r="C1526" s="2" t="s">
        <v>379</v>
      </c>
      <c r="D1526" s="4" t="s">
        <v>2691</v>
      </c>
    </row>
    <row r="1527">
      <c r="A1527" s="3">
        <v>26969.0</v>
      </c>
      <c r="B1527" s="2" t="s">
        <v>1392</v>
      </c>
      <c r="C1527" s="2" t="s">
        <v>1960</v>
      </c>
      <c r="D1527" s="4" t="s">
        <v>2692</v>
      </c>
    </row>
    <row r="1528">
      <c r="A1528" s="3">
        <v>26969.0</v>
      </c>
      <c r="B1528" s="2" t="s">
        <v>1392</v>
      </c>
      <c r="C1528" s="2" t="s">
        <v>379</v>
      </c>
      <c r="D1528" s="4" t="s">
        <v>2693</v>
      </c>
    </row>
    <row r="1529">
      <c r="A1529" s="3">
        <v>26969.0</v>
      </c>
      <c r="B1529" s="2" t="s">
        <v>1392</v>
      </c>
      <c r="C1529" s="2" t="s">
        <v>2694</v>
      </c>
      <c r="D1529" s="4" t="s">
        <v>2695</v>
      </c>
    </row>
    <row r="1530">
      <c r="A1530" s="3">
        <v>26970.0</v>
      </c>
      <c r="B1530" s="2" t="s">
        <v>1392</v>
      </c>
      <c r="C1530" s="2" t="s">
        <v>379</v>
      </c>
      <c r="D1530" s="4" t="s">
        <v>2696</v>
      </c>
    </row>
    <row r="1531">
      <c r="A1531" s="3">
        <v>26971.0</v>
      </c>
      <c r="B1531" s="2" t="s">
        <v>1392</v>
      </c>
      <c r="C1531" s="2" t="s">
        <v>2697</v>
      </c>
      <c r="D1531" s="4" t="s">
        <v>2698</v>
      </c>
    </row>
    <row r="1532">
      <c r="A1532" s="3">
        <v>26971.0</v>
      </c>
      <c r="B1532" s="2" t="s">
        <v>1392</v>
      </c>
      <c r="C1532" s="2" t="s">
        <v>2699</v>
      </c>
      <c r="D1532" s="4" t="s">
        <v>2700</v>
      </c>
    </row>
    <row r="1533">
      <c r="A1533" s="3">
        <v>26972.0</v>
      </c>
      <c r="B1533" s="2" t="s">
        <v>1392</v>
      </c>
      <c r="C1533" s="2" t="s">
        <v>957</v>
      </c>
      <c r="D1533" s="4" t="s">
        <v>2701</v>
      </c>
    </row>
    <row r="1534">
      <c r="A1534" s="3">
        <v>26972.0</v>
      </c>
      <c r="B1534" s="2" t="s">
        <v>1392</v>
      </c>
      <c r="C1534" s="2" t="s">
        <v>379</v>
      </c>
      <c r="D1534" s="4" t="s">
        <v>2702</v>
      </c>
    </row>
    <row r="1535">
      <c r="A1535" s="3">
        <v>26973.0</v>
      </c>
      <c r="B1535" s="2" t="s">
        <v>1392</v>
      </c>
      <c r="C1535" s="2" t="s">
        <v>379</v>
      </c>
      <c r="D1535" s="4" t="s">
        <v>2703</v>
      </c>
    </row>
    <row r="1536">
      <c r="A1536" s="3">
        <v>26973.0</v>
      </c>
      <c r="B1536" s="2" t="s">
        <v>1392</v>
      </c>
      <c r="C1536" s="2" t="s">
        <v>379</v>
      </c>
      <c r="D1536" s="4" t="s">
        <v>2704</v>
      </c>
    </row>
    <row r="1537">
      <c r="A1537" s="3">
        <v>26974.0</v>
      </c>
      <c r="B1537" s="2" t="s">
        <v>1392</v>
      </c>
      <c r="C1537" s="2" t="s">
        <v>2705</v>
      </c>
      <c r="D1537" s="4" t="s">
        <v>2706</v>
      </c>
    </row>
    <row r="1538">
      <c r="A1538" s="3">
        <v>26974.0</v>
      </c>
      <c r="B1538" s="2" t="s">
        <v>1392</v>
      </c>
      <c r="C1538" s="2" t="s">
        <v>379</v>
      </c>
      <c r="D1538" s="4" t="s">
        <v>2707</v>
      </c>
    </row>
    <row r="1539">
      <c r="A1539" s="3">
        <v>26975.0</v>
      </c>
      <c r="B1539" s="2" t="s">
        <v>1392</v>
      </c>
      <c r="C1539" s="2" t="s">
        <v>2708</v>
      </c>
      <c r="D1539" s="4" t="s">
        <v>2709</v>
      </c>
    </row>
    <row r="1540">
      <c r="A1540" s="3">
        <v>26976.0</v>
      </c>
      <c r="B1540" s="2" t="s">
        <v>1392</v>
      </c>
      <c r="C1540" s="2" t="s">
        <v>2710</v>
      </c>
      <c r="D1540" s="4" t="s">
        <v>2711</v>
      </c>
    </row>
    <row r="1541">
      <c r="A1541" s="3">
        <v>26978.0</v>
      </c>
      <c r="B1541" s="2" t="s">
        <v>1392</v>
      </c>
      <c r="C1541" s="2" t="s">
        <v>2712</v>
      </c>
      <c r="D1541" s="4" t="s">
        <v>2713</v>
      </c>
    </row>
    <row r="1542">
      <c r="A1542" s="3">
        <v>26978.0</v>
      </c>
      <c r="B1542" s="2" t="s">
        <v>1392</v>
      </c>
      <c r="C1542" s="2" t="s">
        <v>2714</v>
      </c>
      <c r="D1542" s="4" t="s">
        <v>2715</v>
      </c>
    </row>
    <row r="1543">
      <c r="A1543" s="3">
        <v>26979.0</v>
      </c>
      <c r="B1543" s="2" t="s">
        <v>1392</v>
      </c>
      <c r="C1543" s="2" t="s">
        <v>457</v>
      </c>
      <c r="D1543" s="4" t="s">
        <v>2716</v>
      </c>
    </row>
    <row r="1544">
      <c r="A1544" s="3">
        <v>26979.0</v>
      </c>
      <c r="B1544" s="2" t="s">
        <v>1392</v>
      </c>
      <c r="C1544" s="2" t="s">
        <v>2717</v>
      </c>
      <c r="D1544" s="4" t="s">
        <v>2718</v>
      </c>
    </row>
    <row r="1545">
      <c r="A1545" s="3">
        <v>26980.0</v>
      </c>
      <c r="B1545" s="2" t="s">
        <v>1392</v>
      </c>
      <c r="C1545" s="2" t="s">
        <v>457</v>
      </c>
      <c r="D1545" s="4" t="s">
        <v>2719</v>
      </c>
    </row>
    <row r="1546">
      <c r="A1546" s="3">
        <v>26981.0</v>
      </c>
      <c r="B1546" s="2" t="s">
        <v>1392</v>
      </c>
      <c r="C1546" s="2" t="s">
        <v>1828</v>
      </c>
      <c r="D1546" s="4" t="s">
        <v>2720</v>
      </c>
    </row>
    <row r="1547">
      <c r="A1547" s="3">
        <v>26982.0</v>
      </c>
      <c r="B1547" s="2" t="s">
        <v>1392</v>
      </c>
      <c r="C1547" s="2" t="s">
        <v>2721</v>
      </c>
      <c r="D1547" s="4" t="s">
        <v>2722</v>
      </c>
    </row>
    <row r="1548">
      <c r="A1548" s="3">
        <v>26983.0</v>
      </c>
      <c r="B1548" s="2" t="s">
        <v>1392</v>
      </c>
      <c r="C1548" s="2" t="s">
        <v>2723</v>
      </c>
      <c r="D1548" s="4" t="s">
        <v>2724</v>
      </c>
    </row>
    <row r="1549">
      <c r="A1549" s="3">
        <v>26984.0</v>
      </c>
      <c r="B1549" s="2" t="s">
        <v>1392</v>
      </c>
      <c r="C1549" s="2" t="s">
        <v>2725</v>
      </c>
      <c r="D1549" s="4" t="s">
        <v>2726</v>
      </c>
    </row>
    <row r="1550">
      <c r="A1550" s="3">
        <v>26985.0</v>
      </c>
      <c r="B1550" s="2" t="s">
        <v>1392</v>
      </c>
      <c r="C1550" s="2" t="s">
        <v>1001</v>
      </c>
      <c r="D1550" s="4" t="s">
        <v>2727</v>
      </c>
    </row>
    <row r="1551">
      <c r="A1551" s="3">
        <v>26986.0</v>
      </c>
      <c r="B1551" s="2" t="s">
        <v>1392</v>
      </c>
      <c r="C1551" s="2" t="s">
        <v>1783</v>
      </c>
      <c r="D1551" s="4" t="s">
        <v>2728</v>
      </c>
    </row>
    <row r="1552">
      <c r="A1552" s="3">
        <v>26993.0</v>
      </c>
      <c r="B1552" s="2" t="s">
        <v>849</v>
      </c>
      <c r="C1552" s="2" t="s">
        <v>2337</v>
      </c>
      <c r="D1552" s="4" t="s">
        <v>2729</v>
      </c>
    </row>
    <row r="1553">
      <c r="A1553" s="3">
        <v>26997.0</v>
      </c>
      <c r="B1553" s="2" t="s">
        <v>4</v>
      </c>
      <c r="C1553" s="2" t="s">
        <v>2730</v>
      </c>
      <c r="D1553" s="4" t="s">
        <v>2731</v>
      </c>
    </row>
    <row r="1554">
      <c r="A1554" s="3">
        <v>26998.0</v>
      </c>
      <c r="B1554" s="2" t="s">
        <v>345</v>
      </c>
      <c r="C1554" s="2" t="s">
        <v>2732</v>
      </c>
      <c r="D1554" s="4" t="s">
        <v>2733</v>
      </c>
    </row>
    <row r="1555">
      <c r="A1555" s="3">
        <v>26999.0</v>
      </c>
      <c r="B1555" s="2" t="s">
        <v>345</v>
      </c>
      <c r="C1555" s="2" t="s">
        <v>2734</v>
      </c>
      <c r="D1555" s="4" t="s">
        <v>2735</v>
      </c>
    </row>
    <row r="1556">
      <c r="A1556" s="3">
        <v>27000.0</v>
      </c>
      <c r="B1556" s="2" t="s">
        <v>345</v>
      </c>
      <c r="C1556" s="2" t="s">
        <v>1671</v>
      </c>
      <c r="D1556" s="4" t="s">
        <v>2736</v>
      </c>
    </row>
    <row r="1557">
      <c r="A1557" s="3">
        <v>27000.0</v>
      </c>
      <c r="B1557" s="2" t="s">
        <v>345</v>
      </c>
      <c r="C1557" s="2" t="s">
        <v>2737</v>
      </c>
      <c r="D1557" s="4" t="s">
        <v>2738</v>
      </c>
    </row>
    <row r="1558">
      <c r="A1558" s="3">
        <v>27001.0</v>
      </c>
      <c r="B1558" s="2" t="s">
        <v>345</v>
      </c>
      <c r="C1558" s="2" t="s">
        <v>1671</v>
      </c>
      <c r="D1558" s="4" t="s">
        <v>2739</v>
      </c>
    </row>
    <row r="1559">
      <c r="A1559" s="3">
        <v>27001.0</v>
      </c>
      <c r="B1559" s="2" t="s">
        <v>345</v>
      </c>
      <c r="C1559" s="2" t="s">
        <v>2740</v>
      </c>
      <c r="D1559" s="4" t="s">
        <v>2741</v>
      </c>
    </row>
    <row r="1560">
      <c r="A1560" s="3">
        <v>27001.0</v>
      </c>
      <c r="B1560" s="2" t="s">
        <v>345</v>
      </c>
      <c r="C1560" s="2" t="s">
        <v>2742</v>
      </c>
      <c r="D1560" s="4" t="s">
        <v>2743</v>
      </c>
    </row>
    <row r="1561">
      <c r="A1561" s="3">
        <v>27002.0</v>
      </c>
      <c r="B1561" s="2" t="s">
        <v>345</v>
      </c>
      <c r="C1561" s="2" t="s">
        <v>1671</v>
      </c>
      <c r="D1561" s="4" t="s">
        <v>2744</v>
      </c>
    </row>
    <row r="1562">
      <c r="A1562" s="3">
        <v>27002.0</v>
      </c>
      <c r="B1562" s="2" t="s">
        <v>345</v>
      </c>
      <c r="C1562" s="2" t="s">
        <v>2745</v>
      </c>
      <c r="D1562" s="4" t="s">
        <v>2746</v>
      </c>
    </row>
    <row r="1563">
      <c r="A1563" s="3">
        <v>27002.0</v>
      </c>
      <c r="B1563" s="2" t="s">
        <v>345</v>
      </c>
      <c r="C1563" s="2" t="s">
        <v>2747</v>
      </c>
      <c r="D1563" s="4" t="s">
        <v>2748</v>
      </c>
    </row>
    <row r="1564">
      <c r="A1564" s="3">
        <v>27003.0</v>
      </c>
      <c r="B1564" s="2" t="s">
        <v>345</v>
      </c>
      <c r="C1564" s="2" t="s">
        <v>1671</v>
      </c>
      <c r="D1564" s="4" t="s">
        <v>2749</v>
      </c>
    </row>
    <row r="1565">
      <c r="A1565" s="3">
        <v>27003.0</v>
      </c>
      <c r="B1565" s="2" t="s">
        <v>345</v>
      </c>
      <c r="C1565" s="2" t="s">
        <v>2750</v>
      </c>
      <c r="D1565" s="4" t="s">
        <v>2751</v>
      </c>
    </row>
    <row r="1566">
      <c r="A1566" s="3">
        <v>27003.0</v>
      </c>
      <c r="B1566" s="2" t="s">
        <v>345</v>
      </c>
      <c r="C1566" s="2" t="s">
        <v>623</v>
      </c>
      <c r="D1566" s="4" t="s">
        <v>2752</v>
      </c>
    </row>
    <row r="1567">
      <c r="A1567" s="3">
        <v>27004.0</v>
      </c>
      <c r="B1567" s="2" t="s">
        <v>345</v>
      </c>
      <c r="C1567" s="2" t="s">
        <v>1671</v>
      </c>
      <c r="D1567" s="4" t="s">
        <v>2753</v>
      </c>
    </row>
    <row r="1568">
      <c r="A1568" s="3">
        <v>27004.0</v>
      </c>
      <c r="B1568" s="2" t="s">
        <v>345</v>
      </c>
      <c r="C1568" s="2" t="s">
        <v>2754</v>
      </c>
      <c r="D1568" s="4" t="s">
        <v>2755</v>
      </c>
    </row>
    <row r="1569">
      <c r="A1569" s="3">
        <v>27005.0</v>
      </c>
      <c r="B1569" s="2" t="s">
        <v>345</v>
      </c>
      <c r="C1569" s="2" t="s">
        <v>1671</v>
      </c>
      <c r="D1569" s="4" t="s">
        <v>2756</v>
      </c>
    </row>
    <row r="1570">
      <c r="A1570" s="3">
        <v>27005.0</v>
      </c>
      <c r="B1570" s="2" t="s">
        <v>345</v>
      </c>
      <c r="C1570" s="2" t="s">
        <v>2757</v>
      </c>
      <c r="D1570" s="4" t="s">
        <v>2758</v>
      </c>
    </row>
    <row r="1571">
      <c r="A1571" s="3">
        <v>27006.0</v>
      </c>
      <c r="B1571" s="2" t="s">
        <v>345</v>
      </c>
      <c r="C1571" s="2" t="s">
        <v>1671</v>
      </c>
      <c r="D1571" s="4" t="s">
        <v>2759</v>
      </c>
    </row>
    <row r="1572">
      <c r="A1572" s="3">
        <v>27006.0</v>
      </c>
      <c r="B1572" s="2" t="s">
        <v>345</v>
      </c>
      <c r="C1572" s="2" t="s">
        <v>2760</v>
      </c>
      <c r="D1572" s="4" t="s">
        <v>2761</v>
      </c>
    </row>
    <row r="1573">
      <c r="A1573" s="3">
        <v>27007.0</v>
      </c>
      <c r="B1573" s="2" t="s">
        <v>345</v>
      </c>
      <c r="C1573" s="2" t="s">
        <v>1671</v>
      </c>
      <c r="D1573" s="4" t="s">
        <v>2762</v>
      </c>
    </row>
    <row r="1574">
      <c r="A1574" s="3">
        <v>27007.0</v>
      </c>
      <c r="B1574" s="2" t="s">
        <v>345</v>
      </c>
      <c r="C1574" s="2" t="s">
        <v>2763</v>
      </c>
      <c r="D1574" s="4" t="s">
        <v>2764</v>
      </c>
    </row>
    <row r="1575">
      <c r="A1575" s="3">
        <v>27007.0</v>
      </c>
      <c r="B1575" s="2" t="s">
        <v>345</v>
      </c>
      <c r="C1575" s="2" t="s">
        <v>2765</v>
      </c>
      <c r="D1575" s="4" t="s">
        <v>2766</v>
      </c>
    </row>
    <row r="1576">
      <c r="A1576" s="3">
        <v>27007.0</v>
      </c>
      <c r="B1576" s="2" t="s">
        <v>345</v>
      </c>
      <c r="C1576" s="2" t="s">
        <v>2767</v>
      </c>
      <c r="D1576" s="4" t="s">
        <v>2768</v>
      </c>
    </row>
    <row r="1577">
      <c r="A1577" s="3">
        <v>27008.0</v>
      </c>
      <c r="B1577" s="2" t="s">
        <v>345</v>
      </c>
      <c r="C1577" s="2" t="s">
        <v>1671</v>
      </c>
      <c r="D1577" s="4" t="s">
        <v>2769</v>
      </c>
    </row>
    <row r="1578">
      <c r="A1578" s="3">
        <v>27008.0</v>
      </c>
      <c r="B1578" s="2" t="s">
        <v>345</v>
      </c>
      <c r="C1578" s="2" t="s">
        <v>2770</v>
      </c>
      <c r="D1578" s="4" t="s">
        <v>2771</v>
      </c>
    </row>
    <row r="1579">
      <c r="A1579" s="3">
        <v>27008.0</v>
      </c>
      <c r="B1579" s="2" t="s">
        <v>345</v>
      </c>
      <c r="C1579" s="2" t="s">
        <v>623</v>
      </c>
      <c r="D1579" s="4" t="s">
        <v>2772</v>
      </c>
    </row>
    <row r="1580">
      <c r="A1580" s="3">
        <v>27009.0</v>
      </c>
      <c r="B1580" s="2" t="s">
        <v>345</v>
      </c>
      <c r="C1580" s="2" t="s">
        <v>1671</v>
      </c>
      <c r="D1580" s="4" t="s">
        <v>2773</v>
      </c>
    </row>
    <row r="1581">
      <c r="A1581" s="3">
        <v>27009.0</v>
      </c>
      <c r="B1581" s="2" t="s">
        <v>345</v>
      </c>
      <c r="C1581" s="2" t="s">
        <v>2774</v>
      </c>
      <c r="D1581" s="4" t="s">
        <v>2775</v>
      </c>
    </row>
    <row r="1582">
      <c r="A1582" s="3">
        <v>27010.0</v>
      </c>
      <c r="B1582" s="2" t="s">
        <v>345</v>
      </c>
      <c r="C1582" s="2" t="s">
        <v>1671</v>
      </c>
      <c r="D1582" s="4" t="s">
        <v>2776</v>
      </c>
    </row>
    <row r="1583">
      <c r="A1583" s="3">
        <v>27010.0</v>
      </c>
      <c r="B1583" s="2" t="s">
        <v>345</v>
      </c>
      <c r="C1583" s="2" t="s">
        <v>2777</v>
      </c>
      <c r="D1583" s="4" t="s">
        <v>2778</v>
      </c>
    </row>
    <row r="1584">
      <c r="A1584" s="3">
        <v>27011.0</v>
      </c>
      <c r="B1584" s="2" t="s">
        <v>345</v>
      </c>
      <c r="C1584" s="2" t="s">
        <v>2779</v>
      </c>
      <c r="D1584" s="4" t="s">
        <v>2780</v>
      </c>
    </row>
    <row r="1585">
      <c r="A1585" s="3">
        <v>27011.0</v>
      </c>
      <c r="B1585" s="2" t="s">
        <v>345</v>
      </c>
      <c r="C1585" s="2" t="s">
        <v>1671</v>
      </c>
      <c r="D1585" s="4" t="s">
        <v>2781</v>
      </c>
    </row>
    <row r="1586">
      <c r="A1586" s="3">
        <v>27011.0</v>
      </c>
      <c r="B1586" s="2" t="s">
        <v>345</v>
      </c>
      <c r="C1586" s="2" t="s">
        <v>2782</v>
      </c>
      <c r="D1586" s="4" t="s">
        <v>2783</v>
      </c>
    </row>
    <row r="1587">
      <c r="A1587" s="3">
        <v>27011.0</v>
      </c>
      <c r="B1587" s="2" t="s">
        <v>345</v>
      </c>
      <c r="C1587" s="2" t="s">
        <v>2779</v>
      </c>
      <c r="D1587" s="4" t="s">
        <v>2780</v>
      </c>
    </row>
    <row r="1588">
      <c r="A1588" s="3">
        <v>27012.0</v>
      </c>
      <c r="B1588" s="2" t="s">
        <v>345</v>
      </c>
      <c r="C1588" s="2" t="s">
        <v>1671</v>
      </c>
      <c r="D1588" s="4" t="s">
        <v>2784</v>
      </c>
    </row>
    <row r="1589">
      <c r="A1589" s="3">
        <v>27012.0</v>
      </c>
      <c r="B1589" s="2" t="s">
        <v>345</v>
      </c>
      <c r="C1589" s="2" t="s">
        <v>2785</v>
      </c>
      <c r="D1589" s="4" t="s">
        <v>2786</v>
      </c>
    </row>
    <row r="1590">
      <c r="A1590" s="3">
        <v>27012.0</v>
      </c>
      <c r="B1590" s="2" t="s">
        <v>345</v>
      </c>
      <c r="C1590" s="2" t="s">
        <v>2787</v>
      </c>
      <c r="D1590" s="4" t="s">
        <v>2788</v>
      </c>
    </row>
    <row r="1591">
      <c r="A1591" s="3">
        <v>27013.0</v>
      </c>
      <c r="B1591" s="2" t="s">
        <v>345</v>
      </c>
      <c r="C1591" s="2" t="s">
        <v>1671</v>
      </c>
      <c r="D1591" s="4" t="s">
        <v>2789</v>
      </c>
    </row>
    <row r="1592">
      <c r="A1592" s="3">
        <v>27013.0</v>
      </c>
      <c r="B1592" s="2" t="s">
        <v>345</v>
      </c>
      <c r="C1592" s="2" t="s">
        <v>2790</v>
      </c>
      <c r="D1592" s="4" t="s">
        <v>2791</v>
      </c>
    </row>
    <row r="1593">
      <c r="A1593" s="3">
        <v>27014.0</v>
      </c>
      <c r="B1593" s="2" t="s">
        <v>345</v>
      </c>
      <c r="C1593" s="2" t="s">
        <v>1671</v>
      </c>
      <c r="D1593" s="4" t="s">
        <v>2792</v>
      </c>
    </row>
    <row r="1594">
      <c r="A1594" s="3">
        <v>27014.0</v>
      </c>
      <c r="B1594" s="2" t="s">
        <v>345</v>
      </c>
      <c r="C1594" s="2" t="s">
        <v>2793</v>
      </c>
      <c r="D1594" s="4" t="s">
        <v>2794</v>
      </c>
    </row>
    <row r="1595">
      <c r="A1595" s="3">
        <v>27015.0</v>
      </c>
      <c r="B1595" s="2" t="s">
        <v>345</v>
      </c>
      <c r="C1595" s="2" t="s">
        <v>1671</v>
      </c>
      <c r="D1595" s="4" t="s">
        <v>2795</v>
      </c>
    </row>
    <row r="1596">
      <c r="A1596" s="3">
        <v>27015.0</v>
      </c>
      <c r="B1596" s="2" t="s">
        <v>345</v>
      </c>
      <c r="C1596" s="2" t="s">
        <v>2796</v>
      </c>
      <c r="D1596" s="4" t="s">
        <v>2797</v>
      </c>
    </row>
    <row r="1597">
      <c r="A1597" s="3">
        <v>27015.0</v>
      </c>
      <c r="B1597" s="2" t="s">
        <v>345</v>
      </c>
      <c r="C1597" s="2" t="s">
        <v>2798</v>
      </c>
      <c r="D1597" s="4" t="s">
        <v>2799</v>
      </c>
    </row>
    <row r="1598">
      <c r="A1598" s="3">
        <v>27016.0</v>
      </c>
      <c r="B1598" s="2" t="s">
        <v>345</v>
      </c>
      <c r="C1598" s="2" t="s">
        <v>1671</v>
      </c>
      <c r="D1598" s="4" t="s">
        <v>2800</v>
      </c>
    </row>
    <row r="1599">
      <c r="A1599" s="3">
        <v>27016.0</v>
      </c>
      <c r="B1599" s="2" t="s">
        <v>345</v>
      </c>
      <c r="C1599" s="2" t="s">
        <v>2801</v>
      </c>
      <c r="D1599" s="4" t="s">
        <v>2802</v>
      </c>
    </row>
    <row r="1600">
      <c r="A1600" s="3">
        <v>27017.0</v>
      </c>
      <c r="B1600" s="2" t="s">
        <v>345</v>
      </c>
      <c r="C1600" s="2" t="s">
        <v>1671</v>
      </c>
      <c r="D1600" s="4" t="s">
        <v>2803</v>
      </c>
    </row>
    <row r="1601">
      <c r="A1601" s="3">
        <v>27017.0</v>
      </c>
      <c r="B1601" s="2" t="s">
        <v>345</v>
      </c>
      <c r="C1601" s="2" t="s">
        <v>2804</v>
      </c>
      <c r="D1601" s="4" t="s">
        <v>2805</v>
      </c>
    </row>
    <row r="1602">
      <c r="A1602" s="3">
        <v>27018.0</v>
      </c>
      <c r="B1602" s="2" t="s">
        <v>345</v>
      </c>
      <c r="C1602" s="2" t="s">
        <v>1671</v>
      </c>
      <c r="D1602" s="4" t="s">
        <v>2806</v>
      </c>
    </row>
    <row r="1603">
      <c r="A1603" s="3">
        <v>27018.0</v>
      </c>
      <c r="B1603" s="2" t="s">
        <v>345</v>
      </c>
      <c r="C1603" s="2" t="s">
        <v>2807</v>
      </c>
      <c r="D1603" s="4" t="s">
        <v>2808</v>
      </c>
    </row>
    <row r="1604">
      <c r="A1604" s="3">
        <v>27019.0</v>
      </c>
      <c r="B1604" s="2" t="s">
        <v>345</v>
      </c>
      <c r="C1604" s="2" t="s">
        <v>1671</v>
      </c>
      <c r="D1604" s="4" t="s">
        <v>2809</v>
      </c>
    </row>
    <row r="1605">
      <c r="A1605" s="3">
        <v>27020.0</v>
      </c>
      <c r="B1605" s="2" t="s">
        <v>345</v>
      </c>
      <c r="C1605" s="2" t="s">
        <v>2810</v>
      </c>
      <c r="D1605" s="4" t="s">
        <v>2811</v>
      </c>
    </row>
    <row r="1606">
      <c r="A1606" s="3">
        <v>27021.0</v>
      </c>
      <c r="B1606" s="2" t="s">
        <v>345</v>
      </c>
      <c r="C1606" s="2" t="s">
        <v>2812</v>
      </c>
      <c r="D1606" s="4" t="s">
        <v>2813</v>
      </c>
    </row>
    <row r="1607">
      <c r="A1607" s="3">
        <v>27022.0</v>
      </c>
      <c r="B1607" s="2" t="s">
        <v>345</v>
      </c>
      <c r="C1607" s="2" t="s">
        <v>2814</v>
      </c>
      <c r="D1607" s="4" t="s">
        <v>2815</v>
      </c>
    </row>
    <row r="1608">
      <c r="A1608" s="3">
        <v>27023.0</v>
      </c>
      <c r="B1608" s="2" t="s">
        <v>345</v>
      </c>
      <c r="C1608" s="2" t="s">
        <v>2816</v>
      </c>
      <c r="D1608" s="4" t="s">
        <v>2817</v>
      </c>
    </row>
    <row r="1609">
      <c r="A1609" s="3">
        <v>27023.0</v>
      </c>
      <c r="B1609" s="2" t="s">
        <v>345</v>
      </c>
      <c r="C1609" s="2" t="s">
        <v>2310</v>
      </c>
      <c r="D1609" s="4" t="s">
        <v>2818</v>
      </c>
    </row>
    <row r="1610">
      <c r="A1610" s="3">
        <v>27024.0</v>
      </c>
      <c r="B1610" s="2" t="s">
        <v>345</v>
      </c>
      <c r="C1610" s="2" t="s">
        <v>2819</v>
      </c>
      <c r="D1610" s="4" t="s">
        <v>2820</v>
      </c>
    </row>
    <row r="1611">
      <c r="A1611" s="3">
        <v>27025.0</v>
      </c>
      <c r="B1611" s="2" t="s">
        <v>345</v>
      </c>
      <c r="C1611" s="2" t="s">
        <v>2821</v>
      </c>
      <c r="D1611" s="4" t="s">
        <v>2822</v>
      </c>
    </row>
    <row r="1612">
      <c r="A1612" s="3">
        <v>27026.0</v>
      </c>
      <c r="B1612" s="2" t="s">
        <v>345</v>
      </c>
      <c r="C1612" s="2" t="s">
        <v>2823</v>
      </c>
      <c r="D1612" s="4" t="s">
        <v>2824</v>
      </c>
    </row>
    <row r="1613">
      <c r="A1613" s="3">
        <v>27027.0</v>
      </c>
      <c r="B1613" s="2" t="s">
        <v>345</v>
      </c>
      <c r="C1613" s="2" t="s">
        <v>1671</v>
      </c>
      <c r="D1613" s="4" t="s">
        <v>2825</v>
      </c>
    </row>
    <row r="1614">
      <c r="A1614" s="3">
        <v>27027.0</v>
      </c>
      <c r="B1614" s="2" t="s">
        <v>345</v>
      </c>
      <c r="C1614" s="2" t="s">
        <v>2826</v>
      </c>
      <c r="D1614" s="4" t="s">
        <v>2827</v>
      </c>
    </row>
    <row r="1615">
      <c r="A1615" s="3">
        <v>27028.0</v>
      </c>
      <c r="B1615" s="2" t="s">
        <v>345</v>
      </c>
      <c r="C1615" s="2" t="s">
        <v>1671</v>
      </c>
      <c r="D1615" s="4" t="s">
        <v>2828</v>
      </c>
    </row>
    <row r="1616">
      <c r="A1616" s="3">
        <v>27028.0</v>
      </c>
      <c r="B1616" s="2" t="s">
        <v>345</v>
      </c>
      <c r="C1616" s="2" t="s">
        <v>2829</v>
      </c>
      <c r="D1616" s="4" t="s">
        <v>2830</v>
      </c>
    </row>
    <row r="1617">
      <c r="A1617" s="3">
        <v>27029.0</v>
      </c>
      <c r="B1617" s="2" t="s">
        <v>345</v>
      </c>
      <c r="C1617" s="2" t="s">
        <v>1671</v>
      </c>
      <c r="D1617" s="4" t="s">
        <v>2831</v>
      </c>
    </row>
    <row r="1618">
      <c r="A1618" s="3">
        <v>27029.0</v>
      </c>
      <c r="B1618" s="2" t="s">
        <v>345</v>
      </c>
      <c r="C1618" s="2" t="s">
        <v>2832</v>
      </c>
      <c r="D1618" s="4" t="s">
        <v>2833</v>
      </c>
    </row>
    <row r="1619">
      <c r="A1619" s="3">
        <v>27030.0</v>
      </c>
      <c r="B1619" s="2" t="s">
        <v>345</v>
      </c>
      <c r="C1619" s="2" t="s">
        <v>2834</v>
      </c>
      <c r="D1619" s="4" t="s">
        <v>2835</v>
      </c>
    </row>
    <row r="1620">
      <c r="A1620" s="3">
        <v>27031.0</v>
      </c>
      <c r="B1620" s="2" t="s">
        <v>345</v>
      </c>
      <c r="C1620" s="2" t="s">
        <v>2836</v>
      </c>
      <c r="D1620" s="4" t="s">
        <v>2837</v>
      </c>
    </row>
    <row r="1621">
      <c r="A1621" s="3">
        <v>27032.0</v>
      </c>
      <c r="B1621" s="2" t="s">
        <v>345</v>
      </c>
      <c r="C1621" s="2" t="s">
        <v>1671</v>
      </c>
      <c r="D1621" s="4" t="s">
        <v>2838</v>
      </c>
    </row>
    <row r="1622">
      <c r="A1622" s="3">
        <v>27032.0</v>
      </c>
      <c r="B1622" s="2" t="s">
        <v>345</v>
      </c>
      <c r="C1622" s="2" t="s">
        <v>2839</v>
      </c>
      <c r="D1622" s="4" t="s">
        <v>2840</v>
      </c>
    </row>
    <row r="1623">
      <c r="A1623" s="3">
        <v>27033.0</v>
      </c>
      <c r="B1623" s="2" t="s">
        <v>345</v>
      </c>
      <c r="C1623" s="2" t="s">
        <v>2841</v>
      </c>
      <c r="D1623" s="4" t="s">
        <v>2842</v>
      </c>
    </row>
    <row r="1624">
      <c r="A1624" s="3">
        <v>27034.0</v>
      </c>
      <c r="B1624" s="2" t="s">
        <v>345</v>
      </c>
      <c r="C1624" s="2" t="s">
        <v>1671</v>
      </c>
      <c r="D1624" s="4" t="s">
        <v>2843</v>
      </c>
    </row>
    <row r="1625">
      <c r="A1625" s="3">
        <v>27034.0</v>
      </c>
      <c r="B1625" s="2" t="s">
        <v>345</v>
      </c>
      <c r="C1625" s="2" t="s">
        <v>2844</v>
      </c>
      <c r="D1625" s="4" t="s">
        <v>2845</v>
      </c>
    </row>
    <row r="1626">
      <c r="A1626" s="3">
        <v>27036.0</v>
      </c>
      <c r="B1626" s="2" t="s">
        <v>345</v>
      </c>
      <c r="C1626" s="2" t="s">
        <v>2846</v>
      </c>
      <c r="D1626" s="4" t="s">
        <v>2847</v>
      </c>
    </row>
    <row r="1627">
      <c r="A1627" s="3">
        <v>27036.0</v>
      </c>
      <c r="B1627" s="2" t="s">
        <v>345</v>
      </c>
      <c r="C1627" s="2" t="s">
        <v>2848</v>
      </c>
      <c r="D1627" s="4" t="s">
        <v>2849</v>
      </c>
    </row>
    <row r="1628">
      <c r="A1628" s="3">
        <v>27037.0</v>
      </c>
      <c r="B1628" s="2" t="s">
        <v>345</v>
      </c>
      <c r="C1628" s="2" t="s">
        <v>2846</v>
      </c>
      <c r="D1628" s="4" t="s">
        <v>2850</v>
      </c>
    </row>
    <row r="1629">
      <c r="A1629" s="3">
        <v>27037.0</v>
      </c>
      <c r="B1629" s="2" t="s">
        <v>345</v>
      </c>
      <c r="C1629" s="2" t="s">
        <v>2851</v>
      </c>
      <c r="D1629" s="4" t="s">
        <v>2852</v>
      </c>
    </row>
    <row r="1630">
      <c r="A1630" s="3">
        <v>27038.0</v>
      </c>
      <c r="B1630" s="2" t="s">
        <v>345</v>
      </c>
      <c r="C1630" s="2" t="s">
        <v>1671</v>
      </c>
      <c r="D1630" s="4" t="s">
        <v>2853</v>
      </c>
    </row>
    <row r="1631">
      <c r="A1631" s="3">
        <v>27038.0</v>
      </c>
      <c r="B1631" s="2" t="s">
        <v>345</v>
      </c>
      <c r="C1631" s="2" t="s">
        <v>2854</v>
      </c>
      <c r="D1631" s="4" t="s">
        <v>2855</v>
      </c>
    </row>
    <row r="1632">
      <c r="A1632" s="3">
        <v>27039.0</v>
      </c>
      <c r="B1632" s="2" t="s">
        <v>345</v>
      </c>
      <c r="C1632" s="2" t="s">
        <v>1671</v>
      </c>
      <c r="D1632" s="4" t="s">
        <v>2856</v>
      </c>
    </row>
    <row r="1633">
      <c r="A1633" s="3">
        <v>27039.0</v>
      </c>
      <c r="B1633" s="2" t="s">
        <v>345</v>
      </c>
      <c r="C1633" s="2" t="s">
        <v>2857</v>
      </c>
      <c r="D1633" s="4" t="s">
        <v>2858</v>
      </c>
    </row>
    <row r="1634">
      <c r="A1634" s="3">
        <v>27039.0</v>
      </c>
      <c r="B1634" s="2" t="s">
        <v>345</v>
      </c>
      <c r="C1634" s="2" t="s">
        <v>623</v>
      </c>
      <c r="D1634" s="4" t="s">
        <v>2859</v>
      </c>
    </row>
    <row r="1635">
      <c r="A1635" s="3">
        <v>27040.0</v>
      </c>
      <c r="B1635" s="2" t="s">
        <v>345</v>
      </c>
      <c r="C1635" s="2" t="s">
        <v>1671</v>
      </c>
      <c r="D1635" s="4" t="s">
        <v>2860</v>
      </c>
    </row>
    <row r="1636">
      <c r="A1636" s="3">
        <v>27040.0</v>
      </c>
      <c r="B1636" s="2" t="s">
        <v>345</v>
      </c>
      <c r="C1636" s="2" t="s">
        <v>2861</v>
      </c>
      <c r="D1636" s="4" t="s">
        <v>2862</v>
      </c>
    </row>
    <row r="1637">
      <c r="A1637" s="3">
        <v>27041.0</v>
      </c>
      <c r="B1637" s="2" t="s">
        <v>345</v>
      </c>
      <c r="C1637" s="2" t="s">
        <v>1671</v>
      </c>
      <c r="D1637" s="4" t="s">
        <v>2863</v>
      </c>
    </row>
    <row r="1638">
      <c r="A1638" s="3">
        <v>27041.0</v>
      </c>
      <c r="B1638" s="2" t="s">
        <v>345</v>
      </c>
      <c r="C1638" s="2" t="s">
        <v>2864</v>
      </c>
      <c r="D1638" s="4" t="s">
        <v>2865</v>
      </c>
    </row>
    <row r="1639">
      <c r="A1639" s="3">
        <v>27042.0</v>
      </c>
      <c r="B1639" s="2" t="s">
        <v>345</v>
      </c>
      <c r="C1639" s="2" t="s">
        <v>2866</v>
      </c>
      <c r="D1639" s="4" t="s">
        <v>2867</v>
      </c>
    </row>
    <row r="1640">
      <c r="A1640" s="3">
        <v>27044.0</v>
      </c>
      <c r="B1640" s="2" t="s">
        <v>1622</v>
      </c>
      <c r="C1640" s="2" t="s">
        <v>1671</v>
      </c>
      <c r="D1640" s="4" t="s">
        <v>2868</v>
      </c>
    </row>
    <row r="1641">
      <c r="A1641" s="3">
        <v>27044.0</v>
      </c>
      <c r="B1641" s="2" t="s">
        <v>1622</v>
      </c>
      <c r="C1641" s="2" t="s">
        <v>2869</v>
      </c>
      <c r="D1641" s="4" t="s">
        <v>2870</v>
      </c>
    </row>
    <row r="1642">
      <c r="A1642" s="3">
        <v>27045.0</v>
      </c>
      <c r="B1642" s="2" t="s">
        <v>1622</v>
      </c>
      <c r="C1642" s="2" t="s">
        <v>1671</v>
      </c>
      <c r="D1642" s="4" t="s">
        <v>2871</v>
      </c>
    </row>
    <row r="1643">
      <c r="A1643" s="3">
        <v>27045.0</v>
      </c>
      <c r="B1643" s="2" t="s">
        <v>1622</v>
      </c>
      <c r="C1643" s="2" t="s">
        <v>2872</v>
      </c>
      <c r="D1643" s="4" t="s">
        <v>2873</v>
      </c>
    </row>
    <row r="1644">
      <c r="A1644" s="3">
        <v>27046.0</v>
      </c>
      <c r="B1644" s="2" t="s">
        <v>1622</v>
      </c>
      <c r="C1644" s="2" t="s">
        <v>2874</v>
      </c>
      <c r="D1644" s="4" t="s">
        <v>2875</v>
      </c>
    </row>
    <row r="1645">
      <c r="A1645" s="3">
        <v>27047.0</v>
      </c>
      <c r="B1645" s="2" t="s">
        <v>1622</v>
      </c>
      <c r="C1645" s="2" t="s">
        <v>1671</v>
      </c>
      <c r="D1645" s="4" t="s">
        <v>2876</v>
      </c>
    </row>
    <row r="1646">
      <c r="A1646" s="3">
        <v>27047.0</v>
      </c>
      <c r="B1646" s="2" t="s">
        <v>1622</v>
      </c>
      <c r="C1646" s="2" t="s">
        <v>2877</v>
      </c>
      <c r="D1646" s="4" t="s">
        <v>2878</v>
      </c>
    </row>
    <row r="1647">
      <c r="A1647" s="3">
        <v>27048.0</v>
      </c>
      <c r="B1647" s="2" t="s">
        <v>1622</v>
      </c>
      <c r="C1647" s="2" t="s">
        <v>2846</v>
      </c>
      <c r="D1647" s="4" t="s">
        <v>2879</v>
      </c>
    </row>
    <row r="1648">
      <c r="A1648" s="3">
        <v>27048.0</v>
      </c>
      <c r="B1648" s="2" t="s">
        <v>1622</v>
      </c>
      <c r="C1648" s="2" t="s">
        <v>2880</v>
      </c>
      <c r="D1648" s="4" t="s">
        <v>2881</v>
      </c>
    </row>
    <row r="1649">
      <c r="A1649" s="3">
        <v>27049.0</v>
      </c>
      <c r="B1649" s="2" t="s">
        <v>1622</v>
      </c>
      <c r="C1649" s="2" t="s">
        <v>2846</v>
      </c>
      <c r="D1649" s="4" t="s">
        <v>2882</v>
      </c>
    </row>
    <row r="1650">
      <c r="A1650" s="3">
        <v>27049.0</v>
      </c>
      <c r="B1650" s="2" t="s">
        <v>1622</v>
      </c>
      <c r="C1650" s="2" t="s">
        <v>2883</v>
      </c>
      <c r="D1650" s="4" t="s">
        <v>2884</v>
      </c>
    </row>
    <row r="1651">
      <c r="A1651" s="3">
        <v>27050.0</v>
      </c>
      <c r="B1651" s="2" t="s">
        <v>1622</v>
      </c>
      <c r="C1651" s="2" t="s">
        <v>2846</v>
      </c>
      <c r="D1651" s="4" t="s">
        <v>2885</v>
      </c>
    </row>
    <row r="1652">
      <c r="A1652" s="3">
        <v>27050.0</v>
      </c>
      <c r="B1652" s="2" t="s">
        <v>1622</v>
      </c>
      <c r="C1652" s="2" t="s">
        <v>2886</v>
      </c>
      <c r="D1652" s="4" t="s">
        <v>2887</v>
      </c>
    </row>
    <row r="1653">
      <c r="A1653" s="3">
        <v>27051.0</v>
      </c>
      <c r="B1653" s="2" t="s">
        <v>1622</v>
      </c>
      <c r="C1653" s="2" t="s">
        <v>1671</v>
      </c>
      <c r="D1653" s="4" t="s">
        <v>2888</v>
      </c>
    </row>
    <row r="1654">
      <c r="A1654" s="3">
        <v>27052.0</v>
      </c>
      <c r="B1654" s="2" t="s">
        <v>1622</v>
      </c>
      <c r="C1654" s="2" t="s">
        <v>1671</v>
      </c>
      <c r="D1654" s="4" t="s">
        <v>2889</v>
      </c>
    </row>
    <row r="1655">
      <c r="A1655" s="3">
        <v>27052.0</v>
      </c>
      <c r="B1655" s="2" t="s">
        <v>1622</v>
      </c>
      <c r="C1655" s="2" t="s">
        <v>2890</v>
      </c>
      <c r="D1655" s="4" t="s">
        <v>2891</v>
      </c>
    </row>
    <row r="1656">
      <c r="A1656" s="3">
        <v>27057.0</v>
      </c>
      <c r="B1656" s="2" t="s">
        <v>1622</v>
      </c>
      <c r="C1656" s="2" t="s">
        <v>2892</v>
      </c>
      <c r="D1656" s="4" t="s">
        <v>2893</v>
      </c>
    </row>
    <row r="1657">
      <c r="A1657" s="3">
        <v>27057.0</v>
      </c>
      <c r="B1657" s="2" t="s">
        <v>1622</v>
      </c>
      <c r="C1657" s="2" t="s">
        <v>360</v>
      </c>
      <c r="D1657" s="4" t="s">
        <v>2894</v>
      </c>
    </row>
    <row r="1658">
      <c r="A1658" s="3">
        <v>27058.0</v>
      </c>
      <c r="B1658" s="2" t="s">
        <v>1573</v>
      </c>
      <c r="C1658" s="2" t="s">
        <v>1960</v>
      </c>
      <c r="D1658" s="4" t="s">
        <v>2895</v>
      </c>
    </row>
    <row r="1659">
      <c r="A1659" s="3">
        <v>27059.0</v>
      </c>
      <c r="B1659" s="2" t="s">
        <v>1573</v>
      </c>
      <c r="C1659" s="2" t="s">
        <v>1671</v>
      </c>
      <c r="D1659" s="4" t="s">
        <v>2896</v>
      </c>
    </row>
    <row r="1660">
      <c r="A1660" s="3">
        <v>27059.0</v>
      </c>
      <c r="B1660" s="2" t="s">
        <v>1573</v>
      </c>
      <c r="C1660" s="2" t="s">
        <v>2897</v>
      </c>
      <c r="D1660" s="4" t="s">
        <v>2898</v>
      </c>
    </row>
    <row r="1661">
      <c r="A1661" s="3">
        <v>27059.0</v>
      </c>
      <c r="B1661" s="2" t="s">
        <v>1573</v>
      </c>
      <c r="C1661" s="2" t="s">
        <v>379</v>
      </c>
      <c r="D1661" s="4" t="s">
        <v>2899</v>
      </c>
    </row>
    <row r="1662">
      <c r="A1662" s="3">
        <v>27060.0</v>
      </c>
      <c r="B1662" s="2" t="s">
        <v>1568</v>
      </c>
      <c r="C1662" s="2" t="s">
        <v>2900</v>
      </c>
      <c r="D1662" s="4" t="s">
        <v>2901</v>
      </c>
    </row>
    <row r="1663">
      <c r="A1663" s="3">
        <v>27066.0</v>
      </c>
      <c r="B1663" s="9" t="s">
        <v>1417</v>
      </c>
      <c r="C1663" s="2" t="s">
        <v>379</v>
      </c>
      <c r="D1663" s="4" t="s">
        <v>2902</v>
      </c>
    </row>
    <row r="1664">
      <c r="A1664" s="3">
        <v>27066.0</v>
      </c>
      <c r="B1664" s="9" t="s">
        <v>1417</v>
      </c>
      <c r="C1664" s="2" t="s">
        <v>2903</v>
      </c>
      <c r="D1664" s="4" t="s">
        <v>2904</v>
      </c>
    </row>
    <row r="1665">
      <c r="A1665" s="3">
        <v>27067.0</v>
      </c>
      <c r="B1665" s="9" t="s">
        <v>1417</v>
      </c>
      <c r="C1665" s="2" t="s">
        <v>484</v>
      </c>
      <c r="D1665" s="4" t="s">
        <v>2905</v>
      </c>
    </row>
    <row r="1666">
      <c r="A1666" s="3">
        <v>27068.0</v>
      </c>
      <c r="B1666" s="9" t="s">
        <v>1417</v>
      </c>
      <c r="C1666" s="2" t="s">
        <v>379</v>
      </c>
      <c r="D1666" s="4" t="s">
        <v>2906</v>
      </c>
    </row>
    <row r="1667">
      <c r="A1667" s="3">
        <v>27068.0</v>
      </c>
      <c r="B1667" s="9" t="s">
        <v>1417</v>
      </c>
      <c r="C1667" s="2" t="s">
        <v>379</v>
      </c>
      <c r="D1667" s="4" t="s">
        <v>2907</v>
      </c>
    </row>
    <row r="1668">
      <c r="A1668" s="3">
        <v>27068.0</v>
      </c>
      <c r="B1668" s="9" t="s">
        <v>1417</v>
      </c>
      <c r="C1668" s="2" t="s">
        <v>2908</v>
      </c>
      <c r="D1668" s="4" t="s">
        <v>2909</v>
      </c>
    </row>
    <row r="1669">
      <c r="A1669" s="3">
        <v>27069.0</v>
      </c>
      <c r="B1669" s="9" t="s">
        <v>1417</v>
      </c>
      <c r="C1669" s="2" t="s">
        <v>379</v>
      </c>
      <c r="D1669" s="4" t="s">
        <v>2910</v>
      </c>
    </row>
    <row r="1670">
      <c r="A1670" s="3">
        <v>27070.0</v>
      </c>
      <c r="B1670" s="9" t="s">
        <v>1417</v>
      </c>
      <c r="C1670" s="2" t="s">
        <v>2911</v>
      </c>
      <c r="D1670" s="4" t="s">
        <v>2912</v>
      </c>
    </row>
    <row r="1671">
      <c r="A1671" s="3">
        <v>27071.0</v>
      </c>
      <c r="B1671" s="9" t="s">
        <v>1417</v>
      </c>
      <c r="C1671" s="2" t="s">
        <v>1671</v>
      </c>
      <c r="D1671" s="4" t="s">
        <v>2913</v>
      </c>
    </row>
    <row r="1672">
      <c r="A1672" s="3">
        <v>27071.0</v>
      </c>
      <c r="B1672" s="9" t="s">
        <v>1417</v>
      </c>
      <c r="C1672" s="2" t="s">
        <v>2914</v>
      </c>
      <c r="D1672" s="4" t="s">
        <v>2915</v>
      </c>
    </row>
    <row r="1673">
      <c r="A1673" s="3">
        <v>27072.0</v>
      </c>
      <c r="B1673" s="9" t="s">
        <v>1417</v>
      </c>
      <c r="C1673" s="2" t="s">
        <v>2916</v>
      </c>
      <c r="D1673" s="4" t="s">
        <v>2917</v>
      </c>
    </row>
    <row r="1674">
      <c r="A1674" s="3">
        <v>27072.0</v>
      </c>
      <c r="B1674" s="9" t="s">
        <v>1417</v>
      </c>
      <c r="C1674" s="2" t="s">
        <v>2918</v>
      </c>
      <c r="D1674" s="4" t="s">
        <v>2919</v>
      </c>
    </row>
    <row r="1675">
      <c r="A1675" s="3">
        <v>27073.0</v>
      </c>
      <c r="B1675" s="9" t="s">
        <v>1417</v>
      </c>
      <c r="C1675" s="2" t="s">
        <v>403</v>
      </c>
      <c r="D1675" s="4" t="s">
        <v>2920</v>
      </c>
    </row>
    <row r="1676">
      <c r="A1676" s="3">
        <v>27073.0</v>
      </c>
      <c r="B1676" s="9" t="s">
        <v>1417</v>
      </c>
      <c r="C1676" s="2" t="s">
        <v>379</v>
      </c>
      <c r="D1676" s="4" t="s">
        <v>2921</v>
      </c>
    </row>
    <row r="1677">
      <c r="A1677" s="3">
        <v>27073.0</v>
      </c>
      <c r="B1677" s="9" t="s">
        <v>1417</v>
      </c>
      <c r="C1677" s="2" t="s">
        <v>379</v>
      </c>
      <c r="D1677" s="4" t="s">
        <v>2922</v>
      </c>
    </row>
    <row r="1678">
      <c r="A1678" s="3">
        <v>27073.0</v>
      </c>
      <c r="B1678" s="9" t="s">
        <v>1417</v>
      </c>
      <c r="C1678" s="2" t="s">
        <v>1001</v>
      </c>
      <c r="D1678" s="4" t="s">
        <v>2923</v>
      </c>
    </row>
    <row r="1679">
      <c r="A1679" s="3">
        <v>27074.0</v>
      </c>
      <c r="B1679" s="9" t="s">
        <v>1417</v>
      </c>
      <c r="C1679" s="2" t="s">
        <v>379</v>
      </c>
      <c r="D1679" s="4" t="s">
        <v>2924</v>
      </c>
    </row>
    <row r="1680">
      <c r="A1680" s="3">
        <v>27077.0</v>
      </c>
      <c r="B1680" s="2" t="s">
        <v>980</v>
      </c>
      <c r="C1680" s="2" t="s">
        <v>1671</v>
      </c>
      <c r="D1680" s="4" t="s">
        <v>2925</v>
      </c>
    </row>
    <row r="1681">
      <c r="A1681" s="3">
        <v>27078.0</v>
      </c>
      <c r="B1681" s="2" t="s">
        <v>980</v>
      </c>
      <c r="C1681" s="2" t="s">
        <v>400</v>
      </c>
      <c r="D1681" s="4" t="s">
        <v>2926</v>
      </c>
    </row>
    <row r="1682">
      <c r="A1682" s="3">
        <v>27079.0</v>
      </c>
      <c r="B1682" s="2" t="s">
        <v>980</v>
      </c>
      <c r="C1682" s="2" t="s">
        <v>1671</v>
      </c>
      <c r="D1682" s="4" t="s">
        <v>2927</v>
      </c>
    </row>
    <row r="1683">
      <c r="A1683" s="3">
        <v>27079.0</v>
      </c>
      <c r="B1683" s="2" t="s">
        <v>980</v>
      </c>
      <c r="C1683" s="2" t="s">
        <v>2103</v>
      </c>
      <c r="D1683" s="4" t="s">
        <v>2928</v>
      </c>
    </row>
    <row r="1684">
      <c r="A1684" s="3">
        <v>27080.0</v>
      </c>
      <c r="B1684" s="2" t="s">
        <v>980</v>
      </c>
      <c r="C1684" s="2" t="s">
        <v>1671</v>
      </c>
      <c r="D1684" s="4" t="s">
        <v>2929</v>
      </c>
    </row>
    <row r="1685">
      <c r="A1685" s="3">
        <v>27080.0</v>
      </c>
      <c r="B1685" s="2" t="s">
        <v>980</v>
      </c>
      <c r="C1685" s="2" t="s">
        <v>2930</v>
      </c>
      <c r="D1685" s="4" t="s">
        <v>2931</v>
      </c>
    </row>
    <row r="1686">
      <c r="A1686" s="3">
        <v>27082.0</v>
      </c>
      <c r="B1686" s="2" t="s">
        <v>980</v>
      </c>
      <c r="C1686" s="2" t="s">
        <v>1671</v>
      </c>
      <c r="D1686" s="4" t="s">
        <v>2932</v>
      </c>
    </row>
    <row r="1687">
      <c r="A1687" s="3">
        <v>27082.0</v>
      </c>
      <c r="B1687" s="2" t="s">
        <v>980</v>
      </c>
      <c r="C1687" s="2" t="s">
        <v>1172</v>
      </c>
      <c r="D1687" s="4" t="s">
        <v>2933</v>
      </c>
    </row>
    <row r="1688">
      <c r="A1688" s="3">
        <v>27083.0</v>
      </c>
      <c r="B1688" s="2" t="s">
        <v>980</v>
      </c>
      <c r="C1688" s="2" t="s">
        <v>1671</v>
      </c>
      <c r="D1688" s="4" t="s">
        <v>2934</v>
      </c>
    </row>
    <row r="1689">
      <c r="A1689" s="3">
        <v>27083.0</v>
      </c>
      <c r="B1689" s="2" t="s">
        <v>980</v>
      </c>
      <c r="C1689" s="2" t="s">
        <v>2935</v>
      </c>
      <c r="D1689" s="4" t="s">
        <v>2936</v>
      </c>
    </row>
    <row r="1690">
      <c r="A1690" s="3">
        <v>27084.0</v>
      </c>
      <c r="B1690" s="2" t="s">
        <v>980</v>
      </c>
      <c r="C1690" s="2" t="s">
        <v>2937</v>
      </c>
      <c r="D1690" s="4" t="s">
        <v>2938</v>
      </c>
    </row>
    <row r="1691">
      <c r="A1691" s="3">
        <v>27085.0</v>
      </c>
      <c r="B1691" s="2" t="s">
        <v>980</v>
      </c>
      <c r="C1691" s="2" t="s">
        <v>2846</v>
      </c>
      <c r="D1691" s="4" t="s">
        <v>2939</v>
      </c>
    </row>
    <row r="1692">
      <c r="A1692" s="3">
        <v>27085.0</v>
      </c>
      <c r="B1692" s="2" t="s">
        <v>980</v>
      </c>
      <c r="C1692" s="2" t="s">
        <v>2940</v>
      </c>
      <c r="D1692" s="4" t="s">
        <v>2941</v>
      </c>
    </row>
    <row r="1693">
      <c r="A1693" s="3">
        <v>27086.0</v>
      </c>
      <c r="B1693" s="2" t="s">
        <v>977</v>
      </c>
      <c r="C1693" s="2" t="s">
        <v>2685</v>
      </c>
      <c r="D1693" s="4" t="s">
        <v>2942</v>
      </c>
    </row>
    <row r="1694">
      <c r="A1694" s="3">
        <v>27087.0</v>
      </c>
      <c r="B1694" s="2" t="s">
        <v>977</v>
      </c>
      <c r="C1694" s="2" t="s">
        <v>457</v>
      </c>
      <c r="D1694" s="4" t="s">
        <v>2943</v>
      </c>
    </row>
    <row r="1695">
      <c r="A1695" s="5">
        <v>27089.0</v>
      </c>
      <c r="B1695" s="2" t="s">
        <v>1485</v>
      </c>
      <c r="C1695" s="2" t="s">
        <v>2944</v>
      </c>
      <c r="D1695" s="4" t="s">
        <v>2945</v>
      </c>
    </row>
    <row r="1696">
      <c r="A1696" s="5">
        <v>27090.0</v>
      </c>
      <c r="B1696" s="2" t="s">
        <v>1485</v>
      </c>
      <c r="C1696" s="2" t="s">
        <v>2946</v>
      </c>
      <c r="D1696" s="4" t="s">
        <v>2947</v>
      </c>
    </row>
    <row r="1697">
      <c r="A1697" s="5">
        <v>27090.0</v>
      </c>
      <c r="B1697" s="2" t="s">
        <v>1485</v>
      </c>
      <c r="C1697" s="2" t="s">
        <v>2948</v>
      </c>
      <c r="D1697" s="4" t="s">
        <v>2949</v>
      </c>
    </row>
    <row r="1698">
      <c r="A1698" s="5">
        <v>27091.0</v>
      </c>
      <c r="B1698" s="2" t="s">
        <v>1485</v>
      </c>
      <c r="C1698" s="2" t="s">
        <v>2946</v>
      </c>
      <c r="D1698" s="4" t="s">
        <v>2950</v>
      </c>
    </row>
    <row r="1699">
      <c r="A1699" s="5">
        <v>27091.0</v>
      </c>
      <c r="B1699" s="2" t="s">
        <v>1485</v>
      </c>
      <c r="C1699" s="2" t="s">
        <v>2951</v>
      </c>
      <c r="D1699" s="4" t="s">
        <v>2952</v>
      </c>
    </row>
    <row r="1700">
      <c r="A1700" s="5">
        <v>27092.0</v>
      </c>
      <c r="B1700" s="2" t="s">
        <v>1485</v>
      </c>
      <c r="C1700" s="2" t="s">
        <v>2946</v>
      </c>
      <c r="D1700" s="4" t="s">
        <v>2953</v>
      </c>
    </row>
    <row r="1701">
      <c r="A1701" s="5">
        <v>27092.0</v>
      </c>
      <c r="B1701" s="2" t="s">
        <v>1485</v>
      </c>
      <c r="C1701" s="2" t="s">
        <v>2954</v>
      </c>
      <c r="D1701" s="4" t="s">
        <v>2955</v>
      </c>
    </row>
    <row r="1702">
      <c r="A1702" s="5">
        <v>27093.0</v>
      </c>
      <c r="B1702" s="2" t="s">
        <v>1485</v>
      </c>
      <c r="C1702" s="2" t="s">
        <v>2946</v>
      </c>
      <c r="D1702" s="4" t="s">
        <v>2956</v>
      </c>
    </row>
    <row r="1703">
      <c r="A1703" s="5">
        <v>27094.0</v>
      </c>
      <c r="B1703" s="2" t="s">
        <v>1485</v>
      </c>
      <c r="C1703" s="2" t="s">
        <v>1671</v>
      </c>
      <c r="D1703" s="4" t="s">
        <v>2957</v>
      </c>
    </row>
    <row r="1704">
      <c r="A1704" s="5">
        <v>27095.0</v>
      </c>
      <c r="B1704" s="2" t="s">
        <v>1485</v>
      </c>
      <c r="C1704" s="2" t="s">
        <v>2946</v>
      </c>
      <c r="D1704" s="4" t="s">
        <v>2958</v>
      </c>
    </row>
    <row r="1705">
      <c r="A1705" s="5">
        <v>27095.0</v>
      </c>
      <c r="B1705" s="2" t="s">
        <v>1485</v>
      </c>
      <c r="C1705" s="2" t="s">
        <v>2959</v>
      </c>
      <c r="D1705" s="4" t="s">
        <v>2960</v>
      </c>
    </row>
    <row r="1706">
      <c r="A1706" s="5">
        <v>27097.0</v>
      </c>
      <c r="B1706" s="2" t="s">
        <v>1485</v>
      </c>
      <c r="C1706" s="2" t="s">
        <v>1671</v>
      </c>
      <c r="D1706" s="4" t="s">
        <v>2961</v>
      </c>
    </row>
    <row r="1707">
      <c r="A1707" s="5">
        <v>27097.0</v>
      </c>
      <c r="B1707" s="2" t="s">
        <v>1485</v>
      </c>
      <c r="C1707" s="2" t="s">
        <v>2962</v>
      </c>
      <c r="D1707" s="4" t="s">
        <v>2963</v>
      </c>
    </row>
    <row r="1708">
      <c r="A1708" s="5">
        <v>27098.0</v>
      </c>
      <c r="B1708" s="2" t="s">
        <v>977</v>
      </c>
      <c r="C1708" s="2" t="s">
        <v>2199</v>
      </c>
      <c r="D1708" s="4" t="s">
        <v>2964</v>
      </c>
    </row>
    <row r="1709">
      <c r="A1709" s="5">
        <v>27100.0</v>
      </c>
      <c r="B1709" s="9" t="s">
        <v>1417</v>
      </c>
      <c r="C1709" s="2" t="s">
        <v>1671</v>
      </c>
      <c r="D1709" s="4" t="s">
        <v>2965</v>
      </c>
    </row>
    <row r="1710">
      <c r="A1710" s="5">
        <v>27101.0</v>
      </c>
      <c r="B1710" s="9" t="s">
        <v>1417</v>
      </c>
      <c r="C1710" s="2" t="s">
        <v>1671</v>
      </c>
      <c r="D1710" s="4" t="s">
        <v>2966</v>
      </c>
    </row>
    <row r="1711">
      <c r="A1711" s="5">
        <v>27101.0</v>
      </c>
      <c r="B1711" s="9" t="s">
        <v>1417</v>
      </c>
      <c r="C1711" s="2" t="s">
        <v>2967</v>
      </c>
      <c r="D1711" s="4" t="s">
        <v>2968</v>
      </c>
    </row>
    <row r="1712">
      <c r="A1712" s="5">
        <v>27102.0</v>
      </c>
      <c r="B1712" s="9" t="s">
        <v>1417</v>
      </c>
      <c r="C1712" s="2" t="s">
        <v>2969</v>
      </c>
      <c r="D1712" s="4" t="s">
        <v>2970</v>
      </c>
    </row>
    <row r="1713">
      <c r="A1713" s="5">
        <v>27102.0</v>
      </c>
      <c r="B1713" s="9" t="s">
        <v>1417</v>
      </c>
      <c r="C1713" s="2" t="s">
        <v>82</v>
      </c>
      <c r="D1713" s="4" t="s">
        <v>2971</v>
      </c>
    </row>
    <row r="1714">
      <c r="A1714" s="5">
        <v>27103.0</v>
      </c>
      <c r="B1714" s="9" t="s">
        <v>1417</v>
      </c>
      <c r="C1714" s="2" t="s">
        <v>1671</v>
      </c>
      <c r="D1714" s="4" t="s">
        <v>2972</v>
      </c>
    </row>
    <row r="1715">
      <c r="A1715" s="5">
        <v>27103.0</v>
      </c>
      <c r="B1715" s="9" t="s">
        <v>1417</v>
      </c>
      <c r="C1715" s="2" t="s">
        <v>2973</v>
      </c>
      <c r="D1715" s="4" t="s">
        <v>2974</v>
      </c>
    </row>
    <row r="1716">
      <c r="A1716" s="5">
        <v>27103.0</v>
      </c>
      <c r="B1716" s="9" t="s">
        <v>1417</v>
      </c>
      <c r="C1716" s="2" t="s">
        <v>2975</v>
      </c>
      <c r="D1716" s="4" t="s">
        <v>2976</v>
      </c>
    </row>
    <row r="1717">
      <c r="A1717" s="5">
        <v>27104.0</v>
      </c>
      <c r="B1717" s="9" t="s">
        <v>1417</v>
      </c>
      <c r="C1717" s="2" t="s">
        <v>2846</v>
      </c>
      <c r="D1717" s="4" t="s">
        <v>2977</v>
      </c>
    </row>
    <row r="1718">
      <c r="A1718" s="5">
        <v>27104.0</v>
      </c>
      <c r="B1718" s="9" t="s">
        <v>1417</v>
      </c>
      <c r="C1718" s="2" t="s">
        <v>957</v>
      </c>
      <c r="D1718" s="4" t="s">
        <v>2978</v>
      </c>
    </row>
    <row r="1719">
      <c r="A1719" s="5">
        <v>27104.0</v>
      </c>
      <c r="B1719" s="9" t="s">
        <v>1417</v>
      </c>
      <c r="C1719" s="2" t="s">
        <v>379</v>
      </c>
      <c r="D1719" s="4" t="s">
        <v>2979</v>
      </c>
    </row>
    <row r="1720">
      <c r="A1720" s="5">
        <v>27104.0</v>
      </c>
      <c r="B1720" s="9" t="s">
        <v>1417</v>
      </c>
      <c r="C1720" s="2" t="s">
        <v>379</v>
      </c>
      <c r="D1720" s="4" t="s">
        <v>2980</v>
      </c>
    </row>
    <row r="1721">
      <c r="A1721" s="5">
        <v>27105.0</v>
      </c>
      <c r="B1721" s="9" t="s">
        <v>1417</v>
      </c>
      <c r="C1721" s="2" t="s">
        <v>1671</v>
      </c>
      <c r="D1721" s="4" t="s">
        <v>2981</v>
      </c>
    </row>
    <row r="1722">
      <c r="A1722" s="5">
        <v>27105.0</v>
      </c>
      <c r="B1722" s="9" t="s">
        <v>1417</v>
      </c>
      <c r="C1722" s="2" t="s">
        <v>2982</v>
      </c>
      <c r="D1722" s="4" t="s">
        <v>2983</v>
      </c>
    </row>
    <row r="1723">
      <c r="A1723" s="5">
        <v>27106.0</v>
      </c>
      <c r="B1723" s="9" t="s">
        <v>1417</v>
      </c>
      <c r="C1723" s="2" t="s">
        <v>1671</v>
      </c>
      <c r="D1723" s="4" t="s">
        <v>2984</v>
      </c>
    </row>
    <row r="1724">
      <c r="A1724" s="5">
        <v>27106.0</v>
      </c>
      <c r="B1724" s="9" t="s">
        <v>1417</v>
      </c>
      <c r="C1724" s="2" t="s">
        <v>2705</v>
      </c>
      <c r="D1724" s="4" t="s">
        <v>2985</v>
      </c>
    </row>
    <row r="1725">
      <c r="A1725" s="5">
        <v>27107.0</v>
      </c>
      <c r="B1725" s="9" t="s">
        <v>1417</v>
      </c>
      <c r="C1725" s="2" t="s">
        <v>2708</v>
      </c>
      <c r="D1725" s="4" t="s">
        <v>2986</v>
      </c>
    </row>
    <row r="1726">
      <c r="A1726" s="5">
        <v>27108.0</v>
      </c>
      <c r="B1726" s="2" t="s">
        <v>980</v>
      </c>
      <c r="C1726" s="2" t="s">
        <v>379</v>
      </c>
      <c r="D1726" s="4" t="s">
        <v>2987</v>
      </c>
    </row>
    <row r="1727">
      <c r="A1727" s="5">
        <v>27109.0</v>
      </c>
      <c r="B1727" s="2" t="s">
        <v>980</v>
      </c>
      <c r="C1727" s="2" t="s">
        <v>484</v>
      </c>
      <c r="D1727" s="4" t="s">
        <v>2988</v>
      </c>
    </row>
    <row r="1728">
      <c r="A1728" s="5">
        <v>27110.0</v>
      </c>
      <c r="B1728" s="2" t="s">
        <v>980</v>
      </c>
      <c r="C1728" s="2" t="s">
        <v>2908</v>
      </c>
      <c r="D1728" s="4" t="s">
        <v>2989</v>
      </c>
    </row>
    <row r="1729">
      <c r="A1729" s="5">
        <v>27111.0</v>
      </c>
      <c r="B1729" s="2" t="s">
        <v>980</v>
      </c>
      <c r="C1729" s="2" t="s">
        <v>1671</v>
      </c>
      <c r="D1729" s="4" t="s">
        <v>2990</v>
      </c>
    </row>
    <row r="1730">
      <c r="A1730" s="5">
        <v>27111.0</v>
      </c>
      <c r="B1730" s="2" t="s">
        <v>980</v>
      </c>
      <c r="C1730" s="2" t="s">
        <v>2911</v>
      </c>
      <c r="D1730" s="4" t="s">
        <v>2991</v>
      </c>
    </row>
    <row r="1731">
      <c r="A1731" s="5">
        <v>27112.0</v>
      </c>
      <c r="B1731" s="2" t="s">
        <v>980</v>
      </c>
      <c r="C1731" s="2" t="s">
        <v>1671</v>
      </c>
      <c r="D1731" s="4" t="s">
        <v>2992</v>
      </c>
    </row>
    <row r="1732">
      <c r="A1732" s="5">
        <v>27112.0</v>
      </c>
      <c r="B1732" s="2" t="s">
        <v>980</v>
      </c>
      <c r="C1732" s="2" t="s">
        <v>2916</v>
      </c>
      <c r="D1732" s="4" t="s">
        <v>2993</v>
      </c>
    </row>
    <row r="1733">
      <c r="A1733" s="5">
        <v>27113.0</v>
      </c>
      <c r="B1733" s="2" t="s">
        <v>980</v>
      </c>
      <c r="C1733" s="2" t="s">
        <v>1671</v>
      </c>
      <c r="D1733" s="4" t="s">
        <v>2994</v>
      </c>
    </row>
    <row r="1734">
      <c r="A1734" s="5">
        <v>27113.0</v>
      </c>
      <c r="B1734" s="2" t="s">
        <v>980</v>
      </c>
      <c r="C1734" s="2" t="s">
        <v>403</v>
      </c>
      <c r="D1734" s="4" t="s">
        <v>2995</v>
      </c>
    </row>
    <row r="1735">
      <c r="A1735" s="5">
        <v>27114.0</v>
      </c>
      <c r="B1735" s="2" t="s">
        <v>980</v>
      </c>
      <c r="C1735" s="2" t="s">
        <v>1671</v>
      </c>
      <c r="D1735" s="4" t="s">
        <v>2996</v>
      </c>
    </row>
    <row r="1736">
      <c r="A1736" s="5">
        <v>27114.0</v>
      </c>
      <c r="B1736" s="2" t="s">
        <v>980</v>
      </c>
      <c r="C1736" s="2" t="s">
        <v>2997</v>
      </c>
      <c r="D1736" s="4" t="s">
        <v>2998</v>
      </c>
    </row>
    <row r="1737">
      <c r="A1737" s="5">
        <v>27115.0</v>
      </c>
      <c r="B1737" s="2" t="s">
        <v>980</v>
      </c>
      <c r="C1737" s="2" t="s">
        <v>1671</v>
      </c>
      <c r="D1737" s="4" t="s">
        <v>2999</v>
      </c>
    </row>
    <row r="1738">
      <c r="A1738" s="5">
        <v>27115.0</v>
      </c>
      <c r="B1738" s="2" t="s">
        <v>980</v>
      </c>
      <c r="C1738" s="2" t="s">
        <v>408</v>
      </c>
      <c r="D1738" s="4" t="s">
        <v>3000</v>
      </c>
    </row>
    <row r="1739">
      <c r="A1739" s="5">
        <v>27115.0</v>
      </c>
      <c r="B1739" s="2" t="s">
        <v>980</v>
      </c>
      <c r="C1739" s="2" t="s">
        <v>3001</v>
      </c>
      <c r="D1739" s="4" t="s">
        <v>3002</v>
      </c>
    </row>
    <row r="1740">
      <c r="A1740" s="5">
        <v>27116.0</v>
      </c>
      <c r="B1740" s="2" t="s">
        <v>980</v>
      </c>
      <c r="C1740" s="2" t="s">
        <v>2846</v>
      </c>
      <c r="D1740" s="4" t="s">
        <v>3003</v>
      </c>
    </row>
    <row r="1741">
      <c r="A1741" s="5">
        <v>27116.0</v>
      </c>
      <c r="B1741" s="2" t="s">
        <v>980</v>
      </c>
      <c r="C1741" s="2" t="s">
        <v>410</v>
      </c>
      <c r="D1741" s="4" t="s">
        <v>3004</v>
      </c>
    </row>
    <row r="1742">
      <c r="A1742" s="5">
        <v>27117.0</v>
      </c>
      <c r="B1742" s="2" t="s">
        <v>980</v>
      </c>
      <c r="C1742" s="2" t="s">
        <v>1671</v>
      </c>
      <c r="D1742" s="4" t="s">
        <v>3005</v>
      </c>
    </row>
    <row r="1743">
      <c r="A1743" s="5">
        <v>27117.0</v>
      </c>
      <c r="B1743" s="2" t="s">
        <v>980</v>
      </c>
      <c r="C1743" s="2" t="s">
        <v>416</v>
      </c>
      <c r="D1743" s="4" t="s">
        <v>3006</v>
      </c>
    </row>
    <row r="1744">
      <c r="A1744" s="5">
        <v>27118.0</v>
      </c>
      <c r="B1744" s="2" t="s">
        <v>980</v>
      </c>
      <c r="C1744" s="2" t="s">
        <v>1671</v>
      </c>
      <c r="D1744" s="4" t="s">
        <v>3007</v>
      </c>
    </row>
    <row r="1745">
      <c r="A1745" s="5">
        <v>27118.0</v>
      </c>
      <c r="B1745" s="2" t="s">
        <v>980</v>
      </c>
      <c r="C1745" s="2" t="s">
        <v>3008</v>
      </c>
      <c r="D1745" s="4" t="s">
        <v>3009</v>
      </c>
    </row>
    <row r="1746">
      <c r="A1746" s="5">
        <v>27119.0</v>
      </c>
      <c r="B1746" s="2" t="s">
        <v>980</v>
      </c>
      <c r="C1746" s="2" t="s">
        <v>1671</v>
      </c>
      <c r="D1746" s="4" t="s">
        <v>3010</v>
      </c>
    </row>
    <row r="1747">
      <c r="A1747" s="5">
        <v>27119.0</v>
      </c>
      <c r="B1747" s="2" t="s">
        <v>980</v>
      </c>
      <c r="C1747" s="2" t="s">
        <v>56</v>
      </c>
      <c r="D1747" s="4" t="s">
        <v>3011</v>
      </c>
    </row>
    <row r="1748">
      <c r="A1748" s="5">
        <v>27120.0</v>
      </c>
      <c r="B1748" s="2" t="s">
        <v>980</v>
      </c>
      <c r="C1748" s="2" t="s">
        <v>1671</v>
      </c>
      <c r="D1748" s="4" t="s">
        <v>3012</v>
      </c>
    </row>
    <row r="1749">
      <c r="A1749" s="5">
        <v>27120.0</v>
      </c>
      <c r="B1749" s="2" t="s">
        <v>980</v>
      </c>
      <c r="C1749" s="2" t="s">
        <v>3013</v>
      </c>
      <c r="D1749" s="4" t="s">
        <v>3014</v>
      </c>
    </row>
    <row r="1750">
      <c r="A1750" s="5">
        <v>27120.0</v>
      </c>
      <c r="B1750" s="2" t="s">
        <v>980</v>
      </c>
      <c r="C1750" s="2" t="s">
        <v>3015</v>
      </c>
      <c r="D1750" s="4" t="s">
        <v>3016</v>
      </c>
    </row>
    <row r="1751">
      <c r="A1751" s="5">
        <v>27121.0</v>
      </c>
      <c r="B1751" s="2" t="s">
        <v>980</v>
      </c>
      <c r="C1751" s="2" t="s">
        <v>1671</v>
      </c>
      <c r="D1751" s="4" t="s">
        <v>3017</v>
      </c>
    </row>
    <row r="1752">
      <c r="A1752" s="5">
        <v>27121.0</v>
      </c>
      <c r="B1752" s="2" t="s">
        <v>980</v>
      </c>
      <c r="C1752" s="2" t="s">
        <v>2213</v>
      </c>
      <c r="D1752" s="4" t="s">
        <v>3018</v>
      </c>
    </row>
    <row r="1753">
      <c r="A1753" s="5">
        <v>27122.0</v>
      </c>
      <c r="B1753" s="2" t="s">
        <v>980</v>
      </c>
      <c r="C1753" s="2" t="s">
        <v>1671</v>
      </c>
      <c r="D1753" s="4" t="s">
        <v>3019</v>
      </c>
    </row>
    <row r="1754">
      <c r="A1754" s="5">
        <v>27122.0</v>
      </c>
      <c r="B1754" s="2" t="s">
        <v>980</v>
      </c>
      <c r="C1754" s="2" t="s">
        <v>3020</v>
      </c>
      <c r="D1754" s="4" t="s">
        <v>3021</v>
      </c>
    </row>
    <row r="1755">
      <c r="A1755" s="5">
        <v>27123.0</v>
      </c>
      <c r="B1755" s="2" t="s">
        <v>980</v>
      </c>
      <c r="C1755" s="2" t="s">
        <v>1671</v>
      </c>
      <c r="D1755" s="4" t="s">
        <v>3022</v>
      </c>
    </row>
    <row r="1756">
      <c r="A1756" s="5">
        <v>27123.0</v>
      </c>
      <c r="B1756" s="2" t="s">
        <v>980</v>
      </c>
      <c r="C1756" s="2" t="s">
        <v>3023</v>
      </c>
      <c r="D1756" s="4" t="s">
        <v>3024</v>
      </c>
    </row>
    <row r="1757">
      <c r="A1757" s="5">
        <v>27124.0</v>
      </c>
      <c r="B1757" s="2" t="s">
        <v>980</v>
      </c>
      <c r="C1757" s="2" t="s">
        <v>1671</v>
      </c>
      <c r="D1757" s="4" t="s">
        <v>3025</v>
      </c>
    </row>
    <row r="1758">
      <c r="A1758" s="5">
        <v>27124.0</v>
      </c>
      <c r="B1758" s="2" t="s">
        <v>980</v>
      </c>
      <c r="C1758" s="2" t="s">
        <v>3026</v>
      </c>
      <c r="D1758" s="4" t="s">
        <v>3027</v>
      </c>
    </row>
    <row r="1759">
      <c r="A1759" s="5">
        <v>27125.0</v>
      </c>
      <c r="B1759" s="2" t="s">
        <v>980</v>
      </c>
      <c r="C1759" s="2" t="s">
        <v>1671</v>
      </c>
      <c r="D1759" s="4" t="s">
        <v>3028</v>
      </c>
    </row>
    <row r="1760">
      <c r="A1760" s="5">
        <v>27125.0</v>
      </c>
      <c r="B1760" s="2" t="s">
        <v>980</v>
      </c>
      <c r="C1760" s="2" t="s">
        <v>3029</v>
      </c>
      <c r="D1760" s="4" t="s">
        <v>3030</v>
      </c>
    </row>
    <row r="1761">
      <c r="A1761" s="5">
        <v>27126.0</v>
      </c>
      <c r="B1761" s="2" t="s">
        <v>980</v>
      </c>
      <c r="C1761" s="2" t="s">
        <v>1671</v>
      </c>
      <c r="D1761" s="4" t="s">
        <v>3031</v>
      </c>
    </row>
    <row r="1762">
      <c r="A1762" s="5">
        <v>27126.0</v>
      </c>
      <c r="B1762" s="2" t="s">
        <v>980</v>
      </c>
      <c r="C1762" s="2" t="s">
        <v>3032</v>
      </c>
      <c r="D1762" s="4" t="s">
        <v>3033</v>
      </c>
    </row>
    <row r="1763">
      <c r="A1763" s="5">
        <v>27127.0</v>
      </c>
      <c r="B1763" s="2" t="s">
        <v>980</v>
      </c>
      <c r="C1763" s="2" t="s">
        <v>1671</v>
      </c>
      <c r="D1763" s="4" t="s">
        <v>3034</v>
      </c>
    </row>
    <row r="1764">
      <c r="A1764" s="5">
        <v>27127.0</v>
      </c>
      <c r="B1764" s="2" t="s">
        <v>980</v>
      </c>
      <c r="C1764" s="2" t="s">
        <v>66</v>
      </c>
      <c r="D1764" s="4" t="s">
        <v>3035</v>
      </c>
    </row>
    <row r="1765">
      <c r="A1765" s="5">
        <v>27128.0</v>
      </c>
      <c r="B1765" s="2" t="s">
        <v>980</v>
      </c>
      <c r="C1765" s="2" t="s">
        <v>3036</v>
      </c>
      <c r="D1765" s="4" t="s">
        <v>3037</v>
      </c>
    </row>
    <row r="1766">
      <c r="A1766" s="5">
        <v>27129.0</v>
      </c>
      <c r="B1766" s="2" t="s">
        <v>980</v>
      </c>
      <c r="C1766" s="2" t="s">
        <v>1671</v>
      </c>
      <c r="D1766" s="4" t="s">
        <v>3038</v>
      </c>
    </row>
    <row r="1767">
      <c r="A1767" s="5">
        <v>27129.0</v>
      </c>
      <c r="B1767" s="2" t="s">
        <v>980</v>
      </c>
      <c r="C1767" s="2" t="s">
        <v>3039</v>
      </c>
      <c r="D1767" s="4" t="s">
        <v>3040</v>
      </c>
    </row>
    <row r="1768">
      <c r="A1768" s="5">
        <v>27130.0</v>
      </c>
      <c r="B1768" s="2" t="s">
        <v>980</v>
      </c>
      <c r="C1768" s="2" t="s">
        <v>1671</v>
      </c>
      <c r="D1768" s="4" t="s">
        <v>3041</v>
      </c>
    </row>
    <row r="1769">
      <c r="A1769" s="5">
        <v>27130.0</v>
      </c>
      <c r="B1769" s="2" t="s">
        <v>980</v>
      </c>
      <c r="C1769" s="2" t="s">
        <v>3042</v>
      </c>
      <c r="D1769" s="4" t="s">
        <v>3043</v>
      </c>
    </row>
    <row r="1770">
      <c r="A1770" s="5">
        <v>27131.0</v>
      </c>
      <c r="B1770" s="2" t="s">
        <v>980</v>
      </c>
      <c r="C1770" s="2" t="s">
        <v>1671</v>
      </c>
      <c r="D1770" s="4" t="s">
        <v>3044</v>
      </c>
    </row>
    <row r="1771">
      <c r="A1771" s="5">
        <v>27131.0</v>
      </c>
      <c r="B1771" s="2" t="s">
        <v>980</v>
      </c>
      <c r="C1771" s="2" t="s">
        <v>3045</v>
      </c>
      <c r="D1771" s="4" t="s">
        <v>3046</v>
      </c>
    </row>
    <row r="1772">
      <c r="A1772" s="5">
        <v>27132.0</v>
      </c>
      <c r="B1772" s="2" t="s">
        <v>980</v>
      </c>
      <c r="C1772" s="2" t="s">
        <v>1671</v>
      </c>
      <c r="D1772" s="4" t="s">
        <v>3047</v>
      </c>
    </row>
    <row r="1773">
      <c r="A1773" s="5">
        <v>27132.0</v>
      </c>
      <c r="B1773" s="2" t="s">
        <v>980</v>
      </c>
      <c r="C1773" s="2" t="s">
        <v>3048</v>
      </c>
      <c r="D1773" s="4" t="s">
        <v>3049</v>
      </c>
    </row>
    <row r="1774">
      <c r="A1774" s="5">
        <v>27133.0</v>
      </c>
      <c r="B1774" s="2" t="s">
        <v>980</v>
      </c>
      <c r="C1774" s="2" t="s">
        <v>1671</v>
      </c>
      <c r="D1774" s="4" t="s">
        <v>3050</v>
      </c>
    </row>
    <row r="1775">
      <c r="A1775" s="5">
        <v>27133.0</v>
      </c>
      <c r="B1775" s="2" t="s">
        <v>980</v>
      </c>
      <c r="C1775" s="2" t="s">
        <v>3051</v>
      </c>
      <c r="D1775" s="4" t="s">
        <v>3052</v>
      </c>
    </row>
    <row r="1776">
      <c r="A1776" s="5">
        <v>27134.0</v>
      </c>
      <c r="B1776" s="2" t="s">
        <v>980</v>
      </c>
      <c r="C1776" s="2" t="s">
        <v>3053</v>
      </c>
      <c r="D1776" s="4" t="s">
        <v>3054</v>
      </c>
    </row>
    <row r="1777">
      <c r="A1777" s="5">
        <v>27135.0</v>
      </c>
      <c r="B1777" s="2" t="s">
        <v>980</v>
      </c>
      <c r="C1777" s="2" t="s">
        <v>1671</v>
      </c>
      <c r="D1777" s="4" t="s">
        <v>3055</v>
      </c>
    </row>
    <row r="1778">
      <c r="A1778" s="5">
        <v>27135.0</v>
      </c>
      <c r="B1778" s="2" t="s">
        <v>980</v>
      </c>
      <c r="C1778" s="2" t="s">
        <v>3056</v>
      </c>
      <c r="D1778" s="4" t="s">
        <v>3057</v>
      </c>
    </row>
    <row r="1779">
      <c r="A1779" s="5">
        <v>27136.0</v>
      </c>
      <c r="B1779" s="2" t="s">
        <v>980</v>
      </c>
      <c r="C1779" s="2" t="s">
        <v>1671</v>
      </c>
      <c r="D1779" s="4" t="s">
        <v>3058</v>
      </c>
    </row>
    <row r="1780">
      <c r="A1780" s="5">
        <v>27136.0</v>
      </c>
      <c r="B1780" s="2" t="s">
        <v>980</v>
      </c>
      <c r="C1780" s="2" t="s">
        <v>3059</v>
      </c>
      <c r="D1780" s="4" t="s">
        <v>3060</v>
      </c>
    </row>
    <row r="1781">
      <c r="A1781" s="5">
        <v>27137.0</v>
      </c>
      <c r="B1781" s="2" t="s">
        <v>980</v>
      </c>
      <c r="C1781" s="2" t="s">
        <v>1671</v>
      </c>
      <c r="D1781" s="4" t="s">
        <v>3061</v>
      </c>
    </row>
    <row r="1782">
      <c r="A1782" s="5">
        <v>27137.0</v>
      </c>
      <c r="B1782" s="2" t="s">
        <v>2058</v>
      </c>
      <c r="C1782" s="2" t="s">
        <v>457</v>
      </c>
      <c r="D1782" s="4" t="s">
        <v>3062</v>
      </c>
    </row>
    <row r="1783">
      <c r="A1783" s="5">
        <v>27137.0</v>
      </c>
      <c r="B1783" s="2" t="s">
        <v>2058</v>
      </c>
      <c r="C1783" s="2" t="s">
        <v>3063</v>
      </c>
      <c r="D1783" s="4" t="s">
        <v>3064</v>
      </c>
    </row>
    <row r="1784">
      <c r="A1784" s="5">
        <v>27138.0</v>
      </c>
      <c r="B1784" s="2" t="s">
        <v>2058</v>
      </c>
      <c r="C1784" s="2" t="s">
        <v>2846</v>
      </c>
      <c r="D1784" s="4" t="s">
        <v>3065</v>
      </c>
    </row>
    <row r="1785">
      <c r="A1785" s="5">
        <v>27138.0</v>
      </c>
      <c r="B1785" s="2" t="s">
        <v>2058</v>
      </c>
      <c r="C1785" s="2" t="s">
        <v>1001</v>
      </c>
      <c r="D1785" s="4" t="s">
        <v>3066</v>
      </c>
    </row>
    <row r="1786">
      <c r="A1786" s="5">
        <v>27138.0</v>
      </c>
      <c r="B1786" s="2" t="s">
        <v>2058</v>
      </c>
      <c r="C1786" s="2" t="s">
        <v>2118</v>
      </c>
      <c r="D1786" s="4" t="s">
        <v>3067</v>
      </c>
    </row>
    <row r="1787">
      <c r="A1787" s="5">
        <v>27139.0</v>
      </c>
      <c r="B1787" s="2" t="s">
        <v>2058</v>
      </c>
      <c r="C1787" s="2" t="s">
        <v>1671</v>
      </c>
      <c r="D1787" s="4" t="s">
        <v>3068</v>
      </c>
    </row>
    <row r="1788">
      <c r="A1788" s="5">
        <v>27139.0</v>
      </c>
      <c r="B1788" s="2" t="s">
        <v>2058</v>
      </c>
      <c r="C1788" s="2" t="s">
        <v>379</v>
      </c>
      <c r="D1788" s="4" t="s">
        <v>3069</v>
      </c>
    </row>
    <row r="1789">
      <c r="A1789" s="5">
        <v>27139.0</v>
      </c>
      <c r="B1789" s="2" t="s">
        <v>2058</v>
      </c>
      <c r="C1789" s="2" t="s">
        <v>2501</v>
      </c>
      <c r="D1789" s="4" t="s">
        <v>3070</v>
      </c>
    </row>
    <row r="1790">
      <c r="A1790" s="5">
        <v>27140.0</v>
      </c>
      <c r="B1790" s="2" t="s">
        <v>2058</v>
      </c>
      <c r="C1790" s="2" t="s">
        <v>1828</v>
      </c>
      <c r="D1790" s="4" t="s">
        <v>3071</v>
      </c>
    </row>
    <row r="1791">
      <c r="A1791" s="5">
        <v>27141.0</v>
      </c>
      <c r="B1791" s="2" t="s">
        <v>2058</v>
      </c>
      <c r="C1791" s="2" t="s">
        <v>1671</v>
      </c>
      <c r="D1791" s="4" t="s">
        <v>3072</v>
      </c>
    </row>
    <row r="1792">
      <c r="A1792" s="5">
        <v>27141.0</v>
      </c>
      <c r="B1792" s="2" t="s">
        <v>2058</v>
      </c>
      <c r="C1792" s="2" t="s">
        <v>1831</v>
      </c>
      <c r="D1792" s="4" t="s">
        <v>3073</v>
      </c>
    </row>
    <row r="1793">
      <c r="A1793" s="5">
        <v>27142.0</v>
      </c>
      <c r="B1793" s="2" t="s">
        <v>2058</v>
      </c>
      <c r="C1793" s="2" t="s">
        <v>1671</v>
      </c>
      <c r="D1793" s="4" t="s">
        <v>3074</v>
      </c>
    </row>
    <row r="1794">
      <c r="A1794" s="5">
        <v>27142.0</v>
      </c>
      <c r="B1794" s="2" t="s">
        <v>2058</v>
      </c>
      <c r="C1794" s="2" t="s">
        <v>1834</v>
      </c>
      <c r="D1794" s="4" t="s">
        <v>3075</v>
      </c>
    </row>
    <row r="1795">
      <c r="A1795" s="5">
        <v>27142.0</v>
      </c>
      <c r="B1795" s="2" t="s">
        <v>2058</v>
      </c>
      <c r="C1795" s="2" t="s">
        <v>1001</v>
      </c>
      <c r="D1795" s="4" t="s">
        <v>3076</v>
      </c>
    </row>
    <row r="1796">
      <c r="A1796" s="5">
        <v>27143.0</v>
      </c>
      <c r="B1796" s="2" t="s">
        <v>2058</v>
      </c>
      <c r="C1796" s="2" t="s">
        <v>1671</v>
      </c>
      <c r="D1796" s="4" t="s">
        <v>3077</v>
      </c>
    </row>
    <row r="1797">
      <c r="A1797" s="5">
        <v>27143.0</v>
      </c>
      <c r="B1797" s="2" t="s">
        <v>2058</v>
      </c>
      <c r="C1797" s="2" t="s">
        <v>1990</v>
      </c>
      <c r="D1797" s="4" t="s">
        <v>3078</v>
      </c>
    </row>
    <row r="1798">
      <c r="A1798" s="5">
        <v>27144.0</v>
      </c>
      <c r="B1798" s="2" t="s">
        <v>3079</v>
      </c>
      <c r="C1798" s="2" t="s">
        <v>1001</v>
      </c>
      <c r="D1798" s="4" t="s">
        <v>3080</v>
      </c>
    </row>
    <row r="1799">
      <c r="A1799" s="5">
        <v>27145.0</v>
      </c>
      <c r="B1799" s="2" t="s">
        <v>3079</v>
      </c>
      <c r="C1799" s="2" t="s">
        <v>1772</v>
      </c>
      <c r="D1799" s="4" t="s">
        <v>3081</v>
      </c>
    </row>
    <row r="1800">
      <c r="A1800" s="5">
        <v>27145.0</v>
      </c>
      <c r="B1800" s="2" t="s">
        <v>3079</v>
      </c>
      <c r="C1800" s="2" t="s">
        <v>3082</v>
      </c>
      <c r="D1800" s="4" t="s">
        <v>3083</v>
      </c>
    </row>
    <row r="1801">
      <c r="A1801" s="5">
        <v>27145.0</v>
      </c>
      <c r="B1801" s="2" t="s">
        <v>3079</v>
      </c>
      <c r="C1801" s="2" t="s">
        <v>379</v>
      </c>
      <c r="D1801" s="4" t="s">
        <v>3084</v>
      </c>
    </row>
    <row r="1802">
      <c r="A1802" s="5">
        <v>27146.0</v>
      </c>
      <c r="B1802" s="2" t="s">
        <v>2058</v>
      </c>
      <c r="C1802" s="2" t="s">
        <v>369</v>
      </c>
      <c r="D1802" s="4" t="s">
        <v>3085</v>
      </c>
    </row>
    <row r="1803">
      <c r="A1803" s="5">
        <v>27147.0</v>
      </c>
      <c r="B1803" s="2" t="s">
        <v>2058</v>
      </c>
      <c r="C1803" s="2" t="s">
        <v>506</v>
      </c>
      <c r="D1803" s="4" t="s">
        <v>3086</v>
      </c>
    </row>
    <row r="1804">
      <c r="A1804" s="5">
        <v>27148.0</v>
      </c>
      <c r="B1804" s="2" t="s">
        <v>2058</v>
      </c>
      <c r="C1804" s="2" t="s">
        <v>1671</v>
      </c>
      <c r="D1804" s="4" t="s">
        <v>3087</v>
      </c>
    </row>
    <row r="1805">
      <c r="A1805" s="7">
        <v>27150.0</v>
      </c>
      <c r="B1805" s="2" t="s">
        <v>980</v>
      </c>
      <c r="C1805" s="2" t="s">
        <v>1671</v>
      </c>
      <c r="D1805" s="4" t="s">
        <v>3088</v>
      </c>
    </row>
    <row r="1806">
      <c r="A1806" s="7">
        <v>27151.0</v>
      </c>
      <c r="B1806" s="2" t="s">
        <v>980</v>
      </c>
      <c r="C1806" s="2" t="s">
        <v>1671</v>
      </c>
      <c r="D1806" s="4" t="s">
        <v>3089</v>
      </c>
    </row>
    <row r="1807">
      <c r="A1807" s="7">
        <v>27152.0</v>
      </c>
      <c r="B1807" s="2" t="s">
        <v>980</v>
      </c>
      <c r="C1807" s="2" t="s">
        <v>1671</v>
      </c>
      <c r="D1807" s="4" t="s">
        <v>3090</v>
      </c>
    </row>
    <row r="1808">
      <c r="A1808" s="7">
        <v>27153.0</v>
      </c>
      <c r="B1808" s="2" t="s">
        <v>980</v>
      </c>
      <c r="C1808" s="2" t="s">
        <v>1671</v>
      </c>
      <c r="D1808" s="4" t="s">
        <v>3091</v>
      </c>
    </row>
    <row r="1809">
      <c r="A1809" s="7">
        <v>27154.0</v>
      </c>
      <c r="B1809" s="2" t="s">
        <v>980</v>
      </c>
      <c r="C1809" s="2" t="s">
        <v>1671</v>
      </c>
      <c r="D1809" s="4" t="s">
        <v>3092</v>
      </c>
    </row>
    <row r="1810">
      <c r="A1810" s="7">
        <v>27154.0</v>
      </c>
      <c r="B1810" s="2" t="s">
        <v>980</v>
      </c>
      <c r="C1810" s="2" t="s">
        <v>3093</v>
      </c>
      <c r="D1810" s="4" t="s">
        <v>3094</v>
      </c>
    </row>
    <row r="1811">
      <c r="A1811" s="7">
        <v>27155.0</v>
      </c>
      <c r="B1811" s="2" t="s">
        <v>980</v>
      </c>
      <c r="C1811" s="2" t="s">
        <v>1671</v>
      </c>
      <c r="D1811" s="4" t="s">
        <v>3095</v>
      </c>
    </row>
    <row r="1812">
      <c r="A1812" s="7">
        <v>27157.0</v>
      </c>
      <c r="B1812" s="2" t="s">
        <v>980</v>
      </c>
      <c r="C1812" s="2" t="s">
        <v>1671</v>
      </c>
      <c r="D1812" s="4" t="s">
        <v>3096</v>
      </c>
    </row>
    <row r="1813">
      <c r="A1813" s="7">
        <v>27158.0</v>
      </c>
      <c r="B1813" s="2" t="s">
        <v>980</v>
      </c>
      <c r="C1813" s="2" t="s">
        <v>1671</v>
      </c>
      <c r="D1813" s="4" t="s">
        <v>3097</v>
      </c>
    </row>
    <row r="1814">
      <c r="A1814" s="7">
        <v>27161.0</v>
      </c>
      <c r="B1814" s="2" t="s">
        <v>980</v>
      </c>
      <c r="C1814" s="2" t="s">
        <v>3098</v>
      </c>
      <c r="D1814" s="4" t="s">
        <v>3099</v>
      </c>
    </row>
    <row r="1815">
      <c r="A1815" s="7">
        <v>27172.0</v>
      </c>
      <c r="B1815" s="2" t="s">
        <v>3100</v>
      </c>
      <c r="C1815" s="2" t="s">
        <v>3101</v>
      </c>
      <c r="D1815" s="4" t="s">
        <v>3102</v>
      </c>
    </row>
    <row r="1816">
      <c r="A1816" s="7">
        <v>27173.0</v>
      </c>
      <c r="B1816" s="2" t="s">
        <v>3100</v>
      </c>
      <c r="C1816" s="2" t="s">
        <v>3103</v>
      </c>
      <c r="D1816" s="4" t="s">
        <v>3104</v>
      </c>
    </row>
    <row r="1817">
      <c r="A1817" s="7">
        <v>27173.0</v>
      </c>
      <c r="B1817" s="2" t="s">
        <v>3100</v>
      </c>
      <c r="C1817" s="2" t="s">
        <v>1671</v>
      </c>
      <c r="D1817" s="4" t="s">
        <v>3105</v>
      </c>
    </row>
    <row r="1818">
      <c r="A1818" s="7">
        <v>27173.0</v>
      </c>
      <c r="B1818" s="2" t="s">
        <v>3100</v>
      </c>
      <c r="C1818" s="2" t="s">
        <v>457</v>
      </c>
      <c r="D1818" s="4" t="s">
        <v>3106</v>
      </c>
    </row>
    <row r="1819">
      <c r="A1819" s="7">
        <v>27173.0</v>
      </c>
      <c r="B1819" s="2" t="s">
        <v>3100</v>
      </c>
      <c r="C1819" s="2" t="s">
        <v>3103</v>
      </c>
      <c r="D1819" s="4" t="s">
        <v>3104</v>
      </c>
    </row>
    <row r="1820">
      <c r="A1820" s="7">
        <v>27173.0</v>
      </c>
      <c r="B1820" s="2" t="s">
        <v>3100</v>
      </c>
      <c r="C1820" s="2" t="s">
        <v>3107</v>
      </c>
      <c r="D1820" s="4" t="s">
        <v>3108</v>
      </c>
    </row>
    <row r="1821">
      <c r="A1821" s="7">
        <v>27174.0</v>
      </c>
      <c r="B1821" s="2" t="s">
        <v>3100</v>
      </c>
      <c r="C1821" s="2" t="s">
        <v>3109</v>
      </c>
      <c r="D1821" s="4" t="s">
        <v>3110</v>
      </c>
    </row>
    <row r="1822">
      <c r="A1822" s="7">
        <v>27174.0</v>
      </c>
      <c r="B1822" s="2" t="s">
        <v>3100</v>
      </c>
      <c r="C1822" s="2" t="s">
        <v>3111</v>
      </c>
      <c r="D1822" s="4" t="s">
        <v>3112</v>
      </c>
    </row>
    <row r="1823">
      <c r="A1823" s="7">
        <v>27175.0</v>
      </c>
      <c r="B1823" s="2" t="s">
        <v>3100</v>
      </c>
      <c r="C1823" s="2" t="s">
        <v>3109</v>
      </c>
      <c r="D1823" s="4" t="s">
        <v>3113</v>
      </c>
    </row>
    <row r="1824">
      <c r="A1824" s="7">
        <v>27175.0</v>
      </c>
      <c r="B1824" s="2" t="s">
        <v>3100</v>
      </c>
      <c r="C1824" s="2" t="s">
        <v>3114</v>
      </c>
      <c r="D1824" s="4" t="s">
        <v>3115</v>
      </c>
    </row>
    <row r="1825">
      <c r="A1825" s="7">
        <v>27176.0</v>
      </c>
      <c r="B1825" s="2" t="s">
        <v>3100</v>
      </c>
      <c r="C1825" s="2" t="s">
        <v>1671</v>
      </c>
      <c r="D1825" s="4" t="s">
        <v>3116</v>
      </c>
    </row>
    <row r="1826">
      <c r="A1826" s="7">
        <v>27176.0</v>
      </c>
      <c r="B1826" s="2" t="s">
        <v>3100</v>
      </c>
      <c r="C1826" s="2" t="s">
        <v>1330</v>
      </c>
      <c r="D1826" s="4" t="s">
        <v>3117</v>
      </c>
    </row>
    <row r="1827">
      <c r="A1827" s="7">
        <v>27177.0</v>
      </c>
      <c r="B1827" s="2" t="s">
        <v>3100</v>
      </c>
      <c r="C1827" s="2" t="s">
        <v>1671</v>
      </c>
      <c r="D1827" s="4" t="s">
        <v>3118</v>
      </c>
    </row>
    <row r="1828">
      <c r="A1828" s="7">
        <v>27177.0</v>
      </c>
      <c r="B1828" s="2" t="s">
        <v>3100</v>
      </c>
      <c r="C1828" s="2" t="s">
        <v>3119</v>
      </c>
      <c r="D1828" s="4" t="s">
        <v>3120</v>
      </c>
    </row>
    <row r="1829">
      <c r="A1829" s="7">
        <v>27178.0</v>
      </c>
      <c r="B1829" s="2" t="s">
        <v>3100</v>
      </c>
      <c r="C1829" s="2" t="s">
        <v>1671</v>
      </c>
      <c r="D1829" s="4" t="s">
        <v>3121</v>
      </c>
    </row>
    <row r="1830">
      <c r="A1830" s="7">
        <v>27179.0</v>
      </c>
      <c r="B1830" s="2" t="s">
        <v>3100</v>
      </c>
      <c r="C1830" s="2" t="s">
        <v>1671</v>
      </c>
      <c r="D1830" s="4" t="s">
        <v>3122</v>
      </c>
    </row>
    <row r="1831">
      <c r="A1831" s="7">
        <v>27179.0</v>
      </c>
      <c r="B1831" s="2" t="s">
        <v>3123</v>
      </c>
      <c r="C1831" s="2" t="s">
        <v>3124</v>
      </c>
      <c r="D1831" s="4" t="s">
        <v>3125</v>
      </c>
    </row>
    <row r="1832">
      <c r="A1832" s="7">
        <v>27180.0</v>
      </c>
      <c r="B1832" s="2" t="s">
        <v>3123</v>
      </c>
      <c r="C1832" s="2" t="s">
        <v>3126</v>
      </c>
      <c r="D1832" s="4" t="s">
        <v>3127</v>
      </c>
    </row>
    <row r="1833">
      <c r="A1833" s="7">
        <v>27180.0</v>
      </c>
      <c r="B1833" s="2" t="s">
        <v>3123</v>
      </c>
      <c r="C1833" s="2" t="s">
        <v>3128</v>
      </c>
      <c r="D1833" s="4" t="s">
        <v>3129</v>
      </c>
    </row>
    <row r="1834">
      <c r="A1834" s="7">
        <v>27180.0</v>
      </c>
      <c r="B1834" s="2" t="s">
        <v>3123</v>
      </c>
      <c r="C1834" s="2" t="s">
        <v>3130</v>
      </c>
      <c r="D1834" s="4" t="s">
        <v>3131</v>
      </c>
    </row>
    <row r="1835">
      <c r="A1835" s="7">
        <v>27180.0</v>
      </c>
      <c r="B1835" s="2" t="s">
        <v>3123</v>
      </c>
      <c r="C1835" s="2" t="s">
        <v>3132</v>
      </c>
      <c r="D1835" s="4" t="s">
        <v>3133</v>
      </c>
    </row>
    <row r="1836">
      <c r="A1836" s="5">
        <v>27181.0</v>
      </c>
      <c r="B1836" s="2" t="s">
        <v>3123</v>
      </c>
      <c r="C1836" s="2" t="s">
        <v>3134</v>
      </c>
      <c r="D1836" s="4" t="s">
        <v>3135</v>
      </c>
    </row>
    <row r="1837">
      <c r="A1837" s="5">
        <v>27181.0</v>
      </c>
      <c r="B1837" s="2" t="s">
        <v>3123</v>
      </c>
      <c r="C1837" s="2" t="s">
        <v>3136</v>
      </c>
      <c r="D1837" s="4" t="s">
        <v>3137</v>
      </c>
    </row>
    <row r="1838">
      <c r="A1838" s="5">
        <v>27181.0</v>
      </c>
      <c r="B1838" s="2" t="s">
        <v>3123</v>
      </c>
      <c r="C1838" s="2" t="s">
        <v>56</v>
      </c>
      <c r="D1838" s="4" t="s">
        <v>3138</v>
      </c>
    </row>
    <row r="1839">
      <c r="A1839" s="5">
        <v>27182.0</v>
      </c>
      <c r="B1839" s="2" t="s">
        <v>3123</v>
      </c>
      <c r="C1839" s="2" t="s">
        <v>1671</v>
      </c>
      <c r="D1839" s="4" t="s">
        <v>3139</v>
      </c>
    </row>
    <row r="1840">
      <c r="A1840" s="5">
        <v>27182.0</v>
      </c>
      <c r="B1840" s="2" t="s">
        <v>3123</v>
      </c>
      <c r="C1840" s="2" t="s">
        <v>3140</v>
      </c>
      <c r="D1840" s="4" t="s">
        <v>3141</v>
      </c>
    </row>
    <row r="1841">
      <c r="A1841" s="5">
        <v>27183.0</v>
      </c>
      <c r="B1841" s="2" t="s">
        <v>3123</v>
      </c>
      <c r="C1841" s="2" t="s">
        <v>2846</v>
      </c>
      <c r="D1841" s="4" t="s">
        <v>3142</v>
      </c>
    </row>
    <row r="1842">
      <c r="A1842" s="5">
        <v>27183.0</v>
      </c>
      <c r="B1842" s="2" t="s">
        <v>3123</v>
      </c>
      <c r="C1842" s="2" t="s">
        <v>3143</v>
      </c>
      <c r="D1842" s="4" t="s">
        <v>3144</v>
      </c>
    </row>
    <row r="1843">
      <c r="A1843" s="5">
        <v>27184.0</v>
      </c>
      <c r="B1843" s="2" t="s">
        <v>3123</v>
      </c>
      <c r="C1843" s="2" t="s">
        <v>3145</v>
      </c>
      <c r="D1843" s="4" t="s">
        <v>3146</v>
      </c>
    </row>
    <row r="1844">
      <c r="A1844" s="5">
        <v>27184.0</v>
      </c>
      <c r="B1844" s="2" t="s">
        <v>3123</v>
      </c>
      <c r="C1844" s="2" t="s">
        <v>3147</v>
      </c>
      <c r="D1844" s="4" t="s">
        <v>3148</v>
      </c>
    </row>
    <row r="1845">
      <c r="A1845" s="5">
        <v>27184.0</v>
      </c>
      <c r="B1845" s="2" t="s">
        <v>3123</v>
      </c>
      <c r="C1845" s="2" t="s">
        <v>3149</v>
      </c>
      <c r="D1845" s="4" t="s">
        <v>3150</v>
      </c>
    </row>
    <row r="1846">
      <c r="A1846" s="5">
        <v>27185.0</v>
      </c>
      <c r="B1846" s="2" t="s">
        <v>3123</v>
      </c>
      <c r="C1846" s="2" t="s">
        <v>1671</v>
      </c>
      <c r="D1846" s="4" t="s">
        <v>3151</v>
      </c>
    </row>
    <row r="1847">
      <c r="A1847" s="5">
        <v>27185.0</v>
      </c>
      <c r="B1847" s="2" t="s">
        <v>3123</v>
      </c>
      <c r="C1847" s="2" t="s">
        <v>379</v>
      </c>
      <c r="D1847" s="4" t="s">
        <v>3152</v>
      </c>
    </row>
    <row r="1848">
      <c r="A1848" s="5">
        <v>27185.0</v>
      </c>
      <c r="B1848" s="2" t="s">
        <v>3123</v>
      </c>
      <c r="C1848" s="2" t="s">
        <v>3153</v>
      </c>
      <c r="D1848" s="4" t="s">
        <v>3154</v>
      </c>
    </row>
    <row r="1849">
      <c r="A1849" s="5">
        <v>27186.0</v>
      </c>
      <c r="B1849" s="2" t="s">
        <v>3123</v>
      </c>
      <c r="C1849" s="2" t="s">
        <v>1671</v>
      </c>
      <c r="D1849" s="4" t="s">
        <v>3155</v>
      </c>
    </row>
    <row r="1850">
      <c r="A1850" s="5">
        <v>27186.0</v>
      </c>
      <c r="B1850" s="2" t="s">
        <v>3123</v>
      </c>
      <c r="C1850" s="2" t="s">
        <v>3156</v>
      </c>
      <c r="D1850" s="4" t="s">
        <v>3157</v>
      </c>
    </row>
    <row r="1851">
      <c r="A1851" s="5">
        <v>27186.0</v>
      </c>
      <c r="B1851" s="2" t="s">
        <v>3123</v>
      </c>
      <c r="C1851" s="2" t="s">
        <v>3158</v>
      </c>
      <c r="D1851" s="4" t="s">
        <v>3159</v>
      </c>
    </row>
    <row r="1852">
      <c r="A1852" s="5">
        <v>27187.0</v>
      </c>
      <c r="B1852" s="2" t="s">
        <v>3123</v>
      </c>
      <c r="C1852" s="2" t="s">
        <v>3160</v>
      </c>
      <c r="D1852" s="4" t="s">
        <v>3161</v>
      </c>
    </row>
    <row r="1853">
      <c r="A1853" s="5">
        <v>27188.0</v>
      </c>
      <c r="B1853" s="2" t="s">
        <v>3123</v>
      </c>
      <c r="C1853" s="2" t="s">
        <v>1671</v>
      </c>
      <c r="D1853" s="4" t="s">
        <v>3162</v>
      </c>
    </row>
    <row r="1854">
      <c r="A1854" s="5">
        <v>27188.0</v>
      </c>
      <c r="B1854" s="2" t="s">
        <v>1200</v>
      </c>
      <c r="C1854" s="2" t="s">
        <v>866</v>
      </c>
      <c r="D1854" s="4" t="s">
        <v>3163</v>
      </c>
    </row>
    <row r="1855">
      <c r="A1855" s="5">
        <v>27189.0</v>
      </c>
      <c r="B1855" s="2" t="s">
        <v>1200</v>
      </c>
      <c r="C1855" s="2" t="s">
        <v>1671</v>
      </c>
      <c r="D1855" s="4" t="s">
        <v>3164</v>
      </c>
    </row>
    <row r="1856">
      <c r="A1856" s="5">
        <v>27189.0</v>
      </c>
      <c r="B1856" s="2" t="s">
        <v>1200</v>
      </c>
      <c r="C1856" s="2" t="s">
        <v>957</v>
      </c>
      <c r="D1856" s="4" t="s">
        <v>3165</v>
      </c>
    </row>
    <row r="1857">
      <c r="A1857" s="5">
        <v>27190.0</v>
      </c>
      <c r="B1857" s="2" t="s">
        <v>1200</v>
      </c>
      <c r="C1857" s="2" t="s">
        <v>3166</v>
      </c>
      <c r="D1857" s="4" t="s">
        <v>3167</v>
      </c>
    </row>
    <row r="1858">
      <c r="A1858" s="5">
        <v>27191.0</v>
      </c>
      <c r="B1858" s="2" t="s">
        <v>1200</v>
      </c>
      <c r="C1858" s="2" t="s">
        <v>1671</v>
      </c>
      <c r="D1858" s="4" t="s">
        <v>3168</v>
      </c>
    </row>
    <row r="1859">
      <c r="A1859" s="5">
        <v>27191.0</v>
      </c>
      <c r="B1859" s="2" t="s">
        <v>1200</v>
      </c>
      <c r="C1859" s="2" t="s">
        <v>1362</v>
      </c>
      <c r="D1859" s="4" t="s">
        <v>3169</v>
      </c>
    </row>
    <row r="1860">
      <c r="A1860" s="5">
        <v>27191.0</v>
      </c>
      <c r="B1860" s="2" t="s">
        <v>1200</v>
      </c>
      <c r="C1860" s="2" t="s">
        <v>3170</v>
      </c>
      <c r="D1860" s="4" t="s">
        <v>3171</v>
      </c>
    </row>
    <row r="1861">
      <c r="A1861" s="5">
        <v>27192.0</v>
      </c>
      <c r="B1861" s="2" t="s">
        <v>1200</v>
      </c>
      <c r="C1861" s="2" t="s">
        <v>1671</v>
      </c>
      <c r="D1861" s="4" t="s">
        <v>3172</v>
      </c>
    </row>
    <row r="1862">
      <c r="A1862" s="5">
        <v>27192.0</v>
      </c>
      <c r="B1862" s="2" t="s">
        <v>1200</v>
      </c>
      <c r="C1862" s="2" t="s">
        <v>2705</v>
      </c>
      <c r="D1862" s="4" t="s">
        <v>3173</v>
      </c>
    </row>
    <row r="1863">
      <c r="A1863" s="5">
        <v>27192.0</v>
      </c>
      <c r="B1863" s="2" t="s">
        <v>1200</v>
      </c>
      <c r="C1863" s="2" t="s">
        <v>2191</v>
      </c>
      <c r="D1863" s="4" t="s">
        <v>3174</v>
      </c>
    </row>
    <row r="1864">
      <c r="A1864" s="5">
        <v>27192.0</v>
      </c>
      <c r="B1864" s="2" t="s">
        <v>1200</v>
      </c>
      <c r="C1864" s="2" t="s">
        <v>3175</v>
      </c>
      <c r="D1864" s="4" t="s">
        <v>3176</v>
      </c>
    </row>
    <row r="1865">
      <c r="A1865" s="5">
        <v>27192.0</v>
      </c>
      <c r="B1865" s="2" t="s">
        <v>1200</v>
      </c>
      <c r="C1865" s="2" t="s">
        <v>3177</v>
      </c>
      <c r="D1865" s="4" t="s">
        <v>3178</v>
      </c>
    </row>
    <row r="1866">
      <c r="A1866" s="5">
        <v>27193.0</v>
      </c>
      <c r="B1866" s="2" t="s">
        <v>1200</v>
      </c>
      <c r="C1866" s="2" t="s">
        <v>1671</v>
      </c>
      <c r="D1866" s="4" t="s">
        <v>3179</v>
      </c>
    </row>
    <row r="1867">
      <c r="A1867" s="5">
        <v>27193.0</v>
      </c>
      <c r="B1867" s="2" t="s">
        <v>1200</v>
      </c>
      <c r="C1867" s="2" t="s">
        <v>2710</v>
      </c>
      <c r="D1867" s="4" t="s">
        <v>3180</v>
      </c>
    </row>
    <row r="1868">
      <c r="A1868" s="5">
        <v>27193.0</v>
      </c>
      <c r="B1868" s="2" t="s">
        <v>1200</v>
      </c>
      <c r="C1868" s="2" t="s">
        <v>3181</v>
      </c>
      <c r="D1868" s="4" t="s">
        <v>3182</v>
      </c>
    </row>
    <row r="1869">
      <c r="A1869" s="5">
        <v>27193.0</v>
      </c>
      <c r="B1869" s="2" t="s">
        <v>1200</v>
      </c>
      <c r="C1869" s="2" t="s">
        <v>3183</v>
      </c>
      <c r="D1869" s="4" t="s">
        <v>3184</v>
      </c>
    </row>
    <row r="1870">
      <c r="A1870" s="5">
        <v>27193.0</v>
      </c>
      <c r="B1870" s="2" t="s">
        <v>1200</v>
      </c>
      <c r="C1870" s="2" t="s">
        <v>1297</v>
      </c>
      <c r="D1870" s="4" t="s">
        <v>3185</v>
      </c>
    </row>
    <row r="1871">
      <c r="A1871" s="5">
        <v>27194.0</v>
      </c>
      <c r="B1871" s="2" t="s">
        <v>1200</v>
      </c>
      <c r="C1871" s="2" t="s">
        <v>1671</v>
      </c>
      <c r="D1871" s="4" t="s">
        <v>3186</v>
      </c>
    </row>
    <row r="1872">
      <c r="A1872" s="5">
        <v>27194.0</v>
      </c>
      <c r="B1872" s="2" t="s">
        <v>1200</v>
      </c>
      <c r="C1872" s="2" t="s">
        <v>3187</v>
      </c>
      <c r="D1872" s="4" t="s">
        <v>3188</v>
      </c>
    </row>
    <row r="1873">
      <c r="A1873" s="5">
        <v>27194.0</v>
      </c>
      <c r="B1873" s="2" t="s">
        <v>1200</v>
      </c>
      <c r="C1873" s="2" t="s">
        <v>3189</v>
      </c>
      <c r="D1873" s="4" t="s">
        <v>3190</v>
      </c>
    </row>
    <row r="1874">
      <c r="A1874" s="5">
        <v>27194.0</v>
      </c>
      <c r="B1874" s="2" t="s">
        <v>1200</v>
      </c>
      <c r="C1874" s="2" t="s">
        <v>3191</v>
      </c>
      <c r="D1874" s="4" t="s">
        <v>3192</v>
      </c>
    </row>
    <row r="1875">
      <c r="A1875" s="5">
        <v>27195.0</v>
      </c>
      <c r="B1875" s="2" t="s">
        <v>1200</v>
      </c>
      <c r="C1875" s="2" t="s">
        <v>3193</v>
      </c>
      <c r="D1875" s="4" t="s">
        <v>3194</v>
      </c>
    </row>
    <row r="1876">
      <c r="A1876" s="5">
        <v>27195.0</v>
      </c>
      <c r="B1876" s="2" t="s">
        <v>1200</v>
      </c>
      <c r="C1876" s="2" t="s">
        <v>379</v>
      </c>
      <c r="D1876" s="4" t="s">
        <v>3195</v>
      </c>
    </row>
    <row r="1877">
      <c r="A1877" s="5">
        <v>27195.0</v>
      </c>
      <c r="B1877" s="2" t="s">
        <v>1200</v>
      </c>
      <c r="C1877" s="2" t="s">
        <v>3196</v>
      </c>
      <c r="D1877" s="4" t="s">
        <v>3197</v>
      </c>
    </row>
    <row r="1878">
      <c r="A1878" s="5">
        <v>27196.0</v>
      </c>
      <c r="B1878" s="2" t="s">
        <v>3198</v>
      </c>
      <c r="C1878" s="2" t="s">
        <v>3199</v>
      </c>
      <c r="D1878" s="4" t="s">
        <v>3200</v>
      </c>
    </row>
    <row r="1879">
      <c r="A1879" s="5">
        <v>27197.0</v>
      </c>
      <c r="B1879" s="2" t="s">
        <v>3198</v>
      </c>
      <c r="C1879" s="2" t="s">
        <v>1671</v>
      </c>
      <c r="D1879" s="4" t="s">
        <v>3201</v>
      </c>
    </row>
    <row r="1880">
      <c r="A1880" s="5">
        <v>27197.0</v>
      </c>
      <c r="B1880" s="2" t="s">
        <v>3198</v>
      </c>
      <c r="C1880" s="2" t="s">
        <v>3202</v>
      </c>
      <c r="D1880" s="4" t="s">
        <v>3203</v>
      </c>
    </row>
    <row r="1881">
      <c r="A1881" s="5">
        <v>27198.0</v>
      </c>
      <c r="B1881" s="2" t="s">
        <v>3198</v>
      </c>
      <c r="C1881" s="2" t="s">
        <v>14</v>
      </c>
      <c r="D1881" s="4" t="s">
        <v>3204</v>
      </c>
    </row>
    <row r="1882">
      <c r="A1882" s="5">
        <v>27199.0</v>
      </c>
      <c r="B1882" s="2" t="s">
        <v>3198</v>
      </c>
      <c r="C1882" s="2" t="s">
        <v>1671</v>
      </c>
      <c r="D1882" s="4" t="s">
        <v>3205</v>
      </c>
    </row>
    <row r="1883">
      <c r="A1883" s="5">
        <v>27199.0</v>
      </c>
      <c r="B1883" s="2" t="s">
        <v>3198</v>
      </c>
      <c r="C1883" s="2" t="s">
        <v>3206</v>
      </c>
      <c r="D1883" s="4" t="s">
        <v>3207</v>
      </c>
    </row>
    <row r="1884">
      <c r="A1884" s="5">
        <v>27200.0</v>
      </c>
      <c r="B1884" s="2" t="s">
        <v>3198</v>
      </c>
      <c r="C1884" s="2" t="s">
        <v>1671</v>
      </c>
      <c r="D1884" s="4" t="s">
        <v>3208</v>
      </c>
    </row>
    <row r="1885">
      <c r="A1885" s="5">
        <v>27200.0</v>
      </c>
      <c r="B1885" s="2" t="s">
        <v>3198</v>
      </c>
      <c r="C1885" s="2" t="s">
        <v>379</v>
      </c>
      <c r="D1885" s="4" t="s">
        <v>3209</v>
      </c>
    </row>
    <row r="1886">
      <c r="A1886" s="5">
        <v>27201.0</v>
      </c>
      <c r="B1886" s="2" t="s">
        <v>3198</v>
      </c>
      <c r="C1886" s="2" t="s">
        <v>3210</v>
      </c>
      <c r="D1886" s="4" t="s">
        <v>3211</v>
      </c>
    </row>
    <row r="1887">
      <c r="A1887" s="5">
        <v>27202.0</v>
      </c>
      <c r="B1887" s="2" t="s">
        <v>3198</v>
      </c>
      <c r="C1887" s="2" t="s">
        <v>1671</v>
      </c>
      <c r="D1887" s="4" t="s">
        <v>3212</v>
      </c>
    </row>
    <row r="1888">
      <c r="A1888" s="5">
        <v>27202.0</v>
      </c>
      <c r="B1888" s="2" t="s">
        <v>3198</v>
      </c>
      <c r="C1888" s="2" t="s">
        <v>3213</v>
      </c>
      <c r="D1888" s="4" t="s">
        <v>3214</v>
      </c>
    </row>
    <row r="1889">
      <c r="A1889" s="5">
        <v>27202.0</v>
      </c>
      <c r="B1889" s="2" t="s">
        <v>3215</v>
      </c>
      <c r="C1889" s="2" t="s">
        <v>14</v>
      </c>
      <c r="D1889" s="4" t="s">
        <v>3216</v>
      </c>
    </row>
    <row r="1890">
      <c r="A1890" s="5">
        <v>27203.0</v>
      </c>
      <c r="B1890" s="2" t="s">
        <v>3198</v>
      </c>
      <c r="C1890" s="2" t="s">
        <v>2522</v>
      </c>
      <c r="D1890" s="4" t="s">
        <v>3217</v>
      </c>
    </row>
    <row r="1891">
      <c r="A1891" s="5">
        <v>27205.0</v>
      </c>
      <c r="B1891" s="2" t="s">
        <v>1546</v>
      </c>
      <c r="C1891" s="2" t="s">
        <v>3218</v>
      </c>
      <c r="D1891" s="4" t="s">
        <v>3219</v>
      </c>
    </row>
    <row r="1892">
      <c r="A1892" s="5">
        <v>27206.0</v>
      </c>
      <c r="B1892" s="2" t="s">
        <v>1546</v>
      </c>
      <c r="C1892" s="2" t="s">
        <v>3220</v>
      </c>
      <c r="D1892" s="4" t="s">
        <v>3221</v>
      </c>
    </row>
    <row r="1893">
      <c r="A1893" s="5">
        <v>27207.0</v>
      </c>
      <c r="B1893" s="2" t="s">
        <v>1546</v>
      </c>
      <c r="C1893" s="2" t="s">
        <v>2846</v>
      </c>
      <c r="D1893" s="4" t="s">
        <v>3222</v>
      </c>
    </row>
    <row r="1894">
      <c r="A1894" s="5">
        <v>27207.0</v>
      </c>
      <c r="B1894" s="2" t="s">
        <v>1546</v>
      </c>
      <c r="C1894" s="2" t="s">
        <v>3223</v>
      </c>
      <c r="D1894" s="4" t="s">
        <v>3224</v>
      </c>
    </row>
    <row r="1895">
      <c r="A1895" s="5">
        <v>27208.0</v>
      </c>
      <c r="B1895" s="2" t="s">
        <v>1546</v>
      </c>
      <c r="C1895" s="2" t="s">
        <v>3225</v>
      </c>
      <c r="D1895" s="4" t="s">
        <v>3226</v>
      </c>
    </row>
    <row r="1896">
      <c r="A1896" s="5">
        <v>27208.0</v>
      </c>
      <c r="B1896" s="2" t="s">
        <v>1546</v>
      </c>
      <c r="C1896" s="2" t="s">
        <v>3227</v>
      </c>
      <c r="D1896" s="4" t="s">
        <v>3228</v>
      </c>
    </row>
    <row r="1897">
      <c r="A1897" s="5">
        <v>27209.0</v>
      </c>
      <c r="B1897" s="2" t="s">
        <v>1546</v>
      </c>
      <c r="C1897" s="2" t="s">
        <v>1671</v>
      </c>
      <c r="D1897" s="4" t="s">
        <v>3229</v>
      </c>
    </row>
    <row r="1898">
      <c r="A1898" s="5">
        <v>27209.0</v>
      </c>
      <c r="B1898" s="2" t="s">
        <v>1546</v>
      </c>
      <c r="C1898" s="2" t="s">
        <v>379</v>
      </c>
      <c r="D1898" s="4" t="s">
        <v>3230</v>
      </c>
    </row>
    <row r="1899">
      <c r="A1899" s="5">
        <v>27209.0</v>
      </c>
      <c r="B1899" s="2" t="s">
        <v>1546</v>
      </c>
      <c r="C1899" s="2" t="s">
        <v>3231</v>
      </c>
      <c r="D1899" s="4" t="s">
        <v>3232</v>
      </c>
    </row>
    <row r="1900">
      <c r="A1900" s="5">
        <v>27209.0</v>
      </c>
      <c r="B1900" s="2" t="s">
        <v>1546</v>
      </c>
      <c r="C1900" s="2" t="s">
        <v>3233</v>
      </c>
      <c r="D1900" s="4" t="s">
        <v>3234</v>
      </c>
    </row>
    <row r="1901">
      <c r="A1901" s="5">
        <v>27209.0</v>
      </c>
      <c r="B1901" s="2" t="s">
        <v>1546</v>
      </c>
      <c r="C1901" s="2" t="s">
        <v>369</v>
      </c>
      <c r="D1901" s="4" t="s">
        <v>3235</v>
      </c>
    </row>
    <row r="1902">
      <c r="A1902" s="5">
        <v>27210.0</v>
      </c>
      <c r="B1902" s="2" t="s">
        <v>1546</v>
      </c>
      <c r="C1902" s="2" t="s">
        <v>3236</v>
      </c>
      <c r="D1902" s="4" t="s">
        <v>3237</v>
      </c>
    </row>
    <row r="1903">
      <c r="A1903" s="5">
        <v>27211.0</v>
      </c>
      <c r="B1903" s="2" t="s">
        <v>1546</v>
      </c>
      <c r="C1903" s="2" t="s">
        <v>2310</v>
      </c>
      <c r="D1903" s="4" t="s">
        <v>3238</v>
      </c>
    </row>
    <row r="1904">
      <c r="A1904" s="5">
        <v>27211.0</v>
      </c>
      <c r="B1904" s="2" t="s">
        <v>1546</v>
      </c>
      <c r="C1904" s="2" t="s">
        <v>3239</v>
      </c>
      <c r="D1904" s="4" t="s">
        <v>3240</v>
      </c>
    </row>
    <row r="1905">
      <c r="A1905" s="5">
        <v>27211.0</v>
      </c>
      <c r="B1905" s="2" t="s">
        <v>1546</v>
      </c>
      <c r="C1905" s="2" t="s">
        <v>3241</v>
      </c>
      <c r="D1905" s="4" t="s">
        <v>3242</v>
      </c>
    </row>
    <row r="1906">
      <c r="A1906" s="5">
        <v>27212.0</v>
      </c>
      <c r="B1906" s="2" t="s">
        <v>1546</v>
      </c>
      <c r="C1906" s="2" t="s">
        <v>3243</v>
      </c>
      <c r="D1906" s="4" t="s">
        <v>3244</v>
      </c>
    </row>
    <row r="1907">
      <c r="A1907" s="5">
        <v>27212.0</v>
      </c>
      <c r="B1907" s="2" t="s">
        <v>1546</v>
      </c>
      <c r="C1907" s="2" t="s">
        <v>3245</v>
      </c>
      <c r="D1907" s="4" t="s">
        <v>3246</v>
      </c>
    </row>
    <row r="1908">
      <c r="A1908" s="5">
        <v>27214.0</v>
      </c>
      <c r="B1908" s="2" t="s">
        <v>3247</v>
      </c>
      <c r="C1908" s="2" t="s">
        <v>2217</v>
      </c>
      <c r="D1908" s="4" t="s">
        <v>3248</v>
      </c>
    </row>
    <row r="1909">
      <c r="A1909" s="5">
        <v>27214.0</v>
      </c>
      <c r="B1909" s="2" t="s">
        <v>3247</v>
      </c>
      <c r="C1909" s="2" t="s">
        <v>3249</v>
      </c>
      <c r="D1909" s="4" t="s">
        <v>3250</v>
      </c>
    </row>
    <row r="1910">
      <c r="A1910" s="5">
        <v>27215.0</v>
      </c>
      <c r="B1910" s="2" t="s">
        <v>3247</v>
      </c>
      <c r="C1910" s="2" t="s">
        <v>3251</v>
      </c>
      <c r="D1910" s="4" t="s">
        <v>3252</v>
      </c>
    </row>
    <row r="1911">
      <c r="A1911" s="5">
        <v>27218.0</v>
      </c>
      <c r="B1911" s="2" t="s">
        <v>345</v>
      </c>
      <c r="C1911" s="2" t="s">
        <v>866</v>
      </c>
      <c r="D1911" s="4" t="s">
        <v>3253</v>
      </c>
    </row>
    <row r="1912">
      <c r="A1912" s="5">
        <v>27218.0</v>
      </c>
      <c r="B1912" s="2" t="s">
        <v>345</v>
      </c>
      <c r="C1912" s="2" t="s">
        <v>379</v>
      </c>
      <c r="D1912" s="4" t="s">
        <v>3254</v>
      </c>
    </row>
    <row r="1913">
      <c r="A1913" s="5">
        <v>27219.0</v>
      </c>
      <c r="B1913" s="2" t="s">
        <v>345</v>
      </c>
      <c r="C1913" s="2" t="s">
        <v>1671</v>
      </c>
      <c r="D1913" s="4" t="s">
        <v>3255</v>
      </c>
    </row>
    <row r="1914">
      <c r="A1914" s="5">
        <v>27219.0</v>
      </c>
      <c r="B1914" s="2" t="s">
        <v>345</v>
      </c>
      <c r="C1914" s="2" t="s">
        <v>2869</v>
      </c>
      <c r="D1914" s="4" t="s">
        <v>3256</v>
      </c>
    </row>
    <row r="1915">
      <c r="A1915" s="5">
        <v>27220.0</v>
      </c>
      <c r="B1915" s="2" t="s">
        <v>345</v>
      </c>
      <c r="C1915" s="2" t="s">
        <v>2872</v>
      </c>
      <c r="D1915" s="4" t="s">
        <v>3257</v>
      </c>
    </row>
    <row r="1916">
      <c r="A1916" s="5">
        <v>27221.0</v>
      </c>
      <c r="B1916" s="2" t="s">
        <v>345</v>
      </c>
      <c r="C1916" s="2" t="s">
        <v>2874</v>
      </c>
      <c r="D1916" s="4" t="s">
        <v>3258</v>
      </c>
    </row>
    <row r="1917">
      <c r="A1917" s="5">
        <v>27222.0</v>
      </c>
      <c r="B1917" s="2" t="s">
        <v>345</v>
      </c>
      <c r="C1917" s="2" t="s">
        <v>3259</v>
      </c>
      <c r="D1917" s="4" t="s">
        <v>3260</v>
      </c>
    </row>
    <row r="1918">
      <c r="A1918" s="5">
        <v>27222.0</v>
      </c>
      <c r="B1918" s="2" t="s">
        <v>345</v>
      </c>
      <c r="C1918" s="2" t="s">
        <v>2877</v>
      </c>
      <c r="D1918" s="4" t="s">
        <v>3261</v>
      </c>
    </row>
    <row r="1919">
      <c r="A1919" s="5">
        <v>27222.0</v>
      </c>
      <c r="B1919" s="2" t="s">
        <v>345</v>
      </c>
      <c r="C1919" s="2" t="s">
        <v>3262</v>
      </c>
      <c r="D1919" s="4" t="s">
        <v>3263</v>
      </c>
    </row>
    <row r="1920">
      <c r="A1920" s="5">
        <v>27223.0</v>
      </c>
      <c r="B1920" s="2" t="s">
        <v>345</v>
      </c>
      <c r="C1920" s="2" t="s">
        <v>3264</v>
      </c>
      <c r="D1920" s="4" t="s">
        <v>3265</v>
      </c>
    </row>
    <row r="1921">
      <c r="A1921" s="5">
        <v>27223.0</v>
      </c>
      <c r="B1921" s="2" t="s">
        <v>345</v>
      </c>
      <c r="C1921" s="2" t="s">
        <v>2880</v>
      </c>
      <c r="D1921" s="4" t="s">
        <v>3266</v>
      </c>
    </row>
    <row r="1922">
      <c r="A1922" s="5">
        <v>27223.0</v>
      </c>
      <c r="B1922" s="2" t="s">
        <v>345</v>
      </c>
      <c r="C1922" s="2" t="s">
        <v>3267</v>
      </c>
      <c r="D1922" s="4" t="s">
        <v>3268</v>
      </c>
    </row>
    <row r="1923">
      <c r="A1923" s="5">
        <v>27224.0</v>
      </c>
      <c r="B1923" s="2" t="s">
        <v>345</v>
      </c>
      <c r="C1923" s="2" t="s">
        <v>3259</v>
      </c>
      <c r="D1923" s="4" t="s">
        <v>3269</v>
      </c>
    </row>
    <row r="1924">
      <c r="A1924" s="5">
        <v>27224.0</v>
      </c>
      <c r="B1924" s="2" t="s">
        <v>345</v>
      </c>
      <c r="C1924" s="2" t="s">
        <v>2883</v>
      </c>
      <c r="D1924" s="4" t="s">
        <v>3270</v>
      </c>
    </row>
    <row r="1925">
      <c r="A1925" s="5">
        <v>27224.0</v>
      </c>
      <c r="B1925" s="2" t="s">
        <v>345</v>
      </c>
      <c r="C1925" s="2" t="s">
        <v>3271</v>
      </c>
      <c r="D1925" s="4" t="s">
        <v>3272</v>
      </c>
    </row>
    <row r="1926">
      <c r="A1926" s="5">
        <v>27225.0</v>
      </c>
      <c r="B1926" s="2" t="s">
        <v>345</v>
      </c>
      <c r="C1926" s="2" t="s">
        <v>1732</v>
      </c>
      <c r="D1926" s="4" t="s">
        <v>3273</v>
      </c>
    </row>
    <row r="1927">
      <c r="A1927" s="5">
        <v>27228.0</v>
      </c>
      <c r="B1927" s="2" t="s">
        <v>803</v>
      </c>
      <c r="C1927" s="2" t="s">
        <v>333</v>
      </c>
      <c r="D1927" s="4" t="s">
        <v>3274</v>
      </c>
    </row>
    <row r="1928">
      <c r="A1928" s="5">
        <v>27229.0</v>
      </c>
      <c r="B1928" s="2" t="s">
        <v>803</v>
      </c>
      <c r="C1928" s="2" t="s">
        <v>1794</v>
      </c>
      <c r="D1928" s="4" t="s">
        <v>3275</v>
      </c>
    </row>
    <row r="1929">
      <c r="A1929" s="5">
        <v>27231.0</v>
      </c>
      <c r="B1929" s="2" t="s">
        <v>803</v>
      </c>
      <c r="C1929" s="2" t="s">
        <v>3276</v>
      </c>
      <c r="D1929" s="4" t="s">
        <v>3277</v>
      </c>
    </row>
    <row r="1930">
      <c r="A1930" s="5">
        <v>27234.0</v>
      </c>
      <c r="B1930" s="2" t="s">
        <v>4</v>
      </c>
      <c r="C1930" s="2" t="s">
        <v>1798</v>
      </c>
      <c r="D1930" s="4" t="s">
        <v>3278</v>
      </c>
    </row>
    <row r="1931">
      <c r="A1931" s="5">
        <v>27235.0</v>
      </c>
      <c r="B1931" s="2" t="s">
        <v>4</v>
      </c>
      <c r="C1931" s="2" t="s">
        <v>1732</v>
      </c>
      <c r="D1931" s="4" t="s">
        <v>3279</v>
      </c>
    </row>
    <row r="1932">
      <c r="A1932" s="3">
        <v>27243.0</v>
      </c>
      <c r="B1932" s="9" t="s">
        <v>1417</v>
      </c>
      <c r="C1932" s="2" t="s">
        <v>3008</v>
      </c>
      <c r="D1932" s="4" t="s">
        <v>3280</v>
      </c>
    </row>
    <row r="1933">
      <c r="A1933" s="3">
        <v>27244.0</v>
      </c>
      <c r="B1933" s="9" t="s">
        <v>1417</v>
      </c>
      <c r="C1933" s="2" t="s">
        <v>3281</v>
      </c>
      <c r="D1933" s="4" t="s">
        <v>3282</v>
      </c>
    </row>
    <row r="1934">
      <c r="A1934" s="3">
        <v>27244.0</v>
      </c>
      <c r="B1934" s="9" t="s">
        <v>1417</v>
      </c>
      <c r="C1934" s="2" t="s">
        <v>56</v>
      </c>
      <c r="D1934" s="4" t="s">
        <v>3283</v>
      </c>
    </row>
    <row r="1935">
      <c r="A1935" s="3">
        <v>27245.0</v>
      </c>
      <c r="B1935" s="9" t="s">
        <v>1417</v>
      </c>
      <c r="C1935" s="2" t="s">
        <v>3284</v>
      </c>
      <c r="D1935" s="4" t="s">
        <v>3285</v>
      </c>
    </row>
    <row r="1936">
      <c r="A1936" s="3">
        <v>27245.0</v>
      </c>
      <c r="B1936" s="9" t="s">
        <v>1417</v>
      </c>
      <c r="C1936" s="2" t="s">
        <v>3286</v>
      </c>
      <c r="D1936" s="4" t="s">
        <v>3287</v>
      </c>
    </row>
    <row r="1937">
      <c r="A1937" s="3">
        <v>27246.0</v>
      </c>
      <c r="B1937" s="9" t="s">
        <v>1417</v>
      </c>
      <c r="C1937" s="2" t="s">
        <v>3288</v>
      </c>
      <c r="D1937" s="4" t="s">
        <v>3289</v>
      </c>
    </row>
    <row r="1938">
      <c r="A1938" s="3">
        <v>27246.0</v>
      </c>
      <c r="B1938" s="9" t="s">
        <v>1417</v>
      </c>
      <c r="C1938" s="2" t="s">
        <v>2213</v>
      </c>
      <c r="D1938" s="4" t="s">
        <v>3290</v>
      </c>
    </row>
    <row r="1939">
      <c r="A1939" s="3">
        <v>27246.0</v>
      </c>
      <c r="B1939" s="9" t="s">
        <v>1417</v>
      </c>
      <c r="C1939" s="2" t="s">
        <v>379</v>
      </c>
      <c r="D1939" s="4" t="s">
        <v>3291</v>
      </c>
    </row>
    <row r="1940">
      <c r="A1940" s="3">
        <v>27247.0</v>
      </c>
      <c r="B1940" s="9" t="s">
        <v>1417</v>
      </c>
      <c r="C1940" s="2" t="s">
        <v>3020</v>
      </c>
      <c r="D1940" s="4" t="s">
        <v>3292</v>
      </c>
    </row>
    <row r="1941">
      <c r="A1941" s="3">
        <v>27247.0</v>
      </c>
      <c r="B1941" s="9" t="s">
        <v>1417</v>
      </c>
      <c r="C1941" s="2" t="s">
        <v>3293</v>
      </c>
      <c r="D1941" s="4" t="s">
        <v>3294</v>
      </c>
    </row>
    <row r="1942">
      <c r="A1942" s="3">
        <v>27250.0</v>
      </c>
      <c r="B1942" s="9" t="s">
        <v>1417</v>
      </c>
      <c r="C1942" s="2" t="s">
        <v>3295</v>
      </c>
      <c r="D1942" s="4" t="s">
        <v>3296</v>
      </c>
    </row>
    <row r="1943">
      <c r="A1943" s="3">
        <v>27250.0</v>
      </c>
      <c r="B1943" s="9" t="s">
        <v>1417</v>
      </c>
      <c r="C1943" s="2" t="s">
        <v>400</v>
      </c>
      <c r="D1943" s="4" t="s">
        <v>3297</v>
      </c>
    </row>
    <row r="1944">
      <c r="A1944" s="3">
        <v>27251.0</v>
      </c>
      <c r="B1944" s="9" t="s">
        <v>1417</v>
      </c>
      <c r="C1944" s="2" t="s">
        <v>3298</v>
      </c>
      <c r="D1944" s="4" t="s">
        <v>3299</v>
      </c>
    </row>
    <row r="1945">
      <c r="A1945" s="3">
        <v>27251.0</v>
      </c>
      <c r="B1945" s="9" t="s">
        <v>1417</v>
      </c>
      <c r="C1945" s="2" t="s">
        <v>2103</v>
      </c>
      <c r="D1945" s="4" t="s">
        <v>3300</v>
      </c>
    </row>
    <row r="1946">
      <c r="A1946" s="3">
        <v>27252.0</v>
      </c>
      <c r="B1946" s="9" t="s">
        <v>1417</v>
      </c>
      <c r="C1946" s="2" t="s">
        <v>3301</v>
      </c>
      <c r="D1946" s="4" t="s">
        <v>3302</v>
      </c>
    </row>
    <row r="1947">
      <c r="A1947" s="3">
        <v>27252.0</v>
      </c>
      <c r="B1947" s="9" t="s">
        <v>1417</v>
      </c>
      <c r="C1947" s="2" t="s">
        <v>3303</v>
      </c>
      <c r="D1947" s="4" t="s">
        <v>3304</v>
      </c>
    </row>
    <row r="1948">
      <c r="A1948" s="3">
        <v>27253.0</v>
      </c>
      <c r="B1948" s="9" t="s">
        <v>1417</v>
      </c>
      <c r="C1948" s="2" t="s">
        <v>3305</v>
      </c>
      <c r="D1948" s="4" t="s">
        <v>3306</v>
      </c>
    </row>
    <row r="1949">
      <c r="A1949" s="3">
        <v>27253.0</v>
      </c>
      <c r="B1949" s="9" t="s">
        <v>1417</v>
      </c>
      <c r="C1949" s="2" t="s">
        <v>1524</v>
      </c>
      <c r="D1949" s="4" t="s">
        <v>3307</v>
      </c>
    </row>
    <row r="1950">
      <c r="A1950" s="3">
        <v>27254.0</v>
      </c>
      <c r="B1950" s="9" t="s">
        <v>1417</v>
      </c>
      <c r="C1950" s="2" t="s">
        <v>3308</v>
      </c>
      <c r="D1950" s="4" t="s">
        <v>3309</v>
      </c>
    </row>
    <row r="1951">
      <c r="A1951" s="3">
        <v>27254.0</v>
      </c>
      <c r="B1951" s="9" t="s">
        <v>1417</v>
      </c>
      <c r="C1951" s="2" t="s">
        <v>1172</v>
      </c>
      <c r="D1951" s="4" t="s">
        <v>3310</v>
      </c>
    </row>
    <row r="1952">
      <c r="A1952" s="3">
        <v>27255.0</v>
      </c>
      <c r="B1952" s="9" t="s">
        <v>1417</v>
      </c>
      <c r="C1952" s="2" t="s">
        <v>3311</v>
      </c>
      <c r="D1952" s="4" t="s">
        <v>3312</v>
      </c>
    </row>
    <row r="1953">
      <c r="A1953" s="3">
        <v>27256.0</v>
      </c>
      <c r="B1953" s="9" t="s">
        <v>1417</v>
      </c>
      <c r="C1953" s="2" t="s">
        <v>1529</v>
      </c>
      <c r="D1953" s="4" t="s">
        <v>3313</v>
      </c>
    </row>
    <row r="1954">
      <c r="A1954" s="3">
        <v>27257.0</v>
      </c>
      <c r="B1954" s="9" t="s">
        <v>1417</v>
      </c>
      <c r="C1954" s="2" t="s">
        <v>3314</v>
      </c>
      <c r="D1954" s="4" t="s">
        <v>3315</v>
      </c>
    </row>
    <row r="1955">
      <c r="A1955" s="3">
        <v>27257.0</v>
      </c>
      <c r="B1955" s="9" t="s">
        <v>1417</v>
      </c>
      <c r="C1955" s="2" t="s">
        <v>1532</v>
      </c>
      <c r="D1955" s="4" t="s">
        <v>3316</v>
      </c>
    </row>
    <row r="1956">
      <c r="A1956" s="3">
        <v>27258.0</v>
      </c>
      <c r="B1956" s="9" t="s">
        <v>1417</v>
      </c>
      <c r="C1956" s="2" t="s">
        <v>3317</v>
      </c>
      <c r="D1956" s="4" t="s">
        <v>3318</v>
      </c>
    </row>
    <row r="1957">
      <c r="A1957" s="3">
        <v>27259.0</v>
      </c>
      <c r="B1957" s="9" t="s">
        <v>1417</v>
      </c>
      <c r="C1957" s="2" t="s">
        <v>3319</v>
      </c>
      <c r="D1957" s="4" t="s">
        <v>3320</v>
      </c>
    </row>
    <row r="1958">
      <c r="A1958" s="1" t="s">
        <v>3321</v>
      </c>
      <c r="B1958" s="9" t="s">
        <v>1417</v>
      </c>
      <c r="C1958" s="2" t="s">
        <v>1705</v>
      </c>
      <c r="D1958" s="4" t="s">
        <v>3322</v>
      </c>
    </row>
    <row r="1959">
      <c r="A1959" s="1" t="s">
        <v>3323</v>
      </c>
      <c r="B1959" s="9" t="s">
        <v>1417</v>
      </c>
      <c r="C1959" s="2" t="s">
        <v>1705</v>
      </c>
      <c r="D1959" s="4" t="s">
        <v>3324</v>
      </c>
    </row>
    <row r="1960">
      <c r="A1960" s="1" t="s">
        <v>3325</v>
      </c>
      <c r="B1960" s="2" t="s">
        <v>1392</v>
      </c>
      <c r="C1960" s="2" t="s">
        <v>2678</v>
      </c>
      <c r="D1960" s="4" t="s">
        <v>3326</v>
      </c>
    </row>
    <row r="1961">
      <c r="A1961" s="1" t="s">
        <v>3327</v>
      </c>
      <c r="B1961" s="2" t="s">
        <v>977</v>
      </c>
      <c r="C1961" s="2" t="s">
        <v>3328</v>
      </c>
      <c r="D1961" s="4" t="s">
        <v>3329</v>
      </c>
    </row>
    <row r="1962">
      <c r="A1962" s="1" t="s">
        <v>3330</v>
      </c>
      <c r="B1962" s="2" t="s">
        <v>977</v>
      </c>
      <c r="C1962" s="2" t="s">
        <v>1794</v>
      </c>
      <c r="D1962" s="4" t="s">
        <v>3331</v>
      </c>
    </row>
    <row r="1963">
      <c r="A1963" s="1" t="s">
        <v>3332</v>
      </c>
      <c r="B1963" s="2" t="s">
        <v>977</v>
      </c>
      <c r="C1963" s="2" t="s">
        <v>1796</v>
      </c>
      <c r="D1963" s="4" t="s">
        <v>3333</v>
      </c>
    </row>
    <row r="1964">
      <c r="A1964" s="1" t="s">
        <v>3332</v>
      </c>
      <c r="B1964" s="2" t="s">
        <v>1485</v>
      </c>
      <c r="C1964" s="2" t="s">
        <v>3334</v>
      </c>
      <c r="D1964" s="4" t="s">
        <v>3335</v>
      </c>
    </row>
    <row r="1965">
      <c r="A1965" s="1" t="s">
        <v>3336</v>
      </c>
      <c r="B1965" s="2" t="s">
        <v>1485</v>
      </c>
      <c r="C1965" s="2" t="s">
        <v>2217</v>
      </c>
      <c r="D1965" s="4" t="s">
        <v>3337</v>
      </c>
    </row>
    <row r="1966">
      <c r="A1966" s="1" t="s">
        <v>3338</v>
      </c>
      <c r="B1966" s="2" t="s">
        <v>1485</v>
      </c>
      <c r="C1966" s="2" t="s">
        <v>3251</v>
      </c>
      <c r="D1966" s="4" t="s">
        <v>3339</v>
      </c>
    </row>
    <row r="1967">
      <c r="A1967" s="1" t="s">
        <v>3338</v>
      </c>
      <c r="B1967" s="2" t="s">
        <v>1485</v>
      </c>
      <c r="C1967" s="2" t="s">
        <v>1483</v>
      </c>
      <c r="D1967" s="4" t="s">
        <v>3340</v>
      </c>
    </row>
    <row r="1968">
      <c r="A1968" s="1" t="s">
        <v>3341</v>
      </c>
      <c r="B1968" s="2" t="s">
        <v>1485</v>
      </c>
      <c r="C1968" s="2" t="s">
        <v>2220</v>
      </c>
      <c r="D1968" s="4" t="s">
        <v>3342</v>
      </c>
    </row>
    <row r="1969">
      <c r="A1969" s="3">
        <v>27303.0</v>
      </c>
      <c r="B1969" s="2" t="s">
        <v>1485</v>
      </c>
      <c r="C1969" s="2" t="s">
        <v>2222</v>
      </c>
      <c r="D1969" s="4" t="s">
        <v>3343</v>
      </c>
    </row>
    <row r="1970">
      <c r="A1970" s="3">
        <v>27305.0</v>
      </c>
      <c r="B1970" s="2" t="s">
        <v>1485</v>
      </c>
      <c r="C1970" s="2" t="s">
        <v>2227</v>
      </c>
      <c r="D1970" s="4" t="s">
        <v>3344</v>
      </c>
    </row>
    <row r="1971">
      <c r="A1971" s="3">
        <v>27305.0</v>
      </c>
      <c r="B1971" s="2" t="s">
        <v>1485</v>
      </c>
      <c r="C1971" s="2" t="s">
        <v>1483</v>
      </c>
      <c r="D1971" s="4" t="s">
        <v>3345</v>
      </c>
    </row>
    <row r="1972">
      <c r="A1972" s="3">
        <v>27306.0</v>
      </c>
      <c r="B1972" s="2" t="s">
        <v>1485</v>
      </c>
      <c r="C1972" s="2" t="s">
        <v>2229</v>
      </c>
      <c r="D1972" s="4" t="s">
        <v>3346</v>
      </c>
    </row>
    <row r="1973">
      <c r="A1973" s="3">
        <v>27307.0</v>
      </c>
      <c r="B1973" s="2" t="s">
        <v>1485</v>
      </c>
      <c r="C1973" s="2" t="s">
        <v>2232</v>
      </c>
      <c r="D1973" s="4" t="s">
        <v>3347</v>
      </c>
    </row>
    <row r="1974">
      <c r="A1974" s="3">
        <v>27308.0</v>
      </c>
      <c r="B1974" s="2" t="s">
        <v>1485</v>
      </c>
      <c r="C1974" s="2" t="s">
        <v>2234</v>
      </c>
      <c r="D1974" s="4" t="s">
        <v>3348</v>
      </c>
    </row>
    <row r="1975">
      <c r="A1975" s="3">
        <v>27309.0</v>
      </c>
      <c r="B1975" s="2" t="s">
        <v>1485</v>
      </c>
      <c r="C1975" s="2" t="s">
        <v>1483</v>
      </c>
      <c r="D1975" s="4" t="s">
        <v>3349</v>
      </c>
    </row>
    <row r="1976">
      <c r="A1976" s="3">
        <v>27310.0</v>
      </c>
      <c r="B1976" s="2" t="s">
        <v>1485</v>
      </c>
      <c r="C1976" s="2" t="s">
        <v>2241</v>
      </c>
      <c r="D1976" s="4" t="s">
        <v>3350</v>
      </c>
    </row>
    <row r="1977">
      <c r="A1977" s="3">
        <v>27311.0</v>
      </c>
      <c r="B1977" s="2" t="s">
        <v>1485</v>
      </c>
      <c r="C1977" s="2" t="s">
        <v>2244</v>
      </c>
      <c r="D1977" s="4" t="s">
        <v>3351</v>
      </c>
    </row>
    <row r="1978">
      <c r="A1978" s="3">
        <v>27312.0</v>
      </c>
      <c r="B1978" s="2" t="s">
        <v>1485</v>
      </c>
      <c r="C1978" s="2" t="s">
        <v>2246</v>
      </c>
      <c r="D1978" s="4" t="s">
        <v>3352</v>
      </c>
    </row>
    <row r="1979">
      <c r="A1979" s="3">
        <v>27313.0</v>
      </c>
      <c r="B1979" s="2" t="s">
        <v>1485</v>
      </c>
      <c r="C1979" s="2" t="s">
        <v>2248</v>
      </c>
      <c r="D1979" s="4" t="s">
        <v>3353</v>
      </c>
    </row>
    <row r="1980">
      <c r="A1980" s="3">
        <v>27314.0</v>
      </c>
      <c r="B1980" s="2" t="s">
        <v>1485</v>
      </c>
      <c r="C1980" s="2" t="s">
        <v>2250</v>
      </c>
      <c r="D1980" s="4" t="s">
        <v>3354</v>
      </c>
    </row>
    <row r="1981">
      <c r="A1981" s="3">
        <v>27315.0</v>
      </c>
      <c r="B1981" s="2" t="s">
        <v>1485</v>
      </c>
      <c r="C1981" s="2" t="s">
        <v>2253</v>
      </c>
      <c r="D1981" s="4" t="s">
        <v>3355</v>
      </c>
    </row>
    <row r="1982">
      <c r="A1982" s="3">
        <v>27316.0</v>
      </c>
      <c r="B1982" s="2" t="s">
        <v>1482</v>
      </c>
      <c r="C1982" s="2" t="s">
        <v>2256</v>
      </c>
      <c r="D1982" s="4" t="s">
        <v>3356</v>
      </c>
    </row>
    <row r="1983">
      <c r="A1983" s="3">
        <v>27317.0</v>
      </c>
      <c r="B1983" s="2" t="s">
        <v>1485</v>
      </c>
      <c r="C1983" s="2" t="s">
        <v>2259</v>
      </c>
      <c r="D1983" s="4" t="s">
        <v>3357</v>
      </c>
    </row>
    <row r="1984">
      <c r="A1984" s="3">
        <v>27317.0</v>
      </c>
      <c r="B1984" s="2" t="s">
        <v>1485</v>
      </c>
      <c r="C1984" s="2" t="s">
        <v>1483</v>
      </c>
      <c r="D1984" s="4" t="s">
        <v>3358</v>
      </c>
    </row>
    <row r="1985">
      <c r="A1985" s="3">
        <v>27318.0</v>
      </c>
      <c r="B1985" s="2" t="s">
        <v>1485</v>
      </c>
      <c r="C1985" s="2" t="s">
        <v>2262</v>
      </c>
      <c r="D1985" s="4" t="s">
        <v>3359</v>
      </c>
    </row>
    <row r="1986">
      <c r="A1986" s="3">
        <v>27318.0</v>
      </c>
      <c r="B1986" s="2" t="s">
        <v>1485</v>
      </c>
      <c r="C1986" s="2" t="s">
        <v>1483</v>
      </c>
      <c r="D1986" s="4" t="s">
        <v>3360</v>
      </c>
    </row>
    <row r="1987">
      <c r="A1987" s="3">
        <v>27321.0</v>
      </c>
      <c r="B1987" s="2" t="s">
        <v>1485</v>
      </c>
      <c r="C1987" s="2" t="s">
        <v>2271</v>
      </c>
      <c r="D1987" s="4" t="s">
        <v>3361</v>
      </c>
    </row>
    <row r="1988">
      <c r="A1988" s="3">
        <v>27322.0</v>
      </c>
      <c r="B1988" s="2" t="s">
        <v>1485</v>
      </c>
      <c r="C1988" s="2" t="s">
        <v>2275</v>
      </c>
      <c r="D1988" s="4" t="s">
        <v>3362</v>
      </c>
    </row>
    <row r="1989">
      <c r="A1989" s="3">
        <v>27323.0</v>
      </c>
      <c r="B1989" s="2" t="s">
        <v>1485</v>
      </c>
      <c r="C1989" s="2" t="s">
        <v>2278</v>
      </c>
      <c r="D1989" s="4" t="s">
        <v>3363</v>
      </c>
    </row>
    <row r="1990">
      <c r="A1990" s="3">
        <v>27324.0</v>
      </c>
      <c r="B1990" s="2" t="s">
        <v>1485</v>
      </c>
      <c r="C1990" s="2" t="s">
        <v>2281</v>
      </c>
      <c r="D1990" s="4" t="s">
        <v>3364</v>
      </c>
    </row>
    <row r="1991">
      <c r="A1991" s="3">
        <v>27325.0</v>
      </c>
      <c r="B1991" s="2" t="s">
        <v>1485</v>
      </c>
      <c r="C1991" s="2" t="s">
        <v>2284</v>
      </c>
      <c r="D1991" s="4" t="s">
        <v>3365</v>
      </c>
    </row>
    <row r="1992">
      <c r="A1992" s="3">
        <v>27326.0</v>
      </c>
      <c r="B1992" s="2" t="s">
        <v>1485</v>
      </c>
      <c r="C1992" s="2" t="s">
        <v>2286</v>
      </c>
      <c r="D1992" s="4" t="s">
        <v>3366</v>
      </c>
    </row>
    <row r="1993">
      <c r="A1993" s="3">
        <v>27327.0</v>
      </c>
      <c r="B1993" s="2" t="s">
        <v>1485</v>
      </c>
      <c r="C1993" s="2" t="s">
        <v>2288</v>
      </c>
      <c r="D1993" s="4" t="s">
        <v>3367</v>
      </c>
    </row>
    <row r="1994">
      <c r="A1994" s="3">
        <v>27328.0</v>
      </c>
      <c r="B1994" s="2" t="s">
        <v>1485</v>
      </c>
      <c r="C1994" s="2" t="s">
        <v>2290</v>
      </c>
      <c r="D1994" s="4" t="s">
        <v>3368</v>
      </c>
    </row>
    <row r="1995">
      <c r="A1995" s="3">
        <v>27329.0</v>
      </c>
      <c r="B1995" s="2" t="s">
        <v>1485</v>
      </c>
      <c r="C1995" s="2" t="s">
        <v>2293</v>
      </c>
      <c r="D1995" s="4" t="s">
        <v>3369</v>
      </c>
    </row>
    <row r="1996">
      <c r="A1996" s="3">
        <v>27330.0</v>
      </c>
      <c r="B1996" s="2" t="s">
        <v>1485</v>
      </c>
      <c r="C1996" s="2" t="s">
        <v>2295</v>
      </c>
      <c r="D1996" s="4" t="s">
        <v>3370</v>
      </c>
    </row>
    <row r="1997">
      <c r="A1997" s="3">
        <v>27331.0</v>
      </c>
      <c r="B1997" s="2" t="s">
        <v>1485</v>
      </c>
      <c r="C1997" s="2" t="s">
        <v>3371</v>
      </c>
      <c r="D1997" s="4" t="s">
        <v>3372</v>
      </c>
    </row>
    <row r="1998">
      <c r="A1998" s="3">
        <v>27334.0</v>
      </c>
      <c r="B1998" s="2" t="s">
        <v>980</v>
      </c>
      <c r="C1998" s="2" t="s">
        <v>3373</v>
      </c>
      <c r="D1998" s="4" t="s">
        <v>3374</v>
      </c>
    </row>
    <row r="1999">
      <c r="A1999" s="3">
        <v>27335.0</v>
      </c>
      <c r="B1999" s="2" t="s">
        <v>980</v>
      </c>
      <c r="C1999" s="2" t="s">
        <v>3375</v>
      </c>
      <c r="D1999" s="4" t="s">
        <v>3376</v>
      </c>
    </row>
    <row r="2000">
      <c r="A2000" s="3">
        <v>27336.0</v>
      </c>
      <c r="B2000" s="2" t="s">
        <v>980</v>
      </c>
      <c r="C2000" s="2" t="s">
        <v>3377</v>
      </c>
      <c r="D2000" s="4" t="s">
        <v>3378</v>
      </c>
    </row>
    <row r="2001">
      <c r="A2001" s="3">
        <v>27337.0</v>
      </c>
      <c r="B2001" s="2" t="s">
        <v>980</v>
      </c>
      <c r="C2001" s="2" t="s">
        <v>3379</v>
      </c>
      <c r="D2001" s="4" t="s">
        <v>3380</v>
      </c>
    </row>
    <row r="2002">
      <c r="A2002" s="3">
        <v>27338.0</v>
      </c>
      <c r="B2002" s="2" t="s">
        <v>980</v>
      </c>
      <c r="C2002" s="2" t="s">
        <v>3381</v>
      </c>
      <c r="D2002" s="4" t="s">
        <v>3382</v>
      </c>
    </row>
    <row r="2003">
      <c r="A2003" s="3">
        <v>27340.0</v>
      </c>
      <c r="B2003" s="2" t="s">
        <v>980</v>
      </c>
      <c r="C2003" s="2" t="s">
        <v>3383</v>
      </c>
      <c r="D2003" s="4" t="s">
        <v>3384</v>
      </c>
    </row>
    <row r="2004">
      <c r="A2004" s="3">
        <v>27341.0</v>
      </c>
      <c r="B2004" s="2" t="s">
        <v>980</v>
      </c>
      <c r="C2004" s="2" t="s">
        <v>3385</v>
      </c>
      <c r="D2004" s="4" t="s">
        <v>3386</v>
      </c>
    </row>
    <row r="2005">
      <c r="A2005" s="3">
        <v>27342.0</v>
      </c>
      <c r="B2005" s="2" t="s">
        <v>980</v>
      </c>
      <c r="C2005" s="2" t="s">
        <v>3387</v>
      </c>
      <c r="D2005" s="4" t="s">
        <v>3388</v>
      </c>
    </row>
    <row r="2006">
      <c r="A2006" s="3">
        <v>27343.0</v>
      </c>
      <c r="B2006" s="2" t="s">
        <v>980</v>
      </c>
      <c r="C2006" s="2" t="s">
        <v>3389</v>
      </c>
      <c r="D2006" s="4" t="s">
        <v>3390</v>
      </c>
    </row>
    <row r="2007">
      <c r="A2007" s="3">
        <v>27344.0</v>
      </c>
      <c r="B2007" s="2" t="s">
        <v>980</v>
      </c>
      <c r="C2007" s="2" t="s">
        <v>3391</v>
      </c>
      <c r="D2007" s="4" t="s">
        <v>3392</v>
      </c>
    </row>
    <row r="2008">
      <c r="A2008" s="3">
        <v>27345.0</v>
      </c>
      <c r="B2008" s="2" t="s">
        <v>980</v>
      </c>
      <c r="C2008" s="2" t="s">
        <v>3393</v>
      </c>
      <c r="D2008" s="4" t="s">
        <v>3394</v>
      </c>
    </row>
    <row r="2009">
      <c r="A2009" s="3">
        <v>27346.0</v>
      </c>
      <c r="B2009" s="2" t="s">
        <v>980</v>
      </c>
      <c r="C2009" s="2" t="s">
        <v>562</v>
      </c>
      <c r="D2009" s="4" t="s">
        <v>3395</v>
      </c>
    </row>
    <row r="2010">
      <c r="A2010" s="3">
        <v>27347.0</v>
      </c>
      <c r="B2010" s="2" t="s">
        <v>980</v>
      </c>
      <c r="C2010" s="2" t="s">
        <v>3396</v>
      </c>
      <c r="D2010" s="4" t="s">
        <v>3397</v>
      </c>
    </row>
    <row r="2011">
      <c r="A2011" s="3">
        <v>27348.0</v>
      </c>
      <c r="B2011" s="2" t="s">
        <v>980</v>
      </c>
      <c r="C2011" s="2" t="s">
        <v>3398</v>
      </c>
      <c r="D2011" s="4" t="s">
        <v>3399</v>
      </c>
    </row>
    <row r="2012">
      <c r="A2012" s="3">
        <v>27349.0</v>
      </c>
      <c r="B2012" s="2" t="s">
        <v>980</v>
      </c>
      <c r="C2012" s="2" t="s">
        <v>3400</v>
      </c>
      <c r="D2012" s="4" t="s">
        <v>3401</v>
      </c>
    </row>
    <row r="2013">
      <c r="A2013" s="3">
        <v>27350.0</v>
      </c>
      <c r="B2013" s="2" t="s">
        <v>980</v>
      </c>
      <c r="C2013" s="2" t="s">
        <v>3402</v>
      </c>
      <c r="D2013" s="4" t="s">
        <v>3403</v>
      </c>
    </row>
    <row r="2014">
      <c r="A2014" s="3">
        <v>27351.0</v>
      </c>
      <c r="B2014" s="2" t="s">
        <v>980</v>
      </c>
      <c r="C2014" s="2" t="s">
        <v>3404</v>
      </c>
      <c r="D2014" s="4" t="s">
        <v>3405</v>
      </c>
    </row>
    <row r="2015">
      <c r="A2015" s="3">
        <v>27352.0</v>
      </c>
      <c r="B2015" s="2" t="s">
        <v>980</v>
      </c>
      <c r="C2015" s="2" t="s">
        <v>3406</v>
      </c>
      <c r="D2015" s="4" t="s">
        <v>3407</v>
      </c>
    </row>
    <row r="2016">
      <c r="A2016" s="3">
        <v>27353.0</v>
      </c>
      <c r="B2016" s="2" t="s">
        <v>980</v>
      </c>
      <c r="C2016" s="2" t="s">
        <v>3408</v>
      </c>
      <c r="D2016" s="4" t="s">
        <v>3409</v>
      </c>
    </row>
    <row r="2017">
      <c r="A2017" s="3">
        <v>27354.0</v>
      </c>
      <c r="B2017" s="2" t="s">
        <v>980</v>
      </c>
      <c r="C2017" s="2" t="s">
        <v>3410</v>
      </c>
      <c r="D2017" s="4" t="s">
        <v>3411</v>
      </c>
    </row>
    <row r="2018">
      <c r="A2018" s="3">
        <v>27355.0</v>
      </c>
      <c r="B2018" s="2" t="s">
        <v>980</v>
      </c>
      <c r="C2018" s="2" t="s">
        <v>3412</v>
      </c>
      <c r="D2018" s="4" t="s">
        <v>3413</v>
      </c>
    </row>
    <row r="2019">
      <c r="A2019" s="3">
        <v>27356.0</v>
      </c>
      <c r="B2019" s="2" t="s">
        <v>980</v>
      </c>
      <c r="C2019" s="2" t="s">
        <v>3414</v>
      </c>
      <c r="D2019" s="4" t="s">
        <v>3415</v>
      </c>
    </row>
    <row r="2020">
      <c r="A2020" s="3">
        <v>27357.0</v>
      </c>
      <c r="B2020" s="2" t="s">
        <v>980</v>
      </c>
      <c r="C2020" s="2" t="s">
        <v>3416</v>
      </c>
      <c r="D2020" s="4" t="s">
        <v>3417</v>
      </c>
    </row>
    <row r="2021">
      <c r="A2021" s="3">
        <v>27358.0</v>
      </c>
      <c r="B2021" s="2" t="s">
        <v>980</v>
      </c>
      <c r="C2021" s="2" t="s">
        <v>3418</v>
      </c>
      <c r="D2021" s="4" t="s">
        <v>3419</v>
      </c>
    </row>
    <row r="2022">
      <c r="A2022" s="3">
        <v>27359.0</v>
      </c>
      <c r="B2022" s="2" t="s">
        <v>980</v>
      </c>
      <c r="C2022" s="2" t="s">
        <v>3420</v>
      </c>
      <c r="D2022" s="4" t="s">
        <v>3421</v>
      </c>
    </row>
    <row r="2023">
      <c r="A2023" s="3">
        <v>27360.0</v>
      </c>
      <c r="B2023" s="2" t="s">
        <v>980</v>
      </c>
      <c r="C2023" s="2" t="s">
        <v>3422</v>
      </c>
      <c r="D2023" s="4" t="s">
        <v>3423</v>
      </c>
    </row>
    <row r="2024">
      <c r="A2024" s="3">
        <v>27361.0</v>
      </c>
      <c r="B2024" s="2" t="s">
        <v>980</v>
      </c>
      <c r="C2024" s="2" t="s">
        <v>3424</v>
      </c>
      <c r="D2024" s="4" t="s">
        <v>3425</v>
      </c>
    </row>
    <row r="2025">
      <c r="A2025" s="3">
        <v>27362.0</v>
      </c>
      <c r="B2025" s="2" t="s">
        <v>980</v>
      </c>
      <c r="C2025" s="2" t="s">
        <v>3426</v>
      </c>
      <c r="D2025" s="4" t="s">
        <v>3427</v>
      </c>
    </row>
    <row r="2026">
      <c r="A2026" s="3">
        <v>27363.0</v>
      </c>
      <c r="B2026" s="2" t="s">
        <v>980</v>
      </c>
      <c r="C2026" s="2" t="s">
        <v>3428</v>
      </c>
      <c r="D2026" s="4" t="s">
        <v>3429</v>
      </c>
    </row>
    <row r="2027">
      <c r="A2027" s="3">
        <v>27364.0</v>
      </c>
      <c r="B2027" s="2" t="s">
        <v>980</v>
      </c>
      <c r="C2027" s="2" t="s">
        <v>3430</v>
      </c>
      <c r="D2027" s="4" t="s">
        <v>3431</v>
      </c>
    </row>
    <row r="2028">
      <c r="A2028" s="3">
        <v>27365.0</v>
      </c>
      <c r="B2028" s="2" t="s">
        <v>980</v>
      </c>
      <c r="C2028" s="2" t="s">
        <v>3432</v>
      </c>
      <c r="D2028" s="4" t="s">
        <v>3433</v>
      </c>
    </row>
    <row r="2029">
      <c r="A2029" s="3">
        <v>27366.0</v>
      </c>
      <c r="B2029" s="2" t="s">
        <v>980</v>
      </c>
      <c r="C2029" s="2" t="s">
        <v>3434</v>
      </c>
      <c r="D2029" s="4" t="s">
        <v>3435</v>
      </c>
    </row>
    <row r="2030">
      <c r="A2030" s="3">
        <v>27367.0</v>
      </c>
      <c r="B2030" s="2" t="s">
        <v>980</v>
      </c>
      <c r="C2030" s="2" t="s">
        <v>3436</v>
      </c>
      <c r="D2030" s="4" t="s">
        <v>3437</v>
      </c>
    </row>
    <row r="2031">
      <c r="A2031" s="3">
        <v>27368.0</v>
      </c>
      <c r="B2031" s="2" t="s">
        <v>980</v>
      </c>
      <c r="C2031" s="2" t="s">
        <v>3438</v>
      </c>
      <c r="D2031" s="4" t="s">
        <v>3439</v>
      </c>
    </row>
    <row r="2032">
      <c r="A2032" s="3">
        <v>27369.0</v>
      </c>
      <c r="B2032" s="2" t="s">
        <v>980</v>
      </c>
      <c r="C2032" s="2" t="s">
        <v>3440</v>
      </c>
      <c r="D2032" s="4" t="s">
        <v>3441</v>
      </c>
    </row>
    <row r="2033">
      <c r="A2033" s="3">
        <v>27370.0</v>
      </c>
      <c r="B2033" s="2" t="s">
        <v>980</v>
      </c>
      <c r="C2033" s="2" t="s">
        <v>3442</v>
      </c>
      <c r="D2033" s="4" t="s">
        <v>3443</v>
      </c>
    </row>
    <row r="2034">
      <c r="A2034" s="3">
        <v>27371.0</v>
      </c>
      <c r="B2034" s="2" t="s">
        <v>980</v>
      </c>
      <c r="C2034" s="2" t="s">
        <v>3444</v>
      </c>
      <c r="D2034" s="4" t="s">
        <v>3445</v>
      </c>
    </row>
    <row r="2035">
      <c r="A2035" s="3">
        <v>27372.0</v>
      </c>
      <c r="B2035" s="2" t="s">
        <v>980</v>
      </c>
      <c r="C2035" s="2" t="s">
        <v>3446</v>
      </c>
      <c r="D2035" s="4" t="s">
        <v>3447</v>
      </c>
    </row>
    <row r="2036">
      <c r="A2036" s="3">
        <v>27373.0</v>
      </c>
      <c r="B2036" s="2" t="s">
        <v>980</v>
      </c>
      <c r="C2036" s="2" t="s">
        <v>3448</v>
      </c>
      <c r="D2036" s="4" t="s">
        <v>3449</v>
      </c>
    </row>
    <row r="2037">
      <c r="A2037" s="3">
        <v>27374.0</v>
      </c>
      <c r="B2037" s="2" t="s">
        <v>980</v>
      </c>
      <c r="C2037" s="2" t="s">
        <v>3450</v>
      </c>
      <c r="D2037" s="4" t="s">
        <v>3451</v>
      </c>
    </row>
    <row r="2038">
      <c r="A2038" s="3">
        <v>27375.0</v>
      </c>
      <c r="B2038" s="2" t="s">
        <v>980</v>
      </c>
      <c r="C2038" s="2" t="s">
        <v>3452</v>
      </c>
      <c r="D2038" s="4" t="s">
        <v>3453</v>
      </c>
    </row>
    <row r="2039">
      <c r="A2039" s="3">
        <v>27376.0</v>
      </c>
      <c r="B2039" s="2" t="s">
        <v>980</v>
      </c>
      <c r="C2039" s="2" t="s">
        <v>3454</v>
      </c>
      <c r="D2039" s="4" t="s">
        <v>3455</v>
      </c>
    </row>
    <row r="2040">
      <c r="A2040" s="3">
        <v>27377.0</v>
      </c>
      <c r="B2040" s="2" t="s">
        <v>980</v>
      </c>
      <c r="C2040" s="2" t="s">
        <v>3456</v>
      </c>
      <c r="D2040" s="4" t="s">
        <v>3457</v>
      </c>
    </row>
    <row r="2041">
      <c r="A2041" s="3">
        <v>27378.0</v>
      </c>
      <c r="B2041" s="2" t="s">
        <v>980</v>
      </c>
      <c r="C2041" s="2" t="s">
        <v>3458</v>
      </c>
      <c r="D2041" s="4" t="s">
        <v>3459</v>
      </c>
    </row>
    <row r="2042">
      <c r="A2042" s="3">
        <v>27379.0</v>
      </c>
      <c r="B2042" s="2" t="s">
        <v>980</v>
      </c>
      <c r="C2042" s="2" t="s">
        <v>3460</v>
      </c>
      <c r="D2042" s="4" t="s">
        <v>3461</v>
      </c>
    </row>
    <row r="2043">
      <c r="A2043" s="3">
        <v>27380.0</v>
      </c>
      <c r="B2043" s="2" t="s">
        <v>980</v>
      </c>
      <c r="C2043" s="2" t="s">
        <v>3462</v>
      </c>
      <c r="D2043" s="4" t="s">
        <v>3463</v>
      </c>
    </row>
    <row r="2044">
      <c r="A2044" s="3">
        <v>27381.0</v>
      </c>
      <c r="B2044" s="2" t="s">
        <v>980</v>
      </c>
      <c r="C2044" s="2" t="s">
        <v>3464</v>
      </c>
      <c r="D2044" s="4" t="s">
        <v>3465</v>
      </c>
    </row>
    <row r="2045">
      <c r="A2045" s="3">
        <v>27382.0</v>
      </c>
      <c r="B2045" s="2" t="s">
        <v>980</v>
      </c>
      <c r="C2045" s="2" t="s">
        <v>3466</v>
      </c>
      <c r="D2045" s="4" t="s">
        <v>3467</v>
      </c>
    </row>
    <row r="2046">
      <c r="A2046" s="3">
        <v>27383.0</v>
      </c>
      <c r="B2046" s="2" t="s">
        <v>980</v>
      </c>
      <c r="C2046" s="2" t="s">
        <v>3468</v>
      </c>
      <c r="D2046" s="4" t="s">
        <v>3469</v>
      </c>
    </row>
    <row r="2047">
      <c r="A2047" s="3">
        <v>27384.0</v>
      </c>
      <c r="B2047" s="2" t="s">
        <v>980</v>
      </c>
      <c r="C2047" s="2" t="s">
        <v>3470</v>
      </c>
      <c r="D2047" s="4" t="s">
        <v>3471</v>
      </c>
    </row>
    <row r="2048">
      <c r="A2048" s="3">
        <v>27385.0</v>
      </c>
      <c r="B2048" s="2" t="s">
        <v>980</v>
      </c>
      <c r="C2048" s="2" t="s">
        <v>3472</v>
      </c>
      <c r="D2048" s="4" t="s">
        <v>3473</v>
      </c>
    </row>
    <row r="2049">
      <c r="A2049" s="3">
        <v>27386.0</v>
      </c>
      <c r="B2049" s="2" t="s">
        <v>980</v>
      </c>
      <c r="C2049" s="2" t="s">
        <v>3474</v>
      </c>
      <c r="D2049" s="4" t="s">
        <v>3475</v>
      </c>
    </row>
    <row r="2050">
      <c r="A2050" s="3">
        <v>27387.0</v>
      </c>
      <c r="B2050" s="2" t="s">
        <v>980</v>
      </c>
      <c r="C2050" s="2" t="s">
        <v>3476</v>
      </c>
      <c r="D2050" s="4" t="s">
        <v>3477</v>
      </c>
    </row>
    <row r="2051">
      <c r="A2051" s="3">
        <v>27388.0</v>
      </c>
      <c r="B2051" s="2" t="s">
        <v>980</v>
      </c>
      <c r="C2051" s="2" t="s">
        <v>3478</v>
      </c>
      <c r="D2051" s="4" t="s">
        <v>3479</v>
      </c>
    </row>
    <row r="2052">
      <c r="A2052" s="3">
        <v>27389.0</v>
      </c>
      <c r="B2052" s="2" t="s">
        <v>980</v>
      </c>
      <c r="C2052" s="2" t="s">
        <v>3480</v>
      </c>
      <c r="D2052" s="4" t="s">
        <v>3481</v>
      </c>
    </row>
    <row r="2053">
      <c r="A2053" s="3">
        <v>27390.0</v>
      </c>
      <c r="B2053" s="2" t="s">
        <v>980</v>
      </c>
      <c r="C2053" s="2" t="s">
        <v>3482</v>
      </c>
      <c r="D2053" s="4" t="s">
        <v>3483</v>
      </c>
    </row>
    <row r="2054">
      <c r="A2054" s="3">
        <v>27391.0</v>
      </c>
      <c r="B2054" s="2" t="s">
        <v>980</v>
      </c>
      <c r="C2054" s="2" t="s">
        <v>3484</v>
      </c>
      <c r="D2054" s="4" t="s">
        <v>3485</v>
      </c>
    </row>
    <row r="2055">
      <c r="A2055" s="3">
        <v>27392.0</v>
      </c>
      <c r="B2055" s="2" t="s">
        <v>980</v>
      </c>
      <c r="C2055" s="2" t="s">
        <v>3486</v>
      </c>
      <c r="D2055" s="4" t="s">
        <v>3487</v>
      </c>
    </row>
    <row r="2056">
      <c r="A2056" s="3">
        <v>27393.0</v>
      </c>
      <c r="B2056" s="2" t="s">
        <v>980</v>
      </c>
      <c r="C2056" s="2" t="s">
        <v>3488</v>
      </c>
      <c r="D2056" s="4" t="s">
        <v>3489</v>
      </c>
    </row>
    <row r="2057">
      <c r="A2057" s="3">
        <v>27394.0</v>
      </c>
      <c r="B2057" s="2" t="s">
        <v>980</v>
      </c>
      <c r="C2057" s="2" t="s">
        <v>3490</v>
      </c>
      <c r="D2057" s="4" t="s">
        <v>3491</v>
      </c>
    </row>
    <row r="2058">
      <c r="A2058" s="3">
        <v>27395.0</v>
      </c>
      <c r="B2058" s="2" t="s">
        <v>980</v>
      </c>
      <c r="C2058" s="2" t="s">
        <v>3492</v>
      </c>
      <c r="D2058" s="4" t="s">
        <v>3493</v>
      </c>
    </row>
    <row r="2059">
      <c r="A2059" s="3">
        <v>27396.0</v>
      </c>
      <c r="B2059" s="2" t="s">
        <v>980</v>
      </c>
      <c r="C2059" s="2" t="s">
        <v>3494</v>
      </c>
      <c r="D2059" s="4" t="s">
        <v>3495</v>
      </c>
    </row>
    <row r="2060">
      <c r="A2060" s="3">
        <v>27397.0</v>
      </c>
      <c r="B2060" s="2" t="s">
        <v>980</v>
      </c>
      <c r="C2060" s="2" t="s">
        <v>3496</v>
      </c>
      <c r="D2060" s="4" t="s">
        <v>3497</v>
      </c>
    </row>
    <row r="2061">
      <c r="A2061" s="3">
        <v>27397.0</v>
      </c>
      <c r="B2061" s="2" t="s">
        <v>980</v>
      </c>
      <c r="C2061" s="2" t="s">
        <v>379</v>
      </c>
      <c r="D2061" s="4" t="s">
        <v>3498</v>
      </c>
    </row>
    <row r="2062">
      <c r="A2062" s="3">
        <v>27398.0</v>
      </c>
      <c r="B2062" s="2" t="s">
        <v>980</v>
      </c>
      <c r="C2062" s="2" t="s">
        <v>3499</v>
      </c>
      <c r="D2062" s="4" t="s">
        <v>3500</v>
      </c>
    </row>
    <row r="2063">
      <c r="A2063" s="3">
        <v>27399.0</v>
      </c>
      <c r="B2063" s="2" t="s">
        <v>980</v>
      </c>
      <c r="C2063" s="2" t="s">
        <v>3501</v>
      </c>
      <c r="D2063" s="4" t="s">
        <v>3502</v>
      </c>
    </row>
    <row r="2064">
      <c r="A2064" s="3">
        <v>27400.0</v>
      </c>
      <c r="B2064" s="2" t="s">
        <v>980</v>
      </c>
      <c r="C2064" s="2" t="s">
        <v>3503</v>
      </c>
      <c r="D2064" s="4" t="s">
        <v>3504</v>
      </c>
    </row>
    <row r="2065">
      <c r="A2065" s="3">
        <v>27401.0</v>
      </c>
      <c r="B2065" s="2" t="s">
        <v>980</v>
      </c>
      <c r="C2065" s="2" t="s">
        <v>3505</v>
      </c>
      <c r="D2065" s="4" t="s">
        <v>3506</v>
      </c>
    </row>
    <row r="2066">
      <c r="A2066" s="3">
        <v>27402.0</v>
      </c>
      <c r="B2066" s="2" t="s">
        <v>980</v>
      </c>
      <c r="C2066" s="2" t="s">
        <v>3507</v>
      </c>
      <c r="D2066" s="4" t="s">
        <v>3508</v>
      </c>
    </row>
    <row r="2067">
      <c r="A2067" s="3">
        <v>27403.0</v>
      </c>
      <c r="B2067" s="2" t="s">
        <v>980</v>
      </c>
      <c r="C2067" s="2" t="s">
        <v>3509</v>
      </c>
      <c r="D2067" s="4" t="s">
        <v>3510</v>
      </c>
    </row>
    <row r="2068">
      <c r="A2068" s="3">
        <v>27405.0</v>
      </c>
      <c r="B2068" s="2" t="s">
        <v>980</v>
      </c>
      <c r="C2068" s="2" t="s">
        <v>3511</v>
      </c>
      <c r="D2068" s="4" t="s">
        <v>3512</v>
      </c>
    </row>
    <row r="2069">
      <c r="A2069" s="3">
        <v>27406.0</v>
      </c>
      <c r="B2069" s="2" t="s">
        <v>980</v>
      </c>
      <c r="C2069" s="2" t="s">
        <v>3513</v>
      </c>
      <c r="D2069" s="4" t="s">
        <v>3514</v>
      </c>
    </row>
    <row r="2070">
      <c r="A2070" s="3">
        <v>27408.0</v>
      </c>
      <c r="B2070" s="2" t="s">
        <v>980</v>
      </c>
      <c r="C2070" s="2" t="s">
        <v>3515</v>
      </c>
      <c r="D2070" s="4" t="s">
        <v>3516</v>
      </c>
    </row>
    <row r="2071">
      <c r="A2071" s="3">
        <v>27409.0</v>
      </c>
      <c r="B2071" s="2" t="s">
        <v>980</v>
      </c>
      <c r="C2071" s="2" t="s">
        <v>3517</v>
      </c>
      <c r="D2071" s="4" t="s">
        <v>3518</v>
      </c>
    </row>
    <row r="2072">
      <c r="A2072" s="3">
        <v>27410.0</v>
      </c>
      <c r="B2072" s="2" t="s">
        <v>980</v>
      </c>
      <c r="C2072" s="2" t="s">
        <v>3519</v>
      </c>
      <c r="D2072" s="4" t="s">
        <v>3520</v>
      </c>
    </row>
    <row r="2073">
      <c r="A2073" s="3">
        <v>27411.0</v>
      </c>
      <c r="B2073" s="2" t="s">
        <v>980</v>
      </c>
      <c r="C2073" s="2" t="s">
        <v>3521</v>
      </c>
      <c r="D2073" s="4" t="s">
        <v>3522</v>
      </c>
    </row>
    <row r="2074">
      <c r="A2074" s="3">
        <v>27412.0</v>
      </c>
      <c r="B2074" s="2" t="s">
        <v>980</v>
      </c>
      <c r="C2074" s="2" t="s">
        <v>3523</v>
      </c>
      <c r="D2074" s="4" t="s">
        <v>3524</v>
      </c>
    </row>
    <row r="2075">
      <c r="A2075" s="3">
        <v>27413.0</v>
      </c>
      <c r="B2075" s="2" t="s">
        <v>980</v>
      </c>
      <c r="C2075" s="2" t="s">
        <v>3525</v>
      </c>
      <c r="D2075" s="4" t="s">
        <v>3526</v>
      </c>
    </row>
    <row r="2076">
      <c r="A2076" s="3">
        <v>27414.0</v>
      </c>
      <c r="B2076" s="2" t="s">
        <v>980</v>
      </c>
      <c r="C2076" s="2" t="s">
        <v>3527</v>
      </c>
      <c r="D2076" s="4" t="s">
        <v>3528</v>
      </c>
    </row>
    <row r="2077">
      <c r="A2077" s="3">
        <v>27415.0</v>
      </c>
      <c r="B2077" s="2" t="s">
        <v>980</v>
      </c>
      <c r="C2077" s="2" t="s">
        <v>3529</v>
      </c>
      <c r="D2077" s="4" t="s">
        <v>3530</v>
      </c>
    </row>
    <row r="2078">
      <c r="A2078" s="3">
        <v>27416.0</v>
      </c>
      <c r="B2078" s="2" t="s">
        <v>980</v>
      </c>
      <c r="C2078" s="2" t="s">
        <v>3531</v>
      </c>
      <c r="D2078" s="4" t="s">
        <v>3532</v>
      </c>
    </row>
    <row r="2079">
      <c r="A2079" s="3">
        <v>27417.0</v>
      </c>
      <c r="B2079" s="2" t="s">
        <v>980</v>
      </c>
      <c r="C2079" s="2" t="s">
        <v>3533</v>
      </c>
      <c r="D2079" s="4" t="s">
        <v>3534</v>
      </c>
    </row>
    <row r="2080">
      <c r="A2080" s="3">
        <v>27419.0</v>
      </c>
      <c r="B2080" s="2" t="s">
        <v>1568</v>
      </c>
      <c r="C2080" s="2" t="s">
        <v>369</v>
      </c>
      <c r="D2080" s="4" t="s">
        <v>3535</v>
      </c>
    </row>
    <row r="2081">
      <c r="A2081" s="3">
        <v>27420.0</v>
      </c>
      <c r="B2081" s="2" t="s">
        <v>1568</v>
      </c>
      <c r="C2081" s="2" t="s">
        <v>3536</v>
      </c>
      <c r="D2081" s="4" t="s">
        <v>3537</v>
      </c>
    </row>
    <row r="2082">
      <c r="A2082" s="3">
        <v>27421.0</v>
      </c>
      <c r="B2082" s="2" t="s">
        <v>1573</v>
      </c>
      <c r="C2082" s="2" t="s">
        <v>3538</v>
      </c>
      <c r="D2082" s="4" t="s">
        <v>3539</v>
      </c>
    </row>
    <row r="2083">
      <c r="A2083" s="3">
        <v>27421.0</v>
      </c>
      <c r="B2083" s="2" t="s">
        <v>1573</v>
      </c>
      <c r="C2083" s="2" t="s">
        <v>379</v>
      </c>
      <c r="D2083" s="4" t="s">
        <v>3540</v>
      </c>
    </row>
    <row r="2084">
      <c r="A2084" s="3">
        <v>27422.0</v>
      </c>
      <c r="B2084" s="2" t="s">
        <v>1573</v>
      </c>
      <c r="C2084" s="2" t="s">
        <v>3541</v>
      </c>
      <c r="D2084" s="4" t="s">
        <v>3542</v>
      </c>
    </row>
    <row r="2085">
      <c r="A2085" s="3">
        <v>27423.0</v>
      </c>
      <c r="B2085" s="2" t="s">
        <v>1622</v>
      </c>
      <c r="C2085" s="2" t="s">
        <v>3543</v>
      </c>
      <c r="D2085" s="4" t="s">
        <v>3544</v>
      </c>
    </row>
    <row r="2086">
      <c r="A2086" s="3">
        <v>27424.0</v>
      </c>
      <c r="B2086" s="2" t="s">
        <v>1622</v>
      </c>
      <c r="C2086" s="2" t="s">
        <v>3545</v>
      </c>
      <c r="D2086" s="4" t="s">
        <v>3546</v>
      </c>
    </row>
    <row r="2087">
      <c r="A2087" s="3">
        <v>27425.0</v>
      </c>
      <c r="B2087" s="2" t="s">
        <v>1622</v>
      </c>
      <c r="C2087" s="2" t="s">
        <v>1478</v>
      </c>
      <c r="D2087" s="4" t="s">
        <v>3547</v>
      </c>
    </row>
    <row r="2088">
      <c r="A2088" s="3">
        <v>27427.0</v>
      </c>
      <c r="B2088" s="2" t="s">
        <v>1622</v>
      </c>
      <c r="C2088" s="2" t="s">
        <v>3548</v>
      </c>
      <c r="D2088" s="4" t="s">
        <v>3549</v>
      </c>
    </row>
    <row r="2089">
      <c r="A2089" s="3">
        <v>27428.0</v>
      </c>
      <c r="B2089" s="2" t="s">
        <v>1622</v>
      </c>
      <c r="C2089" s="2" t="s">
        <v>1671</v>
      </c>
      <c r="D2089" s="4" t="s">
        <v>3550</v>
      </c>
    </row>
    <row r="2090">
      <c r="A2090" s="3">
        <v>27428.0</v>
      </c>
      <c r="B2090" s="2" t="s">
        <v>1622</v>
      </c>
      <c r="C2090" s="2" t="s">
        <v>3538</v>
      </c>
      <c r="D2090" s="4" t="s">
        <v>3551</v>
      </c>
    </row>
    <row r="2091">
      <c r="A2091" s="3">
        <v>27429.0</v>
      </c>
      <c r="B2091" s="2" t="s">
        <v>1622</v>
      </c>
      <c r="C2091" s="2" t="s">
        <v>1671</v>
      </c>
      <c r="D2091" s="4" t="s">
        <v>3552</v>
      </c>
    </row>
    <row r="2092">
      <c r="A2092" s="3">
        <v>27429.0</v>
      </c>
      <c r="B2092" s="2" t="s">
        <v>1622</v>
      </c>
      <c r="C2092" s="2" t="s">
        <v>3541</v>
      </c>
      <c r="D2092" s="4" t="s">
        <v>3553</v>
      </c>
    </row>
    <row r="2093">
      <c r="A2093" s="3">
        <v>27430.0</v>
      </c>
      <c r="B2093" s="2" t="s">
        <v>1622</v>
      </c>
      <c r="C2093" s="2" t="s">
        <v>3554</v>
      </c>
      <c r="D2093" s="4" t="s">
        <v>3555</v>
      </c>
    </row>
    <row r="2094">
      <c r="A2094" s="3">
        <v>27431.0</v>
      </c>
      <c r="B2094" s="2" t="s">
        <v>1622</v>
      </c>
      <c r="C2094" s="2" t="s">
        <v>3556</v>
      </c>
      <c r="D2094" s="4" t="s">
        <v>3557</v>
      </c>
    </row>
    <row r="2095">
      <c r="A2095" s="3">
        <v>27432.0</v>
      </c>
      <c r="B2095" s="2" t="s">
        <v>1622</v>
      </c>
      <c r="C2095" s="2" t="s">
        <v>3558</v>
      </c>
      <c r="D2095" s="4" t="s">
        <v>3559</v>
      </c>
    </row>
    <row r="2096">
      <c r="A2096" s="3">
        <v>27433.0</v>
      </c>
      <c r="B2096" s="2" t="s">
        <v>1622</v>
      </c>
      <c r="C2096" s="2" t="s">
        <v>3560</v>
      </c>
      <c r="D2096" s="4" t="s">
        <v>3561</v>
      </c>
    </row>
    <row r="2097">
      <c r="A2097" s="3">
        <v>27434.0</v>
      </c>
      <c r="B2097" s="2" t="s">
        <v>345</v>
      </c>
      <c r="C2097" s="2" t="s">
        <v>866</v>
      </c>
      <c r="D2097" s="4" t="s">
        <v>3562</v>
      </c>
    </row>
    <row r="2098">
      <c r="A2098" s="3">
        <v>27435.0</v>
      </c>
      <c r="B2098" s="2" t="s">
        <v>345</v>
      </c>
      <c r="C2098" s="2" t="s">
        <v>3563</v>
      </c>
      <c r="D2098" s="4" t="s">
        <v>3564</v>
      </c>
    </row>
    <row r="2099">
      <c r="A2099" s="3">
        <v>27435.0</v>
      </c>
      <c r="B2099" s="2" t="s">
        <v>345</v>
      </c>
      <c r="C2099" s="2" t="s">
        <v>3565</v>
      </c>
      <c r="D2099" s="4" t="s">
        <v>3566</v>
      </c>
    </row>
    <row r="2100">
      <c r="A2100" s="3">
        <v>27436.0</v>
      </c>
      <c r="B2100" s="2" t="s">
        <v>1659</v>
      </c>
      <c r="C2100" s="2" t="s">
        <v>1211</v>
      </c>
      <c r="D2100" s="4" t="s">
        <v>3567</v>
      </c>
    </row>
    <row r="2101">
      <c r="A2101" s="3">
        <v>27436.0</v>
      </c>
      <c r="B2101" s="2" t="s">
        <v>1659</v>
      </c>
      <c r="C2101" s="2" t="s">
        <v>9</v>
      </c>
      <c r="D2101" s="4" t="s">
        <v>3568</v>
      </c>
    </row>
    <row r="2102">
      <c r="A2102" s="3">
        <v>27437.0</v>
      </c>
      <c r="B2102" s="2" t="s">
        <v>1659</v>
      </c>
      <c r="C2102" s="2" t="s">
        <v>11</v>
      </c>
      <c r="D2102" s="4" t="s">
        <v>3569</v>
      </c>
    </row>
    <row r="2103">
      <c r="A2103" s="3">
        <v>27437.0</v>
      </c>
      <c r="B2103" s="2" t="s">
        <v>1659</v>
      </c>
      <c r="C2103" s="2" t="s">
        <v>2505</v>
      </c>
      <c r="D2103" s="4" t="s">
        <v>3570</v>
      </c>
    </row>
    <row r="2104">
      <c r="A2104" s="3">
        <v>27438.0</v>
      </c>
      <c r="B2104" s="2" t="s">
        <v>1659</v>
      </c>
      <c r="C2104" s="2" t="s">
        <v>3571</v>
      </c>
      <c r="D2104" s="4" t="s">
        <v>3572</v>
      </c>
    </row>
    <row r="2105">
      <c r="A2105" s="3">
        <v>27439.0</v>
      </c>
      <c r="B2105" s="2" t="s">
        <v>1659</v>
      </c>
      <c r="C2105" s="2" t="s">
        <v>2522</v>
      </c>
      <c r="D2105" s="4" t="s">
        <v>3573</v>
      </c>
    </row>
    <row r="2106">
      <c r="A2106" s="3">
        <v>27439.0</v>
      </c>
      <c r="B2106" s="2" t="s">
        <v>1659</v>
      </c>
      <c r="C2106" s="2" t="s">
        <v>488</v>
      </c>
      <c r="D2106" s="4" t="s">
        <v>3574</v>
      </c>
    </row>
    <row r="2107">
      <c r="A2107" s="3">
        <v>27440.0</v>
      </c>
      <c r="B2107" s="2" t="s">
        <v>1659</v>
      </c>
      <c r="C2107" s="2" t="s">
        <v>379</v>
      </c>
      <c r="D2107" s="4" t="s">
        <v>3575</v>
      </c>
    </row>
    <row r="2108">
      <c r="A2108" s="3">
        <v>27440.0</v>
      </c>
      <c r="B2108" s="2" t="s">
        <v>1659</v>
      </c>
      <c r="C2108" s="2" t="s">
        <v>2062</v>
      </c>
      <c r="D2108" s="4" t="s">
        <v>3576</v>
      </c>
    </row>
    <row r="2109">
      <c r="A2109" s="3">
        <v>27441.0</v>
      </c>
      <c r="B2109" s="2" t="s">
        <v>1659</v>
      </c>
      <c r="C2109" s="2" t="s">
        <v>2528</v>
      </c>
      <c r="D2109" s="4" t="s">
        <v>3577</v>
      </c>
    </row>
    <row r="2110">
      <c r="A2110" s="3">
        <v>27442.0</v>
      </c>
      <c r="B2110" s="2" t="s">
        <v>1659</v>
      </c>
      <c r="C2110" s="2" t="s">
        <v>2064</v>
      </c>
      <c r="D2110" s="4" t="s">
        <v>3578</v>
      </c>
    </row>
    <row r="2111">
      <c r="A2111" s="3">
        <v>27443.0</v>
      </c>
      <c r="B2111" s="2" t="s">
        <v>1659</v>
      </c>
      <c r="C2111" s="2" t="s">
        <v>3579</v>
      </c>
      <c r="D2111" s="4" t="s">
        <v>3580</v>
      </c>
    </row>
    <row r="2112">
      <c r="A2112" s="3">
        <v>27444.0</v>
      </c>
      <c r="B2112" s="2" t="s">
        <v>3581</v>
      </c>
      <c r="C2112" s="2" t="s">
        <v>3582</v>
      </c>
      <c r="D2112" s="4" t="s">
        <v>3583</v>
      </c>
    </row>
    <row r="2113">
      <c r="A2113" s="3">
        <v>27445.0</v>
      </c>
      <c r="B2113" s="2" t="s">
        <v>3581</v>
      </c>
      <c r="C2113" s="2" t="s">
        <v>1304</v>
      </c>
      <c r="D2113" s="4" t="s">
        <v>3584</v>
      </c>
    </row>
    <row r="2114">
      <c r="A2114" s="3">
        <v>27446.0</v>
      </c>
      <c r="B2114" s="2" t="s">
        <v>3581</v>
      </c>
      <c r="C2114" s="2" t="s">
        <v>1671</v>
      </c>
      <c r="D2114" s="4" t="s">
        <v>3585</v>
      </c>
    </row>
    <row r="2115">
      <c r="A2115" s="3">
        <v>27446.0</v>
      </c>
      <c r="B2115" s="2" t="s">
        <v>3581</v>
      </c>
      <c r="C2115" s="2" t="s">
        <v>1304</v>
      </c>
      <c r="D2115" s="4" t="s">
        <v>3586</v>
      </c>
    </row>
    <row r="2116">
      <c r="A2116" s="3">
        <v>27446.0</v>
      </c>
      <c r="B2116" s="2" t="s">
        <v>3581</v>
      </c>
      <c r="C2116" s="2" t="s">
        <v>3587</v>
      </c>
      <c r="D2116" s="4" t="s">
        <v>3588</v>
      </c>
    </row>
    <row r="2117">
      <c r="A2117" s="3">
        <v>27447.0</v>
      </c>
      <c r="B2117" s="2" t="s">
        <v>3581</v>
      </c>
      <c r="C2117" s="2" t="s">
        <v>3589</v>
      </c>
      <c r="D2117" s="4" t="s">
        <v>3590</v>
      </c>
    </row>
    <row r="2118">
      <c r="A2118" s="3">
        <v>27447.0</v>
      </c>
      <c r="B2118" s="2" t="s">
        <v>3581</v>
      </c>
      <c r="C2118" s="2" t="s">
        <v>360</v>
      </c>
      <c r="D2118" s="4" t="s">
        <v>3591</v>
      </c>
    </row>
    <row r="2119">
      <c r="A2119" s="3">
        <v>27448.0</v>
      </c>
      <c r="B2119" s="2" t="s">
        <v>3581</v>
      </c>
      <c r="C2119" s="2" t="s">
        <v>1671</v>
      </c>
      <c r="D2119" s="4" t="s">
        <v>3592</v>
      </c>
    </row>
    <row r="2120">
      <c r="A2120" s="3">
        <v>27448.0</v>
      </c>
      <c r="B2120" s="2" t="s">
        <v>3581</v>
      </c>
      <c r="C2120" s="2" t="s">
        <v>1322</v>
      </c>
      <c r="D2120" s="4" t="s">
        <v>3593</v>
      </c>
    </row>
    <row r="2121">
      <c r="A2121" s="3">
        <v>27449.0</v>
      </c>
      <c r="B2121" s="2" t="s">
        <v>3581</v>
      </c>
      <c r="C2121" s="2" t="s">
        <v>1326</v>
      </c>
      <c r="D2121" s="4" t="s">
        <v>3594</v>
      </c>
    </row>
    <row r="2122">
      <c r="A2122" s="3">
        <v>27450.0</v>
      </c>
      <c r="B2122" s="2" t="s">
        <v>3581</v>
      </c>
      <c r="C2122" s="2" t="s">
        <v>3579</v>
      </c>
      <c r="D2122" s="4" t="s">
        <v>3595</v>
      </c>
    </row>
    <row r="2123">
      <c r="A2123" s="3">
        <v>27450.0</v>
      </c>
      <c r="B2123" s="2" t="s">
        <v>3596</v>
      </c>
      <c r="C2123" s="2" t="s">
        <v>1211</v>
      </c>
      <c r="D2123" s="4" t="s">
        <v>3597</v>
      </c>
    </row>
    <row r="2124">
      <c r="A2124" s="3">
        <v>27450.0</v>
      </c>
      <c r="B2124" s="2" t="s">
        <v>3596</v>
      </c>
      <c r="C2124" s="2" t="s">
        <v>2113</v>
      </c>
      <c r="D2124" s="4" t="s">
        <v>3598</v>
      </c>
    </row>
    <row r="2125">
      <c r="A2125" s="3">
        <v>27451.0</v>
      </c>
      <c r="B2125" s="2" t="s">
        <v>3596</v>
      </c>
      <c r="C2125" s="2" t="s">
        <v>2118</v>
      </c>
      <c r="D2125" s="4" t="s">
        <v>3599</v>
      </c>
    </row>
    <row r="2126">
      <c r="A2126" s="3">
        <v>27452.0</v>
      </c>
      <c r="B2126" s="2" t="s">
        <v>3596</v>
      </c>
      <c r="C2126" s="2" t="s">
        <v>2501</v>
      </c>
      <c r="D2126" s="4" t="s">
        <v>3600</v>
      </c>
    </row>
    <row r="2127">
      <c r="A2127" s="3">
        <v>27453.0</v>
      </c>
      <c r="B2127" s="2" t="s">
        <v>3601</v>
      </c>
      <c r="C2127" s="2" t="s">
        <v>866</v>
      </c>
      <c r="D2127" s="4" t="s">
        <v>3602</v>
      </c>
    </row>
    <row r="2128">
      <c r="A2128" s="3">
        <v>27453.0</v>
      </c>
      <c r="B2128" s="2" t="s">
        <v>3601</v>
      </c>
      <c r="C2128" s="2" t="s">
        <v>3603</v>
      </c>
      <c r="D2128" s="4" t="s">
        <v>3604</v>
      </c>
    </row>
    <row r="2129">
      <c r="A2129" s="3">
        <v>27453.0</v>
      </c>
      <c r="B2129" s="2" t="s">
        <v>3601</v>
      </c>
      <c r="C2129" s="2" t="s">
        <v>3605</v>
      </c>
      <c r="D2129" s="4" t="s">
        <v>3606</v>
      </c>
    </row>
    <row r="2130">
      <c r="A2130" s="5">
        <v>27454.0</v>
      </c>
      <c r="B2130" s="2" t="s">
        <v>3601</v>
      </c>
      <c r="C2130" s="2" t="s">
        <v>1671</v>
      </c>
      <c r="D2130" s="4" t="s">
        <v>3607</v>
      </c>
    </row>
    <row r="2131">
      <c r="A2131" s="5">
        <v>27454.0</v>
      </c>
      <c r="B2131" s="2" t="s">
        <v>3601</v>
      </c>
      <c r="C2131" s="2" t="s">
        <v>3608</v>
      </c>
      <c r="D2131" s="4" t="s">
        <v>3609</v>
      </c>
    </row>
    <row r="2132">
      <c r="A2132" s="5">
        <v>27454.0</v>
      </c>
      <c r="B2132" s="2" t="s">
        <v>3601</v>
      </c>
      <c r="C2132" s="2" t="s">
        <v>3603</v>
      </c>
      <c r="D2132" s="4" t="s">
        <v>3610</v>
      </c>
    </row>
    <row r="2133">
      <c r="A2133" s="5">
        <v>27454.0</v>
      </c>
      <c r="B2133" s="2" t="s">
        <v>3601</v>
      </c>
      <c r="C2133" s="2" t="s">
        <v>2944</v>
      </c>
      <c r="D2133" s="4" t="s">
        <v>3611</v>
      </c>
    </row>
    <row r="2134">
      <c r="A2134" s="5">
        <v>27455.0</v>
      </c>
      <c r="B2134" s="2" t="s">
        <v>3601</v>
      </c>
      <c r="C2134" s="2" t="s">
        <v>1671</v>
      </c>
      <c r="D2134" s="4" t="s">
        <v>3612</v>
      </c>
    </row>
    <row r="2135">
      <c r="A2135" s="5">
        <v>27455.0</v>
      </c>
      <c r="B2135" s="2" t="s">
        <v>3601</v>
      </c>
      <c r="C2135" s="2" t="s">
        <v>3613</v>
      </c>
      <c r="D2135" s="4" t="s">
        <v>3614</v>
      </c>
    </row>
    <row r="2136">
      <c r="A2136" s="5">
        <v>27455.0</v>
      </c>
      <c r="B2136" s="2" t="s">
        <v>3601</v>
      </c>
      <c r="C2136" s="2" t="s">
        <v>3243</v>
      </c>
      <c r="D2136" s="4" t="s">
        <v>3615</v>
      </c>
    </row>
    <row r="2137">
      <c r="A2137" s="5">
        <v>27455.0</v>
      </c>
      <c r="B2137" s="2" t="s">
        <v>3601</v>
      </c>
      <c r="C2137" s="2" t="s">
        <v>3616</v>
      </c>
      <c r="D2137" s="4" t="s">
        <v>3617</v>
      </c>
    </row>
    <row r="2138">
      <c r="A2138" s="5">
        <v>27455.0</v>
      </c>
      <c r="B2138" s="2" t="s">
        <v>3601</v>
      </c>
      <c r="C2138" s="2" t="s">
        <v>669</v>
      </c>
      <c r="D2138" s="4" t="s">
        <v>3618</v>
      </c>
    </row>
    <row r="2139">
      <c r="A2139" s="5">
        <v>27456.0</v>
      </c>
      <c r="B2139" s="2" t="s">
        <v>1844</v>
      </c>
      <c r="C2139" s="2" t="s">
        <v>82</v>
      </c>
      <c r="D2139" s="4" t="s">
        <v>3619</v>
      </c>
    </row>
    <row r="2140">
      <c r="A2140" s="5">
        <v>27456.0</v>
      </c>
      <c r="B2140" s="2" t="s">
        <v>1844</v>
      </c>
      <c r="C2140" s="2" t="s">
        <v>3620</v>
      </c>
      <c r="D2140" s="4" t="s">
        <v>3621</v>
      </c>
    </row>
    <row r="2141">
      <c r="A2141" s="5">
        <v>27457.0</v>
      </c>
      <c r="B2141" s="2" t="s">
        <v>1844</v>
      </c>
      <c r="C2141" s="2" t="s">
        <v>1671</v>
      </c>
      <c r="D2141" s="4" t="s">
        <v>3622</v>
      </c>
    </row>
    <row r="2142">
      <c r="A2142" s="5">
        <v>27457.0</v>
      </c>
      <c r="B2142" s="2" t="s">
        <v>1844</v>
      </c>
      <c r="C2142" s="2" t="s">
        <v>3623</v>
      </c>
      <c r="D2142" s="4" t="s">
        <v>3624</v>
      </c>
    </row>
    <row r="2143">
      <c r="A2143" s="5">
        <v>27458.0</v>
      </c>
      <c r="B2143" s="2" t="s">
        <v>4</v>
      </c>
      <c r="C2143" s="2" t="s">
        <v>582</v>
      </c>
      <c r="D2143" s="4" t="s">
        <v>3625</v>
      </c>
    </row>
    <row r="2144">
      <c r="A2144" s="5">
        <v>27458.0</v>
      </c>
      <c r="B2144" s="2" t="s">
        <v>4</v>
      </c>
      <c r="C2144" s="2" t="s">
        <v>358</v>
      </c>
      <c r="D2144" s="4" t="s">
        <v>3626</v>
      </c>
    </row>
    <row r="2145">
      <c r="A2145" s="5">
        <v>27459.0</v>
      </c>
      <c r="B2145" s="2" t="s">
        <v>4</v>
      </c>
      <c r="C2145" s="2" t="s">
        <v>2750</v>
      </c>
      <c r="D2145" s="4" t="s">
        <v>3627</v>
      </c>
    </row>
    <row r="2146">
      <c r="A2146" s="5">
        <v>27459.0</v>
      </c>
      <c r="B2146" s="2" t="s">
        <v>4</v>
      </c>
      <c r="C2146" s="2" t="s">
        <v>3628</v>
      </c>
      <c r="D2146" s="4" t="s">
        <v>3629</v>
      </c>
    </row>
    <row r="2147">
      <c r="A2147" s="5">
        <v>27460.0</v>
      </c>
      <c r="B2147" s="2" t="s">
        <v>4</v>
      </c>
      <c r="C2147" s="2" t="s">
        <v>3630</v>
      </c>
      <c r="D2147" s="4" t="s">
        <v>3631</v>
      </c>
    </row>
    <row r="2148">
      <c r="A2148" s="5">
        <v>27461.0</v>
      </c>
      <c r="B2148" s="2" t="s">
        <v>849</v>
      </c>
      <c r="C2148" s="2" t="s">
        <v>866</v>
      </c>
      <c r="D2148" s="4" t="s">
        <v>3632</v>
      </c>
    </row>
    <row r="2149">
      <c r="A2149" s="5">
        <v>27461.0</v>
      </c>
      <c r="B2149" s="2" t="s">
        <v>849</v>
      </c>
      <c r="C2149" s="2" t="s">
        <v>3633</v>
      </c>
      <c r="D2149" s="4" t="s">
        <v>3634</v>
      </c>
    </row>
    <row r="2150">
      <c r="A2150" s="5">
        <v>27462.0</v>
      </c>
      <c r="B2150" s="2" t="s">
        <v>849</v>
      </c>
      <c r="C2150" s="2" t="s">
        <v>2476</v>
      </c>
      <c r="D2150" s="4" t="s">
        <v>3635</v>
      </c>
    </row>
    <row r="2151">
      <c r="A2151" s="5">
        <v>27462.0</v>
      </c>
      <c r="B2151" s="2" t="s">
        <v>849</v>
      </c>
      <c r="C2151" s="2" t="s">
        <v>369</v>
      </c>
      <c r="D2151" s="4" t="s">
        <v>3636</v>
      </c>
    </row>
    <row r="2152">
      <c r="A2152" s="5">
        <v>27463.0</v>
      </c>
      <c r="B2152" s="2" t="s">
        <v>849</v>
      </c>
      <c r="C2152" s="2" t="s">
        <v>506</v>
      </c>
      <c r="D2152" s="4" t="s">
        <v>3637</v>
      </c>
    </row>
    <row r="2153">
      <c r="A2153" s="5">
        <v>27464.0</v>
      </c>
      <c r="B2153" s="2" t="s">
        <v>849</v>
      </c>
      <c r="C2153" s="2" t="s">
        <v>1671</v>
      </c>
      <c r="D2153" s="4" t="s">
        <v>3638</v>
      </c>
    </row>
    <row r="2154">
      <c r="A2154" s="5">
        <v>27464.0</v>
      </c>
      <c r="B2154" s="2" t="s">
        <v>849</v>
      </c>
      <c r="C2154" s="2" t="s">
        <v>400</v>
      </c>
      <c r="D2154" s="4" t="s">
        <v>3639</v>
      </c>
    </row>
    <row r="2155">
      <c r="A2155" s="5">
        <v>27465.0</v>
      </c>
      <c r="B2155" s="2" t="s">
        <v>849</v>
      </c>
      <c r="C2155" s="2" t="s">
        <v>3579</v>
      </c>
      <c r="D2155" s="4" t="s">
        <v>3640</v>
      </c>
    </row>
    <row r="2156">
      <c r="A2156" s="5">
        <v>27466.0</v>
      </c>
      <c r="B2156" s="2" t="s">
        <v>3641</v>
      </c>
      <c r="C2156" s="2" t="s">
        <v>1671</v>
      </c>
      <c r="D2156" s="4" t="s">
        <v>3642</v>
      </c>
    </row>
    <row r="2157">
      <c r="A2157" s="5">
        <v>27466.0</v>
      </c>
      <c r="B2157" s="2" t="s">
        <v>3641</v>
      </c>
      <c r="C2157" s="2" t="s">
        <v>3643</v>
      </c>
      <c r="D2157" s="4" t="s">
        <v>3644</v>
      </c>
    </row>
    <row r="2158">
      <c r="A2158" s="5">
        <v>27466.0</v>
      </c>
      <c r="B2158" s="2" t="s">
        <v>3641</v>
      </c>
      <c r="C2158" s="2" t="s">
        <v>2392</v>
      </c>
      <c r="D2158" s="4" t="s">
        <v>3645</v>
      </c>
    </row>
    <row r="2159">
      <c r="A2159" s="5">
        <v>27466.0</v>
      </c>
      <c r="B2159" s="2" t="s">
        <v>3641</v>
      </c>
      <c r="C2159" s="2" t="s">
        <v>3646</v>
      </c>
      <c r="D2159" s="4" t="s">
        <v>3647</v>
      </c>
    </row>
    <row r="2160">
      <c r="A2160" s="5">
        <v>27467.0</v>
      </c>
      <c r="B2160" s="2" t="s">
        <v>3641</v>
      </c>
      <c r="C2160" s="2" t="s">
        <v>373</v>
      </c>
      <c r="D2160" s="4" t="s">
        <v>3648</v>
      </c>
    </row>
    <row r="2161">
      <c r="A2161" s="5">
        <v>27467.0</v>
      </c>
      <c r="B2161" s="2" t="s">
        <v>3641</v>
      </c>
      <c r="C2161" s="2" t="s">
        <v>3649</v>
      </c>
      <c r="D2161" s="4" t="s">
        <v>3650</v>
      </c>
    </row>
    <row r="2162">
      <c r="A2162" s="5">
        <v>27467.0</v>
      </c>
      <c r="B2162" s="2" t="s">
        <v>3641</v>
      </c>
      <c r="C2162" s="2" t="s">
        <v>379</v>
      </c>
      <c r="D2162" s="4" t="s">
        <v>3651</v>
      </c>
    </row>
    <row r="2163">
      <c r="A2163" s="5">
        <v>27468.0</v>
      </c>
      <c r="B2163" s="2" t="s">
        <v>3641</v>
      </c>
      <c r="C2163" s="2" t="s">
        <v>1671</v>
      </c>
      <c r="D2163" s="4" t="s">
        <v>3652</v>
      </c>
    </row>
    <row r="2164">
      <c r="A2164" s="5">
        <v>27468.0</v>
      </c>
      <c r="B2164" s="2" t="s">
        <v>3641</v>
      </c>
      <c r="C2164" s="2" t="s">
        <v>379</v>
      </c>
      <c r="D2164" s="4" t="s">
        <v>3653</v>
      </c>
    </row>
    <row r="2165">
      <c r="A2165" s="5">
        <v>27473.0</v>
      </c>
      <c r="B2165" s="2" t="s">
        <v>977</v>
      </c>
      <c r="C2165" s="2" t="s">
        <v>1211</v>
      </c>
      <c r="D2165" s="4" t="s">
        <v>3654</v>
      </c>
    </row>
    <row r="2166">
      <c r="A2166" s="5">
        <v>27474.0</v>
      </c>
      <c r="B2166" s="2" t="s">
        <v>977</v>
      </c>
      <c r="C2166" s="2" t="s">
        <v>3655</v>
      </c>
      <c r="D2166" s="4" t="s">
        <v>3656</v>
      </c>
    </row>
    <row r="2167">
      <c r="A2167" s="5">
        <v>27474.0</v>
      </c>
      <c r="B2167" s="2" t="s">
        <v>977</v>
      </c>
      <c r="C2167" s="2" t="s">
        <v>3657</v>
      </c>
      <c r="D2167" s="4" t="s">
        <v>3658</v>
      </c>
    </row>
    <row r="2168">
      <c r="A2168" s="5">
        <v>27475.0</v>
      </c>
      <c r="B2168" s="2" t="s">
        <v>977</v>
      </c>
      <c r="C2168" s="2" t="s">
        <v>3659</v>
      </c>
      <c r="D2168" s="4" t="s">
        <v>3660</v>
      </c>
    </row>
    <row r="2169">
      <c r="A2169" s="5">
        <v>27476.0</v>
      </c>
      <c r="B2169" s="2" t="s">
        <v>1485</v>
      </c>
      <c r="C2169" s="2" t="s">
        <v>3661</v>
      </c>
      <c r="D2169" s="4" t="s">
        <v>3662</v>
      </c>
    </row>
    <row r="2170">
      <c r="A2170" s="5">
        <v>27476.0</v>
      </c>
      <c r="B2170" s="2" t="s">
        <v>977</v>
      </c>
      <c r="C2170" s="2" t="s">
        <v>3663</v>
      </c>
      <c r="D2170" s="4" t="s">
        <v>3664</v>
      </c>
    </row>
    <row r="2171">
      <c r="A2171" s="5">
        <v>27478.0</v>
      </c>
      <c r="B2171" s="2" t="s">
        <v>1482</v>
      </c>
      <c r="C2171" s="2" t="s">
        <v>1671</v>
      </c>
      <c r="D2171" s="4" t="s">
        <v>3665</v>
      </c>
    </row>
    <row r="2172">
      <c r="A2172" s="5">
        <v>27478.0</v>
      </c>
      <c r="B2172" s="2" t="s">
        <v>1485</v>
      </c>
      <c r="C2172" s="2" t="s">
        <v>3666</v>
      </c>
      <c r="D2172" s="4" t="s">
        <v>3667</v>
      </c>
    </row>
    <row r="2173">
      <c r="A2173" s="5">
        <v>27479.0</v>
      </c>
      <c r="B2173" s="2" t="s">
        <v>1485</v>
      </c>
      <c r="C2173" s="2" t="s">
        <v>1671</v>
      </c>
      <c r="D2173" s="4" t="s">
        <v>3668</v>
      </c>
    </row>
    <row r="2174">
      <c r="A2174" s="5">
        <v>27479.0</v>
      </c>
      <c r="B2174" s="2" t="s">
        <v>1485</v>
      </c>
      <c r="C2174" s="2" t="s">
        <v>3669</v>
      </c>
      <c r="D2174" s="4" t="s">
        <v>3670</v>
      </c>
    </row>
    <row r="2175">
      <c r="A2175" s="5">
        <v>27480.0</v>
      </c>
      <c r="B2175" s="2" t="s">
        <v>1485</v>
      </c>
      <c r="C2175" s="2" t="s">
        <v>3671</v>
      </c>
      <c r="D2175" s="4" t="s">
        <v>3672</v>
      </c>
    </row>
    <row r="2176">
      <c r="A2176" s="5">
        <v>27480.0</v>
      </c>
      <c r="B2176" s="2" t="s">
        <v>1485</v>
      </c>
      <c r="C2176" s="2" t="s">
        <v>1639</v>
      </c>
      <c r="D2176" s="4" t="s">
        <v>3673</v>
      </c>
    </row>
    <row r="2177">
      <c r="A2177" s="5">
        <v>27481.0</v>
      </c>
      <c r="B2177" s="2" t="s">
        <v>1485</v>
      </c>
      <c r="C2177" s="2" t="s">
        <v>3674</v>
      </c>
      <c r="D2177" s="4" t="s">
        <v>3675</v>
      </c>
    </row>
    <row r="2178">
      <c r="A2178" s="5">
        <v>27482.0</v>
      </c>
      <c r="B2178" s="2" t="s">
        <v>1485</v>
      </c>
      <c r="C2178" s="2" t="s">
        <v>3676</v>
      </c>
      <c r="D2178" s="4" t="s">
        <v>3677</v>
      </c>
    </row>
    <row r="2179">
      <c r="A2179" s="5">
        <v>27482.0</v>
      </c>
      <c r="B2179" s="2" t="s">
        <v>1485</v>
      </c>
      <c r="C2179" s="2" t="s">
        <v>3678</v>
      </c>
      <c r="D2179" s="4" t="s">
        <v>3679</v>
      </c>
    </row>
    <row r="2180">
      <c r="A2180" s="5">
        <v>27483.0</v>
      </c>
      <c r="B2180" s="2" t="s">
        <v>1485</v>
      </c>
      <c r="C2180" s="2" t="s">
        <v>3680</v>
      </c>
      <c r="D2180" s="4" t="s">
        <v>3681</v>
      </c>
    </row>
    <row r="2181">
      <c r="A2181" s="5">
        <v>27483.0</v>
      </c>
      <c r="B2181" s="2" t="s">
        <v>1485</v>
      </c>
      <c r="C2181" s="2" t="s">
        <v>3682</v>
      </c>
      <c r="D2181" s="4" t="s">
        <v>3683</v>
      </c>
    </row>
    <row r="2182">
      <c r="A2182" s="5">
        <v>27483.0</v>
      </c>
      <c r="B2182" s="2" t="s">
        <v>1485</v>
      </c>
      <c r="C2182" s="2" t="s">
        <v>3684</v>
      </c>
      <c r="D2182" s="4" t="s">
        <v>3685</v>
      </c>
    </row>
    <row r="2183">
      <c r="A2183" s="5">
        <v>27484.0</v>
      </c>
      <c r="B2183" s="2" t="s">
        <v>1485</v>
      </c>
      <c r="C2183" s="2" t="s">
        <v>3686</v>
      </c>
      <c r="D2183" s="4" t="s">
        <v>3687</v>
      </c>
    </row>
    <row r="2184">
      <c r="A2184" s="5">
        <v>27484.0</v>
      </c>
      <c r="B2184" s="2" t="s">
        <v>1485</v>
      </c>
      <c r="C2184" s="2" t="s">
        <v>464</v>
      </c>
      <c r="D2184" s="4" t="s">
        <v>3688</v>
      </c>
    </row>
    <row r="2185">
      <c r="A2185" s="5">
        <v>27485.0</v>
      </c>
      <c r="B2185" s="2" t="s">
        <v>1485</v>
      </c>
      <c r="C2185" s="2" t="s">
        <v>1671</v>
      </c>
      <c r="D2185" s="4" t="s">
        <v>3689</v>
      </c>
    </row>
    <row r="2186">
      <c r="A2186" s="5">
        <v>27485.0</v>
      </c>
      <c r="B2186" s="2" t="s">
        <v>1485</v>
      </c>
      <c r="C2186" s="2" t="s">
        <v>3690</v>
      </c>
      <c r="D2186" s="4" t="s">
        <v>3691</v>
      </c>
    </row>
    <row r="2187">
      <c r="A2187" s="5">
        <v>27485.0</v>
      </c>
      <c r="B2187" s="2" t="s">
        <v>1485</v>
      </c>
      <c r="C2187" s="2" t="s">
        <v>3692</v>
      </c>
      <c r="D2187" s="4" t="s">
        <v>3693</v>
      </c>
    </row>
    <row r="2188">
      <c r="A2188" s="5">
        <v>27486.0</v>
      </c>
      <c r="B2188" s="2" t="s">
        <v>1485</v>
      </c>
      <c r="C2188" s="2" t="s">
        <v>1671</v>
      </c>
      <c r="D2188" s="4" t="s">
        <v>3694</v>
      </c>
    </row>
    <row r="2189">
      <c r="A2189" s="5">
        <v>27486.0</v>
      </c>
      <c r="B2189" s="2" t="s">
        <v>1485</v>
      </c>
      <c r="C2189" s="2" t="s">
        <v>3695</v>
      </c>
      <c r="D2189" s="4" t="s">
        <v>3696</v>
      </c>
    </row>
    <row r="2190">
      <c r="A2190" s="5">
        <v>27487.0</v>
      </c>
      <c r="B2190" s="2" t="s">
        <v>1485</v>
      </c>
      <c r="C2190" s="2" t="s">
        <v>1671</v>
      </c>
      <c r="D2190" s="4" t="s">
        <v>3697</v>
      </c>
    </row>
    <row r="2191">
      <c r="A2191" s="5">
        <v>27487.0</v>
      </c>
      <c r="B2191" s="2" t="s">
        <v>1485</v>
      </c>
      <c r="C2191" s="2" t="s">
        <v>3698</v>
      </c>
      <c r="D2191" s="4" t="s">
        <v>3699</v>
      </c>
    </row>
    <row r="2192">
      <c r="A2192" s="5">
        <v>27488.0</v>
      </c>
      <c r="B2192" s="2" t="s">
        <v>1485</v>
      </c>
      <c r="C2192" s="2" t="s">
        <v>3700</v>
      </c>
      <c r="D2192" s="4" t="s">
        <v>3701</v>
      </c>
    </row>
    <row r="2193">
      <c r="A2193" s="5">
        <v>27488.0</v>
      </c>
      <c r="B2193" s="2" t="s">
        <v>1485</v>
      </c>
      <c r="C2193" s="2" t="s">
        <v>3702</v>
      </c>
      <c r="D2193" s="4" t="s">
        <v>3703</v>
      </c>
    </row>
    <row r="2194">
      <c r="A2194" s="5">
        <v>27488.0</v>
      </c>
      <c r="B2194" s="2" t="s">
        <v>1485</v>
      </c>
      <c r="C2194" s="2" t="s">
        <v>379</v>
      </c>
      <c r="D2194" s="4" t="s">
        <v>3704</v>
      </c>
    </row>
    <row r="2195">
      <c r="A2195" s="5">
        <v>27489.0</v>
      </c>
      <c r="B2195" s="2" t="s">
        <v>1485</v>
      </c>
      <c r="C2195" s="2" t="s">
        <v>1671</v>
      </c>
      <c r="D2195" s="4" t="s">
        <v>3705</v>
      </c>
    </row>
    <row r="2196">
      <c r="A2196" s="5">
        <v>27489.0</v>
      </c>
      <c r="B2196" s="2" t="s">
        <v>1485</v>
      </c>
      <c r="C2196" s="2" t="s">
        <v>3706</v>
      </c>
      <c r="D2196" s="4" t="s">
        <v>3707</v>
      </c>
    </row>
    <row r="2197">
      <c r="A2197" s="5">
        <v>27490.0</v>
      </c>
      <c r="B2197" s="2" t="s">
        <v>1485</v>
      </c>
      <c r="C2197" s="2" t="s">
        <v>1671</v>
      </c>
      <c r="D2197" s="4" t="s">
        <v>3708</v>
      </c>
    </row>
    <row r="2198">
      <c r="A2198" s="5">
        <v>27490.0</v>
      </c>
      <c r="B2198" s="2" t="s">
        <v>1485</v>
      </c>
      <c r="C2198" s="2" t="s">
        <v>3709</v>
      </c>
      <c r="D2198" s="4" t="s">
        <v>3710</v>
      </c>
    </row>
    <row r="2199">
      <c r="A2199" s="5">
        <v>27490.0</v>
      </c>
      <c r="B2199" s="2" t="s">
        <v>1485</v>
      </c>
      <c r="C2199" s="2" t="s">
        <v>3711</v>
      </c>
      <c r="D2199" s="4" t="s">
        <v>3712</v>
      </c>
    </row>
    <row r="2200">
      <c r="A2200" s="5">
        <v>27491.0</v>
      </c>
      <c r="B2200" s="2" t="s">
        <v>1485</v>
      </c>
      <c r="C2200" s="2" t="s">
        <v>1671</v>
      </c>
      <c r="D2200" s="4" t="s">
        <v>3713</v>
      </c>
    </row>
    <row r="2201">
      <c r="A2201" s="5">
        <v>27491.0</v>
      </c>
      <c r="B2201" s="2" t="s">
        <v>1485</v>
      </c>
      <c r="C2201" s="2" t="s">
        <v>3714</v>
      </c>
      <c r="D2201" s="4" t="s">
        <v>3715</v>
      </c>
    </row>
    <row r="2202">
      <c r="A2202" s="5">
        <v>27492.0</v>
      </c>
      <c r="B2202" s="2" t="s">
        <v>1485</v>
      </c>
      <c r="C2202" s="2" t="s">
        <v>1671</v>
      </c>
      <c r="D2202" s="4" t="s">
        <v>3716</v>
      </c>
    </row>
    <row r="2203">
      <c r="A2203" s="5">
        <v>27492.0</v>
      </c>
      <c r="B2203" s="2" t="s">
        <v>1485</v>
      </c>
      <c r="C2203" s="2" t="s">
        <v>3623</v>
      </c>
      <c r="D2203" s="4" t="s">
        <v>3717</v>
      </c>
    </row>
    <row r="2204">
      <c r="A2204" s="5">
        <v>27493.0</v>
      </c>
      <c r="B2204" s="2" t="s">
        <v>1485</v>
      </c>
      <c r="C2204" s="2" t="s">
        <v>1671</v>
      </c>
      <c r="D2204" s="4" t="s">
        <v>3718</v>
      </c>
    </row>
    <row r="2205">
      <c r="A2205" s="5">
        <v>27493.0</v>
      </c>
      <c r="B2205" s="2" t="s">
        <v>1485</v>
      </c>
      <c r="C2205" s="2" t="s">
        <v>3719</v>
      </c>
      <c r="D2205" s="4" t="s">
        <v>3720</v>
      </c>
    </row>
    <row r="2206">
      <c r="A2206" s="5">
        <v>27494.0</v>
      </c>
      <c r="B2206" s="2" t="s">
        <v>2058</v>
      </c>
      <c r="C2206" s="2" t="s">
        <v>671</v>
      </c>
      <c r="D2206" s="4" t="s">
        <v>3721</v>
      </c>
    </row>
    <row r="2207">
      <c r="A2207" s="5">
        <v>27495.0</v>
      </c>
      <c r="B2207" s="2" t="s">
        <v>2058</v>
      </c>
      <c r="C2207" s="2" t="s">
        <v>850</v>
      </c>
      <c r="D2207" s="4" t="s">
        <v>3722</v>
      </c>
    </row>
    <row r="2208">
      <c r="A2208" s="5">
        <v>27496.0</v>
      </c>
      <c r="B2208" s="2" t="s">
        <v>2058</v>
      </c>
      <c r="C2208" s="2" t="s">
        <v>850</v>
      </c>
      <c r="D2208" s="4" t="s">
        <v>3723</v>
      </c>
    </row>
    <row r="2209">
      <c r="A2209" s="5">
        <v>27496.0</v>
      </c>
      <c r="B2209" s="2" t="s">
        <v>2058</v>
      </c>
      <c r="C2209" s="2" t="s">
        <v>3724</v>
      </c>
      <c r="D2209" s="4" t="s">
        <v>3725</v>
      </c>
    </row>
    <row r="2210">
      <c r="A2210" s="5">
        <v>27496.0</v>
      </c>
      <c r="B2210" s="2" t="s">
        <v>2058</v>
      </c>
      <c r="C2210" s="2" t="s">
        <v>379</v>
      </c>
      <c r="D2210" s="4" t="s">
        <v>3726</v>
      </c>
    </row>
    <row r="2211">
      <c r="A2211" s="5">
        <v>27496.0</v>
      </c>
      <c r="B2211" s="2" t="s">
        <v>2058</v>
      </c>
      <c r="C2211" s="2" t="s">
        <v>379</v>
      </c>
      <c r="D2211" s="4" t="s">
        <v>3727</v>
      </c>
    </row>
    <row r="2212">
      <c r="A2212" s="5">
        <v>27497.0</v>
      </c>
      <c r="B2212" s="2" t="s">
        <v>2058</v>
      </c>
      <c r="C2212" s="2" t="s">
        <v>850</v>
      </c>
      <c r="D2212" s="4" t="s">
        <v>3728</v>
      </c>
    </row>
    <row r="2213">
      <c r="A2213" s="5">
        <v>27498.0</v>
      </c>
      <c r="B2213" s="2" t="s">
        <v>2058</v>
      </c>
      <c r="C2213" s="2" t="s">
        <v>464</v>
      </c>
      <c r="D2213" s="4" t="s">
        <v>3729</v>
      </c>
    </row>
    <row r="2214">
      <c r="A2214" s="5">
        <v>27498.0</v>
      </c>
      <c r="B2214" s="2" t="s">
        <v>2058</v>
      </c>
      <c r="C2214" s="2" t="s">
        <v>3730</v>
      </c>
      <c r="D2214" s="4" t="s">
        <v>3731</v>
      </c>
    </row>
    <row r="2215">
      <c r="A2215" s="5">
        <v>27498.0</v>
      </c>
      <c r="B2215" s="2" t="s">
        <v>2058</v>
      </c>
      <c r="C2215" s="2" t="s">
        <v>3732</v>
      </c>
      <c r="D2215" s="4" t="s">
        <v>3733</v>
      </c>
    </row>
    <row r="2216">
      <c r="A2216" s="5">
        <v>27499.0</v>
      </c>
      <c r="B2216" s="2" t="s">
        <v>2058</v>
      </c>
      <c r="C2216" s="2" t="s">
        <v>2602</v>
      </c>
      <c r="D2216" s="4" t="s">
        <v>3734</v>
      </c>
    </row>
    <row r="2217">
      <c r="A2217" s="5">
        <v>27501.0</v>
      </c>
      <c r="B2217" s="9" t="s">
        <v>1417</v>
      </c>
      <c r="C2217" s="2" t="s">
        <v>1671</v>
      </c>
      <c r="D2217" s="4" t="s">
        <v>3735</v>
      </c>
    </row>
    <row r="2218">
      <c r="A2218" s="5">
        <v>27501.0</v>
      </c>
      <c r="B2218" s="9" t="s">
        <v>1417</v>
      </c>
      <c r="C2218" s="2" t="s">
        <v>3736</v>
      </c>
      <c r="D2218" s="4" t="s">
        <v>3737</v>
      </c>
    </row>
    <row r="2219">
      <c r="A2219" s="5">
        <v>27502.0</v>
      </c>
      <c r="B2219" s="9" t="s">
        <v>1417</v>
      </c>
      <c r="C2219" s="2" t="s">
        <v>3126</v>
      </c>
      <c r="D2219" s="4" t="s">
        <v>3738</v>
      </c>
    </row>
    <row r="2220">
      <c r="A2220" s="5">
        <v>27503.0</v>
      </c>
      <c r="B2220" s="9" t="s">
        <v>1417</v>
      </c>
      <c r="C2220" s="2" t="s">
        <v>1671</v>
      </c>
      <c r="D2220" s="4" t="s">
        <v>3739</v>
      </c>
    </row>
    <row r="2221">
      <c r="A2221" s="5">
        <v>27503.0</v>
      </c>
      <c r="B2221" s="9" t="s">
        <v>1417</v>
      </c>
      <c r="C2221" s="2" t="s">
        <v>379</v>
      </c>
      <c r="D2221" s="4" t="s">
        <v>3740</v>
      </c>
    </row>
    <row r="2222">
      <c r="A2222" s="5">
        <v>27504.0</v>
      </c>
      <c r="B2222" s="9" t="s">
        <v>1417</v>
      </c>
      <c r="C2222" s="2" t="s">
        <v>3741</v>
      </c>
      <c r="D2222" s="4" t="s">
        <v>3742</v>
      </c>
    </row>
    <row r="2223">
      <c r="A2223" s="5">
        <v>27504.0</v>
      </c>
      <c r="B2223" s="9" t="s">
        <v>1417</v>
      </c>
      <c r="C2223" s="2" t="s">
        <v>3743</v>
      </c>
      <c r="D2223" s="4" t="s">
        <v>3744</v>
      </c>
    </row>
    <row r="2224">
      <c r="A2224" s="5">
        <v>27507.0</v>
      </c>
      <c r="B2224" s="9" t="s">
        <v>1417</v>
      </c>
      <c r="C2224" s="2" t="s">
        <v>1671</v>
      </c>
      <c r="D2224" s="4" t="s">
        <v>3745</v>
      </c>
    </row>
    <row r="2225">
      <c r="A2225" s="5">
        <v>27507.0</v>
      </c>
      <c r="B2225" s="9" t="s">
        <v>1417</v>
      </c>
      <c r="C2225" s="2" t="s">
        <v>3126</v>
      </c>
      <c r="D2225" s="4" t="s">
        <v>3746</v>
      </c>
    </row>
    <row r="2226">
      <c r="A2226" s="5">
        <v>27508.0</v>
      </c>
      <c r="B2226" s="9" t="s">
        <v>1417</v>
      </c>
      <c r="C2226" s="2" t="s">
        <v>3747</v>
      </c>
      <c r="D2226" s="4" t="s">
        <v>3748</v>
      </c>
    </row>
    <row r="2227">
      <c r="A2227" s="5">
        <v>27511.0</v>
      </c>
      <c r="B2227" s="9" t="s">
        <v>1417</v>
      </c>
      <c r="C2227" s="2" t="s">
        <v>3749</v>
      </c>
      <c r="D2227" s="4" t="s">
        <v>3750</v>
      </c>
    </row>
    <row r="2228">
      <c r="A2228" s="5">
        <v>27512.0</v>
      </c>
      <c r="B2228" s="9" t="s">
        <v>1417</v>
      </c>
      <c r="C2228" s="2" t="s">
        <v>1671</v>
      </c>
      <c r="D2228" s="4" t="s">
        <v>3751</v>
      </c>
    </row>
    <row r="2229">
      <c r="A2229" s="7">
        <v>27520.0</v>
      </c>
      <c r="B2229" s="2" t="s">
        <v>3752</v>
      </c>
      <c r="C2229" s="2" t="s">
        <v>3753</v>
      </c>
      <c r="D2229" s="4" t="s">
        <v>3754</v>
      </c>
    </row>
    <row r="2230">
      <c r="A2230" s="7">
        <v>27521.0</v>
      </c>
      <c r="B2230" s="2" t="s">
        <v>3752</v>
      </c>
      <c r="C2230" s="2" t="s">
        <v>1671</v>
      </c>
      <c r="D2230" s="4" t="s">
        <v>3755</v>
      </c>
    </row>
    <row r="2231">
      <c r="A2231" s="7">
        <v>27522.0</v>
      </c>
      <c r="B2231" s="2" t="s">
        <v>3752</v>
      </c>
      <c r="C2231" s="2" t="s">
        <v>1671</v>
      </c>
      <c r="D2231" s="4" t="s">
        <v>3756</v>
      </c>
    </row>
    <row r="2232">
      <c r="A2232" s="7">
        <v>27522.0</v>
      </c>
      <c r="B2232" s="2" t="s">
        <v>3752</v>
      </c>
      <c r="C2232" s="2" t="s">
        <v>3757</v>
      </c>
      <c r="D2232" s="4" t="s">
        <v>3758</v>
      </c>
    </row>
    <row r="2233">
      <c r="A2233" s="7">
        <v>27523.0</v>
      </c>
      <c r="B2233" s="2" t="s">
        <v>3752</v>
      </c>
      <c r="C2233" s="2" t="s">
        <v>3759</v>
      </c>
      <c r="D2233" s="4" t="s">
        <v>3760</v>
      </c>
    </row>
    <row r="2234">
      <c r="A2234" s="7">
        <v>27524.0</v>
      </c>
      <c r="B2234" s="2" t="s">
        <v>3752</v>
      </c>
      <c r="C2234" s="2" t="s">
        <v>3761</v>
      </c>
      <c r="D2234" s="4" t="s">
        <v>3762</v>
      </c>
    </row>
    <row r="2235">
      <c r="A2235" s="7">
        <v>27524.0</v>
      </c>
      <c r="B2235" s="2" t="s">
        <v>3752</v>
      </c>
      <c r="C2235" s="2" t="s">
        <v>1671</v>
      </c>
      <c r="D2235" s="4" t="s">
        <v>3763</v>
      </c>
    </row>
    <row r="2236">
      <c r="A2236" s="7">
        <v>27525.0</v>
      </c>
      <c r="B2236" s="2" t="s">
        <v>3752</v>
      </c>
      <c r="C2236" s="2" t="s">
        <v>1671</v>
      </c>
      <c r="D2236" s="4" t="s">
        <v>3764</v>
      </c>
    </row>
    <row r="2237">
      <c r="A2237" s="7">
        <v>27526.0</v>
      </c>
      <c r="B2237" s="2" t="s">
        <v>3752</v>
      </c>
      <c r="C2237" s="2" t="s">
        <v>1671</v>
      </c>
      <c r="D2237" s="4" t="s">
        <v>3765</v>
      </c>
    </row>
    <row r="2238">
      <c r="A2238" s="7">
        <v>27526.0</v>
      </c>
      <c r="B2238" s="2" t="s">
        <v>3752</v>
      </c>
      <c r="C2238" s="2" t="s">
        <v>3766</v>
      </c>
      <c r="D2238" s="4" t="s">
        <v>3767</v>
      </c>
    </row>
    <row r="2239">
      <c r="A2239" s="7">
        <v>27527.0</v>
      </c>
      <c r="B2239" s="2" t="s">
        <v>3752</v>
      </c>
      <c r="C2239" s="2" t="s">
        <v>1671</v>
      </c>
      <c r="D2239" s="4" t="s">
        <v>3768</v>
      </c>
    </row>
    <row r="2240">
      <c r="A2240" s="7">
        <v>27527.0</v>
      </c>
      <c r="B2240" s="2" t="s">
        <v>3752</v>
      </c>
      <c r="C2240" s="2" t="s">
        <v>3769</v>
      </c>
      <c r="D2240" s="4" t="s">
        <v>3770</v>
      </c>
    </row>
    <row r="2241">
      <c r="A2241" s="7">
        <v>27527.0</v>
      </c>
      <c r="B2241" s="2" t="s">
        <v>3752</v>
      </c>
      <c r="C2241" s="2" t="s">
        <v>3771</v>
      </c>
      <c r="D2241" s="4" t="s">
        <v>3772</v>
      </c>
    </row>
    <row r="2242">
      <c r="A2242" s="7">
        <v>27527.0</v>
      </c>
      <c r="B2242" s="2" t="s">
        <v>3752</v>
      </c>
      <c r="C2242" s="2" t="s">
        <v>379</v>
      </c>
      <c r="D2242" s="4" t="s">
        <v>3773</v>
      </c>
    </row>
    <row r="2243">
      <c r="A2243" s="7">
        <v>27528.0</v>
      </c>
      <c r="B2243" s="2" t="s">
        <v>3752</v>
      </c>
      <c r="C2243" s="2" t="s">
        <v>1671</v>
      </c>
      <c r="D2243" s="4" t="s">
        <v>3774</v>
      </c>
    </row>
    <row r="2244">
      <c r="A2244" s="7">
        <v>27529.0</v>
      </c>
      <c r="B2244" s="2" t="s">
        <v>3752</v>
      </c>
      <c r="C2244" s="2" t="s">
        <v>1671</v>
      </c>
      <c r="D2244" s="4" t="s">
        <v>3775</v>
      </c>
    </row>
    <row r="2245">
      <c r="A2245" s="7">
        <v>27530.0</v>
      </c>
      <c r="B2245" s="2" t="s">
        <v>3752</v>
      </c>
      <c r="C2245" s="2" t="s">
        <v>1671</v>
      </c>
      <c r="D2245" s="4" t="s">
        <v>3776</v>
      </c>
    </row>
    <row r="2246">
      <c r="A2246" s="7">
        <v>27530.0</v>
      </c>
      <c r="B2246" s="2" t="s">
        <v>3752</v>
      </c>
      <c r="C2246" s="2" t="s">
        <v>379</v>
      </c>
      <c r="D2246" s="4" t="s">
        <v>3777</v>
      </c>
    </row>
    <row r="2247">
      <c r="A2247" s="7">
        <v>27530.0</v>
      </c>
      <c r="B2247" s="2" t="s">
        <v>3752</v>
      </c>
      <c r="C2247" s="2" t="s">
        <v>3778</v>
      </c>
      <c r="D2247" s="4" t="s">
        <v>3779</v>
      </c>
    </row>
    <row r="2248">
      <c r="A2248" s="7">
        <v>27531.0</v>
      </c>
      <c r="B2248" s="2" t="s">
        <v>3752</v>
      </c>
      <c r="C2248" s="2" t="s">
        <v>1671</v>
      </c>
      <c r="D2248" s="4" t="s">
        <v>3780</v>
      </c>
    </row>
    <row r="2249">
      <c r="A2249" s="7">
        <v>27531.0</v>
      </c>
      <c r="B2249" s="2" t="s">
        <v>3752</v>
      </c>
      <c r="C2249" s="2" t="s">
        <v>379</v>
      </c>
      <c r="D2249" s="4" t="s">
        <v>3781</v>
      </c>
    </row>
    <row r="2250">
      <c r="A2250" s="7">
        <v>27533.0</v>
      </c>
      <c r="B2250" s="2" t="s">
        <v>1546</v>
      </c>
      <c r="C2250" s="2" t="s">
        <v>1671</v>
      </c>
      <c r="D2250" s="4" t="s">
        <v>3782</v>
      </c>
    </row>
    <row r="2251">
      <c r="A2251" s="7">
        <v>27533.0</v>
      </c>
      <c r="B2251" s="2" t="s">
        <v>1546</v>
      </c>
      <c r="C2251" s="2" t="s">
        <v>838</v>
      </c>
      <c r="D2251" s="4" t="s">
        <v>3783</v>
      </c>
    </row>
    <row r="2252">
      <c r="A2252" s="7">
        <v>27533.0</v>
      </c>
      <c r="B2252" s="2" t="s">
        <v>1546</v>
      </c>
      <c r="C2252" s="2" t="s">
        <v>3784</v>
      </c>
      <c r="D2252" s="4" t="s">
        <v>3785</v>
      </c>
    </row>
    <row r="2253">
      <c r="A2253" s="7">
        <v>27533.0</v>
      </c>
      <c r="B2253" s="2" t="s">
        <v>1546</v>
      </c>
      <c r="C2253" s="2" t="s">
        <v>3786</v>
      </c>
      <c r="D2253" s="4" t="s">
        <v>3787</v>
      </c>
    </row>
    <row r="2254">
      <c r="A2254" s="7">
        <v>27534.0</v>
      </c>
      <c r="B2254" s="2" t="s">
        <v>1546</v>
      </c>
      <c r="C2254" s="2" t="s">
        <v>3788</v>
      </c>
      <c r="D2254" s="4" t="s">
        <v>3789</v>
      </c>
    </row>
    <row r="2255">
      <c r="A2255" s="7">
        <v>27534.0</v>
      </c>
      <c r="B2255" s="2" t="s">
        <v>1546</v>
      </c>
      <c r="C2255" s="2" t="s">
        <v>3790</v>
      </c>
      <c r="D2255" s="4" t="s">
        <v>3791</v>
      </c>
    </row>
    <row r="2256">
      <c r="A2256" s="7">
        <v>27534.0</v>
      </c>
      <c r="B2256" s="2" t="s">
        <v>1546</v>
      </c>
      <c r="C2256" s="2" t="s">
        <v>3792</v>
      </c>
      <c r="D2256" s="4" t="s">
        <v>3793</v>
      </c>
    </row>
    <row r="2257">
      <c r="A2257" s="7">
        <v>27535.0</v>
      </c>
      <c r="B2257" s="2" t="s">
        <v>1546</v>
      </c>
      <c r="C2257" s="2" t="s">
        <v>1671</v>
      </c>
      <c r="D2257" s="4" t="s">
        <v>3794</v>
      </c>
    </row>
    <row r="2258">
      <c r="A2258" s="7">
        <v>27535.0</v>
      </c>
      <c r="B2258" s="2" t="s">
        <v>1546</v>
      </c>
      <c r="C2258" s="2" t="s">
        <v>3795</v>
      </c>
      <c r="D2258" s="4" t="s">
        <v>3796</v>
      </c>
    </row>
    <row r="2259">
      <c r="A2259" s="7">
        <v>27535.0</v>
      </c>
      <c r="B2259" s="2" t="s">
        <v>1546</v>
      </c>
      <c r="C2259" s="2" t="s">
        <v>3797</v>
      </c>
      <c r="D2259" s="4" t="s">
        <v>3798</v>
      </c>
    </row>
    <row r="2260">
      <c r="A2260" s="7">
        <v>27536.0</v>
      </c>
      <c r="B2260" s="2" t="s">
        <v>1546</v>
      </c>
      <c r="C2260" s="2" t="s">
        <v>3799</v>
      </c>
      <c r="D2260" s="4" t="s">
        <v>3800</v>
      </c>
    </row>
    <row r="2261">
      <c r="A2261" s="7">
        <v>27536.0</v>
      </c>
      <c r="B2261" s="2" t="s">
        <v>1546</v>
      </c>
      <c r="C2261" s="2" t="s">
        <v>3801</v>
      </c>
      <c r="D2261" s="4" t="s">
        <v>3802</v>
      </c>
    </row>
    <row r="2262">
      <c r="A2262" s="7">
        <v>27536.0</v>
      </c>
      <c r="B2262" s="2" t="s">
        <v>1546</v>
      </c>
      <c r="C2262" s="2" t="s">
        <v>3803</v>
      </c>
      <c r="D2262" s="4" t="s">
        <v>3804</v>
      </c>
    </row>
    <row r="2263">
      <c r="A2263" s="7">
        <v>27536.0</v>
      </c>
      <c r="B2263" s="2" t="s">
        <v>1546</v>
      </c>
      <c r="C2263" s="2" t="s">
        <v>3805</v>
      </c>
      <c r="D2263" s="4" t="s">
        <v>3806</v>
      </c>
    </row>
    <row r="2264">
      <c r="A2264" s="7">
        <v>27536.0</v>
      </c>
      <c r="B2264" s="2" t="s">
        <v>1546</v>
      </c>
      <c r="C2264" s="2" t="s">
        <v>3807</v>
      </c>
      <c r="D2264" s="4" t="s">
        <v>3800</v>
      </c>
    </row>
    <row r="2265">
      <c r="A2265" s="7">
        <v>27537.0</v>
      </c>
      <c r="B2265" s="2" t="s">
        <v>1546</v>
      </c>
      <c r="C2265" s="2" t="s">
        <v>3788</v>
      </c>
      <c r="D2265" s="4" t="s">
        <v>3808</v>
      </c>
    </row>
    <row r="2266">
      <c r="A2266" s="7">
        <v>27538.0</v>
      </c>
      <c r="B2266" s="2" t="s">
        <v>3809</v>
      </c>
      <c r="C2266" s="2" t="s">
        <v>369</v>
      </c>
      <c r="D2266" s="4" t="s">
        <v>3810</v>
      </c>
    </row>
    <row r="2267">
      <c r="A2267" s="7">
        <v>27539.0</v>
      </c>
      <c r="B2267" s="2" t="s">
        <v>3809</v>
      </c>
      <c r="C2267" s="2" t="s">
        <v>362</v>
      </c>
      <c r="D2267" s="4" t="s">
        <v>3811</v>
      </c>
    </row>
    <row r="2268">
      <c r="A2268" s="7">
        <v>27539.0</v>
      </c>
      <c r="B2268" s="2" t="s">
        <v>1622</v>
      </c>
      <c r="C2268" s="2" t="s">
        <v>1960</v>
      </c>
      <c r="D2268" s="4" t="s">
        <v>3812</v>
      </c>
    </row>
    <row r="2269">
      <c r="A2269" s="7">
        <v>27539.0</v>
      </c>
      <c r="B2269" s="2" t="s">
        <v>1622</v>
      </c>
      <c r="C2269" s="2" t="s">
        <v>3813</v>
      </c>
      <c r="D2269" s="4" t="s">
        <v>3814</v>
      </c>
    </row>
    <row r="2270">
      <c r="A2270" s="7">
        <v>27541.0</v>
      </c>
      <c r="B2270" s="2" t="s">
        <v>1622</v>
      </c>
      <c r="C2270" s="2" t="s">
        <v>3815</v>
      </c>
      <c r="D2270" s="4" t="s">
        <v>3816</v>
      </c>
    </row>
    <row r="2271">
      <c r="A2271" s="7">
        <v>27542.0</v>
      </c>
      <c r="B2271" s="2" t="s">
        <v>1622</v>
      </c>
      <c r="C2271" s="2" t="s">
        <v>3815</v>
      </c>
      <c r="D2271" s="4" t="s">
        <v>3817</v>
      </c>
    </row>
    <row r="2272">
      <c r="A2272" s="7">
        <v>27543.0</v>
      </c>
      <c r="B2272" s="2" t="s">
        <v>1622</v>
      </c>
      <c r="C2272" s="2" t="s">
        <v>3815</v>
      </c>
      <c r="D2272" s="4" t="s">
        <v>3818</v>
      </c>
    </row>
    <row r="2273">
      <c r="A2273" s="7">
        <v>27545.0</v>
      </c>
      <c r="B2273" s="2" t="s">
        <v>1622</v>
      </c>
      <c r="C2273" s="2" t="s">
        <v>3815</v>
      </c>
      <c r="D2273" s="4" t="s">
        <v>3819</v>
      </c>
    </row>
    <row r="2274">
      <c r="A2274" s="5">
        <v>27546.0</v>
      </c>
      <c r="B2274" s="2" t="s">
        <v>1622</v>
      </c>
      <c r="C2274" s="2" t="s">
        <v>3820</v>
      </c>
      <c r="D2274" s="4" t="s">
        <v>3821</v>
      </c>
    </row>
    <row r="2275">
      <c r="A2275" s="5">
        <v>27547.0</v>
      </c>
      <c r="B2275" s="2" t="s">
        <v>1622</v>
      </c>
      <c r="C2275" s="2" t="s">
        <v>3788</v>
      </c>
      <c r="D2275" s="4" t="s">
        <v>3822</v>
      </c>
    </row>
    <row r="2276">
      <c r="A2276" s="5">
        <v>27548.0</v>
      </c>
      <c r="B2276" s="2" t="s">
        <v>1622</v>
      </c>
      <c r="C2276" s="2" t="s">
        <v>3823</v>
      </c>
      <c r="D2276" s="4" t="s">
        <v>3824</v>
      </c>
    </row>
    <row r="2277">
      <c r="A2277" s="5">
        <v>27549.0</v>
      </c>
      <c r="B2277" s="2" t="s">
        <v>1622</v>
      </c>
      <c r="C2277" s="2" t="s">
        <v>3825</v>
      </c>
      <c r="D2277" s="4" t="s">
        <v>3826</v>
      </c>
    </row>
    <row r="2278">
      <c r="A2278" s="5">
        <v>27552.0</v>
      </c>
      <c r="B2278" s="2" t="s">
        <v>1622</v>
      </c>
      <c r="C2278" s="2" t="s">
        <v>3827</v>
      </c>
      <c r="D2278" s="4" t="s">
        <v>3828</v>
      </c>
    </row>
    <row r="2279">
      <c r="A2279" s="5">
        <v>27552.0</v>
      </c>
      <c r="B2279" s="2" t="s">
        <v>1622</v>
      </c>
      <c r="C2279" s="2" t="s">
        <v>3829</v>
      </c>
      <c r="D2279" s="4" t="s">
        <v>3830</v>
      </c>
    </row>
    <row r="2280">
      <c r="A2280" s="5">
        <v>27553.0</v>
      </c>
      <c r="B2280" s="2" t="s">
        <v>1622</v>
      </c>
      <c r="C2280" s="2" t="s">
        <v>3831</v>
      </c>
      <c r="D2280" s="4" t="s">
        <v>3832</v>
      </c>
    </row>
    <row r="2281">
      <c r="A2281" s="5">
        <v>27553.0</v>
      </c>
      <c r="B2281" s="2" t="s">
        <v>1622</v>
      </c>
      <c r="C2281" s="2" t="s">
        <v>3833</v>
      </c>
      <c r="D2281" s="4" t="s">
        <v>3834</v>
      </c>
    </row>
    <row r="2282">
      <c r="A2282" s="5">
        <v>27555.0</v>
      </c>
      <c r="B2282" s="2" t="s">
        <v>1622</v>
      </c>
      <c r="C2282" s="2" t="s">
        <v>1671</v>
      </c>
      <c r="D2282" s="4" t="s">
        <v>3835</v>
      </c>
    </row>
    <row r="2283">
      <c r="A2283" s="5">
        <v>27556.0</v>
      </c>
      <c r="B2283" s="2" t="s">
        <v>1622</v>
      </c>
      <c r="C2283" s="2" t="s">
        <v>1671</v>
      </c>
      <c r="D2283" s="4" t="s">
        <v>3836</v>
      </c>
    </row>
    <row r="2284">
      <c r="A2284" s="5">
        <v>27556.0</v>
      </c>
      <c r="B2284" s="2" t="s">
        <v>1622</v>
      </c>
      <c r="C2284" s="2" t="s">
        <v>3837</v>
      </c>
      <c r="D2284" s="4" t="s">
        <v>3838</v>
      </c>
    </row>
    <row r="2285">
      <c r="A2285" s="5">
        <v>27557.0</v>
      </c>
      <c r="B2285" s="2" t="s">
        <v>1622</v>
      </c>
      <c r="C2285" s="2" t="s">
        <v>379</v>
      </c>
      <c r="D2285" s="4" t="s">
        <v>3839</v>
      </c>
    </row>
    <row r="2286">
      <c r="A2286" s="5">
        <v>27559.0</v>
      </c>
      <c r="B2286" s="2" t="s">
        <v>1622</v>
      </c>
      <c r="C2286" s="2" t="s">
        <v>1671</v>
      </c>
      <c r="D2286" s="4" t="s">
        <v>3840</v>
      </c>
    </row>
    <row r="2287">
      <c r="A2287" s="5">
        <v>27559.0</v>
      </c>
      <c r="B2287" s="2" t="s">
        <v>1622</v>
      </c>
      <c r="C2287" s="2" t="s">
        <v>379</v>
      </c>
      <c r="D2287" s="4" t="s">
        <v>3841</v>
      </c>
    </row>
    <row r="2288">
      <c r="A2288" s="5">
        <v>27560.0</v>
      </c>
      <c r="B2288" s="2" t="s">
        <v>1622</v>
      </c>
      <c r="C2288" s="2" t="s">
        <v>1671</v>
      </c>
      <c r="D2288" s="4" t="s">
        <v>3842</v>
      </c>
    </row>
    <row r="2289">
      <c r="A2289" s="5">
        <v>27560.0</v>
      </c>
      <c r="B2289" s="2" t="s">
        <v>1622</v>
      </c>
      <c r="C2289" s="2" t="s">
        <v>3843</v>
      </c>
      <c r="D2289" s="4" t="s">
        <v>3844</v>
      </c>
    </row>
    <row r="2290">
      <c r="A2290" s="5">
        <v>27560.0</v>
      </c>
      <c r="B2290" s="2" t="s">
        <v>1622</v>
      </c>
      <c r="C2290" s="2" t="s">
        <v>379</v>
      </c>
      <c r="D2290" s="4" t="s">
        <v>3845</v>
      </c>
    </row>
    <row r="2291">
      <c r="A2291" s="5">
        <v>27560.0</v>
      </c>
      <c r="B2291" s="2" t="s">
        <v>1622</v>
      </c>
      <c r="C2291" s="2" t="s">
        <v>379</v>
      </c>
      <c r="D2291" s="4" t="s">
        <v>3846</v>
      </c>
    </row>
    <row r="2292">
      <c r="A2292" s="5">
        <v>27560.0</v>
      </c>
      <c r="B2292" s="2" t="s">
        <v>1622</v>
      </c>
      <c r="C2292" s="2" t="s">
        <v>379</v>
      </c>
      <c r="D2292" s="4" t="s">
        <v>3847</v>
      </c>
    </row>
    <row r="2293">
      <c r="A2293" s="5">
        <v>27560.0</v>
      </c>
      <c r="B2293" s="2" t="s">
        <v>1622</v>
      </c>
      <c r="C2293" s="2" t="s">
        <v>503</v>
      </c>
      <c r="D2293" s="4" t="s">
        <v>3848</v>
      </c>
    </row>
    <row r="2294">
      <c r="A2294" s="5">
        <v>27561.0</v>
      </c>
      <c r="B2294" s="2" t="s">
        <v>1622</v>
      </c>
      <c r="C2294" s="2" t="s">
        <v>1671</v>
      </c>
      <c r="D2294" s="4" t="s">
        <v>3849</v>
      </c>
    </row>
    <row r="2295">
      <c r="A2295" s="5">
        <v>27561.0</v>
      </c>
      <c r="B2295" s="2" t="s">
        <v>1622</v>
      </c>
      <c r="C2295" s="2" t="s">
        <v>3850</v>
      </c>
      <c r="D2295" s="4" t="s">
        <v>3851</v>
      </c>
    </row>
    <row r="2296">
      <c r="A2296" s="5">
        <v>27561.0</v>
      </c>
      <c r="B2296" s="2" t="s">
        <v>1622</v>
      </c>
      <c r="C2296" s="2" t="s">
        <v>379</v>
      </c>
      <c r="D2296" s="4" t="s">
        <v>3852</v>
      </c>
    </row>
    <row r="2297">
      <c r="A2297" s="5">
        <v>27561.0</v>
      </c>
      <c r="B2297" s="2" t="s">
        <v>1622</v>
      </c>
      <c r="C2297" s="2" t="s">
        <v>3853</v>
      </c>
      <c r="D2297" s="4" t="s">
        <v>3854</v>
      </c>
    </row>
    <row r="2298">
      <c r="A2298" s="5">
        <v>27561.0</v>
      </c>
      <c r="B2298" s="2" t="s">
        <v>1622</v>
      </c>
      <c r="C2298" s="2" t="s">
        <v>3855</v>
      </c>
      <c r="D2298" s="4" t="s">
        <v>3856</v>
      </c>
    </row>
    <row r="2299">
      <c r="A2299" s="5">
        <v>27562.0</v>
      </c>
      <c r="B2299" s="2" t="s">
        <v>1622</v>
      </c>
      <c r="C2299" s="2" t="s">
        <v>1671</v>
      </c>
      <c r="D2299" s="4" t="s">
        <v>3857</v>
      </c>
    </row>
    <row r="2300">
      <c r="A2300" s="5">
        <v>27562.0</v>
      </c>
      <c r="B2300" s="2" t="s">
        <v>1622</v>
      </c>
      <c r="C2300" s="2" t="s">
        <v>379</v>
      </c>
      <c r="D2300" s="4" t="s">
        <v>3858</v>
      </c>
    </row>
    <row r="2301">
      <c r="A2301" s="5">
        <v>27563.0</v>
      </c>
      <c r="B2301" s="2" t="s">
        <v>3859</v>
      </c>
      <c r="C2301" s="2" t="s">
        <v>1671</v>
      </c>
      <c r="D2301" s="4" t="s">
        <v>3860</v>
      </c>
    </row>
    <row r="2302">
      <c r="A2302" s="5">
        <v>27563.0</v>
      </c>
      <c r="B2302" s="2" t="s">
        <v>1622</v>
      </c>
      <c r="C2302" s="2" t="s">
        <v>379</v>
      </c>
      <c r="D2302" s="4" t="s">
        <v>3861</v>
      </c>
    </row>
    <row r="2303">
      <c r="A2303" s="5">
        <v>27564.0</v>
      </c>
      <c r="B2303" s="2" t="s">
        <v>1622</v>
      </c>
      <c r="C2303" s="2" t="s">
        <v>1671</v>
      </c>
      <c r="D2303" s="4" t="s">
        <v>3862</v>
      </c>
    </row>
    <row r="2304">
      <c r="A2304" s="5">
        <v>27565.0</v>
      </c>
      <c r="B2304" s="2" t="s">
        <v>1622</v>
      </c>
      <c r="C2304" s="2" t="s">
        <v>3863</v>
      </c>
      <c r="D2304" s="4" t="s">
        <v>3864</v>
      </c>
    </row>
    <row r="2305">
      <c r="A2305" s="5">
        <v>27565.0</v>
      </c>
      <c r="B2305" s="2" t="s">
        <v>1622</v>
      </c>
      <c r="C2305" s="2" t="s">
        <v>2191</v>
      </c>
      <c r="D2305" s="4" t="s">
        <v>3865</v>
      </c>
    </row>
    <row r="2306">
      <c r="A2306" s="5">
        <v>27565.0</v>
      </c>
      <c r="B2306" s="2" t="s">
        <v>345</v>
      </c>
      <c r="C2306" s="2" t="s">
        <v>3866</v>
      </c>
      <c r="D2306" s="4" t="s">
        <v>3867</v>
      </c>
    </row>
    <row r="2307">
      <c r="A2307" s="5">
        <v>27565.0</v>
      </c>
      <c r="B2307" s="2" t="s">
        <v>345</v>
      </c>
      <c r="C2307" s="2" t="s">
        <v>866</v>
      </c>
      <c r="D2307" s="4" t="s">
        <v>3868</v>
      </c>
    </row>
    <row r="2308">
      <c r="A2308" s="5">
        <v>27566.0</v>
      </c>
      <c r="B2308" s="2" t="s">
        <v>345</v>
      </c>
      <c r="C2308" s="2" t="s">
        <v>1671</v>
      </c>
      <c r="D2308" s="4" t="s">
        <v>3869</v>
      </c>
    </row>
    <row r="2309">
      <c r="A2309" s="5">
        <v>27566.0</v>
      </c>
      <c r="B2309" s="2" t="s">
        <v>345</v>
      </c>
      <c r="C2309" s="2" t="s">
        <v>1265</v>
      </c>
      <c r="D2309" s="4" t="s">
        <v>3870</v>
      </c>
    </row>
    <row r="2310">
      <c r="A2310" s="5">
        <v>27567.0</v>
      </c>
      <c r="B2310" s="2" t="s">
        <v>345</v>
      </c>
      <c r="C2310" s="2" t="s">
        <v>1671</v>
      </c>
      <c r="D2310" s="4" t="s">
        <v>3871</v>
      </c>
    </row>
    <row r="2311">
      <c r="A2311" s="5">
        <v>27567.0</v>
      </c>
      <c r="B2311" s="2" t="s">
        <v>345</v>
      </c>
      <c r="C2311" s="2" t="s">
        <v>3872</v>
      </c>
      <c r="D2311" s="4" t="s">
        <v>3873</v>
      </c>
    </row>
    <row r="2312">
      <c r="A2312" s="5">
        <v>27567.0</v>
      </c>
      <c r="B2312" s="2" t="s">
        <v>345</v>
      </c>
      <c r="C2312" s="2" t="s">
        <v>3874</v>
      </c>
      <c r="D2312" s="4" t="s">
        <v>3875</v>
      </c>
    </row>
    <row r="2313">
      <c r="A2313" s="5">
        <v>27568.0</v>
      </c>
      <c r="B2313" s="2" t="s">
        <v>345</v>
      </c>
      <c r="C2313" s="2" t="s">
        <v>1671</v>
      </c>
      <c r="D2313" s="4" t="s">
        <v>3876</v>
      </c>
    </row>
    <row r="2314">
      <c r="A2314" s="5">
        <v>27568.0</v>
      </c>
      <c r="B2314" s="2" t="s">
        <v>345</v>
      </c>
      <c r="C2314" s="2" t="s">
        <v>3877</v>
      </c>
      <c r="D2314" s="4" t="s">
        <v>3878</v>
      </c>
    </row>
    <row r="2315">
      <c r="A2315" s="5">
        <v>27568.0</v>
      </c>
      <c r="B2315" s="2" t="s">
        <v>345</v>
      </c>
      <c r="C2315" s="2" t="s">
        <v>3879</v>
      </c>
      <c r="D2315" s="4" t="s">
        <v>3880</v>
      </c>
    </row>
    <row r="2316">
      <c r="A2316" s="5">
        <v>27569.0</v>
      </c>
      <c r="B2316" s="2" t="s">
        <v>345</v>
      </c>
      <c r="C2316" s="2" t="s">
        <v>1671</v>
      </c>
      <c r="D2316" s="4" t="s">
        <v>3881</v>
      </c>
    </row>
    <row r="2317">
      <c r="A2317" s="5">
        <v>27569.0</v>
      </c>
      <c r="B2317" s="2" t="s">
        <v>345</v>
      </c>
      <c r="C2317" s="2" t="s">
        <v>3882</v>
      </c>
      <c r="D2317" s="4" t="s">
        <v>3883</v>
      </c>
    </row>
    <row r="2318">
      <c r="A2318" s="5">
        <v>27570.0</v>
      </c>
      <c r="B2318" s="2" t="s">
        <v>345</v>
      </c>
      <c r="C2318" s="2" t="s">
        <v>1671</v>
      </c>
      <c r="D2318" s="4" t="s">
        <v>3884</v>
      </c>
    </row>
    <row r="2319">
      <c r="A2319" s="5">
        <v>27570.0</v>
      </c>
      <c r="B2319" s="2" t="s">
        <v>345</v>
      </c>
      <c r="C2319" s="2" t="s">
        <v>3885</v>
      </c>
      <c r="D2319" s="4" t="s">
        <v>3886</v>
      </c>
    </row>
    <row r="2320">
      <c r="A2320" s="5">
        <v>27571.0</v>
      </c>
      <c r="B2320" s="2" t="s">
        <v>345</v>
      </c>
      <c r="C2320" s="2" t="s">
        <v>1671</v>
      </c>
      <c r="D2320" s="4" t="s">
        <v>3887</v>
      </c>
    </row>
    <row r="2321">
      <c r="A2321" s="5">
        <v>27571.0</v>
      </c>
      <c r="B2321" s="2" t="s">
        <v>345</v>
      </c>
      <c r="C2321" s="2" t="s">
        <v>1281</v>
      </c>
      <c r="D2321" s="4" t="s">
        <v>3888</v>
      </c>
    </row>
    <row r="2322">
      <c r="A2322" s="5">
        <v>27571.0</v>
      </c>
      <c r="B2322" s="2" t="s">
        <v>345</v>
      </c>
      <c r="C2322" s="2" t="s">
        <v>379</v>
      </c>
      <c r="D2322" s="4" t="s">
        <v>3889</v>
      </c>
    </row>
    <row r="2323">
      <c r="A2323" s="5">
        <v>27571.0</v>
      </c>
      <c r="B2323" s="2" t="s">
        <v>345</v>
      </c>
      <c r="C2323" s="2" t="s">
        <v>379</v>
      </c>
      <c r="D2323" s="4" t="s">
        <v>3890</v>
      </c>
    </row>
    <row r="2324">
      <c r="A2324" s="5">
        <v>27572.0</v>
      </c>
      <c r="B2324" s="2" t="s">
        <v>345</v>
      </c>
      <c r="C2324" s="2" t="s">
        <v>1671</v>
      </c>
      <c r="D2324" s="4" t="s">
        <v>3891</v>
      </c>
    </row>
    <row r="2325">
      <c r="A2325" s="5">
        <v>27572.0</v>
      </c>
      <c r="B2325" s="2" t="s">
        <v>345</v>
      </c>
      <c r="C2325" s="2" t="s">
        <v>901</v>
      </c>
      <c r="D2325" s="4" t="s">
        <v>3892</v>
      </c>
    </row>
    <row r="2326">
      <c r="A2326" s="5">
        <v>27572.0</v>
      </c>
      <c r="B2326" s="2" t="s">
        <v>345</v>
      </c>
      <c r="C2326" s="2" t="s">
        <v>3893</v>
      </c>
      <c r="D2326" s="4" t="s">
        <v>3894</v>
      </c>
    </row>
    <row r="2327">
      <c r="A2327" s="5">
        <v>27572.0</v>
      </c>
      <c r="B2327" s="2" t="s">
        <v>3895</v>
      </c>
      <c r="C2327" s="2" t="s">
        <v>866</v>
      </c>
      <c r="D2327" s="4" t="s">
        <v>3896</v>
      </c>
    </row>
    <row r="2328">
      <c r="A2328" s="5">
        <v>27573.0</v>
      </c>
      <c r="B2328" s="2" t="s">
        <v>3895</v>
      </c>
      <c r="C2328" s="2" t="s">
        <v>1671</v>
      </c>
      <c r="D2328" s="4" t="s">
        <v>3897</v>
      </c>
    </row>
    <row r="2329">
      <c r="A2329" s="5">
        <v>27573.0</v>
      </c>
      <c r="B2329" s="2" t="s">
        <v>3895</v>
      </c>
      <c r="C2329" s="2" t="s">
        <v>901</v>
      </c>
      <c r="D2329" s="4" t="s">
        <v>3898</v>
      </c>
    </row>
    <row r="2330">
      <c r="A2330" s="5">
        <v>27574.0</v>
      </c>
      <c r="B2330" s="2" t="s">
        <v>3895</v>
      </c>
      <c r="C2330" s="2" t="s">
        <v>1671</v>
      </c>
      <c r="D2330" s="4" t="s">
        <v>3899</v>
      </c>
    </row>
    <row r="2331">
      <c r="A2331" s="5">
        <v>27574.0</v>
      </c>
      <c r="B2331" s="2" t="s">
        <v>3895</v>
      </c>
      <c r="C2331" s="2" t="s">
        <v>3900</v>
      </c>
      <c r="D2331" s="4" t="s">
        <v>3901</v>
      </c>
    </row>
    <row r="2332">
      <c r="A2332" s="5">
        <v>27574.0</v>
      </c>
      <c r="B2332" s="2" t="s">
        <v>3895</v>
      </c>
      <c r="C2332" s="2" t="s">
        <v>3902</v>
      </c>
      <c r="D2332" s="4" t="s">
        <v>3903</v>
      </c>
    </row>
    <row r="2333">
      <c r="A2333" s="5">
        <v>27575.0</v>
      </c>
      <c r="B2333" s="2" t="s">
        <v>3895</v>
      </c>
      <c r="C2333" s="2" t="s">
        <v>1671</v>
      </c>
      <c r="D2333" s="4" t="s">
        <v>3904</v>
      </c>
    </row>
    <row r="2334">
      <c r="A2334" s="5">
        <v>27575.0</v>
      </c>
      <c r="B2334" s="2" t="s">
        <v>3895</v>
      </c>
      <c r="C2334" s="2" t="s">
        <v>3905</v>
      </c>
      <c r="D2334" s="4" t="s">
        <v>3906</v>
      </c>
    </row>
    <row r="2335">
      <c r="A2335" s="5">
        <v>27576.0</v>
      </c>
      <c r="B2335" s="2" t="s">
        <v>3895</v>
      </c>
      <c r="C2335" s="2" t="s">
        <v>1671</v>
      </c>
      <c r="D2335" s="4" t="s">
        <v>3907</v>
      </c>
    </row>
    <row r="2336">
      <c r="A2336" s="5">
        <v>27576.0</v>
      </c>
      <c r="B2336" s="2" t="s">
        <v>3895</v>
      </c>
      <c r="C2336" s="2" t="s">
        <v>3908</v>
      </c>
      <c r="D2336" s="4" t="s">
        <v>3909</v>
      </c>
    </row>
    <row r="2337">
      <c r="A2337" s="5">
        <v>27577.0</v>
      </c>
      <c r="B2337" s="2" t="s">
        <v>3895</v>
      </c>
      <c r="C2337" s="2" t="s">
        <v>1671</v>
      </c>
      <c r="D2337" s="4" t="s">
        <v>3910</v>
      </c>
    </row>
    <row r="2338">
      <c r="A2338" s="5">
        <v>27577.0</v>
      </c>
      <c r="B2338" s="2" t="s">
        <v>3895</v>
      </c>
      <c r="C2338" s="2" t="s">
        <v>903</v>
      </c>
      <c r="D2338" s="4" t="s">
        <v>3911</v>
      </c>
    </row>
    <row r="2339">
      <c r="A2339" s="5">
        <v>27578.0</v>
      </c>
      <c r="B2339" s="2" t="s">
        <v>3895</v>
      </c>
      <c r="C2339" s="2" t="s">
        <v>1671</v>
      </c>
      <c r="D2339" s="4" t="s">
        <v>3912</v>
      </c>
    </row>
    <row r="2340">
      <c r="A2340" s="5">
        <v>27578.0</v>
      </c>
      <c r="B2340" s="2" t="s">
        <v>3247</v>
      </c>
      <c r="C2340" s="2" t="s">
        <v>1960</v>
      </c>
      <c r="D2340" s="4" t="s">
        <v>3913</v>
      </c>
    </row>
    <row r="2341">
      <c r="A2341" s="5">
        <v>27579.0</v>
      </c>
      <c r="B2341" s="2" t="s">
        <v>3247</v>
      </c>
      <c r="C2341" s="2" t="s">
        <v>1671</v>
      </c>
      <c r="D2341" s="4" t="s">
        <v>3914</v>
      </c>
    </row>
    <row r="2342">
      <c r="A2342" s="5">
        <v>27579.0</v>
      </c>
      <c r="B2342" s="2" t="s">
        <v>3247</v>
      </c>
      <c r="C2342" s="2" t="s">
        <v>3915</v>
      </c>
      <c r="D2342" s="4" t="s">
        <v>3916</v>
      </c>
    </row>
    <row r="2343">
      <c r="A2343" s="5">
        <v>27579.0</v>
      </c>
      <c r="B2343" s="2" t="s">
        <v>3247</v>
      </c>
      <c r="C2343" s="2" t="s">
        <v>3917</v>
      </c>
      <c r="D2343" s="4" t="s">
        <v>3918</v>
      </c>
    </row>
    <row r="2344">
      <c r="A2344" s="5">
        <v>27580.0</v>
      </c>
      <c r="B2344" s="2" t="s">
        <v>3247</v>
      </c>
      <c r="C2344" s="2" t="s">
        <v>1671</v>
      </c>
      <c r="D2344" s="4" t="s">
        <v>3919</v>
      </c>
    </row>
    <row r="2345">
      <c r="A2345" s="5">
        <v>27580.0</v>
      </c>
      <c r="B2345" s="2" t="s">
        <v>3247</v>
      </c>
      <c r="C2345" s="2" t="s">
        <v>905</v>
      </c>
      <c r="D2345" s="4" t="s">
        <v>3920</v>
      </c>
    </row>
    <row r="2346">
      <c r="A2346" s="5">
        <v>27580.0</v>
      </c>
      <c r="B2346" s="2" t="s">
        <v>3247</v>
      </c>
      <c r="C2346" s="2" t="s">
        <v>3921</v>
      </c>
      <c r="D2346" s="4" t="s">
        <v>3922</v>
      </c>
    </row>
    <row r="2347">
      <c r="A2347" s="5">
        <v>27580.0</v>
      </c>
      <c r="B2347" s="2" t="s">
        <v>3247</v>
      </c>
      <c r="C2347" s="2" t="s">
        <v>3923</v>
      </c>
      <c r="D2347" s="4" t="s">
        <v>3924</v>
      </c>
    </row>
    <row r="2348">
      <c r="A2348" s="5">
        <v>27581.0</v>
      </c>
      <c r="B2348" s="2" t="s">
        <v>3247</v>
      </c>
      <c r="C2348" s="2" t="s">
        <v>1671</v>
      </c>
      <c r="D2348" s="4" t="s">
        <v>3925</v>
      </c>
    </row>
    <row r="2349">
      <c r="A2349" s="5">
        <v>27581.0</v>
      </c>
      <c r="B2349" s="2" t="s">
        <v>3247</v>
      </c>
      <c r="C2349" s="2" t="s">
        <v>3926</v>
      </c>
      <c r="D2349" s="4" t="s">
        <v>3927</v>
      </c>
    </row>
    <row r="2350">
      <c r="A2350" s="5">
        <v>27582.0</v>
      </c>
      <c r="B2350" s="2" t="s">
        <v>3247</v>
      </c>
      <c r="C2350" s="2" t="s">
        <v>1671</v>
      </c>
      <c r="D2350" s="4" t="s">
        <v>3928</v>
      </c>
    </row>
    <row r="2351">
      <c r="A2351" s="5">
        <v>27582.0</v>
      </c>
      <c r="B2351" s="2" t="s">
        <v>3247</v>
      </c>
      <c r="C2351" s="2" t="s">
        <v>3929</v>
      </c>
      <c r="D2351" s="4" t="s">
        <v>3930</v>
      </c>
    </row>
    <row r="2352">
      <c r="A2352" s="5">
        <v>27583.0</v>
      </c>
      <c r="B2352" s="2" t="s">
        <v>3247</v>
      </c>
      <c r="C2352" s="2" t="s">
        <v>1671</v>
      </c>
      <c r="D2352" s="4" t="s">
        <v>3931</v>
      </c>
    </row>
    <row r="2353">
      <c r="A2353" s="5">
        <v>27583.0</v>
      </c>
      <c r="B2353" s="2" t="s">
        <v>3247</v>
      </c>
      <c r="C2353" s="2" t="s">
        <v>3932</v>
      </c>
      <c r="D2353" s="4" t="s">
        <v>3933</v>
      </c>
    </row>
    <row r="2354">
      <c r="A2354" s="5">
        <v>27584.0</v>
      </c>
      <c r="B2354" s="2" t="s">
        <v>3247</v>
      </c>
      <c r="C2354" s="2" t="s">
        <v>1287</v>
      </c>
      <c r="D2354" s="4" t="s">
        <v>3934</v>
      </c>
    </row>
    <row r="2355">
      <c r="A2355" s="5">
        <v>27584.0</v>
      </c>
      <c r="B2355" s="2" t="s">
        <v>3247</v>
      </c>
      <c r="C2355" s="2" t="s">
        <v>1671</v>
      </c>
      <c r="D2355" s="4" t="s">
        <v>3935</v>
      </c>
    </row>
    <row r="2356">
      <c r="A2356" s="5">
        <v>27584.0</v>
      </c>
      <c r="B2356" s="2" t="s">
        <v>3247</v>
      </c>
      <c r="C2356" s="2" t="s">
        <v>3936</v>
      </c>
      <c r="D2356" s="4" t="s">
        <v>3937</v>
      </c>
    </row>
    <row r="2357">
      <c r="A2357" s="5">
        <v>27584.0</v>
      </c>
      <c r="B2357" s="2" t="s">
        <v>3247</v>
      </c>
      <c r="C2357" s="2" t="s">
        <v>3063</v>
      </c>
      <c r="D2357" s="4" t="s">
        <v>3938</v>
      </c>
    </row>
    <row r="2358">
      <c r="A2358" s="5">
        <v>27584.0</v>
      </c>
      <c r="B2358" s="2" t="s">
        <v>3247</v>
      </c>
      <c r="C2358" s="2" t="s">
        <v>3939</v>
      </c>
      <c r="D2358" s="4" t="s">
        <v>3940</v>
      </c>
    </row>
    <row r="2359">
      <c r="A2359" s="5">
        <v>27585.0</v>
      </c>
      <c r="B2359" s="2" t="s">
        <v>3247</v>
      </c>
      <c r="C2359" s="2" t="s">
        <v>1671</v>
      </c>
      <c r="D2359" s="4" t="s">
        <v>3941</v>
      </c>
    </row>
    <row r="2360">
      <c r="A2360" s="5">
        <v>27585.0</v>
      </c>
      <c r="B2360" s="2" t="s">
        <v>3247</v>
      </c>
      <c r="C2360" s="2" t="s">
        <v>3942</v>
      </c>
      <c r="D2360" s="4" t="s">
        <v>3943</v>
      </c>
    </row>
    <row r="2361">
      <c r="A2361" s="5">
        <v>27585.0</v>
      </c>
      <c r="B2361" s="2" t="s">
        <v>3247</v>
      </c>
      <c r="C2361" s="2" t="s">
        <v>3944</v>
      </c>
      <c r="D2361" s="4" t="s">
        <v>3945</v>
      </c>
    </row>
    <row r="2362">
      <c r="A2362" s="5">
        <v>27586.0</v>
      </c>
      <c r="B2362" s="2" t="s">
        <v>3247</v>
      </c>
      <c r="C2362" s="2" t="s">
        <v>1671</v>
      </c>
      <c r="D2362" s="4" t="s">
        <v>3946</v>
      </c>
    </row>
    <row r="2363">
      <c r="A2363" s="5">
        <v>27586.0</v>
      </c>
      <c r="B2363" s="2" t="s">
        <v>3247</v>
      </c>
      <c r="C2363" s="2" t="s">
        <v>3947</v>
      </c>
      <c r="D2363" s="4" t="s">
        <v>3948</v>
      </c>
    </row>
    <row r="2364">
      <c r="A2364" s="5">
        <v>27586.0</v>
      </c>
      <c r="B2364" s="2" t="s">
        <v>3247</v>
      </c>
      <c r="C2364" s="2" t="s">
        <v>3949</v>
      </c>
      <c r="D2364" s="4" t="s">
        <v>3950</v>
      </c>
    </row>
    <row r="2365">
      <c r="A2365" s="5">
        <v>27586.0</v>
      </c>
      <c r="B2365" s="2" t="s">
        <v>3951</v>
      </c>
      <c r="C2365" s="2" t="s">
        <v>1960</v>
      </c>
      <c r="D2365" s="4" t="s">
        <v>3952</v>
      </c>
    </row>
    <row r="2366">
      <c r="A2366" s="5">
        <v>27586.0</v>
      </c>
      <c r="B2366" s="2" t="s">
        <v>3951</v>
      </c>
      <c r="C2366" s="2" t="s">
        <v>1211</v>
      </c>
      <c r="D2366" s="4" t="s">
        <v>3953</v>
      </c>
    </row>
    <row r="2367">
      <c r="A2367" s="5">
        <v>27587.0</v>
      </c>
      <c r="B2367" s="2" t="s">
        <v>3951</v>
      </c>
      <c r="C2367" s="2" t="s">
        <v>1671</v>
      </c>
      <c r="D2367" s="4" t="s">
        <v>3954</v>
      </c>
    </row>
    <row r="2368">
      <c r="A2368" s="5">
        <v>27587.0</v>
      </c>
      <c r="B2368" s="2" t="s">
        <v>3951</v>
      </c>
      <c r="C2368" s="2" t="s">
        <v>3955</v>
      </c>
      <c r="D2368" s="4" t="s">
        <v>3956</v>
      </c>
    </row>
    <row r="2369">
      <c r="A2369" s="5">
        <v>27587.0</v>
      </c>
      <c r="B2369" s="2" t="s">
        <v>3951</v>
      </c>
      <c r="C2369" s="2" t="s">
        <v>3957</v>
      </c>
      <c r="D2369" s="4" t="s">
        <v>3958</v>
      </c>
    </row>
    <row r="2370">
      <c r="A2370" s="5">
        <v>27588.0</v>
      </c>
      <c r="B2370" s="2" t="s">
        <v>3951</v>
      </c>
      <c r="C2370" s="2" t="s">
        <v>3959</v>
      </c>
      <c r="D2370" s="4" t="s">
        <v>3960</v>
      </c>
    </row>
    <row r="2371">
      <c r="A2371" s="5">
        <v>27588.0</v>
      </c>
      <c r="B2371" s="2" t="s">
        <v>3951</v>
      </c>
      <c r="C2371" s="2" t="s">
        <v>3961</v>
      </c>
      <c r="D2371" s="4" t="s">
        <v>3962</v>
      </c>
    </row>
    <row r="2372">
      <c r="A2372" s="5">
        <v>27588.0</v>
      </c>
      <c r="B2372" s="2" t="s">
        <v>3951</v>
      </c>
      <c r="C2372" s="2" t="s">
        <v>3963</v>
      </c>
      <c r="D2372" s="4" t="s">
        <v>3964</v>
      </c>
    </row>
    <row r="2373">
      <c r="A2373" s="5">
        <v>27588.0</v>
      </c>
      <c r="B2373" s="2" t="s">
        <v>3951</v>
      </c>
      <c r="C2373" s="2" t="s">
        <v>3965</v>
      </c>
      <c r="D2373" s="4" t="s">
        <v>3966</v>
      </c>
    </row>
    <row r="2374">
      <c r="A2374" s="5">
        <v>27589.0</v>
      </c>
      <c r="B2374" s="2" t="s">
        <v>3951</v>
      </c>
      <c r="C2374" s="2" t="s">
        <v>1671</v>
      </c>
      <c r="D2374" s="4" t="s">
        <v>3967</v>
      </c>
    </row>
    <row r="2375">
      <c r="A2375" s="5">
        <v>27589.0</v>
      </c>
      <c r="B2375" s="2" t="s">
        <v>3951</v>
      </c>
      <c r="C2375" s="2" t="s">
        <v>3968</v>
      </c>
      <c r="D2375" s="4" t="s">
        <v>3969</v>
      </c>
    </row>
    <row r="2376">
      <c r="A2376" s="5">
        <v>27590.0</v>
      </c>
      <c r="B2376" s="2" t="s">
        <v>283</v>
      </c>
      <c r="C2376" s="2" t="s">
        <v>1211</v>
      </c>
      <c r="D2376" s="4" t="s">
        <v>3970</v>
      </c>
    </row>
    <row r="2377">
      <c r="A2377" s="5">
        <v>27591.0</v>
      </c>
      <c r="B2377" s="2" t="s">
        <v>283</v>
      </c>
      <c r="C2377" s="2" t="s">
        <v>1671</v>
      </c>
      <c r="D2377" s="4" t="s">
        <v>3971</v>
      </c>
    </row>
    <row r="2378">
      <c r="A2378" s="5">
        <v>27591.0</v>
      </c>
      <c r="B2378" s="2" t="s">
        <v>283</v>
      </c>
      <c r="C2378" s="2" t="s">
        <v>3972</v>
      </c>
      <c r="D2378" s="4" t="s">
        <v>3973</v>
      </c>
    </row>
    <row r="2379">
      <c r="A2379" s="5">
        <v>27591.0</v>
      </c>
      <c r="B2379" s="2" t="s">
        <v>283</v>
      </c>
      <c r="C2379" s="2" t="s">
        <v>3063</v>
      </c>
      <c r="D2379" s="4" t="s">
        <v>3974</v>
      </c>
    </row>
    <row r="2380">
      <c r="A2380" s="5">
        <v>27592.0</v>
      </c>
      <c r="B2380" s="2" t="s">
        <v>283</v>
      </c>
      <c r="C2380" s="2" t="s">
        <v>1671</v>
      </c>
      <c r="D2380" s="4" t="s">
        <v>3975</v>
      </c>
    </row>
    <row r="2381">
      <c r="A2381" s="5">
        <v>27592.0</v>
      </c>
      <c r="B2381" s="2" t="s">
        <v>283</v>
      </c>
      <c r="C2381" s="2" t="s">
        <v>3976</v>
      </c>
      <c r="D2381" s="4" t="s">
        <v>3977</v>
      </c>
    </row>
    <row r="2382">
      <c r="A2382" s="5">
        <v>27593.0</v>
      </c>
      <c r="B2382" s="2" t="s">
        <v>283</v>
      </c>
      <c r="C2382" s="2" t="s">
        <v>1671</v>
      </c>
      <c r="D2382" s="4" t="s">
        <v>3978</v>
      </c>
    </row>
    <row r="2383">
      <c r="A2383" s="5">
        <v>27593.0</v>
      </c>
      <c r="B2383" s="2" t="s">
        <v>283</v>
      </c>
      <c r="C2383" s="2" t="s">
        <v>3979</v>
      </c>
      <c r="D2383" s="4" t="s">
        <v>3980</v>
      </c>
    </row>
    <row r="2384">
      <c r="A2384" s="5">
        <v>27594.0</v>
      </c>
      <c r="B2384" s="2" t="s">
        <v>283</v>
      </c>
      <c r="C2384" s="2" t="s">
        <v>1671</v>
      </c>
      <c r="D2384" s="4" t="s">
        <v>3981</v>
      </c>
    </row>
    <row r="2385">
      <c r="A2385" s="5">
        <v>27594.0</v>
      </c>
      <c r="B2385" s="2" t="s">
        <v>283</v>
      </c>
      <c r="C2385" s="2" t="s">
        <v>3982</v>
      </c>
      <c r="D2385" s="4" t="s">
        <v>3983</v>
      </c>
    </row>
    <row r="2386">
      <c r="A2386" s="5">
        <v>27595.0</v>
      </c>
      <c r="B2386" s="2" t="s">
        <v>283</v>
      </c>
      <c r="C2386" s="2" t="s">
        <v>1671</v>
      </c>
      <c r="D2386" s="4" t="s">
        <v>3984</v>
      </c>
    </row>
    <row r="2387">
      <c r="A2387" s="5">
        <v>27595.0</v>
      </c>
      <c r="B2387" s="2" t="s">
        <v>283</v>
      </c>
      <c r="C2387" s="2" t="s">
        <v>3985</v>
      </c>
      <c r="D2387" s="4" t="s">
        <v>3986</v>
      </c>
    </row>
    <row r="2388">
      <c r="A2388" s="5">
        <v>27596.0</v>
      </c>
      <c r="B2388" s="2" t="s">
        <v>283</v>
      </c>
      <c r="C2388" s="2" t="s">
        <v>1671</v>
      </c>
      <c r="D2388" s="4" t="s">
        <v>3987</v>
      </c>
    </row>
    <row r="2389">
      <c r="A2389" s="5">
        <v>27596.0</v>
      </c>
      <c r="B2389" s="2" t="s">
        <v>283</v>
      </c>
      <c r="C2389" s="2" t="s">
        <v>1025</v>
      </c>
      <c r="D2389" s="4" t="s">
        <v>3988</v>
      </c>
    </row>
    <row r="2390">
      <c r="A2390" s="5">
        <v>27596.0</v>
      </c>
      <c r="B2390" s="2" t="s">
        <v>283</v>
      </c>
      <c r="C2390" s="2" t="s">
        <v>3989</v>
      </c>
      <c r="D2390" s="4" t="s">
        <v>3990</v>
      </c>
    </row>
    <row r="2391">
      <c r="A2391" s="5">
        <v>27596.0</v>
      </c>
      <c r="B2391" s="2" t="s">
        <v>283</v>
      </c>
      <c r="C2391" s="2" t="s">
        <v>3991</v>
      </c>
      <c r="D2391" s="4" t="s">
        <v>3992</v>
      </c>
    </row>
    <row r="2392">
      <c r="A2392" s="5">
        <v>27597.0</v>
      </c>
      <c r="B2392" s="2" t="s">
        <v>345</v>
      </c>
      <c r="C2392" s="2" t="s">
        <v>3993</v>
      </c>
      <c r="D2392" s="4" t="s">
        <v>3994</v>
      </c>
    </row>
    <row r="2393">
      <c r="A2393" s="5">
        <v>27598.0</v>
      </c>
      <c r="B2393" s="2" t="s">
        <v>345</v>
      </c>
      <c r="C2393" s="2" t="s">
        <v>3995</v>
      </c>
      <c r="D2393" s="4" t="s">
        <v>3996</v>
      </c>
    </row>
    <row r="2394">
      <c r="A2394" s="5">
        <v>27599.0</v>
      </c>
      <c r="B2394" s="2" t="s">
        <v>345</v>
      </c>
      <c r="C2394" s="2" t="s">
        <v>1671</v>
      </c>
      <c r="D2394" s="4" t="s">
        <v>3997</v>
      </c>
    </row>
    <row r="2395">
      <c r="A2395" s="5">
        <v>27599.0</v>
      </c>
      <c r="B2395" s="2" t="s">
        <v>345</v>
      </c>
      <c r="C2395" s="2" t="s">
        <v>3998</v>
      </c>
      <c r="D2395" s="4" t="s">
        <v>3999</v>
      </c>
    </row>
    <row r="2396">
      <c r="A2396" s="5">
        <v>27600.0</v>
      </c>
      <c r="B2396" s="2" t="s">
        <v>345</v>
      </c>
      <c r="C2396" s="2" t="s">
        <v>1671</v>
      </c>
      <c r="D2396" s="4" t="s">
        <v>4000</v>
      </c>
    </row>
    <row r="2397">
      <c r="A2397" s="5">
        <v>27600.0</v>
      </c>
      <c r="B2397" s="2" t="s">
        <v>345</v>
      </c>
      <c r="C2397" s="2" t="s">
        <v>1033</v>
      </c>
      <c r="D2397" s="4" t="s">
        <v>4001</v>
      </c>
    </row>
    <row r="2398">
      <c r="A2398" s="5">
        <v>27601.0</v>
      </c>
      <c r="B2398" s="2" t="s">
        <v>1938</v>
      </c>
      <c r="C2398" s="2" t="s">
        <v>1671</v>
      </c>
      <c r="D2398" s="4" t="s">
        <v>4002</v>
      </c>
    </row>
    <row r="2399">
      <c r="A2399" s="5">
        <v>27601.0</v>
      </c>
      <c r="B2399" s="2" t="s">
        <v>1938</v>
      </c>
      <c r="C2399" s="2" t="s">
        <v>4003</v>
      </c>
      <c r="D2399" s="4" t="s">
        <v>4004</v>
      </c>
    </row>
    <row r="2400">
      <c r="A2400" s="5">
        <v>27601.0</v>
      </c>
      <c r="B2400" s="2" t="s">
        <v>1938</v>
      </c>
      <c r="C2400" s="2" t="s">
        <v>4005</v>
      </c>
      <c r="D2400" s="4" t="s">
        <v>4006</v>
      </c>
    </row>
    <row r="2401">
      <c r="A2401" s="5">
        <v>27602.0</v>
      </c>
      <c r="B2401" s="2" t="s">
        <v>1715</v>
      </c>
      <c r="C2401" s="2" t="s">
        <v>1671</v>
      </c>
      <c r="D2401" s="4" t="s">
        <v>4007</v>
      </c>
    </row>
    <row r="2402">
      <c r="A2402" s="5">
        <v>27602.0</v>
      </c>
      <c r="B2402" s="2" t="s">
        <v>1715</v>
      </c>
      <c r="C2402" s="2" t="s">
        <v>4008</v>
      </c>
      <c r="D2402" s="4" t="s">
        <v>4009</v>
      </c>
    </row>
    <row r="2403">
      <c r="A2403" s="5">
        <v>27603.0</v>
      </c>
      <c r="B2403" s="2" t="s">
        <v>1715</v>
      </c>
      <c r="C2403" s="2" t="s">
        <v>1671</v>
      </c>
      <c r="D2403" s="4" t="s">
        <v>4010</v>
      </c>
    </row>
    <row r="2404">
      <c r="A2404" s="5">
        <v>27603.0</v>
      </c>
      <c r="B2404" s="2" t="s">
        <v>1844</v>
      </c>
      <c r="C2404" s="2" t="s">
        <v>4011</v>
      </c>
      <c r="D2404" s="4" t="s">
        <v>4012</v>
      </c>
    </row>
    <row r="2405">
      <c r="A2405" s="5">
        <v>27604.0</v>
      </c>
      <c r="B2405" s="2" t="s">
        <v>1844</v>
      </c>
      <c r="C2405" s="2" t="s">
        <v>1671</v>
      </c>
      <c r="D2405" s="4" t="s">
        <v>4013</v>
      </c>
    </row>
    <row r="2406">
      <c r="A2406" s="5">
        <v>27604.0</v>
      </c>
      <c r="B2406" s="2" t="s">
        <v>1844</v>
      </c>
      <c r="C2406" s="2" t="s">
        <v>4014</v>
      </c>
      <c r="D2406" s="4" t="s">
        <v>4015</v>
      </c>
    </row>
    <row r="2407">
      <c r="A2407" s="5">
        <v>27605.0</v>
      </c>
      <c r="B2407" s="2" t="s">
        <v>1844</v>
      </c>
      <c r="C2407" s="2" t="s">
        <v>1671</v>
      </c>
      <c r="D2407" s="4" t="s">
        <v>4016</v>
      </c>
    </row>
    <row r="2408">
      <c r="A2408" s="5">
        <v>27605.0</v>
      </c>
      <c r="B2408" s="2" t="s">
        <v>1844</v>
      </c>
      <c r="C2408" s="2" t="s">
        <v>4017</v>
      </c>
      <c r="D2408" s="4" t="s">
        <v>4018</v>
      </c>
    </row>
    <row r="2409">
      <c r="A2409" s="5">
        <v>27606.0</v>
      </c>
      <c r="B2409" s="2" t="s">
        <v>1844</v>
      </c>
      <c r="C2409" s="2" t="s">
        <v>1671</v>
      </c>
      <c r="D2409" s="4" t="s">
        <v>4019</v>
      </c>
    </row>
    <row r="2410">
      <c r="A2410" s="5">
        <v>27606.0</v>
      </c>
      <c r="B2410" s="2" t="s">
        <v>4020</v>
      </c>
      <c r="C2410" s="2" t="s">
        <v>379</v>
      </c>
      <c r="D2410" s="4" t="s">
        <v>4021</v>
      </c>
    </row>
    <row r="2411">
      <c r="A2411" s="3">
        <v>27607.0</v>
      </c>
      <c r="B2411" s="2" t="s">
        <v>4020</v>
      </c>
      <c r="C2411" s="2" t="s">
        <v>4022</v>
      </c>
      <c r="D2411" s="4" t="s">
        <v>4023</v>
      </c>
    </row>
    <row r="2412">
      <c r="A2412" s="3">
        <v>27607.0</v>
      </c>
      <c r="B2412" s="2" t="s">
        <v>4024</v>
      </c>
      <c r="C2412" s="2" t="s">
        <v>4025</v>
      </c>
      <c r="D2412" s="4" t="s">
        <v>4026</v>
      </c>
    </row>
    <row r="2413">
      <c r="A2413" s="3">
        <v>27607.0</v>
      </c>
      <c r="B2413" s="2" t="s">
        <v>4020</v>
      </c>
      <c r="C2413" s="2" t="s">
        <v>4027</v>
      </c>
      <c r="D2413" s="4" t="s">
        <v>4028</v>
      </c>
    </row>
    <row r="2414">
      <c r="A2414" s="3">
        <v>27609.0</v>
      </c>
      <c r="B2414" s="2" t="s">
        <v>1246</v>
      </c>
      <c r="C2414" s="2" t="s">
        <v>2191</v>
      </c>
      <c r="D2414" s="4" t="s">
        <v>4029</v>
      </c>
    </row>
    <row r="2415">
      <c r="A2415" s="3">
        <v>27609.0</v>
      </c>
      <c r="B2415" s="2" t="s">
        <v>1246</v>
      </c>
      <c r="C2415" s="2" t="s">
        <v>4030</v>
      </c>
      <c r="D2415" s="4" t="s">
        <v>4031</v>
      </c>
    </row>
    <row r="2416">
      <c r="A2416" s="3">
        <v>27609.0</v>
      </c>
      <c r="B2416" s="2" t="s">
        <v>1246</v>
      </c>
      <c r="C2416" s="2" t="s">
        <v>4032</v>
      </c>
      <c r="D2416" s="4" t="s">
        <v>4033</v>
      </c>
    </row>
    <row r="2417">
      <c r="A2417" s="3">
        <v>27610.0</v>
      </c>
      <c r="B2417" s="2" t="s">
        <v>1246</v>
      </c>
      <c r="C2417" s="2" t="s">
        <v>1671</v>
      </c>
      <c r="D2417" s="4" t="s">
        <v>4034</v>
      </c>
    </row>
    <row r="2418">
      <c r="A2418" s="3">
        <v>27610.0</v>
      </c>
      <c r="B2418" s="2" t="s">
        <v>1246</v>
      </c>
      <c r="C2418" s="2" t="s">
        <v>4035</v>
      </c>
      <c r="D2418" s="4" t="s">
        <v>4036</v>
      </c>
    </row>
    <row r="2419">
      <c r="A2419" s="3">
        <v>27611.0</v>
      </c>
      <c r="B2419" s="2" t="s">
        <v>1246</v>
      </c>
      <c r="C2419" s="2" t="s">
        <v>1671</v>
      </c>
      <c r="D2419" s="4" t="s">
        <v>4037</v>
      </c>
    </row>
    <row r="2420">
      <c r="A2420" s="3">
        <v>27611.0</v>
      </c>
      <c r="B2420" s="2" t="s">
        <v>1246</v>
      </c>
      <c r="C2420" s="2" t="s">
        <v>4038</v>
      </c>
      <c r="D2420" s="4" t="s">
        <v>4039</v>
      </c>
    </row>
    <row r="2421">
      <c r="A2421" s="3">
        <v>27612.0</v>
      </c>
      <c r="B2421" s="2" t="s">
        <v>1246</v>
      </c>
      <c r="C2421" s="2" t="s">
        <v>1671</v>
      </c>
      <c r="D2421" s="4" t="s">
        <v>4040</v>
      </c>
    </row>
    <row r="2422">
      <c r="A2422" s="3">
        <v>27613.0</v>
      </c>
      <c r="B2422" s="2" t="s">
        <v>4041</v>
      </c>
      <c r="C2422" s="2" t="s">
        <v>1671</v>
      </c>
      <c r="D2422" s="4" t="s">
        <v>4042</v>
      </c>
    </row>
    <row r="2423">
      <c r="A2423" s="3">
        <v>27617.0</v>
      </c>
      <c r="B2423" s="2" t="s">
        <v>1200</v>
      </c>
      <c r="C2423" s="2" t="s">
        <v>4043</v>
      </c>
      <c r="D2423" s="4" t="s">
        <v>4044</v>
      </c>
    </row>
    <row r="2424">
      <c r="A2424" s="3">
        <v>27617.0</v>
      </c>
      <c r="B2424" s="2" t="s">
        <v>1200</v>
      </c>
      <c r="C2424" s="2" t="s">
        <v>866</v>
      </c>
      <c r="D2424" s="4" t="s">
        <v>4045</v>
      </c>
    </row>
    <row r="2425">
      <c r="A2425" s="3">
        <v>27617.0</v>
      </c>
      <c r="B2425" s="2" t="s">
        <v>1200</v>
      </c>
      <c r="C2425" s="2" t="s">
        <v>4046</v>
      </c>
      <c r="D2425" s="4" t="s">
        <v>4047</v>
      </c>
    </row>
    <row r="2426">
      <c r="A2426" s="3">
        <v>27618.0</v>
      </c>
      <c r="B2426" s="2" t="s">
        <v>1200</v>
      </c>
      <c r="C2426" s="2" t="s">
        <v>1671</v>
      </c>
      <c r="D2426" s="4" t="s">
        <v>4048</v>
      </c>
    </row>
    <row r="2427">
      <c r="A2427" s="3">
        <v>27618.0</v>
      </c>
      <c r="B2427" s="2" t="s">
        <v>1200</v>
      </c>
      <c r="C2427" s="2" t="s">
        <v>4049</v>
      </c>
      <c r="D2427" s="4" t="s">
        <v>4050</v>
      </c>
    </row>
    <row r="2428">
      <c r="A2428" s="3">
        <v>27619.0</v>
      </c>
      <c r="B2428" s="2" t="s">
        <v>849</v>
      </c>
      <c r="C2428" s="2" t="s">
        <v>373</v>
      </c>
      <c r="D2428" s="4" t="s">
        <v>4051</v>
      </c>
    </row>
    <row r="2429">
      <c r="A2429" s="3">
        <v>27619.0</v>
      </c>
      <c r="B2429" s="2" t="s">
        <v>849</v>
      </c>
      <c r="C2429" s="2" t="s">
        <v>4046</v>
      </c>
      <c r="D2429" s="4" t="s">
        <v>4052</v>
      </c>
    </row>
    <row r="2430">
      <c r="A2430" s="3">
        <v>27620.0</v>
      </c>
      <c r="B2430" s="2" t="s">
        <v>980</v>
      </c>
      <c r="C2430" s="2" t="s">
        <v>4053</v>
      </c>
      <c r="D2430" s="4" t="s">
        <v>4054</v>
      </c>
    </row>
    <row r="2431">
      <c r="A2431" s="3">
        <v>27621.0</v>
      </c>
      <c r="B2431" s="2" t="s">
        <v>980</v>
      </c>
      <c r="C2431" s="2" t="s">
        <v>1671</v>
      </c>
      <c r="D2431" s="4" t="s">
        <v>4055</v>
      </c>
    </row>
    <row r="2432">
      <c r="A2432" s="3">
        <v>27623.0</v>
      </c>
      <c r="B2432" s="2" t="s">
        <v>980</v>
      </c>
      <c r="C2432" s="2" t="s">
        <v>373</v>
      </c>
      <c r="D2432" s="4" t="s">
        <v>4056</v>
      </c>
    </row>
    <row r="2433">
      <c r="A2433" s="3">
        <v>27625.0</v>
      </c>
      <c r="B2433" s="2" t="s">
        <v>980</v>
      </c>
      <c r="C2433" s="2" t="s">
        <v>4057</v>
      </c>
      <c r="D2433" s="4" t="s">
        <v>4058</v>
      </c>
    </row>
    <row r="2434">
      <c r="A2434" s="3">
        <v>27627.0</v>
      </c>
      <c r="B2434" s="2" t="s">
        <v>980</v>
      </c>
      <c r="C2434" s="2" t="s">
        <v>4059</v>
      </c>
      <c r="D2434" s="4" t="s">
        <v>4060</v>
      </c>
    </row>
    <row r="2435">
      <c r="A2435" s="3">
        <v>27630.0</v>
      </c>
      <c r="B2435" s="2" t="s">
        <v>1392</v>
      </c>
      <c r="C2435" s="2" t="s">
        <v>1671</v>
      </c>
      <c r="D2435" s="4" t="s">
        <v>4061</v>
      </c>
    </row>
    <row r="2436">
      <c r="A2436" s="3">
        <v>27631.0</v>
      </c>
      <c r="B2436" s="9" t="s">
        <v>1417</v>
      </c>
      <c r="C2436" s="2" t="s">
        <v>1671</v>
      </c>
      <c r="D2436" s="4" t="s">
        <v>4062</v>
      </c>
    </row>
    <row r="2437">
      <c r="A2437" s="3">
        <v>27632.0</v>
      </c>
      <c r="B2437" s="9" t="s">
        <v>1417</v>
      </c>
      <c r="C2437" s="2" t="s">
        <v>379</v>
      </c>
      <c r="D2437" s="4" t="s">
        <v>4063</v>
      </c>
    </row>
    <row r="2438">
      <c r="A2438" s="3">
        <v>27632.0</v>
      </c>
      <c r="B2438" s="9" t="s">
        <v>1417</v>
      </c>
      <c r="C2438" s="2" t="s">
        <v>4064</v>
      </c>
      <c r="D2438" s="4" t="s">
        <v>4065</v>
      </c>
    </row>
    <row r="2439">
      <c r="A2439" s="3">
        <v>27633.0</v>
      </c>
      <c r="B2439" s="9" t="s">
        <v>1417</v>
      </c>
      <c r="C2439" s="2" t="s">
        <v>1671</v>
      </c>
      <c r="D2439" s="4" t="s">
        <v>4066</v>
      </c>
    </row>
    <row r="2440">
      <c r="A2440" s="3">
        <v>27634.0</v>
      </c>
      <c r="B2440" s="9" t="s">
        <v>1417</v>
      </c>
      <c r="C2440" s="2" t="s">
        <v>1671</v>
      </c>
      <c r="D2440" s="4" t="s">
        <v>4067</v>
      </c>
    </row>
    <row r="2441">
      <c r="A2441" s="3">
        <v>27634.0</v>
      </c>
      <c r="B2441" s="9" t="s">
        <v>1417</v>
      </c>
      <c r="C2441" s="2" t="s">
        <v>4068</v>
      </c>
      <c r="D2441" s="4" t="s">
        <v>4069</v>
      </c>
    </row>
    <row r="2442">
      <c r="A2442" s="3">
        <v>27635.0</v>
      </c>
      <c r="B2442" s="9" t="s">
        <v>1417</v>
      </c>
      <c r="C2442" s="2" t="s">
        <v>1671</v>
      </c>
      <c r="D2442" s="4" t="s">
        <v>4070</v>
      </c>
    </row>
    <row r="2443">
      <c r="A2443" s="3">
        <v>27635.0</v>
      </c>
      <c r="B2443" s="9" t="s">
        <v>1417</v>
      </c>
      <c r="C2443" s="2" t="s">
        <v>4071</v>
      </c>
      <c r="D2443" s="4" t="s">
        <v>4072</v>
      </c>
    </row>
    <row r="2444">
      <c r="A2444" s="3">
        <v>27635.0</v>
      </c>
      <c r="B2444" s="9" t="s">
        <v>1417</v>
      </c>
      <c r="C2444" s="2" t="s">
        <v>4073</v>
      </c>
      <c r="D2444" s="4" t="s">
        <v>4074</v>
      </c>
    </row>
    <row r="2445">
      <c r="A2445" s="3">
        <v>27636.0</v>
      </c>
      <c r="B2445" s="9" t="s">
        <v>1417</v>
      </c>
      <c r="C2445" s="2" t="s">
        <v>4075</v>
      </c>
      <c r="D2445" s="4" t="s">
        <v>4076</v>
      </c>
    </row>
    <row r="2446">
      <c r="A2446" s="3">
        <v>27636.0</v>
      </c>
      <c r="B2446" s="9" t="s">
        <v>1417</v>
      </c>
      <c r="C2446" s="2" t="s">
        <v>4077</v>
      </c>
      <c r="D2446" s="4" t="s">
        <v>4078</v>
      </c>
    </row>
    <row r="2447">
      <c r="A2447" s="3">
        <v>27637.0</v>
      </c>
      <c r="B2447" s="9" t="s">
        <v>1417</v>
      </c>
      <c r="C2447" s="2" t="s">
        <v>4079</v>
      </c>
      <c r="D2447" s="4" t="s">
        <v>4080</v>
      </c>
    </row>
    <row r="2448">
      <c r="A2448" s="1" t="s">
        <v>4081</v>
      </c>
      <c r="B2448" s="9" t="s">
        <v>1417</v>
      </c>
      <c r="C2448" s="2" t="s">
        <v>1671</v>
      </c>
      <c r="D2448" s="4" t="s">
        <v>4082</v>
      </c>
    </row>
    <row r="2449">
      <c r="A2449" s="1" t="s">
        <v>4081</v>
      </c>
      <c r="B2449" s="9" t="s">
        <v>1417</v>
      </c>
      <c r="C2449" s="2" t="s">
        <v>4083</v>
      </c>
      <c r="D2449" s="4" t="s">
        <v>4084</v>
      </c>
    </row>
    <row r="2450">
      <c r="A2450" s="1" t="s">
        <v>4085</v>
      </c>
      <c r="B2450" s="9" t="s">
        <v>1417</v>
      </c>
      <c r="C2450" s="2" t="s">
        <v>4086</v>
      </c>
      <c r="D2450" s="4" t="s">
        <v>4087</v>
      </c>
    </row>
    <row r="2451">
      <c r="A2451" s="1" t="s">
        <v>4088</v>
      </c>
      <c r="B2451" s="9" t="s">
        <v>1417</v>
      </c>
      <c r="C2451" s="2" t="s">
        <v>1671</v>
      </c>
      <c r="D2451" s="4" t="s">
        <v>4089</v>
      </c>
    </row>
    <row r="2452">
      <c r="A2452" s="1" t="s">
        <v>4088</v>
      </c>
      <c r="B2452" s="9" t="s">
        <v>1417</v>
      </c>
      <c r="C2452" s="2" t="s">
        <v>4090</v>
      </c>
      <c r="D2452" s="4" t="s">
        <v>4091</v>
      </c>
    </row>
    <row r="2453">
      <c r="A2453" s="1" t="s">
        <v>4092</v>
      </c>
      <c r="B2453" s="9" t="s">
        <v>1417</v>
      </c>
      <c r="C2453" s="2" t="s">
        <v>1671</v>
      </c>
      <c r="D2453" s="4" t="s">
        <v>4093</v>
      </c>
    </row>
    <row r="2454">
      <c r="A2454" s="1" t="s">
        <v>4092</v>
      </c>
      <c r="B2454" s="9" t="s">
        <v>1417</v>
      </c>
      <c r="C2454" s="2" t="s">
        <v>4094</v>
      </c>
      <c r="D2454" s="4" t="s">
        <v>4095</v>
      </c>
    </row>
    <row r="2455">
      <c r="A2455" s="1" t="s">
        <v>4096</v>
      </c>
      <c r="B2455" s="9" t="s">
        <v>1417</v>
      </c>
      <c r="C2455" s="2" t="s">
        <v>373</v>
      </c>
      <c r="D2455" s="4" t="s">
        <v>4097</v>
      </c>
    </row>
    <row r="2456">
      <c r="A2456" s="1" t="s">
        <v>4096</v>
      </c>
      <c r="B2456" s="9" t="s">
        <v>1417</v>
      </c>
      <c r="C2456" s="2" t="s">
        <v>4098</v>
      </c>
      <c r="D2456" s="4" t="s">
        <v>4099</v>
      </c>
    </row>
    <row r="2457">
      <c r="A2457" s="1" t="s">
        <v>4100</v>
      </c>
      <c r="B2457" s="9" t="s">
        <v>1417</v>
      </c>
      <c r="C2457" s="2" t="s">
        <v>1671</v>
      </c>
      <c r="D2457" s="4" t="s">
        <v>4101</v>
      </c>
    </row>
    <row r="2458">
      <c r="A2458" s="1" t="s">
        <v>4100</v>
      </c>
      <c r="B2458" s="9" t="s">
        <v>1417</v>
      </c>
      <c r="C2458" s="2" t="s">
        <v>4102</v>
      </c>
      <c r="D2458" s="4" t="s">
        <v>4103</v>
      </c>
    </row>
    <row r="2459">
      <c r="A2459" s="1" t="s">
        <v>4104</v>
      </c>
      <c r="B2459" s="9" t="s">
        <v>1417</v>
      </c>
      <c r="C2459" s="2" t="s">
        <v>4105</v>
      </c>
      <c r="D2459" s="4" t="s">
        <v>4106</v>
      </c>
    </row>
    <row r="2460">
      <c r="A2460" s="1" t="s">
        <v>4107</v>
      </c>
      <c r="B2460" s="9" t="s">
        <v>1417</v>
      </c>
      <c r="C2460" s="2" t="s">
        <v>4108</v>
      </c>
      <c r="D2460" s="4" t="s">
        <v>4109</v>
      </c>
    </row>
    <row r="2461">
      <c r="A2461" s="1" t="s">
        <v>4110</v>
      </c>
      <c r="B2461" s="9" t="s">
        <v>1417</v>
      </c>
      <c r="C2461" s="2" t="s">
        <v>1671</v>
      </c>
      <c r="D2461" s="4" t="s">
        <v>4111</v>
      </c>
    </row>
    <row r="2462">
      <c r="A2462" s="1" t="s">
        <v>4110</v>
      </c>
      <c r="B2462" s="9" t="s">
        <v>1417</v>
      </c>
      <c r="C2462" s="2" t="s">
        <v>4112</v>
      </c>
      <c r="D2462" s="4" t="s">
        <v>4113</v>
      </c>
    </row>
    <row r="2463">
      <c r="A2463" s="1" t="s">
        <v>4114</v>
      </c>
      <c r="B2463" s="9" t="s">
        <v>1417</v>
      </c>
      <c r="C2463" s="2" t="s">
        <v>4115</v>
      </c>
      <c r="D2463" s="4" t="s">
        <v>4116</v>
      </c>
    </row>
    <row r="2464">
      <c r="A2464" s="1" t="s">
        <v>4117</v>
      </c>
      <c r="B2464" s="9" t="s">
        <v>1417</v>
      </c>
      <c r="C2464" s="2" t="s">
        <v>4118</v>
      </c>
      <c r="D2464" s="4" t="s">
        <v>4119</v>
      </c>
    </row>
    <row r="2465">
      <c r="A2465" s="1" t="s">
        <v>4120</v>
      </c>
      <c r="B2465" s="9" t="s">
        <v>1417</v>
      </c>
      <c r="C2465" s="2" t="s">
        <v>1671</v>
      </c>
      <c r="D2465" s="4" t="s">
        <v>4121</v>
      </c>
    </row>
    <row r="2466">
      <c r="A2466" s="1" t="s">
        <v>4120</v>
      </c>
      <c r="B2466" s="9" t="s">
        <v>1417</v>
      </c>
      <c r="C2466" s="2" t="s">
        <v>1057</v>
      </c>
      <c r="D2466" s="4" t="s">
        <v>4122</v>
      </c>
    </row>
    <row r="2467">
      <c r="A2467" s="1" t="s">
        <v>4120</v>
      </c>
      <c r="B2467" s="9" t="s">
        <v>1417</v>
      </c>
      <c r="C2467" s="2" t="s">
        <v>4079</v>
      </c>
      <c r="D2467" s="4" t="s">
        <v>4123</v>
      </c>
    </row>
    <row r="2468">
      <c r="A2468" s="1" t="s">
        <v>4124</v>
      </c>
      <c r="B2468" s="9" t="s">
        <v>1417</v>
      </c>
      <c r="C2468" s="2" t="s">
        <v>1671</v>
      </c>
      <c r="D2468" s="4" t="s">
        <v>4125</v>
      </c>
    </row>
    <row r="2469">
      <c r="A2469" s="1" t="s">
        <v>4124</v>
      </c>
      <c r="B2469" s="9" t="s">
        <v>1417</v>
      </c>
      <c r="C2469" s="2" t="s">
        <v>4126</v>
      </c>
      <c r="D2469" s="4" t="s">
        <v>4127</v>
      </c>
    </row>
    <row r="2470">
      <c r="A2470" s="1" t="s">
        <v>4128</v>
      </c>
      <c r="B2470" s="9" t="s">
        <v>1417</v>
      </c>
      <c r="C2470" s="2" t="s">
        <v>373</v>
      </c>
      <c r="D2470" s="4" t="s">
        <v>4129</v>
      </c>
    </row>
    <row r="2471">
      <c r="A2471" s="1" t="s">
        <v>4128</v>
      </c>
      <c r="B2471" s="9" t="s">
        <v>1417</v>
      </c>
      <c r="C2471" s="2" t="s">
        <v>4130</v>
      </c>
      <c r="D2471" s="4" t="s">
        <v>4131</v>
      </c>
    </row>
    <row r="2472">
      <c r="A2472" s="1" t="s">
        <v>4132</v>
      </c>
      <c r="B2472" s="9" t="s">
        <v>1417</v>
      </c>
      <c r="C2472" s="2" t="s">
        <v>1671</v>
      </c>
      <c r="D2472" s="4" t="s">
        <v>4133</v>
      </c>
    </row>
    <row r="2473">
      <c r="A2473" s="1" t="s">
        <v>4132</v>
      </c>
      <c r="B2473" s="9" t="s">
        <v>1417</v>
      </c>
      <c r="C2473" s="2" t="s">
        <v>4134</v>
      </c>
      <c r="D2473" s="4" t="s">
        <v>4135</v>
      </c>
    </row>
    <row r="2474">
      <c r="A2474" s="1" t="s">
        <v>4136</v>
      </c>
      <c r="B2474" s="9" t="s">
        <v>1417</v>
      </c>
      <c r="C2474" s="2" t="s">
        <v>1671</v>
      </c>
      <c r="D2474" s="4" t="s">
        <v>4137</v>
      </c>
    </row>
    <row r="2475">
      <c r="A2475" s="1" t="s">
        <v>4136</v>
      </c>
      <c r="B2475" s="9" t="s">
        <v>1417</v>
      </c>
      <c r="C2475" s="2" t="s">
        <v>4138</v>
      </c>
      <c r="D2475" s="4" t="s">
        <v>4139</v>
      </c>
    </row>
    <row r="2476">
      <c r="A2476" s="1" t="s">
        <v>4140</v>
      </c>
      <c r="B2476" s="9" t="s">
        <v>1417</v>
      </c>
      <c r="C2476" s="2" t="s">
        <v>4141</v>
      </c>
      <c r="D2476" s="4" t="s">
        <v>4142</v>
      </c>
    </row>
    <row r="2477">
      <c r="A2477" s="1" t="s">
        <v>4143</v>
      </c>
      <c r="B2477" s="2" t="s">
        <v>2082</v>
      </c>
      <c r="C2477" s="2" t="s">
        <v>1671</v>
      </c>
      <c r="D2477" s="4" t="s">
        <v>4144</v>
      </c>
    </row>
    <row r="2478">
      <c r="A2478" s="1" t="s">
        <v>4143</v>
      </c>
      <c r="B2478" s="2" t="s">
        <v>2082</v>
      </c>
      <c r="C2478" s="2" t="s">
        <v>4064</v>
      </c>
      <c r="D2478" s="4" t="s">
        <v>4145</v>
      </c>
    </row>
    <row r="2479">
      <c r="A2479" s="1" t="s">
        <v>4146</v>
      </c>
      <c r="B2479" s="2" t="s">
        <v>2082</v>
      </c>
      <c r="C2479" s="2" t="s">
        <v>1671</v>
      </c>
      <c r="D2479" s="4" t="s">
        <v>4147</v>
      </c>
    </row>
    <row r="2480">
      <c r="A2480" s="1" t="s">
        <v>4148</v>
      </c>
      <c r="B2480" s="2" t="s">
        <v>2082</v>
      </c>
      <c r="C2480" s="2" t="s">
        <v>1671</v>
      </c>
      <c r="D2480" s="4" t="s">
        <v>4149</v>
      </c>
    </row>
    <row r="2481">
      <c r="A2481" s="1" t="s">
        <v>4148</v>
      </c>
      <c r="B2481" s="2" t="s">
        <v>2082</v>
      </c>
      <c r="C2481" s="2" t="s">
        <v>4150</v>
      </c>
      <c r="D2481" s="4" t="s">
        <v>4151</v>
      </c>
    </row>
    <row r="2482">
      <c r="A2482" s="1" t="s">
        <v>4148</v>
      </c>
      <c r="B2482" s="2" t="s">
        <v>2082</v>
      </c>
      <c r="C2482" s="2" t="s">
        <v>4152</v>
      </c>
      <c r="D2482" s="4" t="s">
        <v>4153</v>
      </c>
    </row>
    <row r="2483">
      <c r="A2483" s="1" t="s">
        <v>4154</v>
      </c>
      <c r="B2483" s="2" t="s">
        <v>2082</v>
      </c>
      <c r="C2483" s="2" t="s">
        <v>1671</v>
      </c>
      <c r="D2483" s="4" t="s">
        <v>4155</v>
      </c>
    </row>
    <row r="2484">
      <c r="A2484" s="1" t="s">
        <v>4156</v>
      </c>
      <c r="B2484" s="2" t="s">
        <v>980</v>
      </c>
      <c r="C2484" s="2" t="s">
        <v>1671</v>
      </c>
      <c r="D2484" s="4" t="s">
        <v>4157</v>
      </c>
    </row>
    <row r="2485">
      <c r="A2485" s="3">
        <v>27668.0</v>
      </c>
      <c r="B2485" s="2" t="s">
        <v>4158</v>
      </c>
      <c r="C2485" s="2" t="s">
        <v>4159</v>
      </c>
      <c r="D2485" s="4" t="s">
        <v>4160</v>
      </c>
    </row>
    <row r="2486">
      <c r="A2486" s="3">
        <v>27668.0</v>
      </c>
      <c r="B2486" s="2" t="s">
        <v>4158</v>
      </c>
      <c r="C2486" s="2" t="s">
        <v>866</v>
      </c>
      <c r="D2486" s="4" t="s">
        <v>4161</v>
      </c>
    </row>
    <row r="2487">
      <c r="A2487" s="3">
        <v>27668.0</v>
      </c>
      <c r="B2487" s="2" t="s">
        <v>4158</v>
      </c>
      <c r="C2487" s="2" t="s">
        <v>9</v>
      </c>
      <c r="D2487" s="4" t="s">
        <v>4162</v>
      </c>
    </row>
    <row r="2488">
      <c r="A2488" s="3">
        <v>27669.0</v>
      </c>
      <c r="B2488" s="2" t="s">
        <v>4158</v>
      </c>
      <c r="C2488" s="2" t="s">
        <v>1671</v>
      </c>
      <c r="D2488" s="4" t="s">
        <v>4163</v>
      </c>
    </row>
    <row r="2489">
      <c r="A2489" s="3">
        <v>27669.0</v>
      </c>
      <c r="B2489" s="2" t="s">
        <v>4158</v>
      </c>
      <c r="C2489" s="2" t="s">
        <v>1351</v>
      </c>
      <c r="D2489" s="4" t="s">
        <v>4164</v>
      </c>
    </row>
    <row r="2490">
      <c r="A2490" s="3">
        <v>27669.0</v>
      </c>
      <c r="B2490" s="2" t="s">
        <v>4158</v>
      </c>
      <c r="C2490" s="2" t="s">
        <v>3063</v>
      </c>
      <c r="D2490" s="4" t="s">
        <v>4165</v>
      </c>
    </row>
    <row r="2491">
      <c r="A2491" s="3">
        <v>27670.0</v>
      </c>
      <c r="B2491" s="2" t="s">
        <v>4158</v>
      </c>
      <c r="C2491" s="2" t="s">
        <v>1671</v>
      </c>
      <c r="D2491" s="4" t="s">
        <v>4166</v>
      </c>
    </row>
    <row r="2492">
      <c r="A2492" s="3">
        <v>27671.0</v>
      </c>
      <c r="B2492" s="2" t="s">
        <v>4158</v>
      </c>
      <c r="C2492" s="2" t="s">
        <v>1671</v>
      </c>
      <c r="D2492" s="4" t="s">
        <v>4167</v>
      </c>
    </row>
    <row r="2493">
      <c r="A2493" s="3">
        <v>27671.0</v>
      </c>
      <c r="B2493" s="2" t="s">
        <v>4158</v>
      </c>
      <c r="C2493" s="2" t="s">
        <v>4168</v>
      </c>
      <c r="D2493" s="4" t="s">
        <v>4169</v>
      </c>
    </row>
    <row r="2494">
      <c r="A2494" s="3">
        <v>27671.0</v>
      </c>
      <c r="B2494" s="2" t="s">
        <v>4158</v>
      </c>
      <c r="C2494" s="2" t="s">
        <v>379</v>
      </c>
      <c r="D2494" s="4" t="s">
        <v>4170</v>
      </c>
    </row>
    <row r="2495">
      <c r="A2495" s="3">
        <v>27672.0</v>
      </c>
      <c r="B2495" s="2" t="s">
        <v>4158</v>
      </c>
      <c r="C2495" s="2" t="s">
        <v>1671</v>
      </c>
      <c r="D2495" s="4" t="s">
        <v>4171</v>
      </c>
    </row>
    <row r="2496">
      <c r="A2496" s="3">
        <v>27672.0</v>
      </c>
      <c r="B2496" s="2" t="s">
        <v>4158</v>
      </c>
      <c r="C2496" s="2" t="s">
        <v>457</v>
      </c>
      <c r="D2496" s="4" t="s">
        <v>4172</v>
      </c>
    </row>
    <row r="2497">
      <c r="A2497" s="3">
        <v>27672.0</v>
      </c>
      <c r="B2497" s="2" t="s">
        <v>4158</v>
      </c>
      <c r="C2497" s="2" t="s">
        <v>379</v>
      </c>
      <c r="D2497" s="4" t="s">
        <v>4173</v>
      </c>
    </row>
    <row r="2498">
      <c r="A2498" s="3">
        <v>27673.0</v>
      </c>
      <c r="B2498" s="2" t="s">
        <v>4174</v>
      </c>
      <c r="C2498" s="2" t="s">
        <v>1671</v>
      </c>
      <c r="D2498" s="4" t="s">
        <v>4175</v>
      </c>
    </row>
    <row r="2499">
      <c r="A2499" s="3">
        <v>27674.0</v>
      </c>
      <c r="B2499" s="2" t="s">
        <v>4174</v>
      </c>
      <c r="C2499" s="2" t="s">
        <v>1671</v>
      </c>
      <c r="D2499" s="4" t="s">
        <v>4176</v>
      </c>
    </row>
    <row r="2500">
      <c r="A2500" s="3">
        <v>27674.0</v>
      </c>
      <c r="B2500" s="2" t="s">
        <v>4174</v>
      </c>
      <c r="C2500" s="2" t="s">
        <v>4177</v>
      </c>
      <c r="D2500" s="4" t="s">
        <v>4178</v>
      </c>
    </row>
    <row r="2501">
      <c r="A2501" s="3">
        <v>27675.0</v>
      </c>
      <c r="B2501" s="2" t="s">
        <v>4174</v>
      </c>
      <c r="C2501" s="2" t="s">
        <v>1671</v>
      </c>
      <c r="D2501" s="4" t="s">
        <v>4179</v>
      </c>
    </row>
    <row r="2502">
      <c r="A2502" s="3">
        <v>27675.0</v>
      </c>
      <c r="B2502" s="2" t="s">
        <v>4174</v>
      </c>
      <c r="C2502" s="2" t="s">
        <v>4180</v>
      </c>
      <c r="D2502" s="4" t="s">
        <v>4181</v>
      </c>
    </row>
    <row r="2503">
      <c r="A2503" s="3">
        <v>27675.0</v>
      </c>
      <c r="B2503" s="2" t="s">
        <v>4174</v>
      </c>
      <c r="C2503" s="2" t="s">
        <v>4182</v>
      </c>
      <c r="D2503" s="4" t="s">
        <v>4183</v>
      </c>
    </row>
    <row r="2504">
      <c r="A2504" s="3">
        <v>27676.0</v>
      </c>
      <c r="B2504" s="2" t="s">
        <v>4174</v>
      </c>
      <c r="C2504" s="2" t="s">
        <v>1671</v>
      </c>
      <c r="D2504" s="4" t="s">
        <v>4184</v>
      </c>
    </row>
    <row r="2505">
      <c r="A2505" s="3">
        <v>27676.0</v>
      </c>
      <c r="B2505" s="2" t="s">
        <v>4174</v>
      </c>
      <c r="C2505" s="2" t="s">
        <v>369</v>
      </c>
      <c r="D2505" s="4" t="s">
        <v>4185</v>
      </c>
    </row>
    <row r="2506">
      <c r="A2506" s="3">
        <v>27677.0</v>
      </c>
      <c r="B2506" s="2" t="s">
        <v>4174</v>
      </c>
      <c r="C2506" s="2" t="s">
        <v>1671</v>
      </c>
      <c r="D2506" s="4" t="s">
        <v>4186</v>
      </c>
    </row>
    <row r="2507">
      <c r="A2507" s="3">
        <v>27677.0</v>
      </c>
      <c r="B2507" s="2" t="s">
        <v>4174</v>
      </c>
      <c r="C2507" s="2" t="s">
        <v>4187</v>
      </c>
      <c r="D2507" s="4" t="s">
        <v>4188</v>
      </c>
    </row>
    <row r="2508">
      <c r="A2508" s="3">
        <v>27678.0</v>
      </c>
      <c r="B2508" s="2" t="s">
        <v>4174</v>
      </c>
      <c r="C2508" s="2" t="s">
        <v>4189</v>
      </c>
      <c r="D2508" s="4" t="s">
        <v>4190</v>
      </c>
    </row>
    <row r="2509">
      <c r="A2509" s="3">
        <v>27679.0</v>
      </c>
      <c r="B2509" s="2" t="s">
        <v>4174</v>
      </c>
      <c r="C2509" s="2" t="s">
        <v>1671</v>
      </c>
      <c r="D2509" s="4" t="s">
        <v>4191</v>
      </c>
    </row>
    <row r="2510">
      <c r="A2510" s="3">
        <v>27680.0</v>
      </c>
      <c r="B2510" s="2" t="s">
        <v>4174</v>
      </c>
      <c r="C2510" s="2" t="s">
        <v>1671</v>
      </c>
      <c r="D2510" s="4" t="s">
        <v>4192</v>
      </c>
    </row>
    <row r="2511">
      <c r="A2511" s="3">
        <v>27680.0</v>
      </c>
      <c r="B2511" s="2" t="s">
        <v>4174</v>
      </c>
      <c r="C2511" s="2" t="s">
        <v>4193</v>
      </c>
      <c r="D2511" s="4" t="s">
        <v>4194</v>
      </c>
    </row>
    <row r="2512">
      <c r="A2512" s="3">
        <v>27680.0</v>
      </c>
      <c r="B2512" s="2" t="s">
        <v>4174</v>
      </c>
      <c r="C2512" s="2" t="s">
        <v>4195</v>
      </c>
      <c r="D2512" s="4" t="s">
        <v>4196</v>
      </c>
    </row>
    <row r="2513">
      <c r="A2513" s="3">
        <v>27681.0</v>
      </c>
      <c r="B2513" s="2" t="s">
        <v>4197</v>
      </c>
      <c r="C2513" s="2" t="s">
        <v>4198</v>
      </c>
      <c r="D2513" s="4" t="s">
        <v>4199</v>
      </c>
    </row>
    <row r="2514">
      <c r="A2514" s="3">
        <v>27681.0</v>
      </c>
      <c r="B2514" s="2" t="s">
        <v>4197</v>
      </c>
      <c r="C2514" s="2" t="s">
        <v>82</v>
      </c>
      <c r="D2514" s="4" t="s">
        <v>4200</v>
      </c>
    </row>
    <row r="2515">
      <c r="A2515" s="3">
        <v>27681.0</v>
      </c>
      <c r="B2515" s="2" t="s">
        <v>4197</v>
      </c>
      <c r="C2515" s="2" t="s">
        <v>379</v>
      </c>
      <c r="D2515" s="4" t="s">
        <v>4201</v>
      </c>
    </row>
    <row r="2516">
      <c r="A2516" s="3">
        <v>27682.0</v>
      </c>
      <c r="B2516" s="2" t="s">
        <v>4197</v>
      </c>
      <c r="C2516" s="2" t="s">
        <v>4202</v>
      </c>
      <c r="D2516" s="4" t="s">
        <v>4203</v>
      </c>
    </row>
    <row r="2517">
      <c r="A2517" s="3">
        <v>27682.0</v>
      </c>
      <c r="B2517" s="2" t="s">
        <v>4197</v>
      </c>
      <c r="C2517" s="2" t="s">
        <v>730</v>
      </c>
      <c r="D2517" s="4" t="s">
        <v>4204</v>
      </c>
    </row>
    <row r="2518">
      <c r="A2518" s="3">
        <v>27683.0</v>
      </c>
      <c r="B2518" s="2" t="s">
        <v>4197</v>
      </c>
      <c r="C2518" s="2" t="s">
        <v>1671</v>
      </c>
      <c r="D2518" s="4" t="s">
        <v>4205</v>
      </c>
    </row>
    <row r="2519">
      <c r="A2519" s="3">
        <v>27683.0</v>
      </c>
      <c r="B2519" s="2" t="s">
        <v>4197</v>
      </c>
      <c r="C2519" s="2" t="s">
        <v>4206</v>
      </c>
      <c r="D2519" s="4" t="s">
        <v>4207</v>
      </c>
    </row>
    <row r="2520">
      <c r="A2520" s="3">
        <v>27684.0</v>
      </c>
      <c r="B2520" s="2" t="s">
        <v>4197</v>
      </c>
      <c r="C2520" s="2" t="s">
        <v>379</v>
      </c>
      <c r="D2520" s="4" t="s">
        <v>4208</v>
      </c>
    </row>
    <row r="2521">
      <c r="A2521" s="3">
        <v>27684.0</v>
      </c>
      <c r="B2521" s="2" t="s">
        <v>4197</v>
      </c>
      <c r="C2521" s="2" t="s">
        <v>1671</v>
      </c>
      <c r="D2521" s="4" t="s">
        <v>4209</v>
      </c>
    </row>
    <row r="2522">
      <c r="A2522" s="3">
        <v>27684.0</v>
      </c>
      <c r="B2522" s="2" t="s">
        <v>4197</v>
      </c>
      <c r="C2522" s="2" t="s">
        <v>4210</v>
      </c>
      <c r="D2522" s="4" t="s">
        <v>4211</v>
      </c>
    </row>
    <row r="2523">
      <c r="A2523" s="3">
        <v>27685.0</v>
      </c>
      <c r="B2523" s="2" t="s">
        <v>4197</v>
      </c>
      <c r="C2523" s="2" t="s">
        <v>1671</v>
      </c>
      <c r="D2523" s="4" t="s">
        <v>4212</v>
      </c>
    </row>
    <row r="2524">
      <c r="A2524" s="3">
        <v>27685.0</v>
      </c>
      <c r="B2524" s="2" t="s">
        <v>4197</v>
      </c>
      <c r="C2524" s="2" t="s">
        <v>3548</v>
      </c>
      <c r="D2524" s="4" t="s">
        <v>4213</v>
      </c>
    </row>
    <row r="2525">
      <c r="A2525" s="3">
        <v>27686.0</v>
      </c>
      <c r="B2525" s="2" t="s">
        <v>4197</v>
      </c>
      <c r="C2525" s="2" t="s">
        <v>1671</v>
      </c>
      <c r="D2525" s="4" t="s">
        <v>4214</v>
      </c>
    </row>
    <row r="2526">
      <c r="A2526" s="3">
        <v>27686.0</v>
      </c>
      <c r="B2526" s="2" t="s">
        <v>4197</v>
      </c>
      <c r="C2526" s="2" t="s">
        <v>2213</v>
      </c>
      <c r="D2526" s="4" t="s">
        <v>4215</v>
      </c>
    </row>
    <row r="2527">
      <c r="A2527" s="3">
        <v>27687.0</v>
      </c>
      <c r="B2527" s="2" t="s">
        <v>4197</v>
      </c>
      <c r="C2527" s="2" t="s">
        <v>1671</v>
      </c>
      <c r="D2527" s="4" t="s">
        <v>4216</v>
      </c>
    </row>
    <row r="2528">
      <c r="A2528" s="3">
        <v>27687.0</v>
      </c>
      <c r="B2528" s="2" t="s">
        <v>4197</v>
      </c>
      <c r="C2528" s="2" t="s">
        <v>671</v>
      </c>
      <c r="D2528" s="4" t="s">
        <v>4217</v>
      </c>
    </row>
    <row r="2529">
      <c r="A2529" s="3">
        <v>27688.0</v>
      </c>
      <c r="B2529" s="2" t="s">
        <v>4197</v>
      </c>
      <c r="C2529" s="2" t="s">
        <v>1671</v>
      </c>
      <c r="D2529" s="4" t="s">
        <v>4218</v>
      </c>
    </row>
    <row r="2530">
      <c r="A2530" s="3">
        <v>27688.0</v>
      </c>
      <c r="B2530" s="2" t="s">
        <v>4197</v>
      </c>
      <c r="C2530" s="2" t="s">
        <v>4219</v>
      </c>
      <c r="D2530" s="4" t="s">
        <v>4220</v>
      </c>
    </row>
    <row r="2531">
      <c r="A2531" s="3">
        <v>27689.0</v>
      </c>
      <c r="B2531" s="2" t="s">
        <v>4197</v>
      </c>
      <c r="C2531" s="2" t="s">
        <v>850</v>
      </c>
      <c r="D2531" s="4" t="s">
        <v>4221</v>
      </c>
    </row>
    <row r="2532">
      <c r="A2532" s="3">
        <v>27692.0</v>
      </c>
      <c r="B2532" s="2" t="s">
        <v>4158</v>
      </c>
      <c r="C2532" s="2" t="s">
        <v>1671</v>
      </c>
      <c r="D2532" s="4" t="s">
        <v>4222</v>
      </c>
    </row>
    <row r="2533">
      <c r="A2533" s="3">
        <v>27693.0</v>
      </c>
      <c r="B2533" s="2" t="s">
        <v>4158</v>
      </c>
      <c r="C2533" s="2" t="s">
        <v>1671</v>
      </c>
      <c r="D2533" s="4" t="s">
        <v>4223</v>
      </c>
    </row>
    <row r="2534">
      <c r="A2534" s="3">
        <v>27693.0</v>
      </c>
      <c r="B2534" s="2" t="s">
        <v>1376</v>
      </c>
      <c r="C2534" s="2" t="s">
        <v>4224</v>
      </c>
      <c r="D2534" s="4" t="s">
        <v>4225</v>
      </c>
    </row>
    <row r="2535">
      <c r="A2535" s="3">
        <v>27694.0</v>
      </c>
      <c r="B2535" s="2" t="s">
        <v>1376</v>
      </c>
      <c r="C2535" s="2" t="s">
        <v>4226</v>
      </c>
      <c r="D2535" s="4" t="s">
        <v>4227</v>
      </c>
    </row>
    <row r="2536">
      <c r="A2536" s="3">
        <v>27694.0</v>
      </c>
      <c r="B2536" s="2" t="s">
        <v>1376</v>
      </c>
      <c r="C2536" s="2" t="s">
        <v>369</v>
      </c>
      <c r="D2536" s="4" t="s">
        <v>4228</v>
      </c>
    </row>
    <row r="2537">
      <c r="A2537" s="3">
        <v>27695.0</v>
      </c>
      <c r="B2537" s="2" t="s">
        <v>1376</v>
      </c>
      <c r="C2537" s="2" t="s">
        <v>1671</v>
      </c>
      <c r="D2537" s="4" t="s">
        <v>4229</v>
      </c>
    </row>
    <row r="2538">
      <c r="A2538" s="3">
        <v>27695.0</v>
      </c>
      <c r="B2538" s="2" t="s">
        <v>1376</v>
      </c>
      <c r="C2538" s="2" t="s">
        <v>506</v>
      </c>
      <c r="D2538" s="4" t="s">
        <v>4230</v>
      </c>
    </row>
    <row r="2539">
      <c r="A2539" s="3">
        <v>27696.0</v>
      </c>
      <c r="B2539" s="2" t="s">
        <v>1376</v>
      </c>
      <c r="C2539" s="2" t="s">
        <v>1671</v>
      </c>
      <c r="D2539" s="4" t="s">
        <v>4231</v>
      </c>
    </row>
    <row r="2540">
      <c r="A2540" s="3">
        <v>27696.0</v>
      </c>
      <c r="B2540" s="2" t="s">
        <v>1376</v>
      </c>
      <c r="C2540" s="2" t="s">
        <v>4232</v>
      </c>
      <c r="D2540" s="4" t="s">
        <v>4233</v>
      </c>
    </row>
    <row r="2541">
      <c r="A2541" s="3">
        <v>27696.0</v>
      </c>
      <c r="B2541" s="2" t="s">
        <v>1376</v>
      </c>
      <c r="C2541" s="2" t="s">
        <v>379</v>
      </c>
      <c r="D2541" s="4" t="s">
        <v>4234</v>
      </c>
    </row>
    <row r="2542">
      <c r="A2542" s="3">
        <v>27696.0</v>
      </c>
      <c r="B2542" s="2" t="s">
        <v>1376</v>
      </c>
      <c r="C2542" s="2" t="s">
        <v>379</v>
      </c>
      <c r="D2542" s="4" t="s">
        <v>4235</v>
      </c>
    </row>
    <row r="2543">
      <c r="A2543" s="3">
        <v>27696.0</v>
      </c>
      <c r="B2543" s="2" t="s">
        <v>1376</v>
      </c>
      <c r="C2543" s="2" t="s">
        <v>400</v>
      </c>
      <c r="D2543" s="4" t="s">
        <v>4236</v>
      </c>
    </row>
    <row r="2544">
      <c r="A2544" s="3">
        <v>27697.0</v>
      </c>
      <c r="B2544" s="2" t="s">
        <v>1376</v>
      </c>
      <c r="C2544" s="2" t="s">
        <v>4237</v>
      </c>
      <c r="D2544" s="4" t="s">
        <v>4238</v>
      </c>
    </row>
    <row r="2545">
      <c r="A2545" s="3">
        <v>27698.0</v>
      </c>
      <c r="B2545" s="2" t="s">
        <v>1376</v>
      </c>
      <c r="C2545" s="2" t="s">
        <v>2103</v>
      </c>
      <c r="D2545" s="4" t="s">
        <v>4239</v>
      </c>
    </row>
    <row r="2546">
      <c r="A2546" s="3">
        <v>27699.0</v>
      </c>
      <c r="B2546" s="2" t="s">
        <v>1376</v>
      </c>
      <c r="C2546" s="2" t="s">
        <v>1671</v>
      </c>
      <c r="D2546" s="4" t="s">
        <v>4240</v>
      </c>
    </row>
    <row r="2547">
      <c r="A2547" s="3">
        <v>27699.0</v>
      </c>
      <c r="B2547" s="2" t="s">
        <v>1376</v>
      </c>
      <c r="C2547" s="2" t="s">
        <v>4241</v>
      </c>
      <c r="D2547" s="4" t="s">
        <v>4242</v>
      </c>
    </row>
    <row r="2548">
      <c r="A2548" s="3">
        <v>27699.0</v>
      </c>
      <c r="B2548" s="2" t="s">
        <v>1376</v>
      </c>
      <c r="C2548" s="2" t="s">
        <v>2930</v>
      </c>
      <c r="D2548" s="4" t="s">
        <v>4243</v>
      </c>
    </row>
    <row r="2549">
      <c r="A2549" s="3">
        <v>27700.0</v>
      </c>
      <c r="B2549" s="2" t="s">
        <v>1376</v>
      </c>
      <c r="C2549" s="2" t="s">
        <v>1671</v>
      </c>
      <c r="D2549" s="4" t="s">
        <v>4244</v>
      </c>
    </row>
    <row r="2550">
      <c r="A2550" s="3">
        <v>27700.0</v>
      </c>
      <c r="B2550" s="2" t="s">
        <v>980</v>
      </c>
      <c r="C2550" s="2" t="s">
        <v>4245</v>
      </c>
      <c r="D2550" s="4" t="s">
        <v>4246</v>
      </c>
    </row>
    <row r="2551">
      <c r="A2551" s="3">
        <v>27701.0</v>
      </c>
      <c r="B2551" s="2" t="s">
        <v>980</v>
      </c>
      <c r="C2551" s="2" t="s">
        <v>1671</v>
      </c>
      <c r="D2551" s="4" t="s">
        <v>4247</v>
      </c>
    </row>
    <row r="2552">
      <c r="A2552" s="3">
        <v>27701.0</v>
      </c>
      <c r="B2552" s="2" t="s">
        <v>980</v>
      </c>
      <c r="C2552" s="2" t="s">
        <v>4248</v>
      </c>
      <c r="D2552" s="4" t="s">
        <v>4249</v>
      </c>
    </row>
    <row r="2553">
      <c r="A2553" s="3">
        <v>27702.0</v>
      </c>
      <c r="B2553" s="2" t="s">
        <v>980</v>
      </c>
      <c r="C2553" s="2" t="s">
        <v>1671</v>
      </c>
      <c r="D2553" s="4" t="s">
        <v>4250</v>
      </c>
    </row>
    <row r="2554">
      <c r="A2554" s="3">
        <v>27705.0</v>
      </c>
      <c r="B2554" s="2" t="s">
        <v>980</v>
      </c>
      <c r="C2554" s="2" t="s">
        <v>1671</v>
      </c>
      <c r="D2554" s="4" t="s">
        <v>4251</v>
      </c>
    </row>
    <row r="2555">
      <c r="A2555" s="3">
        <v>27706.0</v>
      </c>
      <c r="B2555" s="2" t="s">
        <v>980</v>
      </c>
      <c r="C2555" s="2" t="s">
        <v>1671</v>
      </c>
      <c r="D2555" s="4" t="s">
        <v>4252</v>
      </c>
    </row>
    <row r="2556">
      <c r="A2556" s="3">
        <v>27707.0</v>
      </c>
      <c r="B2556" s="2" t="s">
        <v>980</v>
      </c>
      <c r="C2556" s="2" t="s">
        <v>159</v>
      </c>
      <c r="D2556" s="4" t="s">
        <v>4253</v>
      </c>
    </row>
    <row r="2557">
      <c r="A2557" s="3">
        <v>27708.0</v>
      </c>
      <c r="B2557" s="2" t="s">
        <v>980</v>
      </c>
      <c r="C2557" s="2" t="s">
        <v>1671</v>
      </c>
      <c r="D2557" s="4" t="s">
        <v>4254</v>
      </c>
    </row>
    <row r="2558">
      <c r="A2558" s="3">
        <v>27709.0</v>
      </c>
      <c r="B2558" s="2" t="s">
        <v>980</v>
      </c>
      <c r="C2558" s="2" t="s">
        <v>1671</v>
      </c>
      <c r="D2558" s="4" t="s">
        <v>4255</v>
      </c>
    </row>
    <row r="2559">
      <c r="A2559" s="3">
        <v>27710.0</v>
      </c>
      <c r="B2559" s="2" t="s">
        <v>980</v>
      </c>
      <c r="C2559" s="2" t="s">
        <v>1671</v>
      </c>
      <c r="D2559" s="4" t="s">
        <v>4256</v>
      </c>
    </row>
    <row r="2560">
      <c r="A2560" s="3">
        <v>27710.0</v>
      </c>
      <c r="B2560" s="2" t="s">
        <v>980</v>
      </c>
      <c r="C2560" s="2" t="s">
        <v>4257</v>
      </c>
      <c r="D2560" s="4" t="s">
        <v>4258</v>
      </c>
    </row>
    <row r="2561">
      <c r="A2561" s="3">
        <v>27711.0</v>
      </c>
      <c r="B2561" s="2" t="s">
        <v>980</v>
      </c>
      <c r="C2561" s="2" t="s">
        <v>1671</v>
      </c>
      <c r="D2561" s="4" t="s">
        <v>4259</v>
      </c>
    </row>
    <row r="2562">
      <c r="A2562" s="3">
        <v>27712.0</v>
      </c>
      <c r="B2562" s="2" t="s">
        <v>980</v>
      </c>
      <c r="C2562" s="2" t="s">
        <v>1671</v>
      </c>
      <c r="D2562" s="4" t="s">
        <v>4260</v>
      </c>
    </row>
    <row r="2563">
      <c r="A2563" s="3">
        <v>27712.0</v>
      </c>
      <c r="B2563" s="2" t="s">
        <v>980</v>
      </c>
      <c r="C2563" s="2" t="s">
        <v>4261</v>
      </c>
      <c r="D2563" s="4" t="s">
        <v>4262</v>
      </c>
    </row>
    <row r="2564">
      <c r="A2564" s="3">
        <v>27713.0</v>
      </c>
      <c r="B2564" s="2" t="s">
        <v>980</v>
      </c>
      <c r="C2564" s="2" t="s">
        <v>1671</v>
      </c>
      <c r="D2564" s="4" t="s">
        <v>4263</v>
      </c>
    </row>
    <row r="2565">
      <c r="A2565" s="3">
        <v>27713.0</v>
      </c>
      <c r="B2565" s="2" t="s">
        <v>980</v>
      </c>
      <c r="C2565" s="2" t="s">
        <v>4264</v>
      </c>
      <c r="D2565" s="4" t="s">
        <v>4265</v>
      </c>
    </row>
    <row r="2566">
      <c r="A2566" s="3">
        <v>27714.0</v>
      </c>
      <c r="B2566" s="2" t="s">
        <v>980</v>
      </c>
      <c r="C2566" s="2" t="s">
        <v>1671</v>
      </c>
      <c r="D2566" s="4" t="s">
        <v>4266</v>
      </c>
    </row>
    <row r="2567">
      <c r="A2567" s="3">
        <v>27714.0</v>
      </c>
      <c r="B2567" s="2" t="s">
        <v>980</v>
      </c>
      <c r="C2567" s="2" t="s">
        <v>4267</v>
      </c>
      <c r="D2567" s="4" t="s">
        <v>4268</v>
      </c>
    </row>
    <row r="2568">
      <c r="A2568" s="3">
        <v>27715.0</v>
      </c>
      <c r="B2568" s="2" t="s">
        <v>980</v>
      </c>
      <c r="C2568" s="2" t="s">
        <v>1671</v>
      </c>
      <c r="D2568" s="4" t="s">
        <v>4269</v>
      </c>
    </row>
    <row r="2569">
      <c r="A2569" s="3">
        <v>27715.0</v>
      </c>
      <c r="B2569" s="2" t="s">
        <v>980</v>
      </c>
      <c r="C2569" s="2" t="s">
        <v>4270</v>
      </c>
      <c r="D2569" s="4" t="s">
        <v>4271</v>
      </c>
    </row>
    <row r="2570">
      <c r="A2570" s="3">
        <v>27716.0</v>
      </c>
      <c r="B2570" s="2" t="s">
        <v>980</v>
      </c>
      <c r="C2570" s="2" t="s">
        <v>1671</v>
      </c>
      <c r="D2570" s="4" t="s">
        <v>4272</v>
      </c>
    </row>
    <row r="2571">
      <c r="A2571" s="3">
        <v>27716.0</v>
      </c>
      <c r="B2571" s="2" t="s">
        <v>980</v>
      </c>
      <c r="C2571" s="2" t="s">
        <v>909</v>
      </c>
      <c r="D2571" s="4" t="s">
        <v>4273</v>
      </c>
    </row>
    <row r="2572">
      <c r="A2572" s="3">
        <v>27717.0</v>
      </c>
      <c r="B2572" s="2" t="s">
        <v>980</v>
      </c>
      <c r="C2572" s="2" t="s">
        <v>1671</v>
      </c>
      <c r="D2572" s="4" t="s">
        <v>4274</v>
      </c>
    </row>
    <row r="2573">
      <c r="A2573" s="3">
        <v>27718.0</v>
      </c>
      <c r="B2573" s="2" t="s">
        <v>980</v>
      </c>
      <c r="C2573" s="2" t="s">
        <v>1671</v>
      </c>
      <c r="D2573" s="4" t="s">
        <v>4275</v>
      </c>
    </row>
    <row r="2574">
      <c r="A2574" s="3">
        <v>27719.0</v>
      </c>
      <c r="B2574" s="2" t="s">
        <v>980</v>
      </c>
      <c r="C2574" s="2" t="s">
        <v>1671</v>
      </c>
      <c r="D2574" s="4" t="s">
        <v>4276</v>
      </c>
    </row>
    <row r="2575">
      <c r="A2575" s="3">
        <v>27722.0</v>
      </c>
      <c r="B2575" s="2" t="s">
        <v>980</v>
      </c>
      <c r="C2575" s="2" t="s">
        <v>1671</v>
      </c>
      <c r="D2575" s="4" t="s">
        <v>4277</v>
      </c>
    </row>
    <row r="2576">
      <c r="A2576" s="3">
        <v>27722.0</v>
      </c>
      <c r="B2576" s="2" t="s">
        <v>980</v>
      </c>
      <c r="C2576" s="2" t="s">
        <v>1131</v>
      </c>
      <c r="D2576" s="4" t="s">
        <v>4278</v>
      </c>
    </row>
    <row r="2577">
      <c r="A2577" s="3">
        <v>27723.0</v>
      </c>
      <c r="B2577" s="2" t="s">
        <v>1392</v>
      </c>
      <c r="C2577" s="2" t="s">
        <v>379</v>
      </c>
      <c r="D2577" s="4" t="s">
        <v>4279</v>
      </c>
    </row>
    <row r="2578">
      <c r="A2578" s="3">
        <v>27724.0</v>
      </c>
      <c r="B2578" s="2" t="s">
        <v>1392</v>
      </c>
      <c r="C2578" s="2" t="s">
        <v>1671</v>
      </c>
      <c r="D2578" s="4" t="s">
        <v>4280</v>
      </c>
    </row>
    <row r="2579">
      <c r="A2579" s="3">
        <v>27726.0</v>
      </c>
      <c r="B2579" s="2" t="s">
        <v>1392</v>
      </c>
      <c r="C2579" s="2" t="s">
        <v>671</v>
      </c>
      <c r="D2579" s="4" t="s">
        <v>4281</v>
      </c>
    </row>
    <row r="2580">
      <c r="A2580" s="3">
        <v>27727.0</v>
      </c>
      <c r="B2580" s="2" t="s">
        <v>1392</v>
      </c>
      <c r="C2580" s="2" t="s">
        <v>1671</v>
      </c>
      <c r="D2580" s="4" t="s">
        <v>4282</v>
      </c>
    </row>
    <row r="2581">
      <c r="A2581" s="3">
        <v>27728.0</v>
      </c>
      <c r="B2581" s="2" t="s">
        <v>1392</v>
      </c>
      <c r="C2581" s="2" t="s">
        <v>1671</v>
      </c>
      <c r="D2581" s="4" t="s">
        <v>4283</v>
      </c>
    </row>
    <row r="2582">
      <c r="A2582" s="3">
        <v>27730.0</v>
      </c>
      <c r="B2582" s="9" t="s">
        <v>1417</v>
      </c>
      <c r="C2582" s="2" t="s">
        <v>312</v>
      </c>
      <c r="D2582" s="4" t="s">
        <v>4284</v>
      </c>
    </row>
    <row r="2583">
      <c r="A2583" s="3">
        <v>27731.0</v>
      </c>
      <c r="B2583" s="9" t="s">
        <v>1417</v>
      </c>
      <c r="C2583" s="2" t="s">
        <v>1671</v>
      </c>
      <c r="D2583" s="4" t="s">
        <v>4285</v>
      </c>
    </row>
    <row r="2584">
      <c r="A2584" s="3">
        <v>27731.0</v>
      </c>
      <c r="B2584" s="9" t="s">
        <v>1417</v>
      </c>
      <c r="C2584" s="2" t="s">
        <v>4286</v>
      </c>
      <c r="D2584" s="4" t="s">
        <v>4287</v>
      </c>
    </row>
    <row r="2585">
      <c r="A2585" s="3">
        <v>27732.0</v>
      </c>
      <c r="B2585" s="9" t="s">
        <v>1417</v>
      </c>
      <c r="C2585" s="2" t="s">
        <v>1671</v>
      </c>
      <c r="D2585" s="4" t="s">
        <v>4288</v>
      </c>
    </row>
    <row r="2586">
      <c r="A2586" s="3">
        <v>27732.0</v>
      </c>
      <c r="B2586" s="9" t="s">
        <v>1417</v>
      </c>
      <c r="C2586" s="2" t="s">
        <v>414</v>
      </c>
      <c r="D2586" s="4" t="s">
        <v>4289</v>
      </c>
    </row>
    <row r="2587">
      <c r="A2587" s="3">
        <v>27733.0</v>
      </c>
      <c r="B2587" s="9" t="s">
        <v>1417</v>
      </c>
      <c r="C2587" s="2" t="s">
        <v>4290</v>
      </c>
      <c r="D2587" s="4" t="s">
        <v>4291</v>
      </c>
    </row>
    <row r="2588">
      <c r="A2588" s="3">
        <v>27734.0</v>
      </c>
      <c r="B2588" s="9" t="s">
        <v>1417</v>
      </c>
      <c r="C2588" s="2" t="s">
        <v>1644</v>
      </c>
      <c r="D2588" s="4" t="s">
        <v>4292</v>
      </c>
    </row>
    <row r="2589">
      <c r="A2589" s="3">
        <v>27735.0</v>
      </c>
      <c r="B2589" s="9" t="s">
        <v>1417</v>
      </c>
      <c r="C2589" s="2" t="s">
        <v>1671</v>
      </c>
      <c r="D2589" s="4" t="s">
        <v>4293</v>
      </c>
    </row>
    <row r="2590">
      <c r="A2590" s="3">
        <v>27735.0</v>
      </c>
      <c r="B2590" s="9" t="s">
        <v>1417</v>
      </c>
      <c r="C2590" s="2" t="s">
        <v>4294</v>
      </c>
      <c r="D2590" s="4" t="s">
        <v>4295</v>
      </c>
    </row>
    <row r="2591">
      <c r="A2591" s="3">
        <v>27736.0</v>
      </c>
      <c r="B2591" s="9" t="s">
        <v>1417</v>
      </c>
      <c r="C2591" s="2" t="s">
        <v>4296</v>
      </c>
      <c r="D2591" s="4" t="s">
        <v>4297</v>
      </c>
    </row>
    <row r="2592">
      <c r="A2592" s="3">
        <v>27737.0</v>
      </c>
      <c r="B2592" s="9" t="s">
        <v>1417</v>
      </c>
      <c r="C2592" s="2" t="s">
        <v>1671</v>
      </c>
      <c r="D2592" s="4" t="s">
        <v>4298</v>
      </c>
    </row>
    <row r="2593">
      <c r="A2593" s="3">
        <v>27737.0</v>
      </c>
      <c r="B2593" s="9" t="s">
        <v>1417</v>
      </c>
      <c r="C2593" s="2" t="s">
        <v>4299</v>
      </c>
      <c r="D2593" s="4" t="s">
        <v>4300</v>
      </c>
    </row>
    <row r="2594">
      <c r="A2594" s="3">
        <v>27738.0</v>
      </c>
      <c r="B2594" s="9" t="s">
        <v>1417</v>
      </c>
      <c r="C2594" s="2" t="s">
        <v>1671</v>
      </c>
      <c r="D2594" s="4" t="s">
        <v>4301</v>
      </c>
    </row>
    <row r="2595">
      <c r="A2595" s="3">
        <v>27738.0</v>
      </c>
      <c r="B2595" s="9" t="s">
        <v>1417</v>
      </c>
      <c r="C2595" s="2" t="s">
        <v>4302</v>
      </c>
      <c r="D2595" s="4" t="s">
        <v>4303</v>
      </c>
    </row>
    <row r="2596">
      <c r="A2596" s="3">
        <v>27739.0</v>
      </c>
      <c r="B2596" s="9" t="s">
        <v>1417</v>
      </c>
      <c r="C2596" s="2" t="s">
        <v>1671</v>
      </c>
      <c r="D2596" s="4" t="s">
        <v>4304</v>
      </c>
    </row>
    <row r="2597">
      <c r="A2597" s="3">
        <v>27739.0</v>
      </c>
      <c r="B2597" s="9" t="s">
        <v>1417</v>
      </c>
      <c r="C2597" s="2" t="s">
        <v>4305</v>
      </c>
      <c r="D2597" s="4" t="s">
        <v>4306</v>
      </c>
    </row>
    <row r="2598">
      <c r="A2598" s="3">
        <v>27740.0</v>
      </c>
      <c r="B2598" s="9" t="s">
        <v>1417</v>
      </c>
      <c r="C2598" s="2" t="s">
        <v>1671</v>
      </c>
      <c r="D2598" s="4" t="s">
        <v>4307</v>
      </c>
    </row>
    <row r="2599">
      <c r="A2599" s="3">
        <v>27740.0</v>
      </c>
      <c r="B2599" s="9" t="s">
        <v>1417</v>
      </c>
      <c r="C2599" s="2" t="s">
        <v>4308</v>
      </c>
      <c r="D2599" s="4" t="s">
        <v>4309</v>
      </c>
    </row>
    <row r="2600">
      <c r="A2600" s="3">
        <v>27742.0</v>
      </c>
      <c r="B2600" s="2" t="s">
        <v>4310</v>
      </c>
      <c r="C2600" s="2" t="s">
        <v>1671</v>
      </c>
      <c r="D2600" s="4" t="s">
        <v>4311</v>
      </c>
    </row>
    <row r="2601">
      <c r="A2601" s="3">
        <v>27742.0</v>
      </c>
      <c r="B2601" s="2" t="s">
        <v>4310</v>
      </c>
      <c r="C2601" s="2" t="s">
        <v>379</v>
      </c>
      <c r="D2601" s="4" t="s">
        <v>4312</v>
      </c>
    </row>
    <row r="2602">
      <c r="A2602" s="3">
        <v>27744.0</v>
      </c>
      <c r="B2602" s="2" t="s">
        <v>980</v>
      </c>
      <c r="C2602" s="2" t="s">
        <v>1671</v>
      </c>
      <c r="D2602" s="4" t="s">
        <v>4313</v>
      </c>
    </row>
    <row r="2603">
      <c r="A2603" s="3">
        <v>27744.0</v>
      </c>
      <c r="B2603" s="2" t="s">
        <v>980</v>
      </c>
      <c r="C2603" s="2" t="s">
        <v>4314</v>
      </c>
      <c r="D2603" s="4" t="s">
        <v>4315</v>
      </c>
    </row>
    <row r="2604">
      <c r="A2604" s="3">
        <v>27745.0</v>
      </c>
      <c r="B2604" s="2" t="s">
        <v>980</v>
      </c>
      <c r="C2604" s="2" t="s">
        <v>1671</v>
      </c>
      <c r="D2604" s="4" t="s">
        <v>4316</v>
      </c>
    </row>
    <row r="2605">
      <c r="A2605" s="3">
        <v>27746.0</v>
      </c>
      <c r="B2605" s="2" t="s">
        <v>980</v>
      </c>
      <c r="C2605" s="2" t="s">
        <v>1671</v>
      </c>
      <c r="D2605" s="4" t="s">
        <v>4317</v>
      </c>
    </row>
    <row r="2606">
      <c r="A2606" s="3">
        <v>27747.0</v>
      </c>
      <c r="B2606" s="2" t="s">
        <v>980</v>
      </c>
      <c r="C2606" s="2" t="s">
        <v>1671</v>
      </c>
      <c r="D2606" s="4" t="s">
        <v>4318</v>
      </c>
    </row>
    <row r="2607">
      <c r="A2607" s="3">
        <v>27748.0</v>
      </c>
      <c r="B2607" s="2" t="s">
        <v>980</v>
      </c>
      <c r="C2607" s="2" t="s">
        <v>1671</v>
      </c>
      <c r="D2607" s="4" t="s">
        <v>4319</v>
      </c>
    </row>
    <row r="2608">
      <c r="A2608" s="3">
        <v>27748.0</v>
      </c>
      <c r="B2608" s="2" t="s">
        <v>980</v>
      </c>
      <c r="C2608" s="2" t="s">
        <v>369</v>
      </c>
      <c r="D2608" s="4" t="s">
        <v>4320</v>
      </c>
    </row>
    <row r="2609">
      <c r="A2609" s="3">
        <v>27750.0</v>
      </c>
      <c r="B2609" s="2" t="s">
        <v>980</v>
      </c>
      <c r="C2609" s="2" t="s">
        <v>4321</v>
      </c>
      <c r="D2609" s="4" t="s">
        <v>4322</v>
      </c>
    </row>
    <row r="2610">
      <c r="A2610" s="3">
        <v>27751.0</v>
      </c>
      <c r="B2610" s="2" t="s">
        <v>980</v>
      </c>
      <c r="C2610" s="2" t="s">
        <v>1671</v>
      </c>
      <c r="D2610" s="4" t="s">
        <v>4323</v>
      </c>
    </row>
    <row r="2611">
      <c r="A2611" s="3">
        <v>27752.0</v>
      </c>
      <c r="B2611" s="2" t="s">
        <v>980</v>
      </c>
      <c r="C2611" s="2" t="s">
        <v>1671</v>
      </c>
      <c r="D2611" s="4" t="s">
        <v>4324</v>
      </c>
    </row>
    <row r="2612">
      <c r="A2612" s="3">
        <v>27752.0</v>
      </c>
      <c r="B2612" s="2" t="s">
        <v>4325</v>
      </c>
      <c r="C2612" s="2" t="s">
        <v>4326</v>
      </c>
      <c r="D2612" s="4" t="s">
        <v>4327</v>
      </c>
    </row>
    <row r="2613">
      <c r="A2613" s="3">
        <v>27753.0</v>
      </c>
      <c r="B2613" s="2" t="s">
        <v>4325</v>
      </c>
      <c r="C2613" s="2" t="s">
        <v>1671</v>
      </c>
      <c r="D2613" s="4" t="s">
        <v>4328</v>
      </c>
    </row>
    <row r="2614">
      <c r="A2614" s="3">
        <v>27753.0</v>
      </c>
      <c r="B2614" s="2" t="s">
        <v>4325</v>
      </c>
      <c r="C2614" s="2" t="s">
        <v>4329</v>
      </c>
      <c r="D2614" s="4" t="s">
        <v>4330</v>
      </c>
    </row>
    <row r="2615">
      <c r="A2615" s="3">
        <v>27754.0</v>
      </c>
      <c r="B2615" s="2" t="s">
        <v>4325</v>
      </c>
      <c r="C2615" s="2" t="s">
        <v>1671</v>
      </c>
      <c r="D2615" s="4" t="s">
        <v>4331</v>
      </c>
    </row>
    <row r="2616">
      <c r="A2616" s="3">
        <v>27754.0</v>
      </c>
      <c r="B2616" s="2" t="s">
        <v>4325</v>
      </c>
      <c r="C2616" s="2" t="s">
        <v>4332</v>
      </c>
      <c r="D2616" s="4" t="s">
        <v>4333</v>
      </c>
    </row>
    <row r="2617">
      <c r="A2617" s="3">
        <v>27754.0</v>
      </c>
      <c r="B2617" s="2" t="s">
        <v>4325</v>
      </c>
      <c r="C2617" s="2" t="s">
        <v>4334</v>
      </c>
      <c r="D2617" s="4" t="s">
        <v>4335</v>
      </c>
    </row>
    <row r="2618">
      <c r="A2618" s="3">
        <v>27754.0</v>
      </c>
      <c r="B2618" s="2" t="s">
        <v>4325</v>
      </c>
      <c r="C2618" s="2" t="s">
        <v>4336</v>
      </c>
      <c r="D2618" s="4" t="s">
        <v>4337</v>
      </c>
    </row>
    <row r="2619">
      <c r="A2619" s="3">
        <v>27755.0</v>
      </c>
      <c r="B2619" s="2" t="s">
        <v>4325</v>
      </c>
      <c r="C2619" s="2" t="s">
        <v>4338</v>
      </c>
      <c r="D2619" s="4" t="s">
        <v>4339</v>
      </c>
    </row>
    <row r="2620">
      <c r="A2620" s="3">
        <v>27755.0</v>
      </c>
      <c r="B2620" s="2" t="s">
        <v>4325</v>
      </c>
      <c r="C2620" s="2" t="s">
        <v>4340</v>
      </c>
      <c r="D2620" s="4" t="s">
        <v>4341</v>
      </c>
    </row>
    <row r="2621">
      <c r="A2621" s="3">
        <v>27756.0</v>
      </c>
      <c r="B2621" s="2" t="s">
        <v>4325</v>
      </c>
      <c r="C2621" s="2" t="s">
        <v>4342</v>
      </c>
      <c r="D2621" s="4" t="s">
        <v>4343</v>
      </c>
    </row>
    <row r="2622">
      <c r="A2622" s="3">
        <v>27760.0</v>
      </c>
      <c r="B2622" s="2" t="s">
        <v>1456</v>
      </c>
      <c r="C2622" s="2" t="s">
        <v>4344</v>
      </c>
      <c r="D2622" s="4" t="s">
        <v>4345</v>
      </c>
    </row>
    <row r="2623">
      <c r="A2623" s="3">
        <v>27761.0</v>
      </c>
      <c r="B2623" s="2" t="s">
        <v>1456</v>
      </c>
      <c r="C2623" s="2" t="s">
        <v>1671</v>
      </c>
      <c r="D2623" s="4" t="s">
        <v>4346</v>
      </c>
    </row>
    <row r="2624">
      <c r="A2624" s="3">
        <v>27761.0</v>
      </c>
      <c r="B2624" s="2" t="s">
        <v>1456</v>
      </c>
      <c r="C2624" s="2" t="s">
        <v>312</v>
      </c>
      <c r="D2624" s="4" t="s">
        <v>4347</v>
      </c>
    </row>
    <row r="2625">
      <c r="A2625" s="3">
        <v>27762.0</v>
      </c>
      <c r="B2625" s="2" t="s">
        <v>4348</v>
      </c>
      <c r="C2625" s="2" t="s">
        <v>1671</v>
      </c>
      <c r="D2625" s="4" t="s">
        <v>4349</v>
      </c>
    </row>
    <row r="2626">
      <c r="A2626" s="3">
        <v>27762.0</v>
      </c>
      <c r="B2626" s="2" t="s">
        <v>4348</v>
      </c>
      <c r="C2626" s="2" t="s">
        <v>379</v>
      </c>
      <c r="D2626" s="4" t="s">
        <v>4350</v>
      </c>
    </row>
    <row r="2627">
      <c r="A2627" s="3">
        <v>27763.0</v>
      </c>
      <c r="B2627" s="2" t="s">
        <v>4348</v>
      </c>
      <c r="C2627" s="2" t="s">
        <v>1671</v>
      </c>
      <c r="D2627" s="4" t="s">
        <v>4351</v>
      </c>
    </row>
    <row r="2628">
      <c r="A2628" s="3">
        <v>27763.0</v>
      </c>
      <c r="B2628" s="2" t="s">
        <v>4348</v>
      </c>
      <c r="C2628" s="2" t="s">
        <v>82</v>
      </c>
      <c r="D2628" s="4" t="s">
        <v>4352</v>
      </c>
    </row>
    <row r="2629">
      <c r="A2629" s="3">
        <v>27764.0</v>
      </c>
      <c r="B2629" s="2" t="s">
        <v>4348</v>
      </c>
      <c r="C2629" s="2" t="s">
        <v>899</v>
      </c>
      <c r="D2629" s="4" t="s">
        <v>4353</v>
      </c>
    </row>
    <row r="2630">
      <c r="A2630" s="3">
        <v>27765.0</v>
      </c>
      <c r="B2630" s="2" t="s">
        <v>4348</v>
      </c>
      <c r="C2630" s="2" t="s">
        <v>1671</v>
      </c>
      <c r="D2630" s="4" t="s">
        <v>4354</v>
      </c>
    </row>
    <row r="2631">
      <c r="A2631" s="3">
        <v>27766.0</v>
      </c>
      <c r="B2631" s="2" t="s">
        <v>4348</v>
      </c>
      <c r="C2631" s="2" t="s">
        <v>3872</v>
      </c>
      <c r="D2631" s="4" t="s">
        <v>4355</v>
      </c>
    </row>
    <row r="2632">
      <c r="A2632" s="3">
        <v>27766.0</v>
      </c>
      <c r="B2632" s="2" t="s">
        <v>4348</v>
      </c>
      <c r="C2632" s="2" t="s">
        <v>379</v>
      </c>
      <c r="D2632" s="4" t="s">
        <v>4356</v>
      </c>
    </row>
    <row r="2633">
      <c r="A2633" s="3">
        <v>27767.0</v>
      </c>
      <c r="B2633" s="2" t="s">
        <v>4348</v>
      </c>
      <c r="C2633" s="2" t="s">
        <v>1671</v>
      </c>
      <c r="D2633" s="4" t="s">
        <v>4357</v>
      </c>
    </row>
    <row r="2634">
      <c r="A2634" s="3">
        <v>27767.0</v>
      </c>
      <c r="B2634" s="2" t="s">
        <v>4348</v>
      </c>
      <c r="C2634" s="2" t="s">
        <v>901</v>
      </c>
      <c r="D2634" s="4" t="s">
        <v>4358</v>
      </c>
    </row>
    <row r="2635">
      <c r="A2635" s="3">
        <v>27767.0</v>
      </c>
      <c r="B2635" s="2" t="s">
        <v>4348</v>
      </c>
      <c r="C2635" s="2" t="s">
        <v>379</v>
      </c>
      <c r="D2635" s="4" t="s">
        <v>4359</v>
      </c>
    </row>
    <row r="2636">
      <c r="A2636" s="3">
        <v>27768.0</v>
      </c>
      <c r="B2636" s="2" t="s">
        <v>1456</v>
      </c>
      <c r="C2636" s="2" t="s">
        <v>1671</v>
      </c>
      <c r="D2636" s="4" t="s">
        <v>4360</v>
      </c>
    </row>
    <row r="2637">
      <c r="A2637" s="3">
        <v>27771.0</v>
      </c>
      <c r="B2637" s="2" t="s">
        <v>980</v>
      </c>
      <c r="C2637" s="2" t="s">
        <v>1671</v>
      </c>
      <c r="D2637" s="4" t="s">
        <v>4361</v>
      </c>
    </row>
    <row r="2638">
      <c r="A2638" s="3">
        <v>27771.0</v>
      </c>
      <c r="B2638" s="2" t="s">
        <v>980</v>
      </c>
      <c r="C2638" s="2" t="s">
        <v>4261</v>
      </c>
      <c r="D2638" s="4" t="s">
        <v>4362</v>
      </c>
    </row>
    <row r="2639">
      <c r="A2639" s="3">
        <v>27772.0</v>
      </c>
      <c r="B2639" s="2" t="s">
        <v>977</v>
      </c>
      <c r="C2639" s="2" t="s">
        <v>1671</v>
      </c>
      <c r="D2639" s="4" t="s">
        <v>4363</v>
      </c>
    </row>
    <row r="2640">
      <c r="A2640" s="3">
        <v>27772.0</v>
      </c>
      <c r="B2640" s="2" t="s">
        <v>977</v>
      </c>
      <c r="C2640" s="2" t="s">
        <v>4364</v>
      </c>
      <c r="D2640" s="4" t="s">
        <v>4365</v>
      </c>
    </row>
    <row r="2641">
      <c r="A2641" s="3">
        <v>27773.0</v>
      </c>
      <c r="B2641" s="2" t="s">
        <v>977</v>
      </c>
      <c r="C2641" s="2" t="s">
        <v>4364</v>
      </c>
      <c r="D2641" s="4" t="s">
        <v>4366</v>
      </c>
    </row>
    <row r="2642">
      <c r="A2642" s="3">
        <v>27774.0</v>
      </c>
      <c r="B2642" s="2" t="s">
        <v>977</v>
      </c>
      <c r="C2642" s="2" t="s">
        <v>1671</v>
      </c>
      <c r="D2642" s="4" t="s">
        <v>4367</v>
      </c>
    </row>
    <row r="2643">
      <c r="A2643" s="3">
        <v>27774.0</v>
      </c>
      <c r="B2643" s="2" t="s">
        <v>1485</v>
      </c>
      <c r="C2643" s="2" t="s">
        <v>4368</v>
      </c>
      <c r="D2643" s="4" t="s">
        <v>4369</v>
      </c>
    </row>
    <row r="2644">
      <c r="A2644" s="3">
        <v>27774.0</v>
      </c>
      <c r="B2644" s="2" t="s">
        <v>1485</v>
      </c>
      <c r="C2644" s="2" t="s">
        <v>379</v>
      </c>
      <c r="D2644" s="4" t="s">
        <v>4370</v>
      </c>
    </row>
    <row r="2645">
      <c r="A2645" s="3">
        <v>27775.0</v>
      </c>
      <c r="B2645" s="2" t="s">
        <v>1485</v>
      </c>
      <c r="C2645" s="2" t="s">
        <v>4371</v>
      </c>
      <c r="D2645" s="4" t="s">
        <v>4372</v>
      </c>
    </row>
    <row r="2646">
      <c r="A2646" s="3">
        <v>27775.0</v>
      </c>
      <c r="B2646" s="2" t="s">
        <v>1485</v>
      </c>
      <c r="C2646" s="2" t="s">
        <v>379</v>
      </c>
      <c r="D2646" s="4" t="s">
        <v>4373</v>
      </c>
    </row>
    <row r="2647">
      <c r="A2647" s="3">
        <v>27776.0</v>
      </c>
      <c r="B2647" s="2" t="s">
        <v>1485</v>
      </c>
      <c r="C2647" s="2" t="s">
        <v>4371</v>
      </c>
      <c r="D2647" s="4" t="s">
        <v>4374</v>
      </c>
    </row>
    <row r="2648">
      <c r="A2648" s="3">
        <v>27776.0</v>
      </c>
      <c r="B2648" s="2" t="s">
        <v>1485</v>
      </c>
      <c r="C2648" s="2" t="s">
        <v>379</v>
      </c>
      <c r="D2648" s="4" t="s">
        <v>4375</v>
      </c>
    </row>
    <row r="2649">
      <c r="A2649" s="3">
        <v>27777.0</v>
      </c>
      <c r="B2649" s="2" t="s">
        <v>1485</v>
      </c>
      <c r="C2649" s="2" t="s">
        <v>1671</v>
      </c>
      <c r="D2649" s="4" t="s">
        <v>4376</v>
      </c>
    </row>
    <row r="2650">
      <c r="A2650" s="3">
        <v>27777.0</v>
      </c>
      <c r="B2650" s="2" t="s">
        <v>1485</v>
      </c>
      <c r="C2650" s="2" t="s">
        <v>379</v>
      </c>
      <c r="D2650" s="4" t="s">
        <v>4377</v>
      </c>
    </row>
    <row r="2651">
      <c r="A2651" s="3">
        <v>27778.0</v>
      </c>
      <c r="B2651" s="2" t="s">
        <v>1485</v>
      </c>
      <c r="C2651" s="2" t="s">
        <v>1671</v>
      </c>
      <c r="D2651" s="4" t="s">
        <v>4378</v>
      </c>
    </row>
    <row r="2652">
      <c r="A2652" s="3">
        <v>27778.0</v>
      </c>
      <c r="B2652" s="2" t="s">
        <v>1485</v>
      </c>
      <c r="C2652" s="2" t="s">
        <v>379</v>
      </c>
      <c r="D2652" s="4" t="s">
        <v>4379</v>
      </c>
    </row>
    <row r="2653">
      <c r="A2653" s="3">
        <v>27779.0</v>
      </c>
      <c r="B2653" s="2" t="s">
        <v>1485</v>
      </c>
      <c r="C2653" s="2" t="s">
        <v>1671</v>
      </c>
      <c r="D2653" s="4" t="s">
        <v>4380</v>
      </c>
    </row>
    <row r="2654">
      <c r="A2654" s="3">
        <v>27780.0</v>
      </c>
      <c r="B2654" s="2" t="s">
        <v>1485</v>
      </c>
      <c r="C2654" s="2" t="s">
        <v>1671</v>
      </c>
      <c r="D2654" s="4" t="s">
        <v>4381</v>
      </c>
    </row>
    <row r="2655">
      <c r="A2655" s="3">
        <v>27781.0</v>
      </c>
      <c r="B2655" s="2" t="s">
        <v>1485</v>
      </c>
      <c r="C2655" s="2" t="s">
        <v>1671</v>
      </c>
      <c r="D2655" s="4" t="s">
        <v>4382</v>
      </c>
    </row>
    <row r="2656">
      <c r="A2656" s="3">
        <v>27782.0</v>
      </c>
      <c r="B2656" s="2" t="s">
        <v>1485</v>
      </c>
      <c r="C2656" s="2" t="s">
        <v>1671</v>
      </c>
      <c r="D2656" s="4" t="s">
        <v>4383</v>
      </c>
    </row>
    <row r="2657">
      <c r="A2657" s="3">
        <v>27793.0</v>
      </c>
      <c r="B2657" s="2" t="s">
        <v>1485</v>
      </c>
      <c r="C2657" s="2" t="s">
        <v>1671</v>
      </c>
      <c r="D2657" s="4" t="s">
        <v>4384</v>
      </c>
    </row>
    <row r="2658">
      <c r="A2658" s="3">
        <v>27794.0</v>
      </c>
      <c r="B2658" s="2" t="s">
        <v>1485</v>
      </c>
      <c r="C2658" s="2" t="s">
        <v>1671</v>
      </c>
      <c r="D2658" s="4" t="s">
        <v>4385</v>
      </c>
    </row>
    <row r="2659">
      <c r="A2659" s="3">
        <v>27795.0</v>
      </c>
      <c r="B2659" s="2" t="s">
        <v>1485</v>
      </c>
      <c r="C2659" s="2" t="s">
        <v>1671</v>
      </c>
      <c r="D2659" s="4" t="s">
        <v>4386</v>
      </c>
    </row>
    <row r="2660">
      <c r="A2660" s="3">
        <v>27795.0</v>
      </c>
      <c r="B2660" s="2" t="s">
        <v>1485</v>
      </c>
      <c r="C2660" s="2" t="s">
        <v>4387</v>
      </c>
      <c r="D2660" s="4" t="s">
        <v>4388</v>
      </c>
    </row>
    <row r="2661">
      <c r="A2661" s="3">
        <v>27796.0</v>
      </c>
      <c r="B2661" s="2" t="s">
        <v>1485</v>
      </c>
      <c r="C2661" s="2" t="s">
        <v>1671</v>
      </c>
      <c r="D2661" s="4" t="s">
        <v>4389</v>
      </c>
    </row>
    <row r="2662">
      <c r="A2662" s="3">
        <v>27798.0</v>
      </c>
      <c r="B2662" s="2" t="s">
        <v>1485</v>
      </c>
      <c r="C2662" s="2" t="s">
        <v>4390</v>
      </c>
      <c r="D2662" s="4" t="s">
        <v>4391</v>
      </c>
    </row>
    <row r="2663">
      <c r="A2663" s="3">
        <v>27799.0</v>
      </c>
      <c r="B2663" s="2" t="s">
        <v>1485</v>
      </c>
      <c r="C2663" s="2" t="s">
        <v>1671</v>
      </c>
      <c r="D2663" s="4" t="s">
        <v>4392</v>
      </c>
    </row>
    <row r="2664">
      <c r="A2664" s="3">
        <v>27800.0</v>
      </c>
      <c r="B2664" s="2" t="s">
        <v>1485</v>
      </c>
      <c r="C2664" s="2" t="s">
        <v>1671</v>
      </c>
      <c r="D2664" s="4" t="s">
        <v>4393</v>
      </c>
    </row>
    <row r="2665">
      <c r="A2665" s="3">
        <v>27800.0</v>
      </c>
      <c r="B2665" s="2" t="s">
        <v>1485</v>
      </c>
      <c r="C2665" s="2" t="s">
        <v>4394</v>
      </c>
      <c r="D2665" s="4" t="s">
        <v>4395</v>
      </c>
    </row>
    <row r="2666">
      <c r="A2666" s="3">
        <v>27801.0</v>
      </c>
      <c r="B2666" s="2" t="s">
        <v>1485</v>
      </c>
      <c r="C2666" s="2" t="s">
        <v>1671</v>
      </c>
      <c r="D2666" s="4" t="s">
        <v>4396</v>
      </c>
    </row>
    <row r="2667">
      <c r="A2667" s="3">
        <v>27801.0</v>
      </c>
      <c r="B2667" s="2" t="s">
        <v>1485</v>
      </c>
      <c r="C2667" s="2" t="s">
        <v>4397</v>
      </c>
      <c r="D2667" s="4" t="s">
        <v>4398</v>
      </c>
    </row>
    <row r="2668">
      <c r="A2668" s="3">
        <v>27802.0</v>
      </c>
      <c r="B2668" s="2" t="s">
        <v>1485</v>
      </c>
      <c r="C2668" s="2" t="s">
        <v>1671</v>
      </c>
      <c r="D2668" s="4" t="s">
        <v>4399</v>
      </c>
    </row>
    <row r="2669">
      <c r="A2669" s="3">
        <v>27802.0</v>
      </c>
      <c r="B2669" s="2" t="s">
        <v>1485</v>
      </c>
      <c r="C2669" s="2" t="s">
        <v>4400</v>
      </c>
      <c r="D2669" s="4" t="s">
        <v>4401</v>
      </c>
    </row>
    <row r="2670">
      <c r="A2670" s="3">
        <v>27804.0</v>
      </c>
      <c r="B2670" s="2" t="s">
        <v>1485</v>
      </c>
      <c r="C2670" s="2" t="s">
        <v>4402</v>
      </c>
      <c r="D2670" s="4" t="s">
        <v>4403</v>
      </c>
    </row>
    <row r="2671">
      <c r="A2671" s="3">
        <v>27805.0</v>
      </c>
      <c r="B2671" s="2" t="s">
        <v>1485</v>
      </c>
      <c r="C2671" s="2" t="s">
        <v>428</v>
      </c>
      <c r="D2671" s="4" t="s">
        <v>4404</v>
      </c>
    </row>
    <row r="2672">
      <c r="A2672" s="3">
        <v>27806.0</v>
      </c>
      <c r="B2672" s="2" t="s">
        <v>1485</v>
      </c>
      <c r="C2672" s="2" t="s">
        <v>431</v>
      </c>
      <c r="D2672" s="4" t="s">
        <v>4405</v>
      </c>
    </row>
    <row r="2673">
      <c r="A2673" s="3">
        <v>27807.0</v>
      </c>
      <c r="B2673" s="2" t="s">
        <v>1485</v>
      </c>
      <c r="C2673" s="2" t="s">
        <v>434</v>
      </c>
      <c r="D2673" s="4" t="s">
        <v>4406</v>
      </c>
    </row>
    <row r="2674">
      <c r="A2674" s="3">
        <v>27808.0</v>
      </c>
      <c r="B2674" s="2" t="s">
        <v>1485</v>
      </c>
      <c r="C2674" s="2" t="s">
        <v>1671</v>
      </c>
      <c r="D2674" s="4" t="s">
        <v>4407</v>
      </c>
    </row>
    <row r="2675">
      <c r="A2675" s="3">
        <v>27808.0</v>
      </c>
      <c r="B2675" s="2" t="s">
        <v>1485</v>
      </c>
      <c r="C2675" s="2" t="s">
        <v>470</v>
      </c>
      <c r="D2675" s="4" t="s">
        <v>4408</v>
      </c>
    </row>
    <row r="2676">
      <c r="A2676" s="3">
        <v>27809.0</v>
      </c>
      <c r="B2676" s="2" t="s">
        <v>1485</v>
      </c>
      <c r="C2676" s="2" t="s">
        <v>1671</v>
      </c>
      <c r="D2676" s="4" t="s">
        <v>4409</v>
      </c>
    </row>
    <row r="2677">
      <c r="A2677" s="3">
        <v>27809.0</v>
      </c>
      <c r="B2677" s="2" t="s">
        <v>1485</v>
      </c>
      <c r="C2677" s="2" t="s">
        <v>474</v>
      </c>
      <c r="D2677" s="4" t="s">
        <v>4410</v>
      </c>
    </row>
    <row r="2678">
      <c r="A2678" s="3">
        <v>27810.0</v>
      </c>
      <c r="B2678" s="2" t="s">
        <v>1485</v>
      </c>
      <c r="C2678" s="2" t="s">
        <v>1671</v>
      </c>
      <c r="D2678" s="4" t="s">
        <v>4411</v>
      </c>
    </row>
    <row r="2679">
      <c r="A2679" s="3">
        <v>27810.0</v>
      </c>
      <c r="B2679" s="2" t="s">
        <v>1485</v>
      </c>
      <c r="C2679" s="2" t="s">
        <v>481</v>
      </c>
      <c r="D2679" s="4" t="s">
        <v>4412</v>
      </c>
    </row>
    <row r="2680">
      <c r="A2680" s="3">
        <v>27811.0</v>
      </c>
      <c r="B2680" s="2" t="s">
        <v>1485</v>
      </c>
      <c r="C2680" s="2" t="s">
        <v>1671</v>
      </c>
      <c r="D2680" s="4" t="s">
        <v>4413</v>
      </c>
    </row>
    <row r="2681">
      <c r="A2681" s="3">
        <v>27811.0</v>
      </c>
      <c r="B2681" s="2" t="s">
        <v>1485</v>
      </c>
      <c r="C2681" s="2" t="s">
        <v>4414</v>
      </c>
      <c r="D2681" s="4" t="s">
        <v>4415</v>
      </c>
    </row>
    <row r="2682">
      <c r="A2682" s="3">
        <v>27811.0</v>
      </c>
      <c r="B2682" s="2" t="s">
        <v>1485</v>
      </c>
      <c r="C2682" s="2" t="s">
        <v>4416</v>
      </c>
      <c r="D2682" s="4" t="s">
        <v>4417</v>
      </c>
    </row>
    <row r="2683">
      <c r="A2683" s="3">
        <v>27812.0</v>
      </c>
      <c r="B2683" s="2" t="s">
        <v>1485</v>
      </c>
      <c r="C2683" s="2" t="s">
        <v>373</v>
      </c>
      <c r="D2683" s="4" t="s">
        <v>4418</v>
      </c>
    </row>
    <row r="2684">
      <c r="A2684" s="3">
        <v>27812.0</v>
      </c>
      <c r="B2684" s="2" t="s">
        <v>1485</v>
      </c>
      <c r="C2684" s="2" t="s">
        <v>4419</v>
      </c>
      <c r="D2684" s="4" t="s">
        <v>4420</v>
      </c>
    </row>
    <row r="2685">
      <c r="A2685" s="3">
        <v>27813.0</v>
      </c>
      <c r="B2685" s="2" t="s">
        <v>1485</v>
      </c>
      <c r="C2685" s="2" t="s">
        <v>4421</v>
      </c>
      <c r="D2685" s="4" t="s">
        <v>4422</v>
      </c>
    </row>
    <row r="2686">
      <c r="A2686" s="3">
        <v>27814.0</v>
      </c>
      <c r="B2686" s="2" t="s">
        <v>1485</v>
      </c>
      <c r="C2686" s="2" t="s">
        <v>4423</v>
      </c>
      <c r="D2686" s="4" t="s">
        <v>4424</v>
      </c>
    </row>
    <row r="2687">
      <c r="A2687" s="3">
        <v>27815.0</v>
      </c>
      <c r="B2687" s="2" t="s">
        <v>1485</v>
      </c>
      <c r="C2687" s="2" t="s">
        <v>373</v>
      </c>
      <c r="D2687" s="4" t="s">
        <v>4425</v>
      </c>
    </row>
    <row r="2688">
      <c r="A2688" s="3">
        <v>27815.0</v>
      </c>
      <c r="B2688" s="2" t="s">
        <v>1485</v>
      </c>
      <c r="C2688" s="2" t="s">
        <v>4426</v>
      </c>
      <c r="D2688" s="4" t="s">
        <v>4427</v>
      </c>
    </row>
    <row r="2689">
      <c r="A2689" s="3">
        <v>27816.0</v>
      </c>
      <c r="B2689" s="2" t="s">
        <v>1485</v>
      </c>
      <c r="C2689" s="2" t="s">
        <v>1671</v>
      </c>
      <c r="D2689" s="4" t="s">
        <v>4428</v>
      </c>
    </row>
    <row r="2690">
      <c r="A2690" s="3">
        <v>27816.0</v>
      </c>
      <c r="B2690" s="2" t="s">
        <v>1485</v>
      </c>
      <c r="C2690" s="2" t="s">
        <v>4429</v>
      </c>
      <c r="D2690" s="4" t="s">
        <v>4430</v>
      </c>
    </row>
    <row r="2691">
      <c r="A2691" s="3">
        <v>27817.0</v>
      </c>
      <c r="B2691" s="2" t="s">
        <v>1485</v>
      </c>
      <c r="C2691" s="2" t="s">
        <v>1671</v>
      </c>
      <c r="D2691" s="4" t="s">
        <v>4431</v>
      </c>
    </row>
    <row r="2692">
      <c r="A2692" s="3">
        <v>27817.0</v>
      </c>
      <c r="B2692" s="2" t="s">
        <v>1485</v>
      </c>
      <c r="C2692" s="2" t="s">
        <v>4432</v>
      </c>
      <c r="D2692" s="4" t="s">
        <v>4433</v>
      </c>
    </row>
    <row r="2693">
      <c r="A2693" s="3">
        <v>27818.0</v>
      </c>
      <c r="B2693" s="2" t="s">
        <v>1485</v>
      </c>
      <c r="C2693" s="2" t="s">
        <v>373</v>
      </c>
      <c r="D2693" s="4" t="s">
        <v>4434</v>
      </c>
    </row>
    <row r="2694">
      <c r="A2694" s="3">
        <v>27818.0</v>
      </c>
      <c r="B2694" s="2" t="s">
        <v>1485</v>
      </c>
      <c r="C2694" s="2" t="s">
        <v>4435</v>
      </c>
      <c r="D2694" s="4" t="s">
        <v>4436</v>
      </c>
    </row>
    <row r="2695">
      <c r="A2695" s="3">
        <v>27819.0</v>
      </c>
      <c r="B2695" s="2" t="s">
        <v>1485</v>
      </c>
      <c r="C2695" s="2" t="s">
        <v>373</v>
      </c>
      <c r="D2695" s="4" t="s">
        <v>4437</v>
      </c>
    </row>
    <row r="2696">
      <c r="A2696" s="3">
        <v>27819.0</v>
      </c>
      <c r="B2696" s="2" t="s">
        <v>1485</v>
      </c>
      <c r="C2696" s="2" t="s">
        <v>4438</v>
      </c>
      <c r="D2696" s="4" t="s">
        <v>4439</v>
      </c>
    </row>
    <row r="2697">
      <c r="A2697" s="5">
        <v>27820.0</v>
      </c>
      <c r="B2697" s="2" t="s">
        <v>1485</v>
      </c>
      <c r="C2697" s="2" t="s">
        <v>1671</v>
      </c>
      <c r="D2697" s="4" t="s">
        <v>4440</v>
      </c>
    </row>
    <row r="2698">
      <c r="A2698" s="5">
        <v>27820.0</v>
      </c>
      <c r="B2698" s="2" t="s">
        <v>1485</v>
      </c>
      <c r="C2698" s="2" t="s">
        <v>4441</v>
      </c>
      <c r="D2698" s="4" t="s">
        <v>4442</v>
      </c>
    </row>
    <row r="2699">
      <c r="A2699" s="5">
        <v>27821.0</v>
      </c>
      <c r="B2699" s="2" t="s">
        <v>1485</v>
      </c>
      <c r="C2699" s="2" t="s">
        <v>373</v>
      </c>
      <c r="D2699" s="4" t="s">
        <v>4443</v>
      </c>
    </row>
    <row r="2700">
      <c r="A2700" s="5">
        <v>27821.0</v>
      </c>
      <c r="B2700" s="2" t="s">
        <v>1485</v>
      </c>
      <c r="C2700" s="2" t="s">
        <v>4444</v>
      </c>
      <c r="D2700" s="4" t="s">
        <v>4445</v>
      </c>
    </row>
    <row r="2701">
      <c r="A2701" s="5">
        <v>27822.0</v>
      </c>
      <c r="B2701" s="2" t="s">
        <v>1485</v>
      </c>
      <c r="C2701" s="2" t="s">
        <v>373</v>
      </c>
      <c r="D2701" s="4" t="s">
        <v>4446</v>
      </c>
    </row>
    <row r="2702">
      <c r="A2702" s="5">
        <v>27823.0</v>
      </c>
      <c r="B2702" s="2" t="s">
        <v>1485</v>
      </c>
      <c r="C2702" s="2" t="s">
        <v>4447</v>
      </c>
      <c r="D2702" s="4" t="s">
        <v>4448</v>
      </c>
    </row>
    <row r="2703">
      <c r="A2703" s="5">
        <v>27824.0</v>
      </c>
      <c r="B2703" s="2" t="s">
        <v>1485</v>
      </c>
      <c r="C2703" s="2" t="s">
        <v>1671</v>
      </c>
      <c r="D2703" s="4" t="s">
        <v>4449</v>
      </c>
    </row>
    <row r="2704">
      <c r="A2704" s="5">
        <v>27824.0</v>
      </c>
      <c r="B2704" s="2" t="s">
        <v>1485</v>
      </c>
      <c r="C2704" s="2" t="s">
        <v>4450</v>
      </c>
      <c r="D2704" s="4" t="s">
        <v>4451</v>
      </c>
    </row>
    <row r="2705">
      <c r="A2705" s="5">
        <v>27825.0</v>
      </c>
      <c r="B2705" s="2" t="s">
        <v>1485</v>
      </c>
      <c r="C2705" s="2" t="s">
        <v>4452</v>
      </c>
      <c r="D2705" s="4" t="s">
        <v>4453</v>
      </c>
    </row>
    <row r="2706">
      <c r="A2706" s="5">
        <v>27825.0</v>
      </c>
      <c r="B2706" s="2" t="s">
        <v>1485</v>
      </c>
      <c r="C2706" s="2" t="s">
        <v>4454</v>
      </c>
      <c r="D2706" s="4" t="s">
        <v>4455</v>
      </c>
    </row>
    <row r="2707">
      <c r="A2707" s="5">
        <v>27826.0</v>
      </c>
      <c r="B2707" s="2" t="s">
        <v>1485</v>
      </c>
      <c r="C2707" s="2" t="s">
        <v>1671</v>
      </c>
      <c r="D2707" s="4" t="s">
        <v>4456</v>
      </c>
    </row>
    <row r="2708">
      <c r="A2708" s="5">
        <v>27826.0</v>
      </c>
      <c r="B2708" s="2" t="s">
        <v>1485</v>
      </c>
      <c r="C2708" s="2" t="s">
        <v>4457</v>
      </c>
      <c r="D2708" s="4" t="s">
        <v>4458</v>
      </c>
    </row>
    <row r="2709">
      <c r="A2709" s="5">
        <v>27827.0</v>
      </c>
      <c r="B2709" s="2" t="s">
        <v>1485</v>
      </c>
      <c r="C2709" s="2" t="s">
        <v>1671</v>
      </c>
      <c r="D2709" s="4" t="s">
        <v>4459</v>
      </c>
    </row>
    <row r="2710">
      <c r="A2710" s="5">
        <v>27827.0</v>
      </c>
      <c r="B2710" s="2" t="s">
        <v>1485</v>
      </c>
      <c r="C2710" s="2" t="s">
        <v>4460</v>
      </c>
      <c r="D2710" s="4" t="s">
        <v>4461</v>
      </c>
    </row>
    <row r="2711">
      <c r="A2711" s="5">
        <v>27828.0</v>
      </c>
      <c r="B2711" s="2" t="s">
        <v>1485</v>
      </c>
      <c r="C2711" s="2" t="s">
        <v>1671</v>
      </c>
      <c r="D2711" s="4" t="s">
        <v>4462</v>
      </c>
    </row>
    <row r="2712">
      <c r="A2712" s="5">
        <v>27828.0</v>
      </c>
      <c r="B2712" s="2" t="s">
        <v>1485</v>
      </c>
      <c r="C2712" s="2" t="s">
        <v>4463</v>
      </c>
      <c r="D2712" s="4" t="s">
        <v>4464</v>
      </c>
    </row>
    <row r="2713">
      <c r="A2713" s="5">
        <v>27829.0</v>
      </c>
      <c r="B2713" s="2" t="s">
        <v>1485</v>
      </c>
      <c r="C2713" s="2" t="s">
        <v>1671</v>
      </c>
      <c r="D2713" s="4" t="s">
        <v>4465</v>
      </c>
    </row>
    <row r="2714">
      <c r="A2714" s="5">
        <v>27829.0</v>
      </c>
      <c r="B2714" s="2" t="s">
        <v>1485</v>
      </c>
      <c r="C2714" s="2" t="s">
        <v>4466</v>
      </c>
      <c r="D2714" s="4" t="s">
        <v>4467</v>
      </c>
    </row>
    <row r="2715">
      <c r="A2715" s="5">
        <v>27830.0</v>
      </c>
      <c r="B2715" s="2" t="s">
        <v>1485</v>
      </c>
      <c r="C2715" s="2" t="s">
        <v>1671</v>
      </c>
      <c r="D2715" s="4" t="s">
        <v>4468</v>
      </c>
    </row>
    <row r="2716">
      <c r="A2716" s="5">
        <v>27830.0</v>
      </c>
      <c r="B2716" s="2" t="s">
        <v>1485</v>
      </c>
      <c r="C2716" s="2" t="s">
        <v>4469</v>
      </c>
      <c r="D2716" s="4" t="s">
        <v>4470</v>
      </c>
    </row>
    <row r="2717">
      <c r="A2717" s="5">
        <v>27831.0</v>
      </c>
      <c r="B2717" s="2" t="s">
        <v>1485</v>
      </c>
      <c r="C2717" s="2" t="s">
        <v>1671</v>
      </c>
      <c r="D2717" s="4" t="s">
        <v>4471</v>
      </c>
    </row>
    <row r="2718">
      <c r="A2718" s="5">
        <v>27831.0</v>
      </c>
      <c r="B2718" s="2" t="s">
        <v>1485</v>
      </c>
      <c r="C2718" s="2" t="s">
        <v>4472</v>
      </c>
      <c r="D2718" s="4" t="s">
        <v>4473</v>
      </c>
    </row>
    <row r="2719">
      <c r="A2719" s="5">
        <v>27832.0</v>
      </c>
      <c r="B2719" s="2" t="s">
        <v>1485</v>
      </c>
      <c r="C2719" s="2" t="s">
        <v>1671</v>
      </c>
      <c r="D2719" s="4" t="s">
        <v>4474</v>
      </c>
    </row>
    <row r="2720">
      <c r="A2720" s="5">
        <v>27832.0</v>
      </c>
      <c r="B2720" s="2" t="s">
        <v>1485</v>
      </c>
      <c r="C2720" s="2" t="s">
        <v>4475</v>
      </c>
      <c r="D2720" s="4" t="s">
        <v>4476</v>
      </c>
    </row>
    <row r="2721">
      <c r="A2721" s="5">
        <v>27833.0</v>
      </c>
      <c r="B2721" s="2" t="s">
        <v>1485</v>
      </c>
      <c r="C2721" s="2" t="s">
        <v>1671</v>
      </c>
      <c r="D2721" s="4" t="s">
        <v>4477</v>
      </c>
    </row>
    <row r="2722">
      <c r="A2722" s="5">
        <v>27833.0</v>
      </c>
      <c r="B2722" s="2" t="s">
        <v>1485</v>
      </c>
      <c r="C2722" s="2" t="s">
        <v>4478</v>
      </c>
      <c r="D2722" s="4" t="s">
        <v>4479</v>
      </c>
    </row>
    <row r="2723">
      <c r="A2723" s="5">
        <v>27834.0</v>
      </c>
      <c r="B2723" s="2" t="s">
        <v>1485</v>
      </c>
      <c r="C2723" s="2" t="s">
        <v>1671</v>
      </c>
      <c r="D2723" s="4" t="s">
        <v>4480</v>
      </c>
    </row>
    <row r="2724">
      <c r="A2724" s="5">
        <v>27834.0</v>
      </c>
      <c r="B2724" s="2" t="s">
        <v>1485</v>
      </c>
      <c r="C2724" s="2" t="s">
        <v>4481</v>
      </c>
      <c r="D2724" s="4" t="s">
        <v>4482</v>
      </c>
    </row>
    <row r="2725">
      <c r="A2725" s="5">
        <v>27835.0</v>
      </c>
      <c r="B2725" s="2" t="s">
        <v>1485</v>
      </c>
      <c r="C2725" s="2" t="s">
        <v>1671</v>
      </c>
      <c r="D2725" s="4" t="s">
        <v>4483</v>
      </c>
    </row>
    <row r="2726">
      <c r="A2726" s="5">
        <v>27835.0</v>
      </c>
      <c r="B2726" s="2" t="s">
        <v>1485</v>
      </c>
      <c r="C2726" s="2" t="s">
        <v>4484</v>
      </c>
      <c r="D2726" s="4" t="s">
        <v>4485</v>
      </c>
    </row>
    <row r="2727">
      <c r="A2727" s="5">
        <v>27835.0</v>
      </c>
      <c r="B2727" s="2" t="s">
        <v>1485</v>
      </c>
      <c r="C2727" s="2" t="s">
        <v>4486</v>
      </c>
      <c r="D2727" s="4" t="s">
        <v>4487</v>
      </c>
    </row>
    <row r="2728">
      <c r="A2728" s="5">
        <v>27835.0</v>
      </c>
      <c r="B2728" s="2" t="s">
        <v>1485</v>
      </c>
      <c r="C2728" s="2" t="s">
        <v>4488</v>
      </c>
      <c r="D2728" s="4" t="s">
        <v>4489</v>
      </c>
    </row>
    <row r="2729">
      <c r="A2729" s="5">
        <v>27836.0</v>
      </c>
      <c r="B2729" s="2" t="s">
        <v>1485</v>
      </c>
      <c r="C2729" s="2" t="s">
        <v>1671</v>
      </c>
      <c r="D2729" s="4" t="s">
        <v>4490</v>
      </c>
    </row>
    <row r="2730">
      <c r="A2730" s="5">
        <v>27836.0</v>
      </c>
      <c r="B2730" s="2" t="s">
        <v>1485</v>
      </c>
      <c r="C2730" s="2" t="s">
        <v>4491</v>
      </c>
      <c r="D2730" s="4" t="s">
        <v>4492</v>
      </c>
    </row>
    <row r="2731">
      <c r="A2731" s="5">
        <v>27837.0</v>
      </c>
      <c r="B2731" s="2" t="s">
        <v>1485</v>
      </c>
      <c r="C2731" s="2" t="s">
        <v>1671</v>
      </c>
      <c r="D2731" s="4" t="s">
        <v>4493</v>
      </c>
    </row>
    <row r="2732">
      <c r="A2732" s="5">
        <v>27837.0</v>
      </c>
      <c r="B2732" s="2" t="s">
        <v>1485</v>
      </c>
      <c r="C2732" s="2" t="s">
        <v>4494</v>
      </c>
      <c r="D2732" s="4" t="s">
        <v>4495</v>
      </c>
    </row>
    <row r="2733">
      <c r="A2733" s="5">
        <v>27838.0</v>
      </c>
      <c r="B2733" s="2" t="s">
        <v>1485</v>
      </c>
      <c r="C2733" s="2" t="s">
        <v>1671</v>
      </c>
      <c r="D2733" s="4" t="s">
        <v>4496</v>
      </c>
    </row>
    <row r="2734">
      <c r="A2734" s="5">
        <v>27838.0</v>
      </c>
      <c r="B2734" s="2" t="s">
        <v>1485</v>
      </c>
      <c r="C2734" s="2" t="s">
        <v>4497</v>
      </c>
      <c r="D2734" s="4" t="s">
        <v>4498</v>
      </c>
    </row>
    <row r="2735">
      <c r="A2735" s="5">
        <v>27839.0</v>
      </c>
      <c r="B2735" s="2" t="s">
        <v>4499</v>
      </c>
      <c r="C2735" s="2" t="s">
        <v>1483</v>
      </c>
      <c r="D2735" s="4" t="s">
        <v>4500</v>
      </c>
    </row>
    <row r="2736">
      <c r="A2736" s="5">
        <v>27840.0</v>
      </c>
      <c r="B2736" s="2" t="s">
        <v>1485</v>
      </c>
      <c r="C2736" s="2" t="s">
        <v>1671</v>
      </c>
      <c r="D2736" s="4" t="s">
        <v>4501</v>
      </c>
    </row>
    <row r="2737">
      <c r="A2737" s="5">
        <v>27841.0</v>
      </c>
      <c r="B2737" s="2" t="s">
        <v>1485</v>
      </c>
      <c r="C2737" s="2" t="s">
        <v>1443</v>
      </c>
      <c r="D2737" s="4" t="s">
        <v>4502</v>
      </c>
    </row>
    <row r="2738">
      <c r="A2738" s="5">
        <v>27841.0</v>
      </c>
      <c r="B2738" s="2" t="s">
        <v>1485</v>
      </c>
      <c r="C2738" s="2" t="s">
        <v>4503</v>
      </c>
      <c r="D2738" s="4" t="s">
        <v>4504</v>
      </c>
    </row>
    <row r="2739">
      <c r="A2739" s="5">
        <v>27841.0</v>
      </c>
      <c r="B2739" s="2" t="s">
        <v>977</v>
      </c>
      <c r="C2739" s="2" t="s">
        <v>3334</v>
      </c>
      <c r="D2739" s="4" t="s">
        <v>4505</v>
      </c>
    </row>
    <row r="2740">
      <c r="A2740" s="5">
        <v>27842.0</v>
      </c>
      <c r="B2740" s="2" t="s">
        <v>977</v>
      </c>
      <c r="C2740" s="2" t="s">
        <v>1474</v>
      </c>
      <c r="D2740" s="4" t="s">
        <v>4506</v>
      </c>
    </row>
    <row r="2741">
      <c r="A2741" s="5">
        <v>27843.0</v>
      </c>
      <c r="B2741" s="2" t="s">
        <v>977</v>
      </c>
      <c r="C2741" s="2" t="s">
        <v>4507</v>
      </c>
      <c r="D2741" s="4" t="s">
        <v>4508</v>
      </c>
    </row>
    <row r="2742">
      <c r="A2742" s="5">
        <v>27844.0</v>
      </c>
      <c r="B2742" s="2" t="s">
        <v>1392</v>
      </c>
      <c r="C2742" s="2" t="s">
        <v>1671</v>
      </c>
      <c r="D2742" s="4" t="s">
        <v>4509</v>
      </c>
    </row>
    <row r="2743">
      <c r="A2743" s="5">
        <v>27844.0</v>
      </c>
      <c r="B2743" s="2" t="s">
        <v>1392</v>
      </c>
      <c r="C2743" s="2" t="s">
        <v>4510</v>
      </c>
      <c r="D2743" s="4" t="s">
        <v>4511</v>
      </c>
    </row>
    <row r="2744">
      <c r="A2744" s="5">
        <v>27844.0</v>
      </c>
      <c r="B2744" s="2" t="s">
        <v>1392</v>
      </c>
      <c r="C2744" s="2" t="s">
        <v>4512</v>
      </c>
      <c r="D2744" s="4" t="s">
        <v>4513</v>
      </c>
    </row>
    <row r="2745">
      <c r="A2745" s="5">
        <v>27845.0</v>
      </c>
      <c r="B2745" s="2" t="s">
        <v>1392</v>
      </c>
      <c r="C2745" s="2" t="s">
        <v>1671</v>
      </c>
      <c r="D2745" s="4" t="s">
        <v>4514</v>
      </c>
    </row>
    <row r="2746">
      <c r="A2746" s="5">
        <v>27845.0</v>
      </c>
      <c r="B2746" s="2" t="s">
        <v>1392</v>
      </c>
      <c r="C2746" s="2" t="s">
        <v>4515</v>
      </c>
      <c r="D2746" s="4" t="s">
        <v>4516</v>
      </c>
    </row>
    <row r="2747">
      <c r="A2747" s="5">
        <v>27850.0</v>
      </c>
      <c r="B2747" s="9" t="s">
        <v>1417</v>
      </c>
      <c r="C2747" s="2" t="s">
        <v>4517</v>
      </c>
      <c r="D2747" s="4" t="s">
        <v>4518</v>
      </c>
    </row>
    <row r="2748">
      <c r="A2748" s="5">
        <v>27851.0</v>
      </c>
      <c r="B2748" s="9" t="s">
        <v>1417</v>
      </c>
      <c r="C2748" s="2" t="s">
        <v>4519</v>
      </c>
      <c r="D2748" s="4" t="s">
        <v>4520</v>
      </c>
    </row>
    <row r="2749">
      <c r="A2749" s="5">
        <v>27852.0</v>
      </c>
      <c r="B2749" s="9" t="s">
        <v>1417</v>
      </c>
      <c r="C2749" s="2" t="s">
        <v>4521</v>
      </c>
      <c r="D2749" s="4" t="s">
        <v>4522</v>
      </c>
    </row>
    <row r="2750">
      <c r="A2750" s="5">
        <v>27852.0</v>
      </c>
      <c r="B2750" s="9" t="s">
        <v>1417</v>
      </c>
      <c r="C2750" s="2" t="s">
        <v>4523</v>
      </c>
      <c r="D2750" s="4" t="s">
        <v>4524</v>
      </c>
    </row>
    <row r="2751">
      <c r="A2751" s="5">
        <v>27853.0</v>
      </c>
      <c r="B2751" s="9" t="s">
        <v>1417</v>
      </c>
      <c r="C2751" s="2" t="s">
        <v>373</v>
      </c>
      <c r="D2751" s="4" t="s">
        <v>4525</v>
      </c>
    </row>
    <row r="2752">
      <c r="A2752" s="5">
        <v>27853.0</v>
      </c>
      <c r="B2752" s="9" t="s">
        <v>1417</v>
      </c>
      <c r="C2752" s="2" t="s">
        <v>4526</v>
      </c>
      <c r="D2752" s="4" t="s">
        <v>4527</v>
      </c>
    </row>
    <row r="2753">
      <c r="A2753" s="5">
        <v>27854.0</v>
      </c>
      <c r="B2753" s="9" t="s">
        <v>1417</v>
      </c>
      <c r="C2753" s="2" t="s">
        <v>4528</v>
      </c>
      <c r="D2753" s="4" t="s">
        <v>4529</v>
      </c>
    </row>
    <row r="2754">
      <c r="A2754" s="5">
        <v>27854.0</v>
      </c>
      <c r="B2754" s="9" t="s">
        <v>1417</v>
      </c>
      <c r="C2754" s="2" t="s">
        <v>4530</v>
      </c>
      <c r="D2754" s="4" t="s">
        <v>4531</v>
      </c>
    </row>
    <row r="2755">
      <c r="A2755" s="5">
        <v>27854.0</v>
      </c>
      <c r="B2755" s="9" t="s">
        <v>1417</v>
      </c>
      <c r="C2755" s="2" t="s">
        <v>379</v>
      </c>
      <c r="D2755" s="4" t="s">
        <v>4532</v>
      </c>
    </row>
    <row r="2756">
      <c r="A2756" s="5">
        <v>27855.0</v>
      </c>
      <c r="B2756" s="9" t="s">
        <v>1417</v>
      </c>
      <c r="C2756" s="2" t="s">
        <v>1671</v>
      </c>
      <c r="D2756" s="4" t="s">
        <v>4533</v>
      </c>
    </row>
    <row r="2757">
      <c r="A2757" s="5">
        <v>27855.0</v>
      </c>
      <c r="B2757" s="9" t="s">
        <v>1417</v>
      </c>
      <c r="C2757" s="2" t="s">
        <v>4534</v>
      </c>
      <c r="D2757" s="4" t="s">
        <v>4535</v>
      </c>
    </row>
    <row r="2758">
      <c r="A2758" s="5">
        <v>27855.0</v>
      </c>
      <c r="B2758" s="9" t="s">
        <v>1417</v>
      </c>
      <c r="C2758" s="2" t="s">
        <v>379</v>
      </c>
      <c r="D2758" s="4" t="s">
        <v>4536</v>
      </c>
    </row>
    <row r="2759">
      <c r="A2759" s="5">
        <v>27856.0</v>
      </c>
      <c r="B2759" s="9" t="s">
        <v>1417</v>
      </c>
      <c r="C2759" s="2" t="s">
        <v>373</v>
      </c>
      <c r="D2759" s="4" t="s">
        <v>4537</v>
      </c>
    </row>
    <row r="2760">
      <c r="A2760" s="5">
        <v>27856.0</v>
      </c>
      <c r="B2760" s="9" t="s">
        <v>1417</v>
      </c>
      <c r="C2760" s="2" t="s">
        <v>4538</v>
      </c>
      <c r="D2760" s="4" t="s">
        <v>4539</v>
      </c>
    </row>
    <row r="2761">
      <c r="A2761" s="5">
        <v>27856.0</v>
      </c>
      <c r="B2761" s="9" t="s">
        <v>1417</v>
      </c>
      <c r="C2761" s="2" t="s">
        <v>4540</v>
      </c>
      <c r="D2761" s="4" t="s">
        <v>4541</v>
      </c>
    </row>
    <row r="2762">
      <c r="A2762" s="5">
        <v>27856.0</v>
      </c>
      <c r="B2762" s="9" t="s">
        <v>1417</v>
      </c>
      <c r="C2762" s="2" t="s">
        <v>4542</v>
      </c>
      <c r="D2762" s="4" t="s">
        <v>4543</v>
      </c>
    </row>
    <row r="2763">
      <c r="A2763" s="5">
        <v>27856.0</v>
      </c>
      <c r="B2763" s="9" t="s">
        <v>1417</v>
      </c>
      <c r="C2763" s="2" t="s">
        <v>1050</v>
      </c>
      <c r="D2763" s="4" t="s">
        <v>4544</v>
      </c>
    </row>
    <row r="2764">
      <c r="A2764" s="5">
        <v>27857.0</v>
      </c>
      <c r="B2764" s="9" t="s">
        <v>1417</v>
      </c>
      <c r="C2764" s="2" t="s">
        <v>4545</v>
      </c>
      <c r="D2764" s="4" t="s">
        <v>4546</v>
      </c>
    </row>
    <row r="2765">
      <c r="A2765" s="5">
        <v>27857.0</v>
      </c>
      <c r="B2765" s="9" t="s">
        <v>1417</v>
      </c>
      <c r="C2765" s="2" t="s">
        <v>4547</v>
      </c>
      <c r="D2765" s="4" t="s">
        <v>4548</v>
      </c>
    </row>
    <row r="2766">
      <c r="A2766" s="5">
        <v>27857.0</v>
      </c>
      <c r="B2766" s="9" t="s">
        <v>1417</v>
      </c>
      <c r="C2766" s="2" t="s">
        <v>4549</v>
      </c>
      <c r="D2766" s="4" t="s">
        <v>4550</v>
      </c>
    </row>
    <row r="2767">
      <c r="A2767" s="5">
        <v>27858.0</v>
      </c>
      <c r="B2767" s="9" t="s">
        <v>1417</v>
      </c>
      <c r="C2767" s="2" t="s">
        <v>1671</v>
      </c>
      <c r="D2767" s="4" t="s">
        <v>4551</v>
      </c>
    </row>
    <row r="2768">
      <c r="A2768" s="5">
        <v>27858.0</v>
      </c>
      <c r="B2768" s="9" t="s">
        <v>1417</v>
      </c>
      <c r="C2768" s="2" t="s">
        <v>4552</v>
      </c>
      <c r="D2768" s="4" t="s">
        <v>4553</v>
      </c>
    </row>
    <row r="2769">
      <c r="A2769" s="5">
        <v>27858.0</v>
      </c>
      <c r="B2769" s="9" t="s">
        <v>1417</v>
      </c>
      <c r="C2769" s="2" t="s">
        <v>1001</v>
      </c>
      <c r="D2769" s="4" t="s">
        <v>4554</v>
      </c>
    </row>
    <row r="2770">
      <c r="A2770" s="5">
        <v>27858.0</v>
      </c>
      <c r="B2770" s="9" t="s">
        <v>1417</v>
      </c>
      <c r="C2770" s="2" t="s">
        <v>4555</v>
      </c>
      <c r="D2770" s="4" t="s">
        <v>4556</v>
      </c>
    </row>
    <row r="2771">
      <c r="A2771" s="5">
        <v>27859.0</v>
      </c>
      <c r="B2771" s="9" t="s">
        <v>1417</v>
      </c>
      <c r="C2771" s="2" t="s">
        <v>1671</v>
      </c>
      <c r="D2771" s="4" t="s">
        <v>4557</v>
      </c>
    </row>
    <row r="2772">
      <c r="A2772" s="5">
        <v>27859.0</v>
      </c>
      <c r="B2772" s="9" t="s">
        <v>1417</v>
      </c>
      <c r="C2772" s="2" t="s">
        <v>4558</v>
      </c>
      <c r="D2772" s="4" t="s">
        <v>4559</v>
      </c>
    </row>
    <row r="2773">
      <c r="A2773" s="5">
        <v>27859.0</v>
      </c>
      <c r="B2773" s="9" t="s">
        <v>1417</v>
      </c>
      <c r="C2773" s="2" t="s">
        <v>1001</v>
      </c>
      <c r="D2773" s="4" t="s">
        <v>4560</v>
      </c>
    </row>
    <row r="2774">
      <c r="A2774" s="5">
        <v>27860.0</v>
      </c>
      <c r="B2774" s="9" t="s">
        <v>1417</v>
      </c>
      <c r="C2774" s="2" t="s">
        <v>1671</v>
      </c>
      <c r="D2774" s="4" t="s">
        <v>4561</v>
      </c>
    </row>
    <row r="2775">
      <c r="A2775" s="5">
        <v>27860.0</v>
      </c>
      <c r="B2775" s="9" t="s">
        <v>1417</v>
      </c>
      <c r="C2775" s="2" t="s">
        <v>4562</v>
      </c>
      <c r="D2775" s="4" t="s">
        <v>4563</v>
      </c>
    </row>
    <row r="2776">
      <c r="A2776" s="5">
        <v>27862.0</v>
      </c>
      <c r="B2776" s="2" t="s">
        <v>980</v>
      </c>
      <c r="C2776" s="2" t="s">
        <v>1671</v>
      </c>
      <c r="D2776" s="4" t="s">
        <v>4564</v>
      </c>
    </row>
    <row r="2777">
      <c r="A2777" s="5">
        <v>27862.0</v>
      </c>
      <c r="B2777" s="2" t="s">
        <v>980</v>
      </c>
      <c r="C2777" s="2" t="s">
        <v>4565</v>
      </c>
      <c r="D2777" s="4" t="s">
        <v>4566</v>
      </c>
    </row>
    <row r="2778">
      <c r="A2778" s="5">
        <v>27863.0</v>
      </c>
      <c r="B2778" s="2" t="s">
        <v>980</v>
      </c>
      <c r="C2778" s="2" t="s">
        <v>1671</v>
      </c>
      <c r="D2778" s="4" t="s">
        <v>4567</v>
      </c>
    </row>
    <row r="2779">
      <c r="A2779" s="5">
        <v>27863.0</v>
      </c>
      <c r="B2779" s="2" t="s">
        <v>980</v>
      </c>
      <c r="C2779" s="2" t="s">
        <v>4568</v>
      </c>
      <c r="D2779" s="4" t="s">
        <v>4569</v>
      </c>
    </row>
    <row r="2780">
      <c r="A2780" s="5">
        <v>27864.0</v>
      </c>
      <c r="B2780" s="2" t="s">
        <v>980</v>
      </c>
      <c r="C2780" s="2" t="s">
        <v>1671</v>
      </c>
      <c r="D2780" s="4" t="s">
        <v>4570</v>
      </c>
    </row>
    <row r="2781">
      <c r="A2781" s="5">
        <v>27864.0</v>
      </c>
      <c r="B2781" s="2" t="s">
        <v>980</v>
      </c>
      <c r="C2781" s="2" t="s">
        <v>4571</v>
      </c>
      <c r="D2781" s="4" t="s">
        <v>4572</v>
      </c>
    </row>
    <row r="2782">
      <c r="A2782" s="5">
        <v>27864.0</v>
      </c>
      <c r="B2782" s="2" t="s">
        <v>980</v>
      </c>
      <c r="C2782" s="2" t="s">
        <v>379</v>
      </c>
      <c r="D2782" s="4" t="s">
        <v>4573</v>
      </c>
    </row>
    <row r="2783">
      <c r="A2783" s="5">
        <v>27865.0</v>
      </c>
      <c r="B2783" s="2" t="s">
        <v>980</v>
      </c>
      <c r="C2783" s="2" t="s">
        <v>1671</v>
      </c>
      <c r="D2783" s="4" t="s">
        <v>4574</v>
      </c>
    </row>
    <row r="2784">
      <c r="A2784" s="5">
        <v>27865.0</v>
      </c>
      <c r="B2784" s="2" t="s">
        <v>980</v>
      </c>
      <c r="C2784" s="2" t="s">
        <v>4575</v>
      </c>
      <c r="D2784" s="4" t="s">
        <v>4576</v>
      </c>
    </row>
    <row r="2785">
      <c r="A2785" s="5">
        <v>27866.0</v>
      </c>
      <c r="B2785" s="2" t="s">
        <v>980</v>
      </c>
      <c r="C2785" s="2" t="s">
        <v>1671</v>
      </c>
      <c r="D2785" s="4" t="s">
        <v>4577</v>
      </c>
    </row>
    <row r="2786">
      <c r="A2786" s="5">
        <v>27866.0</v>
      </c>
      <c r="B2786" s="2" t="s">
        <v>980</v>
      </c>
      <c r="C2786" s="2" t="s">
        <v>4578</v>
      </c>
      <c r="D2786" s="4" t="s">
        <v>4579</v>
      </c>
    </row>
    <row r="2787">
      <c r="A2787" s="5">
        <v>27867.0</v>
      </c>
      <c r="B2787" s="2" t="s">
        <v>980</v>
      </c>
      <c r="C2787" s="2" t="s">
        <v>1671</v>
      </c>
      <c r="D2787" s="4" t="s">
        <v>4580</v>
      </c>
    </row>
    <row r="2788">
      <c r="A2788" s="5">
        <v>27867.0</v>
      </c>
      <c r="B2788" s="2" t="s">
        <v>980</v>
      </c>
      <c r="C2788" s="2" t="s">
        <v>4581</v>
      </c>
      <c r="D2788" s="4" t="s">
        <v>4582</v>
      </c>
    </row>
    <row r="2789">
      <c r="A2789" s="5">
        <v>27867.0</v>
      </c>
      <c r="B2789" s="2" t="s">
        <v>980</v>
      </c>
      <c r="C2789" s="2" t="s">
        <v>379</v>
      </c>
      <c r="D2789" s="4" t="s">
        <v>4583</v>
      </c>
    </row>
    <row r="2790">
      <c r="A2790" s="5">
        <v>27869.0</v>
      </c>
      <c r="B2790" s="2" t="s">
        <v>1546</v>
      </c>
      <c r="C2790" s="2" t="s">
        <v>3736</v>
      </c>
      <c r="D2790" s="4" t="s">
        <v>4584</v>
      </c>
    </row>
    <row r="2791">
      <c r="A2791" s="5">
        <v>27869.0</v>
      </c>
      <c r="B2791" s="2" t="s">
        <v>1546</v>
      </c>
      <c r="C2791" s="2" t="s">
        <v>1211</v>
      </c>
      <c r="D2791" s="4" t="s">
        <v>4585</v>
      </c>
    </row>
    <row r="2792">
      <c r="A2792" s="5">
        <v>27869.0</v>
      </c>
      <c r="B2792" s="2" t="s">
        <v>1546</v>
      </c>
      <c r="C2792" s="2" t="s">
        <v>3736</v>
      </c>
      <c r="D2792" s="4" t="s">
        <v>4584</v>
      </c>
    </row>
    <row r="2793">
      <c r="A2793" s="5">
        <v>27870.0</v>
      </c>
      <c r="B2793" s="2" t="s">
        <v>1546</v>
      </c>
      <c r="C2793" s="2" t="s">
        <v>4586</v>
      </c>
      <c r="D2793" s="4" t="s">
        <v>4587</v>
      </c>
    </row>
    <row r="2794">
      <c r="A2794" s="5">
        <v>27870.0</v>
      </c>
      <c r="B2794" s="2" t="s">
        <v>1546</v>
      </c>
      <c r="C2794" s="2" t="s">
        <v>4588</v>
      </c>
      <c r="D2794" s="4" t="s">
        <v>4589</v>
      </c>
    </row>
    <row r="2795">
      <c r="A2795" s="5">
        <v>27870.0</v>
      </c>
      <c r="B2795" s="2" t="s">
        <v>1546</v>
      </c>
      <c r="C2795" s="2" t="s">
        <v>139</v>
      </c>
      <c r="D2795" s="4" t="s">
        <v>4590</v>
      </c>
    </row>
    <row r="2796">
      <c r="A2796" s="5">
        <v>27871.0</v>
      </c>
      <c r="B2796" s="2" t="s">
        <v>1546</v>
      </c>
      <c r="C2796" s="2" t="s">
        <v>1671</v>
      </c>
      <c r="D2796" s="4" t="s">
        <v>4591</v>
      </c>
    </row>
    <row r="2797">
      <c r="A2797" s="5">
        <v>27871.0</v>
      </c>
      <c r="B2797" s="2" t="s">
        <v>1546</v>
      </c>
      <c r="C2797" s="2" t="s">
        <v>4592</v>
      </c>
      <c r="D2797" s="4" t="s">
        <v>4593</v>
      </c>
    </row>
    <row r="2798">
      <c r="A2798" s="5">
        <v>27872.0</v>
      </c>
      <c r="B2798" s="2" t="s">
        <v>1546</v>
      </c>
      <c r="C2798" s="2" t="s">
        <v>4594</v>
      </c>
      <c r="D2798" s="4" t="s">
        <v>4595</v>
      </c>
    </row>
    <row r="2799">
      <c r="A2799" s="5">
        <v>27872.0</v>
      </c>
      <c r="B2799" s="2" t="s">
        <v>1546</v>
      </c>
      <c r="C2799" s="2" t="s">
        <v>379</v>
      </c>
      <c r="D2799" s="4" t="s">
        <v>4596</v>
      </c>
    </row>
    <row r="2800">
      <c r="A2800" s="5">
        <v>27872.0</v>
      </c>
      <c r="B2800" s="2" t="s">
        <v>1546</v>
      </c>
      <c r="C2800" s="2" t="s">
        <v>379</v>
      </c>
      <c r="D2800" s="4" t="s">
        <v>4597</v>
      </c>
    </row>
    <row r="2801">
      <c r="A2801" s="5">
        <v>27872.0</v>
      </c>
      <c r="B2801" s="2" t="s">
        <v>1546</v>
      </c>
      <c r="C2801" s="2" t="s">
        <v>4598</v>
      </c>
      <c r="D2801" s="4" t="s">
        <v>4599</v>
      </c>
    </row>
    <row r="2802">
      <c r="A2802" s="5">
        <v>27873.0</v>
      </c>
      <c r="B2802" s="2" t="s">
        <v>1546</v>
      </c>
      <c r="C2802" s="2" t="s">
        <v>1222</v>
      </c>
      <c r="D2802" s="4" t="s">
        <v>4600</v>
      </c>
    </row>
    <row r="2803">
      <c r="A2803" s="5">
        <v>27873.0</v>
      </c>
      <c r="B2803" s="2" t="s">
        <v>1546</v>
      </c>
      <c r="C2803" s="2" t="s">
        <v>4601</v>
      </c>
      <c r="D2803" s="4" t="s">
        <v>4602</v>
      </c>
    </row>
    <row r="2804">
      <c r="A2804" s="5">
        <v>27873.0</v>
      </c>
      <c r="B2804" s="2" t="s">
        <v>1546</v>
      </c>
      <c r="C2804" s="2" t="s">
        <v>4603</v>
      </c>
      <c r="D2804" s="4" t="s">
        <v>4604</v>
      </c>
    </row>
    <row r="2805">
      <c r="A2805" s="5">
        <v>27873.0</v>
      </c>
      <c r="B2805" s="2" t="s">
        <v>1546</v>
      </c>
      <c r="C2805" s="2" t="s">
        <v>4594</v>
      </c>
      <c r="D2805" s="4" t="s">
        <v>4605</v>
      </c>
    </row>
    <row r="2806">
      <c r="A2806" s="5">
        <v>27874.0</v>
      </c>
      <c r="B2806" s="2" t="s">
        <v>1546</v>
      </c>
      <c r="C2806" s="2" t="s">
        <v>1671</v>
      </c>
      <c r="D2806" s="4" t="s">
        <v>4606</v>
      </c>
    </row>
    <row r="2807">
      <c r="A2807" s="5">
        <v>27874.0</v>
      </c>
      <c r="B2807" s="2" t="s">
        <v>1546</v>
      </c>
      <c r="C2807" s="2" t="s">
        <v>4607</v>
      </c>
      <c r="D2807" s="4" t="s">
        <v>4608</v>
      </c>
    </row>
    <row r="2808">
      <c r="A2808" s="5">
        <v>27876.0</v>
      </c>
      <c r="B2808" s="2" t="s">
        <v>1546</v>
      </c>
      <c r="C2808" s="2" t="s">
        <v>1671</v>
      </c>
      <c r="D2808" s="4" t="s">
        <v>4609</v>
      </c>
    </row>
    <row r="2809">
      <c r="A2809" s="5">
        <v>27876.0</v>
      </c>
      <c r="B2809" s="2" t="s">
        <v>1546</v>
      </c>
      <c r="C2809" s="2" t="s">
        <v>2354</v>
      </c>
      <c r="D2809" s="4" t="s">
        <v>4610</v>
      </c>
    </row>
    <row r="2810">
      <c r="A2810" s="5">
        <v>27877.0</v>
      </c>
      <c r="B2810" s="2" t="s">
        <v>4611</v>
      </c>
      <c r="C2810" s="2" t="s">
        <v>866</v>
      </c>
      <c r="D2810" s="4" t="s">
        <v>4612</v>
      </c>
    </row>
    <row r="2811">
      <c r="A2811" s="5">
        <v>27877.0</v>
      </c>
      <c r="B2811" s="2" t="s">
        <v>4611</v>
      </c>
      <c r="C2811" s="2" t="s">
        <v>3063</v>
      </c>
      <c r="D2811" s="4" t="s">
        <v>4613</v>
      </c>
    </row>
    <row r="2812">
      <c r="A2812" s="5">
        <v>27877.0</v>
      </c>
      <c r="B2812" s="2" t="s">
        <v>4611</v>
      </c>
      <c r="C2812" s="2" t="s">
        <v>379</v>
      </c>
      <c r="D2812" s="4" t="s">
        <v>4614</v>
      </c>
    </row>
    <row r="2813">
      <c r="A2813" s="5">
        <v>27877.0</v>
      </c>
      <c r="B2813" s="2" t="s">
        <v>4611</v>
      </c>
      <c r="C2813" s="2" t="s">
        <v>4615</v>
      </c>
      <c r="D2813" s="4" t="s">
        <v>4616</v>
      </c>
    </row>
    <row r="2814">
      <c r="A2814" s="5">
        <v>27880.0</v>
      </c>
      <c r="B2814" s="2" t="s">
        <v>3809</v>
      </c>
      <c r="C2814" s="2" t="s">
        <v>379</v>
      </c>
      <c r="D2814" s="4" t="s">
        <v>4617</v>
      </c>
    </row>
    <row r="2815">
      <c r="A2815" s="7">
        <v>27881.0</v>
      </c>
      <c r="B2815" s="2" t="s">
        <v>3809</v>
      </c>
      <c r="C2815" s="2" t="s">
        <v>379</v>
      </c>
      <c r="D2815" s="4" t="s">
        <v>4618</v>
      </c>
    </row>
    <row r="2816">
      <c r="A2816" s="7">
        <v>27882.0</v>
      </c>
      <c r="B2816" s="2" t="s">
        <v>4619</v>
      </c>
      <c r="C2816" s="2" t="s">
        <v>4620</v>
      </c>
      <c r="D2816" s="4" t="s">
        <v>4621</v>
      </c>
    </row>
    <row r="2817">
      <c r="A2817" s="7">
        <v>27882.0</v>
      </c>
      <c r="B2817" s="2" t="s">
        <v>3809</v>
      </c>
      <c r="C2817" s="2" t="s">
        <v>379</v>
      </c>
      <c r="D2817" s="4" t="s">
        <v>4622</v>
      </c>
    </row>
    <row r="2818">
      <c r="A2818" s="7">
        <v>27883.0</v>
      </c>
      <c r="B2818" s="2" t="s">
        <v>3809</v>
      </c>
      <c r="C2818" s="2" t="s">
        <v>1671</v>
      </c>
      <c r="D2818" s="4" t="s">
        <v>4623</v>
      </c>
    </row>
    <row r="2819">
      <c r="A2819" s="7">
        <v>27883.0</v>
      </c>
      <c r="B2819" s="2" t="s">
        <v>3809</v>
      </c>
      <c r="C2819" s="2" t="s">
        <v>379</v>
      </c>
      <c r="D2819" s="4" t="s">
        <v>4624</v>
      </c>
    </row>
    <row r="2820">
      <c r="A2820" s="7">
        <v>27883.0</v>
      </c>
      <c r="B2820" s="2" t="s">
        <v>1622</v>
      </c>
      <c r="C2820" s="2" t="s">
        <v>1960</v>
      </c>
      <c r="D2820" s="4" t="s">
        <v>4625</v>
      </c>
    </row>
    <row r="2821">
      <c r="A2821" s="7">
        <v>27883.0</v>
      </c>
      <c r="B2821" s="2" t="s">
        <v>1622</v>
      </c>
      <c r="C2821" s="2" t="s">
        <v>4626</v>
      </c>
      <c r="D2821" s="4" t="s">
        <v>4627</v>
      </c>
    </row>
    <row r="2822">
      <c r="A2822" s="7">
        <v>27884.0</v>
      </c>
      <c r="B2822" s="2" t="s">
        <v>1622</v>
      </c>
      <c r="C2822" s="2" t="s">
        <v>379</v>
      </c>
      <c r="D2822" s="4" t="s">
        <v>4628</v>
      </c>
    </row>
    <row r="2823">
      <c r="A2823" s="7">
        <v>27885.0</v>
      </c>
      <c r="B2823" s="2" t="s">
        <v>1622</v>
      </c>
      <c r="C2823" s="2" t="s">
        <v>3795</v>
      </c>
      <c r="D2823" s="4" t="s">
        <v>4629</v>
      </c>
    </row>
    <row r="2824">
      <c r="A2824" s="7">
        <v>27885.0</v>
      </c>
      <c r="B2824" s="2" t="s">
        <v>1622</v>
      </c>
      <c r="C2824" s="2" t="s">
        <v>379</v>
      </c>
      <c r="D2824" s="4" t="s">
        <v>4630</v>
      </c>
    </row>
    <row r="2825">
      <c r="A2825" s="7">
        <v>27886.0</v>
      </c>
      <c r="B2825" s="2" t="s">
        <v>1622</v>
      </c>
      <c r="C2825" s="2" t="s">
        <v>4631</v>
      </c>
      <c r="D2825" s="4" t="s">
        <v>4632</v>
      </c>
    </row>
    <row r="2826">
      <c r="A2826" s="7">
        <v>27886.0</v>
      </c>
      <c r="B2826" s="2" t="s">
        <v>1622</v>
      </c>
      <c r="C2826" s="2" t="s">
        <v>82</v>
      </c>
      <c r="D2826" s="4" t="s">
        <v>4633</v>
      </c>
    </row>
    <row r="2827">
      <c r="A2827" s="7">
        <v>27887.0</v>
      </c>
      <c r="B2827" s="2" t="s">
        <v>1622</v>
      </c>
      <c r="C2827" s="2" t="s">
        <v>899</v>
      </c>
      <c r="D2827" s="4" t="s">
        <v>4634</v>
      </c>
    </row>
    <row r="2828">
      <c r="A2828" s="7">
        <v>27887.0</v>
      </c>
      <c r="B2828" s="2" t="s">
        <v>1622</v>
      </c>
      <c r="C2828" s="2" t="s">
        <v>379</v>
      </c>
      <c r="D2828" s="4" t="s">
        <v>4635</v>
      </c>
    </row>
    <row r="2829">
      <c r="A2829" s="7">
        <v>27888.0</v>
      </c>
      <c r="B2829" s="2" t="s">
        <v>1622</v>
      </c>
      <c r="C2829" s="2" t="s">
        <v>503</v>
      </c>
      <c r="D2829" s="4" t="s">
        <v>4636</v>
      </c>
    </row>
    <row r="2830">
      <c r="A2830" s="7">
        <v>27889.0</v>
      </c>
      <c r="B2830" s="2" t="s">
        <v>1622</v>
      </c>
      <c r="C2830" s="2" t="s">
        <v>1265</v>
      </c>
      <c r="D2830" s="4" t="s">
        <v>4637</v>
      </c>
    </row>
    <row r="2831">
      <c r="A2831" s="7">
        <v>27890.0</v>
      </c>
      <c r="B2831" s="2" t="s">
        <v>1622</v>
      </c>
      <c r="C2831" s="2" t="s">
        <v>3872</v>
      </c>
      <c r="D2831" s="4" t="s">
        <v>4638</v>
      </c>
    </row>
    <row r="2832">
      <c r="A2832" s="7">
        <v>27891.0</v>
      </c>
      <c r="B2832" s="2" t="s">
        <v>1622</v>
      </c>
      <c r="C2832" s="2" t="s">
        <v>3877</v>
      </c>
      <c r="D2832" s="4" t="s">
        <v>4639</v>
      </c>
    </row>
    <row r="2833">
      <c r="A2833" s="7">
        <v>27891.0</v>
      </c>
      <c r="B2833" s="2" t="s">
        <v>1622</v>
      </c>
      <c r="C2833" s="2" t="s">
        <v>82</v>
      </c>
      <c r="D2833" s="4" t="s">
        <v>4640</v>
      </c>
    </row>
    <row r="2834">
      <c r="A2834" s="7">
        <v>27892.0</v>
      </c>
      <c r="B2834" s="2" t="s">
        <v>1622</v>
      </c>
      <c r="C2834" s="2" t="s">
        <v>1671</v>
      </c>
      <c r="D2834" s="4" t="s">
        <v>4641</v>
      </c>
    </row>
    <row r="2835">
      <c r="A2835" s="7">
        <v>27892.0</v>
      </c>
      <c r="B2835" s="2" t="s">
        <v>1622</v>
      </c>
      <c r="C2835" s="2" t="s">
        <v>1271</v>
      </c>
      <c r="D2835" s="4" t="s">
        <v>4642</v>
      </c>
    </row>
    <row r="2836">
      <c r="A2836" s="7">
        <v>27892.0</v>
      </c>
      <c r="B2836" s="2" t="s">
        <v>1622</v>
      </c>
      <c r="C2836" s="2" t="s">
        <v>379</v>
      </c>
      <c r="D2836" s="4" t="s">
        <v>4643</v>
      </c>
    </row>
    <row r="2837">
      <c r="A2837" s="7">
        <v>27893.0</v>
      </c>
      <c r="B2837" s="2" t="s">
        <v>1622</v>
      </c>
      <c r="C2837" s="2" t="s">
        <v>3885</v>
      </c>
      <c r="D2837" s="4" t="s">
        <v>4644</v>
      </c>
    </row>
    <row r="2838">
      <c r="A2838" s="7">
        <v>27893.0</v>
      </c>
      <c r="B2838" s="2" t="s">
        <v>1622</v>
      </c>
      <c r="C2838" s="2" t="s">
        <v>379</v>
      </c>
      <c r="D2838" s="4" t="s">
        <v>4645</v>
      </c>
    </row>
    <row r="2839">
      <c r="A2839" s="7">
        <v>27894.0</v>
      </c>
      <c r="B2839" s="2" t="s">
        <v>1622</v>
      </c>
      <c r="C2839" s="2" t="s">
        <v>1281</v>
      </c>
      <c r="D2839" s="4" t="s">
        <v>4646</v>
      </c>
    </row>
    <row r="2840">
      <c r="A2840" s="7">
        <v>27895.0</v>
      </c>
      <c r="B2840" s="2" t="s">
        <v>1622</v>
      </c>
      <c r="C2840" s="2" t="s">
        <v>1671</v>
      </c>
      <c r="D2840" s="4" t="s">
        <v>4647</v>
      </c>
    </row>
    <row r="2841">
      <c r="A2841" s="7">
        <v>27895.0</v>
      </c>
      <c r="B2841" s="2" t="s">
        <v>1622</v>
      </c>
      <c r="C2841" s="2" t="s">
        <v>901</v>
      </c>
      <c r="D2841" s="4" t="s">
        <v>4648</v>
      </c>
    </row>
    <row r="2842">
      <c r="A2842" s="7">
        <v>27895.0</v>
      </c>
      <c r="B2842" s="2" t="s">
        <v>1622</v>
      </c>
      <c r="C2842" s="2" t="s">
        <v>379</v>
      </c>
      <c r="D2842" s="4" t="s">
        <v>4649</v>
      </c>
    </row>
    <row r="2843">
      <c r="A2843" s="7">
        <v>27896.0</v>
      </c>
      <c r="B2843" s="2" t="s">
        <v>1622</v>
      </c>
      <c r="C2843" s="2" t="s">
        <v>3900</v>
      </c>
      <c r="D2843" s="4" t="s">
        <v>4650</v>
      </c>
    </row>
    <row r="2844">
      <c r="A2844" s="7">
        <v>27897.0</v>
      </c>
      <c r="B2844" s="2" t="s">
        <v>1622</v>
      </c>
      <c r="C2844" s="2" t="s">
        <v>3905</v>
      </c>
      <c r="D2844" s="4" t="s">
        <v>4651</v>
      </c>
    </row>
    <row r="2845">
      <c r="A2845" s="7">
        <v>27897.0</v>
      </c>
      <c r="B2845" s="2" t="s">
        <v>1622</v>
      </c>
      <c r="C2845" s="2" t="s">
        <v>4652</v>
      </c>
      <c r="D2845" s="4" t="s">
        <v>4653</v>
      </c>
    </row>
    <row r="2846">
      <c r="A2846" s="7">
        <v>27898.0</v>
      </c>
      <c r="B2846" s="2" t="s">
        <v>1622</v>
      </c>
      <c r="C2846" s="2" t="s">
        <v>3908</v>
      </c>
      <c r="D2846" s="4" t="s">
        <v>4654</v>
      </c>
    </row>
    <row r="2847">
      <c r="A2847" s="7">
        <v>27898.0</v>
      </c>
      <c r="B2847" s="2" t="s">
        <v>1622</v>
      </c>
      <c r="C2847" s="2" t="s">
        <v>379</v>
      </c>
      <c r="D2847" s="4" t="s">
        <v>4655</v>
      </c>
    </row>
    <row r="2848">
      <c r="A2848" s="7">
        <v>27898.0</v>
      </c>
      <c r="B2848" s="2" t="s">
        <v>1622</v>
      </c>
      <c r="C2848" s="2" t="s">
        <v>4656</v>
      </c>
      <c r="D2848" s="4" t="s">
        <v>4657</v>
      </c>
    </row>
    <row r="2849">
      <c r="A2849" s="7">
        <v>27899.0</v>
      </c>
      <c r="B2849" s="2" t="s">
        <v>1622</v>
      </c>
      <c r="C2849" s="2" t="s">
        <v>903</v>
      </c>
      <c r="D2849" s="4" t="s">
        <v>4658</v>
      </c>
    </row>
    <row r="2850">
      <c r="A2850" s="7">
        <v>27899.0</v>
      </c>
      <c r="B2850" s="2" t="s">
        <v>1622</v>
      </c>
      <c r="C2850" s="2" t="s">
        <v>379</v>
      </c>
      <c r="D2850" s="4" t="s">
        <v>4659</v>
      </c>
    </row>
    <row r="2851">
      <c r="A2851" s="7">
        <v>27900.0</v>
      </c>
      <c r="B2851" s="2" t="s">
        <v>1622</v>
      </c>
      <c r="C2851" s="2" t="s">
        <v>3915</v>
      </c>
      <c r="D2851" s="4" t="s">
        <v>4660</v>
      </c>
    </row>
    <row r="2852">
      <c r="A2852" s="7">
        <v>27900.0</v>
      </c>
      <c r="B2852" s="2" t="s">
        <v>1622</v>
      </c>
      <c r="C2852" s="2" t="s">
        <v>379</v>
      </c>
      <c r="D2852" s="4" t="s">
        <v>4661</v>
      </c>
    </row>
    <row r="2853">
      <c r="A2853" s="7">
        <v>27900.0</v>
      </c>
      <c r="B2853" s="2" t="s">
        <v>1622</v>
      </c>
      <c r="C2853" s="2" t="s">
        <v>379</v>
      </c>
      <c r="D2853" s="4" t="s">
        <v>4662</v>
      </c>
    </row>
    <row r="2854">
      <c r="A2854" s="7">
        <v>27901.0</v>
      </c>
      <c r="B2854" s="2" t="s">
        <v>1622</v>
      </c>
      <c r="C2854" s="2" t="s">
        <v>905</v>
      </c>
      <c r="D2854" s="4" t="s">
        <v>4663</v>
      </c>
    </row>
    <row r="2855">
      <c r="A2855" s="7">
        <v>27901.0</v>
      </c>
      <c r="B2855" s="2" t="s">
        <v>1622</v>
      </c>
      <c r="C2855" s="2" t="s">
        <v>4664</v>
      </c>
      <c r="D2855" s="4" t="s">
        <v>4665</v>
      </c>
    </row>
    <row r="2856">
      <c r="A2856" s="7">
        <v>27902.0</v>
      </c>
      <c r="B2856" s="2" t="s">
        <v>1622</v>
      </c>
      <c r="C2856" s="2" t="s">
        <v>3926</v>
      </c>
      <c r="D2856" s="4" t="s">
        <v>4666</v>
      </c>
    </row>
    <row r="2857">
      <c r="A2857" s="7">
        <v>27903.0</v>
      </c>
      <c r="B2857" s="2" t="s">
        <v>1622</v>
      </c>
      <c r="C2857" s="2" t="s">
        <v>3929</v>
      </c>
      <c r="D2857" s="4" t="s">
        <v>4667</v>
      </c>
    </row>
    <row r="2858">
      <c r="A2858" s="7">
        <v>27904.0</v>
      </c>
      <c r="B2858" s="2" t="s">
        <v>1622</v>
      </c>
      <c r="C2858" s="2" t="s">
        <v>3932</v>
      </c>
      <c r="D2858" s="4" t="s">
        <v>4668</v>
      </c>
    </row>
    <row r="2859">
      <c r="A2859" s="7">
        <v>27904.0</v>
      </c>
      <c r="B2859" s="2" t="s">
        <v>1622</v>
      </c>
      <c r="C2859" s="2" t="s">
        <v>379</v>
      </c>
      <c r="D2859" s="4" t="s">
        <v>4669</v>
      </c>
    </row>
    <row r="2860">
      <c r="A2860" s="7">
        <v>27905.0</v>
      </c>
      <c r="B2860" s="2" t="s">
        <v>1622</v>
      </c>
      <c r="C2860" s="2" t="s">
        <v>1671</v>
      </c>
      <c r="D2860" s="4" t="s">
        <v>4670</v>
      </c>
    </row>
    <row r="2861">
      <c r="A2861" s="7">
        <v>27905.0</v>
      </c>
      <c r="B2861" s="2" t="s">
        <v>1622</v>
      </c>
      <c r="C2861" s="2" t="s">
        <v>3936</v>
      </c>
      <c r="D2861" s="4" t="s">
        <v>4671</v>
      </c>
    </row>
    <row r="2862">
      <c r="A2862" s="7">
        <v>27906.0</v>
      </c>
      <c r="B2862" s="2" t="s">
        <v>1622</v>
      </c>
      <c r="C2862" s="2" t="s">
        <v>1671</v>
      </c>
      <c r="D2862" s="4" t="s">
        <v>4672</v>
      </c>
    </row>
    <row r="2863">
      <c r="A2863" s="7">
        <v>27906.0</v>
      </c>
      <c r="B2863" s="2" t="s">
        <v>1622</v>
      </c>
      <c r="C2863" s="2" t="s">
        <v>3947</v>
      </c>
      <c r="D2863" s="4" t="s">
        <v>4673</v>
      </c>
    </row>
    <row r="2864">
      <c r="A2864" s="7">
        <v>27907.0</v>
      </c>
      <c r="B2864" s="2" t="s">
        <v>1622</v>
      </c>
      <c r="C2864" s="2" t="s">
        <v>1671</v>
      </c>
      <c r="D2864" s="4" t="s">
        <v>4674</v>
      </c>
    </row>
    <row r="2865">
      <c r="A2865" s="7">
        <v>27907.0</v>
      </c>
      <c r="B2865" s="2" t="s">
        <v>1622</v>
      </c>
      <c r="C2865" s="2" t="s">
        <v>1003</v>
      </c>
      <c r="D2865" s="4" t="s">
        <v>4675</v>
      </c>
    </row>
    <row r="2866">
      <c r="A2866" s="7">
        <v>27908.0</v>
      </c>
      <c r="B2866" s="2" t="s">
        <v>1622</v>
      </c>
      <c r="C2866" s="2" t="s">
        <v>1671</v>
      </c>
      <c r="D2866" s="4" t="s">
        <v>4676</v>
      </c>
    </row>
    <row r="2867">
      <c r="A2867" s="7">
        <v>27908.0</v>
      </c>
      <c r="B2867" s="2" t="s">
        <v>1622</v>
      </c>
      <c r="C2867" s="2" t="s">
        <v>3959</v>
      </c>
      <c r="D2867" s="4" t="s">
        <v>4677</v>
      </c>
    </row>
    <row r="2868">
      <c r="A2868" s="7">
        <v>27909.0</v>
      </c>
      <c r="B2868" s="2" t="s">
        <v>1622</v>
      </c>
      <c r="C2868" s="2" t="s">
        <v>1671</v>
      </c>
      <c r="D2868" s="4" t="s">
        <v>4678</v>
      </c>
    </row>
    <row r="2869">
      <c r="A2869" s="7">
        <v>27909.0</v>
      </c>
      <c r="B2869" s="2" t="s">
        <v>1622</v>
      </c>
      <c r="C2869" s="2" t="s">
        <v>3968</v>
      </c>
      <c r="D2869" s="4" t="s">
        <v>4679</v>
      </c>
    </row>
    <row r="2870">
      <c r="A2870" s="7">
        <v>27910.0</v>
      </c>
      <c r="B2870" s="2" t="s">
        <v>1622</v>
      </c>
      <c r="C2870" s="2" t="s">
        <v>1671</v>
      </c>
      <c r="D2870" s="4" t="s">
        <v>4680</v>
      </c>
    </row>
    <row r="2871">
      <c r="A2871" s="7">
        <v>27910.0</v>
      </c>
      <c r="B2871" s="2" t="s">
        <v>1622</v>
      </c>
      <c r="C2871" s="2" t="s">
        <v>3972</v>
      </c>
      <c r="D2871" s="4" t="s">
        <v>4681</v>
      </c>
    </row>
    <row r="2872">
      <c r="A2872" s="7">
        <v>27910.0</v>
      </c>
      <c r="B2872" s="2" t="s">
        <v>1622</v>
      </c>
      <c r="C2872" s="2" t="s">
        <v>379</v>
      </c>
      <c r="D2872" s="4" t="s">
        <v>4682</v>
      </c>
    </row>
    <row r="2873">
      <c r="A2873" s="7">
        <v>27911.0</v>
      </c>
      <c r="B2873" s="2" t="s">
        <v>1622</v>
      </c>
      <c r="C2873" s="2" t="s">
        <v>373</v>
      </c>
      <c r="D2873" s="4" t="s">
        <v>4683</v>
      </c>
    </row>
    <row r="2874">
      <c r="A2874" s="7">
        <v>27911.0</v>
      </c>
      <c r="B2874" s="2" t="s">
        <v>1622</v>
      </c>
      <c r="C2874" s="2" t="s">
        <v>3976</v>
      </c>
      <c r="D2874" s="4" t="s">
        <v>4684</v>
      </c>
    </row>
    <row r="2875">
      <c r="A2875" s="7">
        <v>27911.0</v>
      </c>
      <c r="B2875" s="2" t="s">
        <v>1622</v>
      </c>
      <c r="C2875" s="2" t="s">
        <v>4685</v>
      </c>
      <c r="D2875" s="4" t="s">
        <v>4686</v>
      </c>
    </row>
    <row r="2876">
      <c r="A2876" s="5">
        <v>27912.0</v>
      </c>
      <c r="B2876" s="2" t="s">
        <v>1622</v>
      </c>
      <c r="C2876" s="2" t="s">
        <v>3979</v>
      </c>
      <c r="D2876" s="4" t="s">
        <v>4687</v>
      </c>
    </row>
    <row r="2877">
      <c r="A2877" s="5">
        <v>27913.0</v>
      </c>
      <c r="B2877" s="2" t="s">
        <v>345</v>
      </c>
      <c r="C2877" s="2" t="s">
        <v>4688</v>
      </c>
      <c r="D2877" s="4" t="s">
        <v>4689</v>
      </c>
    </row>
    <row r="2878">
      <c r="A2878" s="5">
        <v>27914.0</v>
      </c>
      <c r="B2878" s="2" t="s">
        <v>345</v>
      </c>
      <c r="C2878" s="2" t="s">
        <v>2476</v>
      </c>
      <c r="D2878" s="4" t="s">
        <v>4690</v>
      </c>
    </row>
    <row r="2879">
      <c r="A2879" s="5">
        <v>27914.0</v>
      </c>
      <c r="B2879" s="2" t="s">
        <v>345</v>
      </c>
      <c r="C2879" s="2" t="s">
        <v>1671</v>
      </c>
      <c r="D2879" s="4" t="s">
        <v>4691</v>
      </c>
    </row>
    <row r="2880">
      <c r="A2880" s="5">
        <v>27914.0</v>
      </c>
      <c r="B2880" s="2" t="s">
        <v>345</v>
      </c>
      <c r="C2880" s="2" t="s">
        <v>3982</v>
      </c>
      <c r="D2880" s="4" t="s">
        <v>4692</v>
      </c>
    </row>
    <row r="2881">
      <c r="A2881" s="5">
        <v>27915.0</v>
      </c>
      <c r="B2881" s="2" t="s">
        <v>345</v>
      </c>
      <c r="C2881" s="2" t="s">
        <v>2476</v>
      </c>
      <c r="D2881" s="4" t="s">
        <v>4693</v>
      </c>
    </row>
    <row r="2882">
      <c r="A2882" s="5">
        <v>27915.0</v>
      </c>
      <c r="B2882" s="2" t="s">
        <v>345</v>
      </c>
      <c r="C2882" s="2" t="s">
        <v>1671</v>
      </c>
      <c r="D2882" s="4" t="s">
        <v>4694</v>
      </c>
    </row>
    <row r="2883">
      <c r="A2883" s="5">
        <v>27915.0</v>
      </c>
      <c r="B2883" s="2" t="s">
        <v>345</v>
      </c>
      <c r="C2883" s="2" t="s">
        <v>1017</v>
      </c>
      <c r="D2883" s="4" t="s">
        <v>4695</v>
      </c>
    </row>
    <row r="2884">
      <c r="A2884" s="5">
        <v>27916.0</v>
      </c>
      <c r="B2884" s="2" t="s">
        <v>345</v>
      </c>
      <c r="C2884" s="2" t="s">
        <v>1671</v>
      </c>
      <c r="D2884" s="4" t="s">
        <v>4696</v>
      </c>
    </row>
    <row r="2885">
      <c r="A2885" s="5">
        <v>27916.0</v>
      </c>
      <c r="B2885" s="2" t="s">
        <v>345</v>
      </c>
      <c r="C2885" s="2" t="s">
        <v>3985</v>
      </c>
      <c r="D2885" s="4" t="s">
        <v>4697</v>
      </c>
    </row>
    <row r="2886">
      <c r="A2886" s="5">
        <v>27917.0</v>
      </c>
      <c r="B2886" s="2" t="s">
        <v>345</v>
      </c>
      <c r="C2886" s="2" t="s">
        <v>1671</v>
      </c>
      <c r="D2886" s="4" t="s">
        <v>4698</v>
      </c>
    </row>
    <row r="2887">
      <c r="A2887" s="5">
        <v>27917.0</v>
      </c>
      <c r="B2887" s="2" t="s">
        <v>345</v>
      </c>
      <c r="C2887" s="2" t="s">
        <v>1025</v>
      </c>
      <c r="D2887" s="4" t="s">
        <v>4699</v>
      </c>
    </row>
    <row r="2888">
      <c r="A2888" s="5">
        <v>27918.0</v>
      </c>
      <c r="B2888" s="2" t="s">
        <v>345</v>
      </c>
      <c r="C2888" s="2" t="s">
        <v>1671</v>
      </c>
      <c r="D2888" s="4" t="s">
        <v>4700</v>
      </c>
    </row>
    <row r="2889">
      <c r="A2889" s="5">
        <v>27918.0</v>
      </c>
      <c r="B2889" s="2" t="s">
        <v>345</v>
      </c>
      <c r="C2889" s="2" t="s">
        <v>3993</v>
      </c>
      <c r="D2889" s="4" t="s">
        <v>4701</v>
      </c>
    </row>
    <row r="2890">
      <c r="A2890" s="5">
        <v>27919.0</v>
      </c>
      <c r="B2890" s="2" t="s">
        <v>345</v>
      </c>
      <c r="C2890" s="2" t="s">
        <v>1671</v>
      </c>
      <c r="D2890" s="4" t="s">
        <v>4702</v>
      </c>
    </row>
    <row r="2891">
      <c r="A2891" s="5">
        <v>27919.0</v>
      </c>
      <c r="B2891" s="2" t="s">
        <v>345</v>
      </c>
      <c r="C2891" s="2" t="s">
        <v>3995</v>
      </c>
      <c r="D2891" s="4" t="s">
        <v>4703</v>
      </c>
    </row>
    <row r="2892">
      <c r="A2892" s="5">
        <v>27919.0</v>
      </c>
      <c r="B2892" s="2" t="s">
        <v>345</v>
      </c>
      <c r="C2892" s="2" t="s">
        <v>1705</v>
      </c>
      <c r="D2892" s="4" t="s">
        <v>4704</v>
      </c>
    </row>
    <row r="2893">
      <c r="A2893" s="5">
        <v>27919.0</v>
      </c>
      <c r="B2893" s="2" t="s">
        <v>345</v>
      </c>
      <c r="C2893" s="2" t="s">
        <v>379</v>
      </c>
      <c r="D2893" s="4" t="s">
        <v>4705</v>
      </c>
    </row>
    <row r="2894">
      <c r="A2894" s="5">
        <v>27920.0</v>
      </c>
      <c r="B2894" s="2" t="s">
        <v>345</v>
      </c>
      <c r="C2894" s="2" t="s">
        <v>1671</v>
      </c>
      <c r="D2894" s="4" t="s">
        <v>4706</v>
      </c>
    </row>
    <row r="2895">
      <c r="A2895" s="5">
        <v>27920.0</v>
      </c>
      <c r="B2895" s="2" t="s">
        <v>345</v>
      </c>
      <c r="C2895" s="2" t="s">
        <v>3998</v>
      </c>
      <c r="D2895" s="4" t="s">
        <v>4707</v>
      </c>
    </row>
    <row r="2896">
      <c r="A2896" s="5">
        <v>27920.0</v>
      </c>
      <c r="B2896" s="2" t="s">
        <v>345</v>
      </c>
      <c r="C2896" s="2" t="s">
        <v>379</v>
      </c>
      <c r="D2896" s="4" t="s">
        <v>4708</v>
      </c>
    </row>
    <row r="2897">
      <c r="A2897" s="5">
        <v>27920.0</v>
      </c>
      <c r="B2897" s="2" t="s">
        <v>345</v>
      </c>
      <c r="C2897" s="2" t="s">
        <v>1705</v>
      </c>
      <c r="D2897" s="4" t="s">
        <v>4709</v>
      </c>
    </row>
    <row r="2898">
      <c r="A2898" s="5">
        <v>27920.0</v>
      </c>
      <c r="B2898" s="2" t="s">
        <v>345</v>
      </c>
      <c r="C2898" s="2" t="s">
        <v>379</v>
      </c>
      <c r="D2898" s="4" t="s">
        <v>4710</v>
      </c>
    </row>
    <row r="2899">
      <c r="A2899" s="5">
        <v>27921.0</v>
      </c>
      <c r="B2899" s="2" t="s">
        <v>345</v>
      </c>
      <c r="C2899" s="2" t="s">
        <v>1671</v>
      </c>
      <c r="D2899" s="4" t="s">
        <v>4711</v>
      </c>
    </row>
    <row r="2900">
      <c r="A2900" s="5">
        <v>27921.0</v>
      </c>
      <c r="B2900" s="2" t="s">
        <v>345</v>
      </c>
      <c r="C2900" s="2" t="s">
        <v>1033</v>
      </c>
      <c r="D2900" s="4" t="s">
        <v>4712</v>
      </c>
    </row>
    <row r="2901">
      <c r="A2901" s="5">
        <v>27921.0</v>
      </c>
      <c r="B2901" s="2" t="s">
        <v>345</v>
      </c>
      <c r="C2901" s="2" t="s">
        <v>4713</v>
      </c>
      <c r="D2901" s="4" t="s">
        <v>4714</v>
      </c>
    </row>
    <row r="2902">
      <c r="A2902" s="5">
        <v>27921.0</v>
      </c>
      <c r="B2902" s="2" t="s">
        <v>345</v>
      </c>
      <c r="C2902" s="2" t="s">
        <v>1705</v>
      </c>
      <c r="D2902" s="4" t="s">
        <v>4715</v>
      </c>
    </row>
    <row r="2903">
      <c r="A2903" s="5">
        <v>27921.0</v>
      </c>
      <c r="B2903" s="2" t="s">
        <v>345</v>
      </c>
      <c r="C2903" s="2" t="s">
        <v>4716</v>
      </c>
      <c r="D2903" s="4" t="s">
        <v>4717</v>
      </c>
    </row>
    <row r="2904">
      <c r="A2904" s="5">
        <v>27921.0</v>
      </c>
      <c r="B2904" s="2" t="s">
        <v>345</v>
      </c>
      <c r="C2904" s="2" t="s">
        <v>379</v>
      </c>
      <c r="D2904" s="4" t="s">
        <v>4718</v>
      </c>
    </row>
    <row r="2905">
      <c r="A2905" s="5">
        <v>27921.0</v>
      </c>
      <c r="B2905" s="2" t="s">
        <v>345</v>
      </c>
      <c r="C2905" s="2" t="s">
        <v>379</v>
      </c>
      <c r="D2905" s="4" t="s">
        <v>4719</v>
      </c>
    </row>
    <row r="2906">
      <c r="A2906" s="5">
        <v>27922.0</v>
      </c>
      <c r="B2906" s="2" t="s">
        <v>345</v>
      </c>
      <c r="C2906" s="2" t="s">
        <v>1671</v>
      </c>
      <c r="D2906" s="4" t="s">
        <v>4720</v>
      </c>
    </row>
    <row r="2907">
      <c r="A2907" s="5">
        <v>27922.0</v>
      </c>
      <c r="B2907" s="2" t="s">
        <v>345</v>
      </c>
      <c r="C2907" s="2" t="s">
        <v>4003</v>
      </c>
      <c r="D2907" s="4" t="s">
        <v>4721</v>
      </c>
    </row>
    <row r="2908">
      <c r="A2908" s="5">
        <v>27922.0</v>
      </c>
      <c r="B2908" s="2" t="s">
        <v>1246</v>
      </c>
      <c r="C2908" s="2" t="s">
        <v>1960</v>
      </c>
      <c r="D2908" s="4" t="s">
        <v>4722</v>
      </c>
    </row>
    <row r="2909">
      <c r="A2909" s="5">
        <v>27923.0</v>
      </c>
      <c r="B2909" s="2" t="s">
        <v>1246</v>
      </c>
      <c r="C2909" s="2" t="s">
        <v>4008</v>
      </c>
      <c r="D2909" s="4" t="s">
        <v>4723</v>
      </c>
    </row>
    <row r="2910">
      <c r="A2910" s="5">
        <v>27923.0</v>
      </c>
      <c r="B2910" s="2" t="s">
        <v>1246</v>
      </c>
      <c r="C2910" s="2" t="s">
        <v>4724</v>
      </c>
      <c r="D2910" s="4" t="s">
        <v>4725</v>
      </c>
    </row>
    <row r="2911">
      <c r="A2911" s="5">
        <v>27924.0</v>
      </c>
      <c r="B2911" s="2" t="s">
        <v>1246</v>
      </c>
      <c r="C2911" s="2" t="s">
        <v>1671</v>
      </c>
      <c r="D2911" s="4" t="s">
        <v>4726</v>
      </c>
    </row>
    <row r="2912">
      <c r="A2912" s="5">
        <v>27924.0</v>
      </c>
      <c r="B2912" s="2" t="s">
        <v>1246</v>
      </c>
      <c r="C2912" s="2" t="s">
        <v>4014</v>
      </c>
      <c r="D2912" s="4" t="s">
        <v>4727</v>
      </c>
    </row>
    <row r="2913">
      <c r="A2913" s="5">
        <v>27924.0</v>
      </c>
      <c r="B2913" s="2" t="s">
        <v>1246</v>
      </c>
      <c r="C2913" s="2" t="s">
        <v>4728</v>
      </c>
      <c r="D2913" s="4" t="s">
        <v>4729</v>
      </c>
    </row>
    <row r="2914">
      <c r="A2914" s="5">
        <v>27925.0</v>
      </c>
      <c r="B2914" s="2" t="s">
        <v>1246</v>
      </c>
      <c r="C2914" s="2" t="s">
        <v>1671</v>
      </c>
      <c r="D2914" s="4" t="s">
        <v>4730</v>
      </c>
    </row>
    <row r="2915">
      <c r="A2915" s="5">
        <v>27925.0</v>
      </c>
      <c r="B2915" s="2" t="s">
        <v>1246</v>
      </c>
      <c r="C2915" s="2" t="s">
        <v>4017</v>
      </c>
      <c r="D2915" s="4" t="s">
        <v>4731</v>
      </c>
    </row>
    <row r="2916">
      <c r="A2916" s="5">
        <v>27925.0</v>
      </c>
      <c r="B2916" s="2" t="s">
        <v>1246</v>
      </c>
      <c r="C2916" s="2" t="s">
        <v>4732</v>
      </c>
      <c r="D2916" s="4" t="s">
        <v>4733</v>
      </c>
    </row>
    <row r="2917">
      <c r="A2917" s="5">
        <v>27925.0</v>
      </c>
      <c r="B2917" s="2" t="s">
        <v>1246</v>
      </c>
      <c r="C2917" s="2" t="s">
        <v>1705</v>
      </c>
      <c r="D2917" s="4" t="s">
        <v>4734</v>
      </c>
    </row>
    <row r="2918">
      <c r="A2918" s="5">
        <v>27926.0</v>
      </c>
      <c r="B2918" s="2" t="s">
        <v>1246</v>
      </c>
      <c r="C2918" s="2" t="s">
        <v>1671</v>
      </c>
      <c r="D2918" s="4" t="s">
        <v>4735</v>
      </c>
    </row>
    <row r="2919">
      <c r="A2919" s="5">
        <v>27926.0</v>
      </c>
      <c r="B2919" s="2" t="s">
        <v>1246</v>
      </c>
      <c r="C2919" s="2" t="s">
        <v>4025</v>
      </c>
      <c r="D2919" s="4" t="s">
        <v>4736</v>
      </c>
    </row>
    <row r="2920">
      <c r="A2920" s="5">
        <v>27926.0</v>
      </c>
      <c r="B2920" s="2" t="s">
        <v>1246</v>
      </c>
      <c r="C2920" s="2" t="s">
        <v>623</v>
      </c>
      <c r="D2920" s="4" t="s">
        <v>4737</v>
      </c>
    </row>
    <row r="2921">
      <c r="A2921" s="5">
        <v>27926.0</v>
      </c>
      <c r="B2921" s="2" t="s">
        <v>1246</v>
      </c>
      <c r="C2921" s="2" t="s">
        <v>4738</v>
      </c>
      <c r="D2921" s="4" t="s">
        <v>4739</v>
      </c>
    </row>
    <row r="2922">
      <c r="A2922" s="5">
        <v>27926.0</v>
      </c>
      <c r="B2922" s="2" t="s">
        <v>1246</v>
      </c>
      <c r="C2922" s="2" t="s">
        <v>379</v>
      </c>
      <c r="D2922" s="4" t="s">
        <v>4740</v>
      </c>
    </row>
    <row r="2923">
      <c r="A2923" s="5">
        <v>27926.0</v>
      </c>
      <c r="B2923" s="2" t="s">
        <v>1246</v>
      </c>
      <c r="C2923" s="2" t="s">
        <v>4741</v>
      </c>
      <c r="D2923" s="4" t="s">
        <v>4742</v>
      </c>
    </row>
    <row r="2924">
      <c r="A2924" s="5">
        <v>27926.0</v>
      </c>
      <c r="B2924" s="2" t="s">
        <v>1246</v>
      </c>
      <c r="C2924" s="2" t="s">
        <v>4743</v>
      </c>
      <c r="D2924" s="4" t="s">
        <v>4744</v>
      </c>
    </row>
    <row r="2925">
      <c r="A2925" s="5">
        <v>27927.0</v>
      </c>
      <c r="B2925" s="2" t="s">
        <v>1246</v>
      </c>
      <c r="C2925" s="2" t="s">
        <v>4030</v>
      </c>
      <c r="D2925" s="4" t="s">
        <v>4745</v>
      </c>
    </row>
    <row r="2926">
      <c r="A2926" s="5">
        <v>27927.0</v>
      </c>
      <c r="B2926" s="2" t="s">
        <v>1246</v>
      </c>
      <c r="C2926" s="2" t="s">
        <v>379</v>
      </c>
      <c r="D2926" s="4" t="s">
        <v>4746</v>
      </c>
    </row>
    <row r="2927">
      <c r="A2927" s="5">
        <v>27928.0</v>
      </c>
      <c r="B2927" s="2" t="s">
        <v>4041</v>
      </c>
      <c r="C2927" s="2" t="s">
        <v>312</v>
      </c>
      <c r="D2927" s="4" t="s">
        <v>4747</v>
      </c>
    </row>
    <row r="2928">
      <c r="A2928" s="5">
        <v>27928.0</v>
      </c>
      <c r="B2928" s="2" t="s">
        <v>4041</v>
      </c>
      <c r="C2928" s="2" t="s">
        <v>379</v>
      </c>
      <c r="D2928" s="4" t="s">
        <v>4748</v>
      </c>
    </row>
    <row r="2929">
      <c r="A2929" s="5">
        <v>27928.0</v>
      </c>
      <c r="B2929" s="2" t="s">
        <v>4041</v>
      </c>
      <c r="C2929" s="2" t="s">
        <v>379</v>
      </c>
      <c r="D2929" s="4" t="s">
        <v>4749</v>
      </c>
    </row>
    <row r="2930">
      <c r="A2930" s="5">
        <v>27929.0</v>
      </c>
      <c r="B2930" s="2" t="s">
        <v>4041</v>
      </c>
      <c r="C2930" s="2" t="s">
        <v>1671</v>
      </c>
      <c r="D2930" s="4" t="s">
        <v>4750</v>
      </c>
    </row>
    <row r="2931">
      <c r="A2931" s="5">
        <v>27929.0</v>
      </c>
      <c r="B2931" s="2" t="s">
        <v>4041</v>
      </c>
      <c r="C2931" s="2" t="s">
        <v>4286</v>
      </c>
      <c r="D2931" s="4" t="s">
        <v>4751</v>
      </c>
    </row>
    <row r="2932">
      <c r="A2932" s="5">
        <v>27929.0</v>
      </c>
      <c r="B2932" s="2" t="s">
        <v>4041</v>
      </c>
      <c r="C2932" s="2" t="s">
        <v>4752</v>
      </c>
      <c r="D2932" s="4" t="s">
        <v>4753</v>
      </c>
    </row>
    <row r="2933">
      <c r="A2933" s="5">
        <v>27929.0</v>
      </c>
      <c r="B2933" s="2" t="s">
        <v>4041</v>
      </c>
      <c r="C2933" s="2" t="s">
        <v>360</v>
      </c>
      <c r="D2933" s="4" t="s">
        <v>4754</v>
      </c>
    </row>
    <row r="2934">
      <c r="A2934" s="5">
        <v>27929.0</v>
      </c>
      <c r="B2934" s="2" t="s">
        <v>4041</v>
      </c>
      <c r="C2934" s="2" t="s">
        <v>4755</v>
      </c>
      <c r="D2934" s="4" t="s">
        <v>4756</v>
      </c>
    </row>
    <row r="2935">
      <c r="A2935" s="5">
        <v>27929.0</v>
      </c>
      <c r="B2935" s="2" t="s">
        <v>4041</v>
      </c>
      <c r="C2935" s="2" t="s">
        <v>379</v>
      </c>
      <c r="D2935" s="4" t="s">
        <v>4757</v>
      </c>
    </row>
    <row r="2936">
      <c r="A2936" s="5">
        <v>27930.0</v>
      </c>
      <c r="B2936" s="2" t="s">
        <v>4041</v>
      </c>
      <c r="C2936" s="2" t="s">
        <v>1671</v>
      </c>
      <c r="D2936" s="4" t="s">
        <v>4758</v>
      </c>
    </row>
    <row r="2937">
      <c r="A2937" s="5">
        <v>27930.0</v>
      </c>
      <c r="B2937" s="2" t="s">
        <v>4041</v>
      </c>
      <c r="C2937" s="2" t="s">
        <v>414</v>
      </c>
      <c r="D2937" s="4" t="s">
        <v>4759</v>
      </c>
    </row>
    <row r="2938">
      <c r="A2938" s="5">
        <v>27930.0</v>
      </c>
      <c r="B2938" s="2" t="s">
        <v>4041</v>
      </c>
      <c r="C2938" s="2" t="s">
        <v>4760</v>
      </c>
      <c r="D2938" s="4" t="s">
        <v>4761</v>
      </c>
    </row>
    <row r="2939">
      <c r="A2939" s="5">
        <v>27931.0</v>
      </c>
      <c r="B2939" s="2" t="s">
        <v>4041</v>
      </c>
      <c r="C2939" s="2" t="s">
        <v>1671</v>
      </c>
      <c r="D2939" s="4" t="s">
        <v>4762</v>
      </c>
    </row>
    <row r="2940">
      <c r="A2940" s="5">
        <v>27931.0</v>
      </c>
      <c r="B2940" s="2" t="s">
        <v>4041</v>
      </c>
      <c r="C2940" s="2" t="s">
        <v>4290</v>
      </c>
      <c r="D2940" s="4" t="s">
        <v>4763</v>
      </c>
    </row>
    <row r="2941">
      <c r="A2941" s="5">
        <v>27931.0</v>
      </c>
      <c r="B2941" s="2" t="s">
        <v>4041</v>
      </c>
      <c r="C2941" s="2" t="s">
        <v>4592</v>
      </c>
      <c r="D2941" s="4" t="s">
        <v>4764</v>
      </c>
    </row>
    <row r="2942">
      <c r="A2942" s="5">
        <v>27932.0</v>
      </c>
      <c r="B2942" s="2" t="s">
        <v>4041</v>
      </c>
      <c r="C2942" s="2" t="s">
        <v>1671</v>
      </c>
      <c r="D2942" s="4" t="s">
        <v>4765</v>
      </c>
    </row>
    <row r="2943">
      <c r="A2943" s="5">
        <v>27932.0</v>
      </c>
      <c r="B2943" s="2" t="s">
        <v>4041</v>
      </c>
      <c r="C2943" s="2" t="s">
        <v>4294</v>
      </c>
      <c r="D2943" s="4" t="s">
        <v>4766</v>
      </c>
    </row>
    <row r="2944">
      <c r="A2944" s="5">
        <v>27932.0</v>
      </c>
      <c r="B2944" s="2" t="s">
        <v>4767</v>
      </c>
      <c r="C2944" s="2" t="s">
        <v>4768</v>
      </c>
      <c r="D2944" s="4" t="s">
        <v>4769</v>
      </c>
    </row>
    <row r="2945">
      <c r="A2945" s="5">
        <v>27932.0</v>
      </c>
      <c r="B2945" s="2" t="s">
        <v>803</v>
      </c>
      <c r="C2945" s="2" t="s">
        <v>2580</v>
      </c>
      <c r="D2945" s="4" t="s">
        <v>4770</v>
      </c>
    </row>
    <row r="2946">
      <c r="A2946" s="5">
        <v>27933.0</v>
      </c>
      <c r="B2946" s="2" t="s">
        <v>803</v>
      </c>
      <c r="C2946" s="2" t="s">
        <v>1671</v>
      </c>
      <c r="D2946" s="4" t="s">
        <v>4771</v>
      </c>
    </row>
    <row r="2947">
      <c r="A2947" s="5">
        <v>27933.0</v>
      </c>
      <c r="B2947" s="2" t="s">
        <v>803</v>
      </c>
      <c r="C2947" s="2" t="s">
        <v>4296</v>
      </c>
      <c r="D2947" s="4" t="s">
        <v>4772</v>
      </c>
    </row>
    <row r="2948">
      <c r="A2948" s="5">
        <v>27933.0</v>
      </c>
      <c r="B2948" s="2" t="s">
        <v>803</v>
      </c>
      <c r="C2948" s="2" t="s">
        <v>4773</v>
      </c>
      <c r="D2948" s="4" t="s">
        <v>4774</v>
      </c>
    </row>
    <row r="2949">
      <c r="A2949" s="5">
        <v>27933.0</v>
      </c>
      <c r="B2949" s="2" t="s">
        <v>803</v>
      </c>
      <c r="C2949" s="2" t="s">
        <v>1705</v>
      </c>
      <c r="D2949" s="4" t="s">
        <v>4775</v>
      </c>
    </row>
    <row r="2950">
      <c r="A2950" s="5">
        <v>27934.0</v>
      </c>
      <c r="B2950" s="2" t="s">
        <v>803</v>
      </c>
      <c r="C2950" s="2" t="s">
        <v>1705</v>
      </c>
      <c r="D2950" s="4" t="s">
        <v>4776</v>
      </c>
    </row>
    <row r="2951">
      <c r="A2951" s="5">
        <v>27935.0</v>
      </c>
      <c r="B2951" s="2" t="s">
        <v>803</v>
      </c>
      <c r="C2951" s="2" t="s">
        <v>4302</v>
      </c>
      <c r="D2951" s="4" t="s">
        <v>4777</v>
      </c>
    </row>
    <row r="2952">
      <c r="A2952" s="5">
        <v>27935.0</v>
      </c>
      <c r="B2952" s="2" t="s">
        <v>803</v>
      </c>
      <c r="C2952" s="2" t="s">
        <v>379</v>
      </c>
      <c r="D2952" s="4" t="s">
        <v>4778</v>
      </c>
    </row>
    <row r="2953">
      <c r="A2953" s="5">
        <v>27935.0</v>
      </c>
      <c r="B2953" s="2" t="s">
        <v>803</v>
      </c>
      <c r="C2953" s="2" t="s">
        <v>4779</v>
      </c>
      <c r="D2953" s="4" t="s">
        <v>4780</v>
      </c>
    </row>
    <row r="2954">
      <c r="A2954" s="5">
        <v>27936.0</v>
      </c>
      <c r="B2954" s="2" t="s">
        <v>803</v>
      </c>
      <c r="C2954" s="2" t="s">
        <v>4781</v>
      </c>
      <c r="D2954" s="4" t="s">
        <v>4782</v>
      </c>
    </row>
    <row r="2955">
      <c r="A2955" s="5">
        <v>27936.0</v>
      </c>
      <c r="B2955" s="2" t="s">
        <v>803</v>
      </c>
      <c r="C2955" s="2" t="s">
        <v>4305</v>
      </c>
      <c r="D2955" s="4" t="s">
        <v>4783</v>
      </c>
    </row>
    <row r="2956">
      <c r="A2956" s="5">
        <v>27936.0</v>
      </c>
      <c r="B2956" s="2" t="s">
        <v>803</v>
      </c>
      <c r="C2956" s="2" t="s">
        <v>4784</v>
      </c>
      <c r="D2956" s="4" t="s">
        <v>4785</v>
      </c>
    </row>
    <row r="2957">
      <c r="A2957" s="5">
        <v>27937.0</v>
      </c>
      <c r="B2957" s="2" t="s">
        <v>803</v>
      </c>
      <c r="C2957" s="2" t="s">
        <v>4308</v>
      </c>
      <c r="D2957" s="4" t="s">
        <v>4786</v>
      </c>
    </row>
    <row r="2958">
      <c r="A2958" s="5">
        <v>27937.0</v>
      </c>
      <c r="B2958" s="2" t="s">
        <v>803</v>
      </c>
      <c r="C2958" s="2" t="s">
        <v>4787</v>
      </c>
      <c r="D2958" s="4" t="s">
        <v>4788</v>
      </c>
    </row>
    <row r="2959">
      <c r="A2959" s="5">
        <v>27937.0</v>
      </c>
      <c r="B2959" s="2" t="s">
        <v>803</v>
      </c>
      <c r="C2959" s="2" t="s">
        <v>379</v>
      </c>
      <c r="D2959" s="4" t="s">
        <v>4789</v>
      </c>
    </row>
    <row r="2960">
      <c r="A2960" s="5">
        <v>27937.0</v>
      </c>
      <c r="B2960" s="2" t="s">
        <v>803</v>
      </c>
      <c r="C2960" s="2" t="s">
        <v>379</v>
      </c>
      <c r="D2960" s="4" t="s">
        <v>4790</v>
      </c>
    </row>
    <row r="2961">
      <c r="A2961" s="5">
        <v>27937.0</v>
      </c>
      <c r="B2961" s="2" t="s">
        <v>803</v>
      </c>
      <c r="C2961" s="2" t="s">
        <v>4791</v>
      </c>
      <c r="D2961" s="4" t="s">
        <v>4792</v>
      </c>
    </row>
    <row r="2962">
      <c r="A2962" s="5">
        <v>27938.0</v>
      </c>
      <c r="B2962" s="2" t="s">
        <v>803</v>
      </c>
      <c r="C2962" s="2" t="s">
        <v>1671</v>
      </c>
      <c r="D2962" s="4" t="s">
        <v>4793</v>
      </c>
    </row>
    <row r="2963">
      <c r="A2963" s="5">
        <v>27938.0</v>
      </c>
      <c r="B2963" s="2" t="s">
        <v>803</v>
      </c>
      <c r="C2963" s="2" t="s">
        <v>1705</v>
      </c>
      <c r="D2963" s="4" t="s">
        <v>4794</v>
      </c>
    </row>
    <row r="2964">
      <c r="A2964" s="5">
        <v>27938.0</v>
      </c>
      <c r="B2964" s="2" t="s">
        <v>803</v>
      </c>
      <c r="C2964" s="2" t="s">
        <v>4795</v>
      </c>
      <c r="D2964" s="4" t="s">
        <v>4796</v>
      </c>
    </row>
    <row r="2965">
      <c r="A2965" s="5">
        <v>27939.0</v>
      </c>
      <c r="B2965" s="2" t="s">
        <v>803</v>
      </c>
      <c r="C2965" s="2" t="s">
        <v>4797</v>
      </c>
      <c r="D2965" s="4" t="s">
        <v>4798</v>
      </c>
    </row>
    <row r="2966">
      <c r="A2966" s="5">
        <v>27939.0</v>
      </c>
      <c r="B2966" s="2" t="s">
        <v>803</v>
      </c>
      <c r="C2966" s="2" t="s">
        <v>379</v>
      </c>
      <c r="D2966" s="4" t="s">
        <v>4799</v>
      </c>
    </row>
    <row r="2967">
      <c r="A2967" s="5">
        <v>27939.0</v>
      </c>
      <c r="B2967" s="2" t="s">
        <v>803</v>
      </c>
      <c r="C2967" s="2" t="s">
        <v>4800</v>
      </c>
      <c r="D2967" s="4" t="s">
        <v>4801</v>
      </c>
    </row>
    <row r="2968">
      <c r="A2968" s="5">
        <v>27939.0</v>
      </c>
      <c r="B2968" s="2" t="s">
        <v>803</v>
      </c>
      <c r="C2968" s="2" t="s">
        <v>4802</v>
      </c>
      <c r="D2968" s="4" t="s">
        <v>4803</v>
      </c>
    </row>
    <row r="2969">
      <c r="A2969" s="5">
        <v>27940.0</v>
      </c>
      <c r="B2969" s="2" t="s">
        <v>803</v>
      </c>
      <c r="C2969" s="2" t="s">
        <v>4804</v>
      </c>
      <c r="D2969" s="4" t="s">
        <v>4805</v>
      </c>
    </row>
    <row r="2970">
      <c r="A2970" s="5">
        <v>27940.0</v>
      </c>
      <c r="B2970" s="2" t="s">
        <v>803</v>
      </c>
      <c r="C2970" s="2" t="s">
        <v>379</v>
      </c>
      <c r="D2970" s="4" t="s">
        <v>4806</v>
      </c>
    </row>
    <row r="2971">
      <c r="A2971" s="5">
        <v>27940.0</v>
      </c>
      <c r="B2971" s="2" t="s">
        <v>803</v>
      </c>
      <c r="C2971" s="2" t="s">
        <v>4807</v>
      </c>
      <c r="D2971" s="4" t="s">
        <v>4808</v>
      </c>
    </row>
    <row r="2972">
      <c r="A2972" s="5">
        <v>27941.0</v>
      </c>
      <c r="B2972" s="2" t="s">
        <v>803</v>
      </c>
      <c r="C2972" s="2" t="s">
        <v>4809</v>
      </c>
      <c r="D2972" s="4" t="s">
        <v>4810</v>
      </c>
    </row>
    <row r="2973">
      <c r="A2973" s="5">
        <v>27941.0</v>
      </c>
      <c r="B2973" s="2" t="s">
        <v>4811</v>
      </c>
      <c r="C2973" s="2" t="s">
        <v>4812</v>
      </c>
      <c r="D2973" s="4" t="s">
        <v>4813</v>
      </c>
    </row>
    <row r="2974">
      <c r="A2974" s="5">
        <v>27941.0</v>
      </c>
      <c r="B2974" s="2" t="s">
        <v>803</v>
      </c>
      <c r="C2974" s="2" t="s">
        <v>4814</v>
      </c>
      <c r="D2974" s="4" t="s">
        <v>4815</v>
      </c>
    </row>
    <row r="2975">
      <c r="A2975" s="5">
        <v>27942.0</v>
      </c>
      <c r="B2975" s="2" t="s">
        <v>803</v>
      </c>
      <c r="C2975" s="2" t="s">
        <v>4816</v>
      </c>
      <c r="D2975" s="4" t="s">
        <v>4817</v>
      </c>
    </row>
    <row r="2976">
      <c r="A2976" s="5">
        <v>27942.0</v>
      </c>
      <c r="B2976" s="2" t="s">
        <v>803</v>
      </c>
      <c r="C2976" s="2" t="s">
        <v>379</v>
      </c>
      <c r="D2976" s="4" t="s">
        <v>4818</v>
      </c>
    </row>
    <row r="2977">
      <c r="A2977" s="5">
        <v>27942.0</v>
      </c>
      <c r="B2977" s="2" t="s">
        <v>803</v>
      </c>
      <c r="C2977" s="2" t="s">
        <v>4819</v>
      </c>
      <c r="D2977" s="4" t="s">
        <v>4820</v>
      </c>
    </row>
    <row r="2978">
      <c r="A2978" s="5">
        <v>27943.0</v>
      </c>
      <c r="B2978" s="2" t="s">
        <v>803</v>
      </c>
      <c r="C2978" s="2" t="s">
        <v>4821</v>
      </c>
      <c r="D2978" s="4" t="s">
        <v>4822</v>
      </c>
    </row>
    <row r="2979">
      <c r="A2979" s="5">
        <v>27943.0</v>
      </c>
      <c r="B2979" s="2" t="s">
        <v>803</v>
      </c>
      <c r="C2979" s="2" t="s">
        <v>379</v>
      </c>
      <c r="D2979" s="4" t="s">
        <v>4823</v>
      </c>
    </row>
    <row r="2980">
      <c r="A2980" s="5">
        <v>27943.0</v>
      </c>
      <c r="B2980" s="2" t="s">
        <v>4824</v>
      </c>
      <c r="C2980" s="2" t="s">
        <v>4825</v>
      </c>
      <c r="D2980" s="4" t="s">
        <v>4826</v>
      </c>
    </row>
    <row r="2981">
      <c r="A2981" s="5">
        <v>27944.0</v>
      </c>
      <c r="B2981" s="2" t="s">
        <v>4824</v>
      </c>
      <c r="C2981" s="2" t="s">
        <v>373</v>
      </c>
      <c r="D2981" s="4" t="s">
        <v>4827</v>
      </c>
    </row>
    <row r="2982">
      <c r="A2982" s="5">
        <v>27944.0</v>
      </c>
      <c r="B2982" s="2" t="s">
        <v>4828</v>
      </c>
      <c r="C2982" s="2" t="s">
        <v>4829</v>
      </c>
      <c r="D2982" s="4" t="s">
        <v>4830</v>
      </c>
    </row>
    <row r="2983">
      <c r="A2983" s="5">
        <v>27944.0</v>
      </c>
      <c r="B2983" s="2" t="s">
        <v>4824</v>
      </c>
      <c r="C2983" s="2" t="s">
        <v>379</v>
      </c>
      <c r="D2983" s="4" t="s">
        <v>4831</v>
      </c>
    </row>
    <row r="2984">
      <c r="A2984" s="5">
        <v>27944.0</v>
      </c>
      <c r="B2984" s="2" t="s">
        <v>4824</v>
      </c>
      <c r="C2984" s="2" t="s">
        <v>4832</v>
      </c>
      <c r="D2984" s="4" t="s">
        <v>4833</v>
      </c>
    </row>
    <row r="2985">
      <c r="A2985" s="5">
        <v>27945.0</v>
      </c>
      <c r="B2985" s="2" t="s">
        <v>4824</v>
      </c>
      <c r="C2985" s="2" t="s">
        <v>1671</v>
      </c>
      <c r="D2985" s="4" t="s">
        <v>4834</v>
      </c>
    </row>
    <row r="2986">
      <c r="A2986" s="5">
        <v>27945.0</v>
      </c>
      <c r="B2986" s="2" t="s">
        <v>4824</v>
      </c>
      <c r="C2986" s="2" t="s">
        <v>4835</v>
      </c>
      <c r="D2986" s="4" t="s">
        <v>4836</v>
      </c>
    </row>
    <row r="2987">
      <c r="A2987" s="5">
        <v>27945.0</v>
      </c>
      <c r="B2987" s="2" t="s">
        <v>4824</v>
      </c>
      <c r="C2987" s="2" t="s">
        <v>4832</v>
      </c>
      <c r="D2987" s="4" t="s">
        <v>4837</v>
      </c>
    </row>
    <row r="2988">
      <c r="A2988" s="5">
        <v>27945.0</v>
      </c>
      <c r="B2988" s="2" t="s">
        <v>4824</v>
      </c>
      <c r="C2988" s="2" t="s">
        <v>379</v>
      </c>
      <c r="D2988" s="4" t="s">
        <v>4838</v>
      </c>
    </row>
    <row r="2989">
      <c r="A2989" s="5">
        <v>27946.0</v>
      </c>
      <c r="B2989" s="2" t="s">
        <v>4824</v>
      </c>
      <c r="C2989" s="2" t="s">
        <v>1671</v>
      </c>
      <c r="D2989" s="4" t="s">
        <v>4839</v>
      </c>
    </row>
    <row r="2990">
      <c r="A2990" s="5">
        <v>27946.0</v>
      </c>
      <c r="B2990" s="2" t="s">
        <v>4824</v>
      </c>
      <c r="C2990" s="2" t="s">
        <v>4840</v>
      </c>
      <c r="D2990" s="4" t="s">
        <v>4841</v>
      </c>
    </row>
    <row r="2991">
      <c r="A2991" s="5">
        <v>27946.0</v>
      </c>
      <c r="B2991" s="2" t="s">
        <v>4824</v>
      </c>
      <c r="C2991" s="2" t="s">
        <v>4842</v>
      </c>
      <c r="D2991" s="4" t="s">
        <v>4843</v>
      </c>
    </row>
    <row r="2992">
      <c r="A2992" s="5">
        <v>27946.0</v>
      </c>
      <c r="B2992" s="2" t="s">
        <v>4824</v>
      </c>
      <c r="C2992" s="2" t="s">
        <v>4844</v>
      </c>
      <c r="D2992" s="4" t="s">
        <v>4845</v>
      </c>
    </row>
    <row r="2993">
      <c r="A2993" s="5">
        <v>27946.0</v>
      </c>
      <c r="B2993" s="2" t="s">
        <v>4824</v>
      </c>
      <c r="C2993" s="2" t="s">
        <v>379</v>
      </c>
      <c r="D2993" s="4" t="s">
        <v>4846</v>
      </c>
    </row>
    <row r="2994">
      <c r="A2994" s="5">
        <v>27946.0</v>
      </c>
      <c r="B2994" s="2" t="s">
        <v>4824</v>
      </c>
      <c r="C2994" s="2" t="s">
        <v>379</v>
      </c>
      <c r="D2994" s="4" t="s">
        <v>4847</v>
      </c>
    </row>
    <row r="2995">
      <c r="A2995" s="5">
        <v>27947.0</v>
      </c>
      <c r="B2995" s="2" t="s">
        <v>4824</v>
      </c>
      <c r="C2995" s="2" t="s">
        <v>4848</v>
      </c>
      <c r="D2995" s="4" t="s">
        <v>4849</v>
      </c>
    </row>
    <row r="2996">
      <c r="A2996" s="5">
        <v>27947.0</v>
      </c>
      <c r="B2996" s="2" t="s">
        <v>4824</v>
      </c>
      <c r="C2996" s="2" t="s">
        <v>4850</v>
      </c>
      <c r="D2996" s="4" t="s">
        <v>4851</v>
      </c>
    </row>
    <row r="2997">
      <c r="A2997" s="5">
        <v>27947.0</v>
      </c>
      <c r="B2997" s="2" t="s">
        <v>4824</v>
      </c>
      <c r="C2997" s="2" t="s">
        <v>379</v>
      </c>
      <c r="D2997" s="4" t="s">
        <v>4852</v>
      </c>
    </row>
    <row r="2998">
      <c r="A2998" s="5">
        <v>27947.0</v>
      </c>
      <c r="B2998" s="2" t="s">
        <v>4824</v>
      </c>
      <c r="C2998" s="2" t="s">
        <v>4853</v>
      </c>
      <c r="D2998" s="4" t="s">
        <v>4854</v>
      </c>
    </row>
    <row r="2999">
      <c r="A2999" s="5">
        <v>27947.0</v>
      </c>
      <c r="B2999" s="2" t="s">
        <v>4824</v>
      </c>
      <c r="C2999" s="2" t="s">
        <v>379</v>
      </c>
      <c r="D2999" s="4" t="s">
        <v>4855</v>
      </c>
    </row>
    <row r="3000">
      <c r="A3000" s="5">
        <v>27947.0</v>
      </c>
      <c r="B3000" s="2" t="s">
        <v>4828</v>
      </c>
      <c r="C3000" s="2" t="s">
        <v>379</v>
      </c>
      <c r="D3000" s="4" t="s">
        <v>4856</v>
      </c>
    </row>
    <row r="3001">
      <c r="A3001" s="5">
        <v>27947.0</v>
      </c>
      <c r="B3001" s="2" t="s">
        <v>4824</v>
      </c>
      <c r="C3001" s="2" t="s">
        <v>4857</v>
      </c>
      <c r="D3001" s="4" t="s">
        <v>4858</v>
      </c>
    </row>
    <row r="3002">
      <c r="A3002" s="5">
        <v>27948.0</v>
      </c>
      <c r="B3002" s="2" t="s">
        <v>4824</v>
      </c>
      <c r="C3002" s="2" t="s">
        <v>4848</v>
      </c>
      <c r="D3002" s="4" t="s">
        <v>4859</v>
      </c>
    </row>
    <row r="3003">
      <c r="A3003" s="5">
        <v>27948.0</v>
      </c>
      <c r="B3003" s="2" t="s">
        <v>4860</v>
      </c>
      <c r="C3003" s="2" t="s">
        <v>379</v>
      </c>
      <c r="D3003" s="4" t="s">
        <v>4861</v>
      </c>
    </row>
    <row r="3004">
      <c r="A3004" s="5">
        <v>27948.0</v>
      </c>
      <c r="B3004" s="2" t="s">
        <v>4860</v>
      </c>
      <c r="C3004" s="2" t="s">
        <v>379</v>
      </c>
      <c r="D3004" s="4" t="s">
        <v>4862</v>
      </c>
    </row>
    <row r="3005">
      <c r="A3005" s="5">
        <v>27948.0</v>
      </c>
      <c r="B3005" s="2" t="s">
        <v>4860</v>
      </c>
      <c r="C3005" s="2" t="s">
        <v>4863</v>
      </c>
      <c r="D3005" s="4" t="s">
        <v>4864</v>
      </c>
    </row>
    <row r="3006">
      <c r="A3006" s="5">
        <v>27949.0</v>
      </c>
      <c r="B3006" s="2" t="s">
        <v>4824</v>
      </c>
      <c r="C3006" s="2" t="s">
        <v>4848</v>
      </c>
      <c r="D3006" s="4" t="s">
        <v>4865</v>
      </c>
    </row>
    <row r="3007">
      <c r="A3007" s="5">
        <v>27949.0</v>
      </c>
      <c r="B3007" s="2" t="s">
        <v>4824</v>
      </c>
      <c r="C3007" s="2" t="s">
        <v>4866</v>
      </c>
      <c r="D3007" s="4" t="s">
        <v>4867</v>
      </c>
    </row>
    <row r="3008">
      <c r="A3008" s="5">
        <v>27949.0</v>
      </c>
      <c r="B3008" s="2" t="s">
        <v>4824</v>
      </c>
      <c r="C3008" s="2" t="s">
        <v>4868</v>
      </c>
      <c r="D3008" s="4" t="s">
        <v>4869</v>
      </c>
    </row>
    <row r="3009">
      <c r="A3009" s="5">
        <v>27949.0</v>
      </c>
      <c r="B3009" s="2" t="s">
        <v>4824</v>
      </c>
      <c r="C3009" s="2" t="s">
        <v>3243</v>
      </c>
      <c r="D3009" s="4" t="s">
        <v>4870</v>
      </c>
    </row>
    <row r="3010">
      <c r="A3010" s="5">
        <v>27949.0</v>
      </c>
      <c r="B3010" s="2" t="s">
        <v>4824</v>
      </c>
      <c r="C3010" s="2" t="s">
        <v>4871</v>
      </c>
      <c r="D3010" s="4" t="s">
        <v>4872</v>
      </c>
    </row>
    <row r="3011">
      <c r="A3011" s="5">
        <v>27950.0</v>
      </c>
      <c r="B3011" s="2" t="s">
        <v>4824</v>
      </c>
      <c r="C3011" s="2" t="s">
        <v>1671</v>
      </c>
      <c r="D3011" s="4" t="s">
        <v>4873</v>
      </c>
    </row>
    <row r="3012">
      <c r="A3012" s="5">
        <v>27950.0</v>
      </c>
      <c r="B3012" s="2" t="s">
        <v>4</v>
      </c>
      <c r="C3012" s="2" t="s">
        <v>4874</v>
      </c>
      <c r="D3012" s="4" t="s">
        <v>4875</v>
      </c>
    </row>
    <row r="3013">
      <c r="A3013" s="5">
        <v>27950.0</v>
      </c>
      <c r="B3013" s="2" t="s">
        <v>4</v>
      </c>
      <c r="C3013" s="2" t="s">
        <v>866</v>
      </c>
      <c r="D3013" s="4" t="s">
        <v>4876</v>
      </c>
    </row>
    <row r="3014">
      <c r="A3014" s="5">
        <v>27950.0</v>
      </c>
      <c r="B3014" s="2" t="s">
        <v>4</v>
      </c>
      <c r="C3014" s="2" t="s">
        <v>379</v>
      </c>
      <c r="D3014" s="4" t="s">
        <v>4877</v>
      </c>
    </row>
    <row r="3015">
      <c r="A3015" s="5">
        <v>27951.0</v>
      </c>
      <c r="B3015" s="2" t="s">
        <v>4</v>
      </c>
      <c r="C3015" s="2" t="s">
        <v>1671</v>
      </c>
      <c r="D3015" s="4" t="s">
        <v>4878</v>
      </c>
    </row>
    <row r="3016">
      <c r="A3016" s="5">
        <v>27951.0</v>
      </c>
      <c r="B3016" s="2" t="s">
        <v>4</v>
      </c>
      <c r="C3016" s="2" t="s">
        <v>4879</v>
      </c>
      <c r="D3016" s="4" t="s">
        <v>4880</v>
      </c>
    </row>
    <row r="3017">
      <c r="A3017" s="5">
        <v>27951.0</v>
      </c>
      <c r="B3017" s="2" t="s">
        <v>4</v>
      </c>
      <c r="C3017" s="2" t="s">
        <v>379</v>
      </c>
      <c r="D3017" s="4" t="s">
        <v>4881</v>
      </c>
    </row>
    <row r="3018">
      <c r="A3018" s="5">
        <v>27952.0</v>
      </c>
      <c r="B3018" s="2" t="s">
        <v>4</v>
      </c>
      <c r="C3018" s="2" t="s">
        <v>1671</v>
      </c>
      <c r="D3018" s="4" t="s">
        <v>4882</v>
      </c>
    </row>
    <row r="3019">
      <c r="A3019" s="5">
        <v>27952.0</v>
      </c>
      <c r="B3019" s="2" t="s">
        <v>4</v>
      </c>
      <c r="C3019" s="2" t="s">
        <v>4883</v>
      </c>
      <c r="D3019" s="4" t="s">
        <v>4884</v>
      </c>
    </row>
    <row r="3020">
      <c r="A3020" s="5">
        <v>27952.0</v>
      </c>
      <c r="B3020" s="2" t="s">
        <v>4</v>
      </c>
      <c r="C3020" s="2" t="s">
        <v>4848</v>
      </c>
      <c r="D3020" s="4" t="s">
        <v>4885</v>
      </c>
    </row>
    <row r="3021">
      <c r="A3021" s="5">
        <v>27953.0</v>
      </c>
      <c r="B3021" s="2" t="s">
        <v>4</v>
      </c>
      <c r="C3021" s="2" t="s">
        <v>4886</v>
      </c>
      <c r="D3021" s="4" t="s">
        <v>4887</v>
      </c>
    </row>
    <row r="3022">
      <c r="A3022" s="5">
        <v>27953.0</v>
      </c>
      <c r="B3022" s="2" t="s">
        <v>4</v>
      </c>
      <c r="C3022" s="2" t="s">
        <v>1671</v>
      </c>
      <c r="D3022" s="4" t="s">
        <v>4888</v>
      </c>
    </row>
    <row r="3023">
      <c r="A3023" s="5">
        <v>27953.0</v>
      </c>
      <c r="B3023" s="2" t="s">
        <v>4</v>
      </c>
      <c r="C3023" s="2" t="s">
        <v>4889</v>
      </c>
      <c r="D3023" s="4" t="s">
        <v>4890</v>
      </c>
    </row>
    <row r="3024">
      <c r="A3024" s="5">
        <v>27954.0</v>
      </c>
      <c r="B3024" s="2" t="s">
        <v>4</v>
      </c>
      <c r="C3024" s="2" t="s">
        <v>1671</v>
      </c>
      <c r="D3024" s="4" t="s">
        <v>4891</v>
      </c>
    </row>
    <row r="3025">
      <c r="A3025" s="5">
        <v>27954.0</v>
      </c>
      <c r="B3025" s="2" t="s">
        <v>4</v>
      </c>
      <c r="C3025" s="2" t="s">
        <v>4892</v>
      </c>
      <c r="D3025" s="4" t="s">
        <v>4893</v>
      </c>
    </row>
    <row r="3026">
      <c r="A3026" s="5">
        <v>27954.0</v>
      </c>
      <c r="B3026" s="2" t="s">
        <v>4</v>
      </c>
      <c r="C3026" s="2" t="s">
        <v>4848</v>
      </c>
      <c r="D3026" s="4" t="s">
        <v>4894</v>
      </c>
    </row>
    <row r="3027">
      <c r="A3027" s="5">
        <v>27955.0</v>
      </c>
      <c r="B3027" s="2" t="s">
        <v>4</v>
      </c>
      <c r="C3027" s="2" t="s">
        <v>1671</v>
      </c>
      <c r="D3027" s="4" t="s">
        <v>4895</v>
      </c>
    </row>
    <row r="3028">
      <c r="A3028" s="5">
        <v>27955.0</v>
      </c>
      <c r="B3028" s="2" t="s">
        <v>4</v>
      </c>
      <c r="C3028" s="2" t="s">
        <v>4896</v>
      </c>
      <c r="D3028" s="4" t="s">
        <v>4897</v>
      </c>
    </row>
    <row r="3029">
      <c r="A3029" s="5">
        <v>27955.0</v>
      </c>
      <c r="B3029" s="2" t="s">
        <v>4</v>
      </c>
      <c r="C3029" s="2" t="s">
        <v>4898</v>
      </c>
      <c r="D3029" s="4" t="s">
        <v>4899</v>
      </c>
    </row>
    <row r="3030">
      <c r="A3030" s="5">
        <v>27955.0</v>
      </c>
      <c r="B3030" s="2" t="s">
        <v>4</v>
      </c>
      <c r="C3030" s="2" t="s">
        <v>4900</v>
      </c>
      <c r="D3030" s="4" t="s">
        <v>4901</v>
      </c>
    </row>
    <row r="3031">
      <c r="A3031" s="5">
        <v>27956.0</v>
      </c>
      <c r="B3031" s="2" t="s">
        <v>4</v>
      </c>
      <c r="C3031" s="2" t="s">
        <v>4902</v>
      </c>
      <c r="D3031" s="4" t="s">
        <v>4903</v>
      </c>
    </row>
    <row r="3032">
      <c r="A3032" s="5">
        <v>27956.0</v>
      </c>
      <c r="B3032" s="2" t="s">
        <v>4</v>
      </c>
      <c r="C3032" s="2" t="s">
        <v>4904</v>
      </c>
      <c r="D3032" s="4" t="s">
        <v>4905</v>
      </c>
    </row>
    <row r="3033">
      <c r="A3033" s="5">
        <v>27957.0</v>
      </c>
      <c r="B3033" s="2" t="s">
        <v>4</v>
      </c>
      <c r="C3033" s="2" t="s">
        <v>4906</v>
      </c>
      <c r="D3033" s="4" t="s">
        <v>4907</v>
      </c>
    </row>
    <row r="3034">
      <c r="A3034" s="5">
        <v>27957.0</v>
      </c>
      <c r="B3034" s="2" t="s">
        <v>4</v>
      </c>
      <c r="C3034" s="2" t="s">
        <v>4908</v>
      </c>
      <c r="D3034" s="4" t="s">
        <v>4909</v>
      </c>
    </row>
    <row r="3035">
      <c r="A3035" s="5">
        <v>27957.0</v>
      </c>
      <c r="B3035" s="2" t="s">
        <v>4910</v>
      </c>
      <c r="C3035" s="2" t="s">
        <v>4911</v>
      </c>
      <c r="D3035" s="4" t="s">
        <v>4912</v>
      </c>
    </row>
    <row r="3036">
      <c r="A3036" s="5">
        <v>27958.0</v>
      </c>
      <c r="B3036" s="2" t="s">
        <v>4</v>
      </c>
      <c r="C3036" s="2" t="s">
        <v>1671</v>
      </c>
      <c r="D3036" s="4" t="s">
        <v>4913</v>
      </c>
    </row>
    <row r="3037">
      <c r="A3037" s="5">
        <v>27958.0</v>
      </c>
      <c r="B3037" s="2" t="s">
        <v>4</v>
      </c>
      <c r="C3037" s="2" t="s">
        <v>4914</v>
      </c>
      <c r="D3037" s="4" t="s">
        <v>4915</v>
      </c>
    </row>
    <row r="3038">
      <c r="A3038" s="5">
        <v>27958.0</v>
      </c>
      <c r="B3038" s="2" t="s">
        <v>4</v>
      </c>
      <c r="C3038" s="2" t="s">
        <v>4916</v>
      </c>
      <c r="D3038" s="4" t="s">
        <v>4917</v>
      </c>
    </row>
    <row r="3039">
      <c r="A3039" s="5">
        <v>27958.0</v>
      </c>
      <c r="B3039" s="2" t="s">
        <v>4</v>
      </c>
      <c r="C3039" s="2" t="s">
        <v>379</v>
      </c>
      <c r="D3039" s="4" t="s">
        <v>4918</v>
      </c>
    </row>
    <row r="3040">
      <c r="A3040" s="5">
        <v>27959.0</v>
      </c>
      <c r="B3040" s="2" t="s">
        <v>4</v>
      </c>
      <c r="C3040" s="2" t="s">
        <v>1671</v>
      </c>
      <c r="D3040" s="4" t="s">
        <v>4919</v>
      </c>
    </row>
    <row r="3041">
      <c r="A3041" s="5">
        <v>27959.0</v>
      </c>
      <c r="B3041" s="2" t="s">
        <v>4</v>
      </c>
      <c r="C3041" s="2" t="s">
        <v>3957</v>
      </c>
      <c r="D3041" s="4" t="s">
        <v>4920</v>
      </c>
    </row>
    <row r="3042">
      <c r="A3042" s="5">
        <v>27959.0</v>
      </c>
      <c r="B3042" s="2" t="s">
        <v>4</v>
      </c>
      <c r="C3042" s="2" t="s">
        <v>379</v>
      </c>
      <c r="D3042" s="4" t="s">
        <v>4921</v>
      </c>
    </row>
    <row r="3043">
      <c r="A3043" s="5">
        <v>27960.0</v>
      </c>
      <c r="B3043" s="2" t="s">
        <v>4</v>
      </c>
      <c r="C3043" s="2" t="s">
        <v>379</v>
      </c>
      <c r="D3043" s="4" t="s">
        <v>4922</v>
      </c>
    </row>
    <row r="3044">
      <c r="A3044" s="5">
        <v>27960.0</v>
      </c>
      <c r="B3044" s="2" t="s">
        <v>4</v>
      </c>
      <c r="C3044" s="2" t="s">
        <v>4923</v>
      </c>
      <c r="D3044" s="4" t="s">
        <v>4924</v>
      </c>
    </row>
    <row r="3045">
      <c r="A3045" s="5">
        <v>27960.0</v>
      </c>
      <c r="B3045" s="2" t="s">
        <v>4</v>
      </c>
      <c r="C3045" s="2" t="s">
        <v>379</v>
      </c>
      <c r="D3045" s="4" t="s">
        <v>4925</v>
      </c>
    </row>
    <row r="3046">
      <c r="A3046" s="5">
        <v>27961.0</v>
      </c>
      <c r="B3046" s="2" t="s">
        <v>4</v>
      </c>
      <c r="C3046" s="2" t="s">
        <v>1671</v>
      </c>
      <c r="D3046" s="4" t="s">
        <v>4926</v>
      </c>
    </row>
    <row r="3047">
      <c r="A3047" s="5">
        <v>27961.0</v>
      </c>
      <c r="B3047" s="2" t="s">
        <v>4</v>
      </c>
      <c r="C3047" s="2" t="s">
        <v>4927</v>
      </c>
      <c r="D3047" s="4" t="s">
        <v>4928</v>
      </c>
    </row>
    <row r="3048">
      <c r="A3048" s="5">
        <v>27961.0</v>
      </c>
      <c r="B3048" s="2" t="s">
        <v>4</v>
      </c>
      <c r="C3048" s="2" t="s">
        <v>4929</v>
      </c>
      <c r="D3048" s="4" t="s">
        <v>4930</v>
      </c>
    </row>
    <row r="3049">
      <c r="A3049" s="5">
        <v>27962.0</v>
      </c>
      <c r="B3049" s="2" t="s">
        <v>4</v>
      </c>
      <c r="C3049" s="2" t="s">
        <v>2191</v>
      </c>
      <c r="D3049" s="4" t="s">
        <v>4931</v>
      </c>
    </row>
    <row r="3050">
      <c r="A3050" s="5">
        <v>27964.0</v>
      </c>
      <c r="B3050" s="2" t="s">
        <v>849</v>
      </c>
      <c r="C3050" s="2" t="s">
        <v>4932</v>
      </c>
      <c r="D3050" s="4" t="s">
        <v>4933</v>
      </c>
    </row>
    <row r="3051">
      <c r="A3051" s="5">
        <v>27964.0</v>
      </c>
      <c r="B3051" s="2" t="s">
        <v>849</v>
      </c>
      <c r="C3051" s="2" t="s">
        <v>4934</v>
      </c>
      <c r="D3051" s="4" t="s">
        <v>4935</v>
      </c>
    </row>
    <row r="3052">
      <c r="A3052" s="5">
        <v>27965.0</v>
      </c>
      <c r="B3052" s="2" t="s">
        <v>849</v>
      </c>
      <c r="C3052" s="2" t="s">
        <v>4936</v>
      </c>
      <c r="D3052" s="4" t="s">
        <v>4937</v>
      </c>
    </row>
    <row r="3053">
      <c r="A3053" s="5">
        <v>27966.0</v>
      </c>
      <c r="B3053" s="2" t="s">
        <v>849</v>
      </c>
      <c r="C3053" s="2" t="s">
        <v>4938</v>
      </c>
      <c r="D3053" s="4" t="s">
        <v>4939</v>
      </c>
    </row>
    <row r="3054">
      <c r="A3054" s="5">
        <v>27966.0</v>
      </c>
      <c r="B3054" s="2" t="s">
        <v>849</v>
      </c>
      <c r="C3054" s="2" t="s">
        <v>669</v>
      </c>
      <c r="D3054" s="4" t="s">
        <v>4940</v>
      </c>
    </row>
    <row r="3055">
      <c r="A3055" s="5">
        <v>27966.0</v>
      </c>
      <c r="B3055" s="2" t="s">
        <v>849</v>
      </c>
      <c r="C3055" s="2" t="s">
        <v>4941</v>
      </c>
      <c r="D3055" s="4" t="s">
        <v>4942</v>
      </c>
    </row>
    <row r="3056">
      <c r="A3056" s="5">
        <v>27967.0</v>
      </c>
      <c r="B3056" s="2" t="s">
        <v>849</v>
      </c>
      <c r="C3056" s="2" t="s">
        <v>379</v>
      </c>
      <c r="D3056" s="4" t="s">
        <v>4943</v>
      </c>
    </row>
    <row r="3057">
      <c r="A3057" s="5">
        <v>27967.0</v>
      </c>
      <c r="B3057" s="2" t="s">
        <v>849</v>
      </c>
      <c r="C3057" s="2" t="s">
        <v>2419</v>
      </c>
      <c r="D3057" s="4" t="s">
        <v>4944</v>
      </c>
    </row>
    <row r="3058">
      <c r="A3058" s="5">
        <v>27968.0</v>
      </c>
      <c r="B3058" s="2" t="s">
        <v>849</v>
      </c>
      <c r="C3058" s="2" t="s">
        <v>4945</v>
      </c>
      <c r="D3058" s="4" t="s">
        <v>4946</v>
      </c>
    </row>
    <row r="3059">
      <c r="A3059" s="5">
        <v>27968.0</v>
      </c>
      <c r="B3059" s="2" t="s">
        <v>849</v>
      </c>
      <c r="C3059" s="2" t="s">
        <v>379</v>
      </c>
      <c r="D3059" s="4" t="s">
        <v>4947</v>
      </c>
    </row>
    <row r="3060">
      <c r="A3060" s="5">
        <v>27968.0</v>
      </c>
      <c r="B3060" s="2" t="s">
        <v>849</v>
      </c>
      <c r="C3060" s="2" t="s">
        <v>1454</v>
      </c>
      <c r="D3060" s="4" t="s">
        <v>4948</v>
      </c>
    </row>
    <row r="3061">
      <c r="A3061" s="5">
        <v>27969.0</v>
      </c>
      <c r="B3061" s="2" t="s">
        <v>1200</v>
      </c>
      <c r="C3061" s="2" t="s">
        <v>2580</v>
      </c>
      <c r="D3061" s="4" t="s">
        <v>4949</v>
      </c>
    </row>
    <row r="3062">
      <c r="A3062" s="5">
        <v>27970.0</v>
      </c>
      <c r="B3062" s="2" t="s">
        <v>4950</v>
      </c>
      <c r="C3062" s="2" t="s">
        <v>4951</v>
      </c>
      <c r="D3062" s="4" t="s">
        <v>4952</v>
      </c>
    </row>
    <row r="3063">
      <c r="A3063" s="5">
        <v>27972.0</v>
      </c>
      <c r="B3063" s="2" t="s">
        <v>4950</v>
      </c>
      <c r="C3063" s="2" t="s">
        <v>4953</v>
      </c>
      <c r="D3063" s="4" t="s">
        <v>4954</v>
      </c>
    </row>
    <row r="3064">
      <c r="A3064" s="5">
        <v>27972.0</v>
      </c>
      <c r="B3064" s="2" t="s">
        <v>4950</v>
      </c>
      <c r="C3064" s="2" t="s">
        <v>277</v>
      </c>
      <c r="D3064" s="4" t="s">
        <v>4955</v>
      </c>
    </row>
    <row r="3065">
      <c r="A3065" s="5">
        <v>27972.0</v>
      </c>
      <c r="B3065" s="2" t="s">
        <v>4950</v>
      </c>
      <c r="C3065" s="2" t="s">
        <v>379</v>
      </c>
      <c r="D3065" s="4" t="s">
        <v>4956</v>
      </c>
    </row>
    <row r="3066">
      <c r="A3066" s="5">
        <v>27972.0</v>
      </c>
      <c r="B3066" s="2" t="s">
        <v>4950</v>
      </c>
      <c r="C3066" s="2" t="s">
        <v>379</v>
      </c>
      <c r="D3066" s="4" t="s">
        <v>4957</v>
      </c>
    </row>
    <row r="3067">
      <c r="A3067" s="3">
        <v>27974.0</v>
      </c>
      <c r="B3067" s="2" t="s">
        <v>4950</v>
      </c>
      <c r="C3067" s="2" t="s">
        <v>4958</v>
      </c>
      <c r="D3067" s="4" t="s">
        <v>4959</v>
      </c>
    </row>
    <row r="3068">
      <c r="A3068" s="3">
        <v>27974.0</v>
      </c>
      <c r="B3068" s="2" t="s">
        <v>4950</v>
      </c>
      <c r="C3068" s="2" t="s">
        <v>4960</v>
      </c>
      <c r="D3068" s="4" t="s">
        <v>4961</v>
      </c>
    </row>
    <row r="3069">
      <c r="A3069" s="3">
        <v>27974.0</v>
      </c>
      <c r="B3069" s="2" t="s">
        <v>4950</v>
      </c>
      <c r="C3069" s="2" t="s">
        <v>379</v>
      </c>
      <c r="D3069" s="4" t="s">
        <v>4962</v>
      </c>
    </row>
    <row r="3070">
      <c r="A3070" s="3">
        <v>27974.0</v>
      </c>
      <c r="B3070" s="2" t="s">
        <v>4950</v>
      </c>
      <c r="C3070" s="2" t="s">
        <v>379</v>
      </c>
      <c r="D3070" s="4" t="s">
        <v>4963</v>
      </c>
    </row>
    <row r="3071">
      <c r="A3071" s="3">
        <v>27974.0</v>
      </c>
      <c r="B3071" s="2" t="s">
        <v>4950</v>
      </c>
      <c r="C3071" s="2" t="s">
        <v>379</v>
      </c>
      <c r="D3071" s="4" t="s">
        <v>4964</v>
      </c>
    </row>
    <row r="3072">
      <c r="A3072" s="3">
        <v>27975.0</v>
      </c>
      <c r="B3072" s="2" t="s">
        <v>4950</v>
      </c>
      <c r="C3072" s="2" t="s">
        <v>379</v>
      </c>
      <c r="D3072" s="4" t="s">
        <v>4965</v>
      </c>
    </row>
    <row r="3073">
      <c r="A3073" s="3">
        <v>27975.0</v>
      </c>
      <c r="B3073" s="2" t="s">
        <v>4950</v>
      </c>
      <c r="C3073" s="2" t="s">
        <v>379</v>
      </c>
      <c r="D3073" s="4" t="s">
        <v>4966</v>
      </c>
    </row>
    <row r="3074">
      <c r="A3074" s="3">
        <v>27975.0</v>
      </c>
      <c r="B3074" s="2" t="s">
        <v>4950</v>
      </c>
      <c r="C3074" s="2" t="s">
        <v>4967</v>
      </c>
      <c r="D3074" s="4" t="s">
        <v>4968</v>
      </c>
    </row>
    <row r="3075">
      <c r="A3075" s="3">
        <v>27975.0</v>
      </c>
      <c r="B3075" s="2" t="s">
        <v>4950</v>
      </c>
      <c r="C3075" s="2" t="s">
        <v>233</v>
      </c>
      <c r="D3075" s="4" t="s">
        <v>4969</v>
      </c>
    </row>
    <row r="3076">
      <c r="A3076" s="3">
        <v>27976.0</v>
      </c>
      <c r="B3076" s="2" t="s">
        <v>4950</v>
      </c>
      <c r="C3076" s="2" t="s">
        <v>4970</v>
      </c>
      <c r="D3076" s="4" t="s">
        <v>4971</v>
      </c>
    </row>
    <row r="3077">
      <c r="A3077" s="3">
        <v>27976.0</v>
      </c>
      <c r="B3077" s="2" t="s">
        <v>4950</v>
      </c>
      <c r="C3077" s="2" t="s">
        <v>379</v>
      </c>
      <c r="D3077" s="4" t="s">
        <v>4972</v>
      </c>
    </row>
    <row r="3078">
      <c r="A3078" s="3">
        <v>27976.0</v>
      </c>
      <c r="B3078" s="2" t="s">
        <v>4950</v>
      </c>
      <c r="C3078" s="2" t="s">
        <v>3048</v>
      </c>
      <c r="D3078" s="4" t="s">
        <v>4973</v>
      </c>
    </row>
    <row r="3079">
      <c r="A3079" s="3">
        <v>27977.0</v>
      </c>
      <c r="B3079" s="2" t="s">
        <v>4950</v>
      </c>
      <c r="C3079" s="2" t="s">
        <v>4974</v>
      </c>
      <c r="D3079" s="4" t="s">
        <v>4975</v>
      </c>
    </row>
    <row r="3080">
      <c r="A3080" s="3">
        <v>27977.0</v>
      </c>
      <c r="B3080" s="2" t="s">
        <v>4950</v>
      </c>
      <c r="C3080" s="2" t="s">
        <v>4976</v>
      </c>
      <c r="D3080" s="4" t="s">
        <v>4977</v>
      </c>
    </row>
    <row r="3081">
      <c r="A3081" s="3">
        <v>27977.0</v>
      </c>
      <c r="B3081" s="2" t="s">
        <v>4950</v>
      </c>
      <c r="C3081" s="2" t="s">
        <v>4978</v>
      </c>
      <c r="D3081" s="4" t="s">
        <v>4979</v>
      </c>
    </row>
    <row r="3082">
      <c r="A3082" s="3">
        <v>27979.0</v>
      </c>
      <c r="B3082" s="2" t="s">
        <v>3641</v>
      </c>
      <c r="C3082" s="2" t="s">
        <v>379</v>
      </c>
      <c r="D3082" s="4" t="s">
        <v>4980</v>
      </c>
    </row>
    <row r="3083">
      <c r="A3083" s="3">
        <v>27980.0</v>
      </c>
      <c r="B3083" s="2" t="s">
        <v>3641</v>
      </c>
      <c r="C3083" s="2" t="s">
        <v>4981</v>
      </c>
      <c r="D3083" s="4" t="s">
        <v>4982</v>
      </c>
    </row>
    <row r="3084">
      <c r="A3084" s="3">
        <v>27980.0</v>
      </c>
      <c r="B3084" s="2" t="s">
        <v>3641</v>
      </c>
      <c r="C3084" s="2" t="s">
        <v>4983</v>
      </c>
      <c r="D3084" s="4" t="s">
        <v>4984</v>
      </c>
    </row>
    <row r="3085">
      <c r="A3085" s="3">
        <v>27980.0</v>
      </c>
      <c r="B3085" s="2" t="s">
        <v>3641</v>
      </c>
      <c r="C3085" s="2" t="s">
        <v>4985</v>
      </c>
      <c r="D3085" s="4" t="s">
        <v>4986</v>
      </c>
    </row>
    <row r="3086">
      <c r="A3086" s="3">
        <v>27981.0</v>
      </c>
      <c r="B3086" s="2" t="s">
        <v>3641</v>
      </c>
      <c r="C3086" s="2" t="s">
        <v>4987</v>
      </c>
      <c r="D3086" s="4" t="s">
        <v>4988</v>
      </c>
    </row>
    <row r="3087">
      <c r="A3087" s="3">
        <v>27981.0</v>
      </c>
      <c r="B3087" s="2" t="s">
        <v>3641</v>
      </c>
      <c r="C3087" s="2" t="s">
        <v>1705</v>
      </c>
      <c r="D3087" s="4" t="s">
        <v>4989</v>
      </c>
    </row>
    <row r="3088">
      <c r="A3088" s="3">
        <v>27981.0</v>
      </c>
      <c r="B3088" s="2" t="s">
        <v>3641</v>
      </c>
      <c r="C3088" s="2" t="s">
        <v>379</v>
      </c>
      <c r="D3088" s="4" t="s">
        <v>4990</v>
      </c>
    </row>
    <row r="3089">
      <c r="A3089" s="3">
        <v>27981.0</v>
      </c>
      <c r="B3089" s="2" t="s">
        <v>3641</v>
      </c>
      <c r="C3089" s="2" t="s">
        <v>4991</v>
      </c>
      <c r="D3089" s="4" t="s">
        <v>4992</v>
      </c>
    </row>
    <row r="3090">
      <c r="A3090" s="3">
        <v>27982.0</v>
      </c>
      <c r="B3090" s="2" t="s">
        <v>3641</v>
      </c>
      <c r="C3090" s="2" t="s">
        <v>4993</v>
      </c>
      <c r="D3090" s="4" t="s">
        <v>4994</v>
      </c>
    </row>
    <row r="3091">
      <c r="A3091" s="3">
        <v>27982.0</v>
      </c>
      <c r="B3091" s="2" t="s">
        <v>3641</v>
      </c>
      <c r="C3091" s="2" t="s">
        <v>4848</v>
      </c>
      <c r="D3091" s="4" t="s">
        <v>4995</v>
      </c>
    </row>
    <row r="3092">
      <c r="A3092" s="3">
        <v>27982.0</v>
      </c>
      <c r="B3092" s="2" t="s">
        <v>3641</v>
      </c>
      <c r="C3092" s="2" t="s">
        <v>379</v>
      </c>
      <c r="D3092" s="4" t="s">
        <v>4996</v>
      </c>
    </row>
    <row r="3093">
      <c r="A3093" s="3">
        <v>27983.0</v>
      </c>
      <c r="B3093" s="2" t="s">
        <v>3641</v>
      </c>
      <c r="C3093" s="2" t="s">
        <v>379</v>
      </c>
      <c r="D3093" s="4" t="s">
        <v>4997</v>
      </c>
    </row>
    <row r="3094">
      <c r="A3094" s="3">
        <v>27983.0</v>
      </c>
      <c r="B3094" s="2" t="s">
        <v>3641</v>
      </c>
      <c r="C3094" s="2" t="s">
        <v>4848</v>
      </c>
      <c r="D3094" s="4" t="s">
        <v>4998</v>
      </c>
    </row>
    <row r="3095">
      <c r="A3095" s="3">
        <v>27983.0</v>
      </c>
      <c r="B3095" s="2" t="s">
        <v>3641</v>
      </c>
      <c r="C3095" s="2" t="s">
        <v>1671</v>
      </c>
      <c r="D3095" s="4" t="s">
        <v>4999</v>
      </c>
    </row>
    <row r="3096">
      <c r="A3096" s="3">
        <v>27984.0</v>
      </c>
      <c r="B3096" s="2" t="s">
        <v>3641</v>
      </c>
      <c r="C3096" s="2" t="s">
        <v>4848</v>
      </c>
      <c r="D3096" s="4" t="s">
        <v>5000</v>
      </c>
    </row>
    <row r="3097">
      <c r="A3097" s="3">
        <v>27984.0</v>
      </c>
      <c r="B3097" s="2" t="s">
        <v>3641</v>
      </c>
      <c r="C3097" s="2" t="s">
        <v>1671</v>
      </c>
      <c r="D3097" s="4" t="s">
        <v>5001</v>
      </c>
    </row>
    <row r="3098">
      <c r="A3098" s="3">
        <v>27984.0</v>
      </c>
      <c r="B3098" s="2" t="s">
        <v>3641</v>
      </c>
      <c r="C3098" s="2" t="s">
        <v>5002</v>
      </c>
      <c r="D3098" s="4" t="s">
        <v>5003</v>
      </c>
    </row>
    <row r="3099">
      <c r="A3099" s="3">
        <v>27984.0</v>
      </c>
      <c r="B3099" s="2" t="s">
        <v>3641</v>
      </c>
      <c r="C3099" s="2" t="s">
        <v>379</v>
      </c>
      <c r="D3099" s="4" t="s">
        <v>5004</v>
      </c>
    </row>
    <row r="3100">
      <c r="A3100" s="3">
        <v>27984.0</v>
      </c>
      <c r="B3100" s="2" t="s">
        <v>3641</v>
      </c>
      <c r="C3100" s="2" t="s">
        <v>1429</v>
      </c>
      <c r="D3100" s="4" t="s">
        <v>5005</v>
      </c>
    </row>
    <row r="3101">
      <c r="A3101" s="3">
        <v>27984.0</v>
      </c>
      <c r="B3101" s="2" t="s">
        <v>3641</v>
      </c>
      <c r="C3101" s="2" t="s">
        <v>5006</v>
      </c>
      <c r="D3101" s="4" t="s">
        <v>5007</v>
      </c>
    </row>
    <row r="3102">
      <c r="A3102" s="3">
        <v>27984.0</v>
      </c>
      <c r="B3102" s="2" t="s">
        <v>3641</v>
      </c>
      <c r="C3102" s="2" t="s">
        <v>379</v>
      </c>
      <c r="D3102" s="4" t="s">
        <v>5008</v>
      </c>
    </row>
    <row r="3103">
      <c r="A3103" s="3">
        <v>27985.0</v>
      </c>
      <c r="B3103" s="2" t="s">
        <v>980</v>
      </c>
      <c r="C3103" s="2" t="s">
        <v>5009</v>
      </c>
      <c r="D3103" s="4" t="s">
        <v>5010</v>
      </c>
    </row>
    <row r="3104">
      <c r="A3104" s="3">
        <v>27986.0</v>
      </c>
      <c r="B3104" s="2" t="s">
        <v>980</v>
      </c>
      <c r="C3104" s="2" t="s">
        <v>4848</v>
      </c>
      <c r="D3104" s="4" t="s">
        <v>5011</v>
      </c>
    </row>
    <row r="3105">
      <c r="A3105" s="3">
        <v>27986.0</v>
      </c>
      <c r="B3105" s="2" t="s">
        <v>980</v>
      </c>
      <c r="C3105" s="2" t="s">
        <v>379</v>
      </c>
      <c r="D3105" s="4" t="s">
        <v>5012</v>
      </c>
    </row>
    <row r="3106">
      <c r="A3106" s="3">
        <v>27986.0</v>
      </c>
      <c r="B3106" s="2" t="s">
        <v>980</v>
      </c>
      <c r="C3106" s="2" t="s">
        <v>1454</v>
      </c>
      <c r="D3106" s="4" t="s">
        <v>5013</v>
      </c>
    </row>
    <row r="3107">
      <c r="A3107" s="3">
        <v>27987.0</v>
      </c>
      <c r="B3107" s="2" t="s">
        <v>980</v>
      </c>
      <c r="C3107" s="2" t="s">
        <v>1671</v>
      </c>
      <c r="D3107" s="4" t="s">
        <v>5014</v>
      </c>
    </row>
    <row r="3108">
      <c r="A3108" s="3">
        <v>27987.0</v>
      </c>
      <c r="B3108" s="2" t="s">
        <v>980</v>
      </c>
      <c r="C3108" s="2" t="s">
        <v>4848</v>
      </c>
      <c r="D3108" s="4" t="s">
        <v>5015</v>
      </c>
    </row>
    <row r="3109">
      <c r="A3109" s="3">
        <v>27988.0</v>
      </c>
      <c r="B3109" s="2" t="s">
        <v>980</v>
      </c>
      <c r="C3109" s="2" t="s">
        <v>379</v>
      </c>
      <c r="D3109" s="4" t="s">
        <v>5016</v>
      </c>
    </row>
    <row r="3110">
      <c r="A3110" s="3">
        <v>27988.0</v>
      </c>
      <c r="B3110" s="2" t="s">
        <v>2058</v>
      </c>
      <c r="C3110" s="2" t="s">
        <v>5017</v>
      </c>
      <c r="D3110" s="4" t="s">
        <v>5018</v>
      </c>
    </row>
    <row r="3111">
      <c r="A3111" s="3">
        <v>27988.0</v>
      </c>
      <c r="B3111" s="2" t="s">
        <v>2058</v>
      </c>
      <c r="C3111" s="2" t="s">
        <v>379</v>
      </c>
      <c r="D3111" s="4" t="s">
        <v>5019</v>
      </c>
    </row>
    <row r="3112">
      <c r="A3112" s="3">
        <v>27988.0</v>
      </c>
      <c r="B3112" s="2" t="s">
        <v>2058</v>
      </c>
      <c r="C3112" s="2" t="s">
        <v>5020</v>
      </c>
      <c r="D3112" s="4" t="s">
        <v>5021</v>
      </c>
    </row>
    <row r="3113">
      <c r="A3113" s="3">
        <v>27989.0</v>
      </c>
      <c r="B3113" s="2" t="s">
        <v>2058</v>
      </c>
      <c r="C3113" s="2" t="s">
        <v>2672</v>
      </c>
      <c r="D3113" s="4" t="s">
        <v>5022</v>
      </c>
    </row>
    <row r="3114">
      <c r="A3114" s="3">
        <v>27989.0</v>
      </c>
      <c r="B3114" s="2" t="s">
        <v>2058</v>
      </c>
      <c r="C3114" s="2" t="s">
        <v>5023</v>
      </c>
      <c r="D3114" s="4" t="s">
        <v>5024</v>
      </c>
    </row>
    <row r="3115">
      <c r="A3115" s="3">
        <v>27989.0</v>
      </c>
      <c r="B3115" s="2" t="s">
        <v>2058</v>
      </c>
      <c r="C3115" s="2" t="s">
        <v>379</v>
      </c>
      <c r="D3115" s="4" t="s">
        <v>5025</v>
      </c>
    </row>
    <row r="3116">
      <c r="A3116" s="3">
        <v>27989.0</v>
      </c>
      <c r="B3116" s="2" t="s">
        <v>2058</v>
      </c>
      <c r="C3116" s="2" t="s">
        <v>5026</v>
      </c>
      <c r="D3116" s="4" t="s">
        <v>5027</v>
      </c>
    </row>
    <row r="3117">
      <c r="A3117" s="3">
        <v>27990.0</v>
      </c>
      <c r="B3117" s="2" t="s">
        <v>2058</v>
      </c>
      <c r="C3117" s="2" t="s">
        <v>5028</v>
      </c>
      <c r="D3117" s="4" t="s">
        <v>5029</v>
      </c>
    </row>
    <row r="3118">
      <c r="A3118" s="3">
        <v>27991.0</v>
      </c>
      <c r="B3118" s="2" t="s">
        <v>2058</v>
      </c>
      <c r="C3118" s="2" t="s">
        <v>379</v>
      </c>
      <c r="D3118" s="4" t="s">
        <v>5030</v>
      </c>
    </row>
    <row r="3119">
      <c r="A3119" s="3">
        <v>27991.0</v>
      </c>
      <c r="B3119" s="2" t="s">
        <v>2058</v>
      </c>
      <c r="C3119" s="2" t="s">
        <v>5031</v>
      </c>
      <c r="D3119" s="4" t="s">
        <v>5032</v>
      </c>
    </row>
    <row r="3120">
      <c r="A3120" s="3">
        <v>27991.0</v>
      </c>
      <c r="B3120" s="2" t="s">
        <v>2058</v>
      </c>
      <c r="C3120" s="2" t="s">
        <v>2532</v>
      </c>
      <c r="D3120" s="4" t="s">
        <v>5033</v>
      </c>
    </row>
    <row r="3121">
      <c r="A3121" s="3">
        <v>27992.0</v>
      </c>
      <c r="B3121" s="2" t="s">
        <v>2058</v>
      </c>
      <c r="C3121" s="2" t="s">
        <v>379</v>
      </c>
      <c r="D3121" s="4" t="s">
        <v>5034</v>
      </c>
    </row>
    <row r="3122">
      <c r="A3122" s="3">
        <v>27993.0</v>
      </c>
      <c r="B3122" s="2" t="s">
        <v>2058</v>
      </c>
      <c r="C3122" s="2" t="s">
        <v>5035</v>
      </c>
      <c r="D3122" s="4" t="s">
        <v>5036</v>
      </c>
    </row>
    <row r="3123">
      <c r="A3123" s="3">
        <v>27993.0</v>
      </c>
      <c r="B3123" s="2" t="s">
        <v>2058</v>
      </c>
      <c r="C3123" s="2" t="s">
        <v>379</v>
      </c>
      <c r="D3123" s="4" t="s">
        <v>5037</v>
      </c>
    </row>
    <row r="3124">
      <c r="A3124" s="3">
        <v>27994.0</v>
      </c>
      <c r="B3124" s="2" t="s">
        <v>2058</v>
      </c>
      <c r="C3124" s="2" t="s">
        <v>379</v>
      </c>
      <c r="D3124" s="4" t="s">
        <v>5038</v>
      </c>
    </row>
    <row r="3125">
      <c r="A3125" s="3">
        <v>27994.0</v>
      </c>
      <c r="B3125" s="2" t="s">
        <v>2058</v>
      </c>
      <c r="C3125" s="2" t="s">
        <v>5039</v>
      </c>
      <c r="D3125" s="4" t="s">
        <v>5040</v>
      </c>
    </row>
    <row r="3126">
      <c r="A3126" s="3">
        <v>27994.0</v>
      </c>
      <c r="B3126" s="2" t="s">
        <v>2058</v>
      </c>
      <c r="C3126" s="2" t="s">
        <v>5041</v>
      </c>
      <c r="D3126" s="4" t="s">
        <v>5042</v>
      </c>
    </row>
    <row r="3127">
      <c r="A3127" s="3">
        <v>27994.0</v>
      </c>
      <c r="B3127" s="2" t="s">
        <v>2058</v>
      </c>
      <c r="C3127" s="2" t="s">
        <v>369</v>
      </c>
      <c r="D3127" s="4" t="s">
        <v>5043</v>
      </c>
    </row>
    <row r="3128">
      <c r="A3128" s="3">
        <v>27994.0</v>
      </c>
      <c r="B3128" s="2" t="s">
        <v>2058</v>
      </c>
      <c r="C3128" s="2" t="s">
        <v>360</v>
      </c>
      <c r="D3128" s="4" t="s">
        <v>5044</v>
      </c>
    </row>
    <row r="3129">
      <c r="A3129" s="3">
        <v>27995.0</v>
      </c>
      <c r="B3129" s="2" t="s">
        <v>2058</v>
      </c>
      <c r="C3129" s="2" t="s">
        <v>5045</v>
      </c>
      <c r="D3129" s="4" t="s">
        <v>5046</v>
      </c>
    </row>
    <row r="3130">
      <c r="A3130" s="3">
        <v>27996.0</v>
      </c>
      <c r="B3130" s="2" t="s">
        <v>2058</v>
      </c>
      <c r="C3130" s="2" t="s">
        <v>373</v>
      </c>
      <c r="D3130" s="4" t="s">
        <v>5047</v>
      </c>
    </row>
    <row r="3131">
      <c r="A3131" s="3">
        <v>27996.0</v>
      </c>
      <c r="B3131" s="2" t="s">
        <v>2058</v>
      </c>
      <c r="C3131" s="2" t="s">
        <v>379</v>
      </c>
      <c r="D3131" s="4" t="s">
        <v>5048</v>
      </c>
    </row>
    <row r="3132">
      <c r="A3132" s="3">
        <v>27996.0</v>
      </c>
      <c r="B3132" s="2" t="s">
        <v>2058</v>
      </c>
      <c r="C3132" s="2" t="s">
        <v>5049</v>
      </c>
      <c r="D3132" s="4" t="s">
        <v>5050</v>
      </c>
    </row>
    <row r="3133">
      <c r="A3133" s="3">
        <v>27996.0</v>
      </c>
      <c r="B3133" s="2" t="s">
        <v>2058</v>
      </c>
      <c r="C3133" s="2" t="s">
        <v>5051</v>
      </c>
      <c r="D3133" s="4" t="s">
        <v>5052</v>
      </c>
    </row>
    <row r="3134">
      <c r="A3134" s="3">
        <v>27997.0</v>
      </c>
      <c r="B3134" s="2" t="s">
        <v>2058</v>
      </c>
      <c r="C3134" s="2" t="s">
        <v>379</v>
      </c>
      <c r="D3134" s="4" t="s">
        <v>5053</v>
      </c>
    </row>
    <row r="3135">
      <c r="A3135" s="3">
        <v>27997.0</v>
      </c>
      <c r="B3135" s="2" t="s">
        <v>2058</v>
      </c>
      <c r="C3135" s="2" t="s">
        <v>5054</v>
      </c>
      <c r="D3135" s="4" t="s">
        <v>5055</v>
      </c>
    </row>
    <row r="3136">
      <c r="A3136" s="3">
        <v>27999.0</v>
      </c>
      <c r="B3136" s="2" t="s">
        <v>1392</v>
      </c>
      <c r="C3136" s="2" t="s">
        <v>5056</v>
      </c>
      <c r="D3136" s="4" t="s">
        <v>5057</v>
      </c>
    </row>
    <row r="3137">
      <c r="A3137" s="3">
        <v>28001.0</v>
      </c>
      <c r="B3137" s="2" t="s">
        <v>1392</v>
      </c>
      <c r="C3137" s="2" t="s">
        <v>5058</v>
      </c>
      <c r="D3137" s="4" t="s">
        <v>5059</v>
      </c>
    </row>
    <row r="3138">
      <c r="A3138" s="3">
        <v>28001.0</v>
      </c>
      <c r="B3138" s="2" t="s">
        <v>1392</v>
      </c>
      <c r="C3138" s="2" t="s">
        <v>4261</v>
      </c>
      <c r="D3138" s="4" t="s">
        <v>5060</v>
      </c>
    </row>
    <row r="3139">
      <c r="A3139" s="3">
        <v>28002.0</v>
      </c>
      <c r="B3139" s="2" t="s">
        <v>1392</v>
      </c>
      <c r="C3139" s="2" t="s">
        <v>5061</v>
      </c>
      <c r="D3139" s="4" t="s">
        <v>5062</v>
      </c>
    </row>
    <row r="3140">
      <c r="A3140" s="3">
        <v>28003.0</v>
      </c>
      <c r="B3140" s="2" t="s">
        <v>1392</v>
      </c>
      <c r="C3140" s="2" t="s">
        <v>5063</v>
      </c>
      <c r="D3140" s="4" t="s">
        <v>5064</v>
      </c>
    </row>
    <row r="3141">
      <c r="A3141" s="3">
        <v>28003.0</v>
      </c>
      <c r="B3141" s="2" t="s">
        <v>1392</v>
      </c>
      <c r="C3141" s="2" t="s">
        <v>1671</v>
      </c>
      <c r="D3141" s="4" t="s">
        <v>5065</v>
      </c>
    </row>
    <row r="3142">
      <c r="A3142" s="3">
        <v>28003.0</v>
      </c>
      <c r="B3142" s="2" t="s">
        <v>1392</v>
      </c>
      <c r="C3142" s="2" t="s">
        <v>623</v>
      </c>
      <c r="D3142" s="4" t="s">
        <v>5066</v>
      </c>
    </row>
    <row r="3143">
      <c r="A3143" s="1" t="s">
        <v>5067</v>
      </c>
      <c r="B3143" s="2" t="s">
        <v>1392</v>
      </c>
      <c r="C3143" s="2" t="s">
        <v>4848</v>
      </c>
      <c r="D3143" s="4" t="s">
        <v>5068</v>
      </c>
    </row>
    <row r="3144">
      <c r="A3144" s="1" t="s">
        <v>5069</v>
      </c>
      <c r="B3144" s="2" t="s">
        <v>1392</v>
      </c>
      <c r="C3144" s="2" t="s">
        <v>373</v>
      </c>
      <c r="D3144" s="4" t="s">
        <v>5070</v>
      </c>
    </row>
    <row r="3145">
      <c r="A3145" s="1" t="s">
        <v>5071</v>
      </c>
      <c r="B3145" s="9" t="s">
        <v>1417</v>
      </c>
      <c r="C3145" s="2" t="s">
        <v>5072</v>
      </c>
      <c r="D3145" s="4" t="s">
        <v>5073</v>
      </c>
    </row>
    <row r="3146">
      <c r="A3146" s="1" t="s">
        <v>5071</v>
      </c>
      <c r="B3146" s="9" t="s">
        <v>1417</v>
      </c>
      <c r="C3146" s="2" t="s">
        <v>1705</v>
      </c>
      <c r="D3146" s="4" t="s">
        <v>5074</v>
      </c>
    </row>
    <row r="3147">
      <c r="A3147" s="1" t="s">
        <v>5071</v>
      </c>
      <c r="B3147" s="9" t="s">
        <v>1417</v>
      </c>
      <c r="C3147" s="2" t="s">
        <v>379</v>
      </c>
      <c r="D3147" s="4" t="s">
        <v>5075</v>
      </c>
    </row>
    <row r="3148">
      <c r="A3148" s="1" t="s">
        <v>5076</v>
      </c>
      <c r="B3148" s="9" t="s">
        <v>1417</v>
      </c>
      <c r="C3148" s="2" t="s">
        <v>379</v>
      </c>
      <c r="D3148" s="4" t="s">
        <v>5077</v>
      </c>
    </row>
    <row r="3149">
      <c r="A3149" s="1" t="s">
        <v>5076</v>
      </c>
      <c r="B3149" s="9" t="s">
        <v>1417</v>
      </c>
      <c r="C3149" s="2" t="s">
        <v>5078</v>
      </c>
      <c r="D3149" s="4" t="s">
        <v>5079</v>
      </c>
    </row>
    <row r="3150">
      <c r="A3150" s="1" t="s">
        <v>5080</v>
      </c>
      <c r="B3150" s="9" t="s">
        <v>1417</v>
      </c>
      <c r="C3150" s="2" t="s">
        <v>3126</v>
      </c>
      <c r="D3150" s="4" t="s">
        <v>5081</v>
      </c>
    </row>
    <row r="3151">
      <c r="A3151" s="1" t="s">
        <v>5080</v>
      </c>
      <c r="B3151" s="9" t="s">
        <v>1417</v>
      </c>
      <c r="C3151" s="2" t="s">
        <v>379</v>
      </c>
      <c r="D3151" s="4" t="s">
        <v>5082</v>
      </c>
    </row>
    <row r="3152">
      <c r="A3152" s="1" t="s">
        <v>5080</v>
      </c>
      <c r="B3152" s="9" t="s">
        <v>1417</v>
      </c>
      <c r="C3152" s="2" t="s">
        <v>379</v>
      </c>
      <c r="D3152" s="4" t="s">
        <v>5083</v>
      </c>
    </row>
    <row r="3153">
      <c r="A3153" s="1" t="s">
        <v>5084</v>
      </c>
      <c r="B3153" s="9" t="s">
        <v>1417</v>
      </c>
      <c r="C3153" s="2" t="s">
        <v>3747</v>
      </c>
      <c r="D3153" s="4" t="s">
        <v>5085</v>
      </c>
    </row>
    <row r="3154">
      <c r="A3154" s="1" t="s">
        <v>5084</v>
      </c>
      <c r="B3154" s="9" t="s">
        <v>1417</v>
      </c>
      <c r="C3154" s="2" t="s">
        <v>1705</v>
      </c>
      <c r="D3154" s="4" t="s">
        <v>5086</v>
      </c>
    </row>
    <row r="3155">
      <c r="A3155" s="1" t="s">
        <v>5084</v>
      </c>
      <c r="B3155" s="9" t="s">
        <v>1417</v>
      </c>
      <c r="C3155" s="2" t="s">
        <v>379</v>
      </c>
      <c r="D3155" s="4" t="s">
        <v>5087</v>
      </c>
    </row>
    <row r="3156">
      <c r="A3156" s="1" t="s">
        <v>5088</v>
      </c>
      <c r="B3156" s="9" t="s">
        <v>1417</v>
      </c>
      <c r="C3156" s="2" t="s">
        <v>5089</v>
      </c>
      <c r="D3156" s="4" t="s">
        <v>5090</v>
      </c>
    </row>
    <row r="3157">
      <c r="A3157" s="1" t="s">
        <v>5088</v>
      </c>
      <c r="B3157" s="9" t="s">
        <v>1417</v>
      </c>
      <c r="C3157" s="2" t="s">
        <v>1705</v>
      </c>
      <c r="D3157" s="4" t="s">
        <v>5091</v>
      </c>
    </row>
    <row r="3158">
      <c r="A3158" s="1" t="s">
        <v>5088</v>
      </c>
      <c r="B3158" s="9" t="s">
        <v>1417</v>
      </c>
      <c r="C3158" s="2" t="s">
        <v>1705</v>
      </c>
      <c r="D3158" s="4" t="s">
        <v>5092</v>
      </c>
    </row>
    <row r="3159">
      <c r="A3159" s="1" t="s">
        <v>5088</v>
      </c>
      <c r="B3159" s="9" t="s">
        <v>1417</v>
      </c>
      <c r="C3159" s="2" t="s">
        <v>379</v>
      </c>
      <c r="D3159" s="4" t="s">
        <v>5093</v>
      </c>
    </row>
    <row r="3160">
      <c r="A3160" s="1" t="s">
        <v>5094</v>
      </c>
      <c r="B3160" s="9" t="s">
        <v>1417</v>
      </c>
      <c r="C3160" s="2" t="s">
        <v>5095</v>
      </c>
      <c r="D3160" s="4" t="s">
        <v>5096</v>
      </c>
    </row>
    <row r="3161">
      <c r="A3161" s="1" t="s">
        <v>5097</v>
      </c>
      <c r="B3161" s="9" t="s">
        <v>1417</v>
      </c>
      <c r="C3161" s="2" t="s">
        <v>379</v>
      </c>
      <c r="D3161" s="4" t="s">
        <v>5098</v>
      </c>
    </row>
    <row r="3162">
      <c r="A3162" s="1" t="s">
        <v>5097</v>
      </c>
      <c r="B3162" s="9" t="s">
        <v>1417</v>
      </c>
      <c r="C3162" s="2" t="s">
        <v>379</v>
      </c>
      <c r="D3162" s="4" t="s">
        <v>5099</v>
      </c>
    </row>
    <row r="3163">
      <c r="A3163" s="1" t="s">
        <v>5097</v>
      </c>
      <c r="B3163" s="9" t="s">
        <v>1417</v>
      </c>
      <c r="C3163" s="2" t="s">
        <v>5100</v>
      </c>
      <c r="D3163" s="4" t="s">
        <v>5101</v>
      </c>
    </row>
    <row r="3164">
      <c r="A3164" s="1" t="s">
        <v>5102</v>
      </c>
      <c r="B3164" s="9" t="s">
        <v>1417</v>
      </c>
      <c r="C3164" s="2" t="s">
        <v>5103</v>
      </c>
      <c r="D3164" s="4" t="s">
        <v>5104</v>
      </c>
    </row>
    <row r="3165">
      <c r="A3165" s="1" t="s">
        <v>5105</v>
      </c>
      <c r="B3165" s="9" t="s">
        <v>1417</v>
      </c>
      <c r="C3165" s="2" t="s">
        <v>5106</v>
      </c>
      <c r="D3165" s="4" t="s">
        <v>5107</v>
      </c>
    </row>
    <row r="3166">
      <c r="A3166" s="1" t="s">
        <v>5105</v>
      </c>
      <c r="B3166" s="9" t="s">
        <v>1417</v>
      </c>
      <c r="C3166" s="2" t="s">
        <v>379</v>
      </c>
      <c r="D3166" s="4" t="s">
        <v>5108</v>
      </c>
    </row>
    <row r="3167">
      <c r="A3167" s="1" t="s">
        <v>5105</v>
      </c>
      <c r="B3167" s="9" t="s">
        <v>1417</v>
      </c>
      <c r="C3167" s="2" t="s">
        <v>379</v>
      </c>
      <c r="D3167" s="4" t="s">
        <v>5109</v>
      </c>
    </row>
    <row r="3168">
      <c r="A3168" s="1" t="s">
        <v>5110</v>
      </c>
      <c r="B3168" s="9" t="s">
        <v>1417</v>
      </c>
      <c r="C3168" s="2" t="s">
        <v>5111</v>
      </c>
      <c r="D3168" s="4" t="s">
        <v>5112</v>
      </c>
    </row>
    <row r="3169">
      <c r="A3169" s="1" t="s">
        <v>5110</v>
      </c>
      <c r="B3169" s="9" t="s">
        <v>1417</v>
      </c>
      <c r="C3169" s="2" t="s">
        <v>5113</v>
      </c>
      <c r="D3169" s="4" t="s">
        <v>5114</v>
      </c>
    </row>
    <row r="3170">
      <c r="A3170" s="1" t="s">
        <v>5115</v>
      </c>
      <c r="B3170" s="9" t="s">
        <v>1417</v>
      </c>
      <c r="C3170" s="2" t="s">
        <v>5116</v>
      </c>
      <c r="D3170" s="4" t="s">
        <v>5117</v>
      </c>
    </row>
    <row r="3171">
      <c r="A3171" s="1" t="s">
        <v>5115</v>
      </c>
      <c r="B3171" s="9" t="s">
        <v>1417</v>
      </c>
      <c r="C3171" s="2" t="s">
        <v>5118</v>
      </c>
      <c r="D3171" s="4" t="s">
        <v>5119</v>
      </c>
    </row>
    <row r="3172">
      <c r="A3172" s="1" t="s">
        <v>5120</v>
      </c>
      <c r="B3172" s="9" t="s">
        <v>1417</v>
      </c>
      <c r="C3172" s="2" t="s">
        <v>5121</v>
      </c>
      <c r="D3172" s="4" t="s">
        <v>5122</v>
      </c>
    </row>
    <row r="3173">
      <c r="A3173" s="1" t="s">
        <v>5123</v>
      </c>
      <c r="B3173" s="9" t="s">
        <v>1417</v>
      </c>
      <c r="C3173" s="2" t="s">
        <v>5124</v>
      </c>
      <c r="D3173" s="4" t="s">
        <v>5125</v>
      </c>
    </row>
    <row r="3174">
      <c r="A3174" s="1" t="s">
        <v>5126</v>
      </c>
      <c r="B3174" s="9" t="s">
        <v>1417</v>
      </c>
      <c r="C3174" s="2" t="s">
        <v>5127</v>
      </c>
      <c r="D3174" s="4" t="s">
        <v>5128</v>
      </c>
    </row>
    <row r="3175">
      <c r="A3175" s="1" t="s">
        <v>5126</v>
      </c>
      <c r="B3175" s="9" t="s">
        <v>1417</v>
      </c>
      <c r="C3175" s="2" t="s">
        <v>379</v>
      </c>
      <c r="D3175" s="4" t="s">
        <v>5129</v>
      </c>
    </row>
    <row r="3176">
      <c r="A3176" s="1" t="s">
        <v>5130</v>
      </c>
      <c r="B3176" s="9" t="s">
        <v>1417</v>
      </c>
      <c r="C3176" s="2" t="s">
        <v>379</v>
      </c>
      <c r="D3176" s="4" t="s">
        <v>5131</v>
      </c>
    </row>
    <row r="3177">
      <c r="A3177" s="1" t="s">
        <v>5130</v>
      </c>
      <c r="B3177" s="9" t="s">
        <v>1417</v>
      </c>
      <c r="C3177" s="2" t="s">
        <v>5132</v>
      </c>
      <c r="D3177" s="4" t="s">
        <v>5133</v>
      </c>
    </row>
    <row r="3178">
      <c r="A3178" s="1" t="s">
        <v>5134</v>
      </c>
      <c r="B3178" s="9" t="s">
        <v>1417</v>
      </c>
      <c r="C3178" s="2" t="s">
        <v>5135</v>
      </c>
      <c r="D3178" s="4" t="s">
        <v>5136</v>
      </c>
    </row>
    <row r="3179">
      <c r="A3179" s="1" t="s">
        <v>5137</v>
      </c>
      <c r="B3179" s="9" t="s">
        <v>1417</v>
      </c>
      <c r="C3179" s="2" t="s">
        <v>5138</v>
      </c>
      <c r="D3179" s="4" t="s">
        <v>5139</v>
      </c>
    </row>
    <row r="3180">
      <c r="A3180" s="1" t="s">
        <v>5140</v>
      </c>
      <c r="B3180" s="9" t="s">
        <v>1417</v>
      </c>
      <c r="C3180" s="2" t="s">
        <v>5141</v>
      </c>
      <c r="D3180" s="4" t="s">
        <v>5142</v>
      </c>
    </row>
    <row r="3181">
      <c r="A3181" s="1" t="s">
        <v>5143</v>
      </c>
      <c r="B3181" s="9" t="s">
        <v>1417</v>
      </c>
      <c r="C3181" s="2" t="s">
        <v>5144</v>
      </c>
      <c r="D3181" s="4" t="s">
        <v>5145</v>
      </c>
    </row>
    <row r="3182">
      <c r="A3182" s="1" t="s">
        <v>5146</v>
      </c>
      <c r="B3182" s="9" t="s">
        <v>1417</v>
      </c>
      <c r="C3182" s="2" t="s">
        <v>5147</v>
      </c>
      <c r="D3182" s="4" t="s">
        <v>5148</v>
      </c>
    </row>
    <row r="3183">
      <c r="A3183" s="1" t="s">
        <v>5149</v>
      </c>
      <c r="B3183" s="9" t="s">
        <v>1417</v>
      </c>
      <c r="C3183" s="2" t="s">
        <v>5150</v>
      </c>
      <c r="D3183" s="4" t="s">
        <v>5151</v>
      </c>
    </row>
    <row r="3184">
      <c r="A3184" s="1" t="s">
        <v>5152</v>
      </c>
      <c r="B3184" s="9" t="s">
        <v>1417</v>
      </c>
      <c r="C3184" s="2" t="s">
        <v>5153</v>
      </c>
      <c r="D3184" s="4" t="s">
        <v>5154</v>
      </c>
    </row>
    <row r="3185">
      <c r="A3185" s="1" t="s">
        <v>5155</v>
      </c>
      <c r="B3185" s="9" t="s">
        <v>1417</v>
      </c>
      <c r="C3185" s="2" t="s">
        <v>5156</v>
      </c>
      <c r="D3185" s="4" t="s">
        <v>5157</v>
      </c>
    </row>
    <row r="3186">
      <c r="A3186" s="1" t="s">
        <v>5155</v>
      </c>
      <c r="B3186" s="9" t="s">
        <v>1417</v>
      </c>
      <c r="C3186" s="2" t="s">
        <v>379</v>
      </c>
      <c r="D3186" s="4" t="s">
        <v>5158</v>
      </c>
    </row>
    <row r="3187">
      <c r="A3187" s="1" t="s">
        <v>5159</v>
      </c>
      <c r="B3187" s="9" t="s">
        <v>1417</v>
      </c>
      <c r="C3187" s="2" t="s">
        <v>5160</v>
      </c>
      <c r="D3187" s="4" t="s">
        <v>5161</v>
      </c>
    </row>
    <row r="3188">
      <c r="A3188" s="1" t="s">
        <v>5162</v>
      </c>
      <c r="B3188" s="9" t="s">
        <v>1417</v>
      </c>
      <c r="C3188" s="2" t="s">
        <v>5163</v>
      </c>
      <c r="D3188" s="4" t="s">
        <v>5164</v>
      </c>
    </row>
    <row r="3189">
      <c r="A3189" s="1" t="s">
        <v>5165</v>
      </c>
      <c r="B3189" s="9" t="s">
        <v>1417</v>
      </c>
      <c r="C3189" s="2" t="s">
        <v>5166</v>
      </c>
      <c r="D3189" s="4" t="s">
        <v>5167</v>
      </c>
    </row>
    <row r="3190">
      <c r="A3190" s="1" t="s">
        <v>5165</v>
      </c>
      <c r="B3190" s="9" t="s">
        <v>1417</v>
      </c>
      <c r="C3190" s="2" t="s">
        <v>5168</v>
      </c>
      <c r="D3190" s="4" t="s">
        <v>5169</v>
      </c>
    </row>
    <row r="3191">
      <c r="A3191" s="1" t="s">
        <v>5170</v>
      </c>
      <c r="B3191" s="9" t="s">
        <v>1417</v>
      </c>
      <c r="C3191" s="2" t="s">
        <v>5171</v>
      </c>
      <c r="D3191" s="4" t="s">
        <v>5172</v>
      </c>
    </row>
    <row r="3192">
      <c r="A3192" s="1" t="s">
        <v>5170</v>
      </c>
      <c r="B3192" s="9" t="s">
        <v>1417</v>
      </c>
      <c r="C3192" s="2" t="s">
        <v>379</v>
      </c>
      <c r="D3192" s="4" t="s">
        <v>5173</v>
      </c>
    </row>
    <row r="3193">
      <c r="A3193" s="3">
        <v>28034.0</v>
      </c>
      <c r="B3193" s="9" t="s">
        <v>1417</v>
      </c>
      <c r="C3193" s="2" t="s">
        <v>5174</v>
      </c>
      <c r="D3193" s="4" t="s">
        <v>5175</v>
      </c>
    </row>
    <row r="3194">
      <c r="A3194" s="3">
        <v>28035.0</v>
      </c>
      <c r="B3194" s="9" t="s">
        <v>1417</v>
      </c>
      <c r="C3194" s="2" t="s">
        <v>373</v>
      </c>
      <c r="D3194" s="4" t="s">
        <v>5176</v>
      </c>
    </row>
    <row r="3195">
      <c r="A3195" s="3">
        <v>28035.0</v>
      </c>
      <c r="B3195" s="9" t="s">
        <v>1417</v>
      </c>
      <c r="C3195" s="2" t="s">
        <v>5177</v>
      </c>
      <c r="D3195" s="4" t="s">
        <v>5178</v>
      </c>
    </row>
    <row r="3196">
      <c r="A3196" s="3">
        <v>28036.0</v>
      </c>
      <c r="B3196" s="9" t="s">
        <v>1417</v>
      </c>
      <c r="C3196" s="2" t="s">
        <v>5179</v>
      </c>
      <c r="D3196" s="4" t="s">
        <v>5180</v>
      </c>
    </row>
    <row r="3197">
      <c r="A3197" s="3">
        <v>28036.0</v>
      </c>
      <c r="B3197" s="9" t="s">
        <v>1417</v>
      </c>
      <c r="C3197" s="2" t="s">
        <v>379</v>
      </c>
      <c r="D3197" s="4" t="s">
        <v>5181</v>
      </c>
    </row>
    <row r="3198">
      <c r="A3198" s="3">
        <v>28037.0</v>
      </c>
      <c r="B3198" s="9" t="s">
        <v>1417</v>
      </c>
      <c r="C3198" s="2" t="s">
        <v>5182</v>
      </c>
      <c r="D3198" s="4" t="s">
        <v>5183</v>
      </c>
    </row>
    <row r="3199">
      <c r="A3199" s="3">
        <v>28037.0</v>
      </c>
      <c r="B3199" s="9" t="s">
        <v>1417</v>
      </c>
      <c r="C3199" s="2" t="s">
        <v>379</v>
      </c>
      <c r="D3199" s="4" t="s">
        <v>5184</v>
      </c>
    </row>
    <row r="3200">
      <c r="A3200" s="3">
        <v>28038.0</v>
      </c>
      <c r="B3200" s="9" t="s">
        <v>1417</v>
      </c>
      <c r="C3200" s="2" t="s">
        <v>5185</v>
      </c>
      <c r="D3200" s="4" t="s">
        <v>5186</v>
      </c>
    </row>
    <row r="3201">
      <c r="A3201" s="3">
        <v>28039.0</v>
      </c>
      <c r="B3201" s="9" t="s">
        <v>1417</v>
      </c>
      <c r="C3201" s="2" t="s">
        <v>5187</v>
      </c>
      <c r="D3201" s="4" t="s">
        <v>5188</v>
      </c>
    </row>
    <row r="3202">
      <c r="A3202" s="3">
        <v>28040.0</v>
      </c>
      <c r="B3202" s="9" t="s">
        <v>1417</v>
      </c>
      <c r="C3202" s="2" t="s">
        <v>5189</v>
      </c>
      <c r="D3202" s="4" t="s">
        <v>5190</v>
      </c>
    </row>
    <row r="3203">
      <c r="A3203" s="3">
        <v>28041.0</v>
      </c>
      <c r="B3203" s="9" t="s">
        <v>1417</v>
      </c>
      <c r="C3203" s="2" t="s">
        <v>5191</v>
      </c>
      <c r="D3203" s="4" t="s">
        <v>5192</v>
      </c>
    </row>
    <row r="3204">
      <c r="A3204" s="3">
        <v>28042.0</v>
      </c>
      <c r="B3204" s="2" t="s">
        <v>5193</v>
      </c>
      <c r="C3204" s="2" t="s">
        <v>3334</v>
      </c>
      <c r="D3204" s="4" t="s">
        <v>5194</v>
      </c>
    </row>
    <row r="3205">
      <c r="A3205" s="3">
        <v>28042.0</v>
      </c>
      <c r="B3205" s="2" t="s">
        <v>5193</v>
      </c>
      <c r="C3205" s="2" t="s">
        <v>455</v>
      </c>
      <c r="D3205" s="4" t="s">
        <v>5195</v>
      </c>
    </row>
    <row r="3206">
      <c r="A3206" s="3">
        <v>28042.0</v>
      </c>
      <c r="B3206" s="2" t="s">
        <v>5193</v>
      </c>
      <c r="C3206" s="2" t="s">
        <v>1705</v>
      </c>
      <c r="D3206" s="4" t="s">
        <v>5196</v>
      </c>
    </row>
    <row r="3207">
      <c r="A3207" s="3">
        <v>28042.0</v>
      </c>
      <c r="B3207" s="2" t="s">
        <v>5193</v>
      </c>
      <c r="C3207" s="2" t="s">
        <v>379</v>
      </c>
      <c r="D3207" s="4" t="s">
        <v>5197</v>
      </c>
    </row>
    <row r="3208">
      <c r="A3208" s="3">
        <v>28043.0</v>
      </c>
      <c r="B3208" s="2" t="s">
        <v>5193</v>
      </c>
      <c r="C3208" s="2" t="s">
        <v>5198</v>
      </c>
      <c r="D3208" s="4" t="s">
        <v>5199</v>
      </c>
    </row>
    <row r="3209">
      <c r="A3209" s="3">
        <v>28043.0</v>
      </c>
      <c r="B3209" s="2" t="s">
        <v>5193</v>
      </c>
      <c r="C3209" s="2" t="s">
        <v>1001</v>
      </c>
      <c r="D3209" s="4" t="s">
        <v>5200</v>
      </c>
    </row>
    <row r="3210">
      <c r="A3210" s="3">
        <v>28046.0</v>
      </c>
      <c r="B3210" s="2" t="s">
        <v>5201</v>
      </c>
      <c r="C3210" s="2" t="s">
        <v>82</v>
      </c>
      <c r="D3210" s="4" t="s">
        <v>5202</v>
      </c>
    </row>
    <row r="3211">
      <c r="A3211" s="3">
        <v>28047.0</v>
      </c>
      <c r="B3211" s="2" t="s">
        <v>5201</v>
      </c>
      <c r="C3211" s="2" t="s">
        <v>1671</v>
      </c>
      <c r="D3211" s="4" t="s">
        <v>5203</v>
      </c>
    </row>
    <row r="3212">
      <c r="A3212" s="3">
        <v>28047.0</v>
      </c>
      <c r="B3212" s="2" t="s">
        <v>5201</v>
      </c>
      <c r="C3212" s="2" t="s">
        <v>5204</v>
      </c>
      <c r="D3212" s="4" t="s">
        <v>5205</v>
      </c>
    </row>
    <row r="3213">
      <c r="A3213" s="3">
        <v>28048.0</v>
      </c>
      <c r="B3213" s="2" t="s">
        <v>5201</v>
      </c>
      <c r="C3213" s="2" t="s">
        <v>1534</v>
      </c>
      <c r="D3213" s="4" t="s">
        <v>5206</v>
      </c>
    </row>
    <row r="3214">
      <c r="A3214" s="3">
        <v>28049.0</v>
      </c>
      <c r="B3214" s="2" t="s">
        <v>5201</v>
      </c>
      <c r="C3214" s="2" t="s">
        <v>628</v>
      </c>
      <c r="D3214" s="4" t="s">
        <v>5207</v>
      </c>
    </row>
    <row r="3215">
      <c r="A3215" s="3">
        <v>28049.0</v>
      </c>
      <c r="B3215" s="2" t="s">
        <v>5201</v>
      </c>
      <c r="C3215" s="2" t="s">
        <v>5208</v>
      </c>
      <c r="D3215" s="4" t="s">
        <v>5209</v>
      </c>
    </row>
    <row r="3216">
      <c r="A3216" s="3">
        <v>28050.0</v>
      </c>
      <c r="B3216" s="2" t="s">
        <v>5201</v>
      </c>
      <c r="C3216" s="2" t="s">
        <v>5210</v>
      </c>
      <c r="D3216" s="4" t="s">
        <v>5211</v>
      </c>
    </row>
    <row r="3217">
      <c r="A3217" s="3">
        <v>28051.0</v>
      </c>
      <c r="B3217" s="2" t="s">
        <v>5201</v>
      </c>
      <c r="C3217" s="2" t="s">
        <v>5212</v>
      </c>
      <c r="D3217" s="4" t="s">
        <v>5213</v>
      </c>
    </row>
    <row r="3218">
      <c r="A3218" s="3">
        <v>28055.0</v>
      </c>
      <c r="B3218" s="9" t="s">
        <v>1417</v>
      </c>
      <c r="C3218" s="2" t="s">
        <v>671</v>
      </c>
      <c r="D3218" s="4" t="s">
        <v>5214</v>
      </c>
    </row>
    <row r="3219">
      <c r="A3219" s="3">
        <v>28056.0</v>
      </c>
      <c r="B3219" s="9" t="s">
        <v>1417</v>
      </c>
      <c r="C3219" s="2" t="s">
        <v>671</v>
      </c>
      <c r="D3219" s="4" t="s">
        <v>5215</v>
      </c>
    </row>
    <row r="3220">
      <c r="A3220" s="3">
        <v>28057.0</v>
      </c>
      <c r="B3220" s="9" t="s">
        <v>1417</v>
      </c>
      <c r="C3220" s="2" t="s">
        <v>850</v>
      </c>
      <c r="D3220" s="4" t="s">
        <v>5216</v>
      </c>
    </row>
    <row r="3221">
      <c r="A3221" s="3">
        <v>28058.0</v>
      </c>
      <c r="B3221" s="9" t="s">
        <v>1417</v>
      </c>
      <c r="C3221" s="2" t="s">
        <v>2602</v>
      </c>
      <c r="D3221" s="4" t="s">
        <v>5217</v>
      </c>
    </row>
    <row r="3222">
      <c r="A3222" s="3">
        <v>28059.0</v>
      </c>
      <c r="B3222" s="9" t="s">
        <v>1417</v>
      </c>
      <c r="C3222" s="2" t="s">
        <v>5218</v>
      </c>
      <c r="D3222" s="4" t="s">
        <v>5219</v>
      </c>
    </row>
    <row r="3223">
      <c r="A3223" s="3">
        <v>28059.0</v>
      </c>
      <c r="B3223" s="9" t="s">
        <v>1417</v>
      </c>
      <c r="C3223" s="2" t="s">
        <v>379</v>
      </c>
      <c r="D3223" s="4" t="s">
        <v>5220</v>
      </c>
    </row>
    <row r="3224">
      <c r="A3224" s="3">
        <v>28060.0</v>
      </c>
      <c r="B3224" s="9" t="s">
        <v>1417</v>
      </c>
      <c r="C3224" s="2" t="s">
        <v>1340</v>
      </c>
      <c r="D3224" s="4" t="s">
        <v>5221</v>
      </c>
    </row>
    <row r="3225">
      <c r="A3225" s="3">
        <v>28061.0</v>
      </c>
      <c r="B3225" s="9" t="s">
        <v>1417</v>
      </c>
      <c r="C3225" s="2" t="s">
        <v>5222</v>
      </c>
      <c r="D3225" s="4" t="s">
        <v>5223</v>
      </c>
    </row>
    <row r="3226">
      <c r="A3226" s="3">
        <v>28062.0</v>
      </c>
      <c r="B3226" s="9" t="s">
        <v>1417</v>
      </c>
      <c r="C3226" s="2" t="s">
        <v>5224</v>
      </c>
      <c r="D3226" s="4" t="s">
        <v>5225</v>
      </c>
    </row>
    <row r="3227">
      <c r="A3227" s="3">
        <v>28063.0</v>
      </c>
      <c r="B3227" s="9" t="s">
        <v>1417</v>
      </c>
      <c r="C3227" s="2" t="s">
        <v>5226</v>
      </c>
      <c r="D3227" s="4" t="s">
        <v>5227</v>
      </c>
    </row>
    <row r="3228">
      <c r="A3228" s="3">
        <v>28064.0</v>
      </c>
      <c r="B3228" s="9" t="s">
        <v>1417</v>
      </c>
      <c r="C3228" s="2" t="s">
        <v>5228</v>
      </c>
      <c r="D3228" s="4" t="s">
        <v>5229</v>
      </c>
    </row>
    <row r="3229">
      <c r="A3229" s="3">
        <v>28064.0</v>
      </c>
      <c r="B3229" s="9" t="s">
        <v>1417</v>
      </c>
      <c r="C3229" s="2" t="s">
        <v>379</v>
      </c>
      <c r="D3229" s="4" t="s">
        <v>5230</v>
      </c>
    </row>
    <row r="3230">
      <c r="A3230" s="3">
        <v>28065.0</v>
      </c>
      <c r="B3230" s="9" t="s">
        <v>1417</v>
      </c>
      <c r="C3230" s="2" t="s">
        <v>5231</v>
      </c>
      <c r="D3230" s="4" t="s">
        <v>5232</v>
      </c>
    </row>
    <row r="3231">
      <c r="A3231" s="3">
        <v>28066.0</v>
      </c>
      <c r="B3231" s="9" t="s">
        <v>1417</v>
      </c>
      <c r="C3231" s="2" t="s">
        <v>5233</v>
      </c>
      <c r="D3231" s="4" t="s">
        <v>5234</v>
      </c>
    </row>
    <row r="3232">
      <c r="A3232" s="3">
        <v>28066.0</v>
      </c>
      <c r="B3232" s="9" t="s">
        <v>1417</v>
      </c>
      <c r="C3232" s="2" t="s">
        <v>379</v>
      </c>
      <c r="D3232" s="4" t="s">
        <v>5235</v>
      </c>
    </row>
    <row r="3233">
      <c r="A3233" s="3">
        <v>28066.0</v>
      </c>
      <c r="B3233" s="9" t="s">
        <v>1417</v>
      </c>
      <c r="C3233" s="2" t="s">
        <v>5236</v>
      </c>
      <c r="D3233" s="4" t="s">
        <v>5237</v>
      </c>
    </row>
    <row r="3234">
      <c r="A3234" s="3">
        <v>28067.0</v>
      </c>
      <c r="B3234" s="9" t="s">
        <v>1417</v>
      </c>
      <c r="C3234" s="2" t="s">
        <v>5238</v>
      </c>
      <c r="D3234" s="4" t="s">
        <v>5239</v>
      </c>
    </row>
    <row r="3235">
      <c r="A3235" s="3">
        <v>28067.0</v>
      </c>
      <c r="B3235" s="9" t="s">
        <v>1417</v>
      </c>
      <c r="C3235" s="2" t="s">
        <v>379</v>
      </c>
      <c r="D3235" s="4" t="s">
        <v>5240</v>
      </c>
    </row>
    <row r="3236">
      <c r="A3236" s="3">
        <v>28067.0</v>
      </c>
      <c r="B3236" s="9" t="s">
        <v>1417</v>
      </c>
      <c r="C3236" s="2" t="s">
        <v>379</v>
      </c>
      <c r="D3236" s="4" t="s">
        <v>5241</v>
      </c>
    </row>
    <row r="3237">
      <c r="A3237" s="3">
        <v>28068.0</v>
      </c>
      <c r="B3237" s="9" t="s">
        <v>1417</v>
      </c>
      <c r="C3237" s="2" t="s">
        <v>5242</v>
      </c>
      <c r="D3237" s="4" t="s">
        <v>5243</v>
      </c>
    </row>
    <row r="3238">
      <c r="A3238" s="3">
        <v>28068.0</v>
      </c>
      <c r="B3238" s="9" t="s">
        <v>1417</v>
      </c>
      <c r="C3238" s="2" t="s">
        <v>379</v>
      </c>
      <c r="D3238" s="4" t="s">
        <v>5244</v>
      </c>
    </row>
    <row r="3239">
      <c r="A3239" s="3">
        <v>28069.0</v>
      </c>
      <c r="B3239" s="9" t="s">
        <v>1417</v>
      </c>
      <c r="C3239" s="2" t="s">
        <v>5245</v>
      </c>
      <c r="D3239" s="4" t="s">
        <v>5246</v>
      </c>
    </row>
    <row r="3240">
      <c r="A3240" s="3">
        <v>28069.0</v>
      </c>
      <c r="B3240" s="9" t="s">
        <v>1417</v>
      </c>
      <c r="C3240" s="2" t="s">
        <v>5247</v>
      </c>
      <c r="D3240" s="4" t="s">
        <v>5248</v>
      </c>
    </row>
    <row r="3241">
      <c r="A3241" s="3">
        <v>28070.0</v>
      </c>
      <c r="B3241" s="9" t="s">
        <v>1417</v>
      </c>
      <c r="C3241" s="2" t="s">
        <v>5249</v>
      </c>
      <c r="D3241" s="4" t="s">
        <v>5250</v>
      </c>
    </row>
    <row r="3242">
      <c r="A3242" s="3">
        <v>28070.0</v>
      </c>
      <c r="B3242" s="9" t="s">
        <v>1417</v>
      </c>
      <c r="C3242" s="2" t="s">
        <v>5251</v>
      </c>
      <c r="D3242" s="4" t="s">
        <v>5252</v>
      </c>
    </row>
    <row r="3243">
      <c r="A3243" s="3">
        <v>28071.0</v>
      </c>
      <c r="B3243" s="9" t="s">
        <v>1417</v>
      </c>
      <c r="C3243" s="2" t="s">
        <v>5253</v>
      </c>
      <c r="D3243" s="4" t="s">
        <v>5254</v>
      </c>
    </row>
    <row r="3244">
      <c r="A3244" s="3">
        <v>28072.0</v>
      </c>
      <c r="B3244" s="9" t="s">
        <v>1417</v>
      </c>
      <c r="C3244" s="2" t="s">
        <v>5255</v>
      </c>
      <c r="D3244" s="4" t="s">
        <v>5256</v>
      </c>
    </row>
    <row r="3245">
      <c r="A3245" s="3">
        <v>28073.0</v>
      </c>
      <c r="B3245" s="9" t="s">
        <v>1417</v>
      </c>
      <c r="C3245" s="2" t="s">
        <v>5257</v>
      </c>
      <c r="D3245" s="4" t="s">
        <v>5258</v>
      </c>
    </row>
    <row r="3246">
      <c r="A3246" s="3">
        <v>28074.0</v>
      </c>
      <c r="B3246" s="9" t="s">
        <v>1417</v>
      </c>
      <c r="C3246" s="2" t="s">
        <v>5259</v>
      </c>
      <c r="D3246" s="4" t="s">
        <v>5260</v>
      </c>
    </row>
    <row r="3247">
      <c r="A3247" s="3">
        <v>28074.0</v>
      </c>
      <c r="B3247" s="9" t="s">
        <v>1417</v>
      </c>
      <c r="C3247" s="2" t="s">
        <v>1050</v>
      </c>
      <c r="D3247" s="4" t="s">
        <v>5261</v>
      </c>
    </row>
    <row r="3248">
      <c r="A3248" s="3">
        <v>28075.0</v>
      </c>
      <c r="B3248" s="9" t="s">
        <v>1417</v>
      </c>
      <c r="C3248" s="2" t="s">
        <v>5262</v>
      </c>
      <c r="D3248" s="4" t="s">
        <v>5263</v>
      </c>
    </row>
    <row r="3249">
      <c r="A3249" s="3">
        <v>28075.0</v>
      </c>
      <c r="B3249" s="9" t="s">
        <v>1417</v>
      </c>
      <c r="C3249" s="2" t="s">
        <v>379</v>
      </c>
      <c r="D3249" s="4" t="s">
        <v>5264</v>
      </c>
    </row>
    <row r="3250">
      <c r="A3250" s="3">
        <v>28076.0</v>
      </c>
      <c r="B3250" s="9" t="s">
        <v>1417</v>
      </c>
      <c r="C3250" s="2" t="s">
        <v>5265</v>
      </c>
      <c r="D3250" s="4" t="s">
        <v>5266</v>
      </c>
    </row>
    <row r="3251">
      <c r="A3251" s="3">
        <v>28077.0</v>
      </c>
      <c r="B3251" s="9" t="s">
        <v>1417</v>
      </c>
      <c r="C3251" s="2" t="s">
        <v>5267</v>
      </c>
      <c r="D3251" s="4" t="s">
        <v>5268</v>
      </c>
    </row>
    <row r="3252">
      <c r="A3252" s="3">
        <v>28077.0</v>
      </c>
      <c r="B3252" s="9" t="s">
        <v>1417</v>
      </c>
      <c r="C3252" s="2" t="s">
        <v>379</v>
      </c>
      <c r="D3252" s="4" t="s">
        <v>5269</v>
      </c>
    </row>
    <row r="3253">
      <c r="A3253" s="3">
        <v>28078.0</v>
      </c>
      <c r="B3253" s="9" t="s">
        <v>1417</v>
      </c>
      <c r="C3253" s="2" t="s">
        <v>5270</v>
      </c>
      <c r="D3253" s="4" t="s">
        <v>5271</v>
      </c>
    </row>
    <row r="3254">
      <c r="A3254" s="3">
        <v>28078.0</v>
      </c>
      <c r="B3254" s="9" t="s">
        <v>1417</v>
      </c>
      <c r="C3254" s="2" t="s">
        <v>1001</v>
      </c>
      <c r="D3254" s="4" t="s">
        <v>5272</v>
      </c>
    </row>
    <row r="3255">
      <c r="A3255" s="3">
        <v>28078.0</v>
      </c>
      <c r="B3255" s="9" t="s">
        <v>1417</v>
      </c>
      <c r="C3255" s="2" t="s">
        <v>1050</v>
      </c>
      <c r="D3255" s="4" t="s">
        <v>5273</v>
      </c>
    </row>
    <row r="3256">
      <c r="A3256" s="3">
        <v>28078.0</v>
      </c>
      <c r="B3256" s="9" t="s">
        <v>1417</v>
      </c>
      <c r="C3256" s="2" t="s">
        <v>379</v>
      </c>
      <c r="D3256" s="4" t="s">
        <v>5274</v>
      </c>
    </row>
    <row r="3257">
      <c r="A3257" s="3">
        <v>28079.0</v>
      </c>
      <c r="B3257" s="9" t="s">
        <v>1417</v>
      </c>
      <c r="C3257" s="2" t="s">
        <v>5275</v>
      </c>
      <c r="D3257" s="4" t="s">
        <v>5276</v>
      </c>
    </row>
    <row r="3258">
      <c r="A3258" s="3">
        <v>28079.0</v>
      </c>
      <c r="B3258" s="9" t="s">
        <v>1417</v>
      </c>
      <c r="C3258" s="2" t="s">
        <v>1050</v>
      </c>
      <c r="D3258" s="4" t="s">
        <v>5277</v>
      </c>
    </row>
    <row r="3259">
      <c r="A3259" s="3">
        <v>28080.0</v>
      </c>
      <c r="B3259" s="9" t="s">
        <v>1417</v>
      </c>
      <c r="C3259" s="2" t="s">
        <v>5278</v>
      </c>
      <c r="D3259" s="4" t="s">
        <v>5279</v>
      </c>
    </row>
    <row r="3260">
      <c r="A3260" s="3">
        <v>28081.0</v>
      </c>
      <c r="B3260" s="9" t="s">
        <v>1417</v>
      </c>
      <c r="C3260" s="2" t="s">
        <v>1671</v>
      </c>
      <c r="D3260" s="4" t="s">
        <v>5280</v>
      </c>
    </row>
    <row r="3261">
      <c r="A3261" s="3">
        <v>28081.0</v>
      </c>
      <c r="B3261" s="9" t="s">
        <v>1417</v>
      </c>
      <c r="C3261" s="2" t="s">
        <v>5281</v>
      </c>
      <c r="D3261" s="4" t="s">
        <v>5282</v>
      </c>
    </row>
    <row r="3262">
      <c r="A3262" s="3">
        <v>28082.0</v>
      </c>
      <c r="B3262" s="9" t="s">
        <v>1417</v>
      </c>
      <c r="C3262" s="2" t="s">
        <v>5283</v>
      </c>
      <c r="D3262" s="4" t="s">
        <v>5284</v>
      </c>
    </row>
    <row r="3263">
      <c r="A3263" s="3">
        <v>28082.0</v>
      </c>
      <c r="B3263" s="9" t="s">
        <v>1417</v>
      </c>
      <c r="C3263" s="2" t="s">
        <v>379</v>
      </c>
      <c r="D3263" s="4" t="s">
        <v>5285</v>
      </c>
    </row>
    <row r="3264">
      <c r="A3264" s="3">
        <v>28083.0</v>
      </c>
      <c r="B3264" s="9" t="s">
        <v>1417</v>
      </c>
      <c r="C3264" s="2" t="s">
        <v>5286</v>
      </c>
      <c r="D3264" s="4" t="s">
        <v>5287</v>
      </c>
    </row>
    <row r="3265">
      <c r="A3265" s="3">
        <v>28084.0</v>
      </c>
      <c r="B3265" s="9" t="s">
        <v>1417</v>
      </c>
      <c r="C3265" s="2" t="s">
        <v>5288</v>
      </c>
      <c r="D3265" s="4" t="s">
        <v>5289</v>
      </c>
    </row>
    <row r="3266">
      <c r="A3266" s="3">
        <v>28084.0</v>
      </c>
      <c r="B3266" s="9" t="s">
        <v>1417</v>
      </c>
      <c r="C3266" s="2" t="s">
        <v>379</v>
      </c>
      <c r="D3266" s="4" t="s">
        <v>5290</v>
      </c>
    </row>
    <row r="3267">
      <c r="A3267" s="3">
        <v>28085.0</v>
      </c>
      <c r="B3267" s="9" t="s">
        <v>1417</v>
      </c>
      <c r="C3267" s="2" t="s">
        <v>5291</v>
      </c>
      <c r="D3267" s="4" t="s">
        <v>5292</v>
      </c>
    </row>
    <row r="3268">
      <c r="A3268" s="3">
        <v>28086.0</v>
      </c>
      <c r="B3268" s="9" t="s">
        <v>1417</v>
      </c>
      <c r="C3268" s="2" t="s">
        <v>5293</v>
      </c>
      <c r="D3268" s="4" t="s">
        <v>5294</v>
      </c>
    </row>
    <row r="3269">
      <c r="A3269" s="3">
        <v>28087.0</v>
      </c>
      <c r="B3269" s="9" t="s">
        <v>1417</v>
      </c>
      <c r="C3269" s="2" t="s">
        <v>5295</v>
      </c>
      <c r="D3269" s="4" t="s">
        <v>5296</v>
      </c>
    </row>
    <row r="3270">
      <c r="A3270" s="3">
        <v>28088.0</v>
      </c>
      <c r="B3270" s="9" t="s">
        <v>1417</v>
      </c>
      <c r="C3270" s="2" t="s">
        <v>5297</v>
      </c>
      <c r="D3270" s="4" t="s">
        <v>5298</v>
      </c>
    </row>
    <row r="3271">
      <c r="A3271" s="3">
        <v>28088.0</v>
      </c>
      <c r="B3271" s="9" t="s">
        <v>1417</v>
      </c>
      <c r="C3271" s="2" t="s">
        <v>379</v>
      </c>
      <c r="D3271" s="4" t="s">
        <v>5299</v>
      </c>
    </row>
    <row r="3272">
      <c r="A3272" s="3">
        <v>28089.0</v>
      </c>
      <c r="B3272" s="9" t="s">
        <v>1417</v>
      </c>
      <c r="C3272" s="2" t="s">
        <v>5300</v>
      </c>
      <c r="D3272" s="4" t="s">
        <v>5301</v>
      </c>
    </row>
    <row r="3273">
      <c r="A3273" s="3">
        <v>28089.0</v>
      </c>
      <c r="B3273" s="9" t="s">
        <v>1417</v>
      </c>
      <c r="C3273" s="2" t="s">
        <v>379</v>
      </c>
      <c r="D3273" s="4" t="s">
        <v>5302</v>
      </c>
    </row>
    <row r="3274">
      <c r="A3274" s="3">
        <v>28090.0</v>
      </c>
      <c r="B3274" s="9" t="s">
        <v>1417</v>
      </c>
      <c r="C3274" s="2" t="s">
        <v>5303</v>
      </c>
      <c r="D3274" s="4" t="s">
        <v>5304</v>
      </c>
    </row>
    <row r="3275">
      <c r="A3275" s="3">
        <v>28091.0</v>
      </c>
      <c r="B3275" s="9" t="s">
        <v>1417</v>
      </c>
      <c r="C3275" s="2" t="s">
        <v>5305</v>
      </c>
      <c r="D3275" s="4" t="s">
        <v>5306</v>
      </c>
    </row>
    <row r="3276">
      <c r="A3276" s="3">
        <v>28092.0</v>
      </c>
      <c r="B3276" s="9" t="s">
        <v>1417</v>
      </c>
      <c r="C3276" s="2" t="s">
        <v>5307</v>
      </c>
      <c r="D3276" s="4" t="s">
        <v>5308</v>
      </c>
    </row>
    <row r="3277">
      <c r="A3277" s="3">
        <v>28093.0</v>
      </c>
      <c r="B3277" s="9" t="s">
        <v>1417</v>
      </c>
      <c r="C3277" s="2" t="s">
        <v>5309</v>
      </c>
      <c r="D3277" s="4" t="s">
        <v>5310</v>
      </c>
    </row>
    <row r="3278">
      <c r="A3278" s="3">
        <v>28094.0</v>
      </c>
      <c r="B3278" s="9" t="s">
        <v>1417</v>
      </c>
      <c r="C3278" s="2" t="s">
        <v>5311</v>
      </c>
      <c r="D3278" s="4" t="s">
        <v>5312</v>
      </c>
    </row>
    <row r="3279">
      <c r="A3279" s="3">
        <v>28097.0</v>
      </c>
      <c r="B3279" s="2" t="s">
        <v>2058</v>
      </c>
      <c r="C3279" s="2" t="s">
        <v>4848</v>
      </c>
      <c r="D3279" s="4" t="s">
        <v>5313</v>
      </c>
    </row>
    <row r="3280">
      <c r="A3280" s="3">
        <v>28098.0</v>
      </c>
      <c r="B3280" s="2" t="s">
        <v>2058</v>
      </c>
      <c r="C3280" s="2" t="s">
        <v>373</v>
      </c>
      <c r="D3280" s="4" t="s">
        <v>5314</v>
      </c>
    </row>
    <row r="3281">
      <c r="A3281" s="3">
        <v>28098.0</v>
      </c>
      <c r="B3281" s="2" t="s">
        <v>2058</v>
      </c>
      <c r="C3281" s="2" t="s">
        <v>5315</v>
      </c>
      <c r="D3281" s="4" t="s">
        <v>5316</v>
      </c>
    </row>
    <row r="3282">
      <c r="A3282" s="3">
        <v>28099.0</v>
      </c>
      <c r="B3282" s="2" t="s">
        <v>2058</v>
      </c>
      <c r="C3282" s="2" t="s">
        <v>373</v>
      </c>
      <c r="D3282" s="4" t="s">
        <v>5317</v>
      </c>
    </row>
    <row r="3283">
      <c r="A3283" s="3">
        <v>28099.0</v>
      </c>
      <c r="B3283" s="2" t="s">
        <v>2058</v>
      </c>
      <c r="C3283" s="2" t="s">
        <v>379</v>
      </c>
      <c r="D3283" s="4" t="s">
        <v>5318</v>
      </c>
    </row>
    <row r="3284">
      <c r="A3284" s="3">
        <v>28101.0</v>
      </c>
      <c r="B3284" s="2" t="s">
        <v>2058</v>
      </c>
      <c r="C3284" s="2" t="s">
        <v>1671</v>
      </c>
      <c r="D3284" s="4" t="s">
        <v>5319</v>
      </c>
    </row>
    <row r="3285">
      <c r="A3285" s="3">
        <v>28101.0</v>
      </c>
      <c r="B3285" s="2" t="s">
        <v>2058</v>
      </c>
      <c r="C3285" s="2" t="s">
        <v>379</v>
      </c>
      <c r="D3285" s="4" t="s">
        <v>5320</v>
      </c>
    </row>
    <row r="3286">
      <c r="A3286" s="3">
        <v>28103.0</v>
      </c>
      <c r="B3286" s="2" t="s">
        <v>2058</v>
      </c>
      <c r="C3286" s="2" t="s">
        <v>5321</v>
      </c>
      <c r="D3286" s="4" t="s">
        <v>5322</v>
      </c>
    </row>
    <row r="3287">
      <c r="A3287" s="3">
        <v>28104.0</v>
      </c>
      <c r="B3287" s="2" t="s">
        <v>2058</v>
      </c>
      <c r="C3287" s="2" t="s">
        <v>2779</v>
      </c>
      <c r="D3287" s="4" t="s">
        <v>5323</v>
      </c>
    </row>
    <row r="3288">
      <c r="A3288" s="3">
        <v>28104.0</v>
      </c>
      <c r="B3288" s="2" t="s">
        <v>2058</v>
      </c>
      <c r="C3288" s="2" t="s">
        <v>5324</v>
      </c>
      <c r="D3288" s="4" t="s">
        <v>5325</v>
      </c>
    </row>
    <row r="3289">
      <c r="A3289" s="3">
        <v>28105.0</v>
      </c>
      <c r="B3289" s="2" t="s">
        <v>2058</v>
      </c>
      <c r="C3289" s="2" t="s">
        <v>1524</v>
      </c>
      <c r="D3289" s="4" t="s">
        <v>5326</v>
      </c>
    </row>
    <row r="3290">
      <c r="A3290" s="3">
        <v>28106.0</v>
      </c>
      <c r="B3290" s="2" t="s">
        <v>2058</v>
      </c>
      <c r="C3290" s="2" t="s">
        <v>11</v>
      </c>
      <c r="D3290" s="4" t="s">
        <v>5327</v>
      </c>
    </row>
    <row r="3291">
      <c r="A3291" s="3">
        <v>28106.0</v>
      </c>
      <c r="B3291" s="2" t="s">
        <v>2058</v>
      </c>
      <c r="C3291" s="2" t="s">
        <v>379</v>
      </c>
      <c r="D3291" s="4" t="s">
        <v>5328</v>
      </c>
    </row>
    <row r="3292">
      <c r="A3292" s="3">
        <v>28107.0</v>
      </c>
      <c r="B3292" s="2" t="s">
        <v>2058</v>
      </c>
      <c r="C3292" s="2" t="s">
        <v>3548</v>
      </c>
      <c r="D3292" s="4" t="s">
        <v>5329</v>
      </c>
    </row>
    <row r="3293">
      <c r="A3293" s="3">
        <v>28108.0</v>
      </c>
      <c r="B3293" s="2" t="s">
        <v>2058</v>
      </c>
      <c r="C3293" s="2" t="s">
        <v>3538</v>
      </c>
      <c r="D3293" s="4" t="s">
        <v>5330</v>
      </c>
    </row>
    <row r="3294">
      <c r="A3294" s="3">
        <v>28109.0</v>
      </c>
      <c r="B3294" s="2" t="s">
        <v>2058</v>
      </c>
      <c r="C3294" s="2" t="s">
        <v>3538</v>
      </c>
      <c r="D3294" s="4" t="s">
        <v>5331</v>
      </c>
    </row>
    <row r="3295">
      <c r="A3295" s="3">
        <v>28110.0</v>
      </c>
      <c r="B3295" s="2" t="s">
        <v>2058</v>
      </c>
      <c r="C3295" s="2" t="s">
        <v>3063</v>
      </c>
      <c r="D3295" s="4" t="s">
        <v>5332</v>
      </c>
    </row>
    <row r="3296">
      <c r="A3296" s="3">
        <v>28110.0</v>
      </c>
      <c r="B3296" s="2" t="s">
        <v>2058</v>
      </c>
      <c r="C3296" s="2" t="s">
        <v>379</v>
      </c>
      <c r="D3296" s="4" t="s">
        <v>5333</v>
      </c>
    </row>
    <row r="3297">
      <c r="A3297" s="3">
        <v>28110.0</v>
      </c>
      <c r="B3297" s="2" t="s">
        <v>2058</v>
      </c>
      <c r="C3297" s="2" t="s">
        <v>3541</v>
      </c>
      <c r="D3297" s="4" t="s">
        <v>5334</v>
      </c>
    </row>
    <row r="3298">
      <c r="A3298" s="3">
        <v>28111.0</v>
      </c>
      <c r="B3298" s="2" t="s">
        <v>2058</v>
      </c>
      <c r="C3298" s="2" t="s">
        <v>5335</v>
      </c>
      <c r="D3298" s="4" t="s">
        <v>5336</v>
      </c>
    </row>
    <row r="3299">
      <c r="A3299" s="3">
        <v>28114.0</v>
      </c>
      <c r="B3299" s="2" t="s">
        <v>980</v>
      </c>
      <c r="C3299" s="2" t="s">
        <v>1574</v>
      </c>
      <c r="D3299" s="4" t="s">
        <v>5337</v>
      </c>
    </row>
    <row r="3300">
      <c r="A3300" s="3">
        <v>28114.0</v>
      </c>
      <c r="B3300" s="2" t="s">
        <v>5338</v>
      </c>
      <c r="C3300" s="2" t="s">
        <v>1001</v>
      </c>
      <c r="D3300" s="4" t="s">
        <v>5339</v>
      </c>
    </row>
    <row r="3301">
      <c r="A3301" s="3">
        <v>28114.0</v>
      </c>
      <c r="B3301" s="2" t="s">
        <v>980</v>
      </c>
      <c r="C3301" s="2" t="s">
        <v>5340</v>
      </c>
      <c r="D3301" s="4" t="s">
        <v>5341</v>
      </c>
    </row>
    <row r="3302">
      <c r="A3302" s="3">
        <v>28114.0</v>
      </c>
      <c r="B3302" s="2" t="s">
        <v>5338</v>
      </c>
      <c r="C3302" s="2" t="s">
        <v>5342</v>
      </c>
      <c r="D3302" s="4" t="s">
        <v>5343</v>
      </c>
    </row>
    <row r="3303">
      <c r="A3303" s="3">
        <v>28116.0</v>
      </c>
      <c r="B3303" s="2" t="s">
        <v>5344</v>
      </c>
      <c r="C3303" s="2" t="s">
        <v>5345</v>
      </c>
      <c r="D3303" s="4" t="s">
        <v>5346</v>
      </c>
    </row>
    <row r="3304">
      <c r="A3304" s="3">
        <v>28116.0</v>
      </c>
      <c r="B3304" s="2" t="s">
        <v>5344</v>
      </c>
      <c r="C3304" s="2" t="s">
        <v>5347</v>
      </c>
      <c r="D3304" s="4" t="s">
        <v>5348</v>
      </c>
    </row>
    <row r="3305">
      <c r="A3305" s="3">
        <v>28118.0</v>
      </c>
      <c r="B3305" s="2" t="s">
        <v>980</v>
      </c>
      <c r="C3305" s="2" t="s">
        <v>4261</v>
      </c>
      <c r="D3305" s="4" t="s">
        <v>5349</v>
      </c>
    </row>
    <row r="3306">
      <c r="A3306" s="3">
        <v>28119.0</v>
      </c>
      <c r="B3306" s="2" t="s">
        <v>980</v>
      </c>
      <c r="C3306" s="2" t="s">
        <v>1671</v>
      </c>
      <c r="D3306" s="4" t="s">
        <v>5350</v>
      </c>
    </row>
    <row r="3307">
      <c r="A3307" s="3">
        <v>28119.0</v>
      </c>
      <c r="B3307" s="2" t="s">
        <v>980</v>
      </c>
      <c r="C3307" s="2" t="s">
        <v>671</v>
      </c>
      <c r="D3307" s="4" t="s">
        <v>5351</v>
      </c>
    </row>
    <row r="3308">
      <c r="A3308" s="3">
        <v>28119.0</v>
      </c>
      <c r="B3308" s="2" t="s">
        <v>980</v>
      </c>
      <c r="C3308" s="2" t="s">
        <v>5352</v>
      </c>
      <c r="D3308" s="4" t="s">
        <v>5353</v>
      </c>
    </row>
    <row r="3309">
      <c r="A3309" s="3">
        <v>28120.0</v>
      </c>
      <c r="B3309" s="2" t="s">
        <v>980</v>
      </c>
      <c r="C3309" s="2" t="s">
        <v>4364</v>
      </c>
      <c r="D3309" s="4" t="s">
        <v>5354</v>
      </c>
    </row>
    <row r="3310">
      <c r="A3310" s="3">
        <v>28120.0</v>
      </c>
      <c r="B3310" s="2" t="s">
        <v>980</v>
      </c>
      <c r="C3310" s="2" t="s">
        <v>5355</v>
      </c>
      <c r="D3310" s="4" t="s">
        <v>5356</v>
      </c>
    </row>
    <row r="3311">
      <c r="A3311" s="3">
        <v>28120.0</v>
      </c>
      <c r="B3311" s="2" t="s">
        <v>980</v>
      </c>
      <c r="C3311" s="2" t="s">
        <v>379</v>
      </c>
      <c r="D3311" s="4" t="s">
        <v>5357</v>
      </c>
    </row>
    <row r="3312">
      <c r="A3312" s="3">
        <v>28120.0</v>
      </c>
      <c r="B3312" s="2" t="s">
        <v>980</v>
      </c>
      <c r="C3312" s="2" t="s">
        <v>379</v>
      </c>
      <c r="D3312" s="4" t="s">
        <v>5358</v>
      </c>
    </row>
    <row r="3313">
      <c r="A3313" s="3">
        <v>28121.0</v>
      </c>
      <c r="B3313" s="2" t="s">
        <v>980</v>
      </c>
      <c r="C3313" s="2" t="s">
        <v>379</v>
      </c>
      <c r="D3313" s="4" t="s">
        <v>5359</v>
      </c>
    </row>
    <row r="3314">
      <c r="A3314" s="3">
        <v>28121.0</v>
      </c>
      <c r="B3314" s="2" t="s">
        <v>980</v>
      </c>
      <c r="C3314" s="2" t="s">
        <v>379</v>
      </c>
      <c r="D3314" s="4" t="s">
        <v>5360</v>
      </c>
    </row>
    <row r="3315">
      <c r="A3315" s="3">
        <v>28121.0</v>
      </c>
      <c r="B3315" s="2" t="s">
        <v>980</v>
      </c>
      <c r="C3315" s="2" t="s">
        <v>5361</v>
      </c>
      <c r="D3315" s="4" t="s">
        <v>5362</v>
      </c>
    </row>
    <row r="3316">
      <c r="A3316" s="3">
        <v>28122.0</v>
      </c>
      <c r="B3316" s="2" t="s">
        <v>980</v>
      </c>
      <c r="C3316" s="2" t="s">
        <v>379</v>
      </c>
      <c r="D3316" s="4" t="s">
        <v>5363</v>
      </c>
    </row>
    <row r="3317">
      <c r="A3317" s="3">
        <v>28122.0</v>
      </c>
      <c r="B3317" s="2" t="s">
        <v>980</v>
      </c>
      <c r="C3317" s="2" t="s">
        <v>5364</v>
      </c>
      <c r="D3317" s="4" t="s">
        <v>5365</v>
      </c>
    </row>
    <row r="3318">
      <c r="A3318" s="3">
        <v>28122.0</v>
      </c>
      <c r="B3318" s="2" t="s">
        <v>980</v>
      </c>
      <c r="C3318" s="2" t="s">
        <v>379</v>
      </c>
      <c r="D3318" s="4" t="s">
        <v>5366</v>
      </c>
    </row>
    <row r="3319">
      <c r="A3319" s="3">
        <v>28123.0</v>
      </c>
      <c r="B3319" s="2" t="s">
        <v>980</v>
      </c>
      <c r="C3319" s="2" t="s">
        <v>1671</v>
      </c>
      <c r="D3319" s="4" t="s">
        <v>5367</v>
      </c>
    </row>
    <row r="3320">
      <c r="A3320" s="3">
        <v>28123.0</v>
      </c>
      <c r="B3320" s="2" t="s">
        <v>980</v>
      </c>
      <c r="C3320" s="2" t="s">
        <v>5368</v>
      </c>
      <c r="D3320" s="4" t="s">
        <v>5369</v>
      </c>
    </row>
    <row r="3321">
      <c r="A3321" s="3">
        <v>28123.0</v>
      </c>
      <c r="B3321" s="2" t="s">
        <v>980</v>
      </c>
      <c r="C3321" s="2" t="s">
        <v>379</v>
      </c>
      <c r="D3321" s="4" t="s">
        <v>5370</v>
      </c>
    </row>
    <row r="3322">
      <c r="A3322" s="3">
        <v>28124.0</v>
      </c>
      <c r="B3322" s="2" t="s">
        <v>980</v>
      </c>
      <c r="C3322" s="2" t="s">
        <v>379</v>
      </c>
      <c r="D3322" s="4" t="s">
        <v>5371</v>
      </c>
    </row>
    <row r="3323">
      <c r="A3323" s="3">
        <v>28125.0</v>
      </c>
      <c r="B3323" s="2" t="s">
        <v>980</v>
      </c>
      <c r="C3323" s="2" t="s">
        <v>628</v>
      </c>
      <c r="D3323" s="4" t="s">
        <v>5372</v>
      </c>
    </row>
    <row r="3324">
      <c r="A3324" s="3">
        <v>28125.0</v>
      </c>
      <c r="B3324" s="2" t="s">
        <v>980</v>
      </c>
      <c r="C3324" s="2" t="s">
        <v>379</v>
      </c>
      <c r="D3324" s="4" t="s">
        <v>5373</v>
      </c>
    </row>
    <row r="3325">
      <c r="A3325" s="3">
        <v>28125.0</v>
      </c>
      <c r="B3325" s="2" t="s">
        <v>980</v>
      </c>
      <c r="C3325" s="2" t="s">
        <v>379</v>
      </c>
      <c r="D3325" s="4" t="s">
        <v>5374</v>
      </c>
    </row>
    <row r="3326">
      <c r="A3326" s="3">
        <v>28127.0</v>
      </c>
      <c r="B3326" s="2" t="s">
        <v>980</v>
      </c>
      <c r="C3326" s="2" t="s">
        <v>1671</v>
      </c>
      <c r="D3326" s="4" t="s">
        <v>5375</v>
      </c>
    </row>
    <row r="3327">
      <c r="A3327" s="3">
        <v>28127.0</v>
      </c>
      <c r="B3327" s="2" t="s">
        <v>980</v>
      </c>
      <c r="C3327" s="2" t="s">
        <v>379</v>
      </c>
      <c r="D3327" s="4" t="s">
        <v>5376</v>
      </c>
    </row>
    <row r="3328">
      <c r="A3328" s="3">
        <v>28127.0</v>
      </c>
      <c r="B3328" s="2" t="s">
        <v>980</v>
      </c>
      <c r="C3328" s="2" t="s">
        <v>5377</v>
      </c>
      <c r="D3328" s="4" t="s">
        <v>5378</v>
      </c>
    </row>
    <row r="3329">
      <c r="A3329" s="3">
        <v>28127.0</v>
      </c>
      <c r="B3329" s="2" t="s">
        <v>980</v>
      </c>
      <c r="C3329" s="2" t="s">
        <v>379</v>
      </c>
      <c r="D3329" s="4" t="s">
        <v>5379</v>
      </c>
    </row>
    <row r="3330">
      <c r="A3330" s="3">
        <v>28128.0</v>
      </c>
      <c r="B3330" s="2" t="s">
        <v>980</v>
      </c>
      <c r="C3330" s="2" t="s">
        <v>5380</v>
      </c>
      <c r="D3330" s="4" t="s">
        <v>5381</v>
      </c>
    </row>
    <row r="3331">
      <c r="A3331" s="3">
        <v>28128.0</v>
      </c>
      <c r="B3331" s="2" t="s">
        <v>980</v>
      </c>
      <c r="C3331" s="2" t="s">
        <v>379</v>
      </c>
      <c r="D3331" s="4" t="s">
        <v>5382</v>
      </c>
    </row>
    <row r="3332">
      <c r="A3332" s="3">
        <v>28129.0</v>
      </c>
      <c r="B3332" s="2" t="s">
        <v>980</v>
      </c>
      <c r="C3332" s="2" t="s">
        <v>1671</v>
      </c>
      <c r="D3332" s="4" t="s">
        <v>5383</v>
      </c>
    </row>
    <row r="3333">
      <c r="A3333" s="3">
        <v>28129.0</v>
      </c>
      <c r="B3333" s="2" t="s">
        <v>980</v>
      </c>
      <c r="C3333" s="2" t="s">
        <v>379</v>
      </c>
      <c r="D3333" s="4" t="s">
        <v>5384</v>
      </c>
    </row>
    <row r="3334">
      <c r="A3334" s="3">
        <v>28130.0</v>
      </c>
      <c r="B3334" s="2" t="s">
        <v>980</v>
      </c>
      <c r="C3334" s="2" t="s">
        <v>379</v>
      </c>
      <c r="D3334" s="4" t="s">
        <v>5385</v>
      </c>
    </row>
    <row r="3335">
      <c r="A3335" s="3">
        <v>28130.0</v>
      </c>
      <c r="B3335" s="2" t="s">
        <v>980</v>
      </c>
      <c r="C3335" s="2" t="s">
        <v>3001</v>
      </c>
      <c r="D3335" s="4" t="s">
        <v>5386</v>
      </c>
    </row>
    <row r="3336">
      <c r="A3336" s="3">
        <v>28130.0</v>
      </c>
      <c r="B3336" s="2" t="s">
        <v>980</v>
      </c>
      <c r="C3336" s="2" t="s">
        <v>5387</v>
      </c>
      <c r="D3336" s="4" t="s">
        <v>5388</v>
      </c>
    </row>
    <row r="3337">
      <c r="A3337" s="3">
        <v>28131.0</v>
      </c>
      <c r="B3337" s="2" t="s">
        <v>980</v>
      </c>
      <c r="C3337" s="2" t="s">
        <v>730</v>
      </c>
      <c r="D3337" s="4" t="s">
        <v>5389</v>
      </c>
    </row>
    <row r="3338">
      <c r="A3338" s="3">
        <v>28131.0</v>
      </c>
      <c r="B3338" s="2" t="s">
        <v>980</v>
      </c>
      <c r="C3338" s="2" t="s">
        <v>379</v>
      </c>
      <c r="D3338" s="4" t="s">
        <v>5390</v>
      </c>
    </row>
    <row r="3339">
      <c r="A3339" s="3">
        <v>28132.0</v>
      </c>
      <c r="B3339" s="2" t="s">
        <v>980</v>
      </c>
      <c r="C3339" s="2" t="s">
        <v>4848</v>
      </c>
      <c r="D3339" s="4" t="s">
        <v>5391</v>
      </c>
    </row>
    <row r="3340">
      <c r="A3340" s="3">
        <v>28132.0</v>
      </c>
      <c r="B3340" s="2" t="s">
        <v>980</v>
      </c>
      <c r="C3340" s="2" t="s">
        <v>379</v>
      </c>
      <c r="D3340" s="4" t="s">
        <v>5392</v>
      </c>
    </row>
    <row r="3341">
      <c r="A3341" s="3">
        <v>28133.0</v>
      </c>
      <c r="B3341" s="2" t="s">
        <v>980</v>
      </c>
      <c r="C3341" s="2" t="s">
        <v>1671</v>
      </c>
      <c r="D3341" s="4" t="s">
        <v>5393</v>
      </c>
    </row>
    <row r="3342">
      <c r="A3342" s="3">
        <v>28133.0</v>
      </c>
      <c r="B3342" s="2" t="s">
        <v>980</v>
      </c>
      <c r="C3342" s="2" t="s">
        <v>5394</v>
      </c>
      <c r="D3342" s="4" t="s">
        <v>5395</v>
      </c>
    </row>
    <row r="3343">
      <c r="A3343" s="3">
        <v>28133.0</v>
      </c>
      <c r="B3343" s="2" t="s">
        <v>980</v>
      </c>
      <c r="C3343" s="2" t="s">
        <v>379</v>
      </c>
      <c r="D3343" s="4" t="s">
        <v>5396</v>
      </c>
    </row>
    <row r="3344">
      <c r="A3344" s="3">
        <v>28133.0</v>
      </c>
      <c r="B3344" s="2" t="s">
        <v>980</v>
      </c>
      <c r="C3344" s="2" t="s">
        <v>379</v>
      </c>
      <c r="D3344" s="4" t="s">
        <v>5397</v>
      </c>
    </row>
    <row r="3345">
      <c r="A3345" s="3">
        <v>28133.0</v>
      </c>
      <c r="B3345" s="2" t="s">
        <v>980</v>
      </c>
      <c r="C3345" s="2" t="s">
        <v>379</v>
      </c>
      <c r="D3345" s="4" t="s">
        <v>5398</v>
      </c>
    </row>
    <row r="3346">
      <c r="A3346" s="3">
        <v>28133.0</v>
      </c>
      <c r="B3346" s="2" t="s">
        <v>980</v>
      </c>
      <c r="C3346" s="2" t="s">
        <v>379</v>
      </c>
      <c r="D3346" s="4" t="s">
        <v>5399</v>
      </c>
    </row>
    <row r="3347">
      <c r="A3347" s="3">
        <v>28133.0</v>
      </c>
      <c r="B3347" s="2" t="s">
        <v>980</v>
      </c>
      <c r="C3347" s="2" t="s">
        <v>379</v>
      </c>
      <c r="D3347" s="4" t="s">
        <v>5400</v>
      </c>
    </row>
    <row r="3348">
      <c r="A3348" s="3">
        <v>28133.0</v>
      </c>
      <c r="B3348" s="2" t="s">
        <v>980</v>
      </c>
      <c r="C3348" s="2" t="s">
        <v>5401</v>
      </c>
      <c r="D3348" s="4" t="s">
        <v>5402</v>
      </c>
    </row>
    <row r="3349">
      <c r="A3349" s="3">
        <v>28134.0</v>
      </c>
      <c r="B3349" s="2" t="s">
        <v>980</v>
      </c>
      <c r="C3349" s="2" t="s">
        <v>1671</v>
      </c>
      <c r="D3349" s="4" t="s">
        <v>5403</v>
      </c>
    </row>
    <row r="3350">
      <c r="A3350" s="3">
        <v>28134.0</v>
      </c>
      <c r="B3350" s="2" t="s">
        <v>980</v>
      </c>
      <c r="C3350" s="2" t="s">
        <v>5404</v>
      </c>
      <c r="D3350" s="4" t="s">
        <v>5405</v>
      </c>
    </row>
    <row r="3351">
      <c r="A3351" s="3">
        <v>28134.0</v>
      </c>
      <c r="B3351" s="2" t="s">
        <v>980</v>
      </c>
      <c r="C3351" s="2" t="s">
        <v>379</v>
      </c>
      <c r="D3351" s="4" t="s">
        <v>5406</v>
      </c>
    </row>
    <row r="3352">
      <c r="A3352" s="3">
        <v>28134.0</v>
      </c>
      <c r="B3352" s="2" t="s">
        <v>980</v>
      </c>
      <c r="C3352" s="2" t="s">
        <v>5407</v>
      </c>
      <c r="D3352" s="4" t="s">
        <v>5408</v>
      </c>
    </row>
    <row r="3353">
      <c r="A3353" s="3">
        <v>28135.0</v>
      </c>
      <c r="B3353" s="2" t="s">
        <v>980</v>
      </c>
      <c r="C3353" s="2" t="s">
        <v>379</v>
      </c>
      <c r="D3353" s="4" t="s">
        <v>5409</v>
      </c>
    </row>
    <row r="3354">
      <c r="A3354" s="3">
        <v>28136.0</v>
      </c>
      <c r="B3354" s="2" t="s">
        <v>5410</v>
      </c>
      <c r="C3354" s="2" t="s">
        <v>5411</v>
      </c>
      <c r="D3354" s="4" t="s">
        <v>5412</v>
      </c>
    </row>
    <row r="3355">
      <c r="A3355" s="3">
        <v>28138.0</v>
      </c>
      <c r="B3355" s="2" t="s">
        <v>1054</v>
      </c>
      <c r="C3355" s="2" t="s">
        <v>5413</v>
      </c>
      <c r="D3355" s="4" t="s">
        <v>5414</v>
      </c>
    </row>
    <row r="3356">
      <c r="A3356" s="3">
        <v>28138.0</v>
      </c>
      <c r="B3356" s="2" t="s">
        <v>1054</v>
      </c>
      <c r="C3356" s="2" t="s">
        <v>5415</v>
      </c>
      <c r="D3356" s="4" t="s">
        <v>5416</v>
      </c>
    </row>
    <row r="3357">
      <c r="A3357" s="3">
        <v>28140.0</v>
      </c>
      <c r="B3357" s="2" t="s">
        <v>1054</v>
      </c>
      <c r="C3357" s="2" t="s">
        <v>5417</v>
      </c>
      <c r="D3357" s="4" t="s">
        <v>5418</v>
      </c>
    </row>
    <row r="3358">
      <c r="A3358" s="3">
        <v>28140.0</v>
      </c>
      <c r="B3358" s="2" t="s">
        <v>1054</v>
      </c>
      <c r="C3358" s="2" t="s">
        <v>1587</v>
      </c>
      <c r="D3358" s="4" t="s">
        <v>5419</v>
      </c>
    </row>
    <row r="3359">
      <c r="A3359" s="3">
        <v>28141.0</v>
      </c>
      <c r="B3359" s="2" t="s">
        <v>977</v>
      </c>
      <c r="C3359" s="2" t="s">
        <v>379</v>
      </c>
      <c r="D3359" s="4" t="s">
        <v>5420</v>
      </c>
    </row>
    <row r="3360">
      <c r="A3360" s="3">
        <v>28141.0</v>
      </c>
      <c r="B3360" s="2" t="s">
        <v>977</v>
      </c>
      <c r="C3360" s="2" t="s">
        <v>5421</v>
      </c>
      <c r="D3360" s="4" t="s">
        <v>5422</v>
      </c>
    </row>
    <row r="3361">
      <c r="A3361" s="3">
        <v>28141.0</v>
      </c>
      <c r="B3361" s="2" t="s">
        <v>977</v>
      </c>
      <c r="C3361" s="2" t="s">
        <v>379</v>
      </c>
      <c r="D3361" s="4" t="s">
        <v>5423</v>
      </c>
    </row>
    <row r="3362">
      <c r="A3362" s="3">
        <v>28144.0</v>
      </c>
      <c r="B3362" s="2" t="s">
        <v>5424</v>
      </c>
      <c r="C3362" s="2" t="s">
        <v>5425</v>
      </c>
      <c r="D3362" s="4" t="s">
        <v>5426</v>
      </c>
    </row>
    <row r="3363">
      <c r="A3363" s="3">
        <v>28144.0</v>
      </c>
      <c r="B3363" s="2" t="s">
        <v>5424</v>
      </c>
      <c r="C3363" s="2" t="s">
        <v>5427</v>
      </c>
      <c r="D3363" s="4" t="s">
        <v>5428</v>
      </c>
    </row>
    <row r="3364">
      <c r="A3364" s="3">
        <v>28144.0</v>
      </c>
      <c r="B3364" s="2" t="s">
        <v>5424</v>
      </c>
      <c r="C3364" s="2" t="s">
        <v>379</v>
      </c>
      <c r="D3364" s="4" t="s">
        <v>5429</v>
      </c>
    </row>
    <row r="3365">
      <c r="A3365" s="3">
        <v>28144.0</v>
      </c>
      <c r="B3365" s="2" t="s">
        <v>5424</v>
      </c>
      <c r="C3365" s="2" t="s">
        <v>379</v>
      </c>
      <c r="D3365" s="4" t="s">
        <v>5430</v>
      </c>
    </row>
    <row r="3366">
      <c r="A3366" s="3">
        <v>28145.0</v>
      </c>
      <c r="B3366" s="2" t="s">
        <v>5424</v>
      </c>
      <c r="C3366" s="2" t="s">
        <v>373</v>
      </c>
      <c r="D3366" s="4" t="s">
        <v>5431</v>
      </c>
    </row>
    <row r="3367">
      <c r="A3367" s="3">
        <v>28145.0</v>
      </c>
      <c r="B3367" s="2" t="s">
        <v>5424</v>
      </c>
      <c r="C3367" s="2" t="s">
        <v>379</v>
      </c>
      <c r="D3367" s="4" t="s">
        <v>5432</v>
      </c>
    </row>
    <row r="3368">
      <c r="A3368" s="3">
        <v>28145.0</v>
      </c>
      <c r="B3368" s="2" t="s">
        <v>5424</v>
      </c>
      <c r="C3368" s="2" t="s">
        <v>379</v>
      </c>
      <c r="D3368" s="4" t="s">
        <v>5433</v>
      </c>
    </row>
    <row r="3369">
      <c r="A3369" s="3">
        <v>28146.0</v>
      </c>
      <c r="B3369" s="2" t="s">
        <v>5424</v>
      </c>
      <c r="C3369" s="2" t="s">
        <v>1671</v>
      </c>
      <c r="D3369" s="4" t="s">
        <v>5434</v>
      </c>
    </row>
    <row r="3370">
      <c r="A3370" s="3">
        <v>28146.0</v>
      </c>
      <c r="B3370" s="2" t="s">
        <v>5435</v>
      </c>
      <c r="C3370" s="2" t="s">
        <v>82</v>
      </c>
      <c r="D3370" s="4" t="s">
        <v>5436</v>
      </c>
    </row>
    <row r="3371">
      <c r="A3371" s="3">
        <v>28146.0</v>
      </c>
      <c r="B3371" s="2" t="s">
        <v>5424</v>
      </c>
      <c r="C3371" s="2" t="s">
        <v>379</v>
      </c>
      <c r="D3371" s="4" t="s">
        <v>5437</v>
      </c>
    </row>
    <row r="3372">
      <c r="A3372" s="3">
        <v>28146.0</v>
      </c>
      <c r="B3372" s="2" t="s">
        <v>5424</v>
      </c>
      <c r="C3372" s="2" t="s">
        <v>379</v>
      </c>
      <c r="D3372" s="4" t="s">
        <v>5438</v>
      </c>
    </row>
    <row r="3373">
      <c r="A3373" s="3">
        <v>28146.0</v>
      </c>
      <c r="B3373" s="2" t="s">
        <v>5424</v>
      </c>
      <c r="C3373" s="2" t="s">
        <v>379</v>
      </c>
      <c r="D3373" s="4" t="s">
        <v>5439</v>
      </c>
    </row>
    <row r="3374">
      <c r="A3374" s="3">
        <v>28146.0</v>
      </c>
      <c r="B3374" s="2" t="s">
        <v>5424</v>
      </c>
      <c r="C3374" s="2" t="s">
        <v>379</v>
      </c>
      <c r="D3374" s="4" t="s">
        <v>5440</v>
      </c>
    </row>
    <row r="3375">
      <c r="A3375" s="3">
        <v>28146.0</v>
      </c>
      <c r="B3375" s="2" t="s">
        <v>5424</v>
      </c>
      <c r="C3375" s="2" t="s">
        <v>379</v>
      </c>
      <c r="D3375" s="4" t="s">
        <v>5441</v>
      </c>
    </row>
    <row r="3376">
      <c r="A3376" s="3">
        <v>28146.0</v>
      </c>
      <c r="B3376" s="2" t="s">
        <v>5424</v>
      </c>
      <c r="C3376" s="2" t="s">
        <v>379</v>
      </c>
      <c r="D3376" s="4" t="s">
        <v>5442</v>
      </c>
    </row>
    <row r="3377">
      <c r="A3377" s="3">
        <v>28147.0</v>
      </c>
      <c r="B3377" s="2" t="s">
        <v>5424</v>
      </c>
      <c r="C3377" s="2" t="s">
        <v>369</v>
      </c>
      <c r="D3377" s="4" t="s">
        <v>5443</v>
      </c>
    </row>
    <row r="3378">
      <c r="A3378" s="3">
        <v>28147.0</v>
      </c>
      <c r="B3378" s="2" t="s">
        <v>5424</v>
      </c>
      <c r="C3378" s="2" t="s">
        <v>5444</v>
      </c>
      <c r="D3378" s="4" t="s">
        <v>5445</v>
      </c>
    </row>
    <row r="3379">
      <c r="A3379" s="3">
        <v>28147.0</v>
      </c>
      <c r="B3379" s="2" t="s">
        <v>5424</v>
      </c>
      <c r="C3379" s="2" t="s">
        <v>2975</v>
      </c>
      <c r="D3379" s="4" t="s">
        <v>5446</v>
      </c>
    </row>
    <row r="3380">
      <c r="A3380" s="3">
        <v>28147.0</v>
      </c>
      <c r="B3380" s="2" t="s">
        <v>5424</v>
      </c>
      <c r="C3380" s="2" t="s">
        <v>379</v>
      </c>
      <c r="D3380" s="4" t="s">
        <v>5447</v>
      </c>
    </row>
    <row r="3381">
      <c r="A3381" s="3">
        <v>28148.0</v>
      </c>
      <c r="B3381" s="2" t="s">
        <v>5424</v>
      </c>
      <c r="C3381" s="2" t="s">
        <v>5427</v>
      </c>
      <c r="D3381" s="4" t="s">
        <v>5448</v>
      </c>
    </row>
    <row r="3382">
      <c r="A3382" s="3">
        <v>28148.0</v>
      </c>
      <c r="B3382" s="2" t="s">
        <v>5424</v>
      </c>
      <c r="C3382" s="2" t="s">
        <v>4848</v>
      </c>
      <c r="D3382" s="4" t="s">
        <v>5449</v>
      </c>
    </row>
    <row r="3383">
      <c r="A3383" s="3">
        <v>28148.0</v>
      </c>
      <c r="B3383" s="2" t="s">
        <v>5424</v>
      </c>
      <c r="C3383" s="2" t="s">
        <v>5450</v>
      </c>
      <c r="D3383" s="4" t="s">
        <v>5451</v>
      </c>
    </row>
    <row r="3384">
      <c r="A3384" s="3">
        <v>28148.0</v>
      </c>
      <c r="B3384" s="2" t="s">
        <v>5424</v>
      </c>
      <c r="C3384" s="2" t="s">
        <v>379</v>
      </c>
      <c r="D3384" s="4" t="s">
        <v>5452</v>
      </c>
    </row>
    <row r="3385">
      <c r="A3385" s="3">
        <v>28149.0</v>
      </c>
      <c r="B3385" s="2" t="s">
        <v>5424</v>
      </c>
      <c r="C3385" s="2" t="s">
        <v>1671</v>
      </c>
      <c r="D3385" s="4" t="s">
        <v>5453</v>
      </c>
    </row>
    <row r="3386">
      <c r="A3386" s="3">
        <v>28149.0</v>
      </c>
      <c r="B3386" s="2" t="s">
        <v>5424</v>
      </c>
      <c r="C3386" s="2" t="s">
        <v>5454</v>
      </c>
      <c r="D3386" s="4" t="s">
        <v>5455</v>
      </c>
    </row>
    <row r="3387">
      <c r="A3387" s="3">
        <v>28149.0</v>
      </c>
      <c r="B3387" s="2" t="s">
        <v>5424</v>
      </c>
      <c r="C3387" s="2" t="s">
        <v>379</v>
      </c>
      <c r="D3387" s="4" t="s">
        <v>5456</v>
      </c>
    </row>
    <row r="3388">
      <c r="A3388" s="3">
        <v>28149.0</v>
      </c>
      <c r="B3388" s="2" t="s">
        <v>5424</v>
      </c>
      <c r="C3388" s="2" t="s">
        <v>379</v>
      </c>
      <c r="D3388" s="4" t="s">
        <v>5457</v>
      </c>
    </row>
    <row r="3389">
      <c r="A3389" s="3">
        <v>28150.0</v>
      </c>
      <c r="B3389" s="2" t="s">
        <v>5458</v>
      </c>
      <c r="C3389" s="2" t="s">
        <v>1671</v>
      </c>
      <c r="D3389" s="4" t="s">
        <v>5459</v>
      </c>
    </row>
    <row r="3390">
      <c r="A3390" s="3">
        <v>28150.0</v>
      </c>
      <c r="B3390" s="2" t="s">
        <v>5458</v>
      </c>
      <c r="C3390" s="2" t="s">
        <v>4985</v>
      </c>
      <c r="D3390" s="4" t="s">
        <v>5460</v>
      </c>
    </row>
    <row r="3391">
      <c r="A3391" s="3">
        <v>28150.0</v>
      </c>
      <c r="B3391" s="2" t="s">
        <v>5458</v>
      </c>
      <c r="C3391" s="2" t="s">
        <v>730</v>
      </c>
      <c r="D3391" s="4" t="s">
        <v>5461</v>
      </c>
    </row>
    <row r="3392">
      <c r="A3392" s="3">
        <v>28151.0</v>
      </c>
      <c r="B3392" s="2" t="s">
        <v>5458</v>
      </c>
      <c r="C3392" s="2" t="s">
        <v>730</v>
      </c>
      <c r="D3392" s="4" t="s">
        <v>5462</v>
      </c>
    </row>
    <row r="3393">
      <c r="A3393" s="3">
        <v>28151.0</v>
      </c>
      <c r="B3393" s="2" t="s">
        <v>5458</v>
      </c>
      <c r="C3393" s="2" t="s">
        <v>5463</v>
      </c>
      <c r="D3393" s="4" t="s">
        <v>5464</v>
      </c>
    </row>
    <row r="3394">
      <c r="A3394" s="3">
        <v>28151.0</v>
      </c>
      <c r="B3394" s="2" t="s">
        <v>5458</v>
      </c>
      <c r="C3394" s="2" t="s">
        <v>5465</v>
      </c>
      <c r="D3394" s="4" t="s">
        <v>5466</v>
      </c>
    </row>
    <row r="3395">
      <c r="A3395" s="3">
        <v>28152.0</v>
      </c>
      <c r="B3395" s="2" t="s">
        <v>5458</v>
      </c>
      <c r="C3395" s="2" t="s">
        <v>379</v>
      </c>
      <c r="D3395" s="4" t="s">
        <v>5467</v>
      </c>
    </row>
    <row r="3396">
      <c r="A3396" s="3">
        <v>28152.0</v>
      </c>
      <c r="B3396" s="2" t="s">
        <v>5458</v>
      </c>
      <c r="C3396" s="2" t="s">
        <v>5468</v>
      </c>
      <c r="D3396" s="4" t="s">
        <v>5469</v>
      </c>
    </row>
    <row r="3397">
      <c r="A3397" s="3">
        <v>28152.0</v>
      </c>
      <c r="B3397" s="2" t="s">
        <v>5424</v>
      </c>
      <c r="C3397" s="2" t="s">
        <v>379</v>
      </c>
      <c r="D3397" s="4" t="s">
        <v>5470</v>
      </c>
    </row>
    <row r="3398">
      <c r="A3398" s="3">
        <v>28152.0</v>
      </c>
      <c r="B3398" s="2" t="s">
        <v>5424</v>
      </c>
      <c r="C3398" s="2" t="s">
        <v>379</v>
      </c>
      <c r="D3398" s="4" t="s">
        <v>5471</v>
      </c>
    </row>
    <row r="3399">
      <c r="A3399" s="3">
        <v>28153.0</v>
      </c>
      <c r="B3399" s="2" t="s">
        <v>5424</v>
      </c>
      <c r="C3399" s="2" t="s">
        <v>1671</v>
      </c>
      <c r="D3399" s="4" t="s">
        <v>5472</v>
      </c>
    </row>
    <row r="3400">
      <c r="A3400" s="3">
        <v>28153.0</v>
      </c>
      <c r="B3400" s="2" t="s">
        <v>5424</v>
      </c>
      <c r="C3400" s="2" t="s">
        <v>379</v>
      </c>
      <c r="D3400" s="4" t="s">
        <v>5473</v>
      </c>
    </row>
    <row r="3401">
      <c r="A3401" s="3">
        <v>28153.0</v>
      </c>
      <c r="B3401" s="2" t="s">
        <v>5424</v>
      </c>
      <c r="C3401" s="2" t="s">
        <v>379</v>
      </c>
      <c r="D3401" s="4" t="s">
        <v>5474</v>
      </c>
    </row>
    <row r="3402">
      <c r="A3402" s="3">
        <v>28154.0</v>
      </c>
      <c r="B3402" s="2" t="s">
        <v>5424</v>
      </c>
      <c r="C3402" s="2" t="s">
        <v>1671</v>
      </c>
      <c r="D3402" s="4" t="s">
        <v>5475</v>
      </c>
    </row>
    <row r="3403">
      <c r="A3403" s="3">
        <v>28154.0</v>
      </c>
      <c r="B3403" s="2" t="s">
        <v>5424</v>
      </c>
      <c r="C3403" s="2" t="s">
        <v>379</v>
      </c>
      <c r="D3403" s="4" t="s">
        <v>5476</v>
      </c>
    </row>
    <row r="3404">
      <c r="A3404" s="3">
        <v>28154.0</v>
      </c>
      <c r="B3404" s="2" t="s">
        <v>5424</v>
      </c>
      <c r="C3404" s="2" t="s">
        <v>379</v>
      </c>
      <c r="D3404" s="4" t="s">
        <v>5477</v>
      </c>
    </row>
    <row r="3405">
      <c r="A3405" s="3">
        <v>28154.0</v>
      </c>
      <c r="B3405" s="2" t="s">
        <v>5424</v>
      </c>
      <c r="C3405" s="2" t="s">
        <v>369</v>
      </c>
      <c r="D3405" s="4" t="s">
        <v>5478</v>
      </c>
    </row>
    <row r="3406">
      <c r="A3406" s="3">
        <v>28155.0</v>
      </c>
      <c r="B3406" s="2" t="s">
        <v>5424</v>
      </c>
      <c r="C3406" s="2" t="s">
        <v>373</v>
      </c>
      <c r="D3406" s="4" t="s">
        <v>5479</v>
      </c>
    </row>
    <row r="3407">
      <c r="A3407" s="3">
        <v>28155.0</v>
      </c>
      <c r="B3407" s="2" t="s">
        <v>5424</v>
      </c>
      <c r="C3407" s="2" t="s">
        <v>3603</v>
      </c>
      <c r="D3407" s="4" t="s">
        <v>5480</v>
      </c>
    </row>
    <row r="3408">
      <c r="A3408" s="3">
        <v>28155.0</v>
      </c>
      <c r="B3408" s="2" t="s">
        <v>5424</v>
      </c>
      <c r="C3408" s="2" t="s">
        <v>379</v>
      </c>
      <c r="D3408" s="4" t="s">
        <v>5481</v>
      </c>
    </row>
    <row r="3409">
      <c r="A3409" s="3">
        <v>28156.0</v>
      </c>
      <c r="B3409" s="2" t="s">
        <v>5424</v>
      </c>
      <c r="C3409" s="2" t="s">
        <v>1671</v>
      </c>
      <c r="D3409" s="4" t="s">
        <v>5482</v>
      </c>
    </row>
    <row r="3410">
      <c r="A3410" s="3">
        <v>28156.0</v>
      </c>
      <c r="B3410" s="2" t="s">
        <v>5424</v>
      </c>
      <c r="C3410" s="2" t="s">
        <v>5483</v>
      </c>
      <c r="D3410" s="4" t="s">
        <v>5484</v>
      </c>
    </row>
    <row r="3411">
      <c r="A3411" s="3">
        <v>28156.0</v>
      </c>
      <c r="B3411" s="2" t="s">
        <v>5424</v>
      </c>
      <c r="C3411" s="2" t="s">
        <v>379</v>
      </c>
      <c r="D3411" s="4" t="s">
        <v>5485</v>
      </c>
    </row>
    <row r="3412">
      <c r="A3412" s="3">
        <v>28156.0</v>
      </c>
      <c r="B3412" s="2" t="s">
        <v>5424</v>
      </c>
      <c r="C3412" s="2" t="s">
        <v>379</v>
      </c>
      <c r="D3412" s="4" t="s">
        <v>5486</v>
      </c>
    </row>
    <row r="3413">
      <c r="A3413" s="3">
        <v>28156.0</v>
      </c>
      <c r="B3413" s="2" t="s">
        <v>5424</v>
      </c>
      <c r="C3413" s="2" t="s">
        <v>379</v>
      </c>
      <c r="D3413" s="4" t="s">
        <v>5487</v>
      </c>
    </row>
    <row r="3414">
      <c r="A3414" s="3">
        <v>28157.0</v>
      </c>
      <c r="B3414" s="2" t="s">
        <v>5424</v>
      </c>
      <c r="C3414" s="2" t="s">
        <v>1671</v>
      </c>
      <c r="D3414" s="4" t="s">
        <v>5488</v>
      </c>
    </row>
    <row r="3415">
      <c r="A3415" s="3">
        <v>28158.0</v>
      </c>
      <c r="B3415" s="2" t="s">
        <v>5424</v>
      </c>
      <c r="C3415" s="2" t="s">
        <v>1671</v>
      </c>
      <c r="D3415" s="4" t="s">
        <v>5489</v>
      </c>
    </row>
    <row r="3416">
      <c r="A3416" s="3">
        <v>28158.0</v>
      </c>
      <c r="B3416" s="2" t="s">
        <v>5424</v>
      </c>
      <c r="C3416" s="2" t="s">
        <v>5490</v>
      </c>
      <c r="D3416" s="4" t="s">
        <v>5491</v>
      </c>
    </row>
    <row r="3417">
      <c r="A3417" s="3">
        <v>28158.0</v>
      </c>
      <c r="B3417" s="2" t="s">
        <v>5424</v>
      </c>
      <c r="C3417" s="2" t="s">
        <v>5492</v>
      </c>
      <c r="D3417" s="4" t="s">
        <v>5493</v>
      </c>
    </row>
    <row r="3418">
      <c r="A3418" s="3">
        <v>28158.0</v>
      </c>
      <c r="B3418" s="2" t="s">
        <v>5424</v>
      </c>
      <c r="C3418" s="2" t="s">
        <v>379</v>
      </c>
      <c r="D3418" s="4" t="s">
        <v>5494</v>
      </c>
    </row>
    <row r="3419">
      <c r="A3419" s="3">
        <v>28158.0</v>
      </c>
      <c r="B3419" s="2" t="s">
        <v>5424</v>
      </c>
      <c r="C3419" s="2" t="s">
        <v>379</v>
      </c>
      <c r="D3419" s="4" t="s">
        <v>5495</v>
      </c>
    </row>
    <row r="3420">
      <c r="A3420" s="3">
        <v>28159.0</v>
      </c>
      <c r="B3420" s="2" t="s">
        <v>5424</v>
      </c>
      <c r="C3420" s="2" t="s">
        <v>379</v>
      </c>
      <c r="D3420" s="4" t="s">
        <v>5496</v>
      </c>
    </row>
    <row r="3421">
      <c r="A3421" s="3">
        <v>28159.0</v>
      </c>
      <c r="B3421" s="2" t="s">
        <v>5424</v>
      </c>
      <c r="C3421" s="2" t="s">
        <v>5497</v>
      </c>
      <c r="D3421" s="4" t="s">
        <v>5498</v>
      </c>
    </row>
    <row r="3422">
      <c r="A3422" s="3">
        <v>28160.0</v>
      </c>
      <c r="B3422" s="2" t="s">
        <v>977</v>
      </c>
      <c r="C3422" s="2" t="s">
        <v>1211</v>
      </c>
      <c r="D3422" s="4" t="s">
        <v>5499</v>
      </c>
    </row>
    <row r="3423">
      <c r="A3423" s="3">
        <v>28160.0</v>
      </c>
      <c r="B3423" s="2" t="s">
        <v>977</v>
      </c>
      <c r="C3423" s="2" t="s">
        <v>379</v>
      </c>
      <c r="D3423" s="4" t="s">
        <v>5500</v>
      </c>
    </row>
    <row r="3424">
      <c r="A3424" s="3">
        <v>28160.0</v>
      </c>
      <c r="B3424" s="2" t="s">
        <v>977</v>
      </c>
      <c r="C3424" s="2" t="s">
        <v>1150</v>
      </c>
      <c r="D3424" s="4" t="s">
        <v>5501</v>
      </c>
    </row>
    <row r="3425">
      <c r="A3425" s="3">
        <v>28161.0</v>
      </c>
      <c r="B3425" s="2" t="s">
        <v>977</v>
      </c>
      <c r="C3425" s="2" t="s">
        <v>2191</v>
      </c>
      <c r="D3425" s="4" t="s">
        <v>5502</v>
      </c>
    </row>
    <row r="3426">
      <c r="A3426" s="3">
        <v>28162.0</v>
      </c>
      <c r="B3426" s="2" t="s">
        <v>977</v>
      </c>
      <c r="C3426" s="2" t="s">
        <v>5503</v>
      </c>
      <c r="D3426" s="4" t="s">
        <v>5504</v>
      </c>
    </row>
    <row r="3427">
      <c r="A3427" s="3">
        <v>28163.0</v>
      </c>
      <c r="B3427" s="2" t="s">
        <v>1485</v>
      </c>
      <c r="C3427" s="2" t="s">
        <v>1211</v>
      </c>
      <c r="D3427" s="4" t="s">
        <v>5505</v>
      </c>
    </row>
    <row r="3428">
      <c r="A3428" s="3">
        <v>28164.0</v>
      </c>
      <c r="B3428" s="2" t="s">
        <v>1485</v>
      </c>
      <c r="C3428" s="2" t="s">
        <v>5506</v>
      </c>
      <c r="D3428" s="4" t="s">
        <v>5507</v>
      </c>
    </row>
    <row r="3429">
      <c r="A3429" s="3">
        <v>28166.0</v>
      </c>
      <c r="B3429" s="2" t="s">
        <v>1485</v>
      </c>
      <c r="C3429" s="2" t="s">
        <v>373</v>
      </c>
      <c r="D3429" s="4" t="s">
        <v>5508</v>
      </c>
    </row>
    <row r="3430">
      <c r="A3430" s="3">
        <v>28166.0</v>
      </c>
      <c r="B3430" s="2" t="s">
        <v>1485</v>
      </c>
      <c r="C3430" s="2" t="s">
        <v>4390</v>
      </c>
      <c r="D3430" s="4" t="s">
        <v>5509</v>
      </c>
    </row>
    <row r="3431">
      <c r="A3431" s="3">
        <v>28167.0</v>
      </c>
      <c r="B3431" s="2" t="s">
        <v>1485</v>
      </c>
      <c r="C3431" s="2" t="s">
        <v>379</v>
      </c>
      <c r="D3431" s="4" t="s">
        <v>5510</v>
      </c>
    </row>
    <row r="3432">
      <c r="A3432" s="3">
        <v>28168.0</v>
      </c>
      <c r="B3432" s="2" t="s">
        <v>1485</v>
      </c>
      <c r="C3432" s="2" t="s">
        <v>5511</v>
      </c>
      <c r="D3432" s="4" t="s">
        <v>5512</v>
      </c>
    </row>
    <row r="3433">
      <c r="A3433" s="3">
        <v>28168.0</v>
      </c>
      <c r="B3433" s="2" t="s">
        <v>1485</v>
      </c>
      <c r="C3433" s="2" t="s">
        <v>379</v>
      </c>
      <c r="D3433" s="4" t="s">
        <v>5513</v>
      </c>
    </row>
    <row r="3434">
      <c r="A3434" s="3">
        <v>28170.0</v>
      </c>
      <c r="B3434" s="2" t="s">
        <v>1485</v>
      </c>
      <c r="C3434" s="2" t="s">
        <v>379</v>
      </c>
      <c r="D3434" s="4" t="s">
        <v>5514</v>
      </c>
    </row>
    <row r="3435">
      <c r="A3435" s="3">
        <v>28170.0</v>
      </c>
      <c r="B3435" s="2" t="s">
        <v>1485</v>
      </c>
      <c r="C3435" s="2" t="s">
        <v>5515</v>
      </c>
      <c r="D3435" s="4" t="s">
        <v>5516</v>
      </c>
    </row>
    <row r="3436">
      <c r="A3436" s="3">
        <v>28170.0</v>
      </c>
      <c r="B3436" s="2" t="s">
        <v>1485</v>
      </c>
      <c r="C3436" s="2" t="s">
        <v>4336</v>
      </c>
      <c r="D3436" s="4" t="s">
        <v>5517</v>
      </c>
    </row>
    <row r="3437">
      <c r="A3437" s="3">
        <v>28171.0</v>
      </c>
      <c r="B3437" s="2" t="s">
        <v>1485</v>
      </c>
      <c r="C3437" s="2" t="s">
        <v>4848</v>
      </c>
      <c r="D3437" s="4" t="s">
        <v>5518</v>
      </c>
    </row>
    <row r="3438">
      <c r="A3438" s="3">
        <v>28172.0</v>
      </c>
      <c r="B3438" s="2" t="s">
        <v>1485</v>
      </c>
      <c r="C3438" s="2" t="s">
        <v>5519</v>
      </c>
      <c r="D3438" s="4" t="s">
        <v>5520</v>
      </c>
    </row>
    <row r="3439">
      <c r="A3439" s="3">
        <v>28172.0</v>
      </c>
      <c r="B3439" s="2" t="s">
        <v>1485</v>
      </c>
      <c r="C3439" s="2" t="s">
        <v>379</v>
      </c>
      <c r="D3439" s="4" t="s">
        <v>5521</v>
      </c>
    </row>
    <row r="3440">
      <c r="A3440" s="3">
        <v>28173.0</v>
      </c>
      <c r="B3440" s="2" t="s">
        <v>1485</v>
      </c>
      <c r="C3440" s="2" t="s">
        <v>4394</v>
      </c>
      <c r="D3440" s="4" t="s">
        <v>5522</v>
      </c>
    </row>
    <row r="3441">
      <c r="A3441" s="3">
        <v>28173.0</v>
      </c>
      <c r="B3441" s="2" t="s">
        <v>1485</v>
      </c>
      <c r="C3441" s="2" t="s">
        <v>379</v>
      </c>
      <c r="D3441" s="4" t="s">
        <v>5523</v>
      </c>
    </row>
    <row r="3442">
      <c r="A3442" s="3">
        <v>28174.0</v>
      </c>
      <c r="B3442" s="2" t="s">
        <v>1485</v>
      </c>
      <c r="C3442" s="2" t="s">
        <v>4397</v>
      </c>
      <c r="D3442" s="4" t="s">
        <v>5524</v>
      </c>
    </row>
    <row r="3443">
      <c r="A3443" s="3">
        <v>28174.0</v>
      </c>
      <c r="B3443" s="2" t="s">
        <v>1485</v>
      </c>
      <c r="C3443" s="2" t="s">
        <v>379</v>
      </c>
      <c r="D3443" s="4" t="s">
        <v>5525</v>
      </c>
    </row>
    <row r="3444">
      <c r="A3444" s="3">
        <v>28174.0</v>
      </c>
      <c r="B3444" s="2" t="s">
        <v>1485</v>
      </c>
      <c r="C3444" s="2" t="s">
        <v>379</v>
      </c>
      <c r="D3444" s="4" t="s">
        <v>5526</v>
      </c>
    </row>
    <row r="3445">
      <c r="A3445" s="3">
        <v>28174.0</v>
      </c>
      <c r="B3445" s="2" t="s">
        <v>1485</v>
      </c>
      <c r="C3445" s="2" t="s">
        <v>5527</v>
      </c>
      <c r="D3445" s="4" t="s">
        <v>5528</v>
      </c>
    </row>
    <row r="3446">
      <c r="A3446" s="3">
        <v>28174.0</v>
      </c>
      <c r="B3446" s="2" t="s">
        <v>1485</v>
      </c>
      <c r="C3446" s="2" t="s">
        <v>379</v>
      </c>
      <c r="D3446" s="4" t="s">
        <v>5529</v>
      </c>
    </row>
    <row r="3447">
      <c r="A3447" s="3">
        <v>28175.0</v>
      </c>
      <c r="B3447" s="2" t="s">
        <v>1485</v>
      </c>
      <c r="C3447" s="2" t="s">
        <v>4848</v>
      </c>
      <c r="D3447" s="4" t="s">
        <v>5530</v>
      </c>
    </row>
    <row r="3448">
      <c r="A3448" s="3">
        <v>28175.0</v>
      </c>
      <c r="B3448" s="2" t="s">
        <v>1485</v>
      </c>
      <c r="C3448" s="2" t="s">
        <v>379</v>
      </c>
      <c r="D3448" s="4" t="s">
        <v>5531</v>
      </c>
    </row>
    <row r="3449">
      <c r="A3449" s="3">
        <v>28175.0</v>
      </c>
      <c r="B3449" s="2" t="s">
        <v>1485</v>
      </c>
      <c r="C3449" s="2" t="s">
        <v>5532</v>
      </c>
      <c r="D3449" s="4" t="s">
        <v>5533</v>
      </c>
    </row>
    <row r="3450">
      <c r="A3450" s="3">
        <v>28175.0</v>
      </c>
      <c r="B3450" s="2" t="s">
        <v>1485</v>
      </c>
      <c r="C3450" s="2" t="s">
        <v>379</v>
      </c>
      <c r="D3450" s="4" t="s">
        <v>5534</v>
      </c>
    </row>
    <row r="3451">
      <c r="A3451" s="3">
        <v>28175.0</v>
      </c>
      <c r="B3451" s="2" t="s">
        <v>1485</v>
      </c>
      <c r="C3451" s="2" t="s">
        <v>379</v>
      </c>
      <c r="D3451" s="4" t="s">
        <v>5535</v>
      </c>
    </row>
    <row r="3452">
      <c r="A3452" s="3">
        <v>28177.0</v>
      </c>
      <c r="B3452" s="2" t="s">
        <v>1485</v>
      </c>
      <c r="C3452" s="2" t="s">
        <v>379</v>
      </c>
      <c r="D3452" s="4" t="s">
        <v>5536</v>
      </c>
    </row>
    <row r="3453">
      <c r="A3453" s="3">
        <v>28180.0</v>
      </c>
      <c r="B3453" s="2" t="s">
        <v>1485</v>
      </c>
      <c r="C3453" s="2" t="s">
        <v>5537</v>
      </c>
      <c r="D3453" s="4" t="s">
        <v>5538</v>
      </c>
    </row>
    <row r="3454">
      <c r="A3454" s="3">
        <v>28180.0</v>
      </c>
      <c r="B3454" s="2" t="s">
        <v>1485</v>
      </c>
      <c r="C3454" s="2" t="s">
        <v>4848</v>
      </c>
      <c r="D3454" s="4" t="s">
        <v>5539</v>
      </c>
    </row>
    <row r="3455">
      <c r="A3455" s="3">
        <v>28181.0</v>
      </c>
      <c r="B3455" s="2" t="s">
        <v>1485</v>
      </c>
      <c r="C3455" s="2" t="s">
        <v>4400</v>
      </c>
      <c r="D3455" s="4" t="s">
        <v>5540</v>
      </c>
    </row>
    <row r="3456">
      <c r="A3456" s="3">
        <v>28181.0</v>
      </c>
      <c r="B3456" s="2" t="s">
        <v>1485</v>
      </c>
      <c r="C3456" s="2" t="s">
        <v>4848</v>
      </c>
      <c r="D3456" s="4" t="s">
        <v>5541</v>
      </c>
    </row>
    <row r="3457">
      <c r="A3457" s="3">
        <v>28181.0</v>
      </c>
      <c r="B3457" s="2" t="s">
        <v>1485</v>
      </c>
      <c r="C3457" s="2" t="s">
        <v>379</v>
      </c>
      <c r="D3457" s="4" t="s">
        <v>5542</v>
      </c>
    </row>
    <row r="3458">
      <c r="A3458" s="3">
        <v>28181.0</v>
      </c>
      <c r="B3458" s="2" t="s">
        <v>1485</v>
      </c>
      <c r="C3458" s="2" t="s">
        <v>5543</v>
      </c>
      <c r="D3458" s="4" t="s">
        <v>5544</v>
      </c>
    </row>
    <row r="3459">
      <c r="A3459" s="3">
        <v>28182.0</v>
      </c>
      <c r="B3459" s="2" t="s">
        <v>1485</v>
      </c>
      <c r="C3459" s="2" t="s">
        <v>5545</v>
      </c>
      <c r="D3459" s="4" t="s">
        <v>5546</v>
      </c>
    </row>
    <row r="3460">
      <c r="A3460" s="3">
        <v>28182.0</v>
      </c>
      <c r="B3460" s="2" t="s">
        <v>1485</v>
      </c>
      <c r="C3460" s="2" t="s">
        <v>358</v>
      </c>
      <c r="D3460" s="4" t="s">
        <v>5547</v>
      </c>
    </row>
    <row r="3461">
      <c r="A3461" s="3">
        <v>28182.0</v>
      </c>
      <c r="B3461" s="2" t="s">
        <v>1485</v>
      </c>
      <c r="C3461" s="2" t="s">
        <v>4848</v>
      </c>
      <c r="D3461" s="4" t="s">
        <v>5548</v>
      </c>
    </row>
    <row r="3462">
      <c r="A3462" s="3">
        <v>28183.0</v>
      </c>
      <c r="B3462" s="2" t="s">
        <v>1485</v>
      </c>
      <c r="C3462" s="2" t="s">
        <v>4402</v>
      </c>
      <c r="D3462" s="4" t="s">
        <v>5549</v>
      </c>
    </row>
    <row r="3463">
      <c r="A3463" s="3">
        <v>28183.0</v>
      </c>
      <c r="B3463" s="2" t="s">
        <v>1485</v>
      </c>
      <c r="C3463" s="2" t="s">
        <v>379</v>
      </c>
      <c r="D3463" s="4" t="s">
        <v>5550</v>
      </c>
    </row>
    <row r="3464">
      <c r="A3464" s="3">
        <v>28183.0</v>
      </c>
      <c r="B3464" s="2" t="s">
        <v>1485</v>
      </c>
      <c r="C3464" s="2" t="s">
        <v>379</v>
      </c>
      <c r="D3464" s="4" t="s">
        <v>5551</v>
      </c>
    </row>
    <row r="3465">
      <c r="A3465" s="3">
        <v>28184.0</v>
      </c>
      <c r="B3465" s="2" t="s">
        <v>1485</v>
      </c>
      <c r="C3465" s="2" t="s">
        <v>428</v>
      </c>
      <c r="D3465" s="4" t="s">
        <v>5552</v>
      </c>
    </row>
    <row r="3466">
      <c r="A3466" s="3">
        <v>28184.0</v>
      </c>
      <c r="B3466" s="2" t="s">
        <v>1485</v>
      </c>
      <c r="C3466" s="2" t="s">
        <v>3603</v>
      </c>
      <c r="D3466" s="4" t="s">
        <v>5553</v>
      </c>
    </row>
    <row r="3467">
      <c r="A3467" s="3">
        <v>28184.0</v>
      </c>
      <c r="B3467" s="2" t="s">
        <v>1485</v>
      </c>
      <c r="C3467" s="2" t="s">
        <v>5554</v>
      </c>
      <c r="D3467" s="4" t="s">
        <v>5555</v>
      </c>
    </row>
    <row r="3468">
      <c r="A3468" s="3">
        <v>28184.0</v>
      </c>
      <c r="B3468" s="2" t="s">
        <v>1485</v>
      </c>
      <c r="C3468" s="2" t="s">
        <v>379</v>
      </c>
      <c r="D3468" s="4" t="s">
        <v>5556</v>
      </c>
    </row>
    <row r="3469">
      <c r="A3469" s="5">
        <v>28185.0</v>
      </c>
      <c r="B3469" s="2" t="s">
        <v>1485</v>
      </c>
      <c r="C3469" s="2" t="s">
        <v>431</v>
      </c>
      <c r="D3469" s="4" t="s">
        <v>5557</v>
      </c>
    </row>
    <row r="3470">
      <c r="A3470" s="5">
        <v>28185.0</v>
      </c>
      <c r="B3470" s="2" t="s">
        <v>1485</v>
      </c>
      <c r="C3470" s="2" t="s">
        <v>5558</v>
      </c>
      <c r="D3470" s="4" t="s">
        <v>5559</v>
      </c>
    </row>
    <row r="3471">
      <c r="A3471" s="5">
        <v>28185.0</v>
      </c>
      <c r="B3471" s="2" t="s">
        <v>1485</v>
      </c>
      <c r="C3471" s="2" t="s">
        <v>379</v>
      </c>
      <c r="D3471" s="4" t="s">
        <v>5560</v>
      </c>
    </row>
    <row r="3472">
      <c r="A3472" s="5">
        <v>28186.0</v>
      </c>
      <c r="B3472" s="2" t="s">
        <v>1485</v>
      </c>
      <c r="C3472" s="2" t="s">
        <v>379</v>
      </c>
      <c r="D3472" s="4" t="s">
        <v>5561</v>
      </c>
    </row>
    <row r="3473">
      <c r="A3473" s="5">
        <v>28188.0</v>
      </c>
      <c r="B3473" s="2" t="s">
        <v>1485</v>
      </c>
      <c r="C3473" s="2" t="s">
        <v>5562</v>
      </c>
      <c r="D3473" s="4" t="s">
        <v>5563</v>
      </c>
    </row>
    <row r="3474">
      <c r="A3474" s="5">
        <v>28204.0</v>
      </c>
      <c r="B3474" s="2" t="s">
        <v>1485</v>
      </c>
      <c r="C3474" s="2" t="s">
        <v>5564</v>
      </c>
      <c r="D3474" s="4" t="s">
        <v>5565</v>
      </c>
    </row>
    <row r="3475">
      <c r="A3475" s="5">
        <v>28206.0</v>
      </c>
      <c r="B3475" s="2" t="s">
        <v>980</v>
      </c>
      <c r="C3475" s="2" t="s">
        <v>379</v>
      </c>
      <c r="D3475" s="4" t="s">
        <v>5566</v>
      </c>
    </row>
    <row r="3476">
      <c r="A3476" s="5">
        <v>28207.0</v>
      </c>
      <c r="B3476" s="2" t="s">
        <v>5567</v>
      </c>
      <c r="C3476" s="2" t="s">
        <v>1669</v>
      </c>
      <c r="D3476" s="4" t="s">
        <v>5568</v>
      </c>
    </row>
    <row r="3477">
      <c r="A3477" s="5">
        <v>28208.0</v>
      </c>
      <c r="B3477" s="2" t="s">
        <v>5569</v>
      </c>
      <c r="C3477" s="2" t="s">
        <v>1682</v>
      </c>
      <c r="D3477" s="4" t="s">
        <v>5570</v>
      </c>
    </row>
    <row r="3478">
      <c r="A3478" s="5">
        <v>28208.0</v>
      </c>
      <c r="B3478" s="2" t="s">
        <v>980</v>
      </c>
      <c r="C3478" s="2" t="s">
        <v>379</v>
      </c>
      <c r="D3478" s="4" t="s">
        <v>5571</v>
      </c>
    </row>
    <row r="3479">
      <c r="A3479" s="5">
        <v>28209.0</v>
      </c>
      <c r="B3479" s="2" t="s">
        <v>980</v>
      </c>
      <c r="C3479" s="2" t="s">
        <v>873</v>
      </c>
      <c r="D3479" s="4" t="s">
        <v>5572</v>
      </c>
    </row>
    <row r="3480">
      <c r="A3480" s="5">
        <v>28210.0</v>
      </c>
      <c r="B3480" s="2" t="s">
        <v>980</v>
      </c>
      <c r="C3480" s="2" t="s">
        <v>82</v>
      </c>
      <c r="D3480" s="4" t="s">
        <v>5573</v>
      </c>
    </row>
    <row r="3481">
      <c r="A3481" s="5">
        <v>28210.0</v>
      </c>
      <c r="B3481" s="2" t="s">
        <v>980</v>
      </c>
      <c r="C3481" s="2" t="s">
        <v>379</v>
      </c>
      <c r="D3481" s="4" t="s">
        <v>5574</v>
      </c>
    </row>
    <row r="3482">
      <c r="A3482" s="5">
        <v>28210.0</v>
      </c>
      <c r="B3482" s="2" t="s">
        <v>980</v>
      </c>
      <c r="C3482" s="2" t="s">
        <v>379</v>
      </c>
      <c r="D3482" s="4" t="s">
        <v>5575</v>
      </c>
    </row>
    <row r="3483">
      <c r="A3483" s="5">
        <v>28210.0</v>
      </c>
      <c r="B3483" s="2" t="s">
        <v>980</v>
      </c>
      <c r="C3483" s="2" t="s">
        <v>379</v>
      </c>
      <c r="D3483" s="4" t="s">
        <v>5576</v>
      </c>
    </row>
    <row r="3484">
      <c r="A3484" s="5">
        <v>28211.0</v>
      </c>
      <c r="B3484" s="2" t="s">
        <v>980</v>
      </c>
      <c r="C3484" s="2" t="s">
        <v>379</v>
      </c>
      <c r="D3484" s="4" t="s">
        <v>5577</v>
      </c>
    </row>
    <row r="3485">
      <c r="A3485" s="5">
        <v>28211.0</v>
      </c>
      <c r="B3485" s="2" t="s">
        <v>980</v>
      </c>
      <c r="C3485" s="2" t="s">
        <v>379</v>
      </c>
      <c r="D3485" s="4" t="s">
        <v>5578</v>
      </c>
    </row>
    <row r="3486">
      <c r="A3486" s="5">
        <v>28211.0</v>
      </c>
      <c r="B3486" s="2" t="s">
        <v>980</v>
      </c>
      <c r="C3486" s="2" t="s">
        <v>5579</v>
      </c>
      <c r="D3486" s="4" t="s">
        <v>5580</v>
      </c>
    </row>
    <row r="3487">
      <c r="A3487" s="5">
        <v>28211.0</v>
      </c>
      <c r="B3487" s="2" t="s">
        <v>980</v>
      </c>
      <c r="C3487" s="2" t="s">
        <v>379</v>
      </c>
      <c r="D3487" s="4" t="s">
        <v>5581</v>
      </c>
    </row>
    <row r="3488">
      <c r="A3488" s="5">
        <v>28213.0</v>
      </c>
      <c r="B3488" s="2" t="s">
        <v>980</v>
      </c>
      <c r="C3488" s="2" t="s">
        <v>5582</v>
      </c>
      <c r="D3488" s="4" t="s">
        <v>5583</v>
      </c>
    </row>
    <row r="3489">
      <c r="A3489" s="5">
        <v>28213.0</v>
      </c>
      <c r="B3489" s="2" t="s">
        <v>980</v>
      </c>
      <c r="C3489" s="2" t="s">
        <v>5584</v>
      </c>
      <c r="D3489" s="4" t="s">
        <v>5585</v>
      </c>
    </row>
    <row r="3490">
      <c r="A3490" s="5">
        <v>28214.0</v>
      </c>
      <c r="B3490" s="2" t="s">
        <v>980</v>
      </c>
      <c r="C3490" s="2" t="s">
        <v>5586</v>
      </c>
      <c r="D3490" s="4" t="s">
        <v>5587</v>
      </c>
    </row>
    <row r="3491">
      <c r="A3491" s="5">
        <v>28215.0</v>
      </c>
      <c r="B3491" s="2" t="s">
        <v>980</v>
      </c>
      <c r="C3491" s="2" t="s">
        <v>379</v>
      </c>
      <c r="D3491" s="4" t="s">
        <v>5588</v>
      </c>
    </row>
    <row r="3492">
      <c r="A3492" s="5">
        <v>28215.0</v>
      </c>
      <c r="B3492" s="2" t="s">
        <v>980</v>
      </c>
      <c r="C3492" s="2" t="s">
        <v>1050</v>
      </c>
      <c r="D3492" s="4" t="s">
        <v>5589</v>
      </c>
    </row>
    <row r="3493">
      <c r="A3493" s="5">
        <v>28215.0</v>
      </c>
      <c r="B3493" s="2" t="s">
        <v>980</v>
      </c>
      <c r="C3493" s="2" t="s">
        <v>5590</v>
      </c>
      <c r="D3493" s="4" t="s">
        <v>5591</v>
      </c>
    </row>
    <row r="3494">
      <c r="A3494" s="5">
        <v>28216.0</v>
      </c>
      <c r="B3494" s="2" t="s">
        <v>980</v>
      </c>
      <c r="C3494" s="2" t="s">
        <v>82</v>
      </c>
      <c r="D3494" s="4" t="s">
        <v>5592</v>
      </c>
    </row>
    <row r="3495">
      <c r="A3495" s="5">
        <v>28217.0</v>
      </c>
      <c r="B3495" s="2" t="s">
        <v>980</v>
      </c>
      <c r="C3495" s="2" t="s">
        <v>379</v>
      </c>
      <c r="D3495" s="4" t="s">
        <v>5593</v>
      </c>
    </row>
    <row r="3496">
      <c r="A3496" s="5">
        <v>28220.0</v>
      </c>
      <c r="B3496" s="2" t="s">
        <v>980</v>
      </c>
      <c r="C3496" s="2" t="s">
        <v>5594</v>
      </c>
      <c r="D3496" s="4" t="s">
        <v>5595</v>
      </c>
    </row>
    <row r="3497">
      <c r="A3497" s="5">
        <v>28220.0</v>
      </c>
      <c r="B3497" s="2" t="s">
        <v>980</v>
      </c>
      <c r="C3497" s="2" t="s">
        <v>5596</v>
      </c>
      <c r="D3497" s="4" t="s">
        <v>5597</v>
      </c>
    </row>
    <row r="3498">
      <c r="A3498" s="5">
        <v>28220.0</v>
      </c>
      <c r="B3498" s="2" t="s">
        <v>980</v>
      </c>
      <c r="C3498" s="2" t="s">
        <v>379</v>
      </c>
      <c r="D3498" s="4" t="s">
        <v>5598</v>
      </c>
    </row>
    <row r="3499">
      <c r="A3499" s="5">
        <v>28220.0</v>
      </c>
      <c r="B3499" s="2" t="s">
        <v>980</v>
      </c>
      <c r="C3499" s="2" t="s">
        <v>379</v>
      </c>
      <c r="D3499" s="4" t="s">
        <v>5599</v>
      </c>
    </row>
    <row r="3500">
      <c r="A3500" s="5">
        <v>28225.0</v>
      </c>
      <c r="B3500" s="2" t="s">
        <v>980</v>
      </c>
      <c r="C3500" s="2" t="s">
        <v>379</v>
      </c>
      <c r="D3500" s="4" t="s">
        <v>5600</v>
      </c>
    </row>
    <row r="3501">
      <c r="A3501" s="5">
        <v>28225.0</v>
      </c>
      <c r="B3501" s="2" t="s">
        <v>980</v>
      </c>
      <c r="C3501" s="2" t="s">
        <v>5601</v>
      </c>
      <c r="D3501" s="4" t="s">
        <v>5602</v>
      </c>
    </row>
    <row r="3502">
      <c r="A3502" s="5">
        <v>28226.0</v>
      </c>
      <c r="B3502" s="2" t="s">
        <v>980</v>
      </c>
      <c r="C3502" s="2" t="s">
        <v>5603</v>
      </c>
      <c r="D3502" s="4" t="s">
        <v>5604</v>
      </c>
    </row>
    <row r="3503">
      <c r="A3503" s="5">
        <v>28228.0</v>
      </c>
      <c r="B3503" s="2" t="s">
        <v>980</v>
      </c>
      <c r="C3503" s="2" t="s">
        <v>379</v>
      </c>
      <c r="D3503" s="4" t="s">
        <v>5605</v>
      </c>
    </row>
    <row r="3504">
      <c r="A3504" s="5">
        <v>28230.0</v>
      </c>
      <c r="B3504" s="2" t="s">
        <v>980</v>
      </c>
      <c r="C3504" s="2" t="s">
        <v>5606</v>
      </c>
      <c r="D3504" s="4" t="s">
        <v>5607</v>
      </c>
    </row>
    <row r="3505">
      <c r="A3505" s="5">
        <v>28231.0</v>
      </c>
      <c r="B3505" s="2" t="s">
        <v>980</v>
      </c>
      <c r="C3505" s="2" t="s">
        <v>5608</v>
      </c>
      <c r="D3505" s="4" t="s">
        <v>5609</v>
      </c>
    </row>
    <row r="3506">
      <c r="A3506" s="5">
        <v>28232.0</v>
      </c>
      <c r="B3506" s="2" t="s">
        <v>980</v>
      </c>
      <c r="C3506" s="2" t="s">
        <v>5610</v>
      </c>
      <c r="D3506" s="4" t="s">
        <v>5611</v>
      </c>
    </row>
    <row r="3507">
      <c r="A3507" s="5">
        <v>28232.0</v>
      </c>
      <c r="B3507" s="2" t="s">
        <v>980</v>
      </c>
      <c r="C3507" s="2" t="s">
        <v>5612</v>
      </c>
      <c r="D3507" s="4" t="s">
        <v>5613</v>
      </c>
    </row>
    <row r="3508">
      <c r="A3508" s="5">
        <v>28233.0</v>
      </c>
      <c r="B3508" s="2" t="s">
        <v>980</v>
      </c>
      <c r="C3508" s="2" t="s">
        <v>5614</v>
      </c>
      <c r="D3508" s="4" t="s">
        <v>5615</v>
      </c>
    </row>
    <row r="3509">
      <c r="A3509" s="5">
        <v>28233.0</v>
      </c>
      <c r="B3509" s="2" t="s">
        <v>980</v>
      </c>
      <c r="C3509" s="2" t="s">
        <v>5596</v>
      </c>
      <c r="D3509" s="4" t="s">
        <v>5616</v>
      </c>
    </row>
    <row r="3510">
      <c r="A3510" s="5">
        <v>28234.0</v>
      </c>
      <c r="B3510" s="2" t="s">
        <v>980</v>
      </c>
      <c r="C3510" s="2" t="s">
        <v>5617</v>
      </c>
      <c r="D3510" s="4" t="s">
        <v>5618</v>
      </c>
    </row>
    <row r="3511">
      <c r="A3511" s="5">
        <v>28234.0</v>
      </c>
      <c r="B3511" s="2" t="s">
        <v>980</v>
      </c>
      <c r="C3511" s="2" t="s">
        <v>5619</v>
      </c>
      <c r="D3511" s="4" t="s">
        <v>5620</v>
      </c>
    </row>
    <row r="3512">
      <c r="A3512" s="5">
        <v>28234.0</v>
      </c>
      <c r="B3512" s="2" t="s">
        <v>980</v>
      </c>
      <c r="C3512" s="2" t="s">
        <v>379</v>
      </c>
      <c r="D3512" s="4" t="s">
        <v>5621</v>
      </c>
    </row>
    <row r="3513">
      <c r="A3513" s="5">
        <v>28235.0</v>
      </c>
      <c r="B3513" s="2" t="s">
        <v>980</v>
      </c>
      <c r="C3513" s="2" t="s">
        <v>5622</v>
      </c>
      <c r="D3513" s="4" t="s">
        <v>5623</v>
      </c>
    </row>
    <row r="3514">
      <c r="A3514" s="5">
        <v>28237.0</v>
      </c>
      <c r="B3514" s="2" t="s">
        <v>980</v>
      </c>
      <c r="C3514" s="2" t="s">
        <v>5624</v>
      </c>
      <c r="D3514" s="4" t="s">
        <v>5625</v>
      </c>
    </row>
    <row r="3515">
      <c r="A3515" s="5">
        <v>28237.0</v>
      </c>
      <c r="B3515" s="2" t="s">
        <v>980</v>
      </c>
      <c r="C3515" s="2" t="s">
        <v>5626</v>
      </c>
      <c r="D3515" s="4" t="s">
        <v>5627</v>
      </c>
    </row>
    <row r="3516">
      <c r="A3516" s="5">
        <v>28237.0</v>
      </c>
      <c r="B3516" s="2" t="s">
        <v>980</v>
      </c>
      <c r="C3516" s="2" t="s">
        <v>379</v>
      </c>
      <c r="D3516" s="4" t="s">
        <v>5628</v>
      </c>
    </row>
    <row r="3517">
      <c r="A3517" s="5">
        <v>28238.0</v>
      </c>
      <c r="B3517" s="2" t="s">
        <v>980</v>
      </c>
      <c r="C3517" s="2" t="s">
        <v>5629</v>
      </c>
      <c r="D3517" s="4" t="s">
        <v>5630</v>
      </c>
    </row>
    <row r="3518">
      <c r="A3518" s="5">
        <v>28238.0</v>
      </c>
      <c r="B3518" s="2" t="s">
        <v>980</v>
      </c>
      <c r="C3518" s="2" t="s">
        <v>5617</v>
      </c>
      <c r="D3518" s="4" t="s">
        <v>5631</v>
      </c>
    </row>
    <row r="3519">
      <c r="A3519" s="5">
        <v>28239.0</v>
      </c>
      <c r="B3519" s="2" t="s">
        <v>980</v>
      </c>
      <c r="C3519" s="2" t="s">
        <v>5632</v>
      </c>
      <c r="D3519" s="4" t="s">
        <v>5633</v>
      </c>
    </row>
    <row r="3520">
      <c r="A3520" s="5">
        <v>28240.0</v>
      </c>
      <c r="B3520" s="2" t="s">
        <v>980</v>
      </c>
      <c r="C3520" s="2" t="s">
        <v>5596</v>
      </c>
      <c r="D3520" s="4" t="s">
        <v>5634</v>
      </c>
    </row>
    <row r="3521">
      <c r="A3521" s="5">
        <v>28240.0</v>
      </c>
      <c r="B3521" s="2" t="s">
        <v>980</v>
      </c>
      <c r="C3521" s="2" t="s">
        <v>5635</v>
      </c>
      <c r="D3521" s="4" t="s">
        <v>5636</v>
      </c>
    </row>
    <row r="3522">
      <c r="A3522" s="5">
        <v>28243.0</v>
      </c>
      <c r="B3522" s="2" t="s">
        <v>980</v>
      </c>
      <c r="C3522" s="2" t="s">
        <v>5637</v>
      </c>
      <c r="D3522" s="4" t="s">
        <v>5638</v>
      </c>
    </row>
    <row r="3523">
      <c r="A3523" s="5">
        <v>28243.0</v>
      </c>
      <c r="B3523" s="2" t="s">
        <v>980</v>
      </c>
      <c r="C3523" s="2" t="s">
        <v>5639</v>
      </c>
      <c r="D3523" s="4" t="s">
        <v>5640</v>
      </c>
    </row>
    <row r="3524">
      <c r="A3524" s="5">
        <v>28244.0</v>
      </c>
      <c r="B3524" s="2" t="s">
        <v>980</v>
      </c>
      <c r="C3524" s="2" t="s">
        <v>5617</v>
      </c>
      <c r="D3524" s="4" t="s">
        <v>5641</v>
      </c>
    </row>
    <row r="3525">
      <c r="A3525" s="5">
        <v>28245.0</v>
      </c>
      <c r="B3525" s="2" t="s">
        <v>980</v>
      </c>
      <c r="C3525" s="2" t="s">
        <v>5617</v>
      </c>
      <c r="D3525" s="4" t="s">
        <v>5642</v>
      </c>
    </row>
    <row r="3526">
      <c r="A3526" s="5">
        <v>28245.0</v>
      </c>
      <c r="B3526" s="2" t="s">
        <v>980</v>
      </c>
      <c r="C3526" s="2" t="s">
        <v>5643</v>
      </c>
      <c r="D3526" s="4" t="s">
        <v>5644</v>
      </c>
    </row>
    <row r="3527">
      <c r="A3527" s="7">
        <v>28247.0</v>
      </c>
      <c r="B3527" s="2" t="s">
        <v>980</v>
      </c>
      <c r="C3527" s="2" t="s">
        <v>5645</v>
      </c>
      <c r="D3527" s="4" t="s">
        <v>5646</v>
      </c>
    </row>
    <row r="3528">
      <c r="A3528" s="7">
        <v>28247.0</v>
      </c>
      <c r="B3528" s="2" t="s">
        <v>980</v>
      </c>
      <c r="C3528" s="2" t="s">
        <v>379</v>
      </c>
      <c r="D3528" s="4" t="s">
        <v>5647</v>
      </c>
    </row>
    <row r="3529">
      <c r="A3529" s="7">
        <v>28253.0</v>
      </c>
      <c r="B3529" s="2" t="s">
        <v>5648</v>
      </c>
      <c r="C3529" s="2" t="s">
        <v>379</v>
      </c>
      <c r="D3529" s="4" t="s">
        <v>5649</v>
      </c>
    </row>
    <row r="3530">
      <c r="A3530" s="7">
        <v>28253.0</v>
      </c>
      <c r="B3530" s="2" t="s">
        <v>5648</v>
      </c>
      <c r="C3530" s="2" t="s">
        <v>379</v>
      </c>
      <c r="D3530" s="4" t="s">
        <v>5650</v>
      </c>
    </row>
    <row r="3531">
      <c r="A3531" s="7">
        <v>28253.0</v>
      </c>
      <c r="B3531" s="2" t="s">
        <v>5648</v>
      </c>
      <c r="C3531" s="2" t="s">
        <v>379</v>
      </c>
      <c r="D3531" s="4" t="s">
        <v>5651</v>
      </c>
    </row>
    <row r="3532">
      <c r="A3532" s="7">
        <v>28254.0</v>
      </c>
      <c r="B3532" s="2" t="s">
        <v>5648</v>
      </c>
      <c r="C3532" s="2" t="s">
        <v>4848</v>
      </c>
      <c r="D3532" s="4" t="s">
        <v>5652</v>
      </c>
    </row>
    <row r="3533">
      <c r="A3533" s="7">
        <v>28256.0</v>
      </c>
      <c r="B3533" s="2" t="s">
        <v>5648</v>
      </c>
      <c r="C3533" s="2" t="s">
        <v>4848</v>
      </c>
      <c r="D3533" s="4" t="s">
        <v>5653</v>
      </c>
    </row>
    <row r="3534">
      <c r="A3534" s="7">
        <v>28257.0</v>
      </c>
      <c r="B3534" s="2" t="s">
        <v>5648</v>
      </c>
      <c r="C3534" s="2" t="s">
        <v>4848</v>
      </c>
      <c r="D3534" s="4" t="s">
        <v>5654</v>
      </c>
    </row>
    <row r="3535">
      <c r="A3535" s="7">
        <v>28258.0</v>
      </c>
      <c r="B3535" s="2" t="s">
        <v>5648</v>
      </c>
      <c r="C3535" s="2" t="s">
        <v>4848</v>
      </c>
      <c r="D3535" s="4" t="s">
        <v>5655</v>
      </c>
    </row>
    <row r="3536">
      <c r="A3536" s="7">
        <v>28259.0</v>
      </c>
      <c r="B3536" s="2" t="s">
        <v>5648</v>
      </c>
      <c r="C3536" s="2" t="s">
        <v>4848</v>
      </c>
      <c r="D3536" s="4" t="s">
        <v>5656</v>
      </c>
    </row>
    <row r="3537">
      <c r="A3537" s="7">
        <v>28260.0</v>
      </c>
      <c r="B3537" s="2" t="s">
        <v>5648</v>
      </c>
      <c r="C3537" s="2" t="s">
        <v>4848</v>
      </c>
      <c r="D3537" s="4" t="s">
        <v>5657</v>
      </c>
    </row>
    <row r="3538">
      <c r="A3538" s="7">
        <v>28262.0</v>
      </c>
      <c r="B3538" s="9" t="s">
        <v>1417</v>
      </c>
      <c r="C3538" s="2" t="s">
        <v>2580</v>
      </c>
      <c r="D3538" s="4" t="s">
        <v>5658</v>
      </c>
    </row>
    <row r="3539">
      <c r="A3539" s="7">
        <v>28262.0</v>
      </c>
      <c r="B3539" s="9" t="s">
        <v>1417</v>
      </c>
      <c r="C3539" s="2" t="s">
        <v>5619</v>
      </c>
      <c r="D3539" s="4" t="s">
        <v>5659</v>
      </c>
    </row>
    <row r="3540">
      <c r="A3540" s="7">
        <v>28264.0</v>
      </c>
      <c r="B3540" s="9" t="s">
        <v>1417</v>
      </c>
      <c r="C3540" s="2" t="s">
        <v>5660</v>
      </c>
      <c r="D3540" s="4" t="s">
        <v>5661</v>
      </c>
    </row>
    <row r="3541">
      <c r="A3541" s="7">
        <v>28265.0</v>
      </c>
      <c r="B3541" s="9" t="s">
        <v>1417</v>
      </c>
      <c r="C3541" s="2" t="s">
        <v>2392</v>
      </c>
      <c r="D3541" s="4" t="s">
        <v>5662</v>
      </c>
    </row>
    <row r="3542">
      <c r="A3542" s="7">
        <v>28266.0</v>
      </c>
      <c r="B3542" s="9" t="s">
        <v>1417</v>
      </c>
      <c r="C3542" s="2" t="s">
        <v>379</v>
      </c>
      <c r="D3542" s="4" t="s">
        <v>5663</v>
      </c>
    </row>
    <row r="3543">
      <c r="A3543" s="7">
        <v>28267.0</v>
      </c>
      <c r="B3543" s="9" t="s">
        <v>1417</v>
      </c>
      <c r="C3543" s="2" t="s">
        <v>379</v>
      </c>
      <c r="D3543" s="4" t="s">
        <v>5664</v>
      </c>
    </row>
    <row r="3544">
      <c r="A3544" s="7">
        <v>28269.0</v>
      </c>
      <c r="B3544" s="9" t="s">
        <v>1417</v>
      </c>
      <c r="C3544" s="2" t="s">
        <v>5665</v>
      </c>
      <c r="D3544" s="4" t="s">
        <v>5666</v>
      </c>
    </row>
    <row r="3545">
      <c r="A3545" s="7">
        <v>28269.0</v>
      </c>
      <c r="B3545" s="9" t="s">
        <v>1417</v>
      </c>
      <c r="C3545" s="2" t="s">
        <v>5665</v>
      </c>
      <c r="D3545" s="4" t="s">
        <v>5667</v>
      </c>
    </row>
    <row r="3546">
      <c r="A3546" s="7">
        <v>28269.0</v>
      </c>
      <c r="B3546" s="9" t="s">
        <v>1417</v>
      </c>
      <c r="C3546" s="2" t="s">
        <v>5665</v>
      </c>
      <c r="D3546" s="4" t="s">
        <v>5668</v>
      </c>
    </row>
    <row r="3547">
      <c r="A3547" s="7">
        <v>28269.0</v>
      </c>
      <c r="B3547" s="9" t="s">
        <v>1417</v>
      </c>
      <c r="C3547" s="2" t="s">
        <v>5665</v>
      </c>
      <c r="D3547" s="4" t="s">
        <v>5669</v>
      </c>
    </row>
    <row r="3548">
      <c r="A3548" s="7">
        <v>28270.0</v>
      </c>
      <c r="B3548" s="9" t="s">
        <v>1417</v>
      </c>
      <c r="C3548" s="2" t="s">
        <v>5665</v>
      </c>
      <c r="D3548" s="4" t="s">
        <v>5670</v>
      </c>
    </row>
    <row r="3549">
      <c r="A3549" s="7">
        <v>28270.0</v>
      </c>
      <c r="B3549" s="9" t="s">
        <v>1417</v>
      </c>
      <c r="C3549" s="2" t="s">
        <v>5665</v>
      </c>
      <c r="D3549" s="4" t="s">
        <v>5671</v>
      </c>
    </row>
    <row r="3550">
      <c r="A3550" s="7">
        <v>28272.0</v>
      </c>
      <c r="B3550" s="9" t="s">
        <v>1417</v>
      </c>
      <c r="C3550" s="2" t="s">
        <v>5672</v>
      </c>
      <c r="D3550" s="4" t="s">
        <v>5673</v>
      </c>
    </row>
    <row r="3551">
      <c r="A3551" s="7">
        <v>28272.0</v>
      </c>
      <c r="B3551" s="9" t="s">
        <v>1417</v>
      </c>
      <c r="C3551" s="2" t="s">
        <v>5672</v>
      </c>
      <c r="D3551" s="4" t="s">
        <v>5674</v>
      </c>
    </row>
    <row r="3552">
      <c r="A3552" s="7">
        <v>28272.0</v>
      </c>
      <c r="B3552" s="9" t="s">
        <v>1417</v>
      </c>
      <c r="C3552" s="2" t="s">
        <v>5675</v>
      </c>
      <c r="D3552" s="4" t="s">
        <v>5676</v>
      </c>
    </row>
    <row r="3553">
      <c r="A3553" s="7">
        <v>28273.0</v>
      </c>
      <c r="B3553" s="9" t="s">
        <v>1417</v>
      </c>
      <c r="C3553" s="2" t="s">
        <v>5677</v>
      </c>
      <c r="D3553" s="4" t="s">
        <v>5678</v>
      </c>
    </row>
    <row r="3554">
      <c r="A3554" s="7">
        <v>28273.0</v>
      </c>
      <c r="B3554" s="9" t="s">
        <v>1417</v>
      </c>
      <c r="C3554" s="2" t="s">
        <v>1050</v>
      </c>
      <c r="D3554" s="4" t="s">
        <v>5679</v>
      </c>
    </row>
    <row r="3555">
      <c r="A3555" s="7">
        <v>28273.0</v>
      </c>
      <c r="B3555" s="9" t="s">
        <v>1417</v>
      </c>
      <c r="C3555" s="2" t="s">
        <v>5675</v>
      </c>
      <c r="D3555" s="4" t="s">
        <v>5680</v>
      </c>
    </row>
    <row r="3556">
      <c r="A3556" s="7">
        <v>28274.0</v>
      </c>
      <c r="B3556" s="9" t="s">
        <v>1417</v>
      </c>
      <c r="C3556" s="2" t="s">
        <v>5617</v>
      </c>
      <c r="D3556" s="4" t="s">
        <v>5681</v>
      </c>
    </row>
    <row r="3557">
      <c r="A3557" s="7">
        <v>28274.0</v>
      </c>
      <c r="B3557" s="9" t="s">
        <v>1417</v>
      </c>
      <c r="C3557" s="2" t="s">
        <v>5682</v>
      </c>
      <c r="D3557" s="4" t="s">
        <v>5683</v>
      </c>
    </row>
    <row r="3558">
      <c r="A3558" s="7">
        <v>28276.0</v>
      </c>
      <c r="B3558" s="9" t="s">
        <v>1417</v>
      </c>
      <c r="C3558" s="2" t="s">
        <v>5619</v>
      </c>
      <c r="D3558" s="4" t="s">
        <v>5684</v>
      </c>
    </row>
    <row r="3559">
      <c r="A3559" s="5">
        <v>28277.0</v>
      </c>
      <c r="B3559" s="9" t="s">
        <v>1417</v>
      </c>
      <c r="C3559" s="2" t="s">
        <v>5685</v>
      </c>
      <c r="D3559" s="4" t="s">
        <v>5686</v>
      </c>
    </row>
    <row r="3560">
      <c r="A3560" s="5">
        <v>28278.0</v>
      </c>
      <c r="B3560" s="9" t="s">
        <v>1417</v>
      </c>
      <c r="C3560" s="2" t="s">
        <v>5687</v>
      </c>
      <c r="D3560" s="4" t="s">
        <v>5688</v>
      </c>
    </row>
    <row r="3561">
      <c r="A3561" s="5">
        <v>28293.0</v>
      </c>
      <c r="B3561" s="9" t="s">
        <v>1417</v>
      </c>
      <c r="C3561" s="2" t="s">
        <v>379</v>
      </c>
      <c r="D3561" s="4" t="s">
        <v>5689</v>
      </c>
    </row>
    <row r="3562">
      <c r="A3562" s="5">
        <v>28294.0</v>
      </c>
      <c r="B3562" s="9" t="s">
        <v>1417</v>
      </c>
      <c r="C3562" s="2" t="s">
        <v>379</v>
      </c>
      <c r="D3562" s="4" t="s">
        <v>5690</v>
      </c>
    </row>
    <row r="3563">
      <c r="A3563" s="5">
        <v>28295.0</v>
      </c>
      <c r="B3563" s="9" t="s">
        <v>1417</v>
      </c>
      <c r="C3563" s="2" t="s">
        <v>379</v>
      </c>
      <c r="D3563" s="4" t="s">
        <v>5691</v>
      </c>
    </row>
    <row r="3564">
      <c r="A3564" s="5">
        <v>28295.0</v>
      </c>
      <c r="B3564" s="9" t="s">
        <v>1417</v>
      </c>
      <c r="C3564" s="2" t="s">
        <v>5596</v>
      </c>
      <c r="D3564" s="4" t="s">
        <v>5692</v>
      </c>
    </row>
    <row r="3565">
      <c r="A3565" s="5">
        <v>28296.0</v>
      </c>
      <c r="B3565" s="9" t="s">
        <v>1417</v>
      </c>
      <c r="C3565" s="2" t="s">
        <v>5614</v>
      </c>
      <c r="D3565" s="4" t="s">
        <v>5693</v>
      </c>
    </row>
    <row r="3566">
      <c r="A3566" s="5">
        <v>28296.0</v>
      </c>
      <c r="B3566" s="9" t="s">
        <v>1417</v>
      </c>
      <c r="C3566" s="2" t="s">
        <v>5614</v>
      </c>
      <c r="D3566" s="4" t="s">
        <v>5694</v>
      </c>
    </row>
    <row r="3567">
      <c r="A3567" s="5">
        <v>28297.0</v>
      </c>
      <c r="B3567" s="9" t="s">
        <v>1417</v>
      </c>
      <c r="C3567" s="2" t="s">
        <v>5695</v>
      </c>
      <c r="D3567" s="4" t="s">
        <v>5696</v>
      </c>
    </row>
    <row r="3568">
      <c r="A3568" s="5">
        <v>28298.0</v>
      </c>
      <c r="B3568" s="9" t="s">
        <v>1417</v>
      </c>
      <c r="C3568" s="2" t="s">
        <v>5697</v>
      </c>
      <c r="D3568" s="4" t="s">
        <v>5698</v>
      </c>
    </row>
    <row r="3569">
      <c r="A3569" s="5">
        <v>28299.0</v>
      </c>
      <c r="B3569" s="9" t="s">
        <v>1417</v>
      </c>
      <c r="C3569" s="2" t="s">
        <v>5617</v>
      </c>
      <c r="D3569" s="4" t="s">
        <v>5699</v>
      </c>
    </row>
    <row r="3570">
      <c r="A3570" s="5">
        <v>28300.0</v>
      </c>
      <c r="B3570" s="9" t="s">
        <v>1417</v>
      </c>
      <c r="C3570" s="2" t="s">
        <v>5700</v>
      </c>
      <c r="D3570" s="4" t="s">
        <v>5701</v>
      </c>
    </row>
    <row r="3571">
      <c r="A3571" s="5">
        <v>28302.0</v>
      </c>
      <c r="B3571" s="9" t="s">
        <v>1417</v>
      </c>
      <c r="C3571" s="2" t="s">
        <v>5702</v>
      </c>
      <c r="D3571" s="4" t="s">
        <v>5703</v>
      </c>
    </row>
    <row r="3572">
      <c r="A3572" s="5">
        <v>28302.0</v>
      </c>
      <c r="B3572" s="9" t="s">
        <v>1417</v>
      </c>
      <c r="C3572" s="2" t="s">
        <v>5704</v>
      </c>
      <c r="D3572" s="4" t="s">
        <v>5705</v>
      </c>
    </row>
    <row r="3573">
      <c r="A3573" s="5">
        <v>28303.0</v>
      </c>
      <c r="B3573" s="9" t="s">
        <v>1417</v>
      </c>
      <c r="C3573" s="2" t="s">
        <v>5596</v>
      </c>
      <c r="D3573" s="4" t="s">
        <v>5706</v>
      </c>
    </row>
    <row r="3574">
      <c r="A3574" s="5">
        <v>28304.0</v>
      </c>
      <c r="B3574" s="9" t="s">
        <v>1417</v>
      </c>
      <c r="C3574" s="2" t="s">
        <v>5707</v>
      </c>
      <c r="D3574" s="4" t="s">
        <v>5708</v>
      </c>
    </row>
    <row r="3575">
      <c r="A3575" s="5">
        <v>28304.0</v>
      </c>
      <c r="B3575" s="9" t="s">
        <v>1417</v>
      </c>
      <c r="C3575" s="2" t="s">
        <v>730</v>
      </c>
      <c r="D3575" s="4" t="s">
        <v>5709</v>
      </c>
    </row>
    <row r="3576">
      <c r="A3576" s="5">
        <v>28304.0</v>
      </c>
      <c r="B3576" s="9" t="s">
        <v>1417</v>
      </c>
      <c r="C3576" s="2" t="s">
        <v>5619</v>
      </c>
      <c r="D3576" s="4" t="s">
        <v>5710</v>
      </c>
    </row>
    <row r="3577">
      <c r="A3577" s="5">
        <v>28304.0</v>
      </c>
      <c r="B3577" s="9" t="s">
        <v>1417</v>
      </c>
      <c r="C3577" s="2" t="s">
        <v>5711</v>
      </c>
      <c r="D3577" s="4" t="s">
        <v>5712</v>
      </c>
    </row>
    <row r="3578">
      <c r="A3578" s="5">
        <v>28306.0</v>
      </c>
      <c r="B3578" s="9" t="s">
        <v>1417</v>
      </c>
      <c r="C3578" s="2" t="s">
        <v>730</v>
      </c>
      <c r="D3578" s="4" t="s">
        <v>5713</v>
      </c>
    </row>
    <row r="3579">
      <c r="A3579" s="5">
        <v>28306.0</v>
      </c>
      <c r="B3579" s="9" t="s">
        <v>1417</v>
      </c>
      <c r="C3579" s="2" t="s">
        <v>5714</v>
      </c>
      <c r="D3579" s="4" t="s">
        <v>5715</v>
      </c>
    </row>
    <row r="3580">
      <c r="A3580" s="5">
        <v>28306.0</v>
      </c>
      <c r="B3580" s="9" t="s">
        <v>1417</v>
      </c>
      <c r="C3580" s="2" t="s">
        <v>5716</v>
      </c>
      <c r="D3580" s="4" t="s">
        <v>5717</v>
      </c>
    </row>
    <row r="3581">
      <c r="A3581" s="5">
        <v>28307.0</v>
      </c>
      <c r="B3581" s="9" t="s">
        <v>1417</v>
      </c>
      <c r="C3581" s="2" t="s">
        <v>4027</v>
      </c>
      <c r="D3581" s="4" t="s">
        <v>5718</v>
      </c>
    </row>
    <row r="3582">
      <c r="A3582" s="5">
        <v>28307.0</v>
      </c>
      <c r="B3582" s="9" t="s">
        <v>1417</v>
      </c>
      <c r="C3582" s="2" t="s">
        <v>5719</v>
      </c>
      <c r="D3582" s="4" t="s">
        <v>5720</v>
      </c>
    </row>
    <row r="3583">
      <c r="A3583" s="5">
        <v>28307.0</v>
      </c>
      <c r="B3583" s="9" t="s">
        <v>1417</v>
      </c>
      <c r="C3583" s="2" t="s">
        <v>379</v>
      </c>
      <c r="D3583" s="4" t="s">
        <v>5721</v>
      </c>
    </row>
    <row r="3584">
      <c r="A3584" s="5">
        <v>28307.0</v>
      </c>
      <c r="B3584" s="9" t="s">
        <v>1417</v>
      </c>
      <c r="C3584" s="2" t="s">
        <v>730</v>
      </c>
      <c r="D3584" s="4" t="s">
        <v>5722</v>
      </c>
    </row>
    <row r="3585">
      <c r="A3585" s="5">
        <v>28307.0</v>
      </c>
      <c r="B3585" s="9" t="s">
        <v>1417</v>
      </c>
      <c r="C3585" s="2" t="s">
        <v>5723</v>
      </c>
      <c r="D3585" s="4" t="s">
        <v>5724</v>
      </c>
    </row>
    <row r="3586">
      <c r="A3586" s="5">
        <v>28307.0</v>
      </c>
      <c r="B3586" s="9" t="s">
        <v>1417</v>
      </c>
      <c r="C3586" s="2" t="s">
        <v>730</v>
      </c>
      <c r="D3586" s="4" t="s">
        <v>5725</v>
      </c>
    </row>
    <row r="3587">
      <c r="A3587" s="5">
        <v>28308.0</v>
      </c>
      <c r="B3587" s="9" t="s">
        <v>1417</v>
      </c>
      <c r="C3587" s="2" t="s">
        <v>5726</v>
      </c>
      <c r="D3587" s="4" t="s">
        <v>5727</v>
      </c>
    </row>
    <row r="3588">
      <c r="A3588" s="5">
        <v>28308.0</v>
      </c>
      <c r="B3588" s="9" t="s">
        <v>1417</v>
      </c>
      <c r="C3588" s="2" t="s">
        <v>5728</v>
      </c>
      <c r="D3588" s="4" t="s">
        <v>5729</v>
      </c>
    </row>
    <row r="3589">
      <c r="A3589" s="5">
        <v>28309.0</v>
      </c>
      <c r="B3589" s="9" t="s">
        <v>1417</v>
      </c>
      <c r="C3589" s="2" t="s">
        <v>5730</v>
      </c>
      <c r="D3589" s="4" t="s">
        <v>5731</v>
      </c>
    </row>
    <row r="3590">
      <c r="A3590" s="5">
        <v>28311.0</v>
      </c>
      <c r="B3590" s="9" t="s">
        <v>1417</v>
      </c>
      <c r="C3590" s="2" t="s">
        <v>5730</v>
      </c>
      <c r="D3590" s="4" t="s">
        <v>5732</v>
      </c>
    </row>
    <row r="3591">
      <c r="A3591" s="5">
        <v>28311.0</v>
      </c>
      <c r="B3591" s="9" t="s">
        <v>1417</v>
      </c>
      <c r="C3591" s="2" t="s">
        <v>379</v>
      </c>
      <c r="D3591" s="4" t="s">
        <v>5733</v>
      </c>
    </row>
    <row r="3592">
      <c r="A3592" s="5">
        <v>28312.0</v>
      </c>
      <c r="B3592" s="9" t="s">
        <v>1417</v>
      </c>
      <c r="C3592" s="2" t="s">
        <v>5734</v>
      </c>
      <c r="D3592" s="4" t="s">
        <v>5735</v>
      </c>
    </row>
    <row r="3593">
      <c r="A3593" s="5">
        <v>28313.0</v>
      </c>
      <c r="B3593" s="9" t="s">
        <v>1417</v>
      </c>
      <c r="C3593" s="2" t="s">
        <v>5564</v>
      </c>
      <c r="D3593" s="4" t="s">
        <v>5736</v>
      </c>
    </row>
    <row r="3594">
      <c r="A3594" s="5">
        <v>28313.0</v>
      </c>
      <c r="B3594" s="9" t="s">
        <v>1417</v>
      </c>
      <c r="C3594" s="2" t="s">
        <v>5564</v>
      </c>
      <c r="D3594" s="4" t="s">
        <v>5737</v>
      </c>
    </row>
    <row r="3595">
      <c r="A3595" s="5">
        <v>28313.0</v>
      </c>
      <c r="B3595" s="9" t="s">
        <v>1417</v>
      </c>
      <c r="C3595" s="2" t="s">
        <v>5564</v>
      </c>
      <c r="D3595" s="4" t="s">
        <v>5738</v>
      </c>
    </row>
    <row r="3596">
      <c r="A3596" s="5">
        <v>28314.0</v>
      </c>
      <c r="B3596" s="9" t="s">
        <v>1417</v>
      </c>
      <c r="C3596" s="2" t="s">
        <v>5739</v>
      </c>
      <c r="D3596" s="4" t="s">
        <v>5740</v>
      </c>
    </row>
    <row r="3597">
      <c r="A3597" s="5">
        <v>28314.0</v>
      </c>
      <c r="B3597" s="9" t="s">
        <v>1417</v>
      </c>
      <c r="C3597" s="2" t="s">
        <v>5741</v>
      </c>
      <c r="D3597" s="4" t="s">
        <v>5742</v>
      </c>
    </row>
    <row r="3598">
      <c r="A3598" s="5">
        <v>28316.0</v>
      </c>
      <c r="B3598" s="9" t="s">
        <v>1417</v>
      </c>
      <c r="C3598" s="2" t="s">
        <v>5728</v>
      </c>
      <c r="D3598" s="4" t="s">
        <v>5743</v>
      </c>
    </row>
    <row r="3599">
      <c r="A3599" s="5">
        <v>28320.0</v>
      </c>
      <c r="B3599" s="9" t="s">
        <v>1417</v>
      </c>
      <c r="C3599" s="2" t="s">
        <v>5744</v>
      </c>
      <c r="D3599" s="4" t="s">
        <v>5745</v>
      </c>
    </row>
    <row r="3600">
      <c r="A3600" s="5">
        <v>28320.0</v>
      </c>
      <c r="B3600" s="9" t="s">
        <v>1417</v>
      </c>
      <c r="C3600" s="2" t="s">
        <v>5746</v>
      </c>
      <c r="D3600" s="4" t="s">
        <v>5747</v>
      </c>
    </row>
    <row r="3601">
      <c r="A3601" s="5">
        <v>28321.0</v>
      </c>
      <c r="B3601" s="9" t="s">
        <v>1417</v>
      </c>
      <c r="C3601" s="2" t="s">
        <v>5748</v>
      </c>
      <c r="D3601" s="4" t="s">
        <v>5749</v>
      </c>
    </row>
    <row r="3602">
      <c r="A3602" s="5">
        <v>28323.0</v>
      </c>
      <c r="B3602" s="9" t="s">
        <v>1417</v>
      </c>
      <c r="C3602" s="2" t="s">
        <v>5750</v>
      </c>
      <c r="D3602" s="4" t="s">
        <v>5751</v>
      </c>
    </row>
    <row r="3603">
      <c r="A3603" s="5">
        <v>28323.0</v>
      </c>
      <c r="B3603" s="9" t="s">
        <v>1417</v>
      </c>
      <c r="C3603" s="2" t="s">
        <v>379</v>
      </c>
      <c r="D3603" s="4" t="s">
        <v>5752</v>
      </c>
    </row>
    <row r="3604">
      <c r="A3604" s="5">
        <v>28325.0</v>
      </c>
      <c r="B3604" s="9" t="s">
        <v>1417</v>
      </c>
      <c r="C3604" s="2" t="s">
        <v>5753</v>
      </c>
      <c r="D3604" s="4" t="s">
        <v>5754</v>
      </c>
    </row>
    <row r="3605">
      <c r="A3605" s="5">
        <v>28325.0</v>
      </c>
      <c r="B3605" s="9" t="s">
        <v>1417</v>
      </c>
      <c r="C3605" s="2" t="s">
        <v>379</v>
      </c>
      <c r="D3605" s="4" t="s">
        <v>5755</v>
      </c>
    </row>
    <row r="3606">
      <c r="A3606" s="5">
        <v>28332.0</v>
      </c>
      <c r="B3606" s="9" t="s">
        <v>1417</v>
      </c>
      <c r="C3606" s="2" t="s">
        <v>5756</v>
      </c>
      <c r="D3606" s="4" t="s">
        <v>5757</v>
      </c>
    </row>
    <row r="3607">
      <c r="A3607" s="5">
        <v>28333.0</v>
      </c>
      <c r="B3607" s="9" t="s">
        <v>1417</v>
      </c>
      <c r="C3607" s="2" t="s">
        <v>379</v>
      </c>
      <c r="D3607" s="4" t="s">
        <v>5758</v>
      </c>
    </row>
    <row r="3608">
      <c r="A3608" s="5">
        <v>28337.0</v>
      </c>
      <c r="B3608" s="9" t="s">
        <v>1417</v>
      </c>
      <c r="C3608" s="2" t="s">
        <v>5759</v>
      </c>
      <c r="D3608" s="4" t="s">
        <v>5760</v>
      </c>
    </row>
    <row r="3609">
      <c r="A3609" s="3">
        <v>28345.0</v>
      </c>
      <c r="B3609" s="9" t="s">
        <v>1417</v>
      </c>
      <c r="C3609" s="2" t="s">
        <v>379</v>
      </c>
      <c r="D3609" s="4" t="s">
        <v>5761</v>
      </c>
    </row>
    <row r="3610">
      <c r="A3610" s="3">
        <v>28347.0</v>
      </c>
      <c r="B3610" s="9" t="s">
        <v>1417</v>
      </c>
      <c r="C3610" s="2" t="s">
        <v>379</v>
      </c>
      <c r="D3610" s="4" t="s">
        <v>5762</v>
      </c>
    </row>
    <row r="3611">
      <c r="A3611" s="3">
        <v>28348.0</v>
      </c>
      <c r="B3611" s="9" t="s">
        <v>1417</v>
      </c>
      <c r="C3611" s="2" t="s">
        <v>5763</v>
      </c>
      <c r="D3611" s="4" t="s">
        <v>5764</v>
      </c>
    </row>
    <row r="3612">
      <c r="A3612" s="3">
        <v>28354.0</v>
      </c>
      <c r="B3612" s="9" t="s">
        <v>1417</v>
      </c>
      <c r="C3612" s="2" t="s">
        <v>5765</v>
      </c>
      <c r="D3612" s="4" t="s">
        <v>5766</v>
      </c>
    </row>
    <row r="3613">
      <c r="A3613" s="3">
        <v>28366.0</v>
      </c>
      <c r="B3613" s="2" t="s">
        <v>5767</v>
      </c>
      <c r="C3613" s="2" t="s">
        <v>379</v>
      </c>
      <c r="D3613" s="4" t="s">
        <v>5768</v>
      </c>
    </row>
    <row r="3614">
      <c r="A3614" s="3">
        <v>28400.0</v>
      </c>
      <c r="B3614" s="9" t="s">
        <v>1417</v>
      </c>
      <c r="C3614" s="2" t="s">
        <v>379</v>
      </c>
      <c r="D3614" s="4" t="s">
        <v>5769</v>
      </c>
    </row>
    <row r="3615">
      <c r="A3615" s="3">
        <v>28401.0</v>
      </c>
      <c r="B3615" s="9" t="s">
        <v>1417</v>
      </c>
      <c r="C3615" s="2" t="s">
        <v>379</v>
      </c>
      <c r="D3615" s="4" t="s">
        <v>5770</v>
      </c>
    </row>
    <row r="3616">
      <c r="A3616" s="3">
        <v>28402.0</v>
      </c>
      <c r="B3616" s="9" t="s">
        <v>1417</v>
      </c>
      <c r="C3616" s="2" t="s">
        <v>379</v>
      </c>
      <c r="D3616" s="4" t="s">
        <v>5771</v>
      </c>
    </row>
    <row r="3617">
      <c r="A3617" s="3">
        <v>28404.0</v>
      </c>
      <c r="B3617" s="9" t="s">
        <v>1417</v>
      </c>
      <c r="C3617" s="2" t="s">
        <v>5772</v>
      </c>
      <c r="D3617" s="4" t="s">
        <v>5773</v>
      </c>
    </row>
    <row r="3618">
      <c r="A3618" s="3">
        <v>28404.0</v>
      </c>
      <c r="B3618" s="9" t="s">
        <v>1417</v>
      </c>
      <c r="C3618" s="2" t="s">
        <v>379</v>
      </c>
      <c r="D3618" s="4" t="s">
        <v>5774</v>
      </c>
    </row>
    <row r="3619">
      <c r="A3619" s="3">
        <v>28406.0</v>
      </c>
      <c r="B3619" s="9" t="s">
        <v>1417</v>
      </c>
      <c r="C3619" s="2" t="s">
        <v>5775</v>
      </c>
      <c r="D3619" s="4" t="s">
        <v>5776</v>
      </c>
    </row>
    <row r="3620">
      <c r="A3620" s="3">
        <v>28406.0</v>
      </c>
      <c r="B3620" s="9" t="s">
        <v>1417</v>
      </c>
      <c r="C3620" s="2" t="s">
        <v>5777</v>
      </c>
      <c r="D3620" s="4" t="s">
        <v>5778</v>
      </c>
    </row>
    <row r="3621">
      <c r="A3621" s="3">
        <v>28407.0</v>
      </c>
      <c r="B3621" s="9" t="s">
        <v>1417</v>
      </c>
      <c r="C3621" s="2" t="s">
        <v>379</v>
      </c>
      <c r="D3621" s="4" t="s">
        <v>5779</v>
      </c>
    </row>
    <row r="3622">
      <c r="A3622" s="3">
        <v>28408.0</v>
      </c>
      <c r="B3622" s="9" t="s">
        <v>1417</v>
      </c>
      <c r="C3622" s="2" t="s">
        <v>379</v>
      </c>
      <c r="D3622" s="4" t="s">
        <v>5780</v>
      </c>
    </row>
    <row r="3623">
      <c r="A3623" s="3">
        <v>28408.0</v>
      </c>
      <c r="B3623" s="9" t="s">
        <v>1417</v>
      </c>
      <c r="C3623" s="2" t="s">
        <v>5781</v>
      </c>
      <c r="D3623" s="4" t="s">
        <v>5782</v>
      </c>
    </row>
    <row r="3624">
      <c r="A3624" s="3">
        <v>28409.0</v>
      </c>
      <c r="B3624" s="9" t="s">
        <v>1417</v>
      </c>
      <c r="C3624" s="2" t="s">
        <v>379</v>
      </c>
      <c r="D3624" s="4" t="s">
        <v>5783</v>
      </c>
    </row>
    <row r="3625">
      <c r="A3625" s="3">
        <v>28409.0</v>
      </c>
      <c r="B3625" s="9" t="s">
        <v>1417</v>
      </c>
      <c r="C3625" s="2" t="s">
        <v>379</v>
      </c>
      <c r="D3625" s="4" t="s">
        <v>5784</v>
      </c>
    </row>
    <row r="3626">
      <c r="A3626" s="3">
        <v>28410.0</v>
      </c>
      <c r="B3626" s="9" t="s">
        <v>1417</v>
      </c>
      <c r="C3626" s="2" t="s">
        <v>379</v>
      </c>
      <c r="D3626" s="4" t="s">
        <v>5785</v>
      </c>
    </row>
    <row r="3627">
      <c r="A3627" s="3">
        <v>28411.0</v>
      </c>
      <c r="B3627" s="9" t="s">
        <v>1417</v>
      </c>
      <c r="C3627" s="2" t="s">
        <v>379</v>
      </c>
      <c r="D3627" s="4" t="s">
        <v>5786</v>
      </c>
    </row>
    <row r="3628">
      <c r="A3628" s="3">
        <v>28411.0</v>
      </c>
      <c r="B3628" s="9" t="s">
        <v>1417</v>
      </c>
      <c r="C3628" s="2" t="s">
        <v>379</v>
      </c>
      <c r="D3628" s="4" t="s">
        <v>5787</v>
      </c>
    </row>
    <row r="3629">
      <c r="A3629" s="3">
        <v>28411.0</v>
      </c>
      <c r="B3629" s="9" t="s">
        <v>1417</v>
      </c>
      <c r="C3629" s="2" t="s">
        <v>379</v>
      </c>
      <c r="D3629" s="4" t="s">
        <v>5788</v>
      </c>
    </row>
    <row r="3630">
      <c r="A3630" s="3">
        <v>28412.0</v>
      </c>
      <c r="B3630" s="9" t="s">
        <v>1417</v>
      </c>
      <c r="C3630" s="2" t="s">
        <v>379</v>
      </c>
      <c r="D3630" s="4" t="s">
        <v>5789</v>
      </c>
    </row>
    <row r="3631">
      <c r="A3631" s="3">
        <v>28412.0</v>
      </c>
      <c r="B3631" s="9" t="s">
        <v>1417</v>
      </c>
      <c r="C3631" s="2" t="s">
        <v>379</v>
      </c>
      <c r="D3631" s="4" t="s">
        <v>5790</v>
      </c>
    </row>
    <row r="3632">
      <c r="A3632" s="3">
        <v>28412.0</v>
      </c>
      <c r="B3632" s="9" t="s">
        <v>1417</v>
      </c>
      <c r="C3632" s="2" t="s">
        <v>379</v>
      </c>
      <c r="D3632" s="4" t="s">
        <v>5791</v>
      </c>
    </row>
    <row r="3633">
      <c r="A3633" s="3">
        <v>28413.0</v>
      </c>
      <c r="B3633" s="9" t="s">
        <v>1417</v>
      </c>
      <c r="C3633" s="2" t="s">
        <v>379</v>
      </c>
      <c r="D3633" s="4" t="s">
        <v>5792</v>
      </c>
    </row>
    <row r="3634">
      <c r="A3634" s="3">
        <v>28413.0</v>
      </c>
      <c r="B3634" s="9" t="s">
        <v>1417</v>
      </c>
      <c r="C3634" s="2" t="s">
        <v>379</v>
      </c>
      <c r="D3634" s="4" t="s">
        <v>5793</v>
      </c>
    </row>
    <row r="3635">
      <c r="A3635" s="3">
        <v>28413.0</v>
      </c>
      <c r="B3635" s="9" t="s">
        <v>1417</v>
      </c>
      <c r="C3635" s="2" t="s">
        <v>5794</v>
      </c>
      <c r="D3635" s="4" t="s">
        <v>5795</v>
      </c>
    </row>
    <row r="3636">
      <c r="A3636" s="3">
        <v>28414.0</v>
      </c>
      <c r="B3636" s="9" t="s">
        <v>1417</v>
      </c>
      <c r="C3636" s="2" t="s">
        <v>5796</v>
      </c>
      <c r="D3636" s="4" t="s">
        <v>5797</v>
      </c>
    </row>
    <row r="3637">
      <c r="A3637" s="3">
        <v>28414.0</v>
      </c>
      <c r="B3637" s="9" t="s">
        <v>1417</v>
      </c>
      <c r="C3637" s="2" t="s">
        <v>5798</v>
      </c>
      <c r="D3637" s="4" t="s">
        <v>5799</v>
      </c>
    </row>
    <row r="3638">
      <c r="A3638" s="3">
        <v>28414.0</v>
      </c>
      <c r="B3638" s="9" t="s">
        <v>1417</v>
      </c>
      <c r="C3638" s="2" t="s">
        <v>5800</v>
      </c>
      <c r="D3638" s="4" t="s">
        <v>5801</v>
      </c>
    </row>
    <row r="3639">
      <c r="A3639" s="3">
        <v>28415.0</v>
      </c>
      <c r="B3639" s="9" t="s">
        <v>1417</v>
      </c>
      <c r="C3639" s="2" t="s">
        <v>5802</v>
      </c>
      <c r="D3639" s="4" t="s">
        <v>5803</v>
      </c>
    </row>
    <row r="3640">
      <c r="A3640" s="3">
        <v>28415.0</v>
      </c>
      <c r="B3640" s="9" t="s">
        <v>1417</v>
      </c>
      <c r="C3640" s="2" t="s">
        <v>379</v>
      </c>
      <c r="D3640" s="4" t="s">
        <v>5804</v>
      </c>
    </row>
    <row r="3641">
      <c r="A3641" s="3">
        <v>28416.0</v>
      </c>
      <c r="B3641" s="9" t="s">
        <v>1417</v>
      </c>
      <c r="C3641" s="2" t="s">
        <v>379</v>
      </c>
      <c r="D3641" s="4" t="s">
        <v>5805</v>
      </c>
    </row>
    <row r="3642">
      <c r="A3642" s="3">
        <v>28416.0</v>
      </c>
      <c r="B3642" s="9" t="s">
        <v>1417</v>
      </c>
      <c r="C3642" s="2" t="s">
        <v>3603</v>
      </c>
      <c r="D3642" s="4" t="s">
        <v>5806</v>
      </c>
    </row>
    <row r="3643">
      <c r="A3643" s="3">
        <v>28416.0</v>
      </c>
      <c r="B3643" s="9" t="s">
        <v>1417</v>
      </c>
      <c r="C3643" s="2" t="s">
        <v>379</v>
      </c>
      <c r="D3643" s="4" t="s">
        <v>5807</v>
      </c>
    </row>
    <row r="3644">
      <c r="A3644" s="3">
        <v>28417.0</v>
      </c>
      <c r="B3644" s="9" t="s">
        <v>1417</v>
      </c>
      <c r="C3644" s="2" t="s">
        <v>379</v>
      </c>
      <c r="D3644" s="4" t="s">
        <v>5808</v>
      </c>
    </row>
    <row r="3645">
      <c r="A3645" s="3">
        <v>28418.0</v>
      </c>
      <c r="B3645" s="9" t="s">
        <v>1417</v>
      </c>
      <c r="C3645" s="2" t="s">
        <v>5809</v>
      </c>
      <c r="D3645" s="4" t="s">
        <v>5810</v>
      </c>
    </row>
    <row r="3646">
      <c r="A3646" s="3">
        <v>28419.0</v>
      </c>
      <c r="B3646" s="9" t="s">
        <v>1417</v>
      </c>
      <c r="C3646" s="2" t="s">
        <v>379</v>
      </c>
      <c r="D3646" s="4" t="s">
        <v>5811</v>
      </c>
    </row>
    <row r="3647">
      <c r="A3647" s="3">
        <v>28419.0</v>
      </c>
      <c r="B3647" s="9" t="s">
        <v>1417</v>
      </c>
      <c r="C3647" s="2" t="s">
        <v>379</v>
      </c>
      <c r="D3647" s="4" t="s">
        <v>5812</v>
      </c>
    </row>
    <row r="3648">
      <c r="A3648" s="3">
        <v>28420.0</v>
      </c>
      <c r="B3648" s="9" t="s">
        <v>1417</v>
      </c>
      <c r="C3648" s="2" t="s">
        <v>5813</v>
      </c>
      <c r="D3648" s="4" t="s">
        <v>5814</v>
      </c>
    </row>
    <row r="3649">
      <c r="A3649" s="3">
        <v>28420.0</v>
      </c>
      <c r="B3649" s="9" t="s">
        <v>1417</v>
      </c>
      <c r="C3649" s="2" t="s">
        <v>379</v>
      </c>
      <c r="D3649" s="4" t="s">
        <v>5815</v>
      </c>
    </row>
    <row r="3650">
      <c r="A3650" s="3">
        <v>28422.0</v>
      </c>
      <c r="B3650" s="9" t="s">
        <v>1417</v>
      </c>
      <c r="C3650" s="2" t="s">
        <v>379</v>
      </c>
      <c r="D3650" s="4" t="s">
        <v>5816</v>
      </c>
    </row>
    <row r="3651">
      <c r="A3651" s="3">
        <v>28423.0</v>
      </c>
      <c r="B3651" s="9" t="s">
        <v>1417</v>
      </c>
      <c r="C3651" s="2" t="s">
        <v>379</v>
      </c>
      <c r="D3651" s="4" t="s">
        <v>5817</v>
      </c>
    </row>
    <row r="3652">
      <c r="A3652" s="3">
        <v>28423.0</v>
      </c>
      <c r="B3652" s="9" t="s">
        <v>1417</v>
      </c>
      <c r="C3652" s="2" t="s">
        <v>5813</v>
      </c>
      <c r="D3652" s="4" t="s">
        <v>5818</v>
      </c>
    </row>
    <row r="3653">
      <c r="A3653" s="3">
        <v>28424.0</v>
      </c>
      <c r="B3653" s="9" t="s">
        <v>1417</v>
      </c>
      <c r="C3653" s="2" t="s">
        <v>379</v>
      </c>
      <c r="D3653" s="4" t="s">
        <v>5819</v>
      </c>
    </row>
    <row r="3654">
      <c r="A3654" s="3">
        <v>28425.0</v>
      </c>
      <c r="B3654" s="9" t="s">
        <v>1417</v>
      </c>
      <c r="C3654" s="2" t="s">
        <v>5820</v>
      </c>
      <c r="D3654" s="4" t="s">
        <v>5821</v>
      </c>
    </row>
    <row r="3655">
      <c r="A3655" s="3">
        <v>28425.0</v>
      </c>
      <c r="B3655" s="9" t="s">
        <v>1417</v>
      </c>
      <c r="C3655" s="2" t="s">
        <v>5822</v>
      </c>
      <c r="D3655" s="4" t="s">
        <v>5823</v>
      </c>
    </row>
    <row r="3656">
      <c r="A3656" s="3">
        <v>28426.0</v>
      </c>
      <c r="B3656" s="9" t="s">
        <v>1417</v>
      </c>
      <c r="C3656" s="2" t="s">
        <v>379</v>
      </c>
      <c r="D3656" s="4" t="s">
        <v>5824</v>
      </c>
    </row>
    <row r="3657">
      <c r="A3657" s="3">
        <v>28426.0</v>
      </c>
      <c r="B3657" s="9" t="s">
        <v>1417</v>
      </c>
      <c r="C3657" s="2" t="s">
        <v>5825</v>
      </c>
      <c r="D3657" s="4" t="s">
        <v>5826</v>
      </c>
    </row>
    <row r="3658">
      <c r="A3658" s="3">
        <v>28427.0</v>
      </c>
      <c r="B3658" s="9" t="s">
        <v>1417</v>
      </c>
      <c r="C3658" s="2" t="s">
        <v>379</v>
      </c>
      <c r="D3658" s="4" t="s">
        <v>5827</v>
      </c>
    </row>
    <row r="3659">
      <c r="A3659" s="3">
        <v>28428.0</v>
      </c>
      <c r="B3659" s="9" t="s">
        <v>1417</v>
      </c>
      <c r="C3659" s="2" t="s">
        <v>379</v>
      </c>
      <c r="D3659" s="4" t="s">
        <v>5828</v>
      </c>
    </row>
    <row r="3660">
      <c r="A3660" s="3">
        <v>28428.0</v>
      </c>
      <c r="B3660" s="9" t="s">
        <v>1417</v>
      </c>
      <c r="C3660" s="2" t="s">
        <v>379</v>
      </c>
      <c r="D3660" s="4" t="s">
        <v>5829</v>
      </c>
    </row>
    <row r="3661">
      <c r="A3661" s="3">
        <v>28429.0</v>
      </c>
      <c r="B3661" s="9" t="s">
        <v>1417</v>
      </c>
      <c r="C3661" s="2" t="s">
        <v>5830</v>
      </c>
      <c r="D3661" s="4" t="s">
        <v>5831</v>
      </c>
    </row>
    <row r="3662">
      <c r="A3662" s="3">
        <v>28429.0</v>
      </c>
      <c r="B3662" s="9" t="s">
        <v>1417</v>
      </c>
      <c r="C3662" s="2" t="s">
        <v>379</v>
      </c>
      <c r="D3662" s="4" t="s">
        <v>5832</v>
      </c>
    </row>
    <row r="3663">
      <c r="A3663" s="3">
        <v>28429.0</v>
      </c>
      <c r="B3663" s="9" t="s">
        <v>1417</v>
      </c>
      <c r="C3663" s="2" t="s">
        <v>5833</v>
      </c>
      <c r="D3663" s="4" t="s">
        <v>5834</v>
      </c>
    </row>
    <row r="3664">
      <c r="A3664" s="3">
        <v>28430.0</v>
      </c>
      <c r="B3664" s="9" t="s">
        <v>1417</v>
      </c>
      <c r="C3664" s="2" t="s">
        <v>5835</v>
      </c>
      <c r="D3664" s="4" t="s">
        <v>5836</v>
      </c>
    </row>
    <row r="3665">
      <c r="A3665" s="3">
        <v>28430.0</v>
      </c>
      <c r="B3665" s="9" t="s">
        <v>1417</v>
      </c>
      <c r="C3665" s="2" t="s">
        <v>5835</v>
      </c>
      <c r="D3665" s="4" t="s">
        <v>5837</v>
      </c>
    </row>
    <row r="3666">
      <c r="A3666" s="3">
        <v>28430.0</v>
      </c>
      <c r="B3666" s="9" t="s">
        <v>1417</v>
      </c>
      <c r="C3666" s="2" t="s">
        <v>5835</v>
      </c>
      <c r="D3666" s="4" t="s">
        <v>5838</v>
      </c>
    </row>
    <row r="3667">
      <c r="A3667" s="3">
        <v>28431.0</v>
      </c>
      <c r="B3667" s="9" t="s">
        <v>1417</v>
      </c>
      <c r="C3667" s="2" t="s">
        <v>5839</v>
      </c>
      <c r="D3667" s="4" t="s">
        <v>5840</v>
      </c>
    </row>
    <row r="3668">
      <c r="A3668" s="3">
        <v>28431.0</v>
      </c>
      <c r="B3668" s="9" t="s">
        <v>1417</v>
      </c>
      <c r="C3668" s="2" t="s">
        <v>379</v>
      </c>
      <c r="D3668" s="4" t="s">
        <v>5841</v>
      </c>
    </row>
    <row r="3669">
      <c r="A3669" s="3">
        <v>28431.0</v>
      </c>
      <c r="B3669" s="9" t="s">
        <v>1417</v>
      </c>
      <c r="C3669" s="2" t="s">
        <v>379</v>
      </c>
      <c r="D3669" s="4" t="s">
        <v>5842</v>
      </c>
    </row>
    <row r="3670">
      <c r="A3670" s="3">
        <v>28431.0</v>
      </c>
      <c r="B3670" s="9" t="s">
        <v>1417</v>
      </c>
      <c r="C3670" s="2" t="s">
        <v>5843</v>
      </c>
      <c r="D3670" s="4" t="s">
        <v>5844</v>
      </c>
    </row>
    <row r="3671">
      <c r="A3671" s="3">
        <v>28431.0</v>
      </c>
      <c r="B3671" s="9" t="s">
        <v>1417</v>
      </c>
      <c r="C3671" s="2" t="s">
        <v>5845</v>
      </c>
      <c r="D3671" s="4" t="s">
        <v>5846</v>
      </c>
    </row>
    <row r="3672">
      <c r="A3672" s="3">
        <v>28431.0</v>
      </c>
      <c r="B3672" s="9" t="s">
        <v>1417</v>
      </c>
      <c r="C3672" s="2" t="s">
        <v>1050</v>
      </c>
      <c r="D3672" s="4" t="s">
        <v>5847</v>
      </c>
    </row>
    <row r="3673">
      <c r="A3673" s="3">
        <v>28431.0</v>
      </c>
      <c r="B3673" s="9" t="s">
        <v>1417</v>
      </c>
      <c r="C3673" s="2" t="s">
        <v>379</v>
      </c>
      <c r="D3673" s="4" t="s">
        <v>5848</v>
      </c>
    </row>
    <row r="3674">
      <c r="A3674" s="3">
        <v>28431.0</v>
      </c>
      <c r="B3674" s="9" t="s">
        <v>1417</v>
      </c>
      <c r="C3674" s="2" t="s">
        <v>5849</v>
      </c>
      <c r="D3674" s="4" t="s">
        <v>5850</v>
      </c>
    </row>
    <row r="3675">
      <c r="A3675" s="3">
        <v>28432.0</v>
      </c>
      <c r="B3675" s="9" t="s">
        <v>1417</v>
      </c>
      <c r="C3675" s="2" t="s">
        <v>379</v>
      </c>
      <c r="D3675" s="4" t="s">
        <v>5851</v>
      </c>
    </row>
    <row r="3676">
      <c r="A3676" s="3">
        <v>28432.0</v>
      </c>
      <c r="B3676" s="9" t="s">
        <v>1417</v>
      </c>
      <c r="C3676" s="2" t="s">
        <v>379</v>
      </c>
      <c r="D3676" s="4" t="s">
        <v>5852</v>
      </c>
    </row>
    <row r="3677">
      <c r="A3677" s="3">
        <v>28432.0</v>
      </c>
      <c r="B3677" s="9" t="s">
        <v>1417</v>
      </c>
      <c r="C3677" s="2" t="s">
        <v>379</v>
      </c>
      <c r="D3677" s="4" t="s">
        <v>5853</v>
      </c>
    </row>
    <row r="3678">
      <c r="A3678" s="3">
        <v>28432.0</v>
      </c>
      <c r="B3678" s="9" t="s">
        <v>1417</v>
      </c>
      <c r="C3678" s="2" t="s">
        <v>5854</v>
      </c>
      <c r="D3678" s="4" t="s">
        <v>5855</v>
      </c>
    </row>
    <row r="3679">
      <c r="A3679" s="3">
        <v>28432.0</v>
      </c>
      <c r="B3679" s="9" t="s">
        <v>1417</v>
      </c>
      <c r="C3679" s="2" t="s">
        <v>5856</v>
      </c>
      <c r="D3679" s="4" t="s">
        <v>5857</v>
      </c>
    </row>
    <row r="3680">
      <c r="A3680" s="3">
        <v>28432.0</v>
      </c>
      <c r="B3680" s="9" t="s">
        <v>1417</v>
      </c>
      <c r="C3680" s="2" t="s">
        <v>5858</v>
      </c>
      <c r="D3680" s="4" t="s">
        <v>5859</v>
      </c>
    </row>
    <row r="3681">
      <c r="A3681" s="3">
        <v>28432.0</v>
      </c>
      <c r="B3681" s="9" t="s">
        <v>1417</v>
      </c>
      <c r="C3681" s="2" t="s">
        <v>5835</v>
      </c>
      <c r="D3681" s="4" t="s">
        <v>5860</v>
      </c>
    </row>
    <row r="3682">
      <c r="A3682" s="3">
        <v>28432.0</v>
      </c>
      <c r="B3682" s="9" t="s">
        <v>1417</v>
      </c>
      <c r="C3682" s="2" t="s">
        <v>379</v>
      </c>
      <c r="D3682" s="4" t="s">
        <v>5861</v>
      </c>
    </row>
    <row r="3683">
      <c r="A3683" s="3">
        <v>28433.0</v>
      </c>
      <c r="B3683" s="9" t="s">
        <v>1417</v>
      </c>
      <c r="C3683" s="2" t="s">
        <v>379</v>
      </c>
      <c r="D3683" s="4" t="s">
        <v>5862</v>
      </c>
    </row>
    <row r="3684">
      <c r="A3684" s="3">
        <v>28434.0</v>
      </c>
      <c r="B3684" s="9" t="s">
        <v>1417</v>
      </c>
      <c r="C3684" s="2" t="s">
        <v>379</v>
      </c>
      <c r="D3684" s="4" t="s">
        <v>5863</v>
      </c>
    </row>
    <row r="3685">
      <c r="A3685" s="3">
        <v>28434.0</v>
      </c>
      <c r="B3685" s="9" t="s">
        <v>1417</v>
      </c>
      <c r="C3685" s="2" t="s">
        <v>379</v>
      </c>
      <c r="D3685" s="4" t="s">
        <v>5864</v>
      </c>
    </row>
    <row r="3686">
      <c r="A3686" s="3">
        <v>28434.0</v>
      </c>
      <c r="B3686" s="9" t="s">
        <v>1417</v>
      </c>
      <c r="C3686" s="2" t="s">
        <v>379</v>
      </c>
      <c r="D3686" s="4" t="s">
        <v>5865</v>
      </c>
    </row>
    <row r="3687">
      <c r="A3687" s="3">
        <v>28434.0</v>
      </c>
      <c r="B3687" s="9" t="s">
        <v>1417</v>
      </c>
      <c r="C3687" s="2" t="s">
        <v>379</v>
      </c>
      <c r="D3687" s="4" t="s">
        <v>5866</v>
      </c>
    </row>
    <row r="3688">
      <c r="A3688" s="3">
        <v>28434.0</v>
      </c>
      <c r="B3688" s="9" t="s">
        <v>1417</v>
      </c>
      <c r="C3688" s="2" t="s">
        <v>379</v>
      </c>
      <c r="D3688" s="4" t="s">
        <v>5867</v>
      </c>
    </row>
    <row r="3689">
      <c r="A3689" s="3">
        <v>28434.0</v>
      </c>
      <c r="B3689" s="9" t="s">
        <v>1417</v>
      </c>
      <c r="C3689" s="2" t="s">
        <v>379</v>
      </c>
      <c r="D3689" s="4" t="s">
        <v>5868</v>
      </c>
    </row>
    <row r="3690">
      <c r="A3690" s="3">
        <v>28435.0</v>
      </c>
      <c r="B3690" s="9" t="s">
        <v>1417</v>
      </c>
      <c r="C3690" s="2" t="s">
        <v>379</v>
      </c>
      <c r="D3690" s="4" t="s">
        <v>5869</v>
      </c>
    </row>
    <row r="3691">
      <c r="A3691" s="3">
        <v>28435.0</v>
      </c>
      <c r="B3691" s="9" t="s">
        <v>1417</v>
      </c>
      <c r="C3691" s="2" t="s">
        <v>379</v>
      </c>
      <c r="D3691" s="4" t="s">
        <v>5870</v>
      </c>
    </row>
    <row r="3692">
      <c r="A3692" s="3">
        <v>28435.0</v>
      </c>
      <c r="B3692" s="9" t="s">
        <v>1417</v>
      </c>
      <c r="C3692" s="2" t="s">
        <v>379</v>
      </c>
      <c r="D3692" s="4" t="s">
        <v>5871</v>
      </c>
    </row>
    <row r="3693">
      <c r="A3693" s="3">
        <v>28436.0</v>
      </c>
      <c r="B3693" s="9" t="s">
        <v>1417</v>
      </c>
      <c r="C3693" s="2" t="s">
        <v>379</v>
      </c>
      <c r="D3693" s="4" t="s">
        <v>5872</v>
      </c>
    </row>
    <row r="3694">
      <c r="A3694" s="3">
        <v>28436.0</v>
      </c>
      <c r="B3694" s="9" t="s">
        <v>1417</v>
      </c>
      <c r="C3694" s="2" t="s">
        <v>379</v>
      </c>
      <c r="D3694" s="4" t="s">
        <v>5873</v>
      </c>
    </row>
    <row r="3695">
      <c r="A3695" s="3">
        <v>28436.0</v>
      </c>
      <c r="B3695" s="9" t="s">
        <v>1417</v>
      </c>
      <c r="C3695" s="2" t="s">
        <v>379</v>
      </c>
      <c r="D3695" s="4" t="s">
        <v>5874</v>
      </c>
    </row>
    <row r="3696">
      <c r="A3696" s="3">
        <v>28436.0</v>
      </c>
      <c r="B3696" s="9" t="s">
        <v>1417</v>
      </c>
      <c r="C3696" s="2" t="s">
        <v>379</v>
      </c>
      <c r="D3696" s="4" t="s">
        <v>5875</v>
      </c>
    </row>
    <row r="3697">
      <c r="A3697" s="3">
        <v>28436.0</v>
      </c>
      <c r="B3697" s="9" t="s">
        <v>1417</v>
      </c>
      <c r="C3697" s="2" t="s">
        <v>379</v>
      </c>
      <c r="D3697" s="4" t="s">
        <v>5876</v>
      </c>
    </row>
    <row r="3698">
      <c r="A3698" s="3">
        <v>28437.0</v>
      </c>
      <c r="B3698" s="9" t="s">
        <v>1417</v>
      </c>
      <c r="C3698" s="2" t="s">
        <v>379</v>
      </c>
      <c r="D3698" s="4" t="s">
        <v>5877</v>
      </c>
    </row>
    <row r="3699">
      <c r="A3699" s="3">
        <v>28437.0</v>
      </c>
      <c r="B3699" s="9" t="s">
        <v>1417</v>
      </c>
      <c r="C3699" s="2" t="s">
        <v>379</v>
      </c>
      <c r="D3699" s="4" t="s">
        <v>5878</v>
      </c>
    </row>
    <row r="3700">
      <c r="A3700" s="3">
        <v>28438.0</v>
      </c>
      <c r="B3700" s="9" t="s">
        <v>1417</v>
      </c>
      <c r="C3700" s="2" t="s">
        <v>379</v>
      </c>
      <c r="D3700" s="4" t="s">
        <v>5879</v>
      </c>
    </row>
    <row r="3701">
      <c r="A3701" s="3">
        <v>28438.0</v>
      </c>
      <c r="B3701" s="9" t="s">
        <v>1417</v>
      </c>
      <c r="C3701" s="2" t="s">
        <v>379</v>
      </c>
      <c r="D3701" s="4" t="s">
        <v>5880</v>
      </c>
    </row>
    <row r="3702">
      <c r="A3702" s="3">
        <v>28438.0</v>
      </c>
      <c r="B3702" s="9" t="s">
        <v>1417</v>
      </c>
      <c r="C3702" s="2" t="s">
        <v>379</v>
      </c>
      <c r="D3702" s="4" t="s">
        <v>5881</v>
      </c>
    </row>
    <row r="3703">
      <c r="A3703" s="3">
        <v>28438.0</v>
      </c>
      <c r="B3703" s="9" t="s">
        <v>1417</v>
      </c>
      <c r="C3703" s="2" t="s">
        <v>379</v>
      </c>
      <c r="D3703" s="4" t="s">
        <v>5882</v>
      </c>
    </row>
    <row r="3704">
      <c r="A3704" s="3">
        <v>28439.0</v>
      </c>
      <c r="B3704" s="9" t="s">
        <v>1417</v>
      </c>
      <c r="C3704" s="2" t="s">
        <v>379</v>
      </c>
      <c r="D3704" s="4" t="s">
        <v>5883</v>
      </c>
    </row>
    <row r="3705">
      <c r="A3705" s="3">
        <v>28439.0</v>
      </c>
      <c r="B3705" s="9" t="s">
        <v>1417</v>
      </c>
      <c r="C3705" s="2" t="s">
        <v>379</v>
      </c>
      <c r="D3705" s="4" t="s">
        <v>5884</v>
      </c>
    </row>
    <row r="3706">
      <c r="A3706" s="3">
        <v>28439.0</v>
      </c>
      <c r="B3706" s="9" t="s">
        <v>1417</v>
      </c>
      <c r="C3706" s="2" t="s">
        <v>379</v>
      </c>
      <c r="D3706" s="4" t="s">
        <v>5885</v>
      </c>
    </row>
    <row r="3707">
      <c r="A3707" s="3">
        <v>28440.0</v>
      </c>
      <c r="B3707" s="9" t="s">
        <v>1417</v>
      </c>
      <c r="C3707" s="2" t="s">
        <v>379</v>
      </c>
      <c r="D3707" s="4" t="s">
        <v>5886</v>
      </c>
    </row>
    <row r="3708">
      <c r="A3708" s="3">
        <v>28441.0</v>
      </c>
      <c r="B3708" s="9" t="s">
        <v>1417</v>
      </c>
      <c r="C3708" s="2" t="s">
        <v>379</v>
      </c>
      <c r="D3708" s="4" t="s">
        <v>5887</v>
      </c>
    </row>
    <row r="3709">
      <c r="A3709" s="3">
        <v>28441.0</v>
      </c>
      <c r="B3709" s="9" t="s">
        <v>1417</v>
      </c>
      <c r="C3709" s="2" t="s">
        <v>379</v>
      </c>
      <c r="D3709" s="4" t="s">
        <v>5888</v>
      </c>
    </row>
    <row r="3710">
      <c r="A3710" s="3">
        <v>28442.0</v>
      </c>
      <c r="B3710" s="9" t="s">
        <v>1417</v>
      </c>
      <c r="C3710" s="2" t="s">
        <v>379</v>
      </c>
      <c r="D3710" s="4" t="s">
        <v>5889</v>
      </c>
    </row>
    <row r="3711">
      <c r="A3711" s="3">
        <v>28442.0</v>
      </c>
      <c r="B3711" s="9" t="s">
        <v>1417</v>
      </c>
      <c r="C3711" s="2" t="s">
        <v>379</v>
      </c>
      <c r="D3711" s="4" t="s">
        <v>5890</v>
      </c>
    </row>
    <row r="3712">
      <c r="A3712" s="3">
        <v>28443.0</v>
      </c>
      <c r="B3712" s="9" t="s">
        <v>1417</v>
      </c>
      <c r="C3712" s="2" t="s">
        <v>379</v>
      </c>
      <c r="D3712" s="4" t="s">
        <v>5891</v>
      </c>
    </row>
    <row r="3713">
      <c r="A3713" s="10"/>
      <c r="B3713" s="2" t="s">
        <v>980</v>
      </c>
      <c r="C3713" s="2" t="s">
        <v>379</v>
      </c>
      <c r="D3713" s="4" t="s">
        <v>5892</v>
      </c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  <hyperlink r:id="rId766" ref="D767"/>
    <hyperlink r:id="rId767" ref="D768"/>
    <hyperlink r:id="rId768" ref="D769"/>
    <hyperlink r:id="rId769" ref="D770"/>
    <hyperlink r:id="rId770" ref="D771"/>
    <hyperlink r:id="rId771" ref="D772"/>
    <hyperlink r:id="rId772" ref="D773"/>
    <hyperlink r:id="rId773" ref="D774"/>
    <hyperlink r:id="rId774" ref="D775"/>
    <hyperlink r:id="rId775" ref="D776"/>
    <hyperlink r:id="rId776" ref="D777"/>
    <hyperlink r:id="rId777" ref="D778"/>
    <hyperlink r:id="rId778" ref="D779"/>
    <hyperlink r:id="rId779" ref="D780"/>
    <hyperlink r:id="rId780" ref="D781"/>
    <hyperlink r:id="rId781" ref="D782"/>
    <hyperlink r:id="rId782" ref="D783"/>
    <hyperlink r:id="rId783" ref="D784"/>
    <hyperlink r:id="rId784" ref="D785"/>
    <hyperlink r:id="rId785" ref="D786"/>
    <hyperlink r:id="rId786" ref="D787"/>
    <hyperlink r:id="rId787" ref="D788"/>
    <hyperlink r:id="rId788" ref="D789"/>
    <hyperlink r:id="rId789" ref="D790"/>
    <hyperlink r:id="rId790" ref="D791"/>
    <hyperlink r:id="rId791" ref="D792"/>
    <hyperlink r:id="rId792" ref="D793"/>
    <hyperlink r:id="rId793" ref="D794"/>
    <hyperlink r:id="rId794" ref="D795"/>
    <hyperlink r:id="rId795" ref="D796"/>
    <hyperlink r:id="rId796" ref="D797"/>
    <hyperlink r:id="rId797" ref="D798"/>
    <hyperlink r:id="rId798" ref="D799"/>
    <hyperlink r:id="rId799" ref="D800"/>
    <hyperlink r:id="rId800" ref="D801"/>
    <hyperlink r:id="rId801" ref="D802"/>
    <hyperlink r:id="rId802" ref="D803"/>
    <hyperlink r:id="rId803" ref="D804"/>
    <hyperlink r:id="rId804" ref="D805"/>
    <hyperlink r:id="rId805" ref="D806"/>
    <hyperlink r:id="rId806" ref="D807"/>
    <hyperlink r:id="rId807" ref="D808"/>
    <hyperlink r:id="rId808" ref="D809"/>
    <hyperlink r:id="rId809" ref="D810"/>
    <hyperlink r:id="rId810" ref="D811"/>
    <hyperlink r:id="rId811" ref="D812"/>
    <hyperlink r:id="rId812" ref="D813"/>
    <hyperlink r:id="rId813" ref="D814"/>
    <hyperlink r:id="rId814" ref="D815"/>
    <hyperlink r:id="rId815" ref="D816"/>
    <hyperlink r:id="rId816" ref="D817"/>
    <hyperlink r:id="rId817" ref="D818"/>
    <hyperlink r:id="rId818" ref="D819"/>
    <hyperlink r:id="rId819" ref="D820"/>
    <hyperlink r:id="rId820" ref="D821"/>
    <hyperlink r:id="rId821" ref="D822"/>
    <hyperlink r:id="rId822" ref="D823"/>
    <hyperlink r:id="rId823" ref="D824"/>
    <hyperlink r:id="rId824" ref="D825"/>
    <hyperlink r:id="rId825" ref="D826"/>
    <hyperlink r:id="rId826" ref="D827"/>
    <hyperlink r:id="rId827" ref="D828"/>
    <hyperlink r:id="rId828" ref="D829"/>
    <hyperlink r:id="rId829" ref="D830"/>
    <hyperlink r:id="rId830" ref="D831"/>
    <hyperlink r:id="rId831" ref="D832"/>
    <hyperlink r:id="rId832" ref="D833"/>
    <hyperlink r:id="rId833" ref="D834"/>
    <hyperlink r:id="rId834" ref="D835"/>
    <hyperlink r:id="rId835" ref="D836"/>
    <hyperlink r:id="rId836" ref="D837"/>
    <hyperlink r:id="rId837" ref="D838"/>
    <hyperlink r:id="rId838" ref="D839"/>
    <hyperlink r:id="rId839" ref="D840"/>
    <hyperlink r:id="rId840" ref="D841"/>
    <hyperlink r:id="rId841" ref="D842"/>
    <hyperlink r:id="rId842" ref="D843"/>
    <hyperlink r:id="rId843" ref="D844"/>
    <hyperlink r:id="rId844" ref="D845"/>
    <hyperlink r:id="rId845" ref="D846"/>
    <hyperlink r:id="rId846" ref="D847"/>
    <hyperlink r:id="rId847" ref="D848"/>
    <hyperlink r:id="rId848" ref="D849"/>
    <hyperlink r:id="rId849" ref="D850"/>
    <hyperlink r:id="rId850" ref="D851"/>
    <hyperlink r:id="rId851" ref="D852"/>
    <hyperlink r:id="rId852" ref="D853"/>
    <hyperlink r:id="rId853" ref="D854"/>
    <hyperlink r:id="rId854" ref="D855"/>
    <hyperlink r:id="rId855" ref="D856"/>
    <hyperlink r:id="rId856" ref="D857"/>
    <hyperlink r:id="rId857" ref="D858"/>
    <hyperlink r:id="rId858" ref="D859"/>
    <hyperlink r:id="rId859" ref="D860"/>
    <hyperlink r:id="rId860" ref="D861"/>
    <hyperlink r:id="rId861" ref="D862"/>
    <hyperlink r:id="rId862" ref="D863"/>
    <hyperlink r:id="rId863" ref="D864"/>
    <hyperlink r:id="rId864" ref="D865"/>
    <hyperlink r:id="rId865" ref="D866"/>
    <hyperlink r:id="rId866" ref="D867"/>
    <hyperlink r:id="rId867" ref="D868"/>
    <hyperlink r:id="rId868" ref="D869"/>
    <hyperlink r:id="rId869" ref="D870"/>
    <hyperlink r:id="rId870" ref="D871"/>
    <hyperlink r:id="rId871" ref="D872"/>
    <hyperlink r:id="rId872" ref="D873"/>
    <hyperlink r:id="rId873" ref="D874"/>
    <hyperlink r:id="rId874" ref="D875"/>
    <hyperlink r:id="rId875" ref="D876"/>
    <hyperlink r:id="rId876" ref="D877"/>
    <hyperlink r:id="rId877" ref="D878"/>
    <hyperlink r:id="rId878" ref="D879"/>
    <hyperlink r:id="rId879" ref="D880"/>
    <hyperlink r:id="rId880" ref="D881"/>
    <hyperlink r:id="rId881" ref="D882"/>
    <hyperlink r:id="rId882" ref="D883"/>
    <hyperlink r:id="rId883" ref="D884"/>
    <hyperlink r:id="rId884" ref="D885"/>
    <hyperlink r:id="rId885" ref="D886"/>
    <hyperlink r:id="rId886" ref="D887"/>
    <hyperlink r:id="rId887" ref="D888"/>
    <hyperlink r:id="rId888" ref="D889"/>
    <hyperlink r:id="rId889" ref="D890"/>
    <hyperlink r:id="rId890" ref="D891"/>
    <hyperlink r:id="rId891" ref="D892"/>
    <hyperlink r:id="rId892" ref="D893"/>
    <hyperlink r:id="rId893" ref="D894"/>
    <hyperlink r:id="rId894" ref="D895"/>
    <hyperlink r:id="rId895" ref="D896"/>
    <hyperlink r:id="rId896" ref="D897"/>
    <hyperlink r:id="rId897" ref="D898"/>
    <hyperlink r:id="rId898" ref="D899"/>
    <hyperlink r:id="rId899" ref="D900"/>
    <hyperlink r:id="rId900" ref="D901"/>
    <hyperlink r:id="rId901" ref="D902"/>
    <hyperlink r:id="rId902" ref="D903"/>
    <hyperlink r:id="rId903" ref="D904"/>
    <hyperlink r:id="rId904" ref="D905"/>
    <hyperlink r:id="rId905" ref="D906"/>
    <hyperlink r:id="rId906" ref="D907"/>
    <hyperlink r:id="rId907" ref="D908"/>
    <hyperlink r:id="rId908" ref="D909"/>
    <hyperlink r:id="rId909" ref="D910"/>
    <hyperlink r:id="rId910" ref="D911"/>
    <hyperlink r:id="rId911" ref="D912"/>
    <hyperlink r:id="rId912" ref="D913"/>
    <hyperlink r:id="rId913" ref="D914"/>
    <hyperlink r:id="rId914" ref="D915"/>
    <hyperlink r:id="rId915" ref="D916"/>
    <hyperlink r:id="rId916" ref="D917"/>
    <hyperlink r:id="rId917" ref="D918"/>
    <hyperlink r:id="rId918" ref="D919"/>
    <hyperlink r:id="rId919" ref="D920"/>
    <hyperlink r:id="rId920" ref="D921"/>
    <hyperlink r:id="rId921" ref="D922"/>
    <hyperlink r:id="rId922" ref="D923"/>
    <hyperlink r:id="rId923" ref="D924"/>
    <hyperlink r:id="rId924" ref="D925"/>
    <hyperlink r:id="rId925" ref="D926"/>
    <hyperlink r:id="rId926" ref="D927"/>
    <hyperlink r:id="rId927" ref="D928"/>
    <hyperlink r:id="rId928" ref="D929"/>
    <hyperlink r:id="rId929" ref="D930"/>
    <hyperlink r:id="rId930" ref="D931"/>
    <hyperlink r:id="rId931" ref="D932"/>
    <hyperlink r:id="rId932" ref="D933"/>
    <hyperlink r:id="rId933" ref="D934"/>
    <hyperlink r:id="rId934" ref="D935"/>
    <hyperlink r:id="rId935" ref="D936"/>
    <hyperlink r:id="rId936" ref="D937"/>
    <hyperlink r:id="rId937" ref="D938"/>
    <hyperlink r:id="rId938" ref="D939"/>
    <hyperlink r:id="rId939" ref="D940"/>
    <hyperlink r:id="rId940" ref="D941"/>
    <hyperlink r:id="rId941" ref="D942"/>
    <hyperlink r:id="rId942" ref="D943"/>
    <hyperlink r:id="rId943" ref="D944"/>
    <hyperlink r:id="rId944" ref="D945"/>
    <hyperlink r:id="rId945" ref="D946"/>
    <hyperlink r:id="rId946" ref="D947"/>
    <hyperlink r:id="rId947" ref="D948"/>
    <hyperlink r:id="rId948" ref="D949"/>
    <hyperlink r:id="rId949" ref="D950"/>
    <hyperlink r:id="rId950" ref="D951"/>
    <hyperlink r:id="rId951" ref="D952"/>
    <hyperlink r:id="rId952" ref="D953"/>
    <hyperlink r:id="rId953" ref="D954"/>
    <hyperlink r:id="rId954" ref="D955"/>
    <hyperlink r:id="rId955" ref="D956"/>
    <hyperlink r:id="rId956" ref="D957"/>
    <hyperlink r:id="rId957" ref="D958"/>
    <hyperlink r:id="rId958" ref="D959"/>
    <hyperlink r:id="rId959" ref="D960"/>
    <hyperlink r:id="rId960" ref="D961"/>
    <hyperlink r:id="rId961" ref="D962"/>
    <hyperlink r:id="rId962" ref="D963"/>
    <hyperlink r:id="rId963" ref="D964"/>
    <hyperlink r:id="rId964" ref="D965"/>
    <hyperlink r:id="rId965" ref="D966"/>
    <hyperlink r:id="rId966" ref="D967"/>
    <hyperlink r:id="rId967" ref="D968"/>
    <hyperlink r:id="rId968" ref="D969"/>
    <hyperlink r:id="rId969" ref="D970"/>
    <hyperlink r:id="rId970" ref="D971"/>
    <hyperlink r:id="rId971" ref="D972"/>
    <hyperlink r:id="rId972" ref="D973"/>
    <hyperlink r:id="rId973" ref="D974"/>
    <hyperlink r:id="rId974" ref="D975"/>
    <hyperlink r:id="rId975" ref="D976"/>
    <hyperlink r:id="rId976" ref="D977"/>
    <hyperlink r:id="rId977" ref="D978"/>
    <hyperlink r:id="rId978" ref="D979"/>
    <hyperlink r:id="rId979" ref="D980"/>
    <hyperlink r:id="rId980" ref="D981"/>
    <hyperlink r:id="rId981" ref="D982"/>
    <hyperlink r:id="rId982" ref="D983"/>
    <hyperlink r:id="rId983" ref="D984"/>
    <hyperlink r:id="rId984" ref="D985"/>
    <hyperlink r:id="rId985" ref="D986"/>
    <hyperlink r:id="rId986" ref="D987"/>
    <hyperlink r:id="rId987" ref="D988"/>
    <hyperlink r:id="rId988" ref="D989"/>
    <hyperlink r:id="rId989" ref="D990"/>
    <hyperlink r:id="rId990" ref="D991"/>
    <hyperlink r:id="rId991" ref="D992"/>
    <hyperlink r:id="rId992" ref="D993"/>
    <hyperlink r:id="rId993" ref="D994"/>
    <hyperlink r:id="rId994" ref="D995"/>
    <hyperlink r:id="rId995" ref="D996"/>
    <hyperlink r:id="rId996" ref="D997"/>
    <hyperlink r:id="rId997" ref="D998"/>
    <hyperlink r:id="rId998" ref="D999"/>
    <hyperlink r:id="rId999" ref="D1000"/>
    <hyperlink r:id="rId1000" ref="D1001"/>
    <hyperlink r:id="rId1001" ref="D1002"/>
    <hyperlink r:id="rId1002" ref="D1003"/>
    <hyperlink r:id="rId1003" ref="D1004"/>
    <hyperlink r:id="rId1004" ref="D1005"/>
    <hyperlink r:id="rId1005" ref="D1006"/>
    <hyperlink r:id="rId1006" ref="D1007"/>
    <hyperlink r:id="rId1007" ref="D1008"/>
    <hyperlink r:id="rId1008" ref="D1009"/>
    <hyperlink r:id="rId1009" ref="D1010"/>
    <hyperlink r:id="rId1010" ref="D1011"/>
    <hyperlink r:id="rId1011" ref="D1012"/>
    <hyperlink r:id="rId1012" ref="D1013"/>
    <hyperlink r:id="rId1013" ref="D1014"/>
    <hyperlink r:id="rId1014" ref="D1015"/>
    <hyperlink r:id="rId1015" ref="D1016"/>
    <hyperlink r:id="rId1016" ref="D1017"/>
    <hyperlink r:id="rId1017" ref="D1018"/>
    <hyperlink r:id="rId1018" ref="D1019"/>
    <hyperlink r:id="rId1019" ref="D1020"/>
    <hyperlink r:id="rId1020" ref="D1021"/>
    <hyperlink r:id="rId1021" ref="D1022"/>
    <hyperlink r:id="rId1022" ref="D1023"/>
    <hyperlink r:id="rId1023" ref="D1024"/>
    <hyperlink r:id="rId1024" ref="D1025"/>
    <hyperlink r:id="rId1025" ref="D1026"/>
    <hyperlink r:id="rId1026" ref="D1027"/>
    <hyperlink r:id="rId1027" ref="D1028"/>
    <hyperlink r:id="rId1028" ref="D1029"/>
    <hyperlink r:id="rId1029" ref="D1030"/>
    <hyperlink r:id="rId1030" ref="D1031"/>
    <hyperlink r:id="rId1031" ref="D1032"/>
    <hyperlink r:id="rId1032" ref="D1033"/>
    <hyperlink r:id="rId1033" ref="D1034"/>
    <hyperlink r:id="rId1034" ref="D1035"/>
    <hyperlink r:id="rId1035" ref="D1036"/>
    <hyperlink r:id="rId1036" ref="D1037"/>
    <hyperlink r:id="rId1037" ref="D1038"/>
    <hyperlink r:id="rId1038" ref="D1039"/>
    <hyperlink r:id="rId1039" ref="D1040"/>
    <hyperlink r:id="rId1040" ref="D1041"/>
    <hyperlink r:id="rId1041" ref="D1042"/>
    <hyperlink r:id="rId1042" ref="D1043"/>
    <hyperlink r:id="rId1043" ref="D1044"/>
    <hyperlink r:id="rId1044" ref="D1045"/>
    <hyperlink r:id="rId1045" ref="D1046"/>
    <hyperlink r:id="rId1046" ref="D1047"/>
    <hyperlink r:id="rId1047" ref="D1048"/>
    <hyperlink r:id="rId1048" ref="D1049"/>
    <hyperlink r:id="rId1049" ref="D1050"/>
    <hyperlink r:id="rId1050" ref="D1051"/>
    <hyperlink r:id="rId1051" ref="D1052"/>
    <hyperlink r:id="rId1052" ref="D1053"/>
    <hyperlink r:id="rId1053" ref="D1054"/>
    <hyperlink r:id="rId1054" ref="D1055"/>
    <hyperlink r:id="rId1055" ref="D1056"/>
    <hyperlink r:id="rId1056" ref="D1057"/>
    <hyperlink r:id="rId1057" ref="D1058"/>
    <hyperlink r:id="rId1058" ref="D1059"/>
    <hyperlink r:id="rId1059" ref="D1060"/>
    <hyperlink r:id="rId1060" ref="D1061"/>
    <hyperlink r:id="rId1061" ref="D1062"/>
    <hyperlink r:id="rId1062" ref="D1063"/>
    <hyperlink r:id="rId1063" ref="D1064"/>
    <hyperlink r:id="rId1064" ref="D1065"/>
    <hyperlink r:id="rId1065" ref="D1066"/>
    <hyperlink r:id="rId1066" ref="D1067"/>
    <hyperlink r:id="rId1067" ref="D1068"/>
    <hyperlink r:id="rId1068" ref="D1069"/>
    <hyperlink r:id="rId1069" ref="D1070"/>
    <hyperlink r:id="rId1070" ref="D1071"/>
    <hyperlink r:id="rId1071" ref="D1072"/>
    <hyperlink r:id="rId1072" ref="D1073"/>
    <hyperlink r:id="rId1073" ref="D1074"/>
    <hyperlink r:id="rId1074" ref="D1075"/>
    <hyperlink r:id="rId1075" ref="D1076"/>
    <hyperlink r:id="rId1076" ref="D1077"/>
    <hyperlink r:id="rId1077" ref="D1078"/>
    <hyperlink r:id="rId1078" ref="D1079"/>
    <hyperlink r:id="rId1079" ref="D1080"/>
    <hyperlink r:id="rId1080" ref="D1081"/>
    <hyperlink r:id="rId1081" ref="D1082"/>
    <hyperlink r:id="rId1082" ref="D1083"/>
    <hyperlink r:id="rId1083" ref="D1084"/>
    <hyperlink r:id="rId1084" ref="D1085"/>
    <hyperlink r:id="rId1085" ref="D1086"/>
    <hyperlink r:id="rId1086" ref="D1087"/>
    <hyperlink r:id="rId1087" ref="D1088"/>
    <hyperlink r:id="rId1088" ref="D1089"/>
    <hyperlink r:id="rId1089" ref="D1090"/>
    <hyperlink r:id="rId1090" ref="D1091"/>
    <hyperlink r:id="rId1091" ref="D1092"/>
    <hyperlink r:id="rId1092" ref="D1093"/>
    <hyperlink r:id="rId1093" ref="D1094"/>
    <hyperlink r:id="rId1094" ref="D1095"/>
    <hyperlink r:id="rId1095" ref="D1096"/>
    <hyperlink r:id="rId1096" ref="D1097"/>
    <hyperlink r:id="rId1097" ref="D1098"/>
    <hyperlink r:id="rId1098" ref="D1099"/>
    <hyperlink r:id="rId1099" ref="D1100"/>
    <hyperlink r:id="rId1100" ref="D1101"/>
    <hyperlink r:id="rId1101" ref="D1102"/>
    <hyperlink r:id="rId1102" ref="D1103"/>
    <hyperlink r:id="rId1103" ref="D1104"/>
    <hyperlink r:id="rId1104" ref="D1105"/>
    <hyperlink r:id="rId1105" ref="D1106"/>
    <hyperlink r:id="rId1106" ref="D1107"/>
    <hyperlink r:id="rId1107" ref="D1108"/>
    <hyperlink r:id="rId1108" ref="D1109"/>
    <hyperlink r:id="rId1109" ref="D1110"/>
    <hyperlink r:id="rId1110" ref="D1111"/>
    <hyperlink r:id="rId1111" ref="D1112"/>
    <hyperlink r:id="rId1112" ref="D1113"/>
    <hyperlink r:id="rId1113" ref="D1114"/>
    <hyperlink r:id="rId1114" ref="D1115"/>
    <hyperlink r:id="rId1115" ref="D1116"/>
    <hyperlink r:id="rId1116" ref="D1117"/>
    <hyperlink r:id="rId1117" ref="D1118"/>
    <hyperlink r:id="rId1118" ref="D1119"/>
    <hyperlink r:id="rId1119" ref="D1120"/>
    <hyperlink r:id="rId1120" ref="D1121"/>
    <hyperlink r:id="rId1121" ref="D1122"/>
    <hyperlink r:id="rId1122" ref="D1123"/>
    <hyperlink r:id="rId1123" ref="D1124"/>
    <hyperlink r:id="rId1124" ref="D1125"/>
    <hyperlink r:id="rId1125" ref="D1126"/>
    <hyperlink r:id="rId1126" ref="D1127"/>
    <hyperlink r:id="rId1127" ref="D1128"/>
    <hyperlink r:id="rId1128" ref="D1129"/>
    <hyperlink r:id="rId1129" ref="D1130"/>
    <hyperlink r:id="rId1130" ref="D1131"/>
    <hyperlink r:id="rId1131" ref="D1132"/>
    <hyperlink r:id="rId1132" ref="D1133"/>
    <hyperlink r:id="rId1133" ref="D1134"/>
    <hyperlink r:id="rId1134" ref="D1135"/>
    <hyperlink r:id="rId1135" ref="D1136"/>
    <hyperlink r:id="rId1136" ref="D1137"/>
    <hyperlink r:id="rId1137" ref="D1138"/>
    <hyperlink r:id="rId1138" ref="D1139"/>
    <hyperlink r:id="rId1139" ref="D1140"/>
    <hyperlink r:id="rId1140" ref="D1141"/>
    <hyperlink r:id="rId1141" ref="D1142"/>
    <hyperlink r:id="rId1142" ref="D1143"/>
    <hyperlink r:id="rId1143" ref="D1144"/>
    <hyperlink r:id="rId1144" ref="D1145"/>
    <hyperlink r:id="rId1145" ref="D1146"/>
    <hyperlink r:id="rId1146" ref="D1147"/>
    <hyperlink r:id="rId1147" ref="D1148"/>
    <hyperlink r:id="rId1148" ref="D1149"/>
    <hyperlink r:id="rId1149" ref="D1150"/>
    <hyperlink r:id="rId1150" ref="D1151"/>
    <hyperlink r:id="rId1151" ref="D1152"/>
    <hyperlink r:id="rId1152" ref="D1153"/>
    <hyperlink r:id="rId1153" ref="D1154"/>
    <hyperlink r:id="rId1154" ref="D1155"/>
    <hyperlink r:id="rId1155" ref="D1156"/>
    <hyperlink r:id="rId1156" ref="D1157"/>
    <hyperlink r:id="rId1157" ref="D1158"/>
    <hyperlink r:id="rId1158" ref="D1159"/>
    <hyperlink r:id="rId1159" ref="D1160"/>
    <hyperlink r:id="rId1160" ref="D1161"/>
    <hyperlink r:id="rId1161" ref="D1162"/>
    <hyperlink r:id="rId1162" ref="D1163"/>
    <hyperlink r:id="rId1163" ref="D1164"/>
    <hyperlink r:id="rId1164" ref="D1165"/>
    <hyperlink r:id="rId1165" ref="D1166"/>
    <hyperlink r:id="rId1166" ref="D1167"/>
    <hyperlink r:id="rId1167" ref="D1168"/>
    <hyperlink r:id="rId1168" ref="D1169"/>
    <hyperlink r:id="rId1169" ref="D1170"/>
    <hyperlink r:id="rId1170" ref="D1171"/>
    <hyperlink r:id="rId1171" ref="D1172"/>
    <hyperlink r:id="rId1172" ref="D1173"/>
    <hyperlink r:id="rId1173" ref="D1174"/>
    <hyperlink r:id="rId1174" ref="D1175"/>
    <hyperlink r:id="rId1175" ref="D1176"/>
    <hyperlink r:id="rId1176" ref="D1177"/>
    <hyperlink r:id="rId1177" ref="D1178"/>
    <hyperlink r:id="rId1178" ref="D1179"/>
    <hyperlink r:id="rId1179" ref="D1180"/>
    <hyperlink r:id="rId1180" ref="D1181"/>
    <hyperlink r:id="rId1181" ref="D1182"/>
    <hyperlink r:id="rId1182" ref="D1183"/>
    <hyperlink r:id="rId1183" ref="D1184"/>
    <hyperlink r:id="rId1184" ref="D1185"/>
    <hyperlink r:id="rId1185" ref="D1186"/>
    <hyperlink r:id="rId1186" ref="D1187"/>
    <hyperlink r:id="rId1187" ref="D1188"/>
    <hyperlink r:id="rId1188" ref="D1189"/>
    <hyperlink r:id="rId1189" ref="D1190"/>
    <hyperlink r:id="rId1190" ref="D1191"/>
    <hyperlink r:id="rId1191" ref="D1192"/>
    <hyperlink r:id="rId1192" ref="D1193"/>
    <hyperlink r:id="rId1193" ref="D1194"/>
    <hyperlink r:id="rId1194" ref="D1195"/>
    <hyperlink r:id="rId1195" ref="D1196"/>
    <hyperlink r:id="rId1196" ref="D1197"/>
    <hyperlink r:id="rId1197" ref="D1198"/>
    <hyperlink r:id="rId1198" ref="D1199"/>
    <hyperlink r:id="rId1199" ref="D1200"/>
    <hyperlink r:id="rId1200" ref="D1201"/>
    <hyperlink r:id="rId1201" ref="D1202"/>
    <hyperlink r:id="rId1202" ref="D1203"/>
    <hyperlink r:id="rId1203" ref="D1204"/>
    <hyperlink r:id="rId1204" ref="D1205"/>
    <hyperlink r:id="rId1205" ref="D1206"/>
    <hyperlink r:id="rId1206" ref="D1207"/>
    <hyperlink r:id="rId1207" ref="D1208"/>
    <hyperlink r:id="rId1208" ref="D1209"/>
    <hyperlink r:id="rId1209" ref="D1210"/>
    <hyperlink r:id="rId1210" ref="D1211"/>
    <hyperlink r:id="rId1211" ref="D1212"/>
    <hyperlink r:id="rId1212" ref="D1213"/>
    <hyperlink r:id="rId1213" ref="D1214"/>
    <hyperlink r:id="rId1214" ref="D1215"/>
    <hyperlink r:id="rId1215" ref="D1216"/>
    <hyperlink r:id="rId1216" ref="D1217"/>
    <hyperlink r:id="rId1217" ref="D1218"/>
    <hyperlink r:id="rId1218" ref="D1219"/>
    <hyperlink r:id="rId1219" ref="D1220"/>
    <hyperlink r:id="rId1220" ref="D1221"/>
    <hyperlink r:id="rId1221" ref="D1222"/>
    <hyperlink r:id="rId1222" ref="D1223"/>
    <hyperlink r:id="rId1223" ref="D1224"/>
    <hyperlink r:id="rId1224" ref="D1225"/>
    <hyperlink r:id="rId1225" ref="D1226"/>
    <hyperlink r:id="rId1226" ref="D1227"/>
    <hyperlink r:id="rId1227" ref="D1228"/>
    <hyperlink r:id="rId1228" ref="D1229"/>
    <hyperlink r:id="rId1229" ref="D1230"/>
    <hyperlink r:id="rId1230" ref="D1231"/>
    <hyperlink r:id="rId1231" ref="D1232"/>
    <hyperlink r:id="rId1232" ref="D1233"/>
    <hyperlink r:id="rId1233" ref="D1234"/>
    <hyperlink r:id="rId1234" ref="D1235"/>
    <hyperlink r:id="rId1235" ref="D1236"/>
    <hyperlink r:id="rId1236" ref="D1237"/>
    <hyperlink r:id="rId1237" ref="D1238"/>
    <hyperlink r:id="rId1238" ref="D1239"/>
    <hyperlink r:id="rId1239" ref="D1240"/>
    <hyperlink r:id="rId1240" ref="D1241"/>
    <hyperlink r:id="rId1241" ref="D1242"/>
    <hyperlink r:id="rId1242" ref="D1243"/>
    <hyperlink r:id="rId1243" ref="D1244"/>
    <hyperlink r:id="rId1244" ref="D1245"/>
    <hyperlink r:id="rId1245" ref="D1246"/>
    <hyperlink r:id="rId1246" ref="D1247"/>
    <hyperlink r:id="rId1247" ref="D1248"/>
    <hyperlink r:id="rId1248" ref="D1249"/>
    <hyperlink r:id="rId1249" ref="D1250"/>
    <hyperlink r:id="rId1250" ref="D1251"/>
    <hyperlink r:id="rId1251" ref="D1252"/>
    <hyperlink r:id="rId1252" ref="D1253"/>
    <hyperlink r:id="rId1253" ref="D1254"/>
    <hyperlink r:id="rId1254" ref="D1255"/>
    <hyperlink r:id="rId1255" ref="D1256"/>
    <hyperlink r:id="rId1256" ref="D1257"/>
    <hyperlink r:id="rId1257" ref="D1258"/>
    <hyperlink r:id="rId1258" ref="D1259"/>
    <hyperlink r:id="rId1259" ref="D1260"/>
    <hyperlink r:id="rId1260" ref="D1261"/>
    <hyperlink r:id="rId1261" ref="D1262"/>
    <hyperlink r:id="rId1262" ref="D1263"/>
    <hyperlink r:id="rId1263" ref="D1264"/>
    <hyperlink r:id="rId1264" ref="D1265"/>
    <hyperlink r:id="rId1265" ref="D1266"/>
    <hyperlink r:id="rId1266" ref="D1267"/>
    <hyperlink r:id="rId1267" ref="D1268"/>
    <hyperlink r:id="rId1268" ref="D1269"/>
    <hyperlink r:id="rId1269" ref="D1270"/>
    <hyperlink r:id="rId1270" ref="D1271"/>
    <hyperlink r:id="rId1271" ref="D1272"/>
    <hyperlink r:id="rId1272" ref="D1273"/>
    <hyperlink r:id="rId1273" ref="D1274"/>
    <hyperlink r:id="rId1274" ref="D1275"/>
    <hyperlink r:id="rId1275" ref="D1276"/>
    <hyperlink r:id="rId1276" ref="D1277"/>
    <hyperlink r:id="rId1277" ref="D1278"/>
    <hyperlink r:id="rId1278" ref="D1279"/>
    <hyperlink r:id="rId1279" ref="D1280"/>
    <hyperlink r:id="rId1280" ref="D1281"/>
    <hyperlink r:id="rId1281" ref="D1282"/>
    <hyperlink r:id="rId1282" ref="D1283"/>
    <hyperlink r:id="rId1283" ref="D1284"/>
    <hyperlink r:id="rId1284" ref="D1285"/>
    <hyperlink r:id="rId1285" ref="D1286"/>
    <hyperlink r:id="rId1286" ref="D1287"/>
    <hyperlink r:id="rId1287" ref="D1288"/>
    <hyperlink r:id="rId1288" ref="D1289"/>
    <hyperlink r:id="rId1289" ref="D1290"/>
    <hyperlink r:id="rId1290" ref="D1291"/>
    <hyperlink r:id="rId1291" ref="D1292"/>
    <hyperlink r:id="rId1292" ref="D1293"/>
    <hyperlink r:id="rId1293" ref="D1294"/>
    <hyperlink r:id="rId1294" ref="D1295"/>
    <hyperlink r:id="rId1295" ref="D1296"/>
    <hyperlink r:id="rId1296" ref="D1297"/>
    <hyperlink r:id="rId1297" ref="D1298"/>
    <hyperlink r:id="rId1298" ref="D1299"/>
    <hyperlink r:id="rId1299" ref="D1300"/>
    <hyperlink r:id="rId1300" ref="D1301"/>
    <hyperlink r:id="rId1301" ref="D1302"/>
    <hyperlink r:id="rId1302" ref="D1303"/>
    <hyperlink r:id="rId1303" ref="D1304"/>
    <hyperlink r:id="rId1304" ref="D1305"/>
    <hyperlink r:id="rId1305" ref="D1306"/>
    <hyperlink r:id="rId1306" ref="D1307"/>
    <hyperlink r:id="rId1307" ref="D1308"/>
    <hyperlink r:id="rId1308" ref="D1309"/>
    <hyperlink r:id="rId1309" ref="D1310"/>
    <hyperlink r:id="rId1310" ref="D1311"/>
    <hyperlink r:id="rId1311" ref="D1312"/>
    <hyperlink r:id="rId1312" ref="D1313"/>
    <hyperlink r:id="rId1313" ref="D1314"/>
    <hyperlink r:id="rId1314" ref="D1315"/>
    <hyperlink r:id="rId1315" ref="D1316"/>
    <hyperlink r:id="rId1316" ref="D1317"/>
    <hyperlink r:id="rId1317" ref="D1318"/>
    <hyperlink r:id="rId1318" ref="D1319"/>
    <hyperlink r:id="rId1319" ref="D1320"/>
    <hyperlink r:id="rId1320" ref="D1321"/>
    <hyperlink r:id="rId1321" ref="D1322"/>
    <hyperlink r:id="rId1322" ref="D1323"/>
    <hyperlink r:id="rId1323" ref="D1324"/>
    <hyperlink r:id="rId1324" ref="D1325"/>
    <hyperlink r:id="rId1325" ref="D1326"/>
    <hyperlink r:id="rId1326" ref="D1327"/>
    <hyperlink r:id="rId1327" ref="D1328"/>
    <hyperlink r:id="rId1328" ref="D1329"/>
    <hyperlink r:id="rId1329" ref="D1330"/>
    <hyperlink r:id="rId1330" ref="D1331"/>
    <hyperlink r:id="rId1331" ref="D1332"/>
    <hyperlink r:id="rId1332" ref="D1333"/>
    <hyperlink r:id="rId1333" ref="D1334"/>
    <hyperlink r:id="rId1334" ref="D1335"/>
    <hyperlink r:id="rId1335" ref="D1336"/>
    <hyperlink r:id="rId1336" ref="D1337"/>
    <hyperlink r:id="rId1337" ref="D1338"/>
    <hyperlink r:id="rId1338" ref="D1339"/>
    <hyperlink r:id="rId1339" ref="D1340"/>
    <hyperlink r:id="rId1340" ref="D1341"/>
    <hyperlink r:id="rId1341" ref="D1342"/>
    <hyperlink r:id="rId1342" ref="D1343"/>
    <hyperlink r:id="rId1343" ref="D1344"/>
    <hyperlink r:id="rId1344" ref="D1345"/>
    <hyperlink r:id="rId1345" ref="D1346"/>
    <hyperlink r:id="rId1346" ref="D1347"/>
    <hyperlink r:id="rId1347" ref="D1348"/>
    <hyperlink r:id="rId1348" ref="D1349"/>
    <hyperlink r:id="rId1349" ref="D1350"/>
    <hyperlink r:id="rId1350" ref="D1351"/>
    <hyperlink r:id="rId1351" ref="D1352"/>
    <hyperlink r:id="rId1352" ref="D1353"/>
    <hyperlink r:id="rId1353" ref="D1354"/>
    <hyperlink r:id="rId1354" ref="D1355"/>
    <hyperlink r:id="rId1355" ref="D1356"/>
    <hyperlink r:id="rId1356" ref="D1357"/>
    <hyperlink r:id="rId1357" ref="D1358"/>
    <hyperlink r:id="rId1358" ref="D1359"/>
    <hyperlink r:id="rId1359" ref="D1360"/>
    <hyperlink r:id="rId1360" ref="D1361"/>
    <hyperlink r:id="rId1361" ref="D1362"/>
    <hyperlink r:id="rId1362" ref="D1363"/>
    <hyperlink r:id="rId1363" ref="D1364"/>
    <hyperlink r:id="rId1364" ref="D1365"/>
    <hyperlink r:id="rId1365" ref="D1366"/>
    <hyperlink r:id="rId1366" ref="D1367"/>
    <hyperlink r:id="rId1367" ref="D1368"/>
    <hyperlink r:id="rId1368" ref="D1369"/>
    <hyperlink r:id="rId1369" ref="D1370"/>
    <hyperlink r:id="rId1370" ref="D1371"/>
    <hyperlink r:id="rId1371" ref="D1372"/>
    <hyperlink r:id="rId1372" ref="D1373"/>
    <hyperlink r:id="rId1373" ref="D1374"/>
    <hyperlink r:id="rId1374" ref="D1375"/>
    <hyperlink r:id="rId1375" ref="D1376"/>
    <hyperlink r:id="rId1376" ref="D1377"/>
    <hyperlink r:id="rId1377" ref="D1378"/>
    <hyperlink r:id="rId1378" ref="D1379"/>
    <hyperlink r:id="rId1379" ref="D1380"/>
    <hyperlink r:id="rId1380" ref="D1381"/>
    <hyperlink r:id="rId1381" ref="D1382"/>
    <hyperlink r:id="rId1382" ref="D1383"/>
    <hyperlink r:id="rId1383" ref="D1384"/>
    <hyperlink r:id="rId1384" ref="D1385"/>
    <hyperlink r:id="rId1385" ref="D1386"/>
    <hyperlink r:id="rId1386" ref="D1387"/>
    <hyperlink r:id="rId1387" ref="D1388"/>
    <hyperlink r:id="rId1388" ref="D1389"/>
    <hyperlink r:id="rId1389" ref="D1390"/>
    <hyperlink r:id="rId1390" ref="D1391"/>
    <hyperlink r:id="rId1391" ref="D1392"/>
    <hyperlink r:id="rId1392" ref="D1393"/>
    <hyperlink r:id="rId1393" ref="D1394"/>
    <hyperlink r:id="rId1394" ref="D1395"/>
    <hyperlink r:id="rId1395" ref="D1396"/>
    <hyperlink r:id="rId1396" ref="D1397"/>
    <hyperlink r:id="rId1397" ref="D1398"/>
    <hyperlink r:id="rId1398" ref="D1399"/>
    <hyperlink r:id="rId1399" ref="D1400"/>
    <hyperlink r:id="rId1400" ref="D1401"/>
    <hyperlink r:id="rId1401" ref="D1402"/>
    <hyperlink r:id="rId1402" ref="D1403"/>
    <hyperlink r:id="rId1403" ref="D1404"/>
    <hyperlink r:id="rId1404" ref="D1405"/>
    <hyperlink r:id="rId1405" ref="D1406"/>
    <hyperlink r:id="rId1406" ref="D1407"/>
    <hyperlink r:id="rId1407" ref="D1408"/>
    <hyperlink r:id="rId1408" ref="D1409"/>
    <hyperlink r:id="rId1409" ref="D1410"/>
    <hyperlink r:id="rId1410" ref="D1411"/>
    <hyperlink r:id="rId1411" ref="D1412"/>
    <hyperlink r:id="rId1412" ref="D1413"/>
    <hyperlink r:id="rId1413" ref="D1414"/>
    <hyperlink r:id="rId1414" ref="D1415"/>
    <hyperlink r:id="rId1415" ref="D1416"/>
    <hyperlink r:id="rId1416" ref="D1417"/>
    <hyperlink r:id="rId1417" ref="D1418"/>
    <hyperlink r:id="rId1418" ref="D1419"/>
    <hyperlink r:id="rId1419" ref="D1420"/>
    <hyperlink r:id="rId1420" ref="D1421"/>
    <hyperlink r:id="rId1421" ref="D1422"/>
    <hyperlink r:id="rId1422" ref="D1423"/>
    <hyperlink r:id="rId1423" ref="D1424"/>
    <hyperlink r:id="rId1424" ref="D1425"/>
    <hyperlink r:id="rId1425" ref="D1426"/>
    <hyperlink r:id="rId1426" ref="D1427"/>
    <hyperlink r:id="rId1427" ref="D1428"/>
    <hyperlink r:id="rId1428" ref="D1429"/>
    <hyperlink r:id="rId1429" ref="D1430"/>
    <hyperlink r:id="rId1430" ref="D1431"/>
    <hyperlink r:id="rId1431" ref="D1432"/>
    <hyperlink r:id="rId1432" ref="D1433"/>
    <hyperlink r:id="rId1433" ref="D1434"/>
    <hyperlink r:id="rId1434" ref="D1435"/>
    <hyperlink r:id="rId1435" ref="D1436"/>
    <hyperlink r:id="rId1436" ref="D1437"/>
    <hyperlink r:id="rId1437" ref="D1438"/>
    <hyperlink r:id="rId1438" ref="D1439"/>
    <hyperlink r:id="rId1439" ref="D1440"/>
    <hyperlink r:id="rId1440" ref="D1441"/>
    <hyperlink r:id="rId1441" ref="D1442"/>
    <hyperlink r:id="rId1442" ref="D1443"/>
    <hyperlink r:id="rId1443" ref="D1444"/>
    <hyperlink r:id="rId1444" ref="D1445"/>
    <hyperlink r:id="rId1445" ref="D1446"/>
    <hyperlink r:id="rId1446" ref="D1447"/>
    <hyperlink r:id="rId1447" ref="D1448"/>
    <hyperlink r:id="rId1448" ref="D1449"/>
    <hyperlink r:id="rId1449" ref="D1450"/>
    <hyperlink r:id="rId1450" ref="D1451"/>
    <hyperlink r:id="rId1451" ref="D1452"/>
    <hyperlink r:id="rId1452" ref="D1453"/>
    <hyperlink r:id="rId1453" ref="D1454"/>
    <hyperlink r:id="rId1454" ref="D1455"/>
    <hyperlink r:id="rId1455" ref="D1456"/>
    <hyperlink r:id="rId1456" ref="D1457"/>
    <hyperlink r:id="rId1457" ref="D1458"/>
    <hyperlink r:id="rId1458" ref="D1459"/>
    <hyperlink r:id="rId1459" ref="D1460"/>
    <hyperlink r:id="rId1460" ref="D1461"/>
    <hyperlink r:id="rId1461" ref="D1462"/>
    <hyperlink r:id="rId1462" ref="D1463"/>
    <hyperlink r:id="rId1463" ref="D1464"/>
    <hyperlink r:id="rId1464" ref="D1465"/>
    <hyperlink r:id="rId1465" ref="D1466"/>
    <hyperlink r:id="rId1466" ref="D1467"/>
    <hyperlink r:id="rId1467" ref="D1468"/>
    <hyperlink r:id="rId1468" ref="D1469"/>
    <hyperlink r:id="rId1469" ref="D1470"/>
    <hyperlink r:id="rId1470" ref="D1471"/>
    <hyperlink r:id="rId1471" ref="D1472"/>
    <hyperlink r:id="rId1472" ref="D1473"/>
    <hyperlink r:id="rId1473" ref="D1474"/>
    <hyperlink r:id="rId1474" ref="D1475"/>
    <hyperlink r:id="rId1475" ref="D1476"/>
    <hyperlink r:id="rId1476" ref="D1477"/>
    <hyperlink r:id="rId1477" ref="D1478"/>
    <hyperlink r:id="rId1478" ref="D1479"/>
    <hyperlink r:id="rId1479" ref="D1480"/>
    <hyperlink r:id="rId1480" ref="D1481"/>
    <hyperlink r:id="rId1481" ref="D1482"/>
    <hyperlink r:id="rId1482" ref="D1483"/>
    <hyperlink r:id="rId1483" ref="D1484"/>
    <hyperlink r:id="rId1484" ref="D1485"/>
    <hyperlink r:id="rId1485" ref="D1486"/>
    <hyperlink r:id="rId1486" ref="D1487"/>
    <hyperlink r:id="rId1487" ref="D1488"/>
    <hyperlink r:id="rId1488" ref="D1489"/>
    <hyperlink r:id="rId1489" ref="D1490"/>
    <hyperlink r:id="rId1490" ref="D1491"/>
    <hyperlink r:id="rId1491" ref="D1492"/>
    <hyperlink r:id="rId1492" ref="D1493"/>
    <hyperlink r:id="rId1493" ref="D1494"/>
    <hyperlink r:id="rId1494" ref="D1495"/>
    <hyperlink r:id="rId1495" ref="D1496"/>
    <hyperlink r:id="rId1496" ref="D1497"/>
    <hyperlink r:id="rId1497" ref="D1498"/>
    <hyperlink r:id="rId1498" ref="D1499"/>
    <hyperlink r:id="rId1499" ref="D1500"/>
    <hyperlink r:id="rId1500" ref="D1501"/>
    <hyperlink r:id="rId1501" ref="D1502"/>
    <hyperlink r:id="rId1502" ref="D1503"/>
    <hyperlink r:id="rId1503" ref="D1504"/>
    <hyperlink r:id="rId1504" ref="D1505"/>
    <hyperlink r:id="rId1505" ref="D1506"/>
    <hyperlink r:id="rId1506" ref="D1507"/>
    <hyperlink r:id="rId1507" ref="D1508"/>
    <hyperlink r:id="rId1508" ref="D1509"/>
    <hyperlink r:id="rId1509" ref="D1510"/>
    <hyperlink r:id="rId1510" ref="D1511"/>
    <hyperlink r:id="rId1511" ref="D1512"/>
    <hyperlink r:id="rId1512" ref="D1513"/>
    <hyperlink r:id="rId1513" ref="D1514"/>
    <hyperlink r:id="rId1514" ref="D1515"/>
    <hyperlink r:id="rId1515" ref="D1516"/>
    <hyperlink r:id="rId1516" ref="D1517"/>
    <hyperlink r:id="rId1517" ref="D1518"/>
    <hyperlink r:id="rId1518" ref="D1519"/>
    <hyperlink r:id="rId1519" ref="D1520"/>
    <hyperlink r:id="rId1520" ref="D1521"/>
    <hyperlink r:id="rId1521" ref="D1522"/>
    <hyperlink r:id="rId1522" ref="D1523"/>
    <hyperlink r:id="rId1523" ref="D1524"/>
    <hyperlink r:id="rId1524" ref="D1525"/>
    <hyperlink r:id="rId1525" ref="D1526"/>
    <hyperlink r:id="rId1526" ref="D1527"/>
    <hyperlink r:id="rId1527" ref="D1528"/>
    <hyperlink r:id="rId1528" ref="D1529"/>
    <hyperlink r:id="rId1529" ref="D1530"/>
    <hyperlink r:id="rId1530" ref="D1531"/>
    <hyperlink r:id="rId1531" ref="D1532"/>
    <hyperlink r:id="rId1532" ref="D1533"/>
    <hyperlink r:id="rId1533" ref="D1534"/>
    <hyperlink r:id="rId1534" ref="D1535"/>
    <hyperlink r:id="rId1535" ref="D1536"/>
    <hyperlink r:id="rId1536" ref="D1537"/>
    <hyperlink r:id="rId1537" ref="D1538"/>
    <hyperlink r:id="rId1538" ref="D1539"/>
    <hyperlink r:id="rId1539" ref="D1540"/>
    <hyperlink r:id="rId1540" ref="D1541"/>
    <hyperlink r:id="rId1541" ref="D1542"/>
    <hyperlink r:id="rId1542" ref="D1543"/>
    <hyperlink r:id="rId1543" ref="D1544"/>
    <hyperlink r:id="rId1544" ref="D1545"/>
    <hyperlink r:id="rId1545" ref="D1546"/>
    <hyperlink r:id="rId1546" ref="D1547"/>
    <hyperlink r:id="rId1547" ref="D1548"/>
    <hyperlink r:id="rId1548" ref="D1549"/>
    <hyperlink r:id="rId1549" ref="D1550"/>
    <hyperlink r:id="rId1550" ref="D1551"/>
    <hyperlink r:id="rId1551" ref="D1552"/>
    <hyperlink r:id="rId1552" ref="D1553"/>
    <hyperlink r:id="rId1553" ref="D1554"/>
    <hyperlink r:id="rId1554" ref="D1555"/>
    <hyperlink r:id="rId1555" ref="D1556"/>
    <hyperlink r:id="rId1556" ref="D1557"/>
    <hyperlink r:id="rId1557" ref="D1558"/>
    <hyperlink r:id="rId1558" ref="D1559"/>
    <hyperlink r:id="rId1559" ref="D1560"/>
    <hyperlink r:id="rId1560" ref="D1561"/>
    <hyperlink r:id="rId1561" ref="D1562"/>
    <hyperlink r:id="rId1562" ref="D1563"/>
    <hyperlink r:id="rId1563" ref="D1564"/>
    <hyperlink r:id="rId1564" ref="D1565"/>
    <hyperlink r:id="rId1565" ref="D1566"/>
    <hyperlink r:id="rId1566" ref="D1567"/>
    <hyperlink r:id="rId1567" ref="D1568"/>
    <hyperlink r:id="rId1568" ref="D1569"/>
    <hyperlink r:id="rId1569" ref="D1570"/>
    <hyperlink r:id="rId1570" ref="D1571"/>
    <hyperlink r:id="rId1571" ref="D1572"/>
    <hyperlink r:id="rId1572" ref="D1573"/>
    <hyperlink r:id="rId1573" ref="D1574"/>
    <hyperlink r:id="rId1574" ref="D1575"/>
    <hyperlink r:id="rId1575" ref="D1576"/>
    <hyperlink r:id="rId1576" ref="D1577"/>
    <hyperlink r:id="rId1577" ref="D1578"/>
    <hyperlink r:id="rId1578" ref="D1579"/>
    <hyperlink r:id="rId1579" ref="D1580"/>
    <hyperlink r:id="rId1580" ref="D1581"/>
    <hyperlink r:id="rId1581" ref="D1582"/>
    <hyperlink r:id="rId1582" ref="D1583"/>
    <hyperlink r:id="rId1583" ref="D1584"/>
    <hyperlink r:id="rId1584" ref="D1585"/>
    <hyperlink r:id="rId1585" ref="D1586"/>
    <hyperlink r:id="rId1586" ref="D1587"/>
    <hyperlink r:id="rId1587" ref="D1588"/>
    <hyperlink r:id="rId1588" ref="D1589"/>
    <hyperlink r:id="rId1589" ref="D1590"/>
    <hyperlink r:id="rId1590" ref="D1591"/>
    <hyperlink r:id="rId1591" ref="D1592"/>
    <hyperlink r:id="rId1592" ref="D1593"/>
    <hyperlink r:id="rId1593" ref="D1594"/>
    <hyperlink r:id="rId1594" ref="D1595"/>
    <hyperlink r:id="rId1595" ref="D1596"/>
    <hyperlink r:id="rId1596" ref="D1597"/>
    <hyperlink r:id="rId1597" ref="D1598"/>
    <hyperlink r:id="rId1598" ref="D1599"/>
    <hyperlink r:id="rId1599" ref="D1600"/>
    <hyperlink r:id="rId1600" ref="D1601"/>
    <hyperlink r:id="rId1601" ref="D1602"/>
    <hyperlink r:id="rId1602" ref="D1603"/>
    <hyperlink r:id="rId1603" ref="D1604"/>
    <hyperlink r:id="rId1604" ref="D1605"/>
    <hyperlink r:id="rId1605" ref="D1606"/>
    <hyperlink r:id="rId1606" ref="D1607"/>
    <hyperlink r:id="rId1607" ref="D1608"/>
    <hyperlink r:id="rId1608" ref="D1609"/>
    <hyperlink r:id="rId1609" ref="D1610"/>
    <hyperlink r:id="rId1610" ref="D1611"/>
    <hyperlink r:id="rId1611" ref="D1612"/>
    <hyperlink r:id="rId1612" ref="D1613"/>
    <hyperlink r:id="rId1613" ref="D1614"/>
    <hyperlink r:id="rId1614" ref="D1615"/>
    <hyperlink r:id="rId1615" ref="D1616"/>
    <hyperlink r:id="rId1616" ref="D1617"/>
    <hyperlink r:id="rId1617" ref="D1618"/>
    <hyperlink r:id="rId1618" ref="D1619"/>
    <hyperlink r:id="rId1619" ref="D1620"/>
    <hyperlink r:id="rId1620" ref="D1621"/>
    <hyperlink r:id="rId1621" ref="D1622"/>
    <hyperlink r:id="rId1622" ref="D1623"/>
    <hyperlink r:id="rId1623" ref="D1624"/>
    <hyperlink r:id="rId1624" ref="D1625"/>
    <hyperlink r:id="rId1625" ref="D1626"/>
    <hyperlink r:id="rId1626" ref="D1627"/>
    <hyperlink r:id="rId1627" ref="D1628"/>
    <hyperlink r:id="rId1628" ref="D1629"/>
    <hyperlink r:id="rId1629" ref="D1630"/>
    <hyperlink r:id="rId1630" ref="D1631"/>
    <hyperlink r:id="rId1631" ref="D1632"/>
    <hyperlink r:id="rId1632" ref="D1633"/>
    <hyperlink r:id="rId1633" ref="D1634"/>
    <hyperlink r:id="rId1634" ref="D1635"/>
    <hyperlink r:id="rId1635" ref="D1636"/>
    <hyperlink r:id="rId1636" ref="D1637"/>
    <hyperlink r:id="rId1637" ref="D1638"/>
    <hyperlink r:id="rId1638" ref="D1639"/>
    <hyperlink r:id="rId1639" ref="D1640"/>
    <hyperlink r:id="rId1640" ref="D1641"/>
    <hyperlink r:id="rId1641" ref="D1642"/>
    <hyperlink r:id="rId1642" ref="D1643"/>
    <hyperlink r:id="rId1643" ref="D1644"/>
    <hyperlink r:id="rId1644" ref="D1645"/>
    <hyperlink r:id="rId1645" ref="D1646"/>
    <hyperlink r:id="rId1646" ref="D1647"/>
    <hyperlink r:id="rId1647" ref="D1648"/>
    <hyperlink r:id="rId1648" ref="D1649"/>
    <hyperlink r:id="rId1649" ref="D1650"/>
    <hyperlink r:id="rId1650" ref="D1651"/>
    <hyperlink r:id="rId1651" ref="D1652"/>
    <hyperlink r:id="rId1652" ref="D1653"/>
    <hyperlink r:id="rId1653" ref="D1654"/>
    <hyperlink r:id="rId1654" ref="D1655"/>
    <hyperlink r:id="rId1655" ref="D1656"/>
    <hyperlink r:id="rId1656" ref="D1657"/>
    <hyperlink r:id="rId1657" ref="D1658"/>
    <hyperlink r:id="rId1658" ref="D1659"/>
    <hyperlink r:id="rId1659" ref="D1660"/>
    <hyperlink r:id="rId1660" ref="D1661"/>
    <hyperlink r:id="rId1661" ref="D1662"/>
    <hyperlink r:id="rId1662" ref="D1663"/>
    <hyperlink r:id="rId1663" ref="D1664"/>
    <hyperlink r:id="rId1664" ref="D1665"/>
    <hyperlink r:id="rId1665" ref="D1666"/>
    <hyperlink r:id="rId1666" ref="D1667"/>
    <hyperlink r:id="rId1667" ref="D1668"/>
    <hyperlink r:id="rId1668" ref="D1669"/>
    <hyperlink r:id="rId1669" ref="D1670"/>
    <hyperlink r:id="rId1670" ref="D1671"/>
    <hyperlink r:id="rId1671" ref="D1672"/>
    <hyperlink r:id="rId1672" ref="D1673"/>
    <hyperlink r:id="rId1673" ref="D1674"/>
    <hyperlink r:id="rId1674" ref="D1675"/>
    <hyperlink r:id="rId1675" ref="D1676"/>
    <hyperlink r:id="rId1676" ref="D1677"/>
    <hyperlink r:id="rId1677" ref="D1678"/>
    <hyperlink r:id="rId1678" ref="D1679"/>
    <hyperlink r:id="rId1679" ref="D1680"/>
    <hyperlink r:id="rId1680" ref="D1681"/>
    <hyperlink r:id="rId1681" ref="D1682"/>
    <hyperlink r:id="rId1682" ref="D1683"/>
    <hyperlink r:id="rId1683" ref="D1684"/>
    <hyperlink r:id="rId1684" ref="D1685"/>
    <hyperlink r:id="rId1685" ref="D1686"/>
    <hyperlink r:id="rId1686" ref="D1687"/>
    <hyperlink r:id="rId1687" ref="D1688"/>
    <hyperlink r:id="rId1688" ref="D1689"/>
    <hyperlink r:id="rId1689" ref="D1690"/>
    <hyperlink r:id="rId1690" ref="D1691"/>
    <hyperlink r:id="rId1691" ref="D1692"/>
    <hyperlink r:id="rId1692" ref="D1693"/>
    <hyperlink r:id="rId1693" ref="D1694"/>
    <hyperlink r:id="rId1694" ref="D1695"/>
    <hyperlink r:id="rId1695" ref="D1696"/>
    <hyperlink r:id="rId1696" ref="D1697"/>
    <hyperlink r:id="rId1697" ref="D1698"/>
    <hyperlink r:id="rId1698" ref="D1699"/>
    <hyperlink r:id="rId1699" ref="D1700"/>
    <hyperlink r:id="rId1700" ref="D1701"/>
    <hyperlink r:id="rId1701" ref="D1702"/>
    <hyperlink r:id="rId1702" ref="D1703"/>
    <hyperlink r:id="rId1703" ref="D1704"/>
    <hyperlink r:id="rId1704" ref="D1705"/>
    <hyperlink r:id="rId1705" ref="D1706"/>
    <hyperlink r:id="rId1706" ref="D1707"/>
    <hyperlink r:id="rId1707" ref="D1708"/>
    <hyperlink r:id="rId1708" ref="D1709"/>
    <hyperlink r:id="rId1709" ref="D1710"/>
    <hyperlink r:id="rId1710" ref="D1711"/>
    <hyperlink r:id="rId1711" ref="D1712"/>
    <hyperlink r:id="rId1712" ref="D1713"/>
    <hyperlink r:id="rId1713" ref="D1714"/>
    <hyperlink r:id="rId1714" ref="D1715"/>
    <hyperlink r:id="rId1715" ref="D1716"/>
    <hyperlink r:id="rId1716" ref="D1717"/>
    <hyperlink r:id="rId1717" ref="D1718"/>
    <hyperlink r:id="rId1718" ref="D1719"/>
    <hyperlink r:id="rId1719" ref="D1720"/>
    <hyperlink r:id="rId1720" ref="D1721"/>
    <hyperlink r:id="rId1721" ref="D1722"/>
    <hyperlink r:id="rId1722" ref="D1723"/>
    <hyperlink r:id="rId1723" ref="D1724"/>
    <hyperlink r:id="rId1724" ref="D1725"/>
    <hyperlink r:id="rId1725" ref="D1726"/>
    <hyperlink r:id="rId1726" ref="D1727"/>
    <hyperlink r:id="rId1727" ref="D1728"/>
    <hyperlink r:id="rId1728" ref="D1729"/>
    <hyperlink r:id="rId1729" ref="D1730"/>
    <hyperlink r:id="rId1730" ref="D1731"/>
    <hyperlink r:id="rId1731" ref="D1732"/>
    <hyperlink r:id="rId1732" ref="D1733"/>
    <hyperlink r:id="rId1733" ref="D1734"/>
    <hyperlink r:id="rId1734" ref="D1735"/>
    <hyperlink r:id="rId1735" ref="D1736"/>
    <hyperlink r:id="rId1736" ref="D1737"/>
    <hyperlink r:id="rId1737" ref="D1738"/>
    <hyperlink r:id="rId1738" ref="D1739"/>
    <hyperlink r:id="rId1739" ref="D1740"/>
    <hyperlink r:id="rId1740" ref="D1741"/>
    <hyperlink r:id="rId1741" ref="D1742"/>
    <hyperlink r:id="rId1742" ref="D1743"/>
    <hyperlink r:id="rId1743" ref="D1744"/>
    <hyperlink r:id="rId1744" ref="D1745"/>
    <hyperlink r:id="rId1745" ref="D1746"/>
    <hyperlink r:id="rId1746" ref="D1747"/>
    <hyperlink r:id="rId1747" ref="D1748"/>
    <hyperlink r:id="rId1748" ref="D1749"/>
    <hyperlink r:id="rId1749" ref="D1750"/>
    <hyperlink r:id="rId1750" ref="D1751"/>
    <hyperlink r:id="rId1751" ref="D1752"/>
    <hyperlink r:id="rId1752" ref="D1753"/>
    <hyperlink r:id="rId1753" ref="D1754"/>
    <hyperlink r:id="rId1754" ref="D1755"/>
    <hyperlink r:id="rId1755" ref="D1756"/>
    <hyperlink r:id="rId1756" ref="D1757"/>
    <hyperlink r:id="rId1757" ref="D1758"/>
    <hyperlink r:id="rId1758" ref="D1759"/>
    <hyperlink r:id="rId1759" ref="D1760"/>
    <hyperlink r:id="rId1760" ref="D1761"/>
    <hyperlink r:id="rId1761" ref="D1762"/>
    <hyperlink r:id="rId1762" ref="D1763"/>
    <hyperlink r:id="rId1763" ref="D1764"/>
    <hyperlink r:id="rId1764" ref="D1765"/>
    <hyperlink r:id="rId1765" ref="D1766"/>
    <hyperlink r:id="rId1766" ref="D1767"/>
    <hyperlink r:id="rId1767" ref="D1768"/>
    <hyperlink r:id="rId1768" ref="D1769"/>
    <hyperlink r:id="rId1769" ref="D1770"/>
    <hyperlink r:id="rId1770" ref="D1771"/>
    <hyperlink r:id="rId1771" ref="D1772"/>
    <hyperlink r:id="rId1772" ref="D1773"/>
    <hyperlink r:id="rId1773" ref="D1774"/>
    <hyperlink r:id="rId1774" ref="D1775"/>
    <hyperlink r:id="rId1775" ref="D1776"/>
    <hyperlink r:id="rId1776" ref="D1777"/>
    <hyperlink r:id="rId1777" ref="D1778"/>
    <hyperlink r:id="rId1778" ref="D1779"/>
    <hyperlink r:id="rId1779" ref="D1780"/>
    <hyperlink r:id="rId1780" ref="D1781"/>
    <hyperlink r:id="rId1781" ref="D1782"/>
    <hyperlink r:id="rId1782" ref="D1783"/>
    <hyperlink r:id="rId1783" ref="D1784"/>
    <hyperlink r:id="rId1784" ref="D1785"/>
    <hyperlink r:id="rId1785" ref="D1786"/>
    <hyperlink r:id="rId1786" ref="D1787"/>
    <hyperlink r:id="rId1787" ref="D1788"/>
    <hyperlink r:id="rId1788" ref="D1789"/>
    <hyperlink r:id="rId1789" ref="D1790"/>
    <hyperlink r:id="rId1790" ref="D1791"/>
    <hyperlink r:id="rId1791" ref="D1792"/>
    <hyperlink r:id="rId1792" ref="D1793"/>
    <hyperlink r:id="rId1793" ref="D1794"/>
    <hyperlink r:id="rId1794" ref="D1795"/>
    <hyperlink r:id="rId1795" ref="D1796"/>
    <hyperlink r:id="rId1796" ref="D1797"/>
    <hyperlink r:id="rId1797" ref="D1798"/>
    <hyperlink r:id="rId1798" ref="D1799"/>
    <hyperlink r:id="rId1799" ref="D1800"/>
    <hyperlink r:id="rId1800" ref="D1801"/>
    <hyperlink r:id="rId1801" ref="D1802"/>
    <hyperlink r:id="rId1802" ref="D1803"/>
    <hyperlink r:id="rId1803" ref="D1804"/>
    <hyperlink r:id="rId1804" ref="D1805"/>
    <hyperlink r:id="rId1805" ref="D1806"/>
    <hyperlink r:id="rId1806" ref="D1807"/>
    <hyperlink r:id="rId1807" ref="D1808"/>
    <hyperlink r:id="rId1808" ref="D1809"/>
    <hyperlink r:id="rId1809" ref="D1810"/>
    <hyperlink r:id="rId1810" ref="D1811"/>
    <hyperlink r:id="rId1811" ref="D1812"/>
    <hyperlink r:id="rId1812" ref="D1813"/>
    <hyperlink r:id="rId1813" ref="D1814"/>
    <hyperlink r:id="rId1814" ref="D1815"/>
    <hyperlink r:id="rId1815" ref="D1816"/>
    <hyperlink r:id="rId1816" ref="D1817"/>
    <hyperlink r:id="rId1817" ref="D1818"/>
    <hyperlink r:id="rId1818" ref="D1819"/>
    <hyperlink r:id="rId1819" ref="D1820"/>
    <hyperlink r:id="rId1820" ref="D1821"/>
    <hyperlink r:id="rId1821" ref="D1822"/>
    <hyperlink r:id="rId1822" ref="D1823"/>
    <hyperlink r:id="rId1823" ref="D1824"/>
    <hyperlink r:id="rId1824" ref="D1825"/>
    <hyperlink r:id="rId1825" ref="D1826"/>
    <hyperlink r:id="rId1826" ref="D1827"/>
    <hyperlink r:id="rId1827" ref="D1828"/>
    <hyperlink r:id="rId1828" ref="D1829"/>
    <hyperlink r:id="rId1829" ref="D1830"/>
    <hyperlink r:id="rId1830" ref="D1831"/>
    <hyperlink r:id="rId1831" ref="D1832"/>
    <hyperlink r:id="rId1832" ref="D1833"/>
    <hyperlink r:id="rId1833" ref="D1834"/>
    <hyperlink r:id="rId1834" ref="D1835"/>
    <hyperlink r:id="rId1835" ref="D1836"/>
    <hyperlink r:id="rId1836" ref="D1837"/>
    <hyperlink r:id="rId1837" ref="D1838"/>
    <hyperlink r:id="rId1838" ref="D1839"/>
    <hyperlink r:id="rId1839" ref="D1840"/>
    <hyperlink r:id="rId1840" ref="D1841"/>
    <hyperlink r:id="rId1841" ref="D1842"/>
    <hyperlink r:id="rId1842" ref="D1843"/>
    <hyperlink r:id="rId1843" ref="D1844"/>
    <hyperlink r:id="rId1844" ref="D1845"/>
    <hyperlink r:id="rId1845" ref="D1846"/>
    <hyperlink r:id="rId1846" ref="D1847"/>
    <hyperlink r:id="rId1847" ref="D1848"/>
    <hyperlink r:id="rId1848" ref="D1849"/>
    <hyperlink r:id="rId1849" ref="D1850"/>
    <hyperlink r:id="rId1850" ref="D1851"/>
    <hyperlink r:id="rId1851" ref="D1852"/>
    <hyperlink r:id="rId1852" ref="D1853"/>
    <hyperlink r:id="rId1853" ref="D1854"/>
    <hyperlink r:id="rId1854" ref="D1855"/>
    <hyperlink r:id="rId1855" ref="D1856"/>
    <hyperlink r:id="rId1856" ref="D1857"/>
    <hyperlink r:id="rId1857" ref="D1858"/>
    <hyperlink r:id="rId1858" ref="D1859"/>
    <hyperlink r:id="rId1859" ref="D1860"/>
    <hyperlink r:id="rId1860" ref="D1861"/>
    <hyperlink r:id="rId1861" ref="D1862"/>
    <hyperlink r:id="rId1862" ref="D1863"/>
    <hyperlink r:id="rId1863" ref="D1864"/>
    <hyperlink r:id="rId1864" ref="D1865"/>
    <hyperlink r:id="rId1865" ref="D1866"/>
    <hyperlink r:id="rId1866" ref="D1867"/>
    <hyperlink r:id="rId1867" ref="D1868"/>
    <hyperlink r:id="rId1868" ref="D1869"/>
    <hyperlink r:id="rId1869" ref="D1870"/>
    <hyperlink r:id="rId1870" ref="D1871"/>
    <hyperlink r:id="rId1871" ref="D1872"/>
    <hyperlink r:id="rId1872" ref="D1873"/>
    <hyperlink r:id="rId1873" ref="D1874"/>
    <hyperlink r:id="rId1874" ref="D1875"/>
    <hyperlink r:id="rId1875" ref="D1876"/>
    <hyperlink r:id="rId1876" ref="D1877"/>
    <hyperlink r:id="rId1877" ref="D1878"/>
    <hyperlink r:id="rId1878" ref="D1879"/>
    <hyperlink r:id="rId1879" ref="D1880"/>
    <hyperlink r:id="rId1880" ref="D1881"/>
    <hyperlink r:id="rId1881" ref="D1882"/>
    <hyperlink r:id="rId1882" ref="D1883"/>
    <hyperlink r:id="rId1883" ref="D1884"/>
    <hyperlink r:id="rId1884" ref="D1885"/>
    <hyperlink r:id="rId1885" ref="D1886"/>
    <hyperlink r:id="rId1886" ref="D1887"/>
    <hyperlink r:id="rId1887" ref="D1888"/>
    <hyperlink r:id="rId1888" ref="D1889"/>
    <hyperlink r:id="rId1889" ref="D1890"/>
    <hyperlink r:id="rId1890" ref="D1891"/>
    <hyperlink r:id="rId1891" ref="D1892"/>
    <hyperlink r:id="rId1892" ref="D1893"/>
    <hyperlink r:id="rId1893" ref="D1894"/>
    <hyperlink r:id="rId1894" ref="D1895"/>
    <hyperlink r:id="rId1895" ref="D1896"/>
    <hyperlink r:id="rId1896" ref="D1897"/>
    <hyperlink r:id="rId1897" ref="D1898"/>
    <hyperlink r:id="rId1898" ref="D1899"/>
    <hyperlink r:id="rId1899" ref="D1900"/>
    <hyperlink r:id="rId1900" ref="D1901"/>
    <hyperlink r:id="rId1901" ref="D1902"/>
    <hyperlink r:id="rId1902" ref="D1903"/>
    <hyperlink r:id="rId1903" ref="D1904"/>
    <hyperlink r:id="rId1904" ref="D1905"/>
    <hyperlink r:id="rId1905" ref="D1906"/>
    <hyperlink r:id="rId1906" ref="D1907"/>
    <hyperlink r:id="rId1907" ref="D1908"/>
    <hyperlink r:id="rId1908" ref="D1909"/>
    <hyperlink r:id="rId1909" ref="D1910"/>
    <hyperlink r:id="rId1910" ref="D1911"/>
    <hyperlink r:id="rId1911" ref="D1912"/>
    <hyperlink r:id="rId1912" ref="D1913"/>
    <hyperlink r:id="rId1913" ref="D1914"/>
    <hyperlink r:id="rId1914" ref="D1915"/>
    <hyperlink r:id="rId1915" ref="D1916"/>
    <hyperlink r:id="rId1916" ref="D1917"/>
    <hyperlink r:id="rId1917" ref="D1918"/>
    <hyperlink r:id="rId1918" ref="D1919"/>
    <hyperlink r:id="rId1919" ref="D1920"/>
    <hyperlink r:id="rId1920" ref="D1921"/>
    <hyperlink r:id="rId1921" ref="D1922"/>
    <hyperlink r:id="rId1922" ref="D1923"/>
    <hyperlink r:id="rId1923" ref="D1924"/>
    <hyperlink r:id="rId1924" ref="D1925"/>
    <hyperlink r:id="rId1925" ref="D1926"/>
    <hyperlink r:id="rId1926" ref="D1927"/>
    <hyperlink r:id="rId1927" ref="D1928"/>
    <hyperlink r:id="rId1928" ref="D1929"/>
    <hyperlink r:id="rId1929" ref="D1930"/>
    <hyperlink r:id="rId1930" ref="D1931"/>
    <hyperlink r:id="rId1931" ref="D1932"/>
    <hyperlink r:id="rId1932" ref="D1933"/>
    <hyperlink r:id="rId1933" ref="D1934"/>
    <hyperlink r:id="rId1934" ref="D1935"/>
    <hyperlink r:id="rId1935" ref="D1936"/>
    <hyperlink r:id="rId1936" ref="D1937"/>
    <hyperlink r:id="rId1937" ref="D1938"/>
    <hyperlink r:id="rId1938" ref="D1939"/>
    <hyperlink r:id="rId1939" ref="D1940"/>
    <hyperlink r:id="rId1940" ref="D1941"/>
    <hyperlink r:id="rId1941" ref="D1942"/>
    <hyperlink r:id="rId1942" ref="D1943"/>
    <hyperlink r:id="rId1943" ref="D1944"/>
    <hyperlink r:id="rId1944" ref="D1945"/>
    <hyperlink r:id="rId1945" ref="D1946"/>
    <hyperlink r:id="rId1946" ref="D1947"/>
    <hyperlink r:id="rId1947" ref="D1948"/>
    <hyperlink r:id="rId1948" ref="D1949"/>
    <hyperlink r:id="rId1949" ref="D1950"/>
    <hyperlink r:id="rId1950" ref="D1951"/>
    <hyperlink r:id="rId1951" ref="D1952"/>
    <hyperlink r:id="rId1952" ref="D1953"/>
    <hyperlink r:id="rId1953" ref="D1954"/>
    <hyperlink r:id="rId1954" ref="D1955"/>
    <hyperlink r:id="rId1955" ref="D1956"/>
    <hyperlink r:id="rId1956" ref="D1957"/>
    <hyperlink r:id="rId1957" ref="D1958"/>
    <hyperlink r:id="rId1958" ref="D1959"/>
    <hyperlink r:id="rId1959" ref="D1960"/>
    <hyperlink r:id="rId1960" ref="D1961"/>
    <hyperlink r:id="rId1961" ref="D1962"/>
    <hyperlink r:id="rId1962" ref="D1963"/>
    <hyperlink r:id="rId1963" ref="D1964"/>
    <hyperlink r:id="rId1964" ref="D1965"/>
    <hyperlink r:id="rId1965" ref="D1966"/>
    <hyperlink r:id="rId1966" ref="D1967"/>
    <hyperlink r:id="rId1967" ref="D1968"/>
    <hyperlink r:id="rId1968" ref="D1969"/>
    <hyperlink r:id="rId1969" ref="D1970"/>
    <hyperlink r:id="rId1970" ref="D1971"/>
    <hyperlink r:id="rId1971" ref="D1972"/>
    <hyperlink r:id="rId1972" ref="D1973"/>
    <hyperlink r:id="rId1973" ref="D1974"/>
    <hyperlink r:id="rId1974" ref="D1975"/>
    <hyperlink r:id="rId1975" ref="D1976"/>
    <hyperlink r:id="rId1976" ref="D1977"/>
    <hyperlink r:id="rId1977" ref="D1978"/>
    <hyperlink r:id="rId1978" ref="D1979"/>
    <hyperlink r:id="rId1979" ref="D1980"/>
    <hyperlink r:id="rId1980" ref="D1981"/>
    <hyperlink r:id="rId1981" ref="D1982"/>
    <hyperlink r:id="rId1982" ref="D1983"/>
    <hyperlink r:id="rId1983" ref="D1984"/>
    <hyperlink r:id="rId1984" ref="D1985"/>
    <hyperlink r:id="rId1985" ref="D1986"/>
    <hyperlink r:id="rId1986" ref="D1987"/>
    <hyperlink r:id="rId1987" ref="D1988"/>
    <hyperlink r:id="rId1988" ref="D1989"/>
    <hyperlink r:id="rId1989" ref="D1990"/>
    <hyperlink r:id="rId1990" ref="D1991"/>
    <hyperlink r:id="rId1991" ref="D1992"/>
    <hyperlink r:id="rId1992" ref="D1993"/>
    <hyperlink r:id="rId1993" ref="D1994"/>
    <hyperlink r:id="rId1994" ref="D1995"/>
    <hyperlink r:id="rId1995" ref="D1996"/>
    <hyperlink r:id="rId1996" ref="D1997"/>
    <hyperlink r:id="rId1997" ref="D1998"/>
    <hyperlink r:id="rId1998" ref="D1999"/>
    <hyperlink r:id="rId1999" ref="D2000"/>
    <hyperlink r:id="rId2000" ref="D2001"/>
    <hyperlink r:id="rId2001" ref="D2002"/>
    <hyperlink r:id="rId2002" ref="D2003"/>
    <hyperlink r:id="rId2003" ref="D2004"/>
    <hyperlink r:id="rId2004" ref="D2005"/>
    <hyperlink r:id="rId2005" ref="D2006"/>
    <hyperlink r:id="rId2006" ref="D2007"/>
    <hyperlink r:id="rId2007" ref="D2008"/>
    <hyperlink r:id="rId2008" ref="D2009"/>
    <hyperlink r:id="rId2009" ref="D2010"/>
    <hyperlink r:id="rId2010" ref="D2011"/>
    <hyperlink r:id="rId2011" ref="D2012"/>
    <hyperlink r:id="rId2012" ref="D2013"/>
    <hyperlink r:id="rId2013" ref="D2014"/>
    <hyperlink r:id="rId2014" ref="D2015"/>
    <hyperlink r:id="rId2015" ref="D2016"/>
    <hyperlink r:id="rId2016" ref="D2017"/>
    <hyperlink r:id="rId2017" ref="D2018"/>
    <hyperlink r:id="rId2018" ref="D2019"/>
    <hyperlink r:id="rId2019" ref="D2020"/>
    <hyperlink r:id="rId2020" ref="D2021"/>
    <hyperlink r:id="rId2021" ref="D2022"/>
    <hyperlink r:id="rId2022" ref="D2023"/>
    <hyperlink r:id="rId2023" ref="D2024"/>
    <hyperlink r:id="rId2024" ref="D2025"/>
    <hyperlink r:id="rId2025" ref="D2026"/>
    <hyperlink r:id="rId2026" ref="D2027"/>
    <hyperlink r:id="rId2027" ref="D2028"/>
    <hyperlink r:id="rId2028" ref="D2029"/>
    <hyperlink r:id="rId2029" ref="D2030"/>
    <hyperlink r:id="rId2030" ref="D2031"/>
    <hyperlink r:id="rId2031" ref="D2032"/>
    <hyperlink r:id="rId2032" ref="D2033"/>
    <hyperlink r:id="rId2033" ref="D2034"/>
    <hyperlink r:id="rId2034" ref="D2035"/>
    <hyperlink r:id="rId2035" ref="D2036"/>
    <hyperlink r:id="rId2036" ref="D2037"/>
    <hyperlink r:id="rId2037" ref="D2038"/>
    <hyperlink r:id="rId2038" ref="D2039"/>
    <hyperlink r:id="rId2039" ref="D2040"/>
    <hyperlink r:id="rId2040" ref="D2041"/>
    <hyperlink r:id="rId2041" ref="D2042"/>
    <hyperlink r:id="rId2042" ref="D2043"/>
    <hyperlink r:id="rId2043" ref="D2044"/>
    <hyperlink r:id="rId2044" ref="D2045"/>
    <hyperlink r:id="rId2045" ref="D2046"/>
    <hyperlink r:id="rId2046" ref="D2047"/>
    <hyperlink r:id="rId2047" ref="D2048"/>
    <hyperlink r:id="rId2048" ref="D2049"/>
    <hyperlink r:id="rId2049" ref="D2050"/>
    <hyperlink r:id="rId2050" ref="D2051"/>
    <hyperlink r:id="rId2051" ref="D2052"/>
    <hyperlink r:id="rId2052" ref="D2053"/>
    <hyperlink r:id="rId2053" ref="D2054"/>
    <hyperlink r:id="rId2054" ref="D2055"/>
    <hyperlink r:id="rId2055" ref="D2056"/>
    <hyperlink r:id="rId2056" ref="D2057"/>
    <hyperlink r:id="rId2057" ref="D2058"/>
    <hyperlink r:id="rId2058" ref="D2059"/>
    <hyperlink r:id="rId2059" ref="D2060"/>
    <hyperlink r:id="rId2060" ref="D2061"/>
    <hyperlink r:id="rId2061" ref="D2062"/>
    <hyperlink r:id="rId2062" ref="D2063"/>
    <hyperlink r:id="rId2063" ref="D2064"/>
    <hyperlink r:id="rId2064" ref="D2065"/>
    <hyperlink r:id="rId2065" ref="D2066"/>
    <hyperlink r:id="rId2066" ref="D2067"/>
    <hyperlink r:id="rId2067" ref="D2068"/>
    <hyperlink r:id="rId2068" ref="D2069"/>
    <hyperlink r:id="rId2069" ref="D2070"/>
    <hyperlink r:id="rId2070" ref="D2071"/>
    <hyperlink r:id="rId2071" ref="D2072"/>
    <hyperlink r:id="rId2072" ref="D2073"/>
    <hyperlink r:id="rId2073" ref="D2074"/>
    <hyperlink r:id="rId2074" ref="D2075"/>
    <hyperlink r:id="rId2075" ref="D2076"/>
    <hyperlink r:id="rId2076" ref="D2077"/>
    <hyperlink r:id="rId2077" ref="D2078"/>
    <hyperlink r:id="rId2078" ref="D2079"/>
    <hyperlink r:id="rId2079" ref="D2080"/>
    <hyperlink r:id="rId2080" ref="D2081"/>
    <hyperlink r:id="rId2081" ref="D2082"/>
    <hyperlink r:id="rId2082" ref="D2083"/>
    <hyperlink r:id="rId2083" ref="D2084"/>
    <hyperlink r:id="rId2084" ref="D2085"/>
    <hyperlink r:id="rId2085" ref="D2086"/>
    <hyperlink r:id="rId2086" ref="D2087"/>
    <hyperlink r:id="rId2087" ref="D2088"/>
    <hyperlink r:id="rId2088" ref="D2089"/>
    <hyperlink r:id="rId2089" ref="D2090"/>
    <hyperlink r:id="rId2090" ref="D2091"/>
    <hyperlink r:id="rId2091" ref="D2092"/>
    <hyperlink r:id="rId2092" ref="D2093"/>
    <hyperlink r:id="rId2093" ref="D2094"/>
    <hyperlink r:id="rId2094" ref="D2095"/>
    <hyperlink r:id="rId2095" ref="D2096"/>
    <hyperlink r:id="rId2096" ref="D2097"/>
    <hyperlink r:id="rId2097" ref="D2098"/>
    <hyperlink r:id="rId2098" ref="D2099"/>
    <hyperlink r:id="rId2099" ref="D2100"/>
    <hyperlink r:id="rId2100" ref="D2101"/>
    <hyperlink r:id="rId2101" ref="D2102"/>
    <hyperlink r:id="rId2102" ref="D2103"/>
    <hyperlink r:id="rId2103" ref="D2104"/>
    <hyperlink r:id="rId2104" ref="D2105"/>
    <hyperlink r:id="rId2105" ref="D2106"/>
    <hyperlink r:id="rId2106" ref="D2107"/>
    <hyperlink r:id="rId2107" ref="D2108"/>
    <hyperlink r:id="rId2108" ref="D2109"/>
    <hyperlink r:id="rId2109" ref="D2110"/>
    <hyperlink r:id="rId2110" ref="D2111"/>
    <hyperlink r:id="rId2111" ref="D2112"/>
    <hyperlink r:id="rId2112" ref="D2113"/>
    <hyperlink r:id="rId2113" ref="D2114"/>
    <hyperlink r:id="rId2114" ref="D2115"/>
    <hyperlink r:id="rId2115" ref="D2116"/>
    <hyperlink r:id="rId2116" ref="D2117"/>
    <hyperlink r:id="rId2117" ref="D2118"/>
    <hyperlink r:id="rId2118" ref="D2119"/>
    <hyperlink r:id="rId2119" ref="D2120"/>
    <hyperlink r:id="rId2120" ref="D2121"/>
    <hyperlink r:id="rId2121" ref="D2122"/>
    <hyperlink r:id="rId2122" ref="D2123"/>
    <hyperlink r:id="rId2123" ref="D2124"/>
    <hyperlink r:id="rId2124" ref="D2125"/>
    <hyperlink r:id="rId2125" ref="D2126"/>
    <hyperlink r:id="rId2126" ref="D2127"/>
    <hyperlink r:id="rId2127" ref="D2128"/>
    <hyperlink r:id="rId2128" ref="D2129"/>
    <hyperlink r:id="rId2129" ref="D2130"/>
    <hyperlink r:id="rId2130" ref="D2131"/>
    <hyperlink r:id="rId2131" ref="D2132"/>
    <hyperlink r:id="rId2132" ref="D2133"/>
    <hyperlink r:id="rId2133" ref="D2134"/>
    <hyperlink r:id="rId2134" ref="D2135"/>
    <hyperlink r:id="rId2135" ref="D2136"/>
    <hyperlink r:id="rId2136" ref="D2137"/>
    <hyperlink r:id="rId2137" ref="D2138"/>
    <hyperlink r:id="rId2138" ref="D2139"/>
    <hyperlink r:id="rId2139" ref="D2140"/>
    <hyperlink r:id="rId2140" ref="D2141"/>
    <hyperlink r:id="rId2141" ref="D2142"/>
    <hyperlink r:id="rId2142" ref="D2143"/>
    <hyperlink r:id="rId2143" ref="D2144"/>
    <hyperlink r:id="rId2144" ref="D2145"/>
    <hyperlink r:id="rId2145" ref="D2146"/>
    <hyperlink r:id="rId2146" ref="D2147"/>
    <hyperlink r:id="rId2147" ref="D2148"/>
    <hyperlink r:id="rId2148" ref="D2149"/>
    <hyperlink r:id="rId2149" ref="D2150"/>
    <hyperlink r:id="rId2150" ref="D2151"/>
    <hyperlink r:id="rId2151" ref="D2152"/>
    <hyperlink r:id="rId2152" ref="D2153"/>
    <hyperlink r:id="rId2153" ref="D2154"/>
    <hyperlink r:id="rId2154" ref="D2155"/>
    <hyperlink r:id="rId2155" ref="D2156"/>
    <hyperlink r:id="rId2156" ref="D2157"/>
    <hyperlink r:id="rId2157" ref="D2158"/>
    <hyperlink r:id="rId2158" ref="D2159"/>
    <hyperlink r:id="rId2159" ref="D2160"/>
    <hyperlink r:id="rId2160" ref="D2161"/>
    <hyperlink r:id="rId2161" ref="D2162"/>
    <hyperlink r:id="rId2162" ref="D2163"/>
    <hyperlink r:id="rId2163" ref="D2164"/>
    <hyperlink r:id="rId2164" ref="D2165"/>
    <hyperlink r:id="rId2165" ref="D2166"/>
    <hyperlink r:id="rId2166" ref="D2167"/>
    <hyperlink r:id="rId2167" ref="D2168"/>
    <hyperlink r:id="rId2168" ref="D2169"/>
    <hyperlink r:id="rId2169" ref="D2170"/>
    <hyperlink r:id="rId2170" ref="D2171"/>
    <hyperlink r:id="rId2171" ref="D2172"/>
    <hyperlink r:id="rId2172" ref="D2173"/>
    <hyperlink r:id="rId2173" ref="D2174"/>
    <hyperlink r:id="rId2174" ref="D2175"/>
    <hyperlink r:id="rId2175" ref="D2176"/>
    <hyperlink r:id="rId2176" ref="D2177"/>
    <hyperlink r:id="rId2177" ref="D2178"/>
    <hyperlink r:id="rId2178" ref="D2179"/>
    <hyperlink r:id="rId2179" ref="D2180"/>
    <hyperlink r:id="rId2180" ref="D2181"/>
    <hyperlink r:id="rId2181" ref="D2182"/>
    <hyperlink r:id="rId2182" ref="D2183"/>
    <hyperlink r:id="rId2183" ref="D2184"/>
    <hyperlink r:id="rId2184" ref="D2185"/>
    <hyperlink r:id="rId2185" ref="D2186"/>
    <hyperlink r:id="rId2186" ref="D2187"/>
    <hyperlink r:id="rId2187" ref="D2188"/>
    <hyperlink r:id="rId2188" ref="D2189"/>
    <hyperlink r:id="rId2189" ref="D2190"/>
    <hyperlink r:id="rId2190" ref="D2191"/>
    <hyperlink r:id="rId2191" ref="D2192"/>
    <hyperlink r:id="rId2192" ref="D2193"/>
    <hyperlink r:id="rId2193" ref="D2194"/>
    <hyperlink r:id="rId2194" ref="D2195"/>
    <hyperlink r:id="rId2195" ref="D2196"/>
    <hyperlink r:id="rId2196" ref="D2197"/>
    <hyperlink r:id="rId2197" ref="D2198"/>
    <hyperlink r:id="rId2198" ref="D2199"/>
    <hyperlink r:id="rId2199" ref="D2200"/>
    <hyperlink r:id="rId2200" ref="D2201"/>
    <hyperlink r:id="rId2201" ref="D2202"/>
    <hyperlink r:id="rId2202" ref="D2203"/>
    <hyperlink r:id="rId2203" ref="D2204"/>
    <hyperlink r:id="rId2204" ref="D2205"/>
    <hyperlink r:id="rId2205" ref="D2206"/>
    <hyperlink r:id="rId2206" ref="D2207"/>
    <hyperlink r:id="rId2207" ref="D2208"/>
    <hyperlink r:id="rId2208" ref="D2209"/>
    <hyperlink r:id="rId2209" ref="D2210"/>
    <hyperlink r:id="rId2210" ref="D2211"/>
    <hyperlink r:id="rId2211" ref="D2212"/>
    <hyperlink r:id="rId2212" ref="D2213"/>
    <hyperlink r:id="rId2213" ref="D2214"/>
    <hyperlink r:id="rId2214" ref="D2215"/>
    <hyperlink r:id="rId2215" ref="D2216"/>
    <hyperlink r:id="rId2216" ref="D2217"/>
    <hyperlink r:id="rId2217" ref="D2218"/>
    <hyperlink r:id="rId2218" ref="D2219"/>
    <hyperlink r:id="rId2219" ref="D2220"/>
    <hyperlink r:id="rId2220" ref="D2221"/>
    <hyperlink r:id="rId2221" ref="D2222"/>
    <hyperlink r:id="rId2222" ref="D2223"/>
    <hyperlink r:id="rId2223" ref="D2224"/>
    <hyperlink r:id="rId2224" ref="D2225"/>
    <hyperlink r:id="rId2225" ref="D2226"/>
    <hyperlink r:id="rId2226" ref="D2227"/>
    <hyperlink r:id="rId2227" ref="D2228"/>
    <hyperlink r:id="rId2228" ref="D2229"/>
    <hyperlink r:id="rId2229" ref="D2230"/>
    <hyperlink r:id="rId2230" ref="D2231"/>
    <hyperlink r:id="rId2231" ref="D2232"/>
    <hyperlink r:id="rId2232" ref="D2233"/>
    <hyperlink r:id="rId2233" ref="D2234"/>
    <hyperlink r:id="rId2234" ref="D2235"/>
    <hyperlink r:id="rId2235" ref="D2236"/>
    <hyperlink r:id="rId2236" ref="D2237"/>
    <hyperlink r:id="rId2237" ref="D2238"/>
    <hyperlink r:id="rId2238" ref="D2239"/>
    <hyperlink r:id="rId2239" ref="D2240"/>
    <hyperlink r:id="rId2240" ref="D2241"/>
    <hyperlink r:id="rId2241" ref="D2242"/>
    <hyperlink r:id="rId2242" ref="D2243"/>
    <hyperlink r:id="rId2243" ref="D2244"/>
    <hyperlink r:id="rId2244" ref="D2245"/>
    <hyperlink r:id="rId2245" ref="D2246"/>
    <hyperlink r:id="rId2246" ref="D2247"/>
    <hyperlink r:id="rId2247" ref="D2248"/>
    <hyperlink r:id="rId2248" ref="D2249"/>
    <hyperlink r:id="rId2249" ref="D2250"/>
    <hyperlink r:id="rId2250" ref="D2251"/>
    <hyperlink r:id="rId2251" ref="D2252"/>
    <hyperlink r:id="rId2252" ref="D2253"/>
    <hyperlink r:id="rId2253" ref="D2254"/>
    <hyperlink r:id="rId2254" ref="D2255"/>
    <hyperlink r:id="rId2255" ref="D2256"/>
    <hyperlink r:id="rId2256" ref="D2257"/>
    <hyperlink r:id="rId2257" ref="D2258"/>
    <hyperlink r:id="rId2258" ref="D2259"/>
    <hyperlink r:id="rId2259" ref="D2260"/>
    <hyperlink r:id="rId2260" ref="D2261"/>
    <hyperlink r:id="rId2261" ref="D2262"/>
    <hyperlink r:id="rId2262" ref="D2263"/>
    <hyperlink r:id="rId2263" ref="D2264"/>
    <hyperlink r:id="rId2264" ref="D2265"/>
    <hyperlink r:id="rId2265" ref="D2266"/>
    <hyperlink r:id="rId2266" ref="D2267"/>
    <hyperlink r:id="rId2267" ref="D2268"/>
    <hyperlink r:id="rId2268" ref="D2269"/>
    <hyperlink r:id="rId2269" ref="D2270"/>
    <hyperlink r:id="rId2270" ref="D2271"/>
    <hyperlink r:id="rId2271" ref="D2272"/>
    <hyperlink r:id="rId2272" ref="D2273"/>
    <hyperlink r:id="rId2273" ref="D2274"/>
    <hyperlink r:id="rId2274" ref="D2275"/>
    <hyperlink r:id="rId2275" ref="D2276"/>
    <hyperlink r:id="rId2276" ref="D2277"/>
    <hyperlink r:id="rId2277" ref="D2278"/>
    <hyperlink r:id="rId2278" ref="D2279"/>
    <hyperlink r:id="rId2279" ref="D2280"/>
    <hyperlink r:id="rId2280" ref="D2281"/>
    <hyperlink r:id="rId2281" ref="D2282"/>
    <hyperlink r:id="rId2282" ref="D2283"/>
    <hyperlink r:id="rId2283" ref="D2284"/>
    <hyperlink r:id="rId2284" ref="D2285"/>
    <hyperlink r:id="rId2285" ref="D2286"/>
    <hyperlink r:id="rId2286" ref="D2287"/>
    <hyperlink r:id="rId2287" ref="D2288"/>
    <hyperlink r:id="rId2288" ref="D2289"/>
    <hyperlink r:id="rId2289" ref="D2290"/>
    <hyperlink r:id="rId2290" ref="D2291"/>
    <hyperlink r:id="rId2291" ref="D2292"/>
    <hyperlink r:id="rId2292" ref="D2293"/>
    <hyperlink r:id="rId2293" ref="D2294"/>
    <hyperlink r:id="rId2294" ref="D2295"/>
    <hyperlink r:id="rId2295" ref="D2296"/>
    <hyperlink r:id="rId2296" ref="D2297"/>
    <hyperlink r:id="rId2297" ref="D2298"/>
    <hyperlink r:id="rId2298" ref="D2299"/>
    <hyperlink r:id="rId2299" ref="D2300"/>
    <hyperlink r:id="rId2300" ref="D2301"/>
    <hyperlink r:id="rId2301" ref="D2302"/>
    <hyperlink r:id="rId2302" ref="D2303"/>
    <hyperlink r:id="rId2303" ref="D2304"/>
    <hyperlink r:id="rId2304" ref="D2305"/>
    <hyperlink r:id="rId2305" ref="D2306"/>
    <hyperlink r:id="rId2306" ref="D2307"/>
    <hyperlink r:id="rId2307" ref="D2308"/>
    <hyperlink r:id="rId2308" ref="D2309"/>
    <hyperlink r:id="rId2309" ref="D2310"/>
    <hyperlink r:id="rId2310" ref="D2311"/>
    <hyperlink r:id="rId2311" ref="D2312"/>
    <hyperlink r:id="rId2312" ref="D2313"/>
    <hyperlink r:id="rId2313" ref="D2314"/>
    <hyperlink r:id="rId2314" ref="D2315"/>
    <hyperlink r:id="rId2315" ref="D2316"/>
    <hyperlink r:id="rId2316" ref="D2317"/>
    <hyperlink r:id="rId2317" ref="D2318"/>
    <hyperlink r:id="rId2318" ref="D2319"/>
    <hyperlink r:id="rId2319" ref="D2320"/>
    <hyperlink r:id="rId2320" ref="D2321"/>
    <hyperlink r:id="rId2321" ref="D2322"/>
    <hyperlink r:id="rId2322" ref="D2323"/>
    <hyperlink r:id="rId2323" ref="D2324"/>
    <hyperlink r:id="rId2324" ref="D2325"/>
    <hyperlink r:id="rId2325" ref="D2326"/>
    <hyperlink r:id="rId2326" ref="D2327"/>
    <hyperlink r:id="rId2327" ref="D2328"/>
    <hyperlink r:id="rId2328" ref="D2329"/>
    <hyperlink r:id="rId2329" ref="D2330"/>
    <hyperlink r:id="rId2330" ref="D2331"/>
    <hyperlink r:id="rId2331" ref="D2332"/>
    <hyperlink r:id="rId2332" ref="D2333"/>
    <hyperlink r:id="rId2333" ref="D2334"/>
    <hyperlink r:id="rId2334" ref="D2335"/>
    <hyperlink r:id="rId2335" ref="D2336"/>
    <hyperlink r:id="rId2336" ref="D2337"/>
    <hyperlink r:id="rId2337" ref="D2338"/>
    <hyperlink r:id="rId2338" ref="D2339"/>
    <hyperlink r:id="rId2339" ref="D2340"/>
    <hyperlink r:id="rId2340" ref="D2341"/>
    <hyperlink r:id="rId2341" ref="D2342"/>
    <hyperlink r:id="rId2342" ref="D2343"/>
    <hyperlink r:id="rId2343" ref="D2344"/>
    <hyperlink r:id="rId2344" ref="D2345"/>
    <hyperlink r:id="rId2345" ref="D2346"/>
    <hyperlink r:id="rId2346" ref="D2347"/>
    <hyperlink r:id="rId2347" ref="D2348"/>
    <hyperlink r:id="rId2348" ref="D2349"/>
    <hyperlink r:id="rId2349" ref="D2350"/>
    <hyperlink r:id="rId2350" ref="D2351"/>
    <hyperlink r:id="rId2351" ref="D2352"/>
    <hyperlink r:id="rId2352" ref="D2353"/>
    <hyperlink r:id="rId2353" ref="D2354"/>
    <hyperlink r:id="rId2354" ref="D2355"/>
    <hyperlink r:id="rId2355" ref="D2356"/>
    <hyperlink r:id="rId2356" ref="D2357"/>
    <hyperlink r:id="rId2357" ref="D2358"/>
    <hyperlink r:id="rId2358" ref="D2359"/>
    <hyperlink r:id="rId2359" ref="D2360"/>
    <hyperlink r:id="rId2360" ref="D2361"/>
    <hyperlink r:id="rId2361" ref="D2362"/>
    <hyperlink r:id="rId2362" ref="D2363"/>
    <hyperlink r:id="rId2363" ref="D2364"/>
    <hyperlink r:id="rId2364" ref="D2365"/>
    <hyperlink r:id="rId2365" ref="D2366"/>
    <hyperlink r:id="rId2366" ref="D2367"/>
    <hyperlink r:id="rId2367" ref="D2368"/>
    <hyperlink r:id="rId2368" ref="D2369"/>
    <hyperlink r:id="rId2369" ref="D2370"/>
    <hyperlink r:id="rId2370" ref="D2371"/>
    <hyperlink r:id="rId2371" ref="D2372"/>
    <hyperlink r:id="rId2372" ref="D2373"/>
    <hyperlink r:id="rId2373" ref="D2374"/>
    <hyperlink r:id="rId2374" ref="D2375"/>
    <hyperlink r:id="rId2375" ref="D2376"/>
    <hyperlink r:id="rId2376" ref="D2377"/>
    <hyperlink r:id="rId2377" ref="D2378"/>
    <hyperlink r:id="rId2378" ref="D2379"/>
    <hyperlink r:id="rId2379" ref="D2380"/>
    <hyperlink r:id="rId2380" ref="D2381"/>
    <hyperlink r:id="rId2381" ref="D2382"/>
    <hyperlink r:id="rId2382" ref="D2383"/>
    <hyperlink r:id="rId2383" ref="D2384"/>
    <hyperlink r:id="rId2384" ref="D2385"/>
    <hyperlink r:id="rId2385" ref="D2386"/>
    <hyperlink r:id="rId2386" ref="D2387"/>
    <hyperlink r:id="rId2387" ref="D2388"/>
    <hyperlink r:id="rId2388" ref="D2389"/>
    <hyperlink r:id="rId2389" ref="D2390"/>
    <hyperlink r:id="rId2390" ref="D2391"/>
    <hyperlink r:id="rId2391" ref="D2392"/>
    <hyperlink r:id="rId2392" ref="D2393"/>
    <hyperlink r:id="rId2393" ref="D2394"/>
    <hyperlink r:id="rId2394" ref="D2395"/>
    <hyperlink r:id="rId2395" ref="D2396"/>
    <hyperlink r:id="rId2396" ref="D2397"/>
    <hyperlink r:id="rId2397" ref="D2398"/>
    <hyperlink r:id="rId2398" ref="D2399"/>
    <hyperlink r:id="rId2399" ref="D2400"/>
    <hyperlink r:id="rId2400" ref="D2401"/>
    <hyperlink r:id="rId2401" ref="D2402"/>
    <hyperlink r:id="rId2402" ref="D2403"/>
    <hyperlink r:id="rId2403" ref="D2404"/>
    <hyperlink r:id="rId2404" ref="D2405"/>
    <hyperlink r:id="rId2405" ref="D2406"/>
    <hyperlink r:id="rId2406" ref="D2407"/>
    <hyperlink r:id="rId2407" ref="D2408"/>
    <hyperlink r:id="rId2408" ref="D2409"/>
    <hyperlink r:id="rId2409" ref="D2410"/>
    <hyperlink r:id="rId2410" ref="D2411"/>
    <hyperlink r:id="rId2411" ref="D2412"/>
    <hyperlink r:id="rId2412" ref="D2413"/>
    <hyperlink r:id="rId2413" ref="D2414"/>
    <hyperlink r:id="rId2414" ref="D2415"/>
    <hyperlink r:id="rId2415" ref="D2416"/>
    <hyperlink r:id="rId2416" ref="D2417"/>
    <hyperlink r:id="rId2417" ref="D2418"/>
    <hyperlink r:id="rId2418" ref="D2419"/>
    <hyperlink r:id="rId2419" ref="D2420"/>
    <hyperlink r:id="rId2420" ref="D2421"/>
    <hyperlink r:id="rId2421" ref="D2422"/>
    <hyperlink r:id="rId2422" ref="D2423"/>
    <hyperlink r:id="rId2423" ref="D2424"/>
    <hyperlink r:id="rId2424" ref="D2425"/>
    <hyperlink r:id="rId2425" ref="D2426"/>
    <hyperlink r:id="rId2426" ref="D2427"/>
    <hyperlink r:id="rId2427" ref="D2428"/>
    <hyperlink r:id="rId2428" ref="D2429"/>
    <hyperlink r:id="rId2429" ref="D2430"/>
    <hyperlink r:id="rId2430" ref="D2431"/>
    <hyperlink r:id="rId2431" ref="D2432"/>
    <hyperlink r:id="rId2432" ref="D2433"/>
    <hyperlink r:id="rId2433" ref="D2434"/>
    <hyperlink r:id="rId2434" ref="D2435"/>
    <hyperlink r:id="rId2435" ref="D2436"/>
    <hyperlink r:id="rId2436" ref="D2437"/>
    <hyperlink r:id="rId2437" ref="D2438"/>
    <hyperlink r:id="rId2438" ref="D2439"/>
    <hyperlink r:id="rId2439" ref="D2440"/>
    <hyperlink r:id="rId2440" ref="D2441"/>
    <hyperlink r:id="rId2441" ref="D2442"/>
    <hyperlink r:id="rId2442" ref="D2443"/>
    <hyperlink r:id="rId2443" ref="D2444"/>
    <hyperlink r:id="rId2444" ref="D2445"/>
    <hyperlink r:id="rId2445" ref="D2446"/>
    <hyperlink r:id="rId2446" ref="D2447"/>
    <hyperlink r:id="rId2447" ref="D2448"/>
    <hyperlink r:id="rId2448" ref="D2449"/>
    <hyperlink r:id="rId2449" ref="D2450"/>
    <hyperlink r:id="rId2450" ref="D2451"/>
    <hyperlink r:id="rId2451" ref="D2452"/>
    <hyperlink r:id="rId2452" ref="D2453"/>
    <hyperlink r:id="rId2453" ref="D2454"/>
    <hyperlink r:id="rId2454" ref="D2455"/>
    <hyperlink r:id="rId2455" ref="D2456"/>
    <hyperlink r:id="rId2456" ref="D2457"/>
    <hyperlink r:id="rId2457" ref="D2458"/>
    <hyperlink r:id="rId2458" ref="D2459"/>
    <hyperlink r:id="rId2459" ref="D2460"/>
    <hyperlink r:id="rId2460" ref="D2461"/>
    <hyperlink r:id="rId2461" ref="D2462"/>
    <hyperlink r:id="rId2462" ref="D2463"/>
    <hyperlink r:id="rId2463" ref="D2464"/>
    <hyperlink r:id="rId2464" ref="D2465"/>
    <hyperlink r:id="rId2465" ref="D2466"/>
    <hyperlink r:id="rId2466" ref="D2467"/>
    <hyperlink r:id="rId2467" ref="D2468"/>
    <hyperlink r:id="rId2468" ref="D2469"/>
    <hyperlink r:id="rId2469" ref="D2470"/>
    <hyperlink r:id="rId2470" ref="D2471"/>
    <hyperlink r:id="rId2471" ref="D2472"/>
    <hyperlink r:id="rId2472" ref="D2473"/>
    <hyperlink r:id="rId2473" ref="D2474"/>
    <hyperlink r:id="rId2474" ref="D2475"/>
    <hyperlink r:id="rId2475" ref="D2476"/>
    <hyperlink r:id="rId2476" ref="D2477"/>
    <hyperlink r:id="rId2477" ref="D2478"/>
    <hyperlink r:id="rId2478" ref="D2479"/>
    <hyperlink r:id="rId2479" ref="D2480"/>
    <hyperlink r:id="rId2480" ref="D2481"/>
    <hyperlink r:id="rId2481" ref="D2482"/>
    <hyperlink r:id="rId2482" ref="D2483"/>
    <hyperlink r:id="rId2483" ref="D2484"/>
    <hyperlink r:id="rId2484" ref="D2485"/>
    <hyperlink r:id="rId2485" ref="D2486"/>
    <hyperlink r:id="rId2486" ref="D2487"/>
    <hyperlink r:id="rId2487" ref="D2488"/>
    <hyperlink r:id="rId2488" ref="D2489"/>
    <hyperlink r:id="rId2489" ref="D2490"/>
    <hyperlink r:id="rId2490" ref="D2491"/>
    <hyperlink r:id="rId2491" ref="D2492"/>
    <hyperlink r:id="rId2492" ref="D2493"/>
    <hyperlink r:id="rId2493" ref="D2494"/>
    <hyperlink r:id="rId2494" ref="D2495"/>
    <hyperlink r:id="rId2495" ref="D2496"/>
    <hyperlink r:id="rId2496" ref="D2497"/>
    <hyperlink r:id="rId2497" ref="D2498"/>
    <hyperlink r:id="rId2498" ref="D2499"/>
    <hyperlink r:id="rId2499" ref="D2500"/>
    <hyperlink r:id="rId2500" ref="D2501"/>
    <hyperlink r:id="rId2501" ref="D2502"/>
    <hyperlink r:id="rId2502" ref="D2503"/>
    <hyperlink r:id="rId2503" ref="D2504"/>
    <hyperlink r:id="rId2504" ref="D2505"/>
    <hyperlink r:id="rId2505" ref="D2506"/>
    <hyperlink r:id="rId2506" ref="D2507"/>
    <hyperlink r:id="rId2507" ref="D2508"/>
    <hyperlink r:id="rId2508" ref="D2509"/>
    <hyperlink r:id="rId2509" ref="D2510"/>
    <hyperlink r:id="rId2510" ref="D2511"/>
    <hyperlink r:id="rId2511" ref="D2512"/>
    <hyperlink r:id="rId2512" ref="D2513"/>
    <hyperlink r:id="rId2513" ref="D2514"/>
    <hyperlink r:id="rId2514" ref="D2515"/>
    <hyperlink r:id="rId2515" ref="D2516"/>
    <hyperlink r:id="rId2516" ref="D2517"/>
    <hyperlink r:id="rId2517" ref="D2518"/>
    <hyperlink r:id="rId2518" ref="D2519"/>
    <hyperlink r:id="rId2519" ref="D2520"/>
    <hyperlink r:id="rId2520" ref="D2521"/>
    <hyperlink r:id="rId2521" ref="D2522"/>
    <hyperlink r:id="rId2522" ref="D2523"/>
    <hyperlink r:id="rId2523" ref="D2524"/>
    <hyperlink r:id="rId2524" ref="D2525"/>
    <hyperlink r:id="rId2525" ref="D2526"/>
    <hyperlink r:id="rId2526" ref="D2527"/>
    <hyperlink r:id="rId2527" ref="D2528"/>
    <hyperlink r:id="rId2528" ref="D2529"/>
    <hyperlink r:id="rId2529" ref="D2530"/>
    <hyperlink r:id="rId2530" ref="D2531"/>
    <hyperlink r:id="rId2531" ref="D2532"/>
    <hyperlink r:id="rId2532" ref="D2533"/>
    <hyperlink r:id="rId2533" ref="D2534"/>
    <hyperlink r:id="rId2534" ref="D2535"/>
    <hyperlink r:id="rId2535" ref="D2536"/>
    <hyperlink r:id="rId2536" ref="D2537"/>
    <hyperlink r:id="rId2537" ref="D2538"/>
    <hyperlink r:id="rId2538" ref="D2539"/>
    <hyperlink r:id="rId2539" ref="D2540"/>
    <hyperlink r:id="rId2540" ref="D2541"/>
    <hyperlink r:id="rId2541" ref="D2542"/>
    <hyperlink r:id="rId2542" ref="D2543"/>
    <hyperlink r:id="rId2543" ref="D2544"/>
    <hyperlink r:id="rId2544" ref="D2545"/>
    <hyperlink r:id="rId2545" ref="D2546"/>
    <hyperlink r:id="rId2546" ref="D2547"/>
    <hyperlink r:id="rId2547" ref="D2548"/>
    <hyperlink r:id="rId2548" ref="D2549"/>
    <hyperlink r:id="rId2549" ref="D2550"/>
    <hyperlink r:id="rId2550" ref="D2551"/>
    <hyperlink r:id="rId2551" ref="D2552"/>
    <hyperlink r:id="rId2552" ref="D2553"/>
    <hyperlink r:id="rId2553" ref="D2554"/>
    <hyperlink r:id="rId2554" ref="D2555"/>
    <hyperlink r:id="rId2555" ref="D2556"/>
    <hyperlink r:id="rId2556" ref="D2557"/>
    <hyperlink r:id="rId2557" ref="D2558"/>
    <hyperlink r:id="rId2558" ref="D2559"/>
    <hyperlink r:id="rId2559" ref="D2560"/>
    <hyperlink r:id="rId2560" ref="D2561"/>
    <hyperlink r:id="rId2561" ref="D2562"/>
    <hyperlink r:id="rId2562" ref="D2563"/>
    <hyperlink r:id="rId2563" ref="D2564"/>
    <hyperlink r:id="rId2564" ref="D2565"/>
    <hyperlink r:id="rId2565" ref="D2566"/>
    <hyperlink r:id="rId2566" ref="D2567"/>
    <hyperlink r:id="rId2567" ref="D2568"/>
    <hyperlink r:id="rId2568" ref="D2569"/>
    <hyperlink r:id="rId2569" ref="D2570"/>
    <hyperlink r:id="rId2570" ref="D2571"/>
    <hyperlink r:id="rId2571" ref="D2572"/>
    <hyperlink r:id="rId2572" ref="D2573"/>
    <hyperlink r:id="rId2573" ref="D2574"/>
    <hyperlink r:id="rId2574" ref="D2575"/>
    <hyperlink r:id="rId2575" ref="D2576"/>
    <hyperlink r:id="rId2576" ref="D2577"/>
    <hyperlink r:id="rId2577" ref="D2578"/>
    <hyperlink r:id="rId2578" ref="D2579"/>
    <hyperlink r:id="rId2579" ref="D2580"/>
    <hyperlink r:id="rId2580" ref="D2581"/>
    <hyperlink r:id="rId2581" ref="D2582"/>
    <hyperlink r:id="rId2582" ref="D2583"/>
    <hyperlink r:id="rId2583" ref="D2584"/>
    <hyperlink r:id="rId2584" ref="D2585"/>
    <hyperlink r:id="rId2585" ref="D2586"/>
    <hyperlink r:id="rId2586" ref="D2587"/>
    <hyperlink r:id="rId2587" ref="D2588"/>
    <hyperlink r:id="rId2588" ref="D2589"/>
    <hyperlink r:id="rId2589" ref="D2590"/>
    <hyperlink r:id="rId2590" ref="D2591"/>
    <hyperlink r:id="rId2591" ref="D2592"/>
    <hyperlink r:id="rId2592" ref="D2593"/>
    <hyperlink r:id="rId2593" ref="D2594"/>
    <hyperlink r:id="rId2594" ref="D2595"/>
    <hyperlink r:id="rId2595" ref="D2596"/>
    <hyperlink r:id="rId2596" ref="D2597"/>
    <hyperlink r:id="rId2597" ref="D2598"/>
    <hyperlink r:id="rId2598" ref="D2599"/>
    <hyperlink r:id="rId2599" ref="D2600"/>
    <hyperlink r:id="rId2600" ref="D2601"/>
    <hyperlink r:id="rId2601" ref="D2602"/>
    <hyperlink r:id="rId2602" ref="D2603"/>
    <hyperlink r:id="rId2603" ref="D2604"/>
    <hyperlink r:id="rId2604" ref="D2605"/>
    <hyperlink r:id="rId2605" ref="D2606"/>
    <hyperlink r:id="rId2606" ref="D2607"/>
    <hyperlink r:id="rId2607" ref="D2608"/>
    <hyperlink r:id="rId2608" ref="D2609"/>
    <hyperlink r:id="rId2609" ref="D2610"/>
    <hyperlink r:id="rId2610" ref="D2611"/>
    <hyperlink r:id="rId2611" ref="D2612"/>
    <hyperlink r:id="rId2612" ref="D2613"/>
    <hyperlink r:id="rId2613" ref="D2614"/>
    <hyperlink r:id="rId2614" ref="D2615"/>
    <hyperlink r:id="rId2615" ref="D2616"/>
    <hyperlink r:id="rId2616" ref="D2617"/>
    <hyperlink r:id="rId2617" ref="D2618"/>
    <hyperlink r:id="rId2618" ref="D2619"/>
    <hyperlink r:id="rId2619" ref="D2620"/>
    <hyperlink r:id="rId2620" ref="D2621"/>
    <hyperlink r:id="rId2621" ref="D2622"/>
    <hyperlink r:id="rId2622" ref="D2623"/>
    <hyperlink r:id="rId2623" ref="D2624"/>
    <hyperlink r:id="rId2624" ref="D2625"/>
    <hyperlink r:id="rId2625" ref="D2626"/>
    <hyperlink r:id="rId2626" ref="D2627"/>
    <hyperlink r:id="rId2627" ref="D2628"/>
    <hyperlink r:id="rId2628" ref="D2629"/>
    <hyperlink r:id="rId2629" ref="D2630"/>
    <hyperlink r:id="rId2630" ref="D2631"/>
    <hyperlink r:id="rId2631" ref="D2632"/>
    <hyperlink r:id="rId2632" ref="D2633"/>
    <hyperlink r:id="rId2633" ref="D2634"/>
    <hyperlink r:id="rId2634" ref="D2635"/>
    <hyperlink r:id="rId2635" ref="D2636"/>
    <hyperlink r:id="rId2636" ref="D2637"/>
    <hyperlink r:id="rId2637" ref="D2638"/>
    <hyperlink r:id="rId2638" ref="D2639"/>
    <hyperlink r:id="rId2639" ref="D2640"/>
    <hyperlink r:id="rId2640" ref="D2641"/>
    <hyperlink r:id="rId2641" ref="D2642"/>
    <hyperlink r:id="rId2642" ref="D2643"/>
    <hyperlink r:id="rId2643" ref="D2644"/>
    <hyperlink r:id="rId2644" ref="D2645"/>
    <hyperlink r:id="rId2645" ref="D2646"/>
    <hyperlink r:id="rId2646" ref="D2647"/>
    <hyperlink r:id="rId2647" ref="D2648"/>
    <hyperlink r:id="rId2648" ref="D2649"/>
    <hyperlink r:id="rId2649" ref="D2650"/>
    <hyperlink r:id="rId2650" ref="D2651"/>
    <hyperlink r:id="rId2651" ref="D2652"/>
    <hyperlink r:id="rId2652" ref="D2653"/>
    <hyperlink r:id="rId2653" ref="D2654"/>
    <hyperlink r:id="rId2654" ref="D2655"/>
    <hyperlink r:id="rId2655" ref="D2656"/>
    <hyperlink r:id="rId2656" ref="D2657"/>
    <hyperlink r:id="rId2657" ref="D2658"/>
    <hyperlink r:id="rId2658" ref="D2659"/>
    <hyperlink r:id="rId2659" ref="D2660"/>
    <hyperlink r:id="rId2660" ref="D2661"/>
    <hyperlink r:id="rId2661" ref="D2662"/>
    <hyperlink r:id="rId2662" ref="D2663"/>
    <hyperlink r:id="rId2663" ref="D2664"/>
    <hyperlink r:id="rId2664" ref="D2665"/>
    <hyperlink r:id="rId2665" ref="D2666"/>
    <hyperlink r:id="rId2666" ref="D2667"/>
    <hyperlink r:id="rId2667" ref="D2668"/>
    <hyperlink r:id="rId2668" ref="D2669"/>
    <hyperlink r:id="rId2669" ref="D2670"/>
    <hyperlink r:id="rId2670" ref="D2671"/>
    <hyperlink r:id="rId2671" ref="D2672"/>
    <hyperlink r:id="rId2672" ref="D2673"/>
    <hyperlink r:id="rId2673" ref="D2674"/>
    <hyperlink r:id="rId2674" ref="D2675"/>
    <hyperlink r:id="rId2675" ref="D2676"/>
    <hyperlink r:id="rId2676" ref="D2677"/>
    <hyperlink r:id="rId2677" ref="D2678"/>
    <hyperlink r:id="rId2678" ref="D2679"/>
    <hyperlink r:id="rId2679" ref="D2680"/>
    <hyperlink r:id="rId2680" ref="D2681"/>
    <hyperlink r:id="rId2681" ref="D2682"/>
    <hyperlink r:id="rId2682" ref="D2683"/>
    <hyperlink r:id="rId2683" ref="D2684"/>
    <hyperlink r:id="rId2684" ref="D2685"/>
    <hyperlink r:id="rId2685" ref="D2686"/>
    <hyperlink r:id="rId2686" ref="D2687"/>
    <hyperlink r:id="rId2687" ref="D2688"/>
    <hyperlink r:id="rId2688" ref="D2689"/>
    <hyperlink r:id="rId2689" ref="D2690"/>
    <hyperlink r:id="rId2690" ref="D2691"/>
    <hyperlink r:id="rId2691" ref="D2692"/>
    <hyperlink r:id="rId2692" ref="D2693"/>
    <hyperlink r:id="rId2693" ref="D2694"/>
    <hyperlink r:id="rId2694" ref="D2695"/>
    <hyperlink r:id="rId2695" ref="D2696"/>
    <hyperlink r:id="rId2696" ref="D2697"/>
    <hyperlink r:id="rId2697" ref="D2698"/>
    <hyperlink r:id="rId2698" ref="D2699"/>
    <hyperlink r:id="rId2699" ref="D2700"/>
    <hyperlink r:id="rId2700" ref="D2701"/>
    <hyperlink r:id="rId2701" ref="D2702"/>
    <hyperlink r:id="rId2702" ref="D2703"/>
    <hyperlink r:id="rId2703" ref="D2704"/>
    <hyperlink r:id="rId2704" ref="D2705"/>
    <hyperlink r:id="rId2705" ref="D2706"/>
    <hyperlink r:id="rId2706" ref="D2707"/>
    <hyperlink r:id="rId2707" ref="D2708"/>
    <hyperlink r:id="rId2708" ref="D2709"/>
    <hyperlink r:id="rId2709" ref="D2710"/>
    <hyperlink r:id="rId2710" ref="D2711"/>
    <hyperlink r:id="rId2711" ref="D2712"/>
    <hyperlink r:id="rId2712" ref="D2713"/>
    <hyperlink r:id="rId2713" ref="D2714"/>
    <hyperlink r:id="rId2714" ref="D2715"/>
    <hyperlink r:id="rId2715" ref="D2716"/>
    <hyperlink r:id="rId2716" ref="D2717"/>
    <hyperlink r:id="rId2717" ref="D2718"/>
    <hyperlink r:id="rId2718" ref="D2719"/>
    <hyperlink r:id="rId2719" ref="D2720"/>
    <hyperlink r:id="rId2720" ref="D2721"/>
    <hyperlink r:id="rId2721" ref="D2722"/>
    <hyperlink r:id="rId2722" ref="D2723"/>
    <hyperlink r:id="rId2723" ref="D2724"/>
    <hyperlink r:id="rId2724" ref="D2725"/>
    <hyperlink r:id="rId2725" ref="D2726"/>
    <hyperlink r:id="rId2726" ref="D2727"/>
    <hyperlink r:id="rId2727" ref="D2728"/>
    <hyperlink r:id="rId2728" ref="D2729"/>
    <hyperlink r:id="rId2729" ref="D2730"/>
    <hyperlink r:id="rId2730" ref="D2731"/>
    <hyperlink r:id="rId2731" ref="D2732"/>
    <hyperlink r:id="rId2732" ref="D2733"/>
    <hyperlink r:id="rId2733" ref="D2734"/>
    <hyperlink r:id="rId2734" ref="D2735"/>
    <hyperlink r:id="rId2735" ref="D2736"/>
    <hyperlink r:id="rId2736" ref="D2737"/>
    <hyperlink r:id="rId2737" ref="D2738"/>
    <hyperlink r:id="rId2738" ref="D2739"/>
    <hyperlink r:id="rId2739" ref="D2740"/>
    <hyperlink r:id="rId2740" ref="D2741"/>
    <hyperlink r:id="rId2741" ref="D2742"/>
    <hyperlink r:id="rId2742" ref="D2743"/>
    <hyperlink r:id="rId2743" ref="D2744"/>
    <hyperlink r:id="rId2744" ref="D2745"/>
    <hyperlink r:id="rId2745" ref="D2746"/>
    <hyperlink r:id="rId2746" ref="D2747"/>
    <hyperlink r:id="rId2747" ref="D2748"/>
    <hyperlink r:id="rId2748" ref="D2749"/>
    <hyperlink r:id="rId2749" ref="D2750"/>
    <hyperlink r:id="rId2750" ref="D2751"/>
    <hyperlink r:id="rId2751" ref="D2752"/>
    <hyperlink r:id="rId2752" ref="D2753"/>
    <hyperlink r:id="rId2753" ref="D2754"/>
    <hyperlink r:id="rId2754" ref="D2755"/>
    <hyperlink r:id="rId2755" ref="D2756"/>
    <hyperlink r:id="rId2756" ref="D2757"/>
    <hyperlink r:id="rId2757" ref="D2758"/>
    <hyperlink r:id="rId2758" ref="D2759"/>
    <hyperlink r:id="rId2759" ref="D2760"/>
    <hyperlink r:id="rId2760" ref="D2761"/>
    <hyperlink r:id="rId2761" ref="D2762"/>
    <hyperlink r:id="rId2762" ref="D2763"/>
    <hyperlink r:id="rId2763" ref="D2764"/>
    <hyperlink r:id="rId2764" ref="D2765"/>
    <hyperlink r:id="rId2765" ref="D2766"/>
    <hyperlink r:id="rId2766" ref="D2767"/>
    <hyperlink r:id="rId2767" ref="D2768"/>
    <hyperlink r:id="rId2768" ref="D2769"/>
    <hyperlink r:id="rId2769" ref="D2770"/>
    <hyperlink r:id="rId2770" ref="D2771"/>
    <hyperlink r:id="rId2771" ref="D2772"/>
    <hyperlink r:id="rId2772" ref="D2773"/>
    <hyperlink r:id="rId2773" ref="D2774"/>
    <hyperlink r:id="rId2774" ref="D2775"/>
    <hyperlink r:id="rId2775" ref="D2776"/>
    <hyperlink r:id="rId2776" ref="D2777"/>
    <hyperlink r:id="rId2777" ref="D2778"/>
    <hyperlink r:id="rId2778" ref="D2779"/>
    <hyperlink r:id="rId2779" ref="D2780"/>
    <hyperlink r:id="rId2780" ref="D2781"/>
    <hyperlink r:id="rId2781" ref="D2782"/>
    <hyperlink r:id="rId2782" ref="D2783"/>
    <hyperlink r:id="rId2783" ref="D2784"/>
    <hyperlink r:id="rId2784" ref="D2785"/>
    <hyperlink r:id="rId2785" ref="D2786"/>
    <hyperlink r:id="rId2786" ref="D2787"/>
    <hyperlink r:id="rId2787" ref="D2788"/>
    <hyperlink r:id="rId2788" ref="D2789"/>
    <hyperlink r:id="rId2789" ref="D2790"/>
    <hyperlink r:id="rId2790" ref="D2791"/>
    <hyperlink r:id="rId2791" ref="D2792"/>
    <hyperlink r:id="rId2792" ref="D2793"/>
    <hyperlink r:id="rId2793" ref="D2794"/>
    <hyperlink r:id="rId2794" ref="D2795"/>
    <hyperlink r:id="rId2795" ref="D2796"/>
    <hyperlink r:id="rId2796" ref="D2797"/>
    <hyperlink r:id="rId2797" ref="D2798"/>
    <hyperlink r:id="rId2798" ref="D2799"/>
    <hyperlink r:id="rId2799" ref="D2800"/>
    <hyperlink r:id="rId2800" ref="D2801"/>
    <hyperlink r:id="rId2801" ref="D2802"/>
    <hyperlink r:id="rId2802" ref="D2803"/>
    <hyperlink r:id="rId2803" ref="D2804"/>
    <hyperlink r:id="rId2804" ref="D2805"/>
    <hyperlink r:id="rId2805" ref="D2806"/>
    <hyperlink r:id="rId2806" ref="D2807"/>
    <hyperlink r:id="rId2807" ref="D2808"/>
    <hyperlink r:id="rId2808" ref="D2809"/>
    <hyperlink r:id="rId2809" ref="D2810"/>
    <hyperlink r:id="rId2810" ref="D2811"/>
    <hyperlink r:id="rId2811" ref="D2812"/>
    <hyperlink r:id="rId2812" ref="D2813"/>
    <hyperlink r:id="rId2813" ref="D2814"/>
    <hyperlink r:id="rId2814" ref="D2815"/>
    <hyperlink r:id="rId2815" ref="D2816"/>
    <hyperlink r:id="rId2816" ref="D2817"/>
    <hyperlink r:id="rId2817" ref="D2818"/>
    <hyperlink r:id="rId2818" ref="D2819"/>
    <hyperlink r:id="rId2819" ref="D2820"/>
    <hyperlink r:id="rId2820" ref="D2821"/>
    <hyperlink r:id="rId2821" ref="D2822"/>
    <hyperlink r:id="rId2822" ref="D2823"/>
    <hyperlink r:id="rId2823" ref="D2824"/>
    <hyperlink r:id="rId2824" ref="D2825"/>
    <hyperlink r:id="rId2825" ref="D2826"/>
    <hyperlink r:id="rId2826" ref="D2827"/>
    <hyperlink r:id="rId2827" ref="D2828"/>
    <hyperlink r:id="rId2828" ref="D2829"/>
    <hyperlink r:id="rId2829" ref="D2830"/>
    <hyperlink r:id="rId2830" ref="D2831"/>
    <hyperlink r:id="rId2831" ref="D2832"/>
    <hyperlink r:id="rId2832" ref="D2833"/>
    <hyperlink r:id="rId2833" ref="D2834"/>
    <hyperlink r:id="rId2834" ref="D2835"/>
    <hyperlink r:id="rId2835" ref="D2836"/>
    <hyperlink r:id="rId2836" ref="D2837"/>
    <hyperlink r:id="rId2837" ref="D2838"/>
    <hyperlink r:id="rId2838" ref="D2839"/>
    <hyperlink r:id="rId2839" ref="D2840"/>
    <hyperlink r:id="rId2840" ref="D2841"/>
    <hyperlink r:id="rId2841" ref="D2842"/>
    <hyperlink r:id="rId2842" ref="D2843"/>
    <hyperlink r:id="rId2843" ref="D2844"/>
    <hyperlink r:id="rId2844" ref="D2845"/>
    <hyperlink r:id="rId2845" ref="D2846"/>
    <hyperlink r:id="rId2846" ref="D2847"/>
    <hyperlink r:id="rId2847" ref="D2848"/>
    <hyperlink r:id="rId2848" ref="D2849"/>
    <hyperlink r:id="rId2849" ref="D2850"/>
    <hyperlink r:id="rId2850" ref="D2851"/>
    <hyperlink r:id="rId2851" ref="D2852"/>
    <hyperlink r:id="rId2852" ref="D2853"/>
    <hyperlink r:id="rId2853" ref="D2854"/>
    <hyperlink r:id="rId2854" ref="D2855"/>
    <hyperlink r:id="rId2855" ref="D2856"/>
    <hyperlink r:id="rId2856" ref="D2857"/>
    <hyperlink r:id="rId2857" ref="D2858"/>
    <hyperlink r:id="rId2858" ref="D2859"/>
    <hyperlink r:id="rId2859" ref="D2860"/>
    <hyperlink r:id="rId2860" ref="D2861"/>
    <hyperlink r:id="rId2861" ref="D2862"/>
    <hyperlink r:id="rId2862" ref="D2863"/>
    <hyperlink r:id="rId2863" ref="D2864"/>
    <hyperlink r:id="rId2864" ref="D2865"/>
    <hyperlink r:id="rId2865" ref="D2866"/>
    <hyperlink r:id="rId2866" ref="D2867"/>
    <hyperlink r:id="rId2867" ref="D2868"/>
    <hyperlink r:id="rId2868" ref="D2869"/>
    <hyperlink r:id="rId2869" ref="D2870"/>
    <hyperlink r:id="rId2870" ref="D2871"/>
    <hyperlink r:id="rId2871" ref="D2872"/>
    <hyperlink r:id="rId2872" ref="D2873"/>
    <hyperlink r:id="rId2873" ref="D2874"/>
    <hyperlink r:id="rId2874" ref="D2875"/>
    <hyperlink r:id="rId2875" ref="D2876"/>
    <hyperlink r:id="rId2876" ref="D2877"/>
    <hyperlink r:id="rId2877" ref="D2878"/>
    <hyperlink r:id="rId2878" ref="D2879"/>
    <hyperlink r:id="rId2879" ref="D2880"/>
    <hyperlink r:id="rId2880" ref="D2881"/>
    <hyperlink r:id="rId2881" ref="D2882"/>
    <hyperlink r:id="rId2882" ref="D2883"/>
    <hyperlink r:id="rId2883" ref="D2884"/>
    <hyperlink r:id="rId2884" ref="D2885"/>
    <hyperlink r:id="rId2885" ref="D2886"/>
    <hyperlink r:id="rId2886" ref="D2887"/>
    <hyperlink r:id="rId2887" ref="D2888"/>
    <hyperlink r:id="rId2888" ref="D2889"/>
    <hyperlink r:id="rId2889" ref="D2890"/>
    <hyperlink r:id="rId2890" ref="D2891"/>
    <hyperlink r:id="rId2891" ref="D2892"/>
    <hyperlink r:id="rId2892" ref="D2893"/>
    <hyperlink r:id="rId2893" ref="D2894"/>
    <hyperlink r:id="rId2894" ref="D2895"/>
    <hyperlink r:id="rId2895" ref="D2896"/>
    <hyperlink r:id="rId2896" ref="D2897"/>
    <hyperlink r:id="rId2897" ref="D2898"/>
    <hyperlink r:id="rId2898" ref="D2899"/>
    <hyperlink r:id="rId2899" ref="D2900"/>
    <hyperlink r:id="rId2900" ref="D2901"/>
    <hyperlink r:id="rId2901" ref="D2902"/>
    <hyperlink r:id="rId2902" ref="D2903"/>
    <hyperlink r:id="rId2903" ref="D2904"/>
    <hyperlink r:id="rId2904" ref="D2905"/>
    <hyperlink r:id="rId2905" ref="D2906"/>
    <hyperlink r:id="rId2906" ref="D2907"/>
    <hyperlink r:id="rId2907" ref="D2908"/>
    <hyperlink r:id="rId2908" ref="D2909"/>
    <hyperlink r:id="rId2909" ref="D2910"/>
    <hyperlink r:id="rId2910" ref="D2911"/>
    <hyperlink r:id="rId2911" ref="D2912"/>
    <hyperlink r:id="rId2912" ref="D2913"/>
    <hyperlink r:id="rId2913" ref="D2914"/>
    <hyperlink r:id="rId2914" ref="D2915"/>
    <hyperlink r:id="rId2915" ref="D2916"/>
    <hyperlink r:id="rId2916" ref="D2917"/>
    <hyperlink r:id="rId2917" ref="D2918"/>
    <hyperlink r:id="rId2918" ref="D2919"/>
    <hyperlink r:id="rId2919" ref="D2920"/>
    <hyperlink r:id="rId2920" ref="D2921"/>
    <hyperlink r:id="rId2921" ref="D2922"/>
    <hyperlink r:id="rId2922" ref="D2923"/>
    <hyperlink r:id="rId2923" ref="D2924"/>
    <hyperlink r:id="rId2924" ref="D2925"/>
    <hyperlink r:id="rId2925" ref="D2926"/>
    <hyperlink r:id="rId2926" ref="D2927"/>
    <hyperlink r:id="rId2927" ref="D2928"/>
    <hyperlink r:id="rId2928" ref="D2929"/>
    <hyperlink r:id="rId2929" ref="D2930"/>
    <hyperlink r:id="rId2930" ref="D2931"/>
    <hyperlink r:id="rId2931" ref="D2932"/>
    <hyperlink r:id="rId2932" ref="D2933"/>
    <hyperlink r:id="rId2933" ref="D2934"/>
    <hyperlink r:id="rId2934" ref="D2935"/>
    <hyperlink r:id="rId2935" ref="D2936"/>
    <hyperlink r:id="rId2936" ref="D2937"/>
    <hyperlink r:id="rId2937" ref="D2938"/>
    <hyperlink r:id="rId2938" ref="D2939"/>
    <hyperlink r:id="rId2939" ref="D2940"/>
    <hyperlink r:id="rId2940" ref="D2941"/>
    <hyperlink r:id="rId2941" ref="D2942"/>
    <hyperlink r:id="rId2942" ref="D2943"/>
    <hyperlink r:id="rId2943" ref="D2944"/>
    <hyperlink r:id="rId2944" ref="D2945"/>
    <hyperlink r:id="rId2945" ref="D2946"/>
    <hyperlink r:id="rId2946" ref="D2947"/>
    <hyperlink r:id="rId2947" ref="D2948"/>
    <hyperlink r:id="rId2948" ref="D2949"/>
    <hyperlink r:id="rId2949" ref="D2950"/>
    <hyperlink r:id="rId2950" ref="D2951"/>
    <hyperlink r:id="rId2951" ref="D2952"/>
    <hyperlink r:id="rId2952" ref="D2953"/>
    <hyperlink r:id="rId2953" ref="D2954"/>
    <hyperlink r:id="rId2954" ref="D2955"/>
    <hyperlink r:id="rId2955" ref="D2956"/>
    <hyperlink r:id="rId2956" ref="D2957"/>
    <hyperlink r:id="rId2957" ref="D2958"/>
    <hyperlink r:id="rId2958" ref="D2959"/>
    <hyperlink r:id="rId2959" ref="D2960"/>
    <hyperlink r:id="rId2960" ref="D2961"/>
    <hyperlink r:id="rId2961" ref="D2962"/>
    <hyperlink r:id="rId2962" ref="D2963"/>
    <hyperlink r:id="rId2963" ref="D2964"/>
    <hyperlink r:id="rId2964" ref="D2965"/>
    <hyperlink r:id="rId2965" ref="D2966"/>
    <hyperlink r:id="rId2966" ref="D2967"/>
    <hyperlink r:id="rId2967" ref="D2968"/>
    <hyperlink r:id="rId2968" ref="D2969"/>
    <hyperlink r:id="rId2969" ref="D2970"/>
    <hyperlink r:id="rId2970" ref="D2971"/>
    <hyperlink r:id="rId2971" ref="D2972"/>
    <hyperlink r:id="rId2972" ref="D2973"/>
    <hyperlink r:id="rId2973" ref="D2974"/>
    <hyperlink r:id="rId2974" ref="D2975"/>
    <hyperlink r:id="rId2975" ref="D2976"/>
    <hyperlink r:id="rId2976" ref="D2977"/>
    <hyperlink r:id="rId2977" ref="D2978"/>
    <hyperlink r:id="rId2978" ref="D2979"/>
    <hyperlink r:id="rId2979" ref="D2980"/>
    <hyperlink r:id="rId2980" ref="D2981"/>
    <hyperlink r:id="rId2981" ref="D2982"/>
    <hyperlink r:id="rId2982" ref="D2983"/>
    <hyperlink r:id="rId2983" ref="D2984"/>
    <hyperlink r:id="rId2984" ref="D2985"/>
    <hyperlink r:id="rId2985" ref="D2986"/>
    <hyperlink r:id="rId2986" ref="D2987"/>
    <hyperlink r:id="rId2987" ref="D2988"/>
    <hyperlink r:id="rId2988" ref="D2989"/>
    <hyperlink r:id="rId2989" ref="D2990"/>
    <hyperlink r:id="rId2990" ref="D2991"/>
    <hyperlink r:id="rId2991" ref="D2992"/>
    <hyperlink r:id="rId2992" ref="D2993"/>
    <hyperlink r:id="rId2993" ref="D2994"/>
    <hyperlink r:id="rId2994" ref="D2995"/>
    <hyperlink r:id="rId2995" ref="D2996"/>
    <hyperlink r:id="rId2996" ref="D2997"/>
    <hyperlink r:id="rId2997" ref="D2998"/>
    <hyperlink r:id="rId2998" ref="D2999"/>
    <hyperlink r:id="rId2999" ref="D3000"/>
    <hyperlink r:id="rId3000" ref="D3001"/>
    <hyperlink r:id="rId3001" ref="D3002"/>
    <hyperlink r:id="rId3002" ref="D3003"/>
    <hyperlink r:id="rId3003" ref="D3004"/>
    <hyperlink r:id="rId3004" ref="D3005"/>
    <hyperlink r:id="rId3005" ref="D3006"/>
    <hyperlink r:id="rId3006" ref="D3007"/>
    <hyperlink r:id="rId3007" ref="D3008"/>
    <hyperlink r:id="rId3008" ref="D3009"/>
    <hyperlink r:id="rId3009" ref="D3010"/>
    <hyperlink r:id="rId3010" ref="D3011"/>
    <hyperlink r:id="rId3011" ref="D3012"/>
    <hyperlink r:id="rId3012" ref="D3013"/>
    <hyperlink r:id="rId3013" ref="D3014"/>
    <hyperlink r:id="rId3014" ref="D3015"/>
    <hyperlink r:id="rId3015" ref="D3016"/>
    <hyperlink r:id="rId3016" ref="D3017"/>
    <hyperlink r:id="rId3017" ref="D3018"/>
    <hyperlink r:id="rId3018" ref="D3019"/>
    <hyperlink r:id="rId3019" ref="D3020"/>
    <hyperlink r:id="rId3020" ref="D3021"/>
    <hyperlink r:id="rId3021" ref="D3022"/>
    <hyperlink r:id="rId3022" ref="D3023"/>
    <hyperlink r:id="rId3023" ref="D3024"/>
    <hyperlink r:id="rId3024" ref="D3025"/>
    <hyperlink r:id="rId3025" ref="D3026"/>
    <hyperlink r:id="rId3026" ref="D3027"/>
    <hyperlink r:id="rId3027" ref="D3028"/>
    <hyperlink r:id="rId3028" ref="D3029"/>
    <hyperlink r:id="rId3029" ref="D3030"/>
    <hyperlink r:id="rId3030" ref="D3031"/>
    <hyperlink r:id="rId3031" ref="D3032"/>
    <hyperlink r:id="rId3032" ref="D3033"/>
    <hyperlink r:id="rId3033" ref="D3034"/>
    <hyperlink r:id="rId3034" ref="D3035"/>
    <hyperlink r:id="rId3035" ref="D3036"/>
    <hyperlink r:id="rId3036" ref="D3037"/>
    <hyperlink r:id="rId3037" ref="D3038"/>
    <hyperlink r:id="rId3038" ref="D3039"/>
    <hyperlink r:id="rId3039" ref="D3040"/>
    <hyperlink r:id="rId3040" ref="D3041"/>
    <hyperlink r:id="rId3041" ref="D3042"/>
    <hyperlink r:id="rId3042" ref="D3043"/>
    <hyperlink r:id="rId3043" ref="D3044"/>
    <hyperlink r:id="rId3044" ref="D3045"/>
    <hyperlink r:id="rId3045" ref="D3046"/>
    <hyperlink r:id="rId3046" ref="D3047"/>
    <hyperlink r:id="rId3047" ref="D3048"/>
    <hyperlink r:id="rId3048" ref="D3049"/>
    <hyperlink r:id="rId3049" ref="D3050"/>
    <hyperlink r:id="rId3050" ref="D3051"/>
    <hyperlink r:id="rId3051" ref="D3052"/>
    <hyperlink r:id="rId3052" ref="D3053"/>
    <hyperlink r:id="rId3053" ref="D3054"/>
    <hyperlink r:id="rId3054" ref="D3055"/>
    <hyperlink r:id="rId3055" ref="D3056"/>
    <hyperlink r:id="rId3056" ref="D3057"/>
    <hyperlink r:id="rId3057" ref="D3058"/>
    <hyperlink r:id="rId3058" ref="D3059"/>
    <hyperlink r:id="rId3059" ref="D3060"/>
    <hyperlink r:id="rId3060" ref="D3061"/>
    <hyperlink r:id="rId3061" ref="D3062"/>
    <hyperlink r:id="rId3062" ref="D3063"/>
    <hyperlink r:id="rId3063" ref="D3064"/>
    <hyperlink r:id="rId3064" ref="D3065"/>
    <hyperlink r:id="rId3065" ref="D3066"/>
    <hyperlink r:id="rId3066" ref="D3067"/>
    <hyperlink r:id="rId3067" ref="D3068"/>
    <hyperlink r:id="rId3068" ref="D3069"/>
    <hyperlink r:id="rId3069" ref="D3070"/>
    <hyperlink r:id="rId3070" ref="D3071"/>
    <hyperlink r:id="rId3071" ref="D3072"/>
    <hyperlink r:id="rId3072" ref="D3073"/>
    <hyperlink r:id="rId3073" ref="D3074"/>
    <hyperlink r:id="rId3074" ref="D3075"/>
    <hyperlink r:id="rId3075" ref="D3076"/>
    <hyperlink r:id="rId3076" ref="D3077"/>
    <hyperlink r:id="rId3077" ref="D3078"/>
    <hyperlink r:id="rId3078" ref="D3079"/>
    <hyperlink r:id="rId3079" ref="D3080"/>
    <hyperlink r:id="rId3080" ref="D3081"/>
    <hyperlink r:id="rId3081" ref="D3082"/>
    <hyperlink r:id="rId3082" ref="D3083"/>
    <hyperlink r:id="rId3083" ref="D3084"/>
    <hyperlink r:id="rId3084" ref="D3085"/>
    <hyperlink r:id="rId3085" ref="D3086"/>
    <hyperlink r:id="rId3086" ref="D3087"/>
    <hyperlink r:id="rId3087" ref="D3088"/>
    <hyperlink r:id="rId3088" ref="D3089"/>
    <hyperlink r:id="rId3089" ref="D3090"/>
    <hyperlink r:id="rId3090" ref="D3091"/>
    <hyperlink r:id="rId3091" ref="D3092"/>
    <hyperlink r:id="rId3092" ref="D3093"/>
    <hyperlink r:id="rId3093" ref="D3094"/>
    <hyperlink r:id="rId3094" ref="D3095"/>
    <hyperlink r:id="rId3095" ref="D3096"/>
    <hyperlink r:id="rId3096" ref="D3097"/>
    <hyperlink r:id="rId3097" ref="D3098"/>
    <hyperlink r:id="rId3098" ref="D3099"/>
    <hyperlink r:id="rId3099" ref="D3100"/>
    <hyperlink r:id="rId3100" ref="D3101"/>
    <hyperlink r:id="rId3101" ref="D3102"/>
    <hyperlink r:id="rId3102" ref="D3103"/>
    <hyperlink r:id="rId3103" ref="D3104"/>
    <hyperlink r:id="rId3104" ref="D3105"/>
    <hyperlink r:id="rId3105" ref="D3106"/>
    <hyperlink r:id="rId3106" ref="D3107"/>
    <hyperlink r:id="rId3107" ref="D3108"/>
    <hyperlink r:id="rId3108" ref="D3109"/>
    <hyperlink r:id="rId3109" ref="D3110"/>
    <hyperlink r:id="rId3110" ref="D3111"/>
    <hyperlink r:id="rId3111" ref="D3112"/>
    <hyperlink r:id="rId3112" ref="D3113"/>
    <hyperlink r:id="rId3113" ref="D3114"/>
    <hyperlink r:id="rId3114" ref="D3115"/>
    <hyperlink r:id="rId3115" ref="D3116"/>
    <hyperlink r:id="rId3116" ref="D3117"/>
    <hyperlink r:id="rId3117" ref="D3118"/>
    <hyperlink r:id="rId3118" ref="D3119"/>
    <hyperlink r:id="rId3119" ref="D3120"/>
    <hyperlink r:id="rId3120" ref="D3121"/>
    <hyperlink r:id="rId3121" ref="D3122"/>
    <hyperlink r:id="rId3122" ref="D3123"/>
    <hyperlink r:id="rId3123" ref="D3124"/>
    <hyperlink r:id="rId3124" ref="D3125"/>
    <hyperlink r:id="rId3125" ref="D3126"/>
    <hyperlink r:id="rId3126" ref="D3127"/>
    <hyperlink r:id="rId3127" ref="D3128"/>
    <hyperlink r:id="rId3128" ref="D3129"/>
    <hyperlink r:id="rId3129" ref="D3130"/>
    <hyperlink r:id="rId3130" ref="D3131"/>
    <hyperlink r:id="rId3131" ref="D3132"/>
    <hyperlink r:id="rId3132" ref="D3133"/>
    <hyperlink r:id="rId3133" ref="D3134"/>
    <hyperlink r:id="rId3134" ref="D3135"/>
    <hyperlink r:id="rId3135" ref="D3136"/>
    <hyperlink r:id="rId3136" ref="D3137"/>
    <hyperlink r:id="rId3137" ref="D3138"/>
    <hyperlink r:id="rId3138" ref="D3139"/>
    <hyperlink r:id="rId3139" ref="D3140"/>
    <hyperlink r:id="rId3140" ref="D3141"/>
    <hyperlink r:id="rId3141" ref="D3142"/>
    <hyperlink r:id="rId3142" ref="D3143"/>
    <hyperlink r:id="rId3143" ref="D3144"/>
    <hyperlink r:id="rId3144" ref="D3145"/>
    <hyperlink r:id="rId3145" ref="D3146"/>
    <hyperlink r:id="rId3146" ref="D3147"/>
    <hyperlink r:id="rId3147" ref="D3148"/>
    <hyperlink r:id="rId3148" ref="D3149"/>
    <hyperlink r:id="rId3149" ref="D3150"/>
    <hyperlink r:id="rId3150" ref="D3151"/>
    <hyperlink r:id="rId3151" ref="D3152"/>
    <hyperlink r:id="rId3152" ref="D3153"/>
    <hyperlink r:id="rId3153" ref="D3154"/>
    <hyperlink r:id="rId3154" ref="D3155"/>
    <hyperlink r:id="rId3155" ref="D3156"/>
    <hyperlink r:id="rId3156" ref="D3157"/>
    <hyperlink r:id="rId3157" ref="D3158"/>
    <hyperlink r:id="rId3158" ref="D3159"/>
    <hyperlink r:id="rId3159" ref="D3160"/>
    <hyperlink r:id="rId3160" ref="D3161"/>
    <hyperlink r:id="rId3161" ref="D3162"/>
    <hyperlink r:id="rId3162" ref="D3163"/>
    <hyperlink r:id="rId3163" ref="D3164"/>
    <hyperlink r:id="rId3164" ref="D3165"/>
    <hyperlink r:id="rId3165" ref="D3166"/>
    <hyperlink r:id="rId3166" ref="D3167"/>
    <hyperlink r:id="rId3167" ref="D3168"/>
    <hyperlink r:id="rId3168" ref="D3169"/>
    <hyperlink r:id="rId3169" ref="D3170"/>
    <hyperlink r:id="rId3170" ref="D3171"/>
    <hyperlink r:id="rId3171" ref="D3172"/>
    <hyperlink r:id="rId3172" ref="D3173"/>
    <hyperlink r:id="rId3173" ref="D3174"/>
    <hyperlink r:id="rId3174" ref="D3175"/>
    <hyperlink r:id="rId3175" ref="D3176"/>
    <hyperlink r:id="rId3176" ref="D3177"/>
    <hyperlink r:id="rId3177" ref="D3178"/>
    <hyperlink r:id="rId3178" ref="D3179"/>
    <hyperlink r:id="rId3179" ref="D3180"/>
    <hyperlink r:id="rId3180" ref="D3181"/>
    <hyperlink r:id="rId3181" ref="D3182"/>
    <hyperlink r:id="rId3182" ref="D3183"/>
    <hyperlink r:id="rId3183" ref="D3184"/>
    <hyperlink r:id="rId3184" ref="D3185"/>
    <hyperlink r:id="rId3185" ref="D3186"/>
    <hyperlink r:id="rId3186" ref="D3187"/>
    <hyperlink r:id="rId3187" ref="D3188"/>
    <hyperlink r:id="rId3188" ref="D3189"/>
    <hyperlink r:id="rId3189" ref="D3190"/>
    <hyperlink r:id="rId3190" ref="D3191"/>
    <hyperlink r:id="rId3191" ref="D3192"/>
    <hyperlink r:id="rId3192" ref="D3193"/>
    <hyperlink r:id="rId3193" ref="D3194"/>
    <hyperlink r:id="rId3194" ref="D3195"/>
    <hyperlink r:id="rId3195" ref="D3196"/>
    <hyperlink r:id="rId3196" ref="D3197"/>
    <hyperlink r:id="rId3197" ref="D3198"/>
    <hyperlink r:id="rId3198" ref="D3199"/>
    <hyperlink r:id="rId3199" ref="D3200"/>
    <hyperlink r:id="rId3200" ref="D3201"/>
    <hyperlink r:id="rId3201" ref="D3202"/>
    <hyperlink r:id="rId3202" ref="D3203"/>
    <hyperlink r:id="rId3203" ref="D3204"/>
    <hyperlink r:id="rId3204" ref="D3205"/>
    <hyperlink r:id="rId3205" ref="D3206"/>
    <hyperlink r:id="rId3206" ref="D3207"/>
    <hyperlink r:id="rId3207" ref="D3208"/>
    <hyperlink r:id="rId3208" ref="D3209"/>
    <hyperlink r:id="rId3209" ref="D3210"/>
    <hyperlink r:id="rId3210" ref="D3211"/>
    <hyperlink r:id="rId3211" ref="D3212"/>
    <hyperlink r:id="rId3212" ref="D3213"/>
    <hyperlink r:id="rId3213" ref="D3214"/>
    <hyperlink r:id="rId3214" ref="D3215"/>
    <hyperlink r:id="rId3215" ref="D3216"/>
    <hyperlink r:id="rId3216" ref="D3217"/>
    <hyperlink r:id="rId3217" ref="D3218"/>
    <hyperlink r:id="rId3218" ref="D3219"/>
    <hyperlink r:id="rId3219" ref="D3220"/>
    <hyperlink r:id="rId3220" ref="D3221"/>
    <hyperlink r:id="rId3221" ref="D3222"/>
    <hyperlink r:id="rId3222" ref="D3223"/>
    <hyperlink r:id="rId3223" ref="D3224"/>
    <hyperlink r:id="rId3224" ref="D3225"/>
    <hyperlink r:id="rId3225" ref="D3226"/>
    <hyperlink r:id="rId3226" ref="D3227"/>
    <hyperlink r:id="rId3227" ref="D3228"/>
    <hyperlink r:id="rId3228" ref="D3229"/>
    <hyperlink r:id="rId3229" ref="D3230"/>
    <hyperlink r:id="rId3230" ref="D3231"/>
    <hyperlink r:id="rId3231" ref="D3232"/>
    <hyperlink r:id="rId3232" ref="D3233"/>
    <hyperlink r:id="rId3233" ref="D3234"/>
    <hyperlink r:id="rId3234" ref="D3235"/>
    <hyperlink r:id="rId3235" ref="D3236"/>
    <hyperlink r:id="rId3236" ref="D3237"/>
    <hyperlink r:id="rId3237" ref="D3238"/>
    <hyperlink r:id="rId3238" ref="D3239"/>
    <hyperlink r:id="rId3239" ref="D3240"/>
    <hyperlink r:id="rId3240" ref="D3241"/>
    <hyperlink r:id="rId3241" ref="D3242"/>
    <hyperlink r:id="rId3242" ref="D3243"/>
    <hyperlink r:id="rId3243" ref="D3244"/>
    <hyperlink r:id="rId3244" ref="D3245"/>
    <hyperlink r:id="rId3245" ref="D3246"/>
    <hyperlink r:id="rId3246" ref="D3247"/>
    <hyperlink r:id="rId3247" ref="D3248"/>
    <hyperlink r:id="rId3248" ref="D3249"/>
    <hyperlink r:id="rId3249" ref="D3250"/>
    <hyperlink r:id="rId3250" ref="D3251"/>
    <hyperlink r:id="rId3251" ref="D3252"/>
    <hyperlink r:id="rId3252" ref="D3253"/>
    <hyperlink r:id="rId3253" ref="D3254"/>
    <hyperlink r:id="rId3254" ref="D3255"/>
    <hyperlink r:id="rId3255" ref="D3256"/>
    <hyperlink r:id="rId3256" ref="D3257"/>
    <hyperlink r:id="rId3257" ref="D3258"/>
    <hyperlink r:id="rId3258" ref="D3259"/>
    <hyperlink r:id="rId3259" ref="D3260"/>
    <hyperlink r:id="rId3260" ref="D3261"/>
    <hyperlink r:id="rId3261" ref="D3262"/>
    <hyperlink r:id="rId3262" ref="D3263"/>
    <hyperlink r:id="rId3263" ref="D3264"/>
    <hyperlink r:id="rId3264" ref="D3265"/>
    <hyperlink r:id="rId3265" ref="D3266"/>
    <hyperlink r:id="rId3266" ref="D3267"/>
    <hyperlink r:id="rId3267" ref="D3268"/>
    <hyperlink r:id="rId3268" ref="D3269"/>
    <hyperlink r:id="rId3269" ref="D3270"/>
    <hyperlink r:id="rId3270" ref="D3271"/>
    <hyperlink r:id="rId3271" ref="D3272"/>
    <hyperlink r:id="rId3272" ref="D3273"/>
    <hyperlink r:id="rId3273" ref="D3274"/>
    <hyperlink r:id="rId3274" ref="D3275"/>
    <hyperlink r:id="rId3275" ref="D3276"/>
    <hyperlink r:id="rId3276" ref="D3277"/>
    <hyperlink r:id="rId3277" ref="D3278"/>
    <hyperlink r:id="rId3278" ref="D3279"/>
    <hyperlink r:id="rId3279" ref="D3280"/>
    <hyperlink r:id="rId3280" ref="D3281"/>
    <hyperlink r:id="rId3281" ref="D3282"/>
    <hyperlink r:id="rId3282" ref="D3283"/>
    <hyperlink r:id="rId3283" ref="D3284"/>
    <hyperlink r:id="rId3284" ref="D3285"/>
    <hyperlink r:id="rId3285" ref="D3286"/>
    <hyperlink r:id="rId3286" ref="D3287"/>
    <hyperlink r:id="rId3287" ref="D3288"/>
    <hyperlink r:id="rId3288" ref="D3289"/>
    <hyperlink r:id="rId3289" ref="D3290"/>
    <hyperlink r:id="rId3290" ref="D3291"/>
    <hyperlink r:id="rId3291" ref="D3292"/>
    <hyperlink r:id="rId3292" ref="D3293"/>
    <hyperlink r:id="rId3293" ref="D3294"/>
    <hyperlink r:id="rId3294" ref="D3295"/>
    <hyperlink r:id="rId3295" ref="D3296"/>
    <hyperlink r:id="rId3296" ref="D3297"/>
    <hyperlink r:id="rId3297" ref="D3298"/>
    <hyperlink r:id="rId3298" ref="D3299"/>
    <hyperlink r:id="rId3299" ref="D3300"/>
    <hyperlink r:id="rId3300" ref="D3301"/>
    <hyperlink r:id="rId3301" ref="D3302"/>
    <hyperlink r:id="rId3302" ref="D3303"/>
    <hyperlink r:id="rId3303" ref="D3304"/>
    <hyperlink r:id="rId3304" ref="D3305"/>
    <hyperlink r:id="rId3305" ref="D3306"/>
    <hyperlink r:id="rId3306" ref="D3307"/>
    <hyperlink r:id="rId3307" ref="D3308"/>
    <hyperlink r:id="rId3308" ref="D3309"/>
    <hyperlink r:id="rId3309" ref="D3310"/>
    <hyperlink r:id="rId3310" ref="D3311"/>
    <hyperlink r:id="rId3311" ref="D3312"/>
    <hyperlink r:id="rId3312" ref="D3313"/>
    <hyperlink r:id="rId3313" ref="D3314"/>
    <hyperlink r:id="rId3314" ref="D3315"/>
    <hyperlink r:id="rId3315" ref="D3316"/>
    <hyperlink r:id="rId3316" ref="D3317"/>
    <hyperlink r:id="rId3317" ref="D3318"/>
    <hyperlink r:id="rId3318" ref="D3319"/>
    <hyperlink r:id="rId3319" ref="D3320"/>
    <hyperlink r:id="rId3320" ref="D3321"/>
    <hyperlink r:id="rId3321" ref="D3322"/>
    <hyperlink r:id="rId3322" ref="D3323"/>
    <hyperlink r:id="rId3323" ref="D3324"/>
    <hyperlink r:id="rId3324" ref="D3325"/>
    <hyperlink r:id="rId3325" ref="D3326"/>
    <hyperlink r:id="rId3326" ref="D3327"/>
    <hyperlink r:id="rId3327" ref="D3328"/>
    <hyperlink r:id="rId3328" ref="D3329"/>
    <hyperlink r:id="rId3329" ref="D3330"/>
    <hyperlink r:id="rId3330" ref="D3331"/>
    <hyperlink r:id="rId3331" ref="D3332"/>
    <hyperlink r:id="rId3332" ref="D3333"/>
    <hyperlink r:id="rId3333" ref="D3334"/>
    <hyperlink r:id="rId3334" ref="D3335"/>
    <hyperlink r:id="rId3335" ref="D3336"/>
    <hyperlink r:id="rId3336" ref="D3337"/>
    <hyperlink r:id="rId3337" ref="D3338"/>
    <hyperlink r:id="rId3338" ref="D3339"/>
    <hyperlink r:id="rId3339" ref="D3340"/>
    <hyperlink r:id="rId3340" ref="D3341"/>
    <hyperlink r:id="rId3341" ref="D3342"/>
    <hyperlink r:id="rId3342" ref="D3343"/>
    <hyperlink r:id="rId3343" ref="D3344"/>
    <hyperlink r:id="rId3344" ref="D3345"/>
    <hyperlink r:id="rId3345" ref="D3346"/>
    <hyperlink r:id="rId3346" ref="D3347"/>
    <hyperlink r:id="rId3347" ref="D3348"/>
    <hyperlink r:id="rId3348" ref="D3349"/>
    <hyperlink r:id="rId3349" ref="D3350"/>
    <hyperlink r:id="rId3350" ref="D3351"/>
    <hyperlink r:id="rId3351" ref="D3352"/>
    <hyperlink r:id="rId3352" ref="D3353"/>
    <hyperlink r:id="rId3353" ref="D3354"/>
    <hyperlink r:id="rId3354" ref="D3355"/>
    <hyperlink r:id="rId3355" ref="D3356"/>
    <hyperlink r:id="rId3356" ref="D3357"/>
    <hyperlink r:id="rId3357" ref="D3358"/>
    <hyperlink r:id="rId3358" ref="D3359"/>
    <hyperlink r:id="rId3359" ref="D3360"/>
    <hyperlink r:id="rId3360" ref="D3361"/>
    <hyperlink r:id="rId3361" ref="D3362"/>
    <hyperlink r:id="rId3362" ref="D3363"/>
    <hyperlink r:id="rId3363" ref="D3364"/>
    <hyperlink r:id="rId3364" ref="D3365"/>
    <hyperlink r:id="rId3365" ref="D3366"/>
    <hyperlink r:id="rId3366" ref="D3367"/>
    <hyperlink r:id="rId3367" ref="D3368"/>
    <hyperlink r:id="rId3368" ref="D3369"/>
    <hyperlink r:id="rId3369" ref="D3370"/>
    <hyperlink r:id="rId3370" ref="D3371"/>
    <hyperlink r:id="rId3371" ref="D3372"/>
    <hyperlink r:id="rId3372" ref="D3373"/>
    <hyperlink r:id="rId3373" ref="D3374"/>
    <hyperlink r:id="rId3374" ref="D3375"/>
    <hyperlink r:id="rId3375" ref="D3376"/>
    <hyperlink r:id="rId3376" ref="D3377"/>
    <hyperlink r:id="rId3377" ref="D3378"/>
    <hyperlink r:id="rId3378" ref="D3379"/>
    <hyperlink r:id="rId3379" ref="D3380"/>
    <hyperlink r:id="rId3380" ref="D3381"/>
    <hyperlink r:id="rId3381" ref="D3382"/>
    <hyperlink r:id="rId3382" ref="D3383"/>
    <hyperlink r:id="rId3383" ref="D3384"/>
    <hyperlink r:id="rId3384" ref="D3385"/>
    <hyperlink r:id="rId3385" ref="D3386"/>
    <hyperlink r:id="rId3386" ref="D3387"/>
    <hyperlink r:id="rId3387" ref="D3388"/>
    <hyperlink r:id="rId3388" ref="D3389"/>
    <hyperlink r:id="rId3389" ref="D3390"/>
    <hyperlink r:id="rId3390" ref="D3391"/>
    <hyperlink r:id="rId3391" ref="D3392"/>
    <hyperlink r:id="rId3392" ref="D3393"/>
    <hyperlink r:id="rId3393" ref="D3394"/>
    <hyperlink r:id="rId3394" ref="D3395"/>
    <hyperlink r:id="rId3395" ref="D3396"/>
    <hyperlink r:id="rId3396" ref="D3397"/>
    <hyperlink r:id="rId3397" ref="D3398"/>
    <hyperlink r:id="rId3398" ref="D3399"/>
    <hyperlink r:id="rId3399" ref="D3400"/>
    <hyperlink r:id="rId3400" ref="D3401"/>
    <hyperlink r:id="rId3401" ref="D3402"/>
    <hyperlink r:id="rId3402" ref="D3403"/>
    <hyperlink r:id="rId3403" ref="D3404"/>
    <hyperlink r:id="rId3404" ref="D3405"/>
    <hyperlink r:id="rId3405" ref="D3406"/>
    <hyperlink r:id="rId3406" ref="D3407"/>
    <hyperlink r:id="rId3407" ref="D3408"/>
    <hyperlink r:id="rId3408" ref="D3409"/>
    <hyperlink r:id="rId3409" ref="D3410"/>
    <hyperlink r:id="rId3410" ref="D3411"/>
    <hyperlink r:id="rId3411" ref="D3412"/>
    <hyperlink r:id="rId3412" ref="D3413"/>
    <hyperlink r:id="rId3413" ref="D3414"/>
    <hyperlink r:id="rId3414" ref="D3415"/>
    <hyperlink r:id="rId3415" ref="D3416"/>
    <hyperlink r:id="rId3416" ref="D3417"/>
    <hyperlink r:id="rId3417" ref="D3418"/>
    <hyperlink r:id="rId3418" ref="D3419"/>
    <hyperlink r:id="rId3419" ref="D3420"/>
    <hyperlink r:id="rId3420" ref="D3421"/>
    <hyperlink r:id="rId3421" ref="D3422"/>
    <hyperlink r:id="rId3422" ref="D3423"/>
    <hyperlink r:id="rId3423" ref="D3424"/>
    <hyperlink r:id="rId3424" ref="D3425"/>
    <hyperlink r:id="rId3425" ref="D3426"/>
    <hyperlink r:id="rId3426" ref="D3427"/>
    <hyperlink r:id="rId3427" ref="D3428"/>
    <hyperlink r:id="rId3428" ref="D3429"/>
    <hyperlink r:id="rId3429" ref="D3430"/>
    <hyperlink r:id="rId3430" ref="D3431"/>
    <hyperlink r:id="rId3431" ref="D3432"/>
    <hyperlink r:id="rId3432" ref="D3433"/>
    <hyperlink r:id="rId3433" ref="D3434"/>
    <hyperlink r:id="rId3434" ref="D3435"/>
    <hyperlink r:id="rId3435" ref="D3436"/>
    <hyperlink r:id="rId3436" ref="D3437"/>
    <hyperlink r:id="rId3437" ref="D3438"/>
    <hyperlink r:id="rId3438" ref="D3439"/>
    <hyperlink r:id="rId3439" ref="D3440"/>
    <hyperlink r:id="rId3440" ref="D3441"/>
    <hyperlink r:id="rId3441" ref="D3442"/>
    <hyperlink r:id="rId3442" ref="D3443"/>
    <hyperlink r:id="rId3443" ref="D3444"/>
    <hyperlink r:id="rId3444" ref="D3445"/>
    <hyperlink r:id="rId3445" ref="D3446"/>
    <hyperlink r:id="rId3446" ref="D3447"/>
    <hyperlink r:id="rId3447" ref="D3448"/>
    <hyperlink r:id="rId3448" ref="D3449"/>
    <hyperlink r:id="rId3449" ref="D3450"/>
    <hyperlink r:id="rId3450" ref="D3451"/>
    <hyperlink r:id="rId3451" ref="D3452"/>
    <hyperlink r:id="rId3452" ref="D3453"/>
    <hyperlink r:id="rId3453" ref="D3454"/>
    <hyperlink r:id="rId3454" ref="D3455"/>
    <hyperlink r:id="rId3455" ref="D3456"/>
    <hyperlink r:id="rId3456" ref="D3457"/>
    <hyperlink r:id="rId3457" ref="D3458"/>
    <hyperlink r:id="rId3458" ref="D3459"/>
    <hyperlink r:id="rId3459" ref="D3460"/>
    <hyperlink r:id="rId3460" ref="D3461"/>
    <hyperlink r:id="rId3461" ref="D3462"/>
    <hyperlink r:id="rId3462" ref="D3463"/>
    <hyperlink r:id="rId3463" ref="D3464"/>
    <hyperlink r:id="rId3464" ref="D3465"/>
    <hyperlink r:id="rId3465" ref="D3466"/>
    <hyperlink r:id="rId3466" ref="D3467"/>
    <hyperlink r:id="rId3467" ref="D3468"/>
    <hyperlink r:id="rId3468" ref="D3469"/>
    <hyperlink r:id="rId3469" ref="D3470"/>
    <hyperlink r:id="rId3470" ref="D3471"/>
    <hyperlink r:id="rId3471" ref="D3472"/>
    <hyperlink r:id="rId3472" ref="D3473"/>
    <hyperlink r:id="rId3473" ref="D3474"/>
    <hyperlink r:id="rId3474" ref="D3475"/>
    <hyperlink r:id="rId3475" ref="D3476"/>
    <hyperlink r:id="rId3476" ref="D3477"/>
    <hyperlink r:id="rId3477" ref="D3478"/>
    <hyperlink r:id="rId3478" ref="D3479"/>
    <hyperlink r:id="rId3479" ref="D3480"/>
    <hyperlink r:id="rId3480" ref="D3481"/>
    <hyperlink r:id="rId3481" ref="D3482"/>
    <hyperlink r:id="rId3482" ref="D3483"/>
    <hyperlink r:id="rId3483" ref="D3484"/>
    <hyperlink r:id="rId3484" ref="D3485"/>
    <hyperlink r:id="rId3485" ref="D3486"/>
    <hyperlink r:id="rId3486" ref="D3487"/>
    <hyperlink r:id="rId3487" ref="D3488"/>
    <hyperlink r:id="rId3488" ref="D3489"/>
    <hyperlink r:id="rId3489" ref="D3490"/>
    <hyperlink r:id="rId3490" ref="D3491"/>
    <hyperlink r:id="rId3491" ref="D3492"/>
    <hyperlink r:id="rId3492" ref="D3493"/>
    <hyperlink r:id="rId3493" ref="D3494"/>
    <hyperlink r:id="rId3494" ref="D3495"/>
    <hyperlink r:id="rId3495" ref="D3496"/>
    <hyperlink r:id="rId3496" ref="D3497"/>
    <hyperlink r:id="rId3497" ref="D3498"/>
    <hyperlink r:id="rId3498" ref="D3499"/>
    <hyperlink r:id="rId3499" ref="D3500"/>
    <hyperlink r:id="rId3500" ref="D3501"/>
    <hyperlink r:id="rId3501" ref="D3502"/>
    <hyperlink r:id="rId3502" ref="D3503"/>
    <hyperlink r:id="rId3503" ref="D3504"/>
    <hyperlink r:id="rId3504" ref="D3505"/>
    <hyperlink r:id="rId3505" ref="D3506"/>
    <hyperlink r:id="rId3506" ref="D3507"/>
    <hyperlink r:id="rId3507" ref="D3508"/>
    <hyperlink r:id="rId3508" ref="D3509"/>
    <hyperlink r:id="rId3509" ref="D3510"/>
    <hyperlink r:id="rId3510" ref="D3511"/>
    <hyperlink r:id="rId3511" ref="D3512"/>
    <hyperlink r:id="rId3512" ref="D3513"/>
    <hyperlink r:id="rId3513" ref="D3514"/>
    <hyperlink r:id="rId3514" ref="D3515"/>
    <hyperlink r:id="rId3515" ref="D3516"/>
    <hyperlink r:id="rId3516" ref="D3517"/>
    <hyperlink r:id="rId3517" ref="D3518"/>
    <hyperlink r:id="rId3518" ref="D3519"/>
    <hyperlink r:id="rId3519" ref="D3520"/>
    <hyperlink r:id="rId3520" ref="D3521"/>
    <hyperlink r:id="rId3521" ref="D3522"/>
    <hyperlink r:id="rId3522" ref="D3523"/>
    <hyperlink r:id="rId3523" ref="D3524"/>
    <hyperlink r:id="rId3524" ref="D3525"/>
    <hyperlink r:id="rId3525" ref="D3526"/>
    <hyperlink r:id="rId3526" ref="D3527"/>
    <hyperlink r:id="rId3527" ref="D3528"/>
    <hyperlink r:id="rId3528" ref="D3529"/>
    <hyperlink r:id="rId3529" ref="D3530"/>
    <hyperlink r:id="rId3530" ref="D3531"/>
    <hyperlink r:id="rId3531" ref="D3532"/>
    <hyperlink r:id="rId3532" ref="D3533"/>
    <hyperlink r:id="rId3533" ref="D3534"/>
    <hyperlink r:id="rId3534" ref="D3535"/>
    <hyperlink r:id="rId3535" ref="D3536"/>
    <hyperlink r:id="rId3536" ref="D3537"/>
    <hyperlink r:id="rId3537" ref="D3538"/>
    <hyperlink r:id="rId3538" ref="D3539"/>
    <hyperlink r:id="rId3539" ref="D3540"/>
    <hyperlink r:id="rId3540" ref="D3541"/>
    <hyperlink r:id="rId3541" ref="D3542"/>
    <hyperlink r:id="rId3542" ref="D3543"/>
    <hyperlink r:id="rId3543" ref="D3544"/>
    <hyperlink r:id="rId3544" ref="D3545"/>
    <hyperlink r:id="rId3545" ref="D3546"/>
    <hyperlink r:id="rId3546" ref="D3547"/>
    <hyperlink r:id="rId3547" ref="D3548"/>
    <hyperlink r:id="rId3548" ref="D3549"/>
    <hyperlink r:id="rId3549" ref="D3550"/>
    <hyperlink r:id="rId3550" ref="D3551"/>
    <hyperlink r:id="rId3551" ref="D3552"/>
    <hyperlink r:id="rId3552" ref="D3553"/>
    <hyperlink r:id="rId3553" ref="D3554"/>
    <hyperlink r:id="rId3554" ref="D3555"/>
    <hyperlink r:id="rId3555" ref="D3556"/>
    <hyperlink r:id="rId3556" ref="D3557"/>
    <hyperlink r:id="rId3557" ref="D3558"/>
    <hyperlink r:id="rId3558" ref="D3559"/>
    <hyperlink r:id="rId3559" ref="D3560"/>
    <hyperlink r:id="rId3560" ref="D3561"/>
    <hyperlink r:id="rId3561" ref="D3562"/>
    <hyperlink r:id="rId3562" ref="D3563"/>
    <hyperlink r:id="rId3563" ref="D3564"/>
    <hyperlink r:id="rId3564" ref="D3565"/>
    <hyperlink r:id="rId3565" ref="D3566"/>
    <hyperlink r:id="rId3566" ref="D3567"/>
    <hyperlink r:id="rId3567" ref="D3568"/>
    <hyperlink r:id="rId3568" ref="D3569"/>
    <hyperlink r:id="rId3569" ref="D3570"/>
    <hyperlink r:id="rId3570" ref="D3571"/>
    <hyperlink r:id="rId3571" ref="D3572"/>
    <hyperlink r:id="rId3572" ref="D3573"/>
    <hyperlink r:id="rId3573" ref="D3574"/>
    <hyperlink r:id="rId3574" ref="D3575"/>
    <hyperlink r:id="rId3575" ref="D3576"/>
    <hyperlink r:id="rId3576" ref="D3577"/>
    <hyperlink r:id="rId3577" ref="D3578"/>
    <hyperlink r:id="rId3578" ref="D3579"/>
    <hyperlink r:id="rId3579" ref="D3580"/>
    <hyperlink r:id="rId3580" ref="D3581"/>
    <hyperlink r:id="rId3581" ref="D3582"/>
    <hyperlink r:id="rId3582" ref="D3583"/>
    <hyperlink r:id="rId3583" ref="D3584"/>
    <hyperlink r:id="rId3584" ref="D3585"/>
    <hyperlink r:id="rId3585" ref="D3586"/>
    <hyperlink r:id="rId3586" ref="D3587"/>
    <hyperlink r:id="rId3587" ref="D3588"/>
    <hyperlink r:id="rId3588" ref="D3589"/>
    <hyperlink r:id="rId3589" ref="D3590"/>
    <hyperlink r:id="rId3590" ref="D3591"/>
    <hyperlink r:id="rId3591" ref="D3592"/>
    <hyperlink r:id="rId3592" ref="D3593"/>
    <hyperlink r:id="rId3593" ref="D3594"/>
    <hyperlink r:id="rId3594" ref="D3595"/>
    <hyperlink r:id="rId3595" ref="D3596"/>
    <hyperlink r:id="rId3596" ref="D3597"/>
    <hyperlink r:id="rId3597" ref="D3598"/>
    <hyperlink r:id="rId3598" ref="D3599"/>
    <hyperlink r:id="rId3599" ref="D3600"/>
    <hyperlink r:id="rId3600" ref="D3601"/>
    <hyperlink r:id="rId3601" ref="D3602"/>
    <hyperlink r:id="rId3602" ref="D3603"/>
    <hyperlink r:id="rId3603" ref="D3604"/>
    <hyperlink r:id="rId3604" ref="D3605"/>
    <hyperlink r:id="rId3605" ref="D3606"/>
    <hyperlink r:id="rId3606" ref="D3607"/>
    <hyperlink r:id="rId3607" ref="D3608"/>
    <hyperlink r:id="rId3608" ref="D3609"/>
    <hyperlink r:id="rId3609" ref="D3610"/>
    <hyperlink r:id="rId3610" ref="D3611"/>
    <hyperlink r:id="rId3611" ref="D3612"/>
    <hyperlink r:id="rId3612" ref="D3613"/>
    <hyperlink r:id="rId3613" ref="D3614"/>
    <hyperlink r:id="rId3614" ref="D3615"/>
    <hyperlink r:id="rId3615" ref="D3616"/>
    <hyperlink r:id="rId3616" ref="D3617"/>
    <hyperlink r:id="rId3617" ref="D3618"/>
    <hyperlink r:id="rId3618" ref="D3619"/>
    <hyperlink r:id="rId3619" ref="D3620"/>
    <hyperlink r:id="rId3620" ref="D3621"/>
    <hyperlink r:id="rId3621" ref="D3622"/>
    <hyperlink r:id="rId3622" ref="D3623"/>
    <hyperlink r:id="rId3623" ref="D3624"/>
    <hyperlink r:id="rId3624" ref="D3625"/>
    <hyperlink r:id="rId3625" ref="D3626"/>
    <hyperlink r:id="rId3626" ref="D3627"/>
    <hyperlink r:id="rId3627" ref="D3628"/>
    <hyperlink r:id="rId3628" ref="D3629"/>
    <hyperlink r:id="rId3629" ref="D3630"/>
    <hyperlink r:id="rId3630" ref="D3631"/>
    <hyperlink r:id="rId3631" ref="D3632"/>
    <hyperlink r:id="rId3632" ref="D3633"/>
    <hyperlink r:id="rId3633" ref="D3634"/>
    <hyperlink r:id="rId3634" ref="D3635"/>
    <hyperlink r:id="rId3635" ref="D3636"/>
    <hyperlink r:id="rId3636" ref="D3637"/>
    <hyperlink r:id="rId3637" ref="D3638"/>
    <hyperlink r:id="rId3638" ref="D3639"/>
    <hyperlink r:id="rId3639" ref="D3640"/>
    <hyperlink r:id="rId3640" ref="D3641"/>
    <hyperlink r:id="rId3641" ref="D3642"/>
    <hyperlink r:id="rId3642" ref="D3643"/>
    <hyperlink r:id="rId3643" ref="D3644"/>
    <hyperlink r:id="rId3644" ref="D3645"/>
    <hyperlink r:id="rId3645" ref="D3646"/>
    <hyperlink r:id="rId3646" ref="D3647"/>
    <hyperlink r:id="rId3647" ref="D3648"/>
    <hyperlink r:id="rId3648" ref="D3649"/>
    <hyperlink r:id="rId3649" ref="D3650"/>
    <hyperlink r:id="rId3650" ref="D3651"/>
    <hyperlink r:id="rId3651" ref="D3652"/>
    <hyperlink r:id="rId3652" ref="D3653"/>
    <hyperlink r:id="rId3653" ref="D3654"/>
    <hyperlink r:id="rId3654" ref="D3655"/>
    <hyperlink r:id="rId3655" ref="D3656"/>
    <hyperlink r:id="rId3656" ref="D3657"/>
    <hyperlink r:id="rId3657" ref="D3658"/>
    <hyperlink r:id="rId3658" ref="D3659"/>
    <hyperlink r:id="rId3659" ref="D3660"/>
    <hyperlink r:id="rId3660" ref="D3661"/>
    <hyperlink r:id="rId3661" ref="D3662"/>
    <hyperlink r:id="rId3662" ref="D3663"/>
    <hyperlink r:id="rId3663" ref="D3664"/>
    <hyperlink r:id="rId3664" ref="D3665"/>
    <hyperlink r:id="rId3665" ref="D3666"/>
    <hyperlink r:id="rId3666" ref="D3667"/>
    <hyperlink r:id="rId3667" ref="D3668"/>
    <hyperlink r:id="rId3668" ref="D3669"/>
    <hyperlink r:id="rId3669" ref="D3670"/>
    <hyperlink r:id="rId3670" ref="D3671"/>
    <hyperlink r:id="rId3671" ref="D3672"/>
    <hyperlink r:id="rId3672" ref="D3673"/>
    <hyperlink r:id="rId3673" ref="D3674"/>
    <hyperlink r:id="rId3674" ref="D3675"/>
    <hyperlink r:id="rId3675" ref="D3676"/>
    <hyperlink r:id="rId3676" ref="D3677"/>
    <hyperlink r:id="rId3677" ref="D3678"/>
    <hyperlink r:id="rId3678" ref="D3679"/>
    <hyperlink r:id="rId3679" ref="D3680"/>
    <hyperlink r:id="rId3680" ref="D3681"/>
    <hyperlink r:id="rId3681" ref="D3682"/>
    <hyperlink r:id="rId3682" ref="D3683"/>
    <hyperlink r:id="rId3683" ref="D3684"/>
    <hyperlink r:id="rId3684" ref="D3685"/>
    <hyperlink r:id="rId3685" ref="D3686"/>
    <hyperlink r:id="rId3686" ref="D3687"/>
    <hyperlink r:id="rId3687" ref="D3688"/>
    <hyperlink r:id="rId3688" ref="D3689"/>
    <hyperlink r:id="rId3689" ref="D3690"/>
    <hyperlink r:id="rId3690" ref="D3691"/>
    <hyperlink r:id="rId3691" ref="D3692"/>
    <hyperlink r:id="rId3692" ref="D3693"/>
    <hyperlink r:id="rId3693" ref="D3694"/>
    <hyperlink r:id="rId3694" ref="D3695"/>
    <hyperlink r:id="rId3695" ref="D3696"/>
    <hyperlink r:id="rId3696" ref="D3697"/>
    <hyperlink r:id="rId3697" ref="D3698"/>
    <hyperlink r:id="rId3698" ref="D3699"/>
    <hyperlink r:id="rId3699" ref="D3700"/>
    <hyperlink r:id="rId3700" ref="D3701"/>
    <hyperlink r:id="rId3701" ref="D3702"/>
    <hyperlink r:id="rId3702" ref="D3703"/>
    <hyperlink r:id="rId3703" ref="D3704"/>
    <hyperlink r:id="rId3704" ref="D3705"/>
    <hyperlink r:id="rId3705" ref="D3706"/>
    <hyperlink r:id="rId3706" ref="D3707"/>
    <hyperlink r:id="rId3707" ref="D3708"/>
    <hyperlink r:id="rId3708" ref="D3709"/>
    <hyperlink r:id="rId3709" ref="D3710"/>
    <hyperlink r:id="rId3710" ref="D3711"/>
    <hyperlink r:id="rId3711" ref="D3712"/>
    <hyperlink r:id="rId3712" ref="D3713"/>
  </hyperlinks>
  <drawing r:id="rId371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92.88"/>
  </cols>
  <sheetData>
    <row r="1">
      <c r="A1" s="11" t="s">
        <v>5893</v>
      </c>
      <c r="B1" s="12" t="s">
        <v>2</v>
      </c>
      <c r="C1" s="11" t="s">
        <v>5894</v>
      </c>
      <c r="D1" s="13" t="s">
        <v>3</v>
      </c>
    </row>
    <row r="2">
      <c r="A2" s="14" t="s">
        <v>5895</v>
      </c>
      <c r="B2" s="15" t="s">
        <v>5896</v>
      </c>
      <c r="C2" s="16">
        <v>24157.0</v>
      </c>
      <c r="D2" s="17" t="s">
        <v>5897</v>
      </c>
    </row>
    <row r="3">
      <c r="A3" s="14" t="s">
        <v>5895</v>
      </c>
      <c r="B3" s="15" t="s">
        <v>5898</v>
      </c>
      <c r="C3" s="16">
        <v>24157.0</v>
      </c>
      <c r="D3" s="17" t="s">
        <v>5899</v>
      </c>
    </row>
    <row r="4">
      <c r="A4" s="14" t="s">
        <v>5895</v>
      </c>
      <c r="B4" s="15" t="s">
        <v>5900</v>
      </c>
      <c r="C4" s="16">
        <v>24157.0</v>
      </c>
      <c r="D4" s="17" t="s">
        <v>5901</v>
      </c>
    </row>
    <row r="5">
      <c r="A5" s="14">
        <v>19.0</v>
      </c>
      <c r="B5" s="15" t="s">
        <v>5902</v>
      </c>
      <c r="C5" s="16">
        <v>24157.0</v>
      </c>
      <c r="D5" s="17" t="s">
        <v>5903</v>
      </c>
    </row>
    <row r="6">
      <c r="A6" s="14">
        <v>19.0</v>
      </c>
      <c r="B6" s="15" t="s">
        <v>5904</v>
      </c>
      <c r="C6" s="16">
        <v>24157.0</v>
      </c>
      <c r="D6" s="17" t="s">
        <v>5905</v>
      </c>
    </row>
    <row r="7">
      <c r="A7" s="14">
        <v>19.0</v>
      </c>
      <c r="B7" s="15" t="s">
        <v>5906</v>
      </c>
      <c r="C7" s="16">
        <v>24157.0</v>
      </c>
      <c r="D7" s="17" t="s">
        <v>5907</v>
      </c>
    </row>
    <row r="8">
      <c r="A8" s="14" t="s">
        <v>5908</v>
      </c>
      <c r="B8" s="15" t="s">
        <v>5909</v>
      </c>
      <c r="C8" s="16">
        <v>24168.0</v>
      </c>
      <c r="D8" s="17" t="s">
        <v>5910</v>
      </c>
    </row>
    <row r="9">
      <c r="A9" s="14">
        <v>2.0</v>
      </c>
      <c r="B9" s="15" t="s">
        <v>5911</v>
      </c>
      <c r="C9" s="16">
        <v>24168.0</v>
      </c>
      <c r="D9" s="17" t="s">
        <v>5912</v>
      </c>
    </row>
    <row r="10">
      <c r="A10" s="14">
        <v>2.0</v>
      </c>
      <c r="B10" s="15" t="s">
        <v>5913</v>
      </c>
      <c r="C10" s="16">
        <v>24168.0</v>
      </c>
      <c r="D10" s="17" t="s">
        <v>5914</v>
      </c>
    </row>
    <row r="11">
      <c r="A11" s="14">
        <v>2.0</v>
      </c>
      <c r="B11" s="15" t="s">
        <v>5915</v>
      </c>
      <c r="C11" s="16">
        <v>24168.0</v>
      </c>
      <c r="D11" s="17" t="s">
        <v>5916</v>
      </c>
    </row>
    <row r="12">
      <c r="A12" s="14" t="s">
        <v>5908</v>
      </c>
      <c r="B12" s="15" t="s">
        <v>5917</v>
      </c>
      <c r="C12" s="16">
        <v>24170.0</v>
      </c>
      <c r="D12" s="17" t="s">
        <v>5918</v>
      </c>
    </row>
    <row r="13">
      <c r="A13" s="14">
        <v>4.0</v>
      </c>
      <c r="B13" s="15" t="s">
        <v>5919</v>
      </c>
      <c r="C13" s="16">
        <v>24170.0</v>
      </c>
      <c r="D13" s="17" t="s">
        <v>5920</v>
      </c>
    </row>
    <row r="14">
      <c r="A14" s="14" t="s">
        <v>5908</v>
      </c>
      <c r="B14" s="15" t="s">
        <v>5921</v>
      </c>
      <c r="C14" s="16">
        <v>24175.0</v>
      </c>
      <c r="D14" s="17" t="s">
        <v>5922</v>
      </c>
    </row>
    <row r="15">
      <c r="A15" s="14">
        <v>9.0</v>
      </c>
      <c r="B15" s="15" t="s">
        <v>5923</v>
      </c>
      <c r="C15" s="16">
        <v>24175.0</v>
      </c>
      <c r="D15" s="17" t="s">
        <v>5924</v>
      </c>
    </row>
    <row r="16">
      <c r="A16" s="14" t="s">
        <v>5908</v>
      </c>
      <c r="B16" s="15" t="s">
        <v>5925</v>
      </c>
      <c r="C16" s="16">
        <v>24177.0</v>
      </c>
      <c r="D16" s="17" t="s">
        <v>5926</v>
      </c>
    </row>
    <row r="17">
      <c r="A17" s="14">
        <v>11.0</v>
      </c>
      <c r="B17" s="15" t="s">
        <v>5927</v>
      </c>
      <c r="C17" s="16">
        <v>24177.0</v>
      </c>
      <c r="D17" s="17" t="s">
        <v>5928</v>
      </c>
    </row>
    <row r="18">
      <c r="A18" s="14" t="s">
        <v>5929</v>
      </c>
      <c r="B18" s="15" t="s">
        <v>5930</v>
      </c>
      <c r="C18" s="16">
        <v>24177.0</v>
      </c>
      <c r="D18" s="17" t="s">
        <v>5931</v>
      </c>
    </row>
    <row r="19">
      <c r="A19" s="14" t="s">
        <v>5932</v>
      </c>
      <c r="B19" s="15" t="s">
        <v>5933</v>
      </c>
      <c r="C19" s="16">
        <v>24191.0</v>
      </c>
      <c r="D19" s="17" t="s">
        <v>5934</v>
      </c>
    </row>
    <row r="20">
      <c r="A20" s="14">
        <v>25.0</v>
      </c>
      <c r="B20" s="15" t="s">
        <v>5935</v>
      </c>
      <c r="C20" s="16">
        <v>24191.0</v>
      </c>
      <c r="D20" s="17" t="s">
        <v>5936</v>
      </c>
    </row>
    <row r="21">
      <c r="A21" s="14" t="s">
        <v>5908</v>
      </c>
      <c r="B21" s="15" t="s">
        <v>5937</v>
      </c>
      <c r="C21" s="16">
        <v>24194.0</v>
      </c>
      <c r="D21" s="17" t="s">
        <v>5938</v>
      </c>
    </row>
    <row r="22">
      <c r="A22" s="14">
        <v>28.0</v>
      </c>
      <c r="B22" s="15" t="s">
        <v>5939</v>
      </c>
      <c r="C22" s="16">
        <v>24194.0</v>
      </c>
      <c r="D22" s="17" t="s">
        <v>5940</v>
      </c>
    </row>
    <row r="23">
      <c r="A23" s="14" t="s">
        <v>5908</v>
      </c>
      <c r="B23" s="15" t="s">
        <v>5941</v>
      </c>
      <c r="C23" s="16">
        <v>24198.0</v>
      </c>
      <c r="D23" s="17" t="s">
        <v>5942</v>
      </c>
    </row>
    <row r="24">
      <c r="A24" s="14">
        <v>1.0</v>
      </c>
      <c r="B24" s="15" t="s">
        <v>5943</v>
      </c>
      <c r="C24" s="16">
        <v>24198.0</v>
      </c>
      <c r="D24" s="17" t="s">
        <v>5944</v>
      </c>
    </row>
    <row r="25">
      <c r="A25" s="14" t="s">
        <v>5908</v>
      </c>
      <c r="B25" s="15" t="s">
        <v>5945</v>
      </c>
      <c r="C25" s="16">
        <v>24202.0</v>
      </c>
      <c r="D25" s="17" t="s">
        <v>5946</v>
      </c>
    </row>
    <row r="26">
      <c r="A26" s="14">
        <v>5.0</v>
      </c>
      <c r="B26" s="15" t="s">
        <v>5947</v>
      </c>
      <c r="C26" s="16">
        <v>24202.0</v>
      </c>
      <c r="D26" s="17" t="s">
        <v>5948</v>
      </c>
    </row>
    <row r="27">
      <c r="A27" s="14" t="s">
        <v>5908</v>
      </c>
      <c r="B27" s="15" t="s">
        <v>5949</v>
      </c>
      <c r="C27" s="16">
        <v>24209.0</v>
      </c>
      <c r="D27" s="17" t="s">
        <v>5950</v>
      </c>
    </row>
    <row r="28">
      <c r="A28" s="14">
        <v>12.0</v>
      </c>
      <c r="B28" s="15" t="s">
        <v>5951</v>
      </c>
      <c r="C28" s="16">
        <v>24209.0</v>
      </c>
      <c r="D28" s="17" t="s">
        <v>5952</v>
      </c>
    </row>
    <row r="29">
      <c r="A29" s="14" t="s">
        <v>5908</v>
      </c>
      <c r="B29" s="15" t="s">
        <v>5953</v>
      </c>
      <c r="C29" s="16">
        <v>24212.0</v>
      </c>
      <c r="D29" s="17" t="s">
        <v>5954</v>
      </c>
    </row>
    <row r="30">
      <c r="A30" s="14">
        <v>15.0</v>
      </c>
      <c r="B30" s="15" t="s">
        <v>5955</v>
      </c>
      <c r="C30" s="16">
        <v>24212.0</v>
      </c>
      <c r="D30" s="17" t="s">
        <v>5956</v>
      </c>
    </row>
    <row r="31">
      <c r="A31" s="14" t="s">
        <v>5908</v>
      </c>
      <c r="B31" s="15" t="s">
        <v>5957</v>
      </c>
      <c r="C31" s="16">
        <v>24216.0</v>
      </c>
      <c r="D31" s="17" t="s">
        <v>5958</v>
      </c>
    </row>
    <row r="32">
      <c r="A32" s="14">
        <v>19.0</v>
      </c>
      <c r="B32" s="15" t="s">
        <v>5959</v>
      </c>
      <c r="C32" s="16">
        <v>24216.0</v>
      </c>
      <c r="D32" s="17" t="s">
        <v>5960</v>
      </c>
    </row>
    <row r="33">
      <c r="A33" s="14" t="s">
        <v>5908</v>
      </c>
      <c r="B33" s="15" t="s">
        <v>5961</v>
      </c>
      <c r="C33" s="16">
        <v>24224.0</v>
      </c>
      <c r="D33" s="17" t="s">
        <v>5962</v>
      </c>
    </row>
    <row r="34">
      <c r="A34" s="14">
        <v>27.0</v>
      </c>
      <c r="B34" s="15" t="s">
        <v>5963</v>
      </c>
      <c r="C34" s="16">
        <v>24224.0</v>
      </c>
      <c r="D34" s="17" t="s">
        <v>5964</v>
      </c>
    </row>
    <row r="35">
      <c r="A35" s="14" t="s">
        <v>5965</v>
      </c>
      <c r="B35" s="15" t="s">
        <v>5966</v>
      </c>
      <c r="C35" s="16">
        <v>24247.0</v>
      </c>
      <c r="D35" s="17" t="s">
        <v>5967</v>
      </c>
    </row>
    <row r="36">
      <c r="A36" s="14">
        <v>20.0</v>
      </c>
      <c r="B36" s="15" t="s">
        <v>5968</v>
      </c>
      <c r="C36" s="16">
        <v>24247.0</v>
      </c>
      <c r="D36" s="17" t="s">
        <v>5969</v>
      </c>
    </row>
    <row r="37">
      <c r="A37" s="14" t="s">
        <v>5965</v>
      </c>
      <c r="B37" s="15" t="s">
        <v>5970</v>
      </c>
      <c r="C37" s="16">
        <v>24250.0</v>
      </c>
      <c r="D37" s="17" t="s">
        <v>5971</v>
      </c>
    </row>
    <row r="38">
      <c r="A38" s="14">
        <v>23.0</v>
      </c>
      <c r="B38" s="15" t="s">
        <v>5972</v>
      </c>
      <c r="C38" s="16">
        <v>24250.0</v>
      </c>
      <c r="D38" s="17" t="s">
        <v>5973</v>
      </c>
    </row>
    <row r="39">
      <c r="A39" s="14" t="s">
        <v>5965</v>
      </c>
      <c r="B39" s="15" t="s">
        <v>5974</v>
      </c>
      <c r="C39" s="16">
        <v>24252.0</v>
      </c>
      <c r="D39" s="17" t="s">
        <v>5975</v>
      </c>
    </row>
    <row r="40">
      <c r="A40" s="14">
        <v>25.0</v>
      </c>
      <c r="B40" s="15" t="s">
        <v>5976</v>
      </c>
      <c r="C40" s="16">
        <v>24252.0</v>
      </c>
      <c r="D40" s="17" t="s">
        <v>5977</v>
      </c>
    </row>
    <row r="41">
      <c r="A41" s="14" t="s">
        <v>5965</v>
      </c>
      <c r="B41" s="15" t="s">
        <v>5978</v>
      </c>
      <c r="C41" s="16">
        <v>24254.0</v>
      </c>
      <c r="D41" s="17" t="s">
        <v>5979</v>
      </c>
    </row>
    <row r="42">
      <c r="A42" s="14">
        <v>27.0</v>
      </c>
      <c r="B42" s="15" t="s">
        <v>5980</v>
      </c>
      <c r="C42" s="16">
        <v>24254.0</v>
      </c>
      <c r="D42" s="17" t="s">
        <v>5981</v>
      </c>
    </row>
    <row r="43">
      <c r="A43" s="14" t="s">
        <v>5965</v>
      </c>
      <c r="B43" s="15" t="s">
        <v>5982</v>
      </c>
      <c r="C43" s="16">
        <v>24257.0</v>
      </c>
      <c r="D43" s="17" t="s">
        <v>5983</v>
      </c>
    </row>
    <row r="44">
      <c r="A44" s="14">
        <v>30.0</v>
      </c>
      <c r="B44" s="15" t="s">
        <v>5984</v>
      </c>
      <c r="C44" s="16">
        <v>24257.0</v>
      </c>
      <c r="D44" s="17" t="s">
        <v>5985</v>
      </c>
    </row>
    <row r="45">
      <c r="A45" s="14" t="s">
        <v>5986</v>
      </c>
      <c r="B45" s="15" t="s">
        <v>5987</v>
      </c>
      <c r="C45" s="16">
        <v>24306.0</v>
      </c>
      <c r="D45" s="17" t="s">
        <v>5988</v>
      </c>
    </row>
    <row r="46">
      <c r="A46" s="14">
        <v>18.0</v>
      </c>
      <c r="B46" s="15" t="s">
        <v>5989</v>
      </c>
      <c r="C46" s="16">
        <v>24306.0</v>
      </c>
      <c r="D46" s="17" t="s">
        <v>5990</v>
      </c>
    </row>
    <row r="47">
      <c r="A47" s="14" t="s">
        <v>5986</v>
      </c>
      <c r="B47" s="15" t="s">
        <v>5991</v>
      </c>
      <c r="C47" s="16">
        <v>24308.0</v>
      </c>
      <c r="D47" s="17" t="s">
        <v>5992</v>
      </c>
    </row>
    <row r="48">
      <c r="A48" s="14">
        <v>20.0</v>
      </c>
      <c r="B48" s="15" t="s">
        <v>5993</v>
      </c>
      <c r="C48" s="16">
        <v>24308.0</v>
      </c>
      <c r="D48" s="17" t="s">
        <v>5994</v>
      </c>
    </row>
    <row r="49">
      <c r="A49" s="14" t="s">
        <v>5986</v>
      </c>
      <c r="B49" s="15" t="s">
        <v>5995</v>
      </c>
      <c r="C49" s="16">
        <v>24313.0</v>
      </c>
      <c r="D49" s="17" t="s">
        <v>5996</v>
      </c>
    </row>
    <row r="50">
      <c r="A50" s="14">
        <v>25.0</v>
      </c>
      <c r="B50" s="15" t="s">
        <v>5997</v>
      </c>
      <c r="C50" s="16">
        <v>24313.0</v>
      </c>
      <c r="D50" s="17" t="s">
        <v>5998</v>
      </c>
    </row>
    <row r="51">
      <c r="A51" s="14" t="s">
        <v>5986</v>
      </c>
      <c r="B51" s="15" t="s">
        <v>5999</v>
      </c>
      <c r="C51" s="16">
        <v>24316.0</v>
      </c>
      <c r="D51" s="17" t="s">
        <v>6000</v>
      </c>
    </row>
    <row r="52">
      <c r="A52" s="14">
        <v>28.0</v>
      </c>
      <c r="B52" s="15" t="s">
        <v>6001</v>
      </c>
      <c r="C52" s="16">
        <v>24316.0</v>
      </c>
      <c r="D52" s="17" t="s">
        <v>6002</v>
      </c>
    </row>
    <row r="53">
      <c r="A53" s="14" t="s">
        <v>5986</v>
      </c>
      <c r="B53" s="15" t="s">
        <v>6003</v>
      </c>
      <c r="C53" s="16">
        <v>24318.0</v>
      </c>
      <c r="D53" s="17" t="s">
        <v>6004</v>
      </c>
    </row>
    <row r="54">
      <c r="A54" s="14">
        <v>30.0</v>
      </c>
      <c r="B54" s="15" t="s">
        <v>6005</v>
      </c>
      <c r="C54" s="16">
        <v>24318.0</v>
      </c>
      <c r="D54" s="17" t="s">
        <v>6006</v>
      </c>
    </row>
    <row r="55">
      <c r="A55" s="14" t="s">
        <v>5986</v>
      </c>
      <c r="B55" s="15" t="s">
        <v>6007</v>
      </c>
      <c r="C55" s="16">
        <v>24320.0</v>
      </c>
      <c r="D55" s="17" t="s">
        <v>6008</v>
      </c>
    </row>
    <row r="56">
      <c r="A56" s="14">
        <v>1.0</v>
      </c>
      <c r="B56" s="15" t="s">
        <v>6009</v>
      </c>
      <c r="C56" s="16">
        <v>24320.0</v>
      </c>
      <c r="D56" s="17" t="s">
        <v>6010</v>
      </c>
    </row>
    <row r="57">
      <c r="A57" s="14" t="s">
        <v>5986</v>
      </c>
      <c r="B57" s="15" t="s">
        <v>6011</v>
      </c>
      <c r="C57" s="16">
        <v>24322.0</v>
      </c>
      <c r="D57" s="17" t="s">
        <v>6012</v>
      </c>
    </row>
    <row r="58">
      <c r="A58" s="14">
        <v>3.0</v>
      </c>
      <c r="B58" s="15" t="s">
        <v>6013</v>
      </c>
      <c r="C58" s="16">
        <v>24322.0</v>
      </c>
      <c r="D58" s="17" t="s">
        <v>6014</v>
      </c>
    </row>
    <row r="59">
      <c r="A59" s="14" t="s">
        <v>5986</v>
      </c>
      <c r="B59" s="15" t="s">
        <v>6015</v>
      </c>
      <c r="C59" s="16">
        <v>24327.0</v>
      </c>
      <c r="D59" s="17" t="s">
        <v>6016</v>
      </c>
    </row>
    <row r="60">
      <c r="A60" s="14" t="s">
        <v>5986</v>
      </c>
      <c r="B60" s="15" t="s">
        <v>6017</v>
      </c>
      <c r="C60" s="16">
        <v>24327.0</v>
      </c>
      <c r="D60" s="17" t="s">
        <v>6018</v>
      </c>
    </row>
    <row r="61">
      <c r="A61" s="14">
        <v>8.0</v>
      </c>
      <c r="B61" s="15" t="s">
        <v>6019</v>
      </c>
      <c r="C61" s="16">
        <v>24327.0</v>
      </c>
      <c r="D61" s="17" t="s">
        <v>6020</v>
      </c>
    </row>
    <row r="62">
      <c r="A62" s="14" t="s">
        <v>5986</v>
      </c>
      <c r="B62" s="15" t="s">
        <v>6021</v>
      </c>
      <c r="C62" s="16">
        <v>24328.0</v>
      </c>
      <c r="D62" s="17" t="s">
        <v>6022</v>
      </c>
    </row>
    <row r="63">
      <c r="A63" s="14">
        <v>9.0</v>
      </c>
      <c r="B63" s="15" t="s">
        <v>6023</v>
      </c>
      <c r="C63" s="16">
        <v>24328.0</v>
      </c>
      <c r="D63" s="17" t="s">
        <v>6024</v>
      </c>
    </row>
    <row r="64">
      <c r="A64" s="14" t="s">
        <v>5986</v>
      </c>
      <c r="B64" s="15" t="s">
        <v>6025</v>
      </c>
      <c r="C64" s="16">
        <v>24331.0</v>
      </c>
      <c r="D64" s="17" t="s">
        <v>6026</v>
      </c>
    </row>
    <row r="65">
      <c r="A65" s="14">
        <v>12.0</v>
      </c>
      <c r="B65" s="15" t="s">
        <v>6027</v>
      </c>
      <c r="C65" s="16">
        <v>24331.0</v>
      </c>
      <c r="D65" s="17" t="s">
        <v>6028</v>
      </c>
    </row>
    <row r="66">
      <c r="A66" s="14" t="s">
        <v>5986</v>
      </c>
      <c r="B66" s="15" t="s">
        <v>6029</v>
      </c>
      <c r="C66" s="16">
        <v>24336.0</v>
      </c>
      <c r="D66" s="17" t="s">
        <v>6030</v>
      </c>
    </row>
    <row r="67">
      <c r="A67" s="14" t="s">
        <v>6031</v>
      </c>
      <c r="B67" s="15" t="s">
        <v>6032</v>
      </c>
      <c r="C67" s="16">
        <v>24346.0</v>
      </c>
      <c r="D67" s="17" t="s">
        <v>6033</v>
      </c>
    </row>
    <row r="68">
      <c r="A68" s="14">
        <v>27.0</v>
      </c>
      <c r="B68" s="15" t="s">
        <v>6034</v>
      </c>
      <c r="C68" s="16">
        <v>24346.0</v>
      </c>
      <c r="D68" s="17" t="s">
        <v>6035</v>
      </c>
    </row>
    <row r="69">
      <c r="A69" s="14" t="s">
        <v>6031</v>
      </c>
      <c r="B69" s="15" t="s">
        <v>6036</v>
      </c>
      <c r="C69" s="16">
        <v>24350.0</v>
      </c>
      <c r="D69" s="17" t="s">
        <v>6037</v>
      </c>
    </row>
    <row r="70">
      <c r="A70" s="14">
        <v>31.0</v>
      </c>
      <c r="B70" s="15" t="s">
        <v>6038</v>
      </c>
      <c r="C70" s="16">
        <v>24350.0</v>
      </c>
      <c r="D70" s="17" t="s">
        <v>6039</v>
      </c>
    </row>
    <row r="71">
      <c r="A71" s="14" t="s">
        <v>6040</v>
      </c>
      <c r="B71" s="15" t="s">
        <v>6041</v>
      </c>
      <c r="C71" s="16">
        <v>24352.0</v>
      </c>
      <c r="D71" s="17" t="s">
        <v>6042</v>
      </c>
    </row>
    <row r="72">
      <c r="A72" s="14">
        <v>2.0</v>
      </c>
      <c r="B72" s="15" t="s">
        <v>6043</v>
      </c>
      <c r="C72" s="16">
        <v>24352.0</v>
      </c>
      <c r="D72" s="17" t="s">
        <v>6044</v>
      </c>
    </row>
    <row r="73">
      <c r="A73" s="14" t="s">
        <v>6040</v>
      </c>
      <c r="B73" s="15" t="s">
        <v>6045</v>
      </c>
      <c r="C73" s="16">
        <v>24354.0</v>
      </c>
      <c r="D73" s="17" t="s">
        <v>6046</v>
      </c>
    </row>
    <row r="74">
      <c r="A74" s="14">
        <v>4.0</v>
      </c>
      <c r="B74" s="15" t="s">
        <v>6047</v>
      </c>
      <c r="C74" s="16">
        <v>24354.0</v>
      </c>
      <c r="D74" s="17" t="s">
        <v>6048</v>
      </c>
    </row>
    <row r="75">
      <c r="A75" s="14" t="s">
        <v>6040</v>
      </c>
      <c r="B75" s="15" t="s">
        <v>6049</v>
      </c>
      <c r="C75" s="16">
        <v>24357.0</v>
      </c>
      <c r="D75" s="17" t="s">
        <v>6050</v>
      </c>
    </row>
    <row r="76">
      <c r="A76" s="14" t="s">
        <v>6040</v>
      </c>
      <c r="B76" s="15" t="s">
        <v>6051</v>
      </c>
      <c r="C76" s="16">
        <v>24357.0</v>
      </c>
      <c r="D76" s="17" t="s">
        <v>6052</v>
      </c>
    </row>
    <row r="77">
      <c r="A77" s="14">
        <v>7.0</v>
      </c>
      <c r="B77" s="15" t="s">
        <v>6053</v>
      </c>
      <c r="C77" s="16">
        <v>24357.0</v>
      </c>
      <c r="D77" s="17" t="s">
        <v>6054</v>
      </c>
    </row>
    <row r="78">
      <c r="A78" s="14">
        <v>7.0</v>
      </c>
      <c r="B78" s="15" t="s">
        <v>6055</v>
      </c>
      <c r="C78" s="16">
        <v>24357.0</v>
      </c>
      <c r="D78" s="17" t="s">
        <v>6056</v>
      </c>
    </row>
    <row r="79">
      <c r="A79" s="14" t="s">
        <v>6057</v>
      </c>
      <c r="B79" s="15" t="s">
        <v>6058</v>
      </c>
      <c r="C79" s="16">
        <v>24358.0</v>
      </c>
      <c r="D79" s="17" t="s">
        <v>6059</v>
      </c>
    </row>
    <row r="80">
      <c r="A80" s="14">
        <v>8.0</v>
      </c>
      <c r="B80" s="15" t="s">
        <v>6060</v>
      </c>
      <c r="C80" s="16">
        <v>24358.0</v>
      </c>
      <c r="D80" s="17" t="s">
        <v>6061</v>
      </c>
    </row>
    <row r="81">
      <c r="A81" s="14" t="s">
        <v>6040</v>
      </c>
      <c r="B81" s="15" t="s">
        <v>6062</v>
      </c>
      <c r="C81" s="16">
        <v>24359.0</v>
      </c>
      <c r="D81" s="17" t="s">
        <v>6063</v>
      </c>
    </row>
    <row r="82">
      <c r="A82" s="14">
        <v>9.0</v>
      </c>
      <c r="B82" s="15" t="s">
        <v>6064</v>
      </c>
      <c r="C82" s="16">
        <v>24359.0</v>
      </c>
      <c r="D82" s="17" t="s">
        <v>6065</v>
      </c>
    </row>
    <row r="83">
      <c r="A83" s="14" t="s">
        <v>6040</v>
      </c>
      <c r="B83" s="15" t="s">
        <v>6066</v>
      </c>
      <c r="C83" s="16">
        <v>24364.0</v>
      </c>
      <c r="D83" s="17" t="s">
        <v>6067</v>
      </c>
    </row>
    <row r="84">
      <c r="A84" s="14">
        <v>14.0</v>
      </c>
      <c r="B84" s="15" t="s">
        <v>6068</v>
      </c>
      <c r="C84" s="16">
        <v>24364.0</v>
      </c>
      <c r="D84" s="17" t="s">
        <v>6069</v>
      </c>
    </row>
    <row r="85">
      <c r="A85" s="14" t="s">
        <v>6040</v>
      </c>
      <c r="B85" s="15" t="s">
        <v>6070</v>
      </c>
      <c r="C85" s="16">
        <v>24368.0</v>
      </c>
      <c r="D85" s="17" t="s">
        <v>6071</v>
      </c>
    </row>
    <row r="86">
      <c r="A86" s="14">
        <v>18.0</v>
      </c>
      <c r="B86" s="15" t="s">
        <v>6072</v>
      </c>
      <c r="C86" s="16">
        <v>24368.0</v>
      </c>
      <c r="D86" s="17" t="s">
        <v>6073</v>
      </c>
    </row>
    <row r="87">
      <c r="A87" s="14" t="s">
        <v>6074</v>
      </c>
      <c r="B87" s="15" t="s">
        <v>6075</v>
      </c>
      <c r="C87" s="16">
        <v>24382.0</v>
      </c>
      <c r="D87" s="17" t="s">
        <v>6076</v>
      </c>
    </row>
    <row r="88">
      <c r="A88" s="14">
        <v>2.0</v>
      </c>
      <c r="B88" s="15" t="s">
        <v>6077</v>
      </c>
      <c r="C88" s="16">
        <v>24382.0</v>
      </c>
      <c r="D88" s="17" t="s">
        <v>6078</v>
      </c>
    </row>
    <row r="89">
      <c r="A89" s="14" t="s">
        <v>6074</v>
      </c>
      <c r="B89" s="15" t="s">
        <v>6079</v>
      </c>
      <c r="C89" s="16">
        <v>24389.0</v>
      </c>
      <c r="D89" s="17" t="s">
        <v>6080</v>
      </c>
    </row>
    <row r="90">
      <c r="A90" s="14">
        <v>9.0</v>
      </c>
      <c r="B90" s="15" t="s">
        <v>6081</v>
      </c>
      <c r="C90" s="16">
        <v>24389.0</v>
      </c>
      <c r="D90" s="17" t="s">
        <v>6082</v>
      </c>
    </row>
    <row r="91">
      <c r="A91" s="14" t="s">
        <v>6074</v>
      </c>
      <c r="B91" s="15" t="s">
        <v>6083</v>
      </c>
      <c r="C91" s="16">
        <v>24403.0</v>
      </c>
      <c r="D91" s="17" t="s">
        <v>6084</v>
      </c>
    </row>
    <row r="92">
      <c r="A92" s="14">
        <v>23.0</v>
      </c>
      <c r="B92" s="15" t="s">
        <v>6085</v>
      </c>
      <c r="C92" s="16">
        <v>24403.0</v>
      </c>
      <c r="D92" s="17" t="s">
        <v>6086</v>
      </c>
    </row>
    <row r="93">
      <c r="A93" s="14" t="s">
        <v>6087</v>
      </c>
      <c r="B93" s="15" t="s">
        <v>6088</v>
      </c>
      <c r="C93" s="16">
        <v>24415.0</v>
      </c>
      <c r="D93" s="17" t="s">
        <v>6089</v>
      </c>
    </row>
    <row r="94">
      <c r="A94" s="14">
        <v>4.0</v>
      </c>
      <c r="B94" s="15" t="s">
        <v>6090</v>
      </c>
      <c r="C94" s="16">
        <v>24415.0</v>
      </c>
      <c r="D94" s="17" t="s">
        <v>6091</v>
      </c>
    </row>
    <row r="95">
      <c r="A95" s="14" t="s">
        <v>6092</v>
      </c>
      <c r="B95" s="15" t="s">
        <v>6093</v>
      </c>
      <c r="C95" s="16">
        <v>24426.0</v>
      </c>
      <c r="D95" s="17" t="s">
        <v>6094</v>
      </c>
    </row>
    <row r="96">
      <c r="A96" s="14">
        <v>15.0</v>
      </c>
      <c r="B96" s="15" t="s">
        <v>6095</v>
      </c>
      <c r="C96" s="16">
        <v>24426.0</v>
      </c>
      <c r="D96" s="17" t="s">
        <v>6096</v>
      </c>
    </row>
    <row r="97">
      <c r="A97" s="14" t="s">
        <v>6092</v>
      </c>
      <c r="B97" s="15" t="s">
        <v>6097</v>
      </c>
      <c r="C97" s="16">
        <v>24427.0</v>
      </c>
      <c r="D97" s="17" t="s">
        <v>6098</v>
      </c>
    </row>
    <row r="98">
      <c r="A98" s="14" t="s">
        <v>6099</v>
      </c>
      <c r="B98" s="15" t="s">
        <v>6100</v>
      </c>
      <c r="C98" s="16">
        <v>24427.0</v>
      </c>
      <c r="D98" s="17" t="s">
        <v>6101</v>
      </c>
    </row>
    <row r="99">
      <c r="A99" s="14">
        <v>16.0</v>
      </c>
      <c r="B99" s="15" t="s">
        <v>6102</v>
      </c>
      <c r="C99" s="16">
        <v>24427.0</v>
      </c>
      <c r="D99" s="17" t="s">
        <v>6103</v>
      </c>
    </row>
    <row r="100">
      <c r="A100" s="14">
        <v>16.0</v>
      </c>
      <c r="B100" s="15" t="s">
        <v>6104</v>
      </c>
      <c r="C100" s="16">
        <v>24427.0</v>
      </c>
      <c r="D100" s="17" t="s">
        <v>6105</v>
      </c>
    </row>
    <row r="101">
      <c r="A101" s="14" t="s">
        <v>6092</v>
      </c>
      <c r="B101" s="15" t="s">
        <v>6106</v>
      </c>
      <c r="C101" s="16">
        <v>24428.0</v>
      </c>
      <c r="D101" s="17" t="s">
        <v>6107</v>
      </c>
    </row>
    <row r="102">
      <c r="A102" s="14">
        <v>17.0</v>
      </c>
      <c r="B102" s="15" t="s">
        <v>6108</v>
      </c>
      <c r="C102" s="16">
        <v>24428.0</v>
      </c>
      <c r="D102" s="17" t="s">
        <v>6109</v>
      </c>
    </row>
    <row r="103">
      <c r="A103" s="14" t="s">
        <v>6092</v>
      </c>
      <c r="B103" s="15" t="s">
        <v>6110</v>
      </c>
      <c r="C103" s="16">
        <v>24429.0</v>
      </c>
      <c r="D103" s="17" t="s">
        <v>6111</v>
      </c>
    </row>
    <row r="104">
      <c r="A104" s="14">
        <v>18.0</v>
      </c>
      <c r="B104" s="15" t="s">
        <v>6112</v>
      </c>
      <c r="C104" s="16">
        <v>24429.0</v>
      </c>
      <c r="D104" s="17" t="s">
        <v>6113</v>
      </c>
    </row>
    <row r="105">
      <c r="A105" s="14" t="s">
        <v>6092</v>
      </c>
      <c r="B105" s="15" t="s">
        <v>6114</v>
      </c>
      <c r="C105" s="16">
        <v>24430.0</v>
      </c>
      <c r="D105" s="17" t="s">
        <v>6115</v>
      </c>
    </row>
    <row r="106">
      <c r="A106" s="14">
        <v>19.0</v>
      </c>
      <c r="B106" s="15" t="s">
        <v>6116</v>
      </c>
      <c r="C106" s="16">
        <v>24430.0</v>
      </c>
      <c r="D106" s="17" t="s">
        <v>6117</v>
      </c>
    </row>
    <row r="107">
      <c r="A107" s="14" t="s">
        <v>6092</v>
      </c>
      <c r="B107" s="15" t="s">
        <v>6118</v>
      </c>
      <c r="C107" s="16">
        <v>24431.0</v>
      </c>
      <c r="D107" s="17" t="s">
        <v>6119</v>
      </c>
    </row>
    <row r="108">
      <c r="A108" s="14">
        <v>20.0</v>
      </c>
      <c r="B108" s="15" t="s">
        <v>6120</v>
      </c>
      <c r="C108" s="16">
        <v>24431.0</v>
      </c>
      <c r="D108" s="17" t="s">
        <v>6121</v>
      </c>
    </row>
    <row r="109">
      <c r="A109" s="14" t="s">
        <v>6092</v>
      </c>
      <c r="B109" s="15" t="s">
        <v>6122</v>
      </c>
      <c r="C109" s="16">
        <v>24432.0</v>
      </c>
      <c r="D109" s="17" t="s">
        <v>6123</v>
      </c>
    </row>
    <row r="110">
      <c r="A110" s="14">
        <v>21.0</v>
      </c>
      <c r="B110" s="15" t="s">
        <v>6124</v>
      </c>
      <c r="C110" s="16">
        <v>24432.0</v>
      </c>
      <c r="D110" s="17" t="s">
        <v>6125</v>
      </c>
    </row>
    <row r="111">
      <c r="A111" s="14" t="s">
        <v>6126</v>
      </c>
      <c r="B111" s="15" t="s">
        <v>6127</v>
      </c>
      <c r="C111" s="16">
        <v>24433.0</v>
      </c>
      <c r="D111" s="17" t="s">
        <v>6128</v>
      </c>
    </row>
    <row r="112">
      <c r="A112" s="14" t="s">
        <v>6099</v>
      </c>
      <c r="B112" s="15" t="s">
        <v>6129</v>
      </c>
      <c r="C112" s="16">
        <v>24433.0</v>
      </c>
      <c r="D112" s="17" t="s">
        <v>6130</v>
      </c>
    </row>
    <row r="113">
      <c r="A113" s="14" t="s">
        <v>6099</v>
      </c>
      <c r="B113" s="15" t="s">
        <v>6131</v>
      </c>
      <c r="C113" s="16">
        <v>24433.0</v>
      </c>
      <c r="D113" s="17" t="s">
        <v>6132</v>
      </c>
    </row>
    <row r="114">
      <c r="A114" s="14">
        <v>22.0</v>
      </c>
      <c r="B114" s="15" t="s">
        <v>6133</v>
      </c>
      <c r="C114" s="16">
        <v>24433.0</v>
      </c>
      <c r="D114" s="17" t="s">
        <v>6134</v>
      </c>
    </row>
    <row r="115">
      <c r="A115" s="14">
        <v>22.0</v>
      </c>
      <c r="B115" s="15" t="s">
        <v>6135</v>
      </c>
      <c r="C115" s="16">
        <v>24433.0</v>
      </c>
      <c r="D115" s="17" t="s">
        <v>6136</v>
      </c>
    </row>
    <row r="116">
      <c r="A116" s="14">
        <v>22.0</v>
      </c>
      <c r="B116" s="15" t="s">
        <v>6137</v>
      </c>
      <c r="C116" s="16">
        <v>24433.0</v>
      </c>
      <c r="D116" s="17" t="s">
        <v>6138</v>
      </c>
    </row>
    <row r="117">
      <c r="A117" s="14" t="s">
        <v>6126</v>
      </c>
      <c r="B117" s="15" t="s">
        <v>6139</v>
      </c>
      <c r="C117" s="16">
        <v>24434.0</v>
      </c>
      <c r="D117" s="17" t="s">
        <v>6140</v>
      </c>
    </row>
    <row r="118">
      <c r="A118" s="14" t="s">
        <v>6099</v>
      </c>
      <c r="B118" s="15" t="s">
        <v>6141</v>
      </c>
      <c r="C118" s="16">
        <v>24434.0</v>
      </c>
      <c r="D118" s="17" t="s">
        <v>6142</v>
      </c>
    </row>
    <row r="119">
      <c r="A119" s="14">
        <v>23.0</v>
      </c>
      <c r="B119" s="15" t="s">
        <v>6143</v>
      </c>
      <c r="C119" s="16">
        <v>24434.0</v>
      </c>
      <c r="D119" s="17" t="s">
        <v>6144</v>
      </c>
    </row>
    <row r="120">
      <c r="A120" s="14">
        <v>23.0</v>
      </c>
      <c r="B120" s="15" t="s">
        <v>6145</v>
      </c>
      <c r="C120" s="16">
        <v>24434.0</v>
      </c>
      <c r="D120" s="17" t="s">
        <v>6146</v>
      </c>
    </row>
    <row r="121">
      <c r="A121" s="14" t="s">
        <v>6126</v>
      </c>
      <c r="B121" s="15" t="s">
        <v>6147</v>
      </c>
      <c r="C121" s="16">
        <v>24435.0</v>
      </c>
      <c r="D121" s="17" t="s">
        <v>6148</v>
      </c>
    </row>
    <row r="122">
      <c r="A122" s="14" t="s">
        <v>6099</v>
      </c>
      <c r="B122" s="15" t="s">
        <v>6149</v>
      </c>
      <c r="C122" s="16">
        <v>24435.0</v>
      </c>
      <c r="D122" s="17" t="s">
        <v>6150</v>
      </c>
    </row>
    <row r="123">
      <c r="A123" s="14">
        <v>24.0</v>
      </c>
      <c r="B123" s="15" t="s">
        <v>6151</v>
      </c>
      <c r="C123" s="16">
        <v>24435.0</v>
      </c>
      <c r="D123" s="17" t="s">
        <v>6152</v>
      </c>
    </row>
    <row r="124">
      <c r="A124" s="14">
        <v>24.0</v>
      </c>
      <c r="B124" s="15" t="s">
        <v>6153</v>
      </c>
      <c r="C124" s="16">
        <v>24435.0</v>
      </c>
      <c r="D124" s="17" t="s">
        <v>6154</v>
      </c>
    </row>
    <row r="125">
      <c r="A125" s="14" t="s">
        <v>6099</v>
      </c>
      <c r="B125" s="15" t="s">
        <v>6155</v>
      </c>
      <c r="C125" s="16">
        <v>24436.0</v>
      </c>
      <c r="D125" s="17" t="s">
        <v>6156</v>
      </c>
    </row>
    <row r="126">
      <c r="A126" s="14">
        <v>25.0</v>
      </c>
      <c r="B126" s="15" t="s">
        <v>6157</v>
      </c>
      <c r="C126" s="16">
        <v>24436.0</v>
      </c>
      <c r="D126" s="17" t="s">
        <v>6158</v>
      </c>
    </row>
    <row r="127">
      <c r="A127" s="14" t="s">
        <v>6099</v>
      </c>
      <c r="B127" s="15" t="s">
        <v>6159</v>
      </c>
      <c r="C127" s="16">
        <v>24437.0</v>
      </c>
      <c r="D127" s="17" t="s">
        <v>6160</v>
      </c>
    </row>
    <row r="128">
      <c r="A128" s="14">
        <v>26.0</v>
      </c>
      <c r="B128" s="15" t="s">
        <v>6161</v>
      </c>
      <c r="C128" s="16">
        <v>24437.0</v>
      </c>
      <c r="D128" s="17" t="s">
        <v>6162</v>
      </c>
    </row>
    <row r="129">
      <c r="A129" s="14" t="s">
        <v>6126</v>
      </c>
      <c r="B129" s="15" t="s">
        <v>6163</v>
      </c>
      <c r="C129" s="16">
        <v>24438.0</v>
      </c>
      <c r="D129" s="17" t="s">
        <v>6164</v>
      </c>
    </row>
    <row r="130">
      <c r="A130" s="14" t="s">
        <v>6099</v>
      </c>
      <c r="B130" s="15" t="s">
        <v>6165</v>
      </c>
      <c r="C130" s="16">
        <v>24438.0</v>
      </c>
      <c r="D130" s="17" t="s">
        <v>6166</v>
      </c>
    </row>
    <row r="131">
      <c r="A131" s="14">
        <v>27.0</v>
      </c>
      <c r="B131" s="15" t="s">
        <v>6167</v>
      </c>
      <c r="C131" s="16">
        <v>24438.0</v>
      </c>
      <c r="D131" s="17" t="s">
        <v>6168</v>
      </c>
    </row>
    <row r="132">
      <c r="A132" s="14">
        <v>27.0</v>
      </c>
      <c r="B132" s="15" t="s">
        <v>6169</v>
      </c>
      <c r="C132" s="16">
        <v>24438.0</v>
      </c>
      <c r="D132" s="17" t="s">
        <v>6170</v>
      </c>
    </row>
    <row r="133">
      <c r="A133" s="14" t="s">
        <v>6099</v>
      </c>
      <c r="B133" s="15" t="s">
        <v>6171</v>
      </c>
      <c r="C133" s="16">
        <v>24439.0</v>
      </c>
      <c r="D133" s="17" t="s">
        <v>6172</v>
      </c>
    </row>
    <row r="134">
      <c r="A134" s="14">
        <v>28.0</v>
      </c>
      <c r="B134" s="15" t="s">
        <v>6173</v>
      </c>
      <c r="C134" s="16">
        <v>24439.0</v>
      </c>
      <c r="D134" s="17" t="s">
        <v>6174</v>
      </c>
    </row>
    <row r="135">
      <c r="A135" s="14" t="s">
        <v>6099</v>
      </c>
      <c r="B135" s="15" t="s">
        <v>6175</v>
      </c>
      <c r="C135" s="16">
        <v>24440.0</v>
      </c>
      <c r="D135" s="17" t="s">
        <v>6176</v>
      </c>
    </row>
    <row r="136">
      <c r="A136" s="14">
        <v>29.0</v>
      </c>
      <c r="B136" s="15" t="s">
        <v>6177</v>
      </c>
      <c r="C136" s="16">
        <v>24440.0</v>
      </c>
      <c r="D136" s="17" t="s">
        <v>6178</v>
      </c>
    </row>
    <row r="137">
      <c r="A137" s="14" t="s">
        <v>6099</v>
      </c>
      <c r="B137" s="15" t="s">
        <v>6179</v>
      </c>
      <c r="C137" s="16">
        <v>24441.0</v>
      </c>
      <c r="D137" s="17" t="s">
        <v>6180</v>
      </c>
    </row>
    <row r="138">
      <c r="A138" s="14">
        <v>30.0</v>
      </c>
      <c r="B138" s="15" t="s">
        <v>6181</v>
      </c>
      <c r="C138" s="16">
        <v>24441.0</v>
      </c>
      <c r="D138" s="17" t="s">
        <v>6182</v>
      </c>
    </row>
    <row r="139">
      <c r="A139" s="14" t="s">
        <v>6126</v>
      </c>
      <c r="B139" s="15" t="s">
        <v>6183</v>
      </c>
      <c r="C139" s="16">
        <v>24442.0</v>
      </c>
      <c r="D139" s="17" t="s">
        <v>6184</v>
      </c>
    </row>
    <row r="140">
      <c r="A140" s="14" t="s">
        <v>6099</v>
      </c>
      <c r="B140" s="15" t="s">
        <v>6185</v>
      </c>
      <c r="C140" s="16">
        <v>24442.0</v>
      </c>
      <c r="D140" s="17" t="s">
        <v>6186</v>
      </c>
    </row>
    <row r="141">
      <c r="A141" s="14">
        <v>1.0</v>
      </c>
      <c r="B141" s="15" t="s">
        <v>6187</v>
      </c>
      <c r="C141" s="16">
        <v>24442.0</v>
      </c>
      <c r="D141" s="17" t="s">
        <v>6188</v>
      </c>
    </row>
    <row r="142">
      <c r="A142" s="14">
        <v>1.0</v>
      </c>
      <c r="B142" s="15" t="s">
        <v>6189</v>
      </c>
      <c r="C142" s="16">
        <v>24442.0</v>
      </c>
      <c r="D142" s="17" t="s">
        <v>6190</v>
      </c>
    </row>
    <row r="143">
      <c r="A143" s="14" t="s">
        <v>6126</v>
      </c>
      <c r="B143" s="15" t="s">
        <v>6191</v>
      </c>
      <c r="C143" s="16">
        <v>24443.0</v>
      </c>
      <c r="D143" s="17" t="s">
        <v>6192</v>
      </c>
    </row>
    <row r="144">
      <c r="A144" s="14">
        <v>2.0</v>
      </c>
      <c r="B144" s="15" t="s">
        <v>6193</v>
      </c>
      <c r="C144" s="16">
        <v>24443.0</v>
      </c>
      <c r="D144" s="17" t="s">
        <v>6194</v>
      </c>
    </row>
    <row r="145">
      <c r="A145" s="14" t="s">
        <v>6099</v>
      </c>
      <c r="B145" s="15" t="s">
        <v>6195</v>
      </c>
      <c r="C145" s="16">
        <v>24444.0</v>
      </c>
      <c r="D145" s="17" t="s">
        <v>6196</v>
      </c>
    </row>
    <row r="146">
      <c r="A146" s="14">
        <v>3.0</v>
      </c>
      <c r="B146" s="15" t="s">
        <v>6197</v>
      </c>
      <c r="C146" s="16">
        <v>24444.0</v>
      </c>
      <c r="D146" s="17" t="s">
        <v>6198</v>
      </c>
    </row>
    <row r="147">
      <c r="A147" s="14" t="s">
        <v>6126</v>
      </c>
      <c r="B147" s="15" t="s">
        <v>6199</v>
      </c>
      <c r="C147" s="16">
        <v>24445.0</v>
      </c>
      <c r="D147" s="17" t="s">
        <v>6200</v>
      </c>
    </row>
    <row r="148">
      <c r="A148" s="14">
        <v>4.0</v>
      </c>
      <c r="B148" s="15" t="s">
        <v>6201</v>
      </c>
      <c r="C148" s="16">
        <v>24445.0</v>
      </c>
      <c r="D148" s="17" t="s">
        <v>6202</v>
      </c>
    </row>
    <row r="149">
      <c r="A149" s="14" t="s">
        <v>6099</v>
      </c>
      <c r="B149" s="15" t="s">
        <v>6203</v>
      </c>
      <c r="C149" s="16">
        <v>24446.0</v>
      </c>
      <c r="D149" s="17" t="s">
        <v>6204</v>
      </c>
    </row>
    <row r="150">
      <c r="A150" s="14">
        <v>5.0</v>
      </c>
      <c r="B150" s="15" t="s">
        <v>6205</v>
      </c>
      <c r="C150" s="16">
        <v>24446.0</v>
      </c>
      <c r="D150" s="17" t="s">
        <v>6206</v>
      </c>
    </row>
    <row r="151">
      <c r="A151" s="14" t="s">
        <v>6126</v>
      </c>
      <c r="B151" s="15" t="s">
        <v>6207</v>
      </c>
      <c r="C151" s="16">
        <v>24447.0</v>
      </c>
      <c r="D151" s="17" t="s">
        <v>6208</v>
      </c>
    </row>
    <row r="152">
      <c r="A152" s="14">
        <v>6.0</v>
      </c>
      <c r="B152" s="15" t="s">
        <v>6209</v>
      </c>
      <c r="C152" s="16">
        <v>24447.0</v>
      </c>
      <c r="D152" s="17" t="s">
        <v>6210</v>
      </c>
    </row>
    <row r="153">
      <c r="A153" s="14" t="s">
        <v>6099</v>
      </c>
      <c r="B153" s="15" t="s">
        <v>6211</v>
      </c>
      <c r="C153" s="16">
        <v>24448.0</v>
      </c>
      <c r="D153" s="17" t="s">
        <v>6212</v>
      </c>
    </row>
    <row r="154">
      <c r="A154" s="14">
        <v>7.0</v>
      </c>
      <c r="B154" s="15" t="s">
        <v>6213</v>
      </c>
      <c r="C154" s="16">
        <v>24448.0</v>
      </c>
      <c r="D154" s="17" t="s">
        <v>6214</v>
      </c>
    </row>
    <row r="155">
      <c r="A155" s="14" t="s">
        <v>6126</v>
      </c>
      <c r="B155" s="15" t="s">
        <v>6215</v>
      </c>
      <c r="C155" s="16">
        <v>24449.0</v>
      </c>
      <c r="D155" s="17" t="s">
        <v>6216</v>
      </c>
    </row>
    <row r="156">
      <c r="A156" s="14">
        <v>8.0</v>
      </c>
      <c r="B156" s="15" t="s">
        <v>6217</v>
      </c>
      <c r="C156" s="16">
        <v>24449.0</v>
      </c>
      <c r="D156" s="17" t="s">
        <v>6218</v>
      </c>
    </row>
    <row r="157">
      <c r="A157" s="14" t="s">
        <v>6126</v>
      </c>
      <c r="B157" s="15" t="s">
        <v>6219</v>
      </c>
      <c r="C157" s="16">
        <v>24451.0</v>
      </c>
      <c r="D157" s="17" t="s">
        <v>6220</v>
      </c>
    </row>
    <row r="158">
      <c r="A158" s="14">
        <v>10.0</v>
      </c>
      <c r="B158" s="15" t="s">
        <v>6221</v>
      </c>
      <c r="C158" s="16">
        <v>24451.0</v>
      </c>
      <c r="D158" s="17" t="s">
        <v>6222</v>
      </c>
    </row>
    <row r="159">
      <c r="A159" s="14" t="s">
        <v>6099</v>
      </c>
      <c r="B159" s="15" t="s">
        <v>6223</v>
      </c>
      <c r="C159" s="16">
        <v>24452.0</v>
      </c>
      <c r="D159" s="17" t="s">
        <v>6224</v>
      </c>
    </row>
    <row r="160">
      <c r="A160" s="14">
        <v>11.0</v>
      </c>
      <c r="B160" s="15" t="s">
        <v>6225</v>
      </c>
      <c r="C160" s="16">
        <v>24452.0</v>
      </c>
      <c r="D160" s="17" t="s">
        <v>6226</v>
      </c>
    </row>
    <row r="161">
      <c r="A161" s="14" t="s">
        <v>6126</v>
      </c>
      <c r="B161" s="15" t="s">
        <v>6227</v>
      </c>
      <c r="C161" s="16">
        <v>24453.0</v>
      </c>
      <c r="D161" s="17" t="s">
        <v>6228</v>
      </c>
    </row>
    <row r="162">
      <c r="A162" s="14">
        <v>12.0</v>
      </c>
      <c r="B162" s="15" t="s">
        <v>6229</v>
      </c>
      <c r="C162" s="16">
        <v>24453.0</v>
      </c>
      <c r="D162" s="17" t="s">
        <v>6230</v>
      </c>
    </row>
    <row r="163">
      <c r="A163" s="14" t="s">
        <v>6099</v>
      </c>
      <c r="B163" s="15" t="s">
        <v>6231</v>
      </c>
      <c r="C163" s="16">
        <v>24454.0</v>
      </c>
      <c r="D163" s="17" t="s">
        <v>6232</v>
      </c>
    </row>
    <row r="164">
      <c r="A164" s="14">
        <v>13.0</v>
      </c>
      <c r="B164" s="15" t="s">
        <v>6233</v>
      </c>
      <c r="C164" s="16">
        <v>24454.0</v>
      </c>
      <c r="D164" s="17" t="s">
        <v>6234</v>
      </c>
    </row>
    <row r="165">
      <c r="A165" s="14" t="s">
        <v>6099</v>
      </c>
      <c r="B165" s="15" t="s">
        <v>6235</v>
      </c>
      <c r="C165" s="16">
        <v>24455.0</v>
      </c>
      <c r="D165" s="17" t="s">
        <v>6236</v>
      </c>
    </row>
    <row r="166">
      <c r="A166" s="14">
        <v>14.0</v>
      </c>
      <c r="B166" s="15" t="s">
        <v>6237</v>
      </c>
      <c r="C166" s="16">
        <v>24455.0</v>
      </c>
      <c r="D166" s="17" t="s">
        <v>6238</v>
      </c>
    </row>
    <row r="167">
      <c r="A167" s="14" t="s">
        <v>6126</v>
      </c>
      <c r="B167" s="15" t="s">
        <v>6239</v>
      </c>
      <c r="C167" s="16">
        <v>24457.0</v>
      </c>
      <c r="D167" s="17" t="s">
        <v>6240</v>
      </c>
    </row>
    <row r="168">
      <c r="A168" s="14" t="s">
        <v>6099</v>
      </c>
      <c r="B168" s="15" t="s">
        <v>6241</v>
      </c>
      <c r="C168" s="16">
        <v>24457.0</v>
      </c>
      <c r="D168" s="17" t="s">
        <v>6242</v>
      </c>
    </row>
    <row r="169">
      <c r="A169" s="14">
        <v>16.0</v>
      </c>
      <c r="B169" s="15" t="s">
        <v>6243</v>
      </c>
      <c r="C169" s="16">
        <v>24457.0</v>
      </c>
      <c r="D169" s="17" t="s">
        <v>6244</v>
      </c>
    </row>
    <row r="170">
      <c r="A170" s="14">
        <v>16.0</v>
      </c>
      <c r="B170" s="15" t="s">
        <v>6245</v>
      </c>
      <c r="C170" s="16">
        <v>24457.0</v>
      </c>
      <c r="D170" s="17" t="s">
        <v>6246</v>
      </c>
    </row>
    <row r="171">
      <c r="A171" s="14" t="s">
        <v>6099</v>
      </c>
      <c r="B171" s="15" t="s">
        <v>6247</v>
      </c>
      <c r="C171" s="16">
        <v>24458.0</v>
      </c>
      <c r="D171" s="17" t="s">
        <v>6248</v>
      </c>
    </row>
    <row r="172">
      <c r="A172" s="14">
        <v>17.0</v>
      </c>
      <c r="B172" s="15" t="s">
        <v>6249</v>
      </c>
      <c r="C172" s="16">
        <v>24458.0</v>
      </c>
      <c r="D172" s="17" t="s">
        <v>6250</v>
      </c>
    </row>
    <row r="173">
      <c r="A173" s="14" t="s">
        <v>6099</v>
      </c>
      <c r="B173" s="15" t="s">
        <v>6251</v>
      </c>
      <c r="C173" s="16">
        <v>24459.0</v>
      </c>
      <c r="D173" s="17" t="s">
        <v>6252</v>
      </c>
    </row>
    <row r="174">
      <c r="A174" s="14">
        <v>18.0</v>
      </c>
      <c r="B174" s="15" t="s">
        <v>6253</v>
      </c>
      <c r="C174" s="16">
        <v>24459.0</v>
      </c>
      <c r="D174" s="17" t="s">
        <v>6254</v>
      </c>
    </row>
    <row r="175">
      <c r="A175" s="14" t="s">
        <v>6126</v>
      </c>
      <c r="B175" s="15" t="s">
        <v>6255</v>
      </c>
      <c r="C175" s="16">
        <v>24460.0</v>
      </c>
      <c r="D175" s="17" t="s">
        <v>6256</v>
      </c>
    </row>
    <row r="176">
      <c r="A176" s="14" t="s">
        <v>6099</v>
      </c>
      <c r="B176" s="15" t="s">
        <v>6257</v>
      </c>
      <c r="C176" s="16">
        <v>24460.0</v>
      </c>
      <c r="D176" s="17" t="s">
        <v>6258</v>
      </c>
    </row>
    <row r="177">
      <c r="A177" s="14">
        <v>19.0</v>
      </c>
      <c r="B177" s="15" t="s">
        <v>6259</v>
      </c>
      <c r="C177" s="16">
        <v>24460.0</v>
      </c>
      <c r="D177" s="17" t="s">
        <v>6260</v>
      </c>
    </row>
    <row r="178">
      <c r="A178" s="14">
        <v>19.0</v>
      </c>
      <c r="B178" s="15" t="s">
        <v>6261</v>
      </c>
      <c r="C178" s="16">
        <v>24460.0</v>
      </c>
      <c r="D178" s="17" t="s">
        <v>6262</v>
      </c>
    </row>
    <row r="179">
      <c r="A179" s="14" t="s">
        <v>6126</v>
      </c>
      <c r="B179" s="15" t="s">
        <v>6263</v>
      </c>
      <c r="C179" s="16">
        <v>24461.0</v>
      </c>
      <c r="D179" s="17" t="s">
        <v>6264</v>
      </c>
    </row>
    <row r="180">
      <c r="A180" s="14" t="s">
        <v>6099</v>
      </c>
      <c r="B180" s="15" t="s">
        <v>6265</v>
      </c>
      <c r="C180" s="16">
        <v>24461.0</v>
      </c>
      <c r="D180" s="17" t="s">
        <v>6266</v>
      </c>
    </row>
    <row r="181">
      <c r="A181" s="14">
        <v>20.0</v>
      </c>
      <c r="B181" s="15" t="s">
        <v>6267</v>
      </c>
      <c r="C181" s="16">
        <v>24461.0</v>
      </c>
      <c r="D181" s="17" t="s">
        <v>6268</v>
      </c>
    </row>
    <row r="182">
      <c r="A182" s="14">
        <v>20.0</v>
      </c>
      <c r="B182" s="15" t="s">
        <v>6269</v>
      </c>
      <c r="C182" s="16">
        <v>24461.0</v>
      </c>
      <c r="D182" s="17" t="s">
        <v>6270</v>
      </c>
    </row>
    <row r="183">
      <c r="A183" s="14" t="s">
        <v>6099</v>
      </c>
      <c r="B183" s="15" t="s">
        <v>6271</v>
      </c>
      <c r="C183" s="16">
        <v>24462.0</v>
      </c>
      <c r="D183" s="17" t="s">
        <v>6272</v>
      </c>
    </row>
    <row r="184">
      <c r="A184" s="14">
        <v>21.0</v>
      </c>
      <c r="B184" s="15" t="s">
        <v>6273</v>
      </c>
      <c r="C184" s="16">
        <v>24462.0</v>
      </c>
      <c r="D184" s="17" t="s">
        <v>6274</v>
      </c>
    </row>
    <row r="185">
      <c r="A185" s="14" t="s">
        <v>6099</v>
      </c>
      <c r="B185" s="15" t="s">
        <v>6275</v>
      </c>
      <c r="C185" s="16">
        <v>24463.0</v>
      </c>
      <c r="D185" s="17" t="s">
        <v>6276</v>
      </c>
    </row>
    <row r="186">
      <c r="A186" s="14">
        <v>22.0</v>
      </c>
      <c r="B186" s="15" t="s">
        <v>6277</v>
      </c>
      <c r="C186" s="16">
        <v>24463.0</v>
      </c>
      <c r="D186" s="17" t="s">
        <v>6278</v>
      </c>
    </row>
    <row r="187">
      <c r="A187" s="14" t="s">
        <v>6099</v>
      </c>
      <c r="B187" s="15" t="s">
        <v>6279</v>
      </c>
      <c r="C187" s="16">
        <v>24464.0</v>
      </c>
      <c r="D187" s="17" t="s">
        <v>6280</v>
      </c>
    </row>
    <row r="188">
      <c r="A188" s="14">
        <v>23.0</v>
      </c>
      <c r="B188" s="15" t="s">
        <v>6281</v>
      </c>
      <c r="C188" s="16">
        <v>24464.0</v>
      </c>
      <c r="D188" s="17" t="s">
        <v>6282</v>
      </c>
    </row>
    <row r="189">
      <c r="A189" s="14" t="s">
        <v>6099</v>
      </c>
      <c r="B189" s="15" t="s">
        <v>6283</v>
      </c>
      <c r="C189" s="16">
        <v>24465.0</v>
      </c>
      <c r="D189" s="17" t="s">
        <v>6284</v>
      </c>
    </row>
    <row r="190">
      <c r="A190" s="14">
        <v>24.0</v>
      </c>
      <c r="B190" s="15" t="s">
        <v>6285</v>
      </c>
      <c r="C190" s="16">
        <v>24465.0</v>
      </c>
      <c r="D190" s="17" t="s">
        <v>6286</v>
      </c>
    </row>
    <row r="191">
      <c r="A191" s="14" t="s">
        <v>6099</v>
      </c>
      <c r="B191" s="15" t="s">
        <v>6287</v>
      </c>
      <c r="C191" s="16">
        <v>24466.0</v>
      </c>
      <c r="D191" s="17" t="s">
        <v>6288</v>
      </c>
    </row>
    <row r="192">
      <c r="A192" s="14">
        <v>25.0</v>
      </c>
      <c r="B192" s="15" t="s">
        <v>6289</v>
      </c>
      <c r="C192" s="16">
        <v>24466.0</v>
      </c>
      <c r="D192" s="17" t="s">
        <v>6290</v>
      </c>
    </row>
    <row r="193">
      <c r="A193" s="14" t="s">
        <v>6126</v>
      </c>
      <c r="B193" s="15" t="s">
        <v>6291</v>
      </c>
      <c r="C193" s="16">
        <v>24467.0</v>
      </c>
      <c r="D193" s="17" t="s">
        <v>6292</v>
      </c>
    </row>
    <row r="194">
      <c r="A194" s="14" t="s">
        <v>6099</v>
      </c>
      <c r="B194" s="15" t="s">
        <v>6293</v>
      </c>
      <c r="C194" s="16">
        <v>24467.0</v>
      </c>
      <c r="D194" s="17" t="s">
        <v>6294</v>
      </c>
    </row>
    <row r="195">
      <c r="A195" s="14">
        <v>26.0</v>
      </c>
      <c r="B195" s="15" t="s">
        <v>6295</v>
      </c>
      <c r="C195" s="16">
        <v>24467.0</v>
      </c>
      <c r="D195" s="17" t="s">
        <v>6296</v>
      </c>
    </row>
    <row r="196">
      <c r="A196" s="14">
        <v>26.0</v>
      </c>
      <c r="B196" s="15" t="s">
        <v>6297</v>
      </c>
      <c r="C196" s="16">
        <v>24467.0</v>
      </c>
      <c r="D196" s="17" t="s">
        <v>6298</v>
      </c>
    </row>
    <row r="197">
      <c r="A197" s="14" t="s">
        <v>6099</v>
      </c>
      <c r="B197" s="15" t="s">
        <v>6299</v>
      </c>
      <c r="C197" s="16">
        <v>24469.0</v>
      </c>
      <c r="D197" s="17" t="s">
        <v>6300</v>
      </c>
    </row>
    <row r="198">
      <c r="A198" s="14">
        <v>28.0</v>
      </c>
      <c r="B198" s="15" t="s">
        <v>6301</v>
      </c>
      <c r="C198" s="16">
        <v>24469.0</v>
      </c>
      <c r="D198" s="17" t="s">
        <v>6302</v>
      </c>
    </row>
    <row r="199">
      <c r="A199" s="14" t="s">
        <v>6099</v>
      </c>
      <c r="B199" s="15" t="s">
        <v>6303</v>
      </c>
      <c r="C199" s="16">
        <v>24471.0</v>
      </c>
      <c r="D199" s="17" t="s">
        <v>6304</v>
      </c>
    </row>
    <row r="200">
      <c r="A200" s="14">
        <v>30.0</v>
      </c>
      <c r="B200" s="15" t="s">
        <v>6305</v>
      </c>
      <c r="C200" s="16">
        <v>24471.0</v>
      </c>
      <c r="D200" s="17" t="s">
        <v>6306</v>
      </c>
    </row>
    <row r="201">
      <c r="A201" s="14" t="s">
        <v>6099</v>
      </c>
      <c r="B201" s="15" t="s">
        <v>6307</v>
      </c>
      <c r="C201" s="16">
        <v>24472.0</v>
      </c>
      <c r="D201" s="17" t="s">
        <v>6308</v>
      </c>
    </row>
    <row r="202">
      <c r="A202" s="14">
        <v>31.0</v>
      </c>
      <c r="B202" s="15" t="s">
        <v>6309</v>
      </c>
      <c r="C202" s="16">
        <v>24472.0</v>
      </c>
      <c r="D202" s="17" t="s">
        <v>6310</v>
      </c>
    </row>
    <row r="203">
      <c r="A203" s="14" t="s">
        <v>6311</v>
      </c>
      <c r="B203" s="15" t="s">
        <v>6312</v>
      </c>
      <c r="C203" s="16">
        <v>24473.0</v>
      </c>
      <c r="D203" s="17" t="s">
        <v>6313</v>
      </c>
    </row>
    <row r="204">
      <c r="A204" s="14">
        <v>1.0</v>
      </c>
      <c r="B204" s="15" t="s">
        <v>6314</v>
      </c>
      <c r="C204" s="16">
        <v>24473.0</v>
      </c>
      <c r="D204" s="17" t="s">
        <v>6315</v>
      </c>
    </row>
    <row r="205">
      <c r="A205" s="14" t="s">
        <v>6099</v>
      </c>
      <c r="B205" s="15" t="s">
        <v>6316</v>
      </c>
      <c r="C205" s="16">
        <v>24475.0</v>
      </c>
      <c r="D205" s="17" t="s">
        <v>6317</v>
      </c>
    </row>
    <row r="206">
      <c r="A206" s="14">
        <v>3.0</v>
      </c>
      <c r="B206" s="15" t="s">
        <v>6318</v>
      </c>
      <c r="C206" s="16">
        <v>24475.0</v>
      </c>
      <c r="D206" s="17" t="s">
        <v>6319</v>
      </c>
    </row>
    <row r="207">
      <c r="A207" s="14" t="s">
        <v>6311</v>
      </c>
      <c r="B207" s="15" t="s">
        <v>6320</v>
      </c>
      <c r="C207" s="16">
        <v>24476.0</v>
      </c>
      <c r="D207" s="17" t="s">
        <v>6321</v>
      </c>
    </row>
    <row r="208">
      <c r="A208" s="14" t="s">
        <v>6099</v>
      </c>
      <c r="B208" s="15" t="s">
        <v>6322</v>
      </c>
      <c r="C208" s="16">
        <v>24476.0</v>
      </c>
      <c r="D208" s="17" t="s">
        <v>6323</v>
      </c>
    </row>
    <row r="209">
      <c r="A209" s="14">
        <v>4.0</v>
      </c>
      <c r="B209" s="15" t="s">
        <v>6324</v>
      </c>
      <c r="C209" s="16">
        <v>24476.0</v>
      </c>
      <c r="D209" s="17" t="s">
        <v>6325</v>
      </c>
    </row>
    <row r="210">
      <c r="A210" s="14">
        <v>4.0</v>
      </c>
      <c r="B210" s="15" t="s">
        <v>6326</v>
      </c>
      <c r="C210" s="16">
        <v>24476.0</v>
      </c>
      <c r="D210" s="17" t="s">
        <v>6327</v>
      </c>
    </row>
    <row r="211">
      <c r="A211" s="14" t="s">
        <v>6099</v>
      </c>
      <c r="B211" s="15" t="s">
        <v>6328</v>
      </c>
      <c r="C211" s="16">
        <v>24481.0</v>
      </c>
      <c r="D211" s="17" t="s">
        <v>6329</v>
      </c>
    </row>
    <row r="212">
      <c r="A212" s="14">
        <v>9.0</v>
      </c>
      <c r="B212" s="15" t="s">
        <v>6330</v>
      </c>
      <c r="C212" s="16">
        <v>24481.0</v>
      </c>
      <c r="D212" s="17" t="s">
        <v>6331</v>
      </c>
    </row>
    <row r="213">
      <c r="A213" s="14" t="s">
        <v>6099</v>
      </c>
      <c r="B213" s="15" t="s">
        <v>6332</v>
      </c>
      <c r="C213" s="16">
        <v>24482.0</v>
      </c>
      <c r="D213" s="17" t="s">
        <v>6333</v>
      </c>
    </row>
    <row r="214">
      <c r="A214" s="14">
        <v>10.0</v>
      </c>
      <c r="B214" s="15" t="s">
        <v>6334</v>
      </c>
      <c r="C214" s="16">
        <v>24482.0</v>
      </c>
      <c r="D214" s="17" t="s">
        <v>6335</v>
      </c>
    </row>
    <row r="215">
      <c r="A215" s="14" t="s">
        <v>6099</v>
      </c>
      <c r="B215" s="15" t="s">
        <v>6336</v>
      </c>
      <c r="C215" s="16">
        <v>24483.0</v>
      </c>
      <c r="D215" s="17" t="s">
        <v>6337</v>
      </c>
    </row>
    <row r="216">
      <c r="A216" s="14">
        <v>11.0</v>
      </c>
      <c r="B216" s="15" t="s">
        <v>6338</v>
      </c>
      <c r="C216" s="16">
        <v>24483.0</v>
      </c>
      <c r="D216" s="17" t="s">
        <v>6339</v>
      </c>
    </row>
    <row r="217">
      <c r="A217" s="14" t="s">
        <v>6099</v>
      </c>
      <c r="B217" s="15" t="s">
        <v>6340</v>
      </c>
      <c r="C217" s="16">
        <v>24488.0</v>
      </c>
      <c r="D217" s="17" t="s">
        <v>6341</v>
      </c>
    </row>
    <row r="218">
      <c r="A218" s="14">
        <v>16.0</v>
      </c>
      <c r="B218" s="15" t="s">
        <v>6342</v>
      </c>
      <c r="C218" s="16">
        <v>24488.0</v>
      </c>
      <c r="D218" s="17" t="s">
        <v>6343</v>
      </c>
    </row>
    <row r="219">
      <c r="A219" s="14" t="s">
        <v>6344</v>
      </c>
      <c r="B219" s="15" t="s">
        <v>6345</v>
      </c>
      <c r="C219" s="16">
        <v>24546.0</v>
      </c>
      <c r="D219" s="17" t="s">
        <v>6346</v>
      </c>
    </row>
    <row r="220">
      <c r="A220" s="14">
        <v>15.0</v>
      </c>
      <c r="B220" s="15" t="s">
        <v>6347</v>
      </c>
      <c r="C220" s="16">
        <v>24546.0</v>
      </c>
      <c r="D220" s="17" t="s">
        <v>6348</v>
      </c>
    </row>
    <row r="221">
      <c r="A221" s="14" t="s">
        <v>5895</v>
      </c>
      <c r="B221" s="15" t="s">
        <v>6349</v>
      </c>
      <c r="C221" s="16">
        <v>24549.0</v>
      </c>
      <c r="D221" s="17" t="s">
        <v>6350</v>
      </c>
    </row>
    <row r="222">
      <c r="A222" s="14">
        <v>18.0</v>
      </c>
      <c r="B222" s="15" t="s">
        <v>6351</v>
      </c>
      <c r="C222" s="16">
        <v>24549.0</v>
      </c>
      <c r="D222" s="17" t="s">
        <v>6352</v>
      </c>
    </row>
    <row r="223">
      <c r="A223" s="14" t="s">
        <v>6353</v>
      </c>
      <c r="B223" s="15" t="s">
        <v>6354</v>
      </c>
      <c r="C223" s="16">
        <v>24567.0</v>
      </c>
      <c r="D223" s="17" t="s">
        <v>6355</v>
      </c>
    </row>
    <row r="224">
      <c r="A224" s="14" t="s">
        <v>6353</v>
      </c>
      <c r="B224" s="15" t="s">
        <v>6356</v>
      </c>
      <c r="C224" s="16">
        <v>24567.0</v>
      </c>
      <c r="D224" s="17" t="s">
        <v>6357</v>
      </c>
    </row>
    <row r="225">
      <c r="A225" s="14">
        <v>5.0</v>
      </c>
      <c r="B225" s="15" t="s">
        <v>6358</v>
      </c>
      <c r="C225" s="16">
        <v>24567.0</v>
      </c>
      <c r="D225" s="17" t="s">
        <v>6359</v>
      </c>
    </row>
    <row r="226">
      <c r="A226" s="14">
        <v>5.0</v>
      </c>
      <c r="B226" s="15" t="s">
        <v>6360</v>
      </c>
      <c r="C226" s="16">
        <v>24567.0</v>
      </c>
      <c r="D226" s="17" t="s">
        <v>6361</v>
      </c>
    </row>
    <row r="227">
      <c r="A227" s="14" t="s">
        <v>6057</v>
      </c>
      <c r="B227" s="15" t="s">
        <v>6362</v>
      </c>
      <c r="C227" s="16">
        <v>24870.0</v>
      </c>
      <c r="D227" s="17" t="s">
        <v>6363</v>
      </c>
    </row>
    <row r="228">
      <c r="A228" s="14">
        <v>2.0</v>
      </c>
      <c r="B228" s="15" t="s">
        <v>6364</v>
      </c>
      <c r="C228" s="16">
        <v>24870.0</v>
      </c>
      <c r="D228" s="17" t="s">
        <v>6365</v>
      </c>
    </row>
    <row r="229">
      <c r="A229" s="14" t="s">
        <v>358</v>
      </c>
      <c r="B229" s="15" t="s">
        <v>6366</v>
      </c>
      <c r="C229" s="16">
        <v>24906.0</v>
      </c>
      <c r="D229" s="17" t="s">
        <v>6367</v>
      </c>
    </row>
    <row r="230">
      <c r="A230" s="14">
        <v>9.0</v>
      </c>
      <c r="B230" s="15" t="s">
        <v>6368</v>
      </c>
      <c r="C230" s="16">
        <v>24906.0</v>
      </c>
      <c r="D230" s="17" t="s">
        <v>6369</v>
      </c>
    </row>
    <row r="231">
      <c r="A231" s="14" t="s">
        <v>6344</v>
      </c>
      <c r="B231" s="15" t="s">
        <v>6370</v>
      </c>
      <c r="C231" s="16">
        <v>24912.0</v>
      </c>
      <c r="D231" s="17" t="s">
        <v>6371</v>
      </c>
    </row>
    <row r="232">
      <c r="A232" s="14">
        <v>15.0</v>
      </c>
      <c r="B232" s="15" t="s">
        <v>6372</v>
      </c>
      <c r="C232" s="16">
        <v>24912.0</v>
      </c>
      <c r="D232" s="17" t="s">
        <v>6373</v>
      </c>
    </row>
    <row r="233">
      <c r="A233" s="14" t="s">
        <v>6374</v>
      </c>
      <c r="B233" s="15" t="s">
        <v>6375</v>
      </c>
      <c r="C233" s="16">
        <v>24920.0</v>
      </c>
      <c r="D233" s="17" t="s">
        <v>6376</v>
      </c>
    </row>
    <row r="234">
      <c r="A234" s="14">
        <v>23.0</v>
      </c>
      <c r="B234" s="15" t="s">
        <v>6377</v>
      </c>
      <c r="C234" s="16">
        <v>24920.0</v>
      </c>
      <c r="D234" s="17" t="s">
        <v>6378</v>
      </c>
    </row>
    <row r="235">
      <c r="A235" s="14" t="s">
        <v>5932</v>
      </c>
      <c r="B235" s="15" t="s">
        <v>6379</v>
      </c>
      <c r="C235" s="16">
        <v>24925.0</v>
      </c>
      <c r="D235" s="17" t="s">
        <v>6380</v>
      </c>
    </row>
    <row r="236">
      <c r="A236" s="14">
        <v>28.0</v>
      </c>
      <c r="B236" s="15" t="s">
        <v>6381</v>
      </c>
      <c r="C236" s="16">
        <v>24925.0</v>
      </c>
      <c r="D236" s="17" t="s">
        <v>6382</v>
      </c>
    </row>
    <row r="237">
      <c r="A237" s="14" t="s">
        <v>6057</v>
      </c>
      <c r="B237" s="15" t="s">
        <v>6383</v>
      </c>
      <c r="C237" s="16">
        <v>24930.0</v>
      </c>
      <c r="D237" s="17" t="s">
        <v>6384</v>
      </c>
    </row>
    <row r="238">
      <c r="A238" s="14">
        <v>2.0</v>
      </c>
      <c r="B238" s="15" t="s">
        <v>6385</v>
      </c>
      <c r="C238" s="16">
        <v>24930.0</v>
      </c>
      <c r="D238" s="17" t="s">
        <v>6386</v>
      </c>
    </row>
    <row r="239">
      <c r="A239" s="14" t="s">
        <v>6057</v>
      </c>
      <c r="B239" s="15" t="s">
        <v>6387</v>
      </c>
      <c r="C239" s="16">
        <v>25000.0</v>
      </c>
      <c r="D239" s="17" t="s">
        <v>6388</v>
      </c>
    </row>
    <row r="240">
      <c r="A240" s="14">
        <v>11.0</v>
      </c>
      <c r="B240" s="15" t="s">
        <v>6389</v>
      </c>
      <c r="C240" s="16">
        <v>25000.0</v>
      </c>
      <c r="D240" s="17" t="s">
        <v>6390</v>
      </c>
    </row>
    <row r="241">
      <c r="A241" s="14" t="s">
        <v>6344</v>
      </c>
      <c r="B241" s="15" t="s">
        <v>6391</v>
      </c>
      <c r="C241" s="16">
        <v>25005.0</v>
      </c>
      <c r="D241" s="17" t="s">
        <v>6392</v>
      </c>
    </row>
    <row r="242">
      <c r="A242" s="14">
        <v>16.0</v>
      </c>
      <c r="B242" s="15" t="s">
        <v>6393</v>
      </c>
      <c r="C242" s="16">
        <v>25005.0</v>
      </c>
      <c r="D242" s="17" t="s">
        <v>6394</v>
      </c>
    </row>
    <row r="243">
      <c r="A243" s="14" t="s">
        <v>6344</v>
      </c>
      <c r="B243" s="15" t="s">
        <v>6395</v>
      </c>
      <c r="C243" s="16">
        <v>25012.0</v>
      </c>
      <c r="D243" s="17" t="s">
        <v>6396</v>
      </c>
    </row>
    <row r="244">
      <c r="A244" s="14">
        <v>23.0</v>
      </c>
      <c r="B244" s="15" t="s">
        <v>6397</v>
      </c>
      <c r="C244" s="16">
        <v>25012.0</v>
      </c>
      <c r="D244" s="17" t="s">
        <v>6398</v>
      </c>
    </row>
    <row r="245">
      <c r="A245" s="14" t="s">
        <v>6344</v>
      </c>
      <c r="B245" s="15" t="s">
        <v>6399</v>
      </c>
      <c r="C245" s="16">
        <v>25031.0</v>
      </c>
      <c r="D245" s="17" t="s">
        <v>6400</v>
      </c>
    </row>
    <row r="246">
      <c r="A246" s="14">
        <v>12.0</v>
      </c>
      <c r="B246" s="15" t="s">
        <v>6401</v>
      </c>
      <c r="C246" s="16">
        <v>25031.0</v>
      </c>
      <c r="D246" s="17" t="s">
        <v>6402</v>
      </c>
    </row>
    <row r="247">
      <c r="A247" s="14" t="s">
        <v>5986</v>
      </c>
      <c r="B247" s="15" t="s">
        <v>6403</v>
      </c>
      <c r="C247" s="16">
        <v>25063.0</v>
      </c>
      <c r="D247" s="17" t="s">
        <v>6404</v>
      </c>
    </row>
    <row r="248">
      <c r="A248" s="14">
        <v>13.0</v>
      </c>
      <c r="B248" s="15" t="s">
        <v>6405</v>
      </c>
      <c r="C248" s="16">
        <v>25063.0</v>
      </c>
      <c r="D248" s="17" t="s">
        <v>6406</v>
      </c>
    </row>
    <row r="249">
      <c r="A249" s="14" t="s">
        <v>6087</v>
      </c>
      <c r="B249" s="15" t="s">
        <v>6407</v>
      </c>
      <c r="C249" s="16">
        <v>25066.0</v>
      </c>
      <c r="D249" s="17" t="s">
        <v>6408</v>
      </c>
    </row>
    <row r="250">
      <c r="A250" s="14">
        <v>16.0</v>
      </c>
      <c r="B250" s="15" t="s">
        <v>6409</v>
      </c>
      <c r="C250" s="16">
        <v>25066.0</v>
      </c>
      <c r="D250" s="17" t="s">
        <v>6410</v>
      </c>
    </row>
    <row r="251">
      <c r="A251" s="14" t="s">
        <v>6344</v>
      </c>
      <c r="B251" s="15" t="s">
        <v>6411</v>
      </c>
      <c r="C251" s="16">
        <v>25067.0</v>
      </c>
      <c r="D251" s="17" t="s">
        <v>6412</v>
      </c>
    </row>
    <row r="252">
      <c r="A252" s="14">
        <v>17.0</v>
      </c>
      <c r="B252" s="15" t="s">
        <v>6413</v>
      </c>
      <c r="C252" s="16">
        <v>25067.0</v>
      </c>
      <c r="D252" s="17" t="s">
        <v>6414</v>
      </c>
    </row>
    <row r="253">
      <c r="A253" s="14" t="s">
        <v>6344</v>
      </c>
      <c r="B253" s="15" t="s">
        <v>6415</v>
      </c>
      <c r="C253" s="16">
        <v>25068.0</v>
      </c>
      <c r="D253" s="17" t="s">
        <v>6416</v>
      </c>
    </row>
    <row r="254">
      <c r="A254" s="14">
        <v>18.0</v>
      </c>
      <c r="B254" s="15" t="s">
        <v>6417</v>
      </c>
      <c r="C254" s="16">
        <v>25068.0</v>
      </c>
      <c r="D254" s="17" t="s">
        <v>6418</v>
      </c>
    </row>
    <row r="255">
      <c r="A255" s="14" t="s">
        <v>6344</v>
      </c>
      <c r="B255" s="15" t="s">
        <v>6419</v>
      </c>
      <c r="C255" s="16">
        <v>25069.0</v>
      </c>
      <c r="D255" s="17" t="s">
        <v>6420</v>
      </c>
    </row>
    <row r="256">
      <c r="A256" s="14">
        <v>19.0</v>
      </c>
      <c r="B256" s="15" t="s">
        <v>6421</v>
      </c>
      <c r="C256" s="16">
        <v>25069.0</v>
      </c>
      <c r="D256" s="17" t="s">
        <v>6422</v>
      </c>
    </row>
    <row r="257">
      <c r="A257" s="14" t="s">
        <v>6344</v>
      </c>
      <c r="B257" s="15" t="s">
        <v>6423</v>
      </c>
      <c r="C257" s="16">
        <v>25070.0</v>
      </c>
      <c r="D257" s="17" t="s">
        <v>6424</v>
      </c>
    </row>
    <row r="258">
      <c r="A258" s="14">
        <v>20.0</v>
      </c>
      <c r="B258" s="15" t="s">
        <v>6425</v>
      </c>
      <c r="C258" s="16">
        <v>25070.0</v>
      </c>
      <c r="D258" s="17" t="s">
        <v>6426</v>
      </c>
    </row>
    <row r="259">
      <c r="A259" s="14" t="s">
        <v>6087</v>
      </c>
      <c r="B259" s="15" t="s">
        <v>6427</v>
      </c>
      <c r="C259" s="16">
        <v>25080.0</v>
      </c>
      <c r="D259" s="17" t="s">
        <v>6428</v>
      </c>
    </row>
    <row r="260">
      <c r="A260" s="14">
        <v>30.0</v>
      </c>
      <c r="B260" s="15" t="s">
        <v>6429</v>
      </c>
      <c r="C260" s="16">
        <v>25080.0</v>
      </c>
      <c r="D260" s="17" t="s">
        <v>6430</v>
      </c>
    </row>
    <row r="261">
      <c r="A261" s="14" t="s">
        <v>6074</v>
      </c>
      <c r="B261" s="15" t="s">
        <v>6431</v>
      </c>
      <c r="C261" s="16">
        <v>25091.0</v>
      </c>
      <c r="D261" s="17" t="s">
        <v>6432</v>
      </c>
    </row>
    <row r="262">
      <c r="A262" s="14">
        <v>10.0</v>
      </c>
      <c r="B262" s="15" t="s">
        <v>6433</v>
      </c>
      <c r="C262" s="16">
        <v>25091.0</v>
      </c>
      <c r="D262" s="17" t="s">
        <v>6434</v>
      </c>
    </row>
    <row r="263">
      <c r="A263" s="14" t="s">
        <v>6074</v>
      </c>
      <c r="B263" s="15" t="s">
        <v>6435</v>
      </c>
      <c r="C263" s="16">
        <v>25092.0</v>
      </c>
      <c r="D263" s="17" t="s">
        <v>6436</v>
      </c>
    </row>
    <row r="264">
      <c r="A264" s="14">
        <v>11.0</v>
      </c>
      <c r="B264" s="15" t="s">
        <v>6437</v>
      </c>
      <c r="C264" s="16">
        <v>25092.0</v>
      </c>
      <c r="D264" s="17" t="s">
        <v>6438</v>
      </c>
    </row>
    <row r="265">
      <c r="A265" s="14" t="s">
        <v>6057</v>
      </c>
      <c r="B265" s="15" t="s">
        <v>6439</v>
      </c>
      <c r="C265" s="16">
        <v>25106.0</v>
      </c>
      <c r="D265" s="17" t="s">
        <v>6440</v>
      </c>
    </row>
    <row r="266">
      <c r="A266" s="14">
        <v>25.0</v>
      </c>
      <c r="B266" s="15" t="s">
        <v>6441</v>
      </c>
      <c r="C266" s="16">
        <v>25106.0</v>
      </c>
      <c r="D266" s="17" t="s">
        <v>6442</v>
      </c>
    </row>
    <row r="267">
      <c r="A267" s="14" t="s">
        <v>6057</v>
      </c>
      <c r="B267" s="15" t="s">
        <v>6443</v>
      </c>
      <c r="C267" s="16">
        <v>25108.0</v>
      </c>
      <c r="D267" s="17" t="s">
        <v>6444</v>
      </c>
    </row>
    <row r="268">
      <c r="A268" s="14">
        <v>27.0</v>
      </c>
      <c r="B268" s="15" t="s">
        <v>6445</v>
      </c>
      <c r="C268" s="16">
        <v>25108.0</v>
      </c>
      <c r="D268" s="17" t="s">
        <v>6446</v>
      </c>
    </row>
    <row r="269">
      <c r="A269" s="14" t="s">
        <v>6057</v>
      </c>
      <c r="B269" s="15" t="s">
        <v>6447</v>
      </c>
      <c r="C269" s="16">
        <v>25111.0</v>
      </c>
      <c r="D269" s="17" t="s">
        <v>6448</v>
      </c>
    </row>
    <row r="270">
      <c r="A270" s="14">
        <v>30.0</v>
      </c>
      <c r="B270" s="15" t="s">
        <v>6449</v>
      </c>
      <c r="C270" s="16">
        <v>25111.0</v>
      </c>
      <c r="D270" s="17" t="s">
        <v>6450</v>
      </c>
    </row>
    <row r="271">
      <c r="A271" s="14" t="s">
        <v>6057</v>
      </c>
      <c r="B271" s="15" t="s">
        <v>6451</v>
      </c>
      <c r="C271" s="16">
        <v>25113.0</v>
      </c>
      <c r="D271" s="17" t="s">
        <v>6452</v>
      </c>
    </row>
    <row r="272">
      <c r="A272" s="14">
        <v>2.0</v>
      </c>
      <c r="B272" s="15" t="s">
        <v>6453</v>
      </c>
      <c r="C272" s="16">
        <v>25113.0</v>
      </c>
      <c r="D272" s="17" t="s">
        <v>6454</v>
      </c>
    </row>
    <row r="273">
      <c r="A273" s="14" t="s">
        <v>6057</v>
      </c>
      <c r="B273" s="15" t="s">
        <v>6455</v>
      </c>
      <c r="C273" s="16">
        <v>25115.0</v>
      </c>
      <c r="D273" s="17" t="s">
        <v>6456</v>
      </c>
    </row>
    <row r="274">
      <c r="A274" s="14">
        <v>4.0</v>
      </c>
      <c r="B274" s="15" t="s">
        <v>6457</v>
      </c>
      <c r="C274" s="16">
        <v>25115.0</v>
      </c>
      <c r="D274" s="17" t="s">
        <v>6458</v>
      </c>
    </row>
    <row r="275">
      <c r="A275" s="14" t="s">
        <v>6057</v>
      </c>
      <c r="B275" s="15" t="s">
        <v>6459</v>
      </c>
      <c r="C275" s="16">
        <v>25118.0</v>
      </c>
      <c r="D275" s="17" t="s">
        <v>6460</v>
      </c>
    </row>
    <row r="276">
      <c r="A276" s="14">
        <v>7.0</v>
      </c>
      <c r="B276" s="15" t="s">
        <v>6461</v>
      </c>
      <c r="C276" s="16">
        <v>25118.0</v>
      </c>
      <c r="D276" s="17" t="s">
        <v>6462</v>
      </c>
    </row>
    <row r="277">
      <c r="A277" s="14" t="s">
        <v>6057</v>
      </c>
      <c r="B277" s="15" t="s">
        <v>6463</v>
      </c>
      <c r="C277" s="16">
        <v>25129.0</v>
      </c>
      <c r="D277" s="17" t="s">
        <v>6464</v>
      </c>
    </row>
    <row r="278">
      <c r="A278" s="14">
        <v>18.0</v>
      </c>
      <c r="B278" s="15" t="s">
        <v>6465</v>
      </c>
      <c r="C278" s="16">
        <v>25129.0</v>
      </c>
      <c r="D278" s="17" t="s">
        <v>6466</v>
      </c>
    </row>
    <row r="279">
      <c r="A279" s="14" t="s">
        <v>6057</v>
      </c>
      <c r="B279" s="15" t="s">
        <v>6467</v>
      </c>
      <c r="C279" s="16">
        <v>25131.0</v>
      </c>
      <c r="D279" s="17" t="s">
        <v>6468</v>
      </c>
    </row>
    <row r="280">
      <c r="A280" s="14" t="s">
        <v>6057</v>
      </c>
      <c r="B280" s="15" t="s">
        <v>6469</v>
      </c>
      <c r="C280" s="16">
        <v>25131.0</v>
      </c>
      <c r="D280" s="17" t="s">
        <v>6470</v>
      </c>
    </row>
    <row r="281">
      <c r="A281" s="14" t="s">
        <v>6057</v>
      </c>
      <c r="B281" s="15" t="s">
        <v>6471</v>
      </c>
      <c r="C281" s="16">
        <v>25131.0</v>
      </c>
      <c r="D281" s="17" t="s">
        <v>6472</v>
      </c>
    </row>
    <row r="282">
      <c r="A282" s="14">
        <v>20.0</v>
      </c>
      <c r="B282" s="15" t="s">
        <v>6473</v>
      </c>
      <c r="C282" s="16">
        <v>25131.0</v>
      </c>
      <c r="D282" s="17" t="s">
        <v>6474</v>
      </c>
    </row>
    <row r="283">
      <c r="A283" s="14">
        <v>20.0</v>
      </c>
      <c r="B283" s="15" t="s">
        <v>6475</v>
      </c>
      <c r="C283" s="16">
        <v>25131.0</v>
      </c>
      <c r="D283" s="17" t="s">
        <v>6476</v>
      </c>
    </row>
    <row r="284">
      <c r="A284" s="14">
        <v>20.0</v>
      </c>
      <c r="B284" s="15" t="s">
        <v>6477</v>
      </c>
      <c r="C284" s="16">
        <v>25131.0</v>
      </c>
      <c r="D284" s="17" t="s">
        <v>6478</v>
      </c>
    </row>
    <row r="285">
      <c r="A285" s="14" t="s">
        <v>6087</v>
      </c>
      <c r="B285" s="15" t="s">
        <v>6479</v>
      </c>
      <c r="C285" s="16">
        <v>25132.0</v>
      </c>
      <c r="D285" s="17" t="s">
        <v>6480</v>
      </c>
    </row>
    <row r="286">
      <c r="A286" s="14" t="s">
        <v>6344</v>
      </c>
      <c r="B286" s="15" t="s">
        <v>6481</v>
      </c>
      <c r="C286" s="16">
        <v>25132.0</v>
      </c>
      <c r="D286" s="17" t="s">
        <v>6482</v>
      </c>
    </row>
    <row r="287">
      <c r="A287" s="14">
        <v>21.0</v>
      </c>
      <c r="B287" s="15" t="s">
        <v>6483</v>
      </c>
      <c r="C287" s="16">
        <v>25132.0</v>
      </c>
      <c r="D287" s="17" t="s">
        <v>6484</v>
      </c>
    </row>
    <row r="288">
      <c r="A288" s="14">
        <v>21.0</v>
      </c>
      <c r="B288" s="15" t="s">
        <v>6485</v>
      </c>
      <c r="C288" s="16">
        <v>25132.0</v>
      </c>
      <c r="D288" s="17" t="s">
        <v>6486</v>
      </c>
    </row>
    <row r="289">
      <c r="A289" s="14" t="s">
        <v>6487</v>
      </c>
      <c r="B289" s="15" t="s">
        <v>6488</v>
      </c>
      <c r="C289" s="16">
        <v>25134.0</v>
      </c>
      <c r="D289" s="17" t="s">
        <v>6489</v>
      </c>
    </row>
    <row r="290">
      <c r="A290" s="14">
        <v>23.0</v>
      </c>
      <c r="B290" s="15" t="s">
        <v>6490</v>
      </c>
      <c r="C290" s="16">
        <v>25134.0</v>
      </c>
      <c r="D290" s="17" t="s">
        <v>6491</v>
      </c>
    </row>
    <row r="291">
      <c r="A291" s="14" t="s">
        <v>6057</v>
      </c>
      <c r="B291" s="15" t="s">
        <v>6492</v>
      </c>
      <c r="C291" s="16">
        <v>25150.0</v>
      </c>
      <c r="D291" s="17" t="s">
        <v>6493</v>
      </c>
    </row>
    <row r="292">
      <c r="A292" s="14">
        <v>8.0</v>
      </c>
      <c r="B292" s="15" t="s">
        <v>6494</v>
      </c>
      <c r="C292" s="16">
        <v>25150.0</v>
      </c>
      <c r="D292" s="17" t="s">
        <v>6495</v>
      </c>
    </row>
    <row r="293">
      <c r="A293" s="14" t="s">
        <v>6057</v>
      </c>
      <c r="B293" s="15" t="s">
        <v>6496</v>
      </c>
      <c r="C293" s="16">
        <v>25155.0</v>
      </c>
      <c r="D293" s="17" t="s">
        <v>6497</v>
      </c>
    </row>
    <row r="294">
      <c r="A294" s="14">
        <v>13.0</v>
      </c>
      <c r="B294" s="15" t="s">
        <v>6498</v>
      </c>
      <c r="C294" s="16">
        <v>25155.0</v>
      </c>
      <c r="D294" s="17" t="s">
        <v>6499</v>
      </c>
    </row>
    <row r="295">
      <c r="A295" s="14" t="s">
        <v>6057</v>
      </c>
      <c r="B295" s="15" t="s">
        <v>6500</v>
      </c>
      <c r="C295" s="16">
        <v>25157.0</v>
      </c>
      <c r="D295" s="17" t="s">
        <v>6501</v>
      </c>
    </row>
    <row r="296">
      <c r="A296" s="14">
        <v>15.0</v>
      </c>
      <c r="B296" s="15" t="s">
        <v>6502</v>
      </c>
      <c r="C296" s="16">
        <v>25157.0</v>
      </c>
      <c r="D296" s="17" t="s">
        <v>6503</v>
      </c>
    </row>
    <row r="297">
      <c r="A297" s="14" t="s">
        <v>6087</v>
      </c>
      <c r="B297" s="15" t="s">
        <v>6504</v>
      </c>
      <c r="C297" s="16">
        <v>25160.0</v>
      </c>
      <c r="D297" s="17" t="s">
        <v>6505</v>
      </c>
    </row>
    <row r="298">
      <c r="A298" s="14" t="s">
        <v>6057</v>
      </c>
      <c r="B298" s="15" t="s">
        <v>6506</v>
      </c>
      <c r="C298" s="16">
        <v>25160.0</v>
      </c>
      <c r="D298" s="17" t="s">
        <v>6507</v>
      </c>
    </row>
    <row r="299">
      <c r="A299" s="14">
        <v>18.0</v>
      </c>
      <c r="B299" s="15" t="s">
        <v>6508</v>
      </c>
      <c r="C299" s="16">
        <v>25160.0</v>
      </c>
      <c r="D299" s="17" t="s">
        <v>6509</v>
      </c>
    </row>
    <row r="300">
      <c r="A300" s="14">
        <v>18.0</v>
      </c>
      <c r="B300" s="15" t="s">
        <v>6510</v>
      </c>
      <c r="C300" s="16">
        <v>25160.0</v>
      </c>
      <c r="D300" s="17" t="s">
        <v>6511</v>
      </c>
    </row>
    <row r="301">
      <c r="A301" s="14" t="s">
        <v>5908</v>
      </c>
      <c r="B301" s="15" t="s">
        <v>6512</v>
      </c>
      <c r="C301" s="16">
        <v>25167.0</v>
      </c>
      <c r="D301" s="17" t="s">
        <v>6513</v>
      </c>
    </row>
    <row r="302">
      <c r="A302" s="14">
        <v>25.0</v>
      </c>
      <c r="B302" s="15" t="s">
        <v>6514</v>
      </c>
      <c r="C302" s="16">
        <v>25167.0</v>
      </c>
      <c r="D302" s="17" t="s">
        <v>6515</v>
      </c>
    </row>
    <row r="303">
      <c r="A303" s="14" t="s">
        <v>5908</v>
      </c>
      <c r="B303" s="15" t="s">
        <v>6516</v>
      </c>
      <c r="C303" s="16">
        <v>25169.0</v>
      </c>
      <c r="D303" s="17" t="s">
        <v>6517</v>
      </c>
    </row>
    <row r="304">
      <c r="A304" s="14">
        <v>27.0</v>
      </c>
      <c r="B304" s="15" t="s">
        <v>6518</v>
      </c>
      <c r="C304" s="16">
        <v>25169.0</v>
      </c>
      <c r="D304" s="17" t="s">
        <v>6519</v>
      </c>
    </row>
    <row r="305">
      <c r="A305" s="14" t="s">
        <v>5908</v>
      </c>
      <c r="B305" s="15" t="s">
        <v>6520</v>
      </c>
      <c r="C305" s="16">
        <v>25171.0</v>
      </c>
      <c r="D305" s="17" t="s">
        <v>6521</v>
      </c>
    </row>
    <row r="306">
      <c r="A306" s="14">
        <v>29.0</v>
      </c>
      <c r="B306" s="15" t="s">
        <v>6522</v>
      </c>
      <c r="C306" s="16">
        <v>25171.0</v>
      </c>
      <c r="D306" s="17" t="s">
        <v>6523</v>
      </c>
    </row>
    <row r="307">
      <c r="A307" s="14" t="s">
        <v>6057</v>
      </c>
      <c r="B307" s="15" t="s">
        <v>6524</v>
      </c>
      <c r="C307" s="16">
        <v>25173.0</v>
      </c>
      <c r="D307" s="17" t="s">
        <v>6525</v>
      </c>
    </row>
    <row r="308">
      <c r="A308" s="14">
        <v>1.0</v>
      </c>
      <c r="B308" s="15" t="s">
        <v>6526</v>
      </c>
      <c r="C308" s="16">
        <v>25173.0</v>
      </c>
      <c r="D308" s="17" t="s">
        <v>6527</v>
      </c>
    </row>
    <row r="309">
      <c r="A309" s="14" t="s">
        <v>6074</v>
      </c>
      <c r="B309" s="15" t="s">
        <v>6528</v>
      </c>
      <c r="C309" s="16">
        <v>25174.0</v>
      </c>
      <c r="D309" s="17" t="s">
        <v>6529</v>
      </c>
    </row>
    <row r="310">
      <c r="A310" s="14" t="s">
        <v>6487</v>
      </c>
      <c r="B310" s="15" t="s">
        <v>6530</v>
      </c>
      <c r="C310" s="16">
        <v>25174.0</v>
      </c>
      <c r="D310" s="17" t="s">
        <v>6531</v>
      </c>
    </row>
    <row r="311">
      <c r="A311" s="14">
        <v>2.0</v>
      </c>
      <c r="B311" s="15" t="s">
        <v>6532</v>
      </c>
      <c r="C311" s="16">
        <v>25174.0</v>
      </c>
      <c r="D311" s="17" t="s">
        <v>6533</v>
      </c>
    </row>
    <row r="312">
      <c r="A312" s="14">
        <v>2.0</v>
      </c>
      <c r="B312" s="15" t="s">
        <v>6534</v>
      </c>
      <c r="C312" s="16">
        <v>25174.0</v>
      </c>
      <c r="D312" s="17" t="s">
        <v>6535</v>
      </c>
    </row>
    <row r="313">
      <c r="A313" s="14" t="s">
        <v>5908</v>
      </c>
      <c r="B313" s="15" t="s">
        <v>6536</v>
      </c>
      <c r="C313" s="16">
        <v>25178.0</v>
      </c>
      <c r="D313" s="17" t="s">
        <v>6537</v>
      </c>
    </row>
    <row r="314">
      <c r="A314" s="14">
        <v>6.0</v>
      </c>
      <c r="B314" s="15" t="s">
        <v>6538</v>
      </c>
      <c r="C314" s="16">
        <v>25178.0</v>
      </c>
      <c r="D314" s="17" t="s">
        <v>6539</v>
      </c>
    </row>
    <row r="315">
      <c r="A315" s="14" t="s">
        <v>6087</v>
      </c>
      <c r="B315" s="15" t="s">
        <v>6540</v>
      </c>
      <c r="C315" s="16">
        <v>25181.0</v>
      </c>
      <c r="D315" s="17" t="s">
        <v>6541</v>
      </c>
    </row>
    <row r="316">
      <c r="A316" s="14">
        <v>9.0</v>
      </c>
      <c r="B316" s="15" t="s">
        <v>6542</v>
      </c>
      <c r="C316" s="16">
        <v>25181.0</v>
      </c>
      <c r="D316" s="17" t="s">
        <v>6543</v>
      </c>
    </row>
    <row r="317">
      <c r="A317" s="14" t="s">
        <v>5908</v>
      </c>
      <c r="B317" s="15" t="s">
        <v>6544</v>
      </c>
      <c r="C317" s="16">
        <v>25183.0</v>
      </c>
      <c r="D317" s="17" t="s">
        <v>6545</v>
      </c>
    </row>
    <row r="318">
      <c r="A318" s="14">
        <v>11.0</v>
      </c>
      <c r="B318" s="15" t="s">
        <v>6546</v>
      </c>
      <c r="C318" s="16">
        <v>25183.0</v>
      </c>
      <c r="D318" s="17" t="s">
        <v>6547</v>
      </c>
    </row>
    <row r="319">
      <c r="A319" s="14" t="s">
        <v>5908</v>
      </c>
      <c r="B319" s="15" t="s">
        <v>6548</v>
      </c>
      <c r="C319" s="16">
        <v>25185.0</v>
      </c>
      <c r="D319" s="17" t="s">
        <v>6549</v>
      </c>
    </row>
    <row r="320">
      <c r="A320" s="14" t="s">
        <v>5908</v>
      </c>
      <c r="B320" s="15" t="s">
        <v>6550</v>
      </c>
      <c r="C320" s="16">
        <v>25185.0</v>
      </c>
      <c r="D320" s="17" t="s">
        <v>6551</v>
      </c>
    </row>
    <row r="321">
      <c r="A321" s="14">
        <v>13.0</v>
      </c>
      <c r="B321" s="15" t="s">
        <v>6552</v>
      </c>
      <c r="C321" s="16">
        <v>25185.0</v>
      </c>
      <c r="D321" s="17" t="s">
        <v>6553</v>
      </c>
    </row>
    <row r="322">
      <c r="A322" s="14" t="s">
        <v>5908</v>
      </c>
      <c r="B322" s="15" t="s">
        <v>6554</v>
      </c>
      <c r="C322" s="16">
        <v>25186.0</v>
      </c>
      <c r="D322" s="17" t="s">
        <v>6555</v>
      </c>
    </row>
    <row r="323">
      <c r="A323" s="14">
        <v>14.0</v>
      </c>
      <c r="B323" s="15" t="s">
        <v>6556</v>
      </c>
      <c r="C323" s="16">
        <v>25186.0</v>
      </c>
      <c r="D323" s="17" t="s">
        <v>6557</v>
      </c>
    </row>
    <row r="324">
      <c r="A324" s="14" t="s">
        <v>5908</v>
      </c>
      <c r="B324" s="15" t="s">
        <v>6558</v>
      </c>
      <c r="C324" s="16">
        <v>25188.0</v>
      </c>
      <c r="D324" s="17" t="s">
        <v>6559</v>
      </c>
    </row>
    <row r="325">
      <c r="A325" s="14">
        <v>16.0</v>
      </c>
      <c r="B325" s="15" t="s">
        <v>6560</v>
      </c>
      <c r="C325" s="16">
        <v>25188.0</v>
      </c>
      <c r="D325" s="17" t="s">
        <v>6561</v>
      </c>
    </row>
    <row r="326">
      <c r="A326" s="14" t="s">
        <v>5908</v>
      </c>
      <c r="B326" s="15" t="s">
        <v>6562</v>
      </c>
      <c r="C326" s="16">
        <v>25191.0</v>
      </c>
      <c r="D326" s="17" t="s">
        <v>6563</v>
      </c>
    </row>
    <row r="327">
      <c r="A327" s="14" t="s">
        <v>6057</v>
      </c>
      <c r="B327" s="15" t="s">
        <v>6564</v>
      </c>
      <c r="C327" s="16">
        <v>25191.0</v>
      </c>
      <c r="D327" s="17" t="s">
        <v>6565</v>
      </c>
    </row>
    <row r="328">
      <c r="A328" s="14">
        <v>19.0</v>
      </c>
      <c r="B328" s="15" t="s">
        <v>6566</v>
      </c>
      <c r="C328" s="16">
        <v>25191.0</v>
      </c>
      <c r="D328" s="17" t="s">
        <v>6567</v>
      </c>
    </row>
    <row r="329">
      <c r="A329" s="14">
        <v>19.0</v>
      </c>
      <c r="B329" s="15" t="s">
        <v>6568</v>
      </c>
      <c r="C329" s="16">
        <v>25191.0</v>
      </c>
      <c r="D329" s="17" t="s">
        <v>6569</v>
      </c>
    </row>
    <row r="330">
      <c r="A330" s="14" t="s">
        <v>5965</v>
      </c>
      <c r="B330" s="15" t="s">
        <v>6570</v>
      </c>
      <c r="C330" s="16">
        <v>25192.0</v>
      </c>
      <c r="D330" s="17" t="s">
        <v>6571</v>
      </c>
    </row>
    <row r="331">
      <c r="A331" s="14">
        <v>20.0</v>
      </c>
      <c r="B331" s="15" t="s">
        <v>6572</v>
      </c>
      <c r="C331" s="16">
        <v>25192.0</v>
      </c>
      <c r="D331" s="17" t="s">
        <v>6573</v>
      </c>
    </row>
    <row r="332">
      <c r="A332" s="14" t="s">
        <v>358</v>
      </c>
      <c r="B332" s="15" t="s">
        <v>6574</v>
      </c>
      <c r="C332" s="16">
        <v>25194.0</v>
      </c>
      <c r="D332" s="17" t="s">
        <v>6575</v>
      </c>
    </row>
    <row r="333">
      <c r="A333" s="14">
        <v>22.0</v>
      </c>
      <c r="B333" s="15" t="s">
        <v>6576</v>
      </c>
      <c r="C333" s="16">
        <v>25194.0</v>
      </c>
      <c r="D333" s="17" t="s">
        <v>6577</v>
      </c>
    </row>
    <row r="334">
      <c r="A334" s="14" t="s">
        <v>5965</v>
      </c>
      <c r="B334" s="15" t="s">
        <v>6578</v>
      </c>
      <c r="C334" s="16">
        <v>25195.0</v>
      </c>
      <c r="D334" s="17" t="s">
        <v>6579</v>
      </c>
    </row>
    <row r="335">
      <c r="A335" s="14" t="s">
        <v>6057</v>
      </c>
      <c r="B335" s="15" t="s">
        <v>6580</v>
      </c>
      <c r="C335" s="16">
        <v>25195.0</v>
      </c>
      <c r="D335" s="17" t="s">
        <v>6581</v>
      </c>
    </row>
    <row r="336">
      <c r="A336" s="14">
        <v>23.0</v>
      </c>
      <c r="B336" s="15" t="s">
        <v>6582</v>
      </c>
      <c r="C336" s="16">
        <v>25195.0</v>
      </c>
      <c r="D336" s="17" t="s">
        <v>6583</v>
      </c>
    </row>
    <row r="337">
      <c r="A337" s="14">
        <v>23.0</v>
      </c>
      <c r="B337" s="15" t="s">
        <v>6584</v>
      </c>
      <c r="C337" s="16">
        <v>25195.0</v>
      </c>
      <c r="D337" s="17" t="s">
        <v>6585</v>
      </c>
    </row>
    <row r="338">
      <c r="A338" s="14" t="s">
        <v>358</v>
      </c>
      <c r="B338" s="15" t="s">
        <v>6586</v>
      </c>
      <c r="C338" s="16">
        <v>25198.0</v>
      </c>
      <c r="D338" s="17" t="s">
        <v>6587</v>
      </c>
    </row>
    <row r="339">
      <c r="A339" s="14">
        <v>26.0</v>
      </c>
      <c r="B339" s="15" t="s">
        <v>6588</v>
      </c>
      <c r="C339" s="16">
        <v>25198.0</v>
      </c>
      <c r="D339" s="17" t="s">
        <v>6589</v>
      </c>
    </row>
    <row r="340">
      <c r="A340" s="14" t="s">
        <v>5965</v>
      </c>
      <c r="B340" s="15" t="s">
        <v>6590</v>
      </c>
      <c r="C340" s="16">
        <v>25199.0</v>
      </c>
      <c r="D340" s="17" t="s">
        <v>6591</v>
      </c>
    </row>
    <row r="341">
      <c r="A341" s="14">
        <v>27.0</v>
      </c>
      <c r="B341" s="15" t="s">
        <v>6592</v>
      </c>
      <c r="C341" s="16">
        <v>25199.0</v>
      </c>
      <c r="D341" s="17" t="s">
        <v>6593</v>
      </c>
    </row>
    <row r="342">
      <c r="A342" s="14" t="s">
        <v>5965</v>
      </c>
      <c r="B342" s="15" t="s">
        <v>6594</v>
      </c>
      <c r="C342" s="16">
        <v>25202.0</v>
      </c>
      <c r="D342" s="17" t="s">
        <v>6595</v>
      </c>
    </row>
    <row r="343">
      <c r="A343" s="14" t="s">
        <v>358</v>
      </c>
      <c r="B343" s="15" t="s">
        <v>6596</v>
      </c>
      <c r="C343" s="16">
        <v>25202.0</v>
      </c>
      <c r="D343" s="17" t="s">
        <v>6597</v>
      </c>
    </row>
    <row r="344">
      <c r="A344" s="14">
        <v>30.0</v>
      </c>
      <c r="B344" s="15" t="s">
        <v>6598</v>
      </c>
      <c r="C344" s="16">
        <v>25202.0</v>
      </c>
      <c r="D344" s="17" t="s">
        <v>6599</v>
      </c>
    </row>
    <row r="345">
      <c r="A345" s="14">
        <v>30.0</v>
      </c>
      <c r="B345" s="15" t="s">
        <v>6600</v>
      </c>
      <c r="C345" s="16">
        <v>25202.0</v>
      </c>
      <c r="D345" s="17" t="s">
        <v>6601</v>
      </c>
    </row>
    <row r="346">
      <c r="A346" s="14" t="s">
        <v>5965</v>
      </c>
      <c r="B346" s="15" t="s">
        <v>6602</v>
      </c>
      <c r="C346" s="16">
        <v>25204.0</v>
      </c>
      <c r="D346" s="17" t="s">
        <v>6603</v>
      </c>
    </row>
    <row r="347">
      <c r="A347" s="14">
        <v>1.0</v>
      </c>
      <c r="B347" s="15" t="s">
        <v>6604</v>
      </c>
      <c r="C347" s="16">
        <v>25204.0</v>
      </c>
      <c r="D347" s="17" t="s">
        <v>6605</v>
      </c>
    </row>
    <row r="348">
      <c r="A348" s="14" t="s">
        <v>5986</v>
      </c>
      <c r="B348" s="15" t="s">
        <v>6606</v>
      </c>
      <c r="C348" s="16">
        <v>25206.0</v>
      </c>
      <c r="D348" s="17" t="s">
        <v>6607</v>
      </c>
    </row>
    <row r="349">
      <c r="A349" s="14">
        <v>3.0</v>
      </c>
      <c r="B349" s="15" t="s">
        <v>6608</v>
      </c>
      <c r="C349" s="16">
        <v>25206.0</v>
      </c>
      <c r="D349" s="17" t="s">
        <v>6609</v>
      </c>
    </row>
    <row r="350">
      <c r="A350" s="14" t="s">
        <v>6057</v>
      </c>
      <c r="B350" s="15" t="s">
        <v>6610</v>
      </c>
      <c r="C350" s="16">
        <v>25208.0</v>
      </c>
      <c r="D350" s="17" t="s">
        <v>6611</v>
      </c>
    </row>
    <row r="351">
      <c r="A351" s="14">
        <v>5.0</v>
      </c>
      <c r="B351" s="15" t="s">
        <v>6612</v>
      </c>
      <c r="C351" s="16">
        <v>25208.0</v>
      </c>
      <c r="D351" s="17" t="s">
        <v>6613</v>
      </c>
    </row>
    <row r="352">
      <c r="A352" s="14" t="s">
        <v>5986</v>
      </c>
      <c r="B352" s="15" t="s">
        <v>6614</v>
      </c>
      <c r="C352" s="16">
        <v>25209.0</v>
      </c>
      <c r="D352" s="17" t="s">
        <v>6615</v>
      </c>
    </row>
    <row r="353">
      <c r="A353" s="14">
        <v>6.0</v>
      </c>
      <c r="B353" s="15" t="s">
        <v>6616</v>
      </c>
      <c r="C353" s="16">
        <v>25209.0</v>
      </c>
      <c r="D353" s="17" t="s">
        <v>6617</v>
      </c>
    </row>
    <row r="354">
      <c r="A354" s="14" t="s">
        <v>6057</v>
      </c>
      <c r="B354" s="15" t="s">
        <v>6618</v>
      </c>
      <c r="C354" s="16">
        <v>25210.0</v>
      </c>
      <c r="D354" s="17" t="s">
        <v>6619</v>
      </c>
    </row>
    <row r="355">
      <c r="A355" s="14">
        <v>7.0</v>
      </c>
      <c r="B355" s="15" t="s">
        <v>6620</v>
      </c>
      <c r="C355" s="16">
        <v>25210.0</v>
      </c>
      <c r="D355" s="17" t="s">
        <v>6621</v>
      </c>
    </row>
    <row r="356">
      <c r="A356" s="14" t="s">
        <v>5986</v>
      </c>
      <c r="B356" s="15" t="s">
        <v>6622</v>
      </c>
      <c r="C356" s="16">
        <v>25211.0</v>
      </c>
      <c r="D356" s="17" t="s">
        <v>6623</v>
      </c>
    </row>
    <row r="357">
      <c r="A357" s="14">
        <v>8.0</v>
      </c>
      <c r="B357" s="15" t="s">
        <v>6624</v>
      </c>
      <c r="C357" s="16">
        <v>25211.0</v>
      </c>
      <c r="D357" s="17" t="s">
        <v>6625</v>
      </c>
    </row>
    <row r="358">
      <c r="A358" s="14" t="s">
        <v>5986</v>
      </c>
      <c r="B358" s="15" t="s">
        <v>6626</v>
      </c>
      <c r="C358" s="16">
        <v>25213.0</v>
      </c>
      <c r="D358" s="17" t="s">
        <v>6627</v>
      </c>
    </row>
    <row r="359">
      <c r="A359" s="14">
        <v>10.0</v>
      </c>
      <c r="B359" s="15" t="s">
        <v>6628</v>
      </c>
      <c r="C359" s="16">
        <v>25213.0</v>
      </c>
      <c r="D359" s="17" t="s">
        <v>6629</v>
      </c>
    </row>
    <row r="360">
      <c r="A360" s="14" t="s">
        <v>6087</v>
      </c>
      <c r="B360" s="15" t="s">
        <v>6630</v>
      </c>
      <c r="C360" s="16">
        <v>25234.0</v>
      </c>
      <c r="D360" s="17" t="s">
        <v>6631</v>
      </c>
    </row>
    <row r="361">
      <c r="A361" s="14">
        <v>31.0</v>
      </c>
      <c r="B361" s="15" t="s">
        <v>6632</v>
      </c>
      <c r="C361" s="16">
        <v>25234.0</v>
      </c>
      <c r="D361" s="17" t="s">
        <v>6633</v>
      </c>
    </row>
    <row r="362">
      <c r="A362" s="14" t="s">
        <v>6087</v>
      </c>
      <c r="B362" s="15" t="s">
        <v>6634</v>
      </c>
      <c r="C362" s="16">
        <v>25241.0</v>
      </c>
      <c r="D362" s="17" t="s">
        <v>6635</v>
      </c>
    </row>
    <row r="363">
      <c r="A363" s="14">
        <v>7.0</v>
      </c>
      <c r="B363" s="15" t="s">
        <v>6636</v>
      </c>
      <c r="C363" s="16">
        <v>25241.0</v>
      </c>
      <c r="D363" s="17" t="s">
        <v>6637</v>
      </c>
    </row>
    <row r="364">
      <c r="A364" s="14" t="s">
        <v>6057</v>
      </c>
      <c r="B364" s="15" t="s">
        <v>6638</v>
      </c>
      <c r="C364" s="16">
        <v>25243.0</v>
      </c>
      <c r="D364" s="17" t="s">
        <v>6639</v>
      </c>
    </row>
    <row r="365">
      <c r="A365" s="14">
        <v>9.0</v>
      </c>
      <c r="B365" s="15" t="s">
        <v>6640</v>
      </c>
      <c r="C365" s="16">
        <v>25243.0</v>
      </c>
      <c r="D365" s="17" t="s">
        <v>6641</v>
      </c>
    </row>
    <row r="366">
      <c r="A366" s="14" t="s">
        <v>6057</v>
      </c>
      <c r="B366" s="15" t="s">
        <v>6642</v>
      </c>
      <c r="C366" s="16">
        <v>25244.0</v>
      </c>
      <c r="D366" s="17" t="s">
        <v>6643</v>
      </c>
    </row>
    <row r="367">
      <c r="A367" s="14">
        <v>10.0</v>
      </c>
      <c r="B367" s="15" t="s">
        <v>6644</v>
      </c>
      <c r="C367" s="16">
        <v>25244.0</v>
      </c>
      <c r="D367" s="17" t="s">
        <v>6645</v>
      </c>
    </row>
    <row r="368">
      <c r="A368" s="14" t="s">
        <v>6040</v>
      </c>
      <c r="B368" s="15" t="s">
        <v>6646</v>
      </c>
      <c r="C368" s="16">
        <v>25247.0</v>
      </c>
      <c r="D368" s="17" t="s">
        <v>6647</v>
      </c>
    </row>
    <row r="369">
      <c r="A369" s="14">
        <v>13.0</v>
      </c>
      <c r="B369" s="15" t="s">
        <v>6648</v>
      </c>
      <c r="C369" s="16">
        <v>25247.0</v>
      </c>
      <c r="D369" s="17" t="s">
        <v>6649</v>
      </c>
    </row>
    <row r="370">
      <c r="A370" s="14" t="s">
        <v>6040</v>
      </c>
      <c r="B370" s="15" t="s">
        <v>6650</v>
      </c>
      <c r="C370" s="16">
        <v>25248.0</v>
      </c>
      <c r="D370" s="17" t="s">
        <v>6651</v>
      </c>
    </row>
    <row r="371">
      <c r="A371" s="14">
        <v>14.0</v>
      </c>
      <c r="B371" s="15" t="s">
        <v>6652</v>
      </c>
      <c r="C371" s="16">
        <v>25248.0</v>
      </c>
      <c r="D371" s="17" t="s">
        <v>6653</v>
      </c>
    </row>
    <row r="372">
      <c r="A372" s="14" t="s">
        <v>6040</v>
      </c>
      <c r="B372" s="15" t="s">
        <v>6654</v>
      </c>
      <c r="C372" s="16">
        <v>25249.0</v>
      </c>
      <c r="D372" s="17" t="s">
        <v>6655</v>
      </c>
    </row>
    <row r="373">
      <c r="A373" s="14">
        <v>15.0</v>
      </c>
      <c r="B373" s="15" t="s">
        <v>6656</v>
      </c>
      <c r="C373" s="16">
        <v>25249.0</v>
      </c>
      <c r="D373" s="17" t="s">
        <v>6657</v>
      </c>
    </row>
    <row r="374">
      <c r="A374" s="14" t="s">
        <v>6040</v>
      </c>
      <c r="B374" s="15" t="s">
        <v>6658</v>
      </c>
      <c r="C374" s="16">
        <v>25250.0</v>
      </c>
      <c r="D374" s="17" t="s">
        <v>6659</v>
      </c>
    </row>
    <row r="375">
      <c r="A375" s="14">
        <v>16.0</v>
      </c>
      <c r="B375" s="15" t="s">
        <v>6660</v>
      </c>
      <c r="C375" s="16">
        <v>25250.0</v>
      </c>
      <c r="D375" s="17" t="s">
        <v>6661</v>
      </c>
    </row>
    <row r="376">
      <c r="A376" s="14" t="s">
        <v>6040</v>
      </c>
      <c r="B376" s="15" t="s">
        <v>6662</v>
      </c>
      <c r="C376" s="16">
        <v>25251.0</v>
      </c>
      <c r="D376" s="17" t="s">
        <v>6663</v>
      </c>
    </row>
    <row r="377">
      <c r="A377" s="14">
        <v>17.0</v>
      </c>
      <c r="B377" s="15" t="s">
        <v>6664</v>
      </c>
      <c r="C377" s="16">
        <v>25251.0</v>
      </c>
      <c r="D377" s="17" t="s">
        <v>6665</v>
      </c>
    </row>
    <row r="378">
      <c r="A378" s="14" t="s">
        <v>6040</v>
      </c>
      <c r="B378" s="15" t="s">
        <v>6666</v>
      </c>
      <c r="C378" s="16">
        <v>25252.0</v>
      </c>
      <c r="D378" s="17" t="s">
        <v>6667</v>
      </c>
    </row>
    <row r="379">
      <c r="A379" s="14">
        <v>18.0</v>
      </c>
      <c r="B379" s="15" t="s">
        <v>6668</v>
      </c>
      <c r="C379" s="16">
        <v>25252.0</v>
      </c>
      <c r="D379" s="17" t="s">
        <v>6669</v>
      </c>
    </row>
    <row r="380">
      <c r="A380" s="14" t="s">
        <v>6040</v>
      </c>
      <c r="B380" s="15" t="s">
        <v>6670</v>
      </c>
      <c r="C380" s="16">
        <v>25253.0</v>
      </c>
      <c r="D380" s="17" t="s">
        <v>6671</v>
      </c>
    </row>
    <row r="381">
      <c r="A381" s="14">
        <v>19.0</v>
      </c>
      <c r="B381" s="15" t="s">
        <v>6672</v>
      </c>
      <c r="C381" s="16">
        <v>25253.0</v>
      </c>
      <c r="D381" s="17" t="s">
        <v>6673</v>
      </c>
    </row>
    <row r="382">
      <c r="A382" s="14" t="s">
        <v>6087</v>
      </c>
      <c r="B382" s="15" t="s">
        <v>6674</v>
      </c>
      <c r="C382" s="16">
        <v>25267.0</v>
      </c>
      <c r="D382" s="17" t="s">
        <v>6675</v>
      </c>
    </row>
    <row r="383">
      <c r="A383" s="14" t="s">
        <v>6087</v>
      </c>
      <c r="B383" s="15" t="s">
        <v>6676</v>
      </c>
      <c r="C383" s="16">
        <v>25267.0</v>
      </c>
      <c r="D383" s="17" t="s">
        <v>6677</v>
      </c>
    </row>
    <row r="384">
      <c r="A384" s="14">
        <v>5.0</v>
      </c>
      <c r="B384" s="15" t="s">
        <v>6678</v>
      </c>
      <c r="C384" s="16">
        <v>25267.0</v>
      </c>
      <c r="D384" s="17" t="s">
        <v>6679</v>
      </c>
    </row>
    <row r="385">
      <c r="A385" s="14">
        <v>5.0</v>
      </c>
      <c r="B385" s="15" t="s">
        <v>6680</v>
      </c>
      <c r="C385" s="16">
        <v>25267.0</v>
      </c>
      <c r="D385" s="17" t="s">
        <v>6681</v>
      </c>
    </row>
    <row r="386">
      <c r="A386" s="14" t="s">
        <v>6057</v>
      </c>
      <c r="B386" s="15" t="s">
        <v>6682</v>
      </c>
      <c r="C386" s="16">
        <v>25285.0</v>
      </c>
      <c r="D386" s="17" t="s">
        <v>6683</v>
      </c>
    </row>
    <row r="387">
      <c r="A387" s="14">
        <v>23.0</v>
      </c>
      <c r="B387" s="15" t="s">
        <v>6684</v>
      </c>
      <c r="C387" s="16">
        <v>25285.0</v>
      </c>
      <c r="D387" s="17" t="s">
        <v>6685</v>
      </c>
    </row>
    <row r="388">
      <c r="A388" s="14" t="s">
        <v>6344</v>
      </c>
      <c r="B388" s="15" t="s">
        <v>6686</v>
      </c>
      <c r="C388" s="16">
        <v>25286.0</v>
      </c>
      <c r="D388" s="17" t="s">
        <v>6687</v>
      </c>
    </row>
    <row r="389">
      <c r="A389" s="14">
        <v>24.0</v>
      </c>
      <c r="B389" s="15" t="s">
        <v>6688</v>
      </c>
      <c r="C389" s="16">
        <v>25286.0</v>
      </c>
      <c r="D389" s="17" t="s">
        <v>6689</v>
      </c>
    </row>
    <row r="390">
      <c r="A390" s="14" t="s">
        <v>6087</v>
      </c>
      <c r="B390" s="15" t="s">
        <v>6690</v>
      </c>
      <c r="C390" s="16">
        <v>25289.0</v>
      </c>
      <c r="D390" s="17" t="s">
        <v>6691</v>
      </c>
    </row>
    <row r="391">
      <c r="A391" s="14">
        <v>27.0</v>
      </c>
      <c r="B391" s="15" t="s">
        <v>6692</v>
      </c>
      <c r="C391" s="16">
        <v>25289.0</v>
      </c>
      <c r="D391" s="17" t="s">
        <v>6693</v>
      </c>
    </row>
    <row r="392">
      <c r="A392" s="14" t="s">
        <v>6344</v>
      </c>
      <c r="B392" s="15" t="s">
        <v>6694</v>
      </c>
      <c r="C392" s="16">
        <v>25302.0</v>
      </c>
      <c r="D392" s="17" t="s">
        <v>6695</v>
      </c>
    </row>
    <row r="393">
      <c r="A393" s="14" t="s">
        <v>6057</v>
      </c>
      <c r="B393" s="15" t="s">
        <v>6696</v>
      </c>
      <c r="C393" s="16">
        <v>25302.0</v>
      </c>
      <c r="D393" s="17" t="s">
        <v>6697</v>
      </c>
    </row>
    <row r="394">
      <c r="A394" s="14">
        <v>9.0</v>
      </c>
      <c r="B394" s="15" t="s">
        <v>6698</v>
      </c>
      <c r="C394" s="16">
        <v>25302.0</v>
      </c>
      <c r="D394" s="17" t="s">
        <v>6699</v>
      </c>
    </row>
    <row r="395">
      <c r="A395" s="14">
        <v>9.0</v>
      </c>
      <c r="B395" s="15" t="s">
        <v>6700</v>
      </c>
      <c r="C395" s="16">
        <v>25302.0</v>
      </c>
      <c r="D395" s="17" t="s">
        <v>6701</v>
      </c>
    </row>
    <row r="396">
      <c r="A396" s="14" t="s">
        <v>6487</v>
      </c>
      <c r="B396" s="15" t="s">
        <v>6702</v>
      </c>
      <c r="C396" s="16">
        <v>25303.0</v>
      </c>
      <c r="D396" s="17" t="s">
        <v>6703</v>
      </c>
    </row>
    <row r="397">
      <c r="A397" s="14">
        <v>10.0</v>
      </c>
      <c r="B397" s="15" t="s">
        <v>6704</v>
      </c>
      <c r="C397" s="16">
        <v>25303.0</v>
      </c>
      <c r="D397" s="17" t="s">
        <v>6705</v>
      </c>
    </row>
    <row r="398">
      <c r="A398" s="14" t="s">
        <v>6057</v>
      </c>
      <c r="B398" s="15" t="s">
        <v>6706</v>
      </c>
      <c r="C398" s="16">
        <v>25304.0</v>
      </c>
      <c r="D398" s="17" t="s">
        <v>6707</v>
      </c>
    </row>
    <row r="399">
      <c r="A399" s="14">
        <v>11.0</v>
      </c>
      <c r="B399" s="15" t="s">
        <v>6708</v>
      </c>
      <c r="C399" s="16">
        <v>25304.0</v>
      </c>
      <c r="D399" s="17" t="s">
        <v>6709</v>
      </c>
    </row>
    <row r="400">
      <c r="A400" s="14" t="s">
        <v>6710</v>
      </c>
      <c r="B400" s="15" t="s">
        <v>6711</v>
      </c>
      <c r="C400" s="16">
        <v>25306.0</v>
      </c>
      <c r="D400" s="17" t="s">
        <v>6712</v>
      </c>
    </row>
    <row r="401">
      <c r="A401" s="14">
        <v>13.0</v>
      </c>
      <c r="B401" s="15" t="s">
        <v>6713</v>
      </c>
      <c r="C401" s="16">
        <v>25306.0</v>
      </c>
      <c r="D401" s="17" t="s">
        <v>6714</v>
      </c>
    </row>
    <row r="402">
      <c r="A402" s="14" t="s">
        <v>6057</v>
      </c>
      <c r="B402" s="15" t="s">
        <v>6715</v>
      </c>
      <c r="C402" s="16">
        <v>25310.0</v>
      </c>
      <c r="D402" s="17" t="s">
        <v>6716</v>
      </c>
    </row>
    <row r="403">
      <c r="A403" s="14">
        <v>17.0</v>
      </c>
      <c r="B403" s="15" t="s">
        <v>6717</v>
      </c>
      <c r="C403" s="16">
        <v>25310.0</v>
      </c>
      <c r="D403" s="17" t="s">
        <v>6718</v>
      </c>
    </row>
    <row r="404">
      <c r="A404" s="14" t="s">
        <v>6353</v>
      </c>
      <c r="B404" s="15" t="s">
        <v>6719</v>
      </c>
      <c r="C404" s="16">
        <v>25322.0</v>
      </c>
      <c r="D404" s="17" t="s">
        <v>6720</v>
      </c>
    </row>
    <row r="405">
      <c r="A405" s="14">
        <v>29.0</v>
      </c>
      <c r="B405" s="15" t="s">
        <v>6721</v>
      </c>
      <c r="C405" s="16">
        <v>25322.0</v>
      </c>
      <c r="D405" s="17" t="s">
        <v>6722</v>
      </c>
    </row>
    <row r="406">
      <c r="A406" s="14" t="s">
        <v>6087</v>
      </c>
      <c r="B406" s="15" t="s">
        <v>6723</v>
      </c>
      <c r="C406" s="16">
        <v>25324.0</v>
      </c>
      <c r="D406" s="17" t="s">
        <v>6724</v>
      </c>
    </row>
    <row r="407">
      <c r="A407" s="14" t="s">
        <v>6057</v>
      </c>
      <c r="B407" s="15" t="s">
        <v>6725</v>
      </c>
      <c r="C407" s="16">
        <v>25324.0</v>
      </c>
      <c r="D407" s="17" t="s">
        <v>6726</v>
      </c>
    </row>
    <row r="408">
      <c r="A408" s="14">
        <v>1.0</v>
      </c>
      <c r="B408" s="15" t="s">
        <v>6727</v>
      </c>
      <c r="C408" s="16">
        <v>25324.0</v>
      </c>
      <c r="D408" s="17" t="s">
        <v>6728</v>
      </c>
    </row>
    <row r="409">
      <c r="A409" s="14">
        <v>1.0</v>
      </c>
      <c r="B409" s="15" t="s">
        <v>6729</v>
      </c>
      <c r="C409" s="16">
        <v>25324.0</v>
      </c>
      <c r="D409" s="17" t="s">
        <v>6730</v>
      </c>
    </row>
    <row r="410">
      <c r="A410" s="14" t="s">
        <v>6057</v>
      </c>
      <c r="B410" s="15" t="s">
        <v>6731</v>
      </c>
      <c r="C410" s="16">
        <v>25326.0</v>
      </c>
      <c r="D410" s="17" t="s">
        <v>6732</v>
      </c>
    </row>
    <row r="411">
      <c r="A411" s="14">
        <v>3.0</v>
      </c>
      <c r="B411" s="15" t="s">
        <v>6733</v>
      </c>
      <c r="C411" s="16">
        <v>25326.0</v>
      </c>
      <c r="D411" s="17" t="s">
        <v>6734</v>
      </c>
    </row>
    <row r="412">
      <c r="A412" s="14" t="s">
        <v>5986</v>
      </c>
      <c r="B412" s="15" t="s">
        <v>6735</v>
      </c>
      <c r="C412" s="16">
        <v>25332.0</v>
      </c>
      <c r="D412" s="17" t="s">
        <v>6736</v>
      </c>
    </row>
    <row r="413">
      <c r="A413" s="14" t="s">
        <v>5986</v>
      </c>
      <c r="B413" s="15" t="s">
        <v>6737</v>
      </c>
      <c r="C413" s="16">
        <v>25332.0</v>
      </c>
      <c r="D413" s="17" t="s">
        <v>6738</v>
      </c>
    </row>
    <row r="414">
      <c r="A414" s="14" t="s">
        <v>6087</v>
      </c>
      <c r="B414" s="15" t="s">
        <v>6739</v>
      </c>
      <c r="C414" s="16">
        <v>25332.0</v>
      </c>
      <c r="D414" s="17" t="s">
        <v>6740</v>
      </c>
    </row>
    <row r="415">
      <c r="A415" s="14">
        <v>9.0</v>
      </c>
      <c r="B415" s="15" t="s">
        <v>6741</v>
      </c>
      <c r="C415" s="16">
        <v>25332.0</v>
      </c>
      <c r="D415" s="17" t="s">
        <v>6742</v>
      </c>
    </row>
    <row r="416">
      <c r="A416" s="14">
        <v>9.0</v>
      </c>
      <c r="B416" s="15" t="s">
        <v>6743</v>
      </c>
      <c r="C416" s="16">
        <v>25332.0</v>
      </c>
      <c r="D416" s="17" t="s">
        <v>6744</v>
      </c>
    </row>
    <row r="417">
      <c r="A417" s="14" t="s">
        <v>6353</v>
      </c>
      <c r="B417" s="15" t="s">
        <v>6745</v>
      </c>
      <c r="C417" s="16">
        <v>25333.0</v>
      </c>
      <c r="D417" s="17" t="s">
        <v>6746</v>
      </c>
    </row>
    <row r="418">
      <c r="A418" s="14" t="s">
        <v>6353</v>
      </c>
      <c r="B418" s="15" t="s">
        <v>6747</v>
      </c>
      <c r="C418" s="16">
        <v>25333.0</v>
      </c>
      <c r="D418" s="17" t="s">
        <v>6748</v>
      </c>
    </row>
    <row r="419">
      <c r="A419" s="14">
        <v>10.0</v>
      </c>
      <c r="B419" s="15" t="s">
        <v>6749</v>
      </c>
      <c r="C419" s="16">
        <v>25333.0</v>
      </c>
      <c r="D419" s="17" t="s">
        <v>6750</v>
      </c>
    </row>
    <row r="420">
      <c r="A420" s="14">
        <v>10.0</v>
      </c>
      <c r="B420" s="15" t="s">
        <v>6751</v>
      </c>
      <c r="C420" s="16">
        <v>25333.0</v>
      </c>
      <c r="D420" s="17" t="s">
        <v>6752</v>
      </c>
    </row>
    <row r="421">
      <c r="A421" s="14" t="s">
        <v>6753</v>
      </c>
      <c r="B421" s="15" t="s">
        <v>6754</v>
      </c>
      <c r="C421" s="16">
        <v>25334.0</v>
      </c>
      <c r="D421" s="17" t="s">
        <v>6755</v>
      </c>
    </row>
    <row r="422">
      <c r="A422" s="14" t="s">
        <v>6353</v>
      </c>
      <c r="B422" s="15" t="s">
        <v>6756</v>
      </c>
      <c r="C422" s="16">
        <v>25334.0</v>
      </c>
      <c r="D422" s="17" t="s">
        <v>6757</v>
      </c>
    </row>
    <row r="423">
      <c r="A423" s="14">
        <v>11.0</v>
      </c>
      <c r="B423" s="15" t="s">
        <v>6758</v>
      </c>
      <c r="C423" s="16">
        <v>25334.0</v>
      </c>
      <c r="D423" s="17" t="s">
        <v>6759</v>
      </c>
    </row>
    <row r="424">
      <c r="A424" s="14">
        <v>11.0</v>
      </c>
      <c r="B424" s="15" t="s">
        <v>6760</v>
      </c>
      <c r="C424" s="16">
        <v>25334.0</v>
      </c>
      <c r="D424" s="17" t="s">
        <v>6761</v>
      </c>
    </row>
    <row r="425">
      <c r="A425" s="14" t="s">
        <v>6353</v>
      </c>
      <c r="B425" s="15" t="s">
        <v>6762</v>
      </c>
      <c r="C425" s="16">
        <v>25335.0</v>
      </c>
      <c r="D425" s="17" t="s">
        <v>6763</v>
      </c>
    </row>
    <row r="426">
      <c r="A426" s="14" t="s">
        <v>6057</v>
      </c>
      <c r="B426" s="15" t="s">
        <v>6764</v>
      </c>
      <c r="C426" s="16">
        <v>25335.0</v>
      </c>
      <c r="D426" s="17" t="s">
        <v>6765</v>
      </c>
    </row>
    <row r="427">
      <c r="A427" s="14">
        <v>12.0</v>
      </c>
      <c r="B427" s="15" t="s">
        <v>6766</v>
      </c>
      <c r="C427" s="16">
        <v>25335.0</v>
      </c>
      <c r="D427" s="17" t="s">
        <v>6767</v>
      </c>
    </row>
    <row r="428">
      <c r="A428" s="14">
        <v>12.0</v>
      </c>
      <c r="B428" s="15" t="s">
        <v>6768</v>
      </c>
      <c r="C428" s="16">
        <v>25335.0</v>
      </c>
      <c r="D428" s="17" t="s">
        <v>6769</v>
      </c>
    </row>
    <row r="429">
      <c r="A429" s="14" t="s">
        <v>6353</v>
      </c>
      <c r="B429" s="15" t="s">
        <v>6770</v>
      </c>
      <c r="C429" s="16">
        <v>25336.0</v>
      </c>
      <c r="D429" s="17" t="s">
        <v>6771</v>
      </c>
    </row>
    <row r="430">
      <c r="A430" s="14">
        <v>13.0</v>
      </c>
      <c r="B430" s="15" t="s">
        <v>6772</v>
      </c>
      <c r="C430" s="16">
        <v>25336.0</v>
      </c>
      <c r="D430" s="17" t="s">
        <v>6773</v>
      </c>
    </row>
    <row r="431">
      <c r="A431" s="14" t="s">
        <v>6353</v>
      </c>
      <c r="B431" s="15" t="s">
        <v>6774</v>
      </c>
      <c r="C431" s="16">
        <v>25337.0</v>
      </c>
      <c r="D431" s="17" t="s">
        <v>6775</v>
      </c>
    </row>
    <row r="432">
      <c r="A432" s="14" t="s">
        <v>6057</v>
      </c>
      <c r="B432" s="15" t="s">
        <v>6776</v>
      </c>
      <c r="C432" s="16">
        <v>25337.0</v>
      </c>
      <c r="D432" s="17" t="s">
        <v>6777</v>
      </c>
    </row>
    <row r="433">
      <c r="A433" s="14">
        <v>14.0</v>
      </c>
      <c r="B433" s="15" t="s">
        <v>6778</v>
      </c>
      <c r="C433" s="16">
        <v>25337.0</v>
      </c>
      <c r="D433" s="17" t="s">
        <v>6779</v>
      </c>
    </row>
    <row r="434">
      <c r="A434" s="14">
        <v>14.0</v>
      </c>
      <c r="B434" s="15" t="s">
        <v>6780</v>
      </c>
      <c r="C434" s="16">
        <v>25337.0</v>
      </c>
      <c r="D434" s="17" t="s">
        <v>6781</v>
      </c>
    </row>
    <row r="435">
      <c r="A435" s="14" t="s">
        <v>5932</v>
      </c>
      <c r="B435" s="15" t="s">
        <v>6782</v>
      </c>
      <c r="C435" s="16">
        <v>25346.0</v>
      </c>
      <c r="D435" s="17" t="s">
        <v>6783</v>
      </c>
    </row>
    <row r="436">
      <c r="A436" s="14">
        <v>23.0</v>
      </c>
      <c r="B436" s="15" t="s">
        <v>6784</v>
      </c>
      <c r="C436" s="16">
        <v>25346.0</v>
      </c>
      <c r="D436" s="17" t="s">
        <v>6785</v>
      </c>
    </row>
    <row r="437">
      <c r="A437" s="14" t="s">
        <v>5932</v>
      </c>
      <c r="B437" s="15" t="s">
        <v>6786</v>
      </c>
      <c r="C437" s="16">
        <v>25347.0</v>
      </c>
      <c r="D437" s="17" t="s">
        <v>6787</v>
      </c>
    </row>
    <row r="438">
      <c r="A438" s="14">
        <v>24.0</v>
      </c>
      <c r="B438" s="15" t="s">
        <v>6788</v>
      </c>
      <c r="C438" s="16">
        <v>25347.0</v>
      </c>
      <c r="D438" s="17" t="s">
        <v>6789</v>
      </c>
    </row>
    <row r="439">
      <c r="A439" s="14" t="s">
        <v>6057</v>
      </c>
      <c r="B439" s="15" t="s">
        <v>6790</v>
      </c>
      <c r="C439" s="16">
        <v>25358.0</v>
      </c>
      <c r="D439" s="17" t="s">
        <v>6791</v>
      </c>
    </row>
    <row r="440">
      <c r="A440" s="14">
        <v>4.0</v>
      </c>
      <c r="B440" s="15" t="s">
        <v>6792</v>
      </c>
      <c r="C440" s="16">
        <v>25358.0</v>
      </c>
      <c r="D440" s="17" t="s">
        <v>6793</v>
      </c>
    </row>
    <row r="441">
      <c r="A441" s="14" t="s">
        <v>5932</v>
      </c>
      <c r="B441" s="15" t="s">
        <v>6794</v>
      </c>
      <c r="C441" s="16">
        <v>25360.0</v>
      </c>
      <c r="D441" s="17" t="s">
        <v>6795</v>
      </c>
    </row>
    <row r="442">
      <c r="A442" s="14">
        <v>6.0</v>
      </c>
      <c r="B442" s="15" t="s">
        <v>6796</v>
      </c>
      <c r="C442" s="16">
        <v>25360.0</v>
      </c>
      <c r="D442" s="17" t="s">
        <v>6797</v>
      </c>
    </row>
    <row r="443">
      <c r="A443" s="14" t="s">
        <v>5932</v>
      </c>
      <c r="B443" s="15" t="s">
        <v>6798</v>
      </c>
      <c r="C443" s="16">
        <v>25364.0</v>
      </c>
      <c r="D443" s="17" t="s">
        <v>6799</v>
      </c>
    </row>
    <row r="444">
      <c r="A444" s="14">
        <v>10.0</v>
      </c>
      <c r="B444" s="15" t="s">
        <v>6800</v>
      </c>
      <c r="C444" s="16">
        <v>25364.0</v>
      </c>
      <c r="D444" s="17" t="s">
        <v>6801</v>
      </c>
    </row>
    <row r="445">
      <c r="A445" s="14" t="s">
        <v>5932</v>
      </c>
      <c r="B445" s="15" t="s">
        <v>6802</v>
      </c>
      <c r="C445" s="16">
        <v>25365.0</v>
      </c>
      <c r="D445" s="17" t="s">
        <v>6803</v>
      </c>
    </row>
    <row r="446">
      <c r="A446" s="14">
        <v>11.0</v>
      </c>
      <c r="B446" s="15" t="s">
        <v>6804</v>
      </c>
      <c r="C446" s="16">
        <v>25365.0</v>
      </c>
      <c r="D446" s="17" t="s">
        <v>6805</v>
      </c>
    </row>
    <row r="447">
      <c r="A447" s="14" t="s">
        <v>5932</v>
      </c>
      <c r="B447" s="15" t="s">
        <v>6806</v>
      </c>
      <c r="C447" s="16">
        <v>25367.0</v>
      </c>
      <c r="D447" s="17" t="s">
        <v>6807</v>
      </c>
    </row>
    <row r="448">
      <c r="A448" s="14">
        <v>13.0</v>
      </c>
      <c r="B448" s="15" t="s">
        <v>6808</v>
      </c>
      <c r="C448" s="16">
        <v>25367.0</v>
      </c>
      <c r="D448" s="17" t="s">
        <v>6809</v>
      </c>
    </row>
    <row r="449">
      <c r="A449" s="14" t="s">
        <v>5932</v>
      </c>
      <c r="B449" s="15" t="s">
        <v>6810</v>
      </c>
      <c r="C449" s="16">
        <v>25370.0</v>
      </c>
      <c r="D449" s="17" t="s">
        <v>6811</v>
      </c>
    </row>
    <row r="450">
      <c r="A450" s="14">
        <v>16.0</v>
      </c>
      <c r="B450" s="15" t="s">
        <v>6812</v>
      </c>
      <c r="C450" s="16">
        <v>25370.0</v>
      </c>
      <c r="D450" s="17" t="s">
        <v>6813</v>
      </c>
    </row>
    <row r="451">
      <c r="A451" s="14" t="s">
        <v>5932</v>
      </c>
      <c r="B451" s="15" t="s">
        <v>6814</v>
      </c>
      <c r="C451" s="16">
        <v>25372.0</v>
      </c>
      <c r="D451" s="17" t="s">
        <v>6815</v>
      </c>
    </row>
    <row r="452">
      <c r="A452" s="14">
        <v>18.0</v>
      </c>
      <c r="B452" s="15" t="s">
        <v>6816</v>
      </c>
      <c r="C452" s="16">
        <v>25372.0</v>
      </c>
      <c r="D452" s="17" t="s">
        <v>6817</v>
      </c>
    </row>
    <row r="453">
      <c r="A453" s="14" t="s">
        <v>5932</v>
      </c>
      <c r="B453" s="15" t="s">
        <v>6818</v>
      </c>
      <c r="C453" s="16">
        <v>25373.0</v>
      </c>
      <c r="D453" s="17" t="s">
        <v>6819</v>
      </c>
    </row>
    <row r="454">
      <c r="A454" s="14">
        <v>19.0</v>
      </c>
      <c r="B454" s="15" t="s">
        <v>6820</v>
      </c>
      <c r="C454" s="16">
        <v>25373.0</v>
      </c>
      <c r="D454" s="17" t="s">
        <v>6821</v>
      </c>
    </row>
    <row r="455">
      <c r="A455" s="14" t="s">
        <v>5932</v>
      </c>
      <c r="B455" s="15" t="s">
        <v>6822</v>
      </c>
      <c r="C455" s="16">
        <v>25376.0</v>
      </c>
      <c r="D455" s="17" t="s">
        <v>6823</v>
      </c>
    </row>
    <row r="456">
      <c r="A456" s="14">
        <v>22.0</v>
      </c>
      <c r="B456" s="15" t="s">
        <v>6824</v>
      </c>
      <c r="C456" s="16">
        <v>25376.0</v>
      </c>
      <c r="D456" s="17" t="s">
        <v>6825</v>
      </c>
    </row>
    <row r="457">
      <c r="A457" s="14" t="s">
        <v>5895</v>
      </c>
      <c r="B457" s="15" t="s">
        <v>6826</v>
      </c>
      <c r="C457" s="16">
        <v>25396.0</v>
      </c>
      <c r="D457" s="17" t="s">
        <v>6827</v>
      </c>
    </row>
    <row r="458">
      <c r="A458" s="14">
        <v>12.0</v>
      </c>
      <c r="B458" s="15" t="s">
        <v>6828</v>
      </c>
      <c r="C458" s="16">
        <v>25396.0</v>
      </c>
      <c r="D458" s="17" t="s">
        <v>6829</v>
      </c>
    </row>
    <row r="459">
      <c r="A459" s="14" t="s">
        <v>6087</v>
      </c>
      <c r="B459" s="15" t="s">
        <v>6830</v>
      </c>
      <c r="C459" s="16">
        <v>25400.0</v>
      </c>
      <c r="D459" s="17" t="s">
        <v>6831</v>
      </c>
    </row>
    <row r="460">
      <c r="A460" s="14">
        <v>16.0</v>
      </c>
      <c r="B460" s="15" t="s">
        <v>6832</v>
      </c>
      <c r="C460" s="16">
        <v>25400.0</v>
      </c>
      <c r="D460" s="17" t="s">
        <v>6833</v>
      </c>
    </row>
    <row r="461">
      <c r="A461" s="14" t="s">
        <v>6087</v>
      </c>
      <c r="B461" s="15" t="s">
        <v>6834</v>
      </c>
      <c r="C461" s="16">
        <v>25450.0</v>
      </c>
      <c r="D461" s="17" t="s">
        <v>6835</v>
      </c>
    </row>
    <row r="462">
      <c r="A462" s="14" t="s">
        <v>6057</v>
      </c>
      <c r="B462" s="15" t="s">
        <v>6836</v>
      </c>
      <c r="C462" s="16">
        <v>25450.0</v>
      </c>
      <c r="D462" s="17" t="s">
        <v>6837</v>
      </c>
    </row>
    <row r="463">
      <c r="A463" s="14">
        <v>4.0</v>
      </c>
      <c r="B463" s="15" t="s">
        <v>6838</v>
      </c>
      <c r="C463" s="16">
        <v>25450.0</v>
      </c>
      <c r="D463" s="17" t="s">
        <v>6839</v>
      </c>
    </row>
    <row r="464">
      <c r="A464" s="14">
        <v>4.0</v>
      </c>
      <c r="B464" s="15" t="s">
        <v>6840</v>
      </c>
      <c r="C464" s="16">
        <v>25450.0</v>
      </c>
      <c r="D464" s="17" t="s">
        <v>6841</v>
      </c>
    </row>
    <row r="465">
      <c r="A465" s="14" t="s">
        <v>6087</v>
      </c>
      <c r="B465" s="15" t="s">
        <v>6842</v>
      </c>
      <c r="C465" s="16">
        <v>25451.0</v>
      </c>
      <c r="D465" s="17" t="s">
        <v>6843</v>
      </c>
    </row>
    <row r="466">
      <c r="A466" s="14">
        <v>5.0</v>
      </c>
      <c r="B466" s="15" t="s">
        <v>6844</v>
      </c>
      <c r="C466" s="16">
        <v>25451.0</v>
      </c>
      <c r="D466" s="17" t="s">
        <v>6845</v>
      </c>
    </row>
    <row r="467">
      <c r="A467" s="14" t="s">
        <v>6074</v>
      </c>
      <c r="B467" s="15" t="s">
        <v>6846</v>
      </c>
      <c r="C467" s="16">
        <v>25454.0</v>
      </c>
      <c r="D467" s="17" t="s">
        <v>6847</v>
      </c>
    </row>
    <row r="468">
      <c r="A468" s="14">
        <v>8.0</v>
      </c>
      <c r="B468" s="15" t="s">
        <v>6848</v>
      </c>
      <c r="C468" s="16">
        <v>25454.0</v>
      </c>
      <c r="D468" s="17" t="s">
        <v>6849</v>
      </c>
    </row>
    <row r="469">
      <c r="A469" s="14" t="s">
        <v>6753</v>
      </c>
      <c r="B469" s="15" t="s">
        <v>6850</v>
      </c>
      <c r="C469" s="16">
        <v>25457.0</v>
      </c>
      <c r="D469" s="17" t="s">
        <v>6851</v>
      </c>
    </row>
    <row r="470">
      <c r="A470" s="14" t="s">
        <v>6353</v>
      </c>
      <c r="B470" s="15" t="s">
        <v>6852</v>
      </c>
      <c r="C470" s="16">
        <v>25457.0</v>
      </c>
      <c r="D470" s="17" t="s">
        <v>6853</v>
      </c>
    </row>
    <row r="471">
      <c r="A471" s="14">
        <v>11.0</v>
      </c>
      <c r="B471" s="15" t="s">
        <v>6854</v>
      </c>
      <c r="C471" s="16">
        <v>25457.0</v>
      </c>
      <c r="D471" s="17" t="s">
        <v>6855</v>
      </c>
    </row>
    <row r="472">
      <c r="A472" s="14">
        <v>11.0</v>
      </c>
      <c r="B472" s="15" t="s">
        <v>6856</v>
      </c>
      <c r="C472" s="16">
        <v>25457.0</v>
      </c>
      <c r="D472" s="17" t="s">
        <v>6857</v>
      </c>
    </row>
    <row r="473">
      <c r="A473" s="14" t="s">
        <v>6858</v>
      </c>
      <c r="B473" s="15" t="s">
        <v>6859</v>
      </c>
      <c r="C473" s="16">
        <v>25458.0</v>
      </c>
      <c r="D473" s="17" t="s">
        <v>6860</v>
      </c>
    </row>
    <row r="474">
      <c r="A474" s="14">
        <v>12.0</v>
      </c>
      <c r="B474" s="15" t="s">
        <v>6861</v>
      </c>
      <c r="C474" s="16">
        <v>25458.0</v>
      </c>
      <c r="D474" s="17" t="s">
        <v>6862</v>
      </c>
    </row>
    <row r="475">
      <c r="A475" s="14" t="s">
        <v>6057</v>
      </c>
      <c r="B475" s="15" t="s">
        <v>6863</v>
      </c>
      <c r="C475" s="16">
        <v>25461.0</v>
      </c>
      <c r="D475" s="17" t="s">
        <v>6864</v>
      </c>
    </row>
    <row r="476">
      <c r="A476" s="14">
        <v>15.0</v>
      </c>
      <c r="B476" s="15" t="s">
        <v>6865</v>
      </c>
      <c r="C476" s="16">
        <v>25461.0</v>
      </c>
      <c r="D476" s="17" t="s">
        <v>6866</v>
      </c>
    </row>
    <row r="477">
      <c r="A477" s="14" t="s">
        <v>6753</v>
      </c>
      <c r="B477" s="15" t="s">
        <v>6867</v>
      </c>
      <c r="C477" s="16">
        <v>25462.0</v>
      </c>
      <c r="D477" s="17" t="s">
        <v>6868</v>
      </c>
    </row>
    <row r="478">
      <c r="A478" s="14">
        <v>16.0</v>
      </c>
      <c r="B478" s="15" t="s">
        <v>6869</v>
      </c>
      <c r="C478" s="16">
        <v>25462.0</v>
      </c>
      <c r="D478" s="17" t="s">
        <v>6870</v>
      </c>
    </row>
    <row r="479">
      <c r="A479" s="14" t="s">
        <v>6858</v>
      </c>
      <c r="B479" s="15" t="s">
        <v>6871</v>
      </c>
      <c r="C479" s="16">
        <v>25463.0</v>
      </c>
      <c r="D479" s="17" t="s">
        <v>6872</v>
      </c>
    </row>
    <row r="480">
      <c r="A480" s="14">
        <v>17.0</v>
      </c>
      <c r="B480" s="15" t="s">
        <v>6873</v>
      </c>
      <c r="C480" s="16">
        <v>25463.0</v>
      </c>
      <c r="D480" s="17" t="s">
        <v>6874</v>
      </c>
    </row>
    <row r="481">
      <c r="A481" s="14" t="s">
        <v>6087</v>
      </c>
      <c r="B481" s="15" t="s">
        <v>6875</v>
      </c>
      <c r="C481" s="16">
        <v>25464.0</v>
      </c>
      <c r="D481" s="17" t="s">
        <v>6876</v>
      </c>
    </row>
    <row r="482">
      <c r="A482" s="14">
        <v>18.0</v>
      </c>
      <c r="B482" s="15" t="s">
        <v>6877</v>
      </c>
      <c r="C482" s="16">
        <v>25464.0</v>
      </c>
      <c r="D482" s="17" t="s">
        <v>6878</v>
      </c>
    </row>
    <row r="483">
      <c r="A483" s="14" t="s">
        <v>6087</v>
      </c>
      <c r="B483" s="15" t="s">
        <v>6879</v>
      </c>
      <c r="C483" s="16">
        <v>25469.0</v>
      </c>
      <c r="D483" s="17" t="s">
        <v>6880</v>
      </c>
    </row>
    <row r="484">
      <c r="A484" s="14">
        <v>23.0</v>
      </c>
      <c r="B484" s="15" t="s">
        <v>6881</v>
      </c>
      <c r="C484" s="16">
        <v>25469.0</v>
      </c>
      <c r="D484" s="17" t="s">
        <v>6882</v>
      </c>
    </row>
    <row r="485">
      <c r="A485" s="14" t="s">
        <v>6087</v>
      </c>
      <c r="B485" s="15" t="s">
        <v>6883</v>
      </c>
      <c r="C485" s="16">
        <v>25546.0</v>
      </c>
      <c r="D485" s="17" t="s">
        <v>6884</v>
      </c>
    </row>
    <row r="486">
      <c r="A486" s="14">
        <v>9.0</v>
      </c>
      <c r="B486" s="15" t="s">
        <v>6885</v>
      </c>
      <c r="C486" s="16">
        <v>25546.0</v>
      </c>
      <c r="D486" s="17" t="s">
        <v>6886</v>
      </c>
    </row>
    <row r="487">
      <c r="A487" s="14" t="s">
        <v>6487</v>
      </c>
      <c r="B487" s="15" t="s">
        <v>6887</v>
      </c>
      <c r="C487" s="16">
        <v>25559.0</v>
      </c>
      <c r="D487" s="17" t="s">
        <v>6888</v>
      </c>
    </row>
    <row r="488">
      <c r="A488" s="14">
        <v>22.0</v>
      </c>
      <c r="B488" s="15" t="s">
        <v>6889</v>
      </c>
      <c r="C488" s="16">
        <v>25559.0</v>
      </c>
      <c r="D488" s="17" t="s">
        <v>6890</v>
      </c>
    </row>
    <row r="489">
      <c r="A489" s="14" t="s">
        <v>6891</v>
      </c>
      <c r="B489" s="15" t="s">
        <v>6892</v>
      </c>
      <c r="C489" s="16">
        <v>25577.0</v>
      </c>
      <c r="D489" s="17" t="s">
        <v>6893</v>
      </c>
    </row>
    <row r="490">
      <c r="A490" s="14">
        <v>9.0</v>
      </c>
      <c r="B490" s="15" t="s">
        <v>6894</v>
      </c>
      <c r="C490" s="16">
        <v>25577.0</v>
      </c>
      <c r="D490" s="17" t="s">
        <v>6895</v>
      </c>
    </row>
    <row r="491">
      <c r="A491" s="14" t="s">
        <v>6891</v>
      </c>
      <c r="B491" s="15" t="s">
        <v>6896</v>
      </c>
      <c r="C491" s="16">
        <v>25585.0</v>
      </c>
      <c r="D491" s="17" t="s">
        <v>6897</v>
      </c>
    </row>
    <row r="492">
      <c r="A492" s="14">
        <v>17.0</v>
      </c>
      <c r="B492" s="15" t="s">
        <v>6898</v>
      </c>
      <c r="C492" s="16">
        <v>25585.0</v>
      </c>
      <c r="D492" s="17" t="s">
        <v>6899</v>
      </c>
    </row>
    <row r="493">
      <c r="A493" s="14" t="s">
        <v>6087</v>
      </c>
      <c r="B493" s="15" t="s">
        <v>6900</v>
      </c>
      <c r="C493" s="16">
        <v>25617.0</v>
      </c>
      <c r="D493" s="17" t="s">
        <v>6901</v>
      </c>
    </row>
    <row r="494">
      <c r="A494" s="14">
        <v>18.0</v>
      </c>
      <c r="B494" s="15" t="s">
        <v>6902</v>
      </c>
      <c r="C494" s="16">
        <v>25617.0</v>
      </c>
      <c r="D494" s="17" t="s">
        <v>6903</v>
      </c>
    </row>
    <row r="495">
      <c r="A495" s="14" t="s">
        <v>6057</v>
      </c>
      <c r="B495" s="15" t="s">
        <v>6904</v>
      </c>
      <c r="C495" s="16">
        <v>25619.0</v>
      </c>
      <c r="D495" s="17" t="s">
        <v>6905</v>
      </c>
    </row>
    <row r="496">
      <c r="A496" s="14" t="s">
        <v>6057</v>
      </c>
      <c r="B496" s="15" t="s">
        <v>6906</v>
      </c>
      <c r="C496" s="16">
        <v>25619.0</v>
      </c>
      <c r="D496" s="17" t="s">
        <v>6907</v>
      </c>
    </row>
    <row r="497">
      <c r="A497" s="14">
        <v>20.0</v>
      </c>
      <c r="B497" s="15" t="s">
        <v>6908</v>
      </c>
      <c r="C497" s="16">
        <v>25619.0</v>
      </c>
      <c r="D497" s="17" t="s">
        <v>6909</v>
      </c>
    </row>
    <row r="498">
      <c r="A498" s="14">
        <v>20.0</v>
      </c>
      <c r="B498" s="15" t="s">
        <v>6910</v>
      </c>
      <c r="C498" s="16">
        <v>25619.0</v>
      </c>
      <c r="D498" s="17" t="s">
        <v>6911</v>
      </c>
    </row>
    <row r="499">
      <c r="A499" s="14" t="s">
        <v>6057</v>
      </c>
      <c r="B499" s="15" t="s">
        <v>6912</v>
      </c>
      <c r="C499" s="16">
        <v>25674.0</v>
      </c>
      <c r="D499" s="17" t="s">
        <v>6913</v>
      </c>
    </row>
    <row r="500">
      <c r="A500" s="14">
        <v>16.0</v>
      </c>
      <c r="B500" s="15" t="s">
        <v>6914</v>
      </c>
      <c r="C500" s="16">
        <v>25674.0</v>
      </c>
      <c r="D500" s="17" t="s">
        <v>6915</v>
      </c>
    </row>
    <row r="501">
      <c r="A501" s="14" t="s">
        <v>6916</v>
      </c>
      <c r="B501" s="15" t="s">
        <v>6917</v>
      </c>
      <c r="C501" s="16">
        <v>25685.0</v>
      </c>
      <c r="D501" s="17" t="s">
        <v>6918</v>
      </c>
    </row>
    <row r="502">
      <c r="A502" s="14">
        <v>27.0</v>
      </c>
      <c r="B502" s="15" t="s">
        <v>6919</v>
      </c>
      <c r="C502" s="16">
        <v>25685.0</v>
      </c>
      <c r="D502" s="17" t="s">
        <v>6920</v>
      </c>
    </row>
    <row r="503">
      <c r="A503" s="14" t="s">
        <v>6916</v>
      </c>
      <c r="B503" s="15" t="s">
        <v>6921</v>
      </c>
      <c r="C503" s="16">
        <v>25687.0</v>
      </c>
      <c r="D503" s="17" t="s">
        <v>6922</v>
      </c>
    </row>
    <row r="504">
      <c r="A504" s="14">
        <v>29.0</v>
      </c>
      <c r="B504" s="15" t="s">
        <v>6923</v>
      </c>
      <c r="C504" s="16">
        <v>25687.0</v>
      </c>
      <c r="D504" s="17" t="s">
        <v>6924</v>
      </c>
    </row>
    <row r="505">
      <c r="A505" s="14" t="s">
        <v>6916</v>
      </c>
      <c r="B505" s="15" t="s">
        <v>6925</v>
      </c>
      <c r="C505" s="16">
        <v>25688.0</v>
      </c>
      <c r="D505" s="17" t="s">
        <v>6926</v>
      </c>
    </row>
    <row r="506">
      <c r="A506" s="14">
        <v>30.0</v>
      </c>
      <c r="B506" s="15" t="s">
        <v>6927</v>
      </c>
      <c r="C506" s="16">
        <v>25688.0</v>
      </c>
      <c r="D506" s="17" t="s">
        <v>6928</v>
      </c>
    </row>
    <row r="507">
      <c r="A507" s="14" t="s">
        <v>6916</v>
      </c>
      <c r="B507" s="15" t="s">
        <v>6929</v>
      </c>
      <c r="C507" s="16">
        <v>25690.0</v>
      </c>
      <c r="D507" s="17" t="s">
        <v>6930</v>
      </c>
    </row>
    <row r="508">
      <c r="A508" s="14">
        <v>2.0</v>
      </c>
      <c r="B508" s="15" t="s">
        <v>6931</v>
      </c>
      <c r="C508" s="16">
        <v>25690.0</v>
      </c>
      <c r="D508" s="17" t="s">
        <v>6932</v>
      </c>
    </row>
    <row r="509">
      <c r="A509" s="14" t="s">
        <v>6916</v>
      </c>
      <c r="B509" s="15" t="s">
        <v>6933</v>
      </c>
      <c r="C509" s="16">
        <v>25694.0</v>
      </c>
      <c r="D509" s="17" t="s">
        <v>6934</v>
      </c>
    </row>
    <row r="510">
      <c r="A510" s="14">
        <v>6.0</v>
      </c>
      <c r="B510" s="15" t="s">
        <v>6935</v>
      </c>
      <c r="C510" s="16">
        <v>25694.0</v>
      </c>
      <c r="D510" s="17" t="s">
        <v>6936</v>
      </c>
    </row>
    <row r="511">
      <c r="A511" s="14" t="s">
        <v>6916</v>
      </c>
      <c r="B511" s="15" t="s">
        <v>6937</v>
      </c>
      <c r="C511" s="16">
        <v>25702.0</v>
      </c>
      <c r="D511" s="17" t="s">
        <v>6938</v>
      </c>
    </row>
    <row r="512">
      <c r="A512" s="14">
        <v>14.0</v>
      </c>
      <c r="B512" s="15" t="s">
        <v>6939</v>
      </c>
      <c r="C512" s="16">
        <v>25702.0</v>
      </c>
      <c r="D512" s="17" t="s">
        <v>6940</v>
      </c>
    </row>
    <row r="513">
      <c r="A513" s="14" t="s">
        <v>6916</v>
      </c>
      <c r="B513" s="15" t="s">
        <v>6941</v>
      </c>
      <c r="C513" s="16">
        <v>25706.0</v>
      </c>
      <c r="D513" s="17" t="s">
        <v>6942</v>
      </c>
    </row>
    <row r="514">
      <c r="A514" s="14">
        <v>18.0</v>
      </c>
      <c r="B514" s="15" t="s">
        <v>6943</v>
      </c>
      <c r="C514" s="16">
        <v>25706.0</v>
      </c>
      <c r="D514" s="17" t="s">
        <v>6944</v>
      </c>
    </row>
    <row r="515">
      <c r="A515" s="14" t="s">
        <v>6945</v>
      </c>
      <c r="B515" s="15" t="s">
        <v>6946</v>
      </c>
      <c r="C515" s="16">
        <v>25742.0</v>
      </c>
      <c r="D515" s="17" t="s">
        <v>6947</v>
      </c>
    </row>
    <row r="516">
      <c r="A516" s="14">
        <v>23.0</v>
      </c>
      <c r="B516" s="15" t="s">
        <v>6948</v>
      </c>
      <c r="C516" s="16">
        <v>25742.0</v>
      </c>
      <c r="D516" s="17" t="s">
        <v>6949</v>
      </c>
    </row>
    <row r="517">
      <c r="A517" s="14" t="s">
        <v>6487</v>
      </c>
      <c r="B517" s="15" t="s">
        <v>6950</v>
      </c>
      <c r="C517" s="16">
        <v>25750.0</v>
      </c>
      <c r="D517" s="17" t="s">
        <v>6951</v>
      </c>
    </row>
    <row r="518">
      <c r="A518" s="14">
        <v>1.0</v>
      </c>
      <c r="B518" s="15" t="s">
        <v>6952</v>
      </c>
      <c r="C518" s="16">
        <v>25750.0</v>
      </c>
      <c r="D518" s="17" t="s">
        <v>6953</v>
      </c>
    </row>
    <row r="519">
      <c r="A519" s="14" t="s">
        <v>6087</v>
      </c>
      <c r="B519" s="15" t="s">
        <v>6954</v>
      </c>
      <c r="C519" s="16">
        <v>25753.0</v>
      </c>
      <c r="D519" s="17" t="s">
        <v>6955</v>
      </c>
    </row>
    <row r="520">
      <c r="A520" s="14">
        <v>4.0</v>
      </c>
      <c r="B520" s="15" t="s">
        <v>6956</v>
      </c>
      <c r="C520" s="16">
        <v>25753.0</v>
      </c>
      <c r="D520" s="17" t="s">
        <v>6957</v>
      </c>
    </row>
    <row r="521">
      <c r="A521" s="14" t="s">
        <v>6087</v>
      </c>
      <c r="B521" s="15" t="s">
        <v>6958</v>
      </c>
      <c r="C521" s="16">
        <v>25979.0</v>
      </c>
      <c r="D521" s="17" t="s">
        <v>6959</v>
      </c>
    </row>
    <row r="522">
      <c r="A522" s="14" t="s">
        <v>6087</v>
      </c>
      <c r="B522" s="15" t="s">
        <v>6960</v>
      </c>
      <c r="C522" s="16">
        <v>25979.0</v>
      </c>
      <c r="D522" s="17" t="s">
        <v>6961</v>
      </c>
    </row>
    <row r="523">
      <c r="A523" s="14">
        <v>15.0</v>
      </c>
      <c r="B523" s="15" t="s">
        <v>6962</v>
      </c>
      <c r="C523" s="16">
        <v>25979.0</v>
      </c>
      <c r="D523" s="17" t="s">
        <v>6963</v>
      </c>
    </row>
    <row r="524">
      <c r="A524" s="14">
        <v>15.0</v>
      </c>
      <c r="B524" s="15" t="s">
        <v>6964</v>
      </c>
      <c r="C524" s="16">
        <v>25979.0</v>
      </c>
      <c r="D524" s="17" t="s">
        <v>6965</v>
      </c>
    </row>
    <row r="525">
      <c r="A525" s="14" t="s">
        <v>6057</v>
      </c>
      <c r="B525" s="15" t="s">
        <v>6966</v>
      </c>
      <c r="C525" s="16">
        <v>26009.0</v>
      </c>
      <c r="D525" s="17" t="s">
        <v>6967</v>
      </c>
    </row>
    <row r="526">
      <c r="A526" s="14">
        <v>17.0</v>
      </c>
      <c r="B526" s="15" t="s">
        <v>6968</v>
      </c>
      <c r="C526" s="16">
        <v>26009.0</v>
      </c>
      <c r="D526" s="17" t="s">
        <v>6969</v>
      </c>
    </row>
    <row r="527">
      <c r="A527" s="14" t="s">
        <v>6344</v>
      </c>
      <c r="B527" s="15" t="s">
        <v>6970</v>
      </c>
      <c r="C527" s="16">
        <v>26010.0</v>
      </c>
      <c r="D527" s="17" t="s">
        <v>6971</v>
      </c>
    </row>
    <row r="528">
      <c r="A528" s="14">
        <v>18.0</v>
      </c>
      <c r="B528" s="15" t="s">
        <v>6972</v>
      </c>
      <c r="C528" s="16">
        <v>26010.0</v>
      </c>
      <c r="D528" s="17" t="s">
        <v>6973</v>
      </c>
    </row>
    <row r="529">
      <c r="A529" s="14" t="s">
        <v>6057</v>
      </c>
      <c r="B529" s="15" t="s">
        <v>6974</v>
      </c>
      <c r="C529" s="16">
        <v>26081.0</v>
      </c>
      <c r="D529" s="17" t="s">
        <v>6975</v>
      </c>
    </row>
    <row r="530">
      <c r="A530" s="14" t="s">
        <v>6057</v>
      </c>
      <c r="B530" s="15" t="s">
        <v>6976</v>
      </c>
      <c r="C530" s="16">
        <v>26081.0</v>
      </c>
      <c r="D530" s="17" t="s">
        <v>6977</v>
      </c>
    </row>
    <row r="531">
      <c r="A531" s="14">
        <v>28.0</v>
      </c>
      <c r="B531" s="15" t="s">
        <v>6978</v>
      </c>
      <c r="C531" s="16">
        <v>26081.0</v>
      </c>
      <c r="D531" s="17" t="s">
        <v>6979</v>
      </c>
    </row>
    <row r="532">
      <c r="A532" s="14">
        <v>28.0</v>
      </c>
      <c r="B532" s="15" t="s">
        <v>6980</v>
      </c>
      <c r="C532" s="16">
        <v>26081.0</v>
      </c>
      <c r="D532" s="17" t="s">
        <v>6981</v>
      </c>
    </row>
    <row r="533">
      <c r="A533" s="14" t="s">
        <v>6087</v>
      </c>
      <c r="B533" s="15" t="s">
        <v>6982</v>
      </c>
      <c r="C533" s="16">
        <v>26111.0</v>
      </c>
      <c r="D533" s="17" t="s">
        <v>6983</v>
      </c>
    </row>
    <row r="534">
      <c r="A534" s="14" t="s">
        <v>6087</v>
      </c>
      <c r="B534" s="15" t="s">
        <v>6984</v>
      </c>
      <c r="C534" s="16">
        <v>26111.0</v>
      </c>
      <c r="D534" s="17" t="s">
        <v>6985</v>
      </c>
    </row>
    <row r="535">
      <c r="A535" s="14" t="s">
        <v>6057</v>
      </c>
      <c r="B535" s="15" t="s">
        <v>6986</v>
      </c>
      <c r="C535" s="16">
        <v>26111.0</v>
      </c>
      <c r="D535" s="17" t="s">
        <v>6987</v>
      </c>
    </row>
    <row r="536">
      <c r="A536" s="14">
        <v>27.0</v>
      </c>
      <c r="B536" s="15" t="s">
        <v>6988</v>
      </c>
      <c r="C536" s="16">
        <v>26111.0</v>
      </c>
      <c r="D536" s="17" t="s">
        <v>6989</v>
      </c>
    </row>
    <row r="537">
      <c r="A537" s="14">
        <v>27.0</v>
      </c>
      <c r="B537" s="15" t="s">
        <v>6990</v>
      </c>
      <c r="C537" s="16">
        <v>26111.0</v>
      </c>
      <c r="D537" s="17" t="s">
        <v>6991</v>
      </c>
    </row>
    <row r="538">
      <c r="A538" s="14">
        <v>27.0</v>
      </c>
      <c r="B538" s="15" t="s">
        <v>6992</v>
      </c>
      <c r="C538" s="16">
        <v>26111.0</v>
      </c>
      <c r="D538" s="17" t="s">
        <v>6993</v>
      </c>
    </row>
    <row r="539">
      <c r="A539" s="14" t="s">
        <v>6087</v>
      </c>
      <c r="B539" s="15" t="s">
        <v>6994</v>
      </c>
      <c r="C539" s="16">
        <v>26115.0</v>
      </c>
      <c r="D539" s="17" t="s">
        <v>6995</v>
      </c>
    </row>
    <row r="540">
      <c r="A540" s="14">
        <v>1.0</v>
      </c>
      <c r="B540" s="15" t="s">
        <v>6996</v>
      </c>
      <c r="C540" s="16">
        <v>26115.0</v>
      </c>
      <c r="D540" s="17" t="s">
        <v>6997</v>
      </c>
    </row>
    <row r="541">
      <c r="A541" s="14" t="s">
        <v>6891</v>
      </c>
      <c r="B541" s="15" t="s">
        <v>6998</v>
      </c>
      <c r="C541" s="16">
        <v>26129.0</v>
      </c>
      <c r="D541" s="17" t="s">
        <v>6999</v>
      </c>
    </row>
    <row r="542">
      <c r="A542" s="14">
        <v>15.0</v>
      </c>
      <c r="B542" s="15" t="s">
        <v>7000</v>
      </c>
      <c r="C542" s="16">
        <v>26129.0</v>
      </c>
      <c r="D542" s="17" t="s">
        <v>7001</v>
      </c>
    </row>
    <row r="543">
      <c r="A543" s="14" t="s">
        <v>6057</v>
      </c>
      <c r="B543" s="15" t="s">
        <v>7002</v>
      </c>
      <c r="C543" s="16">
        <v>26131.0</v>
      </c>
      <c r="D543" s="17" t="s">
        <v>7003</v>
      </c>
    </row>
    <row r="544">
      <c r="A544" s="14">
        <v>17.0</v>
      </c>
      <c r="B544" s="15" t="s">
        <v>7004</v>
      </c>
      <c r="C544" s="16">
        <v>26131.0</v>
      </c>
      <c r="D544" s="17" t="s">
        <v>7005</v>
      </c>
    </row>
    <row r="545">
      <c r="A545" s="14" t="s">
        <v>6057</v>
      </c>
      <c r="B545" s="15" t="s">
        <v>7006</v>
      </c>
      <c r="C545" s="16">
        <v>26134.0</v>
      </c>
      <c r="D545" s="17" t="s">
        <v>7007</v>
      </c>
    </row>
    <row r="546">
      <c r="A546" s="14">
        <v>20.0</v>
      </c>
      <c r="B546" s="15" t="s">
        <v>7008</v>
      </c>
      <c r="C546" s="16">
        <v>26134.0</v>
      </c>
      <c r="D546" s="17" t="s">
        <v>7009</v>
      </c>
    </row>
    <row r="547">
      <c r="A547" s="14" t="s">
        <v>6891</v>
      </c>
      <c r="B547" s="15" t="s">
        <v>7010</v>
      </c>
      <c r="C547" s="16">
        <v>26136.0</v>
      </c>
      <c r="D547" s="17" t="s">
        <v>7011</v>
      </c>
    </row>
    <row r="548">
      <c r="A548" s="14">
        <v>22.0</v>
      </c>
      <c r="B548" s="15" t="s">
        <v>7012</v>
      </c>
      <c r="C548" s="16">
        <v>26136.0</v>
      </c>
      <c r="D548" s="17" t="s">
        <v>7013</v>
      </c>
    </row>
    <row r="549">
      <c r="A549" s="14" t="s">
        <v>6891</v>
      </c>
      <c r="B549" s="15" t="s">
        <v>7014</v>
      </c>
      <c r="C549" s="16">
        <v>26138.0</v>
      </c>
      <c r="D549" s="17" t="s">
        <v>7015</v>
      </c>
    </row>
    <row r="550">
      <c r="A550" s="14">
        <v>24.0</v>
      </c>
      <c r="B550" s="15" t="s">
        <v>7016</v>
      </c>
      <c r="C550" s="16">
        <v>26138.0</v>
      </c>
      <c r="D550" s="17" t="s">
        <v>7017</v>
      </c>
    </row>
    <row r="551">
      <c r="A551" s="14" t="s">
        <v>6753</v>
      </c>
      <c r="B551" s="15" t="s">
        <v>7018</v>
      </c>
      <c r="C551" s="16">
        <v>26143.0</v>
      </c>
      <c r="D551" s="17" t="s">
        <v>7019</v>
      </c>
    </row>
    <row r="552">
      <c r="A552" s="14" t="s">
        <v>6074</v>
      </c>
      <c r="B552" s="15" t="s">
        <v>7020</v>
      </c>
      <c r="C552" s="16">
        <v>26143.0</v>
      </c>
      <c r="D552" s="17" t="s">
        <v>7021</v>
      </c>
    </row>
    <row r="553">
      <c r="A553" s="14" t="s">
        <v>358</v>
      </c>
      <c r="B553" s="15" t="s">
        <v>7022</v>
      </c>
      <c r="C553" s="16">
        <v>26143.0</v>
      </c>
      <c r="D553" s="17" t="s">
        <v>7023</v>
      </c>
    </row>
    <row r="554">
      <c r="A554" s="14">
        <v>29.0</v>
      </c>
      <c r="B554" s="15" t="s">
        <v>7024</v>
      </c>
      <c r="C554" s="16">
        <v>26143.0</v>
      </c>
      <c r="D554" s="17" t="s">
        <v>7025</v>
      </c>
    </row>
    <row r="555">
      <c r="A555" s="14">
        <v>29.0</v>
      </c>
      <c r="B555" s="15" t="s">
        <v>7026</v>
      </c>
      <c r="C555" s="16">
        <v>26143.0</v>
      </c>
      <c r="D555" s="17" t="s">
        <v>7027</v>
      </c>
    </row>
    <row r="556">
      <c r="A556" s="14">
        <v>29.0</v>
      </c>
      <c r="B556" s="15" t="s">
        <v>7028</v>
      </c>
      <c r="C556" s="16">
        <v>26143.0</v>
      </c>
      <c r="D556" s="17" t="s">
        <v>7029</v>
      </c>
    </row>
    <row r="557">
      <c r="A557" s="14" t="s">
        <v>6891</v>
      </c>
      <c r="B557" s="15" t="s">
        <v>7030</v>
      </c>
      <c r="C557" s="16">
        <v>26148.0</v>
      </c>
      <c r="D557" s="17" t="s">
        <v>7031</v>
      </c>
    </row>
    <row r="558">
      <c r="A558" s="14">
        <v>3.0</v>
      </c>
      <c r="B558" s="15" t="s">
        <v>7032</v>
      </c>
      <c r="C558" s="16">
        <v>26148.0</v>
      </c>
      <c r="D558" s="17" t="s">
        <v>7033</v>
      </c>
    </row>
    <row r="559">
      <c r="A559" s="14" t="s">
        <v>6074</v>
      </c>
      <c r="B559" s="15" t="s">
        <v>7034</v>
      </c>
      <c r="C559" s="16">
        <v>26149.0</v>
      </c>
      <c r="D559" s="17" t="s">
        <v>7035</v>
      </c>
    </row>
    <row r="560">
      <c r="A560" s="14">
        <v>4.0</v>
      </c>
      <c r="B560" s="15" t="s">
        <v>7036</v>
      </c>
      <c r="C560" s="16">
        <v>26149.0</v>
      </c>
      <c r="D560" s="17" t="s">
        <v>7037</v>
      </c>
    </row>
    <row r="561">
      <c r="A561" s="14" t="s">
        <v>7038</v>
      </c>
      <c r="B561" s="15" t="s">
        <v>7039</v>
      </c>
      <c r="C561" s="16">
        <v>26352.0</v>
      </c>
      <c r="D561" s="17" t="s">
        <v>7040</v>
      </c>
    </row>
    <row r="562">
      <c r="A562" s="14" t="s">
        <v>5932</v>
      </c>
      <c r="B562" s="15" t="s">
        <v>7041</v>
      </c>
      <c r="C562" s="16">
        <v>26352.0</v>
      </c>
      <c r="D562" s="17" t="s">
        <v>7042</v>
      </c>
    </row>
    <row r="563">
      <c r="A563" s="14">
        <v>23.0</v>
      </c>
      <c r="B563" s="15" t="s">
        <v>7043</v>
      </c>
      <c r="C563" s="16">
        <v>26352.0</v>
      </c>
      <c r="D563" s="17" t="s">
        <v>7044</v>
      </c>
    </row>
    <row r="564">
      <c r="A564" s="14">
        <v>23.0</v>
      </c>
      <c r="B564" s="15" t="s">
        <v>7045</v>
      </c>
      <c r="C564" s="16">
        <v>26352.0</v>
      </c>
      <c r="D564" s="17" t="s">
        <v>7046</v>
      </c>
    </row>
    <row r="565">
      <c r="A565" s="14" t="s">
        <v>6057</v>
      </c>
      <c r="B565" s="15" t="s">
        <v>7047</v>
      </c>
      <c r="C565" s="16">
        <v>26353.0</v>
      </c>
      <c r="D565" s="17" t="s">
        <v>7048</v>
      </c>
    </row>
    <row r="566">
      <c r="A566" s="14">
        <v>24.0</v>
      </c>
      <c r="B566" s="15" t="s">
        <v>7049</v>
      </c>
      <c r="C566" s="16">
        <v>26353.0</v>
      </c>
      <c r="D566" s="17" t="s">
        <v>7050</v>
      </c>
    </row>
    <row r="567">
      <c r="A567" s="14" t="s">
        <v>6057</v>
      </c>
      <c r="B567" s="15" t="s">
        <v>7051</v>
      </c>
      <c r="C567" s="16">
        <v>26364.0</v>
      </c>
      <c r="D567" s="17" t="s">
        <v>7052</v>
      </c>
    </row>
    <row r="568">
      <c r="A568" s="14">
        <v>6.0</v>
      </c>
      <c r="B568" s="15" t="s">
        <v>7053</v>
      </c>
      <c r="C568" s="16">
        <v>26364.0</v>
      </c>
      <c r="D568" s="17" t="s">
        <v>7054</v>
      </c>
    </row>
    <row r="569">
      <c r="A569" s="14" t="s">
        <v>6753</v>
      </c>
      <c r="B569" s="15" t="s">
        <v>7055</v>
      </c>
      <c r="C569" s="16">
        <v>26437.0</v>
      </c>
      <c r="D569" s="17" t="s">
        <v>7056</v>
      </c>
    </row>
    <row r="570">
      <c r="A570" s="14" t="s">
        <v>6057</v>
      </c>
      <c r="B570" s="15" t="s">
        <v>7057</v>
      </c>
      <c r="C570" s="16">
        <v>26437.0</v>
      </c>
      <c r="D570" s="17" t="s">
        <v>7058</v>
      </c>
    </row>
    <row r="571">
      <c r="A571" s="14">
        <v>18.0</v>
      </c>
      <c r="B571" s="15" t="s">
        <v>7059</v>
      </c>
      <c r="C571" s="16">
        <v>26437.0</v>
      </c>
      <c r="D571" s="17" t="s">
        <v>7060</v>
      </c>
    </row>
    <row r="572">
      <c r="A572" s="14">
        <v>18.0</v>
      </c>
      <c r="B572" s="15" t="s">
        <v>7061</v>
      </c>
      <c r="C572" s="16">
        <v>26437.0</v>
      </c>
      <c r="D572" s="17" t="s">
        <v>7062</v>
      </c>
    </row>
    <row r="573">
      <c r="A573" s="14" t="s">
        <v>6487</v>
      </c>
      <c r="B573" s="15" t="s">
        <v>7063</v>
      </c>
      <c r="C573" s="16">
        <v>26438.0</v>
      </c>
      <c r="D573" s="17" t="s">
        <v>7064</v>
      </c>
    </row>
    <row r="574">
      <c r="A574" s="14">
        <v>19.0</v>
      </c>
      <c r="B574" s="15" t="s">
        <v>7065</v>
      </c>
      <c r="C574" s="16">
        <v>26438.0</v>
      </c>
      <c r="D574" s="17" t="s">
        <v>7066</v>
      </c>
    </row>
    <row r="575">
      <c r="A575" s="14" t="s">
        <v>6487</v>
      </c>
      <c r="B575" s="15" t="s">
        <v>7067</v>
      </c>
      <c r="C575" s="16">
        <v>26439.0</v>
      </c>
      <c r="D575" s="17" t="s">
        <v>7068</v>
      </c>
    </row>
    <row r="576">
      <c r="A576" s="14">
        <v>20.0</v>
      </c>
      <c r="B576" s="15" t="s">
        <v>7069</v>
      </c>
      <c r="C576" s="16">
        <v>26439.0</v>
      </c>
      <c r="D576" s="17" t="s">
        <v>7070</v>
      </c>
    </row>
    <row r="577">
      <c r="A577" s="14" t="s">
        <v>6057</v>
      </c>
      <c r="B577" s="15" t="s">
        <v>7071</v>
      </c>
      <c r="C577" s="16">
        <v>26440.0</v>
      </c>
      <c r="D577" s="17" t="s">
        <v>7072</v>
      </c>
    </row>
    <row r="578">
      <c r="A578" s="14">
        <v>21.0</v>
      </c>
      <c r="B578" s="15" t="s">
        <v>7073</v>
      </c>
      <c r="C578" s="16">
        <v>26440.0</v>
      </c>
      <c r="D578" s="17" t="s">
        <v>7074</v>
      </c>
    </row>
    <row r="579">
      <c r="A579" s="14" t="s">
        <v>6487</v>
      </c>
      <c r="B579" s="15" t="s">
        <v>7075</v>
      </c>
      <c r="C579" s="16">
        <v>26441.0</v>
      </c>
      <c r="D579" s="17" t="s">
        <v>7076</v>
      </c>
    </row>
    <row r="580">
      <c r="A580" s="14">
        <v>22.0</v>
      </c>
      <c r="B580" s="15" t="s">
        <v>7077</v>
      </c>
      <c r="C580" s="16">
        <v>26441.0</v>
      </c>
      <c r="D580" s="17" t="s">
        <v>7078</v>
      </c>
    </row>
    <row r="581">
      <c r="A581" s="14" t="s">
        <v>6487</v>
      </c>
      <c r="B581" s="15" t="s">
        <v>7079</v>
      </c>
      <c r="C581" s="16">
        <v>26445.0</v>
      </c>
      <c r="D581" s="17" t="s">
        <v>7080</v>
      </c>
    </row>
    <row r="582">
      <c r="A582" s="14">
        <v>26.0</v>
      </c>
      <c r="B582" s="15" t="s">
        <v>7081</v>
      </c>
      <c r="C582" s="16">
        <v>26445.0</v>
      </c>
      <c r="D582" s="17" t="s">
        <v>7082</v>
      </c>
    </row>
    <row r="583">
      <c r="A583" s="14" t="s">
        <v>6087</v>
      </c>
      <c r="B583" s="15" t="s">
        <v>7083</v>
      </c>
      <c r="C583" s="16">
        <v>26446.0</v>
      </c>
      <c r="D583" s="17" t="s">
        <v>7084</v>
      </c>
    </row>
    <row r="584">
      <c r="A584" s="14" t="s">
        <v>6057</v>
      </c>
      <c r="B584" s="15" t="s">
        <v>7085</v>
      </c>
      <c r="C584" s="16">
        <v>26446.0</v>
      </c>
      <c r="D584" s="17" t="s">
        <v>7086</v>
      </c>
    </row>
    <row r="585">
      <c r="A585" s="14">
        <v>27.0</v>
      </c>
      <c r="B585" s="15" t="s">
        <v>7087</v>
      </c>
      <c r="C585" s="16">
        <v>26446.0</v>
      </c>
      <c r="D585" s="17" t="s">
        <v>7088</v>
      </c>
    </row>
    <row r="586">
      <c r="A586" s="14">
        <v>27.0</v>
      </c>
      <c r="B586" s="15" t="s">
        <v>7089</v>
      </c>
      <c r="C586" s="16">
        <v>26446.0</v>
      </c>
      <c r="D586" s="17" t="s">
        <v>7090</v>
      </c>
    </row>
    <row r="587">
      <c r="A587" s="14">
        <v>27.0</v>
      </c>
      <c r="B587" s="15" t="s">
        <v>7091</v>
      </c>
      <c r="C587" s="16">
        <v>26446.0</v>
      </c>
      <c r="D587" s="17" t="s">
        <v>7092</v>
      </c>
    </row>
    <row r="588">
      <c r="A588" s="14" t="s">
        <v>6487</v>
      </c>
      <c r="B588" s="15" t="s">
        <v>7093</v>
      </c>
      <c r="C588" s="16">
        <v>26447.0</v>
      </c>
      <c r="D588" s="17" t="s">
        <v>7094</v>
      </c>
    </row>
    <row r="589">
      <c r="A589" s="14">
        <v>28.0</v>
      </c>
      <c r="B589" s="15" t="s">
        <v>7095</v>
      </c>
      <c r="C589" s="16">
        <v>26447.0</v>
      </c>
      <c r="D589" s="17" t="s">
        <v>7096</v>
      </c>
    </row>
    <row r="590">
      <c r="A590" s="14" t="s">
        <v>6487</v>
      </c>
      <c r="B590" s="15" t="s">
        <v>7097</v>
      </c>
      <c r="C590" s="16">
        <v>26449.0</v>
      </c>
      <c r="D590" s="17" t="s">
        <v>7098</v>
      </c>
    </row>
    <row r="591">
      <c r="A591" s="14">
        <v>30.0</v>
      </c>
      <c r="B591" s="15" t="s">
        <v>7099</v>
      </c>
      <c r="C591" s="16">
        <v>26449.0</v>
      </c>
      <c r="D591" s="17" t="s">
        <v>7100</v>
      </c>
    </row>
    <row r="592">
      <c r="A592" s="14" t="s">
        <v>6487</v>
      </c>
      <c r="B592" s="15" t="s">
        <v>7101</v>
      </c>
      <c r="C592" s="16">
        <v>26450.0</v>
      </c>
      <c r="D592" s="17" t="s">
        <v>7102</v>
      </c>
    </row>
    <row r="593">
      <c r="A593" s="14" t="s">
        <v>6487</v>
      </c>
      <c r="B593" s="15" t="s">
        <v>7103</v>
      </c>
      <c r="C593" s="16">
        <v>26450.0</v>
      </c>
      <c r="D593" s="17" t="s">
        <v>7104</v>
      </c>
    </row>
    <row r="594">
      <c r="A594" s="14">
        <v>31.0</v>
      </c>
      <c r="B594" s="15" t="s">
        <v>7105</v>
      </c>
      <c r="C594" s="16">
        <v>26450.0</v>
      </c>
      <c r="D594" s="17" t="s">
        <v>7106</v>
      </c>
    </row>
    <row r="595">
      <c r="A595" s="14" t="s">
        <v>6487</v>
      </c>
      <c r="B595" s="15" t="s">
        <v>7107</v>
      </c>
      <c r="C595" s="16">
        <v>26451.0</v>
      </c>
      <c r="D595" s="17" t="s">
        <v>7108</v>
      </c>
    </row>
    <row r="596">
      <c r="A596" s="14">
        <v>1.0</v>
      </c>
      <c r="B596" s="15" t="s">
        <v>7109</v>
      </c>
      <c r="C596" s="16">
        <v>26451.0</v>
      </c>
      <c r="D596" s="17" t="s">
        <v>7110</v>
      </c>
    </row>
    <row r="597">
      <c r="A597" s="14" t="s">
        <v>6487</v>
      </c>
      <c r="B597" s="15" t="s">
        <v>7111</v>
      </c>
      <c r="C597" s="16">
        <v>26462.0</v>
      </c>
      <c r="D597" s="17" t="s">
        <v>7112</v>
      </c>
    </row>
    <row r="598">
      <c r="A598" s="14">
        <v>12.0</v>
      </c>
      <c r="B598" s="15" t="s">
        <v>7113</v>
      </c>
      <c r="C598" s="16">
        <v>26462.0</v>
      </c>
      <c r="D598" s="17" t="s">
        <v>7114</v>
      </c>
    </row>
    <row r="599">
      <c r="A599" s="14" t="s">
        <v>6487</v>
      </c>
      <c r="B599" s="15" t="s">
        <v>7115</v>
      </c>
      <c r="C599" s="16">
        <v>26463.0</v>
      </c>
      <c r="D599" s="17" t="s">
        <v>7116</v>
      </c>
    </row>
    <row r="600">
      <c r="A600" s="14" t="s">
        <v>6487</v>
      </c>
      <c r="B600" s="15" t="s">
        <v>7117</v>
      </c>
      <c r="C600" s="16">
        <v>26463.0</v>
      </c>
      <c r="D600" s="17" t="s">
        <v>7118</v>
      </c>
    </row>
    <row r="601">
      <c r="A601" s="14" t="s">
        <v>6487</v>
      </c>
      <c r="B601" s="15" t="s">
        <v>7119</v>
      </c>
      <c r="C601" s="16">
        <v>26463.0</v>
      </c>
      <c r="D601" s="17" t="s">
        <v>7120</v>
      </c>
    </row>
    <row r="602">
      <c r="A602" s="14">
        <v>13.0</v>
      </c>
      <c r="B602" s="15" t="s">
        <v>7121</v>
      </c>
      <c r="C602" s="16">
        <v>26463.0</v>
      </c>
      <c r="D602" s="17" t="s">
        <v>7122</v>
      </c>
    </row>
    <row r="603">
      <c r="A603" s="14">
        <v>13.0</v>
      </c>
      <c r="B603" s="15" t="s">
        <v>7123</v>
      </c>
      <c r="C603" s="16">
        <v>26463.0</v>
      </c>
      <c r="D603" s="17" t="s">
        <v>7124</v>
      </c>
    </row>
    <row r="604">
      <c r="A604" s="14" t="s">
        <v>6487</v>
      </c>
      <c r="B604" s="15" t="s">
        <v>7125</v>
      </c>
      <c r="C604" s="16">
        <v>26465.0</v>
      </c>
      <c r="D604" s="17" t="s">
        <v>7126</v>
      </c>
    </row>
    <row r="605">
      <c r="A605" s="14">
        <v>15.0</v>
      </c>
      <c r="B605" s="15" t="s">
        <v>7127</v>
      </c>
      <c r="C605" s="16">
        <v>26465.0</v>
      </c>
      <c r="D605" s="17" t="s">
        <v>7128</v>
      </c>
    </row>
    <row r="606">
      <c r="A606" s="14" t="s">
        <v>6487</v>
      </c>
      <c r="B606" s="15" t="s">
        <v>7129</v>
      </c>
      <c r="C606" s="16">
        <v>26466.0</v>
      </c>
      <c r="D606" s="17" t="s">
        <v>7130</v>
      </c>
    </row>
    <row r="607">
      <c r="A607" s="14" t="s">
        <v>6487</v>
      </c>
      <c r="B607" s="15" t="s">
        <v>7131</v>
      </c>
      <c r="C607" s="16">
        <v>26466.0</v>
      </c>
      <c r="D607" s="17" t="s">
        <v>7132</v>
      </c>
    </row>
    <row r="608">
      <c r="A608" s="14">
        <v>16.0</v>
      </c>
      <c r="B608" s="15" t="s">
        <v>7133</v>
      </c>
      <c r="C608" s="16">
        <v>26466.0</v>
      </c>
      <c r="D608" s="17" t="s">
        <v>7134</v>
      </c>
    </row>
    <row r="609">
      <c r="A609" s="14" t="s">
        <v>6487</v>
      </c>
      <c r="B609" s="15" t="s">
        <v>7135</v>
      </c>
      <c r="C609" s="16">
        <v>26467.0</v>
      </c>
      <c r="D609" s="17" t="s">
        <v>7136</v>
      </c>
    </row>
    <row r="610">
      <c r="A610" s="14">
        <v>17.0</v>
      </c>
      <c r="B610" s="15" t="s">
        <v>7137</v>
      </c>
      <c r="C610" s="16">
        <v>26467.0</v>
      </c>
      <c r="D610" s="17" t="s">
        <v>7138</v>
      </c>
    </row>
    <row r="611">
      <c r="A611" s="14" t="s">
        <v>6487</v>
      </c>
      <c r="B611" s="15" t="s">
        <v>7139</v>
      </c>
      <c r="C611" s="16">
        <v>26468.0</v>
      </c>
      <c r="D611" s="17" t="s">
        <v>7140</v>
      </c>
    </row>
    <row r="612">
      <c r="A612" s="14">
        <v>18.0</v>
      </c>
      <c r="B612" s="15" t="s">
        <v>7141</v>
      </c>
      <c r="C612" s="16">
        <v>26468.0</v>
      </c>
      <c r="D612" s="17" t="s">
        <v>7142</v>
      </c>
    </row>
    <row r="613">
      <c r="A613" s="14" t="s">
        <v>6487</v>
      </c>
      <c r="B613" s="15" t="s">
        <v>7143</v>
      </c>
      <c r="C613" s="16">
        <v>26469.0</v>
      </c>
      <c r="D613" s="17" t="s">
        <v>7144</v>
      </c>
    </row>
    <row r="614">
      <c r="A614" s="14">
        <v>19.0</v>
      </c>
      <c r="B614" s="15" t="s">
        <v>7145</v>
      </c>
      <c r="C614" s="16">
        <v>26469.0</v>
      </c>
      <c r="D614" s="17" t="s">
        <v>7146</v>
      </c>
    </row>
    <row r="615">
      <c r="A615" s="14" t="s">
        <v>6487</v>
      </c>
      <c r="B615" s="15" t="s">
        <v>7147</v>
      </c>
      <c r="C615" s="16">
        <v>26470.0</v>
      </c>
      <c r="D615" s="17" t="s">
        <v>7148</v>
      </c>
    </row>
    <row r="616">
      <c r="A616" s="14">
        <v>20.0</v>
      </c>
      <c r="B616" s="15" t="s">
        <v>7149</v>
      </c>
      <c r="C616" s="16">
        <v>26470.0</v>
      </c>
      <c r="D616" s="17" t="s">
        <v>7150</v>
      </c>
    </row>
    <row r="617">
      <c r="A617" s="14" t="s">
        <v>6487</v>
      </c>
      <c r="B617" s="15" t="s">
        <v>7151</v>
      </c>
      <c r="C617" s="16">
        <v>26472.0</v>
      </c>
      <c r="D617" s="17" t="s">
        <v>7152</v>
      </c>
    </row>
    <row r="618">
      <c r="A618" s="14">
        <v>22.0</v>
      </c>
      <c r="B618" s="15" t="s">
        <v>7153</v>
      </c>
      <c r="C618" s="16">
        <v>26472.0</v>
      </c>
      <c r="D618" s="17" t="s">
        <v>7154</v>
      </c>
    </row>
    <row r="619">
      <c r="A619" s="14" t="s">
        <v>6487</v>
      </c>
      <c r="B619" s="15" t="s">
        <v>7155</v>
      </c>
      <c r="C619" s="16">
        <v>26473.0</v>
      </c>
      <c r="D619" s="17" t="s">
        <v>7156</v>
      </c>
    </row>
    <row r="620">
      <c r="A620" s="14">
        <v>23.0</v>
      </c>
      <c r="B620" s="15" t="s">
        <v>7157</v>
      </c>
      <c r="C620" s="16">
        <v>26473.0</v>
      </c>
      <c r="D620" s="17" t="s">
        <v>7158</v>
      </c>
    </row>
    <row r="621">
      <c r="A621" s="14" t="s">
        <v>6487</v>
      </c>
      <c r="B621" s="15" t="s">
        <v>7159</v>
      </c>
      <c r="C621" s="16">
        <v>26474.0</v>
      </c>
      <c r="D621" s="17" t="s">
        <v>7160</v>
      </c>
    </row>
    <row r="622">
      <c r="A622" s="14">
        <v>24.0</v>
      </c>
      <c r="B622" s="15" t="s">
        <v>7161</v>
      </c>
      <c r="C622" s="16">
        <v>26474.0</v>
      </c>
      <c r="D622" s="17" t="s">
        <v>7162</v>
      </c>
    </row>
    <row r="623">
      <c r="A623" s="14" t="s">
        <v>6487</v>
      </c>
      <c r="B623" s="15" t="s">
        <v>7163</v>
      </c>
      <c r="C623" s="16">
        <v>26475.0</v>
      </c>
      <c r="D623" s="17" t="s">
        <v>7164</v>
      </c>
    </row>
    <row r="624">
      <c r="A624" s="14">
        <v>25.0</v>
      </c>
      <c r="B624" s="15" t="s">
        <v>7165</v>
      </c>
      <c r="C624" s="16">
        <v>26475.0</v>
      </c>
      <c r="D624" s="17" t="s">
        <v>7166</v>
      </c>
    </row>
    <row r="625">
      <c r="A625" s="14" t="s">
        <v>6487</v>
      </c>
      <c r="B625" s="15" t="s">
        <v>7167</v>
      </c>
      <c r="C625" s="16">
        <v>26476.0</v>
      </c>
      <c r="D625" s="17" t="s">
        <v>7168</v>
      </c>
    </row>
    <row r="626">
      <c r="A626" s="14">
        <v>26.0</v>
      </c>
      <c r="B626" s="15" t="s">
        <v>7169</v>
      </c>
      <c r="C626" s="16">
        <v>26476.0</v>
      </c>
      <c r="D626" s="17" t="s">
        <v>7170</v>
      </c>
    </row>
    <row r="627">
      <c r="A627" s="14" t="s">
        <v>6487</v>
      </c>
      <c r="B627" s="15" t="s">
        <v>7171</v>
      </c>
      <c r="C627" s="16">
        <v>26477.0</v>
      </c>
      <c r="D627" s="17" t="s">
        <v>7172</v>
      </c>
    </row>
    <row r="628">
      <c r="A628" s="14">
        <v>27.0</v>
      </c>
      <c r="B628" s="15" t="s">
        <v>7173</v>
      </c>
      <c r="C628" s="16">
        <v>26477.0</v>
      </c>
      <c r="D628" s="17" t="s">
        <v>7174</v>
      </c>
    </row>
    <row r="629">
      <c r="A629" s="14" t="s">
        <v>6353</v>
      </c>
      <c r="B629" s="15" t="s">
        <v>7175</v>
      </c>
      <c r="C629" s="16">
        <v>26479.0</v>
      </c>
      <c r="D629" s="17" t="s">
        <v>7176</v>
      </c>
    </row>
    <row r="630">
      <c r="A630" s="14">
        <v>29.0</v>
      </c>
      <c r="B630" s="15" t="s">
        <v>7177</v>
      </c>
      <c r="C630" s="16">
        <v>26479.0</v>
      </c>
      <c r="D630" s="17" t="s">
        <v>7178</v>
      </c>
    </row>
    <row r="631">
      <c r="A631" s="14" t="s">
        <v>6374</v>
      </c>
      <c r="B631" s="15" t="s">
        <v>7179</v>
      </c>
      <c r="C631" s="16">
        <v>26480.0</v>
      </c>
      <c r="D631" s="17" t="s">
        <v>7180</v>
      </c>
    </row>
    <row r="632">
      <c r="A632" s="14" t="s">
        <v>6057</v>
      </c>
      <c r="B632" s="15" t="s">
        <v>7181</v>
      </c>
      <c r="C632" s="16">
        <v>26480.0</v>
      </c>
      <c r="D632" s="17" t="s">
        <v>7182</v>
      </c>
    </row>
    <row r="633">
      <c r="A633" s="14">
        <v>30.0</v>
      </c>
      <c r="B633" s="15" t="s">
        <v>7183</v>
      </c>
      <c r="C633" s="16">
        <v>26480.0</v>
      </c>
      <c r="D633" s="17" t="s">
        <v>7184</v>
      </c>
    </row>
    <row r="634">
      <c r="A634" s="14">
        <v>30.0</v>
      </c>
      <c r="B634" s="15" t="s">
        <v>7185</v>
      </c>
      <c r="C634" s="16">
        <v>26480.0</v>
      </c>
      <c r="D634" s="17" t="s">
        <v>7186</v>
      </c>
    </row>
    <row r="635">
      <c r="A635" s="14" t="s">
        <v>6074</v>
      </c>
      <c r="B635" s="15" t="s">
        <v>7187</v>
      </c>
      <c r="C635" s="16">
        <v>26481.0</v>
      </c>
      <c r="D635" s="17" t="s">
        <v>7188</v>
      </c>
    </row>
    <row r="636">
      <c r="A636" s="14" t="s">
        <v>6087</v>
      </c>
      <c r="B636" s="15" t="s">
        <v>7189</v>
      </c>
      <c r="C636" s="16">
        <v>26481.0</v>
      </c>
      <c r="D636" s="17" t="s">
        <v>7190</v>
      </c>
    </row>
    <row r="637">
      <c r="A637" s="14">
        <v>1.0</v>
      </c>
      <c r="B637" s="15" t="s">
        <v>7191</v>
      </c>
      <c r="C637" s="16">
        <v>26481.0</v>
      </c>
      <c r="D637" s="17" t="s">
        <v>7192</v>
      </c>
    </row>
    <row r="638">
      <c r="A638" s="14">
        <v>1.0</v>
      </c>
      <c r="B638" s="15" t="s">
        <v>7193</v>
      </c>
      <c r="C638" s="16">
        <v>26481.0</v>
      </c>
      <c r="D638" s="17" t="s">
        <v>7194</v>
      </c>
    </row>
    <row r="639">
      <c r="A639" s="14" t="s">
        <v>6087</v>
      </c>
      <c r="B639" s="15" t="s">
        <v>7195</v>
      </c>
      <c r="C639" s="16">
        <v>26493.0</v>
      </c>
      <c r="D639" s="17" t="s">
        <v>7196</v>
      </c>
    </row>
    <row r="640">
      <c r="A640" s="14">
        <v>13.0</v>
      </c>
      <c r="B640" s="15" t="s">
        <v>7197</v>
      </c>
      <c r="C640" s="16">
        <v>26493.0</v>
      </c>
      <c r="D640" s="17" t="s">
        <v>7198</v>
      </c>
    </row>
    <row r="641">
      <c r="A641" s="14" t="s">
        <v>6753</v>
      </c>
      <c r="B641" s="15" t="s">
        <v>7199</v>
      </c>
      <c r="C641" s="16">
        <v>26500.0</v>
      </c>
      <c r="D641" s="17" t="s">
        <v>7200</v>
      </c>
    </row>
    <row r="642">
      <c r="A642" s="14">
        <v>20.0</v>
      </c>
      <c r="B642" s="15" t="s">
        <v>7201</v>
      </c>
      <c r="C642" s="16">
        <v>26500.0</v>
      </c>
      <c r="D642" s="17" t="s">
        <v>7202</v>
      </c>
    </row>
    <row r="643">
      <c r="A643" s="14" t="s">
        <v>5932</v>
      </c>
      <c r="B643" s="15" t="s">
        <v>7203</v>
      </c>
      <c r="C643" s="16">
        <v>26526.0</v>
      </c>
      <c r="D643" s="17" t="s">
        <v>7204</v>
      </c>
    </row>
    <row r="644">
      <c r="A644" s="14">
        <v>15.0</v>
      </c>
      <c r="B644" s="15" t="s">
        <v>7205</v>
      </c>
      <c r="C644" s="16">
        <v>26526.0</v>
      </c>
      <c r="D644" s="17" t="s">
        <v>7206</v>
      </c>
    </row>
    <row r="645">
      <c r="A645" s="14" t="s">
        <v>5932</v>
      </c>
      <c r="B645" s="15" t="s">
        <v>7207</v>
      </c>
      <c r="C645" s="16">
        <v>26528.0</v>
      </c>
      <c r="D645" s="17" t="s">
        <v>7208</v>
      </c>
    </row>
    <row r="646">
      <c r="A646" s="14">
        <v>17.0</v>
      </c>
      <c r="B646" s="15" t="s">
        <v>7209</v>
      </c>
      <c r="C646" s="16">
        <v>26528.0</v>
      </c>
      <c r="D646" s="17" t="s">
        <v>7210</v>
      </c>
    </row>
    <row r="647">
      <c r="A647" s="14" t="s">
        <v>5932</v>
      </c>
      <c r="B647" s="15" t="s">
        <v>7211</v>
      </c>
      <c r="C647" s="16">
        <v>26529.0</v>
      </c>
      <c r="D647" s="17" t="s">
        <v>7212</v>
      </c>
    </row>
    <row r="648">
      <c r="A648" s="14">
        <v>18.0</v>
      </c>
      <c r="B648" s="15" t="s">
        <v>7213</v>
      </c>
      <c r="C648" s="16">
        <v>26529.0</v>
      </c>
      <c r="D648" s="17" t="s">
        <v>7214</v>
      </c>
    </row>
    <row r="649">
      <c r="A649" s="14" t="s">
        <v>5932</v>
      </c>
      <c r="B649" s="15" t="s">
        <v>7215</v>
      </c>
      <c r="C649" s="16">
        <v>26530.0</v>
      </c>
      <c r="D649" s="17" t="s">
        <v>7216</v>
      </c>
    </row>
    <row r="650">
      <c r="A650" s="14">
        <v>19.0</v>
      </c>
      <c r="B650" s="15" t="s">
        <v>7217</v>
      </c>
      <c r="C650" s="16">
        <v>26530.0</v>
      </c>
      <c r="D650" s="17" t="s">
        <v>7218</v>
      </c>
    </row>
    <row r="651">
      <c r="A651" s="14" t="s">
        <v>5932</v>
      </c>
      <c r="B651" s="15" t="s">
        <v>7219</v>
      </c>
      <c r="C651" s="16">
        <v>26531.0</v>
      </c>
      <c r="D651" s="17" t="s">
        <v>7220</v>
      </c>
    </row>
    <row r="652">
      <c r="A652" s="14">
        <v>20.0</v>
      </c>
      <c r="B652" s="15" t="s">
        <v>7221</v>
      </c>
      <c r="C652" s="16">
        <v>26531.0</v>
      </c>
      <c r="D652" s="17" t="s">
        <v>7222</v>
      </c>
    </row>
    <row r="653">
      <c r="A653" s="14" t="s">
        <v>5932</v>
      </c>
      <c r="B653" s="15" t="s">
        <v>7223</v>
      </c>
      <c r="C653" s="16">
        <v>26532.0</v>
      </c>
      <c r="D653" s="17" t="s">
        <v>7224</v>
      </c>
    </row>
    <row r="654">
      <c r="A654" s="14">
        <v>21.0</v>
      </c>
      <c r="B654" s="15" t="s">
        <v>7225</v>
      </c>
      <c r="C654" s="16">
        <v>26532.0</v>
      </c>
      <c r="D654" s="17" t="s">
        <v>7226</v>
      </c>
    </row>
    <row r="655">
      <c r="A655" s="14" t="s">
        <v>5932</v>
      </c>
      <c r="B655" s="15" t="s">
        <v>7227</v>
      </c>
      <c r="C655" s="16">
        <v>26533.0</v>
      </c>
      <c r="D655" s="17" t="s">
        <v>7228</v>
      </c>
    </row>
    <row r="656">
      <c r="A656" s="14">
        <v>22.0</v>
      </c>
      <c r="B656" s="15" t="s">
        <v>7229</v>
      </c>
      <c r="C656" s="16">
        <v>26533.0</v>
      </c>
      <c r="D656" s="17" t="s">
        <v>7230</v>
      </c>
    </row>
    <row r="657">
      <c r="A657" s="14" t="s">
        <v>5932</v>
      </c>
      <c r="B657" s="15" t="s">
        <v>7231</v>
      </c>
      <c r="C657" s="16">
        <v>26534.0</v>
      </c>
      <c r="D657" s="17" t="s">
        <v>7232</v>
      </c>
    </row>
    <row r="658">
      <c r="A658" s="14">
        <v>23.0</v>
      </c>
      <c r="B658" s="15" t="s">
        <v>7233</v>
      </c>
      <c r="C658" s="16">
        <v>26534.0</v>
      </c>
      <c r="D658" s="17" t="s">
        <v>7234</v>
      </c>
    </row>
    <row r="659">
      <c r="A659" s="14" t="s">
        <v>5932</v>
      </c>
      <c r="B659" s="15" t="s">
        <v>7235</v>
      </c>
      <c r="C659" s="16">
        <v>26535.0</v>
      </c>
      <c r="D659" s="17" t="s">
        <v>7236</v>
      </c>
    </row>
    <row r="660">
      <c r="A660" s="14">
        <v>24.0</v>
      </c>
      <c r="B660" s="15" t="s">
        <v>7237</v>
      </c>
      <c r="C660" s="16">
        <v>26535.0</v>
      </c>
      <c r="D660" s="17" t="s">
        <v>7238</v>
      </c>
    </row>
    <row r="661">
      <c r="A661" s="14" t="s">
        <v>5932</v>
      </c>
      <c r="B661" s="15" t="s">
        <v>7239</v>
      </c>
      <c r="C661" s="16">
        <v>26536.0</v>
      </c>
      <c r="D661" s="17" t="s">
        <v>7240</v>
      </c>
    </row>
    <row r="662">
      <c r="A662" s="14">
        <v>25.0</v>
      </c>
      <c r="B662" s="15" t="s">
        <v>7241</v>
      </c>
      <c r="C662" s="16">
        <v>26536.0</v>
      </c>
      <c r="D662" s="17" t="s">
        <v>7242</v>
      </c>
    </row>
    <row r="663">
      <c r="A663" s="14" t="s">
        <v>5932</v>
      </c>
      <c r="B663" s="15" t="s">
        <v>7243</v>
      </c>
      <c r="C663" s="16">
        <v>26537.0</v>
      </c>
      <c r="D663" s="17" t="s">
        <v>7244</v>
      </c>
    </row>
    <row r="664">
      <c r="A664" s="14">
        <v>26.0</v>
      </c>
      <c r="B664" s="15" t="s">
        <v>7245</v>
      </c>
      <c r="C664" s="16">
        <v>26537.0</v>
      </c>
      <c r="D664" s="17" t="s">
        <v>7246</v>
      </c>
    </row>
    <row r="665">
      <c r="A665" s="14" t="s">
        <v>5932</v>
      </c>
      <c r="B665" s="15" t="s">
        <v>7247</v>
      </c>
      <c r="C665" s="16">
        <v>26538.0</v>
      </c>
      <c r="D665" s="17" t="s">
        <v>7248</v>
      </c>
    </row>
    <row r="666">
      <c r="A666" s="14">
        <v>27.0</v>
      </c>
      <c r="B666" s="15" t="s">
        <v>7249</v>
      </c>
      <c r="C666" s="16">
        <v>26538.0</v>
      </c>
      <c r="D666" s="17" t="s">
        <v>7250</v>
      </c>
    </row>
    <row r="667">
      <c r="A667" s="14" t="s">
        <v>5932</v>
      </c>
      <c r="B667" s="15" t="s">
        <v>7251</v>
      </c>
      <c r="C667" s="16">
        <v>26539.0</v>
      </c>
      <c r="D667" s="17" t="s">
        <v>7252</v>
      </c>
    </row>
    <row r="668">
      <c r="A668" s="14">
        <v>28.0</v>
      </c>
      <c r="B668" s="15" t="s">
        <v>7253</v>
      </c>
      <c r="C668" s="16">
        <v>26539.0</v>
      </c>
      <c r="D668" s="17" t="s">
        <v>7254</v>
      </c>
    </row>
    <row r="669">
      <c r="A669" s="14" t="s">
        <v>6753</v>
      </c>
      <c r="B669" s="15" t="s">
        <v>7255</v>
      </c>
      <c r="C669" s="16">
        <v>26542.0</v>
      </c>
      <c r="D669" s="17" t="s">
        <v>7256</v>
      </c>
    </row>
    <row r="670">
      <c r="A670" s="14">
        <v>31.0</v>
      </c>
      <c r="B670" s="15" t="s">
        <v>7257</v>
      </c>
      <c r="C670" s="16">
        <v>26542.0</v>
      </c>
      <c r="D670" s="17" t="s">
        <v>7258</v>
      </c>
    </row>
    <row r="671">
      <c r="A671" s="14" t="s">
        <v>6087</v>
      </c>
      <c r="B671" s="15" t="s">
        <v>7259</v>
      </c>
      <c r="C671" s="16">
        <v>26544.0</v>
      </c>
      <c r="D671" s="17" t="s">
        <v>7260</v>
      </c>
    </row>
    <row r="672">
      <c r="A672" s="14">
        <v>2.0</v>
      </c>
      <c r="B672" s="15" t="s">
        <v>7261</v>
      </c>
      <c r="C672" s="16">
        <v>26544.0</v>
      </c>
      <c r="D672" s="17" t="s">
        <v>7262</v>
      </c>
    </row>
    <row r="673">
      <c r="A673" s="14" t="s">
        <v>5932</v>
      </c>
      <c r="B673" s="15" t="s">
        <v>7263</v>
      </c>
      <c r="C673" s="16">
        <v>26546.0</v>
      </c>
      <c r="D673" s="17" t="s">
        <v>7264</v>
      </c>
    </row>
    <row r="674">
      <c r="A674" s="14">
        <v>4.0</v>
      </c>
      <c r="B674" s="15" t="s">
        <v>7265</v>
      </c>
      <c r="C674" s="16">
        <v>26546.0</v>
      </c>
      <c r="D674" s="17" t="s">
        <v>7266</v>
      </c>
    </row>
    <row r="675">
      <c r="A675" s="14" t="s">
        <v>5932</v>
      </c>
      <c r="B675" s="15" t="s">
        <v>7267</v>
      </c>
      <c r="C675" s="16">
        <v>26547.0</v>
      </c>
      <c r="D675" s="17" t="s">
        <v>7268</v>
      </c>
    </row>
    <row r="676">
      <c r="A676" s="14">
        <v>5.0</v>
      </c>
      <c r="B676" s="15" t="s">
        <v>7269</v>
      </c>
      <c r="C676" s="16">
        <v>26547.0</v>
      </c>
      <c r="D676" s="17" t="s">
        <v>7270</v>
      </c>
    </row>
    <row r="677">
      <c r="A677" s="14" t="s">
        <v>5932</v>
      </c>
      <c r="B677" s="15" t="s">
        <v>7271</v>
      </c>
      <c r="C677" s="16">
        <v>26548.0</v>
      </c>
      <c r="D677" s="17" t="s">
        <v>7272</v>
      </c>
    </row>
    <row r="678">
      <c r="A678" s="14">
        <v>6.0</v>
      </c>
      <c r="B678" s="15" t="s">
        <v>7273</v>
      </c>
      <c r="C678" s="16">
        <v>26548.0</v>
      </c>
      <c r="D678" s="17" t="s">
        <v>7274</v>
      </c>
    </row>
    <row r="679">
      <c r="A679" s="14" t="s">
        <v>5932</v>
      </c>
      <c r="B679" s="15" t="s">
        <v>7275</v>
      </c>
      <c r="C679" s="16">
        <v>26549.0</v>
      </c>
      <c r="D679" s="17" t="s">
        <v>7276</v>
      </c>
    </row>
    <row r="680">
      <c r="A680" s="14">
        <v>7.0</v>
      </c>
      <c r="B680" s="15" t="s">
        <v>7277</v>
      </c>
      <c r="C680" s="16">
        <v>26549.0</v>
      </c>
      <c r="D680" s="17" t="s">
        <v>7278</v>
      </c>
    </row>
    <row r="681">
      <c r="A681" s="14" t="s">
        <v>5908</v>
      </c>
      <c r="B681" s="15" t="s">
        <v>7279</v>
      </c>
      <c r="C681" s="16">
        <v>26550.0</v>
      </c>
      <c r="D681" s="17" t="s">
        <v>7280</v>
      </c>
    </row>
    <row r="682">
      <c r="A682" s="14">
        <v>8.0</v>
      </c>
      <c r="B682" s="15" t="s">
        <v>7281</v>
      </c>
      <c r="C682" s="16">
        <v>26550.0</v>
      </c>
      <c r="D682" s="17" t="s">
        <v>7282</v>
      </c>
    </row>
    <row r="683">
      <c r="A683" s="14" t="s">
        <v>5932</v>
      </c>
      <c r="B683" s="15" t="s">
        <v>7283</v>
      </c>
      <c r="C683" s="16">
        <v>26555.0</v>
      </c>
      <c r="D683" s="17" t="s">
        <v>7284</v>
      </c>
    </row>
    <row r="684">
      <c r="A684" s="14">
        <v>13.0</v>
      </c>
      <c r="B684" s="15" t="s">
        <v>7285</v>
      </c>
      <c r="C684" s="16">
        <v>26555.0</v>
      </c>
      <c r="D684" s="17" t="s">
        <v>7286</v>
      </c>
    </row>
    <row r="685">
      <c r="A685" s="14" t="s">
        <v>5932</v>
      </c>
      <c r="B685" s="15" t="s">
        <v>7287</v>
      </c>
      <c r="C685" s="16">
        <v>26558.0</v>
      </c>
      <c r="D685" s="17" t="s">
        <v>7288</v>
      </c>
    </row>
    <row r="686">
      <c r="A686" s="14">
        <v>16.0</v>
      </c>
      <c r="B686" s="15" t="s">
        <v>7289</v>
      </c>
      <c r="C686" s="16">
        <v>26558.0</v>
      </c>
      <c r="D686" s="17" t="s">
        <v>7290</v>
      </c>
    </row>
    <row r="687">
      <c r="A687" s="14" t="s">
        <v>5932</v>
      </c>
      <c r="B687" s="15" t="s">
        <v>7291</v>
      </c>
      <c r="C687" s="16">
        <v>26559.0</v>
      </c>
      <c r="D687" s="17" t="s">
        <v>7292</v>
      </c>
    </row>
    <row r="688">
      <c r="A688" s="14">
        <v>17.0</v>
      </c>
      <c r="B688" s="15" t="s">
        <v>7293</v>
      </c>
      <c r="C688" s="16">
        <v>26559.0</v>
      </c>
      <c r="D688" s="17" t="s">
        <v>7294</v>
      </c>
    </row>
    <row r="689">
      <c r="A689" s="14" t="s">
        <v>5932</v>
      </c>
      <c r="B689" s="15" t="s">
        <v>7295</v>
      </c>
      <c r="C689" s="16">
        <v>26560.0</v>
      </c>
      <c r="D689" s="17" t="s">
        <v>7296</v>
      </c>
    </row>
    <row r="690">
      <c r="A690" s="14">
        <v>18.0</v>
      </c>
      <c r="B690" s="15" t="s">
        <v>7297</v>
      </c>
      <c r="C690" s="16">
        <v>26560.0</v>
      </c>
      <c r="D690" s="17" t="s">
        <v>7298</v>
      </c>
    </row>
    <row r="691">
      <c r="A691" s="14" t="s">
        <v>5932</v>
      </c>
      <c r="B691" s="15" t="s">
        <v>7299</v>
      </c>
      <c r="C691" s="16">
        <v>26561.0</v>
      </c>
      <c r="D691" s="17" t="s">
        <v>7300</v>
      </c>
    </row>
    <row r="692">
      <c r="A692" s="14">
        <v>19.0</v>
      </c>
      <c r="B692" s="15" t="s">
        <v>7301</v>
      </c>
      <c r="C692" s="16">
        <v>26561.0</v>
      </c>
      <c r="D692" s="17" t="s">
        <v>7302</v>
      </c>
    </row>
    <row r="693">
      <c r="A693" s="14" t="s">
        <v>5932</v>
      </c>
      <c r="B693" s="15" t="s">
        <v>7303</v>
      </c>
      <c r="C693" s="16">
        <v>26562.0</v>
      </c>
      <c r="D693" s="17" t="s">
        <v>7304</v>
      </c>
    </row>
    <row r="694">
      <c r="A694" s="14">
        <v>20.0</v>
      </c>
      <c r="B694" s="15" t="s">
        <v>7305</v>
      </c>
      <c r="C694" s="16">
        <v>26562.0</v>
      </c>
      <c r="D694" s="17" t="s">
        <v>7306</v>
      </c>
    </row>
    <row r="695">
      <c r="A695" s="14" t="s">
        <v>5932</v>
      </c>
      <c r="B695" s="15" t="s">
        <v>7307</v>
      </c>
      <c r="C695" s="16">
        <v>26563.0</v>
      </c>
      <c r="D695" s="17" t="s">
        <v>7308</v>
      </c>
    </row>
    <row r="696">
      <c r="A696" s="14">
        <v>21.0</v>
      </c>
      <c r="B696" s="15" t="s">
        <v>7309</v>
      </c>
      <c r="C696" s="16">
        <v>26563.0</v>
      </c>
      <c r="D696" s="17" t="s">
        <v>7310</v>
      </c>
    </row>
    <row r="697">
      <c r="A697" s="14" t="s">
        <v>5932</v>
      </c>
      <c r="B697" s="15" t="s">
        <v>7311</v>
      </c>
      <c r="C697" s="16">
        <v>26564.0</v>
      </c>
      <c r="D697" s="17" t="s">
        <v>7312</v>
      </c>
    </row>
    <row r="698">
      <c r="A698" s="14">
        <v>22.0</v>
      </c>
      <c r="B698" s="15" t="s">
        <v>7313</v>
      </c>
      <c r="C698" s="16">
        <v>26564.0</v>
      </c>
      <c r="D698" s="17" t="s">
        <v>7314</v>
      </c>
    </row>
    <row r="699">
      <c r="A699" s="14" t="s">
        <v>5932</v>
      </c>
      <c r="B699" s="15" t="s">
        <v>7315</v>
      </c>
      <c r="C699" s="16">
        <v>26566.0</v>
      </c>
      <c r="D699" s="17" t="s">
        <v>7316</v>
      </c>
    </row>
    <row r="700">
      <c r="A700" s="14">
        <v>24.0</v>
      </c>
      <c r="B700" s="15" t="s">
        <v>7317</v>
      </c>
      <c r="C700" s="16">
        <v>26566.0</v>
      </c>
      <c r="D700" s="17" t="s">
        <v>7318</v>
      </c>
    </row>
    <row r="701">
      <c r="A701" s="14" t="s">
        <v>5932</v>
      </c>
      <c r="B701" s="15" t="s">
        <v>7319</v>
      </c>
      <c r="C701" s="16">
        <v>26567.0</v>
      </c>
      <c r="D701" s="17" t="s">
        <v>7320</v>
      </c>
    </row>
    <row r="702">
      <c r="A702" s="14">
        <v>25.0</v>
      </c>
      <c r="B702" s="15" t="s">
        <v>7321</v>
      </c>
      <c r="C702" s="16">
        <v>26567.0</v>
      </c>
      <c r="D702" s="17" t="s">
        <v>7322</v>
      </c>
    </row>
    <row r="703">
      <c r="A703" s="14" t="s">
        <v>5932</v>
      </c>
      <c r="B703" s="15" t="s">
        <v>7323</v>
      </c>
      <c r="C703" s="16">
        <v>26568.0</v>
      </c>
      <c r="D703" s="17" t="s">
        <v>7324</v>
      </c>
    </row>
    <row r="704">
      <c r="A704" s="14">
        <v>26.0</v>
      </c>
      <c r="B704" s="15" t="s">
        <v>7325</v>
      </c>
      <c r="C704" s="16">
        <v>26568.0</v>
      </c>
      <c r="D704" s="17" t="s">
        <v>7326</v>
      </c>
    </row>
    <row r="705">
      <c r="A705" s="14" t="s">
        <v>5932</v>
      </c>
      <c r="B705" s="15" t="s">
        <v>7327</v>
      </c>
      <c r="C705" s="16">
        <v>26569.0</v>
      </c>
      <c r="D705" s="17" t="s">
        <v>7328</v>
      </c>
    </row>
    <row r="706">
      <c r="A706" s="14">
        <v>27.0</v>
      </c>
      <c r="B706" s="15" t="s">
        <v>7329</v>
      </c>
      <c r="C706" s="16">
        <v>26569.0</v>
      </c>
      <c r="D706" s="17" t="s">
        <v>7330</v>
      </c>
    </row>
    <row r="707">
      <c r="A707" s="14" t="s">
        <v>5932</v>
      </c>
      <c r="B707" s="15" t="s">
        <v>7331</v>
      </c>
      <c r="C707" s="16">
        <v>26570.0</v>
      </c>
      <c r="D707" s="17" t="s">
        <v>7332</v>
      </c>
    </row>
    <row r="708">
      <c r="A708" s="14">
        <v>28.0</v>
      </c>
      <c r="B708" s="15" t="s">
        <v>7333</v>
      </c>
      <c r="C708" s="16">
        <v>26570.0</v>
      </c>
      <c r="D708" s="17" t="s">
        <v>7334</v>
      </c>
    </row>
    <row r="709">
      <c r="A709" s="14" t="s">
        <v>5932</v>
      </c>
      <c r="B709" s="15" t="s">
        <v>7335</v>
      </c>
      <c r="C709" s="16">
        <v>26571.0</v>
      </c>
      <c r="D709" s="17" t="s">
        <v>7336</v>
      </c>
    </row>
    <row r="710">
      <c r="A710" s="14">
        <v>29.0</v>
      </c>
      <c r="B710" s="15" t="s">
        <v>7337</v>
      </c>
      <c r="C710" s="16">
        <v>26571.0</v>
      </c>
      <c r="D710" s="17" t="s">
        <v>7338</v>
      </c>
    </row>
    <row r="711">
      <c r="A711" s="14" t="s">
        <v>5932</v>
      </c>
      <c r="B711" s="15" t="s">
        <v>7339</v>
      </c>
      <c r="C711" s="16">
        <v>26572.0</v>
      </c>
      <c r="D711" s="17" t="s">
        <v>7340</v>
      </c>
    </row>
    <row r="712">
      <c r="A712" s="14" t="s">
        <v>6057</v>
      </c>
      <c r="B712" s="15" t="s">
        <v>7341</v>
      </c>
      <c r="C712" s="16">
        <v>26572.0</v>
      </c>
      <c r="D712" s="17" t="s">
        <v>7342</v>
      </c>
    </row>
    <row r="713">
      <c r="A713" s="14">
        <v>30.0</v>
      </c>
      <c r="B713" s="15" t="s">
        <v>7343</v>
      </c>
      <c r="C713" s="16">
        <v>26572.0</v>
      </c>
      <c r="D713" s="17" t="s">
        <v>7344</v>
      </c>
    </row>
    <row r="714">
      <c r="A714" s="14">
        <v>30.0</v>
      </c>
      <c r="B714" s="15" t="s">
        <v>7345</v>
      </c>
      <c r="C714" s="16">
        <v>26572.0</v>
      </c>
      <c r="D714" s="17" t="s">
        <v>7346</v>
      </c>
    </row>
    <row r="715">
      <c r="A715" s="14" t="s">
        <v>5932</v>
      </c>
      <c r="B715" s="15" t="s">
        <v>7347</v>
      </c>
      <c r="C715" s="16">
        <v>26573.0</v>
      </c>
      <c r="D715" s="17" t="s">
        <v>7348</v>
      </c>
    </row>
    <row r="716">
      <c r="A716" s="14">
        <v>1.0</v>
      </c>
      <c r="B716" s="15" t="s">
        <v>7349</v>
      </c>
      <c r="C716" s="16">
        <v>26573.0</v>
      </c>
      <c r="D716" s="17" t="s">
        <v>7350</v>
      </c>
    </row>
    <row r="717">
      <c r="A717" s="14" t="s">
        <v>5932</v>
      </c>
      <c r="B717" s="15" t="s">
        <v>7351</v>
      </c>
      <c r="C717" s="16">
        <v>26574.0</v>
      </c>
      <c r="D717" s="17" t="s">
        <v>7352</v>
      </c>
    </row>
    <row r="718">
      <c r="A718" s="14">
        <v>2.0</v>
      </c>
      <c r="B718" s="15" t="s">
        <v>7353</v>
      </c>
      <c r="C718" s="16">
        <v>26574.0</v>
      </c>
      <c r="D718" s="17" t="s">
        <v>7354</v>
      </c>
    </row>
    <row r="719">
      <c r="A719" s="14" t="s">
        <v>5932</v>
      </c>
      <c r="B719" s="15" t="s">
        <v>7355</v>
      </c>
      <c r="C719" s="16">
        <v>26575.0</v>
      </c>
      <c r="D719" s="17" t="s">
        <v>7356</v>
      </c>
    </row>
    <row r="720">
      <c r="A720" s="14">
        <v>3.0</v>
      </c>
      <c r="B720" s="15" t="s">
        <v>7357</v>
      </c>
      <c r="C720" s="16">
        <v>26575.0</v>
      </c>
      <c r="D720" s="17" t="s">
        <v>7358</v>
      </c>
    </row>
    <row r="721">
      <c r="A721" s="14" t="s">
        <v>5932</v>
      </c>
      <c r="B721" s="15" t="s">
        <v>7359</v>
      </c>
      <c r="C721" s="16">
        <v>26576.0</v>
      </c>
      <c r="D721" s="17" t="s">
        <v>7360</v>
      </c>
    </row>
    <row r="722">
      <c r="A722" s="14">
        <v>4.0</v>
      </c>
      <c r="B722" s="15" t="s">
        <v>7361</v>
      </c>
      <c r="C722" s="16">
        <v>26576.0</v>
      </c>
      <c r="D722" s="17" t="s">
        <v>7362</v>
      </c>
    </row>
    <row r="723">
      <c r="A723" s="14" t="s">
        <v>5932</v>
      </c>
      <c r="B723" s="15" t="s">
        <v>7363</v>
      </c>
      <c r="C723" s="16">
        <v>26577.0</v>
      </c>
      <c r="D723" s="17" t="s">
        <v>7364</v>
      </c>
    </row>
    <row r="724">
      <c r="A724" s="14">
        <v>5.0</v>
      </c>
      <c r="B724" s="15" t="s">
        <v>7365</v>
      </c>
      <c r="C724" s="16">
        <v>26577.0</v>
      </c>
      <c r="D724" s="17" t="s">
        <v>7366</v>
      </c>
    </row>
    <row r="725">
      <c r="A725" s="14" t="s">
        <v>6753</v>
      </c>
      <c r="B725" s="15" t="s">
        <v>7367</v>
      </c>
      <c r="C725" s="16">
        <v>26578.0</v>
      </c>
      <c r="D725" s="17" t="s">
        <v>7368</v>
      </c>
    </row>
    <row r="726">
      <c r="A726" s="14">
        <v>6.0</v>
      </c>
      <c r="B726" s="15" t="s">
        <v>7369</v>
      </c>
      <c r="C726" s="16">
        <v>26578.0</v>
      </c>
      <c r="D726" s="17" t="s">
        <v>7370</v>
      </c>
    </row>
    <row r="727">
      <c r="A727" s="14" t="s">
        <v>6087</v>
      </c>
      <c r="B727" s="15" t="s">
        <v>7371</v>
      </c>
      <c r="C727" s="16">
        <v>26591.0</v>
      </c>
      <c r="D727" s="17" t="s">
        <v>7372</v>
      </c>
    </row>
    <row r="728">
      <c r="A728" s="14">
        <v>19.0</v>
      </c>
      <c r="B728" s="15" t="s">
        <v>7373</v>
      </c>
      <c r="C728" s="16">
        <v>26591.0</v>
      </c>
      <c r="D728" s="17" t="s">
        <v>7374</v>
      </c>
    </row>
    <row r="729">
      <c r="A729" s="14" t="s">
        <v>6945</v>
      </c>
      <c r="B729" s="15" t="s">
        <v>7375</v>
      </c>
      <c r="C729" s="16">
        <v>26592.0</v>
      </c>
      <c r="D729" s="17" t="s">
        <v>7376</v>
      </c>
    </row>
    <row r="730">
      <c r="A730" s="14" t="s">
        <v>5932</v>
      </c>
      <c r="B730" s="15" t="s">
        <v>7377</v>
      </c>
      <c r="C730" s="16">
        <v>26592.0</v>
      </c>
      <c r="D730" s="17" t="s">
        <v>7378</v>
      </c>
    </row>
    <row r="731">
      <c r="A731" s="14">
        <v>20.0</v>
      </c>
      <c r="B731" s="15" t="s">
        <v>7379</v>
      </c>
      <c r="C731" s="16">
        <v>26592.0</v>
      </c>
      <c r="D731" s="17" t="s">
        <v>7380</v>
      </c>
    </row>
    <row r="732">
      <c r="A732" s="14">
        <v>20.0</v>
      </c>
      <c r="B732" s="15" t="s">
        <v>7381</v>
      </c>
      <c r="C732" s="16">
        <v>26592.0</v>
      </c>
      <c r="D732" s="17" t="s">
        <v>7382</v>
      </c>
    </row>
    <row r="733">
      <c r="A733" s="14" t="s">
        <v>6945</v>
      </c>
      <c r="B733" s="15" t="s">
        <v>7383</v>
      </c>
      <c r="C733" s="16">
        <v>26593.0</v>
      </c>
      <c r="D733" s="17" t="s">
        <v>7384</v>
      </c>
    </row>
    <row r="734">
      <c r="A734" s="14" t="s">
        <v>5932</v>
      </c>
      <c r="B734" s="15" t="s">
        <v>7385</v>
      </c>
      <c r="C734" s="16">
        <v>26593.0</v>
      </c>
      <c r="D734" s="17" t="s">
        <v>7386</v>
      </c>
    </row>
    <row r="735">
      <c r="A735" s="14">
        <v>21.0</v>
      </c>
      <c r="B735" s="15" t="s">
        <v>7387</v>
      </c>
      <c r="C735" s="16">
        <v>26593.0</v>
      </c>
      <c r="D735" s="17" t="s">
        <v>7388</v>
      </c>
    </row>
    <row r="736">
      <c r="A736" s="14">
        <v>21.0</v>
      </c>
      <c r="B736" s="15" t="s">
        <v>7389</v>
      </c>
      <c r="C736" s="16">
        <v>26593.0</v>
      </c>
      <c r="D736" s="17" t="s">
        <v>7390</v>
      </c>
    </row>
    <row r="737">
      <c r="A737" s="14" t="s">
        <v>5932</v>
      </c>
      <c r="B737" s="15" t="s">
        <v>7391</v>
      </c>
      <c r="C737" s="16">
        <v>26594.0</v>
      </c>
      <c r="D737" s="17" t="s">
        <v>7392</v>
      </c>
    </row>
    <row r="738">
      <c r="A738" s="14">
        <v>22.0</v>
      </c>
      <c r="B738" s="15" t="s">
        <v>7393</v>
      </c>
      <c r="C738" s="16">
        <v>26594.0</v>
      </c>
      <c r="D738" s="17" t="s">
        <v>7394</v>
      </c>
    </row>
    <row r="739">
      <c r="A739" s="14" t="s">
        <v>6945</v>
      </c>
      <c r="B739" s="15" t="s">
        <v>7395</v>
      </c>
      <c r="C739" s="16">
        <v>26595.0</v>
      </c>
      <c r="D739" s="17" t="s">
        <v>7396</v>
      </c>
    </row>
    <row r="740">
      <c r="A740" s="14" t="s">
        <v>5932</v>
      </c>
      <c r="B740" s="15" t="s">
        <v>7397</v>
      </c>
      <c r="C740" s="16">
        <v>26595.0</v>
      </c>
      <c r="D740" s="17" t="s">
        <v>7398</v>
      </c>
    </row>
    <row r="741">
      <c r="A741" s="14">
        <v>23.0</v>
      </c>
      <c r="B741" s="15" t="s">
        <v>7399</v>
      </c>
      <c r="C741" s="16">
        <v>26595.0</v>
      </c>
      <c r="D741" s="17" t="s">
        <v>7400</v>
      </c>
    </row>
    <row r="742">
      <c r="A742" s="14">
        <v>23.0</v>
      </c>
      <c r="B742" s="15" t="s">
        <v>7401</v>
      </c>
      <c r="C742" s="16">
        <v>26595.0</v>
      </c>
      <c r="D742" s="17" t="s">
        <v>7402</v>
      </c>
    </row>
    <row r="743">
      <c r="A743" s="14" t="s">
        <v>6945</v>
      </c>
      <c r="B743" s="15" t="s">
        <v>7403</v>
      </c>
      <c r="C743" s="16">
        <v>26596.0</v>
      </c>
      <c r="D743" s="17" t="s">
        <v>7404</v>
      </c>
    </row>
    <row r="744">
      <c r="A744" s="14" t="s">
        <v>5932</v>
      </c>
      <c r="B744" s="15" t="s">
        <v>7405</v>
      </c>
      <c r="C744" s="16">
        <v>26596.0</v>
      </c>
      <c r="D744" s="17" t="s">
        <v>7406</v>
      </c>
    </row>
    <row r="745">
      <c r="A745" s="14">
        <v>24.0</v>
      </c>
      <c r="B745" s="15" t="s">
        <v>7407</v>
      </c>
      <c r="C745" s="16">
        <v>26596.0</v>
      </c>
      <c r="D745" s="17" t="s">
        <v>7408</v>
      </c>
    </row>
    <row r="746">
      <c r="A746" s="14">
        <v>24.0</v>
      </c>
      <c r="B746" s="15" t="s">
        <v>7409</v>
      </c>
      <c r="C746" s="16">
        <v>26596.0</v>
      </c>
      <c r="D746" s="17" t="s">
        <v>7410</v>
      </c>
    </row>
    <row r="747">
      <c r="A747" s="14" t="s">
        <v>6945</v>
      </c>
      <c r="B747" s="15" t="s">
        <v>7411</v>
      </c>
      <c r="C747" s="16">
        <v>26598.0</v>
      </c>
      <c r="D747" s="17" t="s">
        <v>7412</v>
      </c>
    </row>
    <row r="748">
      <c r="A748" s="14">
        <v>26.0</v>
      </c>
      <c r="B748" s="15" t="s">
        <v>7413</v>
      </c>
      <c r="C748" s="16">
        <v>26598.0</v>
      </c>
      <c r="D748" s="17" t="s">
        <v>7414</v>
      </c>
    </row>
    <row r="749">
      <c r="A749" s="14" t="s">
        <v>6945</v>
      </c>
      <c r="B749" s="15" t="s">
        <v>7415</v>
      </c>
      <c r="C749" s="16">
        <v>26599.0</v>
      </c>
      <c r="D749" s="17" t="s">
        <v>7416</v>
      </c>
    </row>
    <row r="750">
      <c r="A750" s="14" t="s">
        <v>5932</v>
      </c>
      <c r="B750" s="15" t="s">
        <v>7417</v>
      </c>
      <c r="C750" s="16">
        <v>26599.0</v>
      </c>
      <c r="D750" s="17" t="s">
        <v>7418</v>
      </c>
    </row>
    <row r="751">
      <c r="A751" s="14">
        <v>27.0</v>
      </c>
      <c r="B751" s="15" t="s">
        <v>7419</v>
      </c>
      <c r="C751" s="16">
        <v>26599.0</v>
      </c>
      <c r="D751" s="17" t="s">
        <v>7420</v>
      </c>
    </row>
    <row r="752">
      <c r="A752" s="14">
        <v>27.0</v>
      </c>
      <c r="B752" s="15" t="s">
        <v>7421</v>
      </c>
      <c r="C752" s="16">
        <v>26599.0</v>
      </c>
      <c r="D752" s="17" t="s">
        <v>7422</v>
      </c>
    </row>
    <row r="753">
      <c r="A753" s="14" t="s">
        <v>6945</v>
      </c>
      <c r="B753" s="15" t="s">
        <v>7423</v>
      </c>
      <c r="C753" s="16">
        <v>26600.0</v>
      </c>
      <c r="D753" s="17" t="s">
        <v>7424</v>
      </c>
    </row>
    <row r="754">
      <c r="A754" s="14" t="s">
        <v>5932</v>
      </c>
      <c r="B754" s="15" t="s">
        <v>7425</v>
      </c>
      <c r="C754" s="16">
        <v>26600.0</v>
      </c>
      <c r="D754" s="17" t="s">
        <v>7426</v>
      </c>
    </row>
    <row r="755">
      <c r="A755" s="14">
        <v>28.0</v>
      </c>
      <c r="B755" s="15" t="s">
        <v>7427</v>
      </c>
      <c r="C755" s="16">
        <v>26600.0</v>
      </c>
      <c r="D755" s="17" t="s">
        <v>7428</v>
      </c>
    </row>
    <row r="756">
      <c r="A756" s="14">
        <v>28.0</v>
      </c>
      <c r="B756" s="15" t="s">
        <v>7429</v>
      </c>
      <c r="C756" s="16">
        <v>26600.0</v>
      </c>
      <c r="D756" s="17" t="s">
        <v>7430</v>
      </c>
    </row>
    <row r="757">
      <c r="A757" s="14" t="s">
        <v>6945</v>
      </c>
      <c r="B757" s="15" t="s">
        <v>7431</v>
      </c>
      <c r="C757" s="16">
        <v>26601.0</v>
      </c>
      <c r="D757" s="17" t="s">
        <v>7432</v>
      </c>
    </row>
    <row r="758">
      <c r="A758" s="14" t="s">
        <v>5932</v>
      </c>
      <c r="B758" s="15" t="s">
        <v>7433</v>
      </c>
      <c r="C758" s="16">
        <v>26601.0</v>
      </c>
      <c r="D758" s="17" t="s">
        <v>7434</v>
      </c>
    </row>
    <row r="759">
      <c r="A759" s="14">
        <v>29.0</v>
      </c>
      <c r="B759" s="15" t="s">
        <v>7435</v>
      </c>
      <c r="C759" s="16">
        <v>26601.0</v>
      </c>
      <c r="D759" s="17" t="s">
        <v>7436</v>
      </c>
    </row>
    <row r="760">
      <c r="A760" s="14">
        <v>29.0</v>
      </c>
      <c r="B760" s="15" t="s">
        <v>7437</v>
      </c>
      <c r="C760" s="16">
        <v>26601.0</v>
      </c>
      <c r="D760" s="17" t="s">
        <v>7438</v>
      </c>
    </row>
    <row r="761">
      <c r="A761" s="14" t="s">
        <v>6945</v>
      </c>
      <c r="B761" s="15" t="s">
        <v>7439</v>
      </c>
      <c r="C761" s="16">
        <v>26602.0</v>
      </c>
      <c r="D761" s="17" t="s">
        <v>7440</v>
      </c>
    </row>
    <row r="762">
      <c r="A762" s="14" t="s">
        <v>5932</v>
      </c>
      <c r="B762" s="15" t="s">
        <v>7441</v>
      </c>
      <c r="C762" s="16">
        <v>26602.0</v>
      </c>
      <c r="D762" s="17" t="s">
        <v>7442</v>
      </c>
    </row>
    <row r="763">
      <c r="A763" s="14">
        <v>30.0</v>
      </c>
      <c r="B763" s="15" t="s">
        <v>7443</v>
      </c>
      <c r="C763" s="16">
        <v>26602.0</v>
      </c>
      <c r="D763" s="17" t="s">
        <v>7444</v>
      </c>
    </row>
    <row r="764">
      <c r="A764" s="14">
        <v>30.0</v>
      </c>
      <c r="B764" s="15" t="s">
        <v>7445</v>
      </c>
      <c r="C764" s="16">
        <v>26602.0</v>
      </c>
      <c r="D764" s="17" t="s">
        <v>7446</v>
      </c>
    </row>
    <row r="765">
      <c r="A765" s="14" t="s">
        <v>6945</v>
      </c>
      <c r="B765" s="15" t="s">
        <v>7447</v>
      </c>
      <c r="C765" s="16">
        <v>26603.0</v>
      </c>
      <c r="D765" s="17" t="s">
        <v>7448</v>
      </c>
    </row>
    <row r="766">
      <c r="A766" s="14" t="s">
        <v>5932</v>
      </c>
      <c r="B766" s="15" t="s">
        <v>7449</v>
      </c>
      <c r="C766" s="16">
        <v>26603.0</v>
      </c>
      <c r="D766" s="17" t="s">
        <v>7450</v>
      </c>
    </row>
    <row r="767">
      <c r="A767" s="14">
        <v>31.0</v>
      </c>
      <c r="B767" s="15" t="s">
        <v>7451</v>
      </c>
      <c r="C767" s="16">
        <v>26603.0</v>
      </c>
      <c r="D767" s="17" t="s">
        <v>7452</v>
      </c>
    </row>
    <row r="768">
      <c r="A768" s="14">
        <v>31.0</v>
      </c>
      <c r="B768" s="15" t="s">
        <v>7453</v>
      </c>
      <c r="C768" s="16">
        <v>26603.0</v>
      </c>
      <c r="D768" s="17" t="s">
        <v>7454</v>
      </c>
    </row>
    <row r="769">
      <c r="A769" s="14" t="s">
        <v>6945</v>
      </c>
      <c r="B769" s="15" t="s">
        <v>7455</v>
      </c>
      <c r="C769" s="16">
        <v>26604.0</v>
      </c>
      <c r="D769" s="17" t="s">
        <v>7456</v>
      </c>
    </row>
    <row r="770">
      <c r="A770" s="14" t="s">
        <v>5932</v>
      </c>
      <c r="B770" s="15" t="s">
        <v>7457</v>
      </c>
      <c r="C770" s="16">
        <v>26604.0</v>
      </c>
      <c r="D770" s="17" t="s">
        <v>7458</v>
      </c>
    </row>
    <row r="771">
      <c r="A771" s="14">
        <v>1.0</v>
      </c>
      <c r="B771" s="15" t="s">
        <v>7459</v>
      </c>
      <c r="C771" s="16">
        <v>26604.0</v>
      </c>
      <c r="D771" s="17" t="s">
        <v>7460</v>
      </c>
    </row>
    <row r="772">
      <c r="A772" s="14">
        <v>1.0</v>
      </c>
      <c r="B772" s="15" t="s">
        <v>7461</v>
      </c>
      <c r="C772" s="16">
        <v>26604.0</v>
      </c>
      <c r="D772" s="17" t="s">
        <v>7462</v>
      </c>
    </row>
    <row r="773">
      <c r="A773" s="14" t="s">
        <v>6945</v>
      </c>
      <c r="B773" s="15" t="s">
        <v>7463</v>
      </c>
      <c r="C773" s="16">
        <v>26605.0</v>
      </c>
      <c r="D773" s="17" t="s">
        <v>7464</v>
      </c>
    </row>
    <row r="774">
      <c r="A774" s="14" t="s">
        <v>5932</v>
      </c>
      <c r="B774" s="15" t="s">
        <v>7465</v>
      </c>
      <c r="C774" s="16">
        <v>26605.0</v>
      </c>
      <c r="D774" s="17" t="s">
        <v>7466</v>
      </c>
    </row>
    <row r="775">
      <c r="A775" s="14">
        <v>2.0</v>
      </c>
      <c r="B775" s="15" t="s">
        <v>7467</v>
      </c>
      <c r="C775" s="16">
        <v>26605.0</v>
      </c>
      <c r="D775" s="17" t="s">
        <v>7468</v>
      </c>
    </row>
    <row r="776">
      <c r="A776" s="14">
        <v>2.0</v>
      </c>
      <c r="B776" s="15" t="s">
        <v>7469</v>
      </c>
      <c r="C776" s="16">
        <v>26605.0</v>
      </c>
      <c r="D776" s="17" t="s">
        <v>7470</v>
      </c>
    </row>
    <row r="777">
      <c r="A777" s="14" t="s">
        <v>6945</v>
      </c>
      <c r="B777" s="15" t="s">
        <v>7471</v>
      </c>
      <c r="C777" s="16">
        <v>26606.0</v>
      </c>
      <c r="D777" s="17" t="s">
        <v>7472</v>
      </c>
    </row>
    <row r="778">
      <c r="A778" s="14" t="s">
        <v>5932</v>
      </c>
      <c r="B778" s="15" t="s">
        <v>7473</v>
      </c>
      <c r="C778" s="16">
        <v>26606.0</v>
      </c>
      <c r="D778" s="17" t="s">
        <v>7474</v>
      </c>
    </row>
    <row r="779">
      <c r="A779" s="14">
        <v>3.0</v>
      </c>
      <c r="B779" s="15" t="s">
        <v>7475</v>
      </c>
      <c r="C779" s="16">
        <v>26606.0</v>
      </c>
      <c r="D779" s="17" t="s">
        <v>7476</v>
      </c>
    </row>
    <row r="780">
      <c r="A780" s="14">
        <v>3.0</v>
      </c>
      <c r="B780" s="15" t="s">
        <v>7477</v>
      </c>
      <c r="C780" s="16">
        <v>26606.0</v>
      </c>
      <c r="D780" s="17" t="s">
        <v>7478</v>
      </c>
    </row>
    <row r="781">
      <c r="A781" s="14" t="s">
        <v>6945</v>
      </c>
      <c r="B781" s="15" t="s">
        <v>7479</v>
      </c>
      <c r="C781" s="16">
        <v>26607.0</v>
      </c>
      <c r="D781" s="17" t="s">
        <v>7480</v>
      </c>
    </row>
    <row r="782">
      <c r="A782" s="14" t="s">
        <v>5932</v>
      </c>
      <c r="B782" s="15" t="s">
        <v>7481</v>
      </c>
      <c r="C782" s="16">
        <v>26607.0</v>
      </c>
      <c r="D782" s="17" t="s">
        <v>7482</v>
      </c>
    </row>
    <row r="783">
      <c r="A783" s="14">
        <v>4.0</v>
      </c>
      <c r="B783" s="15" t="s">
        <v>7483</v>
      </c>
      <c r="C783" s="16">
        <v>26607.0</v>
      </c>
      <c r="D783" s="17" t="s">
        <v>7484</v>
      </c>
    </row>
    <row r="784">
      <c r="A784" s="14">
        <v>4.0</v>
      </c>
      <c r="B784" s="15" t="s">
        <v>7485</v>
      </c>
      <c r="C784" s="16">
        <v>26607.0</v>
      </c>
      <c r="D784" s="17" t="s">
        <v>7486</v>
      </c>
    </row>
    <row r="785">
      <c r="A785" s="14" t="s">
        <v>6945</v>
      </c>
      <c r="B785" s="15" t="s">
        <v>7487</v>
      </c>
      <c r="C785" s="16">
        <v>26608.0</v>
      </c>
      <c r="D785" s="17" t="s">
        <v>7488</v>
      </c>
    </row>
    <row r="786">
      <c r="A786" s="14" t="s">
        <v>5932</v>
      </c>
      <c r="B786" s="15" t="s">
        <v>7489</v>
      </c>
      <c r="C786" s="16">
        <v>26608.0</v>
      </c>
      <c r="D786" s="17" t="s">
        <v>7490</v>
      </c>
    </row>
    <row r="787">
      <c r="A787" s="14">
        <v>5.0</v>
      </c>
      <c r="B787" s="15" t="s">
        <v>7491</v>
      </c>
      <c r="C787" s="16">
        <v>26608.0</v>
      </c>
      <c r="D787" s="17" t="s">
        <v>7492</v>
      </c>
    </row>
    <row r="788">
      <c r="A788" s="14">
        <v>5.0</v>
      </c>
      <c r="B788" s="15" t="s">
        <v>7493</v>
      </c>
      <c r="C788" s="16">
        <v>26608.0</v>
      </c>
      <c r="D788" s="17" t="s">
        <v>7494</v>
      </c>
    </row>
    <row r="789">
      <c r="A789" s="14" t="s">
        <v>6945</v>
      </c>
      <c r="B789" s="15" t="s">
        <v>7495</v>
      </c>
      <c r="C789" s="16">
        <v>26609.0</v>
      </c>
      <c r="D789" s="17" t="s">
        <v>7496</v>
      </c>
    </row>
    <row r="790">
      <c r="A790" s="14" t="s">
        <v>5932</v>
      </c>
      <c r="B790" s="15" t="s">
        <v>7497</v>
      </c>
      <c r="C790" s="16">
        <v>26609.0</v>
      </c>
      <c r="D790" s="17" t="s">
        <v>7498</v>
      </c>
    </row>
    <row r="791">
      <c r="A791" s="14">
        <v>6.0</v>
      </c>
      <c r="B791" s="15" t="s">
        <v>7499</v>
      </c>
      <c r="C791" s="16">
        <v>26609.0</v>
      </c>
      <c r="D791" s="17" t="s">
        <v>7500</v>
      </c>
    </row>
    <row r="792">
      <c r="A792" s="14">
        <v>6.0</v>
      </c>
      <c r="B792" s="15" t="s">
        <v>7501</v>
      </c>
      <c r="C792" s="16">
        <v>26609.0</v>
      </c>
      <c r="D792" s="17" t="s">
        <v>7502</v>
      </c>
    </row>
    <row r="793">
      <c r="A793" s="14" t="s">
        <v>6945</v>
      </c>
      <c r="B793" s="15" t="s">
        <v>7503</v>
      </c>
      <c r="C793" s="16">
        <v>26610.0</v>
      </c>
      <c r="D793" s="17" t="s">
        <v>7504</v>
      </c>
    </row>
    <row r="794">
      <c r="A794" s="14" t="s">
        <v>5932</v>
      </c>
      <c r="B794" s="15" t="s">
        <v>7505</v>
      </c>
      <c r="C794" s="16">
        <v>26610.0</v>
      </c>
      <c r="D794" s="17" t="s">
        <v>7506</v>
      </c>
    </row>
    <row r="795">
      <c r="A795" s="14">
        <v>7.0</v>
      </c>
      <c r="B795" s="15" t="s">
        <v>7507</v>
      </c>
      <c r="C795" s="16">
        <v>26610.0</v>
      </c>
      <c r="D795" s="17" t="s">
        <v>7508</v>
      </c>
    </row>
    <row r="796">
      <c r="A796" s="14">
        <v>7.0</v>
      </c>
      <c r="B796" s="15" t="s">
        <v>7509</v>
      </c>
      <c r="C796" s="16">
        <v>26610.0</v>
      </c>
      <c r="D796" s="17" t="s">
        <v>7510</v>
      </c>
    </row>
    <row r="797">
      <c r="A797" s="14" t="s">
        <v>6945</v>
      </c>
      <c r="B797" s="15" t="s">
        <v>7511</v>
      </c>
      <c r="C797" s="16">
        <v>26611.0</v>
      </c>
      <c r="D797" s="17" t="s">
        <v>7512</v>
      </c>
    </row>
    <row r="798">
      <c r="A798" s="14" t="s">
        <v>5932</v>
      </c>
      <c r="B798" s="15" t="s">
        <v>7513</v>
      </c>
      <c r="C798" s="16">
        <v>26611.0</v>
      </c>
      <c r="D798" s="17" t="s">
        <v>7514</v>
      </c>
    </row>
    <row r="799">
      <c r="A799" s="14">
        <v>8.0</v>
      </c>
      <c r="B799" s="15" t="s">
        <v>7515</v>
      </c>
      <c r="C799" s="16">
        <v>26611.0</v>
      </c>
      <c r="D799" s="17" t="s">
        <v>7516</v>
      </c>
    </row>
    <row r="800">
      <c r="A800" s="14">
        <v>8.0</v>
      </c>
      <c r="B800" s="15" t="s">
        <v>7517</v>
      </c>
      <c r="C800" s="16">
        <v>26611.0</v>
      </c>
      <c r="D800" s="17" t="s">
        <v>7518</v>
      </c>
    </row>
    <row r="801">
      <c r="A801" s="14" t="s">
        <v>6945</v>
      </c>
      <c r="B801" s="15" t="s">
        <v>7519</v>
      </c>
      <c r="C801" s="16">
        <v>26612.0</v>
      </c>
      <c r="D801" s="17" t="s">
        <v>7520</v>
      </c>
    </row>
    <row r="802">
      <c r="A802" s="14" t="s">
        <v>5932</v>
      </c>
      <c r="B802" s="15" t="s">
        <v>7521</v>
      </c>
      <c r="C802" s="16">
        <v>26612.0</v>
      </c>
      <c r="D802" s="17" t="s">
        <v>7522</v>
      </c>
    </row>
    <row r="803">
      <c r="A803" s="14">
        <v>9.0</v>
      </c>
      <c r="B803" s="15" t="s">
        <v>7523</v>
      </c>
      <c r="C803" s="16">
        <v>26612.0</v>
      </c>
      <c r="D803" s="17" t="s">
        <v>7524</v>
      </c>
    </row>
    <row r="804">
      <c r="A804" s="14">
        <v>9.0</v>
      </c>
      <c r="B804" s="15" t="s">
        <v>7525</v>
      </c>
      <c r="C804" s="16">
        <v>26612.0</v>
      </c>
      <c r="D804" s="17" t="s">
        <v>7526</v>
      </c>
    </row>
    <row r="805">
      <c r="A805" s="14" t="s">
        <v>6945</v>
      </c>
      <c r="B805" s="15" t="s">
        <v>7527</v>
      </c>
      <c r="C805" s="16">
        <v>26613.0</v>
      </c>
      <c r="D805" s="17" t="s">
        <v>7528</v>
      </c>
    </row>
    <row r="806">
      <c r="A806" s="14" t="s">
        <v>5932</v>
      </c>
      <c r="B806" s="15" t="s">
        <v>7529</v>
      </c>
      <c r="C806" s="16">
        <v>26613.0</v>
      </c>
      <c r="D806" s="17" t="s">
        <v>7530</v>
      </c>
    </row>
    <row r="807">
      <c r="A807" s="14">
        <v>10.0</v>
      </c>
      <c r="B807" s="15" t="s">
        <v>7531</v>
      </c>
      <c r="C807" s="16">
        <v>26613.0</v>
      </c>
      <c r="D807" s="17" t="s">
        <v>7532</v>
      </c>
    </row>
    <row r="808">
      <c r="A808" s="14">
        <v>10.0</v>
      </c>
      <c r="B808" s="15" t="s">
        <v>7533</v>
      </c>
      <c r="C808" s="16">
        <v>26613.0</v>
      </c>
      <c r="D808" s="17" t="s">
        <v>7534</v>
      </c>
    </row>
    <row r="809">
      <c r="A809" s="14" t="s">
        <v>6945</v>
      </c>
      <c r="B809" s="15" t="s">
        <v>7535</v>
      </c>
      <c r="C809" s="16">
        <v>26614.0</v>
      </c>
      <c r="D809" s="17" t="s">
        <v>7536</v>
      </c>
    </row>
    <row r="810">
      <c r="A810" s="14" t="s">
        <v>5932</v>
      </c>
      <c r="B810" s="15" t="s">
        <v>7537</v>
      </c>
      <c r="C810" s="16">
        <v>26614.0</v>
      </c>
      <c r="D810" s="17" t="s">
        <v>7538</v>
      </c>
    </row>
    <row r="811">
      <c r="A811" s="14">
        <v>11.0</v>
      </c>
      <c r="B811" s="15" t="s">
        <v>7539</v>
      </c>
      <c r="C811" s="16">
        <v>26614.0</v>
      </c>
      <c r="D811" s="17" t="s">
        <v>7540</v>
      </c>
    </row>
    <row r="812">
      <c r="A812" s="14">
        <v>11.0</v>
      </c>
      <c r="B812" s="15" t="s">
        <v>7541</v>
      </c>
      <c r="C812" s="16">
        <v>26614.0</v>
      </c>
      <c r="D812" s="17" t="s">
        <v>7542</v>
      </c>
    </row>
    <row r="813">
      <c r="A813" s="14" t="s">
        <v>6945</v>
      </c>
      <c r="B813" s="15" t="s">
        <v>7543</v>
      </c>
      <c r="C813" s="16">
        <v>26615.0</v>
      </c>
      <c r="D813" s="17" t="s">
        <v>7544</v>
      </c>
    </row>
    <row r="814">
      <c r="A814" s="14" t="s">
        <v>5932</v>
      </c>
      <c r="B814" s="15" t="s">
        <v>7545</v>
      </c>
      <c r="C814" s="16">
        <v>26615.0</v>
      </c>
      <c r="D814" s="17" t="s">
        <v>7546</v>
      </c>
    </row>
    <row r="815">
      <c r="A815" s="14">
        <v>12.0</v>
      </c>
      <c r="B815" s="15" t="s">
        <v>7547</v>
      </c>
      <c r="C815" s="16">
        <v>26615.0</v>
      </c>
      <c r="D815" s="17" t="s">
        <v>7548</v>
      </c>
    </row>
    <row r="816">
      <c r="A816" s="14">
        <v>12.0</v>
      </c>
      <c r="B816" s="15" t="s">
        <v>7549</v>
      </c>
      <c r="C816" s="16">
        <v>26615.0</v>
      </c>
      <c r="D816" s="17" t="s">
        <v>7550</v>
      </c>
    </row>
    <row r="817">
      <c r="A817" s="14" t="s">
        <v>6945</v>
      </c>
      <c r="B817" s="15" t="s">
        <v>7551</v>
      </c>
      <c r="C817" s="16">
        <v>26616.0</v>
      </c>
      <c r="D817" s="17" t="s">
        <v>7552</v>
      </c>
    </row>
    <row r="818">
      <c r="A818" s="14" t="s">
        <v>5932</v>
      </c>
      <c r="B818" s="15" t="s">
        <v>7553</v>
      </c>
      <c r="C818" s="16">
        <v>26616.0</v>
      </c>
      <c r="D818" s="17" t="s">
        <v>7554</v>
      </c>
    </row>
    <row r="819">
      <c r="A819" s="14">
        <v>13.0</v>
      </c>
      <c r="B819" s="15" t="s">
        <v>7555</v>
      </c>
      <c r="C819" s="16">
        <v>26616.0</v>
      </c>
      <c r="D819" s="17" t="s">
        <v>7556</v>
      </c>
    </row>
    <row r="820">
      <c r="A820" s="14">
        <v>13.0</v>
      </c>
      <c r="B820" s="15" t="s">
        <v>7557</v>
      </c>
      <c r="C820" s="16">
        <v>26616.0</v>
      </c>
      <c r="D820" s="17" t="s">
        <v>7558</v>
      </c>
    </row>
    <row r="821">
      <c r="A821" s="14" t="s">
        <v>5932</v>
      </c>
      <c r="B821" s="15" t="s">
        <v>7559</v>
      </c>
      <c r="C821" s="16">
        <v>26617.0</v>
      </c>
      <c r="D821" s="17" t="s">
        <v>7560</v>
      </c>
    </row>
    <row r="822">
      <c r="A822" s="14">
        <v>14.0</v>
      </c>
      <c r="B822" s="15" t="s">
        <v>7561</v>
      </c>
      <c r="C822" s="16">
        <v>26617.0</v>
      </c>
      <c r="D822" s="17" t="s">
        <v>7562</v>
      </c>
    </row>
    <row r="823">
      <c r="A823" s="14" t="s">
        <v>5908</v>
      </c>
      <c r="B823" s="15" t="s">
        <v>7563</v>
      </c>
      <c r="C823" s="16">
        <v>26620.0</v>
      </c>
      <c r="D823" s="17" t="s">
        <v>7564</v>
      </c>
    </row>
    <row r="824">
      <c r="A824" s="14">
        <v>17.0</v>
      </c>
      <c r="B824" s="15" t="s">
        <v>7565</v>
      </c>
      <c r="C824" s="16">
        <v>26620.0</v>
      </c>
      <c r="D824" s="17" t="s">
        <v>7566</v>
      </c>
    </row>
    <row r="825">
      <c r="A825" s="14" t="s">
        <v>5908</v>
      </c>
      <c r="B825" s="15" t="s">
        <v>7567</v>
      </c>
      <c r="C825" s="16">
        <v>26621.0</v>
      </c>
      <c r="D825" s="17" t="s">
        <v>7568</v>
      </c>
    </row>
    <row r="826">
      <c r="A826" s="14">
        <v>18.0</v>
      </c>
      <c r="B826" s="15" t="s">
        <v>7569</v>
      </c>
      <c r="C826" s="16">
        <v>26621.0</v>
      </c>
      <c r="D826" s="17" t="s">
        <v>7570</v>
      </c>
    </row>
    <row r="827">
      <c r="A827" s="14" t="s">
        <v>5908</v>
      </c>
      <c r="B827" s="15" t="s">
        <v>7571</v>
      </c>
      <c r="C827" s="16">
        <v>26622.0</v>
      </c>
      <c r="D827" s="17" t="s">
        <v>7572</v>
      </c>
    </row>
    <row r="828">
      <c r="A828" s="14">
        <v>19.0</v>
      </c>
      <c r="B828" s="15" t="s">
        <v>7573</v>
      </c>
      <c r="C828" s="16">
        <v>26622.0</v>
      </c>
      <c r="D828" s="17" t="s">
        <v>7574</v>
      </c>
    </row>
    <row r="829">
      <c r="A829" s="14" t="s">
        <v>5908</v>
      </c>
      <c r="B829" s="15" t="s">
        <v>7575</v>
      </c>
      <c r="C829" s="16">
        <v>26624.0</v>
      </c>
      <c r="D829" s="17" t="s">
        <v>7576</v>
      </c>
    </row>
    <row r="830">
      <c r="A830" s="14">
        <v>21.0</v>
      </c>
      <c r="B830" s="15" t="s">
        <v>7577</v>
      </c>
      <c r="C830" s="16">
        <v>26624.0</v>
      </c>
      <c r="D830" s="17" t="s">
        <v>7578</v>
      </c>
    </row>
    <row r="831">
      <c r="A831" s="14" t="s">
        <v>5908</v>
      </c>
      <c r="B831" s="15" t="s">
        <v>7579</v>
      </c>
      <c r="C831" s="16">
        <v>26625.0</v>
      </c>
      <c r="D831" s="17" t="s">
        <v>7580</v>
      </c>
    </row>
    <row r="832">
      <c r="A832" s="14">
        <v>22.0</v>
      </c>
      <c r="B832" s="15" t="s">
        <v>7581</v>
      </c>
      <c r="C832" s="16">
        <v>26625.0</v>
      </c>
      <c r="D832" s="17" t="s">
        <v>7582</v>
      </c>
    </row>
    <row r="833">
      <c r="A833" s="14" t="s">
        <v>5908</v>
      </c>
      <c r="B833" s="15" t="s">
        <v>7583</v>
      </c>
      <c r="C833" s="16">
        <v>26626.0</v>
      </c>
      <c r="D833" s="17" t="s">
        <v>7584</v>
      </c>
    </row>
    <row r="834">
      <c r="A834" s="14" t="s">
        <v>6074</v>
      </c>
      <c r="B834" s="15" t="s">
        <v>7585</v>
      </c>
      <c r="C834" s="16">
        <v>26626.0</v>
      </c>
      <c r="D834" s="17" t="s">
        <v>7586</v>
      </c>
    </row>
    <row r="835">
      <c r="A835" s="14">
        <v>23.0</v>
      </c>
      <c r="B835" s="15" t="s">
        <v>7587</v>
      </c>
      <c r="C835" s="16">
        <v>26626.0</v>
      </c>
      <c r="D835" s="17" t="s">
        <v>7588</v>
      </c>
    </row>
    <row r="836">
      <c r="A836" s="14">
        <v>23.0</v>
      </c>
      <c r="B836" s="15" t="s">
        <v>7589</v>
      </c>
      <c r="C836" s="16">
        <v>26626.0</v>
      </c>
      <c r="D836" s="17" t="s">
        <v>7590</v>
      </c>
    </row>
    <row r="837">
      <c r="A837" s="14" t="s">
        <v>5908</v>
      </c>
      <c r="B837" s="15" t="s">
        <v>7591</v>
      </c>
      <c r="C837" s="16">
        <v>26628.0</v>
      </c>
      <c r="D837" s="17" t="s">
        <v>7592</v>
      </c>
    </row>
    <row r="838">
      <c r="A838" s="14">
        <v>25.0</v>
      </c>
      <c r="B838" s="15" t="s">
        <v>7593</v>
      </c>
      <c r="C838" s="16">
        <v>26628.0</v>
      </c>
      <c r="D838" s="17" t="s">
        <v>7594</v>
      </c>
    </row>
    <row r="839">
      <c r="A839" s="14" t="s">
        <v>5908</v>
      </c>
      <c r="B839" s="15" t="s">
        <v>7595</v>
      </c>
      <c r="C839" s="16">
        <v>26629.0</v>
      </c>
      <c r="D839" s="17" t="s">
        <v>7596</v>
      </c>
    </row>
    <row r="840">
      <c r="A840" s="14">
        <v>26.0</v>
      </c>
      <c r="B840" s="15" t="s">
        <v>7597</v>
      </c>
      <c r="C840" s="16">
        <v>26629.0</v>
      </c>
      <c r="D840" s="17" t="s">
        <v>7598</v>
      </c>
    </row>
    <row r="841">
      <c r="A841" s="14" t="s">
        <v>5908</v>
      </c>
      <c r="B841" s="15" t="s">
        <v>7599</v>
      </c>
      <c r="C841" s="16">
        <v>26630.0</v>
      </c>
      <c r="D841" s="17" t="s">
        <v>7600</v>
      </c>
    </row>
    <row r="842">
      <c r="A842" s="14">
        <v>27.0</v>
      </c>
      <c r="B842" s="15" t="s">
        <v>7601</v>
      </c>
      <c r="C842" s="16">
        <v>26630.0</v>
      </c>
      <c r="D842" s="17" t="s">
        <v>7602</v>
      </c>
    </row>
    <row r="843">
      <c r="A843" s="14" t="s">
        <v>5908</v>
      </c>
      <c r="B843" s="15" t="s">
        <v>7603</v>
      </c>
      <c r="C843" s="16">
        <v>26631.0</v>
      </c>
      <c r="D843" s="17" t="s">
        <v>7604</v>
      </c>
    </row>
    <row r="844">
      <c r="A844" s="14">
        <v>28.0</v>
      </c>
      <c r="B844" s="15" t="s">
        <v>7605</v>
      </c>
      <c r="C844" s="16">
        <v>26631.0</v>
      </c>
      <c r="D844" s="17" t="s">
        <v>7606</v>
      </c>
    </row>
    <row r="845">
      <c r="A845" s="14" t="s">
        <v>6753</v>
      </c>
      <c r="B845" s="15" t="s">
        <v>7607</v>
      </c>
      <c r="C845" s="16">
        <v>26632.0</v>
      </c>
      <c r="D845" s="17" t="s">
        <v>7608</v>
      </c>
    </row>
    <row r="846">
      <c r="A846" s="14" t="s">
        <v>5908</v>
      </c>
      <c r="B846" s="15" t="s">
        <v>7609</v>
      </c>
      <c r="C846" s="16">
        <v>26632.0</v>
      </c>
      <c r="D846" s="17" t="s">
        <v>7610</v>
      </c>
    </row>
    <row r="847">
      <c r="A847" s="14">
        <v>29.0</v>
      </c>
      <c r="B847" s="15" t="s">
        <v>7611</v>
      </c>
      <c r="C847" s="16">
        <v>26632.0</v>
      </c>
      <c r="D847" s="17" t="s">
        <v>7612</v>
      </c>
    </row>
    <row r="848">
      <c r="A848" s="14">
        <v>29.0</v>
      </c>
      <c r="B848" s="15" t="s">
        <v>7613</v>
      </c>
      <c r="C848" s="16">
        <v>26632.0</v>
      </c>
      <c r="D848" s="17" t="s">
        <v>7614</v>
      </c>
    </row>
    <row r="849">
      <c r="A849" s="14" t="s">
        <v>5908</v>
      </c>
      <c r="B849" s="15" t="s">
        <v>7615</v>
      </c>
      <c r="C849" s="16">
        <v>26633.0</v>
      </c>
      <c r="D849" s="17" t="s">
        <v>7616</v>
      </c>
    </row>
    <row r="850">
      <c r="A850" s="14">
        <v>30.0</v>
      </c>
      <c r="B850" s="15" t="s">
        <v>7617</v>
      </c>
      <c r="C850" s="16">
        <v>26633.0</v>
      </c>
      <c r="D850" s="17" t="s">
        <v>7618</v>
      </c>
    </row>
    <row r="851">
      <c r="A851" s="14" t="s">
        <v>6057</v>
      </c>
      <c r="B851" s="15" t="s">
        <v>7619</v>
      </c>
      <c r="C851" s="16">
        <v>26638.0</v>
      </c>
      <c r="D851" s="17" t="s">
        <v>7620</v>
      </c>
    </row>
    <row r="852">
      <c r="A852" s="14">
        <v>5.0</v>
      </c>
      <c r="B852" s="15" t="s">
        <v>7621</v>
      </c>
      <c r="C852" s="16">
        <v>26638.0</v>
      </c>
      <c r="D852" s="17" t="s">
        <v>7622</v>
      </c>
    </row>
    <row r="853">
      <c r="A853" s="14" t="s">
        <v>5908</v>
      </c>
      <c r="B853" s="15" t="s">
        <v>7623</v>
      </c>
      <c r="C853" s="16">
        <v>26639.0</v>
      </c>
      <c r="D853" s="17" t="s">
        <v>7624</v>
      </c>
    </row>
    <row r="854">
      <c r="A854" s="14">
        <v>6.0</v>
      </c>
      <c r="B854" s="15" t="s">
        <v>7625</v>
      </c>
      <c r="C854" s="16">
        <v>26639.0</v>
      </c>
      <c r="D854" s="17" t="s">
        <v>7626</v>
      </c>
    </row>
    <row r="855">
      <c r="A855" s="14" t="s">
        <v>5908</v>
      </c>
      <c r="B855" s="15" t="s">
        <v>7627</v>
      </c>
      <c r="C855" s="16">
        <v>26640.0</v>
      </c>
      <c r="D855" s="17" t="s">
        <v>7628</v>
      </c>
    </row>
    <row r="856">
      <c r="A856" s="14">
        <v>7.0</v>
      </c>
      <c r="B856" s="15" t="s">
        <v>7629</v>
      </c>
      <c r="C856" s="16">
        <v>26640.0</v>
      </c>
      <c r="D856" s="17" t="s">
        <v>7630</v>
      </c>
    </row>
    <row r="857">
      <c r="A857" s="14" t="s">
        <v>6057</v>
      </c>
      <c r="B857" s="15" t="s">
        <v>7631</v>
      </c>
      <c r="C857" s="16">
        <v>26641.0</v>
      </c>
      <c r="D857" s="17" t="s">
        <v>7632</v>
      </c>
    </row>
    <row r="858">
      <c r="A858" s="14">
        <v>8.0</v>
      </c>
      <c r="B858" s="15" t="s">
        <v>7633</v>
      </c>
      <c r="C858" s="16">
        <v>26641.0</v>
      </c>
      <c r="D858" s="17" t="s">
        <v>7634</v>
      </c>
    </row>
    <row r="859">
      <c r="A859" s="14" t="s">
        <v>7635</v>
      </c>
      <c r="B859" s="15" t="s">
        <v>7636</v>
      </c>
      <c r="C859" s="16">
        <v>26642.0</v>
      </c>
      <c r="D859" s="17" t="s">
        <v>7637</v>
      </c>
    </row>
    <row r="860">
      <c r="A860" s="14">
        <v>9.0</v>
      </c>
      <c r="B860" s="15" t="s">
        <v>7638</v>
      </c>
      <c r="C860" s="16">
        <v>26642.0</v>
      </c>
      <c r="D860" s="17" t="s">
        <v>7639</v>
      </c>
    </row>
    <row r="861">
      <c r="A861" s="14" t="s">
        <v>7635</v>
      </c>
      <c r="B861" s="15" t="s">
        <v>7640</v>
      </c>
      <c r="C861" s="16">
        <v>26643.0</v>
      </c>
      <c r="D861" s="17" t="s">
        <v>7641</v>
      </c>
    </row>
    <row r="862">
      <c r="A862" s="14">
        <v>10.0</v>
      </c>
      <c r="B862" s="15" t="s">
        <v>7642</v>
      </c>
      <c r="C862" s="16">
        <v>26643.0</v>
      </c>
      <c r="D862" s="17" t="s">
        <v>7643</v>
      </c>
    </row>
    <row r="863">
      <c r="A863" s="14" t="s">
        <v>5908</v>
      </c>
      <c r="B863" s="15" t="s">
        <v>7644</v>
      </c>
      <c r="C863" s="16">
        <v>26644.0</v>
      </c>
      <c r="D863" s="17" t="s">
        <v>7645</v>
      </c>
    </row>
    <row r="864">
      <c r="A864" s="14">
        <v>11.0</v>
      </c>
      <c r="B864" s="15" t="s">
        <v>7646</v>
      </c>
      <c r="C864" s="16">
        <v>26644.0</v>
      </c>
      <c r="D864" s="17" t="s">
        <v>7647</v>
      </c>
    </row>
    <row r="865">
      <c r="A865" s="14" t="s">
        <v>6040</v>
      </c>
      <c r="B865" s="15" t="s">
        <v>7648</v>
      </c>
      <c r="C865" s="16">
        <v>26645.0</v>
      </c>
      <c r="D865" s="17" t="s">
        <v>7649</v>
      </c>
    </row>
    <row r="866">
      <c r="A866" s="14">
        <v>12.0</v>
      </c>
      <c r="B866" s="15" t="s">
        <v>7650</v>
      </c>
      <c r="C866" s="16">
        <v>26645.0</v>
      </c>
      <c r="D866" s="17" t="s">
        <v>7651</v>
      </c>
    </row>
    <row r="867">
      <c r="A867" s="14" t="s">
        <v>6074</v>
      </c>
      <c r="B867" s="15" t="s">
        <v>7652</v>
      </c>
      <c r="C867" s="16">
        <v>26646.0</v>
      </c>
      <c r="D867" s="17" t="s">
        <v>7653</v>
      </c>
    </row>
    <row r="868">
      <c r="A868" s="14">
        <v>13.0</v>
      </c>
      <c r="B868" s="15" t="s">
        <v>7654</v>
      </c>
      <c r="C868" s="16">
        <v>26646.0</v>
      </c>
      <c r="D868" s="17" t="s">
        <v>7655</v>
      </c>
    </row>
    <row r="869">
      <c r="A869" s="14" t="s">
        <v>6074</v>
      </c>
      <c r="B869" s="15" t="s">
        <v>7656</v>
      </c>
      <c r="C869" s="16">
        <v>26647.0</v>
      </c>
      <c r="D869" s="17" t="s">
        <v>7657</v>
      </c>
    </row>
    <row r="870">
      <c r="A870" s="14">
        <v>14.0</v>
      </c>
      <c r="B870" s="15" t="s">
        <v>7658</v>
      </c>
      <c r="C870" s="16">
        <v>26647.0</v>
      </c>
      <c r="D870" s="17" t="s">
        <v>7659</v>
      </c>
    </row>
    <row r="871">
      <c r="A871" s="14" t="s">
        <v>6945</v>
      </c>
      <c r="B871" s="15" t="s">
        <v>7660</v>
      </c>
      <c r="C871" s="16">
        <v>26659.0</v>
      </c>
      <c r="D871" s="17" t="s">
        <v>7661</v>
      </c>
    </row>
    <row r="872">
      <c r="A872" s="14">
        <v>26.0</v>
      </c>
      <c r="B872" s="15" t="s">
        <v>7662</v>
      </c>
      <c r="C872" s="16">
        <v>26659.0</v>
      </c>
      <c r="D872" s="17" t="s">
        <v>7663</v>
      </c>
    </row>
    <row r="873">
      <c r="A873" s="14" t="s">
        <v>6945</v>
      </c>
      <c r="B873" s="15" t="s">
        <v>7664</v>
      </c>
      <c r="C873" s="16">
        <v>26660.0</v>
      </c>
      <c r="D873" s="17" t="s">
        <v>7665</v>
      </c>
    </row>
    <row r="874">
      <c r="A874" s="14">
        <v>27.0</v>
      </c>
      <c r="B874" s="15" t="s">
        <v>7666</v>
      </c>
      <c r="C874" s="16">
        <v>26660.0</v>
      </c>
      <c r="D874" s="17" t="s">
        <v>7667</v>
      </c>
    </row>
    <row r="875">
      <c r="A875" s="14" t="s">
        <v>6945</v>
      </c>
      <c r="B875" s="15" t="s">
        <v>7668</v>
      </c>
      <c r="C875" s="16">
        <v>26661.0</v>
      </c>
      <c r="D875" s="17" t="s">
        <v>7669</v>
      </c>
    </row>
    <row r="876">
      <c r="A876" s="14" t="s">
        <v>6945</v>
      </c>
      <c r="B876" s="15" t="s">
        <v>7670</v>
      </c>
      <c r="C876" s="16">
        <v>26661.0</v>
      </c>
      <c r="D876" s="17" t="s">
        <v>7671</v>
      </c>
    </row>
    <row r="877">
      <c r="A877" s="14">
        <v>28.0</v>
      </c>
      <c r="B877" s="15" t="s">
        <v>7672</v>
      </c>
      <c r="C877" s="16">
        <v>26661.0</v>
      </c>
      <c r="D877" s="17" t="s">
        <v>7673</v>
      </c>
    </row>
    <row r="878">
      <c r="A878" s="14">
        <v>28.0</v>
      </c>
      <c r="B878" s="15" t="s">
        <v>7674</v>
      </c>
      <c r="C878" s="16">
        <v>26661.0</v>
      </c>
      <c r="D878" s="17" t="s">
        <v>7675</v>
      </c>
    </row>
    <row r="879">
      <c r="A879" s="14" t="s">
        <v>7676</v>
      </c>
      <c r="B879" s="15" t="s">
        <v>7677</v>
      </c>
      <c r="C879" s="16">
        <v>26662.0</v>
      </c>
      <c r="D879" s="17" t="s">
        <v>7678</v>
      </c>
    </row>
    <row r="880">
      <c r="A880" s="14">
        <v>29.0</v>
      </c>
      <c r="B880" s="15" t="s">
        <v>7679</v>
      </c>
      <c r="C880" s="16">
        <v>26662.0</v>
      </c>
      <c r="D880" s="17" t="s">
        <v>7680</v>
      </c>
    </row>
    <row r="881">
      <c r="A881" s="14" t="s">
        <v>7676</v>
      </c>
      <c r="B881" s="15" t="s">
        <v>7681</v>
      </c>
      <c r="C881" s="16">
        <v>26663.0</v>
      </c>
      <c r="D881" s="17" t="s">
        <v>7682</v>
      </c>
    </row>
    <row r="882">
      <c r="A882" s="14">
        <v>30.0</v>
      </c>
      <c r="B882" s="15" t="s">
        <v>7683</v>
      </c>
      <c r="C882" s="16">
        <v>26663.0</v>
      </c>
      <c r="D882" s="17" t="s">
        <v>7684</v>
      </c>
    </row>
    <row r="883">
      <c r="A883" s="14" t="s">
        <v>6945</v>
      </c>
      <c r="B883" s="15" t="s">
        <v>7685</v>
      </c>
      <c r="C883" s="16">
        <v>26665.0</v>
      </c>
      <c r="D883" s="17" t="s">
        <v>7686</v>
      </c>
    </row>
    <row r="884">
      <c r="A884" s="14">
        <v>1.0</v>
      </c>
      <c r="B884" s="15" t="s">
        <v>7687</v>
      </c>
      <c r="C884" s="16">
        <v>26665.0</v>
      </c>
      <c r="D884" s="17" t="s">
        <v>7688</v>
      </c>
    </row>
    <row r="885">
      <c r="A885" s="14" t="s">
        <v>6057</v>
      </c>
      <c r="B885" s="15" t="s">
        <v>7689</v>
      </c>
      <c r="C885" s="16">
        <v>26667.0</v>
      </c>
      <c r="D885" s="17" t="s">
        <v>7690</v>
      </c>
    </row>
    <row r="886">
      <c r="A886" s="14">
        <v>3.0</v>
      </c>
      <c r="B886" s="15" t="s">
        <v>7691</v>
      </c>
      <c r="C886" s="16">
        <v>26667.0</v>
      </c>
      <c r="D886" s="17" t="s">
        <v>7692</v>
      </c>
    </row>
    <row r="887">
      <c r="A887" s="14" t="s">
        <v>6945</v>
      </c>
      <c r="B887" s="15" t="s">
        <v>7693</v>
      </c>
      <c r="C887" s="16">
        <v>26668.0</v>
      </c>
      <c r="D887" s="17" t="s">
        <v>7694</v>
      </c>
    </row>
    <row r="888">
      <c r="A888" s="14">
        <v>4.0</v>
      </c>
      <c r="B888" s="15" t="s">
        <v>7695</v>
      </c>
      <c r="C888" s="16">
        <v>26668.0</v>
      </c>
      <c r="D888" s="17" t="s">
        <v>7696</v>
      </c>
    </row>
    <row r="889">
      <c r="A889" s="14" t="s">
        <v>6945</v>
      </c>
      <c r="B889" s="15" t="s">
        <v>7697</v>
      </c>
      <c r="C889" s="16">
        <v>26669.0</v>
      </c>
      <c r="D889" s="17" t="s">
        <v>7698</v>
      </c>
    </row>
    <row r="890">
      <c r="A890" s="14" t="s">
        <v>6945</v>
      </c>
      <c r="B890" s="15" t="s">
        <v>7699</v>
      </c>
      <c r="C890" s="16">
        <v>26669.0</v>
      </c>
      <c r="D890" s="17" t="s">
        <v>7700</v>
      </c>
    </row>
    <row r="891">
      <c r="A891" s="14">
        <v>5.0</v>
      </c>
      <c r="B891" s="15" t="s">
        <v>7701</v>
      </c>
      <c r="C891" s="16">
        <v>26669.0</v>
      </c>
      <c r="D891" s="17" t="s">
        <v>7702</v>
      </c>
    </row>
    <row r="892">
      <c r="A892" s="14">
        <v>5.0</v>
      </c>
      <c r="B892" s="15" t="s">
        <v>7703</v>
      </c>
      <c r="C892" s="16">
        <v>26669.0</v>
      </c>
      <c r="D892" s="17" t="s">
        <v>7704</v>
      </c>
    </row>
    <row r="893">
      <c r="A893" s="14" t="s">
        <v>6945</v>
      </c>
      <c r="B893" s="15" t="s">
        <v>7705</v>
      </c>
      <c r="C893" s="16">
        <v>26671.0</v>
      </c>
      <c r="D893" s="17" t="s">
        <v>7706</v>
      </c>
    </row>
    <row r="894">
      <c r="A894" s="14">
        <v>7.0</v>
      </c>
      <c r="B894" s="15" t="s">
        <v>7707</v>
      </c>
      <c r="C894" s="16">
        <v>26671.0</v>
      </c>
      <c r="D894" s="17" t="s">
        <v>7708</v>
      </c>
    </row>
    <row r="895">
      <c r="A895" s="14" t="s">
        <v>6945</v>
      </c>
      <c r="B895" s="15" t="s">
        <v>7709</v>
      </c>
      <c r="C895" s="16">
        <v>26675.0</v>
      </c>
      <c r="D895" s="17" t="s">
        <v>7710</v>
      </c>
    </row>
    <row r="896">
      <c r="A896" s="14">
        <v>11.0</v>
      </c>
      <c r="B896" s="15" t="s">
        <v>7711</v>
      </c>
      <c r="C896" s="16">
        <v>26675.0</v>
      </c>
      <c r="D896" s="17" t="s">
        <v>7712</v>
      </c>
    </row>
    <row r="897">
      <c r="A897" s="14" t="s">
        <v>5895</v>
      </c>
      <c r="B897" s="15" t="s">
        <v>7713</v>
      </c>
      <c r="C897" s="16">
        <v>26676.0</v>
      </c>
      <c r="D897" s="17" t="s">
        <v>7714</v>
      </c>
    </row>
    <row r="898">
      <c r="A898" s="14">
        <v>12.0</v>
      </c>
      <c r="B898" s="15" t="s">
        <v>7715</v>
      </c>
      <c r="C898" s="16">
        <v>26676.0</v>
      </c>
      <c r="D898" s="17" t="s">
        <v>7716</v>
      </c>
    </row>
    <row r="899">
      <c r="A899" s="14" t="s">
        <v>6074</v>
      </c>
      <c r="B899" s="15" t="s">
        <v>7717</v>
      </c>
      <c r="C899" s="16">
        <v>26677.0</v>
      </c>
      <c r="D899" s="17" t="s">
        <v>7718</v>
      </c>
    </row>
    <row r="900">
      <c r="A900" s="14">
        <v>13.0</v>
      </c>
      <c r="B900" s="15" t="s">
        <v>7719</v>
      </c>
      <c r="C900" s="16">
        <v>26677.0</v>
      </c>
      <c r="D900" s="17" t="s">
        <v>7720</v>
      </c>
    </row>
    <row r="901">
      <c r="A901" s="14" t="s">
        <v>6057</v>
      </c>
      <c r="B901" s="15" t="s">
        <v>7721</v>
      </c>
      <c r="C901" s="16">
        <v>26678.0</v>
      </c>
      <c r="D901" s="17" t="s">
        <v>7722</v>
      </c>
    </row>
    <row r="902">
      <c r="A902" s="14">
        <v>14.0</v>
      </c>
      <c r="B902" s="15" t="s">
        <v>7723</v>
      </c>
      <c r="C902" s="16">
        <v>26678.0</v>
      </c>
      <c r="D902" s="17" t="s">
        <v>7724</v>
      </c>
    </row>
    <row r="903">
      <c r="A903" s="14" t="s">
        <v>6945</v>
      </c>
      <c r="B903" s="15" t="s">
        <v>7725</v>
      </c>
      <c r="C903" s="16">
        <v>26689.0</v>
      </c>
      <c r="D903" s="17" t="s">
        <v>7726</v>
      </c>
    </row>
    <row r="904">
      <c r="A904" s="14">
        <v>25.0</v>
      </c>
      <c r="B904" s="15" t="s">
        <v>7727</v>
      </c>
      <c r="C904" s="16">
        <v>26689.0</v>
      </c>
      <c r="D904" s="17" t="s">
        <v>7728</v>
      </c>
    </row>
    <row r="905">
      <c r="A905" s="14" t="s">
        <v>6057</v>
      </c>
      <c r="B905" s="15" t="s">
        <v>7729</v>
      </c>
      <c r="C905" s="16">
        <v>26690.0</v>
      </c>
      <c r="D905" s="17" t="s">
        <v>7730</v>
      </c>
    </row>
    <row r="906">
      <c r="A906" s="14">
        <v>26.0</v>
      </c>
      <c r="B906" s="15" t="s">
        <v>7731</v>
      </c>
      <c r="C906" s="16">
        <v>26690.0</v>
      </c>
      <c r="D906" s="17" t="s">
        <v>7732</v>
      </c>
    </row>
    <row r="907">
      <c r="A907" s="14" t="s">
        <v>6074</v>
      </c>
      <c r="B907" s="15" t="s">
        <v>7733</v>
      </c>
      <c r="C907" s="16">
        <v>26691.0</v>
      </c>
      <c r="D907" s="17" t="s">
        <v>7734</v>
      </c>
    </row>
    <row r="908">
      <c r="A908" s="14" t="s">
        <v>6945</v>
      </c>
      <c r="B908" s="15" t="s">
        <v>7735</v>
      </c>
      <c r="C908" s="16">
        <v>26691.0</v>
      </c>
      <c r="D908" s="17" t="s">
        <v>7736</v>
      </c>
    </row>
    <row r="909">
      <c r="A909" s="14">
        <v>27.0</v>
      </c>
      <c r="B909" s="15" t="s">
        <v>7737</v>
      </c>
      <c r="C909" s="16">
        <v>26691.0</v>
      </c>
      <c r="D909" s="17" t="s">
        <v>7738</v>
      </c>
    </row>
    <row r="910">
      <c r="A910" s="14">
        <v>27.0</v>
      </c>
      <c r="B910" s="15" t="s">
        <v>7739</v>
      </c>
      <c r="C910" s="16">
        <v>26691.0</v>
      </c>
      <c r="D910" s="17" t="s">
        <v>7740</v>
      </c>
    </row>
    <row r="911">
      <c r="A911" s="14" t="s">
        <v>6945</v>
      </c>
      <c r="B911" s="15" t="s">
        <v>7741</v>
      </c>
      <c r="C911" s="16">
        <v>26693.0</v>
      </c>
      <c r="D911" s="17" t="s">
        <v>7742</v>
      </c>
    </row>
    <row r="912">
      <c r="A912" s="14" t="s">
        <v>6057</v>
      </c>
      <c r="B912" s="15" t="s">
        <v>7743</v>
      </c>
      <c r="C912" s="16">
        <v>26693.0</v>
      </c>
      <c r="D912" s="17" t="s">
        <v>7744</v>
      </c>
    </row>
    <row r="913">
      <c r="A913" s="14">
        <v>29.0</v>
      </c>
      <c r="B913" s="15" t="s">
        <v>7745</v>
      </c>
      <c r="C913" s="16">
        <v>26693.0</v>
      </c>
      <c r="D913" s="17" t="s">
        <v>7746</v>
      </c>
    </row>
    <row r="914">
      <c r="A914" s="14">
        <v>29.0</v>
      </c>
      <c r="B914" s="15" t="s">
        <v>7747</v>
      </c>
      <c r="C914" s="16">
        <v>26693.0</v>
      </c>
      <c r="D914" s="17" t="s">
        <v>7748</v>
      </c>
    </row>
    <row r="915">
      <c r="A915" s="14" t="s">
        <v>6945</v>
      </c>
      <c r="B915" s="15" t="s">
        <v>7749</v>
      </c>
      <c r="C915" s="16">
        <v>26694.0</v>
      </c>
      <c r="D915" s="17" t="s">
        <v>7750</v>
      </c>
    </row>
    <row r="916">
      <c r="A916" s="14" t="s">
        <v>6057</v>
      </c>
      <c r="B916" s="15" t="s">
        <v>7751</v>
      </c>
      <c r="C916" s="16">
        <v>26694.0</v>
      </c>
      <c r="D916" s="17" t="s">
        <v>7752</v>
      </c>
    </row>
    <row r="917">
      <c r="A917" s="14">
        <v>30.0</v>
      </c>
      <c r="B917" s="15" t="s">
        <v>7753</v>
      </c>
      <c r="C917" s="16">
        <v>26694.0</v>
      </c>
      <c r="D917" s="17" t="s">
        <v>7754</v>
      </c>
    </row>
    <row r="918">
      <c r="A918" s="14">
        <v>30.0</v>
      </c>
      <c r="B918" s="15" t="s">
        <v>7755</v>
      </c>
      <c r="C918" s="16">
        <v>26694.0</v>
      </c>
      <c r="D918" s="17" t="s">
        <v>7756</v>
      </c>
    </row>
    <row r="919">
      <c r="A919" s="14" t="s">
        <v>6945</v>
      </c>
      <c r="B919" s="15" t="s">
        <v>7757</v>
      </c>
      <c r="C919" s="16">
        <v>26695.0</v>
      </c>
      <c r="D919" s="17" t="s">
        <v>7758</v>
      </c>
    </row>
    <row r="920">
      <c r="A920" s="14" t="s">
        <v>6057</v>
      </c>
      <c r="B920" s="15" t="s">
        <v>7759</v>
      </c>
      <c r="C920" s="16">
        <v>26695.0</v>
      </c>
      <c r="D920" s="17" t="s">
        <v>7760</v>
      </c>
    </row>
    <row r="921">
      <c r="A921" s="14">
        <v>31.0</v>
      </c>
      <c r="B921" s="15" t="s">
        <v>7761</v>
      </c>
      <c r="C921" s="16">
        <v>26695.0</v>
      </c>
      <c r="D921" s="17" t="s">
        <v>7762</v>
      </c>
    </row>
    <row r="922">
      <c r="A922" s="14">
        <v>31.0</v>
      </c>
      <c r="B922" s="15" t="s">
        <v>7763</v>
      </c>
      <c r="C922" s="16">
        <v>26695.0</v>
      </c>
      <c r="D922" s="17" t="s">
        <v>7764</v>
      </c>
    </row>
    <row r="923">
      <c r="A923" s="14" t="s">
        <v>6074</v>
      </c>
      <c r="B923" s="15" t="s">
        <v>7765</v>
      </c>
      <c r="C923" s="16">
        <v>26711.0</v>
      </c>
      <c r="D923" s="17" t="s">
        <v>7766</v>
      </c>
    </row>
    <row r="924">
      <c r="A924" s="14">
        <v>16.0</v>
      </c>
      <c r="B924" s="15" t="s">
        <v>7767</v>
      </c>
      <c r="C924" s="16">
        <v>26711.0</v>
      </c>
      <c r="D924" s="17" t="s">
        <v>7768</v>
      </c>
    </row>
    <row r="925">
      <c r="A925" s="14" t="s">
        <v>5932</v>
      </c>
      <c r="B925" s="15" t="s">
        <v>7769</v>
      </c>
      <c r="C925" s="16">
        <v>26715.0</v>
      </c>
      <c r="D925" s="17" t="s">
        <v>7770</v>
      </c>
    </row>
    <row r="926">
      <c r="A926" s="14">
        <v>20.0</v>
      </c>
      <c r="B926" s="15" t="s">
        <v>7771</v>
      </c>
      <c r="C926" s="16">
        <v>26715.0</v>
      </c>
      <c r="D926" s="17" t="s">
        <v>7772</v>
      </c>
    </row>
    <row r="927">
      <c r="A927" s="14" t="s">
        <v>6311</v>
      </c>
      <c r="B927" s="15" t="s">
        <v>7773</v>
      </c>
      <c r="C927" s="16">
        <v>26729.0</v>
      </c>
      <c r="D927" s="17" t="s">
        <v>7774</v>
      </c>
    </row>
    <row r="928">
      <c r="A928" s="14">
        <v>6.0</v>
      </c>
      <c r="B928" s="15" t="s">
        <v>7775</v>
      </c>
      <c r="C928" s="16">
        <v>26729.0</v>
      </c>
      <c r="D928" s="17" t="s">
        <v>7776</v>
      </c>
    </row>
    <row r="929">
      <c r="A929" s="14" t="s">
        <v>7777</v>
      </c>
      <c r="B929" s="15" t="s">
        <v>7778</v>
      </c>
      <c r="C929" s="16">
        <v>26735.0</v>
      </c>
      <c r="D929" s="17" t="s">
        <v>7779</v>
      </c>
    </row>
    <row r="930">
      <c r="A930" s="14" t="s">
        <v>7777</v>
      </c>
      <c r="B930" s="15" t="s">
        <v>7780</v>
      </c>
      <c r="C930" s="16">
        <v>26736.0</v>
      </c>
      <c r="D930" s="17" t="s">
        <v>7781</v>
      </c>
    </row>
    <row r="931">
      <c r="A931" s="14" t="s">
        <v>7777</v>
      </c>
      <c r="B931" s="15" t="s">
        <v>7782</v>
      </c>
      <c r="C931" s="16">
        <v>26739.0</v>
      </c>
      <c r="D931" s="17" t="s">
        <v>7783</v>
      </c>
    </row>
    <row r="932">
      <c r="A932" s="14" t="s">
        <v>6753</v>
      </c>
      <c r="B932" s="15" t="s">
        <v>7784</v>
      </c>
      <c r="C932" s="16">
        <v>26759.0</v>
      </c>
      <c r="D932" s="17" t="s">
        <v>7785</v>
      </c>
    </row>
    <row r="933">
      <c r="A933" s="14">
        <v>5.0</v>
      </c>
      <c r="B933" s="15" t="s">
        <v>7786</v>
      </c>
      <c r="C933" s="16">
        <v>26759.0</v>
      </c>
      <c r="D933" s="17" t="s">
        <v>7787</v>
      </c>
    </row>
    <row r="934">
      <c r="A934" s="14" t="s">
        <v>5986</v>
      </c>
      <c r="B934" s="15" t="s">
        <v>7788</v>
      </c>
      <c r="C934" s="16">
        <v>26762.0</v>
      </c>
      <c r="D934" s="17" t="s">
        <v>7789</v>
      </c>
    </row>
    <row r="935">
      <c r="A935" s="14">
        <v>8.0</v>
      </c>
      <c r="B935" s="15" t="s">
        <v>7790</v>
      </c>
      <c r="C935" s="16">
        <v>26762.0</v>
      </c>
      <c r="D935" s="17" t="s">
        <v>7791</v>
      </c>
    </row>
    <row r="936">
      <c r="A936" s="14" t="s">
        <v>5932</v>
      </c>
      <c r="B936" s="15" t="s">
        <v>7792</v>
      </c>
      <c r="C936" s="16">
        <v>26764.0</v>
      </c>
      <c r="D936" s="17" t="s">
        <v>7793</v>
      </c>
    </row>
    <row r="937">
      <c r="A937" s="14">
        <v>10.0</v>
      </c>
      <c r="B937" s="15" t="s">
        <v>7794</v>
      </c>
      <c r="C937" s="16">
        <v>26764.0</v>
      </c>
      <c r="D937" s="17" t="s">
        <v>7795</v>
      </c>
    </row>
    <row r="938">
      <c r="A938" s="14" t="s">
        <v>5932</v>
      </c>
      <c r="B938" s="15" t="s">
        <v>7796</v>
      </c>
      <c r="C938" s="16">
        <v>26766.0</v>
      </c>
      <c r="D938" s="17" t="s">
        <v>7797</v>
      </c>
    </row>
    <row r="939">
      <c r="A939" s="14">
        <v>12.0</v>
      </c>
      <c r="B939" s="15" t="s">
        <v>7798</v>
      </c>
      <c r="C939" s="16">
        <v>26766.0</v>
      </c>
      <c r="D939" s="17" t="s">
        <v>7799</v>
      </c>
    </row>
    <row r="940">
      <c r="A940" s="14" t="s">
        <v>6753</v>
      </c>
      <c r="B940" s="15" t="s">
        <v>7800</v>
      </c>
      <c r="C940" s="16">
        <v>26767.0</v>
      </c>
      <c r="D940" s="17" t="s">
        <v>7801</v>
      </c>
    </row>
    <row r="941">
      <c r="A941" s="14" t="s">
        <v>5932</v>
      </c>
      <c r="B941" s="15" t="s">
        <v>7802</v>
      </c>
      <c r="C941" s="16">
        <v>26767.0</v>
      </c>
      <c r="D941" s="17" t="s">
        <v>7803</v>
      </c>
    </row>
    <row r="942">
      <c r="A942" s="14">
        <v>13.0</v>
      </c>
      <c r="B942" s="15" t="s">
        <v>7804</v>
      </c>
      <c r="C942" s="16">
        <v>26767.0</v>
      </c>
      <c r="D942" s="17" t="s">
        <v>7805</v>
      </c>
    </row>
    <row r="943">
      <c r="A943" s="14">
        <v>13.0</v>
      </c>
      <c r="B943" s="15" t="s">
        <v>7806</v>
      </c>
      <c r="C943" s="16">
        <v>26767.0</v>
      </c>
      <c r="D943" s="17" t="s">
        <v>7807</v>
      </c>
    </row>
    <row r="944">
      <c r="A944" s="14" t="s">
        <v>5908</v>
      </c>
      <c r="B944" s="15" t="s">
        <v>7808</v>
      </c>
      <c r="C944" s="16">
        <v>26768.0</v>
      </c>
      <c r="D944" s="17" t="s">
        <v>7809</v>
      </c>
    </row>
    <row r="945">
      <c r="A945" s="14" t="s">
        <v>5932</v>
      </c>
      <c r="B945" s="15" t="s">
        <v>7810</v>
      </c>
      <c r="C945" s="16">
        <v>26768.0</v>
      </c>
      <c r="D945" s="17" t="s">
        <v>7811</v>
      </c>
    </row>
    <row r="946">
      <c r="A946" s="14">
        <v>14.0</v>
      </c>
      <c r="B946" s="15" t="s">
        <v>7812</v>
      </c>
      <c r="C946" s="16">
        <v>26768.0</v>
      </c>
      <c r="D946" s="17" t="s">
        <v>7813</v>
      </c>
    </row>
    <row r="947">
      <c r="A947" s="14">
        <v>14.0</v>
      </c>
      <c r="B947" s="15" t="s">
        <v>7814</v>
      </c>
      <c r="C947" s="16">
        <v>26768.0</v>
      </c>
      <c r="D947" s="17" t="s">
        <v>7815</v>
      </c>
    </row>
    <row r="948">
      <c r="A948" s="14" t="s">
        <v>5932</v>
      </c>
      <c r="B948" s="15" t="s">
        <v>7816</v>
      </c>
      <c r="C948" s="16">
        <v>26769.0</v>
      </c>
      <c r="D948" s="17" t="s">
        <v>7817</v>
      </c>
    </row>
    <row r="949">
      <c r="A949" s="14">
        <v>15.0</v>
      </c>
      <c r="B949" s="15" t="s">
        <v>7818</v>
      </c>
      <c r="C949" s="16">
        <v>26769.0</v>
      </c>
      <c r="D949" s="17" t="s">
        <v>7819</v>
      </c>
    </row>
    <row r="950">
      <c r="A950" s="14" t="s">
        <v>5932</v>
      </c>
      <c r="B950" s="15" t="s">
        <v>7820</v>
      </c>
      <c r="C950" s="16">
        <v>26770.0</v>
      </c>
      <c r="D950" s="17" t="s">
        <v>7821</v>
      </c>
    </row>
    <row r="951">
      <c r="A951" s="14">
        <v>16.0</v>
      </c>
      <c r="B951" s="15" t="s">
        <v>7822</v>
      </c>
      <c r="C951" s="16">
        <v>26770.0</v>
      </c>
      <c r="D951" s="17" t="s">
        <v>7823</v>
      </c>
    </row>
    <row r="952">
      <c r="A952" s="14" t="s">
        <v>5932</v>
      </c>
      <c r="B952" s="15" t="s">
        <v>7824</v>
      </c>
      <c r="C952" s="16">
        <v>26771.0</v>
      </c>
      <c r="D952" s="17" t="s">
        <v>7825</v>
      </c>
    </row>
    <row r="953">
      <c r="A953" s="14">
        <v>17.0</v>
      </c>
      <c r="B953" s="15" t="s">
        <v>7826</v>
      </c>
      <c r="C953" s="16">
        <v>26771.0</v>
      </c>
      <c r="D953" s="17" t="s">
        <v>7827</v>
      </c>
    </row>
    <row r="954">
      <c r="A954" s="14" t="s">
        <v>5932</v>
      </c>
      <c r="B954" s="15" t="s">
        <v>7828</v>
      </c>
      <c r="C954" s="16">
        <v>26772.0</v>
      </c>
      <c r="D954" s="17" t="s">
        <v>7829</v>
      </c>
    </row>
    <row r="955">
      <c r="A955" s="14">
        <v>18.0</v>
      </c>
      <c r="B955" s="15" t="s">
        <v>7830</v>
      </c>
      <c r="C955" s="16">
        <v>26772.0</v>
      </c>
      <c r="D955" s="17" t="s">
        <v>7831</v>
      </c>
    </row>
    <row r="956">
      <c r="A956" s="14" t="s">
        <v>6374</v>
      </c>
      <c r="B956" s="15" t="s">
        <v>7832</v>
      </c>
      <c r="C956" s="16">
        <v>26773.0</v>
      </c>
      <c r="D956" s="17" t="s">
        <v>7833</v>
      </c>
    </row>
    <row r="957">
      <c r="A957" s="14" t="s">
        <v>5932</v>
      </c>
      <c r="B957" s="15" t="s">
        <v>7834</v>
      </c>
      <c r="C957" s="16">
        <v>26773.0</v>
      </c>
      <c r="D957" s="17" t="s">
        <v>7835</v>
      </c>
    </row>
    <row r="958">
      <c r="A958" s="14">
        <v>19.0</v>
      </c>
      <c r="B958" s="15" t="s">
        <v>7836</v>
      </c>
      <c r="C958" s="16">
        <v>26773.0</v>
      </c>
      <c r="D958" s="17" t="s">
        <v>7837</v>
      </c>
    </row>
    <row r="959">
      <c r="A959" s="14">
        <v>19.0</v>
      </c>
      <c r="B959" s="15" t="s">
        <v>7838</v>
      </c>
      <c r="C959" s="16">
        <v>26773.0</v>
      </c>
      <c r="D959" s="17" t="s">
        <v>7839</v>
      </c>
    </row>
    <row r="960">
      <c r="A960" s="14" t="s">
        <v>5932</v>
      </c>
      <c r="B960" s="15" t="s">
        <v>7840</v>
      </c>
      <c r="C960" s="16">
        <v>26774.0</v>
      </c>
      <c r="D960" s="17" t="s">
        <v>7841</v>
      </c>
    </row>
    <row r="961">
      <c r="A961" s="14">
        <v>20.0</v>
      </c>
      <c r="B961" s="15" t="s">
        <v>7842</v>
      </c>
      <c r="C961" s="16">
        <v>26774.0</v>
      </c>
      <c r="D961" s="17" t="s">
        <v>7843</v>
      </c>
    </row>
    <row r="962">
      <c r="A962" s="14" t="s">
        <v>5932</v>
      </c>
      <c r="B962" s="15" t="s">
        <v>7844</v>
      </c>
      <c r="C962" s="16">
        <v>26775.0</v>
      </c>
      <c r="D962" s="17" t="s">
        <v>7845</v>
      </c>
    </row>
    <row r="963">
      <c r="A963" s="14">
        <v>21.0</v>
      </c>
      <c r="B963" s="15" t="s">
        <v>7846</v>
      </c>
      <c r="C963" s="16">
        <v>26775.0</v>
      </c>
      <c r="D963" s="17" t="s">
        <v>7847</v>
      </c>
    </row>
    <row r="964">
      <c r="A964" s="14" t="s">
        <v>5932</v>
      </c>
      <c r="B964" s="15" t="s">
        <v>7848</v>
      </c>
      <c r="C964" s="16">
        <v>26776.0</v>
      </c>
      <c r="D964" s="17" t="s">
        <v>7849</v>
      </c>
    </row>
    <row r="965">
      <c r="A965" s="14">
        <v>22.0</v>
      </c>
      <c r="B965" s="15" t="s">
        <v>7850</v>
      </c>
      <c r="C965" s="16">
        <v>26776.0</v>
      </c>
      <c r="D965" s="17" t="s">
        <v>7851</v>
      </c>
    </row>
    <row r="966">
      <c r="A966" s="14" t="s">
        <v>5932</v>
      </c>
      <c r="B966" s="15" t="s">
        <v>7852</v>
      </c>
      <c r="C966" s="16">
        <v>26777.0</v>
      </c>
      <c r="D966" s="17" t="s">
        <v>7853</v>
      </c>
    </row>
    <row r="967">
      <c r="A967" s="14">
        <v>23.0</v>
      </c>
      <c r="B967" s="15" t="s">
        <v>7854</v>
      </c>
      <c r="C967" s="16">
        <v>26777.0</v>
      </c>
      <c r="D967" s="17" t="s">
        <v>7855</v>
      </c>
    </row>
    <row r="968">
      <c r="A968" s="14" t="s">
        <v>5932</v>
      </c>
      <c r="B968" s="15" t="s">
        <v>7856</v>
      </c>
      <c r="C968" s="16">
        <v>26778.0</v>
      </c>
      <c r="D968" s="17" t="s">
        <v>7857</v>
      </c>
    </row>
    <row r="969">
      <c r="A969" s="14">
        <v>24.0</v>
      </c>
      <c r="B969" s="15" t="s">
        <v>7858</v>
      </c>
      <c r="C969" s="16">
        <v>26778.0</v>
      </c>
      <c r="D969" s="17" t="s">
        <v>7859</v>
      </c>
    </row>
    <row r="970">
      <c r="A970" s="14" t="s">
        <v>5932</v>
      </c>
      <c r="B970" s="15" t="s">
        <v>7860</v>
      </c>
      <c r="C970" s="16">
        <v>26779.0</v>
      </c>
      <c r="D970" s="17" t="s">
        <v>7861</v>
      </c>
    </row>
    <row r="971">
      <c r="A971" s="14">
        <v>25.0</v>
      </c>
      <c r="B971" s="15" t="s">
        <v>7862</v>
      </c>
      <c r="C971" s="16">
        <v>26779.0</v>
      </c>
      <c r="D971" s="17" t="s">
        <v>7863</v>
      </c>
    </row>
    <row r="972">
      <c r="A972" s="14" t="s">
        <v>5932</v>
      </c>
      <c r="B972" s="15" t="s">
        <v>7864</v>
      </c>
      <c r="C972" s="16">
        <v>26780.0</v>
      </c>
      <c r="D972" s="17" t="s">
        <v>7865</v>
      </c>
    </row>
    <row r="973">
      <c r="A973" s="14">
        <v>26.0</v>
      </c>
      <c r="B973" s="15" t="s">
        <v>7866</v>
      </c>
      <c r="C973" s="16">
        <v>26780.0</v>
      </c>
      <c r="D973" s="17" t="s">
        <v>7867</v>
      </c>
    </row>
    <row r="974">
      <c r="A974" s="14" t="s">
        <v>6374</v>
      </c>
      <c r="B974" s="15" t="s">
        <v>7868</v>
      </c>
      <c r="C974" s="16">
        <v>26782.0</v>
      </c>
      <c r="D974" s="17" t="s">
        <v>7869</v>
      </c>
    </row>
    <row r="975">
      <c r="A975" s="14" t="s">
        <v>5932</v>
      </c>
      <c r="B975" s="15" t="s">
        <v>7870</v>
      </c>
      <c r="C975" s="16">
        <v>26782.0</v>
      </c>
      <c r="D975" s="17" t="s">
        <v>7871</v>
      </c>
    </row>
    <row r="976">
      <c r="A976" s="14">
        <v>28.0</v>
      </c>
      <c r="B976" s="15" t="s">
        <v>7872</v>
      </c>
      <c r="C976" s="16">
        <v>26782.0</v>
      </c>
      <c r="D976" s="17" t="s">
        <v>7873</v>
      </c>
    </row>
    <row r="977">
      <c r="A977" s="14">
        <v>28.0</v>
      </c>
      <c r="B977" s="15" t="s">
        <v>7874</v>
      </c>
      <c r="C977" s="16">
        <v>26782.0</v>
      </c>
      <c r="D977" s="17" t="s">
        <v>7875</v>
      </c>
    </row>
    <row r="978">
      <c r="A978" s="14" t="s">
        <v>5932</v>
      </c>
      <c r="B978" s="15" t="s">
        <v>7876</v>
      </c>
      <c r="C978" s="16">
        <v>26783.0</v>
      </c>
      <c r="D978" s="17" t="s">
        <v>7877</v>
      </c>
    </row>
    <row r="979">
      <c r="A979" s="14">
        <v>29.0</v>
      </c>
      <c r="B979" s="15" t="s">
        <v>7878</v>
      </c>
      <c r="C979" s="16">
        <v>26783.0</v>
      </c>
      <c r="D979" s="17" t="s">
        <v>7879</v>
      </c>
    </row>
    <row r="980">
      <c r="A980" s="14" t="s">
        <v>5932</v>
      </c>
      <c r="B980" s="15" t="s">
        <v>7880</v>
      </c>
      <c r="C980" s="16">
        <v>26784.0</v>
      </c>
      <c r="D980" s="17" t="s">
        <v>7881</v>
      </c>
    </row>
    <row r="981">
      <c r="A981" s="14">
        <v>30.0</v>
      </c>
      <c r="B981" s="15" t="s">
        <v>7882</v>
      </c>
      <c r="C981" s="16">
        <v>26784.0</v>
      </c>
      <c r="D981" s="17" t="s">
        <v>7883</v>
      </c>
    </row>
    <row r="982">
      <c r="A982" s="14" t="s">
        <v>5932</v>
      </c>
      <c r="B982" s="15" t="s">
        <v>7884</v>
      </c>
      <c r="C982" s="16">
        <v>26785.0</v>
      </c>
      <c r="D982" s="17" t="s">
        <v>7885</v>
      </c>
    </row>
    <row r="983">
      <c r="A983" s="14">
        <v>1.0</v>
      </c>
      <c r="B983" s="15" t="s">
        <v>7886</v>
      </c>
      <c r="C983" s="16">
        <v>26785.0</v>
      </c>
      <c r="D983" s="17" t="s">
        <v>7887</v>
      </c>
    </row>
    <row r="984">
      <c r="A984" s="14" t="s">
        <v>5932</v>
      </c>
      <c r="B984" s="15" t="s">
        <v>7888</v>
      </c>
      <c r="C984" s="16">
        <v>26786.0</v>
      </c>
      <c r="D984" s="17" t="s">
        <v>7889</v>
      </c>
    </row>
    <row r="985">
      <c r="A985" s="14">
        <v>2.0</v>
      </c>
      <c r="B985" s="15" t="s">
        <v>7890</v>
      </c>
      <c r="C985" s="16">
        <v>26786.0</v>
      </c>
      <c r="D985" s="17" t="s">
        <v>7891</v>
      </c>
    </row>
    <row r="986">
      <c r="A986" s="14" t="s">
        <v>5932</v>
      </c>
      <c r="B986" s="15" t="s">
        <v>7892</v>
      </c>
      <c r="C986" s="16">
        <v>26787.0</v>
      </c>
      <c r="D986" s="17" t="s">
        <v>7893</v>
      </c>
    </row>
    <row r="987">
      <c r="A987" s="14">
        <v>3.0</v>
      </c>
      <c r="B987" s="15" t="s">
        <v>7894</v>
      </c>
      <c r="C987" s="16">
        <v>26787.0</v>
      </c>
      <c r="D987" s="17" t="s">
        <v>7895</v>
      </c>
    </row>
    <row r="988">
      <c r="A988" s="14" t="s">
        <v>5932</v>
      </c>
      <c r="B988" s="15" t="s">
        <v>7896</v>
      </c>
      <c r="C988" s="16">
        <v>26788.0</v>
      </c>
      <c r="D988" s="17" t="s">
        <v>7897</v>
      </c>
    </row>
    <row r="989">
      <c r="A989" s="14">
        <v>4.0</v>
      </c>
      <c r="B989" s="15" t="s">
        <v>7898</v>
      </c>
      <c r="C989" s="16">
        <v>26788.0</v>
      </c>
      <c r="D989" s="17" t="s">
        <v>7899</v>
      </c>
    </row>
    <row r="990">
      <c r="A990" s="14" t="s">
        <v>6374</v>
      </c>
      <c r="B990" s="15" t="s">
        <v>7900</v>
      </c>
      <c r="C990" s="16">
        <v>26789.0</v>
      </c>
      <c r="D990" s="17" t="s">
        <v>7901</v>
      </c>
    </row>
    <row r="991">
      <c r="A991" s="14" t="s">
        <v>5932</v>
      </c>
      <c r="B991" s="15" t="s">
        <v>7902</v>
      </c>
      <c r="C991" s="16">
        <v>26789.0</v>
      </c>
      <c r="D991" s="17" t="s">
        <v>7903</v>
      </c>
    </row>
    <row r="992">
      <c r="A992" s="14">
        <v>5.0</v>
      </c>
      <c r="B992" s="15" t="s">
        <v>7904</v>
      </c>
      <c r="C992" s="16">
        <v>26789.0</v>
      </c>
      <c r="D992" s="17" t="s">
        <v>7905</v>
      </c>
    </row>
    <row r="993">
      <c r="A993" s="14">
        <v>5.0</v>
      </c>
      <c r="B993" s="15" t="s">
        <v>7906</v>
      </c>
      <c r="C993" s="16">
        <v>26789.0</v>
      </c>
      <c r="D993" s="17" t="s">
        <v>7907</v>
      </c>
    </row>
    <row r="994">
      <c r="A994" s="14" t="s">
        <v>5932</v>
      </c>
      <c r="B994" s="15" t="s">
        <v>7908</v>
      </c>
      <c r="C994" s="16">
        <v>26790.0</v>
      </c>
      <c r="D994" s="17" t="s">
        <v>7909</v>
      </c>
    </row>
    <row r="995">
      <c r="A995" s="14">
        <v>6.0</v>
      </c>
      <c r="B995" s="15" t="s">
        <v>7910</v>
      </c>
      <c r="C995" s="16">
        <v>26790.0</v>
      </c>
      <c r="D995" s="17" t="s">
        <v>7911</v>
      </c>
    </row>
    <row r="996">
      <c r="A996" s="14" t="s">
        <v>5932</v>
      </c>
      <c r="B996" s="15" t="s">
        <v>7912</v>
      </c>
      <c r="C996" s="16">
        <v>26791.0</v>
      </c>
      <c r="D996" s="17" t="s">
        <v>7913</v>
      </c>
    </row>
    <row r="997">
      <c r="A997" s="14">
        <v>7.0</v>
      </c>
      <c r="B997" s="15" t="s">
        <v>7914</v>
      </c>
      <c r="C997" s="16">
        <v>26791.0</v>
      </c>
      <c r="D997" s="17" t="s">
        <v>7915</v>
      </c>
    </row>
    <row r="998">
      <c r="A998" s="14" t="s">
        <v>5932</v>
      </c>
      <c r="B998" s="15" t="s">
        <v>7916</v>
      </c>
      <c r="C998" s="16">
        <v>26792.0</v>
      </c>
      <c r="D998" s="17" t="s">
        <v>7917</v>
      </c>
    </row>
    <row r="999">
      <c r="A999" s="14">
        <v>8.0</v>
      </c>
      <c r="B999" s="15" t="s">
        <v>7918</v>
      </c>
      <c r="C999" s="16">
        <v>26792.0</v>
      </c>
      <c r="D999" s="17" t="s">
        <v>7919</v>
      </c>
    </row>
    <row r="1000">
      <c r="A1000" s="14" t="s">
        <v>5932</v>
      </c>
      <c r="B1000" s="15" t="s">
        <v>7920</v>
      </c>
      <c r="C1000" s="16">
        <v>26794.0</v>
      </c>
      <c r="D1000" s="17" t="s">
        <v>7921</v>
      </c>
    </row>
    <row r="1001">
      <c r="A1001" s="14">
        <v>10.0</v>
      </c>
      <c r="B1001" s="15" t="s">
        <v>7922</v>
      </c>
      <c r="C1001" s="16">
        <v>26794.0</v>
      </c>
      <c r="D1001" s="17" t="s">
        <v>7923</v>
      </c>
    </row>
    <row r="1002">
      <c r="A1002" s="14" t="s">
        <v>5932</v>
      </c>
      <c r="B1002" s="15" t="s">
        <v>7924</v>
      </c>
      <c r="C1002" s="16">
        <v>26796.0</v>
      </c>
      <c r="D1002" s="17" t="s">
        <v>7925</v>
      </c>
    </row>
    <row r="1003">
      <c r="A1003" s="14">
        <v>12.0</v>
      </c>
      <c r="B1003" s="15" t="s">
        <v>7926</v>
      </c>
      <c r="C1003" s="16">
        <v>26796.0</v>
      </c>
      <c r="D1003" s="17" t="s">
        <v>7927</v>
      </c>
    </row>
    <row r="1004">
      <c r="A1004" s="14" t="s">
        <v>6374</v>
      </c>
      <c r="B1004" s="15" t="s">
        <v>7928</v>
      </c>
      <c r="C1004" s="16">
        <v>26797.0</v>
      </c>
      <c r="D1004" s="17" t="s">
        <v>7929</v>
      </c>
    </row>
    <row r="1005">
      <c r="A1005" s="14" t="s">
        <v>6374</v>
      </c>
      <c r="B1005" s="15" t="s">
        <v>7930</v>
      </c>
      <c r="C1005" s="16">
        <v>26797.0</v>
      </c>
      <c r="D1005" s="17" t="s">
        <v>7931</v>
      </c>
    </row>
    <row r="1006">
      <c r="A1006" s="14" t="s">
        <v>5932</v>
      </c>
      <c r="B1006" s="15" t="s">
        <v>7932</v>
      </c>
      <c r="C1006" s="16">
        <v>26797.0</v>
      </c>
      <c r="D1006" s="17" t="s">
        <v>7933</v>
      </c>
    </row>
    <row r="1007">
      <c r="A1007" s="14">
        <v>13.0</v>
      </c>
      <c r="B1007" s="15" t="s">
        <v>7934</v>
      </c>
      <c r="C1007" s="16">
        <v>26797.0</v>
      </c>
      <c r="D1007" s="17" t="s">
        <v>7935</v>
      </c>
    </row>
    <row r="1008">
      <c r="A1008" s="14">
        <v>13.0</v>
      </c>
      <c r="B1008" s="15" t="s">
        <v>7936</v>
      </c>
      <c r="C1008" s="16">
        <v>26797.0</v>
      </c>
      <c r="D1008" s="17" t="s">
        <v>7937</v>
      </c>
    </row>
    <row r="1009">
      <c r="A1009" s="14">
        <v>13.0</v>
      </c>
      <c r="B1009" s="15" t="s">
        <v>7938</v>
      </c>
      <c r="C1009" s="16">
        <v>26797.0</v>
      </c>
      <c r="D1009" s="17" t="s">
        <v>7939</v>
      </c>
    </row>
    <row r="1010">
      <c r="A1010" s="14" t="s">
        <v>5932</v>
      </c>
      <c r="B1010" s="15" t="s">
        <v>7940</v>
      </c>
      <c r="C1010" s="16">
        <v>26798.0</v>
      </c>
      <c r="D1010" s="17" t="s">
        <v>7941</v>
      </c>
    </row>
    <row r="1011">
      <c r="A1011" s="14">
        <v>14.0</v>
      </c>
      <c r="B1011" s="15" t="s">
        <v>7942</v>
      </c>
      <c r="C1011" s="16">
        <v>26798.0</v>
      </c>
      <c r="D1011" s="17" t="s">
        <v>7943</v>
      </c>
    </row>
    <row r="1012">
      <c r="A1012" s="14" t="s">
        <v>6374</v>
      </c>
      <c r="B1012" s="15" t="s">
        <v>7944</v>
      </c>
      <c r="C1012" s="16">
        <v>26799.0</v>
      </c>
      <c r="D1012" s="17" t="s">
        <v>7945</v>
      </c>
    </row>
    <row r="1013">
      <c r="A1013" s="14" t="s">
        <v>5932</v>
      </c>
      <c r="B1013" s="15" t="s">
        <v>7946</v>
      </c>
      <c r="C1013" s="16">
        <v>26799.0</v>
      </c>
      <c r="D1013" s="17" t="s">
        <v>7947</v>
      </c>
    </row>
    <row r="1014">
      <c r="A1014" s="14">
        <v>15.0</v>
      </c>
      <c r="B1014" s="15" t="s">
        <v>7948</v>
      </c>
      <c r="C1014" s="16">
        <v>26799.0</v>
      </c>
      <c r="D1014" s="17" t="s">
        <v>7949</v>
      </c>
    </row>
    <row r="1015">
      <c r="A1015" s="14">
        <v>15.0</v>
      </c>
      <c r="B1015" s="15" t="s">
        <v>7950</v>
      </c>
      <c r="C1015" s="16">
        <v>26799.0</v>
      </c>
      <c r="D1015" s="17" t="s">
        <v>7951</v>
      </c>
    </row>
    <row r="1016">
      <c r="A1016" s="14" t="s">
        <v>5932</v>
      </c>
      <c r="B1016" s="15" t="s">
        <v>7952</v>
      </c>
      <c r="C1016" s="16">
        <v>26800.0</v>
      </c>
      <c r="D1016" s="17" t="s">
        <v>7953</v>
      </c>
    </row>
    <row r="1017">
      <c r="A1017" s="14">
        <v>16.0</v>
      </c>
      <c r="B1017" s="15" t="s">
        <v>7954</v>
      </c>
      <c r="C1017" s="16">
        <v>26800.0</v>
      </c>
      <c r="D1017" s="17" t="s">
        <v>7955</v>
      </c>
    </row>
    <row r="1018">
      <c r="A1018" s="14" t="s">
        <v>6374</v>
      </c>
      <c r="B1018" s="15" t="s">
        <v>7956</v>
      </c>
      <c r="C1018" s="16">
        <v>26801.0</v>
      </c>
      <c r="D1018" s="17" t="s">
        <v>7957</v>
      </c>
    </row>
    <row r="1019">
      <c r="A1019" s="14" t="s">
        <v>5932</v>
      </c>
      <c r="B1019" s="15" t="s">
        <v>7958</v>
      </c>
      <c r="C1019" s="16">
        <v>26801.0</v>
      </c>
      <c r="D1019" s="17" t="s">
        <v>7959</v>
      </c>
    </row>
    <row r="1020">
      <c r="A1020" s="14">
        <v>17.0</v>
      </c>
      <c r="B1020" s="15" t="s">
        <v>7960</v>
      </c>
      <c r="C1020" s="16">
        <v>26801.0</v>
      </c>
      <c r="D1020" s="17" t="s">
        <v>7961</v>
      </c>
    </row>
    <row r="1021">
      <c r="A1021" s="14">
        <v>17.0</v>
      </c>
      <c r="B1021" s="15" t="s">
        <v>7962</v>
      </c>
      <c r="C1021" s="16">
        <v>26801.0</v>
      </c>
      <c r="D1021" s="17" t="s">
        <v>7963</v>
      </c>
    </row>
    <row r="1022">
      <c r="A1022" s="14" t="s">
        <v>6057</v>
      </c>
      <c r="B1022" s="15" t="s">
        <v>7964</v>
      </c>
      <c r="C1022" s="16">
        <v>26803.0</v>
      </c>
      <c r="D1022" s="17" t="s">
        <v>7965</v>
      </c>
    </row>
    <row r="1023">
      <c r="A1023" s="14">
        <v>19.0</v>
      </c>
      <c r="B1023" s="15" t="s">
        <v>7966</v>
      </c>
      <c r="C1023" s="16">
        <v>26803.0</v>
      </c>
      <c r="D1023" s="17" t="s">
        <v>7967</v>
      </c>
    </row>
    <row r="1024">
      <c r="A1024" s="14" t="s">
        <v>7968</v>
      </c>
      <c r="B1024" s="15" t="s">
        <v>7969</v>
      </c>
      <c r="C1024" s="16">
        <v>26805.0</v>
      </c>
      <c r="D1024" s="17" t="s">
        <v>7970</v>
      </c>
    </row>
    <row r="1025">
      <c r="A1025" s="14">
        <v>21.0</v>
      </c>
      <c r="B1025" s="15" t="s">
        <v>7971</v>
      </c>
      <c r="C1025" s="16">
        <v>26805.0</v>
      </c>
      <c r="D1025" s="17" t="s">
        <v>7972</v>
      </c>
    </row>
    <row r="1026">
      <c r="A1026" s="14" t="s">
        <v>5932</v>
      </c>
      <c r="B1026" s="15" t="s">
        <v>7973</v>
      </c>
      <c r="C1026" s="16">
        <v>26806.0</v>
      </c>
      <c r="D1026" s="17" t="s">
        <v>7974</v>
      </c>
    </row>
    <row r="1027">
      <c r="A1027" s="14">
        <v>22.0</v>
      </c>
      <c r="B1027" s="15" t="s">
        <v>7975</v>
      </c>
      <c r="C1027" s="16">
        <v>26806.0</v>
      </c>
      <c r="D1027" s="17" t="s">
        <v>7976</v>
      </c>
    </row>
    <row r="1028">
      <c r="A1028" s="14" t="s">
        <v>5932</v>
      </c>
      <c r="B1028" s="15" t="s">
        <v>7977</v>
      </c>
      <c r="C1028" s="16">
        <v>26829.0</v>
      </c>
      <c r="D1028" s="17" t="s">
        <v>7978</v>
      </c>
    </row>
    <row r="1029">
      <c r="A1029" s="14">
        <v>14.0</v>
      </c>
      <c r="B1029" s="15" t="s">
        <v>7979</v>
      </c>
      <c r="C1029" s="16">
        <v>26829.0</v>
      </c>
      <c r="D1029" s="17" t="s">
        <v>7980</v>
      </c>
    </row>
    <row r="1030">
      <c r="A1030" s="14" t="s">
        <v>5932</v>
      </c>
      <c r="B1030" s="15" t="s">
        <v>7981</v>
      </c>
      <c r="C1030" s="16">
        <v>26830.0</v>
      </c>
      <c r="D1030" s="17" t="s">
        <v>7982</v>
      </c>
    </row>
    <row r="1031">
      <c r="A1031" s="14">
        <v>15.0</v>
      </c>
      <c r="B1031" s="15" t="s">
        <v>7983</v>
      </c>
      <c r="C1031" s="16">
        <v>26830.0</v>
      </c>
      <c r="D1031" s="17" t="s">
        <v>7984</v>
      </c>
    </row>
    <row r="1032">
      <c r="A1032" s="14" t="s">
        <v>5932</v>
      </c>
      <c r="B1032" s="15" t="s">
        <v>7985</v>
      </c>
      <c r="C1032" s="16">
        <v>26831.0</v>
      </c>
      <c r="D1032" s="17" t="s">
        <v>7986</v>
      </c>
    </row>
    <row r="1033">
      <c r="A1033" s="14">
        <v>16.0</v>
      </c>
      <c r="B1033" s="15" t="s">
        <v>7987</v>
      </c>
      <c r="C1033" s="16">
        <v>26831.0</v>
      </c>
      <c r="D1033" s="17" t="s">
        <v>7988</v>
      </c>
    </row>
    <row r="1034">
      <c r="A1034" s="14" t="s">
        <v>5932</v>
      </c>
      <c r="B1034" s="15" t="s">
        <v>7989</v>
      </c>
      <c r="C1034" s="16">
        <v>26832.0</v>
      </c>
      <c r="D1034" s="17" t="s">
        <v>7990</v>
      </c>
    </row>
    <row r="1035">
      <c r="A1035" s="14">
        <v>17.0</v>
      </c>
      <c r="B1035" s="15" t="s">
        <v>7991</v>
      </c>
      <c r="C1035" s="16">
        <v>26832.0</v>
      </c>
      <c r="D1035" s="17" t="s">
        <v>7992</v>
      </c>
    </row>
    <row r="1036">
      <c r="A1036" s="14" t="s">
        <v>5932</v>
      </c>
      <c r="B1036" s="15" t="s">
        <v>7993</v>
      </c>
      <c r="C1036" s="16">
        <v>26833.0</v>
      </c>
      <c r="D1036" s="17" t="s">
        <v>7994</v>
      </c>
    </row>
    <row r="1037">
      <c r="A1037" s="14">
        <v>18.0</v>
      </c>
      <c r="B1037" s="15" t="s">
        <v>7995</v>
      </c>
      <c r="C1037" s="16">
        <v>26833.0</v>
      </c>
      <c r="D1037" s="17" t="s">
        <v>7996</v>
      </c>
    </row>
    <row r="1038">
      <c r="A1038" s="14" t="s">
        <v>5932</v>
      </c>
      <c r="B1038" s="15" t="s">
        <v>7997</v>
      </c>
      <c r="C1038" s="16">
        <v>26834.0</v>
      </c>
      <c r="D1038" s="17" t="s">
        <v>7998</v>
      </c>
    </row>
    <row r="1039">
      <c r="A1039" s="14">
        <v>19.0</v>
      </c>
      <c r="B1039" s="15" t="s">
        <v>7999</v>
      </c>
      <c r="C1039" s="16">
        <v>26834.0</v>
      </c>
      <c r="D1039" s="17" t="s">
        <v>8000</v>
      </c>
    </row>
    <row r="1040">
      <c r="A1040" s="14" t="s">
        <v>5932</v>
      </c>
      <c r="B1040" s="15" t="s">
        <v>8001</v>
      </c>
      <c r="C1040" s="16">
        <v>26835.0</v>
      </c>
      <c r="D1040" s="17" t="s">
        <v>8002</v>
      </c>
    </row>
    <row r="1041">
      <c r="A1041" s="14">
        <v>20.0</v>
      </c>
      <c r="B1041" s="15" t="s">
        <v>8003</v>
      </c>
      <c r="C1041" s="16">
        <v>26835.0</v>
      </c>
      <c r="D1041" s="17" t="s">
        <v>8004</v>
      </c>
    </row>
    <row r="1042">
      <c r="A1042" s="14" t="s">
        <v>5932</v>
      </c>
      <c r="B1042" s="15" t="s">
        <v>8005</v>
      </c>
      <c r="C1042" s="16">
        <v>26836.0</v>
      </c>
      <c r="D1042" s="17" t="s">
        <v>8006</v>
      </c>
    </row>
    <row r="1043">
      <c r="A1043" s="14">
        <v>21.0</v>
      </c>
      <c r="B1043" s="15" t="s">
        <v>8007</v>
      </c>
      <c r="C1043" s="16">
        <v>26836.0</v>
      </c>
      <c r="D1043" s="17" t="s">
        <v>8008</v>
      </c>
    </row>
    <row r="1044">
      <c r="A1044" s="14" t="s">
        <v>5932</v>
      </c>
      <c r="B1044" s="15" t="s">
        <v>8009</v>
      </c>
      <c r="C1044" s="16">
        <v>26837.0</v>
      </c>
      <c r="D1044" s="17" t="s">
        <v>8010</v>
      </c>
    </row>
    <row r="1045">
      <c r="A1045" s="14">
        <v>22.0</v>
      </c>
      <c r="B1045" s="15" t="s">
        <v>8011</v>
      </c>
      <c r="C1045" s="16">
        <v>26837.0</v>
      </c>
      <c r="D1045" s="17" t="s">
        <v>8012</v>
      </c>
    </row>
    <row r="1046">
      <c r="A1046" s="14" t="s">
        <v>5932</v>
      </c>
      <c r="B1046" s="15" t="s">
        <v>8013</v>
      </c>
      <c r="C1046" s="16">
        <v>26840.0</v>
      </c>
      <c r="D1046" s="17" t="s">
        <v>8014</v>
      </c>
    </row>
    <row r="1047">
      <c r="A1047" s="14">
        <v>25.0</v>
      </c>
      <c r="B1047" s="15" t="s">
        <v>8015</v>
      </c>
      <c r="C1047" s="16">
        <v>26840.0</v>
      </c>
      <c r="D1047" s="17" t="s">
        <v>8016</v>
      </c>
    </row>
    <row r="1048">
      <c r="A1048" s="14" t="s">
        <v>5932</v>
      </c>
      <c r="B1048" s="15" t="s">
        <v>8017</v>
      </c>
      <c r="C1048" s="16">
        <v>26841.0</v>
      </c>
      <c r="D1048" s="17" t="s">
        <v>8018</v>
      </c>
    </row>
    <row r="1049">
      <c r="A1049" s="14">
        <v>26.0</v>
      </c>
      <c r="B1049" s="15" t="s">
        <v>8019</v>
      </c>
      <c r="C1049" s="16">
        <v>26841.0</v>
      </c>
      <c r="D1049" s="17" t="s">
        <v>8020</v>
      </c>
    </row>
    <row r="1050">
      <c r="A1050" s="14" t="s">
        <v>5932</v>
      </c>
      <c r="B1050" s="15" t="s">
        <v>8021</v>
      </c>
      <c r="C1050" s="16">
        <v>26842.0</v>
      </c>
      <c r="D1050" s="17" t="s">
        <v>8022</v>
      </c>
    </row>
    <row r="1051">
      <c r="A1051" s="14">
        <v>27.0</v>
      </c>
      <c r="B1051" s="15" t="s">
        <v>8023</v>
      </c>
      <c r="C1051" s="16">
        <v>26842.0</v>
      </c>
      <c r="D1051" s="17" t="s">
        <v>8024</v>
      </c>
    </row>
    <row r="1052">
      <c r="A1052" s="14" t="s">
        <v>6126</v>
      </c>
      <c r="B1052" s="15" t="s">
        <v>8025</v>
      </c>
      <c r="C1052" s="16">
        <v>26844.0</v>
      </c>
      <c r="D1052" s="17" t="s">
        <v>8026</v>
      </c>
    </row>
    <row r="1053">
      <c r="A1053" s="14">
        <v>29.0</v>
      </c>
      <c r="B1053" s="15" t="s">
        <v>8027</v>
      </c>
      <c r="C1053" s="16">
        <v>26844.0</v>
      </c>
      <c r="D1053" s="17" t="s">
        <v>8028</v>
      </c>
    </row>
    <row r="1054">
      <c r="A1054" s="14" t="s">
        <v>6126</v>
      </c>
      <c r="B1054" s="15" t="s">
        <v>8029</v>
      </c>
      <c r="C1054" s="16">
        <v>26845.0</v>
      </c>
      <c r="D1054" s="17" t="s">
        <v>8030</v>
      </c>
    </row>
    <row r="1055">
      <c r="A1055" s="14">
        <v>30.0</v>
      </c>
      <c r="B1055" s="15" t="s">
        <v>8031</v>
      </c>
      <c r="C1055" s="16">
        <v>26845.0</v>
      </c>
      <c r="D1055" s="17" t="s">
        <v>8032</v>
      </c>
    </row>
    <row r="1056">
      <c r="A1056" s="14" t="s">
        <v>6753</v>
      </c>
      <c r="B1056" s="15" t="s">
        <v>8033</v>
      </c>
      <c r="C1056" s="16">
        <v>26852.0</v>
      </c>
      <c r="D1056" s="17" t="s">
        <v>8034</v>
      </c>
    </row>
    <row r="1057">
      <c r="A1057" s="14" t="s">
        <v>8035</v>
      </c>
      <c r="B1057" s="15" t="s">
        <v>8036</v>
      </c>
      <c r="C1057" s="16">
        <v>26852.0</v>
      </c>
      <c r="D1057" s="17" t="s">
        <v>8037</v>
      </c>
    </row>
    <row r="1058">
      <c r="A1058" s="14">
        <v>7.0</v>
      </c>
      <c r="B1058" s="15" t="s">
        <v>8038</v>
      </c>
      <c r="C1058" s="16">
        <v>26852.0</v>
      </c>
      <c r="D1058" s="17" t="s">
        <v>8039</v>
      </c>
    </row>
    <row r="1059">
      <c r="A1059" s="14">
        <v>7.0</v>
      </c>
      <c r="B1059" s="15" t="s">
        <v>8040</v>
      </c>
      <c r="C1059" s="16">
        <v>26852.0</v>
      </c>
      <c r="D1059" s="17" t="s">
        <v>8041</v>
      </c>
    </row>
    <row r="1060">
      <c r="A1060" s="14" t="s">
        <v>8035</v>
      </c>
      <c r="B1060" s="15" t="s">
        <v>8042</v>
      </c>
      <c r="C1060" s="16">
        <v>26854.0</v>
      </c>
      <c r="D1060" s="17" t="s">
        <v>8043</v>
      </c>
    </row>
    <row r="1061">
      <c r="A1061" s="14" t="s">
        <v>6353</v>
      </c>
      <c r="B1061" s="15" t="s">
        <v>8044</v>
      </c>
      <c r="C1061" s="16">
        <v>26854.0</v>
      </c>
      <c r="D1061" s="17" t="s">
        <v>8045</v>
      </c>
    </row>
    <row r="1062">
      <c r="A1062" s="14" t="s">
        <v>6353</v>
      </c>
      <c r="B1062" s="15" t="s">
        <v>8046</v>
      </c>
      <c r="C1062" s="16">
        <v>26854.0</v>
      </c>
      <c r="D1062" s="17" t="s">
        <v>8047</v>
      </c>
    </row>
    <row r="1063">
      <c r="A1063" s="14" t="s">
        <v>6353</v>
      </c>
      <c r="B1063" s="15" t="s">
        <v>8048</v>
      </c>
      <c r="C1063" s="16">
        <v>26854.0</v>
      </c>
      <c r="D1063" s="17" t="s">
        <v>8049</v>
      </c>
    </row>
    <row r="1064">
      <c r="A1064" s="14">
        <v>9.0</v>
      </c>
      <c r="B1064" s="15" t="s">
        <v>8050</v>
      </c>
      <c r="C1064" s="16">
        <v>26854.0</v>
      </c>
      <c r="D1064" s="17" t="s">
        <v>8051</v>
      </c>
    </row>
    <row r="1065">
      <c r="A1065" s="14">
        <v>9.0</v>
      </c>
      <c r="B1065" s="15" t="s">
        <v>8052</v>
      </c>
      <c r="C1065" s="16">
        <v>26854.0</v>
      </c>
      <c r="D1065" s="17" t="s">
        <v>8053</v>
      </c>
    </row>
    <row r="1066">
      <c r="A1066" s="14">
        <v>9.0</v>
      </c>
      <c r="B1066" s="15" t="s">
        <v>8054</v>
      </c>
      <c r="C1066" s="16">
        <v>26854.0</v>
      </c>
      <c r="D1066" s="17" t="s">
        <v>8055</v>
      </c>
    </row>
    <row r="1067">
      <c r="A1067" s="14">
        <v>9.0</v>
      </c>
      <c r="B1067" s="15" t="s">
        <v>8056</v>
      </c>
      <c r="C1067" s="16">
        <v>26854.0</v>
      </c>
      <c r="D1067" s="17" t="s">
        <v>8057</v>
      </c>
    </row>
    <row r="1068">
      <c r="A1068" s="14" t="s">
        <v>8035</v>
      </c>
      <c r="B1068" s="15" t="s">
        <v>8058</v>
      </c>
      <c r="C1068" s="16">
        <v>26855.0</v>
      </c>
      <c r="D1068" s="17" t="s">
        <v>8059</v>
      </c>
    </row>
    <row r="1069">
      <c r="A1069" s="14" t="s">
        <v>6353</v>
      </c>
      <c r="B1069" s="15" t="s">
        <v>8060</v>
      </c>
      <c r="C1069" s="16">
        <v>26855.0</v>
      </c>
      <c r="D1069" s="17" t="s">
        <v>8061</v>
      </c>
    </row>
    <row r="1070">
      <c r="A1070" s="14">
        <v>10.0</v>
      </c>
      <c r="B1070" s="15" t="s">
        <v>8062</v>
      </c>
      <c r="C1070" s="16">
        <v>26855.0</v>
      </c>
      <c r="D1070" s="17" t="s">
        <v>8063</v>
      </c>
    </row>
    <row r="1071">
      <c r="A1071" s="14">
        <v>10.0</v>
      </c>
      <c r="B1071" s="15" t="s">
        <v>8064</v>
      </c>
      <c r="C1071" s="16">
        <v>26855.0</v>
      </c>
      <c r="D1071" s="17" t="s">
        <v>8065</v>
      </c>
    </row>
    <row r="1072">
      <c r="A1072" s="14" t="s">
        <v>5895</v>
      </c>
      <c r="B1072" s="15" t="s">
        <v>8066</v>
      </c>
      <c r="C1072" s="16">
        <v>26855.0</v>
      </c>
      <c r="D1072" s="17" t="s">
        <v>8067</v>
      </c>
    </row>
    <row r="1073">
      <c r="A1073" s="14" t="s">
        <v>8035</v>
      </c>
      <c r="B1073" s="15" t="s">
        <v>8068</v>
      </c>
      <c r="C1073" s="16">
        <v>26856.0</v>
      </c>
      <c r="D1073" s="17" t="s">
        <v>8069</v>
      </c>
    </row>
    <row r="1074">
      <c r="A1074" s="14" t="s">
        <v>6353</v>
      </c>
      <c r="B1074" s="15" t="s">
        <v>8070</v>
      </c>
      <c r="C1074" s="16">
        <v>26856.0</v>
      </c>
      <c r="D1074" s="17" t="s">
        <v>8071</v>
      </c>
    </row>
    <row r="1075">
      <c r="A1075" s="14" t="s">
        <v>6353</v>
      </c>
      <c r="B1075" s="15" t="s">
        <v>8072</v>
      </c>
      <c r="C1075" s="16">
        <v>26856.0</v>
      </c>
      <c r="D1075" s="17" t="s">
        <v>8073</v>
      </c>
    </row>
    <row r="1076">
      <c r="A1076" s="14" t="s">
        <v>6353</v>
      </c>
      <c r="B1076" s="15" t="s">
        <v>8074</v>
      </c>
      <c r="C1076" s="16">
        <v>26856.0</v>
      </c>
      <c r="D1076" s="17" t="s">
        <v>8075</v>
      </c>
    </row>
    <row r="1077">
      <c r="A1077" s="14">
        <v>11.0</v>
      </c>
      <c r="B1077" s="15" t="s">
        <v>8076</v>
      </c>
      <c r="C1077" s="16">
        <v>26856.0</v>
      </c>
      <c r="D1077" s="17" t="s">
        <v>8077</v>
      </c>
    </row>
    <row r="1078">
      <c r="A1078" s="14">
        <v>11.0</v>
      </c>
      <c r="B1078" s="15" t="s">
        <v>8078</v>
      </c>
      <c r="C1078" s="16">
        <v>26856.0</v>
      </c>
      <c r="D1078" s="17" t="s">
        <v>8079</v>
      </c>
    </row>
    <row r="1079">
      <c r="A1079" s="14">
        <v>11.0</v>
      </c>
      <c r="B1079" s="15" t="s">
        <v>8080</v>
      </c>
      <c r="C1079" s="16">
        <v>26856.0</v>
      </c>
      <c r="D1079" s="17" t="s">
        <v>8081</v>
      </c>
    </row>
    <row r="1080">
      <c r="A1080" s="14">
        <v>11.0</v>
      </c>
      <c r="B1080" s="15" t="s">
        <v>8082</v>
      </c>
      <c r="C1080" s="16">
        <v>26856.0</v>
      </c>
      <c r="D1080" s="17" t="s">
        <v>8083</v>
      </c>
    </row>
    <row r="1081">
      <c r="A1081" s="14" t="s">
        <v>8035</v>
      </c>
      <c r="B1081" s="15" t="s">
        <v>8084</v>
      </c>
      <c r="C1081" s="16">
        <v>26857.0</v>
      </c>
      <c r="D1081" s="17" t="s">
        <v>8085</v>
      </c>
    </row>
    <row r="1082">
      <c r="A1082" s="14" t="s">
        <v>6353</v>
      </c>
      <c r="B1082" s="15" t="s">
        <v>8086</v>
      </c>
      <c r="C1082" s="16">
        <v>26857.0</v>
      </c>
      <c r="D1082" s="17" t="s">
        <v>8087</v>
      </c>
    </row>
    <row r="1083">
      <c r="A1083" s="14">
        <v>12.0</v>
      </c>
      <c r="B1083" s="15" t="s">
        <v>8088</v>
      </c>
      <c r="C1083" s="16">
        <v>26857.0</v>
      </c>
      <c r="D1083" s="17" t="s">
        <v>8089</v>
      </c>
    </row>
    <row r="1084">
      <c r="A1084" s="14">
        <v>12.0</v>
      </c>
      <c r="B1084" s="15" t="s">
        <v>8090</v>
      </c>
      <c r="C1084" s="16">
        <v>26857.0</v>
      </c>
      <c r="D1084" s="17" t="s">
        <v>8091</v>
      </c>
    </row>
    <row r="1085">
      <c r="A1085" s="14" t="s">
        <v>8035</v>
      </c>
      <c r="B1085" s="15" t="s">
        <v>8092</v>
      </c>
      <c r="C1085" s="16">
        <v>26858.0</v>
      </c>
      <c r="D1085" s="17" t="s">
        <v>8093</v>
      </c>
    </row>
    <row r="1086">
      <c r="A1086" s="14">
        <v>13.0</v>
      </c>
      <c r="B1086" s="15" t="s">
        <v>8094</v>
      </c>
      <c r="C1086" s="16">
        <v>26858.0</v>
      </c>
      <c r="D1086" s="17" t="s">
        <v>8095</v>
      </c>
    </row>
    <row r="1087">
      <c r="A1087" s="14" t="s">
        <v>8035</v>
      </c>
      <c r="B1087" s="15" t="s">
        <v>8096</v>
      </c>
      <c r="C1087" s="16">
        <v>26859.0</v>
      </c>
      <c r="D1087" s="17" t="s">
        <v>8097</v>
      </c>
    </row>
    <row r="1088">
      <c r="A1088" s="14">
        <v>14.0</v>
      </c>
      <c r="B1088" s="15" t="s">
        <v>8098</v>
      </c>
      <c r="C1088" s="16">
        <v>26859.0</v>
      </c>
      <c r="D1088" s="17" t="s">
        <v>8099</v>
      </c>
    </row>
    <row r="1089">
      <c r="A1089" s="14" t="s">
        <v>8035</v>
      </c>
      <c r="B1089" s="15" t="s">
        <v>8100</v>
      </c>
      <c r="C1089" s="16">
        <v>26860.0</v>
      </c>
      <c r="D1089" s="17" t="s">
        <v>8101</v>
      </c>
    </row>
    <row r="1090">
      <c r="A1090" s="14">
        <v>15.0</v>
      </c>
      <c r="B1090" s="15" t="s">
        <v>8102</v>
      </c>
      <c r="C1090" s="16">
        <v>26860.0</v>
      </c>
      <c r="D1090" s="17" t="s">
        <v>8103</v>
      </c>
    </row>
    <row r="1091">
      <c r="A1091" s="14" t="s">
        <v>8035</v>
      </c>
      <c r="B1091" s="15" t="s">
        <v>8104</v>
      </c>
      <c r="C1091" s="16">
        <v>26861.0</v>
      </c>
      <c r="D1091" s="17" t="s">
        <v>8105</v>
      </c>
    </row>
    <row r="1092">
      <c r="A1092" s="14">
        <v>16.0</v>
      </c>
      <c r="B1092" s="15" t="s">
        <v>8106</v>
      </c>
      <c r="C1092" s="16">
        <v>26861.0</v>
      </c>
      <c r="D1092" s="17" t="s">
        <v>8107</v>
      </c>
    </row>
    <row r="1093">
      <c r="A1093" s="14" t="s">
        <v>8035</v>
      </c>
      <c r="B1093" s="15" t="s">
        <v>8108</v>
      </c>
      <c r="C1093" s="16">
        <v>26862.0</v>
      </c>
      <c r="D1093" s="17" t="s">
        <v>8109</v>
      </c>
    </row>
    <row r="1094">
      <c r="A1094" s="14">
        <v>17.0</v>
      </c>
      <c r="B1094" s="15" t="s">
        <v>8110</v>
      </c>
      <c r="C1094" s="16">
        <v>26862.0</v>
      </c>
      <c r="D1094" s="17" t="s">
        <v>8111</v>
      </c>
    </row>
    <row r="1095">
      <c r="A1095" s="14" t="s">
        <v>8035</v>
      </c>
      <c r="B1095" s="15" t="s">
        <v>8112</v>
      </c>
      <c r="C1095" s="16">
        <v>26863.0</v>
      </c>
      <c r="D1095" s="17" t="s">
        <v>8113</v>
      </c>
    </row>
    <row r="1096">
      <c r="A1096" s="14">
        <v>18.0</v>
      </c>
      <c r="B1096" s="15" t="s">
        <v>8114</v>
      </c>
      <c r="C1096" s="16">
        <v>26863.0</v>
      </c>
      <c r="D1096" s="17" t="s">
        <v>8115</v>
      </c>
    </row>
    <row r="1097">
      <c r="A1097" s="14" t="s">
        <v>8035</v>
      </c>
      <c r="B1097" s="15" t="s">
        <v>8116</v>
      </c>
      <c r="C1097" s="16">
        <v>26864.0</v>
      </c>
      <c r="D1097" s="17" t="s">
        <v>8117</v>
      </c>
    </row>
    <row r="1098">
      <c r="A1098" s="14" t="s">
        <v>6353</v>
      </c>
      <c r="B1098" s="15" t="s">
        <v>8118</v>
      </c>
      <c r="C1098" s="16">
        <v>26864.0</v>
      </c>
      <c r="D1098" s="17" t="s">
        <v>8119</v>
      </c>
    </row>
    <row r="1099">
      <c r="A1099" s="14">
        <v>19.0</v>
      </c>
      <c r="B1099" s="15" t="s">
        <v>8120</v>
      </c>
      <c r="C1099" s="16">
        <v>26864.0</v>
      </c>
      <c r="D1099" s="17" t="s">
        <v>8121</v>
      </c>
    </row>
    <row r="1100">
      <c r="A1100" s="14">
        <v>19.0</v>
      </c>
      <c r="B1100" s="15" t="s">
        <v>8122</v>
      </c>
      <c r="C1100" s="16">
        <v>26864.0</v>
      </c>
      <c r="D1100" s="17" t="s">
        <v>8123</v>
      </c>
    </row>
    <row r="1101">
      <c r="A1101" s="14" t="s">
        <v>8035</v>
      </c>
      <c r="B1101" s="15" t="s">
        <v>8124</v>
      </c>
      <c r="C1101" s="16">
        <v>26865.0</v>
      </c>
      <c r="D1101" s="17" t="s">
        <v>8125</v>
      </c>
    </row>
    <row r="1102">
      <c r="A1102" s="14">
        <v>20.0</v>
      </c>
      <c r="B1102" s="15" t="s">
        <v>8126</v>
      </c>
      <c r="C1102" s="16">
        <v>26865.0</v>
      </c>
      <c r="D1102" s="17" t="s">
        <v>8127</v>
      </c>
    </row>
    <row r="1103">
      <c r="A1103" s="14" t="s">
        <v>8035</v>
      </c>
      <c r="B1103" s="15" t="s">
        <v>8128</v>
      </c>
      <c r="C1103" s="16">
        <v>26866.0</v>
      </c>
      <c r="D1103" s="17" t="s">
        <v>8129</v>
      </c>
    </row>
    <row r="1104">
      <c r="A1104" s="14" t="s">
        <v>6353</v>
      </c>
      <c r="B1104" s="15" t="s">
        <v>8130</v>
      </c>
      <c r="C1104" s="16">
        <v>26866.0</v>
      </c>
      <c r="D1104" s="17" t="s">
        <v>8131</v>
      </c>
    </row>
    <row r="1105">
      <c r="A1105" s="14">
        <v>21.0</v>
      </c>
      <c r="B1105" s="15" t="s">
        <v>8132</v>
      </c>
      <c r="C1105" s="16">
        <v>26866.0</v>
      </c>
      <c r="D1105" s="17" t="s">
        <v>8133</v>
      </c>
    </row>
    <row r="1106">
      <c r="A1106" s="14">
        <v>21.0</v>
      </c>
      <c r="B1106" s="15" t="s">
        <v>8134</v>
      </c>
      <c r="C1106" s="16">
        <v>26866.0</v>
      </c>
      <c r="D1106" s="17" t="s">
        <v>8135</v>
      </c>
    </row>
    <row r="1107">
      <c r="A1107" s="14" t="s">
        <v>8035</v>
      </c>
      <c r="B1107" s="15" t="s">
        <v>8136</v>
      </c>
      <c r="C1107" s="16">
        <v>26867.0</v>
      </c>
      <c r="D1107" s="17" t="s">
        <v>8137</v>
      </c>
    </row>
    <row r="1108">
      <c r="A1108" s="14" t="s">
        <v>6353</v>
      </c>
      <c r="B1108" s="15" t="s">
        <v>8138</v>
      </c>
      <c r="C1108" s="16">
        <v>26867.0</v>
      </c>
      <c r="D1108" s="17" t="s">
        <v>8139</v>
      </c>
    </row>
    <row r="1109">
      <c r="A1109" s="14">
        <v>22.0</v>
      </c>
      <c r="B1109" s="15" t="s">
        <v>8140</v>
      </c>
      <c r="C1109" s="16">
        <v>26867.0</v>
      </c>
      <c r="D1109" s="17" t="s">
        <v>8141</v>
      </c>
    </row>
    <row r="1110">
      <c r="A1110" s="14">
        <v>22.0</v>
      </c>
      <c r="B1110" s="15" t="s">
        <v>8142</v>
      </c>
      <c r="C1110" s="16">
        <v>26867.0</v>
      </c>
      <c r="D1110" s="17" t="s">
        <v>8143</v>
      </c>
    </row>
    <row r="1111">
      <c r="A1111" s="14" t="s">
        <v>8035</v>
      </c>
      <c r="B1111" s="15" t="s">
        <v>8144</v>
      </c>
      <c r="C1111" s="16">
        <v>26868.0</v>
      </c>
      <c r="D1111" s="17" t="s">
        <v>8145</v>
      </c>
    </row>
    <row r="1112">
      <c r="A1112" s="14" t="s">
        <v>6353</v>
      </c>
      <c r="B1112" s="15" t="s">
        <v>8146</v>
      </c>
      <c r="C1112" s="16">
        <v>26868.0</v>
      </c>
      <c r="D1112" s="17" t="s">
        <v>8147</v>
      </c>
    </row>
    <row r="1113">
      <c r="A1113" s="14" t="s">
        <v>5932</v>
      </c>
      <c r="B1113" s="15" t="s">
        <v>8148</v>
      </c>
      <c r="C1113" s="16">
        <v>26868.0</v>
      </c>
      <c r="D1113" s="17" t="s">
        <v>8149</v>
      </c>
    </row>
    <row r="1114">
      <c r="A1114" s="14">
        <v>23.0</v>
      </c>
      <c r="B1114" s="15" t="s">
        <v>8150</v>
      </c>
      <c r="C1114" s="16">
        <v>26868.0</v>
      </c>
      <c r="D1114" s="17" t="s">
        <v>8151</v>
      </c>
    </row>
    <row r="1115">
      <c r="A1115" s="14">
        <v>23.0</v>
      </c>
      <c r="B1115" s="15" t="s">
        <v>8152</v>
      </c>
      <c r="C1115" s="16">
        <v>26868.0</v>
      </c>
      <c r="D1115" s="17" t="s">
        <v>8153</v>
      </c>
    </row>
    <row r="1116">
      <c r="A1116" s="14">
        <v>23.0</v>
      </c>
      <c r="B1116" s="15" t="s">
        <v>8154</v>
      </c>
      <c r="C1116" s="16">
        <v>26868.0</v>
      </c>
      <c r="D1116" s="17" t="s">
        <v>8155</v>
      </c>
    </row>
    <row r="1117">
      <c r="A1117" s="14" t="s">
        <v>8035</v>
      </c>
      <c r="B1117" s="15" t="s">
        <v>8156</v>
      </c>
      <c r="C1117" s="16">
        <v>26869.0</v>
      </c>
      <c r="D1117" s="17" t="s">
        <v>8157</v>
      </c>
    </row>
    <row r="1118">
      <c r="A1118" s="14" t="s">
        <v>6353</v>
      </c>
      <c r="B1118" s="15" t="s">
        <v>8158</v>
      </c>
      <c r="C1118" s="16">
        <v>26869.0</v>
      </c>
      <c r="D1118" s="17" t="s">
        <v>8159</v>
      </c>
    </row>
    <row r="1119">
      <c r="A1119" s="14">
        <v>24.0</v>
      </c>
      <c r="B1119" s="15" t="s">
        <v>8160</v>
      </c>
      <c r="C1119" s="16">
        <v>26869.0</v>
      </c>
      <c r="D1119" s="17" t="s">
        <v>8161</v>
      </c>
    </row>
    <row r="1120">
      <c r="A1120" s="14">
        <v>24.0</v>
      </c>
      <c r="B1120" s="15" t="s">
        <v>8162</v>
      </c>
      <c r="C1120" s="16">
        <v>26869.0</v>
      </c>
      <c r="D1120" s="17" t="s">
        <v>8163</v>
      </c>
    </row>
    <row r="1121">
      <c r="A1121" s="14" t="s">
        <v>8035</v>
      </c>
      <c r="B1121" s="15" t="s">
        <v>8164</v>
      </c>
      <c r="C1121" s="16">
        <v>26870.0</v>
      </c>
      <c r="D1121" s="17" t="s">
        <v>8165</v>
      </c>
    </row>
    <row r="1122">
      <c r="A1122" s="14" t="s">
        <v>6353</v>
      </c>
      <c r="B1122" s="15" t="s">
        <v>8166</v>
      </c>
      <c r="C1122" s="16">
        <v>26870.0</v>
      </c>
      <c r="D1122" s="17" t="s">
        <v>8167</v>
      </c>
    </row>
    <row r="1123">
      <c r="A1123" s="14">
        <v>25.0</v>
      </c>
      <c r="B1123" s="15" t="s">
        <v>8168</v>
      </c>
      <c r="C1123" s="16">
        <v>26870.0</v>
      </c>
      <c r="D1123" s="17" t="s">
        <v>8169</v>
      </c>
    </row>
    <row r="1124">
      <c r="A1124" s="14">
        <v>25.0</v>
      </c>
      <c r="B1124" s="15" t="s">
        <v>8170</v>
      </c>
      <c r="C1124" s="16">
        <v>26870.0</v>
      </c>
      <c r="D1124" s="17" t="s">
        <v>8171</v>
      </c>
    </row>
    <row r="1125">
      <c r="A1125" s="14" t="s">
        <v>8035</v>
      </c>
      <c r="B1125" s="15" t="s">
        <v>8172</v>
      </c>
      <c r="C1125" s="16">
        <v>26871.0</v>
      </c>
      <c r="D1125" s="17" t="s">
        <v>8173</v>
      </c>
    </row>
    <row r="1126">
      <c r="A1126" s="14" t="s">
        <v>6353</v>
      </c>
      <c r="B1126" s="15" t="s">
        <v>8174</v>
      </c>
      <c r="C1126" s="16">
        <v>26871.0</v>
      </c>
      <c r="D1126" s="17" t="s">
        <v>8175</v>
      </c>
    </row>
    <row r="1127">
      <c r="A1127" s="14">
        <v>26.0</v>
      </c>
      <c r="B1127" s="15" t="s">
        <v>8176</v>
      </c>
      <c r="C1127" s="16">
        <v>26871.0</v>
      </c>
      <c r="D1127" s="17" t="s">
        <v>8177</v>
      </c>
    </row>
    <row r="1128">
      <c r="A1128" s="14">
        <v>26.0</v>
      </c>
      <c r="B1128" s="15" t="s">
        <v>8178</v>
      </c>
      <c r="C1128" s="16">
        <v>26871.0</v>
      </c>
      <c r="D1128" s="17" t="s">
        <v>8179</v>
      </c>
    </row>
    <row r="1129">
      <c r="A1129" s="14" t="s">
        <v>8035</v>
      </c>
      <c r="B1129" s="15" t="s">
        <v>8180</v>
      </c>
      <c r="C1129" s="16">
        <v>26872.0</v>
      </c>
      <c r="D1129" s="17" t="s">
        <v>8181</v>
      </c>
    </row>
    <row r="1130">
      <c r="A1130" s="14">
        <v>27.0</v>
      </c>
      <c r="B1130" s="15" t="s">
        <v>8182</v>
      </c>
      <c r="C1130" s="16">
        <v>26872.0</v>
      </c>
      <c r="D1130" s="17" t="s">
        <v>8183</v>
      </c>
    </row>
    <row r="1131">
      <c r="A1131" s="14" t="s">
        <v>8035</v>
      </c>
      <c r="B1131" s="15" t="s">
        <v>8184</v>
      </c>
      <c r="C1131" s="16">
        <v>26873.0</v>
      </c>
      <c r="D1131" s="17" t="s">
        <v>8185</v>
      </c>
    </row>
    <row r="1132">
      <c r="A1132" s="14">
        <v>28.0</v>
      </c>
      <c r="B1132" s="15" t="s">
        <v>8186</v>
      </c>
      <c r="C1132" s="16">
        <v>26873.0</v>
      </c>
      <c r="D1132" s="17" t="s">
        <v>8187</v>
      </c>
    </row>
    <row r="1133">
      <c r="A1133" s="14" t="s">
        <v>8035</v>
      </c>
      <c r="B1133" s="15" t="s">
        <v>8188</v>
      </c>
      <c r="C1133" s="16">
        <v>26874.0</v>
      </c>
      <c r="D1133" s="17" t="s">
        <v>8189</v>
      </c>
    </row>
    <row r="1134">
      <c r="A1134" s="14">
        <v>29.0</v>
      </c>
      <c r="B1134" s="15" t="s">
        <v>8190</v>
      </c>
      <c r="C1134" s="16">
        <v>26874.0</v>
      </c>
      <c r="D1134" s="17" t="s">
        <v>8191</v>
      </c>
    </row>
    <row r="1135">
      <c r="A1135" s="14" t="s">
        <v>8035</v>
      </c>
      <c r="B1135" s="15" t="s">
        <v>8192</v>
      </c>
      <c r="C1135" s="16">
        <v>26875.0</v>
      </c>
      <c r="D1135" s="17" t="s">
        <v>8193</v>
      </c>
    </row>
    <row r="1136">
      <c r="A1136" s="14">
        <v>30.0</v>
      </c>
      <c r="B1136" s="15" t="s">
        <v>8194</v>
      </c>
      <c r="C1136" s="16">
        <v>26875.0</v>
      </c>
      <c r="D1136" s="17" t="s">
        <v>8195</v>
      </c>
    </row>
    <row r="1137">
      <c r="A1137" s="14" t="s">
        <v>8035</v>
      </c>
      <c r="B1137" s="15" t="s">
        <v>8196</v>
      </c>
      <c r="C1137" s="16">
        <v>26876.0</v>
      </c>
      <c r="D1137" s="17" t="s">
        <v>8197</v>
      </c>
    </row>
    <row r="1138">
      <c r="A1138" s="14">
        <v>31.0</v>
      </c>
      <c r="B1138" s="15" t="s">
        <v>8198</v>
      </c>
      <c r="C1138" s="16">
        <v>26876.0</v>
      </c>
      <c r="D1138" s="17" t="s">
        <v>8199</v>
      </c>
    </row>
    <row r="1139">
      <c r="A1139" s="14" t="s">
        <v>8035</v>
      </c>
      <c r="B1139" s="15" t="s">
        <v>8200</v>
      </c>
      <c r="C1139" s="16">
        <v>26877.0</v>
      </c>
      <c r="D1139" s="17" t="s">
        <v>8201</v>
      </c>
    </row>
    <row r="1140">
      <c r="A1140" s="14">
        <v>1.0</v>
      </c>
      <c r="B1140" s="15" t="s">
        <v>8202</v>
      </c>
      <c r="C1140" s="16">
        <v>26877.0</v>
      </c>
      <c r="D1140" s="17" t="s">
        <v>8203</v>
      </c>
    </row>
    <row r="1141">
      <c r="A1141" s="14" t="s">
        <v>5908</v>
      </c>
      <c r="B1141" s="15" t="s">
        <v>8204</v>
      </c>
      <c r="C1141" s="16">
        <v>26879.0</v>
      </c>
      <c r="D1141" s="17" t="s">
        <v>8205</v>
      </c>
    </row>
    <row r="1142">
      <c r="A1142" s="14">
        <v>3.0</v>
      </c>
      <c r="B1142" s="15" t="s">
        <v>8206</v>
      </c>
      <c r="C1142" s="16">
        <v>26879.0</v>
      </c>
      <c r="D1142" s="17" t="s">
        <v>8207</v>
      </c>
    </row>
    <row r="1143">
      <c r="A1143" s="14" t="s">
        <v>5908</v>
      </c>
      <c r="B1143" s="15" t="s">
        <v>8208</v>
      </c>
      <c r="C1143" s="16">
        <v>26880.0</v>
      </c>
      <c r="D1143" s="17" t="s">
        <v>8209</v>
      </c>
    </row>
    <row r="1144">
      <c r="A1144" s="14">
        <v>4.0</v>
      </c>
      <c r="B1144" s="15" t="s">
        <v>8210</v>
      </c>
      <c r="C1144" s="16">
        <v>26880.0</v>
      </c>
      <c r="D1144" s="17" t="s">
        <v>8211</v>
      </c>
    </row>
    <row r="1145">
      <c r="A1145" s="14" t="s">
        <v>5908</v>
      </c>
      <c r="B1145" s="15" t="s">
        <v>8212</v>
      </c>
      <c r="C1145" s="16">
        <v>26881.0</v>
      </c>
      <c r="D1145" s="17" t="s">
        <v>8213</v>
      </c>
    </row>
    <row r="1146">
      <c r="A1146" s="14">
        <v>5.0</v>
      </c>
      <c r="B1146" s="15" t="s">
        <v>8214</v>
      </c>
      <c r="C1146" s="16">
        <v>26881.0</v>
      </c>
      <c r="D1146" s="17" t="s">
        <v>8215</v>
      </c>
    </row>
    <row r="1147">
      <c r="A1147" s="14" t="s">
        <v>5908</v>
      </c>
      <c r="B1147" s="15" t="s">
        <v>8216</v>
      </c>
      <c r="C1147" s="16">
        <v>26882.0</v>
      </c>
      <c r="D1147" s="17" t="s">
        <v>8217</v>
      </c>
    </row>
    <row r="1148">
      <c r="A1148" s="14">
        <v>6.0</v>
      </c>
      <c r="B1148" s="15" t="s">
        <v>8218</v>
      </c>
      <c r="C1148" s="16">
        <v>26882.0</v>
      </c>
      <c r="D1148" s="17" t="s">
        <v>8219</v>
      </c>
    </row>
    <row r="1149">
      <c r="A1149" s="14" t="s">
        <v>5908</v>
      </c>
      <c r="B1149" s="15" t="s">
        <v>8220</v>
      </c>
      <c r="C1149" s="16">
        <v>26883.0</v>
      </c>
      <c r="D1149" s="17" t="s">
        <v>8221</v>
      </c>
    </row>
    <row r="1150">
      <c r="A1150" s="14">
        <v>7.0</v>
      </c>
      <c r="B1150" s="15" t="s">
        <v>8222</v>
      </c>
      <c r="C1150" s="16">
        <v>26883.0</v>
      </c>
      <c r="D1150" s="17" t="s">
        <v>8223</v>
      </c>
    </row>
    <row r="1151">
      <c r="A1151" s="14" t="s">
        <v>5908</v>
      </c>
      <c r="B1151" s="15" t="s">
        <v>8224</v>
      </c>
      <c r="C1151" s="16">
        <v>26884.0</v>
      </c>
      <c r="D1151" s="17" t="s">
        <v>8225</v>
      </c>
    </row>
    <row r="1152">
      <c r="A1152" s="14">
        <v>8.0</v>
      </c>
      <c r="B1152" s="15" t="s">
        <v>8226</v>
      </c>
      <c r="C1152" s="16">
        <v>26884.0</v>
      </c>
      <c r="D1152" s="17" t="s">
        <v>8227</v>
      </c>
    </row>
    <row r="1153">
      <c r="A1153" s="14" t="s">
        <v>6753</v>
      </c>
      <c r="B1153" s="15" t="s">
        <v>8228</v>
      </c>
      <c r="C1153" s="16">
        <v>26885.0</v>
      </c>
      <c r="D1153" s="17" t="s">
        <v>8229</v>
      </c>
    </row>
    <row r="1154">
      <c r="A1154" s="14" t="s">
        <v>6374</v>
      </c>
      <c r="B1154" s="15" t="s">
        <v>8230</v>
      </c>
      <c r="C1154" s="16">
        <v>26885.0</v>
      </c>
      <c r="D1154" s="17" t="s">
        <v>8231</v>
      </c>
    </row>
    <row r="1155">
      <c r="A1155" s="14" t="s">
        <v>6353</v>
      </c>
      <c r="B1155" s="15" t="s">
        <v>8232</v>
      </c>
      <c r="C1155" s="16">
        <v>26885.0</v>
      </c>
      <c r="D1155" s="17" t="s">
        <v>8233</v>
      </c>
    </row>
    <row r="1156">
      <c r="A1156" s="14">
        <v>9.0</v>
      </c>
      <c r="B1156" s="15" t="s">
        <v>8234</v>
      </c>
      <c r="C1156" s="16">
        <v>26885.0</v>
      </c>
      <c r="D1156" s="17" t="s">
        <v>8235</v>
      </c>
    </row>
    <row r="1157">
      <c r="A1157" s="14">
        <v>9.0</v>
      </c>
      <c r="B1157" s="15" t="s">
        <v>8236</v>
      </c>
      <c r="C1157" s="16">
        <v>26885.0</v>
      </c>
      <c r="D1157" s="17" t="s">
        <v>8237</v>
      </c>
    </row>
    <row r="1158">
      <c r="A1158" s="14">
        <v>9.0</v>
      </c>
      <c r="B1158" s="15" t="s">
        <v>8238</v>
      </c>
      <c r="C1158" s="16">
        <v>26885.0</v>
      </c>
      <c r="D1158" s="17" t="s">
        <v>8239</v>
      </c>
    </row>
    <row r="1159">
      <c r="A1159" s="14" t="s">
        <v>7676</v>
      </c>
      <c r="B1159" s="15" t="s">
        <v>8240</v>
      </c>
      <c r="C1159" s="16">
        <v>26886.0</v>
      </c>
      <c r="D1159" s="17" t="s">
        <v>8241</v>
      </c>
    </row>
    <row r="1160">
      <c r="A1160" s="14" t="s">
        <v>6353</v>
      </c>
      <c r="B1160" s="15" t="s">
        <v>8242</v>
      </c>
      <c r="C1160" s="16">
        <v>26886.0</v>
      </c>
      <c r="D1160" s="17" t="s">
        <v>8243</v>
      </c>
    </row>
    <row r="1161">
      <c r="A1161" s="14">
        <v>10.0</v>
      </c>
      <c r="B1161" s="15" t="s">
        <v>8244</v>
      </c>
      <c r="C1161" s="16">
        <v>26886.0</v>
      </c>
      <c r="D1161" s="17" t="s">
        <v>8245</v>
      </c>
    </row>
    <row r="1162">
      <c r="A1162" s="14">
        <v>10.0</v>
      </c>
      <c r="B1162" s="15" t="s">
        <v>8246</v>
      </c>
      <c r="C1162" s="16">
        <v>26886.0</v>
      </c>
      <c r="D1162" s="17" t="s">
        <v>8247</v>
      </c>
    </row>
    <row r="1163">
      <c r="A1163" s="14" t="s">
        <v>7676</v>
      </c>
      <c r="B1163" s="15" t="s">
        <v>8248</v>
      </c>
      <c r="C1163" s="16">
        <v>26887.0</v>
      </c>
      <c r="D1163" s="17" t="s">
        <v>8249</v>
      </c>
    </row>
    <row r="1164">
      <c r="A1164" s="14" t="s">
        <v>6353</v>
      </c>
      <c r="B1164" s="15" t="s">
        <v>8250</v>
      </c>
      <c r="C1164" s="16">
        <v>26887.0</v>
      </c>
      <c r="D1164" s="17" t="s">
        <v>8251</v>
      </c>
    </row>
    <row r="1165">
      <c r="A1165" s="14" t="s">
        <v>6353</v>
      </c>
      <c r="B1165" s="15" t="s">
        <v>8252</v>
      </c>
      <c r="C1165" s="16">
        <v>26887.0</v>
      </c>
      <c r="D1165" s="17" t="s">
        <v>8253</v>
      </c>
    </row>
    <row r="1166">
      <c r="A1166" s="14">
        <v>11.0</v>
      </c>
      <c r="B1166" s="15" t="s">
        <v>8254</v>
      </c>
      <c r="C1166" s="16">
        <v>26887.0</v>
      </c>
      <c r="D1166" s="17" t="s">
        <v>8255</v>
      </c>
    </row>
    <row r="1167">
      <c r="A1167" s="14">
        <v>11.0</v>
      </c>
      <c r="B1167" s="15" t="s">
        <v>8256</v>
      </c>
      <c r="C1167" s="16">
        <v>26887.0</v>
      </c>
      <c r="D1167" s="17" t="s">
        <v>8257</v>
      </c>
    </row>
    <row r="1168">
      <c r="A1168" s="14">
        <v>11.0</v>
      </c>
      <c r="B1168" s="15" t="s">
        <v>8258</v>
      </c>
      <c r="C1168" s="16">
        <v>26887.0</v>
      </c>
      <c r="D1168" s="17" t="s">
        <v>8259</v>
      </c>
    </row>
    <row r="1169">
      <c r="A1169" s="14" t="s">
        <v>7676</v>
      </c>
      <c r="B1169" s="15" t="s">
        <v>8260</v>
      </c>
      <c r="C1169" s="16">
        <v>26888.0</v>
      </c>
      <c r="D1169" s="17" t="s">
        <v>8261</v>
      </c>
    </row>
    <row r="1170">
      <c r="A1170" s="14" t="s">
        <v>6353</v>
      </c>
      <c r="B1170" s="15" t="s">
        <v>8262</v>
      </c>
      <c r="C1170" s="16">
        <v>26888.0</v>
      </c>
      <c r="D1170" s="17" t="s">
        <v>8263</v>
      </c>
    </row>
    <row r="1171">
      <c r="A1171" s="14">
        <v>12.0</v>
      </c>
      <c r="B1171" s="15" t="s">
        <v>8264</v>
      </c>
      <c r="C1171" s="16">
        <v>26888.0</v>
      </c>
      <c r="D1171" s="17" t="s">
        <v>8265</v>
      </c>
    </row>
    <row r="1172">
      <c r="A1172" s="14">
        <v>12.0</v>
      </c>
      <c r="B1172" s="15" t="s">
        <v>8266</v>
      </c>
      <c r="C1172" s="16">
        <v>26888.0</v>
      </c>
      <c r="D1172" s="17" t="s">
        <v>8267</v>
      </c>
    </row>
    <row r="1173">
      <c r="A1173" s="14" t="s">
        <v>7676</v>
      </c>
      <c r="B1173" s="15" t="s">
        <v>8268</v>
      </c>
      <c r="C1173" s="16">
        <v>26889.0</v>
      </c>
      <c r="D1173" s="17" t="s">
        <v>8269</v>
      </c>
    </row>
    <row r="1174">
      <c r="A1174" s="14" t="s">
        <v>6353</v>
      </c>
      <c r="B1174" s="15" t="s">
        <v>8270</v>
      </c>
      <c r="C1174" s="16">
        <v>26889.0</v>
      </c>
      <c r="D1174" s="17" t="s">
        <v>8271</v>
      </c>
    </row>
    <row r="1175">
      <c r="A1175" s="14" t="s">
        <v>6353</v>
      </c>
      <c r="B1175" s="15" t="s">
        <v>8272</v>
      </c>
      <c r="C1175" s="16">
        <v>26889.0</v>
      </c>
      <c r="D1175" s="17" t="s">
        <v>8273</v>
      </c>
    </row>
    <row r="1176">
      <c r="A1176" s="14" t="s">
        <v>6353</v>
      </c>
      <c r="B1176" s="15" t="s">
        <v>8274</v>
      </c>
      <c r="C1176" s="16">
        <v>26889.0</v>
      </c>
      <c r="D1176" s="17" t="s">
        <v>8275</v>
      </c>
    </row>
    <row r="1177">
      <c r="A1177" s="14" t="s">
        <v>6353</v>
      </c>
      <c r="B1177" s="15" t="s">
        <v>8276</v>
      </c>
      <c r="C1177" s="16">
        <v>26889.0</v>
      </c>
      <c r="D1177" s="17" t="s">
        <v>8277</v>
      </c>
    </row>
    <row r="1178">
      <c r="A1178" s="14">
        <v>13.0</v>
      </c>
      <c r="B1178" s="15" t="s">
        <v>8278</v>
      </c>
      <c r="C1178" s="16">
        <v>26889.0</v>
      </c>
      <c r="D1178" s="17" t="s">
        <v>8279</v>
      </c>
    </row>
    <row r="1179">
      <c r="A1179" s="14">
        <v>13.0</v>
      </c>
      <c r="B1179" s="15" t="s">
        <v>8280</v>
      </c>
      <c r="C1179" s="16">
        <v>26889.0</v>
      </c>
      <c r="D1179" s="17" t="s">
        <v>8281</v>
      </c>
    </row>
    <row r="1180">
      <c r="A1180" s="14">
        <v>13.0</v>
      </c>
      <c r="B1180" s="15" t="s">
        <v>8282</v>
      </c>
      <c r="C1180" s="16">
        <v>26889.0</v>
      </c>
      <c r="D1180" s="17" t="s">
        <v>8283</v>
      </c>
    </row>
    <row r="1181">
      <c r="A1181" s="14">
        <v>13.0</v>
      </c>
      <c r="B1181" s="15" t="s">
        <v>8284</v>
      </c>
      <c r="C1181" s="16">
        <v>26889.0</v>
      </c>
      <c r="D1181" s="17" t="s">
        <v>8285</v>
      </c>
    </row>
    <row r="1182">
      <c r="A1182" s="14">
        <v>13.0</v>
      </c>
      <c r="B1182" s="15" t="s">
        <v>8286</v>
      </c>
      <c r="C1182" s="16">
        <v>26889.0</v>
      </c>
      <c r="D1182" s="17" t="s">
        <v>8287</v>
      </c>
    </row>
    <row r="1183">
      <c r="A1183" s="14" t="s">
        <v>5908</v>
      </c>
      <c r="B1183" s="15" t="s">
        <v>8288</v>
      </c>
      <c r="C1183" s="16">
        <v>26891.0</v>
      </c>
      <c r="D1183" s="17" t="s">
        <v>8289</v>
      </c>
    </row>
    <row r="1184">
      <c r="A1184" s="14">
        <v>15.0</v>
      </c>
      <c r="B1184" s="15" t="s">
        <v>8290</v>
      </c>
      <c r="C1184" s="16">
        <v>26891.0</v>
      </c>
      <c r="D1184" s="17" t="s">
        <v>8291</v>
      </c>
    </row>
    <row r="1185">
      <c r="A1185" s="14" t="s">
        <v>5908</v>
      </c>
      <c r="B1185" s="15" t="s">
        <v>8292</v>
      </c>
      <c r="C1185" s="16">
        <v>26892.0</v>
      </c>
      <c r="D1185" s="17" t="s">
        <v>8293</v>
      </c>
    </row>
    <row r="1186">
      <c r="A1186" s="14">
        <v>16.0</v>
      </c>
      <c r="B1186" s="15" t="s">
        <v>8294</v>
      </c>
      <c r="C1186" s="16">
        <v>26892.0</v>
      </c>
      <c r="D1186" s="17" t="s">
        <v>8295</v>
      </c>
    </row>
    <row r="1187">
      <c r="A1187" s="14" t="s">
        <v>5908</v>
      </c>
      <c r="B1187" s="15" t="s">
        <v>8296</v>
      </c>
      <c r="C1187" s="16">
        <v>26893.0</v>
      </c>
      <c r="D1187" s="17" t="s">
        <v>8297</v>
      </c>
    </row>
    <row r="1188">
      <c r="A1188" s="14">
        <v>17.0</v>
      </c>
      <c r="B1188" s="15" t="s">
        <v>8298</v>
      </c>
      <c r="C1188" s="16">
        <v>26893.0</v>
      </c>
      <c r="D1188" s="17" t="s">
        <v>8299</v>
      </c>
    </row>
    <row r="1189">
      <c r="A1189" s="14" t="s">
        <v>5908</v>
      </c>
      <c r="B1189" s="15" t="s">
        <v>8300</v>
      </c>
      <c r="C1189" s="16">
        <v>26894.0</v>
      </c>
      <c r="D1189" s="17" t="s">
        <v>8301</v>
      </c>
    </row>
    <row r="1190">
      <c r="A1190" s="14">
        <v>18.0</v>
      </c>
      <c r="B1190" s="15" t="s">
        <v>8302</v>
      </c>
      <c r="C1190" s="16">
        <v>26894.0</v>
      </c>
      <c r="D1190" s="17" t="s">
        <v>8303</v>
      </c>
    </row>
    <row r="1191">
      <c r="A1191" s="14" t="s">
        <v>5908</v>
      </c>
      <c r="B1191" s="15" t="s">
        <v>8304</v>
      </c>
      <c r="C1191" s="16">
        <v>26895.0</v>
      </c>
      <c r="D1191" s="17" t="s">
        <v>8305</v>
      </c>
    </row>
    <row r="1192">
      <c r="A1192" s="14">
        <v>19.0</v>
      </c>
      <c r="B1192" s="15" t="s">
        <v>8306</v>
      </c>
      <c r="C1192" s="16">
        <v>26895.0</v>
      </c>
      <c r="D1192" s="17" t="s">
        <v>8307</v>
      </c>
    </row>
    <row r="1193">
      <c r="A1193" s="14" t="s">
        <v>5908</v>
      </c>
      <c r="B1193" s="15" t="s">
        <v>8308</v>
      </c>
      <c r="C1193" s="16">
        <v>26896.0</v>
      </c>
      <c r="D1193" s="17" t="s">
        <v>8309</v>
      </c>
    </row>
    <row r="1194">
      <c r="A1194" s="14">
        <v>20.0</v>
      </c>
      <c r="B1194" s="15" t="s">
        <v>8310</v>
      </c>
      <c r="C1194" s="16">
        <v>26896.0</v>
      </c>
      <c r="D1194" s="17" t="s">
        <v>8311</v>
      </c>
    </row>
    <row r="1195">
      <c r="A1195" s="14" t="s">
        <v>5908</v>
      </c>
      <c r="B1195" s="15" t="s">
        <v>8312</v>
      </c>
      <c r="C1195" s="16">
        <v>26897.0</v>
      </c>
      <c r="D1195" s="17" t="s">
        <v>8313</v>
      </c>
    </row>
    <row r="1196">
      <c r="A1196" s="14" t="s">
        <v>6087</v>
      </c>
      <c r="B1196" s="15" t="s">
        <v>8314</v>
      </c>
      <c r="C1196" s="16">
        <v>26897.0</v>
      </c>
      <c r="D1196" s="17" t="s">
        <v>8315</v>
      </c>
    </row>
    <row r="1197">
      <c r="A1197" s="14" t="s">
        <v>6087</v>
      </c>
      <c r="B1197" s="15" t="s">
        <v>8316</v>
      </c>
      <c r="C1197" s="16">
        <v>26897.0</v>
      </c>
      <c r="D1197" s="17" t="s">
        <v>8317</v>
      </c>
    </row>
    <row r="1198">
      <c r="A1198" s="14" t="s">
        <v>6087</v>
      </c>
      <c r="B1198" s="15" t="s">
        <v>8318</v>
      </c>
      <c r="C1198" s="16">
        <v>26897.0</v>
      </c>
      <c r="D1198" s="17" t="s">
        <v>8319</v>
      </c>
    </row>
    <row r="1199">
      <c r="A1199" s="14" t="s">
        <v>6087</v>
      </c>
      <c r="B1199" s="15" t="s">
        <v>8320</v>
      </c>
      <c r="C1199" s="16">
        <v>26897.0</v>
      </c>
      <c r="D1199" s="17" t="s">
        <v>8321</v>
      </c>
    </row>
    <row r="1200">
      <c r="A1200" s="14">
        <v>21.0</v>
      </c>
      <c r="B1200" s="15" t="s">
        <v>8322</v>
      </c>
      <c r="C1200" s="16">
        <v>26897.0</v>
      </c>
      <c r="D1200" s="17" t="s">
        <v>8323</v>
      </c>
    </row>
    <row r="1201">
      <c r="A1201" s="14">
        <v>21.0</v>
      </c>
      <c r="B1201" s="15" t="s">
        <v>8324</v>
      </c>
      <c r="C1201" s="16">
        <v>26897.0</v>
      </c>
      <c r="D1201" s="17" t="s">
        <v>8325</v>
      </c>
    </row>
    <row r="1202">
      <c r="A1202" s="14">
        <v>21.0</v>
      </c>
      <c r="B1202" s="15" t="s">
        <v>8326</v>
      </c>
      <c r="C1202" s="16">
        <v>26897.0</v>
      </c>
      <c r="D1202" s="17" t="s">
        <v>8327</v>
      </c>
    </row>
    <row r="1203">
      <c r="A1203" s="14">
        <v>21.0</v>
      </c>
      <c r="B1203" s="15" t="s">
        <v>8328</v>
      </c>
      <c r="C1203" s="16">
        <v>26897.0</v>
      </c>
      <c r="D1203" s="17" t="s">
        <v>8329</v>
      </c>
    </row>
    <row r="1204">
      <c r="A1204" s="14">
        <v>21.0</v>
      </c>
      <c r="B1204" s="15" t="s">
        <v>8330</v>
      </c>
      <c r="C1204" s="16">
        <v>26897.0</v>
      </c>
      <c r="D1204" s="17" t="s">
        <v>8331</v>
      </c>
    </row>
    <row r="1205">
      <c r="A1205" s="14" t="s">
        <v>5908</v>
      </c>
      <c r="B1205" s="15" t="s">
        <v>8332</v>
      </c>
      <c r="C1205" s="16">
        <v>26898.0</v>
      </c>
      <c r="D1205" s="17" t="s">
        <v>8333</v>
      </c>
    </row>
    <row r="1206">
      <c r="A1206" s="14" t="s">
        <v>6087</v>
      </c>
      <c r="B1206" s="15" t="s">
        <v>8334</v>
      </c>
      <c r="C1206" s="16">
        <v>26898.0</v>
      </c>
      <c r="D1206" s="17" t="s">
        <v>8335</v>
      </c>
    </row>
    <row r="1207">
      <c r="A1207" s="14" t="s">
        <v>6087</v>
      </c>
      <c r="B1207" s="15" t="s">
        <v>8336</v>
      </c>
      <c r="C1207" s="16">
        <v>26898.0</v>
      </c>
      <c r="D1207" s="17" t="s">
        <v>8337</v>
      </c>
    </row>
    <row r="1208">
      <c r="A1208" s="14">
        <v>22.0</v>
      </c>
      <c r="B1208" s="15" t="s">
        <v>8338</v>
      </c>
      <c r="C1208" s="16">
        <v>26898.0</v>
      </c>
      <c r="D1208" s="17" t="s">
        <v>8339</v>
      </c>
    </row>
    <row r="1209">
      <c r="A1209" s="14">
        <v>22.0</v>
      </c>
      <c r="B1209" s="15" t="s">
        <v>8340</v>
      </c>
      <c r="C1209" s="16">
        <v>26898.0</v>
      </c>
      <c r="D1209" s="17" t="s">
        <v>8341</v>
      </c>
    </row>
    <row r="1210">
      <c r="A1210" s="14">
        <v>22.0</v>
      </c>
      <c r="B1210" s="15" t="s">
        <v>8342</v>
      </c>
      <c r="C1210" s="16">
        <v>26898.0</v>
      </c>
      <c r="D1210" s="17" t="s">
        <v>8343</v>
      </c>
    </row>
    <row r="1211">
      <c r="A1211" s="14" t="s">
        <v>5908</v>
      </c>
      <c r="B1211" s="15" t="s">
        <v>8344</v>
      </c>
      <c r="C1211" s="16">
        <v>26899.0</v>
      </c>
      <c r="D1211" s="17" t="s">
        <v>8345</v>
      </c>
    </row>
    <row r="1212">
      <c r="A1212" s="14" t="s">
        <v>6057</v>
      </c>
      <c r="B1212" s="15" t="s">
        <v>8346</v>
      </c>
      <c r="C1212" s="16">
        <v>26899.0</v>
      </c>
      <c r="D1212" s="17" t="s">
        <v>8347</v>
      </c>
    </row>
    <row r="1213">
      <c r="A1213" s="14">
        <v>23.0</v>
      </c>
      <c r="B1213" s="15" t="s">
        <v>8348</v>
      </c>
      <c r="C1213" s="16">
        <v>26899.0</v>
      </c>
      <c r="D1213" s="17" t="s">
        <v>8349</v>
      </c>
    </row>
    <row r="1214">
      <c r="A1214" s="14">
        <v>23.0</v>
      </c>
      <c r="B1214" s="15" t="s">
        <v>8350</v>
      </c>
      <c r="C1214" s="16">
        <v>26899.0</v>
      </c>
      <c r="D1214" s="17" t="s">
        <v>8351</v>
      </c>
    </row>
    <row r="1215">
      <c r="A1215" s="14" t="s">
        <v>5908</v>
      </c>
      <c r="B1215" s="15" t="s">
        <v>8352</v>
      </c>
      <c r="C1215" s="16">
        <v>26900.0</v>
      </c>
      <c r="D1215" s="17" t="s">
        <v>8353</v>
      </c>
    </row>
    <row r="1216">
      <c r="A1216" s="14">
        <v>24.0</v>
      </c>
      <c r="B1216" s="15" t="s">
        <v>8354</v>
      </c>
      <c r="C1216" s="16">
        <v>26900.0</v>
      </c>
      <c r="D1216" s="17" t="s">
        <v>8355</v>
      </c>
    </row>
    <row r="1217">
      <c r="A1217" s="14" t="s">
        <v>5908</v>
      </c>
      <c r="B1217" s="15" t="s">
        <v>8356</v>
      </c>
      <c r="C1217" s="16">
        <v>26901.0</v>
      </c>
      <c r="D1217" s="17" t="s">
        <v>8357</v>
      </c>
    </row>
    <row r="1218">
      <c r="A1218" s="14">
        <v>25.0</v>
      </c>
      <c r="B1218" s="15" t="s">
        <v>8358</v>
      </c>
      <c r="C1218" s="16">
        <v>26901.0</v>
      </c>
      <c r="D1218" s="17" t="s">
        <v>8359</v>
      </c>
    </row>
    <row r="1219">
      <c r="A1219" s="14" t="s">
        <v>5908</v>
      </c>
      <c r="B1219" s="15" t="s">
        <v>8360</v>
      </c>
      <c r="C1219" s="16">
        <v>26902.0</v>
      </c>
      <c r="D1219" s="17" t="s">
        <v>8361</v>
      </c>
    </row>
    <row r="1220">
      <c r="A1220" s="14" t="s">
        <v>6057</v>
      </c>
      <c r="B1220" s="15" t="s">
        <v>8362</v>
      </c>
      <c r="C1220" s="16">
        <v>26902.0</v>
      </c>
      <c r="D1220" s="17" t="s">
        <v>8363</v>
      </c>
    </row>
    <row r="1221">
      <c r="A1221" s="14">
        <v>26.0</v>
      </c>
      <c r="B1221" s="15" t="s">
        <v>8364</v>
      </c>
      <c r="C1221" s="16">
        <v>26902.0</v>
      </c>
      <c r="D1221" s="17" t="s">
        <v>8365</v>
      </c>
    </row>
    <row r="1222">
      <c r="A1222" s="14">
        <v>26.0</v>
      </c>
      <c r="B1222" s="15" t="s">
        <v>8366</v>
      </c>
      <c r="C1222" s="16">
        <v>26902.0</v>
      </c>
      <c r="D1222" s="17" t="s">
        <v>8367</v>
      </c>
    </row>
    <row r="1223">
      <c r="A1223" s="14" t="s">
        <v>5908</v>
      </c>
      <c r="B1223" s="15" t="s">
        <v>8368</v>
      </c>
      <c r="C1223" s="16">
        <v>26903.0</v>
      </c>
      <c r="D1223" s="17" t="s">
        <v>8369</v>
      </c>
    </row>
    <row r="1224">
      <c r="A1224" s="14">
        <v>27.0</v>
      </c>
      <c r="B1224" s="15" t="s">
        <v>8370</v>
      </c>
      <c r="C1224" s="16">
        <v>26903.0</v>
      </c>
      <c r="D1224" s="17" t="s">
        <v>8371</v>
      </c>
    </row>
    <row r="1225">
      <c r="A1225" s="14" t="s">
        <v>5908</v>
      </c>
      <c r="B1225" s="15" t="s">
        <v>8372</v>
      </c>
      <c r="C1225" s="16">
        <v>26904.0</v>
      </c>
      <c r="D1225" s="17" t="s">
        <v>8373</v>
      </c>
    </row>
    <row r="1226">
      <c r="A1226" s="14">
        <v>28.0</v>
      </c>
      <c r="B1226" s="15" t="s">
        <v>8374</v>
      </c>
      <c r="C1226" s="16">
        <v>26904.0</v>
      </c>
      <c r="D1226" s="17" t="s">
        <v>8375</v>
      </c>
    </row>
    <row r="1227">
      <c r="A1227" s="14" t="s">
        <v>5908</v>
      </c>
      <c r="B1227" s="15" t="s">
        <v>8376</v>
      </c>
      <c r="C1227" s="16">
        <v>26905.0</v>
      </c>
      <c r="D1227" s="17" t="s">
        <v>8377</v>
      </c>
    </row>
    <row r="1228">
      <c r="A1228" s="14">
        <v>29.0</v>
      </c>
      <c r="B1228" s="15" t="s">
        <v>8378</v>
      </c>
      <c r="C1228" s="16">
        <v>26905.0</v>
      </c>
      <c r="D1228" s="17" t="s">
        <v>8379</v>
      </c>
    </row>
    <row r="1229">
      <c r="A1229" s="14" t="s">
        <v>5908</v>
      </c>
      <c r="B1229" s="15" t="s">
        <v>8380</v>
      </c>
      <c r="C1229" s="16">
        <v>26906.0</v>
      </c>
      <c r="D1229" s="17" t="s">
        <v>8381</v>
      </c>
    </row>
    <row r="1230">
      <c r="A1230" s="14" t="s">
        <v>6374</v>
      </c>
      <c r="B1230" s="15" t="s">
        <v>8382</v>
      </c>
      <c r="C1230" s="16">
        <v>26906.0</v>
      </c>
      <c r="D1230" s="17" t="s">
        <v>8383</v>
      </c>
    </row>
    <row r="1231">
      <c r="A1231" s="14" t="s">
        <v>6353</v>
      </c>
      <c r="B1231" s="15" t="s">
        <v>8384</v>
      </c>
      <c r="C1231" s="16">
        <v>26906.0</v>
      </c>
      <c r="D1231" s="17" t="s">
        <v>8385</v>
      </c>
    </row>
    <row r="1232">
      <c r="A1232" s="14">
        <v>30.0</v>
      </c>
      <c r="B1232" s="15" t="s">
        <v>8386</v>
      </c>
      <c r="C1232" s="16">
        <v>26906.0</v>
      </c>
      <c r="D1232" s="17" t="s">
        <v>8387</v>
      </c>
    </row>
    <row r="1233">
      <c r="A1233" s="14">
        <v>30.0</v>
      </c>
      <c r="B1233" s="15" t="s">
        <v>8388</v>
      </c>
      <c r="C1233" s="16">
        <v>26906.0</v>
      </c>
      <c r="D1233" s="17" t="s">
        <v>8389</v>
      </c>
    </row>
    <row r="1234">
      <c r="A1234" s="14">
        <v>30.0</v>
      </c>
      <c r="B1234" s="15" t="s">
        <v>8390</v>
      </c>
      <c r="C1234" s="16">
        <v>26906.0</v>
      </c>
      <c r="D1234" s="17" t="s">
        <v>8391</v>
      </c>
    </row>
    <row r="1235">
      <c r="A1235" s="14" t="s">
        <v>5908</v>
      </c>
      <c r="B1235" s="15" t="s">
        <v>8392</v>
      </c>
      <c r="C1235" s="16">
        <v>26907.0</v>
      </c>
      <c r="D1235" s="17" t="s">
        <v>8393</v>
      </c>
    </row>
    <row r="1236">
      <c r="A1236" s="14" t="s">
        <v>6353</v>
      </c>
      <c r="B1236" s="15" t="s">
        <v>8394</v>
      </c>
      <c r="C1236" s="16">
        <v>26907.0</v>
      </c>
      <c r="D1236" s="17" t="s">
        <v>8395</v>
      </c>
    </row>
    <row r="1237">
      <c r="A1237" s="14">
        <v>31.0</v>
      </c>
      <c r="B1237" s="15" t="s">
        <v>8396</v>
      </c>
      <c r="C1237" s="16">
        <v>26907.0</v>
      </c>
      <c r="D1237" s="17" t="s">
        <v>8397</v>
      </c>
    </row>
    <row r="1238">
      <c r="A1238" s="14">
        <v>31.0</v>
      </c>
      <c r="B1238" s="15" t="s">
        <v>8398</v>
      </c>
      <c r="C1238" s="16">
        <v>26907.0</v>
      </c>
      <c r="D1238" s="17" t="s">
        <v>8399</v>
      </c>
    </row>
    <row r="1239">
      <c r="A1239" s="14" t="s">
        <v>5908</v>
      </c>
      <c r="B1239" s="15" t="s">
        <v>8400</v>
      </c>
      <c r="C1239" s="16">
        <v>26908.0</v>
      </c>
      <c r="D1239" s="17" t="s">
        <v>8401</v>
      </c>
    </row>
    <row r="1240">
      <c r="A1240" s="14" t="s">
        <v>6353</v>
      </c>
      <c r="B1240" s="15" t="s">
        <v>8402</v>
      </c>
      <c r="C1240" s="16">
        <v>26908.0</v>
      </c>
      <c r="D1240" s="17" t="s">
        <v>8403</v>
      </c>
    </row>
    <row r="1241">
      <c r="A1241" s="14">
        <v>1.0</v>
      </c>
      <c r="B1241" s="15" t="s">
        <v>8404</v>
      </c>
      <c r="C1241" s="16">
        <v>26908.0</v>
      </c>
      <c r="D1241" s="17" t="s">
        <v>8405</v>
      </c>
    </row>
    <row r="1242">
      <c r="A1242" s="14">
        <v>1.0</v>
      </c>
      <c r="B1242" s="15" t="s">
        <v>8406</v>
      </c>
      <c r="C1242" s="16">
        <v>26908.0</v>
      </c>
      <c r="D1242" s="17" t="s">
        <v>8407</v>
      </c>
    </row>
    <row r="1243">
      <c r="A1243" s="14" t="s">
        <v>5908</v>
      </c>
      <c r="B1243" s="15" t="s">
        <v>8408</v>
      </c>
      <c r="C1243" s="16">
        <v>26909.0</v>
      </c>
      <c r="D1243" s="17" t="s">
        <v>8409</v>
      </c>
    </row>
    <row r="1244">
      <c r="A1244" s="14" t="s">
        <v>6353</v>
      </c>
      <c r="B1244" s="15" t="s">
        <v>8410</v>
      </c>
      <c r="C1244" s="16">
        <v>26909.0</v>
      </c>
      <c r="D1244" s="17" t="s">
        <v>8411</v>
      </c>
    </row>
    <row r="1245">
      <c r="A1245" s="14">
        <v>2.0</v>
      </c>
      <c r="B1245" s="15" t="s">
        <v>8412</v>
      </c>
      <c r="C1245" s="16">
        <v>26909.0</v>
      </c>
      <c r="D1245" s="17" t="s">
        <v>8413</v>
      </c>
    </row>
    <row r="1246">
      <c r="A1246" s="14">
        <v>2.0</v>
      </c>
      <c r="B1246" s="15" t="s">
        <v>8414</v>
      </c>
      <c r="C1246" s="16">
        <v>26909.0</v>
      </c>
      <c r="D1246" s="17" t="s">
        <v>8415</v>
      </c>
    </row>
    <row r="1247">
      <c r="A1247" s="14" t="s">
        <v>5908</v>
      </c>
      <c r="B1247" s="15" t="s">
        <v>8416</v>
      </c>
      <c r="C1247" s="16">
        <v>26910.0</v>
      </c>
      <c r="D1247" s="17" t="s">
        <v>8417</v>
      </c>
    </row>
    <row r="1248">
      <c r="A1248" s="14">
        <v>3.0</v>
      </c>
      <c r="B1248" s="15" t="s">
        <v>8418</v>
      </c>
      <c r="C1248" s="16">
        <v>26910.0</v>
      </c>
      <c r="D1248" s="17" t="s">
        <v>8419</v>
      </c>
    </row>
    <row r="1249">
      <c r="A1249" s="14" t="s">
        <v>5908</v>
      </c>
      <c r="B1249" s="15" t="s">
        <v>8420</v>
      </c>
      <c r="C1249" s="16">
        <v>26911.0</v>
      </c>
      <c r="D1249" s="17" t="s">
        <v>8421</v>
      </c>
    </row>
    <row r="1250">
      <c r="A1250" s="14">
        <v>4.0</v>
      </c>
      <c r="B1250" s="15" t="s">
        <v>8422</v>
      </c>
      <c r="C1250" s="16">
        <v>26911.0</v>
      </c>
      <c r="D1250" s="17" t="s">
        <v>8423</v>
      </c>
    </row>
    <row r="1251">
      <c r="A1251" s="14" t="s">
        <v>6753</v>
      </c>
      <c r="B1251" s="15" t="s">
        <v>8424</v>
      </c>
      <c r="C1251" s="16">
        <v>26912.0</v>
      </c>
      <c r="D1251" s="17" t="s">
        <v>8425</v>
      </c>
    </row>
    <row r="1252">
      <c r="A1252" s="14" t="s">
        <v>6087</v>
      </c>
      <c r="B1252" s="15" t="s">
        <v>8426</v>
      </c>
      <c r="C1252" s="16">
        <v>26912.0</v>
      </c>
      <c r="D1252" s="17" t="s">
        <v>8427</v>
      </c>
    </row>
    <row r="1253">
      <c r="A1253" s="14">
        <v>5.0</v>
      </c>
      <c r="B1253" s="15" t="s">
        <v>8428</v>
      </c>
      <c r="C1253" s="16">
        <v>26912.0</v>
      </c>
      <c r="D1253" s="17" t="s">
        <v>8429</v>
      </c>
    </row>
    <row r="1254">
      <c r="A1254" s="14">
        <v>5.0</v>
      </c>
      <c r="B1254" s="15" t="s">
        <v>8430</v>
      </c>
      <c r="C1254" s="16">
        <v>26912.0</v>
      </c>
      <c r="D1254" s="17" t="s">
        <v>8431</v>
      </c>
    </row>
    <row r="1255">
      <c r="A1255" s="14" t="s">
        <v>6858</v>
      </c>
      <c r="B1255" s="15" t="s">
        <v>8432</v>
      </c>
      <c r="C1255" s="16">
        <v>26913.0</v>
      </c>
      <c r="D1255" s="17" t="s">
        <v>8433</v>
      </c>
    </row>
    <row r="1256">
      <c r="A1256" s="14" t="s">
        <v>6057</v>
      </c>
      <c r="B1256" s="15" t="s">
        <v>8434</v>
      </c>
      <c r="C1256" s="16">
        <v>26913.0</v>
      </c>
      <c r="D1256" s="17" t="s">
        <v>8435</v>
      </c>
    </row>
    <row r="1257">
      <c r="A1257" s="14">
        <v>6.0</v>
      </c>
      <c r="B1257" s="15" t="s">
        <v>8436</v>
      </c>
      <c r="C1257" s="16">
        <v>26913.0</v>
      </c>
      <c r="D1257" s="17" t="s">
        <v>8437</v>
      </c>
    </row>
    <row r="1258">
      <c r="A1258" s="14">
        <v>6.0</v>
      </c>
      <c r="B1258" s="15" t="s">
        <v>8438</v>
      </c>
      <c r="C1258" s="16">
        <v>26913.0</v>
      </c>
      <c r="D1258" s="17" t="s">
        <v>8439</v>
      </c>
    </row>
    <row r="1259">
      <c r="A1259" s="14" t="s">
        <v>7676</v>
      </c>
      <c r="B1259" s="15" t="s">
        <v>8440</v>
      </c>
      <c r="C1259" s="16">
        <v>26914.0</v>
      </c>
      <c r="D1259" s="17" t="s">
        <v>8441</v>
      </c>
    </row>
    <row r="1260">
      <c r="A1260" s="14" t="s">
        <v>6858</v>
      </c>
      <c r="B1260" s="15" t="s">
        <v>8442</v>
      </c>
      <c r="C1260" s="16">
        <v>26914.0</v>
      </c>
      <c r="D1260" s="17" t="s">
        <v>8443</v>
      </c>
    </row>
    <row r="1261">
      <c r="A1261" s="14" t="s">
        <v>6858</v>
      </c>
      <c r="B1261" s="15" t="s">
        <v>8444</v>
      </c>
      <c r="C1261" s="16">
        <v>26914.0</v>
      </c>
      <c r="D1261" s="17" t="s">
        <v>8445</v>
      </c>
    </row>
    <row r="1262">
      <c r="A1262" s="14" t="s">
        <v>6057</v>
      </c>
      <c r="B1262" s="15" t="s">
        <v>8446</v>
      </c>
      <c r="C1262" s="16">
        <v>26914.0</v>
      </c>
      <c r="D1262" s="17" t="s">
        <v>8447</v>
      </c>
    </row>
    <row r="1263">
      <c r="A1263" s="14">
        <v>7.0</v>
      </c>
      <c r="B1263" s="15" t="s">
        <v>8448</v>
      </c>
      <c r="C1263" s="16">
        <v>26914.0</v>
      </c>
      <c r="D1263" s="17" t="s">
        <v>8449</v>
      </c>
    </row>
    <row r="1264">
      <c r="A1264" s="14">
        <v>7.0</v>
      </c>
      <c r="B1264" s="15" t="s">
        <v>8450</v>
      </c>
      <c r="C1264" s="16">
        <v>26914.0</v>
      </c>
      <c r="D1264" s="17" t="s">
        <v>8451</v>
      </c>
    </row>
    <row r="1265">
      <c r="A1265" s="14">
        <v>7.0</v>
      </c>
      <c r="B1265" s="15" t="s">
        <v>8452</v>
      </c>
      <c r="C1265" s="16">
        <v>26914.0</v>
      </c>
      <c r="D1265" s="17" t="s">
        <v>8453</v>
      </c>
    </row>
    <row r="1266">
      <c r="A1266" s="14">
        <v>7.0</v>
      </c>
      <c r="B1266" s="15" t="s">
        <v>8454</v>
      </c>
      <c r="C1266" s="16">
        <v>26914.0</v>
      </c>
      <c r="D1266" s="17" t="s">
        <v>8455</v>
      </c>
    </row>
    <row r="1267">
      <c r="A1267" s="14" t="s">
        <v>6074</v>
      </c>
      <c r="B1267" s="15" t="s">
        <v>8456</v>
      </c>
      <c r="C1267" s="16">
        <v>26915.0</v>
      </c>
      <c r="D1267" s="17" t="s">
        <v>8457</v>
      </c>
    </row>
    <row r="1268">
      <c r="A1268" s="14" t="s">
        <v>6858</v>
      </c>
      <c r="B1268" s="15" t="s">
        <v>8458</v>
      </c>
      <c r="C1268" s="16">
        <v>26915.0</v>
      </c>
      <c r="D1268" s="17" t="s">
        <v>8459</v>
      </c>
    </row>
    <row r="1269">
      <c r="A1269" s="14">
        <v>8.0</v>
      </c>
      <c r="B1269" s="15" t="s">
        <v>8460</v>
      </c>
      <c r="C1269" s="16">
        <v>26915.0</v>
      </c>
      <c r="D1269" s="17" t="s">
        <v>8461</v>
      </c>
    </row>
    <row r="1270">
      <c r="A1270" s="14">
        <v>8.0</v>
      </c>
      <c r="B1270" s="15" t="s">
        <v>8462</v>
      </c>
      <c r="C1270" s="16">
        <v>26915.0</v>
      </c>
      <c r="D1270" s="17" t="s">
        <v>8463</v>
      </c>
    </row>
    <row r="1271">
      <c r="A1271" s="14" t="s">
        <v>6858</v>
      </c>
      <c r="B1271" s="15" t="s">
        <v>8464</v>
      </c>
      <c r="C1271" s="16">
        <v>26916.0</v>
      </c>
      <c r="D1271" s="17" t="s">
        <v>8465</v>
      </c>
    </row>
    <row r="1272">
      <c r="A1272" s="14" t="s">
        <v>6057</v>
      </c>
      <c r="B1272" s="15" t="s">
        <v>8466</v>
      </c>
      <c r="C1272" s="16">
        <v>26916.0</v>
      </c>
      <c r="D1272" s="17" t="s">
        <v>8467</v>
      </c>
    </row>
    <row r="1273">
      <c r="A1273" s="14">
        <v>9.0</v>
      </c>
      <c r="B1273" s="15" t="s">
        <v>8468</v>
      </c>
      <c r="C1273" s="16">
        <v>26916.0</v>
      </c>
      <c r="D1273" s="17" t="s">
        <v>8469</v>
      </c>
    </row>
    <row r="1274">
      <c r="A1274" s="14">
        <v>9.0</v>
      </c>
      <c r="B1274" s="15" t="s">
        <v>8470</v>
      </c>
      <c r="C1274" s="16">
        <v>26916.0</v>
      </c>
      <c r="D1274" s="17" t="s">
        <v>8471</v>
      </c>
    </row>
    <row r="1275">
      <c r="A1275" s="14" t="s">
        <v>6074</v>
      </c>
      <c r="B1275" s="15" t="s">
        <v>8472</v>
      </c>
      <c r="C1275" s="16">
        <v>26917.0</v>
      </c>
      <c r="D1275" s="17" t="s">
        <v>8473</v>
      </c>
    </row>
    <row r="1276">
      <c r="A1276" s="14" t="s">
        <v>6353</v>
      </c>
      <c r="B1276" s="15" t="s">
        <v>8474</v>
      </c>
      <c r="C1276" s="16">
        <v>26917.0</v>
      </c>
      <c r="D1276" s="17" t="s">
        <v>8475</v>
      </c>
    </row>
    <row r="1277">
      <c r="A1277" s="14" t="s">
        <v>6858</v>
      </c>
      <c r="B1277" s="15" t="s">
        <v>8476</v>
      </c>
      <c r="C1277" s="16">
        <v>26917.0</v>
      </c>
      <c r="D1277" s="17" t="s">
        <v>8477</v>
      </c>
    </row>
    <row r="1278">
      <c r="A1278" s="14">
        <v>10.0</v>
      </c>
      <c r="B1278" s="15" t="s">
        <v>8478</v>
      </c>
      <c r="C1278" s="16">
        <v>26917.0</v>
      </c>
      <c r="D1278" s="17" t="s">
        <v>8479</v>
      </c>
    </row>
    <row r="1279">
      <c r="A1279" s="14">
        <v>10.0</v>
      </c>
      <c r="B1279" s="15" t="s">
        <v>8480</v>
      </c>
      <c r="C1279" s="16">
        <v>26917.0</v>
      </c>
      <c r="D1279" s="17" t="s">
        <v>8481</v>
      </c>
    </row>
    <row r="1280">
      <c r="A1280" s="14">
        <v>10.0</v>
      </c>
      <c r="B1280" s="15" t="s">
        <v>8482</v>
      </c>
      <c r="C1280" s="16">
        <v>26917.0</v>
      </c>
      <c r="D1280" s="17" t="s">
        <v>8483</v>
      </c>
    </row>
    <row r="1281">
      <c r="A1281" s="14" t="s">
        <v>5908</v>
      </c>
      <c r="B1281" s="15" t="s">
        <v>8484</v>
      </c>
      <c r="C1281" s="16">
        <v>26919.0</v>
      </c>
      <c r="D1281" s="17" t="s">
        <v>8485</v>
      </c>
    </row>
    <row r="1282">
      <c r="A1282" s="14" t="s">
        <v>5932</v>
      </c>
      <c r="B1282" s="15" t="s">
        <v>8486</v>
      </c>
      <c r="C1282" s="16">
        <v>26919.0</v>
      </c>
      <c r="D1282" s="17" t="s">
        <v>8487</v>
      </c>
    </row>
    <row r="1283">
      <c r="A1283" s="14">
        <v>12.0</v>
      </c>
      <c r="B1283" s="15" t="s">
        <v>8488</v>
      </c>
      <c r="C1283" s="16">
        <v>26919.0</v>
      </c>
      <c r="D1283" s="17" t="s">
        <v>8489</v>
      </c>
    </row>
    <row r="1284">
      <c r="A1284" s="14">
        <v>12.0</v>
      </c>
      <c r="B1284" s="15" t="s">
        <v>8490</v>
      </c>
      <c r="C1284" s="16">
        <v>26919.0</v>
      </c>
      <c r="D1284" s="17" t="s">
        <v>8491</v>
      </c>
    </row>
    <row r="1285">
      <c r="A1285" s="14" t="s">
        <v>7676</v>
      </c>
      <c r="B1285" s="15" t="s">
        <v>8492</v>
      </c>
      <c r="C1285" s="16">
        <v>26931.0</v>
      </c>
      <c r="D1285" s="17" t="s">
        <v>8493</v>
      </c>
    </row>
    <row r="1286">
      <c r="A1286" s="14">
        <v>24.0</v>
      </c>
      <c r="B1286" s="15" t="s">
        <v>8494</v>
      </c>
      <c r="C1286" s="16">
        <v>26931.0</v>
      </c>
      <c r="D1286" s="17" t="s">
        <v>8495</v>
      </c>
    </row>
    <row r="1287">
      <c r="A1287" s="14" t="s">
        <v>7676</v>
      </c>
      <c r="B1287" s="15" t="s">
        <v>8496</v>
      </c>
      <c r="C1287" s="16">
        <v>26932.0</v>
      </c>
      <c r="D1287" s="17" t="s">
        <v>8497</v>
      </c>
    </row>
    <row r="1288">
      <c r="A1288" s="14" t="s">
        <v>7676</v>
      </c>
      <c r="B1288" s="15" t="s">
        <v>8498</v>
      </c>
      <c r="C1288" s="16">
        <v>26932.0</v>
      </c>
      <c r="D1288" s="17" t="s">
        <v>8499</v>
      </c>
    </row>
    <row r="1289">
      <c r="A1289" s="14" t="s">
        <v>6057</v>
      </c>
      <c r="B1289" s="15" t="s">
        <v>8500</v>
      </c>
      <c r="C1289" s="16">
        <v>26932.0</v>
      </c>
      <c r="D1289" s="17" t="s">
        <v>8501</v>
      </c>
    </row>
    <row r="1290">
      <c r="A1290" s="14">
        <v>25.0</v>
      </c>
      <c r="B1290" s="15" t="s">
        <v>8502</v>
      </c>
      <c r="C1290" s="16">
        <v>26932.0</v>
      </c>
      <c r="D1290" s="17" t="s">
        <v>8503</v>
      </c>
    </row>
    <row r="1291">
      <c r="A1291" s="14">
        <v>25.0</v>
      </c>
      <c r="B1291" s="15" t="s">
        <v>8504</v>
      </c>
      <c r="C1291" s="16">
        <v>26932.0</v>
      </c>
      <c r="D1291" s="17" t="s">
        <v>8505</v>
      </c>
    </row>
    <row r="1292">
      <c r="A1292" s="14" t="s">
        <v>7676</v>
      </c>
      <c r="B1292" s="15" t="s">
        <v>8506</v>
      </c>
      <c r="C1292" s="16">
        <v>26933.0</v>
      </c>
      <c r="D1292" s="17" t="s">
        <v>8507</v>
      </c>
    </row>
    <row r="1293">
      <c r="A1293" s="14">
        <v>26.0</v>
      </c>
      <c r="B1293" s="15" t="s">
        <v>8508</v>
      </c>
      <c r="C1293" s="16">
        <v>26933.0</v>
      </c>
      <c r="D1293" s="17" t="s">
        <v>8509</v>
      </c>
    </row>
    <row r="1294">
      <c r="A1294" s="14" t="s">
        <v>7676</v>
      </c>
      <c r="B1294" s="15" t="s">
        <v>8510</v>
      </c>
      <c r="C1294" s="16">
        <v>26934.0</v>
      </c>
      <c r="D1294" s="17" t="s">
        <v>8511</v>
      </c>
    </row>
    <row r="1295">
      <c r="A1295" s="14">
        <v>27.0</v>
      </c>
      <c r="B1295" s="15" t="s">
        <v>8512</v>
      </c>
      <c r="C1295" s="16">
        <v>26934.0</v>
      </c>
      <c r="D1295" s="17" t="s">
        <v>8513</v>
      </c>
    </row>
    <row r="1296">
      <c r="A1296" s="14" t="s">
        <v>7676</v>
      </c>
      <c r="B1296" s="15" t="s">
        <v>8514</v>
      </c>
      <c r="C1296" s="16">
        <v>26935.0</v>
      </c>
      <c r="D1296" s="17" t="s">
        <v>8515</v>
      </c>
    </row>
    <row r="1297">
      <c r="A1297" s="14">
        <v>28.0</v>
      </c>
      <c r="B1297" s="15" t="s">
        <v>8516</v>
      </c>
      <c r="C1297" s="16">
        <v>26935.0</v>
      </c>
      <c r="D1297" s="17" t="s">
        <v>8517</v>
      </c>
    </row>
    <row r="1298">
      <c r="A1298" s="14" t="s">
        <v>7676</v>
      </c>
      <c r="B1298" s="15" t="s">
        <v>8518</v>
      </c>
      <c r="C1298" s="16">
        <v>26936.0</v>
      </c>
      <c r="D1298" s="17" t="s">
        <v>8519</v>
      </c>
    </row>
    <row r="1299">
      <c r="A1299" s="14" t="s">
        <v>7676</v>
      </c>
      <c r="B1299" s="15" t="s">
        <v>8520</v>
      </c>
      <c r="C1299" s="16">
        <v>26936.0</v>
      </c>
      <c r="D1299" s="17" t="s">
        <v>8521</v>
      </c>
    </row>
    <row r="1300">
      <c r="A1300" s="14">
        <v>29.0</v>
      </c>
      <c r="B1300" s="15" t="s">
        <v>8522</v>
      </c>
      <c r="C1300" s="16">
        <v>26936.0</v>
      </c>
      <c r="D1300" s="17" t="s">
        <v>8523</v>
      </c>
    </row>
    <row r="1301">
      <c r="A1301" s="14">
        <v>30.0</v>
      </c>
      <c r="B1301" s="15" t="s">
        <v>8524</v>
      </c>
      <c r="C1301" s="16">
        <v>26937.0</v>
      </c>
      <c r="D1301" s="17" t="s">
        <v>8525</v>
      </c>
    </row>
    <row r="1302">
      <c r="A1302" s="14" t="s">
        <v>7676</v>
      </c>
      <c r="B1302" s="15" t="s">
        <v>8526</v>
      </c>
      <c r="C1302" s="16">
        <v>26939.0</v>
      </c>
      <c r="D1302" s="17" t="s">
        <v>8527</v>
      </c>
    </row>
    <row r="1303">
      <c r="A1303" s="14">
        <v>2.0</v>
      </c>
      <c r="B1303" s="15" t="s">
        <v>8528</v>
      </c>
      <c r="C1303" s="16">
        <v>26939.0</v>
      </c>
      <c r="D1303" s="17" t="s">
        <v>8529</v>
      </c>
    </row>
    <row r="1304">
      <c r="A1304" s="14" t="s">
        <v>6353</v>
      </c>
      <c r="B1304" s="15" t="s">
        <v>8530</v>
      </c>
      <c r="C1304" s="16">
        <v>26941.0</v>
      </c>
      <c r="D1304" s="17" t="s">
        <v>8531</v>
      </c>
    </row>
    <row r="1305">
      <c r="A1305" s="14">
        <v>4.0</v>
      </c>
      <c r="B1305" s="15" t="s">
        <v>8532</v>
      </c>
      <c r="C1305" s="16">
        <v>26941.0</v>
      </c>
      <c r="D1305" s="17" t="s">
        <v>8533</v>
      </c>
    </row>
    <row r="1306">
      <c r="A1306" s="14" t="s">
        <v>7676</v>
      </c>
      <c r="B1306" s="15" t="s">
        <v>8534</v>
      </c>
      <c r="C1306" s="16">
        <v>26942.0</v>
      </c>
      <c r="D1306" s="17" t="s">
        <v>8535</v>
      </c>
    </row>
    <row r="1307">
      <c r="A1307" s="14">
        <v>5.0</v>
      </c>
      <c r="B1307" s="15" t="s">
        <v>8536</v>
      </c>
      <c r="C1307" s="16">
        <v>26942.0</v>
      </c>
      <c r="D1307" s="17" t="s">
        <v>8537</v>
      </c>
    </row>
    <row r="1308">
      <c r="A1308" s="14" t="s">
        <v>7676</v>
      </c>
      <c r="B1308" s="15" t="s">
        <v>8538</v>
      </c>
      <c r="C1308" s="16">
        <v>26943.0</v>
      </c>
      <c r="D1308" s="17" t="s">
        <v>8539</v>
      </c>
    </row>
    <row r="1309">
      <c r="A1309" s="14">
        <v>6.0</v>
      </c>
      <c r="B1309" s="15" t="s">
        <v>8540</v>
      </c>
      <c r="C1309" s="16">
        <v>26943.0</v>
      </c>
      <c r="D1309" s="17" t="s">
        <v>8541</v>
      </c>
    </row>
    <row r="1310">
      <c r="A1310" s="14" t="s">
        <v>7676</v>
      </c>
      <c r="B1310" s="15" t="s">
        <v>8542</v>
      </c>
      <c r="C1310" s="16">
        <v>26944.0</v>
      </c>
      <c r="D1310" s="17" t="s">
        <v>8543</v>
      </c>
    </row>
    <row r="1311">
      <c r="A1311" s="14">
        <v>7.0</v>
      </c>
      <c r="B1311" s="15" t="s">
        <v>8544</v>
      </c>
      <c r="C1311" s="16">
        <v>26944.0</v>
      </c>
      <c r="D1311" s="17" t="s">
        <v>8545</v>
      </c>
    </row>
    <row r="1312">
      <c r="A1312" s="14" t="s">
        <v>7676</v>
      </c>
      <c r="B1312" s="15" t="s">
        <v>8546</v>
      </c>
      <c r="C1312" s="16">
        <v>26946.0</v>
      </c>
      <c r="D1312" s="17" t="s">
        <v>8547</v>
      </c>
    </row>
    <row r="1313">
      <c r="A1313" s="14">
        <v>9.0</v>
      </c>
      <c r="B1313" s="15" t="s">
        <v>8548</v>
      </c>
      <c r="C1313" s="16">
        <v>26946.0</v>
      </c>
      <c r="D1313" s="17" t="s">
        <v>8549</v>
      </c>
    </row>
    <row r="1314">
      <c r="A1314" s="14" t="s">
        <v>7676</v>
      </c>
      <c r="B1314" s="15" t="s">
        <v>8550</v>
      </c>
      <c r="C1314" s="16">
        <v>26947.0</v>
      </c>
      <c r="D1314" s="17" t="s">
        <v>8551</v>
      </c>
    </row>
    <row r="1315">
      <c r="A1315" s="14">
        <v>10.0</v>
      </c>
      <c r="B1315" s="15" t="s">
        <v>8552</v>
      </c>
      <c r="C1315" s="16">
        <v>26947.0</v>
      </c>
      <c r="D1315" s="17" t="s">
        <v>8553</v>
      </c>
    </row>
    <row r="1316">
      <c r="A1316" s="14" t="s">
        <v>7676</v>
      </c>
      <c r="B1316" s="15" t="s">
        <v>8554</v>
      </c>
      <c r="C1316" s="16">
        <v>26948.0</v>
      </c>
      <c r="D1316" s="17" t="s">
        <v>8555</v>
      </c>
    </row>
    <row r="1317">
      <c r="A1317" s="14">
        <v>11.0</v>
      </c>
      <c r="B1317" s="15" t="s">
        <v>8556</v>
      </c>
      <c r="C1317" s="16">
        <v>26948.0</v>
      </c>
      <c r="D1317" s="17" t="s">
        <v>8557</v>
      </c>
    </row>
    <row r="1318">
      <c r="A1318" s="14" t="s">
        <v>7676</v>
      </c>
      <c r="B1318" s="15" t="s">
        <v>8558</v>
      </c>
      <c r="C1318" s="16">
        <v>26949.0</v>
      </c>
      <c r="D1318" s="17" t="s">
        <v>8559</v>
      </c>
    </row>
    <row r="1319">
      <c r="A1319" s="14">
        <v>12.0</v>
      </c>
      <c r="B1319" s="15" t="s">
        <v>8560</v>
      </c>
      <c r="C1319" s="16">
        <v>26949.0</v>
      </c>
      <c r="D1319" s="17" t="s">
        <v>8561</v>
      </c>
    </row>
    <row r="1320">
      <c r="A1320" s="14" t="s">
        <v>7676</v>
      </c>
      <c r="B1320" s="15" t="s">
        <v>8562</v>
      </c>
      <c r="C1320" s="16">
        <v>26950.0</v>
      </c>
      <c r="D1320" s="17" t="s">
        <v>8563</v>
      </c>
    </row>
    <row r="1321">
      <c r="A1321" s="14">
        <v>13.0</v>
      </c>
      <c r="B1321" s="15" t="s">
        <v>8564</v>
      </c>
      <c r="C1321" s="16">
        <v>26950.0</v>
      </c>
      <c r="D1321" s="17" t="s">
        <v>8565</v>
      </c>
    </row>
    <row r="1322">
      <c r="A1322" s="14" t="s">
        <v>7676</v>
      </c>
      <c r="B1322" s="15" t="s">
        <v>8566</v>
      </c>
      <c r="C1322" s="16">
        <v>26951.0</v>
      </c>
      <c r="D1322" s="17" t="s">
        <v>8567</v>
      </c>
    </row>
    <row r="1323">
      <c r="A1323" s="14">
        <v>14.0</v>
      </c>
      <c r="B1323" s="15" t="s">
        <v>8568</v>
      </c>
      <c r="C1323" s="16">
        <v>26951.0</v>
      </c>
      <c r="D1323" s="17" t="s">
        <v>8569</v>
      </c>
    </row>
    <row r="1324">
      <c r="A1324" s="14" t="s">
        <v>7676</v>
      </c>
      <c r="B1324" s="15" t="s">
        <v>8570</v>
      </c>
      <c r="C1324" s="16">
        <v>26952.0</v>
      </c>
      <c r="D1324" s="17" t="s">
        <v>8571</v>
      </c>
    </row>
    <row r="1325">
      <c r="A1325" s="14">
        <v>15.0</v>
      </c>
      <c r="B1325" s="15" t="s">
        <v>8572</v>
      </c>
      <c r="C1325" s="16">
        <v>26952.0</v>
      </c>
      <c r="D1325" s="17" t="s">
        <v>8573</v>
      </c>
    </row>
    <row r="1326">
      <c r="A1326" s="14" t="s">
        <v>6057</v>
      </c>
      <c r="B1326" s="15" t="s">
        <v>8574</v>
      </c>
      <c r="C1326" s="16">
        <v>26955.0</v>
      </c>
      <c r="D1326" s="17" t="s">
        <v>8575</v>
      </c>
    </row>
    <row r="1327">
      <c r="A1327" s="14">
        <v>18.0</v>
      </c>
      <c r="B1327" s="15" t="s">
        <v>8576</v>
      </c>
      <c r="C1327" s="16">
        <v>26955.0</v>
      </c>
      <c r="D1327" s="17" t="s">
        <v>8577</v>
      </c>
    </row>
    <row r="1328">
      <c r="A1328" s="14" t="s">
        <v>7676</v>
      </c>
      <c r="B1328" s="15" t="s">
        <v>8578</v>
      </c>
      <c r="C1328" s="16">
        <v>26957.0</v>
      </c>
      <c r="D1328" s="17" t="s">
        <v>8579</v>
      </c>
    </row>
    <row r="1329">
      <c r="A1329" s="14">
        <v>20.0</v>
      </c>
      <c r="B1329" s="15" t="s">
        <v>8580</v>
      </c>
      <c r="C1329" s="16">
        <v>26957.0</v>
      </c>
      <c r="D1329" s="17" t="s">
        <v>8581</v>
      </c>
    </row>
    <row r="1330">
      <c r="A1330" s="14" t="s">
        <v>7676</v>
      </c>
      <c r="B1330" s="15" t="s">
        <v>8582</v>
      </c>
      <c r="C1330" s="16">
        <v>26959.0</v>
      </c>
      <c r="D1330" s="17" t="s">
        <v>8583</v>
      </c>
    </row>
    <row r="1331">
      <c r="A1331" s="14">
        <v>22.0</v>
      </c>
      <c r="B1331" s="15" t="s">
        <v>8584</v>
      </c>
      <c r="C1331" s="16">
        <v>26959.0</v>
      </c>
      <c r="D1331" s="17" t="s">
        <v>8585</v>
      </c>
    </row>
    <row r="1332">
      <c r="A1332" s="14" t="s">
        <v>7676</v>
      </c>
      <c r="B1332" s="15" t="s">
        <v>8586</v>
      </c>
      <c r="C1332" s="16">
        <v>26960.0</v>
      </c>
      <c r="D1332" s="17" t="s">
        <v>8587</v>
      </c>
    </row>
    <row r="1333">
      <c r="A1333" s="14">
        <v>23.0</v>
      </c>
      <c r="B1333" s="15" t="s">
        <v>8588</v>
      </c>
      <c r="C1333" s="16">
        <v>26960.0</v>
      </c>
      <c r="D1333" s="17" t="s">
        <v>8589</v>
      </c>
    </row>
    <row r="1334">
      <c r="A1334" s="14" t="s">
        <v>7676</v>
      </c>
      <c r="B1334" s="15" t="s">
        <v>8590</v>
      </c>
      <c r="C1334" s="16">
        <v>26962.0</v>
      </c>
      <c r="D1334" s="17" t="s">
        <v>8591</v>
      </c>
    </row>
    <row r="1335">
      <c r="A1335" s="14">
        <v>25.0</v>
      </c>
      <c r="B1335" s="15" t="s">
        <v>8592</v>
      </c>
      <c r="C1335" s="16">
        <v>26962.0</v>
      </c>
      <c r="D1335" s="17" t="s">
        <v>8593</v>
      </c>
    </row>
    <row r="1336">
      <c r="A1336" s="14" t="s">
        <v>6353</v>
      </c>
      <c r="B1336" s="15" t="s">
        <v>8594</v>
      </c>
      <c r="C1336" s="16">
        <v>26963.0</v>
      </c>
      <c r="D1336" s="17" t="s">
        <v>8595</v>
      </c>
    </row>
    <row r="1337">
      <c r="A1337" s="14">
        <v>26.0</v>
      </c>
      <c r="B1337" s="15" t="s">
        <v>8596</v>
      </c>
      <c r="C1337" s="16">
        <v>26963.0</v>
      </c>
      <c r="D1337" s="17" t="s">
        <v>8597</v>
      </c>
    </row>
    <row r="1338">
      <c r="A1338" s="14" t="s">
        <v>8598</v>
      </c>
      <c r="B1338" s="15" t="s">
        <v>8599</v>
      </c>
      <c r="C1338" s="16">
        <v>26965.0</v>
      </c>
      <c r="D1338" s="17" t="s">
        <v>8600</v>
      </c>
    </row>
    <row r="1339">
      <c r="A1339" s="14">
        <v>28.0</v>
      </c>
      <c r="B1339" s="15" t="s">
        <v>8601</v>
      </c>
      <c r="C1339" s="16">
        <v>26965.0</v>
      </c>
      <c r="D1339" s="17" t="s">
        <v>8602</v>
      </c>
    </row>
    <row r="1340">
      <c r="A1340" s="14" t="s">
        <v>6353</v>
      </c>
      <c r="B1340" s="15" t="s">
        <v>8603</v>
      </c>
      <c r="C1340" s="16">
        <v>26968.0</v>
      </c>
      <c r="D1340" s="17" t="s">
        <v>8604</v>
      </c>
    </row>
    <row r="1341">
      <c r="A1341" s="14">
        <v>31.0</v>
      </c>
      <c r="B1341" s="15" t="s">
        <v>8605</v>
      </c>
      <c r="C1341" s="16">
        <v>26968.0</v>
      </c>
      <c r="D1341" s="17" t="s">
        <v>8606</v>
      </c>
    </row>
    <row r="1342">
      <c r="A1342" s="14" t="s">
        <v>6353</v>
      </c>
      <c r="B1342" s="15" t="s">
        <v>8607</v>
      </c>
      <c r="C1342" s="16">
        <v>26969.0</v>
      </c>
      <c r="D1342" s="17" t="s">
        <v>8608</v>
      </c>
    </row>
    <row r="1343">
      <c r="A1343" s="14">
        <v>1.0</v>
      </c>
      <c r="B1343" s="15" t="s">
        <v>8609</v>
      </c>
      <c r="C1343" s="16">
        <v>26969.0</v>
      </c>
      <c r="D1343" s="17" t="s">
        <v>8610</v>
      </c>
    </row>
    <row r="1344">
      <c r="A1344" s="14" t="s">
        <v>6353</v>
      </c>
      <c r="B1344" s="15" t="s">
        <v>8611</v>
      </c>
      <c r="C1344" s="16">
        <v>26970.0</v>
      </c>
      <c r="D1344" s="17" t="s">
        <v>8612</v>
      </c>
    </row>
    <row r="1345">
      <c r="A1345" s="14">
        <v>2.0</v>
      </c>
      <c r="B1345" s="15" t="s">
        <v>8613</v>
      </c>
      <c r="C1345" s="16">
        <v>26970.0</v>
      </c>
      <c r="D1345" s="17" t="s">
        <v>8614</v>
      </c>
    </row>
    <row r="1346">
      <c r="A1346" s="14" t="s">
        <v>5986</v>
      </c>
      <c r="B1346" s="15" t="s">
        <v>8615</v>
      </c>
      <c r="C1346" s="16">
        <v>26971.0</v>
      </c>
      <c r="D1346" s="17" t="s">
        <v>8616</v>
      </c>
    </row>
    <row r="1347">
      <c r="A1347" s="14" t="s">
        <v>6353</v>
      </c>
      <c r="B1347" s="15" t="s">
        <v>8617</v>
      </c>
      <c r="C1347" s="16">
        <v>26971.0</v>
      </c>
      <c r="D1347" s="17" t="s">
        <v>8618</v>
      </c>
    </row>
    <row r="1348">
      <c r="A1348" s="14">
        <v>3.0</v>
      </c>
      <c r="B1348" s="15" t="s">
        <v>8619</v>
      </c>
      <c r="C1348" s="16">
        <v>26971.0</v>
      </c>
      <c r="D1348" s="17" t="s">
        <v>8620</v>
      </c>
    </row>
    <row r="1349">
      <c r="A1349" s="14">
        <v>3.0</v>
      </c>
      <c r="B1349" s="15" t="s">
        <v>8621</v>
      </c>
      <c r="C1349" s="16">
        <v>26971.0</v>
      </c>
      <c r="D1349" s="17" t="s">
        <v>8622</v>
      </c>
    </row>
    <row r="1350">
      <c r="A1350" s="14" t="s">
        <v>6487</v>
      </c>
      <c r="B1350" s="15" t="s">
        <v>8623</v>
      </c>
      <c r="C1350" s="16">
        <v>26972.0</v>
      </c>
      <c r="D1350" s="17" t="s">
        <v>8624</v>
      </c>
    </row>
    <row r="1351">
      <c r="A1351" s="14">
        <v>4.0</v>
      </c>
      <c r="B1351" s="15" t="s">
        <v>8625</v>
      </c>
      <c r="C1351" s="16">
        <v>26972.0</v>
      </c>
      <c r="D1351" s="17" t="s">
        <v>8626</v>
      </c>
    </row>
    <row r="1352">
      <c r="A1352" s="14" t="s">
        <v>6487</v>
      </c>
      <c r="B1352" s="15" t="s">
        <v>8627</v>
      </c>
      <c r="C1352" s="16">
        <v>26974.0</v>
      </c>
      <c r="D1352" s="17" t="s">
        <v>8628</v>
      </c>
    </row>
    <row r="1353">
      <c r="A1353" s="14">
        <v>6.0</v>
      </c>
      <c r="B1353" s="15" t="s">
        <v>8629</v>
      </c>
      <c r="C1353" s="16">
        <v>26974.0</v>
      </c>
      <c r="D1353" s="17" t="s">
        <v>8630</v>
      </c>
    </row>
    <row r="1354">
      <c r="A1354" s="14" t="s">
        <v>6487</v>
      </c>
      <c r="B1354" s="15" t="s">
        <v>8631</v>
      </c>
      <c r="C1354" s="16">
        <v>26975.0</v>
      </c>
      <c r="D1354" s="17" t="s">
        <v>8632</v>
      </c>
    </row>
    <row r="1355">
      <c r="A1355" s="14">
        <v>7.0</v>
      </c>
      <c r="B1355" s="15" t="s">
        <v>8633</v>
      </c>
      <c r="C1355" s="16">
        <v>26975.0</v>
      </c>
      <c r="D1355" s="17" t="s">
        <v>8634</v>
      </c>
    </row>
    <row r="1356">
      <c r="A1356" s="14" t="s">
        <v>6487</v>
      </c>
      <c r="B1356" s="15" t="s">
        <v>8635</v>
      </c>
      <c r="C1356" s="16">
        <v>26976.0</v>
      </c>
      <c r="D1356" s="17" t="s">
        <v>8636</v>
      </c>
    </row>
    <row r="1357">
      <c r="A1357" s="14">
        <v>8.0</v>
      </c>
      <c r="B1357" s="15" t="s">
        <v>8637</v>
      </c>
      <c r="C1357" s="16">
        <v>26976.0</v>
      </c>
      <c r="D1357" s="17" t="s">
        <v>8638</v>
      </c>
    </row>
    <row r="1358">
      <c r="A1358" s="14" t="s">
        <v>6057</v>
      </c>
      <c r="B1358" s="15" t="s">
        <v>8639</v>
      </c>
      <c r="C1358" s="16">
        <v>26978.0</v>
      </c>
      <c r="D1358" s="17" t="s">
        <v>8640</v>
      </c>
    </row>
    <row r="1359">
      <c r="A1359" s="14">
        <v>10.0</v>
      </c>
      <c r="B1359" s="15" t="s">
        <v>8641</v>
      </c>
      <c r="C1359" s="16">
        <v>26978.0</v>
      </c>
      <c r="D1359" s="17" t="s">
        <v>8642</v>
      </c>
    </row>
    <row r="1360">
      <c r="A1360" s="14" t="s">
        <v>5932</v>
      </c>
      <c r="B1360" s="15" t="s">
        <v>8643</v>
      </c>
      <c r="C1360" s="16">
        <v>26979.0</v>
      </c>
      <c r="D1360" s="17" t="s">
        <v>8644</v>
      </c>
    </row>
    <row r="1361">
      <c r="A1361" s="14">
        <v>11.0</v>
      </c>
      <c r="B1361" s="15" t="s">
        <v>8645</v>
      </c>
      <c r="C1361" s="16">
        <v>26979.0</v>
      </c>
      <c r="D1361" s="17" t="s">
        <v>8646</v>
      </c>
    </row>
    <row r="1362">
      <c r="A1362" s="14" t="s">
        <v>5932</v>
      </c>
      <c r="B1362" s="15" t="s">
        <v>8647</v>
      </c>
      <c r="C1362" s="16">
        <v>26980.0</v>
      </c>
      <c r="D1362" s="17" t="s">
        <v>8648</v>
      </c>
    </row>
    <row r="1363">
      <c r="A1363" s="14">
        <v>12.0</v>
      </c>
      <c r="B1363" s="15" t="s">
        <v>8649</v>
      </c>
      <c r="C1363" s="16">
        <v>26980.0</v>
      </c>
      <c r="D1363" s="17" t="s">
        <v>8650</v>
      </c>
    </row>
    <row r="1364">
      <c r="A1364" s="14" t="s">
        <v>5932</v>
      </c>
      <c r="B1364" s="15" t="s">
        <v>8651</v>
      </c>
      <c r="C1364" s="16">
        <v>26981.0</v>
      </c>
      <c r="D1364" s="17" t="s">
        <v>8652</v>
      </c>
    </row>
    <row r="1365">
      <c r="A1365" s="14">
        <v>13.0</v>
      </c>
      <c r="B1365" s="15" t="s">
        <v>8653</v>
      </c>
      <c r="C1365" s="16">
        <v>26981.0</v>
      </c>
      <c r="D1365" s="17" t="s">
        <v>8654</v>
      </c>
    </row>
    <row r="1366">
      <c r="A1366" s="14" t="s">
        <v>5932</v>
      </c>
      <c r="B1366" s="15" t="s">
        <v>8655</v>
      </c>
      <c r="C1366" s="16">
        <v>26982.0</v>
      </c>
      <c r="D1366" s="17" t="s">
        <v>8656</v>
      </c>
    </row>
    <row r="1367">
      <c r="A1367" s="14">
        <v>14.0</v>
      </c>
      <c r="B1367" s="15" t="s">
        <v>8657</v>
      </c>
      <c r="C1367" s="16">
        <v>26982.0</v>
      </c>
      <c r="D1367" s="17" t="s">
        <v>8658</v>
      </c>
    </row>
    <row r="1368">
      <c r="A1368" s="14" t="s">
        <v>5932</v>
      </c>
      <c r="B1368" s="15" t="s">
        <v>8659</v>
      </c>
      <c r="C1368" s="16">
        <v>26984.0</v>
      </c>
      <c r="D1368" s="17" t="s">
        <v>8660</v>
      </c>
    </row>
    <row r="1369">
      <c r="A1369" s="14">
        <v>16.0</v>
      </c>
      <c r="B1369" s="15" t="s">
        <v>8661</v>
      </c>
      <c r="C1369" s="16">
        <v>26984.0</v>
      </c>
      <c r="D1369" s="17" t="s">
        <v>8662</v>
      </c>
    </row>
    <row r="1370">
      <c r="A1370" s="14" t="s">
        <v>5932</v>
      </c>
      <c r="B1370" s="15" t="s">
        <v>8663</v>
      </c>
      <c r="C1370" s="16">
        <v>26986.0</v>
      </c>
      <c r="D1370" s="17" t="s">
        <v>8664</v>
      </c>
    </row>
    <row r="1371">
      <c r="A1371" s="14">
        <v>18.0</v>
      </c>
      <c r="B1371" s="15" t="s">
        <v>8665</v>
      </c>
      <c r="C1371" s="16">
        <v>26986.0</v>
      </c>
      <c r="D1371" s="17" t="s">
        <v>8666</v>
      </c>
    </row>
    <row r="1372">
      <c r="A1372" s="14" t="s">
        <v>5932</v>
      </c>
      <c r="B1372" s="15" t="s">
        <v>8667</v>
      </c>
      <c r="C1372" s="16">
        <v>26993.0</v>
      </c>
      <c r="D1372" s="17" t="s">
        <v>8668</v>
      </c>
    </row>
    <row r="1373">
      <c r="A1373" s="14">
        <v>25.0</v>
      </c>
      <c r="B1373" s="15" t="s">
        <v>8669</v>
      </c>
      <c r="C1373" s="16">
        <v>26993.0</v>
      </c>
      <c r="D1373" s="17" t="s">
        <v>8670</v>
      </c>
    </row>
    <row r="1374">
      <c r="A1374" s="14" t="s">
        <v>5932</v>
      </c>
      <c r="B1374" s="15" t="s">
        <v>8671</v>
      </c>
      <c r="C1374" s="16">
        <v>26997.0</v>
      </c>
      <c r="D1374" s="17" t="s">
        <v>8672</v>
      </c>
    </row>
    <row r="1375">
      <c r="A1375" s="14">
        <v>29.0</v>
      </c>
      <c r="B1375" s="15" t="s">
        <v>8673</v>
      </c>
      <c r="C1375" s="16">
        <v>26997.0</v>
      </c>
      <c r="D1375" s="17" t="s">
        <v>8674</v>
      </c>
    </row>
    <row r="1376">
      <c r="A1376" s="14" t="s">
        <v>5932</v>
      </c>
      <c r="B1376" s="15" t="s">
        <v>8675</v>
      </c>
      <c r="C1376" s="16">
        <v>26998.0</v>
      </c>
      <c r="D1376" s="17" t="s">
        <v>8676</v>
      </c>
    </row>
    <row r="1377">
      <c r="A1377" s="14">
        <v>30.0</v>
      </c>
      <c r="B1377" s="15" t="s">
        <v>8677</v>
      </c>
      <c r="C1377" s="16">
        <v>26998.0</v>
      </c>
      <c r="D1377" s="17" t="s">
        <v>8678</v>
      </c>
    </row>
    <row r="1378">
      <c r="A1378" s="14" t="s">
        <v>5932</v>
      </c>
      <c r="B1378" s="15" t="s">
        <v>8679</v>
      </c>
      <c r="C1378" s="16">
        <v>26999.0</v>
      </c>
      <c r="D1378" s="17" t="s">
        <v>8680</v>
      </c>
    </row>
    <row r="1379">
      <c r="A1379" s="14">
        <v>1.0</v>
      </c>
      <c r="B1379" s="15" t="s">
        <v>8681</v>
      </c>
      <c r="C1379" s="16">
        <v>26999.0</v>
      </c>
      <c r="D1379" s="17" t="s">
        <v>8682</v>
      </c>
    </row>
    <row r="1380">
      <c r="A1380" s="14" t="s">
        <v>6374</v>
      </c>
      <c r="B1380" s="15" t="s">
        <v>8683</v>
      </c>
      <c r="C1380" s="16">
        <v>27000.0</v>
      </c>
      <c r="D1380" s="17" t="s">
        <v>8684</v>
      </c>
    </row>
    <row r="1381">
      <c r="A1381" s="14" t="s">
        <v>5932</v>
      </c>
      <c r="B1381" s="15" t="s">
        <v>8685</v>
      </c>
      <c r="C1381" s="16">
        <v>27000.0</v>
      </c>
      <c r="D1381" s="17" t="s">
        <v>8686</v>
      </c>
    </row>
    <row r="1382">
      <c r="A1382" s="14">
        <v>2.0</v>
      </c>
      <c r="B1382" s="15" t="s">
        <v>8687</v>
      </c>
      <c r="C1382" s="16">
        <v>27000.0</v>
      </c>
      <c r="D1382" s="17" t="s">
        <v>8688</v>
      </c>
    </row>
    <row r="1383">
      <c r="A1383" s="14">
        <v>2.0</v>
      </c>
      <c r="B1383" s="15" t="s">
        <v>8689</v>
      </c>
      <c r="C1383" s="16">
        <v>27000.0</v>
      </c>
      <c r="D1383" s="17" t="s">
        <v>8690</v>
      </c>
    </row>
    <row r="1384">
      <c r="A1384" s="14" t="s">
        <v>6374</v>
      </c>
      <c r="B1384" s="15" t="s">
        <v>8691</v>
      </c>
      <c r="C1384" s="16">
        <v>27001.0</v>
      </c>
      <c r="D1384" s="17" t="s">
        <v>8692</v>
      </c>
    </row>
    <row r="1385">
      <c r="A1385" s="14" t="s">
        <v>5932</v>
      </c>
      <c r="B1385" s="15" t="s">
        <v>8693</v>
      </c>
      <c r="C1385" s="16">
        <v>27001.0</v>
      </c>
      <c r="D1385" s="17" t="s">
        <v>8694</v>
      </c>
    </row>
    <row r="1386">
      <c r="A1386" s="14">
        <v>3.0</v>
      </c>
      <c r="B1386" s="15" t="s">
        <v>8695</v>
      </c>
      <c r="C1386" s="16">
        <v>27001.0</v>
      </c>
      <c r="D1386" s="17" t="s">
        <v>8696</v>
      </c>
    </row>
    <row r="1387">
      <c r="A1387" s="14">
        <v>3.0</v>
      </c>
      <c r="B1387" s="15" t="s">
        <v>8697</v>
      </c>
      <c r="C1387" s="16">
        <v>27001.0</v>
      </c>
      <c r="D1387" s="17" t="s">
        <v>8698</v>
      </c>
    </row>
    <row r="1388">
      <c r="A1388" s="14" t="s">
        <v>6374</v>
      </c>
      <c r="B1388" s="15" t="s">
        <v>8699</v>
      </c>
      <c r="C1388" s="16">
        <v>27002.0</v>
      </c>
      <c r="D1388" s="17" t="s">
        <v>8700</v>
      </c>
    </row>
    <row r="1389">
      <c r="A1389" s="14" t="s">
        <v>5932</v>
      </c>
      <c r="B1389" s="15" t="s">
        <v>8701</v>
      </c>
      <c r="C1389" s="16">
        <v>27002.0</v>
      </c>
      <c r="D1389" s="17" t="s">
        <v>8702</v>
      </c>
    </row>
    <row r="1390">
      <c r="A1390" s="14">
        <v>4.0</v>
      </c>
      <c r="B1390" s="15" t="s">
        <v>8703</v>
      </c>
      <c r="C1390" s="16">
        <v>27002.0</v>
      </c>
      <c r="D1390" s="17" t="s">
        <v>8704</v>
      </c>
    </row>
    <row r="1391">
      <c r="A1391" s="14">
        <v>4.0</v>
      </c>
      <c r="B1391" s="15" t="s">
        <v>8705</v>
      </c>
      <c r="C1391" s="16">
        <v>27002.0</v>
      </c>
      <c r="D1391" s="17" t="s">
        <v>8706</v>
      </c>
    </row>
    <row r="1392">
      <c r="A1392" s="14" t="s">
        <v>6374</v>
      </c>
      <c r="B1392" s="15" t="s">
        <v>8707</v>
      </c>
      <c r="C1392" s="16">
        <v>27003.0</v>
      </c>
      <c r="D1392" s="17" t="s">
        <v>8708</v>
      </c>
    </row>
    <row r="1393">
      <c r="A1393" s="14" t="s">
        <v>6374</v>
      </c>
      <c r="B1393" s="15" t="s">
        <v>8709</v>
      </c>
      <c r="C1393" s="16">
        <v>27003.0</v>
      </c>
      <c r="D1393" s="17" t="s">
        <v>8710</v>
      </c>
    </row>
    <row r="1394">
      <c r="A1394" s="14" t="s">
        <v>5932</v>
      </c>
      <c r="B1394" s="15" t="s">
        <v>8711</v>
      </c>
      <c r="C1394" s="16">
        <v>27003.0</v>
      </c>
      <c r="D1394" s="17" t="s">
        <v>8712</v>
      </c>
    </row>
    <row r="1395">
      <c r="A1395" s="14" t="s">
        <v>5932</v>
      </c>
      <c r="B1395" s="15" t="s">
        <v>8713</v>
      </c>
      <c r="C1395" s="16">
        <v>27003.0</v>
      </c>
      <c r="D1395" s="17" t="s">
        <v>8714</v>
      </c>
    </row>
    <row r="1396">
      <c r="A1396" s="14">
        <v>5.0</v>
      </c>
      <c r="B1396" s="15" t="s">
        <v>8715</v>
      </c>
      <c r="C1396" s="16">
        <v>27003.0</v>
      </c>
      <c r="D1396" s="17" t="s">
        <v>8716</v>
      </c>
    </row>
    <row r="1397">
      <c r="A1397" s="14">
        <v>5.0</v>
      </c>
      <c r="B1397" s="15" t="s">
        <v>8717</v>
      </c>
      <c r="C1397" s="16">
        <v>27003.0</v>
      </c>
      <c r="D1397" s="17" t="s">
        <v>8718</v>
      </c>
    </row>
    <row r="1398">
      <c r="A1398" s="14">
        <v>5.0</v>
      </c>
      <c r="B1398" s="15" t="s">
        <v>8719</v>
      </c>
      <c r="C1398" s="16">
        <v>27003.0</v>
      </c>
      <c r="D1398" s="17" t="s">
        <v>8720</v>
      </c>
    </row>
    <row r="1399">
      <c r="A1399" s="14">
        <v>5.0</v>
      </c>
      <c r="B1399" s="15" t="s">
        <v>8721</v>
      </c>
      <c r="C1399" s="16">
        <v>27003.0</v>
      </c>
      <c r="D1399" s="17" t="s">
        <v>8722</v>
      </c>
    </row>
    <row r="1400">
      <c r="A1400" s="14" t="s">
        <v>5932</v>
      </c>
      <c r="B1400" s="15" t="s">
        <v>8723</v>
      </c>
      <c r="C1400" s="16">
        <v>27004.0</v>
      </c>
      <c r="D1400" s="17" t="s">
        <v>8724</v>
      </c>
    </row>
    <row r="1401">
      <c r="A1401" s="14">
        <v>6.0</v>
      </c>
      <c r="B1401" s="15" t="s">
        <v>8725</v>
      </c>
      <c r="C1401" s="16">
        <v>27004.0</v>
      </c>
      <c r="D1401" s="17" t="s">
        <v>8726</v>
      </c>
    </row>
    <row r="1402">
      <c r="A1402" s="14" t="s">
        <v>6374</v>
      </c>
      <c r="B1402" s="15" t="s">
        <v>8727</v>
      </c>
      <c r="C1402" s="16">
        <v>27005.0</v>
      </c>
      <c r="D1402" s="17" t="s">
        <v>8728</v>
      </c>
    </row>
    <row r="1403">
      <c r="A1403" s="14" t="s">
        <v>5932</v>
      </c>
      <c r="B1403" s="15" t="s">
        <v>8729</v>
      </c>
      <c r="C1403" s="16">
        <v>27005.0</v>
      </c>
      <c r="D1403" s="17" t="s">
        <v>8730</v>
      </c>
    </row>
    <row r="1404">
      <c r="A1404" s="14">
        <v>7.0</v>
      </c>
      <c r="B1404" s="15" t="s">
        <v>8731</v>
      </c>
      <c r="C1404" s="16">
        <v>27005.0</v>
      </c>
      <c r="D1404" s="17" t="s">
        <v>8732</v>
      </c>
    </row>
    <row r="1405">
      <c r="A1405" s="14">
        <v>7.0</v>
      </c>
      <c r="B1405" s="15" t="s">
        <v>8733</v>
      </c>
      <c r="C1405" s="16">
        <v>27005.0</v>
      </c>
      <c r="D1405" s="17" t="s">
        <v>8734</v>
      </c>
    </row>
    <row r="1406">
      <c r="A1406" s="14" t="s">
        <v>5932</v>
      </c>
      <c r="B1406" s="15" t="s">
        <v>8735</v>
      </c>
      <c r="C1406" s="16">
        <v>27006.0</v>
      </c>
      <c r="D1406" s="17" t="s">
        <v>8736</v>
      </c>
    </row>
    <row r="1407">
      <c r="A1407" s="14">
        <v>8.0</v>
      </c>
      <c r="B1407" s="15" t="s">
        <v>8737</v>
      </c>
      <c r="C1407" s="16">
        <v>27006.0</v>
      </c>
      <c r="D1407" s="17" t="s">
        <v>8738</v>
      </c>
    </row>
    <row r="1408">
      <c r="A1408" s="14" t="s">
        <v>6353</v>
      </c>
      <c r="B1408" s="15" t="s">
        <v>8739</v>
      </c>
      <c r="C1408" s="16">
        <v>27007.0</v>
      </c>
      <c r="D1408" s="17" t="s">
        <v>8740</v>
      </c>
    </row>
    <row r="1409">
      <c r="A1409" s="14" t="s">
        <v>5932</v>
      </c>
      <c r="B1409" s="15" t="s">
        <v>8741</v>
      </c>
      <c r="C1409" s="16">
        <v>27007.0</v>
      </c>
      <c r="D1409" s="17" t="s">
        <v>8742</v>
      </c>
    </row>
    <row r="1410">
      <c r="A1410" s="14">
        <v>9.0</v>
      </c>
      <c r="B1410" s="15" t="s">
        <v>8743</v>
      </c>
      <c r="C1410" s="16">
        <v>27007.0</v>
      </c>
      <c r="D1410" s="17" t="s">
        <v>8744</v>
      </c>
    </row>
    <row r="1411">
      <c r="A1411" s="14">
        <v>9.0</v>
      </c>
      <c r="B1411" s="15" t="s">
        <v>8745</v>
      </c>
      <c r="C1411" s="16">
        <v>27007.0</v>
      </c>
      <c r="D1411" s="17" t="s">
        <v>8746</v>
      </c>
    </row>
    <row r="1412">
      <c r="A1412" s="14" t="s">
        <v>6374</v>
      </c>
      <c r="B1412" s="15" t="s">
        <v>8747</v>
      </c>
      <c r="C1412" s="16">
        <v>27009.0</v>
      </c>
      <c r="D1412" s="17" t="s">
        <v>8748</v>
      </c>
    </row>
    <row r="1413">
      <c r="A1413" s="14" t="s">
        <v>5932</v>
      </c>
      <c r="B1413" s="15" t="s">
        <v>8749</v>
      </c>
      <c r="C1413" s="16">
        <v>27009.0</v>
      </c>
      <c r="D1413" s="17" t="s">
        <v>8750</v>
      </c>
    </row>
    <row r="1414">
      <c r="A1414" s="14">
        <v>11.0</v>
      </c>
      <c r="B1414" s="15" t="s">
        <v>8751</v>
      </c>
      <c r="C1414" s="16">
        <v>27009.0</v>
      </c>
      <c r="D1414" s="17" t="s">
        <v>8752</v>
      </c>
    </row>
    <row r="1415">
      <c r="A1415" s="14">
        <v>11.0</v>
      </c>
      <c r="B1415" s="15" t="s">
        <v>8753</v>
      </c>
      <c r="C1415" s="16">
        <v>27009.0</v>
      </c>
      <c r="D1415" s="17" t="s">
        <v>8754</v>
      </c>
    </row>
    <row r="1416">
      <c r="A1416" s="14" t="s">
        <v>5932</v>
      </c>
      <c r="B1416" s="15" t="s">
        <v>8755</v>
      </c>
      <c r="C1416" s="16">
        <v>27010.0</v>
      </c>
      <c r="D1416" s="17" t="s">
        <v>8756</v>
      </c>
    </row>
    <row r="1417">
      <c r="A1417" s="14">
        <v>12.0</v>
      </c>
      <c r="B1417" s="15" t="s">
        <v>8757</v>
      </c>
      <c r="C1417" s="16">
        <v>27010.0</v>
      </c>
      <c r="D1417" s="17" t="s">
        <v>8758</v>
      </c>
    </row>
    <row r="1418">
      <c r="A1418" s="14" t="s">
        <v>6087</v>
      </c>
      <c r="B1418" s="15" t="s">
        <v>8759</v>
      </c>
      <c r="C1418" s="16">
        <v>27011.0</v>
      </c>
      <c r="D1418" s="17" t="s">
        <v>8760</v>
      </c>
    </row>
    <row r="1419">
      <c r="A1419" s="14" t="s">
        <v>6087</v>
      </c>
      <c r="B1419" s="15" t="s">
        <v>8761</v>
      </c>
      <c r="C1419" s="16">
        <v>27011.0</v>
      </c>
      <c r="D1419" s="17" t="s">
        <v>8762</v>
      </c>
    </row>
    <row r="1420">
      <c r="A1420" s="14" t="s">
        <v>6374</v>
      </c>
      <c r="B1420" s="15" t="s">
        <v>8763</v>
      </c>
      <c r="C1420" s="16">
        <v>27011.0</v>
      </c>
      <c r="D1420" s="17" t="s">
        <v>8764</v>
      </c>
    </row>
    <row r="1421">
      <c r="A1421" s="14" t="s">
        <v>5932</v>
      </c>
      <c r="B1421" s="15" t="s">
        <v>8765</v>
      </c>
      <c r="C1421" s="16">
        <v>27011.0</v>
      </c>
      <c r="D1421" s="17" t="s">
        <v>8766</v>
      </c>
    </row>
    <row r="1422">
      <c r="A1422" s="14">
        <v>13.0</v>
      </c>
      <c r="B1422" s="15" t="s">
        <v>8767</v>
      </c>
      <c r="C1422" s="16">
        <v>27011.0</v>
      </c>
      <c r="D1422" s="17" t="s">
        <v>8768</v>
      </c>
    </row>
    <row r="1423">
      <c r="A1423" s="14">
        <v>13.0</v>
      </c>
      <c r="B1423" s="15" t="s">
        <v>8769</v>
      </c>
      <c r="C1423" s="16">
        <v>27011.0</v>
      </c>
      <c r="D1423" s="17" t="s">
        <v>8770</v>
      </c>
    </row>
    <row r="1424">
      <c r="A1424" s="14">
        <v>13.0</v>
      </c>
      <c r="B1424" s="15" t="s">
        <v>8771</v>
      </c>
      <c r="C1424" s="16">
        <v>27011.0</v>
      </c>
      <c r="D1424" s="17" t="s">
        <v>8772</v>
      </c>
    </row>
    <row r="1425">
      <c r="A1425" s="14">
        <v>13.0</v>
      </c>
      <c r="B1425" s="15" t="s">
        <v>8773</v>
      </c>
      <c r="C1425" s="16">
        <v>27011.0</v>
      </c>
      <c r="D1425" s="17" t="s">
        <v>8774</v>
      </c>
    </row>
    <row r="1426">
      <c r="A1426" s="14" t="s">
        <v>6374</v>
      </c>
      <c r="B1426" s="15" t="s">
        <v>8775</v>
      </c>
      <c r="C1426" s="16">
        <v>27012.0</v>
      </c>
      <c r="D1426" s="17" t="s">
        <v>8776</v>
      </c>
    </row>
    <row r="1427">
      <c r="A1427" s="14" t="s">
        <v>5932</v>
      </c>
      <c r="B1427" s="15" t="s">
        <v>8777</v>
      </c>
      <c r="C1427" s="16">
        <v>27012.0</v>
      </c>
      <c r="D1427" s="17" t="s">
        <v>8778</v>
      </c>
    </row>
    <row r="1428">
      <c r="A1428" s="14">
        <v>14.0</v>
      </c>
      <c r="B1428" s="15" t="s">
        <v>8779</v>
      </c>
      <c r="C1428" s="16">
        <v>27012.0</v>
      </c>
      <c r="D1428" s="17" t="s">
        <v>8780</v>
      </c>
    </row>
    <row r="1429">
      <c r="A1429" s="14">
        <v>14.0</v>
      </c>
      <c r="B1429" s="15" t="s">
        <v>8781</v>
      </c>
      <c r="C1429" s="16">
        <v>27012.0</v>
      </c>
      <c r="D1429" s="17" t="s">
        <v>8782</v>
      </c>
    </row>
    <row r="1430">
      <c r="A1430" s="14" t="s">
        <v>6374</v>
      </c>
      <c r="B1430" s="15" t="s">
        <v>8783</v>
      </c>
      <c r="C1430" s="16">
        <v>27013.0</v>
      </c>
      <c r="D1430" s="17" t="s">
        <v>8784</v>
      </c>
    </row>
    <row r="1431">
      <c r="A1431" s="14" t="s">
        <v>5932</v>
      </c>
      <c r="B1431" s="15" t="s">
        <v>8785</v>
      </c>
      <c r="C1431" s="16">
        <v>27013.0</v>
      </c>
      <c r="D1431" s="17" t="s">
        <v>8786</v>
      </c>
    </row>
    <row r="1432">
      <c r="A1432" s="14">
        <v>15.0</v>
      </c>
      <c r="B1432" s="15" t="s">
        <v>8787</v>
      </c>
      <c r="C1432" s="16">
        <v>27013.0</v>
      </c>
      <c r="D1432" s="17" t="s">
        <v>8788</v>
      </c>
    </row>
    <row r="1433">
      <c r="A1433" s="14">
        <v>15.0</v>
      </c>
      <c r="B1433" s="15" t="s">
        <v>8789</v>
      </c>
      <c r="C1433" s="16">
        <v>27013.0</v>
      </c>
      <c r="D1433" s="17" t="s">
        <v>8790</v>
      </c>
    </row>
    <row r="1434">
      <c r="A1434" s="14" t="s">
        <v>6374</v>
      </c>
      <c r="B1434" s="15" t="s">
        <v>8791</v>
      </c>
      <c r="C1434" s="16">
        <v>27014.0</v>
      </c>
      <c r="D1434" s="17" t="s">
        <v>8792</v>
      </c>
    </row>
    <row r="1435">
      <c r="A1435" s="14" t="s">
        <v>5932</v>
      </c>
      <c r="B1435" s="15" t="s">
        <v>8793</v>
      </c>
      <c r="C1435" s="16">
        <v>27014.0</v>
      </c>
      <c r="D1435" s="17" t="s">
        <v>8794</v>
      </c>
    </row>
    <row r="1436">
      <c r="A1436" s="14">
        <v>16.0</v>
      </c>
      <c r="B1436" s="15" t="s">
        <v>8795</v>
      </c>
      <c r="C1436" s="16">
        <v>27014.0</v>
      </c>
      <c r="D1436" s="17" t="s">
        <v>8796</v>
      </c>
    </row>
    <row r="1437">
      <c r="A1437" s="14">
        <v>16.0</v>
      </c>
      <c r="B1437" s="15" t="s">
        <v>8797</v>
      </c>
      <c r="C1437" s="16">
        <v>27014.0</v>
      </c>
      <c r="D1437" s="17" t="s">
        <v>8798</v>
      </c>
    </row>
    <row r="1438">
      <c r="A1438" s="14" t="s">
        <v>6374</v>
      </c>
      <c r="B1438" s="15" t="s">
        <v>8799</v>
      </c>
      <c r="C1438" s="16">
        <v>27015.0</v>
      </c>
      <c r="D1438" s="17" t="s">
        <v>8800</v>
      </c>
    </row>
    <row r="1439">
      <c r="A1439" s="14" t="s">
        <v>5932</v>
      </c>
      <c r="B1439" s="15" t="s">
        <v>8801</v>
      </c>
      <c r="C1439" s="16">
        <v>27015.0</v>
      </c>
      <c r="D1439" s="17" t="s">
        <v>8802</v>
      </c>
    </row>
    <row r="1440">
      <c r="A1440" s="14">
        <v>17.0</v>
      </c>
      <c r="B1440" s="15" t="s">
        <v>8803</v>
      </c>
      <c r="C1440" s="16">
        <v>27015.0</v>
      </c>
      <c r="D1440" s="17" t="s">
        <v>8804</v>
      </c>
    </row>
    <row r="1441">
      <c r="A1441" s="14">
        <v>17.0</v>
      </c>
      <c r="B1441" s="15" t="s">
        <v>8805</v>
      </c>
      <c r="C1441" s="16">
        <v>27015.0</v>
      </c>
      <c r="D1441" s="17" t="s">
        <v>8806</v>
      </c>
    </row>
    <row r="1442">
      <c r="A1442" s="14" t="s">
        <v>6374</v>
      </c>
      <c r="B1442" s="15" t="s">
        <v>8807</v>
      </c>
      <c r="C1442" s="16">
        <v>27016.0</v>
      </c>
      <c r="D1442" s="17" t="s">
        <v>8808</v>
      </c>
    </row>
    <row r="1443">
      <c r="A1443" s="14" t="s">
        <v>5932</v>
      </c>
      <c r="B1443" s="15" t="s">
        <v>8809</v>
      </c>
      <c r="C1443" s="16">
        <v>27016.0</v>
      </c>
      <c r="D1443" s="17" t="s">
        <v>8810</v>
      </c>
    </row>
    <row r="1444">
      <c r="A1444" s="14">
        <v>18.0</v>
      </c>
      <c r="B1444" s="15" t="s">
        <v>8811</v>
      </c>
      <c r="C1444" s="16">
        <v>27016.0</v>
      </c>
      <c r="D1444" s="17" t="s">
        <v>8812</v>
      </c>
    </row>
    <row r="1445">
      <c r="A1445" s="14">
        <v>18.0</v>
      </c>
      <c r="B1445" s="15" t="s">
        <v>8813</v>
      </c>
      <c r="C1445" s="16">
        <v>27016.0</v>
      </c>
      <c r="D1445" s="17" t="s">
        <v>8814</v>
      </c>
    </row>
    <row r="1446">
      <c r="A1446" s="14" t="s">
        <v>5932</v>
      </c>
      <c r="B1446" s="15" t="s">
        <v>8815</v>
      </c>
      <c r="C1446" s="16">
        <v>27017.0</v>
      </c>
      <c r="D1446" s="17" t="s">
        <v>8816</v>
      </c>
    </row>
    <row r="1447">
      <c r="A1447" s="14">
        <v>19.0</v>
      </c>
      <c r="B1447" s="15" t="s">
        <v>8817</v>
      </c>
      <c r="C1447" s="16">
        <v>27017.0</v>
      </c>
      <c r="D1447" s="17" t="s">
        <v>8818</v>
      </c>
    </row>
    <row r="1448">
      <c r="A1448" s="14" t="s">
        <v>5932</v>
      </c>
      <c r="B1448" s="15" t="s">
        <v>8819</v>
      </c>
      <c r="C1448" s="16">
        <v>27018.0</v>
      </c>
      <c r="D1448" s="17" t="s">
        <v>8820</v>
      </c>
    </row>
    <row r="1449">
      <c r="A1449" s="14">
        <v>20.0</v>
      </c>
      <c r="B1449" s="15" t="s">
        <v>8821</v>
      </c>
      <c r="C1449" s="16">
        <v>27018.0</v>
      </c>
      <c r="D1449" s="17" t="s">
        <v>8822</v>
      </c>
    </row>
    <row r="1450">
      <c r="A1450" s="14" t="s">
        <v>5932</v>
      </c>
      <c r="B1450" s="15" t="s">
        <v>8823</v>
      </c>
      <c r="C1450" s="16">
        <v>27020.0</v>
      </c>
      <c r="D1450" s="17" t="s">
        <v>8824</v>
      </c>
    </row>
    <row r="1451">
      <c r="A1451" s="14">
        <v>22.0</v>
      </c>
      <c r="B1451" s="15" t="s">
        <v>8825</v>
      </c>
      <c r="C1451" s="16">
        <v>27020.0</v>
      </c>
      <c r="D1451" s="17" t="s">
        <v>8826</v>
      </c>
    </row>
    <row r="1452">
      <c r="A1452" s="14" t="s">
        <v>5932</v>
      </c>
      <c r="B1452" s="15" t="s">
        <v>8827</v>
      </c>
      <c r="C1452" s="16">
        <v>27021.0</v>
      </c>
      <c r="D1452" s="17" t="s">
        <v>8828</v>
      </c>
    </row>
    <row r="1453">
      <c r="A1453" s="14">
        <v>23.0</v>
      </c>
      <c r="B1453" s="15" t="s">
        <v>8829</v>
      </c>
      <c r="C1453" s="16">
        <v>27021.0</v>
      </c>
      <c r="D1453" s="17" t="s">
        <v>8830</v>
      </c>
    </row>
    <row r="1454">
      <c r="A1454" s="14" t="s">
        <v>5932</v>
      </c>
      <c r="B1454" s="15" t="s">
        <v>8831</v>
      </c>
      <c r="C1454" s="16">
        <v>27022.0</v>
      </c>
      <c r="D1454" s="17" t="s">
        <v>8832</v>
      </c>
    </row>
    <row r="1455">
      <c r="A1455" s="14">
        <v>24.0</v>
      </c>
      <c r="B1455" s="15" t="s">
        <v>8833</v>
      </c>
      <c r="C1455" s="16">
        <v>27022.0</v>
      </c>
      <c r="D1455" s="17" t="s">
        <v>8834</v>
      </c>
    </row>
    <row r="1456">
      <c r="A1456" s="14" t="s">
        <v>5932</v>
      </c>
      <c r="B1456" s="15" t="s">
        <v>8835</v>
      </c>
      <c r="C1456" s="16">
        <v>27023.0</v>
      </c>
      <c r="D1456" s="17" t="s">
        <v>8836</v>
      </c>
    </row>
    <row r="1457">
      <c r="A1457" s="14">
        <v>25.0</v>
      </c>
      <c r="B1457" s="15" t="s">
        <v>8837</v>
      </c>
      <c r="C1457" s="16">
        <v>27023.0</v>
      </c>
      <c r="D1457" s="17" t="s">
        <v>8838</v>
      </c>
    </row>
    <row r="1458">
      <c r="A1458" s="14" t="s">
        <v>5932</v>
      </c>
      <c r="B1458" s="15" t="s">
        <v>8839</v>
      </c>
      <c r="C1458" s="16">
        <v>27024.0</v>
      </c>
      <c r="D1458" s="17" t="s">
        <v>8840</v>
      </c>
    </row>
    <row r="1459">
      <c r="A1459" s="14">
        <v>26.0</v>
      </c>
      <c r="B1459" s="15" t="s">
        <v>8841</v>
      </c>
      <c r="C1459" s="16">
        <v>27024.0</v>
      </c>
      <c r="D1459" s="17" t="s">
        <v>8842</v>
      </c>
    </row>
    <row r="1460">
      <c r="A1460" s="14" t="s">
        <v>5932</v>
      </c>
      <c r="B1460" s="15" t="s">
        <v>8843</v>
      </c>
      <c r="C1460" s="16">
        <v>27025.0</v>
      </c>
      <c r="D1460" s="17" t="s">
        <v>8844</v>
      </c>
    </row>
    <row r="1461">
      <c r="A1461" s="14">
        <v>27.0</v>
      </c>
      <c r="B1461" s="15" t="s">
        <v>8845</v>
      </c>
      <c r="C1461" s="16">
        <v>27025.0</v>
      </c>
      <c r="D1461" s="17" t="s">
        <v>8846</v>
      </c>
    </row>
    <row r="1462">
      <c r="A1462" s="14" t="s">
        <v>5932</v>
      </c>
      <c r="B1462" s="15" t="s">
        <v>8847</v>
      </c>
      <c r="C1462" s="16">
        <v>27026.0</v>
      </c>
      <c r="D1462" s="17" t="s">
        <v>8848</v>
      </c>
    </row>
    <row r="1463">
      <c r="A1463" s="14">
        <v>28.0</v>
      </c>
      <c r="B1463" s="15" t="s">
        <v>8849</v>
      </c>
      <c r="C1463" s="16">
        <v>27026.0</v>
      </c>
      <c r="D1463" s="17" t="s">
        <v>8850</v>
      </c>
    </row>
    <row r="1464">
      <c r="A1464" s="14" t="s">
        <v>5932</v>
      </c>
      <c r="B1464" s="15" t="s">
        <v>8851</v>
      </c>
      <c r="C1464" s="16">
        <v>27027.0</v>
      </c>
      <c r="D1464" s="17" t="s">
        <v>8852</v>
      </c>
    </row>
    <row r="1465">
      <c r="A1465" s="14">
        <v>29.0</v>
      </c>
      <c r="B1465" s="15" t="s">
        <v>8853</v>
      </c>
      <c r="C1465" s="16">
        <v>27027.0</v>
      </c>
      <c r="D1465" s="17" t="s">
        <v>8854</v>
      </c>
    </row>
    <row r="1466">
      <c r="A1466" s="14" t="s">
        <v>5932</v>
      </c>
      <c r="B1466" s="15" t="s">
        <v>8855</v>
      </c>
      <c r="C1466" s="16">
        <v>27028.0</v>
      </c>
      <c r="D1466" s="17" t="s">
        <v>8856</v>
      </c>
    </row>
    <row r="1467">
      <c r="A1467" s="14">
        <v>30.0</v>
      </c>
      <c r="B1467" s="15" t="s">
        <v>8857</v>
      </c>
      <c r="C1467" s="16">
        <v>27028.0</v>
      </c>
      <c r="D1467" s="17" t="s">
        <v>8858</v>
      </c>
    </row>
    <row r="1468">
      <c r="A1468" s="14" t="s">
        <v>5932</v>
      </c>
      <c r="B1468" s="15" t="s">
        <v>8859</v>
      </c>
      <c r="C1468" s="16">
        <v>27029.0</v>
      </c>
      <c r="D1468" s="17" t="s">
        <v>8860</v>
      </c>
    </row>
    <row r="1469">
      <c r="A1469" s="14">
        <v>31.0</v>
      </c>
      <c r="B1469" s="15" t="s">
        <v>8861</v>
      </c>
      <c r="C1469" s="16">
        <v>27029.0</v>
      </c>
      <c r="D1469" s="17" t="s">
        <v>8862</v>
      </c>
    </row>
    <row r="1470">
      <c r="A1470" s="14" t="s">
        <v>5932</v>
      </c>
      <c r="B1470" s="15" t="s">
        <v>8863</v>
      </c>
      <c r="C1470" s="16">
        <v>27030.0</v>
      </c>
      <c r="D1470" s="17" t="s">
        <v>8864</v>
      </c>
    </row>
    <row r="1471">
      <c r="A1471" s="14">
        <v>1.0</v>
      </c>
      <c r="B1471" s="15" t="s">
        <v>8865</v>
      </c>
      <c r="C1471" s="16">
        <v>27030.0</v>
      </c>
      <c r="D1471" s="17" t="s">
        <v>8866</v>
      </c>
    </row>
    <row r="1472">
      <c r="A1472" s="14">
        <v>1.0</v>
      </c>
      <c r="B1472" s="15" t="s">
        <v>8867</v>
      </c>
      <c r="C1472" s="16">
        <v>27030.0</v>
      </c>
      <c r="D1472" s="17" t="s">
        <v>8868</v>
      </c>
    </row>
    <row r="1473">
      <c r="A1473" s="14" t="s">
        <v>5932</v>
      </c>
      <c r="B1473" s="15" t="s">
        <v>8869</v>
      </c>
      <c r="C1473" s="16">
        <v>27031.0</v>
      </c>
      <c r="D1473" s="17" t="s">
        <v>8870</v>
      </c>
    </row>
    <row r="1474">
      <c r="A1474" s="14">
        <v>2.0</v>
      </c>
      <c r="B1474" s="15" t="s">
        <v>8871</v>
      </c>
      <c r="C1474" s="16">
        <v>27031.0</v>
      </c>
      <c r="D1474" s="17" t="s">
        <v>8872</v>
      </c>
    </row>
    <row r="1475">
      <c r="A1475" s="14">
        <v>2.0</v>
      </c>
      <c r="B1475" s="15" t="s">
        <v>8873</v>
      </c>
      <c r="C1475" s="16">
        <v>27031.0</v>
      </c>
      <c r="D1475" s="17" t="s">
        <v>8874</v>
      </c>
    </row>
    <row r="1476">
      <c r="A1476" s="14" t="s">
        <v>6374</v>
      </c>
      <c r="B1476" s="15" t="s">
        <v>8875</v>
      </c>
      <c r="C1476" s="16">
        <v>27032.0</v>
      </c>
      <c r="D1476" s="17" t="s">
        <v>8876</v>
      </c>
    </row>
    <row r="1477">
      <c r="A1477" s="14" t="s">
        <v>5932</v>
      </c>
      <c r="B1477" s="15" t="s">
        <v>8877</v>
      </c>
      <c r="C1477" s="16">
        <v>27032.0</v>
      </c>
      <c r="D1477" s="17" t="s">
        <v>8878</v>
      </c>
    </row>
    <row r="1478">
      <c r="A1478" s="14">
        <v>3.0</v>
      </c>
      <c r="B1478" s="15" t="s">
        <v>8879</v>
      </c>
      <c r="C1478" s="16">
        <v>27032.0</v>
      </c>
      <c r="D1478" s="17" t="s">
        <v>8880</v>
      </c>
    </row>
    <row r="1479">
      <c r="A1479" s="14">
        <v>3.0</v>
      </c>
      <c r="B1479" s="15" t="s">
        <v>8881</v>
      </c>
      <c r="C1479" s="16">
        <v>27032.0</v>
      </c>
      <c r="D1479" s="17" t="s">
        <v>8882</v>
      </c>
    </row>
    <row r="1480">
      <c r="A1480" s="14">
        <v>3.0</v>
      </c>
      <c r="B1480" s="15" t="s">
        <v>8883</v>
      </c>
      <c r="C1480" s="16">
        <v>27032.0</v>
      </c>
      <c r="D1480" s="17" t="s">
        <v>8884</v>
      </c>
    </row>
    <row r="1481">
      <c r="A1481" s="14">
        <v>3.0</v>
      </c>
      <c r="B1481" s="15" t="s">
        <v>8885</v>
      </c>
      <c r="C1481" s="16">
        <v>27032.0</v>
      </c>
      <c r="D1481" s="17" t="s">
        <v>8886</v>
      </c>
    </row>
    <row r="1482">
      <c r="A1482" s="14" t="s">
        <v>5932</v>
      </c>
      <c r="B1482" s="15" t="s">
        <v>8887</v>
      </c>
      <c r="C1482" s="16">
        <v>27033.0</v>
      </c>
      <c r="D1482" s="17" t="s">
        <v>8888</v>
      </c>
    </row>
    <row r="1483">
      <c r="A1483" s="14">
        <v>4.0</v>
      </c>
      <c r="B1483" s="15" t="s">
        <v>8889</v>
      </c>
      <c r="C1483" s="16">
        <v>27033.0</v>
      </c>
      <c r="D1483" s="17" t="s">
        <v>8890</v>
      </c>
    </row>
    <row r="1484">
      <c r="A1484" s="14">
        <v>4.0</v>
      </c>
      <c r="B1484" s="15" t="s">
        <v>8891</v>
      </c>
      <c r="C1484" s="16">
        <v>27033.0</v>
      </c>
      <c r="D1484" s="17" t="s">
        <v>8892</v>
      </c>
    </row>
    <row r="1485">
      <c r="A1485" s="14" t="s">
        <v>6374</v>
      </c>
      <c r="B1485" s="15" t="s">
        <v>8893</v>
      </c>
      <c r="C1485" s="16">
        <v>27034.0</v>
      </c>
      <c r="D1485" s="17" t="s">
        <v>8894</v>
      </c>
    </row>
    <row r="1486">
      <c r="A1486" s="14" t="s">
        <v>5932</v>
      </c>
      <c r="B1486" s="15" t="s">
        <v>8895</v>
      </c>
      <c r="C1486" s="16">
        <v>27034.0</v>
      </c>
      <c r="D1486" s="17" t="s">
        <v>8896</v>
      </c>
    </row>
    <row r="1487">
      <c r="A1487" s="14">
        <v>5.0</v>
      </c>
      <c r="B1487" s="15" t="s">
        <v>8897</v>
      </c>
      <c r="C1487" s="16">
        <v>27034.0</v>
      </c>
      <c r="D1487" s="17" t="s">
        <v>8898</v>
      </c>
    </row>
    <row r="1488">
      <c r="A1488" s="14">
        <v>5.0</v>
      </c>
      <c r="B1488" s="15" t="s">
        <v>8899</v>
      </c>
      <c r="C1488" s="16">
        <v>27034.0</v>
      </c>
      <c r="D1488" s="17" t="s">
        <v>8900</v>
      </c>
    </row>
    <row r="1489">
      <c r="A1489" s="14">
        <v>5.0</v>
      </c>
      <c r="B1489" s="15" t="s">
        <v>8901</v>
      </c>
      <c r="C1489" s="16">
        <v>27034.0</v>
      </c>
      <c r="D1489" s="17" t="s">
        <v>8902</v>
      </c>
    </row>
    <row r="1490">
      <c r="A1490" s="14">
        <v>5.0</v>
      </c>
      <c r="B1490" s="15" t="s">
        <v>8903</v>
      </c>
      <c r="C1490" s="16">
        <v>27034.0</v>
      </c>
      <c r="D1490" s="17" t="s">
        <v>8904</v>
      </c>
    </row>
    <row r="1491">
      <c r="A1491" s="14" t="s">
        <v>6374</v>
      </c>
      <c r="B1491" s="15" t="s">
        <v>8905</v>
      </c>
      <c r="C1491" s="16">
        <v>27036.0</v>
      </c>
      <c r="D1491" s="17" t="s">
        <v>8906</v>
      </c>
    </row>
    <row r="1492">
      <c r="A1492" s="14" t="s">
        <v>5932</v>
      </c>
      <c r="B1492" s="15" t="s">
        <v>8907</v>
      </c>
      <c r="C1492" s="16">
        <v>27036.0</v>
      </c>
      <c r="D1492" s="17" t="s">
        <v>8908</v>
      </c>
    </row>
    <row r="1493">
      <c r="A1493" s="14">
        <v>7.0</v>
      </c>
      <c r="B1493" s="15" t="s">
        <v>8909</v>
      </c>
      <c r="C1493" s="16">
        <v>27036.0</v>
      </c>
      <c r="D1493" s="17" t="s">
        <v>8910</v>
      </c>
    </row>
    <row r="1494">
      <c r="A1494" s="14">
        <v>7.0</v>
      </c>
      <c r="B1494" s="15" t="s">
        <v>8911</v>
      </c>
      <c r="C1494" s="16">
        <v>27036.0</v>
      </c>
      <c r="D1494" s="17" t="s">
        <v>8912</v>
      </c>
    </row>
    <row r="1495">
      <c r="A1495" s="14">
        <v>7.0</v>
      </c>
      <c r="B1495" s="15" t="s">
        <v>8913</v>
      </c>
      <c r="C1495" s="16">
        <v>27036.0</v>
      </c>
      <c r="D1495" s="17" t="s">
        <v>8914</v>
      </c>
    </row>
    <row r="1496">
      <c r="A1496" s="14">
        <v>7.0</v>
      </c>
      <c r="B1496" s="15" t="s">
        <v>8915</v>
      </c>
      <c r="C1496" s="16">
        <v>27036.0</v>
      </c>
      <c r="D1496" s="17" t="s">
        <v>8916</v>
      </c>
    </row>
    <row r="1497">
      <c r="A1497" s="14" t="s">
        <v>6374</v>
      </c>
      <c r="B1497" s="15" t="s">
        <v>8917</v>
      </c>
      <c r="C1497" s="16">
        <v>27037.0</v>
      </c>
      <c r="D1497" s="17" t="s">
        <v>8918</v>
      </c>
    </row>
    <row r="1498">
      <c r="A1498" s="14" t="s">
        <v>5932</v>
      </c>
      <c r="B1498" s="15" t="s">
        <v>8919</v>
      </c>
      <c r="C1498" s="16">
        <v>27037.0</v>
      </c>
      <c r="D1498" s="17" t="s">
        <v>8920</v>
      </c>
    </row>
    <row r="1499">
      <c r="A1499" s="14">
        <v>8.0</v>
      </c>
      <c r="B1499" s="15" t="s">
        <v>8921</v>
      </c>
      <c r="C1499" s="16">
        <v>27037.0</v>
      </c>
      <c r="D1499" s="17" t="s">
        <v>8922</v>
      </c>
    </row>
    <row r="1500">
      <c r="A1500" s="14">
        <v>8.0</v>
      </c>
      <c r="B1500" s="15" t="s">
        <v>8923</v>
      </c>
      <c r="C1500" s="16">
        <v>27037.0</v>
      </c>
      <c r="D1500" s="17" t="s">
        <v>8924</v>
      </c>
    </row>
    <row r="1501">
      <c r="A1501" s="14">
        <v>8.0</v>
      </c>
      <c r="B1501" s="15" t="s">
        <v>8925</v>
      </c>
      <c r="C1501" s="16">
        <v>27037.0</v>
      </c>
      <c r="D1501" s="17" t="s">
        <v>8926</v>
      </c>
    </row>
    <row r="1502">
      <c r="A1502" s="14" t="s">
        <v>6374</v>
      </c>
      <c r="B1502" s="15" t="s">
        <v>8927</v>
      </c>
      <c r="C1502" s="16">
        <v>27038.0</v>
      </c>
      <c r="D1502" s="17" t="s">
        <v>8928</v>
      </c>
    </row>
    <row r="1503">
      <c r="A1503" s="14" t="s">
        <v>5932</v>
      </c>
      <c r="B1503" s="15" t="s">
        <v>8929</v>
      </c>
      <c r="C1503" s="16">
        <v>27038.0</v>
      </c>
      <c r="D1503" s="17" t="s">
        <v>8930</v>
      </c>
    </row>
    <row r="1504">
      <c r="A1504" s="14">
        <v>9.0</v>
      </c>
      <c r="B1504" s="15" t="s">
        <v>8931</v>
      </c>
      <c r="C1504" s="16">
        <v>27038.0</v>
      </c>
      <c r="D1504" s="17" t="s">
        <v>8932</v>
      </c>
    </row>
    <row r="1505">
      <c r="A1505" s="14">
        <v>9.0</v>
      </c>
      <c r="B1505" s="15" t="s">
        <v>8933</v>
      </c>
      <c r="C1505" s="16">
        <v>27038.0</v>
      </c>
      <c r="D1505" s="17" t="s">
        <v>8934</v>
      </c>
    </row>
    <row r="1506">
      <c r="A1506" s="14">
        <v>9.0</v>
      </c>
      <c r="B1506" s="15" t="s">
        <v>8935</v>
      </c>
      <c r="C1506" s="16">
        <v>27038.0</v>
      </c>
      <c r="D1506" s="17" t="s">
        <v>8936</v>
      </c>
    </row>
    <row r="1507">
      <c r="A1507" s="14">
        <v>9.0</v>
      </c>
      <c r="B1507" s="15" t="s">
        <v>8937</v>
      </c>
      <c r="C1507" s="16">
        <v>27038.0</v>
      </c>
      <c r="D1507" s="17" t="s">
        <v>8938</v>
      </c>
    </row>
    <row r="1508">
      <c r="A1508" s="14" t="s">
        <v>6374</v>
      </c>
      <c r="B1508" s="15" t="s">
        <v>8939</v>
      </c>
      <c r="C1508" s="16">
        <v>27039.0</v>
      </c>
      <c r="D1508" s="17" t="s">
        <v>8940</v>
      </c>
    </row>
    <row r="1509">
      <c r="A1509" s="14" t="s">
        <v>5932</v>
      </c>
      <c r="B1509" s="15" t="s">
        <v>8941</v>
      </c>
      <c r="C1509" s="16">
        <v>27039.0</v>
      </c>
      <c r="D1509" s="17" t="s">
        <v>8942</v>
      </c>
    </row>
    <row r="1510">
      <c r="A1510" s="14">
        <v>10.0</v>
      </c>
      <c r="B1510" s="15" t="s">
        <v>8943</v>
      </c>
      <c r="C1510" s="16">
        <v>27039.0</v>
      </c>
      <c r="D1510" s="17" t="s">
        <v>8944</v>
      </c>
    </row>
    <row r="1511">
      <c r="A1511" s="14">
        <v>10.0</v>
      </c>
      <c r="B1511" s="15" t="s">
        <v>8945</v>
      </c>
      <c r="C1511" s="16">
        <v>27039.0</v>
      </c>
      <c r="D1511" s="17" t="s">
        <v>8946</v>
      </c>
    </row>
    <row r="1512">
      <c r="A1512" s="14">
        <v>10.0</v>
      </c>
      <c r="B1512" s="15" t="s">
        <v>8947</v>
      </c>
      <c r="C1512" s="16">
        <v>27039.0</v>
      </c>
      <c r="D1512" s="17" t="s">
        <v>8948</v>
      </c>
    </row>
    <row r="1513">
      <c r="A1513" s="14">
        <v>10.0</v>
      </c>
      <c r="B1513" s="15" t="s">
        <v>8949</v>
      </c>
      <c r="C1513" s="16">
        <v>27039.0</v>
      </c>
      <c r="D1513" s="17" t="s">
        <v>8950</v>
      </c>
    </row>
    <row r="1514">
      <c r="A1514" s="14">
        <v>10.0</v>
      </c>
      <c r="B1514" s="15" t="s">
        <v>8951</v>
      </c>
      <c r="C1514" s="16">
        <v>27039.0</v>
      </c>
      <c r="D1514" s="17" t="s">
        <v>8952</v>
      </c>
    </row>
    <row r="1515">
      <c r="A1515" s="14" t="s">
        <v>6374</v>
      </c>
      <c r="B1515" s="15" t="s">
        <v>8953</v>
      </c>
      <c r="C1515" s="16">
        <v>27040.0</v>
      </c>
      <c r="D1515" s="17" t="s">
        <v>8954</v>
      </c>
    </row>
    <row r="1516">
      <c r="A1516" s="14" t="s">
        <v>5932</v>
      </c>
      <c r="B1516" s="15" t="s">
        <v>8955</v>
      </c>
      <c r="C1516" s="16">
        <v>27040.0</v>
      </c>
      <c r="D1516" s="17" t="s">
        <v>8956</v>
      </c>
    </row>
    <row r="1517">
      <c r="A1517" s="14">
        <v>11.0</v>
      </c>
      <c r="B1517" s="15" t="s">
        <v>8957</v>
      </c>
      <c r="C1517" s="16">
        <v>27040.0</v>
      </c>
      <c r="D1517" s="17" t="s">
        <v>8958</v>
      </c>
    </row>
    <row r="1518">
      <c r="A1518" s="14">
        <v>11.0</v>
      </c>
      <c r="B1518" s="15" t="s">
        <v>8959</v>
      </c>
      <c r="C1518" s="16">
        <v>27040.0</v>
      </c>
      <c r="D1518" s="17" t="s">
        <v>8960</v>
      </c>
    </row>
    <row r="1519">
      <c r="A1519" s="14">
        <v>11.0</v>
      </c>
      <c r="B1519" s="15" t="s">
        <v>8961</v>
      </c>
      <c r="C1519" s="16">
        <v>27040.0</v>
      </c>
      <c r="D1519" s="17" t="s">
        <v>8962</v>
      </c>
    </row>
    <row r="1520">
      <c r="A1520" s="14" t="s">
        <v>6374</v>
      </c>
      <c r="B1520" s="15" t="s">
        <v>8963</v>
      </c>
      <c r="C1520" s="16">
        <v>27041.0</v>
      </c>
      <c r="D1520" s="17" t="s">
        <v>8964</v>
      </c>
    </row>
    <row r="1521">
      <c r="A1521" s="14" t="s">
        <v>5932</v>
      </c>
      <c r="B1521" s="15" t="s">
        <v>8965</v>
      </c>
      <c r="C1521" s="16">
        <v>27041.0</v>
      </c>
      <c r="D1521" s="17" t="s">
        <v>8966</v>
      </c>
    </row>
    <row r="1522">
      <c r="A1522" s="14">
        <v>12.0</v>
      </c>
      <c r="B1522" s="15" t="s">
        <v>8967</v>
      </c>
      <c r="C1522" s="16">
        <v>27041.0</v>
      </c>
      <c r="D1522" s="17" t="s">
        <v>8968</v>
      </c>
    </row>
    <row r="1523">
      <c r="A1523" s="14">
        <v>12.0</v>
      </c>
      <c r="B1523" s="15" t="s">
        <v>8969</v>
      </c>
      <c r="C1523" s="16">
        <v>27041.0</v>
      </c>
      <c r="D1523" s="17" t="s">
        <v>8970</v>
      </c>
    </row>
    <row r="1524">
      <c r="A1524" s="14">
        <v>12.0</v>
      </c>
      <c r="B1524" s="15" t="s">
        <v>8971</v>
      </c>
      <c r="C1524" s="16">
        <v>27041.0</v>
      </c>
      <c r="D1524" s="17" t="s">
        <v>8972</v>
      </c>
    </row>
    <row r="1525">
      <c r="A1525" s="14" t="s">
        <v>5932</v>
      </c>
      <c r="B1525" s="15" t="s">
        <v>8973</v>
      </c>
      <c r="C1525" s="16">
        <v>27042.0</v>
      </c>
      <c r="D1525" s="17" t="s">
        <v>8974</v>
      </c>
    </row>
    <row r="1526">
      <c r="A1526" s="14">
        <v>13.0</v>
      </c>
      <c r="B1526" s="15" t="s">
        <v>8975</v>
      </c>
      <c r="C1526" s="16">
        <v>27042.0</v>
      </c>
      <c r="D1526" s="17" t="s">
        <v>8976</v>
      </c>
    </row>
    <row r="1527">
      <c r="A1527" s="14" t="s">
        <v>6374</v>
      </c>
      <c r="B1527" s="15" t="s">
        <v>8977</v>
      </c>
      <c r="C1527" s="16">
        <v>27044.0</v>
      </c>
      <c r="D1527" s="17" t="s">
        <v>8978</v>
      </c>
    </row>
    <row r="1528">
      <c r="A1528" s="14" t="s">
        <v>5932</v>
      </c>
      <c r="B1528" s="15" t="s">
        <v>8979</v>
      </c>
      <c r="C1528" s="16">
        <v>27044.0</v>
      </c>
      <c r="D1528" s="17" t="s">
        <v>8980</v>
      </c>
    </row>
    <row r="1529">
      <c r="A1529" s="14">
        <v>15.0</v>
      </c>
      <c r="B1529" s="15" t="s">
        <v>8981</v>
      </c>
      <c r="C1529" s="16">
        <v>27044.0</v>
      </c>
      <c r="D1529" s="17" t="s">
        <v>8982</v>
      </c>
    </row>
    <row r="1530">
      <c r="A1530" s="14">
        <v>15.0</v>
      </c>
      <c r="B1530" s="15" t="s">
        <v>8983</v>
      </c>
      <c r="C1530" s="16">
        <v>27044.0</v>
      </c>
      <c r="D1530" s="17" t="s">
        <v>8984</v>
      </c>
    </row>
    <row r="1531">
      <c r="A1531" s="14">
        <v>15.0</v>
      </c>
      <c r="B1531" s="15" t="s">
        <v>8985</v>
      </c>
      <c r="C1531" s="16">
        <v>27044.0</v>
      </c>
      <c r="D1531" s="17" t="s">
        <v>8986</v>
      </c>
    </row>
    <row r="1532">
      <c r="A1532" s="14" t="s">
        <v>6374</v>
      </c>
      <c r="B1532" s="15" t="s">
        <v>8987</v>
      </c>
      <c r="C1532" s="16">
        <v>27045.0</v>
      </c>
      <c r="D1532" s="17" t="s">
        <v>8988</v>
      </c>
    </row>
    <row r="1533">
      <c r="A1533" s="14" t="s">
        <v>5932</v>
      </c>
      <c r="B1533" s="15" t="s">
        <v>8989</v>
      </c>
      <c r="C1533" s="16">
        <v>27045.0</v>
      </c>
      <c r="D1533" s="17" t="s">
        <v>8990</v>
      </c>
    </row>
    <row r="1534">
      <c r="A1534" s="14">
        <v>16.0</v>
      </c>
      <c r="B1534" s="15" t="s">
        <v>8991</v>
      </c>
      <c r="C1534" s="16">
        <v>27045.0</v>
      </c>
      <c r="D1534" s="17" t="s">
        <v>8992</v>
      </c>
    </row>
    <row r="1535">
      <c r="A1535" s="14">
        <v>16.0</v>
      </c>
      <c r="B1535" s="15" t="s">
        <v>8993</v>
      </c>
      <c r="C1535" s="16">
        <v>27045.0</v>
      </c>
      <c r="D1535" s="17" t="s">
        <v>8994</v>
      </c>
    </row>
    <row r="1536">
      <c r="A1536" s="14">
        <v>16.0</v>
      </c>
      <c r="B1536" s="15" t="s">
        <v>8995</v>
      </c>
      <c r="C1536" s="16">
        <v>27045.0</v>
      </c>
      <c r="D1536" s="17" t="s">
        <v>8996</v>
      </c>
    </row>
    <row r="1537">
      <c r="A1537" s="14" t="s">
        <v>5932</v>
      </c>
      <c r="B1537" s="15" t="s">
        <v>8997</v>
      </c>
      <c r="C1537" s="16">
        <v>27046.0</v>
      </c>
      <c r="D1537" s="17" t="s">
        <v>8998</v>
      </c>
    </row>
    <row r="1538">
      <c r="A1538" s="14">
        <v>17.0</v>
      </c>
      <c r="B1538" s="15" t="s">
        <v>8999</v>
      </c>
      <c r="C1538" s="16">
        <v>27046.0</v>
      </c>
      <c r="D1538" s="17" t="s">
        <v>9000</v>
      </c>
    </row>
    <row r="1539">
      <c r="A1539" s="14">
        <v>17.0</v>
      </c>
      <c r="B1539" s="15" t="s">
        <v>9001</v>
      </c>
      <c r="C1539" s="16">
        <v>27046.0</v>
      </c>
      <c r="D1539" s="17" t="s">
        <v>9002</v>
      </c>
    </row>
    <row r="1540">
      <c r="A1540" s="14" t="s">
        <v>6374</v>
      </c>
      <c r="B1540" s="15" t="s">
        <v>9003</v>
      </c>
      <c r="C1540" s="16">
        <v>27047.0</v>
      </c>
      <c r="D1540" s="17" t="s">
        <v>9004</v>
      </c>
    </row>
    <row r="1541">
      <c r="A1541" s="14" t="s">
        <v>5932</v>
      </c>
      <c r="B1541" s="15" t="s">
        <v>9005</v>
      </c>
      <c r="C1541" s="16">
        <v>27047.0</v>
      </c>
      <c r="D1541" s="17" t="s">
        <v>9006</v>
      </c>
    </row>
    <row r="1542">
      <c r="A1542" s="14" t="s">
        <v>6487</v>
      </c>
      <c r="B1542" s="15" t="s">
        <v>9007</v>
      </c>
      <c r="C1542" s="16">
        <v>27047.0</v>
      </c>
      <c r="D1542" s="17" t="s">
        <v>9008</v>
      </c>
    </row>
    <row r="1543">
      <c r="A1543" s="14">
        <v>18.0</v>
      </c>
      <c r="B1543" s="15" t="s">
        <v>9009</v>
      </c>
      <c r="C1543" s="16">
        <v>27047.0</v>
      </c>
      <c r="D1543" s="17" t="s">
        <v>9010</v>
      </c>
    </row>
    <row r="1544">
      <c r="A1544" s="14">
        <v>18.0</v>
      </c>
      <c r="B1544" s="15" t="s">
        <v>9011</v>
      </c>
      <c r="C1544" s="16">
        <v>27047.0</v>
      </c>
      <c r="D1544" s="17" t="s">
        <v>9012</v>
      </c>
    </row>
    <row r="1545">
      <c r="A1545" s="14">
        <v>18.0</v>
      </c>
      <c r="B1545" s="15" t="s">
        <v>9013</v>
      </c>
      <c r="C1545" s="16">
        <v>27047.0</v>
      </c>
      <c r="D1545" s="17" t="s">
        <v>9014</v>
      </c>
    </row>
    <row r="1546">
      <c r="A1546" s="14">
        <v>18.0</v>
      </c>
      <c r="B1546" s="15" t="s">
        <v>9015</v>
      </c>
      <c r="C1546" s="16">
        <v>27047.0</v>
      </c>
      <c r="D1546" s="17" t="s">
        <v>9016</v>
      </c>
    </row>
    <row r="1547">
      <c r="A1547" s="14" t="s">
        <v>6374</v>
      </c>
      <c r="B1547" s="15" t="s">
        <v>9017</v>
      </c>
      <c r="C1547" s="16">
        <v>27048.0</v>
      </c>
      <c r="D1547" s="17" t="s">
        <v>9018</v>
      </c>
    </row>
    <row r="1548">
      <c r="A1548" s="14" t="s">
        <v>5932</v>
      </c>
      <c r="B1548" s="15" t="s">
        <v>9019</v>
      </c>
      <c r="C1548" s="16">
        <v>27048.0</v>
      </c>
      <c r="D1548" s="17" t="s">
        <v>9020</v>
      </c>
    </row>
    <row r="1549">
      <c r="A1549" s="14">
        <v>19.0</v>
      </c>
      <c r="B1549" s="15" t="s">
        <v>9021</v>
      </c>
      <c r="C1549" s="16">
        <v>27048.0</v>
      </c>
      <c r="D1549" s="17" t="s">
        <v>9022</v>
      </c>
    </row>
    <row r="1550">
      <c r="A1550" s="14">
        <v>19.0</v>
      </c>
      <c r="B1550" s="15" t="s">
        <v>9023</v>
      </c>
      <c r="C1550" s="16">
        <v>27048.0</v>
      </c>
      <c r="D1550" s="17" t="s">
        <v>9024</v>
      </c>
    </row>
    <row r="1551">
      <c r="A1551" s="14">
        <v>19.0</v>
      </c>
      <c r="B1551" s="15" t="s">
        <v>9025</v>
      </c>
      <c r="C1551" s="16">
        <v>27048.0</v>
      </c>
      <c r="D1551" s="17" t="s">
        <v>9026</v>
      </c>
    </row>
    <row r="1552">
      <c r="A1552" s="14" t="s">
        <v>6374</v>
      </c>
      <c r="B1552" s="15" t="s">
        <v>9027</v>
      </c>
      <c r="C1552" s="16">
        <v>27049.0</v>
      </c>
      <c r="D1552" s="17" t="s">
        <v>9028</v>
      </c>
    </row>
    <row r="1553">
      <c r="A1553" s="14" t="s">
        <v>5932</v>
      </c>
      <c r="B1553" s="15" t="s">
        <v>9029</v>
      </c>
      <c r="C1553" s="16">
        <v>27049.0</v>
      </c>
      <c r="D1553" s="17" t="s">
        <v>9030</v>
      </c>
    </row>
    <row r="1554">
      <c r="A1554" s="14">
        <v>20.0</v>
      </c>
      <c r="B1554" s="15" t="s">
        <v>9031</v>
      </c>
      <c r="C1554" s="16">
        <v>27049.0</v>
      </c>
      <c r="D1554" s="17" t="s">
        <v>9032</v>
      </c>
    </row>
    <row r="1555">
      <c r="A1555" s="14">
        <v>20.0</v>
      </c>
      <c r="B1555" s="15" t="s">
        <v>9033</v>
      </c>
      <c r="C1555" s="16">
        <v>27049.0</v>
      </c>
      <c r="D1555" s="17" t="s">
        <v>9034</v>
      </c>
    </row>
    <row r="1556">
      <c r="A1556" s="14">
        <v>20.0</v>
      </c>
      <c r="B1556" s="15" t="s">
        <v>9035</v>
      </c>
      <c r="C1556" s="16">
        <v>27049.0</v>
      </c>
      <c r="D1556" s="17" t="s">
        <v>9036</v>
      </c>
    </row>
    <row r="1557">
      <c r="A1557" s="14" t="s">
        <v>6374</v>
      </c>
      <c r="B1557" s="15" t="s">
        <v>9037</v>
      </c>
      <c r="C1557" s="16">
        <v>27050.0</v>
      </c>
      <c r="D1557" s="17" t="s">
        <v>9038</v>
      </c>
    </row>
    <row r="1558">
      <c r="A1558" s="14" t="s">
        <v>5932</v>
      </c>
      <c r="B1558" s="15" t="s">
        <v>9039</v>
      </c>
      <c r="C1558" s="16">
        <v>27050.0</v>
      </c>
      <c r="D1558" s="17" t="s">
        <v>9040</v>
      </c>
    </row>
    <row r="1559">
      <c r="A1559" s="14">
        <v>21.0</v>
      </c>
      <c r="B1559" s="15" t="s">
        <v>9041</v>
      </c>
      <c r="C1559" s="16">
        <v>27050.0</v>
      </c>
      <c r="D1559" s="17" t="s">
        <v>9042</v>
      </c>
    </row>
    <row r="1560">
      <c r="A1560" s="14">
        <v>21.0</v>
      </c>
      <c r="B1560" s="15" t="s">
        <v>9043</v>
      </c>
      <c r="C1560" s="16">
        <v>27050.0</v>
      </c>
      <c r="D1560" s="17" t="s">
        <v>9044</v>
      </c>
    </row>
    <row r="1561">
      <c r="A1561" s="14">
        <v>21.0</v>
      </c>
      <c r="B1561" s="15" t="s">
        <v>9045</v>
      </c>
      <c r="C1561" s="16">
        <v>27050.0</v>
      </c>
      <c r="D1561" s="17" t="s">
        <v>9046</v>
      </c>
    </row>
    <row r="1562">
      <c r="A1562" s="14" t="s">
        <v>6374</v>
      </c>
      <c r="B1562" s="15" t="s">
        <v>9047</v>
      </c>
      <c r="C1562" s="16">
        <v>27051.0</v>
      </c>
      <c r="D1562" s="17" t="s">
        <v>9048</v>
      </c>
    </row>
    <row r="1563">
      <c r="A1563" s="14">
        <v>22.0</v>
      </c>
      <c r="B1563" s="15" t="s">
        <v>9049</v>
      </c>
      <c r="C1563" s="16">
        <v>27051.0</v>
      </c>
      <c r="D1563" s="17" t="s">
        <v>9050</v>
      </c>
    </row>
    <row r="1564">
      <c r="A1564" s="14">
        <v>22.0</v>
      </c>
      <c r="B1564" s="15" t="s">
        <v>9051</v>
      </c>
      <c r="C1564" s="16">
        <v>27051.0</v>
      </c>
      <c r="D1564" s="17" t="s">
        <v>9052</v>
      </c>
    </row>
    <row r="1565">
      <c r="A1565" s="14" t="s">
        <v>6374</v>
      </c>
      <c r="B1565" s="15" t="s">
        <v>9053</v>
      </c>
      <c r="C1565" s="16">
        <v>27052.0</v>
      </c>
      <c r="D1565" s="17" t="s">
        <v>9054</v>
      </c>
    </row>
    <row r="1566">
      <c r="A1566" s="14" t="s">
        <v>5932</v>
      </c>
      <c r="B1566" s="15" t="s">
        <v>9055</v>
      </c>
      <c r="C1566" s="16">
        <v>27052.0</v>
      </c>
      <c r="D1566" s="17" t="s">
        <v>9056</v>
      </c>
    </row>
    <row r="1567">
      <c r="A1567" s="14">
        <v>23.0</v>
      </c>
      <c r="B1567" s="15" t="s">
        <v>9057</v>
      </c>
      <c r="C1567" s="16">
        <v>27052.0</v>
      </c>
      <c r="D1567" s="17" t="s">
        <v>9058</v>
      </c>
    </row>
    <row r="1568">
      <c r="A1568" s="14">
        <v>23.0</v>
      </c>
      <c r="B1568" s="15" t="s">
        <v>9059</v>
      </c>
      <c r="C1568" s="16">
        <v>27052.0</v>
      </c>
      <c r="D1568" s="17" t="s">
        <v>9060</v>
      </c>
    </row>
    <row r="1569">
      <c r="A1569" s="14">
        <v>23.0</v>
      </c>
      <c r="B1569" s="15" t="s">
        <v>9061</v>
      </c>
      <c r="C1569" s="16">
        <v>27052.0</v>
      </c>
      <c r="D1569" s="17" t="s">
        <v>9062</v>
      </c>
    </row>
    <row r="1570">
      <c r="A1570" s="14" t="s">
        <v>5932</v>
      </c>
      <c r="B1570" s="15" t="s">
        <v>9063</v>
      </c>
      <c r="C1570" s="16">
        <v>27057.0</v>
      </c>
      <c r="D1570" s="17" t="s">
        <v>9064</v>
      </c>
    </row>
    <row r="1571">
      <c r="A1571" s="14" t="s">
        <v>6057</v>
      </c>
      <c r="B1571" s="15" t="s">
        <v>9065</v>
      </c>
      <c r="C1571" s="16">
        <v>27057.0</v>
      </c>
      <c r="D1571" s="17" t="s">
        <v>9066</v>
      </c>
    </row>
    <row r="1572">
      <c r="A1572" s="14">
        <v>28.0</v>
      </c>
      <c r="B1572" s="15" t="s">
        <v>9067</v>
      </c>
      <c r="C1572" s="16">
        <v>27057.0</v>
      </c>
      <c r="D1572" s="17" t="s">
        <v>9068</v>
      </c>
    </row>
    <row r="1573">
      <c r="A1573" s="14">
        <v>28.0</v>
      </c>
      <c r="B1573" s="15" t="s">
        <v>9069</v>
      </c>
      <c r="C1573" s="16">
        <v>27057.0</v>
      </c>
      <c r="D1573" s="17" t="s">
        <v>9070</v>
      </c>
    </row>
    <row r="1574">
      <c r="A1574" s="14">
        <v>28.0</v>
      </c>
      <c r="B1574" s="15" t="s">
        <v>9071</v>
      </c>
      <c r="C1574" s="16">
        <v>27057.0</v>
      </c>
      <c r="D1574" s="17" t="s">
        <v>9072</v>
      </c>
    </row>
    <row r="1575">
      <c r="A1575" s="14" t="s">
        <v>6753</v>
      </c>
      <c r="B1575" s="15" t="s">
        <v>9073</v>
      </c>
      <c r="C1575" s="16">
        <v>27058.0</v>
      </c>
      <c r="D1575" s="17" t="s">
        <v>9074</v>
      </c>
    </row>
    <row r="1576">
      <c r="A1576" s="14">
        <v>29.0</v>
      </c>
      <c r="B1576" s="15" t="s">
        <v>9075</v>
      </c>
      <c r="C1576" s="16">
        <v>27058.0</v>
      </c>
      <c r="D1576" s="17" t="s">
        <v>9076</v>
      </c>
    </row>
    <row r="1577">
      <c r="A1577" s="14" t="s">
        <v>6374</v>
      </c>
      <c r="B1577" s="15" t="s">
        <v>9077</v>
      </c>
      <c r="C1577" s="16">
        <v>27059.0</v>
      </c>
      <c r="D1577" s="17" t="s">
        <v>9078</v>
      </c>
    </row>
    <row r="1578">
      <c r="A1578" s="14" t="s">
        <v>6353</v>
      </c>
      <c r="B1578" s="15" t="s">
        <v>9079</v>
      </c>
      <c r="C1578" s="16">
        <v>27059.0</v>
      </c>
      <c r="D1578" s="17" t="s">
        <v>9080</v>
      </c>
    </row>
    <row r="1579">
      <c r="A1579" s="14" t="s">
        <v>5932</v>
      </c>
      <c r="B1579" s="15" t="s">
        <v>9081</v>
      </c>
      <c r="C1579" s="16">
        <v>27059.0</v>
      </c>
      <c r="D1579" s="17" t="s">
        <v>9082</v>
      </c>
    </row>
    <row r="1580">
      <c r="A1580" s="14">
        <v>30.0</v>
      </c>
      <c r="B1580" s="15" t="s">
        <v>9083</v>
      </c>
      <c r="C1580" s="16">
        <v>27059.0</v>
      </c>
      <c r="D1580" s="17" t="s">
        <v>9084</v>
      </c>
    </row>
    <row r="1581">
      <c r="A1581" s="14">
        <v>30.0</v>
      </c>
      <c r="B1581" s="15" t="s">
        <v>9085</v>
      </c>
      <c r="C1581" s="16">
        <v>27059.0</v>
      </c>
      <c r="D1581" s="17" t="s">
        <v>9086</v>
      </c>
    </row>
    <row r="1582">
      <c r="A1582" s="14">
        <v>30.0</v>
      </c>
      <c r="B1582" s="15" t="s">
        <v>9087</v>
      </c>
      <c r="C1582" s="16">
        <v>27059.0</v>
      </c>
      <c r="D1582" s="17" t="s">
        <v>9088</v>
      </c>
    </row>
    <row r="1583">
      <c r="A1583" s="14">
        <v>30.0</v>
      </c>
      <c r="B1583" s="15" t="s">
        <v>9089</v>
      </c>
      <c r="C1583" s="16">
        <v>27059.0</v>
      </c>
      <c r="D1583" s="17" t="s">
        <v>9090</v>
      </c>
    </row>
    <row r="1584">
      <c r="A1584" s="14" t="s">
        <v>6074</v>
      </c>
      <c r="B1584" s="15" t="s">
        <v>9091</v>
      </c>
      <c r="C1584" s="16">
        <v>27060.0</v>
      </c>
      <c r="D1584" s="17" t="s">
        <v>9092</v>
      </c>
    </row>
    <row r="1585">
      <c r="A1585" s="14">
        <v>31.0</v>
      </c>
      <c r="B1585" s="15" t="s">
        <v>9093</v>
      </c>
      <c r="C1585" s="16">
        <v>27060.0</v>
      </c>
      <c r="D1585" s="17" t="s">
        <v>9094</v>
      </c>
    </row>
    <row r="1586">
      <c r="A1586" s="14" t="s">
        <v>5965</v>
      </c>
      <c r="B1586" s="15" t="s">
        <v>9095</v>
      </c>
      <c r="C1586" s="16">
        <v>27066.0</v>
      </c>
      <c r="D1586" s="17" t="s">
        <v>9096</v>
      </c>
    </row>
    <row r="1587">
      <c r="A1587" s="14" t="s">
        <v>6353</v>
      </c>
      <c r="B1587" s="15" t="s">
        <v>9097</v>
      </c>
      <c r="C1587" s="16">
        <v>27066.0</v>
      </c>
      <c r="D1587" s="17" t="s">
        <v>9098</v>
      </c>
    </row>
    <row r="1588">
      <c r="A1588" s="14">
        <v>6.0</v>
      </c>
      <c r="B1588" s="15" t="s">
        <v>9099</v>
      </c>
      <c r="C1588" s="16">
        <v>27066.0</v>
      </c>
      <c r="D1588" s="17" t="s">
        <v>9100</v>
      </c>
    </row>
    <row r="1589">
      <c r="A1589" s="14">
        <v>6.0</v>
      </c>
      <c r="B1589" s="15" t="s">
        <v>9101</v>
      </c>
      <c r="C1589" s="16">
        <v>27066.0</v>
      </c>
      <c r="D1589" s="17" t="s">
        <v>9102</v>
      </c>
    </row>
    <row r="1590">
      <c r="A1590" s="14">
        <v>6.0</v>
      </c>
      <c r="B1590" s="15" t="s">
        <v>9103</v>
      </c>
      <c r="C1590" s="16">
        <v>27066.0</v>
      </c>
      <c r="D1590" s="17" t="s">
        <v>9104</v>
      </c>
    </row>
    <row r="1591">
      <c r="A1591" s="14" t="s">
        <v>5986</v>
      </c>
      <c r="B1591" s="15" t="s">
        <v>9105</v>
      </c>
      <c r="C1591" s="16">
        <v>27067.0</v>
      </c>
      <c r="D1591" s="17" t="s">
        <v>9106</v>
      </c>
    </row>
    <row r="1592">
      <c r="A1592" s="14">
        <v>7.0</v>
      </c>
      <c r="B1592" s="15" t="s">
        <v>9107</v>
      </c>
      <c r="C1592" s="16">
        <v>27067.0</v>
      </c>
      <c r="D1592" s="17" t="s">
        <v>9108</v>
      </c>
    </row>
    <row r="1593">
      <c r="A1593" s="14">
        <v>7.0</v>
      </c>
      <c r="B1593" s="15" t="s">
        <v>9109</v>
      </c>
      <c r="C1593" s="16">
        <v>27067.0</v>
      </c>
      <c r="D1593" s="17" t="s">
        <v>9110</v>
      </c>
    </row>
    <row r="1594">
      <c r="A1594" s="14" t="s">
        <v>5986</v>
      </c>
      <c r="B1594" s="15" t="s">
        <v>9111</v>
      </c>
      <c r="C1594" s="16">
        <v>27068.0</v>
      </c>
      <c r="D1594" s="17" t="s">
        <v>9112</v>
      </c>
    </row>
    <row r="1595">
      <c r="A1595" s="14" t="s">
        <v>6353</v>
      </c>
      <c r="B1595" s="15" t="s">
        <v>9113</v>
      </c>
      <c r="C1595" s="16">
        <v>27068.0</v>
      </c>
      <c r="D1595" s="17" t="s">
        <v>9114</v>
      </c>
    </row>
    <row r="1596">
      <c r="A1596" s="14" t="s">
        <v>6353</v>
      </c>
      <c r="B1596" s="15" t="s">
        <v>9115</v>
      </c>
      <c r="C1596" s="16">
        <v>27068.0</v>
      </c>
      <c r="D1596" s="17" t="s">
        <v>9116</v>
      </c>
    </row>
    <row r="1597">
      <c r="A1597" s="14">
        <v>8.0</v>
      </c>
      <c r="B1597" s="15" t="s">
        <v>9117</v>
      </c>
      <c r="C1597" s="16">
        <v>27068.0</v>
      </c>
      <c r="D1597" s="17" t="s">
        <v>9118</v>
      </c>
    </row>
    <row r="1598">
      <c r="A1598" s="14">
        <v>8.0</v>
      </c>
      <c r="B1598" s="15" t="s">
        <v>9119</v>
      </c>
      <c r="C1598" s="16">
        <v>27068.0</v>
      </c>
      <c r="D1598" s="17" t="s">
        <v>9120</v>
      </c>
    </row>
    <row r="1599">
      <c r="A1599" s="14">
        <v>8.0</v>
      </c>
      <c r="B1599" s="15" t="s">
        <v>9121</v>
      </c>
      <c r="C1599" s="16">
        <v>27068.0</v>
      </c>
      <c r="D1599" s="17" t="s">
        <v>9122</v>
      </c>
    </row>
    <row r="1600">
      <c r="A1600" s="14" t="s">
        <v>6353</v>
      </c>
      <c r="B1600" s="15" t="s">
        <v>9123</v>
      </c>
      <c r="C1600" s="16">
        <v>27069.0</v>
      </c>
      <c r="D1600" s="17" t="s">
        <v>9124</v>
      </c>
    </row>
    <row r="1601">
      <c r="A1601" s="14">
        <v>9.0</v>
      </c>
      <c r="B1601" s="15" t="s">
        <v>9125</v>
      </c>
      <c r="C1601" s="16">
        <v>27069.0</v>
      </c>
      <c r="D1601" s="17" t="s">
        <v>9126</v>
      </c>
    </row>
    <row r="1602">
      <c r="A1602" s="14" t="s">
        <v>5986</v>
      </c>
      <c r="B1602" s="15" t="s">
        <v>9127</v>
      </c>
      <c r="C1602" s="16">
        <v>27070.0</v>
      </c>
      <c r="D1602" s="17" t="s">
        <v>9128</v>
      </c>
    </row>
    <row r="1603">
      <c r="A1603" s="14">
        <v>10.0</v>
      </c>
      <c r="B1603" s="15" t="s">
        <v>9129</v>
      </c>
      <c r="C1603" s="16">
        <v>27070.0</v>
      </c>
      <c r="D1603" s="17" t="s">
        <v>9130</v>
      </c>
    </row>
    <row r="1604">
      <c r="A1604" s="14" t="s">
        <v>6087</v>
      </c>
      <c r="B1604" s="15" t="s">
        <v>9131</v>
      </c>
      <c r="C1604" s="16">
        <v>27071.0</v>
      </c>
      <c r="D1604" s="17" t="s">
        <v>9132</v>
      </c>
    </row>
    <row r="1605">
      <c r="A1605" s="14" t="s">
        <v>6374</v>
      </c>
      <c r="B1605" s="15" t="s">
        <v>9133</v>
      </c>
      <c r="C1605" s="16">
        <v>27071.0</v>
      </c>
      <c r="D1605" s="17" t="s">
        <v>9134</v>
      </c>
    </row>
    <row r="1606">
      <c r="A1606" s="14">
        <v>11.0</v>
      </c>
      <c r="B1606" s="15" t="s">
        <v>9135</v>
      </c>
      <c r="C1606" s="16">
        <v>27071.0</v>
      </c>
      <c r="D1606" s="17" t="s">
        <v>9136</v>
      </c>
    </row>
    <row r="1607">
      <c r="A1607" s="14">
        <v>11.0</v>
      </c>
      <c r="B1607" s="15" t="s">
        <v>9137</v>
      </c>
      <c r="C1607" s="16">
        <v>27071.0</v>
      </c>
      <c r="D1607" s="17" t="s">
        <v>9138</v>
      </c>
    </row>
    <row r="1608">
      <c r="A1608" s="14" t="s">
        <v>5986</v>
      </c>
      <c r="B1608" s="15" t="s">
        <v>9139</v>
      </c>
      <c r="C1608" s="16">
        <v>27072.0</v>
      </c>
      <c r="D1608" s="17" t="s">
        <v>9140</v>
      </c>
    </row>
    <row r="1609">
      <c r="A1609" s="14" t="s">
        <v>6057</v>
      </c>
      <c r="B1609" s="15" t="s">
        <v>9141</v>
      </c>
      <c r="C1609" s="16">
        <v>27072.0</v>
      </c>
      <c r="D1609" s="17" t="s">
        <v>9142</v>
      </c>
    </row>
    <row r="1610">
      <c r="A1610" s="14">
        <v>12.0</v>
      </c>
      <c r="B1610" s="15" t="s">
        <v>9143</v>
      </c>
      <c r="C1610" s="16">
        <v>27072.0</v>
      </c>
      <c r="D1610" s="17" t="s">
        <v>9144</v>
      </c>
    </row>
    <row r="1611">
      <c r="A1611" s="14">
        <v>12.0</v>
      </c>
      <c r="B1611" s="15" t="s">
        <v>9145</v>
      </c>
      <c r="C1611" s="16">
        <v>27072.0</v>
      </c>
      <c r="D1611" s="17" t="s">
        <v>9146</v>
      </c>
    </row>
    <row r="1612">
      <c r="A1612" s="14" t="s">
        <v>5986</v>
      </c>
      <c r="B1612" s="15" t="s">
        <v>9147</v>
      </c>
      <c r="C1612" s="16">
        <v>27073.0</v>
      </c>
      <c r="D1612" s="17" t="s">
        <v>9148</v>
      </c>
    </row>
    <row r="1613">
      <c r="A1613" s="14" t="s">
        <v>6353</v>
      </c>
      <c r="B1613" s="15" t="s">
        <v>9149</v>
      </c>
      <c r="C1613" s="16">
        <v>27073.0</v>
      </c>
      <c r="D1613" s="17" t="s">
        <v>9150</v>
      </c>
    </row>
    <row r="1614">
      <c r="A1614" s="14" t="s">
        <v>6353</v>
      </c>
      <c r="B1614" s="15" t="s">
        <v>9151</v>
      </c>
      <c r="C1614" s="16">
        <v>27073.0</v>
      </c>
      <c r="D1614" s="17" t="s">
        <v>9152</v>
      </c>
    </row>
    <row r="1615">
      <c r="A1615" s="14">
        <v>13.0</v>
      </c>
      <c r="B1615" s="15" t="s">
        <v>9153</v>
      </c>
      <c r="C1615" s="16">
        <v>27073.0</v>
      </c>
      <c r="D1615" s="17" t="s">
        <v>9154</v>
      </c>
    </row>
    <row r="1616">
      <c r="A1616" s="14">
        <v>13.0</v>
      </c>
      <c r="B1616" s="15" t="s">
        <v>9155</v>
      </c>
      <c r="C1616" s="16">
        <v>27073.0</v>
      </c>
      <c r="D1616" s="17" t="s">
        <v>9156</v>
      </c>
    </row>
    <row r="1617">
      <c r="A1617" s="14">
        <v>13.0</v>
      </c>
      <c r="B1617" s="15" t="s">
        <v>9157</v>
      </c>
      <c r="C1617" s="16">
        <v>27073.0</v>
      </c>
      <c r="D1617" s="17" t="s">
        <v>9158</v>
      </c>
    </row>
    <row r="1618">
      <c r="A1618" s="14">
        <v>13.0</v>
      </c>
      <c r="B1618" s="15" t="s">
        <v>9159</v>
      </c>
      <c r="C1618" s="16">
        <v>27073.0</v>
      </c>
      <c r="D1618" s="17" t="s">
        <v>9160</v>
      </c>
    </row>
    <row r="1619">
      <c r="A1619" s="14">
        <v>14.0</v>
      </c>
      <c r="B1619" s="15" t="s">
        <v>9161</v>
      </c>
      <c r="C1619" s="16">
        <v>27074.0</v>
      </c>
      <c r="D1619" s="17" t="s">
        <v>9162</v>
      </c>
    </row>
    <row r="1620">
      <c r="A1620" s="14" t="s">
        <v>6374</v>
      </c>
      <c r="B1620" s="15" t="s">
        <v>9163</v>
      </c>
      <c r="C1620" s="16">
        <v>27077.0</v>
      </c>
      <c r="D1620" s="17" t="s">
        <v>9164</v>
      </c>
    </row>
    <row r="1621">
      <c r="A1621" s="14">
        <v>17.0</v>
      </c>
      <c r="B1621" s="15" t="s">
        <v>9165</v>
      </c>
      <c r="C1621" s="16">
        <v>27077.0</v>
      </c>
      <c r="D1621" s="17" t="s">
        <v>9166</v>
      </c>
    </row>
    <row r="1622">
      <c r="A1622" s="14">
        <v>17.0</v>
      </c>
      <c r="B1622" s="15" t="s">
        <v>9167</v>
      </c>
      <c r="C1622" s="16">
        <v>27077.0</v>
      </c>
      <c r="D1622" s="17" t="s">
        <v>9168</v>
      </c>
    </row>
    <row r="1623">
      <c r="A1623" s="14" t="s">
        <v>6074</v>
      </c>
      <c r="B1623" s="15" t="s">
        <v>9169</v>
      </c>
      <c r="C1623" s="16">
        <v>27078.0</v>
      </c>
      <c r="D1623" s="17" t="s">
        <v>9170</v>
      </c>
    </row>
    <row r="1624">
      <c r="A1624" s="14">
        <v>18.0</v>
      </c>
      <c r="B1624" s="15" t="s">
        <v>9171</v>
      </c>
      <c r="C1624" s="16">
        <v>27078.0</v>
      </c>
      <c r="D1624" s="17" t="s">
        <v>9172</v>
      </c>
    </row>
    <row r="1625">
      <c r="A1625" s="14">
        <v>18.0</v>
      </c>
      <c r="B1625" s="15" t="s">
        <v>9173</v>
      </c>
      <c r="C1625" s="16">
        <v>27078.0</v>
      </c>
      <c r="D1625" s="17" t="s">
        <v>9174</v>
      </c>
    </row>
    <row r="1626">
      <c r="A1626" s="14" t="s">
        <v>6074</v>
      </c>
      <c r="B1626" s="15" t="s">
        <v>9175</v>
      </c>
      <c r="C1626" s="16">
        <v>27079.0</v>
      </c>
      <c r="D1626" s="17" t="s">
        <v>9176</v>
      </c>
    </row>
    <row r="1627">
      <c r="A1627" s="14" t="s">
        <v>6374</v>
      </c>
      <c r="B1627" s="15" t="s">
        <v>9177</v>
      </c>
      <c r="C1627" s="16">
        <v>27079.0</v>
      </c>
      <c r="D1627" s="17" t="s">
        <v>9178</v>
      </c>
    </row>
    <row r="1628">
      <c r="A1628" s="14">
        <v>19.0</v>
      </c>
      <c r="B1628" s="15" t="s">
        <v>9179</v>
      </c>
      <c r="C1628" s="16">
        <v>27079.0</v>
      </c>
      <c r="D1628" s="17" t="s">
        <v>9180</v>
      </c>
    </row>
    <row r="1629">
      <c r="A1629" s="14">
        <v>19.0</v>
      </c>
      <c r="B1629" s="15" t="s">
        <v>9181</v>
      </c>
      <c r="C1629" s="16">
        <v>27079.0</v>
      </c>
      <c r="D1629" s="17" t="s">
        <v>9182</v>
      </c>
    </row>
    <row r="1630">
      <c r="A1630" s="14">
        <v>19.0</v>
      </c>
      <c r="B1630" s="15" t="s">
        <v>9183</v>
      </c>
      <c r="C1630" s="16">
        <v>27079.0</v>
      </c>
      <c r="D1630" s="17" t="s">
        <v>9184</v>
      </c>
    </row>
    <row r="1631">
      <c r="A1631" s="14" t="s">
        <v>6074</v>
      </c>
      <c r="B1631" s="15" t="s">
        <v>9185</v>
      </c>
      <c r="C1631" s="16">
        <v>27080.0</v>
      </c>
      <c r="D1631" s="17" t="s">
        <v>9186</v>
      </c>
    </row>
    <row r="1632">
      <c r="A1632" s="14" t="s">
        <v>6374</v>
      </c>
      <c r="B1632" s="15" t="s">
        <v>9187</v>
      </c>
      <c r="C1632" s="16">
        <v>27080.0</v>
      </c>
      <c r="D1632" s="17" t="s">
        <v>9188</v>
      </c>
    </row>
    <row r="1633">
      <c r="A1633" s="14">
        <v>20.0</v>
      </c>
      <c r="B1633" s="15" t="s">
        <v>9189</v>
      </c>
      <c r="C1633" s="16">
        <v>27080.0</v>
      </c>
      <c r="D1633" s="17" t="s">
        <v>9190</v>
      </c>
    </row>
    <row r="1634">
      <c r="A1634" s="14">
        <v>20.0</v>
      </c>
      <c r="B1634" s="15" t="s">
        <v>9191</v>
      </c>
      <c r="C1634" s="16">
        <v>27080.0</v>
      </c>
      <c r="D1634" s="17" t="s">
        <v>9192</v>
      </c>
    </row>
    <row r="1635">
      <c r="A1635" s="14" t="s">
        <v>6353</v>
      </c>
      <c r="B1635" s="15" t="s">
        <v>9193</v>
      </c>
      <c r="C1635" s="16">
        <v>27081.0</v>
      </c>
      <c r="D1635" s="17" t="s">
        <v>9194</v>
      </c>
    </row>
    <row r="1636">
      <c r="A1636" s="14" t="s">
        <v>6074</v>
      </c>
      <c r="B1636" s="15" t="s">
        <v>9195</v>
      </c>
      <c r="C1636" s="16">
        <v>27082.0</v>
      </c>
      <c r="D1636" s="17" t="s">
        <v>9196</v>
      </c>
    </row>
    <row r="1637">
      <c r="A1637" s="14" t="s">
        <v>6374</v>
      </c>
      <c r="B1637" s="15" t="s">
        <v>9197</v>
      </c>
      <c r="C1637" s="16">
        <v>27082.0</v>
      </c>
      <c r="D1637" s="17" t="s">
        <v>9198</v>
      </c>
    </row>
    <row r="1638">
      <c r="A1638" s="14">
        <v>22.0</v>
      </c>
      <c r="B1638" s="15" t="s">
        <v>9199</v>
      </c>
      <c r="C1638" s="16">
        <v>27082.0</v>
      </c>
      <c r="D1638" s="17" t="s">
        <v>9200</v>
      </c>
    </row>
    <row r="1639">
      <c r="A1639" s="14">
        <v>22.0</v>
      </c>
      <c r="B1639" s="15" t="s">
        <v>9201</v>
      </c>
      <c r="C1639" s="16">
        <v>27082.0</v>
      </c>
      <c r="D1639" s="17" t="s">
        <v>9202</v>
      </c>
    </row>
    <row r="1640">
      <c r="A1640" s="14">
        <v>22.0</v>
      </c>
      <c r="B1640" s="15" t="s">
        <v>9203</v>
      </c>
      <c r="C1640" s="16">
        <v>27082.0</v>
      </c>
      <c r="D1640" s="17" t="s">
        <v>9204</v>
      </c>
    </row>
    <row r="1641">
      <c r="A1641" s="14" t="s">
        <v>6074</v>
      </c>
      <c r="B1641" s="15" t="s">
        <v>9205</v>
      </c>
      <c r="C1641" s="16">
        <v>27083.0</v>
      </c>
      <c r="D1641" s="17" t="s">
        <v>9206</v>
      </c>
    </row>
    <row r="1642">
      <c r="A1642" s="14" t="s">
        <v>6374</v>
      </c>
      <c r="B1642" s="15" t="s">
        <v>9207</v>
      </c>
      <c r="C1642" s="16">
        <v>27083.0</v>
      </c>
      <c r="D1642" s="17" t="s">
        <v>9208</v>
      </c>
    </row>
    <row r="1643">
      <c r="A1643" s="14">
        <v>23.0</v>
      </c>
      <c r="B1643" s="15" t="s">
        <v>9209</v>
      </c>
      <c r="C1643" s="16">
        <v>27083.0</v>
      </c>
      <c r="D1643" s="17" t="s">
        <v>9210</v>
      </c>
    </row>
    <row r="1644">
      <c r="A1644" s="14">
        <v>23.0</v>
      </c>
      <c r="B1644" s="15" t="s">
        <v>9211</v>
      </c>
      <c r="C1644" s="16">
        <v>27083.0</v>
      </c>
      <c r="D1644" s="17" t="s">
        <v>9212</v>
      </c>
    </row>
    <row r="1645">
      <c r="A1645" s="14">
        <v>23.0</v>
      </c>
      <c r="B1645" s="15" t="s">
        <v>9213</v>
      </c>
      <c r="C1645" s="16">
        <v>27083.0</v>
      </c>
      <c r="D1645" s="17" t="s">
        <v>9214</v>
      </c>
    </row>
    <row r="1646">
      <c r="A1646" s="14">
        <v>23.0</v>
      </c>
      <c r="B1646" s="15" t="s">
        <v>9215</v>
      </c>
      <c r="C1646" s="16">
        <v>27083.0</v>
      </c>
      <c r="D1646" s="17" t="s">
        <v>9216</v>
      </c>
    </row>
    <row r="1647">
      <c r="A1647" s="14" t="s">
        <v>6074</v>
      </c>
      <c r="B1647" s="15" t="s">
        <v>9217</v>
      </c>
      <c r="C1647" s="16">
        <v>27084.0</v>
      </c>
      <c r="D1647" s="17" t="s">
        <v>9218</v>
      </c>
    </row>
    <row r="1648">
      <c r="A1648" s="14">
        <v>24.0</v>
      </c>
      <c r="B1648" s="15" t="s">
        <v>9219</v>
      </c>
      <c r="C1648" s="16">
        <v>27084.0</v>
      </c>
      <c r="D1648" s="17" t="s">
        <v>9220</v>
      </c>
    </row>
    <row r="1649">
      <c r="A1649" s="14">
        <v>24.0</v>
      </c>
      <c r="B1649" s="15" t="s">
        <v>9221</v>
      </c>
      <c r="C1649" s="16">
        <v>27084.0</v>
      </c>
      <c r="D1649" s="17" t="s">
        <v>9222</v>
      </c>
    </row>
    <row r="1650">
      <c r="A1650" s="14" t="s">
        <v>6074</v>
      </c>
      <c r="B1650" s="15" t="s">
        <v>9223</v>
      </c>
      <c r="C1650" s="16">
        <v>27085.0</v>
      </c>
      <c r="D1650" s="17" t="s">
        <v>9224</v>
      </c>
    </row>
    <row r="1651">
      <c r="A1651" s="14" t="s">
        <v>6074</v>
      </c>
      <c r="B1651" s="15" t="s">
        <v>9225</v>
      </c>
      <c r="C1651" s="16">
        <v>27085.0</v>
      </c>
      <c r="D1651" s="17" t="s">
        <v>9226</v>
      </c>
    </row>
    <row r="1652">
      <c r="A1652" s="14" t="s">
        <v>6374</v>
      </c>
      <c r="B1652" s="15" t="s">
        <v>9227</v>
      </c>
      <c r="C1652" s="16">
        <v>27085.0</v>
      </c>
      <c r="D1652" s="17" t="s">
        <v>9228</v>
      </c>
    </row>
    <row r="1653">
      <c r="A1653" s="14">
        <v>25.0</v>
      </c>
      <c r="B1653" s="15" t="s">
        <v>9229</v>
      </c>
      <c r="C1653" s="16">
        <v>27085.0</v>
      </c>
      <c r="D1653" s="17" t="s">
        <v>9230</v>
      </c>
    </row>
    <row r="1654">
      <c r="A1654" s="14">
        <v>25.0</v>
      </c>
      <c r="B1654" s="15" t="s">
        <v>9231</v>
      </c>
      <c r="C1654" s="16">
        <v>27085.0</v>
      </c>
      <c r="D1654" s="17" t="s">
        <v>9232</v>
      </c>
    </row>
    <row r="1655">
      <c r="A1655" s="14">
        <v>25.0</v>
      </c>
      <c r="B1655" s="15" t="s">
        <v>9233</v>
      </c>
      <c r="C1655" s="16">
        <v>27085.0</v>
      </c>
      <c r="D1655" s="17" t="s">
        <v>9234</v>
      </c>
    </row>
    <row r="1656">
      <c r="A1656" s="14" t="s">
        <v>8598</v>
      </c>
      <c r="B1656" s="15" t="s">
        <v>9235</v>
      </c>
      <c r="C1656" s="16">
        <v>27086.0</v>
      </c>
      <c r="D1656" s="17" t="s">
        <v>9236</v>
      </c>
    </row>
    <row r="1657">
      <c r="A1657" s="14">
        <v>26.0</v>
      </c>
      <c r="B1657" s="15" t="s">
        <v>9237</v>
      </c>
      <c r="C1657" s="16">
        <v>27086.0</v>
      </c>
      <c r="D1657" s="17" t="s">
        <v>9238</v>
      </c>
    </row>
    <row r="1658">
      <c r="A1658" s="14">
        <v>26.0</v>
      </c>
      <c r="B1658" s="15" t="s">
        <v>9239</v>
      </c>
      <c r="C1658" s="16">
        <v>27086.0</v>
      </c>
      <c r="D1658" s="17" t="s">
        <v>9240</v>
      </c>
    </row>
    <row r="1659">
      <c r="A1659" s="14" t="s">
        <v>5932</v>
      </c>
      <c r="B1659" s="15" t="s">
        <v>9241</v>
      </c>
      <c r="C1659" s="16">
        <v>27087.0</v>
      </c>
      <c r="D1659" s="17" t="s">
        <v>9242</v>
      </c>
    </row>
    <row r="1660">
      <c r="A1660" s="14">
        <v>27.0</v>
      </c>
      <c r="B1660" s="15" t="s">
        <v>9243</v>
      </c>
      <c r="C1660" s="16">
        <v>27087.0</v>
      </c>
      <c r="D1660" s="17" t="s">
        <v>9244</v>
      </c>
    </row>
    <row r="1661">
      <c r="A1661" s="14">
        <v>27.0</v>
      </c>
      <c r="B1661" s="15" t="s">
        <v>9245</v>
      </c>
      <c r="C1661" s="16">
        <v>27087.0</v>
      </c>
      <c r="D1661" s="17" t="s">
        <v>9246</v>
      </c>
    </row>
    <row r="1662">
      <c r="A1662" s="14" t="s">
        <v>9247</v>
      </c>
      <c r="B1662" s="15" t="s">
        <v>9248</v>
      </c>
      <c r="C1662" s="16">
        <v>27089.0</v>
      </c>
      <c r="D1662" s="17" t="s">
        <v>9249</v>
      </c>
    </row>
    <row r="1663">
      <c r="A1663" s="14" t="s">
        <v>9247</v>
      </c>
      <c r="B1663" s="15" t="s">
        <v>9250</v>
      </c>
      <c r="C1663" s="16">
        <v>27089.0</v>
      </c>
      <c r="D1663" s="17" t="s">
        <v>9251</v>
      </c>
    </row>
    <row r="1664">
      <c r="A1664" s="14">
        <v>1.0</v>
      </c>
      <c r="B1664" s="15" t="s">
        <v>9252</v>
      </c>
      <c r="C1664" s="16">
        <v>27089.0</v>
      </c>
      <c r="D1664" s="17" t="s">
        <v>9253</v>
      </c>
    </row>
    <row r="1665">
      <c r="A1665" s="14">
        <v>1.0</v>
      </c>
      <c r="B1665" s="15" t="s">
        <v>9254</v>
      </c>
      <c r="C1665" s="16">
        <v>27089.0</v>
      </c>
      <c r="D1665" s="17" t="s">
        <v>9255</v>
      </c>
    </row>
    <row r="1666">
      <c r="A1666" s="14" t="s">
        <v>9247</v>
      </c>
      <c r="B1666" s="15" t="s">
        <v>9256</v>
      </c>
      <c r="C1666" s="16">
        <v>27090.0</v>
      </c>
      <c r="D1666" s="17" t="s">
        <v>9257</v>
      </c>
    </row>
    <row r="1667">
      <c r="A1667" s="14" t="s">
        <v>6374</v>
      </c>
      <c r="B1667" s="15" t="s">
        <v>9258</v>
      </c>
      <c r="C1667" s="16">
        <v>27090.0</v>
      </c>
      <c r="D1667" s="17" t="s">
        <v>9259</v>
      </c>
    </row>
    <row r="1668">
      <c r="A1668" s="14">
        <v>2.0</v>
      </c>
      <c r="B1668" s="15" t="s">
        <v>9260</v>
      </c>
      <c r="C1668" s="16">
        <v>27090.0</v>
      </c>
      <c r="D1668" s="17" t="s">
        <v>9261</v>
      </c>
    </row>
    <row r="1669">
      <c r="A1669" s="14">
        <v>2.0</v>
      </c>
      <c r="B1669" s="15" t="s">
        <v>9262</v>
      </c>
      <c r="C1669" s="16">
        <v>27090.0</v>
      </c>
      <c r="D1669" s="17" t="s">
        <v>9263</v>
      </c>
    </row>
    <row r="1670">
      <c r="A1670" s="14" t="s">
        <v>9247</v>
      </c>
      <c r="B1670" s="15" t="s">
        <v>9264</v>
      </c>
      <c r="C1670" s="16">
        <v>27091.0</v>
      </c>
      <c r="D1670" s="17" t="s">
        <v>9265</v>
      </c>
    </row>
    <row r="1671">
      <c r="A1671" s="14" t="s">
        <v>6374</v>
      </c>
      <c r="B1671" s="15" t="s">
        <v>9266</v>
      </c>
      <c r="C1671" s="16">
        <v>27091.0</v>
      </c>
      <c r="D1671" s="17" t="s">
        <v>9267</v>
      </c>
    </row>
    <row r="1672">
      <c r="A1672" s="14">
        <v>3.0</v>
      </c>
      <c r="B1672" s="15" t="s">
        <v>9268</v>
      </c>
      <c r="C1672" s="16">
        <v>27091.0</v>
      </c>
      <c r="D1672" s="17" t="s">
        <v>9269</v>
      </c>
    </row>
    <row r="1673">
      <c r="A1673" s="14">
        <v>3.0</v>
      </c>
      <c r="B1673" s="15" t="s">
        <v>9270</v>
      </c>
      <c r="C1673" s="16">
        <v>27091.0</v>
      </c>
      <c r="D1673" s="17" t="s">
        <v>9271</v>
      </c>
    </row>
    <row r="1674">
      <c r="A1674" s="14">
        <v>3.0</v>
      </c>
      <c r="B1674" s="15" t="s">
        <v>9272</v>
      </c>
      <c r="C1674" s="16">
        <v>27091.0</v>
      </c>
      <c r="D1674" s="17" t="s">
        <v>9273</v>
      </c>
    </row>
    <row r="1675">
      <c r="A1675" s="14" t="s">
        <v>9247</v>
      </c>
      <c r="B1675" s="15" t="s">
        <v>9274</v>
      </c>
      <c r="C1675" s="16">
        <v>27092.0</v>
      </c>
      <c r="D1675" s="17" t="s">
        <v>9275</v>
      </c>
    </row>
    <row r="1676">
      <c r="A1676" s="14" t="s">
        <v>6374</v>
      </c>
      <c r="B1676" s="15" t="s">
        <v>9276</v>
      </c>
      <c r="C1676" s="16">
        <v>27092.0</v>
      </c>
      <c r="D1676" s="17" t="s">
        <v>9277</v>
      </c>
    </row>
    <row r="1677">
      <c r="A1677" s="14">
        <v>4.0</v>
      </c>
      <c r="B1677" s="15" t="s">
        <v>9278</v>
      </c>
      <c r="C1677" s="16">
        <v>27092.0</v>
      </c>
      <c r="D1677" s="17" t="s">
        <v>9279</v>
      </c>
    </row>
    <row r="1678">
      <c r="A1678" s="14">
        <v>4.0</v>
      </c>
      <c r="B1678" s="15" t="s">
        <v>9280</v>
      </c>
      <c r="C1678" s="16">
        <v>27092.0</v>
      </c>
      <c r="D1678" s="17" t="s">
        <v>9281</v>
      </c>
    </row>
    <row r="1679">
      <c r="A1679" s="14">
        <v>4.0</v>
      </c>
      <c r="B1679" s="15" t="s">
        <v>9282</v>
      </c>
      <c r="C1679" s="16">
        <v>27092.0</v>
      </c>
      <c r="D1679" s="17" t="s">
        <v>9283</v>
      </c>
    </row>
    <row r="1680">
      <c r="A1680" s="14" t="s">
        <v>6374</v>
      </c>
      <c r="B1680" s="15" t="s">
        <v>9284</v>
      </c>
      <c r="C1680" s="16">
        <v>27093.0</v>
      </c>
      <c r="D1680" s="17" t="s">
        <v>9285</v>
      </c>
    </row>
    <row r="1681">
      <c r="A1681" s="14">
        <v>5.0</v>
      </c>
      <c r="B1681" s="15" t="s">
        <v>9286</v>
      </c>
      <c r="C1681" s="16">
        <v>27093.0</v>
      </c>
      <c r="D1681" s="17" t="s">
        <v>9287</v>
      </c>
    </row>
    <row r="1682">
      <c r="A1682" s="14" t="s">
        <v>6374</v>
      </c>
      <c r="B1682" s="15" t="s">
        <v>9288</v>
      </c>
      <c r="C1682" s="16">
        <v>27094.0</v>
      </c>
      <c r="D1682" s="17" t="s">
        <v>9289</v>
      </c>
    </row>
    <row r="1683">
      <c r="A1683" s="14">
        <v>6.0</v>
      </c>
      <c r="B1683" s="15" t="s">
        <v>9290</v>
      </c>
      <c r="C1683" s="16">
        <v>27094.0</v>
      </c>
      <c r="D1683" s="17" t="s">
        <v>9291</v>
      </c>
    </row>
    <row r="1684">
      <c r="A1684" s="14">
        <v>6.0</v>
      </c>
      <c r="B1684" s="15" t="s">
        <v>9292</v>
      </c>
      <c r="C1684" s="16">
        <v>27094.0</v>
      </c>
      <c r="D1684" s="17" t="s">
        <v>9293</v>
      </c>
    </row>
    <row r="1685">
      <c r="A1685" s="14" t="s">
        <v>9247</v>
      </c>
      <c r="B1685" s="15" t="s">
        <v>9294</v>
      </c>
      <c r="C1685" s="16">
        <v>27095.0</v>
      </c>
      <c r="D1685" s="17" t="s">
        <v>9295</v>
      </c>
    </row>
    <row r="1686">
      <c r="A1686" s="14" t="s">
        <v>6374</v>
      </c>
      <c r="B1686" s="15" t="s">
        <v>9296</v>
      </c>
      <c r="C1686" s="16">
        <v>27095.0</v>
      </c>
      <c r="D1686" s="17" t="s">
        <v>9297</v>
      </c>
    </row>
    <row r="1687">
      <c r="A1687" s="14">
        <v>7.0</v>
      </c>
      <c r="B1687" s="15" t="s">
        <v>9298</v>
      </c>
      <c r="C1687" s="16">
        <v>27095.0</v>
      </c>
      <c r="D1687" s="17" t="s">
        <v>9299</v>
      </c>
    </row>
    <row r="1688">
      <c r="A1688" s="14">
        <v>7.0</v>
      </c>
      <c r="B1688" s="15" t="s">
        <v>9300</v>
      </c>
      <c r="C1688" s="16">
        <v>27095.0</v>
      </c>
      <c r="D1688" s="17" t="s">
        <v>9301</v>
      </c>
    </row>
    <row r="1689">
      <c r="A1689" s="14">
        <v>7.0</v>
      </c>
      <c r="B1689" s="15" t="s">
        <v>9302</v>
      </c>
      <c r="C1689" s="16">
        <v>27095.0</v>
      </c>
      <c r="D1689" s="17" t="s">
        <v>9303</v>
      </c>
    </row>
    <row r="1690">
      <c r="A1690" s="14" t="s">
        <v>9247</v>
      </c>
      <c r="B1690" s="15" t="s">
        <v>9304</v>
      </c>
      <c r="C1690" s="16">
        <v>27097.0</v>
      </c>
      <c r="D1690" s="17" t="s">
        <v>9305</v>
      </c>
    </row>
    <row r="1691">
      <c r="A1691" s="14" t="s">
        <v>6374</v>
      </c>
      <c r="B1691" s="15" t="s">
        <v>9306</v>
      </c>
      <c r="C1691" s="16">
        <v>27097.0</v>
      </c>
      <c r="D1691" s="17" t="s">
        <v>9307</v>
      </c>
    </row>
    <row r="1692">
      <c r="A1692" s="14">
        <v>9.0</v>
      </c>
      <c r="B1692" s="15" t="s">
        <v>9308</v>
      </c>
      <c r="C1692" s="16">
        <v>27097.0</v>
      </c>
      <c r="D1692" s="17" t="s">
        <v>9309</v>
      </c>
    </row>
    <row r="1693">
      <c r="A1693" s="14">
        <v>9.0</v>
      </c>
      <c r="B1693" s="15" t="s">
        <v>9310</v>
      </c>
      <c r="C1693" s="16">
        <v>27097.0</v>
      </c>
      <c r="D1693" s="17" t="s">
        <v>9311</v>
      </c>
    </row>
    <row r="1694">
      <c r="A1694" s="14">
        <v>9.0</v>
      </c>
      <c r="B1694" s="15" t="s">
        <v>9312</v>
      </c>
      <c r="C1694" s="16">
        <v>27097.0</v>
      </c>
      <c r="D1694" s="17" t="s">
        <v>9313</v>
      </c>
    </row>
    <row r="1695">
      <c r="A1695" s="14">
        <v>9.0</v>
      </c>
      <c r="B1695" s="15" t="s">
        <v>9314</v>
      </c>
      <c r="C1695" s="16">
        <v>27097.0</v>
      </c>
      <c r="D1695" s="17" t="s">
        <v>9315</v>
      </c>
    </row>
    <row r="1696">
      <c r="A1696" s="14">
        <v>10.0</v>
      </c>
      <c r="B1696" s="15" t="s">
        <v>9316</v>
      </c>
      <c r="C1696" s="16">
        <v>27098.0</v>
      </c>
      <c r="D1696" s="17" t="s">
        <v>9317</v>
      </c>
    </row>
    <row r="1697">
      <c r="A1697" s="14" t="s">
        <v>6374</v>
      </c>
      <c r="B1697" s="15" t="s">
        <v>9318</v>
      </c>
      <c r="C1697" s="16">
        <v>27100.0</v>
      </c>
      <c r="D1697" s="17" t="s">
        <v>9319</v>
      </c>
    </row>
    <row r="1698">
      <c r="A1698" s="14">
        <v>12.0</v>
      </c>
      <c r="B1698" s="15" t="s">
        <v>9320</v>
      </c>
      <c r="C1698" s="16">
        <v>27100.0</v>
      </c>
      <c r="D1698" s="17" t="s">
        <v>9321</v>
      </c>
    </row>
    <row r="1699">
      <c r="A1699" s="14" t="s">
        <v>9247</v>
      </c>
      <c r="B1699" s="15" t="s">
        <v>9322</v>
      </c>
      <c r="C1699" s="16">
        <v>27101.0</v>
      </c>
      <c r="D1699" s="17" t="s">
        <v>9323</v>
      </c>
    </row>
    <row r="1700">
      <c r="A1700" s="14" t="s">
        <v>6374</v>
      </c>
      <c r="B1700" s="15" t="s">
        <v>9324</v>
      </c>
      <c r="C1700" s="16">
        <v>27101.0</v>
      </c>
      <c r="D1700" s="17" t="s">
        <v>9325</v>
      </c>
    </row>
    <row r="1701">
      <c r="A1701" s="14">
        <v>13.0</v>
      </c>
      <c r="B1701" s="15" t="s">
        <v>9326</v>
      </c>
      <c r="C1701" s="16">
        <v>27101.0</v>
      </c>
      <c r="D1701" s="17" t="s">
        <v>9327</v>
      </c>
    </row>
    <row r="1702">
      <c r="A1702" s="14">
        <v>13.0</v>
      </c>
      <c r="B1702" s="15" t="s">
        <v>9328</v>
      </c>
      <c r="C1702" s="16">
        <v>27101.0</v>
      </c>
      <c r="D1702" s="17" t="s">
        <v>9329</v>
      </c>
    </row>
    <row r="1703">
      <c r="A1703" s="14">
        <v>13.0</v>
      </c>
      <c r="B1703" s="15" t="s">
        <v>9330</v>
      </c>
      <c r="C1703" s="16">
        <v>27101.0</v>
      </c>
      <c r="D1703" s="17" t="s">
        <v>9331</v>
      </c>
    </row>
    <row r="1704">
      <c r="A1704" s="14" t="s">
        <v>6374</v>
      </c>
      <c r="B1704" s="15" t="s">
        <v>9332</v>
      </c>
      <c r="C1704" s="16">
        <v>27102.0</v>
      </c>
      <c r="D1704" s="17" t="s">
        <v>9333</v>
      </c>
    </row>
    <row r="1705">
      <c r="A1705" s="14">
        <v>14.0</v>
      </c>
      <c r="B1705" s="15" t="s">
        <v>9334</v>
      </c>
      <c r="C1705" s="16">
        <v>27102.0</v>
      </c>
      <c r="D1705" s="17" t="s">
        <v>9335</v>
      </c>
    </row>
    <row r="1706">
      <c r="A1706" s="14">
        <v>14.0</v>
      </c>
      <c r="B1706" s="15" t="s">
        <v>9336</v>
      </c>
      <c r="C1706" s="16">
        <v>27102.0</v>
      </c>
      <c r="D1706" s="17" t="s">
        <v>9337</v>
      </c>
    </row>
    <row r="1707">
      <c r="A1707" s="14">
        <v>14.0</v>
      </c>
      <c r="B1707" s="15" t="s">
        <v>9338</v>
      </c>
      <c r="C1707" s="16">
        <v>27102.0</v>
      </c>
      <c r="D1707" s="17" t="s">
        <v>9339</v>
      </c>
    </row>
    <row r="1708">
      <c r="A1708" s="14" t="s">
        <v>9247</v>
      </c>
      <c r="B1708" s="15" t="s">
        <v>9340</v>
      </c>
      <c r="C1708" s="16">
        <v>27103.0</v>
      </c>
      <c r="D1708" s="17" t="s">
        <v>9341</v>
      </c>
    </row>
    <row r="1709">
      <c r="A1709" s="14" t="s">
        <v>6374</v>
      </c>
      <c r="B1709" s="15" t="s">
        <v>9342</v>
      </c>
      <c r="C1709" s="16">
        <v>27103.0</v>
      </c>
      <c r="D1709" s="17" t="s">
        <v>9343</v>
      </c>
    </row>
    <row r="1710">
      <c r="A1710" s="14" t="s">
        <v>6353</v>
      </c>
      <c r="B1710" s="15" t="s">
        <v>9344</v>
      </c>
      <c r="C1710" s="16">
        <v>27103.0</v>
      </c>
      <c r="D1710" s="17" t="s">
        <v>9345</v>
      </c>
    </row>
    <row r="1711">
      <c r="A1711" s="14">
        <v>15.0</v>
      </c>
      <c r="B1711" s="15" t="s">
        <v>9346</v>
      </c>
      <c r="C1711" s="16">
        <v>27103.0</v>
      </c>
      <c r="D1711" s="17" t="s">
        <v>9347</v>
      </c>
    </row>
    <row r="1712">
      <c r="A1712" s="14">
        <v>15.0</v>
      </c>
      <c r="B1712" s="15" t="s">
        <v>9348</v>
      </c>
      <c r="C1712" s="16">
        <v>27103.0</v>
      </c>
      <c r="D1712" s="17" t="s">
        <v>9349</v>
      </c>
    </row>
    <row r="1713">
      <c r="A1713" s="14">
        <v>15.0</v>
      </c>
      <c r="B1713" s="15" t="s">
        <v>9350</v>
      </c>
      <c r="C1713" s="16">
        <v>27103.0</v>
      </c>
      <c r="D1713" s="17" t="s">
        <v>9351</v>
      </c>
    </row>
    <row r="1714">
      <c r="A1714" s="14">
        <v>15.0</v>
      </c>
      <c r="B1714" s="15" t="s">
        <v>9352</v>
      </c>
      <c r="C1714" s="16">
        <v>27103.0</v>
      </c>
      <c r="D1714" s="17" t="s">
        <v>9353</v>
      </c>
    </row>
    <row r="1715">
      <c r="A1715" s="14" t="s">
        <v>6374</v>
      </c>
      <c r="B1715" s="15" t="s">
        <v>9354</v>
      </c>
      <c r="C1715" s="16">
        <v>27104.0</v>
      </c>
      <c r="D1715" s="17" t="s">
        <v>9355</v>
      </c>
    </row>
    <row r="1716">
      <c r="A1716" s="14" t="s">
        <v>6353</v>
      </c>
      <c r="B1716" s="15" t="s">
        <v>9356</v>
      </c>
      <c r="C1716" s="16">
        <v>27104.0</v>
      </c>
      <c r="D1716" s="17" t="s">
        <v>9357</v>
      </c>
    </row>
    <row r="1717">
      <c r="A1717" s="14" t="s">
        <v>6353</v>
      </c>
      <c r="B1717" s="15" t="s">
        <v>9358</v>
      </c>
      <c r="C1717" s="16">
        <v>27104.0</v>
      </c>
      <c r="D1717" s="17" t="s">
        <v>9359</v>
      </c>
    </row>
    <row r="1718">
      <c r="A1718" s="14" t="s">
        <v>6487</v>
      </c>
      <c r="B1718" s="15" t="s">
        <v>9360</v>
      </c>
      <c r="C1718" s="16">
        <v>27104.0</v>
      </c>
      <c r="D1718" s="17" t="s">
        <v>9361</v>
      </c>
    </row>
    <row r="1719">
      <c r="A1719" s="14">
        <v>16.0</v>
      </c>
      <c r="B1719" s="15" t="s">
        <v>9362</v>
      </c>
      <c r="C1719" s="16">
        <v>27104.0</v>
      </c>
      <c r="D1719" s="17" t="s">
        <v>9363</v>
      </c>
    </row>
    <row r="1720">
      <c r="A1720" s="14">
        <v>16.0</v>
      </c>
      <c r="B1720" s="15" t="s">
        <v>9364</v>
      </c>
      <c r="C1720" s="16">
        <v>27104.0</v>
      </c>
      <c r="D1720" s="17" t="s">
        <v>9365</v>
      </c>
    </row>
    <row r="1721">
      <c r="A1721" s="14">
        <v>16.0</v>
      </c>
      <c r="B1721" s="15" t="s">
        <v>9366</v>
      </c>
      <c r="C1721" s="16">
        <v>27104.0</v>
      </c>
      <c r="D1721" s="17" t="s">
        <v>9367</v>
      </c>
    </row>
    <row r="1722">
      <c r="A1722" s="14">
        <v>16.0</v>
      </c>
      <c r="B1722" s="15" t="s">
        <v>9368</v>
      </c>
      <c r="C1722" s="16">
        <v>27104.0</v>
      </c>
      <c r="D1722" s="17" t="s">
        <v>9369</v>
      </c>
    </row>
    <row r="1723">
      <c r="A1723" s="14">
        <v>16.0</v>
      </c>
      <c r="B1723" s="15" t="s">
        <v>9370</v>
      </c>
      <c r="C1723" s="16">
        <v>27104.0</v>
      </c>
      <c r="D1723" s="17" t="s">
        <v>9371</v>
      </c>
    </row>
    <row r="1724">
      <c r="A1724" s="14" t="s">
        <v>6374</v>
      </c>
      <c r="B1724" s="15" t="s">
        <v>9372</v>
      </c>
      <c r="C1724" s="16">
        <v>27105.0</v>
      </c>
      <c r="D1724" s="17" t="s">
        <v>9373</v>
      </c>
    </row>
    <row r="1725">
      <c r="A1725" s="14" t="s">
        <v>6487</v>
      </c>
      <c r="B1725" s="15" t="s">
        <v>9374</v>
      </c>
      <c r="C1725" s="16">
        <v>27105.0</v>
      </c>
      <c r="D1725" s="17" t="s">
        <v>9375</v>
      </c>
    </row>
    <row r="1726">
      <c r="A1726" s="14">
        <v>17.0</v>
      </c>
      <c r="B1726" s="15" t="s">
        <v>9376</v>
      </c>
      <c r="C1726" s="16">
        <v>27105.0</v>
      </c>
      <c r="D1726" s="17" t="s">
        <v>9377</v>
      </c>
    </row>
    <row r="1727">
      <c r="A1727" s="14">
        <v>17.0</v>
      </c>
      <c r="B1727" s="15" t="s">
        <v>9378</v>
      </c>
      <c r="C1727" s="16">
        <v>27105.0</v>
      </c>
      <c r="D1727" s="17" t="s">
        <v>9379</v>
      </c>
    </row>
    <row r="1728">
      <c r="A1728" s="14">
        <v>17.0</v>
      </c>
      <c r="B1728" s="15" t="s">
        <v>9380</v>
      </c>
      <c r="C1728" s="16">
        <v>27105.0</v>
      </c>
      <c r="D1728" s="17" t="s">
        <v>9381</v>
      </c>
    </row>
    <row r="1729">
      <c r="A1729" s="14">
        <v>17.0</v>
      </c>
      <c r="B1729" s="15" t="s">
        <v>9382</v>
      </c>
      <c r="C1729" s="16">
        <v>27105.0</v>
      </c>
      <c r="D1729" s="17" t="s">
        <v>9383</v>
      </c>
    </row>
    <row r="1730">
      <c r="A1730" s="14" t="s">
        <v>6374</v>
      </c>
      <c r="B1730" s="15" t="s">
        <v>9384</v>
      </c>
      <c r="C1730" s="16">
        <v>27106.0</v>
      </c>
      <c r="D1730" s="17" t="s">
        <v>9385</v>
      </c>
    </row>
    <row r="1731">
      <c r="A1731" s="14">
        <v>18.0</v>
      </c>
      <c r="B1731" s="15" t="s">
        <v>9386</v>
      </c>
      <c r="C1731" s="16">
        <v>27106.0</v>
      </c>
      <c r="D1731" s="17" t="s">
        <v>9387</v>
      </c>
    </row>
    <row r="1732">
      <c r="A1732" s="14">
        <v>18.0</v>
      </c>
      <c r="B1732" s="15" t="s">
        <v>9388</v>
      </c>
      <c r="C1732" s="16">
        <v>27106.0</v>
      </c>
      <c r="D1732" s="17" t="s">
        <v>9389</v>
      </c>
    </row>
    <row r="1733">
      <c r="A1733" s="14" t="s">
        <v>6487</v>
      </c>
      <c r="B1733" s="15" t="s">
        <v>9390</v>
      </c>
      <c r="C1733" s="16">
        <v>27107.0</v>
      </c>
      <c r="D1733" s="17" t="s">
        <v>9391</v>
      </c>
    </row>
    <row r="1734">
      <c r="A1734" s="14">
        <v>19.0</v>
      </c>
      <c r="B1734" s="15" t="s">
        <v>9392</v>
      </c>
      <c r="C1734" s="16">
        <v>27107.0</v>
      </c>
      <c r="D1734" s="17" t="s">
        <v>9393</v>
      </c>
    </row>
    <row r="1735">
      <c r="A1735" s="14">
        <v>19.0</v>
      </c>
      <c r="B1735" s="15" t="s">
        <v>9394</v>
      </c>
      <c r="C1735" s="16">
        <v>27107.0</v>
      </c>
      <c r="D1735" s="17" t="s">
        <v>9395</v>
      </c>
    </row>
    <row r="1736">
      <c r="A1736" s="14" t="s">
        <v>6374</v>
      </c>
      <c r="B1736" s="15" t="s">
        <v>9396</v>
      </c>
      <c r="C1736" s="16">
        <v>27108.0</v>
      </c>
      <c r="D1736" s="17" t="s">
        <v>9397</v>
      </c>
    </row>
    <row r="1737">
      <c r="A1737" s="14">
        <v>20.0</v>
      </c>
      <c r="B1737" s="15" t="s">
        <v>9398</v>
      </c>
      <c r="C1737" s="16">
        <v>27108.0</v>
      </c>
      <c r="D1737" s="17" t="s">
        <v>9399</v>
      </c>
    </row>
    <row r="1738">
      <c r="A1738" s="14" t="s">
        <v>5986</v>
      </c>
      <c r="B1738" s="15" t="s">
        <v>9400</v>
      </c>
      <c r="C1738" s="16">
        <v>27109.0</v>
      </c>
      <c r="D1738" s="17" t="s">
        <v>9401</v>
      </c>
    </row>
    <row r="1739">
      <c r="A1739" s="14">
        <v>21.0</v>
      </c>
      <c r="B1739" s="15" t="s">
        <v>9402</v>
      </c>
      <c r="C1739" s="16">
        <v>27109.0</v>
      </c>
      <c r="D1739" s="17" t="s">
        <v>9403</v>
      </c>
    </row>
    <row r="1740">
      <c r="A1740" s="14">
        <v>21.0</v>
      </c>
      <c r="B1740" s="15" t="s">
        <v>9404</v>
      </c>
      <c r="C1740" s="16">
        <v>27109.0</v>
      </c>
      <c r="D1740" s="17" t="s">
        <v>9405</v>
      </c>
    </row>
    <row r="1741">
      <c r="A1741" s="14" t="s">
        <v>5986</v>
      </c>
      <c r="B1741" s="15" t="s">
        <v>9406</v>
      </c>
      <c r="C1741" s="16">
        <v>27110.0</v>
      </c>
      <c r="D1741" s="17" t="s">
        <v>9407</v>
      </c>
    </row>
    <row r="1742">
      <c r="A1742" s="14">
        <v>22.0</v>
      </c>
      <c r="B1742" s="15" t="s">
        <v>9408</v>
      </c>
      <c r="C1742" s="16">
        <v>27110.0</v>
      </c>
      <c r="D1742" s="17" t="s">
        <v>9409</v>
      </c>
    </row>
    <row r="1743">
      <c r="A1743" s="14">
        <v>22.0</v>
      </c>
      <c r="B1743" s="15" t="s">
        <v>9410</v>
      </c>
      <c r="C1743" s="16">
        <v>27110.0</v>
      </c>
      <c r="D1743" s="17" t="s">
        <v>9411</v>
      </c>
    </row>
    <row r="1744">
      <c r="A1744" s="14" t="s">
        <v>5986</v>
      </c>
      <c r="B1744" s="15" t="s">
        <v>9412</v>
      </c>
      <c r="C1744" s="16">
        <v>27111.0</v>
      </c>
      <c r="D1744" s="17" t="s">
        <v>9413</v>
      </c>
    </row>
    <row r="1745">
      <c r="A1745" s="14" t="s">
        <v>6374</v>
      </c>
      <c r="B1745" s="15" t="s">
        <v>9414</v>
      </c>
      <c r="C1745" s="16">
        <v>27111.0</v>
      </c>
      <c r="D1745" s="17" t="s">
        <v>9415</v>
      </c>
    </row>
    <row r="1746">
      <c r="A1746" s="14">
        <v>23.0</v>
      </c>
      <c r="B1746" s="15" t="s">
        <v>9416</v>
      </c>
      <c r="C1746" s="16">
        <v>27111.0</v>
      </c>
      <c r="D1746" s="17" t="s">
        <v>9417</v>
      </c>
    </row>
    <row r="1747">
      <c r="A1747" s="14">
        <v>23.0</v>
      </c>
      <c r="B1747" s="15" t="s">
        <v>9418</v>
      </c>
      <c r="C1747" s="16">
        <v>27111.0</v>
      </c>
      <c r="D1747" s="17" t="s">
        <v>9419</v>
      </c>
    </row>
    <row r="1748">
      <c r="A1748" s="14">
        <v>23.0</v>
      </c>
      <c r="B1748" s="15" t="s">
        <v>9420</v>
      </c>
      <c r="C1748" s="16">
        <v>27111.0</v>
      </c>
      <c r="D1748" s="17" t="s">
        <v>9421</v>
      </c>
    </row>
    <row r="1749">
      <c r="A1749" s="14">
        <v>23.0</v>
      </c>
      <c r="B1749" s="15" t="s">
        <v>9422</v>
      </c>
      <c r="C1749" s="16">
        <v>27111.0</v>
      </c>
      <c r="D1749" s="17" t="s">
        <v>9423</v>
      </c>
    </row>
    <row r="1750">
      <c r="A1750" s="14" t="s">
        <v>5986</v>
      </c>
      <c r="B1750" s="15" t="s">
        <v>9424</v>
      </c>
      <c r="C1750" s="16">
        <v>27112.0</v>
      </c>
      <c r="D1750" s="17" t="s">
        <v>9425</v>
      </c>
    </row>
    <row r="1751">
      <c r="A1751" s="14" t="s">
        <v>6374</v>
      </c>
      <c r="B1751" s="15" t="s">
        <v>9426</v>
      </c>
      <c r="C1751" s="16">
        <v>27112.0</v>
      </c>
      <c r="D1751" s="17" t="s">
        <v>9427</v>
      </c>
    </row>
    <row r="1752">
      <c r="A1752" s="14">
        <v>24.0</v>
      </c>
      <c r="B1752" s="15" t="s">
        <v>9428</v>
      </c>
      <c r="C1752" s="16">
        <v>27112.0</v>
      </c>
      <c r="D1752" s="17" t="s">
        <v>9429</v>
      </c>
    </row>
    <row r="1753">
      <c r="A1753" s="14">
        <v>24.0</v>
      </c>
      <c r="B1753" s="15" t="s">
        <v>9430</v>
      </c>
      <c r="C1753" s="16">
        <v>27112.0</v>
      </c>
      <c r="D1753" s="17" t="s">
        <v>9431</v>
      </c>
    </row>
    <row r="1754">
      <c r="A1754" s="14">
        <v>24.0</v>
      </c>
      <c r="B1754" s="15" t="s">
        <v>9432</v>
      </c>
      <c r="C1754" s="16">
        <v>27112.0</v>
      </c>
      <c r="D1754" s="17" t="s">
        <v>9433</v>
      </c>
    </row>
    <row r="1755">
      <c r="A1755" s="14">
        <v>24.0</v>
      </c>
      <c r="B1755" s="15" t="s">
        <v>9434</v>
      </c>
      <c r="C1755" s="16">
        <v>27112.0</v>
      </c>
      <c r="D1755" s="17" t="s">
        <v>9435</v>
      </c>
    </row>
    <row r="1756">
      <c r="A1756" s="14" t="s">
        <v>5986</v>
      </c>
      <c r="B1756" s="15" t="s">
        <v>9436</v>
      </c>
      <c r="C1756" s="16">
        <v>27113.0</v>
      </c>
      <c r="D1756" s="17" t="s">
        <v>9437</v>
      </c>
    </row>
    <row r="1757">
      <c r="A1757" s="14" t="s">
        <v>6374</v>
      </c>
      <c r="B1757" s="15" t="s">
        <v>9438</v>
      </c>
      <c r="C1757" s="16">
        <v>27113.0</v>
      </c>
      <c r="D1757" s="17" t="s">
        <v>9439</v>
      </c>
    </row>
    <row r="1758">
      <c r="A1758" s="14">
        <v>25.0</v>
      </c>
      <c r="B1758" s="15" t="s">
        <v>9440</v>
      </c>
      <c r="C1758" s="16">
        <v>27113.0</v>
      </c>
      <c r="D1758" s="17" t="s">
        <v>9441</v>
      </c>
    </row>
    <row r="1759">
      <c r="A1759" s="14">
        <v>25.0</v>
      </c>
      <c r="B1759" s="15" t="s">
        <v>9442</v>
      </c>
      <c r="C1759" s="16">
        <v>27113.0</v>
      </c>
      <c r="D1759" s="17" t="s">
        <v>9443</v>
      </c>
    </row>
    <row r="1760">
      <c r="A1760" s="14">
        <v>25.0</v>
      </c>
      <c r="B1760" s="15" t="s">
        <v>9444</v>
      </c>
      <c r="C1760" s="16">
        <v>27113.0</v>
      </c>
      <c r="D1760" s="17" t="s">
        <v>9445</v>
      </c>
    </row>
    <row r="1761">
      <c r="A1761" s="14" t="s">
        <v>5986</v>
      </c>
      <c r="B1761" s="15" t="s">
        <v>9446</v>
      </c>
      <c r="C1761" s="16">
        <v>27114.0</v>
      </c>
      <c r="D1761" s="17" t="s">
        <v>9447</v>
      </c>
    </row>
    <row r="1762">
      <c r="A1762" s="14" t="s">
        <v>6374</v>
      </c>
      <c r="B1762" s="15" t="s">
        <v>9448</v>
      </c>
      <c r="C1762" s="16">
        <v>27114.0</v>
      </c>
      <c r="D1762" s="17" t="s">
        <v>9449</v>
      </c>
    </row>
    <row r="1763">
      <c r="A1763" s="14">
        <v>26.0</v>
      </c>
      <c r="B1763" s="15" t="s">
        <v>9450</v>
      </c>
      <c r="C1763" s="16">
        <v>27114.0</v>
      </c>
      <c r="D1763" s="17" t="s">
        <v>9451</v>
      </c>
    </row>
    <row r="1764">
      <c r="A1764" s="14">
        <v>26.0</v>
      </c>
      <c r="B1764" s="15" t="s">
        <v>9452</v>
      </c>
      <c r="C1764" s="16">
        <v>27114.0</v>
      </c>
      <c r="D1764" s="17" t="s">
        <v>9453</v>
      </c>
    </row>
    <row r="1765">
      <c r="A1765" s="14">
        <v>26.0</v>
      </c>
      <c r="B1765" s="15" t="s">
        <v>9454</v>
      </c>
      <c r="C1765" s="16">
        <v>27114.0</v>
      </c>
      <c r="D1765" s="17" t="s">
        <v>9455</v>
      </c>
    </row>
    <row r="1766">
      <c r="A1766" s="14" t="s">
        <v>5986</v>
      </c>
      <c r="B1766" s="15" t="s">
        <v>9456</v>
      </c>
      <c r="C1766" s="16">
        <v>27115.0</v>
      </c>
      <c r="D1766" s="17" t="s">
        <v>9457</v>
      </c>
    </row>
    <row r="1767">
      <c r="A1767" s="14" t="s">
        <v>6374</v>
      </c>
      <c r="B1767" s="15" t="s">
        <v>9458</v>
      </c>
      <c r="C1767" s="16">
        <v>27115.0</v>
      </c>
      <c r="D1767" s="17" t="s">
        <v>9459</v>
      </c>
    </row>
    <row r="1768">
      <c r="A1768" s="14" t="s">
        <v>6353</v>
      </c>
      <c r="B1768" s="15" t="s">
        <v>9460</v>
      </c>
      <c r="C1768" s="16">
        <v>27115.0</v>
      </c>
      <c r="D1768" s="17" t="s">
        <v>9461</v>
      </c>
    </row>
    <row r="1769">
      <c r="A1769" s="14">
        <v>27.0</v>
      </c>
      <c r="B1769" s="15" t="s">
        <v>9462</v>
      </c>
      <c r="C1769" s="16">
        <v>27115.0</v>
      </c>
      <c r="D1769" s="17" t="s">
        <v>9463</v>
      </c>
    </row>
    <row r="1770">
      <c r="A1770" s="14">
        <v>27.0</v>
      </c>
      <c r="B1770" s="15" t="s">
        <v>9464</v>
      </c>
      <c r="C1770" s="16">
        <v>27115.0</v>
      </c>
      <c r="D1770" s="17" t="s">
        <v>9465</v>
      </c>
    </row>
    <row r="1771">
      <c r="A1771" s="14">
        <v>27.0</v>
      </c>
      <c r="B1771" s="15" t="s">
        <v>9466</v>
      </c>
      <c r="C1771" s="16">
        <v>27115.0</v>
      </c>
      <c r="D1771" s="17" t="s">
        <v>9467</v>
      </c>
    </row>
    <row r="1772">
      <c r="A1772" s="14">
        <v>27.0</v>
      </c>
      <c r="B1772" s="15" t="s">
        <v>9468</v>
      </c>
      <c r="C1772" s="16">
        <v>27115.0</v>
      </c>
      <c r="D1772" s="17" t="s">
        <v>9469</v>
      </c>
    </row>
    <row r="1773">
      <c r="A1773" s="14" t="s">
        <v>5986</v>
      </c>
      <c r="B1773" s="15" t="s">
        <v>9470</v>
      </c>
      <c r="C1773" s="16">
        <v>27116.0</v>
      </c>
      <c r="D1773" s="17" t="s">
        <v>9471</v>
      </c>
    </row>
    <row r="1774">
      <c r="A1774" s="14" t="s">
        <v>6374</v>
      </c>
      <c r="B1774" s="15" t="s">
        <v>9472</v>
      </c>
      <c r="C1774" s="16">
        <v>27116.0</v>
      </c>
      <c r="D1774" s="17" t="s">
        <v>9473</v>
      </c>
    </row>
    <row r="1775">
      <c r="A1775" s="14">
        <v>28.0</v>
      </c>
      <c r="B1775" s="15" t="s">
        <v>9474</v>
      </c>
      <c r="C1775" s="16">
        <v>27116.0</v>
      </c>
      <c r="D1775" s="17" t="s">
        <v>9475</v>
      </c>
    </row>
    <row r="1776">
      <c r="A1776" s="14">
        <v>28.0</v>
      </c>
      <c r="B1776" s="15" t="s">
        <v>9476</v>
      </c>
      <c r="C1776" s="16">
        <v>27116.0</v>
      </c>
      <c r="D1776" s="17" t="s">
        <v>9477</v>
      </c>
    </row>
    <row r="1777">
      <c r="A1777" s="14">
        <v>28.0</v>
      </c>
      <c r="B1777" s="15" t="s">
        <v>9478</v>
      </c>
      <c r="C1777" s="16">
        <v>27116.0</v>
      </c>
      <c r="D1777" s="17" t="s">
        <v>9479</v>
      </c>
    </row>
    <row r="1778">
      <c r="A1778" s="14" t="s">
        <v>5986</v>
      </c>
      <c r="B1778" s="15" t="s">
        <v>9480</v>
      </c>
      <c r="C1778" s="16">
        <v>27117.0</v>
      </c>
      <c r="D1778" s="17" t="s">
        <v>9481</v>
      </c>
    </row>
    <row r="1779">
      <c r="A1779" s="14" t="s">
        <v>6374</v>
      </c>
      <c r="B1779" s="15" t="s">
        <v>9482</v>
      </c>
      <c r="C1779" s="16">
        <v>27117.0</v>
      </c>
      <c r="D1779" s="17" t="s">
        <v>9483</v>
      </c>
    </row>
    <row r="1780">
      <c r="A1780" s="14">
        <v>29.0</v>
      </c>
      <c r="B1780" s="15" t="s">
        <v>9484</v>
      </c>
      <c r="C1780" s="16">
        <v>27117.0</v>
      </c>
      <c r="D1780" s="17" t="s">
        <v>9485</v>
      </c>
    </row>
    <row r="1781">
      <c r="A1781" s="14">
        <v>29.0</v>
      </c>
      <c r="B1781" s="15" t="s">
        <v>9486</v>
      </c>
      <c r="C1781" s="16">
        <v>27117.0</v>
      </c>
      <c r="D1781" s="17" t="s">
        <v>9487</v>
      </c>
    </row>
    <row r="1782">
      <c r="A1782" s="14">
        <v>29.0</v>
      </c>
      <c r="B1782" s="15" t="s">
        <v>9488</v>
      </c>
      <c r="C1782" s="16">
        <v>27117.0</v>
      </c>
      <c r="D1782" s="17" t="s">
        <v>9489</v>
      </c>
    </row>
    <row r="1783">
      <c r="A1783" s="14">
        <v>29.0</v>
      </c>
      <c r="B1783" s="15" t="s">
        <v>9490</v>
      </c>
      <c r="C1783" s="16">
        <v>27117.0</v>
      </c>
      <c r="D1783" s="17" t="s">
        <v>9491</v>
      </c>
    </row>
    <row r="1784">
      <c r="A1784" s="14" t="s">
        <v>5986</v>
      </c>
      <c r="B1784" s="15" t="s">
        <v>9492</v>
      </c>
      <c r="C1784" s="16">
        <v>27118.0</v>
      </c>
      <c r="D1784" s="17" t="s">
        <v>9493</v>
      </c>
    </row>
    <row r="1785">
      <c r="A1785" s="14" t="s">
        <v>6374</v>
      </c>
      <c r="B1785" s="15" t="s">
        <v>9494</v>
      </c>
      <c r="C1785" s="16">
        <v>27118.0</v>
      </c>
      <c r="D1785" s="17" t="s">
        <v>9495</v>
      </c>
    </row>
    <row r="1786">
      <c r="A1786" s="14">
        <v>30.0</v>
      </c>
      <c r="B1786" s="15" t="s">
        <v>9496</v>
      </c>
      <c r="C1786" s="16">
        <v>27118.0</v>
      </c>
      <c r="D1786" s="17" t="s">
        <v>9497</v>
      </c>
    </row>
    <row r="1787">
      <c r="A1787" s="14">
        <v>30.0</v>
      </c>
      <c r="B1787" s="15" t="s">
        <v>9498</v>
      </c>
      <c r="C1787" s="16">
        <v>27118.0</v>
      </c>
      <c r="D1787" s="17" t="s">
        <v>9499</v>
      </c>
    </row>
    <row r="1788">
      <c r="A1788" s="14">
        <v>30.0</v>
      </c>
      <c r="B1788" s="15" t="s">
        <v>9500</v>
      </c>
      <c r="C1788" s="16">
        <v>27118.0</v>
      </c>
      <c r="D1788" s="17" t="s">
        <v>9501</v>
      </c>
    </row>
    <row r="1789">
      <c r="A1789" s="14">
        <v>30.0</v>
      </c>
      <c r="B1789" s="15" t="s">
        <v>9502</v>
      </c>
      <c r="C1789" s="16">
        <v>27118.0</v>
      </c>
      <c r="D1789" s="17" t="s">
        <v>9503</v>
      </c>
    </row>
    <row r="1790">
      <c r="A1790" s="14" t="s">
        <v>5986</v>
      </c>
      <c r="B1790" s="15" t="s">
        <v>9504</v>
      </c>
      <c r="C1790" s="16">
        <v>27119.0</v>
      </c>
      <c r="D1790" s="17" t="s">
        <v>9505</v>
      </c>
    </row>
    <row r="1791">
      <c r="A1791" s="14" t="s">
        <v>6374</v>
      </c>
      <c r="B1791" s="15" t="s">
        <v>9506</v>
      </c>
      <c r="C1791" s="16">
        <v>27119.0</v>
      </c>
      <c r="D1791" s="17" t="s">
        <v>9507</v>
      </c>
    </row>
    <row r="1792">
      <c r="A1792" s="14">
        <v>31.0</v>
      </c>
      <c r="B1792" s="15" t="s">
        <v>9508</v>
      </c>
      <c r="C1792" s="16">
        <v>27119.0</v>
      </c>
      <c r="D1792" s="17" t="s">
        <v>9509</v>
      </c>
    </row>
    <row r="1793">
      <c r="A1793" s="14">
        <v>31.0</v>
      </c>
      <c r="B1793" s="15" t="s">
        <v>9510</v>
      </c>
      <c r="C1793" s="16">
        <v>27119.0</v>
      </c>
      <c r="D1793" s="17" t="s">
        <v>9511</v>
      </c>
    </row>
    <row r="1794">
      <c r="A1794" s="14">
        <v>31.0</v>
      </c>
      <c r="B1794" s="15" t="s">
        <v>9512</v>
      </c>
      <c r="C1794" s="16">
        <v>27119.0</v>
      </c>
      <c r="D1794" s="17" t="s">
        <v>9513</v>
      </c>
    </row>
    <row r="1795">
      <c r="A1795" s="14">
        <v>31.0</v>
      </c>
      <c r="B1795" s="15" t="s">
        <v>9514</v>
      </c>
      <c r="C1795" s="16">
        <v>27119.0</v>
      </c>
      <c r="D1795" s="17" t="s">
        <v>9515</v>
      </c>
    </row>
    <row r="1796">
      <c r="A1796" s="14" t="s">
        <v>5986</v>
      </c>
      <c r="B1796" s="15" t="s">
        <v>9516</v>
      </c>
      <c r="C1796" s="16">
        <v>27120.0</v>
      </c>
      <c r="D1796" s="17" t="s">
        <v>9517</v>
      </c>
    </row>
    <row r="1797">
      <c r="A1797" s="14" t="s">
        <v>6087</v>
      </c>
      <c r="B1797" s="15" t="s">
        <v>9518</v>
      </c>
      <c r="C1797" s="16">
        <v>27120.0</v>
      </c>
      <c r="D1797" s="17" t="s">
        <v>9519</v>
      </c>
    </row>
    <row r="1798">
      <c r="A1798" s="14" t="s">
        <v>6374</v>
      </c>
      <c r="B1798" s="15" t="s">
        <v>9520</v>
      </c>
      <c r="C1798" s="16">
        <v>27120.0</v>
      </c>
      <c r="D1798" s="17" t="s">
        <v>9521</v>
      </c>
    </row>
    <row r="1799">
      <c r="A1799" s="14">
        <v>1.0</v>
      </c>
      <c r="B1799" s="15" t="s">
        <v>9522</v>
      </c>
      <c r="C1799" s="16">
        <v>27120.0</v>
      </c>
      <c r="D1799" s="17" t="s">
        <v>9523</v>
      </c>
    </row>
    <row r="1800">
      <c r="A1800" s="14">
        <v>1.0</v>
      </c>
      <c r="B1800" s="15" t="s">
        <v>9524</v>
      </c>
      <c r="C1800" s="16">
        <v>27120.0</v>
      </c>
      <c r="D1800" s="17" t="s">
        <v>9525</v>
      </c>
    </row>
    <row r="1801">
      <c r="A1801" s="14">
        <v>1.0</v>
      </c>
      <c r="B1801" s="15" t="s">
        <v>9526</v>
      </c>
      <c r="C1801" s="16">
        <v>27120.0</v>
      </c>
      <c r="D1801" s="17" t="s">
        <v>9527</v>
      </c>
    </row>
    <row r="1802">
      <c r="A1802" s="14">
        <v>1.0</v>
      </c>
      <c r="B1802" s="15" t="s">
        <v>9528</v>
      </c>
      <c r="C1802" s="16">
        <v>27120.0</v>
      </c>
      <c r="D1802" s="17" t="s">
        <v>9529</v>
      </c>
    </row>
    <row r="1803">
      <c r="A1803" s="14">
        <v>1.0</v>
      </c>
      <c r="B1803" s="15" t="s">
        <v>9530</v>
      </c>
      <c r="C1803" s="16">
        <v>27120.0</v>
      </c>
      <c r="D1803" s="17" t="s">
        <v>9531</v>
      </c>
    </row>
    <row r="1804">
      <c r="A1804" s="14">
        <v>1.0</v>
      </c>
      <c r="B1804" s="15" t="s">
        <v>9532</v>
      </c>
      <c r="C1804" s="16">
        <v>27120.0</v>
      </c>
      <c r="D1804" s="17" t="s">
        <v>9533</v>
      </c>
    </row>
    <row r="1805">
      <c r="A1805" s="14">
        <v>1.0</v>
      </c>
      <c r="B1805" s="15" t="s">
        <v>9534</v>
      </c>
      <c r="C1805" s="16">
        <v>27120.0</v>
      </c>
      <c r="D1805" s="17" t="s">
        <v>9535</v>
      </c>
    </row>
    <row r="1806">
      <c r="A1806" s="14" t="s">
        <v>5986</v>
      </c>
      <c r="B1806" s="15" t="s">
        <v>9536</v>
      </c>
      <c r="C1806" s="16">
        <v>27121.0</v>
      </c>
      <c r="D1806" s="17" t="s">
        <v>9537</v>
      </c>
    </row>
    <row r="1807">
      <c r="A1807" s="14" t="s">
        <v>6374</v>
      </c>
      <c r="B1807" s="15" t="s">
        <v>9538</v>
      </c>
      <c r="C1807" s="16">
        <v>27121.0</v>
      </c>
      <c r="D1807" s="17" t="s">
        <v>9539</v>
      </c>
    </row>
    <row r="1808">
      <c r="A1808" s="14">
        <v>2.0</v>
      </c>
      <c r="B1808" s="15" t="s">
        <v>9540</v>
      </c>
      <c r="C1808" s="16">
        <v>27121.0</v>
      </c>
      <c r="D1808" s="17" t="s">
        <v>9541</v>
      </c>
    </row>
    <row r="1809">
      <c r="A1809" s="14">
        <v>2.0</v>
      </c>
      <c r="B1809" s="15" t="s">
        <v>9542</v>
      </c>
      <c r="C1809" s="16">
        <v>27121.0</v>
      </c>
      <c r="D1809" s="17" t="s">
        <v>9543</v>
      </c>
    </row>
    <row r="1810">
      <c r="A1810" s="14">
        <v>2.0</v>
      </c>
      <c r="B1810" s="15" t="s">
        <v>9544</v>
      </c>
      <c r="C1810" s="16">
        <v>27121.0</v>
      </c>
      <c r="D1810" s="17" t="s">
        <v>9545</v>
      </c>
    </row>
    <row r="1811">
      <c r="A1811" s="14">
        <v>2.0</v>
      </c>
      <c r="B1811" s="15" t="s">
        <v>9546</v>
      </c>
      <c r="C1811" s="16">
        <v>27121.0</v>
      </c>
      <c r="D1811" s="17" t="s">
        <v>9547</v>
      </c>
    </row>
    <row r="1812">
      <c r="A1812" s="14" t="s">
        <v>5986</v>
      </c>
      <c r="B1812" s="15" t="s">
        <v>9548</v>
      </c>
      <c r="C1812" s="16">
        <v>27122.0</v>
      </c>
      <c r="D1812" s="17" t="s">
        <v>9549</v>
      </c>
    </row>
    <row r="1813">
      <c r="A1813" s="14" t="s">
        <v>6374</v>
      </c>
      <c r="B1813" s="15" t="s">
        <v>9550</v>
      </c>
      <c r="C1813" s="16">
        <v>27122.0</v>
      </c>
      <c r="D1813" s="17" t="s">
        <v>9551</v>
      </c>
    </row>
    <row r="1814">
      <c r="A1814" s="14">
        <v>3.0</v>
      </c>
      <c r="B1814" s="15" t="s">
        <v>9552</v>
      </c>
      <c r="C1814" s="16">
        <v>27122.0</v>
      </c>
      <c r="D1814" s="17" t="s">
        <v>9553</v>
      </c>
    </row>
    <row r="1815">
      <c r="A1815" s="14">
        <v>3.0</v>
      </c>
      <c r="B1815" s="15" t="s">
        <v>9554</v>
      </c>
      <c r="C1815" s="16">
        <v>27122.0</v>
      </c>
      <c r="D1815" s="17" t="s">
        <v>9555</v>
      </c>
    </row>
    <row r="1816">
      <c r="A1816" s="14">
        <v>3.0</v>
      </c>
      <c r="B1816" s="15" t="s">
        <v>9556</v>
      </c>
      <c r="C1816" s="16">
        <v>27122.0</v>
      </c>
      <c r="D1816" s="17" t="s">
        <v>9557</v>
      </c>
    </row>
    <row r="1817">
      <c r="A1817" s="14">
        <v>3.0</v>
      </c>
      <c r="B1817" s="15" t="s">
        <v>9558</v>
      </c>
      <c r="C1817" s="16">
        <v>27122.0</v>
      </c>
      <c r="D1817" s="17" t="s">
        <v>9559</v>
      </c>
    </row>
    <row r="1818">
      <c r="A1818" s="14" t="s">
        <v>5986</v>
      </c>
      <c r="B1818" s="15" t="s">
        <v>9560</v>
      </c>
      <c r="C1818" s="16">
        <v>27123.0</v>
      </c>
      <c r="D1818" s="17" t="s">
        <v>9561</v>
      </c>
    </row>
    <row r="1819">
      <c r="A1819" s="14" t="s">
        <v>6374</v>
      </c>
      <c r="B1819" s="15" t="s">
        <v>9562</v>
      </c>
      <c r="C1819" s="16">
        <v>27123.0</v>
      </c>
      <c r="D1819" s="17" t="s">
        <v>9563</v>
      </c>
    </row>
    <row r="1820">
      <c r="A1820" s="14">
        <v>4.0</v>
      </c>
      <c r="B1820" s="15" t="s">
        <v>9564</v>
      </c>
      <c r="C1820" s="16">
        <v>27123.0</v>
      </c>
      <c r="D1820" s="17" t="s">
        <v>9565</v>
      </c>
    </row>
    <row r="1821">
      <c r="A1821" s="14">
        <v>4.0</v>
      </c>
      <c r="B1821" s="15" t="s">
        <v>9566</v>
      </c>
      <c r="C1821" s="16">
        <v>27123.0</v>
      </c>
      <c r="D1821" s="17" t="s">
        <v>9567</v>
      </c>
    </row>
    <row r="1822">
      <c r="A1822" s="14">
        <v>4.0</v>
      </c>
      <c r="B1822" s="15" t="s">
        <v>9568</v>
      </c>
      <c r="C1822" s="16">
        <v>27123.0</v>
      </c>
      <c r="D1822" s="17" t="s">
        <v>9569</v>
      </c>
    </row>
    <row r="1823">
      <c r="A1823" s="14" t="s">
        <v>5986</v>
      </c>
      <c r="B1823" s="15" t="s">
        <v>9570</v>
      </c>
      <c r="C1823" s="16">
        <v>27124.0</v>
      </c>
      <c r="D1823" s="17" t="s">
        <v>9571</v>
      </c>
    </row>
    <row r="1824">
      <c r="A1824" s="14" t="s">
        <v>5986</v>
      </c>
      <c r="B1824" s="15" t="s">
        <v>9572</v>
      </c>
      <c r="C1824" s="16">
        <v>27124.0</v>
      </c>
      <c r="D1824" s="17" t="s">
        <v>9573</v>
      </c>
    </row>
    <row r="1825">
      <c r="A1825" s="14" t="s">
        <v>6374</v>
      </c>
      <c r="B1825" s="15" t="s">
        <v>9574</v>
      </c>
      <c r="C1825" s="16">
        <v>27124.0</v>
      </c>
      <c r="D1825" s="17" t="s">
        <v>9575</v>
      </c>
    </row>
    <row r="1826">
      <c r="A1826" s="14">
        <v>5.0</v>
      </c>
      <c r="B1826" s="15" t="s">
        <v>9576</v>
      </c>
      <c r="C1826" s="16">
        <v>27124.0</v>
      </c>
      <c r="D1826" s="17" t="s">
        <v>9577</v>
      </c>
    </row>
    <row r="1827">
      <c r="A1827" s="14">
        <v>5.0</v>
      </c>
      <c r="B1827" s="15" t="s">
        <v>9578</v>
      </c>
      <c r="C1827" s="16">
        <v>27124.0</v>
      </c>
      <c r="D1827" s="17" t="s">
        <v>9579</v>
      </c>
    </row>
    <row r="1828">
      <c r="A1828" s="14">
        <v>5.0</v>
      </c>
      <c r="B1828" s="15" t="s">
        <v>9580</v>
      </c>
      <c r="C1828" s="16">
        <v>27124.0</v>
      </c>
      <c r="D1828" s="17" t="s">
        <v>9581</v>
      </c>
    </row>
    <row r="1829">
      <c r="A1829" s="14">
        <v>5.0</v>
      </c>
      <c r="B1829" s="15" t="s">
        <v>9582</v>
      </c>
      <c r="C1829" s="16">
        <v>27124.0</v>
      </c>
      <c r="D1829" s="17" t="s">
        <v>9583</v>
      </c>
    </row>
    <row r="1830">
      <c r="A1830" s="14">
        <v>5.0</v>
      </c>
      <c r="B1830" s="15" t="s">
        <v>9584</v>
      </c>
      <c r="C1830" s="16">
        <v>27124.0</v>
      </c>
      <c r="D1830" s="17" t="s">
        <v>9585</v>
      </c>
    </row>
    <row r="1831">
      <c r="A1831" s="14" t="s">
        <v>5986</v>
      </c>
      <c r="B1831" s="15" t="s">
        <v>9586</v>
      </c>
      <c r="C1831" s="16">
        <v>27125.0</v>
      </c>
      <c r="D1831" s="17" t="s">
        <v>9587</v>
      </c>
    </row>
    <row r="1832">
      <c r="A1832" s="14" t="s">
        <v>6374</v>
      </c>
      <c r="B1832" s="15" t="s">
        <v>9588</v>
      </c>
      <c r="C1832" s="16">
        <v>27125.0</v>
      </c>
      <c r="D1832" s="17" t="s">
        <v>9589</v>
      </c>
    </row>
    <row r="1833">
      <c r="A1833" s="14">
        <v>6.0</v>
      </c>
      <c r="B1833" s="15" t="s">
        <v>9590</v>
      </c>
      <c r="C1833" s="16">
        <v>27125.0</v>
      </c>
      <c r="D1833" s="17" t="s">
        <v>9591</v>
      </c>
    </row>
    <row r="1834">
      <c r="A1834" s="14">
        <v>6.0</v>
      </c>
      <c r="B1834" s="15" t="s">
        <v>9592</v>
      </c>
      <c r="C1834" s="16">
        <v>27125.0</v>
      </c>
      <c r="D1834" s="17" t="s">
        <v>9593</v>
      </c>
    </row>
    <row r="1835">
      <c r="A1835" s="14">
        <v>6.0</v>
      </c>
      <c r="B1835" s="15" t="s">
        <v>9594</v>
      </c>
      <c r="C1835" s="16">
        <v>27125.0</v>
      </c>
      <c r="D1835" s="17" t="s">
        <v>9595</v>
      </c>
    </row>
    <row r="1836">
      <c r="A1836" s="14" t="s">
        <v>5986</v>
      </c>
      <c r="B1836" s="15" t="s">
        <v>9596</v>
      </c>
      <c r="C1836" s="16">
        <v>27126.0</v>
      </c>
      <c r="D1836" s="17" t="s">
        <v>9597</v>
      </c>
    </row>
    <row r="1837">
      <c r="A1837" s="14" t="s">
        <v>6374</v>
      </c>
      <c r="B1837" s="15" t="s">
        <v>9598</v>
      </c>
      <c r="C1837" s="16">
        <v>27126.0</v>
      </c>
      <c r="D1837" s="17" t="s">
        <v>9599</v>
      </c>
    </row>
    <row r="1838">
      <c r="A1838" s="14">
        <v>7.0</v>
      </c>
      <c r="B1838" s="15" t="s">
        <v>9600</v>
      </c>
      <c r="C1838" s="16">
        <v>27126.0</v>
      </c>
      <c r="D1838" s="17" t="s">
        <v>9601</v>
      </c>
    </row>
    <row r="1839">
      <c r="A1839" s="14">
        <v>7.0</v>
      </c>
      <c r="B1839" s="15" t="s">
        <v>9602</v>
      </c>
      <c r="C1839" s="16">
        <v>27126.0</v>
      </c>
      <c r="D1839" s="17" t="s">
        <v>9603</v>
      </c>
    </row>
    <row r="1840">
      <c r="A1840" s="14">
        <v>7.0</v>
      </c>
      <c r="B1840" s="15" t="s">
        <v>9604</v>
      </c>
      <c r="C1840" s="16">
        <v>27126.0</v>
      </c>
      <c r="D1840" s="17" t="s">
        <v>9605</v>
      </c>
    </row>
    <row r="1841">
      <c r="A1841" s="14" t="s">
        <v>5986</v>
      </c>
      <c r="B1841" s="15" t="s">
        <v>9606</v>
      </c>
      <c r="C1841" s="16">
        <v>27127.0</v>
      </c>
      <c r="D1841" s="17" t="s">
        <v>9607</v>
      </c>
    </row>
    <row r="1842">
      <c r="A1842" s="14" t="s">
        <v>6374</v>
      </c>
      <c r="B1842" s="15" t="s">
        <v>9608</v>
      </c>
      <c r="C1842" s="16">
        <v>27127.0</v>
      </c>
      <c r="D1842" s="17" t="s">
        <v>9609</v>
      </c>
    </row>
    <row r="1843">
      <c r="A1843" s="14">
        <v>8.0</v>
      </c>
      <c r="B1843" s="15" t="s">
        <v>9610</v>
      </c>
      <c r="C1843" s="16">
        <v>27127.0</v>
      </c>
      <c r="D1843" s="17" t="s">
        <v>9611</v>
      </c>
    </row>
    <row r="1844">
      <c r="A1844" s="14">
        <v>8.0</v>
      </c>
      <c r="B1844" s="15" t="s">
        <v>9612</v>
      </c>
      <c r="C1844" s="16">
        <v>27127.0</v>
      </c>
      <c r="D1844" s="17" t="s">
        <v>9613</v>
      </c>
    </row>
    <row r="1845">
      <c r="A1845" s="14">
        <v>8.0</v>
      </c>
      <c r="B1845" s="15" t="s">
        <v>9614</v>
      </c>
      <c r="C1845" s="16">
        <v>27127.0</v>
      </c>
      <c r="D1845" s="17" t="s">
        <v>9615</v>
      </c>
    </row>
    <row r="1846">
      <c r="A1846" s="14">
        <v>8.0</v>
      </c>
      <c r="B1846" s="15" t="s">
        <v>9616</v>
      </c>
      <c r="C1846" s="16">
        <v>27127.0</v>
      </c>
      <c r="D1846" s="17" t="s">
        <v>9617</v>
      </c>
    </row>
    <row r="1847">
      <c r="A1847" s="14" t="s">
        <v>5986</v>
      </c>
      <c r="B1847" s="15" t="s">
        <v>9618</v>
      </c>
      <c r="C1847" s="16">
        <v>27128.0</v>
      </c>
      <c r="D1847" s="17" t="s">
        <v>9619</v>
      </c>
    </row>
    <row r="1848">
      <c r="A1848" s="14">
        <v>9.0</v>
      </c>
      <c r="B1848" s="15" t="s">
        <v>9620</v>
      </c>
      <c r="C1848" s="16">
        <v>27128.0</v>
      </c>
      <c r="D1848" s="17" t="s">
        <v>9621</v>
      </c>
    </row>
    <row r="1849">
      <c r="A1849" s="14">
        <v>9.0</v>
      </c>
      <c r="B1849" s="15" t="s">
        <v>9622</v>
      </c>
      <c r="C1849" s="16">
        <v>27128.0</v>
      </c>
      <c r="D1849" s="17" t="s">
        <v>9623</v>
      </c>
    </row>
    <row r="1850">
      <c r="A1850" s="14" t="s">
        <v>5986</v>
      </c>
      <c r="B1850" s="15" t="s">
        <v>9624</v>
      </c>
      <c r="C1850" s="16">
        <v>27129.0</v>
      </c>
      <c r="D1850" s="17" t="s">
        <v>9625</v>
      </c>
    </row>
    <row r="1851">
      <c r="A1851" s="14" t="s">
        <v>6374</v>
      </c>
      <c r="B1851" s="15" t="s">
        <v>9626</v>
      </c>
      <c r="C1851" s="16">
        <v>27129.0</v>
      </c>
      <c r="D1851" s="17" t="s">
        <v>9627</v>
      </c>
    </row>
    <row r="1852">
      <c r="A1852" s="14">
        <v>10.0</v>
      </c>
      <c r="B1852" s="15" t="s">
        <v>9628</v>
      </c>
      <c r="C1852" s="16">
        <v>27129.0</v>
      </c>
      <c r="D1852" s="17" t="s">
        <v>9629</v>
      </c>
    </row>
    <row r="1853">
      <c r="A1853" s="14">
        <v>10.0</v>
      </c>
      <c r="B1853" s="15" t="s">
        <v>9630</v>
      </c>
      <c r="C1853" s="16">
        <v>27129.0</v>
      </c>
      <c r="D1853" s="17" t="s">
        <v>9631</v>
      </c>
    </row>
    <row r="1854">
      <c r="A1854" s="14">
        <v>10.0</v>
      </c>
      <c r="B1854" s="15" t="s">
        <v>9632</v>
      </c>
      <c r="C1854" s="16">
        <v>27129.0</v>
      </c>
      <c r="D1854" s="17" t="s">
        <v>9633</v>
      </c>
    </row>
    <row r="1855">
      <c r="A1855" s="14">
        <v>10.0</v>
      </c>
      <c r="B1855" s="15" t="s">
        <v>9634</v>
      </c>
      <c r="C1855" s="16">
        <v>27129.0</v>
      </c>
      <c r="D1855" s="17" t="s">
        <v>9635</v>
      </c>
    </row>
    <row r="1856">
      <c r="A1856" s="14" t="s">
        <v>5986</v>
      </c>
      <c r="B1856" s="15" t="s">
        <v>9636</v>
      </c>
      <c r="C1856" s="16">
        <v>27130.0</v>
      </c>
      <c r="D1856" s="17" t="s">
        <v>9637</v>
      </c>
    </row>
    <row r="1857">
      <c r="A1857" s="14" t="s">
        <v>6374</v>
      </c>
      <c r="B1857" s="15" t="s">
        <v>9638</v>
      </c>
      <c r="C1857" s="16">
        <v>27130.0</v>
      </c>
      <c r="D1857" s="17" t="s">
        <v>9639</v>
      </c>
    </row>
    <row r="1858">
      <c r="A1858" s="14">
        <v>11.0</v>
      </c>
      <c r="B1858" s="15" t="s">
        <v>9640</v>
      </c>
      <c r="C1858" s="16">
        <v>27130.0</v>
      </c>
      <c r="D1858" s="17" t="s">
        <v>9641</v>
      </c>
    </row>
    <row r="1859">
      <c r="A1859" s="14">
        <v>11.0</v>
      </c>
      <c r="B1859" s="15" t="s">
        <v>9642</v>
      </c>
      <c r="C1859" s="16">
        <v>27130.0</v>
      </c>
      <c r="D1859" s="17" t="s">
        <v>9643</v>
      </c>
    </row>
    <row r="1860">
      <c r="A1860" s="14">
        <v>11.0</v>
      </c>
      <c r="B1860" s="15" t="s">
        <v>9644</v>
      </c>
      <c r="C1860" s="16">
        <v>27130.0</v>
      </c>
      <c r="D1860" s="17" t="s">
        <v>9645</v>
      </c>
    </row>
    <row r="1861">
      <c r="A1861" s="14" t="s">
        <v>5986</v>
      </c>
      <c r="B1861" s="15" t="s">
        <v>9646</v>
      </c>
      <c r="C1861" s="16">
        <v>27131.0</v>
      </c>
      <c r="D1861" s="17" t="s">
        <v>9647</v>
      </c>
    </row>
    <row r="1862">
      <c r="A1862" s="14" t="s">
        <v>6374</v>
      </c>
      <c r="B1862" s="15" t="s">
        <v>9648</v>
      </c>
      <c r="C1862" s="16">
        <v>27131.0</v>
      </c>
      <c r="D1862" s="17" t="s">
        <v>9649</v>
      </c>
    </row>
    <row r="1863">
      <c r="A1863" s="14">
        <v>12.0</v>
      </c>
      <c r="B1863" s="15" t="s">
        <v>9650</v>
      </c>
      <c r="C1863" s="16">
        <v>27131.0</v>
      </c>
      <c r="D1863" s="17" t="s">
        <v>9651</v>
      </c>
    </row>
    <row r="1864">
      <c r="A1864" s="14">
        <v>12.0</v>
      </c>
      <c r="B1864" s="15" t="s">
        <v>9652</v>
      </c>
      <c r="C1864" s="16">
        <v>27131.0</v>
      </c>
      <c r="D1864" s="17" t="s">
        <v>9653</v>
      </c>
    </row>
    <row r="1865">
      <c r="A1865" s="14">
        <v>12.0</v>
      </c>
      <c r="B1865" s="15" t="s">
        <v>9654</v>
      </c>
      <c r="C1865" s="16">
        <v>27131.0</v>
      </c>
      <c r="D1865" s="17" t="s">
        <v>9655</v>
      </c>
    </row>
    <row r="1866">
      <c r="A1866" s="14" t="s">
        <v>5986</v>
      </c>
      <c r="B1866" s="15" t="s">
        <v>9656</v>
      </c>
      <c r="C1866" s="16">
        <v>27132.0</v>
      </c>
      <c r="D1866" s="17" t="s">
        <v>9657</v>
      </c>
    </row>
    <row r="1867">
      <c r="A1867" s="14" t="s">
        <v>6374</v>
      </c>
      <c r="B1867" s="15" t="s">
        <v>9658</v>
      </c>
      <c r="C1867" s="16">
        <v>27132.0</v>
      </c>
      <c r="D1867" s="17" t="s">
        <v>9659</v>
      </c>
    </row>
    <row r="1868">
      <c r="A1868" s="14">
        <v>13.0</v>
      </c>
      <c r="B1868" s="15" t="s">
        <v>9660</v>
      </c>
      <c r="C1868" s="16">
        <v>27132.0</v>
      </c>
      <c r="D1868" s="17" t="s">
        <v>9661</v>
      </c>
    </row>
    <row r="1869">
      <c r="A1869" s="14">
        <v>13.0</v>
      </c>
      <c r="B1869" s="15" t="s">
        <v>9662</v>
      </c>
      <c r="C1869" s="16">
        <v>27132.0</v>
      </c>
      <c r="D1869" s="17" t="s">
        <v>9663</v>
      </c>
    </row>
    <row r="1870">
      <c r="A1870" s="14">
        <v>13.0</v>
      </c>
      <c r="B1870" s="15" t="s">
        <v>9664</v>
      </c>
      <c r="C1870" s="16">
        <v>27132.0</v>
      </c>
      <c r="D1870" s="17" t="s">
        <v>9665</v>
      </c>
    </row>
    <row r="1871">
      <c r="A1871" s="14" t="s">
        <v>5986</v>
      </c>
      <c r="B1871" s="15" t="s">
        <v>9666</v>
      </c>
      <c r="C1871" s="16">
        <v>27133.0</v>
      </c>
      <c r="D1871" s="17" t="s">
        <v>9667</v>
      </c>
    </row>
    <row r="1872">
      <c r="A1872" s="14" t="s">
        <v>6374</v>
      </c>
      <c r="B1872" s="15" t="s">
        <v>9668</v>
      </c>
      <c r="C1872" s="16">
        <v>27133.0</v>
      </c>
      <c r="D1872" s="17" t="s">
        <v>9669</v>
      </c>
    </row>
    <row r="1873">
      <c r="A1873" s="14">
        <v>14.0</v>
      </c>
      <c r="B1873" s="15" t="s">
        <v>9670</v>
      </c>
      <c r="C1873" s="16">
        <v>27133.0</v>
      </c>
      <c r="D1873" s="17" t="s">
        <v>9671</v>
      </c>
    </row>
    <row r="1874">
      <c r="A1874" s="14">
        <v>14.0</v>
      </c>
      <c r="B1874" s="15" t="s">
        <v>9672</v>
      </c>
      <c r="C1874" s="16">
        <v>27133.0</v>
      </c>
      <c r="D1874" s="17" t="s">
        <v>9673</v>
      </c>
    </row>
    <row r="1875">
      <c r="A1875" s="14" t="s">
        <v>5986</v>
      </c>
      <c r="B1875" s="15" t="s">
        <v>9674</v>
      </c>
      <c r="C1875" s="16">
        <v>27134.0</v>
      </c>
      <c r="D1875" s="17" t="s">
        <v>9675</v>
      </c>
    </row>
    <row r="1876">
      <c r="A1876" s="14">
        <v>15.0</v>
      </c>
      <c r="B1876" s="15" t="s">
        <v>9676</v>
      </c>
      <c r="C1876" s="16">
        <v>27134.0</v>
      </c>
      <c r="D1876" s="17" t="s">
        <v>9677</v>
      </c>
    </row>
    <row r="1877">
      <c r="A1877" s="14">
        <v>15.0</v>
      </c>
      <c r="B1877" s="15" t="s">
        <v>9678</v>
      </c>
      <c r="C1877" s="16">
        <v>27134.0</v>
      </c>
      <c r="D1877" s="17" t="s">
        <v>9679</v>
      </c>
    </row>
    <row r="1878">
      <c r="A1878" s="14" t="s">
        <v>5986</v>
      </c>
      <c r="B1878" s="15" t="s">
        <v>9680</v>
      </c>
      <c r="C1878" s="16">
        <v>27135.0</v>
      </c>
      <c r="D1878" s="17" t="s">
        <v>9681</v>
      </c>
    </row>
    <row r="1879">
      <c r="A1879" s="14" t="s">
        <v>6374</v>
      </c>
      <c r="B1879" s="15" t="s">
        <v>9682</v>
      </c>
      <c r="C1879" s="16">
        <v>27135.0</v>
      </c>
      <c r="D1879" s="17" t="s">
        <v>9683</v>
      </c>
    </row>
    <row r="1880">
      <c r="A1880" s="14">
        <v>16.0</v>
      </c>
      <c r="B1880" s="15" t="s">
        <v>9684</v>
      </c>
      <c r="C1880" s="16">
        <v>27135.0</v>
      </c>
      <c r="D1880" s="17" t="s">
        <v>9685</v>
      </c>
    </row>
    <row r="1881">
      <c r="A1881" s="14">
        <v>16.0</v>
      </c>
      <c r="B1881" s="15" t="s">
        <v>9686</v>
      </c>
      <c r="C1881" s="16">
        <v>27135.0</v>
      </c>
      <c r="D1881" s="17" t="s">
        <v>9687</v>
      </c>
    </row>
    <row r="1882">
      <c r="A1882" s="14">
        <v>16.0</v>
      </c>
      <c r="B1882" s="15" t="s">
        <v>9688</v>
      </c>
      <c r="C1882" s="16">
        <v>27135.0</v>
      </c>
      <c r="D1882" s="17" t="s">
        <v>9689</v>
      </c>
    </row>
    <row r="1883">
      <c r="A1883" s="14" t="s">
        <v>5986</v>
      </c>
      <c r="B1883" s="15" t="s">
        <v>9690</v>
      </c>
      <c r="C1883" s="16">
        <v>27136.0</v>
      </c>
      <c r="D1883" s="17" t="s">
        <v>9691</v>
      </c>
    </row>
    <row r="1884">
      <c r="A1884" s="14" t="s">
        <v>6374</v>
      </c>
      <c r="B1884" s="15" t="s">
        <v>9692</v>
      </c>
      <c r="C1884" s="16">
        <v>27136.0</v>
      </c>
      <c r="D1884" s="17" t="s">
        <v>9693</v>
      </c>
    </row>
    <row r="1885">
      <c r="A1885" s="14">
        <v>17.0</v>
      </c>
      <c r="B1885" s="15" t="s">
        <v>9694</v>
      </c>
      <c r="C1885" s="16">
        <v>27136.0</v>
      </c>
      <c r="D1885" s="17" t="s">
        <v>9695</v>
      </c>
    </row>
    <row r="1886">
      <c r="A1886" s="14">
        <v>17.0</v>
      </c>
      <c r="B1886" s="15" t="s">
        <v>9696</v>
      </c>
      <c r="C1886" s="16">
        <v>27136.0</v>
      </c>
      <c r="D1886" s="17" t="s">
        <v>9697</v>
      </c>
    </row>
    <row r="1887">
      <c r="A1887" s="14">
        <v>17.0</v>
      </c>
      <c r="B1887" s="15" t="s">
        <v>9698</v>
      </c>
      <c r="C1887" s="16">
        <v>27136.0</v>
      </c>
      <c r="D1887" s="17" t="s">
        <v>9699</v>
      </c>
    </row>
    <row r="1888">
      <c r="A1888" s="14" t="s">
        <v>358</v>
      </c>
      <c r="B1888" s="15" t="s">
        <v>9700</v>
      </c>
      <c r="C1888" s="16">
        <v>27137.0</v>
      </c>
      <c r="D1888" s="17" t="s">
        <v>9701</v>
      </c>
    </row>
    <row r="1889">
      <c r="A1889" s="14" t="s">
        <v>6374</v>
      </c>
      <c r="B1889" s="15" t="s">
        <v>9702</v>
      </c>
      <c r="C1889" s="16">
        <v>27137.0</v>
      </c>
      <c r="D1889" s="17" t="s">
        <v>9703</v>
      </c>
    </row>
    <row r="1890">
      <c r="A1890" s="14" t="s">
        <v>5932</v>
      </c>
      <c r="B1890" s="15" t="s">
        <v>9704</v>
      </c>
      <c r="C1890" s="16">
        <v>27137.0</v>
      </c>
      <c r="D1890" s="17" t="s">
        <v>9705</v>
      </c>
    </row>
    <row r="1891">
      <c r="A1891" s="14">
        <v>18.0</v>
      </c>
      <c r="B1891" s="15" t="s">
        <v>9706</v>
      </c>
      <c r="C1891" s="16">
        <v>27137.0</v>
      </c>
      <c r="D1891" s="17" t="s">
        <v>9707</v>
      </c>
    </row>
    <row r="1892">
      <c r="A1892" s="14">
        <v>18.0</v>
      </c>
      <c r="B1892" s="15" t="s">
        <v>9708</v>
      </c>
      <c r="C1892" s="16">
        <v>27137.0</v>
      </c>
      <c r="D1892" s="17" t="s">
        <v>9709</v>
      </c>
    </row>
    <row r="1893">
      <c r="A1893" s="14">
        <v>18.0</v>
      </c>
      <c r="B1893" s="15" t="s">
        <v>9710</v>
      </c>
      <c r="C1893" s="16">
        <v>27137.0</v>
      </c>
      <c r="D1893" s="17" t="s">
        <v>9711</v>
      </c>
    </row>
    <row r="1894">
      <c r="A1894" s="14">
        <v>18.0</v>
      </c>
      <c r="B1894" s="15" t="s">
        <v>9712</v>
      </c>
      <c r="C1894" s="16">
        <v>27137.0</v>
      </c>
      <c r="D1894" s="17" t="s">
        <v>9713</v>
      </c>
    </row>
    <row r="1895">
      <c r="A1895" s="14">
        <v>18.0</v>
      </c>
      <c r="B1895" s="15" t="s">
        <v>9714</v>
      </c>
      <c r="C1895" s="16">
        <v>27137.0</v>
      </c>
      <c r="D1895" s="17" t="s">
        <v>9715</v>
      </c>
    </row>
    <row r="1896">
      <c r="A1896" s="14" t="s">
        <v>7676</v>
      </c>
      <c r="B1896" s="15" t="s">
        <v>9716</v>
      </c>
      <c r="C1896" s="16">
        <v>27138.0</v>
      </c>
      <c r="D1896" s="17" t="s">
        <v>9717</v>
      </c>
    </row>
    <row r="1897">
      <c r="A1897" s="14" t="s">
        <v>6374</v>
      </c>
      <c r="B1897" s="15" t="s">
        <v>9718</v>
      </c>
      <c r="C1897" s="16">
        <v>27138.0</v>
      </c>
      <c r="D1897" s="17" t="s">
        <v>9719</v>
      </c>
    </row>
    <row r="1898">
      <c r="A1898" s="14">
        <v>19.0</v>
      </c>
      <c r="B1898" s="15" t="s">
        <v>9720</v>
      </c>
      <c r="C1898" s="16">
        <v>27138.0</v>
      </c>
      <c r="D1898" s="17" t="s">
        <v>9721</v>
      </c>
    </row>
    <row r="1899">
      <c r="A1899" s="14">
        <v>19.0</v>
      </c>
      <c r="B1899" s="15" t="s">
        <v>9722</v>
      </c>
      <c r="C1899" s="16">
        <v>27138.0</v>
      </c>
      <c r="D1899" s="17" t="s">
        <v>9723</v>
      </c>
    </row>
    <row r="1900">
      <c r="A1900" s="14">
        <v>19.0</v>
      </c>
      <c r="B1900" s="15" t="s">
        <v>9724</v>
      </c>
      <c r="C1900" s="16">
        <v>27138.0</v>
      </c>
      <c r="D1900" s="17" t="s">
        <v>9725</v>
      </c>
    </row>
    <row r="1901">
      <c r="A1901" s="14">
        <v>19.0</v>
      </c>
      <c r="B1901" s="15" t="s">
        <v>9726</v>
      </c>
      <c r="C1901" s="16">
        <v>27138.0</v>
      </c>
      <c r="D1901" s="17" t="s">
        <v>9727</v>
      </c>
    </row>
    <row r="1902">
      <c r="A1902" s="14" t="s">
        <v>7676</v>
      </c>
      <c r="B1902" s="15" t="s">
        <v>9728</v>
      </c>
      <c r="C1902" s="16">
        <v>27139.0</v>
      </c>
      <c r="D1902" s="17" t="s">
        <v>9729</v>
      </c>
    </row>
    <row r="1903">
      <c r="A1903" s="14" t="s">
        <v>6374</v>
      </c>
      <c r="B1903" s="15" t="s">
        <v>9730</v>
      </c>
      <c r="C1903" s="16">
        <v>27139.0</v>
      </c>
      <c r="D1903" s="17" t="s">
        <v>9731</v>
      </c>
    </row>
    <row r="1904">
      <c r="A1904" s="14" t="s">
        <v>6353</v>
      </c>
      <c r="B1904" s="15" t="s">
        <v>9732</v>
      </c>
      <c r="C1904" s="16">
        <v>27139.0</v>
      </c>
      <c r="D1904" s="17" t="s">
        <v>9733</v>
      </c>
    </row>
    <row r="1905">
      <c r="A1905" s="14">
        <v>20.0</v>
      </c>
      <c r="B1905" s="15" t="s">
        <v>9734</v>
      </c>
      <c r="C1905" s="16">
        <v>27139.0</v>
      </c>
      <c r="D1905" s="17" t="s">
        <v>9735</v>
      </c>
    </row>
    <row r="1906">
      <c r="A1906" s="14">
        <v>20.0</v>
      </c>
      <c r="B1906" s="15" t="s">
        <v>9736</v>
      </c>
      <c r="C1906" s="16">
        <v>27139.0</v>
      </c>
      <c r="D1906" s="17" t="s">
        <v>9737</v>
      </c>
    </row>
    <row r="1907">
      <c r="A1907" s="14">
        <v>20.0</v>
      </c>
      <c r="B1907" s="15" t="s">
        <v>9738</v>
      </c>
      <c r="C1907" s="16">
        <v>27139.0</v>
      </c>
      <c r="D1907" s="17" t="s">
        <v>9739</v>
      </c>
    </row>
    <row r="1908">
      <c r="A1908" s="14">
        <v>20.0</v>
      </c>
      <c r="B1908" s="15" t="s">
        <v>9740</v>
      </c>
      <c r="C1908" s="16">
        <v>27139.0</v>
      </c>
      <c r="D1908" s="17" t="s">
        <v>9741</v>
      </c>
    </row>
    <row r="1909">
      <c r="A1909" s="14">
        <v>20.0</v>
      </c>
      <c r="B1909" s="15" t="s">
        <v>9742</v>
      </c>
      <c r="C1909" s="16">
        <v>27139.0</v>
      </c>
      <c r="D1909" s="17" t="s">
        <v>9743</v>
      </c>
    </row>
    <row r="1910">
      <c r="A1910" s="14" t="s">
        <v>5932</v>
      </c>
      <c r="B1910" s="15" t="s">
        <v>9744</v>
      </c>
      <c r="C1910" s="16">
        <v>27140.0</v>
      </c>
      <c r="D1910" s="17" t="s">
        <v>9745</v>
      </c>
    </row>
    <row r="1911">
      <c r="A1911" s="14">
        <v>21.0</v>
      </c>
      <c r="B1911" s="15" t="s">
        <v>9746</v>
      </c>
      <c r="C1911" s="16">
        <v>27140.0</v>
      </c>
      <c r="D1911" s="17" t="s">
        <v>9747</v>
      </c>
    </row>
    <row r="1912">
      <c r="A1912" s="14">
        <v>21.0</v>
      </c>
      <c r="B1912" s="15" t="s">
        <v>9748</v>
      </c>
      <c r="C1912" s="16">
        <v>27140.0</v>
      </c>
      <c r="D1912" s="17" t="s">
        <v>9749</v>
      </c>
    </row>
    <row r="1913">
      <c r="A1913" s="14" t="s">
        <v>6374</v>
      </c>
      <c r="B1913" s="15" t="s">
        <v>9750</v>
      </c>
      <c r="C1913" s="16">
        <v>27141.0</v>
      </c>
      <c r="D1913" s="17" t="s">
        <v>9751</v>
      </c>
    </row>
    <row r="1914">
      <c r="A1914" s="14" t="s">
        <v>5932</v>
      </c>
      <c r="B1914" s="15" t="s">
        <v>9752</v>
      </c>
      <c r="C1914" s="16">
        <v>27141.0</v>
      </c>
      <c r="D1914" s="17" t="s">
        <v>9753</v>
      </c>
    </row>
    <row r="1915">
      <c r="A1915" s="14">
        <v>22.0</v>
      </c>
      <c r="B1915" s="15" t="s">
        <v>9754</v>
      </c>
      <c r="C1915" s="16">
        <v>27141.0</v>
      </c>
      <c r="D1915" s="17" t="s">
        <v>9755</v>
      </c>
    </row>
    <row r="1916">
      <c r="A1916" s="14">
        <v>22.0</v>
      </c>
      <c r="B1916" s="15" t="s">
        <v>9756</v>
      </c>
      <c r="C1916" s="16">
        <v>27141.0</v>
      </c>
      <c r="D1916" s="17" t="s">
        <v>9757</v>
      </c>
    </row>
    <row r="1917">
      <c r="A1917" s="14">
        <v>22.0</v>
      </c>
      <c r="B1917" s="15" t="s">
        <v>9758</v>
      </c>
      <c r="C1917" s="16">
        <v>27141.0</v>
      </c>
      <c r="D1917" s="17" t="s">
        <v>9759</v>
      </c>
    </row>
    <row r="1918">
      <c r="A1918" s="14">
        <v>22.0</v>
      </c>
      <c r="B1918" s="15" t="s">
        <v>9760</v>
      </c>
      <c r="C1918" s="16">
        <v>27141.0</v>
      </c>
      <c r="D1918" s="17" t="s">
        <v>9761</v>
      </c>
    </row>
    <row r="1919">
      <c r="A1919" s="14" t="s">
        <v>6374</v>
      </c>
      <c r="B1919" s="15" t="s">
        <v>9762</v>
      </c>
      <c r="C1919" s="16">
        <v>27142.0</v>
      </c>
      <c r="D1919" s="17" t="s">
        <v>9763</v>
      </c>
    </row>
    <row r="1920">
      <c r="A1920" s="14" t="s">
        <v>5932</v>
      </c>
      <c r="B1920" s="15" t="s">
        <v>9764</v>
      </c>
      <c r="C1920" s="16">
        <v>27142.0</v>
      </c>
      <c r="D1920" s="17" t="s">
        <v>9765</v>
      </c>
    </row>
    <row r="1921">
      <c r="A1921" s="14">
        <v>23.0</v>
      </c>
      <c r="B1921" s="15" t="s">
        <v>9766</v>
      </c>
      <c r="C1921" s="16">
        <v>27142.0</v>
      </c>
      <c r="D1921" s="17" t="s">
        <v>9767</v>
      </c>
    </row>
    <row r="1922">
      <c r="A1922" s="14">
        <v>23.0</v>
      </c>
      <c r="B1922" s="15" t="s">
        <v>9768</v>
      </c>
      <c r="C1922" s="16">
        <v>27142.0</v>
      </c>
      <c r="D1922" s="17" t="s">
        <v>9769</v>
      </c>
    </row>
    <row r="1923">
      <c r="A1923" s="14">
        <v>23.0</v>
      </c>
      <c r="B1923" s="15" t="s">
        <v>9770</v>
      </c>
      <c r="C1923" s="16">
        <v>27142.0</v>
      </c>
      <c r="D1923" s="17" t="s">
        <v>9771</v>
      </c>
    </row>
    <row r="1924">
      <c r="A1924" s="14">
        <v>23.0</v>
      </c>
      <c r="B1924" s="15" t="s">
        <v>9772</v>
      </c>
      <c r="C1924" s="16">
        <v>27142.0</v>
      </c>
      <c r="D1924" s="17" t="s">
        <v>9773</v>
      </c>
    </row>
    <row r="1925">
      <c r="A1925" s="14">
        <v>23.0</v>
      </c>
      <c r="B1925" s="15" t="s">
        <v>9774</v>
      </c>
      <c r="C1925" s="16">
        <v>27142.0</v>
      </c>
      <c r="D1925" s="17" t="s">
        <v>9775</v>
      </c>
    </row>
    <row r="1926">
      <c r="A1926" s="14" t="s">
        <v>6374</v>
      </c>
      <c r="B1926" s="15" t="s">
        <v>9776</v>
      </c>
      <c r="C1926" s="16">
        <v>27143.0</v>
      </c>
      <c r="D1926" s="17" t="s">
        <v>9777</v>
      </c>
    </row>
    <row r="1927">
      <c r="A1927" s="14" t="s">
        <v>5932</v>
      </c>
      <c r="B1927" s="15" t="s">
        <v>9778</v>
      </c>
      <c r="C1927" s="16">
        <v>27143.0</v>
      </c>
      <c r="D1927" s="17" t="s">
        <v>9779</v>
      </c>
    </row>
    <row r="1928">
      <c r="A1928" s="14">
        <v>24.0</v>
      </c>
      <c r="B1928" s="15" t="s">
        <v>9780</v>
      </c>
      <c r="C1928" s="16">
        <v>27143.0</v>
      </c>
      <c r="D1928" s="17" t="s">
        <v>9781</v>
      </c>
    </row>
    <row r="1929">
      <c r="A1929" s="14">
        <v>24.0</v>
      </c>
      <c r="B1929" s="15" t="s">
        <v>9782</v>
      </c>
      <c r="C1929" s="16">
        <v>27143.0</v>
      </c>
      <c r="D1929" s="17" t="s">
        <v>9783</v>
      </c>
    </row>
    <row r="1930">
      <c r="A1930" s="14">
        <v>25.0</v>
      </c>
      <c r="B1930" s="15" t="s">
        <v>9784</v>
      </c>
      <c r="C1930" s="16">
        <v>27144.0</v>
      </c>
      <c r="D1930" s="17" t="s">
        <v>9785</v>
      </c>
    </row>
    <row r="1931">
      <c r="A1931" s="14" t="s">
        <v>358</v>
      </c>
      <c r="B1931" s="15" t="s">
        <v>9786</v>
      </c>
      <c r="C1931" s="16">
        <v>27145.0</v>
      </c>
      <c r="D1931" s="17" t="s">
        <v>9787</v>
      </c>
    </row>
    <row r="1932">
      <c r="A1932" s="14" t="s">
        <v>6353</v>
      </c>
      <c r="B1932" s="15" t="s">
        <v>9788</v>
      </c>
      <c r="C1932" s="16">
        <v>27145.0</v>
      </c>
      <c r="D1932" s="17" t="s">
        <v>9789</v>
      </c>
    </row>
    <row r="1933">
      <c r="A1933" s="14" t="s">
        <v>5932</v>
      </c>
      <c r="B1933" s="15" t="s">
        <v>9790</v>
      </c>
      <c r="C1933" s="16">
        <v>27145.0</v>
      </c>
      <c r="D1933" s="17" t="s">
        <v>9791</v>
      </c>
    </row>
    <row r="1934">
      <c r="A1934" s="14">
        <v>26.0</v>
      </c>
      <c r="B1934" s="15" t="s">
        <v>9792</v>
      </c>
      <c r="C1934" s="16">
        <v>27145.0</v>
      </c>
      <c r="D1934" s="17" t="s">
        <v>9793</v>
      </c>
    </row>
    <row r="1935">
      <c r="A1935" s="14">
        <v>26.0</v>
      </c>
      <c r="B1935" s="15" t="s">
        <v>9794</v>
      </c>
      <c r="C1935" s="16">
        <v>27145.0</v>
      </c>
      <c r="D1935" s="17" t="s">
        <v>9795</v>
      </c>
    </row>
    <row r="1936">
      <c r="A1936" s="14">
        <v>26.0</v>
      </c>
      <c r="B1936" s="15" t="s">
        <v>9796</v>
      </c>
      <c r="C1936" s="16">
        <v>27145.0</v>
      </c>
      <c r="D1936" s="17" t="s">
        <v>9797</v>
      </c>
    </row>
    <row r="1937">
      <c r="A1937" s="14" t="s">
        <v>6074</v>
      </c>
      <c r="B1937" s="15" t="s">
        <v>9798</v>
      </c>
      <c r="C1937" s="16">
        <v>27146.0</v>
      </c>
      <c r="D1937" s="17" t="s">
        <v>9799</v>
      </c>
    </row>
    <row r="1938">
      <c r="A1938" s="14">
        <v>27.0</v>
      </c>
      <c r="B1938" s="15" t="s">
        <v>9800</v>
      </c>
      <c r="C1938" s="16">
        <v>27146.0</v>
      </c>
      <c r="D1938" s="17" t="s">
        <v>9801</v>
      </c>
    </row>
    <row r="1939">
      <c r="A1939" s="14">
        <v>27.0</v>
      </c>
      <c r="B1939" s="15" t="s">
        <v>9802</v>
      </c>
      <c r="C1939" s="16">
        <v>27146.0</v>
      </c>
      <c r="D1939" s="17" t="s">
        <v>9803</v>
      </c>
    </row>
    <row r="1940">
      <c r="A1940" s="14" t="s">
        <v>6074</v>
      </c>
      <c r="B1940" s="15" t="s">
        <v>9804</v>
      </c>
      <c r="C1940" s="16">
        <v>27147.0</v>
      </c>
      <c r="D1940" s="17" t="s">
        <v>9805</v>
      </c>
    </row>
    <row r="1941">
      <c r="A1941" s="14">
        <v>28.0</v>
      </c>
      <c r="B1941" s="15" t="s">
        <v>9806</v>
      </c>
      <c r="C1941" s="16">
        <v>27147.0</v>
      </c>
      <c r="D1941" s="17" t="s">
        <v>9807</v>
      </c>
    </row>
    <row r="1942">
      <c r="A1942" s="14">
        <v>28.0</v>
      </c>
      <c r="B1942" s="15" t="s">
        <v>9808</v>
      </c>
      <c r="C1942" s="16">
        <v>27147.0</v>
      </c>
      <c r="D1942" s="17" t="s">
        <v>9809</v>
      </c>
    </row>
    <row r="1943">
      <c r="A1943" s="14" t="s">
        <v>6374</v>
      </c>
      <c r="B1943" s="15" t="s">
        <v>9810</v>
      </c>
      <c r="C1943" s="16">
        <v>27148.0</v>
      </c>
      <c r="D1943" s="17" t="s">
        <v>9811</v>
      </c>
    </row>
    <row r="1944">
      <c r="A1944" s="14">
        <v>29.0</v>
      </c>
      <c r="B1944" s="15" t="s">
        <v>9812</v>
      </c>
      <c r="C1944" s="16">
        <v>27148.0</v>
      </c>
      <c r="D1944" s="17" t="s">
        <v>9813</v>
      </c>
    </row>
    <row r="1945">
      <c r="A1945" s="14">
        <v>29.0</v>
      </c>
      <c r="B1945" s="15" t="s">
        <v>9814</v>
      </c>
      <c r="C1945" s="16">
        <v>27148.0</v>
      </c>
      <c r="D1945" s="17" t="s">
        <v>9815</v>
      </c>
    </row>
    <row r="1946">
      <c r="A1946" s="14" t="s">
        <v>6374</v>
      </c>
      <c r="B1946" s="15" t="s">
        <v>9816</v>
      </c>
      <c r="C1946" s="16">
        <v>27150.0</v>
      </c>
      <c r="D1946" s="17" t="s">
        <v>9817</v>
      </c>
    </row>
    <row r="1947">
      <c r="A1947" s="14">
        <v>1.0</v>
      </c>
      <c r="B1947" s="15" t="s">
        <v>9818</v>
      </c>
      <c r="C1947" s="16">
        <v>27150.0</v>
      </c>
      <c r="D1947" s="17" t="s">
        <v>9819</v>
      </c>
    </row>
    <row r="1948">
      <c r="A1948" s="14" t="s">
        <v>6374</v>
      </c>
      <c r="B1948" s="15" t="s">
        <v>9820</v>
      </c>
      <c r="C1948" s="16">
        <v>27151.0</v>
      </c>
      <c r="D1948" s="17" t="s">
        <v>9821</v>
      </c>
    </row>
    <row r="1949">
      <c r="A1949" s="14">
        <v>2.0</v>
      </c>
      <c r="B1949" s="15" t="s">
        <v>9822</v>
      </c>
      <c r="C1949" s="16">
        <v>27151.0</v>
      </c>
      <c r="D1949" s="17" t="s">
        <v>9823</v>
      </c>
    </row>
    <row r="1950">
      <c r="A1950" s="14" t="s">
        <v>6374</v>
      </c>
      <c r="B1950" s="15" t="s">
        <v>9824</v>
      </c>
      <c r="C1950" s="16">
        <v>27152.0</v>
      </c>
      <c r="D1950" s="17" t="s">
        <v>9825</v>
      </c>
    </row>
    <row r="1951">
      <c r="A1951" s="14">
        <v>3.0</v>
      </c>
      <c r="B1951" s="15" t="s">
        <v>9826</v>
      </c>
      <c r="C1951" s="16">
        <v>27152.0</v>
      </c>
      <c r="D1951" s="17" t="s">
        <v>9827</v>
      </c>
    </row>
    <row r="1952">
      <c r="A1952" s="14" t="s">
        <v>6374</v>
      </c>
      <c r="B1952" s="15" t="s">
        <v>9828</v>
      </c>
      <c r="C1952" s="16">
        <v>27153.0</v>
      </c>
      <c r="D1952" s="17" t="s">
        <v>9829</v>
      </c>
    </row>
    <row r="1953">
      <c r="A1953" s="14">
        <v>4.0</v>
      </c>
      <c r="B1953" s="15" t="s">
        <v>9830</v>
      </c>
      <c r="C1953" s="16">
        <v>27153.0</v>
      </c>
      <c r="D1953" s="17" t="s">
        <v>9831</v>
      </c>
    </row>
    <row r="1954">
      <c r="A1954" s="14" t="s">
        <v>6087</v>
      </c>
      <c r="B1954" s="15" t="s">
        <v>9832</v>
      </c>
      <c r="C1954" s="16">
        <v>27154.0</v>
      </c>
      <c r="D1954" s="17" t="s">
        <v>9833</v>
      </c>
    </row>
    <row r="1955">
      <c r="A1955" s="14" t="s">
        <v>6374</v>
      </c>
      <c r="B1955" s="15" t="s">
        <v>9834</v>
      </c>
      <c r="C1955" s="16">
        <v>27154.0</v>
      </c>
      <c r="D1955" s="17" t="s">
        <v>9835</v>
      </c>
    </row>
    <row r="1956">
      <c r="A1956" s="14">
        <v>5.0</v>
      </c>
      <c r="B1956" s="15" t="s">
        <v>9836</v>
      </c>
      <c r="C1956" s="16">
        <v>27154.0</v>
      </c>
      <c r="D1956" s="17" t="s">
        <v>9837</v>
      </c>
    </row>
    <row r="1957">
      <c r="A1957" s="14">
        <v>5.0</v>
      </c>
      <c r="B1957" s="15" t="s">
        <v>9838</v>
      </c>
      <c r="C1957" s="16">
        <v>27154.0</v>
      </c>
      <c r="D1957" s="17" t="s">
        <v>9839</v>
      </c>
    </row>
    <row r="1958">
      <c r="A1958" s="14">
        <v>5.0</v>
      </c>
      <c r="B1958" s="15" t="s">
        <v>9840</v>
      </c>
      <c r="C1958" s="16">
        <v>27154.0</v>
      </c>
      <c r="D1958" s="17" t="s">
        <v>9841</v>
      </c>
    </row>
    <row r="1959">
      <c r="A1959" s="14" t="s">
        <v>6374</v>
      </c>
      <c r="B1959" s="15" t="s">
        <v>9842</v>
      </c>
      <c r="C1959" s="16">
        <v>27155.0</v>
      </c>
      <c r="D1959" s="17" t="s">
        <v>9843</v>
      </c>
    </row>
    <row r="1960">
      <c r="A1960" s="14">
        <v>6.0</v>
      </c>
      <c r="B1960" s="15" t="s">
        <v>9844</v>
      </c>
      <c r="C1960" s="16">
        <v>27155.0</v>
      </c>
      <c r="D1960" s="17" t="s">
        <v>9845</v>
      </c>
    </row>
    <row r="1961">
      <c r="A1961" s="14" t="s">
        <v>6374</v>
      </c>
      <c r="B1961" s="15" t="s">
        <v>9846</v>
      </c>
      <c r="C1961" s="16">
        <v>27157.0</v>
      </c>
      <c r="D1961" s="17" t="s">
        <v>9847</v>
      </c>
    </row>
    <row r="1962">
      <c r="A1962" s="14">
        <v>8.0</v>
      </c>
      <c r="B1962" s="15" t="s">
        <v>9848</v>
      </c>
      <c r="C1962" s="16">
        <v>27157.0</v>
      </c>
      <c r="D1962" s="17" t="s">
        <v>9849</v>
      </c>
    </row>
    <row r="1963">
      <c r="A1963" s="14" t="s">
        <v>6374</v>
      </c>
      <c r="B1963" s="15" t="s">
        <v>9850</v>
      </c>
      <c r="C1963" s="16">
        <v>27158.0</v>
      </c>
      <c r="D1963" s="17" t="s">
        <v>9851</v>
      </c>
    </row>
    <row r="1964">
      <c r="A1964" s="14">
        <v>9.0</v>
      </c>
      <c r="B1964" s="15" t="s">
        <v>9852</v>
      </c>
      <c r="C1964" s="16">
        <v>27158.0</v>
      </c>
      <c r="D1964" s="17" t="s">
        <v>9853</v>
      </c>
    </row>
    <row r="1965">
      <c r="A1965" s="14" t="s">
        <v>9854</v>
      </c>
      <c r="B1965" s="15" t="s">
        <v>9855</v>
      </c>
      <c r="C1965" s="16">
        <v>27161.0</v>
      </c>
      <c r="D1965" s="17" t="s">
        <v>9856</v>
      </c>
    </row>
    <row r="1966">
      <c r="A1966" s="14">
        <v>12.0</v>
      </c>
      <c r="B1966" s="15" t="s">
        <v>9857</v>
      </c>
      <c r="C1966" s="16">
        <v>27161.0</v>
      </c>
      <c r="D1966" s="17" t="s">
        <v>9858</v>
      </c>
    </row>
    <row r="1967">
      <c r="A1967" s="14">
        <v>12.0</v>
      </c>
      <c r="B1967" s="15" t="s">
        <v>9859</v>
      </c>
      <c r="C1967" s="16">
        <v>27161.0</v>
      </c>
      <c r="D1967" s="17" t="s">
        <v>9860</v>
      </c>
    </row>
    <row r="1968">
      <c r="A1968" s="14" t="s">
        <v>6353</v>
      </c>
      <c r="B1968" s="15" t="s">
        <v>9861</v>
      </c>
      <c r="C1968" s="16">
        <v>27172.0</v>
      </c>
      <c r="D1968" s="17" t="s">
        <v>9862</v>
      </c>
    </row>
    <row r="1969">
      <c r="A1969" s="14">
        <v>23.0</v>
      </c>
      <c r="B1969" s="15" t="s">
        <v>9863</v>
      </c>
      <c r="C1969" s="16">
        <v>27172.0</v>
      </c>
      <c r="D1969" s="17" t="s">
        <v>9864</v>
      </c>
    </row>
    <row r="1970">
      <c r="A1970" s="14">
        <v>23.0</v>
      </c>
      <c r="B1970" s="15" t="s">
        <v>9865</v>
      </c>
      <c r="C1970" s="16">
        <v>27172.0</v>
      </c>
      <c r="D1970" s="17" t="s">
        <v>9866</v>
      </c>
    </row>
    <row r="1971">
      <c r="A1971" s="14" t="s">
        <v>6374</v>
      </c>
      <c r="B1971" s="15" t="s">
        <v>9867</v>
      </c>
      <c r="C1971" s="16">
        <v>27173.0</v>
      </c>
      <c r="D1971" s="17" t="s">
        <v>9868</v>
      </c>
    </row>
    <row r="1972">
      <c r="A1972" s="14" t="s">
        <v>6353</v>
      </c>
      <c r="B1972" s="15" t="s">
        <v>9869</v>
      </c>
      <c r="C1972" s="16">
        <v>27173.0</v>
      </c>
      <c r="D1972" s="17" t="s">
        <v>9870</v>
      </c>
    </row>
    <row r="1973">
      <c r="A1973" s="14" t="s">
        <v>6353</v>
      </c>
      <c r="B1973" s="15" t="s">
        <v>9871</v>
      </c>
      <c r="C1973" s="16">
        <v>27173.0</v>
      </c>
      <c r="D1973" s="17" t="s">
        <v>9872</v>
      </c>
    </row>
    <row r="1974">
      <c r="A1974" s="14" t="s">
        <v>6353</v>
      </c>
      <c r="B1974" s="15" t="s">
        <v>9873</v>
      </c>
      <c r="C1974" s="16">
        <v>27173.0</v>
      </c>
      <c r="D1974" s="17" t="s">
        <v>9874</v>
      </c>
    </row>
    <row r="1975">
      <c r="A1975" s="14" t="s">
        <v>6353</v>
      </c>
      <c r="B1975" s="15" t="s">
        <v>9875</v>
      </c>
      <c r="C1975" s="16">
        <v>27173.0</v>
      </c>
      <c r="D1975" s="17" t="s">
        <v>9876</v>
      </c>
    </row>
    <row r="1976">
      <c r="A1976" s="14" t="s">
        <v>5932</v>
      </c>
      <c r="B1976" s="15" t="s">
        <v>9877</v>
      </c>
      <c r="C1976" s="16">
        <v>27173.0</v>
      </c>
      <c r="D1976" s="17" t="s">
        <v>9878</v>
      </c>
    </row>
    <row r="1977">
      <c r="A1977" s="14">
        <v>24.0</v>
      </c>
      <c r="B1977" s="15" t="s">
        <v>9879</v>
      </c>
      <c r="C1977" s="16">
        <v>27173.0</v>
      </c>
      <c r="D1977" s="17" t="s">
        <v>9880</v>
      </c>
    </row>
    <row r="1978">
      <c r="A1978" s="14">
        <v>24.0</v>
      </c>
      <c r="B1978" s="15" t="s">
        <v>9881</v>
      </c>
      <c r="C1978" s="16">
        <v>27173.0</v>
      </c>
      <c r="D1978" s="17" t="s">
        <v>9882</v>
      </c>
    </row>
    <row r="1979">
      <c r="A1979" s="14">
        <v>24.0</v>
      </c>
      <c r="B1979" s="15" t="s">
        <v>9883</v>
      </c>
      <c r="C1979" s="16">
        <v>27173.0</v>
      </c>
      <c r="D1979" s="17" t="s">
        <v>9884</v>
      </c>
    </row>
    <row r="1980">
      <c r="A1980" s="14">
        <v>24.0</v>
      </c>
      <c r="B1980" s="15" t="s">
        <v>9885</v>
      </c>
      <c r="C1980" s="16">
        <v>27173.0</v>
      </c>
      <c r="D1980" s="17" t="s">
        <v>9886</v>
      </c>
    </row>
    <row r="1981">
      <c r="A1981" s="14">
        <v>24.0</v>
      </c>
      <c r="B1981" s="15" t="s">
        <v>9887</v>
      </c>
      <c r="C1981" s="16">
        <v>27173.0</v>
      </c>
      <c r="D1981" s="17" t="s">
        <v>9888</v>
      </c>
    </row>
    <row r="1982">
      <c r="A1982" s="14">
        <v>24.0</v>
      </c>
      <c r="B1982" s="15" t="s">
        <v>9889</v>
      </c>
      <c r="C1982" s="16">
        <v>27173.0</v>
      </c>
      <c r="D1982" s="17" t="s">
        <v>9890</v>
      </c>
    </row>
    <row r="1983">
      <c r="A1983" s="14">
        <v>24.0</v>
      </c>
      <c r="B1983" s="15" t="s">
        <v>9891</v>
      </c>
      <c r="C1983" s="16">
        <v>27173.0</v>
      </c>
      <c r="D1983" s="17" t="s">
        <v>9892</v>
      </c>
    </row>
    <row r="1984">
      <c r="A1984" s="14">
        <v>24.0</v>
      </c>
      <c r="B1984" s="15" t="s">
        <v>9893</v>
      </c>
      <c r="C1984" s="16">
        <v>27173.0</v>
      </c>
      <c r="D1984" s="17" t="s">
        <v>9894</v>
      </c>
    </row>
    <row r="1985">
      <c r="A1985" s="14">
        <v>24.0</v>
      </c>
      <c r="B1985" s="15" t="s">
        <v>9895</v>
      </c>
      <c r="C1985" s="16">
        <v>27173.0</v>
      </c>
      <c r="D1985" s="17" t="s">
        <v>9896</v>
      </c>
    </row>
    <row r="1986">
      <c r="A1986" s="14" t="s">
        <v>5986</v>
      </c>
      <c r="B1986" s="15" t="s">
        <v>9897</v>
      </c>
      <c r="C1986" s="16">
        <v>27174.0</v>
      </c>
      <c r="D1986" s="17" t="s">
        <v>9898</v>
      </c>
    </row>
    <row r="1987">
      <c r="A1987" s="14" t="s">
        <v>6374</v>
      </c>
      <c r="B1987" s="15" t="s">
        <v>9899</v>
      </c>
      <c r="C1987" s="16">
        <v>27174.0</v>
      </c>
      <c r="D1987" s="17" t="s">
        <v>9900</v>
      </c>
    </row>
    <row r="1988">
      <c r="A1988" s="14">
        <v>25.0</v>
      </c>
      <c r="B1988" s="15" t="s">
        <v>9901</v>
      </c>
      <c r="C1988" s="16">
        <v>27174.0</v>
      </c>
      <c r="D1988" s="17" t="s">
        <v>9902</v>
      </c>
    </row>
    <row r="1989">
      <c r="A1989" s="14">
        <v>25.0</v>
      </c>
      <c r="B1989" s="15" t="s">
        <v>9903</v>
      </c>
      <c r="C1989" s="16">
        <v>27174.0</v>
      </c>
      <c r="D1989" s="17" t="s">
        <v>9904</v>
      </c>
    </row>
    <row r="1990">
      <c r="A1990" s="14" t="s">
        <v>6374</v>
      </c>
      <c r="B1990" s="15" t="s">
        <v>9905</v>
      </c>
      <c r="C1990" s="16">
        <v>27175.0</v>
      </c>
      <c r="D1990" s="17" t="s">
        <v>9906</v>
      </c>
    </row>
    <row r="1991">
      <c r="A1991" s="14" t="s">
        <v>5932</v>
      </c>
      <c r="B1991" s="15" t="s">
        <v>9907</v>
      </c>
      <c r="C1991" s="16">
        <v>27175.0</v>
      </c>
      <c r="D1991" s="17" t="s">
        <v>9908</v>
      </c>
    </row>
    <row r="1992">
      <c r="A1992" s="14">
        <v>26.0</v>
      </c>
      <c r="B1992" s="15" t="s">
        <v>9909</v>
      </c>
      <c r="C1992" s="16">
        <v>27175.0</v>
      </c>
      <c r="D1992" s="17" t="s">
        <v>9910</v>
      </c>
    </row>
    <row r="1993">
      <c r="A1993" s="14">
        <v>26.0</v>
      </c>
      <c r="B1993" s="15" t="s">
        <v>9911</v>
      </c>
      <c r="C1993" s="16">
        <v>27175.0</v>
      </c>
      <c r="D1993" s="17" t="s">
        <v>9912</v>
      </c>
    </row>
    <row r="1994">
      <c r="A1994" s="14">
        <v>26.0</v>
      </c>
      <c r="B1994" s="15" t="s">
        <v>9913</v>
      </c>
      <c r="C1994" s="16">
        <v>27175.0</v>
      </c>
      <c r="D1994" s="17" t="s">
        <v>9914</v>
      </c>
    </row>
    <row r="1995">
      <c r="A1995" s="14" t="s">
        <v>6374</v>
      </c>
      <c r="B1995" s="15" t="s">
        <v>9915</v>
      </c>
      <c r="C1995" s="16">
        <v>27176.0</v>
      </c>
      <c r="D1995" s="17" t="s">
        <v>9916</v>
      </c>
    </row>
    <row r="1996">
      <c r="A1996" s="14" t="s">
        <v>5932</v>
      </c>
      <c r="B1996" s="15" t="s">
        <v>9917</v>
      </c>
      <c r="C1996" s="16">
        <v>27176.0</v>
      </c>
      <c r="D1996" s="17" t="s">
        <v>9918</v>
      </c>
    </row>
    <row r="1997">
      <c r="A1997" s="14">
        <v>27.0</v>
      </c>
      <c r="B1997" s="15" t="s">
        <v>9919</v>
      </c>
      <c r="C1997" s="16">
        <v>27176.0</v>
      </c>
      <c r="D1997" s="17" t="s">
        <v>9920</v>
      </c>
    </row>
    <row r="1998">
      <c r="A1998" s="14">
        <v>27.0</v>
      </c>
      <c r="B1998" s="15" t="s">
        <v>9921</v>
      </c>
      <c r="C1998" s="16">
        <v>27176.0</v>
      </c>
      <c r="D1998" s="17" t="s">
        <v>9922</v>
      </c>
    </row>
    <row r="1999">
      <c r="A1999" s="14">
        <v>27.0</v>
      </c>
      <c r="B1999" s="15" t="s">
        <v>9923</v>
      </c>
      <c r="C1999" s="16">
        <v>27176.0</v>
      </c>
      <c r="D1999" s="17" t="s">
        <v>9924</v>
      </c>
    </row>
    <row r="2000">
      <c r="A2000" s="14" t="s">
        <v>6374</v>
      </c>
      <c r="B2000" s="15" t="s">
        <v>9925</v>
      </c>
      <c r="C2000" s="16">
        <v>27177.0</v>
      </c>
      <c r="D2000" s="17" t="s">
        <v>9926</v>
      </c>
    </row>
    <row r="2001">
      <c r="A2001" s="14" t="s">
        <v>5932</v>
      </c>
      <c r="B2001" s="15" t="s">
        <v>9927</v>
      </c>
      <c r="C2001" s="16">
        <v>27177.0</v>
      </c>
      <c r="D2001" s="17" t="s">
        <v>9928</v>
      </c>
    </row>
    <row r="2002">
      <c r="A2002" s="14" t="s">
        <v>5932</v>
      </c>
      <c r="B2002" s="15" t="s">
        <v>9929</v>
      </c>
      <c r="C2002" s="16">
        <v>27177.0</v>
      </c>
      <c r="D2002" s="17" t="s">
        <v>9930</v>
      </c>
    </row>
    <row r="2003">
      <c r="A2003" s="14">
        <v>28.0</v>
      </c>
      <c r="B2003" s="15" t="s">
        <v>9931</v>
      </c>
      <c r="C2003" s="16">
        <v>27177.0</v>
      </c>
      <c r="D2003" s="17" t="s">
        <v>9932</v>
      </c>
    </row>
    <row r="2004">
      <c r="A2004" s="14">
        <v>28.0</v>
      </c>
      <c r="B2004" s="15" t="s">
        <v>9933</v>
      </c>
      <c r="C2004" s="16">
        <v>27177.0</v>
      </c>
      <c r="D2004" s="17" t="s">
        <v>9934</v>
      </c>
    </row>
    <row r="2005">
      <c r="A2005" s="14">
        <v>28.0</v>
      </c>
      <c r="B2005" s="15" t="s">
        <v>9935</v>
      </c>
      <c r="C2005" s="16">
        <v>27177.0</v>
      </c>
      <c r="D2005" s="17" t="s">
        <v>9936</v>
      </c>
    </row>
    <row r="2006">
      <c r="A2006" s="14">
        <v>28.0</v>
      </c>
      <c r="B2006" s="15" t="s">
        <v>9937</v>
      </c>
      <c r="C2006" s="16">
        <v>27177.0</v>
      </c>
      <c r="D2006" s="17" t="s">
        <v>9938</v>
      </c>
    </row>
    <row r="2007">
      <c r="A2007" s="14">
        <v>29.0</v>
      </c>
      <c r="B2007" s="15" t="s">
        <v>9939</v>
      </c>
      <c r="C2007" s="16">
        <v>27178.0</v>
      </c>
      <c r="D2007" s="17" t="s">
        <v>9940</v>
      </c>
    </row>
    <row r="2008">
      <c r="A2008" s="14" t="s">
        <v>6374</v>
      </c>
      <c r="B2008" s="15" t="s">
        <v>9941</v>
      </c>
      <c r="C2008" s="16">
        <v>27179.0</v>
      </c>
      <c r="D2008" s="17" t="s">
        <v>9942</v>
      </c>
    </row>
    <row r="2009">
      <c r="A2009" s="14" t="s">
        <v>6374</v>
      </c>
      <c r="B2009" s="15" t="s">
        <v>9943</v>
      </c>
      <c r="C2009" s="16">
        <v>27179.0</v>
      </c>
      <c r="D2009" s="17" t="s">
        <v>9944</v>
      </c>
    </row>
    <row r="2010">
      <c r="A2010" s="14" t="s">
        <v>6057</v>
      </c>
      <c r="B2010" s="15" t="s">
        <v>9945</v>
      </c>
      <c r="C2010" s="16">
        <v>27179.0</v>
      </c>
      <c r="D2010" s="17" t="s">
        <v>9946</v>
      </c>
    </row>
    <row r="2011">
      <c r="A2011" s="14">
        <v>30.0</v>
      </c>
      <c r="B2011" s="15" t="s">
        <v>9947</v>
      </c>
      <c r="C2011" s="16">
        <v>27179.0</v>
      </c>
      <c r="D2011" s="17" t="s">
        <v>9948</v>
      </c>
    </row>
    <row r="2012">
      <c r="A2012" s="14">
        <v>30.0</v>
      </c>
      <c r="B2012" s="15" t="s">
        <v>9949</v>
      </c>
      <c r="C2012" s="16">
        <v>27179.0</v>
      </c>
      <c r="D2012" s="17" t="s">
        <v>9950</v>
      </c>
    </row>
    <row r="2013">
      <c r="A2013" s="14">
        <v>30.0</v>
      </c>
      <c r="B2013" s="15" t="s">
        <v>9951</v>
      </c>
      <c r="C2013" s="16">
        <v>27179.0</v>
      </c>
      <c r="D2013" s="17" t="s">
        <v>9952</v>
      </c>
    </row>
    <row r="2014">
      <c r="A2014" s="14">
        <v>30.0</v>
      </c>
      <c r="B2014" s="15" t="s">
        <v>9953</v>
      </c>
      <c r="C2014" s="16">
        <v>27179.0</v>
      </c>
      <c r="D2014" s="17" t="s">
        <v>9954</v>
      </c>
    </row>
    <row r="2015">
      <c r="A2015" s="14" t="s">
        <v>5986</v>
      </c>
      <c r="B2015" s="15" t="s">
        <v>9955</v>
      </c>
      <c r="C2015" s="16">
        <v>27180.0</v>
      </c>
      <c r="D2015" s="17" t="s">
        <v>9956</v>
      </c>
    </row>
    <row r="2016">
      <c r="A2016" s="14" t="s">
        <v>6353</v>
      </c>
      <c r="B2016" s="15" t="s">
        <v>9957</v>
      </c>
      <c r="C2016" s="16">
        <v>27180.0</v>
      </c>
      <c r="D2016" s="17" t="s">
        <v>9958</v>
      </c>
    </row>
    <row r="2017">
      <c r="A2017" s="14" t="s">
        <v>6353</v>
      </c>
      <c r="B2017" s="15" t="s">
        <v>9959</v>
      </c>
      <c r="C2017" s="16">
        <v>27180.0</v>
      </c>
      <c r="D2017" s="17" t="s">
        <v>9960</v>
      </c>
    </row>
    <row r="2018">
      <c r="A2018" s="14" t="s">
        <v>5932</v>
      </c>
      <c r="B2018" s="15" t="s">
        <v>9961</v>
      </c>
      <c r="C2018" s="16">
        <v>27180.0</v>
      </c>
      <c r="D2018" s="17" t="s">
        <v>9962</v>
      </c>
    </row>
    <row r="2019">
      <c r="A2019" s="14">
        <v>31.0</v>
      </c>
      <c r="B2019" s="15" t="s">
        <v>9963</v>
      </c>
      <c r="C2019" s="16">
        <v>27180.0</v>
      </c>
      <c r="D2019" s="17" t="s">
        <v>9964</v>
      </c>
    </row>
    <row r="2020">
      <c r="A2020" s="14">
        <v>31.0</v>
      </c>
      <c r="B2020" s="15" t="s">
        <v>9965</v>
      </c>
      <c r="C2020" s="16">
        <v>27180.0</v>
      </c>
      <c r="D2020" s="17" t="s">
        <v>9966</v>
      </c>
    </row>
    <row r="2021">
      <c r="A2021" s="14">
        <v>31.0</v>
      </c>
      <c r="B2021" s="15" t="s">
        <v>9967</v>
      </c>
      <c r="C2021" s="16">
        <v>27180.0</v>
      </c>
      <c r="D2021" s="17" t="s">
        <v>9968</v>
      </c>
    </row>
    <row r="2022">
      <c r="A2022" s="14">
        <v>31.0</v>
      </c>
      <c r="B2022" s="15" t="s">
        <v>9969</v>
      </c>
      <c r="C2022" s="16">
        <v>27180.0</v>
      </c>
      <c r="D2022" s="17" t="s">
        <v>9970</v>
      </c>
    </row>
    <row r="2023">
      <c r="A2023" s="14">
        <v>31.0</v>
      </c>
      <c r="B2023" s="15" t="s">
        <v>9971</v>
      </c>
      <c r="C2023" s="16">
        <v>27180.0</v>
      </c>
      <c r="D2023" s="17" t="s">
        <v>9972</v>
      </c>
    </row>
    <row r="2024">
      <c r="A2024" s="14">
        <v>31.0</v>
      </c>
      <c r="B2024" s="15" t="s">
        <v>9973</v>
      </c>
      <c r="C2024" s="16">
        <v>27180.0</v>
      </c>
      <c r="D2024" s="17" t="s">
        <v>9974</v>
      </c>
    </row>
    <row r="2025">
      <c r="A2025" s="14">
        <v>31.0</v>
      </c>
      <c r="B2025" s="15" t="s">
        <v>9975</v>
      </c>
      <c r="C2025" s="16">
        <v>27180.0</v>
      </c>
      <c r="D2025" s="17" t="s">
        <v>9976</v>
      </c>
    </row>
    <row r="2026">
      <c r="A2026" s="14" t="s">
        <v>5986</v>
      </c>
      <c r="B2026" s="15" t="s">
        <v>9977</v>
      </c>
      <c r="C2026" s="16">
        <v>27181.0</v>
      </c>
      <c r="D2026" s="17" t="s">
        <v>9978</v>
      </c>
    </row>
    <row r="2027">
      <c r="A2027" s="14" t="s">
        <v>6374</v>
      </c>
      <c r="B2027" s="15" t="s">
        <v>9979</v>
      </c>
      <c r="C2027" s="16">
        <v>27181.0</v>
      </c>
      <c r="D2027" s="17" t="s">
        <v>9980</v>
      </c>
    </row>
    <row r="2028">
      <c r="A2028" s="14" t="s">
        <v>5932</v>
      </c>
      <c r="B2028" s="15" t="s">
        <v>9981</v>
      </c>
      <c r="C2028" s="16">
        <v>27181.0</v>
      </c>
      <c r="D2028" s="17" t="s">
        <v>9982</v>
      </c>
    </row>
    <row r="2029">
      <c r="A2029" s="14">
        <v>1.0</v>
      </c>
      <c r="B2029" s="15" t="s">
        <v>9983</v>
      </c>
      <c r="C2029" s="16">
        <v>27181.0</v>
      </c>
      <c r="D2029" s="17" t="s">
        <v>9984</v>
      </c>
    </row>
    <row r="2030">
      <c r="A2030" s="14">
        <v>1.0</v>
      </c>
      <c r="B2030" s="15" t="s">
        <v>9985</v>
      </c>
      <c r="C2030" s="16">
        <v>27181.0</v>
      </c>
      <c r="D2030" s="17" t="s">
        <v>9986</v>
      </c>
    </row>
    <row r="2031">
      <c r="A2031" s="14">
        <v>1.0</v>
      </c>
      <c r="B2031" s="15" t="s">
        <v>9987</v>
      </c>
      <c r="C2031" s="16">
        <v>27181.0</v>
      </c>
      <c r="D2031" s="17" t="s">
        <v>9988</v>
      </c>
    </row>
    <row r="2032">
      <c r="A2032" s="14">
        <v>1.0</v>
      </c>
      <c r="B2032" s="15" t="s">
        <v>9989</v>
      </c>
      <c r="C2032" s="16">
        <v>27181.0</v>
      </c>
      <c r="D2032" s="17" t="s">
        <v>9990</v>
      </c>
    </row>
    <row r="2033">
      <c r="A2033" s="14">
        <v>1.0</v>
      </c>
      <c r="B2033" s="15" t="s">
        <v>9991</v>
      </c>
      <c r="C2033" s="16">
        <v>27181.0</v>
      </c>
      <c r="D2033" s="17" t="s">
        <v>9992</v>
      </c>
    </row>
    <row r="2034">
      <c r="A2034" s="14" t="s">
        <v>6374</v>
      </c>
      <c r="B2034" s="15" t="s">
        <v>9993</v>
      </c>
      <c r="C2034" s="16">
        <v>27182.0</v>
      </c>
      <c r="D2034" s="17" t="s">
        <v>9994</v>
      </c>
    </row>
    <row r="2035">
      <c r="A2035" s="14" t="s">
        <v>5932</v>
      </c>
      <c r="B2035" s="15" t="s">
        <v>9995</v>
      </c>
      <c r="C2035" s="16">
        <v>27182.0</v>
      </c>
      <c r="D2035" s="17" t="s">
        <v>9996</v>
      </c>
    </row>
    <row r="2036">
      <c r="A2036" s="14">
        <v>2.0</v>
      </c>
      <c r="B2036" s="15" t="s">
        <v>9997</v>
      </c>
      <c r="C2036" s="16">
        <v>27182.0</v>
      </c>
      <c r="D2036" s="17" t="s">
        <v>9998</v>
      </c>
    </row>
    <row r="2037">
      <c r="A2037" s="14">
        <v>2.0</v>
      </c>
      <c r="B2037" s="15" t="s">
        <v>9999</v>
      </c>
      <c r="C2037" s="16">
        <v>27182.0</v>
      </c>
      <c r="D2037" s="17" t="s">
        <v>10000</v>
      </c>
    </row>
    <row r="2038">
      <c r="A2038" s="14">
        <v>2.0</v>
      </c>
      <c r="B2038" s="15" t="s">
        <v>10001</v>
      </c>
      <c r="C2038" s="16">
        <v>27182.0</v>
      </c>
      <c r="D2038" s="17" t="s">
        <v>10002</v>
      </c>
    </row>
    <row r="2039">
      <c r="A2039" s="14">
        <v>2.0</v>
      </c>
      <c r="B2039" s="15" t="s">
        <v>10003</v>
      </c>
      <c r="C2039" s="16">
        <v>27182.0</v>
      </c>
      <c r="D2039" s="17" t="s">
        <v>10004</v>
      </c>
    </row>
    <row r="2040">
      <c r="A2040" s="14" t="s">
        <v>6374</v>
      </c>
      <c r="B2040" s="15" t="s">
        <v>10005</v>
      </c>
      <c r="C2040" s="16">
        <v>27183.0</v>
      </c>
      <c r="D2040" s="17" t="s">
        <v>10006</v>
      </c>
    </row>
    <row r="2041">
      <c r="A2041" s="14" t="s">
        <v>5932</v>
      </c>
      <c r="B2041" s="15" t="s">
        <v>10007</v>
      </c>
      <c r="C2041" s="16">
        <v>27183.0</v>
      </c>
      <c r="D2041" s="17" t="s">
        <v>10008</v>
      </c>
    </row>
    <row r="2042">
      <c r="A2042" s="14">
        <v>3.0</v>
      </c>
      <c r="B2042" s="15" t="s">
        <v>10009</v>
      </c>
      <c r="C2042" s="16">
        <v>27183.0</v>
      </c>
      <c r="D2042" s="17" t="s">
        <v>10010</v>
      </c>
    </row>
    <row r="2043">
      <c r="A2043" s="14">
        <v>3.0</v>
      </c>
      <c r="B2043" s="15" t="s">
        <v>10011</v>
      </c>
      <c r="C2043" s="16">
        <v>27183.0</v>
      </c>
      <c r="D2043" s="17" t="s">
        <v>10012</v>
      </c>
    </row>
    <row r="2044">
      <c r="A2044" s="14">
        <v>3.0</v>
      </c>
      <c r="B2044" s="15" t="s">
        <v>10013</v>
      </c>
      <c r="C2044" s="16">
        <v>27183.0</v>
      </c>
      <c r="D2044" s="17" t="s">
        <v>10014</v>
      </c>
    </row>
    <row r="2045">
      <c r="A2045" s="14" t="s">
        <v>6353</v>
      </c>
      <c r="B2045" s="15" t="s">
        <v>10015</v>
      </c>
      <c r="C2045" s="16">
        <v>27184.0</v>
      </c>
      <c r="D2045" s="17" t="s">
        <v>10016</v>
      </c>
    </row>
    <row r="2046">
      <c r="A2046" s="14" t="s">
        <v>6353</v>
      </c>
      <c r="B2046" s="15" t="s">
        <v>10017</v>
      </c>
      <c r="C2046" s="16">
        <v>27184.0</v>
      </c>
      <c r="D2046" s="17" t="s">
        <v>10018</v>
      </c>
    </row>
    <row r="2047">
      <c r="A2047" s="14" t="s">
        <v>5932</v>
      </c>
      <c r="B2047" s="15" t="s">
        <v>10019</v>
      </c>
      <c r="C2047" s="16">
        <v>27184.0</v>
      </c>
      <c r="D2047" s="17" t="s">
        <v>10020</v>
      </c>
    </row>
    <row r="2048">
      <c r="A2048" s="14">
        <v>4.0</v>
      </c>
      <c r="B2048" s="15" t="s">
        <v>10021</v>
      </c>
      <c r="C2048" s="16">
        <v>27184.0</v>
      </c>
      <c r="D2048" s="17" t="s">
        <v>10022</v>
      </c>
    </row>
    <row r="2049">
      <c r="A2049" s="14">
        <v>4.0</v>
      </c>
      <c r="B2049" s="15" t="s">
        <v>10023</v>
      </c>
      <c r="C2049" s="16">
        <v>27184.0</v>
      </c>
      <c r="D2049" s="17" t="s">
        <v>10024</v>
      </c>
    </row>
    <row r="2050">
      <c r="A2050" s="14">
        <v>4.0</v>
      </c>
      <c r="B2050" s="15" t="s">
        <v>10025</v>
      </c>
      <c r="C2050" s="16">
        <v>27184.0</v>
      </c>
      <c r="D2050" s="17" t="s">
        <v>10026</v>
      </c>
    </row>
    <row r="2051">
      <c r="A2051" s="14">
        <v>4.0</v>
      </c>
      <c r="B2051" s="15" t="s">
        <v>10027</v>
      </c>
      <c r="C2051" s="16">
        <v>27184.0</v>
      </c>
      <c r="D2051" s="17" t="s">
        <v>10028</v>
      </c>
    </row>
    <row r="2052">
      <c r="A2052" s="14">
        <v>4.0</v>
      </c>
      <c r="B2052" s="15" t="s">
        <v>10029</v>
      </c>
      <c r="C2052" s="16">
        <v>27184.0</v>
      </c>
      <c r="D2052" s="17" t="s">
        <v>10030</v>
      </c>
    </row>
    <row r="2053">
      <c r="A2053" s="14">
        <v>4.0</v>
      </c>
      <c r="B2053" s="15" t="s">
        <v>10031</v>
      </c>
      <c r="C2053" s="16">
        <v>27184.0</v>
      </c>
      <c r="D2053" s="17" t="s">
        <v>10032</v>
      </c>
    </row>
    <row r="2054">
      <c r="A2054" s="14" t="s">
        <v>6374</v>
      </c>
      <c r="B2054" s="15" t="s">
        <v>10033</v>
      </c>
      <c r="C2054" s="16">
        <v>27185.0</v>
      </c>
      <c r="D2054" s="17" t="s">
        <v>10034</v>
      </c>
    </row>
    <row r="2055">
      <c r="A2055" s="14" t="s">
        <v>6353</v>
      </c>
      <c r="B2055" s="15" t="s">
        <v>10035</v>
      </c>
      <c r="C2055" s="16">
        <v>27185.0</v>
      </c>
      <c r="D2055" s="17" t="s">
        <v>10036</v>
      </c>
    </row>
    <row r="2056">
      <c r="A2056" s="14" t="s">
        <v>6353</v>
      </c>
      <c r="B2056" s="15" t="s">
        <v>10037</v>
      </c>
      <c r="C2056" s="16">
        <v>27185.0</v>
      </c>
      <c r="D2056" s="17" t="s">
        <v>10038</v>
      </c>
    </row>
    <row r="2057">
      <c r="A2057" s="14">
        <v>5.0</v>
      </c>
      <c r="B2057" s="15" t="s">
        <v>10039</v>
      </c>
      <c r="C2057" s="16">
        <v>27185.0</v>
      </c>
      <c r="D2057" s="17" t="s">
        <v>10040</v>
      </c>
    </row>
    <row r="2058">
      <c r="A2058" s="14">
        <v>5.0</v>
      </c>
      <c r="B2058" s="15" t="s">
        <v>10041</v>
      </c>
      <c r="C2058" s="16">
        <v>27185.0</v>
      </c>
      <c r="D2058" s="17" t="s">
        <v>10042</v>
      </c>
    </row>
    <row r="2059">
      <c r="A2059" s="14">
        <v>5.0</v>
      </c>
      <c r="B2059" s="15" t="s">
        <v>10043</v>
      </c>
      <c r="C2059" s="16">
        <v>27185.0</v>
      </c>
      <c r="D2059" s="17" t="s">
        <v>10044</v>
      </c>
    </row>
    <row r="2060">
      <c r="A2060" s="14">
        <v>5.0</v>
      </c>
      <c r="B2060" s="15" t="s">
        <v>10045</v>
      </c>
      <c r="C2060" s="16">
        <v>27185.0</v>
      </c>
      <c r="D2060" s="17" t="s">
        <v>10046</v>
      </c>
    </row>
    <row r="2061">
      <c r="A2061" s="14">
        <v>5.0</v>
      </c>
      <c r="B2061" s="15" t="s">
        <v>10047</v>
      </c>
      <c r="C2061" s="16">
        <v>27185.0</v>
      </c>
      <c r="D2061" s="17" t="s">
        <v>10048</v>
      </c>
    </row>
    <row r="2062">
      <c r="A2062" s="14">
        <v>5.0</v>
      </c>
      <c r="B2062" s="15" t="s">
        <v>10049</v>
      </c>
      <c r="C2062" s="16">
        <v>27185.0</v>
      </c>
      <c r="D2062" s="17" t="s">
        <v>10050</v>
      </c>
    </row>
    <row r="2063">
      <c r="A2063" s="14" t="s">
        <v>7676</v>
      </c>
      <c r="B2063" s="15" t="s">
        <v>10051</v>
      </c>
      <c r="C2063" s="16">
        <v>27186.0</v>
      </c>
      <c r="D2063" s="17" t="s">
        <v>10052</v>
      </c>
    </row>
    <row r="2064">
      <c r="A2064" s="14" t="s">
        <v>6374</v>
      </c>
      <c r="B2064" s="15" t="s">
        <v>10053</v>
      </c>
      <c r="C2064" s="16">
        <v>27186.0</v>
      </c>
      <c r="D2064" s="17" t="s">
        <v>10054</v>
      </c>
    </row>
    <row r="2065">
      <c r="A2065" s="14" t="s">
        <v>6057</v>
      </c>
      <c r="B2065" s="15" t="s">
        <v>10055</v>
      </c>
      <c r="C2065" s="16">
        <v>27186.0</v>
      </c>
      <c r="D2065" s="17" t="s">
        <v>10056</v>
      </c>
    </row>
    <row r="2066">
      <c r="A2066" s="14">
        <v>6.0</v>
      </c>
      <c r="B2066" s="15" t="s">
        <v>10057</v>
      </c>
      <c r="C2066" s="16">
        <v>27186.0</v>
      </c>
      <c r="D2066" s="17" t="s">
        <v>10058</v>
      </c>
    </row>
    <row r="2067">
      <c r="A2067" s="14">
        <v>6.0</v>
      </c>
      <c r="B2067" s="15" t="s">
        <v>10059</v>
      </c>
      <c r="C2067" s="16">
        <v>27186.0</v>
      </c>
      <c r="D2067" s="17" t="s">
        <v>10060</v>
      </c>
    </row>
    <row r="2068">
      <c r="A2068" s="14">
        <v>6.0</v>
      </c>
      <c r="B2068" s="15" t="s">
        <v>10061</v>
      </c>
      <c r="C2068" s="16">
        <v>27186.0</v>
      </c>
      <c r="D2068" s="17" t="s">
        <v>10062</v>
      </c>
    </row>
    <row r="2069">
      <c r="A2069" s="14">
        <v>6.0</v>
      </c>
      <c r="B2069" s="15" t="s">
        <v>10063</v>
      </c>
      <c r="C2069" s="16">
        <v>27186.0</v>
      </c>
      <c r="D2069" s="17" t="s">
        <v>10064</v>
      </c>
    </row>
    <row r="2070">
      <c r="A2070" s="14">
        <v>6.0</v>
      </c>
      <c r="B2070" s="15" t="s">
        <v>10065</v>
      </c>
      <c r="C2070" s="16">
        <v>27186.0</v>
      </c>
      <c r="D2070" s="17" t="s">
        <v>10066</v>
      </c>
    </row>
    <row r="2071">
      <c r="A2071" s="14">
        <v>6.0</v>
      </c>
      <c r="B2071" s="15" t="s">
        <v>10067</v>
      </c>
      <c r="C2071" s="16">
        <v>27186.0</v>
      </c>
      <c r="D2071" s="17" t="s">
        <v>10068</v>
      </c>
    </row>
    <row r="2072">
      <c r="A2072" s="14" t="s">
        <v>6092</v>
      </c>
      <c r="B2072" s="15" t="s">
        <v>10069</v>
      </c>
      <c r="C2072" s="16">
        <v>27187.0</v>
      </c>
      <c r="D2072" s="17" t="s">
        <v>10070</v>
      </c>
    </row>
    <row r="2073">
      <c r="A2073" s="14">
        <v>7.0</v>
      </c>
      <c r="B2073" s="15" t="s">
        <v>10071</v>
      </c>
      <c r="C2073" s="16">
        <v>27187.0</v>
      </c>
      <c r="D2073" s="17" t="s">
        <v>10072</v>
      </c>
    </row>
    <row r="2074">
      <c r="A2074" s="14">
        <v>7.0</v>
      </c>
      <c r="B2074" s="15" t="s">
        <v>10073</v>
      </c>
      <c r="C2074" s="16">
        <v>27187.0</v>
      </c>
      <c r="D2074" s="17" t="s">
        <v>10074</v>
      </c>
    </row>
    <row r="2075">
      <c r="A2075" s="14" t="s">
        <v>6753</v>
      </c>
      <c r="B2075" s="15" t="s">
        <v>10075</v>
      </c>
      <c r="C2075" s="16">
        <v>27188.0</v>
      </c>
      <c r="D2075" s="17" t="s">
        <v>10076</v>
      </c>
    </row>
    <row r="2076">
      <c r="A2076" s="14" t="s">
        <v>6374</v>
      </c>
      <c r="B2076" s="15" t="s">
        <v>10077</v>
      </c>
      <c r="C2076" s="16">
        <v>27188.0</v>
      </c>
      <c r="D2076" s="17" t="s">
        <v>10078</v>
      </c>
    </row>
    <row r="2077">
      <c r="A2077" s="14">
        <v>8.0</v>
      </c>
      <c r="B2077" s="15" t="s">
        <v>10079</v>
      </c>
      <c r="C2077" s="16">
        <v>27188.0</v>
      </c>
      <c r="D2077" s="17" t="s">
        <v>10080</v>
      </c>
    </row>
    <row r="2078">
      <c r="A2078" s="14">
        <v>8.0</v>
      </c>
      <c r="B2078" s="15" t="s">
        <v>10081</v>
      </c>
      <c r="C2078" s="16">
        <v>27188.0</v>
      </c>
      <c r="D2078" s="17" t="s">
        <v>10082</v>
      </c>
    </row>
    <row r="2079">
      <c r="A2079" s="14">
        <v>8.0</v>
      </c>
      <c r="B2079" s="15" t="s">
        <v>10083</v>
      </c>
      <c r="C2079" s="16">
        <v>27188.0</v>
      </c>
      <c r="D2079" s="17" t="s">
        <v>10084</v>
      </c>
    </row>
    <row r="2080">
      <c r="A2080" s="14">
        <v>8.0</v>
      </c>
      <c r="B2080" s="15" t="s">
        <v>10085</v>
      </c>
      <c r="C2080" s="16">
        <v>27188.0</v>
      </c>
      <c r="D2080" s="17" t="s">
        <v>10086</v>
      </c>
    </row>
    <row r="2081">
      <c r="A2081" s="14" t="s">
        <v>6374</v>
      </c>
      <c r="B2081" s="15" t="s">
        <v>10087</v>
      </c>
      <c r="C2081" s="16">
        <v>27189.0</v>
      </c>
      <c r="D2081" s="17" t="s">
        <v>10088</v>
      </c>
    </row>
    <row r="2082">
      <c r="A2082" s="14" t="s">
        <v>6353</v>
      </c>
      <c r="B2082" s="15" t="s">
        <v>10089</v>
      </c>
      <c r="C2082" s="16">
        <v>27189.0</v>
      </c>
      <c r="D2082" s="17" t="s">
        <v>10090</v>
      </c>
    </row>
    <row r="2083">
      <c r="A2083" s="14" t="s">
        <v>6487</v>
      </c>
      <c r="B2083" s="15" t="s">
        <v>10091</v>
      </c>
      <c r="C2083" s="16">
        <v>27189.0</v>
      </c>
      <c r="D2083" s="17" t="s">
        <v>10092</v>
      </c>
    </row>
    <row r="2084">
      <c r="A2084" s="14">
        <v>9.0</v>
      </c>
      <c r="B2084" s="15" t="s">
        <v>10093</v>
      </c>
      <c r="C2084" s="16">
        <v>27189.0</v>
      </c>
      <c r="D2084" s="17" t="s">
        <v>10094</v>
      </c>
    </row>
    <row r="2085">
      <c r="A2085" s="14">
        <v>9.0</v>
      </c>
      <c r="B2085" s="15" t="s">
        <v>10095</v>
      </c>
      <c r="C2085" s="16">
        <v>27189.0</v>
      </c>
      <c r="D2085" s="17" t="s">
        <v>10096</v>
      </c>
    </row>
    <row r="2086">
      <c r="A2086" s="14">
        <v>9.0</v>
      </c>
      <c r="B2086" s="15" t="s">
        <v>10097</v>
      </c>
      <c r="C2086" s="16">
        <v>27189.0</v>
      </c>
      <c r="D2086" s="17" t="s">
        <v>10098</v>
      </c>
    </row>
    <row r="2087">
      <c r="A2087" s="14">
        <v>9.0</v>
      </c>
      <c r="B2087" s="15" t="s">
        <v>10099</v>
      </c>
      <c r="C2087" s="16">
        <v>27189.0</v>
      </c>
      <c r="D2087" s="17" t="s">
        <v>10100</v>
      </c>
    </row>
    <row r="2088">
      <c r="A2088" s="14">
        <v>9.0</v>
      </c>
      <c r="B2088" s="15" t="s">
        <v>10101</v>
      </c>
      <c r="C2088" s="16">
        <v>27189.0</v>
      </c>
      <c r="D2088" s="17" t="s">
        <v>10102</v>
      </c>
    </row>
    <row r="2089">
      <c r="A2089" s="14" t="s">
        <v>6353</v>
      </c>
      <c r="B2089" s="15" t="s">
        <v>10103</v>
      </c>
      <c r="C2089" s="16">
        <v>27190.0</v>
      </c>
      <c r="D2089" s="17" t="s">
        <v>10104</v>
      </c>
    </row>
    <row r="2090">
      <c r="A2090" s="14">
        <v>10.0</v>
      </c>
      <c r="B2090" s="15" t="s">
        <v>10105</v>
      </c>
      <c r="C2090" s="16">
        <v>27190.0</v>
      </c>
      <c r="D2090" s="17" t="s">
        <v>10106</v>
      </c>
    </row>
    <row r="2091">
      <c r="A2091" s="14" t="s">
        <v>6374</v>
      </c>
      <c r="B2091" s="15" t="s">
        <v>10107</v>
      </c>
      <c r="C2091" s="16">
        <v>27191.0</v>
      </c>
      <c r="D2091" s="17" t="s">
        <v>10108</v>
      </c>
    </row>
    <row r="2092">
      <c r="A2092" s="14" t="s">
        <v>6353</v>
      </c>
      <c r="B2092" s="15" t="s">
        <v>10109</v>
      </c>
      <c r="C2092" s="16">
        <v>27191.0</v>
      </c>
      <c r="D2092" s="17" t="s">
        <v>10110</v>
      </c>
    </row>
    <row r="2093">
      <c r="A2093" s="14" t="s">
        <v>6353</v>
      </c>
      <c r="B2093" s="15" t="s">
        <v>10111</v>
      </c>
      <c r="C2093" s="16">
        <v>27191.0</v>
      </c>
      <c r="D2093" s="17" t="s">
        <v>10112</v>
      </c>
    </row>
    <row r="2094">
      <c r="A2094" s="14" t="s">
        <v>6487</v>
      </c>
      <c r="B2094" s="15" t="s">
        <v>10113</v>
      </c>
      <c r="C2094" s="16">
        <v>27191.0</v>
      </c>
      <c r="D2094" s="17" t="s">
        <v>10114</v>
      </c>
    </row>
    <row r="2095">
      <c r="A2095" s="14">
        <v>11.0</v>
      </c>
      <c r="B2095" s="15" t="s">
        <v>10115</v>
      </c>
      <c r="C2095" s="16">
        <v>27191.0</v>
      </c>
      <c r="D2095" s="17" t="s">
        <v>10116</v>
      </c>
    </row>
    <row r="2096">
      <c r="A2096" s="14">
        <v>11.0</v>
      </c>
      <c r="B2096" s="15" t="s">
        <v>10117</v>
      </c>
      <c r="C2096" s="16">
        <v>27191.0</v>
      </c>
      <c r="D2096" s="17" t="s">
        <v>10118</v>
      </c>
    </row>
    <row r="2097">
      <c r="A2097" s="14">
        <v>11.0</v>
      </c>
      <c r="B2097" s="15" t="s">
        <v>10119</v>
      </c>
      <c r="C2097" s="16">
        <v>27191.0</v>
      </c>
      <c r="D2097" s="17" t="s">
        <v>10120</v>
      </c>
    </row>
    <row r="2098">
      <c r="A2098" s="14">
        <v>11.0</v>
      </c>
      <c r="B2098" s="15" t="s">
        <v>10121</v>
      </c>
      <c r="C2098" s="16">
        <v>27191.0</v>
      </c>
      <c r="D2098" s="17" t="s">
        <v>10122</v>
      </c>
    </row>
    <row r="2099">
      <c r="A2099" s="14">
        <v>11.0</v>
      </c>
      <c r="B2099" s="15" t="s">
        <v>10123</v>
      </c>
      <c r="C2099" s="16">
        <v>27191.0</v>
      </c>
      <c r="D2099" s="17" t="s">
        <v>10124</v>
      </c>
    </row>
    <row r="2100">
      <c r="A2100" s="14">
        <v>11.0</v>
      </c>
      <c r="B2100" s="15" t="s">
        <v>10125</v>
      </c>
      <c r="C2100" s="16">
        <v>27191.0</v>
      </c>
      <c r="D2100" s="17" t="s">
        <v>10126</v>
      </c>
    </row>
    <row r="2101">
      <c r="A2101" s="14">
        <v>11.0</v>
      </c>
      <c r="B2101" s="15" t="s">
        <v>10127</v>
      </c>
      <c r="C2101" s="16">
        <v>27191.0</v>
      </c>
      <c r="D2101" s="17" t="s">
        <v>10128</v>
      </c>
    </row>
    <row r="2102">
      <c r="A2102" s="14" t="s">
        <v>6374</v>
      </c>
      <c r="B2102" s="15" t="s">
        <v>10129</v>
      </c>
      <c r="C2102" s="16">
        <v>27192.0</v>
      </c>
      <c r="D2102" s="17" t="s">
        <v>10130</v>
      </c>
    </row>
    <row r="2103">
      <c r="A2103" s="14" t="s">
        <v>6353</v>
      </c>
      <c r="B2103" s="15" t="s">
        <v>10131</v>
      </c>
      <c r="C2103" s="16">
        <v>27192.0</v>
      </c>
      <c r="D2103" s="17" t="s">
        <v>10132</v>
      </c>
    </row>
    <row r="2104">
      <c r="A2104" s="14" t="s">
        <v>6353</v>
      </c>
      <c r="B2104" s="15" t="s">
        <v>10133</v>
      </c>
      <c r="C2104" s="16">
        <v>27192.0</v>
      </c>
      <c r="D2104" s="17" t="s">
        <v>10134</v>
      </c>
    </row>
    <row r="2105">
      <c r="A2105" s="14" t="s">
        <v>6487</v>
      </c>
      <c r="B2105" s="15" t="s">
        <v>10135</v>
      </c>
      <c r="C2105" s="16">
        <v>27192.0</v>
      </c>
      <c r="D2105" s="17" t="s">
        <v>10136</v>
      </c>
    </row>
    <row r="2106">
      <c r="A2106" s="14" t="s">
        <v>6057</v>
      </c>
      <c r="B2106" s="15" t="s">
        <v>10137</v>
      </c>
      <c r="C2106" s="16">
        <v>27192.0</v>
      </c>
      <c r="D2106" s="17" t="s">
        <v>10138</v>
      </c>
    </row>
    <row r="2107">
      <c r="A2107" s="14">
        <v>12.0</v>
      </c>
      <c r="B2107" s="15" t="s">
        <v>10139</v>
      </c>
      <c r="C2107" s="16">
        <v>27192.0</v>
      </c>
      <c r="D2107" s="17" t="s">
        <v>10140</v>
      </c>
    </row>
    <row r="2108">
      <c r="A2108" s="14">
        <v>12.0</v>
      </c>
      <c r="B2108" s="15" t="s">
        <v>10141</v>
      </c>
      <c r="C2108" s="16">
        <v>27192.0</v>
      </c>
      <c r="D2108" s="17" t="s">
        <v>10142</v>
      </c>
    </row>
    <row r="2109">
      <c r="A2109" s="14">
        <v>12.0</v>
      </c>
      <c r="B2109" s="15" t="s">
        <v>10143</v>
      </c>
      <c r="C2109" s="16">
        <v>27192.0</v>
      </c>
      <c r="D2109" s="17" t="s">
        <v>10144</v>
      </c>
    </row>
    <row r="2110">
      <c r="A2110" s="14">
        <v>12.0</v>
      </c>
      <c r="B2110" s="15" t="s">
        <v>10145</v>
      </c>
      <c r="C2110" s="16">
        <v>27192.0</v>
      </c>
      <c r="D2110" s="17" t="s">
        <v>10146</v>
      </c>
    </row>
    <row r="2111">
      <c r="A2111" s="14">
        <v>12.0</v>
      </c>
      <c r="B2111" s="15" t="s">
        <v>10147</v>
      </c>
      <c r="C2111" s="16">
        <v>27192.0</v>
      </c>
      <c r="D2111" s="17" t="s">
        <v>10148</v>
      </c>
    </row>
    <row r="2112">
      <c r="A2112" s="14">
        <v>12.0</v>
      </c>
      <c r="B2112" s="15" t="s">
        <v>10149</v>
      </c>
      <c r="C2112" s="16">
        <v>27192.0</v>
      </c>
      <c r="D2112" s="17" t="s">
        <v>10150</v>
      </c>
    </row>
    <row r="2113">
      <c r="A2113" s="14">
        <v>12.0</v>
      </c>
      <c r="B2113" s="15" t="s">
        <v>10151</v>
      </c>
      <c r="C2113" s="16">
        <v>27192.0</v>
      </c>
      <c r="D2113" s="17" t="s">
        <v>10152</v>
      </c>
    </row>
    <row r="2114">
      <c r="A2114" s="14">
        <v>12.0</v>
      </c>
      <c r="B2114" s="15" t="s">
        <v>10153</v>
      </c>
      <c r="C2114" s="16">
        <v>27192.0</v>
      </c>
      <c r="D2114" s="17" t="s">
        <v>10154</v>
      </c>
    </row>
    <row r="2115">
      <c r="A2115" s="14">
        <v>12.0</v>
      </c>
      <c r="B2115" s="15" t="s">
        <v>10155</v>
      </c>
      <c r="C2115" s="16">
        <v>27192.0</v>
      </c>
      <c r="D2115" s="17" t="s">
        <v>10156</v>
      </c>
    </row>
    <row r="2116">
      <c r="A2116" s="14" t="s">
        <v>6074</v>
      </c>
      <c r="B2116" s="15" t="s">
        <v>10157</v>
      </c>
      <c r="C2116" s="16">
        <v>27193.0</v>
      </c>
      <c r="D2116" s="17" t="s">
        <v>10158</v>
      </c>
    </row>
    <row r="2117">
      <c r="A2117" s="14" t="s">
        <v>6374</v>
      </c>
      <c r="B2117" s="15" t="s">
        <v>10159</v>
      </c>
      <c r="C2117" s="16">
        <v>27193.0</v>
      </c>
      <c r="D2117" s="17" t="s">
        <v>10160</v>
      </c>
    </row>
    <row r="2118">
      <c r="A2118" s="14" t="s">
        <v>6353</v>
      </c>
      <c r="B2118" s="15" t="s">
        <v>10161</v>
      </c>
      <c r="C2118" s="16">
        <v>27193.0</v>
      </c>
      <c r="D2118" s="17" t="s">
        <v>10162</v>
      </c>
    </row>
    <row r="2119">
      <c r="A2119" s="14" t="s">
        <v>6353</v>
      </c>
      <c r="B2119" s="15" t="s">
        <v>10163</v>
      </c>
      <c r="C2119" s="16">
        <v>27193.0</v>
      </c>
      <c r="D2119" s="17" t="s">
        <v>10164</v>
      </c>
    </row>
    <row r="2120">
      <c r="A2120" s="14" t="s">
        <v>6487</v>
      </c>
      <c r="B2120" s="15" t="s">
        <v>10165</v>
      </c>
      <c r="C2120" s="16">
        <v>27193.0</v>
      </c>
      <c r="D2120" s="17" t="s">
        <v>10166</v>
      </c>
    </row>
    <row r="2121">
      <c r="A2121" s="14">
        <v>13.0</v>
      </c>
      <c r="B2121" s="15" t="s">
        <v>10167</v>
      </c>
      <c r="C2121" s="16">
        <v>27193.0</v>
      </c>
      <c r="D2121" s="17" t="s">
        <v>10168</v>
      </c>
    </row>
    <row r="2122">
      <c r="A2122" s="14">
        <v>13.0</v>
      </c>
      <c r="B2122" s="15" t="s">
        <v>10169</v>
      </c>
      <c r="C2122" s="16">
        <v>27193.0</v>
      </c>
      <c r="D2122" s="17" t="s">
        <v>10170</v>
      </c>
    </row>
    <row r="2123">
      <c r="A2123" s="14">
        <v>13.0</v>
      </c>
      <c r="B2123" s="15" t="s">
        <v>10171</v>
      </c>
      <c r="C2123" s="16">
        <v>27193.0</v>
      </c>
      <c r="D2123" s="17" t="s">
        <v>10172</v>
      </c>
    </row>
    <row r="2124">
      <c r="A2124" s="14">
        <v>13.0</v>
      </c>
      <c r="B2124" s="15" t="s">
        <v>10173</v>
      </c>
      <c r="C2124" s="16">
        <v>27193.0</v>
      </c>
      <c r="D2124" s="17" t="s">
        <v>10174</v>
      </c>
    </row>
    <row r="2125">
      <c r="A2125" s="14">
        <v>13.0</v>
      </c>
      <c r="B2125" s="15" t="s">
        <v>10175</v>
      </c>
      <c r="C2125" s="16">
        <v>27193.0</v>
      </c>
      <c r="D2125" s="17" t="s">
        <v>10176</v>
      </c>
    </row>
    <row r="2126">
      <c r="A2126" s="14">
        <v>13.0</v>
      </c>
      <c r="B2126" s="15" t="s">
        <v>10177</v>
      </c>
      <c r="C2126" s="16">
        <v>27193.0</v>
      </c>
      <c r="D2126" s="17" t="s">
        <v>10178</v>
      </c>
    </row>
    <row r="2127">
      <c r="A2127" s="14">
        <v>13.0</v>
      </c>
      <c r="B2127" s="15" t="s">
        <v>10179</v>
      </c>
      <c r="C2127" s="16">
        <v>27193.0</v>
      </c>
      <c r="D2127" s="17" t="s">
        <v>10180</v>
      </c>
    </row>
    <row r="2128">
      <c r="A2128" s="14">
        <v>13.0</v>
      </c>
      <c r="B2128" s="15" t="s">
        <v>10181</v>
      </c>
      <c r="C2128" s="16">
        <v>27193.0</v>
      </c>
      <c r="D2128" s="17" t="s">
        <v>10182</v>
      </c>
    </row>
    <row r="2129">
      <c r="A2129" s="14">
        <v>13.0</v>
      </c>
      <c r="B2129" s="15" t="s">
        <v>10183</v>
      </c>
      <c r="C2129" s="16">
        <v>27193.0</v>
      </c>
      <c r="D2129" s="17" t="s">
        <v>10184</v>
      </c>
    </row>
    <row r="2130">
      <c r="A2130" s="14">
        <v>13.0</v>
      </c>
      <c r="B2130" s="15" t="s">
        <v>10185</v>
      </c>
      <c r="C2130" s="16">
        <v>27193.0</v>
      </c>
      <c r="D2130" s="17" t="s">
        <v>10186</v>
      </c>
    </row>
    <row r="2131">
      <c r="A2131" s="14" t="s">
        <v>6374</v>
      </c>
      <c r="B2131" s="15" t="s">
        <v>10187</v>
      </c>
      <c r="C2131" s="16">
        <v>27194.0</v>
      </c>
      <c r="D2131" s="17" t="s">
        <v>10188</v>
      </c>
    </row>
    <row r="2132">
      <c r="A2132" s="14" t="s">
        <v>6353</v>
      </c>
      <c r="B2132" s="15" t="s">
        <v>10189</v>
      </c>
      <c r="C2132" s="16">
        <v>27194.0</v>
      </c>
      <c r="D2132" s="17" t="s">
        <v>10190</v>
      </c>
    </row>
    <row r="2133">
      <c r="A2133" s="14" t="s">
        <v>6487</v>
      </c>
      <c r="B2133" s="15" t="s">
        <v>10191</v>
      </c>
      <c r="C2133" s="16">
        <v>27194.0</v>
      </c>
      <c r="D2133" s="17" t="s">
        <v>10192</v>
      </c>
    </row>
    <row r="2134">
      <c r="A2134" s="14">
        <v>14.0</v>
      </c>
      <c r="B2134" s="15" t="s">
        <v>10193</v>
      </c>
      <c r="C2134" s="16">
        <v>27194.0</v>
      </c>
      <c r="D2134" s="17" t="s">
        <v>10194</v>
      </c>
    </row>
    <row r="2135">
      <c r="A2135" s="14">
        <v>14.0</v>
      </c>
      <c r="B2135" s="15" t="s">
        <v>10195</v>
      </c>
      <c r="C2135" s="16">
        <v>27194.0</v>
      </c>
      <c r="D2135" s="17" t="s">
        <v>10196</v>
      </c>
    </row>
    <row r="2136">
      <c r="A2136" s="14">
        <v>14.0</v>
      </c>
      <c r="B2136" s="15" t="s">
        <v>10197</v>
      </c>
      <c r="C2136" s="16">
        <v>27194.0</v>
      </c>
      <c r="D2136" s="17" t="s">
        <v>10198</v>
      </c>
    </row>
    <row r="2137">
      <c r="A2137" s="14">
        <v>14.0</v>
      </c>
      <c r="B2137" s="15" t="s">
        <v>10199</v>
      </c>
      <c r="C2137" s="16">
        <v>27194.0</v>
      </c>
      <c r="D2137" s="17" t="s">
        <v>10200</v>
      </c>
    </row>
    <row r="2138">
      <c r="A2138" s="14">
        <v>14.0</v>
      </c>
      <c r="B2138" s="15" t="s">
        <v>10201</v>
      </c>
      <c r="C2138" s="16">
        <v>27194.0</v>
      </c>
      <c r="D2138" s="17" t="s">
        <v>10202</v>
      </c>
    </row>
    <row r="2139">
      <c r="A2139" s="14">
        <v>14.0</v>
      </c>
      <c r="B2139" s="15" t="s">
        <v>10203</v>
      </c>
      <c r="C2139" s="16">
        <v>27194.0</v>
      </c>
      <c r="D2139" s="17" t="s">
        <v>10204</v>
      </c>
    </row>
    <row r="2140">
      <c r="A2140" s="14">
        <v>14.0</v>
      </c>
      <c r="B2140" s="15" t="s">
        <v>10205</v>
      </c>
      <c r="C2140" s="16">
        <v>27194.0</v>
      </c>
      <c r="D2140" s="17" t="s">
        <v>10206</v>
      </c>
    </row>
    <row r="2141">
      <c r="A2141" s="14" t="s">
        <v>6353</v>
      </c>
      <c r="B2141" s="15" t="s">
        <v>10207</v>
      </c>
      <c r="C2141" s="16">
        <v>27195.0</v>
      </c>
      <c r="D2141" s="17" t="s">
        <v>10208</v>
      </c>
    </row>
    <row r="2142">
      <c r="A2142" s="14" t="s">
        <v>6353</v>
      </c>
      <c r="B2142" s="15" t="s">
        <v>10209</v>
      </c>
      <c r="C2142" s="16">
        <v>27195.0</v>
      </c>
      <c r="D2142" s="17" t="s">
        <v>10210</v>
      </c>
    </row>
    <row r="2143">
      <c r="A2143" s="14" t="s">
        <v>6487</v>
      </c>
      <c r="B2143" s="15" t="s">
        <v>10211</v>
      </c>
      <c r="C2143" s="16">
        <v>27195.0</v>
      </c>
      <c r="D2143" s="17" t="s">
        <v>10212</v>
      </c>
    </row>
    <row r="2144">
      <c r="A2144" s="14">
        <v>15.0</v>
      </c>
      <c r="B2144" s="15" t="s">
        <v>10213</v>
      </c>
      <c r="C2144" s="16">
        <v>27195.0</v>
      </c>
      <c r="D2144" s="17" t="s">
        <v>10214</v>
      </c>
    </row>
    <row r="2145">
      <c r="A2145" s="14">
        <v>15.0</v>
      </c>
      <c r="B2145" s="15" t="s">
        <v>10215</v>
      </c>
      <c r="C2145" s="16">
        <v>27195.0</v>
      </c>
      <c r="D2145" s="17" t="s">
        <v>10216</v>
      </c>
    </row>
    <row r="2146">
      <c r="A2146" s="14">
        <v>15.0</v>
      </c>
      <c r="B2146" s="15" t="s">
        <v>10217</v>
      </c>
      <c r="C2146" s="16">
        <v>27195.0</v>
      </c>
      <c r="D2146" s="17" t="s">
        <v>10218</v>
      </c>
    </row>
    <row r="2147">
      <c r="A2147" s="14">
        <v>15.0</v>
      </c>
      <c r="B2147" s="15" t="s">
        <v>10219</v>
      </c>
      <c r="C2147" s="16">
        <v>27195.0</v>
      </c>
      <c r="D2147" s="17" t="s">
        <v>10220</v>
      </c>
    </row>
    <row r="2148">
      <c r="A2148" s="14">
        <v>15.0</v>
      </c>
      <c r="B2148" s="15" t="s">
        <v>10221</v>
      </c>
      <c r="C2148" s="16">
        <v>27195.0</v>
      </c>
      <c r="D2148" s="17" t="s">
        <v>10222</v>
      </c>
    </row>
    <row r="2149">
      <c r="A2149" s="14">
        <v>15.0</v>
      </c>
      <c r="B2149" s="15" t="s">
        <v>10223</v>
      </c>
      <c r="C2149" s="16">
        <v>27195.0</v>
      </c>
      <c r="D2149" s="17" t="s">
        <v>10224</v>
      </c>
    </row>
    <row r="2150">
      <c r="A2150" s="14" t="s">
        <v>5908</v>
      </c>
      <c r="B2150" s="15" t="s">
        <v>10225</v>
      </c>
      <c r="C2150" s="16">
        <v>27196.0</v>
      </c>
      <c r="D2150" s="17" t="s">
        <v>10226</v>
      </c>
    </row>
    <row r="2151">
      <c r="A2151" s="14">
        <v>16.0</v>
      </c>
      <c r="B2151" s="15" t="s">
        <v>10227</v>
      </c>
      <c r="C2151" s="16">
        <v>27196.0</v>
      </c>
      <c r="D2151" s="17" t="s">
        <v>10228</v>
      </c>
    </row>
    <row r="2152">
      <c r="A2152" s="14">
        <v>16.0</v>
      </c>
      <c r="B2152" s="15" t="s">
        <v>10229</v>
      </c>
      <c r="C2152" s="16">
        <v>27196.0</v>
      </c>
      <c r="D2152" s="17" t="s">
        <v>10230</v>
      </c>
    </row>
    <row r="2153">
      <c r="A2153" s="14" t="s">
        <v>6374</v>
      </c>
      <c r="B2153" s="15" t="s">
        <v>10231</v>
      </c>
      <c r="C2153" s="16">
        <v>27197.0</v>
      </c>
      <c r="D2153" s="17" t="s">
        <v>10232</v>
      </c>
    </row>
    <row r="2154">
      <c r="A2154" s="14" t="s">
        <v>6353</v>
      </c>
      <c r="B2154" s="15" t="s">
        <v>10233</v>
      </c>
      <c r="C2154" s="16">
        <v>27197.0</v>
      </c>
      <c r="D2154" s="17" t="s">
        <v>10234</v>
      </c>
    </row>
    <row r="2155">
      <c r="A2155" s="14">
        <v>17.0</v>
      </c>
      <c r="B2155" s="15" t="s">
        <v>10235</v>
      </c>
      <c r="C2155" s="16">
        <v>27197.0</v>
      </c>
      <c r="D2155" s="17" t="s">
        <v>10236</v>
      </c>
    </row>
    <row r="2156">
      <c r="A2156" s="14">
        <v>17.0</v>
      </c>
      <c r="B2156" s="15" t="s">
        <v>10237</v>
      </c>
      <c r="C2156" s="16">
        <v>27197.0</v>
      </c>
      <c r="D2156" s="17" t="s">
        <v>10238</v>
      </c>
    </row>
    <row r="2157">
      <c r="A2157" s="14">
        <v>17.0</v>
      </c>
      <c r="B2157" s="15" t="s">
        <v>10239</v>
      </c>
      <c r="C2157" s="16">
        <v>27197.0</v>
      </c>
      <c r="D2157" s="17" t="s">
        <v>10240</v>
      </c>
    </row>
    <row r="2158">
      <c r="A2158" s="14" t="s">
        <v>5908</v>
      </c>
      <c r="B2158" s="15" t="s">
        <v>10241</v>
      </c>
      <c r="C2158" s="16">
        <v>27198.0</v>
      </c>
      <c r="D2158" s="17" t="s">
        <v>10242</v>
      </c>
    </row>
    <row r="2159">
      <c r="A2159" s="14">
        <v>18.0</v>
      </c>
      <c r="B2159" s="15" t="s">
        <v>10243</v>
      </c>
      <c r="C2159" s="16">
        <v>27198.0</v>
      </c>
      <c r="D2159" s="17" t="s">
        <v>10244</v>
      </c>
    </row>
    <row r="2160">
      <c r="A2160" s="14">
        <v>18.0</v>
      </c>
      <c r="B2160" s="15" t="s">
        <v>10245</v>
      </c>
      <c r="C2160" s="16">
        <v>27198.0</v>
      </c>
      <c r="D2160" s="17" t="s">
        <v>10246</v>
      </c>
    </row>
    <row r="2161">
      <c r="A2161" s="14" t="s">
        <v>6374</v>
      </c>
      <c r="B2161" s="15" t="s">
        <v>10247</v>
      </c>
      <c r="C2161" s="16">
        <v>27199.0</v>
      </c>
      <c r="D2161" s="17" t="s">
        <v>10248</v>
      </c>
    </row>
    <row r="2162">
      <c r="A2162" s="14" t="s">
        <v>6353</v>
      </c>
      <c r="B2162" s="15" t="s">
        <v>10249</v>
      </c>
      <c r="C2162" s="16">
        <v>27199.0</v>
      </c>
      <c r="D2162" s="17" t="s">
        <v>10250</v>
      </c>
    </row>
    <row r="2163">
      <c r="A2163" s="14" t="s">
        <v>6353</v>
      </c>
      <c r="B2163" s="15" t="s">
        <v>10251</v>
      </c>
      <c r="C2163" s="16">
        <v>27199.0</v>
      </c>
      <c r="D2163" s="17" t="s">
        <v>10252</v>
      </c>
    </row>
    <row r="2164">
      <c r="A2164" s="14">
        <v>19.0</v>
      </c>
      <c r="B2164" s="15" t="s">
        <v>10253</v>
      </c>
      <c r="C2164" s="16">
        <v>27199.0</v>
      </c>
      <c r="D2164" s="17" t="s">
        <v>10254</v>
      </c>
    </row>
    <row r="2165">
      <c r="A2165" s="14">
        <v>19.0</v>
      </c>
      <c r="B2165" s="15" t="s">
        <v>10255</v>
      </c>
      <c r="C2165" s="16">
        <v>27199.0</v>
      </c>
      <c r="D2165" s="17" t="s">
        <v>10256</v>
      </c>
    </row>
    <row r="2166">
      <c r="A2166" s="14">
        <v>19.0</v>
      </c>
      <c r="B2166" s="15" t="s">
        <v>10257</v>
      </c>
      <c r="C2166" s="16">
        <v>27199.0</v>
      </c>
      <c r="D2166" s="17" t="s">
        <v>10258</v>
      </c>
    </row>
    <row r="2167">
      <c r="A2167" s="14">
        <v>19.0</v>
      </c>
      <c r="B2167" s="15" t="s">
        <v>10259</v>
      </c>
      <c r="C2167" s="16">
        <v>27199.0</v>
      </c>
      <c r="D2167" s="17" t="s">
        <v>10260</v>
      </c>
    </row>
    <row r="2168">
      <c r="A2168" s="14">
        <v>19.0</v>
      </c>
      <c r="B2168" s="15" t="s">
        <v>10261</v>
      </c>
      <c r="C2168" s="16">
        <v>27199.0</v>
      </c>
      <c r="D2168" s="17" t="s">
        <v>10262</v>
      </c>
    </row>
    <row r="2169">
      <c r="A2169" s="14" t="s">
        <v>6374</v>
      </c>
      <c r="B2169" s="15" t="s">
        <v>10263</v>
      </c>
      <c r="C2169" s="16">
        <v>27200.0</v>
      </c>
      <c r="D2169" s="17" t="s">
        <v>10264</v>
      </c>
    </row>
    <row r="2170">
      <c r="A2170" s="14" t="s">
        <v>6374</v>
      </c>
      <c r="B2170" s="15" t="s">
        <v>10265</v>
      </c>
      <c r="C2170" s="16">
        <v>27200.0</v>
      </c>
      <c r="D2170" s="17" t="s">
        <v>10266</v>
      </c>
    </row>
    <row r="2171">
      <c r="A2171" s="14" t="s">
        <v>6353</v>
      </c>
      <c r="B2171" s="15" t="s">
        <v>10267</v>
      </c>
      <c r="C2171" s="16">
        <v>27200.0</v>
      </c>
      <c r="D2171" s="17" t="s">
        <v>10268</v>
      </c>
    </row>
    <row r="2172">
      <c r="A2172" s="14">
        <v>20.0</v>
      </c>
      <c r="B2172" s="15" t="s">
        <v>10269</v>
      </c>
      <c r="C2172" s="16">
        <v>27200.0</v>
      </c>
      <c r="D2172" s="17" t="s">
        <v>10270</v>
      </c>
    </row>
    <row r="2173">
      <c r="A2173" s="14">
        <v>20.0</v>
      </c>
      <c r="B2173" s="15" t="s">
        <v>10271</v>
      </c>
      <c r="C2173" s="16">
        <v>27200.0</v>
      </c>
      <c r="D2173" s="17" t="s">
        <v>10272</v>
      </c>
    </row>
    <row r="2174">
      <c r="A2174" s="14">
        <v>20.0</v>
      </c>
      <c r="B2174" s="15" t="s">
        <v>10273</v>
      </c>
      <c r="C2174" s="16">
        <v>27200.0</v>
      </c>
      <c r="D2174" s="17" t="s">
        <v>10274</v>
      </c>
    </row>
    <row r="2175">
      <c r="A2175" s="14" t="s">
        <v>5908</v>
      </c>
      <c r="B2175" s="15" t="s">
        <v>10275</v>
      </c>
      <c r="C2175" s="16">
        <v>27201.0</v>
      </c>
      <c r="D2175" s="17" t="s">
        <v>10276</v>
      </c>
    </row>
    <row r="2176">
      <c r="A2176" s="14" t="s">
        <v>6374</v>
      </c>
      <c r="B2176" s="15" t="s">
        <v>10277</v>
      </c>
      <c r="C2176" s="16">
        <v>27201.0</v>
      </c>
      <c r="D2176" s="17" t="s">
        <v>10278</v>
      </c>
    </row>
    <row r="2177">
      <c r="A2177" s="14">
        <v>21.0</v>
      </c>
      <c r="B2177" s="15" t="s">
        <v>10279</v>
      </c>
      <c r="C2177" s="16">
        <v>27201.0</v>
      </c>
      <c r="D2177" s="17" t="s">
        <v>10280</v>
      </c>
    </row>
    <row r="2178">
      <c r="A2178" s="14">
        <v>21.0</v>
      </c>
      <c r="B2178" s="15" t="s">
        <v>10281</v>
      </c>
      <c r="C2178" s="16">
        <v>27201.0</v>
      </c>
      <c r="D2178" s="17" t="s">
        <v>10282</v>
      </c>
    </row>
    <row r="2179">
      <c r="A2179" s="14">
        <v>21.0</v>
      </c>
      <c r="B2179" s="15" t="s">
        <v>10283</v>
      </c>
      <c r="C2179" s="16">
        <v>27201.0</v>
      </c>
      <c r="D2179" s="17" t="s">
        <v>10284</v>
      </c>
    </row>
    <row r="2180">
      <c r="A2180" s="14" t="s">
        <v>5908</v>
      </c>
      <c r="B2180" s="15" t="s">
        <v>10285</v>
      </c>
      <c r="C2180" s="16">
        <v>27202.0</v>
      </c>
      <c r="D2180" s="17" t="s">
        <v>10286</v>
      </c>
    </row>
    <row r="2181">
      <c r="A2181" s="14" t="s">
        <v>6374</v>
      </c>
      <c r="B2181" s="15" t="s">
        <v>10287</v>
      </c>
      <c r="C2181" s="16">
        <v>27202.0</v>
      </c>
      <c r="D2181" s="17" t="s">
        <v>10288</v>
      </c>
    </row>
    <row r="2182">
      <c r="A2182" s="14" t="s">
        <v>6353</v>
      </c>
      <c r="B2182" s="15" t="s">
        <v>10289</v>
      </c>
      <c r="C2182" s="16">
        <v>27202.0</v>
      </c>
      <c r="D2182" s="17" t="s">
        <v>10290</v>
      </c>
    </row>
    <row r="2183">
      <c r="A2183" s="14" t="s">
        <v>6057</v>
      </c>
      <c r="B2183" s="15" t="s">
        <v>10291</v>
      </c>
      <c r="C2183" s="16">
        <v>27202.0</v>
      </c>
      <c r="D2183" s="17" t="s">
        <v>10292</v>
      </c>
    </row>
    <row r="2184">
      <c r="A2184" s="14">
        <v>22.0</v>
      </c>
      <c r="B2184" s="15" t="s">
        <v>10293</v>
      </c>
      <c r="C2184" s="16">
        <v>27202.0</v>
      </c>
      <c r="D2184" s="17" t="s">
        <v>10294</v>
      </c>
    </row>
    <row r="2185">
      <c r="A2185" s="14">
        <v>22.0</v>
      </c>
      <c r="B2185" s="15" t="s">
        <v>10295</v>
      </c>
      <c r="C2185" s="16">
        <v>27202.0</v>
      </c>
      <c r="D2185" s="17" t="s">
        <v>10296</v>
      </c>
    </row>
    <row r="2186">
      <c r="A2186" s="14">
        <v>22.0</v>
      </c>
      <c r="B2186" s="15" t="s">
        <v>10297</v>
      </c>
      <c r="C2186" s="16">
        <v>27202.0</v>
      </c>
      <c r="D2186" s="17" t="s">
        <v>10298</v>
      </c>
    </row>
    <row r="2187">
      <c r="A2187" s="14">
        <v>22.0</v>
      </c>
      <c r="B2187" s="15" t="s">
        <v>10299</v>
      </c>
      <c r="C2187" s="16">
        <v>27202.0</v>
      </c>
      <c r="D2187" s="17" t="s">
        <v>10300</v>
      </c>
    </row>
    <row r="2188">
      <c r="A2188" s="14">
        <v>22.0</v>
      </c>
      <c r="B2188" s="15" t="s">
        <v>10301</v>
      </c>
      <c r="C2188" s="16">
        <v>27202.0</v>
      </c>
      <c r="D2188" s="17" t="s">
        <v>10302</v>
      </c>
    </row>
    <row r="2189">
      <c r="A2189" s="14" t="s">
        <v>5908</v>
      </c>
      <c r="B2189" s="15" t="s">
        <v>10303</v>
      </c>
      <c r="C2189" s="16">
        <v>27203.0</v>
      </c>
      <c r="D2189" s="17" t="s">
        <v>10304</v>
      </c>
    </row>
    <row r="2190">
      <c r="A2190" s="14">
        <v>23.0</v>
      </c>
      <c r="B2190" s="15" t="s">
        <v>10305</v>
      </c>
      <c r="C2190" s="16">
        <v>27203.0</v>
      </c>
      <c r="D2190" s="17" t="s">
        <v>10306</v>
      </c>
    </row>
    <row r="2191">
      <c r="A2191" s="14" t="s">
        <v>7676</v>
      </c>
      <c r="B2191" s="15" t="s">
        <v>10307</v>
      </c>
      <c r="C2191" s="16">
        <v>27205.0</v>
      </c>
      <c r="D2191" s="17" t="s">
        <v>10308</v>
      </c>
    </row>
    <row r="2192">
      <c r="A2192" s="14">
        <v>25.0</v>
      </c>
      <c r="B2192" s="15" t="s">
        <v>10309</v>
      </c>
      <c r="C2192" s="16">
        <v>27205.0</v>
      </c>
      <c r="D2192" s="17" t="s">
        <v>10310</v>
      </c>
    </row>
    <row r="2193">
      <c r="A2193" s="14">
        <v>25.0</v>
      </c>
      <c r="B2193" s="15" t="s">
        <v>10311</v>
      </c>
      <c r="C2193" s="16">
        <v>27205.0</v>
      </c>
      <c r="D2193" s="17" t="s">
        <v>10312</v>
      </c>
    </row>
    <row r="2194">
      <c r="A2194" s="14" t="s">
        <v>6487</v>
      </c>
      <c r="B2194" s="15" t="s">
        <v>10313</v>
      </c>
      <c r="C2194" s="16">
        <v>27206.0</v>
      </c>
      <c r="D2194" s="17" t="s">
        <v>10314</v>
      </c>
    </row>
    <row r="2195">
      <c r="A2195" s="14">
        <v>26.0</v>
      </c>
      <c r="B2195" s="15" t="s">
        <v>10315</v>
      </c>
      <c r="C2195" s="16">
        <v>27206.0</v>
      </c>
      <c r="D2195" s="17" t="s">
        <v>10316</v>
      </c>
    </row>
    <row r="2196">
      <c r="A2196" s="14">
        <v>26.0</v>
      </c>
      <c r="B2196" s="15" t="s">
        <v>10317</v>
      </c>
      <c r="C2196" s="16">
        <v>27206.0</v>
      </c>
      <c r="D2196" s="17" t="s">
        <v>10318</v>
      </c>
    </row>
    <row r="2197">
      <c r="A2197" s="14" t="s">
        <v>5965</v>
      </c>
      <c r="B2197" s="15" t="s">
        <v>10319</v>
      </c>
      <c r="C2197" s="16">
        <v>27207.0</v>
      </c>
      <c r="D2197" s="17" t="s">
        <v>10320</v>
      </c>
    </row>
    <row r="2198">
      <c r="A2198" s="14" t="s">
        <v>6374</v>
      </c>
      <c r="B2198" s="15" t="s">
        <v>10321</v>
      </c>
      <c r="C2198" s="16">
        <v>27207.0</v>
      </c>
      <c r="D2198" s="17" t="s">
        <v>10322</v>
      </c>
    </row>
    <row r="2199">
      <c r="A2199" s="14">
        <v>27.0</v>
      </c>
      <c r="B2199" s="15" t="s">
        <v>10323</v>
      </c>
      <c r="C2199" s="16">
        <v>27207.0</v>
      </c>
      <c r="D2199" s="17" t="s">
        <v>10324</v>
      </c>
    </row>
    <row r="2200">
      <c r="A2200" s="14">
        <v>27.0</v>
      </c>
      <c r="B2200" s="15" t="s">
        <v>10325</v>
      </c>
      <c r="C2200" s="16">
        <v>27207.0</v>
      </c>
      <c r="D2200" s="17" t="s">
        <v>10326</v>
      </c>
    </row>
    <row r="2201">
      <c r="A2201" s="14">
        <v>27.0</v>
      </c>
      <c r="B2201" s="15" t="s">
        <v>10327</v>
      </c>
      <c r="C2201" s="16">
        <v>27207.0</v>
      </c>
      <c r="D2201" s="17" t="s">
        <v>10328</v>
      </c>
    </row>
    <row r="2202">
      <c r="A2202" s="14" t="s">
        <v>6353</v>
      </c>
      <c r="B2202" s="15" t="s">
        <v>10329</v>
      </c>
      <c r="C2202" s="16">
        <v>27208.0</v>
      </c>
      <c r="D2202" s="17" t="s">
        <v>10330</v>
      </c>
    </row>
    <row r="2203">
      <c r="A2203" s="14" t="s">
        <v>6057</v>
      </c>
      <c r="B2203" s="15" t="s">
        <v>10331</v>
      </c>
      <c r="C2203" s="16">
        <v>27208.0</v>
      </c>
      <c r="D2203" s="17" t="s">
        <v>10332</v>
      </c>
    </row>
    <row r="2204">
      <c r="A2204" s="14">
        <v>28.0</v>
      </c>
      <c r="B2204" s="15" t="s">
        <v>10333</v>
      </c>
      <c r="C2204" s="16">
        <v>27208.0</v>
      </c>
      <c r="D2204" s="17" t="s">
        <v>10334</v>
      </c>
    </row>
    <row r="2205">
      <c r="A2205" s="14">
        <v>28.0</v>
      </c>
      <c r="B2205" s="15" t="s">
        <v>10335</v>
      </c>
      <c r="C2205" s="16">
        <v>27208.0</v>
      </c>
      <c r="D2205" s="17" t="s">
        <v>10336</v>
      </c>
    </row>
    <row r="2206">
      <c r="A2206" s="14">
        <v>28.0</v>
      </c>
      <c r="B2206" s="15" t="s">
        <v>10337</v>
      </c>
      <c r="C2206" s="16">
        <v>27208.0</v>
      </c>
      <c r="D2206" s="17" t="s">
        <v>10338</v>
      </c>
    </row>
    <row r="2207">
      <c r="A2207" s="14">
        <v>28.0</v>
      </c>
      <c r="B2207" s="15" t="s">
        <v>10339</v>
      </c>
      <c r="C2207" s="16">
        <v>27208.0</v>
      </c>
      <c r="D2207" s="17" t="s">
        <v>10340</v>
      </c>
    </row>
    <row r="2208">
      <c r="A2208" s="14" t="s">
        <v>6074</v>
      </c>
      <c r="B2208" s="15" t="s">
        <v>10341</v>
      </c>
      <c r="C2208" s="16">
        <v>27209.0</v>
      </c>
      <c r="D2208" s="17" t="s">
        <v>10342</v>
      </c>
    </row>
    <row r="2209">
      <c r="A2209" s="14" t="s">
        <v>6126</v>
      </c>
      <c r="B2209" s="15" t="s">
        <v>10343</v>
      </c>
      <c r="C2209" s="16">
        <v>27209.0</v>
      </c>
      <c r="D2209" s="17" t="s">
        <v>10344</v>
      </c>
    </row>
    <row r="2210">
      <c r="A2210" s="14" t="s">
        <v>358</v>
      </c>
      <c r="B2210" s="15" t="s">
        <v>10345</v>
      </c>
      <c r="C2210" s="16">
        <v>27209.0</v>
      </c>
      <c r="D2210" s="17" t="s">
        <v>10346</v>
      </c>
    </row>
    <row r="2211">
      <c r="A2211" s="14" t="s">
        <v>6374</v>
      </c>
      <c r="B2211" s="15" t="s">
        <v>10347</v>
      </c>
      <c r="C2211" s="16">
        <v>27209.0</v>
      </c>
      <c r="D2211" s="17" t="s">
        <v>10348</v>
      </c>
    </row>
    <row r="2212">
      <c r="A2212" s="14" t="s">
        <v>6353</v>
      </c>
      <c r="B2212" s="15" t="s">
        <v>10349</v>
      </c>
      <c r="C2212" s="16">
        <v>27209.0</v>
      </c>
      <c r="D2212" s="17" t="s">
        <v>10350</v>
      </c>
    </row>
    <row r="2213">
      <c r="A2213" s="14" t="s">
        <v>6353</v>
      </c>
      <c r="B2213" s="15" t="s">
        <v>10351</v>
      </c>
      <c r="C2213" s="16">
        <v>27209.0</v>
      </c>
      <c r="D2213" s="17" t="s">
        <v>10352</v>
      </c>
    </row>
    <row r="2214">
      <c r="A2214" s="14">
        <v>29.0</v>
      </c>
      <c r="B2214" s="15" t="s">
        <v>10353</v>
      </c>
      <c r="C2214" s="16">
        <v>27209.0</v>
      </c>
      <c r="D2214" s="17" t="s">
        <v>10354</v>
      </c>
    </row>
    <row r="2215">
      <c r="A2215" s="14">
        <v>29.0</v>
      </c>
      <c r="B2215" s="15" t="s">
        <v>10355</v>
      </c>
      <c r="C2215" s="16">
        <v>27209.0</v>
      </c>
      <c r="D2215" s="17" t="s">
        <v>10356</v>
      </c>
    </row>
    <row r="2216">
      <c r="A2216" s="14">
        <v>29.0</v>
      </c>
      <c r="B2216" s="15" t="s">
        <v>10357</v>
      </c>
      <c r="C2216" s="16">
        <v>27209.0</v>
      </c>
      <c r="D2216" s="17" t="s">
        <v>10358</v>
      </c>
    </row>
    <row r="2217">
      <c r="A2217" s="14">
        <v>29.0</v>
      </c>
      <c r="B2217" s="15" t="s">
        <v>10359</v>
      </c>
      <c r="C2217" s="16">
        <v>27209.0</v>
      </c>
      <c r="D2217" s="17" t="s">
        <v>10360</v>
      </c>
    </row>
    <row r="2218">
      <c r="A2218" s="14">
        <v>29.0</v>
      </c>
      <c r="B2218" s="15" t="s">
        <v>10361</v>
      </c>
      <c r="C2218" s="16">
        <v>27209.0</v>
      </c>
      <c r="D2218" s="17" t="s">
        <v>10362</v>
      </c>
    </row>
    <row r="2219">
      <c r="A2219" s="14">
        <v>29.0</v>
      </c>
      <c r="B2219" s="15" t="s">
        <v>10363</v>
      </c>
      <c r="C2219" s="16">
        <v>27209.0</v>
      </c>
      <c r="D2219" s="17" t="s">
        <v>10364</v>
      </c>
    </row>
    <row r="2220">
      <c r="A2220" s="14">
        <v>29.0</v>
      </c>
      <c r="B2220" s="15" t="s">
        <v>10365</v>
      </c>
      <c r="C2220" s="16">
        <v>27209.0</v>
      </c>
      <c r="D2220" s="17" t="s">
        <v>10366</v>
      </c>
    </row>
    <row r="2221">
      <c r="A2221" s="14">
        <v>29.0</v>
      </c>
      <c r="B2221" s="15" t="s">
        <v>10367</v>
      </c>
      <c r="C2221" s="16">
        <v>27209.0</v>
      </c>
      <c r="D2221" s="17" t="s">
        <v>10368</v>
      </c>
    </row>
    <row r="2222">
      <c r="A2222" s="14">
        <v>29.0</v>
      </c>
      <c r="B2222" s="15" t="s">
        <v>10369</v>
      </c>
      <c r="C2222" s="16">
        <v>27209.0</v>
      </c>
      <c r="D2222" s="17" t="s">
        <v>10370</v>
      </c>
    </row>
    <row r="2223">
      <c r="A2223" s="14">
        <v>29.0</v>
      </c>
      <c r="B2223" s="15" t="s">
        <v>10371</v>
      </c>
      <c r="C2223" s="16">
        <v>27209.0</v>
      </c>
      <c r="D2223" s="17" t="s">
        <v>10372</v>
      </c>
    </row>
    <row r="2224">
      <c r="A2224" s="14">
        <v>29.0</v>
      </c>
      <c r="B2224" s="15" t="s">
        <v>10373</v>
      </c>
      <c r="C2224" s="16">
        <v>27209.0</v>
      </c>
      <c r="D2224" s="17" t="s">
        <v>10374</v>
      </c>
    </row>
    <row r="2225">
      <c r="A2225" s="14" t="s">
        <v>6126</v>
      </c>
      <c r="B2225" s="15" t="s">
        <v>10375</v>
      </c>
      <c r="C2225" s="16">
        <v>27210.0</v>
      </c>
      <c r="D2225" s="17" t="s">
        <v>10376</v>
      </c>
    </row>
    <row r="2226">
      <c r="A2226" s="14">
        <v>30.0</v>
      </c>
      <c r="B2226" s="15" t="s">
        <v>10377</v>
      </c>
      <c r="C2226" s="16">
        <v>27210.0</v>
      </c>
      <c r="D2226" s="17" t="s">
        <v>10378</v>
      </c>
    </row>
    <row r="2227">
      <c r="A2227" s="14" t="s">
        <v>6353</v>
      </c>
      <c r="B2227" s="15" t="s">
        <v>10379</v>
      </c>
      <c r="C2227" s="16">
        <v>27211.0</v>
      </c>
      <c r="D2227" s="17" t="s">
        <v>10380</v>
      </c>
    </row>
    <row r="2228">
      <c r="A2228" s="14" t="s">
        <v>6057</v>
      </c>
      <c r="B2228" s="15" t="s">
        <v>10381</v>
      </c>
      <c r="C2228" s="16">
        <v>27211.0</v>
      </c>
      <c r="D2228" s="17" t="s">
        <v>10382</v>
      </c>
    </row>
    <row r="2229">
      <c r="A2229" s="14" t="s">
        <v>6057</v>
      </c>
      <c r="B2229" s="15" t="s">
        <v>10383</v>
      </c>
      <c r="C2229" s="16">
        <v>27211.0</v>
      </c>
      <c r="D2229" s="17" t="s">
        <v>10384</v>
      </c>
    </row>
    <row r="2230">
      <c r="A2230" s="14">
        <v>1.0</v>
      </c>
      <c r="B2230" s="15" t="s">
        <v>10385</v>
      </c>
      <c r="C2230" s="16">
        <v>27211.0</v>
      </c>
      <c r="D2230" s="17" t="s">
        <v>10386</v>
      </c>
    </row>
    <row r="2231">
      <c r="A2231" s="14">
        <v>1.0</v>
      </c>
      <c r="B2231" s="15" t="s">
        <v>10387</v>
      </c>
      <c r="C2231" s="16">
        <v>27211.0</v>
      </c>
      <c r="D2231" s="17" t="s">
        <v>10388</v>
      </c>
    </row>
    <row r="2232">
      <c r="A2232" s="14">
        <v>1.0</v>
      </c>
      <c r="B2232" s="15" t="s">
        <v>10389</v>
      </c>
      <c r="C2232" s="16">
        <v>27211.0</v>
      </c>
      <c r="D2232" s="17" t="s">
        <v>10390</v>
      </c>
    </row>
    <row r="2233">
      <c r="A2233" s="14">
        <v>1.0</v>
      </c>
      <c r="B2233" s="15" t="s">
        <v>10391</v>
      </c>
      <c r="C2233" s="16">
        <v>27211.0</v>
      </c>
      <c r="D2233" s="17" t="s">
        <v>10392</v>
      </c>
    </row>
    <row r="2234">
      <c r="A2234" s="14" t="s">
        <v>6353</v>
      </c>
      <c r="B2234" s="15" t="s">
        <v>10393</v>
      </c>
      <c r="C2234" s="16">
        <v>27212.0</v>
      </c>
      <c r="D2234" s="17" t="s">
        <v>10394</v>
      </c>
    </row>
    <row r="2235">
      <c r="A2235" s="14" t="s">
        <v>6353</v>
      </c>
      <c r="B2235" s="15" t="s">
        <v>10395</v>
      </c>
      <c r="C2235" s="16">
        <v>27212.0</v>
      </c>
      <c r="D2235" s="17" t="s">
        <v>10396</v>
      </c>
    </row>
    <row r="2236">
      <c r="A2236" s="14">
        <v>2.0</v>
      </c>
      <c r="B2236" s="15" t="s">
        <v>10397</v>
      </c>
      <c r="C2236" s="16">
        <v>27212.0</v>
      </c>
      <c r="D2236" s="17" t="s">
        <v>10398</v>
      </c>
    </row>
    <row r="2237">
      <c r="A2237" s="14">
        <v>2.0</v>
      </c>
      <c r="B2237" s="15" t="s">
        <v>10399</v>
      </c>
      <c r="C2237" s="16">
        <v>27212.0</v>
      </c>
      <c r="D2237" s="17" t="s">
        <v>10400</v>
      </c>
    </row>
    <row r="2238">
      <c r="A2238" s="14">
        <v>2.0</v>
      </c>
      <c r="B2238" s="15" t="s">
        <v>10401</v>
      </c>
      <c r="C2238" s="16">
        <v>27212.0</v>
      </c>
      <c r="D2238" s="17" t="s">
        <v>10402</v>
      </c>
    </row>
    <row r="2239">
      <c r="A2239" s="14">
        <v>2.0</v>
      </c>
      <c r="B2239" s="15" t="s">
        <v>10403</v>
      </c>
      <c r="C2239" s="16">
        <v>27212.0</v>
      </c>
      <c r="D2239" s="17" t="s">
        <v>10404</v>
      </c>
    </row>
    <row r="2240">
      <c r="A2240" s="14">
        <v>2.0</v>
      </c>
      <c r="B2240" s="15" t="s">
        <v>10405</v>
      </c>
      <c r="C2240" s="16">
        <v>27212.0</v>
      </c>
      <c r="D2240" s="17" t="s">
        <v>10406</v>
      </c>
    </row>
    <row r="2241">
      <c r="A2241" s="14" t="s">
        <v>10407</v>
      </c>
      <c r="B2241" s="15" t="s">
        <v>10408</v>
      </c>
      <c r="C2241" s="16">
        <v>27214.0</v>
      </c>
      <c r="D2241" s="17" t="s">
        <v>10409</v>
      </c>
    </row>
    <row r="2242">
      <c r="A2242" s="14" t="s">
        <v>358</v>
      </c>
      <c r="B2242" s="15" t="s">
        <v>10410</v>
      </c>
      <c r="C2242" s="16">
        <v>27214.0</v>
      </c>
      <c r="D2242" s="17" t="s">
        <v>10411</v>
      </c>
    </row>
    <row r="2243">
      <c r="A2243" s="14" t="s">
        <v>5932</v>
      </c>
      <c r="B2243" s="15" t="s">
        <v>10412</v>
      </c>
      <c r="C2243" s="16">
        <v>27214.0</v>
      </c>
      <c r="D2243" s="17" t="s">
        <v>10413</v>
      </c>
    </row>
    <row r="2244">
      <c r="A2244" s="14">
        <v>4.0</v>
      </c>
      <c r="B2244" s="15" t="s">
        <v>10414</v>
      </c>
      <c r="C2244" s="16">
        <v>27214.0</v>
      </c>
      <c r="D2244" s="17" t="s">
        <v>10415</v>
      </c>
    </row>
    <row r="2245">
      <c r="A2245" s="14">
        <v>4.0</v>
      </c>
      <c r="B2245" s="15" t="s">
        <v>10416</v>
      </c>
      <c r="C2245" s="16">
        <v>27214.0</v>
      </c>
      <c r="D2245" s="17" t="s">
        <v>10417</v>
      </c>
    </row>
    <row r="2246">
      <c r="A2246" s="14">
        <v>4.0</v>
      </c>
      <c r="B2246" s="15" t="s">
        <v>10418</v>
      </c>
      <c r="C2246" s="16">
        <v>27214.0</v>
      </c>
      <c r="D2246" s="17" t="s">
        <v>10419</v>
      </c>
    </row>
    <row r="2247">
      <c r="A2247" s="14">
        <v>4.0</v>
      </c>
      <c r="B2247" s="15" t="s">
        <v>10420</v>
      </c>
      <c r="C2247" s="16">
        <v>27214.0</v>
      </c>
      <c r="D2247" s="17" t="s">
        <v>10421</v>
      </c>
    </row>
    <row r="2248">
      <c r="A2248" s="14" t="s">
        <v>5932</v>
      </c>
      <c r="B2248" s="15" t="s">
        <v>10422</v>
      </c>
      <c r="C2248" s="16">
        <v>27215.0</v>
      </c>
      <c r="D2248" s="17" t="s">
        <v>10423</v>
      </c>
    </row>
    <row r="2249">
      <c r="A2249" s="14">
        <v>5.0</v>
      </c>
      <c r="B2249" s="15" t="s">
        <v>10424</v>
      </c>
      <c r="C2249" s="16">
        <v>27215.0</v>
      </c>
      <c r="D2249" s="17" t="s">
        <v>10425</v>
      </c>
    </row>
    <row r="2250">
      <c r="A2250" s="14">
        <v>5.0</v>
      </c>
      <c r="B2250" s="15" t="s">
        <v>10426</v>
      </c>
      <c r="C2250" s="16">
        <v>27215.0</v>
      </c>
      <c r="D2250" s="17" t="s">
        <v>10427</v>
      </c>
    </row>
    <row r="2251">
      <c r="A2251" s="14" t="s">
        <v>6753</v>
      </c>
      <c r="B2251" s="15" t="s">
        <v>10428</v>
      </c>
      <c r="C2251" s="16">
        <v>27218.0</v>
      </c>
      <c r="D2251" s="17" t="s">
        <v>10429</v>
      </c>
    </row>
    <row r="2252">
      <c r="A2252" s="14" t="s">
        <v>6353</v>
      </c>
      <c r="B2252" s="15" t="s">
        <v>10430</v>
      </c>
      <c r="C2252" s="16">
        <v>27218.0</v>
      </c>
      <c r="D2252" s="17" t="s">
        <v>10431</v>
      </c>
    </row>
    <row r="2253">
      <c r="A2253" s="14">
        <v>8.0</v>
      </c>
      <c r="B2253" s="15" t="s">
        <v>10432</v>
      </c>
      <c r="C2253" s="16">
        <v>27218.0</v>
      </c>
      <c r="D2253" s="17" t="s">
        <v>10433</v>
      </c>
    </row>
    <row r="2254">
      <c r="A2254" s="14">
        <v>8.0</v>
      </c>
      <c r="B2254" s="15" t="s">
        <v>10434</v>
      </c>
      <c r="C2254" s="16">
        <v>27218.0</v>
      </c>
      <c r="D2254" s="17" t="s">
        <v>10435</v>
      </c>
    </row>
    <row r="2255">
      <c r="A2255" s="14">
        <v>8.0</v>
      </c>
      <c r="B2255" s="15" t="s">
        <v>10436</v>
      </c>
      <c r="C2255" s="16">
        <v>27218.0</v>
      </c>
      <c r="D2255" s="17" t="s">
        <v>10437</v>
      </c>
    </row>
    <row r="2256">
      <c r="A2256" s="14" t="s">
        <v>6374</v>
      </c>
      <c r="B2256" s="15" t="s">
        <v>10438</v>
      </c>
      <c r="C2256" s="16">
        <v>27219.0</v>
      </c>
      <c r="D2256" s="17" t="s">
        <v>10439</v>
      </c>
    </row>
    <row r="2257">
      <c r="A2257" s="14" t="s">
        <v>5932</v>
      </c>
      <c r="B2257" s="15" t="s">
        <v>10440</v>
      </c>
      <c r="C2257" s="16">
        <v>27219.0</v>
      </c>
      <c r="D2257" s="17" t="s">
        <v>10441</v>
      </c>
    </row>
    <row r="2258">
      <c r="A2258" s="14">
        <v>9.0</v>
      </c>
      <c r="B2258" s="15" t="s">
        <v>10442</v>
      </c>
      <c r="C2258" s="16">
        <v>27219.0</v>
      </c>
      <c r="D2258" s="17" t="s">
        <v>10443</v>
      </c>
    </row>
    <row r="2259">
      <c r="A2259" s="14">
        <v>9.0</v>
      </c>
      <c r="B2259" s="15" t="s">
        <v>10444</v>
      </c>
      <c r="C2259" s="16">
        <v>27219.0</v>
      </c>
      <c r="D2259" s="17" t="s">
        <v>10445</v>
      </c>
    </row>
    <row r="2260">
      <c r="A2260" s="14">
        <v>9.0</v>
      </c>
      <c r="B2260" s="15" t="s">
        <v>10446</v>
      </c>
      <c r="C2260" s="16">
        <v>27219.0</v>
      </c>
      <c r="D2260" s="17" t="s">
        <v>10447</v>
      </c>
    </row>
    <row r="2261">
      <c r="A2261" s="14" t="s">
        <v>5932</v>
      </c>
      <c r="B2261" s="15" t="s">
        <v>10448</v>
      </c>
      <c r="C2261" s="16">
        <v>27220.0</v>
      </c>
      <c r="D2261" s="17" t="s">
        <v>10449</v>
      </c>
    </row>
    <row r="2262">
      <c r="A2262" s="14">
        <v>10.0</v>
      </c>
      <c r="B2262" s="15" t="s">
        <v>10450</v>
      </c>
      <c r="C2262" s="16">
        <v>27220.0</v>
      </c>
      <c r="D2262" s="17" t="s">
        <v>10451</v>
      </c>
    </row>
    <row r="2263">
      <c r="A2263" s="14">
        <v>10.0</v>
      </c>
      <c r="B2263" s="15" t="s">
        <v>10452</v>
      </c>
      <c r="C2263" s="16">
        <v>27220.0</v>
      </c>
      <c r="D2263" s="17" t="s">
        <v>10453</v>
      </c>
    </row>
    <row r="2264">
      <c r="A2264" s="14" t="s">
        <v>5932</v>
      </c>
      <c r="B2264" s="15" t="s">
        <v>10454</v>
      </c>
      <c r="C2264" s="16">
        <v>27221.0</v>
      </c>
      <c r="D2264" s="17" t="s">
        <v>10455</v>
      </c>
    </row>
    <row r="2265">
      <c r="A2265" s="14">
        <v>11.0</v>
      </c>
      <c r="B2265" s="15" t="s">
        <v>10456</v>
      </c>
      <c r="C2265" s="16">
        <v>27221.0</v>
      </c>
      <c r="D2265" s="17" t="s">
        <v>10457</v>
      </c>
    </row>
    <row r="2266">
      <c r="A2266" s="14">
        <v>11.0</v>
      </c>
      <c r="B2266" s="15" t="s">
        <v>10458</v>
      </c>
      <c r="C2266" s="16">
        <v>27221.0</v>
      </c>
      <c r="D2266" s="17" t="s">
        <v>10459</v>
      </c>
    </row>
    <row r="2267">
      <c r="A2267" s="14" t="s">
        <v>9247</v>
      </c>
      <c r="B2267" s="15" t="s">
        <v>10460</v>
      </c>
      <c r="C2267" s="16">
        <v>27222.0</v>
      </c>
      <c r="D2267" s="17" t="s">
        <v>10461</v>
      </c>
    </row>
    <row r="2268">
      <c r="A2268" s="14" t="s">
        <v>6374</v>
      </c>
      <c r="B2268" s="15" t="s">
        <v>10462</v>
      </c>
      <c r="C2268" s="16">
        <v>27222.0</v>
      </c>
      <c r="D2268" s="17" t="s">
        <v>10463</v>
      </c>
    </row>
    <row r="2269">
      <c r="A2269" s="14" t="s">
        <v>5932</v>
      </c>
      <c r="B2269" s="15" t="s">
        <v>10464</v>
      </c>
      <c r="C2269" s="16">
        <v>27222.0</v>
      </c>
      <c r="D2269" s="17" t="s">
        <v>10465</v>
      </c>
    </row>
    <row r="2270">
      <c r="A2270" s="14">
        <v>12.0</v>
      </c>
      <c r="B2270" s="15" t="s">
        <v>10466</v>
      </c>
      <c r="C2270" s="16">
        <v>27222.0</v>
      </c>
      <c r="D2270" s="17" t="s">
        <v>10467</v>
      </c>
    </row>
    <row r="2271">
      <c r="A2271" s="14">
        <v>12.0</v>
      </c>
      <c r="B2271" s="15" t="s">
        <v>10468</v>
      </c>
      <c r="C2271" s="16">
        <v>27222.0</v>
      </c>
      <c r="D2271" s="17" t="s">
        <v>10469</v>
      </c>
    </row>
    <row r="2272">
      <c r="A2272" s="14">
        <v>12.0</v>
      </c>
      <c r="B2272" s="15" t="s">
        <v>10470</v>
      </c>
      <c r="C2272" s="16">
        <v>27222.0</v>
      </c>
      <c r="D2272" s="17" t="s">
        <v>10471</v>
      </c>
    </row>
    <row r="2273">
      <c r="A2273" s="14">
        <v>12.0</v>
      </c>
      <c r="B2273" s="15" t="s">
        <v>10472</v>
      </c>
      <c r="C2273" s="16">
        <v>27222.0</v>
      </c>
      <c r="D2273" s="17" t="s">
        <v>10473</v>
      </c>
    </row>
    <row r="2274">
      <c r="A2274" s="14" t="s">
        <v>9247</v>
      </c>
      <c r="B2274" s="15" t="s">
        <v>10474</v>
      </c>
      <c r="C2274" s="16">
        <v>27223.0</v>
      </c>
      <c r="D2274" s="17" t="s">
        <v>10475</v>
      </c>
    </row>
    <row r="2275">
      <c r="A2275" s="14" t="s">
        <v>6374</v>
      </c>
      <c r="B2275" s="15" t="s">
        <v>10476</v>
      </c>
      <c r="C2275" s="16">
        <v>27223.0</v>
      </c>
      <c r="D2275" s="17" t="s">
        <v>10477</v>
      </c>
    </row>
    <row r="2276">
      <c r="A2276" s="14" t="s">
        <v>5932</v>
      </c>
      <c r="B2276" s="15" t="s">
        <v>10478</v>
      </c>
      <c r="C2276" s="16">
        <v>27223.0</v>
      </c>
      <c r="D2276" s="17" t="s">
        <v>10479</v>
      </c>
    </row>
    <row r="2277">
      <c r="A2277" s="14">
        <v>13.0</v>
      </c>
      <c r="B2277" s="15" t="s">
        <v>10480</v>
      </c>
      <c r="C2277" s="16">
        <v>27223.0</v>
      </c>
      <c r="D2277" s="17" t="s">
        <v>10481</v>
      </c>
    </row>
    <row r="2278">
      <c r="A2278" s="14">
        <v>13.0</v>
      </c>
      <c r="B2278" s="15" t="s">
        <v>10482</v>
      </c>
      <c r="C2278" s="16">
        <v>27223.0</v>
      </c>
      <c r="D2278" s="17" t="s">
        <v>10483</v>
      </c>
    </row>
    <row r="2279">
      <c r="A2279" s="14">
        <v>13.0</v>
      </c>
      <c r="B2279" s="15" t="s">
        <v>10484</v>
      </c>
      <c r="C2279" s="16">
        <v>27223.0</v>
      </c>
      <c r="D2279" s="17" t="s">
        <v>10485</v>
      </c>
    </row>
    <row r="2280">
      <c r="A2280" s="14">
        <v>13.0</v>
      </c>
      <c r="B2280" s="15" t="s">
        <v>10486</v>
      </c>
      <c r="C2280" s="16">
        <v>27223.0</v>
      </c>
      <c r="D2280" s="17" t="s">
        <v>10487</v>
      </c>
    </row>
    <row r="2281">
      <c r="A2281" s="14">
        <v>13.0</v>
      </c>
      <c r="B2281" s="15" t="s">
        <v>10488</v>
      </c>
      <c r="C2281" s="16">
        <v>27223.0</v>
      </c>
      <c r="D2281" s="17" t="s">
        <v>10489</v>
      </c>
    </row>
    <row r="2282">
      <c r="A2282" s="14" t="s">
        <v>9247</v>
      </c>
      <c r="B2282" s="15" t="s">
        <v>10490</v>
      </c>
      <c r="C2282" s="16">
        <v>27224.0</v>
      </c>
      <c r="D2282" s="17" t="s">
        <v>10491</v>
      </c>
    </row>
    <row r="2283">
      <c r="A2283" s="14" t="s">
        <v>6374</v>
      </c>
      <c r="B2283" s="15" t="s">
        <v>10492</v>
      </c>
      <c r="C2283" s="16">
        <v>27224.0</v>
      </c>
      <c r="D2283" s="17" t="s">
        <v>10493</v>
      </c>
    </row>
    <row r="2284">
      <c r="A2284" s="14" t="s">
        <v>5932</v>
      </c>
      <c r="B2284" s="15" t="s">
        <v>10494</v>
      </c>
      <c r="C2284" s="16">
        <v>27224.0</v>
      </c>
      <c r="D2284" s="17" t="s">
        <v>10495</v>
      </c>
    </row>
    <row r="2285">
      <c r="A2285" s="14">
        <v>14.0</v>
      </c>
      <c r="B2285" s="15" t="s">
        <v>10496</v>
      </c>
      <c r="C2285" s="16">
        <v>27224.0</v>
      </c>
      <c r="D2285" s="17" t="s">
        <v>10497</v>
      </c>
    </row>
    <row r="2286">
      <c r="A2286" s="14">
        <v>14.0</v>
      </c>
      <c r="B2286" s="15" t="s">
        <v>10498</v>
      </c>
      <c r="C2286" s="16">
        <v>27224.0</v>
      </c>
      <c r="D2286" s="17" t="s">
        <v>10499</v>
      </c>
    </row>
    <row r="2287">
      <c r="A2287" s="14">
        <v>14.0</v>
      </c>
      <c r="B2287" s="15" t="s">
        <v>10500</v>
      </c>
      <c r="C2287" s="16">
        <v>27224.0</v>
      </c>
      <c r="D2287" s="17" t="s">
        <v>10501</v>
      </c>
    </row>
    <row r="2288">
      <c r="A2288" s="14">
        <v>14.0</v>
      </c>
      <c r="B2288" s="15" t="s">
        <v>10502</v>
      </c>
      <c r="C2288" s="16">
        <v>27224.0</v>
      </c>
      <c r="D2288" s="17" t="s">
        <v>10503</v>
      </c>
    </row>
    <row r="2289">
      <c r="A2289" s="14" t="s">
        <v>10504</v>
      </c>
      <c r="B2289" s="15" t="s">
        <v>10505</v>
      </c>
      <c r="C2289" s="16">
        <v>27225.0</v>
      </c>
      <c r="D2289" s="17" t="s">
        <v>10506</v>
      </c>
    </row>
    <row r="2290">
      <c r="A2290" s="14">
        <v>15.0</v>
      </c>
      <c r="B2290" s="15" t="s">
        <v>10507</v>
      </c>
      <c r="C2290" s="16">
        <v>27225.0</v>
      </c>
      <c r="D2290" s="17" t="s">
        <v>10508</v>
      </c>
    </row>
    <row r="2291">
      <c r="A2291" s="14" t="s">
        <v>5932</v>
      </c>
      <c r="B2291" s="15" t="s">
        <v>10509</v>
      </c>
      <c r="C2291" s="16">
        <v>27228.0</v>
      </c>
      <c r="D2291" s="17" t="s">
        <v>10510</v>
      </c>
    </row>
    <row r="2292">
      <c r="A2292" s="14">
        <v>18.0</v>
      </c>
      <c r="B2292" s="15" t="s">
        <v>10511</v>
      </c>
      <c r="C2292" s="16">
        <v>27228.0</v>
      </c>
      <c r="D2292" s="17" t="s">
        <v>10512</v>
      </c>
    </row>
    <row r="2293">
      <c r="A2293" s="14" t="s">
        <v>5932</v>
      </c>
      <c r="B2293" s="15" t="s">
        <v>10513</v>
      </c>
      <c r="C2293" s="16">
        <v>27229.0</v>
      </c>
      <c r="D2293" s="17" t="s">
        <v>10514</v>
      </c>
    </row>
    <row r="2294">
      <c r="A2294" s="14">
        <v>19.0</v>
      </c>
      <c r="B2294" s="15" t="s">
        <v>10515</v>
      </c>
      <c r="C2294" s="16">
        <v>27229.0</v>
      </c>
      <c r="D2294" s="17" t="s">
        <v>10516</v>
      </c>
    </row>
    <row r="2295">
      <c r="A2295" s="14" t="s">
        <v>5932</v>
      </c>
      <c r="B2295" s="15" t="s">
        <v>10517</v>
      </c>
      <c r="C2295" s="16">
        <v>27231.0</v>
      </c>
      <c r="D2295" s="17" t="s">
        <v>10518</v>
      </c>
    </row>
    <row r="2296">
      <c r="A2296" s="14">
        <v>21.0</v>
      </c>
      <c r="B2296" s="15" t="s">
        <v>10519</v>
      </c>
      <c r="C2296" s="16">
        <v>27231.0</v>
      </c>
      <c r="D2296" s="17" t="s">
        <v>10520</v>
      </c>
    </row>
    <row r="2297">
      <c r="A2297" s="14" t="s">
        <v>5932</v>
      </c>
      <c r="B2297" s="15" t="s">
        <v>10521</v>
      </c>
      <c r="C2297" s="16">
        <v>27234.0</v>
      </c>
      <c r="D2297" s="17" t="s">
        <v>10522</v>
      </c>
    </row>
    <row r="2298">
      <c r="A2298" s="14">
        <v>24.0</v>
      </c>
      <c r="B2298" s="15" t="s">
        <v>10523</v>
      </c>
      <c r="C2298" s="16">
        <v>27234.0</v>
      </c>
      <c r="D2298" s="17" t="s">
        <v>10524</v>
      </c>
    </row>
    <row r="2299">
      <c r="A2299" s="14" t="s">
        <v>10504</v>
      </c>
      <c r="B2299" s="15" t="s">
        <v>10525</v>
      </c>
      <c r="C2299" s="16">
        <v>27235.0</v>
      </c>
      <c r="D2299" s="17" t="s">
        <v>10526</v>
      </c>
    </row>
    <row r="2300">
      <c r="A2300" s="14">
        <v>25.0</v>
      </c>
      <c r="B2300" s="15" t="s">
        <v>10527</v>
      </c>
      <c r="C2300" s="16">
        <v>27235.0</v>
      </c>
      <c r="D2300" s="17" t="s">
        <v>10528</v>
      </c>
    </row>
    <row r="2301">
      <c r="A2301" s="14" t="s">
        <v>5986</v>
      </c>
      <c r="B2301" s="15" t="s">
        <v>10529</v>
      </c>
      <c r="C2301" s="16">
        <v>27243.0</v>
      </c>
      <c r="D2301" s="17" t="s">
        <v>10530</v>
      </c>
    </row>
    <row r="2302">
      <c r="A2302" s="14">
        <v>2.0</v>
      </c>
      <c r="B2302" s="15" t="s">
        <v>10531</v>
      </c>
      <c r="C2302" s="16">
        <v>27243.0</v>
      </c>
      <c r="D2302" s="17" t="s">
        <v>10532</v>
      </c>
    </row>
    <row r="2303">
      <c r="A2303" s="14">
        <v>2.0</v>
      </c>
      <c r="B2303" s="15" t="s">
        <v>10533</v>
      </c>
      <c r="C2303" s="16">
        <v>27243.0</v>
      </c>
      <c r="D2303" s="17" t="s">
        <v>10534</v>
      </c>
    </row>
    <row r="2304">
      <c r="A2304" s="14" t="s">
        <v>5986</v>
      </c>
      <c r="B2304" s="15" t="s">
        <v>10535</v>
      </c>
      <c r="C2304" s="16">
        <v>27244.0</v>
      </c>
      <c r="D2304" s="17" t="s">
        <v>10536</v>
      </c>
    </row>
    <row r="2305">
      <c r="A2305" s="14" t="s">
        <v>5932</v>
      </c>
      <c r="B2305" s="15" t="s">
        <v>10537</v>
      </c>
      <c r="C2305" s="16">
        <v>27244.0</v>
      </c>
      <c r="D2305" s="17" t="s">
        <v>10538</v>
      </c>
    </row>
    <row r="2306">
      <c r="A2306" s="14">
        <v>3.0</v>
      </c>
      <c r="B2306" s="15" t="s">
        <v>10539</v>
      </c>
      <c r="C2306" s="16">
        <v>27244.0</v>
      </c>
      <c r="D2306" s="17" t="s">
        <v>10540</v>
      </c>
    </row>
    <row r="2307">
      <c r="A2307" s="14">
        <v>3.0</v>
      </c>
      <c r="B2307" s="15" t="s">
        <v>10541</v>
      </c>
      <c r="C2307" s="16">
        <v>27244.0</v>
      </c>
      <c r="D2307" s="17" t="s">
        <v>10542</v>
      </c>
    </row>
    <row r="2308">
      <c r="A2308" s="14">
        <v>3.0</v>
      </c>
      <c r="B2308" s="15" t="s">
        <v>10543</v>
      </c>
      <c r="C2308" s="16">
        <v>27244.0</v>
      </c>
      <c r="D2308" s="17" t="s">
        <v>10544</v>
      </c>
    </row>
    <row r="2309">
      <c r="A2309" s="14">
        <v>3.0</v>
      </c>
      <c r="B2309" s="15" t="s">
        <v>10545</v>
      </c>
      <c r="C2309" s="16">
        <v>27244.0</v>
      </c>
      <c r="D2309" s="17" t="s">
        <v>10546</v>
      </c>
    </row>
    <row r="2310">
      <c r="A2310" s="14" t="s">
        <v>5986</v>
      </c>
      <c r="B2310" s="15" t="s">
        <v>10547</v>
      </c>
      <c r="C2310" s="16">
        <v>27245.0</v>
      </c>
      <c r="D2310" s="17" t="s">
        <v>10548</v>
      </c>
    </row>
    <row r="2311">
      <c r="A2311" s="14" t="s">
        <v>5932</v>
      </c>
      <c r="B2311" s="15" t="s">
        <v>10549</v>
      </c>
      <c r="C2311" s="16">
        <v>27245.0</v>
      </c>
      <c r="D2311" s="17" t="s">
        <v>10550</v>
      </c>
    </row>
    <row r="2312">
      <c r="A2312" s="14" t="s">
        <v>10551</v>
      </c>
      <c r="B2312" s="15" t="s">
        <v>10552</v>
      </c>
      <c r="C2312" s="16">
        <v>27245.0</v>
      </c>
      <c r="D2312" s="17" t="s">
        <v>10553</v>
      </c>
    </row>
    <row r="2313">
      <c r="A2313" s="14" t="s">
        <v>10551</v>
      </c>
      <c r="B2313" s="15" t="s">
        <v>10554</v>
      </c>
      <c r="C2313" s="16">
        <v>27245.0</v>
      </c>
      <c r="D2313" s="17" t="s">
        <v>10555</v>
      </c>
    </row>
    <row r="2314">
      <c r="A2314" s="14">
        <v>4.0</v>
      </c>
      <c r="B2314" s="15" t="s">
        <v>10556</v>
      </c>
      <c r="C2314" s="16">
        <v>27245.0</v>
      </c>
      <c r="D2314" s="17" t="s">
        <v>10557</v>
      </c>
    </row>
    <row r="2315">
      <c r="A2315" s="14">
        <v>4.0</v>
      </c>
      <c r="B2315" s="15" t="s">
        <v>10558</v>
      </c>
      <c r="C2315" s="16">
        <v>27245.0</v>
      </c>
      <c r="D2315" s="17" t="s">
        <v>10559</v>
      </c>
    </row>
    <row r="2316">
      <c r="A2316" s="14" t="s">
        <v>5986</v>
      </c>
      <c r="B2316" s="15" t="s">
        <v>10560</v>
      </c>
      <c r="C2316" s="16">
        <v>27246.0</v>
      </c>
      <c r="D2316" s="17" t="s">
        <v>10561</v>
      </c>
    </row>
    <row r="2317">
      <c r="A2317" s="14" t="s">
        <v>6353</v>
      </c>
      <c r="B2317" s="15" t="s">
        <v>10562</v>
      </c>
      <c r="C2317" s="16">
        <v>27246.0</v>
      </c>
      <c r="D2317" s="17" t="s">
        <v>10563</v>
      </c>
    </row>
    <row r="2318">
      <c r="A2318" s="14" t="s">
        <v>5932</v>
      </c>
      <c r="B2318" s="15" t="s">
        <v>10564</v>
      </c>
      <c r="C2318" s="16">
        <v>27246.0</v>
      </c>
      <c r="D2318" s="17" t="s">
        <v>10565</v>
      </c>
    </row>
    <row r="2319">
      <c r="A2319" s="14">
        <v>5.0</v>
      </c>
      <c r="B2319" s="15" t="s">
        <v>10566</v>
      </c>
      <c r="C2319" s="16">
        <v>27246.0</v>
      </c>
      <c r="D2319" s="17" t="s">
        <v>10567</v>
      </c>
    </row>
    <row r="2320">
      <c r="A2320" s="14">
        <v>5.0</v>
      </c>
      <c r="B2320" s="15" t="s">
        <v>10568</v>
      </c>
      <c r="C2320" s="16">
        <v>27246.0</v>
      </c>
      <c r="D2320" s="17" t="s">
        <v>10569</v>
      </c>
    </row>
    <row r="2321">
      <c r="A2321" s="14">
        <v>5.0</v>
      </c>
      <c r="B2321" s="15" t="s">
        <v>10570</v>
      </c>
      <c r="C2321" s="16">
        <v>27246.0</v>
      </c>
      <c r="D2321" s="17" t="s">
        <v>10571</v>
      </c>
    </row>
    <row r="2322">
      <c r="A2322" s="14">
        <v>5.0</v>
      </c>
      <c r="B2322" s="15" t="s">
        <v>10572</v>
      </c>
      <c r="C2322" s="16">
        <v>27246.0</v>
      </c>
      <c r="D2322" s="17" t="s">
        <v>10573</v>
      </c>
    </row>
    <row r="2323">
      <c r="A2323" s="14" t="s">
        <v>5986</v>
      </c>
      <c r="B2323" s="15" t="s">
        <v>10574</v>
      </c>
      <c r="C2323" s="16">
        <v>27247.0</v>
      </c>
      <c r="D2323" s="17" t="s">
        <v>10575</v>
      </c>
    </row>
    <row r="2324">
      <c r="A2324" s="14" t="s">
        <v>5932</v>
      </c>
      <c r="B2324" s="15" t="s">
        <v>10576</v>
      </c>
      <c r="C2324" s="16">
        <v>27247.0</v>
      </c>
      <c r="D2324" s="17" t="s">
        <v>10577</v>
      </c>
    </row>
    <row r="2325">
      <c r="A2325" s="14">
        <v>6.0</v>
      </c>
      <c r="B2325" s="15" t="s">
        <v>10578</v>
      </c>
      <c r="C2325" s="16">
        <v>27247.0</v>
      </c>
      <c r="D2325" s="17" t="s">
        <v>10579</v>
      </c>
    </row>
    <row r="2326">
      <c r="A2326" s="14">
        <v>6.0</v>
      </c>
      <c r="B2326" s="15" t="s">
        <v>10580</v>
      </c>
      <c r="C2326" s="16">
        <v>27247.0</v>
      </c>
      <c r="D2326" s="17" t="s">
        <v>10581</v>
      </c>
    </row>
    <row r="2327">
      <c r="A2327" s="14">
        <v>6.0</v>
      </c>
      <c r="B2327" s="15" t="s">
        <v>10582</v>
      </c>
      <c r="C2327" s="16">
        <v>27247.0</v>
      </c>
      <c r="D2327" s="17" t="s">
        <v>10583</v>
      </c>
    </row>
    <row r="2328">
      <c r="A2328" s="14">
        <v>6.0</v>
      </c>
      <c r="B2328" s="15" t="s">
        <v>10584</v>
      </c>
      <c r="C2328" s="16">
        <v>27247.0</v>
      </c>
      <c r="D2328" s="17" t="s">
        <v>10585</v>
      </c>
    </row>
    <row r="2329">
      <c r="A2329" s="14" t="s">
        <v>6074</v>
      </c>
      <c r="B2329" s="15" t="s">
        <v>10586</v>
      </c>
      <c r="C2329" s="16">
        <v>27250.0</v>
      </c>
      <c r="D2329" s="17" t="s">
        <v>10587</v>
      </c>
    </row>
    <row r="2330">
      <c r="A2330" s="14" t="s">
        <v>5932</v>
      </c>
      <c r="B2330" s="15" t="s">
        <v>10588</v>
      </c>
      <c r="C2330" s="16">
        <v>27250.0</v>
      </c>
      <c r="D2330" s="17" t="s">
        <v>10589</v>
      </c>
    </row>
    <row r="2331">
      <c r="A2331" s="14">
        <v>9.0</v>
      </c>
      <c r="B2331" s="15" t="s">
        <v>10590</v>
      </c>
      <c r="C2331" s="16">
        <v>27250.0</v>
      </c>
      <c r="D2331" s="17" t="s">
        <v>10591</v>
      </c>
    </row>
    <row r="2332">
      <c r="A2332" s="14">
        <v>9.0</v>
      </c>
      <c r="B2332" s="15" t="s">
        <v>10592</v>
      </c>
      <c r="C2332" s="16">
        <v>27250.0</v>
      </c>
      <c r="D2332" s="17" t="s">
        <v>10593</v>
      </c>
    </row>
    <row r="2333">
      <c r="A2333" s="14">
        <v>9.0</v>
      </c>
      <c r="B2333" s="15" t="s">
        <v>10594</v>
      </c>
      <c r="C2333" s="16">
        <v>27250.0</v>
      </c>
      <c r="D2333" s="17" t="s">
        <v>10595</v>
      </c>
    </row>
    <row r="2334">
      <c r="A2334" s="14">
        <v>9.0</v>
      </c>
      <c r="B2334" s="15" t="s">
        <v>10596</v>
      </c>
      <c r="C2334" s="16">
        <v>27250.0</v>
      </c>
      <c r="D2334" s="17" t="s">
        <v>10597</v>
      </c>
    </row>
    <row r="2335">
      <c r="A2335" s="14" t="s">
        <v>6074</v>
      </c>
      <c r="B2335" s="15" t="s">
        <v>10598</v>
      </c>
      <c r="C2335" s="16">
        <v>27251.0</v>
      </c>
      <c r="D2335" s="17" t="s">
        <v>10599</v>
      </c>
    </row>
    <row r="2336">
      <c r="A2336" s="14" t="s">
        <v>5932</v>
      </c>
      <c r="B2336" s="15" t="s">
        <v>10600</v>
      </c>
      <c r="C2336" s="16">
        <v>27251.0</v>
      </c>
      <c r="D2336" s="17" t="s">
        <v>10601</v>
      </c>
    </row>
    <row r="2337">
      <c r="A2337" s="14">
        <v>10.0</v>
      </c>
      <c r="B2337" s="15" t="s">
        <v>10602</v>
      </c>
      <c r="C2337" s="16">
        <v>27251.0</v>
      </c>
      <c r="D2337" s="17" t="s">
        <v>10603</v>
      </c>
    </row>
    <row r="2338">
      <c r="A2338" s="14">
        <v>10.0</v>
      </c>
      <c r="B2338" s="15" t="s">
        <v>10604</v>
      </c>
      <c r="C2338" s="16">
        <v>27251.0</v>
      </c>
      <c r="D2338" s="17" t="s">
        <v>10605</v>
      </c>
    </row>
    <row r="2339">
      <c r="A2339" s="14">
        <v>10.0</v>
      </c>
      <c r="B2339" s="15" t="s">
        <v>10606</v>
      </c>
      <c r="C2339" s="16">
        <v>27251.0</v>
      </c>
      <c r="D2339" s="17" t="s">
        <v>10607</v>
      </c>
    </row>
    <row r="2340">
      <c r="A2340" s="14">
        <v>10.0</v>
      </c>
      <c r="B2340" s="15" t="s">
        <v>10608</v>
      </c>
      <c r="C2340" s="16">
        <v>27251.0</v>
      </c>
      <c r="D2340" s="17" t="s">
        <v>10609</v>
      </c>
    </row>
    <row r="2341">
      <c r="A2341" s="14" t="s">
        <v>6074</v>
      </c>
      <c r="B2341" s="15" t="s">
        <v>10610</v>
      </c>
      <c r="C2341" s="16">
        <v>27252.0</v>
      </c>
      <c r="D2341" s="17" t="s">
        <v>10611</v>
      </c>
    </row>
    <row r="2342">
      <c r="A2342" s="14" t="s">
        <v>5932</v>
      </c>
      <c r="B2342" s="15" t="s">
        <v>10612</v>
      </c>
      <c r="C2342" s="16">
        <v>27252.0</v>
      </c>
      <c r="D2342" s="17" t="s">
        <v>10613</v>
      </c>
    </row>
    <row r="2343">
      <c r="A2343" s="14">
        <v>11.0</v>
      </c>
      <c r="B2343" s="15" t="s">
        <v>10614</v>
      </c>
      <c r="C2343" s="16">
        <v>27252.0</v>
      </c>
      <c r="D2343" s="17" t="s">
        <v>10615</v>
      </c>
    </row>
    <row r="2344">
      <c r="A2344" s="14">
        <v>11.0</v>
      </c>
      <c r="B2344" s="15" t="s">
        <v>10616</v>
      </c>
      <c r="C2344" s="16">
        <v>27252.0</v>
      </c>
      <c r="D2344" s="17" t="s">
        <v>10617</v>
      </c>
    </row>
    <row r="2345">
      <c r="A2345" s="14">
        <v>11.0</v>
      </c>
      <c r="B2345" s="15" t="s">
        <v>10618</v>
      </c>
      <c r="C2345" s="16">
        <v>27252.0</v>
      </c>
      <c r="D2345" s="17" t="s">
        <v>10619</v>
      </c>
    </row>
    <row r="2346">
      <c r="A2346" s="14">
        <v>11.0</v>
      </c>
      <c r="B2346" s="15" t="s">
        <v>10620</v>
      </c>
      <c r="C2346" s="16">
        <v>27252.0</v>
      </c>
      <c r="D2346" s="17" t="s">
        <v>10621</v>
      </c>
    </row>
    <row r="2347">
      <c r="A2347" s="14">
        <v>11.0</v>
      </c>
      <c r="B2347" s="15" t="s">
        <v>10622</v>
      </c>
      <c r="C2347" s="16">
        <v>27252.0</v>
      </c>
      <c r="D2347" s="17" t="s">
        <v>10623</v>
      </c>
    </row>
    <row r="2348">
      <c r="A2348" s="14" t="s">
        <v>6074</v>
      </c>
      <c r="B2348" s="15" t="s">
        <v>10624</v>
      </c>
      <c r="C2348" s="16">
        <v>27253.0</v>
      </c>
      <c r="D2348" s="17" t="s">
        <v>10625</v>
      </c>
    </row>
    <row r="2349">
      <c r="A2349" s="14" t="s">
        <v>5932</v>
      </c>
      <c r="B2349" s="15" t="s">
        <v>10626</v>
      </c>
      <c r="C2349" s="16">
        <v>27253.0</v>
      </c>
      <c r="D2349" s="17" t="s">
        <v>10627</v>
      </c>
    </row>
    <row r="2350">
      <c r="A2350" s="14">
        <v>12.0</v>
      </c>
      <c r="B2350" s="15" t="s">
        <v>10628</v>
      </c>
      <c r="C2350" s="16">
        <v>27253.0</v>
      </c>
      <c r="D2350" s="17" t="s">
        <v>10629</v>
      </c>
    </row>
    <row r="2351">
      <c r="A2351" s="14">
        <v>12.0</v>
      </c>
      <c r="B2351" s="15" t="s">
        <v>10630</v>
      </c>
      <c r="C2351" s="16">
        <v>27253.0</v>
      </c>
      <c r="D2351" s="17" t="s">
        <v>10631</v>
      </c>
    </row>
    <row r="2352">
      <c r="A2352" s="14">
        <v>12.0</v>
      </c>
      <c r="B2352" s="15" t="s">
        <v>10632</v>
      </c>
      <c r="C2352" s="16">
        <v>27253.0</v>
      </c>
      <c r="D2352" s="17" t="s">
        <v>10633</v>
      </c>
    </row>
    <row r="2353">
      <c r="A2353" s="14" t="s">
        <v>6074</v>
      </c>
      <c r="B2353" s="15" t="s">
        <v>10634</v>
      </c>
      <c r="C2353" s="16">
        <v>27254.0</v>
      </c>
      <c r="D2353" s="17" t="s">
        <v>10635</v>
      </c>
    </row>
    <row r="2354">
      <c r="A2354" s="14" t="s">
        <v>5932</v>
      </c>
      <c r="B2354" s="15" t="s">
        <v>10636</v>
      </c>
      <c r="C2354" s="16">
        <v>27254.0</v>
      </c>
      <c r="D2354" s="17" t="s">
        <v>10637</v>
      </c>
    </row>
    <row r="2355">
      <c r="A2355" s="14">
        <v>13.0</v>
      </c>
      <c r="B2355" s="15" t="s">
        <v>10638</v>
      </c>
      <c r="C2355" s="16">
        <v>27254.0</v>
      </c>
      <c r="D2355" s="17" t="s">
        <v>10639</v>
      </c>
    </row>
    <row r="2356">
      <c r="A2356" s="14">
        <v>13.0</v>
      </c>
      <c r="B2356" s="15" t="s">
        <v>10640</v>
      </c>
      <c r="C2356" s="16">
        <v>27254.0</v>
      </c>
      <c r="D2356" s="17" t="s">
        <v>10641</v>
      </c>
    </row>
    <row r="2357">
      <c r="A2357" s="14">
        <v>13.0</v>
      </c>
      <c r="B2357" s="15" t="s">
        <v>10642</v>
      </c>
      <c r="C2357" s="16">
        <v>27254.0</v>
      </c>
      <c r="D2357" s="17" t="s">
        <v>10643</v>
      </c>
    </row>
    <row r="2358">
      <c r="A2358" s="14">
        <v>13.0</v>
      </c>
      <c r="B2358" s="15" t="s">
        <v>10644</v>
      </c>
      <c r="C2358" s="16">
        <v>27254.0</v>
      </c>
      <c r="D2358" s="17" t="s">
        <v>10645</v>
      </c>
    </row>
    <row r="2359">
      <c r="A2359" s="14" t="s">
        <v>5932</v>
      </c>
      <c r="B2359" s="15" t="s">
        <v>10646</v>
      </c>
      <c r="C2359" s="16">
        <v>27255.0</v>
      </c>
      <c r="D2359" s="17" t="s">
        <v>10647</v>
      </c>
    </row>
    <row r="2360">
      <c r="A2360" s="14">
        <v>14.0</v>
      </c>
      <c r="B2360" s="15" t="s">
        <v>10648</v>
      </c>
      <c r="C2360" s="16">
        <v>27255.0</v>
      </c>
      <c r="D2360" s="17" t="s">
        <v>10649</v>
      </c>
    </row>
    <row r="2361">
      <c r="A2361" s="14">
        <v>14.0</v>
      </c>
      <c r="B2361" s="15" t="s">
        <v>10650</v>
      </c>
      <c r="C2361" s="16">
        <v>27255.0</v>
      </c>
      <c r="D2361" s="17" t="s">
        <v>10651</v>
      </c>
    </row>
    <row r="2362">
      <c r="A2362" s="14" t="s">
        <v>6074</v>
      </c>
      <c r="B2362" s="15" t="s">
        <v>10652</v>
      </c>
      <c r="C2362" s="16">
        <v>27256.0</v>
      </c>
      <c r="D2362" s="17" t="s">
        <v>10653</v>
      </c>
    </row>
    <row r="2363">
      <c r="A2363" s="14">
        <v>15.0</v>
      </c>
      <c r="B2363" s="15" t="s">
        <v>10654</v>
      </c>
      <c r="C2363" s="16">
        <v>27256.0</v>
      </c>
      <c r="D2363" s="17" t="s">
        <v>10655</v>
      </c>
    </row>
    <row r="2364">
      <c r="A2364" s="14">
        <v>15.0</v>
      </c>
      <c r="B2364" s="15" t="s">
        <v>10656</v>
      </c>
      <c r="C2364" s="16">
        <v>27256.0</v>
      </c>
      <c r="D2364" s="17" t="s">
        <v>10657</v>
      </c>
    </row>
    <row r="2365">
      <c r="A2365" s="14" t="s">
        <v>6074</v>
      </c>
      <c r="B2365" s="15" t="s">
        <v>10658</v>
      </c>
      <c r="C2365" s="16">
        <v>27257.0</v>
      </c>
      <c r="D2365" s="17" t="s">
        <v>10659</v>
      </c>
    </row>
    <row r="2366">
      <c r="A2366" s="14" t="s">
        <v>5932</v>
      </c>
      <c r="B2366" s="15" t="s">
        <v>10660</v>
      </c>
      <c r="C2366" s="16">
        <v>27257.0</v>
      </c>
      <c r="D2366" s="17" t="s">
        <v>10661</v>
      </c>
    </row>
    <row r="2367">
      <c r="A2367" s="14">
        <v>16.0</v>
      </c>
      <c r="B2367" s="15" t="s">
        <v>10662</v>
      </c>
      <c r="C2367" s="16">
        <v>27257.0</v>
      </c>
      <c r="D2367" s="17" t="s">
        <v>10663</v>
      </c>
    </row>
    <row r="2368">
      <c r="A2368" s="14">
        <v>16.0</v>
      </c>
      <c r="B2368" s="15" t="s">
        <v>10664</v>
      </c>
      <c r="C2368" s="16">
        <v>27257.0</v>
      </c>
      <c r="D2368" s="17" t="s">
        <v>10665</v>
      </c>
    </row>
    <row r="2369">
      <c r="A2369" s="14">
        <v>16.0</v>
      </c>
      <c r="B2369" s="15" t="s">
        <v>10666</v>
      </c>
      <c r="C2369" s="16">
        <v>27257.0</v>
      </c>
      <c r="D2369" s="17" t="s">
        <v>10667</v>
      </c>
    </row>
    <row r="2370">
      <c r="A2370" s="14" t="s">
        <v>5932</v>
      </c>
      <c r="B2370" s="15" t="s">
        <v>10668</v>
      </c>
      <c r="C2370" s="16">
        <v>27258.0</v>
      </c>
      <c r="D2370" s="17" t="s">
        <v>10669</v>
      </c>
    </row>
    <row r="2371">
      <c r="A2371" s="14">
        <v>17.0</v>
      </c>
      <c r="B2371" s="15" t="s">
        <v>10670</v>
      </c>
      <c r="C2371" s="16">
        <v>27258.0</v>
      </c>
      <c r="D2371" s="17" t="s">
        <v>10671</v>
      </c>
    </row>
    <row r="2372">
      <c r="A2372" s="14" t="s">
        <v>6057</v>
      </c>
      <c r="B2372" s="15" t="s">
        <v>10672</v>
      </c>
      <c r="C2372" s="16">
        <v>27259.0</v>
      </c>
      <c r="D2372" s="17" t="s">
        <v>10673</v>
      </c>
    </row>
    <row r="2373">
      <c r="A2373" s="14">
        <v>18.0</v>
      </c>
      <c r="B2373" s="15" t="s">
        <v>10674</v>
      </c>
      <c r="C2373" s="16">
        <v>27259.0</v>
      </c>
      <c r="D2373" s="17" t="s">
        <v>10675</v>
      </c>
    </row>
    <row r="2374">
      <c r="A2374" s="14" t="s">
        <v>6057</v>
      </c>
      <c r="B2374" s="15" t="s">
        <v>10676</v>
      </c>
      <c r="C2374" s="16">
        <v>27282.0</v>
      </c>
      <c r="D2374" s="17" t="s">
        <v>10677</v>
      </c>
    </row>
    <row r="2375">
      <c r="A2375" s="14">
        <v>10.0</v>
      </c>
      <c r="B2375" s="15" t="s">
        <v>10678</v>
      </c>
      <c r="C2375" s="16">
        <v>27282.0</v>
      </c>
      <c r="D2375" s="17" t="s">
        <v>10679</v>
      </c>
    </row>
    <row r="2376">
      <c r="A2376" s="14">
        <v>10.0</v>
      </c>
      <c r="B2376" s="15" t="s">
        <v>10680</v>
      </c>
      <c r="C2376" s="16">
        <v>27282.0</v>
      </c>
      <c r="D2376" s="17" t="s">
        <v>10681</v>
      </c>
    </row>
    <row r="2377">
      <c r="A2377" s="14" t="s">
        <v>6057</v>
      </c>
      <c r="B2377" s="15" t="s">
        <v>10682</v>
      </c>
      <c r="C2377" s="16">
        <v>27283.0</v>
      </c>
      <c r="D2377" s="17" t="s">
        <v>10683</v>
      </c>
    </row>
    <row r="2378">
      <c r="A2378" s="14">
        <v>11.0</v>
      </c>
      <c r="B2378" s="15" t="s">
        <v>10684</v>
      </c>
      <c r="C2378" s="16">
        <v>27283.0</v>
      </c>
      <c r="D2378" s="17" t="s">
        <v>10685</v>
      </c>
    </row>
    <row r="2379">
      <c r="A2379" s="14" t="s">
        <v>7676</v>
      </c>
      <c r="B2379" s="15" t="s">
        <v>10686</v>
      </c>
      <c r="C2379" s="16">
        <v>27294.0</v>
      </c>
      <c r="D2379" s="17" t="s">
        <v>10687</v>
      </c>
    </row>
    <row r="2380">
      <c r="A2380" s="14">
        <v>22.0</v>
      </c>
      <c r="B2380" s="15" t="s">
        <v>10688</v>
      </c>
      <c r="C2380" s="16">
        <v>27294.0</v>
      </c>
      <c r="D2380" s="17" t="s">
        <v>10689</v>
      </c>
    </row>
    <row r="2381">
      <c r="A2381" s="14" t="s">
        <v>5986</v>
      </c>
      <c r="B2381" s="15" t="s">
        <v>10690</v>
      </c>
      <c r="C2381" s="16">
        <v>27295.0</v>
      </c>
      <c r="D2381" s="17" t="s">
        <v>10691</v>
      </c>
    </row>
    <row r="2382">
      <c r="A2382" s="14">
        <v>23.0</v>
      </c>
      <c r="B2382" s="15" t="s">
        <v>10692</v>
      </c>
      <c r="C2382" s="16">
        <v>27295.0</v>
      </c>
      <c r="D2382" s="17" t="s">
        <v>10693</v>
      </c>
    </row>
    <row r="2383">
      <c r="A2383" s="14">
        <v>23.0</v>
      </c>
      <c r="B2383" s="15" t="s">
        <v>10694</v>
      </c>
      <c r="C2383" s="16">
        <v>27295.0</v>
      </c>
      <c r="D2383" s="17" t="s">
        <v>10695</v>
      </c>
    </row>
    <row r="2384">
      <c r="A2384" s="14">
        <v>23.0</v>
      </c>
      <c r="B2384" s="15" t="s">
        <v>10696</v>
      </c>
      <c r="C2384" s="16">
        <v>27295.0</v>
      </c>
      <c r="D2384" s="17" t="s">
        <v>10697</v>
      </c>
    </row>
    <row r="2385">
      <c r="A2385" s="14" t="s">
        <v>5932</v>
      </c>
      <c r="B2385" s="15" t="s">
        <v>10698</v>
      </c>
      <c r="C2385" s="16">
        <v>27298.0</v>
      </c>
      <c r="D2385" s="17" t="s">
        <v>10699</v>
      </c>
    </row>
    <row r="2386">
      <c r="A2386" s="14">
        <v>26.0</v>
      </c>
      <c r="B2386" s="15" t="s">
        <v>10700</v>
      </c>
      <c r="C2386" s="16">
        <v>27298.0</v>
      </c>
      <c r="D2386" s="17" t="s">
        <v>10701</v>
      </c>
    </row>
    <row r="2387">
      <c r="A2387" s="14">
        <v>26.0</v>
      </c>
      <c r="B2387" s="15" t="s">
        <v>10702</v>
      </c>
      <c r="C2387" s="16">
        <v>27298.0</v>
      </c>
      <c r="D2387" s="17" t="s">
        <v>10703</v>
      </c>
    </row>
    <row r="2388">
      <c r="A2388" s="14" t="s">
        <v>6753</v>
      </c>
      <c r="B2388" s="15" t="s">
        <v>10704</v>
      </c>
      <c r="C2388" s="16">
        <v>27299.0</v>
      </c>
      <c r="D2388" s="17" t="s">
        <v>10705</v>
      </c>
    </row>
    <row r="2389">
      <c r="A2389" s="14" t="s">
        <v>5932</v>
      </c>
      <c r="B2389" s="15" t="s">
        <v>10706</v>
      </c>
      <c r="C2389" s="16">
        <v>27299.0</v>
      </c>
      <c r="D2389" s="17" t="s">
        <v>10707</v>
      </c>
    </row>
    <row r="2390">
      <c r="A2390" s="14">
        <v>27.0</v>
      </c>
      <c r="B2390" s="15" t="s">
        <v>10708</v>
      </c>
      <c r="C2390" s="16">
        <v>27299.0</v>
      </c>
      <c r="D2390" s="17" t="s">
        <v>10709</v>
      </c>
    </row>
    <row r="2391">
      <c r="A2391" s="14">
        <v>27.0</v>
      </c>
      <c r="B2391" s="15" t="s">
        <v>10710</v>
      </c>
      <c r="C2391" s="16">
        <v>27299.0</v>
      </c>
      <c r="D2391" s="17" t="s">
        <v>10711</v>
      </c>
    </row>
    <row r="2392">
      <c r="A2392" s="14">
        <v>27.0</v>
      </c>
      <c r="B2392" s="15" t="s">
        <v>10712</v>
      </c>
      <c r="C2392" s="16">
        <v>27299.0</v>
      </c>
      <c r="D2392" s="17" t="s">
        <v>10713</v>
      </c>
    </row>
    <row r="2393">
      <c r="A2393" s="14">
        <v>27.0</v>
      </c>
      <c r="B2393" s="15" t="s">
        <v>10714</v>
      </c>
      <c r="C2393" s="16">
        <v>27299.0</v>
      </c>
      <c r="D2393" s="17" t="s">
        <v>10715</v>
      </c>
    </row>
    <row r="2394">
      <c r="A2394" s="14" t="s">
        <v>5932</v>
      </c>
      <c r="B2394" s="15" t="s">
        <v>10716</v>
      </c>
      <c r="C2394" s="16">
        <v>27300.0</v>
      </c>
      <c r="D2394" s="17" t="s">
        <v>10717</v>
      </c>
    </row>
    <row r="2395">
      <c r="A2395" s="14">
        <v>28.0</v>
      </c>
      <c r="B2395" s="15" t="s">
        <v>10718</v>
      </c>
      <c r="C2395" s="16">
        <v>27300.0</v>
      </c>
      <c r="D2395" s="17" t="s">
        <v>10719</v>
      </c>
    </row>
    <row r="2396">
      <c r="A2396" s="14">
        <v>28.0</v>
      </c>
      <c r="B2396" s="15" t="s">
        <v>10720</v>
      </c>
      <c r="C2396" s="16">
        <v>27300.0</v>
      </c>
      <c r="D2396" s="17" t="s">
        <v>10721</v>
      </c>
    </row>
    <row r="2397">
      <c r="A2397" s="14" t="s">
        <v>5932</v>
      </c>
      <c r="B2397" s="15" t="s">
        <v>10722</v>
      </c>
      <c r="C2397" s="16">
        <v>27301.0</v>
      </c>
      <c r="D2397" s="17" t="s">
        <v>10723</v>
      </c>
    </row>
    <row r="2398">
      <c r="A2398" s="14">
        <v>29.0</v>
      </c>
      <c r="B2398" s="15" t="s">
        <v>10724</v>
      </c>
      <c r="C2398" s="16">
        <v>27301.0</v>
      </c>
      <c r="D2398" s="17" t="s">
        <v>10725</v>
      </c>
    </row>
    <row r="2399">
      <c r="A2399" s="14">
        <v>29.0</v>
      </c>
      <c r="B2399" s="15" t="s">
        <v>10726</v>
      </c>
      <c r="C2399" s="16">
        <v>27301.0</v>
      </c>
      <c r="D2399" s="17" t="s">
        <v>10727</v>
      </c>
    </row>
    <row r="2400">
      <c r="A2400" s="14">
        <v>29.0</v>
      </c>
      <c r="B2400" s="15" t="s">
        <v>10728</v>
      </c>
      <c r="C2400" s="16">
        <v>27301.0</v>
      </c>
      <c r="D2400" s="17" t="s">
        <v>10729</v>
      </c>
    </row>
    <row r="2401">
      <c r="A2401" s="14" t="s">
        <v>5932</v>
      </c>
      <c r="B2401" s="15" t="s">
        <v>10730</v>
      </c>
      <c r="C2401" s="16">
        <v>27302.0</v>
      </c>
      <c r="D2401" s="17" t="s">
        <v>10731</v>
      </c>
    </row>
    <row r="2402">
      <c r="A2402" s="14">
        <v>30.0</v>
      </c>
      <c r="B2402" s="15" t="s">
        <v>10732</v>
      </c>
      <c r="C2402" s="16">
        <v>27302.0</v>
      </c>
      <c r="D2402" s="17" t="s">
        <v>10733</v>
      </c>
    </row>
    <row r="2403">
      <c r="A2403" s="14">
        <v>30.0</v>
      </c>
      <c r="B2403" s="15" t="s">
        <v>10734</v>
      </c>
      <c r="C2403" s="16">
        <v>27302.0</v>
      </c>
      <c r="D2403" s="17" t="s">
        <v>10735</v>
      </c>
    </row>
    <row r="2404">
      <c r="A2404" s="14" t="s">
        <v>5932</v>
      </c>
      <c r="B2404" s="15" t="s">
        <v>10736</v>
      </c>
      <c r="C2404" s="16">
        <v>27303.0</v>
      </c>
      <c r="D2404" s="17" t="s">
        <v>10737</v>
      </c>
    </row>
    <row r="2405">
      <c r="A2405" s="14">
        <v>1.0</v>
      </c>
      <c r="B2405" s="15" t="s">
        <v>10738</v>
      </c>
      <c r="C2405" s="16">
        <v>27303.0</v>
      </c>
      <c r="D2405" s="17" t="s">
        <v>10739</v>
      </c>
    </row>
    <row r="2406">
      <c r="A2406" s="14">
        <v>1.0</v>
      </c>
      <c r="B2406" s="15" t="s">
        <v>10740</v>
      </c>
      <c r="C2406" s="16">
        <v>27303.0</v>
      </c>
      <c r="D2406" s="17" t="s">
        <v>10741</v>
      </c>
    </row>
    <row r="2407">
      <c r="A2407" s="14" t="s">
        <v>5932</v>
      </c>
      <c r="B2407" s="15" t="s">
        <v>10742</v>
      </c>
      <c r="C2407" s="16">
        <v>27305.0</v>
      </c>
      <c r="D2407" s="17" t="s">
        <v>10743</v>
      </c>
    </row>
    <row r="2408">
      <c r="A2408" s="14">
        <v>3.0</v>
      </c>
      <c r="B2408" s="15" t="s">
        <v>10744</v>
      </c>
      <c r="C2408" s="16">
        <v>27305.0</v>
      </c>
      <c r="D2408" s="17" t="s">
        <v>10745</v>
      </c>
    </row>
    <row r="2409">
      <c r="A2409" s="14">
        <v>3.0</v>
      </c>
      <c r="B2409" s="15" t="s">
        <v>10746</v>
      </c>
      <c r="C2409" s="16">
        <v>27305.0</v>
      </c>
      <c r="D2409" s="17" t="s">
        <v>10747</v>
      </c>
    </row>
    <row r="2410">
      <c r="A2410" s="14">
        <v>3.0</v>
      </c>
      <c r="B2410" s="15" t="s">
        <v>10748</v>
      </c>
      <c r="C2410" s="16">
        <v>27305.0</v>
      </c>
      <c r="D2410" s="17" t="s">
        <v>10749</v>
      </c>
    </row>
    <row r="2411">
      <c r="A2411" s="14" t="s">
        <v>5932</v>
      </c>
      <c r="B2411" s="15" t="s">
        <v>10750</v>
      </c>
      <c r="C2411" s="16">
        <v>27306.0</v>
      </c>
      <c r="D2411" s="17" t="s">
        <v>10751</v>
      </c>
    </row>
    <row r="2412">
      <c r="A2412" s="14">
        <v>4.0</v>
      </c>
      <c r="B2412" s="15" t="s">
        <v>10752</v>
      </c>
      <c r="C2412" s="16">
        <v>27306.0</v>
      </c>
      <c r="D2412" s="17" t="s">
        <v>10753</v>
      </c>
    </row>
    <row r="2413">
      <c r="A2413" s="14">
        <v>4.0</v>
      </c>
      <c r="B2413" s="15" t="s">
        <v>10754</v>
      </c>
      <c r="C2413" s="16">
        <v>27306.0</v>
      </c>
      <c r="D2413" s="17" t="s">
        <v>10755</v>
      </c>
    </row>
    <row r="2414">
      <c r="A2414" s="14" t="s">
        <v>5932</v>
      </c>
      <c r="B2414" s="15" t="s">
        <v>10756</v>
      </c>
      <c r="C2414" s="16">
        <v>27307.0</v>
      </c>
      <c r="D2414" s="17" t="s">
        <v>10757</v>
      </c>
    </row>
    <row r="2415">
      <c r="A2415" s="14">
        <v>5.0</v>
      </c>
      <c r="B2415" s="15" t="s">
        <v>10758</v>
      </c>
      <c r="C2415" s="16">
        <v>27307.0</v>
      </c>
      <c r="D2415" s="17" t="s">
        <v>10759</v>
      </c>
    </row>
    <row r="2416">
      <c r="A2416" s="14">
        <v>5.0</v>
      </c>
      <c r="B2416" s="15" t="s">
        <v>10760</v>
      </c>
      <c r="C2416" s="16">
        <v>27307.0</v>
      </c>
      <c r="D2416" s="17" t="s">
        <v>10761</v>
      </c>
    </row>
    <row r="2417">
      <c r="A2417" s="14" t="s">
        <v>5932</v>
      </c>
      <c r="B2417" s="15" t="s">
        <v>10762</v>
      </c>
      <c r="C2417" s="16">
        <v>27308.0</v>
      </c>
      <c r="D2417" s="17" t="s">
        <v>10763</v>
      </c>
    </row>
    <row r="2418">
      <c r="A2418" s="14">
        <v>6.0</v>
      </c>
      <c r="B2418" s="15" t="s">
        <v>10764</v>
      </c>
      <c r="C2418" s="16">
        <v>27308.0</v>
      </c>
      <c r="D2418" s="17" t="s">
        <v>10765</v>
      </c>
    </row>
    <row r="2419">
      <c r="A2419" s="14">
        <v>6.0</v>
      </c>
      <c r="B2419" s="15" t="s">
        <v>10766</v>
      </c>
      <c r="C2419" s="16">
        <v>27308.0</v>
      </c>
      <c r="D2419" s="17" t="s">
        <v>10767</v>
      </c>
    </row>
    <row r="2420">
      <c r="A2420" s="14">
        <v>7.0</v>
      </c>
      <c r="B2420" s="15" t="s">
        <v>10768</v>
      </c>
      <c r="C2420" s="16">
        <v>27309.0</v>
      </c>
      <c r="D2420" s="17" t="s">
        <v>10769</v>
      </c>
    </row>
    <row r="2421">
      <c r="A2421" s="14" t="s">
        <v>5932</v>
      </c>
      <c r="B2421" s="15" t="s">
        <v>10770</v>
      </c>
      <c r="C2421" s="16">
        <v>27310.0</v>
      </c>
      <c r="D2421" s="17" t="s">
        <v>10771</v>
      </c>
    </row>
    <row r="2422">
      <c r="A2422" s="14">
        <v>8.0</v>
      </c>
      <c r="B2422" s="15" t="s">
        <v>10772</v>
      </c>
      <c r="C2422" s="16">
        <v>27310.0</v>
      </c>
      <c r="D2422" s="17" t="s">
        <v>10773</v>
      </c>
    </row>
    <row r="2423">
      <c r="A2423" s="14">
        <v>8.0</v>
      </c>
      <c r="B2423" s="15" t="s">
        <v>10774</v>
      </c>
      <c r="C2423" s="16">
        <v>27310.0</v>
      </c>
      <c r="D2423" s="17" t="s">
        <v>10775</v>
      </c>
    </row>
    <row r="2424">
      <c r="A2424" s="14" t="s">
        <v>5932</v>
      </c>
      <c r="B2424" s="15" t="s">
        <v>10776</v>
      </c>
      <c r="C2424" s="16">
        <v>27311.0</v>
      </c>
      <c r="D2424" s="17" t="s">
        <v>10777</v>
      </c>
    </row>
    <row r="2425">
      <c r="A2425" s="14">
        <v>9.0</v>
      </c>
      <c r="B2425" s="15" t="s">
        <v>10778</v>
      </c>
      <c r="C2425" s="16">
        <v>27311.0</v>
      </c>
      <c r="D2425" s="17" t="s">
        <v>10779</v>
      </c>
    </row>
    <row r="2426">
      <c r="A2426" s="14">
        <v>9.0</v>
      </c>
      <c r="B2426" s="15" t="s">
        <v>10780</v>
      </c>
      <c r="C2426" s="16">
        <v>27311.0</v>
      </c>
      <c r="D2426" s="17" t="s">
        <v>10781</v>
      </c>
    </row>
    <row r="2427">
      <c r="A2427" s="14" t="s">
        <v>5932</v>
      </c>
      <c r="B2427" s="15" t="s">
        <v>10782</v>
      </c>
      <c r="C2427" s="16">
        <v>27312.0</v>
      </c>
      <c r="D2427" s="17" t="s">
        <v>10783</v>
      </c>
    </row>
    <row r="2428">
      <c r="A2428" s="14">
        <v>10.0</v>
      </c>
      <c r="B2428" s="15" t="s">
        <v>10784</v>
      </c>
      <c r="C2428" s="16">
        <v>27312.0</v>
      </c>
      <c r="D2428" s="17" t="s">
        <v>10785</v>
      </c>
    </row>
    <row r="2429">
      <c r="A2429" s="14">
        <v>10.0</v>
      </c>
      <c r="B2429" s="15" t="s">
        <v>10786</v>
      </c>
      <c r="C2429" s="16">
        <v>27312.0</v>
      </c>
      <c r="D2429" s="17" t="s">
        <v>10787</v>
      </c>
    </row>
    <row r="2430">
      <c r="A2430" s="14" t="s">
        <v>5932</v>
      </c>
      <c r="B2430" s="15" t="s">
        <v>10788</v>
      </c>
      <c r="C2430" s="16">
        <v>27313.0</v>
      </c>
      <c r="D2430" s="17" t="s">
        <v>10789</v>
      </c>
    </row>
    <row r="2431">
      <c r="A2431" s="14">
        <v>11.0</v>
      </c>
      <c r="B2431" s="15" t="s">
        <v>10790</v>
      </c>
      <c r="C2431" s="16">
        <v>27313.0</v>
      </c>
      <c r="D2431" s="17" t="s">
        <v>10791</v>
      </c>
    </row>
    <row r="2432">
      <c r="A2432" s="14">
        <v>11.0</v>
      </c>
      <c r="B2432" s="15" t="s">
        <v>10792</v>
      </c>
      <c r="C2432" s="16">
        <v>27313.0</v>
      </c>
      <c r="D2432" s="17" t="s">
        <v>10793</v>
      </c>
    </row>
    <row r="2433">
      <c r="A2433" s="14" t="s">
        <v>5932</v>
      </c>
      <c r="B2433" s="15" t="s">
        <v>10794</v>
      </c>
      <c r="C2433" s="16">
        <v>27314.0</v>
      </c>
      <c r="D2433" s="17" t="s">
        <v>10795</v>
      </c>
    </row>
    <row r="2434">
      <c r="A2434" s="14">
        <v>12.0</v>
      </c>
      <c r="B2434" s="15" t="s">
        <v>10796</v>
      </c>
      <c r="C2434" s="16">
        <v>27314.0</v>
      </c>
      <c r="D2434" s="17" t="s">
        <v>10797</v>
      </c>
    </row>
    <row r="2435">
      <c r="A2435" s="14">
        <v>12.0</v>
      </c>
      <c r="B2435" s="15" t="s">
        <v>10798</v>
      </c>
      <c r="C2435" s="16">
        <v>27314.0</v>
      </c>
      <c r="D2435" s="17" t="s">
        <v>10799</v>
      </c>
    </row>
    <row r="2436">
      <c r="A2436" s="14" t="s">
        <v>5932</v>
      </c>
      <c r="B2436" s="15" t="s">
        <v>10800</v>
      </c>
      <c r="C2436" s="16">
        <v>27315.0</v>
      </c>
      <c r="D2436" s="17" t="s">
        <v>10801</v>
      </c>
    </row>
    <row r="2437">
      <c r="A2437" s="14">
        <v>13.0</v>
      </c>
      <c r="B2437" s="15" t="s">
        <v>10802</v>
      </c>
      <c r="C2437" s="16">
        <v>27315.0</v>
      </c>
      <c r="D2437" s="17" t="s">
        <v>10803</v>
      </c>
    </row>
    <row r="2438">
      <c r="A2438" s="14">
        <v>13.0</v>
      </c>
      <c r="B2438" s="15" t="s">
        <v>10804</v>
      </c>
      <c r="C2438" s="16">
        <v>27315.0</v>
      </c>
      <c r="D2438" s="17" t="s">
        <v>10805</v>
      </c>
    </row>
    <row r="2439">
      <c r="A2439" s="14" t="s">
        <v>5932</v>
      </c>
      <c r="B2439" s="15" t="s">
        <v>10806</v>
      </c>
      <c r="C2439" s="16">
        <v>27316.0</v>
      </c>
      <c r="D2439" s="17" t="s">
        <v>10807</v>
      </c>
    </row>
    <row r="2440">
      <c r="A2440" s="14">
        <v>14.0</v>
      </c>
      <c r="B2440" s="15" t="s">
        <v>10808</v>
      </c>
      <c r="C2440" s="16">
        <v>27316.0</v>
      </c>
      <c r="D2440" s="17" t="s">
        <v>10809</v>
      </c>
    </row>
    <row r="2441">
      <c r="A2441" s="14">
        <v>14.0</v>
      </c>
      <c r="B2441" s="15" t="s">
        <v>10810</v>
      </c>
      <c r="C2441" s="16">
        <v>27316.0</v>
      </c>
      <c r="D2441" s="17" t="s">
        <v>10811</v>
      </c>
    </row>
    <row r="2442">
      <c r="A2442" s="14" t="s">
        <v>5932</v>
      </c>
      <c r="B2442" s="15" t="s">
        <v>10812</v>
      </c>
      <c r="C2442" s="16">
        <v>27317.0</v>
      </c>
      <c r="D2442" s="17" t="s">
        <v>10813</v>
      </c>
    </row>
    <row r="2443">
      <c r="A2443" s="14">
        <v>15.0</v>
      </c>
      <c r="B2443" s="15" t="s">
        <v>10814</v>
      </c>
      <c r="C2443" s="16">
        <v>27317.0</v>
      </c>
      <c r="D2443" s="17" t="s">
        <v>10815</v>
      </c>
    </row>
    <row r="2444">
      <c r="A2444" s="14">
        <v>15.0</v>
      </c>
      <c r="B2444" s="15" t="s">
        <v>10816</v>
      </c>
      <c r="C2444" s="16">
        <v>27317.0</v>
      </c>
      <c r="D2444" s="17" t="s">
        <v>10817</v>
      </c>
    </row>
    <row r="2445">
      <c r="A2445" s="14">
        <v>15.0</v>
      </c>
      <c r="B2445" s="15" t="s">
        <v>10818</v>
      </c>
      <c r="C2445" s="16">
        <v>27317.0</v>
      </c>
      <c r="D2445" s="17" t="s">
        <v>10819</v>
      </c>
    </row>
    <row r="2446">
      <c r="A2446" s="14" t="s">
        <v>5932</v>
      </c>
      <c r="B2446" s="15" t="s">
        <v>10820</v>
      </c>
      <c r="C2446" s="16">
        <v>27318.0</v>
      </c>
      <c r="D2446" s="17" t="s">
        <v>10821</v>
      </c>
    </row>
    <row r="2447">
      <c r="A2447" s="14">
        <v>16.0</v>
      </c>
      <c r="B2447" s="15" t="s">
        <v>10822</v>
      </c>
      <c r="C2447" s="16">
        <v>27318.0</v>
      </c>
      <c r="D2447" s="17" t="s">
        <v>10823</v>
      </c>
    </row>
    <row r="2448">
      <c r="A2448" s="14">
        <v>16.0</v>
      </c>
      <c r="B2448" s="15" t="s">
        <v>10824</v>
      </c>
      <c r="C2448" s="16">
        <v>27318.0</v>
      </c>
      <c r="D2448" s="17" t="s">
        <v>10825</v>
      </c>
    </row>
    <row r="2449">
      <c r="A2449" s="14">
        <v>16.0</v>
      </c>
      <c r="B2449" s="15" t="s">
        <v>10826</v>
      </c>
      <c r="C2449" s="16">
        <v>27318.0</v>
      </c>
      <c r="D2449" s="17" t="s">
        <v>10827</v>
      </c>
    </row>
    <row r="2450">
      <c r="A2450" s="14" t="s">
        <v>5932</v>
      </c>
      <c r="B2450" s="15" t="s">
        <v>10828</v>
      </c>
      <c r="C2450" s="16">
        <v>27321.0</v>
      </c>
      <c r="D2450" s="17" t="s">
        <v>10829</v>
      </c>
    </row>
    <row r="2451">
      <c r="A2451" s="14">
        <v>19.0</v>
      </c>
      <c r="B2451" s="15" t="s">
        <v>10830</v>
      </c>
      <c r="C2451" s="16">
        <v>27321.0</v>
      </c>
      <c r="D2451" s="17" t="s">
        <v>10831</v>
      </c>
    </row>
    <row r="2452">
      <c r="A2452" s="14">
        <v>19.0</v>
      </c>
      <c r="B2452" s="15" t="s">
        <v>10832</v>
      </c>
      <c r="C2452" s="16">
        <v>27321.0</v>
      </c>
      <c r="D2452" s="17" t="s">
        <v>10833</v>
      </c>
    </row>
    <row r="2453">
      <c r="A2453" s="14" t="s">
        <v>5932</v>
      </c>
      <c r="B2453" s="15" t="s">
        <v>10834</v>
      </c>
      <c r="C2453" s="16">
        <v>27322.0</v>
      </c>
      <c r="D2453" s="17" t="s">
        <v>10835</v>
      </c>
    </row>
    <row r="2454">
      <c r="A2454" s="14">
        <v>20.0</v>
      </c>
      <c r="B2454" s="15" t="s">
        <v>10836</v>
      </c>
      <c r="C2454" s="16">
        <v>27322.0</v>
      </c>
      <c r="D2454" s="17" t="s">
        <v>10837</v>
      </c>
    </row>
    <row r="2455">
      <c r="A2455" s="14">
        <v>20.0</v>
      </c>
      <c r="B2455" s="15" t="s">
        <v>10838</v>
      </c>
      <c r="C2455" s="16">
        <v>27322.0</v>
      </c>
      <c r="D2455" s="17" t="s">
        <v>10839</v>
      </c>
    </row>
    <row r="2456">
      <c r="A2456" s="14" t="s">
        <v>5932</v>
      </c>
      <c r="B2456" s="15" t="s">
        <v>10840</v>
      </c>
      <c r="C2456" s="16">
        <v>27323.0</v>
      </c>
      <c r="D2456" s="17" t="s">
        <v>10841</v>
      </c>
    </row>
    <row r="2457">
      <c r="A2457" s="14">
        <v>21.0</v>
      </c>
      <c r="B2457" s="15" t="s">
        <v>10842</v>
      </c>
      <c r="C2457" s="16">
        <v>27323.0</v>
      </c>
      <c r="D2457" s="17" t="s">
        <v>10843</v>
      </c>
    </row>
    <row r="2458">
      <c r="A2458" s="14">
        <v>21.0</v>
      </c>
      <c r="B2458" s="15" t="s">
        <v>10844</v>
      </c>
      <c r="C2458" s="16">
        <v>27323.0</v>
      </c>
      <c r="D2458" s="17" t="s">
        <v>10845</v>
      </c>
    </row>
    <row r="2459">
      <c r="A2459" s="14" t="s">
        <v>5932</v>
      </c>
      <c r="B2459" s="15" t="s">
        <v>10846</v>
      </c>
      <c r="C2459" s="16">
        <v>27324.0</v>
      </c>
      <c r="D2459" s="17" t="s">
        <v>10847</v>
      </c>
    </row>
    <row r="2460">
      <c r="A2460" s="14">
        <v>22.0</v>
      </c>
      <c r="B2460" s="15" t="s">
        <v>10848</v>
      </c>
      <c r="C2460" s="16">
        <v>27324.0</v>
      </c>
      <c r="D2460" s="17" t="s">
        <v>10849</v>
      </c>
    </row>
    <row r="2461">
      <c r="A2461" s="14">
        <v>22.0</v>
      </c>
      <c r="B2461" s="15" t="s">
        <v>10850</v>
      </c>
      <c r="C2461" s="16">
        <v>27324.0</v>
      </c>
      <c r="D2461" s="17" t="s">
        <v>10851</v>
      </c>
    </row>
    <row r="2462">
      <c r="A2462" s="14" t="s">
        <v>5932</v>
      </c>
      <c r="B2462" s="15" t="s">
        <v>10852</v>
      </c>
      <c r="C2462" s="16">
        <v>27325.0</v>
      </c>
      <c r="D2462" s="17" t="s">
        <v>10853</v>
      </c>
    </row>
    <row r="2463">
      <c r="A2463" s="14">
        <v>23.0</v>
      </c>
      <c r="B2463" s="15" t="s">
        <v>10854</v>
      </c>
      <c r="C2463" s="16">
        <v>27325.0</v>
      </c>
      <c r="D2463" s="17" t="s">
        <v>10855</v>
      </c>
    </row>
    <row r="2464">
      <c r="A2464" s="14">
        <v>23.0</v>
      </c>
      <c r="B2464" s="15" t="s">
        <v>10856</v>
      </c>
      <c r="C2464" s="16">
        <v>27325.0</v>
      </c>
      <c r="D2464" s="17" t="s">
        <v>10857</v>
      </c>
    </row>
    <row r="2465">
      <c r="A2465" s="14" t="s">
        <v>5932</v>
      </c>
      <c r="B2465" s="15" t="s">
        <v>10858</v>
      </c>
      <c r="C2465" s="16">
        <v>27326.0</v>
      </c>
      <c r="D2465" s="17" t="s">
        <v>10859</v>
      </c>
    </row>
    <row r="2466">
      <c r="A2466" s="14">
        <v>24.0</v>
      </c>
      <c r="B2466" s="15" t="s">
        <v>10860</v>
      </c>
      <c r="C2466" s="16">
        <v>27326.0</v>
      </c>
      <c r="D2466" s="17" t="s">
        <v>10861</v>
      </c>
    </row>
    <row r="2467">
      <c r="A2467" s="14">
        <v>24.0</v>
      </c>
      <c r="B2467" s="15" t="s">
        <v>10862</v>
      </c>
      <c r="C2467" s="16">
        <v>27326.0</v>
      </c>
      <c r="D2467" s="17" t="s">
        <v>10863</v>
      </c>
    </row>
    <row r="2468">
      <c r="A2468" s="14" t="s">
        <v>5932</v>
      </c>
      <c r="B2468" s="15" t="s">
        <v>10864</v>
      </c>
      <c r="C2468" s="16">
        <v>27327.0</v>
      </c>
      <c r="D2468" s="17" t="s">
        <v>10865</v>
      </c>
    </row>
    <row r="2469">
      <c r="A2469" s="14">
        <v>25.0</v>
      </c>
      <c r="B2469" s="15" t="s">
        <v>10866</v>
      </c>
      <c r="C2469" s="16">
        <v>27327.0</v>
      </c>
      <c r="D2469" s="17" t="s">
        <v>10867</v>
      </c>
    </row>
    <row r="2470">
      <c r="A2470" s="14">
        <v>25.0</v>
      </c>
      <c r="B2470" s="15" t="s">
        <v>10868</v>
      </c>
      <c r="C2470" s="16">
        <v>27327.0</v>
      </c>
      <c r="D2470" s="17" t="s">
        <v>10869</v>
      </c>
    </row>
    <row r="2471">
      <c r="A2471" s="14" t="s">
        <v>5932</v>
      </c>
      <c r="B2471" s="15" t="s">
        <v>10870</v>
      </c>
      <c r="C2471" s="16">
        <v>27328.0</v>
      </c>
      <c r="D2471" s="17" t="s">
        <v>10871</v>
      </c>
    </row>
    <row r="2472">
      <c r="A2472" s="14">
        <v>26.0</v>
      </c>
      <c r="B2472" s="15" t="s">
        <v>10872</v>
      </c>
      <c r="C2472" s="16">
        <v>27328.0</v>
      </c>
      <c r="D2472" s="17" t="s">
        <v>10873</v>
      </c>
    </row>
    <row r="2473">
      <c r="A2473" s="14">
        <v>26.0</v>
      </c>
      <c r="B2473" s="15" t="s">
        <v>10874</v>
      </c>
      <c r="C2473" s="16">
        <v>27328.0</v>
      </c>
      <c r="D2473" s="17" t="s">
        <v>10875</v>
      </c>
    </row>
    <row r="2474">
      <c r="A2474" s="14" t="s">
        <v>5932</v>
      </c>
      <c r="B2474" s="15" t="s">
        <v>10876</v>
      </c>
      <c r="C2474" s="16">
        <v>27329.0</v>
      </c>
      <c r="D2474" s="17" t="s">
        <v>10877</v>
      </c>
    </row>
    <row r="2475">
      <c r="A2475" s="14">
        <v>27.0</v>
      </c>
      <c r="B2475" s="15" t="s">
        <v>10878</v>
      </c>
      <c r="C2475" s="16">
        <v>27329.0</v>
      </c>
      <c r="D2475" s="17" t="s">
        <v>10879</v>
      </c>
    </row>
    <row r="2476">
      <c r="A2476" s="14">
        <v>27.0</v>
      </c>
      <c r="B2476" s="15" t="s">
        <v>10880</v>
      </c>
      <c r="C2476" s="16">
        <v>27329.0</v>
      </c>
      <c r="D2476" s="17" t="s">
        <v>10881</v>
      </c>
    </row>
    <row r="2477">
      <c r="A2477" s="14" t="s">
        <v>5932</v>
      </c>
      <c r="B2477" s="15" t="s">
        <v>10882</v>
      </c>
      <c r="C2477" s="16">
        <v>27330.0</v>
      </c>
      <c r="D2477" s="17" t="s">
        <v>10883</v>
      </c>
    </row>
    <row r="2478">
      <c r="A2478" s="14">
        <v>28.0</v>
      </c>
      <c r="B2478" s="15" t="s">
        <v>10884</v>
      </c>
      <c r="C2478" s="16">
        <v>27330.0</v>
      </c>
      <c r="D2478" s="17" t="s">
        <v>10885</v>
      </c>
    </row>
    <row r="2479">
      <c r="A2479" s="14">
        <v>28.0</v>
      </c>
      <c r="B2479" s="15" t="s">
        <v>10886</v>
      </c>
      <c r="C2479" s="16">
        <v>27330.0</v>
      </c>
      <c r="D2479" s="17" t="s">
        <v>10887</v>
      </c>
    </row>
    <row r="2480">
      <c r="A2480" s="14" t="s">
        <v>5932</v>
      </c>
      <c r="B2480" s="15" t="s">
        <v>10888</v>
      </c>
      <c r="C2480" s="16">
        <v>27331.0</v>
      </c>
      <c r="D2480" s="17" t="s">
        <v>10889</v>
      </c>
    </row>
    <row r="2481">
      <c r="A2481" s="14">
        <v>29.0</v>
      </c>
      <c r="B2481" s="15" t="s">
        <v>10890</v>
      </c>
      <c r="C2481" s="16">
        <v>27331.0</v>
      </c>
      <c r="D2481" s="17" t="s">
        <v>10891</v>
      </c>
    </row>
    <row r="2482">
      <c r="A2482" s="14">
        <v>29.0</v>
      </c>
      <c r="B2482" s="15" t="s">
        <v>10892</v>
      </c>
      <c r="C2482" s="16">
        <v>27331.0</v>
      </c>
      <c r="D2482" s="17" t="s">
        <v>10893</v>
      </c>
    </row>
    <row r="2483">
      <c r="A2483" s="14" t="s">
        <v>7968</v>
      </c>
      <c r="B2483" s="15" t="s">
        <v>10894</v>
      </c>
      <c r="C2483" s="16">
        <v>27334.0</v>
      </c>
      <c r="D2483" s="17" t="s">
        <v>10895</v>
      </c>
    </row>
    <row r="2484">
      <c r="A2484" s="14">
        <v>1.0</v>
      </c>
      <c r="B2484" s="15" t="s">
        <v>10896</v>
      </c>
      <c r="C2484" s="16">
        <v>27334.0</v>
      </c>
      <c r="D2484" s="17" t="s">
        <v>10897</v>
      </c>
    </row>
    <row r="2485">
      <c r="A2485" s="14">
        <v>1.0</v>
      </c>
      <c r="B2485" s="15" t="s">
        <v>10898</v>
      </c>
      <c r="C2485" s="16">
        <v>27334.0</v>
      </c>
      <c r="D2485" s="17" t="s">
        <v>10899</v>
      </c>
    </row>
    <row r="2486">
      <c r="A2486" s="14" t="s">
        <v>7968</v>
      </c>
      <c r="B2486" s="15" t="s">
        <v>10900</v>
      </c>
      <c r="C2486" s="16">
        <v>27335.0</v>
      </c>
      <c r="D2486" s="17" t="s">
        <v>10901</v>
      </c>
    </row>
    <row r="2487">
      <c r="A2487" s="14">
        <v>2.0</v>
      </c>
      <c r="B2487" s="15" t="s">
        <v>10902</v>
      </c>
      <c r="C2487" s="16">
        <v>27335.0</v>
      </c>
      <c r="D2487" s="17" t="s">
        <v>10903</v>
      </c>
    </row>
    <row r="2488">
      <c r="A2488" s="14">
        <v>2.0</v>
      </c>
      <c r="B2488" s="15" t="s">
        <v>10904</v>
      </c>
      <c r="C2488" s="16">
        <v>27335.0</v>
      </c>
      <c r="D2488" s="17" t="s">
        <v>10905</v>
      </c>
    </row>
    <row r="2489">
      <c r="A2489" s="14" t="s">
        <v>7968</v>
      </c>
      <c r="B2489" s="15" t="s">
        <v>10906</v>
      </c>
      <c r="C2489" s="16">
        <v>27336.0</v>
      </c>
      <c r="D2489" s="17" t="s">
        <v>10907</v>
      </c>
    </row>
    <row r="2490">
      <c r="A2490" s="14">
        <v>3.0</v>
      </c>
      <c r="B2490" s="15" t="s">
        <v>10908</v>
      </c>
      <c r="C2490" s="16">
        <v>27336.0</v>
      </c>
      <c r="D2490" s="17" t="s">
        <v>10909</v>
      </c>
    </row>
    <row r="2491">
      <c r="A2491" s="14">
        <v>3.0</v>
      </c>
      <c r="B2491" s="15" t="s">
        <v>10910</v>
      </c>
      <c r="C2491" s="16">
        <v>27336.0</v>
      </c>
      <c r="D2491" s="17" t="s">
        <v>10911</v>
      </c>
    </row>
    <row r="2492">
      <c r="A2492" s="14" t="s">
        <v>7968</v>
      </c>
      <c r="B2492" s="15" t="s">
        <v>10912</v>
      </c>
      <c r="C2492" s="16">
        <v>27337.0</v>
      </c>
      <c r="D2492" s="17" t="s">
        <v>10913</v>
      </c>
    </row>
    <row r="2493">
      <c r="A2493" s="14">
        <v>4.0</v>
      </c>
      <c r="B2493" s="15" t="s">
        <v>10914</v>
      </c>
      <c r="C2493" s="16">
        <v>27337.0</v>
      </c>
      <c r="D2493" s="17" t="s">
        <v>10915</v>
      </c>
    </row>
    <row r="2494">
      <c r="A2494" s="14">
        <v>4.0</v>
      </c>
      <c r="B2494" s="15" t="s">
        <v>10916</v>
      </c>
      <c r="C2494" s="16">
        <v>27337.0</v>
      </c>
      <c r="D2494" s="17" t="s">
        <v>10917</v>
      </c>
    </row>
    <row r="2495">
      <c r="A2495" s="14" t="s">
        <v>7968</v>
      </c>
      <c r="B2495" s="15" t="s">
        <v>10918</v>
      </c>
      <c r="C2495" s="16">
        <v>27338.0</v>
      </c>
      <c r="D2495" s="17" t="s">
        <v>10919</v>
      </c>
    </row>
    <row r="2496">
      <c r="A2496" s="14">
        <v>5.0</v>
      </c>
      <c r="B2496" s="15" t="s">
        <v>10920</v>
      </c>
      <c r="C2496" s="16">
        <v>27338.0</v>
      </c>
      <c r="D2496" s="17" t="s">
        <v>10921</v>
      </c>
    </row>
    <row r="2497">
      <c r="A2497" s="14">
        <v>5.0</v>
      </c>
      <c r="B2497" s="15" t="s">
        <v>10922</v>
      </c>
      <c r="C2497" s="16">
        <v>27338.0</v>
      </c>
      <c r="D2497" s="17" t="s">
        <v>10923</v>
      </c>
    </row>
    <row r="2498">
      <c r="A2498" s="14" t="s">
        <v>7968</v>
      </c>
      <c r="B2498" s="15" t="s">
        <v>10924</v>
      </c>
      <c r="C2498" s="16">
        <v>27340.0</v>
      </c>
      <c r="D2498" s="17" t="s">
        <v>10925</v>
      </c>
    </row>
    <row r="2499">
      <c r="A2499" s="14">
        <v>7.0</v>
      </c>
      <c r="B2499" s="15" t="s">
        <v>10926</v>
      </c>
      <c r="C2499" s="16">
        <v>27340.0</v>
      </c>
      <c r="D2499" s="17" t="s">
        <v>10927</v>
      </c>
    </row>
    <row r="2500">
      <c r="A2500" s="14">
        <v>7.0</v>
      </c>
      <c r="B2500" s="15" t="s">
        <v>10928</v>
      </c>
      <c r="C2500" s="16">
        <v>27340.0</v>
      </c>
      <c r="D2500" s="17" t="s">
        <v>10929</v>
      </c>
    </row>
    <row r="2501">
      <c r="A2501" s="14" t="s">
        <v>7968</v>
      </c>
      <c r="B2501" s="15" t="s">
        <v>10930</v>
      </c>
      <c r="C2501" s="16">
        <v>27341.0</v>
      </c>
      <c r="D2501" s="17" t="s">
        <v>10931</v>
      </c>
    </row>
    <row r="2502">
      <c r="A2502" s="14">
        <v>8.0</v>
      </c>
      <c r="B2502" s="15" t="s">
        <v>10932</v>
      </c>
      <c r="C2502" s="16">
        <v>27341.0</v>
      </c>
      <c r="D2502" s="17" t="s">
        <v>10933</v>
      </c>
    </row>
    <row r="2503">
      <c r="A2503" s="14">
        <v>8.0</v>
      </c>
      <c r="B2503" s="15" t="s">
        <v>10934</v>
      </c>
      <c r="C2503" s="16">
        <v>27341.0</v>
      </c>
      <c r="D2503" s="17" t="s">
        <v>10935</v>
      </c>
    </row>
    <row r="2504">
      <c r="A2504" s="14" t="s">
        <v>7968</v>
      </c>
      <c r="B2504" s="15" t="s">
        <v>10936</v>
      </c>
      <c r="C2504" s="16">
        <v>27342.0</v>
      </c>
      <c r="D2504" s="17" t="s">
        <v>10937</v>
      </c>
    </row>
    <row r="2505">
      <c r="A2505" s="14">
        <v>9.0</v>
      </c>
      <c r="B2505" s="15" t="s">
        <v>10938</v>
      </c>
      <c r="C2505" s="16">
        <v>27342.0</v>
      </c>
      <c r="D2505" s="17" t="s">
        <v>10939</v>
      </c>
    </row>
    <row r="2506">
      <c r="A2506" s="14">
        <v>9.0</v>
      </c>
      <c r="B2506" s="15" t="s">
        <v>10940</v>
      </c>
      <c r="C2506" s="16">
        <v>27342.0</v>
      </c>
      <c r="D2506" s="17" t="s">
        <v>10941</v>
      </c>
    </row>
    <row r="2507">
      <c r="A2507" s="14" t="s">
        <v>7968</v>
      </c>
      <c r="B2507" s="15" t="s">
        <v>10942</v>
      </c>
      <c r="C2507" s="16">
        <v>27343.0</v>
      </c>
      <c r="D2507" s="17" t="s">
        <v>10943</v>
      </c>
    </row>
    <row r="2508">
      <c r="A2508" s="14">
        <v>10.0</v>
      </c>
      <c r="B2508" s="15" t="s">
        <v>10944</v>
      </c>
      <c r="C2508" s="16">
        <v>27343.0</v>
      </c>
      <c r="D2508" s="17" t="s">
        <v>10945</v>
      </c>
    </row>
    <row r="2509">
      <c r="A2509" s="14">
        <v>10.0</v>
      </c>
      <c r="B2509" s="15" t="s">
        <v>10946</v>
      </c>
      <c r="C2509" s="16">
        <v>27343.0</v>
      </c>
      <c r="D2509" s="17" t="s">
        <v>10947</v>
      </c>
    </row>
    <row r="2510">
      <c r="A2510" s="14" t="s">
        <v>7968</v>
      </c>
      <c r="B2510" s="15" t="s">
        <v>10948</v>
      </c>
      <c r="C2510" s="16">
        <v>27344.0</v>
      </c>
      <c r="D2510" s="17" t="s">
        <v>10949</v>
      </c>
    </row>
    <row r="2511">
      <c r="A2511" s="14">
        <v>11.0</v>
      </c>
      <c r="B2511" s="15" t="s">
        <v>10950</v>
      </c>
      <c r="C2511" s="16">
        <v>27344.0</v>
      </c>
      <c r="D2511" s="17" t="s">
        <v>10951</v>
      </c>
    </row>
    <row r="2512">
      <c r="A2512" s="14">
        <v>11.0</v>
      </c>
      <c r="B2512" s="15" t="s">
        <v>10952</v>
      </c>
      <c r="C2512" s="16">
        <v>27344.0</v>
      </c>
      <c r="D2512" s="17" t="s">
        <v>10953</v>
      </c>
    </row>
    <row r="2513">
      <c r="A2513" s="14" t="s">
        <v>7968</v>
      </c>
      <c r="B2513" s="15" t="s">
        <v>10954</v>
      </c>
      <c r="C2513" s="16">
        <v>27345.0</v>
      </c>
      <c r="D2513" s="17" t="s">
        <v>10955</v>
      </c>
    </row>
    <row r="2514">
      <c r="A2514" s="14">
        <v>12.0</v>
      </c>
      <c r="B2514" s="15" t="s">
        <v>10956</v>
      </c>
      <c r="C2514" s="16">
        <v>27345.0</v>
      </c>
      <c r="D2514" s="17" t="s">
        <v>10957</v>
      </c>
    </row>
    <row r="2515">
      <c r="A2515" s="14">
        <v>12.0</v>
      </c>
      <c r="B2515" s="15" t="s">
        <v>10958</v>
      </c>
      <c r="C2515" s="16">
        <v>27345.0</v>
      </c>
      <c r="D2515" s="17" t="s">
        <v>10959</v>
      </c>
    </row>
    <row r="2516">
      <c r="A2516" s="14" t="s">
        <v>7968</v>
      </c>
      <c r="B2516" s="15" t="s">
        <v>10960</v>
      </c>
      <c r="C2516" s="16">
        <v>27346.0</v>
      </c>
      <c r="D2516" s="17" t="s">
        <v>10961</v>
      </c>
    </row>
    <row r="2517">
      <c r="A2517" s="14">
        <v>13.0</v>
      </c>
      <c r="B2517" s="15" t="s">
        <v>10962</v>
      </c>
      <c r="C2517" s="16">
        <v>27346.0</v>
      </c>
      <c r="D2517" s="17" t="s">
        <v>10963</v>
      </c>
    </row>
    <row r="2518">
      <c r="A2518" s="14">
        <v>13.0</v>
      </c>
      <c r="B2518" s="15" t="s">
        <v>10964</v>
      </c>
      <c r="C2518" s="16">
        <v>27346.0</v>
      </c>
      <c r="D2518" s="17" t="s">
        <v>10965</v>
      </c>
    </row>
    <row r="2519">
      <c r="A2519" s="14" t="s">
        <v>7968</v>
      </c>
      <c r="B2519" s="15" t="s">
        <v>10966</v>
      </c>
      <c r="C2519" s="16">
        <v>27347.0</v>
      </c>
      <c r="D2519" s="17" t="s">
        <v>10967</v>
      </c>
    </row>
    <row r="2520">
      <c r="A2520" s="14">
        <v>14.0</v>
      </c>
      <c r="B2520" s="15" t="s">
        <v>10968</v>
      </c>
      <c r="C2520" s="16">
        <v>27347.0</v>
      </c>
      <c r="D2520" s="17" t="s">
        <v>10969</v>
      </c>
    </row>
    <row r="2521">
      <c r="A2521" s="14">
        <v>14.0</v>
      </c>
      <c r="B2521" s="15" t="s">
        <v>10970</v>
      </c>
      <c r="C2521" s="16">
        <v>27347.0</v>
      </c>
      <c r="D2521" s="17" t="s">
        <v>10971</v>
      </c>
    </row>
    <row r="2522">
      <c r="A2522" s="14" t="s">
        <v>7968</v>
      </c>
      <c r="B2522" s="15" t="s">
        <v>10972</v>
      </c>
      <c r="C2522" s="16">
        <v>27348.0</v>
      </c>
      <c r="D2522" s="17" t="s">
        <v>10973</v>
      </c>
    </row>
    <row r="2523">
      <c r="A2523" s="14">
        <v>15.0</v>
      </c>
      <c r="B2523" s="15" t="s">
        <v>10974</v>
      </c>
      <c r="C2523" s="16">
        <v>27348.0</v>
      </c>
      <c r="D2523" s="17" t="s">
        <v>10975</v>
      </c>
    </row>
    <row r="2524">
      <c r="A2524" s="14">
        <v>15.0</v>
      </c>
      <c r="B2524" s="15" t="s">
        <v>10976</v>
      </c>
      <c r="C2524" s="16">
        <v>27348.0</v>
      </c>
      <c r="D2524" s="17" t="s">
        <v>10977</v>
      </c>
    </row>
    <row r="2525">
      <c r="A2525" s="14" t="s">
        <v>7968</v>
      </c>
      <c r="B2525" s="15" t="s">
        <v>10978</v>
      </c>
      <c r="C2525" s="16">
        <v>27349.0</v>
      </c>
      <c r="D2525" s="17" t="s">
        <v>10979</v>
      </c>
    </row>
    <row r="2526">
      <c r="A2526" s="14">
        <v>16.0</v>
      </c>
      <c r="B2526" s="15" t="s">
        <v>10980</v>
      </c>
      <c r="C2526" s="16">
        <v>27349.0</v>
      </c>
      <c r="D2526" s="17" t="s">
        <v>10981</v>
      </c>
    </row>
    <row r="2527">
      <c r="A2527" s="14">
        <v>16.0</v>
      </c>
      <c r="B2527" s="15" t="s">
        <v>10982</v>
      </c>
      <c r="C2527" s="16">
        <v>27349.0</v>
      </c>
      <c r="D2527" s="17" t="s">
        <v>10983</v>
      </c>
    </row>
    <row r="2528">
      <c r="A2528" s="14" t="s">
        <v>7968</v>
      </c>
      <c r="B2528" s="15" t="s">
        <v>10984</v>
      </c>
      <c r="C2528" s="16">
        <v>27350.0</v>
      </c>
      <c r="D2528" s="17" t="s">
        <v>10985</v>
      </c>
    </row>
    <row r="2529">
      <c r="A2529" s="14">
        <v>17.0</v>
      </c>
      <c r="B2529" s="15" t="s">
        <v>10986</v>
      </c>
      <c r="C2529" s="16">
        <v>27350.0</v>
      </c>
      <c r="D2529" s="17" t="s">
        <v>10987</v>
      </c>
    </row>
    <row r="2530">
      <c r="A2530" s="14">
        <v>17.0</v>
      </c>
      <c r="B2530" s="15" t="s">
        <v>10988</v>
      </c>
      <c r="C2530" s="16">
        <v>27350.0</v>
      </c>
      <c r="D2530" s="17" t="s">
        <v>10989</v>
      </c>
    </row>
    <row r="2531">
      <c r="A2531" s="14" t="s">
        <v>7968</v>
      </c>
      <c r="B2531" s="15" t="s">
        <v>10990</v>
      </c>
      <c r="C2531" s="16">
        <v>27351.0</v>
      </c>
      <c r="D2531" s="17" t="s">
        <v>10991</v>
      </c>
    </row>
    <row r="2532">
      <c r="A2532" s="14">
        <v>18.0</v>
      </c>
      <c r="B2532" s="15" t="s">
        <v>10992</v>
      </c>
      <c r="C2532" s="16">
        <v>27351.0</v>
      </c>
      <c r="D2532" s="17" t="s">
        <v>10993</v>
      </c>
    </row>
    <row r="2533">
      <c r="A2533" s="14">
        <v>18.0</v>
      </c>
      <c r="B2533" s="15" t="s">
        <v>10994</v>
      </c>
      <c r="C2533" s="16">
        <v>27351.0</v>
      </c>
      <c r="D2533" s="17" t="s">
        <v>10995</v>
      </c>
    </row>
    <row r="2534">
      <c r="A2534" s="14" t="s">
        <v>7968</v>
      </c>
      <c r="B2534" s="15" t="s">
        <v>10996</v>
      </c>
      <c r="C2534" s="16">
        <v>27352.0</v>
      </c>
      <c r="D2534" s="17" t="s">
        <v>10997</v>
      </c>
    </row>
    <row r="2535">
      <c r="A2535" s="14">
        <v>19.0</v>
      </c>
      <c r="B2535" s="15" t="s">
        <v>10998</v>
      </c>
      <c r="C2535" s="16">
        <v>27352.0</v>
      </c>
      <c r="D2535" s="17" t="s">
        <v>10999</v>
      </c>
    </row>
    <row r="2536">
      <c r="A2536" s="14">
        <v>19.0</v>
      </c>
      <c r="B2536" s="15" t="s">
        <v>11000</v>
      </c>
      <c r="C2536" s="16">
        <v>27352.0</v>
      </c>
      <c r="D2536" s="17" t="s">
        <v>11001</v>
      </c>
    </row>
    <row r="2537">
      <c r="A2537" s="14" t="s">
        <v>7968</v>
      </c>
      <c r="B2537" s="15" t="s">
        <v>11002</v>
      </c>
      <c r="C2537" s="16">
        <v>27353.0</v>
      </c>
      <c r="D2537" s="17" t="s">
        <v>11003</v>
      </c>
    </row>
    <row r="2538">
      <c r="A2538" s="14">
        <v>20.0</v>
      </c>
      <c r="B2538" s="15" t="s">
        <v>11004</v>
      </c>
      <c r="C2538" s="16">
        <v>27353.0</v>
      </c>
      <c r="D2538" s="17" t="s">
        <v>11005</v>
      </c>
    </row>
    <row r="2539">
      <c r="A2539" s="14">
        <v>20.0</v>
      </c>
      <c r="B2539" s="15" t="s">
        <v>11006</v>
      </c>
      <c r="C2539" s="16">
        <v>27353.0</v>
      </c>
      <c r="D2539" s="17" t="s">
        <v>11007</v>
      </c>
    </row>
    <row r="2540">
      <c r="A2540" s="14" t="s">
        <v>7968</v>
      </c>
      <c r="B2540" s="15" t="s">
        <v>11008</v>
      </c>
      <c r="C2540" s="16">
        <v>27354.0</v>
      </c>
      <c r="D2540" s="17" t="s">
        <v>11009</v>
      </c>
    </row>
    <row r="2541">
      <c r="A2541" s="14">
        <v>21.0</v>
      </c>
      <c r="B2541" s="15" t="s">
        <v>11010</v>
      </c>
      <c r="C2541" s="16">
        <v>27354.0</v>
      </c>
      <c r="D2541" s="17" t="s">
        <v>11011</v>
      </c>
    </row>
    <row r="2542">
      <c r="A2542" s="14">
        <v>21.0</v>
      </c>
      <c r="B2542" s="15" t="s">
        <v>11012</v>
      </c>
      <c r="C2542" s="16">
        <v>27354.0</v>
      </c>
      <c r="D2542" s="17" t="s">
        <v>11013</v>
      </c>
    </row>
    <row r="2543">
      <c r="A2543" s="14" t="s">
        <v>7968</v>
      </c>
      <c r="B2543" s="15" t="s">
        <v>11014</v>
      </c>
      <c r="C2543" s="16">
        <v>27355.0</v>
      </c>
      <c r="D2543" s="17" t="s">
        <v>11015</v>
      </c>
    </row>
    <row r="2544">
      <c r="A2544" s="14" t="s">
        <v>7968</v>
      </c>
      <c r="B2544" s="15" t="s">
        <v>11016</v>
      </c>
      <c r="C2544" s="16">
        <v>27355.0</v>
      </c>
      <c r="D2544" s="17" t="s">
        <v>11017</v>
      </c>
    </row>
    <row r="2545">
      <c r="A2545" s="14">
        <v>22.0</v>
      </c>
      <c r="B2545" s="15" t="s">
        <v>11018</v>
      </c>
      <c r="C2545" s="16">
        <v>27355.0</v>
      </c>
      <c r="D2545" s="17" t="s">
        <v>11019</v>
      </c>
    </row>
    <row r="2546">
      <c r="A2546" s="14">
        <v>22.0</v>
      </c>
      <c r="B2546" s="15" t="s">
        <v>11020</v>
      </c>
      <c r="C2546" s="16">
        <v>27355.0</v>
      </c>
      <c r="D2546" s="17" t="s">
        <v>11021</v>
      </c>
    </row>
    <row r="2547">
      <c r="A2547" s="14" t="s">
        <v>7968</v>
      </c>
      <c r="B2547" s="15" t="s">
        <v>11022</v>
      </c>
      <c r="C2547" s="16">
        <v>27356.0</v>
      </c>
      <c r="D2547" s="17" t="s">
        <v>11023</v>
      </c>
    </row>
    <row r="2548">
      <c r="A2548" s="14">
        <v>23.0</v>
      </c>
      <c r="B2548" s="15" t="s">
        <v>11024</v>
      </c>
      <c r="C2548" s="16">
        <v>27356.0</v>
      </c>
      <c r="D2548" s="17" t="s">
        <v>11025</v>
      </c>
    </row>
    <row r="2549">
      <c r="A2549" s="14">
        <v>23.0</v>
      </c>
      <c r="B2549" s="15" t="s">
        <v>11026</v>
      </c>
      <c r="C2549" s="16">
        <v>27356.0</v>
      </c>
      <c r="D2549" s="17" t="s">
        <v>11027</v>
      </c>
    </row>
    <row r="2550">
      <c r="A2550" s="14" t="s">
        <v>7968</v>
      </c>
      <c r="B2550" s="15" t="s">
        <v>11028</v>
      </c>
      <c r="C2550" s="16">
        <v>27357.0</v>
      </c>
      <c r="D2550" s="17" t="s">
        <v>11029</v>
      </c>
    </row>
    <row r="2551">
      <c r="A2551" s="14">
        <v>24.0</v>
      </c>
      <c r="B2551" s="15" t="s">
        <v>11030</v>
      </c>
      <c r="C2551" s="16">
        <v>27357.0</v>
      </c>
      <c r="D2551" s="17" t="s">
        <v>11031</v>
      </c>
    </row>
    <row r="2552">
      <c r="A2552" s="14">
        <v>24.0</v>
      </c>
      <c r="B2552" s="15" t="s">
        <v>11032</v>
      </c>
      <c r="C2552" s="16">
        <v>27357.0</v>
      </c>
      <c r="D2552" s="17" t="s">
        <v>11033</v>
      </c>
    </row>
    <row r="2553">
      <c r="A2553" s="14" t="s">
        <v>7968</v>
      </c>
      <c r="B2553" s="15" t="s">
        <v>11034</v>
      </c>
      <c r="C2553" s="16">
        <v>27358.0</v>
      </c>
      <c r="D2553" s="17" t="s">
        <v>11035</v>
      </c>
    </row>
    <row r="2554">
      <c r="A2554" s="14">
        <v>25.0</v>
      </c>
      <c r="B2554" s="15" t="s">
        <v>11036</v>
      </c>
      <c r="C2554" s="16">
        <v>27358.0</v>
      </c>
      <c r="D2554" s="17" t="s">
        <v>11037</v>
      </c>
    </row>
    <row r="2555">
      <c r="A2555" s="14">
        <v>25.0</v>
      </c>
      <c r="B2555" s="15" t="s">
        <v>11038</v>
      </c>
      <c r="C2555" s="16">
        <v>27358.0</v>
      </c>
      <c r="D2555" s="17" t="s">
        <v>11039</v>
      </c>
    </row>
    <row r="2556">
      <c r="A2556" s="14" t="s">
        <v>7968</v>
      </c>
      <c r="B2556" s="15" t="s">
        <v>11040</v>
      </c>
      <c r="C2556" s="16">
        <v>27359.0</v>
      </c>
      <c r="D2556" s="17" t="s">
        <v>11041</v>
      </c>
    </row>
    <row r="2557">
      <c r="A2557" s="14">
        <v>26.0</v>
      </c>
      <c r="B2557" s="15" t="s">
        <v>11042</v>
      </c>
      <c r="C2557" s="16">
        <v>27359.0</v>
      </c>
      <c r="D2557" s="17" t="s">
        <v>11043</v>
      </c>
    </row>
    <row r="2558">
      <c r="A2558" s="14">
        <v>26.0</v>
      </c>
      <c r="B2558" s="15" t="s">
        <v>11044</v>
      </c>
      <c r="C2558" s="16">
        <v>27359.0</v>
      </c>
      <c r="D2558" s="17" t="s">
        <v>11045</v>
      </c>
    </row>
    <row r="2559">
      <c r="A2559" s="14" t="s">
        <v>7968</v>
      </c>
      <c r="B2559" s="15" t="s">
        <v>11046</v>
      </c>
      <c r="C2559" s="16">
        <v>27360.0</v>
      </c>
      <c r="D2559" s="17" t="s">
        <v>11047</v>
      </c>
    </row>
    <row r="2560">
      <c r="A2560" s="14">
        <v>27.0</v>
      </c>
      <c r="B2560" s="15" t="s">
        <v>11048</v>
      </c>
      <c r="C2560" s="16">
        <v>27360.0</v>
      </c>
      <c r="D2560" s="17" t="s">
        <v>11049</v>
      </c>
    </row>
    <row r="2561">
      <c r="A2561" s="14">
        <v>27.0</v>
      </c>
      <c r="B2561" s="15" t="s">
        <v>11050</v>
      </c>
      <c r="C2561" s="16">
        <v>27360.0</v>
      </c>
      <c r="D2561" s="17" t="s">
        <v>11051</v>
      </c>
    </row>
    <row r="2562">
      <c r="A2562" s="14" t="s">
        <v>7968</v>
      </c>
      <c r="B2562" s="15" t="s">
        <v>11052</v>
      </c>
      <c r="C2562" s="16">
        <v>27361.0</v>
      </c>
      <c r="D2562" s="17" t="s">
        <v>11053</v>
      </c>
    </row>
    <row r="2563">
      <c r="A2563" s="14">
        <v>28.0</v>
      </c>
      <c r="B2563" s="15" t="s">
        <v>11054</v>
      </c>
      <c r="C2563" s="16">
        <v>27361.0</v>
      </c>
      <c r="D2563" s="17" t="s">
        <v>11055</v>
      </c>
    </row>
    <row r="2564">
      <c r="A2564" s="14">
        <v>28.0</v>
      </c>
      <c r="B2564" s="15" t="s">
        <v>11056</v>
      </c>
      <c r="C2564" s="16">
        <v>27361.0</v>
      </c>
      <c r="D2564" s="17" t="s">
        <v>11057</v>
      </c>
    </row>
    <row r="2565">
      <c r="A2565" s="14" t="s">
        <v>7968</v>
      </c>
      <c r="B2565" s="15" t="s">
        <v>11058</v>
      </c>
      <c r="C2565" s="16">
        <v>27362.0</v>
      </c>
      <c r="D2565" s="17" t="s">
        <v>11059</v>
      </c>
    </row>
    <row r="2566">
      <c r="A2566" s="14">
        <v>29.0</v>
      </c>
      <c r="B2566" s="15" t="s">
        <v>11060</v>
      </c>
      <c r="C2566" s="16">
        <v>27362.0</v>
      </c>
      <c r="D2566" s="17" t="s">
        <v>11061</v>
      </c>
    </row>
    <row r="2567">
      <c r="A2567" s="14">
        <v>29.0</v>
      </c>
      <c r="B2567" s="15" t="s">
        <v>11062</v>
      </c>
      <c r="C2567" s="16">
        <v>27362.0</v>
      </c>
      <c r="D2567" s="17" t="s">
        <v>11063</v>
      </c>
    </row>
    <row r="2568">
      <c r="A2568" s="14" t="s">
        <v>7968</v>
      </c>
      <c r="B2568" s="15" t="s">
        <v>11064</v>
      </c>
      <c r="C2568" s="16">
        <v>27363.0</v>
      </c>
      <c r="D2568" s="17" t="s">
        <v>11065</v>
      </c>
    </row>
    <row r="2569">
      <c r="A2569" s="14">
        <v>30.0</v>
      </c>
      <c r="B2569" s="15" t="s">
        <v>11066</v>
      </c>
      <c r="C2569" s="16">
        <v>27363.0</v>
      </c>
      <c r="D2569" s="17" t="s">
        <v>11067</v>
      </c>
    </row>
    <row r="2570">
      <c r="A2570" s="14">
        <v>30.0</v>
      </c>
      <c r="B2570" s="15" t="s">
        <v>11068</v>
      </c>
      <c r="C2570" s="16">
        <v>27363.0</v>
      </c>
      <c r="D2570" s="17" t="s">
        <v>11069</v>
      </c>
    </row>
    <row r="2571">
      <c r="A2571" s="14" t="s">
        <v>7968</v>
      </c>
      <c r="B2571" s="15" t="s">
        <v>11070</v>
      </c>
      <c r="C2571" s="16">
        <v>27364.0</v>
      </c>
      <c r="D2571" s="17" t="s">
        <v>11071</v>
      </c>
    </row>
    <row r="2572">
      <c r="A2572" s="14">
        <v>1.0</v>
      </c>
      <c r="B2572" s="15" t="s">
        <v>11072</v>
      </c>
      <c r="C2572" s="16">
        <v>27364.0</v>
      </c>
      <c r="D2572" s="17" t="s">
        <v>11073</v>
      </c>
    </row>
    <row r="2573">
      <c r="A2573" s="14">
        <v>1.0</v>
      </c>
      <c r="B2573" s="15" t="s">
        <v>11074</v>
      </c>
      <c r="C2573" s="16">
        <v>27364.0</v>
      </c>
      <c r="D2573" s="17" t="s">
        <v>11075</v>
      </c>
    </row>
    <row r="2574">
      <c r="A2574" s="14" t="s">
        <v>7968</v>
      </c>
      <c r="B2574" s="15" t="s">
        <v>11076</v>
      </c>
      <c r="C2574" s="16">
        <v>27365.0</v>
      </c>
      <c r="D2574" s="17" t="s">
        <v>11077</v>
      </c>
    </row>
    <row r="2575">
      <c r="A2575" s="14">
        <v>2.0</v>
      </c>
      <c r="B2575" s="15" t="s">
        <v>11078</v>
      </c>
      <c r="C2575" s="16">
        <v>27365.0</v>
      </c>
      <c r="D2575" s="17" t="s">
        <v>11079</v>
      </c>
    </row>
    <row r="2576">
      <c r="A2576" s="14">
        <v>2.0</v>
      </c>
      <c r="B2576" s="15" t="s">
        <v>11080</v>
      </c>
      <c r="C2576" s="16">
        <v>27365.0</v>
      </c>
      <c r="D2576" s="17" t="s">
        <v>11081</v>
      </c>
    </row>
    <row r="2577">
      <c r="A2577" s="14" t="s">
        <v>7968</v>
      </c>
      <c r="B2577" s="15" t="s">
        <v>11082</v>
      </c>
      <c r="C2577" s="16">
        <v>27366.0</v>
      </c>
      <c r="D2577" s="17" t="s">
        <v>11083</v>
      </c>
    </row>
    <row r="2578">
      <c r="A2578" s="14">
        <v>3.0</v>
      </c>
      <c r="B2578" s="15" t="s">
        <v>11084</v>
      </c>
      <c r="C2578" s="16">
        <v>27366.0</v>
      </c>
      <c r="D2578" s="17" t="s">
        <v>11085</v>
      </c>
    </row>
    <row r="2579">
      <c r="A2579" s="14">
        <v>3.0</v>
      </c>
      <c r="B2579" s="15" t="s">
        <v>11086</v>
      </c>
      <c r="C2579" s="16">
        <v>27366.0</v>
      </c>
      <c r="D2579" s="17" t="s">
        <v>11087</v>
      </c>
    </row>
    <row r="2580">
      <c r="A2580" s="14" t="s">
        <v>7968</v>
      </c>
      <c r="B2580" s="15" t="s">
        <v>11088</v>
      </c>
      <c r="C2580" s="16">
        <v>27367.0</v>
      </c>
      <c r="D2580" s="17" t="s">
        <v>11089</v>
      </c>
    </row>
    <row r="2581">
      <c r="A2581" s="14">
        <v>4.0</v>
      </c>
      <c r="B2581" s="15" t="s">
        <v>11090</v>
      </c>
      <c r="C2581" s="16">
        <v>27367.0</v>
      </c>
      <c r="D2581" s="17" t="s">
        <v>11091</v>
      </c>
    </row>
    <row r="2582">
      <c r="A2582" s="14">
        <v>4.0</v>
      </c>
      <c r="B2582" s="15" t="s">
        <v>11092</v>
      </c>
      <c r="C2582" s="16">
        <v>27367.0</v>
      </c>
      <c r="D2582" s="17" t="s">
        <v>11093</v>
      </c>
    </row>
    <row r="2583">
      <c r="A2583" s="14" t="s">
        <v>7968</v>
      </c>
      <c r="B2583" s="15" t="s">
        <v>11094</v>
      </c>
      <c r="C2583" s="16">
        <v>27368.0</v>
      </c>
      <c r="D2583" s="17" t="s">
        <v>11095</v>
      </c>
    </row>
    <row r="2584">
      <c r="A2584" s="14">
        <v>5.0</v>
      </c>
      <c r="B2584" s="15" t="s">
        <v>11096</v>
      </c>
      <c r="C2584" s="16">
        <v>27368.0</v>
      </c>
      <c r="D2584" s="17" t="s">
        <v>11097</v>
      </c>
    </row>
    <row r="2585">
      <c r="A2585" s="14">
        <v>5.0</v>
      </c>
      <c r="B2585" s="15" t="s">
        <v>11098</v>
      </c>
      <c r="C2585" s="16">
        <v>27368.0</v>
      </c>
      <c r="D2585" s="17" t="s">
        <v>11099</v>
      </c>
    </row>
    <row r="2586">
      <c r="A2586" s="14" t="s">
        <v>7968</v>
      </c>
      <c r="B2586" s="15" t="s">
        <v>11100</v>
      </c>
      <c r="C2586" s="16">
        <v>27369.0</v>
      </c>
      <c r="D2586" s="17" t="s">
        <v>11101</v>
      </c>
    </row>
    <row r="2587">
      <c r="A2587" s="14">
        <v>6.0</v>
      </c>
      <c r="B2587" s="15" t="s">
        <v>11102</v>
      </c>
      <c r="C2587" s="16">
        <v>27369.0</v>
      </c>
      <c r="D2587" s="17" t="s">
        <v>11103</v>
      </c>
    </row>
    <row r="2588">
      <c r="A2588" s="14">
        <v>6.0</v>
      </c>
      <c r="B2588" s="15" t="s">
        <v>11104</v>
      </c>
      <c r="C2588" s="16">
        <v>27369.0</v>
      </c>
      <c r="D2588" s="17" t="s">
        <v>11105</v>
      </c>
    </row>
    <row r="2589">
      <c r="A2589" s="14" t="s">
        <v>7968</v>
      </c>
      <c r="B2589" s="15" t="s">
        <v>11106</v>
      </c>
      <c r="C2589" s="16">
        <v>27370.0</v>
      </c>
      <c r="D2589" s="17" t="s">
        <v>11107</v>
      </c>
    </row>
    <row r="2590">
      <c r="A2590" s="14">
        <v>7.0</v>
      </c>
      <c r="B2590" s="15" t="s">
        <v>11108</v>
      </c>
      <c r="C2590" s="16">
        <v>27370.0</v>
      </c>
      <c r="D2590" s="17" t="s">
        <v>11109</v>
      </c>
    </row>
    <row r="2591">
      <c r="A2591" s="14">
        <v>7.0</v>
      </c>
      <c r="B2591" s="15" t="s">
        <v>11110</v>
      </c>
      <c r="C2591" s="16">
        <v>27370.0</v>
      </c>
      <c r="D2591" s="17" t="s">
        <v>11111</v>
      </c>
    </row>
    <row r="2592">
      <c r="A2592" s="14" t="s">
        <v>7968</v>
      </c>
      <c r="B2592" s="15" t="s">
        <v>11112</v>
      </c>
      <c r="C2592" s="16">
        <v>27371.0</v>
      </c>
      <c r="D2592" s="17" t="s">
        <v>11113</v>
      </c>
    </row>
    <row r="2593">
      <c r="A2593" s="14">
        <v>8.0</v>
      </c>
      <c r="B2593" s="15" t="s">
        <v>11114</v>
      </c>
      <c r="C2593" s="16">
        <v>27371.0</v>
      </c>
      <c r="D2593" s="17" t="s">
        <v>11115</v>
      </c>
    </row>
    <row r="2594">
      <c r="A2594" s="14">
        <v>8.0</v>
      </c>
      <c r="B2594" s="15" t="s">
        <v>11116</v>
      </c>
      <c r="C2594" s="16">
        <v>27371.0</v>
      </c>
      <c r="D2594" s="17" t="s">
        <v>11117</v>
      </c>
    </row>
    <row r="2595">
      <c r="A2595" s="14" t="s">
        <v>7968</v>
      </c>
      <c r="B2595" s="15" t="s">
        <v>11118</v>
      </c>
      <c r="C2595" s="16">
        <v>27372.0</v>
      </c>
      <c r="D2595" s="17" t="s">
        <v>11119</v>
      </c>
    </row>
    <row r="2596">
      <c r="A2596" s="14">
        <v>9.0</v>
      </c>
      <c r="B2596" s="15" t="s">
        <v>11120</v>
      </c>
      <c r="C2596" s="16">
        <v>27372.0</v>
      </c>
      <c r="D2596" s="17" t="s">
        <v>11121</v>
      </c>
    </row>
    <row r="2597">
      <c r="A2597" s="14">
        <v>9.0</v>
      </c>
      <c r="B2597" s="15" t="s">
        <v>11122</v>
      </c>
      <c r="C2597" s="16">
        <v>27372.0</v>
      </c>
      <c r="D2597" s="17" t="s">
        <v>11123</v>
      </c>
    </row>
    <row r="2598">
      <c r="A2598" s="14" t="s">
        <v>7968</v>
      </c>
      <c r="B2598" s="15" t="s">
        <v>11124</v>
      </c>
      <c r="C2598" s="16">
        <v>27373.0</v>
      </c>
      <c r="D2598" s="17" t="s">
        <v>11125</v>
      </c>
    </row>
    <row r="2599">
      <c r="A2599" s="14">
        <v>10.0</v>
      </c>
      <c r="B2599" s="15" t="s">
        <v>11126</v>
      </c>
      <c r="C2599" s="16">
        <v>27373.0</v>
      </c>
      <c r="D2599" s="17" t="s">
        <v>11127</v>
      </c>
    </row>
    <row r="2600">
      <c r="A2600" s="14">
        <v>10.0</v>
      </c>
      <c r="B2600" s="15" t="s">
        <v>11128</v>
      </c>
      <c r="C2600" s="16">
        <v>27373.0</v>
      </c>
      <c r="D2600" s="17" t="s">
        <v>11129</v>
      </c>
    </row>
    <row r="2601">
      <c r="A2601" s="14" t="s">
        <v>7968</v>
      </c>
      <c r="B2601" s="15" t="s">
        <v>11130</v>
      </c>
      <c r="C2601" s="16">
        <v>27374.0</v>
      </c>
      <c r="D2601" s="17" t="s">
        <v>11131</v>
      </c>
    </row>
    <row r="2602">
      <c r="A2602" s="14">
        <v>11.0</v>
      </c>
      <c r="B2602" s="15" t="s">
        <v>11132</v>
      </c>
      <c r="C2602" s="16">
        <v>27374.0</v>
      </c>
      <c r="D2602" s="17" t="s">
        <v>11133</v>
      </c>
    </row>
    <row r="2603">
      <c r="A2603" s="14">
        <v>11.0</v>
      </c>
      <c r="B2603" s="15" t="s">
        <v>11134</v>
      </c>
      <c r="C2603" s="16">
        <v>27374.0</v>
      </c>
      <c r="D2603" s="17" t="s">
        <v>11135</v>
      </c>
    </row>
    <row r="2604">
      <c r="A2604" s="14" t="s">
        <v>7968</v>
      </c>
      <c r="B2604" s="15" t="s">
        <v>11136</v>
      </c>
      <c r="C2604" s="16">
        <v>27375.0</v>
      </c>
      <c r="D2604" s="17" t="s">
        <v>11137</v>
      </c>
    </row>
    <row r="2605">
      <c r="A2605" s="14">
        <v>12.0</v>
      </c>
      <c r="B2605" s="15" t="s">
        <v>11138</v>
      </c>
      <c r="C2605" s="16">
        <v>27375.0</v>
      </c>
      <c r="D2605" s="17" t="s">
        <v>11139</v>
      </c>
    </row>
    <row r="2606">
      <c r="A2606" s="14">
        <v>12.0</v>
      </c>
      <c r="B2606" s="15" t="s">
        <v>11140</v>
      </c>
      <c r="C2606" s="16">
        <v>27375.0</v>
      </c>
      <c r="D2606" s="17" t="s">
        <v>11141</v>
      </c>
    </row>
    <row r="2607">
      <c r="A2607" s="14" t="s">
        <v>7968</v>
      </c>
      <c r="B2607" s="15" t="s">
        <v>11142</v>
      </c>
      <c r="C2607" s="16">
        <v>27376.0</v>
      </c>
      <c r="D2607" s="17" t="s">
        <v>11143</v>
      </c>
    </row>
    <row r="2608">
      <c r="A2608" s="14">
        <v>13.0</v>
      </c>
      <c r="B2608" s="15" t="s">
        <v>11144</v>
      </c>
      <c r="C2608" s="16">
        <v>27376.0</v>
      </c>
      <c r="D2608" s="17" t="s">
        <v>11145</v>
      </c>
    </row>
    <row r="2609">
      <c r="A2609" s="14">
        <v>13.0</v>
      </c>
      <c r="B2609" s="15" t="s">
        <v>11146</v>
      </c>
      <c r="C2609" s="16">
        <v>27376.0</v>
      </c>
      <c r="D2609" s="17" t="s">
        <v>11147</v>
      </c>
    </row>
    <row r="2610">
      <c r="A2610" s="14" t="s">
        <v>7968</v>
      </c>
      <c r="B2610" s="15" t="s">
        <v>11148</v>
      </c>
      <c r="C2610" s="16">
        <v>27377.0</v>
      </c>
      <c r="D2610" s="17" t="s">
        <v>11149</v>
      </c>
    </row>
    <row r="2611">
      <c r="A2611" s="14">
        <v>14.0</v>
      </c>
      <c r="B2611" s="15" t="s">
        <v>11150</v>
      </c>
      <c r="C2611" s="16">
        <v>27377.0</v>
      </c>
      <c r="D2611" s="17" t="s">
        <v>11151</v>
      </c>
    </row>
    <row r="2612">
      <c r="A2612" s="14">
        <v>14.0</v>
      </c>
      <c r="B2612" s="15" t="s">
        <v>11152</v>
      </c>
      <c r="C2612" s="16">
        <v>27377.0</v>
      </c>
      <c r="D2612" s="17" t="s">
        <v>11153</v>
      </c>
    </row>
    <row r="2613">
      <c r="A2613" s="14" t="s">
        <v>7968</v>
      </c>
      <c r="B2613" s="15" t="s">
        <v>11154</v>
      </c>
      <c r="C2613" s="16">
        <v>27378.0</v>
      </c>
      <c r="D2613" s="17" t="s">
        <v>11155</v>
      </c>
    </row>
    <row r="2614">
      <c r="A2614" s="14">
        <v>15.0</v>
      </c>
      <c r="B2614" s="15" t="s">
        <v>11156</v>
      </c>
      <c r="C2614" s="16">
        <v>27378.0</v>
      </c>
      <c r="D2614" s="17" t="s">
        <v>11157</v>
      </c>
    </row>
    <row r="2615">
      <c r="A2615" s="14">
        <v>15.0</v>
      </c>
      <c r="B2615" s="15" t="s">
        <v>11158</v>
      </c>
      <c r="C2615" s="16">
        <v>27378.0</v>
      </c>
      <c r="D2615" s="17" t="s">
        <v>11159</v>
      </c>
    </row>
    <row r="2616">
      <c r="A2616" s="14" t="s">
        <v>7968</v>
      </c>
      <c r="B2616" s="15" t="s">
        <v>11160</v>
      </c>
      <c r="C2616" s="16">
        <v>27379.0</v>
      </c>
      <c r="D2616" s="17" t="s">
        <v>11161</v>
      </c>
    </row>
    <row r="2617">
      <c r="A2617" s="14">
        <v>16.0</v>
      </c>
      <c r="B2617" s="15" t="s">
        <v>11162</v>
      </c>
      <c r="C2617" s="16">
        <v>27379.0</v>
      </c>
      <c r="D2617" s="17" t="s">
        <v>11163</v>
      </c>
    </row>
    <row r="2618">
      <c r="A2618" s="14">
        <v>16.0</v>
      </c>
      <c r="B2618" s="15" t="s">
        <v>11164</v>
      </c>
      <c r="C2618" s="16">
        <v>27379.0</v>
      </c>
      <c r="D2618" s="17" t="s">
        <v>11165</v>
      </c>
    </row>
    <row r="2619">
      <c r="A2619" s="14" t="s">
        <v>7968</v>
      </c>
      <c r="B2619" s="15" t="s">
        <v>11166</v>
      </c>
      <c r="C2619" s="16">
        <v>27380.0</v>
      </c>
      <c r="D2619" s="17" t="s">
        <v>11167</v>
      </c>
    </row>
    <row r="2620">
      <c r="A2620" s="14">
        <v>17.0</v>
      </c>
      <c r="B2620" s="15" t="s">
        <v>11168</v>
      </c>
      <c r="C2620" s="16">
        <v>27380.0</v>
      </c>
      <c r="D2620" s="17" t="s">
        <v>11169</v>
      </c>
    </row>
    <row r="2621">
      <c r="A2621" s="14">
        <v>17.0</v>
      </c>
      <c r="B2621" s="15" t="s">
        <v>11170</v>
      </c>
      <c r="C2621" s="16">
        <v>27380.0</v>
      </c>
      <c r="D2621" s="17" t="s">
        <v>11171</v>
      </c>
    </row>
    <row r="2622">
      <c r="A2622" s="14" t="s">
        <v>7968</v>
      </c>
      <c r="B2622" s="15" t="s">
        <v>11172</v>
      </c>
      <c r="C2622" s="16">
        <v>27381.0</v>
      </c>
      <c r="D2622" s="17" t="s">
        <v>11173</v>
      </c>
    </row>
    <row r="2623">
      <c r="A2623" s="14">
        <v>18.0</v>
      </c>
      <c r="B2623" s="15" t="s">
        <v>11174</v>
      </c>
      <c r="C2623" s="16">
        <v>27381.0</v>
      </c>
      <c r="D2623" s="17" t="s">
        <v>11175</v>
      </c>
    </row>
    <row r="2624">
      <c r="A2624" s="14">
        <v>18.0</v>
      </c>
      <c r="B2624" s="15" t="s">
        <v>11176</v>
      </c>
      <c r="C2624" s="16">
        <v>27381.0</v>
      </c>
      <c r="D2624" s="17" t="s">
        <v>11177</v>
      </c>
    </row>
    <row r="2625">
      <c r="A2625" s="14" t="s">
        <v>7968</v>
      </c>
      <c r="B2625" s="15" t="s">
        <v>11178</v>
      </c>
      <c r="C2625" s="16">
        <v>27382.0</v>
      </c>
      <c r="D2625" s="17" t="s">
        <v>11179</v>
      </c>
    </row>
    <row r="2626">
      <c r="A2626" s="14">
        <v>19.0</v>
      </c>
      <c r="B2626" s="15" t="s">
        <v>11180</v>
      </c>
      <c r="C2626" s="16">
        <v>27382.0</v>
      </c>
      <c r="D2626" s="17" t="s">
        <v>11181</v>
      </c>
    </row>
    <row r="2627">
      <c r="A2627" s="14">
        <v>19.0</v>
      </c>
      <c r="B2627" s="15" t="s">
        <v>11182</v>
      </c>
      <c r="C2627" s="16">
        <v>27382.0</v>
      </c>
      <c r="D2627" s="17" t="s">
        <v>11183</v>
      </c>
    </row>
    <row r="2628">
      <c r="A2628" s="14" t="s">
        <v>7968</v>
      </c>
      <c r="B2628" s="15" t="s">
        <v>11184</v>
      </c>
      <c r="C2628" s="16">
        <v>27383.0</v>
      </c>
      <c r="D2628" s="17" t="s">
        <v>11185</v>
      </c>
    </row>
    <row r="2629">
      <c r="A2629" s="14">
        <v>20.0</v>
      </c>
      <c r="B2629" s="15" t="s">
        <v>11186</v>
      </c>
      <c r="C2629" s="16">
        <v>27383.0</v>
      </c>
      <c r="D2629" s="17" t="s">
        <v>11187</v>
      </c>
    </row>
    <row r="2630">
      <c r="A2630" s="14">
        <v>20.0</v>
      </c>
      <c r="B2630" s="15" t="s">
        <v>11188</v>
      </c>
      <c r="C2630" s="16">
        <v>27383.0</v>
      </c>
      <c r="D2630" s="17" t="s">
        <v>11189</v>
      </c>
    </row>
    <row r="2631">
      <c r="A2631" s="14" t="s">
        <v>7968</v>
      </c>
      <c r="B2631" s="15" t="s">
        <v>11190</v>
      </c>
      <c r="C2631" s="16">
        <v>27384.0</v>
      </c>
      <c r="D2631" s="17" t="s">
        <v>11191</v>
      </c>
    </row>
    <row r="2632">
      <c r="A2632" s="14">
        <v>21.0</v>
      </c>
      <c r="B2632" s="15" t="s">
        <v>11192</v>
      </c>
      <c r="C2632" s="16">
        <v>27384.0</v>
      </c>
      <c r="D2632" s="17" t="s">
        <v>11193</v>
      </c>
    </row>
    <row r="2633">
      <c r="A2633" s="14">
        <v>21.0</v>
      </c>
      <c r="B2633" s="15" t="s">
        <v>11194</v>
      </c>
      <c r="C2633" s="16">
        <v>27384.0</v>
      </c>
      <c r="D2633" s="17" t="s">
        <v>11195</v>
      </c>
    </row>
    <row r="2634">
      <c r="A2634" s="14" t="s">
        <v>7968</v>
      </c>
      <c r="B2634" s="15" t="s">
        <v>11196</v>
      </c>
      <c r="C2634" s="16">
        <v>27385.0</v>
      </c>
      <c r="D2634" s="17" t="s">
        <v>11197</v>
      </c>
    </row>
    <row r="2635">
      <c r="A2635" s="14">
        <v>22.0</v>
      </c>
      <c r="B2635" s="15" t="s">
        <v>11198</v>
      </c>
      <c r="C2635" s="16">
        <v>27385.0</v>
      </c>
      <c r="D2635" s="17" t="s">
        <v>11199</v>
      </c>
    </row>
    <row r="2636">
      <c r="A2636" s="14">
        <v>22.0</v>
      </c>
      <c r="B2636" s="15" t="s">
        <v>11200</v>
      </c>
      <c r="C2636" s="16">
        <v>27385.0</v>
      </c>
      <c r="D2636" s="17" t="s">
        <v>11201</v>
      </c>
    </row>
    <row r="2637">
      <c r="A2637" s="14" t="s">
        <v>7968</v>
      </c>
      <c r="B2637" s="15" t="s">
        <v>11202</v>
      </c>
      <c r="C2637" s="16">
        <v>27386.0</v>
      </c>
      <c r="D2637" s="17" t="s">
        <v>11203</v>
      </c>
    </row>
    <row r="2638">
      <c r="A2638" s="14">
        <v>23.0</v>
      </c>
      <c r="B2638" s="15" t="s">
        <v>11204</v>
      </c>
      <c r="C2638" s="16">
        <v>27386.0</v>
      </c>
      <c r="D2638" s="17" t="s">
        <v>11205</v>
      </c>
    </row>
    <row r="2639">
      <c r="A2639" s="14">
        <v>23.0</v>
      </c>
      <c r="B2639" s="15" t="s">
        <v>11206</v>
      </c>
      <c r="C2639" s="16">
        <v>27386.0</v>
      </c>
      <c r="D2639" s="17" t="s">
        <v>11207</v>
      </c>
    </row>
    <row r="2640">
      <c r="A2640" s="14" t="s">
        <v>7968</v>
      </c>
      <c r="B2640" s="15" t="s">
        <v>11208</v>
      </c>
      <c r="C2640" s="16">
        <v>27387.0</v>
      </c>
      <c r="D2640" s="17" t="s">
        <v>11209</v>
      </c>
    </row>
    <row r="2641">
      <c r="A2641" s="14">
        <v>24.0</v>
      </c>
      <c r="B2641" s="15" t="s">
        <v>11210</v>
      </c>
      <c r="C2641" s="16">
        <v>27387.0</v>
      </c>
      <c r="D2641" s="17" t="s">
        <v>11211</v>
      </c>
    </row>
    <row r="2642">
      <c r="A2642" s="14">
        <v>24.0</v>
      </c>
      <c r="B2642" s="15" t="s">
        <v>11212</v>
      </c>
      <c r="C2642" s="16">
        <v>27387.0</v>
      </c>
      <c r="D2642" s="17" t="s">
        <v>11213</v>
      </c>
    </row>
    <row r="2643">
      <c r="A2643" s="14" t="s">
        <v>7968</v>
      </c>
      <c r="B2643" s="15" t="s">
        <v>11214</v>
      </c>
      <c r="C2643" s="16">
        <v>27388.0</v>
      </c>
      <c r="D2643" s="17" t="s">
        <v>11215</v>
      </c>
    </row>
    <row r="2644">
      <c r="A2644" s="14">
        <v>25.0</v>
      </c>
      <c r="B2644" s="15" t="s">
        <v>11216</v>
      </c>
      <c r="C2644" s="16">
        <v>27388.0</v>
      </c>
      <c r="D2644" s="17" t="s">
        <v>11217</v>
      </c>
    </row>
    <row r="2645">
      <c r="A2645" s="14">
        <v>25.0</v>
      </c>
      <c r="B2645" s="15" t="s">
        <v>11218</v>
      </c>
      <c r="C2645" s="16">
        <v>27388.0</v>
      </c>
      <c r="D2645" s="17" t="s">
        <v>11219</v>
      </c>
    </row>
    <row r="2646">
      <c r="A2646" s="14" t="s">
        <v>7968</v>
      </c>
      <c r="B2646" s="15" t="s">
        <v>11220</v>
      </c>
      <c r="C2646" s="16">
        <v>27389.0</v>
      </c>
      <c r="D2646" s="17" t="s">
        <v>11221</v>
      </c>
    </row>
    <row r="2647">
      <c r="A2647" s="14">
        <v>26.0</v>
      </c>
      <c r="B2647" s="15" t="s">
        <v>11222</v>
      </c>
      <c r="C2647" s="16">
        <v>27389.0</v>
      </c>
      <c r="D2647" s="17" t="s">
        <v>11223</v>
      </c>
    </row>
    <row r="2648">
      <c r="A2648" s="14">
        <v>26.0</v>
      </c>
      <c r="B2648" s="15" t="s">
        <v>11224</v>
      </c>
      <c r="C2648" s="16">
        <v>27389.0</v>
      </c>
      <c r="D2648" s="17" t="s">
        <v>11225</v>
      </c>
    </row>
    <row r="2649">
      <c r="A2649" s="14" t="s">
        <v>7968</v>
      </c>
      <c r="B2649" s="15" t="s">
        <v>11226</v>
      </c>
      <c r="C2649" s="16">
        <v>27390.0</v>
      </c>
      <c r="D2649" s="17" t="s">
        <v>11227</v>
      </c>
    </row>
    <row r="2650">
      <c r="A2650" s="14">
        <v>27.0</v>
      </c>
      <c r="B2650" s="15" t="s">
        <v>11228</v>
      </c>
      <c r="C2650" s="16">
        <v>27390.0</v>
      </c>
      <c r="D2650" s="17" t="s">
        <v>11229</v>
      </c>
    </row>
    <row r="2651">
      <c r="A2651" s="14">
        <v>27.0</v>
      </c>
      <c r="B2651" s="15" t="s">
        <v>11230</v>
      </c>
      <c r="C2651" s="16">
        <v>27390.0</v>
      </c>
      <c r="D2651" s="17" t="s">
        <v>11231</v>
      </c>
    </row>
    <row r="2652">
      <c r="A2652" s="14" t="s">
        <v>7968</v>
      </c>
      <c r="B2652" s="15" t="s">
        <v>11232</v>
      </c>
      <c r="C2652" s="16">
        <v>27391.0</v>
      </c>
      <c r="D2652" s="17" t="s">
        <v>11233</v>
      </c>
    </row>
    <row r="2653">
      <c r="A2653" s="14">
        <v>28.0</v>
      </c>
      <c r="B2653" s="15" t="s">
        <v>11234</v>
      </c>
      <c r="C2653" s="16">
        <v>27391.0</v>
      </c>
      <c r="D2653" s="17" t="s">
        <v>11235</v>
      </c>
    </row>
    <row r="2654">
      <c r="A2654" s="14">
        <v>28.0</v>
      </c>
      <c r="B2654" s="15" t="s">
        <v>11236</v>
      </c>
      <c r="C2654" s="16">
        <v>27391.0</v>
      </c>
      <c r="D2654" s="17" t="s">
        <v>11237</v>
      </c>
    </row>
    <row r="2655">
      <c r="A2655" s="14" t="s">
        <v>7968</v>
      </c>
      <c r="B2655" s="15" t="s">
        <v>11238</v>
      </c>
      <c r="C2655" s="16">
        <v>27392.0</v>
      </c>
      <c r="D2655" s="17" t="s">
        <v>11239</v>
      </c>
    </row>
    <row r="2656">
      <c r="A2656" s="14">
        <v>29.0</v>
      </c>
      <c r="B2656" s="15" t="s">
        <v>11240</v>
      </c>
      <c r="C2656" s="16">
        <v>27392.0</v>
      </c>
      <c r="D2656" s="17" t="s">
        <v>11241</v>
      </c>
    </row>
    <row r="2657">
      <c r="A2657" s="14">
        <v>29.0</v>
      </c>
      <c r="B2657" s="15" t="s">
        <v>11242</v>
      </c>
      <c r="C2657" s="16">
        <v>27392.0</v>
      </c>
      <c r="D2657" s="17" t="s">
        <v>11243</v>
      </c>
    </row>
    <row r="2658">
      <c r="A2658" s="14" t="s">
        <v>7968</v>
      </c>
      <c r="B2658" s="15" t="s">
        <v>11244</v>
      </c>
      <c r="C2658" s="16">
        <v>27393.0</v>
      </c>
      <c r="D2658" s="17" t="s">
        <v>11245</v>
      </c>
    </row>
    <row r="2659">
      <c r="A2659" s="14">
        <v>30.0</v>
      </c>
      <c r="B2659" s="15" t="s">
        <v>11246</v>
      </c>
      <c r="C2659" s="16">
        <v>27393.0</v>
      </c>
      <c r="D2659" s="17" t="s">
        <v>11247</v>
      </c>
    </row>
    <row r="2660">
      <c r="A2660" s="14" t="s">
        <v>7968</v>
      </c>
      <c r="B2660" s="15" t="s">
        <v>11248</v>
      </c>
      <c r="C2660" s="16">
        <v>27394.0</v>
      </c>
      <c r="D2660" s="17" t="s">
        <v>11249</v>
      </c>
    </row>
    <row r="2661">
      <c r="A2661" s="14">
        <v>31.0</v>
      </c>
      <c r="B2661" s="15" t="s">
        <v>11250</v>
      </c>
      <c r="C2661" s="16">
        <v>27394.0</v>
      </c>
      <c r="D2661" s="17" t="s">
        <v>11251</v>
      </c>
    </row>
    <row r="2662">
      <c r="A2662" s="14" t="s">
        <v>7968</v>
      </c>
      <c r="B2662" s="15" t="s">
        <v>11252</v>
      </c>
      <c r="C2662" s="16">
        <v>27395.0</v>
      </c>
      <c r="D2662" s="17" t="s">
        <v>11253</v>
      </c>
    </row>
    <row r="2663">
      <c r="A2663" s="14">
        <v>1.0</v>
      </c>
      <c r="B2663" s="15" t="s">
        <v>11254</v>
      </c>
      <c r="C2663" s="16">
        <v>27395.0</v>
      </c>
      <c r="D2663" s="17" t="s">
        <v>11255</v>
      </c>
    </row>
    <row r="2664">
      <c r="A2664" s="14">
        <v>1.0</v>
      </c>
      <c r="B2664" s="15" t="s">
        <v>11256</v>
      </c>
      <c r="C2664" s="16">
        <v>27395.0</v>
      </c>
      <c r="D2664" s="17" t="s">
        <v>11257</v>
      </c>
    </row>
    <row r="2665">
      <c r="A2665" s="14" t="s">
        <v>7968</v>
      </c>
      <c r="B2665" s="15" t="s">
        <v>11258</v>
      </c>
      <c r="C2665" s="16">
        <v>27396.0</v>
      </c>
      <c r="D2665" s="17" t="s">
        <v>11259</v>
      </c>
    </row>
    <row r="2666">
      <c r="A2666" s="14">
        <v>2.0</v>
      </c>
      <c r="B2666" s="15" t="s">
        <v>11260</v>
      </c>
      <c r="C2666" s="16">
        <v>27396.0</v>
      </c>
      <c r="D2666" s="17" t="s">
        <v>11261</v>
      </c>
    </row>
    <row r="2667">
      <c r="A2667" s="14">
        <v>2.0</v>
      </c>
      <c r="B2667" s="15" t="s">
        <v>11262</v>
      </c>
      <c r="C2667" s="16">
        <v>27396.0</v>
      </c>
      <c r="D2667" s="17" t="s">
        <v>11263</v>
      </c>
    </row>
    <row r="2668">
      <c r="A2668" s="14" t="s">
        <v>7968</v>
      </c>
      <c r="B2668" s="15" t="s">
        <v>11264</v>
      </c>
      <c r="C2668" s="16">
        <v>27397.0</v>
      </c>
      <c r="D2668" s="17" t="s">
        <v>11265</v>
      </c>
    </row>
    <row r="2669">
      <c r="A2669" s="14">
        <v>3.0</v>
      </c>
      <c r="B2669" s="15" t="s">
        <v>11266</v>
      </c>
      <c r="C2669" s="16">
        <v>27397.0</v>
      </c>
      <c r="D2669" s="17" t="s">
        <v>11267</v>
      </c>
    </row>
    <row r="2670">
      <c r="A2670" s="14">
        <v>3.0</v>
      </c>
      <c r="B2670" s="15" t="s">
        <v>11268</v>
      </c>
      <c r="C2670" s="16">
        <v>27397.0</v>
      </c>
      <c r="D2670" s="17" t="s">
        <v>11269</v>
      </c>
    </row>
    <row r="2671">
      <c r="A2671" s="14">
        <v>3.0</v>
      </c>
      <c r="B2671" s="15" t="s">
        <v>11270</v>
      </c>
      <c r="C2671" s="16">
        <v>27397.0</v>
      </c>
      <c r="D2671" s="17" t="s">
        <v>11271</v>
      </c>
    </row>
    <row r="2672">
      <c r="A2672" s="14" t="s">
        <v>7968</v>
      </c>
      <c r="B2672" s="15" t="s">
        <v>11272</v>
      </c>
      <c r="C2672" s="16">
        <v>27398.0</v>
      </c>
      <c r="D2672" s="17" t="s">
        <v>11273</v>
      </c>
    </row>
    <row r="2673">
      <c r="A2673" s="14">
        <v>4.0</v>
      </c>
      <c r="B2673" s="15" t="s">
        <v>11274</v>
      </c>
      <c r="C2673" s="16">
        <v>27398.0</v>
      </c>
      <c r="D2673" s="17" t="s">
        <v>11275</v>
      </c>
    </row>
    <row r="2674">
      <c r="A2674" s="14">
        <v>4.0</v>
      </c>
      <c r="B2674" s="15" t="s">
        <v>11276</v>
      </c>
      <c r="C2674" s="16">
        <v>27398.0</v>
      </c>
      <c r="D2674" s="17" t="s">
        <v>11277</v>
      </c>
    </row>
    <row r="2675">
      <c r="A2675" s="14" t="s">
        <v>7968</v>
      </c>
      <c r="B2675" s="15" t="s">
        <v>11278</v>
      </c>
      <c r="C2675" s="16">
        <v>27399.0</v>
      </c>
      <c r="D2675" s="17" t="s">
        <v>11279</v>
      </c>
    </row>
    <row r="2676">
      <c r="A2676" s="14">
        <v>5.0</v>
      </c>
      <c r="B2676" s="15" t="s">
        <v>11280</v>
      </c>
      <c r="C2676" s="16">
        <v>27399.0</v>
      </c>
      <c r="D2676" s="17" t="s">
        <v>11281</v>
      </c>
    </row>
    <row r="2677">
      <c r="A2677" s="14">
        <v>5.0</v>
      </c>
      <c r="B2677" s="15" t="s">
        <v>11282</v>
      </c>
      <c r="C2677" s="16">
        <v>27399.0</v>
      </c>
      <c r="D2677" s="17" t="s">
        <v>11283</v>
      </c>
    </row>
    <row r="2678">
      <c r="A2678" s="14" t="s">
        <v>7968</v>
      </c>
      <c r="B2678" s="15" t="s">
        <v>11284</v>
      </c>
      <c r="C2678" s="16">
        <v>27400.0</v>
      </c>
      <c r="D2678" s="17" t="s">
        <v>11285</v>
      </c>
    </row>
    <row r="2679">
      <c r="A2679" s="14">
        <v>6.0</v>
      </c>
      <c r="B2679" s="15" t="s">
        <v>11286</v>
      </c>
      <c r="C2679" s="16">
        <v>27400.0</v>
      </c>
      <c r="D2679" s="17" t="s">
        <v>11287</v>
      </c>
    </row>
    <row r="2680">
      <c r="A2680" s="14">
        <v>6.0</v>
      </c>
      <c r="B2680" s="15" t="s">
        <v>11288</v>
      </c>
      <c r="C2680" s="16">
        <v>27400.0</v>
      </c>
      <c r="D2680" s="17" t="s">
        <v>11289</v>
      </c>
    </row>
    <row r="2681">
      <c r="A2681" s="14" t="s">
        <v>7968</v>
      </c>
      <c r="B2681" s="15" t="s">
        <v>11290</v>
      </c>
      <c r="C2681" s="16">
        <v>27401.0</v>
      </c>
      <c r="D2681" s="17" t="s">
        <v>11291</v>
      </c>
    </row>
    <row r="2682">
      <c r="A2682" s="14">
        <v>7.0</v>
      </c>
      <c r="B2682" s="15" t="s">
        <v>11292</v>
      </c>
      <c r="C2682" s="16">
        <v>27401.0</v>
      </c>
      <c r="D2682" s="17" t="s">
        <v>11293</v>
      </c>
    </row>
    <row r="2683">
      <c r="A2683" s="14">
        <v>7.0</v>
      </c>
      <c r="B2683" s="15" t="s">
        <v>11294</v>
      </c>
      <c r="C2683" s="16">
        <v>27401.0</v>
      </c>
      <c r="D2683" s="17" t="s">
        <v>11295</v>
      </c>
    </row>
    <row r="2684">
      <c r="A2684" s="14" t="s">
        <v>7968</v>
      </c>
      <c r="B2684" s="15" t="s">
        <v>11296</v>
      </c>
      <c r="C2684" s="16">
        <v>27402.0</v>
      </c>
      <c r="D2684" s="17" t="s">
        <v>11297</v>
      </c>
    </row>
    <row r="2685">
      <c r="A2685" s="14">
        <v>8.0</v>
      </c>
      <c r="B2685" s="15" t="s">
        <v>11298</v>
      </c>
      <c r="C2685" s="16">
        <v>27402.0</v>
      </c>
      <c r="D2685" s="17" t="s">
        <v>11299</v>
      </c>
    </row>
    <row r="2686">
      <c r="A2686" s="14">
        <v>8.0</v>
      </c>
      <c r="B2686" s="15" t="s">
        <v>11300</v>
      </c>
      <c r="C2686" s="16">
        <v>27402.0</v>
      </c>
      <c r="D2686" s="17" t="s">
        <v>11301</v>
      </c>
    </row>
    <row r="2687">
      <c r="A2687" s="14" t="s">
        <v>7968</v>
      </c>
      <c r="B2687" s="15" t="s">
        <v>11302</v>
      </c>
      <c r="C2687" s="16">
        <v>27403.0</v>
      </c>
      <c r="D2687" s="17" t="s">
        <v>11303</v>
      </c>
    </row>
    <row r="2688">
      <c r="A2688" s="14">
        <v>9.0</v>
      </c>
      <c r="B2688" s="15" t="s">
        <v>11304</v>
      </c>
      <c r="C2688" s="16">
        <v>27403.0</v>
      </c>
      <c r="D2688" s="17" t="s">
        <v>11305</v>
      </c>
    </row>
    <row r="2689">
      <c r="A2689" s="14">
        <v>9.0</v>
      </c>
      <c r="B2689" s="15" t="s">
        <v>11306</v>
      </c>
      <c r="C2689" s="16">
        <v>27403.0</v>
      </c>
      <c r="D2689" s="17" t="s">
        <v>11307</v>
      </c>
    </row>
    <row r="2690">
      <c r="A2690" s="14" t="s">
        <v>7968</v>
      </c>
      <c r="B2690" s="15" t="s">
        <v>11308</v>
      </c>
      <c r="C2690" s="16">
        <v>27405.0</v>
      </c>
      <c r="D2690" s="17" t="s">
        <v>11309</v>
      </c>
    </row>
    <row r="2691">
      <c r="A2691" s="14">
        <v>11.0</v>
      </c>
      <c r="B2691" s="15" t="s">
        <v>11310</v>
      </c>
      <c r="C2691" s="16">
        <v>27405.0</v>
      </c>
      <c r="D2691" s="17" t="s">
        <v>11311</v>
      </c>
    </row>
    <row r="2692">
      <c r="A2692" s="14">
        <v>11.0</v>
      </c>
      <c r="B2692" s="15" t="s">
        <v>11312</v>
      </c>
      <c r="C2692" s="16">
        <v>27405.0</v>
      </c>
      <c r="D2692" s="17" t="s">
        <v>11313</v>
      </c>
    </row>
    <row r="2693">
      <c r="A2693" s="14" t="s">
        <v>7968</v>
      </c>
      <c r="B2693" s="15" t="s">
        <v>11314</v>
      </c>
      <c r="C2693" s="16">
        <v>27406.0</v>
      </c>
      <c r="D2693" s="17" t="s">
        <v>11315</v>
      </c>
    </row>
    <row r="2694">
      <c r="A2694" s="14">
        <v>12.0</v>
      </c>
      <c r="B2694" s="15" t="s">
        <v>11316</v>
      </c>
      <c r="C2694" s="16">
        <v>27406.0</v>
      </c>
      <c r="D2694" s="17" t="s">
        <v>11317</v>
      </c>
    </row>
    <row r="2695">
      <c r="A2695" s="14">
        <v>12.0</v>
      </c>
      <c r="B2695" s="15" t="s">
        <v>11318</v>
      </c>
      <c r="C2695" s="16">
        <v>27406.0</v>
      </c>
      <c r="D2695" s="17" t="s">
        <v>11319</v>
      </c>
    </row>
    <row r="2696">
      <c r="A2696" s="14" t="s">
        <v>7968</v>
      </c>
      <c r="B2696" s="15" t="s">
        <v>11320</v>
      </c>
      <c r="C2696" s="16">
        <v>27408.0</v>
      </c>
      <c r="D2696" s="17" t="s">
        <v>11321</v>
      </c>
    </row>
    <row r="2697">
      <c r="A2697" s="14">
        <v>14.0</v>
      </c>
      <c r="B2697" s="15" t="s">
        <v>11322</v>
      </c>
      <c r="C2697" s="16">
        <v>27408.0</v>
      </c>
      <c r="D2697" s="17" t="s">
        <v>11323</v>
      </c>
    </row>
    <row r="2698">
      <c r="A2698" s="14">
        <v>14.0</v>
      </c>
      <c r="B2698" s="15" t="s">
        <v>11324</v>
      </c>
      <c r="C2698" s="16">
        <v>27408.0</v>
      </c>
      <c r="D2698" s="17" t="s">
        <v>11325</v>
      </c>
    </row>
    <row r="2699">
      <c r="A2699" s="14" t="s">
        <v>7968</v>
      </c>
      <c r="B2699" s="15" t="s">
        <v>11326</v>
      </c>
      <c r="C2699" s="16">
        <v>27409.0</v>
      </c>
      <c r="D2699" s="17" t="s">
        <v>11327</v>
      </c>
    </row>
    <row r="2700">
      <c r="A2700" s="14">
        <v>15.0</v>
      </c>
      <c r="B2700" s="15" t="s">
        <v>11328</v>
      </c>
      <c r="C2700" s="16">
        <v>27409.0</v>
      </c>
      <c r="D2700" s="17" t="s">
        <v>11329</v>
      </c>
    </row>
    <row r="2701">
      <c r="A2701" s="14">
        <v>15.0</v>
      </c>
      <c r="B2701" s="15" t="s">
        <v>11330</v>
      </c>
      <c r="C2701" s="16">
        <v>27409.0</v>
      </c>
      <c r="D2701" s="17" t="s">
        <v>11331</v>
      </c>
    </row>
    <row r="2702">
      <c r="A2702" s="14" t="s">
        <v>7968</v>
      </c>
      <c r="B2702" s="15" t="s">
        <v>11332</v>
      </c>
      <c r="C2702" s="16">
        <v>27410.0</v>
      </c>
      <c r="D2702" s="17" t="s">
        <v>11333</v>
      </c>
    </row>
    <row r="2703">
      <c r="A2703" s="14">
        <v>16.0</v>
      </c>
      <c r="B2703" s="15" t="s">
        <v>11334</v>
      </c>
      <c r="C2703" s="16">
        <v>27410.0</v>
      </c>
      <c r="D2703" s="17" t="s">
        <v>11335</v>
      </c>
    </row>
    <row r="2704">
      <c r="A2704" s="14">
        <v>16.0</v>
      </c>
      <c r="B2704" s="15" t="s">
        <v>11336</v>
      </c>
      <c r="C2704" s="16">
        <v>27410.0</v>
      </c>
      <c r="D2704" s="17" t="s">
        <v>11337</v>
      </c>
    </row>
    <row r="2705">
      <c r="A2705" s="14" t="s">
        <v>7968</v>
      </c>
      <c r="B2705" s="15" t="s">
        <v>11338</v>
      </c>
      <c r="C2705" s="16">
        <v>27411.0</v>
      </c>
      <c r="D2705" s="17" t="s">
        <v>11339</v>
      </c>
    </row>
    <row r="2706">
      <c r="A2706" s="14">
        <v>17.0</v>
      </c>
      <c r="B2706" s="15" t="s">
        <v>11340</v>
      </c>
      <c r="C2706" s="16">
        <v>27411.0</v>
      </c>
      <c r="D2706" s="17" t="s">
        <v>11341</v>
      </c>
    </row>
    <row r="2707">
      <c r="A2707" s="14">
        <v>17.0</v>
      </c>
      <c r="B2707" s="15" t="s">
        <v>11342</v>
      </c>
      <c r="C2707" s="16">
        <v>27411.0</v>
      </c>
      <c r="D2707" s="17" t="s">
        <v>11343</v>
      </c>
    </row>
    <row r="2708">
      <c r="A2708" s="14" t="s">
        <v>7968</v>
      </c>
      <c r="B2708" s="15" t="s">
        <v>11344</v>
      </c>
      <c r="C2708" s="16">
        <v>27412.0</v>
      </c>
      <c r="D2708" s="17" t="s">
        <v>11345</v>
      </c>
    </row>
    <row r="2709">
      <c r="A2709" s="14">
        <v>18.0</v>
      </c>
      <c r="B2709" s="15" t="s">
        <v>11346</v>
      </c>
      <c r="C2709" s="16">
        <v>27412.0</v>
      </c>
      <c r="D2709" s="17" t="s">
        <v>11347</v>
      </c>
    </row>
    <row r="2710">
      <c r="A2710" s="14">
        <v>18.0</v>
      </c>
      <c r="B2710" s="15" t="s">
        <v>11348</v>
      </c>
      <c r="C2710" s="16">
        <v>27412.0</v>
      </c>
      <c r="D2710" s="17" t="s">
        <v>11349</v>
      </c>
    </row>
    <row r="2711">
      <c r="A2711" s="14" t="s">
        <v>7968</v>
      </c>
      <c r="B2711" s="15" t="s">
        <v>11350</v>
      </c>
      <c r="C2711" s="16">
        <v>27413.0</v>
      </c>
      <c r="D2711" s="17" t="s">
        <v>11351</v>
      </c>
    </row>
    <row r="2712">
      <c r="A2712" s="14">
        <v>19.0</v>
      </c>
      <c r="B2712" s="15" t="s">
        <v>11352</v>
      </c>
      <c r="C2712" s="16">
        <v>27413.0</v>
      </c>
      <c r="D2712" s="17" t="s">
        <v>11353</v>
      </c>
    </row>
    <row r="2713">
      <c r="A2713" s="14">
        <v>19.0</v>
      </c>
      <c r="B2713" s="15" t="s">
        <v>11354</v>
      </c>
      <c r="C2713" s="16">
        <v>27413.0</v>
      </c>
      <c r="D2713" s="17" t="s">
        <v>11355</v>
      </c>
    </row>
    <row r="2714">
      <c r="A2714" s="14" t="s">
        <v>7968</v>
      </c>
      <c r="B2714" s="15" t="s">
        <v>11356</v>
      </c>
      <c r="C2714" s="16">
        <v>27414.0</v>
      </c>
      <c r="D2714" s="17" t="s">
        <v>11357</v>
      </c>
    </row>
    <row r="2715">
      <c r="A2715" s="14">
        <v>20.0</v>
      </c>
      <c r="B2715" s="15" t="s">
        <v>11358</v>
      </c>
      <c r="C2715" s="16">
        <v>27414.0</v>
      </c>
      <c r="D2715" s="17" t="s">
        <v>11359</v>
      </c>
    </row>
    <row r="2716">
      <c r="A2716" s="14">
        <v>20.0</v>
      </c>
      <c r="B2716" s="15" t="s">
        <v>11360</v>
      </c>
      <c r="C2716" s="16">
        <v>27414.0</v>
      </c>
      <c r="D2716" s="17" t="s">
        <v>11361</v>
      </c>
    </row>
    <row r="2717">
      <c r="A2717" s="14" t="s">
        <v>7968</v>
      </c>
      <c r="B2717" s="15" t="s">
        <v>11362</v>
      </c>
      <c r="C2717" s="16">
        <v>27415.0</v>
      </c>
      <c r="D2717" s="17" t="s">
        <v>11363</v>
      </c>
    </row>
    <row r="2718">
      <c r="A2718" s="14">
        <v>21.0</v>
      </c>
      <c r="B2718" s="15" t="s">
        <v>11364</v>
      </c>
      <c r="C2718" s="16">
        <v>27415.0</v>
      </c>
      <c r="D2718" s="17" t="s">
        <v>11365</v>
      </c>
    </row>
    <row r="2719">
      <c r="A2719" s="14">
        <v>21.0</v>
      </c>
      <c r="B2719" s="15" t="s">
        <v>11366</v>
      </c>
      <c r="C2719" s="16">
        <v>27415.0</v>
      </c>
      <c r="D2719" s="17" t="s">
        <v>11367</v>
      </c>
    </row>
    <row r="2720">
      <c r="A2720" s="14" t="s">
        <v>7968</v>
      </c>
      <c r="B2720" s="15" t="s">
        <v>11368</v>
      </c>
      <c r="C2720" s="16">
        <v>27416.0</v>
      </c>
      <c r="D2720" s="17" t="s">
        <v>11369</v>
      </c>
    </row>
    <row r="2721">
      <c r="A2721" s="14">
        <v>22.0</v>
      </c>
      <c r="B2721" s="15" t="s">
        <v>11370</v>
      </c>
      <c r="C2721" s="16">
        <v>27416.0</v>
      </c>
      <c r="D2721" s="17" t="s">
        <v>11371</v>
      </c>
    </row>
    <row r="2722">
      <c r="A2722" s="14">
        <v>22.0</v>
      </c>
      <c r="B2722" s="15" t="s">
        <v>11372</v>
      </c>
      <c r="C2722" s="16">
        <v>27416.0</v>
      </c>
      <c r="D2722" s="17" t="s">
        <v>11373</v>
      </c>
    </row>
    <row r="2723">
      <c r="A2723" s="14" t="s">
        <v>7038</v>
      </c>
      <c r="B2723" s="15" t="s">
        <v>11374</v>
      </c>
      <c r="C2723" s="16">
        <v>27417.0</v>
      </c>
      <c r="D2723" s="17" t="s">
        <v>11375</v>
      </c>
    </row>
    <row r="2724">
      <c r="A2724" s="14">
        <v>23.0</v>
      </c>
      <c r="B2724" s="15" t="s">
        <v>11376</v>
      </c>
      <c r="C2724" s="16">
        <v>27417.0</v>
      </c>
      <c r="D2724" s="17" t="s">
        <v>11377</v>
      </c>
    </row>
    <row r="2725">
      <c r="A2725" s="14">
        <v>23.0</v>
      </c>
      <c r="B2725" s="15" t="s">
        <v>11378</v>
      </c>
      <c r="C2725" s="16">
        <v>27417.0</v>
      </c>
      <c r="D2725" s="17" t="s">
        <v>11379</v>
      </c>
    </row>
    <row r="2726">
      <c r="A2726" s="14" t="s">
        <v>6074</v>
      </c>
      <c r="B2726" s="15" t="s">
        <v>11380</v>
      </c>
      <c r="C2726" s="16">
        <v>27419.0</v>
      </c>
      <c r="D2726" s="17" t="s">
        <v>11381</v>
      </c>
    </row>
    <row r="2727">
      <c r="A2727" s="14">
        <v>25.0</v>
      </c>
      <c r="B2727" s="15" t="s">
        <v>11382</v>
      </c>
      <c r="C2727" s="16">
        <v>27419.0</v>
      </c>
      <c r="D2727" s="17" t="s">
        <v>11383</v>
      </c>
    </row>
    <row r="2728">
      <c r="A2728" s="14">
        <v>25.0</v>
      </c>
      <c r="B2728" s="15" t="s">
        <v>11384</v>
      </c>
      <c r="C2728" s="16">
        <v>27419.0</v>
      </c>
      <c r="D2728" s="17" t="s">
        <v>11385</v>
      </c>
    </row>
    <row r="2729">
      <c r="A2729" s="14" t="s">
        <v>6353</v>
      </c>
      <c r="B2729" s="15" t="s">
        <v>11386</v>
      </c>
      <c r="C2729" s="16">
        <v>27420.0</v>
      </c>
      <c r="D2729" s="17" t="s">
        <v>11387</v>
      </c>
    </row>
    <row r="2730">
      <c r="A2730" s="14">
        <v>26.0</v>
      </c>
      <c r="B2730" s="15" t="s">
        <v>11388</v>
      </c>
      <c r="C2730" s="16">
        <v>27420.0</v>
      </c>
      <c r="D2730" s="17" t="s">
        <v>11389</v>
      </c>
    </row>
    <row r="2731">
      <c r="A2731" s="14">
        <v>26.0</v>
      </c>
      <c r="B2731" s="15" t="s">
        <v>11390</v>
      </c>
      <c r="C2731" s="16">
        <v>27420.0</v>
      </c>
      <c r="D2731" s="17" t="s">
        <v>11391</v>
      </c>
    </row>
    <row r="2732">
      <c r="A2732" s="14" t="s">
        <v>7038</v>
      </c>
      <c r="B2732" s="15" t="s">
        <v>11392</v>
      </c>
      <c r="C2732" s="16">
        <v>27421.0</v>
      </c>
      <c r="D2732" s="17" t="s">
        <v>11393</v>
      </c>
    </row>
    <row r="2733">
      <c r="A2733" s="14" t="s">
        <v>6353</v>
      </c>
      <c r="B2733" s="15" t="s">
        <v>11394</v>
      </c>
      <c r="C2733" s="16">
        <v>27421.0</v>
      </c>
      <c r="D2733" s="17" t="s">
        <v>11395</v>
      </c>
    </row>
    <row r="2734">
      <c r="A2734" s="14">
        <v>27.0</v>
      </c>
      <c r="B2734" s="15" t="s">
        <v>11396</v>
      </c>
      <c r="C2734" s="16">
        <v>27421.0</v>
      </c>
      <c r="D2734" s="17" t="s">
        <v>11397</v>
      </c>
    </row>
    <row r="2735">
      <c r="A2735" s="14">
        <v>27.0</v>
      </c>
      <c r="B2735" s="15" t="s">
        <v>11398</v>
      </c>
      <c r="C2735" s="16">
        <v>27421.0</v>
      </c>
      <c r="D2735" s="17" t="s">
        <v>11399</v>
      </c>
    </row>
    <row r="2736">
      <c r="A2736" s="14">
        <v>27.0</v>
      </c>
      <c r="B2736" s="15" t="s">
        <v>11400</v>
      </c>
      <c r="C2736" s="16">
        <v>27421.0</v>
      </c>
      <c r="D2736" s="17" t="s">
        <v>11401</v>
      </c>
    </row>
    <row r="2737">
      <c r="A2737" s="14">
        <v>27.0</v>
      </c>
      <c r="B2737" s="15" t="s">
        <v>11402</v>
      </c>
      <c r="C2737" s="16">
        <v>27421.0</v>
      </c>
      <c r="D2737" s="17" t="s">
        <v>11403</v>
      </c>
    </row>
    <row r="2738">
      <c r="A2738" s="14" t="s">
        <v>7038</v>
      </c>
      <c r="B2738" s="15" t="s">
        <v>11404</v>
      </c>
      <c r="C2738" s="16">
        <v>27422.0</v>
      </c>
      <c r="D2738" s="17" t="s">
        <v>11405</v>
      </c>
    </row>
    <row r="2739">
      <c r="A2739" s="14">
        <v>28.0</v>
      </c>
      <c r="B2739" s="15" t="s">
        <v>11406</v>
      </c>
      <c r="C2739" s="16">
        <v>27422.0</v>
      </c>
      <c r="D2739" s="17" t="s">
        <v>11407</v>
      </c>
    </row>
    <row r="2740">
      <c r="A2740" s="14">
        <v>28.0</v>
      </c>
      <c r="B2740" s="15" t="s">
        <v>11408</v>
      </c>
      <c r="C2740" s="16">
        <v>27422.0</v>
      </c>
      <c r="D2740" s="17" t="s">
        <v>11409</v>
      </c>
    </row>
    <row r="2741">
      <c r="A2741" s="14" t="s">
        <v>7038</v>
      </c>
      <c r="B2741" s="15" t="s">
        <v>11410</v>
      </c>
      <c r="C2741" s="16">
        <v>27423.0</v>
      </c>
      <c r="D2741" s="17" t="s">
        <v>11411</v>
      </c>
    </row>
    <row r="2742">
      <c r="A2742" s="14">
        <v>29.0</v>
      </c>
      <c r="B2742" s="15" t="s">
        <v>11412</v>
      </c>
      <c r="C2742" s="16">
        <v>27423.0</v>
      </c>
      <c r="D2742" s="17" t="s">
        <v>11413</v>
      </c>
    </row>
    <row r="2743">
      <c r="A2743" s="14">
        <v>29.0</v>
      </c>
      <c r="B2743" s="15" t="s">
        <v>11414</v>
      </c>
      <c r="C2743" s="16">
        <v>27423.0</v>
      </c>
      <c r="D2743" s="17" t="s">
        <v>11415</v>
      </c>
    </row>
    <row r="2744">
      <c r="A2744" s="14" t="s">
        <v>7038</v>
      </c>
      <c r="B2744" s="15" t="s">
        <v>11416</v>
      </c>
      <c r="C2744" s="16">
        <v>27424.0</v>
      </c>
      <c r="D2744" s="17" t="s">
        <v>11417</v>
      </c>
    </row>
    <row r="2745">
      <c r="A2745" s="14">
        <v>30.0</v>
      </c>
      <c r="B2745" s="15" t="s">
        <v>11418</v>
      </c>
      <c r="C2745" s="16">
        <v>27424.0</v>
      </c>
      <c r="D2745" s="17" t="s">
        <v>11419</v>
      </c>
    </row>
    <row r="2746">
      <c r="A2746" s="14">
        <v>30.0</v>
      </c>
      <c r="B2746" s="15" t="s">
        <v>11420</v>
      </c>
      <c r="C2746" s="16">
        <v>27424.0</v>
      </c>
      <c r="D2746" s="17" t="s">
        <v>11421</v>
      </c>
    </row>
    <row r="2747">
      <c r="A2747" s="14" t="s">
        <v>7038</v>
      </c>
      <c r="B2747" s="15" t="s">
        <v>11422</v>
      </c>
      <c r="C2747" s="16">
        <v>27425.0</v>
      </c>
      <c r="D2747" s="17" t="s">
        <v>11423</v>
      </c>
    </row>
    <row r="2748">
      <c r="A2748" s="14">
        <v>31.0</v>
      </c>
      <c r="B2748" s="15" t="s">
        <v>11424</v>
      </c>
      <c r="C2748" s="16">
        <v>27425.0</v>
      </c>
      <c r="D2748" s="17" t="s">
        <v>11425</v>
      </c>
    </row>
    <row r="2749">
      <c r="A2749" s="14">
        <v>31.0</v>
      </c>
      <c r="B2749" s="15" t="s">
        <v>11426</v>
      </c>
      <c r="C2749" s="16">
        <v>27425.0</v>
      </c>
      <c r="D2749" s="17" t="s">
        <v>11427</v>
      </c>
    </row>
    <row r="2750">
      <c r="A2750" s="14" t="s">
        <v>7038</v>
      </c>
      <c r="B2750" s="15" t="s">
        <v>11428</v>
      </c>
      <c r="C2750" s="16">
        <v>27427.0</v>
      </c>
      <c r="D2750" s="17" t="s">
        <v>11429</v>
      </c>
    </row>
    <row r="2751">
      <c r="A2751" s="14">
        <v>2.0</v>
      </c>
      <c r="B2751" s="15" t="s">
        <v>11430</v>
      </c>
      <c r="C2751" s="16">
        <v>27427.0</v>
      </c>
      <c r="D2751" s="17" t="s">
        <v>11431</v>
      </c>
    </row>
    <row r="2752">
      <c r="A2752" s="14">
        <v>2.0</v>
      </c>
      <c r="B2752" s="15" t="s">
        <v>11432</v>
      </c>
      <c r="C2752" s="16">
        <v>27427.0</v>
      </c>
      <c r="D2752" s="17" t="s">
        <v>11433</v>
      </c>
    </row>
    <row r="2753">
      <c r="A2753" s="14" t="s">
        <v>7038</v>
      </c>
      <c r="B2753" s="15" t="s">
        <v>11434</v>
      </c>
      <c r="C2753" s="16">
        <v>27428.0</v>
      </c>
      <c r="D2753" s="17" t="s">
        <v>11435</v>
      </c>
    </row>
    <row r="2754">
      <c r="A2754" s="14" t="s">
        <v>6374</v>
      </c>
      <c r="B2754" s="15" t="s">
        <v>11436</v>
      </c>
      <c r="C2754" s="16">
        <v>27428.0</v>
      </c>
      <c r="D2754" s="17" t="s">
        <v>11437</v>
      </c>
    </row>
    <row r="2755">
      <c r="A2755" s="14">
        <v>3.0</v>
      </c>
      <c r="B2755" s="15" t="s">
        <v>11438</v>
      </c>
      <c r="C2755" s="16">
        <v>27428.0</v>
      </c>
      <c r="D2755" s="17" t="s">
        <v>11439</v>
      </c>
    </row>
    <row r="2756">
      <c r="A2756" s="14">
        <v>3.0</v>
      </c>
      <c r="B2756" s="15" t="s">
        <v>11440</v>
      </c>
      <c r="C2756" s="16">
        <v>27428.0</v>
      </c>
      <c r="D2756" s="17" t="s">
        <v>11441</v>
      </c>
    </row>
    <row r="2757">
      <c r="A2757" s="14">
        <v>3.0</v>
      </c>
      <c r="B2757" s="15" t="s">
        <v>11442</v>
      </c>
      <c r="C2757" s="16">
        <v>27428.0</v>
      </c>
      <c r="D2757" s="17" t="s">
        <v>11443</v>
      </c>
    </row>
    <row r="2758">
      <c r="A2758" s="14">
        <v>3.0</v>
      </c>
      <c r="B2758" s="15" t="s">
        <v>11444</v>
      </c>
      <c r="C2758" s="16">
        <v>27428.0</v>
      </c>
      <c r="D2758" s="17" t="s">
        <v>11445</v>
      </c>
    </row>
    <row r="2759">
      <c r="A2759" s="14" t="s">
        <v>7038</v>
      </c>
      <c r="B2759" s="15" t="s">
        <v>11446</v>
      </c>
      <c r="C2759" s="16">
        <v>27429.0</v>
      </c>
      <c r="D2759" s="17" t="s">
        <v>11447</v>
      </c>
    </row>
    <row r="2760">
      <c r="A2760" s="14">
        <v>4.0</v>
      </c>
      <c r="B2760" s="15" t="s">
        <v>11448</v>
      </c>
      <c r="C2760" s="16">
        <v>27429.0</v>
      </c>
      <c r="D2760" s="17" t="s">
        <v>11449</v>
      </c>
    </row>
    <row r="2761">
      <c r="A2761" s="14">
        <v>4.0</v>
      </c>
      <c r="B2761" s="15" t="s">
        <v>11450</v>
      </c>
      <c r="C2761" s="16">
        <v>27429.0</v>
      </c>
      <c r="D2761" s="17" t="s">
        <v>11451</v>
      </c>
    </row>
    <row r="2762">
      <c r="A2762" s="14">
        <v>4.0</v>
      </c>
      <c r="B2762" s="15" t="s">
        <v>11452</v>
      </c>
      <c r="C2762" s="16">
        <v>27429.0</v>
      </c>
      <c r="D2762" s="17" t="s">
        <v>11453</v>
      </c>
    </row>
    <row r="2763">
      <c r="A2763" s="14" t="s">
        <v>7038</v>
      </c>
      <c r="B2763" s="15" t="s">
        <v>11454</v>
      </c>
      <c r="C2763" s="16">
        <v>27430.0</v>
      </c>
      <c r="D2763" s="17" t="s">
        <v>11455</v>
      </c>
    </row>
    <row r="2764">
      <c r="A2764" s="14">
        <v>5.0</v>
      </c>
      <c r="B2764" s="15" t="s">
        <v>11456</v>
      </c>
      <c r="C2764" s="16">
        <v>27430.0</v>
      </c>
      <c r="D2764" s="17" t="s">
        <v>11457</v>
      </c>
    </row>
    <row r="2765">
      <c r="A2765" s="14">
        <v>5.0</v>
      </c>
      <c r="B2765" s="15" t="s">
        <v>11458</v>
      </c>
      <c r="C2765" s="16">
        <v>27430.0</v>
      </c>
      <c r="D2765" s="17" t="s">
        <v>11459</v>
      </c>
    </row>
    <row r="2766">
      <c r="A2766" s="14" t="s">
        <v>7038</v>
      </c>
      <c r="B2766" s="15" t="s">
        <v>11460</v>
      </c>
      <c r="C2766" s="16">
        <v>27431.0</v>
      </c>
      <c r="D2766" s="17" t="s">
        <v>11461</v>
      </c>
    </row>
    <row r="2767">
      <c r="A2767" s="14">
        <v>6.0</v>
      </c>
      <c r="B2767" s="15" t="s">
        <v>11462</v>
      </c>
      <c r="C2767" s="16">
        <v>27431.0</v>
      </c>
      <c r="D2767" s="17" t="s">
        <v>11463</v>
      </c>
    </row>
    <row r="2768">
      <c r="A2768" s="14">
        <v>6.0</v>
      </c>
      <c r="B2768" s="15" t="s">
        <v>11464</v>
      </c>
      <c r="C2768" s="16">
        <v>27431.0</v>
      </c>
      <c r="D2768" s="17" t="s">
        <v>11465</v>
      </c>
    </row>
    <row r="2769">
      <c r="A2769" s="14" t="s">
        <v>7038</v>
      </c>
      <c r="B2769" s="15" t="s">
        <v>11466</v>
      </c>
      <c r="C2769" s="16">
        <v>27432.0</v>
      </c>
      <c r="D2769" s="17" t="s">
        <v>11467</v>
      </c>
    </row>
    <row r="2770">
      <c r="A2770" s="14">
        <v>7.0</v>
      </c>
      <c r="B2770" s="15" t="s">
        <v>11468</v>
      </c>
      <c r="C2770" s="16">
        <v>27432.0</v>
      </c>
      <c r="D2770" s="17" t="s">
        <v>11469</v>
      </c>
    </row>
    <row r="2771">
      <c r="A2771" s="14">
        <v>7.0</v>
      </c>
      <c r="B2771" s="15" t="s">
        <v>11470</v>
      </c>
      <c r="C2771" s="16">
        <v>27432.0</v>
      </c>
      <c r="D2771" s="17" t="s">
        <v>11471</v>
      </c>
    </row>
    <row r="2772">
      <c r="A2772" s="14" t="s">
        <v>7038</v>
      </c>
      <c r="B2772" s="15" t="s">
        <v>11472</v>
      </c>
      <c r="C2772" s="16">
        <v>27433.0</v>
      </c>
      <c r="D2772" s="17" t="s">
        <v>11473</v>
      </c>
    </row>
    <row r="2773">
      <c r="A2773" s="14" t="s">
        <v>7038</v>
      </c>
      <c r="B2773" s="15" t="s">
        <v>11474</v>
      </c>
      <c r="C2773" s="16">
        <v>27433.0</v>
      </c>
      <c r="D2773" s="17" t="s">
        <v>11475</v>
      </c>
    </row>
    <row r="2774">
      <c r="A2774" s="14">
        <v>8.0</v>
      </c>
      <c r="B2774" s="15" t="s">
        <v>11476</v>
      </c>
      <c r="C2774" s="16">
        <v>27433.0</v>
      </c>
      <c r="D2774" s="17" t="s">
        <v>11477</v>
      </c>
    </row>
    <row r="2775">
      <c r="A2775" s="14">
        <v>8.0</v>
      </c>
      <c r="B2775" s="15" t="s">
        <v>11478</v>
      </c>
      <c r="C2775" s="16">
        <v>27433.0</v>
      </c>
      <c r="D2775" s="17" t="s">
        <v>11479</v>
      </c>
    </row>
    <row r="2776">
      <c r="A2776" s="14" t="s">
        <v>6753</v>
      </c>
      <c r="B2776" s="15" t="s">
        <v>11480</v>
      </c>
      <c r="C2776" s="16">
        <v>27434.0</v>
      </c>
      <c r="D2776" s="17" t="s">
        <v>11481</v>
      </c>
    </row>
    <row r="2777">
      <c r="A2777" s="14">
        <v>9.0</v>
      </c>
      <c r="B2777" s="15" t="s">
        <v>11482</v>
      </c>
      <c r="C2777" s="16">
        <v>27434.0</v>
      </c>
      <c r="D2777" s="17" t="s">
        <v>11483</v>
      </c>
    </row>
    <row r="2778">
      <c r="A2778" s="14">
        <v>9.0</v>
      </c>
      <c r="B2778" s="15" t="s">
        <v>11484</v>
      </c>
      <c r="C2778" s="16">
        <v>27434.0</v>
      </c>
      <c r="D2778" s="17" t="s">
        <v>11485</v>
      </c>
    </row>
    <row r="2779">
      <c r="A2779" s="14" t="s">
        <v>6374</v>
      </c>
      <c r="B2779" s="15" t="s">
        <v>11486</v>
      </c>
      <c r="C2779" s="16">
        <v>27435.0</v>
      </c>
      <c r="D2779" s="17" t="s">
        <v>11487</v>
      </c>
    </row>
    <row r="2780">
      <c r="A2780" s="14" t="s">
        <v>6487</v>
      </c>
      <c r="B2780" s="15" t="s">
        <v>11488</v>
      </c>
      <c r="C2780" s="16">
        <v>27435.0</v>
      </c>
      <c r="D2780" s="17" t="s">
        <v>11489</v>
      </c>
    </row>
    <row r="2781">
      <c r="A2781" s="14">
        <v>10.0</v>
      </c>
      <c r="B2781" s="15" t="s">
        <v>11490</v>
      </c>
      <c r="C2781" s="16">
        <v>27435.0</v>
      </c>
      <c r="D2781" s="17" t="s">
        <v>11491</v>
      </c>
    </row>
    <row r="2782">
      <c r="A2782" s="14">
        <v>10.0</v>
      </c>
      <c r="B2782" s="15" t="s">
        <v>11492</v>
      </c>
      <c r="C2782" s="16">
        <v>27435.0</v>
      </c>
      <c r="D2782" s="17" t="s">
        <v>11493</v>
      </c>
    </row>
    <row r="2783">
      <c r="A2783" s="14">
        <v>10.0</v>
      </c>
      <c r="B2783" s="15" t="s">
        <v>11494</v>
      </c>
      <c r="C2783" s="16">
        <v>27435.0</v>
      </c>
      <c r="D2783" s="17" t="s">
        <v>11495</v>
      </c>
    </row>
    <row r="2784">
      <c r="A2784" s="14" t="s">
        <v>6753</v>
      </c>
      <c r="B2784" s="15" t="s">
        <v>11496</v>
      </c>
      <c r="C2784" s="16">
        <v>27436.0</v>
      </c>
      <c r="D2784" s="17" t="s">
        <v>11497</v>
      </c>
    </row>
    <row r="2785">
      <c r="A2785" s="14" t="s">
        <v>5908</v>
      </c>
      <c r="B2785" s="15" t="s">
        <v>11498</v>
      </c>
      <c r="C2785" s="16">
        <v>27436.0</v>
      </c>
      <c r="D2785" s="17" t="s">
        <v>11499</v>
      </c>
    </row>
    <row r="2786">
      <c r="A2786" s="14">
        <v>11.0</v>
      </c>
      <c r="B2786" s="15" t="s">
        <v>11500</v>
      </c>
      <c r="C2786" s="16">
        <v>27436.0</v>
      </c>
      <c r="D2786" s="17" t="s">
        <v>11501</v>
      </c>
    </row>
    <row r="2787">
      <c r="A2787" s="14">
        <v>11.0</v>
      </c>
      <c r="B2787" s="15" t="s">
        <v>11502</v>
      </c>
      <c r="C2787" s="16">
        <v>27436.0</v>
      </c>
      <c r="D2787" s="17" t="s">
        <v>11503</v>
      </c>
    </row>
    <row r="2788">
      <c r="A2788" s="14">
        <v>11.0</v>
      </c>
      <c r="B2788" s="15" t="s">
        <v>11504</v>
      </c>
      <c r="C2788" s="16">
        <v>27436.0</v>
      </c>
      <c r="D2788" s="17" t="s">
        <v>11505</v>
      </c>
    </row>
    <row r="2789">
      <c r="A2789" s="14">
        <v>11.0</v>
      </c>
      <c r="B2789" s="15" t="s">
        <v>11506</v>
      </c>
      <c r="C2789" s="16">
        <v>27436.0</v>
      </c>
      <c r="D2789" s="17" t="s">
        <v>11507</v>
      </c>
    </row>
    <row r="2790">
      <c r="A2790" s="14" t="s">
        <v>5908</v>
      </c>
      <c r="B2790" s="15" t="s">
        <v>11508</v>
      </c>
      <c r="C2790" s="16">
        <v>27437.0</v>
      </c>
      <c r="D2790" s="17" t="s">
        <v>11509</v>
      </c>
    </row>
    <row r="2791">
      <c r="A2791" s="14" t="s">
        <v>6353</v>
      </c>
      <c r="B2791" s="15" t="s">
        <v>11510</v>
      </c>
      <c r="C2791" s="16">
        <v>27437.0</v>
      </c>
      <c r="D2791" s="17" t="s">
        <v>11511</v>
      </c>
    </row>
    <row r="2792">
      <c r="A2792" s="14">
        <v>12.0</v>
      </c>
      <c r="B2792" s="15" t="s">
        <v>11512</v>
      </c>
      <c r="C2792" s="16">
        <v>27437.0</v>
      </c>
      <c r="D2792" s="17" t="s">
        <v>11513</v>
      </c>
    </row>
    <row r="2793">
      <c r="A2793" s="14">
        <v>12.0</v>
      </c>
      <c r="B2793" s="15" t="s">
        <v>11514</v>
      </c>
      <c r="C2793" s="16">
        <v>27437.0</v>
      </c>
      <c r="D2793" s="17" t="s">
        <v>11515</v>
      </c>
    </row>
    <row r="2794">
      <c r="A2794" s="14">
        <v>12.0</v>
      </c>
      <c r="B2794" s="15" t="s">
        <v>11516</v>
      </c>
      <c r="C2794" s="16">
        <v>27437.0</v>
      </c>
      <c r="D2794" s="17" t="s">
        <v>11517</v>
      </c>
    </row>
    <row r="2795">
      <c r="A2795" s="14">
        <v>12.0</v>
      </c>
      <c r="B2795" s="15" t="s">
        <v>11518</v>
      </c>
      <c r="C2795" s="16">
        <v>27437.0</v>
      </c>
      <c r="D2795" s="17" t="s">
        <v>11519</v>
      </c>
    </row>
    <row r="2796">
      <c r="A2796" s="14" t="s">
        <v>6353</v>
      </c>
      <c r="B2796" s="15" t="s">
        <v>11520</v>
      </c>
      <c r="C2796" s="16">
        <v>27438.0</v>
      </c>
      <c r="D2796" s="17" t="s">
        <v>11521</v>
      </c>
    </row>
    <row r="2797">
      <c r="A2797" s="14">
        <v>13.0</v>
      </c>
      <c r="B2797" s="15" t="s">
        <v>11522</v>
      </c>
      <c r="C2797" s="16">
        <v>27438.0</v>
      </c>
      <c r="D2797" s="17" t="s">
        <v>11523</v>
      </c>
    </row>
    <row r="2798">
      <c r="A2798" s="14">
        <v>13.0</v>
      </c>
      <c r="B2798" s="15" t="s">
        <v>11524</v>
      </c>
      <c r="C2798" s="16">
        <v>27438.0</v>
      </c>
      <c r="D2798" s="17" t="s">
        <v>11525</v>
      </c>
    </row>
    <row r="2799">
      <c r="A2799" s="14" t="s">
        <v>5908</v>
      </c>
      <c r="B2799" s="15" t="s">
        <v>11526</v>
      </c>
      <c r="C2799" s="16">
        <v>27439.0</v>
      </c>
      <c r="D2799" s="17" t="s">
        <v>11527</v>
      </c>
    </row>
    <row r="2800">
      <c r="A2800" s="14" t="s">
        <v>6057</v>
      </c>
      <c r="B2800" s="15" t="s">
        <v>11528</v>
      </c>
      <c r="C2800" s="16">
        <v>27439.0</v>
      </c>
      <c r="D2800" s="17" t="s">
        <v>11529</v>
      </c>
    </row>
    <row r="2801">
      <c r="A2801" s="14">
        <v>14.0</v>
      </c>
      <c r="B2801" s="15" t="s">
        <v>11530</v>
      </c>
      <c r="C2801" s="16">
        <v>27439.0</v>
      </c>
      <c r="D2801" s="17" t="s">
        <v>11531</v>
      </c>
    </row>
    <row r="2802">
      <c r="A2802" s="14">
        <v>14.0</v>
      </c>
      <c r="B2802" s="15" t="s">
        <v>11532</v>
      </c>
      <c r="C2802" s="16">
        <v>27439.0</v>
      </c>
      <c r="D2802" s="17" t="s">
        <v>11533</v>
      </c>
    </row>
    <row r="2803">
      <c r="A2803" s="14">
        <v>14.0</v>
      </c>
      <c r="B2803" s="15" t="s">
        <v>11534</v>
      </c>
      <c r="C2803" s="16">
        <v>27439.0</v>
      </c>
      <c r="D2803" s="17" t="s">
        <v>11535</v>
      </c>
    </row>
    <row r="2804">
      <c r="A2804" s="14" t="s">
        <v>5908</v>
      </c>
      <c r="B2804" s="15" t="s">
        <v>11536</v>
      </c>
      <c r="C2804" s="16">
        <v>27440.0</v>
      </c>
      <c r="D2804" s="17" t="s">
        <v>11537</v>
      </c>
    </row>
    <row r="2805">
      <c r="A2805" s="14" t="s">
        <v>6353</v>
      </c>
      <c r="B2805" s="15" t="s">
        <v>11538</v>
      </c>
      <c r="C2805" s="16">
        <v>27440.0</v>
      </c>
      <c r="D2805" s="17" t="s">
        <v>11539</v>
      </c>
    </row>
    <row r="2806">
      <c r="A2806" s="14">
        <v>15.0</v>
      </c>
      <c r="B2806" s="15" t="s">
        <v>11540</v>
      </c>
      <c r="C2806" s="16">
        <v>27440.0</v>
      </c>
      <c r="D2806" s="17" t="s">
        <v>11541</v>
      </c>
    </row>
    <row r="2807">
      <c r="A2807" s="14">
        <v>15.0</v>
      </c>
      <c r="B2807" s="15" t="s">
        <v>11542</v>
      </c>
      <c r="C2807" s="16">
        <v>27440.0</v>
      </c>
      <c r="D2807" s="17" t="s">
        <v>11543</v>
      </c>
    </row>
    <row r="2808">
      <c r="A2808" s="14">
        <v>15.0</v>
      </c>
      <c r="B2808" s="15" t="s">
        <v>11544</v>
      </c>
      <c r="C2808" s="16">
        <v>27440.0</v>
      </c>
      <c r="D2808" s="17" t="s">
        <v>11545</v>
      </c>
    </row>
    <row r="2809">
      <c r="A2809" s="14">
        <v>15.0</v>
      </c>
      <c r="B2809" s="15" t="s">
        <v>11546</v>
      </c>
      <c r="C2809" s="16">
        <v>27440.0</v>
      </c>
      <c r="D2809" s="17" t="s">
        <v>11547</v>
      </c>
    </row>
    <row r="2810">
      <c r="A2810" s="14" t="s">
        <v>5908</v>
      </c>
      <c r="B2810" s="15" t="s">
        <v>11548</v>
      </c>
      <c r="C2810" s="16">
        <v>27441.0</v>
      </c>
      <c r="D2810" s="17" t="s">
        <v>11549</v>
      </c>
    </row>
    <row r="2811">
      <c r="A2811" s="14">
        <v>16.0</v>
      </c>
      <c r="B2811" s="15" t="s">
        <v>11550</v>
      </c>
      <c r="C2811" s="16">
        <v>27441.0</v>
      </c>
      <c r="D2811" s="17" t="s">
        <v>11551</v>
      </c>
    </row>
    <row r="2812">
      <c r="A2812" s="14">
        <v>16.0</v>
      </c>
      <c r="B2812" s="15" t="s">
        <v>11552</v>
      </c>
      <c r="C2812" s="16">
        <v>27441.0</v>
      </c>
      <c r="D2812" s="17" t="s">
        <v>11553</v>
      </c>
    </row>
    <row r="2813">
      <c r="A2813" s="14" t="s">
        <v>5908</v>
      </c>
      <c r="B2813" s="15" t="s">
        <v>11554</v>
      </c>
      <c r="C2813" s="16">
        <v>27442.0</v>
      </c>
      <c r="D2813" s="17" t="s">
        <v>11555</v>
      </c>
    </row>
    <row r="2814">
      <c r="A2814" s="14">
        <v>17.0</v>
      </c>
      <c r="B2814" s="15" t="s">
        <v>11556</v>
      </c>
      <c r="C2814" s="16">
        <v>27442.0</v>
      </c>
      <c r="D2814" s="17" t="s">
        <v>11557</v>
      </c>
    </row>
    <row r="2815">
      <c r="A2815" s="14">
        <v>17.0</v>
      </c>
      <c r="B2815" s="15" t="s">
        <v>11558</v>
      </c>
      <c r="C2815" s="16">
        <v>27442.0</v>
      </c>
      <c r="D2815" s="17" t="s">
        <v>11559</v>
      </c>
    </row>
    <row r="2816">
      <c r="A2816" s="14" t="s">
        <v>10504</v>
      </c>
      <c r="B2816" s="15" t="s">
        <v>11560</v>
      </c>
      <c r="C2816" s="16">
        <v>27443.0</v>
      </c>
      <c r="D2816" s="17" t="s">
        <v>11561</v>
      </c>
    </row>
    <row r="2817">
      <c r="A2817" s="14">
        <v>18.0</v>
      </c>
      <c r="B2817" s="15" t="s">
        <v>11562</v>
      </c>
      <c r="C2817" s="16">
        <v>27443.0</v>
      </c>
      <c r="D2817" s="17" t="s">
        <v>11563</v>
      </c>
    </row>
    <row r="2818">
      <c r="A2818" s="14" t="s">
        <v>6353</v>
      </c>
      <c r="B2818" s="15" t="s">
        <v>11564</v>
      </c>
      <c r="C2818" s="16">
        <v>27444.0</v>
      </c>
      <c r="D2818" s="17" t="s">
        <v>11565</v>
      </c>
    </row>
    <row r="2819">
      <c r="A2819" s="14" t="s">
        <v>6353</v>
      </c>
      <c r="B2819" s="15" t="s">
        <v>11566</v>
      </c>
      <c r="C2819" s="16">
        <v>27444.0</v>
      </c>
      <c r="D2819" s="17" t="s">
        <v>11567</v>
      </c>
    </row>
    <row r="2820">
      <c r="A2820" s="14">
        <v>19.0</v>
      </c>
      <c r="B2820" s="15" t="s">
        <v>11568</v>
      </c>
      <c r="C2820" s="16">
        <v>27444.0</v>
      </c>
      <c r="D2820" s="17" t="s">
        <v>11569</v>
      </c>
    </row>
    <row r="2821">
      <c r="A2821" s="14">
        <v>19.0</v>
      </c>
      <c r="B2821" s="15" t="s">
        <v>11570</v>
      </c>
      <c r="C2821" s="16">
        <v>27444.0</v>
      </c>
      <c r="D2821" s="17" t="s">
        <v>11571</v>
      </c>
    </row>
    <row r="2822">
      <c r="A2822" s="14">
        <v>19.0</v>
      </c>
      <c r="B2822" s="15" t="s">
        <v>11572</v>
      </c>
      <c r="C2822" s="16">
        <v>27444.0</v>
      </c>
      <c r="D2822" s="17" t="s">
        <v>11573</v>
      </c>
    </row>
    <row r="2823">
      <c r="A2823" s="14" t="s">
        <v>5932</v>
      </c>
      <c r="B2823" s="15" t="s">
        <v>11574</v>
      </c>
      <c r="C2823" s="16">
        <v>27445.0</v>
      </c>
      <c r="D2823" s="17" t="s">
        <v>11575</v>
      </c>
    </row>
    <row r="2824">
      <c r="A2824" s="14">
        <v>20.0</v>
      </c>
      <c r="B2824" s="15" t="s">
        <v>11576</v>
      </c>
      <c r="C2824" s="16">
        <v>27445.0</v>
      </c>
      <c r="D2824" s="17" t="s">
        <v>11577</v>
      </c>
    </row>
    <row r="2825">
      <c r="A2825" s="14">
        <v>20.0</v>
      </c>
      <c r="B2825" s="15" t="s">
        <v>11578</v>
      </c>
      <c r="C2825" s="16">
        <v>27445.0</v>
      </c>
      <c r="D2825" s="17" t="s">
        <v>11579</v>
      </c>
    </row>
    <row r="2826">
      <c r="A2826" s="14" t="s">
        <v>6374</v>
      </c>
      <c r="B2826" s="15" t="s">
        <v>11580</v>
      </c>
      <c r="C2826" s="16">
        <v>27446.0</v>
      </c>
      <c r="D2826" s="17" t="s">
        <v>11581</v>
      </c>
    </row>
    <row r="2827">
      <c r="A2827" s="14" t="s">
        <v>6353</v>
      </c>
      <c r="B2827" s="15" t="s">
        <v>11582</v>
      </c>
      <c r="C2827" s="16">
        <v>27446.0</v>
      </c>
      <c r="D2827" s="17" t="s">
        <v>11583</v>
      </c>
    </row>
    <row r="2828">
      <c r="A2828" s="14" t="s">
        <v>5932</v>
      </c>
      <c r="B2828" s="15" t="s">
        <v>11584</v>
      </c>
      <c r="C2828" s="16">
        <v>27446.0</v>
      </c>
      <c r="D2828" s="17" t="s">
        <v>11585</v>
      </c>
    </row>
    <row r="2829">
      <c r="A2829" s="14">
        <v>21.0</v>
      </c>
      <c r="B2829" s="15" t="s">
        <v>11586</v>
      </c>
      <c r="C2829" s="16">
        <v>27446.0</v>
      </c>
      <c r="D2829" s="17" t="s">
        <v>11587</v>
      </c>
    </row>
    <row r="2830">
      <c r="A2830" s="14">
        <v>21.0</v>
      </c>
      <c r="B2830" s="15" t="s">
        <v>11588</v>
      </c>
      <c r="C2830" s="16">
        <v>27446.0</v>
      </c>
      <c r="D2830" s="17" t="s">
        <v>11589</v>
      </c>
    </row>
    <row r="2831">
      <c r="A2831" s="14">
        <v>21.0</v>
      </c>
      <c r="B2831" s="15" t="s">
        <v>11590</v>
      </c>
      <c r="C2831" s="16">
        <v>27446.0</v>
      </c>
      <c r="D2831" s="17" t="s">
        <v>11591</v>
      </c>
    </row>
    <row r="2832">
      <c r="A2832" s="14">
        <v>21.0</v>
      </c>
      <c r="B2832" s="15" t="s">
        <v>11592</v>
      </c>
      <c r="C2832" s="16">
        <v>27446.0</v>
      </c>
      <c r="D2832" s="17" t="s">
        <v>11593</v>
      </c>
    </row>
    <row r="2833">
      <c r="A2833" s="14">
        <v>21.0</v>
      </c>
      <c r="B2833" s="15" t="s">
        <v>11594</v>
      </c>
      <c r="C2833" s="16">
        <v>27446.0</v>
      </c>
      <c r="D2833" s="17" t="s">
        <v>11595</v>
      </c>
    </row>
    <row r="2834">
      <c r="A2834" s="14">
        <v>21.0</v>
      </c>
      <c r="B2834" s="15" t="s">
        <v>11596</v>
      </c>
      <c r="C2834" s="16">
        <v>27446.0</v>
      </c>
      <c r="D2834" s="17" t="s">
        <v>11597</v>
      </c>
    </row>
    <row r="2835">
      <c r="A2835" s="14" t="s">
        <v>6353</v>
      </c>
      <c r="B2835" s="15" t="s">
        <v>11598</v>
      </c>
      <c r="C2835" s="16">
        <v>27447.0</v>
      </c>
      <c r="D2835" s="17" t="s">
        <v>11599</v>
      </c>
    </row>
    <row r="2836">
      <c r="A2836" s="14" t="s">
        <v>6057</v>
      </c>
      <c r="B2836" s="15" t="s">
        <v>11600</v>
      </c>
      <c r="C2836" s="16">
        <v>27447.0</v>
      </c>
      <c r="D2836" s="17" t="s">
        <v>11601</v>
      </c>
    </row>
    <row r="2837">
      <c r="A2837" s="14">
        <v>22.0</v>
      </c>
      <c r="B2837" s="15" t="s">
        <v>11602</v>
      </c>
      <c r="C2837" s="16">
        <v>27447.0</v>
      </c>
      <c r="D2837" s="17" t="s">
        <v>11603</v>
      </c>
    </row>
    <row r="2838">
      <c r="A2838" s="14">
        <v>22.0</v>
      </c>
      <c r="B2838" s="15" t="s">
        <v>11604</v>
      </c>
      <c r="C2838" s="16">
        <v>27447.0</v>
      </c>
      <c r="D2838" s="17" t="s">
        <v>11605</v>
      </c>
    </row>
    <row r="2839">
      <c r="A2839" s="14">
        <v>22.0</v>
      </c>
      <c r="B2839" s="15" t="s">
        <v>11606</v>
      </c>
      <c r="C2839" s="16">
        <v>27447.0</v>
      </c>
      <c r="D2839" s="17" t="s">
        <v>11607</v>
      </c>
    </row>
    <row r="2840">
      <c r="A2840" s="14">
        <v>22.0</v>
      </c>
      <c r="B2840" s="15" t="s">
        <v>11608</v>
      </c>
      <c r="C2840" s="16">
        <v>27447.0</v>
      </c>
      <c r="D2840" s="17" t="s">
        <v>11609</v>
      </c>
    </row>
    <row r="2841">
      <c r="A2841" s="14" t="s">
        <v>5895</v>
      </c>
      <c r="B2841" s="15" t="s">
        <v>11610</v>
      </c>
      <c r="C2841" s="16">
        <v>27447.0</v>
      </c>
      <c r="D2841" s="17" t="s">
        <v>11611</v>
      </c>
    </row>
    <row r="2842">
      <c r="A2842" s="14" t="s">
        <v>5932</v>
      </c>
      <c r="B2842" s="15" t="s">
        <v>11612</v>
      </c>
      <c r="C2842" s="16">
        <v>27448.0</v>
      </c>
      <c r="D2842" s="17" t="s">
        <v>11613</v>
      </c>
    </row>
    <row r="2843">
      <c r="A2843" s="14">
        <v>23.0</v>
      </c>
      <c r="B2843" s="15" t="s">
        <v>11614</v>
      </c>
      <c r="C2843" s="16">
        <v>27448.0</v>
      </c>
      <c r="D2843" s="17" t="s">
        <v>11615</v>
      </c>
    </row>
    <row r="2844">
      <c r="A2844" s="14">
        <v>23.0</v>
      </c>
      <c r="B2844" s="15" t="s">
        <v>11616</v>
      </c>
      <c r="C2844" s="16">
        <v>27448.0</v>
      </c>
      <c r="D2844" s="17" t="s">
        <v>11617</v>
      </c>
    </row>
    <row r="2845">
      <c r="A2845" s="14">
        <v>23.0</v>
      </c>
      <c r="B2845" s="15" t="s">
        <v>11618</v>
      </c>
      <c r="C2845" s="16">
        <v>27448.0</v>
      </c>
      <c r="D2845" s="17" t="s">
        <v>11619</v>
      </c>
    </row>
    <row r="2846">
      <c r="A2846" s="14" t="s">
        <v>5932</v>
      </c>
      <c r="B2846" s="15" t="s">
        <v>11620</v>
      </c>
      <c r="C2846" s="16">
        <v>27449.0</v>
      </c>
      <c r="D2846" s="17" t="s">
        <v>11621</v>
      </c>
    </row>
    <row r="2847">
      <c r="A2847" s="14">
        <v>24.0</v>
      </c>
      <c r="B2847" s="15" t="s">
        <v>11622</v>
      </c>
      <c r="C2847" s="16">
        <v>27449.0</v>
      </c>
      <c r="D2847" s="17" t="s">
        <v>11623</v>
      </c>
    </row>
    <row r="2848">
      <c r="A2848" s="14">
        <v>24.0</v>
      </c>
      <c r="B2848" s="15" t="s">
        <v>11624</v>
      </c>
      <c r="C2848" s="16">
        <v>27449.0</v>
      </c>
      <c r="D2848" s="17" t="s">
        <v>11625</v>
      </c>
    </row>
    <row r="2849">
      <c r="A2849" s="14" t="s">
        <v>6753</v>
      </c>
      <c r="B2849" s="15" t="s">
        <v>11626</v>
      </c>
      <c r="C2849" s="16">
        <v>27450.0</v>
      </c>
      <c r="D2849" s="17" t="s">
        <v>11627</v>
      </c>
    </row>
    <row r="2850">
      <c r="A2850" s="14" t="s">
        <v>7676</v>
      </c>
      <c r="B2850" s="15" t="s">
        <v>11628</v>
      </c>
      <c r="C2850" s="16">
        <v>27450.0</v>
      </c>
      <c r="D2850" s="17" t="s">
        <v>11629</v>
      </c>
    </row>
    <row r="2851">
      <c r="A2851" s="14" t="s">
        <v>7676</v>
      </c>
      <c r="B2851" s="15" t="s">
        <v>11630</v>
      </c>
      <c r="C2851" s="16">
        <v>27450.0</v>
      </c>
      <c r="D2851" s="17" t="s">
        <v>11631</v>
      </c>
    </row>
    <row r="2852">
      <c r="A2852" s="14" t="s">
        <v>10504</v>
      </c>
      <c r="B2852" s="15" t="s">
        <v>11632</v>
      </c>
      <c r="C2852" s="16">
        <v>27450.0</v>
      </c>
      <c r="D2852" s="17" t="s">
        <v>11633</v>
      </c>
    </row>
    <row r="2853">
      <c r="A2853" s="14">
        <v>25.0</v>
      </c>
      <c r="B2853" s="15" t="s">
        <v>11634</v>
      </c>
      <c r="C2853" s="16">
        <v>27450.0</v>
      </c>
      <c r="D2853" s="17" t="s">
        <v>11635</v>
      </c>
    </row>
    <row r="2854">
      <c r="A2854" s="14">
        <v>25.0</v>
      </c>
      <c r="B2854" s="15" t="s">
        <v>11636</v>
      </c>
      <c r="C2854" s="16">
        <v>27450.0</v>
      </c>
      <c r="D2854" s="17" t="s">
        <v>11637</v>
      </c>
    </row>
    <row r="2855">
      <c r="A2855" s="14">
        <v>25.0</v>
      </c>
      <c r="B2855" s="15" t="s">
        <v>11638</v>
      </c>
      <c r="C2855" s="16">
        <v>27450.0</v>
      </c>
      <c r="D2855" s="17" t="s">
        <v>11639</v>
      </c>
    </row>
    <row r="2856">
      <c r="A2856" s="14">
        <v>25.0</v>
      </c>
      <c r="B2856" s="15" t="s">
        <v>11640</v>
      </c>
      <c r="C2856" s="16">
        <v>27450.0</v>
      </c>
      <c r="D2856" s="17" t="s">
        <v>11641</v>
      </c>
    </row>
    <row r="2857">
      <c r="A2857" s="14">
        <v>25.0</v>
      </c>
      <c r="B2857" s="15" t="s">
        <v>11642</v>
      </c>
      <c r="C2857" s="16">
        <v>27450.0</v>
      </c>
      <c r="D2857" s="17" t="s">
        <v>11643</v>
      </c>
    </row>
    <row r="2858">
      <c r="A2858" s="14" t="s">
        <v>7676</v>
      </c>
      <c r="B2858" s="15" t="s">
        <v>11644</v>
      </c>
      <c r="C2858" s="16">
        <v>27451.0</v>
      </c>
      <c r="D2858" s="17" t="s">
        <v>11645</v>
      </c>
    </row>
    <row r="2859">
      <c r="A2859" s="14">
        <v>26.0</v>
      </c>
      <c r="B2859" s="15" t="s">
        <v>11646</v>
      </c>
      <c r="C2859" s="16">
        <v>27451.0</v>
      </c>
      <c r="D2859" s="17" t="s">
        <v>11647</v>
      </c>
    </row>
    <row r="2860">
      <c r="A2860" s="14">
        <v>26.0</v>
      </c>
      <c r="B2860" s="15" t="s">
        <v>11648</v>
      </c>
      <c r="C2860" s="16">
        <v>27451.0</v>
      </c>
      <c r="D2860" s="17" t="s">
        <v>11649</v>
      </c>
    </row>
    <row r="2861">
      <c r="A2861" s="14" t="s">
        <v>7676</v>
      </c>
      <c r="B2861" s="15" t="s">
        <v>11650</v>
      </c>
      <c r="C2861" s="16">
        <v>27452.0</v>
      </c>
      <c r="D2861" s="17" t="s">
        <v>11651</v>
      </c>
    </row>
    <row r="2862">
      <c r="A2862" s="14">
        <v>27.0</v>
      </c>
      <c r="B2862" s="15" t="s">
        <v>11652</v>
      </c>
      <c r="C2862" s="16">
        <v>27452.0</v>
      </c>
      <c r="D2862" s="17" t="s">
        <v>11653</v>
      </c>
    </row>
    <row r="2863">
      <c r="A2863" s="14">
        <v>27.0</v>
      </c>
      <c r="B2863" s="15" t="s">
        <v>11654</v>
      </c>
      <c r="C2863" s="16">
        <v>27452.0</v>
      </c>
      <c r="D2863" s="17" t="s">
        <v>11655</v>
      </c>
    </row>
    <row r="2864">
      <c r="A2864" s="14" t="s">
        <v>6753</v>
      </c>
      <c r="B2864" s="15" t="s">
        <v>11656</v>
      </c>
      <c r="C2864" s="16">
        <v>27453.0</v>
      </c>
      <c r="D2864" s="17" t="s">
        <v>11657</v>
      </c>
    </row>
    <row r="2865">
      <c r="A2865" s="14" t="s">
        <v>6353</v>
      </c>
      <c r="B2865" s="15" t="s">
        <v>11658</v>
      </c>
      <c r="C2865" s="16">
        <v>27453.0</v>
      </c>
      <c r="D2865" s="17" t="s">
        <v>11659</v>
      </c>
    </row>
    <row r="2866">
      <c r="A2866" s="14" t="s">
        <v>6057</v>
      </c>
      <c r="B2866" s="15" t="s">
        <v>11660</v>
      </c>
      <c r="C2866" s="16">
        <v>27453.0</v>
      </c>
      <c r="D2866" s="17" t="s">
        <v>11661</v>
      </c>
    </row>
    <row r="2867">
      <c r="A2867" s="14">
        <v>28.0</v>
      </c>
      <c r="B2867" s="15" t="s">
        <v>11662</v>
      </c>
      <c r="C2867" s="16">
        <v>27453.0</v>
      </c>
      <c r="D2867" s="17" t="s">
        <v>11663</v>
      </c>
    </row>
    <row r="2868">
      <c r="A2868" s="14">
        <v>28.0</v>
      </c>
      <c r="B2868" s="15" t="s">
        <v>11664</v>
      </c>
      <c r="C2868" s="16">
        <v>27453.0</v>
      </c>
      <c r="D2868" s="17" t="s">
        <v>11665</v>
      </c>
    </row>
    <row r="2869">
      <c r="A2869" s="14">
        <v>28.0</v>
      </c>
      <c r="B2869" s="15" t="s">
        <v>11666</v>
      </c>
      <c r="C2869" s="16">
        <v>27453.0</v>
      </c>
      <c r="D2869" s="17" t="s">
        <v>11667</v>
      </c>
    </row>
    <row r="2870">
      <c r="A2870" s="14">
        <v>28.0</v>
      </c>
      <c r="B2870" s="15" t="s">
        <v>11668</v>
      </c>
      <c r="C2870" s="16">
        <v>27453.0</v>
      </c>
      <c r="D2870" s="17" t="s">
        <v>11669</v>
      </c>
    </row>
    <row r="2871">
      <c r="A2871" s="14">
        <v>28.0</v>
      </c>
      <c r="B2871" s="15" t="s">
        <v>11670</v>
      </c>
      <c r="C2871" s="16">
        <v>27453.0</v>
      </c>
      <c r="D2871" s="17" t="s">
        <v>11671</v>
      </c>
    </row>
    <row r="2872">
      <c r="A2872" s="14" t="s">
        <v>5895</v>
      </c>
      <c r="B2872" s="15" t="s">
        <v>11672</v>
      </c>
      <c r="C2872" s="16">
        <v>27453.0</v>
      </c>
      <c r="D2872" s="17" t="s">
        <v>11673</v>
      </c>
    </row>
    <row r="2873">
      <c r="A2873" s="14" t="s">
        <v>9247</v>
      </c>
      <c r="B2873" s="15" t="s">
        <v>11674</v>
      </c>
      <c r="C2873" s="16">
        <v>27454.0</v>
      </c>
      <c r="D2873" s="17" t="s">
        <v>11675</v>
      </c>
    </row>
    <row r="2874">
      <c r="A2874" s="14" t="s">
        <v>6374</v>
      </c>
      <c r="B2874" s="15" t="s">
        <v>11676</v>
      </c>
      <c r="C2874" s="16">
        <v>27454.0</v>
      </c>
      <c r="D2874" s="17" t="s">
        <v>11677</v>
      </c>
    </row>
    <row r="2875">
      <c r="A2875" s="14" t="s">
        <v>6353</v>
      </c>
      <c r="B2875" s="15" t="s">
        <v>11678</v>
      </c>
      <c r="C2875" s="16">
        <v>27454.0</v>
      </c>
      <c r="D2875" s="17" t="s">
        <v>11679</v>
      </c>
    </row>
    <row r="2876">
      <c r="A2876" s="14" t="s">
        <v>6353</v>
      </c>
      <c r="B2876" s="15" t="s">
        <v>11680</v>
      </c>
      <c r="C2876" s="16">
        <v>27454.0</v>
      </c>
      <c r="D2876" s="17" t="s">
        <v>11681</v>
      </c>
    </row>
    <row r="2877">
      <c r="A2877" s="14" t="s">
        <v>6353</v>
      </c>
      <c r="B2877" s="15" t="s">
        <v>11682</v>
      </c>
      <c r="C2877" s="16">
        <v>27454.0</v>
      </c>
      <c r="D2877" s="17" t="s">
        <v>11683</v>
      </c>
    </row>
    <row r="2878">
      <c r="A2878" s="14">
        <v>1.0</v>
      </c>
      <c r="B2878" s="15" t="s">
        <v>11684</v>
      </c>
      <c r="C2878" s="16">
        <v>27454.0</v>
      </c>
      <c r="D2878" s="17" t="s">
        <v>11685</v>
      </c>
    </row>
    <row r="2879">
      <c r="A2879" s="14">
        <v>1.0</v>
      </c>
      <c r="B2879" s="15" t="s">
        <v>11686</v>
      </c>
      <c r="C2879" s="16">
        <v>27454.0</v>
      </c>
      <c r="D2879" s="17" t="s">
        <v>11687</v>
      </c>
    </row>
    <row r="2880">
      <c r="A2880" s="14">
        <v>1.0</v>
      </c>
      <c r="B2880" s="15" t="s">
        <v>11688</v>
      </c>
      <c r="C2880" s="16">
        <v>27454.0</v>
      </c>
      <c r="D2880" s="17" t="s">
        <v>11689</v>
      </c>
    </row>
    <row r="2881">
      <c r="A2881" s="14">
        <v>1.0</v>
      </c>
      <c r="B2881" s="15" t="s">
        <v>11690</v>
      </c>
      <c r="C2881" s="16">
        <v>27454.0</v>
      </c>
      <c r="D2881" s="17" t="s">
        <v>11691</v>
      </c>
    </row>
    <row r="2882">
      <c r="A2882" s="14">
        <v>1.0</v>
      </c>
      <c r="B2882" s="15" t="s">
        <v>11692</v>
      </c>
      <c r="C2882" s="16">
        <v>27454.0</v>
      </c>
      <c r="D2882" s="17" t="s">
        <v>11693</v>
      </c>
    </row>
    <row r="2883">
      <c r="A2883" s="14">
        <v>1.0</v>
      </c>
      <c r="B2883" s="15" t="s">
        <v>11694</v>
      </c>
      <c r="C2883" s="16">
        <v>27454.0</v>
      </c>
      <c r="D2883" s="17" t="s">
        <v>11695</v>
      </c>
    </row>
    <row r="2884">
      <c r="A2884" s="14">
        <v>1.0</v>
      </c>
      <c r="B2884" s="15" t="s">
        <v>11696</v>
      </c>
      <c r="C2884" s="16">
        <v>27454.0</v>
      </c>
      <c r="D2884" s="17" t="s">
        <v>11697</v>
      </c>
    </row>
    <row r="2885">
      <c r="A2885" s="14">
        <v>1.0</v>
      </c>
      <c r="B2885" s="15" t="s">
        <v>11698</v>
      </c>
      <c r="C2885" s="16">
        <v>27454.0</v>
      </c>
      <c r="D2885" s="17" t="s">
        <v>11699</v>
      </c>
    </row>
    <row r="2886">
      <c r="A2886" s="14">
        <v>1.0</v>
      </c>
      <c r="B2886" s="15" t="s">
        <v>11700</v>
      </c>
      <c r="C2886" s="16">
        <v>27454.0</v>
      </c>
      <c r="D2886" s="17" t="s">
        <v>11701</v>
      </c>
    </row>
    <row r="2887">
      <c r="A2887" s="14" t="s">
        <v>6087</v>
      </c>
      <c r="B2887" s="15" t="s">
        <v>11702</v>
      </c>
      <c r="C2887" s="16">
        <v>27455.0</v>
      </c>
      <c r="D2887" s="17" t="s">
        <v>11703</v>
      </c>
    </row>
    <row r="2888">
      <c r="A2888" s="14" t="s">
        <v>6374</v>
      </c>
      <c r="B2888" s="15" t="s">
        <v>11704</v>
      </c>
      <c r="C2888" s="16">
        <v>27455.0</v>
      </c>
      <c r="D2888" s="17" t="s">
        <v>11705</v>
      </c>
    </row>
    <row r="2889">
      <c r="A2889" s="14" t="s">
        <v>6353</v>
      </c>
      <c r="B2889" s="15" t="s">
        <v>11706</v>
      </c>
      <c r="C2889" s="16">
        <v>27455.0</v>
      </c>
      <c r="D2889" s="17" t="s">
        <v>11707</v>
      </c>
    </row>
    <row r="2890">
      <c r="A2890" s="14" t="s">
        <v>6353</v>
      </c>
      <c r="B2890" s="15" t="s">
        <v>11708</v>
      </c>
      <c r="C2890" s="16">
        <v>27455.0</v>
      </c>
      <c r="D2890" s="17" t="s">
        <v>11709</v>
      </c>
    </row>
    <row r="2891">
      <c r="A2891" s="14" t="s">
        <v>6057</v>
      </c>
      <c r="B2891" s="15" t="s">
        <v>11710</v>
      </c>
      <c r="C2891" s="16">
        <v>27455.0</v>
      </c>
      <c r="D2891" s="17" t="s">
        <v>11711</v>
      </c>
    </row>
    <row r="2892">
      <c r="A2892" s="14">
        <v>2.0</v>
      </c>
      <c r="B2892" s="15" t="s">
        <v>11712</v>
      </c>
      <c r="C2892" s="16">
        <v>27455.0</v>
      </c>
      <c r="D2892" s="17" t="s">
        <v>11713</v>
      </c>
    </row>
    <row r="2893">
      <c r="A2893" s="14">
        <v>2.0</v>
      </c>
      <c r="B2893" s="15" t="s">
        <v>11714</v>
      </c>
      <c r="C2893" s="16">
        <v>27455.0</v>
      </c>
      <c r="D2893" s="17" t="s">
        <v>11715</v>
      </c>
    </row>
    <row r="2894">
      <c r="A2894" s="14">
        <v>2.0</v>
      </c>
      <c r="B2894" s="15" t="s">
        <v>11716</v>
      </c>
      <c r="C2894" s="16">
        <v>27455.0</v>
      </c>
      <c r="D2894" s="17" t="s">
        <v>11717</v>
      </c>
    </row>
    <row r="2895">
      <c r="A2895" s="14">
        <v>2.0</v>
      </c>
      <c r="B2895" s="15" t="s">
        <v>11718</v>
      </c>
      <c r="C2895" s="16">
        <v>27455.0</v>
      </c>
      <c r="D2895" s="17" t="s">
        <v>11719</v>
      </c>
    </row>
    <row r="2896">
      <c r="A2896" s="14">
        <v>2.0</v>
      </c>
      <c r="B2896" s="15" t="s">
        <v>11720</v>
      </c>
      <c r="C2896" s="16">
        <v>27455.0</v>
      </c>
      <c r="D2896" s="17" t="s">
        <v>11721</v>
      </c>
    </row>
    <row r="2897">
      <c r="A2897" s="14">
        <v>2.0</v>
      </c>
      <c r="B2897" s="15" t="s">
        <v>11722</v>
      </c>
      <c r="C2897" s="16">
        <v>27455.0</v>
      </c>
      <c r="D2897" s="17" t="s">
        <v>11723</v>
      </c>
    </row>
    <row r="2898">
      <c r="A2898" s="14">
        <v>2.0</v>
      </c>
      <c r="B2898" s="15" t="s">
        <v>11724</v>
      </c>
      <c r="C2898" s="16">
        <v>27455.0</v>
      </c>
      <c r="D2898" s="17" t="s">
        <v>11725</v>
      </c>
    </row>
    <row r="2899">
      <c r="A2899" s="14" t="s">
        <v>6753</v>
      </c>
      <c r="B2899" s="15" t="s">
        <v>11726</v>
      </c>
      <c r="C2899" s="16">
        <v>27456.0</v>
      </c>
      <c r="D2899" s="17" t="s">
        <v>11727</v>
      </c>
    </row>
    <row r="2900">
      <c r="A2900" s="14" t="s">
        <v>7968</v>
      </c>
      <c r="B2900" s="15" t="s">
        <v>11728</v>
      </c>
      <c r="C2900" s="16">
        <v>27456.0</v>
      </c>
      <c r="D2900" s="17" t="s">
        <v>11729</v>
      </c>
    </row>
    <row r="2901">
      <c r="A2901" s="14">
        <v>3.0</v>
      </c>
      <c r="B2901" s="15" t="s">
        <v>11730</v>
      </c>
      <c r="C2901" s="16">
        <v>27456.0</v>
      </c>
      <c r="D2901" s="17" t="s">
        <v>11731</v>
      </c>
    </row>
    <row r="2902">
      <c r="A2902" s="14">
        <v>3.0</v>
      </c>
      <c r="B2902" s="15" t="s">
        <v>11732</v>
      </c>
      <c r="C2902" s="16">
        <v>27456.0</v>
      </c>
      <c r="D2902" s="17" t="s">
        <v>11733</v>
      </c>
    </row>
    <row r="2903">
      <c r="A2903" s="14">
        <v>3.0</v>
      </c>
      <c r="B2903" s="15" t="s">
        <v>11734</v>
      </c>
      <c r="C2903" s="16">
        <v>27456.0</v>
      </c>
      <c r="D2903" s="17" t="s">
        <v>11735</v>
      </c>
    </row>
    <row r="2904">
      <c r="A2904" s="14">
        <v>3.0</v>
      </c>
      <c r="B2904" s="15" t="s">
        <v>11736</v>
      </c>
      <c r="C2904" s="16">
        <v>27456.0</v>
      </c>
      <c r="D2904" s="17" t="s">
        <v>11737</v>
      </c>
    </row>
    <row r="2905">
      <c r="A2905" s="14" t="s">
        <v>9247</v>
      </c>
      <c r="B2905" s="15" t="s">
        <v>11738</v>
      </c>
      <c r="C2905" s="16">
        <v>27457.0</v>
      </c>
      <c r="D2905" s="17" t="s">
        <v>11739</v>
      </c>
    </row>
    <row r="2906">
      <c r="A2906" s="14" t="s">
        <v>6374</v>
      </c>
      <c r="B2906" s="15" t="s">
        <v>11740</v>
      </c>
      <c r="C2906" s="16">
        <v>27457.0</v>
      </c>
      <c r="D2906" s="17" t="s">
        <v>11741</v>
      </c>
    </row>
    <row r="2907">
      <c r="A2907" s="14">
        <v>4.0</v>
      </c>
      <c r="B2907" s="15" t="s">
        <v>11742</v>
      </c>
      <c r="C2907" s="16">
        <v>27457.0</v>
      </c>
      <c r="D2907" s="17" t="s">
        <v>11743</v>
      </c>
    </row>
    <row r="2908">
      <c r="A2908" s="14">
        <v>4.0</v>
      </c>
      <c r="B2908" s="15" t="s">
        <v>11744</v>
      </c>
      <c r="C2908" s="16">
        <v>27457.0</v>
      </c>
      <c r="D2908" s="17" t="s">
        <v>11745</v>
      </c>
    </row>
    <row r="2909">
      <c r="A2909" s="14">
        <v>4.0</v>
      </c>
      <c r="B2909" s="15" t="s">
        <v>11746</v>
      </c>
      <c r="C2909" s="16">
        <v>27457.0</v>
      </c>
      <c r="D2909" s="17" t="s">
        <v>11747</v>
      </c>
    </row>
    <row r="2910">
      <c r="A2910" s="14">
        <v>4.0</v>
      </c>
      <c r="B2910" s="15" t="s">
        <v>11748</v>
      </c>
      <c r="C2910" s="16">
        <v>27457.0</v>
      </c>
      <c r="D2910" s="17" t="s">
        <v>11749</v>
      </c>
    </row>
    <row r="2911">
      <c r="A2911" s="14" t="s">
        <v>358</v>
      </c>
      <c r="B2911" s="15" t="s">
        <v>11750</v>
      </c>
      <c r="C2911" s="16">
        <v>27458.0</v>
      </c>
      <c r="D2911" s="17" t="s">
        <v>11751</v>
      </c>
    </row>
    <row r="2912">
      <c r="A2912" s="14" t="s">
        <v>6487</v>
      </c>
      <c r="B2912" s="15" t="s">
        <v>11752</v>
      </c>
      <c r="C2912" s="16">
        <v>27458.0</v>
      </c>
      <c r="D2912" s="17" t="s">
        <v>11753</v>
      </c>
    </row>
    <row r="2913">
      <c r="A2913" s="14">
        <v>5.0</v>
      </c>
      <c r="B2913" s="15" t="s">
        <v>11754</v>
      </c>
      <c r="C2913" s="16">
        <v>27458.0</v>
      </c>
      <c r="D2913" s="17" t="s">
        <v>11755</v>
      </c>
    </row>
    <row r="2914">
      <c r="A2914" s="14">
        <v>5.0</v>
      </c>
      <c r="B2914" s="15" t="s">
        <v>11756</v>
      </c>
      <c r="C2914" s="16">
        <v>27458.0</v>
      </c>
      <c r="D2914" s="17" t="s">
        <v>11757</v>
      </c>
    </row>
    <row r="2915">
      <c r="A2915" s="14">
        <v>5.0</v>
      </c>
      <c r="B2915" s="15" t="s">
        <v>11758</v>
      </c>
      <c r="C2915" s="16">
        <v>27458.0</v>
      </c>
      <c r="D2915" s="17" t="s">
        <v>11759</v>
      </c>
    </row>
    <row r="2916">
      <c r="A2916" s="14">
        <v>5.0</v>
      </c>
      <c r="B2916" s="15" t="s">
        <v>11760</v>
      </c>
      <c r="C2916" s="16">
        <v>27458.0</v>
      </c>
      <c r="D2916" s="17" t="s">
        <v>11761</v>
      </c>
    </row>
    <row r="2917">
      <c r="A2917" s="14" t="s">
        <v>5932</v>
      </c>
      <c r="B2917" s="15" t="s">
        <v>11762</v>
      </c>
      <c r="C2917" s="16">
        <v>27459.0</v>
      </c>
      <c r="D2917" s="17" t="s">
        <v>11763</v>
      </c>
    </row>
    <row r="2918">
      <c r="A2918" s="14" t="s">
        <v>5932</v>
      </c>
      <c r="B2918" s="15" t="s">
        <v>11764</v>
      </c>
      <c r="C2918" s="16">
        <v>27459.0</v>
      </c>
      <c r="D2918" s="17" t="s">
        <v>11765</v>
      </c>
    </row>
    <row r="2919">
      <c r="A2919" s="14" t="s">
        <v>6487</v>
      </c>
      <c r="B2919" s="15" t="s">
        <v>11766</v>
      </c>
      <c r="C2919" s="16">
        <v>27459.0</v>
      </c>
      <c r="D2919" s="17" t="s">
        <v>11767</v>
      </c>
    </row>
    <row r="2920">
      <c r="A2920" s="14">
        <v>6.0</v>
      </c>
      <c r="B2920" s="15" t="s">
        <v>11768</v>
      </c>
      <c r="C2920" s="16">
        <v>27459.0</v>
      </c>
      <c r="D2920" s="17" t="s">
        <v>11769</v>
      </c>
    </row>
    <row r="2921">
      <c r="A2921" s="14">
        <v>6.0</v>
      </c>
      <c r="B2921" s="15" t="s">
        <v>11770</v>
      </c>
      <c r="C2921" s="16">
        <v>27459.0</v>
      </c>
      <c r="D2921" s="17" t="s">
        <v>11771</v>
      </c>
    </row>
    <row r="2922">
      <c r="A2922" s="14">
        <v>6.0</v>
      </c>
      <c r="B2922" s="15" t="s">
        <v>11772</v>
      </c>
      <c r="C2922" s="16">
        <v>27459.0</v>
      </c>
      <c r="D2922" s="17" t="s">
        <v>11773</v>
      </c>
    </row>
    <row r="2923">
      <c r="A2923" s="14" t="s">
        <v>5895</v>
      </c>
      <c r="B2923" s="15" t="s">
        <v>11774</v>
      </c>
      <c r="C2923" s="16">
        <v>27460.0</v>
      </c>
      <c r="D2923" s="17" t="s">
        <v>11775</v>
      </c>
    </row>
    <row r="2924">
      <c r="A2924" s="14">
        <v>7.0</v>
      </c>
      <c r="B2924" s="15" t="s">
        <v>11776</v>
      </c>
      <c r="C2924" s="16">
        <v>27460.0</v>
      </c>
      <c r="D2924" s="17" t="s">
        <v>11777</v>
      </c>
    </row>
    <row r="2925">
      <c r="A2925" s="14" t="s">
        <v>6753</v>
      </c>
      <c r="B2925" s="15" t="s">
        <v>11778</v>
      </c>
      <c r="C2925" s="16">
        <v>27461.0</v>
      </c>
      <c r="D2925" s="17" t="s">
        <v>11779</v>
      </c>
    </row>
    <row r="2926">
      <c r="A2926" s="14" t="s">
        <v>6353</v>
      </c>
      <c r="B2926" s="15" t="s">
        <v>11780</v>
      </c>
      <c r="C2926" s="16">
        <v>27461.0</v>
      </c>
      <c r="D2926" s="17" t="s">
        <v>11781</v>
      </c>
    </row>
    <row r="2927">
      <c r="A2927" s="14">
        <v>8.0</v>
      </c>
      <c r="B2927" s="15" t="s">
        <v>11782</v>
      </c>
      <c r="C2927" s="16">
        <v>27461.0</v>
      </c>
      <c r="D2927" s="17" t="s">
        <v>11783</v>
      </c>
    </row>
    <row r="2928">
      <c r="A2928" s="14">
        <v>8.0</v>
      </c>
      <c r="B2928" s="15" t="s">
        <v>11784</v>
      </c>
      <c r="C2928" s="16">
        <v>27461.0</v>
      </c>
      <c r="D2928" s="17" t="s">
        <v>11785</v>
      </c>
    </row>
    <row r="2929">
      <c r="A2929" s="14" t="s">
        <v>6074</v>
      </c>
      <c r="B2929" s="15" t="s">
        <v>11786</v>
      </c>
      <c r="C2929" s="16">
        <v>27462.0</v>
      </c>
      <c r="D2929" s="17" t="s">
        <v>11787</v>
      </c>
    </row>
    <row r="2930">
      <c r="A2930" s="14" t="s">
        <v>6353</v>
      </c>
      <c r="B2930" s="15" t="s">
        <v>11788</v>
      </c>
      <c r="C2930" s="16">
        <v>27462.0</v>
      </c>
      <c r="D2930" s="17" t="s">
        <v>11789</v>
      </c>
    </row>
    <row r="2931">
      <c r="A2931" s="14">
        <v>9.0</v>
      </c>
      <c r="B2931" s="15" t="s">
        <v>11790</v>
      </c>
      <c r="C2931" s="16">
        <v>27462.0</v>
      </c>
      <c r="D2931" s="17" t="s">
        <v>11791</v>
      </c>
    </row>
    <row r="2932">
      <c r="A2932" s="14">
        <v>9.0</v>
      </c>
      <c r="B2932" s="15" t="s">
        <v>11792</v>
      </c>
      <c r="C2932" s="16">
        <v>27462.0</v>
      </c>
      <c r="D2932" s="17" t="s">
        <v>11793</v>
      </c>
    </row>
    <row r="2933">
      <c r="A2933" s="14">
        <v>9.0</v>
      </c>
      <c r="B2933" s="15" t="s">
        <v>11794</v>
      </c>
      <c r="C2933" s="16">
        <v>27462.0</v>
      </c>
      <c r="D2933" s="17" t="s">
        <v>11795</v>
      </c>
    </row>
    <row r="2934">
      <c r="A2934" s="14">
        <v>9.0</v>
      </c>
      <c r="B2934" s="15" t="s">
        <v>11796</v>
      </c>
      <c r="C2934" s="16">
        <v>27462.0</v>
      </c>
      <c r="D2934" s="17" t="s">
        <v>11797</v>
      </c>
    </row>
    <row r="2935">
      <c r="A2935" s="14" t="s">
        <v>6074</v>
      </c>
      <c r="B2935" s="15" t="s">
        <v>11798</v>
      </c>
      <c r="C2935" s="16">
        <v>27463.0</v>
      </c>
      <c r="D2935" s="17" t="s">
        <v>11799</v>
      </c>
    </row>
    <row r="2936">
      <c r="A2936" s="14">
        <v>10.0</v>
      </c>
      <c r="B2936" s="15" t="s">
        <v>11800</v>
      </c>
      <c r="C2936" s="16">
        <v>27463.0</v>
      </c>
      <c r="D2936" s="17" t="s">
        <v>11801</v>
      </c>
    </row>
    <row r="2937">
      <c r="A2937" s="14">
        <v>10.0</v>
      </c>
      <c r="B2937" s="15" t="s">
        <v>11802</v>
      </c>
      <c r="C2937" s="16">
        <v>27463.0</v>
      </c>
      <c r="D2937" s="17" t="s">
        <v>11803</v>
      </c>
    </row>
    <row r="2938">
      <c r="A2938" s="14" t="s">
        <v>6074</v>
      </c>
      <c r="B2938" s="15" t="s">
        <v>11804</v>
      </c>
      <c r="C2938" s="16">
        <v>27464.0</v>
      </c>
      <c r="D2938" s="17" t="s">
        <v>11805</v>
      </c>
    </row>
    <row r="2939">
      <c r="A2939" s="14" t="s">
        <v>6374</v>
      </c>
      <c r="B2939" s="15" t="s">
        <v>11806</v>
      </c>
      <c r="C2939" s="16">
        <v>27464.0</v>
      </c>
      <c r="D2939" s="17" t="s">
        <v>11807</v>
      </c>
    </row>
    <row r="2940">
      <c r="A2940" s="14">
        <v>11.0</v>
      </c>
      <c r="B2940" s="15" t="s">
        <v>11808</v>
      </c>
      <c r="C2940" s="16">
        <v>27464.0</v>
      </c>
      <c r="D2940" s="17" t="s">
        <v>11809</v>
      </c>
    </row>
    <row r="2941">
      <c r="A2941" s="14">
        <v>11.0</v>
      </c>
      <c r="B2941" s="15" t="s">
        <v>11810</v>
      </c>
      <c r="C2941" s="16">
        <v>27464.0</v>
      </c>
      <c r="D2941" s="17" t="s">
        <v>11811</v>
      </c>
    </row>
    <row r="2942">
      <c r="A2942" s="14">
        <v>11.0</v>
      </c>
      <c r="B2942" s="15" t="s">
        <v>11812</v>
      </c>
      <c r="C2942" s="16">
        <v>27464.0</v>
      </c>
      <c r="D2942" s="17" t="s">
        <v>11813</v>
      </c>
    </row>
    <row r="2943">
      <c r="A2943" s="14">
        <v>11.0</v>
      </c>
      <c r="B2943" s="15" t="s">
        <v>11814</v>
      </c>
      <c r="C2943" s="16">
        <v>27464.0</v>
      </c>
      <c r="D2943" s="17" t="s">
        <v>11815</v>
      </c>
    </row>
    <row r="2944">
      <c r="A2944" s="14" t="s">
        <v>10504</v>
      </c>
      <c r="B2944" s="15" t="s">
        <v>11816</v>
      </c>
      <c r="C2944" s="16">
        <v>27465.0</v>
      </c>
      <c r="D2944" s="17" t="s">
        <v>11817</v>
      </c>
    </row>
    <row r="2945">
      <c r="A2945" s="14" t="s">
        <v>6057</v>
      </c>
      <c r="B2945" s="15" t="s">
        <v>11818</v>
      </c>
      <c r="C2945" s="16">
        <v>27465.0</v>
      </c>
      <c r="D2945" s="17" t="s">
        <v>11819</v>
      </c>
    </row>
    <row r="2946">
      <c r="A2946" s="14">
        <v>12.0</v>
      </c>
      <c r="B2946" s="15" t="s">
        <v>11820</v>
      </c>
      <c r="C2946" s="16">
        <v>27465.0</v>
      </c>
      <c r="D2946" s="17" t="s">
        <v>11821</v>
      </c>
    </row>
    <row r="2947">
      <c r="A2947" s="14">
        <v>12.0</v>
      </c>
      <c r="B2947" s="15" t="s">
        <v>11822</v>
      </c>
      <c r="C2947" s="16">
        <v>27465.0</v>
      </c>
      <c r="D2947" s="17" t="s">
        <v>11823</v>
      </c>
    </row>
    <row r="2948">
      <c r="A2948" s="14" t="s">
        <v>6374</v>
      </c>
      <c r="B2948" s="15" t="s">
        <v>11824</v>
      </c>
      <c r="C2948" s="16">
        <v>27466.0</v>
      </c>
      <c r="D2948" s="17" t="s">
        <v>11825</v>
      </c>
    </row>
    <row r="2949">
      <c r="A2949" s="14" t="s">
        <v>6353</v>
      </c>
      <c r="B2949" s="15" t="s">
        <v>11826</v>
      </c>
      <c r="C2949" s="16">
        <v>27466.0</v>
      </c>
      <c r="D2949" s="17" t="s">
        <v>11827</v>
      </c>
    </row>
    <row r="2950">
      <c r="A2950" s="14" t="s">
        <v>6353</v>
      </c>
      <c r="B2950" s="15" t="s">
        <v>11828</v>
      </c>
      <c r="C2950" s="16">
        <v>27466.0</v>
      </c>
      <c r="D2950" s="17" t="s">
        <v>11829</v>
      </c>
    </row>
    <row r="2951">
      <c r="A2951" s="14" t="s">
        <v>5932</v>
      </c>
      <c r="B2951" s="15" t="s">
        <v>11830</v>
      </c>
      <c r="C2951" s="16">
        <v>27466.0</v>
      </c>
      <c r="D2951" s="17" t="s">
        <v>11831</v>
      </c>
    </row>
    <row r="2952">
      <c r="A2952" s="14" t="s">
        <v>5932</v>
      </c>
      <c r="B2952" s="15" t="s">
        <v>11832</v>
      </c>
      <c r="C2952" s="16">
        <v>27466.0</v>
      </c>
      <c r="D2952" s="17" t="s">
        <v>11833</v>
      </c>
    </row>
    <row r="2953">
      <c r="A2953" s="14">
        <v>13.0</v>
      </c>
      <c r="B2953" s="15" t="s">
        <v>11834</v>
      </c>
      <c r="C2953" s="16">
        <v>27466.0</v>
      </c>
      <c r="D2953" s="17" t="s">
        <v>11835</v>
      </c>
    </row>
    <row r="2954">
      <c r="A2954" s="14">
        <v>13.0</v>
      </c>
      <c r="B2954" s="15" t="s">
        <v>11836</v>
      </c>
      <c r="C2954" s="16">
        <v>27466.0</v>
      </c>
      <c r="D2954" s="17" t="s">
        <v>11837</v>
      </c>
    </row>
    <row r="2955">
      <c r="A2955" s="14">
        <v>13.0</v>
      </c>
      <c r="B2955" s="15" t="s">
        <v>11838</v>
      </c>
      <c r="C2955" s="16">
        <v>27466.0</v>
      </c>
      <c r="D2955" s="17" t="s">
        <v>11839</v>
      </c>
    </row>
    <row r="2956">
      <c r="A2956" s="14">
        <v>13.0</v>
      </c>
      <c r="B2956" s="15" t="s">
        <v>11840</v>
      </c>
      <c r="C2956" s="16">
        <v>27466.0</v>
      </c>
      <c r="D2956" s="17" t="s">
        <v>11841</v>
      </c>
    </row>
    <row r="2957">
      <c r="A2957" s="14">
        <v>13.0</v>
      </c>
      <c r="B2957" s="15" t="s">
        <v>11842</v>
      </c>
      <c r="C2957" s="16">
        <v>27466.0</v>
      </c>
      <c r="D2957" s="17" t="s">
        <v>11843</v>
      </c>
    </row>
    <row r="2958">
      <c r="A2958" s="14">
        <v>13.0</v>
      </c>
      <c r="B2958" s="15" t="s">
        <v>11844</v>
      </c>
      <c r="C2958" s="16">
        <v>27466.0</v>
      </c>
      <c r="D2958" s="17" t="s">
        <v>11845</v>
      </c>
    </row>
    <row r="2959">
      <c r="A2959" s="14">
        <v>13.0</v>
      </c>
      <c r="B2959" s="15" t="s">
        <v>11846</v>
      </c>
      <c r="C2959" s="16">
        <v>27466.0</v>
      </c>
      <c r="D2959" s="17" t="s">
        <v>11847</v>
      </c>
    </row>
    <row r="2960">
      <c r="A2960" s="14" t="s">
        <v>6374</v>
      </c>
      <c r="B2960" s="15" t="s">
        <v>11848</v>
      </c>
      <c r="C2960" s="16">
        <v>27467.0</v>
      </c>
      <c r="D2960" s="17" t="s">
        <v>11849</v>
      </c>
    </row>
    <row r="2961">
      <c r="A2961" s="14" t="s">
        <v>6353</v>
      </c>
      <c r="B2961" s="15" t="s">
        <v>11850</v>
      </c>
      <c r="C2961" s="16">
        <v>27467.0</v>
      </c>
      <c r="D2961" s="17" t="s">
        <v>11851</v>
      </c>
    </row>
    <row r="2962">
      <c r="A2962" s="14" t="s">
        <v>6353</v>
      </c>
      <c r="B2962" s="15" t="s">
        <v>11852</v>
      </c>
      <c r="C2962" s="16">
        <v>27467.0</v>
      </c>
      <c r="D2962" s="17" t="s">
        <v>11853</v>
      </c>
    </row>
    <row r="2963">
      <c r="A2963" s="14">
        <v>14.0</v>
      </c>
      <c r="B2963" s="15" t="s">
        <v>11854</v>
      </c>
      <c r="C2963" s="16">
        <v>27467.0</v>
      </c>
      <c r="D2963" s="17" t="s">
        <v>11855</v>
      </c>
    </row>
    <row r="2964">
      <c r="A2964" s="14">
        <v>14.0</v>
      </c>
      <c r="B2964" s="15" t="s">
        <v>11856</v>
      </c>
      <c r="C2964" s="16">
        <v>27467.0</v>
      </c>
      <c r="D2964" s="17" t="s">
        <v>11857</v>
      </c>
    </row>
    <row r="2965">
      <c r="A2965" s="14">
        <v>14.0</v>
      </c>
      <c r="B2965" s="15" t="s">
        <v>11858</v>
      </c>
      <c r="C2965" s="16">
        <v>27467.0</v>
      </c>
      <c r="D2965" s="17" t="s">
        <v>11859</v>
      </c>
    </row>
    <row r="2966">
      <c r="A2966" s="14">
        <v>14.0</v>
      </c>
      <c r="B2966" s="15" t="s">
        <v>11860</v>
      </c>
      <c r="C2966" s="16">
        <v>27467.0</v>
      </c>
      <c r="D2966" s="17" t="s">
        <v>11861</v>
      </c>
    </row>
    <row r="2967">
      <c r="A2967" s="14" t="s">
        <v>6374</v>
      </c>
      <c r="B2967" s="15" t="s">
        <v>11862</v>
      </c>
      <c r="C2967" s="16">
        <v>27468.0</v>
      </c>
      <c r="D2967" s="17" t="s">
        <v>11863</v>
      </c>
    </row>
    <row r="2968">
      <c r="A2968" s="14" t="s">
        <v>6353</v>
      </c>
      <c r="B2968" s="15" t="s">
        <v>11864</v>
      </c>
      <c r="C2968" s="16">
        <v>27468.0</v>
      </c>
      <c r="D2968" s="17" t="s">
        <v>11865</v>
      </c>
    </row>
    <row r="2969">
      <c r="A2969" s="14">
        <v>15.0</v>
      </c>
      <c r="B2969" s="15" t="s">
        <v>11866</v>
      </c>
      <c r="C2969" s="16">
        <v>27468.0</v>
      </c>
      <c r="D2969" s="17" t="s">
        <v>11867</v>
      </c>
    </row>
    <row r="2970">
      <c r="A2970" s="14">
        <v>15.0</v>
      </c>
      <c r="B2970" s="15" t="s">
        <v>11868</v>
      </c>
      <c r="C2970" s="16">
        <v>27468.0</v>
      </c>
      <c r="D2970" s="17" t="s">
        <v>11869</v>
      </c>
    </row>
    <row r="2971">
      <c r="A2971" s="14" t="s">
        <v>6753</v>
      </c>
      <c r="B2971" s="15" t="s">
        <v>11870</v>
      </c>
      <c r="C2971" s="16">
        <v>27473.0</v>
      </c>
      <c r="D2971" s="17" t="s">
        <v>11871</v>
      </c>
    </row>
    <row r="2972">
      <c r="A2972" s="14" t="s">
        <v>6753</v>
      </c>
      <c r="B2972" s="15" t="s">
        <v>11872</v>
      </c>
      <c r="C2972" s="16">
        <v>27473.0</v>
      </c>
      <c r="D2972" s="17" t="s">
        <v>11873</v>
      </c>
    </row>
    <row r="2973">
      <c r="A2973" s="14">
        <v>20.0</v>
      </c>
      <c r="B2973" s="15" t="s">
        <v>11874</v>
      </c>
      <c r="C2973" s="16">
        <v>27473.0</v>
      </c>
      <c r="D2973" s="17" t="s">
        <v>11875</v>
      </c>
    </row>
    <row r="2974">
      <c r="A2974" s="14">
        <v>20.0</v>
      </c>
      <c r="B2974" s="15" t="s">
        <v>11876</v>
      </c>
      <c r="C2974" s="16">
        <v>27473.0</v>
      </c>
      <c r="D2974" s="17" t="s">
        <v>11877</v>
      </c>
    </row>
    <row r="2975">
      <c r="A2975" s="14" t="s">
        <v>358</v>
      </c>
      <c r="B2975" s="15" t="s">
        <v>11878</v>
      </c>
      <c r="C2975" s="16">
        <v>27474.0</v>
      </c>
      <c r="D2975" s="17" t="s">
        <v>11879</v>
      </c>
    </row>
    <row r="2976">
      <c r="A2976" s="14" t="s">
        <v>6353</v>
      </c>
      <c r="B2976" s="15" t="s">
        <v>11880</v>
      </c>
      <c r="C2976" s="16">
        <v>27474.0</v>
      </c>
      <c r="D2976" s="17" t="s">
        <v>11881</v>
      </c>
    </row>
    <row r="2977">
      <c r="A2977" s="14">
        <v>21.0</v>
      </c>
      <c r="B2977" s="15" t="s">
        <v>11882</v>
      </c>
      <c r="C2977" s="16">
        <v>27474.0</v>
      </c>
      <c r="D2977" s="17" t="s">
        <v>11883</v>
      </c>
    </row>
    <row r="2978">
      <c r="A2978" s="14">
        <v>21.0</v>
      </c>
      <c r="B2978" s="15" t="s">
        <v>11884</v>
      </c>
      <c r="C2978" s="16">
        <v>27474.0</v>
      </c>
      <c r="D2978" s="17" t="s">
        <v>11885</v>
      </c>
    </row>
    <row r="2979">
      <c r="A2979" s="14">
        <v>21.0</v>
      </c>
      <c r="B2979" s="15" t="s">
        <v>11886</v>
      </c>
      <c r="C2979" s="16">
        <v>27474.0</v>
      </c>
      <c r="D2979" s="17" t="s">
        <v>11887</v>
      </c>
    </row>
    <row r="2980">
      <c r="A2980" s="14">
        <v>22.0</v>
      </c>
      <c r="B2980" s="15" t="s">
        <v>11888</v>
      </c>
      <c r="C2980" s="16">
        <v>27475.0</v>
      </c>
      <c r="D2980" s="17" t="s">
        <v>11889</v>
      </c>
    </row>
    <row r="2981">
      <c r="A2981" s="14" t="s">
        <v>6753</v>
      </c>
      <c r="B2981" s="15" t="s">
        <v>11890</v>
      </c>
      <c r="C2981" s="16">
        <v>27476.0</v>
      </c>
      <c r="D2981" s="17" t="s">
        <v>11891</v>
      </c>
    </row>
    <row r="2982">
      <c r="A2982" s="14" t="s">
        <v>6353</v>
      </c>
      <c r="B2982" s="15" t="s">
        <v>11892</v>
      </c>
      <c r="C2982" s="16">
        <v>27476.0</v>
      </c>
      <c r="D2982" s="17" t="s">
        <v>11893</v>
      </c>
    </row>
    <row r="2983">
      <c r="A2983" s="14">
        <v>23.0</v>
      </c>
      <c r="B2983" s="15" t="s">
        <v>11894</v>
      </c>
      <c r="C2983" s="16">
        <v>27476.0</v>
      </c>
      <c r="D2983" s="17" t="s">
        <v>11895</v>
      </c>
    </row>
    <row r="2984">
      <c r="A2984" s="14">
        <v>23.0</v>
      </c>
      <c r="B2984" s="15" t="s">
        <v>11896</v>
      </c>
      <c r="C2984" s="16">
        <v>27476.0</v>
      </c>
      <c r="D2984" s="17" t="s">
        <v>11897</v>
      </c>
    </row>
    <row r="2985">
      <c r="A2985" s="14">
        <v>23.0</v>
      </c>
      <c r="B2985" s="15" t="s">
        <v>11898</v>
      </c>
      <c r="C2985" s="16">
        <v>27476.0</v>
      </c>
      <c r="D2985" s="17" t="s">
        <v>11899</v>
      </c>
    </row>
    <row r="2986">
      <c r="A2986" s="14" t="s">
        <v>9247</v>
      </c>
      <c r="B2986" s="15" t="s">
        <v>11900</v>
      </c>
      <c r="C2986" s="16">
        <v>27478.0</v>
      </c>
      <c r="D2986" s="17" t="s">
        <v>11901</v>
      </c>
    </row>
    <row r="2987">
      <c r="A2987" s="14" t="s">
        <v>6374</v>
      </c>
      <c r="B2987" s="15" t="s">
        <v>11902</v>
      </c>
      <c r="C2987" s="16">
        <v>27478.0</v>
      </c>
      <c r="D2987" s="17" t="s">
        <v>11903</v>
      </c>
    </row>
    <row r="2988">
      <c r="A2988" s="14">
        <v>25.0</v>
      </c>
      <c r="B2988" s="15" t="s">
        <v>11904</v>
      </c>
      <c r="C2988" s="16">
        <v>27478.0</v>
      </c>
      <c r="D2988" s="17" t="s">
        <v>11905</v>
      </c>
    </row>
    <row r="2989">
      <c r="A2989" s="14">
        <v>25.0</v>
      </c>
      <c r="B2989" s="15" t="s">
        <v>11906</v>
      </c>
      <c r="C2989" s="16">
        <v>27478.0</v>
      </c>
      <c r="D2989" s="17" t="s">
        <v>11907</v>
      </c>
    </row>
    <row r="2990">
      <c r="A2990" s="14">
        <v>25.0</v>
      </c>
      <c r="B2990" s="15" t="s">
        <v>11908</v>
      </c>
      <c r="C2990" s="16">
        <v>27478.0</v>
      </c>
      <c r="D2990" s="17" t="s">
        <v>11909</v>
      </c>
    </row>
    <row r="2991">
      <c r="A2991" s="14" t="s">
        <v>9247</v>
      </c>
      <c r="B2991" s="15" t="s">
        <v>11910</v>
      </c>
      <c r="C2991" s="16">
        <v>27479.0</v>
      </c>
      <c r="D2991" s="17" t="s">
        <v>11911</v>
      </c>
    </row>
    <row r="2992">
      <c r="A2992" s="14" t="s">
        <v>6374</v>
      </c>
      <c r="B2992" s="15" t="s">
        <v>11912</v>
      </c>
      <c r="C2992" s="16">
        <v>27479.0</v>
      </c>
      <c r="D2992" s="17" t="s">
        <v>11913</v>
      </c>
    </row>
    <row r="2993">
      <c r="A2993" s="14">
        <v>26.0</v>
      </c>
      <c r="B2993" s="15" t="s">
        <v>11914</v>
      </c>
      <c r="C2993" s="16">
        <v>27479.0</v>
      </c>
      <c r="D2993" s="17" t="s">
        <v>11915</v>
      </c>
    </row>
    <row r="2994">
      <c r="A2994" s="14">
        <v>26.0</v>
      </c>
      <c r="B2994" s="15" t="s">
        <v>11916</v>
      </c>
      <c r="C2994" s="16">
        <v>27479.0</v>
      </c>
      <c r="D2994" s="17" t="s">
        <v>11917</v>
      </c>
    </row>
    <row r="2995">
      <c r="A2995" s="14">
        <v>26.0</v>
      </c>
      <c r="B2995" s="15" t="s">
        <v>11918</v>
      </c>
      <c r="C2995" s="16">
        <v>27479.0</v>
      </c>
      <c r="D2995" s="17" t="s">
        <v>11919</v>
      </c>
    </row>
    <row r="2996">
      <c r="A2996" s="14" t="s">
        <v>9247</v>
      </c>
      <c r="B2996" s="15" t="s">
        <v>11920</v>
      </c>
      <c r="C2996" s="16">
        <v>27480.0</v>
      </c>
      <c r="D2996" s="17" t="s">
        <v>11921</v>
      </c>
    </row>
    <row r="2997">
      <c r="A2997" s="14" t="s">
        <v>6353</v>
      </c>
      <c r="B2997" s="15" t="s">
        <v>11922</v>
      </c>
      <c r="C2997" s="16">
        <v>27480.0</v>
      </c>
      <c r="D2997" s="17" t="s">
        <v>11923</v>
      </c>
    </row>
    <row r="2998">
      <c r="A2998" s="14">
        <v>27.0</v>
      </c>
      <c r="B2998" s="15" t="s">
        <v>11924</v>
      </c>
      <c r="C2998" s="16">
        <v>27480.0</v>
      </c>
      <c r="D2998" s="17" t="s">
        <v>11925</v>
      </c>
    </row>
    <row r="2999">
      <c r="A2999" s="14">
        <v>27.0</v>
      </c>
      <c r="B2999" s="15" t="s">
        <v>11926</v>
      </c>
      <c r="C2999" s="16">
        <v>27480.0</v>
      </c>
      <c r="D2999" s="17" t="s">
        <v>11927</v>
      </c>
    </row>
    <row r="3000">
      <c r="A3000" s="14">
        <v>27.0</v>
      </c>
      <c r="B3000" s="15" t="s">
        <v>11928</v>
      </c>
      <c r="C3000" s="16">
        <v>27480.0</v>
      </c>
      <c r="D3000" s="17" t="s">
        <v>11929</v>
      </c>
    </row>
    <row r="3001">
      <c r="A3001" s="14" t="s">
        <v>9247</v>
      </c>
      <c r="B3001" s="15" t="s">
        <v>11930</v>
      </c>
      <c r="C3001" s="16">
        <v>27481.0</v>
      </c>
      <c r="D3001" s="17" t="s">
        <v>11931</v>
      </c>
    </row>
    <row r="3002">
      <c r="A3002" s="14">
        <v>28.0</v>
      </c>
      <c r="B3002" s="15" t="s">
        <v>11932</v>
      </c>
      <c r="C3002" s="16">
        <v>27481.0</v>
      </c>
      <c r="D3002" s="17" t="s">
        <v>11933</v>
      </c>
    </row>
    <row r="3003">
      <c r="A3003" s="14">
        <v>28.0</v>
      </c>
      <c r="B3003" s="15" t="s">
        <v>11934</v>
      </c>
      <c r="C3003" s="16">
        <v>27481.0</v>
      </c>
      <c r="D3003" s="17" t="s">
        <v>11935</v>
      </c>
    </row>
    <row r="3004">
      <c r="A3004" s="14" t="s">
        <v>9247</v>
      </c>
      <c r="B3004" s="15" t="s">
        <v>11936</v>
      </c>
      <c r="C3004" s="16">
        <v>27482.0</v>
      </c>
      <c r="D3004" s="17" t="s">
        <v>11937</v>
      </c>
    </row>
    <row r="3005">
      <c r="A3005" s="14" t="s">
        <v>6057</v>
      </c>
      <c r="B3005" s="15" t="s">
        <v>11938</v>
      </c>
      <c r="C3005" s="16">
        <v>27482.0</v>
      </c>
      <c r="D3005" s="17" t="s">
        <v>11939</v>
      </c>
    </row>
    <row r="3006">
      <c r="A3006" s="14">
        <v>29.0</v>
      </c>
      <c r="B3006" s="15" t="s">
        <v>11940</v>
      </c>
      <c r="C3006" s="16">
        <v>27482.0</v>
      </c>
      <c r="D3006" s="17" t="s">
        <v>11941</v>
      </c>
    </row>
    <row r="3007">
      <c r="A3007" s="14">
        <v>29.0</v>
      </c>
      <c r="B3007" s="15" t="s">
        <v>11942</v>
      </c>
      <c r="C3007" s="16">
        <v>27482.0</v>
      </c>
      <c r="D3007" s="17" t="s">
        <v>11943</v>
      </c>
    </row>
    <row r="3008">
      <c r="A3008" s="14">
        <v>29.0</v>
      </c>
      <c r="B3008" s="15" t="s">
        <v>11944</v>
      </c>
      <c r="C3008" s="16">
        <v>27482.0</v>
      </c>
      <c r="D3008" s="17" t="s">
        <v>11945</v>
      </c>
    </row>
    <row r="3009">
      <c r="A3009" s="14" t="s">
        <v>9247</v>
      </c>
      <c r="B3009" s="15" t="s">
        <v>11946</v>
      </c>
      <c r="C3009" s="16">
        <v>27483.0</v>
      </c>
      <c r="D3009" s="17" t="s">
        <v>11947</v>
      </c>
    </row>
    <row r="3010">
      <c r="A3010" s="14" t="s">
        <v>6353</v>
      </c>
      <c r="B3010" s="15" t="s">
        <v>11948</v>
      </c>
      <c r="C3010" s="16">
        <v>27483.0</v>
      </c>
      <c r="D3010" s="17" t="s">
        <v>11949</v>
      </c>
    </row>
    <row r="3011">
      <c r="A3011" s="14" t="s">
        <v>6353</v>
      </c>
      <c r="B3011" s="15" t="s">
        <v>11950</v>
      </c>
      <c r="C3011" s="16">
        <v>27483.0</v>
      </c>
      <c r="D3011" s="17" t="s">
        <v>11951</v>
      </c>
    </row>
    <row r="3012">
      <c r="A3012" s="14">
        <v>30.0</v>
      </c>
      <c r="B3012" s="15" t="s">
        <v>11952</v>
      </c>
      <c r="C3012" s="16">
        <v>27483.0</v>
      </c>
      <c r="D3012" s="17" t="s">
        <v>11953</v>
      </c>
    </row>
    <row r="3013">
      <c r="A3013" s="14">
        <v>30.0</v>
      </c>
      <c r="B3013" s="15" t="s">
        <v>11954</v>
      </c>
      <c r="C3013" s="16">
        <v>27483.0</v>
      </c>
      <c r="D3013" s="17" t="s">
        <v>11955</v>
      </c>
    </row>
    <row r="3014">
      <c r="A3014" s="14">
        <v>30.0</v>
      </c>
      <c r="B3014" s="15" t="s">
        <v>11956</v>
      </c>
      <c r="C3014" s="16">
        <v>27483.0</v>
      </c>
      <c r="D3014" s="17" t="s">
        <v>11957</v>
      </c>
    </row>
    <row r="3015">
      <c r="A3015" s="14">
        <v>30.0</v>
      </c>
      <c r="B3015" s="15" t="s">
        <v>11958</v>
      </c>
      <c r="C3015" s="16">
        <v>27483.0</v>
      </c>
      <c r="D3015" s="17" t="s">
        <v>11959</v>
      </c>
    </row>
    <row r="3016">
      <c r="A3016" s="14">
        <v>30.0</v>
      </c>
      <c r="B3016" s="15" t="s">
        <v>11960</v>
      </c>
      <c r="C3016" s="16">
        <v>27483.0</v>
      </c>
      <c r="D3016" s="17" t="s">
        <v>11961</v>
      </c>
    </row>
    <row r="3017">
      <c r="A3017" s="14" t="s">
        <v>9247</v>
      </c>
      <c r="B3017" s="15" t="s">
        <v>11962</v>
      </c>
      <c r="C3017" s="16">
        <v>27484.0</v>
      </c>
      <c r="D3017" s="17" t="s">
        <v>11963</v>
      </c>
    </row>
    <row r="3018">
      <c r="A3018" s="14" t="s">
        <v>6353</v>
      </c>
      <c r="B3018" s="15" t="s">
        <v>11964</v>
      </c>
      <c r="C3018" s="16">
        <v>27484.0</v>
      </c>
      <c r="D3018" s="17" t="s">
        <v>11965</v>
      </c>
    </row>
    <row r="3019">
      <c r="A3019" s="14">
        <v>31.0</v>
      </c>
      <c r="B3019" s="15" t="s">
        <v>11966</v>
      </c>
      <c r="C3019" s="16">
        <v>27484.0</v>
      </c>
      <c r="D3019" s="17" t="s">
        <v>11967</v>
      </c>
    </row>
    <row r="3020">
      <c r="A3020" s="14">
        <v>31.0</v>
      </c>
      <c r="B3020" s="15" t="s">
        <v>11968</v>
      </c>
      <c r="C3020" s="16">
        <v>27484.0</v>
      </c>
      <c r="D3020" s="17" t="s">
        <v>11969</v>
      </c>
    </row>
    <row r="3021">
      <c r="A3021" s="14">
        <v>31.0</v>
      </c>
      <c r="B3021" s="15" t="s">
        <v>11970</v>
      </c>
      <c r="C3021" s="16">
        <v>27484.0</v>
      </c>
      <c r="D3021" s="17" t="s">
        <v>11971</v>
      </c>
    </row>
    <row r="3022">
      <c r="A3022" s="14" t="s">
        <v>9247</v>
      </c>
      <c r="B3022" s="15" t="s">
        <v>11972</v>
      </c>
      <c r="C3022" s="16">
        <v>27485.0</v>
      </c>
      <c r="D3022" s="17" t="s">
        <v>11973</v>
      </c>
    </row>
    <row r="3023">
      <c r="A3023" s="14" t="s">
        <v>6374</v>
      </c>
      <c r="B3023" s="15" t="s">
        <v>11974</v>
      </c>
      <c r="C3023" s="16">
        <v>27485.0</v>
      </c>
      <c r="D3023" s="17" t="s">
        <v>11975</v>
      </c>
    </row>
    <row r="3024">
      <c r="A3024" s="14" t="s">
        <v>6353</v>
      </c>
      <c r="B3024" s="15" t="s">
        <v>11976</v>
      </c>
      <c r="C3024" s="16">
        <v>27485.0</v>
      </c>
      <c r="D3024" s="17" t="s">
        <v>11977</v>
      </c>
    </row>
    <row r="3025">
      <c r="A3025" s="14">
        <v>1.0</v>
      </c>
      <c r="B3025" s="15" t="s">
        <v>11978</v>
      </c>
      <c r="C3025" s="16">
        <v>27485.0</v>
      </c>
      <c r="D3025" s="17" t="s">
        <v>11979</v>
      </c>
    </row>
    <row r="3026">
      <c r="A3026" s="14">
        <v>1.0</v>
      </c>
      <c r="B3026" s="15" t="s">
        <v>11980</v>
      </c>
      <c r="C3026" s="16">
        <v>27485.0</v>
      </c>
      <c r="D3026" s="17" t="s">
        <v>11981</v>
      </c>
    </row>
    <row r="3027">
      <c r="A3027" s="14">
        <v>1.0</v>
      </c>
      <c r="B3027" s="15" t="s">
        <v>11982</v>
      </c>
      <c r="C3027" s="16">
        <v>27485.0</v>
      </c>
      <c r="D3027" s="17" t="s">
        <v>11983</v>
      </c>
    </row>
    <row r="3028">
      <c r="A3028" s="14">
        <v>1.0</v>
      </c>
      <c r="B3028" s="15" t="s">
        <v>11984</v>
      </c>
      <c r="C3028" s="16">
        <v>27485.0</v>
      </c>
      <c r="D3028" s="17" t="s">
        <v>11985</v>
      </c>
    </row>
    <row r="3029">
      <c r="A3029" s="14">
        <v>1.0</v>
      </c>
      <c r="B3029" s="15" t="s">
        <v>11986</v>
      </c>
      <c r="C3029" s="16">
        <v>27485.0</v>
      </c>
      <c r="D3029" s="17" t="s">
        <v>11987</v>
      </c>
    </row>
    <row r="3030">
      <c r="A3030" s="14">
        <v>1.0</v>
      </c>
      <c r="B3030" s="15" t="s">
        <v>11988</v>
      </c>
      <c r="C3030" s="16">
        <v>27485.0</v>
      </c>
      <c r="D3030" s="17" t="s">
        <v>11989</v>
      </c>
    </row>
    <row r="3031">
      <c r="A3031" s="14" t="s">
        <v>9247</v>
      </c>
      <c r="B3031" s="15" t="s">
        <v>11990</v>
      </c>
      <c r="C3031" s="16">
        <v>27486.0</v>
      </c>
      <c r="D3031" s="17" t="s">
        <v>11991</v>
      </c>
    </row>
    <row r="3032">
      <c r="A3032" s="14" t="s">
        <v>6374</v>
      </c>
      <c r="B3032" s="15" t="s">
        <v>11992</v>
      </c>
      <c r="C3032" s="16">
        <v>27486.0</v>
      </c>
      <c r="D3032" s="17" t="s">
        <v>11993</v>
      </c>
    </row>
    <row r="3033">
      <c r="A3033" s="14">
        <v>2.0</v>
      </c>
      <c r="B3033" s="15" t="s">
        <v>11994</v>
      </c>
      <c r="C3033" s="16">
        <v>27486.0</v>
      </c>
      <c r="D3033" s="17" t="s">
        <v>11995</v>
      </c>
    </row>
    <row r="3034">
      <c r="A3034" s="14">
        <v>2.0</v>
      </c>
      <c r="B3034" s="15" t="s">
        <v>11996</v>
      </c>
      <c r="C3034" s="16">
        <v>27486.0</v>
      </c>
      <c r="D3034" s="17" t="s">
        <v>11997</v>
      </c>
    </row>
    <row r="3035">
      <c r="A3035" s="14">
        <v>2.0</v>
      </c>
      <c r="B3035" s="15" t="s">
        <v>11998</v>
      </c>
      <c r="C3035" s="16">
        <v>27486.0</v>
      </c>
      <c r="D3035" s="17" t="s">
        <v>11999</v>
      </c>
    </row>
    <row r="3036">
      <c r="A3036" s="14">
        <v>2.0</v>
      </c>
      <c r="B3036" s="15" t="s">
        <v>12000</v>
      </c>
      <c r="C3036" s="16">
        <v>27486.0</v>
      </c>
      <c r="D3036" s="17" t="s">
        <v>12001</v>
      </c>
    </row>
    <row r="3037">
      <c r="A3037" s="14" t="s">
        <v>9247</v>
      </c>
      <c r="B3037" s="15" t="s">
        <v>12002</v>
      </c>
      <c r="C3037" s="16">
        <v>27487.0</v>
      </c>
      <c r="D3037" s="17" t="s">
        <v>12003</v>
      </c>
    </row>
    <row r="3038">
      <c r="A3038" s="14" t="s">
        <v>6374</v>
      </c>
      <c r="B3038" s="15" t="s">
        <v>12004</v>
      </c>
      <c r="C3038" s="16">
        <v>27487.0</v>
      </c>
      <c r="D3038" s="17" t="s">
        <v>12005</v>
      </c>
    </row>
    <row r="3039">
      <c r="A3039" s="14" t="s">
        <v>6374</v>
      </c>
      <c r="B3039" s="15" t="s">
        <v>12006</v>
      </c>
      <c r="C3039" s="16">
        <v>27487.0</v>
      </c>
      <c r="D3039" s="17" t="s">
        <v>12007</v>
      </c>
    </row>
    <row r="3040">
      <c r="A3040" s="14">
        <v>3.0</v>
      </c>
      <c r="B3040" s="15" t="s">
        <v>12008</v>
      </c>
      <c r="C3040" s="16">
        <v>27487.0</v>
      </c>
      <c r="D3040" s="17" t="s">
        <v>12009</v>
      </c>
    </row>
    <row r="3041">
      <c r="A3041" s="14">
        <v>3.0</v>
      </c>
      <c r="B3041" s="15" t="s">
        <v>12010</v>
      </c>
      <c r="C3041" s="16">
        <v>27487.0</v>
      </c>
      <c r="D3041" s="17" t="s">
        <v>12011</v>
      </c>
    </row>
    <row r="3042">
      <c r="A3042" s="14">
        <v>3.0</v>
      </c>
      <c r="B3042" s="15" t="s">
        <v>12012</v>
      </c>
      <c r="C3042" s="16">
        <v>27487.0</v>
      </c>
      <c r="D3042" s="17" t="s">
        <v>12013</v>
      </c>
    </row>
    <row r="3043">
      <c r="A3043" s="14">
        <v>3.0</v>
      </c>
      <c r="B3043" s="15" t="s">
        <v>12014</v>
      </c>
      <c r="C3043" s="16">
        <v>27487.0</v>
      </c>
      <c r="D3043" s="17" t="s">
        <v>12015</v>
      </c>
    </row>
    <row r="3044">
      <c r="A3044" s="14">
        <v>3.0</v>
      </c>
      <c r="B3044" s="15" t="s">
        <v>12016</v>
      </c>
      <c r="C3044" s="16">
        <v>27487.0</v>
      </c>
      <c r="D3044" s="17" t="s">
        <v>12017</v>
      </c>
    </row>
    <row r="3045">
      <c r="A3045" s="14" t="s">
        <v>9247</v>
      </c>
      <c r="B3045" s="15" t="s">
        <v>12018</v>
      </c>
      <c r="C3045" s="16">
        <v>27488.0</v>
      </c>
      <c r="D3045" s="17" t="s">
        <v>12019</v>
      </c>
    </row>
    <row r="3046">
      <c r="A3046" s="14" t="s">
        <v>6374</v>
      </c>
      <c r="B3046" s="15" t="s">
        <v>12020</v>
      </c>
      <c r="C3046" s="16">
        <v>27488.0</v>
      </c>
      <c r="D3046" s="17" t="s">
        <v>12021</v>
      </c>
    </row>
    <row r="3047">
      <c r="A3047" s="14" t="s">
        <v>6353</v>
      </c>
      <c r="B3047" s="15" t="s">
        <v>12022</v>
      </c>
      <c r="C3047" s="16">
        <v>27488.0</v>
      </c>
      <c r="D3047" s="17" t="s">
        <v>12023</v>
      </c>
    </row>
    <row r="3048">
      <c r="A3048" s="14">
        <v>4.0</v>
      </c>
      <c r="B3048" s="15" t="s">
        <v>12024</v>
      </c>
      <c r="C3048" s="16">
        <v>27488.0</v>
      </c>
      <c r="D3048" s="17" t="s">
        <v>12025</v>
      </c>
    </row>
    <row r="3049">
      <c r="A3049" s="14">
        <v>4.0</v>
      </c>
      <c r="B3049" s="15" t="s">
        <v>12026</v>
      </c>
      <c r="C3049" s="16">
        <v>27488.0</v>
      </c>
      <c r="D3049" s="17" t="s">
        <v>12027</v>
      </c>
    </row>
    <row r="3050">
      <c r="A3050" s="14">
        <v>4.0</v>
      </c>
      <c r="B3050" s="15" t="s">
        <v>12028</v>
      </c>
      <c r="C3050" s="16">
        <v>27488.0</v>
      </c>
      <c r="D3050" s="17" t="s">
        <v>12029</v>
      </c>
    </row>
    <row r="3051">
      <c r="A3051" s="14">
        <v>4.0</v>
      </c>
      <c r="B3051" s="15" t="s">
        <v>12030</v>
      </c>
      <c r="C3051" s="16">
        <v>27488.0</v>
      </c>
      <c r="D3051" s="17" t="s">
        <v>12031</v>
      </c>
    </row>
    <row r="3052">
      <c r="A3052" s="14">
        <v>4.0</v>
      </c>
      <c r="B3052" s="15" t="s">
        <v>12032</v>
      </c>
      <c r="C3052" s="16">
        <v>27488.0</v>
      </c>
      <c r="D3052" s="17" t="s">
        <v>12033</v>
      </c>
    </row>
    <row r="3053">
      <c r="A3053" s="14">
        <v>4.0</v>
      </c>
      <c r="B3053" s="15" t="s">
        <v>12034</v>
      </c>
      <c r="C3053" s="16">
        <v>27488.0</v>
      </c>
      <c r="D3053" s="17" t="s">
        <v>12035</v>
      </c>
    </row>
    <row r="3054">
      <c r="A3054" s="14" t="s">
        <v>9247</v>
      </c>
      <c r="B3054" s="15" t="s">
        <v>12036</v>
      </c>
      <c r="C3054" s="16">
        <v>27489.0</v>
      </c>
      <c r="D3054" s="17" t="s">
        <v>12037</v>
      </c>
    </row>
    <row r="3055">
      <c r="A3055" s="14" t="s">
        <v>6374</v>
      </c>
      <c r="B3055" s="15" t="s">
        <v>12038</v>
      </c>
      <c r="C3055" s="16">
        <v>27489.0</v>
      </c>
      <c r="D3055" s="17" t="s">
        <v>12039</v>
      </c>
    </row>
    <row r="3056">
      <c r="A3056" s="14">
        <v>5.0</v>
      </c>
      <c r="B3056" s="15" t="s">
        <v>12040</v>
      </c>
      <c r="C3056" s="16">
        <v>27489.0</v>
      </c>
      <c r="D3056" s="17" t="s">
        <v>12041</v>
      </c>
    </row>
    <row r="3057">
      <c r="A3057" s="14">
        <v>5.0</v>
      </c>
      <c r="B3057" s="15" t="s">
        <v>12042</v>
      </c>
      <c r="C3057" s="16">
        <v>27489.0</v>
      </c>
      <c r="D3057" s="17" t="s">
        <v>12043</v>
      </c>
    </row>
    <row r="3058">
      <c r="A3058" s="14">
        <v>5.0</v>
      </c>
      <c r="B3058" s="15" t="s">
        <v>12044</v>
      </c>
      <c r="C3058" s="16">
        <v>27489.0</v>
      </c>
      <c r="D3058" s="17" t="s">
        <v>12045</v>
      </c>
    </row>
    <row r="3059">
      <c r="A3059" s="14" t="s">
        <v>9247</v>
      </c>
      <c r="B3059" s="15" t="s">
        <v>12046</v>
      </c>
      <c r="C3059" s="16">
        <v>27490.0</v>
      </c>
      <c r="D3059" s="17" t="s">
        <v>12047</v>
      </c>
    </row>
    <row r="3060">
      <c r="A3060" s="14" t="s">
        <v>6374</v>
      </c>
      <c r="B3060" s="15" t="s">
        <v>12048</v>
      </c>
      <c r="C3060" s="16">
        <v>27490.0</v>
      </c>
      <c r="D3060" s="17" t="s">
        <v>12049</v>
      </c>
    </row>
    <row r="3061">
      <c r="A3061" s="14" t="s">
        <v>6057</v>
      </c>
      <c r="B3061" s="15" t="s">
        <v>12050</v>
      </c>
      <c r="C3061" s="16">
        <v>27490.0</v>
      </c>
      <c r="D3061" s="17" t="s">
        <v>12051</v>
      </c>
    </row>
    <row r="3062">
      <c r="A3062" s="14">
        <v>6.0</v>
      </c>
      <c r="B3062" s="15" t="s">
        <v>12052</v>
      </c>
      <c r="C3062" s="16">
        <v>27490.0</v>
      </c>
      <c r="D3062" s="17" t="s">
        <v>12053</v>
      </c>
    </row>
    <row r="3063">
      <c r="A3063" s="14">
        <v>6.0</v>
      </c>
      <c r="B3063" s="15" t="s">
        <v>12054</v>
      </c>
      <c r="C3063" s="16">
        <v>27490.0</v>
      </c>
      <c r="D3063" s="17" t="s">
        <v>12055</v>
      </c>
    </row>
    <row r="3064">
      <c r="A3064" s="14">
        <v>6.0</v>
      </c>
      <c r="B3064" s="15" t="s">
        <v>12056</v>
      </c>
      <c r="C3064" s="16">
        <v>27490.0</v>
      </c>
      <c r="D3064" s="17" t="s">
        <v>12057</v>
      </c>
    </row>
    <row r="3065">
      <c r="A3065" s="14">
        <v>6.0</v>
      </c>
      <c r="B3065" s="15" t="s">
        <v>12058</v>
      </c>
      <c r="C3065" s="16">
        <v>27490.0</v>
      </c>
      <c r="D3065" s="17" t="s">
        <v>12059</v>
      </c>
    </row>
    <row r="3066">
      <c r="A3066" s="14" t="s">
        <v>9247</v>
      </c>
      <c r="B3066" s="15" t="s">
        <v>12060</v>
      </c>
      <c r="C3066" s="16">
        <v>27491.0</v>
      </c>
      <c r="D3066" s="17" t="s">
        <v>12061</v>
      </c>
    </row>
    <row r="3067">
      <c r="A3067" s="14" t="s">
        <v>6374</v>
      </c>
      <c r="B3067" s="15" t="s">
        <v>12062</v>
      </c>
      <c r="C3067" s="16">
        <v>27491.0</v>
      </c>
      <c r="D3067" s="17" t="s">
        <v>12063</v>
      </c>
    </row>
    <row r="3068">
      <c r="A3068" s="14">
        <v>7.0</v>
      </c>
      <c r="B3068" s="15" t="s">
        <v>12064</v>
      </c>
      <c r="C3068" s="16">
        <v>27491.0</v>
      </c>
      <c r="D3068" s="17" t="s">
        <v>12065</v>
      </c>
    </row>
    <row r="3069">
      <c r="A3069" s="14">
        <v>7.0</v>
      </c>
      <c r="B3069" s="15" t="s">
        <v>12066</v>
      </c>
      <c r="C3069" s="16">
        <v>27491.0</v>
      </c>
      <c r="D3069" s="17" t="s">
        <v>12067</v>
      </c>
    </row>
    <row r="3070">
      <c r="A3070" s="14">
        <v>7.0</v>
      </c>
      <c r="B3070" s="15" t="s">
        <v>12068</v>
      </c>
      <c r="C3070" s="16">
        <v>27491.0</v>
      </c>
      <c r="D3070" s="17" t="s">
        <v>12069</v>
      </c>
    </row>
    <row r="3071">
      <c r="A3071" s="14">
        <v>7.0</v>
      </c>
      <c r="B3071" s="15" t="s">
        <v>12070</v>
      </c>
      <c r="C3071" s="16">
        <v>27491.0</v>
      </c>
      <c r="D3071" s="17" t="s">
        <v>12071</v>
      </c>
    </row>
    <row r="3072">
      <c r="A3072" s="14" t="s">
        <v>9247</v>
      </c>
      <c r="B3072" s="15" t="s">
        <v>12072</v>
      </c>
      <c r="C3072" s="16">
        <v>27492.0</v>
      </c>
      <c r="D3072" s="17" t="s">
        <v>12073</v>
      </c>
    </row>
    <row r="3073">
      <c r="A3073" s="14" t="s">
        <v>6374</v>
      </c>
      <c r="B3073" s="15" t="s">
        <v>12074</v>
      </c>
      <c r="C3073" s="16">
        <v>27492.0</v>
      </c>
      <c r="D3073" s="17" t="s">
        <v>12075</v>
      </c>
    </row>
    <row r="3074">
      <c r="A3074" s="14">
        <v>8.0</v>
      </c>
      <c r="B3074" s="15" t="s">
        <v>12076</v>
      </c>
      <c r="C3074" s="16">
        <v>27492.0</v>
      </c>
      <c r="D3074" s="17" t="s">
        <v>12077</v>
      </c>
    </row>
    <row r="3075">
      <c r="A3075" s="14">
        <v>8.0</v>
      </c>
      <c r="B3075" s="15" t="s">
        <v>12078</v>
      </c>
      <c r="C3075" s="16">
        <v>27492.0</v>
      </c>
      <c r="D3075" s="17" t="s">
        <v>12079</v>
      </c>
    </row>
    <row r="3076">
      <c r="A3076" s="14">
        <v>8.0</v>
      </c>
      <c r="B3076" s="15" t="s">
        <v>12080</v>
      </c>
      <c r="C3076" s="16">
        <v>27492.0</v>
      </c>
      <c r="D3076" s="17" t="s">
        <v>12081</v>
      </c>
    </row>
    <row r="3077">
      <c r="A3077" s="14" t="s">
        <v>9247</v>
      </c>
      <c r="B3077" s="15" t="s">
        <v>12082</v>
      </c>
      <c r="C3077" s="16">
        <v>27493.0</v>
      </c>
      <c r="D3077" s="17" t="s">
        <v>12083</v>
      </c>
    </row>
    <row r="3078">
      <c r="A3078" s="14" t="s">
        <v>6374</v>
      </c>
      <c r="B3078" s="15" t="s">
        <v>12084</v>
      </c>
      <c r="C3078" s="16">
        <v>27493.0</v>
      </c>
      <c r="D3078" s="17" t="s">
        <v>12085</v>
      </c>
    </row>
    <row r="3079">
      <c r="A3079" s="14">
        <v>9.0</v>
      </c>
      <c r="B3079" s="15" t="s">
        <v>12086</v>
      </c>
      <c r="C3079" s="16">
        <v>27493.0</v>
      </c>
      <c r="D3079" s="17" t="s">
        <v>12087</v>
      </c>
    </row>
    <row r="3080">
      <c r="A3080" s="14">
        <v>9.0</v>
      </c>
      <c r="B3080" s="15" t="s">
        <v>12088</v>
      </c>
      <c r="C3080" s="16">
        <v>27493.0</v>
      </c>
      <c r="D3080" s="17" t="s">
        <v>12089</v>
      </c>
    </row>
    <row r="3081">
      <c r="A3081" s="14">
        <v>9.0</v>
      </c>
      <c r="B3081" s="15" t="s">
        <v>12090</v>
      </c>
      <c r="C3081" s="16">
        <v>27493.0</v>
      </c>
      <c r="D3081" s="17" t="s">
        <v>12091</v>
      </c>
    </row>
    <row r="3082">
      <c r="A3082" s="14" t="s">
        <v>6858</v>
      </c>
      <c r="B3082" s="15" t="s">
        <v>12092</v>
      </c>
      <c r="C3082" s="16">
        <v>27494.0</v>
      </c>
      <c r="D3082" s="17" t="s">
        <v>12093</v>
      </c>
    </row>
    <row r="3083">
      <c r="A3083" s="14">
        <v>10.0</v>
      </c>
      <c r="B3083" s="15" t="s">
        <v>12094</v>
      </c>
      <c r="C3083" s="16">
        <v>27494.0</v>
      </c>
      <c r="D3083" s="17" t="s">
        <v>12095</v>
      </c>
    </row>
    <row r="3084">
      <c r="A3084" s="14">
        <v>10.0</v>
      </c>
      <c r="B3084" s="15" t="s">
        <v>12096</v>
      </c>
      <c r="C3084" s="16">
        <v>27494.0</v>
      </c>
      <c r="D3084" s="17" t="s">
        <v>12097</v>
      </c>
    </row>
    <row r="3085">
      <c r="A3085" s="14" t="s">
        <v>6858</v>
      </c>
      <c r="B3085" s="15" t="s">
        <v>12098</v>
      </c>
      <c r="C3085" s="16">
        <v>27495.0</v>
      </c>
      <c r="D3085" s="17" t="s">
        <v>12099</v>
      </c>
    </row>
    <row r="3086">
      <c r="A3086" s="14">
        <v>11.0</v>
      </c>
      <c r="B3086" s="15" t="s">
        <v>12100</v>
      </c>
      <c r="C3086" s="16">
        <v>27495.0</v>
      </c>
      <c r="D3086" s="17" t="s">
        <v>12101</v>
      </c>
    </row>
    <row r="3087">
      <c r="A3087" s="14">
        <v>11.0</v>
      </c>
      <c r="B3087" s="15" t="s">
        <v>12102</v>
      </c>
      <c r="C3087" s="16">
        <v>27495.0</v>
      </c>
      <c r="D3087" s="17" t="s">
        <v>12103</v>
      </c>
    </row>
    <row r="3088">
      <c r="A3088" s="14" t="s">
        <v>6353</v>
      </c>
      <c r="B3088" s="15" t="s">
        <v>12104</v>
      </c>
      <c r="C3088" s="16">
        <v>27496.0</v>
      </c>
      <c r="D3088" s="17" t="s">
        <v>12105</v>
      </c>
    </row>
    <row r="3089">
      <c r="A3089" s="14" t="s">
        <v>6353</v>
      </c>
      <c r="B3089" s="15" t="s">
        <v>12106</v>
      </c>
      <c r="C3089" s="16">
        <v>27496.0</v>
      </c>
      <c r="D3089" s="17" t="s">
        <v>12107</v>
      </c>
    </row>
    <row r="3090">
      <c r="A3090" s="14" t="s">
        <v>6353</v>
      </c>
      <c r="B3090" s="15" t="s">
        <v>12108</v>
      </c>
      <c r="C3090" s="16">
        <v>27496.0</v>
      </c>
      <c r="D3090" s="17" t="s">
        <v>12109</v>
      </c>
    </row>
    <row r="3091">
      <c r="A3091" s="14" t="s">
        <v>6353</v>
      </c>
      <c r="B3091" s="15" t="s">
        <v>12110</v>
      </c>
      <c r="C3091" s="16">
        <v>27496.0</v>
      </c>
      <c r="D3091" s="17" t="s">
        <v>12111</v>
      </c>
    </row>
    <row r="3092">
      <c r="A3092" s="14" t="s">
        <v>6858</v>
      </c>
      <c r="B3092" s="15" t="s">
        <v>12112</v>
      </c>
      <c r="C3092" s="16">
        <v>27496.0</v>
      </c>
      <c r="D3092" s="17" t="s">
        <v>12113</v>
      </c>
    </row>
    <row r="3093">
      <c r="A3093" s="14">
        <v>12.0</v>
      </c>
      <c r="B3093" s="15" t="s">
        <v>12114</v>
      </c>
      <c r="C3093" s="16">
        <v>27496.0</v>
      </c>
      <c r="D3093" s="17" t="s">
        <v>12115</v>
      </c>
    </row>
    <row r="3094">
      <c r="A3094" s="14">
        <v>12.0</v>
      </c>
      <c r="B3094" s="15" t="s">
        <v>12116</v>
      </c>
      <c r="C3094" s="16">
        <v>27496.0</v>
      </c>
      <c r="D3094" s="17" t="s">
        <v>12117</v>
      </c>
    </row>
    <row r="3095">
      <c r="A3095" s="14">
        <v>12.0</v>
      </c>
      <c r="B3095" s="15" t="s">
        <v>12118</v>
      </c>
      <c r="C3095" s="16">
        <v>27496.0</v>
      </c>
      <c r="D3095" s="17" t="s">
        <v>12119</v>
      </c>
    </row>
    <row r="3096">
      <c r="A3096" s="14">
        <v>12.0</v>
      </c>
      <c r="B3096" s="15" t="s">
        <v>12120</v>
      </c>
      <c r="C3096" s="16">
        <v>27496.0</v>
      </c>
      <c r="D3096" s="17" t="s">
        <v>12121</v>
      </c>
    </row>
    <row r="3097">
      <c r="A3097" s="14">
        <v>12.0</v>
      </c>
      <c r="B3097" s="15" t="s">
        <v>12122</v>
      </c>
      <c r="C3097" s="16">
        <v>27496.0</v>
      </c>
      <c r="D3097" s="17" t="s">
        <v>12123</v>
      </c>
    </row>
    <row r="3098">
      <c r="A3098" s="14">
        <v>12.0</v>
      </c>
      <c r="B3098" s="15" t="s">
        <v>12124</v>
      </c>
      <c r="C3098" s="16">
        <v>27496.0</v>
      </c>
      <c r="D3098" s="17" t="s">
        <v>12125</v>
      </c>
    </row>
    <row r="3099">
      <c r="A3099" s="14">
        <v>12.0</v>
      </c>
      <c r="B3099" s="15" t="s">
        <v>12126</v>
      </c>
      <c r="C3099" s="16">
        <v>27496.0</v>
      </c>
      <c r="D3099" s="17" t="s">
        <v>12127</v>
      </c>
    </row>
    <row r="3100">
      <c r="A3100" s="14" t="s">
        <v>6858</v>
      </c>
      <c r="B3100" s="15" t="s">
        <v>12128</v>
      </c>
      <c r="C3100" s="16">
        <v>27497.0</v>
      </c>
      <c r="D3100" s="17" t="s">
        <v>12129</v>
      </c>
    </row>
    <row r="3101">
      <c r="A3101" s="14">
        <v>13.0</v>
      </c>
      <c r="B3101" s="15" t="s">
        <v>12130</v>
      </c>
      <c r="C3101" s="16">
        <v>27497.0</v>
      </c>
      <c r="D3101" s="17" t="s">
        <v>12131</v>
      </c>
    </row>
    <row r="3102">
      <c r="A3102" s="14">
        <v>13.0</v>
      </c>
      <c r="B3102" s="15" t="s">
        <v>12132</v>
      </c>
      <c r="C3102" s="16">
        <v>27497.0</v>
      </c>
      <c r="D3102" s="17" t="s">
        <v>12133</v>
      </c>
    </row>
    <row r="3103">
      <c r="A3103" s="14" t="s">
        <v>6753</v>
      </c>
      <c r="B3103" s="15" t="s">
        <v>12134</v>
      </c>
      <c r="C3103" s="16">
        <v>27498.0</v>
      </c>
      <c r="D3103" s="17" t="s">
        <v>12135</v>
      </c>
    </row>
    <row r="3104">
      <c r="A3104" s="14" t="s">
        <v>6353</v>
      </c>
      <c r="B3104" s="15" t="s">
        <v>12136</v>
      </c>
      <c r="C3104" s="16">
        <v>27498.0</v>
      </c>
      <c r="D3104" s="17" t="s">
        <v>12137</v>
      </c>
    </row>
    <row r="3105">
      <c r="A3105" s="14" t="s">
        <v>6057</v>
      </c>
      <c r="B3105" s="15" t="s">
        <v>12138</v>
      </c>
      <c r="C3105" s="16">
        <v>27498.0</v>
      </c>
      <c r="D3105" s="17" t="s">
        <v>12139</v>
      </c>
    </row>
    <row r="3106">
      <c r="A3106" s="14" t="s">
        <v>6057</v>
      </c>
      <c r="B3106" s="15" t="s">
        <v>12140</v>
      </c>
      <c r="C3106" s="16">
        <v>27498.0</v>
      </c>
      <c r="D3106" s="17" t="s">
        <v>12141</v>
      </c>
    </row>
    <row r="3107">
      <c r="A3107" s="14">
        <v>14.0</v>
      </c>
      <c r="B3107" s="15" t="s">
        <v>12142</v>
      </c>
      <c r="C3107" s="16">
        <v>27498.0</v>
      </c>
      <c r="D3107" s="17" t="s">
        <v>12143</v>
      </c>
    </row>
    <row r="3108">
      <c r="A3108" s="14">
        <v>14.0</v>
      </c>
      <c r="B3108" s="15" t="s">
        <v>12144</v>
      </c>
      <c r="C3108" s="16">
        <v>27498.0</v>
      </c>
      <c r="D3108" s="17" t="s">
        <v>12145</v>
      </c>
    </row>
    <row r="3109">
      <c r="A3109" s="14">
        <v>14.0</v>
      </c>
      <c r="B3109" s="15" t="s">
        <v>12146</v>
      </c>
      <c r="C3109" s="16">
        <v>27498.0</v>
      </c>
      <c r="D3109" s="17" t="s">
        <v>12147</v>
      </c>
    </row>
    <row r="3110">
      <c r="A3110" s="14">
        <v>14.0</v>
      </c>
      <c r="B3110" s="15" t="s">
        <v>12148</v>
      </c>
      <c r="C3110" s="16">
        <v>27498.0</v>
      </c>
      <c r="D3110" s="17" t="s">
        <v>12149</v>
      </c>
    </row>
    <row r="3111">
      <c r="A3111" s="14">
        <v>14.0</v>
      </c>
      <c r="B3111" s="15" t="s">
        <v>12150</v>
      </c>
      <c r="C3111" s="16">
        <v>27498.0</v>
      </c>
      <c r="D3111" s="17" t="s">
        <v>12151</v>
      </c>
    </row>
    <row r="3112">
      <c r="A3112" s="14">
        <v>14.0</v>
      </c>
      <c r="B3112" s="15" t="s">
        <v>12152</v>
      </c>
      <c r="C3112" s="16">
        <v>27498.0</v>
      </c>
      <c r="D3112" s="17" t="s">
        <v>12153</v>
      </c>
    </row>
    <row r="3113">
      <c r="A3113" s="14" t="s">
        <v>6858</v>
      </c>
      <c r="B3113" s="15" t="s">
        <v>12154</v>
      </c>
      <c r="C3113" s="16">
        <v>27499.0</v>
      </c>
      <c r="D3113" s="17" t="s">
        <v>12155</v>
      </c>
    </row>
    <row r="3114">
      <c r="A3114" s="14">
        <v>15.0</v>
      </c>
      <c r="B3114" s="15" t="s">
        <v>12156</v>
      </c>
      <c r="C3114" s="16">
        <v>27499.0</v>
      </c>
      <c r="D3114" s="17" t="s">
        <v>12157</v>
      </c>
    </row>
    <row r="3115">
      <c r="A3115" s="14">
        <v>15.0</v>
      </c>
      <c r="B3115" s="15" t="s">
        <v>12158</v>
      </c>
      <c r="C3115" s="16">
        <v>27499.0</v>
      </c>
      <c r="D3115" s="17" t="s">
        <v>12159</v>
      </c>
    </row>
    <row r="3116">
      <c r="A3116" s="14" t="s">
        <v>6126</v>
      </c>
      <c r="B3116" s="15" t="s">
        <v>12160</v>
      </c>
      <c r="C3116" s="16">
        <v>27501.0</v>
      </c>
      <c r="D3116" s="17" t="s">
        <v>12161</v>
      </c>
    </row>
    <row r="3117">
      <c r="A3117" s="14" t="s">
        <v>6374</v>
      </c>
      <c r="B3117" s="15" t="s">
        <v>12162</v>
      </c>
      <c r="C3117" s="16">
        <v>27501.0</v>
      </c>
      <c r="D3117" s="17" t="s">
        <v>12163</v>
      </c>
    </row>
    <row r="3118">
      <c r="A3118" s="14">
        <v>17.0</v>
      </c>
      <c r="B3118" s="15" t="s">
        <v>12164</v>
      </c>
      <c r="C3118" s="16">
        <v>27501.0</v>
      </c>
      <c r="D3118" s="17" t="s">
        <v>12165</v>
      </c>
    </row>
    <row r="3119">
      <c r="A3119" s="14">
        <v>17.0</v>
      </c>
      <c r="B3119" s="15" t="s">
        <v>12166</v>
      </c>
      <c r="C3119" s="16">
        <v>27501.0</v>
      </c>
      <c r="D3119" s="17" t="s">
        <v>12167</v>
      </c>
    </row>
    <row r="3120">
      <c r="A3120" s="14">
        <v>17.0</v>
      </c>
      <c r="B3120" s="15" t="s">
        <v>12168</v>
      </c>
      <c r="C3120" s="16">
        <v>27501.0</v>
      </c>
      <c r="D3120" s="17" t="s">
        <v>12169</v>
      </c>
    </row>
    <row r="3121">
      <c r="A3121" s="14" t="s">
        <v>5932</v>
      </c>
      <c r="B3121" s="15" t="s">
        <v>12170</v>
      </c>
      <c r="C3121" s="16">
        <v>27502.0</v>
      </c>
      <c r="D3121" s="17" t="s">
        <v>12171</v>
      </c>
    </row>
    <row r="3122">
      <c r="A3122" s="14">
        <v>18.0</v>
      </c>
      <c r="B3122" s="15" t="s">
        <v>12172</v>
      </c>
      <c r="C3122" s="16">
        <v>27502.0</v>
      </c>
      <c r="D3122" s="17" t="s">
        <v>12173</v>
      </c>
    </row>
    <row r="3123">
      <c r="A3123" s="14">
        <v>18.0</v>
      </c>
      <c r="B3123" s="15" t="s">
        <v>12174</v>
      </c>
      <c r="C3123" s="16">
        <v>27502.0</v>
      </c>
      <c r="D3123" s="17" t="s">
        <v>12175</v>
      </c>
    </row>
    <row r="3124">
      <c r="A3124" s="14" t="s">
        <v>6374</v>
      </c>
      <c r="B3124" s="15" t="s">
        <v>12176</v>
      </c>
      <c r="C3124" s="16">
        <v>27503.0</v>
      </c>
      <c r="D3124" s="17" t="s">
        <v>12177</v>
      </c>
    </row>
    <row r="3125">
      <c r="A3125" s="14" t="s">
        <v>6353</v>
      </c>
      <c r="B3125" s="15" t="s">
        <v>12178</v>
      </c>
      <c r="C3125" s="16">
        <v>27503.0</v>
      </c>
      <c r="D3125" s="17" t="s">
        <v>12179</v>
      </c>
    </row>
    <row r="3126">
      <c r="A3126" s="14">
        <v>19.0</v>
      </c>
      <c r="B3126" s="15" t="s">
        <v>12180</v>
      </c>
      <c r="C3126" s="16">
        <v>27503.0</v>
      </c>
      <c r="D3126" s="17" t="s">
        <v>12181</v>
      </c>
    </row>
    <row r="3127">
      <c r="A3127" s="14">
        <v>19.0</v>
      </c>
      <c r="B3127" s="15" t="s">
        <v>12182</v>
      </c>
      <c r="C3127" s="16">
        <v>27503.0</v>
      </c>
      <c r="D3127" s="17" t="s">
        <v>12183</v>
      </c>
    </row>
    <row r="3128">
      <c r="A3128" s="14" t="s">
        <v>6353</v>
      </c>
      <c r="B3128" s="15" t="s">
        <v>12184</v>
      </c>
      <c r="C3128" s="16">
        <v>27504.0</v>
      </c>
      <c r="D3128" s="17" t="s">
        <v>12185</v>
      </c>
    </row>
    <row r="3129">
      <c r="A3129" s="14" t="s">
        <v>6057</v>
      </c>
      <c r="B3129" s="15" t="s">
        <v>12186</v>
      </c>
      <c r="C3129" s="16">
        <v>27504.0</v>
      </c>
      <c r="D3129" s="17" t="s">
        <v>12187</v>
      </c>
    </row>
    <row r="3130">
      <c r="A3130" s="14">
        <v>20.0</v>
      </c>
      <c r="B3130" s="15" t="s">
        <v>12188</v>
      </c>
      <c r="C3130" s="16">
        <v>27504.0</v>
      </c>
      <c r="D3130" s="17" t="s">
        <v>12189</v>
      </c>
    </row>
    <row r="3131">
      <c r="A3131" s="14">
        <v>20.0</v>
      </c>
      <c r="B3131" s="15" t="s">
        <v>12190</v>
      </c>
      <c r="C3131" s="16">
        <v>27504.0</v>
      </c>
      <c r="D3131" s="17" t="s">
        <v>12191</v>
      </c>
    </row>
    <row r="3132">
      <c r="A3132" s="14">
        <v>20.0</v>
      </c>
      <c r="B3132" s="15" t="s">
        <v>12192</v>
      </c>
      <c r="C3132" s="16">
        <v>27504.0</v>
      </c>
      <c r="D3132" s="17" t="s">
        <v>12193</v>
      </c>
    </row>
    <row r="3133">
      <c r="A3133" s="14">
        <v>20.0</v>
      </c>
      <c r="B3133" s="15" t="s">
        <v>12194</v>
      </c>
      <c r="C3133" s="16">
        <v>27504.0</v>
      </c>
      <c r="D3133" s="17" t="s">
        <v>12195</v>
      </c>
    </row>
    <row r="3134">
      <c r="A3134" s="14">
        <v>20.0</v>
      </c>
      <c r="B3134" s="15" t="s">
        <v>12196</v>
      </c>
      <c r="C3134" s="16">
        <v>27504.0</v>
      </c>
      <c r="D3134" s="17" t="s">
        <v>12197</v>
      </c>
    </row>
    <row r="3135">
      <c r="A3135" s="14" t="s">
        <v>6374</v>
      </c>
      <c r="B3135" s="15" t="s">
        <v>12198</v>
      </c>
      <c r="C3135" s="16">
        <v>27507.0</v>
      </c>
      <c r="D3135" s="17" t="s">
        <v>12199</v>
      </c>
    </row>
    <row r="3136">
      <c r="A3136" s="14" t="s">
        <v>5932</v>
      </c>
      <c r="B3136" s="15" t="s">
        <v>12200</v>
      </c>
      <c r="C3136" s="16">
        <v>27507.0</v>
      </c>
      <c r="D3136" s="17" t="s">
        <v>12201</v>
      </c>
    </row>
    <row r="3137">
      <c r="A3137" s="14">
        <v>23.0</v>
      </c>
      <c r="B3137" s="15" t="s">
        <v>12202</v>
      </c>
      <c r="C3137" s="16">
        <v>27507.0</v>
      </c>
      <c r="D3137" s="17" t="s">
        <v>12203</v>
      </c>
    </row>
    <row r="3138">
      <c r="A3138" s="14">
        <v>23.0</v>
      </c>
      <c r="B3138" s="15" t="s">
        <v>12204</v>
      </c>
      <c r="C3138" s="16">
        <v>27507.0</v>
      </c>
      <c r="D3138" s="17" t="s">
        <v>12205</v>
      </c>
    </row>
    <row r="3139">
      <c r="A3139" s="14">
        <v>23.0</v>
      </c>
      <c r="B3139" s="15" t="s">
        <v>12206</v>
      </c>
      <c r="C3139" s="16">
        <v>27507.0</v>
      </c>
      <c r="D3139" s="17" t="s">
        <v>12207</v>
      </c>
    </row>
    <row r="3140">
      <c r="A3140" s="14" t="s">
        <v>5932</v>
      </c>
      <c r="B3140" s="15" t="s">
        <v>12208</v>
      </c>
      <c r="C3140" s="16">
        <v>27508.0</v>
      </c>
      <c r="D3140" s="17" t="s">
        <v>12209</v>
      </c>
    </row>
    <row r="3141">
      <c r="A3141" s="14">
        <v>24.0</v>
      </c>
      <c r="B3141" s="15" t="s">
        <v>12210</v>
      </c>
      <c r="C3141" s="16">
        <v>27508.0</v>
      </c>
      <c r="D3141" s="17" t="s">
        <v>12211</v>
      </c>
    </row>
    <row r="3142">
      <c r="A3142" s="14">
        <v>24.0</v>
      </c>
      <c r="B3142" s="15" t="s">
        <v>12212</v>
      </c>
      <c r="C3142" s="16">
        <v>27508.0</v>
      </c>
      <c r="D3142" s="17" t="s">
        <v>12213</v>
      </c>
    </row>
    <row r="3143">
      <c r="A3143" s="14" t="s">
        <v>6057</v>
      </c>
      <c r="B3143" s="15" t="s">
        <v>12214</v>
      </c>
      <c r="C3143" s="16">
        <v>27511.0</v>
      </c>
      <c r="D3143" s="17" t="s">
        <v>12215</v>
      </c>
    </row>
    <row r="3144">
      <c r="A3144" s="14">
        <v>27.0</v>
      </c>
      <c r="B3144" s="15" t="s">
        <v>12216</v>
      </c>
      <c r="C3144" s="16">
        <v>27511.0</v>
      </c>
      <c r="D3144" s="17" t="s">
        <v>12217</v>
      </c>
    </row>
    <row r="3145">
      <c r="A3145" s="14" t="s">
        <v>6374</v>
      </c>
      <c r="B3145" s="15" t="s">
        <v>12218</v>
      </c>
      <c r="C3145" s="16">
        <v>27512.0</v>
      </c>
      <c r="D3145" s="17" t="s">
        <v>12219</v>
      </c>
    </row>
    <row r="3146">
      <c r="A3146" s="14">
        <v>28.0</v>
      </c>
      <c r="B3146" s="15" t="s">
        <v>12220</v>
      </c>
      <c r="C3146" s="16">
        <v>27512.0</v>
      </c>
      <c r="D3146" s="17" t="s">
        <v>12221</v>
      </c>
    </row>
    <row r="3147">
      <c r="A3147" s="14" t="s">
        <v>6057</v>
      </c>
      <c r="B3147" s="15" t="s">
        <v>12222</v>
      </c>
      <c r="C3147" s="16">
        <v>27520.0</v>
      </c>
      <c r="D3147" s="17" t="s">
        <v>12223</v>
      </c>
    </row>
    <row r="3148">
      <c r="A3148" s="14">
        <v>6.0</v>
      </c>
      <c r="B3148" s="15" t="s">
        <v>12224</v>
      </c>
      <c r="C3148" s="16">
        <v>27520.0</v>
      </c>
      <c r="D3148" s="17" t="s">
        <v>12225</v>
      </c>
    </row>
    <row r="3149">
      <c r="A3149" s="14" t="s">
        <v>6374</v>
      </c>
      <c r="B3149" s="15" t="s">
        <v>12226</v>
      </c>
      <c r="C3149" s="16">
        <v>27521.0</v>
      </c>
      <c r="D3149" s="17" t="s">
        <v>12227</v>
      </c>
    </row>
    <row r="3150">
      <c r="A3150" s="14">
        <v>7.0</v>
      </c>
      <c r="B3150" s="15" t="s">
        <v>12228</v>
      </c>
      <c r="C3150" s="16">
        <v>27521.0</v>
      </c>
      <c r="D3150" s="17" t="s">
        <v>12229</v>
      </c>
    </row>
    <row r="3151">
      <c r="A3151" s="14" t="s">
        <v>6374</v>
      </c>
      <c r="B3151" s="15" t="s">
        <v>12230</v>
      </c>
      <c r="C3151" s="16">
        <v>27522.0</v>
      </c>
      <c r="D3151" s="17" t="s">
        <v>12231</v>
      </c>
    </row>
    <row r="3152">
      <c r="A3152" s="14" t="s">
        <v>6353</v>
      </c>
      <c r="B3152" s="15" t="s">
        <v>12232</v>
      </c>
      <c r="C3152" s="16">
        <v>27522.0</v>
      </c>
      <c r="D3152" s="17" t="s">
        <v>12233</v>
      </c>
    </row>
    <row r="3153">
      <c r="A3153" s="14">
        <v>8.0</v>
      </c>
      <c r="B3153" s="15" t="s">
        <v>12234</v>
      </c>
      <c r="C3153" s="16">
        <v>27522.0</v>
      </c>
      <c r="D3153" s="17" t="s">
        <v>12235</v>
      </c>
    </row>
    <row r="3154">
      <c r="A3154" s="14">
        <v>8.0</v>
      </c>
      <c r="B3154" s="15" t="s">
        <v>12236</v>
      </c>
      <c r="C3154" s="16">
        <v>27522.0</v>
      </c>
      <c r="D3154" s="17" t="s">
        <v>12237</v>
      </c>
    </row>
    <row r="3155">
      <c r="A3155" s="14">
        <v>8.0</v>
      </c>
      <c r="B3155" s="15" t="s">
        <v>12238</v>
      </c>
      <c r="C3155" s="16">
        <v>27522.0</v>
      </c>
      <c r="D3155" s="17" t="s">
        <v>12239</v>
      </c>
    </row>
    <row r="3156">
      <c r="A3156" s="14">
        <v>8.0</v>
      </c>
      <c r="B3156" s="15" t="s">
        <v>12240</v>
      </c>
      <c r="C3156" s="16">
        <v>27522.0</v>
      </c>
      <c r="D3156" s="17" t="s">
        <v>12241</v>
      </c>
    </row>
    <row r="3157">
      <c r="A3157" s="14" t="s">
        <v>6374</v>
      </c>
      <c r="B3157" s="15" t="s">
        <v>12242</v>
      </c>
      <c r="C3157" s="16">
        <v>27523.0</v>
      </c>
      <c r="D3157" s="17" t="s">
        <v>12243</v>
      </c>
    </row>
    <row r="3158">
      <c r="A3158" s="14">
        <v>9.0</v>
      </c>
      <c r="B3158" s="15" t="s">
        <v>12244</v>
      </c>
      <c r="C3158" s="16">
        <v>27523.0</v>
      </c>
      <c r="D3158" s="17" t="s">
        <v>12245</v>
      </c>
    </row>
    <row r="3159">
      <c r="A3159" s="14" t="s">
        <v>6374</v>
      </c>
      <c r="B3159" s="15" t="s">
        <v>12246</v>
      </c>
      <c r="C3159" s="16">
        <v>27524.0</v>
      </c>
      <c r="D3159" s="17" t="s">
        <v>12247</v>
      </c>
    </row>
    <row r="3160">
      <c r="A3160" s="14" t="s">
        <v>6353</v>
      </c>
      <c r="B3160" s="15" t="s">
        <v>12248</v>
      </c>
      <c r="C3160" s="16">
        <v>27524.0</v>
      </c>
      <c r="D3160" s="17" t="s">
        <v>12249</v>
      </c>
    </row>
    <row r="3161">
      <c r="A3161" s="14">
        <v>10.0</v>
      </c>
      <c r="B3161" s="15" t="s">
        <v>12250</v>
      </c>
      <c r="C3161" s="16">
        <v>27524.0</v>
      </c>
      <c r="D3161" s="17" t="s">
        <v>12251</v>
      </c>
    </row>
    <row r="3162">
      <c r="A3162" s="14">
        <v>10.0</v>
      </c>
      <c r="B3162" s="15" t="s">
        <v>12252</v>
      </c>
      <c r="C3162" s="16">
        <v>27524.0</v>
      </c>
      <c r="D3162" s="17" t="s">
        <v>12253</v>
      </c>
    </row>
    <row r="3163">
      <c r="A3163" s="14" t="s">
        <v>6374</v>
      </c>
      <c r="B3163" s="15" t="s">
        <v>12254</v>
      </c>
      <c r="C3163" s="16">
        <v>27525.0</v>
      </c>
      <c r="D3163" s="17" t="s">
        <v>12255</v>
      </c>
    </row>
    <row r="3164">
      <c r="A3164" s="14">
        <v>11.0</v>
      </c>
      <c r="B3164" s="15" t="s">
        <v>12256</v>
      </c>
      <c r="C3164" s="16">
        <v>27525.0</v>
      </c>
      <c r="D3164" s="17" t="s">
        <v>12257</v>
      </c>
    </row>
    <row r="3165">
      <c r="A3165" s="14" t="s">
        <v>6374</v>
      </c>
      <c r="B3165" s="15" t="s">
        <v>12258</v>
      </c>
      <c r="C3165" s="16">
        <v>27526.0</v>
      </c>
      <c r="D3165" s="17" t="s">
        <v>12259</v>
      </c>
    </row>
    <row r="3166">
      <c r="A3166" s="14" t="s">
        <v>6353</v>
      </c>
      <c r="B3166" s="15" t="s">
        <v>12260</v>
      </c>
      <c r="C3166" s="16">
        <v>27526.0</v>
      </c>
      <c r="D3166" s="17" t="s">
        <v>12261</v>
      </c>
    </row>
    <row r="3167">
      <c r="A3167" s="14">
        <v>12.0</v>
      </c>
      <c r="B3167" s="15" t="s">
        <v>12262</v>
      </c>
      <c r="C3167" s="16">
        <v>27526.0</v>
      </c>
      <c r="D3167" s="17" t="s">
        <v>12263</v>
      </c>
    </row>
    <row r="3168">
      <c r="A3168" s="14">
        <v>12.0</v>
      </c>
      <c r="B3168" s="15" t="s">
        <v>12264</v>
      </c>
      <c r="C3168" s="16">
        <v>27526.0</v>
      </c>
      <c r="D3168" s="17" t="s">
        <v>12265</v>
      </c>
    </row>
    <row r="3169">
      <c r="A3169" s="14">
        <v>12.0</v>
      </c>
      <c r="B3169" s="15" t="s">
        <v>12266</v>
      </c>
      <c r="C3169" s="16">
        <v>27526.0</v>
      </c>
      <c r="D3169" s="17" t="s">
        <v>12267</v>
      </c>
    </row>
    <row r="3170">
      <c r="A3170" s="14" t="s">
        <v>6374</v>
      </c>
      <c r="B3170" s="15" t="s">
        <v>12268</v>
      </c>
      <c r="C3170" s="16">
        <v>27527.0</v>
      </c>
      <c r="D3170" s="17" t="s">
        <v>12269</v>
      </c>
    </row>
    <row r="3171">
      <c r="A3171" s="14" t="s">
        <v>6353</v>
      </c>
      <c r="B3171" s="15" t="s">
        <v>12270</v>
      </c>
      <c r="C3171" s="16">
        <v>27527.0</v>
      </c>
      <c r="D3171" s="17" t="s">
        <v>12271</v>
      </c>
    </row>
    <row r="3172">
      <c r="A3172" s="14" t="s">
        <v>6353</v>
      </c>
      <c r="B3172" s="15" t="s">
        <v>12272</v>
      </c>
      <c r="C3172" s="16">
        <v>27527.0</v>
      </c>
      <c r="D3172" s="17" t="s">
        <v>12273</v>
      </c>
    </row>
    <row r="3173">
      <c r="A3173" s="14" t="s">
        <v>6353</v>
      </c>
      <c r="B3173" s="15" t="s">
        <v>12274</v>
      </c>
      <c r="C3173" s="16">
        <v>27527.0</v>
      </c>
      <c r="D3173" s="17" t="s">
        <v>12275</v>
      </c>
    </row>
    <row r="3174">
      <c r="A3174" s="14">
        <v>13.0</v>
      </c>
      <c r="B3174" s="15" t="s">
        <v>12276</v>
      </c>
      <c r="C3174" s="16">
        <v>27527.0</v>
      </c>
      <c r="D3174" s="17" t="s">
        <v>12277</v>
      </c>
    </row>
    <row r="3175">
      <c r="A3175" s="14">
        <v>13.0</v>
      </c>
      <c r="B3175" s="15" t="s">
        <v>12278</v>
      </c>
      <c r="C3175" s="16">
        <v>27527.0</v>
      </c>
      <c r="D3175" s="17" t="s">
        <v>12279</v>
      </c>
    </row>
    <row r="3176">
      <c r="A3176" s="14">
        <v>13.0</v>
      </c>
      <c r="B3176" s="15" t="s">
        <v>12280</v>
      </c>
      <c r="C3176" s="16">
        <v>27527.0</v>
      </c>
      <c r="D3176" s="17" t="s">
        <v>12281</v>
      </c>
    </row>
    <row r="3177">
      <c r="A3177" s="14">
        <v>13.0</v>
      </c>
      <c r="B3177" s="15" t="s">
        <v>12282</v>
      </c>
      <c r="C3177" s="16">
        <v>27527.0</v>
      </c>
      <c r="D3177" s="17" t="s">
        <v>12283</v>
      </c>
    </row>
    <row r="3178">
      <c r="A3178" s="14" t="s">
        <v>6374</v>
      </c>
      <c r="B3178" s="15" t="s">
        <v>12284</v>
      </c>
      <c r="C3178" s="16">
        <v>27528.0</v>
      </c>
      <c r="D3178" s="17" t="s">
        <v>12285</v>
      </c>
    </row>
    <row r="3179">
      <c r="A3179" s="14" t="s">
        <v>6353</v>
      </c>
      <c r="B3179" s="15" t="s">
        <v>12286</v>
      </c>
      <c r="C3179" s="16">
        <v>27528.0</v>
      </c>
      <c r="D3179" s="17" t="s">
        <v>12287</v>
      </c>
    </row>
    <row r="3180">
      <c r="A3180" s="14">
        <v>14.0</v>
      </c>
      <c r="B3180" s="15" t="s">
        <v>12288</v>
      </c>
      <c r="C3180" s="16">
        <v>27528.0</v>
      </c>
      <c r="D3180" s="17" t="s">
        <v>12289</v>
      </c>
    </row>
    <row r="3181">
      <c r="A3181" s="14">
        <v>14.0</v>
      </c>
      <c r="B3181" s="15" t="s">
        <v>12290</v>
      </c>
      <c r="C3181" s="16">
        <v>27528.0</v>
      </c>
      <c r="D3181" s="17" t="s">
        <v>12291</v>
      </c>
    </row>
    <row r="3182">
      <c r="A3182" s="14" t="s">
        <v>6374</v>
      </c>
      <c r="B3182" s="15" t="s">
        <v>12292</v>
      </c>
      <c r="C3182" s="16">
        <v>27529.0</v>
      </c>
      <c r="D3182" s="17" t="s">
        <v>12293</v>
      </c>
    </row>
    <row r="3183">
      <c r="A3183" s="14">
        <v>15.0</v>
      </c>
      <c r="B3183" s="15" t="s">
        <v>12294</v>
      </c>
      <c r="C3183" s="16">
        <v>27529.0</v>
      </c>
      <c r="D3183" s="17" t="s">
        <v>12295</v>
      </c>
    </row>
    <row r="3184">
      <c r="A3184" s="14" t="s">
        <v>6374</v>
      </c>
      <c r="B3184" s="15" t="s">
        <v>12296</v>
      </c>
      <c r="C3184" s="16">
        <v>27530.0</v>
      </c>
      <c r="D3184" s="17" t="s">
        <v>12297</v>
      </c>
    </row>
    <row r="3185">
      <c r="A3185" s="14" t="s">
        <v>6353</v>
      </c>
      <c r="B3185" s="15" t="s">
        <v>12298</v>
      </c>
      <c r="C3185" s="16">
        <v>27530.0</v>
      </c>
      <c r="D3185" s="17" t="s">
        <v>12299</v>
      </c>
    </row>
    <row r="3186">
      <c r="A3186" s="14" t="s">
        <v>6353</v>
      </c>
      <c r="B3186" s="15" t="s">
        <v>12300</v>
      </c>
      <c r="C3186" s="16">
        <v>27530.0</v>
      </c>
      <c r="D3186" s="17" t="s">
        <v>12301</v>
      </c>
    </row>
    <row r="3187">
      <c r="A3187" s="14">
        <v>16.0</v>
      </c>
      <c r="B3187" s="15" t="s">
        <v>12302</v>
      </c>
      <c r="C3187" s="16">
        <v>27530.0</v>
      </c>
      <c r="D3187" s="17" t="s">
        <v>12303</v>
      </c>
    </row>
    <row r="3188">
      <c r="A3188" s="14">
        <v>16.0</v>
      </c>
      <c r="B3188" s="15" t="s">
        <v>12304</v>
      </c>
      <c r="C3188" s="16">
        <v>27530.0</v>
      </c>
      <c r="D3188" s="17" t="s">
        <v>12305</v>
      </c>
    </row>
    <row r="3189">
      <c r="A3189" s="14">
        <v>16.0</v>
      </c>
      <c r="B3189" s="15" t="s">
        <v>12306</v>
      </c>
      <c r="C3189" s="16">
        <v>27530.0</v>
      </c>
      <c r="D3189" s="17" t="s">
        <v>12307</v>
      </c>
    </row>
    <row r="3190">
      <c r="A3190" s="14">
        <v>16.0</v>
      </c>
      <c r="B3190" s="15" t="s">
        <v>12308</v>
      </c>
      <c r="C3190" s="16">
        <v>27530.0</v>
      </c>
      <c r="D3190" s="17" t="s">
        <v>12309</v>
      </c>
    </row>
    <row r="3191">
      <c r="A3191" s="14" t="s">
        <v>6374</v>
      </c>
      <c r="B3191" s="15" t="s">
        <v>12310</v>
      </c>
      <c r="C3191" s="16">
        <v>27531.0</v>
      </c>
      <c r="D3191" s="17" t="s">
        <v>12311</v>
      </c>
    </row>
    <row r="3192">
      <c r="A3192" s="14" t="s">
        <v>6353</v>
      </c>
      <c r="B3192" s="15" t="s">
        <v>12312</v>
      </c>
      <c r="C3192" s="16">
        <v>27531.0</v>
      </c>
      <c r="D3192" s="17" t="s">
        <v>12313</v>
      </c>
    </row>
    <row r="3193">
      <c r="A3193" s="14">
        <v>17.0</v>
      </c>
      <c r="B3193" s="15" t="s">
        <v>12314</v>
      </c>
      <c r="C3193" s="16">
        <v>27531.0</v>
      </c>
      <c r="D3193" s="17" t="s">
        <v>12315</v>
      </c>
    </row>
    <row r="3194">
      <c r="A3194" s="14">
        <v>17.0</v>
      </c>
      <c r="B3194" s="15" t="s">
        <v>12316</v>
      </c>
      <c r="C3194" s="16">
        <v>27531.0</v>
      </c>
      <c r="D3194" s="17" t="s">
        <v>12317</v>
      </c>
    </row>
    <row r="3195">
      <c r="A3195" s="14" t="s">
        <v>358</v>
      </c>
      <c r="B3195" s="15" t="s">
        <v>12318</v>
      </c>
      <c r="C3195" s="16">
        <v>27533.0</v>
      </c>
      <c r="D3195" s="17" t="s">
        <v>12319</v>
      </c>
    </row>
    <row r="3196">
      <c r="A3196" s="14" t="s">
        <v>6374</v>
      </c>
      <c r="B3196" s="15" t="s">
        <v>12320</v>
      </c>
      <c r="C3196" s="16">
        <v>27533.0</v>
      </c>
      <c r="D3196" s="17" t="s">
        <v>12321</v>
      </c>
    </row>
    <row r="3197">
      <c r="A3197" s="14" t="s">
        <v>6353</v>
      </c>
      <c r="B3197" s="15" t="s">
        <v>12322</v>
      </c>
      <c r="C3197" s="16">
        <v>27533.0</v>
      </c>
      <c r="D3197" s="17" t="s">
        <v>12323</v>
      </c>
    </row>
    <row r="3198">
      <c r="A3198" s="14" t="s">
        <v>6353</v>
      </c>
      <c r="B3198" s="15" t="s">
        <v>12324</v>
      </c>
      <c r="C3198" s="16">
        <v>27533.0</v>
      </c>
      <c r="D3198" s="17" t="s">
        <v>12325</v>
      </c>
    </row>
    <row r="3199">
      <c r="A3199" s="14" t="s">
        <v>6353</v>
      </c>
      <c r="B3199" s="15" t="s">
        <v>12326</v>
      </c>
      <c r="C3199" s="16">
        <v>27533.0</v>
      </c>
      <c r="D3199" s="17" t="s">
        <v>12327</v>
      </c>
    </row>
    <row r="3200">
      <c r="A3200" s="14" t="s">
        <v>6057</v>
      </c>
      <c r="B3200" s="15" t="s">
        <v>12328</v>
      </c>
      <c r="C3200" s="16">
        <v>27533.0</v>
      </c>
      <c r="D3200" s="17" t="s">
        <v>12329</v>
      </c>
    </row>
    <row r="3201">
      <c r="A3201" s="14">
        <v>19.0</v>
      </c>
      <c r="B3201" s="15" t="s">
        <v>12330</v>
      </c>
      <c r="C3201" s="16">
        <v>27533.0</v>
      </c>
      <c r="D3201" s="17" t="s">
        <v>12331</v>
      </c>
    </row>
    <row r="3202">
      <c r="A3202" s="14">
        <v>19.0</v>
      </c>
      <c r="B3202" s="15" t="s">
        <v>12332</v>
      </c>
      <c r="C3202" s="16">
        <v>27533.0</v>
      </c>
      <c r="D3202" s="17" t="s">
        <v>12333</v>
      </c>
    </row>
    <row r="3203">
      <c r="A3203" s="14">
        <v>19.0</v>
      </c>
      <c r="B3203" s="15" t="s">
        <v>12334</v>
      </c>
      <c r="C3203" s="16">
        <v>27533.0</v>
      </c>
      <c r="D3203" s="17" t="s">
        <v>12335</v>
      </c>
    </row>
    <row r="3204">
      <c r="A3204" s="14">
        <v>19.0</v>
      </c>
      <c r="B3204" s="15" t="s">
        <v>12336</v>
      </c>
      <c r="C3204" s="16">
        <v>27533.0</v>
      </c>
      <c r="D3204" s="17" t="s">
        <v>12337</v>
      </c>
    </row>
    <row r="3205">
      <c r="A3205" s="14">
        <v>19.0</v>
      </c>
      <c r="B3205" s="15" t="s">
        <v>12338</v>
      </c>
      <c r="C3205" s="16">
        <v>27533.0</v>
      </c>
      <c r="D3205" s="17" t="s">
        <v>12339</v>
      </c>
    </row>
    <row r="3206">
      <c r="A3206" s="14">
        <v>19.0</v>
      </c>
      <c r="B3206" s="15" t="s">
        <v>12340</v>
      </c>
      <c r="C3206" s="16">
        <v>27533.0</v>
      </c>
      <c r="D3206" s="17" t="s">
        <v>12341</v>
      </c>
    </row>
    <row r="3207">
      <c r="A3207" s="14">
        <v>19.0</v>
      </c>
      <c r="B3207" s="15" t="s">
        <v>12342</v>
      </c>
      <c r="C3207" s="16">
        <v>27533.0</v>
      </c>
      <c r="D3207" s="17" t="s">
        <v>12343</v>
      </c>
    </row>
    <row r="3208">
      <c r="A3208" s="14">
        <v>19.0</v>
      </c>
      <c r="B3208" s="15" t="s">
        <v>12344</v>
      </c>
      <c r="C3208" s="16">
        <v>27533.0</v>
      </c>
      <c r="D3208" s="17" t="s">
        <v>12345</v>
      </c>
    </row>
    <row r="3209">
      <c r="A3209" s="14">
        <v>19.0</v>
      </c>
      <c r="B3209" s="15" t="s">
        <v>12346</v>
      </c>
      <c r="C3209" s="16">
        <v>27533.0</v>
      </c>
      <c r="D3209" s="17" t="s">
        <v>12347</v>
      </c>
    </row>
    <row r="3210">
      <c r="A3210" s="14" t="s">
        <v>6374</v>
      </c>
      <c r="B3210" s="15" t="s">
        <v>12348</v>
      </c>
      <c r="C3210" s="16">
        <v>27534.0</v>
      </c>
      <c r="D3210" s="17" t="s">
        <v>12349</v>
      </c>
    </row>
    <row r="3211">
      <c r="A3211" s="14" t="s">
        <v>6353</v>
      </c>
      <c r="B3211" s="15" t="s">
        <v>12350</v>
      </c>
      <c r="C3211" s="16">
        <v>27534.0</v>
      </c>
      <c r="D3211" s="17" t="s">
        <v>12351</v>
      </c>
    </row>
    <row r="3212">
      <c r="A3212" s="14" t="s">
        <v>6891</v>
      </c>
      <c r="B3212" s="15" t="s">
        <v>12352</v>
      </c>
      <c r="C3212" s="16">
        <v>27534.0</v>
      </c>
      <c r="D3212" s="17" t="s">
        <v>12353</v>
      </c>
    </row>
    <row r="3213">
      <c r="A3213" s="14">
        <v>20.0</v>
      </c>
      <c r="B3213" s="15" t="s">
        <v>12354</v>
      </c>
      <c r="C3213" s="16">
        <v>27534.0</v>
      </c>
      <c r="D3213" s="17" t="s">
        <v>12355</v>
      </c>
    </row>
    <row r="3214">
      <c r="A3214" s="14">
        <v>20.0</v>
      </c>
      <c r="B3214" s="15" t="s">
        <v>12356</v>
      </c>
      <c r="C3214" s="16">
        <v>27534.0</v>
      </c>
      <c r="D3214" s="17" t="s">
        <v>12357</v>
      </c>
    </row>
    <row r="3215">
      <c r="A3215" s="14">
        <v>20.0</v>
      </c>
      <c r="B3215" s="15" t="s">
        <v>12358</v>
      </c>
      <c r="C3215" s="16">
        <v>27534.0</v>
      </c>
      <c r="D3215" s="18" t="s">
        <v>12359</v>
      </c>
    </row>
    <row r="3216">
      <c r="A3216" s="14">
        <v>20.0</v>
      </c>
      <c r="B3216" s="15" t="s">
        <v>12360</v>
      </c>
      <c r="C3216" s="16">
        <v>27534.0</v>
      </c>
      <c r="D3216" s="17" t="s">
        <v>12361</v>
      </c>
    </row>
    <row r="3217">
      <c r="A3217" s="14" t="s">
        <v>6374</v>
      </c>
      <c r="B3217" s="15" t="s">
        <v>12362</v>
      </c>
      <c r="C3217" s="16">
        <v>27535.0</v>
      </c>
      <c r="D3217" s="17" t="s">
        <v>12363</v>
      </c>
    </row>
    <row r="3218">
      <c r="A3218" s="14" t="s">
        <v>6353</v>
      </c>
      <c r="B3218" s="15" t="s">
        <v>12364</v>
      </c>
      <c r="C3218" s="16">
        <v>27535.0</v>
      </c>
      <c r="D3218" s="17" t="s">
        <v>12365</v>
      </c>
    </row>
    <row r="3219">
      <c r="A3219" s="14" t="s">
        <v>6891</v>
      </c>
      <c r="B3219" s="15" t="s">
        <v>12366</v>
      </c>
      <c r="C3219" s="16">
        <v>27535.0</v>
      </c>
      <c r="D3219" s="17" t="s">
        <v>12367</v>
      </c>
    </row>
    <row r="3220">
      <c r="A3220" s="14">
        <v>21.0</v>
      </c>
      <c r="B3220" s="15" t="s">
        <v>12368</v>
      </c>
      <c r="C3220" s="16">
        <v>27535.0</v>
      </c>
      <c r="D3220" s="17" t="s">
        <v>12369</v>
      </c>
    </row>
    <row r="3221">
      <c r="A3221" s="14">
        <v>21.0</v>
      </c>
      <c r="B3221" s="15" t="s">
        <v>12370</v>
      </c>
      <c r="C3221" s="16">
        <v>27535.0</v>
      </c>
      <c r="D3221" s="17" t="s">
        <v>12371</v>
      </c>
    </row>
    <row r="3222">
      <c r="A3222" s="14">
        <v>21.0</v>
      </c>
      <c r="B3222" s="15" t="s">
        <v>12372</v>
      </c>
      <c r="C3222" s="16">
        <v>27535.0</v>
      </c>
      <c r="D3222" s="17" t="s">
        <v>12373</v>
      </c>
    </row>
    <row r="3223">
      <c r="A3223" s="14">
        <v>21.0</v>
      </c>
      <c r="B3223" s="15" t="s">
        <v>12374</v>
      </c>
      <c r="C3223" s="16">
        <v>27535.0</v>
      </c>
      <c r="D3223" s="17" t="s">
        <v>12375</v>
      </c>
    </row>
    <row r="3224">
      <c r="A3224" s="14">
        <v>21.0</v>
      </c>
      <c r="B3224" s="15" t="s">
        <v>12376</v>
      </c>
      <c r="C3224" s="16">
        <v>27535.0</v>
      </c>
      <c r="D3224" s="17" t="s">
        <v>12377</v>
      </c>
    </row>
    <row r="3225">
      <c r="A3225" s="14" t="s">
        <v>6374</v>
      </c>
      <c r="B3225" s="15" t="s">
        <v>12378</v>
      </c>
      <c r="C3225" s="16">
        <v>27536.0</v>
      </c>
      <c r="D3225" s="17" t="s">
        <v>12379</v>
      </c>
    </row>
    <row r="3226">
      <c r="A3226" s="14" t="s">
        <v>6353</v>
      </c>
      <c r="B3226" s="15" t="s">
        <v>12380</v>
      </c>
      <c r="C3226" s="16">
        <v>27536.0</v>
      </c>
      <c r="D3226" s="17" t="s">
        <v>12381</v>
      </c>
    </row>
    <row r="3227">
      <c r="A3227" s="14" t="s">
        <v>6353</v>
      </c>
      <c r="B3227" s="15" t="s">
        <v>12382</v>
      </c>
      <c r="C3227" s="16">
        <v>27536.0</v>
      </c>
      <c r="D3227" s="17" t="s">
        <v>12383</v>
      </c>
    </row>
    <row r="3228">
      <c r="A3228" s="14" t="s">
        <v>6891</v>
      </c>
      <c r="B3228" s="15" t="s">
        <v>12384</v>
      </c>
      <c r="C3228" s="16">
        <v>27536.0</v>
      </c>
      <c r="D3228" s="17" t="s">
        <v>12385</v>
      </c>
    </row>
    <row r="3229">
      <c r="A3229" s="14" t="s">
        <v>6891</v>
      </c>
      <c r="B3229" s="15" t="s">
        <v>12386</v>
      </c>
      <c r="C3229" s="16">
        <v>27536.0</v>
      </c>
      <c r="D3229" s="17" t="s">
        <v>12387</v>
      </c>
    </row>
    <row r="3230">
      <c r="A3230" s="14">
        <v>22.0</v>
      </c>
      <c r="B3230" s="15" t="s">
        <v>12388</v>
      </c>
      <c r="C3230" s="16">
        <v>27536.0</v>
      </c>
      <c r="D3230" s="17" t="s">
        <v>12389</v>
      </c>
    </row>
    <row r="3231">
      <c r="A3231" s="14">
        <v>22.0</v>
      </c>
      <c r="B3231" s="15" t="s">
        <v>12390</v>
      </c>
      <c r="C3231" s="16">
        <v>27536.0</v>
      </c>
      <c r="D3231" s="17" t="s">
        <v>12391</v>
      </c>
    </row>
    <row r="3232">
      <c r="A3232" s="14">
        <v>22.0</v>
      </c>
      <c r="B3232" s="15" t="s">
        <v>12392</v>
      </c>
      <c r="C3232" s="16">
        <v>27536.0</v>
      </c>
      <c r="D3232" s="17" t="s">
        <v>12393</v>
      </c>
    </row>
    <row r="3233">
      <c r="A3233" s="14">
        <v>22.0</v>
      </c>
      <c r="B3233" s="15" t="s">
        <v>12394</v>
      </c>
      <c r="C3233" s="16">
        <v>27536.0</v>
      </c>
      <c r="D3233" s="17" t="s">
        <v>12395</v>
      </c>
    </row>
    <row r="3234">
      <c r="A3234" s="14">
        <v>22.0</v>
      </c>
      <c r="B3234" s="15" t="s">
        <v>12396</v>
      </c>
      <c r="C3234" s="16">
        <v>27536.0</v>
      </c>
      <c r="D3234" s="18" t="s">
        <v>12397</v>
      </c>
    </row>
    <row r="3235">
      <c r="A3235" s="14">
        <v>22.0</v>
      </c>
      <c r="B3235" s="15" t="s">
        <v>12398</v>
      </c>
      <c r="C3235" s="16">
        <v>27536.0</v>
      </c>
      <c r="D3235" s="17" t="s">
        <v>12399</v>
      </c>
    </row>
    <row r="3236">
      <c r="A3236" s="14" t="s">
        <v>6374</v>
      </c>
      <c r="B3236" s="15" t="s">
        <v>12400</v>
      </c>
      <c r="C3236" s="16">
        <v>27537.0</v>
      </c>
      <c r="D3236" s="17" t="s">
        <v>12401</v>
      </c>
    </row>
    <row r="3237">
      <c r="A3237" s="14">
        <v>23.0</v>
      </c>
      <c r="B3237" s="15" t="s">
        <v>12402</v>
      </c>
      <c r="C3237" s="16">
        <v>27537.0</v>
      </c>
      <c r="D3237" s="17" t="s">
        <v>12403</v>
      </c>
    </row>
    <row r="3238">
      <c r="A3238" s="14">
        <v>23.0</v>
      </c>
      <c r="B3238" s="15" t="s">
        <v>12404</v>
      </c>
      <c r="C3238" s="16">
        <v>27537.0</v>
      </c>
      <c r="D3238" s="17" t="s">
        <v>12405</v>
      </c>
    </row>
    <row r="3239">
      <c r="A3239" s="14" t="s">
        <v>6074</v>
      </c>
      <c r="B3239" s="15" t="s">
        <v>12406</v>
      </c>
      <c r="C3239" s="16">
        <v>27538.0</v>
      </c>
      <c r="D3239" s="17" t="s">
        <v>12407</v>
      </c>
    </row>
    <row r="3240">
      <c r="A3240" s="14">
        <v>24.0</v>
      </c>
      <c r="B3240" s="15" t="s">
        <v>12408</v>
      </c>
      <c r="C3240" s="16">
        <v>27538.0</v>
      </c>
      <c r="D3240" s="17" t="s">
        <v>12409</v>
      </c>
    </row>
    <row r="3241">
      <c r="A3241" s="14">
        <v>24.0</v>
      </c>
      <c r="B3241" s="15" t="s">
        <v>12410</v>
      </c>
      <c r="C3241" s="16">
        <v>27538.0</v>
      </c>
      <c r="D3241" s="17" t="s">
        <v>12411</v>
      </c>
    </row>
    <row r="3242">
      <c r="A3242" s="14" t="s">
        <v>6753</v>
      </c>
      <c r="B3242" s="15" t="s">
        <v>12412</v>
      </c>
      <c r="C3242" s="16">
        <v>27539.0</v>
      </c>
      <c r="D3242" s="17" t="s">
        <v>12413</v>
      </c>
    </row>
    <row r="3243">
      <c r="A3243" s="14" t="s">
        <v>358</v>
      </c>
      <c r="B3243" s="15" t="s">
        <v>12414</v>
      </c>
      <c r="C3243" s="16">
        <v>27539.0</v>
      </c>
      <c r="D3243" s="17" t="s">
        <v>12415</v>
      </c>
    </row>
    <row r="3244">
      <c r="A3244" s="14" t="s">
        <v>6057</v>
      </c>
      <c r="B3244" s="15" t="s">
        <v>12416</v>
      </c>
      <c r="C3244" s="16">
        <v>27539.0</v>
      </c>
      <c r="D3244" s="17" t="s">
        <v>12417</v>
      </c>
    </row>
    <row r="3245">
      <c r="A3245" s="14">
        <v>25.0</v>
      </c>
      <c r="B3245" s="15" t="s">
        <v>12418</v>
      </c>
      <c r="C3245" s="16">
        <v>27539.0</v>
      </c>
      <c r="D3245" s="17" t="s">
        <v>12419</v>
      </c>
    </row>
    <row r="3246">
      <c r="A3246" s="14">
        <v>25.0</v>
      </c>
      <c r="B3246" s="15" t="s">
        <v>12420</v>
      </c>
      <c r="C3246" s="16">
        <v>27539.0</v>
      </c>
      <c r="D3246" s="17" t="s">
        <v>12421</v>
      </c>
    </row>
    <row r="3247">
      <c r="A3247" s="14">
        <v>25.0</v>
      </c>
      <c r="B3247" s="15" t="s">
        <v>12422</v>
      </c>
      <c r="C3247" s="16">
        <v>27539.0</v>
      </c>
      <c r="D3247" s="17" t="s">
        <v>12423</v>
      </c>
    </row>
    <row r="3248">
      <c r="A3248" s="14">
        <v>25.0</v>
      </c>
      <c r="B3248" s="15" t="s">
        <v>12424</v>
      </c>
      <c r="C3248" s="16">
        <v>27539.0</v>
      </c>
      <c r="D3248" s="17" t="s">
        <v>12425</v>
      </c>
    </row>
    <row r="3249">
      <c r="A3249" s="14">
        <v>25.0</v>
      </c>
      <c r="B3249" s="15" t="s">
        <v>12426</v>
      </c>
      <c r="C3249" s="16">
        <v>27539.0</v>
      </c>
      <c r="D3249" s="17" t="s">
        <v>12427</v>
      </c>
    </row>
    <row r="3250">
      <c r="A3250" s="14" t="s">
        <v>6374</v>
      </c>
      <c r="B3250" s="15" t="s">
        <v>12428</v>
      </c>
      <c r="C3250" s="16">
        <v>27541.0</v>
      </c>
      <c r="D3250" s="17" t="s">
        <v>12429</v>
      </c>
    </row>
    <row r="3251">
      <c r="A3251" s="14">
        <v>27.0</v>
      </c>
      <c r="B3251" s="15" t="s">
        <v>12430</v>
      </c>
      <c r="C3251" s="16">
        <v>27541.0</v>
      </c>
      <c r="D3251" s="17" t="s">
        <v>12431</v>
      </c>
    </row>
    <row r="3252">
      <c r="A3252" s="14" t="s">
        <v>6374</v>
      </c>
      <c r="B3252" s="15" t="s">
        <v>12432</v>
      </c>
      <c r="C3252" s="16">
        <v>27542.0</v>
      </c>
      <c r="D3252" s="17" t="s">
        <v>12433</v>
      </c>
    </row>
    <row r="3253">
      <c r="A3253" s="14">
        <v>28.0</v>
      </c>
      <c r="B3253" s="15" t="s">
        <v>12434</v>
      </c>
      <c r="C3253" s="16">
        <v>27542.0</v>
      </c>
      <c r="D3253" s="17" t="s">
        <v>12435</v>
      </c>
    </row>
    <row r="3254">
      <c r="A3254" s="14" t="s">
        <v>6374</v>
      </c>
      <c r="B3254" s="15" t="s">
        <v>12436</v>
      </c>
      <c r="C3254" s="16">
        <v>27543.0</v>
      </c>
      <c r="D3254" s="17" t="s">
        <v>12437</v>
      </c>
    </row>
    <row r="3255">
      <c r="A3255" s="14">
        <v>29.0</v>
      </c>
      <c r="B3255" s="15" t="s">
        <v>12438</v>
      </c>
      <c r="C3255" s="16">
        <v>27543.0</v>
      </c>
      <c r="D3255" s="17" t="s">
        <v>12439</v>
      </c>
    </row>
    <row r="3256">
      <c r="A3256" s="14" t="s">
        <v>6374</v>
      </c>
      <c r="B3256" s="15" t="s">
        <v>12440</v>
      </c>
      <c r="C3256" s="16">
        <v>27545.0</v>
      </c>
      <c r="D3256" s="17" t="s">
        <v>12441</v>
      </c>
    </row>
    <row r="3257">
      <c r="A3257" s="14">
        <v>31.0</v>
      </c>
      <c r="B3257" s="15" t="s">
        <v>12442</v>
      </c>
      <c r="C3257" s="16">
        <v>27545.0</v>
      </c>
      <c r="D3257" s="17" t="s">
        <v>12443</v>
      </c>
    </row>
    <row r="3258">
      <c r="A3258" s="14" t="s">
        <v>7968</v>
      </c>
      <c r="B3258" s="15" t="s">
        <v>12444</v>
      </c>
      <c r="C3258" s="16">
        <v>27546.0</v>
      </c>
      <c r="D3258" s="17" t="s">
        <v>12445</v>
      </c>
    </row>
    <row r="3259">
      <c r="A3259" s="14">
        <v>1.0</v>
      </c>
      <c r="B3259" s="15" t="s">
        <v>12446</v>
      </c>
      <c r="C3259" s="16">
        <v>27546.0</v>
      </c>
      <c r="D3259" s="17" t="s">
        <v>12447</v>
      </c>
    </row>
    <row r="3260">
      <c r="A3260" s="14">
        <v>1.0</v>
      </c>
      <c r="B3260" s="15" t="s">
        <v>12448</v>
      </c>
      <c r="C3260" s="16">
        <v>27546.0</v>
      </c>
      <c r="D3260" s="17" t="s">
        <v>12449</v>
      </c>
    </row>
    <row r="3261">
      <c r="A3261" s="14" t="s">
        <v>6374</v>
      </c>
      <c r="B3261" s="15" t="s">
        <v>12450</v>
      </c>
      <c r="C3261" s="16">
        <v>27547.0</v>
      </c>
      <c r="D3261" s="17" t="s">
        <v>12451</v>
      </c>
    </row>
    <row r="3262">
      <c r="A3262" s="14">
        <v>2.0</v>
      </c>
      <c r="B3262" s="15" t="s">
        <v>12452</v>
      </c>
      <c r="C3262" s="16">
        <v>27547.0</v>
      </c>
      <c r="D3262" s="17" t="s">
        <v>12453</v>
      </c>
    </row>
    <row r="3263">
      <c r="A3263" s="14" t="s">
        <v>6057</v>
      </c>
      <c r="B3263" s="15" t="s">
        <v>12454</v>
      </c>
      <c r="C3263" s="16">
        <v>27548.0</v>
      </c>
      <c r="D3263" s="17" t="s">
        <v>12455</v>
      </c>
    </row>
    <row r="3264">
      <c r="A3264" s="14">
        <v>3.0</v>
      </c>
      <c r="B3264" s="15" t="s">
        <v>12456</v>
      </c>
      <c r="C3264" s="16">
        <v>27548.0</v>
      </c>
      <c r="D3264" s="17" t="s">
        <v>12457</v>
      </c>
    </row>
    <row r="3265">
      <c r="A3265" s="14" t="s">
        <v>6374</v>
      </c>
      <c r="B3265" s="15" t="s">
        <v>12458</v>
      </c>
      <c r="C3265" s="16">
        <v>27549.0</v>
      </c>
      <c r="D3265" s="17" t="s">
        <v>12459</v>
      </c>
    </row>
    <row r="3266">
      <c r="A3266" s="14">
        <v>4.0</v>
      </c>
      <c r="B3266" s="15" t="s">
        <v>12460</v>
      </c>
      <c r="C3266" s="16">
        <v>27549.0</v>
      </c>
      <c r="D3266" s="17" t="s">
        <v>12461</v>
      </c>
    </row>
    <row r="3267">
      <c r="A3267" s="14" t="s">
        <v>6374</v>
      </c>
      <c r="B3267" s="15" t="s">
        <v>12462</v>
      </c>
      <c r="C3267" s="16">
        <v>27552.0</v>
      </c>
      <c r="D3267" s="17" t="s">
        <v>12463</v>
      </c>
    </row>
    <row r="3268">
      <c r="A3268" s="14" t="s">
        <v>6353</v>
      </c>
      <c r="B3268" s="15" t="s">
        <v>12464</v>
      </c>
      <c r="C3268" s="16">
        <v>27552.0</v>
      </c>
      <c r="D3268" s="17" t="s">
        <v>12465</v>
      </c>
    </row>
    <row r="3269">
      <c r="A3269" s="14">
        <v>7.0</v>
      </c>
      <c r="B3269" s="15" t="s">
        <v>12466</v>
      </c>
      <c r="C3269" s="16">
        <v>27552.0</v>
      </c>
      <c r="D3269" s="17" t="s">
        <v>12467</v>
      </c>
    </row>
    <row r="3270">
      <c r="A3270" s="14">
        <v>7.0</v>
      </c>
      <c r="B3270" s="15" t="s">
        <v>12468</v>
      </c>
      <c r="C3270" s="16">
        <v>27552.0</v>
      </c>
      <c r="D3270" s="17" t="s">
        <v>12469</v>
      </c>
    </row>
    <row r="3271">
      <c r="A3271" s="14">
        <v>7.0</v>
      </c>
      <c r="B3271" s="15" t="s">
        <v>12470</v>
      </c>
      <c r="C3271" s="16">
        <v>27552.0</v>
      </c>
      <c r="D3271" s="17" t="s">
        <v>12471</v>
      </c>
    </row>
    <row r="3272">
      <c r="A3272" s="14">
        <v>7.0</v>
      </c>
      <c r="B3272" s="15" t="s">
        <v>12472</v>
      </c>
      <c r="C3272" s="16">
        <v>27552.0</v>
      </c>
      <c r="D3272" s="17" t="s">
        <v>12473</v>
      </c>
    </row>
    <row r="3273">
      <c r="A3273" s="14" t="s">
        <v>6374</v>
      </c>
      <c r="B3273" s="15" t="s">
        <v>12474</v>
      </c>
      <c r="C3273" s="16">
        <v>27553.0</v>
      </c>
      <c r="D3273" s="17" t="s">
        <v>12475</v>
      </c>
    </row>
    <row r="3274">
      <c r="A3274" s="14" t="s">
        <v>6891</v>
      </c>
      <c r="B3274" s="15" t="s">
        <v>12476</v>
      </c>
      <c r="C3274" s="16">
        <v>27553.0</v>
      </c>
      <c r="D3274" s="17" t="s">
        <v>12477</v>
      </c>
    </row>
    <row r="3275">
      <c r="A3275" s="14">
        <v>8.0</v>
      </c>
      <c r="B3275" s="15" t="s">
        <v>12478</v>
      </c>
      <c r="C3275" s="16">
        <v>27553.0</v>
      </c>
      <c r="D3275" s="17" t="s">
        <v>12479</v>
      </c>
    </row>
    <row r="3276">
      <c r="A3276" s="14">
        <v>8.0</v>
      </c>
      <c r="B3276" s="15" t="s">
        <v>12480</v>
      </c>
      <c r="C3276" s="16">
        <v>27553.0</v>
      </c>
      <c r="D3276" s="18" t="s">
        <v>12481</v>
      </c>
    </row>
    <row r="3277">
      <c r="A3277" s="14">
        <v>8.0</v>
      </c>
      <c r="B3277" s="15" t="s">
        <v>12482</v>
      </c>
      <c r="C3277" s="16">
        <v>27553.0</v>
      </c>
      <c r="D3277" s="17" t="s">
        <v>12483</v>
      </c>
    </row>
    <row r="3278">
      <c r="A3278" s="14" t="s">
        <v>6374</v>
      </c>
      <c r="B3278" s="15" t="s">
        <v>12484</v>
      </c>
      <c r="C3278" s="16">
        <v>27555.0</v>
      </c>
      <c r="D3278" s="17" t="s">
        <v>12485</v>
      </c>
    </row>
    <row r="3279">
      <c r="A3279" s="14">
        <v>10.0</v>
      </c>
      <c r="B3279" s="15" t="s">
        <v>12486</v>
      </c>
      <c r="C3279" s="16">
        <v>27555.0</v>
      </c>
      <c r="D3279" s="17" t="s">
        <v>12487</v>
      </c>
    </row>
    <row r="3280">
      <c r="A3280" s="14" t="s">
        <v>6374</v>
      </c>
      <c r="B3280" s="15" t="s">
        <v>12488</v>
      </c>
      <c r="C3280" s="16">
        <v>27556.0</v>
      </c>
      <c r="D3280" s="17" t="s">
        <v>12489</v>
      </c>
    </row>
    <row r="3281">
      <c r="A3281" s="14" t="s">
        <v>6353</v>
      </c>
      <c r="B3281" s="15" t="s">
        <v>12490</v>
      </c>
      <c r="C3281" s="16">
        <v>27556.0</v>
      </c>
      <c r="D3281" s="17" t="s">
        <v>12491</v>
      </c>
    </row>
    <row r="3282">
      <c r="A3282" s="14">
        <v>11.0</v>
      </c>
      <c r="B3282" s="15" t="s">
        <v>12492</v>
      </c>
      <c r="C3282" s="16">
        <v>27556.0</v>
      </c>
      <c r="D3282" s="17" t="s">
        <v>12493</v>
      </c>
    </row>
    <row r="3283">
      <c r="A3283" s="14">
        <v>11.0</v>
      </c>
      <c r="B3283" s="15" t="s">
        <v>12494</v>
      </c>
      <c r="C3283" s="16">
        <v>27556.0</v>
      </c>
      <c r="D3283" s="17" t="s">
        <v>12495</v>
      </c>
    </row>
    <row r="3284">
      <c r="A3284" s="14" t="s">
        <v>6353</v>
      </c>
      <c r="B3284" s="15" t="s">
        <v>12496</v>
      </c>
      <c r="C3284" s="16">
        <v>27557.0</v>
      </c>
      <c r="D3284" s="17" t="s">
        <v>12497</v>
      </c>
    </row>
    <row r="3285">
      <c r="A3285" s="14">
        <v>12.0</v>
      </c>
      <c r="B3285" s="15" t="s">
        <v>12498</v>
      </c>
      <c r="C3285" s="16">
        <v>27557.0</v>
      </c>
      <c r="D3285" s="17" t="s">
        <v>12499</v>
      </c>
    </row>
    <row r="3286">
      <c r="A3286" s="14" t="s">
        <v>6374</v>
      </c>
      <c r="B3286" s="15" t="s">
        <v>12500</v>
      </c>
      <c r="C3286" s="16">
        <v>27559.0</v>
      </c>
      <c r="D3286" s="17" t="s">
        <v>12501</v>
      </c>
    </row>
    <row r="3287">
      <c r="A3287" s="14" t="s">
        <v>6353</v>
      </c>
      <c r="B3287" s="15" t="s">
        <v>12502</v>
      </c>
      <c r="C3287" s="16">
        <v>27559.0</v>
      </c>
      <c r="D3287" s="17" t="s">
        <v>12503</v>
      </c>
    </row>
    <row r="3288">
      <c r="A3288" s="14">
        <v>14.0</v>
      </c>
      <c r="B3288" s="15" t="s">
        <v>12504</v>
      </c>
      <c r="C3288" s="16">
        <v>27559.0</v>
      </c>
      <c r="D3288" s="17" t="s">
        <v>12505</v>
      </c>
    </row>
    <row r="3289">
      <c r="A3289" s="14">
        <v>14.0</v>
      </c>
      <c r="B3289" s="15" t="s">
        <v>12506</v>
      </c>
      <c r="C3289" s="16">
        <v>27559.0</v>
      </c>
      <c r="D3289" s="17" t="s">
        <v>12507</v>
      </c>
    </row>
    <row r="3290">
      <c r="A3290" s="14" t="s">
        <v>6374</v>
      </c>
      <c r="B3290" s="15" t="s">
        <v>12508</v>
      </c>
      <c r="C3290" s="16">
        <v>27560.0</v>
      </c>
      <c r="D3290" s="17" t="s">
        <v>12509</v>
      </c>
    </row>
    <row r="3291">
      <c r="A3291" s="14" t="s">
        <v>6353</v>
      </c>
      <c r="B3291" s="15" t="s">
        <v>12510</v>
      </c>
      <c r="C3291" s="16">
        <v>27560.0</v>
      </c>
      <c r="D3291" s="17" t="s">
        <v>12511</v>
      </c>
    </row>
    <row r="3292">
      <c r="A3292" s="14" t="s">
        <v>6353</v>
      </c>
      <c r="B3292" s="15" t="s">
        <v>12512</v>
      </c>
      <c r="C3292" s="16">
        <v>27560.0</v>
      </c>
      <c r="D3292" s="17" t="s">
        <v>12513</v>
      </c>
    </row>
    <row r="3293">
      <c r="A3293" s="14" t="s">
        <v>6353</v>
      </c>
      <c r="B3293" s="15" t="s">
        <v>12514</v>
      </c>
      <c r="C3293" s="16">
        <v>27560.0</v>
      </c>
      <c r="D3293" s="17" t="s">
        <v>12515</v>
      </c>
    </row>
    <row r="3294">
      <c r="A3294" s="14" t="s">
        <v>6353</v>
      </c>
      <c r="B3294" s="15" t="s">
        <v>12516</v>
      </c>
      <c r="C3294" s="16">
        <v>27560.0</v>
      </c>
      <c r="D3294" s="17" t="s">
        <v>12517</v>
      </c>
    </row>
    <row r="3295">
      <c r="A3295" s="14" t="s">
        <v>6891</v>
      </c>
      <c r="B3295" s="15" t="s">
        <v>12518</v>
      </c>
      <c r="C3295" s="16">
        <v>27560.0</v>
      </c>
      <c r="D3295" s="17" t="s">
        <v>12519</v>
      </c>
    </row>
    <row r="3296">
      <c r="A3296" s="14">
        <v>15.0</v>
      </c>
      <c r="B3296" s="15" t="s">
        <v>12520</v>
      </c>
      <c r="C3296" s="16">
        <v>27560.0</v>
      </c>
      <c r="D3296" s="17" t="s">
        <v>12521</v>
      </c>
    </row>
    <row r="3297">
      <c r="A3297" s="14">
        <v>15.0</v>
      </c>
      <c r="B3297" s="15" t="s">
        <v>12522</v>
      </c>
      <c r="C3297" s="16">
        <v>27560.0</v>
      </c>
      <c r="D3297" s="17" t="s">
        <v>12523</v>
      </c>
    </row>
    <row r="3298">
      <c r="A3298" s="14">
        <v>15.0</v>
      </c>
      <c r="B3298" s="15" t="s">
        <v>12524</v>
      </c>
      <c r="C3298" s="16">
        <v>27560.0</v>
      </c>
      <c r="D3298" s="17" t="s">
        <v>12525</v>
      </c>
    </row>
    <row r="3299">
      <c r="A3299" s="14">
        <v>15.0</v>
      </c>
      <c r="B3299" s="15" t="s">
        <v>12526</v>
      </c>
      <c r="C3299" s="16">
        <v>27560.0</v>
      </c>
      <c r="D3299" s="17" t="s">
        <v>12527</v>
      </c>
    </row>
    <row r="3300">
      <c r="A3300" s="14">
        <v>15.0</v>
      </c>
      <c r="B3300" s="15" t="s">
        <v>12528</v>
      </c>
      <c r="C3300" s="16">
        <v>27560.0</v>
      </c>
      <c r="D3300" s="17" t="s">
        <v>12529</v>
      </c>
    </row>
    <row r="3301">
      <c r="A3301" s="14">
        <v>15.0</v>
      </c>
      <c r="B3301" s="15" t="s">
        <v>12530</v>
      </c>
      <c r="C3301" s="16">
        <v>27560.0</v>
      </c>
      <c r="D3301" s="17" t="s">
        <v>12531</v>
      </c>
    </row>
    <row r="3302">
      <c r="A3302" s="14">
        <v>15.0</v>
      </c>
      <c r="B3302" s="15" t="s">
        <v>12532</v>
      </c>
      <c r="C3302" s="16">
        <v>27560.0</v>
      </c>
      <c r="D3302" s="17" t="s">
        <v>12533</v>
      </c>
    </row>
    <row r="3303">
      <c r="A3303" s="14" t="s">
        <v>6374</v>
      </c>
      <c r="B3303" s="15" t="s">
        <v>12534</v>
      </c>
      <c r="C3303" s="16">
        <v>27561.0</v>
      </c>
      <c r="D3303" s="17" t="s">
        <v>12535</v>
      </c>
    </row>
    <row r="3304">
      <c r="A3304" s="14" t="s">
        <v>6353</v>
      </c>
      <c r="B3304" s="15" t="s">
        <v>12536</v>
      </c>
      <c r="C3304" s="16">
        <v>27561.0</v>
      </c>
      <c r="D3304" s="17" t="s">
        <v>12537</v>
      </c>
    </row>
    <row r="3305">
      <c r="A3305" s="14" t="s">
        <v>6353</v>
      </c>
      <c r="B3305" s="15" t="s">
        <v>12538</v>
      </c>
      <c r="C3305" s="16">
        <v>27561.0</v>
      </c>
      <c r="D3305" s="17" t="s">
        <v>12539</v>
      </c>
    </row>
    <row r="3306">
      <c r="A3306" s="14" t="s">
        <v>6353</v>
      </c>
      <c r="B3306" s="15" t="s">
        <v>12540</v>
      </c>
      <c r="C3306" s="16">
        <v>27561.0</v>
      </c>
      <c r="D3306" s="17" t="s">
        <v>12541</v>
      </c>
    </row>
    <row r="3307">
      <c r="A3307" s="14" t="s">
        <v>6353</v>
      </c>
      <c r="B3307" s="15" t="s">
        <v>12542</v>
      </c>
      <c r="C3307" s="16">
        <v>27561.0</v>
      </c>
      <c r="D3307" s="17" t="s">
        <v>12543</v>
      </c>
    </row>
    <row r="3308">
      <c r="A3308" s="14">
        <v>16.0</v>
      </c>
      <c r="B3308" s="15" t="s">
        <v>12544</v>
      </c>
      <c r="C3308" s="16">
        <v>27561.0</v>
      </c>
      <c r="D3308" s="17" t="s">
        <v>12545</v>
      </c>
    </row>
    <row r="3309">
      <c r="A3309" s="14">
        <v>16.0</v>
      </c>
      <c r="B3309" s="15" t="s">
        <v>12546</v>
      </c>
      <c r="C3309" s="16">
        <v>27561.0</v>
      </c>
      <c r="D3309" s="17" t="s">
        <v>12547</v>
      </c>
    </row>
    <row r="3310">
      <c r="A3310" s="14">
        <v>16.0</v>
      </c>
      <c r="B3310" s="15" t="s">
        <v>12548</v>
      </c>
      <c r="C3310" s="16">
        <v>27561.0</v>
      </c>
      <c r="D3310" s="17" t="s">
        <v>12549</v>
      </c>
    </row>
    <row r="3311">
      <c r="A3311" s="14">
        <v>16.0</v>
      </c>
      <c r="B3311" s="15" t="s">
        <v>12550</v>
      </c>
      <c r="C3311" s="16">
        <v>27561.0</v>
      </c>
      <c r="D3311" s="17" t="s">
        <v>12551</v>
      </c>
    </row>
    <row r="3312">
      <c r="A3312" s="14">
        <v>16.0</v>
      </c>
      <c r="B3312" s="15" t="s">
        <v>12552</v>
      </c>
      <c r="C3312" s="16">
        <v>27561.0</v>
      </c>
      <c r="D3312" s="17" t="s">
        <v>12553</v>
      </c>
    </row>
    <row r="3313">
      <c r="A3313" s="14" t="s">
        <v>6374</v>
      </c>
      <c r="B3313" s="15" t="s">
        <v>12554</v>
      </c>
      <c r="C3313" s="16">
        <v>27562.0</v>
      </c>
      <c r="D3313" s="17" t="s">
        <v>12555</v>
      </c>
    </row>
    <row r="3314">
      <c r="A3314" s="14" t="s">
        <v>6353</v>
      </c>
      <c r="B3314" s="15" t="s">
        <v>12556</v>
      </c>
      <c r="C3314" s="16">
        <v>27562.0</v>
      </c>
      <c r="D3314" s="17" t="s">
        <v>12557</v>
      </c>
    </row>
    <row r="3315">
      <c r="A3315" s="14" t="s">
        <v>6891</v>
      </c>
      <c r="B3315" s="15" t="s">
        <v>12558</v>
      </c>
      <c r="C3315" s="16">
        <v>27562.0</v>
      </c>
      <c r="D3315" s="17" t="s">
        <v>12559</v>
      </c>
    </row>
    <row r="3316">
      <c r="A3316" s="14">
        <v>17.0</v>
      </c>
      <c r="B3316" s="15" t="s">
        <v>12560</v>
      </c>
      <c r="C3316" s="16">
        <v>27562.0</v>
      </c>
      <c r="D3316" s="17" t="s">
        <v>12561</v>
      </c>
    </row>
    <row r="3317">
      <c r="A3317" s="14">
        <v>17.0</v>
      </c>
      <c r="B3317" s="15" t="s">
        <v>12562</v>
      </c>
      <c r="C3317" s="16">
        <v>27562.0</v>
      </c>
      <c r="D3317" s="17" t="s">
        <v>12563</v>
      </c>
    </row>
    <row r="3318">
      <c r="A3318" s="14">
        <v>17.0</v>
      </c>
      <c r="B3318" s="15" t="s">
        <v>12564</v>
      </c>
      <c r="C3318" s="16">
        <v>27562.0</v>
      </c>
      <c r="D3318" s="17" t="s">
        <v>12565</v>
      </c>
    </row>
    <row r="3319">
      <c r="A3319" s="14" t="s">
        <v>6374</v>
      </c>
      <c r="B3319" s="15" t="s">
        <v>12566</v>
      </c>
      <c r="C3319" s="16">
        <v>27563.0</v>
      </c>
      <c r="D3319" s="17" t="s">
        <v>12567</v>
      </c>
    </row>
    <row r="3320">
      <c r="A3320" s="14" t="s">
        <v>6353</v>
      </c>
      <c r="B3320" s="15" t="s">
        <v>12568</v>
      </c>
      <c r="C3320" s="16">
        <v>27563.0</v>
      </c>
      <c r="D3320" s="17" t="s">
        <v>12569</v>
      </c>
    </row>
    <row r="3321">
      <c r="A3321" s="14">
        <v>18.0</v>
      </c>
      <c r="B3321" s="15" t="s">
        <v>12570</v>
      </c>
      <c r="C3321" s="16">
        <v>27563.0</v>
      </c>
      <c r="D3321" s="17" t="s">
        <v>12571</v>
      </c>
    </row>
    <row r="3322">
      <c r="A3322" s="14">
        <v>18.0</v>
      </c>
      <c r="B3322" s="15" t="s">
        <v>12572</v>
      </c>
      <c r="C3322" s="16">
        <v>27563.0</v>
      </c>
      <c r="D3322" s="17" t="s">
        <v>12573</v>
      </c>
    </row>
    <row r="3323">
      <c r="A3323" s="14" t="s">
        <v>6374</v>
      </c>
      <c r="B3323" s="15" t="s">
        <v>12574</v>
      </c>
      <c r="C3323" s="16">
        <v>27564.0</v>
      </c>
      <c r="D3323" s="17" t="s">
        <v>12575</v>
      </c>
    </row>
    <row r="3324">
      <c r="A3324" s="14">
        <v>19.0</v>
      </c>
      <c r="B3324" s="15" t="s">
        <v>12576</v>
      </c>
      <c r="C3324" s="16">
        <v>27564.0</v>
      </c>
      <c r="D3324" s="17" t="s">
        <v>12577</v>
      </c>
    </row>
    <row r="3325">
      <c r="A3325" s="14" t="s">
        <v>6753</v>
      </c>
      <c r="B3325" s="15" t="s">
        <v>12578</v>
      </c>
      <c r="C3325" s="16">
        <v>27565.0</v>
      </c>
      <c r="D3325" s="17" t="s">
        <v>12579</v>
      </c>
    </row>
    <row r="3326">
      <c r="A3326" s="14" t="s">
        <v>6753</v>
      </c>
      <c r="B3326" s="15" t="s">
        <v>12580</v>
      </c>
      <c r="C3326" s="16">
        <v>27565.0</v>
      </c>
      <c r="D3326" s="17" t="s">
        <v>12581</v>
      </c>
    </row>
    <row r="3327">
      <c r="A3327" s="14" t="s">
        <v>10504</v>
      </c>
      <c r="B3327" s="15" t="s">
        <v>12582</v>
      </c>
      <c r="C3327" s="16">
        <v>27565.0</v>
      </c>
      <c r="D3327" s="17" t="s">
        <v>12583</v>
      </c>
    </row>
    <row r="3328">
      <c r="A3328" s="14" t="s">
        <v>6353</v>
      </c>
      <c r="B3328" s="15" t="s">
        <v>12584</v>
      </c>
      <c r="C3328" s="16">
        <v>27565.0</v>
      </c>
      <c r="D3328" s="17" t="s">
        <v>12585</v>
      </c>
    </row>
    <row r="3329">
      <c r="A3329" s="14" t="s">
        <v>6057</v>
      </c>
      <c r="B3329" s="15" t="s">
        <v>12586</v>
      </c>
      <c r="C3329" s="16">
        <v>27565.0</v>
      </c>
      <c r="D3329" s="17" t="s">
        <v>12587</v>
      </c>
    </row>
    <row r="3330">
      <c r="A3330" s="14">
        <v>20.0</v>
      </c>
      <c r="B3330" s="15" t="s">
        <v>12588</v>
      </c>
      <c r="C3330" s="16">
        <v>27565.0</v>
      </c>
      <c r="D3330" s="17" t="s">
        <v>12589</v>
      </c>
    </row>
    <row r="3331">
      <c r="A3331" s="14">
        <v>20.0</v>
      </c>
      <c r="B3331" s="15" t="s">
        <v>12590</v>
      </c>
      <c r="C3331" s="16">
        <v>27565.0</v>
      </c>
      <c r="D3331" s="17" t="s">
        <v>12591</v>
      </c>
    </row>
    <row r="3332">
      <c r="A3332" s="14">
        <v>20.0</v>
      </c>
      <c r="B3332" s="15" t="s">
        <v>12592</v>
      </c>
      <c r="C3332" s="16">
        <v>27565.0</v>
      </c>
      <c r="D3332" s="17" t="s">
        <v>12593</v>
      </c>
    </row>
    <row r="3333">
      <c r="A3333" s="14">
        <v>20.0</v>
      </c>
      <c r="B3333" s="15" t="s">
        <v>12594</v>
      </c>
      <c r="C3333" s="16">
        <v>27565.0</v>
      </c>
      <c r="D3333" s="17" t="s">
        <v>12595</v>
      </c>
    </row>
    <row r="3334">
      <c r="A3334" s="14">
        <v>20.0</v>
      </c>
      <c r="B3334" s="15" t="s">
        <v>12596</v>
      </c>
      <c r="C3334" s="16">
        <v>27565.0</v>
      </c>
      <c r="D3334" s="17" t="s">
        <v>12597</v>
      </c>
    </row>
    <row r="3335">
      <c r="A3335" s="14">
        <v>20.0</v>
      </c>
      <c r="B3335" s="15" t="s">
        <v>12598</v>
      </c>
      <c r="C3335" s="16">
        <v>27565.0</v>
      </c>
      <c r="D3335" s="17" t="s">
        <v>12599</v>
      </c>
    </row>
    <row r="3336">
      <c r="A3336" s="14" t="s">
        <v>6374</v>
      </c>
      <c r="B3336" s="15" t="s">
        <v>12600</v>
      </c>
      <c r="C3336" s="16">
        <v>27566.0</v>
      </c>
      <c r="D3336" s="17" t="s">
        <v>12601</v>
      </c>
    </row>
    <row r="3337">
      <c r="A3337" s="14" t="s">
        <v>6891</v>
      </c>
      <c r="B3337" s="15" t="s">
        <v>12602</v>
      </c>
      <c r="C3337" s="16">
        <v>27566.0</v>
      </c>
      <c r="D3337" s="17" t="s">
        <v>12603</v>
      </c>
    </row>
    <row r="3338">
      <c r="A3338" s="14">
        <v>21.0</v>
      </c>
      <c r="B3338" s="15" t="s">
        <v>12604</v>
      </c>
      <c r="C3338" s="16">
        <v>27566.0</v>
      </c>
      <c r="D3338" s="17" t="s">
        <v>12605</v>
      </c>
    </row>
    <row r="3339">
      <c r="A3339" s="14">
        <v>21.0</v>
      </c>
      <c r="B3339" s="15" t="s">
        <v>12606</v>
      </c>
      <c r="C3339" s="16">
        <v>27566.0</v>
      </c>
      <c r="D3339" s="17" t="s">
        <v>12607</v>
      </c>
    </row>
    <row r="3340">
      <c r="A3340" s="14">
        <v>21.0</v>
      </c>
      <c r="B3340" s="15" t="s">
        <v>12608</v>
      </c>
      <c r="C3340" s="16">
        <v>27566.0</v>
      </c>
      <c r="D3340" s="17" t="s">
        <v>12609</v>
      </c>
    </row>
    <row r="3341">
      <c r="A3341" s="14">
        <v>21.0</v>
      </c>
      <c r="B3341" s="15" t="s">
        <v>12610</v>
      </c>
      <c r="C3341" s="16">
        <v>27566.0</v>
      </c>
      <c r="D3341" s="17" t="s">
        <v>12611</v>
      </c>
    </row>
    <row r="3342">
      <c r="A3342" s="14" t="s">
        <v>6374</v>
      </c>
      <c r="B3342" s="15" t="s">
        <v>12612</v>
      </c>
      <c r="C3342" s="16">
        <v>27567.0</v>
      </c>
      <c r="D3342" s="17" t="s">
        <v>12613</v>
      </c>
    </row>
    <row r="3343">
      <c r="A3343" s="14" t="s">
        <v>6353</v>
      </c>
      <c r="B3343" s="15" t="s">
        <v>12614</v>
      </c>
      <c r="C3343" s="16">
        <v>27567.0</v>
      </c>
      <c r="D3343" s="17" t="s">
        <v>12615</v>
      </c>
    </row>
    <row r="3344">
      <c r="A3344" s="14" t="s">
        <v>6891</v>
      </c>
      <c r="B3344" s="15" t="s">
        <v>12616</v>
      </c>
      <c r="C3344" s="16">
        <v>27567.0</v>
      </c>
      <c r="D3344" s="17" t="s">
        <v>12617</v>
      </c>
    </row>
    <row r="3345">
      <c r="A3345" s="14">
        <v>22.0</v>
      </c>
      <c r="B3345" s="15" t="s">
        <v>12618</v>
      </c>
      <c r="C3345" s="16">
        <v>27567.0</v>
      </c>
      <c r="D3345" s="17" t="s">
        <v>12619</v>
      </c>
    </row>
    <row r="3346">
      <c r="A3346" s="14">
        <v>22.0</v>
      </c>
      <c r="B3346" s="15" t="s">
        <v>12620</v>
      </c>
      <c r="C3346" s="16">
        <v>27567.0</v>
      </c>
      <c r="D3346" s="17" t="s">
        <v>12621</v>
      </c>
    </row>
    <row r="3347">
      <c r="A3347" s="14">
        <v>22.0</v>
      </c>
      <c r="B3347" s="15" t="s">
        <v>12622</v>
      </c>
      <c r="C3347" s="16">
        <v>27567.0</v>
      </c>
      <c r="D3347" s="17" t="s">
        <v>12623</v>
      </c>
    </row>
    <row r="3348">
      <c r="A3348" s="14">
        <v>22.0</v>
      </c>
      <c r="B3348" s="15" t="s">
        <v>12624</v>
      </c>
      <c r="C3348" s="16">
        <v>27567.0</v>
      </c>
      <c r="D3348" s="17" t="s">
        <v>12625</v>
      </c>
    </row>
    <row r="3349">
      <c r="A3349" s="14">
        <v>22.0</v>
      </c>
      <c r="B3349" s="15" t="s">
        <v>12626</v>
      </c>
      <c r="C3349" s="16">
        <v>27567.0</v>
      </c>
      <c r="D3349" s="17" t="s">
        <v>12627</v>
      </c>
    </row>
    <row r="3350">
      <c r="A3350" s="14" t="s">
        <v>6374</v>
      </c>
      <c r="B3350" s="15" t="s">
        <v>12628</v>
      </c>
      <c r="C3350" s="16">
        <v>27568.0</v>
      </c>
      <c r="D3350" s="17" t="s">
        <v>12629</v>
      </c>
    </row>
    <row r="3351">
      <c r="A3351" s="14" t="s">
        <v>6353</v>
      </c>
      <c r="B3351" s="15" t="s">
        <v>12630</v>
      </c>
      <c r="C3351" s="16">
        <v>27568.0</v>
      </c>
      <c r="D3351" s="17" t="s">
        <v>12631</v>
      </c>
    </row>
    <row r="3352">
      <c r="A3352" s="14" t="s">
        <v>6891</v>
      </c>
      <c r="B3352" s="15" t="s">
        <v>12632</v>
      </c>
      <c r="C3352" s="16">
        <v>27568.0</v>
      </c>
      <c r="D3352" s="17" t="s">
        <v>12633</v>
      </c>
    </row>
    <row r="3353">
      <c r="A3353" s="14">
        <v>23.0</v>
      </c>
      <c r="B3353" s="15" t="s">
        <v>12634</v>
      </c>
      <c r="C3353" s="16">
        <v>27568.0</v>
      </c>
      <c r="D3353" s="17" t="s">
        <v>12635</v>
      </c>
    </row>
    <row r="3354">
      <c r="A3354" s="14">
        <v>23.0</v>
      </c>
      <c r="B3354" s="15" t="s">
        <v>12636</v>
      </c>
      <c r="C3354" s="16">
        <v>27568.0</v>
      </c>
      <c r="D3354" s="17" t="s">
        <v>12637</v>
      </c>
    </row>
    <row r="3355">
      <c r="A3355" s="14">
        <v>23.0</v>
      </c>
      <c r="B3355" s="15" t="s">
        <v>12638</v>
      </c>
      <c r="C3355" s="16">
        <v>27568.0</v>
      </c>
      <c r="D3355" s="17" t="s">
        <v>12639</v>
      </c>
    </row>
    <row r="3356">
      <c r="A3356" s="14">
        <v>23.0</v>
      </c>
      <c r="B3356" s="15" t="s">
        <v>12640</v>
      </c>
      <c r="C3356" s="16">
        <v>27568.0</v>
      </c>
      <c r="D3356" s="17" t="s">
        <v>12641</v>
      </c>
    </row>
    <row r="3357">
      <c r="A3357" s="14">
        <v>23.0</v>
      </c>
      <c r="B3357" s="15" t="s">
        <v>12642</v>
      </c>
      <c r="C3357" s="16">
        <v>27568.0</v>
      </c>
      <c r="D3357" s="17" t="s">
        <v>12643</v>
      </c>
    </row>
    <row r="3358">
      <c r="A3358" s="14">
        <v>23.0</v>
      </c>
      <c r="B3358" s="15" t="s">
        <v>12644</v>
      </c>
      <c r="C3358" s="16">
        <v>27568.0</v>
      </c>
      <c r="D3358" s="17" t="s">
        <v>12645</v>
      </c>
    </row>
    <row r="3359">
      <c r="A3359" s="14" t="s">
        <v>6374</v>
      </c>
      <c r="B3359" s="15" t="s">
        <v>12646</v>
      </c>
      <c r="C3359" s="16">
        <v>27569.0</v>
      </c>
      <c r="D3359" s="17" t="s">
        <v>12647</v>
      </c>
    </row>
    <row r="3360">
      <c r="A3360" s="14" t="s">
        <v>6353</v>
      </c>
      <c r="B3360" s="15" t="s">
        <v>12648</v>
      </c>
      <c r="C3360" s="16">
        <v>27569.0</v>
      </c>
      <c r="D3360" s="17" t="s">
        <v>12649</v>
      </c>
    </row>
    <row r="3361">
      <c r="A3361" s="14">
        <v>24.0</v>
      </c>
      <c r="B3361" s="15" t="s">
        <v>12650</v>
      </c>
      <c r="C3361" s="16">
        <v>27569.0</v>
      </c>
      <c r="D3361" s="17" t="s">
        <v>12651</v>
      </c>
    </row>
    <row r="3362">
      <c r="A3362" s="14">
        <v>24.0</v>
      </c>
      <c r="B3362" s="15" t="s">
        <v>12652</v>
      </c>
      <c r="C3362" s="16">
        <v>27569.0</v>
      </c>
      <c r="D3362" s="17" t="s">
        <v>12653</v>
      </c>
    </row>
    <row r="3363">
      <c r="A3363" s="14">
        <v>24.0</v>
      </c>
      <c r="B3363" s="15" t="s">
        <v>12654</v>
      </c>
      <c r="C3363" s="16">
        <v>27569.0</v>
      </c>
      <c r="D3363" s="17" t="s">
        <v>12655</v>
      </c>
    </row>
    <row r="3364">
      <c r="A3364" s="14" t="s">
        <v>6374</v>
      </c>
      <c r="B3364" s="15" t="s">
        <v>12656</v>
      </c>
      <c r="C3364" s="16">
        <v>27570.0</v>
      </c>
      <c r="D3364" s="17" t="s">
        <v>12657</v>
      </c>
    </row>
    <row r="3365">
      <c r="A3365" s="14" t="s">
        <v>6353</v>
      </c>
      <c r="B3365" s="15" t="s">
        <v>12658</v>
      </c>
      <c r="C3365" s="16">
        <v>27570.0</v>
      </c>
      <c r="D3365" s="17" t="s">
        <v>12659</v>
      </c>
    </row>
    <row r="3366">
      <c r="A3366" s="14" t="s">
        <v>6891</v>
      </c>
      <c r="B3366" s="15" t="s">
        <v>12660</v>
      </c>
      <c r="C3366" s="16">
        <v>27570.0</v>
      </c>
      <c r="D3366" s="17" t="s">
        <v>12661</v>
      </c>
    </row>
    <row r="3367">
      <c r="A3367" s="14">
        <v>25.0</v>
      </c>
      <c r="B3367" s="15" t="s">
        <v>12662</v>
      </c>
      <c r="C3367" s="16">
        <v>27570.0</v>
      </c>
      <c r="D3367" s="17" t="s">
        <v>12663</v>
      </c>
    </row>
    <row r="3368">
      <c r="A3368" s="14">
        <v>25.0</v>
      </c>
      <c r="B3368" s="15" t="s">
        <v>12664</v>
      </c>
      <c r="C3368" s="16">
        <v>27570.0</v>
      </c>
      <c r="D3368" s="17" t="s">
        <v>12665</v>
      </c>
    </row>
    <row r="3369">
      <c r="A3369" s="14">
        <v>25.0</v>
      </c>
      <c r="B3369" s="15" t="s">
        <v>12666</v>
      </c>
      <c r="C3369" s="16">
        <v>27570.0</v>
      </c>
      <c r="D3369" s="17" t="s">
        <v>12667</v>
      </c>
    </row>
    <row r="3370">
      <c r="A3370" s="14">
        <v>25.0</v>
      </c>
      <c r="B3370" s="15" t="s">
        <v>12668</v>
      </c>
      <c r="C3370" s="16">
        <v>27570.0</v>
      </c>
      <c r="D3370" s="17" t="s">
        <v>12669</v>
      </c>
    </row>
    <row r="3371">
      <c r="A3371" s="14">
        <v>25.0</v>
      </c>
      <c r="B3371" s="15" t="s">
        <v>12670</v>
      </c>
      <c r="C3371" s="16">
        <v>27570.0</v>
      </c>
      <c r="D3371" s="17" t="s">
        <v>12671</v>
      </c>
    </row>
    <row r="3372">
      <c r="A3372" s="14" t="s">
        <v>6374</v>
      </c>
      <c r="B3372" s="15" t="s">
        <v>12672</v>
      </c>
      <c r="C3372" s="16">
        <v>27571.0</v>
      </c>
      <c r="D3372" s="17" t="s">
        <v>12673</v>
      </c>
    </row>
    <row r="3373">
      <c r="A3373" s="14" t="s">
        <v>6353</v>
      </c>
      <c r="B3373" s="15" t="s">
        <v>12674</v>
      </c>
      <c r="C3373" s="16">
        <v>27571.0</v>
      </c>
      <c r="D3373" s="17" t="s">
        <v>12675</v>
      </c>
    </row>
    <row r="3374">
      <c r="A3374" s="14" t="s">
        <v>6353</v>
      </c>
      <c r="B3374" s="15" t="s">
        <v>12676</v>
      </c>
      <c r="C3374" s="16">
        <v>27571.0</v>
      </c>
      <c r="D3374" s="17" t="s">
        <v>12677</v>
      </c>
    </row>
    <row r="3375">
      <c r="A3375" s="14" t="s">
        <v>6891</v>
      </c>
      <c r="B3375" s="15" t="s">
        <v>12678</v>
      </c>
      <c r="C3375" s="16">
        <v>27571.0</v>
      </c>
      <c r="D3375" s="17" t="s">
        <v>12679</v>
      </c>
    </row>
    <row r="3376">
      <c r="A3376" s="14">
        <v>26.0</v>
      </c>
      <c r="B3376" s="15" t="s">
        <v>12680</v>
      </c>
      <c r="C3376" s="16">
        <v>27571.0</v>
      </c>
      <c r="D3376" s="17" t="s">
        <v>12681</v>
      </c>
    </row>
    <row r="3377">
      <c r="A3377" s="14">
        <v>26.0</v>
      </c>
      <c r="B3377" s="15" t="s">
        <v>12682</v>
      </c>
      <c r="C3377" s="16">
        <v>27571.0</v>
      </c>
      <c r="D3377" s="17" t="s">
        <v>12683</v>
      </c>
    </row>
    <row r="3378">
      <c r="A3378" s="14">
        <v>26.0</v>
      </c>
      <c r="B3378" s="15" t="s">
        <v>12684</v>
      </c>
      <c r="C3378" s="16">
        <v>27571.0</v>
      </c>
      <c r="D3378" s="17" t="s">
        <v>12685</v>
      </c>
    </row>
    <row r="3379">
      <c r="A3379" s="14">
        <v>26.0</v>
      </c>
      <c r="B3379" s="15" t="s">
        <v>12686</v>
      </c>
      <c r="C3379" s="16">
        <v>27571.0</v>
      </c>
      <c r="D3379" s="17" t="s">
        <v>12687</v>
      </c>
    </row>
    <row r="3380">
      <c r="A3380" s="14">
        <v>26.0</v>
      </c>
      <c r="B3380" s="15" t="s">
        <v>12688</v>
      </c>
      <c r="C3380" s="16">
        <v>27571.0</v>
      </c>
      <c r="D3380" s="17" t="s">
        <v>12689</v>
      </c>
    </row>
    <row r="3381">
      <c r="A3381" s="14">
        <v>26.0</v>
      </c>
      <c r="B3381" s="15" t="s">
        <v>12690</v>
      </c>
      <c r="C3381" s="16">
        <v>27571.0</v>
      </c>
      <c r="D3381" s="17" t="s">
        <v>12691</v>
      </c>
    </row>
    <row r="3382">
      <c r="A3382" s="14" t="s">
        <v>6753</v>
      </c>
      <c r="B3382" s="15" t="s">
        <v>12692</v>
      </c>
      <c r="C3382" s="16">
        <v>27572.0</v>
      </c>
      <c r="D3382" s="17" t="s">
        <v>12693</v>
      </c>
    </row>
    <row r="3383">
      <c r="A3383" s="14" t="s">
        <v>10504</v>
      </c>
      <c r="B3383" s="15" t="s">
        <v>12694</v>
      </c>
      <c r="C3383" s="16">
        <v>27572.0</v>
      </c>
      <c r="D3383" s="17" t="s">
        <v>12695</v>
      </c>
    </row>
    <row r="3384">
      <c r="A3384" s="14" t="s">
        <v>6374</v>
      </c>
      <c r="B3384" s="15" t="s">
        <v>12696</v>
      </c>
      <c r="C3384" s="16">
        <v>27572.0</v>
      </c>
      <c r="D3384" s="17" t="s">
        <v>12697</v>
      </c>
    </row>
    <row r="3385">
      <c r="A3385" s="14" t="s">
        <v>6891</v>
      </c>
      <c r="B3385" s="15" t="s">
        <v>12698</v>
      </c>
      <c r="C3385" s="16">
        <v>27572.0</v>
      </c>
      <c r="D3385" s="17" t="s">
        <v>12699</v>
      </c>
    </row>
    <row r="3386">
      <c r="A3386" s="14">
        <v>27.0</v>
      </c>
      <c r="B3386" s="15" t="s">
        <v>12700</v>
      </c>
      <c r="C3386" s="16">
        <v>27572.0</v>
      </c>
      <c r="D3386" s="17" t="s">
        <v>12701</v>
      </c>
    </row>
    <row r="3387">
      <c r="A3387" s="14">
        <v>27.0</v>
      </c>
      <c r="B3387" s="15" t="s">
        <v>12702</v>
      </c>
      <c r="C3387" s="16">
        <v>27572.0</v>
      </c>
      <c r="D3387" s="17" t="s">
        <v>12703</v>
      </c>
    </row>
    <row r="3388">
      <c r="A3388" s="14">
        <v>27.0</v>
      </c>
      <c r="B3388" s="15" t="s">
        <v>12704</v>
      </c>
      <c r="C3388" s="16">
        <v>27572.0</v>
      </c>
      <c r="D3388" s="17" t="s">
        <v>12705</v>
      </c>
    </row>
    <row r="3389">
      <c r="A3389" s="14">
        <v>27.0</v>
      </c>
      <c r="B3389" s="15" t="s">
        <v>12706</v>
      </c>
      <c r="C3389" s="16">
        <v>27572.0</v>
      </c>
      <c r="D3389" s="17" t="s">
        <v>12707</v>
      </c>
    </row>
    <row r="3390">
      <c r="A3390" s="14">
        <v>27.0</v>
      </c>
      <c r="B3390" s="15" t="s">
        <v>12708</v>
      </c>
      <c r="C3390" s="16">
        <v>27572.0</v>
      </c>
      <c r="D3390" s="17" t="s">
        <v>12709</v>
      </c>
    </row>
    <row r="3391">
      <c r="A3391" s="14" t="s">
        <v>6374</v>
      </c>
      <c r="B3391" s="15" t="s">
        <v>12710</v>
      </c>
      <c r="C3391" s="16">
        <v>27573.0</v>
      </c>
      <c r="D3391" s="17" t="s">
        <v>12711</v>
      </c>
    </row>
    <row r="3392">
      <c r="A3392" s="14" t="s">
        <v>6891</v>
      </c>
      <c r="B3392" s="15" t="s">
        <v>12712</v>
      </c>
      <c r="C3392" s="16">
        <v>27573.0</v>
      </c>
      <c r="D3392" s="17" t="s">
        <v>12713</v>
      </c>
    </row>
    <row r="3393">
      <c r="A3393" s="14">
        <v>28.0</v>
      </c>
      <c r="B3393" s="15" t="s">
        <v>12714</v>
      </c>
      <c r="C3393" s="16">
        <v>27573.0</v>
      </c>
      <c r="D3393" s="17" t="s">
        <v>12715</v>
      </c>
    </row>
    <row r="3394">
      <c r="A3394" s="14">
        <v>28.0</v>
      </c>
      <c r="B3394" s="15" t="s">
        <v>12716</v>
      </c>
      <c r="C3394" s="16">
        <v>27573.0</v>
      </c>
      <c r="D3394" s="17" t="s">
        <v>12717</v>
      </c>
    </row>
    <row r="3395">
      <c r="A3395" s="14">
        <v>28.0</v>
      </c>
      <c r="B3395" s="15" t="s">
        <v>12718</v>
      </c>
      <c r="C3395" s="16">
        <v>27573.0</v>
      </c>
      <c r="D3395" s="17" t="s">
        <v>12719</v>
      </c>
    </row>
    <row r="3396">
      <c r="A3396" s="14">
        <v>28.0</v>
      </c>
      <c r="B3396" s="15" t="s">
        <v>12720</v>
      </c>
      <c r="C3396" s="16">
        <v>27573.0</v>
      </c>
      <c r="D3396" s="17" t="s">
        <v>12721</v>
      </c>
    </row>
    <row r="3397">
      <c r="A3397" s="14" t="s">
        <v>6374</v>
      </c>
      <c r="B3397" s="15" t="s">
        <v>12722</v>
      </c>
      <c r="C3397" s="16">
        <v>27574.0</v>
      </c>
      <c r="D3397" s="17" t="s">
        <v>12723</v>
      </c>
    </row>
    <row r="3398">
      <c r="A3398" s="14" t="s">
        <v>5932</v>
      </c>
      <c r="B3398" s="15" t="s">
        <v>12724</v>
      </c>
      <c r="C3398" s="16">
        <v>27574.0</v>
      </c>
      <c r="D3398" s="17" t="s">
        <v>12725</v>
      </c>
    </row>
    <row r="3399">
      <c r="A3399" s="14" t="s">
        <v>6891</v>
      </c>
      <c r="B3399" s="15" t="s">
        <v>12726</v>
      </c>
      <c r="C3399" s="16">
        <v>27574.0</v>
      </c>
      <c r="D3399" s="17" t="s">
        <v>12727</v>
      </c>
    </row>
    <row r="3400">
      <c r="A3400" s="14">
        <v>29.0</v>
      </c>
      <c r="B3400" s="15" t="s">
        <v>12728</v>
      </c>
      <c r="C3400" s="16">
        <v>27574.0</v>
      </c>
      <c r="D3400" s="17" t="s">
        <v>12729</v>
      </c>
    </row>
    <row r="3401">
      <c r="A3401" s="14">
        <v>29.0</v>
      </c>
      <c r="B3401" s="15" t="s">
        <v>12730</v>
      </c>
      <c r="C3401" s="16">
        <v>27574.0</v>
      </c>
      <c r="D3401" s="17" t="s">
        <v>12731</v>
      </c>
    </row>
    <row r="3402">
      <c r="A3402" s="14">
        <v>29.0</v>
      </c>
      <c r="B3402" s="15" t="s">
        <v>12732</v>
      </c>
      <c r="C3402" s="16">
        <v>27574.0</v>
      </c>
      <c r="D3402" s="17" t="s">
        <v>12733</v>
      </c>
    </row>
    <row r="3403">
      <c r="A3403" s="14">
        <v>29.0</v>
      </c>
      <c r="B3403" s="15" t="s">
        <v>12734</v>
      </c>
      <c r="C3403" s="16">
        <v>27574.0</v>
      </c>
      <c r="D3403" s="17" t="s">
        <v>12735</v>
      </c>
    </row>
    <row r="3404">
      <c r="A3404" s="14" t="s">
        <v>6374</v>
      </c>
      <c r="B3404" s="15" t="s">
        <v>12736</v>
      </c>
      <c r="C3404" s="16">
        <v>27575.0</v>
      </c>
      <c r="D3404" s="17" t="s">
        <v>12737</v>
      </c>
    </row>
    <row r="3405">
      <c r="A3405" s="14" t="s">
        <v>6891</v>
      </c>
      <c r="B3405" s="15" t="s">
        <v>12738</v>
      </c>
      <c r="C3405" s="16">
        <v>27575.0</v>
      </c>
      <c r="D3405" s="17" t="s">
        <v>12739</v>
      </c>
    </row>
    <row r="3406">
      <c r="A3406" s="14">
        <v>30.0</v>
      </c>
      <c r="B3406" s="15" t="s">
        <v>12740</v>
      </c>
      <c r="C3406" s="16">
        <v>27575.0</v>
      </c>
      <c r="D3406" s="17" t="s">
        <v>12741</v>
      </c>
    </row>
    <row r="3407">
      <c r="A3407" s="14">
        <v>30.0</v>
      </c>
      <c r="B3407" s="15" t="s">
        <v>12742</v>
      </c>
      <c r="C3407" s="16">
        <v>27575.0</v>
      </c>
      <c r="D3407" s="17" t="s">
        <v>12743</v>
      </c>
    </row>
    <row r="3408">
      <c r="A3408" s="14">
        <v>30.0</v>
      </c>
      <c r="B3408" s="15" t="s">
        <v>12744</v>
      </c>
      <c r="C3408" s="16">
        <v>27575.0</v>
      </c>
      <c r="D3408" s="17" t="s">
        <v>12745</v>
      </c>
    </row>
    <row r="3409">
      <c r="A3409" s="14">
        <v>30.0</v>
      </c>
      <c r="B3409" s="15" t="s">
        <v>12746</v>
      </c>
      <c r="C3409" s="16">
        <v>27575.0</v>
      </c>
      <c r="D3409" s="17" t="s">
        <v>12747</v>
      </c>
    </row>
    <row r="3410">
      <c r="A3410" s="14" t="s">
        <v>6374</v>
      </c>
      <c r="B3410" s="15" t="s">
        <v>12748</v>
      </c>
      <c r="C3410" s="16">
        <v>27576.0</v>
      </c>
      <c r="D3410" s="17" t="s">
        <v>12749</v>
      </c>
    </row>
    <row r="3411">
      <c r="A3411" s="14" t="s">
        <v>6891</v>
      </c>
      <c r="B3411" s="15" t="s">
        <v>12750</v>
      </c>
      <c r="C3411" s="16">
        <v>27576.0</v>
      </c>
      <c r="D3411" s="17" t="s">
        <v>12751</v>
      </c>
    </row>
    <row r="3412">
      <c r="A3412" s="14" t="s">
        <v>6891</v>
      </c>
      <c r="B3412" s="15" t="s">
        <v>12752</v>
      </c>
      <c r="C3412" s="16">
        <v>27576.0</v>
      </c>
      <c r="D3412" s="17" t="s">
        <v>12753</v>
      </c>
    </row>
    <row r="3413">
      <c r="A3413" s="14">
        <v>1.0</v>
      </c>
      <c r="B3413" s="15" t="s">
        <v>12754</v>
      </c>
      <c r="C3413" s="16">
        <v>27576.0</v>
      </c>
      <c r="D3413" s="17" t="s">
        <v>12755</v>
      </c>
    </row>
    <row r="3414">
      <c r="A3414" s="14">
        <v>1.0</v>
      </c>
      <c r="B3414" s="15" t="s">
        <v>12756</v>
      </c>
      <c r="C3414" s="16">
        <v>27576.0</v>
      </c>
      <c r="D3414" s="17" t="s">
        <v>12757</v>
      </c>
    </row>
    <row r="3415">
      <c r="A3415" s="14">
        <v>1.0</v>
      </c>
      <c r="B3415" s="15" t="s">
        <v>12758</v>
      </c>
      <c r="C3415" s="16">
        <v>27576.0</v>
      </c>
      <c r="D3415" s="17" t="s">
        <v>12759</v>
      </c>
    </row>
    <row r="3416">
      <c r="A3416" s="14">
        <v>1.0</v>
      </c>
      <c r="B3416" s="15" t="s">
        <v>12760</v>
      </c>
      <c r="C3416" s="16">
        <v>27576.0</v>
      </c>
      <c r="D3416" s="17" t="s">
        <v>12761</v>
      </c>
    </row>
    <row r="3417">
      <c r="A3417" s="14">
        <v>1.0</v>
      </c>
      <c r="B3417" s="15" t="s">
        <v>12762</v>
      </c>
      <c r="C3417" s="16">
        <v>27576.0</v>
      </c>
      <c r="D3417" s="17" t="s">
        <v>12763</v>
      </c>
    </row>
    <row r="3418">
      <c r="A3418" s="14" t="s">
        <v>6374</v>
      </c>
      <c r="B3418" s="15" t="s">
        <v>12764</v>
      </c>
      <c r="C3418" s="16">
        <v>27577.0</v>
      </c>
      <c r="D3418" s="17" t="s">
        <v>12765</v>
      </c>
    </row>
    <row r="3419">
      <c r="A3419" s="14">
        <v>2.0</v>
      </c>
      <c r="B3419" s="15" t="s">
        <v>12766</v>
      </c>
      <c r="C3419" s="16">
        <v>27577.0</v>
      </c>
      <c r="D3419" s="17" t="s">
        <v>12767</v>
      </c>
    </row>
    <row r="3420">
      <c r="A3420" s="14">
        <v>2.0</v>
      </c>
      <c r="B3420" s="15" t="s">
        <v>12768</v>
      </c>
      <c r="C3420" s="16">
        <v>27577.0</v>
      </c>
      <c r="D3420" s="17" t="s">
        <v>12769</v>
      </c>
    </row>
    <row r="3421">
      <c r="A3421" s="14">
        <v>2.0</v>
      </c>
      <c r="B3421" s="15" t="s">
        <v>12770</v>
      </c>
      <c r="C3421" s="16">
        <v>27577.0</v>
      </c>
      <c r="D3421" s="17" t="s">
        <v>12771</v>
      </c>
    </row>
    <row r="3422">
      <c r="A3422" s="14" t="s">
        <v>6753</v>
      </c>
      <c r="B3422" s="15" t="s">
        <v>12772</v>
      </c>
      <c r="C3422" s="16">
        <v>27578.0</v>
      </c>
      <c r="D3422" s="17" t="s">
        <v>12773</v>
      </c>
    </row>
    <row r="3423">
      <c r="A3423" s="14" t="s">
        <v>6374</v>
      </c>
      <c r="B3423" s="15" t="s">
        <v>12774</v>
      </c>
      <c r="C3423" s="16">
        <v>27578.0</v>
      </c>
      <c r="D3423" s="17" t="s">
        <v>12775</v>
      </c>
    </row>
    <row r="3424">
      <c r="A3424" s="14">
        <v>3.0</v>
      </c>
      <c r="B3424" s="15" t="s">
        <v>12776</v>
      </c>
      <c r="C3424" s="16">
        <v>27578.0</v>
      </c>
      <c r="D3424" s="17" t="s">
        <v>12777</v>
      </c>
    </row>
    <row r="3425">
      <c r="A3425" s="14">
        <v>3.0</v>
      </c>
      <c r="B3425" s="15" t="s">
        <v>12778</v>
      </c>
      <c r="C3425" s="16">
        <v>27578.0</v>
      </c>
      <c r="D3425" s="17" t="s">
        <v>12779</v>
      </c>
    </row>
    <row r="3426">
      <c r="A3426" s="14">
        <v>3.0</v>
      </c>
      <c r="B3426" s="15" t="s">
        <v>12780</v>
      </c>
      <c r="C3426" s="16">
        <v>27578.0</v>
      </c>
      <c r="D3426" s="17" t="s">
        <v>12781</v>
      </c>
    </row>
    <row r="3427">
      <c r="A3427" s="14">
        <v>3.0</v>
      </c>
      <c r="B3427" s="15" t="s">
        <v>12782</v>
      </c>
      <c r="C3427" s="16">
        <v>27578.0</v>
      </c>
      <c r="D3427" s="17" t="s">
        <v>12783</v>
      </c>
    </row>
    <row r="3428">
      <c r="A3428" s="14" t="s">
        <v>6374</v>
      </c>
      <c r="B3428" s="15" t="s">
        <v>12784</v>
      </c>
      <c r="C3428" s="16">
        <v>27579.0</v>
      </c>
      <c r="D3428" s="17" t="s">
        <v>12785</v>
      </c>
    </row>
    <row r="3429">
      <c r="A3429" s="14" t="s">
        <v>6353</v>
      </c>
      <c r="B3429" s="15" t="s">
        <v>12786</v>
      </c>
      <c r="C3429" s="16">
        <v>27579.0</v>
      </c>
      <c r="D3429" s="17" t="s">
        <v>12787</v>
      </c>
    </row>
    <row r="3430">
      <c r="A3430" s="14" t="s">
        <v>6891</v>
      </c>
      <c r="B3430" s="15" t="s">
        <v>12788</v>
      </c>
      <c r="C3430" s="16">
        <v>27579.0</v>
      </c>
      <c r="D3430" s="17" t="s">
        <v>12789</v>
      </c>
    </row>
    <row r="3431">
      <c r="A3431" s="14">
        <v>4.0</v>
      </c>
      <c r="B3431" s="15" t="s">
        <v>12790</v>
      </c>
      <c r="C3431" s="16">
        <v>27579.0</v>
      </c>
      <c r="D3431" s="17" t="s">
        <v>12791</v>
      </c>
    </row>
    <row r="3432">
      <c r="A3432" s="14">
        <v>4.0</v>
      </c>
      <c r="B3432" s="15" t="s">
        <v>12792</v>
      </c>
      <c r="C3432" s="16">
        <v>27579.0</v>
      </c>
      <c r="D3432" s="17" t="s">
        <v>12793</v>
      </c>
    </row>
    <row r="3433">
      <c r="A3433" s="14">
        <v>4.0</v>
      </c>
      <c r="B3433" s="15" t="s">
        <v>12794</v>
      </c>
      <c r="C3433" s="16">
        <v>27579.0</v>
      </c>
      <c r="D3433" s="17" t="s">
        <v>12795</v>
      </c>
    </row>
    <row r="3434">
      <c r="A3434" s="14">
        <v>4.0</v>
      </c>
      <c r="B3434" s="15" t="s">
        <v>12796</v>
      </c>
      <c r="C3434" s="16">
        <v>27579.0</v>
      </c>
      <c r="D3434" s="17" t="s">
        <v>12797</v>
      </c>
    </row>
    <row r="3435">
      <c r="A3435" s="14">
        <v>4.0</v>
      </c>
      <c r="B3435" s="15" t="s">
        <v>12798</v>
      </c>
      <c r="C3435" s="16">
        <v>27579.0</v>
      </c>
      <c r="D3435" s="17" t="s">
        <v>12799</v>
      </c>
    </row>
    <row r="3436">
      <c r="A3436" s="14">
        <v>4.0</v>
      </c>
      <c r="B3436" s="15" t="s">
        <v>12800</v>
      </c>
      <c r="C3436" s="16">
        <v>27579.0</v>
      </c>
      <c r="D3436" s="17" t="s">
        <v>12801</v>
      </c>
    </row>
    <row r="3437">
      <c r="A3437" s="14" t="s">
        <v>6374</v>
      </c>
      <c r="B3437" s="15" t="s">
        <v>12802</v>
      </c>
      <c r="C3437" s="16">
        <v>27580.0</v>
      </c>
      <c r="D3437" s="17" t="s">
        <v>12803</v>
      </c>
    </row>
    <row r="3438">
      <c r="A3438" s="14" t="s">
        <v>6353</v>
      </c>
      <c r="B3438" s="15" t="s">
        <v>12804</v>
      </c>
      <c r="C3438" s="16">
        <v>27580.0</v>
      </c>
      <c r="D3438" s="17" t="s">
        <v>12805</v>
      </c>
    </row>
    <row r="3439">
      <c r="A3439" s="14" t="s">
        <v>6353</v>
      </c>
      <c r="B3439" s="15" t="s">
        <v>12806</v>
      </c>
      <c r="C3439" s="16">
        <v>27580.0</v>
      </c>
      <c r="D3439" s="17" t="s">
        <v>12807</v>
      </c>
    </row>
    <row r="3440">
      <c r="A3440" s="14" t="s">
        <v>6891</v>
      </c>
      <c r="B3440" s="15" t="s">
        <v>12808</v>
      </c>
      <c r="C3440" s="16">
        <v>27580.0</v>
      </c>
      <c r="D3440" s="17" t="s">
        <v>12809</v>
      </c>
    </row>
    <row r="3441">
      <c r="A3441" s="14">
        <v>5.0</v>
      </c>
      <c r="B3441" s="15" t="s">
        <v>12810</v>
      </c>
      <c r="C3441" s="16">
        <v>27580.0</v>
      </c>
      <c r="D3441" s="17" t="s">
        <v>12811</v>
      </c>
    </row>
    <row r="3442">
      <c r="A3442" s="14">
        <v>5.0</v>
      </c>
      <c r="B3442" s="15" t="s">
        <v>12812</v>
      </c>
      <c r="C3442" s="16">
        <v>27580.0</v>
      </c>
      <c r="D3442" s="17" t="s">
        <v>12813</v>
      </c>
    </row>
    <row r="3443">
      <c r="A3443" s="14">
        <v>5.0</v>
      </c>
      <c r="B3443" s="15" t="s">
        <v>12814</v>
      </c>
      <c r="C3443" s="16">
        <v>27580.0</v>
      </c>
      <c r="D3443" s="17" t="s">
        <v>12815</v>
      </c>
    </row>
    <row r="3444">
      <c r="A3444" s="14">
        <v>5.0</v>
      </c>
      <c r="B3444" s="15" t="s">
        <v>12816</v>
      </c>
      <c r="C3444" s="16">
        <v>27580.0</v>
      </c>
      <c r="D3444" s="17" t="s">
        <v>12817</v>
      </c>
    </row>
    <row r="3445">
      <c r="A3445" s="14">
        <v>5.0</v>
      </c>
      <c r="B3445" s="15" t="s">
        <v>12818</v>
      </c>
      <c r="C3445" s="16">
        <v>27580.0</v>
      </c>
      <c r="D3445" s="17" t="s">
        <v>12819</v>
      </c>
    </row>
    <row r="3446">
      <c r="A3446" s="14">
        <v>5.0</v>
      </c>
      <c r="B3446" s="15" t="s">
        <v>12820</v>
      </c>
      <c r="C3446" s="16">
        <v>27580.0</v>
      </c>
      <c r="D3446" s="17" t="s">
        <v>12821</v>
      </c>
    </row>
    <row r="3447">
      <c r="A3447" s="14">
        <v>5.0</v>
      </c>
      <c r="B3447" s="15" t="s">
        <v>12822</v>
      </c>
      <c r="C3447" s="16">
        <v>27580.0</v>
      </c>
      <c r="D3447" s="17" t="s">
        <v>12823</v>
      </c>
    </row>
    <row r="3448">
      <c r="A3448" s="14">
        <v>5.0</v>
      </c>
      <c r="B3448" s="15" t="s">
        <v>12824</v>
      </c>
      <c r="C3448" s="16">
        <v>27580.0</v>
      </c>
      <c r="D3448" s="17" t="s">
        <v>12825</v>
      </c>
    </row>
    <row r="3449">
      <c r="A3449" s="14" t="s">
        <v>6374</v>
      </c>
      <c r="B3449" s="15" t="s">
        <v>12826</v>
      </c>
      <c r="C3449" s="16">
        <v>27581.0</v>
      </c>
      <c r="D3449" s="17" t="s">
        <v>12827</v>
      </c>
    </row>
    <row r="3450">
      <c r="A3450" s="14" t="s">
        <v>6891</v>
      </c>
      <c r="B3450" s="15" t="s">
        <v>12828</v>
      </c>
      <c r="C3450" s="16">
        <v>27581.0</v>
      </c>
      <c r="D3450" s="17" t="s">
        <v>12829</v>
      </c>
    </row>
    <row r="3451">
      <c r="A3451" s="14">
        <v>6.0</v>
      </c>
      <c r="B3451" s="15" t="s">
        <v>12830</v>
      </c>
      <c r="C3451" s="16">
        <v>27581.0</v>
      </c>
      <c r="D3451" s="17" t="s">
        <v>12831</v>
      </c>
    </row>
    <row r="3452">
      <c r="A3452" s="14">
        <v>6.0</v>
      </c>
      <c r="B3452" s="15" t="s">
        <v>12832</v>
      </c>
      <c r="C3452" s="16">
        <v>27581.0</v>
      </c>
      <c r="D3452" s="17" t="s">
        <v>12833</v>
      </c>
    </row>
    <row r="3453">
      <c r="A3453" s="14">
        <v>6.0</v>
      </c>
      <c r="B3453" s="15" t="s">
        <v>12834</v>
      </c>
      <c r="C3453" s="16">
        <v>27581.0</v>
      </c>
      <c r="D3453" s="17" t="s">
        <v>12835</v>
      </c>
    </row>
    <row r="3454">
      <c r="A3454" s="14">
        <v>6.0</v>
      </c>
      <c r="B3454" s="15" t="s">
        <v>12836</v>
      </c>
      <c r="C3454" s="16">
        <v>27581.0</v>
      </c>
      <c r="D3454" s="17" t="s">
        <v>12837</v>
      </c>
    </row>
    <row r="3455">
      <c r="A3455" s="14" t="s">
        <v>6374</v>
      </c>
      <c r="B3455" s="15" t="s">
        <v>12838</v>
      </c>
      <c r="C3455" s="16">
        <v>27582.0</v>
      </c>
      <c r="D3455" s="17" t="s">
        <v>12839</v>
      </c>
    </row>
    <row r="3456">
      <c r="A3456" s="14" t="s">
        <v>6891</v>
      </c>
      <c r="B3456" s="15" t="s">
        <v>12840</v>
      </c>
      <c r="C3456" s="16">
        <v>27582.0</v>
      </c>
      <c r="D3456" s="17" t="s">
        <v>12841</v>
      </c>
    </row>
    <row r="3457">
      <c r="A3457" s="14">
        <v>7.0</v>
      </c>
      <c r="B3457" s="15" t="s">
        <v>12842</v>
      </c>
      <c r="C3457" s="16">
        <v>27582.0</v>
      </c>
      <c r="D3457" s="17" t="s">
        <v>12843</v>
      </c>
    </row>
    <row r="3458">
      <c r="A3458" s="14">
        <v>7.0</v>
      </c>
      <c r="B3458" s="15" t="s">
        <v>12844</v>
      </c>
      <c r="C3458" s="16">
        <v>27582.0</v>
      </c>
      <c r="D3458" s="17" t="s">
        <v>12845</v>
      </c>
    </row>
    <row r="3459">
      <c r="A3459" s="14">
        <v>7.0</v>
      </c>
      <c r="B3459" s="15" t="s">
        <v>12846</v>
      </c>
      <c r="C3459" s="16">
        <v>27582.0</v>
      </c>
      <c r="D3459" s="17" t="s">
        <v>12847</v>
      </c>
    </row>
    <row r="3460">
      <c r="A3460" s="14" t="s">
        <v>6374</v>
      </c>
      <c r="B3460" s="15" t="s">
        <v>12848</v>
      </c>
      <c r="C3460" s="16">
        <v>27583.0</v>
      </c>
      <c r="D3460" s="17" t="s">
        <v>12849</v>
      </c>
    </row>
    <row r="3461">
      <c r="A3461" s="14" t="s">
        <v>6891</v>
      </c>
      <c r="B3461" s="15" t="s">
        <v>12850</v>
      </c>
      <c r="C3461" s="16">
        <v>27583.0</v>
      </c>
      <c r="D3461" s="17" t="s">
        <v>12851</v>
      </c>
    </row>
    <row r="3462">
      <c r="A3462" s="14">
        <v>8.0</v>
      </c>
      <c r="B3462" s="15" t="s">
        <v>12852</v>
      </c>
      <c r="C3462" s="16">
        <v>27583.0</v>
      </c>
      <c r="D3462" s="17" t="s">
        <v>12853</v>
      </c>
    </row>
    <row r="3463">
      <c r="A3463" s="14">
        <v>8.0</v>
      </c>
      <c r="B3463" s="15" t="s">
        <v>12854</v>
      </c>
      <c r="C3463" s="16">
        <v>27583.0</v>
      </c>
      <c r="D3463" s="17" t="s">
        <v>12855</v>
      </c>
    </row>
    <row r="3464">
      <c r="A3464" s="14">
        <v>8.0</v>
      </c>
      <c r="B3464" s="15" t="s">
        <v>12856</v>
      </c>
      <c r="C3464" s="16">
        <v>27583.0</v>
      </c>
      <c r="D3464" s="17" t="s">
        <v>12857</v>
      </c>
    </row>
    <row r="3465">
      <c r="A3465" s="14">
        <v>8.0</v>
      </c>
      <c r="B3465" s="15" t="s">
        <v>12858</v>
      </c>
      <c r="C3465" s="16">
        <v>27583.0</v>
      </c>
      <c r="D3465" s="17" t="s">
        <v>12859</v>
      </c>
    </row>
    <row r="3466">
      <c r="A3466" s="14" t="s">
        <v>358</v>
      </c>
      <c r="B3466" s="15" t="s">
        <v>12860</v>
      </c>
      <c r="C3466" s="16">
        <v>27584.0</v>
      </c>
      <c r="D3466" s="17" t="s">
        <v>12861</v>
      </c>
    </row>
    <row r="3467">
      <c r="A3467" s="14" t="s">
        <v>358</v>
      </c>
      <c r="B3467" s="15" t="s">
        <v>12862</v>
      </c>
      <c r="C3467" s="16">
        <v>27584.0</v>
      </c>
      <c r="D3467" s="17" t="s">
        <v>12863</v>
      </c>
    </row>
    <row r="3468">
      <c r="A3468" s="14" t="s">
        <v>6374</v>
      </c>
      <c r="B3468" s="15" t="s">
        <v>12864</v>
      </c>
      <c r="C3468" s="16">
        <v>27584.0</v>
      </c>
      <c r="D3468" s="17" t="s">
        <v>12865</v>
      </c>
    </row>
    <row r="3469">
      <c r="A3469" s="14" t="s">
        <v>6353</v>
      </c>
      <c r="B3469" s="15" t="s">
        <v>12866</v>
      </c>
      <c r="C3469" s="16">
        <v>27584.0</v>
      </c>
      <c r="D3469" s="17" t="s">
        <v>12867</v>
      </c>
    </row>
    <row r="3470">
      <c r="A3470" s="14" t="s">
        <v>6891</v>
      </c>
      <c r="B3470" s="15" t="s">
        <v>12868</v>
      </c>
      <c r="C3470" s="16">
        <v>27584.0</v>
      </c>
      <c r="D3470" s="17" t="s">
        <v>12869</v>
      </c>
    </row>
    <row r="3471">
      <c r="A3471" s="14">
        <v>9.0</v>
      </c>
      <c r="B3471" s="15" t="s">
        <v>12870</v>
      </c>
      <c r="C3471" s="16">
        <v>27584.0</v>
      </c>
      <c r="D3471" s="17" t="s">
        <v>12871</v>
      </c>
    </row>
    <row r="3472">
      <c r="A3472" s="14">
        <v>9.0</v>
      </c>
      <c r="B3472" s="15" t="s">
        <v>12872</v>
      </c>
      <c r="C3472" s="16">
        <v>27584.0</v>
      </c>
      <c r="D3472" s="17" t="s">
        <v>12873</v>
      </c>
    </row>
    <row r="3473">
      <c r="A3473" s="14">
        <v>9.0</v>
      </c>
      <c r="B3473" s="15" t="s">
        <v>12874</v>
      </c>
      <c r="C3473" s="16">
        <v>27584.0</v>
      </c>
      <c r="D3473" s="17" t="s">
        <v>12875</v>
      </c>
    </row>
    <row r="3474">
      <c r="A3474" s="14">
        <v>9.0</v>
      </c>
      <c r="B3474" s="15" t="s">
        <v>12876</v>
      </c>
      <c r="C3474" s="16">
        <v>27584.0</v>
      </c>
      <c r="D3474" s="17" t="s">
        <v>12877</v>
      </c>
    </row>
    <row r="3475">
      <c r="A3475" s="14">
        <v>9.0</v>
      </c>
      <c r="B3475" s="15" t="s">
        <v>12878</v>
      </c>
      <c r="C3475" s="16">
        <v>27584.0</v>
      </c>
      <c r="D3475" s="17" t="s">
        <v>12879</v>
      </c>
    </row>
    <row r="3476">
      <c r="A3476" s="14">
        <v>9.0</v>
      </c>
      <c r="B3476" s="15" t="s">
        <v>12880</v>
      </c>
      <c r="C3476" s="16">
        <v>27584.0</v>
      </c>
      <c r="D3476" s="17" t="s">
        <v>12881</v>
      </c>
    </row>
    <row r="3477">
      <c r="A3477" s="14">
        <v>9.0</v>
      </c>
      <c r="B3477" s="15" t="s">
        <v>12882</v>
      </c>
      <c r="C3477" s="16">
        <v>27584.0</v>
      </c>
      <c r="D3477" s="17" t="s">
        <v>12883</v>
      </c>
    </row>
    <row r="3478">
      <c r="A3478" s="14">
        <v>9.0</v>
      </c>
      <c r="B3478" s="15" t="s">
        <v>12884</v>
      </c>
      <c r="C3478" s="16">
        <v>27584.0</v>
      </c>
      <c r="D3478" s="17" t="s">
        <v>12885</v>
      </c>
    </row>
    <row r="3479">
      <c r="A3479" s="14">
        <v>9.0</v>
      </c>
      <c r="B3479" s="15" t="s">
        <v>12886</v>
      </c>
      <c r="C3479" s="16">
        <v>27584.0</v>
      </c>
      <c r="D3479" s="17" t="s">
        <v>12887</v>
      </c>
    </row>
    <row r="3480">
      <c r="A3480" s="14">
        <v>9.0</v>
      </c>
      <c r="B3480" s="15" t="s">
        <v>12888</v>
      </c>
      <c r="C3480" s="16">
        <v>27584.0</v>
      </c>
      <c r="D3480" s="17" t="s">
        <v>12889</v>
      </c>
    </row>
    <row r="3481">
      <c r="A3481" s="14" t="s">
        <v>6374</v>
      </c>
      <c r="B3481" s="15" t="s">
        <v>12890</v>
      </c>
      <c r="C3481" s="16">
        <v>27585.0</v>
      </c>
      <c r="D3481" s="17" t="s">
        <v>12891</v>
      </c>
    </row>
    <row r="3482">
      <c r="A3482" s="14" t="s">
        <v>6353</v>
      </c>
      <c r="B3482" s="15" t="s">
        <v>12892</v>
      </c>
      <c r="C3482" s="16">
        <v>27585.0</v>
      </c>
      <c r="D3482" s="17" t="s">
        <v>12893</v>
      </c>
    </row>
    <row r="3483">
      <c r="A3483" s="14" t="s">
        <v>6057</v>
      </c>
      <c r="B3483" s="15" t="s">
        <v>12894</v>
      </c>
      <c r="C3483" s="16">
        <v>27585.0</v>
      </c>
      <c r="D3483" s="17" t="s">
        <v>12895</v>
      </c>
    </row>
    <row r="3484">
      <c r="A3484" s="14">
        <v>10.0</v>
      </c>
      <c r="B3484" s="15" t="s">
        <v>12896</v>
      </c>
      <c r="C3484" s="16">
        <v>27585.0</v>
      </c>
      <c r="D3484" s="17" t="s">
        <v>12897</v>
      </c>
    </row>
    <row r="3485">
      <c r="A3485" s="14">
        <v>10.0</v>
      </c>
      <c r="B3485" s="15" t="s">
        <v>12898</v>
      </c>
      <c r="C3485" s="16">
        <v>27585.0</v>
      </c>
      <c r="D3485" s="17" t="s">
        <v>12899</v>
      </c>
    </row>
    <row r="3486">
      <c r="A3486" s="14">
        <v>10.0</v>
      </c>
      <c r="B3486" s="15" t="s">
        <v>12900</v>
      </c>
      <c r="C3486" s="16">
        <v>27585.0</v>
      </c>
      <c r="D3486" s="17" t="s">
        <v>12901</v>
      </c>
    </row>
    <row r="3487">
      <c r="A3487" s="14" t="s">
        <v>6753</v>
      </c>
      <c r="B3487" s="15" t="s">
        <v>12902</v>
      </c>
      <c r="C3487" s="16">
        <v>27586.0</v>
      </c>
      <c r="D3487" s="17" t="s">
        <v>12903</v>
      </c>
    </row>
    <row r="3488">
      <c r="A3488" s="14" t="s">
        <v>6753</v>
      </c>
      <c r="B3488" s="15" t="s">
        <v>12904</v>
      </c>
      <c r="C3488" s="16">
        <v>27586.0</v>
      </c>
      <c r="D3488" s="17" t="s">
        <v>12905</v>
      </c>
    </row>
    <row r="3489">
      <c r="A3489" s="14" t="s">
        <v>358</v>
      </c>
      <c r="B3489" s="15" t="s">
        <v>12906</v>
      </c>
      <c r="C3489" s="16">
        <v>27586.0</v>
      </c>
      <c r="D3489" s="17" t="s">
        <v>12907</v>
      </c>
    </row>
    <row r="3490">
      <c r="A3490" s="14" t="s">
        <v>6374</v>
      </c>
      <c r="B3490" s="15" t="s">
        <v>12908</v>
      </c>
      <c r="C3490" s="16">
        <v>27586.0</v>
      </c>
      <c r="D3490" s="17" t="s">
        <v>12909</v>
      </c>
    </row>
    <row r="3491">
      <c r="A3491" s="14" t="s">
        <v>6891</v>
      </c>
      <c r="B3491" s="15" t="s">
        <v>12910</v>
      </c>
      <c r="C3491" s="16">
        <v>27586.0</v>
      </c>
      <c r="D3491" s="17" t="s">
        <v>12911</v>
      </c>
    </row>
    <row r="3492">
      <c r="A3492" s="14">
        <v>11.0</v>
      </c>
      <c r="B3492" s="15" t="s">
        <v>12912</v>
      </c>
      <c r="C3492" s="16">
        <v>27586.0</v>
      </c>
      <c r="D3492" s="17" t="s">
        <v>12913</v>
      </c>
    </row>
    <row r="3493">
      <c r="A3493" s="14">
        <v>11.0</v>
      </c>
      <c r="B3493" s="15" t="s">
        <v>12914</v>
      </c>
      <c r="C3493" s="16">
        <v>27586.0</v>
      </c>
      <c r="D3493" s="17" t="s">
        <v>12915</v>
      </c>
    </row>
    <row r="3494">
      <c r="A3494" s="14">
        <v>11.0</v>
      </c>
      <c r="B3494" s="15" t="s">
        <v>12916</v>
      </c>
      <c r="C3494" s="16">
        <v>27586.0</v>
      </c>
      <c r="D3494" s="17" t="s">
        <v>12917</v>
      </c>
    </row>
    <row r="3495">
      <c r="A3495" s="14">
        <v>11.0</v>
      </c>
      <c r="B3495" s="15" t="s">
        <v>12918</v>
      </c>
      <c r="C3495" s="16">
        <v>27586.0</v>
      </c>
      <c r="D3495" s="17" t="s">
        <v>12919</v>
      </c>
    </row>
    <row r="3496">
      <c r="A3496" s="14">
        <v>11.0</v>
      </c>
      <c r="B3496" s="15" t="s">
        <v>12920</v>
      </c>
      <c r="C3496" s="16">
        <v>27586.0</v>
      </c>
      <c r="D3496" s="17" t="s">
        <v>12921</v>
      </c>
    </row>
    <row r="3497">
      <c r="A3497" s="14">
        <v>11.0</v>
      </c>
      <c r="B3497" s="15" t="s">
        <v>12922</v>
      </c>
      <c r="C3497" s="16">
        <v>27586.0</v>
      </c>
      <c r="D3497" s="17" t="s">
        <v>12923</v>
      </c>
    </row>
    <row r="3498">
      <c r="A3498" s="14">
        <v>11.0</v>
      </c>
      <c r="B3498" s="15" t="s">
        <v>12924</v>
      </c>
      <c r="C3498" s="16">
        <v>27586.0</v>
      </c>
      <c r="D3498" s="17" t="s">
        <v>12925</v>
      </c>
    </row>
    <row r="3499">
      <c r="A3499" s="14">
        <v>11.0</v>
      </c>
      <c r="B3499" s="15" t="s">
        <v>12926</v>
      </c>
      <c r="C3499" s="16">
        <v>27586.0</v>
      </c>
      <c r="D3499" s="17" t="s">
        <v>12927</v>
      </c>
    </row>
    <row r="3500">
      <c r="A3500" s="14">
        <v>11.0</v>
      </c>
      <c r="B3500" s="15" t="s">
        <v>12928</v>
      </c>
      <c r="C3500" s="16">
        <v>27586.0</v>
      </c>
      <c r="D3500" s="17" t="s">
        <v>12929</v>
      </c>
    </row>
    <row r="3501">
      <c r="A3501" s="14" t="s">
        <v>6087</v>
      </c>
      <c r="B3501" s="15" t="s">
        <v>12930</v>
      </c>
      <c r="C3501" s="16">
        <v>27587.0</v>
      </c>
      <c r="D3501" s="17" t="s">
        <v>12931</v>
      </c>
    </row>
    <row r="3502">
      <c r="A3502" s="14" t="s">
        <v>6374</v>
      </c>
      <c r="B3502" s="15" t="s">
        <v>12932</v>
      </c>
      <c r="C3502" s="16">
        <v>27587.0</v>
      </c>
      <c r="D3502" s="17" t="s">
        <v>12933</v>
      </c>
    </row>
    <row r="3503">
      <c r="A3503" s="14" t="s">
        <v>6891</v>
      </c>
      <c r="B3503" s="15" t="s">
        <v>12934</v>
      </c>
      <c r="C3503" s="16">
        <v>27587.0</v>
      </c>
      <c r="D3503" s="17" t="s">
        <v>12935</v>
      </c>
    </row>
    <row r="3504">
      <c r="A3504" s="14">
        <v>12.0</v>
      </c>
      <c r="B3504" s="15" t="s">
        <v>12936</v>
      </c>
      <c r="C3504" s="16">
        <v>27587.0</v>
      </c>
      <c r="D3504" s="17" t="s">
        <v>12937</v>
      </c>
    </row>
    <row r="3505">
      <c r="A3505" s="14">
        <v>12.0</v>
      </c>
      <c r="B3505" s="15" t="s">
        <v>12938</v>
      </c>
      <c r="C3505" s="16">
        <v>27587.0</v>
      </c>
      <c r="D3505" s="17" t="s">
        <v>12939</v>
      </c>
    </row>
    <row r="3506">
      <c r="A3506" s="14">
        <v>12.0</v>
      </c>
      <c r="B3506" s="15" t="s">
        <v>12940</v>
      </c>
      <c r="C3506" s="16">
        <v>27587.0</v>
      </c>
      <c r="D3506" s="17" t="s">
        <v>12941</v>
      </c>
    </row>
    <row r="3507">
      <c r="A3507" s="14">
        <v>12.0</v>
      </c>
      <c r="B3507" s="15" t="s">
        <v>12942</v>
      </c>
      <c r="C3507" s="16">
        <v>27587.0</v>
      </c>
      <c r="D3507" s="17" t="s">
        <v>12943</v>
      </c>
    </row>
    <row r="3508">
      <c r="A3508" s="14">
        <v>12.0</v>
      </c>
      <c r="B3508" s="15" t="s">
        <v>12944</v>
      </c>
      <c r="C3508" s="16">
        <v>27587.0</v>
      </c>
      <c r="D3508" s="17" t="s">
        <v>12945</v>
      </c>
    </row>
    <row r="3509">
      <c r="A3509" s="14">
        <v>12.0</v>
      </c>
      <c r="B3509" s="15" t="s">
        <v>12946</v>
      </c>
      <c r="C3509" s="16">
        <v>27587.0</v>
      </c>
      <c r="D3509" s="17" t="s">
        <v>12947</v>
      </c>
    </row>
    <row r="3510">
      <c r="A3510" s="14" t="s">
        <v>358</v>
      </c>
      <c r="B3510" s="15" t="s">
        <v>12948</v>
      </c>
      <c r="C3510" s="16">
        <v>27588.0</v>
      </c>
      <c r="D3510" s="17" t="s">
        <v>12949</v>
      </c>
    </row>
    <row r="3511">
      <c r="A3511" s="14" t="s">
        <v>6353</v>
      </c>
      <c r="B3511" s="15" t="s">
        <v>12950</v>
      </c>
      <c r="C3511" s="16">
        <v>27588.0</v>
      </c>
      <c r="D3511" s="17" t="s">
        <v>12951</v>
      </c>
    </row>
    <row r="3512">
      <c r="A3512" s="14" t="s">
        <v>6353</v>
      </c>
      <c r="B3512" s="15" t="s">
        <v>12952</v>
      </c>
      <c r="C3512" s="16">
        <v>27588.0</v>
      </c>
      <c r="D3512" s="17" t="s">
        <v>12953</v>
      </c>
    </row>
    <row r="3513">
      <c r="A3513" s="14" t="s">
        <v>6353</v>
      </c>
      <c r="B3513" s="15" t="s">
        <v>12954</v>
      </c>
      <c r="C3513" s="16">
        <v>27588.0</v>
      </c>
      <c r="D3513" s="17" t="s">
        <v>12955</v>
      </c>
    </row>
    <row r="3514">
      <c r="A3514" s="14" t="s">
        <v>6353</v>
      </c>
      <c r="B3514" s="15" t="s">
        <v>12956</v>
      </c>
      <c r="C3514" s="16">
        <v>27588.0</v>
      </c>
      <c r="D3514" s="17" t="s">
        <v>12957</v>
      </c>
    </row>
    <row r="3515">
      <c r="A3515" s="14" t="s">
        <v>6891</v>
      </c>
      <c r="B3515" s="15" t="s">
        <v>12958</v>
      </c>
      <c r="C3515" s="16">
        <v>27588.0</v>
      </c>
      <c r="D3515" s="17" t="s">
        <v>12959</v>
      </c>
    </row>
    <row r="3516">
      <c r="A3516" s="14">
        <v>13.0</v>
      </c>
      <c r="B3516" s="15" t="s">
        <v>12960</v>
      </c>
      <c r="C3516" s="16">
        <v>27588.0</v>
      </c>
      <c r="D3516" s="17" t="s">
        <v>12961</v>
      </c>
    </row>
    <row r="3517">
      <c r="A3517" s="14">
        <v>13.0</v>
      </c>
      <c r="B3517" s="15" t="s">
        <v>12962</v>
      </c>
      <c r="C3517" s="16">
        <v>27588.0</v>
      </c>
      <c r="D3517" s="17" t="s">
        <v>12963</v>
      </c>
    </row>
    <row r="3518">
      <c r="A3518" s="14">
        <v>13.0</v>
      </c>
      <c r="B3518" s="15" t="s">
        <v>12964</v>
      </c>
      <c r="C3518" s="16">
        <v>27588.0</v>
      </c>
      <c r="D3518" s="17" t="s">
        <v>12965</v>
      </c>
    </row>
    <row r="3519">
      <c r="A3519" s="14">
        <v>13.0</v>
      </c>
      <c r="B3519" s="15" t="s">
        <v>12966</v>
      </c>
      <c r="C3519" s="16">
        <v>27588.0</v>
      </c>
      <c r="D3519" s="17" t="s">
        <v>12967</v>
      </c>
    </row>
    <row r="3520">
      <c r="A3520" s="14">
        <v>13.0</v>
      </c>
      <c r="B3520" s="15" t="s">
        <v>12968</v>
      </c>
      <c r="C3520" s="16">
        <v>27588.0</v>
      </c>
      <c r="D3520" s="17" t="s">
        <v>12969</v>
      </c>
    </row>
    <row r="3521">
      <c r="A3521" s="14">
        <v>13.0</v>
      </c>
      <c r="B3521" s="15" t="s">
        <v>12970</v>
      </c>
      <c r="C3521" s="16">
        <v>27588.0</v>
      </c>
      <c r="D3521" s="17" t="s">
        <v>12971</v>
      </c>
    </row>
    <row r="3522">
      <c r="A3522" s="14">
        <v>13.0</v>
      </c>
      <c r="B3522" s="15" t="s">
        <v>12972</v>
      </c>
      <c r="C3522" s="16">
        <v>27588.0</v>
      </c>
      <c r="D3522" s="17" t="s">
        <v>12973</v>
      </c>
    </row>
    <row r="3523">
      <c r="A3523" s="14">
        <v>13.0</v>
      </c>
      <c r="B3523" s="15" t="s">
        <v>12974</v>
      </c>
      <c r="C3523" s="16">
        <v>27588.0</v>
      </c>
      <c r="D3523" s="17" t="s">
        <v>12975</v>
      </c>
    </row>
    <row r="3524">
      <c r="A3524" s="14" t="s">
        <v>6374</v>
      </c>
      <c r="B3524" s="15" t="s">
        <v>12976</v>
      </c>
      <c r="C3524" s="16">
        <v>27589.0</v>
      </c>
      <c r="D3524" s="17" t="s">
        <v>12977</v>
      </c>
    </row>
    <row r="3525">
      <c r="A3525" s="14" t="s">
        <v>6891</v>
      </c>
      <c r="B3525" s="15" t="s">
        <v>12978</v>
      </c>
      <c r="C3525" s="16">
        <v>27589.0</v>
      </c>
      <c r="D3525" s="17" t="s">
        <v>12979</v>
      </c>
    </row>
    <row r="3526">
      <c r="A3526" s="14">
        <v>14.0</v>
      </c>
      <c r="B3526" s="15" t="s">
        <v>12980</v>
      </c>
      <c r="C3526" s="16">
        <v>27589.0</v>
      </c>
      <c r="D3526" s="17" t="s">
        <v>12981</v>
      </c>
    </row>
    <row r="3527">
      <c r="A3527" s="14">
        <v>14.0</v>
      </c>
      <c r="B3527" s="15" t="s">
        <v>12982</v>
      </c>
      <c r="C3527" s="16">
        <v>27589.0</v>
      </c>
      <c r="D3527" s="17" t="s">
        <v>12983</v>
      </c>
    </row>
    <row r="3528">
      <c r="A3528" s="14">
        <v>14.0</v>
      </c>
      <c r="B3528" s="15" t="s">
        <v>12984</v>
      </c>
      <c r="C3528" s="16">
        <v>27589.0</v>
      </c>
      <c r="D3528" s="17" t="s">
        <v>12985</v>
      </c>
    </row>
    <row r="3529">
      <c r="A3529" s="14">
        <v>14.0</v>
      </c>
      <c r="B3529" s="15" t="s">
        <v>12986</v>
      </c>
      <c r="C3529" s="16">
        <v>27589.0</v>
      </c>
      <c r="D3529" s="17" t="s">
        <v>12987</v>
      </c>
    </row>
    <row r="3530">
      <c r="A3530" s="14" t="s">
        <v>6753</v>
      </c>
      <c r="B3530" s="15" t="s">
        <v>12988</v>
      </c>
      <c r="C3530" s="16">
        <v>27590.0</v>
      </c>
      <c r="D3530" s="17" t="s">
        <v>12989</v>
      </c>
    </row>
    <row r="3531">
      <c r="A3531" s="14">
        <v>15.0</v>
      </c>
      <c r="B3531" s="15" t="s">
        <v>12990</v>
      </c>
      <c r="C3531" s="16">
        <v>27590.0</v>
      </c>
      <c r="D3531" s="17" t="s">
        <v>12991</v>
      </c>
    </row>
    <row r="3532">
      <c r="A3532" s="14">
        <v>15.0</v>
      </c>
      <c r="B3532" s="15" t="s">
        <v>12992</v>
      </c>
      <c r="C3532" s="16">
        <v>27590.0</v>
      </c>
      <c r="D3532" s="17" t="s">
        <v>12993</v>
      </c>
    </row>
    <row r="3533">
      <c r="A3533" s="14" t="s">
        <v>6374</v>
      </c>
      <c r="B3533" s="15" t="s">
        <v>12994</v>
      </c>
      <c r="C3533" s="16">
        <v>27591.0</v>
      </c>
      <c r="D3533" s="17" t="s">
        <v>12995</v>
      </c>
    </row>
    <row r="3534">
      <c r="A3534" s="14" t="s">
        <v>6891</v>
      </c>
      <c r="B3534" s="15" t="s">
        <v>12996</v>
      </c>
      <c r="C3534" s="16">
        <v>27591.0</v>
      </c>
      <c r="D3534" s="17" t="s">
        <v>12997</v>
      </c>
    </row>
    <row r="3535">
      <c r="A3535" s="14" t="s">
        <v>6057</v>
      </c>
      <c r="B3535" s="15" t="s">
        <v>12998</v>
      </c>
      <c r="C3535" s="16">
        <v>27591.0</v>
      </c>
      <c r="D3535" s="17" t="s">
        <v>12999</v>
      </c>
    </row>
    <row r="3536">
      <c r="A3536" s="14">
        <v>16.0</v>
      </c>
      <c r="B3536" s="15" t="s">
        <v>13000</v>
      </c>
      <c r="C3536" s="16">
        <v>27591.0</v>
      </c>
      <c r="D3536" s="17" t="s">
        <v>13001</v>
      </c>
    </row>
    <row r="3537">
      <c r="A3537" s="14">
        <v>16.0</v>
      </c>
      <c r="B3537" s="15" t="s">
        <v>13002</v>
      </c>
      <c r="C3537" s="16">
        <v>27591.0</v>
      </c>
      <c r="D3537" s="17" t="s">
        <v>13003</v>
      </c>
    </row>
    <row r="3538">
      <c r="A3538" s="14">
        <v>16.0</v>
      </c>
      <c r="B3538" s="15" t="s">
        <v>13004</v>
      </c>
      <c r="C3538" s="16">
        <v>27591.0</v>
      </c>
      <c r="D3538" s="17" t="s">
        <v>13005</v>
      </c>
    </row>
    <row r="3539">
      <c r="A3539" s="14">
        <v>16.0</v>
      </c>
      <c r="B3539" s="15" t="s">
        <v>13006</v>
      </c>
      <c r="C3539" s="16">
        <v>27591.0</v>
      </c>
      <c r="D3539" s="17" t="s">
        <v>13007</v>
      </c>
    </row>
    <row r="3540">
      <c r="A3540" s="14">
        <v>16.0</v>
      </c>
      <c r="B3540" s="15" t="s">
        <v>13008</v>
      </c>
      <c r="C3540" s="16">
        <v>27591.0</v>
      </c>
      <c r="D3540" s="17" t="s">
        <v>13009</v>
      </c>
    </row>
    <row r="3541">
      <c r="A3541" s="14" t="s">
        <v>6374</v>
      </c>
      <c r="B3541" s="15" t="s">
        <v>13010</v>
      </c>
      <c r="C3541" s="16">
        <v>27592.0</v>
      </c>
      <c r="D3541" s="17" t="s">
        <v>13011</v>
      </c>
    </row>
    <row r="3542">
      <c r="A3542" s="14" t="s">
        <v>6891</v>
      </c>
      <c r="B3542" s="15" t="s">
        <v>13012</v>
      </c>
      <c r="C3542" s="16">
        <v>27592.0</v>
      </c>
      <c r="D3542" s="17" t="s">
        <v>13013</v>
      </c>
    </row>
    <row r="3543">
      <c r="A3543" s="14">
        <v>17.0</v>
      </c>
      <c r="B3543" s="15" t="s">
        <v>13014</v>
      </c>
      <c r="C3543" s="16">
        <v>27592.0</v>
      </c>
      <c r="D3543" s="17" t="s">
        <v>13015</v>
      </c>
    </row>
    <row r="3544">
      <c r="A3544" s="14">
        <v>17.0</v>
      </c>
      <c r="B3544" s="15" t="s">
        <v>13016</v>
      </c>
      <c r="C3544" s="16">
        <v>27592.0</v>
      </c>
      <c r="D3544" s="17" t="s">
        <v>13017</v>
      </c>
    </row>
    <row r="3545">
      <c r="A3545" s="14">
        <v>17.0</v>
      </c>
      <c r="B3545" s="15" t="s">
        <v>13018</v>
      </c>
      <c r="C3545" s="16">
        <v>27592.0</v>
      </c>
      <c r="D3545" s="17" t="s">
        <v>13019</v>
      </c>
    </row>
    <row r="3546">
      <c r="A3546" s="14">
        <v>17.0</v>
      </c>
      <c r="B3546" s="15" t="s">
        <v>13020</v>
      </c>
      <c r="C3546" s="16">
        <v>27592.0</v>
      </c>
      <c r="D3546" s="17" t="s">
        <v>13021</v>
      </c>
    </row>
    <row r="3547">
      <c r="A3547" s="14" t="s">
        <v>6374</v>
      </c>
      <c r="B3547" s="15" t="s">
        <v>13022</v>
      </c>
      <c r="C3547" s="16">
        <v>27593.0</v>
      </c>
      <c r="D3547" s="17" t="s">
        <v>13023</v>
      </c>
    </row>
    <row r="3548">
      <c r="A3548" s="14" t="s">
        <v>6891</v>
      </c>
      <c r="B3548" s="15" t="s">
        <v>13024</v>
      </c>
      <c r="C3548" s="16">
        <v>27593.0</v>
      </c>
      <c r="D3548" s="17" t="s">
        <v>13025</v>
      </c>
    </row>
    <row r="3549">
      <c r="A3549" s="14">
        <v>18.0</v>
      </c>
      <c r="B3549" s="15" t="s">
        <v>13026</v>
      </c>
      <c r="C3549" s="16">
        <v>27593.0</v>
      </c>
      <c r="D3549" s="17" t="s">
        <v>13027</v>
      </c>
    </row>
    <row r="3550">
      <c r="A3550" s="14">
        <v>18.0</v>
      </c>
      <c r="B3550" s="15" t="s">
        <v>13028</v>
      </c>
      <c r="C3550" s="16">
        <v>27593.0</v>
      </c>
      <c r="D3550" s="17" t="s">
        <v>13029</v>
      </c>
    </row>
    <row r="3551">
      <c r="A3551" s="14">
        <v>18.0</v>
      </c>
      <c r="B3551" s="15" t="s">
        <v>13030</v>
      </c>
      <c r="C3551" s="16">
        <v>27593.0</v>
      </c>
      <c r="D3551" s="17" t="s">
        <v>13031</v>
      </c>
    </row>
    <row r="3552">
      <c r="A3552" s="14">
        <v>18.0</v>
      </c>
      <c r="B3552" s="15" t="s">
        <v>13032</v>
      </c>
      <c r="C3552" s="16">
        <v>27593.0</v>
      </c>
      <c r="D3552" s="17" t="s">
        <v>13033</v>
      </c>
    </row>
    <row r="3553">
      <c r="A3553" s="14" t="s">
        <v>6374</v>
      </c>
      <c r="B3553" s="15" t="s">
        <v>13034</v>
      </c>
      <c r="C3553" s="16">
        <v>27594.0</v>
      </c>
      <c r="D3553" s="17" t="s">
        <v>13035</v>
      </c>
    </row>
    <row r="3554">
      <c r="A3554" s="14" t="s">
        <v>6891</v>
      </c>
      <c r="B3554" s="15" t="s">
        <v>13036</v>
      </c>
      <c r="C3554" s="16">
        <v>27594.0</v>
      </c>
      <c r="D3554" s="17" t="s">
        <v>13037</v>
      </c>
    </row>
    <row r="3555">
      <c r="A3555" s="14">
        <v>19.0</v>
      </c>
      <c r="B3555" s="15" t="s">
        <v>13038</v>
      </c>
      <c r="C3555" s="16">
        <v>27594.0</v>
      </c>
      <c r="D3555" s="17" t="s">
        <v>13039</v>
      </c>
    </row>
    <row r="3556">
      <c r="A3556" s="14">
        <v>19.0</v>
      </c>
      <c r="B3556" s="15" t="s">
        <v>13040</v>
      </c>
      <c r="C3556" s="16">
        <v>27594.0</v>
      </c>
      <c r="D3556" s="17" t="s">
        <v>13041</v>
      </c>
    </row>
    <row r="3557">
      <c r="A3557" s="14">
        <v>19.0</v>
      </c>
      <c r="B3557" s="15" t="s">
        <v>13042</v>
      </c>
      <c r="C3557" s="16">
        <v>27594.0</v>
      </c>
      <c r="D3557" s="17" t="s">
        <v>13043</v>
      </c>
    </row>
    <row r="3558">
      <c r="A3558" s="14">
        <v>19.0</v>
      </c>
      <c r="B3558" s="15" t="s">
        <v>13044</v>
      </c>
      <c r="C3558" s="16">
        <v>27594.0</v>
      </c>
      <c r="D3558" s="17" t="s">
        <v>13045</v>
      </c>
    </row>
    <row r="3559">
      <c r="A3559" s="14" t="s">
        <v>6374</v>
      </c>
      <c r="B3559" s="15" t="s">
        <v>13046</v>
      </c>
      <c r="C3559" s="16">
        <v>27595.0</v>
      </c>
      <c r="D3559" s="17" t="s">
        <v>13047</v>
      </c>
    </row>
    <row r="3560">
      <c r="A3560" s="14" t="s">
        <v>6891</v>
      </c>
      <c r="B3560" s="15" t="s">
        <v>13048</v>
      </c>
      <c r="C3560" s="16">
        <v>27595.0</v>
      </c>
      <c r="D3560" s="17" t="s">
        <v>13049</v>
      </c>
    </row>
    <row r="3561">
      <c r="A3561" s="14">
        <v>20.0</v>
      </c>
      <c r="B3561" s="15" t="s">
        <v>13050</v>
      </c>
      <c r="C3561" s="16">
        <v>27595.0</v>
      </c>
      <c r="D3561" s="17" t="s">
        <v>13051</v>
      </c>
    </row>
    <row r="3562">
      <c r="A3562" s="14">
        <v>20.0</v>
      </c>
      <c r="B3562" s="15" t="s">
        <v>13052</v>
      </c>
      <c r="C3562" s="16">
        <v>27595.0</v>
      </c>
      <c r="D3562" s="17" t="s">
        <v>13053</v>
      </c>
    </row>
    <row r="3563">
      <c r="A3563" s="14">
        <v>20.0</v>
      </c>
      <c r="B3563" s="15" t="s">
        <v>13054</v>
      </c>
      <c r="C3563" s="16">
        <v>27595.0</v>
      </c>
      <c r="D3563" s="17" t="s">
        <v>13055</v>
      </c>
    </row>
    <row r="3564">
      <c r="A3564" s="14">
        <v>20.0</v>
      </c>
      <c r="B3564" s="15" t="s">
        <v>13056</v>
      </c>
      <c r="C3564" s="16">
        <v>27595.0</v>
      </c>
      <c r="D3564" s="17" t="s">
        <v>13057</v>
      </c>
    </row>
    <row r="3565">
      <c r="A3565" s="14" t="s">
        <v>6374</v>
      </c>
      <c r="B3565" s="15" t="s">
        <v>13058</v>
      </c>
      <c r="C3565" s="16">
        <v>27596.0</v>
      </c>
      <c r="D3565" s="17" t="s">
        <v>13059</v>
      </c>
    </row>
    <row r="3566">
      <c r="A3566" s="14" t="s">
        <v>6353</v>
      </c>
      <c r="B3566" s="15" t="s">
        <v>13060</v>
      </c>
      <c r="C3566" s="16">
        <v>27596.0</v>
      </c>
      <c r="D3566" s="17" t="s">
        <v>13061</v>
      </c>
    </row>
    <row r="3567">
      <c r="A3567" s="14" t="s">
        <v>6891</v>
      </c>
      <c r="B3567" s="15" t="s">
        <v>13062</v>
      </c>
      <c r="C3567" s="16">
        <v>27596.0</v>
      </c>
      <c r="D3567" s="17" t="s">
        <v>13063</v>
      </c>
    </row>
    <row r="3568">
      <c r="A3568" s="14" t="s">
        <v>6057</v>
      </c>
      <c r="B3568" s="15" t="s">
        <v>13064</v>
      </c>
      <c r="C3568" s="16">
        <v>27596.0</v>
      </c>
      <c r="D3568" s="17" t="s">
        <v>13065</v>
      </c>
    </row>
    <row r="3569">
      <c r="A3569" s="14">
        <v>21.0</v>
      </c>
      <c r="B3569" s="15" t="s">
        <v>13066</v>
      </c>
      <c r="C3569" s="16">
        <v>27596.0</v>
      </c>
      <c r="D3569" s="17" t="s">
        <v>13067</v>
      </c>
    </row>
    <row r="3570">
      <c r="A3570" s="14">
        <v>21.0</v>
      </c>
      <c r="B3570" s="15" t="s">
        <v>13068</v>
      </c>
      <c r="C3570" s="16">
        <v>27596.0</v>
      </c>
      <c r="D3570" s="17" t="s">
        <v>13069</v>
      </c>
    </row>
    <row r="3571">
      <c r="A3571" s="14">
        <v>21.0</v>
      </c>
      <c r="B3571" s="15" t="s">
        <v>13070</v>
      </c>
      <c r="C3571" s="16">
        <v>27596.0</v>
      </c>
      <c r="D3571" s="17" t="s">
        <v>13071</v>
      </c>
    </row>
    <row r="3572">
      <c r="A3572" s="14">
        <v>21.0</v>
      </c>
      <c r="B3572" s="15" t="s">
        <v>13072</v>
      </c>
      <c r="C3572" s="16">
        <v>27596.0</v>
      </c>
      <c r="D3572" s="17" t="s">
        <v>13073</v>
      </c>
    </row>
    <row r="3573">
      <c r="A3573" s="14">
        <v>21.0</v>
      </c>
      <c r="B3573" s="15" t="s">
        <v>13074</v>
      </c>
      <c r="C3573" s="16">
        <v>27596.0</v>
      </c>
      <c r="D3573" s="17" t="s">
        <v>13075</v>
      </c>
    </row>
    <row r="3574">
      <c r="A3574" s="14">
        <v>21.0</v>
      </c>
      <c r="B3574" s="15" t="s">
        <v>13076</v>
      </c>
      <c r="C3574" s="16">
        <v>27596.0</v>
      </c>
      <c r="D3574" s="17" t="s">
        <v>13077</v>
      </c>
    </row>
    <row r="3575">
      <c r="A3575" s="14" t="s">
        <v>6891</v>
      </c>
      <c r="B3575" s="15" t="s">
        <v>13078</v>
      </c>
      <c r="C3575" s="16">
        <v>27597.0</v>
      </c>
      <c r="D3575" s="17" t="s">
        <v>13079</v>
      </c>
    </row>
    <row r="3576">
      <c r="A3576" s="14">
        <v>22.0</v>
      </c>
      <c r="B3576" s="15" t="s">
        <v>13080</v>
      </c>
      <c r="C3576" s="16">
        <v>27597.0</v>
      </c>
      <c r="D3576" s="17" t="s">
        <v>13081</v>
      </c>
    </row>
    <row r="3577">
      <c r="A3577" s="14" t="s">
        <v>6891</v>
      </c>
      <c r="B3577" s="15" t="s">
        <v>13082</v>
      </c>
      <c r="C3577" s="16">
        <v>27598.0</v>
      </c>
      <c r="D3577" s="17" t="s">
        <v>13083</v>
      </c>
    </row>
    <row r="3578">
      <c r="A3578" s="14">
        <v>23.0</v>
      </c>
      <c r="B3578" s="15" t="s">
        <v>13084</v>
      </c>
      <c r="C3578" s="16">
        <v>27598.0</v>
      </c>
      <c r="D3578" s="17" t="s">
        <v>13085</v>
      </c>
    </row>
    <row r="3579">
      <c r="A3579" s="14" t="s">
        <v>6374</v>
      </c>
      <c r="B3579" s="15" t="s">
        <v>13086</v>
      </c>
      <c r="C3579" s="16">
        <v>27599.0</v>
      </c>
      <c r="D3579" s="17" t="s">
        <v>13087</v>
      </c>
    </row>
    <row r="3580">
      <c r="A3580" s="14" t="s">
        <v>6891</v>
      </c>
      <c r="B3580" s="15" t="s">
        <v>13088</v>
      </c>
      <c r="C3580" s="16">
        <v>27599.0</v>
      </c>
      <c r="D3580" s="17" t="s">
        <v>13089</v>
      </c>
    </row>
    <row r="3581">
      <c r="A3581" s="14">
        <v>24.0</v>
      </c>
      <c r="B3581" s="15" t="s">
        <v>13090</v>
      </c>
      <c r="C3581" s="16">
        <v>27599.0</v>
      </c>
      <c r="D3581" s="17" t="s">
        <v>13091</v>
      </c>
    </row>
    <row r="3582">
      <c r="A3582" s="14">
        <v>24.0</v>
      </c>
      <c r="B3582" s="15" t="s">
        <v>13092</v>
      </c>
      <c r="C3582" s="16">
        <v>27599.0</v>
      </c>
      <c r="D3582" s="17" t="s">
        <v>13093</v>
      </c>
    </row>
    <row r="3583">
      <c r="A3583" s="14">
        <v>24.0</v>
      </c>
      <c r="B3583" s="15" t="s">
        <v>13094</v>
      </c>
      <c r="C3583" s="16">
        <v>27599.0</v>
      </c>
      <c r="D3583" s="17" t="s">
        <v>13095</v>
      </c>
    </row>
    <row r="3584">
      <c r="A3584" s="14" t="s">
        <v>6374</v>
      </c>
      <c r="B3584" s="15" t="s">
        <v>13096</v>
      </c>
      <c r="C3584" s="16">
        <v>27600.0</v>
      </c>
      <c r="D3584" s="17" t="s">
        <v>13097</v>
      </c>
    </row>
    <row r="3585">
      <c r="A3585" s="14" t="s">
        <v>6891</v>
      </c>
      <c r="B3585" s="15" t="s">
        <v>13098</v>
      </c>
      <c r="C3585" s="16">
        <v>27600.0</v>
      </c>
      <c r="D3585" s="17" t="s">
        <v>13099</v>
      </c>
    </row>
    <row r="3586">
      <c r="A3586" s="14">
        <v>25.0</v>
      </c>
      <c r="B3586" s="15" t="s">
        <v>13100</v>
      </c>
      <c r="C3586" s="16">
        <v>27600.0</v>
      </c>
      <c r="D3586" s="17" t="s">
        <v>13101</v>
      </c>
    </row>
    <row r="3587">
      <c r="A3587" s="14">
        <v>25.0</v>
      </c>
      <c r="B3587" s="15" t="s">
        <v>13102</v>
      </c>
      <c r="C3587" s="16">
        <v>27600.0</v>
      </c>
      <c r="D3587" s="17" t="s">
        <v>13103</v>
      </c>
    </row>
    <row r="3588">
      <c r="A3588" s="14">
        <v>25.0</v>
      </c>
      <c r="B3588" s="15" t="s">
        <v>13104</v>
      </c>
      <c r="C3588" s="16">
        <v>27600.0</v>
      </c>
      <c r="D3588" s="17" t="s">
        <v>13105</v>
      </c>
    </row>
    <row r="3589">
      <c r="A3589" s="14" t="s">
        <v>6374</v>
      </c>
      <c r="B3589" s="15" t="s">
        <v>13106</v>
      </c>
      <c r="C3589" s="16">
        <v>27601.0</v>
      </c>
      <c r="D3589" s="17" t="s">
        <v>13107</v>
      </c>
    </row>
    <row r="3590">
      <c r="A3590" s="14" t="s">
        <v>6353</v>
      </c>
      <c r="B3590" s="15" t="s">
        <v>13108</v>
      </c>
      <c r="C3590" s="16">
        <v>27601.0</v>
      </c>
      <c r="D3590" s="17" t="s">
        <v>13109</v>
      </c>
    </row>
    <row r="3591">
      <c r="A3591" s="14" t="s">
        <v>6891</v>
      </c>
      <c r="B3591" s="15" t="s">
        <v>13110</v>
      </c>
      <c r="C3591" s="16">
        <v>27601.0</v>
      </c>
      <c r="D3591" s="17" t="s">
        <v>13111</v>
      </c>
    </row>
    <row r="3592">
      <c r="A3592" s="14">
        <v>26.0</v>
      </c>
      <c r="B3592" s="15" t="s">
        <v>13112</v>
      </c>
      <c r="C3592" s="16">
        <v>27601.0</v>
      </c>
      <c r="D3592" s="17" t="s">
        <v>13113</v>
      </c>
    </row>
    <row r="3593">
      <c r="A3593" s="14">
        <v>26.0</v>
      </c>
      <c r="B3593" s="15" t="s">
        <v>13114</v>
      </c>
      <c r="C3593" s="16">
        <v>27601.0</v>
      </c>
      <c r="D3593" s="17" t="s">
        <v>13115</v>
      </c>
    </row>
    <row r="3594">
      <c r="A3594" s="14">
        <v>26.0</v>
      </c>
      <c r="B3594" s="15" t="s">
        <v>13116</v>
      </c>
      <c r="C3594" s="16">
        <v>27601.0</v>
      </c>
      <c r="D3594" s="17" t="s">
        <v>13117</v>
      </c>
    </row>
    <row r="3595">
      <c r="A3595" s="14">
        <v>26.0</v>
      </c>
      <c r="B3595" s="15" t="s">
        <v>13118</v>
      </c>
      <c r="C3595" s="16">
        <v>27601.0</v>
      </c>
      <c r="D3595" s="17" t="s">
        <v>13119</v>
      </c>
    </row>
    <row r="3596">
      <c r="A3596" s="14">
        <v>26.0</v>
      </c>
      <c r="B3596" s="15" t="s">
        <v>13120</v>
      </c>
      <c r="C3596" s="16">
        <v>27601.0</v>
      </c>
      <c r="D3596" s="17" t="s">
        <v>13121</v>
      </c>
    </row>
    <row r="3597">
      <c r="A3597" s="14" t="s">
        <v>6374</v>
      </c>
      <c r="B3597" s="15" t="s">
        <v>13122</v>
      </c>
      <c r="C3597" s="16">
        <v>27602.0</v>
      </c>
      <c r="D3597" s="17" t="s">
        <v>13123</v>
      </c>
    </row>
    <row r="3598">
      <c r="A3598" s="14" t="s">
        <v>6891</v>
      </c>
      <c r="B3598" s="15" t="s">
        <v>13124</v>
      </c>
      <c r="C3598" s="16">
        <v>27602.0</v>
      </c>
      <c r="D3598" s="17" t="s">
        <v>13125</v>
      </c>
    </row>
    <row r="3599">
      <c r="A3599" s="14">
        <v>27.0</v>
      </c>
      <c r="B3599" s="15" t="s">
        <v>13126</v>
      </c>
      <c r="C3599" s="16">
        <v>27602.0</v>
      </c>
      <c r="D3599" s="17" t="s">
        <v>13127</v>
      </c>
    </row>
    <row r="3600">
      <c r="A3600" s="14">
        <v>27.0</v>
      </c>
      <c r="B3600" s="15" t="s">
        <v>13128</v>
      </c>
      <c r="C3600" s="16">
        <v>27602.0</v>
      </c>
      <c r="D3600" s="17" t="s">
        <v>13129</v>
      </c>
    </row>
    <row r="3601">
      <c r="A3601" s="14">
        <v>27.0</v>
      </c>
      <c r="B3601" s="15" t="s">
        <v>13130</v>
      </c>
      <c r="C3601" s="16">
        <v>27602.0</v>
      </c>
      <c r="D3601" s="17" t="s">
        <v>13131</v>
      </c>
    </row>
    <row r="3602">
      <c r="A3602" s="14" t="s">
        <v>358</v>
      </c>
      <c r="B3602" s="15" t="s">
        <v>13132</v>
      </c>
      <c r="C3602" s="16">
        <v>27603.0</v>
      </c>
      <c r="D3602" s="17" t="s">
        <v>13133</v>
      </c>
    </row>
    <row r="3603">
      <c r="A3603" s="14" t="s">
        <v>6374</v>
      </c>
      <c r="B3603" s="15" t="s">
        <v>13134</v>
      </c>
      <c r="C3603" s="16">
        <v>27603.0</v>
      </c>
      <c r="D3603" s="17" t="s">
        <v>13135</v>
      </c>
    </row>
    <row r="3604">
      <c r="A3604" s="14">
        <v>28.0</v>
      </c>
      <c r="B3604" s="15" t="s">
        <v>13136</v>
      </c>
      <c r="C3604" s="16">
        <v>27603.0</v>
      </c>
      <c r="D3604" s="17" t="s">
        <v>13137</v>
      </c>
    </row>
    <row r="3605">
      <c r="A3605" s="14">
        <v>28.0</v>
      </c>
      <c r="B3605" s="15" t="s">
        <v>13138</v>
      </c>
      <c r="C3605" s="16">
        <v>27603.0</v>
      </c>
      <c r="D3605" s="17" t="s">
        <v>13139</v>
      </c>
    </row>
    <row r="3606">
      <c r="A3606" s="14">
        <v>28.0</v>
      </c>
      <c r="B3606" s="15" t="s">
        <v>13140</v>
      </c>
      <c r="C3606" s="16">
        <v>27603.0</v>
      </c>
      <c r="D3606" s="17" t="s">
        <v>13141</v>
      </c>
    </row>
    <row r="3607">
      <c r="A3607" s="14" t="s">
        <v>6374</v>
      </c>
      <c r="B3607" s="15" t="s">
        <v>13142</v>
      </c>
      <c r="C3607" s="16">
        <v>27604.0</v>
      </c>
      <c r="D3607" s="17" t="s">
        <v>13143</v>
      </c>
    </row>
    <row r="3608">
      <c r="A3608" s="14" t="s">
        <v>6891</v>
      </c>
      <c r="B3608" s="15" t="s">
        <v>13144</v>
      </c>
      <c r="C3608" s="16">
        <v>27604.0</v>
      </c>
      <c r="D3608" s="17" t="s">
        <v>13145</v>
      </c>
    </row>
    <row r="3609">
      <c r="A3609" s="14">
        <v>29.0</v>
      </c>
      <c r="B3609" s="15" t="s">
        <v>13146</v>
      </c>
      <c r="C3609" s="16">
        <v>27604.0</v>
      </c>
      <c r="D3609" s="17" t="s">
        <v>13147</v>
      </c>
    </row>
    <row r="3610">
      <c r="A3610" s="14">
        <v>29.0</v>
      </c>
      <c r="B3610" s="15" t="s">
        <v>13148</v>
      </c>
      <c r="C3610" s="16">
        <v>27604.0</v>
      </c>
      <c r="D3610" s="17" t="s">
        <v>13149</v>
      </c>
    </row>
    <row r="3611">
      <c r="A3611" s="14">
        <v>29.0</v>
      </c>
      <c r="B3611" s="15" t="s">
        <v>13150</v>
      </c>
      <c r="C3611" s="16">
        <v>27604.0</v>
      </c>
      <c r="D3611" s="17" t="s">
        <v>13151</v>
      </c>
    </row>
    <row r="3612">
      <c r="A3612" s="14" t="s">
        <v>6374</v>
      </c>
      <c r="B3612" s="15" t="s">
        <v>13152</v>
      </c>
      <c r="C3612" s="16">
        <v>27605.0</v>
      </c>
      <c r="D3612" s="17" t="s">
        <v>13153</v>
      </c>
    </row>
    <row r="3613">
      <c r="A3613" s="14" t="s">
        <v>6891</v>
      </c>
      <c r="B3613" s="15" t="s">
        <v>13154</v>
      </c>
      <c r="C3613" s="16">
        <v>27605.0</v>
      </c>
      <c r="D3613" s="17" t="s">
        <v>13155</v>
      </c>
    </row>
    <row r="3614">
      <c r="A3614" s="14">
        <v>30.0</v>
      </c>
      <c r="B3614" s="15" t="s">
        <v>13156</v>
      </c>
      <c r="C3614" s="16">
        <v>27605.0</v>
      </c>
      <c r="D3614" s="17" t="s">
        <v>13157</v>
      </c>
    </row>
    <row r="3615">
      <c r="A3615" s="14">
        <v>30.0</v>
      </c>
      <c r="B3615" s="15" t="s">
        <v>13158</v>
      </c>
      <c r="C3615" s="16">
        <v>27605.0</v>
      </c>
      <c r="D3615" s="17" t="s">
        <v>13159</v>
      </c>
    </row>
    <row r="3616">
      <c r="A3616" s="14">
        <v>30.0</v>
      </c>
      <c r="B3616" s="15" t="s">
        <v>13160</v>
      </c>
      <c r="C3616" s="16">
        <v>27605.0</v>
      </c>
      <c r="D3616" s="17" t="s">
        <v>13161</v>
      </c>
    </row>
    <row r="3617">
      <c r="A3617" s="14" t="s">
        <v>6374</v>
      </c>
      <c r="B3617" s="15" t="s">
        <v>13162</v>
      </c>
      <c r="C3617" s="16">
        <v>27606.0</v>
      </c>
      <c r="D3617" s="17" t="s">
        <v>13163</v>
      </c>
    </row>
    <row r="3618">
      <c r="A3618" s="14" t="s">
        <v>6353</v>
      </c>
      <c r="B3618" s="15" t="s">
        <v>13164</v>
      </c>
      <c r="C3618" s="16">
        <v>27606.0</v>
      </c>
      <c r="D3618" s="17" t="s">
        <v>13165</v>
      </c>
    </row>
    <row r="3619">
      <c r="A3619" s="14">
        <v>31.0</v>
      </c>
      <c r="B3619" s="15" t="s">
        <v>13166</v>
      </c>
      <c r="C3619" s="16">
        <v>27606.0</v>
      </c>
      <c r="D3619" s="17" t="s">
        <v>13167</v>
      </c>
    </row>
    <row r="3620">
      <c r="A3620" s="14">
        <v>31.0</v>
      </c>
      <c r="B3620" s="15" t="s">
        <v>13168</v>
      </c>
      <c r="C3620" s="16">
        <v>27606.0</v>
      </c>
      <c r="D3620" s="17" t="s">
        <v>13169</v>
      </c>
    </row>
    <row r="3621">
      <c r="A3621" s="14" t="s">
        <v>6353</v>
      </c>
      <c r="B3621" s="15" t="s">
        <v>13170</v>
      </c>
      <c r="C3621" s="16">
        <v>27607.0</v>
      </c>
      <c r="D3621" s="17" t="s">
        <v>13171</v>
      </c>
    </row>
    <row r="3622">
      <c r="A3622" s="14" t="s">
        <v>6891</v>
      </c>
      <c r="B3622" s="15" t="s">
        <v>13172</v>
      </c>
      <c r="C3622" s="16">
        <v>27607.0</v>
      </c>
      <c r="D3622" s="17" t="s">
        <v>13173</v>
      </c>
    </row>
    <row r="3623">
      <c r="A3623" s="14" t="s">
        <v>6057</v>
      </c>
      <c r="B3623" s="15" t="s">
        <v>13174</v>
      </c>
      <c r="C3623" s="16">
        <v>27607.0</v>
      </c>
      <c r="D3623" s="17" t="s">
        <v>13175</v>
      </c>
    </row>
    <row r="3624">
      <c r="A3624" s="14">
        <v>1.0</v>
      </c>
      <c r="B3624" s="15" t="s">
        <v>13176</v>
      </c>
      <c r="C3624" s="16">
        <v>27607.0</v>
      </c>
      <c r="D3624" s="17" t="s">
        <v>13177</v>
      </c>
    </row>
    <row r="3625">
      <c r="A3625" s="14">
        <v>1.0</v>
      </c>
      <c r="B3625" s="15" t="s">
        <v>13178</v>
      </c>
      <c r="C3625" s="16">
        <v>27607.0</v>
      </c>
      <c r="D3625" s="17" t="s">
        <v>13179</v>
      </c>
    </row>
    <row r="3626">
      <c r="A3626" s="14">
        <v>1.0</v>
      </c>
      <c r="B3626" s="15" t="s">
        <v>13180</v>
      </c>
      <c r="C3626" s="16">
        <v>27607.0</v>
      </c>
      <c r="D3626" s="17" t="s">
        <v>13181</v>
      </c>
    </row>
    <row r="3627">
      <c r="A3627" s="14">
        <v>1.0</v>
      </c>
      <c r="B3627" s="15" t="s">
        <v>13182</v>
      </c>
      <c r="C3627" s="16">
        <v>27607.0</v>
      </c>
      <c r="D3627" s="17" t="s">
        <v>13183</v>
      </c>
    </row>
    <row r="3628">
      <c r="A3628" s="14" t="s">
        <v>5932</v>
      </c>
      <c r="B3628" s="15" t="s">
        <v>13184</v>
      </c>
      <c r="C3628" s="16">
        <v>27608.0</v>
      </c>
      <c r="D3628" s="17" t="s">
        <v>13185</v>
      </c>
    </row>
    <row r="3629">
      <c r="A3629" s="14">
        <v>2.0</v>
      </c>
      <c r="B3629" s="15" t="s">
        <v>13186</v>
      </c>
      <c r="C3629" s="16">
        <v>27608.0</v>
      </c>
      <c r="D3629" s="17" t="s">
        <v>13187</v>
      </c>
    </row>
    <row r="3630">
      <c r="A3630" s="14" t="s">
        <v>5932</v>
      </c>
      <c r="B3630" s="15" t="s">
        <v>13188</v>
      </c>
      <c r="C3630" s="16">
        <v>27609.0</v>
      </c>
      <c r="D3630" s="17" t="s">
        <v>13189</v>
      </c>
    </row>
    <row r="3631">
      <c r="A3631" s="14" t="s">
        <v>6891</v>
      </c>
      <c r="B3631" s="15" t="s">
        <v>13190</v>
      </c>
      <c r="C3631" s="16">
        <v>27609.0</v>
      </c>
      <c r="D3631" s="17" t="s">
        <v>13191</v>
      </c>
    </row>
    <row r="3632">
      <c r="A3632" s="14" t="s">
        <v>6057</v>
      </c>
      <c r="B3632" s="15" t="s">
        <v>13192</v>
      </c>
      <c r="C3632" s="16">
        <v>27609.0</v>
      </c>
      <c r="D3632" s="17" t="s">
        <v>13193</v>
      </c>
    </row>
    <row r="3633">
      <c r="A3633" s="14">
        <v>3.0</v>
      </c>
      <c r="B3633" s="15" t="s">
        <v>13194</v>
      </c>
      <c r="C3633" s="16">
        <v>27609.0</v>
      </c>
      <c r="D3633" s="17" t="s">
        <v>13195</v>
      </c>
    </row>
    <row r="3634">
      <c r="A3634" s="14">
        <v>3.0</v>
      </c>
      <c r="B3634" s="15" t="s">
        <v>13196</v>
      </c>
      <c r="C3634" s="16">
        <v>27609.0</v>
      </c>
      <c r="D3634" s="17" t="s">
        <v>13197</v>
      </c>
    </row>
    <row r="3635">
      <c r="A3635" s="14">
        <v>3.0</v>
      </c>
      <c r="B3635" s="15" t="s">
        <v>13198</v>
      </c>
      <c r="C3635" s="16">
        <v>27609.0</v>
      </c>
      <c r="D3635" s="17" t="s">
        <v>13199</v>
      </c>
    </row>
    <row r="3636">
      <c r="A3636" s="14">
        <v>3.0</v>
      </c>
      <c r="B3636" s="15" t="s">
        <v>13200</v>
      </c>
      <c r="C3636" s="16">
        <v>27609.0</v>
      </c>
      <c r="D3636" s="17" t="s">
        <v>13201</v>
      </c>
    </row>
    <row r="3637">
      <c r="A3637" s="14" t="s">
        <v>6374</v>
      </c>
      <c r="B3637" s="15" t="s">
        <v>13202</v>
      </c>
      <c r="C3637" s="16">
        <v>27610.0</v>
      </c>
      <c r="D3637" s="17" t="s">
        <v>13203</v>
      </c>
    </row>
    <row r="3638">
      <c r="A3638" s="14" t="s">
        <v>6891</v>
      </c>
      <c r="B3638" s="15" t="s">
        <v>13204</v>
      </c>
      <c r="C3638" s="16">
        <v>27610.0</v>
      </c>
      <c r="D3638" s="17" t="s">
        <v>13205</v>
      </c>
    </row>
    <row r="3639">
      <c r="A3639" s="14" t="s">
        <v>10551</v>
      </c>
      <c r="B3639" s="15" t="s">
        <v>13206</v>
      </c>
      <c r="C3639" s="16">
        <v>27610.0</v>
      </c>
      <c r="D3639" s="17" t="s">
        <v>13207</v>
      </c>
    </row>
    <row r="3640">
      <c r="A3640" s="14" t="s">
        <v>10551</v>
      </c>
      <c r="B3640" s="15" t="s">
        <v>13208</v>
      </c>
      <c r="C3640" s="16">
        <v>27610.0</v>
      </c>
      <c r="D3640" s="17" t="s">
        <v>13209</v>
      </c>
    </row>
    <row r="3641">
      <c r="A3641" s="14">
        <v>4.0</v>
      </c>
      <c r="B3641" s="15" t="s">
        <v>13210</v>
      </c>
      <c r="C3641" s="16">
        <v>27610.0</v>
      </c>
      <c r="D3641" s="17" t="s">
        <v>13211</v>
      </c>
    </row>
    <row r="3642">
      <c r="A3642" s="14" t="s">
        <v>6374</v>
      </c>
      <c r="B3642" s="15" t="s">
        <v>13212</v>
      </c>
      <c r="C3642" s="16">
        <v>27611.0</v>
      </c>
      <c r="D3642" s="17" t="s">
        <v>13213</v>
      </c>
    </row>
    <row r="3643">
      <c r="A3643" s="14" t="s">
        <v>6891</v>
      </c>
      <c r="B3643" s="15" t="s">
        <v>13214</v>
      </c>
      <c r="C3643" s="16">
        <v>27611.0</v>
      </c>
      <c r="D3643" s="17" t="s">
        <v>13215</v>
      </c>
    </row>
    <row r="3644">
      <c r="A3644" s="14">
        <v>5.0</v>
      </c>
      <c r="B3644" s="15" t="s">
        <v>13216</v>
      </c>
      <c r="C3644" s="16">
        <v>27611.0</v>
      </c>
      <c r="D3644" s="17" t="s">
        <v>13217</v>
      </c>
    </row>
    <row r="3645">
      <c r="A3645" s="14">
        <v>5.0</v>
      </c>
      <c r="B3645" s="15" t="s">
        <v>13218</v>
      </c>
      <c r="C3645" s="16">
        <v>27611.0</v>
      </c>
      <c r="D3645" s="17" t="s">
        <v>13219</v>
      </c>
    </row>
    <row r="3646">
      <c r="A3646" s="14">
        <v>5.0</v>
      </c>
      <c r="B3646" s="15" t="s">
        <v>13220</v>
      </c>
      <c r="C3646" s="16">
        <v>27611.0</v>
      </c>
      <c r="D3646" s="17" t="s">
        <v>13221</v>
      </c>
    </row>
    <row r="3647">
      <c r="A3647" s="14" t="s">
        <v>6374</v>
      </c>
      <c r="B3647" s="15" t="s">
        <v>13222</v>
      </c>
      <c r="C3647" s="16">
        <v>27612.0</v>
      </c>
      <c r="D3647" s="17" t="s">
        <v>13223</v>
      </c>
    </row>
    <row r="3648">
      <c r="A3648" s="14">
        <v>6.0</v>
      </c>
      <c r="B3648" s="15" t="s">
        <v>13224</v>
      </c>
      <c r="C3648" s="16">
        <v>27612.0</v>
      </c>
      <c r="D3648" s="17" t="s">
        <v>13225</v>
      </c>
    </row>
    <row r="3649">
      <c r="A3649" s="14">
        <v>6.0</v>
      </c>
      <c r="B3649" s="15" t="s">
        <v>13226</v>
      </c>
      <c r="C3649" s="16">
        <v>27612.0</v>
      </c>
      <c r="D3649" s="17" t="s">
        <v>13227</v>
      </c>
    </row>
    <row r="3650">
      <c r="A3650" s="14" t="s">
        <v>6374</v>
      </c>
      <c r="B3650" s="15" t="s">
        <v>13228</v>
      </c>
      <c r="C3650" s="16">
        <v>27613.0</v>
      </c>
      <c r="D3650" s="17" t="s">
        <v>13229</v>
      </c>
    </row>
    <row r="3651">
      <c r="A3651" s="14">
        <v>7.0</v>
      </c>
      <c r="B3651" s="15" t="s">
        <v>13230</v>
      </c>
      <c r="C3651" s="16">
        <v>27613.0</v>
      </c>
      <c r="D3651" s="17" t="s">
        <v>13231</v>
      </c>
    </row>
    <row r="3652">
      <c r="A3652" s="14">
        <v>7.0</v>
      </c>
      <c r="B3652" s="15" t="s">
        <v>13232</v>
      </c>
      <c r="C3652" s="16">
        <v>27613.0</v>
      </c>
      <c r="D3652" s="17" t="s">
        <v>13233</v>
      </c>
    </row>
    <row r="3653">
      <c r="A3653" s="14" t="s">
        <v>6753</v>
      </c>
      <c r="B3653" s="15" t="s">
        <v>13234</v>
      </c>
      <c r="C3653" s="16">
        <v>27617.0</v>
      </c>
      <c r="D3653" s="17" t="s">
        <v>13235</v>
      </c>
    </row>
    <row r="3654">
      <c r="A3654" s="14" t="s">
        <v>6891</v>
      </c>
      <c r="B3654" s="15" t="s">
        <v>13236</v>
      </c>
      <c r="C3654" s="16">
        <v>27617.0</v>
      </c>
      <c r="D3654" s="17" t="s">
        <v>13237</v>
      </c>
    </row>
    <row r="3655">
      <c r="A3655" s="14" t="s">
        <v>6891</v>
      </c>
      <c r="B3655" s="15" t="s">
        <v>13238</v>
      </c>
      <c r="C3655" s="16">
        <v>27617.0</v>
      </c>
      <c r="D3655" s="17" t="s">
        <v>13239</v>
      </c>
    </row>
    <row r="3656">
      <c r="A3656" s="14">
        <v>11.0</v>
      </c>
      <c r="B3656" s="15" t="s">
        <v>13240</v>
      </c>
      <c r="C3656" s="16">
        <v>27617.0</v>
      </c>
      <c r="D3656" s="17" t="s">
        <v>13241</v>
      </c>
    </row>
    <row r="3657">
      <c r="A3657" s="14">
        <v>11.0</v>
      </c>
      <c r="B3657" s="15" t="s">
        <v>13242</v>
      </c>
      <c r="C3657" s="16">
        <v>27617.0</v>
      </c>
      <c r="D3657" s="17" t="s">
        <v>13243</v>
      </c>
    </row>
    <row r="3658">
      <c r="A3658" s="14">
        <v>11.0</v>
      </c>
      <c r="B3658" s="15" t="s">
        <v>13244</v>
      </c>
      <c r="C3658" s="16">
        <v>27617.0</v>
      </c>
      <c r="D3658" s="17" t="s">
        <v>13245</v>
      </c>
    </row>
    <row r="3659">
      <c r="A3659" s="14">
        <v>11.0</v>
      </c>
      <c r="B3659" s="15" t="s">
        <v>13246</v>
      </c>
      <c r="C3659" s="16">
        <v>27617.0</v>
      </c>
      <c r="D3659" s="17" t="s">
        <v>13247</v>
      </c>
    </row>
    <row r="3660">
      <c r="A3660" s="14">
        <v>11.0</v>
      </c>
      <c r="B3660" s="15" t="s">
        <v>13248</v>
      </c>
      <c r="C3660" s="16">
        <v>27617.0</v>
      </c>
      <c r="D3660" s="17" t="s">
        <v>13249</v>
      </c>
    </row>
    <row r="3661">
      <c r="A3661" s="14" t="s">
        <v>6374</v>
      </c>
      <c r="B3661" s="15" t="s">
        <v>13250</v>
      </c>
      <c r="C3661" s="16">
        <v>27618.0</v>
      </c>
      <c r="D3661" s="17" t="s">
        <v>13251</v>
      </c>
    </row>
    <row r="3662">
      <c r="A3662" s="14" t="s">
        <v>6353</v>
      </c>
      <c r="B3662" s="15" t="s">
        <v>13252</v>
      </c>
      <c r="C3662" s="16">
        <v>27618.0</v>
      </c>
      <c r="D3662" s="17" t="s">
        <v>13253</v>
      </c>
    </row>
    <row r="3663">
      <c r="A3663" s="14">
        <v>12.0</v>
      </c>
      <c r="B3663" s="15" t="s">
        <v>13254</v>
      </c>
      <c r="C3663" s="16">
        <v>27618.0</v>
      </c>
      <c r="D3663" s="17" t="s">
        <v>13255</v>
      </c>
    </row>
    <row r="3664">
      <c r="A3664" s="14">
        <v>12.0</v>
      </c>
      <c r="B3664" s="15" t="s">
        <v>13256</v>
      </c>
      <c r="C3664" s="16">
        <v>27618.0</v>
      </c>
      <c r="D3664" s="17" t="s">
        <v>13257</v>
      </c>
    </row>
    <row r="3665">
      <c r="A3665" s="14">
        <v>12.0</v>
      </c>
      <c r="B3665" s="15" t="s">
        <v>13258</v>
      </c>
      <c r="C3665" s="16">
        <v>27618.0</v>
      </c>
      <c r="D3665" s="17" t="s">
        <v>13259</v>
      </c>
    </row>
    <row r="3666">
      <c r="A3666" s="14" t="s">
        <v>6374</v>
      </c>
      <c r="B3666" s="15" t="s">
        <v>13260</v>
      </c>
      <c r="C3666" s="16">
        <v>27619.0</v>
      </c>
      <c r="D3666" s="17" t="s">
        <v>13261</v>
      </c>
    </row>
    <row r="3667">
      <c r="A3667" s="14" t="s">
        <v>6891</v>
      </c>
      <c r="B3667" s="15" t="s">
        <v>13262</v>
      </c>
      <c r="C3667" s="16">
        <v>27619.0</v>
      </c>
      <c r="D3667" s="17" t="s">
        <v>13263</v>
      </c>
    </row>
    <row r="3668">
      <c r="A3668" s="14">
        <v>13.0</v>
      </c>
      <c r="B3668" s="15" t="s">
        <v>13264</v>
      </c>
      <c r="C3668" s="16">
        <v>27619.0</v>
      </c>
      <c r="D3668" s="17" t="s">
        <v>13265</v>
      </c>
    </row>
    <row r="3669">
      <c r="A3669" s="14">
        <v>13.0</v>
      </c>
      <c r="B3669" s="15" t="s">
        <v>13266</v>
      </c>
      <c r="C3669" s="16">
        <v>27619.0</v>
      </c>
      <c r="D3669" s="17" t="s">
        <v>13267</v>
      </c>
    </row>
    <row r="3670">
      <c r="A3670" s="14">
        <v>13.0</v>
      </c>
      <c r="B3670" s="15" t="s">
        <v>13268</v>
      </c>
      <c r="C3670" s="16">
        <v>27619.0</v>
      </c>
      <c r="D3670" s="17" t="s">
        <v>13269</v>
      </c>
    </row>
    <row r="3671">
      <c r="A3671" s="14" t="s">
        <v>6891</v>
      </c>
      <c r="B3671" s="15" t="s">
        <v>13270</v>
      </c>
      <c r="C3671" s="16">
        <v>27620.0</v>
      </c>
      <c r="D3671" s="17" t="s">
        <v>13271</v>
      </c>
    </row>
    <row r="3672">
      <c r="A3672" s="14">
        <v>14.0</v>
      </c>
      <c r="B3672" s="15" t="s">
        <v>13272</v>
      </c>
      <c r="C3672" s="16">
        <v>27620.0</v>
      </c>
      <c r="D3672" s="17" t="s">
        <v>13273</v>
      </c>
    </row>
    <row r="3673">
      <c r="A3673" s="14">
        <v>14.0</v>
      </c>
      <c r="B3673" s="15" t="s">
        <v>13274</v>
      </c>
      <c r="C3673" s="16">
        <v>27620.0</v>
      </c>
      <c r="D3673" s="17" t="s">
        <v>13275</v>
      </c>
    </row>
    <row r="3674">
      <c r="A3674" s="14" t="s">
        <v>6374</v>
      </c>
      <c r="B3674" s="15" t="s">
        <v>13276</v>
      </c>
      <c r="C3674" s="16">
        <v>27621.0</v>
      </c>
      <c r="D3674" s="17" t="s">
        <v>13277</v>
      </c>
    </row>
    <row r="3675">
      <c r="A3675" s="14">
        <v>15.0</v>
      </c>
      <c r="B3675" s="15" t="s">
        <v>13278</v>
      </c>
      <c r="C3675" s="16">
        <v>27621.0</v>
      </c>
      <c r="D3675" s="17" t="s">
        <v>13279</v>
      </c>
    </row>
    <row r="3676">
      <c r="A3676" s="14" t="s">
        <v>6374</v>
      </c>
      <c r="B3676" s="15" t="s">
        <v>13280</v>
      </c>
      <c r="C3676" s="16">
        <v>27623.0</v>
      </c>
      <c r="D3676" s="17" t="s">
        <v>13281</v>
      </c>
    </row>
    <row r="3677">
      <c r="A3677" s="14">
        <v>17.0</v>
      </c>
      <c r="B3677" s="15" t="s">
        <v>13282</v>
      </c>
      <c r="C3677" s="16">
        <v>27623.0</v>
      </c>
      <c r="D3677" s="17" t="s">
        <v>13283</v>
      </c>
    </row>
    <row r="3678">
      <c r="A3678" s="14">
        <v>19.0</v>
      </c>
      <c r="B3678" s="15" t="s">
        <v>13284</v>
      </c>
      <c r="C3678" s="16">
        <v>27625.0</v>
      </c>
      <c r="D3678" s="17" t="s">
        <v>13285</v>
      </c>
    </row>
    <row r="3679">
      <c r="A3679" s="14" t="s">
        <v>6353</v>
      </c>
      <c r="B3679" s="15" t="s">
        <v>13286</v>
      </c>
      <c r="C3679" s="16">
        <v>27627.0</v>
      </c>
      <c r="D3679" s="17" t="s">
        <v>13287</v>
      </c>
    </row>
    <row r="3680">
      <c r="A3680" s="14">
        <v>21.0</v>
      </c>
      <c r="B3680" s="15" t="s">
        <v>13288</v>
      </c>
      <c r="C3680" s="16">
        <v>27627.0</v>
      </c>
      <c r="D3680" s="17" t="s">
        <v>13289</v>
      </c>
    </row>
    <row r="3681">
      <c r="A3681" s="14" t="s">
        <v>6374</v>
      </c>
      <c r="B3681" s="15" t="s">
        <v>13290</v>
      </c>
      <c r="C3681" s="16">
        <v>27630.0</v>
      </c>
      <c r="D3681" s="17" t="s">
        <v>13291</v>
      </c>
    </row>
    <row r="3682">
      <c r="A3682" s="14">
        <v>24.0</v>
      </c>
      <c r="B3682" s="15" t="s">
        <v>13292</v>
      </c>
      <c r="C3682" s="16">
        <v>27630.0</v>
      </c>
      <c r="D3682" s="17" t="s">
        <v>13293</v>
      </c>
    </row>
    <row r="3683">
      <c r="A3683" s="14" t="s">
        <v>6374</v>
      </c>
      <c r="B3683" s="15" t="s">
        <v>13294</v>
      </c>
      <c r="C3683" s="16">
        <v>27631.0</v>
      </c>
      <c r="D3683" s="17" t="s">
        <v>13295</v>
      </c>
    </row>
    <row r="3684">
      <c r="A3684" s="14">
        <v>25.0</v>
      </c>
      <c r="B3684" s="15" t="s">
        <v>13296</v>
      </c>
      <c r="C3684" s="16">
        <v>27631.0</v>
      </c>
      <c r="D3684" s="17" t="s">
        <v>13297</v>
      </c>
    </row>
    <row r="3685">
      <c r="A3685" s="14" t="s">
        <v>6353</v>
      </c>
      <c r="B3685" s="15" t="s">
        <v>13298</v>
      </c>
      <c r="C3685" s="16">
        <v>27632.0</v>
      </c>
      <c r="D3685" s="17" t="s">
        <v>13299</v>
      </c>
    </row>
    <row r="3686">
      <c r="A3686" s="14">
        <v>26.0</v>
      </c>
      <c r="B3686" s="15" t="s">
        <v>13300</v>
      </c>
      <c r="C3686" s="16">
        <v>27632.0</v>
      </c>
      <c r="D3686" s="17" t="s">
        <v>13301</v>
      </c>
    </row>
    <row r="3687">
      <c r="A3687" s="14">
        <v>26.0</v>
      </c>
      <c r="B3687" s="15" t="s">
        <v>13302</v>
      </c>
      <c r="C3687" s="16">
        <v>27632.0</v>
      </c>
      <c r="D3687" s="17" t="s">
        <v>13303</v>
      </c>
    </row>
    <row r="3688">
      <c r="A3688" s="14" t="s">
        <v>6374</v>
      </c>
      <c r="B3688" s="15" t="s">
        <v>13304</v>
      </c>
      <c r="C3688" s="16">
        <v>27633.0</v>
      </c>
      <c r="D3688" s="17" t="s">
        <v>13305</v>
      </c>
    </row>
    <row r="3689">
      <c r="A3689" s="14">
        <v>27.0</v>
      </c>
      <c r="B3689" s="15" t="s">
        <v>13306</v>
      </c>
      <c r="C3689" s="16">
        <v>27633.0</v>
      </c>
      <c r="D3689" s="17" t="s">
        <v>13307</v>
      </c>
    </row>
    <row r="3690">
      <c r="A3690" s="14" t="s">
        <v>6374</v>
      </c>
      <c r="B3690" s="15" t="s">
        <v>13308</v>
      </c>
      <c r="C3690" s="16">
        <v>27634.0</v>
      </c>
      <c r="D3690" s="17" t="s">
        <v>13309</v>
      </c>
    </row>
    <row r="3691">
      <c r="A3691" s="14" t="s">
        <v>6891</v>
      </c>
      <c r="B3691" s="15" t="s">
        <v>13310</v>
      </c>
      <c r="C3691" s="16">
        <v>27634.0</v>
      </c>
      <c r="D3691" s="17" t="s">
        <v>13311</v>
      </c>
    </row>
    <row r="3692">
      <c r="A3692" s="14">
        <v>28.0</v>
      </c>
      <c r="B3692" s="15" t="s">
        <v>13312</v>
      </c>
      <c r="C3692" s="16">
        <v>27634.0</v>
      </c>
      <c r="D3692" s="17" t="s">
        <v>13313</v>
      </c>
    </row>
    <row r="3693">
      <c r="A3693" s="14">
        <v>28.0</v>
      </c>
      <c r="B3693" s="15" t="s">
        <v>13314</v>
      </c>
      <c r="C3693" s="16">
        <v>27634.0</v>
      </c>
      <c r="D3693" s="17" t="s">
        <v>13315</v>
      </c>
    </row>
    <row r="3694">
      <c r="A3694" s="14">
        <v>28.0</v>
      </c>
      <c r="B3694" s="15" t="s">
        <v>13316</v>
      </c>
      <c r="C3694" s="16">
        <v>27634.0</v>
      </c>
      <c r="D3694" s="17" t="s">
        <v>13317</v>
      </c>
    </row>
    <row r="3695">
      <c r="A3695" s="14" t="s">
        <v>6374</v>
      </c>
      <c r="B3695" s="15" t="s">
        <v>13318</v>
      </c>
      <c r="C3695" s="16">
        <v>27635.0</v>
      </c>
      <c r="D3695" s="17" t="s">
        <v>13319</v>
      </c>
    </row>
    <row r="3696">
      <c r="A3696" s="14" t="s">
        <v>6891</v>
      </c>
      <c r="B3696" s="15" t="s">
        <v>13320</v>
      </c>
      <c r="C3696" s="16">
        <v>27635.0</v>
      </c>
      <c r="D3696" s="17" t="s">
        <v>13321</v>
      </c>
    </row>
    <row r="3697">
      <c r="A3697" s="14">
        <v>29.0</v>
      </c>
      <c r="B3697" s="15" t="s">
        <v>13322</v>
      </c>
      <c r="C3697" s="16">
        <v>27635.0</v>
      </c>
      <c r="D3697" s="17" t="s">
        <v>13323</v>
      </c>
    </row>
    <row r="3698">
      <c r="A3698" s="14">
        <v>29.0</v>
      </c>
      <c r="B3698" s="15" t="s">
        <v>13324</v>
      </c>
      <c r="C3698" s="16">
        <v>27635.0</v>
      </c>
      <c r="D3698" s="17" t="s">
        <v>13325</v>
      </c>
    </row>
    <row r="3699">
      <c r="A3699" s="14">
        <v>29.0</v>
      </c>
      <c r="B3699" s="15" t="s">
        <v>13326</v>
      </c>
      <c r="C3699" s="16">
        <v>27635.0</v>
      </c>
      <c r="D3699" s="17" t="s">
        <v>13327</v>
      </c>
    </row>
    <row r="3700">
      <c r="A3700" s="14">
        <v>29.0</v>
      </c>
      <c r="B3700" s="15" t="s">
        <v>13328</v>
      </c>
      <c r="C3700" s="16">
        <v>27635.0</v>
      </c>
      <c r="D3700" s="17" t="s">
        <v>13329</v>
      </c>
    </row>
    <row r="3701">
      <c r="A3701" s="14" t="s">
        <v>6891</v>
      </c>
      <c r="B3701" s="15" t="s">
        <v>13330</v>
      </c>
      <c r="C3701" s="16">
        <v>27636.0</v>
      </c>
      <c r="D3701" s="17" t="s">
        <v>13331</v>
      </c>
    </row>
    <row r="3702">
      <c r="A3702" s="14">
        <v>30.0</v>
      </c>
      <c r="B3702" s="15" t="s">
        <v>13332</v>
      </c>
      <c r="C3702" s="16">
        <v>27636.0</v>
      </c>
      <c r="D3702" s="17" t="s">
        <v>13333</v>
      </c>
    </row>
    <row r="3703">
      <c r="A3703" s="14">
        <v>30.0</v>
      </c>
      <c r="B3703" s="15" t="s">
        <v>13334</v>
      </c>
      <c r="C3703" s="16">
        <v>27636.0</v>
      </c>
      <c r="D3703" s="17" t="s">
        <v>13335</v>
      </c>
    </row>
    <row r="3704">
      <c r="A3704" s="14">
        <v>30.0</v>
      </c>
      <c r="B3704" s="15" t="s">
        <v>13336</v>
      </c>
      <c r="C3704" s="16">
        <v>27636.0</v>
      </c>
      <c r="D3704" s="17" t="s">
        <v>13337</v>
      </c>
    </row>
    <row r="3705">
      <c r="A3705" s="14">
        <v>31.0</v>
      </c>
      <c r="B3705" s="15" t="s">
        <v>13338</v>
      </c>
      <c r="C3705" s="16">
        <v>27637.0</v>
      </c>
      <c r="D3705" s="17" t="s">
        <v>13339</v>
      </c>
    </row>
    <row r="3706">
      <c r="A3706" s="14" t="s">
        <v>6374</v>
      </c>
      <c r="B3706" s="15" t="s">
        <v>13340</v>
      </c>
      <c r="C3706" s="16">
        <v>27638.0</v>
      </c>
      <c r="D3706" s="17" t="s">
        <v>13341</v>
      </c>
    </row>
    <row r="3707">
      <c r="A3707" s="14" t="s">
        <v>6891</v>
      </c>
      <c r="B3707" s="15" t="s">
        <v>13342</v>
      </c>
      <c r="C3707" s="16">
        <v>27638.0</v>
      </c>
      <c r="D3707" s="17" t="s">
        <v>13343</v>
      </c>
    </row>
    <row r="3708">
      <c r="A3708" s="14">
        <v>1.0</v>
      </c>
      <c r="B3708" s="15" t="s">
        <v>13344</v>
      </c>
      <c r="C3708" s="16">
        <v>27638.0</v>
      </c>
      <c r="D3708" s="17" t="s">
        <v>13345</v>
      </c>
    </row>
    <row r="3709">
      <c r="A3709" s="14">
        <v>1.0</v>
      </c>
      <c r="B3709" s="15" t="s">
        <v>13346</v>
      </c>
      <c r="C3709" s="16">
        <v>27638.0</v>
      </c>
      <c r="D3709" s="17" t="s">
        <v>13347</v>
      </c>
    </row>
    <row r="3710">
      <c r="A3710" s="14">
        <v>1.0</v>
      </c>
      <c r="B3710" s="15" t="s">
        <v>13348</v>
      </c>
      <c r="C3710" s="16">
        <v>27638.0</v>
      </c>
      <c r="D3710" s="17" t="s">
        <v>13349</v>
      </c>
    </row>
    <row r="3711">
      <c r="A3711" s="14" t="s">
        <v>6891</v>
      </c>
      <c r="B3711" s="15" t="s">
        <v>13350</v>
      </c>
      <c r="C3711" s="16">
        <v>27639.0</v>
      </c>
      <c r="D3711" s="17" t="s">
        <v>13351</v>
      </c>
    </row>
    <row r="3712">
      <c r="A3712" s="14">
        <v>2.0</v>
      </c>
      <c r="B3712" s="15" t="s">
        <v>13352</v>
      </c>
      <c r="C3712" s="16">
        <v>27639.0</v>
      </c>
      <c r="D3712" s="17" t="s">
        <v>13353</v>
      </c>
    </row>
    <row r="3713">
      <c r="A3713" s="14">
        <v>2.0</v>
      </c>
      <c r="B3713" s="15" t="s">
        <v>13354</v>
      </c>
      <c r="C3713" s="16">
        <v>27639.0</v>
      </c>
      <c r="D3713" s="17" t="s">
        <v>13355</v>
      </c>
    </row>
    <row r="3714">
      <c r="A3714" s="14" t="s">
        <v>6374</v>
      </c>
      <c r="B3714" s="15" t="s">
        <v>13356</v>
      </c>
      <c r="C3714" s="16">
        <v>27640.0</v>
      </c>
      <c r="D3714" s="17" t="s">
        <v>13357</v>
      </c>
    </row>
    <row r="3715">
      <c r="A3715" s="14" t="s">
        <v>6891</v>
      </c>
      <c r="B3715" s="15" t="s">
        <v>13358</v>
      </c>
      <c r="C3715" s="16">
        <v>27640.0</v>
      </c>
      <c r="D3715" s="17" t="s">
        <v>13359</v>
      </c>
    </row>
    <row r="3716">
      <c r="A3716" s="14">
        <v>3.0</v>
      </c>
      <c r="B3716" s="15" t="s">
        <v>13360</v>
      </c>
      <c r="C3716" s="16">
        <v>27640.0</v>
      </c>
      <c r="D3716" s="17" t="s">
        <v>13361</v>
      </c>
    </row>
    <row r="3717">
      <c r="A3717" s="14">
        <v>3.0</v>
      </c>
      <c r="B3717" s="15" t="s">
        <v>13362</v>
      </c>
      <c r="C3717" s="16">
        <v>27640.0</v>
      </c>
      <c r="D3717" s="17" t="s">
        <v>13363</v>
      </c>
    </row>
    <row r="3718">
      <c r="A3718" s="14">
        <v>3.0</v>
      </c>
      <c r="B3718" s="15" t="s">
        <v>13364</v>
      </c>
      <c r="C3718" s="16">
        <v>27640.0</v>
      </c>
      <c r="D3718" s="17" t="s">
        <v>13365</v>
      </c>
    </row>
    <row r="3719">
      <c r="A3719" s="14" t="s">
        <v>6374</v>
      </c>
      <c r="B3719" s="15" t="s">
        <v>13366</v>
      </c>
      <c r="C3719" s="16">
        <v>27641.0</v>
      </c>
      <c r="D3719" s="17" t="s">
        <v>13367</v>
      </c>
    </row>
    <row r="3720">
      <c r="A3720" s="14" t="s">
        <v>6891</v>
      </c>
      <c r="B3720" s="15" t="s">
        <v>13368</v>
      </c>
      <c r="C3720" s="16">
        <v>27641.0</v>
      </c>
      <c r="D3720" s="17" t="s">
        <v>13369</v>
      </c>
    </row>
    <row r="3721">
      <c r="A3721" s="14">
        <v>4.0</v>
      </c>
      <c r="B3721" s="15" t="s">
        <v>13370</v>
      </c>
      <c r="C3721" s="16">
        <v>27641.0</v>
      </c>
      <c r="D3721" s="17" t="s">
        <v>13371</v>
      </c>
    </row>
    <row r="3722">
      <c r="A3722" s="14">
        <v>4.0</v>
      </c>
      <c r="B3722" s="15" t="s">
        <v>13372</v>
      </c>
      <c r="C3722" s="16">
        <v>27641.0</v>
      </c>
      <c r="D3722" s="17" t="s">
        <v>13373</v>
      </c>
    </row>
    <row r="3723">
      <c r="A3723" s="14">
        <v>4.0</v>
      </c>
      <c r="B3723" s="15" t="s">
        <v>13374</v>
      </c>
      <c r="C3723" s="16">
        <v>27641.0</v>
      </c>
      <c r="D3723" s="17" t="s">
        <v>13375</v>
      </c>
    </row>
    <row r="3724">
      <c r="A3724" s="14" t="s">
        <v>6374</v>
      </c>
      <c r="B3724" s="15" t="s">
        <v>13376</v>
      </c>
      <c r="C3724" s="16">
        <v>27642.0</v>
      </c>
      <c r="D3724" s="17" t="s">
        <v>13377</v>
      </c>
    </row>
    <row r="3725">
      <c r="A3725" s="14" t="s">
        <v>6891</v>
      </c>
      <c r="B3725" s="15" t="s">
        <v>13378</v>
      </c>
      <c r="C3725" s="16">
        <v>27642.0</v>
      </c>
      <c r="D3725" s="17" t="s">
        <v>13379</v>
      </c>
    </row>
    <row r="3726">
      <c r="A3726" s="14">
        <v>5.0</v>
      </c>
      <c r="B3726" s="15" t="s">
        <v>13380</v>
      </c>
      <c r="C3726" s="16">
        <v>27642.0</v>
      </c>
      <c r="D3726" s="17" t="s">
        <v>13381</v>
      </c>
    </row>
    <row r="3727">
      <c r="A3727" s="14">
        <v>5.0</v>
      </c>
      <c r="B3727" s="15" t="s">
        <v>13382</v>
      </c>
      <c r="C3727" s="16">
        <v>27642.0</v>
      </c>
      <c r="D3727" s="17" t="s">
        <v>13383</v>
      </c>
    </row>
    <row r="3728">
      <c r="A3728" s="14">
        <v>5.0</v>
      </c>
      <c r="B3728" s="15" t="s">
        <v>13384</v>
      </c>
      <c r="C3728" s="16">
        <v>27642.0</v>
      </c>
      <c r="D3728" s="17" t="s">
        <v>13385</v>
      </c>
    </row>
    <row r="3729">
      <c r="A3729" s="14" t="s">
        <v>6374</v>
      </c>
      <c r="B3729" s="15" t="s">
        <v>13386</v>
      </c>
      <c r="C3729" s="16">
        <v>27643.0</v>
      </c>
      <c r="D3729" s="17" t="s">
        <v>13387</v>
      </c>
    </row>
    <row r="3730">
      <c r="A3730" s="14" t="s">
        <v>6891</v>
      </c>
      <c r="B3730" s="15" t="s">
        <v>13388</v>
      </c>
      <c r="C3730" s="16">
        <v>27643.0</v>
      </c>
      <c r="D3730" s="17" t="s">
        <v>13389</v>
      </c>
    </row>
    <row r="3731">
      <c r="A3731" s="14">
        <v>6.0</v>
      </c>
      <c r="B3731" s="15" t="s">
        <v>13390</v>
      </c>
      <c r="C3731" s="16">
        <v>27643.0</v>
      </c>
      <c r="D3731" s="17" t="s">
        <v>13391</v>
      </c>
    </row>
    <row r="3732">
      <c r="A3732" s="14">
        <v>6.0</v>
      </c>
      <c r="B3732" s="15" t="s">
        <v>13392</v>
      </c>
      <c r="C3732" s="16">
        <v>27643.0</v>
      </c>
      <c r="D3732" s="17" t="s">
        <v>13393</v>
      </c>
    </row>
    <row r="3733">
      <c r="A3733" s="14">
        <v>6.0</v>
      </c>
      <c r="B3733" s="15" t="s">
        <v>13394</v>
      </c>
      <c r="C3733" s="16">
        <v>27643.0</v>
      </c>
      <c r="D3733" s="17" t="s">
        <v>13395</v>
      </c>
    </row>
    <row r="3734">
      <c r="A3734" s="14">
        <v>6.0</v>
      </c>
      <c r="B3734" s="15" t="s">
        <v>13396</v>
      </c>
      <c r="C3734" s="16">
        <v>27643.0</v>
      </c>
      <c r="D3734" s="17" t="s">
        <v>13397</v>
      </c>
    </row>
    <row r="3735">
      <c r="A3735" s="14" t="s">
        <v>6891</v>
      </c>
      <c r="B3735" s="15" t="s">
        <v>13398</v>
      </c>
      <c r="C3735" s="16">
        <v>27644.0</v>
      </c>
      <c r="D3735" s="17" t="s">
        <v>13399</v>
      </c>
    </row>
    <row r="3736">
      <c r="A3736" s="14">
        <v>7.0</v>
      </c>
      <c r="B3736" s="15" t="s">
        <v>13400</v>
      </c>
      <c r="C3736" s="16">
        <v>27644.0</v>
      </c>
      <c r="D3736" s="17" t="s">
        <v>13401</v>
      </c>
    </row>
    <row r="3737">
      <c r="A3737" s="14">
        <v>7.0</v>
      </c>
      <c r="B3737" s="15" t="s">
        <v>13402</v>
      </c>
      <c r="C3737" s="16">
        <v>27644.0</v>
      </c>
      <c r="D3737" s="17" t="s">
        <v>13403</v>
      </c>
    </row>
    <row r="3738">
      <c r="A3738" s="14" t="s">
        <v>6891</v>
      </c>
      <c r="B3738" s="15" t="s">
        <v>13404</v>
      </c>
      <c r="C3738" s="16">
        <v>27645.0</v>
      </c>
      <c r="D3738" s="17" t="s">
        <v>13405</v>
      </c>
    </row>
    <row r="3739">
      <c r="A3739" s="14">
        <v>8.0</v>
      </c>
      <c r="B3739" s="15" t="s">
        <v>13406</v>
      </c>
      <c r="C3739" s="16">
        <v>27645.0</v>
      </c>
      <c r="D3739" s="17" t="s">
        <v>13407</v>
      </c>
    </row>
    <row r="3740">
      <c r="A3740" s="14">
        <v>8.0</v>
      </c>
      <c r="B3740" s="15" t="s">
        <v>13408</v>
      </c>
      <c r="C3740" s="16">
        <v>27645.0</v>
      </c>
      <c r="D3740" s="17" t="s">
        <v>13409</v>
      </c>
    </row>
    <row r="3741">
      <c r="A3741" s="14" t="s">
        <v>6374</v>
      </c>
      <c r="B3741" s="15" t="s">
        <v>13410</v>
      </c>
      <c r="C3741" s="16">
        <v>27646.0</v>
      </c>
      <c r="D3741" s="17" t="s">
        <v>13411</v>
      </c>
    </row>
    <row r="3742">
      <c r="A3742" s="14" t="s">
        <v>6891</v>
      </c>
      <c r="B3742" s="15" t="s">
        <v>13412</v>
      </c>
      <c r="C3742" s="16">
        <v>27646.0</v>
      </c>
      <c r="D3742" s="17" t="s">
        <v>13413</v>
      </c>
    </row>
    <row r="3743">
      <c r="A3743" s="14">
        <v>9.0</v>
      </c>
      <c r="B3743" s="15" t="s">
        <v>13414</v>
      </c>
      <c r="C3743" s="16">
        <v>27646.0</v>
      </c>
      <c r="D3743" s="17" t="s">
        <v>13415</v>
      </c>
    </row>
    <row r="3744">
      <c r="A3744" s="14">
        <v>9.0</v>
      </c>
      <c r="B3744" s="15" t="s">
        <v>13416</v>
      </c>
      <c r="C3744" s="16">
        <v>27646.0</v>
      </c>
      <c r="D3744" s="17" t="s">
        <v>13417</v>
      </c>
    </row>
    <row r="3745">
      <c r="A3745" s="14">
        <v>9.0</v>
      </c>
      <c r="B3745" s="15" t="s">
        <v>13418</v>
      </c>
      <c r="C3745" s="16">
        <v>27646.0</v>
      </c>
      <c r="D3745" s="17" t="s">
        <v>13419</v>
      </c>
    </row>
    <row r="3746">
      <c r="A3746" s="14" t="s">
        <v>6891</v>
      </c>
      <c r="B3746" s="15" t="s">
        <v>13420</v>
      </c>
      <c r="C3746" s="16">
        <v>27647.0</v>
      </c>
      <c r="D3746" s="17" t="s">
        <v>13421</v>
      </c>
    </row>
    <row r="3747">
      <c r="A3747" s="14">
        <v>10.0</v>
      </c>
      <c r="B3747" s="15" t="s">
        <v>13422</v>
      </c>
      <c r="C3747" s="16">
        <v>27647.0</v>
      </c>
      <c r="D3747" s="17" t="s">
        <v>13423</v>
      </c>
    </row>
    <row r="3748">
      <c r="A3748" s="14">
        <v>10.0</v>
      </c>
      <c r="B3748" s="15" t="s">
        <v>13424</v>
      </c>
      <c r="C3748" s="16">
        <v>27647.0</v>
      </c>
      <c r="D3748" s="17" t="s">
        <v>13425</v>
      </c>
    </row>
    <row r="3749">
      <c r="A3749" s="14" t="s">
        <v>6891</v>
      </c>
      <c r="B3749" s="15" t="s">
        <v>13426</v>
      </c>
      <c r="C3749" s="16">
        <v>27648.0</v>
      </c>
      <c r="D3749" s="17" t="s">
        <v>13427</v>
      </c>
    </row>
    <row r="3750">
      <c r="A3750" s="14">
        <v>11.0</v>
      </c>
      <c r="B3750" s="15" t="s">
        <v>13428</v>
      </c>
      <c r="C3750" s="16">
        <v>27648.0</v>
      </c>
      <c r="D3750" s="17" t="s">
        <v>13429</v>
      </c>
    </row>
    <row r="3751">
      <c r="A3751" s="14">
        <v>11.0</v>
      </c>
      <c r="B3751" s="15" t="s">
        <v>13430</v>
      </c>
      <c r="C3751" s="16">
        <v>27648.0</v>
      </c>
      <c r="D3751" s="17" t="s">
        <v>13431</v>
      </c>
    </row>
    <row r="3752">
      <c r="A3752" s="14" t="s">
        <v>6374</v>
      </c>
      <c r="B3752" s="15" t="s">
        <v>13432</v>
      </c>
      <c r="C3752" s="16">
        <v>27650.0</v>
      </c>
      <c r="D3752" s="17" t="s">
        <v>13433</v>
      </c>
    </row>
    <row r="3753">
      <c r="A3753" s="14" t="s">
        <v>6891</v>
      </c>
      <c r="B3753" s="15" t="s">
        <v>13434</v>
      </c>
      <c r="C3753" s="16">
        <v>27650.0</v>
      </c>
      <c r="D3753" s="17" t="s">
        <v>13435</v>
      </c>
    </row>
    <row r="3754">
      <c r="A3754" s="14">
        <v>13.0</v>
      </c>
      <c r="B3754" s="15" t="s">
        <v>13436</v>
      </c>
      <c r="C3754" s="16">
        <v>27650.0</v>
      </c>
      <c r="D3754" s="17" t="s">
        <v>13437</v>
      </c>
    </row>
    <row r="3755">
      <c r="A3755" s="14">
        <v>13.0</v>
      </c>
      <c r="B3755" s="15" t="s">
        <v>13438</v>
      </c>
      <c r="C3755" s="16">
        <v>27650.0</v>
      </c>
      <c r="D3755" s="17" t="s">
        <v>13439</v>
      </c>
    </row>
    <row r="3756">
      <c r="A3756" s="14">
        <v>13.0</v>
      </c>
      <c r="B3756" s="15" t="s">
        <v>13440</v>
      </c>
      <c r="C3756" s="16">
        <v>27650.0</v>
      </c>
      <c r="D3756" s="17" t="s">
        <v>13441</v>
      </c>
    </row>
    <row r="3757">
      <c r="A3757" s="14">
        <v>13.0</v>
      </c>
      <c r="B3757" s="15" t="s">
        <v>13442</v>
      </c>
      <c r="C3757" s="16">
        <v>27650.0</v>
      </c>
      <c r="D3757" s="17" t="s">
        <v>13443</v>
      </c>
    </row>
    <row r="3758">
      <c r="A3758" s="14">
        <v>13.0</v>
      </c>
      <c r="B3758" s="15" t="s">
        <v>13444</v>
      </c>
      <c r="C3758" s="16">
        <v>27650.0</v>
      </c>
      <c r="D3758" s="17" t="s">
        <v>13445</v>
      </c>
    </row>
    <row r="3759">
      <c r="A3759" s="14" t="s">
        <v>6374</v>
      </c>
      <c r="B3759" s="15" t="s">
        <v>13446</v>
      </c>
      <c r="C3759" s="16">
        <v>27652.0</v>
      </c>
      <c r="D3759" s="17" t="s">
        <v>13447</v>
      </c>
    </row>
    <row r="3760">
      <c r="A3760" s="14" t="s">
        <v>6891</v>
      </c>
      <c r="B3760" s="15" t="s">
        <v>13448</v>
      </c>
      <c r="C3760" s="16">
        <v>27652.0</v>
      </c>
      <c r="D3760" s="17" t="s">
        <v>13449</v>
      </c>
    </row>
    <row r="3761">
      <c r="A3761" s="14">
        <v>15.0</v>
      </c>
      <c r="B3761" s="15" t="s">
        <v>13450</v>
      </c>
      <c r="C3761" s="16">
        <v>27652.0</v>
      </c>
      <c r="D3761" s="17" t="s">
        <v>13451</v>
      </c>
    </row>
    <row r="3762">
      <c r="A3762" s="14">
        <v>15.0</v>
      </c>
      <c r="B3762" s="15" t="s">
        <v>13452</v>
      </c>
      <c r="C3762" s="16">
        <v>27652.0</v>
      </c>
      <c r="D3762" s="17" t="s">
        <v>13453</v>
      </c>
    </row>
    <row r="3763">
      <c r="A3763" s="14">
        <v>15.0</v>
      </c>
      <c r="B3763" s="15" t="s">
        <v>13454</v>
      </c>
      <c r="C3763" s="16">
        <v>27652.0</v>
      </c>
      <c r="D3763" s="17" t="s">
        <v>13455</v>
      </c>
    </row>
    <row r="3764">
      <c r="A3764" s="14">
        <v>15.0</v>
      </c>
      <c r="B3764" s="15" t="s">
        <v>13456</v>
      </c>
      <c r="C3764" s="16">
        <v>27652.0</v>
      </c>
      <c r="D3764" s="17" t="s">
        <v>13457</v>
      </c>
    </row>
    <row r="3765">
      <c r="A3765" s="14" t="s">
        <v>6374</v>
      </c>
      <c r="B3765" s="15" t="s">
        <v>13458</v>
      </c>
      <c r="C3765" s="16">
        <v>27654.0</v>
      </c>
      <c r="D3765" s="17" t="s">
        <v>13459</v>
      </c>
    </row>
    <row r="3766">
      <c r="A3766" s="14" t="s">
        <v>6891</v>
      </c>
      <c r="B3766" s="15" t="s">
        <v>13460</v>
      </c>
      <c r="C3766" s="16">
        <v>27654.0</v>
      </c>
      <c r="D3766" s="17" t="s">
        <v>13461</v>
      </c>
    </row>
    <row r="3767">
      <c r="A3767" s="14">
        <v>17.0</v>
      </c>
      <c r="B3767" s="15" t="s">
        <v>13462</v>
      </c>
      <c r="C3767" s="16">
        <v>27654.0</v>
      </c>
      <c r="D3767" s="17" t="s">
        <v>13463</v>
      </c>
    </row>
    <row r="3768">
      <c r="A3768" s="14">
        <v>17.0</v>
      </c>
      <c r="B3768" s="15" t="s">
        <v>13464</v>
      </c>
      <c r="C3768" s="16">
        <v>27654.0</v>
      </c>
      <c r="D3768" s="17" t="s">
        <v>13465</v>
      </c>
    </row>
    <row r="3769">
      <c r="A3769" s="14">
        <v>17.0</v>
      </c>
      <c r="B3769" s="15" t="s">
        <v>13466</v>
      </c>
      <c r="C3769" s="16">
        <v>27654.0</v>
      </c>
      <c r="D3769" s="17" t="s">
        <v>13467</v>
      </c>
    </row>
    <row r="3770">
      <c r="A3770" s="14" t="s">
        <v>6374</v>
      </c>
      <c r="B3770" s="15" t="s">
        <v>13468</v>
      </c>
      <c r="C3770" s="16">
        <v>27655.0</v>
      </c>
      <c r="D3770" s="17" t="s">
        <v>13469</v>
      </c>
    </row>
    <row r="3771">
      <c r="A3771" s="14" t="s">
        <v>6891</v>
      </c>
      <c r="B3771" s="15" t="s">
        <v>13470</v>
      </c>
      <c r="C3771" s="16">
        <v>27655.0</v>
      </c>
      <c r="D3771" s="17" t="s">
        <v>13471</v>
      </c>
    </row>
    <row r="3772">
      <c r="A3772" s="14">
        <v>18.0</v>
      </c>
      <c r="B3772" s="15" t="s">
        <v>13472</v>
      </c>
      <c r="C3772" s="16">
        <v>27655.0</v>
      </c>
      <c r="D3772" s="17" t="s">
        <v>13473</v>
      </c>
    </row>
    <row r="3773">
      <c r="A3773" s="14">
        <v>18.0</v>
      </c>
      <c r="B3773" s="15" t="s">
        <v>13474</v>
      </c>
      <c r="C3773" s="16">
        <v>27655.0</v>
      </c>
      <c r="D3773" s="17" t="s">
        <v>13475</v>
      </c>
    </row>
    <row r="3774">
      <c r="A3774" s="14">
        <v>18.0</v>
      </c>
      <c r="B3774" s="15" t="s">
        <v>13476</v>
      </c>
      <c r="C3774" s="16">
        <v>27655.0</v>
      </c>
      <c r="D3774" s="17" t="s">
        <v>13477</v>
      </c>
    </row>
    <row r="3775">
      <c r="A3775" s="14" t="s">
        <v>6374</v>
      </c>
      <c r="B3775" s="15" t="s">
        <v>13478</v>
      </c>
      <c r="C3775" s="16">
        <v>27656.0</v>
      </c>
      <c r="D3775" s="17" t="s">
        <v>13479</v>
      </c>
    </row>
    <row r="3776">
      <c r="A3776" s="14" t="s">
        <v>6891</v>
      </c>
      <c r="B3776" s="15" t="s">
        <v>13480</v>
      </c>
      <c r="C3776" s="16">
        <v>27656.0</v>
      </c>
      <c r="D3776" s="17" t="s">
        <v>13481</v>
      </c>
    </row>
    <row r="3777">
      <c r="A3777" s="14">
        <v>19.0</v>
      </c>
      <c r="B3777" s="15" t="s">
        <v>13482</v>
      </c>
      <c r="C3777" s="16">
        <v>27656.0</v>
      </c>
      <c r="D3777" s="17" t="s">
        <v>13483</v>
      </c>
    </row>
    <row r="3778">
      <c r="A3778" s="14">
        <v>19.0</v>
      </c>
      <c r="B3778" s="15" t="s">
        <v>13484</v>
      </c>
      <c r="C3778" s="16">
        <v>27656.0</v>
      </c>
      <c r="D3778" s="17" t="s">
        <v>13485</v>
      </c>
    </row>
    <row r="3779">
      <c r="A3779" s="14">
        <v>19.0</v>
      </c>
      <c r="B3779" s="15" t="s">
        <v>13486</v>
      </c>
      <c r="C3779" s="16">
        <v>27656.0</v>
      </c>
      <c r="D3779" s="17" t="s">
        <v>13487</v>
      </c>
    </row>
    <row r="3780">
      <c r="A3780" s="14" t="s">
        <v>6891</v>
      </c>
      <c r="B3780" s="15" t="s">
        <v>13488</v>
      </c>
      <c r="C3780" s="16">
        <v>27657.0</v>
      </c>
      <c r="D3780" s="17" t="s">
        <v>13489</v>
      </c>
    </row>
    <row r="3781">
      <c r="A3781" s="14">
        <v>20.0</v>
      </c>
      <c r="B3781" s="15" t="s">
        <v>13490</v>
      </c>
      <c r="C3781" s="16">
        <v>27657.0</v>
      </c>
      <c r="D3781" s="17" t="s">
        <v>13491</v>
      </c>
    </row>
    <row r="3782">
      <c r="A3782" s="14">
        <v>20.0</v>
      </c>
      <c r="B3782" s="15" t="s">
        <v>13492</v>
      </c>
      <c r="C3782" s="16">
        <v>27657.0</v>
      </c>
      <c r="D3782" s="17" t="s">
        <v>13493</v>
      </c>
    </row>
    <row r="3783">
      <c r="A3783" s="14" t="s">
        <v>6374</v>
      </c>
      <c r="B3783" s="15" t="s">
        <v>13494</v>
      </c>
      <c r="C3783" s="16">
        <v>27662.0</v>
      </c>
      <c r="D3783" s="17" t="s">
        <v>13495</v>
      </c>
    </row>
    <row r="3784">
      <c r="A3784" s="14">
        <v>25.0</v>
      </c>
      <c r="B3784" s="15" t="s">
        <v>13496</v>
      </c>
      <c r="C3784" s="16">
        <v>27662.0</v>
      </c>
      <c r="D3784" s="17" t="s">
        <v>13497</v>
      </c>
    </row>
    <row r="3785">
      <c r="A3785" s="14">
        <v>25.0</v>
      </c>
      <c r="B3785" s="15" t="s">
        <v>13498</v>
      </c>
      <c r="C3785" s="16">
        <v>27662.0</v>
      </c>
      <c r="D3785" s="17" t="s">
        <v>13499</v>
      </c>
    </row>
    <row r="3786">
      <c r="A3786" s="14">
        <v>25.0</v>
      </c>
      <c r="B3786" s="15" t="s">
        <v>13500</v>
      </c>
      <c r="C3786" s="16">
        <v>27662.0</v>
      </c>
      <c r="D3786" s="17" t="s">
        <v>13501</v>
      </c>
    </row>
    <row r="3787">
      <c r="A3787" s="14" t="s">
        <v>6374</v>
      </c>
      <c r="B3787" s="15" t="s">
        <v>13502</v>
      </c>
      <c r="C3787" s="16">
        <v>27663.0</v>
      </c>
      <c r="D3787" s="17" t="s">
        <v>13503</v>
      </c>
    </row>
    <row r="3788">
      <c r="A3788" s="14">
        <v>26.0</v>
      </c>
      <c r="B3788" s="15" t="s">
        <v>13504</v>
      </c>
      <c r="C3788" s="16">
        <v>27663.0</v>
      </c>
      <c r="D3788" s="17" t="s">
        <v>13505</v>
      </c>
    </row>
    <row r="3789">
      <c r="A3789" s="14" t="s">
        <v>6374</v>
      </c>
      <c r="B3789" s="15" t="s">
        <v>13506</v>
      </c>
      <c r="C3789" s="16">
        <v>27664.0</v>
      </c>
      <c r="D3789" s="17" t="s">
        <v>13507</v>
      </c>
    </row>
    <row r="3790">
      <c r="A3790" s="14">
        <v>27.0</v>
      </c>
      <c r="B3790" s="15" t="s">
        <v>13508</v>
      </c>
      <c r="C3790" s="16">
        <v>27664.0</v>
      </c>
      <c r="D3790" s="17" t="s">
        <v>13509</v>
      </c>
    </row>
    <row r="3791">
      <c r="A3791" s="14">
        <v>27.0</v>
      </c>
      <c r="B3791" s="15" t="s">
        <v>13510</v>
      </c>
      <c r="C3791" s="16">
        <v>27664.0</v>
      </c>
      <c r="D3791" s="17" t="s">
        <v>13511</v>
      </c>
    </row>
    <row r="3792">
      <c r="A3792" s="14">
        <v>27.0</v>
      </c>
      <c r="B3792" s="15" t="s">
        <v>13512</v>
      </c>
      <c r="C3792" s="16">
        <v>27664.0</v>
      </c>
      <c r="D3792" s="17" t="s">
        <v>13513</v>
      </c>
    </row>
    <row r="3793">
      <c r="A3793" s="14" t="s">
        <v>6374</v>
      </c>
      <c r="B3793" s="15" t="s">
        <v>13514</v>
      </c>
      <c r="C3793" s="16">
        <v>27666.0</v>
      </c>
      <c r="D3793" s="17" t="s">
        <v>13515</v>
      </c>
    </row>
    <row r="3794">
      <c r="A3794" s="14">
        <v>29.0</v>
      </c>
      <c r="B3794" s="15" t="s">
        <v>13516</v>
      </c>
      <c r="C3794" s="16">
        <v>27666.0</v>
      </c>
      <c r="D3794" s="17" t="s">
        <v>13517</v>
      </c>
    </row>
    <row r="3795">
      <c r="A3795" s="14" t="s">
        <v>6374</v>
      </c>
      <c r="B3795" s="15" t="s">
        <v>13518</v>
      </c>
      <c r="C3795" s="16">
        <v>27667.0</v>
      </c>
      <c r="D3795" s="17" t="s">
        <v>13519</v>
      </c>
    </row>
    <row r="3796">
      <c r="A3796" s="14">
        <v>30.0</v>
      </c>
      <c r="B3796" s="15" t="s">
        <v>13520</v>
      </c>
      <c r="C3796" s="16">
        <v>27667.0</v>
      </c>
      <c r="D3796" s="17" t="s">
        <v>13521</v>
      </c>
    </row>
    <row r="3797">
      <c r="A3797" s="14" t="s">
        <v>6753</v>
      </c>
      <c r="B3797" s="15" t="s">
        <v>13522</v>
      </c>
      <c r="C3797" s="16">
        <v>27668.0</v>
      </c>
      <c r="D3797" s="17" t="s">
        <v>13523</v>
      </c>
    </row>
    <row r="3798">
      <c r="A3798" s="14" t="s">
        <v>5908</v>
      </c>
      <c r="B3798" s="15" t="s">
        <v>13524</v>
      </c>
      <c r="C3798" s="16">
        <v>27668.0</v>
      </c>
      <c r="D3798" s="17" t="s">
        <v>13525</v>
      </c>
    </row>
    <row r="3799">
      <c r="A3799" s="14">
        <v>1.0</v>
      </c>
      <c r="B3799" s="15" t="s">
        <v>13526</v>
      </c>
      <c r="C3799" s="16">
        <v>27668.0</v>
      </c>
      <c r="D3799" s="17" t="s">
        <v>13527</v>
      </c>
    </row>
    <row r="3800">
      <c r="A3800" s="14">
        <v>1.0</v>
      </c>
      <c r="B3800" s="15" t="s">
        <v>13528</v>
      </c>
      <c r="C3800" s="16">
        <v>27668.0</v>
      </c>
      <c r="D3800" s="17" t="s">
        <v>13529</v>
      </c>
    </row>
    <row r="3801">
      <c r="A3801" s="14">
        <v>1.0</v>
      </c>
      <c r="B3801" s="15" t="s">
        <v>13530</v>
      </c>
      <c r="C3801" s="16">
        <v>27668.0</v>
      </c>
      <c r="D3801" s="17" t="s">
        <v>13531</v>
      </c>
    </row>
    <row r="3802">
      <c r="A3802" s="14">
        <v>1.0</v>
      </c>
      <c r="B3802" s="15" t="s">
        <v>13532</v>
      </c>
      <c r="C3802" s="16">
        <v>27668.0</v>
      </c>
      <c r="D3802" s="17" t="s">
        <v>13533</v>
      </c>
    </row>
    <row r="3803">
      <c r="A3803" s="14">
        <v>1.0</v>
      </c>
      <c r="B3803" s="15" t="s">
        <v>13534</v>
      </c>
      <c r="C3803" s="16">
        <v>27668.0</v>
      </c>
      <c r="D3803" s="17" t="s">
        <v>13535</v>
      </c>
    </row>
    <row r="3804">
      <c r="A3804" s="14" t="s">
        <v>6344</v>
      </c>
      <c r="B3804" s="15" t="s">
        <v>13536</v>
      </c>
      <c r="C3804" s="16">
        <v>27669.0</v>
      </c>
      <c r="D3804" s="17" t="s">
        <v>13537</v>
      </c>
    </row>
    <row r="3805">
      <c r="A3805" s="14">
        <v>2.0</v>
      </c>
      <c r="B3805" s="15" t="s">
        <v>13538</v>
      </c>
      <c r="C3805" s="16">
        <v>27669.0</v>
      </c>
      <c r="D3805" s="17" t="s">
        <v>13539</v>
      </c>
    </row>
    <row r="3806">
      <c r="A3806" s="14">
        <v>2.0</v>
      </c>
      <c r="B3806" s="15" t="s">
        <v>13540</v>
      </c>
      <c r="C3806" s="16">
        <v>27669.0</v>
      </c>
      <c r="D3806" s="17" t="s">
        <v>13541</v>
      </c>
    </row>
    <row r="3807">
      <c r="A3807" s="14">
        <v>2.0</v>
      </c>
      <c r="B3807" s="15" t="s">
        <v>13542</v>
      </c>
      <c r="C3807" s="16">
        <v>27669.0</v>
      </c>
      <c r="D3807" s="17" t="s">
        <v>13543</v>
      </c>
    </row>
    <row r="3808">
      <c r="A3808" s="14">
        <v>2.0</v>
      </c>
      <c r="B3808" s="15" t="s">
        <v>13544</v>
      </c>
      <c r="C3808" s="16">
        <v>27669.0</v>
      </c>
      <c r="D3808" s="17" t="s">
        <v>13545</v>
      </c>
    </row>
    <row r="3809">
      <c r="A3809" s="14" t="s">
        <v>6374</v>
      </c>
      <c r="B3809" s="15" t="s">
        <v>13546</v>
      </c>
      <c r="C3809" s="16">
        <v>27670.0</v>
      </c>
      <c r="D3809" s="17" t="s">
        <v>13547</v>
      </c>
    </row>
    <row r="3810">
      <c r="A3810" s="14" t="s">
        <v>6374</v>
      </c>
      <c r="B3810" s="15" t="s">
        <v>13548</v>
      </c>
      <c r="C3810" s="16">
        <v>27670.0</v>
      </c>
      <c r="D3810" s="17" t="s">
        <v>13549</v>
      </c>
    </row>
    <row r="3811">
      <c r="A3811" s="14">
        <v>3.0</v>
      </c>
      <c r="B3811" s="15" t="s">
        <v>13550</v>
      </c>
      <c r="C3811" s="16">
        <v>27670.0</v>
      </c>
      <c r="D3811" s="17" t="s">
        <v>13551</v>
      </c>
    </row>
    <row r="3812">
      <c r="A3812" s="14">
        <v>3.0</v>
      </c>
      <c r="B3812" s="15" t="s">
        <v>13552</v>
      </c>
      <c r="C3812" s="16">
        <v>27670.0</v>
      </c>
      <c r="D3812" s="17" t="s">
        <v>13553</v>
      </c>
    </row>
    <row r="3813">
      <c r="A3813" s="14">
        <v>3.0</v>
      </c>
      <c r="B3813" s="15" t="s">
        <v>13554</v>
      </c>
      <c r="C3813" s="16">
        <v>27670.0</v>
      </c>
      <c r="D3813" s="17" t="s">
        <v>13555</v>
      </c>
    </row>
    <row r="3814">
      <c r="A3814" s="14" t="s">
        <v>6374</v>
      </c>
      <c r="B3814" s="15" t="s">
        <v>13556</v>
      </c>
      <c r="C3814" s="16">
        <v>27671.0</v>
      </c>
      <c r="D3814" s="17" t="s">
        <v>13557</v>
      </c>
    </row>
    <row r="3815">
      <c r="A3815" s="14" t="s">
        <v>6353</v>
      </c>
      <c r="B3815" s="15" t="s">
        <v>13558</v>
      </c>
      <c r="C3815" s="16">
        <v>27671.0</v>
      </c>
      <c r="D3815" s="17" t="s">
        <v>13559</v>
      </c>
    </row>
    <row r="3816">
      <c r="A3816" s="14" t="s">
        <v>6344</v>
      </c>
      <c r="B3816" s="15" t="s">
        <v>13560</v>
      </c>
      <c r="C3816" s="16">
        <v>27671.0</v>
      </c>
      <c r="D3816" s="17" t="s">
        <v>13561</v>
      </c>
    </row>
    <row r="3817">
      <c r="A3817" s="14">
        <v>4.0</v>
      </c>
      <c r="B3817" s="15" t="s">
        <v>13562</v>
      </c>
      <c r="C3817" s="16">
        <v>27671.0</v>
      </c>
      <c r="D3817" s="17" t="s">
        <v>13563</v>
      </c>
    </row>
    <row r="3818">
      <c r="A3818" s="14">
        <v>4.0</v>
      </c>
      <c r="B3818" s="15" t="s">
        <v>13564</v>
      </c>
      <c r="C3818" s="16">
        <v>27671.0</v>
      </c>
      <c r="D3818" s="17" t="s">
        <v>13565</v>
      </c>
    </row>
    <row r="3819">
      <c r="A3819" s="14">
        <v>4.0</v>
      </c>
      <c r="B3819" s="15" t="s">
        <v>13566</v>
      </c>
      <c r="C3819" s="16">
        <v>27671.0</v>
      </c>
      <c r="D3819" s="17" t="s">
        <v>13567</v>
      </c>
    </row>
    <row r="3820">
      <c r="A3820" s="14">
        <v>4.0</v>
      </c>
      <c r="B3820" s="15" t="s">
        <v>13568</v>
      </c>
      <c r="C3820" s="16">
        <v>27671.0</v>
      </c>
      <c r="D3820" s="17" t="s">
        <v>13569</v>
      </c>
    </row>
    <row r="3821">
      <c r="A3821" s="14">
        <v>4.0</v>
      </c>
      <c r="B3821" s="15" t="s">
        <v>13570</v>
      </c>
      <c r="C3821" s="16">
        <v>27671.0</v>
      </c>
      <c r="D3821" s="17" t="s">
        <v>13571</v>
      </c>
    </row>
    <row r="3822">
      <c r="A3822" s="14">
        <v>4.0</v>
      </c>
      <c r="B3822" s="15" t="s">
        <v>13572</v>
      </c>
      <c r="C3822" s="16">
        <v>27671.0</v>
      </c>
      <c r="D3822" s="17" t="s">
        <v>13573</v>
      </c>
    </row>
    <row r="3823">
      <c r="A3823" s="14" t="s">
        <v>6374</v>
      </c>
      <c r="B3823" s="15" t="s">
        <v>13574</v>
      </c>
      <c r="C3823" s="16">
        <v>27672.0</v>
      </c>
      <c r="D3823" s="17" t="s">
        <v>13575</v>
      </c>
    </row>
    <row r="3824">
      <c r="A3824" s="14" t="s">
        <v>6353</v>
      </c>
      <c r="B3824" s="15" t="s">
        <v>13576</v>
      </c>
      <c r="C3824" s="16">
        <v>27672.0</v>
      </c>
      <c r="D3824" s="17" t="s">
        <v>13577</v>
      </c>
    </row>
    <row r="3825">
      <c r="A3825" s="14" t="s">
        <v>5932</v>
      </c>
      <c r="B3825" s="15" t="s">
        <v>13578</v>
      </c>
      <c r="C3825" s="16">
        <v>27672.0</v>
      </c>
      <c r="D3825" s="17" t="s">
        <v>13579</v>
      </c>
    </row>
    <row r="3826">
      <c r="A3826" s="14">
        <v>5.0</v>
      </c>
      <c r="B3826" s="15" t="s">
        <v>13580</v>
      </c>
      <c r="C3826" s="16">
        <v>27672.0</v>
      </c>
      <c r="D3826" s="17" t="s">
        <v>13581</v>
      </c>
    </row>
    <row r="3827">
      <c r="A3827" s="14">
        <v>5.0</v>
      </c>
      <c r="B3827" s="15" t="s">
        <v>13582</v>
      </c>
      <c r="C3827" s="16">
        <v>27672.0</v>
      </c>
      <c r="D3827" s="17" t="s">
        <v>13583</v>
      </c>
    </row>
    <row r="3828">
      <c r="A3828" s="14">
        <v>5.0</v>
      </c>
      <c r="B3828" s="15" t="s">
        <v>13584</v>
      </c>
      <c r="C3828" s="16">
        <v>27672.0</v>
      </c>
      <c r="D3828" s="17" t="s">
        <v>13585</v>
      </c>
    </row>
    <row r="3829">
      <c r="A3829" s="14">
        <v>5.0</v>
      </c>
      <c r="B3829" s="15" t="s">
        <v>13586</v>
      </c>
      <c r="C3829" s="16">
        <v>27672.0</v>
      </c>
      <c r="D3829" s="17" t="s">
        <v>13587</v>
      </c>
    </row>
    <row r="3830">
      <c r="A3830" s="14">
        <v>5.0</v>
      </c>
      <c r="B3830" s="15" t="s">
        <v>13588</v>
      </c>
      <c r="C3830" s="16">
        <v>27672.0</v>
      </c>
      <c r="D3830" s="17" t="s">
        <v>13589</v>
      </c>
    </row>
    <row r="3831">
      <c r="A3831" s="14">
        <v>5.0</v>
      </c>
      <c r="B3831" s="15" t="s">
        <v>13590</v>
      </c>
      <c r="C3831" s="16">
        <v>27672.0</v>
      </c>
      <c r="D3831" s="17" t="s">
        <v>13591</v>
      </c>
    </row>
    <row r="3832">
      <c r="A3832" s="14">
        <v>6.0</v>
      </c>
      <c r="B3832" s="15" t="s">
        <v>13592</v>
      </c>
      <c r="C3832" s="16">
        <v>27673.0</v>
      </c>
      <c r="D3832" s="17" t="s">
        <v>13593</v>
      </c>
    </row>
    <row r="3833">
      <c r="A3833" s="14" t="s">
        <v>6057</v>
      </c>
      <c r="B3833" s="15" t="s">
        <v>13594</v>
      </c>
      <c r="C3833" s="16">
        <v>27674.0</v>
      </c>
      <c r="D3833" s="17" t="s">
        <v>13595</v>
      </c>
    </row>
    <row r="3834">
      <c r="A3834" s="14">
        <v>7.0</v>
      </c>
      <c r="B3834" s="15" t="s">
        <v>13596</v>
      </c>
      <c r="C3834" s="16">
        <v>27674.0</v>
      </c>
      <c r="D3834" s="17" t="s">
        <v>13597</v>
      </c>
    </row>
    <row r="3835">
      <c r="A3835" s="14">
        <v>7.0</v>
      </c>
      <c r="B3835" s="15" t="s">
        <v>13598</v>
      </c>
      <c r="C3835" s="16">
        <v>27674.0</v>
      </c>
      <c r="D3835" s="17" t="s">
        <v>13599</v>
      </c>
    </row>
    <row r="3836">
      <c r="A3836" s="14">
        <v>7.0</v>
      </c>
      <c r="B3836" s="15" t="s">
        <v>13600</v>
      </c>
      <c r="C3836" s="16">
        <v>27674.0</v>
      </c>
      <c r="D3836" s="17" t="s">
        <v>13601</v>
      </c>
    </row>
    <row r="3837">
      <c r="A3837" s="14">
        <v>8.0</v>
      </c>
      <c r="B3837" s="15" t="s">
        <v>13602</v>
      </c>
      <c r="C3837" s="16">
        <v>27675.0</v>
      </c>
      <c r="D3837" s="17" t="s">
        <v>13603</v>
      </c>
    </row>
    <row r="3838">
      <c r="A3838" s="14">
        <v>8.0</v>
      </c>
      <c r="B3838" s="15" t="s">
        <v>13604</v>
      </c>
      <c r="C3838" s="16">
        <v>27675.0</v>
      </c>
      <c r="D3838" s="17" t="s">
        <v>13605</v>
      </c>
    </row>
    <row r="3839">
      <c r="A3839" s="14">
        <v>8.0</v>
      </c>
      <c r="B3839" s="15" t="s">
        <v>13606</v>
      </c>
      <c r="C3839" s="16">
        <v>27675.0</v>
      </c>
      <c r="D3839" s="17" t="s">
        <v>13607</v>
      </c>
    </row>
    <row r="3840">
      <c r="A3840" s="14" t="s">
        <v>6074</v>
      </c>
      <c r="B3840" s="15" t="s">
        <v>13608</v>
      </c>
      <c r="C3840" s="16">
        <v>27676.0</v>
      </c>
      <c r="D3840" s="17" t="s">
        <v>13609</v>
      </c>
    </row>
    <row r="3841">
      <c r="A3841" s="14">
        <v>9.0</v>
      </c>
      <c r="B3841" s="15" t="s">
        <v>13610</v>
      </c>
      <c r="C3841" s="16">
        <v>27676.0</v>
      </c>
      <c r="D3841" s="17" t="s">
        <v>13611</v>
      </c>
    </row>
    <row r="3842">
      <c r="A3842" s="14">
        <v>9.0</v>
      </c>
      <c r="B3842" s="15" t="s">
        <v>13612</v>
      </c>
      <c r="C3842" s="16">
        <v>27676.0</v>
      </c>
      <c r="D3842" s="17" t="s">
        <v>13613</v>
      </c>
    </row>
    <row r="3843">
      <c r="A3843" s="14">
        <v>9.0</v>
      </c>
      <c r="B3843" s="15" t="s">
        <v>13614</v>
      </c>
      <c r="C3843" s="16">
        <v>27676.0</v>
      </c>
      <c r="D3843" s="17" t="s">
        <v>13615</v>
      </c>
    </row>
    <row r="3844">
      <c r="A3844" s="14" t="s">
        <v>6353</v>
      </c>
      <c r="B3844" s="15" t="s">
        <v>13616</v>
      </c>
      <c r="C3844" s="16">
        <v>27677.0</v>
      </c>
      <c r="D3844" s="17" t="s">
        <v>13617</v>
      </c>
    </row>
    <row r="3845">
      <c r="A3845" s="14">
        <v>10.0</v>
      </c>
      <c r="B3845" s="15" t="s">
        <v>13618</v>
      </c>
      <c r="C3845" s="16">
        <v>27677.0</v>
      </c>
      <c r="D3845" s="17" t="s">
        <v>13619</v>
      </c>
    </row>
    <row r="3846">
      <c r="A3846" s="14">
        <v>10.0</v>
      </c>
      <c r="B3846" s="15" t="s">
        <v>13620</v>
      </c>
      <c r="C3846" s="16">
        <v>27677.0</v>
      </c>
      <c r="D3846" s="17" t="s">
        <v>13621</v>
      </c>
    </row>
    <row r="3847">
      <c r="A3847" s="14">
        <v>10.0</v>
      </c>
      <c r="B3847" s="15" t="s">
        <v>13622</v>
      </c>
      <c r="C3847" s="16">
        <v>27677.0</v>
      </c>
      <c r="D3847" s="17" t="s">
        <v>13623</v>
      </c>
    </row>
    <row r="3848">
      <c r="A3848" s="14" t="s">
        <v>6057</v>
      </c>
      <c r="B3848" s="15" t="s">
        <v>13624</v>
      </c>
      <c r="C3848" s="16">
        <v>27678.0</v>
      </c>
      <c r="D3848" s="17" t="s">
        <v>13625</v>
      </c>
    </row>
    <row r="3849">
      <c r="A3849" s="14">
        <v>11.0</v>
      </c>
      <c r="B3849" s="15" t="s">
        <v>13626</v>
      </c>
      <c r="C3849" s="16">
        <v>27678.0</v>
      </c>
      <c r="D3849" s="17" t="s">
        <v>13627</v>
      </c>
    </row>
    <row r="3850">
      <c r="A3850" s="14">
        <v>11.0</v>
      </c>
      <c r="B3850" s="15" t="s">
        <v>13628</v>
      </c>
      <c r="C3850" s="16">
        <v>27678.0</v>
      </c>
      <c r="D3850" s="17" t="s">
        <v>13629</v>
      </c>
    </row>
    <row r="3851">
      <c r="A3851" s="14">
        <v>12.0</v>
      </c>
      <c r="B3851" s="15" t="s">
        <v>13630</v>
      </c>
      <c r="C3851" s="16">
        <v>27679.0</v>
      </c>
      <c r="D3851" s="17" t="s">
        <v>13631</v>
      </c>
    </row>
    <row r="3852">
      <c r="A3852" s="14" t="s">
        <v>7676</v>
      </c>
      <c r="B3852" s="15" t="s">
        <v>13632</v>
      </c>
      <c r="C3852" s="16">
        <v>27680.0</v>
      </c>
      <c r="D3852" s="17" t="s">
        <v>13633</v>
      </c>
    </row>
    <row r="3853">
      <c r="A3853" s="14" t="s">
        <v>7676</v>
      </c>
      <c r="B3853" s="15" t="s">
        <v>13634</v>
      </c>
      <c r="C3853" s="16">
        <v>27680.0</v>
      </c>
      <c r="D3853" s="17" t="s">
        <v>13635</v>
      </c>
    </row>
    <row r="3854">
      <c r="A3854" s="14" t="s">
        <v>6374</v>
      </c>
      <c r="B3854" s="15" t="s">
        <v>13636</v>
      </c>
      <c r="C3854" s="16">
        <v>27680.0</v>
      </c>
      <c r="D3854" s="17" t="s">
        <v>13637</v>
      </c>
    </row>
    <row r="3855">
      <c r="A3855" s="14" t="s">
        <v>6353</v>
      </c>
      <c r="B3855" s="15" t="s">
        <v>13638</v>
      </c>
      <c r="C3855" s="16">
        <v>27680.0</v>
      </c>
      <c r="D3855" s="17" t="s">
        <v>13639</v>
      </c>
    </row>
    <row r="3856">
      <c r="A3856" s="14">
        <v>13.0</v>
      </c>
      <c r="B3856" s="15" t="s">
        <v>13640</v>
      </c>
      <c r="C3856" s="16">
        <v>27680.0</v>
      </c>
      <c r="D3856" s="17" t="s">
        <v>13641</v>
      </c>
    </row>
    <row r="3857">
      <c r="A3857" s="14">
        <v>13.0</v>
      </c>
      <c r="B3857" s="15" t="s">
        <v>13642</v>
      </c>
      <c r="C3857" s="16">
        <v>27680.0</v>
      </c>
      <c r="D3857" s="17" t="s">
        <v>13643</v>
      </c>
    </row>
    <row r="3858">
      <c r="A3858" s="14">
        <v>13.0</v>
      </c>
      <c r="B3858" s="15" t="s">
        <v>13644</v>
      </c>
      <c r="C3858" s="16">
        <v>27680.0</v>
      </c>
      <c r="D3858" s="17" t="s">
        <v>13645</v>
      </c>
    </row>
    <row r="3859">
      <c r="A3859" s="14">
        <v>13.0</v>
      </c>
      <c r="B3859" s="15" t="s">
        <v>13646</v>
      </c>
      <c r="C3859" s="16">
        <v>27680.0</v>
      </c>
      <c r="D3859" s="17" t="s">
        <v>13647</v>
      </c>
    </row>
    <row r="3860">
      <c r="A3860" s="14">
        <v>13.0</v>
      </c>
      <c r="B3860" s="15" t="s">
        <v>13648</v>
      </c>
      <c r="C3860" s="16">
        <v>27680.0</v>
      </c>
      <c r="D3860" s="17" t="s">
        <v>13649</v>
      </c>
    </row>
    <row r="3861">
      <c r="A3861" s="14">
        <v>13.0</v>
      </c>
      <c r="B3861" s="15" t="s">
        <v>13650</v>
      </c>
      <c r="C3861" s="16">
        <v>27680.0</v>
      </c>
      <c r="D3861" s="17" t="s">
        <v>13651</v>
      </c>
    </row>
    <row r="3862">
      <c r="A3862" s="14" t="s">
        <v>6374</v>
      </c>
      <c r="B3862" s="15" t="s">
        <v>13652</v>
      </c>
      <c r="C3862" s="16">
        <v>27681.0</v>
      </c>
      <c r="D3862" s="17" t="s">
        <v>13653</v>
      </c>
    </row>
    <row r="3863">
      <c r="A3863" s="14" t="s">
        <v>6353</v>
      </c>
      <c r="B3863" s="15" t="s">
        <v>13654</v>
      </c>
      <c r="C3863" s="16">
        <v>27681.0</v>
      </c>
      <c r="D3863" s="17" t="s">
        <v>13655</v>
      </c>
    </row>
    <row r="3864">
      <c r="A3864" s="14" t="s">
        <v>5932</v>
      </c>
      <c r="B3864" s="15" t="s">
        <v>13656</v>
      </c>
      <c r="C3864" s="16">
        <v>27681.0</v>
      </c>
      <c r="D3864" s="17" t="s">
        <v>13657</v>
      </c>
    </row>
    <row r="3865">
      <c r="A3865" s="14" t="s">
        <v>5932</v>
      </c>
      <c r="B3865" s="15" t="s">
        <v>13658</v>
      </c>
      <c r="C3865" s="16">
        <v>27681.0</v>
      </c>
      <c r="D3865" s="17" t="s">
        <v>13659</v>
      </c>
    </row>
    <row r="3866">
      <c r="A3866" s="14">
        <v>14.0</v>
      </c>
      <c r="B3866" s="15" t="s">
        <v>13660</v>
      </c>
      <c r="C3866" s="16">
        <v>27681.0</v>
      </c>
      <c r="D3866" s="17" t="s">
        <v>13661</v>
      </c>
    </row>
    <row r="3867">
      <c r="A3867" s="14">
        <v>14.0</v>
      </c>
      <c r="B3867" s="15" t="s">
        <v>13662</v>
      </c>
      <c r="C3867" s="16">
        <v>27681.0</v>
      </c>
      <c r="D3867" s="17" t="s">
        <v>13663</v>
      </c>
    </row>
    <row r="3868">
      <c r="A3868" s="14">
        <v>14.0</v>
      </c>
      <c r="B3868" s="15" t="s">
        <v>13664</v>
      </c>
      <c r="C3868" s="16">
        <v>27681.0</v>
      </c>
      <c r="D3868" s="17" t="s">
        <v>13665</v>
      </c>
    </row>
    <row r="3869">
      <c r="A3869" s="14">
        <v>14.0</v>
      </c>
      <c r="B3869" s="15" t="s">
        <v>13666</v>
      </c>
      <c r="C3869" s="16">
        <v>27681.0</v>
      </c>
      <c r="D3869" s="17" t="s">
        <v>13667</v>
      </c>
    </row>
    <row r="3870">
      <c r="A3870" s="14">
        <v>14.0</v>
      </c>
      <c r="B3870" s="15" t="s">
        <v>13668</v>
      </c>
      <c r="C3870" s="16">
        <v>27681.0</v>
      </c>
      <c r="D3870" s="17" t="s">
        <v>13669</v>
      </c>
    </row>
    <row r="3871">
      <c r="A3871" s="14">
        <v>14.0</v>
      </c>
      <c r="B3871" s="15" t="s">
        <v>13670</v>
      </c>
      <c r="C3871" s="16">
        <v>27681.0</v>
      </c>
      <c r="D3871" s="17" t="s">
        <v>13671</v>
      </c>
    </row>
    <row r="3872">
      <c r="A3872" s="14" t="s">
        <v>6353</v>
      </c>
      <c r="B3872" s="15" t="s">
        <v>13672</v>
      </c>
      <c r="C3872" s="16">
        <v>27682.0</v>
      </c>
      <c r="D3872" s="17" t="s">
        <v>13673</v>
      </c>
    </row>
    <row r="3873">
      <c r="A3873" s="14" t="s">
        <v>5932</v>
      </c>
      <c r="B3873" s="15" t="s">
        <v>13674</v>
      </c>
      <c r="C3873" s="16">
        <v>27682.0</v>
      </c>
      <c r="D3873" s="17" t="s">
        <v>13675</v>
      </c>
    </row>
    <row r="3874">
      <c r="A3874" s="14">
        <v>15.0</v>
      </c>
      <c r="B3874" s="15" t="s">
        <v>13676</v>
      </c>
      <c r="C3874" s="16">
        <v>27682.0</v>
      </c>
      <c r="D3874" s="17" t="s">
        <v>13677</v>
      </c>
    </row>
    <row r="3875">
      <c r="A3875" s="14">
        <v>15.0</v>
      </c>
      <c r="B3875" s="15" t="s">
        <v>13678</v>
      </c>
      <c r="C3875" s="16">
        <v>27682.0</v>
      </c>
      <c r="D3875" s="17" t="s">
        <v>13679</v>
      </c>
    </row>
    <row r="3876">
      <c r="A3876" s="14">
        <v>15.0</v>
      </c>
      <c r="B3876" s="15" t="s">
        <v>13680</v>
      </c>
      <c r="C3876" s="16">
        <v>27682.0</v>
      </c>
      <c r="D3876" s="17" t="s">
        <v>13681</v>
      </c>
    </row>
    <row r="3877">
      <c r="A3877" s="14">
        <v>15.0</v>
      </c>
      <c r="B3877" s="15" t="s">
        <v>13682</v>
      </c>
      <c r="C3877" s="16">
        <v>27682.0</v>
      </c>
      <c r="D3877" s="17" t="s">
        <v>13683</v>
      </c>
    </row>
    <row r="3878">
      <c r="A3878" s="14" t="s">
        <v>6353</v>
      </c>
      <c r="B3878" s="15" t="s">
        <v>13684</v>
      </c>
      <c r="C3878" s="16">
        <v>27683.0</v>
      </c>
      <c r="D3878" s="17" t="s">
        <v>13685</v>
      </c>
    </row>
    <row r="3879">
      <c r="A3879" s="14">
        <v>16.0</v>
      </c>
      <c r="B3879" s="15" t="s">
        <v>13686</v>
      </c>
      <c r="C3879" s="16">
        <v>27683.0</v>
      </c>
      <c r="D3879" s="17" t="s">
        <v>13687</v>
      </c>
    </row>
    <row r="3880">
      <c r="A3880" s="14">
        <v>16.0</v>
      </c>
      <c r="B3880" s="15" t="s">
        <v>13688</v>
      </c>
      <c r="C3880" s="16">
        <v>27683.0</v>
      </c>
      <c r="D3880" s="17" t="s">
        <v>13689</v>
      </c>
    </row>
    <row r="3881">
      <c r="A3881" s="14">
        <v>16.0</v>
      </c>
      <c r="B3881" s="15" t="s">
        <v>13690</v>
      </c>
      <c r="C3881" s="16">
        <v>27683.0</v>
      </c>
      <c r="D3881" s="17" t="s">
        <v>13691</v>
      </c>
    </row>
    <row r="3882">
      <c r="A3882" s="14" t="s">
        <v>5908</v>
      </c>
      <c r="B3882" s="15" t="s">
        <v>13692</v>
      </c>
      <c r="C3882" s="16">
        <v>27684.0</v>
      </c>
      <c r="D3882" s="17" t="s">
        <v>13693</v>
      </c>
    </row>
    <row r="3883">
      <c r="A3883" s="14">
        <v>17.0</v>
      </c>
      <c r="B3883" s="15" t="s">
        <v>13694</v>
      </c>
      <c r="C3883" s="16">
        <v>27684.0</v>
      </c>
      <c r="D3883" s="17" t="s">
        <v>13695</v>
      </c>
    </row>
    <row r="3884">
      <c r="A3884" s="14">
        <v>17.0</v>
      </c>
      <c r="B3884" s="15" t="s">
        <v>13696</v>
      </c>
      <c r="C3884" s="16">
        <v>27684.0</v>
      </c>
      <c r="D3884" s="17" t="s">
        <v>13697</v>
      </c>
    </row>
    <row r="3885">
      <c r="A3885" s="14">
        <v>17.0</v>
      </c>
      <c r="B3885" s="15" t="s">
        <v>13698</v>
      </c>
      <c r="C3885" s="16">
        <v>27684.0</v>
      </c>
      <c r="D3885" s="17" t="s">
        <v>13699</v>
      </c>
    </row>
    <row r="3886">
      <c r="A3886" s="14">
        <v>17.0</v>
      </c>
      <c r="B3886" s="15" t="s">
        <v>13700</v>
      </c>
      <c r="C3886" s="16">
        <v>27684.0</v>
      </c>
      <c r="D3886" s="17" t="s">
        <v>13701</v>
      </c>
    </row>
    <row r="3887">
      <c r="A3887" s="14" t="s">
        <v>7038</v>
      </c>
      <c r="B3887" s="15" t="s">
        <v>13702</v>
      </c>
      <c r="C3887" s="16">
        <v>27685.0</v>
      </c>
      <c r="D3887" s="17" t="s">
        <v>13703</v>
      </c>
    </row>
    <row r="3888">
      <c r="A3888" s="14" t="s">
        <v>6374</v>
      </c>
      <c r="B3888" s="15" t="s">
        <v>13704</v>
      </c>
      <c r="C3888" s="16">
        <v>27685.0</v>
      </c>
      <c r="D3888" s="17" t="s">
        <v>13705</v>
      </c>
    </row>
    <row r="3889">
      <c r="A3889" s="14">
        <v>18.0</v>
      </c>
      <c r="B3889" s="15" t="s">
        <v>13706</v>
      </c>
      <c r="C3889" s="16">
        <v>27685.0</v>
      </c>
      <c r="D3889" s="17" t="s">
        <v>13707</v>
      </c>
    </row>
    <row r="3890">
      <c r="A3890" s="14">
        <v>18.0</v>
      </c>
      <c r="B3890" s="15" t="s">
        <v>13708</v>
      </c>
      <c r="C3890" s="16">
        <v>27685.0</v>
      </c>
      <c r="D3890" s="17" t="s">
        <v>13709</v>
      </c>
    </row>
    <row r="3891">
      <c r="A3891" s="14">
        <v>18.0</v>
      </c>
      <c r="B3891" s="15" t="s">
        <v>13710</v>
      </c>
      <c r="C3891" s="16">
        <v>27685.0</v>
      </c>
      <c r="D3891" s="17" t="s">
        <v>13711</v>
      </c>
    </row>
    <row r="3892">
      <c r="A3892" s="14">
        <v>18.0</v>
      </c>
      <c r="B3892" s="15" t="s">
        <v>13712</v>
      </c>
      <c r="C3892" s="16">
        <v>27685.0</v>
      </c>
      <c r="D3892" s="17" t="s">
        <v>13713</v>
      </c>
    </row>
    <row r="3893">
      <c r="A3893" s="14" t="s">
        <v>5986</v>
      </c>
      <c r="B3893" s="15" t="s">
        <v>13714</v>
      </c>
      <c r="C3893" s="16">
        <v>27686.0</v>
      </c>
      <c r="D3893" s="17" t="s">
        <v>13715</v>
      </c>
    </row>
    <row r="3894">
      <c r="A3894" s="14">
        <v>19.0</v>
      </c>
      <c r="B3894" s="15" t="s">
        <v>13716</v>
      </c>
      <c r="C3894" s="16">
        <v>27686.0</v>
      </c>
      <c r="D3894" s="17" t="s">
        <v>13717</v>
      </c>
    </row>
    <row r="3895">
      <c r="A3895" s="14">
        <v>19.0</v>
      </c>
      <c r="B3895" s="15" t="s">
        <v>13718</v>
      </c>
      <c r="C3895" s="16">
        <v>27686.0</v>
      </c>
      <c r="D3895" s="17" t="s">
        <v>13719</v>
      </c>
    </row>
    <row r="3896">
      <c r="A3896" s="14">
        <v>19.0</v>
      </c>
      <c r="B3896" s="15" t="s">
        <v>13720</v>
      </c>
      <c r="C3896" s="16">
        <v>27686.0</v>
      </c>
      <c r="D3896" s="17" t="s">
        <v>13721</v>
      </c>
    </row>
    <row r="3897">
      <c r="A3897" s="14" t="s">
        <v>6374</v>
      </c>
      <c r="B3897" s="15" t="s">
        <v>13722</v>
      </c>
      <c r="C3897" s="16">
        <v>27687.0</v>
      </c>
      <c r="D3897" s="17" t="s">
        <v>13723</v>
      </c>
    </row>
    <row r="3898">
      <c r="A3898" s="14" t="s">
        <v>6858</v>
      </c>
      <c r="B3898" s="15" t="s">
        <v>13724</v>
      </c>
      <c r="C3898" s="16">
        <v>27687.0</v>
      </c>
      <c r="D3898" s="17" t="s">
        <v>13725</v>
      </c>
    </row>
    <row r="3899">
      <c r="A3899" s="14">
        <v>20.0</v>
      </c>
      <c r="B3899" s="15" t="s">
        <v>13726</v>
      </c>
      <c r="C3899" s="16">
        <v>27687.0</v>
      </c>
      <c r="D3899" s="17" t="s">
        <v>13727</v>
      </c>
    </row>
    <row r="3900">
      <c r="A3900" s="14">
        <v>20.0</v>
      </c>
      <c r="B3900" s="15" t="s">
        <v>13728</v>
      </c>
      <c r="C3900" s="16">
        <v>27687.0</v>
      </c>
      <c r="D3900" s="17" t="s">
        <v>13729</v>
      </c>
    </row>
    <row r="3901">
      <c r="A3901" s="14">
        <v>20.0</v>
      </c>
      <c r="B3901" s="15" t="s">
        <v>13730</v>
      </c>
      <c r="C3901" s="16">
        <v>27687.0</v>
      </c>
      <c r="D3901" s="17" t="s">
        <v>13731</v>
      </c>
    </row>
    <row r="3902">
      <c r="A3902" s="14">
        <v>20.0</v>
      </c>
      <c r="B3902" s="15" t="s">
        <v>13732</v>
      </c>
      <c r="C3902" s="16">
        <v>27687.0</v>
      </c>
      <c r="D3902" s="17" t="s">
        <v>13733</v>
      </c>
    </row>
    <row r="3903">
      <c r="A3903" s="14" t="s">
        <v>6374</v>
      </c>
      <c r="B3903" s="15" t="s">
        <v>13734</v>
      </c>
      <c r="C3903" s="16">
        <v>27688.0</v>
      </c>
      <c r="D3903" s="17" t="s">
        <v>13735</v>
      </c>
    </row>
    <row r="3904">
      <c r="A3904" s="14" t="s">
        <v>6353</v>
      </c>
      <c r="B3904" s="15" t="s">
        <v>13736</v>
      </c>
      <c r="C3904" s="16">
        <v>27688.0</v>
      </c>
      <c r="D3904" s="17" t="s">
        <v>13737</v>
      </c>
    </row>
    <row r="3905">
      <c r="A3905" s="14">
        <v>21.0</v>
      </c>
      <c r="B3905" s="15" t="s">
        <v>13738</v>
      </c>
      <c r="C3905" s="16">
        <v>27688.0</v>
      </c>
      <c r="D3905" s="17" t="s">
        <v>13739</v>
      </c>
    </row>
    <row r="3906">
      <c r="A3906" s="14">
        <v>21.0</v>
      </c>
      <c r="B3906" s="15" t="s">
        <v>13740</v>
      </c>
      <c r="C3906" s="16">
        <v>27688.0</v>
      </c>
      <c r="D3906" s="17" t="s">
        <v>13741</v>
      </c>
    </row>
    <row r="3907">
      <c r="A3907" s="14">
        <v>21.0</v>
      </c>
      <c r="B3907" s="15" t="s">
        <v>13742</v>
      </c>
      <c r="C3907" s="16">
        <v>27688.0</v>
      </c>
      <c r="D3907" s="17" t="s">
        <v>13743</v>
      </c>
    </row>
    <row r="3908">
      <c r="A3908" s="14">
        <v>21.0</v>
      </c>
      <c r="B3908" s="15" t="s">
        <v>13744</v>
      </c>
      <c r="C3908" s="16">
        <v>27688.0</v>
      </c>
      <c r="D3908" s="17" t="s">
        <v>13745</v>
      </c>
    </row>
    <row r="3909">
      <c r="A3909" s="14" t="s">
        <v>6858</v>
      </c>
      <c r="B3909" s="15" t="s">
        <v>13746</v>
      </c>
      <c r="C3909" s="16">
        <v>27689.0</v>
      </c>
      <c r="D3909" s="17" t="s">
        <v>13747</v>
      </c>
    </row>
    <row r="3910">
      <c r="A3910" s="14">
        <v>22.0</v>
      </c>
      <c r="B3910" s="15" t="s">
        <v>13748</v>
      </c>
      <c r="C3910" s="16">
        <v>27689.0</v>
      </c>
      <c r="D3910" s="17" t="s">
        <v>13749</v>
      </c>
    </row>
    <row r="3911">
      <c r="A3911" s="14">
        <v>22.0</v>
      </c>
      <c r="B3911" s="15" t="s">
        <v>13750</v>
      </c>
      <c r="C3911" s="16">
        <v>27689.0</v>
      </c>
      <c r="D3911" s="17" t="s">
        <v>13751</v>
      </c>
    </row>
    <row r="3912">
      <c r="A3912" s="14">
        <v>25.0</v>
      </c>
      <c r="B3912" s="15" t="s">
        <v>13752</v>
      </c>
      <c r="C3912" s="16">
        <v>27692.0</v>
      </c>
      <c r="D3912" s="17" t="s">
        <v>13753</v>
      </c>
    </row>
    <row r="3913">
      <c r="A3913" s="14" t="s">
        <v>7968</v>
      </c>
      <c r="B3913" s="15" t="s">
        <v>13754</v>
      </c>
      <c r="C3913" s="16">
        <v>27693.0</v>
      </c>
      <c r="D3913" s="17" t="s">
        <v>13755</v>
      </c>
    </row>
    <row r="3914">
      <c r="A3914" s="14">
        <v>26.0</v>
      </c>
      <c r="B3914" s="15" t="s">
        <v>13756</v>
      </c>
      <c r="C3914" s="16">
        <v>27693.0</v>
      </c>
      <c r="D3914" s="17" t="s">
        <v>13757</v>
      </c>
    </row>
    <row r="3915">
      <c r="A3915" s="14">
        <v>26.0</v>
      </c>
      <c r="B3915" s="15" t="s">
        <v>13758</v>
      </c>
      <c r="C3915" s="16">
        <v>27693.0</v>
      </c>
      <c r="D3915" s="17" t="s">
        <v>13759</v>
      </c>
    </row>
    <row r="3916">
      <c r="A3916" s="14">
        <v>26.0</v>
      </c>
      <c r="B3916" s="15" t="s">
        <v>13760</v>
      </c>
      <c r="C3916" s="16">
        <v>27693.0</v>
      </c>
      <c r="D3916" s="17" t="s">
        <v>13761</v>
      </c>
    </row>
    <row r="3917">
      <c r="A3917" s="14" t="s">
        <v>6074</v>
      </c>
      <c r="B3917" s="15" t="s">
        <v>13762</v>
      </c>
      <c r="C3917" s="16">
        <v>27694.0</v>
      </c>
      <c r="D3917" s="17" t="s">
        <v>13763</v>
      </c>
    </row>
    <row r="3918">
      <c r="A3918" s="14" t="s">
        <v>7968</v>
      </c>
      <c r="B3918" s="15" t="s">
        <v>13764</v>
      </c>
      <c r="C3918" s="16">
        <v>27694.0</v>
      </c>
      <c r="D3918" s="17" t="s">
        <v>13765</v>
      </c>
    </row>
    <row r="3919">
      <c r="A3919" s="14">
        <v>27.0</v>
      </c>
      <c r="B3919" s="15" t="s">
        <v>13766</v>
      </c>
      <c r="C3919" s="16">
        <v>27694.0</v>
      </c>
      <c r="D3919" s="17" t="s">
        <v>13767</v>
      </c>
    </row>
    <row r="3920">
      <c r="A3920" s="14">
        <v>27.0</v>
      </c>
      <c r="B3920" s="15" t="s">
        <v>13768</v>
      </c>
      <c r="C3920" s="16">
        <v>27694.0</v>
      </c>
      <c r="D3920" s="17" t="s">
        <v>13769</v>
      </c>
    </row>
    <row r="3921">
      <c r="A3921" s="14">
        <v>27.0</v>
      </c>
      <c r="B3921" s="15" t="s">
        <v>13770</v>
      </c>
      <c r="C3921" s="16">
        <v>27694.0</v>
      </c>
      <c r="D3921" s="17" t="s">
        <v>13771</v>
      </c>
    </row>
    <row r="3922">
      <c r="A3922" s="14">
        <v>27.0</v>
      </c>
      <c r="B3922" s="15" t="s">
        <v>13772</v>
      </c>
      <c r="C3922" s="16">
        <v>27694.0</v>
      </c>
      <c r="D3922" s="17" t="s">
        <v>13773</v>
      </c>
    </row>
    <row r="3923">
      <c r="A3923" s="14" t="s">
        <v>5929</v>
      </c>
      <c r="B3923" s="15" t="s">
        <v>13774</v>
      </c>
      <c r="C3923" s="16">
        <v>27694.0</v>
      </c>
      <c r="D3923" s="17" t="s">
        <v>13775</v>
      </c>
    </row>
    <row r="3924">
      <c r="A3924" s="14" t="s">
        <v>6074</v>
      </c>
      <c r="B3924" s="15" t="s">
        <v>13776</v>
      </c>
      <c r="C3924" s="16">
        <v>27695.0</v>
      </c>
      <c r="D3924" s="17" t="s">
        <v>13777</v>
      </c>
    </row>
    <row r="3925">
      <c r="A3925" s="14">
        <v>28.0</v>
      </c>
      <c r="B3925" s="15" t="s">
        <v>13778</v>
      </c>
      <c r="C3925" s="16">
        <v>27695.0</v>
      </c>
      <c r="D3925" s="17" t="s">
        <v>13779</v>
      </c>
    </row>
    <row r="3926">
      <c r="A3926" s="14">
        <v>28.0</v>
      </c>
      <c r="B3926" s="15" t="s">
        <v>13780</v>
      </c>
      <c r="C3926" s="16">
        <v>27695.0</v>
      </c>
      <c r="D3926" s="17" t="s">
        <v>13781</v>
      </c>
    </row>
    <row r="3927">
      <c r="A3927" s="14">
        <v>28.0</v>
      </c>
      <c r="B3927" s="15" t="s">
        <v>13782</v>
      </c>
      <c r="C3927" s="16">
        <v>27695.0</v>
      </c>
      <c r="D3927" s="17" t="s">
        <v>13783</v>
      </c>
    </row>
    <row r="3928">
      <c r="A3928" s="14" t="s">
        <v>6074</v>
      </c>
      <c r="B3928" s="15" t="s">
        <v>13784</v>
      </c>
      <c r="C3928" s="16">
        <v>27696.0</v>
      </c>
      <c r="D3928" s="17" t="s">
        <v>13785</v>
      </c>
    </row>
    <row r="3929">
      <c r="A3929" s="14" t="s">
        <v>6353</v>
      </c>
      <c r="B3929" s="15" t="s">
        <v>13786</v>
      </c>
      <c r="C3929" s="16">
        <v>27696.0</v>
      </c>
      <c r="D3929" s="17" t="s">
        <v>13787</v>
      </c>
    </row>
    <row r="3930">
      <c r="A3930" s="14" t="s">
        <v>7968</v>
      </c>
      <c r="B3930" s="15" t="s">
        <v>13788</v>
      </c>
      <c r="C3930" s="16">
        <v>27696.0</v>
      </c>
      <c r="D3930" s="17" t="s">
        <v>13789</v>
      </c>
    </row>
    <row r="3931">
      <c r="A3931" s="14">
        <v>29.0</v>
      </c>
      <c r="B3931" s="15" t="s">
        <v>13790</v>
      </c>
      <c r="C3931" s="16">
        <v>27696.0</v>
      </c>
      <c r="D3931" s="17" t="s">
        <v>13791</v>
      </c>
    </row>
    <row r="3932">
      <c r="A3932" s="14">
        <v>29.0</v>
      </c>
      <c r="B3932" s="15" t="s">
        <v>13792</v>
      </c>
      <c r="C3932" s="16">
        <v>27696.0</v>
      </c>
      <c r="D3932" s="17" t="s">
        <v>13793</v>
      </c>
    </row>
    <row r="3933">
      <c r="A3933" s="14">
        <v>29.0</v>
      </c>
      <c r="B3933" s="15" t="s">
        <v>13794</v>
      </c>
      <c r="C3933" s="16">
        <v>27696.0</v>
      </c>
      <c r="D3933" s="17" t="s">
        <v>13795</v>
      </c>
    </row>
    <row r="3934">
      <c r="A3934" s="14">
        <v>29.0</v>
      </c>
      <c r="B3934" s="15" t="s">
        <v>13796</v>
      </c>
      <c r="C3934" s="16">
        <v>27696.0</v>
      </c>
      <c r="D3934" s="17" t="s">
        <v>13797</v>
      </c>
    </row>
    <row r="3935">
      <c r="A3935" s="14">
        <v>29.0</v>
      </c>
      <c r="B3935" s="15" t="s">
        <v>13798</v>
      </c>
      <c r="C3935" s="16">
        <v>27696.0</v>
      </c>
      <c r="D3935" s="17" t="s">
        <v>13799</v>
      </c>
    </row>
    <row r="3936">
      <c r="A3936" s="14">
        <v>29.0</v>
      </c>
      <c r="B3936" s="15" t="s">
        <v>13800</v>
      </c>
      <c r="C3936" s="16">
        <v>27696.0</v>
      </c>
      <c r="D3936" s="17" t="s">
        <v>13801</v>
      </c>
    </row>
    <row r="3937">
      <c r="A3937" s="14">
        <v>29.0</v>
      </c>
      <c r="B3937" s="15" t="s">
        <v>13802</v>
      </c>
      <c r="C3937" s="16">
        <v>27696.0</v>
      </c>
      <c r="D3937" s="17" t="s">
        <v>13803</v>
      </c>
    </row>
    <row r="3938">
      <c r="A3938" s="14">
        <v>29.0</v>
      </c>
      <c r="B3938" s="15" t="s">
        <v>13804</v>
      </c>
      <c r="C3938" s="16">
        <v>27696.0</v>
      </c>
      <c r="D3938" s="17" t="s">
        <v>13805</v>
      </c>
    </row>
    <row r="3939">
      <c r="A3939" s="14" t="s">
        <v>7968</v>
      </c>
      <c r="B3939" s="15" t="s">
        <v>13806</v>
      </c>
      <c r="C3939" s="16">
        <v>27697.0</v>
      </c>
      <c r="D3939" s="17" t="s">
        <v>13807</v>
      </c>
    </row>
    <row r="3940">
      <c r="A3940" s="14">
        <v>30.0</v>
      </c>
      <c r="B3940" s="15" t="s">
        <v>13808</v>
      </c>
      <c r="C3940" s="16">
        <v>27697.0</v>
      </c>
      <c r="D3940" s="17" t="s">
        <v>13809</v>
      </c>
    </row>
    <row r="3941">
      <c r="A3941" s="14">
        <v>30.0</v>
      </c>
      <c r="B3941" s="15" t="s">
        <v>13810</v>
      </c>
      <c r="C3941" s="16">
        <v>27697.0</v>
      </c>
      <c r="D3941" s="17" t="s">
        <v>13811</v>
      </c>
    </row>
    <row r="3942">
      <c r="A3942" s="14" t="s">
        <v>6074</v>
      </c>
      <c r="B3942" s="15" t="s">
        <v>13812</v>
      </c>
      <c r="C3942" s="16">
        <v>27698.0</v>
      </c>
      <c r="D3942" s="17" t="s">
        <v>13813</v>
      </c>
    </row>
    <row r="3943">
      <c r="A3943" s="14">
        <v>31.0</v>
      </c>
      <c r="B3943" s="15" t="s">
        <v>13814</v>
      </c>
      <c r="C3943" s="16">
        <v>27698.0</v>
      </c>
      <c r="D3943" s="17" t="s">
        <v>13815</v>
      </c>
    </row>
    <row r="3944">
      <c r="A3944" s="14">
        <v>31.0</v>
      </c>
      <c r="B3944" s="15" t="s">
        <v>13816</v>
      </c>
      <c r="C3944" s="16">
        <v>27698.0</v>
      </c>
      <c r="D3944" s="17" t="s">
        <v>13817</v>
      </c>
    </row>
    <row r="3945">
      <c r="A3945" s="14" t="s">
        <v>6074</v>
      </c>
      <c r="B3945" s="15" t="s">
        <v>13818</v>
      </c>
      <c r="C3945" s="16">
        <v>27699.0</v>
      </c>
      <c r="D3945" s="17" t="s">
        <v>13819</v>
      </c>
    </row>
    <row r="3946">
      <c r="A3946" s="14" t="s">
        <v>6353</v>
      </c>
      <c r="B3946" s="15" t="s">
        <v>13820</v>
      </c>
      <c r="C3946" s="16">
        <v>27699.0</v>
      </c>
      <c r="D3946" s="17" t="s">
        <v>13821</v>
      </c>
    </row>
    <row r="3947">
      <c r="A3947" s="14" t="s">
        <v>7968</v>
      </c>
      <c r="B3947" s="15" t="s">
        <v>13822</v>
      </c>
      <c r="C3947" s="16">
        <v>27699.0</v>
      </c>
      <c r="D3947" s="17" t="s">
        <v>13823</v>
      </c>
    </row>
    <row r="3948">
      <c r="A3948" s="14">
        <v>1.0</v>
      </c>
      <c r="B3948" s="15" t="s">
        <v>13824</v>
      </c>
      <c r="C3948" s="16">
        <v>27699.0</v>
      </c>
      <c r="D3948" s="17" t="s">
        <v>13825</v>
      </c>
    </row>
    <row r="3949">
      <c r="A3949" s="14">
        <v>1.0</v>
      </c>
      <c r="B3949" s="15" t="s">
        <v>13826</v>
      </c>
      <c r="C3949" s="16">
        <v>27699.0</v>
      </c>
      <c r="D3949" s="17" t="s">
        <v>13827</v>
      </c>
    </row>
    <row r="3950">
      <c r="A3950" s="14">
        <v>1.0</v>
      </c>
      <c r="B3950" s="15" t="s">
        <v>13828</v>
      </c>
      <c r="C3950" s="16">
        <v>27699.0</v>
      </c>
      <c r="D3950" s="17" t="s">
        <v>13829</v>
      </c>
    </row>
    <row r="3951">
      <c r="A3951" s="14">
        <v>1.0</v>
      </c>
      <c r="B3951" s="15" t="s">
        <v>13830</v>
      </c>
      <c r="C3951" s="16">
        <v>27699.0</v>
      </c>
      <c r="D3951" s="17" t="s">
        <v>13831</v>
      </c>
    </row>
    <row r="3952">
      <c r="A3952" s="14">
        <v>1.0</v>
      </c>
      <c r="B3952" s="15" t="s">
        <v>13832</v>
      </c>
      <c r="C3952" s="16">
        <v>27699.0</v>
      </c>
      <c r="D3952" s="17" t="s">
        <v>13833</v>
      </c>
    </row>
    <row r="3953">
      <c r="A3953" s="14">
        <v>1.0</v>
      </c>
      <c r="B3953" s="15" t="s">
        <v>13834</v>
      </c>
      <c r="C3953" s="16">
        <v>27699.0</v>
      </c>
      <c r="D3953" s="17" t="s">
        <v>13835</v>
      </c>
    </row>
    <row r="3954">
      <c r="A3954" s="14">
        <v>2.0</v>
      </c>
      <c r="B3954" s="15" t="s">
        <v>13836</v>
      </c>
      <c r="C3954" s="16">
        <v>27700.0</v>
      </c>
      <c r="D3954" s="17" t="s">
        <v>13837</v>
      </c>
    </row>
    <row r="3955">
      <c r="A3955" s="14">
        <v>2.0</v>
      </c>
      <c r="B3955" s="15" t="s">
        <v>13838</v>
      </c>
      <c r="C3955" s="16">
        <v>27700.0</v>
      </c>
      <c r="D3955" s="17" t="s">
        <v>13839</v>
      </c>
    </row>
    <row r="3956">
      <c r="A3956" s="14" t="s">
        <v>6099</v>
      </c>
      <c r="B3956" s="15" t="s">
        <v>13840</v>
      </c>
      <c r="C3956" s="16">
        <v>27701.0</v>
      </c>
      <c r="D3956" s="17" t="s">
        <v>13841</v>
      </c>
    </row>
    <row r="3957">
      <c r="A3957" s="14" t="s">
        <v>6374</v>
      </c>
      <c r="B3957" s="15" t="s">
        <v>13842</v>
      </c>
      <c r="C3957" s="16">
        <v>27701.0</v>
      </c>
      <c r="D3957" s="17" t="s">
        <v>13843</v>
      </c>
    </row>
    <row r="3958">
      <c r="A3958" s="14">
        <v>3.0</v>
      </c>
      <c r="B3958" s="15" t="s">
        <v>13844</v>
      </c>
      <c r="C3958" s="16">
        <v>27701.0</v>
      </c>
      <c r="D3958" s="17" t="s">
        <v>13845</v>
      </c>
    </row>
    <row r="3959">
      <c r="A3959" s="14">
        <v>3.0</v>
      </c>
      <c r="B3959" s="15" t="s">
        <v>13846</v>
      </c>
      <c r="C3959" s="16">
        <v>27701.0</v>
      </c>
      <c r="D3959" s="17" t="s">
        <v>13847</v>
      </c>
    </row>
    <row r="3960">
      <c r="A3960" s="14">
        <v>3.0</v>
      </c>
      <c r="B3960" s="15" t="s">
        <v>13848</v>
      </c>
      <c r="C3960" s="16">
        <v>27701.0</v>
      </c>
      <c r="D3960" s="17" t="s">
        <v>13849</v>
      </c>
    </row>
    <row r="3961">
      <c r="A3961" s="14">
        <v>3.0</v>
      </c>
      <c r="B3961" s="15" t="s">
        <v>13850</v>
      </c>
      <c r="C3961" s="16">
        <v>27701.0</v>
      </c>
      <c r="D3961" s="17" t="s">
        <v>13851</v>
      </c>
    </row>
    <row r="3962">
      <c r="A3962" s="14">
        <v>4.0</v>
      </c>
      <c r="B3962" s="15" t="s">
        <v>13852</v>
      </c>
      <c r="C3962" s="16">
        <v>27702.0</v>
      </c>
      <c r="D3962" s="17" t="s">
        <v>13853</v>
      </c>
    </row>
    <row r="3963">
      <c r="A3963" s="14" t="s">
        <v>6374</v>
      </c>
      <c r="B3963" s="15" t="s">
        <v>13854</v>
      </c>
      <c r="C3963" s="16">
        <v>27705.0</v>
      </c>
      <c r="D3963" s="17" t="s">
        <v>13855</v>
      </c>
    </row>
    <row r="3964">
      <c r="A3964" s="14">
        <v>7.0</v>
      </c>
      <c r="B3964" s="15" t="s">
        <v>13856</v>
      </c>
      <c r="C3964" s="16">
        <v>27705.0</v>
      </c>
      <c r="D3964" s="17" t="s">
        <v>13857</v>
      </c>
    </row>
    <row r="3965">
      <c r="A3965" s="14">
        <v>7.0</v>
      </c>
      <c r="B3965" s="15" t="s">
        <v>13858</v>
      </c>
      <c r="C3965" s="16">
        <v>27705.0</v>
      </c>
      <c r="D3965" s="17" t="s">
        <v>13859</v>
      </c>
    </row>
    <row r="3966">
      <c r="A3966" s="14" t="s">
        <v>6374</v>
      </c>
      <c r="B3966" s="15" t="s">
        <v>13860</v>
      </c>
      <c r="C3966" s="16">
        <v>27706.0</v>
      </c>
      <c r="D3966" s="17" t="s">
        <v>13861</v>
      </c>
    </row>
    <row r="3967">
      <c r="A3967" s="14">
        <v>8.0</v>
      </c>
      <c r="B3967" s="15" t="s">
        <v>13862</v>
      </c>
      <c r="C3967" s="16">
        <v>27706.0</v>
      </c>
      <c r="D3967" s="17" t="s">
        <v>13863</v>
      </c>
    </row>
    <row r="3968">
      <c r="A3968" s="14">
        <v>8.0</v>
      </c>
      <c r="B3968" s="15" t="s">
        <v>13864</v>
      </c>
      <c r="C3968" s="16">
        <v>27706.0</v>
      </c>
      <c r="D3968" s="17" t="s">
        <v>13865</v>
      </c>
    </row>
    <row r="3969">
      <c r="A3969" s="14" t="s">
        <v>6099</v>
      </c>
      <c r="B3969" s="15" t="s">
        <v>13866</v>
      </c>
      <c r="C3969" s="16">
        <v>27707.0</v>
      </c>
      <c r="D3969" s="17" t="s">
        <v>13867</v>
      </c>
    </row>
    <row r="3970">
      <c r="A3970" s="14">
        <v>9.0</v>
      </c>
      <c r="B3970" s="15" t="s">
        <v>13868</v>
      </c>
      <c r="C3970" s="16">
        <v>27707.0</v>
      </c>
      <c r="D3970" s="17" t="s">
        <v>13869</v>
      </c>
    </row>
    <row r="3971">
      <c r="A3971" s="14">
        <v>9.0</v>
      </c>
      <c r="B3971" s="15" t="s">
        <v>13870</v>
      </c>
      <c r="C3971" s="16">
        <v>27707.0</v>
      </c>
      <c r="D3971" s="17" t="s">
        <v>13871</v>
      </c>
    </row>
    <row r="3972">
      <c r="A3972" s="14" t="s">
        <v>6374</v>
      </c>
      <c r="B3972" s="15" t="s">
        <v>13872</v>
      </c>
      <c r="C3972" s="16">
        <v>27708.0</v>
      </c>
      <c r="D3972" s="17" t="s">
        <v>13873</v>
      </c>
    </row>
    <row r="3973">
      <c r="A3973" s="14">
        <v>10.0</v>
      </c>
      <c r="B3973" s="15" t="s">
        <v>13874</v>
      </c>
      <c r="C3973" s="16">
        <v>27708.0</v>
      </c>
      <c r="D3973" s="17" t="s">
        <v>13875</v>
      </c>
    </row>
    <row r="3974">
      <c r="A3974" s="14">
        <v>10.0</v>
      </c>
      <c r="B3974" s="15" t="s">
        <v>13876</v>
      </c>
      <c r="C3974" s="16">
        <v>27708.0</v>
      </c>
      <c r="D3974" s="17" t="s">
        <v>13877</v>
      </c>
    </row>
    <row r="3975">
      <c r="A3975" s="14" t="s">
        <v>6374</v>
      </c>
      <c r="B3975" s="15" t="s">
        <v>13878</v>
      </c>
      <c r="C3975" s="16">
        <v>27709.0</v>
      </c>
      <c r="D3975" s="17" t="s">
        <v>13879</v>
      </c>
    </row>
    <row r="3976">
      <c r="A3976" s="14">
        <v>11.0</v>
      </c>
      <c r="B3976" s="15" t="s">
        <v>13880</v>
      </c>
      <c r="C3976" s="16">
        <v>27709.0</v>
      </c>
      <c r="D3976" s="17" t="s">
        <v>13881</v>
      </c>
    </row>
    <row r="3977">
      <c r="A3977" s="14">
        <v>11.0</v>
      </c>
      <c r="B3977" s="15" t="s">
        <v>13882</v>
      </c>
      <c r="C3977" s="16">
        <v>27709.0</v>
      </c>
      <c r="D3977" s="17" t="s">
        <v>13883</v>
      </c>
    </row>
    <row r="3978">
      <c r="A3978" s="14" t="s">
        <v>6099</v>
      </c>
      <c r="B3978" s="15" t="s">
        <v>13884</v>
      </c>
      <c r="C3978" s="16">
        <v>27710.0</v>
      </c>
      <c r="D3978" s="17" t="s">
        <v>13885</v>
      </c>
    </row>
    <row r="3979">
      <c r="A3979" s="14" t="s">
        <v>6374</v>
      </c>
      <c r="B3979" s="15" t="s">
        <v>13886</v>
      </c>
      <c r="C3979" s="16">
        <v>27710.0</v>
      </c>
      <c r="D3979" s="17" t="s">
        <v>13887</v>
      </c>
    </row>
    <row r="3980">
      <c r="A3980" s="14">
        <v>12.0</v>
      </c>
      <c r="B3980" s="15" t="s">
        <v>13888</v>
      </c>
      <c r="C3980" s="16">
        <v>27710.0</v>
      </c>
      <c r="D3980" s="17" t="s">
        <v>13889</v>
      </c>
    </row>
    <row r="3981">
      <c r="A3981" s="14">
        <v>12.0</v>
      </c>
      <c r="B3981" s="15" t="s">
        <v>13890</v>
      </c>
      <c r="C3981" s="16">
        <v>27710.0</v>
      </c>
      <c r="D3981" s="17" t="s">
        <v>13891</v>
      </c>
    </row>
    <row r="3982">
      <c r="A3982" s="14">
        <v>12.0</v>
      </c>
      <c r="B3982" s="15" t="s">
        <v>13892</v>
      </c>
      <c r="C3982" s="16">
        <v>27710.0</v>
      </c>
      <c r="D3982" s="17" t="s">
        <v>13893</v>
      </c>
    </row>
    <row r="3983">
      <c r="A3983" s="14">
        <v>12.0</v>
      </c>
      <c r="B3983" s="15" t="s">
        <v>13894</v>
      </c>
      <c r="C3983" s="16">
        <v>27710.0</v>
      </c>
      <c r="D3983" s="17" t="s">
        <v>13895</v>
      </c>
    </row>
    <row r="3984">
      <c r="A3984" s="14" t="s">
        <v>6374</v>
      </c>
      <c r="B3984" s="15" t="s">
        <v>13896</v>
      </c>
      <c r="C3984" s="16">
        <v>27711.0</v>
      </c>
      <c r="D3984" s="17" t="s">
        <v>13897</v>
      </c>
    </row>
    <row r="3985">
      <c r="A3985" s="14">
        <v>13.0</v>
      </c>
      <c r="B3985" s="15" t="s">
        <v>13898</v>
      </c>
      <c r="C3985" s="16">
        <v>27711.0</v>
      </c>
      <c r="D3985" s="17" t="s">
        <v>13899</v>
      </c>
    </row>
    <row r="3986">
      <c r="A3986" s="14">
        <v>13.0</v>
      </c>
      <c r="B3986" s="15" t="s">
        <v>13900</v>
      </c>
      <c r="C3986" s="16">
        <v>27711.0</v>
      </c>
      <c r="D3986" s="17" t="s">
        <v>13901</v>
      </c>
    </row>
    <row r="3987">
      <c r="A3987" s="14" t="s">
        <v>6374</v>
      </c>
      <c r="B3987" s="15" t="s">
        <v>13902</v>
      </c>
      <c r="C3987" s="16">
        <v>27712.0</v>
      </c>
      <c r="D3987" s="17" t="s">
        <v>13903</v>
      </c>
    </row>
    <row r="3988">
      <c r="A3988" s="14">
        <v>14.0</v>
      </c>
      <c r="B3988" s="15" t="s">
        <v>13904</v>
      </c>
      <c r="C3988" s="16">
        <v>27712.0</v>
      </c>
      <c r="D3988" s="17" t="s">
        <v>13905</v>
      </c>
    </row>
    <row r="3989">
      <c r="A3989" s="14">
        <v>14.0</v>
      </c>
      <c r="B3989" s="15" t="s">
        <v>13906</v>
      </c>
      <c r="C3989" s="16">
        <v>27712.0</v>
      </c>
      <c r="D3989" s="17" t="s">
        <v>13907</v>
      </c>
    </row>
    <row r="3990">
      <c r="A3990" s="14">
        <v>14.0</v>
      </c>
      <c r="B3990" s="15" t="s">
        <v>13908</v>
      </c>
      <c r="C3990" s="16">
        <v>27712.0</v>
      </c>
      <c r="D3990" s="17" t="s">
        <v>13909</v>
      </c>
    </row>
    <row r="3991">
      <c r="A3991" s="14">
        <v>15.0</v>
      </c>
      <c r="B3991" s="15" t="s">
        <v>13910</v>
      </c>
      <c r="C3991" s="16">
        <v>27713.0</v>
      </c>
      <c r="D3991" s="17" t="s">
        <v>13911</v>
      </c>
    </row>
    <row r="3992">
      <c r="A3992" s="14">
        <v>15.0</v>
      </c>
      <c r="B3992" s="15" t="s">
        <v>13912</v>
      </c>
      <c r="C3992" s="16">
        <v>27713.0</v>
      </c>
      <c r="D3992" s="17" t="s">
        <v>13913</v>
      </c>
    </row>
    <row r="3993">
      <c r="A3993" s="14" t="s">
        <v>6374</v>
      </c>
      <c r="B3993" s="15" t="s">
        <v>13914</v>
      </c>
      <c r="C3993" s="16">
        <v>27714.0</v>
      </c>
      <c r="D3993" s="17" t="s">
        <v>13915</v>
      </c>
    </row>
    <row r="3994">
      <c r="A3994" s="14" t="s">
        <v>6057</v>
      </c>
      <c r="B3994" s="15" t="s">
        <v>13916</v>
      </c>
      <c r="C3994" s="16">
        <v>27714.0</v>
      </c>
      <c r="D3994" s="17" t="s">
        <v>13917</v>
      </c>
    </row>
    <row r="3995">
      <c r="A3995" s="14">
        <v>16.0</v>
      </c>
      <c r="B3995" s="15" t="s">
        <v>13918</v>
      </c>
      <c r="C3995" s="16">
        <v>27714.0</v>
      </c>
      <c r="D3995" s="17" t="s">
        <v>13919</v>
      </c>
    </row>
    <row r="3996">
      <c r="A3996" s="14">
        <v>16.0</v>
      </c>
      <c r="B3996" s="15" t="s">
        <v>13920</v>
      </c>
      <c r="C3996" s="16">
        <v>27714.0</v>
      </c>
      <c r="D3996" s="17" t="s">
        <v>13921</v>
      </c>
    </row>
    <row r="3997">
      <c r="A3997" s="14">
        <v>16.0</v>
      </c>
      <c r="B3997" s="15" t="s">
        <v>13922</v>
      </c>
      <c r="C3997" s="16">
        <v>27714.0</v>
      </c>
      <c r="D3997" s="17" t="s">
        <v>13923</v>
      </c>
    </row>
    <row r="3998">
      <c r="A3998" s="14">
        <v>16.0</v>
      </c>
      <c r="B3998" s="15" t="s">
        <v>13924</v>
      </c>
      <c r="C3998" s="16">
        <v>27714.0</v>
      </c>
      <c r="D3998" s="17" t="s">
        <v>13925</v>
      </c>
    </row>
    <row r="3999">
      <c r="A3999" s="14" t="s">
        <v>6099</v>
      </c>
      <c r="B3999" s="15" t="s">
        <v>13926</v>
      </c>
      <c r="C3999" s="16">
        <v>27715.0</v>
      </c>
      <c r="D3999" s="17" t="s">
        <v>13927</v>
      </c>
    </row>
    <row r="4000">
      <c r="A4000" s="14" t="s">
        <v>6374</v>
      </c>
      <c r="B4000" s="15" t="s">
        <v>13928</v>
      </c>
      <c r="C4000" s="16">
        <v>27715.0</v>
      </c>
      <c r="D4000" s="17" t="s">
        <v>13929</v>
      </c>
    </row>
    <row r="4001">
      <c r="A4001" s="14">
        <v>17.0</v>
      </c>
      <c r="B4001" s="15" t="s">
        <v>13930</v>
      </c>
      <c r="C4001" s="16">
        <v>27715.0</v>
      </c>
      <c r="D4001" s="17" t="s">
        <v>13931</v>
      </c>
    </row>
    <row r="4002">
      <c r="A4002" s="14">
        <v>17.0</v>
      </c>
      <c r="B4002" s="15" t="s">
        <v>13932</v>
      </c>
      <c r="C4002" s="16">
        <v>27715.0</v>
      </c>
      <c r="D4002" s="17" t="s">
        <v>13933</v>
      </c>
    </row>
    <row r="4003">
      <c r="A4003" s="14">
        <v>17.0</v>
      </c>
      <c r="B4003" s="15" t="s">
        <v>13934</v>
      </c>
      <c r="C4003" s="16">
        <v>27715.0</v>
      </c>
      <c r="D4003" s="17" t="s">
        <v>13935</v>
      </c>
    </row>
    <row r="4004">
      <c r="A4004" s="14">
        <v>17.0</v>
      </c>
      <c r="B4004" s="15" t="s">
        <v>13936</v>
      </c>
      <c r="C4004" s="16">
        <v>27715.0</v>
      </c>
      <c r="D4004" s="17" t="s">
        <v>13937</v>
      </c>
    </row>
    <row r="4005">
      <c r="A4005" s="14" t="s">
        <v>6374</v>
      </c>
      <c r="B4005" s="15" t="s">
        <v>13938</v>
      </c>
      <c r="C4005" s="16">
        <v>27716.0</v>
      </c>
      <c r="D4005" s="17" t="s">
        <v>13939</v>
      </c>
    </row>
    <row r="4006">
      <c r="A4006" s="14" t="s">
        <v>6057</v>
      </c>
      <c r="B4006" s="15" t="s">
        <v>13940</v>
      </c>
      <c r="C4006" s="16">
        <v>27716.0</v>
      </c>
      <c r="D4006" s="17" t="s">
        <v>13941</v>
      </c>
    </row>
    <row r="4007">
      <c r="A4007" s="14">
        <v>18.0</v>
      </c>
      <c r="B4007" s="15" t="s">
        <v>13942</v>
      </c>
      <c r="C4007" s="16">
        <v>27716.0</v>
      </c>
      <c r="D4007" s="17" t="s">
        <v>13943</v>
      </c>
    </row>
    <row r="4008">
      <c r="A4008" s="14">
        <v>18.0</v>
      </c>
      <c r="B4008" s="15" t="s">
        <v>13944</v>
      </c>
      <c r="C4008" s="16">
        <v>27716.0</v>
      </c>
      <c r="D4008" s="17" t="s">
        <v>13945</v>
      </c>
    </row>
    <row r="4009">
      <c r="A4009" s="14">
        <v>18.0</v>
      </c>
      <c r="B4009" s="15" t="s">
        <v>13946</v>
      </c>
      <c r="C4009" s="16">
        <v>27716.0</v>
      </c>
      <c r="D4009" s="17" t="s">
        <v>13947</v>
      </c>
    </row>
    <row r="4010">
      <c r="A4010" s="14">
        <v>18.0</v>
      </c>
      <c r="B4010" s="15" t="s">
        <v>13948</v>
      </c>
      <c r="C4010" s="16">
        <v>27716.0</v>
      </c>
      <c r="D4010" s="17" t="s">
        <v>13949</v>
      </c>
    </row>
    <row r="4011">
      <c r="A4011" s="14" t="s">
        <v>6374</v>
      </c>
      <c r="B4011" s="15" t="s">
        <v>13950</v>
      </c>
      <c r="C4011" s="16">
        <v>27717.0</v>
      </c>
      <c r="D4011" s="17" t="s">
        <v>13951</v>
      </c>
    </row>
    <row r="4012">
      <c r="A4012" s="14">
        <v>19.0</v>
      </c>
      <c r="B4012" s="15" t="s">
        <v>13952</v>
      </c>
      <c r="C4012" s="16">
        <v>27717.0</v>
      </c>
      <c r="D4012" s="17" t="s">
        <v>13953</v>
      </c>
    </row>
    <row r="4013">
      <c r="A4013" s="14">
        <v>19.0</v>
      </c>
      <c r="B4013" s="15" t="s">
        <v>13954</v>
      </c>
      <c r="C4013" s="16">
        <v>27717.0</v>
      </c>
      <c r="D4013" s="17" t="s">
        <v>13955</v>
      </c>
    </row>
    <row r="4014">
      <c r="A4014" s="14" t="s">
        <v>6374</v>
      </c>
      <c r="B4014" s="15" t="s">
        <v>13956</v>
      </c>
      <c r="C4014" s="16">
        <v>27718.0</v>
      </c>
      <c r="D4014" s="17" t="s">
        <v>13957</v>
      </c>
    </row>
    <row r="4015">
      <c r="A4015" s="14">
        <v>20.0</v>
      </c>
      <c r="B4015" s="15" t="s">
        <v>13958</v>
      </c>
      <c r="C4015" s="16">
        <v>27718.0</v>
      </c>
      <c r="D4015" s="17" t="s">
        <v>13959</v>
      </c>
    </row>
    <row r="4016">
      <c r="A4016" s="14">
        <v>20.0</v>
      </c>
      <c r="B4016" s="15" t="s">
        <v>13960</v>
      </c>
      <c r="C4016" s="16">
        <v>27718.0</v>
      </c>
      <c r="D4016" s="17" t="s">
        <v>13961</v>
      </c>
    </row>
    <row r="4017">
      <c r="A4017" s="14" t="s">
        <v>6374</v>
      </c>
      <c r="B4017" s="15" t="s">
        <v>13962</v>
      </c>
      <c r="C4017" s="16">
        <v>27719.0</v>
      </c>
      <c r="D4017" s="17" t="s">
        <v>13963</v>
      </c>
    </row>
    <row r="4018">
      <c r="A4018" s="14">
        <v>21.0</v>
      </c>
      <c r="B4018" s="15" t="s">
        <v>13964</v>
      </c>
      <c r="C4018" s="16">
        <v>27719.0</v>
      </c>
      <c r="D4018" s="17" t="s">
        <v>13965</v>
      </c>
    </row>
    <row r="4019">
      <c r="A4019" s="14">
        <v>21.0</v>
      </c>
      <c r="B4019" s="15" t="s">
        <v>13966</v>
      </c>
      <c r="C4019" s="16">
        <v>27719.0</v>
      </c>
      <c r="D4019" s="17" t="s">
        <v>13967</v>
      </c>
    </row>
    <row r="4020">
      <c r="A4020" s="14" t="s">
        <v>6099</v>
      </c>
      <c r="B4020" s="15" t="s">
        <v>13968</v>
      </c>
      <c r="C4020" s="16">
        <v>27722.0</v>
      </c>
      <c r="D4020" s="17" t="s">
        <v>13969</v>
      </c>
    </row>
    <row r="4021">
      <c r="A4021" s="14" t="s">
        <v>6374</v>
      </c>
      <c r="B4021" s="15" t="s">
        <v>13970</v>
      </c>
      <c r="C4021" s="16">
        <v>27722.0</v>
      </c>
      <c r="D4021" s="17" t="s">
        <v>13971</v>
      </c>
    </row>
    <row r="4022">
      <c r="A4022" s="14">
        <v>24.0</v>
      </c>
      <c r="B4022" s="15" t="s">
        <v>13972</v>
      </c>
      <c r="C4022" s="16">
        <v>27722.0</v>
      </c>
      <c r="D4022" s="17" t="s">
        <v>13973</v>
      </c>
    </row>
    <row r="4023">
      <c r="A4023" s="14">
        <v>24.0</v>
      </c>
      <c r="B4023" s="15" t="s">
        <v>13974</v>
      </c>
      <c r="C4023" s="16">
        <v>27722.0</v>
      </c>
      <c r="D4023" s="17" t="s">
        <v>13975</v>
      </c>
    </row>
    <row r="4024">
      <c r="A4024" s="14">
        <v>24.0</v>
      </c>
      <c r="B4024" s="15" t="s">
        <v>13976</v>
      </c>
      <c r="C4024" s="16">
        <v>27722.0</v>
      </c>
      <c r="D4024" s="17" t="s">
        <v>13977</v>
      </c>
    </row>
    <row r="4025">
      <c r="A4025" s="14">
        <v>24.0</v>
      </c>
      <c r="B4025" s="15" t="s">
        <v>13978</v>
      </c>
      <c r="C4025" s="16">
        <v>27722.0</v>
      </c>
      <c r="D4025" s="17" t="s">
        <v>13979</v>
      </c>
    </row>
    <row r="4026">
      <c r="A4026" s="14">
        <v>25.0</v>
      </c>
      <c r="B4026" s="15" t="s">
        <v>13980</v>
      </c>
      <c r="C4026" s="16">
        <v>27723.0</v>
      </c>
      <c r="D4026" s="17" t="s">
        <v>13981</v>
      </c>
    </row>
    <row r="4027">
      <c r="A4027" s="14" t="s">
        <v>6374</v>
      </c>
      <c r="B4027" s="15" t="s">
        <v>13982</v>
      </c>
      <c r="C4027" s="16">
        <v>27724.0</v>
      </c>
      <c r="D4027" s="17" t="s">
        <v>13983</v>
      </c>
    </row>
    <row r="4028">
      <c r="A4028" s="14">
        <v>26.0</v>
      </c>
      <c r="B4028" s="15" t="s">
        <v>13984</v>
      </c>
      <c r="C4028" s="16">
        <v>27724.0</v>
      </c>
      <c r="D4028" s="17" t="s">
        <v>13985</v>
      </c>
    </row>
    <row r="4029">
      <c r="A4029" s="14">
        <v>26.0</v>
      </c>
      <c r="B4029" s="15" t="s">
        <v>13986</v>
      </c>
      <c r="C4029" s="16">
        <v>27724.0</v>
      </c>
      <c r="D4029" s="17" t="s">
        <v>13987</v>
      </c>
    </row>
    <row r="4030">
      <c r="A4030" s="14" t="s">
        <v>6858</v>
      </c>
      <c r="B4030" s="15" t="s">
        <v>13988</v>
      </c>
      <c r="C4030" s="16">
        <v>27726.0</v>
      </c>
      <c r="D4030" s="17" t="s">
        <v>13989</v>
      </c>
    </row>
    <row r="4031">
      <c r="A4031" s="14">
        <v>28.0</v>
      </c>
      <c r="B4031" s="15" t="s">
        <v>13990</v>
      </c>
      <c r="C4031" s="16">
        <v>27726.0</v>
      </c>
      <c r="D4031" s="17" t="s">
        <v>13991</v>
      </c>
    </row>
    <row r="4032">
      <c r="A4032" s="14">
        <v>28.0</v>
      </c>
      <c r="B4032" s="15" t="s">
        <v>13992</v>
      </c>
      <c r="C4032" s="16">
        <v>27726.0</v>
      </c>
      <c r="D4032" s="17" t="s">
        <v>13993</v>
      </c>
    </row>
    <row r="4033">
      <c r="A4033" s="14" t="s">
        <v>6374</v>
      </c>
      <c r="B4033" s="15" t="s">
        <v>13994</v>
      </c>
      <c r="C4033" s="16">
        <v>27727.0</v>
      </c>
      <c r="D4033" s="17" t="s">
        <v>13995</v>
      </c>
    </row>
    <row r="4034">
      <c r="A4034" s="14">
        <v>29.0</v>
      </c>
      <c r="B4034" s="15" t="s">
        <v>13996</v>
      </c>
      <c r="C4034" s="16">
        <v>27727.0</v>
      </c>
      <c r="D4034" s="17" t="s">
        <v>13997</v>
      </c>
    </row>
    <row r="4035">
      <c r="A4035" s="14">
        <v>29.0</v>
      </c>
      <c r="B4035" s="15" t="s">
        <v>13998</v>
      </c>
      <c r="C4035" s="16">
        <v>27727.0</v>
      </c>
      <c r="D4035" s="17" t="s">
        <v>13999</v>
      </c>
    </row>
    <row r="4036">
      <c r="A4036" s="14" t="s">
        <v>6374</v>
      </c>
      <c r="B4036" s="15" t="s">
        <v>14000</v>
      </c>
      <c r="C4036" s="16">
        <v>27728.0</v>
      </c>
      <c r="D4036" s="17" t="s">
        <v>14001</v>
      </c>
    </row>
    <row r="4037">
      <c r="A4037" s="14">
        <v>30.0</v>
      </c>
      <c r="B4037" s="15" t="s">
        <v>14002</v>
      </c>
      <c r="C4037" s="16">
        <v>27728.0</v>
      </c>
      <c r="D4037" s="17" t="s">
        <v>14003</v>
      </c>
    </row>
    <row r="4038">
      <c r="A4038" s="14">
        <v>30.0</v>
      </c>
      <c r="B4038" s="15" t="s">
        <v>14004</v>
      </c>
      <c r="C4038" s="16">
        <v>27728.0</v>
      </c>
      <c r="D4038" s="17" t="s">
        <v>14005</v>
      </c>
    </row>
    <row r="4039">
      <c r="A4039" s="14" t="s">
        <v>6344</v>
      </c>
      <c r="B4039" s="15" t="s">
        <v>14006</v>
      </c>
      <c r="C4039" s="16">
        <v>27730.0</v>
      </c>
      <c r="D4039" s="17" t="s">
        <v>14007</v>
      </c>
    </row>
    <row r="4040">
      <c r="A4040" s="14">
        <v>2.0</v>
      </c>
      <c r="B4040" s="15" t="s">
        <v>14008</v>
      </c>
      <c r="C4040" s="16">
        <v>27730.0</v>
      </c>
      <c r="D4040" s="17" t="s">
        <v>14009</v>
      </c>
    </row>
    <row r="4041">
      <c r="A4041" s="14">
        <v>2.0</v>
      </c>
      <c r="B4041" s="15" t="s">
        <v>14010</v>
      </c>
      <c r="C4041" s="16">
        <v>27730.0</v>
      </c>
      <c r="D4041" s="17" t="s">
        <v>14011</v>
      </c>
    </row>
    <row r="4042">
      <c r="A4042" s="14" t="s">
        <v>6374</v>
      </c>
      <c r="B4042" s="15" t="s">
        <v>14012</v>
      </c>
      <c r="C4042" s="16">
        <v>27731.0</v>
      </c>
      <c r="D4042" s="17" t="s">
        <v>14013</v>
      </c>
    </row>
    <row r="4043">
      <c r="A4043" s="14" t="s">
        <v>6344</v>
      </c>
      <c r="B4043" s="15" t="s">
        <v>14014</v>
      </c>
      <c r="C4043" s="16">
        <v>27731.0</v>
      </c>
      <c r="D4043" s="17" t="s">
        <v>14015</v>
      </c>
    </row>
    <row r="4044">
      <c r="A4044" s="14">
        <v>3.0</v>
      </c>
      <c r="B4044" s="15" t="s">
        <v>14016</v>
      </c>
      <c r="C4044" s="16">
        <v>27731.0</v>
      </c>
      <c r="D4044" s="17" t="s">
        <v>14017</v>
      </c>
    </row>
    <row r="4045">
      <c r="A4045" s="14">
        <v>3.0</v>
      </c>
      <c r="B4045" s="15" t="s">
        <v>14018</v>
      </c>
      <c r="C4045" s="16">
        <v>27731.0</v>
      </c>
      <c r="D4045" s="17" t="s">
        <v>14019</v>
      </c>
    </row>
    <row r="4046">
      <c r="A4046" s="14">
        <v>3.0</v>
      </c>
      <c r="B4046" s="15" t="s">
        <v>14020</v>
      </c>
      <c r="C4046" s="16">
        <v>27731.0</v>
      </c>
      <c r="D4046" s="17" t="s">
        <v>14021</v>
      </c>
    </row>
    <row r="4047">
      <c r="A4047" s="14">
        <v>3.0</v>
      </c>
      <c r="B4047" s="15" t="s">
        <v>14022</v>
      </c>
      <c r="C4047" s="16">
        <v>27731.0</v>
      </c>
      <c r="D4047" s="17" t="s">
        <v>14023</v>
      </c>
    </row>
    <row r="4048">
      <c r="A4048" s="14" t="s">
        <v>6374</v>
      </c>
      <c r="B4048" s="15" t="s">
        <v>14024</v>
      </c>
      <c r="C4048" s="16">
        <v>27732.0</v>
      </c>
      <c r="D4048" s="17" t="s">
        <v>14025</v>
      </c>
    </row>
    <row r="4049">
      <c r="A4049" s="14" t="s">
        <v>6344</v>
      </c>
      <c r="B4049" s="15" t="s">
        <v>14026</v>
      </c>
      <c r="C4049" s="16">
        <v>27732.0</v>
      </c>
      <c r="D4049" s="17" t="s">
        <v>14027</v>
      </c>
    </row>
    <row r="4050">
      <c r="A4050" s="14">
        <v>4.0</v>
      </c>
      <c r="B4050" s="15" t="s">
        <v>14028</v>
      </c>
      <c r="C4050" s="16">
        <v>27732.0</v>
      </c>
      <c r="D4050" s="17" t="s">
        <v>14029</v>
      </c>
    </row>
    <row r="4051">
      <c r="A4051" s="14">
        <v>4.0</v>
      </c>
      <c r="B4051" s="15" t="s">
        <v>14030</v>
      </c>
      <c r="C4051" s="16">
        <v>27732.0</v>
      </c>
      <c r="D4051" s="17" t="s">
        <v>14031</v>
      </c>
    </row>
    <row r="4052">
      <c r="A4052" s="14">
        <v>4.0</v>
      </c>
      <c r="B4052" s="15" t="s">
        <v>14032</v>
      </c>
      <c r="C4052" s="16">
        <v>27732.0</v>
      </c>
      <c r="D4052" s="17" t="s">
        <v>14033</v>
      </c>
    </row>
    <row r="4053">
      <c r="A4053" s="14">
        <v>4.0</v>
      </c>
      <c r="B4053" s="15" t="s">
        <v>14034</v>
      </c>
      <c r="C4053" s="16">
        <v>27732.0</v>
      </c>
      <c r="D4053" s="17" t="s">
        <v>14035</v>
      </c>
    </row>
    <row r="4054">
      <c r="A4054" s="14" t="s">
        <v>6344</v>
      </c>
      <c r="B4054" s="15" t="s">
        <v>14036</v>
      </c>
      <c r="C4054" s="16">
        <v>27733.0</v>
      </c>
      <c r="D4054" s="17" t="s">
        <v>14037</v>
      </c>
    </row>
    <row r="4055">
      <c r="A4055" s="14">
        <v>5.0</v>
      </c>
      <c r="B4055" s="15" t="s">
        <v>14038</v>
      </c>
      <c r="C4055" s="16">
        <v>27733.0</v>
      </c>
      <c r="D4055" s="17" t="s">
        <v>14039</v>
      </c>
    </row>
    <row r="4056">
      <c r="A4056" s="14">
        <v>5.0</v>
      </c>
      <c r="B4056" s="15" t="s">
        <v>14040</v>
      </c>
      <c r="C4056" s="16">
        <v>27733.0</v>
      </c>
      <c r="D4056" s="17" t="s">
        <v>14041</v>
      </c>
    </row>
    <row r="4057">
      <c r="A4057" s="14">
        <v>6.0</v>
      </c>
      <c r="B4057" s="15" t="s">
        <v>14042</v>
      </c>
      <c r="C4057" s="16">
        <v>27734.0</v>
      </c>
      <c r="D4057" s="17" t="s">
        <v>14043</v>
      </c>
    </row>
    <row r="4058">
      <c r="A4058" s="14" t="s">
        <v>6374</v>
      </c>
      <c r="B4058" s="15" t="s">
        <v>14044</v>
      </c>
      <c r="C4058" s="16">
        <v>27735.0</v>
      </c>
      <c r="D4058" s="17" t="s">
        <v>14045</v>
      </c>
    </row>
    <row r="4059">
      <c r="A4059" s="14" t="s">
        <v>6344</v>
      </c>
      <c r="B4059" s="15" t="s">
        <v>14046</v>
      </c>
      <c r="C4059" s="16">
        <v>27735.0</v>
      </c>
      <c r="D4059" s="17" t="s">
        <v>14047</v>
      </c>
    </row>
    <row r="4060">
      <c r="A4060" s="14">
        <v>7.0</v>
      </c>
      <c r="B4060" s="15" t="s">
        <v>14048</v>
      </c>
      <c r="C4060" s="16">
        <v>27735.0</v>
      </c>
      <c r="D4060" s="17" t="s">
        <v>14049</v>
      </c>
    </row>
    <row r="4061">
      <c r="A4061" s="14">
        <v>7.0</v>
      </c>
      <c r="B4061" s="15" t="s">
        <v>14050</v>
      </c>
      <c r="C4061" s="16">
        <v>27735.0</v>
      </c>
      <c r="D4061" s="17" t="s">
        <v>14051</v>
      </c>
    </row>
    <row r="4062">
      <c r="A4062" s="14">
        <v>7.0</v>
      </c>
      <c r="B4062" s="15" t="s">
        <v>14052</v>
      </c>
      <c r="C4062" s="16">
        <v>27735.0</v>
      </c>
      <c r="D4062" s="17" t="s">
        <v>14053</v>
      </c>
    </row>
    <row r="4063">
      <c r="A4063" s="14">
        <v>7.0</v>
      </c>
      <c r="B4063" s="15" t="s">
        <v>14054</v>
      </c>
      <c r="C4063" s="16">
        <v>27735.0</v>
      </c>
      <c r="D4063" s="17" t="s">
        <v>14055</v>
      </c>
    </row>
    <row r="4064">
      <c r="A4064" s="14" t="s">
        <v>6344</v>
      </c>
      <c r="B4064" s="15" t="s">
        <v>14056</v>
      </c>
      <c r="C4064" s="16">
        <v>27736.0</v>
      </c>
      <c r="D4064" s="17" t="s">
        <v>14057</v>
      </c>
    </row>
    <row r="4065">
      <c r="A4065" s="14">
        <v>8.0</v>
      </c>
      <c r="B4065" s="15" t="s">
        <v>14058</v>
      </c>
      <c r="C4065" s="16">
        <v>27736.0</v>
      </c>
      <c r="D4065" s="17" t="s">
        <v>14059</v>
      </c>
    </row>
    <row r="4066">
      <c r="A4066" s="14">
        <v>8.0</v>
      </c>
      <c r="B4066" s="15" t="s">
        <v>14060</v>
      </c>
      <c r="C4066" s="16">
        <v>27736.0</v>
      </c>
      <c r="D4066" s="17" t="s">
        <v>14061</v>
      </c>
    </row>
    <row r="4067">
      <c r="A4067" s="14" t="s">
        <v>6344</v>
      </c>
      <c r="B4067" s="15" t="s">
        <v>14062</v>
      </c>
      <c r="C4067" s="16">
        <v>27737.0</v>
      </c>
      <c r="D4067" s="17" t="s">
        <v>14063</v>
      </c>
    </row>
    <row r="4068">
      <c r="A4068" s="14">
        <v>9.0</v>
      </c>
      <c r="B4068" s="15" t="s">
        <v>14064</v>
      </c>
      <c r="C4068" s="16">
        <v>27737.0</v>
      </c>
      <c r="D4068" s="17" t="s">
        <v>14065</v>
      </c>
    </row>
    <row r="4069">
      <c r="A4069" s="14">
        <v>9.0</v>
      </c>
      <c r="B4069" s="15" t="s">
        <v>14066</v>
      </c>
      <c r="C4069" s="16">
        <v>27737.0</v>
      </c>
      <c r="D4069" s="17" t="s">
        <v>14067</v>
      </c>
    </row>
    <row r="4070">
      <c r="A4070" s="14">
        <v>9.0</v>
      </c>
      <c r="B4070" s="15" t="s">
        <v>14068</v>
      </c>
      <c r="C4070" s="16">
        <v>27737.0</v>
      </c>
      <c r="D4070" s="17" t="s">
        <v>14069</v>
      </c>
    </row>
    <row r="4071">
      <c r="A4071" s="14" t="s">
        <v>6374</v>
      </c>
      <c r="B4071" s="15" t="s">
        <v>14070</v>
      </c>
      <c r="C4071" s="16">
        <v>27738.0</v>
      </c>
      <c r="D4071" s="17" t="s">
        <v>14071</v>
      </c>
    </row>
    <row r="4072">
      <c r="A4072" s="14" t="s">
        <v>6344</v>
      </c>
      <c r="B4072" s="15" t="s">
        <v>14072</v>
      </c>
      <c r="C4072" s="16">
        <v>27738.0</v>
      </c>
      <c r="D4072" s="17" t="s">
        <v>14073</v>
      </c>
    </row>
    <row r="4073">
      <c r="A4073" s="14">
        <v>10.0</v>
      </c>
      <c r="B4073" s="15" t="s">
        <v>14074</v>
      </c>
      <c r="C4073" s="16">
        <v>27738.0</v>
      </c>
      <c r="D4073" s="17" t="s">
        <v>14075</v>
      </c>
    </row>
    <row r="4074">
      <c r="A4074" s="14">
        <v>10.0</v>
      </c>
      <c r="B4074" s="15" t="s">
        <v>14076</v>
      </c>
      <c r="C4074" s="16">
        <v>27738.0</v>
      </c>
      <c r="D4074" s="17" t="s">
        <v>14077</v>
      </c>
    </row>
    <row r="4075">
      <c r="A4075" s="14">
        <v>10.0</v>
      </c>
      <c r="B4075" s="15" t="s">
        <v>14078</v>
      </c>
      <c r="C4075" s="16">
        <v>27738.0</v>
      </c>
      <c r="D4075" s="17" t="s">
        <v>14079</v>
      </c>
    </row>
    <row r="4076">
      <c r="A4076" s="14">
        <v>10.0</v>
      </c>
      <c r="B4076" s="15" t="s">
        <v>14080</v>
      </c>
      <c r="C4076" s="16">
        <v>27738.0</v>
      </c>
      <c r="D4076" s="17" t="s">
        <v>14081</v>
      </c>
    </row>
    <row r="4077">
      <c r="A4077" s="14" t="s">
        <v>6374</v>
      </c>
      <c r="B4077" s="15" t="s">
        <v>14082</v>
      </c>
      <c r="C4077" s="16">
        <v>27739.0</v>
      </c>
      <c r="D4077" s="17" t="s">
        <v>14083</v>
      </c>
    </row>
    <row r="4078">
      <c r="A4078" s="14" t="s">
        <v>6344</v>
      </c>
      <c r="B4078" s="15" t="s">
        <v>14084</v>
      </c>
      <c r="C4078" s="16">
        <v>27739.0</v>
      </c>
      <c r="D4078" s="17" t="s">
        <v>14085</v>
      </c>
    </row>
    <row r="4079">
      <c r="A4079" s="14">
        <v>11.0</v>
      </c>
      <c r="B4079" s="15" t="s">
        <v>14086</v>
      </c>
      <c r="C4079" s="16">
        <v>27739.0</v>
      </c>
      <c r="D4079" s="17" t="s">
        <v>14087</v>
      </c>
    </row>
    <row r="4080">
      <c r="A4080" s="14">
        <v>11.0</v>
      </c>
      <c r="B4080" s="15" t="s">
        <v>14088</v>
      </c>
      <c r="C4080" s="16">
        <v>27739.0</v>
      </c>
      <c r="D4080" s="17" t="s">
        <v>14089</v>
      </c>
    </row>
    <row r="4081">
      <c r="A4081" s="14">
        <v>11.0</v>
      </c>
      <c r="B4081" s="15" t="s">
        <v>14090</v>
      </c>
      <c r="C4081" s="16">
        <v>27739.0</v>
      </c>
      <c r="D4081" s="17" t="s">
        <v>14091</v>
      </c>
    </row>
    <row r="4082">
      <c r="A4082" s="14">
        <v>11.0</v>
      </c>
      <c r="B4082" s="15" t="s">
        <v>14092</v>
      </c>
      <c r="C4082" s="16">
        <v>27739.0</v>
      </c>
      <c r="D4082" s="17" t="s">
        <v>14093</v>
      </c>
    </row>
    <row r="4083">
      <c r="A4083" s="14" t="s">
        <v>6374</v>
      </c>
      <c r="B4083" s="15" t="s">
        <v>14094</v>
      </c>
      <c r="C4083" s="16">
        <v>27740.0</v>
      </c>
      <c r="D4083" s="17" t="s">
        <v>14095</v>
      </c>
    </row>
    <row r="4084">
      <c r="A4084" s="14" t="s">
        <v>6344</v>
      </c>
      <c r="B4084" s="15" t="s">
        <v>14096</v>
      </c>
      <c r="C4084" s="16">
        <v>27740.0</v>
      </c>
      <c r="D4084" s="17" t="s">
        <v>14097</v>
      </c>
    </row>
    <row r="4085">
      <c r="A4085" s="14">
        <v>12.0</v>
      </c>
      <c r="B4085" s="15" t="s">
        <v>14098</v>
      </c>
      <c r="C4085" s="16">
        <v>27740.0</v>
      </c>
      <c r="D4085" s="17" t="s">
        <v>14099</v>
      </c>
    </row>
    <row r="4086">
      <c r="A4086" s="14">
        <v>12.0</v>
      </c>
      <c r="B4086" s="15" t="s">
        <v>14100</v>
      </c>
      <c r="C4086" s="16">
        <v>27740.0</v>
      </c>
      <c r="D4086" s="17" t="s">
        <v>14101</v>
      </c>
    </row>
    <row r="4087">
      <c r="A4087" s="14">
        <v>12.0</v>
      </c>
      <c r="B4087" s="15" t="s">
        <v>14102</v>
      </c>
      <c r="C4087" s="16">
        <v>27740.0</v>
      </c>
      <c r="D4087" s="17" t="s">
        <v>14103</v>
      </c>
    </row>
    <row r="4088">
      <c r="A4088" s="14">
        <v>12.0</v>
      </c>
      <c r="B4088" s="15" t="s">
        <v>14104</v>
      </c>
      <c r="C4088" s="16">
        <v>27740.0</v>
      </c>
      <c r="D4088" s="17" t="s">
        <v>14105</v>
      </c>
    </row>
    <row r="4089">
      <c r="A4089" s="14" t="s">
        <v>6374</v>
      </c>
      <c r="B4089" s="15" t="s">
        <v>14106</v>
      </c>
      <c r="C4089" s="16">
        <v>27742.0</v>
      </c>
      <c r="D4089" s="17" t="s">
        <v>14107</v>
      </c>
    </row>
    <row r="4090">
      <c r="A4090" s="14" t="s">
        <v>6353</v>
      </c>
      <c r="B4090" s="15" t="s">
        <v>14108</v>
      </c>
      <c r="C4090" s="16">
        <v>27742.0</v>
      </c>
      <c r="D4090" s="17" t="s">
        <v>14109</v>
      </c>
    </row>
    <row r="4091">
      <c r="A4091" s="14">
        <v>14.0</v>
      </c>
      <c r="B4091" s="15" t="s">
        <v>14110</v>
      </c>
      <c r="C4091" s="16">
        <v>27742.0</v>
      </c>
      <c r="D4091" s="17" t="s">
        <v>14111</v>
      </c>
    </row>
    <row r="4092">
      <c r="A4092" s="14">
        <v>14.0</v>
      </c>
      <c r="B4092" s="15" t="s">
        <v>14112</v>
      </c>
      <c r="C4092" s="16">
        <v>27742.0</v>
      </c>
      <c r="D4092" s="17" t="s">
        <v>14113</v>
      </c>
    </row>
    <row r="4093">
      <c r="A4093" s="14">
        <v>14.0</v>
      </c>
      <c r="B4093" s="15" t="s">
        <v>14114</v>
      </c>
      <c r="C4093" s="16">
        <v>27742.0</v>
      </c>
      <c r="D4093" s="17" t="s">
        <v>14115</v>
      </c>
    </row>
    <row r="4094">
      <c r="A4094" s="14">
        <v>14.0</v>
      </c>
      <c r="B4094" s="15" t="s">
        <v>14116</v>
      </c>
      <c r="C4094" s="16">
        <v>27742.0</v>
      </c>
      <c r="D4094" s="17" t="s">
        <v>14117</v>
      </c>
    </row>
    <row r="4095">
      <c r="A4095" s="14" t="s">
        <v>6374</v>
      </c>
      <c r="B4095" s="15" t="s">
        <v>14118</v>
      </c>
      <c r="C4095" s="16">
        <v>27744.0</v>
      </c>
      <c r="D4095" s="17" t="s">
        <v>14119</v>
      </c>
    </row>
    <row r="4096">
      <c r="A4096" s="14">
        <v>16.0</v>
      </c>
      <c r="B4096" s="15" t="s">
        <v>14120</v>
      </c>
      <c r="C4096" s="16">
        <v>27744.0</v>
      </c>
      <c r="D4096" s="17" t="s">
        <v>14121</v>
      </c>
    </row>
    <row r="4097">
      <c r="A4097" s="14">
        <v>16.0</v>
      </c>
      <c r="B4097" s="15" t="s">
        <v>14122</v>
      </c>
      <c r="C4097" s="16">
        <v>27744.0</v>
      </c>
      <c r="D4097" s="17" t="s">
        <v>14123</v>
      </c>
    </row>
    <row r="4098">
      <c r="A4098" s="14">
        <v>16.0</v>
      </c>
      <c r="B4098" s="15" t="s">
        <v>14124</v>
      </c>
      <c r="C4098" s="16">
        <v>27744.0</v>
      </c>
      <c r="D4098" s="17" t="s">
        <v>14125</v>
      </c>
    </row>
    <row r="4099">
      <c r="A4099" s="14" t="s">
        <v>6374</v>
      </c>
      <c r="B4099" s="15" t="s">
        <v>14126</v>
      </c>
      <c r="C4099" s="16">
        <v>27745.0</v>
      </c>
      <c r="D4099" s="17" t="s">
        <v>14127</v>
      </c>
    </row>
    <row r="4100">
      <c r="A4100" s="14" t="s">
        <v>6344</v>
      </c>
      <c r="B4100" s="15" t="s">
        <v>14128</v>
      </c>
      <c r="C4100" s="16">
        <v>27745.0</v>
      </c>
      <c r="D4100" s="17" t="s">
        <v>14129</v>
      </c>
    </row>
    <row r="4101">
      <c r="A4101" s="14">
        <v>17.0</v>
      </c>
      <c r="B4101" s="15" t="s">
        <v>14130</v>
      </c>
      <c r="C4101" s="16">
        <v>27745.0</v>
      </c>
      <c r="D4101" s="17" t="s">
        <v>14131</v>
      </c>
    </row>
    <row r="4102">
      <c r="A4102" s="14">
        <v>17.0</v>
      </c>
      <c r="B4102" s="15" t="s">
        <v>14132</v>
      </c>
      <c r="C4102" s="16">
        <v>27745.0</v>
      </c>
      <c r="D4102" s="17" t="s">
        <v>14133</v>
      </c>
    </row>
    <row r="4103">
      <c r="A4103" s="14">
        <v>17.0</v>
      </c>
      <c r="B4103" s="15" t="s">
        <v>14134</v>
      </c>
      <c r="C4103" s="16">
        <v>27745.0</v>
      </c>
      <c r="D4103" s="17" t="s">
        <v>14135</v>
      </c>
    </row>
    <row r="4104">
      <c r="A4104" s="14">
        <v>18.0</v>
      </c>
      <c r="B4104" s="15" t="s">
        <v>14136</v>
      </c>
      <c r="C4104" s="16">
        <v>27746.0</v>
      </c>
      <c r="D4104" s="17" t="s">
        <v>14137</v>
      </c>
    </row>
    <row r="4105">
      <c r="A4105" s="14">
        <v>19.0</v>
      </c>
      <c r="B4105" s="15" t="s">
        <v>14138</v>
      </c>
      <c r="C4105" s="16">
        <v>27747.0</v>
      </c>
      <c r="D4105" s="17" t="s">
        <v>14139</v>
      </c>
    </row>
    <row r="4106">
      <c r="A4106" s="14" t="s">
        <v>6074</v>
      </c>
      <c r="B4106" s="15" t="s">
        <v>14140</v>
      </c>
      <c r="C4106" s="16">
        <v>27748.0</v>
      </c>
      <c r="D4106" s="17" t="s">
        <v>14141</v>
      </c>
    </row>
    <row r="4107">
      <c r="A4107" s="14" t="s">
        <v>6374</v>
      </c>
      <c r="B4107" s="15" t="s">
        <v>14142</v>
      </c>
      <c r="C4107" s="16">
        <v>27748.0</v>
      </c>
      <c r="D4107" s="17" t="s">
        <v>14143</v>
      </c>
    </row>
    <row r="4108">
      <c r="A4108" s="14">
        <v>20.0</v>
      </c>
      <c r="B4108" s="15" t="s">
        <v>14144</v>
      </c>
      <c r="C4108" s="16">
        <v>27748.0</v>
      </c>
      <c r="D4108" s="17" t="s">
        <v>14145</v>
      </c>
    </row>
    <row r="4109">
      <c r="A4109" s="14">
        <v>20.0</v>
      </c>
      <c r="B4109" s="15" t="s">
        <v>14146</v>
      </c>
      <c r="C4109" s="16">
        <v>27748.0</v>
      </c>
      <c r="D4109" s="17" t="s">
        <v>14147</v>
      </c>
    </row>
    <row r="4110">
      <c r="A4110" s="14">
        <v>20.0</v>
      </c>
      <c r="B4110" s="15" t="s">
        <v>14148</v>
      </c>
      <c r="C4110" s="16">
        <v>27748.0</v>
      </c>
      <c r="D4110" s="17" t="s">
        <v>14149</v>
      </c>
    </row>
    <row r="4111">
      <c r="A4111" s="14">
        <v>20.0</v>
      </c>
      <c r="B4111" s="15" t="s">
        <v>14150</v>
      </c>
      <c r="C4111" s="16">
        <v>27748.0</v>
      </c>
      <c r="D4111" s="17" t="s">
        <v>14151</v>
      </c>
    </row>
    <row r="4112">
      <c r="A4112" s="14" t="s">
        <v>7038</v>
      </c>
      <c r="B4112" s="15" t="s">
        <v>14152</v>
      </c>
      <c r="C4112" s="16">
        <v>27750.0</v>
      </c>
      <c r="D4112" s="17" t="s">
        <v>14153</v>
      </c>
    </row>
    <row r="4113">
      <c r="A4113" s="14" t="s">
        <v>6087</v>
      </c>
      <c r="B4113" s="15" t="s">
        <v>14154</v>
      </c>
      <c r="C4113" s="16">
        <v>27750.0</v>
      </c>
      <c r="D4113" s="17" t="s">
        <v>14155</v>
      </c>
    </row>
    <row r="4114">
      <c r="A4114" s="14">
        <v>22.0</v>
      </c>
      <c r="B4114" s="15" t="s">
        <v>14156</v>
      </c>
      <c r="C4114" s="16">
        <v>27750.0</v>
      </c>
      <c r="D4114" s="17" t="s">
        <v>14157</v>
      </c>
    </row>
    <row r="4115">
      <c r="A4115" s="14">
        <v>22.0</v>
      </c>
      <c r="B4115" s="15" t="s">
        <v>14158</v>
      </c>
      <c r="C4115" s="16">
        <v>27750.0</v>
      </c>
      <c r="D4115" s="17" t="s">
        <v>14159</v>
      </c>
    </row>
    <row r="4116">
      <c r="A4116" s="14">
        <v>22.0</v>
      </c>
      <c r="B4116" s="15" t="s">
        <v>14160</v>
      </c>
      <c r="C4116" s="16">
        <v>27750.0</v>
      </c>
      <c r="D4116" s="17" t="s">
        <v>14161</v>
      </c>
    </row>
    <row r="4117">
      <c r="A4117" s="14" t="s">
        <v>6374</v>
      </c>
      <c r="B4117" s="15" t="s">
        <v>14162</v>
      </c>
      <c r="C4117" s="16">
        <v>27751.0</v>
      </c>
      <c r="D4117" s="17" t="s">
        <v>14163</v>
      </c>
    </row>
    <row r="4118">
      <c r="A4118" s="14" t="s">
        <v>6374</v>
      </c>
      <c r="B4118" s="15" t="s">
        <v>14164</v>
      </c>
      <c r="C4118" s="16">
        <v>27751.0</v>
      </c>
      <c r="D4118" s="17" t="s">
        <v>14165</v>
      </c>
    </row>
    <row r="4119">
      <c r="A4119" s="14">
        <v>23.0</v>
      </c>
      <c r="B4119" s="15" t="s">
        <v>14166</v>
      </c>
      <c r="C4119" s="16">
        <v>27751.0</v>
      </c>
      <c r="D4119" s="17" t="s">
        <v>14167</v>
      </c>
    </row>
    <row r="4120">
      <c r="A4120" s="14">
        <v>23.0</v>
      </c>
      <c r="B4120" s="15" t="s">
        <v>14168</v>
      </c>
      <c r="C4120" s="16">
        <v>27751.0</v>
      </c>
      <c r="D4120" s="17" t="s">
        <v>14169</v>
      </c>
    </row>
    <row r="4121">
      <c r="A4121" s="14">
        <v>23.0</v>
      </c>
      <c r="B4121" s="15" t="s">
        <v>14170</v>
      </c>
      <c r="C4121" s="16">
        <v>27751.0</v>
      </c>
      <c r="D4121" s="17" t="s">
        <v>14171</v>
      </c>
    </row>
    <row r="4122">
      <c r="A4122" s="14">
        <v>24.0</v>
      </c>
      <c r="B4122" s="15" t="s">
        <v>14172</v>
      </c>
      <c r="C4122" s="16">
        <v>27752.0</v>
      </c>
      <c r="D4122" s="17" t="s">
        <v>14173</v>
      </c>
    </row>
    <row r="4123">
      <c r="A4123" s="14">
        <v>24.0</v>
      </c>
      <c r="B4123" s="15" t="s">
        <v>14174</v>
      </c>
      <c r="C4123" s="16">
        <v>27752.0</v>
      </c>
      <c r="D4123" s="17" t="s">
        <v>14175</v>
      </c>
    </row>
    <row r="4124">
      <c r="A4124" s="14" t="s">
        <v>6057</v>
      </c>
      <c r="B4124" s="15" t="s">
        <v>14176</v>
      </c>
      <c r="C4124" s="16">
        <v>27753.0</v>
      </c>
      <c r="D4124" s="17" t="s">
        <v>14177</v>
      </c>
    </row>
    <row r="4125">
      <c r="A4125" s="14">
        <v>25.0</v>
      </c>
      <c r="B4125" s="15" t="s">
        <v>14178</v>
      </c>
      <c r="C4125" s="16">
        <v>27753.0</v>
      </c>
      <c r="D4125" s="17" t="s">
        <v>14179</v>
      </c>
    </row>
    <row r="4126">
      <c r="A4126" s="14">
        <v>25.0</v>
      </c>
      <c r="B4126" s="15" t="s">
        <v>14180</v>
      </c>
      <c r="C4126" s="16">
        <v>27753.0</v>
      </c>
      <c r="D4126" s="17" t="s">
        <v>14181</v>
      </c>
    </row>
    <row r="4127">
      <c r="A4127" s="14">
        <v>25.0</v>
      </c>
      <c r="B4127" s="15" t="s">
        <v>14182</v>
      </c>
      <c r="C4127" s="16">
        <v>27753.0</v>
      </c>
      <c r="D4127" s="17" t="s">
        <v>14183</v>
      </c>
    </row>
    <row r="4128">
      <c r="A4128" s="14" t="s">
        <v>7038</v>
      </c>
      <c r="B4128" s="15" t="s">
        <v>14184</v>
      </c>
      <c r="C4128" s="16">
        <v>27754.0</v>
      </c>
      <c r="D4128" s="17" t="s">
        <v>14185</v>
      </c>
    </row>
    <row r="4129">
      <c r="A4129" s="14" t="s">
        <v>6353</v>
      </c>
      <c r="B4129" s="15" t="s">
        <v>14186</v>
      </c>
      <c r="C4129" s="16">
        <v>27754.0</v>
      </c>
      <c r="D4129" s="17" t="s">
        <v>14187</v>
      </c>
    </row>
    <row r="4130">
      <c r="A4130" s="14">
        <v>26.0</v>
      </c>
      <c r="B4130" s="15" t="s">
        <v>14188</v>
      </c>
      <c r="C4130" s="16">
        <v>27754.0</v>
      </c>
      <c r="D4130" s="17" t="s">
        <v>14189</v>
      </c>
    </row>
    <row r="4131">
      <c r="A4131" s="14">
        <v>26.0</v>
      </c>
      <c r="B4131" s="15" t="s">
        <v>14190</v>
      </c>
      <c r="C4131" s="16">
        <v>27754.0</v>
      </c>
      <c r="D4131" s="17" t="s">
        <v>14191</v>
      </c>
    </row>
    <row r="4132">
      <c r="A4132" s="14">
        <v>26.0</v>
      </c>
      <c r="B4132" s="15" t="s">
        <v>14192</v>
      </c>
      <c r="C4132" s="16">
        <v>27754.0</v>
      </c>
      <c r="D4132" s="17" t="s">
        <v>14193</v>
      </c>
    </row>
    <row r="4133">
      <c r="A4133" s="14">
        <v>26.0</v>
      </c>
      <c r="B4133" s="15" t="s">
        <v>14194</v>
      </c>
      <c r="C4133" s="16">
        <v>27754.0</v>
      </c>
      <c r="D4133" s="17" t="s">
        <v>14195</v>
      </c>
    </row>
    <row r="4134">
      <c r="A4134" s="14">
        <v>26.0</v>
      </c>
      <c r="B4134" s="15" t="s">
        <v>14196</v>
      </c>
      <c r="C4134" s="16">
        <v>27754.0</v>
      </c>
      <c r="D4134" s="17" t="s">
        <v>14197</v>
      </c>
    </row>
    <row r="4135">
      <c r="A4135" s="14">
        <v>26.0</v>
      </c>
      <c r="B4135" s="15" t="s">
        <v>14198</v>
      </c>
      <c r="C4135" s="16">
        <v>27754.0</v>
      </c>
      <c r="D4135" s="17" t="s">
        <v>14199</v>
      </c>
    </row>
    <row r="4136">
      <c r="A4136" s="14" t="s">
        <v>6057</v>
      </c>
      <c r="B4136" s="15" t="s">
        <v>14200</v>
      </c>
      <c r="C4136" s="16">
        <v>27755.0</v>
      </c>
      <c r="D4136" s="17" t="s">
        <v>14201</v>
      </c>
    </row>
    <row r="4137">
      <c r="A4137" s="14">
        <v>27.0</v>
      </c>
      <c r="B4137" s="15" t="s">
        <v>14202</v>
      </c>
      <c r="C4137" s="16">
        <v>27755.0</v>
      </c>
      <c r="D4137" s="17" t="s">
        <v>14203</v>
      </c>
    </row>
    <row r="4138">
      <c r="A4138" s="14">
        <v>27.0</v>
      </c>
      <c r="B4138" s="15" t="s">
        <v>14204</v>
      </c>
      <c r="C4138" s="16">
        <v>27755.0</v>
      </c>
      <c r="D4138" s="17" t="s">
        <v>14205</v>
      </c>
    </row>
    <row r="4139">
      <c r="A4139" s="14">
        <v>27.0</v>
      </c>
      <c r="B4139" s="15" t="s">
        <v>14206</v>
      </c>
      <c r="C4139" s="16">
        <v>27755.0</v>
      </c>
      <c r="D4139" s="17" t="s">
        <v>14207</v>
      </c>
    </row>
    <row r="4140">
      <c r="A4140" s="14">
        <v>28.0</v>
      </c>
      <c r="B4140" s="15" t="s">
        <v>14208</v>
      </c>
      <c r="C4140" s="16">
        <v>27756.0</v>
      </c>
      <c r="D4140" s="17" t="s">
        <v>14209</v>
      </c>
    </row>
    <row r="4141">
      <c r="A4141" s="14" t="s">
        <v>5965</v>
      </c>
      <c r="B4141" s="15" t="s">
        <v>14210</v>
      </c>
      <c r="C4141" s="16">
        <v>27760.0</v>
      </c>
      <c r="D4141" s="17" t="s">
        <v>14211</v>
      </c>
    </row>
    <row r="4142">
      <c r="A4142" s="14">
        <v>1.0</v>
      </c>
      <c r="B4142" s="15" t="s">
        <v>14212</v>
      </c>
      <c r="C4142" s="16">
        <v>27760.0</v>
      </c>
      <c r="D4142" s="17" t="s">
        <v>14213</v>
      </c>
    </row>
    <row r="4143">
      <c r="A4143" s="14">
        <v>1.0</v>
      </c>
      <c r="B4143" s="15" t="s">
        <v>14214</v>
      </c>
      <c r="C4143" s="16">
        <v>27760.0</v>
      </c>
      <c r="D4143" s="17" t="s">
        <v>14215</v>
      </c>
    </row>
    <row r="4144">
      <c r="A4144" s="14" t="s">
        <v>6374</v>
      </c>
      <c r="B4144" s="15" t="s">
        <v>14216</v>
      </c>
      <c r="C4144" s="16">
        <v>27761.0</v>
      </c>
      <c r="D4144" s="17" t="s">
        <v>14217</v>
      </c>
    </row>
    <row r="4145">
      <c r="A4145" s="14" t="s">
        <v>6344</v>
      </c>
      <c r="B4145" s="15" t="s">
        <v>14218</v>
      </c>
      <c r="C4145" s="16">
        <v>27761.0</v>
      </c>
      <c r="D4145" s="17" t="s">
        <v>14219</v>
      </c>
    </row>
    <row r="4146">
      <c r="A4146" s="14">
        <v>2.0</v>
      </c>
      <c r="B4146" s="15" t="s">
        <v>14220</v>
      </c>
      <c r="C4146" s="16">
        <v>27761.0</v>
      </c>
      <c r="D4146" s="17" t="s">
        <v>14221</v>
      </c>
    </row>
    <row r="4147">
      <c r="A4147" s="14">
        <v>2.0</v>
      </c>
      <c r="B4147" s="15" t="s">
        <v>14222</v>
      </c>
      <c r="C4147" s="16">
        <v>27761.0</v>
      </c>
      <c r="D4147" s="17" t="s">
        <v>14223</v>
      </c>
    </row>
    <row r="4148">
      <c r="A4148" s="14">
        <v>2.0</v>
      </c>
      <c r="B4148" s="15" t="s">
        <v>14224</v>
      </c>
      <c r="C4148" s="16">
        <v>27761.0</v>
      </c>
      <c r="D4148" s="17" t="s">
        <v>14225</v>
      </c>
    </row>
    <row r="4149">
      <c r="A4149" s="14">
        <v>2.0</v>
      </c>
      <c r="B4149" s="15" t="s">
        <v>14226</v>
      </c>
      <c r="C4149" s="16">
        <v>27761.0</v>
      </c>
      <c r="D4149" s="17" t="s">
        <v>14227</v>
      </c>
    </row>
    <row r="4150">
      <c r="A4150" s="14" t="s">
        <v>6374</v>
      </c>
      <c r="B4150" s="15" t="s">
        <v>14228</v>
      </c>
      <c r="C4150" s="16">
        <v>27762.0</v>
      </c>
      <c r="D4150" s="17" t="s">
        <v>14229</v>
      </c>
    </row>
    <row r="4151">
      <c r="A4151" s="14" t="s">
        <v>6353</v>
      </c>
      <c r="B4151" s="15" t="s">
        <v>14230</v>
      </c>
      <c r="C4151" s="16">
        <v>27762.0</v>
      </c>
      <c r="D4151" s="17" t="s">
        <v>14231</v>
      </c>
    </row>
    <row r="4152">
      <c r="A4152" s="14">
        <v>3.0</v>
      </c>
      <c r="B4152" s="15" t="s">
        <v>14232</v>
      </c>
      <c r="C4152" s="16">
        <v>27762.0</v>
      </c>
      <c r="D4152" s="17" t="s">
        <v>14233</v>
      </c>
    </row>
    <row r="4153">
      <c r="A4153" s="14">
        <v>3.0</v>
      </c>
      <c r="B4153" s="15" t="s">
        <v>14234</v>
      </c>
      <c r="C4153" s="16">
        <v>27762.0</v>
      </c>
      <c r="D4153" s="17" t="s">
        <v>14235</v>
      </c>
    </row>
    <row r="4154">
      <c r="A4154" s="14">
        <v>3.0</v>
      </c>
      <c r="B4154" s="15" t="s">
        <v>14236</v>
      </c>
      <c r="C4154" s="16">
        <v>27762.0</v>
      </c>
      <c r="D4154" s="17" t="s">
        <v>14237</v>
      </c>
    </row>
    <row r="4155">
      <c r="A4155" s="14">
        <v>3.0</v>
      </c>
      <c r="B4155" s="15" t="s">
        <v>14238</v>
      </c>
      <c r="C4155" s="16">
        <v>27762.0</v>
      </c>
      <c r="D4155" s="17" t="s">
        <v>14239</v>
      </c>
    </row>
    <row r="4156">
      <c r="A4156" s="14" t="s">
        <v>6374</v>
      </c>
      <c r="B4156" s="15" t="s">
        <v>14240</v>
      </c>
      <c r="C4156" s="16">
        <v>27763.0</v>
      </c>
      <c r="D4156" s="17" t="s">
        <v>14241</v>
      </c>
    </row>
    <row r="4157">
      <c r="A4157" s="14" t="s">
        <v>6057</v>
      </c>
      <c r="B4157" s="15" t="s">
        <v>14242</v>
      </c>
      <c r="C4157" s="16">
        <v>27763.0</v>
      </c>
      <c r="D4157" s="17" t="s">
        <v>14243</v>
      </c>
    </row>
    <row r="4158">
      <c r="A4158" s="14">
        <v>4.0</v>
      </c>
      <c r="B4158" s="15" t="s">
        <v>14244</v>
      </c>
      <c r="C4158" s="16">
        <v>27763.0</v>
      </c>
      <c r="D4158" s="17" t="s">
        <v>14245</v>
      </c>
    </row>
    <row r="4159">
      <c r="A4159" s="14">
        <v>4.0</v>
      </c>
      <c r="B4159" s="15" t="s">
        <v>14246</v>
      </c>
      <c r="C4159" s="16">
        <v>27763.0</v>
      </c>
      <c r="D4159" s="17" t="s">
        <v>14247</v>
      </c>
    </row>
    <row r="4160">
      <c r="A4160" s="14">
        <v>4.0</v>
      </c>
      <c r="B4160" s="15" t="s">
        <v>14248</v>
      </c>
      <c r="C4160" s="16">
        <v>27763.0</v>
      </c>
      <c r="D4160" s="17" t="s">
        <v>14249</v>
      </c>
    </row>
    <row r="4161">
      <c r="A4161" s="14">
        <v>4.0</v>
      </c>
      <c r="B4161" s="15" t="s">
        <v>14250</v>
      </c>
      <c r="C4161" s="16">
        <v>27763.0</v>
      </c>
      <c r="D4161" s="17" t="s">
        <v>14251</v>
      </c>
    </row>
    <row r="4162">
      <c r="A4162" s="14" t="s">
        <v>6891</v>
      </c>
      <c r="B4162" s="15" t="s">
        <v>14252</v>
      </c>
      <c r="C4162" s="16">
        <v>27764.0</v>
      </c>
      <c r="D4162" s="17" t="s">
        <v>14253</v>
      </c>
    </row>
    <row r="4163">
      <c r="A4163" s="14">
        <v>5.0</v>
      </c>
      <c r="B4163" s="15" t="s">
        <v>14254</v>
      </c>
      <c r="C4163" s="16">
        <v>27764.0</v>
      </c>
      <c r="D4163" s="17" t="s">
        <v>14255</v>
      </c>
    </row>
    <row r="4164">
      <c r="A4164" s="14">
        <v>5.0</v>
      </c>
      <c r="B4164" s="15" t="s">
        <v>14256</v>
      </c>
      <c r="C4164" s="16">
        <v>27764.0</v>
      </c>
      <c r="D4164" s="17" t="s">
        <v>14257</v>
      </c>
    </row>
    <row r="4165">
      <c r="A4165" s="14" t="s">
        <v>6374</v>
      </c>
      <c r="B4165" s="15" t="s">
        <v>14258</v>
      </c>
      <c r="C4165" s="16">
        <v>27765.0</v>
      </c>
      <c r="D4165" s="17" t="s">
        <v>14259</v>
      </c>
    </row>
    <row r="4166">
      <c r="A4166" s="14">
        <v>6.0</v>
      </c>
      <c r="B4166" s="15" t="s">
        <v>14260</v>
      </c>
      <c r="C4166" s="16">
        <v>27765.0</v>
      </c>
      <c r="D4166" s="17" t="s">
        <v>14261</v>
      </c>
    </row>
    <row r="4167">
      <c r="A4167" s="14">
        <v>6.0</v>
      </c>
      <c r="B4167" s="15" t="s">
        <v>14262</v>
      </c>
      <c r="C4167" s="16">
        <v>27765.0</v>
      </c>
      <c r="D4167" s="17" t="s">
        <v>14263</v>
      </c>
    </row>
    <row r="4168">
      <c r="A4168" s="14" t="s">
        <v>6891</v>
      </c>
      <c r="B4168" s="15" t="s">
        <v>14264</v>
      </c>
      <c r="C4168" s="16">
        <v>27766.0</v>
      </c>
      <c r="D4168" s="17" t="s">
        <v>14265</v>
      </c>
    </row>
    <row r="4169">
      <c r="A4169" s="14">
        <v>7.0</v>
      </c>
      <c r="B4169" s="15" t="s">
        <v>14266</v>
      </c>
      <c r="C4169" s="16">
        <v>27766.0</v>
      </c>
      <c r="D4169" s="17" t="s">
        <v>14267</v>
      </c>
    </row>
    <row r="4170">
      <c r="A4170" s="14">
        <v>7.0</v>
      </c>
      <c r="B4170" s="15" t="s">
        <v>14268</v>
      </c>
      <c r="C4170" s="16">
        <v>27766.0</v>
      </c>
      <c r="D4170" s="17" t="s">
        <v>14269</v>
      </c>
    </row>
    <row r="4171">
      <c r="A4171" s="14">
        <v>7.0</v>
      </c>
      <c r="B4171" s="15" t="s">
        <v>14270</v>
      </c>
      <c r="C4171" s="16">
        <v>27766.0</v>
      </c>
      <c r="D4171" s="17" t="s">
        <v>14271</v>
      </c>
    </row>
    <row r="4172">
      <c r="A4172" s="14" t="s">
        <v>6353</v>
      </c>
      <c r="B4172" s="15" t="s">
        <v>14272</v>
      </c>
      <c r="C4172" s="16">
        <v>27767.0</v>
      </c>
      <c r="D4172" s="17" t="s">
        <v>14273</v>
      </c>
    </row>
    <row r="4173">
      <c r="A4173" s="14" t="s">
        <v>6891</v>
      </c>
      <c r="B4173" s="15" t="s">
        <v>14274</v>
      </c>
      <c r="C4173" s="16">
        <v>27767.0</v>
      </c>
      <c r="D4173" s="17" t="s">
        <v>14275</v>
      </c>
    </row>
    <row r="4174">
      <c r="A4174" s="14">
        <v>8.0</v>
      </c>
      <c r="B4174" s="15" t="s">
        <v>14276</v>
      </c>
      <c r="C4174" s="16">
        <v>27767.0</v>
      </c>
      <c r="D4174" s="17" t="s">
        <v>14277</v>
      </c>
    </row>
    <row r="4175">
      <c r="A4175" s="14">
        <v>8.0</v>
      </c>
      <c r="B4175" s="15" t="s">
        <v>14278</v>
      </c>
      <c r="C4175" s="16">
        <v>27767.0</v>
      </c>
      <c r="D4175" s="17" t="s">
        <v>14279</v>
      </c>
    </row>
    <row r="4176">
      <c r="A4176" s="14">
        <v>8.0</v>
      </c>
      <c r="B4176" s="15" t="s">
        <v>14280</v>
      </c>
      <c r="C4176" s="16">
        <v>27767.0</v>
      </c>
      <c r="D4176" s="17" t="s">
        <v>14281</v>
      </c>
    </row>
    <row r="4177">
      <c r="A4177" s="14">
        <v>8.0</v>
      </c>
      <c r="B4177" s="15" t="s">
        <v>14282</v>
      </c>
      <c r="C4177" s="16">
        <v>27767.0</v>
      </c>
      <c r="D4177" s="17" t="s">
        <v>14283</v>
      </c>
    </row>
    <row r="4178">
      <c r="A4178" s="14">
        <v>8.0</v>
      </c>
      <c r="B4178" s="15" t="s">
        <v>14284</v>
      </c>
      <c r="C4178" s="16">
        <v>27767.0</v>
      </c>
      <c r="D4178" s="17" t="s">
        <v>14285</v>
      </c>
    </row>
    <row r="4179">
      <c r="A4179" s="14">
        <v>9.0</v>
      </c>
      <c r="B4179" s="15" t="s">
        <v>14286</v>
      </c>
      <c r="C4179" s="16">
        <v>27768.0</v>
      </c>
      <c r="D4179" s="17" t="s">
        <v>14287</v>
      </c>
    </row>
    <row r="4180">
      <c r="A4180" s="14">
        <v>12.0</v>
      </c>
      <c r="B4180" s="15" t="s">
        <v>14288</v>
      </c>
      <c r="C4180" s="16">
        <v>27771.0</v>
      </c>
      <c r="D4180" s="17" t="s">
        <v>14289</v>
      </c>
    </row>
    <row r="4181">
      <c r="A4181" s="14">
        <v>12.0</v>
      </c>
      <c r="B4181" s="15" t="s">
        <v>14290</v>
      </c>
      <c r="C4181" s="16">
        <v>27771.0</v>
      </c>
      <c r="D4181" s="17" t="s">
        <v>14291</v>
      </c>
    </row>
    <row r="4182">
      <c r="A4182" s="14">
        <v>13.0</v>
      </c>
      <c r="B4182" s="15" t="s">
        <v>14292</v>
      </c>
      <c r="C4182" s="16">
        <v>27772.0</v>
      </c>
      <c r="D4182" s="17" t="s">
        <v>14293</v>
      </c>
    </row>
    <row r="4183">
      <c r="A4183" s="14">
        <v>13.0</v>
      </c>
      <c r="B4183" s="15" t="s">
        <v>14294</v>
      </c>
      <c r="C4183" s="16">
        <v>27772.0</v>
      </c>
      <c r="D4183" s="17" t="s">
        <v>14295</v>
      </c>
    </row>
    <row r="4184">
      <c r="A4184" s="14">
        <v>14.0</v>
      </c>
      <c r="B4184" s="15" t="s">
        <v>14296</v>
      </c>
      <c r="C4184" s="16">
        <v>27773.0</v>
      </c>
      <c r="D4184" s="17" t="s">
        <v>14297</v>
      </c>
    </row>
    <row r="4185">
      <c r="A4185" s="14">
        <v>15.0</v>
      </c>
      <c r="B4185" s="15" t="s">
        <v>14298</v>
      </c>
      <c r="C4185" s="16">
        <v>27774.0</v>
      </c>
      <c r="D4185" s="17" t="s">
        <v>14299</v>
      </c>
    </row>
    <row r="4186">
      <c r="A4186" s="14">
        <v>15.0</v>
      </c>
      <c r="B4186" s="15" t="s">
        <v>14300</v>
      </c>
      <c r="C4186" s="16">
        <v>27774.0</v>
      </c>
      <c r="D4186" s="17" t="s">
        <v>14301</v>
      </c>
    </row>
    <row r="4187">
      <c r="A4187" s="14">
        <v>15.0</v>
      </c>
      <c r="B4187" s="15" t="s">
        <v>14302</v>
      </c>
      <c r="C4187" s="16">
        <v>27774.0</v>
      </c>
      <c r="D4187" s="17" t="s">
        <v>14303</v>
      </c>
    </row>
    <row r="4188">
      <c r="A4188" s="14" t="s">
        <v>6353</v>
      </c>
      <c r="B4188" s="15" t="s">
        <v>14304</v>
      </c>
      <c r="C4188" s="16">
        <v>27775.0</v>
      </c>
      <c r="D4188" s="17" t="s">
        <v>14305</v>
      </c>
    </row>
    <row r="4189">
      <c r="A4189" s="14">
        <v>16.0</v>
      </c>
      <c r="B4189" s="15" t="s">
        <v>14306</v>
      </c>
      <c r="C4189" s="16">
        <v>27775.0</v>
      </c>
      <c r="D4189" s="17" t="s">
        <v>14307</v>
      </c>
    </row>
    <row r="4190">
      <c r="A4190" s="14">
        <v>16.0</v>
      </c>
      <c r="B4190" s="15" t="s">
        <v>14308</v>
      </c>
      <c r="C4190" s="16">
        <v>27775.0</v>
      </c>
      <c r="D4190" s="17" t="s">
        <v>14309</v>
      </c>
    </row>
    <row r="4191">
      <c r="A4191" s="14">
        <v>16.0</v>
      </c>
      <c r="B4191" s="15" t="s">
        <v>14310</v>
      </c>
      <c r="C4191" s="16">
        <v>27775.0</v>
      </c>
      <c r="D4191" s="17" t="s">
        <v>14311</v>
      </c>
    </row>
    <row r="4192">
      <c r="A4192" s="14">
        <v>17.0</v>
      </c>
      <c r="B4192" s="15" t="s">
        <v>14312</v>
      </c>
      <c r="C4192" s="16">
        <v>27776.0</v>
      </c>
      <c r="D4192" s="17" t="s">
        <v>14313</v>
      </c>
    </row>
    <row r="4193">
      <c r="A4193" s="14">
        <v>17.0</v>
      </c>
      <c r="B4193" s="15" t="s">
        <v>14314</v>
      </c>
      <c r="C4193" s="16">
        <v>27776.0</v>
      </c>
      <c r="D4193" s="17" t="s">
        <v>14315</v>
      </c>
    </row>
    <row r="4194">
      <c r="A4194" s="14">
        <v>18.0</v>
      </c>
      <c r="B4194" s="15" t="s">
        <v>14316</v>
      </c>
      <c r="C4194" s="16">
        <v>27777.0</v>
      </c>
      <c r="D4194" s="17" t="s">
        <v>14317</v>
      </c>
    </row>
    <row r="4195">
      <c r="A4195" s="14">
        <v>18.0</v>
      </c>
      <c r="B4195" s="15" t="s">
        <v>14318</v>
      </c>
      <c r="C4195" s="16">
        <v>27777.0</v>
      </c>
      <c r="D4195" s="17" t="s">
        <v>14319</v>
      </c>
    </row>
    <row r="4196">
      <c r="A4196" s="14">
        <v>19.0</v>
      </c>
      <c r="B4196" s="15" t="s">
        <v>14320</v>
      </c>
      <c r="C4196" s="16">
        <v>27778.0</v>
      </c>
      <c r="D4196" s="17" t="s">
        <v>14321</v>
      </c>
    </row>
    <row r="4197">
      <c r="A4197" s="14">
        <v>19.0</v>
      </c>
      <c r="B4197" s="15" t="s">
        <v>14322</v>
      </c>
      <c r="C4197" s="16">
        <v>27778.0</v>
      </c>
      <c r="D4197" s="17" t="s">
        <v>14323</v>
      </c>
    </row>
    <row r="4198">
      <c r="A4198" s="14">
        <v>20.0</v>
      </c>
      <c r="B4198" s="15" t="s">
        <v>14324</v>
      </c>
      <c r="C4198" s="16">
        <v>27779.0</v>
      </c>
      <c r="D4198" s="17" t="s">
        <v>14325</v>
      </c>
    </row>
    <row r="4199">
      <c r="A4199" s="14">
        <v>21.0</v>
      </c>
      <c r="B4199" s="15" t="s">
        <v>14326</v>
      </c>
      <c r="C4199" s="16">
        <v>27780.0</v>
      </c>
      <c r="D4199" s="17" t="s">
        <v>14327</v>
      </c>
    </row>
    <row r="4200">
      <c r="A4200" s="14">
        <v>22.0</v>
      </c>
      <c r="B4200" s="15" t="s">
        <v>14328</v>
      </c>
      <c r="C4200" s="16">
        <v>27781.0</v>
      </c>
      <c r="D4200" s="17" t="s">
        <v>14329</v>
      </c>
    </row>
    <row r="4201">
      <c r="A4201" s="14">
        <v>23.0</v>
      </c>
      <c r="B4201" s="15" t="s">
        <v>14330</v>
      </c>
      <c r="C4201" s="16">
        <v>27782.0</v>
      </c>
      <c r="D4201" s="17" t="s">
        <v>14331</v>
      </c>
    </row>
    <row r="4202">
      <c r="A4202" s="14">
        <v>25.0</v>
      </c>
      <c r="B4202" s="15" t="s">
        <v>14332</v>
      </c>
      <c r="C4202" s="16">
        <v>27784.0</v>
      </c>
      <c r="D4202" s="17" t="s">
        <v>14333</v>
      </c>
    </row>
    <row r="4203">
      <c r="A4203" s="14" t="s">
        <v>6374</v>
      </c>
      <c r="B4203" s="15" t="s">
        <v>14334</v>
      </c>
      <c r="C4203" s="16">
        <v>27793.0</v>
      </c>
      <c r="D4203" s="17" t="s">
        <v>14335</v>
      </c>
    </row>
    <row r="4204">
      <c r="A4204" s="14">
        <v>3.0</v>
      </c>
      <c r="B4204" s="15" t="s">
        <v>14336</v>
      </c>
      <c r="C4204" s="16">
        <v>27793.0</v>
      </c>
      <c r="D4204" s="17" t="s">
        <v>14337</v>
      </c>
    </row>
    <row r="4205">
      <c r="A4205" s="14">
        <v>3.0</v>
      </c>
      <c r="B4205" s="15" t="s">
        <v>14338</v>
      </c>
      <c r="C4205" s="16">
        <v>27793.0</v>
      </c>
      <c r="D4205" s="17" t="s">
        <v>14339</v>
      </c>
    </row>
    <row r="4206">
      <c r="A4206" s="14" t="s">
        <v>6374</v>
      </c>
      <c r="B4206" s="15" t="s">
        <v>14340</v>
      </c>
      <c r="C4206" s="16">
        <v>27794.0</v>
      </c>
      <c r="D4206" s="17" t="s">
        <v>14341</v>
      </c>
    </row>
    <row r="4207">
      <c r="A4207" s="14">
        <v>4.0</v>
      </c>
      <c r="B4207" s="15" t="s">
        <v>14342</v>
      </c>
      <c r="C4207" s="16">
        <v>27794.0</v>
      </c>
      <c r="D4207" s="17" t="s">
        <v>14343</v>
      </c>
    </row>
    <row r="4208">
      <c r="A4208" s="14">
        <v>4.0</v>
      </c>
      <c r="B4208" s="15" t="s">
        <v>14344</v>
      </c>
      <c r="C4208" s="16">
        <v>27794.0</v>
      </c>
      <c r="D4208" s="17" t="s">
        <v>14345</v>
      </c>
    </row>
    <row r="4209">
      <c r="A4209" s="14" t="s">
        <v>6374</v>
      </c>
      <c r="B4209" s="15" t="s">
        <v>14346</v>
      </c>
      <c r="C4209" s="16">
        <v>27795.0</v>
      </c>
      <c r="D4209" s="17" t="s">
        <v>14347</v>
      </c>
    </row>
    <row r="4210">
      <c r="A4210" s="14" t="s">
        <v>6057</v>
      </c>
      <c r="B4210" s="15" t="s">
        <v>14348</v>
      </c>
      <c r="C4210" s="16">
        <v>27795.0</v>
      </c>
      <c r="D4210" s="17" t="s">
        <v>14349</v>
      </c>
    </row>
    <row r="4211">
      <c r="A4211" s="14">
        <v>5.0</v>
      </c>
      <c r="B4211" s="15" t="s">
        <v>14350</v>
      </c>
      <c r="C4211" s="16">
        <v>27795.0</v>
      </c>
      <c r="D4211" s="17" t="s">
        <v>14351</v>
      </c>
    </row>
    <row r="4212">
      <c r="A4212" s="14">
        <v>5.0</v>
      </c>
      <c r="B4212" s="15" t="s">
        <v>14352</v>
      </c>
      <c r="C4212" s="16">
        <v>27795.0</v>
      </c>
      <c r="D4212" s="17" t="s">
        <v>14353</v>
      </c>
    </row>
    <row r="4213">
      <c r="A4213" s="14">
        <v>5.0</v>
      </c>
      <c r="B4213" s="15" t="s">
        <v>14354</v>
      </c>
      <c r="C4213" s="16">
        <v>27795.0</v>
      </c>
      <c r="D4213" s="17" t="s">
        <v>14355</v>
      </c>
    </row>
    <row r="4214">
      <c r="A4214" s="14">
        <v>5.0</v>
      </c>
      <c r="B4214" s="15" t="s">
        <v>14356</v>
      </c>
      <c r="C4214" s="16">
        <v>27795.0</v>
      </c>
      <c r="D4214" s="17" t="s">
        <v>14357</v>
      </c>
    </row>
    <row r="4215">
      <c r="A4215" s="14" t="s">
        <v>6374</v>
      </c>
      <c r="B4215" s="15" t="s">
        <v>14358</v>
      </c>
      <c r="C4215" s="16">
        <v>27796.0</v>
      </c>
      <c r="D4215" s="17" t="s">
        <v>14359</v>
      </c>
    </row>
    <row r="4216">
      <c r="A4216" s="14">
        <v>6.0</v>
      </c>
      <c r="B4216" s="15" t="s">
        <v>14360</v>
      </c>
      <c r="C4216" s="16">
        <v>27796.0</v>
      </c>
      <c r="D4216" s="17" t="s">
        <v>14361</v>
      </c>
    </row>
    <row r="4217">
      <c r="A4217" s="14">
        <v>6.0</v>
      </c>
      <c r="B4217" s="15" t="s">
        <v>14362</v>
      </c>
      <c r="C4217" s="16">
        <v>27796.0</v>
      </c>
      <c r="D4217" s="17" t="s">
        <v>14363</v>
      </c>
    </row>
    <row r="4218">
      <c r="A4218" s="14" t="s">
        <v>6344</v>
      </c>
      <c r="B4218" s="15" t="s">
        <v>14364</v>
      </c>
      <c r="C4218" s="16">
        <v>27798.0</v>
      </c>
      <c r="D4218" s="17" t="s">
        <v>14365</v>
      </c>
    </row>
    <row r="4219">
      <c r="A4219" s="14">
        <v>8.0</v>
      </c>
      <c r="B4219" s="15" t="s">
        <v>14366</v>
      </c>
      <c r="C4219" s="16">
        <v>27798.0</v>
      </c>
      <c r="D4219" s="17" t="s">
        <v>14367</v>
      </c>
    </row>
    <row r="4220">
      <c r="A4220" s="14">
        <v>8.0</v>
      </c>
      <c r="B4220" s="15" t="s">
        <v>14368</v>
      </c>
      <c r="C4220" s="16">
        <v>27798.0</v>
      </c>
      <c r="D4220" s="17" t="s">
        <v>14369</v>
      </c>
    </row>
    <row r="4221">
      <c r="A4221" s="14" t="s">
        <v>6374</v>
      </c>
      <c r="B4221" s="15" t="s">
        <v>14370</v>
      </c>
      <c r="C4221" s="16">
        <v>27799.0</v>
      </c>
      <c r="D4221" s="17" t="s">
        <v>14371</v>
      </c>
    </row>
    <row r="4222">
      <c r="A4222" s="14">
        <v>9.0</v>
      </c>
      <c r="B4222" s="15" t="s">
        <v>14372</v>
      </c>
      <c r="C4222" s="16">
        <v>27799.0</v>
      </c>
      <c r="D4222" s="17" t="s">
        <v>14373</v>
      </c>
    </row>
    <row r="4223">
      <c r="A4223" s="14">
        <v>9.0</v>
      </c>
      <c r="B4223" s="15" t="s">
        <v>14374</v>
      </c>
      <c r="C4223" s="16">
        <v>27799.0</v>
      </c>
      <c r="D4223" s="17" t="s">
        <v>14375</v>
      </c>
    </row>
    <row r="4224">
      <c r="A4224" s="14" t="s">
        <v>6374</v>
      </c>
      <c r="B4224" s="15" t="s">
        <v>14376</v>
      </c>
      <c r="C4224" s="16">
        <v>27800.0</v>
      </c>
      <c r="D4224" s="17" t="s">
        <v>14377</v>
      </c>
    </row>
    <row r="4225">
      <c r="A4225" s="14" t="s">
        <v>6344</v>
      </c>
      <c r="B4225" s="15" t="s">
        <v>14378</v>
      </c>
      <c r="C4225" s="16">
        <v>27800.0</v>
      </c>
      <c r="D4225" s="17" t="s">
        <v>14379</v>
      </c>
    </row>
    <row r="4226">
      <c r="A4226" s="14">
        <v>10.0</v>
      </c>
      <c r="B4226" s="15" t="s">
        <v>14380</v>
      </c>
      <c r="C4226" s="16">
        <v>27800.0</v>
      </c>
      <c r="D4226" s="17" t="s">
        <v>14381</v>
      </c>
    </row>
    <row r="4227">
      <c r="A4227" s="14">
        <v>10.0</v>
      </c>
      <c r="B4227" s="15" t="s">
        <v>14382</v>
      </c>
      <c r="C4227" s="16">
        <v>27800.0</v>
      </c>
      <c r="D4227" s="17" t="s">
        <v>14383</v>
      </c>
    </row>
    <row r="4228">
      <c r="A4228" s="14">
        <v>10.0</v>
      </c>
      <c r="B4228" s="15" t="s">
        <v>14384</v>
      </c>
      <c r="C4228" s="16">
        <v>27800.0</v>
      </c>
      <c r="D4228" s="17" t="s">
        <v>14385</v>
      </c>
    </row>
    <row r="4229">
      <c r="A4229" s="14">
        <v>10.0</v>
      </c>
      <c r="B4229" s="15" t="s">
        <v>14386</v>
      </c>
      <c r="C4229" s="16">
        <v>27800.0</v>
      </c>
      <c r="D4229" s="17" t="s">
        <v>14387</v>
      </c>
    </row>
    <row r="4230">
      <c r="A4230" s="14">
        <v>11.0</v>
      </c>
      <c r="B4230" s="15" t="s">
        <v>14388</v>
      </c>
      <c r="C4230" s="16">
        <v>27801.0</v>
      </c>
      <c r="D4230" s="17" t="s">
        <v>14389</v>
      </c>
    </row>
    <row r="4231">
      <c r="A4231" s="14">
        <v>11.0</v>
      </c>
      <c r="B4231" s="15" t="s">
        <v>14390</v>
      </c>
      <c r="C4231" s="16">
        <v>27801.0</v>
      </c>
      <c r="D4231" s="17" t="s">
        <v>14391</v>
      </c>
    </row>
    <row r="4232">
      <c r="A4232" s="14" t="s">
        <v>6374</v>
      </c>
      <c r="B4232" s="15" t="s">
        <v>14392</v>
      </c>
      <c r="C4232" s="16">
        <v>27802.0</v>
      </c>
      <c r="D4232" s="17" t="s">
        <v>14393</v>
      </c>
    </row>
    <row r="4233">
      <c r="A4233" s="14">
        <v>12.0</v>
      </c>
      <c r="B4233" s="15" t="s">
        <v>14394</v>
      </c>
      <c r="C4233" s="16">
        <v>27802.0</v>
      </c>
      <c r="D4233" s="17" t="s">
        <v>14395</v>
      </c>
    </row>
    <row r="4234">
      <c r="A4234" s="14">
        <v>12.0</v>
      </c>
      <c r="B4234" s="15" t="s">
        <v>14396</v>
      </c>
      <c r="C4234" s="16">
        <v>27802.0</v>
      </c>
      <c r="D4234" s="17" t="s">
        <v>14397</v>
      </c>
    </row>
    <row r="4235">
      <c r="A4235" s="14">
        <v>12.0</v>
      </c>
      <c r="B4235" s="15" t="s">
        <v>14398</v>
      </c>
      <c r="C4235" s="16">
        <v>27802.0</v>
      </c>
      <c r="D4235" s="17" t="s">
        <v>14399</v>
      </c>
    </row>
    <row r="4236">
      <c r="A4236" s="14" t="s">
        <v>6344</v>
      </c>
      <c r="B4236" s="15" t="s">
        <v>14400</v>
      </c>
      <c r="C4236" s="16">
        <v>27804.0</v>
      </c>
      <c r="D4236" s="17" t="s">
        <v>14401</v>
      </c>
    </row>
    <row r="4237">
      <c r="A4237" s="14">
        <v>14.0</v>
      </c>
      <c r="B4237" s="15" t="s">
        <v>14402</v>
      </c>
      <c r="C4237" s="16">
        <v>27804.0</v>
      </c>
      <c r="D4237" s="17" t="s">
        <v>14403</v>
      </c>
    </row>
    <row r="4238">
      <c r="A4238" s="14">
        <v>14.0</v>
      </c>
      <c r="B4238" s="15" t="s">
        <v>14404</v>
      </c>
      <c r="C4238" s="16">
        <v>27804.0</v>
      </c>
      <c r="D4238" s="17" t="s">
        <v>14405</v>
      </c>
    </row>
    <row r="4239">
      <c r="A4239" s="14" t="s">
        <v>6344</v>
      </c>
      <c r="B4239" s="15" t="s">
        <v>14406</v>
      </c>
      <c r="C4239" s="16">
        <v>27805.0</v>
      </c>
      <c r="D4239" s="17" t="s">
        <v>14407</v>
      </c>
    </row>
    <row r="4240">
      <c r="A4240" s="14">
        <v>15.0</v>
      </c>
      <c r="B4240" s="15" t="s">
        <v>14408</v>
      </c>
      <c r="C4240" s="16">
        <v>27805.0</v>
      </c>
      <c r="D4240" s="17" t="s">
        <v>14409</v>
      </c>
    </row>
    <row r="4241">
      <c r="A4241" s="14">
        <v>15.0</v>
      </c>
      <c r="B4241" s="15" t="s">
        <v>14410</v>
      </c>
      <c r="C4241" s="16">
        <v>27805.0</v>
      </c>
      <c r="D4241" s="17" t="s">
        <v>14411</v>
      </c>
    </row>
    <row r="4242">
      <c r="A4242" s="14" t="s">
        <v>6344</v>
      </c>
      <c r="B4242" s="15" t="s">
        <v>14412</v>
      </c>
      <c r="C4242" s="16">
        <v>27806.0</v>
      </c>
      <c r="D4242" s="17" t="s">
        <v>14413</v>
      </c>
    </row>
    <row r="4243">
      <c r="A4243" s="14">
        <v>16.0</v>
      </c>
      <c r="B4243" s="15" t="s">
        <v>14414</v>
      </c>
      <c r="C4243" s="16">
        <v>27806.0</v>
      </c>
      <c r="D4243" s="17" t="s">
        <v>14415</v>
      </c>
    </row>
    <row r="4244">
      <c r="A4244" s="14">
        <v>16.0</v>
      </c>
      <c r="B4244" s="15" t="s">
        <v>14416</v>
      </c>
      <c r="C4244" s="16">
        <v>27806.0</v>
      </c>
      <c r="D4244" s="17" t="s">
        <v>14417</v>
      </c>
    </row>
    <row r="4245">
      <c r="A4245" s="14" t="s">
        <v>6344</v>
      </c>
      <c r="B4245" s="15" t="s">
        <v>14418</v>
      </c>
      <c r="C4245" s="16">
        <v>27807.0</v>
      </c>
      <c r="D4245" s="17" t="s">
        <v>14419</v>
      </c>
    </row>
    <row r="4246">
      <c r="A4246" s="14">
        <v>17.0</v>
      </c>
      <c r="B4246" s="15" t="s">
        <v>14420</v>
      </c>
      <c r="C4246" s="16">
        <v>27807.0</v>
      </c>
      <c r="D4246" s="17" t="s">
        <v>14421</v>
      </c>
    </row>
    <row r="4247">
      <c r="A4247" s="14">
        <v>17.0</v>
      </c>
      <c r="B4247" s="15" t="s">
        <v>14422</v>
      </c>
      <c r="C4247" s="16">
        <v>27807.0</v>
      </c>
      <c r="D4247" s="17" t="s">
        <v>14423</v>
      </c>
    </row>
    <row r="4248">
      <c r="A4248" s="14" t="s">
        <v>6344</v>
      </c>
      <c r="B4248" s="15" t="s">
        <v>14424</v>
      </c>
      <c r="C4248" s="16">
        <v>27808.0</v>
      </c>
      <c r="D4248" s="17" t="s">
        <v>14425</v>
      </c>
    </row>
    <row r="4249">
      <c r="A4249" s="14">
        <v>18.0</v>
      </c>
      <c r="B4249" s="15" t="s">
        <v>14426</v>
      </c>
      <c r="C4249" s="16">
        <v>27808.0</v>
      </c>
      <c r="D4249" s="17" t="s">
        <v>14427</v>
      </c>
    </row>
    <row r="4250">
      <c r="A4250" s="14">
        <v>18.0</v>
      </c>
      <c r="B4250" s="15" t="s">
        <v>14428</v>
      </c>
      <c r="C4250" s="16">
        <v>27808.0</v>
      </c>
      <c r="D4250" s="17" t="s">
        <v>14429</v>
      </c>
    </row>
    <row r="4251">
      <c r="A4251" s="14">
        <v>18.0</v>
      </c>
      <c r="B4251" s="15" t="s">
        <v>14430</v>
      </c>
      <c r="C4251" s="16">
        <v>27808.0</v>
      </c>
      <c r="D4251" s="17" t="s">
        <v>14431</v>
      </c>
    </row>
    <row r="4252">
      <c r="A4252" s="14" t="s">
        <v>6344</v>
      </c>
      <c r="B4252" s="15" t="s">
        <v>14432</v>
      </c>
      <c r="C4252" s="16">
        <v>27809.0</v>
      </c>
      <c r="D4252" s="17" t="s">
        <v>14433</v>
      </c>
    </row>
    <row r="4253">
      <c r="A4253" s="14">
        <v>19.0</v>
      </c>
      <c r="B4253" s="15" t="s">
        <v>14434</v>
      </c>
      <c r="C4253" s="16">
        <v>27809.0</v>
      </c>
      <c r="D4253" s="17" t="s">
        <v>14435</v>
      </c>
    </row>
    <row r="4254">
      <c r="A4254" s="14">
        <v>19.0</v>
      </c>
      <c r="B4254" s="15" t="s">
        <v>14436</v>
      </c>
      <c r="C4254" s="16">
        <v>27809.0</v>
      </c>
      <c r="D4254" s="17" t="s">
        <v>14437</v>
      </c>
    </row>
    <row r="4255">
      <c r="A4255" s="14">
        <v>19.0</v>
      </c>
      <c r="B4255" s="15" t="s">
        <v>14438</v>
      </c>
      <c r="C4255" s="16">
        <v>27809.0</v>
      </c>
      <c r="D4255" s="17" t="s">
        <v>14439</v>
      </c>
    </row>
    <row r="4256">
      <c r="A4256" s="14" t="s">
        <v>6344</v>
      </c>
      <c r="B4256" s="15" t="s">
        <v>14440</v>
      </c>
      <c r="C4256" s="16">
        <v>27810.0</v>
      </c>
      <c r="D4256" s="17" t="s">
        <v>14441</v>
      </c>
    </row>
    <row r="4257">
      <c r="A4257" s="14">
        <v>20.0</v>
      </c>
      <c r="B4257" s="15" t="s">
        <v>14442</v>
      </c>
      <c r="C4257" s="16">
        <v>27810.0</v>
      </c>
      <c r="D4257" s="17" t="s">
        <v>14443</v>
      </c>
    </row>
    <row r="4258">
      <c r="A4258" s="14">
        <v>20.0</v>
      </c>
      <c r="B4258" s="15" t="s">
        <v>14444</v>
      </c>
      <c r="C4258" s="16">
        <v>27810.0</v>
      </c>
      <c r="D4258" s="17" t="s">
        <v>14445</v>
      </c>
    </row>
    <row r="4259">
      <c r="A4259" s="14">
        <v>20.0</v>
      </c>
      <c r="B4259" s="15" t="s">
        <v>14446</v>
      </c>
      <c r="C4259" s="16">
        <v>27810.0</v>
      </c>
      <c r="D4259" s="17" t="s">
        <v>14447</v>
      </c>
    </row>
    <row r="4260">
      <c r="A4260" s="14" t="s">
        <v>6087</v>
      </c>
      <c r="B4260" s="15" t="s">
        <v>14448</v>
      </c>
      <c r="C4260" s="16">
        <v>27811.0</v>
      </c>
      <c r="D4260" s="17" t="s">
        <v>14449</v>
      </c>
    </row>
    <row r="4261">
      <c r="A4261" s="14" t="s">
        <v>6344</v>
      </c>
      <c r="B4261" s="15" t="s">
        <v>14450</v>
      </c>
      <c r="C4261" s="16">
        <v>27811.0</v>
      </c>
      <c r="D4261" s="17" t="s">
        <v>14451</v>
      </c>
    </row>
    <row r="4262">
      <c r="A4262" s="14" t="s">
        <v>6057</v>
      </c>
      <c r="B4262" s="15" t="s">
        <v>14452</v>
      </c>
      <c r="C4262" s="16">
        <v>27811.0</v>
      </c>
      <c r="D4262" s="17" t="s">
        <v>14453</v>
      </c>
    </row>
    <row r="4263">
      <c r="A4263" s="14">
        <v>21.0</v>
      </c>
      <c r="B4263" s="15" t="s">
        <v>14454</v>
      </c>
      <c r="C4263" s="16">
        <v>27811.0</v>
      </c>
      <c r="D4263" s="17" t="s">
        <v>14455</v>
      </c>
    </row>
    <row r="4264">
      <c r="A4264" s="14">
        <v>21.0</v>
      </c>
      <c r="B4264" s="15" t="s">
        <v>14456</v>
      </c>
      <c r="C4264" s="16">
        <v>27811.0</v>
      </c>
      <c r="D4264" s="17" t="s">
        <v>14457</v>
      </c>
    </row>
    <row r="4265">
      <c r="A4265" s="14">
        <v>21.0</v>
      </c>
      <c r="B4265" s="15" t="s">
        <v>14458</v>
      </c>
      <c r="C4265" s="16">
        <v>27811.0</v>
      </c>
      <c r="D4265" s="17" t="s">
        <v>14459</v>
      </c>
    </row>
    <row r="4266">
      <c r="A4266" s="14">
        <v>21.0</v>
      </c>
      <c r="B4266" s="15" t="s">
        <v>14460</v>
      </c>
      <c r="C4266" s="16">
        <v>27811.0</v>
      </c>
      <c r="D4266" s="17" t="s">
        <v>14461</v>
      </c>
    </row>
    <row r="4267">
      <c r="A4267" s="14">
        <v>21.0</v>
      </c>
      <c r="B4267" s="15" t="s">
        <v>14462</v>
      </c>
      <c r="C4267" s="16">
        <v>27811.0</v>
      </c>
      <c r="D4267" s="17" t="s">
        <v>14463</v>
      </c>
    </row>
    <row r="4268">
      <c r="A4268" s="14">
        <v>21.0</v>
      </c>
      <c r="B4268" s="15" t="s">
        <v>14464</v>
      </c>
      <c r="C4268" s="16">
        <v>27811.0</v>
      </c>
      <c r="D4268" s="17" t="s">
        <v>14465</v>
      </c>
    </row>
    <row r="4269">
      <c r="A4269" s="14" t="s">
        <v>6344</v>
      </c>
      <c r="B4269" s="15" t="s">
        <v>14466</v>
      </c>
      <c r="C4269" s="16">
        <v>27812.0</v>
      </c>
      <c r="D4269" s="17" t="s">
        <v>14467</v>
      </c>
    </row>
    <row r="4270">
      <c r="A4270" s="14">
        <v>22.0</v>
      </c>
      <c r="B4270" s="15" t="s">
        <v>14468</v>
      </c>
      <c r="C4270" s="16">
        <v>27812.0</v>
      </c>
      <c r="D4270" s="17" t="s">
        <v>14469</v>
      </c>
    </row>
    <row r="4271">
      <c r="A4271" s="14">
        <v>22.0</v>
      </c>
      <c r="B4271" s="15" t="s">
        <v>14470</v>
      </c>
      <c r="C4271" s="16">
        <v>27812.0</v>
      </c>
      <c r="D4271" s="17" t="s">
        <v>14471</v>
      </c>
    </row>
    <row r="4272">
      <c r="A4272" s="14">
        <v>22.0</v>
      </c>
      <c r="B4272" s="15" t="s">
        <v>14472</v>
      </c>
      <c r="C4272" s="16">
        <v>27812.0</v>
      </c>
      <c r="D4272" s="17" t="s">
        <v>14473</v>
      </c>
    </row>
    <row r="4273">
      <c r="A4273" s="14" t="s">
        <v>6344</v>
      </c>
      <c r="B4273" s="15" t="s">
        <v>14474</v>
      </c>
      <c r="C4273" s="16">
        <v>27813.0</v>
      </c>
      <c r="D4273" s="17" t="s">
        <v>14475</v>
      </c>
    </row>
    <row r="4274">
      <c r="A4274" s="14">
        <v>23.0</v>
      </c>
      <c r="B4274" s="15" t="s">
        <v>14476</v>
      </c>
      <c r="C4274" s="16">
        <v>27813.0</v>
      </c>
      <c r="D4274" s="17" t="s">
        <v>14477</v>
      </c>
    </row>
    <row r="4275">
      <c r="A4275" s="14">
        <v>23.0</v>
      </c>
      <c r="B4275" s="15" t="s">
        <v>14478</v>
      </c>
      <c r="C4275" s="16">
        <v>27813.0</v>
      </c>
      <c r="D4275" s="17" t="s">
        <v>14479</v>
      </c>
    </row>
    <row r="4276">
      <c r="A4276" s="14" t="s">
        <v>6344</v>
      </c>
      <c r="B4276" s="15" t="s">
        <v>14480</v>
      </c>
      <c r="C4276" s="16">
        <v>27814.0</v>
      </c>
      <c r="D4276" s="17" t="s">
        <v>14481</v>
      </c>
    </row>
    <row r="4277">
      <c r="A4277" s="14">
        <v>24.0</v>
      </c>
      <c r="B4277" s="15" t="s">
        <v>14482</v>
      </c>
      <c r="C4277" s="16">
        <v>27814.0</v>
      </c>
      <c r="D4277" s="17" t="s">
        <v>14483</v>
      </c>
    </row>
    <row r="4278">
      <c r="A4278" s="14">
        <v>24.0</v>
      </c>
      <c r="B4278" s="15" t="s">
        <v>14484</v>
      </c>
      <c r="C4278" s="16">
        <v>27814.0</v>
      </c>
      <c r="D4278" s="17" t="s">
        <v>14485</v>
      </c>
    </row>
    <row r="4279">
      <c r="A4279" s="14" t="s">
        <v>6374</v>
      </c>
      <c r="B4279" s="15" t="s">
        <v>14486</v>
      </c>
      <c r="C4279" s="16">
        <v>27815.0</v>
      </c>
      <c r="D4279" s="17" t="s">
        <v>14487</v>
      </c>
    </row>
    <row r="4280">
      <c r="A4280" s="14" t="s">
        <v>6344</v>
      </c>
      <c r="B4280" s="15" t="s">
        <v>14488</v>
      </c>
      <c r="C4280" s="16">
        <v>27815.0</v>
      </c>
      <c r="D4280" s="17" t="s">
        <v>14489</v>
      </c>
    </row>
    <row r="4281">
      <c r="A4281" s="14">
        <v>25.0</v>
      </c>
      <c r="B4281" s="15" t="s">
        <v>14490</v>
      </c>
      <c r="C4281" s="16">
        <v>27815.0</v>
      </c>
      <c r="D4281" s="17" t="s">
        <v>14491</v>
      </c>
    </row>
    <row r="4282">
      <c r="A4282" s="14">
        <v>25.0</v>
      </c>
      <c r="B4282" s="15" t="s">
        <v>14492</v>
      </c>
      <c r="C4282" s="16">
        <v>27815.0</v>
      </c>
      <c r="D4282" s="17" t="s">
        <v>14493</v>
      </c>
    </row>
    <row r="4283">
      <c r="A4283" s="14">
        <v>25.0</v>
      </c>
      <c r="B4283" s="15" t="s">
        <v>14494</v>
      </c>
      <c r="C4283" s="16">
        <v>27815.0</v>
      </c>
      <c r="D4283" s="17" t="s">
        <v>14495</v>
      </c>
    </row>
    <row r="4284">
      <c r="A4284" s="14">
        <v>25.0</v>
      </c>
      <c r="B4284" s="15" t="s">
        <v>14496</v>
      </c>
      <c r="C4284" s="16">
        <v>27815.0</v>
      </c>
      <c r="D4284" s="17" t="s">
        <v>14497</v>
      </c>
    </row>
    <row r="4285">
      <c r="A4285" s="14" t="s">
        <v>6374</v>
      </c>
      <c r="B4285" s="15" t="s">
        <v>14498</v>
      </c>
      <c r="C4285" s="16">
        <v>27816.0</v>
      </c>
      <c r="D4285" s="17" t="s">
        <v>14499</v>
      </c>
    </row>
    <row r="4286">
      <c r="A4286" s="14" t="s">
        <v>6344</v>
      </c>
      <c r="B4286" s="15" t="s">
        <v>14500</v>
      </c>
      <c r="C4286" s="16">
        <v>27816.0</v>
      </c>
      <c r="D4286" s="17" t="s">
        <v>14501</v>
      </c>
    </row>
    <row r="4287">
      <c r="A4287" s="14">
        <v>26.0</v>
      </c>
      <c r="B4287" s="15" t="s">
        <v>14502</v>
      </c>
      <c r="C4287" s="16">
        <v>27816.0</v>
      </c>
      <c r="D4287" s="17" t="s">
        <v>14503</v>
      </c>
    </row>
    <row r="4288">
      <c r="A4288" s="14">
        <v>26.0</v>
      </c>
      <c r="B4288" s="15" t="s">
        <v>14504</v>
      </c>
      <c r="C4288" s="16">
        <v>27816.0</v>
      </c>
      <c r="D4288" s="17" t="s">
        <v>14505</v>
      </c>
    </row>
    <row r="4289">
      <c r="A4289" s="14">
        <v>26.0</v>
      </c>
      <c r="B4289" s="15" t="s">
        <v>14506</v>
      </c>
      <c r="C4289" s="16">
        <v>27816.0</v>
      </c>
      <c r="D4289" s="17" t="s">
        <v>14507</v>
      </c>
    </row>
    <row r="4290">
      <c r="A4290" s="14">
        <v>26.0</v>
      </c>
      <c r="B4290" s="15" t="s">
        <v>14508</v>
      </c>
      <c r="C4290" s="16">
        <v>27816.0</v>
      </c>
      <c r="D4290" s="17" t="s">
        <v>14509</v>
      </c>
    </row>
    <row r="4291">
      <c r="A4291" s="14" t="s">
        <v>6344</v>
      </c>
      <c r="B4291" s="15" t="s">
        <v>14510</v>
      </c>
      <c r="C4291" s="16">
        <v>27817.0</v>
      </c>
      <c r="D4291" s="17" t="s">
        <v>14511</v>
      </c>
    </row>
    <row r="4292">
      <c r="A4292" s="14">
        <v>27.0</v>
      </c>
      <c r="B4292" s="15" t="s">
        <v>14512</v>
      </c>
      <c r="C4292" s="16">
        <v>27817.0</v>
      </c>
      <c r="D4292" s="17" t="s">
        <v>14513</v>
      </c>
    </row>
    <row r="4293">
      <c r="A4293" s="14">
        <v>27.0</v>
      </c>
      <c r="B4293" s="15" t="s">
        <v>14514</v>
      </c>
      <c r="C4293" s="16">
        <v>27817.0</v>
      </c>
      <c r="D4293" s="17" t="s">
        <v>14515</v>
      </c>
    </row>
    <row r="4294">
      <c r="A4294" s="14">
        <v>27.0</v>
      </c>
      <c r="B4294" s="15" t="s">
        <v>14516</v>
      </c>
      <c r="C4294" s="16">
        <v>27817.0</v>
      </c>
      <c r="D4294" s="17" t="s">
        <v>14517</v>
      </c>
    </row>
    <row r="4295">
      <c r="A4295" s="14" t="s">
        <v>6344</v>
      </c>
      <c r="B4295" s="15" t="s">
        <v>14518</v>
      </c>
      <c r="C4295" s="16">
        <v>27818.0</v>
      </c>
      <c r="D4295" s="17" t="s">
        <v>14519</v>
      </c>
    </row>
    <row r="4296">
      <c r="A4296" s="14">
        <v>28.0</v>
      </c>
      <c r="B4296" s="15" t="s">
        <v>14520</v>
      </c>
      <c r="C4296" s="16">
        <v>27818.0</v>
      </c>
      <c r="D4296" s="17" t="s">
        <v>14521</v>
      </c>
    </row>
    <row r="4297">
      <c r="A4297" s="14">
        <v>28.0</v>
      </c>
      <c r="B4297" s="15" t="s">
        <v>14522</v>
      </c>
      <c r="C4297" s="16">
        <v>27818.0</v>
      </c>
      <c r="D4297" s="17" t="s">
        <v>14523</v>
      </c>
    </row>
    <row r="4298">
      <c r="A4298" s="14">
        <v>28.0</v>
      </c>
      <c r="B4298" s="15" t="s">
        <v>14524</v>
      </c>
      <c r="C4298" s="16">
        <v>27818.0</v>
      </c>
      <c r="D4298" s="17" t="s">
        <v>14525</v>
      </c>
    </row>
    <row r="4299">
      <c r="A4299" s="14" t="s">
        <v>6344</v>
      </c>
      <c r="B4299" s="15" t="s">
        <v>14526</v>
      </c>
      <c r="C4299" s="16">
        <v>27819.0</v>
      </c>
      <c r="D4299" s="17" t="s">
        <v>14527</v>
      </c>
    </row>
    <row r="4300">
      <c r="A4300" s="14">
        <v>29.0</v>
      </c>
      <c r="B4300" s="15" t="s">
        <v>14528</v>
      </c>
      <c r="C4300" s="16">
        <v>27819.0</v>
      </c>
      <c r="D4300" s="17" t="s">
        <v>14529</v>
      </c>
    </row>
    <row r="4301">
      <c r="A4301" s="14">
        <v>29.0</v>
      </c>
      <c r="B4301" s="15" t="s">
        <v>14530</v>
      </c>
      <c r="C4301" s="16">
        <v>27819.0</v>
      </c>
      <c r="D4301" s="17" t="s">
        <v>14531</v>
      </c>
    </row>
    <row r="4302">
      <c r="A4302" s="14">
        <v>29.0</v>
      </c>
      <c r="B4302" s="15" t="s">
        <v>14532</v>
      </c>
      <c r="C4302" s="16">
        <v>27819.0</v>
      </c>
      <c r="D4302" s="17" t="s">
        <v>14533</v>
      </c>
    </row>
    <row r="4303">
      <c r="A4303" s="14" t="s">
        <v>6344</v>
      </c>
      <c r="B4303" s="15" t="s">
        <v>14534</v>
      </c>
      <c r="C4303" s="16">
        <v>27820.0</v>
      </c>
      <c r="D4303" s="17" t="s">
        <v>14535</v>
      </c>
    </row>
    <row r="4304">
      <c r="A4304" s="14">
        <v>1.0</v>
      </c>
      <c r="B4304" s="15" t="s">
        <v>14536</v>
      </c>
      <c r="C4304" s="16">
        <v>27820.0</v>
      </c>
      <c r="D4304" s="17" t="s">
        <v>14537</v>
      </c>
    </row>
    <row r="4305">
      <c r="A4305" s="14">
        <v>1.0</v>
      </c>
      <c r="B4305" s="15" t="s">
        <v>14538</v>
      </c>
      <c r="C4305" s="16">
        <v>27820.0</v>
      </c>
      <c r="D4305" s="17" t="s">
        <v>14539</v>
      </c>
    </row>
    <row r="4306">
      <c r="A4306" s="14">
        <v>1.0</v>
      </c>
      <c r="B4306" s="15" t="s">
        <v>14540</v>
      </c>
      <c r="C4306" s="16">
        <v>27820.0</v>
      </c>
      <c r="D4306" s="17" t="s">
        <v>14541</v>
      </c>
    </row>
    <row r="4307">
      <c r="A4307" s="14" t="s">
        <v>6344</v>
      </c>
      <c r="B4307" s="15" t="s">
        <v>14542</v>
      </c>
      <c r="C4307" s="16">
        <v>27821.0</v>
      </c>
      <c r="D4307" s="17" t="s">
        <v>14543</v>
      </c>
    </row>
    <row r="4308">
      <c r="A4308" s="14">
        <v>2.0</v>
      </c>
      <c r="B4308" s="15" t="s">
        <v>14544</v>
      </c>
      <c r="C4308" s="16">
        <v>27821.0</v>
      </c>
      <c r="D4308" s="17" t="s">
        <v>14545</v>
      </c>
    </row>
    <row r="4309">
      <c r="A4309" s="14">
        <v>2.0</v>
      </c>
      <c r="B4309" s="15" t="s">
        <v>14546</v>
      </c>
      <c r="C4309" s="16">
        <v>27821.0</v>
      </c>
      <c r="D4309" s="17" t="s">
        <v>14547</v>
      </c>
    </row>
    <row r="4310">
      <c r="A4310" s="14">
        <v>2.0</v>
      </c>
      <c r="B4310" s="15" t="s">
        <v>14548</v>
      </c>
      <c r="C4310" s="16">
        <v>27821.0</v>
      </c>
      <c r="D4310" s="17" t="s">
        <v>14549</v>
      </c>
    </row>
    <row r="4311">
      <c r="A4311" s="14">
        <v>3.0</v>
      </c>
      <c r="B4311" s="15" t="s">
        <v>14550</v>
      </c>
      <c r="C4311" s="16">
        <v>27822.0</v>
      </c>
      <c r="D4311" s="17" t="s">
        <v>14551</v>
      </c>
    </row>
    <row r="4312">
      <c r="A4312" s="14" t="s">
        <v>6344</v>
      </c>
      <c r="B4312" s="15" t="s">
        <v>14552</v>
      </c>
      <c r="C4312" s="16">
        <v>27823.0</v>
      </c>
      <c r="D4312" s="17" t="s">
        <v>14553</v>
      </c>
    </row>
    <row r="4313">
      <c r="A4313" s="14">
        <v>4.0</v>
      </c>
      <c r="B4313" s="15" t="s">
        <v>14554</v>
      </c>
      <c r="C4313" s="16">
        <v>27823.0</v>
      </c>
      <c r="D4313" s="17" t="s">
        <v>14555</v>
      </c>
    </row>
    <row r="4314">
      <c r="A4314" s="14">
        <v>4.0</v>
      </c>
      <c r="B4314" s="15" t="s">
        <v>14556</v>
      </c>
      <c r="C4314" s="16">
        <v>27823.0</v>
      </c>
      <c r="D4314" s="17" t="s">
        <v>14557</v>
      </c>
    </row>
    <row r="4315">
      <c r="A4315" s="14" t="s">
        <v>6344</v>
      </c>
      <c r="B4315" s="15" t="s">
        <v>14558</v>
      </c>
      <c r="C4315" s="16">
        <v>27824.0</v>
      </c>
      <c r="D4315" s="17" t="s">
        <v>14559</v>
      </c>
    </row>
    <row r="4316">
      <c r="A4316" s="14">
        <v>5.0</v>
      </c>
      <c r="B4316" s="15" t="s">
        <v>14560</v>
      </c>
      <c r="C4316" s="16">
        <v>27824.0</v>
      </c>
      <c r="D4316" s="17" t="s">
        <v>14561</v>
      </c>
    </row>
    <row r="4317">
      <c r="A4317" s="14">
        <v>5.0</v>
      </c>
      <c r="B4317" s="15" t="s">
        <v>14562</v>
      </c>
      <c r="C4317" s="16">
        <v>27824.0</v>
      </c>
      <c r="D4317" s="17" t="s">
        <v>14563</v>
      </c>
    </row>
    <row r="4318">
      <c r="A4318" s="14">
        <v>5.0</v>
      </c>
      <c r="B4318" s="15" t="s">
        <v>14564</v>
      </c>
      <c r="C4318" s="16">
        <v>27824.0</v>
      </c>
      <c r="D4318" s="17" t="s">
        <v>14565</v>
      </c>
    </row>
    <row r="4319">
      <c r="A4319" s="14" t="s">
        <v>6344</v>
      </c>
      <c r="B4319" s="15" t="s">
        <v>14566</v>
      </c>
      <c r="C4319" s="16">
        <v>27825.0</v>
      </c>
      <c r="D4319" s="17" t="s">
        <v>14567</v>
      </c>
    </row>
    <row r="4320">
      <c r="A4320" s="14">
        <v>6.0</v>
      </c>
      <c r="B4320" s="15" t="s">
        <v>14568</v>
      </c>
      <c r="C4320" s="16">
        <v>27825.0</v>
      </c>
      <c r="D4320" s="17" t="s">
        <v>14569</v>
      </c>
    </row>
    <row r="4321">
      <c r="A4321" s="14">
        <v>6.0</v>
      </c>
      <c r="B4321" s="15" t="s">
        <v>14570</v>
      </c>
      <c r="C4321" s="16">
        <v>27825.0</v>
      </c>
      <c r="D4321" s="17" t="s">
        <v>14571</v>
      </c>
    </row>
    <row r="4322">
      <c r="A4322" s="14">
        <v>6.0</v>
      </c>
      <c r="B4322" s="15" t="s">
        <v>14572</v>
      </c>
      <c r="C4322" s="16">
        <v>27825.0</v>
      </c>
      <c r="D4322" s="17" t="s">
        <v>14573</v>
      </c>
    </row>
    <row r="4323">
      <c r="A4323" s="14" t="s">
        <v>7777</v>
      </c>
      <c r="B4323" s="15" t="s">
        <v>14574</v>
      </c>
      <c r="C4323" s="16">
        <v>27825.0</v>
      </c>
      <c r="D4323" s="17" t="s">
        <v>14575</v>
      </c>
    </row>
    <row r="4324">
      <c r="A4324" s="14" t="s">
        <v>6374</v>
      </c>
      <c r="B4324" s="15" t="s">
        <v>14576</v>
      </c>
      <c r="C4324" s="16">
        <v>27826.0</v>
      </c>
      <c r="D4324" s="17" t="s">
        <v>14577</v>
      </c>
    </row>
    <row r="4325">
      <c r="A4325" s="14" t="s">
        <v>6344</v>
      </c>
      <c r="B4325" s="15" t="s">
        <v>14578</v>
      </c>
      <c r="C4325" s="16">
        <v>27826.0</v>
      </c>
      <c r="D4325" s="17" t="s">
        <v>14579</v>
      </c>
    </row>
    <row r="4326">
      <c r="A4326" s="14">
        <v>7.0</v>
      </c>
      <c r="B4326" s="15" t="s">
        <v>14580</v>
      </c>
      <c r="C4326" s="16">
        <v>27826.0</v>
      </c>
      <c r="D4326" s="17" t="s">
        <v>14581</v>
      </c>
    </row>
    <row r="4327">
      <c r="A4327" s="14">
        <v>7.0</v>
      </c>
      <c r="B4327" s="15" t="s">
        <v>14582</v>
      </c>
      <c r="C4327" s="16">
        <v>27826.0</v>
      </c>
      <c r="D4327" s="17" t="s">
        <v>14583</v>
      </c>
    </row>
    <row r="4328">
      <c r="A4328" s="14">
        <v>7.0</v>
      </c>
      <c r="B4328" s="15" t="s">
        <v>14584</v>
      </c>
      <c r="C4328" s="16">
        <v>27826.0</v>
      </c>
      <c r="D4328" s="17" t="s">
        <v>14585</v>
      </c>
    </row>
    <row r="4329">
      <c r="A4329" s="14">
        <v>7.0</v>
      </c>
      <c r="B4329" s="15" t="s">
        <v>14586</v>
      </c>
      <c r="C4329" s="16">
        <v>27826.0</v>
      </c>
      <c r="D4329" s="17" t="s">
        <v>14587</v>
      </c>
    </row>
    <row r="4330">
      <c r="A4330" s="14" t="s">
        <v>6344</v>
      </c>
      <c r="B4330" s="15" t="s">
        <v>14588</v>
      </c>
      <c r="C4330" s="16">
        <v>27827.0</v>
      </c>
      <c r="D4330" s="17" t="s">
        <v>14589</v>
      </c>
    </row>
    <row r="4331">
      <c r="A4331" s="14">
        <v>8.0</v>
      </c>
      <c r="B4331" s="15" t="s">
        <v>14590</v>
      </c>
      <c r="C4331" s="16">
        <v>27827.0</v>
      </c>
      <c r="D4331" s="17" t="s">
        <v>14591</v>
      </c>
    </row>
    <row r="4332">
      <c r="A4332" s="14">
        <v>8.0</v>
      </c>
      <c r="B4332" s="15" t="s">
        <v>14592</v>
      </c>
      <c r="C4332" s="16">
        <v>27827.0</v>
      </c>
      <c r="D4332" s="17" t="s">
        <v>14593</v>
      </c>
    </row>
    <row r="4333">
      <c r="A4333" s="14">
        <v>8.0</v>
      </c>
      <c r="B4333" s="15" t="s">
        <v>14594</v>
      </c>
      <c r="C4333" s="16">
        <v>27827.0</v>
      </c>
      <c r="D4333" s="17" t="s">
        <v>14595</v>
      </c>
    </row>
    <row r="4334">
      <c r="A4334" s="14" t="s">
        <v>6344</v>
      </c>
      <c r="B4334" s="15" t="s">
        <v>14596</v>
      </c>
      <c r="C4334" s="16">
        <v>27828.0</v>
      </c>
      <c r="D4334" s="17" t="s">
        <v>14597</v>
      </c>
    </row>
    <row r="4335">
      <c r="A4335" s="14">
        <v>9.0</v>
      </c>
      <c r="B4335" s="15" t="s">
        <v>14598</v>
      </c>
      <c r="C4335" s="16">
        <v>27828.0</v>
      </c>
      <c r="D4335" s="17" t="s">
        <v>14599</v>
      </c>
    </row>
    <row r="4336">
      <c r="A4336" s="14">
        <v>9.0</v>
      </c>
      <c r="B4336" s="15" t="s">
        <v>14600</v>
      </c>
      <c r="C4336" s="16">
        <v>27828.0</v>
      </c>
      <c r="D4336" s="17" t="s">
        <v>14601</v>
      </c>
    </row>
    <row r="4337">
      <c r="A4337" s="14">
        <v>9.0</v>
      </c>
      <c r="B4337" s="15" t="s">
        <v>14602</v>
      </c>
      <c r="C4337" s="16">
        <v>27828.0</v>
      </c>
      <c r="D4337" s="17" t="s">
        <v>14603</v>
      </c>
    </row>
    <row r="4338">
      <c r="A4338" s="14" t="s">
        <v>6344</v>
      </c>
      <c r="B4338" s="15" t="s">
        <v>14604</v>
      </c>
      <c r="C4338" s="16">
        <v>27829.0</v>
      </c>
      <c r="D4338" s="17" t="s">
        <v>14605</v>
      </c>
    </row>
    <row r="4339">
      <c r="A4339" s="14">
        <v>10.0</v>
      </c>
      <c r="B4339" s="15" t="s">
        <v>14606</v>
      </c>
      <c r="C4339" s="16">
        <v>27829.0</v>
      </c>
      <c r="D4339" s="17" t="s">
        <v>14607</v>
      </c>
    </row>
    <row r="4340">
      <c r="A4340" s="14">
        <v>10.0</v>
      </c>
      <c r="B4340" s="15" t="s">
        <v>14608</v>
      </c>
      <c r="C4340" s="16">
        <v>27829.0</v>
      </c>
      <c r="D4340" s="17" t="s">
        <v>14609</v>
      </c>
    </row>
    <row r="4341">
      <c r="A4341" s="14">
        <v>10.0</v>
      </c>
      <c r="B4341" s="15" t="s">
        <v>14610</v>
      </c>
      <c r="C4341" s="16">
        <v>27829.0</v>
      </c>
      <c r="D4341" s="17" t="s">
        <v>14611</v>
      </c>
    </row>
    <row r="4342">
      <c r="A4342" s="14" t="s">
        <v>6374</v>
      </c>
      <c r="B4342" s="15" t="s">
        <v>14612</v>
      </c>
      <c r="C4342" s="16">
        <v>27830.0</v>
      </c>
      <c r="D4342" s="17" t="s">
        <v>14613</v>
      </c>
    </row>
    <row r="4343">
      <c r="A4343" s="14" t="s">
        <v>6344</v>
      </c>
      <c r="B4343" s="15" t="s">
        <v>14614</v>
      </c>
      <c r="C4343" s="16">
        <v>27830.0</v>
      </c>
      <c r="D4343" s="17" t="s">
        <v>14615</v>
      </c>
    </row>
    <row r="4344">
      <c r="A4344" s="14">
        <v>11.0</v>
      </c>
      <c r="B4344" s="15" t="s">
        <v>14616</v>
      </c>
      <c r="C4344" s="16">
        <v>27830.0</v>
      </c>
      <c r="D4344" s="17" t="s">
        <v>14617</v>
      </c>
    </row>
    <row r="4345">
      <c r="A4345" s="14">
        <v>11.0</v>
      </c>
      <c r="B4345" s="15" t="s">
        <v>14618</v>
      </c>
      <c r="C4345" s="16">
        <v>27830.0</v>
      </c>
      <c r="D4345" s="17" t="s">
        <v>14619</v>
      </c>
    </row>
    <row r="4346">
      <c r="A4346" s="14">
        <v>11.0</v>
      </c>
      <c r="B4346" s="15" t="s">
        <v>14620</v>
      </c>
      <c r="C4346" s="16">
        <v>27830.0</v>
      </c>
      <c r="D4346" s="17" t="s">
        <v>14621</v>
      </c>
    </row>
    <row r="4347">
      <c r="A4347" s="14">
        <v>11.0</v>
      </c>
      <c r="B4347" s="15" t="s">
        <v>14622</v>
      </c>
      <c r="C4347" s="16">
        <v>27830.0</v>
      </c>
      <c r="D4347" s="17" t="s">
        <v>14623</v>
      </c>
    </row>
    <row r="4348">
      <c r="A4348" s="14" t="s">
        <v>6374</v>
      </c>
      <c r="B4348" s="15" t="s">
        <v>14624</v>
      </c>
      <c r="C4348" s="16">
        <v>27831.0</v>
      </c>
      <c r="D4348" s="17" t="s">
        <v>14625</v>
      </c>
    </row>
    <row r="4349">
      <c r="A4349" s="14" t="s">
        <v>6344</v>
      </c>
      <c r="B4349" s="15" t="s">
        <v>14626</v>
      </c>
      <c r="C4349" s="16">
        <v>27831.0</v>
      </c>
      <c r="D4349" s="17" t="s">
        <v>14627</v>
      </c>
    </row>
    <row r="4350">
      <c r="A4350" s="14">
        <v>12.0</v>
      </c>
      <c r="B4350" s="15" t="s">
        <v>14628</v>
      </c>
      <c r="C4350" s="16">
        <v>27831.0</v>
      </c>
      <c r="D4350" s="17" t="s">
        <v>14629</v>
      </c>
    </row>
    <row r="4351">
      <c r="A4351" s="14">
        <v>12.0</v>
      </c>
      <c r="B4351" s="15" t="s">
        <v>14630</v>
      </c>
      <c r="C4351" s="16">
        <v>27831.0</v>
      </c>
      <c r="D4351" s="17" t="s">
        <v>14631</v>
      </c>
    </row>
    <row r="4352">
      <c r="A4352" s="14">
        <v>12.0</v>
      </c>
      <c r="B4352" s="15" t="s">
        <v>14632</v>
      </c>
      <c r="C4352" s="16">
        <v>27831.0</v>
      </c>
      <c r="D4352" s="17" t="s">
        <v>14633</v>
      </c>
    </row>
    <row r="4353">
      <c r="A4353" s="14">
        <v>12.0</v>
      </c>
      <c r="B4353" s="15" t="s">
        <v>14634</v>
      </c>
      <c r="C4353" s="16">
        <v>27831.0</v>
      </c>
      <c r="D4353" s="17" t="s">
        <v>14635</v>
      </c>
    </row>
    <row r="4354">
      <c r="A4354" s="14">
        <v>13.0</v>
      </c>
      <c r="B4354" s="15" t="s">
        <v>14636</v>
      </c>
      <c r="C4354" s="16">
        <v>27832.0</v>
      </c>
      <c r="D4354" s="17" t="s">
        <v>14637</v>
      </c>
    </row>
    <row r="4355">
      <c r="A4355" s="14">
        <v>13.0</v>
      </c>
      <c r="B4355" s="15" t="s">
        <v>14638</v>
      </c>
      <c r="C4355" s="16">
        <v>27832.0</v>
      </c>
      <c r="D4355" s="17" t="s">
        <v>14639</v>
      </c>
    </row>
    <row r="4356">
      <c r="A4356" s="14" t="s">
        <v>6344</v>
      </c>
      <c r="B4356" s="15" t="s">
        <v>14640</v>
      </c>
      <c r="C4356" s="16">
        <v>27833.0</v>
      </c>
      <c r="D4356" s="17" t="s">
        <v>14641</v>
      </c>
    </row>
    <row r="4357">
      <c r="A4357" s="14">
        <v>14.0</v>
      </c>
      <c r="B4357" s="15" t="s">
        <v>14642</v>
      </c>
      <c r="C4357" s="16">
        <v>27833.0</v>
      </c>
      <c r="D4357" s="17" t="s">
        <v>14643</v>
      </c>
    </row>
    <row r="4358">
      <c r="A4358" s="14">
        <v>14.0</v>
      </c>
      <c r="B4358" s="15" t="s">
        <v>14644</v>
      </c>
      <c r="C4358" s="16">
        <v>27833.0</v>
      </c>
      <c r="D4358" s="17" t="s">
        <v>14645</v>
      </c>
    </row>
    <row r="4359">
      <c r="A4359" s="14">
        <v>14.0</v>
      </c>
      <c r="B4359" s="15" t="s">
        <v>14646</v>
      </c>
      <c r="C4359" s="16">
        <v>27833.0</v>
      </c>
      <c r="D4359" s="17" t="s">
        <v>14647</v>
      </c>
    </row>
    <row r="4360">
      <c r="A4360" s="14" t="s">
        <v>6344</v>
      </c>
      <c r="B4360" s="15" t="s">
        <v>14648</v>
      </c>
      <c r="C4360" s="16">
        <v>27834.0</v>
      </c>
      <c r="D4360" s="17" t="s">
        <v>14649</v>
      </c>
    </row>
    <row r="4361">
      <c r="A4361" s="14">
        <v>15.0</v>
      </c>
      <c r="B4361" s="15" t="s">
        <v>14650</v>
      </c>
      <c r="C4361" s="16">
        <v>27834.0</v>
      </c>
      <c r="D4361" s="17" t="s">
        <v>14651</v>
      </c>
    </row>
    <row r="4362">
      <c r="A4362" s="14">
        <v>15.0</v>
      </c>
      <c r="B4362" s="15" t="s">
        <v>14652</v>
      </c>
      <c r="C4362" s="16">
        <v>27834.0</v>
      </c>
      <c r="D4362" s="17" t="s">
        <v>14653</v>
      </c>
    </row>
    <row r="4363">
      <c r="A4363" s="14">
        <v>15.0</v>
      </c>
      <c r="B4363" s="15" t="s">
        <v>14654</v>
      </c>
      <c r="C4363" s="16">
        <v>27834.0</v>
      </c>
      <c r="D4363" s="17" t="s">
        <v>14655</v>
      </c>
    </row>
    <row r="4364">
      <c r="A4364" s="14" t="s">
        <v>6374</v>
      </c>
      <c r="B4364" s="15" t="s">
        <v>14656</v>
      </c>
      <c r="C4364" s="16">
        <v>27835.0</v>
      </c>
      <c r="D4364" s="17" t="s">
        <v>14657</v>
      </c>
    </row>
    <row r="4365">
      <c r="A4365" s="14" t="s">
        <v>6344</v>
      </c>
      <c r="B4365" s="15" t="s">
        <v>14658</v>
      </c>
      <c r="C4365" s="16">
        <v>27835.0</v>
      </c>
      <c r="D4365" s="17" t="s">
        <v>14659</v>
      </c>
    </row>
    <row r="4366">
      <c r="A4366" s="14" t="s">
        <v>6057</v>
      </c>
      <c r="B4366" s="15" t="s">
        <v>14660</v>
      </c>
      <c r="C4366" s="16">
        <v>27835.0</v>
      </c>
      <c r="D4366" s="17" t="s">
        <v>14661</v>
      </c>
    </row>
    <row r="4367">
      <c r="A4367" s="14">
        <v>16.0</v>
      </c>
      <c r="B4367" s="15" t="s">
        <v>14662</v>
      </c>
      <c r="C4367" s="16">
        <v>27835.0</v>
      </c>
      <c r="D4367" s="17" t="s">
        <v>14663</v>
      </c>
    </row>
    <row r="4368">
      <c r="A4368" s="14">
        <v>16.0</v>
      </c>
      <c r="B4368" s="15" t="s">
        <v>14664</v>
      </c>
      <c r="C4368" s="16">
        <v>27835.0</v>
      </c>
      <c r="D4368" s="17" t="s">
        <v>14665</v>
      </c>
    </row>
    <row r="4369">
      <c r="A4369" s="14">
        <v>16.0</v>
      </c>
      <c r="B4369" s="15" t="s">
        <v>14666</v>
      </c>
      <c r="C4369" s="16">
        <v>27835.0</v>
      </c>
      <c r="D4369" s="17" t="s">
        <v>14667</v>
      </c>
    </row>
    <row r="4370">
      <c r="A4370" s="14">
        <v>16.0</v>
      </c>
      <c r="B4370" s="15" t="s">
        <v>14668</v>
      </c>
      <c r="C4370" s="16">
        <v>27835.0</v>
      </c>
      <c r="D4370" s="17" t="s">
        <v>14669</v>
      </c>
    </row>
    <row r="4371">
      <c r="A4371" s="14">
        <v>16.0</v>
      </c>
      <c r="B4371" s="15" t="s">
        <v>14670</v>
      </c>
      <c r="C4371" s="16">
        <v>27835.0</v>
      </c>
      <c r="D4371" s="17" t="s">
        <v>14671</v>
      </c>
    </row>
    <row r="4372">
      <c r="A4372" s="14">
        <v>16.0</v>
      </c>
      <c r="B4372" s="15" t="s">
        <v>14672</v>
      </c>
      <c r="C4372" s="16">
        <v>27835.0</v>
      </c>
      <c r="D4372" s="17" t="s">
        <v>14673</v>
      </c>
    </row>
    <row r="4373">
      <c r="A4373" s="14">
        <v>16.0</v>
      </c>
      <c r="B4373" s="15" t="s">
        <v>14674</v>
      </c>
      <c r="C4373" s="16">
        <v>27835.0</v>
      </c>
      <c r="D4373" s="17" t="s">
        <v>14675</v>
      </c>
    </row>
    <row r="4374">
      <c r="A4374" s="14" t="s">
        <v>6374</v>
      </c>
      <c r="B4374" s="15" t="s">
        <v>14676</v>
      </c>
      <c r="C4374" s="16">
        <v>27836.0</v>
      </c>
      <c r="D4374" s="17" t="s">
        <v>14677</v>
      </c>
    </row>
    <row r="4375">
      <c r="A4375" s="14" t="s">
        <v>6344</v>
      </c>
      <c r="B4375" s="15" t="s">
        <v>14678</v>
      </c>
      <c r="C4375" s="16">
        <v>27836.0</v>
      </c>
      <c r="D4375" s="17" t="s">
        <v>14679</v>
      </c>
    </row>
    <row r="4376">
      <c r="A4376" s="14">
        <v>17.0</v>
      </c>
      <c r="B4376" s="15" t="s">
        <v>14680</v>
      </c>
      <c r="C4376" s="16">
        <v>27836.0</v>
      </c>
      <c r="D4376" s="17" t="s">
        <v>14681</v>
      </c>
    </row>
    <row r="4377">
      <c r="A4377" s="14">
        <v>17.0</v>
      </c>
      <c r="B4377" s="15" t="s">
        <v>14682</v>
      </c>
      <c r="C4377" s="16">
        <v>27836.0</v>
      </c>
      <c r="D4377" s="17" t="s">
        <v>14683</v>
      </c>
    </row>
    <row r="4378">
      <c r="A4378" s="14">
        <v>17.0</v>
      </c>
      <c r="B4378" s="15" t="s">
        <v>14684</v>
      </c>
      <c r="C4378" s="16">
        <v>27836.0</v>
      </c>
      <c r="D4378" s="17" t="s">
        <v>14685</v>
      </c>
    </row>
    <row r="4379">
      <c r="A4379" s="14">
        <v>17.0</v>
      </c>
      <c r="B4379" s="15" t="s">
        <v>14686</v>
      </c>
      <c r="C4379" s="16">
        <v>27836.0</v>
      </c>
      <c r="D4379" s="17" t="s">
        <v>14687</v>
      </c>
    </row>
    <row r="4380">
      <c r="A4380" s="14" t="s">
        <v>6374</v>
      </c>
      <c r="B4380" s="15" t="s">
        <v>14688</v>
      </c>
      <c r="C4380" s="16">
        <v>27837.0</v>
      </c>
      <c r="D4380" s="17" t="s">
        <v>14689</v>
      </c>
    </row>
    <row r="4381">
      <c r="A4381" s="14" t="s">
        <v>6344</v>
      </c>
      <c r="B4381" s="15" t="s">
        <v>14690</v>
      </c>
      <c r="C4381" s="16">
        <v>27837.0</v>
      </c>
      <c r="D4381" s="17" t="s">
        <v>14691</v>
      </c>
    </row>
    <row r="4382">
      <c r="A4382" s="14">
        <v>18.0</v>
      </c>
      <c r="B4382" s="15" t="s">
        <v>14692</v>
      </c>
      <c r="C4382" s="16">
        <v>27837.0</v>
      </c>
      <c r="D4382" s="17" t="s">
        <v>14693</v>
      </c>
    </row>
    <row r="4383">
      <c r="A4383" s="14">
        <v>18.0</v>
      </c>
      <c r="B4383" s="15" t="s">
        <v>14694</v>
      </c>
      <c r="C4383" s="16">
        <v>27837.0</v>
      </c>
      <c r="D4383" s="17" t="s">
        <v>14695</v>
      </c>
    </row>
    <row r="4384">
      <c r="A4384" s="14">
        <v>18.0</v>
      </c>
      <c r="B4384" s="15" t="s">
        <v>14696</v>
      </c>
      <c r="C4384" s="16">
        <v>27837.0</v>
      </c>
      <c r="D4384" s="17" t="s">
        <v>14697</v>
      </c>
    </row>
    <row r="4385">
      <c r="A4385" s="14">
        <v>18.0</v>
      </c>
      <c r="B4385" s="15" t="s">
        <v>14698</v>
      </c>
      <c r="C4385" s="16">
        <v>27837.0</v>
      </c>
      <c r="D4385" s="17" t="s">
        <v>14699</v>
      </c>
    </row>
    <row r="4386">
      <c r="A4386" s="14" t="s">
        <v>6344</v>
      </c>
      <c r="B4386" s="15" t="s">
        <v>14700</v>
      </c>
      <c r="C4386" s="16">
        <v>27838.0</v>
      </c>
      <c r="D4386" s="17" t="s">
        <v>14701</v>
      </c>
    </row>
    <row r="4387">
      <c r="A4387" s="14">
        <v>19.0</v>
      </c>
      <c r="B4387" s="15" t="s">
        <v>14702</v>
      </c>
      <c r="C4387" s="16">
        <v>27838.0</v>
      </c>
      <c r="D4387" s="17" t="s">
        <v>14703</v>
      </c>
    </row>
    <row r="4388">
      <c r="A4388" s="14">
        <v>19.0</v>
      </c>
      <c r="B4388" s="15" t="s">
        <v>14704</v>
      </c>
      <c r="C4388" s="16">
        <v>27838.0</v>
      </c>
      <c r="D4388" s="17" t="s">
        <v>14705</v>
      </c>
    </row>
    <row r="4389">
      <c r="A4389" s="14">
        <v>19.0</v>
      </c>
      <c r="B4389" s="15" t="s">
        <v>14706</v>
      </c>
      <c r="C4389" s="16">
        <v>27838.0</v>
      </c>
      <c r="D4389" s="17" t="s">
        <v>14707</v>
      </c>
    </row>
    <row r="4390">
      <c r="A4390" s="14">
        <v>20.0</v>
      </c>
      <c r="B4390" s="15" t="s">
        <v>14708</v>
      </c>
      <c r="C4390" s="16">
        <v>27839.0</v>
      </c>
      <c r="D4390" s="17" t="s">
        <v>14709</v>
      </c>
    </row>
    <row r="4391">
      <c r="A4391" s="14" t="s">
        <v>7777</v>
      </c>
      <c r="B4391" s="15" t="s">
        <v>14710</v>
      </c>
      <c r="C4391" s="16">
        <v>27839.0</v>
      </c>
      <c r="D4391" s="17" t="s">
        <v>14711</v>
      </c>
    </row>
    <row r="4392">
      <c r="A4392" s="14">
        <v>21.0</v>
      </c>
      <c r="B4392" s="15" t="s">
        <v>14712</v>
      </c>
      <c r="C4392" s="16">
        <v>27840.0</v>
      </c>
      <c r="D4392" s="17" t="s">
        <v>14713</v>
      </c>
    </row>
    <row r="4393">
      <c r="A4393" s="14" t="s">
        <v>6344</v>
      </c>
      <c r="B4393" s="15" t="s">
        <v>14714</v>
      </c>
      <c r="C4393" s="16">
        <v>27841.0</v>
      </c>
      <c r="D4393" s="17" t="s">
        <v>14715</v>
      </c>
    </row>
    <row r="4394">
      <c r="A4394" s="14">
        <v>22.0</v>
      </c>
      <c r="B4394" s="15" t="s">
        <v>14716</v>
      </c>
      <c r="C4394" s="16">
        <v>27841.0</v>
      </c>
      <c r="D4394" s="17" t="s">
        <v>14717</v>
      </c>
    </row>
    <row r="4395">
      <c r="A4395" s="14">
        <v>22.0</v>
      </c>
      <c r="B4395" s="15" t="s">
        <v>14718</v>
      </c>
      <c r="C4395" s="16">
        <v>27841.0</v>
      </c>
      <c r="D4395" s="17" t="s">
        <v>14719</v>
      </c>
    </row>
    <row r="4396">
      <c r="A4396" s="14">
        <v>22.0</v>
      </c>
      <c r="B4396" s="15" t="s">
        <v>14720</v>
      </c>
      <c r="C4396" s="16">
        <v>27841.0</v>
      </c>
      <c r="D4396" s="17" t="s">
        <v>14721</v>
      </c>
    </row>
    <row r="4397">
      <c r="A4397" s="14">
        <v>22.0</v>
      </c>
      <c r="B4397" s="15" t="s">
        <v>14722</v>
      </c>
      <c r="C4397" s="16">
        <v>27841.0</v>
      </c>
      <c r="D4397" s="17" t="s">
        <v>14723</v>
      </c>
    </row>
    <row r="4398">
      <c r="A4398" s="14" t="s">
        <v>7777</v>
      </c>
      <c r="B4398" s="15" t="s">
        <v>14724</v>
      </c>
      <c r="C4398" s="16">
        <v>27841.0</v>
      </c>
      <c r="D4398" s="17" t="s">
        <v>14725</v>
      </c>
    </row>
    <row r="4399">
      <c r="A4399" s="14">
        <v>23.0</v>
      </c>
      <c r="B4399" s="15" t="s">
        <v>14726</v>
      </c>
      <c r="C4399" s="16">
        <v>27842.0</v>
      </c>
      <c r="D4399" s="17" t="s">
        <v>14727</v>
      </c>
    </row>
    <row r="4400">
      <c r="A4400" s="14">
        <v>24.0</v>
      </c>
      <c r="B4400" s="15" t="s">
        <v>14728</v>
      </c>
      <c r="C4400" s="16">
        <v>27843.0</v>
      </c>
      <c r="D4400" s="17" t="s">
        <v>14729</v>
      </c>
    </row>
    <row r="4401">
      <c r="A4401" s="14" t="s">
        <v>5908</v>
      </c>
      <c r="B4401" s="15" t="s">
        <v>14730</v>
      </c>
      <c r="C4401" s="16">
        <v>27844.0</v>
      </c>
      <c r="D4401" s="17" t="s">
        <v>14731</v>
      </c>
    </row>
    <row r="4402">
      <c r="A4402" s="14" t="s">
        <v>358</v>
      </c>
      <c r="B4402" s="15" t="s">
        <v>14732</v>
      </c>
      <c r="C4402" s="16">
        <v>27844.0</v>
      </c>
      <c r="D4402" s="17" t="s">
        <v>14733</v>
      </c>
    </row>
    <row r="4403">
      <c r="A4403" s="14" t="s">
        <v>6374</v>
      </c>
      <c r="B4403" s="15" t="s">
        <v>14734</v>
      </c>
      <c r="C4403" s="16">
        <v>27844.0</v>
      </c>
      <c r="D4403" s="17" t="s">
        <v>14735</v>
      </c>
    </row>
    <row r="4404">
      <c r="A4404" s="14">
        <v>25.0</v>
      </c>
      <c r="B4404" s="15" t="s">
        <v>14736</v>
      </c>
      <c r="C4404" s="16">
        <v>27844.0</v>
      </c>
      <c r="D4404" s="17" t="s">
        <v>14737</v>
      </c>
    </row>
    <row r="4405">
      <c r="A4405" s="14">
        <v>25.0</v>
      </c>
      <c r="B4405" s="15" t="s">
        <v>14738</v>
      </c>
      <c r="C4405" s="16">
        <v>27844.0</v>
      </c>
      <c r="D4405" s="17" t="s">
        <v>14739</v>
      </c>
    </row>
    <row r="4406">
      <c r="A4406" s="14">
        <v>25.0</v>
      </c>
      <c r="B4406" s="15" t="s">
        <v>14740</v>
      </c>
      <c r="C4406" s="16">
        <v>27844.0</v>
      </c>
      <c r="D4406" s="17" t="s">
        <v>14741</v>
      </c>
    </row>
    <row r="4407">
      <c r="A4407" s="14">
        <v>25.0</v>
      </c>
      <c r="B4407" s="15" t="s">
        <v>14742</v>
      </c>
      <c r="C4407" s="16">
        <v>27844.0</v>
      </c>
      <c r="D4407" s="17" t="s">
        <v>14743</v>
      </c>
    </row>
    <row r="4408">
      <c r="A4408" s="14">
        <v>25.0</v>
      </c>
      <c r="B4408" s="15" t="s">
        <v>14744</v>
      </c>
      <c r="C4408" s="16">
        <v>27844.0</v>
      </c>
      <c r="D4408" s="17" t="s">
        <v>14745</v>
      </c>
    </row>
    <row r="4409">
      <c r="A4409" s="14">
        <v>25.0</v>
      </c>
      <c r="B4409" s="15" t="s">
        <v>14746</v>
      </c>
      <c r="C4409" s="16">
        <v>27844.0</v>
      </c>
      <c r="D4409" s="17" t="s">
        <v>14747</v>
      </c>
    </row>
    <row r="4410">
      <c r="A4410" s="14" t="s">
        <v>6374</v>
      </c>
      <c r="B4410" s="15" t="s">
        <v>14748</v>
      </c>
      <c r="C4410" s="16">
        <v>27845.0</v>
      </c>
      <c r="D4410" s="17" t="s">
        <v>14749</v>
      </c>
    </row>
    <row r="4411">
      <c r="A4411" s="14" t="s">
        <v>6344</v>
      </c>
      <c r="B4411" s="15" t="s">
        <v>14750</v>
      </c>
      <c r="C4411" s="16">
        <v>27845.0</v>
      </c>
      <c r="D4411" s="17" t="s">
        <v>14751</v>
      </c>
    </row>
    <row r="4412">
      <c r="A4412" s="14">
        <v>26.0</v>
      </c>
      <c r="B4412" s="15" t="s">
        <v>14752</v>
      </c>
      <c r="C4412" s="16">
        <v>27845.0</v>
      </c>
      <c r="D4412" s="17" t="s">
        <v>14753</v>
      </c>
    </row>
    <row r="4413">
      <c r="A4413" s="14">
        <v>26.0</v>
      </c>
      <c r="B4413" s="15" t="s">
        <v>14754</v>
      </c>
      <c r="C4413" s="16">
        <v>27845.0</v>
      </c>
      <c r="D4413" s="17" t="s">
        <v>14755</v>
      </c>
    </row>
    <row r="4414">
      <c r="A4414" s="14">
        <v>26.0</v>
      </c>
      <c r="B4414" s="15" t="s">
        <v>14756</v>
      </c>
      <c r="C4414" s="16">
        <v>27845.0</v>
      </c>
      <c r="D4414" s="17" t="s">
        <v>14757</v>
      </c>
    </row>
    <row r="4415">
      <c r="A4415" s="14">
        <v>26.0</v>
      </c>
      <c r="B4415" s="15" t="s">
        <v>14758</v>
      </c>
      <c r="C4415" s="16">
        <v>27845.0</v>
      </c>
      <c r="D4415" s="17" t="s">
        <v>14759</v>
      </c>
    </row>
    <row r="4416">
      <c r="A4416" s="14" t="s">
        <v>6344</v>
      </c>
      <c r="B4416" s="15" t="s">
        <v>14760</v>
      </c>
      <c r="C4416" s="16">
        <v>27850.0</v>
      </c>
      <c r="D4416" s="17" t="s">
        <v>14761</v>
      </c>
    </row>
    <row r="4417">
      <c r="A4417" s="14">
        <v>31.0</v>
      </c>
      <c r="B4417" s="15" t="s">
        <v>14762</v>
      </c>
      <c r="C4417" s="16">
        <v>27850.0</v>
      </c>
      <c r="D4417" s="17" t="s">
        <v>14763</v>
      </c>
    </row>
    <row r="4418">
      <c r="A4418" s="14">
        <v>31.0</v>
      </c>
      <c r="B4418" s="15" t="s">
        <v>14764</v>
      </c>
      <c r="C4418" s="16">
        <v>27850.0</v>
      </c>
      <c r="D4418" s="17" t="s">
        <v>14765</v>
      </c>
    </row>
    <row r="4419">
      <c r="A4419" s="14">
        <v>1.0</v>
      </c>
      <c r="B4419" s="15" t="s">
        <v>14766</v>
      </c>
      <c r="C4419" s="16">
        <v>27851.0</v>
      </c>
      <c r="D4419" s="17" t="s">
        <v>14767</v>
      </c>
    </row>
    <row r="4420">
      <c r="A4420" s="14" t="s">
        <v>6344</v>
      </c>
      <c r="B4420" s="15" t="s">
        <v>14768</v>
      </c>
      <c r="C4420" s="16">
        <v>27852.0</v>
      </c>
      <c r="D4420" s="17" t="s">
        <v>14769</v>
      </c>
    </row>
    <row r="4421">
      <c r="A4421" s="14">
        <v>2.0</v>
      </c>
      <c r="B4421" s="15" t="s">
        <v>14770</v>
      </c>
      <c r="C4421" s="16">
        <v>27852.0</v>
      </c>
      <c r="D4421" s="17" t="s">
        <v>14771</v>
      </c>
    </row>
    <row r="4422">
      <c r="A4422" s="14">
        <v>2.0</v>
      </c>
      <c r="B4422" s="15" t="s">
        <v>14772</v>
      </c>
      <c r="C4422" s="16">
        <v>27852.0</v>
      </c>
      <c r="D4422" s="17" t="s">
        <v>14773</v>
      </c>
    </row>
    <row r="4423">
      <c r="A4423" s="14">
        <v>2.0</v>
      </c>
      <c r="B4423" s="15" t="s">
        <v>14774</v>
      </c>
      <c r="C4423" s="16">
        <v>27852.0</v>
      </c>
      <c r="D4423" s="17" t="s">
        <v>14775</v>
      </c>
    </row>
    <row r="4424">
      <c r="A4424" s="14">
        <v>3.0</v>
      </c>
      <c r="B4424" s="15" t="s">
        <v>14776</v>
      </c>
      <c r="C4424" s="16">
        <v>27853.0</v>
      </c>
      <c r="D4424" s="17" t="s">
        <v>14777</v>
      </c>
    </row>
    <row r="4425">
      <c r="A4425" s="14">
        <v>3.0</v>
      </c>
      <c r="B4425" s="15" t="s">
        <v>14778</v>
      </c>
      <c r="C4425" s="16">
        <v>27853.0</v>
      </c>
      <c r="D4425" s="17" t="s">
        <v>14779</v>
      </c>
    </row>
    <row r="4426">
      <c r="A4426" s="14" t="s">
        <v>6344</v>
      </c>
      <c r="B4426" s="15" t="s">
        <v>14780</v>
      </c>
      <c r="C4426" s="16">
        <v>27854.0</v>
      </c>
      <c r="D4426" s="17" t="s">
        <v>14781</v>
      </c>
    </row>
    <row r="4427">
      <c r="A4427" s="14">
        <v>4.0</v>
      </c>
      <c r="B4427" s="15" t="s">
        <v>14782</v>
      </c>
      <c r="C4427" s="16">
        <v>27854.0</v>
      </c>
      <c r="D4427" s="17" t="s">
        <v>14783</v>
      </c>
    </row>
    <row r="4428">
      <c r="A4428" s="14">
        <v>4.0</v>
      </c>
      <c r="B4428" s="15" t="s">
        <v>14784</v>
      </c>
      <c r="C4428" s="16">
        <v>27854.0</v>
      </c>
      <c r="D4428" s="17" t="s">
        <v>14785</v>
      </c>
    </row>
    <row r="4429">
      <c r="A4429" s="14">
        <v>4.0</v>
      </c>
      <c r="B4429" s="15" t="s">
        <v>14786</v>
      </c>
      <c r="C4429" s="16">
        <v>27854.0</v>
      </c>
      <c r="D4429" s="17" t="s">
        <v>14787</v>
      </c>
    </row>
    <row r="4430">
      <c r="A4430" s="14">
        <v>4.0</v>
      </c>
      <c r="B4430" s="15" t="s">
        <v>14788</v>
      </c>
      <c r="C4430" s="16">
        <v>27854.0</v>
      </c>
      <c r="D4430" s="17" t="s">
        <v>14789</v>
      </c>
    </row>
    <row r="4431">
      <c r="A4431" s="14">
        <v>5.0</v>
      </c>
      <c r="B4431" s="15" t="s">
        <v>14790</v>
      </c>
      <c r="C4431" s="16">
        <v>27855.0</v>
      </c>
      <c r="D4431" s="17" t="s">
        <v>14791</v>
      </c>
    </row>
    <row r="4432">
      <c r="A4432" s="14">
        <v>5.0</v>
      </c>
      <c r="B4432" s="15" t="s">
        <v>14792</v>
      </c>
      <c r="C4432" s="16">
        <v>27855.0</v>
      </c>
      <c r="D4432" s="17" t="s">
        <v>14793</v>
      </c>
    </row>
    <row r="4433">
      <c r="A4433" s="14">
        <v>5.0</v>
      </c>
      <c r="B4433" s="15" t="s">
        <v>14794</v>
      </c>
      <c r="C4433" s="16">
        <v>27855.0</v>
      </c>
      <c r="D4433" s="17" t="s">
        <v>14795</v>
      </c>
    </row>
    <row r="4434">
      <c r="A4434" s="14">
        <v>6.0</v>
      </c>
      <c r="B4434" s="15" t="s">
        <v>14796</v>
      </c>
      <c r="C4434" s="16">
        <v>27856.0</v>
      </c>
      <c r="D4434" s="17" t="s">
        <v>14797</v>
      </c>
    </row>
    <row r="4435">
      <c r="A4435" s="14">
        <v>6.0</v>
      </c>
      <c r="B4435" s="15" t="s">
        <v>14798</v>
      </c>
      <c r="C4435" s="16">
        <v>27856.0</v>
      </c>
      <c r="D4435" s="17" t="s">
        <v>14799</v>
      </c>
    </row>
    <row r="4436">
      <c r="A4436" s="14">
        <v>6.0</v>
      </c>
      <c r="B4436" s="15" t="s">
        <v>14800</v>
      </c>
      <c r="C4436" s="16">
        <v>27856.0</v>
      </c>
      <c r="D4436" s="17" t="s">
        <v>14801</v>
      </c>
    </row>
    <row r="4437">
      <c r="A4437" s="14">
        <v>6.0</v>
      </c>
      <c r="B4437" s="15" t="s">
        <v>14802</v>
      </c>
      <c r="C4437" s="16">
        <v>27856.0</v>
      </c>
      <c r="D4437" s="17" t="s">
        <v>14803</v>
      </c>
    </row>
    <row r="4438">
      <c r="A4438" s="14">
        <v>6.0</v>
      </c>
      <c r="B4438" s="15" t="s">
        <v>14804</v>
      </c>
      <c r="C4438" s="16">
        <v>27856.0</v>
      </c>
      <c r="D4438" s="17" t="s">
        <v>14805</v>
      </c>
    </row>
    <row r="4439">
      <c r="A4439" s="14" t="s">
        <v>6344</v>
      </c>
      <c r="B4439" s="15" t="s">
        <v>14806</v>
      </c>
      <c r="C4439" s="16">
        <v>27857.0</v>
      </c>
      <c r="D4439" s="17" t="s">
        <v>14807</v>
      </c>
    </row>
    <row r="4440">
      <c r="A4440" s="14" t="s">
        <v>6057</v>
      </c>
      <c r="B4440" s="15" t="s">
        <v>14808</v>
      </c>
      <c r="C4440" s="16">
        <v>27857.0</v>
      </c>
      <c r="D4440" s="17" t="s">
        <v>14809</v>
      </c>
    </row>
    <row r="4441">
      <c r="A4441" s="14">
        <v>7.0</v>
      </c>
      <c r="B4441" s="15" t="s">
        <v>14810</v>
      </c>
      <c r="C4441" s="16">
        <v>27857.0</v>
      </c>
      <c r="D4441" s="17" t="s">
        <v>14811</v>
      </c>
    </row>
    <row r="4442">
      <c r="A4442" s="14">
        <v>7.0</v>
      </c>
      <c r="B4442" s="15" t="s">
        <v>14812</v>
      </c>
      <c r="C4442" s="16">
        <v>27857.0</v>
      </c>
      <c r="D4442" s="17" t="s">
        <v>14813</v>
      </c>
    </row>
    <row r="4443">
      <c r="A4443" s="14">
        <v>7.0</v>
      </c>
      <c r="B4443" s="15" t="s">
        <v>14814</v>
      </c>
      <c r="C4443" s="16">
        <v>27857.0</v>
      </c>
      <c r="D4443" s="17" t="s">
        <v>14815</v>
      </c>
    </row>
    <row r="4444">
      <c r="A4444" s="14">
        <v>7.0</v>
      </c>
      <c r="B4444" s="15" t="s">
        <v>14816</v>
      </c>
      <c r="C4444" s="16">
        <v>27857.0</v>
      </c>
      <c r="D4444" s="17" t="s">
        <v>14817</v>
      </c>
    </row>
    <row r="4445">
      <c r="A4445" s="14">
        <v>7.0</v>
      </c>
      <c r="B4445" s="15" t="s">
        <v>14818</v>
      </c>
      <c r="C4445" s="16">
        <v>27857.0</v>
      </c>
      <c r="D4445" s="17" t="s">
        <v>14819</v>
      </c>
    </row>
    <row r="4446">
      <c r="A4446" s="14" t="s">
        <v>6344</v>
      </c>
      <c r="B4446" s="15" t="s">
        <v>14820</v>
      </c>
      <c r="C4446" s="16">
        <v>27858.0</v>
      </c>
      <c r="D4446" s="17" t="s">
        <v>14821</v>
      </c>
    </row>
    <row r="4447">
      <c r="A4447" s="14">
        <v>8.0</v>
      </c>
      <c r="B4447" s="15" t="s">
        <v>14822</v>
      </c>
      <c r="C4447" s="16">
        <v>27858.0</v>
      </c>
      <c r="D4447" s="17" t="s">
        <v>14823</v>
      </c>
    </row>
    <row r="4448">
      <c r="A4448" s="14">
        <v>8.0</v>
      </c>
      <c r="B4448" s="15" t="s">
        <v>14824</v>
      </c>
      <c r="C4448" s="16">
        <v>27858.0</v>
      </c>
      <c r="D4448" s="17" t="s">
        <v>14825</v>
      </c>
    </row>
    <row r="4449">
      <c r="A4449" s="14">
        <v>8.0</v>
      </c>
      <c r="B4449" s="15" t="s">
        <v>14826</v>
      </c>
      <c r="C4449" s="16">
        <v>27858.0</v>
      </c>
      <c r="D4449" s="17" t="s">
        <v>14827</v>
      </c>
    </row>
    <row r="4450">
      <c r="A4450" s="14">
        <v>8.0</v>
      </c>
      <c r="B4450" s="15" t="s">
        <v>14828</v>
      </c>
      <c r="C4450" s="16">
        <v>27858.0</v>
      </c>
      <c r="D4450" s="17" t="s">
        <v>14829</v>
      </c>
    </row>
    <row r="4451">
      <c r="A4451" s="14">
        <v>8.0</v>
      </c>
      <c r="B4451" s="15" t="s">
        <v>14830</v>
      </c>
      <c r="C4451" s="16">
        <v>27858.0</v>
      </c>
      <c r="D4451" s="17" t="s">
        <v>14831</v>
      </c>
    </row>
    <row r="4452">
      <c r="A4452" s="14" t="s">
        <v>6344</v>
      </c>
      <c r="B4452" s="15" t="s">
        <v>14832</v>
      </c>
      <c r="C4452" s="16">
        <v>27859.0</v>
      </c>
      <c r="D4452" s="17" t="s">
        <v>14833</v>
      </c>
    </row>
    <row r="4453">
      <c r="A4453" s="14">
        <v>9.0</v>
      </c>
      <c r="B4453" s="15" t="s">
        <v>14834</v>
      </c>
      <c r="C4453" s="16">
        <v>27859.0</v>
      </c>
      <c r="D4453" s="17" t="s">
        <v>14835</v>
      </c>
    </row>
    <row r="4454">
      <c r="A4454" s="14">
        <v>9.0</v>
      </c>
      <c r="B4454" s="15" t="s">
        <v>14836</v>
      </c>
      <c r="C4454" s="16">
        <v>27859.0</v>
      </c>
      <c r="D4454" s="17" t="s">
        <v>14837</v>
      </c>
    </row>
    <row r="4455">
      <c r="A4455" s="14">
        <v>9.0</v>
      </c>
      <c r="B4455" s="15" t="s">
        <v>14838</v>
      </c>
      <c r="C4455" s="16">
        <v>27859.0</v>
      </c>
      <c r="D4455" s="17" t="s">
        <v>14839</v>
      </c>
    </row>
    <row r="4456">
      <c r="A4456" s="14">
        <v>9.0</v>
      </c>
      <c r="B4456" s="15" t="s">
        <v>14840</v>
      </c>
      <c r="C4456" s="16">
        <v>27859.0</v>
      </c>
      <c r="D4456" s="17" t="s">
        <v>14841</v>
      </c>
    </row>
    <row r="4457">
      <c r="A4457" s="14" t="s">
        <v>6374</v>
      </c>
      <c r="B4457" s="15" t="s">
        <v>14842</v>
      </c>
      <c r="C4457" s="16">
        <v>27860.0</v>
      </c>
      <c r="D4457" s="17" t="s">
        <v>14843</v>
      </c>
    </row>
    <row r="4458">
      <c r="A4458" s="14" t="s">
        <v>6344</v>
      </c>
      <c r="B4458" s="15" t="s">
        <v>14844</v>
      </c>
      <c r="C4458" s="16">
        <v>27860.0</v>
      </c>
      <c r="D4458" s="17" t="s">
        <v>14845</v>
      </c>
    </row>
    <row r="4459">
      <c r="A4459" s="14">
        <v>10.0</v>
      </c>
      <c r="B4459" s="15" t="s">
        <v>14846</v>
      </c>
      <c r="C4459" s="16">
        <v>27860.0</v>
      </c>
      <c r="D4459" s="17" t="s">
        <v>14847</v>
      </c>
    </row>
    <row r="4460">
      <c r="A4460" s="14">
        <v>10.0</v>
      </c>
      <c r="B4460" s="15" t="s">
        <v>14848</v>
      </c>
      <c r="C4460" s="16">
        <v>27860.0</v>
      </c>
      <c r="D4460" s="17" t="s">
        <v>14849</v>
      </c>
    </row>
    <row r="4461">
      <c r="A4461" s="14">
        <v>10.0</v>
      </c>
      <c r="B4461" s="15" t="s">
        <v>14850</v>
      </c>
      <c r="C4461" s="16">
        <v>27860.0</v>
      </c>
      <c r="D4461" s="17" t="s">
        <v>14851</v>
      </c>
    </row>
    <row r="4462">
      <c r="A4462" s="14">
        <v>10.0</v>
      </c>
      <c r="B4462" s="15" t="s">
        <v>14852</v>
      </c>
      <c r="C4462" s="16">
        <v>27860.0</v>
      </c>
      <c r="D4462" s="17" t="s">
        <v>14853</v>
      </c>
    </row>
    <row r="4463">
      <c r="A4463" s="14" t="s">
        <v>6344</v>
      </c>
      <c r="B4463" s="15" t="s">
        <v>14854</v>
      </c>
      <c r="C4463" s="16">
        <v>27862.0</v>
      </c>
      <c r="D4463" s="17" t="s">
        <v>14855</v>
      </c>
    </row>
    <row r="4464">
      <c r="A4464" s="14">
        <v>12.0</v>
      </c>
      <c r="B4464" s="15" t="s">
        <v>14856</v>
      </c>
      <c r="C4464" s="16">
        <v>27862.0</v>
      </c>
      <c r="D4464" s="17" t="s">
        <v>14857</v>
      </c>
    </row>
    <row r="4465">
      <c r="A4465" s="14">
        <v>12.0</v>
      </c>
      <c r="B4465" s="15" t="s">
        <v>14858</v>
      </c>
      <c r="C4465" s="16">
        <v>27862.0</v>
      </c>
      <c r="D4465" s="17" t="s">
        <v>14859</v>
      </c>
    </row>
    <row r="4466">
      <c r="A4466" s="14">
        <v>12.0</v>
      </c>
      <c r="B4466" s="15" t="s">
        <v>14860</v>
      </c>
      <c r="C4466" s="16">
        <v>27862.0</v>
      </c>
      <c r="D4466" s="17" t="s">
        <v>14861</v>
      </c>
    </row>
    <row r="4467">
      <c r="A4467" s="14" t="s">
        <v>6344</v>
      </c>
      <c r="B4467" s="15" t="s">
        <v>14862</v>
      </c>
      <c r="C4467" s="16">
        <v>27863.0</v>
      </c>
      <c r="D4467" s="17" t="s">
        <v>14863</v>
      </c>
    </row>
    <row r="4468">
      <c r="A4468" s="14">
        <v>13.0</v>
      </c>
      <c r="B4468" s="15" t="s">
        <v>14864</v>
      </c>
      <c r="C4468" s="16">
        <v>27863.0</v>
      </c>
      <c r="D4468" s="17" t="s">
        <v>14865</v>
      </c>
    </row>
    <row r="4469">
      <c r="A4469" s="14">
        <v>13.0</v>
      </c>
      <c r="B4469" s="15" t="s">
        <v>14866</v>
      </c>
      <c r="C4469" s="16">
        <v>27863.0</v>
      </c>
      <c r="D4469" s="17" t="s">
        <v>14867</v>
      </c>
    </row>
    <row r="4470">
      <c r="A4470" s="14">
        <v>13.0</v>
      </c>
      <c r="B4470" s="15" t="s">
        <v>14868</v>
      </c>
      <c r="C4470" s="16">
        <v>27863.0</v>
      </c>
      <c r="D4470" s="17" t="s">
        <v>14869</v>
      </c>
    </row>
    <row r="4471">
      <c r="A4471" s="14" t="s">
        <v>6374</v>
      </c>
      <c r="B4471" s="15" t="s">
        <v>14870</v>
      </c>
      <c r="C4471" s="16">
        <v>27864.0</v>
      </c>
      <c r="D4471" s="17" t="s">
        <v>14871</v>
      </c>
    </row>
    <row r="4472">
      <c r="A4472" s="14" t="s">
        <v>6344</v>
      </c>
      <c r="B4472" s="15" t="s">
        <v>14872</v>
      </c>
      <c r="C4472" s="16">
        <v>27864.0</v>
      </c>
      <c r="D4472" s="17" t="s">
        <v>14873</v>
      </c>
    </row>
    <row r="4473">
      <c r="A4473" s="14">
        <v>14.0</v>
      </c>
      <c r="B4473" s="15" t="s">
        <v>14874</v>
      </c>
      <c r="C4473" s="16">
        <v>27864.0</v>
      </c>
      <c r="D4473" s="17" t="s">
        <v>14875</v>
      </c>
    </row>
    <row r="4474">
      <c r="A4474" s="14">
        <v>14.0</v>
      </c>
      <c r="B4474" s="15" t="s">
        <v>14876</v>
      </c>
      <c r="C4474" s="16">
        <v>27864.0</v>
      </c>
      <c r="D4474" s="17" t="s">
        <v>14877</v>
      </c>
    </row>
    <row r="4475">
      <c r="A4475" s="14">
        <v>14.0</v>
      </c>
      <c r="B4475" s="15" t="s">
        <v>14878</v>
      </c>
      <c r="C4475" s="16">
        <v>27864.0</v>
      </c>
      <c r="D4475" s="17" t="s">
        <v>14879</v>
      </c>
    </row>
    <row r="4476">
      <c r="A4476" s="14">
        <v>14.0</v>
      </c>
      <c r="B4476" s="15" t="s">
        <v>14880</v>
      </c>
      <c r="C4476" s="16">
        <v>27864.0</v>
      </c>
      <c r="D4476" s="17" t="s">
        <v>14881</v>
      </c>
    </row>
    <row r="4477">
      <c r="A4477" s="14">
        <v>14.0</v>
      </c>
      <c r="B4477" s="15" t="s">
        <v>14882</v>
      </c>
      <c r="C4477" s="16">
        <v>27864.0</v>
      </c>
      <c r="D4477" s="17" t="s">
        <v>14883</v>
      </c>
    </row>
    <row r="4478">
      <c r="A4478" s="14" t="s">
        <v>6374</v>
      </c>
      <c r="B4478" s="15" t="s">
        <v>14884</v>
      </c>
      <c r="C4478" s="16">
        <v>27865.0</v>
      </c>
      <c r="D4478" s="17" t="s">
        <v>14885</v>
      </c>
    </row>
    <row r="4479">
      <c r="A4479" s="14" t="s">
        <v>6344</v>
      </c>
      <c r="B4479" s="15" t="s">
        <v>14886</v>
      </c>
      <c r="C4479" s="16">
        <v>27865.0</v>
      </c>
      <c r="D4479" s="17" t="s">
        <v>14887</v>
      </c>
    </row>
    <row r="4480">
      <c r="A4480" s="14">
        <v>15.0</v>
      </c>
      <c r="B4480" s="15" t="s">
        <v>14888</v>
      </c>
      <c r="C4480" s="16">
        <v>27865.0</v>
      </c>
      <c r="D4480" s="17" t="s">
        <v>14889</v>
      </c>
    </row>
    <row r="4481">
      <c r="A4481" s="14">
        <v>15.0</v>
      </c>
      <c r="B4481" s="15" t="s">
        <v>14890</v>
      </c>
      <c r="C4481" s="16">
        <v>27865.0</v>
      </c>
      <c r="D4481" s="17" t="s">
        <v>14891</v>
      </c>
    </row>
    <row r="4482">
      <c r="A4482" s="14">
        <v>15.0</v>
      </c>
      <c r="B4482" s="15" t="s">
        <v>14892</v>
      </c>
      <c r="C4482" s="16">
        <v>27865.0</v>
      </c>
      <c r="D4482" s="17" t="s">
        <v>14893</v>
      </c>
    </row>
    <row r="4483">
      <c r="A4483" s="14">
        <v>15.0</v>
      </c>
      <c r="B4483" s="15" t="s">
        <v>14894</v>
      </c>
      <c r="C4483" s="16">
        <v>27865.0</v>
      </c>
      <c r="D4483" s="17" t="s">
        <v>14895</v>
      </c>
    </row>
    <row r="4484">
      <c r="A4484" s="14" t="s">
        <v>6344</v>
      </c>
      <c r="B4484" s="15" t="s">
        <v>14896</v>
      </c>
      <c r="C4484" s="16">
        <v>27866.0</v>
      </c>
      <c r="D4484" s="17" t="s">
        <v>14897</v>
      </c>
    </row>
    <row r="4485">
      <c r="A4485" s="14">
        <v>16.0</v>
      </c>
      <c r="B4485" s="15" t="s">
        <v>14898</v>
      </c>
      <c r="C4485" s="16">
        <v>27866.0</v>
      </c>
      <c r="D4485" s="17" t="s">
        <v>14899</v>
      </c>
    </row>
    <row r="4486">
      <c r="A4486" s="14">
        <v>16.0</v>
      </c>
      <c r="B4486" s="15" t="s">
        <v>14900</v>
      </c>
      <c r="C4486" s="16">
        <v>27866.0</v>
      </c>
      <c r="D4486" s="17" t="s">
        <v>14901</v>
      </c>
    </row>
    <row r="4487">
      <c r="A4487" s="14">
        <v>16.0</v>
      </c>
      <c r="B4487" s="15" t="s">
        <v>14902</v>
      </c>
      <c r="C4487" s="16">
        <v>27866.0</v>
      </c>
      <c r="D4487" s="17" t="s">
        <v>14903</v>
      </c>
    </row>
    <row r="4488">
      <c r="A4488" s="14" t="s">
        <v>6374</v>
      </c>
      <c r="B4488" s="15" t="s">
        <v>14904</v>
      </c>
      <c r="C4488" s="16">
        <v>27867.0</v>
      </c>
      <c r="D4488" s="17" t="s">
        <v>14905</v>
      </c>
    </row>
    <row r="4489">
      <c r="A4489" s="14" t="s">
        <v>6344</v>
      </c>
      <c r="B4489" s="15" t="s">
        <v>14906</v>
      </c>
      <c r="C4489" s="16">
        <v>27867.0</v>
      </c>
      <c r="D4489" s="17" t="s">
        <v>14907</v>
      </c>
    </row>
    <row r="4490">
      <c r="A4490" s="14">
        <v>17.0</v>
      </c>
      <c r="B4490" s="15" t="s">
        <v>14908</v>
      </c>
      <c r="C4490" s="16">
        <v>27867.0</v>
      </c>
      <c r="D4490" s="17" t="s">
        <v>14909</v>
      </c>
    </row>
    <row r="4491">
      <c r="A4491" s="14">
        <v>17.0</v>
      </c>
      <c r="B4491" s="15" t="s">
        <v>14910</v>
      </c>
      <c r="C4491" s="16">
        <v>27867.0</v>
      </c>
      <c r="D4491" s="17" t="s">
        <v>14911</v>
      </c>
    </row>
    <row r="4492">
      <c r="A4492" s="14">
        <v>17.0</v>
      </c>
      <c r="B4492" s="15" t="s">
        <v>14912</v>
      </c>
      <c r="C4492" s="16">
        <v>27867.0</v>
      </c>
      <c r="D4492" s="17" t="s">
        <v>14913</v>
      </c>
    </row>
    <row r="4493">
      <c r="A4493" s="14">
        <v>17.0</v>
      </c>
      <c r="B4493" s="15" t="s">
        <v>14914</v>
      </c>
      <c r="C4493" s="16">
        <v>27867.0</v>
      </c>
      <c r="D4493" s="17" t="s">
        <v>14915</v>
      </c>
    </row>
    <row r="4494">
      <c r="A4494" s="14">
        <v>17.0</v>
      </c>
      <c r="B4494" s="15" t="s">
        <v>14916</v>
      </c>
      <c r="C4494" s="16">
        <v>27867.0</v>
      </c>
      <c r="D4494" s="17" t="s">
        <v>14917</v>
      </c>
    </row>
    <row r="4495">
      <c r="A4495" s="14" t="s">
        <v>6753</v>
      </c>
      <c r="B4495" s="15" t="s">
        <v>14918</v>
      </c>
      <c r="C4495" s="16">
        <v>27869.0</v>
      </c>
      <c r="D4495" s="17" t="s">
        <v>14919</v>
      </c>
    </row>
    <row r="4496">
      <c r="A4496" s="14" t="s">
        <v>6126</v>
      </c>
      <c r="B4496" s="15" t="s">
        <v>14920</v>
      </c>
      <c r="C4496" s="16">
        <v>27869.0</v>
      </c>
      <c r="D4496" s="17" t="s">
        <v>14921</v>
      </c>
    </row>
    <row r="4497">
      <c r="A4497" s="14">
        <v>19.0</v>
      </c>
      <c r="B4497" s="15" t="s">
        <v>14922</v>
      </c>
      <c r="C4497" s="16">
        <v>27869.0</v>
      </c>
      <c r="D4497" s="17" t="s">
        <v>14923</v>
      </c>
    </row>
    <row r="4498">
      <c r="A4498" s="14">
        <v>19.0</v>
      </c>
      <c r="B4498" s="15" t="s">
        <v>14924</v>
      </c>
      <c r="C4498" s="16">
        <v>27869.0</v>
      </c>
      <c r="D4498" s="17" t="s">
        <v>14925</v>
      </c>
    </row>
    <row r="4499">
      <c r="A4499" s="14">
        <v>19.0</v>
      </c>
      <c r="B4499" s="15" t="s">
        <v>14926</v>
      </c>
      <c r="C4499" s="16">
        <v>27869.0</v>
      </c>
      <c r="D4499" s="17" t="s">
        <v>14927</v>
      </c>
    </row>
    <row r="4500">
      <c r="A4500" s="14">
        <v>19.0</v>
      </c>
      <c r="B4500" s="15" t="s">
        <v>14928</v>
      </c>
      <c r="C4500" s="16">
        <v>27869.0</v>
      </c>
      <c r="D4500" s="17" t="s">
        <v>14929</v>
      </c>
    </row>
    <row r="4501">
      <c r="A4501" s="14" t="s">
        <v>6126</v>
      </c>
      <c r="B4501" s="15" t="s">
        <v>14930</v>
      </c>
      <c r="C4501" s="16">
        <v>27870.0</v>
      </c>
      <c r="D4501" s="17" t="s">
        <v>14931</v>
      </c>
    </row>
    <row r="4502">
      <c r="A4502" s="14" t="s">
        <v>6353</v>
      </c>
      <c r="B4502" s="15" t="s">
        <v>14932</v>
      </c>
      <c r="C4502" s="16">
        <v>27870.0</v>
      </c>
      <c r="D4502" s="17" t="s">
        <v>14933</v>
      </c>
    </row>
    <row r="4503">
      <c r="A4503" s="14">
        <v>20.0</v>
      </c>
      <c r="B4503" s="15" t="s">
        <v>14934</v>
      </c>
      <c r="C4503" s="16">
        <v>27870.0</v>
      </c>
      <c r="D4503" s="17" t="s">
        <v>14935</v>
      </c>
    </row>
    <row r="4504">
      <c r="A4504" s="14">
        <v>20.0</v>
      </c>
      <c r="B4504" s="15" t="s">
        <v>14936</v>
      </c>
      <c r="C4504" s="16">
        <v>27870.0</v>
      </c>
      <c r="D4504" s="17" t="s">
        <v>14937</v>
      </c>
    </row>
    <row r="4505">
      <c r="A4505" s="14">
        <v>20.0</v>
      </c>
      <c r="B4505" s="15" t="s">
        <v>14938</v>
      </c>
      <c r="C4505" s="16">
        <v>27870.0</v>
      </c>
      <c r="D4505" s="17" t="s">
        <v>14939</v>
      </c>
    </row>
    <row r="4506">
      <c r="A4506" s="14">
        <v>20.0</v>
      </c>
      <c r="B4506" s="15" t="s">
        <v>14940</v>
      </c>
      <c r="C4506" s="16">
        <v>27870.0</v>
      </c>
      <c r="D4506" s="17" t="s">
        <v>14941</v>
      </c>
    </row>
    <row r="4507">
      <c r="A4507" s="14">
        <v>20.0</v>
      </c>
      <c r="B4507" s="15" t="s">
        <v>14942</v>
      </c>
      <c r="C4507" s="16">
        <v>27870.0</v>
      </c>
      <c r="D4507" s="17" t="s">
        <v>14943</v>
      </c>
    </row>
    <row r="4508">
      <c r="A4508" s="14" t="s">
        <v>6126</v>
      </c>
      <c r="B4508" s="15" t="s">
        <v>14944</v>
      </c>
      <c r="C4508" s="16">
        <v>27871.0</v>
      </c>
      <c r="D4508" s="17" t="s">
        <v>14945</v>
      </c>
    </row>
    <row r="4509">
      <c r="A4509" s="14" t="s">
        <v>6374</v>
      </c>
      <c r="B4509" s="15" t="s">
        <v>14946</v>
      </c>
      <c r="C4509" s="16">
        <v>27871.0</v>
      </c>
      <c r="D4509" s="17" t="s">
        <v>14947</v>
      </c>
    </row>
    <row r="4510">
      <c r="A4510" s="14">
        <v>21.0</v>
      </c>
      <c r="B4510" s="15" t="s">
        <v>14948</v>
      </c>
      <c r="C4510" s="16">
        <v>27871.0</v>
      </c>
      <c r="D4510" s="17" t="s">
        <v>14949</v>
      </c>
    </row>
    <row r="4511">
      <c r="A4511" s="14">
        <v>21.0</v>
      </c>
      <c r="B4511" s="15" t="s">
        <v>14950</v>
      </c>
      <c r="C4511" s="16">
        <v>27871.0</v>
      </c>
      <c r="D4511" s="17" t="s">
        <v>14951</v>
      </c>
    </row>
    <row r="4512">
      <c r="A4512" s="14">
        <v>21.0</v>
      </c>
      <c r="B4512" s="15" t="s">
        <v>14952</v>
      </c>
      <c r="C4512" s="16">
        <v>27871.0</v>
      </c>
      <c r="D4512" s="17" t="s">
        <v>14953</v>
      </c>
    </row>
    <row r="4513">
      <c r="A4513" s="14">
        <v>21.0</v>
      </c>
      <c r="B4513" s="15" t="s">
        <v>14954</v>
      </c>
      <c r="C4513" s="16">
        <v>27871.0</v>
      </c>
      <c r="D4513" s="17" t="s">
        <v>14955</v>
      </c>
    </row>
    <row r="4514">
      <c r="A4514" s="14" t="s">
        <v>6126</v>
      </c>
      <c r="B4514" s="15" t="s">
        <v>14956</v>
      </c>
      <c r="C4514" s="16">
        <v>27872.0</v>
      </c>
      <c r="D4514" s="17" t="s">
        <v>14957</v>
      </c>
    </row>
    <row r="4515">
      <c r="A4515" s="14" t="s">
        <v>358</v>
      </c>
      <c r="B4515" s="15" t="s">
        <v>14958</v>
      </c>
      <c r="C4515" s="16">
        <v>27872.0</v>
      </c>
      <c r="D4515" s="17" t="s">
        <v>14959</v>
      </c>
    </row>
    <row r="4516">
      <c r="A4516" s="14">
        <v>22.0</v>
      </c>
      <c r="B4516" s="15" t="s">
        <v>14960</v>
      </c>
      <c r="C4516" s="16">
        <v>27872.0</v>
      </c>
      <c r="D4516" s="17" t="s">
        <v>14961</v>
      </c>
    </row>
    <row r="4517">
      <c r="A4517" s="14">
        <v>22.0</v>
      </c>
      <c r="B4517" s="15" t="s">
        <v>14962</v>
      </c>
      <c r="C4517" s="16">
        <v>27872.0</v>
      </c>
      <c r="D4517" s="17" t="s">
        <v>14963</v>
      </c>
    </row>
    <row r="4518">
      <c r="A4518" s="14">
        <v>22.0</v>
      </c>
      <c r="B4518" s="15" t="s">
        <v>14964</v>
      </c>
      <c r="C4518" s="16">
        <v>27872.0</v>
      </c>
      <c r="D4518" s="17" t="s">
        <v>14965</v>
      </c>
    </row>
    <row r="4519">
      <c r="A4519" s="14">
        <v>22.0</v>
      </c>
      <c r="B4519" s="15" t="s">
        <v>14966</v>
      </c>
      <c r="C4519" s="16">
        <v>27872.0</v>
      </c>
      <c r="D4519" s="17" t="s">
        <v>14967</v>
      </c>
    </row>
    <row r="4520">
      <c r="A4520" s="14">
        <v>22.0</v>
      </c>
      <c r="B4520" s="15" t="s">
        <v>14968</v>
      </c>
      <c r="C4520" s="16">
        <v>27872.0</v>
      </c>
      <c r="D4520" s="17" t="s">
        <v>14969</v>
      </c>
    </row>
    <row r="4521">
      <c r="A4521" s="14">
        <v>22.0</v>
      </c>
      <c r="B4521" s="15" t="s">
        <v>14970</v>
      </c>
      <c r="C4521" s="16">
        <v>27872.0</v>
      </c>
      <c r="D4521" s="17" t="s">
        <v>14971</v>
      </c>
    </row>
    <row r="4522">
      <c r="A4522" s="14" t="s">
        <v>6126</v>
      </c>
      <c r="B4522" s="15" t="s">
        <v>14972</v>
      </c>
      <c r="C4522" s="16">
        <v>27873.0</v>
      </c>
      <c r="D4522" s="17" t="s">
        <v>14973</v>
      </c>
    </row>
    <row r="4523">
      <c r="A4523" s="14" t="s">
        <v>6353</v>
      </c>
      <c r="B4523" s="15" t="s">
        <v>14974</v>
      </c>
      <c r="C4523" s="16">
        <v>27873.0</v>
      </c>
      <c r="D4523" s="17" t="s">
        <v>14975</v>
      </c>
    </row>
    <row r="4524">
      <c r="A4524" s="14">
        <v>23.0</v>
      </c>
      <c r="B4524" s="15" t="s">
        <v>14976</v>
      </c>
      <c r="C4524" s="16">
        <v>27873.0</v>
      </c>
      <c r="D4524" s="17" t="s">
        <v>14977</v>
      </c>
    </row>
    <row r="4525">
      <c r="A4525" s="14">
        <v>23.0</v>
      </c>
      <c r="B4525" s="15" t="s">
        <v>14978</v>
      </c>
      <c r="C4525" s="16">
        <v>27873.0</v>
      </c>
      <c r="D4525" s="17" t="s">
        <v>14979</v>
      </c>
    </row>
    <row r="4526">
      <c r="A4526" s="14">
        <v>23.0</v>
      </c>
      <c r="B4526" s="15" t="s">
        <v>14980</v>
      </c>
      <c r="C4526" s="16">
        <v>27873.0</v>
      </c>
      <c r="D4526" s="17" t="s">
        <v>14981</v>
      </c>
    </row>
    <row r="4527">
      <c r="A4527" s="14">
        <v>23.0</v>
      </c>
      <c r="B4527" s="15" t="s">
        <v>14982</v>
      </c>
      <c r="C4527" s="16">
        <v>27873.0</v>
      </c>
      <c r="D4527" s="17" t="s">
        <v>14983</v>
      </c>
    </row>
    <row r="4528">
      <c r="A4528" s="14">
        <v>23.0</v>
      </c>
      <c r="B4528" s="15" t="s">
        <v>14984</v>
      </c>
      <c r="C4528" s="16">
        <v>27873.0</v>
      </c>
      <c r="D4528" s="17" t="s">
        <v>14985</v>
      </c>
    </row>
    <row r="4529">
      <c r="A4529" s="14">
        <v>23.0</v>
      </c>
      <c r="B4529" s="15" t="s">
        <v>14986</v>
      </c>
      <c r="C4529" s="16">
        <v>27873.0</v>
      </c>
      <c r="D4529" s="17" t="s">
        <v>14987</v>
      </c>
    </row>
    <row r="4530">
      <c r="A4530" s="14" t="s">
        <v>6126</v>
      </c>
      <c r="B4530" s="15" t="s">
        <v>14988</v>
      </c>
      <c r="C4530" s="16">
        <v>27874.0</v>
      </c>
      <c r="D4530" s="17" t="s">
        <v>14989</v>
      </c>
    </row>
    <row r="4531">
      <c r="A4531" s="14" t="s">
        <v>6374</v>
      </c>
      <c r="B4531" s="15" t="s">
        <v>14990</v>
      </c>
      <c r="C4531" s="16">
        <v>27874.0</v>
      </c>
      <c r="D4531" s="17" t="s">
        <v>14991</v>
      </c>
    </row>
    <row r="4532">
      <c r="A4532" s="14">
        <v>24.0</v>
      </c>
      <c r="B4532" s="15" t="s">
        <v>14992</v>
      </c>
      <c r="C4532" s="16">
        <v>27874.0</v>
      </c>
      <c r="D4532" s="17" t="s">
        <v>14993</v>
      </c>
    </row>
    <row r="4533">
      <c r="A4533" s="14">
        <v>24.0</v>
      </c>
      <c r="B4533" s="15" t="s">
        <v>14994</v>
      </c>
      <c r="C4533" s="16">
        <v>27874.0</v>
      </c>
      <c r="D4533" s="17" t="s">
        <v>14995</v>
      </c>
    </row>
    <row r="4534">
      <c r="A4534" s="14">
        <v>24.0</v>
      </c>
      <c r="B4534" s="15" t="s">
        <v>14996</v>
      </c>
      <c r="C4534" s="16">
        <v>27874.0</v>
      </c>
      <c r="D4534" s="17" t="s">
        <v>14997</v>
      </c>
    </row>
    <row r="4535">
      <c r="A4535" s="14">
        <v>24.0</v>
      </c>
      <c r="B4535" s="15" t="s">
        <v>14998</v>
      </c>
      <c r="C4535" s="16">
        <v>27874.0</v>
      </c>
      <c r="D4535" s="17" t="s">
        <v>14999</v>
      </c>
    </row>
    <row r="4536">
      <c r="A4536" s="14" t="s">
        <v>6126</v>
      </c>
      <c r="B4536" s="15" t="s">
        <v>15000</v>
      </c>
      <c r="C4536" s="16">
        <v>27876.0</v>
      </c>
      <c r="D4536" s="17" t="s">
        <v>15001</v>
      </c>
    </row>
    <row r="4537">
      <c r="A4537" s="14" t="s">
        <v>6374</v>
      </c>
      <c r="B4537" s="15" t="s">
        <v>15002</v>
      </c>
      <c r="C4537" s="16">
        <v>27876.0</v>
      </c>
      <c r="D4537" s="17" t="s">
        <v>15003</v>
      </c>
    </row>
    <row r="4538">
      <c r="A4538" s="14">
        <v>26.0</v>
      </c>
      <c r="B4538" s="15" t="s">
        <v>15004</v>
      </c>
      <c r="C4538" s="16">
        <v>27876.0</v>
      </c>
      <c r="D4538" s="17" t="s">
        <v>15005</v>
      </c>
    </row>
    <row r="4539">
      <c r="A4539" s="14">
        <v>26.0</v>
      </c>
      <c r="B4539" s="15" t="s">
        <v>15006</v>
      </c>
      <c r="C4539" s="16">
        <v>27876.0</v>
      </c>
      <c r="D4539" s="17" t="s">
        <v>15007</v>
      </c>
    </row>
    <row r="4540">
      <c r="A4540" s="14">
        <v>26.0</v>
      </c>
      <c r="B4540" s="15" t="s">
        <v>15008</v>
      </c>
      <c r="C4540" s="16">
        <v>27876.0</v>
      </c>
      <c r="D4540" s="17" t="s">
        <v>15009</v>
      </c>
    </row>
    <row r="4541">
      <c r="A4541" s="14">
        <v>26.0</v>
      </c>
      <c r="B4541" s="15" t="s">
        <v>15010</v>
      </c>
      <c r="C4541" s="16">
        <v>27876.0</v>
      </c>
      <c r="D4541" s="17" t="s">
        <v>15011</v>
      </c>
    </row>
    <row r="4542">
      <c r="A4542" s="14" t="s">
        <v>6753</v>
      </c>
      <c r="B4542" s="15" t="s">
        <v>15012</v>
      </c>
      <c r="C4542" s="16">
        <v>27877.0</v>
      </c>
      <c r="D4542" s="17" t="s">
        <v>15013</v>
      </c>
    </row>
    <row r="4543">
      <c r="A4543" s="14" t="s">
        <v>358</v>
      </c>
      <c r="B4543" s="15" t="s">
        <v>15014</v>
      </c>
      <c r="C4543" s="16">
        <v>27877.0</v>
      </c>
      <c r="D4543" s="17" t="s">
        <v>15015</v>
      </c>
    </row>
    <row r="4544">
      <c r="A4544" s="14" t="s">
        <v>6353</v>
      </c>
      <c r="B4544" s="15" t="s">
        <v>15016</v>
      </c>
      <c r="C4544" s="16">
        <v>27877.0</v>
      </c>
      <c r="D4544" s="17" t="s">
        <v>15017</v>
      </c>
    </row>
    <row r="4545">
      <c r="A4545" s="14">
        <v>27.0</v>
      </c>
      <c r="B4545" s="15" t="s">
        <v>15018</v>
      </c>
      <c r="C4545" s="16">
        <v>27877.0</v>
      </c>
      <c r="D4545" s="17" t="s">
        <v>15019</v>
      </c>
    </row>
    <row r="4546">
      <c r="A4546" s="14">
        <v>27.0</v>
      </c>
      <c r="B4546" s="15" t="s">
        <v>15020</v>
      </c>
      <c r="C4546" s="16">
        <v>27877.0</v>
      </c>
      <c r="D4546" s="17" t="s">
        <v>15021</v>
      </c>
    </row>
    <row r="4547">
      <c r="A4547" s="14">
        <v>27.0</v>
      </c>
      <c r="B4547" s="15" t="s">
        <v>15022</v>
      </c>
      <c r="C4547" s="16">
        <v>27877.0</v>
      </c>
      <c r="D4547" s="17" t="s">
        <v>15023</v>
      </c>
    </row>
    <row r="4548">
      <c r="A4548" s="14">
        <v>27.0</v>
      </c>
      <c r="B4548" s="15" t="s">
        <v>15024</v>
      </c>
      <c r="C4548" s="16">
        <v>27877.0</v>
      </c>
      <c r="D4548" s="17" t="s">
        <v>15025</v>
      </c>
    </row>
    <row r="4549">
      <c r="A4549" s="14">
        <v>27.0</v>
      </c>
      <c r="B4549" s="15" t="s">
        <v>15026</v>
      </c>
      <c r="C4549" s="16">
        <v>27877.0</v>
      </c>
      <c r="D4549" s="17" t="s">
        <v>15027</v>
      </c>
    </row>
    <row r="4550">
      <c r="A4550" s="14">
        <v>27.0</v>
      </c>
      <c r="B4550" s="15" t="s">
        <v>15028</v>
      </c>
      <c r="C4550" s="16">
        <v>27877.0</v>
      </c>
      <c r="D4550" s="17" t="s">
        <v>15029</v>
      </c>
    </row>
    <row r="4551">
      <c r="A4551" s="14">
        <v>27.0</v>
      </c>
      <c r="B4551" s="15" t="s">
        <v>15030</v>
      </c>
      <c r="C4551" s="16">
        <v>27877.0</v>
      </c>
      <c r="D4551" s="17" t="s">
        <v>15031</v>
      </c>
    </row>
    <row r="4552">
      <c r="A4552" s="14">
        <v>30.0</v>
      </c>
      <c r="B4552" s="15" t="s">
        <v>15032</v>
      </c>
      <c r="C4552" s="16">
        <v>27880.0</v>
      </c>
      <c r="D4552" s="17" t="s">
        <v>15033</v>
      </c>
    </row>
    <row r="4553">
      <c r="A4553" s="14" t="s">
        <v>6353</v>
      </c>
      <c r="B4553" s="15" t="s">
        <v>15034</v>
      </c>
      <c r="C4553" s="16">
        <v>27881.0</v>
      </c>
      <c r="D4553" s="17" t="s">
        <v>15035</v>
      </c>
    </row>
    <row r="4554">
      <c r="A4554" s="14">
        <v>1.0</v>
      </c>
      <c r="B4554" s="15" t="s">
        <v>15036</v>
      </c>
      <c r="C4554" s="16">
        <v>27881.0</v>
      </c>
      <c r="D4554" s="17" t="s">
        <v>15037</v>
      </c>
    </row>
    <row r="4555">
      <c r="A4555" s="14">
        <v>1.0</v>
      </c>
      <c r="B4555" s="15" t="s">
        <v>15038</v>
      </c>
      <c r="C4555" s="16">
        <v>27881.0</v>
      </c>
      <c r="D4555" s="17" t="s">
        <v>15039</v>
      </c>
    </row>
    <row r="4556">
      <c r="A4556" s="14" t="s">
        <v>6087</v>
      </c>
      <c r="B4556" s="15" t="s">
        <v>15040</v>
      </c>
      <c r="C4556" s="16">
        <v>27882.0</v>
      </c>
      <c r="D4556" s="17" t="s">
        <v>15041</v>
      </c>
    </row>
    <row r="4557">
      <c r="A4557" s="14">
        <v>2.0</v>
      </c>
      <c r="B4557" s="15" t="s">
        <v>15042</v>
      </c>
      <c r="C4557" s="16">
        <v>27882.0</v>
      </c>
      <c r="D4557" s="17" t="s">
        <v>15043</v>
      </c>
    </row>
    <row r="4558">
      <c r="A4558" s="14">
        <v>2.0</v>
      </c>
      <c r="B4558" s="15" t="s">
        <v>15044</v>
      </c>
      <c r="C4558" s="16">
        <v>27882.0</v>
      </c>
      <c r="D4558" s="17" t="s">
        <v>15045</v>
      </c>
    </row>
    <row r="4559">
      <c r="A4559" s="14">
        <v>2.0</v>
      </c>
      <c r="B4559" s="15" t="s">
        <v>15046</v>
      </c>
      <c r="C4559" s="16">
        <v>27882.0</v>
      </c>
      <c r="D4559" s="17" t="s">
        <v>15047</v>
      </c>
    </row>
    <row r="4560">
      <c r="A4560" s="14" t="s">
        <v>6353</v>
      </c>
      <c r="B4560" s="15" t="s">
        <v>15048</v>
      </c>
      <c r="C4560" s="16">
        <v>27883.0</v>
      </c>
      <c r="D4560" s="17" t="s">
        <v>15049</v>
      </c>
    </row>
    <row r="4561">
      <c r="A4561" s="14">
        <v>3.0</v>
      </c>
      <c r="B4561" s="15" t="s">
        <v>15050</v>
      </c>
      <c r="C4561" s="16">
        <v>27883.0</v>
      </c>
      <c r="D4561" s="17" t="s">
        <v>15051</v>
      </c>
    </row>
    <row r="4562">
      <c r="A4562" s="14">
        <v>3.0</v>
      </c>
      <c r="B4562" s="15" t="s">
        <v>15052</v>
      </c>
      <c r="C4562" s="16">
        <v>27883.0</v>
      </c>
      <c r="D4562" s="17" t="s">
        <v>15053</v>
      </c>
    </row>
    <row r="4563">
      <c r="A4563" s="14">
        <v>3.0</v>
      </c>
      <c r="B4563" s="15" t="s">
        <v>15054</v>
      </c>
      <c r="C4563" s="16">
        <v>27883.0</v>
      </c>
      <c r="D4563" s="17" t="s">
        <v>15055</v>
      </c>
    </row>
    <row r="4564">
      <c r="A4564" s="14">
        <v>3.0</v>
      </c>
      <c r="B4564" s="15" t="s">
        <v>15056</v>
      </c>
      <c r="C4564" s="16">
        <v>27883.0</v>
      </c>
      <c r="D4564" s="17" t="s">
        <v>15057</v>
      </c>
    </row>
    <row r="4565">
      <c r="A4565" s="14">
        <v>3.0</v>
      </c>
      <c r="B4565" s="15" t="s">
        <v>15058</v>
      </c>
      <c r="C4565" s="16">
        <v>27883.0</v>
      </c>
      <c r="D4565" s="17" t="s">
        <v>15059</v>
      </c>
    </row>
    <row r="4566">
      <c r="A4566" s="14" t="s">
        <v>6353</v>
      </c>
      <c r="B4566" s="15" t="s">
        <v>15060</v>
      </c>
      <c r="C4566" s="16">
        <v>27884.0</v>
      </c>
      <c r="D4566" s="17" t="s">
        <v>15061</v>
      </c>
    </row>
    <row r="4567">
      <c r="A4567" s="14">
        <v>4.0</v>
      </c>
      <c r="B4567" s="15" t="s">
        <v>15062</v>
      </c>
      <c r="C4567" s="16">
        <v>27884.0</v>
      </c>
      <c r="D4567" s="17" t="s">
        <v>15063</v>
      </c>
    </row>
    <row r="4568">
      <c r="A4568" s="14">
        <v>4.0</v>
      </c>
      <c r="B4568" s="15" t="s">
        <v>15064</v>
      </c>
      <c r="C4568" s="16">
        <v>27884.0</v>
      </c>
      <c r="D4568" s="17" t="s">
        <v>15065</v>
      </c>
    </row>
    <row r="4569">
      <c r="A4569" s="14">
        <v>5.0</v>
      </c>
      <c r="B4569" s="15" t="s">
        <v>15066</v>
      </c>
      <c r="C4569" s="16">
        <v>27885.0</v>
      </c>
      <c r="D4569" s="17" t="s">
        <v>15067</v>
      </c>
    </row>
    <row r="4570">
      <c r="A4570" s="14">
        <v>5.0</v>
      </c>
      <c r="B4570" s="15" t="s">
        <v>15068</v>
      </c>
      <c r="C4570" s="16">
        <v>27885.0</v>
      </c>
      <c r="D4570" s="17" t="s">
        <v>15069</v>
      </c>
    </row>
    <row r="4571">
      <c r="A4571" s="14" t="s">
        <v>6891</v>
      </c>
      <c r="B4571" s="15" t="s">
        <v>15070</v>
      </c>
      <c r="C4571" s="16">
        <v>27886.0</v>
      </c>
      <c r="D4571" s="17" t="s">
        <v>15071</v>
      </c>
    </row>
    <row r="4572">
      <c r="A4572" s="14">
        <v>6.0</v>
      </c>
      <c r="B4572" s="15" t="s">
        <v>15072</v>
      </c>
      <c r="C4572" s="16">
        <v>27886.0</v>
      </c>
      <c r="D4572" s="17" t="s">
        <v>15073</v>
      </c>
    </row>
    <row r="4573">
      <c r="A4573" s="14">
        <v>6.0</v>
      </c>
      <c r="B4573" s="15" t="s">
        <v>15074</v>
      </c>
      <c r="C4573" s="16">
        <v>27886.0</v>
      </c>
      <c r="D4573" s="17" t="s">
        <v>15075</v>
      </c>
    </row>
    <row r="4574">
      <c r="A4574" s="14">
        <v>6.0</v>
      </c>
      <c r="B4574" s="15" t="s">
        <v>15076</v>
      </c>
      <c r="C4574" s="16">
        <v>27886.0</v>
      </c>
      <c r="D4574" s="17" t="s">
        <v>15077</v>
      </c>
    </row>
    <row r="4575">
      <c r="A4575" s="14" t="s">
        <v>6891</v>
      </c>
      <c r="B4575" s="15" t="s">
        <v>15078</v>
      </c>
      <c r="C4575" s="16">
        <v>27887.0</v>
      </c>
      <c r="D4575" s="17" t="s">
        <v>15079</v>
      </c>
    </row>
    <row r="4576">
      <c r="A4576" s="14">
        <v>7.0</v>
      </c>
      <c r="B4576" s="15" t="s">
        <v>15080</v>
      </c>
      <c r="C4576" s="16">
        <v>27887.0</v>
      </c>
      <c r="D4576" s="17" t="s">
        <v>15081</v>
      </c>
    </row>
    <row r="4577">
      <c r="A4577" s="14">
        <v>7.0</v>
      </c>
      <c r="B4577" s="15" t="s">
        <v>15082</v>
      </c>
      <c r="C4577" s="16">
        <v>27887.0</v>
      </c>
      <c r="D4577" s="17" t="s">
        <v>15083</v>
      </c>
    </row>
    <row r="4578">
      <c r="A4578" s="14">
        <v>7.0</v>
      </c>
      <c r="B4578" s="15" t="s">
        <v>15084</v>
      </c>
      <c r="C4578" s="16">
        <v>27887.0</v>
      </c>
      <c r="D4578" s="17" t="s">
        <v>15085</v>
      </c>
    </row>
    <row r="4579">
      <c r="A4579" s="14" t="s">
        <v>6891</v>
      </c>
      <c r="B4579" s="15" t="s">
        <v>15086</v>
      </c>
      <c r="C4579" s="16">
        <v>27888.0</v>
      </c>
      <c r="D4579" s="17" t="s">
        <v>15087</v>
      </c>
    </row>
    <row r="4580">
      <c r="A4580" s="14">
        <v>8.0</v>
      </c>
      <c r="B4580" s="15" t="s">
        <v>15088</v>
      </c>
      <c r="C4580" s="16">
        <v>27888.0</v>
      </c>
      <c r="D4580" s="17" t="s">
        <v>15089</v>
      </c>
    </row>
    <row r="4581">
      <c r="A4581" s="14">
        <v>8.0</v>
      </c>
      <c r="B4581" s="15" t="s">
        <v>15090</v>
      </c>
      <c r="C4581" s="16">
        <v>27888.0</v>
      </c>
      <c r="D4581" s="17" t="s">
        <v>15091</v>
      </c>
    </row>
    <row r="4582">
      <c r="A4582" s="14" t="s">
        <v>6891</v>
      </c>
      <c r="B4582" s="15" t="s">
        <v>15092</v>
      </c>
      <c r="C4582" s="16">
        <v>27889.0</v>
      </c>
      <c r="D4582" s="17" t="s">
        <v>15093</v>
      </c>
    </row>
    <row r="4583">
      <c r="A4583" s="14">
        <v>9.0</v>
      </c>
      <c r="B4583" s="15" t="s">
        <v>15094</v>
      </c>
      <c r="C4583" s="16">
        <v>27889.0</v>
      </c>
      <c r="D4583" s="17" t="s">
        <v>15095</v>
      </c>
    </row>
    <row r="4584">
      <c r="A4584" s="14">
        <v>9.0</v>
      </c>
      <c r="B4584" s="15" t="s">
        <v>15096</v>
      </c>
      <c r="C4584" s="16">
        <v>27889.0</v>
      </c>
      <c r="D4584" s="17" t="s">
        <v>15097</v>
      </c>
    </row>
    <row r="4585">
      <c r="A4585" s="14" t="s">
        <v>6891</v>
      </c>
      <c r="B4585" s="15" t="s">
        <v>15098</v>
      </c>
      <c r="C4585" s="16">
        <v>27890.0</v>
      </c>
      <c r="D4585" s="17" t="s">
        <v>15099</v>
      </c>
    </row>
    <row r="4586">
      <c r="A4586" s="14">
        <v>10.0</v>
      </c>
      <c r="B4586" s="15" t="s">
        <v>15100</v>
      </c>
      <c r="C4586" s="16">
        <v>27890.0</v>
      </c>
      <c r="D4586" s="17" t="s">
        <v>15101</v>
      </c>
    </row>
    <row r="4587">
      <c r="A4587" s="14">
        <v>10.0</v>
      </c>
      <c r="B4587" s="15" t="s">
        <v>15102</v>
      </c>
      <c r="C4587" s="16">
        <v>27890.0</v>
      </c>
      <c r="D4587" s="17" t="s">
        <v>15103</v>
      </c>
    </row>
    <row r="4588">
      <c r="A4588" s="14" t="s">
        <v>6891</v>
      </c>
      <c r="B4588" s="15" t="s">
        <v>15104</v>
      </c>
      <c r="C4588" s="16">
        <v>27891.0</v>
      </c>
      <c r="D4588" s="17" t="s">
        <v>15105</v>
      </c>
    </row>
    <row r="4589">
      <c r="A4589" s="14">
        <v>11.0</v>
      </c>
      <c r="B4589" s="15" t="s">
        <v>15106</v>
      </c>
      <c r="C4589" s="16">
        <v>27891.0</v>
      </c>
      <c r="D4589" s="17" t="s">
        <v>15107</v>
      </c>
    </row>
    <row r="4590">
      <c r="A4590" s="14">
        <v>11.0</v>
      </c>
      <c r="B4590" s="15" t="s">
        <v>15108</v>
      </c>
      <c r="C4590" s="16">
        <v>27891.0</v>
      </c>
      <c r="D4590" s="17" t="s">
        <v>15109</v>
      </c>
    </row>
    <row r="4591">
      <c r="A4591" s="14">
        <v>11.0</v>
      </c>
      <c r="B4591" s="15" t="s">
        <v>15110</v>
      </c>
      <c r="C4591" s="16">
        <v>27891.0</v>
      </c>
      <c r="D4591" s="17" t="s">
        <v>15111</v>
      </c>
    </row>
    <row r="4592">
      <c r="A4592" s="14" t="s">
        <v>6374</v>
      </c>
      <c r="B4592" s="15" t="s">
        <v>15112</v>
      </c>
      <c r="C4592" s="16">
        <v>27892.0</v>
      </c>
      <c r="D4592" s="17" t="s">
        <v>15113</v>
      </c>
    </row>
    <row r="4593">
      <c r="A4593" s="14" t="s">
        <v>6891</v>
      </c>
      <c r="B4593" s="15" t="s">
        <v>15114</v>
      </c>
      <c r="C4593" s="16">
        <v>27892.0</v>
      </c>
      <c r="D4593" s="17" t="s">
        <v>15115</v>
      </c>
    </row>
    <row r="4594">
      <c r="A4594" s="14">
        <v>12.0</v>
      </c>
      <c r="B4594" s="15" t="s">
        <v>15116</v>
      </c>
      <c r="C4594" s="16">
        <v>27892.0</v>
      </c>
      <c r="D4594" s="17" t="s">
        <v>15117</v>
      </c>
    </row>
    <row r="4595">
      <c r="A4595" s="14">
        <v>12.0</v>
      </c>
      <c r="B4595" s="15" t="s">
        <v>15118</v>
      </c>
      <c r="C4595" s="16">
        <v>27892.0</v>
      </c>
      <c r="D4595" s="17" t="s">
        <v>15119</v>
      </c>
    </row>
    <row r="4596">
      <c r="A4596" s="14">
        <v>12.0</v>
      </c>
      <c r="B4596" s="15" t="s">
        <v>15120</v>
      </c>
      <c r="C4596" s="16">
        <v>27892.0</v>
      </c>
      <c r="D4596" s="17" t="s">
        <v>15121</v>
      </c>
    </row>
    <row r="4597">
      <c r="A4597" s="14">
        <v>12.0</v>
      </c>
      <c r="B4597" s="15" t="s">
        <v>15122</v>
      </c>
      <c r="C4597" s="16">
        <v>27892.0</v>
      </c>
      <c r="D4597" s="17" t="s">
        <v>15123</v>
      </c>
    </row>
    <row r="4598">
      <c r="A4598" s="14">
        <v>12.0</v>
      </c>
      <c r="B4598" s="15" t="s">
        <v>15124</v>
      </c>
      <c r="C4598" s="16">
        <v>27892.0</v>
      </c>
      <c r="D4598" s="17" t="s">
        <v>15125</v>
      </c>
    </row>
    <row r="4599">
      <c r="A4599" s="14" t="s">
        <v>6891</v>
      </c>
      <c r="B4599" s="15" t="s">
        <v>15126</v>
      </c>
      <c r="C4599" s="16">
        <v>27893.0</v>
      </c>
      <c r="D4599" s="17" t="s">
        <v>15127</v>
      </c>
    </row>
    <row r="4600">
      <c r="A4600" s="14">
        <v>13.0</v>
      </c>
      <c r="B4600" s="15" t="s">
        <v>15128</v>
      </c>
      <c r="C4600" s="16">
        <v>27893.0</v>
      </c>
      <c r="D4600" s="17" t="s">
        <v>15129</v>
      </c>
    </row>
    <row r="4601">
      <c r="A4601" s="14">
        <v>13.0</v>
      </c>
      <c r="B4601" s="15" t="s">
        <v>15130</v>
      </c>
      <c r="C4601" s="16">
        <v>27893.0</v>
      </c>
      <c r="D4601" s="17" t="s">
        <v>15131</v>
      </c>
    </row>
    <row r="4602">
      <c r="A4602" s="14">
        <v>13.0</v>
      </c>
      <c r="B4602" s="15" t="s">
        <v>15132</v>
      </c>
      <c r="C4602" s="16">
        <v>27893.0</v>
      </c>
      <c r="D4602" s="17" t="s">
        <v>15133</v>
      </c>
    </row>
    <row r="4603">
      <c r="A4603" s="14" t="s">
        <v>6891</v>
      </c>
      <c r="B4603" s="15" t="s">
        <v>15134</v>
      </c>
      <c r="C4603" s="16">
        <v>27894.0</v>
      </c>
      <c r="D4603" s="17" t="s">
        <v>15135</v>
      </c>
    </row>
    <row r="4604">
      <c r="A4604" s="14" t="s">
        <v>6891</v>
      </c>
      <c r="B4604" s="15" t="s">
        <v>15136</v>
      </c>
      <c r="C4604" s="16">
        <v>27894.0</v>
      </c>
      <c r="D4604" s="17" t="s">
        <v>15137</v>
      </c>
    </row>
    <row r="4605">
      <c r="A4605" s="14">
        <v>14.0</v>
      </c>
      <c r="B4605" s="15" t="s">
        <v>15138</v>
      </c>
      <c r="C4605" s="16">
        <v>27894.0</v>
      </c>
      <c r="D4605" s="17" t="s">
        <v>15139</v>
      </c>
    </row>
    <row r="4606">
      <c r="A4606" s="14">
        <v>14.0</v>
      </c>
      <c r="B4606" s="15" t="s">
        <v>15140</v>
      </c>
      <c r="C4606" s="16">
        <v>27894.0</v>
      </c>
      <c r="D4606" s="17" t="s">
        <v>15141</v>
      </c>
    </row>
    <row r="4607">
      <c r="A4607" s="14" t="s">
        <v>6374</v>
      </c>
      <c r="B4607" s="15" t="s">
        <v>15142</v>
      </c>
      <c r="C4607" s="16">
        <v>27895.0</v>
      </c>
      <c r="D4607" s="17" t="s">
        <v>15143</v>
      </c>
    </row>
    <row r="4608">
      <c r="A4608" s="14">
        <v>15.0</v>
      </c>
      <c r="B4608" s="15" t="s">
        <v>15144</v>
      </c>
      <c r="C4608" s="16">
        <v>27895.0</v>
      </c>
      <c r="D4608" s="17" t="s">
        <v>15145</v>
      </c>
    </row>
    <row r="4609">
      <c r="A4609" s="14">
        <v>15.0</v>
      </c>
      <c r="B4609" s="15" t="s">
        <v>15146</v>
      </c>
      <c r="C4609" s="16">
        <v>27895.0</v>
      </c>
      <c r="D4609" s="17" t="s">
        <v>15147</v>
      </c>
    </row>
    <row r="4610">
      <c r="A4610" s="14">
        <v>15.0</v>
      </c>
      <c r="B4610" s="15" t="s">
        <v>15148</v>
      </c>
      <c r="C4610" s="16">
        <v>27895.0</v>
      </c>
      <c r="D4610" s="17" t="s">
        <v>15149</v>
      </c>
    </row>
    <row r="4611">
      <c r="A4611" s="14">
        <v>15.0</v>
      </c>
      <c r="B4611" s="15" t="s">
        <v>15150</v>
      </c>
      <c r="C4611" s="16">
        <v>27895.0</v>
      </c>
      <c r="D4611" s="17" t="s">
        <v>15151</v>
      </c>
    </row>
    <row r="4612">
      <c r="A4612" s="14" t="s">
        <v>6891</v>
      </c>
      <c r="B4612" s="15" t="s">
        <v>15152</v>
      </c>
      <c r="C4612" s="16">
        <v>27896.0</v>
      </c>
      <c r="D4612" s="17" t="s">
        <v>15153</v>
      </c>
    </row>
    <row r="4613">
      <c r="A4613" s="14">
        <v>16.0</v>
      </c>
      <c r="B4613" s="15" t="s">
        <v>15154</v>
      </c>
      <c r="C4613" s="16">
        <v>27896.0</v>
      </c>
      <c r="D4613" s="17" t="s">
        <v>15155</v>
      </c>
    </row>
    <row r="4614">
      <c r="A4614" s="14">
        <v>16.0</v>
      </c>
      <c r="B4614" s="15" t="s">
        <v>15156</v>
      </c>
      <c r="C4614" s="16">
        <v>27896.0</v>
      </c>
      <c r="D4614" s="17" t="s">
        <v>15157</v>
      </c>
    </row>
    <row r="4615">
      <c r="A4615" s="14">
        <v>17.0</v>
      </c>
      <c r="B4615" s="15" t="s">
        <v>15158</v>
      </c>
      <c r="C4615" s="16">
        <v>27897.0</v>
      </c>
      <c r="D4615" s="17" t="s">
        <v>15159</v>
      </c>
    </row>
    <row r="4616">
      <c r="A4616" s="14">
        <v>17.0</v>
      </c>
      <c r="B4616" s="15" t="s">
        <v>15160</v>
      </c>
      <c r="C4616" s="16">
        <v>27897.0</v>
      </c>
      <c r="D4616" s="17" t="s">
        <v>15161</v>
      </c>
    </row>
    <row r="4617">
      <c r="A4617" s="14" t="s">
        <v>6891</v>
      </c>
      <c r="B4617" s="15" t="s">
        <v>15162</v>
      </c>
      <c r="C4617" s="16">
        <v>27898.0</v>
      </c>
      <c r="D4617" s="17" t="s">
        <v>15163</v>
      </c>
    </row>
    <row r="4618">
      <c r="A4618" s="14">
        <v>18.0</v>
      </c>
      <c r="B4618" s="15" t="s">
        <v>15164</v>
      </c>
      <c r="C4618" s="16">
        <v>27898.0</v>
      </c>
      <c r="D4618" s="17" t="s">
        <v>15165</v>
      </c>
    </row>
    <row r="4619">
      <c r="A4619" s="14">
        <v>18.0</v>
      </c>
      <c r="B4619" s="15" t="s">
        <v>15166</v>
      </c>
      <c r="C4619" s="16">
        <v>27898.0</v>
      </c>
      <c r="D4619" s="17" t="s">
        <v>15167</v>
      </c>
    </row>
    <row r="4620">
      <c r="A4620" s="14">
        <v>18.0</v>
      </c>
      <c r="B4620" s="15" t="s">
        <v>15168</v>
      </c>
      <c r="C4620" s="16">
        <v>27898.0</v>
      </c>
      <c r="D4620" s="17" t="s">
        <v>15169</v>
      </c>
    </row>
    <row r="4621">
      <c r="A4621" s="14">
        <v>18.0</v>
      </c>
      <c r="B4621" s="15" t="s">
        <v>15170</v>
      </c>
      <c r="C4621" s="16">
        <v>27898.0</v>
      </c>
      <c r="D4621" s="17" t="s">
        <v>15171</v>
      </c>
    </row>
    <row r="4622">
      <c r="A4622" s="14" t="s">
        <v>6891</v>
      </c>
      <c r="B4622" s="15" t="s">
        <v>15172</v>
      </c>
      <c r="C4622" s="16">
        <v>27899.0</v>
      </c>
      <c r="D4622" s="17" t="s">
        <v>15173</v>
      </c>
    </row>
    <row r="4623">
      <c r="A4623" s="14">
        <v>19.0</v>
      </c>
      <c r="B4623" s="15" t="s">
        <v>15174</v>
      </c>
      <c r="C4623" s="16">
        <v>27899.0</v>
      </c>
      <c r="D4623" s="17" t="s">
        <v>15175</v>
      </c>
    </row>
    <row r="4624">
      <c r="A4624" s="14">
        <v>19.0</v>
      </c>
      <c r="B4624" s="15" t="s">
        <v>15176</v>
      </c>
      <c r="C4624" s="16">
        <v>27899.0</v>
      </c>
      <c r="D4624" s="17" t="s">
        <v>15177</v>
      </c>
    </row>
    <row r="4625">
      <c r="A4625" s="14">
        <v>19.0</v>
      </c>
      <c r="B4625" s="15" t="s">
        <v>15178</v>
      </c>
      <c r="C4625" s="16">
        <v>27899.0</v>
      </c>
      <c r="D4625" s="17" t="s">
        <v>15179</v>
      </c>
    </row>
    <row r="4626">
      <c r="A4626" s="14" t="s">
        <v>6891</v>
      </c>
      <c r="B4626" s="15" t="s">
        <v>15180</v>
      </c>
      <c r="C4626" s="16">
        <v>27900.0</v>
      </c>
      <c r="D4626" s="17" t="s">
        <v>15181</v>
      </c>
    </row>
    <row r="4627">
      <c r="A4627" s="14">
        <v>20.0</v>
      </c>
      <c r="B4627" s="15" t="s">
        <v>15182</v>
      </c>
      <c r="C4627" s="16">
        <v>27900.0</v>
      </c>
      <c r="D4627" s="17" t="s">
        <v>15183</v>
      </c>
    </row>
    <row r="4628">
      <c r="A4628" s="14">
        <v>20.0</v>
      </c>
      <c r="B4628" s="15" t="s">
        <v>15184</v>
      </c>
      <c r="C4628" s="16">
        <v>27900.0</v>
      </c>
      <c r="D4628" s="17" t="s">
        <v>15185</v>
      </c>
    </row>
    <row r="4629">
      <c r="A4629" s="14">
        <v>20.0</v>
      </c>
      <c r="B4629" s="15" t="s">
        <v>15186</v>
      </c>
      <c r="C4629" s="16">
        <v>27900.0</v>
      </c>
      <c r="D4629" s="17" t="s">
        <v>15187</v>
      </c>
    </row>
    <row r="4630">
      <c r="A4630" s="14">
        <v>20.0</v>
      </c>
      <c r="B4630" s="15" t="s">
        <v>15188</v>
      </c>
      <c r="C4630" s="16">
        <v>27900.0</v>
      </c>
      <c r="D4630" s="17" t="s">
        <v>15189</v>
      </c>
    </row>
    <row r="4631">
      <c r="A4631" s="14" t="s">
        <v>6891</v>
      </c>
      <c r="B4631" s="15" t="s">
        <v>15190</v>
      </c>
      <c r="C4631" s="16">
        <v>27901.0</v>
      </c>
      <c r="D4631" s="17" t="s">
        <v>15191</v>
      </c>
    </row>
    <row r="4632">
      <c r="A4632" s="14">
        <v>21.0</v>
      </c>
      <c r="B4632" s="15" t="s">
        <v>15192</v>
      </c>
      <c r="C4632" s="16">
        <v>27901.0</v>
      </c>
      <c r="D4632" s="17" t="s">
        <v>15193</v>
      </c>
    </row>
    <row r="4633">
      <c r="A4633" s="14">
        <v>21.0</v>
      </c>
      <c r="B4633" s="15" t="s">
        <v>15194</v>
      </c>
      <c r="C4633" s="16">
        <v>27901.0</v>
      </c>
      <c r="D4633" s="17" t="s">
        <v>15195</v>
      </c>
    </row>
    <row r="4634">
      <c r="A4634" s="14">
        <v>21.0</v>
      </c>
      <c r="B4634" s="15" t="s">
        <v>15196</v>
      </c>
      <c r="C4634" s="16">
        <v>27901.0</v>
      </c>
      <c r="D4634" s="17" t="s">
        <v>15197</v>
      </c>
    </row>
    <row r="4635">
      <c r="A4635" s="14" t="s">
        <v>6891</v>
      </c>
      <c r="B4635" s="15" t="s">
        <v>15198</v>
      </c>
      <c r="C4635" s="16">
        <v>27902.0</v>
      </c>
      <c r="D4635" s="17" t="s">
        <v>15199</v>
      </c>
    </row>
    <row r="4636">
      <c r="A4636" s="14">
        <v>22.0</v>
      </c>
      <c r="B4636" s="15" t="s">
        <v>15200</v>
      </c>
      <c r="C4636" s="16">
        <v>27902.0</v>
      </c>
      <c r="D4636" s="17" t="s">
        <v>15201</v>
      </c>
    </row>
    <row r="4637">
      <c r="A4637" s="14">
        <v>22.0</v>
      </c>
      <c r="B4637" s="15" t="s">
        <v>15202</v>
      </c>
      <c r="C4637" s="16">
        <v>27902.0</v>
      </c>
      <c r="D4637" s="17" t="s">
        <v>15203</v>
      </c>
    </row>
    <row r="4638">
      <c r="A4638" s="14" t="s">
        <v>6891</v>
      </c>
      <c r="B4638" s="15" t="s">
        <v>15204</v>
      </c>
      <c r="C4638" s="16">
        <v>27903.0</v>
      </c>
      <c r="D4638" s="17" t="s">
        <v>15205</v>
      </c>
    </row>
    <row r="4639">
      <c r="A4639" s="14">
        <v>23.0</v>
      </c>
      <c r="B4639" s="15" t="s">
        <v>15206</v>
      </c>
      <c r="C4639" s="16">
        <v>27903.0</v>
      </c>
      <c r="D4639" s="17" t="s">
        <v>15207</v>
      </c>
    </row>
    <row r="4640">
      <c r="A4640" s="14">
        <v>23.0</v>
      </c>
      <c r="B4640" s="15" t="s">
        <v>15208</v>
      </c>
      <c r="C4640" s="16">
        <v>27903.0</v>
      </c>
      <c r="D4640" s="17" t="s">
        <v>15209</v>
      </c>
    </row>
    <row r="4641">
      <c r="A4641" s="14" t="s">
        <v>6891</v>
      </c>
      <c r="B4641" s="15" t="s">
        <v>15210</v>
      </c>
      <c r="C4641" s="16">
        <v>27904.0</v>
      </c>
      <c r="D4641" s="17" t="s">
        <v>15211</v>
      </c>
    </row>
    <row r="4642">
      <c r="A4642" s="14">
        <v>24.0</v>
      </c>
      <c r="B4642" s="15" t="s">
        <v>15212</v>
      </c>
      <c r="C4642" s="16">
        <v>27904.0</v>
      </c>
      <c r="D4642" s="17" t="s">
        <v>15213</v>
      </c>
    </row>
    <row r="4643">
      <c r="A4643" s="14">
        <v>24.0</v>
      </c>
      <c r="B4643" s="15" t="s">
        <v>15214</v>
      </c>
      <c r="C4643" s="16">
        <v>27904.0</v>
      </c>
      <c r="D4643" s="17" t="s">
        <v>15215</v>
      </c>
    </row>
    <row r="4644">
      <c r="A4644" s="14">
        <v>24.0</v>
      </c>
      <c r="B4644" s="15" t="s">
        <v>15216</v>
      </c>
      <c r="C4644" s="16">
        <v>27904.0</v>
      </c>
      <c r="D4644" s="17" t="s">
        <v>15217</v>
      </c>
    </row>
    <row r="4645">
      <c r="A4645" s="14" t="s">
        <v>6891</v>
      </c>
      <c r="B4645" s="15" t="s">
        <v>15218</v>
      </c>
      <c r="C4645" s="16">
        <v>27905.0</v>
      </c>
      <c r="D4645" s="17" t="s">
        <v>15219</v>
      </c>
    </row>
    <row r="4646">
      <c r="A4646" s="14">
        <v>25.0</v>
      </c>
      <c r="B4646" s="15" t="s">
        <v>15220</v>
      </c>
      <c r="C4646" s="16">
        <v>27905.0</v>
      </c>
      <c r="D4646" s="17" t="s">
        <v>15221</v>
      </c>
    </row>
    <row r="4647">
      <c r="A4647" s="14">
        <v>25.0</v>
      </c>
      <c r="B4647" s="15" t="s">
        <v>15222</v>
      </c>
      <c r="C4647" s="16">
        <v>27905.0</v>
      </c>
      <c r="D4647" s="17" t="s">
        <v>15223</v>
      </c>
    </row>
    <row r="4648">
      <c r="A4648" s="14">
        <v>25.0</v>
      </c>
      <c r="B4648" s="15" t="s">
        <v>15224</v>
      </c>
      <c r="C4648" s="16">
        <v>27905.0</v>
      </c>
      <c r="D4648" s="17" t="s">
        <v>15225</v>
      </c>
    </row>
    <row r="4649">
      <c r="A4649" s="14" t="s">
        <v>6891</v>
      </c>
      <c r="B4649" s="15" t="s">
        <v>15226</v>
      </c>
      <c r="C4649" s="16">
        <v>27906.0</v>
      </c>
      <c r="D4649" s="17" t="s">
        <v>15227</v>
      </c>
    </row>
    <row r="4650">
      <c r="A4650" s="14">
        <v>26.0</v>
      </c>
      <c r="B4650" s="15" t="s">
        <v>15228</v>
      </c>
      <c r="C4650" s="16">
        <v>27906.0</v>
      </c>
      <c r="D4650" s="17" t="s">
        <v>15229</v>
      </c>
    </row>
    <row r="4651">
      <c r="A4651" s="14">
        <v>26.0</v>
      </c>
      <c r="B4651" s="15" t="s">
        <v>15230</v>
      </c>
      <c r="C4651" s="16">
        <v>27906.0</v>
      </c>
      <c r="D4651" s="17" t="s">
        <v>15231</v>
      </c>
    </row>
    <row r="4652">
      <c r="A4652" s="14">
        <v>26.0</v>
      </c>
      <c r="B4652" s="15" t="s">
        <v>15232</v>
      </c>
      <c r="C4652" s="16">
        <v>27906.0</v>
      </c>
      <c r="D4652" s="17" t="s">
        <v>15233</v>
      </c>
    </row>
    <row r="4653">
      <c r="A4653" s="14" t="s">
        <v>6891</v>
      </c>
      <c r="B4653" s="15" t="s">
        <v>15234</v>
      </c>
      <c r="C4653" s="16">
        <v>27907.0</v>
      </c>
      <c r="D4653" s="17" t="s">
        <v>15235</v>
      </c>
    </row>
    <row r="4654">
      <c r="A4654" s="14">
        <v>27.0</v>
      </c>
      <c r="B4654" s="15" t="s">
        <v>15236</v>
      </c>
      <c r="C4654" s="16">
        <v>27907.0</v>
      </c>
      <c r="D4654" s="17" t="s">
        <v>15237</v>
      </c>
    </row>
    <row r="4655">
      <c r="A4655" s="14">
        <v>27.0</v>
      </c>
      <c r="B4655" s="15" t="s">
        <v>15238</v>
      </c>
      <c r="C4655" s="16">
        <v>27907.0</v>
      </c>
      <c r="D4655" s="17" t="s">
        <v>15239</v>
      </c>
    </row>
    <row r="4656">
      <c r="A4656" s="14">
        <v>27.0</v>
      </c>
      <c r="B4656" s="15" t="s">
        <v>15240</v>
      </c>
      <c r="C4656" s="16">
        <v>27907.0</v>
      </c>
      <c r="D4656" s="17" t="s">
        <v>15241</v>
      </c>
    </row>
    <row r="4657">
      <c r="A4657" s="14" t="s">
        <v>6891</v>
      </c>
      <c r="B4657" s="15" t="s">
        <v>15242</v>
      </c>
      <c r="C4657" s="16">
        <v>27908.0</v>
      </c>
      <c r="D4657" s="17" t="s">
        <v>15243</v>
      </c>
    </row>
    <row r="4658">
      <c r="A4658" s="14">
        <v>28.0</v>
      </c>
      <c r="B4658" s="15" t="s">
        <v>15244</v>
      </c>
      <c r="C4658" s="16">
        <v>27908.0</v>
      </c>
      <c r="D4658" s="17" t="s">
        <v>15245</v>
      </c>
    </row>
    <row r="4659">
      <c r="A4659" s="14">
        <v>28.0</v>
      </c>
      <c r="B4659" s="15" t="s">
        <v>15246</v>
      </c>
      <c r="C4659" s="16">
        <v>27908.0</v>
      </c>
      <c r="D4659" s="17" t="s">
        <v>15247</v>
      </c>
    </row>
    <row r="4660">
      <c r="A4660" s="14">
        <v>28.0</v>
      </c>
      <c r="B4660" s="15" t="s">
        <v>15248</v>
      </c>
      <c r="C4660" s="16">
        <v>27908.0</v>
      </c>
      <c r="D4660" s="17" t="s">
        <v>15249</v>
      </c>
    </row>
    <row r="4661">
      <c r="A4661" s="14" t="s">
        <v>6891</v>
      </c>
      <c r="B4661" s="15" t="s">
        <v>15250</v>
      </c>
      <c r="C4661" s="16">
        <v>27909.0</v>
      </c>
      <c r="D4661" s="17" t="s">
        <v>15251</v>
      </c>
    </row>
    <row r="4662">
      <c r="A4662" s="14">
        <v>29.0</v>
      </c>
      <c r="B4662" s="15" t="s">
        <v>15252</v>
      </c>
      <c r="C4662" s="16">
        <v>27909.0</v>
      </c>
      <c r="D4662" s="17" t="s">
        <v>15253</v>
      </c>
    </row>
    <row r="4663">
      <c r="A4663" s="14">
        <v>29.0</v>
      </c>
      <c r="B4663" s="15" t="s">
        <v>15254</v>
      </c>
      <c r="C4663" s="16">
        <v>27909.0</v>
      </c>
      <c r="D4663" s="17" t="s">
        <v>15255</v>
      </c>
    </row>
    <row r="4664">
      <c r="A4664" s="14">
        <v>29.0</v>
      </c>
      <c r="B4664" s="15" t="s">
        <v>15256</v>
      </c>
      <c r="C4664" s="16">
        <v>27909.0</v>
      </c>
      <c r="D4664" s="17" t="s">
        <v>15257</v>
      </c>
    </row>
    <row r="4665">
      <c r="A4665" s="14" t="s">
        <v>6891</v>
      </c>
      <c r="B4665" s="15" t="s">
        <v>15258</v>
      </c>
      <c r="C4665" s="16">
        <v>27910.0</v>
      </c>
      <c r="D4665" s="17" t="s">
        <v>15259</v>
      </c>
    </row>
    <row r="4666">
      <c r="A4666" s="14">
        <v>30.0</v>
      </c>
      <c r="B4666" s="15" t="s">
        <v>15260</v>
      </c>
      <c r="C4666" s="16">
        <v>27910.0</v>
      </c>
      <c r="D4666" s="17" t="s">
        <v>15261</v>
      </c>
    </row>
    <row r="4667">
      <c r="A4667" s="14">
        <v>30.0</v>
      </c>
      <c r="B4667" s="15" t="s">
        <v>15262</v>
      </c>
      <c r="C4667" s="16">
        <v>27910.0</v>
      </c>
      <c r="D4667" s="17" t="s">
        <v>15263</v>
      </c>
    </row>
    <row r="4668">
      <c r="A4668" s="14">
        <v>30.0</v>
      </c>
      <c r="B4668" s="15" t="s">
        <v>15264</v>
      </c>
      <c r="C4668" s="16">
        <v>27910.0</v>
      </c>
      <c r="D4668" s="17" t="s">
        <v>15265</v>
      </c>
    </row>
    <row r="4669">
      <c r="A4669" s="14">
        <v>30.0</v>
      </c>
      <c r="B4669" s="15" t="s">
        <v>15266</v>
      </c>
      <c r="C4669" s="16">
        <v>27910.0</v>
      </c>
      <c r="D4669" s="17" t="s">
        <v>15267</v>
      </c>
    </row>
    <row r="4670">
      <c r="A4670" s="14" t="s">
        <v>6891</v>
      </c>
      <c r="B4670" s="15" t="s">
        <v>15268</v>
      </c>
      <c r="C4670" s="16">
        <v>27911.0</v>
      </c>
      <c r="D4670" s="17" t="s">
        <v>15269</v>
      </c>
    </row>
    <row r="4671">
      <c r="A4671" s="14">
        <v>31.0</v>
      </c>
      <c r="B4671" s="15" t="s">
        <v>15270</v>
      </c>
      <c r="C4671" s="16">
        <v>27911.0</v>
      </c>
      <c r="D4671" s="17" t="s">
        <v>15271</v>
      </c>
    </row>
    <row r="4672">
      <c r="A4672" s="14">
        <v>31.0</v>
      </c>
      <c r="B4672" s="15" t="s">
        <v>15272</v>
      </c>
      <c r="C4672" s="16">
        <v>27911.0</v>
      </c>
      <c r="D4672" s="17" t="s">
        <v>15273</v>
      </c>
    </row>
    <row r="4673">
      <c r="A4673" s="14">
        <v>31.0</v>
      </c>
      <c r="B4673" s="15" t="s">
        <v>15274</v>
      </c>
      <c r="C4673" s="16">
        <v>27911.0</v>
      </c>
      <c r="D4673" s="17" t="s">
        <v>15275</v>
      </c>
    </row>
    <row r="4674">
      <c r="A4674" s="14">
        <v>31.0</v>
      </c>
      <c r="B4674" s="15" t="s">
        <v>15276</v>
      </c>
      <c r="C4674" s="16">
        <v>27911.0</v>
      </c>
      <c r="D4674" s="17" t="s">
        <v>15277</v>
      </c>
    </row>
    <row r="4675">
      <c r="A4675" s="14" t="s">
        <v>6891</v>
      </c>
      <c r="B4675" s="15" t="s">
        <v>15278</v>
      </c>
      <c r="C4675" s="16">
        <v>27912.0</v>
      </c>
      <c r="D4675" s="17" t="s">
        <v>15279</v>
      </c>
    </row>
    <row r="4676">
      <c r="A4676" s="14">
        <v>1.0</v>
      </c>
      <c r="B4676" s="15" t="s">
        <v>15280</v>
      </c>
      <c r="C4676" s="16">
        <v>27912.0</v>
      </c>
      <c r="D4676" s="17" t="s">
        <v>15281</v>
      </c>
    </row>
    <row r="4677">
      <c r="A4677" s="14">
        <v>1.0</v>
      </c>
      <c r="B4677" s="15" t="s">
        <v>15282</v>
      </c>
      <c r="C4677" s="16">
        <v>27912.0</v>
      </c>
      <c r="D4677" s="17" t="s">
        <v>15283</v>
      </c>
    </row>
    <row r="4678">
      <c r="A4678" s="14">
        <v>2.0</v>
      </c>
      <c r="B4678" s="15" t="s">
        <v>15284</v>
      </c>
      <c r="C4678" s="16">
        <v>27913.0</v>
      </c>
      <c r="D4678" s="17" t="s">
        <v>15285</v>
      </c>
    </row>
    <row r="4679">
      <c r="A4679" s="14" t="s">
        <v>6374</v>
      </c>
      <c r="B4679" s="15" t="s">
        <v>15286</v>
      </c>
      <c r="C4679" s="16">
        <v>27914.0</v>
      </c>
      <c r="D4679" s="17" t="s">
        <v>15287</v>
      </c>
    </row>
    <row r="4680">
      <c r="A4680" s="14" t="s">
        <v>6891</v>
      </c>
      <c r="B4680" s="15" t="s">
        <v>15288</v>
      </c>
      <c r="C4680" s="16">
        <v>27914.0</v>
      </c>
      <c r="D4680" s="17" t="s">
        <v>15289</v>
      </c>
    </row>
    <row r="4681">
      <c r="A4681" s="14">
        <v>3.0</v>
      </c>
      <c r="B4681" s="15" t="s">
        <v>15290</v>
      </c>
      <c r="C4681" s="16">
        <v>27914.0</v>
      </c>
      <c r="D4681" s="17" t="s">
        <v>15291</v>
      </c>
    </row>
    <row r="4682">
      <c r="A4682" s="14">
        <v>3.0</v>
      </c>
      <c r="B4682" s="15" t="s">
        <v>15292</v>
      </c>
      <c r="C4682" s="16">
        <v>27914.0</v>
      </c>
      <c r="D4682" s="17" t="s">
        <v>15293</v>
      </c>
    </row>
    <row r="4683">
      <c r="A4683" s="14">
        <v>3.0</v>
      </c>
      <c r="B4683" s="15" t="s">
        <v>15294</v>
      </c>
      <c r="C4683" s="16">
        <v>27914.0</v>
      </c>
      <c r="D4683" s="17" t="s">
        <v>15295</v>
      </c>
    </row>
    <row r="4684">
      <c r="A4684" s="14">
        <v>3.0</v>
      </c>
      <c r="B4684" s="15" t="s">
        <v>15296</v>
      </c>
      <c r="C4684" s="16">
        <v>27914.0</v>
      </c>
      <c r="D4684" s="17" t="s">
        <v>15297</v>
      </c>
    </row>
    <row r="4685">
      <c r="A4685" s="14">
        <v>3.0</v>
      </c>
      <c r="B4685" s="15" t="s">
        <v>15298</v>
      </c>
      <c r="C4685" s="16">
        <v>27914.0</v>
      </c>
      <c r="D4685" s="17" t="s">
        <v>15299</v>
      </c>
    </row>
    <row r="4686">
      <c r="A4686" s="14" t="s">
        <v>6891</v>
      </c>
      <c r="B4686" s="15" t="s">
        <v>15300</v>
      </c>
      <c r="C4686" s="16">
        <v>27915.0</v>
      </c>
      <c r="D4686" s="17" t="s">
        <v>15301</v>
      </c>
    </row>
    <row r="4687">
      <c r="A4687" s="14">
        <v>4.0</v>
      </c>
      <c r="B4687" s="15" t="s">
        <v>15302</v>
      </c>
      <c r="C4687" s="16">
        <v>27915.0</v>
      </c>
      <c r="D4687" s="17" t="s">
        <v>15303</v>
      </c>
    </row>
    <row r="4688">
      <c r="A4688" s="14">
        <v>4.0</v>
      </c>
      <c r="B4688" s="15" t="s">
        <v>15304</v>
      </c>
      <c r="C4688" s="16">
        <v>27915.0</v>
      </c>
      <c r="D4688" s="17" t="s">
        <v>15305</v>
      </c>
    </row>
    <row r="4689">
      <c r="A4689" s="14">
        <v>4.0</v>
      </c>
      <c r="B4689" s="15" t="s">
        <v>15306</v>
      </c>
      <c r="C4689" s="16">
        <v>27915.0</v>
      </c>
      <c r="D4689" s="17" t="s">
        <v>15307</v>
      </c>
    </row>
    <row r="4690">
      <c r="A4690" s="14">
        <v>4.0</v>
      </c>
      <c r="B4690" s="15" t="s">
        <v>15308</v>
      </c>
      <c r="C4690" s="16">
        <v>27915.0</v>
      </c>
      <c r="D4690" s="17" t="s">
        <v>15309</v>
      </c>
    </row>
    <row r="4691">
      <c r="A4691" s="14" t="s">
        <v>6891</v>
      </c>
      <c r="B4691" s="15" t="s">
        <v>15310</v>
      </c>
      <c r="C4691" s="16">
        <v>27916.0</v>
      </c>
      <c r="D4691" s="17" t="s">
        <v>15311</v>
      </c>
    </row>
    <row r="4692">
      <c r="A4692" s="14">
        <v>5.0</v>
      </c>
      <c r="B4692" s="15" t="s">
        <v>15312</v>
      </c>
      <c r="C4692" s="16">
        <v>27916.0</v>
      </c>
      <c r="D4692" s="17" t="s">
        <v>15313</v>
      </c>
    </row>
    <row r="4693">
      <c r="A4693" s="14">
        <v>5.0</v>
      </c>
      <c r="B4693" s="15" t="s">
        <v>15314</v>
      </c>
      <c r="C4693" s="16">
        <v>27916.0</v>
      </c>
      <c r="D4693" s="17" t="s">
        <v>15315</v>
      </c>
    </row>
    <row r="4694">
      <c r="A4694" s="14">
        <v>5.0</v>
      </c>
      <c r="B4694" s="15" t="s">
        <v>15316</v>
      </c>
      <c r="C4694" s="16">
        <v>27916.0</v>
      </c>
      <c r="D4694" s="17" t="s">
        <v>15317</v>
      </c>
    </row>
    <row r="4695">
      <c r="A4695" s="14" t="s">
        <v>6891</v>
      </c>
      <c r="B4695" s="15" t="s">
        <v>15318</v>
      </c>
      <c r="C4695" s="16">
        <v>27917.0</v>
      </c>
      <c r="D4695" s="17" t="s">
        <v>15319</v>
      </c>
    </row>
    <row r="4696">
      <c r="A4696" s="14">
        <v>6.0</v>
      </c>
      <c r="B4696" s="15" t="s">
        <v>15320</v>
      </c>
      <c r="C4696" s="16">
        <v>27917.0</v>
      </c>
      <c r="D4696" s="17" t="s">
        <v>15321</v>
      </c>
    </row>
    <row r="4697">
      <c r="A4697" s="14">
        <v>6.0</v>
      </c>
      <c r="B4697" s="15" t="s">
        <v>15322</v>
      </c>
      <c r="C4697" s="16">
        <v>27917.0</v>
      </c>
      <c r="D4697" s="17" t="s">
        <v>15323</v>
      </c>
    </row>
    <row r="4698">
      <c r="A4698" s="14">
        <v>6.0</v>
      </c>
      <c r="B4698" s="15" t="s">
        <v>15324</v>
      </c>
      <c r="C4698" s="16">
        <v>27917.0</v>
      </c>
      <c r="D4698" s="17" t="s">
        <v>15325</v>
      </c>
    </row>
    <row r="4699">
      <c r="A4699" s="14" t="s">
        <v>6374</v>
      </c>
      <c r="B4699" s="15" t="s">
        <v>15326</v>
      </c>
      <c r="C4699" s="16">
        <v>27918.0</v>
      </c>
      <c r="D4699" s="17" t="s">
        <v>15327</v>
      </c>
    </row>
    <row r="4700">
      <c r="A4700" s="14" t="s">
        <v>6891</v>
      </c>
      <c r="B4700" s="15" t="s">
        <v>15328</v>
      </c>
      <c r="C4700" s="16">
        <v>27918.0</v>
      </c>
      <c r="D4700" s="17" t="s">
        <v>15329</v>
      </c>
    </row>
    <row r="4701">
      <c r="A4701" s="14">
        <v>7.0</v>
      </c>
      <c r="B4701" s="15" t="s">
        <v>15330</v>
      </c>
      <c r="C4701" s="16">
        <v>27918.0</v>
      </c>
      <c r="D4701" s="17" t="s">
        <v>15331</v>
      </c>
    </row>
    <row r="4702">
      <c r="A4702" s="14">
        <v>7.0</v>
      </c>
      <c r="B4702" s="15" t="s">
        <v>15332</v>
      </c>
      <c r="C4702" s="16">
        <v>27918.0</v>
      </c>
      <c r="D4702" s="17" t="s">
        <v>15333</v>
      </c>
    </row>
    <row r="4703">
      <c r="A4703" s="14">
        <v>7.0</v>
      </c>
      <c r="B4703" s="15" t="s">
        <v>15334</v>
      </c>
      <c r="C4703" s="16">
        <v>27918.0</v>
      </c>
      <c r="D4703" s="17" t="s">
        <v>15335</v>
      </c>
    </row>
    <row r="4704">
      <c r="A4704" s="14">
        <v>7.0</v>
      </c>
      <c r="B4704" s="15" t="s">
        <v>15336</v>
      </c>
      <c r="C4704" s="16">
        <v>27918.0</v>
      </c>
      <c r="D4704" s="17" t="s">
        <v>15337</v>
      </c>
    </row>
    <row r="4705">
      <c r="A4705" s="14" t="s">
        <v>6374</v>
      </c>
      <c r="B4705" s="15" t="s">
        <v>15338</v>
      </c>
      <c r="C4705" s="16">
        <v>27919.0</v>
      </c>
      <c r="D4705" s="17" t="s">
        <v>15339</v>
      </c>
    </row>
    <row r="4706">
      <c r="A4706" s="14" t="s">
        <v>6353</v>
      </c>
      <c r="B4706" s="15" t="s">
        <v>15340</v>
      </c>
      <c r="C4706" s="16">
        <v>27919.0</v>
      </c>
      <c r="D4706" s="17" t="s">
        <v>15341</v>
      </c>
    </row>
    <row r="4707">
      <c r="A4707" s="14" t="s">
        <v>6891</v>
      </c>
      <c r="B4707" s="15" t="s">
        <v>15342</v>
      </c>
      <c r="C4707" s="16">
        <v>27919.0</v>
      </c>
      <c r="D4707" s="17" t="s">
        <v>15343</v>
      </c>
    </row>
    <row r="4708">
      <c r="A4708" s="14">
        <v>8.0</v>
      </c>
      <c r="B4708" s="15" t="s">
        <v>15344</v>
      </c>
      <c r="C4708" s="16">
        <v>27919.0</v>
      </c>
      <c r="D4708" s="17" t="s">
        <v>15345</v>
      </c>
    </row>
    <row r="4709">
      <c r="A4709" s="14">
        <v>8.0</v>
      </c>
      <c r="B4709" s="15" t="s">
        <v>15346</v>
      </c>
      <c r="C4709" s="16">
        <v>27919.0</v>
      </c>
      <c r="D4709" s="17" t="s">
        <v>15347</v>
      </c>
    </row>
    <row r="4710">
      <c r="A4710" s="14">
        <v>8.0</v>
      </c>
      <c r="B4710" s="15" t="s">
        <v>15348</v>
      </c>
      <c r="C4710" s="16">
        <v>27919.0</v>
      </c>
      <c r="D4710" s="17" t="s">
        <v>15349</v>
      </c>
    </row>
    <row r="4711">
      <c r="A4711" s="14">
        <v>8.0</v>
      </c>
      <c r="B4711" s="15" t="s">
        <v>15350</v>
      </c>
      <c r="C4711" s="16">
        <v>27919.0</v>
      </c>
      <c r="D4711" s="17" t="s">
        <v>15351</v>
      </c>
    </row>
    <row r="4712">
      <c r="A4712" s="14">
        <v>8.0</v>
      </c>
      <c r="B4712" s="15" t="s">
        <v>15352</v>
      </c>
      <c r="C4712" s="16">
        <v>27919.0</v>
      </c>
      <c r="D4712" s="17" t="s">
        <v>15353</v>
      </c>
    </row>
    <row r="4713">
      <c r="A4713" s="14">
        <v>8.0</v>
      </c>
      <c r="B4713" s="15" t="s">
        <v>15354</v>
      </c>
      <c r="C4713" s="16">
        <v>27919.0</v>
      </c>
      <c r="D4713" s="17" t="s">
        <v>15355</v>
      </c>
    </row>
    <row r="4714">
      <c r="A4714" s="14">
        <v>8.0</v>
      </c>
      <c r="B4714" s="15" t="s">
        <v>15356</v>
      </c>
      <c r="C4714" s="16">
        <v>27919.0</v>
      </c>
      <c r="D4714" s="17" t="s">
        <v>15357</v>
      </c>
    </row>
    <row r="4715">
      <c r="A4715" s="14" t="s">
        <v>6353</v>
      </c>
      <c r="B4715" s="15" t="s">
        <v>15358</v>
      </c>
      <c r="C4715" s="16">
        <v>27920.0</v>
      </c>
      <c r="D4715" s="17" t="s">
        <v>15359</v>
      </c>
    </row>
    <row r="4716">
      <c r="A4716" s="14" t="s">
        <v>6891</v>
      </c>
      <c r="B4716" s="15" t="s">
        <v>15360</v>
      </c>
      <c r="C4716" s="16">
        <v>27920.0</v>
      </c>
      <c r="D4716" s="17" t="s">
        <v>15361</v>
      </c>
    </row>
    <row r="4717">
      <c r="A4717" s="14">
        <v>9.0</v>
      </c>
      <c r="B4717" s="15" t="s">
        <v>15362</v>
      </c>
      <c r="C4717" s="16">
        <v>27920.0</v>
      </c>
      <c r="D4717" s="17" t="s">
        <v>15363</v>
      </c>
    </row>
    <row r="4718">
      <c r="A4718" s="14">
        <v>9.0</v>
      </c>
      <c r="B4718" s="15" t="s">
        <v>15364</v>
      </c>
      <c r="C4718" s="16">
        <v>27920.0</v>
      </c>
      <c r="D4718" s="17" t="s">
        <v>15365</v>
      </c>
    </row>
    <row r="4719">
      <c r="A4719" s="14">
        <v>9.0</v>
      </c>
      <c r="B4719" s="15" t="s">
        <v>15366</v>
      </c>
      <c r="C4719" s="16">
        <v>27920.0</v>
      </c>
      <c r="D4719" s="17" t="s">
        <v>15367</v>
      </c>
    </row>
    <row r="4720">
      <c r="A4720" s="14">
        <v>9.0</v>
      </c>
      <c r="B4720" s="15" t="s">
        <v>15368</v>
      </c>
      <c r="C4720" s="16">
        <v>27920.0</v>
      </c>
      <c r="D4720" s="17" t="s">
        <v>15369</v>
      </c>
    </row>
    <row r="4721">
      <c r="A4721" s="14">
        <v>9.0</v>
      </c>
      <c r="B4721" s="15" t="s">
        <v>15370</v>
      </c>
      <c r="C4721" s="16">
        <v>27920.0</v>
      </c>
      <c r="D4721" s="17" t="s">
        <v>15371</v>
      </c>
    </row>
    <row r="4722">
      <c r="A4722" s="14">
        <v>9.0</v>
      </c>
      <c r="B4722" s="15" t="s">
        <v>15372</v>
      </c>
      <c r="C4722" s="16">
        <v>27920.0</v>
      </c>
      <c r="D4722" s="17" t="s">
        <v>15373</v>
      </c>
    </row>
    <row r="4723">
      <c r="A4723" s="14">
        <v>9.0</v>
      </c>
      <c r="B4723" s="15" t="s">
        <v>15374</v>
      </c>
      <c r="C4723" s="16">
        <v>27920.0</v>
      </c>
      <c r="D4723" s="17" t="s">
        <v>15375</v>
      </c>
    </row>
    <row r="4724">
      <c r="A4724" s="14" t="s">
        <v>6891</v>
      </c>
      <c r="B4724" s="15" t="s">
        <v>15376</v>
      </c>
      <c r="C4724" s="16">
        <v>27921.0</v>
      </c>
      <c r="D4724" s="17" t="s">
        <v>15377</v>
      </c>
    </row>
    <row r="4725">
      <c r="A4725" s="14">
        <v>10.0</v>
      </c>
      <c r="B4725" s="15" t="s">
        <v>15378</v>
      </c>
      <c r="C4725" s="16">
        <v>27921.0</v>
      </c>
      <c r="D4725" s="17" t="s">
        <v>15379</v>
      </c>
    </row>
    <row r="4726">
      <c r="A4726" s="14">
        <v>10.0</v>
      </c>
      <c r="B4726" s="15" t="s">
        <v>15380</v>
      </c>
      <c r="C4726" s="16">
        <v>27921.0</v>
      </c>
      <c r="D4726" s="17" t="s">
        <v>15381</v>
      </c>
    </row>
    <row r="4727">
      <c r="A4727" s="14">
        <v>10.0</v>
      </c>
      <c r="B4727" s="15" t="s">
        <v>15382</v>
      </c>
      <c r="C4727" s="16">
        <v>27921.0</v>
      </c>
      <c r="D4727" s="17" t="s">
        <v>15383</v>
      </c>
    </row>
    <row r="4728">
      <c r="A4728" s="14">
        <v>10.0</v>
      </c>
      <c r="B4728" s="15" t="s">
        <v>15384</v>
      </c>
      <c r="C4728" s="16">
        <v>27921.0</v>
      </c>
      <c r="D4728" s="17" t="s">
        <v>15385</v>
      </c>
    </row>
    <row r="4729">
      <c r="A4729" s="14">
        <v>10.0</v>
      </c>
      <c r="B4729" s="15" t="s">
        <v>15386</v>
      </c>
      <c r="C4729" s="16">
        <v>27921.0</v>
      </c>
      <c r="D4729" s="17" t="s">
        <v>15387</v>
      </c>
    </row>
    <row r="4730">
      <c r="A4730" s="14">
        <v>10.0</v>
      </c>
      <c r="B4730" s="15" t="s">
        <v>15388</v>
      </c>
      <c r="C4730" s="16">
        <v>27921.0</v>
      </c>
      <c r="D4730" s="17" t="s">
        <v>15389</v>
      </c>
    </row>
    <row r="4731">
      <c r="A4731" s="14">
        <v>10.0</v>
      </c>
      <c r="B4731" s="15" t="s">
        <v>15390</v>
      </c>
      <c r="C4731" s="16">
        <v>27921.0</v>
      </c>
      <c r="D4731" s="17" t="s">
        <v>15391</v>
      </c>
    </row>
    <row r="4732">
      <c r="A4732" s="14" t="s">
        <v>6891</v>
      </c>
      <c r="B4732" s="15" t="s">
        <v>15392</v>
      </c>
      <c r="C4732" s="16">
        <v>27922.0</v>
      </c>
      <c r="D4732" s="17" t="s">
        <v>15393</v>
      </c>
    </row>
    <row r="4733">
      <c r="A4733" s="14">
        <v>11.0</v>
      </c>
      <c r="B4733" s="15" t="s">
        <v>15394</v>
      </c>
      <c r="C4733" s="16">
        <v>27922.0</v>
      </c>
      <c r="D4733" s="17" t="s">
        <v>15395</v>
      </c>
    </row>
    <row r="4734">
      <c r="A4734" s="14">
        <v>11.0</v>
      </c>
      <c r="B4734" s="15" t="s">
        <v>15396</v>
      </c>
      <c r="C4734" s="16">
        <v>27922.0</v>
      </c>
      <c r="D4734" s="17" t="s">
        <v>15397</v>
      </c>
    </row>
    <row r="4735">
      <c r="A4735" s="14">
        <v>11.0</v>
      </c>
      <c r="B4735" s="15" t="s">
        <v>15398</v>
      </c>
      <c r="C4735" s="16">
        <v>27922.0</v>
      </c>
      <c r="D4735" s="17" t="s">
        <v>15399</v>
      </c>
    </row>
    <row r="4736">
      <c r="A4736" s="14">
        <v>11.0</v>
      </c>
      <c r="B4736" s="15" t="s">
        <v>15400</v>
      </c>
      <c r="C4736" s="16">
        <v>27922.0</v>
      </c>
      <c r="D4736" s="17" t="s">
        <v>15401</v>
      </c>
    </row>
    <row r="4737">
      <c r="A4737" s="14">
        <v>10.0</v>
      </c>
      <c r="B4737" s="15" t="s">
        <v>15402</v>
      </c>
      <c r="C4737" s="16">
        <v>27923.0</v>
      </c>
      <c r="D4737" s="17" t="s">
        <v>15403</v>
      </c>
    </row>
    <row r="4738">
      <c r="A4738" s="14">
        <v>12.0</v>
      </c>
      <c r="B4738" s="15" t="s">
        <v>15404</v>
      </c>
      <c r="C4738" s="16">
        <v>27923.0</v>
      </c>
      <c r="D4738" s="17" t="s">
        <v>15405</v>
      </c>
    </row>
    <row r="4739">
      <c r="A4739" s="14">
        <v>12.0</v>
      </c>
      <c r="B4739" s="15" t="s">
        <v>15406</v>
      </c>
      <c r="C4739" s="16">
        <v>27923.0</v>
      </c>
      <c r="D4739" s="17" t="s">
        <v>15407</v>
      </c>
    </row>
    <row r="4740">
      <c r="A4740" s="14" t="s">
        <v>6891</v>
      </c>
      <c r="B4740" s="15" t="s">
        <v>15408</v>
      </c>
      <c r="C4740" s="16">
        <v>27924.0</v>
      </c>
      <c r="D4740" s="17" t="s">
        <v>15409</v>
      </c>
    </row>
    <row r="4741">
      <c r="A4741" s="14">
        <v>13.0</v>
      </c>
      <c r="B4741" s="15" t="s">
        <v>15410</v>
      </c>
      <c r="C4741" s="16">
        <v>27924.0</v>
      </c>
      <c r="D4741" s="17" t="s">
        <v>15411</v>
      </c>
    </row>
    <row r="4742">
      <c r="A4742" s="14">
        <v>13.0</v>
      </c>
      <c r="B4742" s="15" t="s">
        <v>15412</v>
      </c>
      <c r="C4742" s="16">
        <v>27924.0</v>
      </c>
      <c r="D4742" s="17" t="s">
        <v>15413</v>
      </c>
    </row>
    <row r="4743">
      <c r="A4743" s="14">
        <v>13.0</v>
      </c>
      <c r="B4743" s="15" t="s">
        <v>15414</v>
      </c>
      <c r="C4743" s="16">
        <v>27924.0</v>
      </c>
      <c r="D4743" s="17" t="s">
        <v>15415</v>
      </c>
    </row>
    <row r="4744">
      <c r="A4744" s="14">
        <v>13.0</v>
      </c>
      <c r="B4744" s="15" t="s">
        <v>15416</v>
      </c>
      <c r="C4744" s="16">
        <v>27924.0</v>
      </c>
      <c r="D4744" s="17" t="s">
        <v>15417</v>
      </c>
    </row>
    <row r="4745">
      <c r="A4745" s="14" t="s">
        <v>6353</v>
      </c>
      <c r="B4745" s="15" t="s">
        <v>15418</v>
      </c>
      <c r="C4745" s="16">
        <v>27925.0</v>
      </c>
      <c r="D4745" s="17" t="s">
        <v>15419</v>
      </c>
    </row>
    <row r="4746">
      <c r="A4746" s="14">
        <v>14.0</v>
      </c>
      <c r="B4746" s="15" t="s">
        <v>15420</v>
      </c>
      <c r="C4746" s="16">
        <v>27925.0</v>
      </c>
      <c r="D4746" s="17" t="s">
        <v>15421</v>
      </c>
    </row>
    <row r="4747">
      <c r="A4747" s="14">
        <v>14.0</v>
      </c>
      <c r="B4747" s="15" t="s">
        <v>15422</v>
      </c>
      <c r="C4747" s="16">
        <v>27925.0</v>
      </c>
      <c r="D4747" s="17" t="s">
        <v>15423</v>
      </c>
    </row>
    <row r="4748">
      <c r="A4748" s="14">
        <v>14.0</v>
      </c>
      <c r="B4748" s="15" t="s">
        <v>15424</v>
      </c>
      <c r="C4748" s="16">
        <v>27925.0</v>
      </c>
      <c r="D4748" s="17" t="s">
        <v>15425</v>
      </c>
    </row>
    <row r="4749">
      <c r="A4749" s="14">
        <v>14.0</v>
      </c>
      <c r="B4749" s="15" t="s">
        <v>15426</v>
      </c>
      <c r="C4749" s="16">
        <v>27925.0</v>
      </c>
      <c r="D4749" s="17" t="s">
        <v>15427</v>
      </c>
    </row>
    <row r="4750">
      <c r="A4750" s="14">
        <v>14.0</v>
      </c>
      <c r="B4750" s="15" t="s">
        <v>15428</v>
      </c>
      <c r="C4750" s="16">
        <v>27925.0</v>
      </c>
      <c r="D4750" s="17" t="s">
        <v>15429</v>
      </c>
    </row>
    <row r="4751">
      <c r="A4751" s="14" t="s">
        <v>6353</v>
      </c>
      <c r="B4751" s="15" t="s">
        <v>15430</v>
      </c>
      <c r="C4751" s="16">
        <v>27926.0</v>
      </c>
      <c r="D4751" s="17" t="s">
        <v>15431</v>
      </c>
    </row>
    <row r="4752">
      <c r="A4752" s="14" t="s">
        <v>6891</v>
      </c>
      <c r="B4752" s="15" t="s">
        <v>15432</v>
      </c>
      <c r="C4752" s="16">
        <v>27926.0</v>
      </c>
      <c r="D4752" s="17" t="s">
        <v>15433</v>
      </c>
    </row>
    <row r="4753">
      <c r="A4753" s="14">
        <v>15.0</v>
      </c>
      <c r="B4753" s="15" t="s">
        <v>15434</v>
      </c>
      <c r="C4753" s="16">
        <v>27926.0</v>
      </c>
      <c r="D4753" s="17" t="s">
        <v>15435</v>
      </c>
    </row>
    <row r="4754">
      <c r="A4754" s="14">
        <v>15.0</v>
      </c>
      <c r="B4754" s="15" t="s">
        <v>15436</v>
      </c>
      <c r="C4754" s="16">
        <v>27926.0</v>
      </c>
      <c r="D4754" s="17" t="s">
        <v>15437</v>
      </c>
    </row>
    <row r="4755">
      <c r="A4755" s="14">
        <v>15.0</v>
      </c>
      <c r="B4755" s="15" t="s">
        <v>15438</v>
      </c>
      <c r="C4755" s="16">
        <v>27926.0</v>
      </c>
      <c r="D4755" s="17" t="s">
        <v>15439</v>
      </c>
    </row>
    <row r="4756">
      <c r="A4756" s="14">
        <v>15.0</v>
      </c>
      <c r="B4756" s="15" t="s">
        <v>15440</v>
      </c>
      <c r="C4756" s="16">
        <v>27926.0</v>
      </c>
      <c r="D4756" s="17" t="s">
        <v>15441</v>
      </c>
    </row>
    <row r="4757">
      <c r="A4757" s="14">
        <v>15.0</v>
      </c>
      <c r="B4757" s="15" t="s">
        <v>15442</v>
      </c>
      <c r="C4757" s="16">
        <v>27926.0</v>
      </c>
      <c r="D4757" s="17" t="s">
        <v>15443</v>
      </c>
    </row>
    <row r="4758">
      <c r="A4758" s="14">
        <v>15.0</v>
      </c>
      <c r="B4758" s="15" t="s">
        <v>15444</v>
      </c>
      <c r="C4758" s="16">
        <v>27926.0</v>
      </c>
      <c r="D4758" s="17" t="s">
        <v>15445</v>
      </c>
    </row>
    <row r="4759">
      <c r="A4759" s="14">
        <v>15.0</v>
      </c>
      <c r="B4759" s="15" t="s">
        <v>15446</v>
      </c>
      <c r="C4759" s="16">
        <v>27926.0</v>
      </c>
      <c r="D4759" s="17" t="s">
        <v>15447</v>
      </c>
    </row>
    <row r="4760">
      <c r="A4760" s="14">
        <v>15.0</v>
      </c>
      <c r="B4760" s="15" t="s">
        <v>15448</v>
      </c>
      <c r="C4760" s="16">
        <v>27926.0</v>
      </c>
      <c r="D4760" s="17" t="s">
        <v>15449</v>
      </c>
    </row>
    <row r="4761">
      <c r="A4761" s="14">
        <v>15.0</v>
      </c>
      <c r="B4761" s="15" t="s">
        <v>15450</v>
      </c>
      <c r="C4761" s="16">
        <v>27926.0</v>
      </c>
      <c r="D4761" s="17" t="s">
        <v>15451</v>
      </c>
    </row>
    <row r="4762">
      <c r="A4762" s="14" t="s">
        <v>6891</v>
      </c>
      <c r="B4762" s="15" t="s">
        <v>15452</v>
      </c>
      <c r="C4762" s="16">
        <v>27927.0</v>
      </c>
      <c r="D4762" s="17" t="s">
        <v>15453</v>
      </c>
    </row>
    <row r="4763">
      <c r="A4763" s="14">
        <v>16.0</v>
      </c>
      <c r="B4763" s="15" t="s">
        <v>15454</v>
      </c>
      <c r="C4763" s="16">
        <v>27927.0</v>
      </c>
      <c r="D4763" s="17" t="s">
        <v>15455</v>
      </c>
    </row>
    <row r="4764">
      <c r="A4764" s="14">
        <v>16.0</v>
      </c>
      <c r="B4764" s="15" t="s">
        <v>15456</v>
      </c>
      <c r="C4764" s="16">
        <v>27927.0</v>
      </c>
      <c r="D4764" s="17" t="s">
        <v>15457</v>
      </c>
    </row>
    <row r="4765">
      <c r="A4765" s="14">
        <v>16.0</v>
      </c>
      <c r="B4765" s="15" t="s">
        <v>15458</v>
      </c>
      <c r="C4765" s="16">
        <v>27927.0</v>
      </c>
      <c r="D4765" s="17" t="s">
        <v>15459</v>
      </c>
    </row>
    <row r="4766">
      <c r="A4766" s="14" t="s">
        <v>6057</v>
      </c>
      <c r="B4766" s="15" t="s">
        <v>15460</v>
      </c>
      <c r="C4766" s="16">
        <v>27928.0</v>
      </c>
      <c r="D4766" s="17" t="s">
        <v>15461</v>
      </c>
    </row>
    <row r="4767">
      <c r="A4767" s="14">
        <v>17.0</v>
      </c>
      <c r="B4767" s="15" t="s">
        <v>15462</v>
      </c>
      <c r="C4767" s="16">
        <v>27928.0</v>
      </c>
      <c r="D4767" s="17" t="s">
        <v>15463</v>
      </c>
    </row>
    <row r="4768">
      <c r="A4768" s="14">
        <v>17.0</v>
      </c>
      <c r="B4768" s="15" t="s">
        <v>15464</v>
      </c>
      <c r="C4768" s="16">
        <v>27928.0</v>
      </c>
      <c r="D4768" s="17" t="s">
        <v>15465</v>
      </c>
    </row>
    <row r="4769">
      <c r="A4769" s="14">
        <v>17.0</v>
      </c>
      <c r="B4769" s="15" t="s">
        <v>15466</v>
      </c>
      <c r="C4769" s="16">
        <v>27928.0</v>
      </c>
      <c r="D4769" s="17" t="s">
        <v>15467</v>
      </c>
    </row>
    <row r="4770">
      <c r="A4770" s="14">
        <v>17.0</v>
      </c>
      <c r="B4770" s="15" t="s">
        <v>15468</v>
      </c>
      <c r="C4770" s="16">
        <v>27928.0</v>
      </c>
      <c r="D4770" s="17" t="s">
        <v>15469</v>
      </c>
    </row>
    <row r="4771">
      <c r="A4771" s="14" t="s">
        <v>6374</v>
      </c>
      <c r="B4771" s="15" t="s">
        <v>15470</v>
      </c>
      <c r="C4771" s="16">
        <v>27929.0</v>
      </c>
      <c r="D4771" s="17" t="s">
        <v>15471</v>
      </c>
    </row>
    <row r="4772">
      <c r="A4772" s="14" t="s">
        <v>6353</v>
      </c>
      <c r="B4772" s="15" t="s">
        <v>15472</v>
      </c>
      <c r="C4772" s="16">
        <v>27929.0</v>
      </c>
      <c r="D4772" s="17" t="s">
        <v>15473</v>
      </c>
    </row>
    <row r="4773">
      <c r="A4773" s="14" t="s">
        <v>6353</v>
      </c>
      <c r="B4773" s="15" t="s">
        <v>15474</v>
      </c>
      <c r="C4773" s="16">
        <v>27929.0</v>
      </c>
      <c r="D4773" s="17" t="s">
        <v>15475</v>
      </c>
    </row>
    <row r="4774">
      <c r="A4774" s="14" t="s">
        <v>6344</v>
      </c>
      <c r="B4774" s="15" t="s">
        <v>15476</v>
      </c>
      <c r="C4774" s="16">
        <v>27929.0</v>
      </c>
      <c r="D4774" s="17" t="s">
        <v>15477</v>
      </c>
    </row>
    <row r="4775">
      <c r="A4775" s="14">
        <v>18.0</v>
      </c>
      <c r="B4775" s="15" t="s">
        <v>15478</v>
      </c>
      <c r="C4775" s="16">
        <v>27929.0</v>
      </c>
      <c r="D4775" s="17" t="s">
        <v>15479</v>
      </c>
    </row>
    <row r="4776">
      <c r="A4776" s="14">
        <v>18.0</v>
      </c>
      <c r="B4776" s="15" t="s">
        <v>15480</v>
      </c>
      <c r="C4776" s="16">
        <v>27929.0</v>
      </c>
      <c r="D4776" s="17" t="s">
        <v>15481</v>
      </c>
    </row>
    <row r="4777">
      <c r="A4777" s="14">
        <v>18.0</v>
      </c>
      <c r="B4777" s="15" t="s">
        <v>15482</v>
      </c>
      <c r="C4777" s="16">
        <v>27929.0</v>
      </c>
      <c r="D4777" s="17" t="s">
        <v>15483</v>
      </c>
    </row>
    <row r="4778">
      <c r="A4778" s="14">
        <v>18.0</v>
      </c>
      <c r="B4778" s="15" t="s">
        <v>15484</v>
      </c>
      <c r="C4778" s="16">
        <v>27929.0</v>
      </c>
      <c r="D4778" s="17" t="s">
        <v>15485</v>
      </c>
    </row>
    <row r="4779">
      <c r="A4779" s="14">
        <v>18.0</v>
      </c>
      <c r="B4779" s="15" t="s">
        <v>15486</v>
      </c>
      <c r="C4779" s="16">
        <v>27929.0</v>
      </c>
      <c r="D4779" s="17" t="s">
        <v>15487</v>
      </c>
    </row>
    <row r="4780">
      <c r="A4780" s="14">
        <v>18.0</v>
      </c>
      <c r="B4780" s="15" t="s">
        <v>15488</v>
      </c>
      <c r="C4780" s="16">
        <v>27929.0</v>
      </c>
      <c r="D4780" s="17" t="s">
        <v>15489</v>
      </c>
    </row>
    <row r="4781">
      <c r="A4781" s="14">
        <v>18.0</v>
      </c>
      <c r="B4781" s="15" t="s">
        <v>15490</v>
      </c>
      <c r="C4781" s="16">
        <v>27929.0</v>
      </c>
      <c r="D4781" s="17" t="s">
        <v>15491</v>
      </c>
    </row>
    <row r="4782">
      <c r="A4782" s="14">
        <v>18.0</v>
      </c>
      <c r="B4782" s="15" t="s">
        <v>15492</v>
      </c>
      <c r="C4782" s="16">
        <v>27929.0</v>
      </c>
      <c r="D4782" s="17" t="s">
        <v>15493</v>
      </c>
    </row>
    <row r="4783">
      <c r="A4783" s="14">
        <v>18.0</v>
      </c>
      <c r="B4783" s="15" t="s">
        <v>15494</v>
      </c>
      <c r="C4783" s="16">
        <v>27929.0</v>
      </c>
      <c r="D4783" s="17" t="s">
        <v>15495</v>
      </c>
    </row>
    <row r="4784">
      <c r="A4784" s="14">
        <v>18.0</v>
      </c>
      <c r="B4784" s="15" t="s">
        <v>15496</v>
      </c>
      <c r="C4784" s="16">
        <v>27929.0</v>
      </c>
      <c r="D4784" s="17" t="s">
        <v>15497</v>
      </c>
    </row>
    <row r="4785">
      <c r="A4785" s="14" t="s">
        <v>6344</v>
      </c>
      <c r="B4785" s="15" t="s">
        <v>15498</v>
      </c>
      <c r="C4785" s="16">
        <v>27930.0</v>
      </c>
      <c r="D4785" s="17" t="s">
        <v>15499</v>
      </c>
    </row>
    <row r="4786">
      <c r="A4786" s="14">
        <v>19.0</v>
      </c>
      <c r="B4786" s="15" t="s">
        <v>15500</v>
      </c>
      <c r="C4786" s="16">
        <v>27930.0</v>
      </c>
      <c r="D4786" s="17" t="s">
        <v>15501</v>
      </c>
    </row>
    <row r="4787">
      <c r="A4787" s="14">
        <v>19.0</v>
      </c>
      <c r="B4787" s="15" t="s">
        <v>15502</v>
      </c>
      <c r="C4787" s="16">
        <v>27930.0</v>
      </c>
      <c r="D4787" s="17" t="s">
        <v>15503</v>
      </c>
    </row>
    <row r="4788">
      <c r="A4788" s="14">
        <v>19.0</v>
      </c>
      <c r="B4788" s="15" t="s">
        <v>15504</v>
      </c>
      <c r="C4788" s="16">
        <v>27930.0</v>
      </c>
      <c r="D4788" s="17" t="s">
        <v>15505</v>
      </c>
    </row>
    <row r="4789">
      <c r="A4789" s="14">
        <v>19.0</v>
      </c>
      <c r="B4789" s="15" t="s">
        <v>15506</v>
      </c>
      <c r="C4789" s="16">
        <v>27930.0</v>
      </c>
      <c r="D4789" s="17" t="s">
        <v>15507</v>
      </c>
    </row>
    <row r="4790">
      <c r="A4790" s="14" t="s">
        <v>6344</v>
      </c>
      <c r="B4790" s="15" t="s">
        <v>15508</v>
      </c>
      <c r="C4790" s="16">
        <v>27931.0</v>
      </c>
      <c r="D4790" s="17" t="s">
        <v>15509</v>
      </c>
    </row>
    <row r="4791">
      <c r="A4791" s="14" t="s">
        <v>6057</v>
      </c>
      <c r="B4791" s="15" t="s">
        <v>15510</v>
      </c>
      <c r="C4791" s="16">
        <v>27931.0</v>
      </c>
      <c r="D4791" s="17" t="s">
        <v>15511</v>
      </c>
    </row>
    <row r="4792">
      <c r="A4792" s="14">
        <v>20.0</v>
      </c>
      <c r="B4792" s="15" t="s">
        <v>15512</v>
      </c>
      <c r="C4792" s="16">
        <v>27931.0</v>
      </c>
      <c r="D4792" s="17" t="s">
        <v>15513</v>
      </c>
    </row>
    <row r="4793">
      <c r="A4793" s="14">
        <v>20.0</v>
      </c>
      <c r="B4793" s="15" t="s">
        <v>15514</v>
      </c>
      <c r="C4793" s="16">
        <v>27931.0</v>
      </c>
      <c r="D4793" s="17" t="s">
        <v>15515</v>
      </c>
    </row>
    <row r="4794">
      <c r="A4794" s="14">
        <v>20.0</v>
      </c>
      <c r="B4794" s="15" t="s">
        <v>15516</v>
      </c>
      <c r="C4794" s="16">
        <v>27931.0</v>
      </c>
      <c r="D4794" s="17" t="s">
        <v>15517</v>
      </c>
    </row>
    <row r="4795">
      <c r="A4795" s="14">
        <v>20.0</v>
      </c>
      <c r="B4795" s="15" t="s">
        <v>15518</v>
      </c>
      <c r="C4795" s="16">
        <v>27931.0</v>
      </c>
      <c r="D4795" s="17" t="s">
        <v>15519</v>
      </c>
    </row>
    <row r="4796">
      <c r="A4796" s="14">
        <v>20.0</v>
      </c>
      <c r="B4796" s="15" t="s">
        <v>15520</v>
      </c>
      <c r="C4796" s="16">
        <v>27931.0</v>
      </c>
      <c r="D4796" s="17" t="s">
        <v>15521</v>
      </c>
    </row>
    <row r="4797">
      <c r="A4797" s="14" t="s">
        <v>6374</v>
      </c>
      <c r="B4797" s="15" t="s">
        <v>15522</v>
      </c>
      <c r="C4797" s="16">
        <v>27932.0</v>
      </c>
      <c r="D4797" s="17" t="s">
        <v>15523</v>
      </c>
    </row>
    <row r="4798">
      <c r="A4798" s="14">
        <v>21.0</v>
      </c>
      <c r="B4798" s="15" t="s">
        <v>15524</v>
      </c>
      <c r="C4798" s="16">
        <v>27932.0</v>
      </c>
      <c r="D4798" s="17" t="s">
        <v>15525</v>
      </c>
    </row>
    <row r="4799">
      <c r="A4799" s="14">
        <v>21.0</v>
      </c>
      <c r="B4799" s="15" t="s">
        <v>15526</v>
      </c>
      <c r="C4799" s="16">
        <v>27932.0</v>
      </c>
      <c r="D4799" s="17" t="s">
        <v>15527</v>
      </c>
    </row>
    <row r="4800">
      <c r="A4800" s="14">
        <v>21.0</v>
      </c>
      <c r="B4800" s="15" t="s">
        <v>15528</v>
      </c>
      <c r="C4800" s="16">
        <v>27932.0</v>
      </c>
      <c r="D4800" s="17" t="s">
        <v>15529</v>
      </c>
    </row>
    <row r="4801">
      <c r="A4801" s="14">
        <v>21.0</v>
      </c>
      <c r="B4801" s="15" t="s">
        <v>15530</v>
      </c>
      <c r="C4801" s="16">
        <v>27932.0</v>
      </c>
      <c r="D4801" s="17" t="s">
        <v>15531</v>
      </c>
    </row>
    <row r="4802">
      <c r="A4802" s="14">
        <v>21.0</v>
      </c>
      <c r="B4802" s="15" t="s">
        <v>15532</v>
      </c>
      <c r="C4802" s="16">
        <v>27932.0</v>
      </c>
      <c r="D4802" s="17" t="s">
        <v>15533</v>
      </c>
    </row>
    <row r="4803">
      <c r="A4803" s="14" t="s">
        <v>6353</v>
      </c>
      <c r="B4803" s="15" t="s">
        <v>15534</v>
      </c>
      <c r="C4803" s="16">
        <v>27933.0</v>
      </c>
      <c r="D4803" s="17" t="s">
        <v>15535</v>
      </c>
    </row>
    <row r="4804">
      <c r="A4804" s="14" t="s">
        <v>6344</v>
      </c>
      <c r="B4804" s="15" t="s">
        <v>15536</v>
      </c>
      <c r="C4804" s="16">
        <v>27933.0</v>
      </c>
      <c r="D4804" s="17" t="s">
        <v>15537</v>
      </c>
    </row>
    <row r="4805">
      <c r="A4805" s="14">
        <v>22.0</v>
      </c>
      <c r="B4805" s="15" t="s">
        <v>15538</v>
      </c>
      <c r="C4805" s="16">
        <v>27933.0</v>
      </c>
      <c r="D4805" s="17" t="s">
        <v>15539</v>
      </c>
    </row>
    <row r="4806">
      <c r="A4806" s="14">
        <v>22.0</v>
      </c>
      <c r="B4806" s="15" t="s">
        <v>15540</v>
      </c>
      <c r="C4806" s="16">
        <v>27933.0</v>
      </c>
      <c r="D4806" s="17" t="s">
        <v>15541</v>
      </c>
    </row>
    <row r="4807">
      <c r="A4807" s="14">
        <v>22.0</v>
      </c>
      <c r="B4807" s="15" t="s">
        <v>15542</v>
      </c>
      <c r="C4807" s="16">
        <v>27933.0</v>
      </c>
      <c r="D4807" s="17" t="s">
        <v>15543</v>
      </c>
    </row>
    <row r="4808">
      <c r="A4808" s="14">
        <v>22.0</v>
      </c>
      <c r="B4808" s="15" t="s">
        <v>15544</v>
      </c>
      <c r="C4808" s="16">
        <v>27933.0</v>
      </c>
      <c r="D4808" s="17" t="s">
        <v>15545</v>
      </c>
    </row>
    <row r="4809">
      <c r="A4809" s="14">
        <v>22.0</v>
      </c>
      <c r="B4809" s="15" t="s">
        <v>15546</v>
      </c>
      <c r="C4809" s="16">
        <v>27933.0</v>
      </c>
      <c r="D4809" s="17" t="s">
        <v>15547</v>
      </c>
    </row>
    <row r="4810">
      <c r="A4810" s="14">
        <v>22.0</v>
      </c>
      <c r="B4810" s="15" t="s">
        <v>15548</v>
      </c>
      <c r="C4810" s="16">
        <v>27933.0</v>
      </c>
      <c r="D4810" s="17" t="s">
        <v>15549</v>
      </c>
    </row>
    <row r="4811">
      <c r="A4811" s="14" t="s">
        <v>6040</v>
      </c>
      <c r="B4811" s="15" t="s">
        <v>15550</v>
      </c>
      <c r="C4811" s="16">
        <v>27934.0</v>
      </c>
      <c r="D4811" s="17" t="s">
        <v>15551</v>
      </c>
    </row>
    <row r="4812">
      <c r="A4812" s="14">
        <v>23.0</v>
      </c>
      <c r="B4812" s="15" t="s">
        <v>15552</v>
      </c>
      <c r="C4812" s="16">
        <v>27934.0</v>
      </c>
      <c r="D4812" s="17" t="s">
        <v>15553</v>
      </c>
    </row>
    <row r="4813">
      <c r="A4813" s="14">
        <v>23.0</v>
      </c>
      <c r="B4813" s="15" t="s">
        <v>15554</v>
      </c>
      <c r="C4813" s="16">
        <v>27934.0</v>
      </c>
      <c r="D4813" s="17" t="s">
        <v>15555</v>
      </c>
    </row>
    <row r="4814">
      <c r="A4814" s="14" t="s">
        <v>6353</v>
      </c>
      <c r="B4814" s="15" t="s">
        <v>15556</v>
      </c>
      <c r="C4814" s="16">
        <v>27935.0</v>
      </c>
      <c r="D4814" s="17" t="s">
        <v>15557</v>
      </c>
    </row>
    <row r="4815">
      <c r="A4815" s="14" t="s">
        <v>6353</v>
      </c>
      <c r="B4815" s="15" t="s">
        <v>15558</v>
      </c>
      <c r="C4815" s="16">
        <v>27935.0</v>
      </c>
      <c r="D4815" s="17" t="s">
        <v>15559</v>
      </c>
    </row>
    <row r="4816">
      <c r="A4816" s="14" t="s">
        <v>6344</v>
      </c>
      <c r="B4816" s="15" t="s">
        <v>15560</v>
      </c>
      <c r="C4816" s="16">
        <v>27935.0</v>
      </c>
      <c r="D4816" s="17" t="s">
        <v>15561</v>
      </c>
    </row>
    <row r="4817">
      <c r="A4817" s="14">
        <v>24.0</v>
      </c>
      <c r="B4817" s="15" t="s">
        <v>15562</v>
      </c>
      <c r="C4817" s="16">
        <v>27935.0</v>
      </c>
      <c r="D4817" s="17" t="s">
        <v>15563</v>
      </c>
    </row>
    <row r="4818">
      <c r="A4818" s="14">
        <v>24.0</v>
      </c>
      <c r="B4818" s="15" t="s">
        <v>15564</v>
      </c>
      <c r="C4818" s="16">
        <v>27935.0</v>
      </c>
      <c r="D4818" s="17" t="s">
        <v>15565</v>
      </c>
    </row>
    <row r="4819">
      <c r="A4819" s="14">
        <v>24.0</v>
      </c>
      <c r="B4819" s="15" t="s">
        <v>15566</v>
      </c>
      <c r="C4819" s="16">
        <v>27935.0</v>
      </c>
      <c r="D4819" s="17" t="s">
        <v>15567</v>
      </c>
    </row>
    <row r="4820">
      <c r="A4820" s="14">
        <v>24.0</v>
      </c>
      <c r="B4820" s="15" t="s">
        <v>15568</v>
      </c>
      <c r="C4820" s="16">
        <v>27935.0</v>
      </c>
      <c r="D4820" s="17" t="s">
        <v>15569</v>
      </c>
    </row>
    <row r="4821">
      <c r="A4821" s="14">
        <v>24.0</v>
      </c>
      <c r="B4821" s="15" t="s">
        <v>15570</v>
      </c>
      <c r="C4821" s="16">
        <v>27935.0</v>
      </c>
      <c r="D4821" s="17" t="s">
        <v>15571</v>
      </c>
    </row>
    <row r="4822">
      <c r="A4822" s="14">
        <v>24.0</v>
      </c>
      <c r="B4822" s="15" t="s">
        <v>15572</v>
      </c>
      <c r="C4822" s="16">
        <v>27935.0</v>
      </c>
      <c r="D4822" s="17" t="s">
        <v>15573</v>
      </c>
    </row>
    <row r="4823">
      <c r="A4823" s="14" t="s">
        <v>6344</v>
      </c>
      <c r="B4823" s="15" t="s">
        <v>15574</v>
      </c>
      <c r="C4823" s="16">
        <v>27936.0</v>
      </c>
      <c r="D4823" s="17" t="s">
        <v>15575</v>
      </c>
    </row>
    <row r="4824">
      <c r="A4824" s="14">
        <v>25.0</v>
      </c>
      <c r="B4824" s="15" t="s">
        <v>15576</v>
      </c>
      <c r="C4824" s="16">
        <v>27936.0</v>
      </c>
      <c r="D4824" s="17" t="s">
        <v>15577</v>
      </c>
    </row>
    <row r="4825">
      <c r="A4825" s="14">
        <v>25.0</v>
      </c>
      <c r="B4825" s="15" t="s">
        <v>15578</v>
      </c>
      <c r="C4825" s="16">
        <v>27936.0</v>
      </c>
      <c r="D4825" s="17" t="s">
        <v>15579</v>
      </c>
    </row>
    <row r="4826">
      <c r="A4826" s="14">
        <v>25.0</v>
      </c>
      <c r="B4826" s="15" t="s">
        <v>15580</v>
      </c>
      <c r="C4826" s="16">
        <v>27936.0</v>
      </c>
      <c r="D4826" s="17" t="s">
        <v>15581</v>
      </c>
    </row>
    <row r="4827">
      <c r="A4827" s="14">
        <v>25.0</v>
      </c>
      <c r="B4827" s="15" t="s">
        <v>15582</v>
      </c>
      <c r="C4827" s="16">
        <v>27936.0</v>
      </c>
      <c r="D4827" s="17" t="s">
        <v>15583</v>
      </c>
    </row>
    <row r="4828">
      <c r="A4828" s="14" t="s">
        <v>7038</v>
      </c>
      <c r="B4828" s="15" t="s">
        <v>15584</v>
      </c>
      <c r="C4828" s="16">
        <v>27937.0</v>
      </c>
      <c r="D4828" s="17" t="s">
        <v>15585</v>
      </c>
    </row>
    <row r="4829">
      <c r="A4829" s="14">
        <v>26.0</v>
      </c>
      <c r="B4829" s="15" t="s">
        <v>15586</v>
      </c>
      <c r="C4829" s="16">
        <v>27937.0</v>
      </c>
      <c r="D4829" s="17" t="s">
        <v>15587</v>
      </c>
    </row>
    <row r="4830">
      <c r="A4830" s="14">
        <v>26.0</v>
      </c>
      <c r="B4830" s="15" t="s">
        <v>15588</v>
      </c>
      <c r="C4830" s="16">
        <v>27937.0</v>
      </c>
      <c r="D4830" s="17" t="s">
        <v>15589</v>
      </c>
    </row>
    <row r="4831">
      <c r="A4831" s="14">
        <v>26.0</v>
      </c>
      <c r="B4831" s="15" t="s">
        <v>15590</v>
      </c>
      <c r="C4831" s="16">
        <v>27937.0</v>
      </c>
      <c r="D4831" s="17" t="s">
        <v>15591</v>
      </c>
    </row>
    <row r="4832">
      <c r="A4832" s="14">
        <v>26.0</v>
      </c>
      <c r="B4832" s="15" t="s">
        <v>15592</v>
      </c>
      <c r="C4832" s="16">
        <v>27937.0</v>
      </c>
      <c r="D4832" s="17" t="s">
        <v>15593</v>
      </c>
    </row>
    <row r="4833">
      <c r="A4833" s="14">
        <v>26.0</v>
      </c>
      <c r="B4833" s="15" t="s">
        <v>15594</v>
      </c>
      <c r="C4833" s="16">
        <v>27937.0</v>
      </c>
      <c r="D4833" s="17" t="s">
        <v>15595</v>
      </c>
    </row>
    <row r="4834">
      <c r="A4834" s="14">
        <v>26.0</v>
      </c>
      <c r="B4834" s="15" t="s">
        <v>15596</v>
      </c>
      <c r="C4834" s="16">
        <v>27937.0</v>
      </c>
      <c r="D4834" s="17" t="s">
        <v>15597</v>
      </c>
    </row>
    <row r="4835">
      <c r="A4835" s="14" t="s">
        <v>6344</v>
      </c>
      <c r="B4835" s="15" t="s">
        <v>15598</v>
      </c>
      <c r="C4835" s="16">
        <v>27938.0</v>
      </c>
      <c r="D4835" s="17" t="s">
        <v>15599</v>
      </c>
    </row>
    <row r="4836">
      <c r="A4836" s="14">
        <v>27.0</v>
      </c>
      <c r="B4836" s="15" t="s">
        <v>15600</v>
      </c>
      <c r="C4836" s="16">
        <v>27938.0</v>
      </c>
      <c r="D4836" s="17" t="s">
        <v>15601</v>
      </c>
    </row>
    <row r="4837">
      <c r="A4837" s="14">
        <v>27.0</v>
      </c>
      <c r="B4837" s="15" t="s">
        <v>15602</v>
      </c>
      <c r="C4837" s="16">
        <v>27938.0</v>
      </c>
      <c r="D4837" s="17" t="s">
        <v>15603</v>
      </c>
    </row>
    <row r="4838">
      <c r="A4838" s="14">
        <v>27.0</v>
      </c>
      <c r="B4838" s="15" t="s">
        <v>15604</v>
      </c>
      <c r="C4838" s="16">
        <v>27938.0</v>
      </c>
      <c r="D4838" s="17" t="s">
        <v>15605</v>
      </c>
    </row>
    <row r="4839">
      <c r="A4839" s="14">
        <v>27.0</v>
      </c>
      <c r="B4839" s="15" t="s">
        <v>15606</v>
      </c>
      <c r="C4839" s="16">
        <v>27938.0</v>
      </c>
      <c r="D4839" s="17" t="s">
        <v>15607</v>
      </c>
    </row>
    <row r="4840">
      <c r="A4840" s="14" t="s">
        <v>7038</v>
      </c>
      <c r="B4840" s="15" t="s">
        <v>15608</v>
      </c>
      <c r="C4840" s="16">
        <v>27939.0</v>
      </c>
      <c r="D4840" s="17" t="s">
        <v>15609</v>
      </c>
    </row>
    <row r="4841">
      <c r="A4841" s="14" t="s">
        <v>6353</v>
      </c>
      <c r="B4841" s="15" t="s">
        <v>15610</v>
      </c>
      <c r="C4841" s="16">
        <v>27939.0</v>
      </c>
      <c r="D4841" s="17" t="s">
        <v>15611</v>
      </c>
    </row>
    <row r="4842">
      <c r="A4842" s="14" t="s">
        <v>6353</v>
      </c>
      <c r="B4842" s="15" t="s">
        <v>15612</v>
      </c>
      <c r="C4842" s="16">
        <v>27939.0</v>
      </c>
      <c r="D4842" s="17" t="s">
        <v>15613</v>
      </c>
    </row>
    <row r="4843">
      <c r="A4843" s="14" t="s">
        <v>6353</v>
      </c>
      <c r="B4843" s="15" t="s">
        <v>15614</v>
      </c>
      <c r="C4843" s="16">
        <v>27939.0</v>
      </c>
      <c r="D4843" s="17" t="s">
        <v>15615</v>
      </c>
    </row>
    <row r="4844">
      <c r="A4844" s="14" t="s">
        <v>6353</v>
      </c>
      <c r="B4844" s="15" t="s">
        <v>15616</v>
      </c>
      <c r="C4844" s="16">
        <v>27939.0</v>
      </c>
      <c r="D4844" s="17" t="s">
        <v>15617</v>
      </c>
    </row>
    <row r="4845">
      <c r="A4845" s="14" t="s">
        <v>6353</v>
      </c>
      <c r="B4845" s="15" t="s">
        <v>15618</v>
      </c>
      <c r="C4845" s="16">
        <v>27939.0</v>
      </c>
      <c r="D4845" s="17" t="s">
        <v>15619</v>
      </c>
    </row>
    <row r="4846">
      <c r="A4846" s="14" t="s">
        <v>6344</v>
      </c>
      <c r="B4846" s="15" t="s">
        <v>15620</v>
      </c>
      <c r="C4846" s="16">
        <v>27939.0</v>
      </c>
      <c r="D4846" s="17" t="s">
        <v>15621</v>
      </c>
    </row>
    <row r="4847">
      <c r="A4847" s="14">
        <v>28.0</v>
      </c>
      <c r="B4847" s="15" t="s">
        <v>15622</v>
      </c>
      <c r="C4847" s="16">
        <v>27939.0</v>
      </c>
      <c r="D4847" s="17" t="s">
        <v>15623</v>
      </c>
    </row>
    <row r="4848">
      <c r="A4848" s="14">
        <v>28.0</v>
      </c>
      <c r="B4848" s="15" t="s">
        <v>15624</v>
      </c>
      <c r="C4848" s="16">
        <v>27939.0</v>
      </c>
      <c r="D4848" s="17" t="s">
        <v>15625</v>
      </c>
    </row>
    <row r="4849">
      <c r="A4849" s="14">
        <v>28.0</v>
      </c>
      <c r="B4849" s="15" t="s">
        <v>15626</v>
      </c>
      <c r="C4849" s="16">
        <v>27939.0</v>
      </c>
      <c r="D4849" s="17" t="s">
        <v>15627</v>
      </c>
    </row>
    <row r="4850">
      <c r="A4850" s="14">
        <v>28.0</v>
      </c>
      <c r="B4850" s="15" t="s">
        <v>15628</v>
      </c>
      <c r="C4850" s="16">
        <v>27939.0</v>
      </c>
      <c r="D4850" s="17" t="s">
        <v>15629</v>
      </c>
    </row>
    <row r="4851">
      <c r="A4851" s="14">
        <v>28.0</v>
      </c>
      <c r="B4851" s="15" t="s">
        <v>15630</v>
      </c>
      <c r="C4851" s="16">
        <v>27939.0</v>
      </c>
      <c r="D4851" s="17" t="s">
        <v>15631</v>
      </c>
    </row>
    <row r="4852">
      <c r="A4852" s="14">
        <v>28.0</v>
      </c>
      <c r="B4852" s="15" t="s">
        <v>15632</v>
      </c>
      <c r="C4852" s="16">
        <v>27939.0</v>
      </c>
      <c r="D4852" s="17" t="s">
        <v>15633</v>
      </c>
    </row>
    <row r="4853">
      <c r="A4853" s="14">
        <v>28.0</v>
      </c>
      <c r="B4853" s="15" t="s">
        <v>15634</v>
      </c>
      <c r="C4853" s="16">
        <v>27939.0</v>
      </c>
      <c r="D4853" s="17" t="s">
        <v>15635</v>
      </c>
    </row>
    <row r="4854">
      <c r="A4854" s="14">
        <v>28.0</v>
      </c>
      <c r="B4854" s="15" t="s">
        <v>15636</v>
      </c>
      <c r="C4854" s="16">
        <v>27939.0</v>
      </c>
      <c r="D4854" s="17" t="s">
        <v>15637</v>
      </c>
    </row>
    <row r="4855">
      <c r="A4855" s="14">
        <v>28.0</v>
      </c>
      <c r="B4855" s="15" t="s">
        <v>15638</v>
      </c>
      <c r="C4855" s="16">
        <v>27939.0</v>
      </c>
      <c r="D4855" s="17" t="s">
        <v>15639</v>
      </c>
    </row>
    <row r="4856">
      <c r="A4856" s="14">
        <v>28.0</v>
      </c>
      <c r="B4856" s="15" t="s">
        <v>15640</v>
      </c>
      <c r="C4856" s="16">
        <v>27939.0</v>
      </c>
      <c r="D4856" s="17" t="s">
        <v>15641</v>
      </c>
    </row>
    <row r="4857">
      <c r="A4857" s="14">
        <v>28.0</v>
      </c>
      <c r="B4857" s="15" t="s">
        <v>15642</v>
      </c>
      <c r="C4857" s="16">
        <v>27939.0</v>
      </c>
      <c r="D4857" s="17" t="s">
        <v>15643</v>
      </c>
    </row>
    <row r="4858">
      <c r="A4858" s="14" t="s">
        <v>6344</v>
      </c>
      <c r="B4858" s="15" t="s">
        <v>15644</v>
      </c>
      <c r="C4858" s="16">
        <v>27940.0</v>
      </c>
      <c r="D4858" s="17" t="s">
        <v>15645</v>
      </c>
    </row>
    <row r="4859">
      <c r="A4859" s="14">
        <v>29.0</v>
      </c>
      <c r="B4859" s="15" t="s">
        <v>15646</v>
      </c>
      <c r="C4859" s="16">
        <v>27940.0</v>
      </c>
      <c r="D4859" s="17" t="s">
        <v>15647</v>
      </c>
    </row>
    <row r="4860">
      <c r="A4860" s="14">
        <v>29.0</v>
      </c>
      <c r="B4860" s="15" t="s">
        <v>15648</v>
      </c>
      <c r="C4860" s="16">
        <v>27940.0</v>
      </c>
      <c r="D4860" s="17" t="s">
        <v>15649</v>
      </c>
    </row>
    <row r="4861">
      <c r="A4861" s="14">
        <v>29.0</v>
      </c>
      <c r="B4861" s="15" t="s">
        <v>15650</v>
      </c>
      <c r="C4861" s="16">
        <v>27940.0</v>
      </c>
      <c r="D4861" s="17" t="s">
        <v>15651</v>
      </c>
    </row>
    <row r="4862">
      <c r="A4862" s="14">
        <v>29.0</v>
      </c>
      <c r="B4862" s="15" t="s">
        <v>15652</v>
      </c>
      <c r="C4862" s="16">
        <v>27940.0</v>
      </c>
      <c r="D4862" s="17" t="s">
        <v>15653</v>
      </c>
    </row>
    <row r="4863">
      <c r="A4863" s="14" t="s">
        <v>6344</v>
      </c>
      <c r="B4863" s="15" t="s">
        <v>15654</v>
      </c>
      <c r="C4863" s="16">
        <v>27941.0</v>
      </c>
      <c r="D4863" s="17" t="s">
        <v>15655</v>
      </c>
    </row>
    <row r="4864">
      <c r="A4864" s="14">
        <v>30.0</v>
      </c>
      <c r="B4864" s="15" t="s">
        <v>15656</v>
      </c>
      <c r="C4864" s="16">
        <v>27941.0</v>
      </c>
      <c r="D4864" s="17" t="s">
        <v>15657</v>
      </c>
    </row>
    <row r="4865">
      <c r="A4865" s="14">
        <v>30.0</v>
      </c>
      <c r="B4865" s="15" t="s">
        <v>15658</v>
      </c>
      <c r="C4865" s="16">
        <v>27941.0</v>
      </c>
      <c r="D4865" s="17" t="s">
        <v>15659</v>
      </c>
    </row>
    <row r="4866">
      <c r="A4866" s="14">
        <v>30.0</v>
      </c>
      <c r="B4866" s="15" t="s">
        <v>15660</v>
      </c>
      <c r="C4866" s="16">
        <v>27941.0</v>
      </c>
      <c r="D4866" s="17" t="s">
        <v>15661</v>
      </c>
    </row>
    <row r="4867">
      <c r="A4867" s="14">
        <v>30.0</v>
      </c>
      <c r="B4867" s="15" t="s">
        <v>15662</v>
      </c>
      <c r="C4867" s="16">
        <v>27941.0</v>
      </c>
      <c r="D4867" s="17" t="s">
        <v>15663</v>
      </c>
    </row>
    <row r="4868">
      <c r="A4868" s="14" t="s">
        <v>6353</v>
      </c>
      <c r="B4868" s="15" t="s">
        <v>15664</v>
      </c>
      <c r="C4868" s="16">
        <v>27942.0</v>
      </c>
      <c r="D4868" s="17" t="s">
        <v>15665</v>
      </c>
    </row>
    <row r="4869">
      <c r="A4869" s="14" t="s">
        <v>6344</v>
      </c>
      <c r="B4869" s="15" t="s">
        <v>15666</v>
      </c>
      <c r="C4869" s="16">
        <v>27942.0</v>
      </c>
      <c r="D4869" s="17" t="s">
        <v>15667</v>
      </c>
    </row>
    <row r="4870">
      <c r="A4870" s="14">
        <v>1.0</v>
      </c>
      <c r="B4870" s="15" t="s">
        <v>15668</v>
      </c>
      <c r="C4870" s="16">
        <v>27942.0</v>
      </c>
      <c r="D4870" s="17" t="s">
        <v>15669</v>
      </c>
    </row>
    <row r="4871">
      <c r="A4871" s="14">
        <v>1.0</v>
      </c>
      <c r="B4871" s="15" t="s">
        <v>15670</v>
      </c>
      <c r="C4871" s="16">
        <v>27942.0</v>
      </c>
      <c r="D4871" s="17" t="s">
        <v>15671</v>
      </c>
    </row>
    <row r="4872">
      <c r="A4872" s="14">
        <v>1.0</v>
      </c>
      <c r="B4872" s="15" t="s">
        <v>15672</v>
      </c>
      <c r="C4872" s="16">
        <v>27942.0</v>
      </c>
      <c r="D4872" s="17" t="s">
        <v>15673</v>
      </c>
    </row>
    <row r="4873">
      <c r="A4873" s="14">
        <v>1.0</v>
      </c>
      <c r="B4873" s="15" t="s">
        <v>15674</v>
      </c>
      <c r="C4873" s="16">
        <v>27942.0</v>
      </c>
      <c r="D4873" s="17" t="s">
        <v>15675</v>
      </c>
    </row>
    <row r="4874">
      <c r="A4874" s="14">
        <v>1.0</v>
      </c>
      <c r="B4874" s="15" t="s">
        <v>15676</v>
      </c>
      <c r="C4874" s="16">
        <v>27942.0</v>
      </c>
      <c r="D4874" s="17" t="s">
        <v>15677</v>
      </c>
    </row>
    <row r="4875">
      <c r="A4875" s="14" t="s">
        <v>6353</v>
      </c>
      <c r="B4875" s="15" t="s">
        <v>15678</v>
      </c>
      <c r="C4875" s="16">
        <v>27943.0</v>
      </c>
      <c r="D4875" s="17" t="s">
        <v>15679</v>
      </c>
    </row>
    <row r="4876">
      <c r="A4876" s="14" t="s">
        <v>6344</v>
      </c>
      <c r="B4876" s="15" t="s">
        <v>15680</v>
      </c>
      <c r="C4876" s="16">
        <v>27943.0</v>
      </c>
      <c r="D4876" s="17" t="s">
        <v>15681</v>
      </c>
    </row>
    <row r="4877">
      <c r="A4877" s="14">
        <v>2.0</v>
      </c>
      <c r="B4877" s="15" t="s">
        <v>15682</v>
      </c>
      <c r="C4877" s="16">
        <v>27943.0</v>
      </c>
      <c r="D4877" s="17" t="s">
        <v>15683</v>
      </c>
    </row>
    <row r="4878">
      <c r="A4878" s="14">
        <v>2.0</v>
      </c>
      <c r="B4878" s="15" t="s">
        <v>15684</v>
      </c>
      <c r="C4878" s="16">
        <v>27943.0</v>
      </c>
      <c r="D4878" s="17" t="s">
        <v>15685</v>
      </c>
    </row>
    <row r="4879">
      <c r="A4879" s="14">
        <v>2.0</v>
      </c>
      <c r="B4879" s="15" t="s">
        <v>15686</v>
      </c>
      <c r="C4879" s="16">
        <v>27943.0</v>
      </c>
      <c r="D4879" s="17" t="s">
        <v>15687</v>
      </c>
    </row>
    <row r="4880">
      <c r="A4880" s="14">
        <v>2.0</v>
      </c>
      <c r="B4880" s="15" t="s">
        <v>15688</v>
      </c>
      <c r="C4880" s="16">
        <v>27943.0</v>
      </c>
      <c r="D4880" s="17" t="s">
        <v>15689</v>
      </c>
    </row>
    <row r="4881">
      <c r="A4881" s="14">
        <v>2.0</v>
      </c>
      <c r="B4881" s="15" t="s">
        <v>15690</v>
      </c>
      <c r="C4881" s="16">
        <v>27943.0</v>
      </c>
      <c r="D4881" s="17" t="s">
        <v>15691</v>
      </c>
    </row>
    <row r="4882">
      <c r="A4882" s="14">
        <v>3.0</v>
      </c>
      <c r="B4882" s="15" t="s">
        <v>15692</v>
      </c>
      <c r="C4882" s="16">
        <v>27944.0</v>
      </c>
      <c r="D4882" s="17" t="s">
        <v>15693</v>
      </c>
    </row>
    <row r="4883">
      <c r="A4883" s="14">
        <v>3.0</v>
      </c>
      <c r="B4883" s="15" t="s">
        <v>15694</v>
      </c>
      <c r="C4883" s="16">
        <v>27944.0</v>
      </c>
      <c r="D4883" s="17" t="s">
        <v>15695</v>
      </c>
    </row>
    <row r="4884">
      <c r="A4884" s="14">
        <v>3.0</v>
      </c>
      <c r="B4884" s="15" t="s">
        <v>15696</v>
      </c>
      <c r="C4884" s="16">
        <v>27944.0</v>
      </c>
      <c r="D4884" s="17" t="s">
        <v>15697</v>
      </c>
    </row>
    <row r="4885">
      <c r="A4885" s="14">
        <v>3.0</v>
      </c>
      <c r="B4885" s="15" t="s">
        <v>15698</v>
      </c>
      <c r="C4885" s="16">
        <v>27944.0</v>
      </c>
      <c r="D4885" s="17" t="s">
        <v>15699</v>
      </c>
    </row>
    <row r="4886">
      <c r="A4886" s="14" t="s">
        <v>6099</v>
      </c>
      <c r="B4886" s="15" t="s">
        <v>15700</v>
      </c>
      <c r="C4886" s="16">
        <v>27945.0</v>
      </c>
      <c r="D4886" s="17" t="s">
        <v>15701</v>
      </c>
    </row>
    <row r="4887">
      <c r="A4887" s="14">
        <v>4.0</v>
      </c>
      <c r="B4887" s="15" t="s">
        <v>15702</v>
      </c>
      <c r="C4887" s="16">
        <v>27945.0</v>
      </c>
      <c r="D4887" s="17" t="s">
        <v>15703</v>
      </c>
    </row>
    <row r="4888">
      <c r="A4888" s="14">
        <v>4.0</v>
      </c>
      <c r="B4888" s="15" t="s">
        <v>15704</v>
      </c>
      <c r="C4888" s="16">
        <v>27945.0</v>
      </c>
      <c r="D4888" s="17" t="s">
        <v>15705</v>
      </c>
    </row>
    <row r="4889">
      <c r="A4889" s="14">
        <v>4.0</v>
      </c>
      <c r="B4889" s="15" t="s">
        <v>15706</v>
      </c>
      <c r="C4889" s="16">
        <v>27945.0</v>
      </c>
      <c r="D4889" s="17" t="s">
        <v>15707</v>
      </c>
    </row>
    <row r="4890">
      <c r="A4890" s="14">
        <v>4.0</v>
      </c>
      <c r="B4890" s="15" t="s">
        <v>15708</v>
      </c>
      <c r="C4890" s="16">
        <v>27945.0</v>
      </c>
      <c r="D4890" s="17" t="s">
        <v>15709</v>
      </c>
    </row>
    <row r="4891">
      <c r="A4891" s="14">
        <v>4.0</v>
      </c>
      <c r="B4891" s="15" t="s">
        <v>15710</v>
      </c>
      <c r="C4891" s="16">
        <v>27945.0</v>
      </c>
      <c r="D4891" s="17" t="s">
        <v>15711</v>
      </c>
    </row>
    <row r="4892">
      <c r="A4892" s="14" t="s">
        <v>6099</v>
      </c>
      <c r="B4892" s="15" t="s">
        <v>15712</v>
      </c>
      <c r="C4892" s="16">
        <v>27946.0</v>
      </c>
      <c r="D4892" s="17" t="s">
        <v>15713</v>
      </c>
    </row>
    <row r="4893">
      <c r="A4893" s="14" t="s">
        <v>6374</v>
      </c>
      <c r="B4893" s="15" t="s">
        <v>15714</v>
      </c>
      <c r="C4893" s="16">
        <v>27946.0</v>
      </c>
      <c r="D4893" s="17" t="s">
        <v>15715</v>
      </c>
    </row>
    <row r="4894">
      <c r="A4894" s="14" t="s">
        <v>6353</v>
      </c>
      <c r="B4894" s="15" t="s">
        <v>15716</v>
      </c>
      <c r="C4894" s="16">
        <v>27946.0</v>
      </c>
      <c r="D4894" s="17" t="s">
        <v>15717</v>
      </c>
    </row>
    <row r="4895">
      <c r="A4895" s="14">
        <v>5.0</v>
      </c>
      <c r="B4895" s="15" t="s">
        <v>15718</v>
      </c>
      <c r="C4895" s="16">
        <v>27946.0</v>
      </c>
      <c r="D4895" s="17" t="s">
        <v>15719</v>
      </c>
    </row>
    <row r="4896">
      <c r="A4896" s="14">
        <v>5.0</v>
      </c>
      <c r="B4896" s="15" t="s">
        <v>15720</v>
      </c>
      <c r="C4896" s="16">
        <v>27946.0</v>
      </c>
      <c r="D4896" s="17" t="s">
        <v>15721</v>
      </c>
    </row>
    <row r="4897">
      <c r="A4897" s="14">
        <v>5.0</v>
      </c>
      <c r="B4897" s="15" t="s">
        <v>15722</v>
      </c>
      <c r="C4897" s="16">
        <v>27946.0</v>
      </c>
      <c r="D4897" s="17" t="s">
        <v>15723</v>
      </c>
    </row>
    <row r="4898">
      <c r="A4898" s="14">
        <v>5.0</v>
      </c>
      <c r="B4898" s="15" t="s">
        <v>15724</v>
      </c>
      <c r="C4898" s="16">
        <v>27946.0</v>
      </c>
      <c r="D4898" s="17" t="s">
        <v>15725</v>
      </c>
    </row>
    <row r="4899">
      <c r="A4899" s="14">
        <v>5.0</v>
      </c>
      <c r="B4899" s="15" t="s">
        <v>15726</v>
      </c>
      <c r="C4899" s="16">
        <v>27946.0</v>
      </c>
      <c r="D4899" s="17" t="s">
        <v>15727</v>
      </c>
    </row>
    <row r="4900">
      <c r="A4900" s="14">
        <v>5.0</v>
      </c>
      <c r="B4900" s="15" t="s">
        <v>15728</v>
      </c>
      <c r="C4900" s="16">
        <v>27946.0</v>
      </c>
      <c r="D4900" s="17" t="s">
        <v>15729</v>
      </c>
    </row>
    <row r="4901">
      <c r="A4901" s="14">
        <v>5.0</v>
      </c>
      <c r="B4901" s="15" t="s">
        <v>15730</v>
      </c>
      <c r="C4901" s="16">
        <v>27946.0</v>
      </c>
      <c r="D4901" s="17" t="s">
        <v>15731</v>
      </c>
    </row>
    <row r="4902">
      <c r="A4902" s="14">
        <v>5.0</v>
      </c>
      <c r="B4902" s="15" t="s">
        <v>15732</v>
      </c>
      <c r="C4902" s="16">
        <v>27946.0</v>
      </c>
      <c r="D4902" s="17" t="s">
        <v>15733</v>
      </c>
    </row>
    <row r="4903">
      <c r="A4903" s="14">
        <v>5.0</v>
      </c>
      <c r="B4903" s="15" t="s">
        <v>15734</v>
      </c>
      <c r="C4903" s="16">
        <v>27946.0</v>
      </c>
      <c r="D4903" s="17" t="s">
        <v>15735</v>
      </c>
    </row>
    <row r="4904">
      <c r="A4904" s="14" t="s">
        <v>6353</v>
      </c>
      <c r="B4904" s="15" t="s">
        <v>15736</v>
      </c>
      <c r="C4904" s="16">
        <v>27947.0</v>
      </c>
      <c r="D4904" s="17" t="s">
        <v>15737</v>
      </c>
    </row>
    <row r="4905">
      <c r="A4905" s="14" t="s">
        <v>6057</v>
      </c>
      <c r="B4905" s="15" t="s">
        <v>15738</v>
      </c>
      <c r="C4905" s="16">
        <v>27947.0</v>
      </c>
      <c r="D4905" s="17" t="s">
        <v>15739</v>
      </c>
    </row>
    <row r="4906">
      <c r="A4906" s="14">
        <v>6.0</v>
      </c>
      <c r="B4906" s="15" t="s">
        <v>15740</v>
      </c>
      <c r="C4906" s="16">
        <v>27947.0</v>
      </c>
      <c r="D4906" s="17" t="s">
        <v>15741</v>
      </c>
    </row>
    <row r="4907">
      <c r="A4907" s="14">
        <v>6.0</v>
      </c>
      <c r="B4907" s="15" t="s">
        <v>15742</v>
      </c>
      <c r="C4907" s="16">
        <v>27947.0</v>
      </c>
      <c r="D4907" s="17" t="s">
        <v>15743</v>
      </c>
    </row>
    <row r="4908">
      <c r="A4908" s="14">
        <v>6.0</v>
      </c>
      <c r="B4908" s="15" t="s">
        <v>15744</v>
      </c>
      <c r="C4908" s="16">
        <v>27947.0</v>
      </c>
      <c r="D4908" s="17" t="s">
        <v>15745</v>
      </c>
    </row>
    <row r="4909">
      <c r="A4909" s="14">
        <v>6.0</v>
      </c>
      <c r="B4909" s="15" t="s">
        <v>15746</v>
      </c>
      <c r="C4909" s="16">
        <v>27947.0</v>
      </c>
      <c r="D4909" s="17" t="s">
        <v>15747</v>
      </c>
    </row>
    <row r="4910">
      <c r="A4910" s="14">
        <v>6.0</v>
      </c>
      <c r="B4910" s="15" t="s">
        <v>15748</v>
      </c>
      <c r="C4910" s="16">
        <v>27947.0</v>
      </c>
      <c r="D4910" s="17" t="s">
        <v>15749</v>
      </c>
    </row>
    <row r="4911">
      <c r="A4911" s="14">
        <v>6.0</v>
      </c>
      <c r="B4911" s="15" t="s">
        <v>15750</v>
      </c>
      <c r="C4911" s="16">
        <v>27947.0</v>
      </c>
      <c r="D4911" s="17" t="s">
        <v>15751</v>
      </c>
    </row>
    <row r="4912">
      <c r="A4912" s="14">
        <v>6.0</v>
      </c>
      <c r="B4912" s="15" t="s">
        <v>15752</v>
      </c>
      <c r="C4912" s="16">
        <v>27947.0</v>
      </c>
      <c r="D4912" s="17" t="s">
        <v>15753</v>
      </c>
    </row>
    <row r="4913">
      <c r="A4913" s="14">
        <v>6.0</v>
      </c>
      <c r="B4913" s="15" t="s">
        <v>15754</v>
      </c>
      <c r="C4913" s="16">
        <v>27947.0</v>
      </c>
      <c r="D4913" s="17" t="s">
        <v>15755</v>
      </c>
    </row>
    <row r="4914">
      <c r="A4914" s="14">
        <v>6.0</v>
      </c>
      <c r="B4914" s="15" t="s">
        <v>15756</v>
      </c>
      <c r="C4914" s="16">
        <v>27947.0</v>
      </c>
      <c r="D4914" s="17" t="s">
        <v>15757</v>
      </c>
    </row>
    <row r="4915">
      <c r="A4915" s="14" t="s">
        <v>6099</v>
      </c>
      <c r="B4915" s="15" t="s">
        <v>15758</v>
      </c>
      <c r="C4915" s="16">
        <v>27948.0</v>
      </c>
      <c r="D4915" s="17" t="s">
        <v>15759</v>
      </c>
    </row>
    <row r="4916">
      <c r="A4916" s="14" t="s">
        <v>6353</v>
      </c>
      <c r="B4916" s="15" t="s">
        <v>15760</v>
      </c>
      <c r="C4916" s="16">
        <v>27948.0</v>
      </c>
      <c r="D4916" s="17" t="s">
        <v>15761</v>
      </c>
    </row>
    <row r="4917">
      <c r="A4917" s="14" t="s">
        <v>6353</v>
      </c>
      <c r="B4917" s="15" t="s">
        <v>15762</v>
      </c>
      <c r="C4917" s="16">
        <v>27948.0</v>
      </c>
      <c r="D4917" s="17" t="s">
        <v>15763</v>
      </c>
    </row>
    <row r="4918">
      <c r="A4918" s="14" t="s">
        <v>6353</v>
      </c>
      <c r="B4918" s="15" t="s">
        <v>15764</v>
      </c>
      <c r="C4918" s="16">
        <v>27948.0</v>
      </c>
      <c r="D4918" s="17" t="s">
        <v>15765</v>
      </c>
    </row>
    <row r="4919">
      <c r="A4919" s="14">
        <v>7.0</v>
      </c>
      <c r="B4919" s="15" t="s">
        <v>15766</v>
      </c>
      <c r="C4919" s="16">
        <v>27948.0</v>
      </c>
      <c r="D4919" s="17" t="s">
        <v>15767</v>
      </c>
    </row>
    <row r="4920">
      <c r="A4920" s="14">
        <v>7.0</v>
      </c>
      <c r="B4920" s="15" t="s">
        <v>15768</v>
      </c>
      <c r="C4920" s="16">
        <v>27948.0</v>
      </c>
      <c r="D4920" s="17" t="s">
        <v>15769</v>
      </c>
    </row>
    <row r="4921">
      <c r="A4921" s="14">
        <v>7.0</v>
      </c>
      <c r="B4921" s="15" t="s">
        <v>15770</v>
      </c>
      <c r="C4921" s="16">
        <v>27948.0</v>
      </c>
      <c r="D4921" s="17" t="s">
        <v>15771</v>
      </c>
    </row>
    <row r="4922">
      <c r="A4922" s="14">
        <v>7.0</v>
      </c>
      <c r="B4922" s="15" t="s">
        <v>15772</v>
      </c>
      <c r="C4922" s="16">
        <v>27948.0</v>
      </c>
      <c r="D4922" s="17" t="s">
        <v>15773</v>
      </c>
    </row>
    <row r="4923">
      <c r="A4923" s="14">
        <v>7.0</v>
      </c>
      <c r="B4923" s="15" t="s">
        <v>15774</v>
      </c>
      <c r="C4923" s="16">
        <v>27948.0</v>
      </c>
      <c r="D4923" s="17" t="s">
        <v>15775</v>
      </c>
    </row>
    <row r="4924">
      <c r="A4924" s="14">
        <v>7.0</v>
      </c>
      <c r="B4924" s="15" t="s">
        <v>15776</v>
      </c>
      <c r="C4924" s="16">
        <v>27948.0</v>
      </c>
      <c r="D4924" s="17" t="s">
        <v>15777</v>
      </c>
    </row>
    <row r="4925">
      <c r="A4925" s="14">
        <v>7.0</v>
      </c>
      <c r="B4925" s="15" t="s">
        <v>15778</v>
      </c>
      <c r="C4925" s="16">
        <v>27948.0</v>
      </c>
      <c r="D4925" s="17" t="s">
        <v>15779</v>
      </c>
    </row>
    <row r="4926">
      <c r="A4926" s="14">
        <v>7.0</v>
      </c>
      <c r="B4926" s="15" t="s">
        <v>15780</v>
      </c>
      <c r="C4926" s="16">
        <v>27948.0</v>
      </c>
      <c r="D4926" s="17" t="s">
        <v>15781</v>
      </c>
    </row>
    <row r="4927">
      <c r="A4927" s="14" t="s">
        <v>6099</v>
      </c>
      <c r="B4927" s="15" t="s">
        <v>15782</v>
      </c>
      <c r="C4927" s="16">
        <v>27949.0</v>
      </c>
      <c r="D4927" s="17" t="s">
        <v>15783</v>
      </c>
    </row>
    <row r="4928">
      <c r="A4928" s="14" t="s">
        <v>6353</v>
      </c>
      <c r="B4928" s="15" t="s">
        <v>15784</v>
      </c>
      <c r="C4928" s="16">
        <v>27949.0</v>
      </c>
      <c r="D4928" s="17" t="s">
        <v>15785</v>
      </c>
    </row>
    <row r="4929">
      <c r="A4929" s="14" t="s">
        <v>6353</v>
      </c>
      <c r="B4929" s="15" t="s">
        <v>15786</v>
      </c>
      <c r="C4929" s="16">
        <v>27949.0</v>
      </c>
      <c r="D4929" s="17" t="s">
        <v>15787</v>
      </c>
    </row>
    <row r="4930">
      <c r="A4930" s="14">
        <v>8.0</v>
      </c>
      <c r="B4930" s="15" t="s">
        <v>15788</v>
      </c>
      <c r="C4930" s="16">
        <v>27949.0</v>
      </c>
      <c r="D4930" s="17" t="s">
        <v>15789</v>
      </c>
    </row>
    <row r="4931">
      <c r="A4931" s="14">
        <v>8.0</v>
      </c>
      <c r="B4931" s="15" t="s">
        <v>15790</v>
      </c>
      <c r="C4931" s="16">
        <v>27949.0</v>
      </c>
      <c r="D4931" s="17" t="s">
        <v>15791</v>
      </c>
    </row>
    <row r="4932">
      <c r="A4932" s="14">
        <v>8.0</v>
      </c>
      <c r="B4932" s="15" t="s">
        <v>15792</v>
      </c>
      <c r="C4932" s="16">
        <v>27949.0</v>
      </c>
      <c r="D4932" s="17" t="s">
        <v>15793</v>
      </c>
    </row>
    <row r="4933">
      <c r="A4933" s="14">
        <v>8.0</v>
      </c>
      <c r="B4933" s="15" t="s">
        <v>15794</v>
      </c>
      <c r="C4933" s="16">
        <v>27949.0</v>
      </c>
      <c r="D4933" s="17" t="s">
        <v>15795</v>
      </c>
    </row>
    <row r="4934">
      <c r="A4934" s="14">
        <v>8.0</v>
      </c>
      <c r="B4934" s="15" t="s">
        <v>15796</v>
      </c>
      <c r="C4934" s="16">
        <v>27949.0</v>
      </c>
      <c r="D4934" s="17" t="s">
        <v>15797</v>
      </c>
    </row>
    <row r="4935">
      <c r="A4935" s="14">
        <v>8.0</v>
      </c>
      <c r="B4935" s="15" t="s">
        <v>15798</v>
      </c>
      <c r="C4935" s="16">
        <v>27949.0</v>
      </c>
      <c r="D4935" s="17" t="s">
        <v>15799</v>
      </c>
    </row>
    <row r="4936">
      <c r="A4936" s="14">
        <v>8.0</v>
      </c>
      <c r="B4936" s="15" t="s">
        <v>15800</v>
      </c>
      <c r="C4936" s="16">
        <v>27949.0</v>
      </c>
      <c r="D4936" s="17" t="s">
        <v>15801</v>
      </c>
    </row>
    <row r="4937">
      <c r="A4937" s="14">
        <v>8.0</v>
      </c>
      <c r="B4937" s="15" t="s">
        <v>15802</v>
      </c>
      <c r="C4937" s="16">
        <v>27949.0</v>
      </c>
      <c r="D4937" s="17" t="s">
        <v>15803</v>
      </c>
    </row>
    <row r="4938">
      <c r="A4938" s="14">
        <v>9.0</v>
      </c>
      <c r="B4938" s="15" t="s">
        <v>15804</v>
      </c>
      <c r="C4938" s="16">
        <v>27950.0</v>
      </c>
      <c r="D4938" s="17" t="s">
        <v>15805</v>
      </c>
    </row>
    <row r="4939">
      <c r="A4939" s="14">
        <v>9.0</v>
      </c>
      <c r="B4939" s="15" t="s">
        <v>15806</v>
      </c>
      <c r="C4939" s="16">
        <v>27950.0</v>
      </c>
      <c r="D4939" s="17" t="s">
        <v>15807</v>
      </c>
    </row>
    <row r="4940">
      <c r="A4940" s="14">
        <v>9.0</v>
      </c>
      <c r="B4940" s="15" t="s">
        <v>15808</v>
      </c>
      <c r="C4940" s="16">
        <v>27950.0</v>
      </c>
      <c r="D4940" s="17" t="s">
        <v>15809</v>
      </c>
    </row>
    <row r="4941">
      <c r="A4941" s="14">
        <v>9.0</v>
      </c>
      <c r="B4941" s="15" t="s">
        <v>15810</v>
      </c>
      <c r="C4941" s="16">
        <v>27950.0</v>
      </c>
      <c r="D4941" s="17" t="s">
        <v>15811</v>
      </c>
    </row>
    <row r="4942">
      <c r="A4942" s="14">
        <v>10.0</v>
      </c>
      <c r="B4942" s="15" t="s">
        <v>15812</v>
      </c>
      <c r="C4942" s="16">
        <v>27951.0</v>
      </c>
      <c r="D4942" s="17" t="s">
        <v>15813</v>
      </c>
    </row>
    <row r="4943">
      <c r="A4943" s="14">
        <v>10.0</v>
      </c>
      <c r="B4943" s="15" t="s">
        <v>15814</v>
      </c>
      <c r="C4943" s="16">
        <v>27951.0</v>
      </c>
      <c r="D4943" s="17" t="s">
        <v>15815</v>
      </c>
    </row>
    <row r="4944">
      <c r="A4944" s="14">
        <v>10.0</v>
      </c>
      <c r="B4944" s="15" t="s">
        <v>15816</v>
      </c>
      <c r="C4944" s="16">
        <v>27951.0</v>
      </c>
      <c r="D4944" s="17" t="s">
        <v>15817</v>
      </c>
    </row>
    <row r="4945">
      <c r="A4945" s="14" t="s">
        <v>6099</v>
      </c>
      <c r="B4945" s="15" t="s">
        <v>15818</v>
      </c>
      <c r="C4945" s="16">
        <v>27952.0</v>
      </c>
      <c r="D4945" s="17" t="s">
        <v>15819</v>
      </c>
    </row>
    <row r="4946">
      <c r="A4946" s="14" t="s">
        <v>6353</v>
      </c>
      <c r="B4946" s="15" t="s">
        <v>15820</v>
      </c>
      <c r="C4946" s="16">
        <v>27952.0</v>
      </c>
      <c r="D4946" s="17" t="s">
        <v>15821</v>
      </c>
    </row>
    <row r="4947">
      <c r="A4947" s="14" t="s">
        <v>6353</v>
      </c>
      <c r="B4947" s="15" t="s">
        <v>15822</v>
      </c>
      <c r="C4947" s="16">
        <v>27952.0</v>
      </c>
      <c r="D4947" s="17" t="s">
        <v>15823</v>
      </c>
    </row>
    <row r="4948">
      <c r="A4948" s="14" t="s">
        <v>6353</v>
      </c>
      <c r="B4948" s="15" t="s">
        <v>15824</v>
      </c>
      <c r="C4948" s="16">
        <v>27952.0</v>
      </c>
      <c r="D4948" s="17" t="s">
        <v>15825</v>
      </c>
    </row>
    <row r="4949">
      <c r="A4949" s="14">
        <v>11.0</v>
      </c>
      <c r="B4949" s="15" t="s">
        <v>15826</v>
      </c>
      <c r="C4949" s="16">
        <v>27952.0</v>
      </c>
      <c r="D4949" s="17" t="s">
        <v>15827</v>
      </c>
    </row>
    <row r="4950">
      <c r="A4950" s="14">
        <v>11.0</v>
      </c>
      <c r="B4950" s="15" t="s">
        <v>15828</v>
      </c>
      <c r="C4950" s="16">
        <v>27952.0</v>
      </c>
      <c r="D4950" s="17" t="s">
        <v>15829</v>
      </c>
    </row>
    <row r="4951">
      <c r="A4951" s="14">
        <v>11.0</v>
      </c>
      <c r="B4951" s="15" t="s">
        <v>15830</v>
      </c>
      <c r="C4951" s="16">
        <v>27952.0</v>
      </c>
      <c r="D4951" s="17" t="s">
        <v>15831</v>
      </c>
    </row>
    <row r="4952">
      <c r="A4952" s="14">
        <v>11.0</v>
      </c>
      <c r="B4952" s="15" t="s">
        <v>15832</v>
      </c>
      <c r="C4952" s="16">
        <v>27952.0</v>
      </c>
      <c r="D4952" s="17" t="s">
        <v>15833</v>
      </c>
    </row>
    <row r="4953">
      <c r="A4953" s="14">
        <v>11.0</v>
      </c>
      <c r="B4953" s="15" t="s">
        <v>15834</v>
      </c>
      <c r="C4953" s="16">
        <v>27952.0</v>
      </c>
      <c r="D4953" s="17" t="s">
        <v>15835</v>
      </c>
    </row>
    <row r="4954">
      <c r="A4954" s="14">
        <v>11.0</v>
      </c>
      <c r="B4954" s="15" t="s">
        <v>15836</v>
      </c>
      <c r="C4954" s="16">
        <v>27952.0</v>
      </c>
      <c r="D4954" s="17" t="s">
        <v>15837</v>
      </c>
    </row>
    <row r="4955">
      <c r="A4955" s="14">
        <v>11.0</v>
      </c>
      <c r="B4955" s="15" t="s">
        <v>15838</v>
      </c>
      <c r="C4955" s="16">
        <v>27952.0</v>
      </c>
      <c r="D4955" s="17" t="s">
        <v>15839</v>
      </c>
    </row>
    <row r="4956">
      <c r="A4956" s="14" t="s">
        <v>6099</v>
      </c>
      <c r="B4956" s="15" t="s">
        <v>15840</v>
      </c>
      <c r="C4956" s="16">
        <v>27953.0</v>
      </c>
      <c r="D4956" s="17" t="s">
        <v>15841</v>
      </c>
    </row>
    <row r="4957">
      <c r="A4957" s="14">
        <v>12.0</v>
      </c>
      <c r="B4957" s="15" t="s">
        <v>15842</v>
      </c>
      <c r="C4957" s="16">
        <v>27953.0</v>
      </c>
      <c r="D4957" s="17" t="s">
        <v>15843</v>
      </c>
    </row>
    <row r="4958">
      <c r="A4958" s="14">
        <v>12.0</v>
      </c>
      <c r="B4958" s="15" t="s">
        <v>15844</v>
      </c>
      <c r="C4958" s="16">
        <v>27953.0</v>
      </c>
      <c r="D4958" s="17" t="s">
        <v>15845</v>
      </c>
    </row>
    <row r="4959">
      <c r="A4959" s="14">
        <v>12.0</v>
      </c>
      <c r="B4959" s="15" t="s">
        <v>15846</v>
      </c>
      <c r="C4959" s="16">
        <v>27953.0</v>
      </c>
      <c r="D4959" s="17" t="s">
        <v>15847</v>
      </c>
    </row>
    <row r="4960">
      <c r="A4960" s="14">
        <v>12.0</v>
      </c>
      <c r="B4960" s="15" t="s">
        <v>15848</v>
      </c>
      <c r="C4960" s="16">
        <v>27953.0</v>
      </c>
      <c r="D4960" s="17" t="s">
        <v>15849</v>
      </c>
    </row>
    <row r="4961">
      <c r="A4961" s="14" t="s">
        <v>6099</v>
      </c>
      <c r="B4961" s="15" t="s">
        <v>15850</v>
      </c>
      <c r="C4961" s="16">
        <v>27954.0</v>
      </c>
      <c r="D4961" s="17" t="s">
        <v>15851</v>
      </c>
    </row>
    <row r="4962">
      <c r="A4962" s="14" t="s">
        <v>6353</v>
      </c>
      <c r="B4962" s="15" t="s">
        <v>15852</v>
      </c>
      <c r="C4962" s="16">
        <v>27954.0</v>
      </c>
      <c r="D4962" s="17" t="s">
        <v>15853</v>
      </c>
    </row>
    <row r="4963">
      <c r="A4963" s="14">
        <v>13.0</v>
      </c>
      <c r="B4963" s="15" t="s">
        <v>15854</v>
      </c>
      <c r="C4963" s="16">
        <v>27954.0</v>
      </c>
      <c r="D4963" s="17" t="s">
        <v>15855</v>
      </c>
    </row>
    <row r="4964">
      <c r="A4964" s="14">
        <v>13.0</v>
      </c>
      <c r="B4964" s="15" t="s">
        <v>15856</v>
      </c>
      <c r="C4964" s="16">
        <v>27954.0</v>
      </c>
      <c r="D4964" s="17" t="s">
        <v>15857</v>
      </c>
    </row>
    <row r="4965">
      <c r="A4965" s="14">
        <v>13.0</v>
      </c>
      <c r="B4965" s="15" t="s">
        <v>15858</v>
      </c>
      <c r="C4965" s="16">
        <v>27954.0</v>
      </c>
      <c r="D4965" s="17" t="s">
        <v>15859</v>
      </c>
    </row>
    <row r="4966">
      <c r="A4966" s="14">
        <v>13.0</v>
      </c>
      <c r="B4966" s="15" t="s">
        <v>15860</v>
      </c>
      <c r="C4966" s="16">
        <v>27954.0</v>
      </c>
      <c r="D4966" s="17" t="s">
        <v>15861</v>
      </c>
    </row>
    <row r="4967">
      <c r="A4967" s="14">
        <v>13.0</v>
      </c>
      <c r="B4967" s="15" t="s">
        <v>15862</v>
      </c>
      <c r="C4967" s="16">
        <v>27954.0</v>
      </c>
      <c r="D4967" s="17" t="s">
        <v>15863</v>
      </c>
    </row>
    <row r="4968">
      <c r="A4968" s="14" t="s">
        <v>358</v>
      </c>
      <c r="B4968" s="15" t="s">
        <v>15864</v>
      </c>
      <c r="C4968" s="16">
        <v>27955.0</v>
      </c>
      <c r="D4968" s="17" t="s">
        <v>15865</v>
      </c>
    </row>
    <row r="4969">
      <c r="A4969" s="14" t="s">
        <v>358</v>
      </c>
      <c r="B4969" s="15" t="s">
        <v>15866</v>
      </c>
      <c r="C4969" s="16">
        <v>27955.0</v>
      </c>
      <c r="D4969" s="17" t="s">
        <v>15867</v>
      </c>
    </row>
    <row r="4970">
      <c r="A4970" s="14">
        <v>14.0</v>
      </c>
      <c r="B4970" s="15" t="s">
        <v>15868</v>
      </c>
      <c r="C4970" s="16">
        <v>27955.0</v>
      </c>
      <c r="D4970" s="17" t="s">
        <v>15869</v>
      </c>
    </row>
    <row r="4971">
      <c r="A4971" s="14">
        <v>14.0</v>
      </c>
      <c r="B4971" s="15" t="s">
        <v>15870</v>
      </c>
      <c r="C4971" s="16">
        <v>27955.0</v>
      </c>
      <c r="D4971" s="17" t="s">
        <v>15871</v>
      </c>
    </row>
    <row r="4972">
      <c r="A4972" s="14">
        <v>14.0</v>
      </c>
      <c r="B4972" s="15" t="s">
        <v>15872</v>
      </c>
      <c r="C4972" s="16">
        <v>27955.0</v>
      </c>
      <c r="D4972" s="17" t="s">
        <v>15873</v>
      </c>
    </row>
    <row r="4973">
      <c r="A4973" s="14">
        <v>14.0</v>
      </c>
      <c r="B4973" s="15" t="s">
        <v>15874</v>
      </c>
      <c r="C4973" s="16">
        <v>27955.0</v>
      </c>
      <c r="D4973" s="17" t="s">
        <v>15875</v>
      </c>
    </row>
    <row r="4974">
      <c r="A4974" s="14">
        <v>14.0</v>
      </c>
      <c r="B4974" s="15" t="s">
        <v>15876</v>
      </c>
      <c r="C4974" s="16">
        <v>27955.0</v>
      </c>
      <c r="D4974" s="17" t="s">
        <v>15877</v>
      </c>
    </row>
    <row r="4975">
      <c r="A4975" s="14">
        <v>14.0</v>
      </c>
      <c r="B4975" s="15" t="s">
        <v>15878</v>
      </c>
      <c r="C4975" s="16">
        <v>27955.0</v>
      </c>
      <c r="D4975" s="17" t="s">
        <v>15879</v>
      </c>
    </row>
    <row r="4976">
      <c r="A4976" s="14" t="s">
        <v>6099</v>
      </c>
      <c r="B4976" s="15" t="s">
        <v>15880</v>
      </c>
      <c r="C4976" s="16">
        <v>27956.0</v>
      </c>
      <c r="D4976" s="17" t="s">
        <v>15881</v>
      </c>
    </row>
    <row r="4977">
      <c r="A4977" s="14">
        <v>15.0</v>
      </c>
      <c r="B4977" s="15" t="s">
        <v>15882</v>
      </c>
      <c r="C4977" s="16">
        <v>27956.0</v>
      </c>
      <c r="D4977" s="17" t="s">
        <v>15883</v>
      </c>
    </row>
    <row r="4978">
      <c r="A4978" s="14">
        <v>15.0</v>
      </c>
      <c r="B4978" s="15" t="s">
        <v>15884</v>
      </c>
      <c r="C4978" s="16">
        <v>27956.0</v>
      </c>
      <c r="D4978" s="17" t="s">
        <v>15885</v>
      </c>
    </row>
    <row r="4979">
      <c r="A4979" s="14">
        <v>15.0</v>
      </c>
      <c r="B4979" s="15" t="s">
        <v>15886</v>
      </c>
      <c r="C4979" s="16">
        <v>27956.0</v>
      </c>
      <c r="D4979" s="17" t="s">
        <v>15887</v>
      </c>
    </row>
    <row r="4980">
      <c r="A4980" s="14" t="s">
        <v>358</v>
      </c>
      <c r="B4980" s="15" t="s">
        <v>15888</v>
      </c>
      <c r="C4980" s="16">
        <v>27957.0</v>
      </c>
      <c r="D4980" s="17" t="s">
        <v>15889</v>
      </c>
    </row>
    <row r="4981">
      <c r="A4981" s="14">
        <v>16.0</v>
      </c>
      <c r="B4981" s="15" t="s">
        <v>15890</v>
      </c>
      <c r="C4981" s="16">
        <v>27957.0</v>
      </c>
      <c r="D4981" s="17" t="s">
        <v>15891</v>
      </c>
    </row>
    <row r="4982">
      <c r="A4982" s="14">
        <v>16.0</v>
      </c>
      <c r="B4982" s="15" t="s">
        <v>15892</v>
      </c>
      <c r="C4982" s="16">
        <v>27957.0</v>
      </c>
      <c r="D4982" s="17" t="s">
        <v>15893</v>
      </c>
    </row>
    <row r="4983">
      <c r="A4983" s="14">
        <v>16.0</v>
      </c>
      <c r="B4983" s="15" t="s">
        <v>15894</v>
      </c>
      <c r="C4983" s="16">
        <v>27957.0</v>
      </c>
      <c r="D4983" s="17" t="s">
        <v>15895</v>
      </c>
    </row>
    <row r="4984">
      <c r="A4984" s="14">
        <v>16.0</v>
      </c>
      <c r="B4984" s="15" t="s">
        <v>15896</v>
      </c>
      <c r="C4984" s="16">
        <v>27957.0</v>
      </c>
      <c r="D4984" s="17" t="s">
        <v>15897</v>
      </c>
    </row>
    <row r="4985">
      <c r="A4985" s="14" t="s">
        <v>6099</v>
      </c>
      <c r="B4985" s="15" t="s">
        <v>15898</v>
      </c>
      <c r="C4985" s="16">
        <v>27958.0</v>
      </c>
      <c r="D4985" s="17" t="s">
        <v>15899</v>
      </c>
    </row>
    <row r="4986">
      <c r="A4986" s="14" t="s">
        <v>358</v>
      </c>
      <c r="B4986" s="15" t="s">
        <v>15900</v>
      </c>
      <c r="C4986" s="16">
        <v>27958.0</v>
      </c>
      <c r="D4986" s="17" t="s">
        <v>15901</v>
      </c>
    </row>
    <row r="4987">
      <c r="A4987" s="14" t="s">
        <v>6353</v>
      </c>
      <c r="B4987" s="15" t="s">
        <v>15902</v>
      </c>
      <c r="C4987" s="16">
        <v>27958.0</v>
      </c>
      <c r="D4987" s="17" t="s">
        <v>15903</v>
      </c>
    </row>
    <row r="4988">
      <c r="A4988" s="14">
        <v>17.0</v>
      </c>
      <c r="B4988" s="15" t="s">
        <v>15904</v>
      </c>
      <c r="C4988" s="16">
        <v>27958.0</v>
      </c>
      <c r="D4988" s="17" t="s">
        <v>15905</v>
      </c>
    </row>
    <row r="4989">
      <c r="A4989" s="14">
        <v>17.0</v>
      </c>
      <c r="B4989" s="15" t="s">
        <v>15906</v>
      </c>
      <c r="C4989" s="16">
        <v>27958.0</v>
      </c>
      <c r="D4989" s="17" t="s">
        <v>15907</v>
      </c>
    </row>
    <row r="4990">
      <c r="A4990" s="14">
        <v>17.0</v>
      </c>
      <c r="B4990" s="15" t="s">
        <v>15908</v>
      </c>
      <c r="C4990" s="16">
        <v>27958.0</v>
      </c>
      <c r="D4990" s="17" t="s">
        <v>15909</v>
      </c>
    </row>
    <row r="4991">
      <c r="A4991" s="14">
        <v>17.0</v>
      </c>
      <c r="B4991" s="15" t="s">
        <v>15910</v>
      </c>
      <c r="C4991" s="16">
        <v>27958.0</v>
      </c>
      <c r="D4991" s="17" t="s">
        <v>15911</v>
      </c>
    </row>
    <row r="4992">
      <c r="A4992" s="14">
        <v>17.0</v>
      </c>
      <c r="B4992" s="15" t="s">
        <v>15912</v>
      </c>
      <c r="C4992" s="16">
        <v>27958.0</v>
      </c>
      <c r="D4992" s="17" t="s">
        <v>15913</v>
      </c>
    </row>
    <row r="4993">
      <c r="A4993" s="14">
        <v>17.0</v>
      </c>
      <c r="B4993" s="15" t="s">
        <v>15914</v>
      </c>
      <c r="C4993" s="16">
        <v>27958.0</v>
      </c>
      <c r="D4993" s="17" t="s">
        <v>15915</v>
      </c>
    </row>
    <row r="4994">
      <c r="A4994" s="14">
        <v>17.0</v>
      </c>
      <c r="B4994" s="15" t="s">
        <v>15916</v>
      </c>
      <c r="C4994" s="16">
        <v>27958.0</v>
      </c>
      <c r="D4994" s="17" t="s">
        <v>15917</v>
      </c>
    </row>
    <row r="4995">
      <c r="A4995" s="14" t="s">
        <v>6087</v>
      </c>
      <c r="B4995" s="15" t="s">
        <v>15918</v>
      </c>
      <c r="C4995" s="16">
        <v>27959.0</v>
      </c>
      <c r="D4995" s="17" t="s">
        <v>15919</v>
      </c>
    </row>
    <row r="4996">
      <c r="A4996" s="14">
        <v>18.0</v>
      </c>
      <c r="B4996" s="15" t="s">
        <v>15920</v>
      </c>
      <c r="C4996" s="16">
        <v>27959.0</v>
      </c>
      <c r="D4996" s="17" t="s">
        <v>15921</v>
      </c>
    </row>
    <row r="4997">
      <c r="A4997" s="14">
        <v>18.0</v>
      </c>
      <c r="B4997" s="15" t="s">
        <v>15922</v>
      </c>
      <c r="C4997" s="16">
        <v>27959.0</v>
      </c>
      <c r="D4997" s="17" t="s">
        <v>15923</v>
      </c>
    </row>
    <row r="4998">
      <c r="A4998" s="14">
        <v>18.0</v>
      </c>
      <c r="B4998" s="15" t="s">
        <v>15924</v>
      </c>
      <c r="C4998" s="16">
        <v>27959.0</v>
      </c>
      <c r="D4998" s="17" t="s">
        <v>15925</v>
      </c>
    </row>
    <row r="4999">
      <c r="A4999" s="14">
        <v>18.0</v>
      </c>
      <c r="B4999" s="15" t="s">
        <v>15926</v>
      </c>
      <c r="C4999" s="16">
        <v>27959.0</v>
      </c>
      <c r="D4999" s="17" t="s">
        <v>15927</v>
      </c>
    </row>
    <row r="5000">
      <c r="A5000" s="14">
        <v>19.0</v>
      </c>
      <c r="B5000" s="15" t="s">
        <v>15928</v>
      </c>
      <c r="C5000" s="16">
        <v>27960.0</v>
      </c>
      <c r="D5000" s="17" t="s">
        <v>15929</v>
      </c>
    </row>
    <row r="5001">
      <c r="A5001" s="14">
        <v>19.0</v>
      </c>
      <c r="B5001" s="15" t="s">
        <v>15930</v>
      </c>
      <c r="C5001" s="16">
        <v>27960.0</v>
      </c>
      <c r="D5001" s="17" t="s">
        <v>15931</v>
      </c>
    </row>
    <row r="5002">
      <c r="A5002" s="14">
        <v>19.0</v>
      </c>
      <c r="B5002" s="15" t="s">
        <v>15932</v>
      </c>
      <c r="C5002" s="16">
        <v>27960.0</v>
      </c>
      <c r="D5002" s="17" t="s">
        <v>15933</v>
      </c>
    </row>
    <row r="5003">
      <c r="A5003" s="14" t="s">
        <v>6099</v>
      </c>
      <c r="B5003" s="15" t="s">
        <v>15934</v>
      </c>
      <c r="C5003" s="16">
        <v>27961.0</v>
      </c>
      <c r="D5003" s="17" t="s">
        <v>15935</v>
      </c>
    </row>
    <row r="5004">
      <c r="A5004" s="14">
        <v>20.0</v>
      </c>
      <c r="B5004" s="15" t="s">
        <v>15936</v>
      </c>
      <c r="C5004" s="16">
        <v>27961.0</v>
      </c>
      <c r="D5004" s="17" t="s">
        <v>15937</v>
      </c>
    </row>
    <row r="5005">
      <c r="A5005" s="14">
        <v>20.0</v>
      </c>
      <c r="B5005" s="15" t="s">
        <v>15938</v>
      </c>
      <c r="C5005" s="16">
        <v>27961.0</v>
      </c>
      <c r="D5005" s="17" t="s">
        <v>15939</v>
      </c>
    </row>
    <row r="5006">
      <c r="A5006" s="14">
        <v>20.0</v>
      </c>
      <c r="B5006" s="15" t="s">
        <v>15940</v>
      </c>
      <c r="C5006" s="16">
        <v>27961.0</v>
      </c>
      <c r="D5006" s="17" t="s">
        <v>15941</v>
      </c>
    </row>
    <row r="5007">
      <c r="A5007" s="14">
        <v>20.0</v>
      </c>
      <c r="B5007" s="15" t="s">
        <v>15942</v>
      </c>
      <c r="C5007" s="16">
        <v>27961.0</v>
      </c>
      <c r="D5007" s="17" t="s">
        <v>15943</v>
      </c>
    </row>
    <row r="5008">
      <c r="A5008" s="14">
        <v>21.0</v>
      </c>
      <c r="B5008" s="15" t="s">
        <v>15944</v>
      </c>
      <c r="C5008" s="16">
        <v>27962.0</v>
      </c>
      <c r="D5008" s="17" t="s">
        <v>15945</v>
      </c>
    </row>
    <row r="5009">
      <c r="A5009" s="14" t="s">
        <v>6099</v>
      </c>
      <c r="B5009" s="15" t="s">
        <v>15946</v>
      </c>
      <c r="C5009" s="16">
        <v>27964.0</v>
      </c>
      <c r="D5009" s="17" t="s">
        <v>15947</v>
      </c>
    </row>
    <row r="5010">
      <c r="A5010" s="14" t="s">
        <v>358</v>
      </c>
      <c r="B5010" s="15" t="s">
        <v>15948</v>
      </c>
      <c r="C5010" s="16">
        <v>27964.0</v>
      </c>
      <c r="D5010" s="17" t="s">
        <v>15949</v>
      </c>
    </row>
    <row r="5011">
      <c r="A5011" s="14">
        <v>23.0</v>
      </c>
      <c r="B5011" s="15" t="s">
        <v>15950</v>
      </c>
      <c r="C5011" s="16">
        <v>27964.0</v>
      </c>
      <c r="D5011" s="17" t="s">
        <v>15951</v>
      </c>
    </row>
    <row r="5012">
      <c r="A5012" s="14">
        <v>23.0</v>
      </c>
      <c r="B5012" s="15" t="s">
        <v>15952</v>
      </c>
      <c r="C5012" s="16">
        <v>27964.0</v>
      </c>
      <c r="D5012" s="17" t="s">
        <v>15953</v>
      </c>
    </row>
    <row r="5013">
      <c r="A5013" s="14">
        <v>23.0</v>
      </c>
      <c r="B5013" s="15" t="s">
        <v>15954</v>
      </c>
      <c r="C5013" s="16">
        <v>27964.0</v>
      </c>
      <c r="D5013" s="17" t="s">
        <v>15955</v>
      </c>
    </row>
    <row r="5014">
      <c r="A5014" s="14">
        <v>23.0</v>
      </c>
      <c r="B5014" s="15" t="s">
        <v>15956</v>
      </c>
      <c r="C5014" s="16">
        <v>27964.0</v>
      </c>
      <c r="D5014" s="17" t="s">
        <v>15957</v>
      </c>
    </row>
    <row r="5015">
      <c r="A5015" s="14">
        <v>24.0</v>
      </c>
      <c r="B5015" s="15" t="s">
        <v>15958</v>
      </c>
      <c r="C5015" s="16">
        <v>27965.0</v>
      </c>
      <c r="D5015" s="17" t="s">
        <v>15959</v>
      </c>
    </row>
    <row r="5016">
      <c r="A5016" s="14" t="s">
        <v>7676</v>
      </c>
      <c r="B5016" s="15" t="s">
        <v>15960</v>
      </c>
      <c r="C5016" s="16">
        <v>27966.0</v>
      </c>
      <c r="D5016" s="17" t="s">
        <v>15961</v>
      </c>
    </row>
    <row r="5017">
      <c r="A5017" s="14">
        <v>25.0</v>
      </c>
      <c r="B5017" s="15" t="s">
        <v>15962</v>
      </c>
      <c r="C5017" s="16">
        <v>27966.0</v>
      </c>
      <c r="D5017" s="17" t="s">
        <v>15963</v>
      </c>
    </row>
    <row r="5018">
      <c r="A5018" s="14">
        <v>25.0</v>
      </c>
      <c r="B5018" s="15" t="s">
        <v>15964</v>
      </c>
      <c r="C5018" s="16">
        <v>27966.0</v>
      </c>
      <c r="D5018" s="17" t="s">
        <v>15965</v>
      </c>
    </row>
    <row r="5019">
      <c r="A5019" s="14">
        <v>25.0</v>
      </c>
      <c r="B5019" s="15" t="s">
        <v>15966</v>
      </c>
      <c r="C5019" s="16">
        <v>27966.0</v>
      </c>
      <c r="D5019" s="17" t="s">
        <v>15967</v>
      </c>
    </row>
    <row r="5020">
      <c r="A5020" s="14">
        <v>25.0</v>
      </c>
      <c r="B5020" s="15" t="s">
        <v>15968</v>
      </c>
      <c r="C5020" s="16">
        <v>27966.0</v>
      </c>
      <c r="D5020" s="17" t="s">
        <v>15969</v>
      </c>
    </row>
    <row r="5021">
      <c r="A5021" s="14" t="s">
        <v>6353</v>
      </c>
      <c r="B5021" s="15" t="s">
        <v>15970</v>
      </c>
      <c r="C5021" s="16">
        <v>27967.0</v>
      </c>
      <c r="D5021" s="17" t="s">
        <v>15971</v>
      </c>
    </row>
    <row r="5022">
      <c r="A5022" s="14">
        <v>26.0</v>
      </c>
      <c r="B5022" s="15" t="s">
        <v>15972</v>
      </c>
      <c r="C5022" s="16">
        <v>27967.0</v>
      </c>
      <c r="D5022" s="17" t="s">
        <v>15973</v>
      </c>
    </row>
    <row r="5023">
      <c r="A5023" s="14">
        <v>26.0</v>
      </c>
      <c r="B5023" s="15" t="s">
        <v>15974</v>
      </c>
      <c r="C5023" s="16">
        <v>27967.0</v>
      </c>
      <c r="D5023" s="17" t="s">
        <v>15975</v>
      </c>
    </row>
    <row r="5024">
      <c r="A5024" s="14">
        <v>26.0</v>
      </c>
      <c r="B5024" s="15" t="s">
        <v>15976</v>
      </c>
      <c r="C5024" s="16">
        <v>27967.0</v>
      </c>
      <c r="D5024" s="17" t="s">
        <v>15977</v>
      </c>
    </row>
    <row r="5025">
      <c r="A5025" s="14" t="s">
        <v>6353</v>
      </c>
      <c r="B5025" s="15" t="s">
        <v>15978</v>
      </c>
      <c r="C5025" s="16">
        <v>27968.0</v>
      </c>
      <c r="D5025" s="17" t="s">
        <v>15979</v>
      </c>
    </row>
    <row r="5026">
      <c r="A5026" s="14" t="s">
        <v>6057</v>
      </c>
      <c r="B5026" s="15" t="s">
        <v>15980</v>
      </c>
      <c r="C5026" s="16">
        <v>27968.0</v>
      </c>
      <c r="D5026" s="17" t="s">
        <v>15981</v>
      </c>
    </row>
    <row r="5027">
      <c r="A5027" s="14">
        <v>27.0</v>
      </c>
      <c r="B5027" s="15" t="s">
        <v>15982</v>
      </c>
      <c r="C5027" s="16">
        <v>27968.0</v>
      </c>
      <c r="D5027" s="17" t="s">
        <v>15983</v>
      </c>
    </row>
    <row r="5028">
      <c r="A5028" s="14">
        <v>27.0</v>
      </c>
      <c r="B5028" s="15" t="s">
        <v>15984</v>
      </c>
      <c r="C5028" s="16">
        <v>27968.0</v>
      </c>
      <c r="D5028" s="17" t="s">
        <v>15985</v>
      </c>
    </row>
    <row r="5029">
      <c r="A5029" s="14">
        <v>27.0</v>
      </c>
      <c r="B5029" s="15" t="s">
        <v>15986</v>
      </c>
      <c r="C5029" s="16">
        <v>27968.0</v>
      </c>
      <c r="D5029" s="17" t="s">
        <v>15987</v>
      </c>
    </row>
    <row r="5030">
      <c r="A5030" s="14">
        <v>27.0</v>
      </c>
      <c r="B5030" s="15" t="s">
        <v>15988</v>
      </c>
      <c r="C5030" s="16">
        <v>27968.0</v>
      </c>
      <c r="D5030" s="17" t="s">
        <v>15989</v>
      </c>
    </row>
    <row r="5031">
      <c r="A5031" s="14">
        <v>27.0</v>
      </c>
      <c r="B5031" s="15" t="s">
        <v>15990</v>
      </c>
      <c r="C5031" s="16">
        <v>27968.0</v>
      </c>
      <c r="D5031" s="17" t="s">
        <v>15991</v>
      </c>
    </row>
    <row r="5032">
      <c r="A5032" s="14">
        <v>28.0</v>
      </c>
      <c r="B5032" s="15" t="s">
        <v>15992</v>
      </c>
      <c r="C5032" s="16">
        <v>27969.0</v>
      </c>
      <c r="D5032" s="17" t="s">
        <v>15993</v>
      </c>
    </row>
    <row r="5033">
      <c r="A5033" s="14">
        <v>29.0</v>
      </c>
      <c r="B5033" s="15" t="s">
        <v>15994</v>
      </c>
      <c r="C5033" s="16">
        <v>27970.0</v>
      </c>
      <c r="D5033" s="17" t="s">
        <v>15995</v>
      </c>
    </row>
    <row r="5034">
      <c r="A5034" s="14" t="s">
        <v>6353</v>
      </c>
      <c r="B5034" s="15" t="s">
        <v>15996</v>
      </c>
      <c r="C5034" s="16">
        <v>27972.0</v>
      </c>
      <c r="D5034" s="17" t="s">
        <v>15997</v>
      </c>
    </row>
    <row r="5035">
      <c r="A5035" s="14">
        <v>31.0</v>
      </c>
      <c r="B5035" s="15" t="s">
        <v>15998</v>
      </c>
      <c r="C5035" s="16">
        <v>27972.0</v>
      </c>
      <c r="D5035" s="17" t="s">
        <v>15999</v>
      </c>
    </row>
    <row r="5036">
      <c r="A5036" s="14">
        <v>31.0</v>
      </c>
      <c r="B5036" s="15" t="s">
        <v>16000</v>
      </c>
      <c r="C5036" s="16">
        <v>27972.0</v>
      </c>
      <c r="D5036" s="17" t="s">
        <v>16001</v>
      </c>
    </row>
    <row r="5037">
      <c r="A5037" s="14">
        <v>31.0</v>
      </c>
      <c r="B5037" s="15" t="s">
        <v>16002</v>
      </c>
      <c r="C5037" s="16">
        <v>27972.0</v>
      </c>
      <c r="D5037" s="17" t="s">
        <v>16003</v>
      </c>
    </row>
    <row r="5038">
      <c r="A5038" s="14">
        <v>31.0</v>
      </c>
      <c r="B5038" s="15" t="s">
        <v>16004</v>
      </c>
      <c r="C5038" s="16">
        <v>27972.0</v>
      </c>
      <c r="D5038" s="17" t="s">
        <v>16005</v>
      </c>
    </row>
    <row r="5039">
      <c r="A5039" s="14">
        <v>31.0</v>
      </c>
      <c r="B5039" s="15" t="s">
        <v>16006</v>
      </c>
      <c r="C5039" s="16">
        <v>27972.0</v>
      </c>
      <c r="D5039" s="17" t="s">
        <v>16007</v>
      </c>
    </row>
    <row r="5040">
      <c r="A5040" s="14" t="s">
        <v>6374</v>
      </c>
      <c r="B5040" s="15" t="s">
        <v>16008</v>
      </c>
      <c r="C5040" s="16">
        <v>27974.0</v>
      </c>
      <c r="D5040" s="17" t="s">
        <v>16009</v>
      </c>
    </row>
    <row r="5041">
      <c r="A5041" s="14" t="s">
        <v>6353</v>
      </c>
      <c r="B5041" s="15" t="s">
        <v>16010</v>
      </c>
      <c r="C5041" s="16">
        <v>27974.0</v>
      </c>
      <c r="D5041" s="17" t="s">
        <v>16011</v>
      </c>
    </row>
    <row r="5042">
      <c r="A5042" s="14" t="s">
        <v>6353</v>
      </c>
      <c r="B5042" s="15" t="s">
        <v>16012</v>
      </c>
      <c r="C5042" s="16">
        <v>27974.0</v>
      </c>
      <c r="D5042" s="17" t="s">
        <v>16013</v>
      </c>
    </row>
    <row r="5043">
      <c r="A5043" s="14">
        <v>2.0</v>
      </c>
      <c r="B5043" s="15" t="s">
        <v>16014</v>
      </c>
      <c r="C5043" s="16">
        <v>27974.0</v>
      </c>
      <c r="D5043" s="17" t="s">
        <v>16015</v>
      </c>
    </row>
    <row r="5044">
      <c r="A5044" s="14">
        <v>2.0</v>
      </c>
      <c r="B5044" s="15" t="s">
        <v>16016</v>
      </c>
      <c r="C5044" s="16">
        <v>27974.0</v>
      </c>
      <c r="D5044" s="17" t="s">
        <v>16017</v>
      </c>
    </row>
    <row r="5045">
      <c r="A5045" s="14">
        <v>2.0</v>
      </c>
      <c r="B5045" s="15" t="s">
        <v>16018</v>
      </c>
      <c r="C5045" s="16">
        <v>27974.0</v>
      </c>
      <c r="D5045" s="17" t="s">
        <v>16019</v>
      </c>
    </row>
    <row r="5046">
      <c r="A5046" s="14">
        <v>2.0</v>
      </c>
      <c r="B5046" s="15" t="s">
        <v>16020</v>
      </c>
      <c r="C5046" s="16">
        <v>27974.0</v>
      </c>
      <c r="D5046" s="17" t="s">
        <v>16021</v>
      </c>
    </row>
    <row r="5047">
      <c r="A5047" s="14">
        <v>2.0</v>
      </c>
      <c r="B5047" s="15" t="s">
        <v>16022</v>
      </c>
      <c r="C5047" s="16">
        <v>27974.0</v>
      </c>
      <c r="D5047" s="17" t="s">
        <v>16023</v>
      </c>
    </row>
    <row r="5048">
      <c r="A5048" s="14">
        <v>2.0</v>
      </c>
      <c r="B5048" s="15" t="s">
        <v>16024</v>
      </c>
      <c r="C5048" s="16">
        <v>27974.0</v>
      </c>
      <c r="D5048" s="17" t="s">
        <v>16025</v>
      </c>
    </row>
    <row r="5049">
      <c r="A5049" s="14">
        <v>2.0</v>
      </c>
      <c r="B5049" s="15" t="s">
        <v>16026</v>
      </c>
      <c r="C5049" s="16">
        <v>27974.0</v>
      </c>
      <c r="D5049" s="17" t="s">
        <v>16027</v>
      </c>
    </row>
    <row r="5050">
      <c r="A5050" s="14">
        <v>2.0</v>
      </c>
      <c r="B5050" s="15" t="s">
        <v>16028</v>
      </c>
      <c r="C5050" s="16">
        <v>27974.0</v>
      </c>
      <c r="D5050" s="17" t="s">
        <v>16029</v>
      </c>
    </row>
    <row r="5051">
      <c r="A5051" s="14" t="s">
        <v>6126</v>
      </c>
      <c r="B5051" s="15" t="s">
        <v>16030</v>
      </c>
      <c r="C5051" s="16">
        <v>27975.0</v>
      </c>
      <c r="D5051" s="17" t="s">
        <v>16031</v>
      </c>
    </row>
    <row r="5052">
      <c r="A5052" s="14" t="s">
        <v>6353</v>
      </c>
      <c r="B5052" s="15" t="s">
        <v>16032</v>
      </c>
      <c r="C5052" s="16">
        <v>27975.0</v>
      </c>
      <c r="D5052" s="17" t="s">
        <v>16033</v>
      </c>
    </row>
    <row r="5053">
      <c r="A5053" s="14" t="s">
        <v>6353</v>
      </c>
      <c r="B5053" s="15" t="s">
        <v>16034</v>
      </c>
      <c r="C5053" s="16">
        <v>27975.0</v>
      </c>
      <c r="D5053" s="17" t="s">
        <v>16035</v>
      </c>
    </row>
    <row r="5054">
      <c r="A5054" s="14">
        <v>3.0</v>
      </c>
      <c r="B5054" s="15" t="s">
        <v>16036</v>
      </c>
      <c r="C5054" s="16">
        <v>27975.0</v>
      </c>
      <c r="D5054" s="17" t="s">
        <v>16037</v>
      </c>
    </row>
    <row r="5055">
      <c r="A5055" s="14">
        <v>3.0</v>
      </c>
      <c r="B5055" s="15" t="s">
        <v>16038</v>
      </c>
      <c r="C5055" s="16">
        <v>27975.0</v>
      </c>
      <c r="D5055" s="17" t="s">
        <v>16039</v>
      </c>
    </row>
    <row r="5056">
      <c r="A5056" s="14">
        <v>3.0</v>
      </c>
      <c r="B5056" s="15" t="s">
        <v>16040</v>
      </c>
      <c r="C5056" s="16">
        <v>27975.0</v>
      </c>
      <c r="D5056" s="17" t="s">
        <v>16041</v>
      </c>
    </row>
    <row r="5057">
      <c r="A5057" s="14">
        <v>3.0</v>
      </c>
      <c r="B5057" s="15" t="s">
        <v>16042</v>
      </c>
      <c r="C5057" s="16">
        <v>27975.0</v>
      </c>
      <c r="D5057" s="17" t="s">
        <v>16043</v>
      </c>
    </row>
    <row r="5058">
      <c r="A5058" s="14">
        <v>3.0</v>
      </c>
      <c r="B5058" s="15" t="s">
        <v>16044</v>
      </c>
      <c r="C5058" s="16">
        <v>27975.0</v>
      </c>
      <c r="D5058" s="17" t="s">
        <v>16045</v>
      </c>
    </row>
    <row r="5059">
      <c r="A5059" s="14">
        <v>3.0</v>
      </c>
      <c r="B5059" s="15" t="s">
        <v>16046</v>
      </c>
      <c r="C5059" s="16">
        <v>27975.0</v>
      </c>
      <c r="D5059" s="17" t="s">
        <v>16047</v>
      </c>
    </row>
    <row r="5060">
      <c r="A5060" s="14">
        <v>3.0</v>
      </c>
      <c r="B5060" s="15" t="s">
        <v>16048</v>
      </c>
      <c r="C5060" s="16">
        <v>27975.0</v>
      </c>
      <c r="D5060" s="17" t="s">
        <v>16049</v>
      </c>
    </row>
    <row r="5061">
      <c r="A5061" s="14" t="s">
        <v>5986</v>
      </c>
      <c r="B5061" s="15" t="s">
        <v>16050</v>
      </c>
      <c r="C5061" s="16">
        <v>27976.0</v>
      </c>
      <c r="D5061" s="17" t="s">
        <v>16051</v>
      </c>
    </row>
    <row r="5062">
      <c r="A5062" s="14" t="s">
        <v>10551</v>
      </c>
      <c r="B5062" s="15" t="s">
        <v>16052</v>
      </c>
      <c r="C5062" s="16">
        <v>27976.0</v>
      </c>
      <c r="D5062" s="17" t="s">
        <v>16053</v>
      </c>
    </row>
    <row r="5063">
      <c r="A5063" s="14" t="s">
        <v>10551</v>
      </c>
      <c r="B5063" s="15" t="s">
        <v>16054</v>
      </c>
      <c r="C5063" s="16">
        <v>27976.0</v>
      </c>
      <c r="D5063" s="17" t="s">
        <v>16055</v>
      </c>
    </row>
    <row r="5064">
      <c r="A5064" s="14" t="s">
        <v>10551</v>
      </c>
      <c r="B5064" s="15" t="s">
        <v>16056</v>
      </c>
      <c r="C5064" s="16">
        <v>27976.0</v>
      </c>
      <c r="D5064" s="17" t="s">
        <v>16057</v>
      </c>
    </row>
    <row r="5065">
      <c r="A5065" s="14">
        <v>4.0</v>
      </c>
      <c r="B5065" s="15" t="s">
        <v>16058</v>
      </c>
      <c r="C5065" s="16">
        <v>27976.0</v>
      </c>
      <c r="D5065" s="17" t="s">
        <v>16059</v>
      </c>
    </row>
    <row r="5066">
      <c r="A5066" s="14">
        <v>5.0</v>
      </c>
      <c r="B5066" s="15" t="s">
        <v>16060</v>
      </c>
      <c r="C5066" s="16">
        <v>27977.0</v>
      </c>
      <c r="D5066" s="17" t="s">
        <v>16061</v>
      </c>
    </row>
    <row r="5067">
      <c r="A5067" s="14">
        <v>5.0</v>
      </c>
      <c r="B5067" s="15" t="s">
        <v>16062</v>
      </c>
      <c r="C5067" s="16">
        <v>27977.0</v>
      </c>
      <c r="D5067" s="17" t="s">
        <v>16063</v>
      </c>
    </row>
    <row r="5068">
      <c r="A5068" s="14">
        <v>5.0</v>
      </c>
      <c r="B5068" s="15" t="s">
        <v>16064</v>
      </c>
      <c r="C5068" s="16">
        <v>27977.0</v>
      </c>
      <c r="D5068" s="17" t="s">
        <v>16065</v>
      </c>
    </row>
    <row r="5069">
      <c r="A5069" s="14">
        <v>7.0</v>
      </c>
      <c r="B5069" s="15" t="s">
        <v>16066</v>
      </c>
      <c r="C5069" s="16">
        <v>27979.0</v>
      </c>
      <c r="D5069" s="17" t="s">
        <v>16067</v>
      </c>
    </row>
    <row r="5070">
      <c r="A5070" s="14">
        <v>8.0</v>
      </c>
      <c r="B5070" s="15" t="s">
        <v>16068</v>
      </c>
      <c r="C5070" s="16">
        <v>27980.0</v>
      </c>
      <c r="D5070" s="17" t="s">
        <v>16069</v>
      </c>
    </row>
    <row r="5071">
      <c r="A5071" s="14">
        <v>8.0</v>
      </c>
      <c r="B5071" s="15" t="s">
        <v>16070</v>
      </c>
      <c r="C5071" s="16">
        <v>27980.0</v>
      </c>
      <c r="D5071" s="17" t="s">
        <v>16071</v>
      </c>
    </row>
    <row r="5072">
      <c r="A5072" s="14">
        <v>8.0</v>
      </c>
      <c r="B5072" s="15" t="s">
        <v>16072</v>
      </c>
      <c r="C5072" s="16">
        <v>27980.0</v>
      </c>
      <c r="D5072" s="17" t="s">
        <v>16073</v>
      </c>
    </row>
    <row r="5073">
      <c r="A5073" s="14" t="s">
        <v>6374</v>
      </c>
      <c r="B5073" s="15" t="s">
        <v>16074</v>
      </c>
      <c r="C5073" s="16">
        <v>27981.0</v>
      </c>
      <c r="D5073" s="17" t="s">
        <v>16075</v>
      </c>
    </row>
    <row r="5074">
      <c r="A5074" s="14" t="s">
        <v>6353</v>
      </c>
      <c r="B5074" s="15" t="s">
        <v>16076</v>
      </c>
      <c r="C5074" s="16">
        <v>27981.0</v>
      </c>
      <c r="D5074" s="17" t="s">
        <v>16077</v>
      </c>
    </row>
    <row r="5075">
      <c r="A5075" s="14" t="s">
        <v>6353</v>
      </c>
      <c r="B5075" s="15" t="s">
        <v>16078</v>
      </c>
      <c r="C5075" s="16">
        <v>27981.0</v>
      </c>
      <c r="D5075" s="17" t="s">
        <v>16079</v>
      </c>
    </row>
    <row r="5076">
      <c r="A5076" s="14">
        <v>9.0</v>
      </c>
      <c r="B5076" s="15" t="s">
        <v>16080</v>
      </c>
      <c r="C5076" s="16">
        <v>27981.0</v>
      </c>
      <c r="D5076" s="17" t="s">
        <v>16081</v>
      </c>
    </row>
    <row r="5077">
      <c r="A5077" s="14">
        <v>9.0</v>
      </c>
      <c r="B5077" s="15" t="s">
        <v>16082</v>
      </c>
      <c r="C5077" s="16">
        <v>27981.0</v>
      </c>
      <c r="D5077" s="17" t="s">
        <v>16083</v>
      </c>
    </row>
    <row r="5078">
      <c r="A5078" s="14">
        <v>9.0</v>
      </c>
      <c r="B5078" s="15" t="s">
        <v>16084</v>
      </c>
      <c r="C5078" s="16">
        <v>27981.0</v>
      </c>
      <c r="D5078" s="17" t="s">
        <v>16085</v>
      </c>
    </row>
    <row r="5079">
      <c r="A5079" s="14">
        <v>9.0</v>
      </c>
      <c r="B5079" s="15" t="s">
        <v>16086</v>
      </c>
      <c r="C5079" s="16">
        <v>27981.0</v>
      </c>
      <c r="D5079" s="17" t="s">
        <v>16087</v>
      </c>
    </row>
    <row r="5080">
      <c r="A5080" s="14">
        <v>9.0</v>
      </c>
      <c r="B5080" s="15" t="s">
        <v>16088</v>
      </c>
      <c r="C5080" s="16">
        <v>27981.0</v>
      </c>
      <c r="D5080" s="17" t="s">
        <v>16089</v>
      </c>
    </row>
    <row r="5081">
      <c r="A5081" s="14">
        <v>9.0</v>
      </c>
      <c r="B5081" s="15" t="s">
        <v>16090</v>
      </c>
      <c r="C5081" s="16">
        <v>27981.0</v>
      </c>
      <c r="D5081" s="17" t="s">
        <v>16091</v>
      </c>
    </row>
    <row r="5082">
      <c r="A5082" s="14">
        <v>9.0</v>
      </c>
      <c r="B5082" s="15" t="s">
        <v>16092</v>
      </c>
      <c r="C5082" s="16">
        <v>27981.0</v>
      </c>
      <c r="D5082" s="17" t="s">
        <v>16093</v>
      </c>
    </row>
    <row r="5083">
      <c r="A5083" s="14" t="s">
        <v>6353</v>
      </c>
      <c r="B5083" s="15" t="s">
        <v>16094</v>
      </c>
      <c r="C5083" s="16">
        <v>27982.0</v>
      </c>
      <c r="D5083" s="17" t="s">
        <v>16095</v>
      </c>
    </row>
    <row r="5084">
      <c r="A5084" s="14" t="s">
        <v>6353</v>
      </c>
      <c r="B5084" s="15" t="s">
        <v>16096</v>
      </c>
      <c r="C5084" s="16">
        <v>27982.0</v>
      </c>
      <c r="D5084" s="17" t="s">
        <v>16097</v>
      </c>
    </row>
    <row r="5085">
      <c r="A5085" s="14">
        <v>10.0</v>
      </c>
      <c r="B5085" s="15" t="s">
        <v>16098</v>
      </c>
      <c r="C5085" s="16">
        <v>27982.0</v>
      </c>
      <c r="D5085" s="17" t="s">
        <v>16099</v>
      </c>
    </row>
    <row r="5086">
      <c r="A5086" s="14">
        <v>10.0</v>
      </c>
      <c r="B5086" s="15" t="s">
        <v>16100</v>
      </c>
      <c r="C5086" s="16">
        <v>27982.0</v>
      </c>
      <c r="D5086" s="17" t="s">
        <v>16101</v>
      </c>
    </row>
    <row r="5087">
      <c r="A5087" s="14">
        <v>10.0</v>
      </c>
      <c r="B5087" s="15" t="s">
        <v>16102</v>
      </c>
      <c r="C5087" s="16">
        <v>27982.0</v>
      </c>
      <c r="D5087" s="17" t="s">
        <v>16103</v>
      </c>
    </row>
    <row r="5088">
      <c r="A5088" s="14">
        <v>10.0</v>
      </c>
      <c r="B5088" s="15" t="s">
        <v>16104</v>
      </c>
      <c r="C5088" s="16">
        <v>27982.0</v>
      </c>
      <c r="D5088" s="17" t="s">
        <v>16105</v>
      </c>
    </row>
    <row r="5089">
      <c r="A5089" s="14">
        <v>10.0</v>
      </c>
      <c r="B5089" s="15" t="s">
        <v>16106</v>
      </c>
      <c r="C5089" s="16">
        <v>27982.0</v>
      </c>
      <c r="D5089" s="17" t="s">
        <v>16107</v>
      </c>
    </row>
    <row r="5090">
      <c r="A5090" s="14" t="s">
        <v>6353</v>
      </c>
      <c r="B5090" s="15" t="s">
        <v>16108</v>
      </c>
      <c r="C5090" s="16">
        <v>27983.0</v>
      </c>
      <c r="D5090" s="17" t="s">
        <v>16109</v>
      </c>
    </row>
    <row r="5091">
      <c r="A5091" s="14">
        <v>11.0</v>
      </c>
      <c r="B5091" s="15" t="s">
        <v>16110</v>
      </c>
      <c r="C5091" s="16">
        <v>27983.0</v>
      </c>
      <c r="D5091" s="17" t="s">
        <v>16111</v>
      </c>
    </row>
    <row r="5092">
      <c r="A5092" s="14">
        <v>11.0</v>
      </c>
      <c r="B5092" s="15" t="s">
        <v>16112</v>
      </c>
      <c r="C5092" s="16">
        <v>27983.0</v>
      </c>
      <c r="D5092" s="17" t="s">
        <v>16113</v>
      </c>
    </row>
    <row r="5093">
      <c r="A5093" s="14">
        <v>11.0</v>
      </c>
      <c r="B5093" s="15" t="s">
        <v>16114</v>
      </c>
      <c r="C5093" s="16">
        <v>27983.0</v>
      </c>
      <c r="D5093" s="17" t="s">
        <v>16115</v>
      </c>
    </row>
    <row r="5094">
      <c r="A5094" s="14">
        <v>11.0</v>
      </c>
      <c r="B5094" s="15" t="s">
        <v>16116</v>
      </c>
      <c r="C5094" s="16">
        <v>27983.0</v>
      </c>
      <c r="D5094" s="17" t="s">
        <v>16117</v>
      </c>
    </row>
    <row r="5095">
      <c r="A5095" s="14" t="s">
        <v>6353</v>
      </c>
      <c r="B5095" s="15" t="s">
        <v>16118</v>
      </c>
      <c r="C5095" s="16">
        <v>27984.0</v>
      </c>
      <c r="D5095" s="17" t="s">
        <v>16119</v>
      </c>
    </row>
    <row r="5096">
      <c r="A5096" s="14">
        <v>12.0</v>
      </c>
      <c r="B5096" s="15" t="s">
        <v>16120</v>
      </c>
      <c r="C5096" s="16">
        <v>27984.0</v>
      </c>
      <c r="D5096" s="17" t="s">
        <v>16121</v>
      </c>
    </row>
    <row r="5097">
      <c r="A5097" s="14">
        <v>12.0</v>
      </c>
      <c r="B5097" s="15" t="s">
        <v>16122</v>
      </c>
      <c r="C5097" s="16">
        <v>27984.0</v>
      </c>
      <c r="D5097" s="17" t="s">
        <v>16123</v>
      </c>
    </row>
    <row r="5098">
      <c r="A5098" s="14">
        <v>12.0</v>
      </c>
      <c r="B5098" s="15" t="s">
        <v>16124</v>
      </c>
      <c r="C5098" s="16">
        <v>27984.0</v>
      </c>
      <c r="D5098" s="17" t="s">
        <v>16125</v>
      </c>
    </row>
    <row r="5099">
      <c r="A5099" s="14">
        <v>12.0</v>
      </c>
      <c r="B5099" s="15" t="s">
        <v>16126</v>
      </c>
      <c r="C5099" s="16">
        <v>27984.0</v>
      </c>
      <c r="D5099" s="17" t="s">
        <v>16127</v>
      </c>
    </row>
    <row r="5100">
      <c r="A5100" s="14">
        <v>12.0</v>
      </c>
      <c r="B5100" s="15" t="s">
        <v>16128</v>
      </c>
      <c r="C5100" s="16">
        <v>27984.0</v>
      </c>
      <c r="D5100" s="17" t="s">
        <v>16129</v>
      </c>
    </row>
    <row r="5101">
      <c r="A5101" s="14">
        <v>12.0</v>
      </c>
      <c r="B5101" s="15" t="s">
        <v>16130</v>
      </c>
      <c r="C5101" s="16">
        <v>27984.0</v>
      </c>
      <c r="D5101" s="17" t="s">
        <v>16131</v>
      </c>
    </row>
    <row r="5102">
      <c r="A5102" s="14">
        <v>12.0</v>
      </c>
      <c r="B5102" s="15" t="s">
        <v>16132</v>
      </c>
      <c r="C5102" s="16">
        <v>27984.0</v>
      </c>
      <c r="D5102" s="17" t="s">
        <v>16133</v>
      </c>
    </row>
    <row r="5103">
      <c r="A5103" s="14">
        <v>12.0</v>
      </c>
      <c r="B5103" s="15" t="s">
        <v>16134</v>
      </c>
      <c r="C5103" s="16">
        <v>27984.0</v>
      </c>
      <c r="D5103" s="17" t="s">
        <v>16135</v>
      </c>
    </row>
    <row r="5104">
      <c r="A5104" s="14">
        <v>13.0</v>
      </c>
      <c r="B5104" s="15" t="s">
        <v>16136</v>
      </c>
      <c r="C5104" s="16">
        <v>27985.0</v>
      </c>
      <c r="D5104" s="17" t="s">
        <v>16137</v>
      </c>
    </row>
    <row r="5105">
      <c r="A5105" s="14" t="s">
        <v>6374</v>
      </c>
      <c r="B5105" s="15" t="s">
        <v>16138</v>
      </c>
      <c r="C5105" s="16">
        <v>27986.0</v>
      </c>
      <c r="D5105" s="17" t="s">
        <v>16139</v>
      </c>
    </row>
    <row r="5106">
      <c r="A5106" s="14" t="s">
        <v>6353</v>
      </c>
      <c r="B5106" s="15" t="s">
        <v>16140</v>
      </c>
      <c r="C5106" s="16">
        <v>27986.0</v>
      </c>
      <c r="D5106" s="17" t="s">
        <v>16141</v>
      </c>
    </row>
    <row r="5107">
      <c r="A5107" s="14" t="s">
        <v>6353</v>
      </c>
      <c r="B5107" s="15" t="s">
        <v>16142</v>
      </c>
      <c r="C5107" s="16">
        <v>27986.0</v>
      </c>
      <c r="D5107" s="17" t="s">
        <v>16143</v>
      </c>
    </row>
    <row r="5108">
      <c r="A5108" s="14">
        <v>14.0</v>
      </c>
      <c r="B5108" s="15" t="s">
        <v>16144</v>
      </c>
      <c r="C5108" s="16">
        <v>27986.0</v>
      </c>
      <c r="D5108" s="17" t="s">
        <v>16145</v>
      </c>
    </row>
    <row r="5109">
      <c r="A5109" s="14">
        <v>14.0</v>
      </c>
      <c r="B5109" s="15" t="s">
        <v>16146</v>
      </c>
      <c r="C5109" s="16">
        <v>27986.0</v>
      </c>
      <c r="D5109" s="17" t="s">
        <v>16147</v>
      </c>
    </row>
    <row r="5110">
      <c r="A5110" s="14">
        <v>14.0</v>
      </c>
      <c r="B5110" s="15" t="s">
        <v>16148</v>
      </c>
      <c r="C5110" s="16">
        <v>27986.0</v>
      </c>
      <c r="D5110" s="17" t="s">
        <v>16149</v>
      </c>
    </row>
    <row r="5111">
      <c r="A5111" s="14">
        <v>14.0</v>
      </c>
      <c r="B5111" s="15" t="s">
        <v>16150</v>
      </c>
      <c r="C5111" s="16">
        <v>27986.0</v>
      </c>
      <c r="D5111" s="17" t="s">
        <v>16151</v>
      </c>
    </row>
    <row r="5112">
      <c r="A5112" s="14">
        <v>14.0</v>
      </c>
      <c r="B5112" s="15" t="s">
        <v>16152</v>
      </c>
      <c r="C5112" s="16">
        <v>27986.0</v>
      </c>
      <c r="D5112" s="17" t="s">
        <v>16153</v>
      </c>
    </row>
    <row r="5113">
      <c r="A5113" s="14">
        <v>14.0</v>
      </c>
      <c r="B5113" s="15" t="s">
        <v>16154</v>
      </c>
      <c r="C5113" s="16">
        <v>27986.0</v>
      </c>
      <c r="D5113" s="17" t="s">
        <v>16155</v>
      </c>
    </row>
    <row r="5114">
      <c r="A5114" s="14">
        <v>15.0</v>
      </c>
      <c r="B5114" s="15" t="s">
        <v>16156</v>
      </c>
      <c r="C5114" s="16">
        <v>27987.0</v>
      </c>
      <c r="D5114" s="17" t="s">
        <v>16157</v>
      </c>
    </row>
    <row r="5115">
      <c r="A5115" s="14">
        <v>15.0</v>
      </c>
      <c r="B5115" s="15" t="s">
        <v>16158</v>
      </c>
      <c r="C5115" s="16">
        <v>27987.0</v>
      </c>
      <c r="D5115" s="17" t="s">
        <v>16159</v>
      </c>
    </row>
    <row r="5116">
      <c r="A5116" s="14" t="s">
        <v>6353</v>
      </c>
      <c r="B5116" s="15" t="s">
        <v>16160</v>
      </c>
      <c r="C5116" s="16">
        <v>27988.0</v>
      </c>
      <c r="D5116" s="17" t="s">
        <v>16161</v>
      </c>
    </row>
    <row r="5117">
      <c r="A5117" s="14">
        <v>16.0</v>
      </c>
      <c r="B5117" s="15" t="s">
        <v>16162</v>
      </c>
      <c r="C5117" s="16">
        <v>27988.0</v>
      </c>
      <c r="D5117" s="17" t="s">
        <v>16163</v>
      </c>
    </row>
    <row r="5118">
      <c r="A5118" s="14">
        <v>16.0</v>
      </c>
      <c r="B5118" s="15" t="s">
        <v>16164</v>
      </c>
      <c r="C5118" s="16">
        <v>27988.0</v>
      </c>
      <c r="D5118" s="17" t="s">
        <v>16165</v>
      </c>
    </row>
    <row r="5119">
      <c r="A5119" s="14">
        <v>16.0</v>
      </c>
      <c r="B5119" s="15" t="s">
        <v>16166</v>
      </c>
      <c r="C5119" s="16">
        <v>27988.0</v>
      </c>
      <c r="D5119" s="17" t="s">
        <v>16167</v>
      </c>
    </row>
    <row r="5120">
      <c r="A5120" s="14">
        <v>16.0</v>
      </c>
      <c r="B5120" s="15" t="s">
        <v>16168</v>
      </c>
      <c r="C5120" s="16">
        <v>27988.0</v>
      </c>
      <c r="D5120" s="17" t="s">
        <v>16169</v>
      </c>
    </row>
    <row r="5121">
      <c r="A5121" s="14">
        <v>16.0</v>
      </c>
      <c r="B5121" s="15" t="s">
        <v>16170</v>
      </c>
      <c r="C5121" s="16">
        <v>27988.0</v>
      </c>
      <c r="D5121" s="17" t="s">
        <v>16171</v>
      </c>
    </row>
    <row r="5122">
      <c r="A5122" s="14" t="s">
        <v>7676</v>
      </c>
      <c r="B5122" s="15" t="s">
        <v>16172</v>
      </c>
      <c r="C5122" s="16">
        <v>27989.0</v>
      </c>
      <c r="D5122" s="17" t="s">
        <v>16173</v>
      </c>
    </row>
    <row r="5123">
      <c r="A5123" s="14" t="s">
        <v>6099</v>
      </c>
      <c r="B5123" s="15" t="s">
        <v>16174</v>
      </c>
      <c r="C5123" s="16">
        <v>27989.0</v>
      </c>
      <c r="D5123" s="17" t="s">
        <v>16175</v>
      </c>
    </row>
    <row r="5124">
      <c r="A5124" s="14" t="s">
        <v>358</v>
      </c>
      <c r="B5124" s="15" t="s">
        <v>16176</v>
      </c>
      <c r="C5124" s="16">
        <v>27989.0</v>
      </c>
      <c r="D5124" s="17" t="s">
        <v>16177</v>
      </c>
    </row>
    <row r="5125">
      <c r="A5125" s="14">
        <v>17.0</v>
      </c>
      <c r="B5125" s="15" t="s">
        <v>16178</v>
      </c>
      <c r="C5125" s="16">
        <v>27989.0</v>
      </c>
      <c r="D5125" s="17" t="s">
        <v>16179</v>
      </c>
    </row>
    <row r="5126">
      <c r="A5126" s="14">
        <v>17.0</v>
      </c>
      <c r="B5126" s="15" t="s">
        <v>16180</v>
      </c>
      <c r="C5126" s="16">
        <v>27989.0</v>
      </c>
      <c r="D5126" s="17" t="s">
        <v>16181</v>
      </c>
    </row>
    <row r="5127">
      <c r="A5127" s="14">
        <v>17.0</v>
      </c>
      <c r="B5127" s="15" t="s">
        <v>16182</v>
      </c>
      <c r="C5127" s="16">
        <v>27989.0</v>
      </c>
      <c r="D5127" s="17" t="s">
        <v>16183</v>
      </c>
    </row>
    <row r="5128">
      <c r="A5128" s="14">
        <v>17.0</v>
      </c>
      <c r="B5128" s="15" t="s">
        <v>16184</v>
      </c>
      <c r="C5128" s="16">
        <v>27989.0</v>
      </c>
      <c r="D5128" s="17" t="s">
        <v>16185</v>
      </c>
    </row>
    <row r="5129">
      <c r="A5129" s="14">
        <v>17.0</v>
      </c>
      <c r="B5129" s="15" t="s">
        <v>16186</v>
      </c>
      <c r="C5129" s="16">
        <v>27989.0</v>
      </c>
      <c r="D5129" s="17" t="s">
        <v>16187</v>
      </c>
    </row>
    <row r="5130">
      <c r="A5130" s="14">
        <v>17.0</v>
      </c>
      <c r="B5130" s="15" t="s">
        <v>16188</v>
      </c>
      <c r="C5130" s="16">
        <v>27989.0</v>
      </c>
      <c r="D5130" s="17" t="s">
        <v>16189</v>
      </c>
    </row>
    <row r="5131">
      <c r="A5131" s="14">
        <v>17.0</v>
      </c>
      <c r="B5131" s="15" t="s">
        <v>16190</v>
      </c>
      <c r="C5131" s="16">
        <v>27989.0</v>
      </c>
      <c r="D5131" s="17" t="s">
        <v>16191</v>
      </c>
    </row>
    <row r="5132">
      <c r="A5132" s="14" t="s">
        <v>6087</v>
      </c>
      <c r="B5132" s="15" t="s">
        <v>16192</v>
      </c>
      <c r="C5132" s="16">
        <v>27990.0</v>
      </c>
      <c r="D5132" s="17" t="s">
        <v>16193</v>
      </c>
    </row>
    <row r="5133">
      <c r="A5133" s="14">
        <v>18.0</v>
      </c>
      <c r="B5133" s="15" t="s">
        <v>16194</v>
      </c>
      <c r="C5133" s="16">
        <v>27990.0</v>
      </c>
      <c r="D5133" s="17" t="s">
        <v>16195</v>
      </c>
    </row>
    <row r="5134">
      <c r="A5134" s="14">
        <v>18.0</v>
      </c>
      <c r="B5134" s="15" t="s">
        <v>16196</v>
      </c>
      <c r="C5134" s="16">
        <v>27990.0</v>
      </c>
      <c r="D5134" s="17" t="s">
        <v>16197</v>
      </c>
    </row>
    <row r="5135">
      <c r="A5135" s="14" t="s">
        <v>6087</v>
      </c>
      <c r="B5135" s="15" t="s">
        <v>16198</v>
      </c>
      <c r="C5135" s="16">
        <v>27991.0</v>
      </c>
      <c r="D5135" s="17" t="s">
        <v>16199</v>
      </c>
    </row>
    <row r="5136">
      <c r="A5136" s="14">
        <v>19.0</v>
      </c>
      <c r="B5136" s="15" t="s">
        <v>16200</v>
      </c>
      <c r="C5136" s="16">
        <v>27991.0</v>
      </c>
      <c r="D5136" s="17" t="s">
        <v>16201</v>
      </c>
    </row>
    <row r="5137">
      <c r="A5137" s="14">
        <v>19.0</v>
      </c>
      <c r="B5137" s="15" t="s">
        <v>16202</v>
      </c>
      <c r="C5137" s="16">
        <v>27991.0</v>
      </c>
      <c r="D5137" s="17" t="s">
        <v>16203</v>
      </c>
    </row>
    <row r="5138">
      <c r="A5138" s="14">
        <v>19.0</v>
      </c>
      <c r="B5138" s="15" t="s">
        <v>16204</v>
      </c>
      <c r="C5138" s="16">
        <v>27991.0</v>
      </c>
      <c r="D5138" s="17" t="s">
        <v>16205</v>
      </c>
    </row>
    <row r="5139">
      <c r="A5139" s="14">
        <v>19.0</v>
      </c>
      <c r="B5139" s="15" t="s">
        <v>16206</v>
      </c>
      <c r="C5139" s="16">
        <v>27991.0</v>
      </c>
      <c r="D5139" s="17" t="s">
        <v>16207</v>
      </c>
    </row>
    <row r="5140">
      <c r="A5140" s="14">
        <v>20.0</v>
      </c>
      <c r="B5140" s="15" t="s">
        <v>16208</v>
      </c>
      <c r="C5140" s="16">
        <v>27992.0</v>
      </c>
      <c r="D5140" s="17" t="s">
        <v>16209</v>
      </c>
    </row>
    <row r="5141">
      <c r="A5141" s="14">
        <v>21.0</v>
      </c>
      <c r="B5141" s="15" t="s">
        <v>16210</v>
      </c>
      <c r="C5141" s="16">
        <v>27993.0</v>
      </c>
      <c r="D5141" s="17" t="s">
        <v>16211</v>
      </c>
    </row>
    <row r="5142">
      <c r="A5142" s="14">
        <v>21.0</v>
      </c>
      <c r="B5142" s="15" t="s">
        <v>16212</v>
      </c>
      <c r="C5142" s="16">
        <v>27993.0</v>
      </c>
      <c r="D5142" s="17" t="s">
        <v>16213</v>
      </c>
    </row>
    <row r="5143">
      <c r="A5143" s="14" t="s">
        <v>6074</v>
      </c>
      <c r="B5143" s="15" t="s">
        <v>16214</v>
      </c>
      <c r="C5143" s="16">
        <v>27994.0</v>
      </c>
      <c r="D5143" s="17" t="s">
        <v>16215</v>
      </c>
    </row>
    <row r="5144">
      <c r="A5144" s="14" t="s">
        <v>6353</v>
      </c>
      <c r="B5144" s="15" t="s">
        <v>16216</v>
      </c>
      <c r="C5144" s="16">
        <v>27994.0</v>
      </c>
      <c r="D5144" s="17" t="s">
        <v>16217</v>
      </c>
    </row>
    <row r="5145">
      <c r="A5145" s="14" t="s">
        <v>6353</v>
      </c>
      <c r="B5145" s="15" t="s">
        <v>16218</v>
      </c>
      <c r="C5145" s="16">
        <v>27994.0</v>
      </c>
      <c r="D5145" s="17" t="s">
        <v>16219</v>
      </c>
    </row>
    <row r="5146">
      <c r="A5146" s="14" t="s">
        <v>6353</v>
      </c>
      <c r="B5146" s="15" t="s">
        <v>16220</v>
      </c>
      <c r="C5146" s="16">
        <v>27994.0</v>
      </c>
      <c r="D5146" s="17" t="s">
        <v>16221</v>
      </c>
    </row>
    <row r="5147">
      <c r="A5147" s="14">
        <v>22.0</v>
      </c>
      <c r="B5147" s="15" t="s">
        <v>16222</v>
      </c>
      <c r="C5147" s="16">
        <v>27994.0</v>
      </c>
      <c r="D5147" s="17" t="s">
        <v>16223</v>
      </c>
    </row>
    <row r="5148">
      <c r="A5148" s="14">
        <v>22.0</v>
      </c>
      <c r="B5148" s="15" t="s">
        <v>16224</v>
      </c>
      <c r="C5148" s="16">
        <v>27994.0</v>
      </c>
      <c r="D5148" s="17" t="s">
        <v>16225</v>
      </c>
    </row>
    <row r="5149">
      <c r="A5149" s="14">
        <v>22.0</v>
      </c>
      <c r="B5149" s="15" t="s">
        <v>16226</v>
      </c>
      <c r="C5149" s="16">
        <v>27994.0</v>
      </c>
      <c r="D5149" s="17" t="s">
        <v>16227</v>
      </c>
    </row>
    <row r="5150">
      <c r="A5150" s="14">
        <v>22.0</v>
      </c>
      <c r="B5150" s="15" t="s">
        <v>16228</v>
      </c>
      <c r="C5150" s="16">
        <v>27994.0</v>
      </c>
      <c r="D5150" s="17" t="s">
        <v>16229</v>
      </c>
    </row>
    <row r="5151">
      <c r="A5151" s="14">
        <v>22.0</v>
      </c>
      <c r="B5151" s="15" t="s">
        <v>16230</v>
      </c>
      <c r="C5151" s="16">
        <v>27994.0</v>
      </c>
      <c r="D5151" s="17" t="s">
        <v>16231</v>
      </c>
    </row>
    <row r="5152">
      <c r="A5152" s="14">
        <v>22.0</v>
      </c>
      <c r="B5152" s="15" t="s">
        <v>16232</v>
      </c>
      <c r="C5152" s="16">
        <v>27994.0</v>
      </c>
      <c r="D5152" s="17" t="s">
        <v>16233</v>
      </c>
    </row>
    <row r="5153">
      <c r="A5153" s="14">
        <v>22.0</v>
      </c>
      <c r="B5153" s="15" t="s">
        <v>16234</v>
      </c>
      <c r="C5153" s="16">
        <v>27994.0</v>
      </c>
      <c r="D5153" s="17" t="s">
        <v>16235</v>
      </c>
    </row>
    <row r="5154">
      <c r="A5154" s="14">
        <v>22.0</v>
      </c>
      <c r="B5154" s="15" t="s">
        <v>16236</v>
      </c>
      <c r="C5154" s="16">
        <v>27994.0</v>
      </c>
      <c r="D5154" s="17" t="s">
        <v>16237</v>
      </c>
    </row>
    <row r="5155">
      <c r="A5155" s="14">
        <v>22.0</v>
      </c>
      <c r="B5155" s="15" t="s">
        <v>16238</v>
      </c>
      <c r="C5155" s="16">
        <v>27994.0</v>
      </c>
      <c r="D5155" s="17" t="s">
        <v>16239</v>
      </c>
    </row>
    <row r="5156">
      <c r="A5156" s="14">
        <v>23.0</v>
      </c>
      <c r="B5156" s="15" t="s">
        <v>16240</v>
      </c>
      <c r="C5156" s="16">
        <v>27995.0</v>
      </c>
      <c r="D5156" s="17" t="s">
        <v>16241</v>
      </c>
    </row>
    <row r="5157">
      <c r="A5157" s="14" t="s">
        <v>6353</v>
      </c>
      <c r="B5157" s="15" t="s">
        <v>16242</v>
      </c>
      <c r="C5157" s="16">
        <v>27996.0</v>
      </c>
      <c r="D5157" s="17" t="s">
        <v>16243</v>
      </c>
    </row>
    <row r="5158">
      <c r="A5158" s="14">
        <v>24.0</v>
      </c>
      <c r="B5158" s="15" t="s">
        <v>16244</v>
      </c>
      <c r="C5158" s="16">
        <v>27996.0</v>
      </c>
      <c r="D5158" s="17" t="s">
        <v>16245</v>
      </c>
    </row>
    <row r="5159">
      <c r="A5159" s="14">
        <v>24.0</v>
      </c>
      <c r="B5159" s="15" t="s">
        <v>16246</v>
      </c>
      <c r="C5159" s="16">
        <v>27996.0</v>
      </c>
      <c r="D5159" s="17" t="s">
        <v>16247</v>
      </c>
    </row>
    <row r="5160">
      <c r="A5160" s="14">
        <v>24.0</v>
      </c>
      <c r="B5160" s="15" t="s">
        <v>16248</v>
      </c>
      <c r="C5160" s="16">
        <v>27996.0</v>
      </c>
      <c r="D5160" s="17" t="s">
        <v>16249</v>
      </c>
    </row>
    <row r="5161">
      <c r="A5161" s="14">
        <v>24.0</v>
      </c>
      <c r="B5161" s="15" t="s">
        <v>16250</v>
      </c>
      <c r="C5161" s="16">
        <v>27996.0</v>
      </c>
      <c r="D5161" s="17" t="s">
        <v>16251</v>
      </c>
    </row>
    <row r="5162">
      <c r="A5162" s="14">
        <v>24.0</v>
      </c>
      <c r="B5162" s="15" t="s">
        <v>16252</v>
      </c>
      <c r="C5162" s="16">
        <v>27996.0</v>
      </c>
      <c r="D5162" s="17" t="s">
        <v>16253</v>
      </c>
    </row>
    <row r="5163">
      <c r="A5163" s="14" t="s">
        <v>6353</v>
      </c>
      <c r="B5163" s="15" t="s">
        <v>16254</v>
      </c>
      <c r="C5163" s="16">
        <v>27997.0</v>
      </c>
      <c r="D5163" s="17" t="s">
        <v>16255</v>
      </c>
    </row>
    <row r="5164">
      <c r="A5164" s="14">
        <v>25.0</v>
      </c>
      <c r="B5164" s="15" t="s">
        <v>16256</v>
      </c>
      <c r="C5164" s="16">
        <v>27997.0</v>
      </c>
      <c r="D5164" s="17" t="s">
        <v>16257</v>
      </c>
    </row>
    <row r="5165">
      <c r="A5165" s="14">
        <v>25.0</v>
      </c>
      <c r="B5165" s="15" t="s">
        <v>16258</v>
      </c>
      <c r="C5165" s="16">
        <v>27997.0</v>
      </c>
      <c r="D5165" s="17" t="s">
        <v>16259</v>
      </c>
    </row>
    <row r="5166">
      <c r="A5166" s="14">
        <v>25.0</v>
      </c>
      <c r="B5166" s="15" t="s">
        <v>16260</v>
      </c>
      <c r="C5166" s="16">
        <v>27997.0</v>
      </c>
      <c r="D5166" s="17" t="s">
        <v>16261</v>
      </c>
    </row>
    <row r="5167">
      <c r="A5167" s="14">
        <v>27.0</v>
      </c>
      <c r="B5167" s="15" t="s">
        <v>16262</v>
      </c>
      <c r="C5167" s="16">
        <v>27999.0</v>
      </c>
      <c r="D5167" s="17" t="s">
        <v>16263</v>
      </c>
    </row>
    <row r="5168">
      <c r="A5168" s="14">
        <v>29.0</v>
      </c>
      <c r="B5168" s="15" t="s">
        <v>16264</v>
      </c>
      <c r="C5168" s="16">
        <v>28001.0</v>
      </c>
      <c r="D5168" s="17" t="s">
        <v>16265</v>
      </c>
    </row>
    <row r="5169">
      <c r="A5169" s="14">
        <v>29.0</v>
      </c>
      <c r="B5169" s="15" t="s">
        <v>16266</v>
      </c>
      <c r="C5169" s="16">
        <v>28001.0</v>
      </c>
      <c r="D5169" s="17" t="s">
        <v>16267</v>
      </c>
    </row>
    <row r="5170">
      <c r="A5170" s="14">
        <v>30.0</v>
      </c>
      <c r="B5170" s="15" t="s">
        <v>16268</v>
      </c>
      <c r="C5170" s="16">
        <v>28002.0</v>
      </c>
      <c r="D5170" s="17" t="s">
        <v>16269</v>
      </c>
    </row>
    <row r="5171">
      <c r="A5171" s="14">
        <v>31.0</v>
      </c>
      <c r="B5171" s="15" t="s">
        <v>16270</v>
      </c>
      <c r="C5171" s="16">
        <v>28003.0</v>
      </c>
      <c r="D5171" s="17" t="s">
        <v>16271</v>
      </c>
    </row>
    <row r="5172">
      <c r="A5172" s="14">
        <v>31.0</v>
      </c>
      <c r="B5172" s="15" t="s">
        <v>16272</v>
      </c>
      <c r="C5172" s="16">
        <v>28003.0</v>
      </c>
      <c r="D5172" s="17" t="s">
        <v>16273</v>
      </c>
    </row>
    <row r="5173">
      <c r="A5173" s="14">
        <v>31.0</v>
      </c>
      <c r="B5173" s="15" t="s">
        <v>16274</v>
      </c>
      <c r="C5173" s="16">
        <v>28003.0</v>
      </c>
      <c r="D5173" s="17" t="s">
        <v>16275</v>
      </c>
    </row>
    <row r="5174">
      <c r="A5174" s="14">
        <v>1.0</v>
      </c>
      <c r="B5174" s="15" t="s">
        <v>16276</v>
      </c>
      <c r="C5174" s="16">
        <v>28004.0</v>
      </c>
      <c r="D5174" s="17" t="s">
        <v>16277</v>
      </c>
    </row>
    <row r="5175">
      <c r="A5175" s="14">
        <v>2.0</v>
      </c>
      <c r="B5175" s="15" t="s">
        <v>16278</v>
      </c>
      <c r="C5175" s="16">
        <v>28005.0</v>
      </c>
      <c r="D5175" s="17" t="s">
        <v>16279</v>
      </c>
    </row>
    <row r="5176">
      <c r="A5176" s="14" t="s">
        <v>6753</v>
      </c>
      <c r="B5176" s="15" t="s">
        <v>16280</v>
      </c>
      <c r="C5176" s="16">
        <v>28006.0</v>
      </c>
      <c r="D5176" s="17" t="s">
        <v>16281</v>
      </c>
    </row>
    <row r="5177">
      <c r="A5177" s="14">
        <v>3.0</v>
      </c>
      <c r="B5177" s="15" t="s">
        <v>16282</v>
      </c>
      <c r="C5177" s="16">
        <v>28006.0</v>
      </c>
      <c r="D5177" s="17" t="s">
        <v>16283</v>
      </c>
    </row>
    <row r="5178">
      <c r="A5178" s="14">
        <v>3.0</v>
      </c>
      <c r="B5178" s="15" t="s">
        <v>16284</v>
      </c>
      <c r="C5178" s="16">
        <v>28006.0</v>
      </c>
      <c r="D5178" s="17" t="s">
        <v>16285</v>
      </c>
    </row>
    <row r="5179">
      <c r="A5179" s="14">
        <v>3.0</v>
      </c>
      <c r="B5179" s="15" t="s">
        <v>16286</v>
      </c>
      <c r="C5179" s="16">
        <v>28006.0</v>
      </c>
      <c r="D5179" s="17" t="s">
        <v>16287</v>
      </c>
    </row>
    <row r="5180">
      <c r="A5180" s="14">
        <v>3.0</v>
      </c>
      <c r="B5180" s="15" t="s">
        <v>16288</v>
      </c>
      <c r="C5180" s="16">
        <v>28006.0</v>
      </c>
      <c r="D5180" s="17" t="s">
        <v>16289</v>
      </c>
    </row>
    <row r="5181">
      <c r="A5181" s="14" t="s">
        <v>6353</v>
      </c>
      <c r="B5181" s="15" t="s">
        <v>16290</v>
      </c>
      <c r="C5181" s="16">
        <v>28007.0</v>
      </c>
      <c r="D5181" s="17" t="s">
        <v>16291</v>
      </c>
    </row>
    <row r="5182">
      <c r="A5182" s="14" t="s">
        <v>5932</v>
      </c>
      <c r="B5182" s="15" t="s">
        <v>16292</v>
      </c>
      <c r="C5182" s="16">
        <v>28007.0</v>
      </c>
      <c r="D5182" s="17" t="s">
        <v>16293</v>
      </c>
    </row>
    <row r="5183">
      <c r="A5183" s="14">
        <v>4.0</v>
      </c>
      <c r="B5183" s="15" t="s">
        <v>16294</v>
      </c>
      <c r="C5183" s="16">
        <v>28007.0</v>
      </c>
      <c r="D5183" s="17" t="s">
        <v>16295</v>
      </c>
    </row>
    <row r="5184">
      <c r="A5184" s="14">
        <v>4.0</v>
      </c>
      <c r="B5184" s="15" t="s">
        <v>16296</v>
      </c>
      <c r="C5184" s="16">
        <v>28007.0</v>
      </c>
      <c r="D5184" s="17" t="s">
        <v>16297</v>
      </c>
    </row>
    <row r="5185">
      <c r="A5185" s="14">
        <v>4.0</v>
      </c>
      <c r="B5185" s="15" t="s">
        <v>16298</v>
      </c>
      <c r="C5185" s="16">
        <v>28007.0</v>
      </c>
      <c r="D5185" s="17" t="s">
        <v>16299</v>
      </c>
    </row>
    <row r="5186">
      <c r="A5186" s="14">
        <v>4.0</v>
      </c>
      <c r="B5186" s="15" t="s">
        <v>16300</v>
      </c>
      <c r="C5186" s="16">
        <v>28007.0</v>
      </c>
      <c r="D5186" s="17" t="s">
        <v>16301</v>
      </c>
    </row>
    <row r="5187">
      <c r="A5187" s="14" t="s">
        <v>5932</v>
      </c>
      <c r="B5187" s="15" t="s">
        <v>16302</v>
      </c>
      <c r="C5187" s="16">
        <v>28008.0</v>
      </c>
      <c r="D5187" s="17" t="s">
        <v>16303</v>
      </c>
    </row>
    <row r="5188">
      <c r="A5188" s="14">
        <v>5.0</v>
      </c>
      <c r="B5188" s="15" t="s">
        <v>16304</v>
      </c>
      <c r="C5188" s="16">
        <v>28008.0</v>
      </c>
      <c r="D5188" s="17" t="s">
        <v>16305</v>
      </c>
    </row>
    <row r="5189">
      <c r="A5189" s="14">
        <v>5.0</v>
      </c>
      <c r="B5189" s="15" t="s">
        <v>16306</v>
      </c>
      <c r="C5189" s="16">
        <v>28008.0</v>
      </c>
      <c r="D5189" s="17" t="s">
        <v>16307</v>
      </c>
    </row>
    <row r="5190">
      <c r="A5190" s="14">
        <v>5.0</v>
      </c>
      <c r="B5190" s="15" t="s">
        <v>16308</v>
      </c>
      <c r="C5190" s="16">
        <v>28008.0</v>
      </c>
      <c r="D5190" s="17" t="s">
        <v>16309</v>
      </c>
    </row>
    <row r="5191">
      <c r="A5191" s="14" t="s">
        <v>5932</v>
      </c>
      <c r="B5191" s="15" t="s">
        <v>16310</v>
      </c>
      <c r="C5191" s="16">
        <v>28009.0</v>
      </c>
      <c r="D5191" s="17" t="s">
        <v>16311</v>
      </c>
    </row>
    <row r="5192">
      <c r="A5192" s="14">
        <v>6.0</v>
      </c>
      <c r="B5192" s="15" t="s">
        <v>16312</v>
      </c>
      <c r="C5192" s="16">
        <v>28009.0</v>
      </c>
      <c r="D5192" s="17" t="s">
        <v>16313</v>
      </c>
    </row>
    <row r="5193">
      <c r="A5193" s="14">
        <v>6.0</v>
      </c>
      <c r="B5193" s="15" t="s">
        <v>16314</v>
      </c>
      <c r="C5193" s="16">
        <v>28009.0</v>
      </c>
      <c r="D5193" s="17" t="s">
        <v>16315</v>
      </c>
    </row>
    <row r="5194">
      <c r="A5194" s="14">
        <v>6.0</v>
      </c>
      <c r="B5194" s="15" t="s">
        <v>16316</v>
      </c>
      <c r="C5194" s="16">
        <v>28009.0</v>
      </c>
      <c r="D5194" s="17" t="s">
        <v>16317</v>
      </c>
    </row>
    <row r="5195">
      <c r="A5195" s="14">
        <v>6.0</v>
      </c>
      <c r="B5195" s="15" t="s">
        <v>16318</v>
      </c>
      <c r="C5195" s="16">
        <v>28009.0</v>
      </c>
      <c r="D5195" s="17" t="s">
        <v>16319</v>
      </c>
    </row>
    <row r="5196">
      <c r="A5196" s="14" t="s">
        <v>6353</v>
      </c>
      <c r="B5196" s="15" t="s">
        <v>16320</v>
      </c>
      <c r="C5196" s="16">
        <v>28010.0</v>
      </c>
      <c r="D5196" s="17" t="s">
        <v>16321</v>
      </c>
    </row>
    <row r="5197">
      <c r="A5197" s="14" t="s">
        <v>5932</v>
      </c>
      <c r="B5197" s="15" t="s">
        <v>16322</v>
      </c>
      <c r="C5197" s="16">
        <v>28010.0</v>
      </c>
      <c r="D5197" s="17" t="s">
        <v>16323</v>
      </c>
    </row>
    <row r="5198">
      <c r="A5198" s="14">
        <v>7.0</v>
      </c>
      <c r="B5198" s="15" t="s">
        <v>16324</v>
      </c>
      <c r="C5198" s="16">
        <v>28010.0</v>
      </c>
      <c r="D5198" s="17" t="s">
        <v>16325</v>
      </c>
    </row>
    <row r="5199">
      <c r="A5199" s="14">
        <v>7.0</v>
      </c>
      <c r="B5199" s="15" t="s">
        <v>16326</v>
      </c>
      <c r="C5199" s="16">
        <v>28010.0</v>
      </c>
      <c r="D5199" s="17" t="s">
        <v>16327</v>
      </c>
    </row>
    <row r="5200">
      <c r="A5200" s="14">
        <v>7.0</v>
      </c>
      <c r="B5200" s="15" t="s">
        <v>16328</v>
      </c>
      <c r="C5200" s="16">
        <v>28010.0</v>
      </c>
      <c r="D5200" s="17" t="s">
        <v>16329</v>
      </c>
    </row>
    <row r="5201">
      <c r="A5201" s="14">
        <v>7.0</v>
      </c>
      <c r="B5201" s="15" t="s">
        <v>16330</v>
      </c>
      <c r="C5201" s="16">
        <v>28010.0</v>
      </c>
      <c r="D5201" s="17" t="s">
        <v>16331</v>
      </c>
    </row>
    <row r="5202">
      <c r="A5202" s="14">
        <v>7.0</v>
      </c>
      <c r="B5202" s="15" t="s">
        <v>16332</v>
      </c>
      <c r="C5202" s="16">
        <v>28010.0</v>
      </c>
      <c r="D5202" s="17" t="s">
        <v>16333</v>
      </c>
    </row>
    <row r="5203">
      <c r="A5203" s="14">
        <v>7.0</v>
      </c>
      <c r="B5203" s="15" t="s">
        <v>16334</v>
      </c>
      <c r="C5203" s="16">
        <v>28010.0</v>
      </c>
      <c r="D5203" s="17" t="s">
        <v>16335</v>
      </c>
    </row>
    <row r="5204">
      <c r="A5204" s="14">
        <v>8.0</v>
      </c>
      <c r="B5204" s="15" t="s">
        <v>16336</v>
      </c>
      <c r="C5204" s="16">
        <v>28011.0</v>
      </c>
      <c r="D5204" s="17" t="s">
        <v>16337</v>
      </c>
    </row>
    <row r="5205">
      <c r="A5205" s="14" t="s">
        <v>6353</v>
      </c>
      <c r="B5205" s="15" t="s">
        <v>16338</v>
      </c>
      <c r="C5205" s="16">
        <v>28012.0</v>
      </c>
      <c r="D5205" s="17" t="s">
        <v>16339</v>
      </c>
    </row>
    <row r="5206">
      <c r="A5206" s="14" t="s">
        <v>6353</v>
      </c>
      <c r="B5206" s="15" t="s">
        <v>16340</v>
      </c>
      <c r="C5206" s="16">
        <v>28012.0</v>
      </c>
      <c r="D5206" s="17" t="s">
        <v>16341</v>
      </c>
    </row>
    <row r="5207">
      <c r="A5207" s="14" t="s">
        <v>5932</v>
      </c>
      <c r="B5207" s="15" t="s">
        <v>16342</v>
      </c>
      <c r="C5207" s="16">
        <v>28012.0</v>
      </c>
      <c r="D5207" s="17" t="s">
        <v>16343</v>
      </c>
    </row>
    <row r="5208">
      <c r="A5208" s="14">
        <v>9.0</v>
      </c>
      <c r="B5208" s="15" t="s">
        <v>16344</v>
      </c>
      <c r="C5208" s="16">
        <v>28012.0</v>
      </c>
      <c r="D5208" s="17" t="s">
        <v>16345</v>
      </c>
    </row>
    <row r="5209">
      <c r="A5209" s="14">
        <v>9.0</v>
      </c>
      <c r="B5209" s="15" t="s">
        <v>16346</v>
      </c>
      <c r="C5209" s="16">
        <v>28012.0</v>
      </c>
      <c r="D5209" s="17" t="s">
        <v>16347</v>
      </c>
    </row>
    <row r="5210">
      <c r="A5210" s="14">
        <v>9.0</v>
      </c>
      <c r="B5210" s="15" t="s">
        <v>16348</v>
      </c>
      <c r="C5210" s="16">
        <v>28012.0</v>
      </c>
      <c r="D5210" s="17" t="s">
        <v>16349</v>
      </c>
    </row>
    <row r="5211">
      <c r="A5211" s="14">
        <v>9.0</v>
      </c>
      <c r="B5211" s="15" t="s">
        <v>16350</v>
      </c>
      <c r="C5211" s="16">
        <v>28012.0</v>
      </c>
      <c r="D5211" s="17" t="s">
        <v>16351</v>
      </c>
    </row>
    <row r="5212">
      <c r="A5212" s="14">
        <v>9.0</v>
      </c>
      <c r="B5212" s="15" t="s">
        <v>16352</v>
      </c>
      <c r="C5212" s="16">
        <v>28012.0</v>
      </c>
      <c r="D5212" s="17" t="s">
        <v>16353</v>
      </c>
    </row>
    <row r="5213">
      <c r="A5213" s="14">
        <v>9.0</v>
      </c>
      <c r="B5213" s="15" t="s">
        <v>16354</v>
      </c>
      <c r="C5213" s="16">
        <v>28012.0</v>
      </c>
      <c r="D5213" s="17" t="s">
        <v>16355</v>
      </c>
    </row>
    <row r="5214">
      <c r="A5214" s="14" t="s">
        <v>5932</v>
      </c>
      <c r="B5214" s="15" t="s">
        <v>16356</v>
      </c>
      <c r="C5214" s="16">
        <v>28013.0</v>
      </c>
      <c r="D5214" s="17" t="s">
        <v>16357</v>
      </c>
    </row>
    <row r="5215">
      <c r="A5215" s="14">
        <v>10.0</v>
      </c>
      <c r="B5215" s="15" t="s">
        <v>16358</v>
      </c>
      <c r="C5215" s="16">
        <v>28013.0</v>
      </c>
      <c r="D5215" s="17" t="s">
        <v>16359</v>
      </c>
    </row>
    <row r="5216">
      <c r="A5216" s="14">
        <v>10.0</v>
      </c>
      <c r="B5216" s="15" t="s">
        <v>16360</v>
      </c>
      <c r="C5216" s="16">
        <v>28013.0</v>
      </c>
      <c r="D5216" s="17" t="s">
        <v>16361</v>
      </c>
    </row>
    <row r="5217">
      <c r="A5217" s="14" t="s">
        <v>5932</v>
      </c>
      <c r="B5217" s="15" t="s">
        <v>16362</v>
      </c>
      <c r="C5217" s="16">
        <v>28014.0</v>
      </c>
      <c r="D5217" s="17" t="s">
        <v>16363</v>
      </c>
    </row>
    <row r="5218">
      <c r="A5218" s="14">
        <v>11.0</v>
      </c>
      <c r="B5218" s="15" t="s">
        <v>16364</v>
      </c>
      <c r="C5218" s="16">
        <v>28014.0</v>
      </c>
      <c r="D5218" s="17" t="s">
        <v>16365</v>
      </c>
    </row>
    <row r="5219">
      <c r="A5219" s="14">
        <v>11.0</v>
      </c>
      <c r="B5219" s="15" t="s">
        <v>16366</v>
      </c>
      <c r="C5219" s="16">
        <v>28014.0</v>
      </c>
      <c r="D5219" s="17" t="s">
        <v>16367</v>
      </c>
    </row>
    <row r="5220">
      <c r="A5220" s="14">
        <v>11.0</v>
      </c>
      <c r="B5220" s="15" t="s">
        <v>16368</v>
      </c>
      <c r="C5220" s="16">
        <v>28014.0</v>
      </c>
      <c r="D5220" s="17" t="s">
        <v>16369</v>
      </c>
    </row>
    <row r="5221">
      <c r="A5221" s="14">
        <v>11.0</v>
      </c>
      <c r="B5221" s="15" t="s">
        <v>16370</v>
      </c>
      <c r="C5221" s="16">
        <v>28014.0</v>
      </c>
      <c r="D5221" s="17" t="s">
        <v>16371</v>
      </c>
    </row>
    <row r="5222">
      <c r="A5222" s="14" t="s">
        <v>5932</v>
      </c>
      <c r="B5222" s="15" t="s">
        <v>16372</v>
      </c>
      <c r="C5222" s="16">
        <v>28015.0</v>
      </c>
      <c r="D5222" s="17" t="s">
        <v>16373</v>
      </c>
    </row>
    <row r="5223">
      <c r="A5223" s="14">
        <v>12.0</v>
      </c>
      <c r="B5223" s="15" t="s">
        <v>16374</v>
      </c>
      <c r="C5223" s="16">
        <v>28015.0</v>
      </c>
      <c r="D5223" s="17" t="s">
        <v>16375</v>
      </c>
    </row>
    <row r="5224">
      <c r="A5224" s="14">
        <v>12.0</v>
      </c>
      <c r="B5224" s="15" t="s">
        <v>16376</v>
      </c>
      <c r="C5224" s="16">
        <v>28015.0</v>
      </c>
      <c r="D5224" s="17" t="s">
        <v>16377</v>
      </c>
    </row>
    <row r="5225">
      <c r="A5225" s="14">
        <v>12.0</v>
      </c>
      <c r="B5225" s="15" t="s">
        <v>16378</v>
      </c>
      <c r="C5225" s="16">
        <v>28015.0</v>
      </c>
      <c r="D5225" s="17" t="s">
        <v>16379</v>
      </c>
    </row>
    <row r="5226">
      <c r="A5226" s="14" t="s">
        <v>5932</v>
      </c>
      <c r="B5226" s="15" t="s">
        <v>16380</v>
      </c>
      <c r="C5226" s="16">
        <v>28016.0</v>
      </c>
      <c r="D5226" s="17" t="s">
        <v>16381</v>
      </c>
    </row>
    <row r="5227">
      <c r="A5227" s="14">
        <v>13.0</v>
      </c>
      <c r="B5227" s="15" t="s">
        <v>16382</v>
      </c>
      <c r="C5227" s="16">
        <v>28016.0</v>
      </c>
      <c r="D5227" s="17" t="s">
        <v>16383</v>
      </c>
    </row>
    <row r="5228">
      <c r="A5228" s="14">
        <v>13.0</v>
      </c>
      <c r="B5228" s="15" t="s">
        <v>16384</v>
      </c>
      <c r="C5228" s="16">
        <v>28016.0</v>
      </c>
      <c r="D5228" s="17" t="s">
        <v>16385</v>
      </c>
    </row>
    <row r="5229">
      <c r="A5229" s="14">
        <v>13.0</v>
      </c>
      <c r="B5229" s="15" t="s">
        <v>16386</v>
      </c>
      <c r="C5229" s="16">
        <v>28016.0</v>
      </c>
      <c r="D5229" s="17" t="s">
        <v>16387</v>
      </c>
    </row>
    <row r="5230">
      <c r="A5230" s="14">
        <v>14.0</v>
      </c>
      <c r="B5230" s="15" t="s">
        <v>16388</v>
      </c>
      <c r="C5230" s="16">
        <v>28017.0</v>
      </c>
      <c r="D5230" s="17" t="s">
        <v>16389</v>
      </c>
    </row>
    <row r="5231">
      <c r="A5231" s="14" t="s">
        <v>5932</v>
      </c>
      <c r="B5231" s="15" t="s">
        <v>16390</v>
      </c>
      <c r="C5231" s="16">
        <v>28018.0</v>
      </c>
      <c r="D5231" s="17" t="s">
        <v>16391</v>
      </c>
    </row>
    <row r="5232">
      <c r="A5232" s="14">
        <v>15.0</v>
      </c>
      <c r="B5232" s="15" t="s">
        <v>16392</v>
      </c>
      <c r="C5232" s="16">
        <v>28018.0</v>
      </c>
      <c r="D5232" s="17" t="s">
        <v>16393</v>
      </c>
    </row>
    <row r="5233">
      <c r="A5233" s="14">
        <v>15.0</v>
      </c>
      <c r="B5233" s="15" t="s">
        <v>16394</v>
      </c>
      <c r="C5233" s="16">
        <v>28018.0</v>
      </c>
      <c r="D5233" s="17" t="s">
        <v>16395</v>
      </c>
    </row>
    <row r="5234">
      <c r="A5234" s="14" t="s">
        <v>5932</v>
      </c>
      <c r="B5234" s="15" t="s">
        <v>16396</v>
      </c>
      <c r="C5234" s="16">
        <v>28019.0</v>
      </c>
      <c r="D5234" s="17" t="s">
        <v>16397</v>
      </c>
    </row>
    <row r="5235">
      <c r="A5235" s="14">
        <v>16.0</v>
      </c>
      <c r="B5235" s="15" t="s">
        <v>16398</v>
      </c>
      <c r="C5235" s="16">
        <v>28019.0</v>
      </c>
      <c r="D5235" s="17" t="s">
        <v>16399</v>
      </c>
    </row>
    <row r="5236">
      <c r="A5236" s="14">
        <v>16.0</v>
      </c>
      <c r="B5236" s="15" t="s">
        <v>16400</v>
      </c>
      <c r="C5236" s="16">
        <v>28019.0</v>
      </c>
      <c r="D5236" s="17" t="s">
        <v>16401</v>
      </c>
    </row>
    <row r="5237">
      <c r="A5237" s="14">
        <v>16.0</v>
      </c>
      <c r="B5237" s="15" t="s">
        <v>16402</v>
      </c>
      <c r="C5237" s="16">
        <v>28019.0</v>
      </c>
      <c r="D5237" s="17" t="s">
        <v>16403</v>
      </c>
    </row>
    <row r="5238">
      <c r="A5238" s="14" t="s">
        <v>5932</v>
      </c>
      <c r="B5238" s="15" t="s">
        <v>16404</v>
      </c>
      <c r="C5238" s="16">
        <v>28020.0</v>
      </c>
      <c r="D5238" s="17" t="s">
        <v>16405</v>
      </c>
    </row>
    <row r="5239">
      <c r="A5239" s="14" t="s">
        <v>5932</v>
      </c>
      <c r="B5239" s="15" t="s">
        <v>16406</v>
      </c>
      <c r="C5239" s="16">
        <v>28020.0</v>
      </c>
      <c r="D5239" s="17" t="s">
        <v>16407</v>
      </c>
    </row>
    <row r="5240">
      <c r="A5240" s="14">
        <v>17.0</v>
      </c>
      <c r="B5240" s="15" t="s">
        <v>16408</v>
      </c>
      <c r="C5240" s="16">
        <v>28020.0</v>
      </c>
      <c r="D5240" s="17" t="s">
        <v>16409</v>
      </c>
    </row>
    <row r="5241">
      <c r="A5241" s="14">
        <v>17.0</v>
      </c>
      <c r="B5241" s="15" t="s">
        <v>16410</v>
      </c>
      <c r="C5241" s="16">
        <v>28020.0</v>
      </c>
      <c r="D5241" s="17" t="s">
        <v>16411</v>
      </c>
    </row>
    <row r="5242">
      <c r="A5242" s="14">
        <v>17.0</v>
      </c>
      <c r="B5242" s="15" t="s">
        <v>16412</v>
      </c>
      <c r="C5242" s="16">
        <v>28020.0</v>
      </c>
      <c r="D5242" s="17" t="s">
        <v>16413</v>
      </c>
    </row>
    <row r="5243">
      <c r="A5243" s="14" t="s">
        <v>5932</v>
      </c>
      <c r="B5243" s="15" t="s">
        <v>16414</v>
      </c>
      <c r="C5243" s="16">
        <v>28021.0</v>
      </c>
      <c r="D5243" s="17" t="s">
        <v>16415</v>
      </c>
    </row>
    <row r="5244">
      <c r="A5244" s="14">
        <v>18.0</v>
      </c>
      <c r="B5244" s="15" t="s">
        <v>16416</v>
      </c>
      <c r="C5244" s="16">
        <v>28021.0</v>
      </c>
      <c r="D5244" s="17" t="s">
        <v>16417</v>
      </c>
    </row>
    <row r="5245">
      <c r="A5245" s="14">
        <v>18.0</v>
      </c>
      <c r="B5245" s="15" t="s">
        <v>16418</v>
      </c>
      <c r="C5245" s="16">
        <v>28021.0</v>
      </c>
      <c r="D5245" s="17" t="s">
        <v>16419</v>
      </c>
    </row>
    <row r="5246">
      <c r="A5246" s="14" t="s">
        <v>5932</v>
      </c>
      <c r="B5246" s="15" t="s">
        <v>16420</v>
      </c>
      <c r="C5246" s="16">
        <v>28023.0</v>
      </c>
      <c r="D5246" s="17" t="s">
        <v>16421</v>
      </c>
    </row>
    <row r="5247">
      <c r="A5247" s="14">
        <v>20.0</v>
      </c>
      <c r="B5247" s="15" t="s">
        <v>16422</v>
      </c>
      <c r="C5247" s="16">
        <v>28023.0</v>
      </c>
      <c r="D5247" s="17" t="s">
        <v>16423</v>
      </c>
    </row>
    <row r="5248">
      <c r="A5248" s="14">
        <v>20.0</v>
      </c>
      <c r="B5248" s="15" t="s">
        <v>16424</v>
      </c>
      <c r="C5248" s="16">
        <v>28023.0</v>
      </c>
      <c r="D5248" s="17" t="s">
        <v>16425</v>
      </c>
    </row>
    <row r="5249">
      <c r="A5249" s="14" t="s">
        <v>5932</v>
      </c>
      <c r="B5249" s="15" t="s">
        <v>16426</v>
      </c>
      <c r="C5249" s="16">
        <v>28024.0</v>
      </c>
      <c r="D5249" s="17" t="s">
        <v>16427</v>
      </c>
    </row>
    <row r="5250">
      <c r="A5250" s="14">
        <v>21.0</v>
      </c>
      <c r="B5250" s="15" t="s">
        <v>16428</v>
      </c>
      <c r="C5250" s="16">
        <v>28024.0</v>
      </c>
      <c r="D5250" s="17" t="s">
        <v>16429</v>
      </c>
    </row>
    <row r="5251">
      <c r="A5251" s="14">
        <v>21.0</v>
      </c>
      <c r="B5251" s="15" t="s">
        <v>16430</v>
      </c>
      <c r="C5251" s="16">
        <v>28024.0</v>
      </c>
      <c r="D5251" s="17" t="s">
        <v>16431</v>
      </c>
    </row>
    <row r="5252">
      <c r="A5252" s="14" t="s">
        <v>5932</v>
      </c>
      <c r="B5252" s="15" t="s">
        <v>16432</v>
      </c>
      <c r="C5252" s="16">
        <v>28025.0</v>
      </c>
      <c r="D5252" s="17" t="s">
        <v>16433</v>
      </c>
    </row>
    <row r="5253">
      <c r="A5253" s="14">
        <v>22.0</v>
      </c>
      <c r="B5253" s="15" t="s">
        <v>16434</v>
      </c>
      <c r="C5253" s="16">
        <v>28025.0</v>
      </c>
      <c r="D5253" s="17" t="s">
        <v>16435</v>
      </c>
    </row>
    <row r="5254">
      <c r="A5254" s="14">
        <v>22.0</v>
      </c>
      <c r="B5254" s="15" t="s">
        <v>16436</v>
      </c>
      <c r="C5254" s="16">
        <v>28025.0</v>
      </c>
      <c r="D5254" s="17" t="s">
        <v>16437</v>
      </c>
    </row>
    <row r="5255">
      <c r="A5255" s="14" t="s">
        <v>5932</v>
      </c>
      <c r="B5255" s="15" t="s">
        <v>16438</v>
      </c>
      <c r="C5255" s="16">
        <v>28026.0</v>
      </c>
      <c r="D5255" s="17" t="s">
        <v>16439</v>
      </c>
    </row>
    <row r="5256">
      <c r="A5256" s="14">
        <v>23.0</v>
      </c>
      <c r="B5256" s="15" t="s">
        <v>16440</v>
      </c>
      <c r="C5256" s="16">
        <v>28026.0</v>
      </c>
      <c r="D5256" s="17" t="s">
        <v>16441</v>
      </c>
    </row>
    <row r="5257">
      <c r="A5257" s="14">
        <v>23.0</v>
      </c>
      <c r="B5257" s="15" t="s">
        <v>16442</v>
      </c>
      <c r="C5257" s="16">
        <v>28026.0</v>
      </c>
      <c r="D5257" s="17" t="s">
        <v>16443</v>
      </c>
    </row>
    <row r="5258">
      <c r="A5258" s="14" t="s">
        <v>5932</v>
      </c>
      <c r="B5258" s="15" t="s">
        <v>16444</v>
      </c>
      <c r="C5258" s="16">
        <v>28027.0</v>
      </c>
      <c r="D5258" s="17" t="s">
        <v>16445</v>
      </c>
    </row>
    <row r="5259">
      <c r="A5259" s="14">
        <v>24.0</v>
      </c>
      <c r="B5259" s="15" t="s">
        <v>16446</v>
      </c>
      <c r="C5259" s="16">
        <v>28027.0</v>
      </c>
      <c r="D5259" s="17" t="s">
        <v>16447</v>
      </c>
    </row>
    <row r="5260">
      <c r="A5260" s="14">
        <v>24.0</v>
      </c>
      <c r="B5260" s="15" t="s">
        <v>16448</v>
      </c>
      <c r="C5260" s="16">
        <v>28027.0</v>
      </c>
      <c r="D5260" s="17" t="s">
        <v>16449</v>
      </c>
    </row>
    <row r="5261">
      <c r="A5261" s="14" t="s">
        <v>5932</v>
      </c>
      <c r="B5261" s="15" t="s">
        <v>16450</v>
      </c>
      <c r="C5261" s="16">
        <v>28028.0</v>
      </c>
      <c r="D5261" s="17" t="s">
        <v>16451</v>
      </c>
    </row>
    <row r="5262">
      <c r="A5262" s="14" t="s">
        <v>5932</v>
      </c>
      <c r="B5262" s="15" t="s">
        <v>16452</v>
      </c>
      <c r="C5262" s="16">
        <v>28028.0</v>
      </c>
      <c r="D5262" s="17" t="s">
        <v>16453</v>
      </c>
    </row>
    <row r="5263">
      <c r="A5263" s="14">
        <v>25.0</v>
      </c>
      <c r="B5263" s="15" t="s">
        <v>16454</v>
      </c>
      <c r="C5263" s="16">
        <v>28028.0</v>
      </c>
      <c r="D5263" s="17" t="s">
        <v>16455</v>
      </c>
    </row>
    <row r="5264">
      <c r="A5264" s="14">
        <v>25.0</v>
      </c>
      <c r="B5264" s="15" t="s">
        <v>16456</v>
      </c>
      <c r="C5264" s="16">
        <v>28028.0</v>
      </c>
      <c r="D5264" s="17" t="s">
        <v>16457</v>
      </c>
    </row>
    <row r="5265">
      <c r="A5265" s="14" t="s">
        <v>5932</v>
      </c>
      <c r="B5265" s="15" t="s">
        <v>16458</v>
      </c>
      <c r="C5265" s="16">
        <v>28029.0</v>
      </c>
      <c r="D5265" s="17" t="s">
        <v>16459</v>
      </c>
    </row>
    <row r="5266">
      <c r="A5266" s="14" t="s">
        <v>5932</v>
      </c>
      <c r="B5266" s="15" t="s">
        <v>16460</v>
      </c>
      <c r="C5266" s="16">
        <v>28029.0</v>
      </c>
      <c r="D5266" s="17" t="s">
        <v>16461</v>
      </c>
    </row>
    <row r="5267">
      <c r="A5267" s="14">
        <v>26.0</v>
      </c>
      <c r="B5267" s="15" t="s">
        <v>16462</v>
      </c>
      <c r="C5267" s="16">
        <v>28029.0</v>
      </c>
      <c r="D5267" s="17" t="s">
        <v>16463</v>
      </c>
    </row>
    <row r="5268">
      <c r="A5268" s="14">
        <v>26.0</v>
      </c>
      <c r="B5268" s="15" t="s">
        <v>16464</v>
      </c>
      <c r="C5268" s="16">
        <v>28029.0</v>
      </c>
      <c r="D5268" s="17" t="s">
        <v>16465</v>
      </c>
    </row>
    <row r="5269">
      <c r="A5269" s="14">
        <v>26.0</v>
      </c>
      <c r="B5269" s="15" t="s">
        <v>16466</v>
      </c>
      <c r="C5269" s="16">
        <v>28029.0</v>
      </c>
      <c r="D5269" s="17" t="s">
        <v>16467</v>
      </c>
    </row>
    <row r="5270">
      <c r="A5270" s="14" t="s">
        <v>5932</v>
      </c>
      <c r="B5270" s="15" t="s">
        <v>16468</v>
      </c>
      <c r="C5270" s="16">
        <v>28030.0</v>
      </c>
      <c r="D5270" s="17" t="s">
        <v>16469</v>
      </c>
    </row>
    <row r="5271">
      <c r="A5271" s="14">
        <v>27.0</v>
      </c>
      <c r="B5271" s="15" t="s">
        <v>16470</v>
      </c>
      <c r="C5271" s="16">
        <v>28030.0</v>
      </c>
      <c r="D5271" s="17" t="s">
        <v>16471</v>
      </c>
    </row>
    <row r="5272">
      <c r="A5272" s="14">
        <v>27.0</v>
      </c>
      <c r="B5272" s="15" t="s">
        <v>16472</v>
      </c>
      <c r="C5272" s="16">
        <v>28030.0</v>
      </c>
      <c r="D5272" s="17" t="s">
        <v>16473</v>
      </c>
    </row>
    <row r="5273">
      <c r="A5273" s="14" t="s">
        <v>5932</v>
      </c>
      <c r="B5273" s="15" t="s">
        <v>16474</v>
      </c>
      <c r="C5273" s="16">
        <v>28031.0</v>
      </c>
      <c r="D5273" s="17" t="s">
        <v>16475</v>
      </c>
    </row>
    <row r="5274">
      <c r="A5274" s="14">
        <v>28.0</v>
      </c>
      <c r="B5274" s="15" t="s">
        <v>16476</v>
      </c>
      <c r="C5274" s="16">
        <v>28031.0</v>
      </c>
      <c r="D5274" s="17" t="s">
        <v>16477</v>
      </c>
    </row>
    <row r="5275">
      <c r="A5275" s="14">
        <v>28.0</v>
      </c>
      <c r="B5275" s="15" t="s">
        <v>16478</v>
      </c>
      <c r="C5275" s="16">
        <v>28031.0</v>
      </c>
      <c r="D5275" s="17" t="s">
        <v>16479</v>
      </c>
    </row>
    <row r="5276">
      <c r="A5276" s="14" t="s">
        <v>6353</v>
      </c>
      <c r="B5276" s="15" t="s">
        <v>16480</v>
      </c>
      <c r="C5276" s="16">
        <v>28032.0</v>
      </c>
      <c r="D5276" s="17" t="s">
        <v>16481</v>
      </c>
    </row>
    <row r="5277">
      <c r="A5277" s="14" t="s">
        <v>5932</v>
      </c>
      <c r="B5277" s="15" t="s">
        <v>16482</v>
      </c>
      <c r="C5277" s="16">
        <v>28032.0</v>
      </c>
      <c r="D5277" s="17" t="s">
        <v>16483</v>
      </c>
    </row>
    <row r="5278">
      <c r="A5278" s="14" t="s">
        <v>5932</v>
      </c>
      <c r="B5278" s="15" t="s">
        <v>16484</v>
      </c>
      <c r="C5278" s="16">
        <v>28032.0</v>
      </c>
      <c r="D5278" s="17" t="s">
        <v>16485</v>
      </c>
    </row>
    <row r="5279">
      <c r="A5279" s="14">
        <v>29.0</v>
      </c>
      <c r="B5279" s="15" t="s">
        <v>16486</v>
      </c>
      <c r="C5279" s="16">
        <v>28032.0</v>
      </c>
      <c r="D5279" s="17" t="s">
        <v>16487</v>
      </c>
    </row>
    <row r="5280">
      <c r="A5280" s="14">
        <v>29.0</v>
      </c>
      <c r="B5280" s="15" t="s">
        <v>16488</v>
      </c>
      <c r="C5280" s="16">
        <v>28032.0</v>
      </c>
      <c r="D5280" s="17" t="s">
        <v>16489</v>
      </c>
    </row>
    <row r="5281">
      <c r="A5281" s="14">
        <v>29.0</v>
      </c>
      <c r="B5281" s="15" t="s">
        <v>16490</v>
      </c>
      <c r="C5281" s="16">
        <v>28032.0</v>
      </c>
      <c r="D5281" s="17" t="s">
        <v>16491</v>
      </c>
    </row>
    <row r="5282">
      <c r="A5282" s="14">
        <v>29.0</v>
      </c>
      <c r="B5282" s="15" t="s">
        <v>16492</v>
      </c>
      <c r="C5282" s="16">
        <v>28032.0</v>
      </c>
      <c r="D5282" s="17" t="s">
        <v>16493</v>
      </c>
    </row>
    <row r="5283">
      <c r="A5283" s="14" t="s">
        <v>5932</v>
      </c>
      <c r="B5283" s="15" t="s">
        <v>16494</v>
      </c>
      <c r="C5283" s="16">
        <v>28033.0</v>
      </c>
      <c r="D5283" s="17" t="s">
        <v>16495</v>
      </c>
    </row>
    <row r="5284">
      <c r="A5284" s="14" t="s">
        <v>5932</v>
      </c>
      <c r="B5284" s="15" t="s">
        <v>16496</v>
      </c>
      <c r="C5284" s="16">
        <v>28033.0</v>
      </c>
      <c r="D5284" s="17" t="s">
        <v>16497</v>
      </c>
    </row>
    <row r="5285">
      <c r="A5285" s="14">
        <v>30.0</v>
      </c>
      <c r="B5285" s="15" t="s">
        <v>16498</v>
      </c>
      <c r="C5285" s="16">
        <v>28033.0</v>
      </c>
      <c r="D5285" s="17" t="s">
        <v>16499</v>
      </c>
    </row>
    <row r="5286">
      <c r="A5286" s="14">
        <v>30.0</v>
      </c>
      <c r="B5286" s="15" t="s">
        <v>16500</v>
      </c>
      <c r="C5286" s="16">
        <v>28033.0</v>
      </c>
      <c r="D5286" s="17" t="s">
        <v>16501</v>
      </c>
    </row>
    <row r="5287">
      <c r="A5287" s="14">
        <v>30.0</v>
      </c>
      <c r="B5287" s="15" t="s">
        <v>16502</v>
      </c>
      <c r="C5287" s="16">
        <v>28033.0</v>
      </c>
      <c r="D5287" s="17" t="s">
        <v>16503</v>
      </c>
    </row>
    <row r="5288">
      <c r="A5288" s="14" t="s">
        <v>5932</v>
      </c>
      <c r="B5288" s="15" t="s">
        <v>16504</v>
      </c>
      <c r="C5288" s="16">
        <v>28034.0</v>
      </c>
      <c r="D5288" s="17" t="s">
        <v>16505</v>
      </c>
    </row>
    <row r="5289">
      <c r="A5289" s="14">
        <v>1.0</v>
      </c>
      <c r="B5289" s="15" t="s">
        <v>16506</v>
      </c>
      <c r="C5289" s="16">
        <v>28034.0</v>
      </c>
      <c r="D5289" s="17" t="s">
        <v>16507</v>
      </c>
    </row>
    <row r="5290">
      <c r="A5290" s="14">
        <v>1.0</v>
      </c>
      <c r="B5290" s="15" t="s">
        <v>16508</v>
      </c>
      <c r="C5290" s="16">
        <v>28034.0</v>
      </c>
      <c r="D5290" s="17" t="s">
        <v>16509</v>
      </c>
    </row>
    <row r="5291">
      <c r="A5291" s="14" t="s">
        <v>5932</v>
      </c>
      <c r="B5291" s="15" t="s">
        <v>16510</v>
      </c>
      <c r="C5291" s="16">
        <v>28035.0</v>
      </c>
      <c r="D5291" s="17" t="s">
        <v>16511</v>
      </c>
    </row>
    <row r="5292">
      <c r="A5292" s="14">
        <v>2.0</v>
      </c>
      <c r="B5292" s="15" t="s">
        <v>16512</v>
      </c>
      <c r="C5292" s="16">
        <v>28035.0</v>
      </c>
      <c r="D5292" s="17" t="s">
        <v>16513</v>
      </c>
    </row>
    <row r="5293">
      <c r="A5293" s="14">
        <v>2.0</v>
      </c>
      <c r="B5293" s="15" t="s">
        <v>16514</v>
      </c>
      <c r="C5293" s="16">
        <v>28035.0</v>
      </c>
      <c r="D5293" s="17" t="s">
        <v>16515</v>
      </c>
    </row>
    <row r="5294">
      <c r="A5294" s="14">
        <v>2.0</v>
      </c>
      <c r="B5294" s="15" t="s">
        <v>16516</v>
      </c>
      <c r="C5294" s="16">
        <v>28035.0</v>
      </c>
      <c r="D5294" s="17" t="s">
        <v>16517</v>
      </c>
    </row>
    <row r="5295">
      <c r="A5295" s="14" t="s">
        <v>5932</v>
      </c>
      <c r="B5295" s="15" t="s">
        <v>16518</v>
      </c>
      <c r="C5295" s="16">
        <v>28036.0</v>
      </c>
      <c r="D5295" s="17" t="s">
        <v>16519</v>
      </c>
    </row>
    <row r="5296">
      <c r="A5296" s="14">
        <v>3.0</v>
      </c>
      <c r="B5296" s="15" t="s">
        <v>16520</v>
      </c>
      <c r="C5296" s="16">
        <v>28036.0</v>
      </c>
      <c r="D5296" s="17" t="s">
        <v>16521</v>
      </c>
    </row>
    <row r="5297">
      <c r="A5297" s="14">
        <v>3.0</v>
      </c>
      <c r="B5297" s="15" t="s">
        <v>16522</v>
      </c>
      <c r="C5297" s="16">
        <v>28036.0</v>
      </c>
      <c r="D5297" s="17" t="s">
        <v>16523</v>
      </c>
    </row>
    <row r="5298">
      <c r="A5298" s="14">
        <v>3.0</v>
      </c>
      <c r="B5298" s="15" t="s">
        <v>16524</v>
      </c>
      <c r="C5298" s="16">
        <v>28036.0</v>
      </c>
      <c r="D5298" s="17" t="s">
        <v>16525</v>
      </c>
    </row>
    <row r="5299">
      <c r="A5299" s="14" t="s">
        <v>5932</v>
      </c>
      <c r="B5299" s="15" t="s">
        <v>16526</v>
      </c>
      <c r="C5299" s="16">
        <v>28037.0</v>
      </c>
      <c r="D5299" s="17" t="s">
        <v>16527</v>
      </c>
    </row>
    <row r="5300">
      <c r="A5300" s="14">
        <v>4.0</v>
      </c>
      <c r="B5300" s="15" t="s">
        <v>16528</v>
      </c>
      <c r="C5300" s="16">
        <v>28037.0</v>
      </c>
      <c r="D5300" s="17" t="s">
        <v>16529</v>
      </c>
    </row>
    <row r="5301">
      <c r="A5301" s="14">
        <v>4.0</v>
      </c>
      <c r="B5301" s="15" t="s">
        <v>16530</v>
      </c>
      <c r="C5301" s="16">
        <v>28037.0</v>
      </c>
      <c r="D5301" s="17" t="s">
        <v>16531</v>
      </c>
    </row>
    <row r="5302">
      <c r="A5302" s="14">
        <v>4.0</v>
      </c>
      <c r="B5302" s="15" t="s">
        <v>16532</v>
      </c>
      <c r="C5302" s="16">
        <v>28037.0</v>
      </c>
      <c r="D5302" s="17" t="s">
        <v>16533</v>
      </c>
    </row>
    <row r="5303">
      <c r="A5303" s="14" t="s">
        <v>5932</v>
      </c>
      <c r="B5303" s="15" t="s">
        <v>16534</v>
      </c>
      <c r="C5303" s="16">
        <v>28038.0</v>
      </c>
      <c r="D5303" s="17" t="s">
        <v>16535</v>
      </c>
    </row>
    <row r="5304">
      <c r="A5304" s="14" t="s">
        <v>5932</v>
      </c>
      <c r="B5304" s="15" t="s">
        <v>16536</v>
      </c>
      <c r="C5304" s="16">
        <v>28038.0</v>
      </c>
      <c r="D5304" s="17" t="s">
        <v>16537</v>
      </c>
    </row>
    <row r="5305">
      <c r="A5305" s="14">
        <v>5.0</v>
      </c>
      <c r="B5305" s="15" t="s">
        <v>16538</v>
      </c>
      <c r="C5305" s="16">
        <v>28038.0</v>
      </c>
      <c r="D5305" s="17" t="s">
        <v>16539</v>
      </c>
    </row>
    <row r="5306">
      <c r="A5306" s="14">
        <v>5.0</v>
      </c>
      <c r="B5306" s="15" t="s">
        <v>16540</v>
      </c>
      <c r="C5306" s="16">
        <v>28038.0</v>
      </c>
      <c r="D5306" s="17" t="s">
        <v>16541</v>
      </c>
    </row>
    <row r="5307">
      <c r="A5307" s="14" t="s">
        <v>5932</v>
      </c>
      <c r="B5307" s="15" t="s">
        <v>16542</v>
      </c>
      <c r="C5307" s="16">
        <v>28039.0</v>
      </c>
      <c r="D5307" s="17" t="s">
        <v>16543</v>
      </c>
    </row>
    <row r="5308">
      <c r="A5308" s="14" t="s">
        <v>5932</v>
      </c>
      <c r="B5308" s="15" t="s">
        <v>16544</v>
      </c>
      <c r="C5308" s="16">
        <v>28039.0</v>
      </c>
      <c r="D5308" s="17" t="s">
        <v>16545</v>
      </c>
    </row>
    <row r="5309">
      <c r="A5309" s="14">
        <v>6.0</v>
      </c>
      <c r="B5309" s="15" t="s">
        <v>16546</v>
      </c>
      <c r="C5309" s="16">
        <v>28039.0</v>
      </c>
      <c r="D5309" s="17" t="s">
        <v>16547</v>
      </c>
    </row>
    <row r="5310">
      <c r="A5310" s="14">
        <v>6.0</v>
      </c>
      <c r="B5310" s="15" t="s">
        <v>16548</v>
      </c>
      <c r="C5310" s="16">
        <v>28039.0</v>
      </c>
      <c r="D5310" s="17" t="s">
        <v>16549</v>
      </c>
    </row>
    <row r="5311">
      <c r="A5311" s="14" t="s">
        <v>5932</v>
      </c>
      <c r="B5311" s="15" t="s">
        <v>16550</v>
      </c>
      <c r="C5311" s="16">
        <v>28040.0</v>
      </c>
      <c r="D5311" s="17" t="s">
        <v>16551</v>
      </c>
    </row>
    <row r="5312">
      <c r="A5312" s="14" t="s">
        <v>5932</v>
      </c>
      <c r="B5312" s="15" t="s">
        <v>16552</v>
      </c>
      <c r="C5312" s="16">
        <v>28040.0</v>
      </c>
      <c r="D5312" s="17" t="s">
        <v>16553</v>
      </c>
    </row>
    <row r="5313">
      <c r="A5313" s="14">
        <v>7.0</v>
      </c>
      <c r="B5313" s="15" t="s">
        <v>16554</v>
      </c>
      <c r="C5313" s="16">
        <v>28040.0</v>
      </c>
      <c r="D5313" s="17" t="s">
        <v>16555</v>
      </c>
    </row>
    <row r="5314">
      <c r="A5314" s="14" t="s">
        <v>5932</v>
      </c>
      <c r="B5314" s="15" t="s">
        <v>16556</v>
      </c>
      <c r="C5314" s="16">
        <v>28041.0</v>
      </c>
      <c r="D5314" s="17" t="s">
        <v>16557</v>
      </c>
    </row>
    <row r="5315">
      <c r="A5315" s="14" t="s">
        <v>5932</v>
      </c>
      <c r="B5315" s="15" t="s">
        <v>16558</v>
      </c>
      <c r="C5315" s="16">
        <v>28041.0</v>
      </c>
      <c r="D5315" s="17" t="s">
        <v>16559</v>
      </c>
    </row>
    <row r="5316">
      <c r="A5316" s="14">
        <v>8.0</v>
      </c>
      <c r="B5316" s="15" t="s">
        <v>16560</v>
      </c>
      <c r="C5316" s="16">
        <v>28041.0</v>
      </c>
      <c r="D5316" s="17" t="s">
        <v>16561</v>
      </c>
    </row>
    <row r="5317">
      <c r="A5317" s="14">
        <v>8.0</v>
      </c>
      <c r="B5317" s="15" t="s">
        <v>16562</v>
      </c>
      <c r="C5317" s="16">
        <v>28041.0</v>
      </c>
      <c r="D5317" s="17" t="s">
        <v>16563</v>
      </c>
    </row>
    <row r="5318">
      <c r="A5318" s="14" t="s">
        <v>6753</v>
      </c>
      <c r="B5318" s="15" t="s">
        <v>16564</v>
      </c>
      <c r="C5318" s="16">
        <v>28042.0</v>
      </c>
      <c r="D5318" s="17" t="s">
        <v>16565</v>
      </c>
    </row>
    <row r="5319">
      <c r="A5319" s="14" t="s">
        <v>5932</v>
      </c>
      <c r="B5319" s="15" t="s">
        <v>16566</v>
      </c>
      <c r="C5319" s="16">
        <v>28042.0</v>
      </c>
      <c r="D5319" s="17" t="s">
        <v>16567</v>
      </c>
    </row>
    <row r="5320">
      <c r="A5320" s="14">
        <v>9.0</v>
      </c>
      <c r="B5320" s="15" t="s">
        <v>16568</v>
      </c>
      <c r="C5320" s="16">
        <v>28042.0</v>
      </c>
      <c r="D5320" s="17" t="s">
        <v>16569</v>
      </c>
    </row>
    <row r="5321">
      <c r="A5321" s="14">
        <v>9.0</v>
      </c>
      <c r="B5321" s="15" t="s">
        <v>16570</v>
      </c>
      <c r="C5321" s="16">
        <v>28042.0</v>
      </c>
      <c r="D5321" s="17" t="s">
        <v>16571</v>
      </c>
    </row>
    <row r="5322">
      <c r="A5322" s="14">
        <v>9.0</v>
      </c>
      <c r="B5322" s="15" t="s">
        <v>16572</v>
      </c>
      <c r="C5322" s="16">
        <v>28042.0</v>
      </c>
      <c r="D5322" s="17" t="s">
        <v>16573</v>
      </c>
    </row>
    <row r="5323">
      <c r="A5323" s="14">
        <v>9.0</v>
      </c>
      <c r="B5323" s="15" t="s">
        <v>16574</v>
      </c>
      <c r="C5323" s="16">
        <v>28042.0</v>
      </c>
      <c r="D5323" s="17" t="s">
        <v>16575</v>
      </c>
    </row>
    <row r="5324">
      <c r="A5324" s="14">
        <v>9.0</v>
      </c>
      <c r="B5324" s="15" t="s">
        <v>16576</v>
      </c>
      <c r="C5324" s="16">
        <v>28042.0</v>
      </c>
      <c r="D5324" s="17" t="s">
        <v>16577</v>
      </c>
    </row>
    <row r="5325">
      <c r="A5325" s="14">
        <v>9.0</v>
      </c>
      <c r="B5325" s="15" t="s">
        <v>16578</v>
      </c>
      <c r="C5325" s="16">
        <v>28042.0</v>
      </c>
      <c r="D5325" s="17" t="s">
        <v>16579</v>
      </c>
    </row>
    <row r="5326">
      <c r="A5326" s="14">
        <v>10.0</v>
      </c>
      <c r="B5326" s="15" t="s">
        <v>16580</v>
      </c>
      <c r="C5326" s="16">
        <v>28043.0</v>
      </c>
      <c r="D5326" s="17" t="s">
        <v>16581</v>
      </c>
    </row>
    <row r="5327">
      <c r="A5327" s="14">
        <v>10.0</v>
      </c>
      <c r="B5327" s="15" t="s">
        <v>16582</v>
      </c>
      <c r="C5327" s="16">
        <v>28043.0</v>
      </c>
      <c r="D5327" s="17" t="s">
        <v>16583</v>
      </c>
    </row>
    <row r="5328">
      <c r="A5328" s="14">
        <v>13.0</v>
      </c>
      <c r="B5328" s="15" t="s">
        <v>16584</v>
      </c>
      <c r="C5328" s="16">
        <v>28046.0</v>
      </c>
      <c r="D5328" s="17" t="s">
        <v>16585</v>
      </c>
    </row>
    <row r="5329">
      <c r="A5329" s="14" t="s">
        <v>6353</v>
      </c>
      <c r="B5329" s="15" t="s">
        <v>16586</v>
      </c>
      <c r="C5329" s="16">
        <v>28047.0</v>
      </c>
      <c r="D5329" s="17" t="s">
        <v>16587</v>
      </c>
    </row>
    <row r="5330">
      <c r="A5330" s="14">
        <v>14.0</v>
      </c>
      <c r="B5330" s="15" t="s">
        <v>16588</v>
      </c>
      <c r="C5330" s="16">
        <v>28047.0</v>
      </c>
      <c r="D5330" s="17" t="s">
        <v>16589</v>
      </c>
    </row>
    <row r="5331">
      <c r="A5331" s="14">
        <v>14.0</v>
      </c>
      <c r="B5331" s="15" t="s">
        <v>16590</v>
      </c>
      <c r="C5331" s="16">
        <v>28047.0</v>
      </c>
      <c r="D5331" s="17" t="s">
        <v>16591</v>
      </c>
    </row>
    <row r="5332">
      <c r="A5332" s="14">
        <v>14.0</v>
      </c>
      <c r="B5332" s="15" t="s">
        <v>16592</v>
      </c>
      <c r="C5332" s="16">
        <v>28047.0</v>
      </c>
      <c r="D5332" s="17" t="s">
        <v>16593</v>
      </c>
    </row>
    <row r="5333">
      <c r="A5333" s="14">
        <v>15.0</v>
      </c>
      <c r="B5333" s="15" t="s">
        <v>16594</v>
      </c>
      <c r="C5333" s="16">
        <v>28048.0</v>
      </c>
      <c r="D5333" s="17" t="s">
        <v>16595</v>
      </c>
    </row>
    <row r="5334">
      <c r="A5334" s="14" t="s">
        <v>358</v>
      </c>
      <c r="B5334" s="15" t="s">
        <v>16596</v>
      </c>
      <c r="C5334" s="16">
        <v>28049.0</v>
      </c>
      <c r="D5334" s="17" t="s">
        <v>16597</v>
      </c>
    </row>
    <row r="5335">
      <c r="A5335" s="14">
        <v>16.0</v>
      </c>
      <c r="B5335" s="15" t="s">
        <v>16598</v>
      </c>
      <c r="C5335" s="16">
        <v>28049.0</v>
      </c>
      <c r="D5335" s="17" t="s">
        <v>16599</v>
      </c>
    </row>
    <row r="5336">
      <c r="A5336" s="14">
        <v>16.0</v>
      </c>
      <c r="B5336" s="15" t="s">
        <v>16600</v>
      </c>
      <c r="C5336" s="16">
        <v>28049.0</v>
      </c>
      <c r="D5336" s="17" t="s">
        <v>16601</v>
      </c>
    </row>
    <row r="5337">
      <c r="A5337" s="14">
        <v>16.0</v>
      </c>
      <c r="B5337" s="15" t="s">
        <v>16602</v>
      </c>
      <c r="C5337" s="16">
        <v>28049.0</v>
      </c>
      <c r="D5337" s="17" t="s">
        <v>16603</v>
      </c>
    </row>
    <row r="5338">
      <c r="A5338" s="14" t="s">
        <v>6753</v>
      </c>
      <c r="B5338" s="15" t="s">
        <v>16604</v>
      </c>
      <c r="C5338" s="16">
        <v>28050.0</v>
      </c>
      <c r="D5338" s="17" t="s">
        <v>16605</v>
      </c>
    </row>
    <row r="5339">
      <c r="A5339" s="14">
        <v>17.0</v>
      </c>
      <c r="B5339" s="15" t="s">
        <v>16606</v>
      </c>
      <c r="C5339" s="16">
        <v>28050.0</v>
      </c>
      <c r="D5339" s="17" t="s">
        <v>16607</v>
      </c>
    </row>
    <row r="5340">
      <c r="A5340" s="14">
        <v>17.0</v>
      </c>
      <c r="B5340" s="15" t="s">
        <v>16608</v>
      </c>
      <c r="C5340" s="16">
        <v>28050.0</v>
      </c>
      <c r="D5340" s="17" t="s">
        <v>16609</v>
      </c>
    </row>
    <row r="5341">
      <c r="A5341" s="14">
        <v>18.0</v>
      </c>
      <c r="B5341" s="15" t="s">
        <v>16610</v>
      </c>
      <c r="C5341" s="16">
        <v>28051.0</v>
      </c>
      <c r="D5341" s="17" t="s">
        <v>16611</v>
      </c>
    </row>
    <row r="5342">
      <c r="A5342" s="14">
        <v>22.0</v>
      </c>
      <c r="B5342" s="15" t="s">
        <v>16612</v>
      </c>
      <c r="C5342" s="16">
        <v>28055.0</v>
      </c>
      <c r="D5342" s="17" t="s">
        <v>16613</v>
      </c>
    </row>
    <row r="5343">
      <c r="A5343" s="14" t="s">
        <v>6858</v>
      </c>
      <c r="B5343" s="15" t="s">
        <v>16614</v>
      </c>
      <c r="C5343" s="16">
        <v>28056.0</v>
      </c>
      <c r="D5343" s="17" t="s">
        <v>16615</v>
      </c>
    </row>
    <row r="5344">
      <c r="A5344" s="14">
        <v>23.0</v>
      </c>
      <c r="B5344" s="15" t="s">
        <v>16616</v>
      </c>
      <c r="C5344" s="16">
        <v>28056.0</v>
      </c>
      <c r="D5344" s="17" t="s">
        <v>16617</v>
      </c>
    </row>
    <row r="5345">
      <c r="A5345" s="14">
        <v>23.0</v>
      </c>
      <c r="B5345" s="15" t="s">
        <v>16618</v>
      </c>
      <c r="C5345" s="16">
        <v>28056.0</v>
      </c>
      <c r="D5345" s="17" t="s">
        <v>16619</v>
      </c>
    </row>
    <row r="5346">
      <c r="A5346" s="14">
        <v>24.0</v>
      </c>
      <c r="B5346" s="15" t="s">
        <v>16620</v>
      </c>
      <c r="C5346" s="16">
        <v>28057.0</v>
      </c>
      <c r="D5346" s="17" t="s">
        <v>16621</v>
      </c>
    </row>
    <row r="5347">
      <c r="A5347" s="14">
        <v>25.0</v>
      </c>
      <c r="B5347" s="15" t="s">
        <v>16622</v>
      </c>
      <c r="C5347" s="16">
        <v>28058.0</v>
      </c>
      <c r="D5347" s="17" t="s">
        <v>16623</v>
      </c>
    </row>
    <row r="5348">
      <c r="A5348" s="14">
        <v>26.0</v>
      </c>
      <c r="B5348" s="15" t="s">
        <v>16624</v>
      </c>
      <c r="C5348" s="16">
        <v>28059.0</v>
      </c>
      <c r="D5348" s="17" t="s">
        <v>16625</v>
      </c>
    </row>
    <row r="5349">
      <c r="A5349" s="14">
        <v>26.0</v>
      </c>
      <c r="B5349" s="15" t="s">
        <v>16626</v>
      </c>
      <c r="C5349" s="16">
        <v>28059.0</v>
      </c>
      <c r="D5349" s="17" t="s">
        <v>16627</v>
      </c>
    </row>
    <row r="5350">
      <c r="A5350" s="14">
        <v>27.0</v>
      </c>
      <c r="B5350" s="15" t="s">
        <v>16628</v>
      </c>
      <c r="C5350" s="16">
        <v>28060.0</v>
      </c>
      <c r="D5350" s="17" t="s">
        <v>16629</v>
      </c>
    </row>
    <row r="5351">
      <c r="A5351" s="14" t="s">
        <v>6858</v>
      </c>
      <c r="B5351" s="15" t="s">
        <v>16630</v>
      </c>
      <c r="C5351" s="16">
        <v>28061.0</v>
      </c>
      <c r="D5351" s="17" t="s">
        <v>16631</v>
      </c>
    </row>
    <row r="5352">
      <c r="A5352" s="14">
        <v>28.0</v>
      </c>
      <c r="B5352" s="15" t="s">
        <v>16632</v>
      </c>
      <c r="C5352" s="16">
        <v>28061.0</v>
      </c>
      <c r="D5352" s="17" t="s">
        <v>16633</v>
      </c>
    </row>
    <row r="5353">
      <c r="A5353" s="14">
        <v>28.0</v>
      </c>
      <c r="B5353" s="15" t="s">
        <v>16634</v>
      </c>
      <c r="C5353" s="16">
        <v>28061.0</v>
      </c>
      <c r="D5353" s="17" t="s">
        <v>16635</v>
      </c>
    </row>
    <row r="5354">
      <c r="A5354" s="14" t="s">
        <v>6858</v>
      </c>
      <c r="B5354" s="15" t="s">
        <v>16636</v>
      </c>
      <c r="C5354" s="16">
        <v>28062.0</v>
      </c>
      <c r="D5354" s="17" t="s">
        <v>16637</v>
      </c>
    </row>
    <row r="5355">
      <c r="A5355" s="14">
        <v>29.0</v>
      </c>
      <c r="B5355" s="15" t="s">
        <v>16638</v>
      </c>
      <c r="C5355" s="16">
        <v>28062.0</v>
      </c>
      <c r="D5355" s="17" t="s">
        <v>16639</v>
      </c>
    </row>
    <row r="5356">
      <c r="A5356" s="14">
        <v>29.0</v>
      </c>
      <c r="B5356" s="15" t="s">
        <v>16640</v>
      </c>
      <c r="C5356" s="16">
        <v>28062.0</v>
      </c>
      <c r="D5356" s="17" t="s">
        <v>16641</v>
      </c>
    </row>
    <row r="5357">
      <c r="A5357" s="14" t="s">
        <v>6858</v>
      </c>
      <c r="B5357" s="15" t="s">
        <v>16642</v>
      </c>
      <c r="C5357" s="16">
        <v>28063.0</v>
      </c>
      <c r="D5357" s="17" t="s">
        <v>16643</v>
      </c>
    </row>
    <row r="5358">
      <c r="A5358" s="14">
        <v>30.0</v>
      </c>
      <c r="B5358" s="15" t="s">
        <v>16644</v>
      </c>
      <c r="C5358" s="16">
        <v>28063.0</v>
      </c>
      <c r="D5358" s="17" t="s">
        <v>16645</v>
      </c>
    </row>
    <row r="5359">
      <c r="A5359" s="14">
        <v>30.0</v>
      </c>
      <c r="B5359" s="15" t="s">
        <v>16646</v>
      </c>
      <c r="C5359" s="16">
        <v>28063.0</v>
      </c>
      <c r="D5359" s="17" t="s">
        <v>16647</v>
      </c>
    </row>
    <row r="5360">
      <c r="A5360" s="14" t="s">
        <v>6858</v>
      </c>
      <c r="B5360" s="15" t="s">
        <v>16648</v>
      </c>
      <c r="C5360" s="16">
        <v>28064.0</v>
      </c>
      <c r="D5360" s="17" t="s">
        <v>16649</v>
      </c>
    </row>
    <row r="5361">
      <c r="A5361" s="14">
        <v>31.0</v>
      </c>
      <c r="B5361" s="15" t="s">
        <v>16650</v>
      </c>
      <c r="C5361" s="16">
        <v>28064.0</v>
      </c>
      <c r="D5361" s="17" t="s">
        <v>16651</v>
      </c>
    </row>
    <row r="5362">
      <c r="A5362" s="14">
        <v>31.0</v>
      </c>
      <c r="B5362" s="15" t="s">
        <v>16652</v>
      </c>
      <c r="C5362" s="16">
        <v>28064.0</v>
      </c>
      <c r="D5362" s="17" t="s">
        <v>16653</v>
      </c>
    </row>
    <row r="5363">
      <c r="A5363" s="14">
        <v>31.0</v>
      </c>
      <c r="B5363" s="15" t="s">
        <v>16654</v>
      </c>
      <c r="C5363" s="16">
        <v>28064.0</v>
      </c>
      <c r="D5363" s="17" t="s">
        <v>16655</v>
      </c>
    </row>
    <row r="5364">
      <c r="A5364" s="14" t="s">
        <v>6858</v>
      </c>
      <c r="B5364" s="15" t="s">
        <v>16656</v>
      </c>
      <c r="C5364" s="16">
        <v>28065.0</v>
      </c>
      <c r="D5364" s="17" t="s">
        <v>16657</v>
      </c>
    </row>
    <row r="5365">
      <c r="A5365" s="14">
        <v>1.0</v>
      </c>
      <c r="B5365" s="15" t="s">
        <v>16658</v>
      </c>
      <c r="C5365" s="16">
        <v>28065.0</v>
      </c>
      <c r="D5365" s="17" t="s">
        <v>16659</v>
      </c>
    </row>
    <row r="5366">
      <c r="A5366" s="14">
        <v>1.0</v>
      </c>
      <c r="B5366" s="15" t="s">
        <v>16660</v>
      </c>
      <c r="C5366" s="16">
        <v>28065.0</v>
      </c>
      <c r="D5366" s="17" t="s">
        <v>16661</v>
      </c>
    </row>
    <row r="5367">
      <c r="A5367" s="14">
        <v>2.0</v>
      </c>
      <c r="B5367" s="15" t="s">
        <v>16662</v>
      </c>
      <c r="C5367" s="16">
        <v>28066.0</v>
      </c>
      <c r="D5367" s="17" t="s">
        <v>16663</v>
      </c>
    </row>
    <row r="5368">
      <c r="A5368" s="14">
        <v>2.0</v>
      </c>
      <c r="B5368" s="15" t="s">
        <v>16664</v>
      </c>
      <c r="C5368" s="16">
        <v>28066.0</v>
      </c>
      <c r="D5368" s="17" t="s">
        <v>16665</v>
      </c>
    </row>
    <row r="5369">
      <c r="A5369" s="14">
        <v>2.0</v>
      </c>
      <c r="B5369" s="15" t="s">
        <v>16666</v>
      </c>
      <c r="C5369" s="16">
        <v>28066.0</v>
      </c>
      <c r="D5369" s="17" t="s">
        <v>16667</v>
      </c>
    </row>
    <row r="5370">
      <c r="A5370" s="14" t="s">
        <v>6353</v>
      </c>
      <c r="B5370" s="15" t="s">
        <v>16668</v>
      </c>
      <c r="C5370" s="16">
        <v>28067.0</v>
      </c>
      <c r="D5370" s="17" t="s">
        <v>16669</v>
      </c>
    </row>
    <row r="5371">
      <c r="A5371" s="14" t="s">
        <v>6858</v>
      </c>
      <c r="B5371" s="15" t="s">
        <v>16670</v>
      </c>
      <c r="C5371" s="16">
        <v>28067.0</v>
      </c>
      <c r="D5371" s="17" t="s">
        <v>16671</v>
      </c>
    </row>
    <row r="5372">
      <c r="A5372" s="14">
        <v>3.0</v>
      </c>
      <c r="B5372" s="15" t="s">
        <v>16672</v>
      </c>
      <c r="C5372" s="16">
        <v>28067.0</v>
      </c>
      <c r="D5372" s="17" t="s">
        <v>16673</v>
      </c>
    </row>
    <row r="5373">
      <c r="A5373" s="14">
        <v>3.0</v>
      </c>
      <c r="B5373" s="15" t="s">
        <v>16674</v>
      </c>
      <c r="C5373" s="16">
        <v>28067.0</v>
      </c>
      <c r="D5373" s="17" t="s">
        <v>16675</v>
      </c>
    </row>
    <row r="5374">
      <c r="A5374" s="14">
        <v>3.0</v>
      </c>
      <c r="B5374" s="15" t="s">
        <v>16676</v>
      </c>
      <c r="C5374" s="16">
        <v>28067.0</v>
      </c>
      <c r="D5374" s="17" t="s">
        <v>16677</v>
      </c>
    </row>
    <row r="5375">
      <c r="A5375" s="14">
        <v>3.0</v>
      </c>
      <c r="B5375" s="15" t="s">
        <v>16678</v>
      </c>
      <c r="C5375" s="16">
        <v>28067.0</v>
      </c>
      <c r="D5375" s="17" t="s">
        <v>16679</v>
      </c>
    </row>
    <row r="5376">
      <c r="A5376" s="14">
        <v>3.0</v>
      </c>
      <c r="B5376" s="15" t="s">
        <v>16680</v>
      </c>
      <c r="C5376" s="16">
        <v>28067.0</v>
      </c>
      <c r="D5376" s="17" t="s">
        <v>16681</v>
      </c>
    </row>
    <row r="5377">
      <c r="A5377" s="14" t="s">
        <v>6353</v>
      </c>
      <c r="B5377" s="15" t="s">
        <v>16682</v>
      </c>
      <c r="C5377" s="16">
        <v>28068.0</v>
      </c>
      <c r="D5377" s="17" t="s">
        <v>16683</v>
      </c>
    </row>
    <row r="5378">
      <c r="A5378" s="14" t="s">
        <v>6858</v>
      </c>
      <c r="B5378" s="15" t="s">
        <v>16684</v>
      </c>
      <c r="C5378" s="16">
        <v>28068.0</v>
      </c>
      <c r="D5378" s="17" t="s">
        <v>16685</v>
      </c>
    </row>
    <row r="5379">
      <c r="A5379" s="14">
        <v>4.0</v>
      </c>
      <c r="B5379" s="15" t="s">
        <v>16686</v>
      </c>
      <c r="C5379" s="16">
        <v>28068.0</v>
      </c>
      <c r="D5379" s="17" t="s">
        <v>16687</v>
      </c>
    </row>
    <row r="5380">
      <c r="A5380" s="14">
        <v>4.0</v>
      </c>
      <c r="B5380" s="15" t="s">
        <v>16688</v>
      </c>
      <c r="C5380" s="16">
        <v>28068.0</v>
      </c>
      <c r="D5380" s="17" t="s">
        <v>16689</v>
      </c>
    </row>
    <row r="5381">
      <c r="A5381" s="14">
        <v>4.0</v>
      </c>
      <c r="B5381" s="15" t="s">
        <v>16690</v>
      </c>
      <c r="C5381" s="16">
        <v>28068.0</v>
      </c>
      <c r="D5381" s="17" t="s">
        <v>16691</v>
      </c>
    </row>
    <row r="5382">
      <c r="A5382" s="14">
        <v>4.0</v>
      </c>
      <c r="B5382" s="15" t="s">
        <v>16692</v>
      </c>
      <c r="C5382" s="16">
        <v>28068.0</v>
      </c>
      <c r="D5382" s="17" t="s">
        <v>16693</v>
      </c>
    </row>
    <row r="5383">
      <c r="A5383" s="14" t="s">
        <v>6353</v>
      </c>
      <c r="B5383" s="15" t="s">
        <v>16694</v>
      </c>
      <c r="C5383" s="16">
        <v>28069.0</v>
      </c>
      <c r="D5383" s="17" t="s">
        <v>16695</v>
      </c>
    </row>
    <row r="5384">
      <c r="A5384" s="14" t="s">
        <v>6858</v>
      </c>
      <c r="B5384" s="15" t="s">
        <v>16696</v>
      </c>
      <c r="C5384" s="16">
        <v>28069.0</v>
      </c>
      <c r="D5384" s="17" t="s">
        <v>16697</v>
      </c>
    </row>
    <row r="5385">
      <c r="A5385" s="14">
        <v>5.0</v>
      </c>
      <c r="B5385" s="15" t="s">
        <v>16698</v>
      </c>
      <c r="C5385" s="16">
        <v>28069.0</v>
      </c>
      <c r="D5385" s="17" t="s">
        <v>16699</v>
      </c>
    </row>
    <row r="5386">
      <c r="A5386" s="14">
        <v>5.0</v>
      </c>
      <c r="B5386" s="15" t="s">
        <v>16700</v>
      </c>
      <c r="C5386" s="16">
        <v>28069.0</v>
      </c>
      <c r="D5386" s="17" t="s">
        <v>16701</v>
      </c>
    </row>
    <row r="5387">
      <c r="A5387" s="14">
        <v>5.0</v>
      </c>
      <c r="B5387" s="15" t="s">
        <v>16702</v>
      </c>
      <c r="C5387" s="16">
        <v>28069.0</v>
      </c>
      <c r="D5387" s="17" t="s">
        <v>16703</v>
      </c>
    </row>
    <row r="5388">
      <c r="A5388" s="14">
        <v>5.0</v>
      </c>
      <c r="B5388" s="15" t="s">
        <v>16704</v>
      </c>
      <c r="C5388" s="16">
        <v>28069.0</v>
      </c>
      <c r="D5388" s="17" t="s">
        <v>16705</v>
      </c>
    </row>
    <row r="5389">
      <c r="A5389" s="14" t="s">
        <v>6858</v>
      </c>
      <c r="B5389" s="15" t="s">
        <v>16706</v>
      </c>
      <c r="C5389" s="16">
        <v>28070.0</v>
      </c>
      <c r="D5389" s="17" t="s">
        <v>16707</v>
      </c>
    </row>
    <row r="5390">
      <c r="A5390" s="14">
        <v>6.0</v>
      </c>
      <c r="B5390" s="15" t="s">
        <v>16708</v>
      </c>
      <c r="C5390" s="16">
        <v>28070.0</v>
      </c>
      <c r="D5390" s="17" t="s">
        <v>16709</v>
      </c>
    </row>
    <row r="5391">
      <c r="A5391" s="14">
        <v>6.0</v>
      </c>
      <c r="B5391" s="15" t="s">
        <v>16710</v>
      </c>
      <c r="C5391" s="16">
        <v>28070.0</v>
      </c>
      <c r="D5391" s="17" t="s">
        <v>16711</v>
      </c>
    </row>
    <row r="5392">
      <c r="A5392" s="14">
        <v>6.0</v>
      </c>
      <c r="B5392" s="15" t="s">
        <v>16712</v>
      </c>
      <c r="C5392" s="16">
        <v>28070.0</v>
      </c>
      <c r="D5392" s="17" t="s">
        <v>16713</v>
      </c>
    </row>
    <row r="5393">
      <c r="A5393" s="14" t="s">
        <v>6858</v>
      </c>
      <c r="B5393" s="15" t="s">
        <v>16714</v>
      </c>
      <c r="C5393" s="16">
        <v>28071.0</v>
      </c>
      <c r="D5393" s="17" t="s">
        <v>16715</v>
      </c>
    </row>
    <row r="5394">
      <c r="A5394" s="14">
        <v>7.0</v>
      </c>
      <c r="B5394" s="15" t="s">
        <v>16716</v>
      </c>
      <c r="C5394" s="16">
        <v>28071.0</v>
      </c>
      <c r="D5394" s="17" t="s">
        <v>16717</v>
      </c>
    </row>
    <row r="5395">
      <c r="A5395" s="14">
        <v>7.0</v>
      </c>
      <c r="B5395" s="15" t="s">
        <v>16718</v>
      </c>
      <c r="C5395" s="16">
        <v>28071.0</v>
      </c>
      <c r="D5395" s="17" t="s">
        <v>16719</v>
      </c>
    </row>
    <row r="5396">
      <c r="A5396" s="14" t="s">
        <v>6858</v>
      </c>
      <c r="B5396" s="15" t="s">
        <v>16720</v>
      </c>
      <c r="C5396" s="16">
        <v>28072.0</v>
      </c>
      <c r="D5396" s="17" t="s">
        <v>16721</v>
      </c>
    </row>
    <row r="5397">
      <c r="A5397" s="14">
        <v>8.0</v>
      </c>
      <c r="B5397" s="15" t="s">
        <v>16722</v>
      </c>
      <c r="C5397" s="16">
        <v>28072.0</v>
      </c>
      <c r="D5397" s="17" t="s">
        <v>16723</v>
      </c>
    </row>
    <row r="5398">
      <c r="A5398" s="14">
        <v>8.0</v>
      </c>
      <c r="B5398" s="15" t="s">
        <v>16724</v>
      </c>
      <c r="C5398" s="16">
        <v>28072.0</v>
      </c>
      <c r="D5398" s="17" t="s">
        <v>16725</v>
      </c>
    </row>
    <row r="5399">
      <c r="A5399" s="14" t="s">
        <v>6858</v>
      </c>
      <c r="B5399" s="15" t="s">
        <v>16726</v>
      </c>
      <c r="C5399" s="16">
        <v>28073.0</v>
      </c>
      <c r="D5399" s="17" t="s">
        <v>16727</v>
      </c>
    </row>
    <row r="5400">
      <c r="A5400" s="14">
        <v>9.0</v>
      </c>
      <c r="B5400" s="15" t="s">
        <v>16728</v>
      </c>
      <c r="C5400" s="16">
        <v>28073.0</v>
      </c>
      <c r="D5400" s="17" t="s">
        <v>16729</v>
      </c>
    </row>
    <row r="5401">
      <c r="A5401" s="14">
        <v>9.0</v>
      </c>
      <c r="B5401" s="15" t="s">
        <v>16730</v>
      </c>
      <c r="C5401" s="16">
        <v>28073.0</v>
      </c>
      <c r="D5401" s="17" t="s">
        <v>16731</v>
      </c>
    </row>
    <row r="5402">
      <c r="A5402" s="14" t="s">
        <v>6858</v>
      </c>
      <c r="B5402" s="15" t="s">
        <v>16732</v>
      </c>
      <c r="C5402" s="16">
        <v>28074.0</v>
      </c>
      <c r="D5402" s="17" t="s">
        <v>16733</v>
      </c>
    </row>
    <row r="5403">
      <c r="A5403" s="14">
        <v>10.0</v>
      </c>
      <c r="B5403" s="15" t="s">
        <v>16734</v>
      </c>
      <c r="C5403" s="16">
        <v>28074.0</v>
      </c>
      <c r="D5403" s="17" t="s">
        <v>16735</v>
      </c>
    </row>
    <row r="5404">
      <c r="A5404" s="14">
        <v>10.0</v>
      </c>
      <c r="B5404" s="15" t="s">
        <v>16736</v>
      </c>
      <c r="C5404" s="16">
        <v>28074.0</v>
      </c>
      <c r="D5404" s="17" t="s">
        <v>16737</v>
      </c>
    </row>
    <row r="5405">
      <c r="A5405" s="14">
        <v>10.0</v>
      </c>
      <c r="B5405" s="15" t="s">
        <v>16738</v>
      </c>
      <c r="C5405" s="16">
        <v>28074.0</v>
      </c>
      <c r="D5405" s="17" t="s">
        <v>16739</v>
      </c>
    </row>
    <row r="5406">
      <c r="A5406" s="14" t="s">
        <v>6858</v>
      </c>
      <c r="B5406" s="15" t="s">
        <v>16740</v>
      </c>
      <c r="C5406" s="16">
        <v>28075.0</v>
      </c>
      <c r="D5406" s="17" t="s">
        <v>16741</v>
      </c>
    </row>
    <row r="5407">
      <c r="A5407" s="14">
        <v>11.0</v>
      </c>
      <c r="B5407" s="15" t="s">
        <v>16742</v>
      </c>
      <c r="C5407" s="16">
        <v>28075.0</v>
      </c>
      <c r="D5407" s="17" t="s">
        <v>16743</v>
      </c>
    </row>
    <row r="5408">
      <c r="A5408" s="14">
        <v>11.0</v>
      </c>
      <c r="B5408" s="15" t="s">
        <v>16744</v>
      </c>
      <c r="C5408" s="16">
        <v>28075.0</v>
      </c>
      <c r="D5408" s="17" t="s">
        <v>16745</v>
      </c>
    </row>
    <row r="5409">
      <c r="A5409" s="14">
        <v>11.0</v>
      </c>
      <c r="B5409" s="15" t="s">
        <v>16746</v>
      </c>
      <c r="C5409" s="16">
        <v>28075.0</v>
      </c>
      <c r="D5409" s="17" t="s">
        <v>16747</v>
      </c>
    </row>
    <row r="5410">
      <c r="A5410" s="14" t="s">
        <v>6858</v>
      </c>
      <c r="B5410" s="15" t="s">
        <v>16748</v>
      </c>
      <c r="C5410" s="16">
        <v>28076.0</v>
      </c>
      <c r="D5410" s="17" t="s">
        <v>16749</v>
      </c>
    </row>
    <row r="5411">
      <c r="A5411" s="14">
        <v>12.0</v>
      </c>
      <c r="B5411" s="15" t="s">
        <v>16750</v>
      </c>
      <c r="C5411" s="16">
        <v>28076.0</v>
      </c>
      <c r="D5411" s="17" t="s">
        <v>16751</v>
      </c>
    </row>
    <row r="5412">
      <c r="A5412" s="14">
        <v>12.0</v>
      </c>
      <c r="B5412" s="15" t="s">
        <v>16752</v>
      </c>
      <c r="C5412" s="16">
        <v>28076.0</v>
      </c>
      <c r="D5412" s="17" t="s">
        <v>16753</v>
      </c>
    </row>
    <row r="5413">
      <c r="A5413" s="14" t="s">
        <v>6353</v>
      </c>
      <c r="B5413" s="15" t="s">
        <v>16754</v>
      </c>
      <c r="C5413" s="16">
        <v>28077.0</v>
      </c>
      <c r="D5413" s="17" t="s">
        <v>16755</v>
      </c>
    </row>
    <row r="5414">
      <c r="A5414" s="14" t="s">
        <v>6858</v>
      </c>
      <c r="B5414" s="15" t="s">
        <v>16756</v>
      </c>
      <c r="C5414" s="16">
        <v>28077.0</v>
      </c>
      <c r="D5414" s="17" t="s">
        <v>16757</v>
      </c>
    </row>
    <row r="5415">
      <c r="A5415" s="14">
        <v>13.0</v>
      </c>
      <c r="B5415" s="15" t="s">
        <v>16758</v>
      </c>
      <c r="C5415" s="16">
        <v>28077.0</v>
      </c>
      <c r="D5415" s="17" t="s">
        <v>16759</v>
      </c>
    </row>
    <row r="5416">
      <c r="A5416" s="14">
        <v>13.0</v>
      </c>
      <c r="B5416" s="15" t="s">
        <v>16760</v>
      </c>
      <c r="C5416" s="16">
        <v>28077.0</v>
      </c>
      <c r="D5416" s="17" t="s">
        <v>16761</v>
      </c>
    </row>
    <row r="5417">
      <c r="A5417" s="14">
        <v>13.0</v>
      </c>
      <c r="B5417" s="15" t="s">
        <v>16762</v>
      </c>
      <c r="C5417" s="16">
        <v>28077.0</v>
      </c>
      <c r="D5417" s="17" t="s">
        <v>16763</v>
      </c>
    </row>
    <row r="5418">
      <c r="A5418" s="14">
        <v>13.0</v>
      </c>
      <c r="B5418" s="15" t="s">
        <v>16764</v>
      </c>
      <c r="C5418" s="16">
        <v>28077.0</v>
      </c>
      <c r="D5418" s="17" t="s">
        <v>16765</v>
      </c>
    </row>
    <row r="5419">
      <c r="A5419" s="14" t="s">
        <v>6858</v>
      </c>
      <c r="B5419" s="15" t="s">
        <v>16766</v>
      </c>
      <c r="C5419" s="16">
        <v>28078.0</v>
      </c>
      <c r="D5419" s="17" t="s">
        <v>16767</v>
      </c>
    </row>
    <row r="5420">
      <c r="A5420" s="14">
        <v>14.0</v>
      </c>
      <c r="B5420" s="15" t="s">
        <v>16768</v>
      </c>
      <c r="C5420" s="16">
        <v>28078.0</v>
      </c>
      <c r="D5420" s="17" t="s">
        <v>16769</v>
      </c>
    </row>
    <row r="5421">
      <c r="A5421" s="14">
        <v>14.0</v>
      </c>
      <c r="B5421" s="15" t="s">
        <v>16770</v>
      </c>
      <c r="C5421" s="16">
        <v>28078.0</v>
      </c>
      <c r="D5421" s="17" t="s">
        <v>16771</v>
      </c>
    </row>
    <row r="5422">
      <c r="A5422" s="14">
        <v>14.0</v>
      </c>
      <c r="B5422" s="15" t="s">
        <v>16772</v>
      </c>
      <c r="C5422" s="16">
        <v>28078.0</v>
      </c>
      <c r="D5422" s="17" t="s">
        <v>16773</v>
      </c>
    </row>
    <row r="5423">
      <c r="A5423" s="14">
        <v>14.0</v>
      </c>
      <c r="B5423" s="15" t="s">
        <v>16774</v>
      </c>
      <c r="C5423" s="16">
        <v>28078.0</v>
      </c>
      <c r="D5423" s="17" t="s">
        <v>16775</v>
      </c>
    </row>
    <row r="5424">
      <c r="A5424" s="14">
        <v>14.0</v>
      </c>
      <c r="B5424" s="15" t="s">
        <v>16776</v>
      </c>
      <c r="C5424" s="16">
        <v>28078.0</v>
      </c>
      <c r="D5424" s="17" t="s">
        <v>16777</v>
      </c>
    </row>
    <row r="5425">
      <c r="A5425" s="14" t="s">
        <v>6858</v>
      </c>
      <c r="B5425" s="15" t="s">
        <v>16778</v>
      </c>
      <c r="C5425" s="16">
        <v>28079.0</v>
      </c>
      <c r="D5425" s="17" t="s">
        <v>16779</v>
      </c>
    </row>
    <row r="5426">
      <c r="A5426" s="14">
        <v>15.0</v>
      </c>
      <c r="B5426" s="15" t="s">
        <v>16780</v>
      </c>
      <c r="C5426" s="16">
        <v>28079.0</v>
      </c>
      <c r="D5426" s="17" t="s">
        <v>16781</v>
      </c>
    </row>
    <row r="5427">
      <c r="A5427" s="14">
        <v>15.0</v>
      </c>
      <c r="B5427" s="15" t="s">
        <v>16782</v>
      </c>
      <c r="C5427" s="16">
        <v>28079.0</v>
      </c>
      <c r="D5427" s="17" t="s">
        <v>16783</v>
      </c>
    </row>
    <row r="5428">
      <c r="A5428" s="14">
        <v>15.0</v>
      </c>
      <c r="B5428" s="15" t="s">
        <v>16784</v>
      </c>
      <c r="C5428" s="16">
        <v>28079.0</v>
      </c>
      <c r="D5428" s="17" t="s">
        <v>16785</v>
      </c>
    </row>
    <row r="5429">
      <c r="A5429" s="14" t="s">
        <v>6858</v>
      </c>
      <c r="B5429" s="15" t="s">
        <v>16786</v>
      </c>
      <c r="C5429" s="16">
        <v>28080.0</v>
      </c>
      <c r="D5429" s="17" t="s">
        <v>16787</v>
      </c>
    </row>
    <row r="5430">
      <c r="A5430" s="14">
        <v>16.0</v>
      </c>
      <c r="B5430" s="15" t="s">
        <v>16788</v>
      </c>
      <c r="C5430" s="16">
        <v>28080.0</v>
      </c>
      <c r="D5430" s="17" t="s">
        <v>16789</v>
      </c>
    </row>
    <row r="5431">
      <c r="A5431" s="14">
        <v>16.0</v>
      </c>
      <c r="B5431" s="15" t="s">
        <v>16790</v>
      </c>
      <c r="C5431" s="16">
        <v>28080.0</v>
      </c>
      <c r="D5431" s="17" t="s">
        <v>16791</v>
      </c>
    </row>
    <row r="5432">
      <c r="A5432" s="14">
        <v>17.0</v>
      </c>
      <c r="B5432" s="15" t="s">
        <v>16792</v>
      </c>
      <c r="C5432" s="16">
        <v>28081.0</v>
      </c>
      <c r="D5432" s="17" t="s">
        <v>16793</v>
      </c>
    </row>
    <row r="5433">
      <c r="A5433" s="14">
        <v>17.0</v>
      </c>
      <c r="B5433" s="15" t="s">
        <v>16794</v>
      </c>
      <c r="C5433" s="16">
        <v>28081.0</v>
      </c>
      <c r="D5433" s="17" t="s">
        <v>16795</v>
      </c>
    </row>
    <row r="5434">
      <c r="A5434" s="14">
        <v>18.0</v>
      </c>
      <c r="B5434" s="15" t="s">
        <v>16796</v>
      </c>
      <c r="C5434" s="16">
        <v>28082.0</v>
      </c>
      <c r="D5434" s="17" t="s">
        <v>16797</v>
      </c>
    </row>
    <row r="5435">
      <c r="A5435" s="14">
        <v>18.0</v>
      </c>
      <c r="B5435" s="15" t="s">
        <v>16798</v>
      </c>
      <c r="C5435" s="16">
        <v>28082.0</v>
      </c>
      <c r="D5435" s="17" t="s">
        <v>16799</v>
      </c>
    </row>
    <row r="5436">
      <c r="A5436" s="14" t="s">
        <v>6858</v>
      </c>
      <c r="B5436" s="15" t="s">
        <v>16800</v>
      </c>
      <c r="C5436" s="16">
        <v>28083.0</v>
      </c>
      <c r="D5436" s="17" t="s">
        <v>16801</v>
      </c>
    </row>
    <row r="5437">
      <c r="A5437" s="14">
        <v>19.0</v>
      </c>
      <c r="B5437" s="15" t="s">
        <v>16802</v>
      </c>
      <c r="C5437" s="16">
        <v>28083.0</v>
      </c>
      <c r="D5437" s="17" t="s">
        <v>16803</v>
      </c>
    </row>
    <row r="5438">
      <c r="A5438" s="14">
        <v>19.0</v>
      </c>
      <c r="B5438" s="15" t="s">
        <v>16804</v>
      </c>
      <c r="C5438" s="16">
        <v>28083.0</v>
      </c>
      <c r="D5438" s="17" t="s">
        <v>16805</v>
      </c>
    </row>
    <row r="5439">
      <c r="A5439" s="14" t="s">
        <v>6353</v>
      </c>
      <c r="B5439" s="15" t="s">
        <v>16806</v>
      </c>
      <c r="C5439" s="16">
        <v>28084.0</v>
      </c>
      <c r="D5439" s="17" t="s">
        <v>16807</v>
      </c>
    </row>
    <row r="5440">
      <c r="A5440" s="14" t="s">
        <v>6858</v>
      </c>
      <c r="B5440" s="15" t="s">
        <v>16808</v>
      </c>
      <c r="C5440" s="16">
        <v>28084.0</v>
      </c>
      <c r="D5440" s="17" t="s">
        <v>16809</v>
      </c>
    </row>
    <row r="5441">
      <c r="A5441" s="14">
        <v>20.0</v>
      </c>
      <c r="B5441" s="15" t="s">
        <v>16810</v>
      </c>
      <c r="C5441" s="16">
        <v>28084.0</v>
      </c>
      <c r="D5441" s="17" t="s">
        <v>16811</v>
      </c>
    </row>
    <row r="5442">
      <c r="A5442" s="14">
        <v>20.0</v>
      </c>
      <c r="B5442" s="15" t="s">
        <v>16812</v>
      </c>
      <c r="C5442" s="16">
        <v>28084.0</v>
      </c>
      <c r="D5442" s="17" t="s">
        <v>16813</v>
      </c>
    </row>
    <row r="5443">
      <c r="A5443" s="14">
        <v>20.0</v>
      </c>
      <c r="B5443" s="15" t="s">
        <v>16814</v>
      </c>
      <c r="C5443" s="16">
        <v>28084.0</v>
      </c>
      <c r="D5443" s="17" t="s">
        <v>16815</v>
      </c>
    </row>
    <row r="5444">
      <c r="A5444" s="14">
        <v>20.0</v>
      </c>
      <c r="B5444" s="15" t="s">
        <v>16816</v>
      </c>
      <c r="C5444" s="16">
        <v>28084.0</v>
      </c>
      <c r="D5444" s="17" t="s">
        <v>16817</v>
      </c>
    </row>
    <row r="5445">
      <c r="A5445" s="14" t="s">
        <v>6858</v>
      </c>
      <c r="B5445" s="15" t="s">
        <v>16818</v>
      </c>
      <c r="C5445" s="16">
        <v>28085.0</v>
      </c>
      <c r="D5445" s="17" t="s">
        <v>16819</v>
      </c>
    </row>
    <row r="5446">
      <c r="A5446" s="14">
        <v>21.0</v>
      </c>
      <c r="B5446" s="15" t="s">
        <v>16820</v>
      </c>
      <c r="C5446" s="16">
        <v>28085.0</v>
      </c>
      <c r="D5446" s="17" t="s">
        <v>16821</v>
      </c>
    </row>
    <row r="5447">
      <c r="A5447" s="14">
        <v>21.0</v>
      </c>
      <c r="B5447" s="15" t="s">
        <v>16822</v>
      </c>
      <c r="C5447" s="16">
        <v>28085.0</v>
      </c>
      <c r="D5447" s="17" t="s">
        <v>16823</v>
      </c>
    </row>
    <row r="5448">
      <c r="A5448" s="14">
        <v>22.0</v>
      </c>
      <c r="B5448" s="15" t="s">
        <v>16824</v>
      </c>
      <c r="C5448" s="16">
        <v>28086.0</v>
      </c>
      <c r="D5448" s="17" t="s">
        <v>16825</v>
      </c>
    </row>
    <row r="5449">
      <c r="A5449" s="14">
        <v>23.0</v>
      </c>
      <c r="B5449" s="15" t="s">
        <v>16826</v>
      </c>
      <c r="C5449" s="16">
        <v>28087.0</v>
      </c>
      <c r="D5449" s="17" t="s">
        <v>16827</v>
      </c>
    </row>
    <row r="5450">
      <c r="A5450" s="14">
        <v>24.0</v>
      </c>
      <c r="B5450" s="15" t="s">
        <v>16828</v>
      </c>
      <c r="C5450" s="16">
        <v>28088.0</v>
      </c>
      <c r="D5450" s="17" t="s">
        <v>16829</v>
      </c>
    </row>
    <row r="5451">
      <c r="A5451" s="14">
        <v>24.0</v>
      </c>
      <c r="B5451" s="15" t="s">
        <v>16830</v>
      </c>
      <c r="C5451" s="16">
        <v>28088.0</v>
      </c>
      <c r="D5451" s="17" t="s">
        <v>16831</v>
      </c>
    </row>
    <row r="5452">
      <c r="A5452" s="14" t="s">
        <v>6858</v>
      </c>
      <c r="B5452" s="15" t="s">
        <v>16832</v>
      </c>
      <c r="C5452" s="16">
        <v>28089.0</v>
      </c>
      <c r="D5452" s="17" t="s">
        <v>16833</v>
      </c>
    </row>
    <row r="5453">
      <c r="A5453" s="14">
        <v>25.0</v>
      </c>
      <c r="B5453" s="15" t="s">
        <v>16834</v>
      </c>
      <c r="C5453" s="16">
        <v>28089.0</v>
      </c>
      <c r="D5453" s="17" t="s">
        <v>16835</v>
      </c>
    </row>
    <row r="5454">
      <c r="A5454" s="14">
        <v>25.0</v>
      </c>
      <c r="B5454" s="15" t="s">
        <v>16836</v>
      </c>
      <c r="C5454" s="16">
        <v>28089.0</v>
      </c>
      <c r="D5454" s="17" t="s">
        <v>16837</v>
      </c>
    </row>
    <row r="5455">
      <c r="A5455" s="14">
        <v>25.0</v>
      </c>
      <c r="B5455" s="15" t="s">
        <v>16838</v>
      </c>
      <c r="C5455" s="16">
        <v>28089.0</v>
      </c>
      <c r="D5455" s="17" t="s">
        <v>16839</v>
      </c>
    </row>
    <row r="5456">
      <c r="A5456" s="14" t="s">
        <v>6858</v>
      </c>
      <c r="B5456" s="15" t="s">
        <v>16840</v>
      </c>
      <c r="C5456" s="16">
        <v>28090.0</v>
      </c>
      <c r="D5456" s="17" t="s">
        <v>16841</v>
      </c>
    </row>
    <row r="5457">
      <c r="A5457" s="14">
        <v>26.0</v>
      </c>
      <c r="B5457" s="15" t="s">
        <v>16842</v>
      </c>
      <c r="C5457" s="16">
        <v>28090.0</v>
      </c>
      <c r="D5457" s="17" t="s">
        <v>16843</v>
      </c>
    </row>
    <row r="5458">
      <c r="A5458" s="14">
        <v>26.0</v>
      </c>
      <c r="B5458" s="15" t="s">
        <v>16844</v>
      </c>
      <c r="C5458" s="16">
        <v>28090.0</v>
      </c>
      <c r="D5458" s="17" t="s">
        <v>16845</v>
      </c>
    </row>
    <row r="5459">
      <c r="A5459" s="14" t="s">
        <v>6858</v>
      </c>
      <c r="B5459" s="15" t="s">
        <v>16846</v>
      </c>
      <c r="C5459" s="16">
        <v>28091.0</v>
      </c>
      <c r="D5459" s="17" t="s">
        <v>16847</v>
      </c>
    </row>
    <row r="5460">
      <c r="A5460" s="14">
        <v>27.0</v>
      </c>
      <c r="B5460" s="15" t="s">
        <v>16848</v>
      </c>
      <c r="C5460" s="16">
        <v>28091.0</v>
      </c>
      <c r="D5460" s="17" t="s">
        <v>16849</v>
      </c>
    </row>
    <row r="5461">
      <c r="A5461" s="14">
        <v>27.0</v>
      </c>
      <c r="B5461" s="15" t="s">
        <v>16850</v>
      </c>
      <c r="C5461" s="16">
        <v>28091.0</v>
      </c>
      <c r="D5461" s="17" t="s">
        <v>16851</v>
      </c>
    </row>
    <row r="5462">
      <c r="A5462" s="14" t="s">
        <v>6858</v>
      </c>
      <c r="B5462" s="15" t="s">
        <v>16852</v>
      </c>
      <c r="C5462" s="16">
        <v>28092.0</v>
      </c>
      <c r="D5462" s="17" t="s">
        <v>16853</v>
      </c>
    </row>
    <row r="5463">
      <c r="A5463" s="14">
        <v>28.0</v>
      </c>
      <c r="B5463" s="15" t="s">
        <v>16854</v>
      </c>
      <c r="C5463" s="16">
        <v>28092.0</v>
      </c>
      <c r="D5463" s="17" t="s">
        <v>16855</v>
      </c>
    </row>
    <row r="5464">
      <c r="A5464" s="14">
        <v>28.0</v>
      </c>
      <c r="B5464" s="15" t="s">
        <v>16856</v>
      </c>
      <c r="C5464" s="16">
        <v>28092.0</v>
      </c>
      <c r="D5464" s="17" t="s">
        <v>16857</v>
      </c>
    </row>
    <row r="5465">
      <c r="A5465" s="14" t="s">
        <v>6858</v>
      </c>
      <c r="B5465" s="15" t="s">
        <v>16858</v>
      </c>
      <c r="C5465" s="16">
        <v>28093.0</v>
      </c>
      <c r="D5465" s="17" t="s">
        <v>16859</v>
      </c>
    </row>
    <row r="5466">
      <c r="A5466" s="14">
        <v>29.0</v>
      </c>
      <c r="B5466" s="15" t="s">
        <v>16860</v>
      </c>
      <c r="C5466" s="16">
        <v>28093.0</v>
      </c>
      <c r="D5466" s="17" t="s">
        <v>16861</v>
      </c>
    </row>
    <row r="5467">
      <c r="A5467" s="14">
        <v>29.0</v>
      </c>
      <c r="B5467" s="15" t="s">
        <v>16862</v>
      </c>
      <c r="C5467" s="16">
        <v>28093.0</v>
      </c>
      <c r="D5467" s="17" t="s">
        <v>16863</v>
      </c>
    </row>
    <row r="5468">
      <c r="A5468" s="14" t="s">
        <v>6858</v>
      </c>
      <c r="B5468" s="15" t="s">
        <v>16864</v>
      </c>
      <c r="C5468" s="16">
        <v>28094.0</v>
      </c>
      <c r="D5468" s="17" t="s">
        <v>16865</v>
      </c>
    </row>
    <row r="5469">
      <c r="A5469" s="14">
        <v>30.0</v>
      </c>
      <c r="B5469" s="15" t="s">
        <v>16866</v>
      </c>
      <c r="C5469" s="16">
        <v>28094.0</v>
      </c>
      <c r="D5469" s="17" t="s">
        <v>16867</v>
      </c>
    </row>
    <row r="5470">
      <c r="A5470" s="14">
        <v>30.0</v>
      </c>
      <c r="B5470" s="15" t="s">
        <v>16868</v>
      </c>
      <c r="C5470" s="16">
        <v>28094.0</v>
      </c>
      <c r="D5470" s="17" t="s">
        <v>16869</v>
      </c>
    </row>
    <row r="5471">
      <c r="A5471" s="14" t="s">
        <v>6353</v>
      </c>
      <c r="B5471" s="15" t="s">
        <v>16870</v>
      </c>
      <c r="C5471" s="16">
        <v>28097.0</v>
      </c>
      <c r="D5471" s="17" t="s">
        <v>16871</v>
      </c>
    </row>
    <row r="5472">
      <c r="A5472" s="14">
        <v>3.0</v>
      </c>
      <c r="B5472" s="15" t="s">
        <v>16872</v>
      </c>
      <c r="C5472" s="16">
        <v>28097.0</v>
      </c>
      <c r="D5472" s="17" t="s">
        <v>16873</v>
      </c>
    </row>
    <row r="5473">
      <c r="A5473" s="14">
        <v>3.0</v>
      </c>
      <c r="B5473" s="15" t="s">
        <v>16874</v>
      </c>
      <c r="C5473" s="16">
        <v>28097.0</v>
      </c>
      <c r="D5473" s="17" t="s">
        <v>16875</v>
      </c>
    </row>
    <row r="5474">
      <c r="A5474" s="14">
        <v>4.0</v>
      </c>
      <c r="B5474" s="15" t="s">
        <v>16876</v>
      </c>
      <c r="C5474" s="16">
        <v>28098.0</v>
      </c>
      <c r="D5474" s="17" t="s">
        <v>16877</v>
      </c>
    </row>
    <row r="5475">
      <c r="A5475" s="14">
        <v>4.0</v>
      </c>
      <c r="B5475" s="15" t="s">
        <v>16878</v>
      </c>
      <c r="C5475" s="16">
        <v>28098.0</v>
      </c>
      <c r="D5475" s="17" t="s">
        <v>16879</v>
      </c>
    </row>
    <row r="5476">
      <c r="A5476" s="14">
        <v>5.0</v>
      </c>
      <c r="B5476" s="15" t="s">
        <v>16880</v>
      </c>
      <c r="C5476" s="16">
        <v>28099.0</v>
      </c>
      <c r="D5476" s="17" t="s">
        <v>16881</v>
      </c>
    </row>
    <row r="5477">
      <c r="A5477" s="14">
        <v>5.0</v>
      </c>
      <c r="B5477" s="15" t="s">
        <v>16882</v>
      </c>
      <c r="C5477" s="16">
        <v>28099.0</v>
      </c>
      <c r="D5477" s="17" t="s">
        <v>16883</v>
      </c>
    </row>
    <row r="5478">
      <c r="A5478" s="14">
        <v>7.0</v>
      </c>
      <c r="B5478" s="15" t="s">
        <v>16884</v>
      </c>
      <c r="C5478" s="16">
        <v>28101.0</v>
      </c>
      <c r="D5478" s="17" t="s">
        <v>16885</v>
      </c>
    </row>
    <row r="5479">
      <c r="A5479" s="14">
        <v>7.0</v>
      </c>
      <c r="B5479" s="15" t="s">
        <v>16886</v>
      </c>
      <c r="C5479" s="16">
        <v>28101.0</v>
      </c>
      <c r="D5479" s="17" t="s">
        <v>16887</v>
      </c>
    </row>
    <row r="5480">
      <c r="A5480" s="14">
        <v>9.0</v>
      </c>
      <c r="B5480" s="15" t="s">
        <v>16888</v>
      </c>
      <c r="C5480" s="16">
        <v>28103.0</v>
      </c>
      <c r="D5480" s="17" t="s">
        <v>16889</v>
      </c>
    </row>
    <row r="5481">
      <c r="A5481" s="14" t="s">
        <v>6087</v>
      </c>
      <c r="B5481" s="15" t="s">
        <v>16890</v>
      </c>
      <c r="C5481" s="16">
        <v>28104.0</v>
      </c>
      <c r="D5481" s="17" t="s">
        <v>16891</v>
      </c>
    </row>
    <row r="5482">
      <c r="A5482" s="14" t="s">
        <v>6353</v>
      </c>
      <c r="B5482" s="15" t="s">
        <v>16892</v>
      </c>
      <c r="C5482" s="16">
        <v>28104.0</v>
      </c>
      <c r="D5482" s="17" t="s">
        <v>16893</v>
      </c>
    </row>
    <row r="5483">
      <c r="A5483" s="14" t="s">
        <v>6353</v>
      </c>
      <c r="B5483" s="15" t="s">
        <v>16894</v>
      </c>
      <c r="C5483" s="16">
        <v>28104.0</v>
      </c>
      <c r="D5483" s="17" t="s">
        <v>16895</v>
      </c>
    </row>
    <row r="5484">
      <c r="A5484" s="14" t="s">
        <v>6057</v>
      </c>
      <c r="B5484" s="15" t="s">
        <v>16896</v>
      </c>
      <c r="C5484" s="16">
        <v>28104.0</v>
      </c>
      <c r="D5484" s="17" t="s">
        <v>16897</v>
      </c>
    </row>
    <row r="5485">
      <c r="A5485" s="14">
        <v>10.0</v>
      </c>
      <c r="B5485" s="15" t="s">
        <v>16898</v>
      </c>
      <c r="C5485" s="16">
        <v>28104.0</v>
      </c>
      <c r="D5485" s="17" t="s">
        <v>16899</v>
      </c>
    </row>
    <row r="5486">
      <c r="A5486" s="14">
        <v>10.0</v>
      </c>
      <c r="B5486" s="15" t="s">
        <v>16900</v>
      </c>
      <c r="C5486" s="16">
        <v>28104.0</v>
      </c>
      <c r="D5486" s="17" t="s">
        <v>16901</v>
      </c>
    </row>
    <row r="5487">
      <c r="A5487" s="14">
        <v>10.0</v>
      </c>
      <c r="B5487" s="15" t="s">
        <v>16902</v>
      </c>
      <c r="C5487" s="16">
        <v>28104.0</v>
      </c>
      <c r="D5487" s="17" t="s">
        <v>16903</v>
      </c>
    </row>
    <row r="5488">
      <c r="A5488" s="14">
        <v>10.0</v>
      </c>
      <c r="B5488" s="15" t="s">
        <v>16904</v>
      </c>
      <c r="C5488" s="16">
        <v>28104.0</v>
      </c>
      <c r="D5488" s="17" t="s">
        <v>16905</v>
      </c>
    </row>
    <row r="5489">
      <c r="A5489" s="14">
        <v>10.0</v>
      </c>
      <c r="B5489" s="15" t="s">
        <v>16906</v>
      </c>
      <c r="C5489" s="16">
        <v>28104.0</v>
      </c>
      <c r="D5489" s="17" t="s">
        <v>16907</v>
      </c>
    </row>
    <row r="5490">
      <c r="A5490" s="14">
        <v>10.0</v>
      </c>
      <c r="B5490" s="15" t="s">
        <v>16908</v>
      </c>
      <c r="C5490" s="16">
        <v>28104.0</v>
      </c>
      <c r="D5490" s="17" t="s">
        <v>16909</v>
      </c>
    </row>
    <row r="5491">
      <c r="A5491" s="14" t="s">
        <v>6074</v>
      </c>
      <c r="B5491" s="15" t="s">
        <v>16910</v>
      </c>
      <c r="C5491" s="16">
        <v>28105.0</v>
      </c>
      <c r="D5491" s="17" t="s">
        <v>16911</v>
      </c>
    </row>
    <row r="5492">
      <c r="A5492" s="14">
        <v>11.0</v>
      </c>
      <c r="B5492" s="15" t="s">
        <v>16912</v>
      </c>
      <c r="C5492" s="16">
        <v>28105.0</v>
      </c>
      <c r="D5492" s="17" t="s">
        <v>16913</v>
      </c>
    </row>
    <row r="5493">
      <c r="A5493" s="14">
        <v>11.0</v>
      </c>
      <c r="B5493" s="15" t="s">
        <v>16914</v>
      </c>
      <c r="C5493" s="16">
        <v>28105.0</v>
      </c>
      <c r="D5493" s="17" t="s">
        <v>16915</v>
      </c>
    </row>
    <row r="5494">
      <c r="A5494" s="14" t="s">
        <v>5908</v>
      </c>
      <c r="B5494" s="15" t="s">
        <v>16916</v>
      </c>
      <c r="C5494" s="16">
        <v>28106.0</v>
      </c>
      <c r="D5494" s="17" t="s">
        <v>16917</v>
      </c>
    </row>
    <row r="5495">
      <c r="A5495" s="14">
        <v>12.0</v>
      </c>
      <c r="B5495" s="15" t="s">
        <v>16918</v>
      </c>
      <c r="C5495" s="16">
        <v>28106.0</v>
      </c>
      <c r="D5495" s="17" t="s">
        <v>16919</v>
      </c>
    </row>
    <row r="5496">
      <c r="A5496" s="14">
        <v>12.0</v>
      </c>
      <c r="B5496" s="15" t="s">
        <v>16920</v>
      </c>
      <c r="C5496" s="16">
        <v>28106.0</v>
      </c>
      <c r="D5496" s="17" t="s">
        <v>16921</v>
      </c>
    </row>
    <row r="5497">
      <c r="A5497" s="14">
        <v>12.0</v>
      </c>
      <c r="B5497" s="15" t="s">
        <v>16922</v>
      </c>
      <c r="C5497" s="16">
        <v>28106.0</v>
      </c>
      <c r="D5497" s="17" t="s">
        <v>16923</v>
      </c>
    </row>
    <row r="5498">
      <c r="A5498" s="14" t="s">
        <v>7038</v>
      </c>
      <c r="B5498" s="15" t="s">
        <v>16924</v>
      </c>
      <c r="C5498" s="16">
        <v>28107.0</v>
      </c>
      <c r="D5498" s="17" t="s">
        <v>16925</v>
      </c>
    </row>
    <row r="5499">
      <c r="A5499" s="14">
        <v>13.0</v>
      </c>
      <c r="B5499" s="15" t="s">
        <v>16926</v>
      </c>
      <c r="C5499" s="16">
        <v>28107.0</v>
      </c>
      <c r="D5499" s="17" t="s">
        <v>16927</v>
      </c>
    </row>
    <row r="5500">
      <c r="A5500" s="14">
        <v>13.0</v>
      </c>
      <c r="B5500" s="15" t="s">
        <v>16928</v>
      </c>
      <c r="C5500" s="16">
        <v>28107.0</v>
      </c>
      <c r="D5500" s="17" t="s">
        <v>16929</v>
      </c>
    </row>
    <row r="5501">
      <c r="A5501" s="14" t="s">
        <v>7038</v>
      </c>
      <c r="B5501" s="15" t="s">
        <v>16930</v>
      </c>
      <c r="C5501" s="16">
        <v>28108.0</v>
      </c>
      <c r="D5501" s="17" t="s">
        <v>16931</v>
      </c>
    </row>
    <row r="5502">
      <c r="A5502" s="14">
        <v>14.0</v>
      </c>
      <c r="B5502" s="15" t="s">
        <v>16932</v>
      </c>
      <c r="C5502" s="16">
        <v>28108.0</v>
      </c>
      <c r="D5502" s="17" t="s">
        <v>16933</v>
      </c>
    </row>
    <row r="5503">
      <c r="A5503" s="14">
        <v>14.0</v>
      </c>
      <c r="B5503" s="15" t="s">
        <v>16934</v>
      </c>
      <c r="C5503" s="16">
        <v>28108.0</v>
      </c>
      <c r="D5503" s="17" t="s">
        <v>16935</v>
      </c>
    </row>
    <row r="5504">
      <c r="A5504" s="14" t="s">
        <v>7038</v>
      </c>
      <c r="B5504" s="15" t="s">
        <v>16936</v>
      </c>
      <c r="C5504" s="16">
        <v>28109.0</v>
      </c>
      <c r="D5504" s="17" t="s">
        <v>16937</v>
      </c>
    </row>
    <row r="5505">
      <c r="A5505" s="14">
        <v>15.0</v>
      </c>
      <c r="B5505" s="15" t="s">
        <v>16938</v>
      </c>
      <c r="C5505" s="16">
        <v>28109.0</v>
      </c>
      <c r="D5505" s="17" t="s">
        <v>16939</v>
      </c>
    </row>
    <row r="5506">
      <c r="A5506" s="14">
        <v>15.0</v>
      </c>
      <c r="B5506" s="15" t="s">
        <v>16940</v>
      </c>
      <c r="C5506" s="16">
        <v>28109.0</v>
      </c>
      <c r="D5506" s="17" t="s">
        <v>16941</v>
      </c>
    </row>
    <row r="5507">
      <c r="A5507" s="14" t="s">
        <v>7038</v>
      </c>
      <c r="B5507" s="15" t="s">
        <v>16942</v>
      </c>
      <c r="C5507" s="16">
        <v>28110.0</v>
      </c>
      <c r="D5507" s="17" t="s">
        <v>16943</v>
      </c>
    </row>
    <row r="5508">
      <c r="A5508" s="14">
        <v>16.0</v>
      </c>
      <c r="B5508" s="15" t="s">
        <v>16944</v>
      </c>
      <c r="C5508" s="16">
        <v>28110.0</v>
      </c>
      <c r="D5508" s="17" t="s">
        <v>16945</v>
      </c>
    </row>
    <row r="5509">
      <c r="A5509" s="14">
        <v>16.0</v>
      </c>
      <c r="B5509" s="15" t="s">
        <v>16946</v>
      </c>
      <c r="C5509" s="16">
        <v>28110.0</v>
      </c>
      <c r="D5509" s="17" t="s">
        <v>16947</v>
      </c>
    </row>
    <row r="5510">
      <c r="A5510" s="14">
        <v>16.0</v>
      </c>
      <c r="B5510" s="15" t="s">
        <v>16948</v>
      </c>
      <c r="C5510" s="16">
        <v>28110.0</v>
      </c>
      <c r="D5510" s="17" t="s">
        <v>16949</v>
      </c>
    </row>
    <row r="5511">
      <c r="A5511" s="14">
        <v>16.0</v>
      </c>
      <c r="B5511" s="15" t="s">
        <v>16950</v>
      </c>
      <c r="C5511" s="16">
        <v>28110.0</v>
      </c>
      <c r="D5511" s="17" t="s">
        <v>16951</v>
      </c>
    </row>
    <row r="5512">
      <c r="A5512" s="14" t="s">
        <v>5965</v>
      </c>
      <c r="B5512" s="15" t="s">
        <v>16952</v>
      </c>
      <c r="C5512" s="16">
        <v>28111.0</v>
      </c>
      <c r="D5512" s="17" t="s">
        <v>16953</v>
      </c>
    </row>
    <row r="5513">
      <c r="A5513" s="14">
        <v>17.0</v>
      </c>
      <c r="B5513" s="15" t="s">
        <v>16954</v>
      </c>
      <c r="C5513" s="16">
        <v>28111.0</v>
      </c>
      <c r="D5513" s="17" t="s">
        <v>16955</v>
      </c>
    </row>
    <row r="5514">
      <c r="A5514" s="14">
        <v>17.0</v>
      </c>
      <c r="B5514" s="15" t="s">
        <v>16956</v>
      </c>
      <c r="C5514" s="16">
        <v>28111.0</v>
      </c>
      <c r="D5514" s="17" t="s">
        <v>16957</v>
      </c>
    </row>
    <row r="5515">
      <c r="A5515" s="14">
        <v>20.0</v>
      </c>
      <c r="B5515" s="15" t="s">
        <v>16958</v>
      </c>
      <c r="C5515" s="16">
        <v>28114.0</v>
      </c>
      <c r="D5515" s="17" t="s">
        <v>16959</v>
      </c>
    </row>
    <row r="5516">
      <c r="A5516" s="14">
        <v>20.0</v>
      </c>
      <c r="B5516" s="15" t="s">
        <v>16960</v>
      </c>
      <c r="C5516" s="16">
        <v>28114.0</v>
      </c>
      <c r="D5516" s="17" t="s">
        <v>16961</v>
      </c>
    </row>
    <row r="5517">
      <c r="A5517" s="14">
        <v>20.0</v>
      </c>
      <c r="B5517" s="15" t="s">
        <v>16962</v>
      </c>
      <c r="C5517" s="16">
        <v>28114.0</v>
      </c>
      <c r="D5517" s="17" t="s">
        <v>16963</v>
      </c>
    </row>
    <row r="5518">
      <c r="A5518" s="14">
        <v>20.0</v>
      </c>
      <c r="B5518" s="15" t="s">
        <v>16964</v>
      </c>
      <c r="C5518" s="16">
        <v>28114.0</v>
      </c>
      <c r="D5518" s="17" t="s">
        <v>16965</v>
      </c>
    </row>
    <row r="5519">
      <c r="A5519" s="14">
        <v>22.0</v>
      </c>
      <c r="B5519" s="15" t="s">
        <v>16966</v>
      </c>
      <c r="C5519" s="16">
        <v>28116.0</v>
      </c>
      <c r="D5519" s="17" t="s">
        <v>16967</v>
      </c>
    </row>
    <row r="5520">
      <c r="A5520" s="14">
        <v>22.0</v>
      </c>
      <c r="B5520" s="15" t="s">
        <v>16968</v>
      </c>
      <c r="C5520" s="16">
        <v>28116.0</v>
      </c>
      <c r="D5520" s="17" t="s">
        <v>16969</v>
      </c>
    </row>
    <row r="5521">
      <c r="A5521" s="14">
        <v>24.0</v>
      </c>
      <c r="B5521" s="15" t="s">
        <v>16970</v>
      </c>
      <c r="C5521" s="16">
        <v>28118.0</v>
      </c>
      <c r="D5521" s="17" t="s">
        <v>16971</v>
      </c>
    </row>
    <row r="5522">
      <c r="A5522" s="14" t="s">
        <v>6374</v>
      </c>
      <c r="B5522" s="15" t="s">
        <v>16972</v>
      </c>
      <c r="C5522" s="16">
        <v>28119.0</v>
      </c>
      <c r="D5522" s="17" t="s">
        <v>16973</v>
      </c>
    </row>
    <row r="5523">
      <c r="A5523" s="14" t="s">
        <v>6858</v>
      </c>
      <c r="B5523" s="15" t="s">
        <v>16974</v>
      </c>
      <c r="C5523" s="16">
        <v>28119.0</v>
      </c>
      <c r="D5523" s="17" t="s">
        <v>16975</v>
      </c>
    </row>
    <row r="5524">
      <c r="A5524" s="14">
        <v>25.0</v>
      </c>
      <c r="B5524" s="15" t="s">
        <v>16976</v>
      </c>
      <c r="C5524" s="16">
        <v>28119.0</v>
      </c>
      <c r="D5524" s="17" t="s">
        <v>16977</v>
      </c>
    </row>
    <row r="5525">
      <c r="A5525" s="14">
        <v>25.0</v>
      </c>
      <c r="B5525" s="15" t="s">
        <v>16978</v>
      </c>
      <c r="C5525" s="16">
        <v>28119.0</v>
      </c>
      <c r="D5525" s="17" t="s">
        <v>16979</v>
      </c>
    </row>
    <row r="5526">
      <c r="A5526" s="14">
        <v>25.0</v>
      </c>
      <c r="B5526" s="15" t="s">
        <v>16980</v>
      </c>
      <c r="C5526" s="16">
        <v>28119.0</v>
      </c>
      <c r="D5526" s="17" t="s">
        <v>16981</v>
      </c>
    </row>
    <row r="5527">
      <c r="A5527" s="14">
        <v>25.0</v>
      </c>
      <c r="B5527" s="15" t="s">
        <v>16982</v>
      </c>
      <c r="C5527" s="16">
        <v>28119.0</v>
      </c>
      <c r="D5527" s="17" t="s">
        <v>16983</v>
      </c>
    </row>
    <row r="5528">
      <c r="A5528" s="14">
        <v>26.0</v>
      </c>
      <c r="B5528" s="15" t="s">
        <v>16984</v>
      </c>
      <c r="C5528" s="16">
        <v>28120.0</v>
      </c>
      <c r="D5528" s="17" t="s">
        <v>16985</v>
      </c>
    </row>
    <row r="5529">
      <c r="A5529" s="14">
        <v>26.0</v>
      </c>
      <c r="B5529" s="15" t="s">
        <v>16986</v>
      </c>
      <c r="C5529" s="16">
        <v>28120.0</v>
      </c>
      <c r="D5529" s="17" t="s">
        <v>16987</v>
      </c>
    </row>
    <row r="5530">
      <c r="A5530" s="14">
        <v>26.0</v>
      </c>
      <c r="B5530" s="15" t="s">
        <v>16988</v>
      </c>
      <c r="C5530" s="16">
        <v>28120.0</v>
      </c>
      <c r="D5530" s="17" t="s">
        <v>16989</v>
      </c>
    </row>
    <row r="5531">
      <c r="A5531" s="14">
        <v>26.0</v>
      </c>
      <c r="B5531" s="15" t="s">
        <v>16990</v>
      </c>
      <c r="C5531" s="16">
        <v>28120.0</v>
      </c>
      <c r="D5531" s="17" t="s">
        <v>16991</v>
      </c>
    </row>
    <row r="5532">
      <c r="A5532" s="14">
        <v>27.0</v>
      </c>
      <c r="B5532" s="15" t="s">
        <v>16992</v>
      </c>
      <c r="C5532" s="16">
        <v>28121.0</v>
      </c>
      <c r="D5532" s="17" t="s">
        <v>16993</v>
      </c>
    </row>
    <row r="5533">
      <c r="A5533" s="14">
        <v>27.0</v>
      </c>
      <c r="B5533" s="15" t="s">
        <v>16994</v>
      </c>
      <c r="C5533" s="16">
        <v>28121.0</v>
      </c>
      <c r="D5533" s="17" t="s">
        <v>16995</v>
      </c>
    </row>
    <row r="5534">
      <c r="A5534" s="14">
        <v>27.0</v>
      </c>
      <c r="B5534" s="15" t="s">
        <v>16996</v>
      </c>
      <c r="C5534" s="16">
        <v>28121.0</v>
      </c>
      <c r="D5534" s="17" t="s">
        <v>16997</v>
      </c>
    </row>
    <row r="5535">
      <c r="A5535" s="14" t="s">
        <v>6858</v>
      </c>
      <c r="B5535" s="15" t="s">
        <v>16998</v>
      </c>
      <c r="C5535" s="16">
        <v>28122.0</v>
      </c>
      <c r="D5535" s="17" t="s">
        <v>16999</v>
      </c>
    </row>
    <row r="5536">
      <c r="A5536" s="14">
        <v>28.0</v>
      </c>
      <c r="B5536" s="15" t="s">
        <v>17000</v>
      </c>
      <c r="C5536" s="16">
        <v>28122.0</v>
      </c>
      <c r="D5536" s="17" t="s">
        <v>17001</v>
      </c>
    </row>
    <row r="5537">
      <c r="A5537" s="14">
        <v>28.0</v>
      </c>
      <c r="B5537" s="15" t="s">
        <v>17002</v>
      </c>
      <c r="C5537" s="16">
        <v>28122.0</v>
      </c>
      <c r="D5537" s="17" t="s">
        <v>17003</v>
      </c>
    </row>
    <row r="5538">
      <c r="A5538" s="14">
        <v>28.0</v>
      </c>
      <c r="B5538" s="15" t="s">
        <v>17004</v>
      </c>
      <c r="C5538" s="16">
        <v>28122.0</v>
      </c>
      <c r="D5538" s="17" t="s">
        <v>17005</v>
      </c>
    </row>
    <row r="5539">
      <c r="A5539" s="14">
        <v>28.0</v>
      </c>
      <c r="B5539" s="15" t="s">
        <v>17006</v>
      </c>
      <c r="C5539" s="16">
        <v>28122.0</v>
      </c>
      <c r="D5539" s="17" t="s">
        <v>17007</v>
      </c>
    </row>
    <row r="5540">
      <c r="A5540" s="14" t="s">
        <v>6858</v>
      </c>
      <c r="B5540" s="15" t="s">
        <v>17008</v>
      </c>
      <c r="C5540" s="16">
        <v>28123.0</v>
      </c>
      <c r="D5540" s="17" t="s">
        <v>17009</v>
      </c>
    </row>
    <row r="5541">
      <c r="A5541" s="14">
        <v>29.0</v>
      </c>
      <c r="B5541" s="15" t="s">
        <v>17010</v>
      </c>
      <c r="C5541" s="16">
        <v>28123.0</v>
      </c>
      <c r="D5541" s="17" t="s">
        <v>17011</v>
      </c>
    </row>
    <row r="5542">
      <c r="A5542" s="14">
        <v>29.0</v>
      </c>
      <c r="B5542" s="15" t="s">
        <v>17012</v>
      </c>
      <c r="C5542" s="16">
        <v>28123.0</v>
      </c>
      <c r="D5542" s="17" t="s">
        <v>17013</v>
      </c>
    </row>
    <row r="5543">
      <c r="A5543" s="14">
        <v>29.0</v>
      </c>
      <c r="B5543" s="15" t="s">
        <v>17014</v>
      </c>
      <c r="C5543" s="16">
        <v>28123.0</v>
      </c>
      <c r="D5543" s="17" t="s">
        <v>17015</v>
      </c>
    </row>
    <row r="5544">
      <c r="A5544" s="14">
        <v>29.0</v>
      </c>
      <c r="B5544" s="15" t="s">
        <v>17016</v>
      </c>
      <c r="C5544" s="16">
        <v>28123.0</v>
      </c>
      <c r="D5544" s="17" t="s">
        <v>17017</v>
      </c>
    </row>
    <row r="5545">
      <c r="A5545" s="14">
        <v>30.0</v>
      </c>
      <c r="B5545" s="15" t="s">
        <v>17018</v>
      </c>
      <c r="C5545" s="16">
        <v>28124.0</v>
      </c>
      <c r="D5545" s="17" t="s">
        <v>17019</v>
      </c>
    </row>
    <row r="5546">
      <c r="A5546" s="14">
        <v>31.0</v>
      </c>
      <c r="B5546" s="15" t="s">
        <v>17020</v>
      </c>
      <c r="C5546" s="16">
        <v>28125.0</v>
      </c>
      <c r="D5546" s="17" t="s">
        <v>17021</v>
      </c>
    </row>
    <row r="5547">
      <c r="A5547" s="14">
        <v>31.0</v>
      </c>
      <c r="B5547" s="15" t="s">
        <v>17022</v>
      </c>
      <c r="C5547" s="16">
        <v>28125.0</v>
      </c>
      <c r="D5547" s="17" t="s">
        <v>17023</v>
      </c>
    </row>
    <row r="5548">
      <c r="A5548" s="14">
        <v>31.0</v>
      </c>
      <c r="B5548" s="15" t="s">
        <v>17024</v>
      </c>
      <c r="C5548" s="16">
        <v>28125.0</v>
      </c>
      <c r="D5548" s="17" t="s">
        <v>17025</v>
      </c>
    </row>
    <row r="5549">
      <c r="A5549" s="14" t="s">
        <v>6353</v>
      </c>
      <c r="B5549" s="15" t="s">
        <v>17026</v>
      </c>
      <c r="C5549" s="16">
        <v>28127.0</v>
      </c>
      <c r="D5549" s="17" t="s">
        <v>17027</v>
      </c>
    </row>
    <row r="5550">
      <c r="A5550" s="14">
        <v>2.0</v>
      </c>
      <c r="B5550" s="15" t="s">
        <v>17028</v>
      </c>
      <c r="C5550" s="16">
        <v>28127.0</v>
      </c>
      <c r="D5550" s="17" t="s">
        <v>17029</v>
      </c>
    </row>
    <row r="5551">
      <c r="A5551" s="14">
        <v>2.0</v>
      </c>
      <c r="B5551" s="15" t="s">
        <v>17030</v>
      </c>
      <c r="C5551" s="16">
        <v>28127.0</v>
      </c>
      <c r="D5551" s="17" t="s">
        <v>17031</v>
      </c>
    </row>
    <row r="5552">
      <c r="A5552" s="14">
        <v>2.0</v>
      </c>
      <c r="B5552" s="15" t="s">
        <v>17032</v>
      </c>
      <c r="C5552" s="16">
        <v>28127.0</v>
      </c>
      <c r="D5552" s="17" t="s">
        <v>17033</v>
      </c>
    </row>
    <row r="5553">
      <c r="A5553" s="14">
        <v>2.0</v>
      </c>
      <c r="B5553" s="15" t="s">
        <v>17034</v>
      </c>
      <c r="C5553" s="16">
        <v>28127.0</v>
      </c>
      <c r="D5553" s="17" t="s">
        <v>17035</v>
      </c>
    </row>
    <row r="5554">
      <c r="A5554" s="14">
        <v>2.0</v>
      </c>
      <c r="B5554" s="15" t="s">
        <v>17036</v>
      </c>
      <c r="C5554" s="16">
        <v>28127.0</v>
      </c>
      <c r="D5554" s="17" t="s">
        <v>17037</v>
      </c>
    </row>
    <row r="5555">
      <c r="A5555" s="14">
        <v>3.0</v>
      </c>
      <c r="B5555" s="15" t="s">
        <v>17038</v>
      </c>
      <c r="C5555" s="16">
        <v>28128.0</v>
      </c>
      <c r="D5555" s="17" t="s">
        <v>17039</v>
      </c>
    </row>
    <row r="5556">
      <c r="A5556" s="14">
        <v>3.0</v>
      </c>
      <c r="B5556" s="15" t="s">
        <v>17040</v>
      </c>
      <c r="C5556" s="16">
        <v>28128.0</v>
      </c>
      <c r="D5556" s="17" t="s">
        <v>17041</v>
      </c>
    </row>
    <row r="5557">
      <c r="A5557" s="14" t="s">
        <v>6374</v>
      </c>
      <c r="B5557" s="15" t="s">
        <v>17042</v>
      </c>
      <c r="C5557" s="16">
        <v>28129.0</v>
      </c>
      <c r="D5557" s="17" t="s">
        <v>17043</v>
      </c>
    </row>
    <row r="5558">
      <c r="A5558" s="14">
        <v>4.0</v>
      </c>
      <c r="B5558" s="15" t="s">
        <v>17044</v>
      </c>
      <c r="C5558" s="16">
        <v>28129.0</v>
      </c>
      <c r="D5558" s="17" t="s">
        <v>17045</v>
      </c>
    </row>
    <row r="5559">
      <c r="A5559" s="14">
        <v>4.0</v>
      </c>
      <c r="B5559" s="15" t="s">
        <v>17046</v>
      </c>
      <c r="C5559" s="16">
        <v>28129.0</v>
      </c>
      <c r="D5559" s="17" t="s">
        <v>17047</v>
      </c>
    </row>
    <row r="5560">
      <c r="A5560" s="14">
        <v>4.0</v>
      </c>
      <c r="B5560" s="15" t="s">
        <v>17048</v>
      </c>
      <c r="C5560" s="16">
        <v>28129.0</v>
      </c>
      <c r="D5560" s="17" t="s">
        <v>17049</v>
      </c>
    </row>
    <row r="5561">
      <c r="A5561" s="14" t="s">
        <v>6353</v>
      </c>
      <c r="B5561" s="15" t="s">
        <v>17050</v>
      </c>
      <c r="C5561" s="16">
        <v>28130.0</v>
      </c>
      <c r="D5561" s="17" t="s">
        <v>17051</v>
      </c>
    </row>
    <row r="5562">
      <c r="A5562" s="14">
        <v>5.0</v>
      </c>
      <c r="B5562" s="15" t="s">
        <v>17052</v>
      </c>
      <c r="C5562" s="16">
        <v>28130.0</v>
      </c>
      <c r="D5562" s="17" t="s">
        <v>17053</v>
      </c>
    </row>
    <row r="5563">
      <c r="A5563" s="14">
        <v>5.0</v>
      </c>
      <c r="B5563" s="15" t="s">
        <v>17054</v>
      </c>
      <c r="C5563" s="16">
        <v>28130.0</v>
      </c>
      <c r="D5563" s="17" t="s">
        <v>17055</v>
      </c>
    </row>
    <row r="5564">
      <c r="A5564" s="14">
        <v>5.0</v>
      </c>
      <c r="B5564" s="15" t="s">
        <v>17056</v>
      </c>
      <c r="C5564" s="16">
        <v>28130.0</v>
      </c>
      <c r="D5564" s="17" t="s">
        <v>17057</v>
      </c>
    </row>
    <row r="5565">
      <c r="A5565" s="14">
        <v>5.0</v>
      </c>
      <c r="B5565" s="15" t="s">
        <v>17058</v>
      </c>
      <c r="C5565" s="16">
        <v>28130.0</v>
      </c>
      <c r="D5565" s="17" t="s">
        <v>17059</v>
      </c>
    </row>
    <row r="5566">
      <c r="A5566" s="14">
        <v>6.0</v>
      </c>
      <c r="B5566" s="15" t="s">
        <v>17060</v>
      </c>
      <c r="C5566" s="16">
        <v>28131.0</v>
      </c>
      <c r="D5566" s="17" t="s">
        <v>17061</v>
      </c>
    </row>
    <row r="5567">
      <c r="A5567" s="14">
        <v>6.0</v>
      </c>
      <c r="B5567" s="15" t="s">
        <v>17062</v>
      </c>
      <c r="C5567" s="16">
        <v>28131.0</v>
      </c>
      <c r="D5567" s="17" t="s">
        <v>17063</v>
      </c>
    </row>
    <row r="5568">
      <c r="A5568" s="14">
        <v>7.0</v>
      </c>
      <c r="B5568" s="15" t="s">
        <v>17064</v>
      </c>
      <c r="C5568" s="16">
        <v>28132.0</v>
      </c>
      <c r="D5568" s="17" t="s">
        <v>17065</v>
      </c>
    </row>
    <row r="5569">
      <c r="A5569" s="14">
        <v>7.0</v>
      </c>
      <c r="B5569" s="15" t="s">
        <v>17066</v>
      </c>
      <c r="C5569" s="16">
        <v>28132.0</v>
      </c>
      <c r="D5569" s="17" t="s">
        <v>17067</v>
      </c>
    </row>
    <row r="5570">
      <c r="A5570" s="14" t="s">
        <v>6374</v>
      </c>
      <c r="B5570" s="15" t="s">
        <v>17068</v>
      </c>
      <c r="C5570" s="16">
        <v>28133.0</v>
      </c>
      <c r="D5570" s="17" t="s">
        <v>17069</v>
      </c>
    </row>
    <row r="5571">
      <c r="A5571" s="14" t="s">
        <v>6353</v>
      </c>
      <c r="B5571" s="15" t="s">
        <v>17070</v>
      </c>
      <c r="C5571" s="16">
        <v>28133.0</v>
      </c>
      <c r="D5571" s="17" t="s">
        <v>17071</v>
      </c>
    </row>
    <row r="5572">
      <c r="A5572" s="14">
        <v>8.0</v>
      </c>
      <c r="B5572" s="15" t="s">
        <v>17072</v>
      </c>
      <c r="C5572" s="16">
        <v>28133.0</v>
      </c>
      <c r="D5572" s="17" t="s">
        <v>17073</v>
      </c>
    </row>
    <row r="5573">
      <c r="A5573" s="14">
        <v>8.0</v>
      </c>
      <c r="B5573" s="15" t="s">
        <v>17074</v>
      </c>
      <c r="C5573" s="16">
        <v>28133.0</v>
      </c>
      <c r="D5573" s="17" t="s">
        <v>17075</v>
      </c>
    </row>
    <row r="5574">
      <c r="A5574" s="14">
        <v>8.0</v>
      </c>
      <c r="B5574" s="15" t="s">
        <v>17076</v>
      </c>
      <c r="C5574" s="16">
        <v>28133.0</v>
      </c>
      <c r="D5574" s="17" t="s">
        <v>17077</v>
      </c>
    </row>
    <row r="5575">
      <c r="A5575" s="14">
        <v>8.0</v>
      </c>
      <c r="B5575" s="15" t="s">
        <v>17078</v>
      </c>
      <c r="C5575" s="16">
        <v>28133.0</v>
      </c>
      <c r="D5575" s="17" t="s">
        <v>17079</v>
      </c>
    </row>
    <row r="5576">
      <c r="A5576" s="14">
        <v>8.0</v>
      </c>
      <c r="B5576" s="15" t="s">
        <v>17080</v>
      </c>
      <c r="C5576" s="16">
        <v>28133.0</v>
      </c>
      <c r="D5576" s="17" t="s">
        <v>17081</v>
      </c>
    </row>
    <row r="5577">
      <c r="A5577" s="14">
        <v>8.0</v>
      </c>
      <c r="B5577" s="15" t="s">
        <v>17082</v>
      </c>
      <c r="C5577" s="16">
        <v>28133.0</v>
      </c>
      <c r="D5577" s="17" t="s">
        <v>17083</v>
      </c>
    </row>
    <row r="5578">
      <c r="A5578" s="14">
        <v>8.0</v>
      </c>
      <c r="B5578" s="15" t="s">
        <v>17084</v>
      </c>
      <c r="C5578" s="16">
        <v>28133.0</v>
      </c>
      <c r="D5578" s="17" t="s">
        <v>17085</v>
      </c>
    </row>
    <row r="5579">
      <c r="A5579" s="14">
        <v>8.0</v>
      </c>
      <c r="B5579" s="15" t="s">
        <v>17086</v>
      </c>
      <c r="C5579" s="16">
        <v>28133.0</v>
      </c>
      <c r="D5579" s="17" t="s">
        <v>17087</v>
      </c>
    </row>
    <row r="5580">
      <c r="A5580" s="14">
        <v>8.0</v>
      </c>
      <c r="B5580" s="15" t="s">
        <v>17088</v>
      </c>
      <c r="C5580" s="16">
        <v>28133.0</v>
      </c>
      <c r="D5580" s="17" t="s">
        <v>17089</v>
      </c>
    </row>
    <row r="5581">
      <c r="A5581" s="14">
        <v>8.0</v>
      </c>
      <c r="B5581" s="15" t="s">
        <v>17090</v>
      </c>
      <c r="C5581" s="16">
        <v>28133.0</v>
      </c>
      <c r="D5581" s="17" t="s">
        <v>17091</v>
      </c>
    </row>
    <row r="5582">
      <c r="A5582" s="14" t="s">
        <v>6353</v>
      </c>
      <c r="B5582" s="15" t="s">
        <v>17092</v>
      </c>
      <c r="C5582" s="16">
        <v>28134.0</v>
      </c>
      <c r="D5582" s="17" t="s">
        <v>17093</v>
      </c>
    </row>
    <row r="5583">
      <c r="A5583" s="14" t="s">
        <v>6353</v>
      </c>
      <c r="B5583" s="15" t="s">
        <v>17094</v>
      </c>
      <c r="C5583" s="16">
        <v>28134.0</v>
      </c>
      <c r="D5583" s="17" t="s">
        <v>17095</v>
      </c>
    </row>
    <row r="5584">
      <c r="A5584" s="14">
        <v>9.0</v>
      </c>
      <c r="B5584" s="15" t="s">
        <v>17096</v>
      </c>
      <c r="C5584" s="16">
        <v>28134.0</v>
      </c>
      <c r="D5584" s="17" t="s">
        <v>17097</v>
      </c>
    </row>
    <row r="5585">
      <c r="A5585" s="14">
        <v>9.0</v>
      </c>
      <c r="B5585" s="15" t="s">
        <v>17098</v>
      </c>
      <c r="C5585" s="16">
        <v>28134.0</v>
      </c>
      <c r="D5585" s="17" t="s">
        <v>17099</v>
      </c>
    </row>
    <row r="5586">
      <c r="A5586" s="14">
        <v>9.0</v>
      </c>
      <c r="B5586" s="15" t="s">
        <v>17100</v>
      </c>
      <c r="C5586" s="16">
        <v>28134.0</v>
      </c>
      <c r="D5586" s="17" t="s">
        <v>17101</v>
      </c>
    </row>
    <row r="5587">
      <c r="A5587" s="14">
        <v>9.0</v>
      </c>
      <c r="B5587" s="15" t="s">
        <v>17102</v>
      </c>
      <c r="C5587" s="16">
        <v>28134.0</v>
      </c>
      <c r="D5587" s="17" t="s">
        <v>17103</v>
      </c>
    </row>
    <row r="5588">
      <c r="A5588" s="14">
        <v>9.0</v>
      </c>
      <c r="B5588" s="15" t="s">
        <v>17104</v>
      </c>
      <c r="C5588" s="16">
        <v>28134.0</v>
      </c>
      <c r="D5588" s="17" t="s">
        <v>17105</v>
      </c>
    </row>
    <row r="5589">
      <c r="A5589" s="14">
        <v>9.0</v>
      </c>
      <c r="B5589" s="15" t="s">
        <v>17106</v>
      </c>
      <c r="C5589" s="16">
        <v>28134.0</v>
      </c>
      <c r="D5589" s="17" t="s">
        <v>17107</v>
      </c>
    </row>
    <row r="5590">
      <c r="A5590" s="14">
        <v>10.0</v>
      </c>
      <c r="B5590" s="15" t="s">
        <v>17108</v>
      </c>
      <c r="C5590" s="16">
        <v>28135.0</v>
      </c>
      <c r="D5590" s="17" t="s">
        <v>17109</v>
      </c>
    </row>
    <row r="5591">
      <c r="A5591" s="14">
        <v>11.0</v>
      </c>
      <c r="B5591" s="15" t="s">
        <v>17110</v>
      </c>
      <c r="C5591" s="16">
        <v>28136.0</v>
      </c>
      <c r="D5591" s="17" t="s">
        <v>17111</v>
      </c>
    </row>
    <row r="5592">
      <c r="A5592" s="14">
        <v>13.0</v>
      </c>
      <c r="B5592" s="15" t="s">
        <v>17112</v>
      </c>
      <c r="C5592" s="16">
        <v>28138.0</v>
      </c>
      <c r="D5592" s="17" t="s">
        <v>17113</v>
      </c>
    </row>
    <row r="5593">
      <c r="A5593" s="14">
        <v>13.0</v>
      </c>
      <c r="B5593" s="15" t="s">
        <v>17114</v>
      </c>
      <c r="C5593" s="16">
        <v>28138.0</v>
      </c>
      <c r="D5593" s="17" t="s">
        <v>17115</v>
      </c>
    </row>
    <row r="5594">
      <c r="A5594" s="14" t="s">
        <v>6057</v>
      </c>
      <c r="B5594" s="15" t="s">
        <v>17116</v>
      </c>
      <c r="C5594" s="16">
        <v>28140.0</v>
      </c>
      <c r="D5594" s="17" t="s">
        <v>17117</v>
      </c>
    </row>
    <row r="5595">
      <c r="A5595" s="14">
        <v>15.0</v>
      </c>
      <c r="B5595" s="15" t="s">
        <v>17118</v>
      </c>
      <c r="C5595" s="16">
        <v>28140.0</v>
      </c>
      <c r="D5595" s="17" t="s">
        <v>17119</v>
      </c>
    </row>
    <row r="5596">
      <c r="A5596" s="14">
        <v>15.0</v>
      </c>
      <c r="B5596" s="15" t="s">
        <v>17120</v>
      </c>
      <c r="C5596" s="16">
        <v>28140.0</v>
      </c>
      <c r="D5596" s="17" t="s">
        <v>17121</v>
      </c>
    </row>
    <row r="5597">
      <c r="A5597" s="14">
        <v>15.0</v>
      </c>
      <c r="B5597" s="15" t="s">
        <v>17122</v>
      </c>
      <c r="C5597" s="16">
        <v>28140.0</v>
      </c>
      <c r="D5597" s="17" t="s">
        <v>17123</v>
      </c>
    </row>
    <row r="5598">
      <c r="A5598" s="14">
        <v>16.0</v>
      </c>
      <c r="B5598" s="15" t="s">
        <v>17124</v>
      </c>
      <c r="C5598" s="16">
        <v>28141.0</v>
      </c>
      <c r="D5598" s="17" t="s">
        <v>17125</v>
      </c>
    </row>
    <row r="5599">
      <c r="A5599" s="14">
        <v>16.0</v>
      </c>
      <c r="B5599" s="15" t="s">
        <v>17126</v>
      </c>
      <c r="C5599" s="16">
        <v>28141.0</v>
      </c>
      <c r="D5599" s="17" t="s">
        <v>17127</v>
      </c>
    </row>
    <row r="5600">
      <c r="A5600" s="14">
        <v>16.0</v>
      </c>
      <c r="B5600" s="15" t="s">
        <v>17128</v>
      </c>
      <c r="C5600" s="16">
        <v>28141.0</v>
      </c>
      <c r="D5600" s="17" t="s">
        <v>17129</v>
      </c>
    </row>
    <row r="5601">
      <c r="A5601" s="14">
        <v>19.0</v>
      </c>
      <c r="B5601" s="15" t="s">
        <v>17130</v>
      </c>
      <c r="C5601" s="16">
        <v>28144.0</v>
      </c>
      <c r="D5601" s="17" t="s">
        <v>17131</v>
      </c>
    </row>
    <row r="5602">
      <c r="A5602" s="14">
        <v>19.0</v>
      </c>
      <c r="B5602" s="15" t="s">
        <v>17132</v>
      </c>
      <c r="C5602" s="16">
        <v>28144.0</v>
      </c>
      <c r="D5602" s="17" t="s">
        <v>17133</v>
      </c>
    </row>
    <row r="5603">
      <c r="A5603" s="14">
        <v>19.0</v>
      </c>
      <c r="B5603" s="15" t="s">
        <v>17134</v>
      </c>
      <c r="C5603" s="16">
        <v>28144.0</v>
      </c>
      <c r="D5603" s="17" t="s">
        <v>17135</v>
      </c>
    </row>
    <row r="5604">
      <c r="A5604" s="14">
        <v>19.0</v>
      </c>
      <c r="B5604" s="15" t="s">
        <v>17136</v>
      </c>
      <c r="C5604" s="16">
        <v>28144.0</v>
      </c>
      <c r="D5604" s="17" t="s">
        <v>17137</v>
      </c>
    </row>
    <row r="5605">
      <c r="A5605" s="14">
        <v>20.0</v>
      </c>
      <c r="B5605" s="15" t="s">
        <v>17138</v>
      </c>
      <c r="C5605" s="16">
        <v>28145.0</v>
      </c>
      <c r="D5605" s="17" t="s">
        <v>17139</v>
      </c>
    </row>
    <row r="5606">
      <c r="A5606" s="14">
        <v>20.0</v>
      </c>
      <c r="B5606" s="15" t="s">
        <v>17140</v>
      </c>
      <c r="C5606" s="16">
        <v>28145.0</v>
      </c>
      <c r="D5606" s="17" t="s">
        <v>17141</v>
      </c>
    </row>
    <row r="5607">
      <c r="A5607" s="14">
        <v>20.0</v>
      </c>
      <c r="B5607" s="15" t="s">
        <v>17142</v>
      </c>
      <c r="C5607" s="16">
        <v>28145.0</v>
      </c>
      <c r="D5607" s="17" t="s">
        <v>17143</v>
      </c>
    </row>
    <row r="5608">
      <c r="A5608" s="14">
        <v>21.0</v>
      </c>
      <c r="B5608" s="15" t="s">
        <v>17144</v>
      </c>
      <c r="C5608" s="16">
        <v>28146.0</v>
      </c>
      <c r="D5608" s="17" t="s">
        <v>17145</v>
      </c>
    </row>
    <row r="5609">
      <c r="A5609" s="14">
        <v>21.0</v>
      </c>
      <c r="B5609" s="15" t="s">
        <v>17146</v>
      </c>
      <c r="C5609" s="16">
        <v>28146.0</v>
      </c>
      <c r="D5609" s="17" t="s">
        <v>17147</v>
      </c>
    </row>
    <row r="5610">
      <c r="A5610" s="14">
        <v>21.0</v>
      </c>
      <c r="B5610" s="15" t="s">
        <v>17148</v>
      </c>
      <c r="C5610" s="16">
        <v>28146.0</v>
      </c>
      <c r="D5610" s="17" t="s">
        <v>17149</v>
      </c>
    </row>
    <row r="5611">
      <c r="A5611" s="14">
        <v>21.0</v>
      </c>
      <c r="B5611" s="15" t="s">
        <v>17150</v>
      </c>
      <c r="C5611" s="16">
        <v>28146.0</v>
      </c>
      <c r="D5611" s="17" t="s">
        <v>17151</v>
      </c>
    </row>
    <row r="5612">
      <c r="A5612" s="14">
        <v>21.0</v>
      </c>
      <c r="B5612" s="15" t="s">
        <v>17152</v>
      </c>
      <c r="C5612" s="16">
        <v>28146.0</v>
      </c>
      <c r="D5612" s="17" t="s">
        <v>17153</v>
      </c>
    </row>
    <row r="5613">
      <c r="A5613" s="14">
        <v>21.0</v>
      </c>
      <c r="B5613" s="15" t="s">
        <v>17154</v>
      </c>
      <c r="C5613" s="16">
        <v>28146.0</v>
      </c>
      <c r="D5613" s="17" t="s">
        <v>17155</v>
      </c>
    </row>
    <row r="5614">
      <c r="A5614" s="14">
        <v>21.0</v>
      </c>
      <c r="B5614" s="15" t="s">
        <v>17156</v>
      </c>
      <c r="C5614" s="16">
        <v>28146.0</v>
      </c>
      <c r="D5614" s="17" t="s">
        <v>17157</v>
      </c>
    </row>
    <row r="5615">
      <c r="A5615" s="14">
        <v>21.0</v>
      </c>
      <c r="B5615" s="15" t="s">
        <v>17158</v>
      </c>
      <c r="C5615" s="16">
        <v>28146.0</v>
      </c>
      <c r="D5615" s="17" t="s">
        <v>17159</v>
      </c>
    </row>
    <row r="5616">
      <c r="A5616" s="14">
        <v>22.0</v>
      </c>
      <c r="B5616" s="15" t="s">
        <v>17160</v>
      </c>
      <c r="C5616" s="16">
        <v>28147.0</v>
      </c>
      <c r="D5616" s="17" t="s">
        <v>17161</v>
      </c>
    </row>
    <row r="5617">
      <c r="A5617" s="14">
        <v>22.0</v>
      </c>
      <c r="B5617" s="15" t="s">
        <v>17162</v>
      </c>
      <c r="C5617" s="16">
        <v>28147.0</v>
      </c>
      <c r="D5617" s="17" t="s">
        <v>17163</v>
      </c>
    </row>
    <row r="5618">
      <c r="A5618" s="14">
        <v>22.0</v>
      </c>
      <c r="B5618" s="15" t="s">
        <v>17164</v>
      </c>
      <c r="C5618" s="16">
        <v>28147.0</v>
      </c>
      <c r="D5618" s="17" t="s">
        <v>17165</v>
      </c>
    </row>
    <row r="5619">
      <c r="A5619" s="14">
        <v>22.0</v>
      </c>
      <c r="B5619" s="15" t="s">
        <v>17166</v>
      </c>
      <c r="C5619" s="16">
        <v>28147.0</v>
      </c>
      <c r="D5619" s="17" t="s">
        <v>17167</v>
      </c>
    </row>
    <row r="5620">
      <c r="A5620" s="14" t="s">
        <v>6057</v>
      </c>
      <c r="B5620" s="15" t="s">
        <v>17168</v>
      </c>
      <c r="C5620" s="16">
        <v>28148.0</v>
      </c>
      <c r="D5620" s="17" t="s">
        <v>17169</v>
      </c>
    </row>
    <row r="5621">
      <c r="A5621" s="14">
        <v>23.0</v>
      </c>
      <c r="B5621" s="15" t="s">
        <v>17170</v>
      </c>
      <c r="C5621" s="16">
        <v>28148.0</v>
      </c>
      <c r="D5621" s="17" t="s">
        <v>17171</v>
      </c>
    </row>
    <row r="5622">
      <c r="A5622" s="14">
        <v>23.0</v>
      </c>
      <c r="B5622" s="15" t="s">
        <v>17172</v>
      </c>
      <c r="C5622" s="16">
        <v>28148.0</v>
      </c>
      <c r="D5622" s="17" t="s">
        <v>17173</v>
      </c>
    </row>
    <row r="5623">
      <c r="A5623" s="14">
        <v>23.0</v>
      </c>
      <c r="B5623" s="15" t="s">
        <v>17174</v>
      </c>
      <c r="C5623" s="16">
        <v>28148.0</v>
      </c>
      <c r="D5623" s="17" t="s">
        <v>17175</v>
      </c>
    </row>
    <row r="5624">
      <c r="A5624" s="14">
        <v>23.0</v>
      </c>
      <c r="B5624" s="15" t="s">
        <v>17176</v>
      </c>
      <c r="C5624" s="16">
        <v>28148.0</v>
      </c>
      <c r="D5624" s="17" t="s">
        <v>17177</v>
      </c>
    </row>
    <row r="5625">
      <c r="A5625" s="14">
        <v>23.0</v>
      </c>
      <c r="B5625" s="15" t="s">
        <v>17178</v>
      </c>
      <c r="C5625" s="16">
        <v>28148.0</v>
      </c>
      <c r="D5625" s="17" t="s">
        <v>17179</v>
      </c>
    </row>
    <row r="5626">
      <c r="A5626" s="14" t="s">
        <v>6057</v>
      </c>
      <c r="B5626" s="15" t="s">
        <v>17180</v>
      </c>
      <c r="C5626" s="16">
        <v>28149.0</v>
      </c>
      <c r="D5626" s="17" t="s">
        <v>17181</v>
      </c>
    </row>
    <row r="5627">
      <c r="A5627" s="14">
        <v>24.0</v>
      </c>
      <c r="B5627" s="15" t="s">
        <v>17182</v>
      </c>
      <c r="C5627" s="16">
        <v>28149.0</v>
      </c>
      <c r="D5627" s="17" t="s">
        <v>17183</v>
      </c>
    </row>
    <row r="5628">
      <c r="A5628" s="14">
        <v>24.0</v>
      </c>
      <c r="B5628" s="15" t="s">
        <v>17184</v>
      </c>
      <c r="C5628" s="16">
        <v>28149.0</v>
      </c>
      <c r="D5628" s="17" t="s">
        <v>17185</v>
      </c>
    </row>
    <row r="5629">
      <c r="A5629" s="14">
        <v>24.0</v>
      </c>
      <c r="B5629" s="15" t="s">
        <v>17186</v>
      </c>
      <c r="C5629" s="16">
        <v>28149.0</v>
      </c>
      <c r="D5629" s="17" t="s">
        <v>17187</v>
      </c>
    </row>
    <row r="5630">
      <c r="A5630" s="14">
        <v>24.0</v>
      </c>
      <c r="B5630" s="15" t="s">
        <v>17188</v>
      </c>
      <c r="C5630" s="16">
        <v>28149.0</v>
      </c>
      <c r="D5630" s="17" t="s">
        <v>17189</v>
      </c>
    </row>
    <row r="5631">
      <c r="A5631" s="14">
        <v>24.0</v>
      </c>
      <c r="B5631" s="15" t="s">
        <v>17190</v>
      </c>
      <c r="C5631" s="16">
        <v>28149.0</v>
      </c>
      <c r="D5631" s="17" t="s">
        <v>17191</v>
      </c>
    </row>
    <row r="5632">
      <c r="A5632" s="14" t="s">
        <v>6353</v>
      </c>
      <c r="B5632" s="15" t="s">
        <v>17192</v>
      </c>
      <c r="C5632" s="16">
        <v>28150.0</v>
      </c>
      <c r="D5632" s="17" t="s">
        <v>17193</v>
      </c>
    </row>
    <row r="5633">
      <c r="A5633" s="14">
        <v>25.0</v>
      </c>
      <c r="B5633" s="15" t="s">
        <v>17194</v>
      </c>
      <c r="C5633" s="16">
        <v>28150.0</v>
      </c>
      <c r="D5633" s="17" t="s">
        <v>17195</v>
      </c>
    </row>
    <row r="5634">
      <c r="A5634" s="14">
        <v>25.0</v>
      </c>
      <c r="B5634" s="15" t="s">
        <v>17196</v>
      </c>
      <c r="C5634" s="16">
        <v>28150.0</v>
      </c>
      <c r="D5634" s="17" t="s">
        <v>17197</v>
      </c>
    </row>
    <row r="5635">
      <c r="A5635" s="14">
        <v>25.0</v>
      </c>
      <c r="B5635" s="15" t="s">
        <v>17198</v>
      </c>
      <c r="C5635" s="16">
        <v>28150.0</v>
      </c>
      <c r="D5635" s="17" t="s">
        <v>17199</v>
      </c>
    </row>
    <row r="5636">
      <c r="A5636" s="14">
        <v>25.0</v>
      </c>
      <c r="B5636" s="15" t="s">
        <v>17200</v>
      </c>
      <c r="C5636" s="16">
        <v>28150.0</v>
      </c>
      <c r="D5636" s="17" t="s">
        <v>17201</v>
      </c>
    </row>
    <row r="5637">
      <c r="A5637" s="14">
        <v>26.0</v>
      </c>
      <c r="B5637" s="15" t="s">
        <v>17202</v>
      </c>
      <c r="C5637" s="16">
        <v>28151.0</v>
      </c>
      <c r="D5637" s="17" t="s">
        <v>17203</v>
      </c>
    </row>
    <row r="5638">
      <c r="A5638" s="14">
        <v>26.0</v>
      </c>
      <c r="B5638" s="15" t="s">
        <v>17204</v>
      </c>
      <c r="C5638" s="16">
        <v>28151.0</v>
      </c>
      <c r="D5638" s="17" t="s">
        <v>17205</v>
      </c>
    </row>
    <row r="5639">
      <c r="A5639" s="14">
        <v>26.0</v>
      </c>
      <c r="B5639" s="15" t="s">
        <v>17206</v>
      </c>
      <c r="C5639" s="16">
        <v>28151.0</v>
      </c>
      <c r="D5639" s="17" t="s">
        <v>17207</v>
      </c>
    </row>
    <row r="5640">
      <c r="A5640" s="14">
        <v>27.0</v>
      </c>
      <c r="B5640" s="15" t="s">
        <v>17208</v>
      </c>
      <c r="C5640" s="16">
        <v>28152.0</v>
      </c>
      <c r="D5640" s="17" t="s">
        <v>17209</v>
      </c>
    </row>
    <row r="5641">
      <c r="A5641" s="14">
        <v>27.0</v>
      </c>
      <c r="B5641" s="15" t="s">
        <v>17210</v>
      </c>
      <c r="C5641" s="16">
        <v>28152.0</v>
      </c>
      <c r="D5641" s="17" t="s">
        <v>17211</v>
      </c>
    </row>
    <row r="5642">
      <c r="A5642" s="14">
        <v>27.0</v>
      </c>
      <c r="B5642" s="15" t="s">
        <v>17212</v>
      </c>
      <c r="C5642" s="16">
        <v>28152.0</v>
      </c>
      <c r="D5642" s="17" t="s">
        <v>17213</v>
      </c>
    </row>
    <row r="5643">
      <c r="A5643" s="14">
        <v>27.0</v>
      </c>
      <c r="B5643" s="15" t="s">
        <v>17214</v>
      </c>
      <c r="C5643" s="16">
        <v>28152.0</v>
      </c>
      <c r="D5643" s="17" t="s">
        <v>17215</v>
      </c>
    </row>
    <row r="5644">
      <c r="A5644" s="14">
        <v>28.0</v>
      </c>
      <c r="B5644" s="15" t="s">
        <v>17216</v>
      </c>
      <c r="C5644" s="16">
        <v>28153.0</v>
      </c>
      <c r="D5644" s="17" t="s">
        <v>17217</v>
      </c>
    </row>
    <row r="5645">
      <c r="A5645" s="14">
        <v>28.0</v>
      </c>
      <c r="B5645" s="15" t="s">
        <v>17218</v>
      </c>
      <c r="C5645" s="16">
        <v>28153.0</v>
      </c>
      <c r="D5645" s="17" t="s">
        <v>17219</v>
      </c>
    </row>
    <row r="5646">
      <c r="A5646" s="14">
        <v>28.0</v>
      </c>
      <c r="B5646" s="15" t="s">
        <v>17220</v>
      </c>
      <c r="C5646" s="16">
        <v>28153.0</v>
      </c>
      <c r="D5646" s="17" t="s">
        <v>17221</v>
      </c>
    </row>
    <row r="5647">
      <c r="A5647" s="14">
        <v>29.0</v>
      </c>
      <c r="B5647" s="15" t="s">
        <v>17222</v>
      </c>
      <c r="C5647" s="16">
        <v>28154.0</v>
      </c>
      <c r="D5647" s="17" t="s">
        <v>17223</v>
      </c>
    </row>
    <row r="5648">
      <c r="A5648" s="14">
        <v>29.0</v>
      </c>
      <c r="B5648" s="15" t="s">
        <v>17224</v>
      </c>
      <c r="C5648" s="16">
        <v>28154.0</v>
      </c>
      <c r="D5648" s="17" t="s">
        <v>17225</v>
      </c>
    </row>
    <row r="5649">
      <c r="A5649" s="14">
        <v>29.0</v>
      </c>
      <c r="B5649" s="15" t="s">
        <v>17226</v>
      </c>
      <c r="C5649" s="16">
        <v>28154.0</v>
      </c>
      <c r="D5649" s="17" t="s">
        <v>17227</v>
      </c>
    </row>
    <row r="5650">
      <c r="A5650" s="14">
        <v>29.0</v>
      </c>
      <c r="B5650" s="15" t="s">
        <v>17228</v>
      </c>
      <c r="C5650" s="16">
        <v>28154.0</v>
      </c>
      <c r="D5650" s="17" t="s">
        <v>17229</v>
      </c>
    </row>
    <row r="5651">
      <c r="A5651" s="14" t="s">
        <v>6374</v>
      </c>
      <c r="B5651" s="15" t="s">
        <v>17230</v>
      </c>
      <c r="C5651" s="16">
        <v>28155.0</v>
      </c>
      <c r="D5651" s="17" t="s">
        <v>17231</v>
      </c>
    </row>
    <row r="5652">
      <c r="A5652" s="14">
        <v>30.0</v>
      </c>
      <c r="B5652" s="15" t="s">
        <v>17232</v>
      </c>
      <c r="C5652" s="16">
        <v>28155.0</v>
      </c>
      <c r="D5652" s="17" t="s">
        <v>17233</v>
      </c>
    </row>
    <row r="5653">
      <c r="A5653" s="14">
        <v>30.0</v>
      </c>
      <c r="B5653" s="15" t="s">
        <v>17234</v>
      </c>
      <c r="C5653" s="16">
        <v>28155.0</v>
      </c>
      <c r="D5653" s="17" t="s">
        <v>17235</v>
      </c>
    </row>
    <row r="5654">
      <c r="A5654" s="14">
        <v>30.0</v>
      </c>
      <c r="B5654" s="15" t="s">
        <v>17236</v>
      </c>
      <c r="C5654" s="16">
        <v>28155.0</v>
      </c>
      <c r="D5654" s="17" t="s">
        <v>17237</v>
      </c>
    </row>
    <row r="5655">
      <c r="A5655" s="14">
        <v>30.0</v>
      </c>
      <c r="B5655" s="15" t="s">
        <v>17238</v>
      </c>
      <c r="C5655" s="16">
        <v>28155.0</v>
      </c>
      <c r="D5655" s="17" t="s">
        <v>17239</v>
      </c>
    </row>
    <row r="5656">
      <c r="A5656" s="14" t="s">
        <v>6087</v>
      </c>
      <c r="B5656" s="15" t="s">
        <v>17240</v>
      </c>
      <c r="C5656" s="16">
        <v>28156.0</v>
      </c>
      <c r="D5656" s="17" t="s">
        <v>17241</v>
      </c>
    </row>
    <row r="5657">
      <c r="A5657" s="14" t="s">
        <v>6353</v>
      </c>
      <c r="B5657" s="15" t="s">
        <v>17242</v>
      </c>
      <c r="C5657" s="16">
        <v>28156.0</v>
      </c>
      <c r="D5657" s="17" t="s">
        <v>17243</v>
      </c>
    </row>
    <row r="5658">
      <c r="A5658" s="14">
        <v>31.0</v>
      </c>
      <c r="B5658" s="15" t="s">
        <v>17244</v>
      </c>
      <c r="C5658" s="16">
        <v>28156.0</v>
      </c>
      <c r="D5658" s="17" t="s">
        <v>17245</v>
      </c>
    </row>
    <row r="5659">
      <c r="A5659" s="14">
        <v>31.0</v>
      </c>
      <c r="B5659" s="15" t="s">
        <v>17246</v>
      </c>
      <c r="C5659" s="16">
        <v>28156.0</v>
      </c>
      <c r="D5659" s="17" t="s">
        <v>17247</v>
      </c>
    </row>
    <row r="5660">
      <c r="A5660" s="14">
        <v>31.0</v>
      </c>
      <c r="B5660" s="15" t="s">
        <v>17248</v>
      </c>
      <c r="C5660" s="16">
        <v>28156.0</v>
      </c>
      <c r="D5660" s="17" t="s">
        <v>17249</v>
      </c>
    </row>
    <row r="5661">
      <c r="A5661" s="14">
        <v>31.0</v>
      </c>
      <c r="B5661" s="15" t="s">
        <v>17250</v>
      </c>
      <c r="C5661" s="16">
        <v>28156.0</v>
      </c>
      <c r="D5661" s="17" t="s">
        <v>17251</v>
      </c>
    </row>
    <row r="5662">
      <c r="A5662" s="14">
        <v>31.0</v>
      </c>
      <c r="B5662" s="15" t="s">
        <v>17252</v>
      </c>
      <c r="C5662" s="16">
        <v>28156.0</v>
      </c>
      <c r="D5662" s="17" t="s">
        <v>17253</v>
      </c>
    </row>
    <row r="5663">
      <c r="A5663" s="14">
        <v>31.0</v>
      </c>
      <c r="B5663" s="15" t="s">
        <v>17254</v>
      </c>
      <c r="C5663" s="16">
        <v>28156.0</v>
      </c>
      <c r="D5663" s="17" t="s">
        <v>17255</v>
      </c>
    </row>
    <row r="5664">
      <c r="A5664" s="14">
        <v>31.0</v>
      </c>
      <c r="B5664" s="15" t="s">
        <v>17256</v>
      </c>
      <c r="C5664" s="16">
        <v>28156.0</v>
      </c>
      <c r="D5664" s="17" t="s">
        <v>17257</v>
      </c>
    </row>
    <row r="5665">
      <c r="A5665" s="14" t="s">
        <v>6374</v>
      </c>
      <c r="B5665" s="15" t="s">
        <v>17258</v>
      </c>
      <c r="C5665" s="16">
        <v>28157.0</v>
      </c>
      <c r="D5665" s="17" t="s">
        <v>17259</v>
      </c>
    </row>
    <row r="5666">
      <c r="A5666" s="14">
        <v>1.0</v>
      </c>
      <c r="B5666" s="15" t="s">
        <v>17260</v>
      </c>
      <c r="C5666" s="16">
        <v>28157.0</v>
      </c>
      <c r="D5666" s="17" t="s">
        <v>17261</v>
      </c>
    </row>
    <row r="5667">
      <c r="A5667" s="14">
        <v>1.0</v>
      </c>
      <c r="B5667" s="15" t="s">
        <v>17262</v>
      </c>
      <c r="C5667" s="16">
        <v>28157.0</v>
      </c>
      <c r="D5667" s="17" t="s">
        <v>17263</v>
      </c>
    </row>
    <row r="5668">
      <c r="A5668" s="14" t="s">
        <v>6087</v>
      </c>
      <c r="B5668" s="15" t="s">
        <v>17264</v>
      </c>
      <c r="C5668" s="16">
        <v>28158.0</v>
      </c>
      <c r="D5668" s="17" t="s">
        <v>17265</v>
      </c>
    </row>
    <row r="5669">
      <c r="A5669" s="14" t="s">
        <v>6353</v>
      </c>
      <c r="B5669" s="15" t="s">
        <v>17266</v>
      </c>
      <c r="C5669" s="16">
        <v>28158.0</v>
      </c>
      <c r="D5669" s="17" t="s">
        <v>17267</v>
      </c>
    </row>
    <row r="5670">
      <c r="A5670" s="14">
        <v>2.0</v>
      </c>
      <c r="B5670" s="15" t="s">
        <v>17268</v>
      </c>
      <c r="C5670" s="16">
        <v>28158.0</v>
      </c>
      <c r="D5670" s="17" t="s">
        <v>17269</v>
      </c>
    </row>
    <row r="5671">
      <c r="A5671" s="14">
        <v>2.0</v>
      </c>
      <c r="B5671" s="15" t="s">
        <v>17270</v>
      </c>
      <c r="C5671" s="16">
        <v>28158.0</v>
      </c>
      <c r="D5671" s="17" t="s">
        <v>17271</v>
      </c>
    </row>
    <row r="5672">
      <c r="A5672" s="14">
        <v>2.0</v>
      </c>
      <c r="B5672" s="15" t="s">
        <v>17272</v>
      </c>
      <c r="C5672" s="16">
        <v>28158.0</v>
      </c>
      <c r="D5672" s="17" t="s">
        <v>17273</v>
      </c>
    </row>
    <row r="5673">
      <c r="A5673" s="14">
        <v>2.0</v>
      </c>
      <c r="B5673" s="15" t="s">
        <v>17274</v>
      </c>
      <c r="C5673" s="16">
        <v>28158.0</v>
      </c>
      <c r="D5673" s="17" t="s">
        <v>17275</v>
      </c>
    </row>
    <row r="5674">
      <c r="A5674" s="14">
        <v>2.0</v>
      </c>
      <c r="B5674" s="15" t="s">
        <v>17276</v>
      </c>
      <c r="C5674" s="16">
        <v>28158.0</v>
      </c>
      <c r="D5674" s="17" t="s">
        <v>17277</v>
      </c>
    </row>
    <row r="5675">
      <c r="A5675" s="14">
        <v>2.0</v>
      </c>
      <c r="B5675" s="15" t="s">
        <v>17278</v>
      </c>
      <c r="C5675" s="16">
        <v>28158.0</v>
      </c>
      <c r="D5675" s="17" t="s">
        <v>17279</v>
      </c>
    </row>
    <row r="5676">
      <c r="A5676" s="14">
        <v>2.0</v>
      </c>
      <c r="B5676" s="15" t="s">
        <v>17280</v>
      </c>
      <c r="C5676" s="16">
        <v>28158.0</v>
      </c>
      <c r="D5676" s="17" t="s">
        <v>17281</v>
      </c>
    </row>
    <row r="5677">
      <c r="A5677" s="14" t="s">
        <v>6353</v>
      </c>
      <c r="B5677" s="15" t="s">
        <v>17282</v>
      </c>
      <c r="C5677" s="16">
        <v>28159.0</v>
      </c>
      <c r="D5677" s="17" t="s">
        <v>17283</v>
      </c>
    </row>
    <row r="5678">
      <c r="A5678" s="14">
        <v>3.0</v>
      </c>
      <c r="B5678" s="15" t="s">
        <v>17284</v>
      </c>
      <c r="C5678" s="16">
        <v>28159.0</v>
      </c>
      <c r="D5678" s="17" t="s">
        <v>17285</v>
      </c>
    </row>
    <row r="5679">
      <c r="A5679" s="14">
        <v>3.0</v>
      </c>
      <c r="B5679" s="15" t="s">
        <v>17286</v>
      </c>
      <c r="C5679" s="16">
        <v>28159.0</v>
      </c>
      <c r="D5679" s="17" t="s">
        <v>17287</v>
      </c>
    </row>
    <row r="5680">
      <c r="A5680" s="14">
        <v>3.0</v>
      </c>
      <c r="B5680" s="15" t="s">
        <v>17288</v>
      </c>
      <c r="C5680" s="16">
        <v>28159.0</v>
      </c>
      <c r="D5680" s="17" t="s">
        <v>17289</v>
      </c>
    </row>
    <row r="5681">
      <c r="A5681" s="14" t="s">
        <v>6753</v>
      </c>
      <c r="B5681" s="15" t="s">
        <v>17290</v>
      </c>
      <c r="C5681" s="16">
        <v>28160.0</v>
      </c>
      <c r="D5681" s="17" t="s">
        <v>17291</v>
      </c>
    </row>
    <row r="5682">
      <c r="A5682" s="14">
        <v>4.0</v>
      </c>
      <c r="B5682" s="15" t="s">
        <v>17292</v>
      </c>
      <c r="C5682" s="16">
        <v>28160.0</v>
      </c>
      <c r="D5682" s="17" t="s">
        <v>17293</v>
      </c>
    </row>
    <row r="5683">
      <c r="A5683" s="14">
        <v>4.0</v>
      </c>
      <c r="B5683" s="15" t="s">
        <v>17294</v>
      </c>
      <c r="C5683" s="16">
        <v>28160.0</v>
      </c>
      <c r="D5683" s="17" t="s">
        <v>17295</v>
      </c>
    </row>
    <row r="5684">
      <c r="A5684" s="14">
        <v>4.0</v>
      </c>
      <c r="B5684" s="15" t="s">
        <v>17296</v>
      </c>
      <c r="C5684" s="16">
        <v>28160.0</v>
      </c>
      <c r="D5684" s="17" t="s">
        <v>17297</v>
      </c>
    </row>
    <row r="5685">
      <c r="A5685" s="14">
        <v>5.0</v>
      </c>
      <c r="B5685" s="15" t="s">
        <v>17298</v>
      </c>
      <c r="C5685" s="16">
        <v>28161.0</v>
      </c>
      <c r="D5685" s="17" t="s">
        <v>17299</v>
      </c>
    </row>
    <row r="5686">
      <c r="A5686" s="14">
        <v>6.0</v>
      </c>
      <c r="B5686" s="15" t="s">
        <v>17300</v>
      </c>
      <c r="C5686" s="16">
        <v>28162.0</v>
      </c>
      <c r="D5686" s="17" t="s">
        <v>17301</v>
      </c>
    </row>
    <row r="5687">
      <c r="A5687" s="14">
        <v>7.0</v>
      </c>
      <c r="B5687" s="15" t="s">
        <v>17302</v>
      </c>
      <c r="C5687" s="16">
        <v>28163.0</v>
      </c>
      <c r="D5687" s="17" t="s">
        <v>17303</v>
      </c>
    </row>
    <row r="5688">
      <c r="A5688" s="14" t="s">
        <v>6087</v>
      </c>
      <c r="B5688" s="15" t="s">
        <v>17304</v>
      </c>
      <c r="C5688" s="16">
        <v>28164.0</v>
      </c>
      <c r="D5688" s="17" t="s">
        <v>17305</v>
      </c>
    </row>
    <row r="5689">
      <c r="A5689" s="14">
        <v>8.0</v>
      </c>
      <c r="B5689" s="15" t="s">
        <v>17306</v>
      </c>
      <c r="C5689" s="16">
        <v>28164.0</v>
      </c>
      <c r="D5689" s="17" t="s">
        <v>17307</v>
      </c>
    </row>
    <row r="5690">
      <c r="A5690" s="14">
        <v>8.0</v>
      </c>
      <c r="B5690" s="15" t="s">
        <v>17308</v>
      </c>
      <c r="C5690" s="16">
        <v>28164.0</v>
      </c>
      <c r="D5690" s="17" t="s">
        <v>17309</v>
      </c>
    </row>
    <row r="5691">
      <c r="A5691" s="14">
        <v>10.0</v>
      </c>
      <c r="B5691" s="15" t="s">
        <v>17310</v>
      </c>
      <c r="C5691" s="16">
        <v>28166.0</v>
      </c>
      <c r="D5691" s="17" t="s">
        <v>17311</v>
      </c>
    </row>
    <row r="5692">
      <c r="A5692" s="14">
        <v>10.0</v>
      </c>
      <c r="B5692" s="15" t="s">
        <v>17312</v>
      </c>
      <c r="C5692" s="16">
        <v>28166.0</v>
      </c>
      <c r="D5692" s="17" t="s">
        <v>17313</v>
      </c>
    </row>
    <row r="5693">
      <c r="A5693" s="14" t="s">
        <v>6344</v>
      </c>
      <c r="B5693" s="15" t="s">
        <v>17314</v>
      </c>
      <c r="C5693" s="16">
        <v>28167.0</v>
      </c>
      <c r="D5693" s="17" t="s">
        <v>17315</v>
      </c>
    </row>
    <row r="5694">
      <c r="A5694" s="14">
        <v>11.0</v>
      </c>
      <c r="B5694" s="15" t="s">
        <v>17316</v>
      </c>
      <c r="C5694" s="16">
        <v>28167.0</v>
      </c>
      <c r="D5694" s="17" t="s">
        <v>17317</v>
      </c>
    </row>
    <row r="5695">
      <c r="A5695" s="14">
        <v>11.0</v>
      </c>
      <c r="B5695" s="15" t="s">
        <v>17318</v>
      </c>
      <c r="C5695" s="16">
        <v>28167.0</v>
      </c>
      <c r="D5695" s="17" t="s">
        <v>17319</v>
      </c>
    </row>
    <row r="5696">
      <c r="A5696" s="14" t="s">
        <v>6344</v>
      </c>
      <c r="B5696" s="15" t="s">
        <v>17320</v>
      </c>
      <c r="C5696" s="16">
        <v>28168.0</v>
      </c>
      <c r="D5696" s="17" t="s">
        <v>17321</v>
      </c>
    </row>
    <row r="5697">
      <c r="A5697" s="14">
        <v>12.0</v>
      </c>
      <c r="B5697" s="15" t="s">
        <v>17322</v>
      </c>
      <c r="C5697" s="16">
        <v>28168.0</v>
      </c>
      <c r="D5697" s="17" t="s">
        <v>17323</v>
      </c>
    </row>
    <row r="5698">
      <c r="A5698" s="14">
        <v>12.0</v>
      </c>
      <c r="B5698" s="15" t="s">
        <v>17324</v>
      </c>
      <c r="C5698" s="16">
        <v>28168.0</v>
      </c>
      <c r="D5698" s="17" t="s">
        <v>17325</v>
      </c>
    </row>
    <row r="5699">
      <c r="A5699" s="14">
        <v>12.0</v>
      </c>
      <c r="B5699" s="15" t="s">
        <v>17326</v>
      </c>
      <c r="C5699" s="16">
        <v>28168.0</v>
      </c>
      <c r="D5699" s="17" t="s">
        <v>17327</v>
      </c>
    </row>
    <row r="5700">
      <c r="A5700" s="14">
        <v>14.0</v>
      </c>
      <c r="B5700" s="15" t="s">
        <v>17328</v>
      </c>
      <c r="C5700" s="16">
        <v>28170.0</v>
      </c>
      <c r="D5700" s="17" t="s">
        <v>17329</v>
      </c>
    </row>
    <row r="5701">
      <c r="A5701" s="14">
        <v>14.0</v>
      </c>
      <c r="B5701" s="15" t="s">
        <v>17330</v>
      </c>
      <c r="C5701" s="16">
        <v>28170.0</v>
      </c>
      <c r="D5701" s="17" t="s">
        <v>17331</v>
      </c>
    </row>
    <row r="5702">
      <c r="A5702" s="14">
        <v>14.0</v>
      </c>
      <c r="B5702" s="15" t="s">
        <v>17332</v>
      </c>
      <c r="C5702" s="16">
        <v>28170.0</v>
      </c>
      <c r="D5702" s="17" t="s">
        <v>17333</v>
      </c>
    </row>
    <row r="5703">
      <c r="A5703" s="14">
        <v>15.0</v>
      </c>
      <c r="B5703" s="15" t="s">
        <v>17334</v>
      </c>
      <c r="C5703" s="16">
        <v>28171.0</v>
      </c>
      <c r="D5703" s="17" t="s">
        <v>17335</v>
      </c>
    </row>
    <row r="5704">
      <c r="A5704" s="14" t="s">
        <v>6353</v>
      </c>
      <c r="B5704" s="15" t="s">
        <v>17336</v>
      </c>
      <c r="C5704" s="16">
        <v>28172.0</v>
      </c>
      <c r="D5704" s="17" t="s">
        <v>17337</v>
      </c>
    </row>
    <row r="5705">
      <c r="A5705" s="14">
        <v>16.0</v>
      </c>
      <c r="B5705" s="15" t="s">
        <v>17338</v>
      </c>
      <c r="C5705" s="16">
        <v>28172.0</v>
      </c>
      <c r="D5705" s="17" t="s">
        <v>17339</v>
      </c>
    </row>
    <row r="5706">
      <c r="A5706" s="14">
        <v>16.0</v>
      </c>
      <c r="B5706" s="15" t="s">
        <v>17340</v>
      </c>
      <c r="C5706" s="16">
        <v>28172.0</v>
      </c>
      <c r="D5706" s="17" t="s">
        <v>17341</v>
      </c>
    </row>
    <row r="5707">
      <c r="A5707" s="14">
        <v>16.0</v>
      </c>
      <c r="B5707" s="15" t="s">
        <v>17342</v>
      </c>
      <c r="C5707" s="16">
        <v>28172.0</v>
      </c>
      <c r="D5707" s="17" t="s">
        <v>17343</v>
      </c>
    </row>
    <row r="5708">
      <c r="A5708" s="14" t="s">
        <v>6344</v>
      </c>
      <c r="B5708" s="15" t="s">
        <v>17344</v>
      </c>
      <c r="C5708" s="16">
        <v>28173.0</v>
      </c>
      <c r="D5708" s="17" t="s">
        <v>17345</v>
      </c>
    </row>
    <row r="5709">
      <c r="A5709" s="14">
        <v>17.0</v>
      </c>
      <c r="B5709" s="15" t="s">
        <v>17346</v>
      </c>
      <c r="C5709" s="16">
        <v>28173.0</v>
      </c>
      <c r="D5709" s="17" t="s">
        <v>17347</v>
      </c>
    </row>
    <row r="5710">
      <c r="A5710" s="14">
        <v>17.0</v>
      </c>
      <c r="B5710" s="15" t="s">
        <v>17348</v>
      </c>
      <c r="C5710" s="16">
        <v>28173.0</v>
      </c>
      <c r="D5710" s="17" t="s">
        <v>17349</v>
      </c>
    </row>
    <row r="5711">
      <c r="A5711" s="14">
        <v>17.0</v>
      </c>
      <c r="B5711" s="15" t="s">
        <v>17350</v>
      </c>
      <c r="C5711" s="16">
        <v>28173.0</v>
      </c>
      <c r="D5711" s="17" t="s">
        <v>17351</v>
      </c>
    </row>
    <row r="5712">
      <c r="A5712" s="14" t="s">
        <v>6344</v>
      </c>
      <c r="B5712" s="15" t="s">
        <v>17352</v>
      </c>
      <c r="C5712" s="16">
        <v>28174.0</v>
      </c>
      <c r="D5712" s="17" t="s">
        <v>17353</v>
      </c>
    </row>
    <row r="5713">
      <c r="A5713" s="14">
        <v>18.0</v>
      </c>
      <c r="B5713" s="15" t="s">
        <v>17354</v>
      </c>
      <c r="C5713" s="16">
        <v>28174.0</v>
      </c>
      <c r="D5713" s="17" t="s">
        <v>17355</v>
      </c>
    </row>
    <row r="5714">
      <c r="A5714" s="14">
        <v>18.0</v>
      </c>
      <c r="B5714" s="15" t="s">
        <v>17356</v>
      </c>
      <c r="C5714" s="16">
        <v>28174.0</v>
      </c>
      <c r="D5714" s="17" t="s">
        <v>17357</v>
      </c>
    </row>
    <row r="5715">
      <c r="A5715" s="14">
        <v>18.0</v>
      </c>
      <c r="B5715" s="15" t="s">
        <v>17358</v>
      </c>
      <c r="C5715" s="16">
        <v>28174.0</v>
      </c>
      <c r="D5715" s="17" t="s">
        <v>17359</v>
      </c>
    </row>
    <row r="5716">
      <c r="A5716" s="14">
        <v>18.0</v>
      </c>
      <c r="B5716" s="15" t="s">
        <v>17360</v>
      </c>
      <c r="C5716" s="16">
        <v>28174.0</v>
      </c>
      <c r="D5716" s="17" t="s">
        <v>17361</v>
      </c>
    </row>
    <row r="5717">
      <c r="A5717" s="14">
        <v>18.0</v>
      </c>
      <c r="B5717" s="15" t="s">
        <v>17362</v>
      </c>
      <c r="C5717" s="16">
        <v>28174.0</v>
      </c>
      <c r="D5717" s="17" t="s">
        <v>17363</v>
      </c>
    </row>
    <row r="5718">
      <c r="A5718" s="14">
        <v>18.0</v>
      </c>
      <c r="B5718" s="15" t="s">
        <v>17364</v>
      </c>
      <c r="C5718" s="16">
        <v>28174.0</v>
      </c>
      <c r="D5718" s="17" t="s">
        <v>17365</v>
      </c>
    </row>
    <row r="5719">
      <c r="A5719" s="14">
        <v>19.0</v>
      </c>
      <c r="B5719" s="15" t="s">
        <v>17366</v>
      </c>
      <c r="C5719" s="16">
        <v>28175.0</v>
      </c>
      <c r="D5719" s="17" t="s">
        <v>17367</v>
      </c>
    </row>
    <row r="5720">
      <c r="A5720" s="14">
        <v>19.0</v>
      </c>
      <c r="B5720" s="15" t="s">
        <v>17368</v>
      </c>
      <c r="C5720" s="16">
        <v>28175.0</v>
      </c>
      <c r="D5720" s="17" t="s">
        <v>17369</v>
      </c>
    </row>
    <row r="5721">
      <c r="A5721" s="14">
        <v>19.0</v>
      </c>
      <c r="B5721" s="15" t="s">
        <v>17370</v>
      </c>
      <c r="C5721" s="16">
        <v>28175.0</v>
      </c>
      <c r="D5721" s="17" t="s">
        <v>17371</v>
      </c>
    </row>
    <row r="5722">
      <c r="A5722" s="14">
        <v>19.0</v>
      </c>
      <c r="B5722" s="15" t="s">
        <v>17372</v>
      </c>
      <c r="C5722" s="16">
        <v>28175.0</v>
      </c>
      <c r="D5722" s="17" t="s">
        <v>17373</v>
      </c>
    </row>
    <row r="5723">
      <c r="A5723" s="14">
        <v>19.0</v>
      </c>
      <c r="B5723" s="15" t="s">
        <v>17374</v>
      </c>
      <c r="C5723" s="16">
        <v>28175.0</v>
      </c>
      <c r="D5723" s="17" t="s">
        <v>17375</v>
      </c>
    </row>
    <row r="5724">
      <c r="A5724" s="14">
        <v>20.0</v>
      </c>
      <c r="B5724" s="15" t="s">
        <v>17376</v>
      </c>
      <c r="C5724" s="16">
        <v>28176.0</v>
      </c>
      <c r="D5724" s="17" t="s">
        <v>17377</v>
      </c>
    </row>
    <row r="5725">
      <c r="A5725" s="14">
        <v>21.0</v>
      </c>
      <c r="B5725" s="15" t="s">
        <v>17378</v>
      </c>
      <c r="C5725" s="16">
        <v>28177.0</v>
      </c>
      <c r="D5725" s="17" t="s">
        <v>17379</v>
      </c>
    </row>
    <row r="5726">
      <c r="A5726" s="14">
        <v>24.0</v>
      </c>
      <c r="B5726" s="15" t="s">
        <v>17380</v>
      </c>
      <c r="C5726" s="16">
        <v>28180.0</v>
      </c>
      <c r="D5726" s="17" t="s">
        <v>17381</v>
      </c>
    </row>
    <row r="5727">
      <c r="A5727" s="14">
        <v>24.0</v>
      </c>
      <c r="B5727" s="15" t="s">
        <v>17382</v>
      </c>
      <c r="C5727" s="16">
        <v>28180.0</v>
      </c>
      <c r="D5727" s="17" t="s">
        <v>17383</v>
      </c>
    </row>
    <row r="5728">
      <c r="A5728" s="14" t="s">
        <v>6344</v>
      </c>
      <c r="B5728" s="15" t="s">
        <v>17384</v>
      </c>
      <c r="C5728" s="16">
        <v>28181.0</v>
      </c>
      <c r="D5728" s="17" t="s">
        <v>17385</v>
      </c>
    </row>
    <row r="5729">
      <c r="A5729" s="14">
        <v>25.0</v>
      </c>
      <c r="B5729" s="15" t="s">
        <v>17386</v>
      </c>
      <c r="C5729" s="16">
        <v>28181.0</v>
      </c>
      <c r="D5729" s="17" t="s">
        <v>17387</v>
      </c>
    </row>
    <row r="5730">
      <c r="A5730" s="14">
        <v>25.0</v>
      </c>
      <c r="B5730" s="15" t="s">
        <v>17388</v>
      </c>
      <c r="C5730" s="16">
        <v>28181.0</v>
      </c>
      <c r="D5730" s="17" t="s">
        <v>17389</v>
      </c>
    </row>
    <row r="5731">
      <c r="A5731" s="14">
        <v>25.0</v>
      </c>
      <c r="B5731" s="15" t="s">
        <v>17390</v>
      </c>
      <c r="C5731" s="16">
        <v>28181.0</v>
      </c>
      <c r="D5731" s="17" t="s">
        <v>17391</v>
      </c>
    </row>
    <row r="5732">
      <c r="A5732" s="14">
        <v>25.0</v>
      </c>
      <c r="B5732" s="15" t="s">
        <v>17392</v>
      </c>
      <c r="C5732" s="16">
        <v>28181.0</v>
      </c>
      <c r="D5732" s="17" t="s">
        <v>17393</v>
      </c>
    </row>
    <row r="5733">
      <c r="A5733" s="14">
        <v>25.0</v>
      </c>
      <c r="B5733" s="15" t="s">
        <v>17394</v>
      </c>
      <c r="C5733" s="16">
        <v>28181.0</v>
      </c>
      <c r="D5733" s="17" t="s">
        <v>17395</v>
      </c>
    </row>
    <row r="5734">
      <c r="A5734" s="14" t="s">
        <v>6344</v>
      </c>
      <c r="B5734" s="15" t="s">
        <v>17396</v>
      </c>
      <c r="C5734" s="16">
        <v>28182.0</v>
      </c>
      <c r="D5734" s="17" t="s">
        <v>17397</v>
      </c>
    </row>
    <row r="5735">
      <c r="A5735" s="14">
        <v>26.0</v>
      </c>
      <c r="B5735" s="15" t="s">
        <v>17398</v>
      </c>
      <c r="C5735" s="16">
        <v>28182.0</v>
      </c>
      <c r="D5735" s="17" t="s">
        <v>17399</v>
      </c>
    </row>
    <row r="5736">
      <c r="A5736" s="14">
        <v>26.0</v>
      </c>
      <c r="B5736" s="15" t="s">
        <v>17400</v>
      </c>
      <c r="C5736" s="16">
        <v>28182.0</v>
      </c>
      <c r="D5736" s="17" t="s">
        <v>17401</v>
      </c>
    </row>
    <row r="5737">
      <c r="A5737" s="14">
        <v>26.0</v>
      </c>
      <c r="B5737" s="15" t="s">
        <v>17402</v>
      </c>
      <c r="C5737" s="16">
        <v>28182.0</v>
      </c>
      <c r="D5737" s="17" t="s">
        <v>17403</v>
      </c>
    </row>
    <row r="5738">
      <c r="A5738" s="14">
        <v>26.0</v>
      </c>
      <c r="B5738" s="15" t="s">
        <v>17404</v>
      </c>
      <c r="C5738" s="16">
        <v>28182.0</v>
      </c>
      <c r="D5738" s="17" t="s">
        <v>17405</v>
      </c>
    </row>
    <row r="5739">
      <c r="A5739" s="14" t="s">
        <v>6344</v>
      </c>
      <c r="B5739" s="15" t="s">
        <v>17406</v>
      </c>
      <c r="C5739" s="16">
        <v>28183.0</v>
      </c>
      <c r="D5739" s="17" t="s">
        <v>17407</v>
      </c>
    </row>
    <row r="5740">
      <c r="A5740" s="14">
        <v>27.0</v>
      </c>
      <c r="B5740" s="15" t="s">
        <v>17408</v>
      </c>
      <c r="C5740" s="16">
        <v>28183.0</v>
      </c>
      <c r="D5740" s="17" t="s">
        <v>17409</v>
      </c>
    </row>
    <row r="5741">
      <c r="A5741" s="14">
        <v>27.0</v>
      </c>
      <c r="B5741" s="15" t="s">
        <v>17410</v>
      </c>
      <c r="C5741" s="16">
        <v>28183.0</v>
      </c>
      <c r="D5741" s="17" t="s">
        <v>17411</v>
      </c>
    </row>
    <row r="5742">
      <c r="A5742" s="14">
        <v>27.0</v>
      </c>
      <c r="B5742" s="15" t="s">
        <v>17412</v>
      </c>
      <c r="C5742" s="16">
        <v>28183.0</v>
      </c>
      <c r="D5742" s="17" t="s">
        <v>17413</v>
      </c>
    </row>
    <row r="5743">
      <c r="A5743" s="14">
        <v>27.0</v>
      </c>
      <c r="B5743" s="15" t="s">
        <v>17414</v>
      </c>
      <c r="C5743" s="16">
        <v>28183.0</v>
      </c>
      <c r="D5743" s="17" t="s">
        <v>17415</v>
      </c>
    </row>
    <row r="5744">
      <c r="A5744" s="14" t="s">
        <v>6344</v>
      </c>
      <c r="B5744" s="15" t="s">
        <v>17416</v>
      </c>
      <c r="C5744" s="16">
        <v>28184.0</v>
      </c>
      <c r="D5744" s="17" t="s">
        <v>17417</v>
      </c>
    </row>
    <row r="5745">
      <c r="A5745" s="14">
        <v>28.0</v>
      </c>
      <c r="B5745" s="15" t="s">
        <v>17418</v>
      </c>
      <c r="C5745" s="16">
        <v>28184.0</v>
      </c>
      <c r="D5745" s="17" t="s">
        <v>17419</v>
      </c>
    </row>
    <row r="5746">
      <c r="A5746" s="14">
        <v>28.0</v>
      </c>
      <c r="B5746" s="15" t="s">
        <v>17420</v>
      </c>
      <c r="C5746" s="16">
        <v>28184.0</v>
      </c>
      <c r="D5746" s="17" t="s">
        <v>17421</v>
      </c>
    </row>
    <row r="5747">
      <c r="A5747" s="14">
        <v>28.0</v>
      </c>
      <c r="B5747" s="15" t="s">
        <v>17422</v>
      </c>
      <c r="C5747" s="16">
        <v>28184.0</v>
      </c>
      <c r="D5747" s="17" t="s">
        <v>17423</v>
      </c>
    </row>
    <row r="5748">
      <c r="A5748" s="14">
        <v>28.0</v>
      </c>
      <c r="B5748" s="15" t="s">
        <v>17424</v>
      </c>
      <c r="C5748" s="16">
        <v>28184.0</v>
      </c>
      <c r="D5748" s="17" t="s">
        <v>17425</v>
      </c>
    </row>
    <row r="5749">
      <c r="A5749" s="14">
        <v>28.0</v>
      </c>
      <c r="B5749" s="15" t="s">
        <v>17426</v>
      </c>
      <c r="C5749" s="16">
        <v>28184.0</v>
      </c>
      <c r="D5749" s="17" t="s">
        <v>17427</v>
      </c>
    </row>
    <row r="5750">
      <c r="A5750" s="14" t="s">
        <v>6344</v>
      </c>
      <c r="B5750" s="15" t="s">
        <v>17428</v>
      </c>
      <c r="C5750" s="16">
        <v>28185.0</v>
      </c>
      <c r="D5750" s="17" t="s">
        <v>17429</v>
      </c>
    </row>
    <row r="5751">
      <c r="A5751" s="14">
        <v>1.0</v>
      </c>
      <c r="B5751" s="15" t="s">
        <v>17430</v>
      </c>
      <c r="C5751" s="16">
        <v>28185.0</v>
      </c>
      <c r="D5751" s="17" t="s">
        <v>17431</v>
      </c>
    </row>
    <row r="5752">
      <c r="A5752" s="14">
        <v>1.0</v>
      </c>
      <c r="B5752" s="15" t="s">
        <v>17432</v>
      </c>
      <c r="C5752" s="16">
        <v>28185.0</v>
      </c>
      <c r="D5752" s="17" t="s">
        <v>17433</v>
      </c>
    </row>
    <row r="5753">
      <c r="A5753" s="14">
        <v>1.0</v>
      </c>
      <c r="B5753" s="15" t="s">
        <v>17434</v>
      </c>
      <c r="C5753" s="16">
        <v>28185.0</v>
      </c>
      <c r="D5753" s="17" t="s">
        <v>17435</v>
      </c>
    </row>
    <row r="5754">
      <c r="A5754" s="14">
        <v>1.0</v>
      </c>
      <c r="B5754" s="15" t="s">
        <v>17436</v>
      </c>
      <c r="C5754" s="16">
        <v>28185.0</v>
      </c>
      <c r="D5754" s="17" t="s">
        <v>17437</v>
      </c>
    </row>
    <row r="5755">
      <c r="A5755" s="14">
        <v>2.0</v>
      </c>
      <c r="B5755" s="15" t="s">
        <v>17438</v>
      </c>
      <c r="C5755" s="16">
        <v>28186.0</v>
      </c>
      <c r="D5755" s="17" t="s">
        <v>17439</v>
      </c>
    </row>
    <row r="5756">
      <c r="A5756" s="14">
        <v>4.0</v>
      </c>
      <c r="B5756" s="15" t="s">
        <v>17440</v>
      </c>
      <c r="C5756" s="16">
        <v>28188.0</v>
      </c>
      <c r="D5756" s="17" t="s">
        <v>17441</v>
      </c>
    </row>
    <row r="5757">
      <c r="A5757" s="14">
        <v>22.0</v>
      </c>
      <c r="B5757" s="15" t="s">
        <v>17442</v>
      </c>
      <c r="C5757" s="16">
        <v>28206.0</v>
      </c>
      <c r="D5757" s="17" t="s">
        <v>17443</v>
      </c>
    </row>
    <row r="5758">
      <c r="A5758" s="14" t="s">
        <v>6353</v>
      </c>
      <c r="B5758" s="15" t="s">
        <v>17444</v>
      </c>
      <c r="C5758" s="16">
        <v>28207.0</v>
      </c>
      <c r="D5758" s="17" t="s">
        <v>17445</v>
      </c>
    </row>
    <row r="5759">
      <c r="A5759" s="14">
        <v>23.0</v>
      </c>
      <c r="B5759" s="15" t="s">
        <v>17446</v>
      </c>
      <c r="C5759" s="16">
        <v>28207.0</v>
      </c>
      <c r="D5759" s="17" t="s">
        <v>17447</v>
      </c>
    </row>
    <row r="5760">
      <c r="A5760" s="14">
        <v>23.0</v>
      </c>
      <c r="B5760" s="15" t="s">
        <v>17448</v>
      </c>
      <c r="C5760" s="16">
        <v>28207.0</v>
      </c>
      <c r="D5760" s="17" t="s">
        <v>17449</v>
      </c>
    </row>
    <row r="5761">
      <c r="A5761" s="14" t="s">
        <v>6057</v>
      </c>
      <c r="B5761" s="15" t="s">
        <v>17450</v>
      </c>
      <c r="C5761" s="16">
        <v>28208.0</v>
      </c>
      <c r="D5761" s="17" t="s">
        <v>17451</v>
      </c>
    </row>
    <row r="5762">
      <c r="A5762" s="14">
        <v>24.0</v>
      </c>
      <c r="B5762" s="15" t="s">
        <v>17452</v>
      </c>
      <c r="C5762" s="16">
        <v>28208.0</v>
      </c>
      <c r="D5762" s="17" t="s">
        <v>17453</v>
      </c>
    </row>
    <row r="5763">
      <c r="A5763" s="14">
        <v>24.0</v>
      </c>
      <c r="B5763" s="15" t="s">
        <v>17454</v>
      </c>
      <c r="C5763" s="16">
        <v>28208.0</v>
      </c>
      <c r="D5763" s="17" t="s">
        <v>17455</v>
      </c>
    </row>
    <row r="5764">
      <c r="A5764" s="14">
        <v>24.0</v>
      </c>
      <c r="B5764" s="15" t="s">
        <v>17456</v>
      </c>
      <c r="C5764" s="16">
        <v>28208.0</v>
      </c>
      <c r="D5764" s="17" t="s">
        <v>17457</v>
      </c>
    </row>
    <row r="5765">
      <c r="A5765" s="14" t="s">
        <v>6858</v>
      </c>
      <c r="B5765" s="15" t="s">
        <v>17458</v>
      </c>
      <c r="C5765" s="16">
        <v>28209.0</v>
      </c>
      <c r="D5765" s="17" t="s">
        <v>17459</v>
      </c>
    </row>
    <row r="5766">
      <c r="A5766" s="14">
        <v>25.0</v>
      </c>
      <c r="B5766" s="15" t="s">
        <v>17460</v>
      </c>
      <c r="C5766" s="16">
        <v>28209.0</v>
      </c>
      <c r="D5766" s="17" t="s">
        <v>17461</v>
      </c>
    </row>
    <row r="5767">
      <c r="A5767" s="14">
        <v>25.0</v>
      </c>
      <c r="B5767" s="15" t="s">
        <v>17462</v>
      </c>
      <c r="C5767" s="16">
        <v>28209.0</v>
      </c>
      <c r="D5767" s="18" t="s">
        <v>17463</v>
      </c>
    </row>
    <row r="5768">
      <c r="A5768" s="14">
        <v>26.0</v>
      </c>
      <c r="B5768" s="15" t="s">
        <v>17464</v>
      </c>
      <c r="C5768" s="16">
        <v>28210.0</v>
      </c>
      <c r="D5768" s="17" t="s">
        <v>17465</v>
      </c>
    </row>
    <row r="5769">
      <c r="A5769" s="14">
        <v>26.0</v>
      </c>
      <c r="B5769" s="15" t="s">
        <v>17466</v>
      </c>
      <c r="C5769" s="16">
        <v>28210.0</v>
      </c>
      <c r="D5769" s="17" t="s">
        <v>17467</v>
      </c>
    </row>
    <row r="5770">
      <c r="A5770" s="14">
        <v>26.0</v>
      </c>
      <c r="B5770" s="15" t="s">
        <v>17468</v>
      </c>
      <c r="C5770" s="16">
        <v>28210.0</v>
      </c>
      <c r="D5770" s="17" t="s">
        <v>17469</v>
      </c>
    </row>
    <row r="5771">
      <c r="A5771" s="14">
        <v>26.0</v>
      </c>
      <c r="B5771" s="15" t="s">
        <v>17470</v>
      </c>
      <c r="C5771" s="16">
        <v>28210.0</v>
      </c>
      <c r="D5771" s="17" t="s">
        <v>17471</v>
      </c>
    </row>
    <row r="5772">
      <c r="A5772" s="14">
        <v>27.0</v>
      </c>
      <c r="B5772" s="15" t="s">
        <v>17472</v>
      </c>
      <c r="C5772" s="16">
        <v>28211.0</v>
      </c>
      <c r="D5772" s="17" t="s">
        <v>17473</v>
      </c>
    </row>
    <row r="5773">
      <c r="A5773" s="14">
        <v>27.0</v>
      </c>
      <c r="B5773" s="15" t="s">
        <v>17474</v>
      </c>
      <c r="C5773" s="16">
        <v>28211.0</v>
      </c>
      <c r="D5773" s="17" t="s">
        <v>17475</v>
      </c>
    </row>
    <row r="5774">
      <c r="A5774" s="14">
        <v>27.0</v>
      </c>
      <c r="B5774" s="15" t="s">
        <v>17476</v>
      </c>
      <c r="C5774" s="16">
        <v>28211.0</v>
      </c>
      <c r="D5774" s="17" t="s">
        <v>17477</v>
      </c>
    </row>
    <row r="5775">
      <c r="A5775" s="14">
        <v>27.0</v>
      </c>
      <c r="B5775" s="15" t="s">
        <v>17478</v>
      </c>
      <c r="C5775" s="16">
        <v>28211.0</v>
      </c>
      <c r="D5775" s="17" t="s">
        <v>17479</v>
      </c>
    </row>
    <row r="5776">
      <c r="A5776" s="14" t="s">
        <v>6057</v>
      </c>
      <c r="B5776" s="15" t="s">
        <v>17480</v>
      </c>
      <c r="C5776" s="16">
        <v>28213.0</v>
      </c>
      <c r="D5776" s="17" t="s">
        <v>17481</v>
      </c>
    </row>
    <row r="5777">
      <c r="A5777" s="14">
        <v>29.0</v>
      </c>
      <c r="B5777" s="15" t="s">
        <v>17482</v>
      </c>
      <c r="C5777" s="16">
        <v>28213.0</v>
      </c>
      <c r="D5777" s="17" t="s">
        <v>17483</v>
      </c>
    </row>
    <row r="5778">
      <c r="A5778" s="14">
        <v>29.0</v>
      </c>
      <c r="B5778" s="15" t="s">
        <v>17484</v>
      </c>
      <c r="C5778" s="16">
        <v>28213.0</v>
      </c>
      <c r="D5778" s="17" t="s">
        <v>17485</v>
      </c>
    </row>
    <row r="5779">
      <c r="A5779" s="14">
        <v>29.0</v>
      </c>
      <c r="B5779" s="15" t="s">
        <v>17486</v>
      </c>
      <c r="C5779" s="16">
        <v>28213.0</v>
      </c>
      <c r="D5779" s="17" t="s">
        <v>17487</v>
      </c>
    </row>
    <row r="5780">
      <c r="A5780" s="14">
        <v>30.0</v>
      </c>
      <c r="B5780" s="15" t="s">
        <v>17488</v>
      </c>
      <c r="C5780" s="16">
        <v>28214.0</v>
      </c>
      <c r="D5780" s="17" t="s">
        <v>17489</v>
      </c>
    </row>
    <row r="5781">
      <c r="A5781" s="14">
        <v>31.0</v>
      </c>
      <c r="B5781" s="15" t="s">
        <v>17490</v>
      </c>
      <c r="C5781" s="16">
        <v>28215.0</v>
      </c>
      <c r="D5781" s="17" t="s">
        <v>17491</v>
      </c>
    </row>
    <row r="5782">
      <c r="A5782" s="14">
        <v>31.0</v>
      </c>
      <c r="B5782" s="15" t="s">
        <v>17492</v>
      </c>
      <c r="C5782" s="16">
        <v>28215.0</v>
      </c>
      <c r="D5782" s="17" t="s">
        <v>17493</v>
      </c>
    </row>
    <row r="5783">
      <c r="A5783" s="14">
        <v>31.0</v>
      </c>
      <c r="B5783" s="15" t="s">
        <v>17494</v>
      </c>
      <c r="C5783" s="16">
        <v>28215.0</v>
      </c>
      <c r="D5783" s="17" t="s">
        <v>17495</v>
      </c>
    </row>
    <row r="5784">
      <c r="A5784" s="14" t="s">
        <v>6353</v>
      </c>
      <c r="B5784" s="15" t="s">
        <v>17496</v>
      </c>
      <c r="C5784" s="16">
        <v>28216.0</v>
      </c>
      <c r="D5784" s="17" t="s">
        <v>17497</v>
      </c>
    </row>
    <row r="5785">
      <c r="A5785" s="14" t="s">
        <v>6057</v>
      </c>
      <c r="B5785" s="15" t="s">
        <v>17498</v>
      </c>
      <c r="C5785" s="16">
        <v>28216.0</v>
      </c>
      <c r="D5785" s="17" t="s">
        <v>17499</v>
      </c>
    </row>
    <row r="5786">
      <c r="A5786" s="14">
        <v>1.0</v>
      </c>
      <c r="B5786" s="15" t="s">
        <v>17500</v>
      </c>
      <c r="C5786" s="16">
        <v>28216.0</v>
      </c>
      <c r="D5786" s="17" t="s">
        <v>17501</v>
      </c>
    </row>
    <row r="5787">
      <c r="A5787" s="14">
        <v>1.0</v>
      </c>
      <c r="B5787" s="15" t="s">
        <v>17502</v>
      </c>
      <c r="C5787" s="16">
        <v>28216.0</v>
      </c>
      <c r="D5787" s="17" t="s">
        <v>17503</v>
      </c>
    </row>
    <row r="5788">
      <c r="A5788" s="14">
        <v>1.0</v>
      </c>
      <c r="B5788" s="15" t="s">
        <v>17504</v>
      </c>
      <c r="C5788" s="16">
        <v>28216.0</v>
      </c>
      <c r="D5788" s="17" t="s">
        <v>17505</v>
      </c>
    </row>
    <row r="5789">
      <c r="A5789" s="14">
        <v>2.0</v>
      </c>
      <c r="B5789" s="15" t="s">
        <v>17506</v>
      </c>
      <c r="C5789" s="16">
        <v>28217.0</v>
      </c>
      <c r="D5789" s="17" t="s">
        <v>17507</v>
      </c>
    </row>
    <row r="5790">
      <c r="A5790" s="14" t="s">
        <v>6353</v>
      </c>
      <c r="B5790" s="15" t="s">
        <v>17508</v>
      </c>
      <c r="C5790" s="16">
        <v>28219.0</v>
      </c>
      <c r="D5790" s="17" t="s">
        <v>17509</v>
      </c>
    </row>
    <row r="5791">
      <c r="A5791" s="14">
        <v>4.0</v>
      </c>
      <c r="B5791" s="15" t="s">
        <v>17510</v>
      </c>
      <c r="C5791" s="16">
        <v>28219.0</v>
      </c>
      <c r="D5791" s="17" t="s">
        <v>17511</v>
      </c>
    </row>
    <row r="5792">
      <c r="A5792" s="14">
        <v>5.0</v>
      </c>
      <c r="B5792" s="15" t="s">
        <v>17512</v>
      </c>
      <c r="C5792" s="16">
        <v>28220.0</v>
      </c>
      <c r="D5792" s="17" t="s">
        <v>17513</v>
      </c>
    </row>
    <row r="5793">
      <c r="A5793" s="14">
        <v>5.0</v>
      </c>
      <c r="B5793" s="15" t="s">
        <v>17514</v>
      </c>
      <c r="C5793" s="16">
        <v>28220.0</v>
      </c>
      <c r="D5793" s="17" t="s">
        <v>17515</v>
      </c>
    </row>
    <row r="5794">
      <c r="A5794" s="14">
        <v>5.0</v>
      </c>
      <c r="B5794" s="15" t="s">
        <v>17516</v>
      </c>
      <c r="C5794" s="16">
        <v>28220.0</v>
      </c>
      <c r="D5794" s="17" t="s">
        <v>17517</v>
      </c>
    </row>
    <row r="5795">
      <c r="A5795" s="14">
        <v>5.0</v>
      </c>
      <c r="B5795" s="15" t="s">
        <v>17518</v>
      </c>
      <c r="C5795" s="16">
        <v>28220.0</v>
      </c>
      <c r="D5795" s="17" t="s">
        <v>17519</v>
      </c>
    </row>
    <row r="5796">
      <c r="A5796" s="14">
        <v>10.0</v>
      </c>
      <c r="B5796" s="15" t="s">
        <v>17520</v>
      </c>
      <c r="C5796" s="16">
        <v>28225.0</v>
      </c>
      <c r="D5796" s="17" t="s">
        <v>17521</v>
      </c>
    </row>
    <row r="5797">
      <c r="A5797" s="14">
        <v>10.0</v>
      </c>
      <c r="B5797" s="15" t="s">
        <v>17522</v>
      </c>
      <c r="C5797" s="16">
        <v>28225.0</v>
      </c>
      <c r="D5797" s="17" t="s">
        <v>17523</v>
      </c>
    </row>
    <row r="5798">
      <c r="A5798" s="14">
        <v>11.0</v>
      </c>
      <c r="B5798" s="15" t="s">
        <v>17524</v>
      </c>
      <c r="C5798" s="16">
        <v>28226.0</v>
      </c>
      <c r="D5798" s="17" t="s">
        <v>17525</v>
      </c>
    </row>
    <row r="5799">
      <c r="A5799" s="14">
        <v>13.0</v>
      </c>
      <c r="B5799" s="15" t="s">
        <v>17526</v>
      </c>
      <c r="C5799" s="16">
        <v>28228.0</v>
      </c>
      <c r="D5799" s="17" t="s">
        <v>17527</v>
      </c>
    </row>
    <row r="5800">
      <c r="A5800" s="14">
        <v>15.0</v>
      </c>
      <c r="B5800" s="15" t="s">
        <v>17528</v>
      </c>
      <c r="C5800" s="16">
        <v>28230.0</v>
      </c>
      <c r="D5800" s="17" t="s">
        <v>17529</v>
      </c>
    </row>
    <row r="5801">
      <c r="A5801" s="14">
        <v>16.0</v>
      </c>
      <c r="B5801" s="15" t="s">
        <v>17530</v>
      </c>
      <c r="C5801" s="16">
        <v>28231.0</v>
      </c>
      <c r="D5801" s="17" t="s">
        <v>17531</v>
      </c>
    </row>
    <row r="5802">
      <c r="A5802" s="14" t="s">
        <v>6353</v>
      </c>
      <c r="B5802" s="15" t="s">
        <v>17532</v>
      </c>
      <c r="C5802" s="16">
        <v>28232.0</v>
      </c>
      <c r="D5802" s="17" t="s">
        <v>17533</v>
      </c>
    </row>
    <row r="5803">
      <c r="A5803" s="14" t="s">
        <v>6353</v>
      </c>
      <c r="B5803" s="15" t="s">
        <v>17534</v>
      </c>
      <c r="C5803" s="16">
        <v>28232.0</v>
      </c>
      <c r="D5803" s="17" t="s">
        <v>17535</v>
      </c>
    </row>
    <row r="5804">
      <c r="A5804" s="14">
        <v>17.0</v>
      </c>
      <c r="B5804" s="15" t="s">
        <v>17536</v>
      </c>
      <c r="C5804" s="16">
        <v>28232.0</v>
      </c>
      <c r="D5804" s="17" t="s">
        <v>17537</v>
      </c>
    </row>
    <row r="5805">
      <c r="A5805" s="14">
        <v>17.0</v>
      </c>
      <c r="B5805" s="15" t="s">
        <v>17538</v>
      </c>
      <c r="C5805" s="16">
        <v>28232.0</v>
      </c>
      <c r="D5805" s="17" t="s">
        <v>17539</v>
      </c>
    </row>
    <row r="5806">
      <c r="A5806" s="14">
        <v>17.0</v>
      </c>
      <c r="B5806" s="15" t="s">
        <v>17540</v>
      </c>
      <c r="C5806" s="16">
        <v>28232.0</v>
      </c>
      <c r="D5806" s="17" t="s">
        <v>17541</v>
      </c>
    </row>
    <row r="5807">
      <c r="A5807" s="14">
        <v>17.0</v>
      </c>
      <c r="B5807" s="15" t="s">
        <v>17542</v>
      </c>
      <c r="C5807" s="16">
        <v>28232.0</v>
      </c>
      <c r="D5807" s="17" t="s">
        <v>17543</v>
      </c>
    </row>
    <row r="5808">
      <c r="A5808" s="14">
        <v>18.0</v>
      </c>
      <c r="B5808" s="15" t="s">
        <v>17544</v>
      </c>
      <c r="C5808" s="16">
        <v>28233.0</v>
      </c>
      <c r="D5808" s="17" t="s">
        <v>17545</v>
      </c>
    </row>
    <row r="5809">
      <c r="A5809" s="14">
        <v>18.0</v>
      </c>
      <c r="B5809" s="15" t="s">
        <v>17546</v>
      </c>
      <c r="C5809" s="16">
        <v>28233.0</v>
      </c>
      <c r="D5809" s="17" t="s">
        <v>17547</v>
      </c>
    </row>
    <row r="5810">
      <c r="A5810" s="14">
        <v>19.0</v>
      </c>
      <c r="B5810" s="15" t="s">
        <v>17548</v>
      </c>
      <c r="C5810" s="16">
        <v>28234.0</v>
      </c>
      <c r="D5810" s="17" t="s">
        <v>17549</v>
      </c>
    </row>
    <row r="5811">
      <c r="A5811" s="14">
        <v>19.0</v>
      </c>
      <c r="B5811" s="15" t="s">
        <v>17550</v>
      </c>
      <c r="C5811" s="16">
        <v>28234.0</v>
      </c>
      <c r="D5811" s="17" t="s">
        <v>17551</v>
      </c>
    </row>
    <row r="5812">
      <c r="A5812" s="14">
        <v>19.0</v>
      </c>
      <c r="B5812" s="15" t="s">
        <v>17552</v>
      </c>
      <c r="C5812" s="16">
        <v>28234.0</v>
      </c>
      <c r="D5812" s="17" t="s">
        <v>17553</v>
      </c>
    </row>
    <row r="5813">
      <c r="A5813" s="14">
        <v>20.0</v>
      </c>
      <c r="B5813" s="15" t="s">
        <v>17554</v>
      </c>
      <c r="C5813" s="16">
        <v>28235.0</v>
      </c>
      <c r="D5813" s="17" t="s">
        <v>17555</v>
      </c>
    </row>
    <row r="5814">
      <c r="A5814" s="14">
        <v>22.0</v>
      </c>
      <c r="B5814" s="15" t="s">
        <v>17556</v>
      </c>
      <c r="C5814" s="16">
        <v>28237.0</v>
      </c>
      <c r="D5814" s="17" t="s">
        <v>17557</v>
      </c>
    </row>
    <row r="5815">
      <c r="A5815" s="14">
        <v>22.0</v>
      </c>
      <c r="B5815" s="15" t="s">
        <v>17558</v>
      </c>
      <c r="C5815" s="16">
        <v>28237.0</v>
      </c>
      <c r="D5815" s="17" t="s">
        <v>17559</v>
      </c>
    </row>
    <row r="5816">
      <c r="A5816" s="14">
        <v>22.0</v>
      </c>
      <c r="B5816" s="15" t="s">
        <v>17560</v>
      </c>
      <c r="C5816" s="16">
        <v>28237.0</v>
      </c>
      <c r="D5816" s="17" t="s">
        <v>17561</v>
      </c>
    </row>
    <row r="5817">
      <c r="A5817" s="14">
        <v>23.0</v>
      </c>
      <c r="B5817" s="15" t="s">
        <v>17562</v>
      </c>
      <c r="C5817" s="16">
        <v>28238.0</v>
      </c>
      <c r="D5817" s="17" t="s">
        <v>17563</v>
      </c>
    </row>
    <row r="5818">
      <c r="A5818" s="14">
        <v>23.0</v>
      </c>
      <c r="B5818" s="15" t="s">
        <v>17564</v>
      </c>
      <c r="C5818" s="16">
        <v>28238.0</v>
      </c>
      <c r="D5818" s="17" t="s">
        <v>17565</v>
      </c>
    </row>
    <row r="5819">
      <c r="A5819" s="14" t="s">
        <v>6353</v>
      </c>
      <c r="B5819" s="15" t="s">
        <v>17566</v>
      </c>
      <c r="C5819" s="16">
        <v>28239.0</v>
      </c>
      <c r="D5819" s="17" t="s">
        <v>17567</v>
      </c>
    </row>
    <row r="5820">
      <c r="A5820" s="14">
        <v>24.0</v>
      </c>
      <c r="B5820" s="15" t="s">
        <v>17568</v>
      </c>
      <c r="C5820" s="16">
        <v>28239.0</v>
      </c>
      <c r="D5820" s="17" t="s">
        <v>17569</v>
      </c>
    </row>
    <row r="5821">
      <c r="A5821" s="14">
        <v>24.0</v>
      </c>
      <c r="B5821" s="15" t="s">
        <v>17570</v>
      </c>
      <c r="C5821" s="16">
        <v>28239.0</v>
      </c>
      <c r="D5821" s="17" t="s">
        <v>17571</v>
      </c>
    </row>
    <row r="5822">
      <c r="A5822" s="14" t="s">
        <v>6353</v>
      </c>
      <c r="B5822" s="15" t="s">
        <v>17572</v>
      </c>
      <c r="C5822" s="16">
        <v>28240.0</v>
      </c>
      <c r="D5822" s="17" t="s">
        <v>17573</v>
      </c>
    </row>
    <row r="5823">
      <c r="A5823" s="14">
        <v>25.0</v>
      </c>
      <c r="B5823" s="15" t="s">
        <v>17574</v>
      </c>
      <c r="C5823" s="16">
        <v>28240.0</v>
      </c>
      <c r="D5823" s="17" t="s">
        <v>17575</v>
      </c>
    </row>
    <row r="5824">
      <c r="A5824" s="14">
        <v>25.0</v>
      </c>
      <c r="B5824" s="15" t="s">
        <v>17576</v>
      </c>
      <c r="C5824" s="16">
        <v>28240.0</v>
      </c>
      <c r="D5824" s="17" t="s">
        <v>17577</v>
      </c>
    </row>
    <row r="5825">
      <c r="A5825" s="14">
        <v>25.0</v>
      </c>
      <c r="B5825" s="15" t="s">
        <v>17578</v>
      </c>
      <c r="C5825" s="16">
        <v>28240.0</v>
      </c>
      <c r="D5825" s="17" t="s">
        <v>17579</v>
      </c>
    </row>
    <row r="5826">
      <c r="A5826" s="14" t="s">
        <v>6353</v>
      </c>
      <c r="B5826" s="15" t="s">
        <v>17580</v>
      </c>
      <c r="C5826" s="16">
        <v>28243.0</v>
      </c>
      <c r="D5826" s="17" t="s">
        <v>17581</v>
      </c>
    </row>
    <row r="5827">
      <c r="A5827" s="14">
        <v>28.0</v>
      </c>
      <c r="B5827" s="15" t="s">
        <v>17582</v>
      </c>
      <c r="C5827" s="16">
        <v>28243.0</v>
      </c>
      <c r="D5827" s="17" t="s">
        <v>17583</v>
      </c>
    </row>
    <row r="5828">
      <c r="A5828" s="14">
        <v>28.0</v>
      </c>
      <c r="B5828" s="15" t="s">
        <v>17584</v>
      </c>
      <c r="C5828" s="16">
        <v>28243.0</v>
      </c>
      <c r="D5828" s="17" t="s">
        <v>17585</v>
      </c>
    </row>
    <row r="5829">
      <c r="A5829" s="14">
        <v>28.0</v>
      </c>
      <c r="B5829" s="15" t="s">
        <v>17586</v>
      </c>
      <c r="C5829" s="16">
        <v>28243.0</v>
      </c>
      <c r="D5829" s="17" t="s">
        <v>17587</v>
      </c>
    </row>
    <row r="5830">
      <c r="A5830" s="14">
        <v>29.0</v>
      </c>
      <c r="B5830" s="15" t="s">
        <v>17588</v>
      </c>
      <c r="C5830" s="16">
        <v>28244.0</v>
      </c>
      <c r="D5830" s="17" t="s">
        <v>17589</v>
      </c>
    </row>
    <row r="5831">
      <c r="A5831" s="14">
        <v>30.0</v>
      </c>
      <c r="B5831" s="15" t="s">
        <v>17590</v>
      </c>
      <c r="C5831" s="16">
        <v>28245.0</v>
      </c>
      <c r="D5831" s="17" t="s">
        <v>17591</v>
      </c>
    </row>
    <row r="5832">
      <c r="A5832" s="14">
        <v>30.0</v>
      </c>
      <c r="B5832" s="15" t="s">
        <v>17592</v>
      </c>
      <c r="C5832" s="16">
        <v>28245.0</v>
      </c>
      <c r="D5832" s="17" t="s">
        <v>17593</v>
      </c>
    </row>
    <row r="5833">
      <c r="A5833" s="14">
        <v>2.0</v>
      </c>
      <c r="B5833" s="15" t="s">
        <v>17594</v>
      </c>
      <c r="C5833" s="16">
        <v>28247.0</v>
      </c>
      <c r="D5833" s="17" t="s">
        <v>17595</v>
      </c>
    </row>
    <row r="5834">
      <c r="A5834" s="14">
        <v>2.0</v>
      </c>
      <c r="B5834" s="15" t="s">
        <v>17596</v>
      </c>
      <c r="C5834" s="16">
        <v>28247.0</v>
      </c>
      <c r="D5834" s="17" t="s">
        <v>17597</v>
      </c>
    </row>
    <row r="5835">
      <c r="A5835" s="14">
        <v>8.0</v>
      </c>
      <c r="B5835" s="15" t="s">
        <v>17598</v>
      </c>
      <c r="C5835" s="16">
        <v>28253.0</v>
      </c>
      <c r="D5835" s="17" t="s">
        <v>17599</v>
      </c>
    </row>
    <row r="5836">
      <c r="A5836" s="14">
        <v>8.0</v>
      </c>
      <c r="B5836" s="15" t="s">
        <v>17600</v>
      </c>
      <c r="C5836" s="16">
        <v>28253.0</v>
      </c>
      <c r="D5836" s="17" t="s">
        <v>17601</v>
      </c>
    </row>
    <row r="5837">
      <c r="A5837" s="14">
        <v>8.0</v>
      </c>
      <c r="B5837" s="15" t="s">
        <v>17602</v>
      </c>
      <c r="C5837" s="16">
        <v>28253.0</v>
      </c>
      <c r="D5837" s="17" t="s">
        <v>17603</v>
      </c>
    </row>
    <row r="5838">
      <c r="A5838" s="14" t="s">
        <v>6353</v>
      </c>
      <c r="B5838" s="15" t="s">
        <v>17604</v>
      </c>
      <c r="C5838" s="16">
        <v>28254.0</v>
      </c>
      <c r="D5838" s="17" t="s">
        <v>17605</v>
      </c>
    </row>
    <row r="5839">
      <c r="A5839" s="14">
        <v>9.0</v>
      </c>
      <c r="B5839" s="15" t="s">
        <v>17606</v>
      </c>
      <c r="C5839" s="16">
        <v>28254.0</v>
      </c>
      <c r="D5839" s="17" t="s">
        <v>17607</v>
      </c>
    </row>
    <row r="5840">
      <c r="A5840" s="14">
        <v>9.0</v>
      </c>
      <c r="B5840" s="15" t="s">
        <v>17608</v>
      </c>
      <c r="C5840" s="16">
        <v>28254.0</v>
      </c>
      <c r="D5840" s="17" t="s">
        <v>17609</v>
      </c>
    </row>
    <row r="5841">
      <c r="A5841" s="14" t="s">
        <v>6353</v>
      </c>
      <c r="B5841" s="15" t="s">
        <v>17610</v>
      </c>
      <c r="C5841" s="16">
        <v>28256.0</v>
      </c>
      <c r="D5841" s="17" t="s">
        <v>17611</v>
      </c>
    </row>
    <row r="5842">
      <c r="A5842" s="14">
        <v>11.0</v>
      </c>
      <c r="B5842" s="15" t="s">
        <v>17612</v>
      </c>
      <c r="C5842" s="16">
        <v>28256.0</v>
      </c>
      <c r="D5842" s="17" t="s">
        <v>17613</v>
      </c>
    </row>
    <row r="5843">
      <c r="A5843" s="14">
        <v>11.0</v>
      </c>
      <c r="B5843" s="15" t="s">
        <v>17614</v>
      </c>
      <c r="C5843" s="16">
        <v>28256.0</v>
      </c>
      <c r="D5843" s="17" t="s">
        <v>17615</v>
      </c>
    </row>
    <row r="5844">
      <c r="A5844" s="14" t="s">
        <v>6353</v>
      </c>
      <c r="B5844" s="15" t="s">
        <v>17616</v>
      </c>
      <c r="C5844" s="16">
        <v>28257.0</v>
      </c>
      <c r="D5844" s="17" t="s">
        <v>17617</v>
      </c>
    </row>
    <row r="5845">
      <c r="A5845" s="14">
        <v>12.0</v>
      </c>
      <c r="B5845" s="15" t="s">
        <v>17618</v>
      </c>
      <c r="C5845" s="16">
        <v>28257.0</v>
      </c>
      <c r="D5845" s="17" t="s">
        <v>17619</v>
      </c>
    </row>
    <row r="5846">
      <c r="A5846" s="14">
        <v>12.0</v>
      </c>
      <c r="B5846" s="15" t="s">
        <v>17620</v>
      </c>
      <c r="C5846" s="16">
        <v>28257.0</v>
      </c>
      <c r="D5846" s="17" t="s">
        <v>17621</v>
      </c>
    </row>
    <row r="5847">
      <c r="A5847" s="14" t="s">
        <v>6353</v>
      </c>
      <c r="B5847" s="15" t="s">
        <v>17622</v>
      </c>
      <c r="C5847" s="16">
        <v>28258.0</v>
      </c>
      <c r="D5847" s="17" t="s">
        <v>17623</v>
      </c>
    </row>
    <row r="5848">
      <c r="A5848" s="14">
        <v>13.0</v>
      </c>
      <c r="B5848" s="15" t="s">
        <v>17624</v>
      </c>
      <c r="C5848" s="16">
        <v>28258.0</v>
      </c>
      <c r="D5848" s="17" t="s">
        <v>17625</v>
      </c>
    </row>
    <row r="5849">
      <c r="A5849" s="14">
        <v>13.0</v>
      </c>
      <c r="B5849" s="15" t="s">
        <v>17626</v>
      </c>
      <c r="C5849" s="16">
        <v>28258.0</v>
      </c>
      <c r="D5849" s="17" t="s">
        <v>17627</v>
      </c>
    </row>
    <row r="5850">
      <c r="A5850" s="14" t="s">
        <v>6353</v>
      </c>
      <c r="B5850" s="15" t="s">
        <v>17628</v>
      </c>
      <c r="C5850" s="16">
        <v>28259.0</v>
      </c>
      <c r="D5850" s="17" t="s">
        <v>17629</v>
      </c>
    </row>
    <row r="5851">
      <c r="A5851" s="14">
        <v>14.0</v>
      </c>
      <c r="B5851" s="15" t="s">
        <v>17630</v>
      </c>
      <c r="C5851" s="16">
        <v>28259.0</v>
      </c>
      <c r="D5851" s="17" t="s">
        <v>17631</v>
      </c>
    </row>
    <row r="5852">
      <c r="A5852" s="14">
        <v>14.0</v>
      </c>
      <c r="B5852" s="15" t="s">
        <v>17632</v>
      </c>
      <c r="C5852" s="16">
        <v>28259.0</v>
      </c>
      <c r="D5852" s="17" t="s">
        <v>17633</v>
      </c>
    </row>
    <row r="5853">
      <c r="A5853" s="14">
        <v>15.0</v>
      </c>
      <c r="B5853" s="15" t="s">
        <v>17634</v>
      </c>
      <c r="C5853" s="16">
        <v>28260.0</v>
      </c>
      <c r="D5853" s="17" t="s">
        <v>17635</v>
      </c>
    </row>
    <row r="5854">
      <c r="A5854" s="14">
        <v>17.0</v>
      </c>
      <c r="B5854" s="15" t="s">
        <v>17636</v>
      </c>
      <c r="C5854" s="16">
        <v>28262.0</v>
      </c>
      <c r="D5854" s="17" t="s">
        <v>17637</v>
      </c>
    </row>
    <row r="5855">
      <c r="A5855" s="14">
        <v>17.0</v>
      </c>
      <c r="B5855" s="15" t="s">
        <v>17638</v>
      </c>
      <c r="C5855" s="16">
        <v>28262.0</v>
      </c>
      <c r="D5855" s="17" t="s">
        <v>17639</v>
      </c>
    </row>
    <row r="5856">
      <c r="A5856" s="14">
        <v>19.0</v>
      </c>
      <c r="B5856" s="15" t="s">
        <v>17640</v>
      </c>
      <c r="C5856" s="16">
        <v>28264.0</v>
      </c>
      <c r="D5856" s="17" t="s">
        <v>17641</v>
      </c>
    </row>
    <row r="5857">
      <c r="A5857" s="14">
        <v>20.0</v>
      </c>
      <c r="B5857" s="15" t="s">
        <v>17642</v>
      </c>
      <c r="C5857" s="16">
        <v>28265.0</v>
      </c>
      <c r="D5857" s="17" t="s">
        <v>17643</v>
      </c>
    </row>
    <row r="5858">
      <c r="A5858" s="14">
        <v>21.0</v>
      </c>
      <c r="B5858" s="15" t="s">
        <v>17644</v>
      </c>
      <c r="C5858" s="16">
        <v>28266.0</v>
      </c>
      <c r="D5858" s="17" t="s">
        <v>17645</v>
      </c>
    </row>
    <row r="5859">
      <c r="A5859" s="14">
        <v>22.0</v>
      </c>
      <c r="B5859" s="15" t="s">
        <v>17646</v>
      </c>
      <c r="C5859" s="16">
        <v>28267.0</v>
      </c>
      <c r="D5859" s="17" t="s">
        <v>17647</v>
      </c>
    </row>
    <row r="5860">
      <c r="A5860" s="14">
        <v>24.0</v>
      </c>
      <c r="B5860" s="15" t="s">
        <v>17648</v>
      </c>
      <c r="C5860" s="16">
        <v>28269.0</v>
      </c>
      <c r="D5860" s="17" t="s">
        <v>17649</v>
      </c>
    </row>
    <row r="5861">
      <c r="A5861" s="14">
        <v>24.0</v>
      </c>
      <c r="B5861" s="15" t="s">
        <v>17650</v>
      </c>
      <c r="C5861" s="16">
        <v>28269.0</v>
      </c>
      <c r="D5861" s="17" t="s">
        <v>17651</v>
      </c>
    </row>
    <row r="5862">
      <c r="A5862" s="14">
        <v>24.0</v>
      </c>
      <c r="B5862" s="15" t="s">
        <v>17652</v>
      </c>
      <c r="C5862" s="16">
        <v>28269.0</v>
      </c>
      <c r="D5862" s="17" t="s">
        <v>17653</v>
      </c>
    </row>
    <row r="5863">
      <c r="A5863" s="14">
        <v>24.0</v>
      </c>
      <c r="B5863" s="15" t="s">
        <v>17654</v>
      </c>
      <c r="C5863" s="16">
        <v>28269.0</v>
      </c>
      <c r="D5863" s="17" t="s">
        <v>17655</v>
      </c>
    </row>
    <row r="5864">
      <c r="A5864" s="14">
        <v>25.0</v>
      </c>
      <c r="B5864" s="15" t="s">
        <v>17656</v>
      </c>
      <c r="C5864" s="16">
        <v>28270.0</v>
      </c>
      <c r="D5864" s="17" t="s">
        <v>17657</v>
      </c>
    </row>
    <row r="5865">
      <c r="A5865" s="14">
        <v>25.0</v>
      </c>
      <c r="B5865" s="15" t="s">
        <v>17658</v>
      </c>
      <c r="C5865" s="16">
        <v>28270.0</v>
      </c>
      <c r="D5865" s="17" t="s">
        <v>17659</v>
      </c>
    </row>
    <row r="5866">
      <c r="A5866" s="14">
        <v>27.0</v>
      </c>
      <c r="B5866" s="15" t="s">
        <v>17660</v>
      </c>
      <c r="C5866" s="16">
        <v>28272.0</v>
      </c>
      <c r="D5866" s="17" t="s">
        <v>17661</v>
      </c>
    </row>
    <row r="5867">
      <c r="A5867" s="14">
        <v>27.0</v>
      </c>
      <c r="B5867" s="15" t="s">
        <v>17662</v>
      </c>
      <c r="C5867" s="16">
        <v>28272.0</v>
      </c>
      <c r="D5867" s="17" t="s">
        <v>17663</v>
      </c>
    </row>
    <row r="5868">
      <c r="A5868" s="14">
        <v>27.0</v>
      </c>
      <c r="B5868" s="15" t="s">
        <v>17664</v>
      </c>
      <c r="C5868" s="16">
        <v>28272.0</v>
      </c>
      <c r="D5868" s="17" t="s">
        <v>17665</v>
      </c>
    </row>
    <row r="5869">
      <c r="A5869" s="14">
        <v>28.0</v>
      </c>
      <c r="B5869" s="15" t="s">
        <v>17666</v>
      </c>
      <c r="C5869" s="16">
        <v>28273.0</v>
      </c>
      <c r="D5869" s="17" t="s">
        <v>17667</v>
      </c>
    </row>
    <row r="5870">
      <c r="A5870" s="14">
        <v>28.0</v>
      </c>
      <c r="B5870" s="15" t="s">
        <v>17668</v>
      </c>
      <c r="C5870" s="16">
        <v>28273.0</v>
      </c>
      <c r="D5870" s="17" t="s">
        <v>17669</v>
      </c>
    </row>
    <row r="5871">
      <c r="A5871" s="14">
        <v>28.0</v>
      </c>
      <c r="B5871" s="15" t="s">
        <v>17670</v>
      </c>
      <c r="C5871" s="16">
        <v>28273.0</v>
      </c>
      <c r="D5871" s="17" t="s">
        <v>17671</v>
      </c>
    </row>
    <row r="5872">
      <c r="A5872" s="14">
        <v>29.0</v>
      </c>
      <c r="B5872" s="15" t="s">
        <v>17672</v>
      </c>
      <c r="C5872" s="16">
        <v>28274.0</v>
      </c>
      <c r="D5872" s="17" t="s">
        <v>17673</v>
      </c>
    </row>
    <row r="5873">
      <c r="A5873" s="14">
        <v>29.0</v>
      </c>
      <c r="B5873" s="15" t="s">
        <v>17674</v>
      </c>
      <c r="C5873" s="16">
        <v>28274.0</v>
      </c>
      <c r="D5873" s="17" t="s">
        <v>17675</v>
      </c>
    </row>
    <row r="5874">
      <c r="A5874" s="14">
        <v>31.0</v>
      </c>
      <c r="B5874" s="15" t="s">
        <v>17676</v>
      </c>
      <c r="C5874" s="16">
        <v>28276.0</v>
      </c>
      <c r="D5874" s="17" t="s">
        <v>17677</v>
      </c>
    </row>
    <row r="5875">
      <c r="A5875" s="14">
        <v>1.0</v>
      </c>
      <c r="B5875" s="15" t="s">
        <v>17678</v>
      </c>
      <c r="C5875" s="16">
        <v>28277.0</v>
      </c>
      <c r="D5875" s="17" t="s">
        <v>17679</v>
      </c>
    </row>
    <row r="5876">
      <c r="A5876" s="14">
        <v>2.0</v>
      </c>
      <c r="B5876" s="15" t="s">
        <v>17680</v>
      </c>
      <c r="C5876" s="16">
        <v>28278.0</v>
      </c>
      <c r="D5876" s="17" t="s">
        <v>17681</v>
      </c>
    </row>
    <row r="5877">
      <c r="A5877" s="14">
        <v>17.0</v>
      </c>
      <c r="B5877" s="15" t="s">
        <v>17682</v>
      </c>
      <c r="C5877" s="16">
        <v>28293.0</v>
      </c>
      <c r="D5877" s="17" t="s">
        <v>17683</v>
      </c>
    </row>
    <row r="5878">
      <c r="A5878" s="14">
        <v>18.0</v>
      </c>
      <c r="B5878" s="15" t="s">
        <v>17684</v>
      </c>
      <c r="C5878" s="16">
        <v>28294.0</v>
      </c>
      <c r="D5878" s="17" t="s">
        <v>17685</v>
      </c>
    </row>
    <row r="5879">
      <c r="A5879" s="14">
        <v>19.0</v>
      </c>
      <c r="B5879" s="15" t="s">
        <v>17686</v>
      </c>
      <c r="C5879" s="16">
        <v>28295.0</v>
      </c>
      <c r="D5879" s="17" t="s">
        <v>17687</v>
      </c>
    </row>
    <row r="5880">
      <c r="A5880" s="14">
        <v>19.0</v>
      </c>
      <c r="B5880" s="15" t="s">
        <v>17688</v>
      </c>
      <c r="C5880" s="16">
        <v>28295.0</v>
      </c>
      <c r="D5880" s="17" t="s">
        <v>17689</v>
      </c>
    </row>
    <row r="5881">
      <c r="A5881" s="14">
        <v>20.0</v>
      </c>
      <c r="B5881" s="15" t="s">
        <v>17690</v>
      </c>
      <c r="C5881" s="16">
        <v>28296.0</v>
      </c>
      <c r="D5881" s="17" t="s">
        <v>17691</v>
      </c>
    </row>
    <row r="5882">
      <c r="A5882" s="14">
        <v>20.0</v>
      </c>
      <c r="B5882" s="15" t="s">
        <v>17692</v>
      </c>
      <c r="C5882" s="16">
        <v>28296.0</v>
      </c>
      <c r="D5882" s="17" t="s">
        <v>17693</v>
      </c>
    </row>
    <row r="5883">
      <c r="A5883" s="14">
        <v>21.0</v>
      </c>
      <c r="B5883" s="15" t="s">
        <v>17694</v>
      </c>
      <c r="C5883" s="16">
        <v>28297.0</v>
      </c>
      <c r="D5883" s="17" t="s">
        <v>17695</v>
      </c>
    </row>
    <row r="5884">
      <c r="A5884" s="14">
        <v>22.0</v>
      </c>
      <c r="B5884" s="15" t="s">
        <v>17696</v>
      </c>
      <c r="C5884" s="16">
        <v>28298.0</v>
      </c>
      <c r="D5884" s="17" t="s">
        <v>17697</v>
      </c>
    </row>
    <row r="5885">
      <c r="A5885" s="14">
        <v>23.0</v>
      </c>
      <c r="B5885" s="15" t="s">
        <v>17698</v>
      </c>
      <c r="C5885" s="16">
        <v>28299.0</v>
      </c>
      <c r="D5885" s="17" t="s">
        <v>17699</v>
      </c>
    </row>
    <row r="5886">
      <c r="A5886" s="14">
        <v>24.0</v>
      </c>
      <c r="B5886" s="15" t="s">
        <v>17700</v>
      </c>
      <c r="C5886" s="16">
        <v>28300.0</v>
      </c>
      <c r="D5886" s="17" t="s">
        <v>17701</v>
      </c>
    </row>
    <row r="5887">
      <c r="A5887" s="14">
        <v>26.0</v>
      </c>
      <c r="B5887" s="15" t="s">
        <v>17702</v>
      </c>
      <c r="C5887" s="16">
        <v>28302.0</v>
      </c>
      <c r="D5887" s="17" t="s">
        <v>17703</v>
      </c>
    </row>
    <row r="5888">
      <c r="A5888" s="14">
        <v>26.0</v>
      </c>
      <c r="B5888" s="15" t="s">
        <v>17704</v>
      </c>
      <c r="C5888" s="16">
        <v>28302.0</v>
      </c>
      <c r="D5888" s="17" t="s">
        <v>17705</v>
      </c>
    </row>
    <row r="5889">
      <c r="A5889" s="14">
        <v>27.0</v>
      </c>
      <c r="B5889" s="15" t="s">
        <v>17706</v>
      </c>
      <c r="C5889" s="16">
        <v>28303.0</v>
      </c>
      <c r="D5889" s="17" t="s">
        <v>17707</v>
      </c>
    </row>
    <row r="5890">
      <c r="A5890" s="14">
        <v>28.0</v>
      </c>
      <c r="B5890" s="15" t="s">
        <v>17708</v>
      </c>
      <c r="C5890" s="16">
        <v>28304.0</v>
      </c>
      <c r="D5890" s="17" t="s">
        <v>17709</v>
      </c>
    </row>
    <row r="5891">
      <c r="A5891" s="14">
        <v>28.0</v>
      </c>
      <c r="B5891" s="15" t="s">
        <v>17710</v>
      </c>
      <c r="C5891" s="16">
        <v>28304.0</v>
      </c>
      <c r="D5891" s="17" t="s">
        <v>17711</v>
      </c>
    </row>
    <row r="5892">
      <c r="A5892" s="14">
        <v>28.0</v>
      </c>
      <c r="B5892" s="15" t="s">
        <v>17712</v>
      </c>
      <c r="C5892" s="16">
        <v>28304.0</v>
      </c>
      <c r="D5892" s="17" t="s">
        <v>17713</v>
      </c>
    </row>
    <row r="5893">
      <c r="A5893" s="14">
        <v>28.0</v>
      </c>
      <c r="B5893" s="15" t="s">
        <v>17714</v>
      </c>
      <c r="C5893" s="16">
        <v>28304.0</v>
      </c>
      <c r="D5893" s="17" t="s">
        <v>17715</v>
      </c>
    </row>
    <row r="5894">
      <c r="A5894" s="14">
        <v>30.0</v>
      </c>
      <c r="B5894" s="15" t="s">
        <v>17716</v>
      </c>
      <c r="C5894" s="16">
        <v>28306.0</v>
      </c>
      <c r="D5894" s="17" t="s">
        <v>17717</v>
      </c>
    </row>
    <row r="5895">
      <c r="A5895" s="14">
        <v>30.0</v>
      </c>
      <c r="B5895" s="15" t="s">
        <v>17718</v>
      </c>
      <c r="C5895" s="16">
        <v>28306.0</v>
      </c>
      <c r="D5895" s="17" t="s">
        <v>17719</v>
      </c>
    </row>
    <row r="5896">
      <c r="A5896" s="14">
        <v>30.0</v>
      </c>
      <c r="B5896" s="15" t="s">
        <v>17720</v>
      </c>
      <c r="C5896" s="16">
        <v>28306.0</v>
      </c>
      <c r="D5896" s="17" t="s">
        <v>17721</v>
      </c>
    </row>
    <row r="5897">
      <c r="A5897" s="14">
        <v>1.0</v>
      </c>
      <c r="B5897" s="15" t="s">
        <v>17722</v>
      </c>
      <c r="C5897" s="16">
        <v>28307.0</v>
      </c>
      <c r="D5897" s="17" t="s">
        <v>17723</v>
      </c>
    </row>
    <row r="5898">
      <c r="A5898" s="14">
        <v>1.0</v>
      </c>
      <c r="B5898" s="15" t="s">
        <v>17724</v>
      </c>
      <c r="C5898" s="16">
        <v>28307.0</v>
      </c>
      <c r="D5898" s="17" t="s">
        <v>17725</v>
      </c>
    </row>
    <row r="5899">
      <c r="A5899" s="14">
        <v>1.0</v>
      </c>
      <c r="B5899" s="15" t="s">
        <v>17726</v>
      </c>
      <c r="C5899" s="16">
        <v>28307.0</v>
      </c>
      <c r="D5899" s="17" t="s">
        <v>17727</v>
      </c>
    </row>
    <row r="5900">
      <c r="A5900" s="14">
        <v>1.0</v>
      </c>
      <c r="B5900" s="15" t="s">
        <v>17728</v>
      </c>
      <c r="C5900" s="16">
        <v>28307.0</v>
      </c>
      <c r="D5900" s="17" t="s">
        <v>17729</v>
      </c>
    </row>
    <row r="5901">
      <c r="A5901" s="14">
        <v>1.0</v>
      </c>
      <c r="B5901" s="15" t="s">
        <v>17730</v>
      </c>
      <c r="C5901" s="16">
        <v>28307.0</v>
      </c>
      <c r="D5901" s="17" t="s">
        <v>17731</v>
      </c>
    </row>
    <row r="5902">
      <c r="A5902" s="14">
        <v>1.0</v>
      </c>
      <c r="B5902" s="15" t="s">
        <v>17732</v>
      </c>
      <c r="C5902" s="16">
        <v>28307.0</v>
      </c>
      <c r="D5902" s="17" t="s">
        <v>17733</v>
      </c>
    </row>
    <row r="5903">
      <c r="A5903" s="14">
        <v>2.0</v>
      </c>
      <c r="B5903" s="15" t="s">
        <v>17734</v>
      </c>
      <c r="C5903" s="16">
        <v>28308.0</v>
      </c>
      <c r="D5903" s="17" t="s">
        <v>17735</v>
      </c>
    </row>
    <row r="5904">
      <c r="A5904" s="14">
        <v>2.0</v>
      </c>
      <c r="B5904" s="15" t="s">
        <v>17736</v>
      </c>
      <c r="C5904" s="16">
        <v>28308.0</v>
      </c>
      <c r="D5904" s="17" t="s">
        <v>17737</v>
      </c>
    </row>
    <row r="5905">
      <c r="A5905" s="14">
        <v>3.0</v>
      </c>
      <c r="B5905" s="15" t="s">
        <v>17738</v>
      </c>
      <c r="C5905" s="16">
        <v>28309.0</v>
      </c>
      <c r="D5905" s="17" t="s">
        <v>17739</v>
      </c>
    </row>
    <row r="5906">
      <c r="A5906" s="14">
        <v>5.0</v>
      </c>
      <c r="B5906" s="15" t="s">
        <v>17740</v>
      </c>
      <c r="C5906" s="16">
        <v>28311.0</v>
      </c>
      <c r="D5906" s="17" t="s">
        <v>17741</v>
      </c>
    </row>
    <row r="5907">
      <c r="A5907" s="14">
        <v>5.0</v>
      </c>
      <c r="B5907" s="15" t="s">
        <v>17742</v>
      </c>
      <c r="C5907" s="16">
        <v>28311.0</v>
      </c>
      <c r="D5907" s="17" t="s">
        <v>17743</v>
      </c>
    </row>
    <row r="5908">
      <c r="A5908" s="14">
        <v>6.0</v>
      </c>
      <c r="B5908" s="15" t="s">
        <v>17744</v>
      </c>
      <c r="C5908" s="16">
        <v>28312.0</v>
      </c>
      <c r="D5908" s="17" t="s">
        <v>17745</v>
      </c>
    </row>
    <row r="5909">
      <c r="A5909" s="14">
        <v>7.0</v>
      </c>
      <c r="B5909" s="15" t="s">
        <v>17746</v>
      </c>
      <c r="C5909" s="16">
        <v>28313.0</v>
      </c>
      <c r="D5909" s="17" t="s">
        <v>17747</v>
      </c>
    </row>
    <row r="5910">
      <c r="A5910" s="14">
        <v>7.0</v>
      </c>
      <c r="B5910" s="15" t="s">
        <v>17748</v>
      </c>
      <c r="C5910" s="16">
        <v>28313.0</v>
      </c>
      <c r="D5910" s="17" t="s">
        <v>17749</v>
      </c>
    </row>
    <row r="5911">
      <c r="A5911" s="14">
        <v>7.0</v>
      </c>
      <c r="B5911" s="15" t="s">
        <v>17750</v>
      </c>
      <c r="C5911" s="16">
        <v>28313.0</v>
      </c>
      <c r="D5911" s="17" t="s">
        <v>17751</v>
      </c>
    </row>
    <row r="5912">
      <c r="A5912" s="14">
        <v>8.0</v>
      </c>
      <c r="B5912" s="15" t="s">
        <v>17752</v>
      </c>
      <c r="C5912" s="16">
        <v>28314.0</v>
      </c>
      <c r="D5912" s="17" t="s">
        <v>17753</v>
      </c>
    </row>
    <row r="5913">
      <c r="A5913" s="14">
        <v>8.0</v>
      </c>
      <c r="B5913" s="15" t="s">
        <v>17754</v>
      </c>
      <c r="C5913" s="16">
        <v>28314.0</v>
      </c>
      <c r="D5913" s="17" t="s">
        <v>17755</v>
      </c>
    </row>
    <row r="5914">
      <c r="A5914" s="14">
        <v>10.0</v>
      </c>
      <c r="B5914" s="15" t="s">
        <v>17756</v>
      </c>
      <c r="C5914" s="16">
        <v>28316.0</v>
      </c>
      <c r="D5914" s="17" t="s">
        <v>17757</v>
      </c>
    </row>
    <row r="5915">
      <c r="A5915" s="14">
        <v>14.0</v>
      </c>
      <c r="B5915" s="15" t="s">
        <v>17758</v>
      </c>
      <c r="C5915" s="16">
        <v>28320.0</v>
      </c>
      <c r="D5915" s="17" t="s">
        <v>17759</v>
      </c>
    </row>
    <row r="5916">
      <c r="A5916" s="14">
        <v>14.0</v>
      </c>
      <c r="B5916" s="15" t="s">
        <v>17760</v>
      </c>
      <c r="C5916" s="16">
        <v>28320.0</v>
      </c>
      <c r="D5916" s="17" t="s">
        <v>17761</v>
      </c>
    </row>
    <row r="5917">
      <c r="A5917" s="14">
        <v>15.0</v>
      </c>
      <c r="B5917" s="15" t="s">
        <v>17762</v>
      </c>
      <c r="C5917" s="16">
        <v>28321.0</v>
      </c>
      <c r="D5917" s="17" t="s">
        <v>17763</v>
      </c>
    </row>
    <row r="5918">
      <c r="A5918" s="14">
        <v>17.0</v>
      </c>
      <c r="B5918" s="15" t="s">
        <v>17764</v>
      </c>
      <c r="C5918" s="16">
        <v>28323.0</v>
      </c>
      <c r="D5918" s="17" t="s">
        <v>17765</v>
      </c>
    </row>
    <row r="5919">
      <c r="A5919" s="14">
        <v>17.0</v>
      </c>
      <c r="B5919" s="15" t="s">
        <v>17766</v>
      </c>
      <c r="C5919" s="16">
        <v>28323.0</v>
      </c>
      <c r="D5919" s="17" t="s">
        <v>17767</v>
      </c>
    </row>
    <row r="5920">
      <c r="A5920" s="14">
        <v>19.0</v>
      </c>
      <c r="B5920" s="15" t="s">
        <v>17768</v>
      </c>
      <c r="C5920" s="16">
        <v>28325.0</v>
      </c>
      <c r="D5920" s="17" t="s">
        <v>17769</v>
      </c>
    </row>
    <row r="5921">
      <c r="A5921" s="14">
        <v>19.0</v>
      </c>
      <c r="B5921" s="15" t="s">
        <v>17770</v>
      </c>
      <c r="C5921" s="16">
        <v>28325.0</v>
      </c>
      <c r="D5921" s="17" t="s">
        <v>17771</v>
      </c>
    </row>
    <row r="5922">
      <c r="A5922" s="14">
        <v>26.0</v>
      </c>
      <c r="B5922" s="15" t="s">
        <v>17772</v>
      </c>
      <c r="C5922" s="16">
        <v>28332.0</v>
      </c>
      <c r="D5922" s="17" t="s">
        <v>17773</v>
      </c>
    </row>
    <row r="5923">
      <c r="A5923" s="14">
        <v>27.0</v>
      </c>
      <c r="B5923" s="15" t="s">
        <v>17774</v>
      </c>
      <c r="C5923" s="16">
        <v>28333.0</v>
      </c>
      <c r="D5923" s="17" t="s">
        <v>17775</v>
      </c>
    </row>
    <row r="5924">
      <c r="A5924" s="14">
        <v>31.0</v>
      </c>
      <c r="B5924" s="15" t="s">
        <v>17776</v>
      </c>
      <c r="C5924" s="16">
        <v>28337.0</v>
      </c>
      <c r="D5924" s="17" t="s">
        <v>17777</v>
      </c>
    </row>
    <row r="5925">
      <c r="A5925" s="14">
        <v>8.0</v>
      </c>
      <c r="B5925" s="15" t="s">
        <v>17778</v>
      </c>
      <c r="C5925" s="16">
        <v>28345.0</v>
      </c>
      <c r="D5925" s="17" t="s">
        <v>17779</v>
      </c>
    </row>
    <row r="5926">
      <c r="A5926" s="14">
        <v>10.0</v>
      </c>
      <c r="B5926" s="15" t="s">
        <v>17780</v>
      </c>
      <c r="C5926" s="16">
        <v>28347.0</v>
      </c>
      <c r="D5926" s="17" t="s">
        <v>17781</v>
      </c>
    </row>
    <row r="5927">
      <c r="A5927" s="14">
        <v>11.0</v>
      </c>
      <c r="B5927" s="15" t="s">
        <v>17782</v>
      </c>
      <c r="C5927" s="16">
        <v>28348.0</v>
      </c>
      <c r="D5927" s="17" t="s">
        <v>17783</v>
      </c>
    </row>
    <row r="5928">
      <c r="A5928" s="14">
        <v>17.0</v>
      </c>
      <c r="B5928" s="15" t="s">
        <v>17784</v>
      </c>
      <c r="C5928" s="16">
        <v>28354.0</v>
      </c>
      <c r="D5928" s="17" t="s">
        <v>17785</v>
      </c>
    </row>
    <row r="5929">
      <c r="A5929" s="14">
        <v>29.0</v>
      </c>
      <c r="B5929" s="15" t="s">
        <v>17786</v>
      </c>
      <c r="C5929" s="16">
        <v>28366.0</v>
      </c>
      <c r="D5929" s="17" t="s">
        <v>17787</v>
      </c>
    </row>
    <row r="5930">
      <c r="A5930" s="14">
        <v>2.0</v>
      </c>
      <c r="B5930" s="15" t="s">
        <v>17788</v>
      </c>
      <c r="C5930" s="16">
        <v>28400.0</v>
      </c>
      <c r="D5930" s="17" t="s">
        <v>17789</v>
      </c>
    </row>
    <row r="5931">
      <c r="A5931" s="14">
        <v>3.0</v>
      </c>
      <c r="B5931" s="15" t="s">
        <v>17790</v>
      </c>
      <c r="C5931" s="16">
        <v>28401.0</v>
      </c>
      <c r="D5931" s="17" t="s">
        <v>17791</v>
      </c>
    </row>
    <row r="5932">
      <c r="A5932" s="14">
        <v>4.0</v>
      </c>
      <c r="B5932" s="15" t="s">
        <v>17792</v>
      </c>
      <c r="C5932" s="16">
        <v>28402.0</v>
      </c>
      <c r="D5932" s="17" t="s">
        <v>17793</v>
      </c>
    </row>
    <row r="5933">
      <c r="A5933" s="14">
        <v>6.0</v>
      </c>
      <c r="B5933" s="15" t="s">
        <v>17794</v>
      </c>
      <c r="C5933" s="16">
        <v>28404.0</v>
      </c>
      <c r="D5933" s="17" t="s">
        <v>17795</v>
      </c>
    </row>
    <row r="5934">
      <c r="A5934" s="14">
        <v>6.0</v>
      </c>
      <c r="B5934" s="15" t="s">
        <v>17796</v>
      </c>
      <c r="C5934" s="16">
        <v>28404.0</v>
      </c>
      <c r="D5934" s="17" t="s">
        <v>17797</v>
      </c>
    </row>
    <row r="5935">
      <c r="A5935" s="14">
        <v>8.0</v>
      </c>
      <c r="B5935" s="15" t="s">
        <v>17798</v>
      </c>
      <c r="C5935" s="16">
        <v>28406.0</v>
      </c>
      <c r="D5935" s="17" t="s">
        <v>17799</v>
      </c>
    </row>
    <row r="5936">
      <c r="A5936" s="14">
        <v>8.0</v>
      </c>
      <c r="B5936" s="15" t="s">
        <v>17800</v>
      </c>
      <c r="C5936" s="16">
        <v>28406.0</v>
      </c>
      <c r="D5936" s="17" t="s">
        <v>17801</v>
      </c>
    </row>
    <row r="5937">
      <c r="A5937" s="14">
        <v>9.0</v>
      </c>
      <c r="B5937" s="15" t="s">
        <v>17802</v>
      </c>
      <c r="C5937" s="16">
        <v>28407.0</v>
      </c>
      <c r="D5937" s="17" t="s">
        <v>17803</v>
      </c>
    </row>
    <row r="5938">
      <c r="A5938" s="14">
        <v>10.0</v>
      </c>
      <c r="B5938" s="15" t="s">
        <v>17804</v>
      </c>
      <c r="C5938" s="16">
        <v>28408.0</v>
      </c>
      <c r="D5938" s="17" t="s">
        <v>17805</v>
      </c>
    </row>
    <row r="5939">
      <c r="A5939" s="14">
        <v>10.0</v>
      </c>
      <c r="B5939" s="15" t="s">
        <v>17806</v>
      </c>
      <c r="C5939" s="16">
        <v>28408.0</v>
      </c>
      <c r="D5939" s="17" t="s">
        <v>17807</v>
      </c>
    </row>
    <row r="5940">
      <c r="A5940" s="14">
        <v>11.0</v>
      </c>
      <c r="B5940" s="15" t="s">
        <v>17808</v>
      </c>
      <c r="C5940" s="16">
        <v>28409.0</v>
      </c>
      <c r="D5940" s="17" t="s">
        <v>17809</v>
      </c>
    </row>
    <row r="5941">
      <c r="A5941" s="14">
        <v>11.0</v>
      </c>
      <c r="B5941" s="15" t="s">
        <v>17810</v>
      </c>
      <c r="C5941" s="16">
        <v>28409.0</v>
      </c>
      <c r="D5941" s="17" t="s">
        <v>17811</v>
      </c>
    </row>
    <row r="5942">
      <c r="A5942" s="14">
        <v>12.0</v>
      </c>
      <c r="B5942" s="15" t="s">
        <v>17812</v>
      </c>
      <c r="C5942" s="16">
        <v>28410.0</v>
      </c>
      <c r="D5942" s="17" t="s">
        <v>17813</v>
      </c>
    </row>
    <row r="5943">
      <c r="A5943" s="14">
        <v>13.0</v>
      </c>
      <c r="B5943" s="15" t="s">
        <v>17814</v>
      </c>
      <c r="C5943" s="16">
        <v>28411.0</v>
      </c>
      <c r="D5943" s="17" t="s">
        <v>17815</v>
      </c>
    </row>
    <row r="5944">
      <c r="A5944" s="14">
        <v>13.0</v>
      </c>
      <c r="B5944" s="15" t="s">
        <v>17816</v>
      </c>
      <c r="C5944" s="16">
        <v>28411.0</v>
      </c>
      <c r="D5944" s="17" t="s">
        <v>17817</v>
      </c>
    </row>
    <row r="5945">
      <c r="A5945" s="14">
        <v>13.0</v>
      </c>
      <c r="B5945" s="15" t="s">
        <v>17818</v>
      </c>
      <c r="C5945" s="16">
        <v>28411.0</v>
      </c>
      <c r="D5945" s="17" t="s">
        <v>17819</v>
      </c>
    </row>
    <row r="5946">
      <c r="A5946" s="14">
        <v>14.0</v>
      </c>
      <c r="B5946" s="15" t="s">
        <v>17820</v>
      </c>
      <c r="C5946" s="16">
        <v>28412.0</v>
      </c>
      <c r="D5946" s="17" t="s">
        <v>17821</v>
      </c>
    </row>
    <row r="5947">
      <c r="A5947" s="14">
        <v>14.0</v>
      </c>
      <c r="B5947" s="15" t="s">
        <v>17822</v>
      </c>
      <c r="C5947" s="16">
        <v>28412.0</v>
      </c>
      <c r="D5947" s="17" t="s">
        <v>17823</v>
      </c>
    </row>
    <row r="5948">
      <c r="A5948" s="14">
        <v>14.0</v>
      </c>
      <c r="B5948" s="15" t="s">
        <v>17824</v>
      </c>
      <c r="C5948" s="16">
        <v>28412.0</v>
      </c>
      <c r="D5948" s="17" t="s">
        <v>17825</v>
      </c>
    </row>
    <row r="5949">
      <c r="A5949" s="14">
        <v>15.0</v>
      </c>
      <c r="B5949" s="15" t="s">
        <v>17826</v>
      </c>
      <c r="C5949" s="16">
        <v>28413.0</v>
      </c>
      <c r="D5949" s="17" t="s">
        <v>17827</v>
      </c>
    </row>
    <row r="5950">
      <c r="A5950" s="14">
        <v>15.0</v>
      </c>
      <c r="B5950" s="15" t="s">
        <v>17828</v>
      </c>
      <c r="C5950" s="16">
        <v>28413.0</v>
      </c>
      <c r="D5950" s="17" t="s">
        <v>17829</v>
      </c>
    </row>
    <row r="5951">
      <c r="A5951" s="14">
        <v>15.0</v>
      </c>
      <c r="B5951" s="15" t="s">
        <v>17830</v>
      </c>
      <c r="C5951" s="16">
        <v>28413.0</v>
      </c>
      <c r="D5951" s="17" t="s">
        <v>17831</v>
      </c>
    </row>
    <row r="5952">
      <c r="A5952" s="14">
        <v>16.0</v>
      </c>
      <c r="B5952" s="15" t="s">
        <v>17832</v>
      </c>
      <c r="C5952" s="16">
        <v>28414.0</v>
      </c>
      <c r="D5952" s="17" t="s">
        <v>17833</v>
      </c>
    </row>
    <row r="5953">
      <c r="A5953" s="14">
        <v>16.0</v>
      </c>
      <c r="B5953" s="15" t="s">
        <v>17834</v>
      </c>
      <c r="C5953" s="16">
        <v>28414.0</v>
      </c>
      <c r="D5953" s="17" t="s">
        <v>17835</v>
      </c>
    </row>
    <row r="5954">
      <c r="A5954" s="14">
        <v>16.0</v>
      </c>
      <c r="B5954" s="15" t="s">
        <v>17836</v>
      </c>
      <c r="C5954" s="16">
        <v>28414.0</v>
      </c>
      <c r="D5954" s="17" t="s">
        <v>17837</v>
      </c>
    </row>
    <row r="5955">
      <c r="A5955" s="14">
        <v>17.0</v>
      </c>
      <c r="B5955" s="15" t="s">
        <v>17838</v>
      </c>
      <c r="C5955" s="16">
        <v>28415.0</v>
      </c>
      <c r="D5955" s="17" t="s">
        <v>17839</v>
      </c>
    </row>
    <row r="5956">
      <c r="A5956" s="14">
        <v>17.0</v>
      </c>
      <c r="B5956" s="15" t="s">
        <v>17840</v>
      </c>
      <c r="C5956" s="16">
        <v>28415.0</v>
      </c>
      <c r="D5956" s="17" t="s">
        <v>17841</v>
      </c>
    </row>
    <row r="5957">
      <c r="A5957" s="14">
        <v>18.0</v>
      </c>
      <c r="B5957" s="15" t="s">
        <v>17842</v>
      </c>
      <c r="C5957" s="16">
        <v>28416.0</v>
      </c>
      <c r="D5957" s="17" t="s">
        <v>17843</v>
      </c>
    </row>
    <row r="5958">
      <c r="A5958" s="14">
        <v>18.0</v>
      </c>
      <c r="B5958" s="15" t="s">
        <v>17844</v>
      </c>
      <c r="C5958" s="16">
        <v>28416.0</v>
      </c>
      <c r="D5958" s="17" t="s">
        <v>17845</v>
      </c>
    </row>
    <row r="5959">
      <c r="A5959" s="14">
        <v>18.0</v>
      </c>
      <c r="B5959" s="15" t="s">
        <v>17846</v>
      </c>
      <c r="C5959" s="16">
        <v>28416.0</v>
      </c>
      <c r="D5959" s="17" t="s">
        <v>17847</v>
      </c>
    </row>
    <row r="5960">
      <c r="A5960" s="14">
        <v>19.0</v>
      </c>
      <c r="B5960" s="15" t="s">
        <v>17848</v>
      </c>
      <c r="C5960" s="16">
        <v>28417.0</v>
      </c>
      <c r="D5960" s="17" t="s">
        <v>17849</v>
      </c>
    </row>
    <row r="5961">
      <c r="A5961" s="14">
        <v>20.0</v>
      </c>
      <c r="B5961" s="15" t="s">
        <v>17850</v>
      </c>
      <c r="C5961" s="16">
        <v>28418.0</v>
      </c>
      <c r="D5961" s="17" t="s">
        <v>17851</v>
      </c>
    </row>
    <row r="5962">
      <c r="A5962" s="14">
        <v>21.0</v>
      </c>
      <c r="B5962" s="15" t="s">
        <v>17852</v>
      </c>
      <c r="C5962" s="16">
        <v>28419.0</v>
      </c>
      <c r="D5962" s="17" t="s">
        <v>17853</v>
      </c>
    </row>
    <row r="5963">
      <c r="A5963" s="14">
        <v>21.0</v>
      </c>
      <c r="B5963" s="15" t="s">
        <v>17854</v>
      </c>
      <c r="C5963" s="16">
        <v>28419.0</v>
      </c>
      <c r="D5963" s="17" t="s">
        <v>17855</v>
      </c>
    </row>
    <row r="5964">
      <c r="A5964" s="14">
        <v>22.0</v>
      </c>
      <c r="B5964" s="15" t="s">
        <v>17856</v>
      </c>
      <c r="C5964" s="16">
        <v>28420.0</v>
      </c>
      <c r="D5964" s="17" t="s">
        <v>17857</v>
      </c>
    </row>
    <row r="5965">
      <c r="A5965" s="14">
        <v>22.0</v>
      </c>
      <c r="B5965" s="15" t="s">
        <v>17858</v>
      </c>
      <c r="C5965" s="16">
        <v>28420.0</v>
      </c>
      <c r="D5965" s="17" t="s">
        <v>17859</v>
      </c>
    </row>
    <row r="5966">
      <c r="A5966" s="14">
        <v>24.0</v>
      </c>
      <c r="B5966" s="15" t="s">
        <v>17860</v>
      </c>
      <c r="C5966" s="16">
        <v>28422.0</v>
      </c>
      <c r="D5966" s="17" t="s">
        <v>17861</v>
      </c>
    </row>
    <row r="5967">
      <c r="A5967" s="14">
        <v>25.0</v>
      </c>
      <c r="B5967" s="15" t="s">
        <v>17862</v>
      </c>
      <c r="C5967" s="16">
        <v>28423.0</v>
      </c>
      <c r="D5967" s="17" t="s">
        <v>17863</v>
      </c>
    </row>
    <row r="5968">
      <c r="A5968" s="14">
        <v>25.0</v>
      </c>
      <c r="B5968" s="15" t="s">
        <v>17864</v>
      </c>
      <c r="C5968" s="16">
        <v>28423.0</v>
      </c>
      <c r="D5968" s="17" t="s">
        <v>17865</v>
      </c>
    </row>
    <row r="5969">
      <c r="A5969" s="14">
        <v>26.0</v>
      </c>
      <c r="B5969" s="15" t="s">
        <v>17866</v>
      </c>
      <c r="C5969" s="16">
        <v>28424.0</v>
      </c>
      <c r="D5969" s="17" t="s">
        <v>17867</v>
      </c>
    </row>
    <row r="5970">
      <c r="A5970" s="14">
        <v>27.0</v>
      </c>
      <c r="B5970" s="15" t="s">
        <v>17868</v>
      </c>
      <c r="C5970" s="16">
        <v>28425.0</v>
      </c>
      <c r="D5970" s="17" t="s">
        <v>17869</v>
      </c>
    </row>
    <row r="5971">
      <c r="A5971" s="14">
        <v>27.0</v>
      </c>
      <c r="B5971" s="15" t="s">
        <v>17870</v>
      </c>
      <c r="C5971" s="16">
        <v>28425.0</v>
      </c>
      <c r="D5971" s="17" t="s">
        <v>17871</v>
      </c>
    </row>
    <row r="5972">
      <c r="A5972" s="14">
        <v>28.0</v>
      </c>
      <c r="B5972" s="15" t="s">
        <v>17872</v>
      </c>
      <c r="C5972" s="16">
        <v>28426.0</v>
      </c>
      <c r="D5972" s="17" t="s">
        <v>17873</v>
      </c>
    </row>
    <row r="5973">
      <c r="A5973" s="14">
        <v>28.0</v>
      </c>
      <c r="B5973" s="15" t="s">
        <v>17874</v>
      </c>
      <c r="C5973" s="16">
        <v>28426.0</v>
      </c>
      <c r="D5973" s="17" t="s">
        <v>17875</v>
      </c>
    </row>
    <row r="5974">
      <c r="A5974" s="14">
        <v>29.0</v>
      </c>
      <c r="B5974" s="15" t="s">
        <v>17876</v>
      </c>
      <c r="C5974" s="16">
        <v>28427.0</v>
      </c>
      <c r="D5974" s="17" t="s">
        <v>17877</v>
      </c>
    </row>
    <row r="5975">
      <c r="A5975" s="14">
        <v>30.0</v>
      </c>
      <c r="B5975" s="15" t="s">
        <v>17878</v>
      </c>
      <c r="C5975" s="16">
        <v>28428.0</v>
      </c>
      <c r="D5975" s="17" t="s">
        <v>17879</v>
      </c>
    </row>
    <row r="5976">
      <c r="A5976" s="14">
        <v>30.0</v>
      </c>
      <c r="B5976" s="15" t="s">
        <v>17880</v>
      </c>
      <c r="C5976" s="16">
        <v>28428.0</v>
      </c>
      <c r="D5976" s="17" t="s">
        <v>17881</v>
      </c>
    </row>
    <row r="5977">
      <c r="A5977" s="14">
        <v>31.0</v>
      </c>
      <c r="B5977" s="15" t="s">
        <v>17882</v>
      </c>
      <c r="C5977" s="16">
        <v>28429.0</v>
      </c>
      <c r="D5977" s="17" t="s">
        <v>17883</v>
      </c>
    </row>
    <row r="5978">
      <c r="A5978" s="14">
        <v>31.0</v>
      </c>
      <c r="B5978" s="15" t="s">
        <v>17884</v>
      </c>
      <c r="C5978" s="16">
        <v>28429.0</v>
      </c>
      <c r="D5978" s="17" t="s">
        <v>17885</v>
      </c>
    </row>
    <row r="5979">
      <c r="A5979" s="14">
        <v>31.0</v>
      </c>
      <c r="B5979" s="15" t="s">
        <v>17886</v>
      </c>
      <c r="C5979" s="16">
        <v>28429.0</v>
      </c>
      <c r="D5979" s="17" t="s">
        <v>17887</v>
      </c>
    </row>
    <row r="5980">
      <c r="A5980" s="14">
        <v>2.0</v>
      </c>
      <c r="B5980" s="15" t="s">
        <v>17888</v>
      </c>
      <c r="C5980" s="16">
        <v>28431.0</v>
      </c>
      <c r="D5980" s="17" t="s">
        <v>17889</v>
      </c>
    </row>
    <row r="5981">
      <c r="A5981" s="14">
        <v>2.0</v>
      </c>
      <c r="B5981" s="15" t="s">
        <v>17890</v>
      </c>
      <c r="C5981" s="16">
        <v>28431.0</v>
      </c>
      <c r="D5981" s="17" t="s">
        <v>17891</v>
      </c>
    </row>
    <row r="5982">
      <c r="A5982" s="14">
        <v>2.0</v>
      </c>
      <c r="B5982" s="15" t="s">
        <v>17892</v>
      </c>
      <c r="C5982" s="16">
        <v>28431.0</v>
      </c>
      <c r="D5982" s="17" t="s">
        <v>17893</v>
      </c>
    </row>
    <row r="5983">
      <c r="A5983" s="14">
        <v>2.0</v>
      </c>
      <c r="B5983" s="15" t="s">
        <v>17894</v>
      </c>
      <c r="C5983" s="16">
        <v>28431.0</v>
      </c>
      <c r="D5983" s="17" t="s">
        <v>17895</v>
      </c>
    </row>
    <row r="5984">
      <c r="A5984" s="14">
        <v>2.0</v>
      </c>
      <c r="B5984" s="15" t="s">
        <v>17896</v>
      </c>
      <c r="C5984" s="16">
        <v>28431.0</v>
      </c>
      <c r="D5984" s="17" t="s">
        <v>17897</v>
      </c>
    </row>
    <row r="5985">
      <c r="A5985" s="14">
        <v>2.0</v>
      </c>
      <c r="B5985" s="15" t="s">
        <v>17898</v>
      </c>
      <c r="C5985" s="16">
        <v>28431.0</v>
      </c>
      <c r="D5985" s="17" t="s">
        <v>17899</v>
      </c>
    </row>
    <row r="5986">
      <c r="A5986" s="14">
        <v>2.0</v>
      </c>
      <c r="B5986" s="15" t="s">
        <v>17900</v>
      </c>
      <c r="C5986" s="16">
        <v>28431.0</v>
      </c>
      <c r="D5986" s="17" t="s">
        <v>17901</v>
      </c>
    </row>
    <row r="5987">
      <c r="A5987" s="14">
        <v>2.0</v>
      </c>
      <c r="B5987" s="15" t="s">
        <v>17902</v>
      </c>
      <c r="C5987" s="16">
        <v>28431.0</v>
      </c>
      <c r="D5987" s="17" t="s">
        <v>17903</v>
      </c>
    </row>
    <row r="5988">
      <c r="A5988" s="14">
        <v>3.0</v>
      </c>
      <c r="B5988" s="15" t="s">
        <v>17904</v>
      </c>
      <c r="C5988" s="16">
        <v>28432.0</v>
      </c>
      <c r="D5988" s="17" t="s">
        <v>17905</v>
      </c>
    </row>
    <row r="5989">
      <c r="A5989" s="14">
        <v>3.0</v>
      </c>
      <c r="B5989" s="15" t="s">
        <v>17906</v>
      </c>
      <c r="C5989" s="16">
        <v>28432.0</v>
      </c>
      <c r="D5989" s="17" t="s">
        <v>17907</v>
      </c>
    </row>
    <row r="5990">
      <c r="A5990" s="14">
        <v>3.0</v>
      </c>
      <c r="B5990" s="15" t="s">
        <v>17908</v>
      </c>
      <c r="C5990" s="16">
        <v>28432.0</v>
      </c>
      <c r="D5990" s="17" t="s">
        <v>17909</v>
      </c>
    </row>
    <row r="5991">
      <c r="A5991" s="14">
        <v>3.0</v>
      </c>
      <c r="B5991" s="15" t="s">
        <v>17910</v>
      </c>
      <c r="C5991" s="16">
        <v>28432.0</v>
      </c>
      <c r="D5991" s="17" t="s">
        <v>17911</v>
      </c>
    </row>
    <row r="5992">
      <c r="A5992" s="14">
        <v>3.0</v>
      </c>
      <c r="B5992" s="15" t="s">
        <v>17912</v>
      </c>
      <c r="C5992" s="16">
        <v>28432.0</v>
      </c>
      <c r="D5992" s="17" t="s">
        <v>17913</v>
      </c>
    </row>
    <row r="5993">
      <c r="A5993" s="14">
        <v>3.0</v>
      </c>
      <c r="B5993" s="15" t="s">
        <v>17914</v>
      </c>
      <c r="C5993" s="16">
        <v>28432.0</v>
      </c>
      <c r="D5993" s="17" t="s">
        <v>17915</v>
      </c>
    </row>
    <row r="5994">
      <c r="A5994" s="14">
        <v>3.0</v>
      </c>
      <c r="B5994" s="15" t="s">
        <v>17916</v>
      </c>
      <c r="C5994" s="16">
        <v>28432.0</v>
      </c>
      <c r="D5994" s="17" t="s">
        <v>17917</v>
      </c>
    </row>
    <row r="5995">
      <c r="A5995" s="14">
        <v>3.0</v>
      </c>
      <c r="B5995" s="15" t="s">
        <v>17918</v>
      </c>
      <c r="C5995" s="16">
        <v>28432.0</v>
      </c>
      <c r="D5995" s="17" t="s">
        <v>17919</v>
      </c>
    </row>
    <row r="5996">
      <c r="A5996" s="14">
        <v>4.0</v>
      </c>
      <c r="B5996" s="15" t="s">
        <v>17920</v>
      </c>
      <c r="C5996" s="16">
        <v>28433.0</v>
      </c>
      <c r="D5996" s="17" t="s">
        <v>17921</v>
      </c>
    </row>
    <row r="5997">
      <c r="A5997" s="14">
        <v>5.0</v>
      </c>
      <c r="B5997" s="15" t="s">
        <v>17922</v>
      </c>
      <c r="C5997" s="16">
        <v>28434.0</v>
      </c>
      <c r="D5997" s="17" t="s">
        <v>17923</v>
      </c>
    </row>
    <row r="5998">
      <c r="A5998" s="14">
        <v>5.0</v>
      </c>
      <c r="B5998" s="15" t="s">
        <v>17924</v>
      </c>
      <c r="C5998" s="16">
        <v>28434.0</v>
      </c>
      <c r="D5998" s="17" t="s">
        <v>17925</v>
      </c>
    </row>
    <row r="5999">
      <c r="A5999" s="14">
        <v>5.0</v>
      </c>
      <c r="B5999" s="15" t="s">
        <v>17926</v>
      </c>
      <c r="C5999" s="16">
        <v>28434.0</v>
      </c>
      <c r="D5999" s="17" t="s">
        <v>17927</v>
      </c>
    </row>
    <row r="6000">
      <c r="A6000" s="14">
        <v>5.0</v>
      </c>
      <c r="B6000" s="15" t="s">
        <v>17928</v>
      </c>
      <c r="C6000" s="16">
        <v>28434.0</v>
      </c>
      <c r="D6000" s="17" t="s">
        <v>17929</v>
      </c>
    </row>
    <row r="6001">
      <c r="A6001" s="14">
        <v>5.0</v>
      </c>
      <c r="B6001" s="15" t="s">
        <v>17930</v>
      </c>
      <c r="C6001" s="16">
        <v>28434.0</v>
      </c>
      <c r="D6001" s="17" t="s">
        <v>17931</v>
      </c>
    </row>
    <row r="6002">
      <c r="A6002" s="14">
        <v>5.0</v>
      </c>
      <c r="B6002" s="15" t="s">
        <v>17932</v>
      </c>
      <c r="C6002" s="16">
        <v>28434.0</v>
      </c>
      <c r="D6002" s="17" t="s">
        <v>17933</v>
      </c>
    </row>
    <row r="6003">
      <c r="A6003" s="14">
        <v>6.0</v>
      </c>
      <c r="B6003" s="15" t="s">
        <v>17934</v>
      </c>
      <c r="C6003" s="16">
        <v>28435.0</v>
      </c>
      <c r="D6003" s="17" t="s">
        <v>17935</v>
      </c>
    </row>
    <row r="6004">
      <c r="A6004" s="14">
        <v>6.0</v>
      </c>
      <c r="B6004" s="15" t="s">
        <v>17936</v>
      </c>
      <c r="C6004" s="16">
        <v>28435.0</v>
      </c>
      <c r="D6004" s="17" t="s">
        <v>17937</v>
      </c>
    </row>
    <row r="6005">
      <c r="A6005" s="14">
        <v>6.0</v>
      </c>
      <c r="B6005" s="15" t="s">
        <v>17938</v>
      </c>
      <c r="C6005" s="16">
        <v>28435.0</v>
      </c>
      <c r="D6005" s="17" t="s">
        <v>17939</v>
      </c>
    </row>
    <row r="6006">
      <c r="A6006" s="14">
        <v>7.0</v>
      </c>
      <c r="B6006" s="15" t="s">
        <v>17940</v>
      </c>
      <c r="C6006" s="16">
        <v>28436.0</v>
      </c>
      <c r="D6006" s="17" t="s">
        <v>17941</v>
      </c>
    </row>
    <row r="6007">
      <c r="A6007" s="14">
        <v>7.0</v>
      </c>
      <c r="B6007" s="15" t="s">
        <v>17942</v>
      </c>
      <c r="C6007" s="16">
        <v>28436.0</v>
      </c>
      <c r="D6007" s="17" t="s">
        <v>17943</v>
      </c>
    </row>
    <row r="6008">
      <c r="A6008" s="14">
        <v>7.0</v>
      </c>
      <c r="B6008" s="15" t="s">
        <v>17944</v>
      </c>
      <c r="C6008" s="16">
        <v>28436.0</v>
      </c>
      <c r="D6008" s="17" t="s">
        <v>17945</v>
      </c>
    </row>
    <row r="6009">
      <c r="A6009" s="14">
        <v>7.0</v>
      </c>
      <c r="B6009" s="15" t="s">
        <v>17946</v>
      </c>
      <c r="C6009" s="16">
        <v>28436.0</v>
      </c>
      <c r="D6009" s="17" t="s">
        <v>17947</v>
      </c>
    </row>
    <row r="6010">
      <c r="A6010" s="14">
        <v>7.0</v>
      </c>
      <c r="B6010" s="15" t="s">
        <v>17948</v>
      </c>
      <c r="C6010" s="16">
        <v>28436.0</v>
      </c>
      <c r="D6010" s="17" t="s">
        <v>17949</v>
      </c>
    </row>
    <row r="6011">
      <c r="A6011" s="14">
        <v>8.0</v>
      </c>
      <c r="B6011" s="15" t="s">
        <v>17950</v>
      </c>
      <c r="C6011" s="16">
        <v>28437.0</v>
      </c>
      <c r="D6011" s="17" t="s">
        <v>17951</v>
      </c>
    </row>
    <row r="6012">
      <c r="A6012" s="14">
        <v>8.0</v>
      </c>
      <c r="B6012" s="15" t="s">
        <v>17952</v>
      </c>
      <c r="C6012" s="16">
        <v>28437.0</v>
      </c>
      <c r="D6012" s="17" t="s">
        <v>17953</v>
      </c>
    </row>
    <row r="6013">
      <c r="A6013" s="14">
        <v>9.0</v>
      </c>
      <c r="B6013" s="15" t="s">
        <v>17954</v>
      </c>
      <c r="C6013" s="16">
        <v>28438.0</v>
      </c>
      <c r="D6013" s="17" t="s">
        <v>17955</v>
      </c>
    </row>
    <row r="6014">
      <c r="A6014" s="14">
        <v>9.0</v>
      </c>
      <c r="B6014" s="15" t="s">
        <v>17956</v>
      </c>
      <c r="C6014" s="16">
        <v>28438.0</v>
      </c>
      <c r="D6014" s="17" t="s">
        <v>17957</v>
      </c>
    </row>
    <row r="6015">
      <c r="A6015" s="14">
        <v>9.0</v>
      </c>
      <c r="B6015" s="15" t="s">
        <v>17958</v>
      </c>
      <c r="C6015" s="16">
        <v>28438.0</v>
      </c>
      <c r="D6015" s="17" t="s">
        <v>17959</v>
      </c>
    </row>
    <row r="6016">
      <c r="A6016" s="14">
        <v>9.0</v>
      </c>
      <c r="B6016" s="15" t="s">
        <v>17960</v>
      </c>
      <c r="C6016" s="16">
        <v>28438.0</v>
      </c>
      <c r="D6016" s="17" t="s">
        <v>17961</v>
      </c>
    </row>
    <row r="6017">
      <c r="A6017" s="14">
        <v>10.0</v>
      </c>
      <c r="B6017" s="15" t="s">
        <v>17962</v>
      </c>
      <c r="C6017" s="16">
        <v>28439.0</v>
      </c>
      <c r="D6017" s="17" t="s">
        <v>17963</v>
      </c>
    </row>
    <row r="6018">
      <c r="A6018" s="14">
        <v>10.0</v>
      </c>
      <c r="B6018" s="15" t="s">
        <v>17964</v>
      </c>
      <c r="C6018" s="16">
        <v>28439.0</v>
      </c>
      <c r="D6018" s="17" t="s">
        <v>17965</v>
      </c>
    </row>
    <row r="6019">
      <c r="A6019" s="14">
        <v>10.0</v>
      </c>
      <c r="B6019" s="15" t="s">
        <v>17966</v>
      </c>
      <c r="C6019" s="16">
        <v>28439.0</v>
      </c>
      <c r="D6019" s="17" t="s">
        <v>17967</v>
      </c>
    </row>
    <row r="6020">
      <c r="A6020" s="14">
        <v>11.0</v>
      </c>
      <c r="B6020" s="15" t="s">
        <v>17968</v>
      </c>
      <c r="C6020" s="16">
        <v>28440.0</v>
      </c>
      <c r="D6020" s="17" t="s">
        <v>17969</v>
      </c>
    </row>
    <row r="6021">
      <c r="A6021" s="14">
        <v>12.0</v>
      </c>
      <c r="B6021" s="15" t="s">
        <v>17970</v>
      </c>
      <c r="C6021" s="16">
        <v>28441.0</v>
      </c>
      <c r="D6021" s="17" t="s">
        <v>17971</v>
      </c>
    </row>
    <row r="6022">
      <c r="A6022" s="14">
        <v>12.0</v>
      </c>
      <c r="B6022" s="15" t="s">
        <v>17972</v>
      </c>
      <c r="C6022" s="16">
        <v>28441.0</v>
      </c>
      <c r="D6022" s="17" t="s">
        <v>17973</v>
      </c>
    </row>
    <row r="6023">
      <c r="A6023" s="14">
        <v>13.0</v>
      </c>
      <c r="B6023" s="15" t="s">
        <v>17974</v>
      </c>
      <c r="C6023" s="16">
        <v>28442.0</v>
      </c>
      <c r="D6023" s="17" t="s">
        <v>17975</v>
      </c>
    </row>
    <row r="6024">
      <c r="A6024" s="14">
        <v>13.0</v>
      </c>
      <c r="B6024" s="15" t="s">
        <v>17976</v>
      </c>
      <c r="C6024" s="16">
        <v>28442.0</v>
      </c>
      <c r="D6024" s="17" t="s">
        <v>17977</v>
      </c>
    </row>
    <row r="6025">
      <c r="A6025" s="14">
        <v>14.0</v>
      </c>
      <c r="B6025" s="15" t="s">
        <v>17978</v>
      </c>
      <c r="C6025" s="16">
        <v>28443.0</v>
      </c>
      <c r="D6025" s="17" t="s">
        <v>17979</v>
      </c>
    </row>
    <row r="6026">
      <c r="A6026" s="14">
        <v>14.0</v>
      </c>
      <c r="B6026" s="15" t="s">
        <v>17980</v>
      </c>
      <c r="C6026" s="16">
        <v>28443.0</v>
      </c>
      <c r="D6026" s="17" t="s">
        <v>17981</v>
      </c>
    </row>
    <row r="6027">
      <c r="A6027" s="14">
        <v>15.0</v>
      </c>
      <c r="B6027" s="15" t="s">
        <v>17982</v>
      </c>
      <c r="C6027" s="16">
        <v>28444.0</v>
      </c>
      <c r="D6027" s="17" t="s">
        <v>17983</v>
      </c>
    </row>
    <row r="6028">
      <c r="A6028" s="14" t="s">
        <v>6057</v>
      </c>
      <c r="B6028" s="15" t="s">
        <v>17984</v>
      </c>
      <c r="C6028" s="14" t="s">
        <v>17985</v>
      </c>
      <c r="D6028" s="17" t="s">
        <v>17986</v>
      </c>
    </row>
    <row r="6029">
      <c r="A6029" s="14" t="s">
        <v>6087</v>
      </c>
      <c r="B6029" s="15" t="s">
        <v>17987</v>
      </c>
      <c r="C6029" s="14" t="s">
        <v>17988</v>
      </c>
      <c r="D6029" s="17" t="s">
        <v>17989</v>
      </c>
    </row>
    <row r="6030">
      <c r="A6030" s="14" t="s">
        <v>5895</v>
      </c>
      <c r="B6030" s="15" t="s">
        <v>17990</v>
      </c>
      <c r="C6030" s="14" t="s">
        <v>17991</v>
      </c>
      <c r="D6030" s="17" t="s">
        <v>17992</v>
      </c>
    </row>
    <row r="6031">
      <c r="A6031" s="14" t="s">
        <v>6074</v>
      </c>
      <c r="B6031" s="15" t="s">
        <v>17993</v>
      </c>
      <c r="C6031" s="14" t="s">
        <v>17994</v>
      </c>
      <c r="D6031" s="18" t="s">
        <v>17995</v>
      </c>
    </row>
    <row r="6032">
      <c r="A6032" s="14" t="s">
        <v>6057</v>
      </c>
      <c r="B6032" s="15" t="s">
        <v>17996</v>
      </c>
      <c r="C6032" s="14" t="s">
        <v>17997</v>
      </c>
      <c r="D6032" s="17" t="s">
        <v>17998</v>
      </c>
    </row>
    <row r="6033">
      <c r="A6033" s="14" t="s">
        <v>6753</v>
      </c>
      <c r="B6033" s="15" t="s">
        <v>17999</v>
      </c>
      <c r="C6033" s="14" t="s">
        <v>18000</v>
      </c>
      <c r="D6033" s="17" t="s">
        <v>18001</v>
      </c>
    </row>
    <row r="6034">
      <c r="A6034" s="14" t="s">
        <v>6753</v>
      </c>
      <c r="B6034" s="15" t="s">
        <v>18002</v>
      </c>
      <c r="C6034" s="14" t="s">
        <v>18000</v>
      </c>
      <c r="D6034" s="17" t="s">
        <v>18003</v>
      </c>
    </row>
    <row r="6035">
      <c r="A6035" s="14" t="s">
        <v>18004</v>
      </c>
      <c r="B6035" s="19" t="s">
        <v>18005</v>
      </c>
      <c r="C6035" s="20"/>
      <c r="D6035" s="17" t="s">
        <v>18006</v>
      </c>
    </row>
    <row r="6036">
      <c r="A6036" s="14" t="s">
        <v>18004</v>
      </c>
      <c r="B6036" s="19" t="s">
        <v>18007</v>
      </c>
      <c r="C6036" s="20"/>
      <c r="D6036" s="17" t="s">
        <v>18008</v>
      </c>
    </row>
    <row r="6037">
      <c r="A6037" s="14" t="s">
        <v>18004</v>
      </c>
      <c r="B6037" s="19" t="s">
        <v>18009</v>
      </c>
      <c r="C6037" s="20"/>
      <c r="D6037" s="17" t="s">
        <v>18010</v>
      </c>
    </row>
    <row r="6038">
      <c r="A6038" s="14" t="s">
        <v>18004</v>
      </c>
      <c r="B6038" s="19" t="s">
        <v>18011</v>
      </c>
      <c r="C6038" s="20"/>
      <c r="D6038" s="17" t="s">
        <v>18012</v>
      </c>
    </row>
    <row r="6039">
      <c r="A6039" s="14" t="s">
        <v>18004</v>
      </c>
      <c r="B6039" s="19" t="s">
        <v>18013</v>
      </c>
      <c r="C6039" s="20"/>
      <c r="D6039" s="17" t="s">
        <v>18014</v>
      </c>
    </row>
    <row r="6040">
      <c r="A6040" s="14" t="s">
        <v>18004</v>
      </c>
      <c r="B6040" s="19" t="s">
        <v>18015</v>
      </c>
      <c r="C6040" s="20"/>
      <c r="D6040" s="17" t="s">
        <v>18016</v>
      </c>
    </row>
    <row r="6041">
      <c r="A6041" s="14" t="s">
        <v>18004</v>
      </c>
      <c r="B6041" s="19" t="s">
        <v>18017</v>
      </c>
      <c r="C6041" s="20"/>
      <c r="D6041" s="17" t="s">
        <v>18018</v>
      </c>
    </row>
    <row r="6042">
      <c r="A6042" s="14" t="s">
        <v>18004</v>
      </c>
      <c r="B6042" s="19" t="s">
        <v>18019</v>
      </c>
      <c r="C6042" s="20"/>
      <c r="D6042" s="17" t="s">
        <v>18020</v>
      </c>
    </row>
    <row r="6043">
      <c r="A6043" s="14" t="s">
        <v>18004</v>
      </c>
      <c r="B6043" s="19" t="s">
        <v>18021</v>
      </c>
      <c r="C6043" s="20"/>
      <c r="D6043" s="17" t="s">
        <v>18022</v>
      </c>
    </row>
    <row r="6044">
      <c r="A6044" s="14" t="s">
        <v>18004</v>
      </c>
      <c r="B6044" s="19" t="s">
        <v>18023</v>
      </c>
      <c r="C6044" s="20"/>
      <c r="D6044" s="17" t="s">
        <v>18024</v>
      </c>
    </row>
    <row r="6045">
      <c r="A6045" s="14" t="s">
        <v>18004</v>
      </c>
      <c r="B6045" s="19" t="s">
        <v>18025</v>
      </c>
      <c r="C6045" s="20"/>
      <c r="D6045" s="17" t="s">
        <v>18026</v>
      </c>
    </row>
    <row r="6046">
      <c r="A6046" s="14" t="s">
        <v>18027</v>
      </c>
      <c r="B6046" s="19" t="s">
        <v>18028</v>
      </c>
      <c r="C6046" s="20"/>
      <c r="D6046" s="17" t="s">
        <v>18029</v>
      </c>
    </row>
    <row r="6047">
      <c r="A6047" s="14" t="s">
        <v>18027</v>
      </c>
      <c r="B6047" s="19" t="s">
        <v>18030</v>
      </c>
      <c r="C6047" s="20"/>
      <c r="D6047" s="17" t="s">
        <v>18031</v>
      </c>
    </row>
    <row r="6048">
      <c r="A6048" s="14" t="s">
        <v>18027</v>
      </c>
      <c r="B6048" s="19" t="s">
        <v>18032</v>
      </c>
      <c r="C6048" s="20"/>
      <c r="D6048" s="17" t="s">
        <v>18033</v>
      </c>
    </row>
    <row r="6049">
      <c r="A6049" s="14" t="s">
        <v>18034</v>
      </c>
      <c r="B6049" s="15" t="s">
        <v>18035</v>
      </c>
      <c r="C6049" s="21"/>
      <c r="D6049" s="17" t="s">
        <v>18036</v>
      </c>
    </row>
    <row r="6050">
      <c r="A6050" s="14" t="s">
        <v>18034</v>
      </c>
      <c r="B6050" s="19" t="s">
        <v>18037</v>
      </c>
      <c r="C6050" s="20"/>
      <c r="D6050" s="17" t="s">
        <v>18038</v>
      </c>
    </row>
    <row r="6051">
      <c r="A6051" s="14" t="s">
        <v>18034</v>
      </c>
      <c r="B6051" s="19" t="s">
        <v>18039</v>
      </c>
      <c r="C6051" s="20"/>
      <c r="D6051" s="17" t="s">
        <v>18040</v>
      </c>
    </row>
    <row r="6052">
      <c r="A6052" s="14" t="s">
        <v>18034</v>
      </c>
      <c r="B6052" s="19" t="s">
        <v>18041</v>
      </c>
      <c r="C6052" s="20"/>
      <c r="D6052" s="17" t="s">
        <v>18042</v>
      </c>
    </row>
    <row r="6053">
      <c r="A6053" s="14" t="s">
        <v>18034</v>
      </c>
      <c r="B6053" s="19" t="s">
        <v>18043</v>
      </c>
      <c r="C6053" s="20"/>
      <c r="D6053" s="17" t="s">
        <v>18044</v>
      </c>
    </row>
    <row r="6054">
      <c r="A6054" s="14" t="s">
        <v>18034</v>
      </c>
      <c r="B6054" s="19" t="s">
        <v>18045</v>
      </c>
      <c r="C6054" s="20"/>
      <c r="D6054" s="17" t="s">
        <v>18046</v>
      </c>
    </row>
    <row r="6055">
      <c r="A6055" s="14" t="s">
        <v>18034</v>
      </c>
      <c r="B6055" s="19" t="s">
        <v>18047</v>
      </c>
      <c r="C6055" s="20"/>
      <c r="D6055" s="17" t="s">
        <v>18048</v>
      </c>
    </row>
    <row r="6056">
      <c r="A6056" s="14" t="s">
        <v>18034</v>
      </c>
      <c r="B6056" s="19" t="s">
        <v>18049</v>
      </c>
      <c r="C6056" s="20"/>
      <c r="D6056" s="17" t="s">
        <v>18050</v>
      </c>
    </row>
    <row r="6057">
      <c r="A6057" s="14" t="s">
        <v>18034</v>
      </c>
      <c r="B6057" s="19" t="s">
        <v>18051</v>
      </c>
      <c r="C6057" s="20"/>
      <c r="D6057" s="17" t="s">
        <v>18052</v>
      </c>
    </row>
    <row r="6058">
      <c r="A6058" s="14" t="s">
        <v>18034</v>
      </c>
      <c r="B6058" s="19" t="s">
        <v>18053</v>
      </c>
      <c r="C6058" s="20"/>
      <c r="D6058" s="17" t="s">
        <v>18054</v>
      </c>
    </row>
    <row r="6059">
      <c r="A6059" s="14" t="s">
        <v>18034</v>
      </c>
      <c r="B6059" s="19" t="s">
        <v>18055</v>
      </c>
      <c r="C6059" s="20"/>
      <c r="D6059" s="17" t="s">
        <v>18056</v>
      </c>
    </row>
    <row r="6060">
      <c r="A6060" s="14" t="s">
        <v>18034</v>
      </c>
      <c r="B6060" s="19" t="s">
        <v>18057</v>
      </c>
      <c r="C6060" s="20"/>
      <c r="D6060" s="17" t="s">
        <v>18058</v>
      </c>
    </row>
    <row r="6061">
      <c r="A6061" s="14" t="s">
        <v>18034</v>
      </c>
      <c r="B6061" s="19" t="s">
        <v>18059</v>
      </c>
      <c r="C6061" s="20"/>
      <c r="D6061" s="17" t="s">
        <v>18060</v>
      </c>
    </row>
    <row r="6062">
      <c r="A6062" s="14" t="s">
        <v>18034</v>
      </c>
      <c r="B6062" s="19" t="s">
        <v>18061</v>
      </c>
      <c r="C6062" s="20"/>
      <c r="D6062" s="17" t="s">
        <v>18062</v>
      </c>
    </row>
    <row r="6063">
      <c r="A6063" s="14" t="s">
        <v>18034</v>
      </c>
      <c r="B6063" s="19" t="s">
        <v>18063</v>
      </c>
      <c r="C6063" s="20"/>
      <c r="D6063" s="17" t="s">
        <v>18064</v>
      </c>
    </row>
    <row r="6064">
      <c r="A6064" s="14" t="s">
        <v>18034</v>
      </c>
      <c r="B6064" s="19" t="s">
        <v>18065</v>
      </c>
      <c r="C6064" s="20"/>
      <c r="D6064" s="17" t="s">
        <v>18066</v>
      </c>
    </row>
    <row r="6065">
      <c r="A6065" s="14" t="s">
        <v>18034</v>
      </c>
      <c r="B6065" s="19" t="s">
        <v>18067</v>
      </c>
      <c r="C6065" s="20"/>
      <c r="D6065" s="17" t="s">
        <v>18068</v>
      </c>
    </row>
    <row r="6066">
      <c r="A6066" s="14" t="s">
        <v>18034</v>
      </c>
      <c r="B6066" s="19" t="s">
        <v>18069</v>
      </c>
      <c r="C6066" s="20"/>
      <c r="D6066" s="17" t="s">
        <v>18070</v>
      </c>
    </row>
    <row r="6067">
      <c r="A6067" s="14" t="s">
        <v>18034</v>
      </c>
      <c r="B6067" s="19" t="s">
        <v>18071</v>
      </c>
      <c r="C6067" s="20"/>
      <c r="D6067" s="17" t="s">
        <v>18072</v>
      </c>
    </row>
    <row r="6068">
      <c r="A6068" s="14" t="s">
        <v>18034</v>
      </c>
      <c r="B6068" s="19" t="s">
        <v>18073</v>
      </c>
      <c r="C6068" s="20"/>
      <c r="D6068" s="17" t="s">
        <v>18074</v>
      </c>
    </row>
    <row r="6069">
      <c r="A6069" s="14" t="s">
        <v>18034</v>
      </c>
      <c r="B6069" s="19" t="s">
        <v>18075</v>
      </c>
      <c r="C6069" s="20"/>
      <c r="D6069" s="17" t="s">
        <v>18076</v>
      </c>
    </row>
    <row r="6070">
      <c r="A6070" s="14" t="s">
        <v>18034</v>
      </c>
      <c r="B6070" s="19" t="s">
        <v>18077</v>
      </c>
      <c r="C6070" s="20"/>
      <c r="D6070" s="17" t="s">
        <v>18078</v>
      </c>
    </row>
    <row r="6071">
      <c r="A6071" s="14" t="s">
        <v>18034</v>
      </c>
      <c r="B6071" s="19" t="s">
        <v>18079</v>
      </c>
      <c r="C6071" s="20"/>
      <c r="D6071" s="17" t="s">
        <v>18080</v>
      </c>
    </row>
    <row r="6072">
      <c r="A6072" s="14" t="s">
        <v>18034</v>
      </c>
      <c r="B6072" s="19" t="s">
        <v>18081</v>
      </c>
      <c r="C6072" s="20"/>
      <c r="D6072" s="17" t="s">
        <v>18082</v>
      </c>
    </row>
    <row r="6073">
      <c r="A6073" s="14" t="s">
        <v>18034</v>
      </c>
      <c r="B6073" s="19" t="s">
        <v>18083</v>
      </c>
      <c r="C6073" s="20"/>
      <c r="D6073" s="17" t="s">
        <v>18084</v>
      </c>
    </row>
    <row r="6074">
      <c r="A6074" s="14" t="s">
        <v>18034</v>
      </c>
      <c r="B6074" s="19" t="s">
        <v>18085</v>
      </c>
      <c r="C6074" s="20"/>
      <c r="D6074" s="17" t="s">
        <v>18086</v>
      </c>
    </row>
    <row r="6075">
      <c r="A6075" s="14" t="s">
        <v>18034</v>
      </c>
      <c r="B6075" s="19" t="s">
        <v>18087</v>
      </c>
      <c r="C6075" s="20"/>
      <c r="D6075" s="17" t="s">
        <v>18088</v>
      </c>
    </row>
    <row r="6076">
      <c r="A6076" s="14" t="s">
        <v>18034</v>
      </c>
      <c r="B6076" s="19" t="s">
        <v>18089</v>
      </c>
      <c r="C6076" s="20"/>
      <c r="D6076" s="17" t="s">
        <v>18090</v>
      </c>
    </row>
    <row r="6077">
      <c r="A6077" s="14" t="s">
        <v>18034</v>
      </c>
      <c r="B6077" s="19" t="s">
        <v>18091</v>
      </c>
      <c r="C6077" s="20"/>
      <c r="D6077" s="17" t="s">
        <v>18092</v>
      </c>
    </row>
    <row r="6078">
      <c r="A6078" s="14" t="s">
        <v>18034</v>
      </c>
      <c r="B6078" s="19" t="s">
        <v>18093</v>
      </c>
      <c r="C6078" s="20"/>
      <c r="D6078" s="17" t="s">
        <v>18094</v>
      </c>
    </row>
    <row r="6079">
      <c r="A6079" s="14" t="s">
        <v>18034</v>
      </c>
      <c r="B6079" s="19" t="s">
        <v>18095</v>
      </c>
      <c r="C6079" s="20"/>
      <c r="D6079" s="17" t="s">
        <v>18096</v>
      </c>
    </row>
    <row r="6080">
      <c r="A6080" s="14" t="s">
        <v>18034</v>
      </c>
      <c r="B6080" s="19" t="s">
        <v>18097</v>
      </c>
      <c r="C6080" s="20"/>
      <c r="D6080" s="17" t="s">
        <v>18098</v>
      </c>
    </row>
    <row r="6081">
      <c r="A6081" s="14" t="s">
        <v>18034</v>
      </c>
      <c r="B6081" s="19" t="s">
        <v>18099</v>
      </c>
      <c r="C6081" s="20"/>
      <c r="D6081" s="17" t="s">
        <v>18100</v>
      </c>
    </row>
    <row r="6082">
      <c r="A6082" s="14" t="s">
        <v>18034</v>
      </c>
      <c r="B6082" s="19" t="s">
        <v>18101</v>
      </c>
      <c r="C6082" s="20"/>
      <c r="D6082" s="17" t="s">
        <v>18102</v>
      </c>
    </row>
    <row r="6083">
      <c r="A6083" s="14" t="s">
        <v>18034</v>
      </c>
      <c r="B6083" s="19" t="s">
        <v>18103</v>
      </c>
      <c r="C6083" s="20"/>
      <c r="D6083" s="17" t="s">
        <v>18104</v>
      </c>
    </row>
    <row r="6084">
      <c r="A6084" s="14" t="s">
        <v>18034</v>
      </c>
      <c r="B6084" s="19" t="s">
        <v>18105</v>
      </c>
      <c r="C6084" s="20"/>
      <c r="D6084" s="17" t="s">
        <v>18106</v>
      </c>
    </row>
    <row r="6085">
      <c r="A6085" s="14" t="s">
        <v>18034</v>
      </c>
      <c r="B6085" s="19" t="s">
        <v>18107</v>
      </c>
      <c r="C6085" s="20"/>
      <c r="D6085" s="17" t="s">
        <v>18108</v>
      </c>
    </row>
    <row r="6086">
      <c r="A6086" s="14" t="s">
        <v>18034</v>
      </c>
      <c r="B6086" s="19" t="s">
        <v>18109</v>
      </c>
      <c r="C6086" s="20"/>
      <c r="D6086" s="17" t="s">
        <v>18110</v>
      </c>
    </row>
    <row r="6087">
      <c r="A6087" s="14" t="s">
        <v>18034</v>
      </c>
      <c r="B6087" s="19" t="s">
        <v>18111</v>
      </c>
      <c r="C6087" s="20"/>
      <c r="D6087" s="17" t="s">
        <v>18112</v>
      </c>
    </row>
    <row r="6088">
      <c r="A6088" s="14" t="s">
        <v>18034</v>
      </c>
      <c r="B6088" s="19" t="s">
        <v>18113</v>
      </c>
      <c r="C6088" s="20"/>
      <c r="D6088" s="17" t="s">
        <v>18114</v>
      </c>
    </row>
    <row r="6089">
      <c r="A6089" s="14" t="s">
        <v>18034</v>
      </c>
      <c r="B6089" s="19" t="s">
        <v>18115</v>
      </c>
      <c r="C6089" s="20"/>
      <c r="D6089" s="17" t="s">
        <v>18116</v>
      </c>
    </row>
    <row r="6090">
      <c r="A6090" s="14" t="s">
        <v>18034</v>
      </c>
      <c r="B6090" s="19" t="s">
        <v>18117</v>
      </c>
      <c r="C6090" s="20"/>
      <c r="D6090" s="17" t="s">
        <v>18118</v>
      </c>
    </row>
    <row r="6091">
      <c r="A6091" s="14" t="s">
        <v>18034</v>
      </c>
      <c r="B6091" s="19" t="s">
        <v>18119</v>
      </c>
      <c r="C6091" s="20"/>
      <c r="D6091" s="17" t="s">
        <v>18120</v>
      </c>
    </row>
    <row r="6092">
      <c r="A6092" s="14" t="s">
        <v>18034</v>
      </c>
      <c r="B6092" s="19" t="s">
        <v>18121</v>
      </c>
      <c r="C6092" s="20"/>
      <c r="D6092" s="17" t="s">
        <v>18122</v>
      </c>
    </row>
    <row r="6093">
      <c r="A6093" s="14" t="s">
        <v>18034</v>
      </c>
      <c r="B6093" s="19" t="s">
        <v>18123</v>
      </c>
      <c r="C6093" s="20"/>
      <c r="D6093" s="17" t="s">
        <v>18124</v>
      </c>
    </row>
    <row r="6094">
      <c r="A6094" s="14" t="s">
        <v>18034</v>
      </c>
      <c r="B6094" s="19" t="s">
        <v>18125</v>
      </c>
      <c r="C6094" s="20"/>
      <c r="D6094" s="17" t="s">
        <v>18126</v>
      </c>
    </row>
    <row r="6095">
      <c r="A6095" s="14" t="s">
        <v>18034</v>
      </c>
      <c r="B6095" s="19" t="s">
        <v>18127</v>
      </c>
      <c r="C6095" s="20"/>
      <c r="D6095" s="17" t="s">
        <v>18128</v>
      </c>
    </row>
    <row r="6096">
      <c r="A6096" s="14" t="s">
        <v>18034</v>
      </c>
      <c r="B6096" s="19" t="s">
        <v>18129</v>
      </c>
      <c r="C6096" s="20"/>
      <c r="D6096" s="17" t="s">
        <v>18130</v>
      </c>
    </row>
    <row r="6097">
      <c r="A6097" s="14" t="s">
        <v>18034</v>
      </c>
      <c r="B6097" s="19" t="s">
        <v>18131</v>
      </c>
      <c r="C6097" s="20"/>
      <c r="D6097" s="17" t="s">
        <v>18132</v>
      </c>
    </row>
    <row r="6098">
      <c r="A6098" s="14" t="s">
        <v>18034</v>
      </c>
      <c r="B6098" s="19" t="s">
        <v>18133</v>
      </c>
      <c r="C6098" s="20"/>
      <c r="D6098" s="17" t="s">
        <v>18134</v>
      </c>
    </row>
    <row r="6099">
      <c r="A6099" s="14" t="s">
        <v>18034</v>
      </c>
      <c r="B6099" s="19" t="s">
        <v>18135</v>
      </c>
      <c r="C6099" s="20"/>
      <c r="D6099" s="17" t="s">
        <v>18136</v>
      </c>
    </row>
    <row r="6100">
      <c r="A6100" s="14" t="s">
        <v>18034</v>
      </c>
      <c r="B6100" s="19" t="s">
        <v>18137</v>
      </c>
      <c r="C6100" s="20"/>
      <c r="D6100" s="17" t="s">
        <v>18138</v>
      </c>
    </row>
    <row r="6101">
      <c r="A6101" s="14" t="s">
        <v>18034</v>
      </c>
      <c r="B6101" s="19" t="s">
        <v>18139</v>
      </c>
      <c r="C6101" s="20"/>
      <c r="D6101" s="17" t="s">
        <v>18140</v>
      </c>
    </row>
    <row r="6102">
      <c r="A6102" s="14" t="s">
        <v>18034</v>
      </c>
      <c r="B6102" s="19" t="s">
        <v>18141</v>
      </c>
      <c r="C6102" s="20"/>
      <c r="D6102" s="17" t="s">
        <v>18142</v>
      </c>
    </row>
    <row r="6103">
      <c r="A6103" s="14" t="s">
        <v>18034</v>
      </c>
      <c r="B6103" s="19" t="s">
        <v>18143</v>
      </c>
      <c r="C6103" s="20"/>
      <c r="D6103" s="17" t="s">
        <v>18144</v>
      </c>
    </row>
    <row r="6104">
      <c r="A6104" s="14" t="s">
        <v>18034</v>
      </c>
      <c r="B6104" s="19" t="s">
        <v>18145</v>
      </c>
      <c r="C6104" s="20"/>
      <c r="D6104" s="17" t="s">
        <v>18146</v>
      </c>
    </row>
    <row r="6105">
      <c r="A6105" s="14" t="s">
        <v>18034</v>
      </c>
      <c r="B6105" s="19" t="s">
        <v>18147</v>
      </c>
      <c r="C6105" s="20"/>
      <c r="D6105" s="17" t="s">
        <v>18148</v>
      </c>
    </row>
    <row r="6106">
      <c r="A6106" s="14" t="s">
        <v>18034</v>
      </c>
      <c r="B6106" s="19" t="s">
        <v>18149</v>
      </c>
      <c r="C6106" s="20"/>
      <c r="D6106" s="17" t="s">
        <v>18150</v>
      </c>
    </row>
    <row r="6107">
      <c r="A6107" s="14" t="s">
        <v>18034</v>
      </c>
      <c r="B6107" s="19" t="s">
        <v>18151</v>
      </c>
      <c r="C6107" s="20"/>
      <c r="D6107" s="17" t="s">
        <v>18152</v>
      </c>
    </row>
    <row r="6108">
      <c r="A6108" s="14" t="s">
        <v>18034</v>
      </c>
      <c r="B6108" s="19" t="s">
        <v>18153</v>
      </c>
      <c r="C6108" s="20"/>
      <c r="D6108" s="17" t="s">
        <v>18154</v>
      </c>
    </row>
    <row r="6109">
      <c r="A6109" s="14" t="s">
        <v>18034</v>
      </c>
      <c r="B6109" s="19" t="s">
        <v>18155</v>
      </c>
      <c r="C6109" s="20"/>
      <c r="D6109" s="17" t="s">
        <v>18156</v>
      </c>
    </row>
    <row r="6110">
      <c r="A6110" s="14" t="s">
        <v>18034</v>
      </c>
      <c r="B6110" s="19" t="s">
        <v>18157</v>
      </c>
      <c r="C6110" s="20"/>
      <c r="D6110" s="17" t="s">
        <v>18158</v>
      </c>
    </row>
    <row r="6111">
      <c r="A6111" s="14" t="s">
        <v>18034</v>
      </c>
      <c r="B6111" s="19" t="s">
        <v>18159</v>
      </c>
      <c r="C6111" s="20"/>
      <c r="D6111" s="17" t="s">
        <v>18160</v>
      </c>
    </row>
    <row r="6112">
      <c r="A6112" s="14" t="s">
        <v>18034</v>
      </c>
      <c r="B6112" s="19" t="s">
        <v>18161</v>
      </c>
      <c r="C6112" s="20"/>
      <c r="D6112" s="17" t="s">
        <v>18162</v>
      </c>
    </row>
    <row r="6113">
      <c r="A6113" s="14" t="s">
        <v>18034</v>
      </c>
      <c r="B6113" s="19" t="s">
        <v>18163</v>
      </c>
      <c r="C6113" s="20"/>
      <c r="D6113" s="17" t="s">
        <v>18164</v>
      </c>
    </row>
    <row r="6114">
      <c r="A6114" s="14" t="s">
        <v>18034</v>
      </c>
      <c r="B6114" s="19" t="s">
        <v>18165</v>
      </c>
      <c r="C6114" s="20"/>
      <c r="D6114" s="17" t="s">
        <v>18166</v>
      </c>
    </row>
    <row r="6115">
      <c r="A6115" s="14" t="s">
        <v>18034</v>
      </c>
      <c r="B6115" s="19" t="s">
        <v>18167</v>
      </c>
      <c r="C6115" s="20"/>
      <c r="D6115" s="17" t="s">
        <v>18168</v>
      </c>
    </row>
    <row r="6116">
      <c r="A6116" s="14" t="s">
        <v>18034</v>
      </c>
      <c r="B6116" s="19" t="s">
        <v>18169</v>
      </c>
      <c r="C6116" s="20"/>
      <c r="D6116" s="17" t="s">
        <v>18170</v>
      </c>
    </row>
    <row r="6117">
      <c r="A6117" s="14" t="s">
        <v>18034</v>
      </c>
      <c r="B6117" s="19" t="s">
        <v>18171</v>
      </c>
      <c r="C6117" s="20"/>
      <c r="D6117" s="17" t="s">
        <v>18172</v>
      </c>
    </row>
    <row r="6118">
      <c r="A6118" s="14" t="s">
        <v>18034</v>
      </c>
      <c r="B6118" s="19" t="s">
        <v>18173</v>
      </c>
      <c r="C6118" s="20"/>
      <c r="D6118" s="17" t="s">
        <v>18174</v>
      </c>
    </row>
    <row r="6119">
      <c r="A6119" s="14" t="s">
        <v>18034</v>
      </c>
      <c r="B6119" s="19" t="s">
        <v>18175</v>
      </c>
      <c r="C6119" s="20"/>
      <c r="D6119" s="17" t="s">
        <v>18176</v>
      </c>
    </row>
    <row r="6120">
      <c r="A6120" s="14" t="s">
        <v>18034</v>
      </c>
      <c r="B6120" s="19" t="s">
        <v>18177</v>
      </c>
      <c r="C6120" s="20"/>
      <c r="D6120" s="17" t="s">
        <v>18178</v>
      </c>
    </row>
    <row r="6121">
      <c r="A6121" s="14" t="s">
        <v>18034</v>
      </c>
      <c r="B6121" s="19" t="s">
        <v>18179</v>
      </c>
      <c r="C6121" s="20"/>
      <c r="D6121" s="17" t="s">
        <v>18180</v>
      </c>
    </row>
    <row r="6122">
      <c r="A6122" s="14" t="s">
        <v>18034</v>
      </c>
      <c r="B6122" s="19" t="s">
        <v>18181</v>
      </c>
      <c r="C6122" s="20"/>
      <c r="D6122" s="17" t="s">
        <v>18182</v>
      </c>
    </row>
    <row r="6123">
      <c r="A6123" s="14" t="s">
        <v>18034</v>
      </c>
      <c r="B6123" s="19" t="s">
        <v>18183</v>
      </c>
      <c r="C6123" s="20"/>
      <c r="D6123" s="17" t="s">
        <v>18184</v>
      </c>
    </row>
    <row r="6124">
      <c r="A6124" s="14" t="s">
        <v>18034</v>
      </c>
      <c r="B6124" s="19" t="s">
        <v>18185</v>
      </c>
      <c r="C6124" s="20"/>
      <c r="D6124" s="17" t="s">
        <v>18186</v>
      </c>
    </row>
    <row r="6125">
      <c r="A6125" s="14" t="s">
        <v>18034</v>
      </c>
      <c r="B6125" s="19" t="s">
        <v>18187</v>
      </c>
      <c r="C6125" s="20"/>
      <c r="D6125" s="17" t="s">
        <v>18188</v>
      </c>
    </row>
    <row r="6126">
      <c r="A6126" s="14" t="s">
        <v>18189</v>
      </c>
      <c r="B6126" s="15" t="s">
        <v>18190</v>
      </c>
      <c r="C6126" s="21"/>
      <c r="D6126" s="17" t="s">
        <v>18191</v>
      </c>
    </row>
    <row r="6127">
      <c r="A6127" s="14" t="s">
        <v>18189</v>
      </c>
      <c r="B6127" s="15" t="s">
        <v>18192</v>
      </c>
      <c r="C6127" s="21"/>
      <c r="D6127" s="17" t="s">
        <v>18193</v>
      </c>
    </row>
    <row r="6128">
      <c r="A6128" s="14" t="s">
        <v>18189</v>
      </c>
      <c r="B6128" s="15" t="s">
        <v>18194</v>
      </c>
      <c r="C6128" s="21"/>
      <c r="D6128" s="17" t="s">
        <v>18195</v>
      </c>
    </row>
    <row r="6129">
      <c r="A6129" s="14" t="s">
        <v>18189</v>
      </c>
      <c r="B6129" s="15" t="s">
        <v>18196</v>
      </c>
      <c r="C6129" s="21"/>
      <c r="D6129" s="17" t="s">
        <v>18197</v>
      </c>
    </row>
    <row r="6130">
      <c r="A6130" s="14" t="s">
        <v>18189</v>
      </c>
      <c r="B6130" s="15" t="s">
        <v>18198</v>
      </c>
      <c r="C6130" s="21"/>
      <c r="D6130" s="17" t="s">
        <v>18199</v>
      </c>
    </row>
    <row r="6131">
      <c r="A6131" s="14" t="s">
        <v>18189</v>
      </c>
      <c r="B6131" s="15" t="s">
        <v>18200</v>
      </c>
      <c r="C6131" s="21"/>
      <c r="D6131" s="17" t="s">
        <v>18201</v>
      </c>
    </row>
    <row r="6132">
      <c r="A6132" s="14" t="s">
        <v>18189</v>
      </c>
      <c r="B6132" s="19" t="s">
        <v>18202</v>
      </c>
      <c r="C6132" s="20"/>
      <c r="D6132" s="17" t="s">
        <v>18203</v>
      </c>
    </row>
    <row r="6133">
      <c r="A6133" s="14" t="s">
        <v>18189</v>
      </c>
      <c r="B6133" s="19" t="s">
        <v>18204</v>
      </c>
      <c r="C6133" s="20"/>
      <c r="D6133" s="17" t="s">
        <v>18205</v>
      </c>
    </row>
    <row r="6134">
      <c r="A6134" s="14" t="s">
        <v>18189</v>
      </c>
      <c r="B6134" s="15" t="s">
        <v>18206</v>
      </c>
      <c r="C6134" s="21"/>
      <c r="D6134" s="17" t="s">
        <v>18207</v>
      </c>
    </row>
    <row r="6135">
      <c r="A6135" s="14" t="s">
        <v>18189</v>
      </c>
      <c r="B6135" s="15" t="s">
        <v>18208</v>
      </c>
      <c r="C6135" s="21"/>
      <c r="D6135" s="17" t="s">
        <v>18209</v>
      </c>
    </row>
    <row r="6136">
      <c r="A6136" s="14" t="s">
        <v>18189</v>
      </c>
      <c r="B6136" s="19" t="s">
        <v>18210</v>
      </c>
      <c r="C6136" s="20"/>
      <c r="D6136" s="17" t="s">
        <v>18211</v>
      </c>
    </row>
    <row r="6137">
      <c r="A6137" s="14" t="s">
        <v>18189</v>
      </c>
      <c r="B6137" s="15" t="s">
        <v>18212</v>
      </c>
      <c r="C6137" s="21"/>
      <c r="D6137" s="17" t="s">
        <v>18213</v>
      </c>
    </row>
    <row r="6138">
      <c r="A6138" s="14" t="s">
        <v>18189</v>
      </c>
      <c r="B6138" s="15" t="s">
        <v>18214</v>
      </c>
      <c r="C6138" s="21"/>
      <c r="D6138" s="17" t="s">
        <v>18215</v>
      </c>
    </row>
    <row r="6139">
      <c r="A6139" s="14" t="s">
        <v>18189</v>
      </c>
      <c r="B6139" s="19" t="s">
        <v>18216</v>
      </c>
      <c r="C6139" s="20"/>
      <c r="D6139" s="17" t="s">
        <v>18217</v>
      </c>
    </row>
    <row r="6140">
      <c r="A6140" s="14" t="s">
        <v>18189</v>
      </c>
      <c r="B6140" s="15" t="s">
        <v>18218</v>
      </c>
      <c r="C6140" s="21"/>
      <c r="D6140" s="17" t="s">
        <v>18219</v>
      </c>
    </row>
    <row r="6141">
      <c r="A6141" s="14" t="s">
        <v>18189</v>
      </c>
      <c r="B6141" s="15" t="s">
        <v>18220</v>
      </c>
      <c r="C6141" s="21"/>
      <c r="D6141" s="17" t="s">
        <v>18221</v>
      </c>
    </row>
    <row r="6142">
      <c r="A6142" s="14" t="s">
        <v>18189</v>
      </c>
      <c r="B6142" s="15" t="s">
        <v>18222</v>
      </c>
      <c r="C6142" s="21"/>
      <c r="D6142" s="17" t="s">
        <v>18223</v>
      </c>
    </row>
    <row r="6143">
      <c r="A6143" s="14" t="s">
        <v>18189</v>
      </c>
      <c r="B6143" s="15" t="s">
        <v>18224</v>
      </c>
      <c r="C6143" s="21"/>
      <c r="D6143" s="17" t="s">
        <v>18225</v>
      </c>
    </row>
    <row r="6144">
      <c r="A6144" s="14" t="s">
        <v>18189</v>
      </c>
      <c r="B6144" s="15" t="s">
        <v>18226</v>
      </c>
      <c r="C6144" s="21"/>
      <c r="D6144" s="17" t="s">
        <v>18227</v>
      </c>
    </row>
    <row r="6145">
      <c r="A6145" s="14" t="s">
        <v>18189</v>
      </c>
      <c r="B6145" s="15" t="s">
        <v>18228</v>
      </c>
      <c r="C6145" s="21"/>
      <c r="D6145" s="17" t="s">
        <v>18229</v>
      </c>
    </row>
    <row r="6146">
      <c r="A6146" s="14" t="s">
        <v>18189</v>
      </c>
      <c r="B6146" s="15" t="s">
        <v>18230</v>
      </c>
      <c r="C6146" s="21"/>
      <c r="D6146" s="17" t="s">
        <v>18231</v>
      </c>
    </row>
    <row r="6147">
      <c r="A6147" s="14" t="s">
        <v>18189</v>
      </c>
      <c r="B6147" s="15" t="s">
        <v>18232</v>
      </c>
      <c r="C6147" s="21"/>
      <c r="D6147" s="17" t="s">
        <v>18233</v>
      </c>
    </row>
    <row r="6148">
      <c r="A6148" s="14" t="s">
        <v>18189</v>
      </c>
      <c r="B6148" s="15" t="s">
        <v>18234</v>
      </c>
      <c r="C6148" s="21"/>
      <c r="D6148" s="17" t="s">
        <v>18235</v>
      </c>
    </row>
    <row r="6149">
      <c r="A6149" s="14" t="s">
        <v>18189</v>
      </c>
      <c r="B6149" s="19" t="s">
        <v>18236</v>
      </c>
      <c r="C6149" s="20"/>
      <c r="D6149" s="17" t="s">
        <v>18237</v>
      </c>
    </row>
    <row r="6150">
      <c r="A6150" s="14" t="s">
        <v>18189</v>
      </c>
      <c r="B6150" s="15" t="s">
        <v>18238</v>
      </c>
      <c r="C6150" s="21"/>
      <c r="D6150" s="17" t="s">
        <v>18239</v>
      </c>
    </row>
    <row r="6151">
      <c r="A6151" s="14" t="s">
        <v>18189</v>
      </c>
      <c r="B6151" s="19" t="s">
        <v>18240</v>
      </c>
      <c r="C6151" s="20"/>
      <c r="D6151" s="17" t="s">
        <v>18241</v>
      </c>
    </row>
    <row r="6152">
      <c r="A6152" s="14" t="s">
        <v>18189</v>
      </c>
      <c r="B6152" s="15" t="s">
        <v>18242</v>
      </c>
      <c r="C6152" s="21"/>
      <c r="D6152" s="17" t="s">
        <v>18243</v>
      </c>
    </row>
    <row r="6153">
      <c r="A6153" s="14" t="s">
        <v>18189</v>
      </c>
      <c r="B6153" s="19" t="s">
        <v>18244</v>
      </c>
      <c r="C6153" s="20"/>
      <c r="D6153" s="17" t="s">
        <v>18245</v>
      </c>
    </row>
    <row r="6154">
      <c r="A6154" s="14" t="s">
        <v>18189</v>
      </c>
      <c r="B6154" s="15" t="s">
        <v>18246</v>
      </c>
      <c r="C6154" s="21"/>
      <c r="D6154" s="17" t="s">
        <v>18247</v>
      </c>
    </row>
    <row r="6155">
      <c r="A6155" s="14" t="s">
        <v>18189</v>
      </c>
      <c r="B6155" s="15" t="s">
        <v>18248</v>
      </c>
      <c r="C6155" s="21"/>
      <c r="D6155" s="17" t="s">
        <v>18249</v>
      </c>
    </row>
    <row r="6156">
      <c r="A6156" s="14" t="s">
        <v>18189</v>
      </c>
      <c r="B6156" s="15" t="s">
        <v>18250</v>
      </c>
      <c r="C6156" s="21"/>
      <c r="D6156" s="17" t="s">
        <v>18251</v>
      </c>
    </row>
    <row r="6157">
      <c r="A6157" s="14" t="s">
        <v>18189</v>
      </c>
      <c r="B6157" s="19" t="s">
        <v>18252</v>
      </c>
      <c r="C6157" s="20"/>
      <c r="D6157" s="17" t="s">
        <v>18253</v>
      </c>
    </row>
    <row r="6158">
      <c r="A6158" s="14" t="s">
        <v>18189</v>
      </c>
      <c r="B6158" s="15" t="s">
        <v>18254</v>
      </c>
      <c r="C6158" s="21"/>
      <c r="D6158" s="17" t="s">
        <v>18255</v>
      </c>
    </row>
    <row r="6159">
      <c r="A6159" s="14" t="s">
        <v>18189</v>
      </c>
      <c r="B6159" s="19" t="s">
        <v>18256</v>
      </c>
      <c r="C6159" s="20"/>
      <c r="D6159" s="17" t="s">
        <v>18257</v>
      </c>
    </row>
    <row r="6160">
      <c r="A6160" s="14" t="s">
        <v>18189</v>
      </c>
      <c r="B6160" s="19" t="s">
        <v>18258</v>
      </c>
      <c r="C6160" s="20"/>
      <c r="D6160" s="17" t="s">
        <v>18259</v>
      </c>
    </row>
    <row r="6161">
      <c r="A6161" s="14" t="s">
        <v>18189</v>
      </c>
      <c r="B6161" s="15" t="s">
        <v>18260</v>
      </c>
      <c r="C6161" s="21"/>
      <c r="D6161" s="17" t="s">
        <v>18261</v>
      </c>
    </row>
    <row r="6162">
      <c r="A6162" s="14" t="s">
        <v>18189</v>
      </c>
      <c r="B6162" s="15" t="s">
        <v>18262</v>
      </c>
      <c r="C6162" s="21"/>
      <c r="D6162" s="17" t="s">
        <v>18263</v>
      </c>
    </row>
    <row r="6163">
      <c r="A6163" s="14" t="s">
        <v>18189</v>
      </c>
      <c r="B6163" s="15" t="s">
        <v>18264</v>
      </c>
      <c r="C6163" s="21"/>
      <c r="D6163" s="17" t="s">
        <v>18265</v>
      </c>
    </row>
    <row r="6164">
      <c r="A6164" s="14" t="s">
        <v>18189</v>
      </c>
      <c r="B6164" s="15" t="s">
        <v>18266</v>
      </c>
      <c r="C6164" s="21"/>
      <c r="D6164" s="17" t="s">
        <v>18267</v>
      </c>
    </row>
    <row r="6165">
      <c r="A6165" s="14" t="s">
        <v>18189</v>
      </c>
      <c r="B6165" s="15" t="s">
        <v>18268</v>
      </c>
      <c r="C6165" s="21"/>
      <c r="D6165" s="17" t="s">
        <v>18269</v>
      </c>
    </row>
    <row r="6166">
      <c r="A6166" s="14" t="s">
        <v>18189</v>
      </c>
      <c r="B6166" s="15" t="s">
        <v>18270</v>
      </c>
      <c r="C6166" s="21"/>
      <c r="D6166" s="17" t="s">
        <v>18271</v>
      </c>
    </row>
    <row r="6167">
      <c r="A6167" s="14" t="s">
        <v>18189</v>
      </c>
      <c r="B6167" s="15" t="s">
        <v>18272</v>
      </c>
      <c r="C6167" s="21"/>
      <c r="D6167" s="17" t="s">
        <v>18273</v>
      </c>
    </row>
    <row r="6168">
      <c r="A6168" s="14" t="s">
        <v>18189</v>
      </c>
      <c r="B6168" s="15" t="s">
        <v>18274</v>
      </c>
      <c r="C6168" s="21"/>
      <c r="D6168" s="17" t="s">
        <v>18275</v>
      </c>
    </row>
    <row r="6169">
      <c r="A6169" s="14" t="s">
        <v>18189</v>
      </c>
      <c r="B6169" s="15" t="s">
        <v>18276</v>
      </c>
      <c r="C6169" s="21"/>
      <c r="D6169" s="17" t="s">
        <v>18277</v>
      </c>
    </row>
    <row r="6170">
      <c r="A6170" s="14" t="s">
        <v>18189</v>
      </c>
      <c r="B6170" s="19" t="s">
        <v>18278</v>
      </c>
      <c r="C6170" s="20"/>
      <c r="D6170" s="17" t="s">
        <v>18279</v>
      </c>
    </row>
    <row r="6171">
      <c r="A6171" s="14" t="s">
        <v>18189</v>
      </c>
      <c r="B6171" s="15" t="s">
        <v>18280</v>
      </c>
      <c r="C6171" s="21"/>
      <c r="D6171" s="17" t="s">
        <v>18281</v>
      </c>
    </row>
    <row r="6172">
      <c r="A6172" s="14" t="s">
        <v>18282</v>
      </c>
      <c r="B6172" s="19" t="s">
        <v>18283</v>
      </c>
      <c r="C6172" s="20"/>
      <c r="D6172" s="17" t="s">
        <v>18284</v>
      </c>
    </row>
    <row r="6173">
      <c r="A6173" s="14" t="s">
        <v>7777</v>
      </c>
      <c r="B6173" s="15" t="s">
        <v>18285</v>
      </c>
      <c r="C6173" s="21"/>
      <c r="D6173" s="17" t="s">
        <v>18286</v>
      </c>
    </row>
    <row r="6174">
      <c r="A6174" s="14" t="s">
        <v>18287</v>
      </c>
      <c r="B6174" s="19" t="s">
        <v>18288</v>
      </c>
      <c r="C6174" s="20"/>
      <c r="D6174" s="17" t="s">
        <v>18289</v>
      </c>
    </row>
    <row r="6175">
      <c r="A6175" s="14" t="s">
        <v>18287</v>
      </c>
      <c r="B6175" s="19" t="s">
        <v>18290</v>
      </c>
      <c r="C6175" s="20"/>
      <c r="D6175" s="17" t="s">
        <v>18291</v>
      </c>
    </row>
    <row r="6176">
      <c r="A6176" s="14" t="s">
        <v>18287</v>
      </c>
      <c r="B6176" s="19" t="s">
        <v>18292</v>
      </c>
      <c r="C6176" s="20"/>
      <c r="D6176" s="17" t="s">
        <v>18293</v>
      </c>
    </row>
    <row r="6177">
      <c r="A6177" s="14" t="s">
        <v>18287</v>
      </c>
      <c r="B6177" s="19" t="s">
        <v>18294</v>
      </c>
      <c r="C6177" s="20"/>
      <c r="D6177" s="17" t="s">
        <v>18295</v>
      </c>
    </row>
    <row r="6178">
      <c r="A6178" s="14" t="s">
        <v>18287</v>
      </c>
      <c r="B6178" s="19" t="s">
        <v>18296</v>
      </c>
      <c r="C6178" s="20"/>
      <c r="D6178" s="17" t="s">
        <v>18297</v>
      </c>
    </row>
    <row r="6179">
      <c r="A6179" s="14" t="s">
        <v>18287</v>
      </c>
      <c r="B6179" s="19" t="s">
        <v>18298</v>
      </c>
      <c r="C6179" s="20"/>
      <c r="D6179" s="17" t="s">
        <v>18299</v>
      </c>
    </row>
    <row r="6180">
      <c r="A6180" s="14" t="s">
        <v>18287</v>
      </c>
      <c r="B6180" s="19" t="s">
        <v>18300</v>
      </c>
      <c r="C6180" s="20"/>
      <c r="D6180" s="17" t="s">
        <v>18301</v>
      </c>
    </row>
    <row r="6181">
      <c r="A6181" s="14" t="s">
        <v>18287</v>
      </c>
      <c r="B6181" s="19" t="s">
        <v>18302</v>
      </c>
      <c r="C6181" s="20"/>
      <c r="D6181" s="17" t="s">
        <v>18303</v>
      </c>
    </row>
    <row r="6182">
      <c r="A6182" s="14" t="s">
        <v>18287</v>
      </c>
      <c r="B6182" s="19" t="s">
        <v>18304</v>
      </c>
      <c r="C6182" s="20"/>
      <c r="D6182" s="17" t="s">
        <v>18305</v>
      </c>
    </row>
    <row r="6183">
      <c r="A6183" s="14" t="s">
        <v>18287</v>
      </c>
      <c r="B6183" s="19" t="s">
        <v>18306</v>
      </c>
      <c r="C6183" s="20"/>
      <c r="D6183" s="17" t="s">
        <v>18307</v>
      </c>
    </row>
    <row r="6184">
      <c r="A6184" s="14" t="s">
        <v>18287</v>
      </c>
      <c r="B6184" s="19" t="s">
        <v>18308</v>
      </c>
      <c r="C6184" s="20"/>
      <c r="D6184" s="17" t="s">
        <v>18309</v>
      </c>
    </row>
    <row r="6185">
      <c r="A6185" s="14" t="s">
        <v>18287</v>
      </c>
      <c r="B6185" s="19" t="s">
        <v>18310</v>
      </c>
      <c r="C6185" s="20"/>
      <c r="D6185" s="17" t="s">
        <v>18311</v>
      </c>
    </row>
    <row r="6186">
      <c r="A6186" s="14" t="s">
        <v>18287</v>
      </c>
      <c r="B6186" s="19" t="s">
        <v>18312</v>
      </c>
      <c r="C6186" s="20"/>
      <c r="D6186" s="17" t="s">
        <v>18313</v>
      </c>
    </row>
    <row r="6187">
      <c r="A6187" s="14" t="s">
        <v>18287</v>
      </c>
      <c r="B6187" s="19" t="s">
        <v>18314</v>
      </c>
      <c r="C6187" s="20"/>
      <c r="D6187" s="17" t="s">
        <v>18315</v>
      </c>
    </row>
    <row r="6188">
      <c r="A6188" s="14" t="s">
        <v>18287</v>
      </c>
      <c r="B6188" s="19" t="s">
        <v>18316</v>
      </c>
      <c r="C6188" s="20"/>
      <c r="D6188" s="17" t="s">
        <v>18317</v>
      </c>
    </row>
    <row r="6189">
      <c r="A6189" s="14" t="s">
        <v>18287</v>
      </c>
      <c r="B6189" s="19" t="s">
        <v>18318</v>
      </c>
      <c r="C6189" s="20"/>
      <c r="D6189" s="17" t="s">
        <v>18319</v>
      </c>
    </row>
    <row r="6190">
      <c r="A6190" s="14" t="s">
        <v>18287</v>
      </c>
      <c r="B6190" s="19" t="s">
        <v>18320</v>
      </c>
      <c r="C6190" s="20"/>
      <c r="D6190" s="17" t="s">
        <v>18321</v>
      </c>
    </row>
    <row r="6191">
      <c r="A6191" s="14" t="s">
        <v>18287</v>
      </c>
      <c r="B6191" s="19" t="s">
        <v>18322</v>
      </c>
      <c r="C6191" s="20"/>
      <c r="D6191" s="17" t="s">
        <v>18323</v>
      </c>
    </row>
    <row r="6192">
      <c r="A6192" s="14" t="s">
        <v>18287</v>
      </c>
      <c r="B6192" s="19" t="s">
        <v>18324</v>
      </c>
      <c r="C6192" s="20"/>
      <c r="D6192" s="17" t="s">
        <v>18325</v>
      </c>
    </row>
    <row r="6193">
      <c r="A6193" s="14" t="s">
        <v>18287</v>
      </c>
      <c r="B6193" s="19" t="s">
        <v>18326</v>
      </c>
      <c r="C6193" s="20"/>
      <c r="D6193" s="17" t="s">
        <v>18327</v>
      </c>
    </row>
    <row r="6194">
      <c r="A6194" s="14" t="s">
        <v>18287</v>
      </c>
      <c r="B6194" s="19" t="s">
        <v>18328</v>
      </c>
      <c r="C6194" s="20"/>
      <c r="D6194" s="17" t="s">
        <v>18329</v>
      </c>
    </row>
    <row r="6195">
      <c r="A6195" s="14" t="s">
        <v>18287</v>
      </c>
      <c r="B6195" s="19" t="s">
        <v>18330</v>
      </c>
      <c r="C6195" s="20"/>
      <c r="D6195" s="17" t="s">
        <v>18331</v>
      </c>
    </row>
    <row r="6196">
      <c r="A6196" s="14" t="s">
        <v>18287</v>
      </c>
      <c r="B6196" s="19" t="s">
        <v>18332</v>
      </c>
      <c r="C6196" s="20"/>
      <c r="D6196" s="17" t="s">
        <v>18333</v>
      </c>
    </row>
    <row r="6197">
      <c r="A6197" s="14" t="s">
        <v>18287</v>
      </c>
      <c r="B6197" s="19" t="s">
        <v>18334</v>
      </c>
      <c r="C6197" s="20"/>
      <c r="D6197" s="17" t="s">
        <v>18335</v>
      </c>
    </row>
    <row r="6198">
      <c r="A6198" s="14" t="s">
        <v>18287</v>
      </c>
      <c r="B6198" s="19" t="s">
        <v>18336</v>
      </c>
      <c r="C6198" s="20"/>
      <c r="D6198" s="17" t="s">
        <v>18337</v>
      </c>
    </row>
    <row r="6199">
      <c r="A6199" s="14" t="s">
        <v>18287</v>
      </c>
      <c r="B6199" s="19" t="s">
        <v>18338</v>
      </c>
      <c r="C6199" s="20"/>
      <c r="D6199" s="17" t="s">
        <v>18339</v>
      </c>
    </row>
    <row r="6200">
      <c r="A6200" s="14" t="s">
        <v>18287</v>
      </c>
      <c r="B6200" s="19" t="s">
        <v>18340</v>
      </c>
      <c r="C6200" s="20"/>
      <c r="D6200" s="17" t="s">
        <v>18341</v>
      </c>
    </row>
    <row r="6201">
      <c r="A6201" s="14" t="s">
        <v>18287</v>
      </c>
      <c r="B6201" s="19" t="s">
        <v>18342</v>
      </c>
      <c r="C6201" s="20"/>
      <c r="D6201" s="17" t="s">
        <v>18343</v>
      </c>
    </row>
    <row r="6202">
      <c r="A6202" s="14" t="s">
        <v>18287</v>
      </c>
      <c r="B6202" s="19" t="s">
        <v>18344</v>
      </c>
      <c r="C6202" s="20"/>
      <c r="D6202" s="17" t="s">
        <v>18345</v>
      </c>
    </row>
    <row r="6203">
      <c r="A6203" s="14" t="s">
        <v>18287</v>
      </c>
      <c r="B6203" s="19" t="s">
        <v>18346</v>
      </c>
      <c r="C6203" s="20"/>
      <c r="D6203" s="17" t="s">
        <v>18347</v>
      </c>
    </row>
    <row r="6204">
      <c r="A6204" s="14" t="s">
        <v>18287</v>
      </c>
      <c r="B6204" s="19" t="s">
        <v>18348</v>
      </c>
      <c r="C6204" s="20"/>
      <c r="D6204" s="17" t="s">
        <v>18349</v>
      </c>
    </row>
    <row r="6205">
      <c r="A6205" s="14" t="s">
        <v>18287</v>
      </c>
      <c r="B6205" s="19" t="s">
        <v>18350</v>
      </c>
      <c r="C6205" s="20"/>
      <c r="D6205" s="17" t="s">
        <v>18351</v>
      </c>
    </row>
    <row r="6206">
      <c r="A6206" s="14"/>
      <c r="B6206" s="1"/>
      <c r="C6206" s="1"/>
    </row>
    <row r="6207">
      <c r="A6207" s="14"/>
      <c r="B6207" s="1"/>
      <c r="C6207" s="1"/>
    </row>
    <row r="6208">
      <c r="A6208" s="14"/>
      <c r="B6208" s="1"/>
      <c r="C6208" s="1"/>
    </row>
    <row r="6209">
      <c r="A6209" s="14"/>
      <c r="B6209" s="1"/>
      <c r="C6209" s="1"/>
    </row>
    <row r="6210">
      <c r="A6210" s="14"/>
      <c r="B6210" s="1"/>
      <c r="C6210" s="1"/>
    </row>
    <row r="6211">
      <c r="A6211" s="14"/>
      <c r="B6211" s="1"/>
      <c r="C6211" s="1"/>
    </row>
    <row r="6212">
      <c r="A6212" s="14"/>
      <c r="B6212" s="1"/>
      <c r="C6212" s="1"/>
    </row>
    <row r="6213">
      <c r="A6213" s="14"/>
      <c r="B6213" s="1"/>
      <c r="C6213" s="1"/>
    </row>
    <row r="6214">
      <c r="A6214" s="14"/>
      <c r="B6214" s="1"/>
      <c r="C6214" s="1"/>
    </row>
    <row r="6215">
      <c r="A6215" s="14"/>
      <c r="B6215" s="1"/>
      <c r="C6215" s="1"/>
    </row>
    <row r="6216">
      <c r="A6216" s="14"/>
      <c r="B6216" s="1"/>
      <c r="C6216" s="1"/>
    </row>
    <row r="6217">
      <c r="A6217" s="14"/>
      <c r="B6217" s="1"/>
      <c r="C6217" s="1"/>
    </row>
    <row r="6218">
      <c r="A6218" s="14"/>
      <c r="B6218" s="1"/>
      <c r="C6218" s="1"/>
    </row>
    <row r="6219">
      <c r="A6219" s="14"/>
      <c r="B6219" s="1"/>
      <c r="C6219" s="1"/>
    </row>
    <row r="6220">
      <c r="A6220" s="14"/>
      <c r="B6220" s="1"/>
      <c r="C6220" s="1"/>
    </row>
    <row r="6221">
      <c r="A6221" s="14"/>
      <c r="B6221" s="1"/>
      <c r="C6221" s="1"/>
    </row>
    <row r="6222">
      <c r="A6222" s="14"/>
      <c r="B6222" s="1"/>
      <c r="C6222" s="1"/>
    </row>
    <row r="6223">
      <c r="A6223" s="14"/>
      <c r="B6223" s="1"/>
      <c r="C6223" s="1"/>
    </row>
    <row r="6224">
      <c r="A6224" s="14"/>
      <c r="B6224" s="1"/>
      <c r="C6224" s="1"/>
    </row>
    <row r="6225">
      <c r="A6225" s="14"/>
      <c r="B6225" s="1"/>
      <c r="C6225" s="1"/>
    </row>
    <row r="6226">
      <c r="A6226" s="14"/>
      <c r="B6226" s="1"/>
      <c r="C6226" s="1"/>
    </row>
    <row r="6227">
      <c r="A6227" s="14"/>
      <c r="B6227" s="1"/>
      <c r="C6227" s="1"/>
    </row>
    <row r="6228">
      <c r="A6228" s="14"/>
      <c r="B6228" s="1"/>
      <c r="C6228" s="1"/>
    </row>
    <row r="6229">
      <c r="A6229" s="14"/>
      <c r="B6229" s="1"/>
      <c r="C6229" s="1"/>
    </row>
    <row r="6230">
      <c r="A6230" s="14"/>
      <c r="B6230" s="1"/>
      <c r="C6230" s="1"/>
    </row>
    <row r="6231">
      <c r="A6231" s="14"/>
      <c r="B6231" s="1"/>
      <c r="C6231" s="1"/>
    </row>
    <row r="6232">
      <c r="A6232" s="14"/>
      <c r="B6232" s="1"/>
      <c r="C6232" s="1"/>
    </row>
    <row r="6233">
      <c r="A6233" s="14"/>
      <c r="B6233" s="1"/>
      <c r="C6233" s="1"/>
    </row>
    <row r="6234">
      <c r="A6234" s="14"/>
      <c r="B6234" s="1"/>
      <c r="C6234" s="1"/>
    </row>
    <row r="6235">
      <c r="A6235" s="14"/>
      <c r="B6235" s="1"/>
      <c r="C6235" s="1"/>
    </row>
    <row r="6236">
      <c r="A6236" s="14"/>
      <c r="B6236" s="1"/>
      <c r="C6236" s="1"/>
    </row>
    <row r="6237">
      <c r="A6237" s="14"/>
      <c r="B6237" s="1"/>
      <c r="C6237" s="1"/>
    </row>
    <row r="6238">
      <c r="A6238" s="14"/>
      <c r="B6238" s="1"/>
      <c r="C6238" s="1"/>
    </row>
    <row r="6239">
      <c r="A6239" s="14"/>
      <c r="B6239" s="1"/>
      <c r="C6239" s="1"/>
    </row>
    <row r="6240">
      <c r="A6240" s="14"/>
      <c r="B6240" s="1"/>
      <c r="C6240" s="1"/>
    </row>
    <row r="6241">
      <c r="A6241" s="14"/>
      <c r="B6241" s="1"/>
      <c r="C6241" s="1"/>
    </row>
    <row r="6242">
      <c r="A6242" s="14"/>
      <c r="B6242" s="1"/>
      <c r="C6242" s="1"/>
    </row>
    <row r="6243">
      <c r="A6243" s="14"/>
      <c r="B6243" s="1"/>
      <c r="C6243" s="1"/>
    </row>
    <row r="6244">
      <c r="A6244" s="14"/>
      <c r="B6244" s="1"/>
      <c r="C6244" s="1"/>
    </row>
    <row r="6245">
      <c r="A6245" s="14"/>
      <c r="B6245" s="1"/>
      <c r="C6245" s="1"/>
    </row>
    <row r="6246">
      <c r="A6246" s="14"/>
      <c r="B6246" s="1"/>
      <c r="C6246" s="1"/>
    </row>
    <row r="6247">
      <c r="A6247" s="14"/>
      <c r="B6247" s="1"/>
      <c r="C6247" s="1"/>
    </row>
    <row r="6248">
      <c r="A6248" s="14"/>
      <c r="B6248" s="1"/>
      <c r="C6248" s="1"/>
    </row>
    <row r="6249">
      <c r="A6249" s="14"/>
      <c r="B6249" s="1"/>
      <c r="C6249" s="1"/>
    </row>
    <row r="6250">
      <c r="A6250" s="14"/>
      <c r="B6250" s="1"/>
      <c r="C6250" s="1"/>
    </row>
    <row r="6251">
      <c r="A6251" s="14"/>
      <c r="B6251" s="1"/>
      <c r="C6251" s="1"/>
    </row>
    <row r="6252">
      <c r="A6252" s="14"/>
      <c r="B6252" s="1"/>
      <c r="C6252" s="1"/>
    </row>
    <row r="6253">
      <c r="A6253" s="14"/>
      <c r="B6253" s="1"/>
      <c r="C6253" s="1"/>
    </row>
    <row r="6254">
      <c r="A6254" s="14"/>
      <c r="B6254" s="1"/>
      <c r="C6254" s="1"/>
    </row>
    <row r="6255">
      <c r="A6255" s="14"/>
      <c r="B6255" s="1"/>
      <c r="C6255" s="1"/>
    </row>
    <row r="6256">
      <c r="A6256" s="14"/>
      <c r="B6256" s="1"/>
      <c r="C6256" s="1"/>
    </row>
    <row r="6257">
      <c r="A6257" s="14"/>
      <c r="B6257" s="1"/>
      <c r="C6257" s="1"/>
    </row>
    <row r="6258">
      <c r="A6258" s="14"/>
      <c r="B6258" s="1"/>
      <c r="C6258" s="1"/>
    </row>
    <row r="6259">
      <c r="A6259" s="14"/>
      <c r="B6259" s="1"/>
      <c r="C6259" s="1"/>
    </row>
    <row r="6260">
      <c r="A6260" s="14"/>
      <c r="B6260" s="1"/>
      <c r="C6260" s="1"/>
    </row>
    <row r="6261">
      <c r="A6261" s="14"/>
      <c r="B6261" s="1"/>
      <c r="C6261" s="1"/>
    </row>
    <row r="6262">
      <c r="A6262" s="14"/>
      <c r="B6262" s="1"/>
      <c r="C6262" s="1"/>
    </row>
    <row r="6263">
      <c r="A6263" s="14"/>
      <c r="B6263" s="1"/>
      <c r="C6263" s="1"/>
    </row>
    <row r="6264">
      <c r="A6264" s="14"/>
      <c r="B6264" s="1"/>
      <c r="C6264" s="1"/>
    </row>
    <row r="6265">
      <c r="A6265" s="14"/>
      <c r="B6265" s="1"/>
      <c r="C6265" s="1"/>
    </row>
    <row r="6266">
      <c r="A6266" s="14"/>
      <c r="B6266" s="1"/>
      <c r="C6266" s="1"/>
    </row>
    <row r="6267">
      <c r="A6267" s="14"/>
      <c r="B6267" s="1"/>
      <c r="C6267" s="1"/>
    </row>
    <row r="6268">
      <c r="A6268" s="14"/>
      <c r="B6268" s="1"/>
      <c r="C6268" s="1"/>
    </row>
    <row r="6269">
      <c r="A6269" s="14"/>
      <c r="B6269" s="1"/>
      <c r="C6269" s="1"/>
    </row>
    <row r="6270">
      <c r="A6270" s="14"/>
      <c r="B6270" s="1"/>
      <c r="C6270" s="1"/>
    </row>
    <row r="6271">
      <c r="A6271" s="14"/>
      <c r="B6271" s="1"/>
      <c r="C6271" s="1"/>
    </row>
    <row r="6272">
      <c r="A6272" s="14"/>
      <c r="B6272" s="1"/>
      <c r="C6272" s="1"/>
    </row>
    <row r="6273">
      <c r="A6273" s="14"/>
      <c r="B6273" s="1"/>
      <c r="C6273" s="1"/>
    </row>
    <row r="6274">
      <c r="A6274" s="14"/>
      <c r="B6274" s="1"/>
      <c r="C6274" s="1"/>
    </row>
    <row r="6275">
      <c r="A6275" s="14"/>
      <c r="B6275" s="1"/>
      <c r="C6275" s="1"/>
    </row>
    <row r="6276">
      <c r="A6276" s="14"/>
      <c r="B6276" s="1"/>
      <c r="C6276" s="1"/>
    </row>
    <row r="6277">
      <c r="A6277" s="14"/>
      <c r="B6277" s="1"/>
      <c r="C6277" s="1"/>
    </row>
    <row r="6278">
      <c r="A6278" s="14"/>
      <c r="B6278" s="1"/>
      <c r="C6278" s="1"/>
    </row>
    <row r="6279">
      <c r="A6279" s="14"/>
      <c r="B6279" s="1"/>
      <c r="C6279" s="1"/>
    </row>
    <row r="6280">
      <c r="A6280" s="14"/>
      <c r="B6280" s="1"/>
      <c r="C6280" s="1"/>
    </row>
    <row r="6281">
      <c r="A6281" s="14"/>
      <c r="B6281" s="1"/>
      <c r="C6281" s="1"/>
    </row>
    <row r="6282">
      <c r="A6282" s="14"/>
      <c r="B6282" s="1"/>
      <c r="C6282" s="1"/>
    </row>
    <row r="6283">
      <c r="A6283" s="14"/>
      <c r="B6283" s="1"/>
      <c r="C6283" s="1"/>
    </row>
    <row r="6284">
      <c r="A6284" s="14"/>
      <c r="B6284" s="1"/>
      <c r="C6284" s="1"/>
    </row>
    <row r="6285">
      <c r="A6285" s="14"/>
      <c r="B6285" s="1"/>
      <c r="C6285" s="1"/>
    </row>
    <row r="6286">
      <c r="A6286" s="14"/>
      <c r="B6286" s="1"/>
      <c r="C6286" s="1"/>
    </row>
    <row r="6287">
      <c r="A6287" s="14"/>
      <c r="B6287" s="1"/>
      <c r="C6287" s="1"/>
    </row>
    <row r="6288">
      <c r="A6288" s="14"/>
      <c r="B6288" s="1"/>
      <c r="C6288" s="1"/>
    </row>
    <row r="6289">
      <c r="A6289" s="14"/>
      <c r="B6289" s="1"/>
      <c r="C6289" s="1"/>
    </row>
    <row r="6290">
      <c r="A6290" s="14"/>
      <c r="B6290" s="1"/>
      <c r="C6290" s="1"/>
    </row>
    <row r="6291">
      <c r="A6291" s="14"/>
      <c r="B6291" s="1"/>
      <c r="C6291" s="1"/>
    </row>
    <row r="6292">
      <c r="A6292" s="14"/>
      <c r="B6292" s="1"/>
      <c r="C6292" s="1"/>
    </row>
    <row r="6293">
      <c r="A6293" s="14"/>
      <c r="B6293" s="1"/>
      <c r="C6293" s="1"/>
    </row>
    <row r="6294">
      <c r="A6294" s="14"/>
      <c r="B6294" s="1"/>
      <c r="C6294" s="1"/>
    </row>
    <row r="6295">
      <c r="A6295" s="14"/>
      <c r="B6295" s="1"/>
      <c r="C6295" s="1"/>
    </row>
    <row r="6296">
      <c r="A6296" s="14"/>
      <c r="B6296" s="1"/>
      <c r="C6296" s="1"/>
    </row>
    <row r="6297">
      <c r="A6297" s="14"/>
      <c r="B6297" s="1"/>
      <c r="C6297" s="1"/>
    </row>
    <row r="6298">
      <c r="A6298" s="14"/>
      <c r="B6298" s="1"/>
      <c r="C6298" s="1"/>
    </row>
    <row r="6299">
      <c r="A6299" s="14"/>
      <c r="B6299" s="1"/>
      <c r="C6299" s="1"/>
    </row>
    <row r="6300">
      <c r="A6300" s="14"/>
      <c r="B6300" s="1"/>
      <c r="C6300" s="1"/>
    </row>
    <row r="6301">
      <c r="A6301" s="14"/>
      <c r="B6301" s="1"/>
      <c r="C6301" s="1"/>
    </row>
    <row r="6302">
      <c r="A6302" s="14"/>
      <c r="B6302" s="1"/>
      <c r="C6302" s="1"/>
    </row>
    <row r="6303">
      <c r="A6303" s="14"/>
      <c r="B6303" s="1"/>
      <c r="C6303" s="1"/>
    </row>
    <row r="6304">
      <c r="A6304" s="14"/>
      <c r="B6304" s="1"/>
      <c r="C6304" s="1"/>
    </row>
    <row r="6305">
      <c r="A6305" s="14"/>
      <c r="B6305" s="1"/>
      <c r="C6305" s="1"/>
    </row>
    <row r="6306">
      <c r="A6306" s="14"/>
      <c r="B6306" s="1"/>
      <c r="C6306" s="1"/>
    </row>
    <row r="6307">
      <c r="A6307" s="14"/>
      <c r="B6307" s="1"/>
      <c r="C6307" s="1"/>
    </row>
    <row r="6308">
      <c r="A6308" s="14"/>
      <c r="B6308" s="1"/>
      <c r="C6308" s="1"/>
    </row>
    <row r="6309">
      <c r="A6309" s="14"/>
      <c r="B6309" s="1"/>
      <c r="C6309" s="1"/>
    </row>
    <row r="6310">
      <c r="A6310" s="14"/>
      <c r="B6310" s="1"/>
      <c r="C6310" s="1"/>
    </row>
    <row r="6311">
      <c r="A6311" s="14"/>
      <c r="B6311" s="1"/>
      <c r="C6311" s="1"/>
    </row>
    <row r="6312">
      <c r="A6312" s="14"/>
      <c r="B6312" s="1"/>
      <c r="C6312" s="1"/>
    </row>
    <row r="6313">
      <c r="A6313" s="14"/>
      <c r="B6313" s="1"/>
      <c r="C6313" s="1"/>
    </row>
    <row r="6314">
      <c r="A6314" s="14"/>
      <c r="B6314" s="1"/>
      <c r="C6314" s="1"/>
    </row>
    <row r="6315">
      <c r="A6315" s="14"/>
      <c r="B6315" s="1"/>
      <c r="C6315" s="1"/>
    </row>
    <row r="6316">
      <c r="A6316" s="14"/>
      <c r="B6316" s="1"/>
      <c r="C6316" s="1"/>
    </row>
    <row r="6317">
      <c r="A6317" s="14"/>
      <c r="B6317" s="1"/>
      <c r="C6317" s="1"/>
    </row>
    <row r="6318">
      <c r="A6318" s="14"/>
      <c r="B6318" s="1"/>
      <c r="C6318" s="1"/>
    </row>
    <row r="6319">
      <c r="A6319" s="14"/>
      <c r="B6319" s="1"/>
      <c r="C6319" s="1"/>
    </row>
    <row r="6320">
      <c r="A6320" s="14"/>
      <c r="B6320" s="1"/>
      <c r="C6320" s="1"/>
    </row>
    <row r="6321">
      <c r="A6321" s="14"/>
      <c r="B6321" s="1"/>
      <c r="C6321" s="1"/>
    </row>
    <row r="6322">
      <c r="A6322" s="14"/>
      <c r="B6322" s="1"/>
      <c r="C6322" s="1"/>
    </row>
    <row r="6323">
      <c r="A6323" s="14"/>
      <c r="B6323" s="1"/>
      <c r="C6323" s="1"/>
    </row>
    <row r="6324">
      <c r="A6324" s="14"/>
      <c r="B6324" s="1"/>
      <c r="C6324" s="1"/>
    </row>
    <row r="6325">
      <c r="A6325" s="14"/>
      <c r="B6325" s="1"/>
      <c r="C6325" s="1"/>
    </row>
    <row r="6326">
      <c r="A6326" s="14"/>
      <c r="B6326" s="1"/>
      <c r="C6326" s="1"/>
    </row>
    <row r="6327">
      <c r="A6327" s="14"/>
      <c r="B6327" s="1"/>
      <c r="C6327" s="1"/>
    </row>
    <row r="6328">
      <c r="A6328" s="14"/>
      <c r="B6328" s="1"/>
      <c r="C6328" s="1"/>
    </row>
    <row r="6329">
      <c r="A6329" s="14"/>
      <c r="B6329" s="1"/>
      <c r="C6329" s="1"/>
    </row>
    <row r="6330">
      <c r="A6330" s="14"/>
      <c r="B6330" s="1"/>
      <c r="C6330" s="1"/>
    </row>
    <row r="6331">
      <c r="A6331" s="14"/>
      <c r="B6331" s="1"/>
      <c r="C6331" s="1"/>
    </row>
    <row r="6332">
      <c r="A6332" s="14"/>
      <c r="B6332" s="1"/>
      <c r="C6332" s="1"/>
    </row>
    <row r="6333">
      <c r="A6333" s="14"/>
      <c r="B6333" s="1"/>
      <c r="C6333" s="1"/>
    </row>
    <row r="6334">
      <c r="A6334" s="14"/>
      <c r="B6334" s="1"/>
      <c r="C6334" s="1"/>
    </row>
    <row r="6335">
      <c r="A6335" s="14"/>
      <c r="B6335" s="1"/>
      <c r="C6335" s="1"/>
    </row>
    <row r="6336">
      <c r="A6336" s="14"/>
      <c r="B6336" s="1"/>
      <c r="C6336" s="1"/>
    </row>
    <row r="6337">
      <c r="A6337" s="14"/>
      <c r="B6337" s="1"/>
      <c r="C6337" s="1"/>
    </row>
    <row r="6338">
      <c r="A6338" s="14"/>
      <c r="B6338" s="1"/>
      <c r="C6338" s="1"/>
    </row>
    <row r="6339">
      <c r="A6339" s="14"/>
      <c r="B6339" s="1"/>
      <c r="C6339" s="1"/>
    </row>
    <row r="6340">
      <c r="A6340" s="14"/>
      <c r="B6340" s="1"/>
      <c r="C6340" s="1"/>
    </row>
    <row r="6341">
      <c r="A6341" s="14"/>
      <c r="B6341" s="1"/>
      <c r="C6341" s="1"/>
    </row>
    <row r="6342">
      <c r="A6342" s="14"/>
      <c r="B6342" s="1"/>
      <c r="C6342" s="1"/>
    </row>
    <row r="6343">
      <c r="A6343" s="14"/>
      <c r="B6343" s="1"/>
      <c r="C6343" s="1"/>
    </row>
    <row r="6344">
      <c r="A6344" s="14"/>
      <c r="B6344" s="1"/>
      <c r="C6344" s="1"/>
    </row>
    <row r="6345">
      <c r="A6345" s="14"/>
      <c r="B6345" s="1"/>
      <c r="C6345" s="1"/>
    </row>
    <row r="6346">
      <c r="A6346" s="14"/>
      <c r="B6346" s="1"/>
      <c r="C6346" s="1"/>
    </row>
    <row r="6347">
      <c r="A6347" s="14"/>
      <c r="B6347" s="1"/>
      <c r="C6347" s="1"/>
    </row>
    <row r="6348">
      <c r="A6348" s="14"/>
      <c r="B6348" s="1"/>
      <c r="C6348" s="1"/>
    </row>
    <row r="6349">
      <c r="A6349" s="14"/>
      <c r="B6349" s="1"/>
      <c r="C6349" s="1"/>
    </row>
    <row r="6350">
      <c r="A6350" s="14"/>
      <c r="B6350" s="1"/>
      <c r="C6350" s="1"/>
    </row>
    <row r="6351">
      <c r="A6351" s="14"/>
      <c r="B6351" s="1"/>
      <c r="C6351" s="1"/>
    </row>
    <row r="6352">
      <c r="A6352" s="14"/>
      <c r="B6352" s="1"/>
      <c r="C6352" s="1"/>
    </row>
    <row r="6353">
      <c r="A6353" s="14"/>
      <c r="B6353" s="1"/>
      <c r="C6353" s="1"/>
    </row>
    <row r="6354">
      <c r="A6354" s="14"/>
      <c r="B6354" s="1"/>
      <c r="C6354" s="1"/>
    </row>
    <row r="6355">
      <c r="A6355" s="14"/>
      <c r="B6355" s="1"/>
      <c r="C6355" s="1"/>
    </row>
    <row r="6356">
      <c r="A6356" s="14"/>
      <c r="B6356" s="1"/>
      <c r="C6356" s="1"/>
    </row>
    <row r="6357">
      <c r="A6357" s="14"/>
      <c r="B6357" s="1"/>
      <c r="C6357" s="1"/>
    </row>
    <row r="6358">
      <c r="A6358" s="14"/>
      <c r="B6358" s="1"/>
      <c r="C6358" s="1"/>
    </row>
    <row r="6359">
      <c r="A6359" s="14"/>
      <c r="B6359" s="1"/>
      <c r="C6359" s="1"/>
    </row>
    <row r="6360">
      <c r="A6360" s="14"/>
      <c r="B6360" s="1"/>
      <c r="C6360" s="1"/>
    </row>
    <row r="6361">
      <c r="A6361" s="14"/>
      <c r="B6361" s="1"/>
      <c r="C6361" s="1"/>
    </row>
    <row r="6362">
      <c r="A6362" s="14"/>
      <c r="B6362" s="1"/>
      <c r="C6362" s="1"/>
    </row>
    <row r="6363">
      <c r="A6363" s="14"/>
      <c r="B6363" s="1"/>
      <c r="C6363" s="1"/>
    </row>
    <row r="6364">
      <c r="A6364" s="14"/>
      <c r="B6364" s="1"/>
      <c r="C6364" s="1"/>
    </row>
    <row r="6365">
      <c r="A6365" s="14"/>
      <c r="B6365" s="1"/>
      <c r="C6365" s="1"/>
    </row>
    <row r="6366">
      <c r="A6366" s="14"/>
      <c r="B6366" s="1"/>
      <c r="C6366" s="1"/>
    </row>
    <row r="6367">
      <c r="A6367" s="14"/>
      <c r="B6367" s="1"/>
      <c r="C6367" s="1"/>
    </row>
    <row r="6368">
      <c r="A6368" s="14"/>
      <c r="B6368" s="1"/>
      <c r="C6368" s="1"/>
    </row>
    <row r="6369">
      <c r="A6369" s="14"/>
      <c r="B6369" s="1"/>
      <c r="C6369" s="1"/>
    </row>
    <row r="6370">
      <c r="A6370" s="14"/>
      <c r="B6370" s="1"/>
      <c r="C6370" s="1"/>
    </row>
    <row r="6371">
      <c r="A6371" s="14"/>
      <c r="B6371" s="1"/>
      <c r="C6371" s="1"/>
    </row>
    <row r="6372">
      <c r="A6372" s="14"/>
      <c r="B6372" s="1"/>
      <c r="C6372" s="1"/>
    </row>
    <row r="6373">
      <c r="A6373" s="14"/>
      <c r="B6373" s="1"/>
      <c r="C6373" s="1"/>
    </row>
    <row r="6374">
      <c r="A6374" s="14"/>
      <c r="B6374" s="1"/>
      <c r="C6374" s="1"/>
    </row>
    <row r="6375">
      <c r="A6375" s="14"/>
      <c r="B6375" s="1"/>
      <c r="C6375" s="1"/>
    </row>
    <row r="6376">
      <c r="A6376" s="14"/>
      <c r="B6376" s="1"/>
      <c r="C6376" s="1"/>
    </row>
    <row r="6377">
      <c r="A6377" s="14"/>
      <c r="B6377" s="1"/>
      <c r="C6377" s="1"/>
    </row>
    <row r="6378">
      <c r="A6378" s="14"/>
      <c r="B6378" s="1"/>
      <c r="C6378" s="1"/>
    </row>
    <row r="6379">
      <c r="A6379" s="14"/>
      <c r="B6379" s="1"/>
      <c r="C6379" s="1"/>
    </row>
    <row r="6380">
      <c r="A6380" s="14"/>
      <c r="B6380" s="1"/>
      <c r="C6380" s="1"/>
    </row>
    <row r="6381">
      <c r="A6381" s="14"/>
      <c r="B6381" s="1"/>
      <c r="C6381" s="1"/>
    </row>
    <row r="6382">
      <c r="A6382" s="14"/>
      <c r="B6382" s="1"/>
      <c r="C6382" s="1"/>
    </row>
    <row r="6383">
      <c r="A6383" s="14"/>
      <c r="B6383" s="1"/>
      <c r="C6383" s="1"/>
    </row>
    <row r="6384">
      <c r="A6384" s="14"/>
      <c r="B6384" s="1"/>
      <c r="C6384" s="1"/>
    </row>
    <row r="6385">
      <c r="A6385" s="14"/>
      <c r="B6385" s="1"/>
      <c r="C6385" s="1"/>
    </row>
    <row r="6386">
      <c r="A6386" s="14"/>
      <c r="B6386" s="1"/>
      <c r="C6386" s="1"/>
    </row>
    <row r="6387">
      <c r="A6387" s="14"/>
      <c r="B6387" s="1"/>
      <c r="C6387" s="1"/>
    </row>
    <row r="6388">
      <c r="A6388" s="14"/>
      <c r="B6388" s="1"/>
      <c r="C6388" s="1"/>
    </row>
    <row r="6389">
      <c r="A6389" s="14"/>
      <c r="B6389" s="1"/>
      <c r="C6389" s="1"/>
    </row>
    <row r="6390">
      <c r="A6390" s="14"/>
      <c r="B6390" s="1"/>
      <c r="C6390" s="1"/>
    </row>
    <row r="6391">
      <c r="A6391" s="14"/>
      <c r="B6391" s="1"/>
      <c r="C6391" s="1"/>
    </row>
    <row r="6392">
      <c r="A6392" s="14"/>
      <c r="B6392" s="1"/>
      <c r="C6392" s="1"/>
    </row>
    <row r="6393">
      <c r="A6393" s="14"/>
      <c r="B6393" s="1"/>
      <c r="C6393" s="1"/>
    </row>
    <row r="6394">
      <c r="A6394" s="14"/>
      <c r="B6394" s="1"/>
      <c r="C6394" s="1"/>
    </row>
    <row r="6395">
      <c r="A6395" s="14"/>
      <c r="B6395" s="1"/>
      <c r="C6395" s="1"/>
    </row>
    <row r="6396">
      <c r="A6396" s="14"/>
      <c r="B6396" s="1"/>
      <c r="C6396" s="1"/>
    </row>
    <row r="6397">
      <c r="A6397" s="14"/>
      <c r="B6397" s="1"/>
      <c r="C6397" s="1"/>
    </row>
    <row r="6398">
      <c r="A6398" s="14"/>
      <c r="B6398" s="1"/>
      <c r="C6398" s="1"/>
    </row>
    <row r="6399">
      <c r="A6399" s="14"/>
      <c r="B6399" s="1"/>
      <c r="C6399" s="1"/>
    </row>
    <row r="6400">
      <c r="A6400" s="14"/>
      <c r="B6400" s="1"/>
      <c r="C6400" s="1"/>
    </row>
    <row r="6401">
      <c r="A6401" s="14"/>
      <c r="B6401" s="1"/>
      <c r="C6401" s="1"/>
    </row>
    <row r="6402">
      <c r="A6402" s="14"/>
      <c r="B6402" s="1"/>
      <c r="C6402" s="1"/>
    </row>
    <row r="6403">
      <c r="A6403" s="14"/>
      <c r="B6403" s="1"/>
      <c r="C6403" s="1"/>
    </row>
    <row r="6404">
      <c r="A6404" s="14"/>
      <c r="B6404" s="1"/>
      <c r="C6404" s="1"/>
    </row>
    <row r="6405">
      <c r="A6405" s="14"/>
      <c r="B6405" s="1"/>
      <c r="C6405" s="1"/>
    </row>
    <row r="6406">
      <c r="A6406" s="14"/>
      <c r="B6406" s="1"/>
      <c r="C6406" s="1"/>
    </row>
    <row r="6407">
      <c r="A6407" s="14"/>
      <c r="B6407" s="1"/>
      <c r="C6407" s="1"/>
    </row>
    <row r="6408">
      <c r="A6408" s="14"/>
      <c r="B6408" s="1"/>
      <c r="C6408" s="1"/>
    </row>
    <row r="6409">
      <c r="A6409" s="14"/>
      <c r="B6409" s="1"/>
      <c r="C6409" s="1"/>
    </row>
    <row r="6410">
      <c r="A6410" s="14"/>
      <c r="B6410" s="1"/>
      <c r="C6410" s="1"/>
    </row>
    <row r="6411">
      <c r="A6411" s="14"/>
      <c r="B6411" s="1"/>
      <c r="C6411" s="1"/>
    </row>
    <row r="6412">
      <c r="A6412" s="14"/>
      <c r="B6412" s="1"/>
      <c r="C6412" s="1"/>
    </row>
    <row r="6413">
      <c r="A6413" s="14"/>
      <c r="B6413" s="1"/>
      <c r="C6413" s="1"/>
    </row>
    <row r="6414">
      <c r="A6414" s="14"/>
      <c r="B6414" s="1"/>
      <c r="C6414" s="1"/>
    </row>
    <row r="6415">
      <c r="A6415" s="14"/>
      <c r="B6415" s="1"/>
      <c r="C6415" s="1"/>
    </row>
    <row r="6416">
      <c r="A6416" s="14"/>
      <c r="B6416" s="1"/>
      <c r="C6416" s="1"/>
    </row>
    <row r="6417">
      <c r="A6417" s="14"/>
      <c r="B6417" s="1"/>
      <c r="C6417" s="1"/>
    </row>
    <row r="6418">
      <c r="A6418" s="14"/>
      <c r="B6418" s="1"/>
      <c r="C6418" s="1"/>
    </row>
    <row r="6419">
      <c r="A6419" s="14"/>
      <c r="B6419" s="1"/>
      <c r="C6419" s="1"/>
    </row>
    <row r="6420">
      <c r="A6420" s="14"/>
      <c r="B6420" s="1"/>
      <c r="C6420" s="1"/>
    </row>
    <row r="6421">
      <c r="A6421" s="14"/>
      <c r="B6421" s="1"/>
      <c r="C6421" s="1"/>
    </row>
    <row r="6422">
      <c r="A6422" s="14"/>
      <c r="B6422" s="1"/>
      <c r="C6422" s="1"/>
    </row>
    <row r="6423">
      <c r="A6423" s="14"/>
      <c r="B6423" s="1"/>
      <c r="C6423" s="1"/>
    </row>
    <row r="6424">
      <c r="A6424" s="14"/>
      <c r="B6424" s="1"/>
      <c r="C6424" s="1"/>
    </row>
    <row r="6425">
      <c r="A6425" s="14"/>
      <c r="B6425" s="1"/>
      <c r="C6425" s="1"/>
    </row>
    <row r="6426">
      <c r="A6426" s="14"/>
      <c r="B6426" s="1"/>
      <c r="C6426" s="1"/>
    </row>
    <row r="6427">
      <c r="A6427" s="14"/>
      <c r="B6427" s="1"/>
      <c r="C6427" s="1"/>
    </row>
    <row r="6428">
      <c r="A6428" s="14"/>
      <c r="B6428" s="1"/>
      <c r="C6428" s="1"/>
    </row>
    <row r="6429">
      <c r="A6429" s="14"/>
      <c r="B6429" s="1"/>
      <c r="C6429" s="1"/>
    </row>
    <row r="6430">
      <c r="A6430" s="14"/>
      <c r="B6430" s="1"/>
      <c r="C6430" s="1"/>
    </row>
    <row r="6431">
      <c r="A6431" s="14"/>
      <c r="B6431" s="1"/>
      <c r="C6431" s="1"/>
    </row>
    <row r="6432">
      <c r="A6432" s="14"/>
      <c r="B6432" s="1"/>
      <c r="C6432" s="1"/>
    </row>
    <row r="6433">
      <c r="A6433" s="14"/>
      <c r="B6433" s="1"/>
      <c r="C6433" s="1"/>
    </row>
    <row r="6434">
      <c r="A6434" s="14"/>
      <c r="B6434" s="1"/>
      <c r="C6434" s="1"/>
    </row>
    <row r="6435">
      <c r="A6435" s="14"/>
      <c r="B6435" s="1"/>
      <c r="C6435" s="1"/>
    </row>
    <row r="6436">
      <c r="A6436" s="14"/>
      <c r="B6436" s="1"/>
      <c r="C6436" s="1"/>
    </row>
    <row r="6437">
      <c r="A6437" s="14"/>
      <c r="B6437" s="1"/>
      <c r="C6437" s="1"/>
    </row>
    <row r="6438">
      <c r="A6438" s="14"/>
      <c r="B6438" s="1"/>
      <c r="C6438" s="1"/>
    </row>
    <row r="6439">
      <c r="A6439" s="14"/>
      <c r="B6439" s="1"/>
      <c r="C6439" s="1"/>
    </row>
    <row r="6440">
      <c r="A6440" s="14"/>
      <c r="B6440" s="1"/>
      <c r="C6440" s="1"/>
    </row>
    <row r="6441">
      <c r="A6441" s="14"/>
      <c r="B6441" s="1"/>
      <c r="C6441" s="1"/>
    </row>
    <row r="6442">
      <c r="A6442" s="14"/>
      <c r="B6442" s="1"/>
      <c r="C6442" s="1"/>
    </row>
    <row r="6443">
      <c r="A6443" s="14"/>
      <c r="B6443" s="1"/>
      <c r="C6443" s="1"/>
    </row>
    <row r="6444">
      <c r="A6444" s="14"/>
      <c r="B6444" s="1"/>
      <c r="C6444" s="1"/>
    </row>
    <row r="6445">
      <c r="A6445" s="14"/>
      <c r="B6445" s="1"/>
      <c r="C6445" s="1"/>
    </row>
    <row r="6446">
      <c r="A6446" s="14"/>
      <c r="B6446" s="1"/>
      <c r="C6446" s="1"/>
    </row>
    <row r="6447">
      <c r="A6447" s="14"/>
      <c r="B6447" s="1"/>
      <c r="C6447" s="1"/>
    </row>
    <row r="6448">
      <c r="A6448" s="14"/>
      <c r="B6448" s="1"/>
      <c r="C6448" s="1"/>
    </row>
    <row r="6449">
      <c r="A6449" s="14"/>
      <c r="B6449" s="1"/>
      <c r="C6449" s="1"/>
    </row>
    <row r="6450">
      <c r="A6450" s="14"/>
      <c r="B6450" s="1"/>
      <c r="C6450" s="1"/>
    </row>
    <row r="6451">
      <c r="A6451" s="14"/>
      <c r="B6451" s="1"/>
      <c r="C6451" s="1"/>
    </row>
    <row r="6452">
      <c r="A6452" s="14"/>
      <c r="B6452" s="1"/>
      <c r="C6452" s="1"/>
    </row>
    <row r="6453">
      <c r="A6453" s="14"/>
      <c r="B6453" s="1"/>
      <c r="C6453" s="1"/>
    </row>
    <row r="6454">
      <c r="A6454" s="14"/>
      <c r="B6454" s="1"/>
      <c r="C6454" s="1"/>
    </row>
    <row r="6455">
      <c r="A6455" s="14"/>
      <c r="B6455" s="1"/>
      <c r="C6455" s="1"/>
    </row>
    <row r="6456">
      <c r="A6456" s="14"/>
      <c r="B6456" s="1"/>
      <c r="C6456" s="1"/>
    </row>
    <row r="6457">
      <c r="A6457" s="14"/>
      <c r="B6457" s="1"/>
      <c r="C6457" s="1"/>
    </row>
    <row r="6458">
      <c r="A6458" s="14"/>
      <c r="B6458" s="1"/>
      <c r="C6458" s="1"/>
    </row>
    <row r="6459">
      <c r="A6459" s="14"/>
      <c r="B6459" s="1"/>
      <c r="C6459" s="1"/>
    </row>
    <row r="6460">
      <c r="A6460" s="14"/>
      <c r="B6460" s="1"/>
      <c r="C6460" s="1"/>
    </row>
    <row r="6461">
      <c r="A6461" s="14"/>
      <c r="B6461" s="1"/>
      <c r="C6461" s="1"/>
    </row>
    <row r="6462">
      <c r="A6462" s="14"/>
      <c r="B6462" s="1"/>
      <c r="C6462" s="1"/>
    </row>
    <row r="6463">
      <c r="A6463" s="14"/>
      <c r="B6463" s="1"/>
      <c r="C6463" s="1"/>
    </row>
    <row r="6464">
      <c r="A6464" s="14"/>
      <c r="B6464" s="1"/>
      <c r="C6464" s="1"/>
    </row>
    <row r="6465">
      <c r="A6465" s="14"/>
      <c r="B6465" s="1"/>
      <c r="C6465" s="1"/>
    </row>
    <row r="6466">
      <c r="A6466" s="14"/>
      <c r="B6466" s="1"/>
      <c r="C6466" s="1"/>
    </row>
    <row r="6467">
      <c r="A6467" s="14"/>
      <c r="B6467" s="1"/>
      <c r="C6467" s="1"/>
    </row>
    <row r="6468">
      <c r="A6468" s="14"/>
      <c r="B6468" s="1"/>
      <c r="C6468" s="1"/>
    </row>
    <row r="6469">
      <c r="A6469" s="14"/>
      <c r="B6469" s="1"/>
      <c r="C6469" s="1"/>
    </row>
    <row r="6470">
      <c r="A6470" s="14"/>
      <c r="B6470" s="1"/>
      <c r="C6470" s="1"/>
    </row>
    <row r="6471">
      <c r="A6471" s="14"/>
      <c r="B6471" s="1"/>
      <c r="C6471" s="1"/>
    </row>
    <row r="6472">
      <c r="A6472" s="14"/>
      <c r="B6472" s="1"/>
      <c r="C6472" s="1"/>
    </row>
    <row r="6473">
      <c r="A6473" s="14"/>
      <c r="B6473" s="1"/>
      <c r="C6473" s="1"/>
    </row>
    <row r="6474">
      <c r="A6474" s="14"/>
      <c r="B6474" s="1"/>
      <c r="C6474" s="1"/>
    </row>
    <row r="6475">
      <c r="A6475" s="14"/>
      <c r="B6475" s="1"/>
      <c r="C6475" s="1"/>
    </row>
    <row r="6476">
      <c r="A6476" s="14"/>
      <c r="B6476" s="1"/>
      <c r="C6476" s="1"/>
    </row>
    <row r="6477">
      <c r="A6477" s="14"/>
      <c r="B6477" s="1"/>
      <c r="C6477" s="1"/>
    </row>
    <row r="6478">
      <c r="A6478" s="14"/>
      <c r="B6478" s="1"/>
      <c r="C6478" s="1"/>
    </row>
    <row r="6479">
      <c r="A6479" s="14"/>
      <c r="B6479" s="1"/>
      <c r="C6479" s="1"/>
    </row>
    <row r="6480">
      <c r="A6480" s="14"/>
      <c r="B6480" s="1"/>
      <c r="C6480" s="1"/>
    </row>
    <row r="6481">
      <c r="A6481" s="14"/>
      <c r="B6481" s="1"/>
      <c r="C6481" s="1"/>
    </row>
    <row r="6482">
      <c r="A6482" s="14"/>
      <c r="B6482" s="1"/>
      <c r="C6482" s="1"/>
    </row>
    <row r="6483">
      <c r="A6483" s="14"/>
      <c r="B6483" s="1"/>
      <c r="C6483" s="1"/>
    </row>
    <row r="6484">
      <c r="A6484" s="14"/>
      <c r="B6484" s="1"/>
      <c r="C6484" s="1"/>
    </row>
    <row r="6485">
      <c r="A6485" s="14"/>
      <c r="B6485" s="1"/>
      <c r="C6485" s="1"/>
    </row>
    <row r="6486">
      <c r="A6486" s="14"/>
      <c r="B6486" s="1"/>
      <c r="C6486" s="1"/>
    </row>
    <row r="6487">
      <c r="A6487" s="14"/>
      <c r="B6487" s="1"/>
      <c r="C6487" s="1"/>
    </row>
    <row r="6488">
      <c r="A6488" s="14"/>
      <c r="B6488" s="1"/>
      <c r="C6488" s="1"/>
    </row>
    <row r="6489">
      <c r="A6489" s="14"/>
      <c r="B6489" s="1"/>
      <c r="C6489" s="1"/>
    </row>
    <row r="6490">
      <c r="A6490" s="14"/>
      <c r="B6490" s="1"/>
      <c r="C6490" s="1"/>
    </row>
    <row r="6491">
      <c r="A6491" s="14"/>
      <c r="B6491" s="1"/>
      <c r="C6491" s="1"/>
    </row>
    <row r="6492">
      <c r="A6492" s="14"/>
      <c r="B6492" s="1"/>
      <c r="C6492" s="1"/>
    </row>
    <row r="6493">
      <c r="A6493" s="14"/>
      <c r="B6493" s="1"/>
      <c r="C6493" s="1"/>
    </row>
    <row r="6494">
      <c r="A6494" s="14"/>
      <c r="B6494" s="1"/>
      <c r="C6494" s="1"/>
    </row>
    <row r="6495">
      <c r="A6495" s="14"/>
      <c r="B6495" s="1"/>
      <c r="C6495" s="1"/>
    </row>
    <row r="6496">
      <c r="A6496" s="14"/>
      <c r="B6496" s="1"/>
      <c r="C6496" s="1"/>
    </row>
    <row r="6497">
      <c r="A6497" s="14"/>
      <c r="B6497" s="1"/>
      <c r="C6497" s="1"/>
    </row>
    <row r="6498">
      <c r="A6498" s="14"/>
      <c r="B6498" s="1"/>
      <c r="C6498" s="1"/>
    </row>
    <row r="6499">
      <c r="A6499" s="14"/>
      <c r="B6499" s="1"/>
      <c r="C6499" s="1"/>
    </row>
    <row r="6500">
      <c r="A6500" s="14"/>
      <c r="B6500" s="1"/>
      <c r="C6500" s="1"/>
    </row>
    <row r="6501">
      <c r="A6501" s="14"/>
      <c r="B6501" s="1"/>
      <c r="C6501" s="1"/>
    </row>
    <row r="6502">
      <c r="A6502" s="14"/>
      <c r="B6502" s="1"/>
      <c r="C6502" s="1"/>
    </row>
    <row r="6503">
      <c r="A6503" s="14"/>
      <c r="B6503" s="1"/>
      <c r="C6503" s="1"/>
    </row>
    <row r="6504">
      <c r="A6504" s="14"/>
      <c r="B6504" s="1"/>
      <c r="C6504" s="1"/>
    </row>
    <row r="6505">
      <c r="A6505" s="14"/>
      <c r="B6505" s="1"/>
      <c r="C6505" s="1"/>
    </row>
    <row r="6506">
      <c r="A6506" s="14"/>
      <c r="B6506" s="1"/>
      <c r="C6506" s="1"/>
    </row>
    <row r="6507">
      <c r="A6507" s="14"/>
      <c r="B6507" s="1"/>
      <c r="C6507" s="1"/>
    </row>
    <row r="6508">
      <c r="A6508" s="14"/>
      <c r="B6508" s="1"/>
      <c r="C6508" s="1"/>
    </row>
    <row r="6509">
      <c r="A6509" s="14"/>
      <c r="B6509" s="1"/>
      <c r="C6509" s="1"/>
    </row>
    <row r="6510">
      <c r="A6510" s="14"/>
      <c r="B6510" s="1"/>
      <c r="C6510" s="1"/>
    </row>
    <row r="6511">
      <c r="A6511" s="14"/>
      <c r="B6511" s="1"/>
      <c r="C6511" s="1"/>
    </row>
    <row r="6512">
      <c r="A6512" s="14"/>
      <c r="B6512" s="1"/>
      <c r="C6512" s="1"/>
    </row>
    <row r="6513">
      <c r="A6513" s="14"/>
      <c r="B6513" s="1"/>
      <c r="C6513" s="1"/>
    </row>
    <row r="6514">
      <c r="A6514" s="14"/>
      <c r="B6514" s="1"/>
      <c r="C6514" s="1"/>
    </row>
    <row r="6515">
      <c r="A6515" s="14"/>
      <c r="B6515" s="1"/>
      <c r="C6515" s="1"/>
    </row>
    <row r="6516">
      <c r="A6516" s="14"/>
      <c r="B6516" s="1"/>
      <c r="C6516" s="1"/>
    </row>
    <row r="6517">
      <c r="A6517" s="14"/>
      <c r="B6517" s="1"/>
      <c r="C6517" s="1"/>
    </row>
    <row r="6518">
      <c r="A6518" s="14"/>
      <c r="B6518" s="1"/>
      <c r="C6518" s="1"/>
    </row>
    <row r="6519">
      <c r="A6519" s="14"/>
      <c r="B6519" s="1"/>
      <c r="C6519" s="1"/>
    </row>
    <row r="6520">
      <c r="A6520" s="14"/>
      <c r="B6520" s="1"/>
      <c r="C6520" s="1"/>
    </row>
    <row r="6521">
      <c r="A6521" s="14"/>
      <c r="B6521" s="1"/>
      <c r="C6521" s="1"/>
    </row>
    <row r="6522">
      <c r="A6522" s="14"/>
      <c r="B6522" s="1"/>
      <c r="C6522" s="1"/>
    </row>
    <row r="6523">
      <c r="A6523" s="14"/>
      <c r="B6523" s="1"/>
      <c r="C6523" s="1"/>
    </row>
    <row r="6524">
      <c r="A6524" s="14"/>
      <c r="B6524" s="1"/>
      <c r="C6524" s="1"/>
    </row>
    <row r="6525">
      <c r="A6525" s="14"/>
      <c r="B6525" s="1"/>
      <c r="C6525" s="1"/>
    </row>
    <row r="6526">
      <c r="A6526" s="14"/>
      <c r="B6526" s="1"/>
      <c r="C6526" s="1"/>
    </row>
    <row r="6527">
      <c r="A6527" s="14"/>
      <c r="B6527" s="1"/>
      <c r="C6527" s="1"/>
    </row>
    <row r="6528">
      <c r="A6528" s="14"/>
      <c r="B6528" s="1"/>
      <c r="C6528" s="1"/>
    </row>
    <row r="6529">
      <c r="A6529" s="14"/>
      <c r="B6529" s="1"/>
      <c r="C6529" s="1"/>
    </row>
    <row r="6530">
      <c r="A6530" s="14"/>
      <c r="B6530" s="1"/>
      <c r="C6530" s="1"/>
    </row>
    <row r="6531">
      <c r="A6531" s="14"/>
      <c r="B6531" s="1"/>
      <c r="C6531" s="1"/>
    </row>
    <row r="6532">
      <c r="A6532" s="14"/>
      <c r="B6532" s="1"/>
      <c r="C6532" s="1"/>
    </row>
    <row r="6533">
      <c r="A6533" s="14"/>
      <c r="B6533" s="1"/>
      <c r="C6533" s="1"/>
    </row>
    <row r="6534">
      <c r="A6534" s="14"/>
      <c r="B6534" s="1"/>
      <c r="C6534" s="1"/>
    </row>
    <row r="6535">
      <c r="A6535" s="14"/>
      <c r="B6535" s="1"/>
      <c r="C6535" s="1"/>
    </row>
    <row r="6536">
      <c r="A6536" s="14"/>
      <c r="B6536" s="1"/>
      <c r="C6536" s="1"/>
    </row>
    <row r="6537">
      <c r="A6537" s="14"/>
      <c r="B6537" s="1"/>
      <c r="C6537" s="1"/>
    </row>
    <row r="6538">
      <c r="A6538" s="14"/>
      <c r="B6538" s="1"/>
      <c r="C6538" s="1"/>
    </row>
    <row r="6539">
      <c r="A6539" s="14"/>
      <c r="B6539" s="1"/>
      <c r="C6539" s="1"/>
    </row>
    <row r="6540">
      <c r="A6540" s="14"/>
      <c r="B6540" s="1"/>
      <c r="C6540" s="1"/>
    </row>
    <row r="6541">
      <c r="A6541" s="14"/>
      <c r="B6541" s="1"/>
      <c r="C6541" s="1"/>
    </row>
    <row r="6542">
      <c r="A6542" s="14"/>
      <c r="B6542" s="1"/>
      <c r="C6542" s="1"/>
    </row>
    <row r="6543">
      <c r="A6543" s="14"/>
      <c r="B6543" s="1"/>
      <c r="C6543" s="1"/>
    </row>
    <row r="6544">
      <c r="A6544" s="14"/>
      <c r="B6544" s="1"/>
      <c r="C6544" s="1"/>
    </row>
    <row r="6545">
      <c r="A6545" s="14"/>
      <c r="B6545" s="1"/>
      <c r="C6545" s="1"/>
    </row>
    <row r="6546">
      <c r="A6546" s="14"/>
      <c r="B6546" s="1"/>
      <c r="C6546" s="1"/>
    </row>
    <row r="6547">
      <c r="A6547" s="14"/>
      <c r="B6547" s="1"/>
      <c r="C6547" s="1"/>
    </row>
    <row r="6548">
      <c r="A6548" s="14"/>
      <c r="B6548" s="1"/>
      <c r="C6548" s="1"/>
    </row>
    <row r="6549">
      <c r="A6549" s="14"/>
      <c r="B6549" s="1"/>
      <c r="C6549" s="1"/>
    </row>
    <row r="6550">
      <c r="A6550" s="14"/>
      <c r="B6550" s="1"/>
      <c r="C6550" s="1"/>
    </row>
    <row r="6551">
      <c r="A6551" s="14"/>
      <c r="B6551" s="1"/>
      <c r="C6551" s="1"/>
    </row>
    <row r="6552">
      <c r="A6552" s="14"/>
      <c r="B6552" s="1"/>
      <c r="C6552" s="1"/>
    </row>
    <row r="6553">
      <c r="A6553" s="14"/>
      <c r="B6553" s="1"/>
      <c r="C6553" s="1"/>
    </row>
    <row r="6554">
      <c r="A6554" s="14"/>
      <c r="B6554" s="1"/>
      <c r="C6554" s="1"/>
    </row>
    <row r="6555">
      <c r="A6555" s="14"/>
      <c r="B6555" s="1"/>
      <c r="C6555" s="1"/>
    </row>
    <row r="6556">
      <c r="A6556" s="14"/>
      <c r="B6556" s="1"/>
      <c r="C6556" s="1"/>
    </row>
    <row r="6557">
      <c r="A6557" s="14"/>
      <c r="B6557" s="1"/>
      <c r="C6557" s="1"/>
    </row>
    <row r="6558">
      <c r="A6558" s="14"/>
      <c r="B6558" s="1"/>
      <c r="C6558" s="1"/>
    </row>
    <row r="6559">
      <c r="A6559" s="14"/>
      <c r="B6559" s="1"/>
      <c r="C6559" s="1"/>
    </row>
    <row r="6560">
      <c r="A6560" s="14"/>
      <c r="B6560" s="1"/>
      <c r="C6560" s="1"/>
    </row>
    <row r="6561">
      <c r="A6561" s="14"/>
      <c r="B6561" s="1"/>
      <c r="C6561" s="1"/>
    </row>
    <row r="6562">
      <c r="A6562" s="14"/>
      <c r="B6562" s="1"/>
      <c r="C6562" s="1"/>
    </row>
    <row r="6563">
      <c r="A6563" s="14"/>
      <c r="B6563" s="1"/>
      <c r="C6563" s="1"/>
    </row>
    <row r="6564">
      <c r="A6564" s="14"/>
      <c r="B6564" s="1"/>
      <c r="C6564" s="1"/>
    </row>
    <row r="6565">
      <c r="A6565" s="14"/>
      <c r="B6565" s="1"/>
      <c r="C6565" s="1"/>
    </row>
    <row r="6566">
      <c r="A6566" s="14"/>
      <c r="B6566" s="1"/>
      <c r="C6566" s="1"/>
    </row>
    <row r="6567">
      <c r="A6567" s="14"/>
      <c r="B6567" s="1"/>
      <c r="C6567" s="1"/>
    </row>
    <row r="6568">
      <c r="A6568" s="14"/>
      <c r="B6568" s="1"/>
      <c r="C6568" s="1"/>
    </row>
    <row r="6569">
      <c r="A6569" s="14"/>
      <c r="B6569" s="1"/>
      <c r="C6569" s="1"/>
    </row>
    <row r="6570">
      <c r="A6570" s="14"/>
      <c r="B6570" s="1"/>
      <c r="C6570" s="1"/>
    </row>
    <row r="6571">
      <c r="A6571" s="14"/>
      <c r="B6571" s="1"/>
      <c r="C6571" s="1"/>
    </row>
    <row r="6572">
      <c r="A6572" s="14"/>
      <c r="B6572" s="1"/>
      <c r="C6572" s="1"/>
    </row>
    <row r="6573">
      <c r="A6573" s="14"/>
      <c r="B6573" s="1"/>
      <c r="C6573" s="1"/>
    </row>
    <row r="6574">
      <c r="A6574" s="14"/>
      <c r="B6574" s="1"/>
      <c r="C6574" s="1"/>
    </row>
    <row r="6575">
      <c r="A6575" s="14"/>
      <c r="B6575" s="1"/>
      <c r="C6575" s="1"/>
    </row>
    <row r="6576">
      <c r="A6576" s="14"/>
      <c r="B6576" s="1"/>
      <c r="C6576" s="1"/>
    </row>
    <row r="6577">
      <c r="A6577" s="14"/>
      <c r="B6577" s="1"/>
      <c r="C6577" s="1"/>
    </row>
    <row r="6578">
      <c r="A6578" s="14"/>
      <c r="B6578" s="1"/>
      <c r="C6578" s="1"/>
    </row>
    <row r="6579">
      <c r="A6579" s="14"/>
      <c r="B6579" s="1"/>
      <c r="C6579" s="1"/>
    </row>
    <row r="6580">
      <c r="A6580" s="14"/>
      <c r="B6580" s="1"/>
      <c r="C6580" s="1"/>
    </row>
    <row r="6581">
      <c r="A6581" s="14"/>
      <c r="B6581" s="1"/>
      <c r="C6581" s="1"/>
    </row>
    <row r="6582">
      <c r="A6582" s="14"/>
      <c r="B6582" s="1"/>
      <c r="C6582" s="1"/>
    </row>
    <row r="6583">
      <c r="A6583" s="14"/>
      <c r="B6583" s="1"/>
      <c r="C6583" s="1"/>
    </row>
    <row r="6584">
      <c r="A6584" s="14"/>
      <c r="B6584" s="1"/>
      <c r="C6584" s="1"/>
    </row>
    <row r="6585">
      <c r="A6585" s="14"/>
      <c r="B6585" s="1"/>
      <c r="C6585" s="1"/>
    </row>
    <row r="6586">
      <c r="A6586" s="14"/>
      <c r="B6586" s="1"/>
      <c r="C6586" s="1"/>
    </row>
    <row r="6587">
      <c r="A6587" s="14"/>
      <c r="B6587" s="1"/>
      <c r="C6587" s="1"/>
    </row>
    <row r="6588">
      <c r="A6588" s="14"/>
      <c r="B6588" s="1"/>
      <c r="C6588" s="1"/>
    </row>
    <row r="6589">
      <c r="A6589" s="14"/>
      <c r="B6589" s="1"/>
      <c r="C6589" s="1"/>
    </row>
    <row r="6590">
      <c r="A6590" s="14"/>
      <c r="B6590" s="1"/>
      <c r="C6590" s="1"/>
    </row>
    <row r="6591">
      <c r="A6591" s="14"/>
      <c r="B6591" s="1"/>
      <c r="C6591" s="1"/>
    </row>
    <row r="6592">
      <c r="A6592" s="14"/>
      <c r="B6592" s="1"/>
      <c r="C6592" s="1"/>
    </row>
    <row r="6593">
      <c r="A6593" s="14"/>
      <c r="B6593" s="1"/>
      <c r="C6593" s="1"/>
    </row>
    <row r="6594">
      <c r="A6594" s="14"/>
      <c r="B6594" s="1"/>
      <c r="C6594" s="1"/>
    </row>
    <row r="6595">
      <c r="A6595" s="14"/>
      <c r="B6595" s="1"/>
      <c r="C6595" s="1"/>
    </row>
    <row r="6596">
      <c r="A6596" s="14"/>
      <c r="B6596" s="1"/>
      <c r="C6596" s="1"/>
    </row>
    <row r="6597">
      <c r="A6597" s="14"/>
      <c r="B6597" s="1"/>
      <c r="C6597" s="1"/>
    </row>
    <row r="6598">
      <c r="A6598" s="14"/>
      <c r="B6598" s="1"/>
      <c r="C6598" s="1"/>
    </row>
    <row r="6599">
      <c r="A6599" s="14"/>
      <c r="B6599" s="1"/>
      <c r="C6599" s="1"/>
    </row>
    <row r="6600">
      <c r="A6600" s="14"/>
      <c r="B6600" s="1"/>
      <c r="C6600" s="1"/>
    </row>
    <row r="6601">
      <c r="A6601" s="14"/>
      <c r="B6601" s="1"/>
      <c r="C6601" s="1"/>
    </row>
    <row r="6602">
      <c r="A6602" s="14"/>
      <c r="B6602" s="1"/>
      <c r="C6602" s="1"/>
    </row>
    <row r="6603">
      <c r="A6603" s="14"/>
      <c r="B6603" s="1"/>
      <c r="C6603" s="1"/>
    </row>
    <row r="6604">
      <c r="A6604" s="14"/>
      <c r="B6604" s="1"/>
      <c r="C6604" s="1"/>
    </row>
    <row r="6605">
      <c r="A6605" s="14"/>
      <c r="B6605" s="1"/>
      <c r="C6605" s="1"/>
    </row>
    <row r="6606">
      <c r="A6606" s="14"/>
      <c r="B6606" s="1"/>
      <c r="C6606" s="1"/>
    </row>
    <row r="6607">
      <c r="A6607" s="14"/>
      <c r="B6607" s="1"/>
      <c r="C6607" s="1"/>
    </row>
    <row r="6608">
      <c r="A6608" s="14"/>
      <c r="B6608" s="1"/>
      <c r="C6608" s="1"/>
    </row>
    <row r="6609">
      <c r="A6609" s="14"/>
      <c r="B6609" s="1"/>
      <c r="C6609" s="1"/>
    </row>
    <row r="6610">
      <c r="A6610" s="14"/>
      <c r="B6610" s="1"/>
      <c r="C6610" s="1"/>
    </row>
    <row r="6611">
      <c r="A6611" s="14"/>
      <c r="B6611" s="1"/>
      <c r="C6611" s="1"/>
    </row>
    <row r="6612">
      <c r="A6612" s="14"/>
      <c r="B6612" s="1"/>
      <c r="C6612" s="1"/>
    </row>
    <row r="6613">
      <c r="A6613" s="14"/>
      <c r="B6613" s="1"/>
      <c r="C6613" s="1"/>
    </row>
    <row r="6614">
      <c r="A6614" s="14"/>
      <c r="B6614" s="1"/>
      <c r="C6614" s="1"/>
    </row>
    <row r="6615">
      <c r="A6615" s="14"/>
      <c r="B6615" s="1"/>
      <c r="C6615" s="1"/>
    </row>
    <row r="6616">
      <c r="A6616" s="14"/>
      <c r="B6616" s="1"/>
      <c r="C6616" s="1"/>
    </row>
    <row r="6617">
      <c r="A6617" s="14"/>
      <c r="B6617" s="1"/>
      <c r="C6617" s="1"/>
    </row>
    <row r="6618">
      <c r="A6618" s="14"/>
      <c r="B6618" s="1"/>
      <c r="C6618" s="1"/>
    </row>
    <row r="6619">
      <c r="A6619" s="14"/>
      <c r="B6619" s="1"/>
      <c r="C6619" s="1"/>
    </row>
    <row r="6620">
      <c r="A6620" s="14"/>
      <c r="B6620" s="1"/>
      <c r="C6620" s="1"/>
    </row>
    <row r="6621">
      <c r="A6621" s="14"/>
      <c r="B6621" s="1"/>
      <c r="C6621" s="1"/>
    </row>
    <row r="6622">
      <c r="A6622" s="14"/>
      <c r="B6622" s="1"/>
      <c r="C6622" s="1"/>
    </row>
    <row r="6623">
      <c r="A6623" s="14"/>
      <c r="B6623" s="1"/>
      <c r="C6623" s="1"/>
    </row>
    <row r="6624">
      <c r="A6624" s="14"/>
      <c r="B6624" s="1"/>
      <c r="C6624" s="1"/>
    </row>
    <row r="6625">
      <c r="A6625" s="14"/>
      <c r="B6625" s="1"/>
      <c r="C6625" s="1"/>
    </row>
    <row r="6626">
      <c r="A6626" s="14"/>
      <c r="B6626" s="1"/>
      <c r="C6626" s="1"/>
    </row>
    <row r="6627">
      <c r="A6627" s="14"/>
      <c r="B6627" s="1"/>
      <c r="C6627" s="1"/>
    </row>
    <row r="6628">
      <c r="A6628" s="14"/>
      <c r="B6628" s="1"/>
      <c r="C6628" s="1"/>
    </row>
    <row r="6629">
      <c r="A6629" s="14"/>
      <c r="B6629" s="1"/>
      <c r="C6629" s="1"/>
    </row>
    <row r="6630">
      <c r="A6630" s="14"/>
      <c r="B6630" s="1"/>
      <c r="C6630" s="1"/>
    </row>
    <row r="6631">
      <c r="A6631" s="14"/>
      <c r="B6631" s="1"/>
      <c r="C6631" s="1"/>
    </row>
    <row r="6632">
      <c r="A6632" s="14"/>
      <c r="B6632" s="1"/>
      <c r="C6632" s="1"/>
    </row>
    <row r="6633">
      <c r="A6633" s="14"/>
      <c r="B6633" s="1"/>
      <c r="C6633" s="1"/>
    </row>
    <row r="6634">
      <c r="A6634" s="14"/>
      <c r="B6634" s="1"/>
      <c r="C6634" s="1"/>
    </row>
    <row r="6635">
      <c r="A6635" s="14"/>
      <c r="B6635" s="1"/>
      <c r="C6635" s="1"/>
    </row>
    <row r="6636">
      <c r="A6636" s="14"/>
      <c r="B6636" s="1"/>
      <c r="C6636" s="1"/>
    </row>
    <row r="6637">
      <c r="A6637" s="14"/>
      <c r="B6637" s="1"/>
      <c r="C6637" s="1"/>
    </row>
    <row r="6638">
      <c r="A6638" s="14"/>
      <c r="B6638" s="1"/>
      <c r="C6638" s="1"/>
    </row>
    <row r="6639">
      <c r="A6639" s="14"/>
      <c r="B6639" s="1"/>
      <c r="C6639" s="1"/>
    </row>
    <row r="6640">
      <c r="A6640" s="14"/>
      <c r="B6640" s="1"/>
      <c r="C6640" s="1"/>
    </row>
    <row r="6641">
      <c r="A6641" s="14"/>
      <c r="B6641" s="1"/>
      <c r="C6641" s="1"/>
    </row>
    <row r="6642">
      <c r="A6642" s="14"/>
      <c r="B6642" s="1"/>
      <c r="C6642" s="1"/>
    </row>
    <row r="6643">
      <c r="A6643" s="14"/>
      <c r="B6643" s="1"/>
      <c r="C6643" s="1"/>
    </row>
    <row r="6644">
      <c r="A6644" s="14"/>
      <c r="B6644" s="1"/>
      <c r="C6644" s="1"/>
    </row>
    <row r="6645">
      <c r="A6645" s="14"/>
      <c r="B6645" s="1"/>
      <c r="C6645" s="1"/>
    </row>
    <row r="6646">
      <c r="A6646" s="14"/>
      <c r="B6646" s="1"/>
      <c r="C6646" s="1"/>
    </row>
    <row r="6647">
      <c r="A6647" s="14"/>
      <c r="B6647" s="1"/>
      <c r="C6647" s="1"/>
    </row>
    <row r="6648">
      <c r="A6648" s="14"/>
      <c r="B6648" s="1"/>
      <c r="C6648" s="1"/>
    </row>
    <row r="6649">
      <c r="A6649" s="14"/>
      <c r="B6649" s="1"/>
      <c r="C6649" s="1"/>
    </row>
    <row r="6650">
      <c r="A6650" s="14"/>
      <c r="B6650" s="1"/>
      <c r="C6650" s="1"/>
    </row>
    <row r="6651">
      <c r="A6651" s="14"/>
      <c r="B6651" s="1"/>
      <c r="C6651" s="1"/>
    </row>
    <row r="6652">
      <c r="A6652" s="14"/>
      <c r="B6652" s="1"/>
      <c r="C6652" s="1"/>
    </row>
    <row r="6653">
      <c r="A6653" s="14"/>
      <c r="B6653" s="1"/>
      <c r="C6653" s="1"/>
    </row>
    <row r="6654">
      <c r="A6654" s="14"/>
      <c r="B6654" s="1"/>
      <c r="C6654" s="1"/>
    </row>
    <row r="6655">
      <c r="A6655" s="14"/>
      <c r="B6655" s="1"/>
      <c r="C6655" s="1"/>
    </row>
    <row r="6656">
      <c r="A6656" s="14"/>
      <c r="B6656" s="1"/>
      <c r="C6656" s="1"/>
    </row>
    <row r="6657">
      <c r="A6657" s="14"/>
      <c r="B6657" s="1"/>
      <c r="C6657" s="1"/>
    </row>
    <row r="6658">
      <c r="A6658" s="14"/>
      <c r="B6658" s="1"/>
      <c r="C6658" s="1"/>
    </row>
    <row r="6659">
      <c r="A6659" s="14"/>
      <c r="B6659" s="1"/>
      <c r="C6659" s="1"/>
    </row>
    <row r="6660">
      <c r="A6660" s="14"/>
      <c r="B6660" s="1"/>
      <c r="C6660" s="1"/>
    </row>
    <row r="6661">
      <c r="A6661" s="14"/>
      <c r="B6661" s="1"/>
      <c r="C6661" s="1"/>
    </row>
    <row r="6662">
      <c r="A6662" s="14"/>
      <c r="B6662" s="1"/>
      <c r="C6662" s="1"/>
    </row>
    <row r="6663">
      <c r="A6663" s="14"/>
      <c r="B6663" s="1"/>
      <c r="C6663" s="1"/>
    </row>
    <row r="6664">
      <c r="A6664" s="14"/>
      <c r="B6664" s="1"/>
      <c r="C6664" s="1"/>
    </row>
    <row r="6665">
      <c r="A6665" s="14"/>
      <c r="B6665" s="1"/>
      <c r="C6665" s="1"/>
    </row>
    <row r="6666">
      <c r="A6666" s="14"/>
      <c r="B6666" s="1"/>
      <c r="C6666" s="1"/>
    </row>
    <row r="6667">
      <c r="A6667" s="14"/>
      <c r="B6667" s="1"/>
      <c r="C6667" s="1"/>
    </row>
    <row r="6668">
      <c r="A6668" s="14"/>
      <c r="B6668" s="1"/>
      <c r="C6668" s="1"/>
    </row>
    <row r="6669">
      <c r="A6669" s="14"/>
      <c r="B6669" s="1"/>
      <c r="C6669" s="1"/>
    </row>
    <row r="6670">
      <c r="A6670" s="14"/>
      <c r="B6670" s="1"/>
      <c r="C6670" s="1"/>
    </row>
    <row r="6671">
      <c r="A6671" s="14"/>
      <c r="B6671" s="1"/>
      <c r="C6671" s="1"/>
    </row>
    <row r="6672">
      <c r="A6672" s="14"/>
      <c r="B6672" s="1"/>
      <c r="C6672" s="1"/>
    </row>
    <row r="6673">
      <c r="A6673" s="14"/>
      <c r="B6673" s="1"/>
      <c r="C6673" s="1"/>
    </row>
    <row r="6674">
      <c r="A6674" s="14"/>
      <c r="B6674" s="1"/>
      <c r="C6674" s="1"/>
    </row>
    <row r="6675">
      <c r="A6675" s="14"/>
      <c r="B6675" s="1"/>
      <c r="C6675" s="1"/>
    </row>
    <row r="6676">
      <c r="A6676" s="14"/>
      <c r="B6676" s="1"/>
      <c r="C6676" s="1"/>
    </row>
    <row r="6677">
      <c r="A6677" s="14"/>
      <c r="B6677" s="1"/>
      <c r="C6677" s="1"/>
    </row>
    <row r="6678">
      <c r="A6678" s="14"/>
      <c r="B6678" s="1"/>
      <c r="C6678" s="1"/>
    </row>
    <row r="6679">
      <c r="A6679" s="14"/>
      <c r="B6679" s="1"/>
      <c r="C6679" s="1"/>
    </row>
    <row r="6680">
      <c r="A6680" s="14"/>
      <c r="B6680" s="1"/>
      <c r="C6680" s="1"/>
    </row>
    <row r="6681">
      <c r="A6681" s="14"/>
      <c r="B6681" s="1"/>
      <c r="C6681" s="1"/>
    </row>
    <row r="6682">
      <c r="A6682" s="14"/>
      <c r="B6682" s="1"/>
      <c r="C6682" s="1"/>
    </row>
    <row r="6683">
      <c r="A6683" s="14"/>
      <c r="B6683" s="1"/>
      <c r="C6683" s="1"/>
    </row>
    <row r="6684">
      <c r="A6684" s="14"/>
      <c r="B6684" s="1"/>
      <c r="C6684" s="1"/>
    </row>
    <row r="6685">
      <c r="A6685" s="14"/>
      <c r="B6685" s="1"/>
      <c r="C6685" s="1"/>
    </row>
    <row r="6686">
      <c r="A6686" s="14"/>
      <c r="B6686" s="1"/>
      <c r="C6686" s="1"/>
    </row>
    <row r="6687">
      <c r="A6687" s="14"/>
      <c r="B6687" s="1"/>
      <c r="C6687" s="1"/>
    </row>
    <row r="6688">
      <c r="A6688" s="14"/>
      <c r="B6688" s="1"/>
      <c r="C6688" s="1"/>
    </row>
    <row r="6689">
      <c r="A6689" s="14"/>
      <c r="B6689" s="1"/>
      <c r="C6689" s="1"/>
    </row>
    <row r="6690">
      <c r="A6690" s="14"/>
      <c r="B6690" s="1"/>
      <c r="C6690" s="1"/>
    </row>
    <row r="6691">
      <c r="A6691" s="14"/>
      <c r="B6691" s="1"/>
      <c r="C6691" s="1"/>
    </row>
    <row r="6692">
      <c r="A6692" s="14"/>
      <c r="B6692" s="1"/>
      <c r="C6692" s="1"/>
    </row>
    <row r="6693">
      <c r="A6693" s="14"/>
      <c r="B6693" s="1"/>
      <c r="C6693" s="1"/>
    </row>
    <row r="6694">
      <c r="A6694" s="14"/>
      <c r="B6694" s="1"/>
      <c r="C6694" s="1"/>
    </row>
    <row r="6695">
      <c r="A6695" s="14"/>
      <c r="B6695" s="1"/>
      <c r="C6695" s="1"/>
    </row>
    <row r="6696">
      <c r="A6696" s="14"/>
      <c r="B6696" s="1"/>
      <c r="C6696" s="1"/>
    </row>
    <row r="6697">
      <c r="A6697" s="14"/>
      <c r="B6697" s="1"/>
      <c r="C6697" s="1"/>
    </row>
    <row r="6698">
      <c r="A6698" s="14"/>
      <c r="B6698" s="1"/>
      <c r="C6698" s="1"/>
    </row>
    <row r="6699">
      <c r="A6699" s="14"/>
      <c r="B6699" s="1"/>
      <c r="C6699" s="1"/>
    </row>
    <row r="6700">
      <c r="A6700" s="14"/>
      <c r="B6700" s="1"/>
      <c r="C6700" s="1"/>
    </row>
    <row r="6701">
      <c r="A6701" s="14"/>
      <c r="B6701" s="1"/>
      <c r="C6701" s="1"/>
    </row>
    <row r="6702">
      <c r="A6702" s="14"/>
      <c r="B6702" s="1"/>
      <c r="C6702" s="1"/>
    </row>
    <row r="6703">
      <c r="A6703" s="14"/>
      <c r="B6703" s="1"/>
      <c r="C6703" s="1"/>
    </row>
    <row r="6704">
      <c r="A6704" s="14"/>
      <c r="B6704" s="1"/>
      <c r="C6704" s="1"/>
    </row>
    <row r="6705">
      <c r="A6705" s="14"/>
      <c r="B6705" s="1"/>
      <c r="C6705" s="1"/>
    </row>
    <row r="6706">
      <c r="A6706" s="14"/>
      <c r="B6706" s="1"/>
      <c r="C6706" s="1"/>
    </row>
    <row r="6707">
      <c r="A6707" s="14"/>
      <c r="B6707" s="1"/>
      <c r="C6707" s="1"/>
    </row>
    <row r="6708">
      <c r="A6708" s="14"/>
      <c r="B6708" s="1"/>
      <c r="C6708" s="1"/>
    </row>
    <row r="6709">
      <c r="A6709" s="14"/>
      <c r="B6709" s="1"/>
      <c r="C6709" s="1"/>
    </row>
    <row r="6710">
      <c r="A6710" s="14"/>
      <c r="B6710" s="1"/>
      <c r="C6710" s="1"/>
    </row>
    <row r="6711">
      <c r="A6711" s="14"/>
      <c r="B6711" s="1"/>
      <c r="C6711" s="1"/>
    </row>
    <row r="6712">
      <c r="A6712" s="14"/>
      <c r="B6712" s="1"/>
      <c r="C6712" s="1"/>
    </row>
    <row r="6713">
      <c r="A6713" s="14"/>
      <c r="B6713" s="1"/>
      <c r="C6713" s="1"/>
    </row>
    <row r="6714">
      <c r="A6714" s="14"/>
      <c r="B6714" s="1"/>
      <c r="C6714" s="1"/>
    </row>
    <row r="6715">
      <c r="A6715" s="14"/>
      <c r="B6715" s="1"/>
      <c r="C6715" s="1"/>
    </row>
    <row r="6716">
      <c r="A6716" s="14"/>
      <c r="B6716" s="1"/>
      <c r="C6716" s="1"/>
    </row>
    <row r="6717">
      <c r="A6717" s="14"/>
      <c r="B6717" s="1"/>
      <c r="C6717" s="1"/>
    </row>
    <row r="6718">
      <c r="A6718" s="14"/>
      <c r="B6718" s="1"/>
      <c r="C6718" s="1"/>
    </row>
    <row r="6719">
      <c r="A6719" s="14"/>
      <c r="B6719" s="1"/>
      <c r="C6719" s="1"/>
    </row>
    <row r="6720">
      <c r="A6720" s="14"/>
      <c r="B6720" s="1"/>
      <c r="C6720" s="1"/>
    </row>
    <row r="6721">
      <c r="A6721" s="14"/>
      <c r="B6721" s="1"/>
      <c r="C6721" s="1"/>
    </row>
    <row r="6722">
      <c r="A6722" s="14"/>
      <c r="B6722" s="1"/>
      <c r="C6722" s="1"/>
    </row>
    <row r="6723">
      <c r="A6723" s="14"/>
      <c r="B6723" s="1"/>
      <c r="C6723" s="1"/>
    </row>
    <row r="6724">
      <c r="A6724" s="14"/>
      <c r="B6724" s="1"/>
      <c r="C6724" s="1"/>
    </row>
    <row r="6725">
      <c r="A6725" s="14"/>
      <c r="B6725" s="1"/>
      <c r="C6725" s="1"/>
    </row>
    <row r="6726">
      <c r="A6726" s="14"/>
      <c r="B6726" s="1"/>
      <c r="C6726" s="1"/>
    </row>
    <row r="6727">
      <c r="A6727" s="14"/>
      <c r="B6727" s="1"/>
      <c r="C6727" s="1"/>
    </row>
    <row r="6728">
      <c r="A6728" s="14"/>
      <c r="B6728" s="1"/>
      <c r="C6728" s="1"/>
    </row>
    <row r="6729">
      <c r="A6729" s="14"/>
      <c r="B6729" s="1"/>
      <c r="C6729" s="1"/>
    </row>
    <row r="6730">
      <c r="A6730" s="14"/>
      <c r="B6730" s="1"/>
      <c r="C6730" s="1"/>
    </row>
    <row r="6731">
      <c r="A6731" s="14"/>
      <c r="B6731" s="1"/>
      <c r="C6731" s="1"/>
    </row>
    <row r="6732">
      <c r="A6732" s="14"/>
      <c r="B6732" s="1"/>
      <c r="C6732" s="1"/>
    </row>
    <row r="6733">
      <c r="A6733" s="14"/>
      <c r="B6733" s="1"/>
      <c r="C6733" s="1"/>
    </row>
    <row r="6734">
      <c r="A6734" s="14"/>
      <c r="B6734" s="1"/>
      <c r="C6734" s="1"/>
    </row>
    <row r="6735">
      <c r="A6735" s="14"/>
      <c r="B6735" s="1"/>
      <c r="C6735" s="1"/>
    </row>
    <row r="6736">
      <c r="A6736" s="14"/>
      <c r="B6736" s="1"/>
      <c r="C6736" s="1"/>
    </row>
    <row r="6737">
      <c r="A6737" s="14"/>
      <c r="B6737" s="1"/>
      <c r="C6737" s="1"/>
    </row>
    <row r="6738">
      <c r="A6738" s="14"/>
      <c r="B6738" s="1"/>
      <c r="C6738" s="1"/>
    </row>
    <row r="6739">
      <c r="A6739" s="14"/>
      <c r="B6739" s="1"/>
      <c r="C6739" s="1"/>
    </row>
    <row r="6740">
      <c r="A6740" s="14"/>
      <c r="B6740" s="1"/>
      <c r="C6740" s="1"/>
    </row>
    <row r="6741">
      <c r="A6741" s="14"/>
      <c r="B6741" s="1"/>
      <c r="C6741" s="1"/>
    </row>
    <row r="6742">
      <c r="A6742" s="14"/>
      <c r="B6742" s="1"/>
      <c r="C6742" s="1"/>
    </row>
    <row r="6743">
      <c r="A6743" s="14"/>
      <c r="B6743" s="1"/>
      <c r="C6743" s="1"/>
    </row>
    <row r="6744">
      <c r="A6744" s="14"/>
      <c r="B6744" s="1"/>
      <c r="C6744" s="1"/>
    </row>
    <row r="6745">
      <c r="A6745" s="14"/>
      <c r="B6745" s="1"/>
      <c r="C6745" s="1"/>
    </row>
    <row r="6746">
      <c r="A6746" s="14"/>
      <c r="B6746" s="1"/>
      <c r="C6746" s="1"/>
    </row>
    <row r="6747">
      <c r="A6747" s="14"/>
      <c r="B6747" s="1"/>
      <c r="C6747" s="1"/>
    </row>
    <row r="6748">
      <c r="A6748" s="14"/>
      <c r="B6748" s="1"/>
      <c r="C6748" s="1"/>
    </row>
    <row r="6749">
      <c r="A6749" s="14"/>
      <c r="B6749" s="1"/>
      <c r="C6749" s="1"/>
    </row>
    <row r="6750">
      <c r="A6750" s="14"/>
      <c r="B6750" s="1"/>
      <c r="C6750" s="1"/>
    </row>
    <row r="6751">
      <c r="A6751" s="14"/>
      <c r="B6751" s="1"/>
      <c r="C6751" s="1"/>
    </row>
    <row r="6752">
      <c r="A6752" s="14"/>
      <c r="B6752" s="1"/>
      <c r="C6752" s="1"/>
    </row>
    <row r="6753">
      <c r="A6753" s="14"/>
      <c r="B6753" s="1"/>
      <c r="C6753" s="1"/>
    </row>
    <row r="6754">
      <c r="A6754" s="14"/>
      <c r="B6754" s="1"/>
      <c r="C6754" s="1"/>
    </row>
    <row r="6755">
      <c r="A6755" s="14"/>
      <c r="B6755" s="1"/>
      <c r="C6755" s="1"/>
    </row>
    <row r="6756">
      <c r="A6756" s="14"/>
      <c r="B6756" s="1"/>
      <c r="C6756" s="1"/>
    </row>
    <row r="6757">
      <c r="A6757" s="14"/>
      <c r="B6757" s="1"/>
      <c r="C6757" s="1"/>
    </row>
    <row r="6758">
      <c r="A6758" s="14"/>
      <c r="B6758" s="1"/>
      <c r="C6758" s="1"/>
    </row>
    <row r="6759">
      <c r="A6759" s="14"/>
      <c r="B6759" s="1"/>
      <c r="C6759" s="1"/>
    </row>
    <row r="6760">
      <c r="A6760" s="14"/>
      <c r="B6760" s="1"/>
      <c r="C6760" s="1"/>
    </row>
    <row r="6761">
      <c r="A6761" s="14"/>
      <c r="B6761" s="1"/>
      <c r="C6761" s="1"/>
    </row>
    <row r="6762">
      <c r="A6762" s="14"/>
      <c r="B6762" s="1"/>
      <c r="C6762" s="1"/>
    </row>
    <row r="6763">
      <c r="A6763" s="14"/>
      <c r="B6763" s="1"/>
      <c r="C6763" s="1"/>
    </row>
    <row r="6764">
      <c r="A6764" s="14"/>
      <c r="B6764" s="1"/>
      <c r="C6764" s="1"/>
    </row>
    <row r="6765">
      <c r="A6765" s="14"/>
      <c r="B6765" s="1"/>
      <c r="C6765" s="1"/>
    </row>
    <row r="6766">
      <c r="A6766" s="14"/>
      <c r="B6766" s="1"/>
      <c r="C6766" s="1"/>
    </row>
    <row r="6767">
      <c r="A6767" s="14"/>
      <c r="B6767" s="1"/>
      <c r="C6767" s="1"/>
    </row>
    <row r="6768">
      <c r="A6768" s="14"/>
      <c r="B6768" s="1"/>
      <c r="C6768" s="1"/>
    </row>
    <row r="6769">
      <c r="A6769" s="14"/>
      <c r="B6769" s="1"/>
      <c r="C6769" s="1"/>
    </row>
    <row r="6770">
      <c r="A6770" s="14"/>
      <c r="B6770" s="1"/>
      <c r="C6770" s="1"/>
    </row>
    <row r="6771">
      <c r="A6771" s="14"/>
      <c r="B6771" s="1"/>
      <c r="C6771" s="1"/>
    </row>
    <row r="6772">
      <c r="A6772" s="14"/>
      <c r="B6772" s="1"/>
      <c r="C6772" s="1"/>
    </row>
    <row r="6773">
      <c r="A6773" s="14"/>
      <c r="B6773" s="1"/>
      <c r="C6773" s="1"/>
    </row>
    <row r="6774">
      <c r="A6774" s="14"/>
      <c r="B6774" s="1"/>
      <c r="C6774" s="1"/>
    </row>
    <row r="6775">
      <c r="A6775" s="14"/>
      <c r="B6775" s="1"/>
      <c r="C6775" s="1"/>
    </row>
    <row r="6776">
      <c r="A6776" s="14"/>
      <c r="B6776" s="1"/>
      <c r="C6776" s="1"/>
    </row>
    <row r="6777">
      <c r="A6777" s="14"/>
      <c r="B6777" s="1"/>
      <c r="C6777" s="1"/>
    </row>
    <row r="6778">
      <c r="A6778" s="14"/>
      <c r="B6778" s="1"/>
      <c r="C6778" s="1"/>
    </row>
    <row r="6779">
      <c r="A6779" s="14"/>
      <c r="B6779" s="1"/>
      <c r="C6779" s="1"/>
    </row>
    <row r="6780">
      <c r="A6780" s="14"/>
      <c r="B6780" s="1"/>
      <c r="C6780" s="1"/>
    </row>
    <row r="6781">
      <c r="A6781" s="14"/>
      <c r="B6781" s="1"/>
      <c r="C6781" s="1"/>
    </row>
    <row r="6782">
      <c r="A6782" s="14"/>
      <c r="B6782" s="1"/>
      <c r="C6782" s="1"/>
    </row>
    <row r="6783">
      <c r="A6783" s="14"/>
      <c r="B6783" s="1"/>
      <c r="C6783" s="1"/>
    </row>
    <row r="6784">
      <c r="A6784" s="14"/>
      <c r="B6784" s="1"/>
      <c r="C6784" s="1"/>
    </row>
    <row r="6785">
      <c r="A6785" s="14"/>
      <c r="B6785" s="1"/>
      <c r="C6785" s="1"/>
    </row>
    <row r="6786">
      <c r="A6786" s="14"/>
      <c r="B6786" s="1"/>
      <c r="C6786" s="1"/>
    </row>
    <row r="6787">
      <c r="A6787" s="14"/>
      <c r="B6787" s="1"/>
      <c r="C6787" s="1"/>
    </row>
    <row r="6788">
      <c r="A6788" s="14"/>
      <c r="B6788" s="1"/>
      <c r="C6788" s="1"/>
    </row>
    <row r="6789">
      <c r="A6789" s="14"/>
      <c r="B6789" s="1"/>
      <c r="C6789" s="1"/>
    </row>
    <row r="6790">
      <c r="A6790" s="14"/>
      <c r="B6790" s="1"/>
      <c r="C6790" s="1"/>
    </row>
    <row r="6791">
      <c r="A6791" s="14"/>
      <c r="B6791" s="1"/>
      <c r="C6791" s="1"/>
    </row>
    <row r="6792">
      <c r="A6792" s="14"/>
      <c r="B6792" s="1"/>
      <c r="C6792" s="1"/>
    </row>
    <row r="6793">
      <c r="A6793" s="14"/>
      <c r="B6793" s="1"/>
      <c r="C6793" s="1"/>
    </row>
    <row r="6794">
      <c r="A6794" s="14"/>
      <c r="B6794" s="1"/>
      <c r="C6794" s="1"/>
    </row>
    <row r="6795">
      <c r="A6795" s="14"/>
      <c r="B6795" s="1"/>
      <c r="C6795" s="1"/>
    </row>
    <row r="6796">
      <c r="A6796" s="14"/>
      <c r="B6796" s="1"/>
      <c r="C6796" s="1"/>
    </row>
    <row r="6797">
      <c r="A6797" s="14"/>
      <c r="B6797" s="1"/>
      <c r="C6797" s="1"/>
    </row>
    <row r="6798">
      <c r="A6798" s="14"/>
      <c r="B6798" s="1"/>
      <c r="C6798" s="1"/>
    </row>
    <row r="6799">
      <c r="A6799" s="14"/>
      <c r="B6799" s="1"/>
      <c r="C6799" s="1"/>
    </row>
    <row r="6800">
      <c r="A6800" s="14"/>
      <c r="B6800" s="1"/>
      <c r="C6800" s="1"/>
    </row>
    <row r="6801">
      <c r="A6801" s="14"/>
      <c r="B6801" s="1"/>
      <c r="C6801" s="1"/>
    </row>
    <row r="6802">
      <c r="A6802" s="14"/>
      <c r="B6802" s="1"/>
      <c r="C6802" s="1"/>
    </row>
    <row r="6803">
      <c r="A6803" s="14"/>
      <c r="B6803" s="1"/>
      <c r="C6803" s="1"/>
    </row>
    <row r="6804">
      <c r="A6804" s="14"/>
      <c r="B6804" s="1"/>
      <c r="C6804" s="1"/>
    </row>
    <row r="6805">
      <c r="A6805" s="14"/>
      <c r="B6805" s="1"/>
      <c r="C6805" s="1"/>
    </row>
    <row r="6806">
      <c r="A6806" s="14"/>
      <c r="B6806" s="1"/>
      <c r="C6806" s="1"/>
    </row>
    <row r="6807">
      <c r="A6807" s="14"/>
      <c r="B6807" s="1"/>
      <c r="C6807" s="1"/>
    </row>
    <row r="6808">
      <c r="A6808" s="14"/>
      <c r="B6808" s="1"/>
      <c r="C6808" s="1"/>
    </row>
    <row r="6809">
      <c r="A6809" s="14"/>
      <c r="B6809" s="1"/>
      <c r="C6809" s="1"/>
    </row>
    <row r="6810">
      <c r="A6810" s="14"/>
      <c r="B6810" s="1"/>
      <c r="C6810" s="1"/>
    </row>
    <row r="6811">
      <c r="A6811" s="14"/>
      <c r="B6811" s="1"/>
      <c r="C6811" s="1"/>
    </row>
    <row r="6812">
      <c r="A6812" s="14"/>
      <c r="B6812" s="1"/>
      <c r="C6812" s="1"/>
    </row>
    <row r="6813">
      <c r="A6813" s="14"/>
      <c r="B6813" s="1"/>
      <c r="C6813" s="1"/>
    </row>
    <row r="6814">
      <c r="A6814" s="14"/>
      <c r="B6814" s="1"/>
      <c r="C6814" s="1"/>
    </row>
    <row r="6815">
      <c r="A6815" s="14"/>
      <c r="B6815" s="1"/>
      <c r="C6815" s="1"/>
    </row>
    <row r="6816">
      <c r="A6816" s="14"/>
      <c r="B6816" s="1"/>
      <c r="C6816" s="1"/>
    </row>
    <row r="6817">
      <c r="A6817" s="14"/>
      <c r="B6817" s="1"/>
      <c r="C6817" s="1"/>
    </row>
    <row r="6818">
      <c r="A6818" s="14"/>
      <c r="B6818" s="1"/>
      <c r="C6818" s="1"/>
    </row>
    <row r="6819">
      <c r="A6819" s="14"/>
      <c r="B6819" s="1"/>
      <c r="C6819" s="1"/>
    </row>
    <row r="6820">
      <c r="A6820" s="14"/>
      <c r="B6820" s="1"/>
      <c r="C6820" s="1"/>
    </row>
    <row r="6821">
      <c r="A6821" s="14"/>
      <c r="B6821" s="1"/>
      <c r="C6821" s="1"/>
    </row>
    <row r="6822">
      <c r="A6822" s="14"/>
      <c r="B6822" s="1"/>
      <c r="C6822" s="1"/>
    </row>
    <row r="6823">
      <c r="A6823" s="14"/>
      <c r="B6823" s="1"/>
      <c r="C6823" s="1"/>
    </row>
    <row r="6824">
      <c r="A6824" s="14"/>
      <c r="B6824" s="1"/>
      <c r="C6824" s="1"/>
    </row>
    <row r="6825">
      <c r="A6825" s="14"/>
      <c r="B6825" s="1"/>
      <c r="C6825" s="1"/>
    </row>
    <row r="6826">
      <c r="A6826" s="14"/>
      <c r="B6826" s="1"/>
      <c r="C6826" s="1"/>
    </row>
    <row r="6827">
      <c r="A6827" s="14"/>
      <c r="B6827" s="1"/>
      <c r="C6827" s="1"/>
    </row>
    <row r="6828">
      <c r="A6828" s="14"/>
      <c r="B6828" s="1"/>
      <c r="C6828" s="1"/>
    </row>
    <row r="6829">
      <c r="A6829" s="14"/>
      <c r="B6829" s="1"/>
      <c r="C6829" s="1"/>
    </row>
    <row r="6830">
      <c r="A6830" s="14"/>
      <c r="B6830" s="1"/>
      <c r="C6830" s="1"/>
    </row>
    <row r="6831">
      <c r="A6831" s="14"/>
      <c r="B6831" s="1"/>
      <c r="C6831" s="1"/>
    </row>
    <row r="6832">
      <c r="A6832" s="14"/>
      <c r="B6832" s="1"/>
      <c r="C6832" s="1"/>
    </row>
    <row r="6833">
      <c r="A6833" s="14"/>
      <c r="B6833" s="1"/>
      <c r="C6833" s="1"/>
    </row>
    <row r="6834">
      <c r="A6834" s="14"/>
      <c r="B6834" s="1"/>
      <c r="C6834" s="1"/>
    </row>
    <row r="6835">
      <c r="A6835" s="14"/>
      <c r="B6835" s="1"/>
      <c r="C6835" s="1"/>
    </row>
    <row r="6836">
      <c r="A6836" s="14"/>
      <c r="B6836" s="1"/>
      <c r="C6836" s="1"/>
    </row>
    <row r="6837">
      <c r="A6837" s="14"/>
      <c r="B6837" s="1"/>
      <c r="C6837" s="1"/>
    </row>
    <row r="6838">
      <c r="A6838" s="14"/>
      <c r="B6838" s="1"/>
      <c r="C6838" s="1"/>
    </row>
    <row r="6839">
      <c r="A6839" s="14"/>
      <c r="B6839" s="1"/>
      <c r="C6839" s="1"/>
    </row>
    <row r="6840">
      <c r="A6840" s="14"/>
      <c r="B6840" s="1"/>
      <c r="C6840" s="1"/>
    </row>
    <row r="6841">
      <c r="A6841" s="14"/>
      <c r="B6841" s="1"/>
      <c r="C6841" s="1"/>
    </row>
    <row r="6842">
      <c r="A6842" s="14"/>
      <c r="B6842" s="1"/>
      <c r="C6842" s="1"/>
    </row>
    <row r="6843">
      <c r="A6843" s="14"/>
      <c r="B6843" s="1"/>
      <c r="C6843" s="1"/>
    </row>
    <row r="6844">
      <c r="A6844" s="14"/>
      <c r="B6844" s="1"/>
      <c r="C6844" s="1"/>
    </row>
    <row r="6845">
      <c r="A6845" s="14"/>
      <c r="B6845" s="1"/>
      <c r="C6845" s="1"/>
    </row>
    <row r="6846">
      <c r="A6846" s="14"/>
      <c r="B6846" s="1"/>
      <c r="C6846" s="1"/>
    </row>
    <row r="6847">
      <c r="A6847" s="14"/>
      <c r="B6847" s="1"/>
      <c r="C6847" s="1"/>
    </row>
    <row r="6848">
      <c r="A6848" s="14"/>
      <c r="B6848" s="1"/>
      <c r="C6848" s="1"/>
    </row>
    <row r="6849">
      <c r="A6849" s="14"/>
      <c r="B6849" s="1"/>
      <c r="C6849" s="1"/>
    </row>
    <row r="6850">
      <c r="A6850" s="14"/>
      <c r="B6850" s="1"/>
      <c r="C6850" s="1"/>
    </row>
    <row r="6851">
      <c r="A6851" s="14"/>
      <c r="B6851" s="1"/>
      <c r="C6851" s="1"/>
    </row>
    <row r="6852">
      <c r="A6852" s="14"/>
      <c r="B6852" s="1"/>
      <c r="C6852" s="1"/>
    </row>
    <row r="6853">
      <c r="A6853" s="14"/>
      <c r="B6853" s="1"/>
      <c r="C6853" s="1"/>
    </row>
    <row r="6854">
      <c r="A6854" s="14"/>
      <c r="B6854" s="1"/>
      <c r="C6854" s="1"/>
    </row>
    <row r="6855">
      <c r="A6855" s="14"/>
      <c r="B6855" s="1"/>
      <c r="C6855" s="1"/>
    </row>
    <row r="6856">
      <c r="A6856" s="14"/>
      <c r="B6856" s="1"/>
      <c r="C6856" s="1"/>
    </row>
    <row r="6857">
      <c r="A6857" s="14"/>
      <c r="B6857" s="1"/>
      <c r="C6857" s="1"/>
    </row>
    <row r="6858">
      <c r="A6858" s="14"/>
      <c r="B6858" s="1"/>
      <c r="C6858" s="1"/>
    </row>
    <row r="6859">
      <c r="A6859" s="14"/>
      <c r="B6859" s="1"/>
      <c r="C6859" s="1"/>
    </row>
    <row r="6860">
      <c r="A6860" s="14"/>
      <c r="B6860" s="1"/>
      <c r="C6860" s="1"/>
    </row>
    <row r="6861">
      <c r="A6861" s="14"/>
      <c r="B6861" s="1"/>
      <c r="C6861" s="1"/>
    </row>
    <row r="6862">
      <c r="A6862" s="14"/>
      <c r="B6862" s="1"/>
      <c r="C6862" s="1"/>
    </row>
    <row r="6863">
      <c r="A6863" s="14"/>
      <c r="B6863" s="1"/>
      <c r="C6863" s="1"/>
    </row>
    <row r="6864">
      <c r="A6864" s="14"/>
      <c r="B6864" s="1"/>
      <c r="C6864" s="1"/>
    </row>
    <row r="6865">
      <c r="A6865" s="14"/>
      <c r="B6865" s="1"/>
      <c r="C6865" s="1"/>
    </row>
    <row r="6866">
      <c r="A6866" s="14"/>
      <c r="B6866" s="1"/>
      <c r="C6866" s="1"/>
    </row>
    <row r="6867">
      <c r="A6867" s="14"/>
      <c r="B6867" s="1"/>
      <c r="C6867" s="1"/>
    </row>
    <row r="6868">
      <c r="A6868" s="14"/>
      <c r="B6868" s="1"/>
      <c r="C6868" s="1"/>
    </row>
    <row r="6869">
      <c r="A6869" s="14"/>
      <c r="B6869" s="1"/>
      <c r="C6869" s="1"/>
    </row>
    <row r="6870">
      <c r="A6870" s="14"/>
      <c r="B6870" s="1"/>
      <c r="C6870" s="1"/>
    </row>
    <row r="6871">
      <c r="A6871" s="14"/>
      <c r="B6871" s="1"/>
      <c r="C6871" s="1"/>
    </row>
    <row r="6872">
      <c r="A6872" s="14"/>
      <c r="B6872" s="1"/>
      <c r="C6872" s="1"/>
    </row>
    <row r="6873">
      <c r="A6873" s="14"/>
      <c r="B6873" s="1"/>
      <c r="C6873" s="1"/>
    </row>
    <row r="6874">
      <c r="A6874" s="14"/>
      <c r="B6874" s="1"/>
      <c r="C6874" s="1"/>
    </row>
    <row r="6875">
      <c r="A6875" s="14"/>
      <c r="B6875" s="1"/>
      <c r="C6875" s="1"/>
    </row>
    <row r="6876">
      <c r="A6876" s="14"/>
      <c r="B6876" s="1"/>
      <c r="C6876" s="1"/>
    </row>
    <row r="6877">
      <c r="A6877" s="14"/>
      <c r="B6877" s="1"/>
      <c r="C6877" s="1"/>
    </row>
    <row r="6878">
      <c r="A6878" s="14"/>
      <c r="B6878" s="1"/>
      <c r="C6878" s="1"/>
    </row>
    <row r="6879">
      <c r="A6879" s="14"/>
      <c r="B6879" s="1"/>
      <c r="C6879" s="1"/>
    </row>
    <row r="6880">
      <c r="A6880" s="14"/>
      <c r="B6880" s="1"/>
      <c r="C6880" s="1"/>
    </row>
    <row r="6881">
      <c r="A6881" s="14"/>
      <c r="B6881" s="1"/>
      <c r="C6881" s="1"/>
    </row>
    <row r="6882">
      <c r="A6882" s="14"/>
      <c r="B6882" s="1"/>
      <c r="C6882" s="1"/>
    </row>
    <row r="6883">
      <c r="A6883" s="14"/>
      <c r="B6883" s="1"/>
      <c r="C6883" s="1"/>
    </row>
    <row r="6884">
      <c r="A6884" s="14"/>
      <c r="B6884" s="1"/>
      <c r="C6884" s="1"/>
    </row>
    <row r="6885">
      <c r="A6885" s="14"/>
      <c r="B6885" s="1"/>
      <c r="C6885" s="1"/>
    </row>
    <row r="6886">
      <c r="A6886" s="14"/>
      <c r="B6886" s="1"/>
      <c r="C6886" s="1"/>
    </row>
    <row r="6887">
      <c r="A6887" s="14"/>
      <c r="B6887" s="1"/>
      <c r="C6887" s="1"/>
    </row>
    <row r="6888">
      <c r="A6888" s="14"/>
      <c r="B6888" s="1"/>
      <c r="C6888" s="1"/>
    </row>
    <row r="6889">
      <c r="A6889" s="14"/>
      <c r="B6889" s="1"/>
      <c r="C6889" s="1"/>
    </row>
    <row r="6890">
      <c r="A6890" s="14"/>
      <c r="B6890" s="1"/>
      <c r="C6890" s="1"/>
    </row>
    <row r="6891">
      <c r="A6891" s="14"/>
      <c r="B6891" s="1"/>
      <c r="C6891" s="1"/>
    </row>
    <row r="6892">
      <c r="A6892" s="14"/>
      <c r="B6892" s="1"/>
      <c r="C6892" s="1"/>
    </row>
    <row r="6893">
      <c r="A6893" s="14"/>
      <c r="B6893" s="1"/>
      <c r="C6893" s="1"/>
    </row>
    <row r="6894">
      <c r="A6894" s="14"/>
      <c r="B6894" s="1"/>
      <c r="C6894" s="1"/>
    </row>
    <row r="6895">
      <c r="A6895" s="14"/>
      <c r="B6895" s="1"/>
      <c r="C6895" s="1"/>
    </row>
    <row r="6896">
      <c r="A6896" s="14"/>
      <c r="B6896" s="1"/>
      <c r="C6896" s="1"/>
    </row>
    <row r="6897">
      <c r="A6897" s="14"/>
      <c r="B6897" s="1"/>
      <c r="C6897" s="1"/>
    </row>
    <row r="6898">
      <c r="A6898" s="14"/>
      <c r="B6898" s="1"/>
      <c r="C6898" s="1"/>
    </row>
    <row r="6899">
      <c r="A6899" s="14"/>
      <c r="B6899" s="1"/>
      <c r="C6899" s="1"/>
    </row>
    <row r="6900">
      <c r="A6900" s="14"/>
      <c r="B6900" s="1"/>
      <c r="C6900" s="1"/>
    </row>
    <row r="6901">
      <c r="A6901" s="14"/>
      <c r="B6901" s="1"/>
      <c r="C6901" s="1"/>
    </row>
    <row r="6902">
      <c r="A6902" s="14"/>
      <c r="B6902" s="1"/>
      <c r="C6902" s="1"/>
    </row>
    <row r="6903">
      <c r="A6903" s="14"/>
      <c r="B6903" s="1"/>
      <c r="C6903" s="1"/>
    </row>
    <row r="6904">
      <c r="A6904" s="14"/>
      <c r="B6904" s="1"/>
      <c r="C6904" s="1"/>
    </row>
    <row r="6905">
      <c r="A6905" s="14"/>
      <c r="B6905" s="1"/>
      <c r="C6905" s="1"/>
    </row>
    <row r="6906">
      <c r="A6906" s="14"/>
      <c r="B6906" s="1"/>
      <c r="C6906" s="1"/>
    </row>
    <row r="6907">
      <c r="A6907" s="14"/>
      <c r="B6907" s="1"/>
      <c r="C6907" s="1"/>
    </row>
    <row r="6908">
      <c r="A6908" s="14"/>
      <c r="B6908" s="1"/>
      <c r="C6908" s="1"/>
    </row>
    <row r="6909">
      <c r="A6909" s="14"/>
      <c r="B6909" s="1"/>
      <c r="C6909" s="1"/>
    </row>
    <row r="6910">
      <c r="A6910" s="14"/>
      <c r="B6910" s="1"/>
      <c r="C6910" s="1"/>
    </row>
    <row r="6911">
      <c r="A6911" s="14"/>
      <c r="B6911" s="1"/>
      <c r="C6911" s="1"/>
    </row>
    <row r="6912">
      <c r="A6912" s="14"/>
      <c r="B6912" s="1"/>
      <c r="C6912" s="1"/>
    </row>
    <row r="6913">
      <c r="A6913" s="14"/>
      <c r="B6913" s="1"/>
      <c r="C6913" s="1"/>
    </row>
    <row r="6914">
      <c r="A6914" s="14"/>
      <c r="B6914" s="1"/>
      <c r="C6914" s="1"/>
    </row>
    <row r="6915">
      <c r="A6915" s="14"/>
      <c r="B6915" s="1"/>
      <c r="C6915" s="1"/>
    </row>
    <row r="6916">
      <c r="A6916" s="14"/>
      <c r="B6916" s="1"/>
      <c r="C6916" s="1"/>
    </row>
    <row r="6917">
      <c r="A6917" s="14"/>
      <c r="B6917" s="1"/>
      <c r="C6917" s="1"/>
    </row>
    <row r="6918">
      <c r="A6918" s="14"/>
      <c r="B6918" s="1"/>
      <c r="C6918" s="1"/>
    </row>
    <row r="6919">
      <c r="A6919" s="14"/>
      <c r="B6919" s="1"/>
      <c r="C6919" s="1"/>
    </row>
    <row r="6920">
      <c r="A6920" s="14"/>
      <c r="B6920" s="1"/>
      <c r="C6920" s="1"/>
    </row>
    <row r="6921">
      <c r="A6921" s="14"/>
      <c r="B6921" s="1"/>
      <c r="C6921" s="1"/>
    </row>
    <row r="6922">
      <c r="A6922" s="14"/>
      <c r="B6922" s="1"/>
      <c r="C6922" s="1"/>
    </row>
    <row r="6923">
      <c r="A6923" s="14"/>
      <c r="B6923" s="1"/>
      <c r="C6923" s="1"/>
    </row>
    <row r="6924">
      <c r="A6924" s="14"/>
      <c r="B6924" s="1"/>
      <c r="C6924" s="1"/>
    </row>
    <row r="6925">
      <c r="A6925" s="14"/>
      <c r="B6925" s="1"/>
      <c r="C6925" s="1"/>
    </row>
    <row r="6926">
      <c r="A6926" s="14"/>
      <c r="B6926" s="1"/>
      <c r="C6926" s="1"/>
    </row>
    <row r="6927">
      <c r="A6927" s="14"/>
      <c r="B6927" s="1"/>
      <c r="C6927" s="1"/>
    </row>
    <row r="6928">
      <c r="A6928" s="14"/>
      <c r="B6928" s="1"/>
      <c r="C6928" s="1"/>
    </row>
    <row r="6929">
      <c r="A6929" s="14"/>
      <c r="B6929" s="1"/>
      <c r="C6929" s="1"/>
    </row>
    <row r="6930">
      <c r="A6930" s="14"/>
      <c r="B6930" s="1"/>
      <c r="C6930" s="1"/>
    </row>
    <row r="6931">
      <c r="A6931" s="14"/>
      <c r="B6931" s="1"/>
      <c r="C6931" s="1"/>
    </row>
    <row r="6932">
      <c r="A6932" s="14"/>
      <c r="B6932" s="1"/>
      <c r="C6932" s="1"/>
    </row>
    <row r="6933">
      <c r="A6933" s="14"/>
      <c r="B6933" s="1"/>
      <c r="C6933" s="1"/>
    </row>
    <row r="6934">
      <c r="A6934" s="14"/>
      <c r="B6934" s="1"/>
      <c r="C6934" s="1"/>
    </row>
    <row r="6935">
      <c r="A6935" s="14"/>
      <c r="B6935" s="1"/>
      <c r="C6935" s="1"/>
    </row>
    <row r="6936">
      <c r="A6936" s="14"/>
      <c r="B6936" s="1"/>
      <c r="C6936" s="1"/>
    </row>
    <row r="6937">
      <c r="A6937" s="14"/>
      <c r="B6937" s="1"/>
      <c r="C6937" s="1"/>
    </row>
    <row r="6938">
      <c r="A6938" s="14"/>
      <c r="B6938" s="1"/>
      <c r="C6938" s="1"/>
    </row>
    <row r="6939">
      <c r="A6939" s="14"/>
      <c r="B6939" s="1"/>
      <c r="C6939" s="1"/>
    </row>
    <row r="6940">
      <c r="A6940" s="14"/>
      <c r="B6940" s="1"/>
      <c r="C6940" s="1"/>
    </row>
    <row r="6941">
      <c r="A6941" s="14"/>
      <c r="B6941" s="1"/>
      <c r="C6941" s="1"/>
    </row>
    <row r="6942">
      <c r="A6942" s="14"/>
      <c r="B6942" s="1"/>
      <c r="C6942" s="1"/>
    </row>
    <row r="6943">
      <c r="A6943" s="14"/>
      <c r="B6943" s="1"/>
      <c r="C6943" s="1"/>
    </row>
    <row r="6944">
      <c r="A6944" s="14"/>
      <c r="B6944" s="1"/>
      <c r="C6944" s="1"/>
    </row>
    <row r="6945">
      <c r="A6945" s="14"/>
      <c r="B6945" s="1"/>
      <c r="C6945" s="1"/>
    </row>
    <row r="6946">
      <c r="A6946" s="14"/>
      <c r="B6946" s="1"/>
      <c r="C6946" s="1"/>
    </row>
    <row r="6947">
      <c r="A6947" s="14"/>
      <c r="B6947" s="1"/>
      <c r="C6947" s="1"/>
    </row>
    <row r="6948">
      <c r="A6948" s="14"/>
      <c r="B6948" s="1"/>
      <c r="C6948" s="1"/>
    </row>
    <row r="6949">
      <c r="A6949" s="14"/>
      <c r="B6949" s="1"/>
      <c r="C6949" s="1"/>
    </row>
    <row r="6950">
      <c r="A6950" s="14"/>
      <c r="B6950" s="1"/>
      <c r="C6950" s="1"/>
    </row>
    <row r="6951">
      <c r="A6951" s="14"/>
      <c r="B6951" s="1"/>
      <c r="C6951" s="1"/>
    </row>
    <row r="6952">
      <c r="A6952" s="14"/>
      <c r="B6952" s="1"/>
      <c r="C6952" s="1"/>
    </row>
    <row r="6953">
      <c r="A6953" s="14"/>
      <c r="B6953" s="1"/>
      <c r="C6953" s="1"/>
    </row>
    <row r="6954">
      <c r="A6954" s="14"/>
      <c r="B6954" s="1"/>
      <c r="C6954" s="1"/>
    </row>
    <row r="6955">
      <c r="A6955" s="14"/>
      <c r="B6955" s="1"/>
      <c r="C6955" s="1"/>
    </row>
    <row r="6956">
      <c r="A6956" s="14"/>
      <c r="B6956" s="1"/>
      <c r="C6956" s="1"/>
    </row>
    <row r="6957">
      <c r="A6957" s="14"/>
      <c r="B6957" s="1"/>
      <c r="C6957" s="1"/>
    </row>
    <row r="6958">
      <c r="A6958" s="14"/>
      <c r="B6958" s="1"/>
      <c r="C6958" s="1"/>
    </row>
    <row r="6959">
      <c r="A6959" s="14"/>
      <c r="B6959" s="1"/>
      <c r="C6959" s="1"/>
    </row>
    <row r="6960">
      <c r="A6960" s="14"/>
      <c r="B6960" s="1"/>
      <c r="C6960" s="1"/>
    </row>
    <row r="6961">
      <c r="A6961" s="14"/>
      <c r="B6961" s="1"/>
      <c r="C6961" s="1"/>
    </row>
    <row r="6962">
      <c r="A6962" s="14"/>
      <c r="B6962" s="1"/>
      <c r="C6962" s="1"/>
    </row>
    <row r="6963">
      <c r="A6963" s="14"/>
      <c r="B6963" s="1"/>
      <c r="C6963" s="1"/>
    </row>
    <row r="6964">
      <c r="A6964" s="14"/>
      <c r="B6964" s="1"/>
      <c r="C6964" s="1"/>
    </row>
    <row r="6965">
      <c r="A6965" s="14"/>
      <c r="B6965" s="1"/>
      <c r="C6965" s="1"/>
    </row>
    <row r="6966">
      <c r="A6966" s="14"/>
      <c r="B6966" s="1"/>
      <c r="C6966" s="1"/>
    </row>
    <row r="6967">
      <c r="A6967" s="14"/>
      <c r="B6967" s="1"/>
      <c r="C6967" s="1"/>
    </row>
    <row r="6968">
      <c r="A6968" s="14"/>
      <c r="B6968" s="1"/>
      <c r="C6968" s="1"/>
    </row>
    <row r="6969">
      <c r="A6969" s="14"/>
      <c r="B6969" s="1"/>
      <c r="C6969" s="1"/>
    </row>
    <row r="6970">
      <c r="A6970" s="14"/>
      <c r="B6970" s="1"/>
      <c r="C6970" s="1"/>
    </row>
    <row r="6971">
      <c r="A6971" s="14"/>
      <c r="B6971" s="1"/>
      <c r="C6971" s="1"/>
    </row>
    <row r="6972">
      <c r="A6972" s="14"/>
      <c r="B6972" s="1"/>
      <c r="C6972" s="1"/>
    </row>
    <row r="6973">
      <c r="A6973" s="14"/>
      <c r="B6973" s="1"/>
      <c r="C6973" s="1"/>
    </row>
    <row r="6974">
      <c r="A6974" s="14"/>
      <c r="B6974" s="1"/>
      <c r="C6974" s="1"/>
    </row>
    <row r="6975">
      <c r="A6975" s="14"/>
      <c r="B6975" s="1"/>
      <c r="C6975" s="1"/>
    </row>
    <row r="6976">
      <c r="A6976" s="14"/>
      <c r="B6976" s="1"/>
      <c r="C6976" s="1"/>
    </row>
    <row r="6977">
      <c r="A6977" s="14"/>
      <c r="B6977" s="1"/>
      <c r="C6977" s="1"/>
    </row>
    <row r="6978">
      <c r="A6978" s="14"/>
      <c r="B6978" s="1"/>
      <c r="C6978" s="1"/>
    </row>
    <row r="6979">
      <c r="A6979" s="14"/>
      <c r="B6979" s="1"/>
      <c r="C6979" s="1"/>
    </row>
    <row r="6980">
      <c r="A6980" s="14"/>
      <c r="B6980" s="1"/>
      <c r="C6980" s="1"/>
    </row>
    <row r="6981">
      <c r="A6981" s="14"/>
      <c r="B6981" s="1"/>
      <c r="C6981" s="1"/>
    </row>
    <row r="6982">
      <c r="A6982" s="14"/>
      <c r="B6982" s="1"/>
      <c r="C6982" s="1"/>
    </row>
    <row r="6983">
      <c r="A6983" s="14"/>
      <c r="B6983" s="1"/>
      <c r="C6983" s="1"/>
    </row>
    <row r="6984">
      <c r="A6984" s="14"/>
      <c r="B6984" s="1"/>
      <c r="C6984" s="1"/>
    </row>
    <row r="6985">
      <c r="A6985" s="14"/>
      <c r="B6985" s="1"/>
      <c r="C6985" s="1"/>
    </row>
    <row r="6986">
      <c r="A6986" s="14"/>
      <c r="B6986" s="1"/>
      <c r="C6986" s="1"/>
    </row>
    <row r="6987">
      <c r="A6987" s="14"/>
      <c r="B6987" s="1"/>
      <c r="C6987" s="1"/>
    </row>
    <row r="6988">
      <c r="A6988" s="14"/>
      <c r="B6988" s="1"/>
      <c r="C6988" s="1"/>
    </row>
    <row r="6989">
      <c r="A6989" s="14"/>
      <c r="B6989" s="1"/>
      <c r="C6989" s="1"/>
    </row>
    <row r="6990">
      <c r="A6990" s="14"/>
      <c r="B6990" s="1"/>
      <c r="C6990" s="1"/>
    </row>
    <row r="6991">
      <c r="A6991" s="14"/>
      <c r="B6991" s="1"/>
      <c r="C6991" s="1"/>
    </row>
    <row r="6992">
      <c r="A6992" s="14"/>
      <c r="B6992" s="1"/>
      <c r="C6992" s="1"/>
    </row>
    <row r="6993">
      <c r="A6993" s="14"/>
      <c r="B6993" s="1"/>
      <c r="C6993" s="1"/>
    </row>
    <row r="6994">
      <c r="A6994" s="14"/>
      <c r="B6994" s="1"/>
      <c r="C6994" s="1"/>
    </row>
    <row r="6995">
      <c r="A6995" s="14"/>
      <c r="B6995" s="1"/>
      <c r="C6995" s="1"/>
    </row>
    <row r="6996">
      <c r="A6996" s="14"/>
      <c r="B6996" s="1"/>
      <c r="C6996" s="1"/>
    </row>
    <row r="6997">
      <c r="A6997" s="14"/>
      <c r="B6997" s="1"/>
      <c r="C6997" s="1"/>
    </row>
    <row r="6998">
      <c r="A6998" s="14"/>
      <c r="B6998" s="1"/>
      <c r="C6998" s="1"/>
    </row>
    <row r="6999">
      <c r="A6999" s="14"/>
      <c r="B6999" s="1"/>
      <c r="C6999" s="1"/>
    </row>
    <row r="7000">
      <c r="A7000" s="14"/>
      <c r="B7000" s="1"/>
      <c r="C7000" s="1"/>
    </row>
    <row r="7001">
      <c r="A7001" s="14"/>
      <c r="B7001" s="1"/>
      <c r="C7001" s="1"/>
    </row>
    <row r="7002">
      <c r="A7002" s="14"/>
      <c r="B7002" s="1"/>
      <c r="C7002" s="1"/>
    </row>
    <row r="7003">
      <c r="A7003" s="14"/>
      <c r="B7003" s="1"/>
      <c r="C7003" s="1"/>
    </row>
    <row r="7004">
      <c r="A7004" s="14"/>
      <c r="B7004" s="1"/>
      <c r="C7004" s="1"/>
    </row>
    <row r="7005">
      <c r="A7005" s="14"/>
      <c r="B7005" s="1"/>
      <c r="C7005" s="1"/>
    </row>
    <row r="7006">
      <c r="A7006" s="14"/>
      <c r="B7006" s="1"/>
      <c r="C7006" s="1"/>
    </row>
    <row r="7007">
      <c r="A7007" s="14"/>
      <c r="B7007" s="1"/>
      <c r="C7007" s="1"/>
    </row>
    <row r="7008">
      <c r="A7008" s="14"/>
      <c r="B7008" s="1"/>
      <c r="C7008" s="1"/>
    </row>
    <row r="7009">
      <c r="A7009" s="14"/>
      <c r="B7009" s="1"/>
      <c r="C7009" s="1"/>
    </row>
    <row r="7010">
      <c r="A7010" s="14"/>
      <c r="B7010" s="1"/>
      <c r="C7010" s="1"/>
    </row>
    <row r="7011">
      <c r="A7011" s="14"/>
      <c r="B7011" s="1"/>
      <c r="C7011" s="1"/>
    </row>
    <row r="7012">
      <c r="A7012" s="14"/>
      <c r="B7012" s="1"/>
      <c r="C7012" s="1"/>
    </row>
    <row r="7013">
      <c r="A7013" s="14"/>
      <c r="B7013" s="1"/>
      <c r="C7013" s="1"/>
    </row>
    <row r="7014">
      <c r="A7014" s="14"/>
      <c r="B7014" s="1"/>
      <c r="C7014" s="1"/>
    </row>
    <row r="7015">
      <c r="A7015" s="14"/>
      <c r="B7015" s="1"/>
      <c r="C7015" s="1"/>
    </row>
    <row r="7016">
      <c r="A7016" s="14"/>
      <c r="B7016" s="1"/>
      <c r="C7016" s="1"/>
    </row>
    <row r="7017">
      <c r="A7017" s="14"/>
      <c r="B7017" s="1"/>
      <c r="C7017" s="1"/>
    </row>
    <row r="7018">
      <c r="A7018" s="14"/>
      <c r="B7018" s="1"/>
      <c r="C7018" s="1"/>
    </row>
    <row r="7019">
      <c r="A7019" s="14"/>
      <c r="B7019" s="1"/>
      <c r="C7019" s="1"/>
    </row>
    <row r="7020">
      <c r="A7020" s="14"/>
      <c r="B7020" s="1"/>
      <c r="C7020" s="1"/>
    </row>
    <row r="7021">
      <c r="A7021" s="14"/>
      <c r="B7021" s="1"/>
      <c r="C7021" s="1"/>
    </row>
    <row r="7022">
      <c r="A7022" s="14"/>
      <c r="B7022" s="1"/>
      <c r="C7022" s="1"/>
    </row>
    <row r="7023">
      <c r="A7023" s="14"/>
      <c r="B7023" s="1"/>
      <c r="C7023" s="1"/>
    </row>
    <row r="7024">
      <c r="A7024" s="14"/>
      <c r="B7024" s="1"/>
      <c r="C7024" s="1"/>
    </row>
    <row r="7025">
      <c r="A7025" s="14"/>
      <c r="B7025" s="1"/>
      <c r="C7025" s="1"/>
    </row>
    <row r="7026">
      <c r="A7026" s="14"/>
      <c r="B7026" s="1"/>
      <c r="C7026" s="1"/>
    </row>
    <row r="7027">
      <c r="A7027" s="14"/>
      <c r="B7027" s="1"/>
      <c r="C7027" s="1"/>
    </row>
    <row r="7028">
      <c r="A7028" s="14"/>
      <c r="B7028" s="1"/>
      <c r="C7028" s="1"/>
    </row>
    <row r="7029">
      <c r="A7029" s="14"/>
      <c r="B7029" s="1"/>
      <c r="C7029" s="1"/>
    </row>
    <row r="7030">
      <c r="A7030" s="14"/>
      <c r="B7030" s="1"/>
      <c r="C7030" s="1"/>
    </row>
    <row r="7031">
      <c r="A7031" s="14"/>
      <c r="B7031" s="1"/>
      <c r="C7031" s="1"/>
    </row>
    <row r="7032">
      <c r="A7032" s="14"/>
      <c r="B7032" s="1"/>
      <c r="C7032" s="1"/>
    </row>
    <row r="7033">
      <c r="A7033" s="14"/>
      <c r="B7033" s="1"/>
      <c r="C7033" s="1"/>
    </row>
    <row r="7034">
      <c r="A7034" s="14"/>
      <c r="B7034" s="1"/>
      <c r="C7034" s="1"/>
    </row>
    <row r="7035">
      <c r="A7035" s="14"/>
      <c r="B7035" s="1"/>
      <c r="C7035" s="1"/>
    </row>
    <row r="7036">
      <c r="A7036" s="14"/>
      <c r="B7036" s="1"/>
      <c r="C7036" s="1"/>
    </row>
    <row r="7037">
      <c r="A7037" s="14"/>
      <c r="B7037" s="1"/>
      <c r="C7037" s="1"/>
    </row>
    <row r="7038">
      <c r="A7038" s="14"/>
      <c r="B7038" s="1"/>
      <c r="C7038" s="1"/>
    </row>
    <row r="7039">
      <c r="A7039" s="14"/>
      <c r="B7039" s="1"/>
      <c r="C7039" s="1"/>
    </row>
    <row r="7040">
      <c r="A7040" s="14"/>
      <c r="B7040" s="1"/>
      <c r="C7040" s="1"/>
    </row>
    <row r="7041">
      <c r="A7041" s="14"/>
      <c r="B7041" s="1"/>
      <c r="C7041" s="1"/>
    </row>
    <row r="7042">
      <c r="A7042" s="14"/>
      <c r="B7042" s="1"/>
      <c r="C7042" s="1"/>
    </row>
    <row r="7043">
      <c r="A7043" s="14"/>
      <c r="B7043" s="1"/>
      <c r="C7043" s="1"/>
    </row>
    <row r="7044">
      <c r="A7044" s="14"/>
      <c r="B7044" s="1"/>
      <c r="C7044" s="1"/>
    </row>
    <row r="7045">
      <c r="A7045" s="14"/>
      <c r="B7045" s="1"/>
      <c r="C7045" s="1"/>
    </row>
    <row r="7046">
      <c r="A7046" s="14"/>
      <c r="B7046" s="1"/>
      <c r="C7046" s="1"/>
    </row>
    <row r="7047">
      <c r="A7047" s="14"/>
      <c r="B7047" s="1"/>
      <c r="C7047" s="1"/>
    </row>
    <row r="7048">
      <c r="A7048" s="14"/>
      <c r="B7048" s="1"/>
      <c r="C7048" s="1"/>
    </row>
    <row r="7049">
      <c r="A7049" s="14"/>
      <c r="B7049" s="1"/>
      <c r="C7049" s="1"/>
    </row>
    <row r="7050">
      <c r="A7050" s="14"/>
      <c r="B7050" s="1"/>
      <c r="C7050" s="1"/>
    </row>
    <row r="7051">
      <c r="A7051" s="14"/>
      <c r="B7051" s="1"/>
      <c r="C7051" s="1"/>
    </row>
    <row r="7052">
      <c r="A7052" s="14"/>
      <c r="B7052" s="1"/>
      <c r="C7052" s="1"/>
    </row>
    <row r="7053">
      <c r="A7053" s="14"/>
      <c r="B7053" s="1"/>
      <c r="C7053" s="1"/>
    </row>
    <row r="7054">
      <c r="A7054" s="14"/>
      <c r="B7054" s="1"/>
      <c r="C7054" s="1"/>
    </row>
    <row r="7055">
      <c r="A7055" s="14"/>
      <c r="B7055" s="1"/>
      <c r="C7055" s="1"/>
    </row>
    <row r="7056">
      <c r="A7056" s="14"/>
      <c r="B7056" s="1"/>
      <c r="C7056" s="1"/>
    </row>
    <row r="7057">
      <c r="A7057" s="14"/>
      <c r="B7057" s="1"/>
      <c r="C7057" s="1"/>
    </row>
    <row r="7058">
      <c r="A7058" s="14"/>
      <c r="B7058" s="1"/>
      <c r="C7058" s="1"/>
    </row>
    <row r="7059">
      <c r="A7059" s="14"/>
      <c r="B7059" s="1"/>
      <c r="C7059" s="1"/>
    </row>
    <row r="7060">
      <c r="A7060" s="14"/>
      <c r="B7060" s="1"/>
      <c r="C7060" s="1"/>
    </row>
    <row r="7061">
      <c r="A7061" s="14"/>
      <c r="B7061" s="1"/>
      <c r="C7061" s="1"/>
    </row>
    <row r="7062">
      <c r="A7062" s="14"/>
      <c r="B7062" s="1"/>
      <c r="C7062" s="1"/>
    </row>
    <row r="7063">
      <c r="A7063" s="14"/>
      <c r="B7063" s="1"/>
      <c r="C7063" s="1"/>
    </row>
    <row r="7064">
      <c r="A7064" s="14"/>
      <c r="B7064" s="1"/>
      <c r="C7064" s="1"/>
    </row>
    <row r="7065">
      <c r="A7065" s="14"/>
      <c r="B7065" s="1"/>
      <c r="C7065" s="1"/>
    </row>
    <row r="7066">
      <c r="A7066" s="14"/>
      <c r="B7066" s="1"/>
      <c r="C7066" s="1"/>
    </row>
    <row r="7067">
      <c r="A7067" s="14"/>
      <c r="B7067" s="1"/>
      <c r="C7067" s="1"/>
    </row>
    <row r="7068">
      <c r="A7068" s="14"/>
      <c r="B7068" s="1"/>
      <c r="C7068" s="1"/>
    </row>
    <row r="7069">
      <c r="A7069" s="14"/>
      <c r="B7069" s="1"/>
      <c r="C7069" s="1"/>
    </row>
    <row r="7070">
      <c r="A7070" s="14"/>
      <c r="B7070" s="1"/>
      <c r="C7070" s="1"/>
    </row>
    <row r="7071">
      <c r="A7071" s="14"/>
      <c r="B7071" s="1"/>
      <c r="C7071" s="1"/>
    </row>
    <row r="7072">
      <c r="A7072" s="14"/>
      <c r="B7072" s="1"/>
      <c r="C7072" s="1"/>
    </row>
    <row r="7073">
      <c r="A7073" s="14"/>
      <c r="B7073" s="1"/>
      <c r="C7073" s="1"/>
    </row>
    <row r="7074">
      <c r="A7074" s="14"/>
      <c r="B7074" s="1"/>
      <c r="C7074" s="1"/>
    </row>
    <row r="7075">
      <c r="A7075" s="14"/>
      <c r="B7075" s="1"/>
      <c r="C7075" s="1"/>
    </row>
    <row r="7076">
      <c r="A7076" s="14"/>
      <c r="B7076" s="1"/>
      <c r="C7076" s="1"/>
    </row>
    <row r="7077">
      <c r="A7077" s="14"/>
      <c r="B7077" s="1"/>
      <c r="C7077" s="1"/>
    </row>
    <row r="7078">
      <c r="A7078" s="14"/>
      <c r="B7078" s="1"/>
      <c r="C7078" s="1"/>
    </row>
    <row r="7079">
      <c r="A7079" s="14"/>
      <c r="B7079" s="1"/>
      <c r="C7079" s="1"/>
    </row>
    <row r="7080">
      <c r="A7080" s="14"/>
      <c r="B7080" s="1"/>
      <c r="C7080" s="1"/>
    </row>
    <row r="7081">
      <c r="A7081" s="14"/>
      <c r="B7081" s="1"/>
      <c r="C7081" s="1"/>
    </row>
    <row r="7082">
      <c r="A7082" s="14"/>
      <c r="B7082" s="1"/>
      <c r="C7082" s="1"/>
    </row>
    <row r="7083">
      <c r="A7083" s="14"/>
      <c r="B7083" s="1"/>
      <c r="C7083" s="1"/>
    </row>
    <row r="7084">
      <c r="A7084" s="14"/>
      <c r="B7084" s="1"/>
      <c r="C7084" s="1"/>
    </row>
    <row r="7085">
      <c r="A7085" s="14"/>
      <c r="B7085" s="1"/>
      <c r="C7085" s="1"/>
    </row>
    <row r="7086">
      <c r="A7086" s="14"/>
      <c r="B7086" s="1"/>
      <c r="C7086" s="1"/>
    </row>
    <row r="7087">
      <c r="A7087" s="14"/>
      <c r="B7087" s="1"/>
      <c r="C7087" s="1"/>
    </row>
    <row r="7088">
      <c r="A7088" s="14"/>
      <c r="B7088" s="1"/>
      <c r="C7088" s="1"/>
    </row>
    <row r="7089">
      <c r="A7089" s="14"/>
      <c r="B7089" s="1"/>
      <c r="C7089" s="1"/>
    </row>
    <row r="7090">
      <c r="A7090" s="14"/>
      <c r="B7090" s="1"/>
      <c r="C7090" s="1"/>
    </row>
    <row r="7091">
      <c r="A7091" s="14"/>
      <c r="B7091" s="1"/>
      <c r="C7091" s="1"/>
    </row>
    <row r="7092">
      <c r="A7092" s="14"/>
      <c r="B7092" s="1"/>
      <c r="C7092" s="1"/>
    </row>
    <row r="7093">
      <c r="A7093" s="14"/>
      <c r="B7093" s="1"/>
      <c r="C7093" s="1"/>
    </row>
    <row r="7094">
      <c r="A7094" s="14"/>
      <c r="B7094" s="1"/>
      <c r="C7094" s="1"/>
    </row>
    <row r="7095">
      <c r="A7095" s="14"/>
      <c r="B7095" s="1"/>
      <c r="C7095" s="1"/>
    </row>
    <row r="7096">
      <c r="A7096" s="14"/>
      <c r="B7096" s="1"/>
      <c r="C7096" s="1"/>
    </row>
    <row r="7097">
      <c r="A7097" s="14"/>
      <c r="B7097" s="1"/>
      <c r="C7097" s="1"/>
    </row>
    <row r="7098">
      <c r="A7098" s="14"/>
      <c r="B7098" s="1"/>
      <c r="C7098" s="1"/>
    </row>
    <row r="7099">
      <c r="A7099" s="14"/>
      <c r="B7099" s="1"/>
      <c r="C7099" s="1"/>
    </row>
    <row r="7100">
      <c r="A7100" s="14"/>
      <c r="B7100" s="1"/>
      <c r="C7100" s="1"/>
    </row>
    <row r="7101">
      <c r="A7101" s="14"/>
      <c r="B7101" s="1"/>
      <c r="C7101" s="1"/>
    </row>
    <row r="7102">
      <c r="A7102" s="14"/>
      <c r="B7102" s="1"/>
      <c r="C7102" s="1"/>
    </row>
    <row r="7103">
      <c r="A7103" s="14"/>
      <c r="B7103" s="1"/>
      <c r="C7103" s="1"/>
    </row>
    <row r="7104">
      <c r="A7104" s="14"/>
      <c r="B7104" s="1"/>
      <c r="C7104" s="1"/>
    </row>
    <row r="7105">
      <c r="A7105" s="14"/>
      <c r="B7105" s="1"/>
      <c r="C7105" s="1"/>
    </row>
    <row r="7106">
      <c r="A7106" s="14"/>
      <c r="B7106" s="1"/>
      <c r="C7106" s="1"/>
    </row>
    <row r="7107">
      <c r="A7107" s="14"/>
      <c r="B7107" s="1"/>
      <c r="C7107" s="1"/>
    </row>
    <row r="7108">
      <c r="A7108" s="14"/>
      <c r="B7108" s="1"/>
      <c r="C7108" s="1"/>
    </row>
    <row r="7109">
      <c r="A7109" s="14"/>
      <c r="B7109" s="1"/>
      <c r="C7109" s="1"/>
    </row>
    <row r="7110">
      <c r="A7110" s="14"/>
      <c r="B7110" s="1"/>
      <c r="C7110" s="1"/>
    </row>
    <row r="7111">
      <c r="A7111" s="14"/>
      <c r="B7111" s="1"/>
      <c r="C7111" s="1"/>
    </row>
    <row r="7112">
      <c r="A7112" s="14"/>
      <c r="B7112" s="1"/>
      <c r="C7112" s="1"/>
    </row>
    <row r="7113">
      <c r="A7113" s="14"/>
      <c r="B7113" s="1"/>
      <c r="C7113" s="1"/>
    </row>
    <row r="7114">
      <c r="A7114" s="14"/>
      <c r="B7114" s="1"/>
      <c r="C7114" s="1"/>
    </row>
    <row r="7115">
      <c r="A7115" s="14"/>
      <c r="B7115" s="1"/>
      <c r="C7115" s="1"/>
    </row>
    <row r="7116">
      <c r="A7116" s="14"/>
      <c r="B7116" s="1"/>
      <c r="C7116" s="1"/>
    </row>
    <row r="7117">
      <c r="A7117" s="14"/>
      <c r="B7117" s="1"/>
      <c r="C7117" s="1"/>
    </row>
    <row r="7118">
      <c r="A7118" s="14"/>
      <c r="B7118" s="1"/>
      <c r="C7118" s="1"/>
    </row>
    <row r="7119">
      <c r="A7119" s="14"/>
      <c r="B7119" s="1"/>
      <c r="C7119" s="1"/>
    </row>
    <row r="7120">
      <c r="A7120" s="14"/>
      <c r="B7120" s="1"/>
      <c r="C7120" s="1"/>
    </row>
    <row r="7121">
      <c r="A7121" s="14"/>
      <c r="B7121" s="1"/>
      <c r="C7121" s="1"/>
    </row>
    <row r="7122">
      <c r="A7122" s="14"/>
      <c r="B7122" s="1"/>
      <c r="C7122" s="1"/>
    </row>
    <row r="7123">
      <c r="A7123" s="14"/>
      <c r="B7123" s="1"/>
      <c r="C7123" s="1"/>
    </row>
    <row r="7124">
      <c r="A7124" s="14"/>
      <c r="B7124" s="1"/>
      <c r="C7124" s="1"/>
    </row>
    <row r="7125">
      <c r="A7125" s="14"/>
      <c r="B7125" s="1"/>
      <c r="C7125" s="1"/>
    </row>
    <row r="7126">
      <c r="A7126" s="14"/>
      <c r="B7126" s="1"/>
      <c r="C7126" s="1"/>
    </row>
    <row r="7127">
      <c r="A7127" s="14"/>
      <c r="B7127" s="1"/>
      <c r="C7127" s="1"/>
    </row>
    <row r="7128">
      <c r="A7128" s="14"/>
      <c r="B7128" s="1"/>
      <c r="C7128" s="1"/>
    </row>
    <row r="7129">
      <c r="A7129" s="14"/>
      <c r="B7129" s="1"/>
      <c r="C7129" s="1"/>
    </row>
    <row r="7130">
      <c r="A7130" s="14"/>
      <c r="B7130" s="1"/>
      <c r="C7130" s="1"/>
    </row>
    <row r="7131">
      <c r="A7131" s="14"/>
      <c r="B7131" s="1"/>
      <c r="C7131" s="1"/>
    </row>
    <row r="7132">
      <c r="A7132" s="14"/>
      <c r="B7132" s="1"/>
      <c r="C7132" s="1"/>
    </row>
    <row r="7133">
      <c r="A7133" s="14"/>
      <c r="B7133" s="1"/>
      <c r="C7133" s="1"/>
    </row>
    <row r="7134">
      <c r="A7134" s="14"/>
      <c r="B7134" s="1"/>
      <c r="C7134" s="1"/>
    </row>
    <row r="7135">
      <c r="A7135" s="14"/>
      <c r="B7135" s="1"/>
      <c r="C7135" s="1"/>
    </row>
    <row r="7136">
      <c r="A7136" s="14"/>
      <c r="B7136" s="1"/>
      <c r="C7136" s="1"/>
    </row>
    <row r="7137">
      <c r="A7137" s="14"/>
      <c r="B7137" s="1"/>
      <c r="C7137" s="1"/>
    </row>
    <row r="7138">
      <c r="A7138" s="14"/>
      <c r="B7138" s="1"/>
      <c r="C7138" s="1"/>
    </row>
    <row r="7139">
      <c r="A7139" s="14"/>
      <c r="B7139" s="1"/>
      <c r="C7139" s="1"/>
    </row>
    <row r="7140">
      <c r="A7140" s="14"/>
      <c r="B7140" s="1"/>
      <c r="C7140" s="1"/>
    </row>
    <row r="7141">
      <c r="A7141" s="14"/>
      <c r="B7141" s="1"/>
      <c r="C7141" s="1"/>
    </row>
    <row r="7142">
      <c r="A7142" s="14"/>
      <c r="B7142" s="1"/>
      <c r="C7142" s="1"/>
    </row>
    <row r="7143">
      <c r="A7143" s="14"/>
      <c r="B7143" s="1"/>
      <c r="C7143" s="1"/>
    </row>
    <row r="7144">
      <c r="A7144" s="14"/>
      <c r="B7144" s="1"/>
      <c r="C7144" s="1"/>
    </row>
    <row r="7145">
      <c r="A7145" s="14"/>
      <c r="B7145" s="1"/>
      <c r="C7145" s="1"/>
    </row>
    <row r="7146">
      <c r="A7146" s="14"/>
      <c r="B7146" s="1"/>
      <c r="C7146" s="1"/>
    </row>
    <row r="7147">
      <c r="A7147" s="14"/>
      <c r="B7147" s="1"/>
      <c r="C7147" s="1"/>
    </row>
    <row r="7148">
      <c r="A7148" s="14"/>
      <c r="B7148" s="1"/>
      <c r="C7148" s="1"/>
    </row>
    <row r="7149">
      <c r="A7149" s="14"/>
      <c r="B7149" s="1"/>
      <c r="C7149" s="1"/>
    </row>
    <row r="7150">
      <c r="A7150" s="14"/>
      <c r="B7150" s="1"/>
      <c r="C7150" s="1"/>
    </row>
    <row r="7151">
      <c r="A7151" s="14"/>
      <c r="B7151" s="1"/>
      <c r="C7151" s="1"/>
    </row>
    <row r="7152">
      <c r="A7152" s="14"/>
      <c r="B7152" s="1"/>
      <c r="C7152" s="1"/>
    </row>
    <row r="7153">
      <c r="A7153" s="14"/>
      <c r="B7153" s="1"/>
      <c r="C7153" s="1"/>
    </row>
    <row r="7154">
      <c r="A7154" s="14"/>
      <c r="B7154" s="1"/>
      <c r="C7154" s="1"/>
    </row>
    <row r="7155">
      <c r="A7155" s="14"/>
      <c r="B7155" s="1"/>
      <c r="C7155" s="1"/>
    </row>
    <row r="7156">
      <c r="A7156" s="14"/>
      <c r="B7156" s="1"/>
      <c r="C7156" s="1"/>
    </row>
    <row r="7157">
      <c r="A7157" s="14"/>
      <c r="B7157" s="1"/>
      <c r="C7157" s="1"/>
    </row>
    <row r="7158">
      <c r="A7158" s="14"/>
      <c r="B7158" s="1"/>
      <c r="C7158" s="1"/>
    </row>
    <row r="7159">
      <c r="A7159" s="14"/>
      <c r="B7159" s="1"/>
      <c r="C7159" s="1"/>
    </row>
    <row r="7160">
      <c r="A7160" s="14"/>
      <c r="B7160" s="1"/>
      <c r="C7160" s="1"/>
    </row>
    <row r="7161">
      <c r="A7161" s="14"/>
      <c r="B7161" s="1"/>
      <c r="C7161" s="1"/>
    </row>
    <row r="7162">
      <c r="A7162" s="14"/>
      <c r="B7162" s="1"/>
      <c r="C7162" s="1"/>
    </row>
    <row r="7163">
      <c r="A7163" s="14"/>
      <c r="B7163" s="1"/>
      <c r="C7163" s="1"/>
    </row>
    <row r="7164">
      <c r="A7164" s="14"/>
      <c r="B7164" s="1"/>
      <c r="C7164" s="1"/>
    </row>
    <row r="7165">
      <c r="A7165" s="14"/>
      <c r="B7165" s="1"/>
      <c r="C7165" s="1"/>
    </row>
    <row r="7166">
      <c r="A7166" s="14"/>
      <c r="B7166" s="1"/>
      <c r="C7166" s="1"/>
    </row>
    <row r="7167">
      <c r="A7167" s="14"/>
      <c r="B7167" s="1"/>
      <c r="C7167" s="1"/>
    </row>
    <row r="7168">
      <c r="A7168" s="14"/>
      <c r="B7168" s="1"/>
      <c r="C7168" s="1"/>
    </row>
    <row r="7169">
      <c r="A7169" s="14"/>
      <c r="B7169" s="1"/>
      <c r="C7169" s="1"/>
    </row>
    <row r="7170">
      <c r="A7170" s="14"/>
      <c r="B7170" s="1"/>
      <c r="C7170" s="1"/>
    </row>
    <row r="7171">
      <c r="A7171" s="14"/>
      <c r="B7171" s="1"/>
      <c r="C7171" s="1"/>
    </row>
    <row r="7172">
      <c r="A7172" s="14"/>
      <c r="B7172" s="1"/>
      <c r="C7172" s="1"/>
    </row>
    <row r="7173">
      <c r="A7173" s="14"/>
      <c r="B7173" s="1"/>
      <c r="C7173" s="1"/>
    </row>
    <row r="7174">
      <c r="A7174" s="14"/>
      <c r="B7174" s="1"/>
      <c r="C7174" s="1"/>
    </row>
    <row r="7175">
      <c r="A7175" s="14"/>
      <c r="B7175" s="1"/>
      <c r="C7175" s="1"/>
    </row>
    <row r="7176">
      <c r="A7176" s="14"/>
      <c r="B7176" s="1"/>
      <c r="C7176" s="1"/>
    </row>
    <row r="7177">
      <c r="A7177" s="14"/>
      <c r="B7177" s="1"/>
      <c r="C7177" s="1"/>
    </row>
    <row r="7178">
      <c r="A7178" s="14"/>
      <c r="B7178" s="1"/>
      <c r="C7178" s="1"/>
    </row>
    <row r="7179">
      <c r="A7179" s="14"/>
      <c r="B7179" s="1"/>
      <c r="C7179" s="1"/>
    </row>
    <row r="7180">
      <c r="A7180" s="14"/>
      <c r="B7180" s="1"/>
      <c r="C7180" s="1"/>
    </row>
    <row r="7181">
      <c r="A7181" s="14"/>
      <c r="B7181" s="1"/>
      <c r="C7181" s="1"/>
    </row>
    <row r="7182">
      <c r="A7182" s="14"/>
      <c r="B7182" s="1"/>
      <c r="C7182" s="1"/>
    </row>
    <row r="7183">
      <c r="A7183" s="14"/>
      <c r="B7183" s="1"/>
      <c r="C7183" s="1"/>
    </row>
    <row r="7184">
      <c r="A7184" s="14"/>
      <c r="B7184" s="1"/>
      <c r="C7184" s="1"/>
    </row>
    <row r="7185">
      <c r="A7185" s="14"/>
      <c r="B7185" s="1"/>
      <c r="C7185" s="1"/>
    </row>
    <row r="7186">
      <c r="A7186" s="14"/>
      <c r="B7186" s="1"/>
      <c r="C7186" s="1"/>
    </row>
    <row r="7187">
      <c r="A7187" s="14"/>
      <c r="B7187" s="1"/>
      <c r="C7187" s="1"/>
    </row>
    <row r="7188">
      <c r="A7188" s="14"/>
      <c r="B7188" s="1"/>
      <c r="C7188" s="1"/>
    </row>
    <row r="7189">
      <c r="A7189" s="14"/>
      <c r="B7189" s="1"/>
      <c r="C7189" s="1"/>
    </row>
    <row r="7190">
      <c r="A7190" s="14"/>
      <c r="B7190" s="1"/>
      <c r="C7190" s="1"/>
    </row>
    <row r="7191">
      <c r="A7191" s="14"/>
      <c r="B7191" s="1"/>
      <c r="C7191" s="1"/>
    </row>
    <row r="7192">
      <c r="A7192" s="14"/>
      <c r="B7192" s="1"/>
      <c r="C7192" s="1"/>
    </row>
    <row r="7193">
      <c r="A7193" s="14"/>
      <c r="B7193" s="1"/>
      <c r="C7193" s="1"/>
    </row>
    <row r="7194">
      <c r="A7194" s="14"/>
      <c r="B7194" s="1"/>
      <c r="C7194" s="1"/>
    </row>
    <row r="7195">
      <c r="A7195" s="14"/>
      <c r="B7195" s="1"/>
      <c r="C7195" s="1"/>
    </row>
    <row r="7196">
      <c r="A7196" s="14"/>
      <c r="B7196" s="1"/>
      <c r="C7196" s="1"/>
    </row>
    <row r="7197">
      <c r="A7197" s="14"/>
      <c r="B7197" s="1"/>
      <c r="C7197" s="1"/>
    </row>
    <row r="7198">
      <c r="A7198" s="14"/>
      <c r="B7198" s="1"/>
      <c r="C7198" s="1"/>
    </row>
    <row r="7199">
      <c r="A7199" s="14"/>
      <c r="B7199" s="1"/>
      <c r="C7199" s="1"/>
    </row>
    <row r="7200">
      <c r="A7200" s="14"/>
      <c r="B7200" s="1"/>
      <c r="C7200" s="1"/>
    </row>
    <row r="7201">
      <c r="A7201" s="14"/>
      <c r="B7201" s="1"/>
      <c r="C7201" s="1"/>
    </row>
    <row r="7202">
      <c r="A7202" s="14"/>
      <c r="B7202" s="1"/>
      <c r="C7202" s="1"/>
    </row>
    <row r="7203">
      <c r="A7203" s="14"/>
      <c r="B7203" s="1"/>
      <c r="C7203" s="1"/>
    </row>
    <row r="7204">
      <c r="A7204" s="14"/>
      <c r="B7204" s="1"/>
      <c r="C7204" s="1"/>
    </row>
    <row r="7205">
      <c r="A7205" s="14"/>
      <c r="B7205" s="1"/>
      <c r="C7205" s="1"/>
    </row>
    <row r="7206">
      <c r="A7206" s="14"/>
      <c r="B7206" s="1"/>
      <c r="C7206" s="1"/>
    </row>
    <row r="7207">
      <c r="A7207" s="14"/>
      <c r="B7207" s="1"/>
      <c r="C7207" s="1"/>
    </row>
    <row r="7208">
      <c r="A7208" s="14"/>
      <c r="B7208" s="1"/>
      <c r="C7208" s="1"/>
    </row>
    <row r="7209">
      <c r="A7209" s="14"/>
      <c r="B7209" s="1"/>
      <c r="C7209" s="1"/>
    </row>
    <row r="7210">
      <c r="A7210" s="14"/>
      <c r="B7210" s="1"/>
      <c r="C7210" s="1"/>
    </row>
    <row r="7211">
      <c r="A7211" s="14"/>
      <c r="B7211" s="1"/>
      <c r="C7211" s="1"/>
    </row>
    <row r="7212">
      <c r="A7212" s="14"/>
      <c r="B7212" s="1"/>
      <c r="C7212" s="1"/>
    </row>
    <row r="7213">
      <c r="A7213" s="14"/>
      <c r="B7213" s="1"/>
      <c r="C7213" s="1"/>
    </row>
    <row r="7214">
      <c r="A7214" s="14"/>
      <c r="B7214" s="1"/>
      <c r="C7214" s="1"/>
    </row>
    <row r="7215">
      <c r="A7215" s="14"/>
      <c r="B7215" s="1"/>
      <c r="C7215" s="1"/>
    </row>
    <row r="7216">
      <c r="A7216" s="14"/>
      <c r="B7216" s="1"/>
      <c r="C7216" s="1"/>
    </row>
    <row r="7217">
      <c r="A7217" s="14"/>
      <c r="B7217" s="1"/>
      <c r="C7217" s="1"/>
    </row>
    <row r="7218">
      <c r="A7218" s="14"/>
      <c r="B7218" s="1"/>
      <c r="C7218" s="1"/>
    </row>
    <row r="7219">
      <c r="A7219" s="14"/>
      <c r="B7219" s="1"/>
      <c r="C7219" s="1"/>
    </row>
    <row r="7220">
      <c r="A7220" s="14"/>
      <c r="B7220" s="1"/>
      <c r="C7220" s="1"/>
    </row>
    <row r="7221">
      <c r="A7221" s="14"/>
      <c r="B7221" s="1"/>
      <c r="C7221" s="1"/>
    </row>
    <row r="7222">
      <c r="A7222" s="14"/>
      <c r="B7222" s="1"/>
      <c r="C7222" s="1"/>
    </row>
    <row r="7223">
      <c r="A7223" s="14"/>
      <c r="B7223" s="1"/>
      <c r="C7223" s="1"/>
    </row>
    <row r="7224">
      <c r="A7224" s="14"/>
      <c r="B7224" s="1"/>
      <c r="C7224" s="1"/>
    </row>
    <row r="7225">
      <c r="A7225" s="14"/>
      <c r="B7225" s="1"/>
      <c r="C7225" s="1"/>
    </row>
    <row r="7226">
      <c r="A7226" s="14"/>
      <c r="B7226" s="1"/>
      <c r="C7226" s="1"/>
    </row>
    <row r="7227">
      <c r="A7227" s="14"/>
      <c r="B7227" s="1"/>
      <c r="C7227" s="1"/>
    </row>
    <row r="7228">
      <c r="A7228" s="14"/>
      <c r="B7228" s="1"/>
      <c r="C7228" s="1"/>
    </row>
    <row r="7229">
      <c r="A7229" s="14"/>
      <c r="B7229" s="1"/>
      <c r="C7229" s="1"/>
    </row>
    <row r="7230">
      <c r="A7230" s="14"/>
      <c r="B7230" s="1"/>
      <c r="C7230" s="1"/>
    </row>
    <row r="7231">
      <c r="A7231" s="14"/>
      <c r="B7231" s="1"/>
      <c r="C7231" s="1"/>
    </row>
    <row r="7232">
      <c r="A7232" s="14"/>
      <c r="B7232" s="1"/>
      <c r="C7232" s="1"/>
    </row>
    <row r="7233">
      <c r="A7233" s="14"/>
      <c r="B7233" s="1"/>
      <c r="C7233" s="1"/>
    </row>
    <row r="7234">
      <c r="A7234" s="14"/>
      <c r="B7234" s="1"/>
      <c r="C7234" s="1"/>
    </row>
    <row r="7235">
      <c r="A7235" s="14"/>
      <c r="B7235" s="1"/>
      <c r="C7235" s="1"/>
    </row>
    <row r="7236">
      <c r="A7236" s="14"/>
      <c r="B7236" s="1"/>
      <c r="C7236" s="1"/>
    </row>
    <row r="7237">
      <c r="A7237" s="14"/>
      <c r="B7237" s="1"/>
      <c r="C7237" s="1"/>
    </row>
    <row r="7238">
      <c r="A7238" s="14"/>
      <c r="B7238" s="1"/>
      <c r="C7238" s="1"/>
    </row>
    <row r="7239">
      <c r="A7239" s="14"/>
      <c r="B7239" s="1"/>
      <c r="C7239" s="1"/>
    </row>
    <row r="7240">
      <c r="A7240" s="14"/>
      <c r="B7240" s="1"/>
      <c r="C7240" s="1"/>
    </row>
    <row r="7241">
      <c r="A7241" s="14"/>
      <c r="B7241" s="1"/>
      <c r="C7241" s="1"/>
    </row>
    <row r="7242">
      <c r="A7242" s="14"/>
      <c r="B7242" s="1"/>
      <c r="C7242" s="1"/>
    </row>
    <row r="7243">
      <c r="A7243" s="14"/>
      <c r="B7243" s="1"/>
      <c r="C7243" s="1"/>
    </row>
    <row r="7244">
      <c r="A7244" s="14"/>
      <c r="B7244" s="1"/>
      <c r="C7244" s="1"/>
    </row>
    <row r="7245">
      <c r="A7245" s="14"/>
      <c r="B7245" s="1"/>
      <c r="C7245" s="1"/>
    </row>
    <row r="7246">
      <c r="A7246" s="14"/>
      <c r="B7246" s="1"/>
      <c r="C7246" s="1"/>
    </row>
    <row r="7247">
      <c r="A7247" s="14"/>
      <c r="B7247" s="1"/>
      <c r="C7247" s="1"/>
    </row>
    <row r="7248">
      <c r="A7248" s="14"/>
      <c r="B7248" s="1"/>
      <c r="C7248" s="1"/>
    </row>
    <row r="7249">
      <c r="A7249" s="14"/>
      <c r="B7249" s="1"/>
      <c r="C7249" s="1"/>
    </row>
    <row r="7250">
      <c r="A7250" s="14"/>
      <c r="B7250" s="1"/>
      <c r="C7250" s="1"/>
    </row>
    <row r="7251">
      <c r="A7251" s="14"/>
      <c r="B7251" s="1"/>
      <c r="C7251" s="1"/>
    </row>
    <row r="7252">
      <c r="A7252" s="14"/>
      <c r="B7252" s="1"/>
      <c r="C7252" s="1"/>
    </row>
    <row r="7253">
      <c r="A7253" s="14"/>
      <c r="B7253" s="1"/>
      <c r="C7253" s="1"/>
    </row>
    <row r="7254">
      <c r="A7254" s="14"/>
      <c r="B7254" s="1"/>
      <c r="C7254" s="1"/>
    </row>
    <row r="7255">
      <c r="A7255" s="14"/>
      <c r="B7255" s="1"/>
      <c r="C7255" s="1"/>
    </row>
    <row r="7256">
      <c r="A7256" s="14"/>
      <c r="B7256" s="1"/>
      <c r="C7256" s="1"/>
    </row>
    <row r="7257">
      <c r="A7257" s="14"/>
      <c r="B7257" s="1"/>
      <c r="C7257" s="1"/>
    </row>
    <row r="7258">
      <c r="A7258" s="14"/>
      <c r="B7258" s="1"/>
      <c r="C7258" s="1"/>
    </row>
    <row r="7259">
      <c r="A7259" s="14"/>
      <c r="B7259" s="1"/>
      <c r="C7259" s="1"/>
    </row>
    <row r="7260">
      <c r="A7260" s="14"/>
      <c r="B7260" s="1"/>
      <c r="C7260" s="1"/>
    </row>
    <row r="7261">
      <c r="A7261" s="14"/>
      <c r="B7261" s="1"/>
      <c r="C7261" s="1"/>
    </row>
    <row r="7262">
      <c r="A7262" s="14"/>
      <c r="B7262" s="1"/>
      <c r="C7262" s="1"/>
    </row>
    <row r="7263">
      <c r="A7263" s="14"/>
      <c r="B7263" s="1"/>
      <c r="C7263" s="1"/>
    </row>
    <row r="7264">
      <c r="A7264" s="14"/>
      <c r="B7264" s="1"/>
      <c r="C7264" s="1"/>
    </row>
    <row r="7265">
      <c r="A7265" s="14"/>
      <c r="B7265" s="1"/>
      <c r="C7265" s="1"/>
    </row>
    <row r="7266">
      <c r="A7266" s="14"/>
      <c r="B7266" s="1"/>
      <c r="C7266" s="1"/>
    </row>
    <row r="7267">
      <c r="A7267" s="14"/>
      <c r="B7267" s="1"/>
      <c r="C7267" s="1"/>
    </row>
    <row r="7268">
      <c r="A7268" s="14"/>
      <c r="B7268" s="1"/>
      <c r="C7268" s="1"/>
    </row>
    <row r="7269">
      <c r="A7269" s="14"/>
      <c r="B7269" s="1"/>
      <c r="C7269" s="1"/>
    </row>
    <row r="7270">
      <c r="A7270" s="14"/>
      <c r="B7270" s="1"/>
      <c r="C7270" s="1"/>
    </row>
    <row r="7271">
      <c r="A7271" s="14"/>
      <c r="B7271" s="1"/>
      <c r="C7271" s="1"/>
    </row>
    <row r="7272">
      <c r="A7272" s="14"/>
      <c r="B7272" s="1"/>
      <c r="C7272" s="1"/>
    </row>
    <row r="7273">
      <c r="A7273" s="14"/>
      <c r="B7273" s="1"/>
      <c r="C7273" s="1"/>
    </row>
    <row r="7274">
      <c r="A7274" s="14"/>
      <c r="B7274" s="1"/>
      <c r="C7274" s="1"/>
    </row>
    <row r="7275">
      <c r="A7275" s="14"/>
      <c r="B7275" s="1"/>
      <c r="C7275" s="1"/>
    </row>
    <row r="7276">
      <c r="A7276" s="14"/>
      <c r="B7276" s="1"/>
      <c r="C7276" s="1"/>
    </row>
    <row r="7277">
      <c r="A7277" s="14"/>
      <c r="B7277" s="1"/>
      <c r="C7277" s="1"/>
    </row>
    <row r="7278">
      <c r="A7278" s="14"/>
      <c r="B7278" s="1"/>
      <c r="C7278" s="1"/>
    </row>
    <row r="7279">
      <c r="A7279" s="14"/>
      <c r="B7279" s="1"/>
      <c r="C7279" s="1"/>
    </row>
    <row r="7280">
      <c r="A7280" s="14"/>
      <c r="B7280" s="1"/>
      <c r="C7280" s="1"/>
    </row>
    <row r="7281">
      <c r="A7281" s="14"/>
      <c r="B7281" s="1"/>
      <c r="C7281" s="1"/>
    </row>
    <row r="7282">
      <c r="A7282" s="14"/>
      <c r="B7282" s="1"/>
      <c r="C7282" s="1"/>
    </row>
    <row r="7283">
      <c r="A7283" s="14"/>
      <c r="B7283" s="1"/>
      <c r="C7283" s="1"/>
    </row>
    <row r="7284">
      <c r="A7284" s="14"/>
      <c r="B7284" s="1"/>
      <c r="C7284" s="1"/>
    </row>
    <row r="7285">
      <c r="A7285" s="14"/>
      <c r="B7285" s="1"/>
      <c r="C7285" s="1"/>
    </row>
    <row r="7286">
      <c r="A7286" s="14"/>
      <c r="B7286" s="1"/>
      <c r="C7286" s="1"/>
    </row>
    <row r="7287">
      <c r="A7287" s="14"/>
      <c r="B7287" s="1"/>
      <c r="C7287" s="1"/>
    </row>
    <row r="7288">
      <c r="A7288" s="14"/>
      <c r="B7288" s="1"/>
      <c r="C7288" s="1"/>
    </row>
    <row r="7289">
      <c r="A7289" s="14"/>
      <c r="B7289" s="1"/>
      <c r="C7289" s="1"/>
    </row>
    <row r="7290">
      <c r="A7290" s="14"/>
      <c r="B7290" s="1"/>
      <c r="C7290" s="1"/>
    </row>
    <row r="7291">
      <c r="A7291" s="14"/>
      <c r="B7291" s="1"/>
      <c r="C7291" s="1"/>
    </row>
    <row r="7292">
      <c r="A7292" s="14"/>
      <c r="B7292" s="1"/>
      <c r="C7292" s="1"/>
    </row>
    <row r="7293">
      <c r="A7293" s="14"/>
      <c r="B7293" s="1"/>
      <c r="C7293" s="1"/>
    </row>
    <row r="7294">
      <c r="A7294" s="14"/>
      <c r="B7294" s="1"/>
      <c r="C7294" s="1"/>
    </row>
    <row r="7295">
      <c r="A7295" s="14"/>
      <c r="B7295" s="1"/>
      <c r="C7295" s="1"/>
    </row>
    <row r="7296">
      <c r="A7296" s="14"/>
      <c r="B7296" s="1"/>
      <c r="C7296" s="1"/>
    </row>
    <row r="7297">
      <c r="A7297" s="14"/>
      <c r="B7297" s="1"/>
      <c r="C7297" s="1"/>
    </row>
    <row r="7298">
      <c r="A7298" s="14"/>
      <c r="B7298" s="1"/>
      <c r="C7298" s="1"/>
    </row>
    <row r="7299">
      <c r="A7299" s="14"/>
      <c r="B7299" s="1"/>
      <c r="C7299" s="1"/>
    </row>
    <row r="7300">
      <c r="A7300" s="14"/>
      <c r="B7300" s="1"/>
      <c r="C7300" s="1"/>
    </row>
    <row r="7301">
      <c r="A7301" s="14"/>
      <c r="B7301" s="1"/>
      <c r="C7301" s="1"/>
    </row>
    <row r="7302">
      <c r="A7302" s="14"/>
      <c r="B7302" s="1"/>
      <c r="C7302" s="1"/>
    </row>
    <row r="7303">
      <c r="A7303" s="14"/>
      <c r="B7303" s="1"/>
      <c r="C7303" s="1"/>
    </row>
    <row r="7304">
      <c r="A7304" s="14"/>
      <c r="B7304" s="1"/>
      <c r="C7304" s="1"/>
    </row>
    <row r="7305">
      <c r="A7305" s="14"/>
      <c r="B7305" s="1"/>
      <c r="C7305" s="1"/>
    </row>
    <row r="7306">
      <c r="A7306" s="14"/>
      <c r="B7306" s="1"/>
      <c r="C7306" s="1"/>
    </row>
    <row r="7307">
      <c r="A7307" s="14"/>
      <c r="B7307" s="1"/>
      <c r="C7307" s="1"/>
    </row>
    <row r="7308">
      <c r="A7308" s="14"/>
      <c r="B7308" s="1"/>
      <c r="C7308" s="1"/>
    </row>
    <row r="7309">
      <c r="A7309" s="14"/>
      <c r="B7309" s="1"/>
      <c r="C7309" s="1"/>
    </row>
    <row r="7310">
      <c r="A7310" s="14"/>
      <c r="B7310" s="1"/>
      <c r="C7310" s="1"/>
    </row>
    <row r="7311">
      <c r="A7311" s="14"/>
      <c r="B7311" s="1"/>
      <c r="C7311" s="1"/>
    </row>
    <row r="7312">
      <c r="A7312" s="14"/>
      <c r="B7312" s="1"/>
      <c r="C7312" s="1"/>
    </row>
    <row r="7313">
      <c r="A7313" s="14"/>
      <c r="B7313" s="1"/>
      <c r="C7313" s="1"/>
    </row>
    <row r="7314">
      <c r="A7314" s="14"/>
      <c r="B7314" s="1"/>
      <c r="C7314" s="1"/>
    </row>
    <row r="7315">
      <c r="A7315" s="14"/>
      <c r="B7315" s="1"/>
      <c r="C7315" s="1"/>
    </row>
    <row r="7316">
      <c r="A7316" s="14"/>
      <c r="B7316" s="1"/>
      <c r="C7316" s="1"/>
    </row>
    <row r="7317">
      <c r="A7317" s="14"/>
      <c r="B7317" s="1"/>
      <c r="C7317" s="1"/>
    </row>
    <row r="7318">
      <c r="A7318" s="14"/>
      <c r="B7318" s="1"/>
      <c r="C7318" s="1"/>
    </row>
    <row r="7319">
      <c r="A7319" s="14"/>
      <c r="B7319" s="1"/>
      <c r="C7319" s="1"/>
    </row>
    <row r="7320">
      <c r="A7320" s="14"/>
      <c r="B7320" s="1"/>
      <c r="C7320" s="1"/>
    </row>
    <row r="7321">
      <c r="A7321" s="14"/>
      <c r="B7321" s="1"/>
      <c r="C7321" s="1"/>
    </row>
    <row r="7322">
      <c r="A7322" s="14"/>
      <c r="B7322" s="1"/>
      <c r="C7322" s="1"/>
    </row>
    <row r="7323">
      <c r="A7323" s="14"/>
      <c r="B7323" s="1"/>
      <c r="C7323" s="1"/>
    </row>
    <row r="7324">
      <c r="A7324" s="14"/>
      <c r="B7324" s="1"/>
      <c r="C7324" s="1"/>
    </row>
    <row r="7325">
      <c r="A7325" s="14"/>
      <c r="B7325" s="1"/>
      <c r="C7325" s="1"/>
    </row>
    <row r="7326">
      <c r="A7326" s="14"/>
      <c r="B7326" s="1"/>
      <c r="C7326" s="1"/>
    </row>
    <row r="7327">
      <c r="A7327" s="14"/>
      <c r="B7327" s="1"/>
      <c r="C7327" s="1"/>
    </row>
    <row r="7328">
      <c r="A7328" s="14"/>
      <c r="B7328" s="1"/>
      <c r="C7328" s="1"/>
    </row>
    <row r="7329">
      <c r="A7329" s="14"/>
      <c r="B7329" s="1"/>
      <c r="C7329" s="1"/>
    </row>
    <row r="7330">
      <c r="A7330" s="14"/>
      <c r="B7330" s="1"/>
      <c r="C7330" s="1"/>
    </row>
    <row r="7331">
      <c r="A7331" s="14"/>
      <c r="B7331" s="1"/>
      <c r="C7331" s="1"/>
    </row>
    <row r="7332">
      <c r="A7332" s="14"/>
      <c r="B7332" s="1"/>
      <c r="C7332" s="1"/>
    </row>
    <row r="7333">
      <c r="A7333" s="14"/>
      <c r="B7333" s="1"/>
      <c r="C7333" s="1"/>
    </row>
    <row r="7334">
      <c r="A7334" s="14"/>
      <c r="B7334" s="1"/>
      <c r="C7334" s="1"/>
    </row>
    <row r="7335">
      <c r="A7335" s="14"/>
      <c r="B7335" s="1"/>
      <c r="C7335" s="1"/>
    </row>
    <row r="7336">
      <c r="A7336" s="14"/>
      <c r="B7336" s="1"/>
      <c r="C7336" s="1"/>
    </row>
    <row r="7337">
      <c r="A7337" s="14"/>
      <c r="B7337" s="1"/>
      <c r="C7337" s="1"/>
    </row>
    <row r="7338">
      <c r="A7338" s="14"/>
      <c r="B7338" s="1"/>
      <c r="C7338" s="1"/>
    </row>
    <row r="7339">
      <c r="A7339" s="14"/>
      <c r="B7339" s="1"/>
      <c r="C7339" s="1"/>
    </row>
    <row r="7340">
      <c r="A7340" s="14"/>
      <c r="B7340" s="1"/>
      <c r="C7340" s="1"/>
    </row>
    <row r="7341">
      <c r="A7341" s="14"/>
      <c r="B7341" s="1"/>
      <c r="C7341" s="1"/>
    </row>
    <row r="7342">
      <c r="A7342" s="14"/>
      <c r="B7342" s="1"/>
      <c r="C7342" s="1"/>
    </row>
    <row r="7343">
      <c r="A7343" s="14"/>
      <c r="B7343" s="1"/>
      <c r="C7343" s="1"/>
    </row>
    <row r="7344">
      <c r="A7344" s="14"/>
      <c r="B7344" s="1"/>
      <c r="C7344" s="1"/>
    </row>
    <row r="7345">
      <c r="A7345" s="14"/>
      <c r="B7345" s="1"/>
      <c r="C7345" s="1"/>
    </row>
    <row r="7346">
      <c r="A7346" s="14"/>
      <c r="B7346" s="1"/>
      <c r="C7346" s="1"/>
    </row>
    <row r="7347">
      <c r="A7347" s="14"/>
      <c r="B7347" s="1"/>
      <c r="C7347" s="1"/>
    </row>
    <row r="7348">
      <c r="A7348" s="14"/>
      <c r="B7348" s="1"/>
      <c r="C7348" s="1"/>
    </row>
    <row r="7349">
      <c r="A7349" s="14"/>
      <c r="B7349" s="1"/>
      <c r="C7349" s="1"/>
    </row>
    <row r="7350">
      <c r="A7350" s="14"/>
      <c r="B7350" s="1"/>
      <c r="C7350" s="1"/>
    </row>
    <row r="7351">
      <c r="A7351" s="14"/>
      <c r="B7351" s="1"/>
      <c r="C7351" s="1"/>
    </row>
    <row r="7352">
      <c r="A7352" s="14"/>
      <c r="B7352" s="1"/>
      <c r="C7352" s="1"/>
    </row>
    <row r="7353">
      <c r="A7353" s="14"/>
      <c r="B7353" s="1"/>
      <c r="C7353" s="1"/>
    </row>
  </sheetData>
  <mergeCells count="134">
    <mergeCell ref="B6035:C6035"/>
    <mergeCell ref="B6036:C6036"/>
    <mergeCell ref="B6037:C6037"/>
    <mergeCell ref="B6038:C6038"/>
    <mergeCell ref="B6039:C6039"/>
    <mergeCell ref="B6040:C6040"/>
    <mergeCell ref="B6041:C6041"/>
    <mergeCell ref="B6042:C6042"/>
    <mergeCell ref="B6043:C6043"/>
    <mergeCell ref="B6044:C6044"/>
    <mergeCell ref="B6045:C6045"/>
    <mergeCell ref="B6046:C6046"/>
    <mergeCell ref="B6047:C6047"/>
    <mergeCell ref="B6048:C6048"/>
    <mergeCell ref="B6050:C6050"/>
    <mergeCell ref="B6051:C6051"/>
    <mergeCell ref="B6052:C6052"/>
    <mergeCell ref="B6053:C6053"/>
    <mergeCell ref="B6054:C6054"/>
    <mergeCell ref="B6055:C6055"/>
    <mergeCell ref="B6056:C6056"/>
    <mergeCell ref="B6057:C6057"/>
    <mergeCell ref="B6058:C6058"/>
    <mergeCell ref="B6059:C6059"/>
    <mergeCell ref="B6060:C6060"/>
    <mergeCell ref="B6061:C6061"/>
    <mergeCell ref="B6062:C6062"/>
    <mergeCell ref="B6063:C6063"/>
    <mergeCell ref="B6064:C6064"/>
    <mergeCell ref="B6065:C6065"/>
    <mergeCell ref="B6066:C6066"/>
    <mergeCell ref="B6067:C6067"/>
    <mergeCell ref="B6068:C6068"/>
    <mergeCell ref="B6069:C6069"/>
    <mergeCell ref="B6070:C6070"/>
    <mergeCell ref="B6071:C6071"/>
    <mergeCell ref="B6072:C6072"/>
    <mergeCell ref="B6073:C6073"/>
    <mergeCell ref="B6074:C6074"/>
    <mergeCell ref="B6075:C6075"/>
    <mergeCell ref="B6076:C6076"/>
    <mergeCell ref="B6077:C6077"/>
    <mergeCell ref="B6078:C6078"/>
    <mergeCell ref="B6079:C6079"/>
    <mergeCell ref="B6080:C6080"/>
    <mergeCell ref="B6081:C6081"/>
    <mergeCell ref="B6082:C6082"/>
    <mergeCell ref="B6083:C6083"/>
    <mergeCell ref="B6084:C6084"/>
    <mergeCell ref="B6159:C6159"/>
    <mergeCell ref="B6160:C6160"/>
    <mergeCell ref="B6170:C6170"/>
    <mergeCell ref="B6172:C6172"/>
    <mergeCell ref="B6174:C6174"/>
    <mergeCell ref="B6175:C6175"/>
    <mergeCell ref="B6176:C6176"/>
    <mergeCell ref="B6177:C6177"/>
    <mergeCell ref="B6178:C6178"/>
    <mergeCell ref="B6179:C6179"/>
    <mergeCell ref="B6180:C6180"/>
    <mergeCell ref="B6181:C6181"/>
    <mergeCell ref="B6182:C6182"/>
    <mergeCell ref="B6183:C6183"/>
    <mergeCell ref="B6184:C6184"/>
    <mergeCell ref="B6185:C6185"/>
    <mergeCell ref="B6186:C6186"/>
    <mergeCell ref="B6187:C6187"/>
    <mergeCell ref="B6188:C6188"/>
    <mergeCell ref="B6189:C6189"/>
    <mergeCell ref="B6190:C6190"/>
    <mergeCell ref="B6198:C6198"/>
    <mergeCell ref="B6199:C6199"/>
    <mergeCell ref="B6200:C6200"/>
    <mergeCell ref="B6201:C6201"/>
    <mergeCell ref="B6202:C6202"/>
    <mergeCell ref="B6203:C6203"/>
    <mergeCell ref="B6204:C6204"/>
    <mergeCell ref="B6205:C6205"/>
    <mergeCell ref="B6191:C6191"/>
    <mergeCell ref="B6192:C6192"/>
    <mergeCell ref="B6193:C6193"/>
    <mergeCell ref="B6194:C6194"/>
    <mergeCell ref="B6195:C6195"/>
    <mergeCell ref="B6196:C6196"/>
    <mergeCell ref="B6197:C6197"/>
    <mergeCell ref="B6085:C6085"/>
    <mergeCell ref="B6086:C6086"/>
    <mergeCell ref="B6087:C6087"/>
    <mergeCell ref="B6088:C6088"/>
    <mergeCell ref="B6089:C6089"/>
    <mergeCell ref="B6090:C6090"/>
    <mergeCell ref="B6091:C6091"/>
    <mergeCell ref="B6092:C6092"/>
    <mergeCell ref="B6093:C6093"/>
    <mergeCell ref="B6094:C6094"/>
    <mergeCell ref="B6095:C6095"/>
    <mergeCell ref="B6096:C6096"/>
    <mergeCell ref="B6097:C6097"/>
    <mergeCell ref="B6098:C6098"/>
    <mergeCell ref="B6099:C6099"/>
    <mergeCell ref="B6100:C6100"/>
    <mergeCell ref="B6101:C6101"/>
    <mergeCell ref="B6102:C6102"/>
    <mergeCell ref="B6103:C6103"/>
    <mergeCell ref="B6104:C6104"/>
    <mergeCell ref="B6105:C6105"/>
    <mergeCell ref="B6106:C6106"/>
    <mergeCell ref="B6107:C6107"/>
    <mergeCell ref="B6108:C6108"/>
    <mergeCell ref="B6109:C6109"/>
    <mergeCell ref="B6110:C6110"/>
    <mergeCell ref="B6111:C6111"/>
    <mergeCell ref="B6112:C6112"/>
    <mergeCell ref="B6113:C6113"/>
    <mergeCell ref="B6114:C6114"/>
    <mergeCell ref="B6115:C6115"/>
    <mergeCell ref="B6116:C6116"/>
    <mergeCell ref="B6117:C6117"/>
    <mergeCell ref="B6118:C6118"/>
    <mergeCell ref="B6119:C6119"/>
    <mergeCell ref="B6120:C6120"/>
    <mergeCell ref="B6121:C6121"/>
    <mergeCell ref="B6122:C6122"/>
    <mergeCell ref="B6123:C6123"/>
    <mergeCell ref="B6124:C6124"/>
    <mergeCell ref="B6125:C6125"/>
    <mergeCell ref="B6132:C6132"/>
    <mergeCell ref="B6133:C6133"/>
    <mergeCell ref="B6136:C6136"/>
    <mergeCell ref="B6139:C6139"/>
    <mergeCell ref="B6149:C6149"/>
    <mergeCell ref="B6151:C6151"/>
    <mergeCell ref="B6153:C6153"/>
    <mergeCell ref="B6157:C6157"/>
  </mergeCells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  <hyperlink r:id="rId167" ref="D168"/>
    <hyperlink r:id="rId168" ref="D169"/>
    <hyperlink r:id="rId169" ref="D170"/>
    <hyperlink r:id="rId170" ref="D171"/>
    <hyperlink r:id="rId171" ref="D172"/>
    <hyperlink r:id="rId172" ref="D173"/>
    <hyperlink r:id="rId173" ref="D174"/>
    <hyperlink r:id="rId174" ref="D175"/>
    <hyperlink r:id="rId175" ref="D176"/>
    <hyperlink r:id="rId176" ref="D177"/>
    <hyperlink r:id="rId177" ref="D178"/>
    <hyperlink r:id="rId178" ref="D179"/>
    <hyperlink r:id="rId179" ref="D180"/>
    <hyperlink r:id="rId180" ref="D181"/>
    <hyperlink r:id="rId181" ref="D182"/>
    <hyperlink r:id="rId182" ref="D183"/>
    <hyperlink r:id="rId183" ref="D184"/>
    <hyperlink r:id="rId184" ref="D185"/>
    <hyperlink r:id="rId185" ref="D186"/>
    <hyperlink r:id="rId186" ref="D187"/>
    <hyperlink r:id="rId187" ref="D188"/>
    <hyperlink r:id="rId188" ref="D189"/>
    <hyperlink r:id="rId189" ref="D190"/>
    <hyperlink r:id="rId190" ref="D191"/>
    <hyperlink r:id="rId191" ref="D192"/>
    <hyperlink r:id="rId192" ref="D193"/>
    <hyperlink r:id="rId193" ref="D194"/>
    <hyperlink r:id="rId194" ref="D195"/>
    <hyperlink r:id="rId195" ref="D196"/>
    <hyperlink r:id="rId196" ref="D197"/>
    <hyperlink r:id="rId197" ref="D198"/>
    <hyperlink r:id="rId198" ref="D199"/>
    <hyperlink r:id="rId199" ref="D200"/>
    <hyperlink r:id="rId200" ref="D201"/>
    <hyperlink r:id="rId201" ref="D202"/>
    <hyperlink r:id="rId202" ref="D203"/>
    <hyperlink r:id="rId203" ref="D204"/>
    <hyperlink r:id="rId204" ref="D205"/>
    <hyperlink r:id="rId205" ref="D206"/>
    <hyperlink r:id="rId206" ref="D207"/>
    <hyperlink r:id="rId207" ref="D208"/>
    <hyperlink r:id="rId208" ref="D209"/>
    <hyperlink r:id="rId209" ref="D210"/>
    <hyperlink r:id="rId210" ref="D211"/>
    <hyperlink r:id="rId211" ref="D212"/>
    <hyperlink r:id="rId212" ref="D213"/>
    <hyperlink r:id="rId213" ref="D214"/>
    <hyperlink r:id="rId214" ref="D215"/>
    <hyperlink r:id="rId215" ref="D216"/>
    <hyperlink r:id="rId216" ref="D217"/>
    <hyperlink r:id="rId217" ref="D218"/>
    <hyperlink r:id="rId218" ref="D219"/>
    <hyperlink r:id="rId219" ref="D220"/>
    <hyperlink r:id="rId220" ref="D221"/>
    <hyperlink r:id="rId221" ref="D222"/>
    <hyperlink r:id="rId222" ref="D223"/>
    <hyperlink r:id="rId223" ref="D224"/>
    <hyperlink r:id="rId224" ref="D225"/>
    <hyperlink r:id="rId225" ref="D226"/>
    <hyperlink r:id="rId226" ref="D227"/>
    <hyperlink r:id="rId227" ref="D228"/>
    <hyperlink r:id="rId228" ref="D229"/>
    <hyperlink r:id="rId229" ref="D230"/>
    <hyperlink r:id="rId230" ref="D231"/>
    <hyperlink r:id="rId231" ref="D232"/>
    <hyperlink r:id="rId232" ref="D233"/>
    <hyperlink r:id="rId233" ref="D234"/>
    <hyperlink r:id="rId234" ref="D235"/>
    <hyperlink r:id="rId235" ref="D236"/>
    <hyperlink r:id="rId236" ref="D237"/>
    <hyperlink r:id="rId237" ref="D238"/>
    <hyperlink r:id="rId238" ref="D239"/>
    <hyperlink r:id="rId239" ref="D240"/>
    <hyperlink r:id="rId240" ref="D241"/>
    <hyperlink r:id="rId241" ref="D242"/>
    <hyperlink r:id="rId242" ref="D243"/>
    <hyperlink r:id="rId243" ref="D244"/>
    <hyperlink r:id="rId244" ref="D245"/>
    <hyperlink r:id="rId245" ref="D246"/>
    <hyperlink r:id="rId246" ref="D247"/>
    <hyperlink r:id="rId247" ref="D248"/>
    <hyperlink r:id="rId248" ref="D249"/>
    <hyperlink r:id="rId249" ref="D250"/>
    <hyperlink r:id="rId250" ref="D251"/>
    <hyperlink r:id="rId251" ref="D252"/>
    <hyperlink r:id="rId252" ref="D253"/>
    <hyperlink r:id="rId253" ref="D254"/>
    <hyperlink r:id="rId254" ref="D255"/>
    <hyperlink r:id="rId255" ref="D256"/>
    <hyperlink r:id="rId256" ref="D257"/>
    <hyperlink r:id="rId257" ref="D258"/>
    <hyperlink r:id="rId258" ref="D259"/>
    <hyperlink r:id="rId259" ref="D260"/>
    <hyperlink r:id="rId260" ref="D261"/>
    <hyperlink r:id="rId261" ref="D262"/>
    <hyperlink r:id="rId262" ref="D263"/>
    <hyperlink r:id="rId263" ref="D264"/>
    <hyperlink r:id="rId264" ref="D265"/>
    <hyperlink r:id="rId265" ref="D266"/>
    <hyperlink r:id="rId266" ref="D267"/>
    <hyperlink r:id="rId267" ref="D268"/>
    <hyperlink r:id="rId268" ref="D269"/>
    <hyperlink r:id="rId269" ref="D270"/>
    <hyperlink r:id="rId270" ref="D271"/>
    <hyperlink r:id="rId271" ref="D272"/>
    <hyperlink r:id="rId272" ref="D273"/>
    <hyperlink r:id="rId273" ref="D274"/>
    <hyperlink r:id="rId274" ref="D275"/>
    <hyperlink r:id="rId275" ref="D276"/>
    <hyperlink r:id="rId276" ref="D277"/>
    <hyperlink r:id="rId277" ref="D278"/>
    <hyperlink r:id="rId278" ref="D279"/>
    <hyperlink r:id="rId279" ref="D280"/>
    <hyperlink r:id="rId280" ref="D281"/>
    <hyperlink r:id="rId281" ref="D282"/>
    <hyperlink r:id="rId282" ref="D283"/>
    <hyperlink r:id="rId283" ref="D284"/>
    <hyperlink r:id="rId284" ref="D285"/>
    <hyperlink r:id="rId285" ref="D286"/>
    <hyperlink r:id="rId286" ref="D287"/>
    <hyperlink r:id="rId287" ref="D288"/>
    <hyperlink r:id="rId288" ref="D289"/>
    <hyperlink r:id="rId289" ref="D290"/>
    <hyperlink r:id="rId290" ref="D291"/>
    <hyperlink r:id="rId291" ref="D292"/>
    <hyperlink r:id="rId292" ref="D293"/>
    <hyperlink r:id="rId293" ref="D294"/>
    <hyperlink r:id="rId294" ref="D295"/>
    <hyperlink r:id="rId295" ref="D296"/>
    <hyperlink r:id="rId296" ref="D297"/>
    <hyperlink r:id="rId297" ref="D298"/>
    <hyperlink r:id="rId298" ref="D299"/>
    <hyperlink r:id="rId299" ref="D300"/>
    <hyperlink r:id="rId300" ref="D301"/>
    <hyperlink r:id="rId301" ref="D302"/>
    <hyperlink r:id="rId302" ref="D303"/>
    <hyperlink r:id="rId303" ref="D304"/>
    <hyperlink r:id="rId304" ref="D305"/>
    <hyperlink r:id="rId305" ref="D306"/>
    <hyperlink r:id="rId306" ref="D307"/>
    <hyperlink r:id="rId307" ref="D308"/>
    <hyperlink r:id="rId308" ref="D309"/>
    <hyperlink r:id="rId309" ref="D310"/>
    <hyperlink r:id="rId310" ref="D311"/>
    <hyperlink r:id="rId311" ref="D312"/>
    <hyperlink r:id="rId312" ref="D313"/>
    <hyperlink r:id="rId313" ref="D314"/>
    <hyperlink r:id="rId314" ref="D315"/>
    <hyperlink r:id="rId315" ref="D316"/>
    <hyperlink r:id="rId316" ref="D317"/>
    <hyperlink r:id="rId317" ref="D318"/>
    <hyperlink r:id="rId318" ref="D319"/>
    <hyperlink r:id="rId319" ref="D320"/>
    <hyperlink r:id="rId320" ref="D321"/>
    <hyperlink r:id="rId321" ref="D322"/>
    <hyperlink r:id="rId322" ref="D323"/>
    <hyperlink r:id="rId323" ref="D324"/>
    <hyperlink r:id="rId324" ref="D325"/>
    <hyperlink r:id="rId325" ref="D326"/>
    <hyperlink r:id="rId326" ref="D327"/>
    <hyperlink r:id="rId327" ref="D328"/>
    <hyperlink r:id="rId328" ref="D329"/>
    <hyperlink r:id="rId329" ref="D330"/>
    <hyperlink r:id="rId330" ref="D331"/>
    <hyperlink r:id="rId331" ref="D332"/>
    <hyperlink r:id="rId332" ref="D333"/>
    <hyperlink r:id="rId333" ref="D334"/>
    <hyperlink r:id="rId334" ref="D335"/>
    <hyperlink r:id="rId335" ref="D336"/>
    <hyperlink r:id="rId336" ref="D337"/>
    <hyperlink r:id="rId337" ref="D338"/>
    <hyperlink r:id="rId338" ref="D339"/>
    <hyperlink r:id="rId339" ref="D340"/>
    <hyperlink r:id="rId340" ref="D341"/>
    <hyperlink r:id="rId341" ref="D342"/>
    <hyperlink r:id="rId342" ref="D343"/>
    <hyperlink r:id="rId343" ref="D344"/>
    <hyperlink r:id="rId344" ref="D345"/>
    <hyperlink r:id="rId345" ref="D346"/>
    <hyperlink r:id="rId346" ref="D347"/>
    <hyperlink r:id="rId347" ref="D348"/>
    <hyperlink r:id="rId348" ref="D349"/>
    <hyperlink r:id="rId349" ref="D350"/>
    <hyperlink r:id="rId350" ref="D351"/>
    <hyperlink r:id="rId351" ref="D352"/>
    <hyperlink r:id="rId352" ref="D353"/>
    <hyperlink r:id="rId353" ref="D354"/>
    <hyperlink r:id="rId354" ref="D355"/>
    <hyperlink r:id="rId355" ref="D356"/>
    <hyperlink r:id="rId356" ref="D357"/>
    <hyperlink r:id="rId357" ref="D358"/>
    <hyperlink r:id="rId358" ref="D359"/>
    <hyperlink r:id="rId359" ref="D360"/>
    <hyperlink r:id="rId360" ref="D361"/>
    <hyperlink r:id="rId361" ref="D362"/>
    <hyperlink r:id="rId362" ref="D363"/>
    <hyperlink r:id="rId363" ref="D364"/>
    <hyperlink r:id="rId364" ref="D365"/>
    <hyperlink r:id="rId365" ref="D366"/>
    <hyperlink r:id="rId366" ref="D367"/>
    <hyperlink r:id="rId367" ref="D368"/>
    <hyperlink r:id="rId368" ref="D369"/>
    <hyperlink r:id="rId369" ref="D370"/>
    <hyperlink r:id="rId370" ref="D371"/>
    <hyperlink r:id="rId371" ref="D372"/>
    <hyperlink r:id="rId372" ref="D373"/>
    <hyperlink r:id="rId373" ref="D374"/>
    <hyperlink r:id="rId374" ref="D375"/>
    <hyperlink r:id="rId375" ref="D376"/>
    <hyperlink r:id="rId376" ref="D377"/>
    <hyperlink r:id="rId377" ref="D378"/>
    <hyperlink r:id="rId378" ref="D379"/>
    <hyperlink r:id="rId379" ref="D380"/>
    <hyperlink r:id="rId380" ref="D381"/>
    <hyperlink r:id="rId381" ref="D382"/>
    <hyperlink r:id="rId382" ref="D383"/>
    <hyperlink r:id="rId383" ref="D384"/>
    <hyperlink r:id="rId384" ref="D385"/>
    <hyperlink r:id="rId385" ref="D386"/>
    <hyperlink r:id="rId386" ref="D387"/>
    <hyperlink r:id="rId387" ref="D388"/>
    <hyperlink r:id="rId388" ref="D389"/>
    <hyperlink r:id="rId389" ref="D390"/>
    <hyperlink r:id="rId390" ref="D391"/>
    <hyperlink r:id="rId391" ref="D392"/>
    <hyperlink r:id="rId392" ref="D393"/>
    <hyperlink r:id="rId393" ref="D394"/>
    <hyperlink r:id="rId394" ref="D395"/>
    <hyperlink r:id="rId395" ref="D396"/>
    <hyperlink r:id="rId396" ref="D397"/>
    <hyperlink r:id="rId397" ref="D398"/>
    <hyperlink r:id="rId398" ref="D399"/>
    <hyperlink r:id="rId399" ref="D400"/>
    <hyperlink r:id="rId400" ref="D401"/>
    <hyperlink r:id="rId401" ref="D402"/>
    <hyperlink r:id="rId402" ref="D403"/>
    <hyperlink r:id="rId403" ref="D404"/>
    <hyperlink r:id="rId404" ref="D405"/>
    <hyperlink r:id="rId405" ref="D406"/>
    <hyperlink r:id="rId406" ref="D407"/>
    <hyperlink r:id="rId407" ref="D408"/>
    <hyperlink r:id="rId408" ref="D409"/>
    <hyperlink r:id="rId409" ref="D410"/>
    <hyperlink r:id="rId410" ref="D411"/>
    <hyperlink r:id="rId411" ref="D412"/>
    <hyperlink r:id="rId412" ref="D413"/>
    <hyperlink r:id="rId413" ref="D414"/>
    <hyperlink r:id="rId414" ref="D415"/>
    <hyperlink r:id="rId415" ref="D416"/>
    <hyperlink r:id="rId416" ref="D417"/>
    <hyperlink r:id="rId417" ref="D418"/>
    <hyperlink r:id="rId418" ref="D419"/>
    <hyperlink r:id="rId419" ref="D420"/>
    <hyperlink r:id="rId420" ref="D421"/>
    <hyperlink r:id="rId421" ref="D422"/>
    <hyperlink r:id="rId422" ref="D423"/>
    <hyperlink r:id="rId423" ref="D424"/>
    <hyperlink r:id="rId424" ref="D425"/>
    <hyperlink r:id="rId425" ref="D426"/>
    <hyperlink r:id="rId426" ref="D427"/>
    <hyperlink r:id="rId427" ref="D428"/>
    <hyperlink r:id="rId428" ref="D429"/>
    <hyperlink r:id="rId429" ref="D430"/>
    <hyperlink r:id="rId430" ref="D431"/>
    <hyperlink r:id="rId431" ref="D432"/>
    <hyperlink r:id="rId432" ref="D433"/>
    <hyperlink r:id="rId433" ref="D434"/>
    <hyperlink r:id="rId434" ref="D435"/>
    <hyperlink r:id="rId435" ref="D436"/>
    <hyperlink r:id="rId436" ref="D437"/>
    <hyperlink r:id="rId437" ref="D438"/>
    <hyperlink r:id="rId438" ref="D439"/>
    <hyperlink r:id="rId439" ref="D440"/>
    <hyperlink r:id="rId440" ref="D441"/>
    <hyperlink r:id="rId441" ref="D442"/>
    <hyperlink r:id="rId442" ref="D443"/>
    <hyperlink r:id="rId443" ref="D444"/>
    <hyperlink r:id="rId444" ref="D445"/>
    <hyperlink r:id="rId445" ref="D446"/>
    <hyperlink r:id="rId446" ref="D447"/>
    <hyperlink r:id="rId447" ref="D448"/>
    <hyperlink r:id="rId448" ref="D449"/>
    <hyperlink r:id="rId449" ref="D450"/>
    <hyperlink r:id="rId450" ref="D451"/>
    <hyperlink r:id="rId451" ref="D452"/>
    <hyperlink r:id="rId452" ref="D453"/>
    <hyperlink r:id="rId453" ref="D454"/>
    <hyperlink r:id="rId454" ref="D455"/>
    <hyperlink r:id="rId455" ref="D456"/>
    <hyperlink r:id="rId456" ref="D457"/>
    <hyperlink r:id="rId457" ref="D458"/>
    <hyperlink r:id="rId458" ref="D459"/>
    <hyperlink r:id="rId459" ref="D460"/>
    <hyperlink r:id="rId460" ref="D461"/>
    <hyperlink r:id="rId461" ref="D462"/>
    <hyperlink r:id="rId462" ref="D463"/>
    <hyperlink r:id="rId463" ref="D464"/>
    <hyperlink r:id="rId464" ref="D465"/>
    <hyperlink r:id="rId465" ref="D466"/>
    <hyperlink r:id="rId466" ref="D467"/>
    <hyperlink r:id="rId467" ref="D468"/>
    <hyperlink r:id="rId468" ref="D469"/>
    <hyperlink r:id="rId469" ref="D470"/>
    <hyperlink r:id="rId470" ref="D471"/>
    <hyperlink r:id="rId471" ref="D472"/>
    <hyperlink r:id="rId472" ref="D473"/>
    <hyperlink r:id="rId473" ref="D474"/>
    <hyperlink r:id="rId474" ref="D475"/>
    <hyperlink r:id="rId475" ref="D476"/>
    <hyperlink r:id="rId476" ref="D477"/>
    <hyperlink r:id="rId477" ref="D478"/>
    <hyperlink r:id="rId478" ref="D479"/>
    <hyperlink r:id="rId479" ref="D480"/>
    <hyperlink r:id="rId480" ref="D481"/>
    <hyperlink r:id="rId481" ref="D482"/>
    <hyperlink r:id="rId482" ref="D483"/>
    <hyperlink r:id="rId483" ref="D484"/>
    <hyperlink r:id="rId484" ref="D485"/>
    <hyperlink r:id="rId485" ref="D486"/>
    <hyperlink r:id="rId486" ref="D487"/>
    <hyperlink r:id="rId487" ref="D488"/>
    <hyperlink r:id="rId488" ref="D489"/>
    <hyperlink r:id="rId489" ref="D490"/>
    <hyperlink r:id="rId490" ref="D491"/>
    <hyperlink r:id="rId491" ref="D492"/>
    <hyperlink r:id="rId492" ref="D493"/>
    <hyperlink r:id="rId493" ref="D494"/>
    <hyperlink r:id="rId494" ref="D495"/>
    <hyperlink r:id="rId495" ref="D496"/>
    <hyperlink r:id="rId496" ref="D497"/>
    <hyperlink r:id="rId497" ref="D498"/>
    <hyperlink r:id="rId498" ref="D499"/>
    <hyperlink r:id="rId499" ref="D500"/>
    <hyperlink r:id="rId500" ref="D501"/>
    <hyperlink r:id="rId501" ref="D502"/>
    <hyperlink r:id="rId502" ref="D503"/>
    <hyperlink r:id="rId503" ref="D504"/>
    <hyperlink r:id="rId504" ref="D505"/>
    <hyperlink r:id="rId505" ref="D506"/>
    <hyperlink r:id="rId506" ref="D507"/>
    <hyperlink r:id="rId507" ref="D508"/>
    <hyperlink r:id="rId508" ref="D509"/>
    <hyperlink r:id="rId509" ref="D510"/>
    <hyperlink r:id="rId510" ref="D511"/>
    <hyperlink r:id="rId511" ref="D512"/>
    <hyperlink r:id="rId512" ref="D513"/>
    <hyperlink r:id="rId513" ref="D514"/>
    <hyperlink r:id="rId514" ref="D515"/>
    <hyperlink r:id="rId515" ref="D516"/>
    <hyperlink r:id="rId516" ref="D517"/>
    <hyperlink r:id="rId517" ref="D518"/>
    <hyperlink r:id="rId518" ref="D519"/>
    <hyperlink r:id="rId519" ref="D520"/>
    <hyperlink r:id="rId520" ref="D521"/>
    <hyperlink r:id="rId521" ref="D522"/>
    <hyperlink r:id="rId522" ref="D523"/>
    <hyperlink r:id="rId523" ref="D524"/>
    <hyperlink r:id="rId524" ref="D525"/>
    <hyperlink r:id="rId525" ref="D526"/>
    <hyperlink r:id="rId526" ref="D527"/>
    <hyperlink r:id="rId527" ref="D528"/>
    <hyperlink r:id="rId528" ref="D529"/>
    <hyperlink r:id="rId529" ref="D530"/>
    <hyperlink r:id="rId530" ref="D531"/>
    <hyperlink r:id="rId531" ref="D532"/>
    <hyperlink r:id="rId532" ref="D533"/>
    <hyperlink r:id="rId533" ref="D534"/>
    <hyperlink r:id="rId534" ref="D535"/>
    <hyperlink r:id="rId535" ref="D536"/>
    <hyperlink r:id="rId536" ref="D537"/>
    <hyperlink r:id="rId537" ref="D538"/>
    <hyperlink r:id="rId538" ref="D539"/>
    <hyperlink r:id="rId539" ref="D540"/>
    <hyperlink r:id="rId540" ref="D541"/>
    <hyperlink r:id="rId541" ref="D542"/>
    <hyperlink r:id="rId542" ref="D543"/>
    <hyperlink r:id="rId543" ref="D544"/>
    <hyperlink r:id="rId544" ref="D545"/>
    <hyperlink r:id="rId545" ref="D546"/>
    <hyperlink r:id="rId546" ref="D547"/>
    <hyperlink r:id="rId547" ref="D548"/>
    <hyperlink r:id="rId548" ref="D549"/>
    <hyperlink r:id="rId549" ref="D550"/>
    <hyperlink r:id="rId550" ref="D551"/>
    <hyperlink r:id="rId551" ref="D552"/>
    <hyperlink r:id="rId552" ref="D553"/>
    <hyperlink r:id="rId553" ref="D554"/>
    <hyperlink r:id="rId554" ref="D555"/>
    <hyperlink r:id="rId555" ref="D556"/>
    <hyperlink r:id="rId556" ref="D557"/>
    <hyperlink r:id="rId557" ref="D558"/>
    <hyperlink r:id="rId558" ref="D559"/>
    <hyperlink r:id="rId559" ref="D560"/>
    <hyperlink r:id="rId560" ref="D561"/>
    <hyperlink r:id="rId561" ref="D562"/>
    <hyperlink r:id="rId562" ref="D563"/>
    <hyperlink r:id="rId563" ref="D564"/>
    <hyperlink r:id="rId564" ref="D565"/>
    <hyperlink r:id="rId565" ref="D566"/>
    <hyperlink r:id="rId566" ref="D567"/>
    <hyperlink r:id="rId567" ref="D568"/>
    <hyperlink r:id="rId568" ref="D569"/>
    <hyperlink r:id="rId569" ref="D570"/>
    <hyperlink r:id="rId570" ref="D571"/>
    <hyperlink r:id="rId571" ref="D572"/>
    <hyperlink r:id="rId572" ref="D573"/>
    <hyperlink r:id="rId573" ref="D574"/>
    <hyperlink r:id="rId574" ref="D575"/>
    <hyperlink r:id="rId575" ref="D576"/>
    <hyperlink r:id="rId576" ref="D577"/>
    <hyperlink r:id="rId577" ref="D578"/>
    <hyperlink r:id="rId578" ref="D579"/>
    <hyperlink r:id="rId579" ref="D580"/>
    <hyperlink r:id="rId580" ref="D581"/>
    <hyperlink r:id="rId581" ref="D582"/>
    <hyperlink r:id="rId582" ref="D583"/>
    <hyperlink r:id="rId583" ref="D584"/>
    <hyperlink r:id="rId584" ref="D585"/>
    <hyperlink r:id="rId585" ref="D586"/>
    <hyperlink r:id="rId586" ref="D587"/>
    <hyperlink r:id="rId587" ref="D588"/>
    <hyperlink r:id="rId588" ref="D589"/>
    <hyperlink r:id="rId589" ref="D590"/>
    <hyperlink r:id="rId590" ref="D591"/>
    <hyperlink r:id="rId591" ref="D592"/>
    <hyperlink r:id="rId592" ref="D593"/>
    <hyperlink r:id="rId593" ref="D594"/>
    <hyperlink r:id="rId594" ref="D595"/>
    <hyperlink r:id="rId595" ref="D596"/>
    <hyperlink r:id="rId596" ref="D597"/>
    <hyperlink r:id="rId597" ref="D598"/>
    <hyperlink r:id="rId598" ref="D599"/>
    <hyperlink r:id="rId599" ref="D600"/>
    <hyperlink r:id="rId600" ref="D601"/>
    <hyperlink r:id="rId601" ref="D602"/>
    <hyperlink r:id="rId602" ref="D603"/>
    <hyperlink r:id="rId603" ref="D604"/>
    <hyperlink r:id="rId604" ref="D605"/>
    <hyperlink r:id="rId605" ref="D606"/>
    <hyperlink r:id="rId606" ref="D607"/>
    <hyperlink r:id="rId607" ref="D608"/>
    <hyperlink r:id="rId608" ref="D609"/>
    <hyperlink r:id="rId609" ref="D610"/>
    <hyperlink r:id="rId610" ref="D611"/>
    <hyperlink r:id="rId611" ref="D612"/>
    <hyperlink r:id="rId612" ref="D613"/>
    <hyperlink r:id="rId613" ref="D614"/>
    <hyperlink r:id="rId614" ref="D615"/>
    <hyperlink r:id="rId615" ref="D616"/>
    <hyperlink r:id="rId616" ref="D617"/>
    <hyperlink r:id="rId617" ref="D618"/>
    <hyperlink r:id="rId618" ref="D619"/>
    <hyperlink r:id="rId619" ref="D620"/>
    <hyperlink r:id="rId620" ref="D621"/>
    <hyperlink r:id="rId621" ref="D622"/>
    <hyperlink r:id="rId622" ref="D623"/>
    <hyperlink r:id="rId623" ref="D624"/>
    <hyperlink r:id="rId624" ref="D625"/>
    <hyperlink r:id="rId625" ref="D626"/>
    <hyperlink r:id="rId626" ref="D627"/>
    <hyperlink r:id="rId627" ref="D628"/>
    <hyperlink r:id="rId628" ref="D629"/>
    <hyperlink r:id="rId629" ref="D630"/>
    <hyperlink r:id="rId630" ref="D631"/>
    <hyperlink r:id="rId631" ref="D632"/>
    <hyperlink r:id="rId632" ref="D633"/>
    <hyperlink r:id="rId633" ref="D634"/>
    <hyperlink r:id="rId634" ref="D635"/>
    <hyperlink r:id="rId635" ref="D636"/>
    <hyperlink r:id="rId636" ref="D637"/>
    <hyperlink r:id="rId637" ref="D638"/>
    <hyperlink r:id="rId638" ref="D639"/>
    <hyperlink r:id="rId639" ref="D640"/>
    <hyperlink r:id="rId640" ref="D641"/>
    <hyperlink r:id="rId641" ref="D642"/>
    <hyperlink r:id="rId642" ref="D643"/>
    <hyperlink r:id="rId643" ref="D644"/>
    <hyperlink r:id="rId644" ref="D645"/>
    <hyperlink r:id="rId645" ref="D646"/>
    <hyperlink r:id="rId646" ref="D647"/>
    <hyperlink r:id="rId647" ref="D648"/>
    <hyperlink r:id="rId648" ref="D649"/>
    <hyperlink r:id="rId649" ref="D650"/>
    <hyperlink r:id="rId650" ref="D651"/>
    <hyperlink r:id="rId651" ref="D652"/>
    <hyperlink r:id="rId652" ref="D653"/>
    <hyperlink r:id="rId653" ref="D654"/>
    <hyperlink r:id="rId654" ref="D655"/>
    <hyperlink r:id="rId655" ref="D656"/>
    <hyperlink r:id="rId656" ref="D657"/>
    <hyperlink r:id="rId657" ref="D658"/>
    <hyperlink r:id="rId658" ref="D659"/>
    <hyperlink r:id="rId659" ref="D660"/>
    <hyperlink r:id="rId660" ref="D661"/>
    <hyperlink r:id="rId661" ref="D662"/>
    <hyperlink r:id="rId662" ref="D663"/>
    <hyperlink r:id="rId663" ref="D664"/>
    <hyperlink r:id="rId664" ref="D665"/>
    <hyperlink r:id="rId665" ref="D666"/>
    <hyperlink r:id="rId666" ref="D667"/>
    <hyperlink r:id="rId667" ref="D668"/>
    <hyperlink r:id="rId668" ref="D669"/>
    <hyperlink r:id="rId669" ref="D670"/>
    <hyperlink r:id="rId670" ref="D671"/>
    <hyperlink r:id="rId671" ref="D672"/>
    <hyperlink r:id="rId672" ref="D673"/>
    <hyperlink r:id="rId673" ref="D674"/>
    <hyperlink r:id="rId674" ref="D675"/>
    <hyperlink r:id="rId675" ref="D676"/>
    <hyperlink r:id="rId676" ref="D677"/>
    <hyperlink r:id="rId677" ref="D678"/>
    <hyperlink r:id="rId678" ref="D679"/>
    <hyperlink r:id="rId679" ref="D680"/>
    <hyperlink r:id="rId680" ref="D681"/>
    <hyperlink r:id="rId681" ref="D682"/>
    <hyperlink r:id="rId682" ref="D683"/>
    <hyperlink r:id="rId683" ref="D684"/>
    <hyperlink r:id="rId684" ref="D685"/>
    <hyperlink r:id="rId685" ref="D686"/>
    <hyperlink r:id="rId686" ref="D687"/>
    <hyperlink r:id="rId687" ref="D688"/>
    <hyperlink r:id="rId688" ref="D689"/>
    <hyperlink r:id="rId689" ref="D690"/>
    <hyperlink r:id="rId690" ref="D691"/>
    <hyperlink r:id="rId691" ref="D692"/>
    <hyperlink r:id="rId692" ref="D693"/>
    <hyperlink r:id="rId693" ref="D694"/>
    <hyperlink r:id="rId694" ref="D695"/>
    <hyperlink r:id="rId695" ref="D696"/>
    <hyperlink r:id="rId696" ref="D697"/>
    <hyperlink r:id="rId697" ref="D698"/>
    <hyperlink r:id="rId698" ref="D699"/>
    <hyperlink r:id="rId699" ref="D700"/>
    <hyperlink r:id="rId700" ref="D701"/>
    <hyperlink r:id="rId701" ref="D702"/>
    <hyperlink r:id="rId702" ref="D703"/>
    <hyperlink r:id="rId703" ref="D704"/>
    <hyperlink r:id="rId704" ref="D705"/>
    <hyperlink r:id="rId705" ref="D706"/>
    <hyperlink r:id="rId706" ref="D707"/>
    <hyperlink r:id="rId707" ref="D708"/>
    <hyperlink r:id="rId708" ref="D709"/>
    <hyperlink r:id="rId709" ref="D710"/>
    <hyperlink r:id="rId710" ref="D711"/>
    <hyperlink r:id="rId711" ref="D712"/>
    <hyperlink r:id="rId712" ref="D713"/>
    <hyperlink r:id="rId713" ref="D714"/>
    <hyperlink r:id="rId714" ref="D715"/>
    <hyperlink r:id="rId715" ref="D716"/>
    <hyperlink r:id="rId716" ref="D717"/>
    <hyperlink r:id="rId717" ref="D718"/>
    <hyperlink r:id="rId718" ref="D719"/>
    <hyperlink r:id="rId719" ref="D720"/>
    <hyperlink r:id="rId720" ref="D721"/>
    <hyperlink r:id="rId721" ref="D722"/>
    <hyperlink r:id="rId722" ref="D723"/>
    <hyperlink r:id="rId723" ref="D724"/>
    <hyperlink r:id="rId724" ref="D725"/>
    <hyperlink r:id="rId725" ref="D726"/>
    <hyperlink r:id="rId726" ref="D727"/>
    <hyperlink r:id="rId727" ref="D728"/>
    <hyperlink r:id="rId728" ref="D729"/>
    <hyperlink r:id="rId729" ref="D730"/>
    <hyperlink r:id="rId730" ref="D731"/>
    <hyperlink r:id="rId731" ref="D732"/>
    <hyperlink r:id="rId732" ref="D733"/>
    <hyperlink r:id="rId733" ref="D734"/>
    <hyperlink r:id="rId734" ref="D735"/>
    <hyperlink r:id="rId735" ref="D736"/>
    <hyperlink r:id="rId736" ref="D737"/>
    <hyperlink r:id="rId737" ref="D738"/>
    <hyperlink r:id="rId738" ref="D739"/>
    <hyperlink r:id="rId739" ref="D740"/>
    <hyperlink r:id="rId740" ref="D741"/>
    <hyperlink r:id="rId741" ref="D742"/>
    <hyperlink r:id="rId742" ref="D743"/>
    <hyperlink r:id="rId743" ref="D744"/>
    <hyperlink r:id="rId744" ref="D745"/>
    <hyperlink r:id="rId745" ref="D746"/>
    <hyperlink r:id="rId746" ref="D747"/>
    <hyperlink r:id="rId747" ref="D748"/>
    <hyperlink r:id="rId748" ref="D749"/>
    <hyperlink r:id="rId749" ref="D750"/>
    <hyperlink r:id="rId750" ref="D751"/>
    <hyperlink r:id="rId751" ref="D752"/>
    <hyperlink r:id="rId752" ref="D753"/>
    <hyperlink r:id="rId753" ref="D754"/>
    <hyperlink r:id="rId754" ref="D755"/>
    <hyperlink r:id="rId755" ref="D756"/>
    <hyperlink r:id="rId756" ref="D757"/>
    <hyperlink r:id="rId757" ref="D758"/>
    <hyperlink r:id="rId758" ref="D759"/>
    <hyperlink r:id="rId759" ref="D760"/>
    <hyperlink r:id="rId760" ref="D761"/>
    <hyperlink r:id="rId761" ref="D762"/>
    <hyperlink r:id="rId762" ref="D763"/>
    <hyperlink r:id="rId763" ref="D764"/>
    <hyperlink r:id="rId764" ref="D765"/>
    <hyperlink r:id="rId765" ref="D766"/>
    <hyperlink r:id="rId766" ref="D767"/>
    <hyperlink r:id="rId767" ref="D768"/>
    <hyperlink r:id="rId768" ref="D769"/>
    <hyperlink r:id="rId769" ref="D770"/>
    <hyperlink r:id="rId770" ref="D771"/>
    <hyperlink r:id="rId771" ref="D772"/>
    <hyperlink r:id="rId772" ref="D773"/>
    <hyperlink r:id="rId773" ref="D774"/>
    <hyperlink r:id="rId774" ref="D775"/>
    <hyperlink r:id="rId775" ref="D776"/>
    <hyperlink r:id="rId776" ref="D777"/>
    <hyperlink r:id="rId777" ref="D778"/>
    <hyperlink r:id="rId778" ref="D779"/>
    <hyperlink r:id="rId779" ref="D780"/>
    <hyperlink r:id="rId780" ref="D781"/>
    <hyperlink r:id="rId781" ref="D782"/>
    <hyperlink r:id="rId782" ref="D783"/>
    <hyperlink r:id="rId783" ref="D784"/>
    <hyperlink r:id="rId784" ref="D785"/>
    <hyperlink r:id="rId785" ref="D786"/>
    <hyperlink r:id="rId786" ref="D787"/>
    <hyperlink r:id="rId787" ref="D788"/>
    <hyperlink r:id="rId788" ref="D789"/>
    <hyperlink r:id="rId789" ref="D790"/>
    <hyperlink r:id="rId790" ref="D791"/>
    <hyperlink r:id="rId791" ref="D792"/>
    <hyperlink r:id="rId792" ref="D793"/>
    <hyperlink r:id="rId793" ref="D794"/>
    <hyperlink r:id="rId794" ref="D795"/>
    <hyperlink r:id="rId795" ref="D796"/>
    <hyperlink r:id="rId796" ref="D797"/>
    <hyperlink r:id="rId797" ref="D798"/>
    <hyperlink r:id="rId798" ref="D799"/>
    <hyperlink r:id="rId799" ref="D800"/>
    <hyperlink r:id="rId800" ref="D801"/>
    <hyperlink r:id="rId801" ref="D802"/>
    <hyperlink r:id="rId802" ref="D803"/>
    <hyperlink r:id="rId803" ref="D804"/>
    <hyperlink r:id="rId804" ref="D805"/>
    <hyperlink r:id="rId805" ref="D806"/>
    <hyperlink r:id="rId806" ref="D807"/>
    <hyperlink r:id="rId807" ref="D808"/>
    <hyperlink r:id="rId808" ref="D809"/>
    <hyperlink r:id="rId809" ref="D810"/>
    <hyperlink r:id="rId810" ref="D811"/>
    <hyperlink r:id="rId811" ref="D812"/>
    <hyperlink r:id="rId812" ref="D813"/>
    <hyperlink r:id="rId813" ref="D814"/>
    <hyperlink r:id="rId814" ref="D815"/>
    <hyperlink r:id="rId815" ref="D816"/>
    <hyperlink r:id="rId816" ref="D817"/>
    <hyperlink r:id="rId817" ref="D818"/>
    <hyperlink r:id="rId818" ref="D819"/>
    <hyperlink r:id="rId819" ref="D820"/>
    <hyperlink r:id="rId820" ref="D821"/>
    <hyperlink r:id="rId821" ref="D822"/>
    <hyperlink r:id="rId822" ref="D823"/>
    <hyperlink r:id="rId823" ref="D824"/>
    <hyperlink r:id="rId824" ref="D825"/>
    <hyperlink r:id="rId825" ref="D826"/>
    <hyperlink r:id="rId826" ref="D827"/>
    <hyperlink r:id="rId827" ref="D828"/>
    <hyperlink r:id="rId828" ref="D829"/>
    <hyperlink r:id="rId829" ref="D830"/>
    <hyperlink r:id="rId830" ref="D831"/>
    <hyperlink r:id="rId831" ref="D832"/>
    <hyperlink r:id="rId832" ref="D833"/>
    <hyperlink r:id="rId833" ref="D834"/>
    <hyperlink r:id="rId834" ref="D835"/>
    <hyperlink r:id="rId835" ref="D836"/>
    <hyperlink r:id="rId836" ref="D837"/>
    <hyperlink r:id="rId837" ref="D838"/>
    <hyperlink r:id="rId838" ref="D839"/>
    <hyperlink r:id="rId839" ref="D840"/>
    <hyperlink r:id="rId840" ref="D841"/>
    <hyperlink r:id="rId841" ref="D842"/>
    <hyperlink r:id="rId842" ref="D843"/>
    <hyperlink r:id="rId843" ref="D844"/>
    <hyperlink r:id="rId844" ref="D845"/>
    <hyperlink r:id="rId845" ref="D846"/>
    <hyperlink r:id="rId846" ref="D847"/>
    <hyperlink r:id="rId847" ref="D848"/>
    <hyperlink r:id="rId848" ref="D849"/>
    <hyperlink r:id="rId849" ref="D850"/>
    <hyperlink r:id="rId850" ref="D851"/>
    <hyperlink r:id="rId851" ref="D852"/>
    <hyperlink r:id="rId852" ref="D853"/>
    <hyperlink r:id="rId853" ref="D854"/>
    <hyperlink r:id="rId854" ref="D855"/>
    <hyperlink r:id="rId855" ref="D856"/>
    <hyperlink r:id="rId856" ref="D857"/>
    <hyperlink r:id="rId857" ref="D858"/>
    <hyperlink r:id="rId858" ref="D859"/>
    <hyperlink r:id="rId859" ref="D860"/>
    <hyperlink r:id="rId860" ref="D861"/>
    <hyperlink r:id="rId861" ref="D862"/>
    <hyperlink r:id="rId862" ref="D863"/>
    <hyperlink r:id="rId863" ref="D864"/>
    <hyperlink r:id="rId864" ref="D865"/>
    <hyperlink r:id="rId865" ref="D866"/>
    <hyperlink r:id="rId866" ref="D867"/>
    <hyperlink r:id="rId867" ref="D868"/>
    <hyperlink r:id="rId868" ref="D869"/>
    <hyperlink r:id="rId869" ref="D870"/>
    <hyperlink r:id="rId870" ref="D871"/>
    <hyperlink r:id="rId871" ref="D872"/>
    <hyperlink r:id="rId872" ref="D873"/>
    <hyperlink r:id="rId873" ref="D874"/>
    <hyperlink r:id="rId874" ref="D875"/>
    <hyperlink r:id="rId875" ref="D876"/>
    <hyperlink r:id="rId876" ref="D877"/>
    <hyperlink r:id="rId877" ref="D878"/>
    <hyperlink r:id="rId878" ref="D879"/>
    <hyperlink r:id="rId879" ref="D880"/>
    <hyperlink r:id="rId880" ref="D881"/>
    <hyperlink r:id="rId881" ref="D882"/>
    <hyperlink r:id="rId882" ref="D883"/>
    <hyperlink r:id="rId883" ref="D884"/>
    <hyperlink r:id="rId884" ref="D885"/>
    <hyperlink r:id="rId885" ref="D886"/>
    <hyperlink r:id="rId886" ref="D887"/>
    <hyperlink r:id="rId887" ref="D888"/>
    <hyperlink r:id="rId888" ref="D889"/>
    <hyperlink r:id="rId889" ref="D890"/>
    <hyperlink r:id="rId890" ref="D891"/>
    <hyperlink r:id="rId891" ref="D892"/>
    <hyperlink r:id="rId892" ref="D893"/>
    <hyperlink r:id="rId893" ref="D894"/>
    <hyperlink r:id="rId894" ref="D895"/>
    <hyperlink r:id="rId895" ref="D896"/>
    <hyperlink r:id="rId896" ref="D897"/>
    <hyperlink r:id="rId897" ref="D898"/>
    <hyperlink r:id="rId898" ref="D899"/>
    <hyperlink r:id="rId899" ref="D900"/>
    <hyperlink r:id="rId900" ref="D901"/>
    <hyperlink r:id="rId901" ref="D902"/>
    <hyperlink r:id="rId902" ref="D903"/>
    <hyperlink r:id="rId903" ref="D904"/>
    <hyperlink r:id="rId904" ref="D905"/>
    <hyperlink r:id="rId905" ref="D906"/>
    <hyperlink r:id="rId906" ref="D907"/>
    <hyperlink r:id="rId907" ref="D908"/>
    <hyperlink r:id="rId908" ref="D909"/>
    <hyperlink r:id="rId909" ref="D910"/>
    <hyperlink r:id="rId910" ref="D911"/>
    <hyperlink r:id="rId911" ref="D912"/>
    <hyperlink r:id="rId912" ref="D913"/>
    <hyperlink r:id="rId913" ref="D914"/>
    <hyperlink r:id="rId914" ref="D915"/>
    <hyperlink r:id="rId915" ref="D916"/>
    <hyperlink r:id="rId916" ref="D917"/>
    <hyperlink r:id="rId917" ref="D918"/>
    <hyperlink r:id="rId918" ref="D919"/>
    <hyperlink r:id="rId919" ref="D920"/>
    <hyperlink r:id="rId920" ref="D921"/>
    <hyperlink r:id="rId921" ref="D922"/>
    <hyperlink r:id="rId922" ref="D923"/>
    <hyperlink r:id="rId923" ref="D924"/>
    <hyperlink r:id="rId924" ref="D925"/>
    <hyperlink r:id="rId925" ref="D926"/>
    <hyperlink r:id="rId926" ref="D927"/>
    <hyperlink r:id="rId927" ref="D928"/>
    <hyperlink r:id="rId928" ref="D929"/>
    <hyperlink r:id="rId929" ref="D930"/>
    <hyperlink r:id="rId930" ref="D931"/>
    <hyperlink r:id="rId931" ref="D932"/>
    <hyperlink r:id="rId932" ref="D933"/>
    <hyperlink r:id="rId933" ref="D934"/>
    <hyperlink r:id="rId934" ref="D935"/>
    <hyperlink r:id="rId935" ref="D936"/>
    <hyperlink r:id="rId936" ref="D937"/>
    <hyperlink r:id="rId937" ref="D938"/>
    <hyperlink r:id="rId938" ref="D939"/>
    <hyperlink r:id="rId939" ref="D940"/>
    <hyperlink r:id="rId940" ref="D941"/>
    <hyperlink r:id="rId941" ref="D942"/>
    <hyperlink r:id="rId942" ref="D943"/>
    <hyperlink r:id="rId943" ref="D944"/>
    <hyperlink r:id="rId944" ref="D945"/>
    <hyperlink r:id="rId945" ref="D946"/>
    <hyperlink r:id="rId946" ref="D947"/>
    <hyperlink r:id="rId947" ref="D948"/>
    <hyperlink r:id="rId948" ref="D949"/>
    <hyperlink r:id="rId949" ref="D950"/>
    <hyperlink r:id="rId950" ref="D951"/>
    <hyperlink r:id="rId951" ref="D952"/>
    <hyperlink r:id="rId952" ref="D953"/>
    <hyperlink r:id="rId953" ref="D954"/>
    <hyperlink r:id="rId954" ref="D955"/>
    <hyperlink r:id="rId955" ref="D956"/>
    <hyperlink r:id="rId956" ref="D957"/>
    <hyperlink r:id="rId957" ref="D958"/>
    <hyperlink r:id="rId958" ref="D959"/>
    <hyperlink r:id="rId959" ref="D960"/>
    <hyperlink r:id="rId960" ref="D961"/>
    <hyperlink r:id="rId961" ref="D962"/>
    <hyperlink r:id="rId962" ref="D963"/>
    <hyperlink r:id="rId963" ref="D964"/>
    <hyperlink r:id="rId964" ref="D965"/>
    <hyperlink r:id="rId965" ref="D966"/>
    <hyperlink r:id="rId966" ref="D967"/>
    <hyperlink r:id="rId967" ref="D968"/>
    <hyperlink r:id="rId968" ref="D969"/>
    <hyperlink r:id="rId969" ref="D970"/>
    <hyperlink r:id="rId970" ref="D971"/>
    <hyperlink r:id="rId971" ref="D972"/>
    <hyperlink r:id="rId972" ref="D973"/>
    <hyperlink r:id="rId973" ref="D974"/>
    <hyperlink r:id="rId974" ref="D975"/>
    <hyperlink r:id="rId975" ref="D976"/>
    <hyperlink r:id="rId976" ref="D977"/>
    <hyperlink r:id="rId977" ref="D978"/>
    <hyperlink r:id="rId978" ref="D979"/>
    <hyperlink r:id="rId979" ref="D980"/>
    <hyperlink r:id="rId980" ref="D981"/>
    <hyperlink r:id="rId981" ref="D982"/>
    <hyperlink r:id="rId982" ref="D983"/>
    <hyperlink r:id="rId983" ref="D984"/>
    <hyperlink r:id="rId984" ref="D985"/>
    <hyperlink r:id="rId985" ref="D986"/>
    <hyperlink r:id="rId986" ref="D987"/>
    <hyperlink r:id="rId987" ref="D988"/>
    <hyperlink r:id="rId988" ref="D989"/>
    <hyperlink r:id="rId989" ref="D990"/>
    <hyperlink r:id="rId990" ref="D991"/>
    <hyperlink r:id="rId991" ref="D992"/>
    <hyperlink r:id="rId992" ref="D993"/>
    <hyperlink r:id="rId993" ref="D994"/>
    <hyperlink r:id="rId994" ref="D995"/>
    <hyperlink r:id="rId995" ref="D996"/>
    <hyperlink r:id="rId996" ref="D997"/>
    <hyperlink r:id="rId997" ref="D998"/>
    <hyperlink r:id="rId998" ref="D999"/>
    <hyperlink r:id="rId999" ref="D1000"/>
    <hyperlink r:id="rId1000" ref="D1001"/>
    <hyperlink r:id="rId1001" ref="D1002"/>
    <hyperlink r:id="rId1002" ref="D1003"/>
    <hyperlink r:id="rId1003" ref="D1004"/>
    <hyperlink r:id="rId1004" ref="D1005"/>
    <hyperlink r:id="rId1005" ref="D1006"/>
    <hyperlink r:id="rId1006" ref="D1007"/>
    <hyperlink r:id="rId1007" ref="D1008"/>
    <hyperlink r:id="rId1008" ref="D1009"/>
    <hyperlink r:id="rId1009" ref="D1010"/>
    <hyperlink r:id="rId1010" ref="D1011"/>
    <hyperlink r:id="rId1011" ref="D1012"/>
    <hyperlink r:id="rId1012" ref="D1013"/>
    <hyperlink r:id="rId1013" ref="D1014"/>
    <hyperlink r:id="rId1014" ref="D1015"/>
    <hyperlink r:id="rId1015" ref="D1016"/>
    <hyperlink r:id="rId1016" ref="D1017"/>
    <hyperlink r:id="rId1017" ref="D1018"/>
    <hyperlink r:id="rId1018" ref="D1019"/>
    <hyperlink r:id="rId1019" ref="D1020"/>
    <hyperlink r:id="rId1020" ref="D1021"/>
    <hyperlink r:id="rId1021" ref="D1022"/>
    <hyperlink r:id="rId1022" ref="D1023"/>
    <hyperlink r:id="rId1023" ref="D1024"/>
    <hyperlink r:id="rId1024" ref="D1025"/>
    <hyperlink r:id="rId1025" ref="D1026"/>
    <hyperlink r:id="rId1026" ref="D1027"/>
    <hyperlink r:id="rId1027" ref="D1028"/>
    <hyperlink r:id="rId1028" ref="D1029"/>
    <hyperlink r:id="rId1029" ref="D1030"/>
    <hyperlink r:id="rId1030" ref="D1031"/>
    <hyperlink r:id="rId1031" ref="D1032"/>
    <hyperlink r:id="rId1032" ref="D1033"/>
    <hyperlink r:id="rId1033" ref="D1034"/>
    <hyperlink r:id="rId1034" ref="D1035"/>
    <hyperlink r:id="rId1035" ref="D1036"/>
    <hyperlink r:id="rId1036" ref="D1037"/>
    <hyperlink r:id="rId1037" ref="D1038"/>
    <hyperlink r:id="rId1038" ref="D1039"/>
    <hyperlink r:id="rId1039" ref="D1040"/>
    <hyperlink r:id="rId1040" ref="D1041"/>
    <hyperlink r:id="rId1041" ref="D1042"/>
    <hyperlink r:id="rId1042" ref="D1043"/>
    <hyperlink r:id="rId1043" ref="D1044"/>
    <hyperlink r:id="rId1044" ref="D1045"/>
    <hyperlink r:id="rId1045" ref="D1046"/>
    <hyperlink r:id="rId1046" ref="D1047"/>
    <hyperlink r:id="rId1047" ref="D1048"/>
    <hyperlink r:id="rId1048" ref="D1049"/>
    <hyperlink r:id="rId1049" ref="D1050"/>
    <hyperlink r:id="rId1050" ref="D1051"/>
    <hyperlink r:id="rId1051" ref="D1052"/>
    <hyperlink r:id="rId1052" ref="D1053"/>
    <hyperlink r:id="rId1053" ref="D1054"/>
    <hyperlink r:id="rId1054" ref="D1055"/>
    <hyperlink r:id="rId1055" ref="D1056"/>
    <hyperlink r:id="rId1056" ref="D1057"/>
    <hyperlink r:id="rId1057" ref="D1058"/>
    <hyperlink r:id="rId1058" ref="D1059"/>
    <hyperlink r:id="rId1059" ref="D1060"/>
    <hyperlink r:id="rId1060" ref="D1061"/>
    <hyperlink r:id="rId1061" ref="D1062"/>
    <hyperlink r:id="rId1062" ref="D1063"/>
    <hyperlink r:id="rId1063" ref="D1064"/>
    <hyperlink r:id="rId1064" ref="D1065"/>
    <hyperlink r:id="rId1065" ref="D1066"/>
    <hyperlink r:id="rId1066" ref="D1067"/>
    <hyperlink r:id="rId1067" ref="D1068"/>
    <hyperlink r:id="rId1068" ref="D1069"/>
    <hyperlink r:id="rId1069" ref="D1070"/>
    <hyperlink r:id="rId1070" ref="D1071"/>
    <hyperlink r:id="rId1071" ref="D1072"/>
    <hyperlink r:id="rId1072" ref="D1073"/>
    <hyperlink r:id="rId1073" ref="D1074"/>
    <hyperlink r:id="rId1074" ref="D1075"/>
    <hyperlink r:id="rId1075" ref="D1076"/>
    <hyperlink r:id="rId1076" ref="D1077"/>
    <hyperlink r:id="rId1077" ref="D1078"/>
    <hyperlink r:id="rId1078" ref="D1079"/>
    <hyperlink r:id="rId1079" ref="D1080"/>
    <hyperlink r:id="rId1080" ref="D1081"/>
    <hyperlink r:id="rId1081" ref="D1082"/>
    <hyperlink r:id="rId1082" ref="D1083"/>
    <hyperlink r:id="rId1083" ref="D1084"/>
    <hyperlink r:id="rId1084" ref="D1085"/>
    <hyperlink r:id="rId1085" ref="D1086"/>
    <hyperlink r:id="rId1086" ref="D1087"/>
    <hyperlink r:id="rId1087" ref="D1088"/>
    <hyperlink r:id="rId1088" ref="D1089"/>
    <hyperlink r:id="rId1089" ref="D1090"/>
    <hyperlink r:id="rId1090" ref="D1091"/>
    <hyperlink r:id="rId1091" ref="D1092"/>
    <hyperlink r:id="rId1092" ref="D1093"/>
    <hyperlink r:id="rId1093" ref="D1094"/>
    <hyperlink r:id="rId1094" ref="D1095"/>
    <hyperlink r:id="rId1095" ref="D1096"/>
    <hyperlink r:id="rId1096" ref="D1097"/>
    <hyperlink r:id="rId1097" ref="D1098"/>
    <hyperlink r:id="rId1098" ref="D1099"/>
    <hyperlink r:id="rId1099" ref="D1100"/>
    <hyperlink r:id="rId1100" ref="D1101"/>
    <hyperlink r:id="rId1101" ref="D1102"/>
    <hyperlink r:id="rId1102" ref="D1103"/>
    <hyperlink r:id="rId1103" ref="D1104"/>
    <hyperlink r:id="rId1104" ref="D1105"/>
    <hyperlink r:id="rId1105" ref="D1106"/>
    <hyperlink r:id="rId1106" ref="D1107"/>
    <hyperlink r:id="rId1107" ref="D1108"/>
    <hyperlink r:id="rId1108" ref="D1109"/>
    <hyperlink r:id="rId1109" ref="D1110"/>
    <hyperlink r:id="rId1110" ref="D1111"/>
    <hyperlink r:id="rId1111" ref="D1112"/>
    <hyperlink r:id="rId1112" ref="D1113"/>
    <hyperlink r:id="rId1113" ref="D1114"/>
    <hyperlink r:id="rId1114" ref="D1115"/>
    <hyperlink r:id="rId1115" ref="D1116"/>
    <hyperlink r:id="rId1116" ref="D1117"/>
    <hyperlink r:id="rId1117" ref="D1118"/>
    <hyperlink r:id="rId1118" ref="D1119"/>
    <hyperlink r:id="rId1119" ref="D1120"/>
    <hyperlink r:id="rId1120" ref="D1121"/>
    <hyperlink r:id="rId1121" ref="D1122"/>
    <hyperlink r:id="rId1122" ref="D1123"/>
    <hyperlink r:id="rId1123" ref="D1124"/>
    <hyperlink r:id="rId1124" ref="D1125"/>
    <hyperlink r:id="rId1125" ref="D1126"/>
    <hyperlink r:id="rId1126" ref="D1127"/>
    <hyperlink r:id="rId1127" ref="D1128"/>
    <hyperlink r:id="rId1128" ref="D1129"/>
    <hyperlink r:id="rId1129" ref="D1130"/>
    <hyperlink r:id="rId1130" ref="D1131"/>
    <hyperlink r:id="rId1131" ref="D1132"/>
    <hyperlink r:id="rId1132" ref="D1133"/>
    <hyperlink r:id="rId1133" ref="D1134"/>
    <hyperlink r:id="rId1134" ref="D1135"/>
    <hyperlink r:id="rId1135" ref="D1136"/>
    <hyperlink r:id="rId1136" ref="D1137"/>
    <hyperlink r:id="rId1137" ref="D1138"/>
    <hyperlink r:id="rId1138" ref="D1139"/>
    <hyperlink r:id="rId1139" ref="D1140"/>
    <hyperlink r:id="rId1140" ref="D1141"/>
    <hyperlink r:id="rId1141" ref="D1142"/>
    <hyperlink r:id="rId1142" ref="D1143"/>
    <hyperlink r:id="rId1143" ref="D1144"/>
    <hyperlink r:id="rId1144" ref="D1145"/>
    <hyperlink r:id="rId1145" ref="D1146"/>
    <hyperlink r:id="rId1146" ref="D1147"/>
    <hyperlink r:id="rId1147" ref="D1148"/>
    <hyperlink r:id="rId1148" ref="D1149"/>
    <hyperlink r:id="rId1149" ref="D1150"/>
    <hyperlink r:id="rId1150" ref="D1151"/>
    <hyperlink r:id="rId1151" ref="D1152"/>
    <hyperlink r:id="rId1152" ref="D1153"/>
    <hyperlink r:id="rId1153" ref="D1154"/>
    <hyperlink r:id="rId1154" ref="D1155"/>
    <hyperlink r:id="rId1155" ref="D1156"/>
    <hyperlink r:id="rId1156" ref="D1157"/>
    <hyperlink r:id="rId1157" ref="D1158"/>
    <hyperlink r:id="rId1158" ref="D1159"/>
    <hyperlink r:id="rId1159" ref="D1160"/>
    <hyperlink r:id="rId1160" ref="D1161"/>
    <hyperlink r:id="rId1161" ref="D1162"/>
    <hyperlink r:id="rId1162" ref="D1163"/>
    <hyperlink r:id="rId1163" ref="D1164"/>
    <hyperlink r:id="rId1164" ref="D1165"/>
    <hyperlink r:id="rId1165" ref="D1166"/>
    <hyperlink r:id="rId1166" ref="D1167"/>
    <hyperlink r:id="rId1167" ref="D1168"/>
    <hyperlink r:id="rId1168" ref="D1169"/>
    <hyperlink r:id="rId1169" ref="D1170"/>
    <hyperlink r:id="rId1170" ref="D1171"/>
    <hyperlink r:id="rId1171" ref="D1172"/>
    <hyperlink r:id="rId1172" ref="D1173"/>
    <hyperlink r:id="rId1173" ref="D1174"/>
    <hyperlink r:id="rId1174" ref="D1175"/>
    <hyperlink r:id="rId1175" ref="D1176"/>
    <hyperlink r:id="rId1176" ref="D1177"/>
    <hyperlink r:id="rId1177" ref="D1178"/>
    <hyperlink r:id="rId1178" ref="D1179"/>
    <hyperlink r:id="rId1179" ref="D1180"/>
    <hyperlink r:id="rId1180" ref="D1181"/>
    <hyperlink r:id="rId1181" ref="D1182"/>
    <hyperlink r:id="rId1182" ref="D1183"/>
    <hyperlink r:id="rId1183" ref="D1184"/>
    <hyperlink r:id="rId1184" ref="D1185"/>
    <hyperlink r:id="rId1185" ref="D1186"/>
    <hyperlink r:id="rId1186" ref="D1187"/>
    <hyperlink r:id="rId1187" ref="D1188"/>
    <hyperlink r:id="rId1188" ref="D1189"/>
    <hyperlink r:id="rId1189" ref="D1190"/>
    <hyperlink r:id="rId1190" ref="D1191"/>
    <hyperlink r:id="rId1191" ref="D1192"/>
    <hyperlink r:id="rId1192" ref="D1193"/>
    <hyperlink r:id="rId1193" ref="D1194"/>
    <hyperlink r:id="rId1194" ref="D1195"/>
    <hyperlink r:id="rId1195" ref="D1196"/>
    <hyperlink r:id="rId1196" ref="D1197"/>
    <hyperlink r:id="rId1197" ref="D1198"/>
    <hyperlink r:id="rId1198" ref="D1199"/>
    <hyperlink r:id="rId1199" ref="D1200"/>
    <hyperlink r:id="rId1200" ref="D1201"/>
    <hyperlink r:id="rId1201" ref="D1202"/>
    <hyperlink r:id="rId1202" ref="D1203"/>
    <hyperlink r:id="rId1203" ref="D1204"/>
    <hyperlink r:id="rId1204" ref="D1205"/>
    <hyperlink r:id="rId1205" ref="D1206"/>
    <hyperlink r:id="rId1206" ref="D1207"/>
    <hyperlink r:id="rId1207" ref="D1208"/>
    <hyperlink r:id="rId1208" ref="D1209"/>
    <hyperlink r:id="rId1209" ref="D1210"/>
    <hyperlink r:id="rId1210" ref="D1211"/>
    <hyperlink r:id="rId1211" ref="D1212"/>
    <hyperlink r:id="rId1212" ref="D1213"/>
    <hyperlink r:id="rId1213" ref="D1214"/>
    <hyperlink r:id="rId1214" ref="D1215"/>
    <hyperlink r:id="rId1215" ref="D1216"/>
    <hyperlink r:id="rId1216" ref="D1217"/>
    <hyperlink r:id="rId1217" ref="D1218"/>
    <hyperlink r:id="rId1218" ref="D1219"/>
    <hyperlink r:id="rId1219" ref="D1220"/>
    <hyperlink r:id="rId1220" ref="D1221"/>
    <hyperlink r:id="rId1221" ref="D1222"/>
    <hyperlink r:id="rId1222" ref="D1223"/>
    <hyperlink r:id="rId1223" ref="D1224"/>
    <hyperlink r:id="rId1224" ref="D1225"/>
    <hyperlink r:id="rId1225" ref="D1226"/>
    <hyperlink r:id="rId1226" ref="D1227"/>
    <hyperlink r:id="rId1227" ref="D1228"/>
    <hyperlink r:id="rId1228" ref="D1229"/>
    <hyperlink r:id="rId1229" ref="D1230"/>
    <hyperlink r:id="rId1230" ref="D1231"/>
    <hyperlink r:id="rId1231" ref="D1232"/>
    <hyperlink r:id="rId1232" ref="D1233"/>
    <hyperlink r:id="rId1233" ref="D1234"/>
    <hyperlink r:id="rId1234" ref="D1235"/>
    <hyperlink r:id="rId1235" ref="D1236"/>
    <hyperlink r:id="rId1236" ref="D1237"/>
    <hyperlink r:id="rId1237" ref="D1238"/>
    <hyperlink r:id="rId1238" ref="D1239"/>
    <hyperlink r:id="rId1239" ref="D1240"/>
    <hyperlink r:id="rId1240" ref="D1241"/>
    <hyperlink r:id="rId1241" ref="D1242"/>
    <hyperlink r:id="rId1242" ref="D1243"/>
    <hyperlink r:id="rId1243" ref="D1244"/>
    <hyperlink r:id="rId1244" ref="D1245"/>
    <hyperlink r:id="rId1245" ref="D1246"/>
    <hyperlink r:id="rId1246" ref="D1247"/>
    <hyperlink r:id="rId1247" ref="D1248"/>
    <hyperlink r:id="rId1248" ref="D1249"/>
    <hyperlink r:id="rId1249" ref="D1250"/>
    <hyperlink r:id="rId1250" ref="D1251"/>
    <hyperlink r:id="rId1251" ref="D1252"/>
    <hyperlink r:id="rId1252" ref="D1253"/>
    <hyperlink r:id="rId1253" ref="D1254"/>
    <hyperlink r:id="rId1254" ref="D1255"/>
    <hyperlink r:id="rId1255" ref="D1256"/>
    <hyperlink r:id="rId1256" ref="D1257"/>
    <hyperlink r:id="rId1257" ref="D1258"/>
    <hyperlink r:id="rId1258" ref="D1259"/>
    <hyperlink r:id="rId1259" ref="D1260"/>
    <hyperlink r:id="rId1260" ref="D1261"/>
    <hyperlink r:id="rId1261" ref="D1262"/>
    <hyperlink r:id="rId1262" ref="D1263"/>
    <hyperlink r:id="rId1263" ref="D1264"/>
    <hyperlink r:id="rId1264" ref="D1265"/>
    <hyperlink r:id="rId1265" ref="D1266"/>
    <hyperlink r:id="rId1266" ref="D1267"/>
    <hyperlink r:id="rId1267" ref="D1268"/>
    <hyperlink r:id="rId1268" ref="D1269"/>
    <hyperlink r:id="rId1269" ref="D1270"/>
    <hyperlink r:id="rId1270" ref="D1271"/>
    <hyperlink r:id="rId1271" ref="D1272"/>
    <hyperlink r:id="rId1272" ref="D1273"/>
    <hyperlink r:id="rId1273" ref="D1274"/>
    <hyperlink r:id="rId1274" ref="D1275"/>
    <hyperlink r:id="rId1275" ref="D1276"/>
    <hyperlink r:id="rId1276" ref="D1277"/>
    <hyperlink r:id="rId1277" ref="D1278"/>
    <hyperlink r:id="rId1278" ref="D1279"/>
    <hyperlink r:id="rId1279" ref="D1280"/>
    <hyperlink r:id="rId1280" ref="D1281"/>
    <hyperlink r:id="rId1281" ref="D1282"/>
    <hyperlink r:id="rId1282" ref="D1283"/>
    <hyperlink r:id="rId1283" ref="D1284"/>
    <hyperlink r:id="rId1284" ref="D1285"/>
    <hyperlink r:id="rId1285" ref="D1286"/>
    <hyperlink r:id="rId1286" ref="D1287"/>
    <hyperlink r:id="rId1287" ref="D1288"/>
    <hyperlink r:id="rId1288" ref="D1289"/>
    <hyperlink r:id="rId1289" ref="D1290"/>
    <hyperlink r:id="rId1290" ref="D1291"/>
    <hyperlink r:id="rId1291" ref="D1292"/>
    <hyperlink r:id="rId1292" ref="D1293"/>
    <hyperlink r:id="rId1293" ref="D1294"/>
    <hyperlink r:id="rId1294" ref="D1295"/>
    <hyperlink r:id="rId1295" ref="D1296"/>
    <hyperlink r:id="rId1296" ref="D1297"/>
    <hyperlink r:id="rId1297" ref="D1298"/>
    <hyperlink r:id="rId1298" ref="D1299"/>
    <hyperlink r:id="rId1299" ref="D1300"/>
    <hyperlink r:id="rId1300" ref="D1301"/>
    <hyperlink r:id="rId1301" ref="D1302"/>
    <hyperlink r:id="rId1302" ref="D1303"/>
    <hyperlink r:id="rId1303" ref="D1304"/>
    <hyperlink r:id="rId1304" ref="D1305"/>
    <hyperlink r:id="rId1305" ref="D1306"/>
    <hyperlink r:id="rId1306" ref="D1307"/>
    <hyperlink r:id="rId1307" ref="D1308"/>
    <hyperlink r:id="rId1308" ref="D1309"/>
    <hyperlink r:id="rId1309" ref="D1310"/>
    <hyperlink r:id="rId1310" ref="D1311"/>
    <hyperlink r:id="rId1311" ref="D1312"/>
    <hyperlink r:id="rId1312" ref="D1313"/>
    <hyperlink r:id="rId1313" ref="D1314"/>
    <hyperlink r:id="rId1314" ref="D1315"/>
    <hyperlink r:id="rId1315" ref="D1316"/>
    <hyperlink r:id="rId1316" ref="D1317"/>
    <hyperlink r:id="rId1317" ref="D1318"/>
    <hyperlink r:id="rId1318" ref="D1319"/>
    <hyperlink r:id="rId1319" ref="D1320"/>
    <hyperlink r:id="rId1320" ref="D1321"/>
    <hyperlink r:id="rId1321" ref="D1322"/>
    <hyperlink r:id="rId1322" ref="D1323"/>
    <hyperlink r:id="rId1323" ref="D1324"/>
    <hyperlink r:id="rId1324" ref="D1325"/>
    <hyperlink r:id="rId1325" ref="D1326"/>
    <hyperlink r:id="rId1326" ref="D1327"/>
    <hyperlink r:id="rId1327" ref="D1328"/>
    <hyperlink r:id="rId1328" ref="D1329"/>
    <hyperlink r:id="rId1329" ref="D1330"/>
    <hyperlink r:id="rId1330" ref="D1331"/>
    <hyperlink r:id="rId1331" ref="D1332"/>
    <hyperlink r:id="rId1332" ref="D1333"/>
    <hyperlink r:id="rId1333" ref="D1334"/>
    <hyperlink r:id="rId1334" ref="D1335"/>
    <hyperlink r:id="rId1335" ref="D1336"/>
    <hyperlink r:id="rId1336" ref="D1337"/>
    <hyperlink r:id="rId1337" ref="D1338"/>
    <hyperlink r:id="rId1338" ref="D1339"/>
    <hyperlink r:id="rId1339" ref="D1340"/>
    <hyperlink r:id="rId1340" ref="D1341"/>
    <hyperlink r:id="rId1341" ref="D1342"/>
    <hyperlink r:id="rId1342" ref="D1343"/>
    <hyperlink r:id="rId1343" ref="D1344"/>
    <hyperlink r:id="rId1344" ref="D1345"/>
    <hyperlink r:id="rId1345" ref="D1346"/>
    <hyperlink r:id="rId1346" ref="D1347"/>
    <hyperlink r:id="rId1347" ref="D1348"/>
    <hyperlink r:id="rId1348" ref="D1349"/>
    <hyperlink r:id="rId1349" ref="D1350"/>
    <hyperlink r:id="rId1350" ref="D1351"/>
    <hyperlink r:id="rId1351" ref="D1352"/>
    <hyperlink r:id="rId1352" ref="D1353"/>
    <hyperlink r:id="rId1353" ref="D1354"/>
    <hyperlink r:id="rId1354" ref="D1355"/>
    <hyperlink r:id="rId1355" ref="D1356"/>
    <hyperlink r:id="rId1356" ref="D1357"/>
    <hyperlink r:id="rId1357" ref="D1358"/>
    <hyperlink r:id="rId1358" ref="D1359"/>
    <hyperlink r:id="rId1359" ref="D1360"/>
    <hyperlink r:id="rId1360" ref="D1361"/>
    <hyperlink r:id="rId1361" ref="D1362"/>
    <hyperlink r:id="rId1362" ref="D1363"/>
    <hyperlink r:id="rId1363" ref="D1364"/>
    <hyperlink r:id="rId1364" ref="D1365"/>
    <hyperlink r:id="rId1365" ref="D1366"/>
    <hyperlink r:id="rId1366" ref="D1367"/>
    <hyperlink r:id="rId1367" ref="D1368"/>
    <hyperlink r:id="rId1368" ref="D1369"/>
    <hyperlink r:id="rId1369" ref="D1370"/>
    <hyperlink r:id="rId1370" ref="D1371"/>
    <hyperlink r:id="rId1371" ref="D1372"/>
    <hyperlink r:id="rId1372" ref="D1373"/>
    <hyperlink r:id="rId1373" ref="D1374"/>
    <hyperlink r:id="rId1374" ref="D1375"/>
    <hyperlink r:id="rId1375" ref="D1376"/>
    <hyperlink r:id="rId1376" ref="D1377"/>
    <hyperlink r:id="rId1377" ref="D1378"/>
    <hyperlink r:id="rId1378" ref="D1379"/>
    <hyperlink r:id="rId1379" ref="D1380"/>
    <hyperlink r:id="rId1380" ref="D1381"/>
    <hyperlink r:id="rId1381" ref="D1382"/>
    <hyperlink r:id="rId1382" ref="D1383"/>
    <hyperlink r:id="rId1383" ref="D1384"/>
    <hyperlink r:id="rId1384" ref="D1385"/>
    <hyperlink r:id="rId1385" ref="D1386"/>
    <hyperlink r:id="rId1386" ref="D1387"/>
    <hyperlink r:id="rId1387" ref="D1388"/>
    <hyperlink r:id="rId1388" ref="D1389"/>
    <hyperlink r:id="rId1389" ref="D1390"/>
    <hyperlink r:id="rId1390" ref="D1391"/>
    <hyperlink r:id="rId1391" ref="D1392"/>
    <hyperlink r:id="rId1392" ref="D1393"/>
    <hyperlink r:id="rId1393" ref="D1394"/>
    <hyperlink r:id="rId1394" ref="D1395"/>
    <hyperlink r:id="rId1395" ref="D1396"/>
    <hyperlink r:id="rId1396" ref="D1397"/>
    <hyperlink r:id="rId1397" ref="D1398"/>
    <hyperlink r:id="rId1398" ref="D1399"/>
    <hyperlink r:id="rId1399" ref="D1400"/>
    <hyperlink r:id="rId1400" ref="D1401"/>
    <hyperlink r:id="rId1401" ref="D1402"/>
    <hyperlink r:id="rId1402" ref="D1403"/>
    <hyperlink r:id="rId1403" ref="D1404"/>
    <hyperlink r:id="rId1404" ref="D1405"/>
    <hyperlink r:id="rId1405" ref="D1406"/>
    <hyperlink r:id="rId1406" ref="D1407"/>
    <hyperlink r:id="rId1407" ref="D1408"/>
    <hyperlink r:id="rId1408" ref="D1409"/>
    <hyperlink r:id="rId1409" ref="D1410"/>
    <hyperlink r:id="rId1410" ref="D1411"/>
    <hyperlink r:id="rId1411" ref="D1412"/>
    <hyperlink r:id="rId1412" ref="D1413"/>
    <hyperlink r:id="rId1413" ref="D1414"/>
    <hyperlink r:id="rId1414" ref="D1415"/>
    <hyperlink r:id="rId1415" ref="D1416"/>
    <hyperlink r:id="rId1416" ref="D1417"/>
    <hyperlink r:id="rId1417" ref="D1418"/>
    <hyperlink r:id="rId1418" ref="D1419"/>
    <hyperlink r:id="rId1419" ref="D1420"/>
    <hyperlink r:id="rId1420" ref="D1421"/>
    <hyperlink r:id="rId1421" ref="D1422"/>
    <hyperlink r:id="rId1422" ref="D1423"/>
    <hyperlink r:id="rId1423" ref="D1424"/>
    <hyperlink r:id="rId1424" ref="D1425"/>
    <hyperlink r:id="rId1425" ref="D1426"/>
    <hyperlink r:id="rId1426" ref="D1427"/>
    <hyperlink r:id="rId1427" ref="D1428"/>
    <hyperlink r:id="rId1428" ref="D1429"/>
    <hyperlink r:id="rId1429" ref="D1430"/>
    <hyperlink r:id="rId1430" ref="D1431"/>
    <hyperlink r:id="rId1431" ref="D1432"/>
    <hyperlink r:id="rId1432" ref="D1433"/>
    <hyperlink r:id="rId1433" ref="D1434"/>
    <hyperlink r:id="rId1434" ref="D1435"/>
    <hyperlink r:id="rId1435" ref="D1436"/>
    <hyperlink r:id="rId1436" ref="D1437"/>
    <hyperlink r:id="rId1437" ref="D1438"/>
    <hyperlink r:id="rId1438" ref="D1439"/>
    <hyperlink r:id="rId1439" ref="D1440"/>
    <hyperlink r:id="rId1440" ref="D1441"/>
    <hyperlink r:id="rId1441" ref="D1442"/>
    <hyperlink r:id="rId1442" ref="D1443"/>
    <hyperlink r:id="rId1443" ref="D1444"/>
    <hyperlink r:id="rId1444" ref="D1445"/>
    <hyperlink r:id="rId1445" ref="D1446"/>
    <hyperlink r:id="rId1446" ref="D1447"/>
    <hyperlink r:id="rId1447" ref="D1448"/>
    <hyperlink r:id="rId1448" ref="D1449"/>
    <hyperlink r:id="rId1449" ref="D1450"/>
    <hyperlink r:id="rId1450" ref="D1451"/>
    <hyperlink r:id="rId1451" ref="D1452"/>
    <hyperlink r:id="rId1452" ref="D1453"/>
    <hyperlink r:id="rId1453" ref="D1454"/>
    <hyperlink r:id="rId1454" ref="D1455"/>
    <hyperlink r:id="rId1455" ref="D1456"/>
    <hyperlink r:id="rId1456" ref="D1457"/>
    <hyperlink r:id="rId1457" ref="D1458"/>
    <hyperlink r:id="rId1458" ref="D1459"/>
    <hyperlink r:id="rId1459" ref="D1460"/>
    <hyperlink r:id="rId1460" ref="D1461"/>
    <hyperlink r:id="rId1461" ref="D1462"/>
    <hyperlink r:id="rId1462" ref="D1463"/>
    <hyperlink r:id="rId1463" ref="D1464"/>
    <hyperlink r:id="rId1464" ref="D1465"/>
    <hyperlink r:id="rId1465" ref="D1466"/>
    <hyperlink r:id="rId1466" ref="D1467"/>
    <hyperlink r:id="rId1467" ref="D1468"/>
    <hyperlink r:id="rId1468" ref="D1469"/>
    <hyperlink r:id="rId1469" ref="D1470"/>
    <hyperlink r:id="rId1470" ref="D1471"/>
    <hyperlink r:id="rId1471" ref="D1472"/>
    <hyperlink r:id="rId1472" ref="D1473"/>
    <hyperlink r:id="rId1473" ref="D1474"/>
    <hyperlink r:id="rId1474" ref="D1475"/>
    <hyperlink r:id="rId1475" ref="D1476"/>
    <hyperlink r:id="rId1476" ref="D1477"/>
    <hyperlink r:id="rId1477" ref="D1478"/>
    <hyperlink r:id="rId1478" ref="D1479"/>
    <hyperlink r:id="rId1479" ref="D1480"/>
    <hyperlink r:id="rId1480" ref="D1481"/>
    <hyperlink r:id="rId1481" ref="D1482"/>
    <hyperlink r:id="rId1482" ref="D1483"/>
    <hyperlink r:id="rId1483" ref="D1484"/>
    <hyperlink r:id="rId1484" ref="D1485"/>
    <hyperlink r:id="rId1485" ref="D1486"/>
    <hyperlink r:id="rId1486" ref="D1487"/>
    <hyperlink r:id="rId1487" ref="D1488"/>
    <hyperlink r:id="rId1488" ref="D1489"/>
    <hyperlink r:id="rId1489" ref="D1490"/>
    <hyperlink r:id="rId1490" ref="D1491"/>
    <hyperlink r:id="rId1491" ref="D1492"/>
    <hyperlink r:id="rId1492" ref="D1493"/>
    <hyperlink r:id="rId1493" ref="D1494"/>
    <hyperlink r:id="rId1494" ref="D1495"/>
    <hyperlink r:id="rId1495" ref="D1496"/>
    <hyperlink r:id="rId1496" ref="D1497"/>
    <hyperlink r:id="rId1497" ref="D1498"/>
    <hyperlink r:id="rId1498" ref="D1499"/>
    <hyperlink r:id="rId1499" ref="D1500"/>
    <hyperlink r:id="rId1500" ref="D1501"/>
    <hyperlink r:id="rId1501" ref="D1502"/>
    <hyperlink r:id="rId1502" ref="D1503"/>
    <hyperlink r:id="rId1503" ref="D1504"/>
    <hyperlink r:id="rId1504" ref="D1505"/>
    <hyperlink r:id="rId1505" ref="D1506"/>
    <hyperlink r:id="rId1506" ref="D1507"/>
    <hyperlink r:id="rId1507" ref="D1508"/>
    <hyperlink r:id="rId1508" ref="D1509"/>
    <hyperlink r:id="rId1509" ref="D1510"/>
    <hyperlink r:id="rId1510" ref="D1511"/>
    <hyperlink r:id="rId1511" ref="D1512"/>
    <hyperlink r:id="rId1512" ref="D1513"/>
    <hyperlink r:id="rId1513" ref="D1514"/>
    <hyperlink r:id="rId1514" ref="D1515"/>
    <hyperlink r:id="rId1515" ref="D1516"/>
    <hyperlink r:id="rId1516" ref="D1517"/>
    <hyperlink r:id="rId1517" ref="D1518"/>
    <hyperlink r:id="rId1518" ref="D1519"/>
    <hyperlink r:id="rId1519" ref="D1520"/>
    <hyperlink r:id="rId1520" ref="D1521"/>
    <hyperlink r:id="rId1521" ref="D1522"/>
    <hyperlink r:id="rId1522" ref="D1523"/>
    <hyperlink r:id="rId1523" ref="D1524"/>
    <hyperlink r:id="rId1524" ref="D1525"/>
    <hyperlink r:id="rId1525" ref="D1526"/>
    <hyperlink r:id="rId1526" ref="D1527"/>
    <hyperlink r:id="rId1527" ref="D1528"/>
    <hyperlink r:id="rId1528" ref="D1529"/>
    <hyperlink r:id="rId1529" ref="D1530"/>
    <hyperlink r:id="rId1530" ref="D1531"/>
    <hyperlink r:id="rId1531" ref="D1532"/>
    <hyperlink r:id="rId1532" ref="D1533"/>
    <hyperlink r:id="rId1533" ref="D1534"/>
    <hyperlink r:id="rId1534" ref="D1535"/>
    <hyperlink r:id="rId1535" ref="D1536"/>
    <hyperlink r:id="rId1536" ref="D1537"/>
    <hyperlink r:id="rId1537" ref="D1538"/>
    <hyperlink r:id="rId1538" ref="D1539"/>
    <hyperlink r:id="rId1539" ref="D1540"/>
    <hyperlink r:id="rId1540" ref="D1541"/>
    <hyperlink r:id="rId1541" ref="D1542"/>
    <hyperlink r:id="rId1542" ref="D1543"/>
    <hyperlink r:id="rId1543" ref="D1544"/>
    <hyperlink r:id="rId1544" ref="D1545"/>
    <hyperlink r:id="rId1545" ref="D1546"/>
    <hyperlink r:id="rId1546" ref="D1547"/>
    <hyperlink r:id="rId1547" ref="D1548"/>
    <hyperlink r:id="rId1548" ref="D1549"/>
    <hyperlink r:id="rId1549" ref="D1550"/>
    <hyperlink r:id="rId1550" ref="D1551"/>
    <hyperlink r:id="rId1551" ref="D1552"/>
    <hyperlink r:id="rId1552" ref="D1553"/>
    <hyperlink r:id="rId1553" ref="D1554"/>
    <hyperlink r:id="rId1554" ref="D1555"/>
    <hyperlink r:id="rId1555" ref="D1556"/>
    <hyperlink r:id="rId1556" ref="D1557"/>
    <hyperlink r:id="rId1557" ref="D1558"/>
    <hyperlink r:id="rId1558" ref="D1559"/>
    <hyperlink r:id="rId1559" ref="D1560"/>
    <hyperlink r:id="rId1560" ref="D1561"/>
    <hyperlink r:id="rId1561" ref="D1562"/>
    <hyperlink r:id="rId1562" ref="D1563"/>
    <hyperlink r:id="rId1563" ref="D1564"/>
    <hyperlink r:id="rId1564" ref="D1565"/>
    <hyperlink r:id="rId1565" ref="D1566"/>
    <hyperlink r:id="rId1566" ref="D1567"/>
    <hyperlink r:id="rId1567" ref="D1568"/>
    <hyperlink r:id="rId1568" ref="D1569"/>
    <hyperlink r:id="rId1569" ref="D1570"/>
    <hyperlink r:id="rId1570" ref="D1571"/>
    <hyperlink r:id="rId1571" ref="D1572"/>
    <hyperlink r:id="rId1572" ref="D1573"/>
    <hyperlink r:id="rId1573" ref="D1574"/>
    <hyperlink r:id="rId1574" ref="D1575"/>
    <hyperlink r:id="rId1575" ref="D1576"/>
    <hyperlink r:id="rId1576" ref="D1577"/>
    <hyperlink r:id="rId1577" ref="D1578"/>
    <hyperlink r:id="rId1578" ref="D1579"/>
    <hyperlink r:id="rId1579" ref="D1580"/>
    <hyperlink r:id="rId1580" ref="D1581"/>
    <hyperlink r:id="rId1581" ref="D1582"/>
    <hyperlink r:id="rId1582" ref="D1583"/>
    <hyperlink r:id="rId1583" ref="D1584"/>
    <hyperlink r:id="rId1584" ref="D1585"/>
    <hyperlink r:id="rId1585" ref="D1586"/>
    <hyperlink r:id="rId1586" ref="D1587"/>
    <hyperlink r:id="rId1587" ref="D1588"/>
    <hyperlink r:id="rId1588" ref="D1589"/>
    <hyperlink r:id="rId1589" ref="D1590"/>
    <hyperlink r:id="rId1590" ref="D1591"/>
    <hyperlink r:id="rId1591" ref="D1592"/>
    <hyperlink r:id="rId1592" ref="D1593"/>
    <hyperlink r:id="rId1593" ref="D1594"/>
    <hyperlink r:id="rId1594" ref="D1595"/>
    <hyperlink r:id="rId1595" ref="D1596"/>
    <hyperlink r:id="rId1596" ref="D1597"/>
    <hyperlink r:id="rId1597" ref="D1598"/>
    <hyperlink r:id="rId1598" ref="D1599"/>
    <hyperlink r:id="rId1599" ref="D1600"/>
    <hyperlink r:id="rId1600" ref="D1601"/>
    <hyperlink r:id="rId1601" ref="D1602"/>
    <hyperlink r:id="rId1602" ref="D1603"/>
    <hyperlink r:id="rId1603" ref="D1604"/>
    <hyperlink r:id="rId1604" ref="D1605"/>
    <hyperlink r:id="rId1605" ref="D1606"/>
    <hyperlink r:id="rId1606" ref="D1607"/>
    <hyperlink r:id="rId1607" ref="D1608"/>
    <hyperlink r:id="rId1608" ref="D1609"/>
    <hyperlink r:id="rId1609" ref="D1610"/>
    <hyperlink r:id="rId1610" ref="D1611"/>
    <hyperlink r:id="rId1611" ref="D1612"/>
    <hyperlink r:id="rId1612" ref="D1613"/>
    <hyperlink r:id="rId1613" ref="D1614"/>
    <hyperlink r:id="rId1614" ref="D1615"/>
    <hyperlink r:id="rId1615" ref="D1616"/>
    <hyperlink r:id="rId1616" ref="D1617"/>
    <hyperlink r:id="rId1617" ref="D1618"/>
    <hyperlink r:id="rId1618" ref="D1619"/>
    <hyperlink r:id="rId1619" ref="D1620"/>
    <hyperlink r:id="rId1620" ref="D1621"/>
    <hyperlink r:id="rId1621" ref="D1622"/>
    <hyperlink r:id="rId1622" ref="D1623"/>
    <hyperlink r:id="rId1623" ref="D1624"/>
    <hyperlink r:id="rId1624" ref="D1625"/>
    <hyperlink r:id="rId1625" ref="D1626"/>
    <hyperlink r:id="rId1626" ref="D1627"/>
    <hyperlink r:id="rId1627" ref="D1628"/>
    <hyperlink r:id="rId1628" ref="D1629"/>
    <hyperlink r:id="rId1629" ref="D1630"/>
    <hyperlink r:id="rId1630" ref="D1631"/>
    <hyperlink r:id="rId1631" ref="D1632"/>
    <hyperlink r:id="rId1632" ref="D1633"/>
    <hyperlink r:id="rId1633" ref="D1634"/>
    <hyperlink r:id="rId1634" ref="D1635"/>
    <hyperlink r:id="rId1635" ref="D1636"/>
    <hyperlink r:id="rId1636" ref="D1637"/>
    <hyperlink r:id="rId1637" ref="D1638"/>
    <hyperlink r:id="rId1638" ref="D1639"/>
    <hyperlink r:id="rId1639" ref="D1640"/>
    <hyperlink r:id="rId1640" ref="D1641"/>
    <hyperlink r:id="rId1641" ref="D1642"/>
    <hyperlink r:id="rId1642" ref="D1643"/>
    <hyperlink r:id="rId1643" ref="D1644"/>
    <hyperlink r:id="rId1644" ref="D1645"/>
    <hyperlink r:id="rId1645" ref="D1646"/>
    <hyperlink r:id="rId1646" ref="D1647"/>
    <hyperlink r:id="rId1647" ref="D1648"/>
    <hyperlink r:id="rId1648" ref="D1649"/>
    <hyperlink r:id="rId1649" ref="D1650"/>
    <hyperlink r:id="rId1650" ref="D1651"/>
    <hyperlink r:id="rId1651" ref="D1652"/>
    <hyperlink r:id="rId1652" ref="D1653"/>
    <hyperlink r:id="rId1653" ref="D1654"/>
    <hyperlink r:id="rId1654" ref="D1655"/>
    <hyperlink r:id="rId1655" ref="D1656"/>
    <hyperlink r:id="rId1656" ref="D1657"/>
    <hyperlink r:id="rId1657" ref="D1658"/>
    <hyperlink r:id="rId1658" ref="D1659"/>
    <hyperlink r:id="rId1659" ref="D1660"/>
    <hyperlink r:id="rId1660" ref="D1661"/>
    <hyperlink r:id="rId1661" ref="D1662"/>
    <hyperlink r:id="rId1662" ref="D1663"/>
    <hyperlink r:id="rId1663" ref="D1664"/>
    <hyperlink r:id="rId1664" ref="D1665"/>
    <hyperlink r:id="rId1665" ref="D1666"/>
    <hyperlink r:id="rId1666" ref="D1667"/>
    <hyperlink r:id="rId1667" ref="D1668"/>
    <hyperlink r:id="rId1668" ref="D1669"/>
    <hyperlink r:id="rId1669" ref="D1670"/>
    <hyperlink r:id="rId1670" ref="D1671"/>
    <hyperlink r:id="rId1671" ref="D1672"/>
    <hyperlink r:id="rId1672" ref="D1673"/>
    <hyperlink r:id="rId1673" ref="D1674"/>
    <hyperlink r:id="rId1674" ref="D1675"/>
    <hyperlink r:id="rId1675" ref="D1676"/>
    <hyperlink r:id="rId1676" ref="D1677"/>
    <hyperlink r:id="rId1677" ref="D1678"/>
    <hyperlink r:id="rId1678" ref="D1679"/>
    <hyperlink r:id="rId1679" ref="D1680"/>
    <hyperlink r:id="rId1680" ref="D1681"/>
    <hyperlink r:id="rId1681" ref="D1682"/>
    <hyperlink r:id="rId1682" ref="D1683"/>
    <hyperlink r:id="rId1683" ref="D1684"/>
    <hyperlink r:id="rId1684" ref="D1685"/>
    <hyperlink r:id="rId1685" ref="D1686"/>
    <hyperlink r:id="rId1686" ref="D1687"/>
    <hyperlink r:id="rId1687" ref="D1688"/>
    <hyperlink r:id="rId1688" ref="D1689"/>
    <hyperlink r:id="rId1689" ref="D1690"/>
    <hyperlink r:id="rId1690" ref="D1691"/>
    <hyperlink r:id="rId1691" ref="D1692"/>
    <hyperlink r:id="rId1692" ref="D1693"/>
    <hyperlink r:id="rId1693" ref="D1694"/>
    <hyperlink r:id="rId1694" ref="D1695"/>
    <hyperlink r:id="rId1695" ref="D1696"/>
    <hyperlink r:id="rId1696" ref="D1697"/>
    <hyperlink r:id="rId1697" ref="D1698"/>
    <hyperlink r:id="rId1698" ref="D1699"/>
    <hyperlink r:id="rId1699" ref="D1700"/>
    <hyperlink r:id="rId1700" ref="D1701"/>
    <hyperlink r:id="rId1701" ref="D1702"/>
    <hyperlink r:id="rId1702" ref="D1703"/>
    <hyperlink r:id="rId1703" ref="D1704"/>
    <hyperlink r:id="rId1704" ref="D1705"/>
    <hyperlink r:id="rId1705" ref="D1706"/>
    <hyperlink r:id="rId1706" ref="D1707"/>
    <hyperlink r:id="rId1707" ref="D1708"/>
    <hyperlink r:id="rId1708" ref="D1709"/>
    <hyperlink r:id="rId1709" ref="D1710"/>
    <hyperlink r:id="rId1710" ref="D1711"/>
    <hyperlink r:id="rId1711" ref="D1712"/>
    <hyperlink r:id="rId1712" ref="D1713"/>
    <hyperlink r:id="rId1713" ref="D1714"/>
    <hyperlink r:id="rId1714" ref="D1715"/>
    <hyperlink r:id="rId1715" ref="D1716"/>
    <hyperlink r:id="rId1716" ref="D1717"/>
    <hyperlink r:id="rId1717" ref="D1718"/>
    <hyperlink r:id="rId1718" ref="D1719"/>
    <hyperlink r:id="rId1719" ref="D1720"/>
    <hyperlink r:id="rId1720" ref="D1721"/>
    <hyperlink r:id="rId1721" ref="D1722"/>
    <hyperlink r:id="rId1722" ref="D1723"/>
    <hyperlink r:id="rId1723" ref="D1724"/>
    <hyperlink r:id="rId1724" ref="D1725"/>
    <hyperlink r:id="rId1725" ref="D1726"/>
    <hyperlink r:id="rId1726" ref="D1727"/>
    <hyperlink r:id="rId1727" ref="D1728"/>
    <hyperlink r:id="rId1728" ref="D1729"/>
    <hyperlink r:id="rId1729" ref="D1730"/>
    <hyperlink r:id="rId1730" ref="D1731"/>
    <hyperlink r:id="rId1731" ref="D1732"/>
    <hyperlink r:id="rId1732" ref="D1733"/>
    <hyperlink r:id="rId1733" ref="D1734"/>
    <hyperlink r:id="rId1734" ref="D1735"/>
    <hyperlink r:id="rId1735" ref="D1736"/>
    <hyperlink r:id="rId1736" ref="D1737"/>
    <hyperlink r:id="rId1737" ref="D1738"/>
    <hyperlink r:id="rId1738" ref="D1739"/>
    <hyperlink r:id="rId1739" ref="D1740"/>
    <hyperlink r:id="rId1740" ref="D1741"/>
    <hyperlink r:id="rId1741" ref="D1742"/>
    <hyperlink r:id="rId1742" ref="D1743"/>
    <hyperlink r:id="rId1743" ref="D1744"/>
    <hyperlink r:id="rId1744" ref="D1745"/>
    <hyperlink r:id="rId1745" ref="D1746"/>
    <hyperlink r:id="rId1746" ref="D1747"/>
    <hyperlink r:id="rId1747" ref="D1748"/>
    <hyperlink r:id="rId1748" ref="D1749"/>
    <hyperlink r:id="rId1749" ref="D1750"/>
    <hyperlink r:id="rId1750" ref="D1751"/>
    <hyperlink r:id="rId1751" ref="D1752"/>
    <hyperlink r:id="rId1752" ref="D1753"/>
    <hyperlink r:id="rId1753" ref="D1754"/>
    <hyperlink r:id="rId1754" ref="D1755"/>
    <hyperlink r:id="rId1755" ref="D1756"/>
    <hyperlink r:id="rId1756" ref="D1757"/>
    <hyperlink r:id="rId1757" ref="D1758"/>
    <hyperlink r:id="rId1758" ref="D1759"/>
    <hyperlink r:id="rId1759" ref="D1760"/>
    <hyperlink r:id="rId1760" ref="D1761"/>
    <hyperlink r:id="rId1761" ref="D1762"/>
    <hyperlink r:id="rId1762" ref="D1763"/>
    <hyperlink r:id="rId1763" ref="D1764"/>
    <hyperlink r:id="rId1764" ref="D1765"/>
    <hyperlink r:id="rId1765" ref="D1766"/>
    <hyperlink r:id="rId1766" ref="D1767"/>
    <hyperlink r:id="rId1767" ref="D1768"/>
    <hyperlink r:id="rId1768" ref="D1769"/>
    <hyperlink r:id="rId1769" ref="D1770"/>
    <hyperlink r:id="rId1770" ref="D1771"/>
    <hyperlink r:id="rId1771" ref="D1772"/>
    <hyperlink r:id="rId1772" ref="D1773"/>
    <hyperlink r:id="rId1773" ref="D1774"/>
    <hyperlink r:id="rId1774" ref="D1775"/>
    <hyperlink r:id="rId1775" ref="D1776"/>
    <hyperlink r:id="rId1776" ref="D1777"/>
    <hyperlink r:id="rId1777" ref="D1778"/>
    <hyperlink r:id="rId1778" ref="D1779"/>
    <hyperlink r:id="rId1779" ref="D1780"/>
    <hyperlink r:id="rId1780" ref="D1781"/>
    <hyperlink r:id="rId1781" ref="D1782"/>
    <hyperlink r:id="rId1782" ref="D1783"/>
    <hyperlink r:id="rId1783" ref="D1784"/>
    <hyperlink r:id="rId1784" ref="D1785"/>
    <hyperlink r:id="rId1785" ref="D1786"/>
    <hyperlink r:id="rId1786" ref="D1787"/>
    <hyperlink r:id="rId1787" ref="D1788"/>
    <hyperlink r:id="rId1788" ref="D1789"/>
    <hyperlink r:id="rId1789" ref="D1790"/>
    <hyperlink r:id="rId1790" ref="D1791"/>
    <hyperlink r:id="rId1791" ref="D1792"/>
    <hyperlink r:id="rId1792" ref="D1793"/>
    <hyperlink r:id="rId1793" ref="D1794"/>
    <hyperlink r:id="rId1794" ref="D1795"/>
    <hyperlink r:id="rId1795" ref="D1796"/>
    <hyperlink r:id="rId1796" ref="D1797"/>
    <hyperlink r:id="rId1797" ref="D1798"/>
    <hyperlink r:id="rId1798" ref="D1799"/>
    <hyperlink r:id="rId1799" ref="D1800"/>
    <hyperlink r:id="rId1800" ref="D1801"/>
    <hyperlink r:id="rId1801" ref="D1802"/>
    <hyperlink r:id="rId1802" ref="D1803"/>
    <hyperlink r:id="rId1803" ref="D1804"/>
    <hyperlink r:id="rId1804" ref="D1805"/>
    <hyperlink r:id="rId1805" ref="D1806"/>
    <hyperlink r:id="rId1806" ref="D1807"/>
    <hyperlink r:id="rId1807" ref="D1808"/>
    <hyperlink r:id="rId1808" ref="D1809"/>
    <hyperlink r:id="rId1809" ref="D1810"/>
    <hyperlink r:id="rId1810" ref="D1811"/>
    <hyperlink r:id="rId1811" ref="D1812"/>
    <hyperlink r:id="rId1812" ref="D1813"/>
    <hyperlink r:id="rId1813" ref="D1814"/>
    <hyperlink r:id="rId1814" ref="D1815"/>
    <hyperlink r:id="rId1815" ref="D1816"/>
    <hyperlink r:id="rId1816" ref="D1817"/>
    <hyperlink r:id="rId1817" ref="D1818"/>
    <hyperlink r:id="rId1818" ref="D1819"/>
    <hyperlink r:id="rId1819" ref="D1820"/>
    <hyperlink r:id="rId1820" ref="D1821"/>
    <hyperlink r:id="rId1821" ref="D1822"/>
    <hyperlink r:id="rId1822" ref="D1823"/>
    <hyperlink r:id="rId1823" ref="D1824"/>
    <hyperlink r:id="rId1824" ref="D1825"/>
    <hyperlink r:id="rId1825" ref="D1826"/>
    <hyperlink r:id="rId1826" ref="D1827"/>
    <hyperlink r:id="rId1827" ref="D1828"/>
    <hyperlink r:id="rId1828" ref="D1829"/>
    <hyperlink r:id="rId1829" ref="D1830"/>
    <hyperlink r:id="rId1830" ref="D1831"/>
    <hyperlink r:id="rId1831" ref="D1832"/>
    <hyperlink r:id="rId1832" ref="D1833"/>
    <hyperlink r:id="rId1833" ref="D1834"/>
    <hyperlink r:id="rId1834" ref="D1835"/>
    <hyperlink r:id="rId1835" ref="D1836"/>
    <hyperlink r:id="rId1836" ref="D1837"/>
    <hyperlink r:id="rId1837" ref="D1838"/>
    <hyperlink r:id="rId1838" ref="D1839"/>
    <hyperlink r:id="rId1839" ref="D1840"/>
    <hyperlink r:id="rId1840" ref="D1841"/>
    <hyperlink r:id="rId1841" ref="D1842"/>
    <hyperlink r:id="rId1842" ref="D1843"/>
    <hyperlink r:id="rId1843" ref="D1844"/>
    <hyperlink r:id="rId1844" ref="D1845"/>
    <hyperlink r:id="rId1845" ref="D1846"/>
    <hyperlink r:id="rId1846" ref="D1847"/>
    <hyperlink r:id="rId1847" ref="D1848"/>
    <hyperlink r:id="rId1848" ref="D1849"/>
    <hyperlink r:id="rId1849" ref="D1850"/>
    <hyperlink r:id="rId1850" ref="D1851"/>
    <hyperlink r:id="rId1851" ref="D1852"/>
    <hyperlink r:id="rId1852" ref="D1853"/>
    <hyperlink r:id="rId1853" ref="D1854"/>
    <hyperlink r:id="rId1854" ref="D1855"/>
    <hyperlink r:id="rId1855" ref="D1856"/>
    <hyperlink r:id="rId1856" ref="D1857"/>
    <hyperlink r:id="rId1857" ref="D1858"/>
    <hyperlink r:id="rId1858" ref="D1859"/>
    <hyperlink r:id="rId1859" ref="D1860"/>
    <hyperlink r:id="rId1860" ref="D1861"/>
    <hyperlink r:id="rId1861" ref="D1862"/>
    <hyperlink r:id="rId1862" ref="D1863"/>
    <hyperlink r:id="rId1863" ref="D1864"/>
    <hyperlink r:id="rId1864" ref="D1865"/>
    <hyperlink r:id="rId1865" ref="D1866"/>
    <hyperlink r:id="rId1866" ref="D1867"/>
    <hyperlink r:id="rId1867" ref="D1868"/>
    <hyperlink r:id="rId1868" ref="D1869"/>
    <hyperlink r:id="rId1869" ref="D1870"/>
    <hyperlink r:id="rId1870" ref="D1871"/>
    <hyperlink r:id="rId1871" ref="D1872"/>
    <hyperlink r:id="rId1872" ref="D1873"/>
    <hyperlink r:id="rId1873" ref="D1874"/>
    <hyperlink r:id="rId1874" ref="D1875"/>
    <hyperlink r:id="rId1875" ref="D1876"/>
    <hyperlink r:id="rId1876" ref="D1877"/>
    <hyperlink r:id="rId1877" ref="D1878"/>
    <hyperlink r:id="rId1878" ref="D1879"/>
    <hyperlink r:id="rId1879" ref="D1880"/>
    <hyperlink r:id="rId1880" ref="D1881"/>
    <hyperlink r:id="rId1881" ref="D1882"/>
    <hyperlink r:id="rId1882" ref="D1883"/>
    <hyperlink r:id="rId1883" ref="D1884"/>
    <hyperlink r:id="rId1884" ref="D1885"/>
    <hyperlink r:id="rId1885" ref="D1886"/>
    <hyperlink r:id="rId1886" ref="D1887"/>
    <hyperlink r:id="rId1887" ref="D1888"/>
    <hyperlink r:id="rId1888" ref="D1889"/>
    <hyperlink r:id="rId1889" ref="D1890"/>
    <hyperlink r:id="rId1890" ref="D1891"/>
    <hyperlink r:id="rId1891" ref="D1892"/>
    <hyperlink r:id="rId1892" ref="D1893"/>
    <hyperlink r:id="rId1893" ref="D1894"/>
    <hyperlink r:id="rId1894" ref="D1895"/>
    <hyperlink r:id="rId1895" ref="D1896"/>
    <hyperlink r:id="rId1896" ref="D1897"/>
    <hyperlink r:id="rId1897" ref="D1898"/>
    <hyperlink r:id="rId1898" ref="D1899"/>
    <hyperlink r:id="rId1899" ref="D1900"/>
    <hyperlink r:id="rId1900" ref="D1901"/>
    <hyperlink r:id="rId1901" ref="D1902"/>
    <hyperlink r:id="rId1902" ref="D1903"/>
    <hyperlink r:id="rId1903" ref="D1904"/>
    <hyperlink r:id="rId1904" ref="D1905"/>
    <hyperlink r:id="rId1905" ref="D1906"/>
    <hyperlink r:id="rId1906" ref="D1907"/>
    <hyperlink r:id="rId1907" ref="D1908"/>
    <hyperlink r:id="rId1908" ref="D1909"/>
    <hyperlink r:id="rId1909" ref="D1910"/>
    <hyperlink r:id="rId1910" ref="D1911"/>
    <hyperlink r:id="rId1911" ref="D1912"/>
    <hyperlink r:id="rId1912" ref="D1913"/>
    <hyperlink r:id="rId1913" ref="D1914"/>
    <hyperlink r:id="rId1914" ref="D1915"/>
    <hyperlink r:id="rId1915" ref="D1916"/>
    <hyperlink r:id="rId1916" ref="D1917"/>
    <hyperlink r:id="rId1917" ref="D1918"/>
    <hyperlink r:id="rId1918" ref="D1919"/>
    <hyperlink r:id="rId1919" ref="D1920"/>
    <hyperlink r:id="rId1920" ref="D1921"/>
    <hyperlink r:id="rId1921" ref="D1922"/>
    <hyperlink r:id="rId1922" ref="D1923"/>
    <hyperlink r:id="rId1923" ref="D1924"/>
    <hyperlink r:id="rId1924" ref="D1925"/>
    <hyperlink r:id="rId1925" ref="D1926"/>
    <hyperlink r:id="rId1926" ref="D1927"/>
    <hyperlink r:id="rId1927" ref="D1928"/>
    <hyperlink r:id="rId1928" ref="D1929"/>
    <hyperlink r:id="rId1929" ref="D1930"/>
    <hyperlink r:id="rId1930" ref="D1931"/>
    <hyperlink r:id="rId1931" ref="D1932"/>
    <hyperlink r:id="rId1932" ref="D1933"/>
    <hyperlink r:id="rId1933" ref="D1934"/>
    <hyperlink r:id="rId1934" ref="D1935"/>
    <hyperlink r:id="rId1935" ref="D1936"/>
    <hyperlink r:id="rId1936" ref="D1937"/>
    <hyperlink r:id="rId1937" ref="D1938"/>
    <hyperlink r:id="rId1938" ref="D1939"/>
    <hyperlink r:id="rId1939" ref="D1940"/>
    <hyperlink r:id="rId1940" ref="D1941"/>
    <hyperlink r:id="rId1941" ref="D1942"/>
    <hyperlink r:id="rId1942" ref="D1943"/>
    <hyperlink r:id="rId1943" ref="D1944"/>
    <hyperlink r:id="rId1944" ref="D1945"/>
    <hyperlink r:id="rId1945" ref="D1946"/>
    <hyperlink r:id="rId1946" ref="D1947"/>
    <hyperlink r:id="rId1947" ref="D1948"/>
    <hyperlink r:id="rId1948" ref="D1949"/>
    <hyperlink r:id="rId1949" ref="D1950"/>
    <hyperlink r:id="rId1950" ref="D1951"/>
    <hyperlink r:id="rId1951" ref="D1952"/>
    <hyperlink r:id="rId1952" ref="D1953"/>
    <hyperlink r:id="rId1953" ref="D1954"/>
    <hyperlink r:id="rId1954" ref="D1955"/>
    <hyperlink r:id="rId1955" ref="D1956"/>
    <hyperlink r:id="rId1956" ref="D1957"/>
    <hyperlink r:id="rId1957" ref="D1958"/>
    <hyperlink r:id="rId1958" ref="D1959"/>
    <hyperlink r:id="rId1959" ref="D1960"/>
    <hyperlink r:id="rId1960" ref="D1961"/>
    <hyperlink r:id="rId1961" ref="D1962"/>
    <hyperlink r:id="rId1962" ref="D1963"/>
    <hyperlink r:id="rId1963" ref="D1964"/>
    <hyperlink r:id="rId1964" ref="D1965"/>
    <hyperlink r:id="rId1965" ref="D1966"/>
    <hyperlink r:id="rId1966" ref="D1967"/>
    <hyperlink r:id="rId1967" ref="D1968"/>
    <hyperlink r:id="rId1968" ref="D1969"/>
    <hyperlink r:id="rId1969" ref="D1970"/>
    <hyperlink r:id="rId1970" ref="D1971"/>
    <hyperlink r:id="rId1971" ref="D1972"/>
    <hyperlink r:id="rId1972" ref="D1973"/>
    <hyperlink r:id="rId1973" ref="D1974"/>
    <hyperlink r:id="rId1974" ref="D1975"/>
    <hyperlink r:id="rId1975" ref="D1976"/>
    <hyperlink r:id="rId1976" ref="D1977"/>
    <hyperlink r:id="rId1977" ref="D1978"/>
    <hyperlink r:id="rId1978" ref="D1979"/>
    <hyperlink r:id="rId1979" ref="D1980"/>
    <hyperlink r:id="rId1980" ref="D1981"/>
    <hyperlink r:id="rId1981" ref="D1982"/>
    <hyperlink r:id="rId1982" ref="D1983"/>
    <hyperlink r:id="rId1983" ref="D1984"/>
    <hyperlink r:id="rId1984" ref="D1985"/>
    <hyperlink r:id="rId1985" ref="D1986"/>
    <hyperlink r:id="rId1986" ref="D1987"/>
    <hyperlink r:id="rId1987" ref="D1988"/>
    <hyperlink r:id="rId1988" ref="D1989"/>
    <hyperlink r:id="rId1989" ref="D1990"/>
    <hyperlink r:id="rId1990" ref="D1991"/>
    <hyperlink r:id="rId1991" ref="D1992"/>
    <hyperlink r:id="rId1992" ref="D1993"/>
    <hyperlink r:id="rId1993" ref="D1994"/>
    <hyperlink r:id="rId1994" ref="D1995"/>
    <hyperlink r:id="rId1995" ref="D1996"/>
    <hyperlink r:id="rId1996" ref="D1997"/>
    <hyperlink r:id="rId1997" ref="D1998"/>
    <hyperlink r:id="rId1998" ref="D1999"/>
    <hyperlink r:id="rId1999" ref="D2000"/>
    <hyperlink r:id="rId2000" ref="D2001"/>
    <hyperlink r:id="rId2001" ref="D2002"/>
    <hyperlink r:id="rId2002" ref="D2003"/>
    <hyperlink r:id="rId2003" ref="D2004"/>
    <hyperlink r:id="rId2004" ref="D2005"/>
    <hyperlink r:id="rId2005" ref="D2006"/>
    <hyperlink r:id="rId2006" ref="D2007"/>
    <hyperlink r:id="rId2007" ref="D2008"/>
    <hyperlink r:id="rId2008" ref="D2009"/>
    <hyperlink r:id="rId2009" ref="D2010"/>
    <hyperlink r:id="rId2010" ref="D2011"/>
    <hyperlink r:id="rId2011" ref="D2012"/>
    <hyperlink r:id="rId2012" ref="D2013"/>
    <hyperlink r:id="rId2013" ref="D2014"/>
    <hyperlink r:id="rId2014" ref="D2015"/>
    <hyperlink r:id="rId2015" ref="D2016"/>
    <hyperlink r:id="rId2016" ref="D2017"/>
    <hyperlink r:id="rId2017" ref="D2018"/>
    <hyperlink r:id="rId2018" ref="D2019"/>
    <hyperlink r:id="rId2019" ref="D2020"/>
    <hyperlink r:id="rId2020" ref="D2021"/>
    <hyperlink r:id="rId2021" ref="D2022"/>
    <hyperlink r:id="rId2022" ref="D2023"/>
    <hyperlink r:id="rId2023" ref="D2024"/>
    <hyperlink r:id="rId2024" ref="D2025"/>
    <hyperlink r:id="rId2025" ref="D2026"/>
    <hyperlink r:id="rId2026" ref="D2027"/>
    <hyperlink r:id="rId2027" ref="D2028"/>
    <hyperlink r:id="rId2028" ref="D2029"/>
    <hyperlink r:id="rId2029" ref="D2030"/>
    <hyperlink r:id="rId2030" ref="D2031"/>
    <hyperlink r:id="rId2031" ref="D2032"/>
    <hyperlink r:id="rId2032" ref="D2033"/>
    <hyperlink r:id="rId2033" ref="D2034"/>
    <hyperlink r:id="rId2034" ref="D2035"/>
    <hyperlink r:id="rId2035" ref="D2036"/>
    <hyperlink r:id="rId2036" ref="D2037"/>
    <hyperlink r:id="rId2037" ref="D2038"/>
    <hyperlink r:id="rId2038" ref="D2039"/>
    <hyperlink r:id="rId2039" ref="D2040"/>
    <hyperlink r:id="rId2040" ref="D2041"/>
    <hyperlink r:id="rId2041" ref="D2042"/>
    <hyperlink r:id="rId2042" ref="D2043"/>
    <hyperlink r:id="rId2043" ref="D2044"/>
    <hyperlink r:id="rId2044" ref="D2045"/>
    <hyperlink r:id="rId2045" ref="D2046"/>
    <hyperlink r:id="rId2046" ref="D2047"/>
    <hyperlink r:id="rId2047" ref="D2048"/>
    <hyperlink r:id="rId2048" ref="D2049"/>
    <hyperlink r:id="rId2049" ref="D2050"/>
    <hyperlink r:id="rId2050" ref="D2051"/>
    <hyperlink r:id="rId2051" ref="D2052"/>
    <hyperlink r:id="rId2052" ref="D2053"/>
    <hyperlink r:id="rId2053" ref="D2054"/>
    <hyperlink r:id="rId2054" ref="D2055"/>
    <hyperlink r:id="rId2055" ref="D2056"/>
    <hyperlink r:id="rId2056" ref="D2057"/>
    <hyperlink r:id="rId2057" ref="D2058"/>
    <hyperlink r:id="rId2058" ref="D2059"/>
    <hyperlink r:id="rId2059" ref="D2060"/>
    <hyperlink r:id="rId2060" ref="D2061"/>
    <hyperlink r:id="rId2061" ref="D2062"/>
    <hyperlink r:id="rId2062" ref="D2063"/>
    <hyperlink r:id="rId2063" ref="D2064"/>
    <hyperlink r:id="rId2064" ref="D2065"/>
    <hyperlink r:id="rId2065" ref="D2066"/>
    <hyperlink r:id="rId2066" ref="D2067"/>
    <hyperlink r:id="rId2067" ref="D2068"/>
    <hyperlink r:id="rId2068" ref="D2069"/>
    <hyperlink r:id="rId2069" ref="D2070"/>
    <hyperlink r:id="rId2070" ref="D2071"/>
    <hyperlink r:id="rId2071" ref="D2072"/>
    <hyperlink r:id="rId2072" ref="D2073"/>
    <hyperlink r:id="rId2073" ref="D2074"/>
    <hyperlink r:id="rId2074" ref="D2075"/>
    <hyperlink r:id="rId2075" ref="D2076"/>
    <hyperlink r:id="rId2076" ref="D2077"/>
    <hyperlink r:id="rId2077" ref="D2078"/>
    <hyperlink r:id="rId2078" ref="D2079"/>
    <hyperlink r:id="rId2079" ref="D2080"/>
    <hyperlink r:id="rId2080" ref="D2081"/>
    <hyperlink r:id="rId2081" ref="D2082"/>
    <hyperlink r:id="rId2082" ref="D2083"/>
    <hyperlink r:id="rId2083" ref="D2084"/>
    <hyperlink r:id="rId2084" ref="D2085"/>
    <hyperlink r:id="rId2085" ref="D2086"/>
    <hyperlink r:id="rId2086" ref="D2087"/>
    <hyperlink r:id="rId2087" ref="D2088"/>
    <hyperlink r:id="rId2088" ref="D2089"/>
    <hyperlink r:id="rId2089" ref="D2090"/>
    <hyperlink r:id="rId2090" ref="D2091"/>
    <hyperlink r:id="rId2091" ref="D2092"/>
    <hyperlink r:id="rId2092" ref="D2093"/>
    <hyperlink r:id="rId2093" ref="D2094"/>
    <hyperlink r:id="rId2094" ref="D2095"/>
    <hyperlink r:id="rId2095" ref="D2096"/>
    <hyperlink r:id="rId2096" ref="D2097"/>
    <hyperlink r:id="rId2097" ref="D2098"/>
    <hyperlink r:id="rId2098" ref="D2099"/>
    <hyperlink r:id="rId2099" ref="D2100"/>
    <hyperlink r:id="rId2100" ref="D2101"/>
    <hyperlink r:id="rId2101" ref="D2102"/>
    <hyperlink r:id="rId2102" ref="D2103"/>
    <hyperlink r:id="rId2103" ref="D2104"/>
    <hyperlink r:id="rId2104" ref="D2105"/>
    <hyperlink r:id="rId2105" ref="D2106"/>
    <hyperlink r:id="rId2106" ref="D2107"/>
    <hyperlink r:id="rId2107" ref="D2108"/>
    <hyperlink r:id="rId2108" ref="D2109"/>
    <hyperlink r:id="rId2109" ref="D2110"/>
    <hyperlink r:id="rId2110" ref="D2111"/>
    <hyperlink r:id="rId2111" ref="D2112"/>
    <hyperlink r:id="rId2112" ref="D2113"/>
    <hyperlink r:id="rId2113" ref="D2114"/>
    <hyperlink r:id="rId2114" ref="D2115"/>
    <hyperlink r:id="rId2115" ref="D2116"/>
    <hyperlink r:id="rId2116" ref="D2117"/>
    <hyperlink r:id="rId2117" ref="D2118"/>
    <hyperlink r:id="rId2118" ref="D2119"/>
    <hyperlink r:id="rId2119" ref="D2120"/>
    <hyperlink r:id="rId2120" ref="D2121"/>
    <hyperlink r:id="rId2121" ref="D2122"/>
    <hyperlink r:id="rId2122" ref="D2123"/>
    <hyperlink r:id="rId2123" ref="D2124"/>
    <hyperlink r:id="rId2124" ref="D2125"/>
    <hyperlink r:id="rId2125" ref="D2126"/>
    <hyperlink r:id="rId2126" ref="D2127"/>
    <hyperlink r:id="rId2127" ref="D2128"/>
    <hyperlink r:id="rId2128" ref="D2129"/>
    <hyperlink r:id="rId2129" ref="D2130"/>
    <hyperlink r:id="rId2130" ref="D2131"/>
    <hyperlink r:id="rId2131" ref="D2132"/>
    <hyperlink r:id="rId2132" ref="D2133"/>
    <hyperlink r:id="rId2133" ref="D2134"/>
    <hyperlink r:id="rId2134" ref="D2135"/>
    <hyperlink r:id="rId2135" ref="D2136"/>
    <hyperlink r:id="rId2136" ref="D2137"/>
    <hyperlink r:id="rId2137" ref="D2138"/>
    <hyperlink r:id="rId2138" ref="D2139"/>
    <hyperlink r:id="rId2139" ref="D2140"/>
    <hyperlink r:id="rId2140" ref="D2141"/>
    <hyperlink r:id="rId2141" ref="D2142"/>
    <hyperlink r:id="rId2142" ref="D2143"/>
    <hyperlink r:id="rId2143" ref="D2144"/>
    <hyperlink r:id="rId2144" ref="D2145"/>
    <hyperlink r:id="rId2145" ref="D2146"/>
    <hyperlink r:id="rId2146" ref="D2147"/>
    <hyperlink r:id="rId2147" ref="D2148"/>
    <hyperlink r:id="rId2148" ref="D2149"/>
    <hyperlink r:id="rId2149" ref="D2150"/>
    <hyperlink r:id="rId2150" ref="D2151"/>
    <hyperlink r:id="rId2151" ref="D2152"/>
    <hyperlink r:id="rId2152" ref="D2153"/>
    <hyperlink r:id="rId2153" ref="D2154"/>
    <hyperlink r:id="rId2154" ref="D2155"/>
    <hyperlink r:id="rId2155" ref="D2156"/>
    <hyperlink r:id="rId2156" ref="D2157"/>
    <hyperlink r:id="rId2157" ref="D2158"/>
    <hyperlink r:id="rId2158" ref="D2159"/>
    <hyperlink r:id="rId2159" ref="D2160"/>
    <hyperlink r:id="rId2160" ref="D2161"/>
    <hyperlink r:id="rId2161" ref="D2162"/>
    <hyperlink r:id="rId2162" ref="D2163"/>
    <hyperlink r:id="rId2163" ref="D2164"/>
    <hyperlink r:id="rId2164" ref="D2165"/>
    <hyperlink r:id="rId2165" ref="D2166"/>
    <hyperlink r:id="rId2166" ref="D2167"/>
    <hyperlink r:id="rId2167" ref="D2168"/>
    <hyperlink r:id="rId2168" ref="D2169"/>
    <hyperlink r:id="rId2169" ref="D2170"/>
    <hyperlink r:id="rId2170" ref="D2171"/>
    <hyperlink r:id="rId2171" ref="D2172"/>
    <hyperlink r:id="rId2172" ref="D2173"/>
    <hyperlink r:id="rId2173" ref="D2174"/>
    <hyperlink r:id="rId2174" ref="D2175"/>
    <hyperlink r:id="rId2175" ref="D2176"/>
    <hyperlink r:id="rId2176" ref="D2177"/>
    <hyperlink r:id="rId2177" ref="D2178"/>
    <hyperlink r:id="rId2178" ref="D2179"/>
    <hyperlink r:id="rId2179" ref="D2180"/>
    <hyperlink r:id="rId2180" ref="D2181"/>
    <hyperlink r:id="rId2181" ref="D2182"/>
    <hyperlink r:id="rId2182" ref="D2183"/>
    <hyperlink r:id="rId2183" ref="D2184"/>
    <hyperlink r:id="rId2184" ref="D2185"/>
    <hyperlink r:id="rId2185" ref="D2186"/>
    <hyperlink r:id="rId2186" ref="D2187"/>
    <hyperlink r:id="rId2187" ref="D2188"/>
    <hyperlink r:id="rId2188" ref="D2189"/>
    <hyperlink r:id="rId2189" ref="D2190"/>
    <hyperlink r:id="rId2190" ref="D2191"/>
    <hyperlink r:id="rId2191" ref="D2192"/>
    <hyperlink r:id="rId2192" ref="D2193"/>
    <hyperlink r:id="rId2193" ref="D2194"/>
    <hyperlink r:id="rId2194" ref="D2195"/>
    <hyperlink r:id="rId2195" ref="D2196"/>
    <hyperlink r:id="rId2196" ref="D2197"/>
    <hyperlink r:id="rId2197" ref="D2198"/>
    <hyperlink r:id="rId2198" ref="D2199"/>
    <hyperlink r:id="rId2199" ref="D2200"/>
    <hyperlink r:id="rId2200" ref="D2201"/>
    <hyperlink r:id="rId2201" ref="D2202"/>
    <hyperlink r:id="rId2202" ref="D2203"/>
    <hyperlink r:id="rId2203" ref="D2204"/>
    <hyperlink r:id="rId2204" ref="D2205"/>
    <hyperlink r:id="rId2205" ref="D2206"/>
    <hyperlink r:id="rId2206" ref="D2207"/>
    <hyperlink r:id="rId2207" ref="D2208"/>
    <hyperlink r:id="rId2208" ref="D2209"/>
    <hyperlink r:id="rId2209" ref="D2210"/>
    <hyperlink r:id="rId2210" ref="D2211"/>
    <hyperlink r:id="rId2211" ref="D2212"/>
    <hyperlink r:id="rId2212" ref="D2213"/>
    <hyperlink r:id="rId2213" ref="D2214"/>
    <hyperlink r:id="rId2214" ref="D2215"/>
    <hyperlink r:id="rId2215" ref="D2216"/>
    <hyperlink r:id="rId2216" ref="D2217"/>
    <hyperlink r:id="rId2217" ref="D2218"/>
    <hyperlink r:id="rId2218" ref="D2219"/>
    <hyperlink r:id="rId2219" ref="D2220"/>
    <hyperlink r:id="rId2220" ref="D2221"/>
    <hyperlink r:id="rId2221" ref="D2222"/>
    <hyperlink r:id="rId2222" ref="D2223"/>
    <hyperlink r:id="rId2223" ref="D2224"/>
    <hyperlink r:id="rId2224" ref="D2225"/>
    <hyperlink r:id="rId2225" ref="D2226"/>
    <hyperlink r:id="rId2226" ref="D2227"/>
    <hyperlink r:id="rId2227" ref="D2228"/>
    <hyperlink r:id="rId2228" ref="D2229"/>
    <hyperlink r:id="rId2229" ref="D2230"/>
    <hyperlink r:id="rId2230" ref="D2231"/>
    <hyperlink r:id="rId2231" ref="D2232"/>
    <hyperlink r:id="rId2232" ref="D2233"/>
    <hyperlink r:id="rId2233" ref="D2234"/>
    <hyperlink r:id="rId2234" ref="D2235"/>
    <hyperlink r:id="rId2235" ref="D2236"/>
    <hyperlink r:id="rId2236" ref="D2237"/>
    <hyperlink r:id="rId2237" ref="D2238"/>
    <hyperlink r:id="rId2238" ref="D2239"/>
    <hyperlink r:id="rId2239" ref="D2240"/>
    <hyperlink r:id="rId2240" ref="D2241"/>
    <hyperlink r:id="rId2241" ref="D2242"/>
    <hyperlink r:id="rId2242" ref="D2243"/>
    <hyperlink r:id="rId2243" ref="D2244"/>
    <hyperlink r:id="rId2244" ref="D2245"/>
    <hyperlink r:id="rId2245" ref="D2246"/>
    <hyperlink r:id="rId2246" ref="D2247"/>
    <hyperlink r:id="rId2247" ref="D2248"/>
    <hyperlink r:id="rId2248" ref="D2249"/>
    <hyperlink r:id="rId2249" ref="D2250"/>
    <hyperlink r:id="rId2250" ref="D2251"/>
    <hyperlink r:id="rId2251" ref="D2252"/>
    <hyperlink r:id="rId2252" ref="D2253"/>
    <hyperlink r:id="rId2253" ref="D2254"/>
    <hyperlink r:id="rId2254" ref="D2255"/>
    <hyperlink r:id="rId2255" ref="D2256"/>
    <hyperlink r:id="rId2256" ref="D2257"/>
    <hyperlink r:id="rId2257" ref="D2258"/>
    <hyperlink r:id="rId2258" ref="D2259"/>
    <hyperlink r:id="rId2259" ref="D2260"/>
    <hyperlink r:id="rId2260" ref="D2261"/>
    <hyperlink r:id="rId2261" ref="D2262"/>
    <hyperlink r:id="rId2262" ref="D2263"/>
    <hyperlink r:id="rId2263" ref="D2264"/>
    <hyperlink r:id="rId2264" ref="D2265"/>
    <hyperlink r:id="rId2265" ref="D2266"/>
    <hyperlink r:id="rId2266" ref="D2267"/>
    <hyperlink r:id="rId2267" ref="D2268"/>
    <hyperlink r:id="rId2268" ref="D2269"/>
    <hyperlink r:id="rId2269" ref="D2270"/>
    <hyperlink r:id="rId2270" ref="D2271"/>
    <hyperlink r:id="rId2271" ref="D2272"/>
    <hyperlink r:id="rId2272" ref="D2273"/>
    <hyperlink r:id="rId2273" ref="D2274"/>
    <hyperlink r:id="rId2274" ref="D2275"/>
    <hyperlink r:id="rId2275" ref="D2276"/>
    <hyperlink r:id="rId2276" ref="D2277"/>
    <hyperlink r:id="rId2277" ref="D2278"/>
    <hyperlink r:id="rId2278" ref="D2279"/>
    <hyperlink r:id="rId2279" ref="D2280"/>
    <hyperlink r:id="rId2280" ref="D2281"/>
    <hyperlink r:id="rId2281" ref="D2282"/>
    <hyperlink r:id="rId2282" ref="D2283"/>
    <hyperlink r:id="rId2283" ref="D2284"/>
    <hyperlink r:id="rId2284" ref="D2285"/>
    <hyperlink r:id="rId2285" ref="D2286"/>
    <hyperlink r:id="rId2286" ref="D2287"/>
    <hyperlink r:id="rId2287" ref="D2288"/>
    <hyperlink r:id="rId2288" ref="D2289"/>
    <hyperlink r:id="rId2289" ref="D2290"/>
    <hyperlink r:id="rId2290" ref="D2291"/>
    <hyperlink r:id="rId2291" ref="D2292"/>
    <hyperlink r:id="rId2292" ref="D2293"/>
    <hyperlink r:id="rId2293" ref="D2294"/>
    <hyperlink r:id="rId2294" ref="D2295"/>
    <hyperlink r:id="rId2295" ref="D2296"/>
    <hyperlink r:id="rId2296" ref="D2297"/>
    <hyperlink r:id="rId2297" ref="D2298"/>
    <hyperlink r:id="rId2298" ref="D2299"/>
    <hyperlink r:id="rId2299" ref="D2300"/>
    <hyperlink r:id="rId2300" ref="D2301"/>
    <hyperlink r:id="rId2301" ref="D2302"/>
    <hyperlink r:id="rId2302" ref="D2303"/>
    <hyperlink r:id="rId2303" ref="D2304"/>
    <hyperlink r:id="rId2304" ref="D2305"/>
    <hyperlink r:id="rId2305" ref="D2306"/>
    <hyperlink r:id="rId2306" ref="D2307"/>
    <hyperlink r:id="rId2307" ref="D2308"/>
    <hyperlink r:id="rId2308" ref="D2309"/>
    <hyperlink r:id="rId2309" ref="D2310"/>
    <hyperlink r:id="rId2310" ref="D2311"/>
    <hyperlink r:id="rId2311" ref="D2312"/>
    <hyperlink r:id="rId2312" ref="D2313"/>
    <hyperlink r:id="rId2313" ref="D2314"/>
    <hyperlink r:id="rId2314" ref="D2315"/>
    <hyperlink r:id="rId2315" ref="D2316"/>
    <hyperlink r:id="rId2316" ref="D2317"/>
    <hyperlink r:id="rId2317" ref="D2318"/>
    <hyperlink r:id="rId2318" ref="D2319"/>
    <hyperlink r:id="rId2319" ref="D2320"/>
    <hyperlink r:id="rId2320" ref="D2321"/>
    <hyperlink r:id="rId2321" ref="D2322"/>
    <hyperlink r:id="rId2322" ref="D2323"/>
    <hyperlink r:id="rId2323" ref="D2324"/>
    <hyperlink r:id="rId2324" ref="D2325"/>
    <hyperlink r:id="rId2325" ref="D2326"/>
    <hyperlink r:id="rId2326" ref="D2327"/>
    <hyperlink r:id="rId2327" ref="D2328"/>
    <hyperlink r:id="rId2328" ref="D2329"/>
    <hyperlink r:id="rId2329" ref="D2330"/>
    <hyperlink r:id="rId2330" ref="D2331"/>
    <hyperlink r:id="rId2331" ref="D2332"/>
    <hyperlink r:id="rId2332" ref="D2333"/>
    <hyperlink r:id="rId2333" ref="D2334"/>
    <hyperlink r:id="rId2334" ref="D2335"/>
    <hyperlink r:id="rId2335" ref="D2336"/>
    <hyperlink r:id="rId2336" ref="D2337"/>
    <hyperlink r:id="rId2337" ref="D2338"/>
    <hyperlink r:id="rId2338" ref="D2339"/>
    <hyperlink r:id="rId2339" ref="D2340"/>
    <hyperlink r:id="rId2340" ref="D2341"/>
    <hyperlink r:id="rId2341" ref="D2342"/>
    <hyperlink r:id="rId2342" ref="D2343"/>
    <hyperlink r:id="rId2343" ref="D2344"/>
    <hyperlink r:id="rId2344" ref="D2345"/>
    <hyperlink r:id="rId2345" ref="D2346"/>
    <hyperlink r:id="rId2346" ref="D2347"/>
    <hyperlink r:id="rId2347" ref="D2348"/>
    <hyperlink r:id="rId2348" ref="D2349"/>
    <hyperlink r:id="rId2349" ref="D2350"/>
    <hyperlink r:id="rId2350" ref="D2351"/>
    <hyperlink r:id="rId2351" ref="D2352"/>
    <hyperlink r:id="rId2352" ref="D2353"/>
    <hyperlink r:id="rId2353" ref="D2354"/>
    <hyperlink r:id="rId2354" ref="D2355"/>
    <hyperlink r:id="rId2355" ref="D2356"/>
    <hyperlink r:id="rId2356" ref="D2357"/>
    <hyperlink r:id="rId2357" ref="D2358"/>
    <hyperlink r:id="rId2358" ref="D2359"/>
    <hyperlink r:id="rId2359" ref="D2360"/>
    <hyperlink r:id="rId2360" ref="D2361"/>
    <hyperlink r:id="rId2361" ref="D2362"/>
    <hyperlink r:id="rId2362" ref="D2363"/>
    <hyperlink r:id="rId2363" ref="D2364"/>
    <hyperlink r:id="rId2364" ref="D2365"/>
    <hyperlink r:id="rId2365" ref="D2366"/>
    <hyperlink r:id="rId2366" ref="D2367"/>
    <hyperlink r:id="rId2367" ref="D2368"/>
    <hyperlink r:id="rId2368" ref="D2369"/>
    <hyperlink r:id="rId2369" ref="D2370"/>
    <hyperlink r:id="rId2370" ref="D2371"/>
    <hyperlink r:id="rId2371" ref="D2372"/>
    <hyperlink r:id="rId2372" ref="D2373"/>
    <hyperlink r:id="rId2373" ref="D2374"/>
    <hyperlink r:id="rId2374" ref="D2375"/>
    <hyperlink r:id="rId2375" ref="D2376"/>
    <hyperlink r:id="rId2376" ref="D2377"/>
    <hyperlink r:id="rId2377" ref="D2378"/>
    <hyperlink r:id="rId2378" ref="D2379"/>
    <hyperlink r:id="rId2379" ref="D2380"/>
    <hyperlink r:id="rId2380" ref="D2381"/>
    <hyperlink r:id="rId2381" ref="D2382"/>
    <hyperlink r:id="rId2382" ref="D2383"/>
    <hyperlink r:id="rId2383" ref="D2384"/>
    <hyperlink r:id="rId2384" ref="D2385"/>
    <hyperlink r:id="rId2385" ref="D2386"/>
    <hyperlink r:id="rId2386" ref="D2387"/>
    <hyperlink r:id="rId2387" ref="D2388"/>
    <hyperlink r:id="rId2388" ref="D2389"/>
    <hyperlink r:id="rId2389" ref="D2390"/>
    <hyperlink r:id="rId2390" ref="D2391"/>
    <hyperlink r:id="rId2391" ref="D2392"/>
    <hyperlink r:id="rId2392" ref="D2393"/>
    <hyperlink r:id="rId2393" ref="D2394"/>
    <hyperlink r:id="rId2394" ref="D2395"/>
    <hyperlink r:id="rId2395" ref="D2396"/>
    <hyperlink r:id="rId2396" ref="D2397"/>
    <hyperlink r:id="rId2397" ref="D2398"/>
    <hyperlink r:id="rId2398" ref="D2399"/>
    <hyperlink r:id="rId2399" ref="D2400"/>
    <hyperlink r:id="rId2400" ref="D2401"/>
    <hyperlink r:id="rId2401" ref="D2402"/>
    <hyperlink r:id="rId2402" ref="D2403"/>
    <hyperlink r:id="rId2403" ref="D2404"/>
    <hyperlink r:id="rId2404" ref="D2405"/>
    <hyperlink r:id="rId2405" ref="D2406"/>
    <hyperlink r:id="rId2406" ref="D2407"/>
    <hyperlink r:id="rId2407" ref="D2408"/>
    <hyperlink r:id="rId2408" ref="D2409"/>
    <hyperlink r:id="rId2409" ref="D2410"/>
    <hyperlink r:id="rId2410" ref="D2411"/>
    <hyperlink r:id="rId2411" ref="D2412"/>
    <hyperlink r:id="rId2412" ref="D2413"/>
    <hyperlink r:id="rId2413" ref="D2414"/>
    <hyperlink r:id="rId2414" ref="D2415"/>
    <hyperlink r:id="rId2415" ref="D2416"/>
    <hyperlink r:id="rId2416" ref="D2417"/>
    <hyperlink r:id="rId2417" ref="D2418"/>
    <hyperlink r:id="rId2418" ref="D2419"/>
    <hyperlink r:id="rId2419" ref="D2420"/>
    <hyperlink r:id="rId2420" ref="D2421"/>
    <hyperlink r:id="rId2421" ref="D2422"/>
    <hyperlink r:id="rId2422" ref="D2423"/>
    <hyperlink r:id="rId2423" ref="D2424"/>
    <hyperlink r:id="rId2424" ref="D2425"/>
    <hyperlink r:id="rId2425" ref="D2426"/>
    <hyperlink r:id="rId2426" ref="D2427"/>
    <hyperlink r:id="rId2427" ref="D2428"/>
    <hyperlink r:id="rId2428" ref="D2429"/>
    <hyperlink r:id="rId2429" ref="D2430"/>
    <hyperlink r:id="rId2430" ref="D2431"/>
    <hyperlink r:id="rId2431" ref="D2432"/>
    <hyperlink r:id="rId2432" ref="D2433"/>
    <hyperlink r:id="rId2433" ref="D2434"/>
    <hyperlink r:id="rId2434" ref="D2435"/>
    <hyperlink r:id="rId2435" ref="D2436"/>
    <hyperlink r:id="rId2436" ref="D2437"/>
    <hyperlink r:id="rId2437" ref="D2438"/>
    <hyperlink r:id="rId2438" ref="D2439"/>
    <hyperlink r:id="rId2439" ref="D2440"/>
    <hyperlink r:id="rId2440" ref="D2441"/>
    <hyperlink r:id="rId2441" ref="D2442"/>
    <hyperlink r:id="rId2442" ref="D2443"/>
    <hyperlink r:id="rId2443" ref="D2444"/>
    <hyperlink r:id="rId2444" ref="D2445"/>
    <hyperlink r:id="rId2445" ref="D2446"/>
    <hyperlink r:id="rId2446" ref="D2447"/>
    <hyperlink r:id="rId2447" ref="D2448"/>
    <hyperlink r:id="rId2448" ref="D2449"/>
    <hyperlink r:id="rId2449" ref="D2450"/>
    <hyperlink r:id="rId2450" ref="D2451"/>
    <hyperlink r:id="rId2451" ref="D2452"/>
    <hyperlink r:id="rId2452" ref="D2453"/>
    <hyperlink r:id="rId2453" ref="D2454"/>
    <hyperlink r:id="rId2454" ref="D2455"/>
    <hyperlink r:id="rId2455" ref="D2456"/>
    <hyperlink r:id="rId2456" ref="D2457"/>
    <hyperlink r:id="rId2457" ref="D2458"/>
    <hyperlink r:id="rId2458" ref="D2459"/>
    <hyperlink r:id="rId2459" ref="D2460"/>
    <hyperlink r:id="rId2460" ref="D2461"/>
    <hyperlink r:id="rId2461" ref="D2462"/>
    <hyperlink r:id="rId2462" ref="D2463"/>
    <hyperlink r:id="rId2463" ref="D2464"/>
    <hyperlink r:id="rId2464" ref="D2465"/>
    <hyperlink r:id="rId2465" ref="D2466"/>
    <hyperlink r:id="rId2466" ref="D2467"/>
    <hyperlink r:id="rId2467" ref="D2468"/>
    <hyperlink r:id="rId2468" ref="D2469"/>
    <hyperlink r:id="rId2469" ref="D2470"/>
    <hyperlink r:id="rId2470" ref="D2471"/>
    <hyperlink r:id="rId2471" ref="D2472"/>
    <hyperlink r:id="rId2472" ref="D2473"/>
    <hyperlink r:id="rId2473" ref="D2474"/>
    <hyperlink r:id="rId2474" ref="D2475"/>
    <hyperlink r:id="rId2475" ref="D2476"/>
    <hyperlink r:id="rId2476" ref="D2477"/>
    <hyperlink r:id="rId2477" ref="D2478"/>
    <hyperlink r:id="rId2478" ref="D2479"/>
    <hyperlink r:id="rId2479" ref="D2480"/>
    <hyperlink r:id="rId2480" ref="D2481"/>
    <hyperlink r:id="rId2481" ref="D2482"/>
    <hyperlink r:id="rId2482" ref="D2483"/>
    <hyperlink r:id="rId2483" ref="D2484"/>
    <hyperlink r:id="rId2484" ref="D2485"/>
    <hyperlink r:id="rId2485" ref="D2486"/>
    <hyperlink r:id="rId2486" ref="D2487"/>
    <hyperlink r:id="rId2487" ref="D2488"/>
    <hyperlink r:id="rId2488" ref="D2489"/>
    <hyperlink r:id="rId2489" ref="D2490"/>
    <hyperlink r:id="rId2490" ref="D2491"/>
    <hyperlink r:id="rId2491" ref="D2492"/>
    <hyperlink r:id="rId2492" ref="D2493"/>
    <hyperlink r:id="rId2493" ref="D2494"/>
    <hyperlink r:id="rId2494" ref="D2495"/>
    <hyperlink r:id="rId2495" ref="D2496"/>
    <hyperlink r:id="rId2496" ref="D2497"/>
    <hyperlink r:id="rId2497" ref="D2498"/>
    <hyperlink r:id="rId2498" ref="D2499"/>
    <hyperlink r:id="rId2499" ref="D2500"/>
    <hyperlink r:id="rId2500" ref="D2501"/>
    <hyperlink r:id="rId2501" ref="D2502"/>
    <hyperlink r:id="rId2502" ref="D2503"/>
    <hyperlink r:id="rId2503" ref="D2504"/>
    <hyperlink r:id="rId2504" ref="D2505"/>
    <hyperlink r:id="rId2505" ref="D2506"/>
    <hyperlink r:id="rId2506" ref="D2507"/>
    <hyperlink r:id="rId2507" ref="D2508"/>
    <hyperlink r:id="rId2508" ref="D2509"/>
    <hyperlink r:id="rId2509" ref="D2510"/>
    <hyperlink r:id="rId2510" ref="D2511"/>
    <hyperlink r:id="rId2511" ref="D2512"/>
    <hyperlink r:id="rId2512" ref="D2513"/>
    <hyperlink r:id="rId2513" ref="D2514"/>
    <hyperlink r:id="rId2514" ref="D2515"/>
    <hyperlink r:id="rId2515" ref="D2516"/>
    <hyperlink r:id="rId2516" ref="D2517"/>
    <hyperlink r:id="rId2517" ref="D2518"/>
    <hyperlink r:id="rId2518" ref="D2519"/>
    <hyperlink r:id="rId2519" ref="D2520"/>
    <hyperlink r:id="rId2520" ref="D2521"/>
    <hyperlink r:id="rId2521" ref="D2522"/>
    <hyperlink r:id="rId2522" ref="D2523"/>
    <hyperlink r:id="rId2523" ref="D2524"/>
    <hyperlink r:id="rId2524" ref="D2525"/>
    <hyperlink r:id="rId2525" ref="D2526"/>
    <hyperlink r:id="rId2526" ref="D2527"/>
    <hyperlink r:id="rId2527" ref="D2528"/>
    <hyperlink r:id="rId2528" ref="D2529"/>
    <hyperlink r:id="rId2529" ref="D2530"/>
    <hyperlink r:id="rId2530" ref="D2531"/>
    <hyperlink r:id="rId2531" ref="D2532"/>
    <hyperlink r:id="rId2532" ref="D2533"/>
    <hyperlink r:id="rId2533" ref="D2534"/>
    <hyperlink r:id="rId2534" ref="D2535"/>
    <hyperlink r:id="rId2535" ref="D2536"/>
    <hyperlink r:id="rId2536" ref="D2537"/>
    <hyperlink r:id="rId2537" ref="D2538"/>
    <hyperlink r:id="rId2538" ref="D2539"/>
    <hyperlink r:id="rId2539" ref="D2540"/>
    <hyperlink r:id="rId2540" ref="D2541"/>
    <hyperlink r:id="rId2541" ref="D2542"/>
    <hyperlink r:id="rId2542" ref="D2543"/>
    <hyperlink r:id="rId2543" ref="D2544"/>
    <hyperlink r:id="rId2544" ref="D2545"/>
    <hyperlink r:id="rId2545" ref="D2546"/>
    <hyperlink r:id="rId2546" ref="D2547"/>
    <hyperlink r:id="rId2547" ref="D2548"/>
    <hyperlink r:id="rId2548" ref="D2549"/>
    <hyperlink r:id="rId2549" ref="D2550"/>
    <hyperlink r:id="rId2550" ref="D2551"/>
    <hyperlink r:id="rId2551" ref="D2552"/>
    <hyperlink r:id="rId2552" ref="D2553"/>
    <hyperlink r:id="rId2553" ref="D2554"/>
    <hyperlink r:id="rId2554" ref="D2555"/>
    <hyperlink r:id="rId2555" ref="D2556"/>
    <hyperlink r:id="rId2556" ref="D2557"/>
    <hyperlink r:id="rId2557" ref="D2558"/>
    <hyperlink r:id="rId2558" ref="D2559"/>
    <hyperlink r:id="rId2559" ref="D2560"/>
    <hyperlink r:id="rId2560" ref="D2561"/>
    <hyperlink r:id="rId2561" ref="D2562"/>
    <hyperlink r:id="rId2562" ref="D2563"/>
    <hyperlink r:id="rId2563" ref="D2564"/>
    <hyperlink r:id="rId2564" ref="D2565"/>
    <hyperlink r:id="rId2565" ref="D2566"/>
    <hyperlink r:id="rId2566" ref="D2567"/>
    <hyperlink r:id="rId2567" ref="D2568"/>
    <hyperlink r:id="rId2568" ref="D2569"/>
    <hyperlink r:id="rId2569" ref="D2570"/>
    <hyperlink r:id="rId2570" ref="D2571"/>
    <hyperlink r:id="rId2571" ref="D2572"/>
    <hyperlink r:id="rId2572" ref="D2573"/>
    <hyperlink r:id="rId2573" ref="D2574"/>
    <hyperlink r:id="rId2574" ref="D2575"/>
    <hyperlink r:id="rId2575" ref="D2576"/>
    <hyperlink r:id="rId2576" ref="D2577"/>
    <hyperlink r:id="rId2577" ref="D2578"/>
    <hyperlink r:id="rId2578" ref="D2579"/>
    <hyperlink r:id="rId2579" ref="D2580"/>
    <hyperlink r:id="rId2580" ref="D2581"/>
    <hyperlink r:id="rId2581" ref="D2582"/>
    <hyperlink r:id="rId2582" ref="D2583"/>
    <hyperlink r:id="rId2583" ref="D2584"/>
    <hyperlink r:id="rId2584" ref="D2585"/>
    <hyperlink r:id="rId2585" ref="D2586"/>
    <hyperlink r:id="rId2586" ref="D2587"/>
    <hyperlink r:id="rId2587" ref="D2588"/>
    <hyperlink r:id="rId2588" ref="D2589"/>
    <hyperlink r:id="rId2589" ref="D2590"/>
    <hyperlink r:id="rId2590" ref="D2591"/>
    <hyperlink r:id="rId2591" ref="D2592"/>
    <hyperlink r:id="rId2592" ref="D2593"/>
    <hyperlink r:id="rId2593" ref="D2594"/>
    <hyperlink r:id="rId2594" ref="D2595"/>
    <hyperlink r:id="rId2595" ref="D2596"/>
    <hyperlink r:id="rId2596" ref="D2597"/>
    <hyperlink r:id="rId2597" ref="D2598"/>
    <hyperlink r:id="rId2598" ref="D2599"/>
    <hyperlink r:id="rId2599" ref="D2600"/>
    <hyperlink r:id="rId2600" ref="D2601"/>
    <hyperlink r:id="rId2601" ref="D2602"/>
    <hyperlink r:id="rId2602" ref="D2603"/>
    <hyperlink r:id="rId2603" ref="D2604"/>
    <hyperlink r:id="rId2604" ref="D2605"/>
    <hyperlink r:id="rId2605" ref="D2606"/>
    <hyperlink r:id="rId2606" ref="D2607"/>
    <hyperlink r:id="rId2607" ref="D2608"/>
    <hyperlink r:id="rId2608" ref="D2609"/>
    <hyperlink r:id="rId2609" ref="D2610"/>
    <hyperlink r:id="rId2610" ref="D2611"/>
    <hyperlink r:id="rId2611" ref="D2612"/>
    <hyperlink r:id="rId2612" ref="D2613"/>
    <hyperlink r:id="rId2613" ref="D2614"/>
    <hyperlink r:id="rId2614" ref="D2615"/>
    <hyperlink r:id="rId2615" ref="D2616"/>
    <hyperlink r:id="rId2616" ref="D2617"/>
    <hyperlink r:id="rId2617" ref="D2618"/>
    <hyperlink r:id="rId2618" ref="D2619"/>
    <hyperlink r:id="rId2619" ref="D2620"/>
    <hyperlink r:id="rId2620" ref="D2621"/>
    <hyperlink r:id="rId2621" ref="D2622"/>
    <hyperlink r:id="rId2622" ref="D2623"/>
    <hyperlink r:id="rId2623" ref="D2624"/>
    <hyperlink r:id="rId2624" ref="D2625"/>
    <hyperlink r:id="rId2625" ref="D2626"/>
    <hyperlink r:id="rId2626" ref="D2627"/>
    <hyperlink r:id="rId2627" ref="D2628"/>
    <hyperlink r:id="rId2628" ref="D2629"/>
    <hyperlink r:id="rId2629" ref="D2630"/>
    <hyperlink r:id="rId2630" ref="D2631"/>
    <hyperlink r:id="rId2631" ref="D2632"/>
    <hyperlink r:id="rId2632" ref="D2633"/>
    <hyperlink r:id="rId2633" ref="D2634"/>
    <hyperlink r:id="rId2634" ref="D2635"/>
    <hyperlink r:id="rId2635" ref="D2636"/>
    <hyperlink r:id="rId2636" ref="D2637"/>
    <hyperlink r:id="rId2637" ref="D2638"/>
    <hyperlink r:id="rId2638" ref="D2639"/>
    <hyperlink r:id="rId2639" ref="D2640"/>
    <hyperlink r:id="rId2640" ref="D2641"/>
    <hyperlink r:id="rId2641" ref="D2642"/>
    <hyperlink r:id="rId2642" ref="D2643"/>
    <hyperlink r:id="rId2643" ref="D2644"/>
    <hyperlink r:id="rId2644" ref="D2645"/>
    <hyperlink r:id="rId2645" ref="D2646"/>
    <hyperlink r:id="rId2646" ref="D2647"/>
    <hyperlink r:id="rId2647" ref="D2648"/>
    <hyperlink r:id="rId2648" ref="D2649"/>
    <hyperlink r:id="rId2649" ref="D2650"/>
    <hyperlink r:id="rId2650" ref="D2651"/>
    <hyperlink r:id="rId2651" ref="D2652"/>
    <hyperlink r:id="rId2652" ref="D2653"/>
    <hyperlink r:id="rId2653" ref="D2654"/>
    <hyperlink r:id="rId2654" ref="D2655"/>
    <hyperlink r:id="rId2655" ref="D2656"/>
    <hyperlink r:id="rId2656" ref="D2657"/>
    <hyperlink r:id="rId2657" ref="D2658"/>
    <hyperlink r:id="rId2658" ref="D2659"/>
    <hyperlink r:id="rId2659" ref="D2660"/>
    <hyperlink r:id="rId2660" ref="D2661"/>
    <hyperlink r:id="rId2661" ref="D2662"/>
    <hyperlink r:id="rId2662" ref="D2663"/>
    <hyperlink r:id="rId2663" ref="D2664"/>
    <hyperlink r:id="rId2664" ref="D2665"/>
    <hyperlink r:id="rId2665" ref="D2666"/>
    <hyperlink r:id="rId2666" ref="D2667"/>
    <hyperlink r:id="rId2667" ref="D2668"/>
    <hyperlink r:id="rId2668" ref="D2669"/>
    <hyperlink r:id="rId2669" ref="D2670"/>
    <hyperlink r:id="rId2670" ref="D2671"/>
    <hyperlink r:id="rId2671" ref="D2672"/>
    <hyperlink r:id="rId2672" ref="D2673"/>
    <hyperlink r:id="rId2673" ref="D2674"/>
    <hyperlink r:id="rId2674" ref="D2675"/>
    <hyperlink r:id="rId2675" ref="D2676"/>
    <hyperlink r:id="rId2676" ref="D2677"/>
    <hyperlink r:id="rId2677" ref="D2678"/>
    <hyperlink r:id="rId2678" ref="D2679"/>
    <hyperlink r:id="rId2679" ref="D2680"/>
    <hyperlink r:id="rId2680" ref="D2681"/>
    <hyperlink r:id="rId2681" ref="D2682"/>
    <hyperlink r:id="rId2682" ref="D2683"/>
    <hyperlink r:id="rId2683" ref="D2684"/>
    <hyperlink r:id="rId2684" ref="D2685"/>
    <hyperlink r:id="rId2685" ref="D2686"/>
    <hyperlink r:id="rId2686" ref="D2687"/>
    <hyperlink r:id="rId2687" ref="D2688"/>
    <hyperlink r:id="rId2688" ref="D2689"/>
    <hyperlink r:id="rId2689" ref="D2690"/>
    <hyperlink r:id="rId2690" ref="D2691"/>
    <hyperlink r:id="rId2691" ref="D2692"/>
    <hyperlink r:id="rId2692" ref="D2693"/>
    <hyperlink r:id="rId2693" ref="D2694"/>
    <hyperlink r:id="rId2694" ref="D2695"/>
    <hyperlink r:id="rId2695" ref="D2696"/>
    <hyperlink r:id="rId2696" ref="D2697"/>
    <hyperlink r:id="rId2697" ref="D2698"/>
    <hyperlink r:id="rId2698" ref="D2699"/>
    <hyperlink r:id="rId2699" ref="D2700"/>
    <hyperlink r:id="rId2700" ref="D2701"/>
    <hyperlink r:id="rId2701" ref="D2702"/>
    <hyperlink r:id="rId2702" ref="D2703"/>
    <hyperlink r:id="rId2703" ref="D2704"/>
    <hyperlink r:id="rId2704" ref="D2705"/>
    <hyperlink r:id="rId2705" ref="D2706"/>
    <hyperlink r:id="rId2706" ref="D2707"/>
    <hyperlink r:id="rId2707" ref="D2708"/>
    <hyperlink r:id="rId2708" ref="D2709"/>
    <hyperlink r:id="rId2709" ref="D2710"/>
    <hyperlink r:id="rId2710" ref="D2711"/>
    <hyperlink r:id="rId2711" ref="D2712"/>
    <hyperlink r:id="rId2712" ref="D2713"/>
    <hyperlink r:id="rId2713" ref="D2714"/>
    <hyperlink r:id="rId2714" ref="D2715"/>
    <hyperlink r:id="rId2715" ref="D2716"/>
    <hyperlink r:id="rId2716" ref="D2717"/>
    <hyperlink r:id="rId2717" ref="D2718"/>
    <hyperlink r:id="rId2718" ref="D2719"/>
    <hyperlink r:id="rId2719" ref="D2720"/>
    <hyperlink r:id="rId2720" ref="D2721"/>
    <hyperlink r:id="rId2721" ref="D2722"/>
    <hyperlink r:id="rId2722" ref="D2723"/>
    <hyperlink r:id="rId2723" ref="D2724"/>
    <hyperlink r:id="rId2724" ref="D2725"/>
    <hyperlink r:id="rId2725" ref="D2726"/>
    <hyperlink r:id="rId2726" ref="D2727"/>
    <hyperlink r:id="rId2727" ref="D2728"/>
    <hyperlink r:id="rId2728" ref="D2729"/>
    <hyperlink r:id="rId2729" ref="D2730"/>
    <hyperlink r:id="rId2730" ref="D2731"/>
    <hyperlink r:id="rId2731" ref="D2732"/>
    <hyperlink r:id="rId2732" ref="D2733"/>
    <hyperlink r:id="rId2733" ref="D2734"/>
    <hyperlink r:id="rId2734" ref="D2735"/>
    <hyperlink r:id="rId2735" ref="D2736"/>
    <hyperlink r:id="rId2736" ref="D2737"/>
    <hyperlink r:id="rId2737" ref="D2738"/>
    <hyperlink r:id="rId2738" ref="D2739"/>
    <hyperlink r:id="rId2739" ref="D2740"/>
    <hyperlink r:id="rId2740" ref="D2741"/>
    <hyperlink r:id="rId2741" ref="D2742"/>
    <hyperlink r:id="rId2742" ref="D2743"/>
    <hyperlink r:id="rId2743" ref="D2744"/>
    <hyperlink r:id="rId2744" ref="D2745"/>
    <hyperlink r:id="rId2745" ref="D2746"/>
    <hyperlink r:id="rId2746" ref="D2747"/>
    <hyperlink r:id="rId2747" ref="D2748"/>
    <hyperlink r:id="rId2748" ref="D2749"/>
    <hyperlink r:id="rId2749" ref="D2750"/>
    <hyperlink r:id="rId2750" ref="D2751"/>
    <hyperlink r:id="rId2751" ref="D2752"/>
    <hyperlink r:id="rId2752" ref="D2753"/>
    <hyperlink r:id="rId2753" ref="D2754"/>
    <hyperlink r:id="rId2754" ref="D2755"/>
    <hyperlink r:id="rId2755" ref="D2756"/>
    <hyperlink r:id="rId2756" ref="D2757"/>
    <hyperlink r:id="rId2757" ref="D2758"/>
    <hyperlink r:id="rId2758" ref="D2759"/>
    <hyperlink r:id="rId2759" ref="D2760"/>
    <hyperlink r:id="rId2760" ref="D2761"/>
    <hyperlink r:id="rId2761" ref="D2762"/>
    <hyperlink r:id="rId2762" ref="D2763"/>
    <hyperlink r:id="rId2763" ref="D2764"/>
    <hyperlink r:id="rId2764" ref="D2765"/>
    <hyperlink r:id="rId2765" ref="D2766"/>
    <hyperlink r:id="rId2766" ref="D2767"/>
    <hyperlink r:id="rId2767" ref="D2768"/>
    <hyperlink r:id="rId2768" ref="D2769"/>
    <hyperlink r:id="rId2769" ref="D2770"/>
    <hyperlink r:id="rId2770" ref="D2771"/>
    <hyperlink r:id="rId2771" ref="D2772"/>
    <hyperlink r:id="rId2772" ref="D2773"/>
    <hyperlink r:id="rId2773" ref="D2774"/>
    <hyperlink r:id="rId2774" ref="D2775"/>
    <hyperlink r:id="rId2775" ref="D2776"/>
    <hyperlink r:id="rId2776" ref="D2777"/>
    <hyperlink r:id="rId2777" ref="D2778"/>
    <hyperlink r:id="rId2778" ref="D2779"/>
    <hyperlink r:id="rId2779" ref="D2780"/>
    <hyperlink r:id="rId2780" ref="D2781"/>
    <hyperlink r:id="rId2781" ref="D2782"/>
    <hyperlink r:id="rId2782" ref="D2783"/>
    <hyperlink r:id="rId2783" ref="D2784"/>
    <hyperlink r:id="rId2784" ref="D2785"/>
    <hyperlink r:id="rId2785" ref="D2786"/>
    <hyperlink r:id="rId2786" ref="D2787"/>
    <hyperlink r:id="rId2787" ref="D2788"/>
    <hyperlink r:id="rId2788" ref="D2789"/>
    <hyperlink r:id="rId2789" ref="D2790"/>
    <hyperlink r:id="rId2790" ref="D2791"/>
    <hyperlink r:id="rId2791" ref="D2792"/>
    <hyperlink r:id="rId2792" ref="D2793"/>
    <hyperlink r:id="rId2793" ref="D2794"/>
    <hyperlink r:id="rId2794" ref="D2795"/>
    <hyperlink r:id="rId2795" ref="D2796"/>
    <hyperlink r:id="rId2796" ref="D2797"/>
    <hyperlink r:id="rId2797" ref="D2798"/>
    <hyperlink r:id="rId2798" ref="D2799"/>
    <hyperlink r:id="rId2799" ref="D2800"/>
    <hyperlink r:id="rId2800" ref="D2801"/>
    <hyperlink r:id="rId2801" ref="D2802"/>
    <hyperlink r:id="rId2802" ref="D2803"/>
    <hyperlink r:id="rId2803" ref="D2804"/>
    <hyperlink r:id="rId2804" ref="D2805"/>
    <hyperlink r:id="rId2805" ref="D2806"/>
    <hyperlink r:id="rId2806" ref="D2807"/>
    <hyperlink r:id="rId2807" ref="D2808"/>
    <hyperlink r:id="rId2808" ref="D2809"/>
    <hyperlink r:id="rId2809" ref="D2810"/>
    <hyperlink r:id="rId2810" ref="D2811"/>
    <hyperlink r:id="rId2811" ref="D2812"/>
    <hyperlink r:id="rId2812" ref="D2813"/>
    <hyperlink r:id="rId2813" ref="D2814"/>
    <hyperlink r:id="rId2814" ref="D2815"/>
    <hyperlink r:id="rId2815" ref="D2816"/>
    <hyperlink r:id="rId2816" ref="D2817"/>
    <hyperlink r:id="rId2817" ref="D2818"/>
    <hyperlink r:id="rId2818" ref="D2819"/>
    <hyperlink r:id="rId2819" ref="D2820"/>
    <hyperlink r:id="rId2820" ref="D2821"/>
    <hyperlink r:id="rId2821" ref="D2822"/>
    <hyperlink r:id="rId2822" ref="D2823"/>
    <hyperlink r:id="rId2823" ref="D2824"/>
    <hyperlink r:id="rId2824" ref="D2825"/>
    <hyperlink r:id="rId2825" ref="D2826"/>
    <hyperlink r:id="rId2826" ref="D2827"/>
    <hyperlink r:id="rId2827" ref="D2828"/>
    <hyperlink r:id="rId2828" ref="D2829"/>
    <hyperlink r:id="rId2829" ref="D2830"/>
    <hyperlink r:id="rId2830" ref="D2831"/>
    <hyperlink r:id="rId2831" ref="D2832"/>
    <hyperlink r:id="rId2832" ref="D2833"/>
    <hyperlink r:id="rId2833" ref="D2834"/>
    <hyperlink r:id="rId2834" ref="D2835"/>
    <hyperlink r:id="rId2835" ref="D2836"/>
    <hyperlink r:id="rId2836" ref="D2837"/>
    <hyperlink r:id="rId2837" ref="D2838"/>
    <hyperlink r:id="rId2838" ref="D2839"/>
    <hyperlink r:id="rId2839" ref="D2840"/>
    <hyperlink r:id="rId2840" ref="D2841"/>
    <hyperlink r:id="rId2841" ref="D2842"/>
    <hyperlink r:id="rId2842" ref="D2843"/>
    <hyperlink r:id="rId2843" ref="D2844"/>
    <hyperlink r:id="rId2844" ref="D2845"/>
    <hyperlink r:id="rId2845" ref="D2846"/>
    <hyperlink r:id="rId2846" ref="D2847"/>
    <hyperlink r:id="rId2847" ref="D2848"/>
    <hyperlink r:id="rId2848" ref="D2849"/>
    <hyperlink r:id="rId2849" ref="D2850"/>
    <hyperlink r:id="rId2850" ref="D2851"/>
    <hyperlink r:id="rId2851" ref="D2852"/>
    <hyperlink r:id="rId2852" ref="D2853"/>
    <hyperlink r:id="rId2853" ref="D2854"/>
    <hyperlink r:id="rId2854" ref="D2855"/>
    <hyperlink r:id="rId2855" ref="D2856"/>
    <hyperlink r:id="rId2856" ref="D2857"/>
    <hyperlink r:id="rId2857" ref="D2858"/>
    <hyperlink r:id="rId2858" ref="D2859"/>
    <hyperlink r:id="rId2859" ref="D2860"/>
    <hyperlink r:id="rId2860" ref="D2861"/>
    <hyperlink r:id="rId2861" ref="D2862"/>
    <hyperlink r:id="rId2862" ref="D2863"/>
    <hyperlink r:id="rId2863" ref="D2864"/>
    <hyperlink r:id="rId2864" ref="D2865"/>
    <hyperlink r:id="rId2865" ref="D2866"/>
    <hyperlink r:id="rId2866" ref="D2867"/>
    <hyperlink r:id="rId2867" ref="D2868"/>
    <hyperlink r:id="rId2868" ref="D2869"/>
    <hyperlink r:id="rId2869" ref="D2870"/>
    <hyperlink r:id="rId2870" ref="D2871"/>
    <hyperlink r:id="rId2871" ref="D2872"/>
    <hyperlink r:id="rId2872" ref="D2873"/>
    <hyperlink r:id="rId2873" ref="D2874"/>
    <hyperlink r:id="rId2874" ref="D2875"/>
    <hyperlink r:id="rId2875" ref="D2876"/>
    <hyperlink r:id="rId2876" ref="D2877"/>
    <hyperlink r:id="rId2877" ref="D2878"/>
    <hyperlink r:id="rId2878" ref="D2879"/>
    <hyperlink r:id="rId2879" ref="D2880"/>
    <hyperlink r:id="rId2880" ref="D2881"/>
    <hyperlink r:id="rId2881" ref="D2882"/>
    <hyperlink r:id="rId2882" ref="D2883"/>
    <hyperlink r:id="rId2883" ref="D2884"/>
    <hyperlink r:id="rId2884" ref="D2885"/>
    <hyperlink r:id="rId2885" ref="D2886"/>
    <hyperlink r:id="rId2886" ref="D2887"/>
    <hyperlink r:id="rId2887" ref="D2888"/>
    <hyperlink r:id="rId2888" ref="D2889"/>
    <hyperlink r:id="rId2889" ref="D2890"/>
    <hyperlink r:id="rId2890" ref="D2891"/>
    <hyperlink r:id="rId2891" ref="D2892"/>
    <hyperlink r:id="rId2892" ref="D2893"/>
    <hyperlink r:id="rId2893" ref="D2894"/>
    <hyperlink r:id="rId2894" ref="D2895"/>
    <hyperlink r:id="rId2895" ref="D2896"/>
    <hyperlink r:id="rId2896" ref="D2897"/>
    <hyperlink r:id="rId2897" ref="D2898"/>
    <hyperlink r:id="rId2898" ref="D2899"/>
    <hyperlink r:id="rId2899" ref="D2900"/>
    <hyperlink r:id="rId2900" ref="D2901"/>
    <hyperlink r:id="rId2901" ref="D2902"/>
    <hyperlink r:id="rId2902" ref="D2903"/>
    <hyperlink r:id="rId2903" ref="D2904"/>
    <hyperlink r:id="rId2904" ref="D2905"/>
    <hyperlink r:id="rId2905" ref="D2906"/>
    <hyperlink r:id="rId2906" ref="D2907"/>
    <hyperlink r:id="rId2907" ref="D2908"/>
    <hyperlink r:id="rId2908" ref="D2909"/>
    <hyperlink r:id="rId2909" ref="D2910"/>
    <hyperlink r:id="rId2910" ref="D2911"/>
    <hyperlink r:id="rId2911" ref="D2912"/>
    <hyperlink r:id="rId2912" ref="D2913"/>
    <hyperlink r:id="rId2913" ref="D2914"/>
    <hyperlink r:id="rId2914" ref="D2915"/>
    <hyperlink r:id="rId2915" ref="D2916"/>
    <hyperlink r:id="rId2916" ref="D2917"/>
    <hyperlink r:id="rId2917" ref="D2918"/>
    <hyperlink r:id="rId2918" ref="D2919"/>
    <hyperlink r:id="rId2919" ref="D2920"/>
    <hyperlink r:id="rId2920" ref="D2921"/>
    <hyperlink r:id="rId2921" ref="D2922"/>
    <hyperlink r:id="rId2922" ref="D2923"/>
    <hyperlink r:id="rId2923" ref="D2924"/>
    <hyperlink r:id="rId2924" ref="D2925"/>
    <hyperlink r:id="rId2925" ref="D2926"/>
    <hyperlink r:id="rId2926" ref="D2927"/>
    <hyperlink r:id="rId2927" ref="D2928"/>
    <hyperlink r:id="rId2928" ref="D2929"/>
    <hyperlink r:id="rId2929" ref="D2930"/>
    <hyperlink r:id="rId2930" ref="D2931"/>
    <hyperlink r:id="rId2931" ref="D2932"/>
    <hyperlink r:id="rId2932" ref="D2933"/>
    <hyperlink r:id="rId2933" ref="D2934"/>
    <hyperlink r:id="rId2934" ref="D2935"/>
    <hyperlink r:id="rId2935" ref="D2936"/>
    <hyperlink r:id="rId2936" ref="D2937"/>
    <hyperlink r:id="rId2937" ref="D2938"/>
    <hyperlink r:id="rId2938" ref="D2939"/>
    <hyperlink r:id="rId2939" ref="D2940"/>
    <hyperlink r:id="rId2940" ref="D2941"/>
    <hyperlink r:id="rId2941" ref="D2942"/>
    <hyperlink r:id="rId2942" ref="D2943"/>
    <hyperlink r:id="rId2943" ref="D2944"/>
    <hyperlink r:id="rId2944" ref="D2945"/>
    <hyperlink r:id="rId2945" ref="D2946"/>
    <hyperlink r:id="rId2946" ref="D2947"/>
    <hyperlink r:id="rId2947" ref="D2948"/>
    <hyperlink r:id="rId2948" ref="D2949"/>
    <hyperlink r:id="rId2949" ref="D2950"/>
    <hyperlink r:id="rId2950" ref="D2951"/>
    <hyperlink r:id="rId2951" ref="D2952"/>
    <hyperlink r:id="rId2952" ref="D2953"/>
    <hyperlink r:id="rId2953" ref="D2954"/>
    <hyperlink r:id="rId2954" ref="D2955"/>
    <hyperlink r:id="rId2955" ref="D2956"/>
    <hyperlink r:id="rId2956" ref="D2957"/>
    <hyperlink r:id="rId2957" ref="D2958"/>
    <hyperlink r:id="rId2958" ref="D2959"/>
    <hyperlink r:id="rId2959" ref="D2960"/>
    <hyperlink r:id="rId2960" ref="D2961"/>
    <hyperlink r:id="rId2961" ref="D2962"/>
    <hyperlink r:id="rId2962" ref="D2963"/>
    <hyperlink r:id="rId2963" ref="D2964"/>
    <hyperlink r:id="rId2964" ref="D2965"/>
    <hyperlink r:id="rId2965" ref="D2966"/>
    <hyperlink r:id="rId2966" ref="D2967"/>
    <hyperlink r:id="rId2967" ref="D2968"/>
    <hyperlink r:id="rId2968" ref="D2969"/>
    <hyperlink r:id="rId2969" ref="D2970"/>
    <hyperlink r:id="rId2970" ref="D2971"/>
    <hyperlink r:id="rId2971" ref="D2972"/>
    <hyperlink r:id="rId2972" ref="D2973"/>
    <hyperlink r:id="rId2973" ref="D2974"/>
    <hyperlink r:id="rId2974" ref="D2975"/>
    <hyperlink r:id="rId2975" ref="D2976"/>
    <hyperlink r:id="rId2976" ref="D2977"/>
    <hyperlink r:id="rId2977" ref="D2978"/>
    <hyperlink r:id="rId2978" ref="D2979"/>
    <hyperlink r:id="rId2979" ref="D2980"/>
    <hyperlink r:id="rId2980" ref="D2981"/>
    <hyperlink r:id="rId2981" ref="D2982"/>
    <hyperlink r:id="rId2982" ref="D2983"/>
    <hyperlink r:id="rId2983" ref="D2984"/>
    <hyperlink r:id="rId2984" ref="D2985"/>
    <hyperlink r:id="rId2985" ref="D2986"/>
    <hyperlink r:id="rId2986" ref="D2987"/>
    <hyperlink r:id="rId2987" ref="D2988"/>
    <hyperlink r:id="rId2988" ref="D2989"/>
    <hyperlink r:id="rId2989" ref="D2990"/>
    <hyperlink r:id="rId2990" ref="D2991"/>
    <hyperlink r:id="rId2991" ref="D2992"/>
    <hyperlink r:id="rId2992" ref="D2993"/>
    <hyperlink r:id="rId2993" ref="D2994"/>
    <hyperlink r:id="rId2994" ref="D2995"/>
    <hyperlink r:id="rId2995" ref="D2996"/>
    <hyperlink r:id="rId2996" ref="D2997"/>
    <hyperlink r:id="rId2997" ref="D2998"/>
    <hyperlink r:id="rId2998" ref="D2999"/>
    <hyperlink r:id="rId2999" ref="D3000"/>
    <hyperlink r:id="rId3000" ref="D3001"/>
    <hyperlink r:id="rId3001" ref="D3002"/>
    <hyperlink r:id="rId3002" ref="D3003"/>
    <hyperlink r:id="rId3003" ref="D3004"/>
    <hyperlink r:id="rId3004" ref="D3005"/>
    <hyperlink r:id="rId3005" ref="D3006"/>
    <hyperlink r:id="rId3006" ref="D3007"/>
    <hyperlink r:id="rId3007" ref="D3008"/>
    <hyperlink r:id="rId3008" ref="D3009"/>
    <hyperlink r:id="rId3009" ref="D3010"/>
    <hyperlink r:id="rId3010" ref="D3011"/>
    <hyperlink r:id="rId3011" ref="D3012"/>
    <hyperlink r:id="rId3012" ref="D3013"/>
    <hyperlink r:id="rId3013" ref="D3014"/>
    <hyperlink r:id="rId3014" ref="D3015"/>
    <hyperlink r:id="rId3015" ref="D3016"/>
    <hyperlink r:id="rId3016" ref="D3017"/>
    <hyperlink r:id="rId3017" ref="D3018"/>
    <hyperlink r:id="rId3018" ref="D3019"/>
    <hyperlink r:id="rId3019" ref="D3020"/>
    <hyperlink r:id="rId3020" ref="D3021"/>
    <hyperlink r:id="rId3021" ref="D3022"/>
    <hyperlink r:id="rId3022" ref="D3023"/>
    <hyperlink r:id="rId3023" ref="D3024"/>
    <hyperlink r:id="rId3024" ref="D3025"/>
    <hyperlink r:id="rId3025" ref="D3026"/>
    <hyperlink r:id="rId3026" ref="D3027"/>
    <hyperlink r:id="rId3027" ref="D3028"/>
    <hyperlink r:id="rId3028" ref="D3029"/>
    <hyperlink r:id="rId3029" ref="D3030"/>
    <hyperlink r:id="rId3030" ref="D3031"/>
    <hyperlink r:id="rId3031" ref="D3032"/>
    <hyperlink r:id="rId3032" ref="D3033"/>
    <hyperlink r:id="rId3033" ref="D3034"/>
    <hyperlink r:id="rId3034" ref="D3035"/>
    <hyperlink r:id="rId3035" ref="D3036"/>
    <hyperlink r:id="rId3036" ref="D3037"/>
    <hyperlink r:id="rId3037" ref="D3038"/>
    <hyperlink r:id="rId3038" ref="D3039"/>
    <hyperlink r:id="rId3039" ref="D3040"/>
    <hyperlink r:id="rId3040" ref="D3041"/>
    <hyperlink r:id="rId3041" ref="D3042"/>
    <hyperlink r:id="rId3042" ref="D3043"/>
    <hyperlink r:id="rId3043" ref="D3044"/>
    <hyperlink r:id="rId3044" ref="D3045"/>
    <hyperlink r:id="rId3045" ref="D3046"/>
    <hyperlink r:id="rId3046" ref="D3047"/>
    <hyperlink r:id="rId3047" ref="D3048"/>
    <hyperlink r:id="rId3048" ref="D3049"/>
    <hyperlink r:id="rId3049" ref="D3050"/>
    <hyperlink r:id="rId3050" ref="D3051"/>
    <hyperlink r:id="rId3051" ref="D3052"/>
    <hyperlink r:id="rId3052" ref="D3053"/>
    <hyperlink r:id="rId3053" ref="D3054"/>
    <hyperlink r:id="rId3054" ref="D3055"/>
    <hyperlink r:id="rId3055" ref="D3056"/>
    <hyperlink r:id="rId3056" ref="D3057"/>
    <hyperlink r:id="rId3057" ref="D3058"/>
    <hyperlink r:id="rId3058" ref="D3059"/>
    <hyperlink r:id="rId3059" ref="D3060"/>
    <hyperlink r:id="rId3060" ref="D3061"/>
    <hyperlink r:id="rId3061" ref="D3062"/>
    <hyperlink r:id="rId3062" ref="D3063"/>
    <hyperlink r:id="rId3063" ref="D3064"/>
    <hyperlink r:id="rId3064" ref="D3065"/>
    <hyperlink r:id="rId3065" ref="D3066"/>
    <hyperlink r:id="rId3066" ref="D3067"/>
    <hyperlink r:id="rId3067" ref="D3068"/>
    <hyperlink r:id="rId3068" ref="D3069"/>
    <hyperlink r:id="rId3069" ref="D3070"/>
    <hyperlink r:id="rId3070" ref="D3071"/>
    <hyperlink r:id="rId3071" ref="D3072"/>
    <hyperlink r:id="rId3072" ref="D3073"/>
    <hyperlink r:id="rId3073" ref="D3074"/>
    <hyperlink r:id="rId3074" ref="D3075"/>
    <hyperlink r:id="rId3075" ref="D3076"/>
    <hyperlink r:id="rId3076" ref="D3077"/>
    <hyperlink r:id="rId3077" ref="D3078"/>
    <hyperlink r:id="rId3078" ref="D3079"/>
    <hyperlink r:id="rId3079" ref="D3080"/>
    <hyperlink r:id="rId3080" ref="D3081"/>
    <hyperlink r:id="rId3081" ref="D3082"/>
    <hyperlink r:id="rId3082" ref="D3083"/>
    <hyperlink r:id="rId3083" ref="D3084"/>
    <hyperlink r:id="rId3084" ref="D3085"/>
    <hyperlink r:id="rId3085" ref="D3086"/>
    <hyperlink r:id="rId3086" ref="D3087"/>
    <hyperlink r:id="rId3087" ref="D3088"/>
    <hyperlink r:id="rId3088" ref="D3089"/>
    <hyperlink r:id="rId3089" ref="D3090"/>
    <hyperlink r:id="rId3090" ref="D3091"/>
    <hyperlink r:id="rId3091" ref="D3092"/>
    <hyperlink r:id="rId3092" ref="D3093"/>
    <hyperlink r:id="rId3093" ref="D3094"/>
    <hyperlink r:id="rId3094" ref="D3095"/>
    <hyperlink r:id="rId3095" ref="D3096"/>
    <hyperlink r:id="rId3096" ref="D3097"/>
    <hyperlink r:id="rId3097" ref="D3098"/>
    <hyperlink r:id="rId3098" ref="D3099"/>
    <hyperlink r:id="rId3099" ref="D3100"/>
    <hyperlink r:id="rId3100" ref="D3101"/>
    <hyperlink r:id="rId3101" ref="D3102"/>
    <hyperlink r:id="rId3102" ref="D3103"/>
    <hyperlink r:id="rId3103" ref="D3104"/>
    <hyperlink r:id="rId3104" ref="D3105"/>
    <hyperlink r:id="rId3105" ref="D3106"/>
    <hyperlink r:id="rId3106" ref="D3107"/>
    <hyperlink r:id="rId3107" ref="D3108"/>
    <hyperlink r:id="rId3108" ref="D3109"/>
    <hyperlink r:id="rId3109" ref="D3110"/>
    <hyperlink r:id="rId3110" ref="D3111"/>
    <hyperlink r:id="rId3111" ref="D3112"/>
    <hyperlink r:id="rId3112" ref="D3113"/>
    <hyperlink r:id="rId3113" ref="D3114"/>
    <hyperlink r:id="rId3114" ref="D3115"/>
    <hyperlink r:id="rId3115" ref="D3116"/>
    <hyperlink r:id="rId3116" ref="D3117"/>
    <hyperlink r:id="rId3117" ref="D3118"/>
    <hyperlink r:id="rId3118" ref="D3119"/>
    <hyperlink r:id="rId3119" ref="D3120"/>
    <hyperlink r:id="rId3120" ref="D3121"/>
    <hyperlink r:id="rId3121" ref="D3122"/>
    <hyperlink r:id="rId3122" ref="D3123"/>
    <hyperlink r:id="rId3123" ref="D3124"/>
    <hyperlink r:id="rId3124" ref="D3125"/>
    <hyperlink r:id="rId3125" ref="D3126"/>
    <hyperlink r:id="rId3126" ref="D3127"/>
    <hyperlink r:id="rId3127" ref="D3128"/>
    <hyperlink r:id="rId3128" ref="D3129"/>
    <hyperlink r:id="rId3129" ref="D3130"/>
    <hyperlink r:id="rId3130" ref="D3131"/>
    <hyperlink r:id="rId3131" ref="D3132"/>
    <hyperlink r:id="rId3132" ref="D3133"/>
    <hyperlink r:id="rId3133" ref="D3134"/>
    <hyperlink r:id="rId3134" ref="D3135"/>
    <hyperlink r:id="rId3135" ref="D3136"/>
    <hyperlink r:id="rId3136" ref="D3137"/>
    <hyperlink r:id="rId3137" ref="D3138"/>
    <hyperlink r:id="rId3138" ref="D3139"/>
    <hyperlink r:id="rId3139" ref="D3140"/>
    <hyperlink r:id="rId3140" ref="D3141"/>
    <hyperlink r:id="rId3141" ref="D3142"/>
    <hyperlink r:id="rId3142" ref="D3143"/>
    <hyperlink r:id="rId3143" ref="D3144"/>
    <hyperlink r:id="rId3144" ref="D3145"/>
    <hyperlink r:id="rId3145" ref="D3146"/>
    <hyperlink r:id="rId3146" ref="D3147"/>
    <hyperlink r:id="rId3147" ref="D3148"/>
    <hyperlink r:id="rId3148" ref="D3149"/>
    <hyperlink r:id="rId3149" ref="D3150"/>
    <hyperlink r:id="rId3150" ref="D3151"/>
    <hyperlink r:id="rId3151" ref="D3152"/>
    <hyperlink r:id="rId3152" ref="D3153"/>
    <hyperlink r:id="rId3153" ref="D3154"/>
    <hyperlink r:id="rId3154" ref="D3155"/>
    <hyperlink r:id="rId3155" ref="D3156"/>
    <hyperlink r:id="rId3156" ref="D3157"/>
    <hyperlink r:id="rId3157" ref="D3158"/>
    <hyperlink r:id="rId3158" ref="D3159"/>
    <hyperlink r:id="rId3159" ref="D3160"/>
    <hyperlink r:id="rId3160" ref="D3161"/>
    <hyperlink r:id="rId3161" ref="D3162"/>
    <hyperlink r:id="rId3162" ref="D3163"/>
    <hyperlink r:id="rId3163" ref="D3164"/>
    <hyperlink r:id="rId3164" ref="D3165"/>
    <hyperlink r:id="rId3165" ref="D3166"/>
    <hyperlink r:id="rId3166" ref="D3167"/>
    <hyperlink r:id="rId3167" ref="D3168"/>
    <hyperlink r:id="rId3168" ref="D3169"/>
    <hyperlink r:id="rId3169" ref="D3170"/>
    <hyperlink r:id="rId3170" ref="D3171"/>
    <hyperlink r:id="rId3171" ref="D3172"/>
    <hyperlink r:id="rId3172" ref="D3173"/>
    <hyperlink r:id="rId3173" ref="D3174"/>
    <hyperlink r:id="rId3174" ref="D3175"/>
    <hyperlink r:id="rId3175" ref="D3176"/>
    <hyperlink r:id="rId3176" ref="D3177"/>
    <hyperlink r:id="rId3177" ref="D3178"/>
    <hyperlink r:id="rId3178" ref="D3179"/>
    <hyperlink r:id="rId3179" ref="D3180"/>
    <hyperlink r:id="rId3180" ref="D3181"/>
    <hyperlink r:id="rId3181" ref="D3182"/>
    <hyperlink r:id="rId3182" ref="D3183"/>
    <hyperlink r:id="rId3183" ref="D3184"/>
    <hyperlink r:id="rId3184" ref="D3185"/>
    <hyperlink r:id="rId3185" ref="D3186"/>
    <hyperlink r:id="rId3186" ref="D3187"/>
    <hyperlink r:id="rId3187" ref="D3188"/>
    <hyperlink r:id="rId3188" ref="D3189"/>
    <hyperlink r:id="rId3189" ref="D3190"/>
    <hyperlink r:id="rId3190" ref="D3191"/>
    <hyperlink r:id="rId3191" ref="D3192"/>
    <hyperlink r:id="rId3192" ref="D3193"/>
    <hyperlink r:id="rId3193" ref="D3194"/>
    <hyperlink r:id="rId3194" ref="D3195"/>
    <hyperlink r:id="rId3195" ref="D3196"/>
    <hyperlink r:id="rId3196" ref="D3197"/>
    <hyperlink r:id="rId3197" ref="D3198"/>
    <hyperlink r:id="rId3198" ref="D3199"/>
    <hyperlink r:id="rId3199" ref="D3200"/>
    <hyperlink r:id="rId3200" ref="D3201"/>
    <hyperlink r:id="rId3201" ref="D3202"/>
    <hyperlink r:id="rId3202" ref="D3203"/>
    <hyperlink r:id="rId3203" ref="D3204"/>
    <hyperlink r:id="rId3204" ref="D3205"/>
    <hyperlink r:id="rId3205" ref="D3206"/>
    <hyperlink r:id="rId3206" ref="D3207"/>
    <hyperlink r:id="rId3207" ref="D3208"/>
    <hyperlink r:id="rId3208" ref="D3209"/>
    <hyperlink r:id="rId3209" ref="D3210"/>
    <hyperlink r:id="rId3210" ref="D3211"/>
    <hyperlink r:id="rId3211" ref="D3212"/>
    <hyperlink r:id="rId3212" ref="D3213"/>
    <hyperlink r:id="rId3213" ref="D3214"/>
    <hyperlink r:id="rId3214" ref="D3215"/>
    <hyperlink r:id="rId3215" ref="D3216"/>
    <hyperlink r:id="rId3216" ref="D3217"/>
    <hyperlink r:id="rId3217" ref="D3218"/>
    <hyperlink r:id="rId3218" ref="D3219"/>
    <hyperlink r:id="rId3219" ref="D3220"/>
    <hyperlink r:id="rId3220" ref="D3221"/>
    <hyperlink r:id="rId3221" ref="D3222"/>
    <hyperlink r:id="rId3222" ref="D3223"/>
    <hyperlink r:id="rId3223" ref="D3224"/>
    <hyperlink r:id="rId3224" ref="D3225"/>
    <hyperlink r:id="rId3225" ref="D3226"/>
    <hyperlink r:id="rId3226" ref="D3227"/>
    <hyperlink r:id="rId3227" ref="D3228"/>
    <hyperlink r:id="rId3228" ref="D3229"/>
    <hyperlink r:id="rId3229" ref="D3230"/>
    <hyperlink r:id="rId3230" ref="D3231"/>
    <hyperlink r:id="rId3231" ref="D3232"/>
    <hyperlink r:id="rId3232" ref="D3233"/>
    <hyperlink r:id="rId3233" ref="D3234"/>
    <hyperlink r:id="rId3234" ref="D3235"/>
    <hyperlink r:id="rId3235" ref="D3236"/>
    <hyperlink r:id="rId3236" ref="D3237"/>
    <hyperlink r:id="rId3237" ref="D3238"/>
    <hyperlink r:id="rId3238" ref="D3239"/>
    <hyperlink r:id="rId3239" ref="D3240"/>
    <hyperlink r:id="rId3240" ref="D3241"/>
    <hyperlink r:id="rId3241" ref="D3242"/>
    <hyperlink r:id="rId3242" ref="D3243"/>
    <hyperlink r:id="rId3243" ref="D3244"/>
    <hyperlink r:id="rId3244" ref="D3245"/>
    <hyperlink r:id="rId3245" ref="D3246"/>
    <hyperlink r:id="rId3246" ref="D3247"/>
    <hyperlink r:id="rId3247" ref="D3248"/>
    <hyperlink r:id="rId3248" ref="D3249"/>
    <hyperlink r:id="rId3249" ref="D3250"/>
    <hyperlink r:id="rId3250" ref="D3251"/>
    <hyperlink r:id="rId3251" ref="D3252"/>
    <hyperlink r:id="rId3252" ref="D3253"/>
    <hyperlink r:id="rId3253" ref="D3254"/>
    <hyperlink r:id="rId3254" ref="D3255"/>
    <hyperlink r:id="rId3255" ref="D3256"/>
    <hyperlink r:id="rId3256" ref="D3257"/>
    <hyperlink r:id="rId3257" ref="D3258"/>
    <hyperlink r:id="rId3258" ref="D3259"/>
    <hyperlink r:id="rId3259" ref="D3260"/>
    <hyperlink r:id="rId3260" ref="D3261"/>
    <hyperlink r:id="rId3261" ref="D3262"/>
    <hyperlink r:id="rId3262" ref="D3263"/>
    <hyperlink r:id="rId3263" ref="D3264"/>
    <hyperlink r:id="rId3264" ref="D3265"/>
    <hyperlink r:id="rId3265" ref="D3266"/>
    <hyperlink r:id="rId3266" ref="D3267"/>
    <hyperlink r:id="rId3267" ref="D3268"/>
    <hyperlink r:id="rId3268" ref="D3269"/>
    <hyperlink r:id="rId3269" ref="D3270"/>
    <hyperlink r:id="rId3270" ref="D3271"/>
    <hyperlink r:id="rId3271" ref="D3272"/>
    <hyperlink r:id="rId3272" ref="D3273"/>
    <hyperlink r:id="rId3273" ref="D3274"/>
    <hyperlink r:id="rId3274" ref="D3275"/>
    <hyperlink r:id="rId3275" ref="D3276"/>
    <hyperlink r:id="rId3276" ref="D3277"/>
    <hyperlink r:id="rId3277" ref="D3278"/>
    <hyperlink r:id="rId3278" ref="D3279"/>
    <hyperlink r:id="rId3279" ref="D3280"/>
    <hyperlink r:id="rId3280" ref="D3281"/>
    <hyperlink r:id="rId3281" ref="D3282"/>
    <hyperlink r:id="rId3282" ref="D3283"/>
    <hyperlink r:id="rId3283" ref="D3284"/>
    <hyperlink r:id="rId3284" ref="D3285"/>
    <hyperlink r:id="rId3285" ref="D3286"/>
    <hyperlink r:id="rId3286" ref="D3287"/>
    <hyperlink r:id="rId3287" ref="D3288"/>
    <hyperlink r:id="rId3288" ref="D3289"/>
    <hyperlink r:id="rId3289" ref="D3290"/>
    <hyperlink r:id="rId3290" ref="D3291"/>
    <hyperlink r:id="rId3291" ref="D3292"/>
    <hyperlink r:id="rId3292" ref="D3293"/>
    <hyperlink r:id="rId3293" ref="D3294"/>
    <hyperlink r:id="rId3294" ref="D3295"/>
    <hyperlink r:id="rId3295" ref="D3296"/>
    <hyperlink r:id="rId3296" ref="D3297"/>
    <hyperlink r:id="rId3297" ref="D3298"/>
    <hyperlink r:id="rId3298" ref="D3299"/>
    <hyperlink r:id="rId3299" ref="D3300"/>
    <hyperlink r:id="rId3300" ref="D3301"/>
    <hyperlink r:id="rId3301" ref="D3302"/>
    <hyperlink r:id="rId3302" ref="D3303"/>
    <hyperlink r:id="rId3303" ref="D3304"/>
    <hyperlink r:id="rId3304" ref="D3305"/>
    <hyperlink r:id="rId3305" ref="D3306"/>
    <hyperlink r:id="rId3306" ref="D3307"/>
    <hyperlink r:id="rId3307" ref="D3308"/>
    <hyperlink r:id="rId3308" ref="D3309"/>
    <hyperlink r:id="rId3309" ref="D3310"/>
    <hyperlink r:id="rId3310" ref="D3311"/>
    <hyperlink r:id="rId3311" ref="D3312"/>
    <hyperlink r:id="rId3312" ref="D3313"/>
    <hyperlink r:id="rId3313" ref="D3314"/>
    <hyperlink r:id="rId3314" ref="D3315"/>
    <hyperlink r:id="rId3315" ref="D3316"/>
    <hyperlink r:id="rId3316" ref="D3317"/>
    <hyperlink r:id="rId3317" ref="D3318"/>
    <hyperlink r:id="rId3318" ref="D3319"/>
    <hyperlink r:id="rId3319" ref="D3320"/>
    <hyperlink r:id="rId3320" ref="D3321"/>
    <hyperlink r:id="rId3321" ref="D3322"/>
    <hyperlink r:id="rId3322" ref="D3323"/>
    <hyperlink r:id="rId3323" ref="D3324"/>
    <hyperlink r:id="rId3324" ref="D3325"/>
    <hyperlink r:id="rId3325" ref="D3326"/>
    <hyperlink r:id="rId3326" ref="D3327"/>
    <hyperlink r:id="rId3327" ref="D3328"/>
    <hyperlink r:id="rId3328" ref="D3329"/>
    <hyperlink r:id="rId3329" ref="D3330"/>
    <hyperlink r:id="rId3330" ref="D3331"/>
    <hyperlink r:id="rId3331" ref="D3332"/>
    <hyperlink r:id="rId3332" ref="D3333"/>
    <hyperlink r:id="rId3333" ref="D3334"/>
    <hyperlink r:id="rId3334" ref="D3335"/>
    <hyperlink r:id="rId3335" ref="D3336"/>
    <hyperlink r:id="rId3336" ref="D3337"/>
    <hyperlink r:id="rId3337" ref="D3338"/>
    <hyperlink r:id="rId3338" ref="D3339"/>
    <hyperlink r:id="rId3339" ref="D3340"/>
    <hyperlink r:id="rId3340" ref="D3341"/>
    <hyperlink r:id="rId3341" ref="D3342"/>
    <hyperlink r:id="rId3342" ref="D3343"/>
    <hyperlink r:id="rId3343" ref="D3344"/>
    <hyperlink r:id="rId3344" ref="D3345"/>
    <hyperlink r:id="rId3345" ref="D3346"/>
    <hyperlink r:id="rId3346" ref="D3347"/>
    <hyperlink r:id="rId3347" ref="D3348"/>
    <hyperlink r:id="rId3348" ref="D3349"/>
    <hyperlink r:id="rId3349" ref="D3350"/>
    <hyperlink r:id="rId3350" ref="D3351"/>
    <hyperlink r:id="rId3351" ref="D3352"/>
    <hyperlink r:id="rId3352" ref="D3353"/>
    <hyperlink r:id="rId3353" ref="D3354"/>
    <hyperlink r:id="rId3354" ref="D3355"/>
    <hyperlink r:id="rId3355" ref="D3356"/>
    <hyperlink r:id="rId3356" ref="D3357"/>
    <hyperlink r:id="rId3357" ref="D3358"/>
    <hyperlink r:id="rId3358" ref="D3359"/>
    <hyperlink r:id="rId3359" ref="D3360"/>
    <hyperlink r:id="rId3360" ref="D3361"/>
    <hyperlink r:id="rId3361" ref="D3362"/>
    <hyperlink r:id="rId3362" ref="D3363"/>
    <hyperlink r:id="rId3363" ref="D3364"/>
    <hyperlink r:id="rId3364" ref="D3365"/>
    <hyperlink r:id="rId3365" ref="D3366"/>
    <hyperlink r:id="rId3366" ref="D3367"/>
    <hyperlink r:id="rId3367" ref="D3368"/>
    <hyperlink r:id="rId3368" ref="D3369"/>
    <hyperlink r:id="rId3369" ref="D3370"/>
    <hyperlink r:id="rId3370" ref="D3371"/>
    <hyperlink r:id="rId3371" ref="D3372"/>
    <hyperlink r:id="rId3372" ref="D3373"/>
    <hyperlink r:id="rId3373" ref="D3374"/>
    <hyperlink r:id="rId3374" ref="D3375"/>
    <hyperlink r:id="rId3375" ref="D3376"/>
    <hyperlink r:id="rId3376" ref="D3377"/>
    <hyperlink r:id="rId3377" ref="D3378"/>
    <hyperlink r:id="rId3378" ref="D3379"/>
    <hyperlink r:id="rId3379" ref="D3380"/>
    <hyperlink r:id="rId3380" ref="D3381"/>
    <hyperlink r:id="rId3381" ref="D3382"/>
    <hyperlink r:id="rId3382" ref="D3383"/>
    <hyperlink r:id="rId3383" ref="D3384"/>
    <hyperlink r:id="rId3384" ref="D3385"/>
    <hyperlink r:id="rId3385" ref="D3386"/>
    <hyperlink r:id="rId3386" ref="D3387"/>
    <hyperlink r:id="rId3387" ref="D3388"/>
    <hyperlink r:id="rId3388" ref="D3389"/>
    <hyperlink r:id="rId3389" ref="D3390"/>
    <hyperlink r:id="rId3390" ref="D3391"/>
    <hyperlink r:id="rId3391" ref="D3392"/>
    <hyperlink r:id="rId3392" ref="D3393"/>
    <hyperlink r:id="rId3393" ref="D3394"/>
    <hyperlink r:id="rId3394" ref="D3395"/>
    <hyperlink r:id="rId3395" ref="D3396"/>
    <hyperlink r:id="rId3396" ref="D3397"/>
    <hyperlink r:id="rId3397" ref="D3398"/>
    <hyperlink r:id="rId3398" ref="D3399"/>
    <hyperlink r:id="rId3399" ref="D3400"/>
    <hyperlink r:id="rId3400" ref="D3401"/>
    <hyperlink r:id="rId3401" ref="D3402"/>
    <hyperlink r:id="rId3402" ref="D3403"/>
    <hyperlink r:id="rId3403" ref="D3404"/>
    <hyperlink r:id="rId3404" ref="D3405"/>
    <hyperlink r:id="rId3405" ref="D3406"/>
    <hyperlink r:id="rId3406" ref="D3407"/>
    <hyperlink r:id="rId3407" ref="D3408"/>
    <hyperlink r:id="rId3408" ref="D3409"/>
    <hyperlink r:id="rId3409" ref="D3410"/>
    <hyperlink r:id="rId3410" ref="D3411"/>
    <hyperlink r:id="rId3411" ref="D3412"/>
    <hyperlink r:id="rId3412" ref="D3413"/>
    <hyperlink r:id="rId3413" ref="D3414"/>
    <hyperlink r:id="rId3414" ref="D3415"/>
    <hyperlink r:id="rId3415" ref="D3416"/>
    <hyperlink r:id="rId3416" ref="D3417"/>
    <hyperlink r:id="rId3417" ref="D3418"/>
    <hyperlink r:id="rId3418" ref="D3419"/>
    <hyperlink r:id="rId3419" ref="D3420"/>
    <hyperlink r:id="rId3420" ref="D3421"/>
    <hyperlink r:id="rId3421" ref="D3422"/>
    <hyperlink r:id="rId3422" ref="D3423"/>
    <hyperlink r:id="rId3423" ref="D3424"/>
    <hyperlink r:id="rId3424" ref="D3425"/>
    <hyperlink r:id="rId3425" ref="D3426"/>
    <hyperlink r:id="rId3426" ref="D3427"/>
    <hyperlink r:id="rId3427" ref="D3428"/>
    <hyperlink r:id="rId3428" ref="D3429"/>
    <hyperlink r:id="rId3429" ref="D3430"/>
    <hyperlink r:id="rId3430" ref="D3431"/>
    <hyperlink r:id="rId3431" ref="D3432"/>
    <hyperlink r:id="rId3432" ref="D3433"/>
    <hyperlink r:id="rId3433" ref="D3434"/>
    <hyperlink r:id="rId3434" ref="D3435"/>
    <hyperlink r:id="rId3435" ref="D3436"/>
    <hyperlink r:id="rId3436" ref="D3437"/>
    <hyperlink r:id="rId3437" ref="D3438"/>
    <hyperlink r:id="rId3438" ref="D3439"/>
    <hyperlink r:id="rId3439" ref="D3440"/>
    <hyperlink r:id="rId3440" ref="D3441"/>
    <hyperlink r:id="rId3441" ref="D3442"/>
    <hyperlink r:id="rId3442" ref="D3443"/>
    <hyperlink r:id="rId3443" ref="D3444"/>
    <hyperlink r:id="rId3444" ref="D3445"/>
    <hyperlink r:id="rId3445" ref="D3446"/>
    <hyperlink r:id="rId3446" ref="D3447"/>
    <hyperlink r:id="rId3447" ref="D3448"/>
    <hyperlink r:id="rId3448" ref="D3449"/>
    <hyperlink r:id="rId3449" ref="D3450"/>
    <hyperlink r:id="rId3450" ref="D3451"/>
    <hyperlink r:id="rId3451" ref="D3452"/>
    <hyperlink r:id="rId3452" ref="D3453"/>
    <hyperlink r:id="rId3453" ref="D3454"/>
    <hyperlink r:id="rId3454" ref="D3455"/>
    <hyperlink r:id="rId3455" ref="D3456"/>
    <hyperlink r:id="rId3456" ref="D3457"/>
    <hyperlink r:id="rId3457" ref="D3458"/>
    <hyperlink r:id="rId3458" ref="D3459"/>
    <hyperlink r:id="rId3459" ref="D3460"/>
    <hyperlink r:id="rId3460" ref="D3461"/>
    <hyperlink r:id="rId3461" ref="D3462"/>
    <hyperlink r:id="rId3462" ref="D3463"/>
    <hyperlink r:id="rId3463" ref="D3464"/>
    <hyperlink r:id="rId3464" ref="D3465"/>
    <hyperlink r:id="rId3465" ref="D3466"/>
    <hyperlink r:id="rId3466" ref="D3467"/>
    <hyperlink r:id="rId3467" ref="D3468"/>
    <hyperlink r:id="rId3468" ref="D3469"/>
    <hyperlink r:id="rId3469" ref="D3470"/>
    <hyperlink r:id="rId3470" ref="D3471"/>
    <hyperlink r:id="rId3471" ref="D3472"/>
    <hyperlink r:id="rId3472" ref="D3473"/>
    <hyperlink r:id="rId3473" ref="D3474"/>
    <hyperlink r:id="rId3474" ref="D3475"/>
    <hyperlink r:id="rId3475" ref="D3476"/>
    <hyperlink r:id="rId3476" ref="D3477"/>
    <hyperlink r:id="rId3477" ref="D3478"/>
    <hyperlink r:id="rId3478" ref="D3479"/>
    <hyperlink r:id="rId3479" ref="D3480"/>
    <hyperlink r:id="rId3480" ref="D3481"/>
    <hyperlink r:id="rId3481" ref="D3482"/>
    <hyperlink r:id="rId3482" ref="D3483"/>
    <hyperlink r:id="rId3483" ref="D3484"/>
    <hyperlink r:id="rId3484" ref="D3485"/>
    <hyperlink r:id="rId3485" ref="D3486"/>
    <hyperlink r:id="rId3486" ref="D3487"/>
    <hyperlink r:id="rId3487" ref="D3488"/>
    <hyperlink r:id="rId3488" ref="D3489"/>
    <hyperlink r:id="rId3489" ref="D3490"/>
    <hyperlink r:id="rId3490" ref="D3491"/>
    <hyperlink r:id="rId3491" ref="D3492"/>
    <hyperlink r:id="rId3492" ref="D3493"/>
    <hyperlink r:id="rId3493" ref="D3494"/>
    <hyperlink r:id="rId3494" ref="D3495"/>
    <hyperlink r:id="rId3495" ref="D3496"/>
    <hyperlink r:id="rId3496" ref="D3497"/>
    <hyperlink r:id="rId3497" ref="D3498"/>
    <hyperlink r:id="rId3498" ref="D3499"/>
    <hyperlink r:id="rId3499" ref="D3500"/>
    <hyperlink r:id="rId3500" ref="D3501"/>
    <hyperlink r:id="rId3501" ref="D3502"/>
    <hyperlink r:id="rId3502" ref="D3503"/>
    <hyperlink r:id="rId3503" ref="D3504"/>
    <hyperlink r:id="rId3504" ref="D3505"/>
    <hyperlink r:id="rId3505" ref="D3506"/>
    <hyperlink r:id="rId3506" ref="D3507"/>
    <hyperlink r:id="rId3507" ref="D3508"/>
    <hyperlink r:id="rId3508" ref="D3509"/>
    <hyperlink r:id="rId3509" ref="D3510"/>
    <hyperlink r:id="rId3510" ref="D3511"/>
    <hyperlink r:id="rId3511" ref="D3512"/>
    <hyperlink r:id="rId3512" ref="D3513"/>
    <hyperlink r:id="rId3513" ref="D3514"/>
    <hyperlink r:id="rId3514" ref="D3515"/>
    <hyperlink r:id="rId3515" ref="D3516"/>
    <hyperlink r:id="rId3516" ref="D3517"/>
    <hyperlink r:id="rId3517" ref="D3518"/>
    <hyperlink r:id="rId3518" ref="D3519"/>
    <hyperlink r:id="rId3519" ref="D3520"/>
    <hyperlink r:id="rId3520" ref="D3521"/>
    <hyperlink r:id="rId3521" ref="D3522"/>
    <hyperlink r:id="rId3522" ref="D3523"/>
    <hyperlink r:id="rId3523" ref="D3524"/>
    <hyperlink r:id="rId3524" ref="D3525"/>
    <hyperlink r:id="rId3525" ref="D3526"/>
    <hyperlink r:id="rId3526" ref="D3527"/>
    <hyperlink r:id="rId3527" ref="D3528"/>
    <hyperlink r:id="rId3528" ref="D3529"/>
    <hyperlink r:id="rId3529" ref="D3530"/>
    <hyperlink r:id="rId3530" ref="D3531"/>
    <hyperlink r:id="rId3531" ref="D3532"/>
    <hyperlink r:id="rId3532" ref="D3533"/>
    <hyperlink r:id="rId3533" ref="D3534"/>
    <hyperlink r:id="rId3534" ref="D3535"/>
    <hyperlink r:id="rId3535" ref="D3536"/>
    <hyperlink r:id="rId3536" ref="D3537"/>
    <hyperlink r:id="rId3537" ref="D3538"/>
    <hyperlink r:id="rId3538" ref="D3539"/>
    <hyperlink r:id="rId3539" ref="D3540"/>
    <hyperlink r:id="rId3540" ref="D3541"/>
    <hyperlink r:id="rId3541" ref="D3542"/>
    <hyperlink r:id="rId3542" ref="D3543"/>
    <hyperlink r:id="rId3543" ref="D3544"/>
    <hyperlink r:id="rId3544" ref="D3545"/>
    <hyperlink r:id="rId3545" ref="D3546"/>
    <hyperlink r:id="rId3546" ref="D3547"/>
    <hyperlink r:id="rId3547" ref="D3548"/>
    <hyperlink r:id="rId3548" ref="D3549"/>
    <hyperlink r:id="rId3549" ref="D3550"/>
    <hyperlink r:id="rId3550" ref="D3551"/>
    <hyperlink r:id="rId3551" ref="D3552"/>
    <hyperlink r:id="rId3552" ref="D3553"/>
    <hyperlink r:id="rId3553" ref="D3554"/>
    <hyperlink r:id="rId3554" ref="D3555"/>
    <hyperlink r:id="rId3555" ref="D3556"/>
    <hyperlink r:id="rId3556" ref="D3557"/>
    <hyperlink r:id="rId3557" ref="D3558"/>
    <hyperlink r:id="rId3558" ref="D3559"/>
    <hyperlink r:id="rId3559" ref="D3560"/>
    <hyperlink r:id="rId3560" ref="D3561"/>
    <hyperlink r:id="rId3561" ref="D3562"/>
    <hyperlink r:id="rId3562" ref="D3563"/>
    <hyperlink r:id="rId3563" ref="D3564"/>
    <hyperlink r:id="rId3564" ref="D3565"/>
    <hyperlink r:id="rId3565" ref="D3566"/>
    <hyperlink r:id="rId3566" ref="D3567"/>
    <hyperlink r:id="rId3567" ref="D3568"/>
    <hyperlink r:id="rId3568" ref="D3569"/>
    <hyperlink r:id="rId3569" ref="D3570"/>
    <hyperlink r:id="rId3570" ref="D3571"/>
    <hyperlink r:id="rId3571" ref="D3572"/>
    <hyperlink r:id="rId3572" ref="D3573"/>
    <hyperlink r:id="rId3573" ref="D3574"/>
    <hyperlink r:id="rId3574" ref="D3575"/>
    <hyperlink r:id="rId3575" ref="D3576"/>
    <hyperlink r:id="rId3576" ref="D3577"/>
    <hyperlink r:id="rId3577" ref="D3578"/>
    <hyperlink r:id="rId3578" ref="D3579"/>
    <hyperlink r:id="rId3579" ref="D3580"/>
    <hyperlink r:id="rId3580" ref="D3581"/>
    <hyperlink r:id="rId3581" ref="D3582"/>
    <hyperlink r:id="rId3582" ref="D3583"/>
    <hyperlink r:id="rId3583" ref="D3584"/>
    <hyperlink r:id="rId3584" ref="D3585"/>
    <hyperlink r:id="rId3585" ref="D3586"/>
    <hyperlink r:id="rId3586" ref="D3587"/>
    <hyperlink r:id="rId3587" ref="D3588"/>
    <hyperlink r:id="rId3588" ref="D3589"/>
    <hyperlink r:id="rId3589" ref="D3590"/>
    <hyperlink r:id="rId3590" ref="D3591"/>
    <hyperlink r:id="rId3591" ref="D3592"/>
    <hyperlink r:id="rId3592" ref="D3593"/>
    <hyperlink r:id="rId3593" ref="D3594"/>
    <hyperlink r:id="rId3594" ref="D3595"/>
    <hyperlink r:id="rId3595" ref="D3596"/>
    <hyperlink r:id="rId3596" ref="D3597"/>
    <hyperlink r:id="rId3597" ref="D3598"/>
    <hyperlink r:id="rId3598" ref="D3599"/>
    <hyperlink r:id="rId3599" ref="D3600"/>
    <hyperlink r:id="rId3600" ref="D3601"/>
    <hyperlink r:id="rId3601" ref="D3602"/>
    <hyperlink r:id="rId3602" ref="D3603"/>
    <hyperlink r:id="rId3603" ref="D3604"/>
    <hyperlink r:id="rId3604" ref="D3605"/>
    <hyperlink r:id="rId3605" ref="D3606"/>
    <hyperlink r:id="rId3606" ref="D3607"/>
    <hyperlink r:id="rId3607" ref="D3608"/>
    <hyperlink r:id="rId3608" ref="D3609"/>
    <hyperlink r:id="rId3609" ref="D3610"/>
    <hyperlink r:id="rId3610" ref="D3611"/>
    <hyperlink r:id="rId3611" ref="D3612"/>
    <hyperlink r:id="rId3612" ref="D3613"/>
    <hyperlink r:id="rId3613" ref="D3614"/>
    <hyperlink r:id="rId3614" ref="D3615"/>
    <hyperlink r:id="rId3615" ref="D3616"/>
    <hyperlink r:id="rId3616" ref="D3617"/>
    <hyperlink r:id="rId3617" ref="D3618"/>
    <hyperlink r:id="rId3618" ref="D3619"/>
    <hyperlink r:id="rId3619" ref="D3620"/>
    <hyperlink r:id="rId3620" ref="D3621"/>
    <hyperlink r:id="rId3621" ref="D3622"/>
    <hyperlink r:id="rId3622" ref="D3623"/>
    <hyperlink r:id="rId3623" ref="D3624"/>
    <hyperlink r:id="rId3624" ref="D3625"/>
    <hyperlink r:id="rId3625" ref="D3626"/>
    <hyperlink r:id="rId3626" ref="D3627"/>
    <hyperlink r:id="rId3627" ref="D3628"/>
    <hyperlink r:id="rId3628" ref="D3629"/>
    <hyperlink r:id="rId3629" ref="D3630"/>
    <hyperlink r:id="rId3630" ref="D3631"/>
    <hyperlink r:id="rId3631" ref="D3632"/>
    <hyperlink r:id="rId3632" ref="D3633"/>
    <hyperlink r:id="rId3633" ref="D3634"/>
    <hyperlink r:id="rId3634" ref="D3635"/>
    <hyperlink r:id="rId3635" ref="D3636"/>
    <hyperlink r:id="rId3636" ref="D3637"/>
    <hyperlink r:id="rId3637" ref="D3638"/>
    <hyperlink r:id="rId3638" ref="D3639"/>
    <hyperlink r:id="rId3639" ref="D3640"/>
    <hyperlink r:id="rId3640" ref="D3641"/>
    <hyperlink r:id="rId3641" ref="D3642"/>
    <hyperlink r:id="rId3642" ref="D3643"/>
    <hyperlink r:id="rId3643" ref="D3644"/>
    <hyperlink r:id="rId3644" ref="D3645"/>
    <hyperlink r:id="rId3645" ref="D3646"/>
    <hyperlink r:id="rId3646" ref="D3647"/>
    <hyperlink r:id="rId3647" ref="D3648"/>
    <hyperlink r:id="rId3648" ref="D3649"/>
    <hyperlink r:id="rId3649" ref="D3650"/>
    <hyperlink r:id="rId3650" ref="D3651"/>
    <hyperlink r:id="rId3651" ref="D3652"/>
    <hyperlink r:id="rId3652" ref="D3653"/>
    <hyperlink r:id="rId3653" ref="D3654"/>
    <hyperlink r:id="rId3654" ref="D3655"/>
    <hyperlink r:id="rId3655" ref="D3656"/>
    <hyperlink r:id="rId3656" ref="D3657"/>
    <hyperlink r:id="rId3657" ref="D3658"/>
    <hyperlink r:id="rId3658" ref="D3659"/>
    <hyperlink r:id="rId3659" ref="D3660"/>
    <hyperlink r:id="rId3660" ref="D3661"/>
    <hyperlink r:id="rId3661" ref="D3662"/>
    <hyperlink r:id="rId3662" ref="D3663"/>
    <hyperlink r:id="rId3663" ref="D3664"/>
    <hyperlink r:id="rId3664" ref="D3665"/>
    <hyperlink r:id="rId3665" ref="D3666"/>
    <hyperlink r:id="rId3666" ref="D3667"/>
    <hyperlink r:id="rId3667" ref="D3668"/>
    <hyperlink r:id="rId3668" ref="D3669"/>
    <hyperlink r:id="rId3669" ref="D3670"/>
    <hyperlink r:id="rId3670" ref="D3671"/>
    <hyperlink r:id="rId3671" ref="D3672"/>
    <hyperlink r:id="rId3672" ref="D3673"/>
    <hyperlink r:id="rId3673" ref="D3674"/>
    <hyperlink r:id="rId3674" ref="D3675"/>
    <hyperlink r:id="rId3675" ref="D3676"/>
    <hyperlink r:id="rId3676" ref="D3677"/>
    <hyperlink r:id="rId3677" ref="D3678"/>
    <hyperlink r:id="rId3678" ref="D3679"/>
    <hyperlink r:id="rId3679" ref="D3680"/>
    <hyperlink r:id="rId3680" ref="D3681"/>
    <hyperlink r:id="rId3681" ref="D3682"/>
    <hyperlink r:id="rId3682" ref="D3683"/>
    <hyperlink r:id="rId3683" ref="D3684"/>
    <hyperlink r:id="rId3684" ref="D3685"/>
    <hyperlink r:id="rId3685" ref="D3686"/>
    <hyperlink r:id="rId3686" ref="D3687"/>
    <hyperlink r:id="rId3687" ref="D3688"/>
    <hyperlink r:id="rId3688" ref="D3689"/>
    <hyperlink r:id="rId3689" ref="D3690"/>
    <hyperlink r:id="rId3690" ref="D3691"/>
    <hyperlink r:id="rId3691" ref="D3692"/>
    <hyperlink r:id="rId3692" ref="D3693"/>
    <hyperlink r:id="rId3693" ref="D3694"/>
    <hyperlink r:id="rId3694" ref="D3695"/>
    <hyperlink r:id="rId3695" ref="D3696"/>
    <hyperlink r:id="rId3696" ref="D3697"/>
    <hyperlink r:id="rId3697" ref="D3698"/>
    <hyperlink r:id="rId3698" ref="D3699"/>
    <hyperlink r:id="rId3699" ref="D3700"/>
    <hyperlink r:id="rId3700" ref="D3701"/>
    <hyperlink r:id="rId3701" ref="D3702"/>
    <hyperlink r:id="rId3702" ref="D3703"/>
    <hyperlink r:id="rId3703" ref="D3704"/>
    <hyperlink r:id="rId3704" ref="D3705"/>
    <hyperlink r:id="rId3705" ref="D3706"/>
    <hyperlink r:id="rId3706" ref="D3707"/>
    <hyperlink r:id="rId3707" ref="D3708"/>
    <hyperlink r:id="rId3708" ref="D3709"/>
    <hyperlink r:id="rId3709" ref="D3710"/>
    <hyperlink r:id="rId3710" ref="D3711"/>
    <hyperlink r:id="rId3711" ref="D3712"/>
    <hyperlink r:id="rId3712" ref="D3713"/>
    <hyperlink r:id="rId3713" ref="D3714"/>
    <hyperlink r:id="rId3714" ref="D3715"/>
    <hyperlink r:id="rId3715" ref="D3716"/>
    <hyperlink r:id="rId3716" ref="D3717"/>
    <hyperlink r:id="rId3717" ref="D3718"/>
    <hyperlink r:id="rId3718" ref="D3719"/>
    <hyperlink r:id="rId3719" ref="D3720"/>
    <hyperlink r:id="rId3720" ref="D3721"/>
    <hyperlink r:id="rId3721" ref="D3722"/>
    <hyperlink r:id="rId3722" ref="D3723"/>
    <hyperlink r:id="rId3723" ref="D3724"/>
    <hyperlink r:id="rId3724" ref="D3725"/>
    <hyperlink r:id="rId3725" ref="D3726"/>
    <hyperlink r:id="rId3726" ref="D3727"/>
    <hyperlink r:id="rId3727" ref="D3728"/>
    <hyperlink r:id="rId3728" ref="D3729"/>
    <hyperlink r:id="rId3729" ref="D3730"/>
    <hyperlink r:id="rId3730" ref="D3731"/>
    <hyperlink r:id="rId3731" ref="D3732"/>
    <hyperlink r:id="rId3732" ref="D3733"/>
    <hyperlink r:id="rId3733" ref="D3734"/>
    <hyperlink r:id="rId3734" ref="D3735"/>
    <hyperlink r:id="rId3735" ref="D3736"/>
    <hyperlink r:id="rId3736" ref="D3737"/>
    <hyperlink r:id="rId3737" ref="D3738"/>
    <hyperlink r:id="rId3738" ref="D3739"/>
    <hyperlink r:id="rId3739" ref="D3740"/>
    <hyperlink r:id="rId3740" ref="D3741"/>
    <hyperlink r:id="rId3741" ref="D3742"/>
    <hyperlink r:id="rId3742" ref="D3743"/>
    <hyperlink r:id="rId3743" ref="D3744"/>
    <hyperlink r:id="rId3744" ref="D3745"/>
    <hyperlink r:id="rId3745" ref="D3746"/>
    <hyperlink r:id="rId3746" ref="D3747"/>
    <hyperlink r:id="rId3747" ref="D3748"/>
    <hyperlink r:id="rId3748" ref="D3749"/>
    <hyperlink r:id="rId3749" ref="D3750"/>
    <hyperlink r:id="rId3750" ref="D3751"/>
    <hyperlink r:id="rId3751" ref="D3752"/>
    <hyperlink r:id="rId3752" ref="D3753"/>
    <hyperlink r:id="rId3753" ref="D3754"/>
    <hyperlink r:id="rId3754" ref="D3755"/>
    <hyperlink r:id="rId3755" ref="D3756"/>
    <hyperlink r:id="rId3756" ref="D3757"/>
    <hyperlink r:id="rId3757" ref="D3758"/>
    <hyperlink r:id="rId3758" ref="D3759"/>
    <hyperlink r:id="rId3759" ref="D3760"/>
    <hyperlink r:id="rId3760" ref="D3761"/>
    <hyperlink r:id="rId3761" ref="D3762"/>
    <hyperlink r:id="rId3762" ref="D3763"/>
    <hyperlink r:id="rId3763" ref="D3764"/>
    <hyperlink r:id="rId3764" ref="D3765"/>
    <hyperlink r:id="rId3765" ref="D3766"/>
    <hyperlink r:id="rId3766" ref="D3767"/>
    <hyperlink r:id="rId3767" ref="D3768"/>
    <hyperlink r:id="rId3768" ref="D3769"/>
    <hyperlink r:id="rId3769" ref="D3770"/>
    <hyperlink r:id="rId3770" ref="D3771"/>
    <hyperlink r:id="rId3771" ref="D3772"/>
    <hyperlink r:id="rId3772" ref="D3773"/>
    <hyperlink r:id="rId3773" ref="D3774"/>
    <hyperlink r:id="rId3774" ref="D3775"/>
    <hyperlink r:id="rId3775" ref="D3776"/>
    <hyperlink r:id="rId3776" ref="D3777"/>
    <hyperlink r:id="rId3777" ref="D3778"/>
    <hyperlink r:id="rId3778" ref="D3779"/>
    <hyperlink r:id="rId3779" ref="D3780"/>
    <hyperlink r:id="rId3780" ref="D3781"/>
    <hyperlink r:id="rId3781" ref="D3782"/>
    <hyperlink r:id="rId3782" ref="D3783"/>
    <hyperlink r:id="rId3783" ref="D3784"/>
    <hyperlink r:id="rId3784" ref="D3785"/>
    <hyperlink r:id="rId3785" ref="D3786"/>
    <hyperlink r:id="rId3786" ref="D3787"/>
    <hyperlink r:id="rId3787" ref="D3788"/>
    <hyperlink r:id="rId3788" ref="D3789"/>
    <hyperlink r:id="rId3789" ref="D3790"/>
    <hyperlink r:id="rId3790" ref="D3791"/>
    <hyperlink r:id="rId3791" ref="D3792"/>
    <hyperlink r:id="rId3792" ref="D3793"/>
    <hyperlink r:id="rId3793" ref="D3794"/>
    <hyperlink r:id="rId3794" ref="D3795"/>
    <hyperlink r:id="rId3795" ref="D3796"/>
    <hyperlink r:id="rId3796" ref="D3797"/>
    <hyperlink r:id="rId3797" ref="D3798"/>
    <hyperlink r:id="rId3798" ref="D3799"/>
    <hyperlink r:id="rId3799" ref="D3800"/>
    <hyperlink r:id="rId3800" ref="D3801"/>
    <hyperlink r:id="rId3801" ref="D3802"/>
    <hyperlink r:id="rId3802" ref="D3803"/>
    <hyperlink r:id="rId3803" ref="D3804"/>
    <hyperlink r:id="rId3804" ref="D3805"/>
    <hyperlink r:id="rId3805" ref="D3806"/>
    <hyperlink r:id="rId3806" ref="D3807"/>
    <hyperlink r:id="rId3807" ref="D3808"/>
    <hyperlink r:id="rId3808" ref="D3809"/>
    <hyperlink r:id="rId3809" ref="D3810"/>
    <hyperlink r:id="rId3810" ref="D3811"/>
    <hyperlink r:id="rId3811" ref="D3812"/>
    <hyperlink r:id="rId3812" ref="D3813"/>
    <hyperlink r:id="rId3813" ref="D3814"/>
    <hyperlink r:id="rId3814" ref="D3815"/>
    <hyperlink r:id="rId3815" ref="D3816"/>
    <hyperlink r:id="rId3816" ref="D3817"/>
    <hyperlink r:id="rId3817" ref="D3818"/>
    <hyperlink r:id="rId3818" ref="D3819"/>
    <hyperlink r:id="rId3819" ref="D3820"/>
    <hyperlink r:id="rId3820" ref="D3821"/>
    <hyperlink r:id="rId3821" ref="D3822"/>
    <hyperlink r:id="rId3822" ref="D3823"/>
    <hyperlink r:id="rId3823" ref="D3824"/>
    <hyperlink r:id="rId3824" ref="D3825"/>
    <hyperlink r:id="rId3825" ref="D3826"/>
    <hyperlink r:id="rId3826" ref="D3827"/>
    <hyperlink r:id="rId3827" ref="D3828"/>
    <hyperlink r:id="rId3828" ref="D3829"/>
    <hyperlink r:id="rId3829" ref="D3830"/>
    <hyperlink r:id="rId3830" ref="D3831"/>
    <hyperlink r:id="rId3831" ref="D3832"/>
    <hyperlink r:id="rId3832" ref="D3833"/>
    <hyperlink r:id="rId3833" ref="D3834"/>
    <hyperlink r:id="rId3834" ref="D3835"/>
    <hyperlink r:id="rId3835" ref="D3836"/>
    <hyperlink r:id="rId3836" ref="D3837"/>
    <hyperlink r:id="rId3837" ref="D3838"/>
    <hyperlink r:id="rId3838" ref="D3839"/>
    <hyperlink r:id="rId3839" ref="D3840"/>
    <hyperlink r:id="rId3840" ref="D3841"/>
    <hyperlink r:id="rId3841" ref="D3842"/>
    <hyperlink r:id="rId3842" ref="D3843"/>
    <hyperlink r:id="rId3843" ref="D3844"/>
    <hyperlink r:id="rId3844" ref="D3845"/>
    <hyperlink r:id="rId3845" ref="D3846"/>
    <hyperlink r:id="rId3846" ref="D3847"/>
    <hyperlink r:id="rId3847" ref="D3848"/>
    <hyperlink r:id="rId3848" ref="D3849"/>
    <hyperlink r:id="rId3849" ref="D3850"/>
    <hyperlink r:id="rId3850" ref="D3851"/>
    <hyperlink r:id="rId3851" ref="D3852"/>
    <hyperlink r:id="rId3852" ref="D3853"/>
    <hyperlink r:id="rId3853" ref="D3854"/>
    <hyperlink r:id="rId3854" ref="D3855"/>
    <hyperlink r:id="rId3855" ref="D3856"/>
    <hyperlink r:id="rId3856" ref="D3857"/>
    <hyperlink r:id="rId3857" ref="D3858"/>
    <hyperlink r:id="rId3858" ref="D3859"/>
    <hyperlink r:id="rId3859" ref="D3860"/>
    <hyperlink r:id="rId3860" ref="D3861"/>
    <hyperlink r:id="rId3861" ref="D3862"/>
    <hyperlink r:id="rId3862" ref="D3863"/>
    <hyperlink r:id="rId3863" ref="D3864"/>
    <hyperlink r:id="rId3864" ref="D3865"/>
    <hyperlink r:id="rId3865" ref="D3866"/>
    <hyperlink r:id="rId3866" ref="D3867"/>
    <hyperlink r:id="rId3867" ref="D3868"/>
    <hyperlink r:id="rId3868" ref="D3869"/>
    <hyperlink r:id="rId3869" ref="D3870"/>
    <hyperlink r:id="rId3870" ref="D3871"/>
    <hyperlink r:id="rId3871" ref="D3872"/>
    <hyperlink r:id="rId3872" ref="D3873"/>
    <hyperlink r:id="rId3873" ref="D3874"/>
    <hyperlink r:id="rId3874" ref="D3875"/>
    <hyperlink r:id="rId3875" ref="D3876"/>
    <hyperlink r:id="rId3876" ref="D3877"/>
    <hyperlink r:id="rId3877" ref="D3878"/>
    <hyperlink r:id="rId3878" ref="D3879"/>
    <hyperlink r:id="rId3879" ref="D3880"/>
    <hyperlink r:id="rId3880" ref="D3881"/>
    <hyperlink r:id="rId3881" ref="D3882"/>
    <hyperlink r:id="rId3882" ref="D3883"/>
    <hyperlink r:id="rId3883" ref="D3884"/>
    <hyperlink r:id="rId3884" ref="D3885"/>
    <hyperlink r:id="rId3885" ref="D3886"/>
    <hyperlink r:id="rId3886" ref="D3887"/>
    <hyperlink r:id="rId3887" ref="D3888"/>
    <hyperlink r:id="rId3888" ref="D3889"/>
    <hyperlink r:id="rId3889" ref="D3890"/>
    <hyperlink r:id="rId3890" ref="D3891"/>
    <hyperlink r:id="rId3891" ref="D3892"/>
    <hyperlink r:id="rId3892" ref="D3893"/>
    <hyperlink r:id="rId3893" ref="D3894"/>
    <hyperlink r:id="rId3894" ref="D3895"/>
    <hyperlink r:id="rId3895" ref="D3896"/>
    <hyperlink r:id="rId3896" ref="D3897"/>
    <hyperlink r:id="rId3897" ref="D3898"/>
    <hyperlink r:id="rId3898" ref="D3899"/>
    <hyperlink r:id="rId3899" ref="D3900"/>
    <hyperlink r:id="rId3900" ref="D3901"/>
    <hyperlink r:id="rId3901" ref="D3902"/>
    <hyperlink r:id="rId3902" ref="D3903"/>
    <hyperlink r:id="rId3903" ref="D3904"/>
    <hyperlink r:id="rId3904" ref="D3905"/>
    <hyperlink r:id="rId3905" ref="D3906"/>
    <hyperlink r:id="rId3906" ref="D3907"/>
    <hyperlink r:id="rId3907" ref="D3908"/>
    <hyperlink r:id="rId3908" ref="D3909"/>
    <hyperlink r:id="rId3909" ref="D3910"/>
    <hyperlink r:id="rId3910" ref="D3911"/>
    <hyperlink r:id="rId3911" ref="D3912"/>
    <hyperlink r:id="rId3912" ref="D3913"/>
    <hyperlink r:id="rId3913" ref="D3914"/>
    <hyperlink r:id="rId3914" ref="D3915"/>
    <hyperlink r:id="rId3915" ref="D3916"/>
    <hyperlink r:id="rId3916" ref="D3917"/>
    <hyperlink r:id="rId3917" ref="D3918"/>
    <hyperlink r:id="rId3918" ref="D3919"/>
    <hyperlink r:id="rId3919" ref="D3920"/>
    <hyperlink r:id="rId3920" ref="D3921"/>
    <hyperlink r:id="rId3921" ref="D3922"/>
    <hyperlink r:id="rId3922" ref="D3923"/>
    <hyperlink r:id="rId3923" ref="D3924"/>
    <hyperlink r:id="rId3924" ref="D3925"/>
    <hyperlink r:id="rId3925" ref="D3926"/>
    <hyperlink r:id="rId3926" ref="D3927"/>
    <hyperlink r:id="rId3927" ref="D3928"/>
    <hyperlink r:id="rId3928" ref="D3929"/>
    <hyperlink r:id="rId3929" ref="D3930"/>
    <hyperlink r:id="rId3930" ref="D3931"/>
    <hyperlink r:id="rId3931" ref="D3932"/>
    <hyperlink r:id="rId3932" ref="D3933"/>
    <hyperlink r:id="rId3933" ref="D3934"/>
    <hyperlink r:id="rId3934" ref="D3935"/>
    <hyperlink r:id="rId3935" ref="D3936"/>
    <hyperlink r:id="rId3936" ref="D3937"/>
    <hyperlink r:id="rId3937" ref="D3938"/>
    <hyperlink r:id="rId3938" ref="D3939"/>
    <hyperlink r:id="rId3939" ref="D3940"/>
    <hyperlink r:id="rId3940" ref="D3941"/>
    <hyperlink r:id="rId3941" ref="D3942"/>
    <hyperlink r:id="rId3942" ref="D3943"/>
    <hyperlink r:id="rId3943" ref="D3944"/>
    <hyperlink r:id="rId3944" ref="D3945"/>
    <hyperlink r:id="rId3945" ref="D3946"/>
    <hyperlink r:id="rId3946" ref="D3947"/>
    <hyperlink r:id="rId3947" ref="D3948"/>
    <hyperlink r:id="rId3948" ref="D3949"/>
    <hyperlink r:id="rId3949" ref="D3950"/>
    <hyperlink r:id="rId3950" ref="D3951"/>
    <hyperlink r:id="rId3951" ref="D3952"/>
    <hyperlink r:id="rId3952" ref="D3953"/>
    <hyperlink r:id="rId3953" ref="D3954"/>
    <hyperlink r:id="rId3954" ref="D3955"/>
    <hyperlink r:id="rId3955" ref="D3956"/>
    <hyperlink r:id="rId3956" ref="D3957"/>
    <hyperlink r:id="rId3957" ref="D3958"/>
    <hyperlink r:id="rId3958" ref="D3959"/>
    <hyperlink r:id="rId3959" ref="D3960"/>
    <hyperlink r:id="rId3960" ref="D3961"/>
    <hyperlink r:id="rId3961" ref="D3962"/>
    <hyperlink r:id="rId3962" ref="D3963"/>
    <hyperlink r:id="rId3963" ref="D3964"/>
    <hyperlink r:id="rId3964" ref="D3965"/>
    <hyperlink r:id="rId3965" ref="D3966"/>
    <hyperlink r:id="rId3966" ref="D3967"/>
    <hyperlink r:id="rId3967" ref="D3968"/>
    <hyperlink r:id="rId3968" ref="D3969"/>
    <hyperlink r:id="rId3969" ref="D3970"/>
    <hyperlink r:id="rId3970" ref="D3971"/>
    <hyperlink r:id="rId3971" ref="D3972"/>
    <hyperlink r:id="rId3972" ref="D3973"/>
    <hyperlink r:id="rId3973" ref="D3974"/>
    <hyperlink r:id="rId3974" ref="D3975"/>
    <hyperlink r:id="rId3975" ref="D3976"/>
    <hyperlink r:id="rId3976" ref="D3977"/>
    <hyperlink r:id="rId3977" ref="D3978"/>
    <hyperlink r:id="rId3978" ref="D3979"/>
    <hyperlink r:id="rId3979" ref="D3980"/>
    <hyperlink r:id="rId3980" ref="D3981"/>
    <hyperlink r:id="rId3981" ref="D3982"/>
    <hyperlink r:id="rId3982" ref="D3983"/>
    <hyperlink r:id="rId3983" ref="D3984"/>
    <hyperlink r:id="rId3984" ref="D3985"/>
    <hyperlink r:id="rId3985" ref="D3986"/>
    <hyperlink r:id="rId3986" ref="D3987"/>
    <hyperlink r:id="rId3987" ref="D3988"/>
    <hyperlink r:id="rId3988" ref="D3989"/>
    <hyperlink r:id="rId3989" ref="D3990"/>
    <hyperlink r:id="rId3990" ref="D3991"/>
    <hyperlink r:id="rId3991" ref="D3992"/>
    <hyperlink r:id="rId3992" ref="D3993"/>
    <hyperlink r:id="rId3993" ref="D3994"/>
    <hyperlink r:id="rId3994" ref="D3995"/>
    <hyperlink r:id="rId3995" ref="D3996"/>
    <hyperlink r:id="rId3996" ref="D3997"/>
    <hyperlink r:id="rId3997" ref="D3998"/>
    <hyperlink r:id="rId3998" ref="D3999"/>
    <hyperlink r:id="rId3999" ref="D4000"/>
    <hyperlink r:id="rId4000" ref="D4001"/>
    <hyperlink r:id="rId4001" ref="D4002"/>
    <hyperlink r:id="rId4002" ref="D4003"/>
    <hyperlink r:id="rId4003" ref="D4004"/>
    <hyperlink r:id="rId4004" ref="D4005"/>
    <hyperlink r:id="rId4005" ref="D4006"/>
    <hyperlink r:id="rId4006" ref="D4007"/>
    <hyperlink r:id="rId4007" ref="D4008"/>
    <hyperlink r:id="rId4008" ref="D4009"/>
    <hyperlink r:id="rId4009" ref="D4010"/>
    <hyperlink r:id="rId4010" ref="D4011"/>
    <hyperlink r:id="rId4011" ref="D4012"/>
    <hyperlink r:id="rId4012" ref="D4013"/>
    <hyperlink r:id="rId4013" ref="D4014"/>
    <hyperlink r:id="rId4014" ref="D4015"/>
    <hyperlink r:id="rId4015" ref="D4016"/>
    <hyperlink r:id="rId4016" ref="D4017"/>
    <hyperlink r:id="rId4017" ref="D4018"/>
    <hyperlink r:id="rId4018" ref="D4019"/>
    <hyperlink r:id="rId4019" ref="D4020"/>
    <hyperlink r:id="rId4020" ref="D4021"/>
    <hyperlink r:id="rId4021" ref="D4022"/>
    <hyperlink r:id="rId4022" ref="D4023"/>
    <hyperlink r:id="rId4023" ref="D4024"/>
    <hyperlink r:id="rId4024" ref="D4025"/>
    <hyperlink r:id="rId4025" ref="D4026"/>
    <hyperlink r:id="rId4026" ref="D4027"/>
    <hyperlink r:id="rId4027" ref="D4028"/>
    <hyperlink r:id="rId4028" ref="D4029"/>
    <hyperlink r:id="rId4029" ref="D4030"/>
    <hyperlink r:id="rId4030" ref="D4031"/>
    <hyperlink r:id="rId4031" ref="D4032"/>
    <hyperlink r:id="rId4032" ref="D4033"/>
    <hyperlink r:id="rId4033" ref="D4034"/>
    <hyperlink r:id="rId4034" ref="D4035"/>
    <hyperlink r:id="rId4035" ref="D4036"/>
    <hyperlink r:id="rId4036" ref="D4037"/>
    <hyperlink r:id="rId4037" ref="D4038"/>
    <hyperlink r:id="rId4038" ref="D4039"/>
    <hyperlink r:id="rId4039" ref="D4040"/>
    <hyperlink r:id="rId4040" ref="D4041"/>
    <hyperlink r:id="rId4041" ref="D4042"/>
    <hyperlink r:id="rId4042" ref="D4043"/>
    <hyperlink r:id="rId4043" ref="D4044"/>
    <hyperlink r:id="rId4044" ref="D4045"/>
    <hyperlink r:id="rId4045" ref="D4046"/>
    <hyperlink r:id="rId4046" ref="D4047"/>
    <hyperlink r:id="rId4047" ref="D4048"/>
    <hyperlink r:id="rId4048" ref="D4049"/>
    <hyperlink r:id="rId4049" ref="D4050"/>
    <hyperlink r:id="rId4050" ref="D4051"/>
    <hyperlink r:id="rId4051" ref="D4052"/>
    <hyperlink r:id="rId4052" ref="D4053"/>
    <hyperlink r:id="rId4053" ref="D4054"/>
    <hyperlink r:id="rId4054" ref="D4055"/>
    <hyperlink r:id="rId4055" ref="D4056"/>
    <hyperlink r:id="rId4056" ref="D4057"/>
    <hyperlink r:id="rId4057" ref="D4058"/>
    <hyperlink r:id="rId4058" ref="D4059"/>
    <hyperlink r:id="rId4059" ref="D4060"/>
    <hyperlink r:id="rId4060" ref="D4061"/>
    <hyperlink r:id="rId4061" ref="D4062"/>
    <hyperlink r:id="rId4062" ref="D4063"/>
    <hyperlink r:id="rId4063" ref="D4064"/>
    <hyperlink r:id="rId4064" ref="D4065"/>
    <hyperlink r:id="rId4065" ref="D4066"/>
    <hyperlink r:id="rId4066" ref="D4067"/>
    <hyperlink r:id="rId4067" ref="D4068"/>
    <hyperlink r:id="rId4068" ref="D4069"/>
    <hyperlink r:id="rId4069" ref="D4070"/>
    <hyperlink r:id="rId4070" ref="D4071"/>
    <hyperlink r:id="rId4071" ref="D4072"/>
    <hyperlink r:id="rId4072" ref="D4073"/>
    <hyperlink r:id="rId4073" ref="D4074"/>
    <hyperlink r:id="rId4074" ref="D4075"/>
    <hyperlink r:id="rId4075" ref="D4076"/>
    <hyperlink r:id="rId4076" ref="D4077"/>
    <hyperlink r:id="rId4077" ref="D4078"/>
    <hyperlink r:id="rId4078" ref="D4079"/>
    <hyperlink r:id="rId4079" ref="D4080"/>
    <hyperlink r:id="rId4080" ref="D4081"/>
    <hyperlink r:id="rId4081" ref="D4082"/>
    <hyperlink r:id="rId4082" ref="D4083"/>
    <hyperlink r:id="rId4083" ref="D4084"/>
    <hyperlink r:id="rId4084" ref="D4085"/>
    <hyperlink r:id="rId4085" ref="D4086"/>
    <hyperlink r:id="rId4086" ref="D4087"/>
    <hyperlink r:id="rId4087" ref="D4088"/>
    <hyperlink r:id="rId4088" ref="D4089"/>
    <hyperlink r:id="rId4089" ref="D4090"/>
    <hyperlink r:id="rId4090" ref="D4091"/>
    <hyperlink r:id="rId4091" ref="D4092"/>
    <hyperlink r:id="rId4092" ref="D4093"/>
    <hyperlink r:id="rId4093" ref="D4094"/>
    <hyperlink r:id="rId4094" ref="D4095"/>
    <hyperlink r:id="rId4095" ref="D4096"/>
    <hyperlink r:id="rId4096" ref="D4097"/>
    <hyperlink r:id="rId4097" ref="D4098"/>
    <hyperlink r:id="rId4098" ref="D4099"/>
    <hyperlink r:id="rId4099" ref="D4100"/>
    <hyperlink r:id="rId4100" ref="D4101"/>
    <hyperlink r:id="rId4101" ref="D4102"/>
    <hyperlink r:id="rId4102" ref="D4103"/>
    <hyperlink r:id="rId4103" ref="D4104"/>
    <hyperlink r:id="rId4104" ref="D4105"/>
    <hyperlink r:id="rId4105" ref="D4106"/>
    <hyperlink r:id="rId4106" ref="D4107"/>
    <hyperlink r:id="rId4107" ref="D4108"/>
    <hyperlink r:id="rId4108" ref="D4109"/>
    <hyperlink r:id="rId4109" ref="D4110"/>
    <hyperlink r:id="rId4110" ref="D4111"/>
    <hyperlink r:id="rId4111" ref="D4112"/>
    <hyperlink r:id="rId4112" ref="D4113"/>
    <hyperlink r:id="rId4113" ref="D4114"/>
    <hyperlink r:id="rId4114" ref="D4115"/>
    <hyperlink r:id="rId4115" ref="D4116"/>
    <hyperlink r:id="rId4116" ref="D4117"/>
    <hyperlink r:id="rId4117" ref="D4118"/>
    <hyperlink r:id="rId4118" ref="D4119"/>
    <hyperlink r:id="rId4119" ref="D4120"/>
    <hyperlink r:id="rId4120" ref="D4121"/>
    <hyperlink r:id="rId4121" ref="D4122"/>
    <hyperlink r:id="rId4122" ref="D4123"/>
    <hyperlink r:id="rId4123" ref="D4124"/>
    <hyperlink r:id="rId4124" ref="D4125"/>
    <hyperlink r:id="rId4125" ref="D4126"/>
    <hyperlink r:id="rId4126" ref="D4127"/>
    <hyperlink r:id="rId4127" ref="D4128"/>
    <hyperlink r:id="rId4128" ref="D4129"/>
    <hyperlink r:id="rId4129" ref="D4130"/>
    <hyperlink r:id="rId4130" ref="D4131"/>
    <hyperlink r:id="rId4131" ref="D4132"/>
    <hyperlink r:id="rId4132" ref="D4133"/>
    <hyperlink r:id="rId4133" ref="D4134"/>
    <hyperlink r:id="rId4134" ref="D4135"/>
    <hyperlink r:id="rId4135" ref="D4136"/>
    <hyperlink r:id="rId4136" ref="D4137"/>
    <hyperlink r:id="rId4137" ref="D4138"/>
    <hyperlink r:id="rId4138" ref="D4139"/>
    <hyperlink r:id="rId4139" ref="D4140"/>
    <hyperlink r:id="rId4140" ref="D4141"/>
    <hyperlink r:id="rId4141" ref="D4142"/>
    <hyperlink r:id="rId4142" ref="D4143"/>
    <hyperlink r:id="rId4143" ref="D4144"/>
    <hyperlink r:id="rId4144" ref="D4145"/>
    <hyperlink r:id="rId4145" ref="D4146"/>
    <hyperlink r:id="rId4146" ref="D4147"/>
    <hyperlink r:id="rId4147" ref="D4148"/>
    <hyperlink r:id="rId4148" ref="D4149"/>
    <hyperlink r:id="rId4149" ref="D4150"/>
    <hyperlink r:id="rId4150" ref="D4151"/>
    <hyperlink r:id="rId4151" ref="D4152"/>
    <hyperlink r:id="rId4152" ref="D4153"/>
    <hyperlink r:id="rId4153" ref="D4154"/>
    <hyperlink r:id="rId4154" ref="D4155"/>
    <hyperlink r:id="rId4155" ref="D4156"/>
    <hyperlink r:id="rId4156" ref="D4157"/>
    <hyperlink r:id="rId4157" ref="D4158"/>
    <hyperlink r:id="rId4158" ref="D4159"/>
    <hyperlink r:id="rId4159" ref="D4160"/>
    <hyperlink r:id="rId4160" ref="D4161"/>
    <hyperlink r:id="rId4161" ref="D4162"/>
    <hyperlink r:id="rId4162" ref="D4163"/>
    <hyperlink r:id="rId4163" ref="D4164"/>
    <hyperlink r:id="rId4164" ref="D4165"/>
    <hyperlink r:id="rId4165" ref="D4166"/>
    <hyperlink r:id="rId4166" ref="D4167"/>
    <hyperlink r:id="rId4167" ref="D4168"/>
    <hyperlink r:id="rId4168" ref="D4169"/>
    <hyperlink r:id="rId4169" ref="D4170"/>
    <hyperlink r:id="rId4170" ref="D4171"/>
    <hyperlink r:id="rId4171" ref="D4172"/>
    <hyperlink r:id="rId4172" ref="D4173"/>
    <hyperlink r:id="rId4173" ref="D4174"/>
    <hyperlink r:id="rId4174" ref="D4175"/>
    <hyperlink r:id="rId4175" ref="D4176"/>
    <hyperlink r:id="rId4176" ref="D4177"/>
    <hyperlink r:id="rId4177" ref="D4178"/>
    <hyperlink r:id="rId4178" ref="D4179"/>
    <hyperlink r:id="rId4179" ref="D4180"/>
    <hyperlink r:id="rId4180" ref="D4181"/>
    <hyperlink r:id="rId4181" ref="D4182"/>
    <hyperlink r:id="rId4182" ref="D4183"/>
    <hyperlink r:id="rId4183" ref="D4184"/>
    <hyperlink r:id="rId4184" ref="D4185"/>
    <hyperlink r:id="rId4185" ref="D4186"/>
    <hyperlink r:id="rId4186" ref="D4187"/>
    <hyperlink r:id="rId4187" ref="D4188"/>
    <hyperlink r:id="rId4188" ref="D4189"/>
    <hyperlink r:id="rId4189" ref="D4190"/>
    <hyperlink r:id="rId4190" ref="D4191"/>
    <hyperlink r:id="rId4191" ref="D4192"/>
    <hyperlink r:id="rId4192" ref="D4193"/>
    <hyperlink r:id="rId4193" ref="D4194"/>
    <hyperlink r:id="rId4194" ref="D4195"/>
    <hyperlink r:id="rId4195" ref="D4196"/>
    <hyperlink r:id="rId4196" ref="D4197"/>
    <hyperlink r:id="rId4197" ref="D4198"/>
    <hyperlink r:id="rId4198" ref="D4199"/>
    <hyperlink r:id="rId4199" ref="D4200"/>
    <hyperlink r:id="rId4200" ref="D4201"/>
    <hyperlink r:id="rId4201" ref="D4202"/>
    <hyperlink r:id="rId4202" ref="D4203"/>
    <hyperlink r:id="rId4203" ref="D4204"/>
    <hyperlink r:id="rId4204" ref="D4205"/>
    <hyperlink r:id="rId4205" ref="D4206"/>
    <hyperlink r:id="rId4206" ref="D4207"/>
    <hyperlink r:id="rId4207" ref="D4208"/>
    <hyperlink r:id="rId4208" ref="D4209"/>
    <hyperlink r:id="rId4209" ref="D4210"/>
    <hyperlink r:id="rId4210" ref="D4211"/>
    <hyperlink r:id="rId4211" ref="D4212"/>
    <hyperlink r:id="rId4212" ref="D4213"/>
    <hyperlink r:id="rId4213" ref="D4214"/>
    <hyperlink r:id="rId4214" ref="D4215"/>
    <hyperlink r:id="rId4215" ref="D4216"/>
    <hyperlink r:id="rId4216" ref="D4217"/>
    <hyperlink r:id="rId4217" ref="D4218"/>
    <hyperlink r:id="rId4218" ref="D4219"/>
    <hyperlink r:id="rId4219" ref="D4220"/>
    <hyperlink r:id="rId4220" ref="D4221"/>
    <hyperlink r:id="rId4221" ref="D4222"/>
    <hyperlink r:id="rId4222" ref="D4223"/>
    <hyperlink r:id="rId4223" ref="D4224"/>
    <hyperlink r:id="rId4224" ref="D4225"/>
    <hyperlink r:id="rId4225" ref="D4226"/>
    <hyperlink r:id="rId4226" ref="D4227"/>
    <hyperlink r:id="rId4227" ref="D4228"/>
    <hyperlink r:id="rId4228" ref="D4229"/>
    <hyperlink r:id="rId4229" ref="D4230"/>
    <hyperlink r:id="rId4230" ref="D4231"/>
    <hyperlink r:id="rId4231" ref="D4232"/>
    <hyperlink r:id="rId4232" ref="D4233"/>
    <hyperlink r:id="rId4233" ref="D4234"/>
    <hyperlink r:id="rId4234" ref="D4235"/>
    <hyperlink r:id="rId4235" ref="D4236"/>
    <hyperlink r:id="rId4236" ref="D4237"/>
    <hyperlink r:id="rId4237" ref="D4238"/>
    <hyperlink r:id="rId4238" ref="D4239"/>
    <hyperlink r:id="rId4239" ref="D4240"/>
    <hyperlink r:id="rId4240" ref="D4241"/>
    <hyperlink r:id="rId4241" ref="D4242"/>
    <hyperlink r:id="rId4242" ref="D4243"/>
    <hyperlink r:id="rId4243" ref="D4244"/>
    <hyperlink r:id="rId4244" ref="D4245"/>
    <hyperlink r:id="rId4245" ref="D4246"/>
    <hyperlink r:id="rId4246" ref="D4247"/>
    <hyperlink r:id="rId4247" ref="D4248"/>
    <hyperlink r:id="rId4248" ref="D4249"/>
    <hyperlink r:id="rId4249" ref="D4250"/>
    <hyperlink r:id="rId4250" ref="D4251"/>
    <hyperlink r:id="rId4251" ref="D4252"/>
    <hyperlink r:id="rId4252" ref="D4253"/>
    <hyperlink r:id="rId4253" ref="D4254"/>
    <hyperlink r:id="rId4254" ref="D4255"/>
    <hyperlink r:id="rId4255" ref="D4256"/>
    <hyperlink r:id="rId4256" ref="D4257"/>
    <hyperlink r:id="rId4257" ref="D4258"/>
    <hyperlink r:id="rId4258" ref="D4259"/>
    <hyperlink r:id="rId4259" ref="D4260"/>
    <hyperlink r:id="rId4260" ref="D4261"/>
    <hyperlink r:id="rId4261" ref="D4262"/>
    <hyperlink r:id="rId4262" ref="D4263"/>
    <hyperlink r:id="rId4263" ref="D4264"/>
    <hyperlink r:id="rId4264" ref="D4265"/>
    <hyperlink r:id="rId4265" ref="D4266"/>
    <hyperlink r:id="rId4266" ref="D4267"/>
    <hyperlink r:id="rId4267" ref="D4268"/>
    <hyperlink r:id="rId4268" ref="D4269"/>
    <hyperlink r:id="rId4269" ref="D4270"/>
    <hyperlink r:id="rId4270" ref="D4271"/>
    <hyperlink r:id="rId4271" ref="D4272"/>
    <hyperlink r:id="rId4272" ref="D4273"/>
    <hyperlink r:id="rId4273" ref="D4274"/>
    <hyperlink r:id="rId4274" ref="D4275"/>
    <hyperlink r:id="rId4275" ref="D4276"/>
    <hyperlink r:id="rId4276" ref="D4277"/>
    <hyperlink r:id="rId4277" ref="D4278"/>
    <hyperlink r:id="rId4278" ref="D4279"/>
    <hyperlink r:id="rId4279" ref="D4280"/>
    <hyperlink r:id="rId4280" ref="D4281"/>
    <hyperlink r:id="rId4281" ref="D4282"/>
    <hyperlink r:id="rId4282" ref="D4283"/>
    <hyperlink r:id="rId4283" ref="D4284"/>
    <hyperlink r:id="rId4284" ref="D4285"/>
    <hyperlink r:id="rId4285" ref="D4286"/>
    <hyperlink r:id="rId4286" ref="D4287"/>
    <hyperlink r:id="rId4287" ref="D4288"/>
    <hyperlink r:id="rId4288" ref="D4289"/>
    <hyperlink r:id="rId4289" ref="D4290"/>
    <hyperlink r:id="rId4290" ref="D4291"/>
    <hyperlink r:id="rId4291" ref="D4292"/>
    <hyperlink r:id="rId4292" ref="D4293"/>
    <hyperlink r:id="rId4293" ref="D4294"/>
    <hyperlink r:id="rId4294" ref="D4295"/>
    <hyperlink r:id="rId4295" ref="D4296"/>
    <hyperlink r:id="rId4296" ref="D4297"/>
    <hyperlink r:id="rId4297" ref="D4298"/>
    <hyperlink r:id="rId4298" ref="D4299"/>
    <hyperlink r:id="rId4299" ref="D4300"/>
    <hyperlink r:id="rId4300" ref="D4301"/>
    <hyperlink r:id="rId4301" ref="D4302"/>
    <hyperlink r:id="rId4302" ref="D4303"/>
    <hyperlink r:id="rId4303" ref="D4304"/>
    <hyperlink r:id="rId4304" ref="D4305"/>
    <hyperlink r:id="rId4305" ref="D4306"/>
    <hyperlink r:id="rId4306" ref="D4307"/>
    <hyperlink r:id="rId4307" ref="D4308"/>
    <hyperlink r:id="rId4308" ref="D4309"/>
    <hyperlink r:id="rId4309" ref="D4310"/>
    <hyperlink r:id="rId4310" ref="D4311"/>
    <hyperlink r:id="rId4311" ref="D4312"/>
    <hyperlink r:id="rId4312" ref="D4313"/>
    <hyperlink r:id="rId4313" ref="D4314"/>
    <hyperlink r:id="rId4314" ref="D4315"/>
    <hyperlink r:id="rId4315" ref="D4316"/>
    <hyperlink r:id="rId4316" ref="D4317"/>
    <hyperlink r:id="rId4317" ref="D4318"/>
    <hyperlink r:id="rId4318" ref="D4319"/>
    <hyperlink r:id="rId4319" ref="D4320"/>
    <hyperlink r:id="rId4320" ref="D4321"/>
    <hyperlink r:id="rId4321" ref="D4322"/>
    <hyperlink r:id="rId4322" ref="D4323"/>
    <hyperlink r:id="rId4323" ref="D4324"/>
    <hyperlink r:id="rId4324" ref="D4325"/>
    <hyperlink r:id="rId4325" ref="D4326"/>
    <hyperlink r:id="rId4326" ref="D4327"/>
    <hyperlink r:id="rId4327" ref="D4328"/>
    <hyperlink r:id="rId4328" ref="D4329"/>
    <hyperlink r:id="rId4329" ref="D4330"/>
    <hyperlink r:id="rId4330" ref="D4331"/>
    <hyperlink r:id="rId4331" ref="D4332"/>
    <hyperlink r:id="rId4332" ref="D4333"/>
    <hyperlink r:id="rId4333" ref="D4334"/>
    <hyperlink r:id="rId4334" ref="D4335"/>
    <hyperlink r:id="rId4335" ref="D4336"/>
    <hyperlink r:id="rId4336" ref="D4337"/>
    <hyperlink r:id="rId4337" ref="D4338"/>
    <hyperlink r:id="rId4338" ref="D4339"/>
    <hyperlink r:id="rId4339" ref="D4340"/>
    <hyperlink r:id="rId4340" ref="D4341"/>
    <hyperlink r:id="rId4341" ref="D4342"/>
    <hyperlink r:id="rId4342" ref="D4343"/>
    <hyperlink r:id="rId4343" ref="D4344"/>
    <hyperlink r:id="rId4344" ref="D4345"/>
    <hyperlink r:id="rId4345" ref="D4346"/>
    <hyperlink r:id="rId4346" ref="D4347"/>
    <hyperlink r:id="rId4347" ref="D4348"/>
    <hyperlink r:id="rId4348" ref="D4349"/>
    <hyperlink r:id="rId4349" ref="D4350"/>
    <hyperlink r:id="rId4350" ref="D4351"/>
    <hyperlink r:id="rId4351" ref="D4352"/>
    <hyperlink r:id="rId4352" ref="D4353"/>
    <hyperlink r:id="rId4353" ref="D4354"/>
    <hyperlink r:id="rId4354" ref="D4355"/>
    <hyperlink r:id="rId4355" ref="D4356"/>
    <hyperlink r:id="rId4356" ref="D4357"/>
    <hyperlink r:id="rId4357" ref="D4358"/>
    <hyperlink r:id="rId4358" ref="D4359"/>
    <hyperlink r:id="rId4359" ref="D4360"/>
    <hyperlink r:id="rId4360" ref="D4361"/>
    <hyperlink r:id="rId4361" ref="D4362"/>
    <hyperlink r:id="rId4362" ref="D4363"/>
    <hyperlink r:id="rId4363" ref="D4364"/>
    <hyperlink r:id="rId4364" ref="D4365"/>
    <hyperlink r:id="rId4365" ref="D4366"/>
    <hyperlink r:id="rId4366" ref="D4367"/>
    <hyperlink r:id="rId4367" ref="D4368"/>
    <hyperlink r:id="rId4368" ref="D4369"/>
    <hyperlink r:id="rId4369" ref="D4370"/>
    <hyperlink r:id="rId4370" ref="D4371"/>
    <hyperlink r:id="rId4371" ref="D4372"/>
    <hyperlink r:id="rId4372" ref="D4373"/>
    <hyperlink r:id="rId4373" ref="D4374"/>
    <hyperlink r:id="rId4374" ref="D4375"/>
    <hyperlink r:id="rId4375" ref="D4376"/>
    <hyperlink r:id="rId4376" ref="D4377"/>
    <hyperlink r:id="rId4377" ref="D4378"/>
    <hyperlink r:id="rId4378" ref="D4379"/>
    <hyperlink r:id="rId4379" ref="D4380"/>
    <hyperlink r:id="rId4380" ref="D4381"/>
    <hyperlink r:id="rId4381" ref="D4382"/>
    <hyperlink r:id="rId4382" ref="D4383"/>
    <hyperlink r:id="rId4383" ref="D4384"/>
    <hyperlink r:id="rId4384" ref="D4385"/>
    <hyperlink r:id="rId4385" ref="D4386"/>
    <hyperlink r:id="rId4386" ref="D4387"/>
    <hyperlink r:id="rId4387" ref="D4388"/>
    <hyperlink r:id="rId4388" ref="D4389"/>
    <hyperlink r:id="rId4389" ref="D4390"/>
    <hyperlink r:id="rId4390" ref="D4391"/>
    <hyperlink r:id="rId4391" ref="D4392"/>
    <hyperlink r:id="rId4392" ref="D4393"/>
    <hyperlink r:id="rId4393" ref="D4394"/>
    <hyperlink r:id="rId4394" ref="D4395"/>
    <hyperlink r:id="rId4395" ref="D4396"/>
    <hyperlink r:id="rId4396" ref="D4397"/>
    <hyperlink r:id="rId4397" ref="D4398"/>
    <hyperlink r:id="rId4398" ref="D4399"/>
    <hyperlink r:id="rId4399" ref="D4400"/>
    <hyperlink r:id="rId4400" ref="D4401"/>
    <hyperlink r:id="rId4401" ref="D4402"/>
    <hyperlink r:id="rId4402" ref="D4403"/>
    <hyperlink r:id="rId4403" ref="D4404"/>
    <hyperlink r:id="rId4404" ref="D4405"/>
    <hyperlink r:id="rId4405" ref="D4406"/>
    <hyperlink r:id="rId4406" ref="D4407"/>
    <hyperlink r:id="rId4407" ref="D4408"/>
    <hyperlink r:id="rId4408" ref="D4409"/>
    <hyperlink r:id="rId4409" ref="D4410"/>
    <hyperlink r:id="rId4410" ref="D4411"/>
    <hyperlink r:id="rId4411" ref="D4412"/>
    <hyperlink r:id="rId4412" ref="D4413"/>
    <hyperlink r:id="rId4413" ref="D4414"/>
    <hyperlink r:id="rId4414" ref="D4415"/>
    <hyperlink r:id="rId4415" ref="D4416"/>
    <hyperlink r:id="rId4416" ref="D4417"/>
    <hyperlink r:id="rId4417" ref="D4418"/>
    <hyperlink r:id="rId4418" ref="D4419"/>
    <hyperlink r:id="rId4419" ref="D4420"/>
    <hyperlink r:id="rId4420" ref="D4421"/>
    <hyperlink r:id="rId4421" ref="D4422"/>
    <hyperlink r:id="rId4422" ref="D4423"/>
    <hyperlink r:id="rId4423" ref="D4424"/>
    <hyperlink r:id="rId4424" ref="D4425"/>
    <hyperlink r:id="rId4425" ref="D4426"/>
    <hyperlink r:id="rId4426" ref="D4427"/>
    <hyperlink r:id="rId4427" ref="D4428"/>
    <hyperlink r:id="rId4428" ref="D4429"/>
    <hyperlink r:id="rId4429" ref="D4430"/>
    <hyperlink r:id="rId4430" ref="D4431"/>
    <hyperlink r:id="rId4431" ref="D4432"/>
    <hyperlink r:id="rId4432" ref="D4433"/>
    <hyperlink r:id="rId4433" ref="D4434"/>
    <hyperlink r:id="rId4434" ref="D4435"/>
    <hyperlink r:id="rId4435" ref="D4436"/>
    <hyperlink r:id="rId4436" ref="D4437"/>
    <hyperlink r:id="rId4437" ref="D4438"/>
    <hyperlink r:id="rId4438" ref="D4439"/>
    <hyperlink r:id="rId4439" ref="D4440"/>
    <hyperlink r:id="rId4440" ref="D4441"/>
    <hyperlink r:id="rId4441" ref="D4442"/>
    <hyperlink r:id="rId4442" ref="D4443"/>
    <hyperlink r:id="rId4443" ref="D4444"/>
    <hyperlink r:id="rId4444" ref="D4445"/>
    <hyperlink r:id="rId4445" ref="D4446"/>
    <hyperlink r:id="rId4446" ref="D4447"/>
    <hyperlink r:id="rId4447" ref="D4448"/>
    <hyperlink r:id="rId4448" ref="D4449"/>
    <hyperlink r:id="rId4449" ref="D4450"/>
    <hyperlink r:id="rId4450" ref="D4451"/>
    <hyperlink r:id="rId4451" ref="D4452"/>
    <hyperlink r:id="rId4452" ref="D4453"/>
    <hyperlink r:id="rId4453" ref="D4454"/>
    <hyperlink r:id="rId4454" ref="D4455"/>
    <hyperlink r:id="rId4455" ref="D4456"/>
    <hyperlink r:id="rId4456" ref="D4457"/>
    <hyperlink r:id="rId4457" ref="D4458"/>
    <hyperlink r:id="rId4458" ref="D4459"/>
    <hyperlink r:id="rId4459" ref="D4460"/>
    <hyperlink r:id="rId4460" ref="D4461"/>
    <hyperlink r:id="rId4461" ref="D4462"/>
    <hyperlink r:id="rId4462" ref="D4463"/>
    <hyperlink r:id="rId4463" ref="D4464"/>
    <hyperlink r:id="rId4464" ref="D4465"/>
    <hyperlink r:id="rId4465" ref="D4466"/>
    <hyperlink r:id="rId4466" ref="D4467"/>
    <hyperlink r:id="rId4467" ref="D4468"/>
    <hyperlink r:id="rId4468" ref="D4469"/>
    <hyperlink r:id="rId4469" ref="D4470"/>
    <hyperlink r:id="rId4470" ref="D4471"/>
    <hyperlink r:id="rId4471" ref="D4472"/>
    <hyperlink r:id="rId4472" ref="D4473"/>
    <hyperlink r:id="rId4473" ref="D4474"/>
    <hyperlink r:id="rId4474" ref="D4475"/>
    <hyperlink r:id="rId4475" ref="D4476"/>
    <hyperlink r:id="rId4476" ref="D4477"/>
    <hyperlink r:id="rId4477" ref="D4478"/>
    <hyperlink r:id="rId4478" ref="D4479"/>
    <hyperlink r:id="rId4479" ref="D4480"/>
    <hyperlink r:id="rId4480" ref="D4481"/>
    <hyperlink r:id="rId4481" ref="D4482"/>
    <hyperlink r:id="rId4482" ref="D4483"/>
    <hyperlink r:id="rId4483" ref="D4484"/>
    <hyperlink r:id="rId4484" ref="D4485"/>
    <hyperlink r:id="rId4485" ref="D4486"/>
    <hyperlink r:id="rId4486" ref="D4487"/>
    <hyperlink r:id="rId4487" ref="D4488"/>
    <hyperlink r:id="rId4488" ref="D4489"/>
    <hyperlink r:id="rId4489" ref="D4490"/>
    <hyperlink r:id="rId4490" ref="D4491"/>
    <hyperlink r:id="rId4491" ref="D4492"/>
    <hyperlink r:id="rId4492" ref="D4493"/>
    <hyperlink r:id="rId4493" ref="D4494"/>
    <hyperlink r:id="rId4494" ref="D4495"/>
    <hyperlink r:id="rId4495" ref="D4496"/>
    <hyperlink r:id="rId4496" ref="D4497"/>
    <hyperlink r:id="rId4497" ref="D4498"/>
    <hyperlink r:id="rId4498" ref="D4499"/>
    <hyperlink r:id="rId4499" ref="D4500"/>
    <hyperlink r:id="rId4500" ref="D4501"/>
    <hyperlink r:id="rId4501" ref="D4502"/>
    <hyperlink r:id="rId4502" ref="D4503"/>
    <hyperlink r:id="rId4503" ref="D4504"/>
    <hyperlink r:id="rId4504" ref="D4505"/>
    <hyperlink r:id="rId4505" ref="D4506"/>
    <hyperlink r:id="rId4506" ref="D4507"/>
    <hyperlink r:id="rId4507" ref="D4508"/>
    <hyperlink r:id="rId4508" ref="D4509"/>
    <hyperlink r:id="rId4509" ref="D4510"/>
    <hyperlink r:id="rId4510" ref="D4511"/>
    <hyperlink r:id="rId4511" ref="D4512"/>
    <hyperlink r:id="rId4512" ref="D4513"/>
    <hyperlink r:id="rId4513" ref="D4514"/>
    <hyperlink r:id="rId4514" ref="D4515"/>
    <hyperlink r:id="rId4515" ref="D4516"/>
    <hyperlink r:id="rId4516" ref="D4517"/>
    <hyperlink r:id="rId4517" ref="D4518"/>
    <hyperlink r:id="rId4518" ref="D4519"/>
    <hyperlink r:id="rId4519" ref="D4520"/>
    <hyperlink r:id="rId4520" ref="D4521"/>
    <hyperlink r:id="rId4521" ref="D4522"/>
    <hyperlink r:id="rId4522" ref="D4523"/>
    <hyperlink r:id="rId4523" ref="D4524"/>
    <hyperlink r:id="rId4524" ref="D4525"/>
    <hyperlink r:id="rId4525" ref="D4526"/>
    <hyperlink r:id="rId4526" ref="D4527"/>
    <hyperlink r:id="rId4527" ref="D4528"/>
    <hyperlink r:id="rId4528" ref="D4529"/>
    <hyperlink r:id="rId4529" ref="D4530"/>
    <hyperlink r:id="rId4530" ref="D4531"/>
    <hyperlink r:id="rId4531" ref="D4532"/>
    <hyperlink r:id="rId4532" ref="D4533"/>
    <hyperlink r:id="rId4533" ref="D4534"/>
    <hyperlink r:id="rId4534" ref="D4535"/>
    <hyperlink r:id="rId4535" ref="D4536"/>
    <hyperlink r:id="rId4536" ref="D4537"/>
    <hyperlink r:id="rId4537" ref="D4538"/>
    <hyperlink r:id="rId4538" ref="D4539"/>
    <hyperlink r:id="rId4539" ref="D4540"/>
    <hyperlink r:id="rId4540" ref="D4541"/>
    <hyperlink r:id="rId4541" ref="D4542"/>
    <hyperlink r:id="rId4542" ref="D4543"/>
    <hyperlink r:id="rId4543" ref="D4544"/>
    <hyperlink r:id="rId4544" ref="D4545"/>
    <hyperlink r:id="rId4545" ref="D4546"/>
    <hyperlink r:id="rId4546" ref="D4547"/>
    <hyperlink r:id="rId4547" ref="D4548"/>
    <hyperlink r:id="rId4548" ref="D4549"/>
    <hyperlink r:id="rId4549" ref="D4550"/>
    <hyperlink r:id="rId4550" ref="D4551"/>
    <hyperlink r:id="rId4551" ref="D4552"/>
    <hyperlink r:id="rId4552" ref="D4553"/>
    <hyperlink r:id="rId4553" ref="D4554"/>
    <hyperlink r:id="rId4554" ref="D4555"/>
    <hyperlink r:id="rId4555" ref="D4556"/>
    <hyperlink r:id="rId4556" ref="D4557"/>
    <hyperlink r:id="rId4557" ref="D4558"/>
    <hyperlink r:id="rId4558" ref="D4559"/>
    <hyperlink r:id="rId4559" ref="D4560"/>
    <hyperlink r:id="rId4560" ref="D4561"/>
    <hyperlink r:id="rId4561" ref="D4562"/>
    <hyperlink r:id="rId4562" ref="D4563"/>
    <hyperlink r:id="rId4563" ref="D4564"/>
    <hyperlink r:id="rId4564" ref="D4565"/>
    <hyperlink r:id="rId4565" ref="D4566"/>
    <hyperlink r:id="rId4566" ref="D4567"/>
    <hyperlink r:id="rId4567" ref="D4568"/>
    <hyperlink r:id="rId4568" ref="D4569"/>
    <hyperlink r:id="rId4569" ref="D4570"/>
    <hyperlink r:id="rId4570" ref="D4571"/>
    <hyperlink r:id="rId4571" ref="D4572"/>
    <hyperlink r:id="rId4572" ref="D4573"/>
    <hyperlink r:id="rId4573" ref="D4574"/>
    <hyperlink r:id="rId4574" ref="D4575"/>
    <hyperlink r:id="rId4575" ref="D4576"/>
    <hyperlink r:id="rId4576" ref="D4577"/>
    <hyperlink r:id="rId4577" ref="D4578"/>
    <hyperlink r:id="rId4578" ref="D4579"/>
    <hyperlink r:id="rId4579" ref="D4580"/>
    <hyperlink r:id="rId4580" ref="D4581"/>
    <hyperlink r:id="rId4581" ref="D4582"/>
    <hyperlink r:id="rId4582" ref="D4583"/>
    <hyperlink r:id="rId4583" ref="D4584"/>
    <hyperlink r:id="rId4584" ref="D4585"/>
    <hyperlink r:id="rId4585" ref="D4586"/>
    <hyperlink r:id="rId4586" ref="D4587"/>
    <hyperlink r:id="rId4587" ref="D4588"/>
    <hyperlink r:id="rId4588" ref="D4589"/>
    <hyperlink r:id="rId4589" ref="D4590"/>
    <hyperlink r:id="rId4590" ref="D4591"/>
    <hyperlink r:id="rId4591" ref="D4592"/>
    <hyperlink r:id="rId4592" ref="D4593"/>
    <hyperlink r:id="rId4593" ref="D4594"/>
    <hyperlink r:id="rId4594" ref="D4595"/>
    <hyperlink r:id="rId4595" ref="D4596"/>
    <hyperlink r:id="rId4596" ref="D4597"/>
    <hyperlink r:id="rId4597" ref="D4598"/>
    <hyperlink r:id="rId4598" ref="D4599"/>
    <hyperlink r:id="rId4599" ref="D4600"/>
    <hyperlink r:id="rId4600" ref="D4601"/>
    <hyperlink r:id="rId4601" ref="D4602"/>
    <hyperlink r:id="rId4602" ref="D4603"/>
    <hyperlink r:id="rId4603" ref="D4604"/>
    <hyperlink r:id="rId4604" ref="D4605"/>
    <hyperlink r:id="rId4605" ref="D4606"/>
    <hyperlink r:id="rId4606" ref="D4607"/>
    <hyperlink r:id="rId4607" ref="D4608"/>
    <hyperlink r:id="rId4608" ref="D4609"/>
    <hyperlink r:id="rId4609" ref="D4610"/>
    <hyperlink r:id="rId4610" ref="D4611"/>
    <hyperlink r:id="rId4611" ref="D4612"/>
    <hyperlink r:id="rId4612" ref="D4613"/>
    <hyperlink r:id="rId4613" ref="D4614"/>
    <hyperlink r:id="rId4614" ref="D4615"/>
    <hyperlink r:id="rId4615" ref="D4616"/>
    <hyperlink r:id="rId4616" ref="D4617"/>
    <hyperlink r:id="rId4617" ref="D4618"/>
    <hyperlink r:id="rId4618" ref="D4619"/>
    <hyperlink r:id="rId4619" ref="D4620"/>
    <hyperlink r:id="rId4620" ref="D4621"/>
    <hyperlink r:id="rId4621" ref="D4622"/>
    <hyperlink r:id="rId4622" ref="D4623"/>
    <hyperlink r:id="rId4623" ref="D4624"/>
    <hyperlink r:id="rId4624" ref="D4625"/>
    <hyperlink r:id="rId4625" ref="D4626"/>
    <hyperlink r:id="rId4626" ref="D4627"/>
    <hyperlink r:id="rId4627" ref="D4628"/>
    <hyperlink r:id="rId4628" ref="D4629"/>
    <hyperlink r:id="rId4629" ref="D4630"/>
    <hyperlink r:id="rId4630" ref="D4631"/>
    <hyperlink r:id="rId4631" ref="D4632"/>
    <hyperlink r:id="rId4632" ref="D4633"/>
    <hyperlink r:id="rId4633" ref="D4634"/>
    <hyperlink r:id="rId4634" ref="D4635"/>
    <hyperlink r:id="rId4635" ref="D4636"/>
    <hyperlink r:id="rId4636" ref="D4637"/>
    <hyperlink r:id="rId4637" ref="D4638"/>
    <hyperlink r:id="rId4638" ref="D4639"/>
    <hyperlink r:id="rId4639" ref="D4640"/>
    <hyperlink r:id="rId4640" ref="D4641"/>
    <hyperlink r:id="rId4641" ref="D4642"/>
    <hyperlink r:id="rId4642" ref="D4643"/>
    <hyperlink r:id="rId4643" ref="D4644"/>
    <hyperlink r:id="rId4644" ref="D4645"/>
    <hyperlink r:id="rId4645" ref="D4646"/>
    <hyperlink r:id="rId4646" ref="D4647"/>
    <hyperlink r:id="rId4647" ref="D4648"/>
    <hyperlink r:id="rId4648" ref="D4649"/>
    <hyperlink r:id="rId4649" ref="D4650"/>
    <hyperlink r:id="rId4650" ref="D4651"/>
    <hyperlink r:id="rId4651" ref="D4652"/>
    <hyperlink r:id="rId4652" ref="D4653"/>
    <hyperlink r:id="rId4653" ref="D4654"/>
    <hyperlink r:id="rId4654" ref="D4655"/>
    <hyperlink r:id="rId4655" ref="D4656"/>
    <hyperlink r:id="rId4656" ref="D4657"/>
    <hyperlink r:id="rId4657" ref="D4658"/>
    <hyperlink r:id="rId4658" ref="D4659"/>
    <hyperlink r:id="rId4659" ref="D4660"/>
    <hyperlink r:id="rId4660" ref="D4661"/>
    <hyperlink r:id="rId4661" ref="D4662"/>
    <hyperlink r:id="rId4662" ref="D4663"/>
    <hyperlink r:id="rId4663" ref="D4664"/>
    <hyperlink r:id="rId4664" ref="D4665"/>
    <hyperlink r:id="rId4665" ref="D4666"/>
    <hyperlink r:id="rId4666" ref="D4667"/>
    <hyperlink r:id="rId4667" ref="D4668"/>
    <hyperlink r:id="rId4668" ref="D4669"/>
    <hyperlink r:id="rId4669" ref="D4670"/>
    <hyperlink r:id="rId4670" ref="D4671"/>
    <hyperlink r:id="rId4671" ref="D4672"/>
    <hyperlink r:id="rId4672" ref="D4673"/>
    <hyperlink r:id="rId4673" ref="D4674"/>
    <hyperlink r:id="rId4674" ref="D4675"/>
    <hyperlink r:id="rId4675" ref="D4676"/>
    <hyperlink r:id="rId4676" ref="D4677"/>
    <hyperlink r:id="rId4677" ref="D4678"/>
    <hyperlink r:id="rId4678" ref="D4679"/>
    <hyperlink r:id="rId4679" ref="D4680"/>
    <hyperlink r:id="rId4680" ref="D4681"/>
    <hyperlink r:id="rId4681" ref="D4682"/>
    <hyperlink r:id="rId4682" ref="D4683"/>
    <hyperlink r:id="rId4683" ref="D4684"/>
    <hyperlink r:id="rId4684" ref="D4685"/>
    <hyperlink r:id="rId4685" ref="D4686"/>
    <hyperlink r:id="rId4686" ref="D4687"/>
    <hyperlink r:id="rId4687" ref="D4688"/>
    <hyperlink r:id="rId4688" ref="D4689"/>
    <hyperlink r:id="rId4689" ref="D4690"/>
    <hyperlink r:id="rId4690" ref="D4691"/>
    <hyperlink r:id="rId4691" ref="D4692"/>
    <hyperlink r:id="rId4692" ref="D4693"/>
    <hyperlink r:id="rId4693" ref="D4694"/>
    <hyperlink r:id="rId4694" ref="D4695"/>
    <hyperlink r:id="rId4695" ref="D4696"/>
    <hyperlink r:id="rId4696" ref="D4697"/>
    <hyperlink r:id="rId4697" ref="D4698"/>
    <hyperlink r:id="rId4698" ref="D4699"/>
    <hyperlink r:id="rId4699" ref="D4700"/>
    <hyperlink r:id="rId4700" ref="D4701"/>
    <hyperlink r:id="rId4701" ref="D4702"/>
    <hyperlink r:id="rId4702" ref="D4703"/>
    <hyperlink r:id="rId4703" ref="D4704"/>
    <hyperlink r:id="rId4704" ref="D4705"/>
    <hyperlink r:id="rId4705" ref="D4706"/>
    <hyperlink r:id="rId4706" ref="D4707"/>
    <hyperlink r:id="rId4707" ref="D4708"/>
    <hyperlink r:id="rId4708" ref="D4709"/>
    <hyperlink r:id="rId4709" ref="D4710"/>
    <hyperlink r:id="rId4710" ref="D4711"/>
    <hyperlink r:id="rId4711" ref="D4712"/>
    <hyperlink r:id="rId4712" ref="D4713"/>
    <hyperlink r:id="rId4713" ref="D4714"/>
    <hyperlink r:id="rId4714" ref="D4715"/>
    <hyperlink r:id="rId4715" ref="D4716"/>
    <hyperlink r:id="rId4716" ref="D4717"/>
    <hyperlink r:id="rId4717" ref="D4718"/>
    <hyperlink r:id="rId4718" ref="D4719"/>
    <hyperlink r:id="rId4719" ref="D4720"/>
    <hyperlink r:id="rId4720" ref="D4721"/>
    <hyperlink r:id="rId4721" ref="D4722"/>
    <hyperlink r:id="rId4722" ref="D4723"/>
    <hyperlink r:id="rId4723" ref="D4724"/>
    <hyperlink r:id="rId4724" ref="D4725"/>
    <hyperlink r:id="rId4725" ref="D4726"/>
    <hyperlink r:id="rId4726" ref="D4727"/>
    <hyperlink r:id="rId4727" ref="D4728"/>
    <hyperlink r:id="rId4728" ref="D4729"/>
    <hyperlink r:id="rId4729" ref="D4730"/>
    <hyperlink r:id="rId4730" ref="D4731"/>
    <hyperlink r:id="rId4731" ref="D4732"/>
    <hyperlink r:id="rId4732" ref="D4733"/>
    <hyperlink r:id="rId4733" ref="D4734"/>
    <hyperlink r:id="rId4734" ref="D4735"/>
    <hyperlink r:id="rId4735" ref="D4736"/>
    <hyperlink r:id="rId4736" ref="D4737"/>
    <hyperlink r:id="rId4737" ref="D4738"/>
    <hyperlink r:id="rId4738" ref="D4739"/>
    <hyperlink r:id="rId4739" ref="D4740"/>
    <hyperlink r:id="rId4740" ref="D4741"/>
    <hyperlink r:id="rId4741" ref="D4742"/>
    <hyperlink r:id="rId4742" ref="D4743"/>
    <hyperlink r:id="rId4743" ref="D4744"/>
    <hyperlink r:id="rId4744" ref="D4745"/>
    <hyperlink r:id="rId4745" ref="D4746"/>
    <hyperlink r:id="rId4746" ref="D4747"/>
    <hyperlink r:id="rId4747" ref="D4748"/>
    <hyperlink r:id="rId4748" ref="D4749"/>
    <hyperlink r:id="rId4749" ref="D4750"/>
    <hyperlink r:id="rId4750" ref="D4751"/>
    <hyperlink r:id="rId4751" ref="D4752"/>
    <hyperlink r:id="rId4752" ref="D4753"/>
    <hyperlink r:id="rId4753" ref="D4754"/>
    <hyperlink r:id="rId4754" ref="D4755"/>
    <hyperlink r:id="rId4755" ref="D4756"/>
    <hyperlink r:id="rId4756" ref="D4757"/>
    <hyperlink r:id="rId4757" ref="D4758"/>
    <hyperlink r:id="rId4758" ref="D4759"/>
    <hyperlink r:id="rId4759" ref="D4760"/>
    <hyperlink r:id="rId4760" ref="D4761"/>
    <hyperlink r:id="rId4761" ref="D4762"/>
    <hyperlink r:id="rId4762" ref="D4763"/>
    <hyperlink r:id="rId4763" ref="D4764"/>
    <hyperlink r:id="rId4764" ref="D4765"/>
    <hyperlink r:id="rId4765" ref="D4766"/>
    <hyperlink r:id="rId4766" ref="D4767"/>
    <hyperlink r:id="rId4767" ref="D4768"/>
    <hyperlink r:id="rId4768" ref="D4769"/>
    <hyperlink r:id="rId4769" ref="D4770"/>
    <hyperlink r:id="rId4770" ref="D4771"/>
    <hyperlink r:id="rId4771" ref="D4772"/>
    <hyperlink r:id="rId4772" ref="D4773"/>
    <hyperlink r:id="rId4773" ref="D4774"/>
    <hyperlink r:id="rId4774" ref="D4775"/>
    <hyperlink r:id="rId4775" ref="D4776"/>
    <hyperlink r:id="rId4776" ref="D4777"/>
    <hyperlink r:id="rId4777" ref="D4778"/>
    <hyperlink r:id="rId4778" ref="D4779"/>
    <hyperlink r:id="rId4779" ref="D4780"/>
    <hyperlink r:id="rId4780" ref="D4781"/>
    <hyperlink r:id="rId4781" ref="D4782"/>
    <hyperlink r:id="rId4782" ref="D4783"/>
    <hyperlink r:id="rId4783" ref="D4784"/>
    <hyperlink r:id="rId4784" ref="D4785"/>
    <hyperlink r:id="rId4785" ref="D4786"/>
    <hyperlink r:id="rId4786" ref="D4787"/>
    <hyperlink r:id="rId4787" ref="D4788"/>
    <hyperlink r:id="rId4788" ref="D4789"/>
    <hyperlink r:id="rId4789" ref="D4790"/>
    <hyperlink r:id="rId4790" ref="D4791"/>
    <hyperlink r:id="rId4791" ref="D4792"/>
    <hyperlink r:id="rId4792" ref="D4793"/>
    <hyperlink r:id="rId4793" ref="D4794"/>
    <hyperlink r:id="rId4794" ref="D4795"/>
    <hyperlink r:id="rId4795" ref="D4796"/>
    <hyperlink r:id="rId4796" ref="D4797"/>
    <hyperlink r:id="rId4797" ref="D4798"/>
    <hyperlink r:id="rId4798" ref="D4799"/>
    <hyperlink r:id="rId4799" ref="D4800"/>
    <hyperlink r:id="rId4800" ref="D4801"/>
    <hyperlink r:id="rId4801" ref="D4802"/>
    <hyperlink r:id="rId4802" ref="D4803"/>
    <hyperlink r:id="rId4803" ref="D4804"/>
    <hyperlink r:id="rId4804" ref="D4805"/>
    <hyperlink r:id="rId4805" ref="D4806"/>
    <hyperlink r:id="rId4806" ref="D4807"/>
    <hyperlink r:id="rId4807" ref="D4808"/>
    <hyperlink r:id="rId4808" ref="D4809"/>
    <hyperlink r:id="rId4809" ref="D4810"/>
    <hyperlink r:id="rId4810" ref="D4811"/>
    <hyperlink r:id="rId4811" ref="D4812"/>
    <hyperlink r:id="rId4812" ref="D4813"/>
    <hyperlink r:id="rId4813" ref="D4814"/>
    <hyperlink r:id="rId4814" ref="D4815"/>
    <hyperlink r:id="rId4815" ref="D4816"/>
    <hyperlink r:id="rId4816" ref="D4817"/>
    <hyperlink r:id="rId4817" ref="D4818"/>
    <hyperlink r:id="rId4818" ref="D4819"/>
    <hyperlink r:id="rId4819" ref="D4820"/>
    <hyperlink r:id="rId4820" ref="D4821"/>
    <hyperlink r:id="rId4821" ref="D4822"/>
    <hyperlink r:id="rId4822" ref="D4823"/>
    <hyperlink r:id="rId4823" ref="D4824"/>
    <hyperlink r:id="rId4824" ref="D4825"/>
    <hyperlink r:id="rId4825" ref="D4826"/>
    <hyperlink r:id="rId4826" ref="D4827"/>
    <hyperlink r:id="rId4827" ref="D4828"/>
    <hyperlink r:id="rId4828" ref="D4829"/>
    <hyperlink r:id="rId4829" ref="D4830"/>
    <hyperlink r:id="rId4830" ref="D4831"/>
    <hyperlink r:id="rId4831" ref="D4832"/>
    <hyperlink r:id="rId4832" ref="D4833"/>
    <hyperlink r:id="rId4833" ref="D4834"/>
    <hyperlink r:id="rId4834" ref="D4835"/>
    <hyperlink r:id="rId4835" ref="D4836"/>
    <hyperlink r:id="rId4836" ref="D4837"/>
    <hyperlink r:id="rId4837" ref="D4838"/>
    <hyperlink r:id="rId4838" ref="D4839"/>
    <hyperlink r:id="rId4839" ref="D4840"/>
    <hyperlink r:id="rId4840" ref="D4841"/>
    <hyperlink r:id="rId4841" ref="D4842"/>
    <hyperlink r:id="rId4842" ref="D4843"/>
    <hyperlink r:id="rId4843" ref="D4844"/>
    <hyperlink r:id="rId4844" ref="D4845"/>
    <hyperlink r:id="rId4845" ref="D4846"/>
    <hyperlink r:id="rId4846" ref="D4847"/>
    <hyperlink r:id="rId4847" ref="D4848"/>
    <hyperlink r:id="rId4848" ref="D4849"/>
    <hyperlink r:id="rId4849" ref="D4850"/>
    <hyperlink r:id="rId4850" ref="D4851"/>
    <hyperlink r:id="rId4851" ref="D4852"/>
    <hyperlink r:id="rId4852" ref="D4853"/>
    <hyperlink r:id="rId4853" ref="D4854"/>
    <hyperlink r:id="rId4854" ref="D4855"/>
    <hyperlink r:id="rId4855" ref="D4856"/>
    <hyperlink r:id="rId4856" ref="D4857"/>
    <hyperlink r:id="rId4857" ref="D4858"/>
    <hyperlink r:id="rId4858" ref="D4859"/>
    <hyperlink r:id="rId4859" ref="D4860"/>
    <hyperlink r:id="rId4860" ref="D4861"/>
    <hyperlink r:id="rId4861" ref="D4862"/>
    <hyperlink r:id="rId4862" ref="D4863"/>
    <hyperlink r:id="rId4863" ref="D4864"/>
    <hyperlink r:id="rId4864" ref="D4865"/>
    <hyperlink r:id="rId4865" ref="D4866"/>
    <hyperlink r:id="rId4866" ref="D4867"/>
    <hyperlink r:id="rId4867" ref="D4868"/>
    <hyperlink r:id="rId4868" ref="D4869"/>
    <hyperlink r:id="rId4869" ref="D4870"/>
    <hyperlink r:id="rId4870" ref="D4871"/>
    <hyperlink r:id="rId4871" ref="D4872"/>
    <hyperlink r:id="rId4872" ref="D4873"/>
    <hyperlink r:id="rId4873" ref="D4874"/>
    <hyperlink r:id="rId4874" ref="D4875"/>
    <hyperlink r:id="rId4875" ref="D4876"/>
    <hyperlink r:id="rId4876" ref="D4877"/>
    <hyperlink r:id="rId4877" ref="D4878"/>
    <hyperlink r:id="rId4878" ref="D4879"/>
    <hyperlink r:id="rId4879" ref="D4880"/>
    <hyperlink r:id="rId4880" ref="D4881"/>
    <hyperlink r:id="rId4881" ref="D4882"/>
    <hyperlink r:id="rId4882" ref="D4883"/>
    <hyperlink r:id="rId4883" ref="D4884"/>
    <hyperlink r:id="rId4884" ref="D4885"/>
    <hyperlink r:id="rId4885" ref="D4886"/>
    <hyperlink r:id="rId4886" ref="D4887"/>
    <hyperlink r:id="rId4887" ref="D4888"/>
    <hyperlink r:id="rId4888" ref="D4889"/>
    <hyperlink r:id="rId4889" ref="D4890"/>
    <hyperlink r:id="rId4890" ref="D4891"/>
    <hyperlink r:id="rId4891" ref="D4892"/>
    <hyperlink r:id="rId4892" ref="D4893"/>
    <hyperlink r:id="rId4893" ref="D4894"/>
    <hyperlink r:id="rId4894" ref="D4895"/>
    <hyperlink r:id="rId4895" ref="D4896"/>
    <hyperlink r:id="rId4896" ref="D4897"/>
    <hyperlink r:id="rId4897" ref="D4898"/>
    <hyperlink r:id="rId4898" ref="D4899"/>
    <hyperlink r:id="rId4899" ref="D4900"/>
    <hyperlink r:id="rId4900" ref="D4901"/>
    <hyperlink r:id="rId4901" ref="D4902"/>
    <hyperlink r:id="rId4902" ref="D4903"/>
    <hyperlink r:id="rId4903" ref="D4904"/>
    <hyperlink r:id="rId4904" ref="D4905"/>
    <hyperlink r:id="rId4905" ref="D4906"/>
    <hyperlink r:id="rId4906" ref="D4907"/>
    <hyperlink r:id="rId4907" ref="D4908"/>
    <hyperlink r:id="rId4908" ref="D4909"/>
    <hyperlink r:id="rId4909" ref="D4910"/>
    <hyperlink r:id="rId4910" ref="D4911"/>
    <hyperlink r:id="rId4911" ref="D4912"/>
    <hyperlink r:id="rId4912" ref="D4913"/>
    <hyperlink r:id="rId4913" ref="D4914"/>
    <hyperlink r:id="rId4914" ref="D4915"/>
    <hyperlink r:id="rId4915" ref="D4916"/>
    <hyperlink r:id="rId4916" ref="D4917"/>
    <hyperlink r:id="rId4917" ref="D4918"/>
    <hyperlink r:id="rId4918" ref="D4919"/>
    <hyperlink r:id="rId4919" ref="D4920"/>
    <hyperlink r:id="rId4920" ref="D4921"/>
    <hyperlink r:id="rId4921" ref="D4922"/>
    <hyperlink r:id="rId4922" ref="D4923"/>
    <hyperlink r:id="rId4923" ref="D4924"/>
    <hyperlink r:id="rId4924" ref="D4925"/>
    <hyperlink r:id="rId4925" ref="D4926"/>
    <hyperlink r:id="rId4926" ref="D4927"/>
    <hyperlink r:id="rId4927" ref="D4928"/>
    <hyperlink r:id="rId4928" ref="D4929"/>
    <hyperlink r:id="rId4929" ref="D4930"/>
    <hyperlink r:id="rId4930" ref="D4931"/>
    <hyperlink r:id="rId4931" ref="D4932"/>
    <hyperlink r:id="rId4932" ref="D4933"/>
    <hyperlink r:id="rId4933" ref="D4934"/>
    <hyperlink r:id="rId4934" ref="D4935"/>
    <hyperlink r:id="rId4935" ref="D4936"/>
    <hyperlink r:id="rId4936" ref="D4937"/>
    <hyperlink r:id="rId4937" ref="D4938"/>
    <hyperlink r:id="rId4938" ref="D4939"/>
    <hyperlink r:id="rId4939" ref="D4940"/>
    <hyperlink r:id="rId4940" ref="D4941"/>
    <hyperlink r:id="rId4941" ref="D4942"/>
    <hyperlink r:id="rId4942" ref="D4943"/>
    <hyperlink r:id="rId4943" ref="D4944"/>
    <hyperlink r:id="rId4944" ref="D4945"/>
    <hyperlink r:id="rId4945" ref="D4946"/>
    <hyperlink r:id="rId4946" ref="D4947"/>
    <hyperlink r:id="rId4947" ref="D4948"/>
    <hyperlink r:id="rId4948" ref="D4949"/>
    <hyperlink r:id="rId4949" ref="D4950"/>
    <hyperlink r:id="rId4950" ref="D4951"/>
    <hyperlink r:id="rId4951" ref="D4952"/>
    <hyperlink r:id="rId4952" ref="D4953"/>
    <hyperlink r:id="rId4953" ref="D4954"/>
    <hyperlink r:id="rId4954" ref="D4955"/>
    <hyperlink r:id="rId4955" ref="D4956"/>
    <hyperlink r:id="rId4956" ref="D4957"/>
    <hyperlink r:id="rId4957" ref="D4958"/>
    <hyperlink r:id="rId4958" ref="D4959"/>
    <hyperlink r:id="rId4959" ref="D4960"/>
    <hyperlink r:id="rId4960" ref="D4961"/>
    <hyperlink r:id="rId4961" ref="D4962"/>
    <hyperlink r:id="rId4962" ref="D4963"/>
    <hyperlink r:id="rId4963" ref="D4964"/>
    <hyperlink r:id="rId4964" ref="D4965"/>
    <hyperlink r:id="rId4965" ref="D4966"/>
    <hyperlink r:id="rId4966" ref="D4967"/>
    <hyperlink r:id="rId4967" ref="D4968"/>
    <hyperlink r:id="rId4968" ref="D4969"/>
    <hyperlink r:id="rId4969" ref="D4970"/>
    <hyperlink r:id="rId4970" ref="D4971"/>
    <hyperlink r:id="rId4971" ref="D4972"/>
    <hyperlink r:id="rId4972" ref="D4973"/>
    <hyperlink r:id="rId4973" ref="D4974"/>
    <hyperlink r:id="rId4974" ref="D4975"/>
    <hyperlink r:id="rId4975" ref="D4976"/>
    <hyperlink r:id="rId4976" ref="D4977"/>
    <hyperlink r:id="rId4977" ref="D4978"/>
    <hyperlink r:id="rId4978" ref="D4979"/>
    <hyperlink r:id="rId4979" ref="D4980"/>
    <hyperlink r:id="rId4980" ref="D4981"/>
    <hyperlink r:id="rId4981" ref="D4982"/>
    <hyperlink r:id="rId4982" ref="D4983"/>
    <hyperlink r:id="rId4983" ref="D4984"/>
    <hyperlink r:id="rId4984" ref="D4985"/>
    <hyperlink r:id="rId4985" ref="D4986"/>
    <hyperlink r:id="rId4986" ref="D4987"/>
    <hyperlink r:id="rId4987" ref="D4988"/>
    <hyperlink r:id="rId4988" ref="D4989"/>
    <hyperlink r:id="rId4989" ref="D4990"/>
    <hyperlink r:id="rId4990" ref="D4991"/>
    <hyperlink r:id="rId4991" ref="D4992"/>
    <hyperlink r:id="rId4992" ref="D4993"/>
    <hyperlink r:id="rId4993" ref="D4994"/>
    <hyperlink r:id="rId4994" ref="D4995"/>
    <hyperlink r:id="rId4995" ref="D4996"/>
    <hyperlink r:id="rId4996" ref="D4997"/>
    <hyperlink r:id="rId4997" ref="D4998"/>
    <hyperlink r:id="rId4998" ref="D4999"/>
    <hyperlink r:id="rId4999" ref="D5000"/>
    <hyperlink r:id="rId5000" ref="D5001"/>
    <hyperlink r:id="rId5001" ref="D5002"/>
    <hyperlink r:id="rId5002" ref="D5003"/>
    <hyperlink r:id="rId5003" ref="D5004"/>
    <hyperlink r:id="rId5004" ref="D5005"/>
    <hyperlink r:id="rId5005" ref="D5006"/>
    <hyperlink r:id="rId5006" ref="D5007"/>
    <hyperlink r:id="rId5007" ref="D5008"/>
    <hyperlink r:id="rId5008" ref="D5009"/>
    <hyperlink r:id="rId5009" ref="D5010"/>
    <hyperlink r:id="rId5010" ref="D5011"/>
    <hyperlink r:id="rId5011" ref="D5012"/>
    <hyperlink r:id="rId5012" ref="D5013"/>
    <hyperlink r:id="rId5013" ref="D5014"/>
    <hyperlink r:id="rId5014" ref="D5015"/>
    <hyperlink r:id="rId5015" ref="D5016"/>
    <hyperlink r:id="rId5016" ref="D5017"/>
    <hyperlink r:id="rId5017" ref="D5018"/>
    <hyperlink r:id="rId5018" ref="D5019"/>
    <hyperlink r:id="rId5019" ref="D5020"/>
    <hyperlink r:id="rId5020" ref="D5021"/>
    <hyperlink r:id="rId5021" ref="D5022"/>
    <hyperlink r:id="rId5022" ref="D5023"/>
    <hyperlink r:id="rId5023" ref="D5024"/>
    <hyperlink r:id="rId5024" ref="D5025"/>
    <hyperlink r:id="rId5025" ref="D5026"/>
    <hyperlink r:id="rId5026" ref="D5027"/>
    <hyperlink r:id="rId5027" ref="D5028"/>
    <hyperlink r:id="rId5028" ref="D5029"/>
    <hyperlink r:id="rId5029" ref="D5030"/>
    <hyperlink r:id="rId5030" ref="D5031"/>
    <hyperlink r:id="rId5031" ref="D5032"/>
    <hyperlink r:id="rId5032" ref="D5033"/>
    <hyperlink r:id="rId5033" ref="D5034"/>
    <hyperlink r:id="rId5034" ref="D5035"/>
    <hyperlink r:id="rId5035" ref="D5036"/>
    <hyperlink r:id="rId5036" ref="D5037"/>
    <hyperlink r:id="rId5037" ref="D5038"/>
    <hyperlink r:id="rId5038" ref="D5039"/>
    <hyperlink r:id="rId5039" ref="D5040"/>
    <hyperlink r:id="rId5040" ref="D5041"/>
    <hyperlink r:id="rId5041" ref="D5042"/>
    <hyperlink r:id="rId5042" ref="D5043"/>
    <hyperlink r:id="rId5043" ref="D5044"/>
    <hyperlink r:id="rId5044" ref="D5045"/>
    <hyperlink r:id="rId5045" ref="D5046"/>
    <hyperlink r:id="rId5046" ref="D5047"/>
    <hyperlink r:id="rId5047" ref="D5048"/>
    <hyperlink r:id="rId5048" ref="D5049"/>
    <hyperlink r:id="rId5049" ref="D5050"/>
    <hyperlink r:id="rId5050" ref="D5051"/>
    <hyperlink r:id="rId5051" ref="D5052"/>
    <hyperlink r:id="rId5052" ref="D5053"/>
    <hyperlink r:id="rId5053" ref="D5054"/>
    <hyperlink r:id="rId5054" ref="D5055"/>
    <hyperlink r:id="rId5055" ref="D5056"/>
    <hyperlink r:id="rId5056" ref="D5057"/>
    <hyperlink r:id="rId5057" ref="D5058"/>
    <hyperlink r:id="rId5058" ref="D5059"/>
    <hyperlink r:id="rId5059" ref="D5060"/>
    <hyperlink r:id="rId5060" ref="D5061"/>
    <hyperlink r:id="rId5061" ref="D5062"/>
    <hyperlink r:id="rId5062" ref="D5063"/>
    <hyperlink r:id="rId5063" ref="D5064"/>
    <hyperlink r:id="rId5064" ref="D5065"/>
    <hyperlink r:id="rId5065" ref="D5066"/>
    <hyperlink r:id="rId5066" ref="D5067"/>
    <hyperlink r:id="rId5067" ref="D5068"/>
    <hyperlink r:id="rId5068" ref="D5069"/>
    <hyperlink r:id="rId5069" ref="D5070"/>
    <hyperlink r:id="rId5070" ref="D5071"/>
    <hyperlink r:id="rId5071" ref="D5072"/>
    <hyperlink r:id="rId5072" ref="D5073"/>
    <hyperlink r:id="rId5073" ref="D5074"/>
    <hyperlink r:id="rId5074" ref="D5075"/>
    <hyperlink r:id="rId5075" ref="D5076"/>
    <hyperlink r:id="rId5076" ref="D5077"/>
    <hyperlink r:id="rId5077" ref="D5078"/>
    <hyperlink r:id="rId5078" ref="D5079"/>
    <hyperlink r:id="rId5079" ref="D5080"/>
    <hyperlink r:id="rId5080" ref="D5081"/>
    <hyperlink r:id="rId5081" ref="D5082"/>
    <hyperlink r:id="rId5082" ref="D5083"/>
    <hyperlink r:id="rId5083" ref="D5084"/>
    <hyperlink r:id="rId5084" ref="D5085"/>
    <hyperlink r:id="rId5085" ref="D5086"/>
    <hyperlink r:id="rId5086" ref="D5087"/>
    <hyperlink r:id="rId5087" ref="D5088"/>
    <hyperlink r:id="rId5088" ref="D5089"/>
    <hyperlink r:id="rId5089" ref="D5090"/>
    <hyperlink r:id="rId5090" ref="D5091"/>
    <hyperlink r:id="rId5091" ref="D5092"/>
    <hyperlink r:id="rId5092" ref="D5093"/>
    <hyperlink r:id="rId5093" ref="D5094"/>
    <hyperlink r:id="rId5094" ref="D5095"/>
    <hyperlink r:id="rId5095" ref="D5096"/>
    <hyperlink r:id="rId5096" ref="D5097"/>
    <hyperlink r:id="rId5097" ref="D5098"/>
    <hyperlink r:id="rId5098" ref="D5099"/>
    <hyperlink r:id="rId5099" ref="D5100"/>
    <hyperlink r:id="rId5100" ref="D5101"/>
    <hyperlink r:id="rId5101" ref="D5102"/>
    <hyperlink r:id="rId5102" ref="D5103"/>
    <hyperlink r:id="rId5103" ref="D5104"/>
    <hyperlink r:id="rId5104" ref="D5105"/>
    <hyperlink r:id="rId5105" ref="D5106"/>
    <hyperlink r:id="rId5106" ref="D5107"/>
    <hyperlink r:id="rId5107" ref="D5108"/>
    <hyperlink r:id="rId5108" ref="D5109"/>
    <hyperlink r:id="rId5109" ref="D5110"/>
    <hyperlink r:id="rId5110" ref="D5111"/>
    <hyperlink r:id="rId5111" ref="D5112"/>
    <hyperlink r:id="rId5112" ref="D5113"/>
    <hyperlink r:id="rId5113" ref="D5114"/>
    <hyperlink r:id="rId5114" ref="D5115"/>
    <hyperlink r:id="rId5115" ref="D5116"/>
    <hyperlink r:id="rId5116" ref="D5117"/>
    <hyperlink r:id="rId5117" ref="D5118"/>
    <hyperlink r:id="rId5118" ref="D5119"/>
    <hyperlink r:id="rId5119" ref="D5120"/>
    <hyperlink r:id="rId5120" ref="D5121"/>
    <hyperlink r:id="rId5121" ref="D5122"/>
    <hyperlink r:id="rId5122" ref="D5123"/>
    <hyperlink r:id="rId5123" ref="D5124"/>
    <hyperlink r:id="rId5124" ref="D5125"/>
    <hyperlink r:id="rId5125" ref="D5126"/>
    <hyperlink r:id="rId5126" ref="D5127"/>
    <hyperlink r:id="rId5127" ref="D5128"/>
    <hyperlink r:id="rId5128" ref="D5129"/>
    <hyperlink r:id="rId5129" ref="D5130"/>
    <hyperlink r:id="rId5130" ref="D5131"/>
    <hyperlink r:id="rId5131" ref="D5132"/>
    <hyperlink r:id="rId5132" ref="D5133"/>
    <hyperlink r:id="rId5133" ref="D5134"/>
    <hyperlink r:id="rId5134" ref="D5135"/>
    <hyperlink r:id="rId5135" ref="D5136"/>
    <hyperlink r:id="rId5136" ref="D5137"/>
    <hyperlink r:id="rId5137" ref="D5138"/>
    <hyperlink r:id="rId5138" ref="D5139"/>
    <hyperlink r:id="rId5139" ref="D5140"/>
    <hyperlink r:id="rId5140" ref="D5141"/>
    <hyperlink r:id="rId5141" ref="D5142"/>
    <hyperlink r:id="rId5142" ref="D5143"/>
    <hyperlink r:id="rId5143" ref="D5144"/>
    <hyperlink r:id="rId5144" ref="D5145"/>
    <hyperlink r:id="rId5145" ref="D5146"/>
    <hyperlink r:id="rId5146" ref="D5147"/>
    <hyperlink r:id="rId5147" ref="D5148"/>
    <hyperlink r:id="rId5148" ref="D5149"/>
    <hyperlink r:id="rId5149" ref="D5150"/>
    <hyperlink r:id="rId5150" ref="D5151"/>
    <hyperlink r:id="rId5151" ref="D5152"/>
    <hyperlink r:id="rId5152" ref="D5153"/>
    <hyperlink r:id="rId5153" ref="D5154"/>
    <hyperlink r:id="rId5154" ref="D5155"/>
    <hyperlink r:id="rId5155" ref="D5156"/>
    <hyperlink r:id="rId5156" ref="D5157"/>
    <hyperlink r:id="rId5157" ref="D5158"/>
    <hyperlink r:id="rId5158" ref="D5159"/>
    <hyperlink r:id="rId5159" ref="D5160"/>
    <hyperlink r:id="rId5160" ref="D5161"/>
    <hyperlink r:id="rId5161" ref="D5162"/>
    <hyperlink r:id="rId5162" ref="D5163"/>
    <hyperlink r:id="rId5163" ref="D5164"/>
    <hyperlink r:id="rId5164" ref="D5165"/>
    <hyperlink r:id="rId5165" ref="D5166"/>
    <hyperlink r:id="rId5166" ref="D5167"/>
    <hyperlink r:id="rId5167" ref="D5168"/>
    <hyperlink r:id="rId5168" ref="D5169"/>
    <hyperlink r:id="rId5169" ref="D5170"/>
    <hyperlink r:id="rId5170" ref="D5171"/>
    <hyperlink r:id="rId5171" ref="D5172"/>
    <hyperlink r:id="rId5172" ref="D5173"/>
    <hyperlink r:id="rId5173" ref="D5174"/>
    <hyperlink r:id="rId5174" ref="D5175"/>
    <hyperlink r:id="rId5175" ref="D5176"/>
    <hyperlink r:id="rId5176" ref="D5177"/>
    <hyperlink r:id="rId5177" ref="D5178"/>
    <hyperlink r:id="rId5178" ref="D5179"/>
    <hyperlink r:id="rId5179" ref="D5180"/>
    <hyperlink r:id="rId5180" ref="D5181"/>
    <hyperlink r:id="rId5181" ref="D5182"/>
    <hyperlink r:id="rId5182" ref="D5183"/>
    <hyperlink r:id="rId5183" ref="D5184"/>
    <hyperlink r:id="rId5184" ref="D5185"/>
    <hyperlink r:id="rId5185" ref="D5186"/>
    <hyperlink r:id="rId5186" ref="D5187"/>
    <hyperlink r:id="rId5187" ref="D5188"/>
    <hyperlink r:id="rId5188" ref="D5189"/>
    <hyperlink r:id="rId5189" ref="D5190"/>
    <hyperlink r:id="rId5190" ref="D5191"/>
    <hyperlink r:id="rId5191" ref="D5192"/>
    <hyperlink r:id="rId5192" ref="D5193"/>
    <hyperlink r:id="rId5193" ref="D5194"/>
    <hyperlink r:id="rId5194" ref="D5195"/>
    <hyperlink r:id="rId5195" ref="D5196"/>
    <hyperlink r:id="rId5196" ref="D5197"/>
    <hyperlink r:id="rId5197" ref="D5198"/>
    <hyperlink r:id="rId5198" ref="D5199"/>
    <hyperlink r:id="rId5199" ref="D5200"/>
    <hyperlink r:id="rId5200" ref="D5201"/>
    <hyperlink r:id="rId5201" ref="D5202"/>
    <hyperlink r:id="rId5202" ref="D5203"/>
    <hyperlink r:id="rId5203" ref="D5204"/>
    <hyperlink r:id="rId5204" ref="D5205"/>
    <hyperlink r:id="rId5205" ref="D5206"/>
    <hyperlink r:id="rId5206" ref="D5207"/>
    <hyperlink r:id="rId5207" ref="D5208"/>
    <hyperlink r:id="rId5208" ref="D5209"/>
    <hyperlink r:id="rId5209" ref="D5210"/>
    <hyperlink r:id="rId5210" ref="D5211"/>
    <hyperlink r:id="rId5211" ref="D5212"/>
    <hyperlink r:id="rId5212" ref="D5213"/>
    <hyperlink r:id="rId5213" ref="D5214"/>
    <hyperlink r:id="rId5214" ref="D5215"/>
    <hyperlink r:id="rId5215" ref="D5216"/>
    <hyperlink r:id="rId5216" ref="D5217"/>
    <hyperlink r:id="rId5217" ref="D5218"/>
    <hyperlink r:id="rId5218" ref="D5219"/>
    <hyperlink r:id="rId5219" ref="D5220"/>
    <hyperlink r:id="rId5220" ref="D5221"/>
    <hyperlink r:id="rId5221" ref="D5222"/>
    <hyperlink r:id="rId5222" ref="D5223"/>
    <hyperlink r:id="rId5223" ref="D5224"/>
    <hyperlink r:id="rId5224" ref="D5225"/>
    <hyperlink r:id="rId5225" ref="D5226"/>
    <hyperlink r:id="rId5226" ref="D5227"/>
    <hyperlink r:id="rId5227" ref="D5228"/>
    <hyperlink r:id="rId5228" ref="D5229"/>
    <hyperlink r:id="rId5229" ref="D5230"/>
    <hyperlink r:id="rId5230" ref="D5231"/>
    <hyperlink r:id="rId5231" ref="D5232"/>
    <hyperlink r:id="rId5232" ref="D5233"/>
    <hyperlink r:id="rId5233" ref="D5234"/>
    <hyperlink r:id="rId5234" ref="D5235"/>
    <hyperlink r:id="rId5235" ref="D5236"/>
    <hyperlink r:id="rId5236" ref="D5237"/>
    <hyperlink r:id="rId5237" ref="D5238"/>
    <hyperlink r:id="rId5238" ref="D5239"/>
    <hyperlink r:id="rId5239" ref="D5240"/>
    <hyperlink r:id="rId5240" ref="D5241"/>
    <hyperlink r:id="rId5241" ref="D5242"/>
    <hyperlink r:id="rId5242" ref="D5243"/>
    <hyperlink r:id="rId5243" ref="D5244"/>
    <hyperlink r:id="rId5244" ref="D5245"/>
    <hyperlink r:id="rId5245" ref="D5246"/>
    <hyperlink r:id="rId5246" ref="D5247"/>
    <hyperlink r:id="rId5247" ref="D5248"/>
    <hyperlink r:id="rId5248" ref="D5249"/>
    <hyperlink r:id="rId5249" ref="D5250"/>
    <hyperlink r:id="rId5250" ref="D5251"/>
    <hyperlink r:id="rId5251" ref="D5252"/>
    <hyperlink r:id="rId5252" ref="D5253"/>
    <hyperlink r:id="rId5253" ref="D5254"/>
    <hyperlink r:id="rId5254" ref="D5255"/>
    <hyperlink r:id="rId5255" ref="D5256"/>
    <hyperlink r:id="rId5256" ref="D5257"/>
    <hyperlink r:id="rId5257" ref="D5258"/>
    <hyperlink r:id="rId5258" ref="D5259"/>
    <hyperlink r:id="rId5259" ref="D5260"/>
    <hyperlink r:id="rId5260" ref="D5261"/>
    <hyperlink r:id="rId5261" ref="D5262"/>
    <hyperlink r:id="rId5262" ref="D5263"/>
    <hyperlink r:id="rId5263" ref="D5264"/>
    <hyperlink r:id="rId5264" ref="D5265"/>
    <hyperlink r:id="rId5265" ref="D5266"/>
    <hyperlink r:id="rId5266" ref="D5267"/>
    <hyperlink r:id="rId5267" ref="D5268"/>
    <hyperlink r:id="rId5268" ref="D5269"/>
    <hyperlink r:id="rId5269" ref="D5270"/>
    <hyperlink r:id="rId5270" ref="D5271"/>
    <hyperlink r:id="rId5271" ref="D5272"/>
    <hyperlink r:id="rId5272" ref="D5273"/>
    <hyperlink r:id="rId5273" ref="D5274"/>
    <hyperlink r:id="rId5274" ref="D5275"/>
    <hyperlink r:id="rId5275" ref="D5276"/>
    <hyperlink r:id="rId5276" ref="D5277"/>
    <hyperlink r:id="rId5277" ref="D5278"/>
    <hyperlink r:id="rId5278" ref="D5279"/>
    <hyperlink r:id="rId5279" ref="D5280"/>
    <hyperlink r:id="rId5280" ref="D5281"/>
    <hyperlink r:id="rId5281" ref="D5282"/>
    <hyperlink r:id="rId5282" ref="D5283"/>
    <hyperlink r:id="rId5283" ref="D5284"/>
    <hyperlink r:id="rId5284" ref="D5285"/>
    <hyperlink r:id="rId5285" ref="D5286"/>
    <hyperlink r:id="rId5286" ref="D5287"/>
    <hyperlink r:id="rId5287" ref="D5288"/>
    <hyperlink r:id="rId5288" ref="D5289"/>
    <hyperlink r:id="rId5289" ref="D5290"/>
    <hyperlink r:id="rId5290" ref="D5291"/>
    <hyperlink r:id="rId5291" ref="D5292"/>
    <hyperlink r:id="rId5292" ref="D5293"/>
    <hyperlink r:id="rId5293" ref="D5294"/>
    <hyperlink r:id="rId5294" ref="D5295"/>
    <hyperlink r:id="rId5295" ref="D5296"/>
    <hyperlink r:id="rId5296" ref="D5297"/>
    <hyperlink r:id="rId5297" ref="D5298"/>
    <hyperlink r:id="rId5298" ref="D5299"/>
    <hyperlink r:id="rId5299" ref="D5300"/>
    <hyperlink r:id="rId5300" ref="D5301"/>
    <hyperlink r:id="rId5301" ref="D5302"/>
    <hyperlink r:id="rId5302" ref="D5303"/>
    <hyperlink r:id="rId5303" ref="D5304"/>
    <hyperlink r:id="rId5304" ref="D5305"/>
    <hyperlink r:id="rId5305" ref="D5306"/>
    <hyperlink r:id="rId5306" ref="D5307"/>
    <hyperlink r:id="rId5307" ref="D5308"/>
    <hyperlink r:id="rId5308" ref="D5309"/>
    <hyperlink r:id="rId5309" ref="D5310"/>
    <hyperlink r:id="rId5310" ref="D5311"/>
    <hyperlink r:id="rId5311" ref="D5312"/>
    <hyperlink r:id="rId5312" ref="D5313"/>
    <hyperlink r:id="rId5313" ref="D5314"/>
    <hyperlink r:id="rId5314" ref="D5315"/>
    <hyperlink r:id="rId5315" ref="D5316"/>
    <hyperlink r:id="rId5316" ref="D5317"/>
    <hyperlink r:id="rId5317" ref="D5318"/>
    <hyperlink r:id="rId5318" ref="D5319"/>
    <hyperlink r:id="rId5319" ref="D5320"/>
    <hyperlink r:id="rId5320" ref="D5321"/>
    <hyperlink r:id="rId5321" ref="D5322"/>
    <hyperlink r:id="rId5322" ref="D5323"/>
    <hyperlink r:id="rId5323" ref="D5324"/>
    <hyperlink r:id="rId5324" ref="D5325"/>
    <hyperlink r:id="rId5325" ref="D5326"/>
    <hyperlink r:id="rId5326" ref="D5327"/>
    <hyperlink r:id="rId5327" ref="D5328"/>
    <hyperlink r:id="rId5328" ref="D5329"/>
    <hyperlink r:id="rId5329" ref="D5330"/>
    <hyperlink r:id="rId5330" ref="D5331"/>
    <hyperlink r:id="rId5331" ref="D5332"/>
    <hyperlink r:id="rId5332" ref="D5333"/>
    <hyperlink r:id="rId5333" ref="D5334"/>
    <hyperlink r:id="rId5334" ref="D5335"/>
    <hyperlink r:id="rId5335" ref="D5336"/>
    <hyperlink r:id="rId5336" ref="D5337"/>
    <hyperlink r:id="rId5337" ref="D5338"/>
    <hyperlink r:id="rId5338" ref="D5339"/>
    <hyperlink r:id="rId5339" ref="D5340"/>
    <hyperlink r:id="rId5340" ref="D5341"/>
    <hyperlink r:id="rId5341" ref="D5342"/>
    <hyperlink r:id="rId5342" ref="D5343"/>
    <hyperlink r:id="rId5343" ref="D5344"/>
    <hyperlink r:id="rId5344" ref="D5345"/>
    <hyperlink r:id="rId5345" ref="D5346"/>
    <hyperlink r:id="rId5346" ref="D5347"/>
    <hyperlink r:id="rId5347" ref="D5348"/>
    <hyperlink r:id="rId5348" ref="D5349"/>
    <hyperlink r:id="rId5349" ref="D5350"/>
    <hyperlink r:id="rId5350" ref="D5351"/>
    <hyperlink r:id="rId5351" ref="D5352"/>
    <hyperlink r:id="rId5352" ref="D5353"/>
    <hyperlink r:id="rId5353" ref="D5354"/>
    <hyperlink r:id="rId5354" ref="D5355"/>
    <hyperlink r:id="rId5355" ref="D5356"/>
    <hyperlink r:id="rId5356" ref="D5357"/>
    <hyperlink r:id="rId5357" ref="D5358"/>
    <hyperlink r:id="rId5358" ref="D5359"/>
    <hyperlink r:id="rId5359" ref="D5360"/>
    <hyperlink r:id="rId5360" ref="D5361"/>
    <hyperlink r:id="rId5361" ref="D5362"/>
    <hyperlink r:id="rId5362" ref="D5363"/>
    <hyperlink r:id="rId5363" ref="D5364"/>
    <hyperlink r:id="rId5364" ref="D5365"/>
    <hyperlink r:id="rId5365" ref="D5366"/>
    <hyperlink r:id="rId5366" ref="D5367"/>
    <hyperlink r:id="rId5367" ref="D5368"/>
    <hyperlink r:id="rId5368" ref="D5369"/>
    <hyperlink r:id="rId5369" ref="D5370"/>
    <hyperlink r:id="rId5370" ref="D5371"/>
    <hyperlink r:id="rId5371" ref="D5372"/>
    <hyperlink r:id="rId5372" ref="D5373"/>
    <hyperlink r:id="rId5373" ref="D5374"/>
    <hyperlink r:id="rId5374" ref="D5375"/>
    <hyperlink r:id="rId5375" ref="D5376"/>
    <hyperlink r:id="rId5376" ref="D5377"/>
    <hyperlink r:id="rId5377" ref="D5378"/>
    <hyperlink r:id="rId5378" ref="D5379"/>
    <hyperlink r:id="rId5379" ref="D5380"/>
    <hyperlink r:id="rId5380" ref="D5381"/>
    <hyperlink r:id="rId5381" ref="D5382"/>
    <hyperlink r:id="rId5382" ref="D5383"/>
    <hyperlink r:id="rId5383" ref="D5384"/>
    <hyperlink r:id="rId5384" ref="D5385"/>
    <hyperlink r:id="rId5385" ref="D5386"/>
    <hyperlink r:id="rId5386" ref="D5387"/>
    <hyperlink r:id="rId5387" ref="D5388"/>
    <hyperlink r:id="rId5388" ref="D5389"/>
    <hyperlink r:id="rId5389" ref="D5390"/>
    <hyperlink r:id="rId5390" ref="D5391"/>
    <hyperlink r:id="rId5391" ref="D5392"/>
    <hyperlink r:id="rId5392" ref="D5393"/>
    <hyperlink r:id="rId5393" ref="D5394"/>
    <hyperlink r:id="rId5394" ref="D5395"/>
    <hyperlink r:id="rId5395" ref="D5396"/>
    <hyperlink r:id="rId5396" ref="D5397"/>
    <hyperlink r:id="rId5397" ref="D5398"/>
    <hyperlink r:id="rId5398" ref="D5399"/>
    <hyperlink r:id="rId5399" ref="D5400"/>
    <hyperlink r:id="rId5400" ref="D5401"/>
    <hyperlink r:id="rId5401" ref="D5402"/>
    <hyperlink r:id="rId5402" ref="D5403"/>
    <hyperlink r:id="rId5403" ref="D5404"/>
    <hyperlink r:id="rId5404" ref="D5405"/>
    <hyperlink r:id="rId5405" ref="D5406"/>
    <hyperlink r:id="rId5406" ref="D5407"/>
    <hyperlink r:id="rId5407" ref="D5408"/>
    <hyperlink r:id="rId5408" ref="D5409"/>
    <hyperlink r:id="rId5409" ref="D5410"/>
    <hyperlink r:id="rId5410" ref="D5411"/>
    <hyperlink r:id="rId5411" ref="D5412"/>
    <hyperlink r:id="rId5412" ref="D5413"/>
    <hyperlink r:id="rId5413" ref="D5414"/>
    <hyperlink r:id="rId5414" ref="D5415"/>
    <hyperlink r:id="rId5415" ref="D5416"/>
    <hyperlink r:id="rId5416" ref="D5417"/>
    <hyperlink r:id="rId5417" ref="D5418"/>
    <hyperlink r:id="rId5418" ref="D5419"/>
    <hyperlink r:id="rId5419" ref="D5420"/>
    <hyperlink r:id="rId5420" ref="D5421"/>
    <hyperlink r:id="rId5421" ref="D5422"/>
    <hyperlink r:id="rId5422" ref="D5423"/>
    <hyperlink r:id="rId5423" ref="D5424"/>
    <hyperlink r:id="rId5424" ref="D5425"/>
    <hyperlink r:id="rId5425" ref="D5426"/>
    <hyperlink r:id="rId5426" ref="D5427"/>
    <hyperlink r:id="rId5427" ref="D5428"/>
    <hyperlink r:id="rId5428" ref="D5429"/>
    <hyperlink r:id="rId5429" ref="D5430"/>
    <hyperlink r:id="rId5430" ref="D5431"/>
    <hyperlink r:id="rId5431" ref="D5432"/>
    <hyperlink r:id="rId5432" ref="D5433"/>
    <hyperlink r:id="rId5433" ref="D5434"/>
    <hyperlink r:id="rId5434" ref="D5435"/>
    <hyperlink r:id="rId5435" ref="D5436"/>
    <hyperlink r:id="rId5436" ref="D5437"/>
    <hyperlink r:id="rId5437" ref="D5438"/>
    <hyperlink r:id="rId5438" ref="D5439"/>
    <hyperlink r:id="rId5439" ref="D5440"/>
    <hyperlink r:id="rId5440" ref="D5441"/>
    <hyperlink r:id="rId5441" ref="D5442"/>
    <hyperlink r:id="rId5442" ref="D5443"/>
    <hyperlink r:id="rId5443" ref="D5444"/>
    <hyperlink r:id="rId5444" ref="D5445"/>
    <hyperlink r:id="rId5445" ref="D5446"/>
    <hyperlink r:id="rId5446" ref="D5447"/>
    <hyperlink r:id="rId5447" ref="D5448"/>
    <hyperlink r:id="rId5448" ref="D5449"/>
    <hyperlink r:id="rId5449" ref="D5450"/>
    <hyperlink r:id="rId5450" ref="D5451"/>
    <hyperlink r:id="rId5451" ref="D5452"/>
    <hyperlink r:id="rId5452" ref="D5453"/>
    <hyperlink r:id="rId5453" ref="D5454"/>
    <hyperlink r:id="rId5454" ref="D5455"/>
    <hyperlink r:id="rId5455" ref="D5456"/>
    <hyperlink r:id="rId5456" ref="D5457"/>
    <hyperlink r:id="rId5457" ref="D5458"/>
    <hyperlink r:id="rId5458" ref="D5459"/>
    <hyperlink r:id="rId5459" ref="D5460"/>
    <hyperlink r:id="rId5460" ref="D5461"/>
    <hyperlink r:id="rId5461" ref="D5462"/>
    <hyperlink r:id="rId5462" ref="D5463"/>
    <hyperlink r:id="rId5463" ref="D5464"/>
    <hyperlink r:id="rId5464" ref="D5465"/>
    <hyperlink r:id="rId5465" ref="D5466"/>
    <hyperlink r:id="rId5466" ref="D5467"/>
    <hyperlink r:id="rId5467" ref="D5468"/>
    <hyperlink r:id="rId5468" ref="D5469"/>
    <hyperlink r:id="rId5469" ref="D5470"/>
    <hyperlink r:id="rId5470" ref="D5471"/>
    <hyperlink r:id="rId5471" ref="D5472"/>
    <hyperlink r:id="rId5472" ref="D5473"/>
    <hyperlink r:id="rId5473" ref="D5474"/>
    <hyperlink r:id="rId5474" ref="D5475"/>
    <hyperlink r:id="rId5475" ref="D5476"/>
    <hyperlink r:id="rId5476" ref="D5477"/>
    <hyperlink r:id="rId5477" ref="D5478"/>
    <hyperlink r:id="rId5478" ref="D5479"/>
    <hyperlink r:id="rId5479" ref="D5480"/>
    <hyperlink r:id="rId5480" ref="D5481"/>
    <hyperlink r:id="rId5481" ref="D5482"/>
    <hyperlink r:id="rId5482" ref="D5483"/>
    <hyperlink r:id="rId5483" ref="D5484"/>
    <hyperlink r:id="rId5484" ref="D5485"/>
    <hyperlink r:id="rId5485" ref="D5486"/>
    <hyperlink r:id="rId5486" ref="D5487"/>
    <hyperlink r:id="rId5487" ref="D5488"/>
    <hyperlink r:id="rId5488" ref="D5489"/>
    <hyperlink r:id="rId5489" ref="D5490"/>
    <hyperlink r:id="rId5490" ref="D5491"/>
    <hyperlink r:id="rId5491" ref="D5492"/>
    <hyperlink r:id="rId5492" ref="D5493"/>
    <hyperlink r:id="rId5493" ref="D5494"/>
    <hyperlink r:id="rId5494" ref="D5495"/>
    <hyperlink r:id="rId5495" ref="D5496"/>
    <hyperlink r:id="rId5496" ref="D5497"/>
    <hyperlink r:id="rId5497" ref="D5498"/>
    <hyperlink r:id="rId5498" ref="D5499"/>
    <hyperlink r:id="rId5499" ref="D5500"/>
    <hyperlink r:id="rId5500" ref="D5501"/>
    <hyperlink r:id="rId5501" ref="D5502"/>
    <hyperlink r:id="rId5502" ref="D5503"/>
    <hyperlink r:id="rId5503" ref="D5504"/>
    <hyperlink r:id="rId5504" ref="D5505"/>
    <hyperlink r:id="rId5505" ref="D5506"/>
    <hyperlink r:id="rId5506" ref="D5507"/>
    <hyperlink r:id="rId5507" ref="D5508"/>
    <hyperlink r:id="rId5508" ref="D5509"/>
    <hyperlink r:id="rId5509" ref="D5510"/>
    <hyperlink r:id="rId5510" ref="D5511"/>
    <hyperlink r:id="rId5511" ref="D5512"/>
    <hyperlink r:id="rId5512" ref="D5513"/>
    <hyperlink r:id="rId5513" ref="D5514"/>
    <hyperlink r:id="rId5514" ref="D5515"/>
    <hyperlink r:id="rId5515" ref="D5516"/>
    <hyperlink r:id="rId5516" ref="D5517"/>
    <hyperlink r:id="rId5517" ref="D5518"/>
    <hyperlink r:id="rId5518" ref="D5519"/>
    <hyperlink r:id="rId5519" ref="D5520"/>
    <hyperlink r:id="rId5520" ref="D5521"/>
    <hyperlink r:id="rId5521" ref="D5522"/>
    <hyperlink r:id="rId5522" ref="D5523"/>
    <hyperlink r:id="rId5523" ref="D5524"/>
    <hyperlink r:id="rId5524" ref="D5525"/>
    <hyperlink r:id="rId5525" ref="D5526"/>
    <hyperlink r:id="rId5526" ref="D5527"/>
    <hyperlink r:id="rId5527" ref="D5528"/>
    <hyperlink r:id="rId5528" ref="D5529"/>
    <hyperlink r:id="rId5529" ref="D5530"/>
    <hyperlink r:id="rId5530" ref="D5531"/>
    <hyperlink r:id="rId5531" ref="D5532"/>
    <hyperlink r:id="rId5532" ref="D5533"/>
    <hyperlink r:id="rId5533" ref="D5534"/>
    <hyperlink r:id="rId5534" ref="D5535"/>
    <hyperlink r:id="rId5535" ref="D5536"/>
    <hyperlink r:id="rId5536" ref="D5537"/>
    <hyperlink r:id="rId5537" ref="D5538"/>
    <hyperlink r:id="rId5538" ref="D5539"/>
    <hyperlink r:id="rId5539" ref="D5540"/>
    <hyperlink r:id="rId5540" ref="D5541"/>
    <hyperlink r:id="rId5541" ref="D5542"/>
    <hyperlink r:id="rId5542" ref="D5543"/>
    <hyperlink r:id="rId5543" ref="D5544"/>
    <hyperlink r:id="rId5544" ref="D5545"/>
    <hyperlink r:id="rId5545" ref="D5546"/>
    <hyperlink r:id="rId5546" ref="D5547"/>
    <hyperlink r:id="rId5547" ref="D5548"/>
    <hyperlink r:id="rId5548" ref="D5549"/>
    <hyperlink r:id="rId5549" ref="D5550"/>
    <hyperlink r:id="rId5550" ref="D5551"/>
    <hyperlink r:id="rId5551" ref="D5552"/>
    <hyperlink r:id="rId5552" ref="D5553"/>
    <hyperlink r:id="rId5553" ref="D5554"/>
    <hyperlink r:id="rId5554" ref="D5555"/>
    <hyperlink r:id="rId5555" ref="D5556"/>
    <hyperlink r:id="rId5556" ref="D5557"/>
    <hyperlink r:id="rId5557" ref="D5558"/>
    <hyperlink r:id="rId5558" ref="D5559"/>
    <hyperlink r:id="rId5559" ref="D5560"/>
    <hyperlink r:id="rId5560" ref="D5561"/>
    <hyperlink r:id="rId5561" ref="D5562"/>
    <hyperlink r:id="rId5562" ref="D5563"/>
    <hyperlink r:id="rId5563" ref="D5564"/>
    <hyperlink r:id="rId5564" ref="D5565"/>
    <hyperlink r:id="rId5565" ref="D5566"/>
    <hyperlink r:id="rId5566" ref="D5567"/>
    <hyperlink r:id="rId5567" ref="D5568"/>
    <hyperlink r:id="rId5568" ref="D5569"/>
    <hyperlink r:id="rId5569" ref="D5570"/>
    <hyperlink r:id="rId5570" ref="D5571"/>
    <hyperlink r:id="rId5571" ref="D5572"/>
    <hyperlink r:id="rId5572" ref="D5573"/>
    <hyperlink r:id="rId5573" ref="D5574"/>
    <hyperlink r:id="rId5574" ref="D5575"/>
    <hyperlink r:id="rId5575" ref="D5576"/>
    <hyperlink r:id="rId5576" ref="D5577"/>
    <hyperlink r:id="rId5577" ref="D5578"/>
    <hyperlink r:id="rId5578" ref="D5579"/>
    <hyperlink r:id="rId5579" ref="D5580"/>
    <hyperlink r:id="rId5580" ref="D5581"/>
    <hyperlink r:id="rId5581" ref="D5582"/>
    <hyperlink r:id="rId5582" ref="D5583"/>
    <hyperlink r:id="rId5583" ref="D5584"/>
    <hyperlink r:id="rId5584" ref="D5585"/>
    <hyperlink r:id="rId5585" ref="D5586"/>
    <hyperlink r:id="rId5586" ref="D5587"/>
    <hyperlink r:id="rId5587" ref="D5588"/>
    <hyperlink r:id="rId5588" ref="D5589"/>
    <hyperlink r:id="rId5589" ref="D5590"/>
    <hyperlink r:id="rId5590" ref="D5591"/>
    <hyperlink r:id="rId5591" ref="D5592"/>
    <hyperlink r:id="rId5592" ref="D5593"/>
    <hyperlink r:id="rId5593" ref="D5594"/>
    <hyperlink r:id="rId5594" ref="D5595"/>
    <hyperlink r:id="rId5595" ref="D5596"/>
    <hyperlink r:id="rId5596" ref="D5597"/>
    <hyperlink r:id="rId5597" ref="D5598"/>
    <hyperlink r:id="rId5598" ref="D5599"/>
    <hyperlink r:id="rId5599" ref="D5600"/>
    <hyperlink r:id="rId5600" ref="D5601"/>
    <hyperlink r:id="rId5601" ref="D5602"/>
    <hyperlink r:id="rId5602" ref="D5603"/>
    <hyperlink r:id="rId5603" ref="D5604"/>
    <hyperlink r:id="rId5604" ref="D5605"/>
    <hyperlink r:id="rId5605" ref="D5606"/>
    <hyperlink r:id="rId5606" ref="D5607"/>
    <hyperlink r:id="rId5607" ref="D5608"/>
    <hyperlink r:id="rId5608" ref="D5609"/>
    <hyperlink r:id="rId5609" ref="D5610"/>
    <hyperlink r:id="rId5610" ref="D5611"/>
    <hyperlink r:id="rId5611" ref="D5612"/>
    <hyperlink r:id="rId5612" ref="D5613"/>
    <hyperlink r:id="rId5613" ref="D5614"/>
    <hyperlink r:id="rId5614" ref="D5615"/>
    <hyperlink r:id="rId5615" ref="D5616"/>
    <hyperlink r:id="rId5616" ref="D5617"/>
    <hyperlink r:id="rId5617" ref="D5618"/>
    <hyperlink r:id="rId5618" ref="D5619"/>
    <hyperlink r:id="rId5619" ref="D5620"/>
    <hyperlink r:id="rId5620" ref="D5621"/>
    <hyperlink r:id="rId5621" ref="D5622"/>
    <hyperlink r:id="rId5622" ref="D5623"/>
    <hyperlink r:id="rId5623" ref="D5624"/>
    <hyperlink r:id="rId5624" ref="D5625"/>
    <hyperlink r:id="rId5625" ref="D5626"/>
    <hyperlink r:id="rId5626" ref="D5627"/>
    <hyperlink r:id="rId5627" ref="D5628"/>
    <hyperlink r:id="rId5628" ref="D5629"/>
    <hyperlink r:id="rId5629" ref="D5630"/>
    <hyperlink r:id="rId5630" ref="D5631"/>
    <hyperlink r:id="rId5631" ref="D5632"/>
    <hyperlink r:id="rId5632" ref="D5633"/>
    <hyperlink r:id="rId5633" ref="D5634"/>
    <hyperlink r:id="rId5634" ref="D5635"/>
    <hyperlink r:id="rId5635" ref="D5636"/>
    <hyperlink r:id="rId5636" ref="D5637"/>
    <hyperlink r:id="rId5637" ref="D5638"/>
    <hyperlink r:id="rId5638" ref="D5639"/>
    <hyperlink r:id="rId5639" ref="D5640"/>
    <hyperlink r:id="rId5640" ref="D5641"/>
    <hyperlink r:id="rId5641" ref="D5642"/>
    <hyperlink r:id="rId5642" ref="D5643"/>
    <hyperlink r:id="rId5643" ref="D5644"/>
    <hyperlink r:id="rId5644" ref="D5645"/>
    <hyperlink r:id="rId5645" ref="D5646"/>
    <hyperlink r:id="rId5646" ref="D5647"/>
    <hyperlink r:id="rId5647" ref="D5648"/>
    <hyperlink r:id="rId5648" ref="D5649"/>
    <hyperlink r:id="rId5649" ref="D5650"/>
    <hyperlink r:id="rId5650" ref="D5651"/>
    <hyperlink r:id="rId5651" ref="D5652"/>
    <hyperlink r:id="rId5652" ref="D5653"/>
    <hyperlink r:id="rId5653" ref="D5654"/>
    <hyperlink r:id="rId5654" ref="D5655"/>
    <hyperlink r:id="rId5655" ref="D5656"/>
    <hyperlink r:id="rId5656" ref="D5657"/>
    <hyperlink r:id="rId5657" ref="D5658"/>
    <hyperlink r:id="rId5658" ref="D5659"/>
    <hyperlink r:id="rId5659" ref="D5660"/>
    <hyperlink r:id="rId5660" ref="D5661"/>
    <hyperlink r:id="rId5661" ref="D5662"/>
    <hyperlink r:id="rId5662" ref="D5663"/>
    <hyperlink r:id="rId5663" ref="D5664"/>
    <hyperlink r:id="rId5664" ref="D5665"/>
    <hyperlink r:id="rId5665" ref="D5666"/>
    <hyperlink r:id="rId5666" ref="D5667"/>
    <hyperlink r:id="rId5667" ref="D5668"/>
    <hyperlink r:id="rId5668" ref="D5669"/>
    <hyperlink r:id="rId5669" ref="D5670"/>
    <hyperlink r:id="rId5670" ref="D5671"/>
    <hyperlink r:id="rId5671" ref="D5672"/>
    <hyperlink r:id="rId5672" ref="D5673"/>
    <hyperlink r:id="rId5673" ref="D5674"/>
    <hyperlink r:id="rId5674" ref="D5675"/>
    <hyperlink r:id="rId5675" ref="D5676"/>
    <hyperlink r:id="rId5676" ref="D5677"/>
    <hyperlink r:id="rId5677" ref="D5678"/>
    <hyperlink r:id="rId5678" ref="D5679"/>
    <hyperlink r:id="rId5679" ref="D5680"/>
    <hyperlink r:id="rId5680" ref="D5681"/>
    <hyperlink r:id="rId5681" ref="D5682"/>
    <hyperlink r:id="rId5682" ref="D5683"/>
    <hyperlink r:id="rId5683" ref="D5684"/>
    <hyperlink r:id="rId5684" ref="D5685"/>
    <hyperlink r:id="rId5685" ref="D5686"/>
    <hyperlink r:id="rId5686" ref="D5687"/>
    <hyperlink r:id="rId5687" ref="D5688"/>
    <hyperlink r:id="rId5688" ref="D5689"/>
    <hyperlink r:id="rId5689" ref="D5690"/>
    <hyperlink r:id="rId5690" ref="D5691"/>
    <hyperlink r:id="rId5691" ref="D5692"/>
    <hyperlink r:id="rId5692" ref="D5693"/>
    <hyperlink r:id="rId5693" ref="D5694"/>
    <hyperlink r:id="rId5694" ref="D5695"/>
    <hyperlink r:id="rId5695" ref="D5696"/>
    <hyperlink r:id="rId5696" ref="D5697"/>
    <hyperlink r:id="rId5697" ref="D5698"/>
    <hyperlink r:id="rId5698" ref="D5699"/>
    <hyperlink r:id="rId5699" ref="D5700"/>
    <hyperlink r:id="rId5700" ref="D5701"/>
    <hyperlink r:id="rId5701" ref="D5702"/>
    <hyperlink r:id="rId5702" ref="D5703"/>
    <hyperlink r:id="rId5703" ref="D5704"/>
    <hyperlink r:id="rId5704" ref="D5705"/>
    <hyperlink r:id="rId5705" ref="D5706"/>
    <hyperlink r:id="rId5706" ref="D5707"/>
    <hyperlink r:id="rId5707" ref="D5708"/>
    <hyperlink r:id="rId5708" ref="D5709"/>
    <hyperlink r:id="rId5709" ref="D5710"/>
    <hyperlink r:id="rId5710" ref="D5711"/>
    <hyperlink r:id="rId5711" ref="D5712"/>
    <hyperlink r:id="rId5712" ref="D5713"/>
    <hyperlink r:id="rId5713" ref="D5714"/>
    <hyperlink r:id="rId5714" ref="D5715"/>
    <hyperlink r:id="rId5715" ref="D5716"/>
    <hyperlink r:id="rId5716" ref="D5717"/>
    <hyperlink r:id="rId5717" ref="D5718"/>
    <hyperlink r:id="rId5718" ref="D5719"/>
    <hyperlink r:id="rId5719" ref="D5720"/>
    <hyperlink r:id="rId5720" ref="D5721"/>
    <hyperlink r:id="rId5721" ref="D5722"/>
    <hyperlink r:id="rId5722" ref="D5723"/>
    <hyperlink r:id="rId5723" ref="D5724"/>
    <hyperlink r:id="rId5724" ref="D5725"/>
    <hyperlink r:id="rId5725" ref="D5726"/>
    <hyperlink r:id="rId5726" ref="D5727"/>
    <hyperlink r:id="rId5727" ref="D5728"/>
    <hyperlink r:id="rId5728" ref="D5729"/>
    <hyperlink r:id="rId5729" ref="D5730"/>
    <hyperlink r:id="rId5730" ref="D5731"/>
    <hyperlink r:id="rId5731" ref="D5732"/>
    <hyperlink r:id="rId5732" ref="D5733"/>
    <hyperlink r:id="rId5733" ref="D5734"/>
    <hyperlink r:id="rId5734" ref="D5735"/>
    <hyperlink r:id="rId5735" ref="D5736"/>
    <hyperlink r:id="rId5736" ref="D5737"/>
    <hyperlink r:id="rId5737" ref="D5738"/>
    <hyperlink r:id="rId5738" ref="D5739"/>
    <hyperlink r:id="rId5739" ref="D5740"/>
    <hyperlink r:id="rId5740" ref="D5741"/>
    <hyperlink r:id="rId5741" ref="D5742"/>
    <hyperlink r:id="rId5742" ref="D5743"/>
    <hyperlink r:id="rId5743" ref="D5744"/>
    <hyperlink r:id="rId5744" ref="D5745"/>
    <hyperlink r:id="rId5745" ref="D5746"/>
    <hyperlink r:id="rId5746" ref="D5747"/>
    <hyperlink r:id="rId5747" ref="D5748"/>
    <hyperlink r:id="rId5748" ref="D5749"/>
    <hyperlink r:id="rId5749" ref="D5750"/>
    <hyperlink r:id="rId5750" ref="D5751"/>
    <hyperlink r:id="rId5751" ref="D5752"/>
    <hyperlink r:id="rId5752" ref="D5753"/>
    <hyperlink r:id="rId5753" ref="D5754"/>
    <hyperlink r:id="rId5754" ref="D5755"/>
    <hyperlink r:id="rId5755" ref="D5756"/>
    <hyperlink r:id="rId5756" ref="D5757"/>
    <hyperlink r:id="rId5757" ref="D5758"/>
    <hyperlink r:id="rId5758" ref="D5759"/>
    <hyperlink r:id="rId5759" ref="D5760"/>
    <hyperlink r:id="rId5760" ref="D5761"/>
    <hyperlink r:id="rId5761" ref="D5762"/>
    <hyperlink r:id="rId5762" ref="D5763"/>
    <hyperlink r:id="rId5763" ref="D5764"/>
    <hyperlink r:id="rId5764" ref="D5765"/>
    <hyperlink r:id="rId5765" ref="D5766"/>
    <hyperlink r:id="rId5766" ref="D5767"/>
    <hyperlink r:id="rId5767" ref="D5768"/>
    <hyperlink r:id="rId5768" ref="D5769"/>
    <hyperlink r:id="rId5769" ref="D5770"/>
    <hyperlink r:id="rId5770" ref="D5771"/>
    <hyperlink r:id="rId5771" ref="D5772"/>
    <hyperlink r:id="rId5772" ref="D5773"/>
    <hyperlink r:id="rId5773" ref="D5774"/>
    <hyperlink r:id="rId5774" ref="D5775"/>
    <hyperlink r:id="rId5775" ref="D5776"/>
    <hyperlink r:id="rId5776" ref="D5777"/>
    <hyperlink r:id="rId5777" ref="D5778"/>
    <hyperlink r:id="rId5778" ref="D5779"/>
    <hyperlink r:id="rId5779" ref="D5780"/>
    <hyperlink r:id="rId5780" ref="D5781"/>
    <hyperlink r:id="rId5781" ref="D5782"/>
    <hyperlink r:id="rId5782" ref="D5783"/>
    <hyperlink r:id="rId5783" ref="D5784"/>
    <hyperlink r:id="rId5784" ref="D5785"/>
    <hyperlink r:id="rId5785" ref="D5786"/>
    <hyperlink r:id="rId5786" ref="D5787"/>
    <hyperlink r:id="rId5787" ref="D5788"/>
    <hyperlink r:id="rId5788" ref="D5789"/>
    <hyperlink r:id="rId5789" ref="D5790"/>
    <hyperlink r:id="rId5790" ref="D5791"/>
    <hyperlink r:id="rId5791" ref="D5792"/>
    <hyperlink r:id="rId5792" ref="D5793"/>
    <hyperlink r:id="rId5793" ref="D5794"/>
    <hyperlink r:id="rId5794" ref="D5795"/>
    <hyperlink r:id="rId5795" ref="D5796"/>
    <hyperlink r:id="rId5796" ref="D5797"/>
    <hyperlink r:id="rId5797" ref="D5798"/>
    <hyperlink r:id="rId5798" ref="D5799"/>
    <hyperlink r:id="rId5799" ref="D5800"/>
    <hyperlink r:id="rId5800" ref="D5801"/>
    <hyperlink r:id="rId5801" ref="D5802"/>
    <hyperlink r:id="rId5802" ref="D5803"/>
    <hyperlink r:id="rId5803" ref="D5804"/>
    <hyperlink r:id="rId5804" ref="D5805"/>
    <hyperlink r:id="rId5805" ref="D5806"/>
    <hyperlink r:id="rId5806" ref="D5807"/>
    <hyperlink r:id="rId5807" ref="D5808"/>
    <hyperlink r:id="rId5808" ref="D5809"/>
    <hyperlink r:id="rId5809" ref="D5810"/>
    <hyperlink r:id="rId5810" ref="D5811"/>
    <hyperlink r:id="rId5811" ref="D5812"/>
    <hyperlink r:id="rId5812" ref="D5813"/>
    <hyperlink r:id="rId5813" ref="D5814"/>
    <hyperlink r:id="rId5814" ref="D5815"/>
    <hyperlink r:id="rId5815" ref="D5816"/>
    <hyperlink r:id="rId5816" ref="D5817"/>
    <hyperlink r:id="rId5817" ref="D5818"/>
    <hyperlink r:id="rId5818" ref="D5819"/>
    <hyperlink r:id="rId5819" ref="D5820"/>
    <hyperlink r:id="rId5820" ref="D5821"/>
    <hyperlink r:id="rId5821" ref="D5822"/>
    <hyperlink r:id="rId5822" ref="D5823"/>
    <hyperlink r:id="rId5823" ref="D5824"/>
    <hyperlink r:id="rId5824" ref="D5825"/>
    <hyperlink r:id="rId5825" ref="D5826"/>
    <hyperlink r:id="rId5826" ref="D5827"/>
    <hyperlink r:id="rId5827" ref="D5828"/>
    <hyperlink r:id="rId5828" ref="D5829"/>
    <hyperlink r:id="rId5829" ref="D5830"/>
    <hyperlink r:id="rId5830" ref="D5831"/>
    <hyperlink r:id="rId5831" ref="D5832"/>
    <hyperlink r:id="rId5832" ref="D5833"/>
    <hyperlink r:id="rId5833" ref="D5834"/>
    <hyperlink r:id="rId5834" ref="D5835"/>
    <hyperlink r:id="rId5835" ref="D5836"/>
    <hyperlink r:id="rId5836" ref="D5837"/>
    <hyperlink r:id="rId5837" ref="D5838"/>
    <hyperlink r:id="rId5838" ref="D5839"/>
    <hyperlink r:id="rId5839" ref="D5840"/>
    <hyperlink r:id="rId5840" ref="D5841"/>
    <hyperlink r:id="rId5841" ref="D5842"/>
    <hyperlink r:id="rId5842" ref="D5843"/>
    <hyperlink r:id="rId5843" ref="D5844"/>
    <hyperlink r:id="rId5844" ref="D5845"/>
    <hyperlink r:id="rId5845" ref="D5846"/>
    <hyperlink r:id="rId5846" ref="D5847"/>
    <hyperlink r:id="rId5847" ref="D5848"/>
    <hyperlink r:id="rId5848" ref="D5849"/>
    <hyperlink r:id="rId5849" ref="D5850"/>
    <hyperlink r:id="rId5850" ref="D5851"/>
    <hyperlink r:id="rId5851" ref="D5852"/>
    <hyperlink r:id="rId5852" ref="D5853"/>
    <hyperlink r:id="rId5853" ref="D5854"/>
    <hyperlink r:id="rId5854" ref="D5855"/>
    <hyperlink r:id="rId5855" ref="D5856"/>
    <hyperlink r:id="rId5856" ref="D5857"/>
    <hyperlink r:id="rId5857" ref="D5858"/>
    <hyperlink r:id="rId5858" ref="D5859"/>
    <hyperlink r:id="rId5859" ref="D5860"/>
    <hyperlink r:id="rId5860" ref="D5861"/>
    <hyperlink r:id="rId5861" ref="D5862"/>
    <hyperlink r:id="rId5862" ref="D5863"/>
    <hyperlink r:id="rId5863" ref="D5864"/>
    <hyperlink r:id="rId5864" ref="D5865"/>
    <hyperlink r:id="rId5865" ref="D5866"/>
    <hyperlink r:id="rId5866" ref="D5867"/>
    <hyperlink r:id="rId5867" ref="D5868"/>
    <hyperlink r:id="rId5868" ref="D5869"/>
    <hyperlink r:id="rId5869" ref="D5870"/>
    <hyperlink r:id="rId5870" ref="D5871"/>
    <hyperlink r:id="rId5871" ref="D5872"/>
    <hyperlink r:id="rId5872" ref="D5873"/>
    <hyperlink r:id="rId5873" ref="D5874"/>
    <hyperlink r:id="rId5874" ref="D5875"/>
    <hyperlink r:id="rId5875" ref="D5876"/>
    <hyperlink r:id="rId5876" ref="D5877"/>
    <hyperlink r:id="rId5877" ref="D5878"/>
    <hyperlink r:id="rId5878" ref="D5879"/>
    <hyperlink r:id="rId5879" ref="D5880"/>
    <hyperlink r:id="rId5880" ref="D5881"/>
    <hyperlink r:id="rId5881" ref="D5882"/>
    <hyperlink r:id="rId5882" ref="D5883"/>
    <hyperlink r:id="rId5883" ref="D5884"/>
    <hyperlink r:id="rId5884" ref="D5885"/>
    <hyperlink r:id="rId5885" ref="D5886"/>
    <hyperlink r:id="rId5886" ref="D5887"/>
    <hyperlink r:id="rId5887" ref="D5888"/>
    <hyperlink r:id="rId5888" ref="D5889"/>
    <hyperlink r:id="rId5889" ref="D5890"/>
    <hyperlink r:id="rId5890" ref="D5891"/>
    <hyperlink r:id="rId5891" ref="D5892"/>
    <hyperlink r:id="rId5892" ref="D5893"/>
    <hyperlink r:id="rId5893" ref="D5894"/>
    <hyperlink r:id="rId5894" ref="D5895"/>
    <hyperlink r:id="rId5895" ref="D5896"/>
    <hyperlink r:id="rId5896" ref="D5897"/>
    <hyperlink r:id="rId5897" ref="D5898"/>
    <hyperlink r:id="rId5898" ref="D5899"/>
    <hyperlink r:id="rId5899" ref="D5900"/>
    <hyperlink r:id="rId5900" ref="D5901"/>
    <hyperlink r:id="rId5901" ref="D5902"/>
    <hyperlink r:id="rId5902" ref="D5903"/>
    <hyperlink r:id="rId5903" ref="D5904"/>
    <hyperlink r:id="rId5904" ref="D5905"/>
    <hyperlink r:id="rId5905" ref="D5906"/>
    <hyperlink r:id="rId5906" ref="D5907"/>
    <hyperlink r:id="rId5907" ref="D5908"/>
    <hyperlink r:id="rId5908" ref="D5909"/>
    <hyperlink r:id="rId5909" ref="D5910"/>
    <hyperlink r:id="rId5910" ref="D5911"/>
    <hyperlink r:id="rId5911" ref="D5912"/>
    <hyperlink r:id="rId5912" ref="D5913"/>
    <hyperlink r:id="rId5913" ref="D5914"/>
    <hyperlink r:id="rId5914" ref="D5915"/>
    <hyperlink r:id="rId5915" ref="D5916"/>
    <hyperlink r:id="rId5916" ref="D5917"/>
    <hyperlink r:id="rId5917" ref="D5918"/>
    <hyperlink r:id="rId5918" ref="D5919"/>
    <hyperlink r:id="rId5919" ref="D5920"/>
    <hyperlink r:id="rId5920" ref="D5921"/>
    <hyperlink r:id="rId5921" ref="D5922"/>
    <hyperlink r:id="rId5922" ref="D5923"/>
    <hyperlink r:id="rId5923" ref="D5924"/>
    <hyperlink r:id="rId5924" ref="D5925"/>
    <hyperlink r:id="rId5925" ref="D5926"/>
    <hyperlink r:id="rId5926" ref="D5927"/>
    <hyperlink r:id="rId5927" ref="D5928"/>
    <hyperlink r:id="rId5928" ref="D5929"/>
    <hyperlink r:id="rId5929" ref="D5930"/>
    <hyperlink r:id="rId5930" ref="D5931"/>
    <hyperlink r:id="rId5931" ref="D5932"/>
    <hyperlink r:id="rId5932" ref="D5933"/>
    <hyperlink r:id="rId5933" ref="D5934"/>
    <hyperlink r:id="rId5934" ref="D5935"/>
    <hyperlink r:id="rId5935" ref="D5936"/>
    <hyperlink r:id="rId5936" ref="D5937"/>
    <hyperlink r:id="rId5937" ref="D5938"/>
    <hyperlink r:id="rId5938" ref="D5939"/>
    <hyperlink r:id="rId5939" ref="D5940"/>
    <hyperlink r:id="rId5940" ref="D5941"/>
    <hyperlink r:id="rId5941" ref="D5942"/>
    <hyperlink r:id="rId5942" ref="D5943"/>
    <hyperlink r:id="rId5943" ref="D5944"/>
    <hyperlink r:id="rId5944" ref="D5945"/>
    <hyperlink r:id="rId5945" ref="D5946"/>
    <hyperlink r:id="rId5946" ref="D5947"/>
    <hyperlink r:id="rId5947" ref="D5948"/>
    <hyperlink r:id="rId5948" ref="D5949"/>
    <hyperlink r:id="rId5949" ref="D5950"/>
    <hyperlink r:id="rId5950" ref="D5951"/>
    <hyperlink r:id="rId5951" ref="D5952"/>
    <hyperlink r:id="rId5952" ref="D5953"/>
    <hyperlink r:id="rId5953" ref="D5954"/>
    <hyperlink r:id="rId5954" ref="D5955"/>
    <hyperlink r:id="rId5955" ref="D5956"/>
    <hyperlink r:id="rId5956" ref="D5957"/>
    <hyperlink r:id="rId5957" ref="D5958"/>
    <hyperlink r:id="rId5958" ref="D5959"/>
    <hyperlink r:id="rId5959" ref="D5960"/>
    <hyperlink r:id="rId5960" ref="D5961"/>
    <hyperlink r:id="rId5961" ref="D5962"/>
    <hyperlink r:id="rId5962" ref="D5963"/>
    <hyperlink r:id="rId5963" ref="D5964"/>
    <hyperlink r:id="rId5964" ref="D5965"/>
    <hyperlink r:id="rId5965" ref="D5966"/>
    <hyperlink r:id="rId5966" ref="D5967"/>
    <hyperlink r:id="rId5967" ref="D5968"/>
    <hyperlink r:id="rId5968" ref="D5969"/>
    <hyperlink r:id="rId5969" ref="D5970"/>
    <hyperlink r:id="rId5970" ref="D5971"/>
    <hyperlink r:id="rId5971" ref="D5972"/>
    <hyperlink r:id="rId5972" ref="D5973"/>
    <hyperlink r:id="rId5973" ref="D5974"/>
    <hyperlink r:id="rId5974" ref="D5975"/>
    <hyperlink r:id="rId5975" ref="D5976"/>
    <hyperlink r:id="rId5976" ref="D5977"/>
    <hyperlink r:id="rId5977" ref="D5978"/>
    <hyperlink r:id="rId5978" ref="D5979"/>
    <hyperlink r:id="rId5979" ref="D5980"/>
    <hyperlink r:id="rId5980" ref="D5981"/>
    <hyperlink r:id="rId5981" ref="D5982"/>
    <hyperlink r:id="rId5982" ref="D5983"/>
    <hyperlink r:id="rId5983" ref="D5984"/>
    <hyperlink r:id="rId5984" ref="D5985"/>
    <hyperlink r:id="rId5985" ref="D5986"/>
    <hyperlink r:id="rId5986" ref="D5987"/>
    <hyperlink r:id="rId5987" ref="D5988"/>
    <hyperlink r:id="rId5988" ref="D5989"/>
    <hyperlink r:id="rId5989" ref="D5990"/>
    <hyperlink r:id="rId5990" ref="D5991"/>
    <hyperlink r:id="rId5991" ref="D5992"/>
    <hyperlink r:id="rId5992" ref="D5993"/>
    <hyperlink r:id="rId5993" ref="D5994"/>
    <hyperlink r:id="rId5994" ref="D5995"/>
    <hyperlink r:id="rId5995" ref="D5996"/>
    <hyperlink r:id="rId5996" ref="D5997"/>
    <hyperlink r:id="rId5997" ref="D5998"/>
    <hyperlink r:id="rId5998" ref="D5999"/>
    <hyperlink r:id="rId5999" ref="D6000"/>
    <hyperlink r:id="rId6000" ref="D6001"/>
    <hyperlink r:id="rId6001" ref="D6002"/>
    <hyperlink r:id="rId6002" ref="D6003"/>
    <hyperlink r:id="rId6003" ref="D6004"/>
    <hyperlink r:id="rId6004" ref="D6005"/>
    <hyperlink r:id="rId6005" ref="D6006"/>
    <hyperlink r:id="rId6006" ref="D6007"/>
    <hyperlink r:id="rId6007" ref="D6008"/>
    <hyperlink r:id="rId6008" ref="D6009"/>
    <hyperlink r:id="rId6009" ref="D6010"/>
    <hyperlink r:id="rId6010" ref="D6011"/>
    <hyperlink r:id="rId6011" ref="D6012"/>
    <hyperlink r:id="rId6012" ref="D6013"/>
    <hyperlink r:id="rId6013" ref="D6014"/>
    <hyperlink r:id="rId6014" ref="D6015"/>
    <hyperlink r:id="rId6015" ref="D6016"/>
    <hyperlink r:id="rId6016" ref="D6017"/>
    <hyperlink r:id="rId6017" ref="D6018"/>
    <hyperlink r:id="rId6018" ref="D6019"/>
    <hyperlink r:id="rId6019" ref="D6020"/>
    <hyperlink r:id="rId6020" ref="D6021"/>
    <hyperlink r:id="rId6021" ref="D6022"/>
    <hyperlink r:id="rId6022" ref="D6023"/>
    <hyperlink r:id="rId6023" ref="D6024"/>
    <hyperlink r:id="rId6024" ref="D6025"/>
    <hyperlink r:id="rId6025" ref="D6026"/>
    <hyperlink r:id="rId6026" ref="D6027"/>
    <hyperlink r:id="rId6027" ref="D6028"/>
    <hyperlink r:id="rId6028" ref="D6029"/>
    <hyperlink r:id="rId6029" ref="D6030"/>
    <hyperlink r:id="rId6030" ref="D6031"/>
    <hyperlink r:id="rId6031" ref="D6032"/>
    <hyperlink r:id="rId6032" ref="D6033"/>
    <hyperlink r:id="rId6033" ref="D6034"/>
    <hyperlink r:id="rId6034" ref="D6035"/>
    <hyperlink r:id="rId6035" ref="D6036"/>
    <hyperlink r:id="rId6036" ref="D6037"/>
    <hyperlink r:id="rId6037" ref="D6038"/>
    <hyperlink r:id="rId6038" ref="D6039"/>
    <hyperlink r:id="rId6039" ref="D6040"/>
    <hyperlink r:id="rId6040" ref="D6041"/>
    <hyperlink r:id="rId6041" ref="D6042"/>
    <hyperlink r:id="rId6042" ref="D6043"/>
    <hyperlink r:id="rId6043" ref="D6044"/>
    <hyperlink r:id="rId6044" ref="D6045"/>
    <hyperlink r:id="rId6045" ref="D6046"/>
    <hyperlink r:id="rId6046" ref="D6047"/>
    <hyperlink r:id="rId6047" ref="D6048"/>
    <hyperlink r:id="rId6048" ref="D6049"/>
    <hyperlink r:id="rId6049" ref="D6050"/>
    <hyperlink r:id="rId6050" ref="D6051"/>
    <hyperlink r:id="rId6051" ref="D6052"/>
    <hyperlink r:id="rId6052" ref="D6053"/>
    <hyperlink r:id="rId6053" ref="D6054"/>
    <hyperlink r:id="rId6054" ref="D6055"/>
    <hyperlink r:id="rId6055" ref="D6056"/>
    <hyperlink r:id="rId6056" ref="D6057"/>
    <hyperlink r:id="rId6057" ref="D6058"/>
    <hyperlink r:id="rId6058" ref="D6059"/>
    <hyperlink r:id="rId6059" ref="D6060"/>
    <hyperlink r:id="rId6060" ref="D6061"/>
    <hyperlink r:id="rId6061" ref="D6062"/>
    <hyperlink r:id="rId6062" ref="D6063"/>
    <hyperlink r:id="rId6063" ref="D6064"/>
    <hyperlink r:id="rId6064" ref="D6065"/>
    <hyperlink r:id="rId6065" ref="D6066"/>
    <hyperlink r:id="rId6066" ref="D6067"/>
    <hyperlink r:id="rId6067" ref="D6068"/>
    <hyperlink r:id="rId6068" ref="D6069"/>
    <hyperlink r:id="rId6069" ref="D6070"/>
    <hyperlink r:id="rId6070" ref="D6071"/>
    <hyperlink r:id="rId6071" ref="D6072"/>
    <hyperlink r:id="rId6072" ref="D6073"/>
    <hyperlink r:id="rId6073" ref="D6074"/>
    <hyperlink r:id="rId6074" ref="D6075"/>
    <hyperlink r:id="rId6075" ref="D6076"/>
    <hyperlink r:id="rId6076" ref="D6077"/>
    <hyperlink r:id="rId6077" ref="D6078"/>
    <hyperlink r:id="rId6078" ref="D6079"/>
    <hyperlink r:id="rId6079" ref="D6080"/>
    <hyperlink r:id="rId6080" ref="D6081"/>
    <hyperlink r:id="rId6081" ref="D6082"/>
    <hyperlink r:id="rId6082" ref="D6083"/>
    <hyperlink r:id="rId6083" ref="D6084"/>
    <hyperlink r:id="rId6084" ref="D6085"/>
    <hyperlink r:id="rId6085" ref="D6086"/>
    <hyperlink r:id="rId6086" ref="D6087"/>
    <hyperlink r:id="rId6087" ref="D6088"/>
    <hyperlink r:id="rId6088" ref="D6089"/>
    <hyperlink r:id="rId6089" ref="D6090"/>
    <hyperlink r:id="rId6090" ref="D6091"/>
    <hyperlink r:id="rId6091" ref="D6092"/>
    <hyperlink r:id="rId6092" ref="D6093"/>
    <hyperlink r:id="rId6093" ref="D6094"/>
    <hyperlink r:id="rId6094" ref="D6095"/>
    <hyperlink r:id="rId6095" ref="D6096"/>
    <hyperlink r:id="rId6096" ref="D6097"/>
    <hyperlink r:id="rId6097" ref="D6098"/>
    <hyperlink r:id="rId6098" ref="D6099"/>
    <hyperlink r:id="rId6099" ref="D6100"/>
    <hyperlink r:id="rId6100" ref="D6101"/>
    <hyperlink r:id="rId6101" ref="D6102"/>
    <hyperlink r:id="rId6102" ref="D6103"/>
    <hyperlink r:id="rId6103" ref="D6104"/>
    <hyperlink r:id="rId6104" ref="D6105"/>
    <hyperlink r:id="rId6105" ref="D6106"/>
    <hyperlink r:id="rId6106" ref="D6107"/>
    <hyperlink r:id="rId6107" ref="D6108"/>
    <hyperlink r:id="rId6108" ref="D6109"/>
    <hyperlink r:id="rId6109" ref="D6110"/>
    <hyperlink r:id="rId6110" ref="D6111"/>
    <hyperlink r:id="rId6111" ref="D6112"/>
    <hyperlink r:id="rId6112" ref="D6113"/>
    <hyperlink r:id="rId6113" ref="D6114"/>
    <hyperlink r:id="rId6114" ref="D6115"/>
    <hyperlink r:id="rId6115" ref="D6116"/>
    <hyperlink r:id="rId6116" ref="D6117"/>
    <hyperlink r:id="rId6117" ref="D6118"/>
    <hyperlink r:id="rId6118" ref="D6119"/>
    <hyperlink r:id="rId6119" ref="D6120"/>
    <hyperlink r:id="rId6120" ref="D6121"/>
    <hyperlink r:id="rId6121" ref="D6122"/>
    <hyperlink r:id="rId6122" ref="D6123"/>
    <hyperlink r:id="rId6123" ref="D6124"/>
    <hyperlink r:id="rId6124" ref="D6125"/>
    <hyperlink r:id="rId6125" ref="D6126"/>
    <hyperlink r:id="rId6126" ref="D6127"/>
    <hyperlink r:id="rId6127" ref="D6128"/>
    <hyperlink r:id="rId6128" ref="D6129"/>
    <hyperlink r:id="rId6129" ref="D6130"/>
    <hyperlink r:id="rId6130" ref="D6131"/>
    <hyperlink r:id="rId6131" ref="D6132"/>
    <hyperlink r:id="rId6132" ref="D6133"/>
    <hyperlink r:id="rId6133" ref="D6134"/>
    <hyperlink r:id="rId6134" ref="D6135"/>
    <hyperlink r:id="rId6135" ref="D6136"/>
    <hyperlink r:id="rId6136" ref="D6137"/>
    <hyperlink r:id="rId6137" ref="D6138"/>
    <hyperlink r:id="rId6138" ref="D6139"/>
    <hyperlink r:id="rId6139" ref="D6140"/>
    <hyperlink r:id="rId6140" ref="D6141"/>
    <hyperlink r:id="rId6141" ref="D6142"/>
    <hyperlink r:id="rId6142" ref="D6143"/>
    <hyperlink r:id="rId6143" ref="D6144"/>
    <hyperlink r:id="rId6144" ref="D6145"/>
    <hyperlink r:id="rId6145" ref="D6146"/>
    <hyperlink r:id="rId6146" ref="D6147"/>
    <hyperlink r:id="rId6147" ref="D6148"/>
    <hyperlink r:id="rId6148" ref="D6149"/>
    <hyperlink r:id="rId6149" ref="D6150"/>
    <hyperlink r:id="rId6150" ref="D6151"/>
    <hyperlink r:id="rId6151" ref="D6152"/>
    <hyperlink r:id="rId6152" ref="D6153"/>
    <hyperlink r:id="rId6153" ref="D6154"/>
    <hyperlink r:id="rId6154" ref="D6155"/>
    <hyperlink r:id="rId6155" ref="D6156"/>
    <hyperlink r:id="rId6156" ref="D6157"/>
    <hyperlink r:id="rId6157" ref="D6158"/>
    <hyperlink r:id="rId6158" ref="D6159"/>
    <hyperlink r:id="rId6159" ref="D6160"/>
    <hyperlink r:id="rId6160" ref="D6161"/>
    <hyperlink r:id="rId6161" ref="D6162"/>
    <hyperlink r:id="rId6162" ref="D6163"/>
    <hyperlink r:id="rId6163" ref="D6164"/>
    <hyperlink r:id="rId6164" ref="D6165"/>
    <hyperlink r:id="rId6165" ref="D6166"/>
    <hyperlink r:id="rId6166" ref="D6167"/>
    <hyperlink r:id="rId6167" ref="D6168"/>
    <hyperlink r:id="rId6168" ref="D6169"/>
    <hyperlink r:id="rId6169" ref="D6170"/>
    <hyperlink r:id="rId6170" ref="D6171"/>
    <hyperlink r:id="rId6171" ref="D6172"/>
    <hyperlink r:id="rId6172" ref="D6173"/>
    <hyperlink r:id="rId6173" ref="D6174"/>
    <hyperlink r:id="rId6174" ref="D6175"/>
    <hyperlink r:id="rId6175" ref="D6176"/>
    <hyperlink r:id="rId6176" ref="D6177"/>
    <hyperlink r:id="rId6177" ref="D6178"/>
    <hyperlink r:id="rId6178" ref="D6179"/>
    <hyperlink r:id="rId6179" ref="D6180"/>
    <hyperlink r:id="rId6180" ref="D6181"/>
    <hyperlink r:id="rId6181" ref="D6182"/>
    <hyperlink r:id="rId6182" ref="D6183"/>
    <hyperlink r:id="rId6183" ref="D6184"/>
    <hyperlink r:id="rId6184" ref="D6185"/>
    <hyperlink r:id="rId6185" ref="D6186"/>
    <hyperlink r:id="rId6186" ref="D6187"/>
    <hyperlink r:id="rId6187" ref="D6188"/>
    <hyperlink r:id="rId6188" ref="D6189"/>
    <hyperlink r:id="rId6189" ref="D6190"/>
    <hyperlink r:id="rId6190" ref="D6191"/>
    <hyperlink r:id="rId6191" ref="D6192"/>
    <hyperlink r:id="rId6192" ref="D6193"/>
    <hyperlink r:id="rId6193" ref="D6194"/>
    <hyperlink r:id="rId6194" ref="D6195"/>
    <hyperlink r:id="rId6195" ref="D6196"/>
    <hyperlink r:id="rId6196" ref="D6197"/>
    <hyperlink r:id="rId6197" ref="D6198"/>
    <hyperlink r:id="rId6198" ref="D6199"/>
    <hyperlink r:id="rId6199" ref="D6200"/>
    <hyperlink r:id="rId6200" ref="D6201"/>
    <hyperlink r:id="rId6201" ref="D6202"/>
    <hyperlink r:id="rId6202" ref="D6203"/>
    <hyperlink r:id="rId6203" ref="D6204"/>
    <hyperlink r:id="rId6204" ref="D6205"/>
  </hyperlinks>
  <drawing r:id="rId620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2" t="s">
        <v>2</v>
      </c>
      <c r="B1" s="23" t="s">
        <v>5893</v>
      </c>
      <c r="C1" s="22" t="s">
        <v>3</v>
      </c>
      <c r="D1" s="24"/>
      <c r="E1" s="24"/>
    </row>
    <row r="2">
      <c r="A2" s="25" t="s">
        <v>18352</v>
      </c>
      <c r="B2" s="25" t="s">
        <v>18353</v>
      </c>
      <c r="C2" s="26" t="str">
        <f>HYPERLINK("https://audio.iskcondesiretree.com/02_-_ISKCON_Swamis/ISKCON_Swamis_-_R_to_Y/His_Holiness_Radhanath_Swami/Lectures/00_-_Year_wise/Devotional_Nectar_-_1989/1989-001_India_The_Land_Of_Dharma_Lecture_Mumbai_-_Radhanath_Swami_1989-01-13_IDesireTree.mp3", "1989-001_India_The_Land_Of_Dharma_Lecture_Mumbai_-_Radhanath_Swami_1989-01-13_IDesireTree.mp3")</f>
        <v>1989-001_India_The_Land_Of_Dharma_Lecture_Mumbai_-_Radhanath_Swami_1989-01-13_IDesireTree.mp3</v>
      </c>
      <c r="D2" s="24"/>
      <c r="E2" s="24"/>
    </row>
    <row r="3">
      <c r="A3" s="25" t="s">
        <v>18352</v>
      </c>
      <c r="B3" s="25" t="s">
        <v>18353</v>
      </c>
      <c r="C3" s="26" t="str">
        <f>HYPERLINK("https://audio.iskcondesiretree.com/02_-_ISKCON_Swamis/ISKCON_Swamis_-_R_to_Y/His_Holiness_Radhanath_Swami/Lectures/00_-_Year_wise/Devotional_Nectar_-_1989/1989-002_Constructive_Work_Lecture_Mumbai_-_Radhanath_Swami_1989-01-20_IDesireTree.mp3", "1989-002_Constructive_Work_Lecture_Mumbai_-_Radhanath_Swami_1989-01-20_IDesireTree.mp3")</f>
        <v>1989-002_Constructive_Work_Lecture_Mumbai_-_Radhanath_Swami_1989-01-20_IDesireTree.mp3</v>
      </c>
      <c r="D3" s="24"/>
      <c r="E3" s="24"/>
    </row>
    <row r="4">
      <c r="A4" s="25" t="s">
        <v>18352</v>
      </c>
      <c r="B4" s="25" t="s">
        <v>18353</v>
      </c>
      <c r="C4" s="26" t="str">
        <f>HYPERLINK("https://audio.iskcondesiretree.com/02_-_ISKCON_Swamis/ISKCON_Swamis_-_R_to_Y/His_Holiness_Radhanath_Swami/Lectures/00_-_Year_wise/Devotional_Nectar_-_1989/1989-003_The_Goal_Of_Life_BG-2_47_Mumbai_-_Radhanath_Swami_1989-02-17_IDesireTree.mp3", "1989-003_The_Goal_Of_Life_BG-2_47_Mumbai_-_Radhanath_Swami_1989-02-17_IDesireTree.mp3")</f>
        <v>1989-003_The_Goal_Of_Life_BG-2_47_Mumbai_-_Radhanath_Swami_1989-02-17_IDesireTree.mp3</v>
      </c>
      <c r="D4" s="24"/>
      <c r="E4" s="24"/>
    </row>
    <row r="5">
      <c r="A5" s="25" t="s">
        <v>18352</v>
      </c>
      <c r="B5" s="25" t="s">
        <v>18353</v>
      </c>
      <c r="C5" s="26" t="str">
        <f>HYPERLINK("https://audio.iskcondesiretree.com/02_-_ISKCON_Swamis/ISKCON_Swamis_-_R_to_Y/His_Holiness_Radhanath_Swami/Lectures/00_-_Year_wise/Devotional_Nectar_-_1989/1989-004_Unfortunates_Are_Fortunates_SB-07_15_68_Mumbai_-_Radhanath_Swami_1989-03-29_IDesireTree.mp3", "1989-004_Unfortunates_Are_Fortunates_SB-07_15_68_Mumbai_-_Radhanath_Swami_1989-03-29_IDesireTree.mp3")</f>
        <v>1989-004_Unfortunates_Are_Fortunates_SB-07_15_68_Mumbai_-_Radhanath_Swami_1989-03-29_IDesireTree.mp3</v>
      </c>
      <c r="D5" s="24"/>
      <c r="E5" s="24"/>
    </row>
    <row r="6">
      <c r="A6" s="25" t="s">
        <v>18352</v>
      </c>
      <c r="B6" s="25" t="s">
        <v>18353</v>
      </c>
      <c r="C6" s="26" t="str">
        <f>HYPERLINK("https://audio.iskcondesiretree.com/02_-_ISKCON_Swamis/ISKCON_Swamis_-_R_to_Y/His_Holiness_Radhanath_Swami/Lectures/00_-_Year_wise/Devotional_Nectar_-_1989/1989-005_A_Devotee_Is_Not_Impressed_By_Magician_SB-08_01_01-02_Mumbai_-_18-04-89_IDesireTree.mp3", "1989-005_A_Devotee_Is_Not_Impressed_By_Magician_SB-08_01_01-02_Mumbai_-_18-04-89_IDesireTree.mp3")</f>
        <v>1989-005_A_Devotee_Is_Not_Impressed_By_Magician_SB-08_01_01-02_Mumbai_-_18-04-89_IDesireTree.mp3</v>
      </c>
      <c r="D6" s="24"/>
      <c r="E6" s="24"/>
    </row>
    <row r="7">
      <c r="A7" s="25" t="s">
        <v>18352</v>
      </c>
      <c r="B7" s="25" t="s">
        <v>18353</v>
      </c>
      <c r="C7" s="26" t="str">
        <f>HYPERLINK("https://audio.iskcondesiretree.com/02_-_ISKCON_Swamis/ISKCON_Swamis_-_R_to_Y/His_Holiness_Radhanath_Swami/Lectures/00_-_Year_wise/Devotional_Nectar_-_1989/1989-006_Hanuman_Lord_Rama%27s_Foremost_Servitor_Lecture_NV_-_27-4-89_IDesireTree.mp3", "1989-006_Hanuman_Lord_Rama%27s_Foremost_Servitor_Lecture_NV_-_27-4-89_IDesireTree.mp3")</f>
        <v>1989-006_Hanuman_Lord_Rama%27s_Foremost_Servitor_Lecture_NV_-_27-4-89_IDesireTree.mp3</v>
      </c>
      <c r="D7" s="24"/>
      <c r="E7" s="24"/>
    </row>
    <row r="8">
      <c r="A8" s="25" t="s">
        <v>18352</v>
      </c>
      <c r="B8" s="25" t="s">
        <v>18353</v>
      </c>
      <c r="C8" s="26" t="str">
        <f>HYPERLINK("https://audio.iskcondesiretree.com/02_-_ISKCON_Swamis/ISKCON_Swamis_-_R_to_Y/His_Holiness_Radhanath_Swami/Lectures/00_-_Year_wise/Devotional_Nectar_-_1989/1989-007_Krsna_is_Our_Only_Shelter_SB-07_09_40_NV_-_Radhanath_Swami_89_IDesireTree.mp3", "1989-007_Krsna_is_Our_Only_Shelter_SB-07_09_40_NV_-_Radhanath_Swami_89_IDesireTree.mp3")</f>
        <v>1989-007_Krsna_is_Our_Only_Shelter_SB-07_09_40_NV_-_Radhanath_Swami_89_IDesireTree.mp3</v>
      </c>
      <c r="D8" s="24"/>
      <c r="E8" s="24"/>
    </row>
    <row r="9">
      <c r="A9" s="25" t="s">
        <v>18352</v>
      </c>
      <c r="B9" s="25" t="s">
        <v>18353</v>
      </c>
      <c r="C9" s="26" t="str">
        <f>HYPERLINK("https://audio.iskcondesiretree.com/02_-_ISKCON_Swamis/ISKCON_Swamis_-_R_to_Y/His_Holiness_Radhanath_Swami/Lectures/00_-_Year_wise/Devotional_Nectar_-_1989/1989-008_Proper_Behaviour_of_a_Brahmacari_SB_NV_-_Radhanath_Swami_1989-06-27_IDesireTree.mp3", "1989-008_Proper_Behaviour_of_a_Brahmacari_SB_NV_-_Radhanath_Swami_1989-06-27_IDesireTree.mp3")</f>
        <v>1989-008_Proper_Behaviour_of_a_Brahmacari_SB_NV_-_Radhanath_Swami_1989-06-27_IDesireTree.mp3</v>
      </c>
      <c r="D9" s="24"/>
      <c r="E9" s="24"/>
    </row>
    <row r="10">
      <c r="A10" s="25" t="s">
        <v>18352</v>
      </c>
      <c r="B10" s="25" t="s">
        <v>18353</v>
      </c>
      <c r="C10" s="26" t="str">
        <f>HYPERLINK("https://audio.iskcondesiretree.com/02_-_ISKCON_Swamis/ISKCON_Swamis_-_R_to_Y/His_Holiness_Radhanath_Swami/Lectures/00_-_Year_wise/Devotional_Nectar_-_1989/1989-009_Roomconversation_-_Family_Life_in_KC_Lecture_-_28-6-89_IDesireTree.mp3", "1989-009_Roomconversation_-_Family_Life_in_KC_Lecture_-_28-6-89_IDesireTree.mp3")</f>
        <v>1989-009_Roomconversation_-_Family_Life_in_KC_Lecture_-_28-6-89_IDesireTree.mp3</v>
      </c>
      <c r="D10" s="24"/>
      <c r="E10" s="24"/>
    </row>
    <row r="11">
      <c r="A11" s="25" t="s">
        <v>18352</v>
      </c>
      <c r="B11" s="25" t="s">
        <v>18353</v>
      </c>
      <c r="C11" s="26" t="str">
        <f>HYPERLINK("https://audio.iskcondesiretree.com/02_-_ISKCON_Swamis/ISKCON_Swamis_-_R_to_Y/His_Holiness_Radhanath_Swami/Lectures/00_-_Year_wise/Devotional_Nectar_-_1989/1989-010_Overcoming_Lust_Lecture_NV_-_Radhanath_Swami_1989-07-01_IDesireTree.mp3", "1989-010_Overcoming_Lust_Lecture_NV_-_Radhanath_Swami_1989-07-01_IDesireTree.mp3")</f>
        <v>1989-010_Overcoming_Lust_Lecture_NV_-_Radhanath_Swami_1989-07-01_IDesireTree.mp3</v>
      </c>
      <c r="D11" s="24"/>
      <c r="E11" s="24"/>
    </row>
    <row r="12">
      <c r="A12" s="25" t="s">
        <v>18352</v>
      </c>
      <c r="B12" s="25" t="s">
        <v>18353</v>
      </c>
      <c r="C12" s="26" t="str">
        <f>HYPERLINK("https://audio.iskcondesiretree.com/02_-_ISKCON_Swamis/ISKCON_Swamis_-_R_to_Y/His_Holiness_Radhanath_Swami/Lectures/00_-_Year_wise/Devotional_Nectar_-_1989/1989-011_An_Empty_Husk_Lecture_Mumbai_-_Radhanath_Swami_1989-07-08_IDesireTree.mp3", "1989-011_An_Empty_Husk_Lecture_Mumbai_-_Radhanath_Swami_1989-07-08_IDesireTree.mp3")</f>
        <v>1989-011_An_Empty_Husk_Lecture_Mumbai_-_Radhanath_Swami_1989-07-08_IDesireTree.mp3</v>
      </c>
      <c r="D12" s="24"/>
      <c r="E12" s="24"/>
    </row>
    <row r="13">
      <c r="A13" s="25" t="s">
        <v>18352</v>
      </c>
      <c r="B13" s="25" t="s">
        <v>18353</v>
      </c>
      <c r="C13" s="26" t="str">
        <f>HYPERLINK("https://audio.iskcondesiretree.com/02_-_ISKCON_Swamis/ISKCON_Swamis_-_R_to_Y/His_Holiness_Radhanath_Swami/Lectures/00_-_Year_wise/Devotional_Nectar_-_1989/1989-012_The_Correct_Anchorage_BG-08_28_Mumbai_-_Radhanath_Swami_1989-07-09_IDesireTree.mp3", "1989-012_The_Correct_Anchorage_BG-08_28_Mumbai_-_Radhanath_Swami_1989-07-09_IDesireTree.mp3")</f>
        <v>1989-012_The_Correct_Anchorage_BG-08_28_Mumbai_-_Radhanath_Swami_1989-07-09_IDesireTree.mp3</v>
      </c>
      <c r="D13" s="24"/>
      <c r="E13" s="24"/>
    </row>
    <row r="14">
      <c r="A14" s="25" t="s">
        <v>18352</v>
      </c>
      <c r="B14" s="25" t="s">
        <v>18353</v>
      </c>
      <c r="C14" s="26" t="str">
        <f>HYPERLINK("https://audio.iskcondesiretree.com/02_-_ISKCON_Swamis/ISKCON_Swamis_-_R_to_Y/His_Holiness_Radhanath_Swami/Lectures/00_-_Year_wise/Devotional_Nectar_-_1989/1989-013_Charity_BG-15_18_Mumbai_-_Radhanath_Swami_1989-07-16_IDesireTree.mp3", "1989-013_Charity_BG-15_18_Mumbai_-_Radhanath_Swami_1989-07-16_IDesireTree.mp3")</f>
        <v>1989-013_Charity_BG-15_18_Mumbai_-_Radhanath_Swami_1989-07-16_IDesireTree.mp3</v>
      </c>
      <c r="D14" s="24"/>
      <c r="E14" s="24"/>
    </row>
    <row r="15">
      <c r="A15" s="25" t="s">
        <v>18352</v>
      </c>
      <c r="B15" s="25" t="s">
        <v>18353</v>
      </c>
      <c r="C15" s="26" t="str">
        <f>HYPERLINK("https://audio.iskcondesiretree.com/02_-_ISKCON_Swamis/ISKCON_Swamis_-_R_to_Y/His_Holiness_Radhanath_Swami/Lectures/00_-_Year_wise/Devotional_Nectar_-_1989/1989-014_Marriage_In_Krishna_Consciousness_Lecture_Mumbai_-_16-07-89_IDesireTree.mp3", "1989-014_Marriage_In_Krishna_Consciousness_Lecture_Mumbai_-_16-07-89_IDesireTree.mp3")</f>
        <v>1989-014_Marriage_In_Krishna_Consciousness_Lecture_Mumbai_-_16-07-89_IDesireTree.mp3</v>
      </c>
      <c r="D15" s="24"/>
      <c r="E15" s="24"/>
    </row>
    <row r="16">
      <c r="A16" s="25" t="s">
        <v>18352</v>
      </c>
      <c r="B16" s="25" t="s">
        <v>18353</v>
      </c>
      <c r="C16" s="26" t="str">
        <f>HYPERLINK("https://audio.iskcondesiretree.com/02_-_ISKCON_Swamis/ISKCON_Swamis_-_R_to_Y/His_Holiness_Radhanath_Swami/Lectures/00_-_Year_wise/Devotional_Nectar_-_1989/1989-015_Headline_In_Newspaper_SB-01_02_08_Mumbai_-_Radhanath_Swami_1989-07-17_IDesireTree.mp3", "1989-015_Headline_In_Newspaper_SB-01_02_08_Mumbai_-_Radhanath_Swami_1989-07-17_IDesireTree.mp3")</f>
        <v>1989-015_Headline_In_Newspaper_SB-01_02_08_Mumbai_-_Radhanath_Swami_1989-07-17_IDesireTree.mp3</v>
      </c>
      <c r="D16" s="24"/>
      <c r="E16" s="24"/>
    </row>
    <row r="17">
      <c r="A17" s="25" t="s">
        <v>18352</v>
      </c>
      <c r="B17" s="25" t="s">
        <v>18353</v>
      </c>
      <c r="C17" s="26" t="str">
        <f>HYPERLINK("https://audio.iskcondesiretree.com/02_-_ISKCON_Swamis/ISKCON_Swamis_-_R_to_Y/His_Holiness_Radhanath_Swami/Lectures/00_-_Year_wise/Devotional_Nectar_-_1989/1989-016_Sanatan_Goswami_Disappearance_Day_Lecture_Mumbai_-_18-07-89_IDesireTree.mp3", "1989-016_Sanatan_Goswami_Disappearance_Day_Lecture_Mumbai_-_18-07-89_IDesireTree.mp3")</f>
        <v>1989-016_Sanatan_Goswami_Disappearance_Day_Lecture_Mumbai_-_18-07-89_IDesireTree.mp3</v>
      </c>
      <c r="D17" s="24"/>
      <c r="E17" s="24"/>
    </row>
    <row r="18">
      <c r="A18" s="25" t="s">
        <v>18352</v>
      </c>
      <c r="B18" s="25" t="s">
        <v>18353</v>
      </c>
      <c r="C18" s="26" t="str">
        <f>HYPERLINK("https://audio.iskcondesiretree.com/02_-_ISKCON_Swamis/ISKCON_Swamis_-_R_to_Y/His_Holiness_Radhanath_Swami/Lectures/00_-_Year_wise/Devotional_Nectar_-_1989/1989-017_Take_The_Medicine_BG-05_20_Mumbai_-_Radhanath_Swami_1989-07-20_IDesireTree.mp3", "1989-017_Take_The_Medicine_BG-05_20_Mumbai_-_Radhanath_Swami_1989-07-20_IDesireTree.mp3")</f>
        <v>1989-017_Take_The_Medicine_BG-05_20_Mumbai_-_Radhanath_Swami_1989-07-20_IDesireTree.mp3</v>
      </c>
      <c r="D18" s="24"/>
      <c r="E18" s="24"/>
    </row>
    <row r="19">
      <c r="A19" s="25" t="s">
        <v>18352</v>
      </c>
      <c r="B19" s="25" t="s">
        <v>18353</v>
      </c>
      <c r="C19" s="26" t="str">
        <f>HYPERLINK("https://audio.iskcondesiretree.com/02_-_ISKCON_Swamis/ISKCON_Swamis_-_R_to_Y/His_Holiness_Radhanath_Swami/Lectures/00_-_Year_wise/Devotional_Nectar_-_1989/1989-018_Story_of_Gajendra_SB-01_13_43_Mumbai_-_Radhanath_Swami_1989-07-21_IDesireTree.mp3", "1989-018_Story_of_Gajendra_SB-01_13_43_Mumbai_-_Radhanath_Swami_1989-07-21_IDesireTree.mp3")</f>
        <v>1989-018_Story_of_Gajendra_SB-01_13_43_Mumbai_-_Radhanath_Swami_1989-07-21_IDesireTree.mp3</v>
      </c>
      <c r="D19" s="24"/>
      <c r="E19" s="24"/>
    </row>
    <row r="20">
      <c r="A20" s="25" t="s">
        <v>18352</v>
      </c>
      <c r="B20" s="25" t="s">
        <v>18353</v>
      </c>
      <c r="C20" s="26" t="str">
        <f>HYPERLINK("https://audio.iskcondesiretree.com/02_-_ISKCON_Swamis/ISKCON_Swamis_-_R_to_Y/His_Holiness_Radhanath_Swami/Lectures/00_-_Year_wise/Devotional_Nectar_-_1989/1989-019_How_To_Be_Krishna_Consciousness_Q%26A_Mumbai_-_Radhanath_Swami__1989-07-21_IDesireTree.mp3", "1989-019_How_To_Be_Krishna_Consciousness_Q%26A_Mumbai_-_Radhanath_Swami__1989-07-21_IDesireTree.mp3")</f>
        <v>1989-019_How_To_Be_Krishna_Consciousness_Q%26A_Mumbai_-_Radhanath_Swami__1989-07-21_IDesireTree.mp3</v>
      </c>
      <c r="D20" s="24"/>
      <c r="E20" s="24"/>
    </row>
    <row r="21">
      <c r="A21" s="25" t="s">
        <v>18352</v>
      </c>
      <c r="B21" s="25" t="s">
        <v>18353</v>
      </c>
      <c r="C21" s="26" t="str">
        <f>HYPERLINK("https://audio.iskcondesiretree.com/02_-_ISKCON_Swamis/ISKCON_Swamis_-_R_to_Y/His_Holiness_Radhanath_Swami/Lectures/00_-_Year_wise/Devotional_Nectar_-_1989/1989-020_Punch_Your_Way_Back_Home_Back_To_Godhead_SB-_07_11_16_Mumbai_-_26-9-89_IDesireTree.mp3", "1989-020_Punch_Your_Way_Back_Home_Back_To_Godhead_SB-_07_11_16_Mumbai_-_26-9-89_IDesireTree.mp3")</f>
        <v>1989-020_Punch_Your_Way_Back_Home_Back_To_Godhead_SB-_07_11_16_Mumbai_-_26-9-89_IDesireTree.mp3</v>
      </c>
      <c r="D21" s="24"/>
      <c r="E21" s="24"/>
    </row>
    <row r="22">
      <c r="A22" s="25" t="s">
        <v>18352</v>
      </c>
      <c r="B22" s="25" t="s">
        <v>18353</v>
      </c>
      <c r="C22" s="26" t="str">
        <f>HYPERLINK("https://audio.iskcondesiretree.com/02_-_ISKCON_Swamis/ISKCON_Swamis_-_R_to_Y/His_Holiness_Radhanath_Swami/Lectures/00_-_Year_wise/Devotional_Nectar_-_1989/1989-021_Honesty_Among_Thieves_Lecture_Mumbai_-_Radhanath_Swami_1989-07-23_IDesireTree.mp3", "1989-021_Honesty_Among_Thieves_Lecture_Mumbai_-_Radhanath_Swami_1989-07-23_IDesireTree.mp3")</f>
        <v>1989-021_Honesty_Among_Thieves_Lecture_Mumbai_-_Radhanath_Swami_1989-07-23_IDesireTree.mp3</v>
      </c>
      <c r="D22" s="24"/>
      <c r="E22" s="24"/>
    </row>
    <row r="23">
      <c r="A23" s="25" t="s">
        <v>18352</v>
      </c>
      <c r="B23" s="25" t="s">
        <v>18353</v>
      </c>
      <c r="C23" s="26" t="str">
        <f>HYPERLINK("https://audio.iskcondesiretree.com/02_-_ISKCON_Swamis/ISKCON_Swamis_-_R_to_Y/His_Holiness_Radhanath_Swami/Lectures/00_-_Year_wise/Devotional_Nectar_-_1989/1989-022_Why_Is_Krishna_Dancing_With_Gopis_Mumbai_-_Radhanath_Swami_1989-07-23_IDesireTree.mp3", "1989-022_Why_Is_Krishna_Dancing_With_Gopis_Mumbai_-_Radhanath_Swami_1989-07-23_IDesireTree.mp3")</f>
        <v>1989-022_Why_Is_Krishna_Dancing_With_Gopis_Mumbai_-_Radhanath_Swami_1989-07-23_IDesireTree.mp3</v>
      </c>
      <c r="D23" s="24"/>
      <c r="E23" s="24"/>
    </row>
    <row r="24">
      <c r="A24" s="25" t="s">
        <v>18352</v>
      </c>
      <c r="B24" s="25" t="s">
        <v>18353</v>
      </c>
      <c r="C24" s="26" t="str">
        <f>HYPERLINK("https://audio.iskcondesiretree.com/02_-_ISKCON_Swamis/ISKCON_Swamis_-_R_to_Y/His_Holiness_Radhanath_Swami/Lectures/00_-_Year_wise/Devotional_Nectar_-_1989/1989-023_Krishna_Knows_What_Is_Best_for_You_BG-07_19_Mumbai_-_30-07-89_IDesireTree.mp3", "1989-023_Krishna_Knows_What_Is_Best_for_You_BG-07_19_Mumbai_-_30-07-89_IDesireTree.mp3")</f>
        <v>1989-023_Krishna_Knows_What_Is_Best_for_You_BG-07_19_Mumbai_-_30-07-89_IDesireTree.mp3</v>
      </c>
      <c r="D24" s="24"/>
      <c r="E24" s="24"/>
    </row>
    <row r="25">
      <c r="A25" s="25" t="s">
        <v>18352</v>
      </c>
      <c r="B25" s="25" t="s">
        <v>18353</v>
      </c>
      <c r="C25" s="26" t="str">
        <f>HYPERLINK("https://audio.iskcondesiretree.com/02_-_ISKCON_Swamis/ISKCON_Swamis_-_R_to_Y/His_Holiness_Radhanath_Swami/Lectures/00_-_Year_wise/Devotional_Nectar_-_1989/1989-024_Responsible_Citizens_Lecture_Mumbai_-_Radhanath_Swami_1989-07-31_IDesireTree.mp3", "1989-024_Responsible_Citizens_Lecture_Mumbai_-_Radhanath_Swami_1989-07-31_IDesireTree.mp3")</f>
        <v>1989-024_Responsible_Citizens_Lecture_Mumbai_-_Radhanath_Swami_1989-07-31_IDesireTree.mp3</v>
      </c>
      <c r="D25" s="24"/>
      <c r="E25" s="24"/>
    </row>
    <row r="26">
      <c r="A26" s="25" t="s">
        <v>18352</v>
      </c>
      <c r="B26" s="25" t="s">
        <v>18353</v>
      </c>
      <c r="C26" s="26" t="str">
        <f>HYPERLINK("https://audio.iskcondesiretree.com/02_-_ISKCON_Swamis/ISKCON_Swamis_-_R_to_Y/His_Holiness_Radhanath_Swami/Lectures/00_-_Year_wise/Devotional_Nectar_-_1989/1989-025_Humble_And_Tolerant_SB-07_10_5_Mumbai_-_Radhanath_Swami_1989-08-03_IDesireTree.mp3", "1989-025_Humble_And_Tolerant_SB-07_10_5_Mumbai_-_Radhanath_Swami_1989-08-03_IDesireTree.mp3")</f>
        <v>1989-025_Humble_And_Tolerant_SB-07_10_5_Mumbai_-_Radhanath_Swami_1989-08-03_IDesireTree.mp3</v>
      </c>
      <c r="D26" s="24"/>
      <c r="E26" s="24"/>
    </row>
    <row r="27">
      <c r="A27" s="25" t="s">
        <v>18352</v>
      </c>
      <c r="B27" s="25" t="s">
        <v>18353</v>
      </c>
      <c r="C27" s="26" t="str">
        <f>HYPERLINK("https://audio.iskcondesiretree.com/02_-_ISKCON_Swamis/ISKCON_Swamis_-_R_to_Y/His_Holiness_Radhanath_Swami/Lectures/00_-_Year_wise/Devotional_Nectar_-_1989/1989-026_I_Preserve_What_You_Have_And_Provide_What_You_Lack_SB-07_10_06_Mumbai_-_06-08-89_IDesireTre"&amp;"e.mp3", "1989-026_I_Preserve_What_You_Have_And_Provide_What_You_Lack_SB-07_10_06_Mumbai_-_06-08-89_IDesireTree.mp3")</f>
        <v>1989-026_I_Preserve_What_You_Have_And_Provide_What_You_Lack_SB-07_10_06_Mumbai_-_06-08-89_IDesireTree.mp3</v>
      </c>
      <c r="D27" s="24"/>
      <c r="E27" s="24"/>
    </row>
    <row r="28">
      <c r="A28" s="25" t="s">
        <v>18352</v>
      </c>
      <c r="B28" s="25" t="s">
        <v>18353</v>
      </c>
      <c r="C28" s="26" t="str">
        <f>HYPERLINK("https://audio.iskcondesiretree.com/02_-_ISKCON_Swamis/ISKCON_Swamis_-_R_to_Y/His_Holiness_Radhanath_Swami/Lectures/00_-_Year_wise/Devotional_Nectar_-_1989/1989-027_Understand_Your_Position_SB-01_09_30_Mumbai_-_Radhanath_Swami_1989-08-08_IDesireTree.mp3", "1989-027_Understand_Your_Position_SB-01_09_30_Mumbai_-_Radhanath_Swami_1989-08-08_IDesireTree.mp3")</f>
        <v>1989-027_Understand_Your_Position_SB-01_09_30_Mumbai_-_Radhanath_Swami_1989-08-08_IDesireTree.mp3</v>
      </c>
      <c r="D28" s="24"/>
      <c r="E28" s="24"/>
    </row>
    <row r="29">
      <c r="A29" s="25" t="s">
        <v>18352</v>
      </c>
      <c r="B29" s="25" t="s">
        <v>18353</v>
      </c>
      <c r="C29" s="26" t="str">
        <f>HYPERLINK("https://audio.iskcondesiretree.com/02_-_ISKCON_Swamis/ISKCON_Swamis_-_R_to_Y/His_Holiness_Radhanath_Swami/Lectures/00_-_Year_wise/Devotional_Nectar_-_1989/1989-027_Understand_Your_Position_SB-07_10_07_Mumbai_-_08-08-89_IDesireTree.mp3", "1989-027_Understand_Your_Position_SB-07_10_07_Mumbai_-_08-08-89_IDesireTree.mp3")</f>
        <v>1989-027_Understand_Your_Position_SB-07_10_07_Mumbai_-_08-08-89_IDesireTree.mp3</v>
      </c>
      <c r="D29" s="24"/>
      <c r="E29" s="24"/>
    </row>
    <row r="30">
      <c r="A30" s="25" t="s">
        <v>18352</v>
      </c>
      <c r="B30" s="25" t="s">
        <v>18353</v>
      </c>
      <c r="C30" s="26" t="str">
        <f>HYPERLINK("https://audio.iskcondesiretree.com/02_-_ISKCON_Swamis/ISKCON_Swamis_-_R_to_Y/His_Holiness_Radhanath_Swami/Lectures/00_-_Year_wise/Devotional_Nectar_-_1989/1989-028_The_Disrobing_Of_Draupadi_BG-04_11_Mumbai_-_Radhanath_Swami_1989-08-20_new_IDesireTree.mp3", "1989-028_The_Disrobing_Of_Draupadi_BG-04_11_Mumbai_-_Radhanath_Swami_1989-08-20_new_IDesireTree.mp3")</f>
        <v>1989-028_The_Disrobing_Of_Draupadi_BG-04_11_Mumbai_-_Radhanath_Swami_1989-08-20_new_IDesireTree.mp3</v>
      </c>
      <c r="D30" s="24"/>
      <c r="E30" s="24"/>
    </row>
    <row r="31">
      <c r="A31" s="25" t="s">
        <v>18352</v>
      </c>
      <c r="B31" s="25" t="s">
        <v>18353</v>
      </c>
      <c r="C31" s="26" t="str">
        <f>HYPERLINK("https://audio.iskcondesiretree.com/02_-_ISKCON_Swamis/ISKCON_Swamis_-_R_to_Y/His_Holiness_Radhanath_Swami/Lectures/00_-_Year_wise/Devotional_Nectar_-_1989/1989-029_The_Way_To_Ultimate_Happiness_Lecture_At_Ur_Champaks_Res_Mumbai_-_21-08-89_IDesireTree.mp3", "1989-029_The_Way_To_Ultimate_Happiness_Lecture_At_Ur_Champaks_Res_Mumbai_-_21-08-89_IDesireTree.mp3")</f>
        <v>1989-029_The_Way_To_Ultimate_Happiness_Lecture_At_Ur_Champaks_Res_Mumbai_-_21-08-89_IDesireTree.mp3</v>
      </c>
      <c r="D31" s="24"/>
      <c r="E31" s="24"/>
    </row>
    <row r="32">
      <c r="A32" s="25" t="s">
        <v>18352</v>
      </c>
      <c r="B32" s="25" t="s">
        <v>18353</v>
      </c>
      <c r="C32" s="26" t="str">
        <f>HYPERLINK("https://audio.iskcondesiretree.com/02_-_ISKCON_Swamis/ISKCON_Swamis_-_R_to_Y/His_Holiness_Radhanath_Swami/Lectures/00_-_Year_wise/Devotional_Nectar_-_1989/1989-030_The_Meaning_Of_Religion_BG-04_07-09_Mumbai_-_Radhanath_Swami_1989-08-22_IDesireTree.mp3", "1989-030_The_Meaning_Of_Religion_BG-04_07-09_Mumbai_-_Radhanath_Swami_1989-08-22_IDesireTree.mp3")</f>
        <v>1989-030_The_Meaning_Of_Religion_BG-04_07-09_Mumbai_-_Radhanath_Swami_1989-08-22_IDesireTree.mp3</v>
      </c>
      <c r="D32" s="24"/>
      <c r="E32" s="24"/>
    </row>
    <row r="33">
      <c r="A33" s="25" t="s">
        <v>18352</v>
      </c>
      <c r="B33" s="25" t="s">
        <v>18353</v>
      </c>
      <c r="C33" s="26" t="str">
        <f>HYPERLINK("https://audio.iskcondesiretree.com/02_-_ISKCON_Swamis/ISKCON_Swamis_-_R_to_Y/His_Holiness_Radhanath_Swami/Lectures/00_-_Year_wise/Devotional_Nectar_-_1989/1989-031_Real_Krishna_Consciousness_SB-07_10_10_Mumbai_-_Radhanath_Swami_1989-08-22_IDesireTree.mp3", "1989-031_Real_Krishna_Consciousness_SB-07_10_10_Mumbai_-_Radhanath_Swami_1989-08-22_IDesireTree.mp3")</f>
        <v>1989-031_Real_Krishna_Consciousness_SB-07_10_10_Mumbai_-_Radhanath_Swami_1989-08-22_IDesireTree.mp3</v>
      </c>
      <c r="D33" s="24"/>
      <c r="E33" s="24"/>
    </row>
    <row r="34">
      <c r="A34" s="25" t="s">
        <v>18352</v>
      </c>
      <c r="B34" s="25" t="s">
        <v>18353</v>
      </c>
      <c r="C34" s="26" t="str">
        <f>HYPERLINK("https://audio.iskcondesiretree.com/02_-_ISKCON_Swamis/ISKCON_Swamis_-_R_to_Y/His_Holiness_Radhanath_Swami/Lectures/00_-_Year_wise/Devotional_Nectar_-_1989/1989-032_Self_Management_Lecture_Mumbai_-_Radhanath_Swami_1989-08-23_IDesireTree.mp3", "1989-032_Self_Management_Lecture_Mumbai_-_Radhanath_Swami_1989-08-23_IDesireTree.mp3")</f>
        <v>1989-032_Self_Management_Lecture_Mumbai_-_Radhanath_Swami_1989-08-23_IDesireTree.mp3</v>
      </c>
      <c r="D34" s="24"/>
      <c r="E34" s="24"/>
    </row>
    <row r="35">
      <c r="A35" s="25" t="s">
        <v>18352</v>
      </c>
      <c r="B35" s="25" t="s">
        <v>18353</v>
      </c>
      <c r="C35" s="26" t="str">
        <f>HYPERLINK("https://audio.iskcondesiretree.com/02_-_ISKCON_Swamis/ISKCON_Swamis_-_R_to_Y/His_Holiness_Radhanath_Swami/Lectures/00_-_Year_wise/Devotional_Nectar_-_1989/1989-033_Devotee_Is_Equipoised_SB-07_10_12_Mumbai_-_Radhanath_Swami_1989-08-24_IDesireTree.mp3", "1989-033_Devotee_Is_Equipoised_SB-07_10_12_Mumbai_-_Radhanath_Swami_1989-08-24_IDesireTree.mp3")</f>
        <v>1989-033_Devotee_Is_Equipoised_SB-07_10_12_Mumbai_-_Radhanath_Swami_1989-08-24_IDesireTree.mp3</v>
      </c>
      <c r="D35" s="24"/>
      <c r="E35" s="24"/>
    </row>
    <row r="36">
      <c r="A36" s="25" t="s">
        <v>18352</v>
      </c>
      <c r="B36" s="25" t="s">
        <v>18353</v>
      </c>
      <c r="C36" s="26" t="str">
        <f>HYPERLINK("https://audio.iskcondesiretree.com/02_-_ISKCON_Swamis/ISKCON_Swamis_-_R_to_Y/His_Holiness_Radhanath_Swami/Lectures/00_-_Year_wise/Devotional_Nectar_-_1989/1989-034_Your%27s_Ever_Well_Wisher_Lecture_Mumbai_-_Radhanath_Swami_1989-08-25_IDesireTree.mp3", "1989-034_Your%27s_Ever_Well_Wisher_Lecture_Mumbai_-_Radhanath_Swami_1989-08-25_IDesireTree.mp3")</f>
        <v>1989-034_Your%27s_Ever_Well_Wisher_Lecture_Mumbai_-_Radhanath_Swami_1989-08-25_IDesireTree.mp3</v>
      </c>
      <c r="D36" s="24"/>
      <c r="E36" s="24"/>
    </row>
    <row r="37">
      <c r="A37" s="25" t="s">
        <v>18352</v>
      </c>
      <c r="B37" s="25" t="s">
        <v>18353</v>
      </c>
      <c r="C37" s="26" t="str">
        <f>HYPERLINK("https://audio.iskcondesiretree.com/02_-_ISKCON_Swamis/ISKCON_Swamis_-_R_to_Y/His_Holiness_Radhanath_Swami/Lectures/00_-_Year_wise/Devotional_Nectar_-_1989/1989-035_Lord%27s_Inconceivable_Ways_Lecture_Mumbai_-_Radhanath_Swami_1989-08-25_IDesireTree.mp3", "1989-035_Lord%27s_Inconceivable_Ways_Lecture_Mumbai_-_Radhanath_Swami_1989-08-25_IDesireTree.mp3")</f>
        <v>1989-035_Lord%27s_Inconceivable_Ways_Lecture_Mumbai_-_Radhanath_Swami_1989-08-25_IDesireTree.mp3</v>
      </c>
      <c r="D37" s="24"/>
      <c r="E37" s="24"/>
    </row>
    <row r="38">
      <c r="A38" s="25" t="s">
        <v>18352</v>
      </c>
      <c r="B38" s="25" t="s">
        <v>18353</v>
      </c>
      <c r="C38" s="26" t="str">
        <f>HYPERLINK("https://audio.iskcondesiretree.com/02_-_ISKCON_Swamis/ISKCON_Swamis_-_R_to_Y/His_Holiness_Radhanath_Swami/Lectures/00_-_Year_wise/Devotional_Nectar_-_1989/1989-036_How_To_Please_Krishna_SB-07_10_14_Mumbai_-_Radhanath_Swami_1989-08-28_IDesireTree.mp3", "1989-036_How_To_Please_Krishna_SB-07_10_14_Mumbai_-_Radhanath_Swami_1989-08-28_IDesireTree.mp3")</f>
        <v>1989-036_How_To_Please_Krishna_SB-07_10_14_Mumbai_-_Radhanath_Swami_1989-08-28_IDesireTree.mp3</v>
      </c>
      <c r="D38" s="24"/>
      <c r="E38" s="24"/>
    </row>
    <row r="39">
      <c r="A39" s="25" t="s">
        <v>18352</v>
      </c>
      <c r="B39" s="25" t="s">
        <v>18353</v>
      </c>
      <c r="C39" s="26" t="str">
        <f>HYPERLINK("https://audio.iskcondesiretree.com/02_-_ISKCON_Swamis/ISKCON_Swamis_-_R_to_Y/His_Holiness_Radhanath_Swami/Lectures/00_-_Year_wise/Devotional_Nectar_-_1989/1989-037_Forgiveness_Lecture_Mumbai_-_Radhanath_Swami_1989-08-29_IDesireTree.mp3", "1989-037_Forgiveness_Lecture_Mumbai_-_Radhanath_Swami_1989-08-29_IDesireTree.mp3")</f>
        <v>1989-037_Forgiveness_Lecture_Mumbai_-_Radhanath_Swami_1989-08-29_IDesireTree.mp3</v>
      </c>
      <c r="D39" s="24"/>
      <c r="E39" s="24"/>
    </row>
    <row r="40">
      <c r="A40" s="25" t="s">
        <v>18352</v>
      </c>
      <c r="B40" s="25" t="s">
        <v>18353</v>
      </c>
      <c r="C40" s="26" t="str">
        <f>HYPERLINK("https://audio.iskcondesiretree.com/02_-_ISKCON_Swamis/ISKCON_Swamis_-_R_to_Y/His_Holiness_Radhanath_Swami/Lectures/00_-_Year_wise/Devotional_Nectar_-_1989/1989-038_Who_Is_Most_dear_To_Krishna_BG-18_68_Mumbai_-_29-08-89_IDesireTree.mp3", "1989-038_Who_Is_Most_dear_To_Krishna_BG-18_68_Mumbai_-_29-08-89_IDesireTree.mp3")</f>
        <v>1989-038_Who_Is_Most_dear_To_Krishna_BG-18_68_Mumbai_-_29-08-89_IDesireTree.mp3</v>
      </c>
      <c r="D40" s="24"/>
      <c r="E40" s="24"/>
    </row>
    <row r="41">
      <c r="A41" s="25" t="s">
        <v>18352</v>
      </c>
      <c r="B41" s="25" t="s">
        <v>18353</v>
      </c>
      <c r="C41" s="26" t="str">
        <f>HYPERLINK("https://audio.iskcondesiretree.com/02_-_ISKCON_Swamis/ISKCON_Swamis_-_R_to_Y/His_Holiness_Radhanath_Swami/Lectures/00_-_Year_wise/Devotional_Nectar_-_1989/1989-039_The_Twelve_Steps_Of_Alcoholic_Anonymous_Lecture_Mumbai_-_31-08-89_IDesireTree.mp3", "1989-039_The_Twelve_Steps_Of_Alcoholic_Anonymous_Lecture_Mumbai_-_31-08-89_IDesireTree.mp3")</f>
        <v>1989-039_The_Twelve_Steps_Of_Alcoholic_Anonymous_Lecture_Mumbai_-_31-08-89_IDesireTree.mp3</v>
      </c>
      <c r="D41" s="24"/>
      <c r="E41" s="24"/>
    </row>
    <row r="42">
      <c r="A42" s="25" t="s">
        <v>18352</v>
      </c>
      <c r="B42" s="25" t="s">
        <v>18353</v>
      </c>
      <c r="C42" s="26" t="str">
        <f>HYPERLINK("https://audio.iskcondesiretree.com/02_-_ISKCON_Swamis/ISKCON_Swamis_-_R_to_Y/His_Holiness_Radhanath_Swami/Lectures/00_-_Year_wise/Devotional_Nectar_-_1989/1989-040_Stop_Trusting_Your_Mind_Lecture_Mumbai_-_Radhanath_Swami_1989-09-01_IDesireTree.mp3", "1989-040_Stop_Trusting_Your_Mind_Lecture_Mumbai_-_Radhanath_Swami_1989-09-01_IDesireTree.mp3")</f>
        <v>1989-040_Stop_Trusting_Your_Mind_Lecture_Mumbai_-_Radhanath_Swami_1989-09-01_IDesireTree.mp3</v>
      </c>
      <c r="D42" s="24"/>
      <c r="E42" s="24"/>
    </row>
    <row r="43">
      <c r="A43" s="25" t="s">
        <v>18352</v>
      </c>
      <c r="B43" s="25" t="s">
        <v>18353</v>
      </c>
      <c r="C43" s="26" t="str">
        <f>HYPERLINK("https://audio.iskcondesiretree.com/02_-_ISKCON_Swamis/ISKCON_Swamis_-_R_to_Y/His_Holiness_Radhanath_Swami/Lectures/00_-_Year_wise/Devotional_Nectar_-_1989/1989-041_The_Master_Never_Leaves_His_Disciples_Lecture_Mumbai_-_03-09-89_IDesireTree.mp3", "1989-041_The_Master_Never_Leaves_His_Disciples_Lecture_Mumbai_-_03-09-89_IDesireTree.mp3")</f>
        <v>1989-041_The_Master_Never_Leaves_His_Disciples_Lecture_Mumbai_-_03-09-89_IDesireTree.mp3</v>
      </c>
      <c r="D43" s="24"/>
      <c r="E43" s="24"/>
    </row>
    <row r="44">
      <c r="A44" s="25" t="s">
        <v>18352</v>
      </c>
      <c r="B44" s="25" t="s">
        <v>18353</v>
      </c>
      <c r="C44" s="26" t="str">
        <f>HYPERLINK("https://audio.iskcondesiretree.com/02_-_ISKCON_Swamis/ISKCON_Swamis_-_R_to_Y/His_Holiness_Radhanath_Swami/Lectures/00_-_Year_wise/Devotional_Nectar_-_1989/1989-042_Parents_Don%27t_Like_Their_Children_To_Mix_With_Sadhus_BG-3_9_Mumbai_-_03-09-89_IDesireTree"&amp;".mp3", "1989-042_Parents_Don%27t_Like_Their_Children_To_Mix_With_Sadhus_BG-3_9_Mumbai_-_03-09-89_IDesireTree.mp3")</f>
        <v>1989-042_Parents_Don%27t_Like_Their_Children_To_Mix_With_Sadhus_BG-3_9_Mumbai_-_03-09-89_IDesireTree.mp3</v>
      </c>
      <c r="D44" s="24"/>
      <c r="E44" s="24"/>
    </row>
    <row r="45">
      <c r="A45" s="25" t="s">
        <v>18352</v>
      </c>
      <c r="B45" s="25" t="s">
        <v>18353</v>
      </c>
      <c r="C45" s="26" t="str">
        <f>HYPERLINK("https://audio.iskcondesiretree.com/02_-_ISKCON_Swamis/ISKCON_Swamis_-_R_to_Y/His_Holiness_Radhanath_Swami/Lectures/00_-_Year_wise/Devotional_Nectar_-_1989/1989-043_We_Are_Never_Safe_In_Material_World_Lecture_Mumbai_-_07-09-89_IDesireTree.mp3", "1989-043_We_Are_Never_Safe_In_Material_World_Lecture_Mumbai_-_07-09-89_IDesireTree.mp3")</f>
        <v>1989-043_We_Are_Never_Safe_In_Material_World_Lecture_Mumbai_-_07-09-89_IDesireTree.mp3</v>
      </c>
      <c r="D45" s="24"/>
      <c r="E45" s="24"/>
    </row>
    <row r="46">
      <c r="A46" s="25" t="s">
        <v>18352</v>
      </c>
      <c r="B46" s="25" t="s">
        <v>18353</v>
      </c>
      <c r="C46" s="26" t="str">
        <f>HYPERLINK("https://audio.iskcondesiretree.com/02_-_ISKCON_Swamis/ISKCON_Swamis_-_R_to_Y/His_Holiness_Radhanath_Swami/Lectures/00_-_Year_wise/Devotional_Nectar_-_1989/1989-044_Obey_Your_Spiritual_Master_Q%26A_Mumbai_-_Radhanath_Swami_1989-09-22_IDesireTree.mp3", "1989-044_Obey_Your_Spiritual_Master_Q%26A_Mumbai_-_Radhanath_Swami_1989-09-22_IDesireTree.mp3")</f>
        <v>1989-044_Obey_Your_Spiritual_Master_Q%26A_Mumbai_-_Radhanath_Swami_1989-09-22_IDesireTree.mp3</v>
      </c>
      <c r="D46" s="24"/>
      <c r="E46" s="24"/>
    </row>
    <row r="47">
      <c r="A47" s="25" t="s">
        <v>18352</v>
      </c>
      <c r="B47" s="25" t="s">
        <v>18353</v>
      </c>
      <c r="C47" s="26" t="str">
        <f>HYPERLINK("https://audio.iskcondesiretree.com/02_-_ISKCON_Swamis/ISKCON_Swamis_-_R_to_Y/His_Holiness_Radhanath_Swami/Lectures/00_-_Year_wise/Devotional_Nectar_-_1989/1989-045_Differance_Between_Devotees_%26_Demigods_SB-7_10_31-35_Mumbai_-_23-09-89_IDesireTree.mp3", "1989-045_Differance_Between_Devotees_%26_Demigods_SB-7_10_31-35_Mumbai_-_23-09-89_IDesireTree.mp3")</f>
        <v>1989-045_Differance_Between_Devotees_%26_Demigods_SB-7_10_31-35_Mumbai_-_23-09-89_IDesireTree.mp3</v>
      </c>
      <c r="D47" s="24"/>
      <c r="E47" s="24"/>
    </row>
    <row r="48">
      <c r="A48" s="25" t="s">
        <v>18352</v>
      </c>
      <c r="B48" s="25" t="s">
        <v>18353</v>
      </c>
      <c r="C48" s="26" t="str">
        <f>HYPERLINK("https://audio.iskcondesiretree.com/02_-_ISKCON_Swamis/ISKCON_Swamis_-_R_to_Y/His_Holiness_Radhanath_Swami/Lectures/00_-_Year_wise/Devotional_Nectar_-_1989/1989-046_Not_Bad_Not_Mad__But_Sick_Lecture_Mumbai_-_Radhanath_Swami_1989-09-23_IDesireTree.mp3", "1989-046_Not_Bad_Not_Mad__But_Sick_Lecture_Mumbai_-_Radhanath_Swami_1989-09-23_IDesireTree.mp3")</f>
        <v>1989-046_Not_Bad_Not_Mad__But_Sick_Lecture_Mumbai_-_Radhanath_Swami_1989-09-23_IDesireTree.mp3</v>
      </c>
      <c r="D48" s="24"/>
      <c r="E48" s="24"/>
    </row>
    <row r="49">
      <c r="A49" s="25" t="s">
        <v>18352</v>
      </c>
      <c r="B49" s="25" t="s">
        <v>18353</v>
      </c>
      <c r="C49" s="26" t="str">
        <f>HYPERLINK("https://audio.iskcondesiretree.com/02_-_ISKCON_Swamis/ISKCON_Swamis_-_R_to_Y/His_Holiness_Radhanath_Swami/Lectures/00_-_Year_wise/Devotional_Nectar_-_1989/1989-047_Servant_Of_Krishna_BG-02_44_Mumbai_-_Radhanath_Swami_1989-09-24_IDesireTree.mp3", "1989-047_Servant_Of_Krishna_BG-02_44_Mumbai_-_Radhanath_Swami_1989-09-24_IDesireTree.mp3")</f>
        <v>1989-047_Servant_Of_Krishna_BG-02_44_Mumbai_-_Radhanath_Swami_1989-09-24_IDesireTree.mp3</v>
      </c>
      <c r="D49" s="24"/>
      <c r="E49" s="24"/>
    </row>
    <row r="50">
      <c r="A50" s="25" t="s">
        <v>18352</v>
      </c>
      <c r="B50" s="25" t="s">
        <v>18353</v>
      </c>
      <c r="C50" s="26" t="str">
        <f>HYPERLINK("https://audio.iskcondesiretree.com/02_-_ISKCON_Swamis/ISKCON_Swamis_-_R_to_Y/His_Holiness_Radhanath_Swami/Lectures/00_-_Year_wise/Devotional_Nectar_-_1989/1989-048_Merciful_Like_Ganga_Jamuna_SB-07_10_36-38_Mumbai_-_Radhanath_Swami_1989-09-_IDesireTree.mp3", "1989-048_Merciful_Like_Ganga_Jamuna_SB-07_10_36-38_Mumbai_-_Radhanath_Swami_1989-09-_IDesireTree.mp3")</f>
        <v>1989-048_Merciful_Like_Ganga_Jamuna_SB-07_10_36-38_Mumbai_-_Radhanath_Swami_1989-09-_IDesireTree.mp3</v>
      </c>
      <c r="D50" s="24"/>
      <c r="E50" s="24"/>
    </row>
    <row r="51">
      <c r="A51" s="25" t="s">
        <v>18352</v>
      </c>
      <c r="B51" s="25" t="s">
        <v>18353</v>
      </c>
      <c r="C51" s="26" t="str">
        <f>HYPERLINK("https://audio.iskcondesiretree.com/02_-_ISKCON_Swamis/ISKCON_Swamis_-_R_to_Y/His_Holiness_Radhanath_Swami/Lectures/00_-_Year_wise/Devotional_Nectar_-_1989/1989-049_Becoming_Peaceful_SB-08_05_47_Mumbai_-_Radhanath_Swami_1989-09-24_IDesireTree.mp3", "1989-049_Becoming_Peaceful_SB-08_05_47_Mumbai_-_Radhanath_Swami_1989-09-24_IDesireTree.mp3")</f>
        <v>1989-049_Becoming_Peaceful_SB-08_05_47_Mumbai_-_Radhanath_Swami_1989-09-24_IDesireTree.mp3</v>
      </c>
      <c r="D51" s="24"/>
      <c r="E51" s="24"/>
    </row>
    <row r="52">
      <c r="A52" s="25" t="s">
        <v>18352</v>
      </c>
      <c r="B52" s="25" t="s">
        <v>18353</v>
      </c>
      <c r="C52" s="26" t="str">
        <f>HYPERLINK("https://audio.iskcondesiretree.com/02_-_ISKCON_Swamis/ISKCON_Swamis_-_R_to_Y/His_Holiness_Radhanath_Swami/Lectures/00_-_Year_wise/Devotional_Nectar_-_1989/1989-050_Hare_Krishna_-_Radhanath_Swami_IDesireTree.mp3", "1989-050_Hare_Krishna_-_Radhanath_Swami_IDesireTree.mp3")</f>
        <v>1989-050_Hare_Krishna_-_Radhanath_Swami_IDesireTree.mp3</v>
      </c>
      <c r="D52" s="24"/>
      <c r="E52" s="24"/>
    </row>
    <row r="53">
      <c r="A53" s="25" t="s">
        <v>18352</v>
      </c>
      <c r="B53" s="25" t="s">
        <v>18353</v>
      </c>
      <c r="C53" s="26" t="str">
        <f>HYPERLINK("https://audio.iskcondesiretree.com/02_-_ISKCON_Swamis/ISKCON_Swamis_-_R_to_Y/His_Holiness_Radhanath_Swami/Lectures/00_-_Year_wise/Devotional_Nectar_-_1989/1989-051_Preparing_For_Death_SB-07_10_39_Mumbai_-_Radhanath_Swami_1989-09-25_IDesireTree.mp3", "1989-051_Preparing_For_Death_SB-07_10_39_Mumbai_-_Radhanath_Swami_1989-09-25_IDesireTree.mp3")</f>
        <v>1989-051_Preparing_For_Death_SB-07_10_39_Mumbai_-_Radhanath_Swami_1989-09-25_IDesireTree.mp3</v>
      </c>
      <c r="D53" s="24"/>
      <c r="E53" s="24"/>
    </row>
    <row r="54">
      <c r="A54" s="25" t="s">
        <v>18352</v>
      </c>
      <c r="B54" s="25" t="s">
        <v>18353</v>
      </c>
      <c r="C54" s="26" t="str">
        <f>HYPERLINK("https://audio.iskcondesiretree.com/02_-_ISKCON_Swamis/ISKCON_Swamis_-_R_to_Y/His_Holiness_Radhanath_Swami/Lectures/00_-_Year_wise/Devotional_Nectar_-_1989/1989-052_Real_Opulence_Is_Renunciation_SB-07_11_16_Mumbai_-_26-09-89_IDesireTree.mp3", "1989-052_Real_Opulence_Is_Renunciation_SB-07_11_16_Mumbai_-_26-09-89_IDesireTree.mp3")</f>
        <v>1989-052_Real_Opulence_Is_Renunciation_SB-07_11_16_Mumbai_-_26-09-89_IDesireTree.mp3</v>
      </c>
      <c r="D54" s="24"/>
      <c r="E54" s="24"/>
    </row>
    <row r="55">
      <c r="A55" s="25" t="s">
        <v>18352</v>
      </c>
      <c r="B55" s="25" t="s">
        <v>18353</v>
      </c>
      <c r="C55" s="26" t="str">
        <f>HYPERLINK("https://audio.iskcondesiretree.com/02_-_ISKCON_Swamis/ISKCON_Swamis_-_R_to_Y/His_Holiness_Radhanath_Swami/Lectures/00_-_Year_wise/Devotional_Nectar_-_1989/1989-053_Utter_Dependence_Lecture_Mumbai_-_Radhanath_Swami_1989-09-26_IDesireTree.mp3", "1989-053_Utter_Dependence_Lecture_Mumbai_-_Radhanath_Swami_1989-09-26_IDesireTree.mp3")</f>
        <v>1989-053_Utter_Dependence_Lecture_Mumbai_-_Radhanath_Swami_1989-09-26_IDesireTree.mp3</v>
      </c>
      <c r="D55" s="24"/>
      <c r="E55" s="24"/>
    </row>
    <row r="56">
      <c r="A56" s="25" t="s">
        <v>18352</v>
      </c>
      <c r="B56" s="25" t="s">
        <v>18353</v>
      </c>
      <c r="C56" s="26" t="str">
        <f>HYPERLINK("https://audio.iskcondesiretree.com/02_-_ISKCON_Swamis/ISKCON_Swamis_-_R_to_Y/His_Holiness_Radhanath_Swami/Lectures/00_-_Year_wise/Devotional_Nectar_-_1989/1989-054_Punch_Your_Way_Back_Home_Back_To_Godhead_SB-07_10_40_Mumbai_-_27-09-89_IDesireTree.mp3", "1989-054_Punch_Your_Way_Back_Home_Back_To_Godhead_SB-07_10_40_Mumbai_-_27-09-89_IDesireTree.mp3")</f>
        <v>1989-054_Punch_Your_Way_Back_Home_Back_To_Godhead_SB-07_10_40_Mumbai_-_27-09-89_IDesireTree.mp3</v>
      </c>
      <c r="D56" s="24"/>
      <c r="E56" s="24"/>
    </row>
    <row r="57">
      <c r="A57" s="25" t="s">
        <v>18352</v>
      </c>
      <c r="B57" s="25" t="s">
        <v>18353</v>
      </c>
      <c r="C57" s="26" t="str">
        <f>HYPERLINK("https://audio.iskcondesiretree.com/02_-_ISKCON_Swamis/ISKCON_Swamis_-_R_to_Y/His_Holiness_Radhanath_Swami/Lectures/00_-_Year_wise/Devotional_Nectar_-_1989/1989-055_Studying_Bhagavatam_SB-07_10_43-44_Mumbai_-_Radhanath_Swami_1989-09-28_IDesireTree.mp3", "1989-055_Studying_Bhagavatam_SB-07_10_43-44_Mumbai_-_Radhanath_Swami_1989-09-28_IDesireTree.mp3")</f>
        <v>1989-055_Studying_Bhagavatam_SB-07_10_43-44_Mumbai_-_Radhanath_Swami_1989-09-28_IDesireTree.mp3</v>
      </c>
      <c r="D57" s="24"/>
      <c r="E57" s="24"/>
    </row>
    <row r="58">
      <c r="A58" s="25" t="s">
        <v>18352</v>
      </c>
      <c r="B58" s="25" t="s">
        <v>18353</v>
      </c>
      <c r="C58" s="26" t="str">
        <f>HYPERLINK("https://audio.iskcondesiretree.com/02_-_ISKCON_Swamis/ISKCON_Swamis_-_R_to_Y/His_Holiness_Radhanath_Swami/Lectures/00_-_Year_wise/Devotional_Nectar_-_1989/1989-056_Faith_Lecture_Mumbai_-_Radhanath_Swami_1989-09-29_IDesireTree.mp3", "1989-056_Faith_Lecture_Mumbai_-_Radhanath_Swami_1989-09-29_IDesireTree.mp3")</f>
        <v>1989-056_Faith_Lecture_Mumbai_-_Radhanath_Swami_1989-09-29_IDesireTree.mp3</v>
      </c>
      <c r="D58" s="24"/>
      <c r="E58" s="24"/>
    </row>
    <row r="59">
      <c r="A59" s="25" t="s">
        <v>18352</v>
      </c>
      <c r="B59" s="25" t="s">
        <v>18353</v>
      </c>
      <c r="C59" s="26" t="str">
        <f>HYPERLINK("https://audio.iskcondesiretree.com/02_-_ISKCON_Swamis/ISKCON_Swamis_-_R_to_Y/His_Holiness_Radhanath_Swami/Lectures/00_-_Year_wise/Devotional_Nectar_-_1989/1989-057_Krishna_Reciprocates_To_Your_Desire_SB-07_01_03_Mumbai_-_29-09-89_IDesireTree.mp3", "1989-057_Krishna_Reciprocates_To_Your_Desire_SB-07_01_03_Mumbai_-_29-09-89_IDesireTree.mp3")</f>
        <v>1989-057_Krishna_Reciprocates_To_Your_Desire_SB-07_01_03_Mumbai_-_29-09-89_IDesireTree.mp3</v>
      </c>
      <c r="D59" s="24"/>
      <c r="E59" s="24"/>
    </row>
    <row r="60">
      <c r="A60" s="25" t="s">
        <v>18352</v>
      </c>
      <c r="B60" s="25" t="s">
        <v>18353</v>
      </c>
      <c r="C60" s="26" t="str">
        <f>HYPERLINK("https://audio.iskcondesiretree.com/02_-_ISKCON_Swamis/ISKCON_Swamis_-_R_to_Y/His_Holiness_Radhanath_Swami/Lectures/00_-_Year_wise/Devotional_Nectar_-_1989/1989-058_In_Spiritual_World_Everything_Is_Personal_SB-03_21_07_Mumbai_-_29-09-89_IDesireTree.mp3", "1989-058_In_Spiritual_World_Everything_Is_Personal_SB-03_21_07_Mumbai_-_29-09-89_IDesireTree.mp3")</f>
        <v>1989-058_In_Spiritual_World_Everything_Is_Personal_SB-03_21_07_Mumbai_-_29-09-89_IDesireTree.mp3</v>
      </c>
      <c r="D60" s="24"/>
      <c r="E60" s="24"/>
    </row>
    <row r="61">
      <c r="A61" s="25" t="s">
        <v>18352</v>
      </c>
      <c r="B61" s="25" t="s">
        <v>18353</v>
      </c>
      <c r="C61" s="26" t="str">
        <f>HYPERLINK("https://audio.iskcondesiretree.com/02_-_ISKCON_Swamis/ISKCON_Swamis_-_R_to_Y/His_Holiness_Radhanath_Swami/Lectures/00_-_Year_wise/Devotional_Nectar_-_1989/1989-059_True_Parented_Love_SB-07_10_18_Mumbai_-_Radhanath_Swami_1989-09-30_IDesireTree.mp3", "1989-059_True_Parented_Love_SB-07_10_18_Mumbai_-_Radhanath_Swami_1989-09-30_IDesireTree.mp3")</f>
        <v>1989-059_True_Parented_Love_SB-07_10_18_Mumbai_-_Radhanath_Swami_1989-09-30_IDesireTree.mp3</v>
      </c>
      <c r="D61" s="24"/>
      <c r="E61" s="24"/>
    </row>
    <row r="62">
      <c r="A62" s="25" t="s">
        <v>18352</v>
      </c>
      <c r="B62" s="25" t="s">
        <v>18353</v>
      </c>
      <c r="C62" s="26" t="str">
        <f>HYPERLINK("https://audio.iskcondesiretree.com/02_-_ISKCON_Swamis/ISKCON_Swamis_-_R_to_Y/His_Holiness_Radhanath_Swami/Lectures/00_-_Year_wise/Devotional_Nectar_-_1989/1989-06-27_SB_07-12-08_-_Radhanath_Swami_New_Vrindavan.mp3", "1989-06-27_SB_07-12-08_-_Radhanath_Swami_New_Vrindavan.mp3")</f>
        <v>1989-06-27_SB_07-12-08_-_Radhanath_Swami_New_Vrindavan.mp3</v>
      </c>
      <c r="D62" s="24"/>
      <c r="E62" s="24"/>
    </row>
    <row r="63">
      <c r="A63" s="25" t="s">
        <v>18352</v>
      </c>
      <c r="B63" s="25" t="s">
        <v>18353</v>
      </c>
      <c r="C63" s="26" t="str">
        <f>HYPERLINK("https://audio.iskcondesiretree.com/02_-_ISKCON_Swamis/ISKCON_Swamis_-_R_to_Y/His_Holiness_Radhanath_Swami/Lectures/00_-_Year_wise/Devotional_Nectar_-_1989/1989-060_Controlling_The_Mind_BG-06_05_Mumbai_-_Radhanath_Swami_1989-10-01_IDesireTree.mp3", "1989-060_Controlling_The_Mind_BG-06_05_Mumbai_-_Radhanath_Swami_1989-10-01_IDesireTree.mp3")</f>
        <v>1989-060_Controlling_The_Mind_BG-06_05_Mumbai_-_Radhanath_Swami_1989-10-01_IDesireTree.mp3</v>
      </c>
      <c r="D63" s="24"/>
      <c r="E63" s="24"/>
    </row>
    <row r="64">
      <c r="A64" s="25" t="s">
        <v>18352</v>
      </c>
      <c r="B64" s="25" t="s">
        <v>18353</v>
      </c>
      <c r="C64" s="26" t="str">
        <f>HYPERLINK("https://audio.iskcondesiretree.com/02_-_ISKCON_Swamis/ISKCON_Swamis_-_R_to_Y/His_Holiness_Radhanath_Swami/Lectures/00_-_Year_wise/Devotional_Nectar_-_1989/1989-061_Story_Of_Sri_Sudama_VP-1_19_65_Mumbai_-_Radhanath_Swami_1989-10-01_IDesireTree.mp3", "1989-061_Story_Of_Sri_Sudama_VP-1_19_65_Mumbai_-_Radhanath_Swami_1989-10-01_IDesireTree.mp3")</f>
        <v>1989-061_Story_Of_Sri_Sudama_VP-1_19_65_Mumbai_-_Radhanath_Swami_1989-10-01_IDesireTree.mp3</v>
      </c>
      <c r="D64" s="24"/>
      <c r="E64" s="24"/>
    </row>
    <row r="65">
      <c r="A65" s="25" t="s">
        <v>18352</v>
      </c>
      <c r="B65" s="25" t="s">
        <v>18353</v>
      </c>
      <c r="C65" s="26" t="str">
        <f>HYPERLINK("https://audio.iskcondesiretree.com/02_-_ISKCON_Swamis/ISKCON_Swamis_-_R_to_Y/His_Holiness_Radhanath_Swami/Lectures/00_-_Year_wise/Devotional_Nectar_-_1989/1989-062_Pride_Lecture_Mumbai_-_Radhanath_Swami_1989-10-05_IDesireTree.mp3", "1989-062_Pride_Lecture_Mumbai_-_Radhanath_Swami_1989-10-05_IDesireTree.mp3")</f>
        <v>1989-062_Pride_Lecture_Mumbai_-_Radhanath_Swami_1989-10-05_IDesireTree.mp3</v>
      </c>
      <c r="D65" s="24"/>
      <c r="E65" s="24"/>
    </row>
    <row r="66">
      <c r="A66" s="25" t="s">
        <v>18352</v>
      </c>
      <c r="B66" s="25" t="s">
        <v>18353</v>
      </c>
      <c r="C66" s="26" t="str">
        <f>HYPERLINK("https://audio.iskcondesiretree.com/02_-_ISKCON_Swamis/ISKCON_Swamis_-_R_to_Y/His_Holiness_Radhanath_Swami/Lectures/00_-_Year_wise/Devotional_Nectar_-_1989/1989-063_Will_You_Be_A_Kitten_Or_Rat_BG-11_36_Mumbai_-_Radhanath_Swami_1989-10-05_IDesireTree.mp3", "1989-063_Will_You_Be_A_Kitten_Or_Rat_BG-11_36_Mumbai_-_Radhanath_Swami_1989-10-05_IDesireTree.mp3")</f>
        <v>1989-063_Will_You_Be_A_Kitten_Or_Rat_BG-11_36_Mumbai_-_Radhanath_Swami_1989-10-05_IDesireTree.mp3</v>
      </c>
      <c r="D66" s="24"/>
      <c r="E66" s="24"/>
    </row>
    <row r="67">
      <c r="A67" s="25" t="s">
        <v>18352</v>
      </c>
      <c r="B67" s="25" t="s">
        <v>18353</v>
      </c>
      <c r="C67" s="26" t="str">
        <f>HYPERLINK("https://audio.iskcondesiretree.com/02_-_ISKCON_Swamis/ISKCON_Swamis_-_R_to_Y/His_Holiness_Radhanath_Swami/Lectures/00_-_Year_wise/Devotional_Nectar_-_1989/1989-064_Krishna_Consciousness_For_Everyone_Lecture_Mumbai_-_06-10-89_IDesireTree.mp3", "1989-064_Krishna_Consciousness_For_Everyone_Lecture_Mumbai_-_06-10-89_IDesireTree.mp3")</f>
        <v>1989-064_Krishna_Consciousness_For_Everyone_Lecture_Mumbai_-_06-10-89_IDesireTree.mp3</v>
      </c>
      <c r="D67" s="24"/>
      <c r="E67" s="24"/>
    </row>
    <row r="68">
      <c r="A68" s="25" t="s">
        <v>18352</v>
      </c>
      <c r="B68" s="25" t="s">
        <v>18353</v>
      </c>
      <c r="C68" s="26" t="str">
        <f>HYPERLINK("https://audio.iskcondesiretree.com/02_-_ISKCON_Swamis/ISKCON_Swamis_-_R_to_Y/His_Holiness_Radhanath_Swami/Lectures/00_-_Year_wise/Devotional_Nectar_-_1989/1989-065_Entering_The_Supreme_Mystery_SB-07_10_50_Mumbai_-_6-10-89_IDesireTree.mp3", "1989-065_Entering_The_Supreme_Mystery_SB-07_10_50_Mumbai_-_6-10-89_IDesireTree.mp3")</f>
        <v>1989-065_Entering_The_Supreme_Mystery_SB-07_10_50_Mumbai_-_6-10-89_IDesireTree.mp3</v>
      </c>
      <c r="D68" s="24"/>
      <c r="E68" s="24"/>
    </row>
    <row r="69">
      <c r="A69" s="25" t="s">
        <v>18352</v>
      </c>
      <c r="B69" s="25" t="s">
        <v>18353</v>
      </c>
      <c r="C69" s="26" t="str">
        <f>HYPERLINK("https://audio.iskcondesiretree.com/02_-_ISKCON_Swamis/ISKCON_Swamis_-_R_to_Y/His_Holiness_Radhanath_Swami/Lectures/00_-_Year_wise/Devotional_Nectar_-_1989/1989-066_Overcoming_Lust_Lecture_Mumbai_-_Radhanath_Swami_1989-10-07_IDesireTree.mp3", "1989-066_Overcoming_Lust_Lecture_Mumbai_-_Radhanath_Swami_1989-10-07_IDesireTree.mp3")</f>
        <v>1989-066_Overcoming_Lust_Lecture_Mumbai_-_Radhanath_Swami_1989-10-07_IDesireTree.mp3</v>
      </c>
      <c r="D69" s="24"/>
      <c r="E69" s="24"/>
    </row>
    <row r="70">
      <c r="A70" s="25" t="s">
        <v>18352</v>
      </c>
      <c r="B70" s="25" t="s">
        <v>18353</v>
      </c>
      <c r="C70" s="26" t="str">
        <f>HYPERLINK("https://audio.iskcondesiretree.com/02_-_ISKCON_Swamis/ISKCON_Swamis_-_R_to_Y/His_Holiness_Radhanath_Swami/Lectures/00_-_Year_wise/Devotional_Nectar_-_1989/1989-067_Bhakti-_The_Process_Of_Becoming_Greater_Than_God_Lecture_Mumbai_-_15-10-89_IDesireTree.mp3", "1989-067_Bhakti-_The_Process_Of_Becoming_Greater_Than_God_Lecture_Mumbai_-_15-10-89_IDesireTree.mp3")</f>
        <v>1989-067_Bhakti-_The_Process_Of_Becoming_Greater_Than_God_Lecture_Mumbai_-_15-10-89_IDesireTree.mp3</v>
      </c>
      <c r="D70" s="24"/>
      <c r="E70" s="24"/>
    </row>
    <row r="71">
      <c r="A71" s="25" t="s">
        <v>18352</v>
      </c>
      <c r="B71" s="25" t="s">
        <v>18353</v>
      </c>
      <c r="C71" s="26" t="str">
        <f>HYPERLINK("https://audio.iskcondesiretree.com/02_-_ISKCON_Swamis/ISKCON_Swamis_-_R_to_Y/His_Holiness_Radhanath_Swami/Lectures/00_-_Year_wise/Devotional_Nectar_-_1989/1989-068_God_Is_Love_Lecture_Mumbai_-_Radhanath_Swami_1989-10-15_IDesireTree.mp3", "1989-068_God_Is_Love_Lecture_Mumbai_-_Radhanath_Swami_1989-10-15_IDesireTree.mp3")</f>
        <v>1989-068_God_Is_Love_Lecture_Mumbai_-_Radhanath_Swami_1989-10-15_IDesireTree.mp3</v>
      </c>
      <c r="D71" s="24"/>
      <c r="E71" s="24"/>
    </row>
    <row r="72">
      <c r="A72" s="25" t="s">
        <v>18352</v>
      </c>
      <c r="B72" s="25" t="s">
        <v>18353</v>
      </c>
      <c r="C72" s="26" t="str">
        <f>HYPERLINK("https://audio.iskcondesiretree.com/02_-_ISKCON_Swamis/ISKCON_Swamis_-_R_to_Y/His_Holiness_Radhanath_Swami/Lectures/00_-_Year_wise/Devotional_Nectar_-_1989/1989-069_Bhagavad_Gita_Rejects_Piety_BG-02_45_Mumbai_-_Radhanath_Swami_1989-10-18_IDesireTree.mp3", "1989-069_Bhagavad_Gita_Rejects_Piety_BG-02_45_Mumbai_-_Radhanath_Swami_1989-10-18_IDesireTree.mp3")</f>
        <v>1989-069_Bhagavad_Gita_Rejects_Piety_BG-02_45_Mumbai_-_Radhanath_Swami_1989-10-18_IDesireTree.mp3</v>
      </c>
      <c r="D72" s="24"/>
      <c r="E72" s="24"/>
    </row>
    <row r="73">
      <c r="A73" s="25" t="s">
        <v>18352</v>
      </c>
      <c r="B73" s="25" t="s">
        <v>18353</v>
      </c>
      <c r="C73" s="26" t="str">
        <f>HYPERLINK("https://audio.iskcondesiretree.com/02_-_ISKCON_Swamis/ISKCON_Swamis_-_R_to_Y/His_Holiness_Radhanath_Swami/Lectures/00_-_Year_wise/Devotional_Nectar_-_1989/1989-070_Without_Mercy_Of_Lord_We_Are_Hopeless_BG-08_15_Mumbai_-_19-10-89_IDesireTree.mp3", "1989-070_Without_Mercy_Of_Lord_We_Are_Hopeless_BG-08_15_Mumbai_-_19-10-89_IDesireTree.mp3")</f>
        <v>1989-070_Without_Mercy_Of_Lord_We_Are_Hopeless_BG-08_15_Mumbai_-_19-10-89_IDesireTree.mp3</v>
      </c>
      <c r="D73" s="24"/>
      <c r="E73" s="24"/>
    </row>
    <row r="74">
      <c r="A74" s="25" t="s">
        <v>18352</v>
      </c>
      <c r="B74" s="25" t="s">
        <v>18353</v>
      </c>
      <c r="C74" s="26" t="str">
        <f>HYPERLINK("https://audio.iskcondesiretree.com/02_-_ISKCON_Swamis/ISKCON_Swamis_-_R_to_Y/His_Holiness_Radhanath_Swami/Lectures/00_-_Year_wise/Devotional_Nectar_-_1989/1989-071_Fake_Godman_CC_-_Radhanath_Swami_IDesireTree.mp3", "1989-071_Fake_Godman_CC_-_Radhanath_Swami_IDesireTree.mp3")</f>
        <v>1989-071_Fake_Godman_CC_-_Radhanath_Swami_IDesireTree.mp3</v>
      </c>
      <c r="D74" s="24"/>
      <c r="E74" s="24"/>
    </row>
    <row r="75">
      <c r="A75" s="25" t="s">
        <v>18352</v>
      </c>
      <c r="B75" s="25" t="s">
        <v>18353</v>
      </c>
      <c r="C75" s="26" t="str">
        <f>HYPERLINK("https://audio.iskcondesiretree.com/02_-_ISKCON_Swamis/ISKCON_Swamis_-_R_to_Y/His_Holiness_Radhanath_Swami/Lectures/00_-_Year_wise/Devotional_Nectar_-_1989/1989-072_Fool_Number_One_Lecture_Mumbai_-_Radhanath_Swami_1989-10-30_IDesireTree.mp3", "1989-072_Fool_Number_One_Lecture_Mumbai_-_Radhanath_Swami_1989-10-30_IDesireTree.mp3")</f>
        <v>1989-072_Fool_Number_One_Lecture_Mumbai_-_Radhanath_Swami_1989-10-30_IDesireTree.mp3</v>
      </c>
      <c r="D75" s="24"/>
      <c r="E75" s="24"/>
    </row>
    <row r="76">
      <c r="A76" s="25" t="s">
        <v>18352</v>
      </c>
      <c r="B76" s="25" t="s">
        <v>18353</v>
      </c>
      <c r="C76" s="26" t="str">
        <f>HYPERLINK("https://audio.iskcondesiretree.com/02_-_ISKCON_Swamis/ISKCON_Swamis_-_R_to_Y/His_Holiness_Radhanath_Swami/Lectures/00_-_Year_wise/Devotional_Nectar_-_1989/1989-073_Do_Not_Believe_In_This_World_Lecture_Mumbai_-_Radhanath_Swami_1989-10-21_IDesireTree.mp3", "1989-073_Do_Not_Believe_In_This_World_Lecture_Mumbai_-_Radhanath_Swami_1989-10-21_IDesireTree.mp3")</f>
        <v>1989-073_Do_Not_Believe_In_This_World_Lecture_Mumbai_-_Radhanath_Swami_1989-10-21_IDesireTree.mp3</v>
      </c>
      <c r="D76" s="24"/>
      <c r="E76" s="24"/>
    </row>
    <row r="77">
      <c r="A77" s="25" t="s">
        <v>18352</v>
      </c>
      <c r="B77" s="25" t="s">
        <v>18353</v>
      </c>
      <c r="C77" s="26" t="str">
        <f>HYPERLINK("https://audio.iskcondesiretree.com/02_-_ISKCON_Swamis/ISKCON_Swamis_-_R_to_Y/His_Holiness_Radhanath_Swami/Lectures/00_-_Year_wise/Devotional_Nectar_-_1989/1989-074_Holyday_not_holiday_Lecture_Mumbai_-_Radhanath_Swami_1989-10-29_IDesireTree.mp3", "1989-074_Holyday_not_holiday_Lecture_Mumbai_-_Radhanath_Swami_1989-10-29_IDesireTree.mp3")</f>
        <v>1989-074_Holyday_not_holiday_Lecture_Mumbai_-_Radhanath_Swami_1989-10-29_IDesireTree.mp3</v>
      </c>
      <c r="D77" s="24"/>
      <c r="E77" s="24"/>
    </row>
    <row r="78">
      <c r="A78" s="25" t="s">
        <v>18352</v>
      </c>
      <c r="B78" s="25" t="s">
        <v>18353</v>
      </c>
      <c r="C78" s="26" t="str">
        <f>HYPERLINK("https://audio.iskcondesiretree.com/02_-_ISKCON_Swamis/ISKCON_Swamis_-_R_to_Y/His_Holiness_Radhanath_Swami/Lectures/00_-_Year_wise/Devotional_Nectar_-_1989/1989-075_Spiritual_Life_Means_To_Give_Q%26A_Mumbai_-_Radhanath_Swami_1989-10-30_IDesireTree.mp3", "1989-075_Spiritual_Life_Means_To_Give_Q%26A_Mumbai_-_Radhanath_Swami_1989-10-30_IDesireTree.mp3")</f>
        <v>1989-075_Spiritual_Life_Means_To_Give_Q%26A_Mumbai_-_Radhanath_Swami_1989-10-30_IDesireTree.mp3</v>
      </c>
      <c r="D78" s="24"/>
      <c r="E78" s="24"/>
    </row>
    <row r="79">
      <c r="A79" s="25" t="s">
        <v>18352</v>
      </c>
      <c r="B79" s="25" t="s">
        <v>18353</v>
      </c>
      <c r="C79" s="26" t="str">
        <f>HYPERLINK("https://audio.iskcondesiretree.com/02_-_ISKCON_Swamis/ISKCON_Swamis_-_R_to_Y/His_Holiness_Radhanath_Swami/Lectures/00_-_Year_wise/Devotional_Nectar_-_1989/1989-076_Meditation_On_The_Month_Of_Damodar_BG-04_09_Mumbai_-_22-10-89_IDesireTree.mp3", "1989-076_Meditation_On_The_Month_Of_Damodar_BG-04_09_Mumbai_-_22-10-89_IDesireTree.mp3")</f>
        <v>1989-076_Meditation_On_The_Month_Of_Damodar_BG-04_09_Mumbai_-_22-10-89_IDesireTree.mp3</v>
      </c>
      <c r="D79" s="24"/>
      <c r="E79" s="24"/>
    </row>
    <row r="80">
      <c r="A80" s="25" t="s">
        <v>18352</v>
      </c>
      <c r="B80" s="25" t="s">
        <v>18353</v>
      </c>
      <c r="C80" s="26" t="str">
        <f>HYPERLINK("https://audio.iskcondesiretree.com/02_-_ISKCON_Swamis/ISKCON_Swamis_-_R_to_Y/His_Holiness_Radhanath_Swami/Lectures/00_-_Year_wise/Devotional_Nectar_-_1989/1989-077_Who_Is_Crazy_SB-05_05_04_Mumbai_-_Radhanath_Swami_1989-10-23_IDesireTree.mp3", "1989-077_Who_Is_Crazy_SB-05_05_04_Mumbai_-_Radhanath_Swami_1989-10-23_IDesireTree.mp3")</f>
        <v>1989-077_Who_Is_Crazy_SB-05_05_04_Mumbai_-_Radhanath_Swami_1989-10-23_IDesireTree.mp3</v>
      </c>
      <c r="D80" s="24"/>
      <c r="E80" s="24"/>
    </row>
    <row r="81">
      <c r="A81" s="25" t="s">
        <v>18352</v>
      </c>
      <c r="B81" s="25" t="s">
        <v>18353</v>
      </c>
      <c r="C81" s="26" t="str">
        <f>HYPERLINK("https://audio.iskcondesiretree.com/02_-_ISKCON_Swamis/ISKCON_Swamis_-_R_to_Y/His_Holiness_Radhanath_Swami/Lectures/00_-_Year_wise/Devotional_Nectar_-_1989/1989-078_Self_Management_-_BG-06_06_Mumbai_-_Radhanath_Swami_1989-10-25_IDesireTree.mp3", "1989-078_Self_Management_-_BG-06_06_Mumbai_-_Radhanath_Swami_1989-10-25_IDesireTree.mp3")</f>
        <v>1989-078_Self_Management_-_BG-06_06_Mumbai_-_Radhanath_Swami_1989-10-25_IDesireTree.mp3</v>
      </c>
      <c r="D81" s="24"/>
      <c r="E81" s="24"/>
    </row>
    <row r="82">
      <c r="A82" s="25" t="s">
        <v>18352</v>
      </c>
      <c r="B82" s="25" t="s">
        <v>18353</v>
      </c>
      <c r="C82" s="26" t="str">
        <f>HYPERLINK("https://audio.iskcondesiretree.com/02_-_ISKCON_Swamis/ISKCON_Swamis_-_R_to_Y/His_Holiness_Radhanath_Swami/Lectures/00_-_Year_wise/Devotional_Nectar_-_1989/1989-079_How_To_Be_Krishna_Conscious_Q%26A_Mumbai_-_Radhanath_Swami_1989-10-28_new_IDesireTree.mp3", "1989-079_How_To_Be_Krishna_Conscious_Q%26A_Mumbai_-_Radhanath_Swami_1989-10-28_new_IDesireTree.mp3")</f>
        <v>1989-079_How_To_Be_Krishna_Conscious_Q%26A_Mumbai_-_Radhanath_Swami_1989-10-28_new_IDesireTree.mp3</v>
      </c>
      <c r="D82" s="24"/>
      <c r="E82" s="24"/>
    </row>
    <row r="83">
      <c r="A83" s="25" t="s">
        <v>18352</v>
      </c>
      <c r="B83" s="25" t="s">
        <v>18353</v>
      </c>
      <c r="C83" s="26" t="str">
        <f>HYPERLINK("https://audio.iskcondesiretree.com/02_-_ISKCON_Swamis/ISKCON_Swamis_-_R_to_Y/His_Holiness_Radhanath_Swami/Lectures/00_-_Year_wise/Devotional_Nectar_-_1989/1989-08-22_SB_07-10-10_-_Radhanath_Swami_Mumbai.mp3", "1989-08-22_SB_07-10-10_-_Radhanath_Swami_Mumbai.mp3")</f>
        <v>1989-08-22_SB_07-10-10_-_Radhanath_Swami_Mumbai.mp3</v>
      </c>
      <c r="D83" s="24"/>
      <c r="E83" s="24"/>
    </row>
    <row r="84">
      <c r="A84" s="25" t="s">
        <v>18352</v>
      </c>
      <c r="B84" s="25" t="s">
        <v>18353</v>
      </c>
      <c r="C84" s="26" t="str">
        <f>HYPERLINK("https://audio.iskcondesiretree.com/02_-_ISKCON_Swamis/ISKCON_Swamis_-_R_to_Y/His_Holiness_Radhanath_Swami/Lectures/00_-_Year_wise/Devotional_Nectar_-_1989/1989-080_Behaviour_Of_A_Perfect_Person_SB-07_13_11-17_Mumbai_-_23-12-89_IDesireTree.mp3", "1989-080_Behaviour_Of_A_Perfect_Person_SB-07_13_11-17_Mumbai_-_23-12-89_IDesireTree.mp3")</f>
        <v>1989-080_Behaviour_Of_A_Perfect_Person_SB-07_13_11-17_Mumbai_-_23-12-89_IDesireTree.mp3</v>
      </c>
      <c r="D84" s="24"/>
      <c r="E84" s="24"/>
    </row>
    <row r="85">
      <c r="A85" s="25" t="s">
        <v>18352</v>
      </c>
      <c r="B85" s="25" t="s">
        <v>18353</v>
      </c>
      <c r="C85" s="26" t="str">
        <f>HYPERLINK("https://audio.iskcondesiretree.com/02_-_ISKCON_Swamis/ISKCON_Swamis_-_R_to_Y/His_Holiness_Radhanath_Swami/Lectures/00_-_Year_wise/Devotional_Nectar_-_1989/1989-081_Never_Become_Lazy_SB-07_13_18-21_Mumbai_-_Radhanath_Swami_1989-12-24_IDesireTree.mp3", "1989-081_Never_Become_Lazy_SB-07_13_18-21_Mumbai_-_Radhanath_Swami_1989-12-24_IDesireTree.mp3")</f>
        <v>1989-081_Never_Become_Lazy_SB-07_13_18-21_Mumbai_-_Radhanath_Swami_1989-12-24_IDesireTree.mp3</v>
      </c>
      <c r="D85" s="24"/>
      <c r="E85" s="24"/>
    </row>
    <row r="86">
      <c r="A86" s="25" t="s">
        <v>18352</v>
      </c>
      <c r="B86" s="25" t="s">
        <v>18353</v>
      </c>
      <c r="C86" s="26" t="str">
        <f>HYPERLINK("https://audio.iskcondesiretree.com/02_-_ISKCON_Swamis/ISKCON_Swamis_-_R_to_Y/His_Holiness_Radhanath_Swami/Lectures/00_-_Year_wise/Devotional_Nectar_-_1989/1989-082_Approach_God_Through_His_Servant_BG-04_19_Mumbai_-_24-12-89_IDesireTree.mp3", "1989-082_Approach_God_Through_His_Servant_BG-04_19_Mumbai_-_24-12-89_IDesireTree.mp3")</f>
        <v>1989-082_Approach_God_Through_His_Servant_BG-04_19_Mumbai_-_24-12-89_IDesireTree.mp3</v>
      </c>
      <c r="D86" s="24"/>
      <c r="E86" s="24"/>
    </row>
    <row r="87">
      <c r="A87" s="25" t="s">
        <v>18352</v>
      </c>
      <c r="B87" s="25" t="s">
        <v>18353</v>
      </c>
      <c r="C87" s="26" t="str">
        <f>HYPERLINK("https://audio.iskcondesiretree.com/02_-_ISKCON_Swamis/ISKCON_Swamis_-_R_to_Y/His_Holiness_Radhanath_Swami/Lectures/00_-_Year_wise/Devotional_Nectar_-_1989/1989-083_Krishnizing_The_Senses_BG-10_36_Mumbai_-_Radhanath_Swami_1989-12-26_IDesireTree.mp3", "1989-083_Krishnizing_The_Senses_BG-10_36_Mumbai_-_Radhanath_Swami_1989-12-26_IDesireTree.mp3")</f>
        <v>1989-083_Krishnizing_The_Senses_BG-10_36_Mumbai_-_Radhanath_Swami_1989-12-26_IDesireTree.mp3</v>
      </c>
      <c r="D87" s="24"/>
      <c r="E87" s="24"/>
    </row>
    <row r="88">
      <c r="A88" s="25" t="s">
        <v>18352</v>
      </c>
      <c r="B88" s="25" t="s">
        <v>18353</v>
      </c>
      <c r="C88" s="26" t="str">
        <f>HYPERLINK("https://audio.iskcondesiretree.com/02_-_ISKCON_Swamis/ISKCON_Swamis_-_R_to_Y/His_Holiness_Radhanath_Swami/Lectures/00_-_Year_wise/Devotional_Nectar_-_1989/1989-084_Material_Enjoyment-_Danger_At_Every_Step_SB-07_13_24_Mumbai_-_27-12-89_IDesireTree.mp3", "1989-084_Material_Enjoyment-_Danger_At_Every_Step_SB-07_13_24_Mumbai_-_27-12-89_IDesireTree.mp3")</f>
        <v>1989-084_Material_Enjoyment-_Danger_At_Every_Step_SB-07_13_24_Mumbai_-_27-12-89_IDesireTree.mp3</v>
      </c>
      <c r="D88" s="24"/>
      <c r="E88" s="24"/>
    </row>
    <row r="89">
      <c r="A89" s="25" t="s">
        <v>18352</v>
      </c>
      <c r="B89" s="25" t="s">
        <v>18353</v>
      </c>
      <c r="C89" s="26" t="str">
        <f>HYPERLINK("https://audio.iskcondesiretree.com/02_-_ISKCON_Swamis/ISKCON_Swamis_-_R_to_Y/His_Holiness_Radhanath_Swami/Lectures/00_-_Year_wise/Devotional_Nectar_-_1989/1989-085_Visit_Holy_Places_To_Purify_Consciousness_Lecture_Mumbai_-_1989-12-27_IDesireTree.mp3", "1989-085_Visit_Holy_Places_To_Purify_Consciousness_Lecture_Mumbai_-_1989-12-27_IDesireTree.mp3")</f>
        <v>1989-085_Visit_Holy_Places_To_Purify_Consciousness_Lecture_Mumbai_-_1989-12-27_IDesireTree.mp3</v>
      </c>
      <c r="D89" s="24"/>
      <c r="E89" s="24"/>
    </row>
    <row r="90">
      <c r="A90" s="25" t="s">
        <v>18352</v>
      </c>
      <c r="B90" s="25" t="s">
        <v>18353</v>
      </c>
      <c r="C90" s="26" t="str">
        <f>HYPERLINK("https://audio.iskcondesiretree.com/02_-_ISKCON_Swamis/ISKCON_Swamis_-_R_to_Y/His_Holiness_Radhanath_Swami/Lectures/00_-_Year_wise/Devotional_Nectar_-_1989/1989-086_Evolution_SB-07_13_25_Mumbai_-_Radhanath_Swami_1989-12-28_IDesireTree.mp3", "1989-086_Evolution_SB-07_13_25_Mumbai_-_Radhanath_Swami_1989-12-28_IDesireTree.mp3")</f>
        <v>1989-086_Evolution_SB-07_13_25_Mumbai_-_Radhanath_Swami_1989-12-28_IDesireTree.mp3</v>
      </c>
      <c r="D90" s="24"/>
      <c r="E90" s="24"/>
    </row>
    <row r="91">
      <c r="A91" s="25" t="s">
        <v>18352</v>
      </c>
      <c r="B91" s="25" t="s">
        <v>18353</v>
      </c>
      <c r="C91" s="26" t="str">
        <f>HYPERLINK("https://audio.iskcondesiretree.com/02_-_ISKCON_Swamis/ISKCON_Swamis_-_R_to_Y/His_Holiness_Radhanath_Swami/Lectures/00_-_Year_wise/Devotional_Nectar_-_1989/1989-087_Conquering_The_Enemy_Of_Lust_SB-07_13_26_Mumbai_-_29-12-89_IDesireTree.mp3", "1989-087_Conquering_The_Enemy_Of_Lust_SB-07_13_26_Mumbai_-_29-12-89_IDesireTree.mp3")</f>
        <v>1989-087_Conquering_The_Enemy_Of_Lust_SB-07_13_26_Mumbai_-_29-12-89_IDesireTree.mp3</v>
      </c>
      <c r="D91" s="24"/>
      <c r="E91" s="24"/>
    </row>
    <row r="92">
      <c r="A92" s="25" t="s">
        <v>18352</v>
      </c>
      <c r="B92" s="25" t="s">
        <v>18353</v>
      </c>
      <c r="C92" s="26" t="str">
        <f>HYPERLINK("https://audio.iskcondesiretree.com/02_-_ISKCON_Swamis/ISKCON_Swamis_-_R_to_Y/His_Holiness_Radhanath_Swami/Lectures/00_-_Year_wise/Devotional_Nectar_-_1989/1989-088_Depending_On_Krishna_SB-07_13_27_Mumbai_-_Radhanath_Swami_1989-12-30_IDesireTree.mp3", "1989-088_Depending_On_Krishna_SB-07_13_27_Mumbai_-_Radhanath_Swami_1989-12-30_IDesireTree.mp3")</f>
        <v>1989-088_Depending_On_Krishna_SB-07_13_27_Mumbai_-_Radhanath_Swami_1989-12-30_IDesireTree.mp3</v>
      </c>
      <c r="D92" s="24"/>
      <c r="E92" s="24"/>
    </row>
    <row r="93">
      <c r="A93" s="25" t="s">
        <v>18352</v>
      </c>
      <c r="B93" s="25" t="s">
        <v>18353</v>
      </c>
      <c r="C93" s="26" t="str">
        <f>HYPERLINK("https://audio.iskcondesiretree.com/02_-_ISKCON_Swamis/ISKCON_Swamis_-_R_to_Y/His_Holiness_Radhanath_Swami/Lectures/00_-_Year_wise/Devotional_Nectar_-_1989/1989-089_No_Realization_Without_Service_BG-09_14_Mumbai_-_Radhanath_Swami_1989-12-30_IDesireTree.mp3", "1989-089_No_Realization_Without_Service_BG-09_14_Mumbai_-_Radhanath_Swami_1989-12-30_IDesireTree.mp3")</f>
        <v>1989-089_No_Realization_Without_Service_BG-09_14_Mumbai_-_Radhanath_Swami_1989-12-30_IDesireTree.mp3</v>
      </c>
      <c r="D93" s="24"/>
      <c r="E93" s="24"/>
    </row>
    <row r="94">
      <c r="A94" s="25" t="s">
        <v>18352</v>
      </c>
      <c r="B94" s="25" t="s">
        <v>18353</v>
      </c>
      <c r="C94" s="26" t="str">
        <f>HYPERLINK("https://audio.iskcondesiretree.com/02_-_ISKCON_Swamis/ISKCON_Swamis_-_R_to_Y/His_Holiness_Radhanath_Swami/Lectures/00_-_Year_wise/Devotional_Nectar_-_1989/1989-090_Simply_For_Devotees_Pleasure_BG-12_02_Mumbai_-_Radhanath_Swami_1989-12-31_IDesireTree.mp3", "1989-090_Simply_For_Devotees_Pleasure_BG-12_02_Mumbai_-_Radhanath_Swami_1989-12-31_IDesireTree.mp3")</f>
        <v>1989-090_Simply_For_Devotees_Pleasure_BG-12_02_Mumbai_-_Radhanath_Swami_1989-12-31_IDesireTree.mp3</v>
      </c>
      <c r="D94" s="24"/>
      <c r="E94" s="24"/>
    </row>
    <row r="95">
      <c r="A95" s="25" t="s">
        <v>18352</v>
      </c>
      <c r="B95" s="25" t="s">
        <v>18353</v>
      </c>
      <c r="C95" s="26" t="str">
        <f>HYPERLINK("https://audio.iskcondesiretree.com/02_-_ISKCON_Swamis/ISKCON_Swamis_-_R_to_Y/His_Holiness_Radhanath_Swami/Lectures/00_-_Year_wise/Devotional_Nectar_-_1989/1989-091_Srila_Jiva_Goswami_Lecture_Mumbai_-_Radhanath_Swami_1989-12-31_IDesireTree.mp3", "1989-091_Srila_Jiva_Goswami_Lecture_Mumbai_-_Radhanath_Swami_1989-12-31_IDesireTree.mp3")</f>
        <v>1989-091_Srila_Jiva_Goswami_Lecture_Mumbai_-_Radhanath_Swami_1989-12-31_IDesireTree.mp3</v>
      </c>
      <c r="D95" s="24"/>
      <c r="E95" s="24"/>
    </row>
    <row r="96">
      <c r="A96" s="25" t="s">
        <v>18352</v>
      </c>
      <c r="B96" s="25" t="s">
        <v>18354</v>
      </c>
      <c r="C96" s="26" t="str">
        <f>HYPERLINK("https://audio.iskcondesiretree.com/02_-_ISKCON_Swamis/ISKCON_Swamis_-_R_to_Y/His_Holiness_Radhanath_Swami/Lectures/00_-_Year_wise/Devotional_Nectar_-_1990/1990-001_Servant_Of_Servant_Lecture_Mumbai_-_Radhanath_Swami_1990-02-02_IDesireTree.mp3", "1990-001_Servant_Of_Servant_Lecture_Mumbai_-_Radhanath_Swami_1990-02-02_IDesireTree.mp3")</f>
        <v>1990-001_Servant_Of_Servant_Lecture_Mumbai_-_Radhanath_Swami_1990-02-02_IDesireTree.mp3</v>
      </c>
      <c r="D96" s="24"/>
      <c r="E96" s="24"/>
    </row>
    <row r="97">
      <c r="A97" s="25" t="s">
        <v>18352</v>
      </c>
      <c r="B97" s="25" t="s">
        <v>18354</v>
      </c>
      <c r="C97" s="26" t="str">
        <f>HYPERLINK("https://audio.iskcondesiretree.com/02_-_ISKCON_Swamis/ISKCON_Swamis_-_R_to_Y/His_Holiness_Radhanath_Swami/Lectures/00_-_Year_wise/Devotional_Nectar_-_1990/1990-002_Whatever_Krishna_Does_Is_Perfect_BG-08_IDesireTree.mp3", "1990-002_Whatever_Krishna_Does_Is_Perfect_BG-08_IDesireTree.mp3")</f>
        <v>1990-002_Whatever_Krishna_Does_Is_Perfect_BG-08_IDesireTree.mp3</v>
      </c>
      <c r="D97" s="24"/>
      <c r="E97" s="24"/>
    </row>
    <row r="98">
      <c r="A98" s="25" t="s">
        <v>18352</v>
      </c>
      <c r="B98" s="25" t="s">
        <v>18354</v>
      </c>
      <c r="C98" s="26" t="str">
        <f>HYPERLINK("https://audio.iskcondesiretree.com/02_-_ISKCON_Swamis/ISKCON_Swamis_-_R_to_Y/His_Holiness_Radhanath_Swami/Lectures/00_-_Year_wise/Devotional_Nectar_-_1990/1990-003_Dont_Be_Like_A_Bumble_Bee_SB-07_13_35-36_Mumbai_-_07-01-90_IDesireTree.mp3", "1990-003_Dont_Be_Like_A_Bumble_Bee_SB-07_13_35-36_Mumbai_-_07-01-90_IDesireTree.mp3")</f>
        <v>1990-003_Dont_Be_Like_A_Bumble_Bee_SB-07_13_35-36_Mumbai_-_07-01-90_IDesireTree.mp3</v>
      </c>
      <c r="D98" s="24"/>
      <c r="E98" s="24"/>
    </row>
    <row r="99">
      <c r="A99" s="25" t="s">
        <v>18352</v>
      </c>
      <c r="B99" s="25" t="s">
        <v>18354</v>
      </c>
      <c r="C99" s="26" t="str">
        <f>HYPERLINK("https://audio.iskcondesiretree.com/02_-_ISKCON_Swamis/ISKCON_Swamis_-_R_to_Y/His_Holiness_Radhanath_Swami/Lectures/00_-_Year_wise/Devotional_Nectar_-_1990/1990-004_Perfection_Of_Renunciation_BG-18_46_Mumbai_-_Radhanath_Swami_1990-01-07_IDesireTree.mp3", "1990-004_Perfection_Of_Renunciation_BG-18_46_Mumbai_-_Radhanath_Swami_1990-01-07_IDesireTree.mp3")</f>
        <v>1990-004_Perfection_Of_Renunciation_BG-18_46_Mumbai_-_Radhanath_Swami_1990-01-07_IDesireTree.mp3</v>
      </c>
      <c r="D99" s="24"/>
      <c r="E99" s="24"/>
    </row>
    <row r="100">
      <c r="A100" s="25" t="s">
        <v>18352</v>
      </c>
      <c r="B100" s="25" t="s">
        <v>18354</v>
      </c>
      <c r="C100" s="26" t="str">
        <f>HYPERLINK("https://audio.iskcondesiretree.com/02_-_ISKCON_Swamis/ISKCON_Swamis_-_R_to_Y/His_Holiness_Radhanath_Swami/Lectures/00_-_Year_wise/Devotional_Nectar_-_1990/1990-005_A_Leaf_a_Flower_A_fruit_IDesireTree_-_Radhanath_Swami.mp3", "1990-005_A_Leaf_a_Flower_A_fruit_IDesireTree_-_Radhanath_Swami.mp3")</f>
        <v>1990-005_A_Leaf_a_Flower_A_fruit_IDesireTree_-_Radhanath_Swami.mp3</v>
      </c>
      <c r="D100" s="24"/>
      <c r="E100" s="24"/>
    </row>
    <row r="101">
      <c r="A101" s="25" t="s">
        <v>18352</v>
      </c>
      <c r="B101" s="25" t="s">
        <v>18354</v>
      </c>
      <c r="C101" s="26" t="str">
        <f>HYPERLINK("https://audio.iskcondesiretree.com/02_-_ISKCON_Swamis/ISKCON_Swamis_-_R_to_Y/His_Holiness_Radhanath_Swami/Lectures/00_-_Year_wise/Devotional_Nectar_-_1990/1990-006_Spiritual_Progress_SB-07_13_45_Mumbai_-_Radhanath_Swami_1990-01-12_IDesireTree.mp3", "1990-006_Spiritual_Progress_SB-07_13_45_Mumbai_-_Radhanath_Swami_1990-01-12_IDesireTree.mp3")</f>
        <v>1990-006_Spiritual_Progress_SB-07_13_45_Mumbai_-_Radhanath_Swami_1990-01-12_IDesireTree.mp3</v>
      </c>
      <c r="D101" s="24"/>
      <c r="E101" s="24"/>
    </row>
    <row r="102">
      <c r="A102" s="25" t="s">
        <v>18352</v>
      </c>
      <c r="B102" s="25" t="s">
        <v>18354</v>
      </c>
      <c r="C102" s="26" t="str">
        <f>HYPERLINK("https://audio.iskcondesiretree.com/02_-_ISKCON_Swamis/ISKCON_Swamis_-_R_to_Y/His_Holiness_Radhanath_Swami/Lectures/00_-_Year_wise/Devotional_Nectar_-_1990/1990-007_Greatest_charity_to_others_Lecture_Mumbai_-_Radhanath_Swami_1990-01-14_IDesireTree.mp3", "1990-007_Greatest_charity_to_others_Lecture_Mumbai_-_Radhanath_Swami_1990-01-14_IDesireTree.mp3")</f>
        <v>1990-007_Greatest_charity_to_others_Lecture_Mumbai_-_Radhanath_Swami_1990-01-14_IDesireTree.mp3</v>
      </c>
      <c r="D102" s="24"/>
      <c r="E102" s="24"/>
    </row>
    <row r="103">
      <c r="A103" s="25" t="s">
        <v>18352</v>
      </c>
      <c r="B103" s="25" t="s">
        <v>18354</v>
      </c>
      <c r="C103" s="26" t="str">
        <f>HYPERLINK("https://audio.iskcondesiretree.com/02_-_ISKCON_Swamis/ISKCON_Swamis_-_R_to_Y/His_Holiness_Radhanath_Swami/Lectures/00_-_Year_wise/Devotional_Nectar_-_1990/1990-008_Why_I_Can%27t_Be_Like_That_SB-07_14_02_Mumbai_-_Radhanath_Swami_1990-01-15_IDesireTree.mp3", "1990-008_Why_I_Can%27t_Be_Like_That_SB-07_14_02_Mumbai_-_Radhanath_Swami_1990-01-15_IDesireTree.mp3")</f>
        <v>1990-008_Why_I_Can%27t_Be_Like_That_SB-07_14_02_Mumbai_-_Radhanath_Swami_1990-01-15_IDesireTree.mp3</v>
      </c>
      <c r="D103" s="24"/>
      <c r="E103" s="24"/>
    </row>
    <row r="104">
      <c r="A104" s="25" t="s">
        <v>18352</v>
      </c>
      <c r="B104" s="25" t="s">
        <v>18354</v>
      </c>
      <c r="C104" s="26" t="str">
        <f>HYPERLINK("https://audio.iskcondesiretree.com/02_-_ISKCON_Swamis/ISKCON_Swamis_-_R_to_Y/His_Holiness_Radhanath_Swami/Lectures/00_-_Year_wise/Devotional_Nectar_-_1990/1990-009_Finding_Peace_in_Chaos_Lecture_Mumbai_-_Radhanath_Swami_1990-01-17_IDesireTree.mp3", "1990-009_Finding_Peace_in_Chaos_Lecture_Mumbai_-_Radhanath_Swami_1990-01-17_IDesireTree.mp3")</f>
        <v>1990-009_Finding_Peace_in_Chaos_Lecture_Mumbai_-_Radhanath_Swami_1990-01-17_IDesireTree.mp3</v>
      </c>
      <c r="D104" s="24"/>
      <c r="E104" s="24"/>
    </row>
    <row r="105">
      <c r="A105" s="25" t="s">
        <v>18352</v>
      </c>
      <c r="B105" s="25" t="s">
        <v>18354</v>
      </c>
      <c r="C105" s="26" t="str">
        <f>HYPERLINK("https://audio.iskcondesiretree.com/02_-_ISKCON_Swamis/ISKCON_Swamis_-_R_to_Y/His_Holiness_Radhanath_Swami/Lectures/00_-_Year_wise/Devotional_Nectar_-_1990/1990-010_The_Essence_Of_Vedas_BNP-03_08_126_Pune_-_Radhanath_Swami_1990-01-19_IDesireTree.mp3", "1990-010_The_Essence_Of_Vedas_BNP-03_08_126_Pune_-_Radhanath_Swami_1990-01-19_IDesireTree.mp3")</f>
        <v>1990-010_The_Essence_Of_Vedas_BNP-03_08_126_Pune_-_Radhanath_Swami_1990-01-19_IDesireTree.mp3</v>
      </c>
      <c r="D105" s="24"/>
      <c r="E105" s="24"/>
    </row>
    <row r="106">
      <c r="A106" s="25" t="s">
        <v>18352</v>
      </c>
      <c r="B106" s="25" t="s">
        <v>18354</v>
      </c>
      <c r="C106" s="26" t="str">
        <f>HYPERLINK("https://audio.iskcondesiretree.com/02_-_ISKCON_Swamis/ISKCON_Swamis_-_R_to_Y/His_Holiness_Radhanath_Swami/Lectures/00_-_Year_wise/Devotional_Nectar_-_1990/1990-011_Why_Bhisma_Fought_Against_Pandavas_SB-01_09_16_Pune_-_20-01-90_IDesireTree.mp3", "1990-011_Why_Bhisma_Fought_Against_Pandavas_SB-01_09_16_Pune_-_20-01-90_IDesireTree.mp3")</f>
        <v>1990-011_Why_Bhisma_Fought_Against_Pandavas_SB-01_09_16_Pune_-_20-01-90_IDesireTree.mp3</v>
      </c>
      <c r="D106" s="24"/>
      <c r="E106" s="24"/>
    </row>
    <row r="107">
      <c r="A107" s="25" t="s">
        <v>18352</v>
      </c>
      <c r="B107" s="25" t="s">
        <v>18354</v>
      </c>
      <c r="C107" s="26" t="str">
        <f>HYPERLINK("https://audio.iskcondesiretree.com/02_-_ISKCON_Swamis/ISKCON_Swamis_-_R_to_Y/His_Holiness_Radhanath_Swami/Lectures/00_-_Year_wise/Devotional_Nectar_-_1990/1990-012_Greatest_Things_Is_To_Become_Servant_BG-06_47_-_Radhanath_Swami_1990-01-28_IDesireTree.mp3", "1990-012_Greatest_Things_Is_To_Become_Servant_BG-06_47_-_Radhanath_Swami_1990-01-28_IDesireTree.mp3")</f>
        <v>1990-012_Greatest_Things_Is_To_Become_Servant_BG-06_47_-_Radhanath_Swami_1990-01-28_IDesireTree.mp3</v>
      </c>
      <c r="D107" s="24"/>
      <c r="E107" s="24"/>
    </row>
    <row r="108">
      <c r="A108" s="25" t="s">
        <v>18352</v>
      </c>
      <c r="B108" s="25" t="s">
        <v>18354</v>
      </c>
      <c r="C108" s="26" t="str">
        <f>HYPERLINK("https://audio.iskcondesiretree.com/02_-_ISKCON_Swamis/ISKCON_Swamis_-_R_to_Y/His_Holiness_Radhanath_Swami/Lectures/00_-_Year_wise/Devotional_Nectar_-_1990/1990-013_The_Story_Of_Ajamila_Lecture_Mumbai_-_Radhanath_Swami_1990-01-28_IDesireTree.mp3", "1990-013_The_Story_Of_Ajamila_Lecture_Mumbai_-_Radhanath_Swami_1990-01-28_IDesireTree.mp3")</f>
        <v>1990-013_The_Story_Of_Ajamila_Lecture_Mumbai_-_Radhanath_Swami_1990-01-28_IDesireTree.mp3</v>
      </c>
      <c r="D108" s="24"/>
      <c r="E108" s="24"/>
    </row>
    <row r="109">
      <c r="A109" s="25" t="s">
        <v>18352</v>
      </c>
      <c r="B109" s="25" t="s">
        <v>18354</v>
      </c>
      <c r="C109" s="26" t="str">
        <f>HYPERLINK("https://audio.iskcondesiretree.com/02_-_ISKCON_Swamis/ISKCON_Swamis_-_R_to_Y/His_Holiness_Radhanath_Swami/Lectures/00_-_Year_wise/Devotional_Nectar_-_1990/1990-014_No_Pain_No_Gain_SB-07_14_18_-_Radhanath_Swami_1990-01-29_IDesireTree.mp3", "1990-014_No_Pain_No_Gain_SB-07_14_18_-_Radhanath_Swami_1990-01-29_IDesireTree.mp3")</f>
        <v>1990-014_No_Pain_No_Gain_SB-07_14_18_-_Radhanath_Swami_1990-01-29_IDesireTree.mp3</v>
      </c>
      <c r="D109" s="24"/>
      <c r="E109" s="24"/>
    </row>
    <row r="110">
      <c r="A110" s="25" t="s">
        <v>18352</v>
      </c>
      <c r="B110" s="25" t="s">
        <v>18354</v>
      </c>
      <c r="C110" s="26" t="str">
        <f>HYPERLINK("https://audio.iskcondesiretree.com/02_-_ISKCON_Swamis/ISKCON_Swamis_-_R_to_Y/His_Holiness_Radhanath_Swami/Lectures/00_-_Year_wise/Devotional_Nectar_-_1990/1990-015_The_Power_Of_Association_Of_Saintly_Persons_SB-07_14_29_Mumbai_-_01-02-90_IDesireTree.mp3", "1990-015_The_Power_Of_Association_Of_Saintly_Persons_SB-07_14_29_Mumbai_-_01-02-90_IDesireTree.mp3")</f>
        <v>1990-015_The_Power_Of_Association_Of_Saintly_Persons_SB-07_14_29_Mumbai_-_01-02-90_IDesireTree.mp3</v>
      </c>
      <c r="D110" s="24"/>
      <c r="E110" s="24"/>
    </row>
    <row r="111">
      <c r="A111" s="25" t="s">
        <v>18352</v>
      </c>
      <c r="B111" s="25" t="s">
        <v>18354</v>
      </c>
      <c r="C111" s="26" t="str">
        <f>HYPERLINK("https://audio.iskcondesiretree.com/02_-_ISKCON_Swamis/ISKCON_Swamis_-_R_to_Y/His_Holiness_Radhanath_Swami/Lectures/00_-_Year_wise/Devotional_Nectar_-_1990/1990-016_Afraid_To_Worship_Lord_Hari_Lecture_Mumbai_-_Radhanath_Swami_1990-02-03_IDesireTree.mp3", "1990-016_Afraid_To_Worship_Lord_Hari_Lecture_Mumbai_-_Radhanath_Swami_1990-02-03_IDesireTree.mp3")</f>
        <v>1990-016_Afraid_To_Worship_Lord_Hari_Lecture_Mumbai_-_Radhanath_Swami_1990-02-03_IDesireTree.mp3</v>
      </c>
      <c r="D111" s="24"/>
      <c r="E111" s="24"/>
    </row>
    <row r="112">
      <c r="A112" s="25" t="s">
        <v>18352</v>
      </c>
      <c r="B112" s="25" t="s">
        <v>18354</v>
      </c>
      <c r="C112" s="26" t="str">
        <f>HYPERLINK("https://audio.iskcondesiretree.com/02_-_ISKCON_Swamis/ISKCON_Swamis_-_R_to_Y/His_Holiness_Radhanath_Swami/Lectures/00_-_Year_wise/Devotional_Nectar_-_1990/1990-017_Cat_Dog_Camel_Lecture_Mumbai_-_Radhanath_Swami_1990-02-04_IDesireTree.mp3", "1990-017_Cat_Dog_Camel_Lecture_Mumbai_-_Radhanath_Swami_1990-02-04_IDesireTree.mp3")</f>
        <v>1990-017_Cat_Dog_Camel_Lecture_Mumbai_-_Radhanath_Swami_1990-02-04_IDesireTree.mp3</v>
      </c>
      <c r="D112" s="24"/>
      <c r="E112" s="24"/>
    </row>
    <row r="113">
      <c r="A113" s="25" t="s">
        <v>18352</v>
      </c>
      <c r="B113" s="25" t="s">
        <v>18354</v>
      </c>
      <c r="C113" s="26" t="str">
        <f>HYPERLINK("https://audio.iskcondesiretree.com/02_-_ISKCON_Swamis/ISKCON_Swamis_-_R_to_Y/His_Holiness_Radhanath_Swami/Lectures/00_-_Year_wise/Devotional_Nectar_-_1990/1990-018_Personalism_vs_Impersonalism_Lecture_Mumbai_-_Radhanath_Swami_1990-02-04_IDesireTree.mp3", "1990-018_Personalism_vs_Impersonalism_Lecture_Mumbai_-_Radhanath_Swami_1990-02-04_IDesireTree.mp3")</f>
        <v>1990-018_Personalism_vs_Impersonalism_Lecture_Mumbai_-_Radhanath_Swami_1990-02-04_IDesireTree.mp3</v>
      </c>
      <c r="D113" s="24"/>
      <c r="E113" s="24"/>
    </row>
    <row r="114">
      <c r="A114" s="25" t="s">
        <v>18352</v>
      </c>
      <c r="B114" s="25" t="s">
        <v>18354</v>
      </c>
      <c r="C114" s="26" t="str">
        <f>HYPERLINK("https://audio.iskcondesiretree.com/02_-_ISKCON_Swamis/ISKCON_Swamis_-_R_to_Y/His_Holiness_Radhanath_Swami/Lectures/00_-_Year_wise/Devotional_Nectar_-_1990/1990-019_Glories_of_the_Great_King_SB-07_14_35_Mumbai_-_Radhanath_Swami_1990-02-05_IDesireTree.mp3", "1990-019_Glories_of_the_Great_King_SB-07_14_35_Mumbai_-_Radhanath_Swami_1990-02-05_IDesireTree.mp3")</f>
        <v>1990-019_Glories_of_the_Great_King_SB-07_14_35_Mumbai_-_Radhanath_Swami_1990-02-05_IDesireTree.mp3</v>
      </c>
      <c r="D114" s="24"/>
      <c r="E114" s="24"/>
    </row>
    <row r="115">
      <c r="A115" s="25" t="s">
        <v>18352</v>
      </c>
      <c r="B115" s="25" t="s">
        <v>18354</v>
      </c>
      <c r="C115" s="26" t="str">
        <f>HYPERLINK("https://audio.iskcondesiretree.com/02_-_ISKCON_Swamis/ISKCON_Swamis_-_R_to_Y/His_Holiness_Radhanath_Swami/Lectures/00_-_Year_wise/Devotional_Nectar_-_1990/1990-020_The_Secret_Of_Proper_Chanting_SMSKM-2_Mumbai_-_Radhanath_Swami_1990-02-11_IDesireTree.mp3", "1990-020_The_Secret_Of_Proper_Chanting_SMSKM-2_Mumbai_-_Radhanath_Swami_1990-02-11_IDesireTree.mp3")</f>
        <v>1990-020_The_Secret_Of_Proper_Chanting_SMSKM-2_Mumbai_-_Radhanath_Swami_1990-02-11_IDesireTree.mp3</v>
      </c>
      <c r="D115" s="24"/>
      <c r="E115" s="24"/>
    </row>
    <row r="116">
      <c r="A116" s="25" t="s">
        <v>18352</v>
      </c>
      <c r="B116" s="25" t="s">
        <v>18354</v>
      </c>
      <c r="C116" s="26" t="str">
        <f>HYPERLINK("https://audio.iskcondesiretree.com/02_-_ISKCON_Swamis/ISKCON_Swamis_-_R_to_Y/His_Holiness_Radhanath_Swami/Lectures/00_-_Year_wise/Devotional_Nectar_-_1990/1990-021_If_You_Are_Looking_For_Krishna_You_Will_Find_Him_SB-10_14_Mumbai_-_17-02-90_IDesireTree.mp3", "1990-021_If_You_Are_Looking_For_Krishna_You_Will_Find_Him_SB-10_14_Mumbai_-_17-02-90_IDesireTree.mp3")</f>
        <v>1990-021_If_You_Are_Looking_For_Krishna_You_Will_Find_Him_SB-10_14_Mumbai_-_17-02-90_IDesireTree.mp3</v>
      </c>
      <c r="D116" s="24"/>
      <c r="E116" s="24"/>
    </row>
    <row r="117">
      <c r="A117" s="25" t="s">
        <v>18352</v>
      </c>
      <c r="B117" s="25" t="s">
        <v>18354</v>
      </c>
      <c r="C117" s="26" t="str">
        <f>HYPERLINK("https://audio.iskcondesiretree.com/02_-_ISKCON_Swamis/ISKCON_Swamis_-_R_to_Y/His_Holiness_Radhanath_Swami/Lectures/00_-_Year_wise/Devotional_Nectar_-_1990/1990-022_Lord_Nityananda_Appearance_Day_VS-1_1_12_Mumbai_-_17-02-90_IDesireTree.mp3", "1990-022_Lord_Nityananda_Appearance_Day_VS-1_1_12_Mumbai_-_17-02-90_IDesireTree.mp3")</f>
        <v>1990-022_Lord_Nityananda_Appearance_Day_VS-1_1_12_Mumbai_-_17-02-90_IDesireTree.mp3</v>
      </c>
      <c r="D117" s="24"/>
      <c r="E117" s="24"/>
    </row>
    <row r="118">
      <c r="A118" s="25" t="s">
        <v>18352</v>
      </c>
      <c r="B118" s="25" t="s">
        <v>18354</v>
      </c>
      <c r="C118" s="26" t="str">
        <f>HYPERLINK("https://audio.iskcondesiretree.com/02_-_ISKCON_Swamis/ISKCON_Swamis_-_R_to_Y/His_Holiness_Radhanath_Swami/Lectures/00_-_Year_wise/Devotional_Nectar_-_1990/1990-023_Discipline_BG-02_64_Mumbai_-_Radhanath_Swami_1990-02-19_IDesireTree.mp3", "1990-023_Discipline_BG-02_64_Mumbai_-_Radhanath_Swami_1990-02-19_IDesireTree.mp3")</f>
        <v>1990-023_Discipline_BG-02_64_Mumbai_-_Radhanath_Swami_1990-02-19_IDesireTree.mp3</v>
      </c>
      <c r="D118" s="24"/>
      <c r="E118" s="24"/>
    </row>
    <row r="119">
      <c r="A119" s="25" t="s">
        <v>18352</v>
      </c>
      <c r="B119" s="25" t="s">
        <v>18354</v>
      </c>
      <c r="C119" s="26" t="str">
        <f>HYPERLINK("https://audio.iskcondesiretree.com/02_-_ISKCON_Swamis/ISKCON_Swamis_-_R_to_Y/His_Holiness_Radhanath_Swami/Lectures/00_-_Year_wise/Devotional_Nectar_-_1990/1990-024_Making_Chicago_Into_Vaikuntha_MT_-_Lecture_Mumbai_-_22-02-90_IDesireTree.mp3", "1990-024_Making_Chicago_Into_Vaikuntha_MT_-_Lecture_Mumbai_-_22-02-90_IDesireTree.mp3")</f>
        <v>1990-024_Making_Chicago_Into_Vaikuntha_MT_-_Lecture_Mumbai_-_22-02-90_IDesireTree.mp3</v>
      </c>
      <c r="D119" s="24"/>
      <c r="E119" s="24"/>
    </row>
    <row r="120">
      <c r="A120" s="25" t="s">
        <v>18352</v>
      </c>
      <c r="B120" s="25" t="s">
        <v>18354</v>
      </c>
      <c r="C120" s="26" t="str">
        <f>HYPERLINK("https://audio.iskcondesiretree.com/02_-_ISKCON_Swamis/ISKCON_Swamis_-_R_to_Y/His_Holiness_Radhanath_Swami/Lectures/00_-_Year_wise/Devotional_Nectar_-_1990/1990-025_Vyasa_Puja_BVM_1_-_Radhanath_Swami_IDesireTree.mp3", "1990-025_Vyasa_Puja_BVM_1_-_Radhanath_Swami_IDesireTree.mp3")</f>
        <v>1990-025_Vyasa_Puja_BVM_1_-_Radhanath_Swami_IDesireTree.mp3</v>
      </c>
      <c r="D120" s="24"/>
      <c r="E120" s="24"/>
    </row>
    <row r="121">
      <c r="A121" s="25" t="s">
        <v>18352</v>
      </c>
      <c r="B121" s="25" t="s">
        <v>18354</v>
      </c>
      <c r="C121" s="26" t="str">
        <f>HYPERLINK("https://audio.iskcondesiretree.com/02_-_ISKCON_Swamis/ISKCON_Swamis_-_R_to_Y/His_Holiness_Radhanath_Swami/Lectures/00_-_Year_wise/Devotional_Nectar_-_1990/1990-026_For_His_Pleasure_CC_-_Radhanath_Swami_IDesireTree.mp3", "1990-026_For_His_Pleasure_CC_-_Radhanath_Swami_IDesireTree.mp3")</f>
        <v>1990-026_For_His_Pleasure_CC_-_Radhanath_Swami_IDesireTree.mp3</v>
      </c>
      <c r="D121" s="24"/>
      <c r="E121" s="24"/>
    </row>
    <row r="122">
      <c r="A122" s="25" t="s">
        <v>18352</v>
      </c>
      <c r="B122" s="25" t="s">
        <v>18354</v>
      </c>
      <c r="C122" s="26" t="str">
        <f>HYPERLINK("https://audio.iskcondesiretree.com/02_-_ISKCON_Swamis/ISKCON_Swamis_-_R_to_Y/His_Holiness_Radhanath_Swami/Lectures/00_-_Year_wise/Devotional_Nectar_-_1990/1990-027_Who_Is_Perfect_Yogi_BG-06_32_Mumbai_-_Radhanath_Swami_1990-03-11_IDesireTree.mp3", "1990-027_Who_Is_Perfect_Yogi_BG-06_32_Mumbai_-_Radhanath_Swami_1990-03-11_IDesireTree.mp3")</f>
        <v>1990-027_Who_Is_Perfect_Yogi_BG-06_32_Mumbai_-_Radhanath_Swami_1990-03-11_IDesireTree.mp3</v>
      </c>
      <c r="D122" s="24"/>
      <c r="E122" s="24"/>
    </row>
    <row r="123">
      <c r="A123" s="25" t="s">
        <v>18352</v>
      </c>
      <c r="B123" s="25" t="s">
        <v>18354</v>
      </c>
      <c r="C123" s="26" t="str">
        <f>HYPERLINK("https://audio.iskcondesiretree.com/02_-_ISKCON_Swamis/ISKCON_Swamis_-_R_to_Y/His_Holiness_Radhanath_Swami/Lectures/00_-_Year_wise/Devotional_Nectar_-_1990/1990-028_The_Only_Qaulification_Required_Lecture_Mumbai_-_Radhanath_Swami_1990-03-11_IDesireTree.mp3", "1990-028_The_Only_Qaulification_Required_Lecture_Mumbai_-_Radhanath_Swami_1990-03-11_IDesireTree.mp3")</f>
        <v>1990-028_The_Only_Qaulification_Required_Lecture_Mumbai_-_Radhanath_Swami_1990-03-11_IDesireTree.mp3</v>
      </c>
      <c r="D123" s="24"/>
      <c r="E123" s="24"/>
    </row>
    <row r="124">
      <c r="A124" s="25" t="s">
        <v>18352</v>
      </c>
      <c r="B124" s="25" t="s">
        <v>18354</v>
      </c>
      <c r="C124" s="26" t="str">
        <f>HYPERLINK("https://audio.iskcondesiretree.com/02_-_ISKCON_Swamis/ISKCON_Swamis_-_R_to_Y/His_Holiness_Radhanath_Swami/Lectures/00_-_Year_wise/Devotional_Nectar_-_1990/1990-029_Lord_Chaitanya-_Incarnation_Of_Lord_Sri_Krishna_Lecture_Mumbai_-_11-03-90_IDesireTree.mp3", "1990-029_Lord_Chaitanya-_Incarnation_Of_Lord_Sri_Krishna_Lecture_Mumbai_-_11-03-90_IDesireTree.mp3")</f>
        <v>1990-029_Lord_Chaitanya-_Incarnation_Of_Lord_Sri_Krishna_Lecture_Mumbai_-_11-03-90_IDesireTree.mp3</v>
      </c>
      <c r="D124" s="24"/>
      <c r="E124" s="24"/>
    </row>
    <row r="125">
      <c r="A125" s="25" t="s">
        <v>18352</v>
      </c>
      <c r="B125" s="25" t="s">
        <v>18354</v>
      </c>
      <c r="C125" s="26" t="str">
        <f>HYPERLINK("https://audio.iskcondesiretree.com/02_-_ISKCON_Swamis/ISKCON_Swamis_-_R_to_Y/His_Holiness_Radhanath_Swami/Lectures/00_-_Year_wise/Devotional_Nectar_-_1990/1990-030_Six_Characteristics_Of_Pure_Devotional_Service_Lecture_Mumbai_-_18-03-90_IDesireTree.mp3", "1990-030_Six_Characteristics_Of_Pure_Devotional_Service_Lecture_Mumbai_-_18-03-90_IDesireTree.mp3")</f>
        <v>1990-030_Six_Characteristics_Of_Pure_Devotional_Service_Lecture_Mumbai_-_18-03-90_IDesireTree.mp3</v>
      </c>
      <c r="D125" s="24"/>
      <c r="E125" s="24"/>
    </row>
    <row r="126">
      <c r="A126" s="25" t="s">
        <v>18352</v>
      </c>
      <c r="B126" s="25" t="s">
        <v>18354</v>
      </c>
      <c r="C126" s="26" t="str">
        <f>HYPERLINK("https://audio.iskcondesiretree.com/02_-_ISKCON_Swamis/ISKCON_Swamis_-_R_to_Y/His_Holiness_Radhanath_Swami/Lectures/00_-_Year_wise/Devotional_Nectar_-_1990/1990-031_The_Real_Vairagya_SB-07_14_46_Mumbai_-_Radhanath_Swami_1990-03-21_IDesireTree.mp3", "1990-031_The_Real_Vairagya_SB-07_14_46_Mumbai_-_Radhanath_Swami_1990-03-21_IDesireTree.mp3")</f>
        <v>1990-031_The_Real_Vairagya_SB-07_14_46_Mumbai_-_Radhanath_Swami_1990-03-21_IDesireTree.mp3</v>
      </c>
      <c r="D126" s="24"/>
      <c r="E126" s="24"/>
    </row>
    <row r="127">
      <c r="A127" s="25" t="s">
        <v>18352</v>
      </c>
      <c r="B127" s="25" t="s">
        <v>18354</v>
      </c>
      <c r="C127" s="26" t="str">
        <f>HYPERLINK("https://audio.iskcondesiretree.com/02_-_ISKCON_Swamis/ISKCON_Swamis_-_R_to_Y/His_Holiness_Radhanath_Swami/Lectures/00_-_Year_wise/Devotional_Nectar_-_1990/1990-032_Apparent_Contradiction_In_Scriptures_SB-07_15_47_Mumbai_-_22-03-90_IDesireTree.mp3", "1990-032_Apparent_Contradiction_In_Scriptures_SB-07_15_47_Mumbai_-_22-03-90_IDesireTree.mp3")</f>
        <v>1990-032_Apparent_Contradiction_In_Scriptures_SB-07_15_47_Mumbai_-_22-03-90_IDesireTree.mp3</v>
      </c>
      <c r="D127" s="24"/>
      <c r="E127" s="24"/>
    </row>
    <row r="128">
      <c r="A128" s="25" t="s">
        <v>18352</v>
      </c>
      <c r="B128" s="25" t="s">
        <v>18354</v>
      </c>
      <c r="C128" s="26" t="str">
        <f>HYPERLINK("https://audio.iskcondesiretree.com/02_-_ISKCON_Swamis/ISKCON_Swamis_-_R_to_Y/His_Holiness_Radhanath_Swami/Lectures/00_-_Year_wise/Devotional_Nectar_-_1990/1990-033_Purification_SB-07_15_52_Mumbai_-_Radhanath_Swami_1990-03-24_IDesireTree.mp3", "1990-033_Purification_SB-07_15_52_Mumbai_-_Radhanath_Swami_1990-03-24_IDesireTree.mp3")</f>
        <v>1990-033_Purification_SB-07_15_52_Mumbai_-_Radhanath_Swami_1990-03-24_IDesireTree.mp3</v>
      </c>
      <c r="D128" s="24"/>
      <c r="E128" s="24"/>
    </row>
    <row r="129">
      <c r="A129" s="25" t="s">
        <v>18352</v>
      </c>
      <c r="B129" s="25" t="s">
        <v>18354</v>
      </c>
      <c r="C129" s="26" t="str">
        <f>HYPERLINK("https://audio.iskcondesiretree.com/02_-_ISKCON_Swamis/ISKCON_Swamis_-_R_to_Y/His_Holiness_Radhanath_Swami/Lectures/00_-_Year_wise/Devotional_Nectar_-_1990/1990-034_Explaining_Different_Philosophies_SB-07_15_58_Mumbai_-_25-03-90_IDesireTree.mp3", "1990-034_Explaining_Different_Philosophies_SB-07_15_58_Mumbai_-_25-03-90_IDesireTree.mp3")</f>
        <v>1990-034_Explaining_Different_Philosophies_SB-07_15_58_Mumbai_-_25-03-90_IDesireTree.mp3</v>
      </c>
      <c r="D129" s="24"/>
      <c r="E129" s="24"/>
    </row>
    <row r="130">
      <c r="A130" s="25" t="s">
        <v>18352</v>
      </c>
      <c r="B130" s="25" t="s">
        <v>18354</v>
      </c>
      <c r="C130" s="26" t="str">
        <f>HYPERLINK("https://audio.iskcondesiretree.com/02_-_ISKCON_Swamis/ISKCON_Swamis_-_R_to_Y/His_Holiness_Radhanath_Swami/Lectures/00_-_Year_wise/Devotional_Nectar_-_1990/1990-035_Nourishing_The_Spiritual_Plant_SB-07_15_52_Mumbai_-_25-03-90_IDesireTree.mp3", "1990-035_Nourishing_The_Spiritual_Plant_SB-07_15_52_Mumbai_-_25-03-90_IDesireTree.mp3")</f>
        <v>1990-035_Nourishing_The_Spiritual_Plant_SB-07_15_52_Mumbai_-_25-03-90_IDesireTree.mp3</v>
      </c>
      <c r="D130" s="24"/>
      <c r="E130" s="24"/>
    </row>
    <row r="131">
      <c r="A131" s="25" t="s">
        <v>18352</v>
      </c>
      <c r="B131" s="25" t="s">
        <v>18354</v>
      </c>
      <c r="C131" s="26" t="str">
        <f>HYPERLINK("https://audio.iskcondesiretree.com/02_-_ISKCON_Swamis/ISKCON_Swamis_-_R_to_Y/His_Holiness_Radhanath_Swami/Lectures/00_-_Year_wise/Devotional_Nectar_-_1990/1990-036_Don%27t_Complain_SB-07_15_72_Mumbai_-_Radhanath_Swami_1990-03-26_IDesireTree.mp3", "1990-036_Don%27t_Complain_SB-07_15_72_Mumbai_-_Radhanath_Swami_1990-03-26_IDesireTree.mp3")</f>
        <v>1990-036_Don%27t_Complain_SB-07_15_72_Mumbai_-_Radhanath_Swami_1990-03-26_IDesireTree.mp3</v>
      </c>
      <c r="D131" s="24"/>
      <c r="E131" s="24"/>
    </row>
    <row r="132">
      <c r="A132" s="25" t="s">
        <v>18352</v>
      </c>
      <c r="B132" s="25" t="s">
        <v>18354</v>
      </c>
      <c r="C132" s="26" t="str">
        <f>HYPERLINK("https://audio.iskcondesiretree.com/02_-_ISKCON_Swamis/ISKCON_Swamis_-_R_to_Y/His_Holiness_Radhanath_Swami/Lectures/00_-_Year_wise/Devotional_Nectar_-_1990/1990-037_The_Key_To_Success_SB-07_15_58_Mumbai_-_Radhanath_Swami_1990-04-08_IDesireTree.mp3", "1990-037_The_Key_To_Success_SB-07_15_58_Mumbai_-_Radhanath_Swami_1990-04-08_IDesireTree.mp3")</f>
        <v>1990-037_The_Key_To_Success_SB-07_15_58_Mumbai_-_Radhanath_Swami_1990-04-08_IDesireTree.mp3</v>
      </c>
      <c r="D132" s="24"/>
      <c r="E132" s="24"/>
    </row>
    <row r="133">
      <c r="A133" s="25" t="s">
        <v>18352</v>
      </c>
      <c r="B133" s="25" t="s">
        <v>18354</v>
      </c>
      <c r="C133" s="26" t="str">
        <f>HYPERLINK("https://audio.iskcondesiretree.com/02_-_ISKCON_Swamis/ISKCON_Swamis_-_R_to_Y/His_Holiness_Radhanath_Swami/Lectures/00_-_Year_wise/Devotional_Nectar_-_1990/1990-038_Krishna_Is_The_Doer_Lecture_Mumbai_-_Anil_Bankade%27s_Residence_-_10-04-90_IDesireTree.mp3", "1990-038_Krishna_Is_The_Doer_Lecture_Mumbai_-_Anil_Bankade%27s_Residence_-_10-04-90_IDesireTree.mp3")</f>
        <v>1990-038_Krishna_Is_The_Doer_Lecture_Mumbai_-_Anil_Bankade%27s_Residence_-_10-04-90_IDesireTree.mp3</v>
      </c>
      <c r="D133" s="24"/>
      <c r="E133" s="24"/>
    </row>
    <row r="134">
      <c r="A134" s="25" t="s">
        <v>18352</v>
      </c>
      <c r="B134" s="25" t="s">
        <v>18354</v>
      </c>
      <c r="C134" s="26" t="str">
        <f>HYPERLINK("https://audio.iskcondesiretree.com/02_-_ISKCON_Swamis/ISKCON_Swamis_-_R_to_Y/His_Holiness_Radhanath_Swami/Lectures/00_-_Year_wise/Devotional_Nectar_-_1990/1990-039_Pleasing_Krishna_And_His_Devotees_SB-07_15_77_Mumbai_-_14-04-90_IDesireTree.mp3", "1990-039_Pleasing_Krishna_And_His_Devotees_SB-07_15_77_Mumbai_-_14-04-90_IDesireTree.mp3")</f>
        <v>1990-039_Pleasing_Krishna_And_His_Devotees_SB-07_15_77_Mumbai_-_14-04-90_IDesireTree.mp3</v>
      </c>
      <c r="D134" s="24"/>
      <c r="E134" s="24"/>
    </row>
    <row r="135">
      <c r="A135" s="25" t="s">
        <v>18352</v>
      </c>
      <c r="B135" s="25" t="s">
        <v>18354</v>
      </c>
      <c r="C135" s="26" t="str">
        <f>HYPERLINK("https://audio.iskcondesiretree.com/02_-_ISKCON_Swamis/ISKCON_Swamis_-_R_to_Y/His_Holiness_Radhanath_Swami/Lectures/00_-_Year_wise/Devotional_Nectar_-_1990/1990-040_Everything_Is_In_Krishna_BG-02_44_Mumbai_-_Radhanath_Swami_1990-04-14_IDesireTree.mp3", "1990-040_Everything_Is_In_Krishna_BG-02_44_Mumbai_-_Radhanath_Swami_1990-04-14_IDesireTree.mp3")</f>
        <v>1990-040_Everything_Is_In_Krishna_BG-02_44_Mumbai_-_Radhanath_Swami_1990-04-14_IDesireTree.mp3</v>
      </c>
      <c r="D135" s="24"/>
      <c r="E135" s="24"/>
    </row>
    <row r="136">
      <c r="A136" s="25" t="s">
        <v>18352</v>
      </c>
      <c r="B136" s="25" t="s">
        <v>18354</v>
      </c>
      <c r="C136" s="26" t="str">
        <f>HYPERLINK("https://audio.iskcondesiretree.com/02_-_ISKCON_Swamis/ISKCON_Swamis_-_R_to_Y/His_Holiness_Radhanath_Swami/Lectures/00_-_Year_wise/Devotional_Nectar_-_1990/1990-041_Lord_Rama_BG-04_10_Mumbai_-_Radhanath_Swami_1990-04-18_IDesireTree.mp3", "1990-041_Lord_Rama_BG-04_10_Mumbai_-_Radhanath_Swami_1990-04-18_IDesireTree.mp3")</f>
        <v>1990-041_Lord_Rama_BG-04_10_Mumbai_-_Radhanath_Swami_1990-04-18_IDesireTree.mp3</v>
      </c>
      <c r="D136" s="24"/>
      <c r="E136" s="24"/>
    </row>
    <row r="137">
      <c r="A137" s="25" t="s">
        <v>18352</v>
      </c>
      <c r="B137" s="25" t="s">
        <v>18354</v>
      </c>
      <c r="C137" s="26" t="str">
        <f>HYPERLINK("https://audio.iskcondesiretree.com/02_-_ISKCON_Swamis/ISKCON_Swamis_-_R_to_Y/His_Holiness_Radhanath_Swami/Lectures/00_-_Year_wise/Devotional_Nectar_-_1990/1990-042_Cultivating_Ignorance_BG-14_19_Mumbai_-_Radhanath_Swami_1990-04-22_IDesireTree.mp3", "1990-042_Cultivating_Ignorance_BG-14_19_Mumbai_-_Radhanath_Swami_1990-04-22_IDesireTree.mp3")</f>
        <v>1990-042_Cultivating_Ignorance_BG-14_19_Mumbai_-_Radhanath_Swami_1990-04-22_IDesireTree.mp3</v>
      </c>
      <c r="D137" s="24"/>
      <c r="E137" s="24"/>
    </row>
    <row r="138">
      <c r="A138" s="25" t="s">
        <v>18352</v>
      </c>
      <c r="B138" s="25" t="s">
        <v>18354</v>
      </c>
      <c r="C138" s="26" t="str">
        <f>HYPERLINK("https://audio.iskcondesiretree.com/02_-_ISKCON_Swamis/ISKCON_Swamis_-_R_to_Y/His_Holiness_Radhanath_Swami/Lectures/00_-_Year_wise/Devotional_Nectar_-_1990/1990-043_Krishna_Is_Your_Ever_Well_Wisher_SB-08_01_10_Mumbai_-_25-04-90_IDesireTree.mp3", "1990-043_Krishna_Is_Your_Ever_Well_Wisher_SB-08_01_10_Mumbai_-_25-04-90_IDesireTree.mp3")</f>
        <v>1990-043_Krishna_Is_Your_Ever_Well_Wisher_SB-08_01_10_Mumbai_-_25-04-90_IDesireTree.mp3</v>
      </c>
      <c r="D138" s="24"/>
      <c r="E138" s="24"/>
    </row>
    <row r="139">
      <c r="A139" s="25" t="s">
        <v>18352</v>
      </c>
      <c r="B139" s="25" t="s">
        <v>18354</v>
      </c>
      <c r="C139" s="26" t="str">
        <f>HYPERLINK("https://audio.iskcondesiretree.com/02_-_ISKCON_Swamis/ISKCON_Swamis_-_R_to_Y/His_Holiness_Radhanath_Swami/Lectures/00_-_Year_wise/Devotional_Nectar_-_1990/1990-044_Perceiving_The_Paramatma_SB-08_01_11_Mumbai_-_Radhanath_Swami_1990-04-26_IDesireTree.mp3", "1990-044_Perceiving_The_Paramatma_SB-08_01_11_Mumbai_-_Radhanath_Swami_1990-04-26_IDesireTree.mp3")</f>
        <v>1990-044_Perceiving_The_Paramatma_SB-08_01_11_Mumbai_-_Radhanath_Swami_1990-04-26_IDesireTree.mp3</v>
      </c>
      <c r="D139" s="24"/>
      <c r="E139" s="24"/>
    </row>
    <row r="140">
      <c r="A140" s="25" t="s">
        <v>18352</v>
      </c>
      <c r="B140" s="25" t="s">
        <v>18354</v>
      </c>
      <c r="C140" s="26" t="str">
        <f>HYPERLINK("https://audio.iskcondesiretree.com/02_-_ISKCON_Swamis/ISKCON_Swamis_-_R_to_Y/His_Holiness_Radhanath_Swami/Lectures/00_-_Year_wise/Devotional_Nectar_-_1990/1990-045_Transcendental_Q%26A_Mumbai_-_Radhanath_Swami_1990-04-26_IDesireTree.mp3", "1990-045_Transcendental_Q%26A_Mumbai_-_Radhanath_Swami_1990-04-26_IDesireTree.mp3")</f>
        <v>1990-045_Transcendental_Q%26A_Mumbai_-_Radhanath_Swami_1990-04-26_IDesireTree.mp3</v>
      </c>
      <c r="D140" s="24"/>
      <c r="E140" s="24"/>
    </row>
    <row r="141">
      <c r="A141" s="25" t="s">
        <v>18352</v>
      </c>
      <c r="B141" s="25" t="s">
        <v>18354</v>
      </c>
      <c r="C141" s="26" t="str">
        <f>HYPERLINK("https://audio.iskcondesiretree.com/02_-_ISKCON_Swamis/ISKCON_Swamis_-_R_to_Y/His_Holiness_Radhanath_Swami/Lectures/00_-_Year_wise/Devotional_Nectar_-_1990/1990-046_Increasing_Hardshirs_out_Of_Love_SB-08_01_13_Mumbai_-_27-04-90_IDesireTree.mp3", "1990-046_Increasing_Hardshirs_out_Of_Love_SB-08_01_13_Mumbai_-_27-04-90_IDesireTree.mp3")</f>
        <v>1990-046_Increasing_Hardshirs_out_Of_Love_SB-08_01_13_Mumbai_-_27-04-90_IDesireTree.mp3</v>
      </c>
      <c r="D141" s="24"/>
      <c r="E141" s="24"/>
    </row>
    <row r="142">
      <c r="A142" s="25" t="s">
        <v>18352</v>
      </c>
      <c r="B142" s="25" t="s">
        <v>18354</v>
      </c>
      <c r="C142" s="26" t="str">
        <f>HYPERLINK("https://audio.iskcondesiretree.com/02_-_ISKCON_Swamis/ISKCON_Swamis_-_R_to_Y/His_Holiness_Radhanath_Swami/Lectures/00_-_Year_wise/Devotional_Nectar_-_1990/1990-047_How_To_Begin_Spiritual_Life_Lecture_Mumbai_-_Radhanath_Swami_1990-04-28_IDesireTree.mp3", "1990-047_How_To_Begin_Spiritual_Life_Lecture_Mumbai_-_Radhanath_Swami_1990-04-28_IDesireTree.mp3")</f>
        <v>1990-047_How_To_Begin_Spiritual_Life_Lecture_Mumbai_-_Radhanath_Swami_1990-04-28_IDesireTree.mp3</v>
      </c>
      <c r="D142" s="24"/>
      <c r="E142" s="24"/>
    </row>
    <row r="143">
      <c r="A143" s="25" t="s">
        <v>18352</v>
      </c>
      <c r="B143" s="25" t="s">
        <v>18354</v>
      </c>
      <c r="C143" s="26" t="str">
        <f>HYPERLINK("https://audio.iskcondesiretree.com/02_-_ISKCON_Swamis/ISKCON_Swamis_-_R_to_Y/His_Holiness_Radhanath_Swami/Lectures/00_-_Year_wise/Devotional_Nectar_-_1990/1990-048_For_his_Pleasure_BG-09_27_Mumbai_-_Radhanath_Swami_1990-04-29_IDesireTree.mp3", "1990-048_For_his_Pleasure_BG-09_27_Mumbai_-_Radhanath_Swami_1990-04-29_IDesireTree.mp3")</f>
        <v>1990-048_For_his_Pleasure_BG-09_27_Mumbai_-_Radhanath_Swami_1990-04-29_IDesireTree.mp3</v>
      </c>
      <c r="D143" s="24"/>
      <c r="E143" s="24"/>
    </row>
    <row r="144">
      <c r="A144" s="25" t="s">
        <v>18352</v>
      </c>
      <c r="B144" s="25" t="s">
        <v>18354</v>
      </c>
      <c r="C144" s="26" t="str">
        <f>HYPERLINK("https://audio.iskcondesiretree.com/02_-_ISKCON_Swamis/ISKCON_Swamis_-_R_to_Y/His_Holiness_Radhanath_Swami/Lectures/00_-_Year_wise/Devotional_Nectar_-_1990/1990-049_Krsna_Needs_Your_Surrender_SB-08-01-15_Mumbai_-_1990-04-30_IDesireTree.mp3", "1990-049_Krsna_Needs_Your_Surrender_SB-08-01-15_Mumbai_-_1990-04-30_IDesireTree.mp3")</f>
        <v>1990-049_Krsna_Needs_Your_Surrender_SB-08-01-15_Mumbai_-_1990-04-30_IDesireTree.mp3</v>
      </c>
      <c r="D144" s="24"/>
      <c r="E144" s="24"/>
    </row>
    <row r="145">
      <c r="A145" s="25" t="s">
        <v>18352</v>
      </c>
      <c r="B145" s="25" t="s">
        <v>18354</v>
      </c>
      <c r="C145" s="26" t="str">
        <f>HYPERLINK("https://audio.iskcondesiretree.com/02_-_ISKCON_Swamis/ISKCON_Swamis_-_R_to_Y/His_Holiness_Radhanath_Swami/Lectures/00_-_Year_wise/Devotional_Nectar_-_1990/1990-050_Controlling_Others-_Greatest_Sense_Gratification_SB-08_01_17-18_Mumbai_-_02-05-90_IDesireTr"&amp;"ee.mp3", "1990-050_Controlling_Others-_Greatest_Sense_Gratification_SB-08_01_17-18_Mumbai_-_02-05-90_IDesireTree.mp3")</f>
        <v>1990-050_Controlling_Others-_Greatest_Sense_Gratification_SB-08_01_17-18_Mumbai_-_02-05-90_IDesireTree.mp3</v>
      </c>
      <c r="D145" s="24"/>
      <c r="E145" s="24"/>
    </row>
    <row r="146">
      <c r="A146" s="25" t="s">
        <v>18352</v>
      </c>
      <c r="B146" s="25" t="s">
        <v>18354</v>
      </c>
      <c r="C146" s="26" t="str">
        <f>HYPERLINK("https://audio.iskcondesiretree.com/02_-_ISKCON_Swamis/ISKCON_Swamis_-_R_to_Y/His_Holiness_Radhanath_Swami/Lectures/00_-_Year_wise/Devotional_Nectar_-_1990/1990-051_What_Surrender_Means_SB-08_02_31-32_Mumbai_-_Radhanath_Swami_1990-05-20_IDesireTree.mp3", "1990-051_What_Surrender_Means_SB-08_02_31-32_Mumbai_-_Radhanath_Swami_1990-05-20_IDesireTree.mp3")</f>
        <v>1990-051_What_Surrender_Means_SB-08_02_31-32_Mumbai_-_Radhanath_Swami_1990-05-20_IDesireTree.mp3</v>
      </c>
      <c r="D146" s="24"/>
      <c r="E146" s="24"/>
    </row>
    <row r="147">
      <c r="A147" s="25" t="s">
        <v>18352</v>
      </c>
      <c r="B147" s="25" t="s">
        <v>18354</v>
      </c>
      <c r="C147" s="26" t="str">
        <f>HYPERLINK("https://audio.iskcondesiretree.com/02_-_ISKCON_Swamis/ISKCON_Swamis_-_R_to_Y/His_Holiness_Radhanath_Swami/Lectures/00_-_Year_wise/Devotional_Nectar_-_1990/1990-052_Krishna_Never_Leaves_His_Devotees_BG-09_13_Mumbai_-_20-05-90_IDesireTree.mp3", "1990-052_Krishna_Never_Leaves_His_Devotees_BG-09_13_Mumbai_-_20-05-90_IDesireTree.mp3")</f>
        <v>1990-052_Krishna_Never_Leaves_His_Devotees_BG-09_13_Mumbai_-_20-05-90_IDesireTree.mp3</v>
      </c>
      <c r="D147" s="24"/>
      <c r="E147" s="24"/>
    </row>
    <row r="148">
      <c r="A148" s="25" t="s">
        <v>18352</v>
      </c>
      <c r="B148" s="25" t="s">
        <v>18354</v>
      </c>
      <c r="C148" s="26" t="str">
        <f>HYPERLINK("https://audio.iskcondesiretree.com/02_-_ISKCON_Swamis/ISKCON_Swamis_-_R_to_Y/His_Holiness_Radhanath_Swami/Lectures/00_-_Year_wise/Devotional_Nectar_-_1990/1990-053_Devotees_Are_Undisturbed_Lecture_Mumbai_-_Radhanath_Swami_1990-05-25_IDesireTree.mp3", "1990-053_Devotees_Are_Undisturbed_Lecture_Mumbai_-_Radhanath_Swami_1990-05-25_IDesireTree.mp3")</f>
        <v>1990-053_Devotees_Are_Undisturbed_Lecture_Mumbai_-_Radhanath_Swami_1990-05-25_IDesireTree.mp3</v>
      </c>
      <c r="D148" s="24"/>
      <c r="E148" s="24"/>
    </row>
    <row r="149">
      <c r="A149" s="25" t="s">
        <v>18352</v>
      </c>
      <c r="B149" s="25" t="s">
        <v>18354</v>
      </c>
      <c r="C149" s="26" t="str">
        <f>HYPERLINK("https://audio.iskcondesiretree.com/02_-_ISKCON_Swamis/ISKCON_Swamis_-_R_to_Y/His_Holiness_Radhanath_Swami/Lectures/00_-_Year_wise/Devotional_Nectar_-_1990/1990-054_Maya_comes_in_Disguise_SB-NV_-_Radhanath_Swami_1990-06-20_IDesireTree.mp3", "1990-054_Maya_comes_in_Disguise_SB-NV_-_Radhanath_Swami_1990-06-20_IDesireTree.mp3")</f>
        <v>1990-054_Maya_comes_in_Disguise_SB-NV_-_Radhanath_Swami_1990-06-20_IDesireTree.mp3</v>
      </c>
      <c r="D149" s="24"/>
      <c r="E149" s="24"/>
    </row>
    <row r="150">
      <c r="A150" s="25" t="s">
        <v>18352</v>
      </c>
      <c r="B150" s="25" t="s">
        <v>18354</v>
      </c>
      <c r="C150" s="26" t="str">
        <f>HYPERLINK("https://audio.iskcondesiretree.com/02_-_ISKCON_Swamis/ISKCON_Swamis_-_R_to_Y/His_Holiness_Radhanath_Swami/Lectures/00_-_Year_wise/Devotional_Nectar_-_1990/1990-055_A_Vaishnava_Has_Faith_SB-08_05_47_Mumbai_-_Radhanath_Swami_1990-07-27_IDesireTree.mp3", "1990-055_A_Vaishnava_Has_Faith_SB-08_05_47_Mumbai_-_Radhanath_Swami_1990-07-27_IDesireTree.mp3")</f>
        <v>1990-055_A_Vaishnava_Has_Faith_SB-08_05_47_Mumbai_-_Radhanath_Swami_1990-07-27_IDesireTree.mp3</v>
      </c>
      <c r="D150" s="24"/>
      <c r="E150" s="24"/>
    </row>
    <row r="151">
      <c r="A151" s="25" t="s">
        <v>18352</v>
      </c>
      <c r="B151" s="25" t="s">
        <v>18354</v>
      </c>
      <c r="C151" s="26" t="str">
        <f>HYPERLINK("https://audio.iskcondesiretree.com/02_-_ISKCON_Swamis/ISKCON_Swamis_-_R_to_Y/His_Holiness_Radhanath_Swami/Lectures/00_-_Year_wise/Devotional_Nectar_-_1990/1990-056_Association_Of_Devotees_BG-10_09_Mumbai_-_Radhanath_Swami_1990-07-27_IDesireTree.mp3", "1990-056_Association_Of_Devotees_BG-10_09_Mumbai_-_Radhanath_Swami_1990-07-27_IDesireTree.mp3")</f>
        <v>1990-056_Association_Of_Devotees_BG-10_09_Mumbai_-_Radhanath_Swami_1990-07-27_IDesireTree.mp3</v>
      </c>
      <c r="D151" s="24"/>
      <c r="E151" s="24"/>
    </row>
    <row r="152">
      <c r="A152" s="25" t="s">
        <v>18352</v>
      </c>
      <c r="B152" s="25" t="s">
        <v>18354</v>
      </c>
      <c r="C152" s="26" t="str">
        <f>HYPERLINK("https://audio.iskcondesiretree.com/02_-_ISKCON_Swamis/ISKCON_Swamis_-_R_to_Y/His_Holiness_Radhanath_Swami/Lectures/00_-_Year_wise/Devotional_Nectar_-_1990/1990-057_Irrespective_Of_Desire_Engage_In_Krsna%27s_Service_SB-08_05_48_Mumbai_-_28-07-90_IDesireTre"&amp;"e.mp3", "1990-057_Irrespective_Of_Desire_Engage_In_Krsna%27s_Service_SB-08_05_48_Mumbai_-_28-07-90_IDesireTree.mp3")</f>
        <v>1990-057_Irrespective_Of_Desire_Engage_In_Krsna%27s_Service_SB-08_05_48_Mumbai_-_28-07-90_IDesireTree.mp3</v>
      </c>
      <c r="D152" s="24"/>
      <c r="E152" s="24"/>
    </row>
    <row r="153">
      <c r="A153" s="25" t="s">
        <v>18352</v>
      </c>
      <c r="B153" s="25" t="s">
        <v>18354</v>
      </c>
      <c r="C153" s="26" t="str">
        <f>HYPERLINK("https://audio.iskcondesiretree.com/02_-_ISKCON_Swamis/ISKCON_Swamis_-_R_to_Y/His_Holiness_Radhanath_Swami/Lectures/00_-_Year_wise/Devotional_Nectar_-_1990/1990-058_Trust_In_Mercy_Of_God_SB-08_06_14_Mumbai_-_Radhanath_Swami_1990-08-09_IDesireTree.mp3", "1990-058_Trust_In_Mercy_Of_God_SB-08_06_14_Mumbai_-_Radhanath_Swami_1990-08-09_IDesireTree.mp3")</f>
        <v>1990-058_Trust_In_Mercy_Of_God_SB-08_06_14_Mumbai_-_Radhanath_Swami_1990-08-09_IDesireTree.mp3</v>
      </c>
      <c r="D153" s="24"/>
      <c r="E153" s="24"/>
    </row>
    <row r="154">
      <c r="A154" s="25" t="s">
        <v>18352</v>
      </c>
      <c r="B154" s="25" t="s">
        <v>18354</v>
      </c>
      <c r="C154" s="26" t="str">
        <f>HYPERLINK("https://audio.iskcondesiretree.com/02_-_ISKCON_Swamis/ISKCON_Swamis_-_R_to_Y/His_Holiness_Radhanath_Swami/Lectures/00_-_Year_wise/Devotional_Nectar_-_1990/1990-059_A_friend_indeed_SB-09_04_38_Mumbai_-_Radhanath_Swami_1990-08-10_IDesireTree.mp3", "1990-059_A_friend_indeed_SB-09_04_38_Mumbai_-_Radhanath_Swami_1990-08-10_IDesireTree.mp3")</f>
        <v>1990-059_A_friend_indeed_SB-09_04_38_Mumbai_-_Radhanath_Swami_1990-08-10_IDesireTree.mp3</v>
      </c>
      <c r="D154" s="24"/>
      <c r="E154" s="24"/>
    </row>
    <row r="155">
      <c r="A155" s="25" t="s">
        <v>18352</v>
      </c>
      <c r="B155" s="25" t="s">
        <v>18354</v>
      </c>
      <c r="C155" s="26" t="str">
        <f>HYPERLINK("https://audio.iskcondesiretree.com/02_-_ISKCON_Swamis/ISKCON_Swamis_-_R_to_Y/His_Holiness_Radhanath_Swami/Lectures/00_-_Year_wise/Devotional_Nectar_-_1990/1990-060_Humility_BG-18_55_Mumbai_-_Radhanath_Swami_1990-08-11_IDesireTree.mp3", "1990-060_Humility_BG-18_55_Mumbai_-_Radhanath_Swami_1990-08-11_IDesireTree.mp3")</f>
        <v>1990-060_Humility_BG-18_55_Mumbai_-_Radhanath_Swami_1990-08-11_IDesireTree.mp3</v>
      </c>
      <c r="D155" s="24"/>
      <c r="E155" s="24"/>
    </row>
    <row r="156">
      <c r="A156" s="25" t="s">
        <v>18352</v>
      </c>
      <c r="B156" s="25" t="s">
        <v>18354</v>
      </c>
      <c r="C156" s="26" t="str">
        <f>HYPERLINK("https://audio.iskcondesiretree.com/02_-_ISKCON_Swamis/ISKCON_Swamis_-_R_to_Y/His_Holiness_Radhanath_Swami/Lectures/00_-_Year_wise/Devotional_Nectar_-_1990/1990-061_What_Janmashtami_Really_Means_BG-11_53_-_Radhanath_Swami_1990-08-12_IDesireTree.mp3", "1990-061_What_Janmashtami_Really_Means_BG-11_53_-_Radhanath_Swami_1990-08-12_IDesireTree.mp3")</f>
        <v>1990-061_What_Janmashtami_Really_Means_BG-11_53_-_Radhanath_Swami_1990-08-12_IDesireTree.mp3</v>
      </c>
      <c r="D156" s="24"/>
      <c r="E156" s="24"/>
    </row>
    <row r="157">
      <c r="A157" s="25" t="s">
        <v>18352</v>
      </c>
      <c r="B157" s="25" t="s">
        <v>18354</v>
      </c>
      <c r="C157" s="26" t="str">
        <f>HYPERLINK("https://audio.iskcondesiretree.com/02_-_ISKCON_Swamis/ISKCON_Swamis_-_R_to_Y/His_Holiness_Radhanath_Swami/Lectures/00_-_Year_wise/Devotional_Nectar_-_1990/1990-062_Prabhupad_Lecture_Mumbai_-_Radhanath_Swami_1990-08-15_IDesireTree.mp3", "1990-062_Prabhupad_Lecture_Mumbai_-_Radhanath_Swami_1990-08-15_IDesireTree.mp3")</f>
        <v>1990-062_Prabhupad_Lecture_Mumbai_-_Radhanath_Swami_1990-08-15_IDesireTree.mp3</v>
      </c>
      <c r="D157" s="24"/>
      <c r="E157" s="24"/>
    </row>
    <row r="158">
      <c r="A158" s="25" t="s">
        <v>18352</v>
      </c>
      <c r="B158" s="25" t="s">
        <v>18354</v>
      </c>
      <c r="C158" s="26" t="str">
        <f>HYPERLINK("https://audio.iskcondesiretree.com/02_-_ISKCON_Swamis/ISKCON_Swamis_-_R_to_Y/His_Holiness_Radhanath_Swami/Lectures/00_-_Year_wise/Devotional_Nectar_-_1990/1990-063_Beg_For_Guru_Maharaj_SB-08_06_26-28_Mumbai_-_Radhanath_Swami_1990-08-16_IDesireTree.mp3", "1990-063_Beg_For_Guru_Maharaj_SB-08_06_26-28_Mumbai_-_Radhanath_Swami_1990-08-16_IDesireTree.mp3")</f>
        <v>1990-063_Beg_For_Guru_Maharaj_SB-08_06_26-28_Mumbai_-_Radhanath_Swami_1990-08-16_IDesireTree.mp3</v>
      </c>
      <c r="D158" s="24"/>
      <c r="E158" s="24"/>
    </row>
    <row r="159">
      <c r="A159" s="25" t="s">
        <v>18352</v>
      </c>
      <c r="B159" s="25" t="s">
        <v>18354</v>
      </c>
      <c r="C159" s="26" t="str">
        <f>HYPERLINK("https://audio.iskcondesiretree.com/02_-_ISKCON_Swamis/ISKCON_Swamis_-_R_to_Y/His_Holiness_Radhanath_Swami/Lectures/00_-_Year_wise/Devotional_Nectar_-_1990/1990-064_Sense_Enjoyment_Means_Spiritual_Death_SB-08_06_36-37_Mumbai_-_20-08-90_IDesireTree.mp3", "1990-064_Sense_Enjoyment_Means_Spiritual_Death_SB-08_06_36-37_Mumbai_-_20-08-90_IDesireTree.mp3")</f>
        <v>1990-064_Sense_Enjoyment_Means_Spiritual_Death_SB-08_06_36-37_Mumbai_-_20-08-90_IDesireTree.mp3</v>
      </c>
      <c r="D159" s="24"/>
      <c r="E159" s="24"/>
    </row>
    <row r="160">
      <c r="A160" s="25" t="s">
        <v>18352</v>
      </c>
      <c r="B160" s="25" t="s">
        <v>18354</v>
      </c>
      <c r="C160" s="26" t="str">
        <f>HYPERLINK("https://audio.iskcondesiretree.com/02_-_ISKCON_Swamis/ISKCON_Swamis_-_R_to_Y/His_Holiness_Radhanath_Swami/Lectures/00_-_Year_wise/Devotional_Nectar_-_1990/1990-065_Thy_Will_Be_Done_SB-08_06_39_Mumbai_-_Radhanath_Swami_1990-08-21_IDesireTree.mp3", "1990-065_Thy_Will_Be_Done_SB-08_06_39_Mumbai_-_Radhanath_Swami_1990-08-21_IDesireTree.mp3")</f>
        <v>1990-065_Thy_Will_Be_Done_SB-08_06_39_Mumbai_-_Radhanath_Swami_1990-08-21_IDesireTree.mp3</v>
      </c>
      <c r="D160" s="24"/>
      <c r="E160" s="24"/>
    </row>
    <row r="161">
      <c r="A161" s="25" t="s">
        <v>18352</v>
      </c>
      <c r="B161" s="25" t="s">
        <v>18354</v>
      </c>
      <c r="C161" s="26" t="str">
        <f>HYPERLINK("https://audio.iskcondesiretree.com/02_-_ISKCON_Swamis/ISKCON_Swamis_-_R_to_Y/His_Holiness_Radhanath_Swami/Lectures/00_-_Year_wise/Devotional_Nectar_-_1990/1990-066_Willing_To_Be_Instrument_Of_God_SB-08_06_39_Mumbai_-_22-08-90_IDesireTree.mp3", "1990-066_Willing_To_Be_Instrument_Of_God_SB-08_06_39_Mumbai_-_22-08-90_IDesireTree.mp3")</f>
        <v>1990-066_Willing_To_Be_Instrument_Of_God_SB-08_06_39_Mumbai_-_22-08-90_IDesireTree.mp3</v>
      </c>
      <c r="D161" s="24"/>
      <c r="E161" s="24"/>
    </row>
    <row r="162">
      <c r="A162" s="25" t="s">
        <v>18352</v>
      </c>
      <c r="B162" s="25" t="s">
        <v>18354</v>
      </c>
      <c r="C162" s="26" t="str">
        <f>HYPERLINK("https://audio.iskcondesiretree.com/02_-_ISKCON_Swamis/ISKCON_Swamis_-_R_to_Y/His_Holiness_Radhanath_Swami/Lectures/00_-_Year_wise/Devotional_Nectar_-_1990/1990-067_First_take_the_speck_out_of_your_eye_BG-08_07_04_Mumbai_-_23-8-90_IDesireTree.mp3", "1990-067_First_take_the_speck_out_of_your_eye_BG-08_07_04_Mumbai_-_23-8-90_IDesireTree.mp3")</f>
        <v>1990-067_First_take_the_speck_out_of_your_eye_BG-08_07_04_Mumbai_-_23-8-90_IDesireTree.mp3</v>
      </c>
      <c r="D162" s="24"/>
      <c r="E162" s="24"/>
    </row>
    <row r="163">
      <c r="A163" s="25" t="s">
        <v>18352</v>
      </c>
      <c r="B163" s="25" t="s">
        <v>18354</v>
      </c>
      <c r="C163" s="26" t="str">
        <f>HYPERLINK("https://audio.iskcondesiretree.com/02_-_ISKCON_Swamis/ISKCON_Swamis_-_R_to_Y/His_Holiness_Radhanath_Swami/Lectures/00_-_Year_wise/Devotional_Nectar_-_1990/1990-068_Making_Krishna_Happy_SB-08_07_05-06_Mumbai_-_Radhanath_Swami_1990-08-24_IDesireTree.mp3", "1990-068_Making_Krishna_Happy_SB-08_07_05-06_Mumbai_-_Radhanath_Swami_1990-08-24_IDesireTree.mp3")</f>
        <v>1990-068_Making_Krishna_Happy_SB-08_07_05-06_Mumbai_-_Radhanath_Swami_1990-08-24_IDesireTree.mp3</v>
      </c>
      <c r="D163" s="24"/>
      <c r="E163" s="24"/>
    </row>
    <row r="164">
      <c r="A164" s="25" t="s">
        <v>18352</v>
      </c>
      <c r="B164" s="25" t="s">
        <v>18354</v>
      </c>
      <c r="C164" s="26" t="str">
        <f>HYPERLINK("https://audio.iskcondesiretree.com/02_-_ISKCON_Swamis/ISKCON_Swamis_-_R_to_Y/His_Holiness_Radhanath_Swami/Lectures/00_-_Year_wise/Devotional_Nectar_-_1990/1990-069_The_Perfect_Worship_Of_Lord_Ganesh_BG-02_45_Mumbai_-_26-08-90_IDesireTree.mp3", "1990-069_The_Perfect_Worship_Of_Lord_Ganesh_BG-02_45_Mumbai_-_26-08-90_IDesireTree.mp3")</f>
        <v>1990-069_The_Perfect_Worship_Of_Lord_Ganesh_BG-02_45_Mumbai_-_26-08-90_IDesireTree.mp3</v>
      </c>
      <c r="D164" s="24"/>
      <c r="E164" s="24"/>
    </row>
    <row r="165">
      <c r="A165" s="25" t="s">
        <v>18352</v>
      </c>
      <c r="B165" s="25" t="s">
        <v>18354</v>
      </c>
      <c r="C165" s="26" t="str">
        <f>HYPERLINK("https://audio.iskcondesiretree.com/02_-_ISKCON_Swamis/ISKCON_Swamis_-_R_to_Y/His_Holiness_Radhanath_Swami/Lectures/00_-_Year_wise/Devotional_Nectar_-_1990/1990-070_Cause_Of_Lord%27s_Descent_SB-08_07_09-10_Mumbai_-_Radhanath_Swami_1990-08-26_IDesireTree.mp"&amp;"3", "1990-070_Cause_Of_Lord%27s_Descent_SB-08_07_09-10_Mumbai_-_Radhanath_Swami_1990-08-26_IDesireTree.mp3")</f>
        <v>1990-070_Cause_Of_Lord%27s_Descent_SB-08_07_09-10_Mumbai_-_Radhanath_Swami_1990-08-26_IDesireTree.mp3</v>
      </c>
      <c r="D165" s="24"/>
      <c r="E165" s="24"/>
    </row>
    <row r="166">
      <c r="A166" s="25" t="s">
        <v>18352</v>
      </c>
      <c r="B166" s="25" t="s">
        <v>18354</v>
      </c>
      <c r="C166" s="26" t="str">
        <f>HYPERLINK("https://audio.iskcondesiretree.com/02_-_ISKCON_Swamis/ISKCON_Swamis_-_R_to_Y/His_Holiness_Radhanath_Swami/Lectures/00_-_Year_wise/Devotional_Nectar_-_1990/1990-071_Humiliation_SB-08_07_12_Mumbai_-_Radhanath_Swami_1990-08-27_IDesireTree.mp3", "1990-071_Humiliation_SB-08_07_12_Mumbai_-_Radhanath_Swami_1990-08-27_IDesireTree.mp3")</f>
        <v>1990-071_Humiliation_SB-08_07_12_Mumbai_-_Radhanath_Swami_1990-08-27_IDesireTree.mp3</v>
      </c>
      <c r="D166" s="24"/>
      <c r="E166" s="24"/>
    </row>
    <row r="167">
      <c r="A167" s="25" t="s">
        <v>18352</v>
      </c>
      <c r="B167" s="25" t="s">
        <v>18354</v>
      </c>
      <c r="C167" s="26" t="str">
        <f>HYPERLINK("https://audio.iskcondesiretree.com/02_-_ISKCON_Swamis/ISKCON_Swamis_-_R_to_Y/His_Holiness_Radhanath_Swami/Lectures/00_-_Year_wise/Devotional_Nectar_-_1990/1990-072_Offering_To_Radharani_CC_AL-01_04_06_Mumbai_-_Radhanath_Swami_1990-08-28_IDesireTree.mp3", "1990-072_Offering_To_Radharani_CC_AL-01_04_06_Mumbai_-_Radhanath_Swami_1990-08-28_IDesireTree.mp3")</f>
        <v>1990-072_Offering_To_Radharani_CC_AL-01_04_06_Mumbai_-_Radhanath_Swami_1990-08-28_IDesireTree.mp3</v>
      </c>
      <c r="D167" s="24"/>
      <c r="E167" s="24"/>
    </row>
    <row r="168">
      <c r="A168" s="25" t="s">
        <v>18352</v>
      </c>
      <c r="B168" s="25" t="s">
        <v>18354</v>
      </c>
      <c r="C168" s="26" t="str">
        <f>HYPERLINK("https://audio.iskcondesiretree.com/02_-_ISKCON_Swamis/ISKCON_Swamis_-_R_to_Y/His_Holiness_Radhanath_Swami/Lectures/00_-_Year_wise/Devotional_Nectar_-_1990/1990-073_Understanding_Of_Srimati_Radharani_CC-01_04_06_Mumbai_-_28-08-90_IDesireTree.mp3", "1990-073_Understanding_Of_Srimati_Radharani_CC-01_04_06_Mumbai_-_28-08-90_IDesireTree.mp3")</f>
        <v>1990-073_Understanding_Of_Srimati_Radharani_CC-01_04_06_Mumbai_-_28-08-90_IDesireTree.mp3</v>
      </c>
      <c r="D168" s="24"/>
      <c r="E168" s="24"/>
    </row>
    <row r="169">
      <c r="A169" s="25" t="s">
        <v>18352</v>
      </c>
      <c r="B169" s="25" t="s">
        <v>18354</v>
      </c>
      <c r="C169" s="26" t="str">
        <f>HYPERLINK("https://audio.iskcondesiretree.com/02_-_ISKCON_Swamis/ISKCON_Swamis_-_R_to_Y/His_Holiness_Radhanath_Swami/Lectures/00_-_Year_wise/Devotional_Nectar_-_1990/1990-074_Perfect_Love_Lecture_Mumbai_-_Radhanath_Swami_1990-08-28_IDesireTree.mp3", "1990-074_Perfect_Love_Lecture_Mumbai_-_Radhanath_Swami_1990-08-28_IDesireTree.mp3")</f>
        <v>1990-074_Perfect_Love_Lecture_Mumbai_-_Radhanath_Swami_1990-08-28_IDesireTree.mp3</v>
      </c>
      <c r="D169" s="24"/>
      <c r="E169" s="24"/>
    </row>
    <row r="170">
      <c r="A170" s="25" t="s">
        <v>18352</v>
      </c>
      <c r="B170" s="25" t="s">
        <v>18354</v>
      </c>
      <c r="C170" s="26" t="str">
        <f>HYPERLINK("https://audio.iskcondesiretree.com/02_-_ISKCON_Swamis/ISKCON_Swamis_-_R_to_Y/His_Holiness_Radhanath_Swami/Lectures/00_-_Year_wise/Devotional_Nectar_-_1990/1990-075_Spiritual_Life_Means_Warfare_SB-08_07_01-09_Mumbai_-_29-08-90_IDesireTree.mp3", "1990-075_Spiritual_Life_Means_Warfare_SB-08_07_01-09_Mumbai_-_29-08-90_IDesireTree.mp3")</f>
        <v>1990-075_Spiritual_Life_Means_Warfare_SB-08_07_01-09_Mumbai_-_29-08-90_IDesireTree.mp3</v>
      </c>
      <c r="D170" s="24"/>
      <c r="E170" s="24"/>
    </row>
    <row r="171">
      <c r="A171" s="25" t="s">
        <v>18352</v>
      </c>
      <c r="B171" s="25" t="s">
        <v>18354</v>
      </c>
      <c r="C171" s="26" t="str">
        <f>HYPERLINK("https://audio.iskcondesiretree.com/02_-_ISKCON_Swamis/ISKCON_Swamis_-_R_to_Y/His_Holiness_Radhanath_Swami/Lectures/00_-_Year_wise/Devotional_Nectar_-_1990/1990-076_Krishna_Always_Glorifies_His_Devotees_SB-08_07_21_Mumbai_-_31-08-90_IDesireTree.mp3", "1990-076_Krishna_Always_Glorifies_His_Devotees_SB-08_07_21_Mumbai_-_31-08-90_IDesireTree.mp3")</f>
        <v>1990-076_Krishna_Always_Glorifies_His_Devotees_SB-08_07_21_Mumbai_-_31-08-90_IDesireTree.mp3</v>
      </c>
      <c r="D171" s="24"/>
      <c r="E171" s="24"/>
    </row>
    <row r="172">
      <c r="A172" s="25" t="s">
        <v>18352</v>
      </c>
      <c r="B172" s="25" t="s">
        <v>18354</v>
      </c>
      <c r="C172" s="26" t="str">
        <f>HYPERLINK("https://audio.iskcondesiretree.com/02_-_ISKCON_Swamis/ISKCON_Swamis_-_R_to_Y/His_Holiness_Radhanath_Swami/Lectures/00_-_Year_wise/Devotional_Nectar_-_1990/1990-077_Surrendering_Everything_Lecture_Mumbai_-_Radhanath_Swami_1990-09-02_IDesireTree.mp3", "1990-077_Surrendering_Everything_Lecture_Mumbai_-_Radhanath_Swami_1990-09-02_IDesireTree.mp3")</f>
        <v>1990-077_Surrendering_Everything_Lecture_Mumbai_-_Radhanath_Swami_1990-09-02_IDesireTree.mp3</v>
      </c>
      <c r="D172" s="24"/>
      <c r="E172" s="24"/>
    </row>
    <row r="173">
      <c r="A173" s="25" t="s">
        <v>18352</v>
      </c>
      <c r="B173" s="25" t="s">
        <v>18354</v>
      </c>
      <c r="C173" s="26" t="str">
        <f>HYPERLINK("https://audio.iskcondesiretree.com/02_-_ISKCON_Swamis/ISKCON_Swamis_-_R_to_Y/His_Holiness_Radhanath_Swami/Lectures/00_-_Year_wise/Devotional_Nectar_-_1990/1990-078_Gravity_Of_Offence_SB-08_07_22_Mumbai_-_Radhanath_Swami_1990-09-03_IDesireTree.mp3", "1990-078_Gravity_Of_Offence_SB-08_07_22_Mumbai_-_Radhanath_Swami_1990-09-03_IDesireTree.mp3")</f>
        <v>1990-078_Gravity_Of_Offence_SB-08_07_22_Mumbai_-_Radhanath_Swami_1990-09-03_IDesireTree.mp3</v>
      </c>
      <c r="D173" s="24"/>
      <c r="E173" s="24"/>
    </row>
    <row r="174">
      <c r="A174" s="25" t="s">
        <v>18352</v>
      </c>
      <c r="B174" s="25" t="s">
        <v>18354</v>
      </c>
      <c r="C174" s="26" t="str">
        <f>HYPERLINK("https://audio.iskcondesiretree.com/02_-_ISKCON_Swamis/ISKCON_Swamis_-_R_to_Y/His_Holiness_Radhanath_Swami/Lectures/00_-_Year_wise/Devotional_Nectar_-_1990/1990-079_Comitting_To_This_Great_Mission_SB-08_07_24_Mumbai_-_05-09-90_IDesireTree.mp3", "1990-079_Comitting_To_This_Great_Mission_SB-08_07_24_Mumbai_-_05-09-90_IDesireTree.mp3")</f>
        <v>1990-079_Comitting_To_This_Great_Mission_SB-08_07_24_Mumbai_-_05-09-90_IDesireTree.mp3</v>
      </c>
      <c r="D174" s="24"/>
      <c r="E174" s="24"/>
    </row>
    <row r="175">
      <c r="A175" s="25" t="s">
        <v>18352</v>
      </c>
      <c r="B175" s="25" t="s">
        <v>18354</v>
      </c>
      <c r="C175" s="26" t="str">
        <f>HYPERLINK("https://audio.iskcondesiretree.com/02_-_ISKCON_Swamis/ISKCON_Swamis_-_R_to_Y/His_Holiness_Radhanath_Swami/Lectures/00_-_Year_wise/Devotional_Nectar_-_1990/1990-080_Vaishnava_Activities-_Incomprehensible_SB-08_07_23_Mumbai_-_06-09-90_IDesireTree.mp3", "1990-080_Vaishnava_Activities-_Incomprehensible_SB-08_07_23_Mumbai_-_06-09-90_IDesireTree.mp3")</f>
        <v>1990-080_Vaishnava_Activities-_Incomprehensible_SB-08_07_23_Mumbai_-_06-09-90_IDesireTree.mp3</v>
      </c>
      <c r="D175" s="24"/>
      <c r="E175" s="24"/>
    </row>
    <row r="176">
      <c r="A176" s="25" t="s">
        <v>18352</v>
      </c>
      <c r="B176" s="25" t="s">
        <v>18354</v>
      </c>
      <c r="C176" s="26" t="str">
        <f>HYPERLINK("https://audio.iskcondesiretree.com/02_-_ISKCON_Swamis/ISKCON_Swamis_-_R_to_Y/His_Holiness_Radhanath_Swami/Lectures/00_-_Year_wise/Devotional_Nectar_-_1990/1990-081_Seperation_BG-02_66_Mumbai_-_Radhanath_Swami_1990-09-17_IDesireTree.mp3", "1990-081_Seperation_BG-02_66_Mumbai_-_Radhanath_Swami_1990-09-17_IDesireTree.mp3")</f>
        <v>1990-081_Seperation_BG-02_66_Mumbai_-_Radhanath_Swami_1990-09-17_IDesireTree.mp3</v>
      </c>
      <c r="D176" s="24"/>
      <c r="E176" s="24"/>
    </row>
    <row r="177">
      <c r="A177" s="25" t="s">
        <v>18352</v>
      </c>
      <c r="B177" s="25" t="s">
        <v>18354</v>
      </c>
      <c r="C177" s="26" t="str">
        <f>HYPERLINK("https://audio.iskcondesiretree.com/02_-_ISKCON_Swamis/ISKCON_Swamis_-_R_to_Y/His_Holiness_Radhanath_Swami/Lectures/00_-_Year_wise/Devotional_Nectar_-_1990/1990-082_Nothing_Is_Ours_Lecture_Mumbai_-_Radhanath_Swami_1990-09-29_IDesireTree.mp3", "1990-082_Nothing_Is_Ours_Lecture_Mumbai_-_Radhanath_Swami_1990-09-29_IDesireTree.mp3")</f>
        <v>1990-082_Nothing_Is_Ours_Lecture_Mumbai_-_Radhanath_Swami_1990-09-29_IDesireTree.mp3</v>
      </c>
      <c r="D177" s="24"/>
      <c r="E177" s="24"/>
    </row>
    <row r="178">
      <c r="A178" s="25" t="s">
        <v>18352</v>
      </c>
      <c r="B178" s="25" t="s">
        <v>18354</v>
      </c>
      <c r="C178" s="26" t="str">
        <f>HYPERLINK("https://audio.iskcondesiretree.com/02_-_ISKCON_Swamis/ISKCON_Swamis_-_R_to_Y/His_Holiness_Radhanath_Swami/Lectures/00_-_Year_wise/Devotional_Nectar_-_1990/1990-083_Opening_Spiritual_Eyes_BG-11_04_Mumbai_-_Radhanath_Swami_1990-02-18_IDesireTree.mp3", "1990-083_Opening_Spiritual_Eyes_BG-11_04_Mumbai_-_Radhanath_Swami_1990-02-18_IDesireTree.mp3")</f>
        <v>1990-083_Opening_Spiritual_Eyes_BG-11_04_Mumbai_-_Radhanath_Swami_1990-02-18_IDesireTree.mp3</v>
      </c>
      <c r="D178" s="24"/>
      <c r="E178" s="24"/>
    </row>
    <row r="179">
      <c r="A179" s="25" t="s">
        <v>18352</v>
      </c>
      <c r="B179" s="25" t="s">
        <v>18354</v>
      </c>
      <c r="C179" s="26" t="str">
        <f>HYPERLINK("https://audio.iskcondesiretree.com/02_-_ISKCON_Swamis/ISKCON_Swamis_-_R_to_Y/His_Holiness_Radhanath_Swami/Lectures/00_-_Year_wise/Devotional_Nectar_-_1990/1990-084_Rasa_Lila_CC_-_Radhanath_Swami_IDesireTree.mp3", "1990-084_Rasa_Lila_CC_-_Radhanath_Swami_IDesireTree.mp3")</f>
        <v>1990-084_Rasa_Lila_CC_-_Radhanath_Swami_IDesireTree.mp3</v>
      </c>
      <c r="D179" s="24"/>
      <c r="E179" s="24"/>
    </row>
    <row r="180">
      <c r="A180" s="25" t="s">
        <v>18352</v>
      </c>
      <c r="B180" s="25" t="s">
        <v>18354</v>
      </c>
      <c r="C180" s="26" t="str">
        <f>HYPERLINK("https://audio.iskcondesiretree.com/02_-_ISKCON_Swamis/ISKCON_Swamis_-_R_to_Y/His_Holiness_Radhanath_Swami/Lectures/00_-_Year_wise/Devotional_Nectar_-_1990/1990-085_How_To_Become_Pure_Devotee_Lecture_Mumbai_-_Radhanath_Swami_1990-10-04_IDesireTree.mp3", "1990-085_How_To_Become_Pure_Devotee_Lecture_Mumbai_-_Radhanath_Swami_1990-10-04_IDesireTree.mp3")</f>
        <v>1990-085_How_To_Become_Pure_Devotee_Lecture_Mumbai_-_Radhanath_Swami_1990-10-04_IDesireTree.mp3</v>
      </c>
      <c r="D180" s="24"/>
      <c r="E180" s="24"/>
    </row>
    <row r="181">
      <c r="A181" s="25" t="s">
        <v>18352</v>
      </c>
      <c r="B181" s="25" t="s">
        <v>18354</v>
      </c>
      <c r="C181" s="26" t="str">
        <f>HYPERLINK("https://audio.iskcondesiretree.com/02_-_ISKCON_Swamis/ISKCON_Swamis_-_R_to_Y/His_Holiness_Radhanath_Swami/Lectures/00_-_Year_wise/Devotional_Nectar_-_1990/1990-086_Determination_BG-02_41_Mumbai_-_Radhanath_Swami_1990-10-05_IDesireTree.mp3", "1990-086_Determination_BG-02_41_Mumbai_-_Radhanath_Swami_1990-10-05_IDesireTree.mp3")</f>
        <v>1990-086_Determination_BG-02_41_Mumbai_-_Radhanath_Swami_1990-10-05_IDesireTree.mp3</v>
      </c>
      <c r="D181" s="24"/>
      <c r="E181" s="24"/>
    </row>
    <row r="182">
      <c r="A182" s="25" t="s">
        <v>18352</v>
      </c>
      <c r="B182" s="25" t="s">
        <v>18354</v>
      </c>
      <c r="C182" s="26" t="str">
        <f>HYPERLINK("https://audio.iskcondesiretree.com/02_-_ISKCON_Swamis/ISKCON_Swamis_-_R_to_Y/His_Holiness_Radhanath_Swami/Lectures/00_-_Year_wise/Devotional_Nectar_-_1990/1990-087_Be_Fixed_In_Your_Aim_BG-08_27_Mumbai_-_Radhanath_Swami_1990-10-06_IDesireTree.mp3", "1990-087_Be_Fixed_In_Your_Aim_BG-08_27_Mumbai_-_Radhanath_Swami_1990-10-06_IDesireTree.mp3")</f>
        <v>1990-087_Be_Fixed_In_Your_Aim_BG-08_27_Mumbai_-_Radhanath_Swami_1990-10-06_IDesireTree.mp3</v>
      </c>
      <c r="D182" s="24"/>
      <c r="E182" s="24"/>
    </row>
    <row r="183">
      <c r="A183" s="25" t="s">
        <v>18352</v>
      </c>
      <c r="B183" s="25" t="s">
        <v>18354</v>
      </c>
      <c r="C183" s="26" t="str">
        <f>HYPERLINK("https://audio.iskcondesiretree.com/02_-_ISKCON_Swamis/ISKCON_Swamis_-_R_to_Y/His_Holiness_Radhanath_Swami/Lectures/00_-_Year_wise/Devotional_Nectar_-_1990/1990-088_Be_Enthusiastic_CC_ML-01_02_Mumbai_-_Radhanath_Swami_1990-10-06_new_IDesireTree.mp3", "1990-088_Be_Enthusiastic_CC_ML-01_02_Mumbai_-_Radhanath_Swami_1990-10-06_new_IDesireTree.mp3")</f>
        <v>1990-088_Be_Enthusiastic_CC_ML-01_02_Mumbai_-_Radhanath_Swami_1990-10-06_new_IDesireTree.mp3</v>
      </c>
      <c r="D183" s="24"/>
      <c r="E183" s="24"/>
    </row>
    <row r="184">
      <c r="A184" s="25" t="s">
        <v>18352</v>
      </c>
      <c r="B184" s="25" t="s">
        <v>18354</v>
      </c>
      <c r="C184" s="26" t="str">
        <f>HYPERLINK("https://audio.iskcondesiretree.com/02_-_ISKCON_Swamis/ISKCON_Swamis_-_R_to_Y/His_Holiness_Radhanath_Swami/Lectures/00_-_Year_wise/Devotional_Nectar_-_1990/1990-089_Uniting_For_The_Pleasure_Of_Krishna_SB-08_07_04-06_Mumbai_-_07-10-90_IDesireTree.mp3", "1990-089_Uniting_For_The_Pleasure_Of_Krishna_SB-08_07_04-06_Mumbai_-_07-10-90_IDesireTree.mp3")</f>
        <v>1990-089_Uniting_For_The_Pleasure_Of_Krishna_SB-08_07_04-06_Mumbai_-_07-10-90_IDesireTree.mp3</v>
      </c>
      <c r="D184" s="24"/>
      <c r="E184" s="24"/>
    </row>
    <row r="185">
      <c r="A185" s="25" t="s">
        <v>18352</v>
      </c>
      <c r="B185" s="25" t="s">
        <v>18354</v>
      </c>
      <c r="C185" s="26" t="str">
        <f>HYPERLINK("https://audio.iskcondesiretree.com/02_-_ISKCON_Swamis/ISKCON_Swamis_-_R_to_Y/His_Holiness_Radhanath_Swami/Lectures/00_-_Year_wise/Devotional_Nectar_-_1990/1990-090_God_Is_Subordinate_To_His_Devotees_BG-10_10_Mumbai_-_14-10-90_IDesireTree.mp3", "1990-090_God_Is_Subordinate_To_His_Devotees_BG-10_10_Mumbai_-_14-10-90_IDesireTree.mp3")</f>
        <v>1990-090_God_Is_Subordinate_To_His_Devotees_BG-10_10_Mumbai_-_14-10-90_IDesireTree.mp3</v>
      </c>
      <c r="D185" s="24"/>
      <c r="E185" s="24"/>
    </row>
    <row r="186">
      <c r="A186" s="25" t="s">
        <v>18352</v>
      </c>
      <c r="B186" s="25" t="s">
        <v>18354</v>
      </c>
      <c r="C186" s="26" t="str">
        <f>HYPERLINK("https://audio.iskcondesiretree.com/02_-_ISKCON_Swamis/ISKCON_Swamis_-_R_to_Y/His_Holiness_Radhanath_Swami/Lectures/00_-_Year_wise/Devotional_Nectar_-_1990/1990-091_Transcendental_Lust_SB-08_09_23_Mumbai_-_Radhanath_Swami_1990-10-15_IDesireTree.mp3", "1990-091_Transcendental_Lust_SB-08_09_23_Mumbai_-_Radhanath_Swami_1990-10-15_IDesireTree.mp3")</f>
        <v>1990-091_Transcendental_Lust_SB-08_09_23_Mumbai_-_Radhanath_Swami_1990-10-15_IDesireTree.mp3</v>
      </c>
      <c r="D186" s="24"/>
      <c r="E186" s="24"/>
    </row>
    <row r="187">
      <c r="A187" s="25" t="s">
        <v>18352</v>
      </c>
      <c r="B187" s="25" t="s">
        <v>18354</v>
      </c>
      <c r="C187" s="26" t="str">
        <f>HYPERLINK("https://audio.iskcondesiretree.com/02_-_ISKCON_Swamis/ISKCON_Swamis_-_R_to_Y/His_Holiness_Radhanath_Swami/Lectures/00_-_Year_wise/Devotional_Nectar_-_1990/1990-092_Transcendental_Nectar_SB-08_09_24-26_Mumbai_-_Radhanath_Swami_1990-10-16_IDesireTree.mp3", "1990-092_Transcendental_Nectar_SB-08_09_24-26_Mumbai_-_Radhanath_Swami_1990-10-16_IDesireTree.mp3")</f>
        <v>1990-092_Transcendental_Nectar_SB-08_09_24-26_Mumbai_-_Radhanath_Swami_1990-10-16_IDesireTree.mp3</v>
      </c>
      <c r="D187" s="24"/>
      <c r="E187" s="24"/>
    </row>
    <row r="188">
      <c r="A188" s="25" t="s">
        <v>18352</v>
      </c>
      <c r="B188" s="25" t="s">
        <v>18354</v>
      </c>
      <c r="C188" s="26" t="str">
        <f>HYPERLINK("https://audio.iskcondesiretree.com/02_-_ISKCON_Swamis/ISKCON_Swamis_-_R_to_Y/His_Holiness_Radhanath_Swami/Lectures/00_-_Year_wise/Devotional_Nectar_-_1990/1990-093_Govardhan_Lilla_Lecture_Mumbai_-_Radhanath_Swami_1990-10-19_IDesireTree.mp3", "1990-093_Govardhan_Lilla_Lecture_Mumbai_-_Radhanath_Swami_1990-10-19_IDesireTree.mp3")</f>
        <v>1990-093_Govardhan_Lilla_Lecture_Mumbai_-_Radhanath_Swami_1990-10-19_IDesireTree.mp3</v>
      </c>
      <c r="D188" s="24"/>
      <c r="E188" s="24"/>
    </row>
    <row r="189">
      <c r="A189" s="25" t="s">
        <v>18352</v>
      </c>
      <c r="B189" s="25" t="s">
        <v>18354</v>
      </c>
      <c r="C189" s="26" t="str">
        <f>HYPERLINK("https://audio.iskcondesiretree.com/02_-_ISKCON_Swamis/ISKCON_Swamis_-_R_to_Y/His_Holiness_Radhanath_Swami/Lectures/00_-_Year_wise/Devotional_Nectar_-_1990/1990-094_Questions_And_Answers_Lecture_Mumbai_-_Radhanath_Swami_1990-10-19_IDesireTree.mp3", "1990-094_Questions_And_Answers_Lecture_Mumbai_-_Radhanath_Swami_1990-10-19_IDesireTree.mp3")</f>
        <v>1990-094_Questions_And_Answers_Lecture_Mumbai_-_Radhanath_Swami_1990-10-19_IDesireTree.mp3</v>
      </c>
      <c r="D189" s="24"/>
      <c r="E189" s="24"/>
    </row>
    <row r="190">
      <c r="A190" s="25" t="s">
        <v>18352</v>
      </c>
      <c r="B190" s="25" t="s">
        <v>18354</v>
      </c>
      <c r="C190" s="26" t="str">
        <f>HYPERLINK("https://audio.iskcondesiretree.com/02_-_ISKCON_Swamis/ISKCON_Swamis_-_R_to_Y/His_Holiness_Radhanath_Swami/Lectures/00_-_Year_wise/Devotional_Nectar_-_1990/1990-095_Spiritual_Life_-_As_It_Is_SB-08_10_01-06_Mumbai_-_20-10-90_IDesireTree.mp3", "1990-095_Spiritual_Life_-_As_It_Is_SB-08_10_01-06_Mumbai_-_20-10-90_IDesireTree.mp3")</f>
        <v>1990-095_Spiritual_Life_-_As_It_Is_SB-08_10_01-06_Mumbai_-_20-10-90_IDesireTree.mp3</v>
      </c>
      <c r="D190" s="24"/>
      <c r="E190" s="24"/>
    </row>
    <row r="191">
      <c r="A191" s="25" t="s">
        <v>18352</v>
      </c>
      <c r="B191" s="25" t="s">
        <v>18354</v>
      </c>
      <c r="C191" s="26" t="str">
        <f>HYPERLINK("https://audio.iskcondesiretree.com/02_-_ISKCON_Swamis/ISKCON_Swamis_-_R_to_Y/His_Holiness_Radhanath_Swami/Lectures/00_-_Year_wise/Devotional_Nectar_-_1990/1990-096_Aspiring_For_Nothing_But_Service_BG-10_01_Mumbai_-_21-10-90_IDesireTree.mp3", "1990-096_Aspiring_For_Nothing_But_Service_BG-10_01_Mumbai_-_21-10-90_IDesireTree.mp3")</f>
        <v>1990-096_Aspiring_For_Nothing_But_Service_BG-10_01_Mumbai_-_21-10-90_IDesireTree.mp3</v>
      </c>
      <c r="D191" s="24"/>
      <c r="E191" s="24"/>
    </row>
    <row r="192">
      <c r="A192" s="25" t="s">
        <v>18352</v>
      </c>
      <c r="B192" s="25" t="s">
        <v>18354</v>
      </c>
      <c r="C192" s="26" t="str">
        <f>HYPERLINK("https://audio.iskcondesiretree.com/02_-_ISKCON_Swamis/ISKCON_Swamis_-_R_to_Y/His_Holiness_Radhanath_Swami/Lectures/00_-_Year_wise/Devotional_Nectar_-_1990/1990-097_Krsna_is_the_Property_of_Impoverished_SB-07_13_41-42_Mumbai_-_01-11-90_IDesireTree.mp3", "1990-097_Krsna_is_the_Property_of_Impoverished_SB-07_13_41-42_Mumbai_-_01-11-90_IDesireTree.mp3")</f>
        <v>1990-097_Krsna_is_the_Property_of_Impoverished_SB-07_13_41-42_Mumbai_-_01-11-90_IDesireTree.mp3</v>
      </c>
      <c r="D192" s="24"/>
      <c r="E192" s="24"/>
    </row>
    <row r="193">
      <c r="A193" s="25" t="s">
        <v>18352</v>
      </c>
      <c r="B193" s="25" t="s">
        <v>18355</v>
      </c>
      <c r="C193" s="26" t="str">
        <f>HYPERLINK("https://audio.iskcondesiretree.com/02_-_ISKCON_Swamis/ISKCON_Swamis_-_R_to_Y/His_Holiness_Radhanath_Swami/Lectures/00_-_Year_wise/Devotional_Nectar_-_1991/1991-001_Worshiping_diety_Lecture_Mumbai_-_Radhanath_Swami_1991-01-10_IDesireTree.mp3", "1991-001_Worshiping_diety_Lecture_Mumbai_-_Radhanath_Swami_1991-01-10_IDesireTree.mp3")</f>
        <v>1991-001_Worshiping_diety_Lecture_Mumbai_-_Radhanath_Swami_1991-01-10_IDesireTree.mp3</v>
      </c>
      <c r="D193" s="24"/>
      <c r="E193" s="24"/>
    </row>
    <row r="194">
      <c r="A194" s="25" t="s">
        <v>18352</v>
      </c>
      <c r="B194" s="25" t="s">
        <v>18355</v>
      </c>
      <c r="C194" s="26" t="str">
        <f>HYPERLINK("https://audio.iskcondesiretree.com/02_-_ISKCON_Swamis/ISKCON_Swamis_-_R_to_Y/His_Holiness_Radhanath_Swami/Lectures/00_-_Year_wise/Devotional_Nectar_-_1991/1991-002_The_Greatest_Miracle_SB-08_24_54-58_Mumbai_-_Radhanath_Swami_1991-01-24_IDesireTree.mp3", "1991-002_The_Greatest_Miracle_SB-08_24_54-58_Mumbai_-_Radhanath_Swami_1991-01-24_IDesireTree.mp3")</f>
        <v>1991-002_The_Greatest_Miracle_SB-08_24_54-58_Mumbai_-_Radhanath_Swami_1991-01-24_IDesireTree.mp3</v>
      </c>
      <c r="D194" s="24"/>
      <c r="E194" s="24"/>
    </row>
    <row r="195">
      <c r="A195" s="25" t="s">
        <v>18352</v>
      </c>
      <c r="B195" s="25" t="s">
        <v>18355</v>
      </c>
      <c r="C195" s="26" t="str">
        <f>HYPERLINK("https://audio.iskcondesiretree.com/02_-_ISKCON_Swamis/ISKCON_Swamis_-_R_to_Y/His_Holiness_Radhanath_Swami/Lectures/00_-_Year_wise/Devotional_Nectar_-_1991/1991-003_Perfection_Of_All_Knowledge_SB-08_24_61_Mumbai_-_Radhanath_Swami_1991-01-25_IDesireTree.mp3", "1991-003_Perfection_Of_All_Knowledge_SB-08_24_61_Mumbai_-_Radhanath_Swami_1991-01-25_IDesireTree.mp3")</f>
        <v>1991-003_Perfection_Of_All_Knowledge_SB-08_24_61_Mumbai_-_Radhanath_Swami_1991-01-25_IDesireTree.mp3</v>
      </c>
      <c r="D195" s="24"/>
      <c r="E195" s="24"/>
    </row>
    <row r="196">
      <c r="A196" s="25" t="s">
        <v>18352</v>
      </c>
      <c r="B196" s="25" t="s">
        <v>18355</v>
      </c>
      <c r="C196" s="26" t="str">
        <f>HYPERLINK("https://audio.iskcondesiretree.com/02_-_ISKCON_Swamis/ISKCON_Swamis_-_R_to_Y/His_Holiness_Radhanath_Swami/Lectures/00_-_Year_wise/Devotional_Nectar_-_1991/1991-004_Pride_Is_Sin_BG-11_55_Mumbai_-_Radhanath_Swami_1991-01-25_IDesireTree.mp3", "1991-004_Pride_Is_Sin_BG-11_55_Mumbai_-_Radhanath_Swami_1991-01-25_IDesireTree.mp3")</f>
        <v>1991-004_Pride_Is_Sin_BG-11_55_Mumbai_-_Radhanath_Swami_1991-01-25_IDesireTree.mp3</v>
      </c>
      <c r="D196" s="24"/>
      <c r="E196" s="24"/>
    </row>
    <row r="197">
      <c r="A197" s="25" t="s">
        <v>18352</v>
      </c>
      <c r="B197" s="25" t="s">
        <v>18355</v>
      </c>
      <c r="C197" s="26" t="str">
        <f>HYPERLINK("https://audio.iskcondesiretree.com/02_-_ISKCON_Swamis/ISKCON_Swamis_-_R_to_Y/His_Holiness_Radhanath_Swami/Lectures/00_-_Year_wise/Devotional_Nectar_-_1991/1991-005_To_Be_In_The_World_But_Not_Of_It_SB-09_01_01-08_Mumbai_-_26-01-91_IDesireTree.mp3", "1991-005_To_Be_In_The_World_But_Not_Of_It_SB-09_01_01-08_Mumbai_-_26-01-91_IDesireTree.mp3")</f>
        <v>1991-005_To_Be_In_The_World_But_Not_Of_It_SB-09_01_01-08_Mumbai_-_26-01-91_IDesireTree.mp3</v>
      </c>
      <c r="D197" s="24"/>
      <c r="E197" s="24"/>
    </row>
    <row r="198">
      <c r="A198" s="25" t="s">
        <v>18352</v>
      </c>
      <c r="B198" s="25" t="s">
        <v>18355</v>
      </c>
      <c r="C198" s="26" t="str">
        <f>HYPERLINK("https://audio.iskcondesiretree.com/02_-_ISKCON_Swamis/ISKCON_Swamis_-_R_to_Y/His_Holiness_Radhanath_Swami/Lectures/00_-_Year_wise/Devotional_Nectar_-_1991/1991-006_Drinking_Poison_SB-09_04_13-16_Mumbai_-_Radhanath_Swami_1991-01-27_IDesireTree.mp3", "1991-006_Drinking_Poison_SB-09_04_13-16_Mumbai_-_Radhanath_Swami_1991-01-27_IDesireTree.mp3")</f>
        <v>1991-006_Drinking_Poison_SB-09_04_13-16_Mumbai_-_Radhanath_Swami_1991-01-27_IDesireTree.mp3</v>
      </c>
      <c r="D198" s="24"/>
      <c r="E198" s="24"/>
    </row>
    <row r="199">
      <c r="A199" s="25" t="s">
        <v>18352</v>
      </c>
      <c r="B199" s="25" t="s">
        <v>18355</v>
      </c>
      <c r="C199" s="26" t="str">
        <f>HYPERLINK("https://audio.iskcondesiretree.com/02_-_ISKCON_Swamis/ISKCON_Swamis_-_R_to_Y/His_Holiness_Radhanath_Swami/Lectures/00_-_Year_wise/Devotional_Nectar_-_1991/1991-007_Smashing_The_Illusion_Of_False_Ego_Lecture_Mumbai_-_27-01-91_IDesireTree.mp3", "1991-007_Smashing_The_Illusion_Of_False_Ego_Lecture_Mumbai_-_27-01-91_IDesireTree.mp3")</f>
        <v>1991-007_Smashing_The_Illusion_Of_False_Ego_Lecture_Mumbai_-_27-01-91_IDesireTree.mp3</v>
      </c>
      <c r="D199" s="24"/>
      <c r="E199" s="24"/>
    </row>
    <row r="200">
      <c r="A200" s="25" t="s">
        <v>18352</v>
      </c>
      <c r="B200" s="25" t="s">
        <v>18355</v>
      </c>
      <c r="C200" s="26" t="str">
        <f>HYPERLINK("https://audio.iskcondesiretree.com/02_-_ISKCON_Swamis/ISKCON_Swamis_-_R_to_Y/His_Holiness_Radhanath_Swami/Lectures/00_-_Year_wise/Devotional_Nectar_-_1991/1991-008_Lord_Nityananda-_Most_Merciful_SB-09_04_18-20_Mumbai_-_28-01-91_IDesireTree.mp3", "1991-008_Lord_Nityananda-_Most_Merciful_SB-09_04_18-20_Mumbai_-_28-01-91_IDesireTree.mp3")</f>
        <v>1991-008_Lord_Nityananda-_Most_Merciful_SB-09_04_18-20_Mumbai_-_28-01-91_IDesireTree.mp3</v>
      </c>
      <c r="D200" s="24"/>
      <c r="E200" s="24"/>
    </row>
    <row r="201">
      <c r="A201" s="25" t="s">
        <v>18352</v>
      </c>
      <c r="B201" s="25" t="s">
        <v>18355</v>
      </c>
      <c r="C201" s="26" t="str">
        <f>HYPERLINK("https://audio.iskcondesiretree.com/02_-_ISKCON_Swamis/ISKCON_Swamis_-_R_to_Y/His_Holiness_Radhanath_Swami/Lectures/00_-_Year_wise/Devotional_Nectar_-_1991/1991-009_The_Greatest_Treasure_SB-09_04_18-10_Mumbai_-_29-01-91_IDesireTree.mp3", "1991-009_The_Greatest_Treasure_SB-09_04_18-10_Mumbai_-_29-01-91_IDesireTree.mp3")</f>
        <v>1991-009_The_Greatest_Treasure_SB-09_04_18-10_Mumbai_-_29-01-91_IDesireTree.mp3</v>
      </c>
      <c r="D201" s="24"/>
      <c r="E201" s="24"/>
    </row>
    <row r="202">
      <c r="A202" s="25" t="s">
        <v>18352</v>
      </c>
      <c r="B202" s="25" t="s">
        <v>18355</v>
      </c>
      <c r="C202" s="26" t="str">
        <f>HYPERLINK("https://audio.iskcondesiretree.com/02_-_ISKCON_Swamis/ISKCON_Swamis_-_R_to_Y/His_Holiness_Radhanath_Swami/Lectures/00_-_Year_wise/Devotional_Nectar_-_1991/1991-010_Age_Of_Quarrel_And_Hypocrisy_SB-09_04_21_Mumbai_-_30-01-91_IDesireTree.mp3", "1991-010_Age_Of_Quarrel_And_Hypocrisy_SB-09_04_21_Mumbai_-_30-01-91_IDesireTree.mp3")</f>
        <v>1991-010_Age_Of_Quarrel_And_Hypocrisy_SB-09_04_21_Mumbai_-_30-01-91_IDesireTree.mp3</v>
      </c>
      <c r="D202" s="24"/>
      <c r="E202" s="24"/>
    </row>
    <row r="203">
      <c r="A203" s="25" t="s">
        <v>18352</v>
      </c>
      <c r="B203" s="25" t="s">
        <v>18355</v>
      </c>
      <c r="C203" s="26" t="str">
        <f>HYPERLINK("https://audio.iskcondesiretree.com/02_-_ISKCON_Swamis/ISKCON_Swamis_-_R_to_Y/His_Holiness_Radhanath_Swami/Lectures/00_-_Year_wise/Devotional_Nectar_-_1991/1991-011_Being_A_Humble_Servant_SB-09_04_24_Mumbai_-_01-02-91_IDesireTree.mp3", "1991-011_Being_A_Humble_Servant_SB-09_04_24_Mumbai_-_01-02-91_IDesireTree.mp3")</f>
        <v>1991-011_Being_A_Humble_Servant_SB-09_04_24_Mumbai_-_01-02-91_IDesireTree.mp3</v>
      </c>
      <c r="D203" s="24"/>
      <c r="E203" s="24"/>
    </row>
    <row r="204">
      <c r="A204" s="25" t="s">
        <v>18352</v>
      </c>
      <c r="B204" s="25" t="s">
        <v>18355</v>
      </c>
      <c r="C204" s="26" t="str">
        <f>HYPERLINK("https://audio.iskcondesiretree.com/02_-_ISKCON_Swamis/ISKCON_Swamis_-_R_to_Y/His_Holiness_Radhanath_Swami/Lectures/00_-_Year_wise/Devotional_Nectar_-_1991/1991-011_Being_A_Humble_Servant_SB-09_04_24_Mumbai_-_Radhanath_Swami_1991-02-01_IDesireTree.mp3", "1991-011_Being_A_Humble_Servant_SB-09_04_24_Mumbai_-_Radhanath_Swami_1991-02-01_IDesireTree.mp3")</f>
        <v>1991-011_Being_A_Humble_Servant_SB-09_04_24_Mumbai_-_Radhanath_Swami_1991-02-01_IDesireTree.mp3</v>
      </c>
      <c r="D204" s="24"/>
      <c r="E204" s="24"/>
    </row>
    <row r="205">
      <c r="A205" s="25" t="s">
        <v>18352</v>
      </c>
      <c r="B205" s="25" t="s">
        <v>18355</v>
      </c>
      <c r="C205" s="26" t="str">
        <f>HYPERLINK("https://audio.iskcondesiretree.com/02_-_ISKCON_Swamis/ISKCON_Swamis_-_R_to_Y/His_Holiness_Radhanath_Swami/Lectures/00_-_Year_wise/Devotional_Nectar_-_1991/1991-012_Spiritual_Sentiments_BG-14_04_Mumbai_-_Radhanath_Swami_1991-02-01_IDesireTree.mp3", "1991-012_Spiritual_Sentiments_BG-14_04_Mumbai_-_Radhanath_Swami_1991-02-01_IDesireTree.mp3")</f>
        <v>1991-012_Spiritual_Sentiments_BG-14_04_Mumbai_-_Radhanath_Swami_1991-02-01_IDesireTree.mp3</v>
      </c>
      <c r="D205" s="24"/>
      <c r="E205" s="24"/>
    </row>
    <row r="206">
      <c r="A206" s="25" t="s">
        <v>18352</v>
      </c>
      <c r="B206" s="25" t="s">
        <v>18355</v>
      </c>
      <c r="C206" s="26" t="str">
        <f>HYPERLINK("https://audio.iskcondesiretree.com/02_-_ISKCON_Swamis/ISKCON_Swamis_-_R_to_Y/His_Holiness_Radhanath_Swami/Lectures/00_-_Year_wise/Devotional_Nectar_-_1991/1991-013_Perfect_Renunciation_SB-09_04_27_Mumbai_-_Radhanath_Swami_1991-02-05_IDesireTree.mp3", "1991-013_Perfect_Renunciation_SB-09_04_27_Mumbai_-_Radhanath_Swami_1991-02-05_IDesireTree.mp3")</f>
        <v>1991-013_Perfect_Renunciation_SB-09_04_27_Mumbai_-_Radhanath_Swami_1991-02-05_IDesireTree.mp3</v>
      </c>
      <c r="D206" s="24"/>
      <c r="E206" s="24"/>
    </row>
    <row r="207">
      <c r="A207" s="25" t="s">
        <v>18352</v>
      </c>
      <c r="B207" s="25" t="s">
        <v>18355</v>
      </c>
      <c r="C207" s="26" t="str">
        <f>HYPERLINK("https://audio.iskcondesiretree.com/02_-_ISKCON_Swamis/ISKCON_Swamis_-_R_to_Y/His_Holiness_Radhanath_Swami/Lectures/00_-_Year_wise/Devotional_Nectar_-_1991/1991-014_Who_Is_crazy_SB-09_04_41-45_Mumbai_-_Radhanath_Swami_1991-02-08_IDesireTree.mp3", "1991-014_Who_Is_crazy_SB-09_04_41-45_Mumbai_-_Radhanath_Swami_1991-02-08_IDesireTree.mp3")</f>
        <v>1991-014_Who_Is_crazy_SB-09_04_41-45_Mumbai_-_Radhanath_Swami_1991-02-08_IDesireTree.mp3</v>
      </c>
      <c r="D207" s="24"/>
      <c r="E207" s="24"/>
    </row>
    <row r="208">
      <c r="A208" s="25" t="s">
        <v>18352</v>
      </c>
      <c r="B208" s="25" t="s">
        <v>18355</v>
      </c>
      <c r="C208" s="26" t="str">
        <f>HYPERLINK("https://audio.iskcondesiretree.com/02_-_ISKCON_Swamis/ISKCON_Swamis_-_R_to_Y/His_Holiness_Radhanath_Swami/Lectures/00_-_Year_wise/Devotional_Nectar_-_1991/1991-015_Eternal_Joy_Of_Soul_SB-09_04_46-47_Mumbai_-_Radhanath_Swami_1991-02-09_IDesireTree.mp3", "1991-015_Eternal_Joy_Of_Soul_SB-09_04_46-47_Mumbai_-_Radhanath_Swami_1991-02-09_IDesireTree.mp3")</f>
        <v>1991-015_Eternal_Joy_Of_Soul_SB-09_04_46-47_Mumbai_-_Radhanath_Swami_1991-02-09_IDesireTree.mp3</v>
      </c>
      <c r="D208" s="24"/>
      <c r="E208" s="24"/>
    </row>
    <row r="209">
      <c r="A209" s="25" t="s">
        <v>18352</v>
      </c>
      <c r="B209" s="25" t="s">
        <v>18355</v>
      </c>
      <c r="C209" s="26" t="str">
        <f>HYPERLINK("https://audio.iskcondesiretree.com/02_-_ISKCON_Swamis/ISKCON_Swamis_-_R_to_Y/His_Holiness_Radhanath_Swami/Lectures/00_-_Year_wise/Devotional_Nectar_-_1991/1991-017_Never_Dream_Of_Offending_A_Devotee_SB-09_04_55-59_Mumbai_-_12-02-91_IDesireTree.mp3", "1991-017_Never_Dream_Of_Offending_A_Devotee_SB-09_04_55-59_Mumbai_-_12-02-91_IDesireTree.mp3")</f>
        <v>1991-017_Never_Dream_Of_Offending_A_Devotee_SB-09_04_55-59_Mumbai_-_12-02-91_IDesireTree.mp3</v>
      </c>
      <c r="D209" s="24"/>
      <c r="E209" s="24"/>
    </row>
    <row r="210">
      <c r="A210" s="25" t="s">
        <v>18352</v>
      </c>
      <c r="B210" s="25" t="s">
        <v>18355</v>
      </c>
      <c r="C210" s="26" t="str">
        <f>HYPERLINK("https://audio.iskcondesiretree.com/02_-_ISKCON_Swamis/ISKCON_Swamis_-_R_to_Y/His_Holiness_Radhanath_Swami/Lectures/00_-_Year_wise/Devotional_Nectar_-_1991/1991-018_Glories_Of_Lord_Shiva_BG-05_45_Mumbai_-_Radhanath_Swami_1991-02-12_IDesireTree.mp3", "1991-018_Glories_Of_Lord_Shiva_BG-05_45_Mumbai_-_Radhanath_Swami_1991-02-12_IDesireTree.mp3")</f>
        <v>1991-018_Glories_Of_Lord_Shiva_BG-05_45_Mumbai_-_Radhanath_Swami_1991-02-12_IDesireTree.mp3</v>
      </c>
      <c r="D210" s="24"/>
      <c r="E210" s="24"/>
    </row>
    <row r="211">
      <c r="A211" s="25" t="s">
        <v>18352</v>
      </c>
      <c r="B211" s="25" t="s">
        <v>18355</v>
      </c>
      <c r="C211" s="26" t="str">
        <f>HYPERLINK("https://audio.iskcondesiretree.com/02_-_ISKCON_Swamis/ISKCON_Swamis_-_R_to_Y/His_Holiness_Radhanath_Swami/Lectures/00_-_Year_wise/Devotional_Nectar_-_1991/1991-019_Being_Pious_BG-07_28_Mumbai_-_Radhanath_Swami_1991-02-13_IDesireTree.mp3", "1991-019_Being_Pious_BG-07_28_Mumbai_-_Radhanath_Swami_1991-02-13_IDesireTree.mp3")</f>
        <v>1991-019_Being_Pious_BG-07_28_Mumbai_-_Radhanath_Swami_1991-02-13_IDesireTree.mp3</v>
      </c>
      <c r="D211" s="24"/>
      <c r="E211" s="24"/>
    </row>
    <row r="212">
      <c r="A212" s="25" t="s">
        <v>18352</v>
      </c>
      <c r="B212" s="25" t="s">
        <v>18355</v>
      </c>
      <c r="C212" s="26" t="str">
        <f>HYPERLINK("https://audio.iskcondesiretree.com/02_-_ISKCON_Swamis/ISKCON_Swamis_-_R_to_Y/His_Holiness_Radhanath_Swami/Lectures/00_-_Year_wise/Devotional_Nectar_-_1991/1991-021_Punishment_for_a_vaishnava_offence_SB-09_04_68_Mumbai_-_18-2-91_IDesireTree.mp3", "1991-021_Punishment_for_a_vaishnava_offence_SB-09_04_68_Mumbai_-_18-2-91_IDesireTree.mp3")</f>
        <v>1991-021_Punishment_for_a_vaishnava_offence_SB-09_04_68_Mumbai_-_18-2-91_IDesireTree.mp3</v>
      </c>
      <c r="D212" s="24"/>
      <c r="E212" s="24"/>
    </row>
    <row r="213">
      <c r="A213" s="25" t="s">
        <v>18352</v>
      </c>
      <c r="B213" s="25" t="s">
        <v>18355</v>
      </c>
      <c r="C213" s="26" t="str">
        <f>HYPERLINK("https://audio.iskcondesiretree.com/02_-_ISKCON_Swamis/ISKCON_Swamis_-_R_to_Y/His_Holiness_Radhanath_Swami/Lectures/00_-_Year_wise/Devotional_Nectar_-_1991/1991-022_Pleasing_The_Spiritual_Master_BG-01_29_Mumbai_-_Radhanath_Swami_1991-02-24_IDesireTree.mp3", "1991-022_Pleasing_The_Spiritual_Master_BG-01_29_Mumbai_-_Radhanath_Swami_1991-02-24_IDesireTree.mp3")</f>
        <v>1991-022_Pleasing_The_Spiritual_Master_BG-01_29_Mumbai_-_Radhanath_Swami_1991-02-24_IDesireTree.mp3</v>
      </c>
      <c r="D213" s="24"/>
      <c r="E213" s="24"/>
    </row>
    <row r="214">
      <c r="A214" s="25" t="s">
        <v>18352</v>
      </c>
      <c r="B214" s="25" t="s">
        <v>18355</v>
      </c>
      <c r="C214" s="26" t="str">
        <f>HYPERLINK("https://audio.iskcondesiretree.com/02_-_ISKCON_Swamis/ISKCON_Swamis_-_R_to_Y/His_Holiness_Radhanath_Swami/Lectures/00_-_Year_wise/Devotional_Nectar_-_1991/1991-023_Surrender_To_His_Love_And_Mercy_Lecture_Mumbai_-_Radhanath_Swami_1991-02-27_IDesireTree.mp3", "1991-023_Surrender_To_His_Love_And_Mercy_Lecture_Mumbai_-_Radhanath_Swami_1991-02-27_IDesireTree.mp3")</f>
        <v>1991-023_Surrender_To_His_Love_And_Mercy_Lecture_Mumbai_-_Radhanath_Swami_1991-02-27_IDesireTree.mp3</v>
      </c>
      <c r="D214" s="24"/>
      <c r="E214" s="24"/>
    </row>
    <row r="215">
      <c r="A215" s="25" t="s">
        <v>18352</v>
      </c>
      <c r="B215" s="25" t="s">
        <v>18355</v>
      </c>
      <c r="C215" s="26" t="str">
        <f>HYPERLINK("https://audio.iskcondesiretree.com/02_-_ISKCON_Swamis/ISKCON_Swamis_-_R_to_Y/His_Holiness_Radhanath_Swami/Lectures/00_-_Year_wise/Devotional_Nectar_-_1991/1991-024_God_Becomes_Servant_Of_His_Devotees_SB-01_8_20-21_Mumbai_-_27-02-91_IDesireTree.mp3", "1991-024_God_Becomes_Servant_Of_His_Devotees_SB-01_8_20-21_Mumbai_-_27-02-91_IDesireTree.mp3")</f>
        <v>1991-024_God_Becomes_Servant_Of_His_Devotees_SB-01_8_20-21_Mumbai_-_27-02-91_IDesireTree.mp3</v>
      </c>
      <c r="D215" s="24"/>
      <c r="E215" s="24"/>
    </row>
    <row r="216">
      <c r="A216" s="25" t="s">
        <v>18352</v>
      </c>
      <c r="B216" s="25" t="s">
        <v>18355</v>
      </c>
      <c r="C216" s="26" t="str">
        <f>HYPERLINK("https://audio.iskcondesiretree.com/02_-_ISKCON_Swamis/ISKCON_Swamis_-_R_to_Y/His_Holiness_Radhanath_Swami/Lectures/00_-_Year_wise/Devotional_Nectar_-_1991/1991-025_Chaitanya_Charitamrita_Reading_Lecture_Mumbai_-_Radhanath_Swami_1991-02-28_IDesireTree.mp3", "1991-025_Chaitanya_Charitamrita_Reading_Lecture_Mumbai_-_Radhanath_Swami_1991-02-28_IDesireTree.mp3")</f>
        <v>1991-025_Chaitanya_Charitamrita_Reading_Lecture_Mumbai_-_Radhanath_Swami_1991-02-28_IDesireTree.mp3</v>
      </c>
      <c r="D216" s="24"/>
      <c r="E216" s="24"/>
    </row>
    <row r="217">
      <c r="A217" s="25" t="s">
        <v>18352</v>
      </c>
      <c r="B217" s="25" t="s">
        <v>18355</v>
      </c>
      <c r="C217" s="26" t="str">
        <f>HYPERLINK("https://audio.iskcondesiretree.com/02_-_ISKCON_Swamis/ISKCON_Swamis_-_R_to_Y/His_Holiness_Radhanath_Swami/Lectures/00_-_Year_wise/Devotional_Nectar_-_1991/1991-026_Beyond_Liberation_CC_AL-01_35_Mumbai_-_Radhanath_Swami_1991-02-28_IDesireTree.mp3", "1991-026_Beyond_Liberation_CC_AL-01_35_Mumbai_-_Radhanath_Swami_1991-02-28_IDesireTree.mp3")</f>
        <v>1991-026_Beyond_Liberation_CC_AL-01_35_Mumbai_-_Radhanath_Swami_1991-02-28_IDesireTree.mp3</v>
      </c>
      <c r="D217" s="24"/>
      <c r="E217" s="24"/>
    </row>
    <row r="218">
      <c r="A218" s="25" t="s">
        <v>18352</v>
      </c>
      <c r="B218" s="25" t="s">
        <v>18355</v>
      </c>
      <c r="C218" s="26" t="str">
        <f>HYPERLINK("https://audio.iskcondesiretree.com/02_-_ISKCON_Swamis/ISKCON_Swamis_-_R_to_Y/His_Holiness_Radhanath_Swami/Lectures/00_-_Year_wise/Devotional_Nectar_-_1991/1991-027_True_Principles_Of_Religion_Lecture_Mumbai_-_Radhanath_Swami_1991-03-02_IDesireTree.mp3", "1991-027_True_Principles_Of_Religion_Lecture_Mumbai_-_Radhanath_Swami_1991-03-02_IDesireTree.mp3")</f>
        <v>1991-027_True_Principles_Of_Religion_Lecture_Mumbai_-_Radhanath_Swami_1991-03-02_IDesireTree.mp3</v>
      </c>
      <c r="D218" s="24"/>
      <c r="E218" s="24"/>
    </row>
    <row r="219">
      <c r="A219" s="25" t="s">
        <v>18352</v>
      </c>
      <c r="B219" s="25" t="s">
        <v>18355</v>
      </c>
      <c r="C219" s="26" t="str">
        <f>HYPERLINK("https://audio.iskcondesiretree.com/02_-_ISKCON_Swamis/ISKCON_Swamis_-_R_to_Y/His_Holiness_Radhanath_Swami/Lectures/00_-_Year_wise/Devotional_Nectar_-_1991/1991-028_Questions_And_Answers_Lecture_Pune_-_Radhanath_Swami_1991-03-02_IDesireTree.mp3", "1991-028_Questions_And_Answers_Lecture_Pune_-_Radhanath_Swami_1991-03-02_IDesireTree.mp3")</f>
        <v>1991-028_Questions_And_Answers_Lecture_Pune_-_Radhanath_Swami_1991-03-02_IDesireTree.mp3</v>
      </c>
      <c r="D219" s="24"/>
      <c r="E219" s="24"/>
    </row>
    <row r="220">
      <c r="A220" s="25" t="s">
        <v>18352</v>
      </c>
      <c r="B220" s="25" t="s">
        <v>18355</v>
      </c>
      <c r="C220" s="26" t="str">
        <f>HYPERLINK("https://audio.iskcondesiretree.com/02_-_ISKCON_Swamis/ISKCON_Swamis_-_R_to_Y/His_Holiness_Radhanath_Swami/Lectures/00_-_Year_wise/Devotional_Nectar_-_1991/1991-029_Liberation_Is_Useless_SB-09_05_25_Mumbai_-_Radhanath_Swami_1991-03-05_IDesireTree.mp3", "1991-029_Liberation_Is_Useless_SB-09_05_25_Mumbai_-_Radhanath_Swami_1991-03-05_IDesireTree.mp3")</f>
        <v>1991-029_Liberation_Is_Useless_SB-09_05_25_Mumbai_-_Radhanath_Swami_1991-03-05_IDesireTree.mp3</v>
      </c>
      <c r="D220" s="24"/>
      <c r="E220" s="24"/>
    </row>
    <row r="221">
      <c r="A221" s="25" t="s">
        <v>18352</v>
      </c>
      <c r="B221" s="25" t="s">
        <v>18355</v>
      </c>
      <c r="C221" s="26" t="str">
        <f>HYPERLINK("https://audio.iskcondesiretree.com/02_-_ISKCON_Swamis/ISKCON_Swamis_-_R_to_Y/His_Holiness_Radhanath_Swami/Lectures/00_-_Year_wise/Devotional_Nectar_-_1991/1991-030_Renunciation_is_to_give_SB-09_05_26_Mumbai_-_Radhanath_Swami_1991-03-06_IDesireTree.mp3", "1991-030_Renunciation_is_to_give_SB-09_05_26_Mumbai_-_Radhanath_Swami_1991-03-06_IDesireTree.mp3")</f>
        <v>1991-030_Renunciation_is_to_give_SB-09_05_26_Mumbai_-_Radhanath_Swami_1991-03-06_IDesireTree.mp3</v>
      </c>
      <c r="D221" s="24"/>
      <c r="E221" s="24"/>
    </row>
    <row r="222">
      <c r="A222" s="25" t="s">
        <v>18352</v>
      </c>
      <c r="B222" s="25" t="s">
        <v>18355</v>
      </c>
      <c r="C222" s="26" t="str">
        <f>HYPERLINK("https://audio.iskcondesiretree.com/02_-_ISKCON_Swamis/ISKCON_Swamis_-_R_to_Y/His_Holiness_Radhanath_Swami/Lectures/00_-_Year_wise/Devotional_Nectar_-_1991/1991-031_Surrender_And_Faith_BG-11_30-32_Mumbai_-_Radhanath_Swami_1991-03-08_IDesireTree.mp3", "1991-031_Surrender_And_Faith_BG-11_30-32_Mumbai_-_Radhanath_Swami_1991-03-08_IDesireTree.mp3")</f>
        <v>1991-031_Surrender_And_Faith_BG-11_30-32_Mumbai_-_Radhanath_Swami_1991-03-08_IDesireTree.mp3</v>
      </c>
      <c r="D222" s="24"/>
      <c r="E222" s="24"/>
    </row>
    <row r="223">
      <c r="A223" s="25" t="s">
        <v>18352</v>
      </c>
      <c r="B223" s="25" t="s">
        <v>18355</v>
      </c>
      <c r="C223" s="26" t="str">
        <f>HYPERLINK("https://audio.iskcondesiretree.com/02_-_ISKCON_Swamis/ISKCON_Swamis_-_R_to_Y/His_Holiness_Radhanath_Swami/Lectures/00_-_Year_wise/Devotional_Nectar_-_1991/1991-032_What_Is_Civilisation_BG-04_09_Mumbai_-_Radhanath_Swami_1991-03-09_IDesireTree.mp3", "1991-032_What_Is_Civilisation_BG-04_09_Mumbai_-_Radhanath_Swami_1991-03-09_IDesireTree.mp3")</f>
        <v>1991-032_What_Is_Civilisation_BG-04_09_Mumbai_-_Radhanath_Swami_1991-03-09_IDesireTree.mp3</v>
      </c>
      <c r="D223" s="24"/>
      <c r="E223" s="24"/>
    </row>
    <row r="224">
      <c r="A224" s="25" t="s">
        <v>18352</v>
      </c>
      <c r="B224" s="25" t="s">
        <v>18355</v>
      </c>
      <c r="C224" s="26" t="str">
        <f>HYPERLINK("https://audio.iskcondesiretree.com/02_-_ISKCON_Swamis/ISKCON_Swamis_-_R_to_Y/His_Holiness_Radhanath_Swami/Lectures/00_-_Year_wise/Devotional_Nectar_-_1991/1991-033_The_Pitfall_Of_Maya_SB-09_06_39-46_Mumbai_-_Radhanath_Swami_1991-03-09_IDesireTree.mp3", "1991-033_The_Pitfall_Of_Maya_SB-09_06_39-46_Mumbai_-_Radhanath_Swami_1991-03-09_IDesireTree.mp3")</f>
        <v>1991-033_The_Pitfall_Of_Maya_SB-09_06_39-46_Mumbai_-_Radhanath_Swami_1991-03-09_IDesireTree.mp3</v>
      </c>
      <c r="D224" s="24"/>
      <c r="E224" s="24"/>
    </row>
    <row r="225">
      <c r="A225" s="25" t="s">
        <v>18352</v>
      </c>
      <c r="B225" s="25" t="s">
        <v>18355</v>
      </c>
      <c r="C225" s="26" t="str">
        <f>HYPERLINK("https://audio.iskcondesiretree.com/02_-_ISKCON_Swamis/ISKCON_Swamis_-_R_to_Y/His_Holiness_Radhanath_Swami/Lectures/00_-_Year_wise/Devotional_Nectar_-_1991/1991-034_Everything_Is_Perfect_BG-12_13-14_Mumbai_-_Radhanath_Swami_1991-03-10_IDesireTree.mp3", "1991-034_Everything_Is_Perfect_BG-12_13-14_Mumbai_-_Radhanath_Swami_1991-03-10_IDesireTree.mp3")</f>
        <v>1991-034_Everything_Is_Perfect_BG-12_13-14_Mumbai_-_Radhanath_Swami_1991-03-10_IDesireTree.mp3</v>
      </c>
      <c r="D225" s="24"/>
      <c r="E225" s="24"/>
    </row>
    <row r="226">
      <c r="A226" s="25" t="s">
        <v>18352</v>
      </c>
      <c r="B226" s="25" t="s">
        <v>18355</v>
      </c>
      <c r="C226" s="26" t="str">
        <f>HYPERLINK("https://audio.iskcondesiretree.com/02_-_ISKCON_Swamis/ISKCON_Swamis_-_R_to_Y/His_Holiness_Radhanath_Swami/Lectures/00_-_Year_wise/Devotional_Nectar_-_1991/1991-035_Miseries_Of_Sex_Attraction_SB-9_10_9-11_Mumbai_-_28-04-91_IDesireTree.mp3", "1991-035_Miseries_Of_Sex_Attraction_SB-9_10_9-11_Mumbai_-_28-04-91_IDesireTree.mp3")</f>
        <v>1991-035_Miseries_Of_Sex_Attraction_SB-9_10_9-11_Mumbai_-_28-04-91_IDesireTree.mp3</v>
      </c>
      <c r="D226" s="24"/>
      <c r="E226" s="24"/>
    </row>
    <row r="227">
      <c r="A227" s="25" t="s">
        <v>18352</v>
      </c>
      <c r="B227" s="25" t="s">
        <v>18355</v>
      </c>
      <c r="C227" s="26" t="str">
        <f>HYPERLINK("https://audio.iskcondesiretree.com/02_-_ISKCON_Swamis/ISKCON_Swamis_-_R_to_Y/His_Holiness_Radhanath_Swami/Lectures/00_-_Year_wise/Devotional_Nectar_-_1991/1991-036_Krishna_Is_Perfect_BG-06_33-34_Mumbai_-_Radhanath_Swami_1991-04-28_IDesireTree.mp3", "1991-036_Krishna_Is_Perfect_BG-06_33-34_Mumbai_-_Radhanath_Swami_1991-04-28_IDesireTree.mp3")</f>
        <v>1991-036_Krishna_Is_Perfect_BG-06_33-34_Mumbai_-_Radhanath_Swami_1991-04-28_IDesireTree.mp3</v>
      </c>
      <c r="D227" s="24"/>
      <c r="E227" s="24"/>
    </row>
    <row r="228">
      <c r="A228" s="25" t="s">
        <v>18352</v>
      </c>
      <c r="B228" s="25" t="s">
        <v>18355</v>
      </c>
      <c r="C228" s="26" t="str">
        <f>HYPERLINK("https://audio.iskcondesiretree.com/02_-_ISKCON_Swamis/ISKCON_Swamis_-_R_to_Y/His_Holiness_Radhanath_Swami/Lectures/00_-_Year_wise/Devotional_Nectar_-_1991/1991-037_Why_Vaishnavas_Appear_To_Be_Defeated_SB-09_10_12_Mumbai_-_29-04-91_IDesireTree.mp3", "1991-037_Why_Vaishnavas_Appear_To_Be_Defeated_SB-09_10_12_Mumbai_-_29-04-91_IDesireTree.mp3")</f>
        <v>1991-037_Why_Vaishnavas_Appear_To_Be_Defeated_SB-09_10_12_Mumbai_-_29-04-91_IDesireTree.mp3</v>
      </c>
      <c r="D228" s="24"/>
      <c r="E228" s="24"/>
    </row>
    <row r="229">
      <c r="A229" s="25" t="s">
        <v>18352</v>
      </c>
      <c r="B229" s="25" t="s">
        <v>18355</v>
      </c>
      <c r="C229" s="26" t="str">
        <f>HYPERLINK("https://audio.iskcondesiretree.com/02_-_ISKCON_Swamis/ISKCON_Swamis_-_R_to_Y/His_Holiness_Radhanath_Swami/Lectures/00_-_Year_wise/Devotional_Nectar_-_1991/1991-038_Abandaning_krsna_is_disasterous_SB-09_10_15_Mumbai_-_01-5-91_IDesireTree.mp3", "1991-038_Abandaning_krsna_is_disasterous_SB-09_10_15_Mumbai_-_01-5-91_IDesireTree.mp3")</f>
        <v>1991-038_Abandaning_krsna_is_disasterous_SB-09_10_15_Mumbai_-_01-5-91_IDesireTree.mp3</v>
      </c>
      <c r="D229" s="24"/>
      <c r="E229" s="24"/>
    </row>
    <row r="230">
      <c r="A230" s="25" t="s">
        <v>18352</v>
      </c>
      <c r="B230" s="25" t="s">
        <v>18355</v>
      </c>
      <c r="C230" s="26" t="str">
        <f>HYPERLINK("https://audio.iskcondesiretree.com/02_-_ISKCON_Swamis/ISKCON_Swamis_-_R_to_Y/His_Holiness_Radhanath_Swami/Lectures/00_-_Year_wise/Devotional_Nectar_-_1991/1991-039_How_To_Overcome_Material_Energy_BG-07_14_Mumbai_-_02-05-91_IDesireTree.mp3", "1991-039_How_To_Overcome_Material_Energy_BG-07_14_Mumbai_-_02-05-91_IDesireTree.mp3")</f>
        <v>1991-039_How_To_Overcome_Material_Energy_BG-07_14_Mumbai_-_02-05-91_IDesireTree.mp3</v>
      </c>
      <c r="D230" s="24"/>
      <c r="E230" s="24"/>
    </row>
    <row r="231">
      <c r="A231" s="25" t="s">
        <v>18352</v>
      </c>
      <c r="B231" s="25" t="s">
        <v>18355</v>
      </c>
      <c r="C231" s="26" t="str">
        <f>HYPERLINK("https://audio.iskcondesiretree.com/02_-_ISKCON_Swamis/ISKCON_Swamis_-_R_to_Y/His_Holiness_Radhanath_Swami/Lectures/00_-_Year_wise/Devotional_Nectar_-_1991/1991-040_Krishna%27s_Inconceivable_Potency_SB-09_10_16_Mumbai_-_03-05-91_IDesireTree.mp3", "1991-040_Krishna%27s_Inconceivable_Potency_SB-09_10_16_Mumbai_-_03-05-91_IDesireTree.mp3")</f>
        <v>1991-040_Krishna%27s_Inconceivable_Potency_SB-09_10_16_Mumbai_-_03-05-91_IDesireTree.mp3</v>
      </c>
      <c r="D231" s="24"/>
      <c r="E231" s="24"/>
    </row>
    <row r="232">
      <c r="A232" s="25" t="s">
        <v>18352</v>
      </c>
      <c r="B232" s="25" t="s">
        <v>18355</v>
      </c>
      <c r="C232" s="26" t="str">
        <f>HYPERLINK("https://audio.iskcondesiretree.com/02_-_ISKCON_Swamis/ISKCON_Swamis_-_R_to_Y/His_Holiness_Radhanath_Swami/Lectures/00_-_Year_wise/Devotional_Nectar_-_1991/1991-041_The_Story_Of_Markandeya_Muni_Lecture_Mumbai_-_Radhanath_Swami_1991-05-03_IDesireTree.mp3", "1991-041_The_Story_Of_Markandeya_Muni_Lecture_Mumbai_-_Radhanath_Swami_1991-05-03_IDesireTree.mp3")</f>
        <v>1991-041_The_Story_Of_Markandeya_Muni_Lecture_Mumbai_-_Radhanath_Swami_1991-05-03_IDesireTree.mp3</v>
      </c>
      <c r="D232" s="24"/>
      <c r="E232" s="24"/>
    </row>
    <row r="233">
      <c r="A233" s="25" t="s">
        <v>18352</v>
      </c>
      <c r="B233" s="25" t="s">
        <v>18355</v>
      </c>
      <c r="C233" s="26" t="str">
        <f>HYPERLINK("https://audio.iskcondesiretree.com/02_-_ISKCON_Swamis/ISKCON_Swamis_-_R_to_Y/His_Holiness_Radhanath_Swami/Lectures/00_-_Year_wise/Devotional_Nectar_-_1991/1991-042_Raghunath_Das_Goswami_SB-10_36_01_Mumbai_-_Radhanath_Swami_1991-05-04_IDesireTree.mp3", "1991-042_Raghunath_Das_Goswami_SB-10_36_01_Mumbai_-_Radhanath_Swami_1991-05-04_IDesireTree.mp3")</f>
        <v>1991-042_Raghunath_Das_Goswami_SB-10_36_01_Mumbai_-_Radhanath_Swami_1991-05-04_IDesireTree.mp3</v>
      </c>
      <c r="D233" s="24"/>
      <c r="E233" s="24"/>
    </row>
    <row r="234">
      <c r="A234" s="25" t="s">
        <v>18352</v>
      </c>
      <c r="B234" s="25" t="s">
        <v>18355</v>
      </c>
      <c r="C234" s="26" t="str">
        <f>HYPERLINK("https://audio.iskcondesiretree.com/02_-_ISKCON_Swamis/ISKCON_Swamis_-_R_to_Y/His_Holiness_Radhanath_Swami/Lectures/00_-_Year_wise/Devotional_Nectar_-_1991/1991-043_Lecture_To_College_Students_Lecture_Mumbai_-_Radhanath_Swami_-1991-05-04_IDesireTree.mp3", "1991-043_Lecture_To_College_Students_Lecture_Mumbai_-_Radhanath_Swami_-1991-05-04_IDesireTree.mp3")</f>
        <v>1991-043_Lecture_To_College_Students_Lecture_Mumbai_-_Radhanath_Swami_-1991-05-04_IDesireTree.mp3</v>
      </c>
      <c r="D234" s="24"/>
      <c r="E234" s="24"/>
    </row>
    <row r="235">
      <c r="A235" s="25" t="s">
        <v>18352</v>
      </c>
      <c r="B235" s="25" t="s">
        <v>18355</v>
      </c>
      <c r="C235" s="26" t="str">
        <f>HYPERLINK("https://audio.iskcondesiretree.com/02_-_ISKCON_Swamis/ISKCON_Swamis_-_R_to_Y/His_Holiness_Radhanath_Swami/Lectures/00_-_Year_wise/Devotional_Nectar_-_1991/1991-044_The_Pastimes_Of_Lord_Ramachandra_SB-09_10_31-38_Mumbai_-_09-05-91_IDesireTree.mp3", "1991-044_The_Pastimes_Of_Lord_Ramachandra_SB-09_10_31-38_Mumbai_-_09-05-91_IDesireTree.mp3")</f>
        <v>1991-044_The_Pastimes_Of_Lord_Ramachandra_SB-09_10_31-38_Mumbai_-_09-05-91_IDesireTree.mp3</v>
      </c>
      <c r="D235" s="24"/>
      <c r="E235" s="24"/>
    </row>
    <row r="236">
      <c r="A236" s="25" t="s">
        <v>18352</v>
      </c>
      <c r="B236" s="25" t="s">
        <v>18355</v>
      </c>
      <c r="C236" s="26" t="str">
        <f>HYPERLINK("https://audio.iskcondesiretree.com/02_-_ISKCON_Swamis/ISKCON_Swamis_-_R_to_Y/His_Holiness_Radhanath_Swami/Lectures/00_-_Year_wise/Devotional_Nectar_-_1991/1991-045_Being_Pious_BG-07_28_Mumbai_-_Radhanath_Swami_1991-05-10_IDesireTree.mp3", "1991-045_Being_Pious_BG-07_28_Mumbai_-_Radhanath_Swami_1991-05-10_IDesireTree.mp3")</f>
        <v>1991-045_Being_Pious_BG-07_28_Mumbai_-_Radhanath_Swami_1991-05-10_IDesireTree.mp3</v>
      </c>
      <c r="D236" s="24"/>
      <c r="E236" s="24"/>
    </row>
    <row r="237">
      <c r="A237" s="25" t="s">
        <v>18352</v>
      </c>
      <c r="B237" s="25" t="s">
        <v>18355</v>
      </c>
      <c r="C237" s="26" t="str">
        <f>HYPERLINK("https://audio.iskcondesiretree.com/02_-_ISKCON_Swamis/ISKCON_Swamis_-_R_to_Y/His_Holiness_Radhanath_Swami/Lectures/00_-_Year_wise/Devotional_Nectar_-_1991/1991-046_Advent_Of_Kaliyuga_SB-09_10_51_Mumbai_-_Radhanath_Swami_1991-05-11_IDesireTree.mp3", "1991-046_Advent_Of_Kaliyuga_SB-09_10_51_Mumbai_-_Radhanath_Swami_1991-05-11_IDesireTree.mp3")</f>
        <v>1991-046_Advent_Of_Kaliyuga_SB-09_10_51_Mumbai_-_Radhanath_Swami_1991-05-11_IDesireTree.mp3</v>
      </c>
      <c r="D237" s="24"/>
      <c r="E237" s="24"/>
    </row>
    <row r="238">
      <c r="A238" s="25" t="s">
        <v>18352</v>
      </c>
      <c r="B238" s="25" t="s">
        <v>18355</v>
      </c>
      <c r="C238" s="26" t="str">
        <f>HYPERLINK("https://audio.iskcondesiretree.com/02_-_ISKCON_Swamis/ISKCON_Swamis_-_R_to_Y/His_Holiness_Radhanath_Swami/Lectures/00_-_Year_wise/Devotional_Nectar_-_1991/1991-047_Bandaged_Society_SB-05_12_02_Mumbai_-_Radhanath_Swami_1991-05-12_IDesireTree.mp3", "1991-047_Bandaged_Society_SB-05_12_02_Mumbai_-_Radhanath_Swami_1991-05-12_IDesireTree.mp3")</f>
        <v>1991-047_Bandaged_Society_SB-05_12_02_Mumbai_-_Radhanath_Swami_1991-05-12_IDesireTree.mp3</v>
      </c>
      <c r="D238" s="24"/>
      <c r="E238" s="24"/>
    </row>
    <row r="239">
      <c r="A239" s="25" t="s">
        <v>18352</v>
      </c>
      <c r="B239" s="25" t="s">
        <v>18355</v>
      </c>
      <c r="C239" s="26" t="str">
        <f>HYPERLINK("https://audio.iskcondesiretree.com/02_-_ISKCON_Swamis/ISKCON_Swamis_-_R_to_Y/His_Holiness_Radhanath_Swami/Lectures/00_-_Year_wise/Devotional_Nectar_-_1991/1991-048_Life_After_Death_Lecture_Mumbai_-_Radhanath_Swami_1991-05-12_IDesireTree.mp3", "1991-048_Life_After_Death_Lecture_Mumbai_-_Radhanath_Swami_1991-05-12_IDesireTree.mp3")</f>
        <v>1991-048_Life_After_Death_Lecture_Mumbai_-_Radhanath_Swami_1991-05-12_IDesireTree.mp3</v>
      </c>
      <c r="D239" s="24"/>
      <c r="E239" s="24"/>
    </row>
    <row r="240">
      <c r="A240" s="25" t="s">
        <v>18352</v>
      </c>
      <c r="B240" s="25" t="s">
        <v>18355</v>
      </c>
      <c r="C240" s="26" t="str">
        <f>HYPERLINK("https://audio.iskcondesiretree.com/02_-_ISKCON_Swamis/ISKCON_Swamis_-_R_to_Y/His_Holiness_Radhanath_Swami/Lectures/00_-_Year_wise/Devotional_Nectar_-_1991/1991-049_Pleasing_Two_Is_Impossible_Lecture_Mumbai_-_Radhanath_Swami_1991-05-12_IDesireTree.mp3", "1991-049_Pleasing_Two_Is_Impossible_Lecture_Mumbai_-_Radhanath_Swami_1991-05-12_IDesireTree.mp3")</f>
        <v>1991-049_Pleasing_Two_Is_Impossible_Lecture_Mumbai_-_Radhanath_Swami_1991-05-12_IDesireTree.mp3</v>
      </c>
      <c r="D240" s="24"/>
      <c r="E240" s="24"/>
    </row>
    <row r="241">
      <c r="A241" s="25" t="s">
        <v>18352</v>
      </c>
      <c r="B241" s="25" t="s">
        <v>18355</v>
      </c>
      <c r="C241" s="26" t="str">
        <f>HYPERLINK("https://audio.iskcondesiretree.com/02_-_ISKCON_Swamis/ISKCON_Swamis_-_R_to_Y/His_Holiness_Radhanath_Swami/Lectures/00_-_Year_wise/Devotional_Nectar_-_1991/1991-050_Real_Vrindavan_SB-09_11_19_Mumbai_-_Radhanath_Swami_1991-05-21_IDesireTree.mp3", "1991-050_Real_Vrindavan_SB-09_11_19_Mumbai_-_Radhanath_Swami_1991-05-21_IDesireTree.mp3")</f>
        <v>1991-050_Real_Vrindavan_SB-09_11_19_Mumbai_-_Radhanath_Swami_1991-05-21_IDesireTree.mp3</v>
      </c>
      <c r="D241" s="24"/>
      <c r="E241" s="24"/>
    </row>
    <row r="242">
      <c r="A242" s="25" t="s">
        <v>18352</v>
      </c>
      <c r="B242" s="25" t="s">
        <v>18355</v>
      </c>
      <c r="C242" s="26" t="str">
        <f>HYPERLINK("https://audio.iskcondesiretree.com/02_-_ISKCON_Swamis/ISKCON_Swamis_-_R_to_Y/His_Holiness_Radhanath_Swami/Lectures/00_-_Year_wise/Devotional_Nectar_-_1991/1991-051_Atheists_Stand_No_Chance_BG-09_12_Mumbai_-_Radhanath_Swami_1991-05-24_IDesireTree.mp3", "1991-051_Atheists_Stand_No_Chance_BG-09_12_Mumbai_-_Radhanath_Swami_1991-05-24_IDesireTree.mp3")</f>
        <v>1991-051_Atheists_Stand_No_Chance_BG-09_12_Mumbai_-_Radhanath_Swami_1991-05-24_IDesireTree.mp3</v>
      </c>
      <c r="D242" s="24"/>
      <c r="E242" s="24"/>
    </row>
    <row r="243">
      <c r="A243" s="25" t="s">
        <v>18352</v>
      </c>
      <c r="B243" s="25" t="s">
        <v>18355</v>
      </c>
      <c r="C243" s="26" t="str">
        <f>HYPERLINK("https://audio.iskcondesiretree.com/02_-_ISKCON_Swamis/ISKCON_Swamis_-_R_to_Y/His_Holiness_Radhanath_Swami/Lectures/00_-_Year_wise/Devotional_Nectar_-_1991/1991-052_The_Diesease_Of_Envy_SB-09_11_23_Mumbai_-_Radhanath_Swami_1991-05-24_IDesireTree.mp3", "1991-052_The_Diesease_Of_Envy_SB-09_11_23_Mumbai_-_Radhanath_Swami_1991-05-24_IDesireTree.mp3")</f>
        <v>1991-052_The_Diesease_Of_Envy_SB-09_11_23_Mumbai_-_Radhanath_Swami_1991-05-24_IDesireTree.mp3</v>
      </c>
      <c r="D243" s="24"/>
      <c r="E243" s="24"/>
    </row>
    <row r="244">
      <c r="A244" s="25" t="s">
        <v>18352</v>
      </c>
      <c r="B244" s="25" t="s">
        <v>18355</v>
      </c>
      <c r="C244" s="26" t="str">
        <f>HYPERLINK("https://audio.iskcondesiretree.com/02_-_ISKCON_Swamis/ISKCON_Swamis_-_R_to_Y/His_Holiness_Radhanath_Swami/Lectures/00_-_Year_wise/Devotional_Nectar_-_1991/1991-053_Story_Of_Prahlad_Maharaj_SB_Mumbai_-_Radhanath_Swami_1991-05-26_IDesireTree.mp3", "1991-053_Story_Of_Prahlad_Maharaj_SB_Mumbai_-_Radhanath_Swami_1991-05-26_IDesireTree.mp3")</f>
        <v>1991-053_Story_Of_Prahlad_Maharaj_SB_Mumbai_-_Radhanath_Swami_1991-05-26_IDesireTree.mp3</v>
      </c>
      <c r="D244" s="24"/>
      <c r="E244" s="24"/>
    </row>
    <row r="245">
      <c r="A245" s="25" t="s">
        <v>18352</v>
      </c>
      <c r="B245" s="25" t="s">
        <v>18355</v>
      </c>
      <c r="C245" s="26" t="str">
        <f>HYPERLINK("https://audio.iskcondesiretree.com/02_-_ISKCON_Swamis/ISKCON_Swamis_-_R_to_Y/His_Holiness_Radhanath_Swami/Lectures/00_-_Year_wise/Devotional_Nectar_-_1991/1991-054_The_Story_Of_Narasimhadev_Lecture_Mumbai_-_Radhanath_Swami_1991-05-26_IDesireTree.mp3", "1991-054_The_Story_Of_Narasimhadev_Lecture_Mumbai_-_Radhanath_Swami_1991-05-26_IDesireTree.mp3")</f>
        <v>1991-054_The_Story_Of_Narasimhadev_Lecture_Mumbai_-_Radhanath_Swami_1991-05-26_IDesireTree.mp3</v>
      </c>
      <c r="D245" s="24"/>
      <c r="E245" s="24"/>
    </row>
    <row r="246">
      <c r="A246" s="25" t="s">
        <v>18352</v>
      </c>
      <c r="B246" s="25" t="s">
        <v>18355</v>
      </c>
      <c r="C246" s="26" t="str">
        <f>HYPERLINK("https://audio.iskcondesiretree.com/02_-_ISKCON_Swamis/ISKCON_Swamis_-_R_to_Y/His_Holiness_Radhanath_Swami/Lectures/00_-_Year_wise/Devotional_Nectar_-_1991/1991-055_The_Greatness_Of_devotee_SB_-_Radhanath_Swami_1991-05-27_IDesireTree.mp3", "1991-055_The_Greatness_Of_devotee_SB_-_Radhanath_Swami_1991-05-27_IDesireTree.mp3")</f>
        <v>1991-055_The_Greatness_Of_devotee_SB_-_Radhanath_Swami_1991-05-27_IDesireTree.mp3</v>
      </c>
      <c r="D246" s="24"/>
      <c r="E246" s="24"/>
    </row>
    <row r="247">
      <c r="A247" s="25" t="s">
        <v>18352</v>
      </c>
      <c r="B247" s="25" t="s">
        <v>18355</v>
      </c>
      <c r="C247" s="26" t="str">
        <f>HYPERLINK("https://audio.iskcondesiretree.com/02_-_ISKCON_Swamis/ISKCON_Swamis_-_R_to_Y/His_Holiness_Radhanath_Swami/Lectures/00_-_Year_wise/Devotional_Nectar_-_1991/1991-056_Within_Our_Heart_Lecture_Mumbai_-_Radhanath_Swami_1991-05-05_IDesireTree.mp3", "1991-056_Within_Our_Heart_Lecture_Mumbai_-_Radhanath_Swami_1991-05-05_IDesireTree.mp3")</f>
        <v>1991-056_Within_Our_Heart_Lecture_Mumbai_-_Radhanath_Swami_1991-05-05_IDesireTree.mp3</v>
      </c>
      <c r="D247" s="24"/>
      <c r="E247" s="24"/>
    </row>
    <row r="248">
      <c r="A248" s="25" t="s">
        <v>18352</v>
      </c>
      <c r="B248" s="25" t="s">
        <v>18355</v>
      </c>
      <c r="C248" s="26" t="str">
        <f>HYPERLINK("https://audio.iskcondesiretree.com/02_-_ISKCON_Swamis/ISKCON_Swamis_-_R_to_Y/His_Holiness_Radhanath_Swami/Lectures/00_-_Year_wise/Devotional_Nectar_-_1991/1991-057_The_Importance_Of_Chastity_SB-09_10_24-27_Mumbai_-_06-05-91_IDesireTree.mp3", "1991-057_The_Importance_Of_Chastity_SB-09_10_24-27_Mumbai_-_06-05-91_IDesireTree.mp3")</f>
        <v>1991-057_The_Importance_Of_Chastity_SB-09_10_24-27_Mumbai_-_06-05-91_IDesireTree.mp3</v>
      </c>
      <c r="D248" s="24"/>
      <c r="E248" s="24"/>
    </row>
    <row r="249">
      <c r="A249" s="25" t="s">
        <v>18352</v>
      </c>
      <c r="B249" s="25" t="s">
        <v>18355</v>
      </c>
      <c r="C249" s="26" t="str">
        <f>HYPERLINK("https://audio.iskcondesiretree.com/02_-_ISKCON_Swamis/ISKCON_Swamis_-_R_to_Y/His_Holiness_Radhanath_Swami/Lectures/00_-_Year_wise/Devotional_Nectar_-_1991/1991-058_Demons_Are_Killed_In_The_End_SB-09_10_28_Mumbai_-_07-05-91_IDesireTree.mp3", "1991-058_Demons_Are_Killed_In_The_End_SB-09_10_28_Mumbai_-_07-05-91_IDesireTree.mp3")</f>
        <v>1991-058_Demons_Are_Killed_In_The_End_SB-09_10_28_Mumbai_-_07-05-91_IDesireTree.mp3</v>
      </c>
      <c r="D249" s="24"/>
      <c r="E249" s="24"/>
    </row>
    <row r="250">
      <c r="A250" s="25" t="s">
        <v>18352</v>
      </c>
      <c r="B250" s="25" t="s">
        <v>18355</v>
      </c>
      <c r="C250" s="26" t="str">
        <f>HYPERLINK("https://audio.iskcondesiretree.com/02_-_ISKCON_Swamis/ISKCON_Swamis_-_R_to_Y/His_Holiness_Radhanath_Swami/Lectures/00_-_Year_wise/Devotional_Nectar_-_1991/1991-059_Haridas_Thakur_Lecture_Mumbai_-_Radhanath_Swami_1991-06-03_IDesireTree.mp3", "1991-059_Haridas_Thakur_Lecture_Mumbai_-_Radhanath_Swami_1991-06-03_IDesireTree.mp3")</f>
        <v>1991-059_Haridas_Thakur_Lecture_Mumbai_-_Radhanath_Swami_1991-06-03_IDesireTree.mp3</v>
      </c>
      <c r="D250" s="24"/>
      <c r="E250" s="24"/>
    </row>
    <row r="251">
      <c r="A251" s="25" t="s">
        <v>18352</v>
      </c>
      <c r="B251" s="25" t="s">
        <v>18355</v>
      </c>
      <c r="C251" s="26" t="str">
        <f>HYPERLINK("https://audio.iskcondesiretree.com/02_-_ISKCON_Swamis/ISKCON_Swamis_-_R_to_Y/His_Holiness_Radhanath_Swami/Lectures/00_-_Year_wise/Devotional_Nectar_-_1991/1991-060_Dangerous_Road-_Pride_SB-09_14_04-06_Mumbai_-_Radhanath_Swami_1991-06-06_IDesireTree.mp3", "1991-060_Dangerous_Road-_Pride_SB-09_14_04-06_Mumbai_-_Radhanath_Swami_1991-06-06_IDesireTree.mp3")</f>
        <v>1991-060_Dangerous_Road-_Pride_SB-09_14_04-06_Mumbai_-_Radhanath_Swami_1991-06-06_IDesireTree.mp3</v>
      </c>
      <c r="D251" s="24"/>
      <c r="E251" s="24"/>
    </row>
    <row r="252">
      <c r="A252" s="25" t="s">
        <v>18352</v>
      </c>
      <c r="B252" s="25" t="s">
        <v>18355</v>
      </c>
      <c r="C252" s="26" t="str">
        <f>HYPERLINK("https://audio.iskcondesiretree.com/02_-_ISKCON_Swamis/ISKCON_Swamis_-_R_to_Y/His_Holiness_Radhanath_Swami/Lectures/00_-_Year_wise/Devotional_Nectar_-_1991/1991-061_Are_You_The_Proprietor_SB-09_14_08-09_Mumbai_-_Radhanath_Swami_1991-06-07_IDesireTree.mp3", "1991-061_Are_You_The_Proprietor_SB-09_14_08-09_Mumbai_-_Radhanath_Swami_1991-06-07_IDesireTree.mp3")</f>
        <v>1991-061_Are_You_The_Proprietor_SB-09_14_08-09_Mumbai_-_Radhanath_Swami_1991-06-07_IDesireTree.mp3</v>
      </c>
      <c r="D252" s="24"/>
      <c r="E252" s="24"/>
    </row>
    <row r="253">
      <c r="A253" s="25" t="s">
        <v>18352</v>
      </c>
      <c r="B253" s="25" t="s">
        <v>18355</v>
      </c>
      <c r="C253" s="26" t="str">
        <f>HYPERLINK("https://audio.iskcondesiretree.com/02_-_ISKCON_Swamis/ISKCON_Swamis_-_R_to_Y/His_Holiness_Radhanath_Swami/Lectures/00_-_Year_wise/Devotional_Nectar_-_1991/1991-062_Aim_Is_One_Inspite_Of_Disagreement_SB-04_30_8-11_Mumbai_-_07-06-91_IDesireTree.mp3", "1991-062_Aim_Is_One_Inspite_Of_Disagreement_SB-04_30_8-11_Mumbai_-_07-06-91_IDesireTree.mp3")</f>
        <v>1991-062_Aim_Is_One_Inspite_Of_Disagreement_SB-04_30_8-11_Mumbai_-_07-06-91_IDesireTree.mp3</v>
      </c>
      <c r="D253" s="24"/>
      <c r="E253" s="24"/>
    </row>
    <row r="254">
      <c r="A254" s="25" t="s">
        <v>18352</v>
      </c>
      <c r="B254" s="25" t="s">
        <v>18355</v>
      </c>
      <c r="C254" s="26" t="str">
        <f>HYPERLINK("https://audio.iskcondesiretree.com/02_-_ISKCON_Swamis/ISKCON_Swamis_-_R_to_Y/His_Holiness_Radhanath_Swami/Lectures/00_-_Year_wise/Devotional_Nectar_-_1991/1991-063_Obedience_To_Guru_Parampara_CC_AL-01_02_Mumbai_-_Radhanath_Swami_1991-06-08_IDesireTree.mp3", "1991-063_Obedience_To_Guru_Parampara_CC_AL-01_02_Mumbai_-_Radhanath_Swami_1991-06-08_IDesireTree.mp3")</f>
        <v>1991-063_Obedience_To_Guru_Parampara_CC_AL-01_02_Mumbai_-_Radhanath_Swami_1991-06-08_IDesireTree.mp3</v>
      </c>
      <c r="D254" s="24"/>
      <c r="E254" s="24"/>
    </row>
    <row r="255">
      <c r="A255" s="25" t="s">
        <v>18352</v>
      </c>
      <c r="B255" s="25" t="s">
        <v>18355</v>
      </c>
      <c r="C255" s="26" t="str">
        <f>HYPERLINK("https://audio.iskcondesiretree.com/02_-_ISKCON_Swamis/ISKCON_Swamis_-_R_to_Y/His_Holiness_Radhanath_Swami/Lectures/00_-_Year_wise/Devotional_Nectar_-_1991/1991-064_Questions_And_Answers_Q%26A_Mumbai_-_Radhanath_Swami_1991-06-08_IDesireTree.mp3", "1991-064_Questions_And_Answers_Q%26A_Mumbai_-_Radhanath_Swami_1991-06-08_IDesireTree.mp3")</f>
        <v>1991-064_Questions_And_Answers_Q%26A_Mumbai_-_Radhanath_Swami_1991-06-08_IDesireTree.mp3</v>
      </c>
      <c r="D255" s="24"/>
      <c r="E255" s="24"/>
    </row>
    <row r="256">
      <c r="A256" s="25" t="s">
        <v>18352</v>
      </c>
      <c r="B256" s="25" t="s">
        <v>18355</v>
      </c>
      <c r="C256" s="26" t="str">
        <f>HYPERLINK("https://audio.iskcondesiretree.com/02_-_ISKCON_Swamis/ISKCON_Swamis_-_R_to_Y/His_Holiness_Radhanath_Swami/Lectures/00_-_Year_wise/Devotional_Nectar_-_1991/1991-065_Spiritual_Life_is_a_Necessity_Rainbow_Lecture_-_Radhanath_Swami_1991-07-01_IDesireTree.mp3", "1991-065_Spiritual_Life_is_a_Necessity_Rainbow_Lecture_-_Radhanath_Swami_1991-07-01_IDesireTree.mp3")</f>
        <v>1991-065_Spiritual_Life_is_a_Necessity_Rainbow_Lecture_-_Radhanath_Swami_1991-07-01_IDesireTree.mp3</v>
      </c>
      <c r="D256" s="24"/>
      <c r="E256" s="24"/>
    </row>
    <row r="257">
      <c r="A257" s="25" t="s">
        <v>18352</v>
      </c>
      <c r="B257" s="25" t="s">
        <v>18355</v>
      </c>
      <c r="C257" s="26" t="str">
        <f>HYPERLINK("https://audio.iskcondesiretree.com/02_-_ISKCON_Swamis/ISKCON_Swamis_-_R_to_Y/His_Holiness_Radhanath_Swami/Lectures/00_-_Year_wise/Devotional_Nectar_-_1991/1991-066_Devahuti%27s_Enquiries_To_Lord_Kapila_SB-03_25_07_Mumbai_-_01-06-91_IDesireTree.mp3", "1991-066_Devahuti%27s_Enquiries_To_Lord_Kapila_SB-03_25_07_Mumbai_-_01-06-91_IDesireTree.mp3")</f>
        <v>1991-066_Devahuti%27s_Enquiries_To_Lord_Kapila_SB-03_25_07_Mumbai_-_01-06-91_IDesireTree.mp3</v>
      </c>
      <c r="D257" s="24"/>
      <c r="E257" s="24"/>
    </row>
    <row r="258">
      <c r="A258" s="25" t="s">
        <v>18352</v>
      </c>
      <c r="B258" s="25" t="s">
        <v>18355</v>
      </c>
      <c r="C258" s="26" t="str">
        <f>HYPERLINK("https://audio.iskcondesiretree.com/02_-_ISKCON_Swamis/ISKCON_Swamis_-_R_to_Y/His_Holiness_Radhanath_Swami/Lectures/00_-_Year_wise/Devotional_Nectar_-_1991/1991-067_Man_And_Demigods_SB-09_13_11_Mumbai_-_Radhanath_Swami_1991-06-02_IDesireTree.mp3", "1991-067_Man_And_Demigods_SB-09_13_11_Mumbai_-_Radhanath_Swami_1991-06-02_IDesireTree.mp3")</f>
        <v>1991-067_Man_And_Demigods_SB-09_13_11_Mumbai_-_Radhanath_Swami_1991-06-02_IDesireTree.mp3</v>
      </c>
      <c r="D258" s="24"/>
      <c r="E258" s="24"/>
    </row>
    <row r="259">
      <c r="A259" s="25" t="s">
        <v>18352</v>
      </c>
      <c r="B259" s="25" t="s">
        <v>18355</v>
      </c>
      <c r="C259" s="26" t="str">
        <f>HYPERLINK("https://audio.iskcondesiretree.com/02_-_ISKCON_Swamis/ISKCON_Swamis_-_R_to_Y/His_Holiness_Radhanath_Swami/Lectures/00_-_Year_wise/Devotional_Nectar_-_1991/1991-068_Inauspicious_To_Auspicious_SB-09_13_12-13_Mumbai_-_03-06-91_IDesireTree.mp3", "1991-068_Inauspicious_To_Auspicious_SB-09_13_12-13_Mumbai_-_03-06-91_IDesireTree.mp3")</f>
        <v>1991-068_Inauspicious_To_Auspicious_SB-09_13_12-13_Mumbai_-_03-06-91_IDesireTree.mp3</v>
      </c>
      <c r="D259" s="24"/>
      <c r="E259" s="24"/>
    </row>
    <row r="260">
      <c r="A260" s="25" t="s">
        <v>18352</v>
      </c>
      <c r="B260" s="25" t="s">
        <v>18355</v>
      </c>
      <c r="C260" s="26" t="str">
        <f>HYPERLINK("https://audio.iskcondesiretree.com/02_-_ISKCON_Swamis/ISKCON_Swamis_-_R_to_Y/His_Holiness_Radhanath_Swami/Lectures/00_-_Year_wise/Devotional_Nectar_-_1991/1991-069_Blessing_Of_Acharyas_Is_Necessary_Lecture_Mumbai_-_27-05-91_IDesireTree.mp3", "1991-069_Blessing_Of_Acharyas_Is_Necessary_Lecture_Mumbai_-_27-05-91_IDesireTree.mp3")</f>
        <v>1991-069_Blessing_Of_Acharyas_Is_Necessary_Lecture_Mumbai_-_27-05-91_IDesireTree.mp3</v>
      </c>
      <c r="D260" s="24"/>
      <c r="E260" s="24"/>
    </row>
    <row r="261">
      <c r="A261" s="25" t="s">
        <v>18352</v>
      </c>
      <c r="B261" s="25" t="s">
        <v>18355</v>
      </c>
      <c r="C261" s="26" t="str">
        <f>HYPERLINK("https://audio.iskcondesiretree.com/02_-_ISKCON_Swamis/ISKCON_Swamis_-_R_to_Y/His_Holiness_Radhanath_Swami/Lectures/00_-_Year_wise/Devotional_Nectar_-_1991/1991-070_Srinivas_Acarya_and_his_Associates_Lecture_Mumbai_-_27-05-91_IDesireTree.mp3", "1991-070_Srinivas_Acarya_and_his_Associates_Lecture_Mumbai_-_27-05-91_IDesireTree.mp3")</f>
        <v>1991-070_Srinivas_Acarya_and_his_Associates_Lecture_Mumbai_-_27-05-91_IDesireTree.mp3</v>
      </c>
      <c r="D261" s="24"/>
      <c r="E261" s="24"/>
    </row>
    <row r="262">
      <c r="A262" s="25" t="s">
        <v>18352</v>
      </c>
      <c r="B262" s="25" t="s">
        <v>18355</v>
      </c>
      <c r="C262" s="26" t="str">
        <f>HYPERLINK("https://audio.iskcondesiretree.com/02_-_ISKCON_Swamis/ISKCON_Swamis_-_R_to_Y/His_Holiness_Radhanath_Swami/Lectures/00_-_Year_wise/Devotional_Nectar_-_1991/1991-071_Unmotivated_Love_For_God_SB-09_13_09_Mumbai_-_Radhanath_Swami_1991-05-30_IDesireTree.mp3", "1991-071_Unmotivated_Love_For_God_SB-09_13_09_Mumbai_-_Radhanath_Swami_1991-05-30_IDesireTree.mp3")</f>
        <v>1991-071_Unmotivated_Love_For_God_SB-09_13_09_Mumbai_-_Radhanath_Swami_1991-05-30_IDesireTree.mp3</v>
      </c>
      <c r="D262" s="24"/>
      <c r="E262" s="24"/>
    </row>
    <row r="263">
      <c r="A263" s="25" t="s">
        <v>18352</v>
      </c>
      <c r="B263" s="25" t="s">
        <v>18355</v>
      </c>
      <c r="C263" s="26" t="str">
        <f>HYPERLINK("https://audio.iskcondesiretree.com/02_-_ISKCON_Swamis/ISKCON_Swamis_-_R_to_Y/His_Holiness_Radhanath_Swami/Lectures/00_-_Year_wise/Devotional_Nectar_-_1991/1991-072_Like_A_Fish_SB-09_13_10_Mumbai_-_Radhanath_Swami_1991-05-31_IDesireTree.mp3", "1991-072_Like_A_Fish_SB-09_13_10_Mumbai_-_Radhanath_Swami_1991-05-31_IDesireTree.mp3")</f>
        <v>1991-072_Like_A_Fish_SB-09_13_10_Mumbai_-_Radhanath_Swami_1991-05-31_IDesireTree.mp3</v>
      </c>
      <c r="D263" s="24"/>
      <c r="E263" s="24"/>
    </row>
    <row r="264">
      <c r="A264" s="25" t="s">
        <v>18352</v>
      </c>
      <c r="B264" s="25" t="s">
        <v>18355</v>
      </c>
      <c r="C264" s="26" t="str">
        <f>HYPERLINK("https://audio.iskcondesiretree.com/02_-_ISKCON_Swamis/ISKCON_Swamis_-_R_to_Y/His_Holiness_Radhanath_Swami/Lectures/00_-_Year_wise/Devotional_Nectar_-_1991/1991-073_The_Twelve_Mahajans_Lecture_Mumbai_-_Radhanath_Swami_1991-05-31_IDesireTree.mp3", "1991-073_The_Twelve_Mahajans_Lecture_Mumbai_-_Radhanath_Swami_1991-05-31_IDesireTree.mp3")</f>
        <v>1991-073_The_Twelve_Mahajans_Lecture_Mumbai_-_Radhanath_Swami_1991-05-31_IDesireTree.mp3</v>
      </c>
      <c r="D264" s="24"/>
      <c r="E264" s="24"/>
    </row>
    <row r="265">
      <c r="A265" s="25" t="s">
        <v>18352</v>
      </c>
      <c r="B265" s="25" t="s">
        <v>18355</v>
      </c>
      <c r="C265" s="26" t="str">
        <f>HYPERLINK("https://audio.iskcondesiretree.com/02_-_ISKCON_Swamis/ISKCON_Swamis_-_R_to_Y/His_Holiness_Radhanath_Swami/Lectures/00_-_Year_wise/Devotional_Nectar_-_1991/1991-074_Hearing_Is_Beginning_SB-10_01_08_Mumbai_-_Radhanath_Swami_1991-10-12_IDesireTree.mp3", "1991-074_Hearing_Is_Beginning_SB-10_01_08_Mumbai_-_Radhanath_Swami_1991-10-12_IDesireTree.mp3")</f>
        <v>1991-074_Hearing_Is_Beginning_SB-10_01_08_Mumbai_-_Radhanath_Swami_1991-10-12_IDesireTree.mp3</v>
      </c>
      <c r="D265" s="24"/>
      <c r="E265" s="24"/>
    </row>
    <row r="266">
      <c r="A266" s="25" t="s">
        <v>18352</v>
      </c>
      <c r="B266" s="25" t="s">
        <v>18355</v>
      </c>
      <c r="C266" s="26" t="str">
        <f>HYPERLINK("https://audio.iskcondesiretree.com/02_-_ISKCON_Swamis/ISKCON_Swamis_-_R_to_Y/His_Holiness_Radhanath_Swami/Lectures/00_-_Year_wise/Devotional_Nectar_-_1991/1991-075_Refuge_In_Holy_Vibration_Lecture_Mumbai_-_Radhanath_Swami_1991-10-12_IDesireTree.mp3", "1991-075_Refuge_In_Holy_Vibration_Lecture_Mumbai_-_Radhanath_Swami_1991-10-12_IDesireTree.mp3")</f>
        <v>1991-075_Refuge_In_Holy_Vibration_Lecture_Mumbai_-_Radhanath_Swami_1991-10-12_IDesireTree.mp3</v>
      </c>
      <c r="D266" s="24"/>
      <c r="E266" s="24"/>
    </row>
    <row r="267">
      <c r="A267" s="25" t="s">
        <v>18352</v>
      </c>
      <c r="B267" s="25" t="s">
        <v>18355</v>
      </c>
      <c r="C267" s="26" t="str">
        <f>HYPERLINK("https://audio.iskcondesiretree.com/02_-_ISKCON_Swamis/ISKCON_Swamis_-_R_to_Y/His_Holiness_Radhanath_Swami/Lectures/00_-_Year_wise/Devotional_Nectar_-_1991/1991-076_What_Is_Sadhu_SB-05_01_17_Mumbai_-_Radhanath_Swami_1991-10-13_IDesireTree.mp3", "1991-076_What_Is_Sadhu_SB-05_01_17_Mumbai_-_Radhanath_Swami_1991-10-13_IDesireTree.mp3")</f>
        <v>1991-076_What_Is_Sadhu_SB-05_01_17_Mumbai_-_Radhanath_Swami_1991-10-13_IDesireTree.mp3</v>
      </c>
      <c r="D267" s="24"/>
      <c r="E267" s="24"/>
    </row>
    <row r="268">
      <c r="A268" s="25" t="s">
        <v>18352</v>
      </c>
      <c r="B268" s="25" t="s">
        <v>18355</v>
      </c>
      <c r="C268" s="26" t="str">
        <f>HYPERLINK("https://audio.iskcondesiretree.com/02_-_ISKCON_Swamis/ISKCON_Swamis_-_R_to_Y/His_Holiness_Radhanath_Swami/Lectures/00_-_Year_wise/Devotional_Nectar_-_1991/1991-077_Brahman_By_Quality_And_Not_By_Birth_SB-10_01_13_Mumbai_-_14-10-91_IDesireTree.mp3", "1991-077_Brahman_By_Quality_And_Not_By_Birth_SB-10_01_13_Mumbai_-_14-10-91_IDesireTree.mp3")</f>
        <v>1991-077_Brahman_By_Quality_And_Not_By_Birth_SB-10_01_13_Mumbai_-_14-10-91_IDesireTree.mp3</v>
      </c>
      <c r="D268" s="24"/>
      <c r="E268" s="24"/>
    </row>
    <row r="269">
      <c r="A269" s="25" t="s">
        <v>18352</v>
      </c>
      <c r="B269" s="25" t="s">
        <v>18355</v>
      </c>
      <c r="C269" s="26" t="str">
        <f>HYPERLINK("https://audio.iskcondesiretree.com/02_-_ISKCON_Swamis/ISKCON_Swamis_-_R_to_Y/His_Holiness_Radhanath_Swami/Lectures/00_-_Year_wise/Devotional_Nectar_-_1991/1991-078_Perceiving_Vrindavan_Lecture_Mumbai_-_Radhanath_Swami_1991-10-14_IDesireTree.mp3", "1991-078_Perceiving_Vrindavan_Lecture_Mumbai_-_Radhanath_Swami_1991-10-14_IDesireTree.mp3")</f>
        <v>1991-078_Perceiving_Vrindavan_Lecture_Mumbai_-_Radhanath_Swami_1991-10-14_IDesireTree.mp3</v>
      </c>
      <c r="D269" s="24"/>
      <c r="E269" s="24"/>
    </row>
    <row r="270">
      <c r="A270" s="25" t="s">
        <v>18352</v>
      </c>
      <c r="B270" s="25" t="s">
        <v>18355</v>
      </c>
      <c r="C270" s="26" t="str">
        <f>HYPERLINK("https://audio.iskcondesiretree.com/02_-_ISKCON_Swamis/ISKCON_Swamis_-_R_to_Y/His_Holiness_Radhanath_Swami/Lectures/00_-_Year_wise/Devotional_Nectar_-_1991/1991-079_Pure_Bhagavat_Philosophy_SB-10_01_14_Mumbai_-_Radhanath_Swami_1991-10-15_IDesireTree.mp3", "1991-079_Pure_Bhagavat_Philosophy_SB-10_01_14_Mumbai_-_Radhanath_Swami_1991-10-15_IDesireTree.mp3")</f>
        <v>1991-079_Pure_Bhagavat_Philosophy_SB-10_01_14_Mumbai_-_Radhanath_Swami_1991-10-15_IDesireTree.mp3</v>
      </c>
      <c r="D270" s="24"/>
      <c r="E270" s="24"/>
    </row>
    <row r="271">
      <c r="A271" s="25" t="s">
        <v>18352</v>
      </c>
      <c r="B271" s="25" t="s">
        <v>18355</v>
      </c>
      <c r="C271" s="26" t="str">
        <f>HYPERLINK("https://audio.iskcondesiretree.com/02_-_ISKCON_Swamis/ISKCON_Swamis_-_R_to_Y/His_Holiness_Radhanath_Swami/Lectures/00_-_Year_wise/Devotional_Nectar_-_1991/1991-080_Importance_Of_Krishna_Katha_SB-10_01_15_Mumbai_-_Radhanath_Swami_1991-10-16_IDesireTree.mp3", "1991-080_Importance_Of_Krishna_Katha_SB-10_01_15_Mumbai_-_Radhanath_Swami_1991-10-16_IDesireTree.mp3")</f>
        <v>1991-080_Importance_Of_Krishna_Katha_SB-10_01_15_Mumbai_-_Radhanath_Swami_1991-10-16_IDesireTree.mp3</v>
      </c>
      <c r="D271" s="24"/>
      <c r="E271" s="24"/>
    </row>
    <row r="272">
      <c r="A272" s="25" t="s">
        <v>18352</v>
      </c>
      <c r="B272" s="25" t="s">
        <v>18355</v>
      </c>
      <c r="C272" s="26" t="str">
        <f>HYPERLINK("https://audio.iskcondesiretree.com/02_-_ISKCON_Swamis/ISKCON_Swamis_-_R_to_Y/His_Holiness_Radhanath_Swami/Lectures/00_-_Year_wise/Devotional_Nectar_-_1991/1991-081_Ravan_In_Our_Heart_Lecture_Mumbai_-_Radhanath_Swami_1991-10-17_IDesireTree.mp3", "1991-081_Ravan_In_Our_Heart_Lecture_Mumbai_-_Radhanath_Swami_1991-10-17_IDesireTree.mp3")</f>
        <v>1991-081_Ravan_In_Our_Heart_Lecture_Mumbai_-_Radhanath_Swami_1991-10-17_IDesireTree.mp3</v>
      </c>
      <c r="D272" s="24"/>
      <c r="E272" s="24"/>
    </row>
    <row r="273">
      <c r="A273" s="25" t="s">
        <v>18352</v>
      </c>
      <c r="B273" s="25" t="s">
        <v>18355</v>
      </c>
      <c r="C273" s="26" t="str">
        <f>HYPERLINK("https://audio.iskcondesiretree.com/02_-_ISKCON_Swamis/ISKCON_Swamis_-_R_to_Y/His_Holiness_Radhanath_Swami/Lectures/00_-_Year_wise/Devotional_Nectar_-_1991/1991-082_Story_Of_Ajamila_SB-06_03_22-23_Mumbai_-_Radhanath_Swami_1991-10-18_IDesireTree.mp3", "1991-082_Story_Of_Ajamila_SB-06_03_22-23_Mumbai_-_Radhanath_Swami_1991-10-18_IDesireTree.mp3")</f>
        <v>1991-082_Story_Of_Ajamila_SB-06_03_22-23_Mumbai_-_Radhanath_Swami_1991-10-18_IDesireTree.mp3</v>
      </c>
      <c r="D273" s="24"/>
      <c r="E273" s="24"/>
    </row>
    <row r="274">
      <c r="A274" s="25" t="s">
        <v>18352</v>
      </c>
      <c r="B274" s="25" t="s">
        <v>18355</v>
      </c>
      <c r="C274" s="26" t="str">
        <f>HYPERLINK("https://audio.iskcondesiretree.com/02_-_ISKCON_Swamis/ISKCON_Swamis_-_R_to_Y/His_Holiness_Radhanath_Swami/Lectures/00_-_Year_wise/Devotional_Nectar_-_1991/1991-083_Remove_The_Obstacle_Of_Ravana_SB-1_3_22_Mumbai_-_17-10-91_IDesireTree.mp3", "1991-083_Remove_The_Obstacle_Of_Ravana_SB-1_3_22_Mumbai_-_17-10-91_IDesireTree.mp3")</f>
        <v>1991-083_Remove_The_Obstacle_Of_Ravana_SB-1_3_22_Mumbai_-_17-10-91_IDesireTree.mp3</v>
      </c>
      <c r="D274" s="24"/>
      <c r="E274" s="24"/>
    </row>
    <row r="275">
      <c r="A275" s="25" t="s">
        <v>18352</v>
      </c>
      <c r="B275" s="25" t="s">
        <v>18355</v>
      </c>
      <c r="C275" s="26" t="str">
        <f>HYPERLINK("https://audio.iskcondesiretree.com/02_-_ISKCON_Swamis/ISKCON_Swamis_-_R_to_Y/His_Holiness_Radhanath_Swami/Lectures/00_-_Year_wise/Devotional_Nectar_-_1991/1991-084_Rainbow_SB_Class_NV_-_Radhanath_Swami_1991-07-06_IDesireTree.mp3", "1991-084_Rainbow_SB_Class_NV_-_Radhanath_Swami_1991-07-06_IDesireTree.mp3")</f>
        <v>1991-084_Rainbow_SB_Class_NV_-_Radhanath_Swami_1991-07-06_IDesireTree.mp3</v>
      </c>
      <c r="D275" s="24"/>
      <c r="E275" s="24"/>
    </row>
    <row r="276">
      <c r="A276" s="25" t="s">
        <v>18352</v>
      </c>
      <c r="B276" s="25" t="s">
        <v>18355</v>
      </c>
      <c r="C276" s="26" t="str">
        <f>HYPERLINK("https://audio.iskcondesiretree.com/02_-_ISKCON_Swamis/ISKCON_Swamis_-_R_to_Y/His_Holiness_Radhanath_Swami/Lectures/00_-_Year_wise/Devotional_Nectar_-_1991/1991-085_The_Dangers_of_Vaishnava_Aparadha_Lecture_NV_-_Radhanath_Swami_1991-07-18_IDesireTree.mp3", "1991-085_The_Dangers_of_Vaishnava_Aparadha_Lecture_NV_-_Radhanath_Swami_1991-07-18_IDesireTree.mp3")</f>
        <v>1991-085_The_Dangers_of_Vaishnava_Aparadha_Lecture_NV_-_Radhanath_Swami_1991-07-18_IDesireTree.mp3</v>
      </c>
      <c r="D276" s="24"/>
      <c r="E276" s="24"/>
    </row>
    <row r="277">
      <c r="A277" s="25" t="s">
        <v>18352</v>
      </c>
      <c r="B277" s="25" t="s">
        <v>18355</v>
      </c>
      <c r="C277" s="26" t="str">
        <f>HYPERLINK("https://audio.iskcondesiretree.com/02_-_ISKCON_Swamis/ISKCON_Swamis_-_R_to_Y/His_Holiness_Radhanath_Swami/Lectures/00_-_Year_wise/Devotional_Nectar_-_1991/1991-086_Death_Is_the_End_Lecture_Mumbai_-_Radhanath_Swami_1991-10-02_IDesireTree.mp3", "1991-086_Death_Is_the_End_Lecture_Mumbai_-_Radhanath_Swami_1991-10-02_IDesireTree.mp3")</f>
        <v>1991-086_Death_Is_the_End_Lecture_Mumbai_-_Radhanath_Swami_1991-10-02_IDesireTree.mp3</v>
      </c>
      <c r="D277" s="24"/>
      <c r="E277" s="24"/>
    </row>
    <row r="278">
      <c r="A278" s="25" t="s">
        <v>18352</v>
      </c>
      <c r="B278" s="25" t="s">
        <v>18355</v>
      </c>
      <c r="C278" s="26" t="str">
        <f>HYPERLINK("https://audio.iskcondesiretree.com/02_-_ISKCON_Swamis/ISKCON_Swamis_-_R_to_Y/His_Holiness_Radhanath_Swami/Lectures/00_-_Year_wise/Devotional_Nectar_-_1991/1991-087_Path_Of_Perfection_Lecture_Mumbai_-_Radhanath_Swami_1991-10-22_IDesireTree.mp3", "1991-087_Path_Of_Perfection_Lecture_Mumbai_-_Radhanath_Swami_1991-10-22_IDesireTree.mp3")</f>
        <v>1991-087_Path_Of_Perfection_Lecture_Mumbai_-_Radhanath_Swami_1991-10-22_IDesireTree.mp3</v>
      </c>
      <c r="D278" s="24"/>
      <c r="E278" s="24"/>
    </row>
    <row r="279">
      <c r="A279" s="25" t="s">
        <v>18352</v>
      </c>
      <c r="B279" s="25" t="s">
        <v>18355</v>
      </c>
      <c r="C279" s="26" t="str">
        <f>HYPERLINK("https://audio.iskcondesiretree.com/02_-_ISKCON_Swamis/ISKCON_Swamis_-_R_to_Y/His_Holiness_Radhanath_Swami/Lectures/00_-_Year_wise/Devotional_Nectar_-_1991/1991-088_Need_For_Vaishnava_Blessings_Lecture_Mumbai_-_Radhanath_Swami_1991-10-23_IDesireTree.mp3", "1991-088_Need_For_Vaishnava_Blessings_Lecture_Mumbai_-_Radhanath_Swami_1991-10-23_IDesireTree.mp3")</f>
        <v>1991-088_Need_For_Vaishnava_Blessings_Lecture_Mumbai_-_Radhanath_Swami_1991-10-23_IDesireTree.mp3</v>
      </c>
      <c r="D279" s="24"/>
      <c r="E279" s="24"/>
    </row>
    <row r="280">
      <c r="A280" s="25" t="s">
        <v>18352</v>
      </c>
      <c r="B280" s="25" t="s">
        <v>18355</v>
      </c>
      <c r="C280" s="26" t="str">
        <f>HYPERLINK("https://audio.iskcondesiretree.com/02_-_ISKCON_Swamis/ISKCON_Swamis_-_R_to_Y/His_Holiness_Radhanath_Swami/Lectures/00_-_Year_wise/Devotional_Nectar_-_1991/1991-089_Krishna%27s_Pastime-_Not_For_Sense_Gratification_Lecture_Mumbai_-_24-10-91_IDesireTree.mp3", "1991-089_Krishna%27s_Pastime-_Not_For_Sense_Gratification_Lecture_Mumbai_-_24-10-91_IDesireTree.mp3")</f>
        <v>1991-089_Krishna%27s_Pastime-_Not_For_Sense_Gratification_Lecture_Mumbai_-_24-10-91_IDesireTree.mp3</v>
      </c>
      <c r="D280" s="24"/>
      <c r="E280" s="24"/>
    </row>
    <row r="281">
      <c r="A281" s="25" t="s">
        <v>18352</v>
      </c>
      <c r="B281" s="25" t="s">
        <v>18355</v>
      </c>
      <c r="C281" s="26" t="str">
        <f>HYPERLINK("https://audio.iskcondesiretree.com/02_-_ISKCON_Swamis/ISKCON_Swamis_-_R_to_Y/His_Holiness_Radhanath_Swami/Lectures/00_-_Year_wise/Devotional_Nectar_-_1991/1991-090_Sambandha_Abhidaya_Prayojana_Lecture_Mumbai_-_Radhanath_Swami_1991-10-24_IDesireTree.mp3", "1991-090_Sambandha_Abhidaya_Prayojana_Lecture_Mumbai_-_Radhanath_Swami_1991-10-24_IDesireTree.mp3")</f>
        <v>1991-090_Sambandha_Abhidaya_Prayojana_Lecture_Mumbai_-_Radhanath_Swami_1991-10-24_IDesireTree.mp3</v>
      </c>
      <c r="D281" s="24"/>
      <c r="E281" s="24"/>
    </row>
    <row r="282">
      <c r="A282" s="25" t="s">
        <v>18352</v>
      </c>
      <c r="B282" s="25" t="s">
        <v>18355</v>
      </c>
      <c r="C282" s="26" t="str">
        <f>HYPERLINK("https://audio.iskcondesiretree.com/02_-_ISKCON_Swamis/ISKCON_Swamis_-_R_to_Y/His_Holiness_Radhanath_Swami/Lectures/00_-_Year_wise/Devotional_Nectar_-_1991/1991-091_Harmony_With_Mother_Earth_SB-10_01_17_Mumbai_-_Radhanath_Swami_1991-10-18_IDesireTree.mp3", "1991-091_Harmony_With_Mother_Earth_SB-10_01_17_Mumbai_-_Radhanath_Swami_1991-10-18_IDesireTree.mp3")</f>
        <v>1991-091_Harmony_With_Mother_Earth_SB-10_01_17_Mumbai_-_Radhanath_Swami_1991-10-18_IDesireTree.mp3</v>
      </c>
      <c r="D282" s="24"/>
      <c r="E282" s="24"/>
    </row>
    <row r="283">
      <c r="A283" s="25" t="s">
        <v>18352</v>
      </c>
      <c r="B283" s="25" t="s">
        <v>18355</v>
      </c>
      <c r="C283" s="26" t="str">
        <f>HYPERLINK("https://audio.iskcondesiretree.com/02_-_ISKCON_Swamis/ISKCON_Swamis_-_R_to_Y/His_Holiness_Radhanath_Swami/Lectures/00_-_Year_wise/Devotional_Nectar_-_1991/1991-092_Quality_Of_A_Mahatma_BG-09_14_Mumbai_-_Radhanath_Swami_1991-10-20_IDesireTree.mp3", "1991-092_Quality_Of_A_Mahatma_BG-09_14_Mumbai_-_Radhanath_Swami_1991-10-20_IDesireTree.mp3")</f>
        <v>1991-092_Quality_Of_A_Mahatma_BG-09_14_Mumbai_-_Radhanath_Swami_1991-10-20_IDesireTree.mp3</v>
      </c>
      <c r="D283" s="24"/>
      <c r="E283" s="24"/>
    </row>
    <row r="284">
      <c r="A284" s="25" t="s">
        <v>18352</v>
      </c>
      <c r="B284" s="25" t="s">
        <v>18355</v>
      </c>
      <c r="C284" s="26" t="str">
        <f>HYPERLINK("https://audio.iskcondesiretree.com/02_-_ISKCON_Swamis/ISKCON_Swamis_-_R_to_Y/His_Holiness_Radhanath_Swami/Lectures/00_-_Year_wise/Devotional_Nectar_-_1991/1991-093_Calling_With_Helplessness_SB-10_01_20_Mumbai_-_Radhanath_Swami_1991-10-20_IDesireTree.mp3", "1991-093_Calling_With_Helplessness_SB-10_01_20_Mumbai_-_Radhanath_Swami_1991-10-20_IDesireTree.mp3")</f>
        <v>1991-093_Calling_With_Helplessness_SB-10_01_20_Mumbai_-_Radhanath_Swami_1991-10-20_IDesireTree.mp3</v>
      </c>
      <c r="D284" s="24"/>
      <c r="E284" s="24"/>
    </row>
    <row r="285">
      <c r="A285" s="25" t="s">
        <v>18352</v>
      </c>
      <c r="B285" s="25" t="s">
        <v>18355</v>
      </c>
      <c r="C285" s="26" t="str">
        <f>HYPERLINK("https://audio.iskcondesiretree.com/02_-_ISKCON_Swamis/ISKCON_Swamis_-_R_to_Y/His_Holiness_Radhanath_Swami/Lectures/00_-_Year_wise/Devotional_Nectar_-_1991/1991-094_Krishna-_The_Supreme_SB-10_01_21_Mumbai_-_Radhanath_Swami_1991-10-21_IDesireTree.mp3", "1991-094_Krishna-_The_Supreme_SB-10_01_21_Mumbai_-_Radhanath_Swami_1991-10-21_IDesireTree.mp3")</f>
        <v>1991-094_Krishna-_The_Supreme_SB-10_01_21_Mumbai_-_Radhanath_Swami_1991-10-21_IDesireTree.mp3</v>
      </c>
      <c r="D285" s="24"/>
      <c r="E285" s="24"/>
    </row>
    <row r="286">
      <c r="A286" s="25" t="s">
        <v>18352</v>
      </c>
      <c r="B286" s="25" t="s">
        <v>18355</v>
      </c>
      <c r="C286" s="26" t="str">
        <f>HYPERLINK("https://audio.iskcondesiretree.com/02_-_ISKCON_Swamis/ISKCON_Swamis_-_R_to_Y/His_Holiness_Radhanath_Swami/Lectures/00_-_Year_wise/Devotional_Nectar_-_1991/1991-095_Spiritual_Science_Lecture_Mumbai_-_Radhanath_Swami_1991-10-21_IDesireTree.mp3", "1991-095_Spiritual_Science_Lecture_Mumbai_-_Radhanath_Swami_1991-10-21_IDesireTree.mp3")</f>
        <v>1991-095_Spiritual_Science_Lecture_Mumbai_-_Radhanath_Swami_1991-10-21_IDesireTree.mp3</v>
      </c>
      <c r="D286" s="24"/>
      <c r="E286" s="24"/>
    </row>
    <row r="287">
      <c r="A287" s="25" t="s">
        <v>18352</v>
      </c>
      <c r="B287" s="25" t="s">
        <v>18355</v>
      </c>
      <c r="C287" s="26" t="str">
        <f>HYPERLINK("https://audio.iskcondesiretree.com/02_-_ISKCON_Swamis/ISKCON_Swamis_-_R_to_Y/His_Holiness_Radhanath_Swami/Lectures/00_-_Year_wise/Devotional_Nectar_-_1991/1991-096_Introduction_To_Chaitanya_Charitamrita_Lecture_Mumbai_-_22-10-91_IDesireTree.mp3", "1991-096_Introduction_To_Chaitanya_Charitamrita_Lecture_Mumbai_-_22-10-91_IDesireTree.mp3")</f>
        <v>1991-096_Introduction_To_Chaitanya_Charitamrita_Lecture_Mumbai_-_22-10-91_IDesireTree.mp3</v>
      </c>
      <c r="D287" s="24"/>
      <c r="E287" s="24"/>
    </row>
    <row r="288">
      <c r="A288" s="25" t="s">
        <v>18352</v>
      </c>
      <c r="B288" s="25" t="s">
        <v>18355</v>
      </c>
      <c r="C288" s="26" t="str">
        <f>HYPERLINK("https://audio.iskcondesiretree.com/02_-_ISKCON_Swamis/ISKCON_Swamis_-_R_to_Y/His_Holiness_Radhanath_Swami/Lectures/00_-_Year_wise/Devotional_Nectar_-_1991/1991-097_Ascendence_Of_The_Personal_World_Of_Krishna_SB-10_01_26-28_Mumbai_-_25-10-91_IDesireTree.mp"&amp;"3", "1991-097_Ascendence_Of_The_Personal_World_Of_Krishna_SB-10_01_26-28_Mumbai_-_25-10-91_IDesireTree.mp3")</f>
        <v>1991-097_Ascendence_Of_The_Personal_World_Of_Krishna_SB-10_01_26-28_Mumbai_-_25-10-91_IDesireTree.mp3</v>
      </c>
      <c r="D288" s="24"/>
      <c r="E288" s="24"/>
    </row>
    <row r="289">
      <c r="A289" s="25" t="s">
        <v>18352</v>
      </c>
      <c r="B289" s="25" t="s">
        <v>18355</v>
      </c>
      <c r="C289" s="26" t="str">
        <f>HYPERLINK("https://audio.iskcondesiretree.com/02_-_ISKCON_Swamis/ISKCON_Swamis_-_R_to_Y/His_Holiness_Radhanath_Swami/Lectures/00_-_Year_wise/Devotional_Nectar_-_1991/1991-098_The_Nectarian_Association_Of_Devotees_CC_AL-01_Mumbai_-_26-10-91_IDesireTree.mp3", "1991-098_The_Nectarian_Association_Of_Devotees_CC_AL-01_Mumbai_-_26-10-91_IDesireTree.mp3")</f>
        <v>1991-098_The_Nectarian_Association_Of_Devotees_CC_AL-01_Mumbai_-_26-10-91_IDesireTree.mp3</v>
      </c>
      <c r="D289" s="24"/>
      <c r="E289" s="24"/>
    </row>
    <row r="290">
      <c r="A290" s="25" t="s">
        <v>18352</v>
      </c>
      <c r="B290" s="25" t="s">
        <v>18355</v>
      </c>
      <c r="C290" s="26" t="str">
        <f>HYPERLINK("https://audio.iskcondesiretree.com/02_-_ISKCON_Swamis/ISKCON_Swamis_-_R_to_Y/His_Holiness_Radhanath_Swami/Lectures/00_-_Year_wise/Devotional_Nectar_-_1991/1991-099_Coming_Out_Of_Illusion_BG-15_07_Mumbai_-_Radhanath_Swami_1991-10-26_IDesireTree.mp3", "1991-099_Coming_Out_Of_Illusion_BG-15_07_Mumbai_-_Radhanath_Swami_1991-10-26_IDesireTree.mp3")</f>
        <v>1991-099_Coming_Out_Of_Illusion_BG-15_07_Mumbai_-_Radhanath_Swami_1991-10-26_IDesireTree.mp3</v>
      </c>
      <c r="D290" s="24"/>
      <c r="E290" s="24"/>
    </row>
    <row r="291">
      <c r="A291" s="25" t="s">
        <v>18352</v>
      </c>
      <c r="B291" s="25" t="s">
        <v>18355</v>
      </c>
      <c r="C291" s="26" t="str">
        <f>HYPERLINK("https://audio.iskcondesiretree.com/02_-_ISKCON_Swamis/ISKCON_Swamis_-_R_to_Y/His_Holiness_Radhanath_Swami/Lectures/00_-_Year_wise/Devotional_Nectar_-_1991/1991-100_Relish_His_Messages_SB-10_01_48_Mumbai_-_Radhanath_Swami_1991-11-03_IDesireTree.mp3", "1991-100_Relish_His_Messages_SB-10_01_48_Mumbai_-_Radhanath_Swami_1991-11-03_IDesireTree.mp3")</f>
        <v>1991-100_Relish_His_Messages_SB-10_01_48_Mumbai_-_Radhanath_Swami_1991-11-03_IDesireTree.mp3</v>
      </c>
      <c r="D291" s="24"/>
      <c r="E291" s="24"/>
    </row>
    <row r="292">
      <c r="A292" s="25" t="s">
        <v>18352</v>
      </c>
      <c r="B292" s="25" t="s">
        <v>18355</v>
      </c>
      <c r="C292" s="26" t="str">
        <f>HYPERLINK("https://audio.iskcondesiretree.com/02_-_ISKCON_Swamis/ISKCON_Swamis_-_R_to_Y/His_Holiness_Radhanath_Swami/Lectures/00_-_Year_wise/Devotional_Nectar_-_1991/1991-101_Vamandev_Begs_From_Bali_Maharaj_SB-08_19_21_Mumbai_-_26-10-91_IDesireTree.mp3", "1991-101_Vamandev_Begs_From_Bali_Maharaj_SB-08_19_21_Mumbai_-_26-10-91_IDesireTree.mp3")</f>
        <v>1991-101_Vamandev_Begs_From_Bali_Maharaj_SB-08_19_21_Mumbai_-_26-10-91_IDesireTree.mp3</v>
      </c>
      <c r="D292" s="24"/>
      <c r="E292" s="24"/>
    </row>
    <row r="293">
      <c r="A293" s="25" t="s">
        <v>18352</v>
      </c>
      <c r="B293" s="25" t="s">
        <v>18355</v>
      </c>
      <c r="C293" s="26" t="str">
        <f>HYPERLINK("https://audio.iskcondesiretree.com/02_-_ISKCON_Swamis/ISKCON_Swamis_-_R_to_Y/His_Holiness_Radhanath_Swami/Lectures/00_-_Year_wise/Devotional_Nectar_-_1991/1991-102_Relationship_Between_Devotees_Lecture_Mumbai_-_Radhanath_Swami_1991-10-27_IDesireTree.mp3", "1991-102_Relationship_Between_Devotees_Lecture_Mumbai_-_Radhanath_Swami_1991-10-27_IDesireTree.mp3")</f>
        <v>1991-102_Relationship_Between_Devotees_Lecture_Mumbai_-_Radhanath_Swami_1991-10-27_IDesireTree.mp3</v>
      </c>
      <c r="D293" s="24"/>
      <c r="E293" s="24"/>
    </row>
    <row r="294">
      <c r="A294" s="25" t="s">
        <v>18352</v>
      </c>
      <c r="B294" s="25" t="s">
        <v>18355</v>
      </c>
      <c r="C294" s="26" t="str">
        <f>HYPERLINK("https://audio.iskcondesiretree.com/02_-_ISKCON_Swamis/ISKCON_Swamis_-_R_to_Y/His_Holiness_Radhanath_Swami/Lectures/00_-_Year_wise/Devotional_Nectar_-_1991/1991-103_Attachment_For_Sense_Enjoyment_SB-10_01_35_Mumbai_-_28-10-91_IDesireTree.mp3", "1991-103_Attachment_For_Sense_Enjoyment_SB-10_01_35_Mumbai_-_28-10-91_IDesireTree.mp3")</f>
        <v>1991-103_Attachment_For_Sense_Enjoyment_SB-10_01_35_Mumbai_-_28-10-91_IDesireTree.mp3</v>
      </c>
      <c r="D294" s="24"/>
      <c r="E294" s="24"/>
    </row>
    <row r="295">
      <c r="A295" s="25" t="s">
        <v>18352</v>
      </c>
      <c r="B295" s="25" t="s">
        <v>18355</v>
      </c>
      <c r="C295" s="26" t="str">
        <f>HYPERLINK("https://audio.iskcondesiretree.com/02_-_ISKCON_Swamis/ISKCON_Swamis_-_R_to_Y/His_Holiness_Radhanath_Swami/Lectures/00_-_Year_wise/Devotional_Nectar_-_1991/1991-104_Narottam_Das_Thakur_Disappearance_Day_CC_AL-01_Mumbai_-_28-10-91_IDesireTree.mp3", "1991-104_Narottam_Das_Thakur_Disappearance_Day_CC_AL-01_Mumbai_-_28-10-91_IDesireTree.mp3")</f>
        <v>1991-104_Narottam_Das_Thakur_Disappearance_Day_CC_AL-01_Mumbai_-_28-10-91_IDesireTree.mp3</v>
      </c>
      <c r="D295" s="24"/>
      <c r="E295" s="24"/>
    </row>
    <row r="296">
      <c r="A296" s="25" t="s">
        <v>18352</v>
      </c>
      <c r="B296" s="25" t="s">
        <v>18355</v>
      </c>
      <c r="C296" s="26" t="str">
        <f>HYPERLINK("https://audio.iskcondesiretree.com/02_-_ISKCON_Swamis/ISKCON_Swamis_-_R_to_Y/His_Holiness_Radhanath_Swami/Lectures/00_-_Year_wise/Devotional_Nectar_-_1991/1991-105_Death_Is_Sure_Sir_SB-10_01_36_Mumbai_-_Radhanath_Swami_1991-10-29_IDesireTree.mp3", "1991-105_Death_Is_Sure_Sir_SB-10_01_36_Mumbai_-_Radhanath_Swami_1991-10-29_IDesireTree.mp3")</f>
        <v>1991-105_Death_Is_Sure_Sir_SB-10_01_36_Mumbai_-_Radhanath_Swami_1991-10-29_IDesireTree.mp3</v>
      </c>
      <c r="D296" s="24"/>
      <c r="E296" s="24"/>
    </row>
    <row r="297">
      <c r="A297" s="25" t="s">
        <v>18352</v>
      </c>
      <c r="B297" s="25" t="s">
        <v>18355</v>
      </c>
      <c r="C297" s="26" t="str">
        <f>HYPERLINK("https://audio.iskcondesiretree.com/02_-_ISKCON_Swamis/ISKCON_Swamis_-_R_to_Y/His_Holiness_Radhanath_Swami/Lectures/00_-_Year_wise/Devotional_Nectar_-_1991/1991-106_Lord_Chaitanya_%27s_Early_Revelations_Lecture_Mumbai_-_29-10-91_IDesireTree.mp3", "1991-106_Lord_Chaitanya_%27s_Early_Revelations_Lecture_Mumbai_-_29-10-91_IDesireTree.mp3")</f>
        <v>1991-106_Lord_Chaitanya_%27s_Early_Revelations_Lecture_Mumbai_-_29-10-91_IDesireTree.mp3</v>
      </c>
      <c r="D297" s="24"/>
      <c r="E297" s="24"/>
    </row>
    <row r="298">
      <c r="A298" s="25" t="s">
        <v>18352</v>
      </c>
      <c r="B298" s="25" t="s">
        <v>18355</v>
      </c>
      <c r="C298" s="26" t="str">
        <f>HYPERLINK("https://audio.iskcondesiretree.com/02_-_ISKCON_Swamis/ISKCON_Swamis_-_R_to_Y/His_Holiness_Radhanath_Swami/Lectures/00_-_Year_wise/Devotional_Nectar_-_1991/1991-107_Parikshit%27s_Enquiry_Before_Death_SB-01_19_24_Mumbai_-_29-10-91_IDesireTree.mp3", "1991-107_Parikshit%27s_Enquiry_Before_Death_SB-01_19_24_Mumbai_-_29-10-91_IDesireTree.mp3")</f>
        <v>1991-107_Parikshit%27s_Enquiry_Before_Death_SB-01_19_24_Mumbai_-_29-10-91_IDesireTree.mp3</v>
      </c>
      <c r="D298" s="24"/>
      <c r="E298" s="24"/>
    </row>
    <row r="299">
      <c r="A299" s="25" t="s">
        <v>18352</v>
      </c>
      <c r="B299" s="25" t="s">
        <v>18355</v>
      </c>
      <c r="C299" s="26" t="str">
        <f>HYPERLINK("https://audio.iskcondesiretree.com/02_-_ISKCON_Swamis/ISKCON_Swamis_-_R_to_Y/His_Holiness_Radhanath_Swami/Lectures/00_-_Year_wise/Devotional_Nectar_-_1991/1991-108_Krishna_Always_Glorifies_His_Devotees_SB-01_09_09_Mumbai_-_30-10-91_IDesireTree.mp3", "1991-108_Krishna_Always_Glorifies_His_Devotees_SB-01_09_09_Mumbai_-_30-10-91_IDesireTree.mp3")</f>
        <v>1991-108_Krishna_Always_Glorifies_His_Devotees_SB-01_09_09_Mumbai_-_30-10-91_IDesireTree.mp3</v>
      </c>
      <c r="D299" s="24"/>
      <c r="E299" s="24"/>
    </row>
    <row r="300">
      <c r="A300" s="25" t="s">
        <v>18352</v>
      </c>
      <c r="B300" s="25" t="s">
        <v>18355</v>
      </c>
      <c r="C300" s="26" t="str">
        <f>HYPERLINK("https://audio.iskcondesiretree.com/02_-_ISKCON_Swamis/ISKCON_Swamis_-_R_to_Y/His_Holiness_Radhanath_Swami/Lectures/00_-_Year_wise/Devotional_Nectar_-_1991/1991-109_When_Death_Comes_SB-10_01_42_Mumbai_-_Radhanath_Swami_1991-10-30_IDesireTree.mp3", "1991-109_When_Death_Comes_SB-10_01_42_Mumbai_-_Radhanath_Swami_1991-10-30_IDesireTree.mp3")</f>
        <v>1991-109_When_Death_Comes_SB-10_01_42_Mumbai_-_Radhanath_Swami_1991-10-30_IDesireTree.mp3</v>
      </c>
      <c r="D300" s="24"/>
      <c r="E300" s="24"/>
    </row>
    <row r="301">
      <c r="A301" s="25" t="s">
        <v>18352</v>
      </c>
      <c r="B301" s="25" t="s">
        <v>18355</v>
      </c>
      <c r="C301" s="26" t="str">
        <f>HYPERLINK("https://audio.iskcondesiretree.com/02_-_ISKCON_Swamis/ISKCON_Swamis_-_R_to_Y/His_Holiness_Radhanath_Swami/Lectures/00_-_Year_wise/Devotional_Nectar_-_1991/1991-110_Different_Energies_Of_Krishna_Lecture_Mumbai_-_Radhanath_Swami_1991-10-30_IDesireTree.mp3", "1991-110_Different_Energies_Of_Krishna_Lecture_Mumbai_-_Radhanath_Swami_1991-10-30_IDesireTree.mp3")</f>
        <v>1991-110_Different_Energies_Of_Krishna_Lecture_Mumbai_-_Radhanath_Swami_1991-10-30_IDesireTree.mp3</v>
      </c>
      <c r="D301" s="24"/>
      <c r="E301" s="24"/>
    </row>
    <row r="302">
      <c r="A302" s="25" t="s">
        <v>18352</v>
      </c>
      <c r="B302" s="25" t="s">
        <v>18355</v>
      </c>
      <c r="C302" s="26" t="str">
        <f>HYPERLINK("https://audio.iskcondesiretree.com/02_-_ISKCON_Swamis/ISKCON_Swamis_-_R_to_Y/His_Holiness_Radhanath_Swami/Lectures/00_-_Year_wise/Devotional_Nectar_-_1991/1991-111_Story_Of_Prostitute_Pingla_SB-11_08_22-27_Mumbai_-_01-11-91_IDesireTree.mp3", "1991-111_Story_Of_Prostitute_Pingla_SB-11_08_22-27_Mumbai_-_01-11-91_IDesireTree.mp3")</f>
        <v>1991-111_Story_Of_Prostitute_Pingla_SB-11_08_22-27_Mumbai_-_01-11-91_IDesireTree.mp3</v>
      </c>
      <c r="D302" s="24"/>
      <c r="E302" s="24"/>
    </row>
    <row r="303">
      <c r="A303" s="25" t="s">
        <v>18352</v>
      </c>
      <c r="B303" s="25" t="s">
        <v>18355</v>
      </c>
      <c r="C303" s="26" t="str">
        <f>HYPERLINK("https://audio.iskcondesiretree.com/02_-_ISKCON_Swamis/ISKCON_Swamis_-_R_to_Y/His_Holiness_Radhanath_Swami/Lectures/00_-_Year_wise/Devotional_Nectar_-_1991/1991-112_Changing_Our_Consciousness_SB-10_01_42_Mumbai_-_Radhanath_Swami_1991-11-01_IDesireTree.mp3", "1991-112_Changing_Our_Consciousness_SB-10_01_42_Mumbai_-_Radhanath_Swami_1991-11-01_IDesireTree.mp3")</f>
        <v>1991-112_Changing_Our_Consciousness_SB-10_01_42_Mumbai_-_Radhanath_Swami_1991-11-01_IDesireTree.mp3</v>
      </c>
      <c r="D303" s="24"/>
      <c r="E303" s="24"/>
    </row>
    <row r="304">
      <c r="A304" s="25" t="s">
        <v>18352</v>
      </c>
      <c r="B304" s="25" t="s">
        <v>18355</v>
      </c>
      <c r="C304" s="26" t="str">
        <f>HYPERLINK("https://audio.iskcondesiretree.com/02_-_ISKCON_Swamis/ISKCON_Swamis_-_R_to_Y/His_Holiness_Radhanath_Swami/Lectures/00_-_Year_wise/Devotional_Nectar_-_1991/1991-113_Under_One_Master_Lecture_Mumbai_-_Radhanath_Swami_1991-11-01_IDesireTree.mp3", "1991-113_Under_One_Master_Lecture_Mumbai_-_Radhanath_Swami_1991-11-01_IDesireTree.mp3")</f>
        <v>1991-113_Under_One_Master_Lecture_Mumbai_-_Radhanath_Swami_1991-11-01_IDesireTree.mp3</v>
      </c>
      <c r="D304" s="24"/>
      <c r="E304" s="24"/>
    </row>
    <row r="305">
      <c r="A305" s="25" t="s">
        <v>18352</v>
      </c>
      <c r="B305" s="25" t="s">
        <v>18355</v>
      </c>
      <c r="C305" s="26" t="str">
        <f>HYPERLINK("https://audio.iskcondesiretree.com/02_-_ISKCON_Swamis/ISKCON_Swamis_-_R_to_Y/His_Holiness_Radhanath_Swami/Lectures/00_-_Year_wise/Devotional_Nectar_-_1991/1991-114_Oneness_In_Guru_Lecture_Mumbai_-_Radhanath_Swami_1991-11-02_IDesireTree.mp3", "1991-114_Oneness_In_Guru_Lecture_Mumbai_-_Radhanath_Swami_1991-11-02_IDesireTree.mp3")</f>
        <v>1991-114_Oneness_In_Guru_Lecture_Mumbai_-_Radhanath_Swami_1991-11-02_IDesireTree.mp3</v>
      </c>
      <c r="D305" s="24"/>
      <c r="E305" s="24"/>
    </row>
    <row r="306">
      <c r="A306" s="25" t="s">
        <v>18352</v>
      </c>
      <c r="B306" s="25" t="s">
        <v>18355</v>
      </c>
      <c r="C306" s="26" t="str">
        <f>HYPERLINK("https://audio.iskcondesiretree.com/02_-_ISKCON_Swamis/ISKCON_Swamis_-_R_to_Y/His_Holiness_Radhanath_Swami/Lectures/00_-_Year_wise/Devotional_Nectar_-_1991/1991-115_Watch_Those_Thoughts_Of_The_Mind_SB-10_01_47_Mumbai_-_02-11-91_IDesireTree.mp3", "1991-115_Watch_Those_Thoughts_Of_The_Mind_SB-10_01_47_Mumbai_-_02-11-91_IDesireTree.mp3")</f>
        <v>1991-115_Watch_Those_Thoughts_Of_The_Mind_SB-10_01_47_Mumbai_-_02-11-91_IDesireTree.mp3</v>
      </c>
      <c r="D306" s="24"/>
      <c r="E306" s="24"/>
    </row>
    <row r="307">
      <c r="A307" s="25" t="s">
        <v>18352</v>
      </c>
      <c r="B307" s="25" t="s">
        <v>18355</v>
      </c>
      <c r="C307" s="26" t="str">
        <f>HYPERLINK("https://audio.iskcondesiretree.com/02_-_ISKCON_Swamis/ISKCON_Swamis_-_R_to_Y/His_Holiness_Radhanath_Swami/Lectures/00_-_Year_wise/Devotional_Nectar_-_1991/1991-116_Hearing-_Washes_All_Doubts_BG-04_38-39_Mumbai_-_Radhanath_Swami_1991-11-03_IDesireTree.mp3", "1991-116_Hearing-_Washes_All_Doubts_BG-04_38-39_Mumbai_-_Radhanath_Swami_1991-11-03_IDesireTree.mp3")</f>
        <v>1991-116_Hearing-_Washes_All_Doubts_BG-04_38-39_Mumbai_-_Radhanath_Swami_1991-11-03_IDesireTree.mp3</v>
      </c>
      <c r="D307" s="24"/>
      <c r="E307" s="24"/>
    </row>
    <row r="308">
      <c r="A308" s="25" t="s">
        <v>18352</v>
      </c>
      <c r="B308" s="25" t="s">
        <v>18355</v>
      </c>
      <c r="C308" s="26" t="str">
        <f>HYPERLINK("https://audio.iskcondesiretree.com/02_-_ISKCON_Swamis/ISKCON_Swamis_-_R_to_Y/His_Holiness_Radhanath_Swami/Lectures/00_-_Year_wise/Devotional_Nectar_-_1991/1991-117_Teaching_From_Govardhan_Lila_Lecture_Mumbai_-_Radhanath_Swami_1991-11-07_IDesireTree.mp3", "1991-117_Teaching_From_Govardhan_Lila_Lecture_Mumbai_-_Radhanath_Swami_1991-11-07_IDesireTree.mp3")</f>
        <v>1991-117_Teaching_From_Govardhan_Lila_Lecture_Mumbai_-_Radhanath_Swami_1991-11-07_IDesireTree.mp3</v>
      </c>
      <c r="D308" s="24"/>
      <c r="E308" s="24"/>
    </row>
    <row r="309">
      <c r="A309" s="25" t="s">
        <v>18352</v>
      </c>
      <c r="B309" s="25" t="s">
        <v>18355</v>
      </c>
      <c r="C309" s="26" t="str">
        <f>HYPERLINK("https://audio.iskcondesiretree.com/02_-_ISKCON_Swamis/ISKCON_Swamis_-_R_to_Y/His_Holiness_Radhanath_Swami/Lectures/00_-_Year_wise/Devotional_Nectar_-_1991/1991-118_Diaappearance_of_prabhupada_Lecture_Mumbai_-_Radhanath_Swami_1991-11-10_IDesireTree.mp3", "1991-118_Diaappearance_of_prabhupada_Lecture_Mumbai_-_Radhanath_Swami_1991-11-10_IDesireTree.mp3")</f>
        <v>1991-118_Diaappearance_of_prabhupada_Lecture_Mumbai_-_Radhanath_Swami_1991-11-10_IDesireTree.mp3</v>
      </c>
      <c r="D309" s="24"/>
      <c r="E309" s="24"/>
    </row>
    <row r="310">
      <c r="A310" s="25" t="s">
        <v>18352</v>
      </c>
      <c r="B310" s="25" t="s">
        <v>18355</v>
      </c>
      <c r="C310" s="26" t="str">
        <f>HYPERLINK("https://audio.iskcondesiretree.com/02_-_ISKCON_Swamis/ISKCON_Swamis_-_R_to_Y/His_Holiness_Radhanath_Swami/Lectures/00_-_Year_wise/Devotional_Nectar_-_1991/1991-119_Desire_To_Please_Krishna_BG-02_14_Mumbai_-_Radhanath_Swami_1991-11-20_IDesireTree.mp3", "1991-119_Desire_To_Please_Krishna_BG-02_14_Mumbai_-_Radhanath_Swami_1991-11-20_IDesireTree.mp3")</f>
        <v>1991-119_Desire_To_Please_Krishna_BG-02_14_Mumbai_-_Radhanath_Swami_1991-11-20_IDesireTree.mp3</v>
      </c>
      <c r="D310" s="24"/>
      <c r="E310" s="24"/>
    </row>
    <row r="311">
      <c r="A311" s="25" t="s">
        <v>18352</v>
      </c>
      <c r="B311" s="25" t="s">
        <v>18355</v>
      </c>
      <c r="C311" s="26" t="str">
        <f>HYPERLINK("https://audio.iskcondesiretree.com/02_-_ISKCON_Swamis/ISKCON_Swamis_-_R_to_Y/His_Holiness_Radhanath_Swami/Lectures/00_-_Year_wise/Devotional_Nectar_-_1991/1991-120_Our_Supreme_Lord_Lecture_Mumbai_-_Radhanath_Swami_1991-11-23_IDesireTree.mp3", "1991-120_Our_Supreme_Lord_Lecture_Mumbai_-_Radhanath_Swami_1991-11-23_IDesireTree.mp3")</f>
        <v>1991-120_Our_Supreme_Lord_Lecture_Mumbai_-_Radhanath_Swami_1991-11-23_IDesireTree.mp3</v>
      </c>
      <c r="D311" s="24"/>
      <c r="E311" s="24"/>
    </row>
    <row r="312">
      <c r="A312" s="25" t="s">
        <v>18352</v>
      </c>
      <c r="B312" s="25" t="s">
        <v>18355</v>
      </c>
      <c r="C312" s="26" t="str">
        <f>HYPERLINK("https://audio.iskcondesiretree.com/02_-_ISKCON_Swamis/ISKCON_Swamis_-_R_to_Y/His_Holiness_Radhanath_Swami/Lectures/00_-_Year_wise/Devotional_Nectar_-_1991/1991-121_Relative_Truth_Is_Maya_Lecture_Mumbai_-_Radhanath_Swami_1991-11-23_IDesireTree.mp3", "1991-121_Relative_Truth_Is_Maya_Lecture_Mumbai_-_Radhanath_Swami_1991-11-23_IDesireTree.mp3")</f>
        <v>1991-121_Relative_Truth_Is_Maya_Lecture_Mumbai_-_Radhanath_Swami_1991-11-23_IDesireTree.mp3</v>
      </c>
      <c r="D312" s="24"/>
      <c r="E312" s="24"/>
    </row>
    <row r="313">
      <c r="A313" s="25" t="s">
        <v>18352</v>
      </c>
      <c r="B313" s="25" t="s">
        <v>18355</v>
      </c>
      <c r="C313" s="26" t="str">
        <f>HYPERLINK("https://audio.iskcondesiretree.com/02_-_ISKCON_Swamis/ISKCON_Swamis_-_R_to_Y/His_Holiness_Radhanath_Swami/Lectures/00_-_Year_wise/Devotional_Nectar_-_1991/1991-122_Happy_Birthday_Lecture_Mumbai_-_Radhanath_Swami_1991-11-24_IDesireTree.mp3", "1991-122_Happy_Birthday_Lecture_Mumbai_-_Radhanath_Swami_1991-11-24_IDesireTree.mp3")</f>
        <v>1991-122_Happy_Birthday_Lecture_Mumbai_-_Radhanath_Swami_1991-11-24_IDesireTree.mp3</v>
      </c>
      <c r="D313" s="24"/>
      <c r="E313" s="24"/>
    </row>
    <row r="314">
      <c r="A314" s="25" t="s">
        <v>18352</v>
      </c>
      <c r="B314" s="25" t="s">
        <v>18355</v>
      </c>
      <c r="C314" s="26" t="str">
        <f>HYPERLINK("https://audio.iskcondesiretree.com/02_-_ISKCON_Swamis/ISKCON_Swamis_-_R_to_Y/His_Holiness_Radhanath_Swami/Lectures/00_-_Year_wise/Devotional_Nectar_-_1991/1991-123_Maya_Redefined_Lecture_Mumbai_-_Radhanath_Swami_1991-11-25_IDesireTree.mp3", "1991-123_Maya_Redefined_Lecture_Mumbai_-_Radhanath_Swami_1991-11-25_IDesireTree.mp3")</f>
        <v>1991-123_Maya_Redefined_Lecture_Mumbai_-_Radhanath_Swami_1991-11-25_IDesireTree.mp3</v>
      </c>
      <c r="D314" s="24"/>
      <c r="E314" s="24"/>
    </row>
    <row r="315">
      <c r="A315" s="25" t="s">
        <v>18352</v>
      </c>
      <c r="B315" s="25" t="s">
        <v>18355</v>
      </c>
      <c r="C315" s="26" t="str">
        <f>HYPERLINK("https://audio.iskcondesiretree.com/02_-_ISKCON_Swamis/ISKCON_Swamis_-_R_to_Y/His_Holiness_Radhanath_Swami/Lectures/00_-_Year_wise/Devotional_Nectar_-_1991/1991-124_Exalted_Surrender_Of_Lord%27s_Pure_Devotees_SB-10_02_17_Mumbai_-_26-11-91_IDesireTree.mp3", "1991-124_Exalted_Surrender_Of_Lord%27s_Pure_Devotees_SB-10_02_17_Mumbai_-_26-11-91_IDesireTree.mp3")</f>
        <v>1991-124_Exalted_Surrender_Of_Lord%27s_Pure_Devotees_SB-10_02_17_Mumbai_-_26-11-91_IDesireTree.mp3</v>
      </c>
      <c r="D315" s="24"/>
      <c r="E315" s="24"/>
    </row>
    <row r="316">
      <c r="A316" s="25" t="s">
        <v>18352</v>
      </c>
      <c r="B316" s="25" t="s">
        <v>18355</v>
      </c>
      <c r="C316" s="26" t="str">
        <f>HYPERLINK("https://audio.iskcondesiretree.com/02_-_ISKCON_Swamis/ISKCON_Swamis_-_R_to_Y/His_Holiness_Radhanath_Swami/Lectures/00_-_Year_wise/Devotional_Nectar_-_1991/1991-125_The_Greatness_Of_Krishna_Lecture_Mumbai_-_Radhanath_Swami_1991-11-26_IDesireTree.mp3", "1991-125_The_Greatness_Of_Krishna_Lecture_Mumbai_-_Radhanath_Swami_1991-11-26_IDesireTree.mp3")</f>
        <v>1991-125_The_Greatness_Of_Krishna_Lecture_Mumbai_-_Radhanath_Swami_1991-11-26_IDesireTree.mp3</v>
      </c>
      <c r="D316" s="24"/>
      <c r="E316" s="24"/>
    </row>
    <row r="317">
      <c r="A317" s="25" t="s">
        <v>18352</v>
      </c>
      <c r="B317" s="25" t="s">
        <v>18355</v>
      </c>
      <c r="C317" s="26" t="str">
        <f>HYPERLINK("https://audio.iskcondesiretree.com/02_-_ISKCON_Swamis/ISKCON_Swamis_-_R_to_Y/His_Holiness_Radhanath_Swami/Lectures/00_-_Year_wise/Devotional_Nectar_-_1991/1991-126_Nectar_Of_Instruction_NOI-01-02_Mumbai_-_Radhanath_Swami_1991-11-27_IDesireTree.mp3", "1991-126_Nectar_Of_Instruction_NOI-01-02_Mumbai_-_Radhanath_Swami_1991-11-27_IDesireTree.mp3")</f>
        <v>1991-126_Nectar_Of_Instruction_NOI-01-02_Mumbai_-_Radhanath_Swami_1991-11-27_IDesireTree.mp3</v>
      </c>
      <c r="D317" s="24"/>
      <c r="E317" s="24"/>
    </row>
    <row r="318">
      <c r="A318" s="25" t="s">
        <v>18352</v>
      </c>
      <c r="B318" s="25" t="s">
        <v>18355</v>
      </c>
      <c r="C318" s="26" t="str">
        <f>HYPERLINK("https://audio.iskcondesiretree.com/02_-_ISKCON_Swamis/ISKCON_Swamis_-_R_to_Y/His_Holiness_Radhanath_Swami/Lectures/00_-_Year_wise/Devotional_Nectar_-_1991/1991-127_You_Are_The_Greatest_SB-10_01_52-53_Mumbai_-_Radhanath_Swami_1991-11-04_IDesireTree.mp3", "1991-127_You_Are_The_Greatest_SB-10_01_52-53_Mumbai_-_Radhanath_Swami_1991-11-04_IDesireTree.mp3")</f>
        <v>1991-127_You_Are_The_Greatest_SB-10_01_52-53_Mumbai_-_Radhanath_Swami_1991-11-04_IDesireTree.mp3</v>
      </c>
      <c r="D318" s="24"/>
      <c r="E318" s="24"/>
    </row>
    <row r="319">
      <c r="A319" s="25" t="s">
        <v>18352</v>
      </c>
      <c r="B319" s="25" t="s">
        <v>18355</v>
      </c>
      <c r="C319" s="26" t="str">
        <f>HYPERLINK("https://audio.iskcondesiretree.com/02_-_ISKCON_Swamis/ISKCON_Swamis_-_R_to_Y/His_Holiness_Radhanath_Swami/Lectures/00_-_Year_wise/Devotional_Nectar_-_1991/1991-128_Impersonalism_Lamblasted_Lecture_Mumbai_-_Radhanath_Swami_1991-11-04_IDesireTree.mp3", "1991-128_Impersonalism_Lamblasted_Lecture_Mumbai_-_Radhanath_Swami_1991-11-04_IDesireTree.mp3")</f>
        <v>1991-128_Impersonalism_Lamblasted_Lecture_Mumbai_-_Radhanath_Swami_1991-11-04_IDesireTree.mp3</v>
      </c>
      <c r="D319" s="24"/>
      <c r="E319" s="24"/>
    </row>
    <row r="320">
      <c r="A320" s="25" t="s">
        <v>18352</v>
      </c>
      <c r="B320" s="25" t="s">
        <v>18355</v>
      </c>
      <c r="C320" s="26" t="str">
        <f>HYPERLINK("https://audio.iskcondesiretree.com/02_-_ISKCON_Swamis/ISKCON_Swamis_-_R_to_Y/His_Holiness_Radhanath_Swami/Lectures/00_-_Year_wise/Devotional_Nectar_-_1991/1991-129_Devotees_Demand_No_Respect_SB-10_01_49-50_Mumbai_-_05-11-91_IDesireTree.mp3", "1991-129_Devotees_Demand_No_Respect_SB-10_01_49-50_Mumbai_-_05-11-91_IDesireTree.mp3")</f>
        <v>1991-129_Devotees_Demand_No_Respect_SB-10_01_49-50_Mumbai_-_05-11-91_IDesireTree.mp3</v>
      </c>
      <c r="D320" s="24"/>
      <c r="E320" s="24"/>
    </row>
    <row r="321">
      <c r="A321" s="25" t="s">
        <v>18352</v>
      </c>
      <c r="B321" s="25" t="s">
        <v>18355</v>
      </c>
      <c r="C321" s="26" t="str">
        <f>HYPERLINK("https://audio.iskcondesiretree.com/02_-_ISKCON_Swamis/ISKCON_Swamis_-_R_to_Y/His_Holiness_Radhanath_Swami/Lectures/00_-_Year_wise/Devotional_Nectar_-_1991/1991-130_Krishna_Is_Certainly_A_Person_Lecture_Mumbai_-_Radhanath_Swami_1991-11-05_IDesireTree.mp3", "1991-130_Krishna_Is_Certainly_A_Person_Lecture_Mumbai_-_Radhanath_Swami_1991-11-05_IDesireTree.mp3")</f>
        <v>1991-130_Krishna_Is_Certainly_A_Person_Lecture_Mumbai_-_Radhanath_Swami_1991-11-05_IDesireTree.mp3</v>
      </c>
      <c r="D321" s="24"/>
      <c r="E321" s="24"/>
    </row>
    <row r="322">
      <c r="A322" s="25" t="s">
        <v>18352</v>
      </c>
      <c r="B322" s="25" t="s">
        <v>18355</v>
      </c>
      <c r="C322" s="26" t="str">
        <f>HYPERLINK("https://audio.iskcondesiretree.com/02_-_ISKCON_Swamis/ISKCON_Swamis_-_R_to_Y/His_Holiness_Radhanath_Swami/Lectures/00_-_Year_wise/Devotional_Nectar_-_1991/1991-131_Incarnations_Of_Krishna_Lecture_Mumbai_-_Radhanath_Swami_1991-11-06_IDesireTree.mp3", "1991-131_Incarnations_Of_Krishna_Lecture_Mumbai_-_Radhanath_Swami_1991-11-06_IDesireTree.mp3")</f>
        <v>1991-131_Incarnations_Of_Krishna_Lecture_Mumbai_-_Radhanath_Swami_1991-11-06_IDesireTree.mp3</v>
      </c>
      <c r="D322" s="24"/>
      <c r="E322" s="24"/>
    </row>
    <row r="323">
      <c r="A323" s="25" t="s">
        <v>18352</v>
      </c>
      <c r="B323" s="25" t="s">
        <v>18355</v>
      </c>
      <c r="C323" s="26" t="str">
        <f>HYPERLINK("https://audio.iskcondesiretree.com/02_-_ISKCON_Swamis/ISKCON_Swamis_-_R_to_Y/His_Holiness_Radhanath_Swami/Lectures/00_-_Year_wise/Devotional_Nectar_-_1991/1991-132_The_Story_Of_Bilwamangal_Thakur_CC_AL-1_Mumbai_-_28-11-91_IDesireTree.mp3", "1991-132_The_Story_Of_Bilwamangal_Thakur_CC_AL-1_Mumbai_-_28-11-91_IDesireTree.mp3")</f>
        <v>1991-132_The_Story_Of_Bilwamangal_Thakur_CC_AL-1_Mumbai_-_28-11-91_IDesireTree.mp3</v>
      </c>
      <c r="D323" s="24"/>
      <c r="E323" s="24"/>
    </row>
    <row r="324">
      <c r="A324" s="25" t="s">
        <v>18352</v>
      </c>
      <c r="B324" s="25" t="s">
        <v>18355</v>
      </c>
      <c r="C324" s="26" t="str">
        <f>HYPERLINK("https://audio.iskcondesiretree.com/02_-_ISKCON_Swamis/ISKCON_Swamis_-_R_to_Y/His_Holiness_Radhanath_Swami/Lectures/00_-_Year_wise/Devotional_Nectar_-_1991/1991-133_Envious_Of_His_Mercy_SB-10_02_20_Mumbai_-_Radhanath_Swami_1991-11-29_IDesireTree.mp3", "1991-133_Envious_Of_His_Mercy_SB-10_02_20_Mumbai_-_Radhanath_Swami_1991-11-29_IDesireTree.mp3")</f>
        <v>1991-133_Envious_Of_His_Mercy_SB-10_02_20_Mumbai_-_Radhanath_Swami_1991-11-29_IDesireTree.mp3</v>
      </c>
      <c r="D324" s="24"/>
      <c r="E324" s="24"/>
    </row>
    <row r="325">
      <c r="A325" s="25" t="s">
        <v>18352</v>
      </c>
      <c r="B325" s="25" t="s">
        <v>18355</v>
      </c>
      <c r="C325" s="26" t="str">
        <f>HYPERLINK("https://audio.iskcondesiretree.com/02_-_ISKCON_Swamis/ISKCON_Swamis_-_R_to_Y/His_Holiness_Radhanath_Swami/Lectures/00_-_Year_wise/Devotional_Nectar_-_1991/1991-134_Devotee_On_Red_Alert_CC_AL-01_Mumbai_-_Radhanath_Swami_1991-11-29_IDesireTree.mp3", "1991-134_Devotee_On_Red_Alert_CC_AL-01_Mumbai_-_Radhanath_Swami_1991-11-29_IDesireTree.mp3")</f>
        <v>1991-134_Devotee_On_Red_Alert_CC_AL-01_Mumbai_-_Radhanath_Swami_1991-11-29_IDesireTree.mp3</v>
      </c>
      <c r="D325" s="24"/>
      <c r="E325" s="24"/>
    </row>
    <row r="326">
      <c r="A326" s="25" t="s">
        <v>18352</v>
      </c>
      <c r="B326" s="25" t="s">
        <v>18355</v>
      </c>
      <c r="C326" s="26" t="str">
        <f>HYPERLINK("https://audio.iskcondesiretree.com/02_-_ISKCON_Swamis/ISKCON_Swamis_-_R_to_Y/His_Holiness_Radhanath_Swami/Lectures/00_-_Year_wise/Devotional_Nectar_-_1991/1991-135_Story_Of_Jada_Bharat_SB-05_11_01_Mumbai_-_Radhanath_Swami_1991-11-29_IDesireTree.mp3", "1991-135_Story_Of_Jada_Bharat_SB-05_11_01_Mumbai_-_Radhanath_Swami_1991-11-29_IDesireTree.mp3")</f>
        <v>1991-135_Story_Of_Jada_Bharat_SB-05_11_01_Mumbai_-_Radhanath_Swami_1991-11-29_IDesireTree.mp3</v>
      </c>
      <c r="D326" s="24"/>
      <c r="E326" s="24"/>
    </row>
    <row r="327">
      <c r="A327" s="25" t="s">
        <v>18352</v>
      </c>
      <c r="B327" s="25" t="s">
        <v>18355</v>
      </c>
      <c r="C327" s="26" t="str">
        <f>HYPERLINK("https://audio.iskcondesiretree.com/02_-_ISKCON_Swamis/ISKCON_Swamis_-_R_to_Y/His_Holiness_Radhanath_Swami/Lectures/00_-_Year_wise/Devotional_Nectar_-_1991/1991-136_Different_Categories_Of_Devotees_Lecture_Mumbai_-_30-11-91_IDesireTree.mp3", "1991-136_Different_Categories_Of_Devotees_Lecture_Mumbai_-_30-11-91_IDesireTree.mp3")</f>
        <v>1991-136_Different_Categories_Of_Devotees_Lecture_Mumbai_-_30-11-91_IDesireTree.mp3</v>
      </c>
      <c r="D327" s="24"/>
      <c r="E327" s="24"/>
    </row>
    <row r="328">
      <c r="A328" s="25" t="s">
        <v>18352</v>
      </c>
      <c r="B328" s="25" t="s">
        <v>18355</v>
      </c>
      <c r="C328" s="26" t="str">
        <f>HYPERLINK("https://audio.iskcondesiretree.com/02_-_ISKCON_Swamis/ISKCON_Swamis_-_R_to_Y/His_Holiness_Radhanath_Swami/Lectures/00_-_Year_wise/Devotional_Nectar_-_1991/1991-137_Perfection_Of_Varnashram_Dharma_BG-04_13_Mumbai_-_30-11-91_IDesireTree.mp3", "1991-137_Perfection_Of_Varnashram_Dharma_BG-04_13_Mumbai_-_30-11-91_IDesireTree.mp3")</f>
        <v>1991-137_Perfection_Of_Varnashram_Dharma_BG-04_13_Mumbai_-_30-11-91_IDesireTree.mp3</v>
      </c>
      <c r="D328" s="24"/>
      <c r="E328" s="24"/>
    </row>
    <row r="329">
      <c r="A329" s="25" t="s">
        <v>18352</v>
      </c>
      <c r="B329" s="25" t="s">
        <v>18355</v>
      </c>
      <c r="C329" s="26" t="str">
        <f>HYPERLINK("https://audio.iskcondesiretree.com/02_-_ISKCON_Swamis/ISKCON_Swamis_-_R_to_Y/His_Holiness_Radhanath_Swami/Lectures/00_-_Year_wise/Devotional_Nectar_-_1991/1991-138_Yamunacharya_BG-05_21_Mumbai_-_Radhanath_Swami_1991-12-01_IDesireTree.mp3", "1991-138_Yamunacharya_BG-05_21_Mumbai_-_Radhanath_Swami_1991-12-01_IDesireTree.mp3")</f>
        <v>1991-138_Yamunacharya_BG-05_21_Mumbai_-_Radhanath_Swami_1991-12-01_IDesireTree.mp3</v>
      </c>
      <c r="D329" s="24"/>
      <c r="E329" s="24"/>
    </row>
    <row r="330">
      <c r="A330" s="25" t="s">
        <v>18352</v>
      </c>
      <c r="B330" s="25" t="s">
        <v>18355</v>
      </c>
      <c r="C330" s="26" t="str">
        <f>HYPERLINK("https://audio.iskcondesiretree.com/02_-_ISKCON_Swamis/ISKCON_Swamis_-_R_to_Y/His_Holiness_Radhanath_Swami/Lectures/00_-_Year_wise/Devotional_Nectar_-_1991/1991-139_Pondering_About_Dharma_Lecture_Mumbai_-_Radhanath_Swami_1991-12-01_IDesireTree.mp3", "1991-139_Pondering_About_Dharma_Lecture_Mumbai_-_Radhanath_Swami_1991-12-01_IDesireTree.mp3")</f>
        <v>1991-139_Pondering_About_Dharma_Lecture_Mumbai_-_Radhanath_Swami_1991-12-01_IDesireTree.mp3</v>
      </c>
      <c r="D330" s="24"/>
      <c r="E330" s="24"/>
    </row>
    <row r="331">
      <c r="A331" s="25" t="s">
        <v>18352</v>
      </c>
      <c r="B331" s="25" t="s">
        <v>18355</v>
      </c>
      <c r="C331" s="26" t="str">
        <f>HYPERLINK("https://audio.iskcondesiretree.com/02_-_ISKCON_Swamis/ISKCON_Swamis_-_R_to_Y/His_Holiness_Radhanath_Swami/Lectures/00_-_Year_wise/Devotional_Nectar_-_1991/1991-140_Service_Attitude_Demons_%26_Devotees_SB-10_02_23-24_Mumbai_-_02-12-91_IDesireTree.mp3", "1991-140_Service_Attitude_Demons_%26_Devotees_SB-10_02_23-24_Mumbai_-_02-12-91_IDesireTree.mp3")</f>
        <v>1991-140_Service_Attitude_Demons_%26_Devotees_SB-10_02_23-24_Mumbai_-_02-12-91_IDesireTree.mp3</v>
      </c>
      <c r="D331" s="24"/>
      <c r="E331" s="24"/>
    </row>
    <row r="332">
      <c r="A332" s="25" t="s">
        <v>18352</v>
      </c>
      <c r="B332" s="25" t="s">
        <v>18355</v>
      </c>
      <c r="C332" s="26" t="str">
        <f>HYPERLINK("https://audio.iskcondesiretree.com/02_-_ISKCON_Swamis/ISKCON_Swamis_-_R_to_Y/His_Holiness_Radhanath_Swami/Lectures/00_-_Year_wise/Devotional_Nectar_-_1991/1991-141_Approaching_The_Guru_Lecture_Mumbai_-_Radhanath_Swami_1991-12-02_IDesireTree.mp3", "1991-141_Approaching_The_Guru_Lecture_Mumbai_-_Radhanath_Swami_1991-12-02_IDesireTree.mp3")</f>
        <v>1991-141_Approaching_The_Guru_Lecture_Mumbai_-_Radhanath_Swami_1991-12-02_IDesireTree.mp3</v>
      </c>
      <c r="D332" s="24"/>
      <c r="E332" s="24"/>
    </row>
    <row r="333">
      <c r="A333" s="25" t="s">
        <v>18352</v>
      </c>
      <c r="B333" s="25" t="s">
        <v>18355</v>
      </c>
      <c r="C333" s="26" t="str">
        <f>HYPERLINK("https://audio.iskcondesiretree.com/02_-_ISKCON_Swamis/ISKCON_Swamis_-_R_to_Y/His_Holiness_Radhanath_Swami/Lectures/00_-_Year_wise/Devotional_Nectar_-_1991/1991-142_Quadraple_Expansion_Of_Krishna_Lecture_Mumbai_-_Radhanath_Swami_1991-12-03_IDesireTree.mp3", "1991-142_Quadraple_Expansion_Of_Krishna_Lecture_Mumbai_-_Radhanath_Swami_1991-12-03_IDesireTree.mp3")</f>
        <v>1991-142_Quadraple_Expansion_Of_Krishna_Lecture_Mumbai_-_Radhanath_Swami_1991-12-03_IDesireTree.mp3</v>
      </c>
      <c r="D333" s="24"/>
      <c r="E333" s="24"/>
    </row>
    <row r="334">
      <c r="A334" s="25" t="s">
        <v>18352</v>
      </c>
      <c r="B334" s="25" t="s">
        <v>18355</v>
      </c>
      <c r="C334" s="26" t="str">
        <f>HYPERLINK("https://audio.iskcondesiretree.com/02_-_ISKCON_Swamis/ISKCON_Swamis_-_R_to_Y/His_Holiness_Radhanath_Swami/Lectures/00_-_Year_wise/Devotional_Nectar_-_1991/1991-143_What_Is_Real_Poverty_Lecture_Mumbai_-_Radhanath_Swami_1991-12-03_IDesireTree.mp3", "1991-143_What_Is_Real_Poverty_Lecture_Mumbai_-_Radhanath_Swami_1991-12-03_IDesireTree.mp3")</f>
        <v>1991-143_What_Is_Real_Poverty_Lecture_Mumbai_-_Radhanath_Swami_1991-12-03_IDesireTree.mp3</v>
      </c>
      <c r="D334" s="24"/>
      <c r="E334" s="24"/>
    </row>
    <row r="335">
      <c r="A335" s="25" t="s">
        <v>18352</v>
      </c>
      <c r="B335" s="25" t="s">
        <v>18355</v>
      </c>
      <c r="C335" s="26" t="str">
        <f>HYPERLINK("https://audio.iskcondesiretree.com/02_-_ISKCON_Swamis/ISKCON_Swamis_-_R_to_Y/His_Holiness_Radhanath_Swami/Lectures/00_-_Year_wise/Devotional_Nectar_-_1991/1991-144_Yamaraj%27s_Teachings_As_A_Vidura_SB-01_13_15_Surat_-_08-12-91_IDesireTree.mp3", "1991-144_Yamaraj%27s_Teachings_As_A_Vidura_SB-01_13_15_Surat_-_08-12-91_IDesireTree.mp3")</f>
        <v>1991-144_Yamaraj%27s_Teachings_As_A_Vidura_SB-01_13_15_Surat_-_08-12-91_IDesireTree.mp3</v>
      </c>
      <c r="D335" s="24"/>
      <c r="E335" s="24"/>
    </row>
    <row r="336">
      <c r="A336" s="25" t="s">
        <v>18352</v>
      </c>
      <c r="B336" s="25" t="s">
        <v>18355</v>
      </c>
      <c r="C336" s="26" t="str">
        <f>HYPERLINK("https://audio.iskcondesiretree.com/02_-_ISKCON_Swamis/ISKCON_Swamis_-_R_to_Y/His_Holiness_Radhanath_Swami/Lectures/00_-_Year_wise/Devotional_Nectar_-_1991/1991-145_The_Duty_Of_Indians_SB-10_02_19_Mumbai_-_Radhanath_Swami_1991-11-28_IDesireTree.mp3", "1991-145_The_Duty_Of_Indians_SB-10_02_19_Mumbai_-_Radhanath_Swami_1991-11-28_IDesireTree.mp3")</f>
        <v>1991-145_The_Duty_Of_Indians_SB-10_02_19_Mumbai_-_Radhanath_Swami_1991-11-28_IDesireTree.mp3</v>
      </c>
      <c r="D336" s="24"/>
      <c r="E336" s="24"/>
    </row>
    <row r="337">
      <c r="A337" s="25" t="s">
        <v>18352</v>
      </c>
      <c r="B337" s="25" t="s">
        <v>18355</v>
      </c>
      <c r="C337" s="26" t="str">
        <f>HYPERLINK("https://audio.iskcondesiretree.com/02_-_ISKCON_Swamis/ISKCON_Swamis_-_R_to_Y/His_Holiness_Radhanath_Swami/Lectures/00_-_Year_wise/Devotional_Nectar_-_1991/1991-146_Kaitava_Dharma_Lecture_Mumbai_-_Radhanath_Swami_1991-12-13_IDesireTree.mp3", "1991-146_Kaitava_Dharma_Lecture_Mumbai_-_Radhanath_Swami_1991-12-13_IDesireTree.mp3")</f>
        <v>1991-146_Kaitava_Dharma_Lecture_Mumbai_-_Radhanath_Swami_1991-12-13_IDesireTree.mp3</v>
      </c>
      <c r="D337" s="24"/>
      <c r="E337" s="24"/>
    </row>
    <row r="338">
      <c r="A338" s="25" t="s">
        <v>18352</v>
      </c>
      <c r="B338" s="25" t="s">
        <v>18355</v>
      </c>
      <c r="C338" s="26" t="str">
        <f>HYPERLINK("https://audio.iskcondesiretree.com/02_-_ISKCON_Swamis/ISKCON_Swamis_-_R_to_Y/His_Holiness_Radhanath_Swami/Lectures/00_-_Year_wise/Devotional_Nectar_-_1991/1991-147_Perfect_Wife_SB-08_22_16_Mumbai_-_Radhanath_Swami_1991-12-13_IDesireTree.mp3", "1991-147_Perfect_Wife_SB-08_22_16_Mumbai_-_Radhanath_Swami_1991-12-13_IDesireTree.mp3")</f>
        <v>1991-147_Perfect_Wife_SB-08_22_16_Mumbai_-_Radhanath_Swami_1991-12-13_IDesireTree.mp3</v>
      </c>
      <c r="D338" s="24"/>
      <c r="E338" s="24"/>
    </row>
    <row r="339">
      <c r="A339" s="25" t="s">
        <v>18352</v>
      </c>
      <c r="B339" s="25" t="s">
        <v>18355</v>
      </c>
      <c r="C339" s="26" t="str">
        <f>HYPERLINK("https://audio.iskcondesiretree.com/02_-_ISKCON_Swamis/ISKCON_Swamis_-_R_to_Y/His_Holiness_Radhanath_Swami/Lectures/00_-_Year_wise/Devotional_Nectar_-_1991/1991-148_Arjuna%27s_Lamentation_For_Krishna_SB-01_15_20-27_Mumbai_-_14-12-91_IDesireTree.mp3", "1991-148_Arjuna%27s_Lamentation_For_Krishna_SB-01_15_20-27_Mumbai_-_14-12-91_IDesireTree.mp3")</f>
        <v>1991-148_Arjuna%27s_Lamentation_For_Krishna_SB-01_15_20-27_Mumbai_-_14-12-91_IDesireTree.mp3</v>
      </c>
      <c r="D339" s="24"/>
      <c r="E339" s="24"/>
    </row>
    <row r="340">
      <c r="A340" s="25" t="s">
        <v>18352</v>
      </c>
      <c r="B340" s="25" t="s">
        <v>18355</v>
      </c>
      <c r="C340" s="26" t="str">
        <f>HYPERLINK("https://audio.iskcondesiretree.com/02_-_ISKCON_Swamis/ISKCON_Swamis_-_R_to_Y/His_Holiness_Radhanath_Swami/Lectures/00_-_Year_wise/Devotional_Nectar_-_1991/1991-149_Most_Secret_Of_All_Secrets_SB-10_02_36_Mumbai_-_Radhanath_Swami_1991-12-14_IDesireTree.mp3", "1991-149_Most_Secret_Of_All_Secrets_SB-10_02_36_Mumbai_-_Radhanath_Swami_1991-12-14_IDesireTree.mp3")</f>
        <v>1991-149_Most_Secret_Of_All_Secrets_SB-10_02_36_Mumbai_-_Radhanath_Swami_1991-12-14_IDesireTree.mp3</v>
      </c>
      <c r="D340" s="24"/>
      <c r="E340" s="24"/>
    </row>
    <row r="341">
      <c r="A341" s="25" t="s">
        <v>18352</v>
      </c>
      <c r="B341" s="25" t="s">
        <v>18355</v>
      </c>
      <c r="C341" s="26" t="str">
        <f>HYPERLINK("https://audio.iskcondesiretree.com/02_-_ISKCON_Swamis/ISKCON_Swamis_-_R_to_Y/His_Holiness_Radhanath_Swami/Lectures/00_-_Year_wise/Devotional_Nectar_-_1991/1991-150_Mind-_Friend_And_Enemy_BG-06_26_Mumbai_-_Radhanath_Swami_1991-12-15_IDesireTree.mp3", "1991-150_Mind-_Friend_And_Enemy_BG-06_26_Mumbai_-_Radhanath_Swami_1991-12-15_IDesireTree.mp3")</f>
        <v>1991-150_Mind-_Friend_And_Enemy_BG-06_26_Mumbai_-_Radhanath_Swami_1991-12-15_IDesireTree.mp3</v>
      </c>
      <c r="D341" s="24"/>
      <c r="E341" s="24"/>
    </row>
    <row r="342">
      <c r="A342" s="25" t="s">
        <v>18352</v>
      </c>
      <c r="B342" s="25" t="s">
        <v>18355</v>
      </c>
      <c r="C342" s="26" t="str">
        <f>HYPERLINK("https://audio.iskcondesiretree.com/02_-_ISKCON_Swamis/ISKCON_Swamis_-_R_to_Y/His_Holiness_Radhanath_Swami/Lectures/00_-_Year_wise/Devotional_Nectar_-_1991/1991-151_Causeless_Mercy_SB-10_03_15-17_Mumbai_-_Radhanath_Swami_1991-12-26_IDesireTree.mp3", "1991-151_Causeless_Mercy_SB-10_03_15-17_Mumbai_-_Radhanath_Swami_1991-12-26_IDesireTree.mp3")</f>
        <v>1991-151_Causeless_Mercy_SB-10_03_15-17_Mumbai_-_Radhanath_Swami_1991-12-26_IDesireTree.mp3</v>
      </c>
      <c r="D342" s="24"/>
      <c r="E342" s="24"/>
    </row>
    <row r="343">
      <c r="A343" s="25" t="s">
        <v>18352</v>
      </c>
      <c r="B343" s="25" t="s">
        <v>18355</v>
      </c>
      <c r="C343" s="26" t="str">
        <f>HYPERLINK("https://audio.iskcondesiretree.com/02_-_ISKCON_Swamis/ISKCON_Swamis_-_R_to_Y/His_Holiness_Radhanath_Swami/Lectures/00_-_Year_wise/Devotional_Nectar_-_1991/1991-152_Lord%27s_Sacrifice_Is_Uncomparable_Lecture_Mumbai_-_27-12-91_IDesireTree.mp3", "1991-152_Lord%27s_Sacrifice_Is_Uncomparable_Lecture_Mumbai_-_27-12-91_IDesireTree.mp3")</f>
        <v>1991-152_Lord%27s_Sacrifice_Is_Uncomparable_Lecture_Mumbai_-_27-12-91_IDesireTree.mp3</v>
      </c>
      <c r="D343" s="24"/>
      <c r="E343" s="24"/>
    </row>
    <row r="344">
      <c r="A344" s="25" t="s">
        <v>18352</v>
      </c>
      <c r="B344" s="25" t="s">
        <v>18355</v>
      </c>
      <c r="C344" s="26" t="str">
        <f>HYPERLINK("https://audio.iskcondesiretree.com/02_-_ISKCON_Swamis/ISKCON_Swamis_-_R_to_Y/His_Holiness_Radhanath_Swami/Lectures/00_-_Year_wise/Devotional_Nectar_-_1991/1991-153_Receiving_Transcendental_Knowledge_BG-04_03_Mumbai_-_29-12-91_IDesireTree.mp3", "1991-153_Receiving_Transcendental_Knowledge_BG-04_03_Mumbai_-_29-12-91_IDesireTree.mp3")</f>
        <v>1991-153_Receiving_Transcendental_Knowledge_BG-04_03_Mumbai_-_29-12-91_IDesireTree.mp3</v>
      </c>
      <c r="D344" s="24"/>
      <c r="E344" s="24"/>
    </row>
    <row r="345">
      <c r="A345" s="25" t="s">
        <v>18352</v>
      </c>
      <c r="B345" s="25" t="s">
        <v>18355</v>
      </c>
      <c r="C345" s="26" t="str">
        <f>HYPERLINK("https://audio.iskcondesiretree.com/02_-_ISKCON_Swamis/ISKCON_Swamis_-_R_to_Y/His_Holiness_Radhanath_Swami/Lectures/00_-_Year_wise/Devotional_Nectar_-_1991/1991-154_Lord%27s_Merciful_Devotees_CC_AL-01_01_Mumbai_-_Radhanath_Swami_1991-12-12_IDesireTree.mp3", "1991-154_Lord%27s_Merciful_Devotees_CC_AL-01_01_Mumbai_-_Radhanath_Swami_1991-12-12_IDesireTree.mp3")</f>
        <v>1991-154_Lord%27s_Merciful_Devotees_CC_AL-01_01_Mumbai_-_Radhanath_Swami_1991-12-12_IDesireTree.mp3</v>
      </c>
      <c r="D345" s="24"/>
      <c r="E345" s="24"/>
    </row>
    <row r="346">
      <c r="A346" s="25" t="s">
        <v>18352</v>
      </c>
      <c r="B346" s="25" t="s">
        <v>18355</v>
      </c>
      <c r="C346" s="26" t="str">
        <f>HYPERLINK("https://audio.iskcondesiretree.com/02_-_ISKCON_Swamis/ISKCON_Swamis_-_R_to_Y/His_Holiness_Radhanath_Swami/Lectures/00_-_Year_wise/Devotional_Nectar_-_1991/1991-155_Krishna_Only_SB-10_02_35_Mumbai_-_Radhanath_Swami_1991-12-13_IDesireTree.mp3", "1991-155_Krishna_Only_SB-10_02_35_Mumbai_-_Radhanath_Swami_1991-12-13_IDesireTree.mp3")</f>
        <v>1991-155_Krishna_Only_SB-10_02_35_Mumbai_-_Radhanath_Swami_1991-12-13_IDesireTree.mp3</v>
      </c>
      <c r="D346" s="24"/>
      <c r="E346" s="24"/>
    </row>
    <row r="347">
      <c r="A347" s="25" t="s">
        <v>18352</v>
      </c>
      <c r="B347" s="25" t="s">
        <v>18355</v>
      </c>
      <c r="C347" s="26" t="str">
        <f>HYPERLINK("https://audio.iskcondesiretree.com/02_-_ISKCON_Swamis/ISKCON_Swamis_-_R_to_Y/His_Holiness_Radhanath_Swami/Lectures/00_-_Year_wise/Devotional_Nectar_-_1991/1991-156_The_Pillar_Of_Faith_SB-01_12_30_Surat_-_Radhanath_Swami_1991-12-09_IDesireTree.mp3", "1991-156_The_Pillar_Of_Faith_SB-01_12_30_Surat_-_Radhanath_Swami_1991-12-09_IDesireTree.mp3")</f>
        <v>1991-156_The_Pillar_Of_Faith_SB-01_12_30_Surat_-_Radhanath_Swami_1991-12-09_IDesireTree.mp3</v>
      </c>
      <c r="D347" s="24"/>
      <c r="E347" s="24"/>
    </row>
    <row r="348">
      <c r="A348" s="25" t="s">
        <v>18352</v>
      </c>
      <c r="B348" s="25" t="s">
        <v>18355</v>
      </c>
      <c r="C348" s="26" t="str">
        <f>HYPERLINK("https://audio.iskcondesiretree.com/02_-_ISKCON_Swamis/ISKCON_Swamis_-_R_to_Y/His_Holiness_Radhanath_Swami/Lectures/00_-_Year_wise/Devotional_Nectar_-_1991/1991-157_Revealing_The_Greatest_Illusion_SB-10_02_32_Mumbai_-_10-12-91_IDesireTree.mp3", "1991-157_Revealing_The_Greatest_Illusion_SB-10_02_32_Mumbai_-_10-12-91_IDesireTree.mp3")</f>
        <v>1991-157_Revealing_The_Greatest_Illusion_SB-10_02_32_Mumbai_-_10-12-91_IDesireTree.mp3</v>
      </c>
      <c r="D348" s="24"/>
      <c r="E348" s="24"/>
    </row>
    <row r="349">
      <c r="A349" s="25" t="s">
        <v>18352</v>
      </c>
      <c r="B349" s="25" t="s">
        <v>18355</v>
      </c>
      <c r="C349" s="26" t="str">
        <f>HYPERLINK("https://audio.iskcondesiretree.com/02_-_ISKCON_Swamis/ISKCON_Swamis_-_R_to_Y/His_Holiness_Radhanath_Swami/Lectures/00_-_Year_wise/Devotional_Nectar_-_1991/1991-158_Incarnations_Of_Godhead_Lecture_Mumbai_-_Radhanath_Swami_1991-12-10_IDesireTree.mp3", "1991-158_Incarnations_Of_Godhead_Lecture_Mumbai_-_Radhanath_Swami_1991-12-10_IDesireTree.mp3")</f>
        <v>1991-158_Incarnations_Of_Godhead_Lecture_Mumbai_-_Radhanath_Swami_1991-12-10_IDesireTree.mp3</v>
      </c>
      <c r="D349" s="24"/>
      <c r="E349" s="24"/>
    </row>
    <row r="350">
      <c r="A350" s="25" t="s">
        <v>18352</v>
      </c>
      <c r="B350" s="25" t="s">
        <v>18355</v>
      </c>
      <c r="C350" s="26" t="str">
        <f>HYPERLINK("https://audio.iskcondesiretree.com/02_-_ISKCON_Swamis/ISKCON_Swamis_-_R_to_Y/His_Holiness_Radhanath_Swami/Lectures/00_-_Year_wise/Devotional_Nectar_-_1991/1991-159_Krishna_Is_Equal_To_All_SB-10_03_21_Mumbai_-_Radhanath_Swami_1991-12-30_IDesireTree.mp3", "1991-159_Krishna_Is_Equal_To_All_SB-10_03_21_Mumbai_-_Radhanath_Swami_1991-12-30_IDesireTree.mp3")</f>
        <v>1991-159_Krishna_Is_Equal_To_All_SB-10_03_21_Mumbai_-_Radhanath_Swami_1991-12-30_IDesireTree.mp3</v>
      </c>
      <c r="D350" s="24"/>
      <c r="E350" s="24"/>
    </row>
    <row r="351">
      <c r="A351" s="25" t="s">
        <v>18352</v>
      </c>
      <c r="B351" s="25" t="s">
        <v>18355</v>
      </c>
      <c r="C351" s="26" t="str">
        <f>HYPERLINK("https://audio.iskcondesiretree.com/02_-_ISKCON_Swamis/ISKCON_Swamis_-_R_to_Y/His_Holiness_Radhanath_Swami/Lectures/00_-_Year_wise/Devotional_Nectar_-_1991/1991-160_Philosophy_First-_Pastimes_Later_Lecture_Mumbai_-_30-12-91_IDesireTree.mp3", "1991-160_Philosophy_First-_Pastimes_Later_Lecture_Mumbai_-_30-12-91_IDesireTree.mp3")</f>
        <v>1991-160_Philosophy_First-_Pastimes_Later_Lecture_Mumbai_-_30-12-91_IDesireTree.mp3</v>
      </c>
      <c r="D351" s="24"/>
      <c r="E351" s="24"/>
    </row>
    <row r="352">
      <c r="A352" s="25" t="s">
        <v>18352</v>
      </c>
      <c r="B352" s="25" t="s">
        <v>18355</v>
      </c>
      <c r="C352" s="26" t="str">
        <f>HYPERLINK("https://audio.iskcondesiretree.com/02_-_ISKCON_Swamis/ISKCON_Swamis_-_R_to_Y/His_Holiness_Radhanath_Swami/Lectures/00_-_Year_wise/Devotional_Nectar_-_1991/1991-161_Name_-_Ultimate_purification_BG-02_44_Mumbai_-_Radhanath_Swami_1991-12-30_IDesireTree.mp3", "1991-161_Name_-_Ultimate_purification_BG-02_44_Mumbai_-_Radhanath_Swami_1991-12-30_IDesireTree.mp3")</f>
        <v>1991-161_Name_-_Ultimate_purification_BG-02_44_Mumbai_-_Radhanath_Swami_1991-12-30_IDesireTree.mp3</v>
      </c>
      <c r="D352" s="24"/>
      <c r="E352" s="24"/>
    </row>
    <row r="353">
      <c r="A353" s="25" t="s">
        <v>18352</v>
      </c>
      <c r="B353" s="25" t="s">
        <v>18355</v>
      </c>
      <c r="C353" s="26" t="str">
        <f>HYPERLINK("https://audio.iskcondesiretree.com/02_-_ISKCON_Swamis/ISKCON_Swamis_-_R_to_Y/His_Holiness_Radhanath_Swami/Lectures/00_-_Year_wise/Devotional_Nectar_-_1991/1991-162_Chaitanya_Mahaprabhu_Is_Krishna_Lecture_Mumbai_-_Radhanath_Swami_1991-12-31_IDesireTree.mp3", "1991-162_Chaitanya_Mahaprabhu_Is_Krishna_Lecture_Mumbai_-_Radhanath_Swami_1991-12-31_IDesireTree.mp3")</f>
        <v>1991-162_Chaitanya_Mahaprabhu_Is_Krishna_Lecture_Mumbai_-_Radhanath_Swami_1991-12-31_IDesireTree.mp3</v>
      </c>
      <c r="D353" s="24"/>
      <c r="E353" s="24"/>
    </row>
    <row r="354">
      <c r="A354" s="25" t="s">
        <v>18352</v>
      </c>
      <c r="B354" s="25" t="s">
        <v>18356</v>
      </c>
      <c r="C354" s="26" t="str">
        <f>HYPERLINK("https://audio.iskcondesiretree.com/02_-_ISKCON_Swamis/ISKCON_Swamis_-_R_to_Y/His_Holiness_Radhanath_Swami/Lectures/00_-_Year_wise/Devotional_Nectar_-_1992/1992-001_How_To_Overcome_Spiritual_Envyness_SB-04_08_33-34_Mumbai_-_01-01-92_IDesireTree.mp3", "1992-001_How_To_Overcome_Spiritual_Envyness_SB-04_08_33-34_Mumbai_-_01-01-92_IDesireTree.mp3")</f>
        <v>1992-001_How_To_Overcome_Spiritual_Envyness_SB-04_08_33-34_Mumbai_-_01-01-92_IDesireTree.mp3</v>
      </c>
      <c r="D354" s="24"/>
      <c r="E354" s="24"/>
    </row>
    <row r="355">
      <c r="A355" s="25" t="s">
        <v>18352</v>
      </c>
      <c r="B355" s="25" t="s">
        <v>18356</v>
      </c>
      <c r="C355" s="26" t="str">
        <f>HYPERLINK("https://audio.iskcondesiretree.com/02_-_ISKCON_Swamis/ISKCON_Swamis_-_R_to_Y/His_Holiness_Radhanath_Swami/Lectures/00_-_Year_wise/Devotional_Nectar_-_1992/1992-002_Transcendental_Appearance_SB-10_03_24_Mumbai_-_Radhanath_Swami_1992-01-02_IDesireTree.mp3", "1992-002_Transcendental_Appearance_SB-10_03_24_Mumbai_-_Radhanath_Swami_1992-01-02_IDesireTree.mp3")</f>
        <v>1992-002_Transcendental_Appearance_SB-10_03_24_Mumbai_-_Radhanath_Swami_1992-01-02_IDesireTree.mp3</v>
      </c>
      <c r="D355" s="24"/>
      <c r="E355" s="24"/>
    </row>
    <row r="356">
      <c r="A356" s="25" t="s">
        <v>18352</v>
      </c>
      <c r="B356" s="25" t="s">
        <v>18356</v>
      </c>
      <c r="C356" s="26" t="str">
        <f>HYPERLINK("https://audio.iskcondesiretree.com/02_-_ISKCON_Swamis/ISKCON_Swamis_-_R_to_Y/His_Holiness_Radhanath_Swami/Lectures/00_-_Year_wise/Devotional_Nectar_-_1992/1992-003_Why_We_Are_At_Pune_Lecture_Pune_-_Radhanath_Swami_1992-01-03_IDesireTree.mp3", "1992-003_Why_We_Are_At_Pune_Lecture_Pune_-_Radhanath_Swami_1992-01-03_IDesireTree.mp3")</f>
        <v>1992-003_Why_We_Are_At_Pune_Lecture_Pune_-_Radhanath_Swami_1992-01-03_IDesireTree.mp3</v>
      </c>
      <c r="D356" s="24"/>
      <c r="E356" s="24"/>
    </row>
    <row r="357">
      <c r="A357" s="25" t="s">
        <v>18352</v>
      </c>
      <c r="B357" s="25" t="s">
        <v>18356</v>
      </c>
      <c r="C357" s="26" t="str">
        <f>HYPERLINK("https://audio.iskcondesiretree.com/02_-_ISKCON_Swamis/ISKCON_Swamis_-_R_to_Y/His_Holiness_Radhanath_Swami/Lectures/00_-_Year_wise/Devotional_Nectar_-_1992/1992-004_Marriage_In_Mutual_exploitation_SB-05_05_02-03_Mumbai_-_04-01-92_IDesireTree.mp3", "1992-004_Marriage_In_Mutual_exploitation_SB-05_05_02-03_Mumbai_-_04-01-92_IDesireTree.mp3")</f>
        <v>1992-004_Marriage_In_Mutual_exploitation_SB-05_05_02-03_Mumbai_-_04-01-92_IDesireTree.mp3</v>
      </c>
      <c r="D357" s="24"/>
      <c r="E357" s="24"/>
    </row>
    <row r="358">
      <c r="A358" s="25" t="s">
        <v>18352</v>
      </c>
      <c r="B358" s="25" t="s">
        <v>18356</v>
      </c>
      <c r="C358" s="26" t="str">
        <f>HYPERLINK("https://audio.iskcondesiretree.com/02_-_ISKCON_Swamis/ISKCON_Swamis_-_R_to_Y/His_Holiness_Radhanath_Swami/Lectures/00_-_Year_wise/Devotional_Nectar_-_1992/1992-005_I_Am_Eternally_Grateful_To_You_Lecture_Pune_-_Radhanath_Swami_1992-01-04_IDesireTree.mp3", "1992-005_I_Am_Eternally_Grateful_To_You_Lecture_Pune_-_Radhanath_Swami_1992-01-04_IDesireTree.mp3")</f>
        <v>1992-005_I_Am_Eternally_Grateful_To_You_Lecture_Pune_-_Radhanath_Swami_1992-01-04_IDesireTree.mp3</v>
      </c>
      <c r="D358" s="24"/>
      <c r="E358" s="24"/>
    </row>
    <row r="359">
      <c r="A359" s="25" t="s">
        <v>18352</v>
      </c>
      <c r="B359" s="25" t="s">
        <v>18356</v>
      </c>
      <c r="C359" s="26" t="str">
        <f>HYPERLINK("https://audio.iskcondesiretree.com/02_-_ISKCON_Swamis/ISKCON_Swamis_-_R_to_Y/His_Holiness_Radhanath_Swami/Lectures/00_-_Year_wise/Devotional_Nectar_-_1992/1992-006_Questions_And_Answers_Q%26A_Pune_-_Radhanath_Swami_1992-01-05_IDesireTree.mp3", "1992-006_Questions_And_Answers_Q%26A_Pune_-_Radhanath_Swami_1992-01-05_IDesireTree.mp3")</f>
        <v>1992-006_Questions_And_Answers_Q%26A_Pune_-_Radhanath_Swami_1992-01-05_IDesireTree.mp3</v>
      </c>
      <c r="D359" s="24"/>
      <c r="E359" s="24"/>
    </row>
    <row r="360">
      <c r="A360" s="25" t="s">
        <v>18352</v>
      </c>
      <c r="B360" s="25" t="s">
        <v>18356</v>
      </c>
      <c r="C360" s="26" t="str">
        <f>HYPERLINK("https://audio.iskcondesiretree.com/02_-_ISKCON_Swamis/ISKCON_Swamis_-_R_to_Y/His_Holiness_Radhanath_Swami/Lectures/00_-_Year_wise/Devotional_Nectar_-_1992/1992-007_Srila_Jiva_Goswami_CC_AL-02_Mumbai_-_Radhanath_Swami_1992-01-06_IDesireTree.mp3", "1992-007_Srila_Jiva_Goswami_CC_AL-02_Mumbai_-_Radhanath_Swami_1992-01-06_IDesireTree.mp3")</f>
        <v>1992-007_Srila_Jiva_Goswami_CC_AL-02_Mumbai_-_Radhanath_Swami_1992-01-06_IDesireTree.mp3</v>
      </c>
      <c r="D360" s="24"/>
      <c r="E360" s="24"/>
    </row>
    <row r="361">
      <c r="A361" s="25" t="s">
        <v>18352</v>
      </c>
      <c r="B361" s="25" t="s">
        <v>18356</v>
      </c>
      <c r="C361" s="26" t="str">
        <f>HYPERLINK("https://audio.iskcondesiretree.com/02_-_ISKCON_Swamis/ISKCON_Swamis_-_R_to_Y/His_Holiness_Radhanath_Swami/Lectures/00_-_Year_wise/Devotional_Nectar_-_1992/1992-008_Who_Is_Original_Person_Lecture_Mumbai_-_Radhanath_Swami_1992-01-07_IDesireTree.mp3", "1992-008_Who_Is_Original_Person_Lecture_Mumbai_-_Radhanath_Swami_1992-01-07_IDesireTree.mp3")</f>
        <v>1992-008_Who_Is_Original_Person_Lecture_Mumbai_-_Radhanath_Swami_1992-01-07_IDesireTree.mp3</v>
      </c>
      <c r="D361" s="24"/>
      <c r="E361" s="24"/>
    </row>
    <row r="362">
      <c r="A362" s="25" t="s">
        <v>18352</v>
      </c>
      <c r="B362" s="25" t="s">
        <v>18356</v>
      </c>
      <c r="C362" s="26" t="str">
        <f>HYPERLINK("https://audio.iskcondesiretree.com/02_-_ISKCON_Swamis/ISKCON_Swamis_-_R_to_Y/His_Holiness_Radhanath_Swami/Lectures/00_-_Year_wise/Devotional_Nectar_-_1992/1992-009_Krsna_Is_Not_Boond_BG-04_14_Mumbai_-_Radhanath_Swami_1992-01-08_IDesireTree.mp3", "1992-009_Krsna_Is_Not_Boond_BG-04_14_Mumbai_-_Radhanath_Swami_1992-01-08_IDesireTree.mp3")</f>
        <v>1992-009_Krsna_Is_Not_Boond_BG-04_14_Mumbai_-_Radhanath_Swami_1992-01-08_IDesireTree.mp3</v>
      </c>
      <c r="D362" s="24"/>
      <c r="E362" s="24"/>
    </row>
    <row r="363">
      <c r="A363" s="25" t="s">
        <v>18352</v>
      </c>
      <c r="B363" s="25" t="s">
        <v>18356</v>
      </c>
      <c r="C363" s="26" t="str">
        <f>HYPERLINK("https://audio.iskcondesiretree.com/02_-_ISKCON_Swamis/ISKCON_Swamis_-_R_to_Y/His_Holiness_Radhanath_Swami/Lectures/00_-_Year_wise/Devotional_Nectar_-_1992/1992-010_Dispelling_Fear_SB-10_3_23_Mumbai_-_Radhanath_Swami_1992-01-09_IDesireTree.mp3", "1992-010_Dispelling_Fear_SB-10_3_23_Mumbai_-_Radhanath_Swami_1992-01-09_IDesireTree.mp3")</f>
        <v>1992-010_Dispelling_Fear_SB-10_3_23_Mumbai_-_Radhanath_Swami_1992-01-09_IDesireTree.mp3</v>
      </c>
      <c r="D363" s="24"/>
      <c r="E363" s="24"/>
    </row>
    <row r="364">
      <c r="A364" s="25" t="s">
        <v>18352</v>
      </c>
      <c r="B364" s="25" t="s">
        <v>18356</v>
      </c>
      <c r="C364" s="26" t="str">
        <f>HYPERLINK("https://audio.iskcondesiretree.com/02_-_ISKCON_Swamis/ISKCON_Swamis_-_R_to_Y/His_Holiness_Radhanath_Swami/Lectures/00_-_Year_wise/Devotional_Nectar_-_1992/1992-011_Different_Expansions_Of_Krishna_CC_AL-02_90_Mumbai_-_09-01-92_IDesireTree.mp3", "1992-011_Different_Expansions_Of_Krishna_CC_AL-02_90_Mumbai_-_09-01-92_IDesireTree.mp3")</f>
        <v>1992-011_Different_Expansions_Of_Krishna_CC_AL-02_90_Mumbai_-_09-01-92_IDesireTree.mp3</v>
      </c>
      <c r="D364" s="24"/>
      <c r="E364" s="24"/>
    </row>
    <row r="365">
      <c r="A365" s="25" t="s">
        <v>18352</v>
      </c>
      <c r="B365" s="25" t="s">
        <v>18356</v>
      </c>
      <c r="C365" s="26" t="str">
        <f>HYPERLINK("https://audio.iskcondesiretree.com/02_-_ISKCON_Swamis/ISKCON_Swamis_-_R_to_Y/His_Holiness_Radhanath_Swami/Lectures/00_-_Year_wise/Devotional_Nectar_-_1992/1992-012_How_To_Defeat_Mayavadis_Lecture_Mumbai_-_Radhanath_Swami_1992-01-10_IDesireTree.mp3", "1992-012_How_To_Defeat_Mayavadis_Lecture_Mumbai_-_Radhanath_Swami_1992-01-10_IDesireTree.mp3")</f>
        <v>1992-012_How_To_Defeat_Mayavadis_Lecture_Mumbai_-_Radhanath_Swami_1992-01-10_IDesireTree.mp3</v>
      </c>
      <c r="D365" s="24"/>
      <c r="E365" s="24"/>
    </row>
    <row r="366">
      <c r="A366" s="25" t="s">
        <v>18352</v>
      </c>
      <c r="B366" s="25" t="s">
        <v>18356</v>
      </c>
      <c r="C366" s="26" t="str">
        <f>HYPERLINK("https://audio.iskcondesiretree.com/02_-_ISKCON_Swamis/ISKCON_Swamis_-_R_to_Y/His_Holiness_Radhanath_Swami/Lectures/00_-_Year_wise/Devotional_Nectar_-_1992/1992-013_Controlling_Senses_Lectire_Mumbai_-_Radhanath_Swami_1992-01-11_IDesireTree.mp3", "1992-013_Controlling_Senses_Lectire_Mumbai_-_Radhanath_Swami_1992-01-11_IDesireTree.mp3")</f>
        <v>1992-013_Controlling_Senses_Lectire_Mumbai_-_Radhanath_Swami_1992-01-11_IDesireTree.mp3</v>
      </c>
      <c r="D366" s="24"/>
      <c r="E366" s="24"/>
    </row>
    <row r="367">
      <c r="A367" s="25" t="s">
        <v>18352</v>
      </c>
      <c r="B367" s="25" t="s">
        <v>18356</v>
      </c>
      <c r="C367" s="26" t="str">
        <f>HYPERLINK("https://audio.iskcondesiretree.com/02_-_ISKCON_Swamis/ISKCON_Swamis_-_R_to_Y/His_Holiness_Radhanath_Swami/Lectures/00_-_Year_wise/Devotional_Nectar_-_1992/1992-014_Sarvabhauma_Bhattacharya_SB-03_27_24_Mumbai_-_Radhanath_Swami_1992-01-12_IDesireTree.mp3", "1992-014_Sarvabhauma_Bhattacharya_SB-03_27_24_Mumbai_-_Radhanath_Swami_1992-01-12_IDesireTree.mp3")</f>
        <v>1992-014_Sarvabhauma_Bhattacharya_SB-03_27_24_Mumbai_-_Radhanath_Swami_1992-01-12_IDesireTree.mp3</v>
      </c>
      <c r="D367" s="24"/>
      <c r="E367" s="24"/>
    </row>
    <row r="368">
      <c r="A368" s="25" t="s">
        <v>18352</v>
      </c>
      <c r="B368" s="25" t="s">
        <v>18356</v>
      </c>
      <c r="C368" s="26" t="str">
        <f>HYPERLINK("https://audio.iskcondesiretree.com/02_-_ISKCON_Swamis/ISKCON_Swamis_-_R_to_Y/His_Holiness_Radhanath_Swami/Lectures/00_-_Year_wise/Devotional_Nectar_-_1992/1992-015_Greatness_Of_Dhruva_Maharaj_BG-18_61_Mumbai_-_Radhanath_Swami_1991-01-12_IDesireTree.mp3", "1992-015_Greatness_Of_Dhruva_Maharaj_BG-18_61_Mumbai_-_Radhanath_Swami_1991-01-12_IDesireTree.mp3")</f>
        <v>1992-015_Greatness_Of_Dhruva_Maharaj_BG-18_61_Mumbai_-_Radhanath_Swami_1991-01-12_IDesireTree.mp3</v>
      </c>
      <c r="D368" s="24"/>
      <c r="E368" s="24"/>
    </row>
    <row r="369">
      <c r="A369" s="25" t="s">
        <v>18352</v>
      </c>
      <c r="B369" s="25" t="s">
        <v>18356</v>
      </c>
      <c r="C369" s="26" t="str">
        <f>HYPERLINK("https://audio.iskcondesiretree.com/02_-_ISKCON_Swamis/ISKCON_Swamis_-_R_to_Y/His_Holiness_Radhanath_Swami/Lectures/00_-_Year_wise/Devotional_Nectar_-_1992/1992-016_Shun_Attachment_Now_SB-10_04_16-18_Mumbai_-_Radhanath_Swami_1991-01-29_IDesireTree.mp3", "1992-016_Shun_Attachment_Now_SB-10_04_16-18_Mumbai_-_Radhanath_Swami_1991-01-29_IDesireTree.mp3")</f>
        <v>1992-016_Shun_Attachment_Now_SB-10_04_16-18_Mumbai_-_Radhanath_Swami_1991-01-29_IDesireTree.mp3</v>
      </c>
      <c r="D369" s="24"/>
      <c r="E369" s="24"/>
    </row>
    <row r="370">
      <c r="A370" s="25" t="s">
        <v>18352</v>
      </c>
      <c r="B370" s="25" t="s">
        <v>18356</v>
      </c>
      <c r="C370" s="26" t="str">
        <f>HYPERLINK("https://audio.iskcondesiretree.com/02_-_ISKCON_Swamis/ISKCON_Swamis_-_R_to_Y/His_Holiness_Radhanath_Swami/Lectures/00_-_Year_wise/Devotional_Nectar_-_1992/1992-017_Lord_Krishna-_A_Shastric_Evidence_CC_AL-2_Mumbai_-_29-01-92_IDesireTree.mp3", "1992-017_Lord_Krishna-_A_Shastric_Evidence_CC_AL-2_Mumbai_-_29-01-92_IDesireTree.mp3")</f>
        <v>1992-017_Lord_Krishna-_A_Shastric_Evidence_CC_AL-2_Mumbai_-_29-01-92_IDesireTree.mp3</v>
      </c>
      <c r="D370" s="24"/>
      <c r="E370" s="24"/>
    </row>
    <row r="371">
      <c r="A371" s="25" t="s">
        <v>18352</v>
      </c>
      <c r="B371" s="25" t="s">
        <v>18356</v>
      </c>
      <c r="C371" s="26" t="str">
        <f>HYPERLINK("https://audio.iskcondesiretree.com/02_-_ISKCON_Swamis/ISKCON_Swamis_-_R_to_Y/His_Holiness_Radhanath_Swami/Lectures/00_-_Year_wise/Devotional_Nectar_-_1992/1992-018_Reading_The_Bhagvatam_SB-10_04_20_Mumbai_-_Radhanath_Swami_1992-01-30_IDesireTree.mp3", "1992-018_Reading_The_Bhagvatam_SB-10_04_20_Mumbai_-_Radhanath_Swami_1992-01-30_IDesireTree.mp3")</f>
        <v>1992-018_Reading_The_Bhagvatam_SB-10_04_20_Mumbai_-_Radhanath_Swami_1992-01-30_IDesireTree.mp3</v>
      </c>
      <c r="D371" s="24"/>
      <c r="E371" s="24"/>
    </row>
    <row r="372">
      <c r="A372" s="25" t="s">
        <v>18352</v>
      </c>
      <c r="B372" s="25" t="s">
        <v>18356</v>
      </c>
      <c r="C372" s="26" t="str">
        <f>HYPERLINK("https://audio.iskcondesiretree.com/02_-_ISKCON_Swamis/ISKCON_Swamis_-_R_to_Y/His_Holiness_Radhanath_Swami/Lectures/00_-_Year_wise/Devotional_Nectar_-_1992/1992-019_The_Rasas_In_Goloka_CC-01_02_Mumbai_-_Radhanath_Swami_1992-01-30_IDesireTree.mp3", "1992-019_The_Rasas_In_Goloka_CC-01_02_Mumbai_-_Radhanath_Swami_1992-01-30_IDesireTree.mp3")</f>
        <v>1992-019_The_Rasas_In_Goloka_CC-01_02_Mumbai_-_Radhanath_Swami_1992-01-30_IDesireTree.mp3</v>
      </c>
      <c r="D372" s="24"/>
      <c r="E372" s="24"/>
    </row>
    <row r="373">
      <c r="A373" s="25" t="s">
        <v>18352</v>
      </c>
      <c r="B373" s="25" t="s">
        <v>18356</v>
      </c>
      <c r="C373" s="26" t="str">
        <f>HYPERLINK("https://audio.iskcondesiretree.com/02_-_ISKCON_Swamis/ISKCON_Swamis_-_R_to_Y/His_Holiness_Radhanath_Swami/Lectures/00_-_Year_wise/Devotional_Nectar_-_1992/1992-020_Srila_Bhakti_Siddhanta_Saraswati_Thakur_CC_al-_Mumbai_-_22-02-92_IDesireTree.mp3", "1992-020_Srila_Bhakti_Siddhanta_Saraswati_Thakur_CC_al-_Mumbai_-_22-02-92_IDesireTree.mp3")</f>
        <v>1992-020_Srila_Bhakti_Siddhanta_Saraswati_Thakur_CC_al-_Mumbai_-_22-02-92_IDesireTree.mp3</v>
      </c>
      <c r="D373" s="24"/>
      <c r="E373" s="24"/>
    </row>
    <row r="374">
      <c r="A374" s="25" t="s">
        <v>18352</v>
      </c>
      <c r="B374" s="25" t="s">
        <v>18356</v>
      </c>
      <c r="C374" s="26" t="str">
        <f>HYPERLINK("https://audio.iskcondesiretree.com/02_-_ISKCON_Swamis/ISKCON_Swamis_-_R_to_Y/His_Holiness_Radhanath_Swami/Lectures/00_-_Year_wise/Devotional_Nectar_-_1992/1992-021_Dhenukasura_Within_Us_BG-03_30_Mumbai_-_Radhanath_Swami_1992-02-03_IDesireTree.mp3", "1992-021_Dhenukasura_Within_Us_BG-03_30_Mumbai_-_Radhanath_Swami_1992-02-03_IDesireTree.mp3")</f>
        <v>1992-021_Dhenukasura_Within_Us_BG-03_30_Mumbai_-_Radhanath_Swami_1992-02-03_IDesireTree.mp3</v>
      </c>
      <c r="D374" s="24"/>
      <c r="E374" s="24"/>
    </row>
    <row r="375">
      <c r="A375" s="25" t="s">
        <v>18352</v>
      </c>
      <c r="B375" s="25" t="s">
        <v>18356</v>
      </c>
      <c r="C375" s="26" t="str">
        <f>HYPERLINK("https://audio.iskcondesiretree.com/02_-_ISKCON_Swamis/ISKCON_Swamis_-_R_to_Y/His_Holiness_Radhanath_Swami/Lectures/00_-_Year_wise/Devotional_Nectar_-_1992/1992-022_Explaining_The_Material_Elements_CC_AL-02_90_Mumbai_-_08-02-92_IDesireTree.mp3", "1992-022_Explaining_The_Material_Elements_CC_AL-02_90_Mumbai_-_08-02-92_IDesireTree.mp3")</f>
        <v>1992-022_Explaining_The_Material_Elements_CC_AL-02_90_Mumbai_-_08-02-92_IDesireTree.mp3</v>
      </c>
      <c r="D375" s="24"/>
      <c r="E375" s="24"/>
    </row>
    <row r="376">
      <c r="A376" s="25" t="s">
        <v>18352</v>
      </c>
      <c r="B376" s="25" t="s">
        <v>18356</v>
      </c>
      <c r="C376" s="26" t="str">
        <f>HYPERLINK("https://audio.iskcondesiretree.com/02_-_ISKCON_Swamis/ISKCON_Swamis_-_R_to_Y/His_Holiness_Radhanath_Swami/Lectures/00_-_Year_wise/Devotional_Nectar_-_1992/1992-023_Vaishnavism_%26_Sannyas_CC_AL-02_Mumbai_-_Radhanath_Swami_1992-02-12_IDesireTree.mp3", "1992-023_Vaishnavism_%26_Sannyas_CC_AL-02_Mumbai_-_Radhanath_Swami_1992-02-12_IDesireTree.mp3")</f>
        <v>1992-023_Vaishnavism_%26_Sannyas_CC_AL-02_Mumbai_-_Radhanath_Swami_1992-02-12_IDesireTree.mp3</v>
      </c>
      <c r="D376" s="24"/>
      <c r="E376" s="24"/>
    </row>
    <row r="377">
      <c r="A377" s="25" t="s">
        <v>18352</v>
      </c>
      <c r="B377" s="25" t="s">
        <v>18356</v>
      </c>
      <c r="C377" s="26" t="str">
        <f>HYPERLINK("https://audio.iskcondesiretree.com/02_-_ISKCON_Swamis/ISKCON_Swamis_-_R_to_Y/His_Holiness_Radhanath_Swami/Lectures/00_-_Year_wise/Devotional_Nectar_-_1992/1992-024_Unified_In_Guru%27s_Service_BG-10_09_Mumbai_-_Radhanath_Swami_1992-02-12_IDesireTree.mp3", "1992-024_Unified_In_Guru%27s_Service_BG-10_09_Mumbai_-_Radhanath_Swami_1992-02-12_IDesireTree.mp3")</f>
        <v>1992-024_Unified_In_Guru%27s_Service_BG-10_09_Mumbai_-_Radhanath_Swami_1992-02-12_IDesireTree.mp3</v>
      </c>
      <c r="D377" s="24"/>
      <c r="E377" s="24"/>
    </row>
    <row r="378">
      <c r="A378" s="25" t="s">
        <v>18352</v>
      </c>
      <c r="B378" s="25" t="s">
        <v>18356</v>
      </c>
      <c r="C378" s="26" t="str">
        <f>HYPERLINK("https://audio.iskcondesiretree.com/02_-_ISKCON_Swamis/ISKCON_Swamis_-_R_to_Y/His_Holiness_Radhanath_Swami/Lectures/00_-_Year_wise/Devotional_Nectar_-_1992/1992-025_RamanujAcharya_Dissappearence_Day_Lecture_Mumbai_-_13-02-92_IDesireTree.mp3", "1992-025_RamanujAcharya_Dissappearence_Day_Lecture_Mumbai_-_13-02-92_IDesireTree.mp3")</f>
        <v>1992-025_RamanujAcharya_Dissappearence_Day_Lecture_Mumbai_-_13-02-92_IDesireTree.mp3</v>
      </c>
      <c r="D378" s="24"/>
      <c r="E378" s="24"/>
    </row>
    <row r="379">
      <c r="A379" s="25" t="s">
        <v>18352</v>
      </c>
      <c r="B379" s="25" t="s">
        <v>18356</v>
      </c>
      <c r="C379" s="26" t="str">
        <f>HYPERLINK("https://audio.iskcondesiretree.com/02_-_ISKCON_Swamis/ISKCON_Swamis_-_R_to_Y/His_Holiness_Radhanath_Swami/Lectures/00_-_Year_wise/Devotional_Nectar_-_1992/1992-026_Incarnation_In_Four_Yugas_Lecture_Mumbai_-_Radhanath_Swami_1992-02-13_IDesireTree.mp3", "1992-026_Incarnation_In_Four_Yugas_Lecture_Mumbai_-_Radhanath_Swami_1992-02-13_IDesireTree.mp3")</f>
        <v>1992-026_Incarnation_In_Four_Yugas_Lecture_Mumbai_-_Radhanath_Swami_1992-02-13_IDesireTree.mp3</v>
      </c>
      <c r="D379" s="24"/>
      <c r="E379" s="24"/>
    </row>
    <row r="380">
      <c r="A380" s="25" t="s">
        <v>18352</v>
      </c>
      <c r="B380" s="25" t="s">
        <v>18356</v>
      </c>
      <c r="C380" s="26" t="str">
        <f>HYPERLINK("https://audio.iskcondesiretree.com/02_-_ISKCON_Swamis/ISKCON_Swamis_-_R_to_Y/His_Holiness_Radhanath_Swami/Lectures/00_-_Year_wise/Devotional_Nectar_-_1992/1992-027_No_Expectation_In_Service_SB-10_05_01-02_Mumbai_-_14-02-92_IDesireTree.mp3", "1992-027_No_Expectation_In_Service_SB-10_05_01-02_Mumbai_-_14-02-92_IDesireTree.mp3")</f>
        <v>1992-027_No_Expectation_In_Service_SB-10_05_01-02_Mumbai_-_14-02-92_IDesireTree.mp3</v>
      </c>
      <c r="D380" s="24"/>
      <c r="E380" s="24"/>
    </row>
    <row r="381">
      <c r="A381" s="25" t="s">
        <v>18352</v>
      </c>
      <c r="B381" s="25" t="s">
        <v>18356</v>
      </c>
      <c r="C381" s="26" t="str">
        <f>HYPERLINK("https://audio.iskcondesiretree.com/02_-_ISKCON_Swamis/ISKCON_Swamis_-_R_to_Y/His_Holiness_Radhanath_Swami/Lectures/00_-_Year_wise/Devotional_Nectar_-_1992/1992-028_Story_Of_VarahDev_Lecture_Mumbai_-_Radhanath_Swami_1992-02-15_IDesireTree.mp3", "1992-028_Story_Of_VarahDev_Lecture_Mumbai_-_Radhanath_Swami_1992-02-15_IDesireTree.mp3")</f>
        <v>1992-028_Story_Of_VarahDev_Lecture_Mumbai_-_Radhanath_Swami_1992-02-15_IDesireTree.mp3</v>
      </c>
      <c r="D381" s="24"/>
      <c r="E381" s="24"/>
    </row>
    <row r="382">
      <c r="A382" s="25" t="s">
        <v>18352</v>
      </c>
      <c r="B382" s="25" t="s">
        <v>18356</v>
      </c>
      <c r="C382" s="26" t="str">
        <f>HYPERLINK("https://audio.iskcondesiretree.com/02_-_ISKCON_Swamis/ISKCON_Swamis_-_R_to_Y/His_Holiness_Radhanath_Swami/Lectures/00_-_Year_wise/Devotional_Nectar_-_1992/1992-029_Appearance_Of_Lord_Varahadev_BG-04_08-09_Mumbai_-_15-02-92_IDesireTree.mp3", "1992-029_Appearance_Of_Lord_Varahadev_BG-04_08-09_Mumbai_-_15-02-92_IDesireTree.mp3")</f>
        <v>1992-029_Appearance_Of_Lord_Varahadev_BG-04_08-09_Mumbai_-_15-02-92_IDesireTree.mp3</v>
      </c>
      <c r="D382" s="24"/>
      <c r="E382" s="24"/>
    </row>
    <row r="383">
      <c r="A383" s="25" t="s">
        <v>18352</v>
      </c>
      <c r="B383" s="25" t="s">
        <v>18356</v>
      </c>
      <c r="C383" s="26" t="str">
        <f>HYPERLINK("https://audio.iskcondesiretree.com/02_-_ISKCON_Swamis/ISKCON_Swamis_-_R_to_Y/His_Holiness_Radhanath_Swami/Lectures/00_-_Year_wise/Devotional_Nectar_-_1992/1992-030_Lord_Nityananda_CC_AL-01_02_Mumbai_-_Radhanath_Swami_1992-02-16_IDesireTree.mp3", "1992-030_Lord_Nityananda_CC_AL-01_02_Mumbai_-_Radhanath_Swami_1992-02-16_IDesireTree.mp3")</f>
        <v>1992-030_Lord_Nityananda_CC_AL-01_02_Mumbai_-_Radhanath_Swami_1992-02-16_IDesireTree.mp3</v>
      </c>
      <c r="D383" s="24"/>
      <c r="E383" s="24"/>
    </row>
    <row r="384">
      <c r="A384" s="25" t="s">
        <v>18352</v>
      </c>
      <c r="B384" s="25" t="s">
        <v>18356</v>
      </c>
      <c r="C384" s="26" t="str">
        <f>HYPERLINK("https://audio.iskcondesiretree.com/02_-_ISKCON_Swamis/ISKCON_Swamis_-_R_to_Y/His_Holiness_Radhanath_Swami/Lectures/00_-_Year_wise/Devotional_Nectar_-_1992/1992-031_Sacrifice_CC_AL-02_Mumbai_-_Radhanath_Swami_1992-02-17_IDesireTree.mp3", "1992-031_Sacrifice_CC_AL-02_Mumbai_-_Radhanath_Swami_1992-02-17_IDesireTree.mp3")</f>
        <v>1992-031_Sacrifice_CC_AL-02_Mumbai_-_Radhanath_Swami_1992-02-17_IDesireTree.mp3</v>
      </c>
      <c r="D384" s="24"/>
      <c r="E384" s="24"/>
    </row>
    <row r="385">
      <c r="A385" s="25" t="s">
        <v>18352</v>
      </c>
      <c r="B385" s="25" t="s">
        <v>18356</v>
      </c>
      <c r="C385" s="26" t="str">
        <f>HYPERLINK("https://audio.iskcondesiretree.com/02_-_ISKCON_Swamis/ISKCON_Swamis_-_R_to_Y/His_Holiness_Radhanath_Swami/Lectures/00_-_Year_wise/Devotional_Nectar_-_1992/1992-032_Narottam_Das_Thakur_Lecture_Mumbai_-_Radhanath_Swami_1992-02-18_IDesireTree.mp3", "1992-032_Narottam_Das_Thakur_Lecture_Mumbai_-_Radhanath_Swami_1992-02-18_IDesireTree.mp3")</f>
        <v>1992-032_Narottam_Das_Thakur_Lecture_Mumbai_-_Radhanath_Swami_1992-02-18_IDesireTree.mp3</v>
      </c>
      <c r="D385" s="24"/>
      <c r="E385" s="24"/>
    </row>
    <row r="386">
      <c r="A386" s="25" t="s">
        <v>18352</v>
      </c>
      <c r="B386" s="25" t="s">
        <v>18356</v>
      </c>
      <c r="C386" s="26" t="str">
        <f>HYPERLINK("https://audio.iskcondesiretree.com/02_-_ISKCON_Swamis/ISKCON_Swamis_-_R_to_Y/His_Holiness_Radhanath_Swami/Lectures/00_-_Year_wise/Devotional_Nectar_-_1992/1992-033_The_Greatest_Boon_In_Kaliyuga_BG-04_03_Mumbai_-_Radhanath_Swami_1992-02-19_IDesireTree.mp3", "1992-033_The_Greatest_Boon_In_Kaliyuga_BG-04_03_Mumbai_-_Radhanath_Swami_1992-02-19_IDesireTree.mp3")</f>
        <v>1992-033_The_Greatest_Boon_In_Kaliyuga_BG-04_03_Mumbai_-_Radhanath_Swami_1992-02-19_IDesireTree.mp3</v>
      </c>
      <c r="D386" s="24"/>
      <c r="E386" s="24"/>
    </row>
    <row r="387">
      <c r="A387" s="25" t="s">
        <v>18352</v>
      </c>
      <c r="B387" s="25" t="s">
        <v>18356</v>
      </c>
      <c r="C387" s="26" t="str">
        <f>HYPERLINK("https://audio.iskcondesiretree.com/02_-_ISKCON_Swamis/ISKCON_Swamis_-_R_to_Y/His_Holiness_Radhanath_Swami/Lectures/00_-_Year_wise/Devotional_Nectar_-_1992/1992-034_Prayers_By_Advaita_Acharya_CC_AL-02_Mumbai_-_Radhanath_Swami_1992-02-20_IDesireTree.mp3", "1992-034_Prayers_By_Advaita_Acharya_CC_AL-02_Mumbai_-_Radhanath_Swami_1992-02-20_IDesireTree.mp3")</f>
        <v>1992-034_Prayers_By_Advaita_Acharya_CC_AL-02_Mumbai_-_Radhanath_Swami_1992-02-20_IDesireTree.mp3</v>
      </c>
      <c r="D387" s="24"/>
      <c r="E387" s="24"/>
    </row>
    <row r="388">
      <c r="A388" s="25" t="s">
        <v>18352</v>
      </c>
      <c r="B388" s="25" t="s">
        <v>18356</v>
      </c>
      <c r="C388" s="26" t="str">
        <f>HYPERLINK("https://audio.iskcondesiretree.com/02_-_ISKCON_Swamis/ISKCON_Swamis_-_R_to_Y/His_Holiness_Radhanath_Swami/Lectures/00_-_Year_wise/Devotional_Nectar_-_1992/1992-035_Questions_And_Answer_Q%26A_Mumbai_-_Radhanath_Swami_1992-02-21_IDesireTree.mp3", "1992-035_Questions_And_Answer_Q%26A_Mumbai_-_Radhanath_Swami_1992-02-21_IDesireTree.mp3")</f>
        <v>1992-035_Questions_And_Answer_Q%26A_Mumbai_-_Radhanath_Swami_1992-02-21_IDesireTree.mp3</v>
      </c>
      <c r="D388" s="24"/>
      <c r="E388" s="24"/>
    </row>
    <row r="389">
      <c r="A389" s="25" t="s">
        <v>18352</v>
      </c>
      <c r="B389" s="25" t="s">
        <v>18356</v>
      </c>
      <c r="C389" s="26" t="str">
        <f>HYPERLINK("https://audio.iskcondesiretree.com/02_-_ISKCON_Swamis/ISKCON_Swamis_-_R_to_Y/His_Holiness_Radhanath_Swami/Lectures/00_-_Year_wise/Devotional_Nectar_-_1992/1992-036_Story_Of_Madhavendra_Puri_Lecture_Mumbai_-_Radhanath_Swami_1992-03-16_IDesireTree.mp3", "1992-036_Story_Of_Madhavendra_Puri_Lecture_Mumbai_-_Radhanath_Swami_1992-03-16_IDesireTree.mp3")</f>
        <v>1992-036_Story_Of_Madhavendra_Puri_Lecture_Mumbai_-_Radhanath_Swami_1992-03-16_IDesireTree.mp3</v>
      </c>
      <c r="D389" s="24"/>
      <c r="E389" s="24"/>
    </row>
    <row r="390">
      <c r="A390" s="25" t="s">
        <v>18352</v>
      </c>
      <c r="B390" s="25" t="s">
        <v>18356</v>
      </c>
      <c r="C390" s="26" t="str">
        <f>HYPERLINK("https://audio.iskcondesiretree.com/02_-_ISKCON_Swamis/ISKCON_Swamis_-_R_to_Y/His_Holiness_Radhanath_Swami/Lectures/00_-_Year_wise/Devotional_Nectar_-_1992/1992-037_Initiation_Lecture_Lecture_Mumbai_-_Radhanath_Swami_1992-03-18_IDesireTree.mp3", "1992-037_Initiation_Lecture_Lecture_Mumbai_-_Radhanath_Swami_1992-03-18_IDesireTree.mp3")</f>
        <v>1992-037_Initiation_Lecture_Lecture_Mumbai_-_Radhanath_Swami_1992-03-18_IDesireTree.mp3</v>
      </c>
      <c r="D390" s="24"/>
      <c r="E390" s="24"/>
    </row>
    <row r="391">
      <c r="A391" s="25" t="s">
        <v>18352</v>
      </c>
      <c r="B391" s="25" t="s">
        <v>18356</v>
      </c>
      <c r="C391" s="26" t="str">
        <f>HYPERLINK("https://audio.iskcondesiretree.com/02_-_ISKCON_Swamis/ISKCON_Swamis_-_R_to_Y/His_Holiness_Radhanath_Swami/Lectures/00_-_Year_wise/Devotional_Nectar_-_1992/1992-038_Gaura_Poornima_Lecture_Mumbai_-_Radhanath_Swami_1992-03-18_IDesireTree.mp3", "1992-038_Gaura_Poornima_Lecture_Mumbai_-_Radhanath_Swami_1992-03-18_IDesireTree.mp3")</f>
        <v>1992-038_Gaura_Poornima_Lecture_Mumbai_-_Radhanath_Swami_1992-03-18_IDesireTree.mp3</v>
      </c>
      <c r="D391" s="24"/>
      <c r="E391" s="24"/>
    </row>
    <row r="392">
      <c r="A392" s="25" t="s">
        <v>18352</v>
      </c>
      <c r="B392" s="25" t="s">
        <v>18356</v>
      </c>
      <c r="C392" s="26" t="str">
        <f>HYPERLINK("https://audio.iskcondesiretree.com/02_-_ISKCON_Swamis/ISKCON_Swamis_-_R_to_Y/His_Holiness_Radhanath_Swami/Lectures/00_-_Year_wise/Devotional_Nectar_-_1992/1992-039_Sucking_The_Poison_SB-10_06_41-42_Mumbai_-_Radhanath_Swami_1992-03-20_IDesireTree.mp3", "1992-039_Sucking_The_Poison_SB-10_06_41-42_Mumbai_-_Radhanath_Swami_1992-03-20_IDesireTree.mp3")</f>
        <v>1992-039_Sucking_The_Poison_SB-10_06_41-42_Mumbai_-_Radhanath_Swami_1992-03-20_IDesireTree.mp3</v>
      </c>
      <c r="D392" s="24"/>
      <c r="E392" s="24"/>
    </row>
    <row r="393">
      <c r="A393" s="25" t="s">
        <v>18352</v>
      </c>
      <c r="B393" s="25" t="s">
        <v>18356</v>
      </c>
      <c r="C393" s="26" t="str">
        <f>HYPERLINK("https://audio.iskcondesiretree.com/02_-_ISKCON_Swamis/ISKCON_Swamis_-_R_to_Y/His_Holiness_Radhanath_Swami/Lectures/00_-_Year_wise/Devotional_Nectar_-_1992/1992-040_As_Krishna_Discends_CC-01_01_04-06_Mumbai_-_Radhanath_Swami_1992-03-27_IDesireTree.mp3", "1992-040_As_Krishna_Discends_CC-01_01_04-06_Mumbai_-_Radhanath_Swami_1992-03-27_IDesireTree.mp3")</f>
        <v>1992-040_As_Krishna_Discends_CC-01_01_04-06_Mumbai_-_Radhanath_Swami_1992-03-27_IDesireTree.mp3</v>
      </c>
      <c r="D393" s="24"/>
      <c r="E393" s="24"/>
    </row>
    <row r="394">
      <c r="A394" s="25" t="s">
        <v>18352</v>
      </c>
      <c r="B394" s="25" t="s">
        <v>18356</v>
      </c>
      <c r="C394" s="26" t="str">
        <f>HYPERLINK("https://audio.iskcondesiretree.com/02_-_ISKCON_Swamis/ISKCON_Swamis_-_R_to_Y/His_Holiness_Radhanath_Swami/Lectures/00_-_Year_wise/Devotional_Nectar_-_1992/1992-041_Teachings_Of_BhaktiSiddhanta_Saraswati_SB-12_03_61_Mumbai_-_22-02-92_IDesireTree.mp3", "1992-041_Teachings_Of_BhaktiSiddhanta_Saraswati_SB-12_03_61_Mumbai_-_22-02-92_IDesireTree.mp3")</f>
        <v>1992-041_Teachings_Of_BhaktiSiddhanta_Saraswati_SB-12_03_61_Mumbai_-_22-02-92_IDesireTree.mp3</v>
      </c>
      <c r="D394" s="24"/>
      <c r="E394" s="24"/>
    </row>
    <row r="395">
      <c r="A395" s="25" t="s">
        <v>18352</v>
      </c>
      <c r="B395" s="25" t="s">
        <v>18356</v>
      </c>
      <c r="C395" s="26" t="str">
        <f>HYPERLINK("https://audio.iskcondesiretree.com/02_-_ISKCON_Swamis/ISKCON_Swamis_-_R_to_Y/His_Holiness_Radhanath_Swami/Lectures/00_-_Year_wise/Devotional_Nectar_-_1992/1992-042_Teachings_Of_Queen_Kunti_SB-01_08_42_Mumbai_-_Radhanath_Swami_1992-02-23_IDesireTree.mp3", "1992-042_Teachings_Of_Queen_Kunti_SB-01_08_42_Mumbai_-_Radhanath_Swami_1992-02-23_IDesireTree.mp3")</f>
        <v>1992-042_Teachings_Of_Queen_Kunti_SB-01_08_42_Mumbai_-_Radhanath_Swami_1992-02-23_IDesireTree.mp3</v>
      </c>
      <c r="D395" s="24"/>
      <c r="E395" s="24"/>
    </row>
    <row r="396">
      <c r="A396" s="25" t="s">
        <v>18352</v>
      </c>
      <c r="B396" s="25" t="s">
        <v>18356</v>
      </c>
      <c r="C396" s="26" t="str">
        <f>HYPERLINK("https://audio.iskcondesiretree.com/02_-_ISKCON_Swamis/ISKCON_Swamis_-_R_to_Y/His_Holiness_Radhanath_Swami/Lectures/00_-_Year_wise/Devotional_Nectar_-_1992/1992-043_Jagai_And_Madhai_Ht_-_Lecture_Mumbai_-_Radhanath_Swami_1992-02-29_IDesireTree.mp3", "1992-043_Jagai_And_Madhai_Ht_-_Lecture_Mumbai_-_Radhanath_Swami_1992-02-29_IDesireTree.mp3")</f>
        <v>1992-043_Jagai_And_Madhai_Ht_-_Lecture_Mumbai_-_Radhanath_Swami_1992-02-29_IDesireTree.mp3</v>
      </c>
      <c r="D396" s="24"/>
      <c r="E396" s="24"/>
    </row>
    <row r="397">
      <c r="A397" s="25" t="s">
        <v>18352</v>
      </c>
      <c r="B397" s="25" t="s">
        <v>18356</v>
      </c>
      <c r="C397" s="26" t="str">
        <f>HYPERLINK("https://audio.iskcondesiretree.com/02_-_ISKCON_Swamis/ISKCON_Swamis_-_R_to_Y/His_Holiness_Radhanath_Swami/Lectures/00_-_Year_wise/Devotional_Nectar_-_1992/1992-044_Becoming_Servant_Of_Servant_SB-01_02_16_Mumbai_-_Radhanath_Swami_1992-03-15_IDesireTree.mp3", "1992-044_Becoming_Servant_Of_Servant_SB-01_02_16_Mumbai_-_Radhanath_Swami_1992-03-15_IDesireTree.mp3")</f>
        <v>1992-044_Becoming_Servant_Of_Servant_SB-01_02_16_Mumbai_-_Radhanath_Swami_1992-03-15_IDesireTree.mp3</v>
      </c>
      <c r="D397" s="24"/>
      <c r="E397" s="24"/>
    </row>
    <row r="398">
      <c r="A398" s="25" t="s">
        <v>18352</v>
      </c>
      <c r="B398" s="25" t="s">
        <v>18356</v>
      </c>
      <c r="C398" s="26" t="str">
        <f>HYPERLINK("https://audio.iskcondesiretree.com/02_-_ISKCON_Swamis/ISKCON_Swamis_-_R_to_Y/His_Holiness_Radhanath_Swami/Lectures/00_-_Year_wise/Devotional_Nectar_-_1992/1992-045_The_True_Path_SB-10_06_37-38_Mumbai_-_Radhanath_Swami_1992-03-16_IDesireTree.mp3", "1992-045_The_True_Path_SB-10_06_37-38_Mumbai_-_Radhanath_Swami_1992-03-16_IDesireTree.mp3")</f>
        <v>1992-045_The_True_Path_SB-10_06_37-38_Mumbai_-_Radhanath_Swami_1992-03-16_IDesireTree.mp3</v>
      </c>
      <c r="D398" s="24"/>
      <c r="E398" s="24"/>
    </row>
    <row r="399">
      <c r="A399" s="25" t="s">
        <v>18352</v>
      </c>
      <c r="B399" s="25" t="s">
        <v>18356</v>
      </c>
      <c r="C399" s="26" t="str">
        <f>HYPERLINK("https://audio.iskcondesiretree.com/02_-_ISKCON_Swamis/ISKCON_Swamis_-_R_to_Y/His_Holiness_Radhanath_Swami/Lectures/00_-_Year_wise/Devotional_Nectar_-_1992/1992-046_A_Moment%27s_Association_SB-07_13_42_Mumbai_-_Radhanath_Swami_1992-03-27_IDesireTree.mp3", "1992-046_A_Moment%27s_Association_SB-07_13_42_Mumbai_-_Radhanath_Swami_1992-03-27_IDesireTree.mp3")</f>
        <v>1992-046_A_Moment%27s_Association_SB-07_13_42_Mumbai_-_Radhanath_Swami_1992-03-27_IDesireTree.mp3</v>
      </c>
      <c r="D399" s="24"/>
      <c r="E399" s="24"/>
    </row>
    <row r="400">
      <c r="A400" s="25" t="s">
        <v>18352</v>
      </c>
      <c r="B400" s="25" t="s">
        <v>18356</v>
      </c>
      <c r="C400" s="26" t="str">
        <f>HYPERLINK("https://audio.iskcondesiretree.com/02_-_ISKCON_Swamis/ISKCON_Swamis_-_R_to_Y/His_Holiness_Radhanath_Swami/Lectures/00_-_Year_wise/Devotional_Nectar_-_1992/1992-047_The_Unexpected_Shakatasur_SB-10_07_10-12_Mumbai_-_27-03-92_IDesireTree.mp3", "1992-047_The_Unexpected_Shakatasur_SB-10_07_10-12_Mumbai_-_27-03-92_IDesireTree.mp3")</f>
        <v>1992-047_The_Unexpected_Shakatasur_SB-10_07_10-12_Mumbai_-_27-03-92_IDesireTree.mp3</v>
      </c>
      <c r="D400" s="24"/>
      <c r="E400" s="24"/>
    </row>
    <row r="401">
      <c r="A401" s="25" t="s">
        <v>18352</v>
      </c>
      <c r="B401" s="25" t="s">
        <v>18356</v>
      </c>
      <c r="C401" s="26" t="str">
        <f>HYPERLINK("https://audio.iskcondesiretree.com/02_-_ISKCON_Swamis/ISKCON_Swamis_-_R_to_Y/His_Holiness_Radhanath_Swami/Lectures/00_-_Year_wise/Devotional_Nectar_-_1992/1992-048_Making_Life_Simple_BG-08_15_Mumbai_-_Radhanath_Swami_1992-03-28_IDesireTree.mp3", "1992-048_Making_Life_Simple_BG-08_15_Mumbai_-_Radhanath_Swami_1992-03-28_IDesireTree.mp3")</f>
        <v>1992-048_Making_Life_Simple_BG-08_15_Mumbai_-_Radhanath_Swami_1992-03-28_IDesireTree.mp3</v>
      </c>
      <c r="D401" s="24"/>
      <c r="E401" s="24"/>
    </row>
    <row r="402">
      <c r="A402" s="25" t="s">
        <v>18352</v>
      </c>
      <c r="B402" s="25" t="s">
        <v>18356</v>
      </c>
      <c r="C402" s="26" t="str">
        <f>HYPERLINK("https://audio.iskcondesiretree.com/02_-_ISKCON_Swamis/ISKCON_Swamis_-_R_to_Y/His_Holiness_Radhanath_Swami/Lectures/00_-_Year_wise/Devotional_Nectar_-_1992/1992-049_Cutting_The_Material_Roots_SB-17_27-30_Mumbai_-_29-03-92_Verify_Verse_-_IDesireTree.mp3", "1992-049_Cutting_The_Material_Roots_SB-17_27-30_Mumbai_-_29-03-92_Verify_Verse_-_IDesireTree.mp3")</f>
        <v>1992-049_Cutting_The_Material_Roots_SB-17_27-30_Mumbai_-_29-03-92_Verify_Verse_-_IDesireTree.mp3</v>
      </c>
      <c r="D402" s="24"/>
      <c r="E402" s="24"/>
    </row>
    <row r="403">
      <c r="A403" s="25" t="s">
        <v>18352</v>
      </c>
      <c r="B403" s="25" t="s">
        <v>18356</v>
      </c>
      <c r="C403" s="26" t="str">
        <f>HYPERLINK("https://audio.iskcondesiretree.com/02_-_ISKCON_Swamis/ISKCON_Swamis_-_R_to_Y/His_Holiness_Radhanath_Swami/Lectures/00_-_Year_wise/Devotional_Nectar_-_1992/1992-050_Lord_Chaitanya_Leaves_Vrindavan_CC_ML-19_96_Mumbai_-_03-04-92_IDesireTree.mp3", "1992-050_Lord_Chaitanya_Leaves_Vrindavan_CC_ML-19_96_Mumbai_-_03-04-92_IDesireTree.mp3")</f>
        <v>1992-050_Lord_Chaitanya_Leaves_Vrindavan_CC_ML-19_96_Mumbai_-_03-04-92_IDesireTree.mp3</v>
      </c>
      <c r="D403" s="24"/>
      <c r="E403" s="24"/>
    </row>
    <row r="404">
      <c r="A404" s="25" t="s">
        <v>18352</v>
      </c>
      <c r="B404" s="25" t="s">
        <v>18356</v>
      </c>
      <c r="C404" s="26" t="str">
        <f>HYPERLINK("https://audio.iskcondesiretree.com/02_-_ISKCON_Swamis/ISKCON_Swamis_-_R_to_Y/His_Holiness_Radhanath_Swami/Lectures/00_-_Year_wise/Devotional_Nectar_-_1992/1992-051_Misdirected_Love_SB-10_07_32_Mumbai_-_Radhanath_Swami_1992-04-04_IDesireTree.mp3", "1992-051_Misdirected_Love_SB-10_07_32_Mumbai_-_Radhanath_Swami_1992-04-04_IDesireTree.mp3")</f>
        <v>1992-051_Misdirected_Love_SB-10_07_32_Mumbai_-_Radhanath_Swami_1992-04-04_IDesireTree.mp3</v>
      </c>
      <c r="D404" s="24"/>
      <c r="E404" s="24"/>
    </row>
    <row r="405">
      <c r="A405" s="25" t="s">
        <v>18352</v>
      </c>
      <c r="B405" s="25" t="s">
        <v>18356</v>
      </c>
      <c r="C405" s="26" t="str">
        <f>HYPERLINK("https://audio.iskcondesiretree.com/02_-_ISKCON_Swamis/ISKCON_Swamis_-_R_to_Y/His_Holiness_Radhanath_Swami/Lectures/00_-_Year_wise/Devotional_Nectar_-_1992/1992-052_The_Strenght_Of_Krishna%27s_Illusion_SB-10_07_18-19_Mumbai_-_30-03-92_IDesireTree.mp3", "1992-052_The_Strenght_Of_Krishna%27s_Illusion_SB-10_07_18-19_Mumbai_-_30-03-92_IDesireTree.mp3")</f>
        <v>1992-052_The_Strenght_Of_Krishna%27s_Illusion_SB-10_07_18-19_Mumbai_-_30-03-92_IDesireTree.mp3</v>
      </c>
      <c r="D405" s="24"/>
      <c r="E405" s="24"/>
    </row>
    <row r="406">
      <c r="A406" s="25" t="s">
        <v>18352</v>
      </c>
      <c r="B406" s="25" t="s">
        <v>18356</v>
      </c>
      <c r="C406" s="26" t="str">
        <f>HYPERLINK("https://audio.iskcondesiretree.com/02_-_ISKCON_Swamis/ISKCON_Swamis_-_R_to_Y/His_Holiness_Radhanath_Swami/Lectures/00_-_Year_wise/Devotional_Nectar_-_1992/1992-053_Disloyal_Controvercy_SB-10_07_20-24_Mumbai_-_Radhanath_Swami_1992-03-31_IDesireTree.mp3", "1992-053_Disloyal_Controvercy_SB-10_07_20-24_Mumbai_-_Radhanath_Swami_1992-03-31_IDesireTree.mp3")</f>
        <v>1992-053_Disloyal_Controvercy_SB-10_07_20-24_Mumbai_-_Radhanath_Swami_1992-03-31_IDesireTree.mp3</v>
      </c>
      <c r="D406" s="24"/>
      <c r="E406" s="24"/>
    </row>
    <row r="407">
      <c r="A407" s="25" t="s">
        <v>18352</v>
      </c>
      <c r="B407" s="25" t="s">
        <v>18356</v>
      </c>
      <c r="C407" s="26" t="str">
        <f>HYPERLINK("https://audio.iskcondesiretree.com/02_-_ISKCON_Swamis/ISKCON_Swamis_-_R_to_Y/His_Holiness_Radhanath_Swami/Lectures/00_-_Year_wise/Devotional_Nectar_-_1992/1992-054_The_Highest_Pastimes_CC-01_01_04_22_Mumbai_-_Radhanath_Swami_1992-03-31_IDesireTree.mp3", "1992-054_The_Highest_Pastimes_CC-01_01_04_22_Mumbai_-_Radhanath_Swami_1992-03-31_IDesireTree.mp3")</f>
        <v>1992-054_The_Highest_Pastimes_CC-01_01_04_22_Mumbai_-_Radhanath_Swami_1992-03-31_IDesireTree.mp3</v>
      </c>
      <c r="D407" s="24"/>
      <c r="E407" s="24"/>
    </row>
    <row r="408">
      <c r="A408" s="25" t="s">
        <v>18352</v>
      </c>
      <c r="B408" s="25" t="s">
        <v>18356</v>
      </c>
      <c r="C408" s="26" t="str">
        <f>HYPERLINK("https://audio.iskcondesiretree.com/02_-_ISKCON_Swamis/ISKCON_Swamis_-_R_to_Y/His_Holiness_Radhanath_Swami/Lectures/00_-_Year_wise/Devotional_Nectar_-_1992/1992-055_Trinavarta_In_Our_Heart_SB-10_07_25-26_Mumbai_-_Radhanath_Swami_1992-04-01_IDesireTree.mp3", "1992-055_Trinavarta_In_Our_Heart_SB-10_07_25-26_Mumbai_-_Radhanath_Swami_1992-04-01_IDesireTree.mp3")</f>
        <v>1992-055_Trinavarta_In_Our_Heart_SB-10_07_25-26_Mumbai_-_Radhanath_Swami_1992-04-01_IDesireTree.mp3</v>
      </c>
      <c r="D408" s="24"/>
      <c r="E408" s="24"/>
    </row>
    <row r="409">
      <c r="A409" s="25" t="s">
        <v>18352</v>
      </c>
      <c r="B409" s="25" t="s">
        <v>18356</v>
      </c>
      <c r="C409" s="26" t="str">
        <f>HYPERLINK("https://audio.iskcondesiretree.com/02_-_ISKCON_Swamis/ISKCON_Swamis_-_R_to_Y/His_Holiness_Radhanath_Swami/Lectures/00_-_Year_wise/Devotional_Nectar_-_1992/1992-056_Rooting_Out_The_Trinavarta_SB-10_07_27-29_Mumbai_-_01-04-92_IDesireTree.mp3", "1992-056_Rooting_Out_The_Trinavarta_SB-10_07_27-29_Mumbai_-_01-04-92_IDesireTree.mp3")</f>
        <v>1992-056_Rooting_Out_The_Trinavarta_SB-10_07_27-29_Mumbai_-_01-04-92_IDesireTree.mp3</v>
      </c>
      <c r="D409" s="24"/>
      <c r="E409" s="24"/>
    </row>
    <row r="410">
      <c r="A410" s="25" t="s">
        <v>18352</v>
      </c>
      <c r="B410" s="25" t="s">
        <v>18356</v>
      </c>
      <c r="C410" s="26" t="str">
        <f>HYPERLINK("https://audio.iskcondesiretree.com/02_-_ISKCON_Swamis/ISKCON_Swamis_-_R_to_Y/His_Holiness_Radhanath_Swami/Lectures/00_-_Year_wise/Devotional_Nectar_-_1992/1992-057_The_Supreme_Perfection_CC_AL-01_Mumbai_-_Radhanath_Swami_1992-04-02_IDesireTree.mp3", "1992-057_The_Supreme_Perfection_CC_AL-01_Mumbai_-_Radhanath_Swami_1992-04-02_IDesireTree.mp3")</f>
        <v>1992-057_The_Supreme_Perfection_CC_AL-01_Mumbai_-_Radhanath_Swami_1992-04-02_IDesireTree.mp3</v>
      </c>
      <c r="D410" s="24"/>
      <c r="E410" s="24"/>
    </row>
    <row r="411">
      <c r="A411" s="25" t="s">
        <v>18352</v>
      </c>
      <c r="B411" s="25" t="s">
        <v>18356</v>
      </c>
      <c r="C411" s="26" t="str">
        <f>HYPERLINK("https://audio.iskcondesiretree.com/02_-_ISKCON_Swamis/ISKCON_Swamis_-_R_to_Y/His_Holiness_Radhanath_Swami/Lectures/00_-_Year_wise/Devotional_Nectar_-_1992/1992-058_Bhajahu_Re_Mana_Lecture_Mumbai_-_Radhanath_Swami_1992-04-02_IDesireTree.mp3", "1992-058_Bhajahu_Re_Mana_Lecture_Mumbai_-_Radhanath_Swami_1992-04-02_IDesireTree.mp3")</f>
        <v>1992-058_Bhajahu_Re_Mana_Lecture_Mumbai_-_Radhanath_Swami_1992-04-02_IDesireTree.mp3</v>
      </c>
      <c r="D411" s="24"/>
      <c r="E411" s="24"/>
    </row>
    <row r="412">
      <c r="A412" s="25" t="s">
        <v>18352</v>
      </c>
      <c r="B412" s="25" t="s">
        <v>18356</v>
      </c>
      <c r="C412" s="26" t="str">
        <f>HYPERLINK("https://audio.iskcondesiretree.com/02_-_ISKCON_Swamis/ISKCON_Swamis_-_R_to_Y/His_Holiness_Radhanath_Swami/Lectures/00_-_Year_wise/Devotional_Nectar_-_1992/1992-059_Krsna_Waiting_to_Help_Us_BG-13_16_Mumbai_-_Radhanath_Swami_1992-04-07_IDesireTree.mp3", "1992-059_Krsna_Waiting_to_Help_Us_BG-13_16_Mumbai_-_Radhanath_Swami_1992-04-07_IDesireTree.mp3")</f>
        <v>1992-059_Krsna_Waiting_to_Help_Us_BG-13_16_Mumbai_-_Radhanath_Swami_1992-04-07_IDesireTree.mp3</v>
      </c>
      <c r="D412" s="24"/>
      <c r="E412" s="24"/>
    </row>
    <row r="413">
      <c r="A413" s="25" t="s">
        <v>18352</v>
      </c>
      <c r="B413" s="25" t="s">
        <v>18356</v>
      </c>
      <c r="C413" s="26" t="str">
        <f>HYPERLINK("https://audio.iskcondesiretree.com/02_-_ISKCON_Swamis/ISKCON_Swamis_-_R_to_Y/His_Holiness_Radhanath_Swami/Lectures/00_-_Year_wise/Devotional_Nectar_-_1992/1992-060_Story_Of_Ramanujacharya_Lecture_Mumbai_-_Radhanath_Swami_1992-04-08_IDesireTree.mp3", "1992-060_Story_Of_Ramanujacharya_Lecture_Mumbai_-_Radhanath_Swami_1992-04-08_IDesireTree.mp3")</f>
        <v>1992-060_Story_Of_Ramanujacharya_Lecture_Mumbai_-_Radhanath_Swami_1992-04-08_IDesireTree.mp3</v>
      </c>
      <c r="D413" s="24"/>
      <c r="E413" s="24"/>
    </row>
    <row r="414">
      <c r="A414" s="25" t="s">
        <v>18352</v>
      </c>
      <c r="B414" s="25" t="s">
        <v>18356</v>
      </c>
      <c r="C414" s="26" t="str">
        <f>HYPERLINK("https://audio.iskcondesiretree.com/02_-_ISKCON_Swamis/ISKCON_Swamis_-_R_to_Y/His_Holiness_Radhanath_Swami/Lectures/00_-_Year_wise/Devotional_Nectar_-_1992/1992-061_Secret_Of_Detachment_Lecture_Mumbai_-_Radhanath_Swami_1992-04-04_IDesireTree.mp3", "1992-061_Secret_Of_Detachment_Lecture_Mumbai_-_Radhanath_Swami_1992-04-04_IDesireTree.mp3")</f>
        <v>1992-061_Secret_Of_Detachment_Lecture_Mumbai_-_Radhanath_Swami_1992-04-04_IDesireTree.mp3</v>
      </c>
      <c r="D414" s="24"/>
      <c r="E414" s="24"/>
    </row>
    <row r="415">
      <c r="A415" s="25" t="s">
        <v>18352</v>
      </c>
      <c r="B415" s="25" t="s">
        <v>18356</v>
      </c>
      <c r="C415" s="26" t="str">
        <f>HYPERLINK("https://audio.iskcondesiretree.com/02_-_ISKCON_Swamis/ISKCON_Swamis_-_R_to_Y/His_Holiness_Radhanath_Swami/Lectures/00_-_Year_wise/Devotional_Nectar_-_1992/1992-062_Brahma_Vimohana_Lilla_SB-10_13_01-03_Mumbai_-_Radhanath_Swami_1992-04-05_IDesireTree.mp3", "1992-062_Brahma_Vimohana_Lilla_SB-10_13_01-03_Mumbai_-_Radhanath_Swami_1992-04-05_IDesireTree.mp3")</f>
        <v>1992-062_Brahma_Vimohana_Lilla_SB-10_13_01-03_Mumbai_-_Radhanath_Swami_1992-04-05_IDesireTree.mp3</v>
      </c>
      <c r="D415" s="24"/>
      <c r="E415" s="24"/>
    </row>
    <row r="416">
      <c r="A416" s="25" t="s">
        <v>18352</v>
      </c>
      <c r="B416" s="25" t="s">
        <v>18356</v>
      </c>
      <c r="C416" s="26" t="str">
        <f>HYPERLINK("https://audio.iskcondesiretree.com/02_-_ISKCON_Swamis/ISKCON_Swamis_-_R_to_Y/His_Holiness_Radhanath_Swami/Lectures/00_-_Year_wise/Devotional_Nectar_-_1992/1992-063_How_To_Be_Real_Grihastha_SB-10_8_01-04_Mumbai_-_Radhanath_Swami_1992-04-07_IDesireTree.mp3", "1992-063_How_To_Be_Real_Grihastha_SB-10_8_01-04_Mumbai_-_Radhanath_Swami_1992-04-07_IDesireTree.mp3")</f>
        <v>1992-063_How_To_Be_Real_Grihastha_SB-10_8_01-04_Mumbai_-_Radhanath_Swami_1992-04-07_IDesireTree.mp3</v>
      </c>
      <c r="D416" s="24"/>
      <c r="E416" s="24"/>
    </row>
    <row r="417">
      <c r="A417" s="25" t="s">
        <v>18352</v>
      </c>
      <c r="B417" s="25" t="s">
        <v>18356</v>
      </c>
      <c r="C417" s="26" t="str">
        <f>HYPERLINK("https://audio.iskcondesiretree.com/02_-_ISKCON_Swamis/ISKCON_Swamis_-_R_to_Y/His_Holiness_Radhanath_Swami/Lectures/00_-_Year_wise/Devotional_Nectar_-_1992/1992-064_Guru_And_Vaishnava_Blessing_SB-10_08_06_Mumbai_-_Radhanath_Swami_1992-04-09_IDesireTree.mp3", "1992-064_Guru_And_Vaishnava_Blessing_SB-10_08_06_Mumbai_-_Radhanath_Swami_1992-04-09_IDesireTree.mp3")</f>
        <v>1992-064_Guru_And_Vaishnava_Blessing_SB-10_08_06_Mumbai_-_Radhanath_Swami_1992-04-09_IDesireTree.mp3</v>
      </c>
      <c r="D417" s="24"/>
      <c r="E417" s="24"/>
    </row>
    <row r="418">
      <c r="A418" s="25" t="s">
        <v>18352</v>
      </c>
      <c r="B418" s="25" t="s">
        <v>18356</v>
      </c>
      <c r="C418" s="26" t="str">
        <f>HYPERLINK("https://audio.iskcondesiretree.com/02_-_ISKCON_Swamis/ISKCON_Swamis_-_R_to_Y/His_Holiness_Radhanath_Swami/Lectures/00_-_Year_wise/Devotional_Nectar_-_1992/1992-065_The_Lord%27s_Love_for_His_Devotees_Lecture_Mumbai_-_23-6-92_IDesireTree.mp3", "1992-065_The_Lord%27s_Love_for_His_Devotees_Lecture_Mumbai_-_23-6-92_IDesireTree.mp3")</f>
        <v>1992-065_The_Lord%27s_Love_for_His_Devotees_Lecture_Mumbai_-_23-6-92_IDesireTree.mp3</v>
      </c>
      <c r="D418" s="24"/>
      <c r="E418" s="24"/>
    </row>
    <row r="419">
      <c r="A419" s="25" t="s">
        <v>18352</v>
      </c>
      <c r="B419" s="25" t="s">
        <v>18356</v>
      </c>
      <c r="C419" s="26" t="str">
        <f>HYPERLINK("https://audio.iskcondesiretree.com/02_-_ISKCON_Swamis/ISKCON_Swamis_-_R_to_Y/His_Holiness_Radhanath_Swami/Lectures/00_-_Year_wise/Devotional_Nectar_-_1992/1992-066_Submissive_Approach_To_Guru_BG-02_45_-_Radhanath_Swami_1992-06-09_IDesireTree.mp3", "1992-066_Submissive_Approach_To_Guru_BG-02_45_-_Radhanath_Swami_1992-06-09_IDesireTree.mp3")</f>
        <v>1992-066_Submissive_Approach_To_Guru_BG-02_45_-_Radhanath_Swami_1992-06-09_IDesireTree.mp3</v>
      </c>
      <c r="D419" s="24"/>
      <c r="E419" s="24"/>
    </row>
    <row r="420">
      <c r="A420" s="25" t="s">
        <v>18352</v>
      </c>
      <c r="B420" s="25" t="s">
        <v>18356</v>
      </c>
      <c r="C420" s="26" t="str">
        <f>HYPERLINK("https://audio.iskcondesiretree.com/02_-_ISKCON_Swamis/ISKCON_Swamis_-_R_to_Y/His_Holiness_Radhanath_Swami/Lectures/00_-_Year_wise/Devotional_Nectar_-_1992/1992-067_We_have_no_Independance_from_Krsna_SB_-_Radhanath_Swami_1992-07-09_IDesireTree.mp3", "1992-067_We_have_no_Independance_from_Krsna_SB_-_Radhanath_Swami_1992-07-09_IDesireTree.mp3")</f>
        <v>1992-067_We_have_no_Independance_from_Krsna_SB_-_Radhanath_Swami_1992-07-09_IDesireTree.mp3</v>
      </c>
      <c r="D420" s="24"/>
      <c r="E420" s="24"/>
    </row>
    <row r="421">
      <c r="A421" s="25" t="s">
        <v>18352</v>
      </c>
      <c r="B421" s="25" t="s">
        <v>18356</v>
      </c>
      <c r="C421" s="26" t="str">
        <f>HYPERLINK("https://audio.iskcondesiretree.com/02_-_ISKCON_Swamis/ISKCON_Swamis_-_R_to_Y/His_Holiness_Radhanath_Swami/Lectures/00_-_Year_wise/Devotional_Nectar_-_1992/1992-068_Understanding_Prabhupada%27s_Mission_Lecture_Columbus_-_12-07-92_IDesireTree.mp3", "1992-068_Understanding_Prabhupada%27s_Mission_Lecture_Columbus_-_12-07-92_IDesireTree.mp3")</f>
        <v>1992-068_Understanding_Prabhupada%27s_Mission_Lecture_Columbus_-_12-07-92_IDesireTree.mp3</v>
      </c>
      <c r="D421" s="24"/>
      <c r="E421" s="24"/>
    </row>
    <row r="422">
      <c r="A422" s="25" t="s">
        <v>18352</v>
      </c>
      <c r="B422" s="25" t="s">
        <v>18356</v>
      </c>
      <c r="C422" s="26" t="str">
        <f>HYPERLINK("https://audio.iskcondesiretree.com/02_-_ISKCON_Swamis/ISKCON_Swamis_-_R_to_Y/His_Holiness_Radhanath_Swami/Lectures/00_-_Year_wise/Devotional_Nectar_-_1992/1992-069_Sri_Caitanya_Lila_Lecture_-_Radhanath_Swami_92_IDesireTree.mp3", "1992-069_Sri_Caitanya_Lila_Lecture_-_Radhanath_Swami_92_IDesireTree.mp3")</f>
        <v>1992-069_Sri_Caitanya_Lila_Lecture_-_Radhanath_Swami_92_IDesireTree.mp3</v>
      </c>
      <c r="D422" s="24"/>
      <c r="E422" s="24"/>
    </row>
    <row r="423">
      <c r="A423" s="25" t="s">
        <v>18352</v>
      </c>
      <c r="B423" s="25" t="s">
        <v>18356</v>
      </c>
      <c r="C423" s="26" t="str">
        <f>HYPERLINK("https://audio.iskcondesiretree.com/02_-_ISKCON_Swamis/ISKCON_Swamis_-_R_to_Y/His_Holiness_Radhanath_Swami/Lectures/00_-_Year_wise/Devotional_Nectar_-_1992/1992-070_Developing_Humility_Lecture_Mumbai_-_Radhanath_Swami_1992-08-14_IDesireTree.mp3", "1992-070_Developing_Humility_Lecture_Mumbai_-_Radhanath_Swami_1992-08-14_IDesireTree.mp3")</f>
        <v>1992-070_Developing_Humility_Lecture_Mumbai_-_Radhanath_Swami_1992-08-14_IDesireTree.mp3</v>
      </c>
      <c r="D423" s="24"/>
      <c r="E423" s="24"/>
    </row>
    <row r="424">
      <c r="A424" s="25" t="s">
        <v>18352</v>
      </c>
      <c r="B424" s="25" t="s">
        <v>18356</v>
      </c>
      <c r="C424" s="26" t="str">
        <f>HYPERLINK("https://audio.iskcondesiretree.com/02_-_ISKCON_Swamis/ISKCON_Swamis_-_R_to_Y/His_Holiness_Radhanath_Swami/Lectures/00_-_Year_wise/Devotional_Nectar_-_1992/1992-071_Lord_Balarama_Appearance_Day_Lecture_Mumbai_-_Radhanath_Swami_1992-08-15_IDesireTree.mp3", "1992-071_Lord_Balarama_Appearance_Day_Lecture_Mumbai_-_Radhanath_Swami_1992-08-15_IDesireTree.mp3")</f>
        <v>1992-071_Lord_Balarama_Appearance_Day_Lecture_Mumbai_-_Radhanath_Swami_1992-08-15_IDesireTree.mp3</v>
      </c>
      <c r="D424" s="24"/>
      <c r="E424" s="24"/>
    </row>
    <row r="425">
      <c r="A425" s="25" t="s">
        <v>18352</v>
      </c>
      <c r="B425" s="25" t="s">
        <v>18356</v>
      </c>
      <c r="C425" s="26" t="str">
        <f>HYPERLINK("https://audio.iskcondesiretree.com/02_-_ISKCON_Swamis/ISKCON_Swamis_-_R_to_Y/His_Holiness_Radhanath_Swami/Lectures/00_-_Year_wise/Devotional_Nectar_-_1992/1992-072_Developing_Affection_SB-10_13_31-32_Mumbai_-_Radhanath_Swami_1992-08-15_IDesireTree.mp3", "1992-072_Developing_Affection_SB-10_13_31-32_Mumbai_-_Radhanath_Swami_1992-08-15_IDesireTree.mp3")</f>
        <v>1992-072_Developing_Affection_SB-10_13_31-32_Mumbai_-_Radhanath_Swami_1992-08-15_IDesireTree.mp3</v>
      </c>
      <c r="D425" s="24"/>
      <c r="E425" s="24"/>
    </row>
    <row r="426">
      <c r="A426" s="25" t="s">
        <v>18352</v>
      </c>
      <c r="B426" s="25" t="s">
        <v>18356</v>
      </c>
      <c r="C426" s="26" t="str">
        <f>HYPERLINK("https://audio.iskcondesiretree.com/02_-_ISKCON_Swamis/ISKCON_Swamis_-_R_to_Y/His_Holiness_Radhanath_Swami/Lectures/00_-_Year_wise/Devotional_Nectar_-_1992/1992-073_Laziness_And_False_Ego_BG-03_30_Mumbai_-_Radhanath_Swami_1992-08-16_IDesireTree.mp3", "1992-073_Laziness_And_False_Ego_BG-03_30_Mumbai_-_Radhanath_Swami_1992-08-16_IDesireTree.mp3")</f>
        <v>1992-073_Laziness_And_False_Ego_BG-03_30_Mumbai_-_Radhanath_Swami_1992-08-16_IDesireTree.mp3</v>
      </c>
      <c r="D426" s="24"/>
      <c r="E426" s="24"/>
    </row>
    <row r="427">
      <c r="A427" s="25" t="s">
        <v>18352</v>
      </c>
      <c r="B427" s="25" t="s">
        <v>18356</v>
      </c>
      <c r="C427" s="26" t="str">
        <f>HYPERLINK("https://audio.iskcondesiretree.com/02_-_ISKCON_Swamis/ISKCON_Swamis_-_R_to_Y/His_Holiness_Radhanath_Swami/Lectures/00_-_Year_wise/Devotional_Nectar_-_1992/1992-074_Spiritual_Attachments_SB-10_13_33-34_Mumbai_-_Radhanath_Swami_1992-08-16_IDesireTree.mp3", "1992-074_Spiritual_Attachments_SB-10_13_33-34_Mumbai_-_Radhanath_Swami_1992-08-16_IDesireTree.mp3")</f>
        <v>1992-074_Spiritual_Attachments_SB-10_13_33-34_Mumbai_-_Radhanath_Swami_1992-08-16_IDesireTree.mp3</v>
      </c>
      <c r="D427" s="24"/>
      <c r="E427" s="24"/>
    </row>
    <row r="428">
      <c r="A428" s="25" t="s">
        <v>18352</v>
      </c>
      <c r="B428" s="25" t="s">
        <v>18356</v>
      </c>
      <c r="C428" s="26" t="str">
        <f>HYPERLINK("https://audio.iskcondesiretree.com/02_-_ISKCON_Swamis/ISKCON_Swamis_-_R_to_Y/His_Holiness_Radhanath_Swami/Lectures/00_-_Year_wise/Devotional_Nectar_-_1992/1992-075_Inconceivable_Lord_Krishna_SB-10_13_35_Mumbai_-_Radhanath_Swami_1992-08-17_IDesireTree.mp3", "1992-075_Inconceivable_Lord_Krishna_SB-10_13_35_Mumbai_-_Radhanath_Swami_1992-08-17_IDesireTree.mp3")</f>
        <v>1992-075_Inconceivable_Lord_Krishna_SB-10_13_35_Mumbai_-_Radhanath_Swami_1992-08-17_IDesireTree.mp3</v>
      </c>
      <c r="D428" s="24"/>
      <c r="E428" s="24"/>
    </row>
    <row r="429">
      <c r="A429" s="25" t="s">
        <v>18352</v>
      </c>
      <c r="B429" s="25" t="s">
        <v>18356</v>
      </c>
      <c r="C429" s="26" t="str">
        <f>HYPERLINK("https://audio.iskcondesiretree.com/02_-_ISKCON_Swamis/ISKCON_Swamis_-_R_to_Y/His_Holiness_Radhanath_Swami/Lectures/00_-_Year_wise/Devotional_Nectar_-_1992/1992-076_Vaishnava_Is_Selfless_SB-10_08_07-09_Mumbai_-_Radhanath_Swami_1992-04-10_IDesireTree.mp3", "1992-076_Vaishnava_Is_Selfless_SB-10_08_07-09_Mumbai_-_Radhanath_Swami_1992-04-10_IDesireTree.mp3")</f>
        <v>1992-076_Vaishnava_Is_Selfless_SB-10_08_07-09_Mumbai_-_Radhanath_Swami_1992-04-10_IDesireTree.mp3</v>
      </c>
      <c r="D429" s="24"/>
      <c r="E429" s="24"/>
    </row>
    <row r="430">
      <c r="A430" s="25" t="s">
        <v>18352</v>
      </c>
      <c r="B430" s="25" t="s">
        <v>18356</v>
      </c>
      <c r="C430" s="26" t="str">
        <f>HYPERLINK("https://audio.iskcondesiretree.com/02_-_ISKCON_Swamis/ISKCON_Swamis_-_R_to_Y/His_Holiness_Radhanath_Swami/Lectures/00_-_Year_wise/Devotional_Nectar_-_1992/1992-077_One_Pointed_Determination_BG-02_41_Mumbai_-_Radhanath_Swami_1992-04-10_IDesireTree.mp3", "1992-077_One_Pointed_Determination_BG-02_41_Mumbai_-_Radhanath_Swami_1992-04-10_IDesireTree.mp3")</f>
        <v>1992-077_One_Pointed_Determination_BG-02_41_Mumbai_-_Radhanath_Swami_1992-04-10_IDesireTree.mp3</v>
      </c>
      <c r="D430" s="24"/>
      <c r="E430" s="24"/>
    </row>
    <row r="431">
      <c r="A431" s="25" t="s">
        <v>18352</v>
      </c>
      <c r="B431" s="25" t="s">
        <v>18356</v>
      </c>
      <c r="C431" s="26" t="str">
        <f>HYPERLINK("https://audio.iskcondesiretree.com/02_-_ISKCON_Swamis/ISKCON_Swamis_-_R_to_Y/His_Holiness_Radhanath_Swami/Lectures/00_-_Year_wise/Devotional_Nectar_-_1992/1992-078_Pastimes_Of_Lord_Ramachandra_Ht_-_SB-09_11_23_Mumbai_-_11-04-92_IDesireTree.mp3", "1992-078_Pastimes_Of_Lord_Ramachandra_Ht_-_SB-09_11_23_Mumbai_-_11-04-92_IDesireTree.mp3")</f>
        <v>1992-078_Pastimes_Of_Lord_Ramachandra_Ht_-_SB-09_11_23_Mumbai_-_11-04-92_IDesireTree.mp3</v>
      </c>
      <c r="D431" s="24"/>
      <c r="E431" s="24"/>
    </row>
    <row r="432">
      <c r="A432" s="25" t="s">
        <v>18352</v>
      </c>
      <c r="B432" s="25" t="s">
        <v>18356</v>
      </c>
      <c r="C432" s="26" t="str">
        <f>HYPERLINK("https://audio.iskcondesiretree.com/02_-_ISKCON_Swamis/ISKCON_Swamis_-_R_to_Y/His_Holiness_Radhanath_Swami/Lectures/00_-_Year_wise/Devotional_Nectar_-_1992/1992-079_Importance_Of_Tulsi_Maharani_SB-10_13_49_Mumbai_-_28-08-92_IDesireTree.mp3", "1992-079_Importance_Of_Tulsi_Maharani_SB-10_13_49_Mumbai_-_28-08-92_IDesireTree.mp3")</f>
        <v>1992-079_Importance_Of_Tulsi_Maharani_SB-10_13_49_Mumbai_-_28-08-92_IDesireTree.mp3</v>
      </c>
      <c r="D432" s="24"/>
      <c r="E432" s="24"/>
    </row>
    <row r="433">
      <c r="A433" s="25" t="s">
        <v>18352</v>
      </c>
      <c r="B433" s="25" t="s">
        <v>18356</v>
      </c>
      <c r="C433" s="26" t="str">
        <f>HYPERLINK("https://audio.iskcondesiretree.com/02_-_ISKCON_Swamis/ISKCON_Swamis_-_R_to_Y/His_Holiness_Radhanath_Swami/Lectures/00_-_Year_wise/Devotional_Nectar_-_1992/1992-080_Importance_Of_Serving_Devotees_Lecture_Mumbai_-_Radhanath_Swami_1992-08-30_IDesireTree.mp3", "1992-080_Importance_Of_Serving_Devotees_Lecture_Mumbai_-_Radhanath_Swami_1992-08-30_IDesireTree.mp3")</f>
        <v>1992-080_Importance_Of_Serving_Devotees_Lecture_Mumbai_-_Radhanath_Swami_1992-08-30_IDesireTree.mp3</v>
      </c>
      <c r="D433" s="24"/>
      <c r="E433" s="24"/>
    </row>
    <row r="434">
      <c r="A434" s="25" t="s">
        <v>18352</v>
      </c>
      <c r="B434" s="25" t="s">
        <v>18356</v>
      </c>
      <c r="C434" s="26" t="str">
        <f>HYPERLINK("https://audio.iskcondesiretree.com/02_-_ISKCON_Swamis/ISKCON_Swamis_-_R_to_Y/His_Holiness_Radhanath_Swami/Lectures/00_-_Year_wise/Devotional_Nectar_-_1992/1992-081_Krishna%27s_Love_For_Us_SB-10_13_36_Mumbai_-_Radhanath_Swami_1992-08-18_IDesireTree.mp3", "1992-081_Krishna%27s_Love_For_Us_SB-10_13_36_Mumbai_-_Radhanath_Swami_1992-08-18_IDesireTree.mp3")</f>
        <v>1992-081_Krishna%27s_Love_For_Us_SB-10_13_36_Mumbai_-_Radhanath_Swami_1992-08-18_IDesireTree.mp3</v>
      </c>
      <c r="D434" s="24"/>
      <c r="E434" s="24"/>
    </row>
    <row r="435">
      <c r="A435" s="25" t="s">
        <v>18352</v>
      </c>
      <c r="B435" s="25" t="s">
        <v>18356</v>
      </c>
      <c r="C435" s="26" t="str">
        <f>HYPERLINK("https://audio.iskcondesiretree.com/02_-_ISKCON_Swamis/ISKCON_Swamis_-_R_to_Y/His_Holiness_Radhanath_Swami/Lectures/00_-_Year_wise/Devotional_Nectar_-_1992/1992-082_Mysticism_And_Devotion_SB-10_13_37-38_Mumbai_-_Radhanath_Swami_1992-08-19_IDesireTree.mp3", "1992-082_Mysticism_And_Devotion_SB-10_13_37-38_Mumbai_-_Radhanath_Swami_1992-08-19_IDesireTree.mp3")</f>
        <v>1992-082_Mysticism_And_Devotion_SB-10_13_37-38_Mumbai_-_Radhanath_Swami_1992-08-19_IDesireTree.mp3</v>
      </c>
      <c r="D435" s="24"/>
      <c r="E435" s="24"/>
    </row>
    <row r="436">
      <c r="A436" s="25" t="s">
        <v>18352</v>
      </c>
      <c r="B436" s="25" t="s">
        <v>18356</v>
      </c>
      <c r="C436" s="26" t="str">
        <f>HYPERLINK("https://audio.iskcondesiretree.com/02_-_ISKCON_Swamis/ISKCON_Swamis_-_R_to_Y/His_Holiness_Radhanath_Swami/Lectures/00_-_Year_wise/Devotional_Nectar_-_1992/1992-083_Greatness_Of_Krishna_SB-10_03_39_Mumbai_-_Radhanath_Swami_1992-08-20_IDesireTree.mp3", "1992-083_Greatness_Of_Krishna_SB-10_03_39_Mumbai_-_Radhanath_Swami_1992-08-20_IDesireTree.mp3")</f>
        <v>1992-083_Greatness_Of_Krishna_SB-10_03_39_Mumbai_-_Radhanath_Swami_1992-08-20_IDesireTree.mp3</v>
      </c>
      <c r="D436" s="24"/>
      <c r="E436" s="24"/>
    </row>
    <row r="437">
      <c r="A437" s="25" t="s">
        <v>18352</v>
      </c>
      <c r="B437" s="25" t="s">
        <v>18356</v>
      </c>
      <c r="C437" s="26" t="str">
        <f>HYPERLINK("https://audio.iskcondesiretree.com/02_-_ISKCON_Swamis/ISKCON_Swamis_-_R_to_Y/His_Holiness_Radhanath_Swami/Lectures/00_-_Year_wise/Devotional_Nectar_-_1992/1992-084_Supreme_Controller_SB-10_13_40_Mumbai_-_Radhanath_Swami_1992-08-21_IDesireTree.mp3", "1992-084_Supreme_Controller_SB-10_13_40_Mumbai_-_Radhanath_Swami_1992-08-21_IDesireTree.mp3")</f>
        <v>1992-084_Supreme_Controller_SB-10_13_40_Mumbai_-_Radhanath_Swami_1992-08-21_IDesireTree.mp3</v>
      </c>
      <c r="D437" s="24"/>
      <c r="E437" s="24"/>
    </row>
    <row r="438">
      <c r="A438" s="25" t="s">
        <v>18352</v>
      </c>
      <c r="B438" s="25" t="s">
        <v>18356</v>
      </c>
      <c r="C438" s="26" t="str">
        <f>HYPERLINK("https://audio.iskcondesiretree.com/02_-_ISKCON_Swamis/ISKCON_Swamis_-_R_to_Y/His_Holiness_Radhanath_Swami/Lectures/00_-_Year_wise/Devotional_Nectar_-_1992/1992-085_Meaning_Of_Janamashtami_Lecture_Mumbai_-_Radhanath_Swami_1991-08-21_IDesireTree.mp3", "1992-085_Meaning_Of_Janamashtami_Lecture_Mumbai_-_Radhanath_Swami_1991-08-21_IDesireTree.mp3")</f>
        <v>1992-085_Meaning_Of_Janamashtami_Lecture_Mumbai_-_Radhanath_Swami_1991-08-21_IDesireTree.mp3</v>
      </c>
      <c r="D438" s="24"/>
      <c r="E438" s="24"/>
    </row>
    <row r="439">
      <c r="A439" s="25" t="s">
        <v>18352</v>
      </c>
      <c r="B439" s="25" t="s">
        <v>18356</v>
      </c>
      <c r="C439" s="26" t="str">
        <f>HYPERLINK("https://audio.iskcondesiretree.com/02_-_ISKCON_Swamis/ISKCON_Swamis_-_R_to_Y/His_Holiness_Radhanath_Swami/Lectures/00_-_Year_wise/Devotional_Nectar_-_1992/1992-086_Spiritual_Chastisement_BG-02_11_Mumbai_-_Radhanath_Swami_1992-08-23_IDesireTree.mp3", "1992-086_Spiritual_Chastisement_BG-02_11_Mumbai_-_Radhanath_Swami_1992-08-23_IDesireTree.mp3")</f>
        <v>1992-086_Spiritual_Chastisement_BG-02_11_Mumbai_-_Radhanath_Swami_1992-08-23_IDesireTree.mp3</v>
      </c>
      <c r="D439" s="24"/>
      <c r="E439" s="24"/>
    </row>
    <row r="440">
      <c r="A440" s="25" t="s">
        <v>18352</v>
      </c>
      <c r="B440" s="25" t="s">
        <v>18356</v>
      </c>
      <c r="C440" s="26" t="str">
        <f>HYPERLINK("https://audio.iskcondesiretree.com/02_-_ISKCON_Swamis/ISKCON_Swamis_-_R_to_Y/His_Holiness_Radhanath_Swami/Lectures/00_-_Year_wise/Devotional_Nectar_-_1992/1992-087_Power_Of_Maya_SB-10_13_42_Mumbai_-_Radhanath_Swami_1992-08-24_IDesireTree.mp3", "1992-087_Power_Of_Maya_SB-10_13_42_Mumbai_-_Radhanath_Swami_1992-08-24_IDesireTree.mp3")</f>
        <v>1992-087_Power_Of_Maya_SB-10_13_42_Mumbai_-_Radhanath_Swami_1992-08-24_IDesireTree.mp3</v>
      </c>
      <c r="D440" s="24"/>
      <c r="E440" s="24"/>
    </row>
    <row r="441">
      <c r="A441" s="25" t="s">
        <v>18352</v>
      </c>
      <c r="B441" s="25" t="s">
        <v>18356</v>
      </c>
      <c r="C441" s="26" t="str">
        <f>HYPERLINK("https://audio.iskcondesiretree.com/02_-_ISKCON_Swamis/ISKCON_Swamis_-_R_to_Y/His_Holiness_Radhanath_Swami/Lectures/00_-_Year_wise/Devotional_Nectar_-_1992/1992-088_Real_Cause_Of_Suffering_SB-11_23_42-43_Mumbai_-_Radhanath_Swami_1992-08-24_IDesireTree.mp3", "1992-088_Real_Cause_Of_Suffering_SB-11_23_42-43_Mumbai_-_Radhanath_Swami_1992-08-24_IDesireTree.mp3")</f>
        <v>1992-088_Real_Cause_Of_Suffering_SB-11_23_42-43_Mumbai_-_Radhanath_Swami_1992-08-24_IDesireTree.mp3</v>
      </c>
      <c r="D441" s="24"/>
      <c r="E441" s="24"/>
    </row>
    <row r="442">
      <c r="A442" s="25" t="s">
        <v>18352</v>
      </c>
      <c r="B442" s="25" t="s">
        <v>18356</v>
      </c>
      <c r="C442" s="26" t="str">
        <f>HYPERLINK("https://audio.iskcondesiretree.com/02_-_ISKCON_Swamis/ISKCON_Swamis_-_R_to_Y/His_Holiness_Radhanath_Swami/Lectures/00_-_Year_wise/Devotional_Nectar_-_1992/1992-089_Lord_Pleases_His_Devotees_Lecture_Mumbai_-_Radhanath_Swami_1992-08-25_IDesireTree.mp3", "1992-089_Lord_Pleases_His_Devotees_Lecture_Mumbai_-_Radhanath_Swami_1992-08-25_IDesireTree.mp3")</f>
        <v>1992-089_Lord_Pleases_His_Devotees_Lecture_Mumbai_-_Radhanath_Swami_1992-08-25_IDesireTree.mp3</v>
      </c>
      <c r="D442" s="24"/>
      <c r="E442" s="24"/>
    </row>
    <row r="443">
      <c r="A443" s="25" t="s">
        <v>18352</v>
      </c>
      <c r="B443" s="25" t="s">
        <v>18356</v>
      </c>
      <c r="C443" s="26" t="str">
        <f>HYPERLINK("https://audio.iskcondesiretree.com/02_-_ISKCON_Swamis/ISKCON_Swamis_-_R_to_Y/His_Holiness_Radhanath_Swami/Lectures/00_-_Year_wise/Devotional_Nectar_-_1992/1992-090_Dicussions_On_Bhagavad_Gita_Q%26A_Mumbai_-_Radhanath_Swami_1992-08-26_IDesireTree.mp3", "1992-090_Dicussions_On_Bhagavad_Gita_Q%26A_Mumbai_-_Radhanath_Swami_1992-08-26_IDesireTree.mp3")</f>
        <v>1992-090_Dicussions_On_Bhagavad_Gita_Q%26A_Mumbai_-_Radhanath_Swami_1992-08-26_IDesireTree.mp3</v>
      </c>
      <c r="D443" s="24"/>
      <c r="E443" s="24"/>
    </row>
    <row r="444">
      <c r="A444" s="25" t="s">
        <v>18352</v>
      </c>
      <c r="B444" s="25" t="s">
        <v>18356</v>
      </c>
      <c r="C444" s="26" t="str">
        <f>HYPERLINK("https://audio.iskcondesiretree.com/02_-_ISKCON_Swamis/ISKCON_Swamis_-_R_to_Y/His_Holiness_Radhanath_Swami/Lectures/00_-_Year_wise/Devotional_Nectar_-_1992/1992-091_Glory_Of_Krishna_SB-10_13_46-48_Mumbai_-_Radhanath_Swami_1992-08-27_IDesireTree.mp3", "1992-091_Glory_Of_Krishna_SB-10_13_46-48_Mumbai_-_Radhanath_Swami_1992-08-27_IDesireTree.mp3")</f>
        <v>1992-091_Glory_Of_Krishna_SB-10_13_46-48_Mumbai_-_Radhanath_Swami_1992-08-27_IDesireTree.mp3</v>
      </c>
      <c r="D444" s="24"/>
      <c r="E444" s="24"/>
    </row>
    <row r="445">
      <c r="A445" s="25" t="s">
        <v>18352</v>
      </c>
      <c r="B445" s="25" t="s">
        <v>18356</v>
      </c>
      <c r="C445" s="26" t="str">
        <f>HYPERLINK("https://audio.iskcondesiretree.com/02_-_ISKCON_Swamis/ISKCON_Swamis_-_R_to_Y/His_Holiness_Radhanath_Swami/Lectures/00_-_Year_wise/Devotional_Nectar_-_1992/1992-092_Grihastha_Ashrama_%26_Deity_Worship_BG-07_07_Mumbai_-_27-08-92_IDesireTree.mp3", "1992-092_Grihastha_Ashrama_%26_Deity_Worship_BG-07_07_Mumbai_-_27-08-92_IDesireTree.mp3")</f>
        <v>1992-092_Grihastha_Ashrama_%26_Deity_Worship_BG-07_07_Mumbai_-_27-08-92_IDesireTree.mp3</v>
      </c>
      <c r="D445" s="24"/>
      <c r="E445" s="24"/>
    </row>
    <row r="446">
      <c r="A446" s="25" t="s">
        <v>18352</v>
      </c>
      <c r="B446" s="25" t="s">
        <v>18356</v>
      </c>
      <c r="C446" s="26" t="str">
        <f>HYPERLINK("https://audio.iskcondesiretree.com/02_-_ISKCON_Swamis/ISKCON_Swamis_-_R_to_Y/His_Holiness_Radhanath_Swami/Lectures/00_-_Year_wise/Devotional_Nectar_-_1992/1992-093_Vaishnava_Etiquette_Lecture_Mumbai_-_Radhanath_Swami_1992-08-27_IDesireTree.mp3", "1992-093_Vaishnava_Etiquette_Lecture_Mumbai_-_Radhanath_Swami_1992-08-27_IDesireTree.mp3")</f>
        <v>1992-093_Vaishnava_Etiquette_Lecture_Mumbai_-_Radhanath_Swami_1992-08-27_IDesireTree.mp3</v>
      </c>
      <c r="D446" s="24"/>
      <c r="E446" s="24"/>
    </row>
    <row r="447">
      <c r="A447" s="25" t="s">
        <v>18352</v>
      </c>
      <c r="B447" s="25" t="s">
        <v>18356</v>
      </c>
      <c r="C447" s="26" t="str">
        <f>HYPERLINK("https://audio.iskcondesiretree.com/02_-_ISKCON_Swamis/ISKCON_Swamis_-_R_to_Y/His_Holiness_Radhanath_Swami/Lectures/00_-_Year_wise/Devotional_Nectar_-_1992/1992-094_We_have_no_Independance_from_Krsna_SB_-_Radhanath_Swami_1992-09-07_IDesireTree.mp3", "1992-094_We_have_no_Independance_from_Krsna_SB_-_Radhanath_Swami_1992-09-07_IDesireTree.mp3")</f>
        <v>1992-094_We_have_no_Independance_from_Krsna_SB_-_Radhanath_Swami_1992-09-07_IDesireTree.mp3</v>
      </c>
      <c r="D447" s="24"/>
      <c r="E447" s="24"/>
    </row>
    <row r="448">
      <c r="A448" s="25" t="s">
        <v>18352</v>
      </c>
      <c r="B448" s="25" t="s">
        <v>18356</v>
      </c>
      <c r="C448" s="26" t="str">
        <f>HYPERLINK("https://audio.iskcondesiretree.com/02_-_ISKCON_Swamis/ISKCON_Swamis_-_R_to_Y/His_Holiness_Radhanath_Swami/Lectures/00_-_Year_wise/Devotional_Nectar_-_1992/1992-095_Srila_Jiva_Goswami_LectureMumbai_-_Radhanath_Swami_1992-09-08_IDesireTree.mp3", "1992-095_Srila_Jiva_Goswami_LectureMumbai_-_Radhanath_Swami_1992-09-08_IDesireTree.mp3")</f>
        <v>1992-095_Srila_Jiva_Goswami_LectureMumbai_-_Radhanath_Swami_1992-09-08_IDesireTree.mp3</v>
      </c>
      <c r="D448" s="24"/>
      <c r="E448" s="24"/>
    </row>
    <row r="449">
      <c r="A449" s="25" t="s">
        <v>18352</v>
      </c>
      <c r="B449" s="25" t="s">
        <v>18356</v>
      </c>
      <c r="C449" s="26" t="str">
        <f>HYPERLINK("https://audio.iskcondesiretree.com/02_-_ISKCON_Swamis/ISKCON_Swamis_-_R_to_Y/His_Holiness_Radhanath_Swami/Lectures/00_-_Year_wise/Devotional_Nectar_-_1992/1992-096_Bhaktivinoda_Thakur_SB-_Mumbai_-_Radhanath_Swami_1992-09-09_IDesireTree.mp3", "1992-096_Bhaktivinoda_Thakur_SB-_Mumbai_-_Radhanath_Swami_1992-09-09_IDesireTree.mp3")</f>
        <v>1992-096_Bhaktivinoda_Thakur_SB-_Mumbai_-_Radhanath_Swami_1992-09-09_IDesireTree.mp3</v>
      </c>
      <c r="D449" s="24"/>
      <c r="E449" s="24"/>
    </row>
    <row r="450">
      <c r="A450" s="25" t="s">
        <v>18352</v>
      </c>
      <c r="B450" s="25" t="s">
        <v>18356</v>
      </c>
      <c r="C450" s="26" t="str">
        <f>HYPERLINK("https://audio.iskcondesiretree.com/02_-_ISKCON_Swamis/ISKCON_Swamis_-_R_to_Y/His_Holiness_Radhanath_Swami/Lectures/00_-_Year_wise/Devotional_Nectar_-_1992/1992-097_Greatness_Of_bhaktivinode_Thakur_Lecture_Mumbai_-_09-09-92_IDesireTree.mp3", "1992-097_Greatness_Of_bhaktivinode_Thakur_Lecture_Mumbai_-_09-09-92_IDesireTree.mp3")</f>
        <v>1992-097_Greatness_Of_bhaktivinode_Thakur_Lecture_Mumbai_-_09-09-92_IDesireTree.mp3</v>
      </c>
      <c r="D450" s="24"/>
      <c r="E450" s="24"/>
    </row>
    <row r="451">
      <c r="A451" s="25" t="s">
        <v>18352</v>
      </c>
      <c r="B451" s="25" t="s">
        <v>18356</v>
      </c>
      <c r="C451" s="26" t="str">
        <f>HYPERLINK("https://audio.iskcondesiretree.com/02_-_ISKCON_Swamis/ISKCON_Swamis_-_R_to_Y/His_Holiness_Radhanath_Swami/Lectures/00_-_Year_wise/Devotional_Nectar_-_1992/1992-098_Glories_Of_Lord_Brahma_And_Haridas_Thakur_SB-10_14_01_Mumbai_-_10-09-92_IDesireTree.mp3", "1992-098_Glories_Of_Lord_Brahma_And_Haridas_Thakur_SB-10_14_01_Mumbai_-_10-09-92_IDesireTree.mp3")</f>
        <v>1992-098_Glories_Of_Lord_Brahma_And_Haridas_Thakur_SB-10_14_01_Mumbai_-_10-09-92_IDesireTree.mp3</v>
      </c>
      <c r="D451" s="24"/>
      <c r="E451" s="24"/>
    </row>
    <row r="452">
      <c r="A452" s="25" t="s">
        <v>18352</v>
      </c>
      <c r="B452" s="25" t="s">
        <v>18356</v>
      </c>
      <c r="C452" s="26" t="str">
        <f>HYPERLINK("https://audio.iskcondesiretree.com/02_-_ISKCON_Swamis/ISKCON_Swamis_-_R_to_Y/His_Holiness_Radhanath_Swami/Lectures/00_-_Year_wise/Devotional_Nectar_-_1992/1992-099_Without_Mercy_Nothing_Is_Possible_SB-10_14_02_Mumbai_-_11-09-92_IDesireTree.mp3", "1992-099_Without_Mercy_Nothing_Is_Possible_SB-10_14_02_Mumbai_-_11-09-92_IDesireTree.mp3")</f>
        <v>1992-099_Without_Mercy_Nothing_Is_Possible_SB-10_14_02_Mumbai_-_11-09-92_IDesireTree.mp3</v>
      </c>
      <c r="D452" s="24"/>
      <c r="E452" s="24"/>
    </row>
    <row r="453">
      <c r="A453" s="25" t="s">
        <v>18352</v>
      </c>
      <c r="B453" s="25" t="s">
        <v>18356</v>
      </c>
      <c r="C453" s="26" t="str">
        <f>HYPERLINK("https://audio.iskcondesiretree.com/02_-_ISKCON_Swamis/ISKCON_Swamis_-_R_to_Y/His_Holiness_Radhanath_Swami/Lectures/00_-_Year_wise/Devotional_Nectar_-_1992/1992-100_Real_Humility_SB-10_14_28_Mumbai_-_Radhanath_Swami_1992-10-05_IDesireTree.mp3", "1992-100_Real_Humility_SB-10_14_28_Mumbai_-_Radhanath_Swami_1992-10-05_IDesireTree.mp3")</f>
        <v>1992-100_Real_Humility_SB-10_14_28_Mumbai_-_Radhanath_Swami_1992-10-05_IDesireTree.mp3</v>
      </c>
      <c r="D453" s="24"/>
      <c r="E453" s="24"/>
    </row>
    <row r="454">
      <c r="A454" s="25" t="s">
        <v>18352</v>
      </c>
      <c r="B454" s="25" t="s">
        <v>18356</v>
      </c>
      <c r="C454" s="26" t="str">
        <f>HYPERLINK("https://audio.iskcondesiretree.com/02_-_ISKCON_Swamis/ISKCON_Swamis_-_R_to_Y/His_Holiness_Radhanath_Swami/Lectures/00_-_Year_wise/Devotional_Nectar_-_1992/1992-101_General_Discussion_Lecture_Mumbai_-_Radhanath_Swami_1992-08-28_IDesireTree.mp3", "1992-101_General_Discussion_Lecture_Mumbai_-_Radhanath_Swami_1992-08-28_IDesireTree.mp3")</f>
        <v>1992-101_General_Discussion_Lecture_Mumbai_-_Radhanath_Swami_1992-08-28_IDesireTree.mp3</v>
      </c>
      <c r="D454" s="24"/>
      <c r="E454" s="24"/>
    </row>
    <row r="455">
      <c r="A455" s="25" t="s">
        <v>18352</v>
      </c>
      <c r="B455" s="25" t="s">
        <v>18356</v>
      </c>
      <c r="C455" s="26" t="str">
        <f>HYPERLINK("https://audio.iskcondesiretree.com/02_-_ISKCON_Swamis/ISKCON_Swamis_-_R_to_Y/His_Holiness_Radhanath_Swami/Lectures/00_-_Year_wise/Devotional_Nectar_-_1992/1992-102_Developing_Love_Lecture_Mumbai_-_Radhanath_Swami_1992-08-29_IDesireTree.mp3", "1992-102_Developing_Love_Lecture_Mumbai_-_Radhanath_Swami_1992-08-29_IDesireTree.mp3")</f>
        <v>1992-102_Developing_Love_Lecture_Mumbai_-_Radhanath_Swami_1992-08-29_IDesireTree.mp3</v>
      </c>
      <c r="D455" s="24"/>
      <c r="E455" s="24"/>
    </row>
    <row r="456">
      <c r="A456" s="25" t="s">
        <v>18352</v>
      </c>
      <c r="B456" s="25" t="s">
        <v>18356</v>
      </c>
      <c r="C456" s="26" t="str">
        <f>HYPERLINK("https://audio.iskcondesiretree.com/02_-_ISKCON_Swamis/ISKCON_Swamis_-_R_to_Y/His_Holiness_Radhanath_Swami/Lectures/00_-_Year_wise/Devotional_Nectar_-_1992/1992-103_Bhisma%27s_Greatness_SB-01_09_22_Mumbai_-_Radhanath_Swami_1992-08-30_IDesireTree.mp3", "1992-103_Bhisma%27s_Greatness_SB-01_09_22_Mumbai_-_Radhanath_Swami_1992-08-30_IDesireTree.mp3")</f>
        <v>1992-103_Bhisma%27s_Greatness_SB-01_09_22_Mumbai_-_Radhanath_Swami_1992-08-30_IDesireTree.mp3</v>
      </c>
      <c r="D456" s="24"/>
      <c r="E456" s="24"/>
    </row>
    <row r="457">
      <c r="A457" s="25" t="s">
        <v>18352</v>
      </c>
      <c r="B457" s="25" t="s">
        <v>18356</v>
      </c>
      <c r="C457" s="26" t="str">
        <f>HYPERLINK("https://audio.iskcondesiretree.com/02_-_ISKCON_Swamis/ISKCON_Swamis_-_R_to_Y/His_Holiness_Radhanath_Swami/Lectures/00_-_Year_wise/Devotional_Nectar_-_1992/1992-104_Appearance_Of_Lord_Vamandev_SB-_Mumbai_-_Radhanath_Swami_1992-09-08_IDesireTree.mp3", "1992-104_Appearance_Of_Lord_Vamandev_SB-_Mumbai_-_Radhanath_Swami_1992-09-08_IDesireTree.mp3")</f>
        <v>1992-104_Appearance_Of_Lord_Vamandev_SB-_Mumbai_-_Radhanath_Swami_1992-09-08_IDesireTree.mp3</v>
      </c>
      <c r="D457" s="24"/>
      <c r="E457" s="24"/>
    </row>
    <row r="458">
      <c r="A458" s="25" t="s">
        <v>18352</v>
      </c>
      <c r="B458" s="25" t="s">
        <v>18356</v>
      </c>
      <c r="C458" s="26" t="str">
        <f>HYPERLINK("https://audio.iskcondesiretree.com/02_-_ISKCON_Swamis/ISKCON_Swamis_-_R_to_Y/His_Holiness_Radhanath_Swami/Lectures/00_-_Year_wise/Devotional_Nectar_-_1992/1992-105_We_Are_Really_Insignificant_SB-10_14_10_Mumbai_-_Radhanath_Swami_1992-09-18_IDesireTree.mp3", "1992-105_We_Are_Really_Insignificant_SB-10_14_10_Mumbai_-_Radhanath_Swami_1992-09-18_IDesireTree.mp3")</f>
        <v>1992-105_We_Are_Really_Insignificant_SB-10_14_10_Mumbai_-_Radhanath_Swami_1992-09-18_IDesireTree.mp3</v>
      </c>
      <c r="D458" s="24"/>
      <c r="E458" s="24"/>
    </row>
    <row r="459">
      <c r="A459" s="25" t="s">
        <v>18352</v>
      </c>
      <c r="B459" s="25" t="s">
        <v>18356</v>
      </c>
      <c r="C459" s="26" t="str">
        <f>HYPERLINK("https://audio.iskcondesiretree.com/02_-_ISKCON_Swamis/ISKCON_Swamis_-_R_to_Y/His_Holiness_Radhanath_Swami/Lectures/00_-_Year_wise/Devotional_Nectar_-_1992/1992-106_The_Power_Of_Devotion_SB-10_14_11_Mumbai_-_Radhanath_Swami_1992-09-19_IDesireTree.mp3", "1992-106_The_Power_Of_Devotion_SB-10_14_11_Mumbai_-_Radhanath_Swami_1992-09-19_IDesireTree.mp3")</f>
        <v>1992-106_The_Power_Of_Devotion_SB-10_14_11_Mumbai_-_Radhanath_Swami_1992-09-19_IDesireTree.mp3</v>
      </c>
      <c r="D459" s="24"/>
      <c r="E459" s="24"/>
    </row>
    <row r="460">
      <c r="A460" s="25" t="s">
        <v>18352</v>
      </c>
      <c r="B460" s="25" t="s">
        <v>18356</v>
      </c>
      <c r="C460" s="26" t="str">
        <f>HYPERLINK("https://audio.iskcondesiretree.com/02_-_ISKCON_Swamis/ISKCON_Swamis_-_R_to_Y/His_Holiness_Radhanath_Swami/Lectures/00_-_Year_wise/Devotional_Nectar_-_1992/1992-107_Love_Of_God_Ht_-_Lecture_Palghar_-_Radhanath_Swami_1992-09-22_IDesireTree.mp3", "1992-107_Love_Of_God_Ht_-_Lecture_Palghar_-_Radhanath_Swami_1992-09-22_IDesireTree.mp3")</f>
        <v>1992-107_Love_Of_God_Ht_-_Lecture_Palghar_-_Radhanath_Swami_1992-09-22_IDesireTree.mp3</v>
      </c>
      <c r="D460" s="24"/>
      <c r="E460" s="24"/>
    </row>
    <row r="461">
      <c r="A461" s="25" t="s">
        <v>18352</v>
      </c>
      <c r="B461" s="25" t="s">
        <v>18356</v>
      </c>
      <c r="C461" s="26" t="str">
        <f>HYPERLINK("https://audio.iskcondesiretree.com/02_-_ISKCON_Swamis/ISKCON_Swamis_-_R_to_Y/His_Holiness_Radhanath_Swami/Lectures/00_-_Year_wise/Devotional_Nectar_-_1992/1992-108_First_Meeting_With_Guru_SB-10_14_15_Mumbai_-_Radhanath_Swami_1992-09-23_IDesireTree.mp3", "1992-108_First_Meeting_With_Guru_SB-10_14_15_Mumbai_-_Radhanath_Swami_1992-09-23_IDesireTree.mp3")</f>
        <v>1992-108_First_Meeting_With_Guru_SB-10_14_15_Mumbai_-_Radhanath_Swami_1992-09-23_IDesireTree.mp3</v>
      </c>
      <c r="D461" s="24"/>
      <c r="E461" s="24"/>
    </row>
    <row r="462">
      <c r="A462" s="25" t="s">
        <v>18352</v>
      </c>
      <c r="B462" s="25" t="s">
        <v>18356</v>
      </c>
      <c r="C462" s="26" t="str">
        <f>HYPERLINK("https://audio.iskcondesiretree.com/02_-_ISKCON_Swamis/ISKCON_Swamis_-_R_to_Y/His_Holiness_Radhanath_Swami/Lectures/00_-_Year_wise/Devotional_Nectar_-_1992/1992-109_Krishna_Is_Omnipotent_SB-10_14_16_Mumbai_-_Radhanath_Swami_1992-09-24_IDesireTree.mp3", "1992-109_Krishna_Is_Omnipotent_SB-10_14_16_Mumbai_-_Radhanath_Swami_1992-09-24_IDesireTree.mp3")</f>
        <v>1992-109_Krishna_Is_Omnipotent_SB-10_14_16_Mumbai_-_Radhanath_Swami_1992-09-24_IDesireTree.mp3</v>
      </c>
      <c r="D462" s="24"/>
      <c r="E462" s="24"/>
    </row>
    <row r="463">
      <c r="A463" s="25" t="s">
        <v>18352</v>
      </c>
      <c r="B463" s="25" t="s">
        <v>18356</v>
      </c>
      <c r="C463" s="26" t="str">
        <f>HYPERLINK("https://audio.iskcondesiretree.com/02_-_ISKCON_Swamis/ISKCON_Swamis_-_R_to_Y/His_Holiness_Radhanath_Swami/Lectures/00_-_Year_wise/Devotional_Nectar_-_1992/1992-110_Demigod_Worship_SB-06_03_12_Mumbai_-_Radhanath_Swami_1992-09-11_IDesireTree.mp3", "1992-110_Demigod_Worship_SB-06_03_12_Mumbai_-_Radhanath_Swami_1992-09-11_IDesireTree.mp3")</f>
        <v>1992-110_Demigod_Worship_SB-06_03_12_Mumbai_-_Radhanath_Swami_1992-09-11_IDesireTree.mp3</v>
      </c>
      <c r="D463" s="24"/>
      <c r="E463" s="24"/>
    </row>
    <row r="464">
      <c r="A464" s="25" t="s">
        <v>18352</v>
      </c>
      <c r="B464" s="25" t="s">
        <v>18356</v>
      </c>
      <c r="C464" s="26" t="str">
        <f>HYPERLINK("https://audio.iskcondesiretree.com/02_-_ISKCON_Swamis/ISKCON_Swamis_-_R_to_Y/His_Holiness_Radhanath_Swami/Lectures/00_-_Year_wise/Devotional_Nectar_-_1992/1992-111_Lecture_On_Accepting_Saffron_Lecture_Mumbai_-_Radhanath_Swami_1992-09-11_IDesireTree.mp3", "1992-111_Lecture_On_Accepting_Saffron_Lecture_Mumbai_-_Radhanath_Swami_1992-09-11_IDesireTree.mp3")</f>
        <v>1992-111_Lecture_On_Accepting_Saffron_Lecture_Mumbai_-_Radhanath_Swami_1992-09-11_IDesireTree.mp3</v>
      </c>
      <c r="D464" s="24"/>
      <c r="E464" s="24"/>
    </row>
    <row r="465">
      <c r="A465" s="25" t="s">
        <v>18352</v>
      </c>
      <c r="B465" s="25" t="s">
        <v>18356</v>
      </c>
      <c r="C465" s="26" t="str">
        <f>HYPERLINK("https://audio.iskcondesiretree.com/02_-_ISKCON_Swamis/ISKCON_Swamis_-_R_to_Y/His_Holiness_Radhanath_Swami/Lectures/00_-_Year_wise/Devotional_Nectar_-_1992/1992-112_Importance_Of_Austerity_SB-01_03_09_Mumbai_-_Radhanath_Swami_1992-09-132_IDesireTree.mp3", "1992-112_Importance_Of_Austerity_SB-01_03_09_Mumbai_-_Radhanath_Swami_1992-09-132_IDesireTree.mp3")</f>
        <v>1992-112_Importance_Of_Austerity_SB-01_03_09_Mumbai_-_Radhanath_Swami_1992-09-132_IDesireTree.mp3</v>
      </c>
      <c r="D465" s="24"/>
      <c r="E465" s="24"/>
    </row>
    <row r="466">
      <c r="A466" s="25" t="s">
        <v>18352</v>
      </c>
      <c r="B466" s="25" t="s">
        <v>18356</v>
      </c>
      <c r="C466" s="26" t="str">
        <f>HYPERLINK("https://audio.iskcondesiretree.com/02_-_ISKCON_Swamis/ISKCON_Swamis_-_R_to_Y/His_Holiness_Radhanath_Swami/Lectures/00_-_Year_wise/Devotional_Nectar_-_1992/1992-113_Attachment_To_Krishna_SB-10_14_04_Mumbai_-_Radhanath_Swami_1992-09-13_IDesireTree.mp3", "1992-113_Attachment_To_Krishna_SB-10_14_04_Mumbai_-_Radhanath_Swami_1992-09-13_IDesireTree.mp3")</f>
        <v>1992-113_Attachment_To_Krishna_SB-10_14_04_Mumbai_-_Radhanath_Swami_1992-09-13_IDesireTree.mp3</v>
      </c>
      <c r="D466" s="24"/>
      <c r="E466" s="24"/>
    </row>
    <row r="467">
      <c r="A467" s="25" t="s">
        <v>18352</v>
      </c>
      <c r="B467" s="25" t="s">
        <v>18356</v>
      </c>
      <c r="C467" s="26" t="str">
        <f>HYPERLINK("https://audio.iskcondesiretree.com/02_-_ISKCON_Swamis/ISKCON_Swamis_-_R_to_Y/His_Holiness_Radhanath_Swami/Lectures/00_-_Year_wise/Devotional_Nectar_-_1992/1992-114_Krishna%27s_Way_Of_Reciprocation_BG-04_11_Mumbai_-_Radhanath_Swami_1992-09-13_IDesireTree.m"&amp;"p3", "1992-114_Krishna%27s_Way_Of_Reciprocation_BG-04_11_Mumbai_-_Radhanath_Swami_1992-09-13_IDesireTree.mp3")</f>
        <v>1992-114_Krishna%27s_Way_Of_Reciprocation_BG-04_11_Mumbai_-_Radhanath_Swami_1992-09-13_IDesireTree.mp3</v>
      </c>
      <c r="D467" s="24"/>
      <c r="E467" s="24"/>
    </row>
    <row r="468">
      <c r="A468" s="25" t="s">
        <v>18352</v>
      </c>
      <c r="B468" s="25" t="s">
        <v>18356</v>
      </c>
      <c r="C468" s="26" t="str">
        <f>HYPERLINK("https://audio.iskcondesiretree.com/02_-_ISKCON_Swamis/ISKCON_Swamis_-_R_to_Y/His_Holiness_Radhanath_Swami/Lectures/00_-_Year_wise/Devotional_Nectar_-_1992/1992-115_Humble_Servant_Attitude_SB-10_14_56_Mumbai_-_Radhanath_Swami_1992-09-14_IDesireTree.mp3", "1992-115_Humble_Servant_Attitude_SB-10_14_56_Mumbai_-_Radhanath_Swami_1992-09-14_IDesireTree.mp3")</f>
        <v>1992-115_Humble_Servant_Attitude_SB-10_14_56_Mumbai_-_Radhanath_Swami_1992-09-14_IDesireTree.mp3</v>
      </c>
      <c r="D468" s="24"/>
      <c r="E468" s="24"/>
    </row>
    <row r="469">
      <c r="A469" s="25" t="s">
        <v>18352</v>
      </c>
      <c r="B469" s="25" t="s">
        <v>18356</v>
      </c>
      <c r="C469" s="26" t="str">
        <f>HYPERLINK("https://audio.iskcondesiretree.com/02_-_ISKCON_Swamis/ISKCON_Swamis_-_R_to_Y/His_Holiness_Radhanath_Swami/Lectures/00_-_Year_wise/Devotional_Nectar_-_1992/1992-116_Dr_Frog_In_Well_SB-10_14_07_Mumbai_-_Radhanath_Swami_1992-09-15_IDesireTree.mp3", "1992-116_Dr_Frog_In_Well_SB-10_14_07_Mumbai_-_Radhanath_Swami_1992-09-15_IDesireTree.mp3")</f>
        <v>1992-116_Dr_Frog_In_Well_SB-10_14_07_Mumbai_-_Radhanath_Swami_1992-09-15_IDesireTree.mp3</v>
      </c>
      <c r="D469" s="24"/>
      <c r="E469" s="24"/>
    </row>
    <row r="470">
      <c r="A470" s="25" t="s">
        <v>18352</v>
      </c>
      <c r="B470" s="25" t="s">
        <v>18356</v>
      </c>
      <c r="C470" s="26" t="str">
        <f>HYPERLINK("https://audio.iskcondesiretree.com/02_-_ISKCON_Swamis/ISKCON_Swamis_-_R_to_Y/His_Holiness_Radhanath_Swami/Lectures/00_-_Year_wise/Devotional_Nectar_-_1992/1992-117_Duties_For_Devotees_BG-03_18-19_Mumbai_-_Radhanath_Swami_1992-09-15_IDesireTree.mp3", "1992-117_Duties_For_Devotees_BG-03_18-19_Mumbai_-_Radhanath_Swami_1992-09-15_IDesireTree.mp3")</f>
        <v>1992-117_Duties_For_Devotees_BG-03_18-19_Mumbai_-_Radhanath_Swami_1992-09-15_IDesireTree.mp3</v>
      </c>
      <c r="D470" s="24"/>
      <c r="E470" s="24"/>
    </row>
    <row r="471">
      <c r="A471" s="25" t="s">
        <v>18352</v>
      </c>
      <c r="B471" s="25" t="s">
        <v>18356</v>
      </c>
      <c r="C471" s="26" t="str">
        <f>HYPERLINK("https://audio.iskcondesiretree.com/02_-_ISKCON_Swamis/ISKCON_Swamis_-_R_to_Y/His_Holiness_Radhanath_Swami/Lectures/00_-_Year_wise/Devotional_Nectar_-_1992/1992-118_Lord%27s_Special_Mercy_SB-10_14_08_Mumbai_-_Radhanath_Swami_1992-09-16_IDesireTree.mp3", "1992-118_Lord%27s_Special_Mercy_SB-10_14_08_Mumbai_-_Radhanath_Swami_1992-09-16_IDesireTree.mp3")</f>
        <v>1992-118_Lord%27s_Special_Mercy_SB-10_14_08_Mumbai_-_Radhanath_Swami_1992-09-16_IDesireTree.mp3</v>
      </c>
      <c r="D471" s="24"/>
      <c r="E471" s="24"/>
    </row>
    <row r="472">
      <c r="A472" s="25" t="s">
        <v>18352</v>
      </c>
      <c r="B472" s="25" t="s">
        <v>18356</v>
      </c>
      <c r="C472" s="26" t="str">
        <f>HYPERLINK("https://audio.iskcondesiretree.com/02_-_ISKCON_Swamis/ISKCON_Swamis_-_R_to_Y/His_Holiness_Radhanath_Swami/Lectures/00_-_Year_wise/Devotional_Nectar_-_1992/1992-119_Krishna-_The_Master_Of_Mystics_SB-10_14_27_Mumbai_-_04-10-92_IDesireTree.mp3", "1992-119_Krishna-_The_Master_Of_Mystics_SB-10_14_27_Mumbai_-_04-10-92_IDesireTree.mp3")</f>
        <v>1992-119_Krishna-_The_Master_Of_Mystics_SB-10_14_27_Mumbai_-_04-10-92_IDesireTree.mp3</v>
      </c>
      <c r="D472" s="24"/>
      <c r="E472" s="24"/>
    </row>
    <row r="473">
      <c r="A473" s="25" t="s">
        <v>18352</v>
      </c>
      <c r="B473" s="25" t="s">
        <v>18356</v>
      </c>
      <c r="C473" s="26" t="str">
        <f>HYPERLINK("https://audio.iskcondesiretree.com/02_-_ISKCON_Swamis/ISKCON_Swamis_-_R_to_Y/His_Holiness_Radhanath_Swami/Lectures/00_-_Year_wise/Devotional_Nectar_-_1992/1992-120_How_To_Be_A_Perfect_Servant_Of_Lord_Ganesh_BG-07_20_Mumbai_-_04-10-92_IDesireTree.mp3", "1992-120_How_To_Be_A_Perfect_Servant_Of_Lord_Ganesh_BG-07_20_Mumbai_-_04-10-92_IDesireTree.mp3")</f>
        <v>1992-120_How_To_Be_A_Perfect_Servant_Of_Lord_Ganesh_BG-07_20_Mumbai_-_04-10-92_IDesireTree.mp3</v>
      </c>
      <c r="D473" s="24"/>
      <c r="E473" s="24"/>
    </row>
    <row r="474">
      <c r="A474" s="25" t="s">
        <v>18352</v>
      </c>
      <c r="B474" s="25" t="s">
        <v>18356</v>
      </c>
      <c r="C474" s="26" t="str">
        <f>HYPERLINK("https://audio.iskcondesiretree.com/02_-_ISKCON_Swamis/ISKCON_Swamis_-_R_to_Y/His_Holiness_Radhanath_Swami/Lectures/00_-_Year_wise/Devotional_Nectar_-_1992/1992-121_Real_Sacrifice_SB-10_40_06-12_Mumbai_-_Radhanath_Swami_1992-10-04_IDesireTree.mp3", "1992-121_Real_Sacrifice_SB-10_40_06-12_Mumbai_-_Radhanath_Swami_1992-10-04_IDesireTree.mp3")</f>
        <v>1992-121_Real_Sacrifice_SB-10_40_06-12_Mumbai_-_Radhanath_Swami_1992-10-04_IDesireTree.mp3</v>
      </c>
      <c r="D474" s="24"/>
      <c r="E474" s="24"/>
    </row>
    <row r="475">
      <c r="A475" s="25" t="s">
        <v>18352</v>
      </c>
      <c r="B475" s="25" t="s">
        <v>18356</v>
      </c>
      <c r="C475" s="26" t="str">
        <f>HYPERLINK("https://audio.iskcondesiretree.com/02_-_ISKCON_Swamis/ISKCON_Swamis_-_R_to_Y/His_Holiness_Radhanath_Swami/Lectures/00_-_Year_wise/Devotional_Nectar_-_1992/1992-122_Spiritual_Vision_SB-10_16_17-18_Mumbai_-_Radhanath_Swami_1992-11-14_IDesireTree.mp3", "1992-122_Spiritual_Vision_SB-10_16_17-18_Mumbai_-_Radhanath_Swami_1992-11-14_IDesireTree.mp3")</f>
        <v>1992-122_Spiritual_Vision_SB-10_16_17-18_Mumbai_-_Radhanath_Swami_1992-11-14_IDesireTree.mp3</v>
      </c>
      <c r="D475" s="24"/>
      <c r="E475" s="24"/>
    </row>
    <row r="476">
      <c r="A476" s="25" t="s">
        <v>18352</v>
      </c>
      <c r="B476" s="25" t="s">
        <v>18356</v>
      </c>
      <c r="C476" s="26" t="str">
        <f>HYPERLINK("https://audio.iskcondesiretree.com/02_-_ISKCON_Swamis/ISKCON_Swamis_-_R_to_Y/His_Holiness_Radhanath_Swami/Lectures/00_-_Year_wise/Devotional_Nectar_-_1992/1992-123_Anything_Disconnected_With_Krishna_Is_Maya_BG-12_18-19_Mumbai_-_15-11-92_IDesireTree.mp3", "1992-123_Anything_Disconnected_With_Krishna_Is_Maya_BG-12_18-19_Mumbai_-_15-11-92_IDesireTree.mp3")</f>
        <v>1992-123_Anything_Disconnected_With_Krishna_Is_Maya_BG-12_18-19_Mumbai_-_15-11-92_IDesireTree.mp3</v>
      </c>
      <c r="D476" s="24"/>
      <c r="E476" s="24"/>
    </row>
    <row r="477">
      <c r="A477" s="25" t="s">
        <v>18352</v>
      </c>
      <c r="B477" s="25" t="s">
        <v>18356</v>
      </c>
      <c r="C477" s="26" t="str">
        <f>HYPERLINK("https://audio.iskcondesiretree.com/02_-_ISKCON_Swamis/ISKCON_Swamis_-_R_to_Y/His_Holiness_Radhanath_Swami/Lectures/00_-_Year_wise/Devotional_Nectar_-_1992/1992-124_The_Gift_Of_Surrendering_BG-18_78_Mumbai_-_Radhanath_Swami_1992-11-21_IDesireTree.mp3", "1992-124_The_Gift_Of_Surrendering_BG-18_78_Mumbai_-_Radhanath_Swami_1992-11-21_IDesireTree.mp3")</f>
        <v>1992-124_The_Gift_Of_Surrendering_BG-18_78_Mumbai_-_Radhanath_Swami_1992-11-21_IDesireTree.mp3</v>
      </c>
      <c r="D477" s="24"/>
      <c r="E477" s="24"/>
    </row>
    <row r="478">
      <c r="A478" s="25" t="s">
        <v>18352</v>
      </c>
      <c r="B478" s="25" t="s">
        <v>18356</v>
      </c>
      <c r="C478" s="26" t="str">
        <f>HYPERLINK("https://audio.iskcondesiretree.com/02_-_ISKCON_Swamis/ISKCON_Swamis_-_R_to_Y/His_Holiness_Radhanath_Swami/Lectures/00_-_Year_wise/Devotional_Nectar_-_1992/1992-125_Story_Of_Chitraketu_SB-06_11_16-18_Mumbai_-_Radhanath_Swami_1922-11-22_IDesireTree.mp3", "1992-125_Story_Of_Chitraketu_SB-06_11_16-18_Mumbai_-_Radhanath_Swami_1922-11-22_IDesireTree.mp3")</f>
        <v>1992-125_Story_Of_Chitraketu_SB-06_11_16-18_Mumbai_-_Radhanath_Swami_1922-11-22_IDesireTree.mp3</v>
      </c>
      <c r="D478" s="24"/>
      <c r="E478" s="24"/>
    </row>
    <row r="479">
      <c r="A479" s="25" t="s">
        <v>18352</v>
      </c>
      <c r="B479" s="25" t="s">
        <v>18356</v>
      </c>
      <c r="C479" s="26" t="str">
        <f>HYPERLINK("https://audio.iskcondesiretree.com/02_-_ISKCON_Swamis/ISKCON_Swamis_-_R_to_Y/His_Holiness_Radhanath_Swami/Lectures/00_-_Year_wise/Devotional_Nectar_-_1992/1992-126_Spiritual_Emotion_SB-10_16_16_Mumbai_-_Radhanath_Swami_1992-11-23_IDesireTree.mp3", "1992-126_Spiritual_Emotion_SB-10_16_16_Mumbai_-_Radhanath_Swami_1992-11-23_IDesireTree.mp3")</f>
        <v>1992-126_Spiritual_Emotion_SB-10_16_16_Mumbai_-_Radhanath_Swami_1992-11-23_IDesireTree.mp3</v>
      </c>
      <c r="D479" s="24"/>
      <c r="E479" s="24"/>
    </row>
    <row r="480">
      <c r="A480" s="25" t="s">
        <v>18352</v>
      </c>
      <c r="B480" s="25" t="s">
        <v>18356</v>
      </c>
      <c r="C480" s="26" t="str">
        <f>HYPERLINK("https://audio.iskcondesiretree.com/02_-_ISKCON_Swamis/ISKCON_Swamis_-_R_to_Y/His_Holiness_Radhanath_Swami/Lectures/00_-_Year_wise/Devotional_Nectar_-_1992/1992-127_To_Be_On_Red_Alert_Lecture_Mumbai_-_Radhanath_Swami_1992-11-23_IDesireTree.mp3", "1992-127_To_Be_On_Red_Alert_Lecture_Mumbai_-_Radhanath_Swami_1992-11-23_IDesireTree.mp3")</f>
        <v>1992-127_To_Be_On_Red_Alert_Lecture_Mumbai_-_Radhanath_Swami_1992-11-23_IDesireTree.mp3</v>
      </c>
      <c r="D480" s="24"/>
      <c r="E480" s="24"/>
    </row>
    <row r="481">
      <c r="A481" s="25" t="s">
        <v>18352</v>
      </c>
      <c r="B481" s="25" t="s">
        <v>18356</v>
      </c>
      <c r="C481" s="26" t="str">
        <f>HYPERLINK("https://audio.iskcondesiretree.com/02_-_ISKCON_Swamis/ISKCON_Swamis_-_R_to_Y/His_Holiness_Radhanath_Swami/Lectures/00_-_Year_wise/Devotional_Nectar_-_1992/1992-128_Controlling_The_Tongue_Lecture_Mumbai_-_Radhanath_Swami_1992-11-24_IDesireTree.mp3", "1992-128_Controlling_The_Tongue_Lecture_Mumbai_-_Radhanath_Swami_1992-11-24_IDesireTree.mp3")</f>
        <v>1992-128_Controlling_The_Tongue_Lecture_Mumbai_-_Radhanath_Swami_1992-11-24_IDesireTree.mp3</v>
      </c>
      <c r="D481" s="24"/>
      <c r="E481" s="24"/>
    </row>
    <row r="482">
      <c r="A482" s="25" t="s">
        <v>18352</v>
      </c>
      <c r="B482" s="25" t="s">
        <v>18356</v>
      </c>
      <c r="C482" s="26" t="str">
        <f>HYPERLINK("https://audio.iskcondesiretree.com/02_-_ISKCON_Swamis/ISKCON_Swamis_-_R_to_Y/His_Holiness_Radhanath_Swami/Lectures/00_-_Year_wise/Devotional_Nectar_-_1992/1992-129_Fool%27s_Paradise_vs_Goloka_Vrindavan_SB-10_16_23-26_Mumbai_-_27-11-92_IDesireTree.mp3", "1992-129_Fool%27s_Paradise_vs_Goloka_Vrindavan_SB-10_16_23-26_Mumbai_-_27-11-92_IDesireTree.mp3")</f>
        <v>1992-129_Fool%27s_Paradise_vs_Goloka_Vrindavan_SB-10_16_23-26_Mumbai_-_27-11-92_IDesireTree.mp3</v>
      </c>
      <c r="D482" s="24"/>
      <c r="E482" s="24"/>
    </row>
    <row r="483">
      <c r="A483" s="25" t="s">
        <v>18352</v>
      </c>
      <c r="B483" s="25" t="s">
        <v>18356</v>
      </c>
      <c r="C483" s="26" t="str">
        <f>HYPERLINK("https://audio.iskcondesiretree.com/02_-_ISKCON_Swamis/ISKCON_Swamis_-_R_to_Y/His_Holiness_Radhanath_Swami/Lectures/00_-_Year_wise/Devotional_Nectar_-_1992/1992-130_Fortune_Of_Kaliyuga_People_SB-11_05_36_Mumbai_-_Radhanath_Swami_1992-11-27_IDesireTree.mp3", "1992-130_Fortune_Of_Kaliyuga_People_SB-11_05_36_Mumbai_-_Radhanath_Swami_1992-11-27_IDesireTree.mp3")</f>
        <v>1992-130_Fortune_Of_Kaliyuga_People_SB-11_05_36_Mumbai_-_Radhanath_Swami_1992-11-27_IDesireTree.mp3</v>
      </c>
      <c r="D483" s="24"/>
      <c r="E483" s="24"/>
    </row>
    <row r="484">
      <c r="A484" s="25" t="s">
        <v>18352</v>
      </c>
      <c r="B484" s="25" t="s">
        <v>18356</v>
      </c>
      <c r="C484" s="26" t="str">
        <f>HYPERLINK("https://audio.iskcondesiretree.com/02_-_ISKCON_Swamis/ISKCON_Swamis_-_R_to_Y/His_Holiness_Radhanath_Swami/Lectures/00_-_Year_wise/Devotional_Nectar_-_1992/1992-131_Our_Faith_Is_Our_Life_SB-10_16_25-30_Mumbai_-_Radhanath_Swami_1992-11-28_IDesireTree.mp3", "1992-131_Our_Faith_Is_Our_Life_SB-10_16_25-30_Mumbai_-_Radhanath_Swami_1992-11-28_IDesireTree.mp3")</f>
        <v>1992-131_Our_Faith_Is_Our_Life_SB-10_16_25-30_Mumbai_-_Radhanath_Swami_1992-11-28_IDesireTree.mp3</v>
      </c>
      <c r="D484" s="24"/>
      <c r="E484" s="24"/>
    </row>
    <row r="485">
      <c r="A485" s="25" t="s">
        <v>18352</v>
      </c>
      <c r="B485" s="25" t="s">
        <v>18356</v>
      </c>
      <c r="C485" s="26" t="str">
        <f>HYPERLINK("https://audio.iskcondesiretree.com/02_-_ISKCON_Swamis/ISKCON_Swamis_-_R_to_Y/His_Holiness_Radhanath_Swami/Lectures/00_-_Year_wise/Devotional_Nectar_-_1992/1992-132_Love_And_Compassion_SB-06_10_08-10_Mumbai_-_Radhanath_Swami_1992-11-28_IDesireTree.mp3", "1992-132_Love_And_Compassion_SB-06_10_08-10_Mumbai_-_Radhanath_Swami_1992-11-28_IDesireTree.mp3")</f>
        <v>1992-132_Love_And_Compassion_SB-06_10_08-10_Mumbai_-_Radhanath_Swami_1992-11-28_IDesireTree.mp3</v>
      </c>
      <c r="D485" s="24"/>
      <c r="E485" s="24"/>
    </row>
    <row r="486">
      <c r="A486" s="25" t="s">
        <v>18352</v>
      </c>
      <c r="B486" s="25" t="s">
        <v>18356</v>
      </c>
      <c r="C486" s="26" t="str">
        <f>HYPERLINK("https://audio.iskcondesiretree.com/02_-_ISKCON_Swamis/ISKCON_Swamis_-_R_to_Y/His_Holiness_Radhanath_Swami/Lectures/00_-_Year_wise/Devotional_Nectar_-_1992/1992-133_The_Proof_Of_The_Process_SB-10_16_36-38_Mumbai_-_Radhanath_Swami_1992-12-02_IDesireTree.mp3", "1992-133_The_Proof_Of_The_Process_SB-10_16_36-38_Mumbai_-_Radhanath_Swami_1992-12-02_IDesireTree.mp3")</f>
        <v>1992-133_The_Proof_Of_The_Process_SB-10_16_36-38_Mumbai_-_Radhanath_Swami_1992-12-02_IDesireTree.mp3</v>
      </c>
      <c r="D486" s="24"/>
      <c r="E486" s="24"/>
    </row>
    <row r="487">
      <c r="A487" s="25" t="s">
        <v>18352</v>
      </c>
      <c r="B487" s="25" t="s">
        <v>18356</v>
      </c>
      <c r="C487" s="26" t="str">
        <f>HYPERLINK("https://audio.iskcondesiretree.com/02_-_ISKCON_Swamis/ISKCON_Swamis_-_R_to_Y/His_Holiness_Radhanath_Swami/Lectures/00_-_Year_wise/Devotional_Nectar_-_1992/1992-134_Understanding_Prabhupada%27s_Mission_Lecture_Columbus_-_7-12-92_IDesireTree.mp3", "1992-134_Understanding_Prabhupada%27s_Mission_Lecture_Columbus_-_7-12-92_IDesireTree.mp3")</f>
        <v>1992-134_Understanding_Prabhupada%27s_Mission_Lecture_Columbus_-_7-12-92_IDesireTree.mp3</v>
      </c>
      <c r="D487" s="24"/>
      <c r="E487" s="24"/>
    </row>
    <row r="488">
      <c r="A488" s="25" t="s">
        <v>18352</v>
      </c>
      <c r="B488" s="25" t="s">
        <v>18356</v>
      </c>
      <c r="C488" s="26" t="str">
        <f>HYPERLINK("https://audio.iskcondesiretree.com/02_-_ISKCON_Swamis/ISKCON_Swamis_-_R_to_Y/His_Holiness_Radhanath_Swami/Lectures/00_-_Year_wise/Devotional_Nectar_-_1992/1992-135_Story_Of_Prahlad_Maharaj_SB-07_05_11_Mumbai_-_Radhanath_Swami_1992-12-09_IDesireTree.mp3", "1992-135_Story_Of_Prahlad_Maharaj_SB-07_05_11_Mumbai_-_Radhanath_Swami_1992-12-09_IDesireTree.mp3")</f>
        <v>1992-135_Story_Of_Prahlad_Maharaj_SB-07_05_11_Mumbai_-_Radhanath_Swami_1992-12-09_IDesireTree.mp3</v>
      </c>
      <c r="D488" s="24"/>
      <c r="E488" s="24"/>
    </row>
    <row r="489">
      <c r="A489" s="25" t="s">
        <v>18352</v>
      </c>
      <c r="B489" s="25" t="s">
        <v>18356</v>
      </c>
      <c r="C489" s="26" t="str">
        <f>HYPERLINK("https://audio.iskcondesiretree.com/02_-_ISKCON_Swamis/ISKCON_Swamis_-_R_to_Y/His_Holiness_Radhanath_Swami/Lectures/00_-_Year_wise/Devotional_Nectar_-_1992/1992-136_Hearing_Means_To_Put_Into_Action_SB-10_16_56-57_Mumbai_-_10-12-92_IDesireTree.mp3", "1992-136_Hearing_Means_To_Put_Into_Action_SB-10_16_56-57_Mumbai_-_10-12-92_IDesireTree.mp3")</f>
        <v>1992-136_Hearing_Means_To_Put_Into_Action_SB-10_16_56-57_Mumbai_-_10-12-92_IDesireTree.mp3</v>
      </c>
      <c r="D489" s="24"/>
      <c r="E489" s="24"/>
    </row>
    <row r="490">
      <c r="A490" s="25" t="s">
        <v>18352</v>
      </c>
      <c r="B490" s="25" t="s">
        <v>18356</v>
      </c>
      <c r="C490" s="26" t="str">
        <f>HYPERLINK("https://audio.iskcondesiretree.com/02_-_ISKCON_Swamis/ISKCON_Swamis_-_R_to_Y/His_Holiness_Radhanath_Swami/Lectures/00_-_Year_wise/Devotional_Nectar_-_1992/1992-137_Lord_Rama%27s_Pastimes_Lecture_Mumbai_-_Radhanath_Swami_1992-10-05_IDesireTree.mp3", "1992-137_Lord_Rama%27s_Pastimes_Lecture_Mumbai_-_Radhanath_Swami_1992-10-05_IDesireTree.mp3")</f>
        <v>1992-137_Lord_Rama%27s_Pastimes_Lecture_Mumbai_-_Radhanath_Swami_1992-10-05_IDesireTree.mp3</v>
      </c>
      <c r="D490" s="24"/>
      <c r="E490" s="24"/>
    </row>
    <row r="491">
      <c r="A491" s="25" t="s">
        <v>18352</v>
      </c>
      <c r="B491" s="25" t="s">
        <v>18356</v>
      </c>
      <c r="C491" s="26" t="str">
        <f>HYPERLINK("https://audio.iskcondesiretree.com/02_-_ISKCON_Swamis/ISKCON_Swamis_-_R_to_Y/His_Holiness_Radhanath_Swami/Lectures/00_-_Year_wise/Devotional_Nectar_-_1992/1992-138_Overcoming_Material_Conditioning_SB-10_16_57-59_Mumbai_-_11-12-92_IDesireTree.mp3", "1992-138_Overcoming_Material_Conditioning_SB-10_16_57-59_Mumbai_-_11-12-92_IDesireTree.mp3")</f>
        <v>1992-138_Overcoming_Material_Conditioning_SB-10_16_57-59_Mumbai_-_11-12-92_IDesireTree.mp3</v>
      </c>
      <c r="D491" s="24"/>
      <c r="E491" s="24"/>
    </row>
    <row r="492">
      <c r="A492" s="25" t="s">
        <v>18352</v>
      </c>
      <c r="B492" s="25" t="s">
        <v>18356</v>
      </c>
      <c r="C492" s="26" t="str">
        <f>HYPERLINK("https://audio.iskcondesiretree.com/02_-_ISKCON_Swamis/ISKCON_Swamis_-_R_to_Y/His_Holiness_Radhanath_Swami/Lectures/00_-_Year_wise/Devotional_Nectar_-_1992/1992-139_Prayers_Of_Vaishnavas_Never_Go_In_Vain_SB-10_16_60-64_Mumbai_-_12-12-92_IDesireTree.mp3", "1992-139_Prayers_Of_Vaishnavas_Never_Go_In_Vain_SB-10_16_60-64_Mumbai_-_12-12-92_IDesireTree.mp3")</f>
        <v>1992-139_Prayers_Of_Vaishnavas_Never_Go_In_Vain_SB-10_16_60-64_Mumbai_-_12-12-92_IDesireTree.mp3</v>
      </c>
      <c r="D492" s="24"/>
      <c r="E492" s="24"/>
    </row>
    <row r="493">
      <c r="A493" s="25" t="s">
        <v>18352</v>
      </c>
      <c r="B493" s="25" t="s">
        <v>18356</v>
      </c>
      <c r="C493" s="26" t="str">
        <f>HYPERLINK("https://audio.iskcondesiretree.com/02_-_ISKCON_Swamis/ISKCON_Swamis_-_R_to_Y/His_Holiness_Radhanath_Swami/Lectures/00_-_Year_wise/Devotional_Nectar_-_1992/1992-140_Only_Surrender_SB-02_04_21_Mumbai_-_Radhanath_Swami_1992-12-13_IDesireTree.mp3", "1992-140_Only_Surrender_SB-02_04_21_Mumbai_-_Radhanath_Swami_1992-12-13_IDesireTree.mp3")</f>
        <v>1992-140_Only_Surrender_SB-02_04_21_Mumbai_-_Radhanath_Swami_1992-12-13_IDesireTree.mp3</v>
      </c>
      <c r="D493" s="24"/>
      <c r="E493" s="24"/>
    </row>
    <row r="494">
      <c r="A494" s="25" t="s">
        <v>18352</v>
      </c>
      <c r="B494" s="25" t="s">
        <v>18356</v>
      </c>
      <c r="C494" s="26" t="str">
        <f>HYPERLINK("https://audio.iskcondesiretree.com/02_-_ISKCON_Swamis/ISKCON_Swamis_-_R_to_Y/His_Holiness_Radhanath_Swami/Lectures/00_-_Year_wise/Devotional_Nectar_-_1992/1992-141_What_Do_You_have_To_Renounce_SB-10_16_65-67_Mumbai_-_13-12-92_IDesireTree.mp3", "1992-141_What_Do_You_have_To_Renounce_SB-10_16_65-67_Mumbai_-_13-12-92_IDesireTree.mp3")</f>
        <v>1992-141_What_Do_You_have_To_Renounce_SB-10_16_65-67_Mumbai_-_13-12-92_IDesireTree.mp3</v>
      </c>
      <c r="D494" s="24"/>
      <c r="E494" s="24"/>
    </row>
    <row r="495">
      <c r="A495" s="25" t="s">
        <v>18352</v>
      </c>
      <c r="B495" s="25" t="s">
        <v>18356</v>
      </c>
      <c r="C495" s="26" t="str">
        <f>HYPERLINK("https://audio.iskcondesiretree.com/02_-_ISKCON_Swamis/ISKCON_Swamis_-_R_to_Y/His_Holiness_Radhanath_Swami/Lectures/00_-_Year_wise/Devotional_Nectar_-_1992/1992-142_Let_Lord_Krishna_Devastate_Our_False_Ego_SB-10_17_1-3_Mumbai_-_15-12-92_IDesireTree.mp3", "1992-142_Let_Lord_Krishna_Devastate_Our_False_Ego_SB-10_17_1-3_Mumbai_-_15-12-92_IDesireTree.mp3")</f>
        <v>1992-142_Let_Lord_Krishna_Devastate_Our_False_Ego_SB-10_17_1-3_Mumbai_-_15-12-92_IDesireTree.mp3</v>
      </c>
      <c r="D495" s="24"/>
      <c r="E495" s="24"/>
    </row>
    <row r="496">
      <c r="A496" s="25" t="s">
        <v>18352</v>
      </c>
      <c r="B496" s="25" t="s">
        <v>18356</v>
      </c>
      <c r="C496" s="26" t="str">
        <f>HYPERLINK("https://audio.iskcondesiretree.com/02_-_ISKCON_Swamis/ISKCON_Swamis_-_R_to_Y/His_Holiness_Radhanath_Swami/Lectures/00_-_Year_wise/Devotional_Nectar_-_1992/1992-143_Beware_Of_Mad_Elephant_Offence_SB-10_17_12_Mumbai_-_17-12-92_IDesireTree.mp3", "1992-143_Beware_Of_Mad_Elephant_Offence_SB-10_17_12_Mumbai_-_17-12-92_IDesireTree.mp3")</f>
        <v>1992-143_Beware_Of_Mad_Elephant_Offence_SB-10_17_12_Mumbai_-_17-12-92_IDesireTree.mp3</v>
      </c>
      <c r="D496" s="24"/>
      <c r="E496" s="24"/>
    </row>
    <row r="497">
      <c r="A497" s="25" t="s">
        <v>18352</v>
      </c>
      <c r="B497" s="25" t="s">
        <v>18356</v>
      </c>
      <c r="C497" s="26" t="str">
        <f>HYPERLINK("https://audio.iskcondesiretree.com/02_-_ISKCON_Swamis/ISKCON_Swamis_-_R_to_Y/His_Holiness_Radhanath_Swami/Lectures/00_-_Year_wise/Devotional_Nectar_-_1992/1992-144_Spiritual_Warfare_SB-10_17_21-22_Mumbai_-_Radhanath_Swami_1992-12-18_IDesireTree.mp3", "1992-144_Spiritual_Warfare_SB-10_17_21-22_Mumbai_-_Radhanath_Swami_1992-12-18_IDesireTree.mp3")</f>
        <v>1992-144_Spiritual_Warfare_SB-10_17_21-22_Mumbai_-_Radhanath_Swami_1992-12-18_IDesireTree.mp3</v>
      </c>
      <c r="D497" s="24"/>
      <c r="E497" s="24"/>
    </row>
    <row r="498">
      <c r="A498" s="25" t="s">
        <v>18352</v>
      </c>
      <c r="B498" s="25" t="s">
        <v>18356</v>
      </c>
      <c r="C498" s="26" t="str">
        <f>HYPERLINK("https://audio.iskcondesiretree.com/02_-_ISKCON_Swamis/ISKCON_Swamis_-_R_to_Y/His_Holiness_Radhanath_Swami/Lectures/00_-_Year_wise/Devotional_Nectar_-_1992/1992-145_Sense_Gratification_And_Bhakti_Go_Ill_Together_SB-05_05_7_Mumbai_-_18-12-92_IDesireTree.mp3", "1992-145_Sense_Gratification_And_Bhakti_Go_Ill_Together_SB-05_05_7_Mumbai_-_18-12-92_IDesireTree.mp3")</f>
        <v>1992-145_Sense_Gratification_And_Bhakti_Go_Ill_Together_SB-05_05_7_Mumbai_-_18-12-92_IDesireTree.mp3</v>
      </c>
      <c r="D498" s="24"/>
      <c r="E498" s="24"/>
    </row>
    <row r="499">
      <c r="A499" s="25" t="s">
        <v>18352</v>
      </c>
      <c r="B499" s="25" t="s">
        <v>18356</v>
      </c>
      <c r="C499" s="26" t="str">
        <f>HYPERLINK("https://audio.iskcondesiretree.com/02_-_ISKCON_Swamis/ISKCON_Swamis_-_R_to_Y/His_Holiness_Radhanath_Swami/Lectures/00_-_Year_wise/Devotional_Nectar_-_1992/1992-146_Only_One_Reality_SB-01_02_07_Mumbai_-_Radhanath_Swami_1992-12-19_IDesireTree.mp3", "1992-146_Only_One_Reality_SB-01_02_07_Mumbai_-_Radhanath_Swami_1992-12-19_IDesireTree.mp3")</f>
        <v>1992-146_Only_One_Reality_SB-01_02_07_Mumbai_-_Radhanath_Swami_1992-12-19_IDesireTree.mp3</v>
      </c>
      <c r="D499" s="24"/>
      <c r="E499" s="24"/>
    </row>
    <row r="500">
      <c r="A500" s="25" t="s">
        <v>18352</v>
      </c>
      <c r="B500" s="25" t="s">
        <v>18356</v>
      </c>
      <c r="C500" s="26" t="str">
        <f>HYPERLINK("https://audio.iskcondesiretree.com/02_-_ISKCON_Swamis/ISKCON_Swamis_-_R_to_Y/His_Holiness_Radhanath_Swami/Lectures/00_-_Year_wise/Devotional_Nectar_-_1992/1992-147_Vrajabasi_Spirits_SB-10_18_01-07_Mumbai_-_Radhanath_Swami_1992-12-20_IDesireTree.mp3", "1992-147_Vrajabasi_Spirits_SB-10_18_01-07_Mumbai_-_Radhanath_Swami_1992-12-20_IDesireTree.mp3")</f>
        <v>1992-147_Vrajabasi_Spirits_SB-10_18_01-07_Mumbai_-_Radhanath_Swami_1992-12-20_IDesireTree.mp3</v>
      </c>
      <c r="D500" s="24"/>
      <c r="E500" s="24"/>
    </row>
    <row r="501">
      <c r="A501" s="25" t="s">
        <v>18352</v>
      </c>
      <c r="B501" s="25" t="s">
        <v>18356</v>
      </c>
      <c r="C501" s="26" t="str">
        <f>HYPERLINK("https://audio.iskcondesiretree.com/02_-_ISKCON_Swamis/ISKCON_Swamis_-_R_to_Y/His_Holiness_Radhanath_Swami/Lectures/00_-_Year_wise/Devotional_Nectar_-_1992/1992-148_Free_Yourself_From_Material_Modes_BG-14_05_Mumbai_-_20-12-92_IDesireTree.mp3", "1992-148_Free_Yourself_From_Material_Modes_BG-14_05_Mumbai_-_20-12-92_IDesireTree.mp3")</f>
        <v>1992-148_Free_Yourself_From_Material_Modes_BG-14_05_Mumbai_-_20-12-92_IDesireTree.mp3</v>
      </c>
      <c r="D501" s="24"/>
      <c r="E501" s="24"/>
    </row>
    <row r="502">
      <c r="A502" s="25" t="s">
        <v>18352</v>
      </c>
      <c r="B502" s="25" t="s">
        <v>18356</v>
      </c>
      <c r="C502" s="26" t="str">
        <f>HYPERLINK("https://audio.iskcondesiretree.com/02_-_ISKCON_Swamis/ISKCON_Swamis_-_R_to_Y/His_Holiness_Radhanath_Swami/Lectures/00_-_Year_wise/Devotional_Nectar_-_1992/1992-149_Truth_Of_God_Consciousness_SB-03_04_21_Mumbai_-_Radhanath_Swami_1992-12-20_IDesireTree.mp3", "1992-149_Truth_Of_God_Consciousness_SB-03_04_21_Mumbai_-_Radhanath_Swami_1992-12-20_IDesireTree.mp3")</f>
        <v>1992-149_Truth_Of_God_Consciousness_SB-03_04_21_Mumbai_-_Radhanath_Swami_1992-12-20_IDesireTree.mp3</v>
      </c>
      <c r="D502" s="24"/>
      <c r="E502" s="24"/>
    </row>
    <row r="503">
      <c r="A503" s="25" t="s">
        <v>18352</v>
      </c>
      <c r="B503" s="25" t="s">
        <v>18356</v>
      </c>
      <c r="C503" s="26" t="str">
        <f>HYPERLINK("https://audio.iskcondesiretree.com/02_-_ISKCON_Swamis/ISKCON_Swamis_-_R_to_Y/His_Holiness_Radhanath_Swami/Lectures/00_-_Year_wise/Devotional_Nectar_-_1992/1992-150_Don%27t_Put_Your_Faith_In_This_Material_World_SB-10_18_27_Mumbai_-_24-12-92_IDesireTree.mp3", "1992-150_Don%27t_Put_Your_Faith_In_This_Material_World_SB-10_18_27_Mumbai_-_24-12-92_IDesireTree.mp3")</f>
        <v>1992-150_Don%27t_Put_Your_Faith_In_This_Material_World_SB-10_18_27_Mumbai_-_24-12-92_IDesireTree.mp3</v>
      </c>
      <c r="D503" s="24"/>
      <c r="E503" s="24"/>
    </row>
    <row r="504">
      <c r="A504" s="25" t="s">
        <v>18352</v>
      </c>
      <c r="B504" s="25" t="s">
        <v>18356</v>
      </c>
      <c r="C504" s="26" t="str">
        <f>HYPERLINK("https://audio.iskcondesiretree.com/02_-_ISKCON_Swamis/ISKCON_Swamis_-_R_to_Y/His_Holiness_Radhanath_Swami/Lectures/00_-_Year_wise/Devotional_Nectar_-_1992/1992-151_Equality_Of_Vision_BG-05_18_Mumbai_-_Radhanath_Swami_1992-12-24_IDesireTree.mp3", "1992-151_Equality_Of_Vision_BG-05_18_Mumbai_-_Radhanath_Swami_1992-12-24_IDesireTree.mp3")</f>
        <v>1992-151_Equality_Of_Vision_BG-05_18_Mumbai_-_Radhanath_Swami_1992-12-24_IDesireTree.mp3</v>
      </c>
      <c r="D504" s="24"/>
      <c r="E504" s="24"/>
    </row>
    <row r="505">
      <c r="A505" s="25" t="s">
        <v>18352</v>
      </c>
      <c r="B505" s="25" t="s">
        <v>18356</v>
      </c>
      <c r="C505" s="26" t="str">
        <f>HYPERLINK("https://audio.iskcondesiretree.com/02_-_ISKCON_Swamis/ISKCON_Swamis_-_R_to_Y/His_Holiness_Radhanath_Swami/Lectures/00_-_Year_wise/Devotional_Nectar_-_1992/1992-152_Power_Of_Association_SB-03_07_14_Mumbai_-_Radhanath_Swami_1992-12-25_IDesireTree.mp3", "1992-152_Power_Of_Association_SB-03_07_14_Mumbai_-_Radhanath_Swami_1992-12-25_IDesireTree.mp3")</f>
        <v>1992-152_Power_Of_Association_SB-03_07_14_Mumbai_-_Radhanath_Swami_1992-12-25_IDesireTree.mp3</v>
      </c>
      <c r="D505" s="24"/>
      <c r="E505" s="24"/>
    </row>
    <row r="506">
      <c r="A506" s="25" t="s">
        <v>18352</v>
      </c>
      <c r="B506" s="25" t="s">
        <v>18356</v>
      </c>
      <c r="C506" s="26" t="str">
        <f>HYPERLINK("https://audio.iskcondesiretree.com/02_-_ISKCON_Swamis/ISKCON_Swamis_-_R_to_Y/His_Holiness_Radhanath_Swami/Lectures/00_-_Year_wise/Devotional_Nectar_-_1992/1992-153_Kill_The_Demon_Of_Doubt_SB-10_18_28-32_Mumbai_-_Radhanath_Swami_1992-12-25_IDesireTree.mp3", "1992-153_Kill_The_Demon_Of_Doubt_SB-10_18_28-32_Mumbai_-_Radhanath_Swami_1992-12-25_IDesireTree.mp3")</f>
        <v>1992-153_Kill_The_Demon_Of_Doubt_SB-10_18_28-32_Mumbai_-_Radhanath_Swami_1992-12-25_IDesireTree.mp3</v>
      </c>
      <c r="D506" s="24"/>
      <c r="E506" s="24"/>
    </row>
    <row r="507">
      <c r="A507" s="25" t="s">
        <v>18352</v>
      </c>
      <c r="B507" s="25" t="s">
        <v>18356</v>
      </c>
      <c r="C507" s="26" t="str">
        <f>HYPERLINK("https://audio.iskcondesiretree.com/02_-_ISKCON_Swamis/ISKCON_Swamis_-_R_to_Y/His_Holiness_Radhanath_Swami/Lectures/00_-_Year_wise/Devotional_Nectar_-_1992/1992-154_Material_Life-_Big_Forest_Fire_SB-10_19_1-12_Mumbai_-_26-12-92_IDesireTree.mp3", "1992-154_Material_Life-_Big_Forest_Fire_SB-10_19_1-12_Mumbai_-_26-12-92_IDesireTree.mp3")</f>
        <v>1992-154_Material_Life-_Big_Forest_Fire_SB-10_19_1-12_Mumbai_-_26-12-92_IDesireTree.mp3</v>
      </c>
      <c r="D507" s="24"/>
      <c r="E507" s="24"/>
    </row>
    <row r="508">
      <c r="A508" s="25" t="s">
        <v>18352</v>
      </c>
      <c r="B508" s="25" t="s">
        <v>18356</v>
      </c>
      <c r="C508" s="26" t="str">
        <f>HYPERLINK("https://audio.iskcondesiretree.com/02_-_ISKCON_Swamis/ISKCON_Swamis_-_R_to_Y/His_Holiness_Radhanath_Swami/Lectures/00_-_Year_wise/Devotional_Nectar_-_1992/1992-155_Peace_Formula_BG-05-17_Mumbai_-_Radhanath_Swami_1992-12-26_IDesireTree.mp3", "1992-155_Peace_Formula_BG-05-17_Mumbai_-_Radhanath_Swami_1992-12-26_IDesireTree.mp3")</f>
        <v>1992-155_Peace_Formula_BG-05-17_Mumbai_-_Radhanath_Swami_1992-12-26_IDesireTree.mp3</v>
      </c>
      <c r="D508" s="24"/>
      <c r="E508" s="24"/>
    </row>
    <row r="509">
      <c r="A509" s="25" t="s">
        <v>18352</v>
      </c>
      <c r="B509" s="25" t="s">
        <v>18356</v>
      </c>
      <c r="C509" s="26" t="str">
        <f>HYPERLINK("https://audio.iskcondesiretree.com/02_-_ISKCON_Swamis/ISKCON_Swamis_-_R_to_Y/His_Holiness_Radhanath_Swami/Lectures/00_-_Year_wise/Devotional_Nectar_-_1992/1992-156_Living_In_Harmony_With_Nature_SB-10_20_1-5_Mumbai_-_27-12-92_IDesireTree.mp3", "1992-156_Living_In_Harmony_With_Nature_SB-10_20_1-5_Mumbai_-_27-12-92_IDesireTree.mp3")</f>
        <v>1992-156_Living_In_Harmony_With_Nature_SB-10_20_1-5_Mumbai_-_27-12-92_IDesireTree.mp3</v>
      </c>
      <c r="D509" s="24"/>
      <c r="E509" s="24"/>
    </row>
    <row r="510">
      <c r="A510" s="25" t="s">
        <v>18352</v>
      </c>
      <c r="B510" s="25" t="s">
        <v>18356</v>
      </c>
      <c r="C510" s="26" t="str">
        <f>HYPERLINK("https://audio.iskcondesiretree.com/02_-_ISKCON_Swamis/ISKCON_Swamis_-_R_to_Y/His_Holiness_Radhanath_Swami/Lectures/00_-_Year_wise/Devotional_Nectar_-_1992/1992-157_Disappearance_Of_Srila_Jiva_Goswami_Lecture_Mumbai_-_27-12-92_IDesireTree.mp3", "1992-157_Disappearance_Of_Srila_Jiva_Goswami_Lecture_Mumbai_-_27-12-92_IDesireTree.mp3")</f>
        <v>1992-157_Disappearance_Of_Srila_Jiva_Goswami_Lecture_Mumbai_-_27-12-92_IDesireTree.mp3</v>
      </c>
      <c r="D510" s="24"/>
      <c r="E510" s="24"/>
    </row>
    <row r="511">
      <c r="A511" s="25" t="s">
        <v>18352</v>
      </c>
      <c r="B511" s="25" t="s">
        <v>18356</v>
      </c>
      <c r="C511" s="26" t="str">
        <f>HYPERLINK("https://audio.iskcondesiretree.com/02_-_ISKCON_Swamis/ISKCON_Swamis_-_R_to_Y/His_Holiness_Radhanath_Swami/Lectures/00_-_Year_wise/Devotional_Nectar_-_1992/1992-158_Killing_Of_Shishupal_SB-10_87_23_Mumbai_-_Radhanath_Swami_1992-12-27_IDesireTree.mp3", "1992-158_Killing_Of_Shishupal_SB-10_87_23_Mumbai_-_Radhanath_Swami_1992-12-27_IDesireTree.mp3")</f>
        <v>1992-158_Killing_Of_Shishupal_SB-10_87_23_Mumbai_-_Radhanath_Swami_1992-12-27_IDesireTree.mp3</v>
      </c>
      <c r="D511" s="24"/>
      <c r="E511" s="24"/>
    </row>
    <row r="512">
      <c r="A512" s="25" t="s">
        <v>18352</v>
      </c>
      <c r="B512" s="25" t="s">
        <v>18356</v>
      </c>
      <c r="C512" s="26" t="str">
        <f>HYPERLINK("https://audio.iskcondesiretree.com/02_-_ISKCON_Swamis/ISKCON_Swamis_-_R_to_Y/His_Holiness_Radhanath_Swami/Lectures/00_-_Year_wise/Devotional_Nectar_-_1992/1992-159_Teachings_From_Story_Of_Ajamila_SB-06_02_07_Mumbai_-_28-12-92_IDesireTree.mp3", "1992-159_Teachings_From_Story_Of_Ajamila_SB-06_02_07_Mumbai_-_28-12-92_IDesireTree.mp3")</f>
        <v>1992-159_Teachings_From_Story_Of_Ajamila_SB-06_02_07_Mumbai_-_28-12-92_IDesireTree.mp3</v>
      </c>
      <c r="D512" s="24"/>
      <c r="E512" s="24"/>
    </row>
    <row r="513">
      <c r="A513" s="25" t="s">
        <v>18352</v>
      </c>
      <c r="B513" s="25" t="s">
        <v>18356</v>
      </c>
      <c r="C513" s="26" t="str">
        <f>HYPERLINK("https://audio.iskcondesiretree.com/02_-_ISKCON_Swamis/ISKCON_Swamis_-_R_to_Y/His_Holiness_Radhanath_Swami/Lectures/00_-_Year_wise/Devotional_Nectar_-_1992/1992-160_Pure_Devotional_Service_Is_Real_Diamond_SB-10_20_8_Mumbai_-_29-12-92_IDesireTree.mp3", "1992-160_Pure_Devotional_Service_Is_Real_Diamond_SB-10_20_8_Mumbai_-_29-12-92_IDesireTree.mp3")</f>
        <v>1992-160_Pure_Devotional_Service_Is_Real_Diamond_SB-10_20_8_Mumbai_-_29-12-92_IDesireTree.mp3</v>
      </c>
      <c r="D513" s="24"/>
      <c r="E513" s="24"/>
    </row>
    <row r="514">
      <c r="A514" s="25" t="s">
        <v>18352</v>
      </c>
      <c r="B514" s="25" t="s">
        <v>18356</v>
      </c>
      <c r="C514" s="26" t="str">
        <f>HYPERLINK("https://audio.iskcondesiretree.com/02_-_ISKCON_Swamis/ISKCON_Swamis_-_R_to_Y/His_Holiness_Radhanath_Swami/Lectures/00_-_Year_wise/Devotional_Nectar_-_1992/1992-161_Nimai_Pandit%27s_Pastimes_Lecture_Mumbai_-_Radhanath_Swami_1992-12-29_IDesireTree.mp3", "1992-161_Nimai_Pandit%27s_Pastimes_Lecture_Mumbai_-_Radhanath_Swami_1992-12-29_IDesireTree.mp3")</f>
        <v>1992-161_Nimai_Pandit%27s_Pastimes_Lecture_Mumbai_-_Radhanath_Swami_1992-12-29_IDesireTree.mp3</v>
      </c>
      <c r="D514" s="24"/>
      <c r="E514" s="24"/>
    </row>
    <row r="515">
      <c r="A515" s="25" t="s">
        <v>18352</v>
      </c>
      <c r="B515" s="25" t="s">
        <v>18356</v>
      </c>
      <c r="C515" s="26" t="str">
        <f>HYPERLINK("https://audio.iskcondesiretree.com/02_-_ISKCON_Swamis/ISKCON_Swamis_-_R_to_Y/His_Holiness_Radhanath_Swami/Lectures/00_-_Year_wise/Devotional_Nectar_-_1992/1992-162_Story_Of_King_Parikshit_SB-01_19_07_Mumbai_-_Radhanath_Swami_1992-12-29_IDesireTree.mp3", "1992-162_Story_Of_King_Parikshit_SB-01_19_07_Mumbai_-_Radhanath_Swami_1992-12-29_IDesireTree.mp3")</f>
        <v>1992-162_Story_Of_King_Parikshit_SB-01_19_07_Mumbai_-_Radhanath_Swami_1992-12-29_IDesireTree.mp3</v>
      </c>
      <c r="D515" s="24"/>
      <c r="E515" s="24"/>
    </row>
    <row r="516">
      <c r="A516" s="25" t="s">
        <v>18352</v>
      </c>
      <c r="B516" s="25" t="s">
        <v>18356</v>
      </c>
      <c r="C516" s="26" t="str">
        <f>HYPERLINK("https://audio.iskcondesiretree.com/02_-_ISKCON_Swamis/ISKCON_Swamis_-_R_to_Y/His_Holiness_Radhanath_Swami/Lectures/00_-_Year_wise/Devotional_Nectar_-_1992/1992-163_Developing_Love_Lecture_Mumbai_-_Radhanath_Swami_1992-12-30_IDesireTree.mp3", "1992-163_Developing_Love_Lecture_Mumbai_-_Radhanath_Swami_1992-12-30_IDesireTree.mp3")</f>
        <v>1992-163_Developing_Love_Lecture_Mumbai_-_Radhanath_Swami_1992-12-30_IDesireTree.mp3</v>
      </c>
      <c r="D516" s="24"/>
      <c r="E516" s="24"/>
    </row>
    <row r="517">
      <c r="A517" s="25" t="s">
        <v>18352</v>
      </c>
      <c r="B517" s="25" t="s">
        <v>18356</v>
      </c>
      <c r="C517" s="26" t="str">
        <f>HYPERLINK("https://audio.iskcondesiretree.com/02_-_ISKCON_Swamis/ISKCON_Swamis_-_R_to_Y/His_Holiness_Radhanath_Swami/Lectures/00_-_Year_wise/Devotional_Nectar_-_1992/1992-164_Introduction_To_Pune_Yatra_Lecture_Pune_-_Radhanath_Swami_1992-12-31_IDesireTree.mp3", "1992-164_Introduction_To_Pune_Yatra_Lecture_Pune_-_Radhanath_Swami_1992-12-31_IDesireTree.mp3")</f>
        <v>1992-164_Introduction_To_Pune_Yatra_Lecture_Pune_-_Radhanath_Swami_1992-12-31_IDesireTree.mp3</v>
      </c>
      <c r="D517" s="24"/>
      <c r="E517" s="24"/>
    </row>
    <row r="518">
      <c r="A518" s="25" t="s">
        <v>18352</v>
      </c>
      <c r="B518" s="25" t="s">
        <v>18357</v>
      </c>
      <c r="C518" s="26" t="str">
        <f>HYPERLINK("https://audio.iskcondesiretree.com/02_-_ISKCON_Swamis/ISKCON_Swamis_-_R_to_Y/His_Holiness_Radhanath_Swami/Lectures/00_-_Year_wise/Devotional_Nectar_-_1993/1993-001_No_One_Is_Hopeless_Lecture_Pune_-_Radhanath_Swami_1993-01-01_IDesireTree.mp3", "1993-001_No_One_Is_Hopeless_Lecture_Pune_-_Radhanath_Swami_1993-01-01_IDesireTree.mp3")</f>
        <v>1993-001_No_One_Is_Hopeless_Lecture_Pune_-_Radhanath_Swami_1993-01-01_IDesireTree.mp3</v>
      </c>
      <c r="D518" s="24"/>
      <c r="E518" s="24"/>
    </row>
    <row r="519">
      <c r="A519" s="25" t="s">
        <v>18352</v>
      </c>
      <c r="B519" s="25" t="s">
        <v>18357</v>
      </c>
      <c r="C519" s="26" t="str">
        <f>HYPERLINK("https://audio.iskcondesiretree.com/02_-_ISKCON_Swamis/ISKCON_Swamis_-_R_to_Y/His_Holiness_Radhanath_Swami/Lectures/00_-_Year_wise/Devotional_Nectar_-_1993/1993-002_What_is_real_satsang_SB-10_20_15_Pune_-_Radhanath_Swami_1993-01-03_IDesireTree.mp3", "1993-002_What_is_real_satsang_SB-10_20_15_Pune_-_Radhanath_Swami_1993-01-03_IDesireTree.mp3")</f>
        <v>1993-002_What_is_real_satsang_SB-10_20_15_Pune_-_Radhanath_Swami_1993-01-03_IDesireTree.mp3</v>
      </c>
      <c r="D519" s="24"/>
      <c r="E519" s="24"/>
    </row>
    <row r="520">
      <c r="A520" s="25" t="s">
        <v>18352</v>
      </c>
      <c r="B520" s="25" t="s">
        <v>18357</v>
      </c>
      <c r="C520" s="26" t="str">
        <f>HYPERLINK("https://audio.iskcondesiretree.com/02_-_ISKCON_Swamis/ISKCON_Swamis_-_R_to_Y/His_Holiness_Radhanath_Swami/Lectures/00_-_Year_wise/Devotional_Nectar_-_1993/1993-003_Krsna_can_tear_down_the_wall_of_Illusion_SB-10_20_18_-_05-01-93_IDesireTree.mp3", "1993-003_Krsna_can_tear_down_the_wall_of_Illusion_SB-10_20_18_-_05-01-93_IDesireTree.mp3")</f>
        <v>1993-003_Krsna_can_tear_down_the_wall_of_Illusion_SB-10_20_18_-_05-01-93_IDesireTree.mp3</v>
      </c>
      <c r="D520" s="24"/>
      <c r="E520" s="24"/>
    </row>
    <row r="521">
      <c r="A521" s="25" t="s">
        <v>18352</v>
      </c>
      <c r="B521" s="25" t="s">
        <v>18357</v>
      </c>
      <c r="C521" s="26" t="str">
        <f>HYPERLINK("https://audio.iskcondesiretree.com/02_-_ISKCON_Swamis/ISKCON_Swamis_-_R_to_Y/His_Holiness_Radhanath_Swami/Lectures/00_-_Year_wise/Devotional_Nectar_-_1993/1993-004_Meaning_Of_False_Pride_SB-10_20_19_Mumbai_-_Radhanath_Swami_1993-01-06_IDesireTree.mp3", "1993-004_Meaning_Of_False_Pride_SB-10_20_19_Mumbai_-_Radhanath_Swami_1993-01-06_IDesireTree.mp3")</f>
        <v>1993-004_Meaning_Of_False_Pride_SB-10_20_19_Mumbai_-_Radhanath_Swami_1993-01-06_IDesireTree.mp3</v>
      </c>
      <c r="D521" s="24"/>
      <c r="E521" s="24"/>
    </row>
    <row r="522">
      <c r="A522" s="25" t="s">
        <v>18352</v>
      </c>
      <c r="B522" s="25" t="s">
        <v>18357</v>
      </c>
      <c r="C522" s="26" t="str">
        <f>HYPERLINK("https://audio.iskcondesiretree.com/02_-_ISKCON_Swamis/ISKCON_Swamis_-_R_to_Y/His_Holiness_Radhanath_Swami/Lectures/00_-_Year_wise/Devotional_Nectar_-_1993/1993-005_Story_Of_Maharaj_Chitraketu_SB-06_15_05-06_Mumbai_-_06-01-93_IDesireTree.mp3", "1993-005_Story_Of_Maharaj_Chitraketu_SB-06_15_05-06_Mumbai_-_06-01-93_IDesireTree.mp3")</f>
        <v>1993-005_Story_Of_Maharaj_Chitraketu_SB-06_15_05-06_Mumbai_-_06-01-93_IDesireTree.mp3</v>
      </c>
      <c r="D522" s="24"/>
      <c r="E522" s="24"/>
    </row>
    <row r="523">
      <c r="A523" s="25" t="s">
        <v>18352</v>
      </c>
      <c r="B523" s="25" t="s">
        <v>18357</v>
      </c>
      <c r="C523" s="26" t="str">
        <f>HYPERLINK("https://audio.iskcondesiretree.com/02_-_ISKCON_Swamis/ISKCON_Swamis_-_R_to_Y/His_Holiness_Radhanath_Swami/Lectures/00_-_Year_wise/Devotional_Nectar_-_1993/1993-006_We_Are_Like_Puppets_In_The_Hands_Of_Death_SB-12_03_1-8_Mumbai_-_09-01-93_IDesireTree.mp3", "1993-006_We_Are_Like_Puppets_In_The_Hands_Of_Death_SB-12_03_1-8_Mumbai_-_09-01-93_IDesireTree.mp3")</f>
        <v>1993-006_We_Are_Like_Puppets_In_The_Hands_Of_Death_SB-12_03_1-8_Mumbai_-_09-01-93_IDesireTree.mp3</v>
      </c>
      <c r="D523" s="24"/>
      <c r="E523" s="24"/>
    </row>
    <row r="524">
      <c r="A524" s="25" t="s">
        <v>18352</v>
      </c>
      <c r="B524" s="25" t="s">
        <v>18357</v>
      </c>
      <c r="C524" s="26" t="str">
        <f>HYPERLINK("https://audio.iskcondesiretree.com/02_-_ISKCON_Swamis/ISKCON_Swamis_-_R_to_Y/His_Holiness_Radhanath_Swami/Lectures/00_-_Year_wise/Devotional_Nectar_-_1993/1993-007_Highest_Achievements_SB-12_10_23-25_-_Radhanath_Swami_1993-01-10_IDesireTree.mp3", "1993-007_Highest_Achievements_SB-12_10_23-25_-_Radhanath_Swami_1993-01-10_IDesireTree.mp3")</f>
        <v>1993-007_Highest_Achievements_SB-12_10_23-25_-_Radhanath_Swami_1993-01-10_IDesireTree.mp3</v>
      </c>
      <c r="D524" s="24"/>
      <c r="E524" s="24"/>
    </row>
    <row r="525">
      <c r="A525" s="25" t="s">
        <v>18352</v>
      </c>
      <c r="B525" s="25" t="s">
        <v>18357</v>
      </c>
      <c r="C525" s="26" t="str">
        <f>HYPERLINK("https://audio.iskcondesiretree.com/02_-_ISKCON_Swamis/ISKCON_Swamis_-_R_to_Y/His_Holiness_Radhanath_Swami/Lectures/00_-_Year_wise/Devotional_Nectar_-_1993/1993-008_Tug_Of_War_SB-10_20_25-29_Mumbai_-_Radhanath_Swami_1993-01-11_IDesireTree.mp3", "1993-008_Tug_Of_War_SB-10_20_25-29_Mumbai_-_Radhanath_Swami_1993-01-11_IDesireTree.mp3")</f>
        <v>1993-008_Tug_Of_War_SB-10_20_25-29_Mumbai_-_Radhanath_Swami_1993-01-11_IDesireTree.mp3</v>
      </c>
      <c r="D525" s="24"/>
      <c r="E525" s="24"/>
    </row>
    <row r="526">
      <c r="A526" s="25" t="s">
        <v>18352</v>
      </c>
      <c r="B526" s="25" t="s">
        <v>18357</v>
      </c>
      <c r="C526" s="26" t="str">
        <f>HYPERLINK("https://audio.iskcondesiretree.com/02_-_ISKCON_Swamis/ISKCON_Swamis_-_R_to_Y/His_Holiness_Radhanath_Swami/Lectures/00_-_Year_wise/Devotional_Nectar_-_1993/1993-009_Four_Paramparas_Lecture_Mumbai_-_Radhanath_Swami_1993-01-12_IDesireTree.mp3", "1993-009_Four_Paramparas_Lecture_Mumbai_-_Radhanath_Swami_1993-01-12_IDesireTree.mp3")</f>
        <v>1993-009_Four_Paramparas_Lecture_Mumbai_-_Radhanath_Swami_1993-01-12_IDesireTree.mp3</v>
      </c>
      <c r="D526" s="24"/>
      <c r="E526" s="24"/>
    </row>
    <row r="527">
      <c r="A527" s="25" t="s">
        <v>18352</v>
      </c>
      <c r="B527" s="25" t="s">
        <v>18357</v>
      </c>
      <c r="C527" s="26" t="str">
        <f>HYPERLINK("https://audio.iskcondesiretree.com/02_-_ISKCON_Swamis/ISKCON_Swamis_-_R_to_Y/His_Holiness_Radhanath_Swami/Lectures/00_-_Year_wise/Devotional_Nectar_-_1993/1993-010_No_Compromise_Lecture_Mumbai_-_Radhanath_Swami_1993-01-13_IDesireTree.mp3", "1993-010_No_Compromise_Lecture_Mumbai_-_Radhanath_Swami_1993-01-13_IDesireTree.mp3")</f>
        <v>1993-010_No_Compromise_Lecture_Mumbai_-_Radhanath_Swami_1993-01-13_IDesireTree.mp3</v>
      </c>
      <c r="D527" s="24"/>
      <c r="E527" s="24"/>
    </row>
    <row r="528">
      <c r="A528" s="25" t="s">
        <v>18352</v>
      </c>
      <c r="B528" s="25" t="s">
        <v>18357</v>
      </c>
      <c r="C528" s="26" t="str">
        <f>HYPERLINK("https://audio.iskcondesiretree.com/02_-_ISKCON_Swamis/ISKCON_Swamis_-_R_to_Y/His_Holiness_Radhanath_Swami/Lectures/00_-_Year_wise/Devotional_Nectar_-_1993/1993-011_Society%27s_Only_Need-_Krishna_Consciousness_SB-10_20_35-36_Mumbai_-_13-01-93_IDesireTree.m"&amp;"p3", "1993-011_Society%27s_Only_Need-_Krishna_Consciousness_SB-10_20_35-36_Mumbai_-_13-01-93_IDesireTree.mp3")</f>
        <v>1993-011_Society%27s_Only_Need-_Krishna_Consciousness_SB-10_20_35-36_Mumbai_-_13-01-93_IDesireTree.mp3</v>
      </c>
      <c r="D528" s="24"/>
      <c r="E528" s="24"/>
    </row>
    <row r="529">
      <c r="A529" s="25" t="s">
        <v>18352</v>
      </c>
      <c r="B529" s="25" t="s">
        <v>18357</v>
      </c>
      <c r="C529" s="26" t="str">
        <f>HYPERLINK("https://audio.iskcondesiretree.com/02_-_ISKCON_Swamis/ISKCON_Swamis_-_R_to_Y/His_Holiness_Radhanath_Swami/Lectures/00_-_Year_wise/Devotional_Nectar_-_1993/1993-012_Remainder_Of_Our_Lives_Is_Constantly_Decreasing_SB-10_20_37_Mumbai_-_14-01-93_IDesireTree.m"&amp;"p3", "1993-012_Remainder_Of_Our_Lives_Is_Constantly_Decreasing_SB-10_20_37_Mumbai_-_14-01-93_IDesireTree.mp3")</f>
        <v>1993-012_Remainder_Of_Our_Lives_Is_Constantly_Decreasing_SB-10_20_37_Mumbai_-_14-01-93_IDesireTree.mp3</v>
      </c>
      <c r="D529" s="24"/>
      <c r="E529" s="24"/>
    </row>
    <row r="530">
      <c r="A530" s="25" t="s">
        <v>18352</v>
      </c>
      <c r="B530" s="25" t="s">
        <v>18357</v>
      </c>
      <c r="C530" s="26" t="str">
        <f>HYPERLINK("https://audio.iskcondesiretree.com/02_-_ISKCON_Swamis/ISKCON_Swamis_-_R_to_Y/His_Holiness_Radhanath_Swami/Lectures/00_-_Year_wise/Devotional_Nectar_-_1993/1993-013_Even_Jivas_Can_Expand_By_The_Will_Of_Krishna_Lecture_Mumbai_-_14-01-93_IDesireTree.mp3", "1993-013_Even_Jivas_Can_Expand_By_The_Will_Of_Krishna_Lecture_Mumbai_-_14-01-93_IDesireTree.mp3")</f>
        <v>1993-013_Even_Jivas_Can_Expand_By_The_Will_Of_Krishna_Lecture_Mumbai_-_14-01-93_IDesireTree.mp3</v>
      </c>
      <c r="D530" s="24"/>
      <c r="E530" s="24"/>
    </row>
    <row r="531">
      <c r="A531" s="25" t="s">
        <v>18352</v>
      </c>
      <c r="B531" s="25" t="s">
        <v>18357</v>
      </c>
      <c r="C531" s="26" t="str">
        <f>HYPERLINK("https://audio.iskcondesiretree.com/02_-_ISKCON_Swamis/ISKCON_Swamis_-_R_to_Y/His_Holiness_Radhanath_Swami/Lectures/00_-_Year_wise/Devotional_Nectar_-_1993/1993-014_To_Have_Innocent_Faith_SB-10_20_42-44_Mumbai_-_Radhanath_Swami_1993-01-16_IDesireTree.mp3", "1993-014_To_Have_Innocent_Faith_SB-10_20_42-44_Mumbai_-_Radhanath_Swami_1993-01-16_IDesireTree.mp3")</f>
        <v>1993-014_To_Have_Innocent_Faith_SB-10_20_42-44_Mumbai_-_Radhanath_Swami_1993-01-16_IDesireTree.mp3</v>
      </c>
      <c r="D531" s="24"/>
      <c r="E531" s="24"/>
    </row>
    <row r="532">
      <c r="A532" s="25" t="s">
        <v>18352</v>
      </c>
      <c r="B532" s="25" t="s">
        <v>18357</v>
      </c>
      <c r="C532" s="26" t="str">
        <f>HYPERLINK("https://audio.iskcondesiretree.com/02_-_ISKCON_Swamis/ISKCON_Swamis_-_R_to_Y/His_Holiness_Radhanath_Swami/Lectures/00_-_Year_wise/Devotional_Nectar_-_1993/1993-015_Enthusiasm_Patience_And_Faith_SB-10_20_45-46_Mumbai_-_17-01-93_IDesireTree.mp3", "1993-015_Enthusiasm_Patience_And_Faith_SB-10_20_45-46_Mumbai_-_17-01-93_IDesireTree.mp3")</f>
        <v>1993-015_Enthusiasm_Patience_And_Faith_SB-10_20_45-46_Mumbai_-_17-01-93_IDesireTree.mp3</v>
      </c>
      <c r="D532" s="24"/>
      <c r="E532" s="24"/>
    </row>
    <row r="533">
      <c r="A533" s="25" t="s">
        <v>18352</v>
      </c>
      <c r="B533" s="25" t="s">
        <v>18357</v>
      </c>
      <c r="C533" s="26" t="str">
        <f>HYPERLINK("https://audio.iskcondesiretree.com/02_-_ISKCON_Swamis/ISKCON_Swamis_-_R_to_Y/His_Holiness_Radhanath_Swami/Lectures/00_-_Year_wise/Devotional_Nectar_-_1993/1993-016_Who_Is_Rich_Who_Is_Poor_SB-06_03_31-32_Mumbai_-_Radhanath_Swami_1993-01-17_IDesireTree.mp3", "1993-016_Who_Is_Rich_Who_Is_Poor_SB-06_03_31-32_Mumbai_-_Radhanath_Swami_1993-01-17_IDesireTree.mp3")</f>
        <v>1993-016_Who_Is_Rich_Who_Is_Poor_SB-06_03_31-32_Mumbai_-_Radhanath_Swami_1993-01-17_IDesireTree.mp3</v>
      </c>
      <c r="D533" s="24"/>
      <c r="E533" s="24"/>
    </row>
    <row r="534">
      <c r="A534" s="25" t="s">
        <v>18352</v>
      </c>
      <c r="B534" s="25" t="s">
        <v>18357</v>
      </c>
      <c r="C534" s="26" t="str">
        <f>HYPERLINK("https://audio.iskcondesiretree.com/02_-_ISKCON_Swamis/ISKCON_Swamis_-_R_to_Y/His_Holiness_Radhanath_Swami/Lectures/00_-_Year_wise/Devotional_Nectar_-_1993/1993-017_To_Purify_Our_Heart_SB-01_02_08_-_Radhanath_Swami_1993-01-17_IDesireTree.mp3", "1993-017_To_Purify_Our_Heart_SB-01_02_08_-_Radhanath_Swami_1993-01-17_IDesireTree.mp3")</f>
        <v>1993-017_To_Purify_Our_Heart_SB-01_02_08_-_Radhanath_Swami_1993-01-17_IDesireTree.mp3</v>
      </c>
      <c r="D534" s="24"/>
      <c r="E534" s="24"/>
    </row>
    <row r="535">
      <c r="A535" s="25" t="s">
        <v>18352</v>
      </c>
      <c r="B535" s="25" t="s">
        <v>18357</v>
      </c>
      <c r="C535" s="26" t="str">
        <f>HYPERLINK("https://audio.iskcondesiretree.com/02_-_ISKCON_Swamis/ISKCON_Swamis_-_R_to_Y/His_Holiness_Radhanath_Swami/Lectures/00_-_Year_wise/Devotional_Nectar_-_1993/1993-018_Discussions_On_Vaishnava_Etiquettes_Lecture_Mumbai_-_17-01-93_IDesireTree.mp3", "1993-018_Discussions_On_Vaishnava_Etiquettes_Lecture_Mumbai_-_17-01-93_IDesireTree.mp3")</f>
        <v>1993-018_Discussions_On_Vaishnava_Etiquettes_Lecture_Mumbai_-_17-01-93_IDesireTree.mp3</v>
      </c>
      <c r="D535" s="24"/>
      <c r="E535" s="24"/>
    </row>
    <row r="536">
      <c r="A536" s="25" t="s">
        <v>18352</v>
      </c>
      <c r="B536" s="25" t="s">
        <v>18357</v>
      </c>
      <c r="C536" s="26" t="str">
        <f>HYPERLINK("https://audio.iskcondesiretree.com/02_-_ISKCON_Swamis/ISKCON_Swamis_-_R_to_Y/His_Holiness_Radhanath_Swami/Lectures/00_-_Year_wise/Devotional_Nectar_-_1993/1993-019_Death_Means_Eternal_Life_SB-10_20_47-48_Mumbai_-_Radhanath_Swami_1993-01-18_IDesireTree.mp3", "1993-019_Death_Means_Eternal_Life_SB-10_20_47-48_Mumbai_-_Radhanath_Swami_1993-01-18_IDesireTree.mp3")</f>
        <v>1993-019_Death_Means_Eternal_Life_SB-10_20_47-48_Mumbai_-_Radhanath_Swami_1993-01-18_IDesireTree.mp3</v>
      </c>
      <c r="D536" s="24"/>
      <c r="E536" s="24"/>
    </row>
    <row r="537">
      <c r="A537" s="25" t="s">
        <v>18352</v>
      </c>
      <c r="B537" s="25" t="s">
        <v>18357</v>
      </c>
      <c r="C537" s="26" t="str">
        <f>HYPERLINK("https://audio.iskcondesiretree.com/02_-_ISKCON_Swamis/ISKCON_Swamis_-_R_to_Y/His_Holiness_Radhanath_Swami/Lectures/00_-_Year_wise/Devotional_Nectar_-_1993/1993-020_Valentines_Day_Lecture_-_Radhanath_Swami_1993-02-14_IDesireTree.mp3", "1993-020_Valentines_Day_Lecture_-_Radhanath_Swami_1993-02-14_IDesireTree.mp3")</f>
        <v>1993-020_Valentines_Day_Lecture_-_Radhanath_Swami_1993-02-14_IDesireTree.mp3</v>
      </c>
      <c r="D537" s="24"/>
      <c r="E537" s="24"/>
    </row>
    <row r="538">
      <c r="A538" s="25" t="s">
        <v>18352</v>
      </c>
      <c r="B538" s="25" t="s">
        <v>18357</v>
      </c>
      <c r="C538" s="26" t="str">
        <f>HYPERLINK("https://audio.iskcondesiretree.com/02_-_ISKCON_Swamis/ISKCON_Swamis_-_R_to_Y/His_Holiness_Radhanath_Swami/Lectures/00_-_Year_wise/Devotional_Nectar_-_1993/1993-021_Athens_BG-10_07_-_Radhanath_Swami_1993-03-10_IDesireTree.mp3", "1993-021_Athens_BG-10_07_-_Radhanath_Swami_1993-03-10_IDesireTree.mp3")</f>
        <v>1993-021_Athens_BG-10_07_-_Radhanath_Swami_1993-03-10_IDesireTree.mp3</v>
      </c>
      <c r="D538" s="24"/>
      <c r="E538" s="24"/>
    </row>
    <row r="539">
      <c r="A539" s="25" t="s">
        <v>18352</v>
      </c>
      <c r="B539" s="25" t="s">
        <v>18357</v>
      </c>
      <c r="C539" s="26" t="str">
        <f>HYPERLINK("https://audio.iskcondesiretree.com/02_-_ISKCON_Swamis/ISKCON_Swamis_-_R_to_Y/His_Holiness_Radhanath_Swami/Lectures/00_-_Year_wise/Devotional_Nectar_-_1993/1993-022_Humble_Service_Attitude_SB-03_15_33_Vrindavan_-_Radhanath_Swami_1993-03-19_IDesireTree.mp3", "1993-022_Humble_Service_Attitude_SB-03_15_33_Vrindavan_-_Radhanath_Swami_1993-03-19_IDesireTree.mp3")</f>
        <v>1993-022_Humble_Service_Attitude_SB-03_15_33_Vrindavan_-_Radhanath_Swami_1993-03-19_IDesireTree.mp3</v>
      </c>
      <c r="D539" s="24"/>
      <c r="E539" s="24"/>
    </row>
    <row r="540">
      <c r="A540" s="25" t="s">
        <v>18352</v>
      </c>
      <c r="B540" s="25" t="s">
        <v>18357</v>
      </c>
      <c r="C540" s="26" t="str">
        <f>HYPERLINK("https://audio.iskcondesiretree.com/02_-_ISKCON_Swamis/ISKCON_Swamis_-_R_to_Y/His_Holiness_Radhanath_Swami/Lectures/00_-_Year_wise/Devotional_Nectar_-_1993/1993-023_True_Glorification_Of_Guru_SB-03_16_01-09_Vrindavan_-_20-03-93_IDesireTree.mp3", "1993-023_True_Glorification_Of_Guru_SB-03_16_01-09_Vrindavan_-_20-03-93_IDesireTree.mp3")</f>
        <v>1993-023_True_Glorification_Of_Guru_SB-03_16_01-09_Vrindavan_-_20-03-93_IDesireTree.mp3</v>
      </c>
      <c r="D540" s="24"/>
      <c r="E540" s="24"/>
    </row>
    <row r="541">
      <c r="A541" s="25" t="s">
        <v>18352</v>
      </c>
      <c r="B541" s="25" t="s">
        <v>18357</v>
      </c>
      <c r="C541" s="26" t="str">
        <f>HYPERLINK("https://audio.iskcondesiretree.com/02_-_ISKCON_Swamis/ISKCON_Swamis_-_R_to_Y/His_Holiness_Radhanath_Swami/Lectures/00_-_Year_wise/Devotional_Nectar_-_1993/1993-024_Power_Of_Krishna_Consciousness_SB-03_16_31_Barsana_-_22-03-93_IDesireTree.mp3", "1993-024_Power_Of_Krishna_Consciousness_SB-03_16_31_Barsana_-_22-03-93_IDesireTree.mp3")</f>
        <v>1993-024_Power_Of_Krishna_Consciousness_SB-03_16_31_Barsana_-_22-03-93_IDesireTree.mp3</v>
      </c>
      <c r="D541" s="24"/>
      <c r="E541" s="24"/>
    </row>
    <row r="542">
      <c r="A542" s="25" t="s">
        <v>18352</v>
      </c>
      <c r="B542" s="25" t="s">
        <v>18357</v>
      </c>
      <c r="C542" s="26" t="str">
        <f>HYPERLINK("https://audio.iskcondesiretree.com/02_-_ISKCON_Swamis/ISKCON_Swamis_-_R_to_Y/His_Holiness_Radhanath_Swami/Lectures/00_-_Year_wise/Devotional_Nectar_-_1993/1993-025_Blessed_Age_Of_Kaliyuga_Lecture_Mumbai_-_Radhanath_Swami_1993-03-23_IDesireTree.mp3", "1993-025_Blessed_Age_Of_Kaliyuga_Lecture_Mumbai_-_Radhanath_Swami_1993-03-23_IDesireTree.mp3")</f>
        <v>1993-025_Blessed_Age_Of_Kaliyuga_Lecture_Mumbai_-_Radhanath_Swami_1993-03-23_IDesireTree.mp3</v>
      </c>
      <c r="D542" s="24"/>
      <c r="E542" s="24"/>
    </row>
    <row r="543">
      <c r="A543" s="25" t="s">
        <v>18352</v>
      </c>
      <c r="B543" s="25" t="s">
        <v>18357</v>
      </c>
      <c r="C543" s="26" t="str">
        <f>HYPERLINK("https://audio.iskcondesiretree.com/02_-_ISKCON_Swamis/ISKCON_Swamis_-_R_to_Y/His_Holiness_Radhanath_Swami/Lectures/00_-_Year_wise/Devotional_Nectar_-_1993/1993-026_When_Ego_Is_Attacked_SB-10_25_01-02_-_Radhanath_Swami_1993-03-24_IDesireTree.mp3", "1993-026_When_Ego_Is_Attacked_SB-10_25_01-02_-_Radhanath_Swami_1993-03-24_IDesireTree.mp3")</f>
        <v>1993-026_When_Ego_Is_Attacked_SB-10_25_01-02_-_Radhanath_Swami_1993-03-24_IDesireTree.mp3</v>
      </c>
      <c r="D543" s="24"/>
      <c r="E543" s="24"/>
    </row>
    <row r="544">
      <c r="A544" s="25" t="s">
        <v>18352</v>
      </c>
      <c r="B544" s="25" t="s">
        <v>18357</v>
      </c>
      <c r="C544" s="26" t="str">
        <f>HYPERLINK("https://audio.iskcondesiretree.com/02_-_ISKCON_Swamis/ISKCON_Swamis_-_R_to_Y/His_Holiness_Radhanath_Swami/Lectures/00_-_Year_wise/Devotional_Nectar_-_1993/1993-027_A_Prison_House_Without_Walls_SB-10_25_03-05_-_Radhanath_Swami_1993-03-25_IDesireTree.mp3", "1993-027_A_Prison_House_Without_Walls_SB-10_25_03-05_-_Radhanath_Swami_1993-03-25_IDesireTree.mp3")</f>
        <v>1993-027_A_Prison_House_Without_Walls_SB-10_25_03-05_-_Radhanath_Swami_1993-03-25_IDesireTree.mp3</v>
      </c>
      <c r="D544" s="24"/>
      <c r="E544" s="24"/>
    </row>
    <row r="545">
      <c r="A545" s="25" t="s">
        <v>18352</v>
      </c>
      <c r="B545" s="25" t="s">
        <v>18357</v>
      </c>
      <c r="C545" s="26" t="str">
        <f>HYPERLINK("https://audio.iskcondesiretree.com/02_-_ISKCON_Swamis/ISKCON_Swamis_-_R_to_Y/His_Holiness_Radhanath_Swami/Lectures/00_-_Year_wise/Devotional_Nectar_-_1993/1993-028_Lord_Krsna_Wants_to_Purify_His_Devotee_SB-10_25_07-08_-_26-03-93_IDesireTree.mp3", "1993-028_Lord_Krsna_Wants_to_Purify_His_Devotee_SB-10_25_07-08_-_26-03-93_IDesireTree.mp3")</f>
        <v>1993-028_Lord_Krsna_Wants_to_Purify_His_Devotee_SB-10_25_07-08_-_26-03-93_IDesireTree.mp3</v>
      </c>
      <c r="D545" s="24"/>
      <c r="E545" s="24"/>
    </row>
    <row r="546">
      <c r="A546" s="25" t="s">
        <v>18352</v>
      </c>
      <c r="B546" s="25" t="s">
        <v>18357</v>
      </c>
      <c r="C546" s="26" t="str">
        <f>HYPERLINK("https://audio.iskcondesiretree.com/02_-_ISKCON_Swamis/ISKCON_Swamis_-_R_to_Y/His_Holiness_Radhanath_Swami/Lectures/00_-_Year_wise/Devotional_Nectar_-_1993/1993-029_Purpose_Of_Creation_SB-02_09_36_-_Radhanath_Swami_1993-03-26_IDesireTree.mp3", "1993-029_Purpose_Of_Creation_SB-02_09_36_-_Radhanath_Swami_1993-03-26_IDesireTree.mp3")</f>
        <v>1993-029_Purpose_Of_Creation_SB-02_09_36_-_Radhanath_Swami_1993-03-26_IDesireTree.mp3</v>
      </c>
      <c r="D546" s="24"/>
      <c r="E546" s="24"/>
    </row>
    <row r="547">
      <c r="A547" s="25" t="s">
        <v>18352</v>
      </c>
      <c r="B547" s="25" t="s">
        <v>18357</v>
      </c>
      <c r="C547" s="26" t="str">
        <f>HYPERLINK("https://audio.iskcondesiretree.com/02_-_ISKCON_Swamis/ISKCON_Swamis_-_R_to_Y/His_Holiness_Radhanath_Swami/Lectures/00_-_Year_wise/Devotional_Nectar_-_1993/1993-031_Accept_Lord_Krishna%27s_Mercy_SB-10_25_11-13_Mumbai_-_27-03-93_IDesireTree.mp3", "1993-031_Accept_Lord_Krishna%27s_Mercy_SB-10_25_11-13_Mumbai_-_27-03-93_IDesireTree.mp3")</f>
        <v>1993-031_Accept_Lord_Krishna%27s_Mercy_SB-10_25_11-13_Mumbai_-_27-03-93_IDesireTree.mp3</v>
      </c>
      <c r="D547" s="24"/>
      <c r="E547" s="24"/>
    </row>
    <row r="548">
      <c r="A548" s="25" t="s">
        <v>18352</v>
      </c>
      <c r="B548" s="25" t="s">
        <v>18357</v>
      </c>
      <c r="C548" s="26" t="str">
        <f>HYPERLINK("https://audio.iskcondesiretree.com/02_-_ISKCON_Swamis/ISKCON_Swamis_-_R_to_Y/His_Holiness_Radhanath_Swami/Lectures/00_-_Year_wise/Devotional_Nectar_-_1993/1993-032_Following_In_Their_Footsteps_BG-03_21_Mumbai_-_Radhanath_Swami_1993-03-28_IDesireTree.mp3", "1993-032_Following_In_Their_Footsteps_BG-03_21_Mumbai_-_Radhanath_Swami_1993-03-28_IDesireTree.mp3")</f>
        <v>1993-032_Following_In_Their_Footsteps_BG-03_21_Mumbai_-_Radhanath_Swami_1993-03-28_IDesireTree.mp3</v>
      </c>
      <c r="D548" s="24"/>
      <c r="E548" s="24"/>
    </row>
    <row r="549">
      <c r="A549" s="25" t="s">
        <v>18352</v>
      </c>
      <c r="B549" s="25" t="s">
        <v>18357</v>
      </c>
      <c r="C549" s="26" t="str">
        <f>HYPERLINK("https://audio.iskcondesiretree.com/02_-_ISKCON_Swamis/ISKCON_Swamis_-_R_to_Y/His_Holiness_Radhanath_Swami/Lectures/00_-_Year_wise/Devotional_Nectar_-_1993/1993-033_Meditation_On_Aarati_Lecture_Mumbai_-_Radhanath_Swami_1993-03-29_IDesireTree.mp3", "1993-033_Meditation_On_Aarati_Lecture_Mumbai_-_Radhanath_Swami_1993-03-29_IDesireTree.mp3")</f>
        <v>1993-033_Meditation_On_Aarati_Lecture_Mumbai_-_Radhanath_Swami_1993-03-29_IDesireTree.mp3</v>
      </c>
      <c r="D549" s="24"/>
      <c r="E549" s="24"/>
    </row>
    <row r="550">
      <c r="A550" s="25" t="s">
        <v>18352</v>
      </c>
      <c r="B550" s="25" t="s">
        <v>18357</v>
      </c>
      <c r="C550" s="26" t="str">
        <f>HYPERLINK("https://audio.iskcondesiretree.com/02_-_ISKCON_Swamis/ISKCON_Swamis_-_R_to_Y/His_Holiness_Radhanath_Swami/Lectures/00_-_Year_wise/Devotional_Nectar_-_1993/1993-034_We_are_not_Indras_SB-10_25_16_17_Mumbai_-_Radhanath_Swami_1993-03-29_IDesireTree.mp3", "1993-034_We_are_not_Indras_SB-10_25_16_17_Mumbai_-_Radhanath_Swami_1993-03-29_IDesireTree.mp3")</f>
        <v>1993-034_We_are_not_Indras_SB-10_25_16_17_Mumbai_-_Radhanath_Swami_1993-03-29_IDesireTree.mp3</v>
      </c>
      <c r="D550" s="24"/>
      <c r="E550" s="24"/>
    </row>
    <row r="551">
      <c r="A551" s="25" t="s">
        <v>18352</v>
      </c>
      <c r="B551" s="25" t="s">
        <v>18357</v>
      </c>
      <c r="C551" s="26" t="str">
        <f>HYPERLINK("https://audio.iskcondesiretree.com/02_-_ISKCON_Swamis/ISKCON_Swamis_-_R_to_Y/His_Holiness_Radhanath_Swami/Lectures/00_-_Year_wise/Devotional_Nectar_-_1993/1993-035_Gopi%27s_Exalted_Love_for_Lord_Krsna_SB-10_25_18_Mumbai_-_30-03-93_IDesireTree.mp3", "1993-035_Gopi%27s_Exalted_Love_for_Lord_Krsna_SB-10_25_18_Mumbai_-_30-03-93_IDesireTree.mp3")</f>
        <v>1993-035_Gopi%27s_Exalted_Love_for_Lord_Krsna_SB-10_25_18_Mumbai_-_30-03-93_IDesireTree.mp3</v>
      </c>
      <c r="D551" s="24"/>
      <c r="E551" s="24"/>
    </row>
    <row r="552">
      <c r="A552" s="25" t="s">
        <v>18352</v>
      </c>
      <c r="B552" s="25" t="s">
        <v>18357</v>
      </c>
      <c r="C552" s="26" t="str">
        <f>HYPERLINK("https://audio.iskcondesiretree.com/02_-_ISKCON_Swamis/ISKCON_Swamis_-_R_to_Y/His_Holiness_Radhanath_Swami/Lectures/00_-_Year_wise/Devotional_Nectar_-_1993/1993-036_Glories_Of_lord_Ramachandra_SB-09_10_04_-_Radhanath_Swami_1993-04-01_IDesireTree.mp3", "1993-036_Glories_Of_lord_Ramachandra_SB-09_10_04_-_Radhanath_Swami_1993-04-01_IDesireTree.mp3")</f>
        <v>1993-036_Glories_Of_lord_Ramachandra_SB-09_10_04_-_Radhanath_Swami_1993-04-01_IDesireTree.mp3</v>
      </c>
      <c r="D552" s="24"/>
      <c r="E552" s="24"/>
    </row>
    <row r="553">
      <c r="A553" s="25" t="s">
        <v>18352</v>
      </c>
      <c r="B553" s="25" t="s">
        <v>18357</v>
      </c>
      <c r="C553" s="26" t="str">
        <f>HYPERLINK("https://audio.iskcondesiretree.com/02_-_ISKCON_Swamis/ISKCON_Swamis_-_R_to_Y/His_Holiness_Radhanath_Swami/Lectures/00_-_Year_wise/Devotional_Nectar_-_1993/1993-037_Lord_Ramachandra%27s_Devotees_Lecture_Mumbai_-_Radhanath_Swami_1993-04-01_IDesireTree.mp3", "1993-037_Lord_Ramachandra%27s_Devotees_Lecture_Mumbai_-_Radhanath_Swami_1993-04-01_IDesireTree.mp3")</f>
        <v>1993-037_Lord_Ramachandra%27s_Devotees_Lecture_Mumbai_-_Radhanath_Swami_1993-04-01_IDesireTree.mp3</v>
      </c>
      <c r="D553" s="24"/>
      <c r="E553" s="24"/>
    </row>
    <row r="554">
      <c r="A554" s="25" t="s">
        <v>18352</v>
      </c>
      <c r="B554" s="25" t="s">
        <v>18357</v>
      </c>
      <c r="C554" s="26" t="str">
        <f>HYPERLINK("https://audio.iskcondesiretree.com/02_-_ISKCON_Swamis/ISKCON_Swamis_-_R_to_Y/His_Holiness_Radhanath_Swami/Lectures/00_-_Year_wise/Devotional_Nectar_-_1993/1993-038_The_Art_Of_Living_SB-09_10_08_Mumbai_-_Radhanath_Swami_1993-04-02_IDesireTree.mp3", "1993-038_The_Art_Of_Living_SB-09_10_08_Mumbai_-_Radhanath_Swami_1993-04-02_IDesireTree.mp3")</f>
        <v>1993-038_The_Art_Of_Living_SB-09_10_08_Mumbai_-_Radhanath_Swami_1993-04-02_IDesireTree.mp3</v>
      </c>
      <c r="D554" s="24"/>
      <c r="E554" s="24"/>
    </row>
    <row r="555">
      <c r="A555" s="25" t="s">
        <v>18352</v>
      </c>
      <c r="B555" s="25" t="s">
        <v>18357</v>
      </c>
      <c r="C555" s="26" t="str">
        <f>HYPERLINK("https://audio.iskcondesiretree.com/02_-_ISKCON_Swamis/ISKCON_Swamis_-_R_to_Y/His_Holiness_Radhanath_Swami/Lectures/00_-_Year_wise/Devotional_Nectar_-_1993/1993-039_Supreme_Protector_SB-10_25_20_-_Radhanath_Swami_1993-04-03_IDesireTree.mp3", "1993-039_Supreme_Protector_SB-10_25_20_-_Radhanath_Swami_1993-04-03_IDesireTree.mp3")</f>
        <v>1993-039_Supreme_Protector_SB-10_25_20_-_Radhanath_Swami_1993-04-03_IDesireTree.mp3</v>
      </c>
      <c r="D555" s="24"/>
      <c r="E555" s="24"/>
    </row>
    <row r="556">
      <c r="A556" s="25" t="s">
        <v>18352</v>
      </c>
      <c r="B556" s="25" t="s">
        <v>18357</v>
      </c>
      <c r="C556" s="26" t="str">
        <f>HYPERLINK("https://audio.iskcondesiretree.com/02_-_ISKCON_Swamis/ISKCON_Swamis_-_R_to_Y/His_Holiness_Radhanath_Swami/Lectures/00_-_Year_wise/Devotional_Nectar_-_1993/1993-040_Power_Of_Preacher_BG-04_15_Mumbai_-_Radhanath_Swami_1993-04-04_IDesireTree.mp3", "1993-040_Power_Of_Preacher_BG-04_15_Mumbai_-_Radhanath_Swami_1993-04-04_IDesireTree.mp3")</f>
        <v>1993-040_Power_Of_Preacher_BG-04_15_Mumbai_-_Radhanath_Swami_1993-04-04_IDesireTree.mp3</v>
      </c>
      <c r="D556" s="24"/>
      <c r="E556" s="24"/>
    </row>
    <row r="557">
      <c r="A557" s="25" t="s">
        <v>18352</v>
      </c>
      <c r="B557" s="25" t="s">
        <v>18357</v>
      </c>
      <c r="C557" s="26" t="str">
        <f>HYPERLINK("https://audio.iskcondesiretree.com/02_-_ISKCON_Swamis/ISKCON_Swamis_-_R_to_Y/His_Holiness_Radhanath_Swami/Lectures/00_-_Year_wise/Devotional_Nectar_-_1993/1993-041_Everything_Is_revealed_By_Krsna%27s_Divine_Grace_SB-10_25_24_Mumbai_-_05-04-93_IDesireTree."&amp;"mp3", "1993-041_Everything_Is_revealed_By_Krsna%27s_Divine_Grace_SB-10_25_24_Mumbai_-_05-04-93_IDesireTree.mp3")</f>
        <v>1993-041_Everything_Is_revealed_By_Krsna%27s_Divine_Grace_SB-10_25_24_Mumbai_-_05-04-93_IDesireTree.mp3</v>
      </c>
      <c r="D557" s="24"/>
      <c r="E557" s="24"/>
    </row>
    <row r="558">
      <c r="A558" s="25" t="s">
        <v>18352</v>
      </c>
      <c r="B558" s="25" t="s">
        <v>18357</v>
      </c>
      <c r="C558" s="26" t="str">
        <f>HYPERLINK("https://audio.iskcondesiretree.com/02_-_ISKCON_Swamis/ISKCON_Swamis_-_R_to_Y/His_Holiness_Radhanath_Swami/Lectures/00_-_Year_wise/Devotional_Nectar_-_1993/1993-042_Pitfalls_on_the_path_Lecture_Mumbai_-_Radhanath_Swami_1993-04-06_IDesireTree.mp3", "1993-042_Pitfalls_on_the_path_Lecture_Mumbai_-_Radhanath_Swami_1993-04-06_IDesireTree.mp3")</f>
        <v>1993-042_Pitfalls_on_the_path_Lecture_Mumbai_-_Radhanath_Swami_1993-04-06_IDesireTree.mp3</v>
      </c>
      <c r="D558" s="24"/>
      <c r="E558" s="24"/>
    </row>
    <row r="559">
      <c r="A559" s="25" t="s">
        <v>18352</v>
      </c>
      <c r="B559" s="25" t="s">
        <v>18357</v>
      </c>
      <c r="C559" s="26" t="str">
        <f>HYPERLINK("https://audio.iskcondesiretree.com/02_-_ISKCON_Swamis/ISKCON_Swamis_-_R_to_Y/His_Holiness_Radhanath_Swami/Lectures/00_-_Year_wise/Devotional_Nectar_-_1993/1993-043_Wonderful_krsna_SB-10_26_01_Mumbai_-_Radhanath_Swami_1993-04-08_IDesireTree.mp3", "1993-043_Wonderful_krsna_SB-10_26_01_Mumbai_-_Radhanath_Swami_1993-04-08_IDesireTree.mp3")</f>
        <v>1993-043_Wonderful_krsna_SB-10_26_01_Mumbai_-_Radhanath_Swami_1993-04-08_IDesireTree.mp3</v>
      </c>
      <c r="D559" s="24"/>
      <c r="E559" s="24"/>
    </row>
    <row r="560">
      <c r="A560" s="25" t="s">
        <v>18352</v>
      </c>
      <c r="B560" s="25" t="s">
        <v>18357</v>
      </c>
      <c r="C560" s="26" t="str">
        <f>HYPERLINK("https://audio.iskcondesiretree.com/02_-_ISKCON_Swamis/ISKCON_Swamis_-_R_to_Y/His_Holiness_Radhanath_Swami/Lectures/00_-_Year_wise/Devotional_Nectar_-_1993/1993-044_Setting_An_Example_SB-03_04_18_Mumbai_-_Radhanath_Swami_1994-04-09_IDesireTree.mp3", "1993-044_Setting_An_Example_SB-03_04_18_Mumbai_-_Radhanath_Swami_1994-04-09_IDesireTree.mp3")</f>
        <v>1993-044_Setting_An_Example_SB-03_04_18_Mumbai_-_Radhanath_Swami_1994-04-09_IDesireTree.mp3</v>
      </c>
      <c r="D560" s="24"/>
      <c r="E560" s="24"/>
    </row>
    <row r="561">
      <c r="A561" s="25" t="s">
        <v>18352</v>
      </c>
      <c r="B561" s="25" t="s">
        <v>18357</v>
      </c>
      <c r="C561" s="26" t="str">
        <f>HYPERLINK("https://audio.iskcondesiretree.com/02_-_ISKCON_Swamis/ISKCON_Swamis_-_R_to_Y/His_Holiness_Radhanath_Swami/Lectures/00_-_Year_wise/Devotional_Nectar_-_1993/1993-045_Kshetra_And_Kshetra-_Jna_BG-13_01-03_Mumbai_-_Radhanath_Swami_1994-04-10_IDesireTree.mp3", "1993-045_Kshetra_And_Kshetra-_Jna_BG-13_01-03_Mumbai_-_Radhanath_Swami_1994-04-10_IDesireTree.mp3")</f>
        <v>1993-045_Kshetra_And_Kshetra-_Jna_BG-13_01-03_Mumbai_-_Radhanath_Swami_1994-04-10_IDesireTree.mp3</v>
      </c>
      <c r="D561" s="24"/>
      <c r="E561" s="24"/>
    </row>
    <row r="562">
      <c r="A562" s="25" t="s">
        <v>18352</v>
      </c>
      <c r="B562" s="25" t="s">
        <v>18357</v>
      </c>
      <c r="C562" s="26" t="str">
        <f>HYPERLINK("https://audio.iskcondesiretree.com/02_-_ISKCON_Swamis/ISKCON_Swamis_-_R_to_Y/His_Holiness_Radhanath_Swami/Lectures/00_-_Year_wise/Devotional_Nectar_-_1993/1993-046_Lord_Balaram_visit_vrindavan_SB_class_Mumbai_-_Radhanath_Swami_1993-04-10_IDesireTree.mp3", "1993-046_Lord_Balaram_visit_vrindavan_SB_class_Mumbai_-_Radhanath_Swami_1993-04-10_IDesireTree.mp3")</f>
        <v>1993-046_Lord_Balaram_visit_vrindavan_SB_class_Mumbai_-_Radhanath_Swami_1993-04-10_IDesireTree.mp3</v>
      </c>
      <c r="D562" s="24"/>
      <c r="E562" s="24"/>
    </row>
    <row r="563">
      <c r="A563" s="25" t="s">
        <v>18352</v>
      </c>
      <c r="B563" s="25" t="s">
        <v>18357</v>
      </c>
      <c r="C563" s="26" t="str">
        <f>HYPERLINK("https://audio.iskcondesiretree.com/02_-_ISKCON_Swamis/ISKCON_Swamis_-_R_to_Y/His_Holiness_Radhanath_Swami/Lectures/00_-_Year_wise/Devotional_Nectar_-_1993/1993-047_Harmonious_Life_Of_Brajabasis_SB-10_26_05-06_Mumbai_-_11-04-93_IDesireTree.mp3", "1993-047_Harmonious_Life_Of_Brajabasis_SB-10_26_05-06_Mumbai_-_11-04-93_IDesireTree.mp3")</f>
        <v>1993-047_Harmonious_Life_Of_Brajabasis_SB-10_26_05-06_Mumbai_-_11-04-93_IDesireTree.mp3</v>
      </c>
      <c r="D563" s="24"/>
      <c r="E563" s="24"/>
    </row>
    <row r="564">
      <c r="A564" s="25" t="s">
        <v>18352</v>
      </c>
      <c r="B564" s="25" t="s">
        <v>18357</v>
      </c>
      <c r="C564" s="26" t="str">
        <f>HYPERLINK("https://audio.iskcondesiretree.com/02_-_ISKCON_Swamis/ISKCON_Swamis_-_R_to_Y/His_Holiness_Radhanath_Swami/Lectures/00_-_Year_wise/Devotional_Nectar_-_1993/1993-048_Inaction_In_Action_Bg-04_17_Mumbai_-_Radhanath_Swami_1993-04-11_IDesireTree.mp3", "1993-048_Inaction_In_Action_Bg-04_17_Mumbai_-_Radhanath_Swami_1993-04-11_IDesireTree.mp3")</f>
        <v>1993-048_Inaction_In_Action_Bg-04_17_Mumbai_-_Radhanath_Swami_1993-04-11_IDesireTree.mp3</v>
      </c>
      <c r="D564" s="24"/>
      <c r="E564" s="24"/>
    </row>
    <row r="565">
      <c r="A565" s="25" t="s">
        <v>18352</v>
      </c>
      <c r="B565" s="25" t="s">
        <v>18357</v>
      </c>
      <c r="C565" s="26" t="str">
        <f>HYPERLINK("https://audio.iskcondesiretree.com/02_-_ISKCON_Swamis/ISKCON_Swamis_-_R_to_Y/His_Holiness_Radhanath_Swami/Lectures/00_-_Year_wise/Devotional_Nectar_-_1993/1993-049_Between_Senses_And_Soul_BG-13_29_Mumbai_-_Radhanath_Swami_1993-04-11_IDesireTree.mp3", "1993-049_Between_Senses_And_Soul_BG-13_29_Mumbai_-_Radhanath_Swami_1993-04-11_IDesireTree.mp3")</f>
        <v>1993-049_Between_Senses_And_Soul_BG-13_29_Mumbai_-_Radhanath_Swami_1993-04-11_IDesireTree.mp3</v>
      </c>
      <c r="D565" s="24"/>
      <c r="E565" s="24"/>
    </row>
    <row r="566">
      <c r="A566" s="25" t="s">
        <v>18352</v>
      </c>
      <c r="B566" s="25" t="s">
        <v>18357</v>
      </c>
      <c r="C566" s="26" t="str">
        <f>HYPERLINK("https://audio.iskcondesiretree.com/02_-_ISKCON_Swamis/ISKCON_Swamis_-_R_to_Y/His_Holiness_Radhanath_Swami/Lectures/00_-_Year_wise/Devotional_Nectar_-_1993/1993-050_Time_And_Tide_Wait_For_None_Lecture_Mumbai_-_Radhanath_Swami_1993-04-13_new_IDesireTree.mp3", "1993-050_Time_And_Tide_Wait_For_None_Lecture_Mumbai_-_Radhanath_Swami_1993-04-13_new_IDesireTree.mp3")</f>
        <v>1993-050_Time_And_Tide_Wait_For_None_Lecture_Mumbai_-_Radhanath_Swami_1993-04-13_new_IDesireTree.mp3</v>
      </c>
      <c r="D566" s="24"/>
      <c r="E566" s="24"/>
    </row>
    <row r="567">
      <c r="A567" s="25" t="s">
        <v>18352</v>
      </c>
      <c r="B567" s="25" t="s">
        <v>18357</v>
      </c>
      <c r="C567" s="26" t="str">
        <f>HYPERLINK("https://audio.iskcondesiretree.com/02_-_ISKCON_Swamis/ISKCON_Swamis_-_R_to_Y/His_Holiness_Radhanath_Swami/Lectures/00_-_Year_wise/Devotional_Nectar_-_1993/1993-051_Purification_Means_SB-10_26_13_-_Radhanath_Swami_1993-04-13_IDesireTree.mp3", "1993-051_Purification_Means_SB-10_26_13_-_Radhanath_Swami_1993-04-13_IDesireTree.mp3")</f>
        <v>1993-051_Purification_Means_SB-10_26_13_-_Radhanath_Swami_1993-04-13_IDesireTree.mp3</v>
      </c>
      <c r="D567" s="24"/>
      <c r="E567" s="24"/>
    </row>
    <row r="568">
      <c r="A568" s="25" t="s">
        <v>18352</v>
      </c>
      <c r="B568" s="25" t="s">
        <v>18357</v>
      </c>
      <c r="C568" s="26" t="str">
        <f>HYPERLINK("https://audio.iskcondesiretree.com/02_-_ISKCON_Swamis/ISKCON_Swamis_-_R_to_Y/His_Holiness_Radhanath_Swami/Lectures/00_-_Year_wise/Devotional_Nectar_-_1993/1993-052_Unmotivated_Unconditional_Love_SB-10_26_14-15_Mumbai_-_14-04-93_IDesireTree.mp3", "1993-052_Unmotivated_Unconditional_Love_SB-10_26_14-15_Mumbai_-_14-04-93_IDesireTree.mp3")</f>
        <v>1993-052_Unmotivated_Unconditional_Love_SB-10_26_14-15_Mumbai_-_14-04-93_IDesireTree.mp3</v>
      </c>
      <c r="D568" s="24"/>
      <c r="E568" s="24"/>
    </row>
    <row r="569">
      <c r="A569" s="25" t="s">
        <v>18352</v>
      </c>
      <c r="B569" s="25" t="s">
        <v>18357</v>
      </c>
      <c r="C569" s="26" t="str">
        <f>HYPERLINK("https://audio.iskcondesiretree.com/02_-_ISKCON_Swamis/ISKCON_Swamis_-_R_to_Y/His_Holiness_Radhanath_Swami/Lectures/00_-_Year_wise/Devotional_Nectar_-_1993/1993-053_Need_To_Change_Consciousness_BG-07_05_Mumbai_-_Radhanath_Swami_1993-04-14_IDesireTree.mp3", "1993-053_Need_To_Change_Consciousness_BG-07_05_Mumbai_-_Radhanath_Swami_1993-04-14_IDesireTree.mp3")</f>
        <v>1993-053_Need_To_Change_Consciousness_BG-07_05_Mumbai_-_Radhanath_Swami_1993-04-14_IDesireTree.mp3</v>
      </c>
      <c r="D569" s="24"/>
      <c r="E569" s="24"/>
    </row>
    <row r="570">
      <c r="A570" s="25" t="s">
        <v>18352</v>
      </c>
      <c r="B570" s="25" t="s">
        <v>18357</v>
      </c>
      <c r="C570" s="26" t="str">
        <f>HYPERLINK("https://audio.iskcondesiretree.com/02_-_ISKCON_Swamis/ISKCON_Swamis_-_R_to_Y/His_Holiness_Radhanath_Swami/Lectures/00_-_Year_wise/Devotional_Nectar_-_1993/1993-054_Incarnation_Foretold_SB-10_26_16-21_Mumbai_-_Radhanath_Swami_1993-04-15_IDesireTree.mp3", "1993-054_Incarnation_Foretold_SB-10_26_16-21_Mumbai_-_Radhanath_Swami_1993-04-15_IDesireTree.mp3")</f>
        <v>1993-054_Incarnation_Foretold_SB-10_26_16-21_Mumbai_-_Radhanath_Swami_1993-04-15_IDesireTree.mp3</v>
      </c>
      <c r="D570" s="24"/>
      <c r="E570" s="24"/>
    </row>
    <row r="571">
      <c r="A571" s="25" t="s">
        <v>18352</v>
      </c>
      <c r="B571" s="25" t="s">
        <v>18357</v>
      </c>
      <c r="C571" s="26" t="str">
        <f>HYPERLINK("https://audio.iskcondesiretree.com/02_-_ISKCON_Swamis/ISKCON_Swamis_-_R_to_Y/His_Holiness_Radhanath_Swami/Lectures/00_-_Year_wise/Devotional_Nectar_-_1993/1993-055_Bhaktivinod_Thakur%27s_Life_Story_Lecture_Mumbai_-_Radhanath_Swami_1993-04-16_IDesireTree.m"&amp;"p3", "1993-055_Bhaktivinod_Thakur%27s_Life_Story_Lecture_Mumbai_-_Radhanath_Swami_1993-04-16_IDesireTree.mp3")</f>
        <v>1993-055_Bhaktivinod_Thakur%27s_Life_Story_Lecture_Mumbai_-_Radhanath_Swami_1993-04-16_IDesireTree.mp3</v>
      </c>
      <c r="D571" s="24"/>
      <c r="E571" s="24"/>
    </row>
    <row r="572">
      <c r="A572" s="25" t="s">
        <v>18352</v>
      </c>
      <c r="B572" s="25" t="s">
        <v>18357</v>
      </c>
      <c r="C572" s="26" t="str">
        <f>HYPERLINK("https://audio.iskcondesiretree.com/02_-_ISKCON_Swamis/ISKCON_Swamis_-_R_to_Y/His_Holiness_Radhanath_Swami/Lectures/00_-_Year_wise/Devotional_Nectar_-_1993/1993-056_Talk_With_Chinmaya_Mission_Boys_Lecture_Mumbai_-_Radhanath_Swami_1993-04-17_IDesireTree.mp3", "1993-056_Talk_With_Chinmaya_Mission_Boys_Lecture_Mumbai_-_Radhanath_Swami_1993-04-17_IDesireTree.mp3")</f>
        <v>1993-056_Talk_With_Chinmaya_Mission_Boys_Lecture_Mumbai_-_Radhanath_Swami_1993-04-17_IDesireTree.mp3</v>
      </c>
      <c r="D572" s="24"/>
      <c r="E572" s="24"/>
    </row>
    <row r="573">
      <c r="A573" s="25" t="s">
        <v>18352</v>
      </c>
      <c r="B573" s="25" t="s">
        <v>18357</v>
      </c>
      <c r="C573" s="26" t="str">
        <f>HYPERLINK("https://audio.iskcondesiretree.com/02_-_ISKCON_Swamis/ISKCON_Swamis_-_R_to_Y/His_Holiness_Radhanath_Swami/Lectures/00_-_Year_wise/Devotional_Nectar_-_1993/1993-057_To_Be_Detached_SB-03_29_70-11_Mumbai_-_Radhanath_Swami_1993-04-17_IDesireTree.mp3", "1993-057_To_Be_Detached_SB-03_29_70-11_Mumbai_-_Radhanath_Swami_1993-04-17_IDesireTree.mp3")</f>
        <v>1993-057_To_Be_Detached_SB-03_29_70-11_Mumbai_-_Radhanath_Swami_1993-04-17_IDesireTree.mp3</v>
      </c>
      <c r="D573" s="24"/>
      <c r="E573" s="24"/>
    </row>
    <row r="574">
      <c r="A574" s="25" t="s">
        <v>18352</v>
      </c>
      <c r="B574" s="25" t="s">
        <v>18357</v>
      </c>
      <c r="C574" s="26" t="str">
        <f>HYPERLINK("https://audio.iskcondesiretree.com/02_-_ISKCON_Swamis/ISKCON_Swamis_-_R_to_Y/His_Holiness_Radhanath_Swami/Lectures/00_-_Year_wise/Devotional_Nectar_-_1993/1993-058_The_Only_Safe_Place_SB-10_26_21_Mumbai_-_Radhanath_Swami_1993-04-17_IDesireTree.mp3", "1993-058_The_Only_Safe_Place_SB-10_26_21_Mumbai_-_Radhanath_Swami_1993-04-17_IDesireTree.mp3")</f>
        <v>1993-058_The_Only_Safe_Place_SB-10_26_21_Mumbai_-_Radhanath_Swami_1993-04-17_IDesireTree.mp3</v>
      </c>
      <c r="D574" s="24"/>
      <c r="E574" s="24"/>
    </row>
    <row r="575">
      <c r="A575" s="25" t="s">
        <v>18352</v>
      </c>
      <c r="B575" s="25" t="s">
        <v>18357</v>
      </c>
      <c r="C575" s="26" t="str">
        <f>HYPERLINK("https://audio.iskcondesiretree.com/02_-_ISKCON_Swamis/ISKCON_Swamis_-_R_to_Y/His_Holiness_Radhanath_Swami/Lectures/00_-_Year_wise/Devotional_Nectar_-_1993/1993-059_Secret_Of_Success_BG-18_66_Mumbai_-_Radhanath_Swami_1993-04-18_IDesireTree.mp3", "1993-059_Secret_Of_Success_BG-18_66_Mumbai_-_Radhanath_Swami_1993-04-18_IDesireTree.mp3")</f>
        <v>1993-059_Secret_Of_Success_BG-18_66_Mumbai_-_Radhanath_Swami_1993-04-18_IDesireTree.mp3</v>
      </c>
      <c r="D575" s="24"/>
      <c r="E575" s="24"/>
    </row>
    <row r="576">
      <c r="A576" s="25" t="s">
        <v>18352</v>
      </c>
      <c r="B576" s="25" t="s">
        <v>18357</v>
      </c>
      <c r="C576" s="26" t="str">
        <f>HYPERLINK("https://audio.iskcondesiretree.com/02_-_ISKCON_Swamis/ISKCON_Swamis_-_R_to_Y/His_Holiness_Radhanath_Swami/Lectures/00_-_Year_wise/Devotional_Nectar_-_1993/1993-060_Hearing_And_Absorbing_BG-07_01-03_Mumbai_-_Radhanath_Swami_1993-04-18_IDesireTree.mp3", "1993-060_Hearing_And_Absorbing_BG-07_01-03_Mumbai_-_Radhanath_Swami_1993-04-18_IDesireTree.mp3")</f>
        <v>1993-060_Hearing_And_Absorbing_BG-07_01-03_Mumbai_-_Radhanath_Swami_1993-04-18_IDesireTree.mp3</v>
      </c>
      <c r="D576" s="24"/>
      <c r="E576" s="24"/>
    </row>
    <row r="577">
      <c r="A577" s="25" t="s">
        <v>18352</v>
      </c>
      <c r="B577" s="25" t="s">
        <v>18357</v>
      </c>
      <c r="C577" s="26" t="str">
        <f>HYPERLINK("https://audio.iskcondesiretree.com/02_-_ISKCON_Swamis/ISKCON_Swamis_-_R_to_Y/His_Holiness_Radhanath_Swami/Lectures/00_-_Year_wise/Devotional_Nectar_-_1993/1993-061_The_Power_Of_Holyname_Ht_-_BG-05_18_Mumbai_-_Radhanath_Swami_1993-04-19_IDesireTree.mp3", "1993-061_The_Power_Of_Holyname_Ht_-_BG-05_18_Mumbai_-_Radhanath_Swami_1993-04-19_IDesireTree.mp3")</f>
        <v>1993-061_The_Power_Of_Holyname_Ht_-_BG-05_18_Mumbai_-_Radhanath_Swami_1993-04-19_IDesireTree.mp3</v>
      </c>
      <c r="D577" s="24"/>
      <c r="E577" s="24"/>
    </row>
    <row r="578">
      <c r="A578" s="25" t="s">
        <v>18352</v>
      </c>
      <c r="B578" s="25" t="s">
        <v>18357</v>
      </c>
      <c r="C578" s="26" t="str">
        <f>HYPERLINK("https://audio.iskcondesiretree.com/02_-_ISKCON_Swamis/ISKCON_Swamis_-_R_to_Y/His_Holiness_Radhanath_Swami/Lectures/00_-_Year_wise/Devotional_Nectar_-_1993/1993-062_Prestige_To_Be_Purified_SB-10_27_01_Mumbai_-_Radhanath_Swami_1993-04-20_IDesireTree.mp3", "1993-062_Prestige_To_Be_Purified_SB-10_27_01_Mumbai_-_Radhanath_Swami_1993-04-20_IDesireTree.mp3")</f>
        <v>1993-062_Prestige_To_Be_Purified_SB-10_27_01_Mumbai_-_Radhanath_Swami_1993-04-20_IDesireTree.mp3</v>
      </c>
      <c r="D578" s="24"/>
      <c r="E578" s="24"/>
    </row>
    <row r="579">
      <c r="A579" s="25" t="s">
        <v>18352</v>
      </c>
      <c r="B579" s="25" t="s">
        <v>18357</v>
      </c>
      <c r="C579" s="26" t="str">
        <f>HYPERLINK("https://audio.iskcondesiretree.com/02_-_ISKCON_Swamis/ISKCON_Swamis_-_R_to_Y/His_Holiness_Radhanath_Swami/Lectures/00_-_Year_wise/Devotional_Nectar_-_1993/1993-063_The_Perfection_Of_Life_Ht_-_BG-06_18-19_Mumbai_-_Radhanath_Swami_1993-04-20_IDesireTree.mp3", "1993-063_The_Perfection_Of_Life_Ht_-_BG-06_18-19_Mumbai_-_Radhanath_Swami_1993-04-20_IDesireTree.mp3")</f>
        <v>1993-063_The_Perfection_Of_Life_Ht_-_BG-06_18-19_Mumbai_-_Radhanath_Swami_1993-04-20_IDesireTree.mp3</v>
      </c>
      <c r="D579" s="24"/>
      <c r="E579" s="24"/>
    </row>
    <row r="580">
      <c r="A580" s="25" t="s">
        <v>18352</v>
      </c>
      <c r="B580" s="25" t="s">
        <v>18357</v>
      </c>
      <c r="C580" s="26" t="str">
        <f>HYPERLINK("https://audio.iskcondesiretree.com/02_-_ISKCON_Swamis/ISKCON_Swamis_-_R_to_Y/His_Holiness_Radhanath_Swami/Lectures/00_-_Year_wise/Devotional_Nectar_-_1993/1993-064_Three_Gates_To_Hell_BG-16_21-24_Mumbai_-_Radhanath_Swami_1993-04-23_IDesireTree.mp3", "1993-064_Three_Gates_To_Hell_BG-16_21-24_Mumbai_-_Radhanath_Swami_1993-04-23_IDesireTree.mp3")</f>
        <v>1993-064_Three_Gates_To_Hell_BG-16_21-24_Mumbai_-_Radhanath_Swami_1993-04-23_IDesireTree.mp3</v>
      </c>
      <c r="D580" s="24"/>
      <c r="E580" s="24"/>
    </row>
    <row r="581">
      <c r="A581" s="25" t="s">
        <v>18352</v>
      </c>
      <c r="B581" s="25" t="s">
        <v>18357</v>
      </c>
      <c r="C581" s="26" t="str">
        <f>HYPERLINK("https://audio.iskcondesiretree.com/02_-_ISKCON_Swamis/ISKCON_Swamis_-_R_to_Y/His_Holiness_Radhanath_Swami/Lectures/00_-_Year_wise/Devotional_Nectar_-_1993/1993-065_Purifying_Ourselves_Lecture_Mumbai_-_Radhanath_Swami_1993-04-23_IDesireTree.mp3", "1993-065_Purifying_Ourselves_Lecture_Mumbai_-_Radhanath_Swami_1993-04-23_IDesireTree.mp3")</f>
        <v>1993-065_Purifying_Ourselves_Lecture_Mumbai_-_Radhanath_Swami_1993-04-23_IDesireTree.mp3</v>
      </c>
      <c r="D581" s="24"/>
      <c r="E581" s="24"/>
    </row>
    <row r="582">
      <c r="A582" s="25" t="s">
        <v>18352</v>
      </c>
      <c r="B582" s="25" t="s">
        <v>18357</v>
      </c>
      <c r="C582" s="26" t="str">
        <f>HYPERLINK("https://audio.iskcondesiretree.com/02_-_ISKCON_Swamis/ISKCON_Swamis_-_R_to_Y/His_Holiness_Radhanath_Swami/Lectures/00_-_Year_wise/Devotional_Nectar_-_1993/1993-066_Transcendental_Words_Of_Gita_BG-10_19_Mumbai_-_Radhanath_Swami_1993-04-24_IDesireTree.mp3", "1993-066_Transcendental_Words_Of_Gita_BG-10_19_Mumbai_-_Radhanath_Swami_1993-04-24_IDesireTree.mp3")</f>
        <v>1993-066_Transcendental_Words_Of_Gita_BG-10_19_Mumbai_-_Radhanath_Swami_1993-04-24_IDesireTree.mp3</v>
      </c>
      <c r="D582" s="24"/>
      <c r="E582" s="24"/>
    </row>
    <row r="583">
      <c r="A583" s="25" t="s">
        <v>18352</v>
      </c>
      <c r="B583" s="25" t="s">
        <v>18357</v>
      </c>
      <c r="C583" s="26" t="str">
        <f>HYPERLINK("https://audio.iskcondesiretree.com/02_-_ISKCON_Swamis/ISKCON_Swamis_-_R_to_Y/His_Holiness_Radhanath_Swami/Lectures/00_-_Year_wise/Devotional_Nectar_-_1993/1993-067_Death_Is_Knocking_At_The_Door_SB-01_15_21_Mumbai_-_25-04-93_Verify_Verse_-_IDesireTree.mp3", "1993-067_Death_Is_Knocking_At_The_Door_SB-01_15_21_Mumbai_-_25-04-93_Verify_Verse_-_IDesireTree.mp3")</f>
        <v>1993-067_Death_Is_Knocking_At_The_Door_SB-01_15_21_Mumbai_-_25-04-93_Verify_Verse_-_IDesireTree.mp3</v>
      </c>
      <c r="D583" s="24"/>
      <c r="E583" s="24"/>
    </row>
    <row r="584">
      <c r="A584" s="25" t="s">
        <v>18352</v>
      </c>
      <c r="B584" s="25" t="s">
        <v>18357</v>
      </c>
      <c r="C584" s="26" t="str">
        <f>HYPERLINK("https://audio.iskcondesiretree.com/02_-_ISKCON_Swamis/ISKCON_Swamis_-_R_to_Y/His_Holiness_Radhanath_Swami/Lectures/00_-_Year_wise/Devotional_Nectar_-_1993/1993-068_Everything_Emanates_From_Me_BG-10_08_Mumbai_-_Radhanath_Swami_1993-04-25_IDesireTree.mp3", "1993-068_Everything_Emanates_From_Me_BG-10_08_Mumbai_-_Radhanath_Swami_1993-04-25_IDesireTree.mp3")</f>
        <v>1993-068_Everything_Emanates_From_Me_BG-10_08_Mumbai_-_Radhanath_Swami_1993-04-25_IDesireTree.mp3</v>
      </c>
      <c r="D584" s="24"/>
      <c r="E584" s="24"/>
    </row>
    <row r="585">
      <c r="A585" s="25" t="s">
        <v>18352</v>
      </c>
      <c r="B585" s="25" t="s">
        <v>18357</v>
      </c>
      <c r="C585" s="26" t="str">
        <f>HYPERLINK("https://audio.iskcondesiretree.com/02_-_ISKCON_Swamis/ISKCON_Swamis_-_R_to_Y/His_Holiness_Radhanath_Swami/Lectures/00_-_Year_wise/Devotional_Nectar_-_1993/1993-069_Attracting_Our_Youth_Lecture_Mumbai_-_Radhanath_Swami_1993-04-29_IDesireTree.mp3", "1993-069_Attracting_Our_Youth_Lecture_Mumbai_-_Radhanath_Swami_1993-04-29_IDesireTree.mp3")</f>
        <v>1993-069_Attracting_Our_Youth_Lecture_Mumbai_-_Radhanath_Swami_1993-04-29_IDesireTree.mp3</v>
      </c>
      <c r="D585" s="24"/>
      <c r="E585" s="24"/>
    </row>
    <row r="586">
      <c r="A586" s="25" t="s">
        <v>18352</v>
      </c>
      <c r="B586" s="25" t="s">
        <v>18357</v>
      </c>
      <c r="C586" s="26" t="str">
        <f>HYPERLINK("https://audio.iskcondesiretree.com/02_-_ISKCON_Swamis/ISKCON_Swamis_-_R_to_Y/His_Holiness_Radhanath_Swami/Lectures/00_-_Year_wise/Devotional_Nectar_-_1993/1993-070_What_It_Means_To_Be_A_Pure_Devotee_SB-09_10_03_Mumbai_-_1993-04-30_IDesireTree.mp3", "1993-070_What_It_Means_To_Be_A_Pure_Devotee_SB-09_10_03_Mumbai_-_1993-04-30_IDesireTree.mp3")</f>
        <v>1993-070_What_It_Means_To_Be_A_Pure_Devotee_SB-09_10_03_Mumbai_-_1993-04-30_IDesireTree.mp3</v>
      </c>
      <c r="D586" s="24"/>
      <c r="E586" s="24"/>
    </row>
    <row r="587">
      <c r="A587" s="25" t="s">
        <v>18352</v>
      </c>
      <c r="B587" s="25" t="s">
        <v>18357</v>
      </c>
      <c r="C587" s="26" t="str">
        <f>HYPERLINK("https://audio.iskcondesiretree.com/02_-_ISKCON_Swamis/ISKCON_Swamis_-_R_to_Y/His_Holiness_Radhanath_Swami/Lectures/00_-_Year_wise/Devotional_Nectar_-_1993/1993-071_Ego_Purification_SB-10_27_12_14_Mumbai_-_Radhanath_Swami_1993-04-30_IDesireTree.mp3", "1993-071_Ego_Purification_SB-10_27_12_14_Mumbai_-_Radhanath_Swami_1993-04-30_IDesireTree.mp3")</f>
        <v>1993-071_Ego_Purification_SB-10_27_12_14_Mumbai_-_Radhanath_Swami_1993-04-30_IDesireTree.mp3</v>
      </c>
      <c r="D587" s="24"/>
      <c r="E587" s="24"/>
    </row>
    <row r="588">
      <c r="A588" s="25" t="s">
        <v>18352</v>
      </c>
      <c r="B588" s="25" t="s">
        <v>18357</v>
      </c>
      <c r="C588" s="26" t="str">
        <f>HYPERLINK("https://audio.iskcondesiretree.com/02_-_ISKCON_Swamis/ISKCON_Swamis_-_R_to_Y/His_Holiness_Radhanath_Swami/Lectures/00_-_Year_wise/Devotional_Nectar_-_1993/1993-072_Greatness_Of_Jahanava_Devi_Lecture_Mumbai_-_Radhanath_Swami_1993-05-01_IDesireTree.mp3", "1993-072_Greatness_Of_Jahanava_Devi_Lecture_Mumbai_-_Radhanath_Swami_1993-05-01_IDesireTree.mp3")</f>
        <v>1993-072_Greatness_Of_Jahanava_Devi_Lecture_Mumbai_-_Radhanath_Swami_1993-05-01_IDesireTree.mp3</v>
      </c>
      <c r="D588" s="24"/>
      <c r="E588" s="24"/>
    </row>
    <row r="589">
      <c r="A589" s="25" t="s">
        <v>18352</v>
      </c>
      <c r="B589" s="25" t="s">
        <v>18357</v>
      </c>
      <c r="C589" s="26" t="str">
        <f>HYPERLINK("https://audio.iskcondesiretree.com/02_-_ISKCON_Swamis/ISKCON_Swamis_-_R_to_Y/His_Holiness_Radhanath_Swami/Lectures/00_-_Year_wise/Devotional_Nectar_-_1993/1993-073_Devotee_Making_Mistakes_SB-10_27_18-20_Mumbai_-_Radhanath_Swami_1993-05-02_IDesireTree.mp3", "1993-073_Devotee_Making_Mistakes_SB-10_27_18-20_Mumbai_-_Radhanath_Swami_1993-05-02_IDesireTree.mp3")</f>
        <v>1993-073_Devotee_Making_Mistakes_SB-10_27_18-20_Mumbai_-_Radhanath_Swami_1993-05-02_IDesireTree.mp3</v>
      </c>
      <c r="D589" s="24"/>
      <c r="E589" s="24"/>
    </row>
    <row r="590">
      <c r="A590" s="25" t="s">
        <v>18352</v>
      </c>
      <c r="B590" s="25" t="s">
        <v>18357</v>
      </c>
      <c r="C590" s="26" t="str">
        <f>HYPERLINK("https://audio.iskcondesiretree.com/02_-_ISKCON_Swamis/ISKCON_Swamis_-_R_to_Y/His_Holiness_Radhanath_Swami/Lectures/00_-_Year_wise/Devotional_Nectar_-_1993/1993-074_Attaining_Peace_By_Spiritual_Quest_BG-03_12_Mumbai_-_02-05-93_IDesireTree.mp3", "1993-074_Attaining_Peace_By_Spiritual_Quest_BG-03_12_Mumbai_-_02-05-93_IDesireTree.mp3")</f>
        <v>1993-074_Attaining_Peace_By_Spiritual_Quest_BG-03_12_Mumbai_-_02-05-93_IDesireTree.mp3</v>
      </c>
      <c r="D590" s="24"/>
      <c r="E590" s="24"/>
    </row>
    <row r="591">
      <c r="A591" s="25" t="s">
        <v>18352</v>
      </c>
      <c r="B591" s="25" t="s">
        <v>18357</v>
      </c>
      <c r="C591" s="26" t="str">
        <f>HYPERLINK("https://audio.iskcondesiretree.com/02_-_ISKCON_Swamis/ISKCON_Swamis_-_R_to_Y/His_Holiness_Radhanath_Swami/Lectures/00_-_Year_wise/Devotional_Nectar_-_1993/1993-075_Science_Of_Bhakti_BG-12_16_Mumbai_-_Radhanath_Swami_1993-05-02_IDesireTree.mp3", "1993-075_Science_Of_Bhakti_BG-12_16_Mumbai_-_Radhanath_Swami_1993-05-02_IDesireTree.mp3")</f>
        <v>1993-075_Science_Of_Bhakti_BG-12_16_Mumbai_-_Radhanath_Swami_1993-05-02_IDesireTree.mp3</v>
      </c>
      <c r="D591" s="24"/>
      <c r="E591" s="24"/>
    </row>
    <row r="592">
      <c r="A592" s="25" t="s">
        <v>18352</v>
      </c>
      <c r="B592" s="25" t="s">
        <v>18357</v>
      </c>
      <c r="C592" s="26" t="str">
        <f>HYPERLINK("https://audio.iskcondesiretree.com/02_-_ISKCON_Swamis/ISKCON_Swamis_-_R_to_Y/His_Holiness_Radhanath_Swami/Lectures/00_-_Year_wise/Devotional_Nectar_-_1993/1993-076_Chaitanya_Mahaprabhu_And_Iswarpuri_SB-07_06_28_Mumbai_-_04-05-93_IDesireTree.mp3", "1993-076_Chaitanya_Mahaprabhu_And_Iswarpuri_SB-07_06_28_Mumbai_-_04-05-93_IDesireTree.mp3")</f>
        <v>1993-076_Chaitanya_Mahaprabhu_And_Iswarpuri_SB-07_06_28_Mumbai_-_04-05-93_IDesireTree.mp3</v>
      </c>
      <c r="D592" s="24"/>
      <c r="E592" s="24"/>
    </row>
    <row r="593">
      <c r="A593" s="25" t="s">
        <v>18352</v>
      </c>
      <c r="B593" s="25" t="s">
        <v>18357</v>
      </c>
      <c r="C593" s="26" t="str">
        <f>HYPERLINK("https://audio.iskcondesiretree.com/02_-_ISKCON_Swamis/ISKCON_Swamis_-_R_to_Y/His_Holiness_Radhanath_Swami/Lectures/00_-_Year_wise/Devotional_Nectar_-_1993/1993-077_Tricks_of_Maya_SB-10_27_21-23_Mumbai_-_Radhanath_Swami_1993-05-04_IDesireTree.mp3", "1993-077_Tricks_of_Maya_SB-10_27_21-23_Mumbai_-_Radhanath_Swami_1993-05-04_IDesireTree.mp3")</f>
        <v>1993-077_Tricks_of_Maya_SB-10_27_21-23_Mumbai_-_Radhanath_Swami_1993-05-04_IDesireTree.mp3</v>
      </c>
      <c r="D593" s="24"/>
      <c r="E593" s="24"/>
    </row>
    <row r="594">
      <c r="A594" s="25" t="s">
        <v>18352</v>
      </c>
      <c r="B594" s="25" t="s">
        <v>18357</v>
      </c>
      <c r="C594" s="26" t="str">
        <f>HYPERLINK("https://audio.iskcondesiretree.com/02_-_ISKCON_Swamis/ISKCON_Swamis_-_R_to_Y/His_Holiness_Radhanath_Swami/Lectures/00_-_Year_wise/Devotional_Nectar_-_1993/1993-078_Introduction_About_Initiation_Lecture_Mumbai_-_Radhanath_Swami_1993-05-04_IDesireTree.mp3", "1993-078_Introduction_About_Initiation_Lecture_Mumbai_-_Radhanath_Swami_1993-05-04_IDesireTree.mp3")</f>
        <v>1993-078_Introduction_About_Initiation_Lecture_Mumbai_-_Radhanath_Swami_1993-05-04_IDesireTree.mp3</v>
      </c>
      <c r="D594" s="24"/>
      <c r="E594" s="24"/>
    </row>
    <row r="595">
      <c r="A595" s="25" t="s">
        <v>18352</v>
      </c>
      <c r="B595" s="25" t="s">
        <v>18357</v>
      </c>
      <c r="C595" s="26" t="str">
        <f>HYPERLINK("https://audio.iskcondesiretree.com/02_-_ISKCON_Swamis/ISKCON_Swamis_-_R_to_Y/His_Holiness_Radhanath_Swami/Lectures/00_-_Year_wise/Devotional_Nectar_-_1993/1993-079_Learning_To_Take_Shelter_SB-07_09_03-05_Mumbai_-_Radhanath_Swami_1993-05-05_IDesireTree.mp3", "1993-079_Learning_To_Take_Shelter_SB-07_09_03-05_Mumbai_-_Radhanath_Swami_1993-05-05_IDesireTree.mp3")</f>
        <v>1993-079_Learning_To_Take_Shelter_SB-07_09_03-05_Mumbai_-_Radhanath_Swami_1993-05-05_IDesireTree.mp3</v>
      </c>
      <c r="D595" s="24"/>
      <c r="E595" s="24"/>
    </row>
    <row r="596">
      <c r="A596" s="25" t="s">
        <v>18352</v>
      </c>
      <c r="B596" s="25" t="s">
        <v>18357</v>
      </c>
      <c r="C596" s="26" t="str">
        <f>HYPERLINK("https://audio.iskcondesiretree.com/02_-_ISKCON_Swamis/ISKCON_Swamis_-_R_to_Y/His_Holiness_Radhanath_Swami/Lectures/00_-_Year_wise/Devotional_Nectar_-_1993/1993-080_Initiation_Lecture_Lecture_Mumbai_-_Radhanath_Swami_1993-05-05_IDesireTree.mp3", "1993-080_Initiation_Lecture_Lecture_Mumbai_-_Radhanath_Swami_1993-05-05_IDesireTree.mp3")</f>
        <v>1993-080_Initiation_Lecture_Lecture_Mumbai_-_Radhanath_Swami_1993-05-05_IDesireTree.mp3</v>
      </c>
      <c r="D596" s="24"/>
      <c r="E596" s="24"/>
    </row>
    <row r="597">
      <c r="A597" s="25" t="s">
        <v>18352</v>
      </c>
      <c r="B597" s="25" t="s">
        <v>18357</v>
      </c>
      <c r="C597" s="26" t="str">
        <f>HYPERLINK("https://audio.iskcondesiretree.com/02_-_ISKCON_Swamis/ISKCON_Swamis_-_R_to_Y/His_Holiness_Radhanath_Swami/Lectures/00_-_Year_wise/Devotional_Nectar_-_1993/1993-081_Glories_Of_Prahlad_Maharaj_SB-03_27_21_Mumbai_-_Radhanath_Swami_1993-05-05_IDesireTree.mp3", "1993-081_Glories_Of_Prahlad_Maharaj_SB-03_27_21_Mumbai_-_Radhanath_Swami_1993-05-05_IDesireTree.mp3")</f>
        <v>1993-081_Glories_Of_Prahlad_Maharaj_SB-03_27_21_Mumbai_-_Radhanath_Swami_1993-05-05_IDesireTree.mp3</v>
      </c>
      <c r="D597" s="24"/>
      <c r="E597" s="24"/>
    </row>
    <row r="598">
      <c r="A598" s="25" t="s">
        <v>18352</v>
      </c>
      <c r="B598" s="25" t="s">
        <v>18357</v>
      </c>
      <c r="C598" s="26" t="str">
        <f>HYPERLINK("https://audio.iskcondesiretree.com/02_-_ISKCON_Swamis/ISKCON_Swamis_-_R_to_Y/His_Holiness_Radhanath_Swami/Lectures/00_-_Year_wise/Devotional_Nectar_-_1993/1993-082_Lord_Buddha_BG-09_29-05-22_-_Radhanath_Swami_1993-05-06_IDesireTree.mp3", "1993-082_Lord_Buddha_BG-09_29-05-22_-_Radhanath_Swami_1993-05-06_IDesireTree.mp3")</f>
        <v>1993-082_Lord_Buddha_BG-09_29-05-22_-_Radhanath_Swami_1993-05-06_IDesireTree.mp3</v>
      </c>
      <c r="D598" s="24"/>
      <c r="E598" s="24"/>
    </row>
    <row r="599">
      <c r="A599" s="25" t="s">
        <v>18352</v>
      </c>
      <c r="B599" s="25" t="s">
        <v>18357</v>
      </c>
      <c r="C599" s="26" t="str">
        <f>HYPERLINK("https://audio.iskcondesiretree.com/02_-_ISKCON_Swamis/ISKCON_Swamis_-_R_to_Y/His_Holiness_Radhanath_Swami/Lectures/00_-_Year_wise/Devotional_Nectar_-_1993/1993-083_How_To_Attain_Love_Of_God_SB-03_01_04_Mumbai_-_Radhanath_Swami_1993-05-07_IDesireTree.mp3", "1993-083_How_To_Attain_Love_Of_God_SB-03_01_04_Mumbai_-_Radhanath_Swami_1993-05-07_IDesireTree.mp3")</f>
        <v>1993-083_How_To_Attain_Love_Of_God_SB-03_01_04_Mumbai_-_Radhanath_Swami_1993-05-07_IDesireTree.mp3</v>
      </c>
      <c r="D599" s="24"/>
      <c r="E599" s="24"/>
    </row>
    <row r="600">
      <c r="A600" s="25" t="s">
        <v>18352</v>
      </c>
      <c r="B600" s="25" t="s">
        <v>18357</v>
      </c>
      <c r="C600" s="26" t="str">
        <f>HYPERLINK("https://audio.iskcondesiretree.com/02_-_ISKCON_Swamis/ISKCON_Swamis_-_R_to_Y/His_Holiness_Radhanath_Swami/Lectures/00_-_Year_wise/Devotional_Nectar_-_1993/1993-084_Putting_Krishna_In_The_Center_SB-01_02_09_Mumbai_-_08-05-93_IDesireTree.mp3", "1993-084_Putting_Krishna_In_The_Center_SB-01_02_09_Mumbai_-_08-05-93_IDesireTree.mp3")</f>
        <v>1993-084_Putting_Krishna_In_The_Center_SB-01_02_09_Mumbai_-_08-05-93_IDesireTree.mp3</v>
      </c>
      <c r="D600" s="24"/>
      <c r="E600" s="24"/>
    </row>
    <row r="601">
      <c r="A601" s="25" t="s">
        <v>18352</v>
      </c>
      <c r="B601" s="25" t="s">
        <v>18357</v>
      </c>
      <c r="C601" s="26" t="str">
        <f>HYPERLINK("https://audio.iskcondesiretree.com/02_-_ISKCON_Swamis/ISKCON_Swamis_-_R_to_Y/His_Holiness_Radhanath_Swami/Lectures/00_-_Year_wise/Devotional_Nectar_-_1993/1993-085_Supreme_Benediction_SB-10_51_55_Mumbai_-_Radhanath_Swami_1993-05-093_IDesireTree.mp3", "1993-085_Supreme_Benediction_SB-10_51_55_Mumbai_-_Radhanath_Swami_1993-05-093_IDesireTree.mp3")</f>
        <v>1993-085_Supreme_Benediction_SB-10_51_55_Mumbai_-_Radhanath_Swami_1993-05-093_IDesireTree.mp3</v>
      </c>
      <c r="D601" s="24"/>
      <c r="E601" s="24"/>
    </row>
    <row r="602">
      <c r="A602" s="25" t="s">
        <v>18352</v>
      </c>
      <c r="B602" s="25" t="s">
        <v>18357</v>
      </c>
      <c r="C602" s="26" t="str">
        <f>HYPERLINK("https://audio.iskcondesiretree.com/02_-_ISKCON_Swamis/ISKCON_Swamis_-_R_to_Y/His_Holiness_Radhanath_Swami/Lectures/00_-_Year_wise/Devotional_Nectar_-_1993/1993-086_Crazy_Human_Society_SB-01_03_39_Mumbai_-_Radhanath_Swami_1993-05-09_IDesireTree.mp3", "1993-086_Crazy_Human_Society_SB-01_03_39_Mumbai_-_Radhanath_Swami_1993-05-09_IDesireTree.mp3")</f>
        <v>1993-086_Crazy_Human_Society_SB-01_03_39_Mumbai_-_Radhanath_Swami_1993-05-09_IDesireTree.mp3</v>
      </c>
      <c r="D602" s="24"/>
      <c r="E602" s="24"/>
    </row>
    <row r="603">
      <c r="A603" s="25" t="s">
        <v>18352</v>
      </c>
      <c r="B603" s="25" t="s">
        <v>18357</v>
      </c>
      <c r="C603" s="26" t="str">
        <f>HYPERLINK("https://audio.iskcondesiretree.com/02_-_ISKCON_Swamis/ISKCON_Swamis_-_R_to_Y/His_Holiness_Radhanath_Swami/Lectures/00_-_Year_wise/Devotional_Nectar_-_1993/1993-087_Lord_Krishna%27s_Blessing_On_His_Devotees_SB-10_28_17_Mumbai_-_18-05-93_IDesireTree.mp3", "1993-087_Lord_Krishna%27s_Blessing_On_His_Devotees_SB-10_28_17_Mumbai_-_18-05-93_IDesireTree.mp3")</f>
        <v>1993-087_Lord_Krishna%27s_Blessing_On_His_Devotees_SB-10_28_17_Mumbai_-_18-05-93_IDesireTree.mp3</v>
      </c>
      <c r="D603" s="24"/>
      <c r="E603" s="24"/>
    </row>
    <row r="604">
      <c r="A604" s="25" t="s">
        <v>18352</v>
      </c>
      <c r="B604" s="25" t="s">
        <v>18357</v>
      </c>
      <c r="C604" s="26" t="str">
        <f>HYPERLINK("https://audio.iskcondesiretree.com/02_-_ISKCON_Swamis/ISKCON_Swamis_-_R_to_Y/His_Holiness_Radhanath_Swami/Lectures/00_-_Year_wise/Devotional_Nectar_-_1993/1993-088_Preparing_For_Final_Test_SB-01_19_15_-_Radhanath_Swami_1993-05-19_IDesireTree.mp3", "1993-088_Preparing_For_Final_Test_SB-01_19_15_-_Radhanath_Swami_1993-05-19_IDesireTree.mp3")</f>
        <v>1993-088_Preparing_For_Final_Test_SB-01_19_15_-_Radhanath_Swami_1993-05-19_IDesireTree.mp3</v>
      </c>
      <c r="D604" s="24"/>
      <c r="E604" s="24"/>
    </row>
    <row r="605">
      <c r="A605" s="25" t="s">
        <v>18352</v>
      </c>
      <c r="B605" s="25" t="s">
        <v>18357</v>
      </c>
      <c r="C605" s="26" t="str">
        <f>HYPERLINK("https://audio.iskcondesiretree.com/02_-_ISKCON_Swamis/ISKCON_Swamis_-_R_to_Y/His_Holiness_Radhanath_Swami/Lectures/00_-_Year_wise/Devotional_Nectar_-_1993/1993-089_Understanding_Rasa_Lilla_According_To_Parampara_SB-10_29_01_Mumbai_-_19-05-93_IDesireTree.m"&amp;"p3", "1993-089_Understanding_Rasa_Lilla_According_To_Parampara_SB-10_29_01_Mumbai_-_19-05-93_IDesireTree.mp3")</f>
        <v>1993-089_Understanding_Rasa_Lilla_According_To_Parampara_SB-10_29_01_Mumbai_-_19-05-93_IDesireTree.mp3</v>
      </c>
      <c r="D605" s="24"/>
      <c r="E605" s="24"/>
    </row>
    <row r="606">
      <c r="A606" s="25" t="s">
        <v>18352</v>
      </c>
      <c r="B606" s="25" t="s">
        <v>18357</v>
      </c>
      <c r="C606" s="26" t="str">
        <f>HYPERLINK("https://audio.iskcondesiretree.com/02_-_ISKCON_Swamis/ISKCON_Swamis_-_R_to_Y/His_Holiness_Radhanath_Swami/Lectures/00_-_Year_wise/Devotional_Nectar_-_1993/1993-09-24_SB_10-45-42-43_-_Radhanath_Swami_Mumbai.mp3", "1993-09-24_SB_10-45-42-43_-_Radhanath_Swami_Mumbai.mp3")</f>
        <v>1993-09-24_SB_10-45-42-43_-_Radhanath_Swami_Mumbai.mp3</v>
      </c>
      <c r="D606" s="24"/>
      <c r="E606" s="24"/>
    </row>
    <row r="607">
      <c r="A607" s="25" t="s">
        <v>18352</v>
      </c>
      <c r="B607" s="25" t="s">
        <v>18357</v>
      </c>
      <c r="C607" s="26" t="str">
        <f>HYPERLINK("https://audio.iskcondesiretree.com/02_-_ISKCON_Swamis/ISKCON_Swamis_-_R_to_Y/His_Holiness_Radhanath_Swami/Lectures/00_-_Year_wise/Devotional_Nectar_-_1993/1993-090_A_Moment%27s_Mistake_SB-01_03_29_Mumbai_-_Radhanath_Swami_1993-05-20_IDesireTree.mp3", "1993-090_A_Moment%27s_Mistake_SB-01_03_29_Mumbai_-_Radhanath_Swami_1993-05-20_IDesireTree.mp3")</f>
        <v>1993-090_A_Moment%27s_Mistake_SB-01_03_29_Mumbai_-_Radhanath_Swami_1993-05-20_IDesireTree.mp3</v>
      </c>
      <c r="D607" s="24"/>
      <c r="E607" s="24"/>
    </row>
    <row r="608">
      <c r="A608" s="25" t="s">
        <v>18352</v>
      </c>
      <c r="B608" s="25" t="s">
        <v>18357</v>
      </c>
      <c r="C608" s="26" t="str">
        <f>HYPERLINK("https://audio.iskcondesiretree.com/02_-_ISKCON_Swamis/ISKCON_Swamis_-_R_to_Y/His_Holiness_Radhanath_Swami/Lectures/00_-_Year_wise/Devotional_Nectar_-_1993/1993-091_Knowledge_And_Renunciation_SB-03_27_21_Mumbai_-_Radhanath_Swami_1993-05-21_IDesireTree.mp3", "1993-091_Knowledge_And_Renunciation_SB-03_27_21_Mumbai_-_Radhanath_Swami_1993-05-21_IDesireTree.mp3")</f>
        <v>1993-091_Knowledge_And_Renunciation_SB-03_27_21_Mumbai_-_Radhanath_Swami_1993-05-21_IDesireTree.mp3</v>
      </c>
      <c r="D608" s="24"/>
      <c r="E608" s="24"/>
    </row>
    <row r="609">
      <c r="A609" s="25" t="s">
        <v>18352</v>
      </c>
      <c r="B609" s="25" t="s">
        <v>18357</v>
      </c>
      <c r="C609" s="26" t="str">
        <f>HYPERLINK("https://audio.iskcondesiretree.com/02_-_ISKCON_Swamis/ISKCON_Swamis_-_R_to_Y/His_Holiness_Radhanath_Swami/Lectures/00_-_Year_wise/Devotional_Nectar_-_1993/1993-092_Gopis_Highest_Form_Of_Detachment_SB-10_29_04-08_Mumbai_-_22-05-93_IDesireTree.mp3", "1993-092_Gopis_Highest_Form_Of_Detachment_SB-10_29_04-08_Mumbai_-_22-05-93_IDesireTree.mp3")</f>
        <v>1993-092_Gopis_Highest_Form_Of_Detachment_SB-10_29_04-08_Mumbai_-_22-05-93_IDesireTree.mp3</v>
      </c>
      <c r="D609" s="24"/>
      <c r="E609" s="24"/>
    </row>
    <row r="610">
      <c r="A610" s="25" t="s">
        <v>18352</v>
      </c>
      <c r="B610" s="25" t="s">
        <v>18357</v>
      </c>
      <c r="C610" s="26" t="str">
        <f>HYPERLINK("https://audio.iskcondesiretree.com/02_-_ISKCON_Swamis/ISKCON_Swamis_-_R_to_Y/His_Holiness_Radhanath_Swami/Lectures/00_-_Year_wise/Devotional_Nectar_-_1993/1993-093_How_To_Achieve_Satisfaction_Of_The_Self_SB-01_02_05_Mumbai_-_22-05-93_IDesireTree.mp3", "1993-093_How_To_Achieve_Satisfaction_Of_The_Self_SB-01_02_05_Mumbai_-_22-05-93_IDesireTree.mp3")</f>
        <v>1993-093_How_To_Achieve_Satisfaction_Of_The_Self_SB-01_02_05_Mumbai_-_22-05-93_IDesireTree.mp3</v>
      </c>
      <c r="D610" s="24"/>
      <c r="E610" s="24"/>
    </row>
    <row r="611">
      <c r="A611" s="25" t="s">
        <v>18352</v>
      </c>
      <c r="B611" s="25" t="s">
        <v>18357</v>
      </c>
      <c r="C611" s="26" t="str">
        <f>HYPERLINK("https://audio.iskcondesiretree.com/02_-_ISKCON_Swamis/ISKCON_Swamis_-_R_to_Y/His_Holiness_Radhanath_Swami/Lectures/00_-_Year_wise/Devotional_Nectar_-_1993/1993-094_The_Exalted_Position_Of_Gopis_SB-10_29_09-11_Mumbai_-_23-05-93_IDesireTree.mp3", "1993-094_The_Exalted_Position_Of_Gopis_SB-10_29_09-11_Mumbai_-_23-05-93_IDesireTree.mp3")</f>
        <v>1993-094_The_Exalted_Position_Of_Gopis_SB-10_29_09-11_Mumbai_-_23-05-93_IDesireTree.mp3</v>
      </c>
      <c r="D611" s="24"/>
      <c r="E611" s="24"/>
    </row>
    <row r="612">
      <c r="A612" s="25" t="s">
        <v>18352</v>
      </c>
      <c r="B612" s="25" t="s">
        <v>18357</v>
      </c>
      <c r="C612" s="26" t="str">
        <f>HYPERLINK("https://audio.iskcondesiretree.com/02_-_ISKCON_Swamis/ISKCON_Swamis_-_R_to_Y/His_Holiness_Radhanath_Swami/Lectures/00_-_Year_wise/Devotional_Nectar_-_1993/1993-095_Lord_Krishna%27s_Love_For_His_Devotees_SB-01_08_36_Mumbai_-_23-05-93_IDesireTree.mp3", "1993-095_Lord_Krishna%27s_Love_For_His_Devotees_SB-01_08_36_Mumbai_-_23-05-93_IDesireTree.mp3")</f>
        <v>1993-095_Lord_Krishna%27s_Love_For_His_Devotees_SB-01_08_36_Mumbai_-_23-05-93_IDesireTree.mp3</v>
      </c>
      <c r="D612" s="24"/>
      <c r="E612" s="24"/>
    </row>
    <row r="613">
      <c r="A613" s="25" t="s">
        <v>18352</v>
      </c>
      <c r="B613" s="25" t="s">
        <v>18357</v>
      </c>
      <c r="C613" s="26" t="str">
        <f>HYPERLINK("https://audio.iskcondesiretree.com/02_-_ISKCON_Swamis/ISKCON_Swamis_-_R_to_Y/His_Holiness_Radhanath_Swami/Lectures/00_-_Year_wise/Devotional_Nectar_-_1993/1993-096_Worst_Prison_House_SB-02_01_09_Mumbai_-_Radhanath_Swami_1993-05-24_IDesireTree.mp3", "1993-096_Worst_Prison_House_SB-02_01_09_Mumbai_-_Radhanath_Swami_1993-05-24_IDesireTree.mp3")</f>
        <v>1993-096_Worst_Prison_House_SB-02_01_09_Mumbai_-_Radhanath_Swami_1993-05-24_IDesireTree.mp3</v>
      </c>
      <c r="D613" s="24"/>
      <c r="E613" s="24"/>
    </row>
    <row r="614">
      <c r="A614" s="25" t="s">
        <v>18352</v>
      </c>
      <c r="B614" s="25" t="s">
        <v>18357</v>
      </c>
      <c r="C614" s="26" t="str">
        <f>HYPERLINK("https://audio.iskcondesiretree.com/02_-_ISKCON_Swamis/ISKCON_Swamis_-_R_to_Y/His_Holiness_Radhanath_Swami/Lectures/00_-_Year_wise/Devotional_Nectar_-_1993/1993-097_Selfless_Love_For_Others_SB-10_33_26-27_Mumbai_-_Radhanath_Swami_1993-05-24_IDesireTree.mp3", "1993-097_Selfless_Love_For_Others_SB-10_33_26-27_Mumbai_-_Radhanath_Swami_1993-05-24_IDesireTree.mp3")</f>
        <v>1993-097_Selfless_Love_For_Others_SB-10_33_26-27_Mumbai_-_Radhanath_Swami_1993-05-24_IDesireTree.mp3</v>
      </c>
      <c r="D614" s="24"/>
      <c r="E614" s="24"/>
    </row>
    <row r="615">
      <c r="A615" s="25" t="s">
        <v>18352</v>
      </c>
      <c r="B615" s="25" t="s">
        <v>18357</v>
      </c>
      <c r="C615" s="26" t="str">
        <f>HYPERLINK("https://audio.iskcondesiretree.com/02_-_ISKCON_Swamis/ISKCON_Swamis_-_R_to_Y/His_Holiness_Radhanath_Swami/Lectures/00_-_Year_wise/Devotional_Nectar_-_1993/1993-098_Nothing_Is_Ours_BG-02_24_Mumbai_-_Radhanath_Swami_1993-05-25_IDesireTree.mp3", "1993-098_Nothing_Is_Ours_BG-02_24_Mumbai_-_Radhanath_Swami_1993-05-25_IDesireTree.mp3")</f>
        <v>1993-098_Nothing_Is_Ours_BG-02_24_Mumbai_-_Radhanath_Swami_1993-05-25_IDesireTree.mp3</v>
      </c>
      <c r="D615" s="24"/>
      <c r="E615" s="24"/>
    </row>
    <row r="616">
      <c r="A616" s="25" t="s">
        <v>18352</v>
      </c>
      <c r="B616" s="25" t="s">
        <v>18357</v>
      </c>
      <c r="C616" s="26" t="str">
        <f>HYPERLINK("https://audio.iskcondesiretree.com/02_-_ISKCON_Swamis/ISKCON_Swamis_-_R_to_Y/His_Holiness_Radhanath_Swami/Lectures/00_-_Year_wise/Devotional_Nectar_-_1993/1993-099_The_Wealth_Of_Indian_Culture_SB-05_05_05_Mumbai_-_27-05-93_IDesireTree.mp3", "1993-099_The_Wealth_Of_Indian_Culture_SB-05_05_05_Mumbai_-_27-05-93_IDesireTree.mp3")</f>
        <v>1993-099_The_Wealth_Of_Indian_Culture_SB-05_05_05_Mumbai_-_27-05-93_IDesireTree.mp3</v>
      </c>
      <c r="D616" s="24"/>
      <c r="E616" s="24"/>
    </row>
    <row r="617">
      <c r="A617" s="25" t="s">
        <v>18352</v>
      </c>
      <c r="B617" s="25" t="s">
        <v>18357</v>
      </c>
      <c r="C617" s="26" t="str">
        <f>HYPERLINK("https://audio.iskcondesiretree.com/02_-_ISKCON_Swamis/ISKCON_Swamis_-_R_to_Y/His_Holiness_Radhanath_Swami/Lectures/00_-_Year_wise/Devotional_Nectar_-_1993/1993-100_Highest_Form_Of_Renunciation_SB-10_29_14_Mumbai_-_27-05-93_IDesireTree.mp3", "1993-100_Highest_Form_Of_Renunciation_SB-10_29_14_Mumbai_-_27-05-93_IDesireTree.mp3")</f>
        <v>1993-100_Highest_Form_Of_Renunciation_SB-10_29_14_Mumbai_-_27-05-93_IDesireTree.mp3</v>
      </c>
      <c r="D617" s="24"/>
      <c r="E617" s="24"/>
    </row>
    <row r="618">
      <c r="A618" s="25" t="s">
        <v>18352</v>
      </c>
      <c r="B618" s="25" t="s">
        <v>18357</v>
      </c>
      <c r="C618" s="26" t="str">
        <f>HYPERLINK("https://audio.iskcondesiretree.com/02_-_ISKCON_Swamis/ISKCON_Swamis_-_R_to_Y/His_Holiness_Radhanath_Swami/Lectures/00_-_Year_wise/Devotional_Nectar_-_1993/1993-101_Story_Of_Shyamantaka_Jewel_BG-02_44_Mumbai_-_Radhanath_Swami_1993-05-28_IDesireTree.mp3", "1993-101_Story_Of_Shyamantaka_Jewel_BG-02_44_Mumbai_-_Radhanath_Swami_1993-05-28_IDesireTree.mp3")</f>
        <v>1993-101_Story_Of_Shyamantaka_Jewel_BG-02_44_Mumbai_-_Radhanath_Swami_1993-05-28_IDesireTree.mp3</v>
      </c>
      <c r="D618" s="24"/>
      <c r="E618" s="24"/>
    </row>
    <row r="619">
      <c r="A619" s="25" t="s">
        <v>18352</v>
      </c>
      <c r="B619" s="25" t="s">
        <v>18357</v>
      </c>
      <c r="C619" s="26" t="str">
        <f>HYPERLINK("https://audio.iskcondesiretree.com/02_-_ISKCON_Swamis/ISKCON_Swamis_-_R_to_Y/His_Holiness_Radhanath_Swami/Lectures/00_-_Year_wise/Devotional_Nectar_-_1993/1993-102_Marriage_Ceremony_Lecture_Lecture_Mumbai_-_Radhanath_Swami_1993-05-28_IDesireTree.mp3", "1993-102_Marriage_Ceremony_Lecture_Lecture_Mumbai_-_Radhanath_Swami_1993-05-28_IDesireTree.mp3")</f>
        <v>1993-102_Marriage_Ceremony_Lecture_Lecture_Mumbai_-_Radhanath_Swami_1993-05-28_IDesireTree.mp3</v>
      </c>
      <c r="D619" s="24"/>
      <c r="E619" s="24"/>
    </row>
    <row r="620">
      <c r="A620" s="25" t="s">
        <v>18352</v>
      </c>
      <c r="B620" s="25" t="s">
        <v>18357</v>
      </c>
      <c r="C620" s="26" t="str">
        <f>HYPERLINK("https://audio.iskcondesiretree.com/02_-_ISKCON_Swamis/ISKCON_Swamis_-_R_to_Y/His_Holiness_Radhanath_Swami/Lectures/00_-_Year_wise/Devotional_Nectar_-_1993/1993-103_Knowing_Vedic_Principle_Mt_-_Lecture_Palghar_-_29-05-93_IDesireTree.mp3", "1993-103_Knowing_Vedic_Principle_Mt_-_Lecture_Palghar_-_29-05-93_IDesireTree.mp3")</f>
        <v>1993-103_Knowing_Vedic_Principle_Mt_-_Lecture_Palghar_-_29-05-93_IDesireTree.mp3</v>
      </c>
      <c r="D620" s="24"/>
      <c r="E620" s="24"/>
    </row>
    <row r="621">
      <c r="A621" s="25" t="s">
        <v>18352</v>
      </c>
      <c r="B621" s="25" t="s">
        <v>18357</v>
      </c>
      <c r="C621" s="26" t="str">
        <f>HYPERLINK("https://audio.iskcondesiretree.com/02_-_ISKCON_Swamis/ISKCON_Swamis_-_R_to_Y/His_Holiness_Radhanath_Swami/Lectures/00_-_Year_wise/Devotional_Nectar_-_1993/1993-103_Knowing_Vedic_Principle_Mt_-_Lecture_Palghar_-_Radhanath_Swami_1993-05-29_IDesireTree.mp3", "1993-103_Knowing_Vedic_Principle_Mt_-_Lecture_Palghar_-_Radhanath_Swami_1993-05-29_IDesireTree.mp3")</f>
        <v>1993-103_Knowing_Vedic_Principle_Mt_-_Lecture_Palghar_-_Radhanath_Swami_1993-05-29_IDesireTree.mp3</v>
      </c>
      <c r="D621" s="24"/>
      <c r="E621" s="24"/>
    </row>
    <row r="622">
      <c r="A622" s="25" t="s">
        <v>18352</v>
      </c>
      <c r="B622" s="25" t="s">
        <v>18357</v>
      </c>
      <c r="C622" s="26" t="str">
        <f>HYPERLINK("https://audio.iskcondesiretree.com/02_-_ISKCON_Swamis/ISKCON_Swamis_-_R_to_Y/His_Holiness_Radhanath_Swami/Lectures/00_-_Year_wise/Devotional_Nectar_-_1993/1993-104_The_Holy_Name_Is_all_auspicious_Lecture_-_Radhanath_Swami_1993-06-04_IDesireTree.mp3", "1993-104_The_Holy_Name_Is_all_auspicious_Lecture_-_Radhanath_Swami_1993-06-04_IDesireTree.mp3")</f>
        <v>1993-104_The_Holy_Name_Is_all_auspicious_Lecture_-_Radhanath_Swami_1993-06-04_IDesireTree.mp3</v>
      </c>
      <c r="D622" s="24"/>
      <c r="E622" s="24"/>
    </row>
    <row r="623">
      <c r="A623" s="25" t="s">
        <v>18352</v>
      </c>
      <c r="B623" s="25" t="s">
        <v>18357</v>
      </c>
      <c r="C623" s="26" t="str">
        <f>HYPERLINK("https://audio.iskcondesiretree.com/02_-_ISKCON_Swamis/ISKCON_Swamis_-_R_to_Y/His_Holiness_Radhanath_Swami/Lectures/00_-_Year_wise/Devotional_Nectar_-_1993/1993-105_Attachment_To_Devotees_SB-03_25_24_Mumbai_-_Radhanath_Swami_1993-06-05_IDesireTree.mp3", "1993-105_Attachment_To_Devotees_SB-03_25_24_Mumbai_-_Radhanath_Swami_1993-06-05_IDesireTree.mp3")</f>
        <v>1993-105_Attachment_To_Devotees_SB-03_25_24_Mumbai_-_Radhanath_Swami_1993-06-05_IDesireTree.mp3</v>
      </c>
      <c r="D623" s="24"/>
      <c r="E623" s="24"/>
    </row>
    <row r="624">
      <c r="A624" s="25" t="s">
        <v>18352</v>
      </c>
      <c r="B624" s="25" t="s">
        <v>18357</v>
      </c>
      <c r="C624" s="26" t="str">
        <f>HYPERLINK("https://audio.iskcondesiretree.com/02_-_ISKCON_Swamis/ISKCON_Swamis_-_R_to_Y/His_Holiness_Radhanath_Swami/Lectures/00_-_Year_wise/Devotional_Nectar_-_1993/1993-106_Dust_Of_Lotus_Feet_SB-10_29_36_37_Mumbai_-_Radhanath_Swami_1993-06-06_IDesireTree.mp3", "1993-106_Dust_Of_Lotus_Feet_SB-10_29_36_37_Mumbai_-_Radhanath_Swami_1993-06-06_IDesireTree.mp3")</f>
        <v>1993-106_Dust_Of_Lotus_Feet_SB-10_29_36_37_Mumbai_-_Radhanath_Swami_1993-06-06_IDesireTree.mp3</v>
      </c>
      <c r="D624" s="24"/>
      <c r="E624" s="24"/>
    </row>
    <row r="625">
      <c r="A625" s="25" t="s">
        <v>18352</v>
      </c>
      <c r="B625" s="25" t="s">
        <v>18357</v>
      </c>
      <c r="C625" s="26" t="str">
        <f>HYPERLINK("https://audio.iskcondesiretree.com/02_-_ISKCON_Swamis/ISKCON_Swamis_-_R_to_Y/His_Holiness_Radhanath_Swami/Lectures/00_-_Year_wise/Devotional_Nectar_-_1993/1993-107_Story_Of_Lord_Jagannath_BG-13_17_Mumbai_-_Radhanath_Swami_1993-06-06_IDesireTree.mp3", "1993-107_Story_Of_Lord_Jagannath_BG-13_17_Mumbai_-_Radhanath_Swami_1993-06-06_IDesireTree.mp3")</f>
        <v>1993-107_Story_Of_Lord_Jagannath_BG-13_17_Mumbai_-_Radhanath_Swami_1993-06-06_IDesireTree.mp3</v>
      </c>
      <c r="D625" s="24"/>
      <c r="E625" s="24"/>
    </row>
    <row r="626">
      <c r="A626" s="25" t="s">
        <v>18352</v>
      </c>
      <c r="B626" s="25" t="s">
        <v>18357</v>
      </c>
      <c r="C626" s="26" t="str">
        <f>HYPERLINK("https://audio.iskcondesiretree.com/02_-_ISKCON_Swamis/ISKCON_Swamis_-_R_to_Y/His_Holiness_Radhanath_Swami/Lectures/00_-_Year_wise/Devotional_Nectar_-_1993/1993-108_Greatness_Of_Vedic_Culture_SB-01_02_25_Mumbai_-_Radhanath_Swami_1993-06-06_IDesireTree.mp3", "1993-108_Greatness_Of_Vedic_Culture_SB-01_02_25_Mumbai_-_Radhanath_Swami_1993-06-06_IDesireTree.mp3")</f>
        <v>1993-108_Greatness_Of_Vedic_Culture_SB-01_02_25_Mumbai_-_Radhanath_Swami_1993-06-06_IDesireTree.mp3</v>
      </c>
      <c r="D626" s="24"/>
      <c r="E626" s="24"/>
    </row>
    <row r="627">
      <c r="A627" s="25" t="s">
        <v>18352</v>
      </c>
      <c r="B627" s="25" t="s">
        <v>18357</v>
      </c>
      <c r="C627" s="26" t="str">
        <f>HYPERLINK("https://audio.iskcondesiretree.com/02_-_ISKCON_Swamis/ISKCON_Swamis_-_R_to_Y/His_Holiness_Radhanath_Swami/Lectures/00_-_Year_wise/Devotional_Nectar_-_1993/1993-109_Each_Test_Is_Important_BG-04_39_Mumbai_-_Radhanath_Swami_1993-06-07_IDesireTree.mp3", "1993-109_Each_Test_Is_Important_BG-04_39_Mumbai_-_Radhanath_Swami_1993-06-07_IDesireTree.mp3")</f>
        <v>1993-109_Each_Test_Is_Important_BG-04_39_Mumbai_-_Radhanath_Swami_1993-06-07_IDesireTree.mp3</v>
      </c>
      <c r="D627" s="24"/>
      <c r="E627" s="24"/>
    </row>
    <row r="628">
      <c r="A628" s="25" t="s">
        <v>18352</v>
      </c>
      <c r="B628" s="25" t="s">
        <v>18357</v>
      </c>
      <c r="C628" s="26" t="str">
        <f>HYPERLINK("https://audio.iskcondesiretree.com/02_-_ISKCON_Swamis/ISKCON_Swamis_-_R_to_Y/His_Holiness_Radhanath_Swami/Lectures/00_-_Year_wise/Devotional_Nectar_-_1993/1993-110_To_Be_Greedy_For_Krishna_SB-10_29_39_Mumbai_-_Radhanath_Swami_1993-06-08_IDesireTree.mp3", "1993-110_To_Be_Greedy_For_Krishna_SB-10_29_39_Mumbai_-_Radhanath_Swami_1993-06-08_IDesireTree.mp3")</f>
        <v>1993-110_To_Be_Greedy_For_Krishna_SB-10_29_39_Mumbai_-_Radhanath_Swami_1993-06-08_IDesireTree.mp3</v>
      </c>
      <c r="D628" s="24"/>
      <c r="E628" s="24"/>
    </row>
    <row r="629">
      <c r="A629" s="25" t="s">
        <v>18352</v>
      </c>
      <c r="B629" s="25" t="s">
        <v>18357</v>
      </c>
      <c r="C629" s="26" t="str">
        <f>HYPERLINK("https://audio.iskcondesiretree.com/02_-_ISKCON_Swamis/ISKCON_Swamis_-_R_to_Y/His_Holiness_Radhanath_Swami/Lectures/00_-_Year_wise/Devotional_Nectar_-_1993/1993-111_Utilising_Free_Will_In_Service_Of_Krishna_SB-02_09_34_Mumbai_-_08-06-93_IDesireTree.mp3", "1993-111_Utilising_Free_Will_In_Service_Of_Krishna_SB-02_09_34_Mumbai_-_08-06-93_IDesireTree.mp3")</f>
        <v>1993-111_Utilising_Free_Will_In_Service_Of_Krishna_SB-02_09_34_Mumbai_-_08-06-93_IDesireTree.mp3</v>
      </c>
      <c r="D629" s="24"/>
      <c r="E629" s="24"/>
    </row>
    <row r="630">
      <c r="A630" s="25" t="s">
        <v>18352</v>
      </c>
      <c r="B630" s="25" t="s">
        <v>18357</v>
      </c>
      <c r="C630" s="26" t="str">
        <f>HYPERLINK("https://audio.iskcondesiretree.com/02_-_ISKCON_Swamis/ISKCON_Swamis_-_R_to_Y/His_Holiness_Radhanath_Swami/Lectures/00_-_Year_wise/Devotional_Nectar_-_1993/1993-112_Ideal_Leadership_SB-05_01_07_MUmbai_-_Radhanath_Swami_1993-06-09_IDesireTree.mp3", "1993-112_Ideal_Leadership_SB-05_01_07_MUmbai_-_Radhanath_Swami_1993-06-09_IDesireTree.mp3")</f>
        <v>1993-112_Ideal_Leadership_SB-05_01_07_MUmbai_-_Radhanath_Swami_1993-06-09_IDesireTree.mp3</v>
      </c>
      <c r="D630" s="24"/>
      <c r="E630" s="24"/>
    </row>
    <row r="631">
      <c r="A631" s="25" t="s">
        <v>18352</v>
      </c>
      <c r="B631" s="25" t="s">
        <v>18357</v>
      </c>
      <c r="C631" s="26" t="str">
        <f>HYPERLINK("https://audio.iskcondesiretree.com/02_-_ISKCON_Swamis/ISKCON_Swamis_-_R_to_Y/His_Holiness_Radhanath_Swami/Lectures/00_-_Year_wise/Devotional_Nectar_-_1993/1993-113_Story_of_Narada_Muni_SB-01_05_29_Mumbai_-_Radhanath_Swami_1993-06-10_IDesireTree.mp3", "1993-113_Story_of_Narada_Muni_SB-01_05_29_Mumbai_-_Radhanath_Swami_1993-06-10_IDesireTree.mp3")</f>
        <v>1993-113_Story_of_Narada_Muni_SB-01_05_29_Mumbai_-_Radhanath_Swami_1993-06-10_IDesireTree.mp3</v>
      </c>
      <c r="D631" s="24"/>
      <c r="E631" s="24"/>
    </row>
    <row r="632">
      <c r="A632" s="25" t="s">
        <v>18352</v>
      </c>
      <c r="B632" s="25" t="s">
        <v>18357</v>
      </c>
      <c r="C632" s="26" t="str">
        <f>HYPERLINK("https://audio.iskcondesiretree.com/02_-_ISKCON_Swamis/ISKCON_Swamis_-_R_to_Y/His_Holiness_Radhanath_Swami/Lectures/00_-_Year_wise/Devotional_Nectar_-_1993/1993-114_Question_%26_Answers_Q%26A_Maumbai_-_Radhanath_Swami_1993-06-11_IDesireTree.mp3", "1993-114_Question_%26_Answers_Q%26A_Maumbai_-_Radhanath_Swami_1993-06-11_IDesireTree.mp3")</f>
        <v>1993-114_Question_%26_Answers_Q%26A_Maumbai_-_Radhanath_Swami_1993-06-11_IDesireTree.mp3</v>
      </c>
      <c r="D632" s="24"/>
      <c r="E632" s="24"/>
    </row>
    <row r="633">
      <c r="A633" s="25" t="s">
        <v>18352</v>
      </c>
      <c r="B633" s="25" t="s">
        <v>18357</v>
      </c>
      <c r="C633" s="26" t="str">
        <f>HYPERLINK("https://audio.iskcondesiretree.com/02_-_ISKCON_Swamis/ISKCON_Swamis_-_R_to_Y/His_Holiness_Radhanath_Swami/Lectures/00_-_Year_wise/Devotional_Nectar_-_1993/1993-115_Thank_for_Lord_Krsna%27s_Mercy_SB-01_08_38-39_-_Radhanath_Swami_1993-06-12IDesireTree.mp3", "1993-115_Thank_for_Lord_Krsna%27s_Mercy_SB-01_08_38-39_-_Radhanath_Swami_1993-06-12IDesireTree.mp3")</f>
        <v>1993-115_Thank_for_Lord_Krsna%27s_Mercy_SB-01_08_38-39_-_Radhanath_Swami_1993-06-12IDesireTree.mp3</v>
      </c>
      <c r="D633" s="24"/>
      <c r="E633" s="24"/>
    </row>
    <row r="634">
      <c r="A634" s="25" t="s">
        <v>18352</v>
      </c>
      <c r="B634" s="25" t="s">
        <v>18357</v>
      </c>
      <c r="C634" s="26" t="str">
        <f>HYPERLINK("https://audio.iskcondesiretree.com/02_-_ISKCON_Swamis/ISKCON_Swamis_-_R_to_Y/His_Holiness_Radhanath_Swami/Lectures/00_-_Year_wise/Devotional_Nectar_-_1993/1993-116_Thinking_Oneself_Lowly_SB-10_33_31-35_-_Radhanath_Swami_1993-06-12_IDesireTree.mp3", "1993-116_Thinking_Oneself_Lowly_SB-10_33_31-35_-_Radhanath_Swami_1993-06-12_IDesireTree.mp3")</f>
        <v>1993-116_Thinking_Oneself_Lowly_SB-10_33_31-35_-_Radhanath_Swami_1993-06-12_IDesireTree.mp3</v>
      </c>
      <c r="D634" s="24"/>
      <c r="E634" s="24"/>
    </row>
    <row r="635">
      <c r="A635" s="25" t="s">
        <v>18352</v>
      </c>
      <c r="B635" s="25" t="s">
        <v>18357</v>
      </c>
      <c r="C635" s="26" t="str">
        <f>HYPERLINK("https://audio.iskcondesiretree.com/02_-_ISKCON_Swamis/ISKCON_Swamis_-_R_to_Y/His_Holiness_Radhanath_Swami/Lectures/00_-_Year_wise/Devotional_Nectar_-_1993/1993-117_Ideal_Household_Life_BG-09_27_Mumbai_-_Radhanath_Swami_1993-06-13_IDesireTree.mp3", "1993-117_Ideal_Household_Life_BG-09_27_Mumbai_-_Radhanath_Swami_1993-06-13_IDesireTree.mp3")</f>
        <v>1993-117_Ideal_Household_Life_BG-09_27_Mumbai_-_Radhanath_Swami_1993-06-13_IDesireTree.mp3</v>
      </c>
      <c r="D635" s="24"/>
      <c r="E635" s="24"/>
    </row>
    <row r="636">
      <c r="A636" s="25" t="s">
        <v>18352</v>
      </c>
      <c r="B636" s="25" t="s">
        <v>18357</v>
      </c>
      <c r="C636" s="26" t="str">
        <f>HYPERLINK("https://audio.iskcondesiretree.com/02_-_ISKCON_Swamis/ISKCON_Swamis_-_R_to_Y/His_Holiness_Radhanath_Swami/Lectures/00_-_Year_wise/Devotional_Nectar_-_1993/1993-118_Engaging_The_Mind_And_Senses_In_Devotional_Service_BG-05_07_Mumbai_-_13-06-93_IDesireTree.m"&amp;"p3", "1993-118_Engaging_The_Mind_And_Senses_In_Devotional_Service_BG-05_07_Mumbai_-_13-06-93_IDesireTree.mp3")</f>
        <v>1993-118_Engaging_The_Mind_And_Senses_In_Devotional_Service_BG-05_07_Mumbai_-_13-06-93_IDesireTree.mp3</v>
      </c>
      <c r="D636" s="24"/>
      <c r="E636" s="24"/>
    </row>
    <row r="637">
      <c r="A637" s="25" t="s">
        <v>18352</v>
      </c>
      <c r="B637" s="25" t="s">
        <v>18357</v>
      </c>
      <c r="C637" s="26" t="str">
        <f>HYPERLINK("https://audio.iskcondesiretree.com/02_-_ISKCON_Swamis/ISKCON_Swamis_-_R_to_Y/His_Holiness_Radhanath_Swami/Lectures/00_-_Year_wise/Devotional_Nectar_-_1993/1993-119_Lord_Krsna%27s_Unlimited_Potency_SB-10_33_35-37_-_Radhanath_Swami_1993-06-14_IDesireTree.mp"&amp;"3", "1993-119_Lord_Krsna%27s_Unlimited_Potency_SB-10_33_35-37_-_Radhanath_Swami_1993-06-14_IDesireTree.mp3")</f>
        <v>1993-119_Lord_Krsna%27s_Unlimited_Potency_SB-10_33_35-37_-_Radhanath_Swami_1993-06-14_IDesireTree.mp3</v>
      </c>
      <c r="D637" s="24"/>
      <c r="E637" s="24"/>
    </row>
    <row r="638">
      <c r="A638" s="25" t="s">
        <v>18352</v>
      </c>
      <c r="B638" s="25" t="s">
        <v>18357</v>
      </c>
      <c r="C638" s="26" t="str">
        <f>HYPERLINK("https://audio.iskcondesiretree.com/02_-_ISKCON_Swamis/ISKCON_Swamis_-_R_to_Y/His_Holiness_Radhanath_Swami/Lectures/00_-_Year_wise/Devotional_Nectar_-_1993/1993-120_Lord_Krsna_Our_supreme_Saviour_SB-01_03_33_-_Radhanath_Swami_1993-06-18_IDesireTree.mp3", "1993-120_Lord_Krsna_Our_supreme_Saviour_SB-01_03_33_-_Radhanath_Swami_1993-06-18_IDesireTree.mp3")</f>
        <v>1993-120_Lord_Krsna_Our_supreme_Saviour_SB-01_03_33_-_Radhanath_Swami_1993-06-18_IDesireTree.mp3</v>
      </c>
      <c r="D638" s="24"/>
      <c r="E638" s="24"/>
    </row>
    <row r="639">
      <c r="A639" s="25" t="s">
        <v>18352</v>
      </c>
      <c r="B639" s="25" t="s">
        <v>18357</v>
      </c>
      <c r="C639" s="26" t="str">
        <f>HYPERLINK("https://audio.iskcondesiretree.com/02_-_ISKCON_Swamis/ISKCON_Swamis_-_R_to_Y/His_Holiness_Radhanath_Swami/Lectures/00_-_Year_wise/Devotional_Nectar_-_1993/1993-121_Bhishma_the_Apistole_Of_Surrender_SB-01_09_30_Mumbai_-_19-06-93_IDesireTree.mp3", "1993-121_Bhishma_the_Apistole_Of_Surrender_SB-01_09_30_Mumbai_-_19-06-93_IDesireTree.mp3")</f>
        <v>1993-121_Bhishma_the_Apistole_Of_Surrender_SB-01_09_30_Mumbai_-_19-06-93_IDesireTree.mp3</v>
      </c>
      <c r="D639" s="24"/>
      <c r="E639" s="24"/>
    </row>
    <row r="640">
      <c r="A640" s="25" t="s">
        <v>18352</v>
      </c>
      <c r="B640" s="25" t="s">
        <v>18357</v>
      </c>
      <c r="C640" s="26" t="str">
        <f>HYPERLINK("https://audio.iskcondesiretree.com/02_-_ISKCON_Swamis/ISKCON_Swamis_-_R_to_Y/His_Holiness_Radhanath_Swami/Lectures/00_-_Year_wise/Devotional_Nectar_-_1993/1993-122_Respecting_Demigods_SB-10_34_10-15_-_Radhanath_Swami_1993-06-19_IDesireTree.mp3", "1993-122_Respecting_Demigods_SB-10_34_10-15_-_Radhanath_Swami_1993-06-19_IDesireTree.mp3")</f>
        <v>1993-122_Respecting_Demigods_SB-10_34_10-15_-_Radhanath_Swami_1993-06-19_IDesireTree.mp3</v>
      </c>
      <c r="D640" s="24"/>
      <c r="E640" s="24"/>
    </row>
    <row r="641">
      <c r="A641" s="25" t="s">
        <v>18352</v>
      </c>
      <c r="B641" s="25" t="s">
        <v>18357</v>
      </c>
      <c r="C641" s="26" t="str">
        <f>HYPERLINK("https://audio.iskcondesiretree.com/02_-_ISKCON_Swamis/ISKCON_Swamis_-_R_to_Y/His_Holiness_Radhanath_Swami/Lectures/00_-_Year_wise/Devotional_Nectar_-_1993/1993-123_Disappearance_-_Radhanath_Swami_IDesireTree.mp3", "1993-123_Disappearance_-_Radhanath_Swami_IDesireTree.mp3")</f>
        <v>1993-123_Disappearance_-_Radhanath_Swami_IDesireTree.mp3</v>
      </c>
      <c r="D641" s="24"/>
      <c r="E641" s="24"/>
    </row>
    <row r="642">
      <c r="A642" s="25" t="s">
        <v>18352</v>
      </c>
      <c r="B642" s="25" t="s">
        <v>18357</v>
      </c>
      <c r="C642" s="26" t="str">
        <f>HYPERLINK("https://audio.iskcondesiretree.com/02_-_ISKCON_Swamis/ISKCON_Swamis_-_R_to_Y/His_Holiness_Radhanath_Swami/Lectures/00_-_Year_wise/Devotional_Nectar_-_1993/1993-124_Showing_Love_For_Each_Other_Lecture_Mumbai_-_Radhanath_Swami_1993-06-20_IDesireTree.mp3", "1993-124_Showing_Love_For_Each_Other_Lecture_Mumbai_-_Radhanath_Swami_1993-06-20_IDesireTree.mp3")</f>
        <v>1993-124_Showing_Love_For_Each_Other_Lecture_Mumbai_-_Radhanath_Swami_1993-06-20_IDesireTree.mp3</v>
      </c>
      <c r="D642" s="24"/>
      <c r="E642" s="24"/>
    </row>
    <row r="643">
      <c r="A643" s="25" t="s">
        <v>18352</v>
      </c>
      <c r="B643" s="25" t="s">
        <v>18357</v>
      </c>
      <c r="C643" s="26" t="str">
        <f>HYPERLINK("https://audio.iskcondesiretree.com/02_-_ISKCON_Swamis/ISKCON_Swamis_-_R_to_Y/His_Holiness_Radhanath_Swami/Lectures/00_-_Year_wise/Devotional_Nectar_-_1993/1993-125_The_Supreme_Wealth_SB-10_45_35-37_-_Radhanath_Swami_1993-06-20_IDesireTree.mp3", "1993-125_The_Supreme_Wealth_SB-10_45_35-37_-_Radhanath_Swami_1993-06-20_IDesireTree.mp3")</f>
        <v>1993-125_The_Supreme_Wealth_SB-10_45_35-37_-_Radhanath_Swami_1993-06-20_IDesireTree.mp3</v>
      </c>
      <c r="D643" s="24"/>
      <c r="E643" s="24"/>
    </row>
    <row r="644">
      <c r="A644" s="25" t="s">
        <v>18352</v>
      </c>
      <c r="B644" s="25" t="s">
        <v>18357</v>
      </c>
      <c r="C644" s="26" t="str">
        <f>HYPERLINK("https://audio.iskcondesiretree.com/02_-_ISKCON_Swamis/ISKCON_Swamis_-_R_to_Y/His_Holiness_Radhanath_Swami/Lectures/00_-_Year_wise/Devotional_Nectar_-_1993/1993-126_Everything_Is_controlled_SB-10_45_38_-_Radhanath_Swami_1993-09-21_IDesireTree.mp3", "1993-126_Everything_Is_controlled_SB-10_45_38_-_Radhanath_Swami_1993-09-21_IDesireTree.mp3")</f>
        <v>1993-126_Everything_Is_controlled_SB-10_45_38_-_Radhanath_Swami_1993-09-21_IDesireTree.mp3</v>
      </c>
      <c r="D644" s="24"/>
      <c r="E644" s="24"/>
    </row>
    <row r="645">
      <c r="A645" s="25" t="s">
        <v>18352</v>
      </c>
      <c r="B645" s="25" t="s">
        <v>18357</v>
      </c>
      <c r="C645" s="26" t="str">
        <f>HYPERLINK("https://audio.iskcondesiretree.com/02_-_ISKCON_Swamis/ISKCON_Swamis_-_R_to_Y/His_Holiness_Radhanath_Swami/Lectures/00_-_Year_wise/Devotional_Nectar_-_1993/1993-127_Srimati_Radharani_the_Supreme_Love_SB-10_36_26_-_Radhanath_Swami_1993-09-23_IDesireTree.mp3", "1993-127_Srimati_Radharani_the_Supreme_Love_SB-10_36_26_-_Radhanath_Swami_1993-09-23_IDesireTree.mp3")</f>
        <v>1993-127_Srimati_Radharani_the_Supreme_Love_SB-10_36_26_-_Radhanath_Swami_1993-09-23_IDesireTree.mp3</v>
      </c>
      <c r="D645" s="24"/>
      <c r="E645" s="24"/>
    </row>
    <row r="646">
      <c r="A646" s="25" t="s">
        <v>18352</v>
      </c>
      <c r="B646" s="25" t="s">
        <v>18357</v>
      </c>
      <c r="C646" s="26" t="str">
        <f>HYPERLINK("https://audio.iskcondesiretree.com/02_-_ISKCON_Swamis/ISKCON_Swamis_-_R_to_Y/His_Holiness_Radhanath_Swami/Lectures/00_-_Year_wise/Devotional_Nectar_-_1993/1993-128_The_gift_of_srimati_Radharani_Lecture_-_Radhanath_Swami_1993-09-23_IDesireTree.mp3", "1993-128_The_gift_of_srimati_Radharani_Lecture_-_Radhanath_Swami_1993-09-23_IDesireTree.mp3")</f>
        <v>1993-128_The_gift_of_srimati_Radharani_Lecture_-_Radhanath_Swami_1993-09-23_IDesireTree.mp3</v>
      </c>
      <c r="D646" s="24"/>
      <c r="E646" s="24"/>
    </row>
    <row r="647">
      <c r="A647" s="25" t="s">
        <v>18352</v>
      </c>
      <c r="B647" s="25" t="s">
        <v>18357</v>
      </c>
      <c r="C647" s="26" t="str">
        <f>HYPERLINK("https://audio.iskcondesiretree.com/02_-_ISKCON_Swamis/ISKCON_Swamis_-_R_to_Y/His_Holiness_Radhanath_Swami/Lectures/00_-_Year_wise/Devotional_Nectar_-_1993/1993-129_Responsibility_Of_Human_Life_SB-03_25_13_-_Radhanath_Swami_1993-09-24_IDesireTree.mp3", "1993-129_Responsibility_Of_Human_Life_SB-03_25_13_-_Radhanath_Swami_1993-09-24_IDesireTree.mp3")</f>
        <v>1993-129_Responsibility_Of_Human_Life_SB-03_25_13_-_Radhanath_Swami_1993-09-24_IDesireTree.mp3</v>
      </c>
      <c r="D647" s="24"/>
      <c r="E647" s="24"/>
    </row>
    <row r="648">
      <c r="A648" s="25" t="s">
        <v>18352</v>
      </c>
      <c r="B648" s="25" t="s">
        <v>18357</v>
      </c>
      <c r="C648" s="26" t="str">
        <f>HYPERLINK("https://audio.iskcondesiretree.com/02_-_ISKCON_Swamis/ISKCON_Swamis_-_R_to_Y/His_Holiness_Radhanath_Swami/Lectures/00_-_Year_wise/Devotional_Nectar_-_1993/1993-130_Value_Of_Association_Of_Devotees_SB-10_45_42-44_Mumbai_-_24-09-93_IDesireTree.mp3", "1993-130_Value_Of_Association_Of_Devotees_SB-10_45_42-44_Mumbai_-_24-09-93_IDesireTree.mp3")</f>
        <v>1993-130_Value_Of_Association_Of_Devotees_SB-10_45_42-44_Mumbai_-_24-09-93_IDesireTree.mp3</v>
      </c>
      <c r="D648" s="24"/>
      <c r="E648" s="24"/>
    </row>
    <row r="649">
      <c r="A649" s="25" t="s">
        <v>18352</v>
      </c>
      <c r="B649" s="25" t="s">
        <v>18357</v>
      </c>
      <c r="C649" s="26" t="str">
        <f>HYPERLINK("https://audio.iskcondesiretree.com/02_-_ISKCON_Swamis/ISKCON_Swamis_-_R_to_Y/His_Holiness_Radhanath_Swami/Lectures/00_-_Year_wise/Devotional_Nectar_-_1993/1993-131_Lord_Krsna_In_the_Form_of_Death_SB-10_45_45-50_Mumbai_-_25-9-93_IDesireTree.mp3", "1993-131_Lord_Krsna_In_the_Form_of_Death_SB-10_45_45-50_Mumbai_-_25-9-93_IDesireTree.mp3")</f>
        <v>1993-131_Lord_Krsna_In_the_Form_of_Death_SB-10_45_45-50_Mumbai_-_25-9-93_IDesireTree.mp3</v>
      </c>
      <c r="D649" s="24"/>
      <c r="E649" s="24"/>
    </row>
    <row r="650">
      <c r="A650" s="25" t="s">
        <v>18352</v>
      </c>
      <c r="B650" s="25" t="s">
        <v>18357</v>
      </c>
      <c r="C650" s="26" t="str">
        <f>HYPERLINK("https://audio.iskcondesiretree.com/02_-_ISKCON_Swamis/ISKCON_Swamis_-_R_to_Y/His_Holiness_Radhanath_Swami/Lectures/00_-_Year_wise/Devotional_Nectar_-_1993/1993-132_Sweetness_Of_Bhakti_SB-04_24_55_Mumbai_-_Radhanath_Swami_1993-09-26_IDesireTree.mp3", "1993-132_Sweetness_Of_Bhakti_SB-04_24_55_Mumbai_-_Radhanath_Swami_1993-09-26_IDesireTree.mp3")</f>
        <v>1993-132_Sweetness_Of_Bhakti_SB-04_24_55_Mumbai_-_Radhanath_Swami_1993-09-26_IDesireTree.mp3</v>
      </c>
      <c r="D650" s="24"/>
      <c r="E650" s="24"/>
    </row>
    <row r="651">
      <c r="A651" s="25" t="s">
        <v>18352</v>
      </c>
      <c r="B651" s="25" t="s">
        <v>18357</v>
      </c>
      <c r="C651" s="26" t="str">
        <f>HYPERLINK("https://audio.iskcondesiretree.com/02_-_ISKCON_Swamis/ISKCON_Swamis_-_R_to_Y/His_Holiness_Radhanath_Swami/Lectures/00_-_Year_wise/Devotional_Nectar_-_1993/1993-133_Srila_Jiva_Goswami_Lecture_Mumbai_-_Radhanath_Swami_1993-09-27_IDesireTree.mp3", "1993-133_Srila_Jiva_Goswami_Lecture_Mumbai_-_Radhanath_Swami_1993-09-27_IDesireTree.mp3")</f>
        <v>1993-133_Srila_Jiva_Goswami_Lecture_Mumbai_-_Radhanath_Swami_1993-09-27_IDesireTree.mp3</v>
      </c>
      <c r="D651" s="24"/>
      <c r="E651" s="24"/>
    </row>
    <row r="652">
      <c r="A652" s="25" t="s">
        <v>18352</v>
      </c>
      <c r="B652" s="25" t="s">
        <v>18357</v>
      </c>
      <c r="C652" s="26" t="str">
        <f>HYPERLINK("https://audio.iskcondesiretree.com/02_-_ISKCON_Swamis/ISKCON_Swamis_-_R_to_Y/His_Holiness_Radhanath_Swami/Lectures/00_-_Year_wise/Devotional_Nectar_-_1993/1993-134_Lord_Varahadev_SB-08_21_01-04_Mumbai_-_Radhanath_Swami_1993-09-27_IDesireTree.mp3", "1993-134_Lord_Varahadev_SB-08_21_01-04_Mumbai_-_Radhanath_Swami_1993-09-27_IDesireTree.mp3")</f>
        <v>1993-134_Lord_Varahadev_SB-08_21_01-04_Mumbai_-_Radhanath_Swami_1993-09-27_IDesireTree.mp3</v>
      </c>
      <c r="D652" s="24"/>
      <c r="E652" s="24"/>
    </row>
    <row r="653">
      <c r="A653" s="25" t="s">
        <v>18352</v>
      </c>
      <c r="B653" s="25" t="s">
        <v>18357</v>
      </c>
      <c r="C653" s="26" t="str">
        <f>HYPERLINK("https://audio.iskcondesiretree.com/02_-_ISKCON_Swamis/ISKCON_Swamis_-_R_to_Y/His_Holiness_Radhanath_Swami/Lectures/00_-_Year_wise/Devotional_Nectar_-_1993/1993-135_Srila_Bhaktivinoda_Thakur%27s_Dream_SB_Mumbai_-_Radhanath_Swami_1993-09-28_IDesireTree.mp3", "1993-135_Srila_Bhaktivinoda_Thakur%27s_Dream_SB_Mumbai_-_Radhanath_Swami_1993-09-28_IDesireTree.mp3")</f>
        <v>1993-135_Srila_Bhaktivinoda_Thakur%27s_Dream_SB_Mumbai_-_Radhanath_Swami_1993-09-28_IDesireTree.mp3</v>
      </c>
      <c r="D653" s="24"/>
      <c r="E653" s="24"/>
    </row>
    <row r="654">
      <c r="A654" s="25" t="s">
        <v>18352</v>
      </c>
      <c r="B654" s="25" t="s">
        <v>18357</v>
      </c>
      <c r="C654" s="26" t="str">
        <f>HYPERLINK("https://audio.iskcondesiretree.com/02_-_ISKCON_Swamis/ISKCON_Swamis_-_R_to_Y/His_Holiness_Radhanath_Swami/Lectures/00_-_Year_wise/Devotional_Nectar_-_1993/1993-136_Haridas_Thakur-_The_Crown_Jewel_CC_anty-11_1-7_Mumbai_-_29-09-93_IDesireTree.mp3", "1993-136_Haridas_Thakur-_The_Crown_Jewel_CC_anty-11_1-7_Mumbai_-_29-09-93_IDesireTree.mp3")</f>
        <v>1993-136_Haridas_Thakur-_The_Crown_Jewel_CC_anty-11_1-7_Mumbai_-_29-09-93_IDesireTree.mp3</v>
      </c>
      <c r="D654" s="24"/>
      <c r="E654" s="24"/>
    </row>
    <row r="655">
      <c r="A655" s="25" t="s">
        <v>18352</v>
      </c>
      <c r="B655" s="25" t="s">
        <v>18357</v>
      </c>
      <c r="C655" s="26" t="str">
        <f>HYPERLINK("https://audio.iskcondesiretree.com/02_-_ISKCON_Swamis/ISKCON_Swamis_-_R_to_Y/His_Holiness_Radhanath_Swami/Lectures/00_-_Year_wise/Devotional_Nectar_-_1993/1993-137_Power_Of_Forgiveness_Lecture_Mumbai_-_Radhanath_Swami_1993-09-29_IDesireTree.mp3", "1993-137_Power_Of_Forgiveness_Lecture_Mumbai_-_Radhanath_Swami_1993-09-29_IDesireTree.mp3")</f>
        <v>1993-137_Power_Of_Forgiveness_Lecture_Mumbai_-_Radhanath_Swami_1993-09-29_IDesireTree.mp3</v>
      </c>
      <c r="D655" s="24"/>
      <c r="E655" s="24"/>
    </row>
    <row r="656">
      <c r="A656" s="25" t="s">
        <v>18352</v>
      </c>
      <c r="B656" s="25" t="s">
        <v>18357</v>
      </c>
      <c r="C656" s="26" t="str">
        <f>HYPERLINK("https://audio.iskcondesiretree.com/02_-_ISKCON_Swamis/ISKCON_Swamis_-_R_to_Y/His_Holiness_Radhanath_Swami/Lectures/00_-_Year_wise/Devotional_Nectar_-_1993/1993-138_Mother_Earth_Giving_Alaram_Lecture_Mumbai_-_Radhanath_Swami_1993-09-30_IDesireTree.mp3", "1993-138_Mother_Earth_Giving_Alaram_Lecture_Mumbai_-_Radhanath_Swami_1993-09-30_IDesireTree.mp3")</f>
        <v>1993-138_Mother_Earth_Giving_Alaram_Lecture_Mumbai_-_Radhanath_Swami_1993-09-30_IDesireTree.mp3</v>
      </c>
      <c r="D656" s="24"/>
      <c r="E656" s="24"/>
    </row>
    <row r="657">
      <c r="A657" s="25" t="s">
        <v>18352</v>
      </c>
      <c r="B657" s="25" t="s">
        <v>18357</v>
      </c>
      <c r="C657" s="26" t="str">
        <f>HYPERLINK("https://audio.iskcondesiretree.com/02_-_ISKCON_Swamis/ISKCON_Swamis_-_R_to_Y/His_Holiness_Radhanath_Swami/Lectures/00_-_Year_wise/Devotional_Nectar_-_1993/1993-139_Understanding_The_Truth_Of_Material_Nature_SB-06_04_31_Mumbai_-_01-10-93_IDesireTree.mp3", "1993-139_Understanding_The_Truth_Of_Material_Nature_SB-06_04_31_Mumbai_-_01-10-93_IDesireTree.mp3")</f>
        <v>1993-139_Understanding_The_Truth_Of_Material_Nature_SB-06_04_31_Mumbai_-_01-10-93_IDesireTree.mp3</v>
      </c>
      <c r="D657" s="24"/>
      <c r="E657" s="24"/>
    </row>
    <row r="658">
      <c r="A658" s="25" t="s">
        <v>18352</v>
      </c>
      <c r="B658" s="25" t="s">
        <v>18357</v>
      </c>
      <c r="C658" s="26" t="str">
        <f>HYPERLINK("https://audio.iskcondesiretree.com/02_-_ISKCON_Swamis/ISKCON_Swamis_-_R_to_Y/His_Holiness_Radhanath_Swami/Lectures/00_-_Year_wise/Devotional_Nectar_-_1993/1993-140_This_Is_The_Time_SB-01_06_35_Mumbai_-_Radhanath_Swami_1993-10-02_IDesireTree.mp3", "1993-140_This_Is_The_Time_SB-01_06_35_Mumbai_-_Radhanath_Swami_1993-10-02_IDesireTree.mp3")</f>
        <v>1993-140_This_Is_The_Time_SB-01_06_35_Mumbai_-_Radhanath_Swami_1993-10-02_IDesireTree.mp3</v>
      </c>
      <c r="D658" s="24"/>
      <c r="E658" s="24"/>
    </row>
    <row r="659">
      <c r="A659" s="25" t="s">
        <v>18352</v>
      </c>
      <c r="B659" s="25" t="s">
        <v>18357</v>
      </c>
      <c r="C659" s="26" t="str">
        <f>HYPERLINK("https://audio.iskcondesiretree.com/02_-_ISKCON_Swamis/ISKCON_Swamis_-_R_to_Y/His_Holiness_Radhanath_Swami/Lectures/00_-_Year_wise/Devotional_Nectar_-_1993/1993-141_Need_For_Association_BG-10_09_Mumbai_-_Radhanath_Swami_1993-10-03_IDesireTree.mp3", "1993-141_Need_For_Association_BG-10_09_Mumbai_-_Radhanath_Swami_1993-10-03_IDesireTree.mp3")</f>
        <v>1993-141_Need_For_Association_BG-10_09_Mumbai_-_Radhanath_Swami_1993-10-03_IDesireTree.mp3</v>
      </c>
      <c r="D659" s="24"/>
      <c r="E659" s="24"/>
    </row>
    <row r="660">
      <c r="A660" s="25" t="s">
        <v>18352</v>
      </c>
      <c r="B660" s="25" t="s">
        <v>18357</v>
      </c>
      <c r="C660" s="26" t="str">
        <f>HYPERLINK("https://audio.iskcondesiretree.com/02_-_ISKCON_Swamis/ISKCON_Swamis_-_R_to_Y/His_Holiness_Radhanath_Swami/Lectures/00_-_Year_wise/Devotional_Nectar_-_1993/1993-142_The_Safe_Place_Ht_-_SB-01_03_15_Mumbai_-_Radhanath_Swami_1993-10-04_IDesireTree.mp3", "1993-142_The_Safe_Place_Ht_-_SB-01_03_15_Mumbai_-_Radhanath_Swami_1993-10-04_IDesireTree.mp3")</f>
        <v>1993-142_The_Safe_Place_Ht_-_SB-01_03_15_Mumbai_-_Radhanath_Swami_1993-10-04_IDesireTree.mp3</v>
      </c>
      <c r="D660" s="24"/>
      <c r="E660" s="24"/>
    </row>
    <row r="661">
      <c r="A661" s="25" t="s">
        <v>18352</v>
      </c>
      <c r="B661" s="25" t="s">
        <v>18357</v>
      </c>
      <c r="C661" s="26" t="str">
        <f>HYPERLINK("https://audio.iskcondesiretree.com/02_-_ISKCON_Swamis/ISKCON_Swamis_-_R_to_Y/His_Holiness_Radhanath_Swami/Lectures/00_-_Year_wise/Devotional_Nectar_-_1993/1993-143_Empowerment_Through_Mercy_SB-10_46_16_Mumbai_-_Radhanath_Swami_1993-10-05_IDesireTree.mp3", "1993-143_Empowerment_Through_Mercy_SB-10_46_16_Mumbai_-_Radhanath_Swami_1993-10-05_IDesireTree.mp3")</f>
        <v>1993-143_Empowerment_Through_Mercy_SB-10_46_16_Mumbai_-_Radhanath_Swami_1993-10-05_IDesireTree.mp3</v>
      </c>
      <c r="D661" s="24"/>
      <c r="E661" s="24"/>
    </row>
    <row r="662">
      <c r="A662" s="25" t="s">
        <v>18352</v>
      </c>
      <c r="B662" s="25" t="s">
        <v>18357</v>
      </c>
      <c r="C662" s="26" t="str">
        <f>HYPERLINK("https://audio.iskcondesiretree.com/02_-_ISKCON_Swamis/ISKCON_Swamis_-_R_to_Y/His_Holiness_Radhanath_Swami/Lectures/00_-_Year_wise/Devotional_Nectar_-_1993/1993-144_Scriptures_Are_The_Eternal_Absolute_Truth_SB-10_08_47_Mumbai_-_08-10-93_IDesireTree.mp3", "1993-144_Scriptures_Are_The_Eternal_Absolute_Truth_SB-10_08_47_Mumbai_-_08-10-93_IDesireTree.mp3")</f>
        <v>1993-144_Scriptures_Are_The_Eternal_Absolute_Truth_SB-10_08_47_Mumbai_-_08-10-93_IDesireTree.mp3</v>
      </c>
      <c r="D662" s="24"/>
      <c r="E662" s="24"/>
    </row>
    <row r="663">
      <c r="A663" s="25" t="s">
        <v>18352</v>
      </c>
      <c r="B663" s="25" t="s">
        <v>18357</v>
      </c>
      <c r="C663" s="26" t="str">
        <f>HYPERLINK("https://audio.iskcondesiretree.com/02_-_ISKCON_Swamis/ISKCON_Swamis_-_R_to_Y/His_Holiness_Radhanath_Swami/Lectures/00_-_Year_wise/Devotional_Nectar_-_1993/1993-145_Truth_And_Illusion_BG-03_27_Mumbai_-_Radhanath_Swami_1993-10-09_IDesireTree.mp3", "1993-145_Truth_And_Illusion_BG-03_27_Mumbai_-_Radhanath_Swami_1993-10-09_IDesireTree.mp3")</f>
        <v>1993-145_Truth_And_Illusion_BG-03_27_Mumbai_-_Radhanath_Swami_1993-10-09_IDesireTree.mp3</v>
      </c>
      <c r="D663" s="24"/>
      <c r="E663" s="24"/>
    </row>
    <row r="664">
      <c r="A664" s="25" t="s">
        <v>18352</v>
      </c>
      <c r="B664" s="25" t="s">
        <v>18357</v>
      </c>
      <c r="C664" s="26" t="str">
        <f>HYPERLINK("https://audio.iskcondesiretree.com/02_-_ISKCON_Swamis/ISKCON_Swamis_-_R_to_Y/His_Holiness_Radhanath_Swami/Lectures/00_-_Year_wise/Devotional_Nectar_-_1993/1993-146_Krishna_Consciousness_Is_Truth_SB-04_30_08_Mumbai_-_10-10-93_IDesireTree.mp3", "1993-146_Krishna_Consciousness_Is_Truth_SB-04_30_08_Mumbai_-_10-10-93_IDesireTree.mp3")</f>
        <v>1993-146_Krishna_Consciousness_Is_Truth_SB-04_30_08_Mumbai_-_10-10-93_IDesireTree.mp3</v>
      </c>
      <c r="D664" s="24"/>
      <c r="E664" s="24"/>
    </row>
    <row r="665">
      <c r="A665" s="25" t="s">
        <v>18352</v>
      </c>
      <c r="B665" s="25" t="s">
        <v>18357</v>
      </c>
      <c r="C665" s="26" t="str">
        <f>HYPERLINK("https://audio.iskcondesiretree.com/02_-_ISKCON_Swamis/ISKCON_Swamis_-_R_to_Y/His_Holiness_Radhanath_Swami/Lectures/00_-_Year_wise/Devotional_Nectar_-_1993/1993-147_Controlling_Senses_Through_Service_SB-10_46_30-31_Mumbai_-_11-10-93_IDesireTree.mp3", "1993-147_Controlling_Senses_Through_Service_SB-10_46_30-31_Mumbai_-_11-10-93_IDesireTree.mp3")</f>
        <v>1993-147_Controlling_Senses_Through_Service_SB-10_46_30-31_Mumbai_-_11-10-93_IDesireTree.mp3</v>
      </c>
      <c r="D665" s="24"/>
      <c r="E665" s="24"/>
    </row>
    <row r="666">
      <c r="A666" s="25" t="s">
        <v>18352</v>
      </c>
      <c r="B666" s="25" t="s">
        <v>18357</v>
      </c>
      <c r="C666" s="26" t="str">
        <f>HYPERLINK("https://audio.iskcondesiretree.com/02_-_ISKCON_Swamis/ISKCON_Swamis_-_R_to_Y/His_Holiness_Radhanath_Swami/Lectures/00_-_Year_wise/Devotional_Nectar_-_1993/1993-148_Transcending_Heavenly_Planets_SB-10_47_01-03_Mumbai_-_16-10-93_IDesireTree.mp3", "1993-148_Transcending_Heavenly_Planets_SB-10_47_01-03_Mumbai_-_16-10-93_IDesireTree.mp3")</f>
        <v>1993-148_Transcending_Heavenly_Planets_SB-10_47_01-03_Mumbai_-_16-10-93_IDesireTree.mp3</v>
      </c>
      <c r="D666" s="24"/>
      <c r="E666" s="24"/>
    </row>
    <row r="667">
      <c r="A667" s="25" t="s">
        <v>18352</v>
      </c>
      <c r="B667" s="25" t="s">
        <v>18357</v>
      </c>
      <c r="C667" s="26" t="str">
        <f>HYPERLINK("https://audio.iskcondesiretree.com/02_-_ISKCON_Swamis/ISKCON_Swamis_-_R_to_Y/His_Holiness_Radhanath_Swami/Lectures/00_-_Year_wise/Devotional_Nectar_-_1993/1993-149_Crisis_As_Stepping_Stone_SB-01_16_04_Mumbai_-_Radhanath_Swami_1993-10-16_IDesireTree.mp3", "1993-149_Crisis_As_Stepping_Stone_SB-01_16_04_Mumbai_-_Radhanath_Swami_1993-10-16_IDesireTree.mp3")</f>
        <v>1993-149_Crisis_As_Stepping_Stone_SB-01_16_04_Mumbai_-_Radhanath_Swami_1993-10-16_IDesireTree.mp3</v>
      </c>
      <c r="D667" s="24"/>
      <c r="E667" s="24"/>
    </row>
    <row r="668">
      <c r="A668" s="25" t="s">
        <v>18352</v>
      </c>
      <c r="B668" s="25" t="s">
        <v>18357</v>
      </c>
      <c r="C668" s="26" t="str">
        <f>HYPERLINK("https://audio.iskcondesiretree.com/02_-_ISKCON_Swamis/ISKCON_Swamis_-_R_to_Y/His_Holiness_Radhanath_Swami/Lectures/00_-_Year_wise/Devotional_Nectar_-_1993/1993-150_Supreme_Morality_Of_Gopis_SB-10_46_04-06_Mumbai_-_17-10-93_IDesireTree.mp3", "1993-150_Supreme_Morality_Of_Gopis_SB-10_46_04-06_Mumbai_-_17-10-93_IDesireTree.mp3")</f>
        <v>1993-150_Supreme_Morality_Of_Gopis_SB-10_46_04-06_Mumbai_-_17-10-93_IDesireTree.mp3</v>
      </c>
      <c r="D668" s="24"/>
      <c r="E668" s="24"/>
    </row>
    <row r="669">
      <c r="A669" s="25" t="s">
        <v>18352</v>
      </c>
      <c r="B669" s="25" t="s">
        <v>18357</v>
      </c>
      <c r="C669" s="26" t="str">
        <f>HYPERLINK("https://audio.iskcondesiretree.com/02_-_ISKCON_Swamis/ISKCON_Swamis_-_R_to_Y/His_Holiness_Radhanath_Swami/Lectures/00_-_Year_wise/Devotional_Nectar_-_1993/1993-151_Story_Of_Dhruv_Maharaj_SB-04_08_10_Mumbai_-_Radhanath_Swami_1993-10-17_IDesireTree.mp3", "1993-151_Story_Of_Dhruv_Maharaj_SB-04_08_10_Mumbai_-_Radhanath_Swami_1993-10-17_IDesireTree.mp3")</f>
        <v>1993-151_Story_Of_Dhruv_Maharaj_SB-04_08_10_Mumbai_-_Radhanath_Swami_1993-10-17_IDesireTree.mp3</v>
      </c>
      <c r="D669" s="24"/>
      <c r="E669" s="24"/>
    </row>
    <row r="670">
      <c r="A670" s="25" t="s">
        <v>18352</v>
      </c>
      <c r="B670" s="25" t="s">
        <v>18357</v>
      </c>
      <c r="C670" s="26" t="str">
        <f>HYPERLINK("https://audio.iskcondesiretree.com/02_-_ISKCON_Swamis/ISKCON_Swamis_-_R_to_Y/His_Holiness_Radhanath_Swami/Lectures/00_-_Year_wise/Devotional_Nectar_-_1993/1993-152_Dutiful_People_BG-03_22_Mumbai_-_Radhanath_Swami_1993-10-18_IDesireTree.mp3", "1993-152_Dutiful_People_BG-03_22_Mumbai_-_Radhanath_Swami_1993-10-18_IDesireTree.mp3")</f>
        <v>1993-152_Dutiful_People_BG-03_22_Mumbai_-_Radhanath_Swami_1993-10-18_IDesireTree.mp3</v>
      </c>
      <c r="D670" s="24"/>
      <c r="E670" s="24"/>
    </row>
    <row r="671">
      <c r="A671" s="25" t="s">
        <v>18352</v>
      </c>
      <c r="B671" s="25" t="s">
        <v>18357</v>
      </c>
      <c r="C671" s="26" t="str">
        <f>HYPERLINK("https://audio.iskcondesiretree.com/02_-_ISKCON_Swamis/ISKCON_Swamis_-_R_to_Y/His_Holiness_Radhanath_Swami/Lectures/00_-_Year_wise/Devotional_Nectar_-_1993/1993-153_We_Are_Homeless_Creature_SB-10_47_04_Mumbai_-_Radhanath_Swami_1993-10-21_IDesireTree.mp3", "1993-153_We_Are_Homeless_Creature_SB-10_47_04_Mumbai_-_Radhanath_Swami_1993-10-21_IDesireTree.mp3")</f>
        <v>1993-153_We_Are_Homeless_Creature_SB-10_47_04_Mumbai_-_Radhanath_Swami_1993-10-21_IDesireTree.mp3</v>
      </c>
      <c r="D671" s="24"/>
      <c r="E671" s="24"/>
    </row>
    <row r="672">
      <c r="A672" s="25" t="s">
        <v>18352</v>
      </c>
      <c r="B672" s="25" t="s">
        <v>18357</v>
      </c>
      <c r="C672" s="26" t="str">
        <f>HYPERLINK("https://audio.iskcondesiretree.com/02_-_ISKCON_Swamis/ISKCON_Swamis_-_R_to_Y/His_Holiness_Radhanath_Swami/Lectures/00_-_Year_wise/Devotional_Nectar_-_1993/1993-154_Story_Of_Sakshi_Gopal_CC_ML-05_76_Mumbai_-_Radhanath_Swami_1993-10-22_IDesireTree.mp3", "1993-154_Story_Of_Sakshi_Gopal_CC_ML-05_76_Mumbai_-_Radhanath_Swami_1993-10-22_IDesireTree.mp3")</f>
        <v>1993-154_Story_Of_Sakshi_Gopal_CC_ML-05_76_Mumbai_-_Radhanath_Swami_1993-10-22_IDesireTree.mp3</v>
      </c>
      <c r="D672" s="24"/>
      <c r="E672" s="24"/>
    </row>
    <row r="673">
      <c r="A673" s="25" t="s">
        <v>18352</v>
      </c>
      <c r="B673" s="25" t="s">
        <v>18357</v>
      </c>
      <c r="C673" s="26" t="str">
        <f>HYPERLINK("https://audio.iskcondesiretree.com/02_-_ISKCON_Swamis/ISKCON_Swamis_-_R_to_Y/His_Holiness_Radhanath_Swami/Lectures/00_-_Year_wise/Devotional_Nectar_-_1993/1993-155_Krishna_Cheats_To_Give_Something_Higher_SB-10_47_16_Mumbai_-_23-10-93_IDesireTree.mp3", "1993-155_Krishna_Cheats_To_Give_Something_Higher_SB-10_47_16_Mumbai_-_23-10-93_IDesireTree.mp3")</f>
        <v>1993-155_Krishna_Cheats_To_Give_Something_Higher_SB-10_47_16_Mumbai_-_23-10-93_IDesireTree.mp3</v>
      </c>
      <c r="D673" s="24"/>
      <c r="E673" s="24"/>
    </row>
    <row r="674">
      <c r="A674" s="25" t="s">
        <v>18352</v>
      </c>
      <c r="B674" s="25" t="s">
        <v>18357</v>
      </c>
      <c r="C674" s="26" t="str">
        <f>HYPERLINK("https://audio.iskcondesiretree.com/02_-_ISKCON_Swamis/ISKCON_Swamis_-_R_to_Y/His_Holiness_Radhanath_Swami/Lectures/00_-_Year_wise/Devotional_Nectar_-_1993/1993-156_Sinking_In_Material_Ocean_SB-01_03_22_Mumbai_-_Radhanath_Swami_1993-10-23_IDesireTree.mp3", "1993-156_Sinking_In_Material_Ocean_SB-01_03_22_Mumbai_-_Radhanath_Swami_1993-10-23_IDesireTree.mp3")</f>
        <v>1993-156_Sinking_In_Material_Ocean_SB-01_03_22_Mumbai_-_Radhanath_Swami_1993-10-23_IDesireTree.mp3</v>
      </c>
      <c r="D674" s="24"/>
      <c r="E674" s="24"/>
    </row>
    <row r="675">
      <c r="A675" s="25" t="s">
        <v>18352</v>
      </c>
      <c r="B675" s="25" t="s">
        <v>18357</v>
      </c>
      <c r="C675" s="26" t="str">
        <f>HYPERLINK("https://audio.iskcondesiretree.com/02_-_ISKCON_Swamis/ISKCON_Swamis_-_R_to_Y/His_Holiness_Radhanath_Swami/Lectures/00_-_Year_wise/Devotional_Nectar_-_1993/1993-157_Srila_Madhavacharya_CC_ML-09_245-24_Mumbai_-_Radhanath_Swami_1993-10-24_IDesireTree.mp3", "1993-157_Srila_Madhavacharya_CC_ML-09_245-24_Mumbai_-_Radhanath_Swami_1993-10-24_IDesireTree.mp3")</f>
        <v>1993-157_Srila_Madhavacharya_CC_ML-09_245-24_Mumbai_-_Radhanath_Swami_1993-10-24_IDesireTree.mp3</v>
      </c>
      <c r="D675" s="24"/>
      <c r="E675" s="24"/>
    </row>
    <row r="676">
      <c r="A676" s="25" t="s">
        <v>18352</v>
      </c>
      <c r="B676" s="25" t="s">
        <v>18357</v>
      </c>
      <c r="C676" s="26" t="str">
        <f>HYPERLINK("https://audio.iskcondesiretree.com/02_-_ISKCON_Swamis/ISKCON_Swamis_-_R_to_Y/His_Holiness_Radhanath_Swami/Lectures/00_-_Year_wise/Devotional_Nectar_-_1993/1993-158_Lord_Rama%27s_Pastimes_SB-09_11_20_Mumbai_-_Radhanath_Swami_1993-10-24_IDesireTree.mp3", "1993-158_Lord_Rama%27s_Pastimes_SB-09_11_20_Mumbai_-_Radhanath_Swami_1993-10-24_IDesireTree.mp3")</f>
        <v>1993-158_Lord_Rama%27s_Pastimes_SB-09_11_20_Mumbai_-_Radhanath_Swami_1993-10-24_IDesireTree.mp3</v>
      </c>
      <c r="D676" s="24"/>
      <c r="E676" s="24"/>
    </row>
    <row r="677">
      <c r="A677" s="25" t="s">
        <v>18352</v>
      </c>
      <c r="B677" s="25" t="s">
        <v>18357</v>
      </c>
      <c r="C677" s="26" t="str">
        <f>HYPERLINK("https://audio.iskcondesiretree.com/02_-_ISKCON_Swamis/ISKCON_Swamis_-_R_to_Y/His_Holiness_Radhanath_Swami/Lectures/00_-_Year_wise/Devotional_Nectar_-_1993/1993-159_The_Greatest_Preaching_Lecture_Mumbai_-_Radhanath_Swami_1993-10-25_IDesireTree.mp3", "1993-159_The_Greatest_Preaching_Lecture_Mumbai_-_Radhanath_Swami_1993-10-25_IDesireTree.mp3")</f>
        <v>1993-159_The_Greatest_Preaching_Lecture_Mumbai_-_Radhanath_Swami_1993-10-25_IDesireTree.mp3</v>
      </c>
      <c r="D677" s="24"/>
      <c r="E677" s="24"/>
    </row>
    <row r="678">
      <c r="A678" s="25" t="s">
        <v>18352</v>
      </c>
      <c r="B678" s="25" t="s">
        <v>18357</v>
      </c>
      <c r="C678" s="26" t="str">
        <f>HYPERLINK("https://audio.iskcondesiretree.com/02_-_ISKCON_Swamis/ISKCON_Swamis_-_R_to_Y/His_Holiness_Radhanath_Swami/Lectures/00_-_Year_wise/Devotional_Nectar_-_1993/1993-160_Krishnadas_Kaviraj_Goswami_CC-Adi-08_01_02_Mumbai_-_26-10-93_IDesireTree.mp3", "1993-160_Krishnadas_Kaviraj_Goswami_CC-Adi-08_01_02_Mumbai_-_26-10-93_IDesireTree.mp3")</f>
        <v>1993-160_Krishnadas_Kaviraj_Goswami_CC-Adi-08_01_02_Mumbai_-_26-10-93_IDesireTree.mp3</v>
      </c>
      <c r="D678" s="24"/>
      <c r="E678" s="24"/>
    </row>
    <row r="679">
      <c r="A679" s="25" t="s">
        <v>18352</v>
      </c>
      <c r="B679" s="25" t="s">
        <v>18357</v>
      </c>
      <c r="C679" s="26" t="str">
        <f>HYPERLINK("https://audio.iskcondesiretree.com/02_-_ISKCON_Swamis/ISKCON_Swamis_-_R_to_Y/His_Holiness_Radhanath_Swami/Lectures/00_-_Year_wise/Devotional_Nectar_-_1993/1993-161_Raghunath_Bhatta_Goswami_BG-07_18_Mumbai_-_Radhanath_Swami_1993-10-27_IDesireTree.mp3", "1993-161_Raghunath_Bhatta_Goswami_BG-07_18_Mumbai_-_Radhanath_Swami_1993-10-27_IDesireTree.mp3")</f>
        <v>1993-161_Raghunath_Bhatta_Goswami_BG-07_18_Mumbai_-_Radhanath_Swami_1993-10-27_IDesireTree.mp3</v>
      </c>
      <c r="D679" s="24"/>
      <c r="E679" s="24"/>
    </row>
    <row r="680">
      <c r="A680" s="25" t="s">
        <v>18352</v>
      </c>
      <c r="B680" s="25" t="s">
        <v>18357</v>
      </c>
      <c r="C680" s="26" t="str">
        <f>HYPERLINK("https://audio.iskcondesiretree.com/02_-_ISKCON_Swamis/ISKCON_Swamis_-_R_to_Y/His_Holiness_Radhanath_Swami/Lectures/00_-_Year_wise/Devotional_Nectar_-_1993/1993-162_Defeating_Impersonalism_CC-ML-01_Mumbai_-_Radhanath_Swami_1993-10-29_IDesireTree.mp3", "1993-162_Defeating_Impersonalism_CC-ML-01_Mumbai_-_Radhanath_Swami_1993-10-29_IDesireTree.mp3")</f>
        <v>1993-162_Defeating_Impersonalism_CC-ML-01_Mumbai_-_Radhanath_Swami_1993-10-29_IDesireTree.mp3</v>
      </c>
      <c r="D680" s="24"/>
      <c r="E680" s="24"/>
    </row>
    <row r="681">
      <c r="A681" s="25" t="s">
        <v>18352</v>
      </c>
      <c r="B681" s="25" t="s">
        <v>18357</v>
      </c>
      <c r="C681" s="26" t="str">
        <f>HYPERLINK("https://audio.iskcondesiretree.com/02_-_ISKCON_Swamis/ISKCON_Swamis_-_R_to_Y/His_Holiness_Radhanath_Swami/Lectures/00_-_Year_wise/Devotional_Nectar_-_1993/1993-163_Uddavas_Humility_SB-10_49_22-25_Mumbai_-_Radhanath_Swami_1993-10-29_IDesireTree.mp3", "1993-163_Uddavas_Humility_SB-10_49_22-25_Mumbai_-_Radhanath_Swami_1993-10-29_IDesireTree.mp3")</f>
        <v>1993-163_Uddavas_Humility_SB-10_49_22-25_Mumbai_-_Radhanath_Swami_1993-10-29_IDesireTree.mp3</v>
      </c>
      <c r="D681" s="24"/>
      <c r="E681" s="24"/>
    </row>
    <row r="682">
      <c r="A682" s="25" t="s">
        <v>18352</v>
      </c>
      <c r="B682" s="25" t="s">
        <v>18357</v>
      </c>
      <c r="C682" s="26" t="str">
        <f>HYPERLINK("https://audio.iskcondesiretree.com/02_-_ISKCON_Swamis/ISKCON_Swamis_-_R_to_Y/His_Holiness_Radhanath_Swami/Lectures/00_-_Year_wise/Devotional_Nectar_-_1993/1993-164_Renunciation_Of_The_Gopies_Lecture_Mumbai_-_Radhanath_Swami_1993-10-30_IDesireTree.mp3", "1993-164_Renunciation_Of_The_Gopies_Lecture_Mumbai_-_Radhanath_Swami_1993-10-30_IDesireTree.mp3")</f>
        <v>1993-164_Renunciation_Of_The_Gopies_Lecture_Mumbai_-_Radhanath_Swami_1993-10-30_IDesireTree.mp3</v>
      </c>
      <c r="D682" s="24"/>
      <c r="E682" s="24"/>
    </row>
    <row r="683">
      <c r="A683" s="25" t="s">
        <v>18352</v>
      </c>
      <c r="B683" s="25" t="s">
        <v>18357</v>
      </c>
      <c r="C683" s="26" t="str">
        <f>HYPERLINK("https://audio.iskcondesiretree.com/02_-_ISKCON_Swamis/ISKCON_Swamis_-_R_to_Y/His_Holiness_Radhanath_Swami/Lectures/00_-_Year_wise/Devotional_Nectar_-_1993/1993-165_We_Are_Spoilt_Brats_SB-02_02_05_Mumbai_-_Radhanath_Swami_1993-10-30_IDesireTree.mp3", "1993-165_We_Are_Spoilt_Brats_SB-02_02_05_Mumbai_-_Radhanath_Swami_1993-10-30_IDesireTree.mp3")</f>
        <v>1993-165_We_Are_Spoilt_Brats_SB-02_02_05_Mumbai_-_Radhanath_Swami_1993-10-30_IDesireTree.mp3</v>
      </c>
      <c r="D683" s="24"/>
      <c r="E683" s="24"/>
    </row>
    <row r="684">
      <c r="A684" s="25" t="s">
        <v>18352</v>
      </c>
      <c r="B684" s="25" t="s">
        <v>18357</v>
      </c>
      <c r="C684" s="26" t="str">
        <f>HYPERLINK("https://audio.iskcondesiretree.com/02_-_ISKCON_Swamis/ISKCON_Swamis_-_R_to_Y/His_Holiness_Radhanath_Swami/Lectures/00_-_Year_wise/Devotional_Nectar_-_1993/1993-166_Learning_Through_The_Gopies_SB-10_47_38-39_Mumbai_-_31-10-93_IDesireTree.mp3", "1993-166_Learning_Through_The_Gopies_SB-10_47_38-39_Mumbai_-_31-10-93_IDesireTree.mp3")</f>
        <v>1993-166_Learning_Through_The_Gopies_SB-10_47_38-39_Mumbai_-_31-10-93_IDesireTree.mp3</v>
      </c>
      <c r="D684" s="24"/>
      <c r="E684" s="24"/>
    </row>
    <row r="685">
      <c r="A685" s="25" t="s">
        <v>18352</v>
      </c>
      <c r="B685" s="25" t="s">
        <v>18357</v>
      </c>
      <c r="C685" s="26" t="str">
        <f>HYPERLINK("https://audio.iskcondesiretree.com/02_-_ISKCON_Swamis/ISKCON_Swamis_-_R_to_Y/His_Holiness_Radhanath_Swami/Lectures/00_-_Year_wise/Devotional_Nectar_-_1993/1993-167_Story_Of_Murari_Gupta_SB-01_04_12_Mumbai_-_Radhanath_Swami_1993-10-31_IDesireTree.mp3", "1993-167_Story_Of_Murari_Gupta_SB-01_04_12_Mumbai_-_Radhanath_Swami_1993-10-31_IDesireTree.mp3")</f>
        <v>1993-167_Story_Of_Murari_Gupta_SB-01_04_12_Mumbai_-_Radhanath_Swami_1993-10-31_IDesireTree.mp3</v>
      </c>
      <c r="D685" s="24"/>
      <c r="E685" s="24"/>
    </row>
    <row r="686">
      <c r="A686" s="25" t="s">
        <v>18352</v>
      </c>
      <c r="B686" s="25" t="s">
        <v>18357</v>
      </c>
      <c r="C686" s="26" t="str">
        <f>HYPERLINK("https://audio.iskcondesiretree.com/02_-_ISKCON_Swamis/ISKCON_Swamis_-_R_to_Y/His_Holiness_Radhanath_Swami/Lectures/00_-_Year_wise/Devotional_Nectar_-_1993/1993-168_Serving_Vaishnavas_With_Life_And_Soul_SB-10_47_54-56_Mumbai_-_12-11-93_IDesireTree.mp3", "1993-168_Serving_Vaishnavas_With_Life_And_Soul_SB-10_47_54-56_Mumbai_-_12-11-93_IDesireTree.mp3")</f>
        <v>1993-168_Serving_Vaishnavas_With_Life_And_Soul_SB-10_47_54-56_Mumbai_-_12-11-93_IDesireTree.mp3</v>
      </c>
      <c r="D686" s="24"/>
      <c r="E686" s="24"/>
    </row>
    <row r="687">
      <c r="A687" s="25" t="s">
        <v>18352</v>
      </c>
      <c r="B687" s="25" t="s">
        <v>18357</v>
      </c>
      <c r="C687" s="26" t="str">
        <f>HYPERLINK("https://audio.iskcondesiretree.com/02_-_ISKCON_Swamis/ISKCON_Swamis_-_R_to_Y/His_Holiness_Radhanath_Swami/Lectures/00_-_Year_wise/Devotional_Nectar_-_1993/1993-169_Govardhan_Puja_SB-10_25_13_Mumbai_-_Radhanath_Swami_1993-11-15_IDesireTree.mp3", "1993-169_Govardhan_Puja_SB-10_25_13_Mumbai_-_Radhanath_Swami_1993-11-15_IDesireTree.mp3")</f>
        <v>1993-169_Govardhan_Puja_SB-10_25_13_Mumbai_-_Radhanath_Swami_1993-11-15_IDesireTree.mp3</v>
      </c>
      <c r="D687" s="24"/>
      <c r="E687" s="24"/>
    </row>
    <row r="688">
      <c r="A688" s="25" t="s">
        <v>18352</v>
      </c>
      <c r="B688" s="25" t="s">
        <v>18357</v>
      </c>
      <c r="C688" s="26" t="str">
        <f>HYPERLINK("https://audio.iskcondesiretree.com/02_-_ISKCON_Swamis/ISKCON_Swamis_-_R_to_Y/His_Holiness_Radhanath_Swami/Lectures/00_-_Year_wise/Devotional_Nectar_-_1993/1993-170_Uddava_Realies_True_Humility_SB-10_47_53_Mumbai_-_16-11-93_IDesireTree.mp3", "1993-170_Uddava_Realies_True_Humility_SB-10_47_53_Mumbai_-_16-11-93_IDesireTree.mp3")</f>
        <v>1993-170_Uddava_Realies_True_Humility_SB-10_47_53_Mumbai_-_16-11-93_IDesireTree.mp3</v>
      </c>
      <c r="D688" s="24"/>
      <c r="E688" s="24"/>
    </row>
    <row r="689">
      <c r="A689" s="25" t="s">
        <v>18352</v>
      </c>
      <c r="B689" s="25" t="s">
        <v>18357</v>
      </c>
      <c r="C689" s="26" t="str">
        <f>HYPERLINK("https://audio.iskcondesiretree.com/02_-_ISKCON_Swamis/ISKCON_Swamis_-_R_to_Y/His_Holiness_Radhanath_Swami/Lectures/00_-_Year_wise/Devotional_Nectar_-_1993/1993-171_Question_And_Answer_Q%26A_-_Radhanath_Swami_1993-12-02_IDesireTree.mp3", "1993-171_Question_And_Answer_Q%26A_-_Radhanath_Swami_1993-12-02_IDesireTree.mp3")</f>
        <v>1993-171_Question_And_Answer_Q%26A_-_Radhanath_Swami_1993-12-02_IDesireTree.mp3</v>
      </c>
      <c r="D689" s="24"/>
      <c r="E689" s="24"/>
    </row>
    <row r="690">
      <c r="A690" s="25" t="s">
        <v>18352</v>
      </c>
      <c r="B690" s="25" t="s">
        <v>18357</v>
      </c>
      <c r="C690" s="26" t="str">
        <f>HYPERLINK("https://audio.iskcondesiretree.com/02_-_ISKCON_Swamis/ISKCON_Swamis_-_R_to_Y/His_Holiness_Radhanath_Swami/Lectures/00_-_Year_wise/Devotional_Nectar_-_1993/1993-172_Harmony_Amongst_Various_Varnas_And_Ashramas_SB-01_02_13_Mumbai_-_05-12-93_IDesireTree.mp3", "1993-172_Harmony_Amongst_Various_Varnas_And_Ashramas_SB-01_02_13_Mumbai_-_05-12-93_IDesireTree.mp3")</f>
        <v>1993-172_Harmony_Amongst_Various_Varnas_And_Ashramas_SB-01_02_13_Mumbai_-_05-12-93_IDesireTree.mp3</v>
      </c>
      <c r="D690" s="24"/>
      <c r="E690" s="24"/>
    </row>
    <row r="691">
      <c r="A691" s="25" t="s">
        <v>18352</v>
      </c>
      <c r="B691" s="25" t="s">
        <v>18357</v>
      </c>
      <c r="C691" s="26" t="str">
        <f>HYPERLINK("https://audio.iskcondesiretree.com/02_-_ISKCON_Swamis/ISKCON_Swamis_-_R_to_Y/His_Holiness_Radhanath_Swami/Lectures/00_-_Year_wise/Devotional_Nectar_-_1993/1993-173_Spiritual_Master_Serving_His_Disciples_BG-12_08_Mumbai_-_07-12-93_IDesireTree.mp3", "1993-173_Spiritual_Master_Serving_His_Disciples_BG-12_08_Mumbai_-_07-12-93_IDesireTree.mp3")</f>
        <v>1993-173_Spiritual_Master_Serving_His_Disciples_BG-12_08_Mumbai_-_07-12-93_IDesireTree.mp3</v>
      </c>
      <c r="D691" s="24"/>
      <c r="E691" s="24"/>
    </row>
    <row r="692">
      <c r="A692" s="25" t="s">
        <v>18352</v>
      </c>
      <c r="B692" s="25" t="s">
        <v>18357</v>
      </c>
      <c r="C692" s="26" t="str">
        <f>HYPERLINK("https://audio.iskcondesiretree.com/02_-_ISKCON_Swamis/ISKCON_Swamis_-_R_to_Y/His_Holiness_Radhanath_Swami/Lectures/00_-_Year_wise/Devotional_Nectar_-_1993/1993-174_Narahari_Sarkar_Disappearance_SB-10_49_12-19_Mumbai_-_09-12-93_IDesireTree.mp3", "1993-174_Narahari_Sarkar_Disappearance_SB-10_49_12-19_Mumbai_-_09-12-93_IDesireTree.mp3")</f>
        <v>1993-174_Narahari_Sarkar_Disappearance_SB-10_49_12-19_Mumbai_-_09-12-93_IDesireTree.mp3</v>
      </c>
      <c r="D692" s="24"/>
      <c r="E692" s="24"/>
    </row>
    <row r="693">
      <c r="A693" s="25" t="s">
        <v>18352</v>
      </c>
      <c r="B693" s="25" t="s">
        <v>18357</v>
      </c>
      <c r="C693" s="26" t="str">
        <f>HYPERLINK("https://audio.iskcondesiretree.com/02_-_ISKCON_Swamis/ISKCON_Swamis_-_R_to_Y/His_Holiness_Radhanath_Swami/Lectures/00_-_Year_wise/Devotional_Nectar_-_1993/1993-175_Being_Eager_And_Greedy_For_Krishna_BG-10_31_Mumbai_-_09-12-93_IDesireTree.mp3", "1993-175_Being_Eager_And_Greedy_For_Krishna_BG-10_31_Mumbai_-_09-12-93_IDesireTree.mp3")</f>
        <v>1993-175_Being_Eager_And_Greedy_For_Krishna_BG-10_31_Mumbai_-_09-12-93_IDesireTree.mp3</v>
      </c>
      <c r="D693" s="24"/>
      <c r="E693" s="24"/>
    </row>
    <row r="694">
      <c r="A694" s="25" t="s">
        <v>18352</v>
      </c>
      <c r="B694" s="25" t="s">
        <v>18357</v>
      </c>
      <c r="C694" s="26" t="str">
        <f>HYPERLINK("https://audio.iskcondesiretree.com/02_-_ISKCON_Swamis/ISKCON_Swamis_-_R_to_Y/His_Holiness_Radhanath_Swami/Lectures/00_-_Year_wise/Devotional_Nectar_-_1993/1993-176_Envy-_The_Greatest_Impediment_SB-10_43_7-11_Mumbai_-_11-12-93_IDesireTree.mp3", "1993-176_Envy-_The_Greatest_Impediment_SB-10_43_7-11_Mumbai_-_11-12-93_IDesireTree.mp3")</f>
        <v>1993-176_Envy-_The_Greatest_Impediment_SB-10_43_7-11_Mumbai_-_11-12-93_IDesireTree.mp3</v>
      </c>
      <c r="D694" s="24"/>
      <c r="E694" s="24"/>
    </row>
    <row r="695">
      <c r="A695" s="25" t="s">
        <v>18352</v>
      </c>
      <c r="B695" s="25" t="s">
        <v>18357</v>
      </c>
      <c r="C695" s="26" t="str">
        <f>HYPERLINK("https://audio.iskcondesiretree.com/02_-_ISKCON_Swamis/ISKCON_Swamis_-_R_to_Y/His_Holiness_Radhanath_Swami/Lectures/00_-_Year_wise/Devotional_Nectar_-_1993/1993-177_Chanting_Outweighs_Everything_Lecture_Mumbai_-_Radhanath_Swami_1993-12-11_IDesireTree.mp3", "1993-177_Chanting_Outweighs_Everything_Lecture_Mumbai_-_Radhanath_Swami_1993-12-11_IDesireTree.mp3")</f>
        <v>1993-177_Chanting_Outweighs_Everything_Lecture_Mumbai_-_Radhanath_Swami_1993-12-11_IDesireTree.mp3</v>
      </c>
      <c r="D695" s="24"/>
      <c r="E695" s="24"/>
    </row>
    <row r="696">
      <c r="A696" s="25" t="s">
        <v>18352</v>
      </c>
      <c r="B696" s="25" t="s">
        <v>18357</v>
      </c>
      <c r="C696" s="26" t="str">
        <f>HYPERLINK("https://audio.iskcondesiretree.com/02_-_ISKCON_Swamis/ISKCON_Swamis_-_R_to_Y/His_Holiness_Radhanath_Swami/Lectures/00_-_Year_wise/Devotional_Nectar_-_1993/1993-178_Devotees_Helplessness_SB-10_49_01-04_Mumbai_-_Radhanath_Swami_1993-12-12_IDesireTree.mp3", "1993-178_Devotees_Helplessness_SB-10_49_01-04_Mumbai_-_Radhanath_Swami_1993-12-12_IDesireTree.mp3")</f>
        <v>1993-178_Devotees_Helplessness_SB-10_49_01-04_Mumbai_-_Radhanath_Swami_1993-12-12_IDesireTree.mp3</v>
      </c>
      <c r="D696" s="24"/>
      <c r="E696" s="24"/>
    </row>
    <row r="697">
      <c r="A697" s="25" t="s">
        <v>18352</v>
      </c>
      <c r="B697" s="25" t="s">
        <v>18357</v>
      </c>
      <c r="C697" s="26" t="str">
        <f>HYPERLINK("https://audio.iskcondesiretree.com/02_-_ISKCON_Swamis/ISKCON_Swamis_-_R_to_Y/His_Holiness_Radhanath_Swami/Lectures/00_-_Year_wise/Devotional_Nectar_-_1993/1993-179_Greatest_Benediction_In_Kaliyuga_SB-11_05_37_Mumbai_-_12-12-93_IDesireTree.mp3", "1993-179_Greatest_Benediction_In_Kaliyuga_SB-11_05_37_Mumbai_-_12-12-93_IDesireTree.mp3")</f>
        <v>1993-179_Greatest_Benediction_In_Kaliyuga_SB-11_05_37_Mumbai_-_12-12-93_IDesireTree.mp3</v>
      </c>
      <c r="D697" s="24"/>
      <c r="E697" s="24"/>
    </row>
    <row r="698">
      <c r="A698" s="25" t="s">
        <v>18352</v>
      </c>
      <c r="B698" s="25" t="s">
        <v>18357</v>
      </c>
      <c r="C698" s="26" t="str">
        <f>HYPERLINK("https://audio.iskcondesiretree.com/02_-_ISKCON_Swamis/ISKCON_Swamis_-_R_to_Y/His_Holiness_Radhanath_Swami/Lectures/00_-_Year_wise/Devotional_Nectar_-_1993/1993-180_Most_Of_Us_Are_Uncivilized_SB-01_05_12_Mumbai_-_Radhanath_Swami_1993-12-12_IDesireTree.mp3", "1993-180_Most_Of_Us_Are_Uncivilized_SB-01_05_12_Mumbai_-_Radhanath_Swami_1993-12-12_IDesireTree.mp3")</f>
        <v>1993-180_Most_Of_Us_Are_Uncivilized_SB-01_05_12_Mumbai_-_Radhanath_Swami_1993-12-12_IDesireTree.mp3</v>
      </c>
      <c r="D698" s="24"/>
      <c r="E698" s="24"/>
    </row>
    <row r="699">
      <c r="A699" s="25" t="s">
        <v>18352</v>
      </c>
      <c r="B699" s="25" t="s">
        <v>18357</v>
      </c>
      <c r="C699" s="26" t="str">
        <f>HYPERLINK("https://audio.iskcondesiretree.com/02_-_ISKCON_Swamis/ISKCON_Swamis_-_R_to_Y/His_Holiness_Radhanath_Swami/Lectures/00_-_Year_wise/Devotional_Nectar_-_1993/1993-181_Glories_Of_Queen_Kunti_SB-10_49_14-15_Mumbai_-_Radhanath_Swami_1993-12-13_IDesireTree.mp3", "1993-181_Glories_Of_Queen_Kunti_SB-10_49_14-15_Mumbai_-_Radhanath_Swami_1993-12-13_IDesireTree.mp3")</f>
        <v>1993-181_Glories_Of_Queen_Kunti_SB-10_49_14-15_Mumbai_-_Radhanath_Swami_1993-12-13_IDesireTree.mp3</v>
      </c>
      <c r="D699" s="24"/>
      <c r="E699" s="24"/>
    </row>
    <row r="700">
      <c r="A700" s="25" t="s">
        <v>18352</v>
      </c>
      <c r="B700" s="25" t="s">
        <v>18357</v>
      </c>
      <c r="C700" s="26" t="str">
        <f>HYPERLINK("https://audio.iskcondesiretree.com/02_-_ISKCON_Swamis/ISKCON_Swamis_-_R_to_Y/His_Holiness_Radhanath_Swami/Lectures/00_-_Year_wise/Devotional_Nectar_-_1993/1993-182_Five_Principles_Of_Spiritual_Advancement_SB-01_01_15_Mumbai_-_14-12-93_IDesireTree.mp3", "1993-182_Five_Principles_Of_Spiritual_Advancement_SB-01_01_15_Mumbai_-_14-12-93_IDesireTree.mp3")</f>
        <v>1993-182_Five_Principles_Of_Spiritual_Advancement_SB-01_01_15_Mumbai_-_14-12-93_IDesireTree.mp3</v>
      </c>
      <c r="D700" s="24"/>
      <c r="E700" s="24"/>
    </row>
    <row r="701">
      <c r="A701" s="25" t="s">
        <v>18352</v>
      </c>
      <c r="B701" s="25" t="s">
        <v>18357</v>
      </c>
      <c r="C701" s="26" t="str">
        <f>HYPERLINK("https://audio.iskcondesiretree.com/02_-_ISKCON_Swamis/ISKCON_Swamis_-_R_to_Y/His_Holiness_Radhanath_Swami/Lectures/00_-_Year_wise/Devotional_Nectar_-_1993/1993-183_The_Supreme_Yajna_BG-03_14_Mumbai_-_Radhanath_Swami_1993-12-15_IDesireTree.mp3", "1993-183_The_Supreme_Yajna_BG-03_14_Mumbai_-_Radhanath_Swami_1993-12-15_IDesireTree.mp3")</f>
        <v>1993-183_The_Supreme_Yajna_BG-03_14_Mumbai_-_Radhanath_Swami_1993-12-15_IDesireTree.mp3</v>
      </c>
      <c r="D701" s="24"/>
      <c r="E701" s="24"/>
    </row>
    <row r="702">
      <c r="A702" s="25" t="s">
        <v>18352</v>
      </c>
      <c r="B702" s="25" t="s">
        <v>18357</v>
      </c>
      <c r="C702" s="26" t="str">
        <f>HYPERLINK("https://audio.iskcondesiretree.com/02_-_ISKCON_Swamis/ISKCON_Swamis_-_R_to_Y/His_Holiness_Radhanath_Swami/Lectures/00_-_Year_wise/Devotional_Nectar_-_1993/1993-184_Disguised_Duryodhanas_SB-10_49_22_Mumbai_-_Radhanath_Swami_1993-12-17_IDesireTree.mp3", "1993-184_Disguised_Duryodhanas_SB-10_49_22_Mumbai_-_Radhanath_Swami_1993-12-17_IDesireTree.mp3")</f>
        <v>1993-184_Disguised_Duryodhanas_SB-10_49_22_Mumbai_-_Radhanath_Swami_1993-12-17_IDesireTree.mp3</v>
      </c>
      <c r="D702" s="24"/>
      <c r="E702" s="24"/>
    </row>
    <row r="703">
      <c r="A703" s="25" t="s">
        <v>18352</v>
      </c>
      <c r="B703" s="25" t="s">
        <v>18357</v>
      </c>
      <c r="C703" s="26" t="str">
        <f>HYPERLINK("https://audio.iskcondesiretree.com/02_-_ISKCON_Swamis/ISKCON_Swamis_-_R_to_Y/His_Holiness_Radhanath_Swami/Lectures/00_-_Year_wise/Devotional_Nectar_-_1993/1993-185_Only_By_Realising_The_Goal_Of_Life_CC-adi_08_63_Mumbai_-_17-12-93_IDesireTree.mp3", "1993-185_Only_By_Realising_The_Goal_Of_Life_CC-adi_08_63_Mumbai_-_17-12-93_IDesireTree.mp3")</f>
        <v>1993-185_Only_By_Realising_The_Goal_Of_Life_CC-adi_08_63_Mumbai_-_17-12-93_IDesireTree.mp3</v>
      </c>
      <c r="D703" s="24"/>
      <c r="E703" s="24"/>
    </row>
    <row r="704">
      <c r="A704" s="25" t="s">
        <v>18352</v>
      </c>
      <c r="B704" s="25" t="s">
        <v>18357</v>
      </c>
      <c r="C704" s="26" t="str">
        <f>HYPERLINK("https://audio.iskcondesiretree.com/02_-_ISKCON_Swamis/ISKCON_Swamis_-_R_to_Y/His_Holiness_Radhanath_Swami/Lectures/00_-_Year_wise/Devotional_Nectar_-_1993/1993-186_Dhritarshtra_Within_Us_SB-10_49_23-25_Mumbai_-_Radhanath_Swami_1993-12-18_IDesireTree.mp3", "1993-186_Dhritarshtra_Within_Us_SB-10_49_23-25_Mumbai_-_Radhanath_Swami_1993-12-18_IDesireTree.mp3")</f>
        <v>1993-186_Dhritarshtra_Within_Us_SB-10_49_23-25_Mumbai_-_Radhanath_Swami_1993-12-18_IDesireTree.mp3</v>
      </c>
      <c r="D704" s="24"/>
      <c r="E704" s="24"/>
    </row>
    <row r="705">
      <c r="A705" s="25" t="s">
        <v>18352</v>
      </c>
      <c r="B705" s="25" t="s">
        <v>18357</v>
      </c>
      <c r="C705" s="26" t="str">
        <f>HYPERLINK("https://audio.iskcondesiretree.com/02_-_ISKCON_Swamis/ISKCON_Swamis_-_R_to_Y/His_Holiness_Radhanath_Swami/Lectures/00_-_Year_wise/Devotional_Nectar_-_1993/1993-187_Beware_Of_Plunderers_SB-10_49_26-28_Mumbai_-_Radhanath_Swami_1993-12-19_IDesireTree.mp3", "1993-187_Beware_Of_Plunderers_SB-10_49_26-28_Mumbai_-_Radhanath_Swami_1993-12-19_IDesireTree.mp3")</f>
        <v>1993-187_Beware_Of_Plunderers_SB-10_49_26-28_Mumbai_-_Radhanath_Swami_1993-12-19_IDesireTree.mp3</v>
      </c>
      <c r="D705" s="24"/>
      <c r="E705" s="24"/>
    </row>
    <row r="706">
      <c r="A706" s="25" t="s">
        <v>18352</v>
      </c>
      <c r="B706" s="25" t="s">
        <v>18357</v>
      </c>
      <c r="C706" s="26" t="str">
        <f>HYPERLINK("https://audio.iskcondesiretree.com/02_-_ISKCON_Swamis/ISKCON_Swamis_-_R_to_Y/His_Holiness_Radhanath_Swami/Lectures/00_-_Year_wise/Devotional_Nectar_-_1993/1993-188_Fire_Of_Harinaam_BG-03_10_Mumbai_-_Radhanath_Swami_1993-12-19_IDesireTree.mp3", "1993-188_Fire_Of_Harinaam_BG-03_10_Mumbai_-_Radhanath_Swami_1993-12-19_IDesireTree.mp3")</f>
        <v>1993-188_Fire_Of_Harinaam_BG-03_10_Mumbai_-_Radhanath_Swami_1993-12-19_IDesireTree.mp3</v>
      </c>
      <c r="D706" s="24"/>
      <c r="E706" s="24"/>
    </row>
    <row r="707">
      <c r="A707" s="25" t="s">
        <v>18352</v>
      </c>
      <c r="B707" s="25" t="s">
        <v>18357</v>
      </c>
      <c r="C707" s="26" t="str">
        <f>HYPERLINK("https://audio.iskcondesiretree.com/02_-_ISKCON_Swamis/ISKCON_Swamis_-_R_to_Y/His_Holiness_Radhanath_Swami/Lectures/00_-_Year_wise/Devotional_Nectar_-_1993/1993-189_To_Have_Determination_SB-01_06_22_Mumbai_-_Radhanath_Swami_1993-12-19_IDesireTree.mp3", "1993-189_To_Have_Determination_SB-01_06_22_Mumbai_-_Radhanath_Swami_1993-12-19_IDesireTree.mp3")</f>
        <v>1993-189_To_Have_Determination_SB-01_06_22_Mumbai_-_Radhanath_Swami_1993-12-19_IDesireTree.mp3</v>
      </c>
      <c r="D707" s="24"/>
      <c r="E707" s="24"/>
    </row>
    <row r="708">
      <c r="A708" s="25" t="s">
        <v>18352</v>
      </c>
      <c r="B708" s="25" t="s">
        <v>18357</v>
      </c>
      <c r="C708" s="26" t="str">
        <f>HYPERLINK("https://audio.iskcondesiretree.com/02_-_ISKCON_Swamis/ISKCON_Swamis_-_R_to_Y/His_Holiness_Radhanath_Swami/Lectures/00_-_Year_wise/Devotional_Nectar_-_1993/1993-190_Dhritarashtra_Surrenders_SB-10_49_29-31_Mumbai_-_Radhanath_Swami_1993-12-20_IDesireTree.mp3", "1993-190_Dhritarashtra_Surrenders_SB-10_49_29-31_Mumbai_-_Radhanath_Swami_1993-12-20_IDesireTree.mp3")</f>
        <v>1993-190_Dhritarashtra_Surrenders_SB-10_49_29-31_Mumbai_-_Radhanath_Swami_1993-12-20_IDesireTree.mp3</v>
      </c>
      <c r="D708" s="24"/>
      <c r="E708" s="24"/>
    </row>
    <row r="709">
      <c r="A709" s="25" t="s">
        <v>18352</v>
      </c>
      <c r="B709" s="25" t="s">
        <v>18357</v>
      </c>
      <c r="C709" s="26" t="str">
        <f>HYPERLINK("https://audio.iskcondesiretree.com/02_-_ISKCON_Swamis/ISKCON_Swamis_-_R_to_Y/His_Holiness_Radhanath_Swami/Lectures/00_-_Year_wise/Devotional_Nectar_-_1993/1993-191_Jesus_Christ_SB-10_50_19_Mumbai_-_Radhanath_Swami_1993-12-25_IDesireTree.mp3", "1993-191_Jesus_Christ_SB-10_50_19_Mumbai_-_Radhanath_Swami_1993-12-25_IDesireTree.mp3")</f>
        <v>1993-191_Jesus_Christ_SB-10_50_19_Mumbai_-_Radhanath_Swami_1993-12-25_IDesireTree.mp3</v>
      </c>
      <c r="D709" s="24"/>
      <c r="E709" s="24"/>
    </row>
    <row r="710">
      <c r="A710" s="25" t="s">
        <v>18352</v>
      </c>
      <c r="B710" s="25" t="s">
        <v>18357</v>
      </c>
      <c r="C710" s="26" t="str">
        <f>HYPERLINK("https://audio.iskcondesiretree.com/02_-_ISKCON_Swamis/ISKCON_Swamis_-_R_to_Y/His_Holiness_Radhanath_Swami/Lectures/00_-_Year_wise/Devotional_Nectar_-_1993/1993-192_Inconceivable_Weapon_SB-10_50_20_Mumbai_-_Radhanath_Swami_1993-12-26_IDesireTree.mp3", "1993-192_Inconceivable_Weapon_SB-10_50_20_Mumbai_-_Radhanath_Swami_1993-12-26_IDesireTree.mp3")</f>
        <v>1993-192_Inconceivable_Weapon_SB-10_50_20_Mumbai_-_Radhanath_Swami_1993-12-26_IDesireTree.mp3</v>
      </c>
      <c r="D710" s="24"/>
      <c r="E710" s="24"/>
    </row>
    <row r="711">
      <c r="A711" s="25" t="s">
        <v>18352</v>
      </c>
      <c r="B711" s="25" t="s">
        <v>18357</v>
      </c>
      <c r="C711" s="26" t="str">
        <f>HYPERLINK("https://audio.iskcondesiretree.com/02_-_ISKCON_Swamis/ISKCON_Swamis_-_R_to_Y/His_Holiness_Radhanath_Swami/Lectures/00_-_Year_wise/Devotional_Nectar_-_1993/1993-193_Essence_Of_True_Renunciation_BG-18_01_Mayapur_-_Radhanath_Swami_1993-12-28_IDesireTree.mp3", "1993-193_Essence_Of_True_Renunciation_BG-18_01_Mayapur_-_Radhanath_Swami_1993-12-28_IDesireTree.mp3")</f>
        <v>1993-193_Essence_Of_True_Renunciation_BG-18_01_Mayapur_-_Radhanath_Swami_1993-12-28_IDesireTree.mp3</v>
      </c>
      <c r="D711" s="24"/>
      <c r="E711" s="24"/>
    </row>
    <row r="712">
      <c r="A712" s="25" t="s">
        <v>18352</v>
      </c>
      <c r="B712" s="25" t="s">
        <v>18357</v>
      </c>
      <c r="C712" s="26" t="str">
        <f>HYPERLINK("https://audio.iskcondesiretree.com/02_-_ISKCON_Swamis/ISKCON_Swamis_-_R_to_Y/His_Holiness_Radhanath_Swami/Lectures/00_-_Year_wise/Devotional_Nectar_-_1993/1993-194_Jada_Bharat_Instructing_King_Rahuguna_SB-05_10_13_Rainbow_Lecture_-_93_IDesireTree.mp3", "1993-194_Jada_Bharat_Instructing_King_Rahuguna_SB-05_10_13_Rainbow_Lecture_-_93_IDesireTree.mp3")</f>
        <v>1993-194_Jada_Bharat_Instructing_King_Rahuguna_SB-05_10_13_Rainbow_Lecture_-_93_IDesireTree.mp3</v>
      </c>
      <c r="D712" s="24"/>
      <c r="E712" s="24"/>
    </row>
    <row r="713">
      <c r="A713" s="25" t="s">
        <v>18352</v>
      </c>
      <c r="B713" s="25" t="s">
        <v>18357</v>
      </c>
      <c r="C713" s="26" t="str">
        <f>HYPERLINK("https://audio.iskcondesiretree.com/02_-_ISKCON_Swamis/ISKCON_Swamis_-_R_to_Y/His_Holiness_Radhanath_Swami/Lectures/00_-_Year_wise/Devotional_Nectar_-_1993/1993-195_Man_Hanging_from_Cliff_Lecture_Rainbow_Festival_-_Radhanath_Swami_IDesireTree.mp3", "1993-195_Man_Hanging_from_Cliff_Lecture_Rainbow_Festival_-_Radhanath_Swami_IDesireTree.mp3")</f>
        <v>1993-195_Man_Hanging_from_Cliff_Lecture_Rainbow_Festival_-_Radhanath_Swami_IDesireTree.mp3</v>
      </c>
      <c r="D713" s="24"/>
      <c r="E713" s="24"/>
    </row>
    <row r="714">
      <c r="A714" s="25" t="s">
        <v>18352</v>
      </c>
      <c r="B714" s="25" t="s">
        <v>18357</v>
      </c>
      <c r="C714" s="26" t="str">
        <f>HYPERLINK("https://audio.iskcondesiretree.com/02_-_ISKCON_Swamis/ISKCON_Swamis_-_R_to_Y/His_Holiness_Radhanath_Swami/Lectures/00_-_Year_wise/Devotional_Nectar_-_1993/1993-196_Story_Of_Jada_Bharata_SB-05_10_13_Rainbow_-_Radhanath_Swami_1993_IDesireTree.mp3", "1993-196_Story_Of_Jada_Bharata_SB-05_10_13_Rainbow_-_Radhanath_Swami_1993_IDesireTree.mp3")</f>
        <v>1993-196_Story_Of_Jada_Bharata_SB-05_10_13_Rainbow_-_Radhanath_Swami_1993_IDesireTree.mp3</v>
      </c>
      <c r="D714" s="24"/>
      <c r="E714" s="24"/>
    </row>
    <row r="715">
      <c r="A715" s="25" t="s">
        <v>18352</v>
      </c>
      <c r="B715" s="25" t="s">
        <v>18358</v>
      </c>
      <c r="C715" s="26" t="str">
        <f>HYPERLINK("https://audio.iskcondesiretree.com/02_-_ISKCON_Swamis/ISKCON_Swamis_-_R_to_Y/His_Holiness_Radhanath_Swami/Lectures/00_-_Year_wise/Devotional_Nectar_-_1994/1994-001_Unalloyed_Devotional_Service_SB-03_29_10_Mayapur_-_02-01-94_IDesireTree.mp3", "1994-001_Unalloyed_Devotional_Service_SB-03_29_10_Mayapur_-_02-01-94_IDesireTree.mp3")</f>
        <v>1994-001_Unalloyed_Devotional_Service_SB-03_29_10_Mayapur_-_02-01-94_IDesireTree.mp3</v>
      </c>
      <c r="D715" s="24"/>
      <c r="E715" s="24"/>
    </row>
    <row r="716">
      <c r="A716" s="25" t="s">
        <v>18352</v>
      </c>
      <c r="B716" s="25" t="s">
        <v>18358</v>
      </c>
      <c r="C716" s="26" t="str">
        <f>HYPERLINK("https://audio.iskcondesiretree.com/02_-_ISKCON_Swamis/ISKCON_Swamis_-_R_to_Y/His_Holiness_Radhanath_Swami/Lectures/00_-_Year_wise/Devotional_Nectar_-_1994/1994-002_Question_And_Answer_Q%26A_Mayapur_-_Radhanath_Swami_1994-01-02_IDesireTree.mp3", "1994-002_Question_And_Answer_Q%26A_Mayapur_-_Radhanath_Swami_1994-01-02_IDesireTree.mp3")</f>
        <v>1994-002_Question_And_Answer_Q%26A_Mayapur_-_Radhanath_Swami_1994-01-02_IDesireTree.mp3</v>
      </c>
      <c r="D716" s="24"/>
      <c r="E716" s="24"/>
    </row>
    <row r="717">
      <c r="A717" s="25" t="s">
        <v>18352</v>
      </c>
      <c r="B717" s="25" t="s">
        <v>18358</v>
      </c>
      <c r="C717" s="26" t="str">
        <f>HYPERLINK("https://audio.iskcondesiretree.com/02_-_ISKCON_Swamis/ISKCON_Swamis_-_R_to_Y/His_Holiness_Radhanath_Swami/Lectures/00_-_Year_wise/Devotional_Nectar_-_1994/1994-003_Lord_Krishna-_The_Only_Controller_SB-01_15_29_Mumbai_-_09-01-94_IDesireTree.mp3", "1994-003_Lord_Krishna-_The_Only_Controller_SB-01_15_29_Mumbai_-_09-01-94_IDesireTree.mp3")</f>
        <v>1994-003_Lord_Krishna-_The_Only_Controller_SB-01_15_29_Mumbai_-_09-01-94_IDesireTree.mp3</v>
      </c>
      <c r="D717" s="24"/>
      <c r="E717" s="24"/>
    </row>
    <row r="718">
      <c r="A718" s="25" t="s">
        <v>18352</v>
      </c>
      <c r="B718" s="25" t="s">
        <v>18358</v>
      </c>
      <c r="C718" s="26" t="str">
        <f>HYPERLINK("https://audio.iskcondesiretree.com/02_-_ISKCON_Swamis/ISKCON_Swamis_-_R_to_Y/His_Holiness_Radhanath_Swami/Lectures/00_-_Year_wise/Devotional_Nectar_-_1994/1994-004_Who_Is_Our_Real_Friend_SB-10_51_01-06_Mumbai_-_Radhanath_Swami_1994-01-11_IDesireTree.mp3", "1994-004_Who_Is_Our_Real_Friend_SB-10_51_01-06_Mumbai_-_Radhanath_Swami_1994-01-11_IDesireTree.mp3")</f>
        <v>1994-004_Who_Is_Our_Real_Friend_SB-10_51_01-06_Mumbai_-_Radhanath_Swami_1994-01-11_IDesireTree.mp3</v>
      </c>
      <c r="D718" s="24"/>
      <c r="E718" s="24"/>
    </row>
    <row r="719">
      <c r="A719" s="25" t="s">
        <v>18352</v>
      </c>
      <c r="B719" s="25" t="s">
        <v>18358</v>
      </c>
      <c r="C719" s="26" t="str">
        <f>HYPERLINK("https://audio.iskcondesiretree.com/02_-_ISKCON_Swamis/ISKCON_Swamis_-_R_to_Y/His_Holiness_Radhanath_Swami/Lectures/00_-_Year_wise/Devotional_Nectar_-_1994/1994-005_Teachings_Of_Bhagavad_Gita_BG-07_02_Mumbai_-_Radhanath_Swami_1994-01-11_IDesireTree.mp3", "1994-005_Teachings_Of_Bhagavad_Gita_BG-07_02_Mumbai_-_Radhanath_Swami_1994-01-11_IDesireTree.mp3")</f>
        <v>1994-005_Teachings_Of_Bhagavad_Gita_BG-07_02_Mumbai_-_Radhanath_Swami_1994-01-11_IDesireTree.mp3</v>
      </c>
      <c r="D719" s="24"/>
      <c r="E719" s="24"/>
    </row>
    <row r="720">
      <c r="A720" s="25" t="s">
        <v>18352</v>
      </c>
      <c r="B720" s="25" t="s">
        <v>18358</v>
      </c>
      <c r="C720" s="26" t="str">
        <f>HYPERLINK("https://audio.iskcondesiretree.com/02_-_ISKCON_Swamis/ISKCON_Swamis_-_R_to_Y/His_Holiness_Radhanath_Swami/Lectures/00_-_Year_wise/Devotional_Nectar_-_1994/1994-006_Humbling_Ourselves_SB-01_02_19_Mumbai_-_Radhanath_Swami_1994-01-13_IDesireTree.mp3", "1994-006_Humbling_Ourselves_SB-01_02_19_Mumbai_-_Radhanath_Swami_1994-01-13_IDesireTree.mp3")</f>
        <v>1994-006_Humbling_Ourselves_SB-01_02_19_Mumbai_-_Radhanath_Swami_1994-01-13_IDesireTree.mp3</v>
      </c>
      <c r="D720" s="24"/>
      <c r="E720" s="24"/>
    </row>
    <row r="721">
      <c r="A721" s="25" t="s">
        <v>18352</v>
      </c>
      <c r="B721" s="25" t="s">
        <v>18358</v>
      </c>
      <c r="C721" s="26" t="str">
        <f>HYPERLINK("https://audio.iskcondesiretree.com/02_-_ISKCON_Swamis/ISKCON_Swamis_-_R_to_Y/His_Holiness_Radhanath_Swami/Lectures/00_-_Year_wise/Devotional_Nectar_-_1994/1994-007_Disappearance_Of_Srila_Jiva_Goswami_SB-10_51_13_Mumbai_-_14-01-94_IDesireTree.mp3", "1994-007_Disappearance_Of_Srila_Jiva_Goswami_SB-10_51_13_Mumbai_-_14-01-94_IDesireTree.mp3")</f>
        <v>1994-007_Disappearance_Of_Srila_Jiva_Goswami_SB-10_51_13_Mumbai_-_14-01-94_IDesireTree.mp3</v>
      </c>
      <c r="D721" s="24"/>
      <c r="E721" s="24"/>
    </row>
    <row r="722">
      <c r="A722" s="25" t="s">
        <v>18352</v>
      </c>
      <c r="B722" s="25" t="s">
        <v>18358</v>
      </c>
      <c r="C722" s="26" t="str">
        <f>HYPERLINK("https://audio.iskcondesiretree.com/02_-_ISKCON_Swamis/ISKCON_Swamis_-_R_to_Y/His_Holiness_Radhanath_Swami/Lectures/00_-_Year_wise/Devotional_Nectar_-_1994/1994-008_Value_Of_the_Holy_Name_Lecture_Mumbai_-_Radhanath_Swami_1994-01-15_IDesireTree.mp3", "1994-008_Value_Of_the_Holy_Name_Lecture_Mumbai_-_Radhanath_Swami_1994-01-15_IDesireTree.mp3")</f>
        <v>1994-008_Value_Of_the_Holy_Name_Lecture_Mumbai_-_Radhanath_Swami_1994-01-15_IDesireTree.mp3</v>
      </c>
      <c r="D722" s="24"/>
      <c r="E722" s="24"/>
    </row>
    <row r="723">
      <c r="A723" s="25" t="s">
        <v>18352</v>
      </c>
      <c r="B723" s="25" t="s">
        <v>18358</v>
      </c>
      <c r="C723" s="26" t="str">
        <f>HYPERLINK("https://audio.iskcondesiretree.com/02_-_ISKCON_Swamis/ISKCON_Swamis_-_R_to_Y/His_Holiness_Radhanath_Swami/Lectures/00_-_Year_wise/Devotional_Nectar_-_1994/1994-009_We_Should_Wake_Up_SB-10_51_27_Mumbai_-_Radhanath_Swami_1994-01-16_IDesireTree.mp3", "1994-009_We_Should_Wake_Up_SB-10_51_27_Mumbai_-_Radhanath_Swami_1994-01-16_IDesireTree.mp3")</f>
        <v>1994-009_We_Should_Wake_Up_SB-10_51_27_Mumbai_-_Radhanath_Swami_1994-01-16_IDesireTree.mp3</v>
      </c>
      <c r="D723" s="24"/>
      <c r="E723" s="24"/>
    </row>
    <row r="724">
      <c r="A724" s="25" t="s">
        <v>18352</v>
      </c>
      <c r="B724" s="25" t="s">
        <v>18358</v>
      </c>
      <c r="C724" s="26" t="str">
        <f>HYPERLINK("https://audio.iskcondesiretree.com/02_-_ISKCON_Swamis/ISKCON_Swamis_-_R_to_Y/His_Holiness_Radhanath_Swami/Lectures/00_-_Year_wise/Devotional_Nectar_-_1994/1994-010_Question_And_Answer_Q%26A_Mumbai_-_Radhanath_Swami_1994-01-16_IDesireTree.mp3", "1994-010_Question_And_Answer_Q%26A_Mumbai_-_Radhanath_Swami_1994-01-16_IDesireTree.mp3")</f>
        <v>1994-010_Question_And_Answer_Q%26A_Mumbai_-_Radhanath_Swami_1994-01-16_IDesireTree.mp3</v>
      </c>
      <c r="D724" s="24"/>
      <c r="E724" s="24"/>
    </row>
    <row r="725">
      <c r="A725" s="25" t="s">
        <v>18352</v>
      </c>
      <c r="B725" s="25" t="s">
        <v>18358</v>
      </c>
      <c r="C725" s="26" t="str">
        <f>HYPERLINK("https://audio.iskcondesiretree.com/02_-_ISKCON_Swamis/ISKCON_Swamis_-_R_to_Y/His_Holiness_Radhanath_Swami/Lectures/00_-_Year_wise/Devotional_Nectar_-_1994/1994-011_Path_of_Pure_devotional_service_I_SB-02_03_24_Pune_-_22-01-94_IDesireTree.mp3", "1994-011_Path_of_Pure_devotional_service_I_SB-02_03_24_Pune_-_22-01-94_IDesireTree.mp3")</f>
        <v>1994-011_Path_of_Pure_devotional_service_I_SB-02_03_24_Pune_-_22-01-94_IDesireTree.mp3</v>
      </c>
      <c r="D725" s="24"/>
      <c r="E725" s="24"/>
    </row>
    <row r="726">
      <c r="A726" s="25" t="s">
        <v>18352</v>
      </c>
      <c r="B726" s="25" t="s">
        <v>18358</v>
      </c>
      <c r="C726" s="26" t="str">
        <f>HYPERLINK("https://audio.iskcondesiretree.com/02_-_ISKCON_Swamis/ISKCON_Swamis_-_R_to_Y/His_Holiness_Radhanath_Swami/Lectures/00_-_Year_wise/Devotional_Nectar_-_1994/1994-012_Accepting_Mercy_with_Humility-I_SB-02_03_21_Pune_-_23-01-94_IDesireTree.mp3", "1994-012_Accepting_Mercy_with_Humility-I_SB-02_03_21_Pune_-_23-01-94_IDesireTree.mp3")</f>
        <v>1994-012_Accepting_Mercy_with_Humility-I_SB-02_03_21_Pune_-_23-01-94_IDesireTree.mp3</v>
      </c>
      <c r="D726" s="24"/>
      <c r="E726" s="24"/>
    </row>
    <row r="727">
      <c r="A727" s="25" t="s">
        <v>18352</v>
      </c>
      <c r="B727" s="25" t="s">
        <v>18358</v>
      </c>
      <c r="C727" s="26" t="str">
        <f>HYPERLINK("https://audio.iskcondesiretree.com/02_-_ISKCON_Swamis/ISKCON_Swamis_-_R_to_Y/His_Holiness_Radhanath_Swami/Lectures/00_-_Year_wise/Devotional_Nectar_-_1994/1994-013_Accepting_Mercy_with_Humility-II_Lecture_Pune_-_Radhanath_Swami_1994-01-23_IDesireTree.mp3", "1994-013_Accepting_Mercy_with_Humility-II_Lecture_Pune_-_Radhanath_Swami_1994-01-23_IDesireTree.mp3")</f>
        <v>1994-013_Accepting_Mercy_with_Humility-II_Lecture_Pune_-_Radhanath_Swami_1994-01-23_IDesireTree.mp3</v>
      </c>
      <c r="D727" s="24"/>
      <c r="E727" s="24"/>
    </row>
    <row r="728">
      <c r="A728" s="25" t="s">
        <v>18352</v>
      </c>
      <c r="B728" s="25" t="s">
        <v>18358</v>
      </c>
      <c r="C728" s="26" t="str">
        <f>HYPERLINK("https://audio.iskcondesiretree.com/02_-_ISKCON_Swamis/ISKCON_Swamis_-_R_to_Y/His_Holiness_Radhanath_Swami/Lectures/00_-_Year_wise/Devotional_Nectar_-_1994/1994-014_Sense_gratification_result_in_suffering_SB-10_51-55_-_31-01-94_IDesireTree.mp3", "1994-014_Sense_gratification_result_in_suffering_SB-10_51-55_-_31-01-94_IDesireTree.mp3")</f>
        <v>1994-014_Sense_gratification_result_in_suffering_SB-10_51-55_-_31-01-94_IDesireTree.mp3</v>
      </c>
      <c r="D728" s="24"/>
      <c r="E728" s="24"/>
    </row>
    <row r="729">
      <c r="A729" s="25" t="s">
        <v>18352</v>
      </c>
      <c r="B729" s="25" t="s">
        <v>18358</v>
      </c>
      <c r="C729" s="26" t="str">
        <f>HYPERLINK("https://audio.iskcondesiretree.com/02_-_ISKCON_Swamis/ISKCON_Swamis_-_R_to_Y/His_Holiness_Radhanath_Swami/Lectures/00_-_Year_wise/Devotional_Nectar_-_1994/1994-015_How_To_Know_God_SB-02_06_34-35_Mumbai_-_Radhanath_Swami_1994-01-18_IDesireTree.mp3", "1994-015_How_To_Know_God_SB-02_06_34-35_Mumbai_-_Radhanath_Swami_1994-01-18_IDesireTree.mp3")</f>
        <v>1994-015_How_To_Know_God_SB-02_06_34-35_Mumbai_-_Radhanath_Swami_1994-01-18_IDesireTree.mp3</v>
      </c>
      <c r="D729" s="24"/>
      <c r="E729" s="24"/>
    </row>
    <row r="730">
      <c r="A730" s="25" t="s">
        <v>18352</v>
      </c>
      <c r="B730" s="25" t="s">
        <v>18358</v>
      </c>
      <c r="C730" s="26" t="str">
        <f>HYPERLINK("https://audio.iskcondesiretree.com/02_-_ISKCON_Swamis/ISKCON_Swamis_-_R_to_Y/His_Holiness_Radhanath_Swami/Lectures/00_-_Year_wise/Devotional_Nectar_-_1994/1994-016_Krishna_Will_Not_Abandon_His_Devotees_SB-10_51_34_Mumbai_-_19-01-94_IDesireTree.mp3", "1994-016_Krishna_Will_Not_Abandon_His_Devotees_SB-10_51_34_Mumbai_-_19-01-94_IDesireTree.mp3")</f>
        <v>1994-016_Krishna_Will_Not_Abandon_His_Devotees_SB-10_51_34_Mumbai_-_19-01-94_IDesireTree.mp3</v>
      </c>
      <c r="D730" s="24"/>
      <c r="E730" s="24"/>
    </row>
    <row r="731">
      <c r="A731" s="25" t="s">
        <v>18352</v>
      </c>
      <c r="B731" s="25" t="s">
        <v>18358</v>
      </c>
      <c r="C731" s="26" t="str">
        <f>HYPERLINK("https://audio.iskcondesiretree.com/02_-_ISKCON_Swamis/ISKCON_Swamis_-_R_to_Y/His_Holiness_Radhanath_Swami/Lectures/00_-_Year_wise/Devotional_Nectar_-_1994/1994-017_Sacred_Moments_BG-10_09_Pune_-_Radhanath_Swami_1994-01-20_IDesireTree.mp3", "1994-017_Sacred_Moments_BG-10_09_Pune_-_Radhanath_Swami_1994-01-20_IDesireTree.mp3")</f>
        <v>1994-017_Sacred_Moments_BG-10_09_Pune_-_Radhanath_Swami_1994-01-20_IDesireTree.mp3</v>
      </c>
      <c r="D731" s="24"/>
      <c r="E731" s="24"/>
    </row>
    <row r="732">
      <c r="A732" s="25" t="s">
        <v>18352</v>
      </c>
      <c r="B732" s="25" t="s">
        <v>18358</v>
      </c>
      <c r="C732" s="26" t="str">
        <f>HYPERLINK("https://audio.iskcondesiretree.com/02_-_ISKCON_Swamis/ISKCON_Swamis_-_R_to_Y/His_Holiness_Radhanath_Swami/Lectures/00_-_Year_wise/Devotional_Nectar_-_1994/1994-018_Questions_And_Answers_Q%26A_Pune_-_Radhanath_Swami_1994-01-21_IDesireTree.mp3", "1994-018_Questions_And_Answers_Q%26A_Pune_-_Radhanath_Swami_1994-01-21_IDesireTree.mp3")</f>
        <v>1994-018_Questions_And_Answers_Q%26A_Pune_-_Radhanath_Swami_1994-01-21_IDesireTree.mp3</v>
      </c>
      <c r="D732" s="24"/>
      <c r="E732" s="24"/>
    </row>
    <row r="733">
      <c r="A733" s="25" t="s">
        <v>18352</v>
      </c>
      <c r="B733" s="25" t="s">
        <v>18358</v>
      </c>
      <c r="C733" s="26" t="str">
        <f>HYPERLINK("https://audio.iskcondesiretree.com/02_-_ISKCON_Swamis/ISKCON_Swamis_-_R_to_Y/His_Holiness_Radhanath_Swami/Lectures/00_-_Year_wise/Devotional_Nectar_-_1994/1994-019_Fools_Are_Attached_To_Result_SB-06_12_07_Mumbai_-_25-01-94_IDesireTree.mp3", "1994-019_Fools_Are_Attached_To_Result_SB-06_12_07_Mumbai_-_25-01-94_IDesireTree.mp3")</f>
        <v>1994-019_Fools_Are_Attached_To_Result_SB-06_12_07_Mumbai_-_25-01-94_IDesireTree.mp3</v>
      </c>
      <c r="D733" s="24"/>
      <c r="E733" s="24"/>
    </row>
    <row r="734">
      <c r="A734" s="25" t="s">
        <v>18352</v>
      </c>
      <c r="B734" s="25" t="s">
        <v>18358</v>
      </c>
      <c r="C734" s="26" t="str">
        <f>HYPERLINK("https://audio.iskcondesiretree.com/02_-_ISKCON_Swamis/ISKCON_Swamis_-_R_to_Y/His_Holiness_Radhanath_Swami/Lectures/00_-_Year_wise/Devotional_Nectar_-_1994/1994-020_Even_Krishna_Aspires_To_Be_Servant_Lecture_Mumbai_-_30-01-94_IDesireTree.mp3", "1994-020_Even_Krishna_Aspires_To_Be_Servant_Lecture_Mumbai_-_30-01-94_IDesireTree.mp3")</f>
        <v>1994-020_Even_Krishna_Aspires_To_Be_Servant_Lecture_Mumbai_-_30-01-94_IDesireTree.mp3</v>
      </c>
      <c r="D734" s="24"/>
      <c r="E734" s="24"/>
    </row>
    <row r="735">
      <c r="A735" s="25" t="s">
        <v>18352</v>
      </c>
      <c r="B735" s="25" t="s">
        <v>18358</v>
      </c>
      <c r="C735" s="26" t="str">
        <f>HYPERLINK("https://audio.iskcondesiretree.com/02_-_ISKCON_Swamis/ISKCON_Swamis_-_R_to_Y/His_Holiness_Radhanath_Swami/Lectures/00_-_Year_wise/Devotional_Nectar_-_1994/1994-021_Material_World-_Place_Of_Suffering_Ht_-_BG-14_01_Kurukshetra_-_07-02-94_IDesireTree.mp3", "1994-021_Material_World-_Place_Of_Suffering_Ht_-_BG-14_01_Kurukshetra_-_07-02-94_IDesireTree.mp3")</f>
        <v>1994-021_Material_World-_Place_Of_Suffering_Ht_-_BG-14_01_Kurukshetra_-_07-02-94_IDesireTree.mp3</v>
      </c>
      <c r="D735" s="24"/>
      <c r="E735" s="24"/>
    </row>
    <row r="736">
      <c r="A736" s="25" t="s">
        <v>18352</v>
      </c>
      <c r="B736" s="25" t="s">
        <v>18358</v>
      </c>
      <c r="C736" s="26" t="str">
        <f>HYPERLINK("https://audio.iskcondesiretree.com/02_-_ISKCON_Swamis/ISKCON_Swamis_-_R_to_Y/His_Holiness_Radhanath_Swami/Lectures/00_-_Year_wise/Devotional_Nectar_-_1994/1994-022_Krishna_Protects_Those_Who_Surrender_BG-09_22_Kurukshetra_-_08-02-94_IDesireTree.mp3", "1994-022_Krishna_Protects_Those_Who_Surrender_BG-09_22_Kurukshetra_-_08-02-94_IDesireTree.mp3")</f>
        <v>1994-022_Krishna_Protects_Those_Who_Surrender_BG-09_22_Kurukshetra_-_08-02-94_IDesireTree.mp3</v>
      </c>
      <c r="D736" s="24"/>
      <c r="E736" s="24"/>
    </row>
    <row r="737">
      <c r="A737" s="25" t="s">
        <v>18352</v>
      </c>
      <c r="B737" s="25" t="s">
        <v>18358</v>
      </c>
      <c r="C737" s="26" t="str">
        <f>HYPERLINK("https://audio.iskcondesiretree.com/02_-_ISKCON_Swamis/ISKCON_Swamis_-_R_to_Y/His_Holiness_Radhanath_Swami/Lectures/00_-_Year_wise/Devotional_Nectar_-_1994/1994-023_Real_touchstone_Holy_name_BG-07_28_Mumbai_-_Radhanath_Swami_1994-02-09_IDesireTree.mp3", "1994-023_Real_touchstone_Holy_name_BG-07_28_Mumbai_-_Radhanath_Swami_1994-02-09_IDesireTree.mp3")</f>
        <v>1994-023_Real_touchstone_Holy_name_BG-07_28_Mumbai_-_Radhanath_Swami_1994-02-09_IDesireTree.mp3</v>
      </c>
      <c r="D737" s="24"/>
      <c r="E737" s="24"/>
    </row>
    <row r="738">
      <c r="A738" s="25" t="s">
        <v>18352</v>
      </c>
      <c r="B738" s="25" t="s">
        <v>18358</v>
      </c>
      <c r="C738" s="26" t="str">
        <f>HYPERLINK("https://audio.iskcondesiretree.com/02_-_ISKCON_Swamis/ISKCON_Swamis_-_R_to_Y/His_Holiness_Radhanath_Swami/Lectures/00_-_Year_wise/Devotional_Nectar_-_1994/1994-024_Whatever_You_Do_Centre_Should_Be_Krishna_Ht_-_BG-05_10_Kurukshetra_-_10-02-94_IDesireTree.m"&amp;"p3", "1994-024_Whatever_You_Do_Centre_Should_Be_Krishna_Ht_-_BG-05_10_Kurukshetra_-_10-02-94_IDesireTree.mp3")</f>
        <v>1994-024_Whatever_You_Do_Centre_Should_Be_Krishna_Ht_-_BG-05_10_Kurukshetra_-_10-02-94_IDesireTree.mp3</v>
      </c>
      <c r="D738" s="24"/>
      <c r="E738" s="24"/>
    </row>
    <row r="739">
      <c r="A739" s="25" t="s">
        <v>18352</v>
      </c>
      <c r="B739" s="25" t="s">
        <v>18358</v>
      </c>
      <c r="C739" s="26" t="str">
        <f>HYPERLINK("https://audio.iskcondesiretree.com/02_-_ISKCON_Swamis/ISKCON_Swamis_-_R_to_Y/His_Holiness_Radhanath_Swami/Lectures/00_-_Year_wise/Devotional_Nectar_-_1994/1994-025_Vishnupriya_Devi_Appearance_Day_SB-10_52_37_Mumbai_-_15-02-94_IDesireTree.mp3", "1994-025_Vishnupriya_Devi_Appearance_Day_SB-10_52_37_Mumbai_-_15-02-94_IDesireTree.mp3")</f>
        <v>1994-025_Vishnupriya_Devi_Appearance_Day_SB-10_52_37_Mumbai_-_15-02-94_IDesireTree.mp3</v>
      </c>
      <c r="D739" s="24"/>
      <c r="E739" s="24"/>
    </row>
    <row r="740">
      <c r="A740" s="25" t="s">
        <v>18352</v>
      </c>
      <c r="B740" s="25" t="s">
        <v>18358</v>
      </c>
      <c r="C740" s="26" t="str">
        <f>HYPERLINK("https://audio.iskcondesiretree.com/02_-_ISKCON_Swamis/ISKCON_Swamis_-_R_to_Y/His_Holiness_Radhanath_Swami/Lectures/00_-_Year_wise/Devotional_Nectar_-_1994/1994-027_Story_Of_Vasant_Panchami_Lecture_Mumbai_-_Radhanath_Swami_1994-02-15_IDesireTree.mp3", "1994-027_Story_Of_Vasant_Panchami_Lecture_Mumbai_-_Radhanath_Swami_1994-02-15_IDesireTree.mp3")</f>
        <v>1994-027_Story_Of_Vasant_Panchami_Lecture_Mumbai_-_Radhanath_Swami_1994-02-15_IDesireTree.mp3</v>
      </c>
      <c r="D740" s="24"/>
      <c r="E740" s="24"/>
    </row>
    <row r="741">
      <c r="A741" s="25" t="s">
        <v>18352</v>
      </c>
      <c r="B741" s="25" t="s">
        <v>18358</v>
      </c>
      <c r="C741" s="26" t="str">
        <f>HYPERLINK("https://audio.iskcondesiretree.com/02_-_ISKCON_Swamis/ISKCON_Swamis_-_R_to_Y/His_Holiness_Radhanath_Swami/Lectures/00_-_Year_wise/Devotional_Nectar_-_1994/1994-031_Lord_Krishna_The_Supreme_Well_Wisher_BG-09_22_Mumbai_-_18-02-94_IDesireTree.mp3", "1994-031_Lord_Krishna_The_Supreme_Well_Wisher_BG-09_22_Mumbai_-_18-02-94_IDesireTree.mp3")</f>
        <v>1994-031_Lord_Krishna_The_Supreme_Well_Wisher_BG-09_22_Mumbai_-_18-02-94_IDesireTree.mp3</v>
      </c>
      <c r="D741" s="24"/>
      <c r="E741" s="24"/>
    </row>
    <row r="742">
      <c r="A742" s="25" t="s">
        <v>18352</v>
      </c>
      <c r="B742" s="25" t="s">
        <v>18358</v>
      </c>
      <c r="C742" s="26" t="str">
        <f>HYPERLINK("https://audio.iskcondesiretree.com/02_-_ISKCON_Swamis/ISKCON_Swamis_-_R_to_Y/His_Holiness_Radhanath_Swami/Lectures/00_-_Year_wise/Devotional_Nectar_-_1994/1994-032_Rukmis_Disguised_SB-10_52_41_Mumbai_-_Radhanath_Swami_1994-02-17_IDesireTree.mp3", "1994-032_Rukmis_Disguised_SB-10_52_41_Mumbai_-_Radhanath_Swami_1994-02-17_IDesireTree.mp3")</f>
        <v>1994-032_Rukmis_Disguised_SB-10_52_41_Mumbai_-_Radhanath_Swami_1994-02-17_IDesireTree.mp3</v>
      </c>
      <c r="D742" s="24"/>
      <c r="E742" s="24"/>
    </row>
    <row r="743">
      <c r="A743" s="25" t="s">
        <v>18352</v>
      </c>
      <c r="B743" s="25" t="s">
        <v>18358</v>
      </c>
      <c r="C743" s="26" t="str">
        <f>HYPERLINK("https://audio.iskcondesiretree.com/02_-_ISKCON_Swamis/ISKCON_Swamis_-_R_to_Y/His_Holiness_Radhanath_Swami/Lectures/00_-_Year_wise/Devotional_Nectar_-_1994/1994-034_Call_Of_Pure_Of_Devotees_CC_AL-06_10_Mumbai_-_Radhanath_Swami_1994-02-18_IDesireTree.mp3", "1994-034_Call_Of_Pure_Of_Devotees_CC_AL-06_10_Mumbai_-_Radhanath_Swami_1994-02-18_IDesireTree.mp3")</f>
        <v>1994-034_Call_Of_Pure_Of_Devotees_CC_AL-06_10_Mumbai_-_Radhanath_Swami_1994-02-18_IDesireTree.mp3</v>
      </c>
      <c r="D743" s="24"/>
      <c r="E743" s="24"/>
    </row>
    <row r="744">
      <c r="A744" s="25" t="s">
        <v>18352</v>
      </c>
      <c r="B744" s="25" t="s">
        <v>18358</v>
      </c>
      <c r="C744" s="26" t="str">
        <f>HYPERLINK("https://audio.iskcondesiretree.com/02_-_ISKCON_Swamis/ISKCON_Swamis_-_R_to_Y/His_Holiness_Radhanath_Swami/Lectures/00_-_Year_wise/Devotional_Nectar_-_1994/1994-035_Story_Of_Srila_Advaita_Acharya_Lecture_Mumbai_-_Radhanath_Swami_1994-02-18_IDesireTree.mp3", "1994-035_Story_Of_Srila_Advaita_Acharya_Lecture_Mumbai_-_Radhanath_Swami_1994-02-18_IDesireTree.mp3")</f>
        <v>1994-035_Story_Of_Srila_Advaita_Acharya_Lecture_Mumbai_-_Radhanath_Swami_1994-02-18_IDesireTree.mp3</v>
      </c>
      <c r="D744" s="24"/>
      <c r="E744" s="24"/>
    </row>
    <row r="745">
      <c r="A745" s="25" t="s">
        <v>18352</v>
      </c>
      <c r="B745" s="25" t="s">
        <v>18358</v>
      </c>
      <c r="C745" s="26" t="str">
        <f>HYPERLINK("https://audio.iskcondesiretree.com/02_-_ISKCON_Swamis/ISKCON_Swamis_-_R_to_Y/His_Holiness_Radhanath_Swami/Lectures/00_-_Year_wise/Devotional_Nectar_-_1994/1994-036_Our_Desperate_Need_SB-10_52_43-44Mumbai_-_Radhanath_Swami_1994-02-19_IDesireTree.mp3", "1994-036_Our_Desperate_Need_SB-10_52_43-44Mumbai_-_Radhanath_Swami_1994-02-19_IDesireTree.mp3")</f>
        <v>1994-036_Our_Desperate_Need_SB-10_52_43-44Mumbai_-_Radhanath_Swami_1994-02-19_IDesireTree.mp3</v>
      </c>
      <c r="D745" s="24"/>
      <c r="E745" s="24"/>
    </row>
    <row r="746">
      <c r="A746" s="25" t="s">
        <v>18352</v>
      </c>
      <c r="B746" s="25" t="s">
        <v>18358</v>
      </c>
      <c r="C746" s="26" t="str">
        <f>HYPERLINK("https://audio.iskcondesiretree.com/02_-_ISKCON_Swamis/ISKCON_Swamis_-_R_to_Y/His_Holiness_Radhanath_Swami/Lectures/00_-_Year_wise/Devotional_Nectar_-_1994/1994-037_Defeating_Impersonalism_SB-10_53_01-03_Mumbai_-_Radhanath_Swami_1994-02-20_IDesireTree.mp3", "1994-037_Defeating_Impersonalism_SB-10_53_01-03_Mumbai_-_Radhanath_Swami_1994-02-20_IDesireTree.mp3")</f>
        <v>1994-037_Defeating_Impersonalism_SB-10_53_01-03_Mumbai_-_Radhanath_Swami_1994-02-20_IDesireTree.mp3</v>
      </c>
      <c r="D746" s="24"/>
      <c r="E746" s="24"/>
    </row>
    <row r="747">
      <c r="A747" s="25" t="s">
        <v>18352</v>
      </c>
      <c r="B747" s="25" t="s">
        <v>18358</v>
      </c>
      <c r="C747" s="26" t="str">
        <f>HYPERLINK("https://audio.iskcondesiretree.com/02_-_ISKCON_Swamis/ISKCON_Swamis_-_R_to_Y/His_Holiness_Radhanath_Swami/Lectures/00_-_Year_wise/Devotional_Nectar_-_1994/1994-038_Srila_Madhavacharya_Disappearance_Day_Lecture_Mumbai_-_20-02-94_IDesireTree.mp3", "1994-038_Srila_Madhavacharya_Disappearance_Day_Lecture_Mumbai_-_20-02-94_IDesireTree.mp3")</f>
        <v>1994-038_Srila_Madhavacharya_Disappearance_Day_Lecture_Mumbai_-_20-02-94_IDesireTree.mp3</v>
      </c>
      <c r="D747" s="24"/>
      <c r="E747" s="24"/>
    </row>
    <row r="748">
      <c r="A748" s="25" t="s">
        <v>18352</v>
      </c>
      <c r="B748" s="25" t="s">
        <v>18358</v>
      </c>
      <c r="C748" s="26" t="str">
        <f>HYPERLINK("https://audio.iskcondesiretree.com/02_-_ISKCON_Swamis/ISKCON_Swamis_-_R_to_Y/His_Holiness_Radhanath_Swami/Lectures/00_-_Year_wise/Devotional_Nectar_-_1994/1994-039_Surrender-_By_Realisation_Lecture_Mumbai_-_Radhanath_Swami_1994-02-21_IDesireTree.mp3", "1994-039_Surrender-_By_Realisation_Lecture_Mumbai_-_Radhanath_Swami_1994-02-21_IDesireTree.mp3")</f>
        <v>1994-039_Surrender-_By_Realisation_Lecture_Mumbai_-_Radhanath_Swami_1994-02-21_IDesireTree.mp3</v>
      </c>
      <c r="D748" s="24"/>
      <c r="E748" s="24"/>
    </row>
    <row r="749">
      <c r="A749" s="25" t="s">
        <v>18352</v>
      </c>
      <c r="B749" s="25" t="s">
        <v>18358</v>
      </c>
      <c r="C749" s="26" t="str">
        <f>HYPERLINK("https://audio.iskcondesiretree.com/02_-_ISKCON_Swamis/ISKCON_Swamis_-_R_to_Y/His_Holiness_Radhanath_Swami/Lectures/00_-_Year_wise/Devotional_Nectar_-_1994/1994-040_Story_Of_RamanujAcharya_Ht_-_Lecture_Mumbai_-_Radhanath_Swami_1994-02-21_IDesireTree.mp3", "1994-040_Story_Of_RamanujAcharya_Ht_-_Lecture_Mumbai_-_Radhanath_Swami_1994-02-21_IDesireTree.mp3")</f>
        <v>1994-040_Story_Of_RamanujAcharya_Ht_-_Lecture_Mumbai_-_Radhanath_Swami_1994-02-21_IDesireTree.mp3</v>
      </c>
      <c r="D749" s="24"/>
      <c r="E749" s="24"/>
    </row>
    <row r="750">
      <c r="A750" s="25" t="s">
        <v>18352</v>
      </c>
      <c r="B750" s="25" t="s">
        <v>18358</v>
      </c>
      <c r="C750" s="26" t="str">
        <f>HYPERLINK("https://audio.iskcondesiretree.com/02_-_ISKCON_Swamis/ISKCON_Swamis_-_R_to_Y/His_Holiness_Radhanath_Swami/Lectures/00_-_Year_wise/Devotional_Nectar_-_1994/1994-041_Pleasing_Guru_By_Sacrifice_SB-03_28_17_Mumbai_-_Radhanath_Swami_1994-02-22_IDesireTree.mp3", "1994-041_Pleasing_Guru_By_Sacrifice_SB-03_28_17_Mumbai_-_Radhanath_Swami_1994-02-22_IDesireTree.mp3")</f>
        <v>1994-041_Pleasing_Guru_By_Sacrifice_SB-03_28_17_Mumbai_-_Radhanath_Swami_1994-02-22_IDesireTree.mp3</v>
      </c>
      <c r="D750" s="24"/>
      <c r="E750" s="24"/>
    </row>
    <row r="751">
      <c r="A751" s="25" t="s">
        <v>18352</v>
      </c>
      <c r="B751" s="25" t="s">
        <v>18358</v>
      </c>
      <c r="C751" s="26" t="str">
        <f>HYPERLINK("https://audio.iskcondesiretree.com/02_-_ISKCON_Swamis/ISKCON_Swamis_-_R_to_Y/His_Holiness_Radhanath_Swami/Lectures/00_-_Year_wise/Devotional_Nectar_-_1994/1994-042_Lord_Nityananda_Prabhu%27s_Pastimes_CC_AL-01_07-11_Mumbai_-_24-02-94_IDesireTree.mp3", "1994-042_Lord_Nityananda_Prabhu%27s_Pastimes_CC_AL-01_07-11_Mumbai_-_24-02-94_IDesireTree.mp3")</f>
        <v>1994-042_Lord_Nityananda_Prabhu%27s_Pastimes_CC_AL-01_07-11_Mumbai_-_24-02-94_IDesireTree.mp3</v>
      </c>
      <c r="D751" s="24"/>
      <c r="E751" s="24"/>
    </row>
    <row r="752">
      <c r="A752" s="25" t="s">
        <v>18352</v>
      </c>
      <c r="B752" s="25" t="s">
        <v>18358</v>
      </c>
      <c r="C752" s="26" t="str">
        <f>HYPERLINK("https://audio.iskcondesiretree.com/02_-_ISKCON_Swamis/ISKCON_Swamis_-_R_to_Y/His_Holiness_Radhanath_Swami/Lectures/00_-_Year_wise/Devotional_Nectar_-_1994/1994-043_Lord_Varahadev_Lecture_Mumbai_-_Radhanath_Swami_1994-02-23_IDesireTree.mp3", "1994-043_Lord_Varahadev_Lecture_Mumbai_-_Radhanath_Swami_1994-02-23_IDesireTree.mp3")</f>
        <v>1994-043_Lord_Varahadev_Lecture_Mumbai_-_Radhanath_Swami_1994-02-23_IDesireTree.mp3</v>
      </c>
      <c r="D752" s="24"/>
      <c r="E752" s="24"/>
    </row>
    <row r="753">
      <c r="A753" s="25" t="s">
        <v>18352</v>
      </c>
      <c r="B753" s="25" t="s">
        <v>18358</v>
      </c>
      <c r="C753" s="26" t="str">
        <f>HYPERLINK("https://audio.iskcondesiretree.com/02_-_ISKCON_Swamis/ISKCON_Swamis_-_R_to_Y/His_Holiness_Radhanath_Swami/Lectures/00_-_Year_wise/Devotional_Nectar_-_1994/1994-045_Lord_Nityananda_Prabhu%27s_Mercy_Lecture_Mumbai_-_Radhanath_Swami_1994-02-24_IDesireTree.mp"&amp;"3", "1994-045_Lord_Nityananda_Prabhu%27s_Mercy_Lecture_Mumbai_-_Radhanath_Swami_1994-02-24_IDesireTree.mp3")</f>
        <v>1994-045_Lord_Nityananda_Prabhu%27s_Mercy_Lecture_Mumbai_-_Radhanath_Swami_1994-02-24_IDesireTree.mp3</v>
      </c>
      <c r="D753" s="24"/>
      <c r="E753" s="24"/>
    </row>
    <row r="754">
      <c r="A754" s="25" t="s">
        <v>18352</v>
      </c>
      <c r="B754" s="25" t="s">
        <v>18358</v>
      </c>
      <c r="C754" s="26" t="str">
        <f>HYPERLINK("https://audio.iskcondesiretree.com/02_-_ISKCON_Swamis/ISKCON_Swamis_-_R_to_Y/His_Holiness_Radhanath_Swami/Lectures/00_-_Year_wise/Devotional_Nectar_-_1994/1994-045_Question_And_Answer_Q%26A_Mumbai_-_Radhanath_Swami_1994-02-25_IDesireTree.mp3", "1994-045_Question_And_Answer_Q%26A_Mumbai_-_Radhanath_Swami_1994-02-25_IDesireTree.mp3")</f>
        <v>1994-045_Question_And_Answer_Q%26A_Mumbai_-_Radhanath_Swami_1994-02-25_IDesireTree.mp3</v>
      </c>
      <c r="D754" s="24"/>
      <c r="E754" s="24"/>
    </row>
    <row r="755">
      <c r="A755" s="25" t="s">
        <v>18352</v>
      </c>
      <c r="B755" s="25" t="s">
        <v>18358</v>
      </c>
      <c r="C755" s="26" t="str">
        <f>HYPERLINK("https://audio.iskcondesiretree.com/02_-_ISKCON_Swamis/ISKCON_Swamis_-_R_to_Y/His_Holiness_Radhanath_Swami/Lectures/00_-_Year_wise/Devotional_Nectar_-_1994/1994-046_Qualification_For_Receiving_Truth_SB-07_01_04-05_Mumbai_-_26-02-94_IDesireTree.mp3", "1994-046_Qualification_For_Receiving_Truth_SB-07_01_04-05_Mumbai_-_26-02-94_IDesireTree.mp3")</f>
        <v>1994-046_Qualification_For_Receiving_Truth_SB-07_01_04-05_Mumbai_-_26-02-94_IDesireTree.mp3</v>
      </c>
      <c r="D755" s="24"/>
      <c r="E755" s="24"/>
    </row>
    <row r="756">
      <c r="A756" s="25" t="s">
        <v>18352</v>
      </c>
      <c r="B756" s="25" t="s">
        <v>18358</v>
      </c>
      <c r="C756" s="26" t="str">
        <f>HYPERLINK("https://audio.iskcondesiretree.com/02_-_ISKCON_Swamis/ISKCON_Swamis_-_R_to_Y/His_Holiness_Radhanath_Swami/Lectures/00_-_Year_wise/Devotional_Nectar_-_1994/1994-047_No_Happiness_In_This_Material_World_SB-10_53_24_Mumbai_-_27-02-94_IDesireTree.mp3", "1994-047_No_Happiness_In_This_Material_World_SB-10_53_24_Mumbai_-_27-02-94_IDesireTree.mp3")</f>
        <v>1994-047_No_Happiness_In_This_Material_World_SB-10_53_24_Mumbai_-_27-02-94_IDesireTree.mp3</v>
      </c>
      <c r="D756" s="24"/>
      <c r="E756" s="24"/>
    </row>
    <row r="757">
      <c r="A757" s="25" t="s">
        <v>18352</v>
      </c>
      <c r="B757" s="25" t="s">
        <v>18358</v>
      </c>
      <c r="C757" s="26" t="str">
        <f>HYPERLINK("https://audio.iskcondesiretree.com/02_-_ISKCON_Swamis/ISKCON_Swamis_-_R_to_Y/His_Holiness_Radhanath_Swami/Lectures/00_-_Year_wise/Devotional_Nectar_-_1994/1994-048_Narottam_Das_Thakur_Appearance_Lecture_Mumbai_-_Radhanath_Swami_1994-02-27_IDesireTree.mp3", "1994-048_Narottam_Das_Thakur_Appearance_Lecture_Mumbai_-_Radhanath_Swami_1994-02-27_IDesireTree.mp3")</f>
        <v>1994-048_Narottam_Das_Thakur_Appearance_Lecture_Mumbai_-_Radhanath_Swami_1994-02-27_IDesireTree.mp3</v>
      </c>
      <c r="D757" s="24"/>
      <c r="E757" s="24"/>
    </row>
    <row r="758">
      <c r="A758" s="25" t="s">
        <v>18352</v>
      </c>
      <c r="B758" s="25" t="s">
        <v>18358</v>
      </c>
      <c r="C758" s="26" t="str">
        <f>HYPERLINK("https://audio.iskcondesiretree.com/02_-_ISKCON_Swamis/ISKCON_Swamis_-_R_to_Y/His_Holiness_Radhanath_Swami/Lectures/00_-_Year_wise/Devotional_Nectar_-_1994/1994-049_To_Please_Guru_And_Krishna-_By_Surrendering_SB-05_01_18_Vrindavan_-_02-03-94_IDesireTree.mp"&amp;"3", "1994-049_To_Please_Guru_And_Krishna-_By_Surrendering_SB-05_01_18_Vrindavan_-_02-03-94_IDesireTree.mp3")</f>
        <v>1994-049_To_Please_Guru_And_Krishna-_By_Surrendering_SB-05_01_18_Vrindavan_-_02-03-94_IDesireTree.mp3</v>
      </c>
      <c r="D758" s="24"/>
      <c r="E758" s="24"/>
    </row>
    <row r="759">
      <c r="A759" s="25" t="s">
        <v>18352</v>
      </c>
      <c r="B759" s="25" t="s">
        <v>18358</v>
      </c>
      <c r="C759" s="26" t="str">
        <f>HYPERLINK("https://audio.iskcondesiretree.com/02_-_ISKCON_Swamis/ISKCON_Swamis_-_R_to_Y/His_Holiness_Radhanath_Swami/Lectures/00_-_Year_wise/Devotional_Nectar_-_1994/1994-050_What_Does_Bhakti_Means_SB-01_05_12_Mumbai_-_Radhanath_Swami_1994-03-13_IDesireTree.mp3", "1994-050_What_Does_Bhakti_Means_SB-01_05_12_Mumbai_-_Radhanath_Swami_1994-03-13_IDesireTree.mp3")</f>
        <v>1994-050_What_Does_Bhakti_Means_SB-01_05_12_Mumbai_-_Radhanath_Swami_1994-03-13_IDesireTree.mp3</v>
      </c>
      <c r="D759" s="24"/>
      <c r="E759" s="24"/>
    </row>
    <row r="760">
      <c r="A760" s="25" t="s">
        <v>18352</v>
      </c>
      <c r="B760" s="25" t="s">
        <v>18358</v>
      </c>
      <c r="C760" s="26" t="str">
        <f>HYPERLINK("https://audio.iskcondesiretree.com/02_-_ISKCON_Swamis/ISKCON_Swamis_-_R_to_Y/His_Holiness_Radhanath_Swami/Lectures/00_-_Year_wise/Devotional_Nectar_-_1994/1994-051_Story_Of_King_Prataprudra_SB-10_31_09_Mumbai_-_Radhanath_Swami_1994-03-20_IDesireTree.mp3", "1994-051_Story_Of_King_Prataprudra_SB-10_31_09_Mumbai_-_Radhanath_Swami_1994-03-20_IDesireTree.mp3")</f>
        <v>1994-051_Story_Of_King_Prataprudra_SB-10_31_09_Mumbai_-_Radhanath_Swami_1994-03-20_IDesireTree.mp3</v>
      </c>
      <c r="D760" s="24"/>
      <c r="E760" s="24"/>
    </row>
    <row r="761">
      <c r="A761" s="25" t="s">
        <v>18352</v>
      </c>
      <c r="B761" s="25" t="s">
        <v>18358</v>
      </c>
      <c r="C761" s="26" t="str">
        <f>HYPERLINK("https://audio.iskcondesiretree.com/02_-_ISKCON_Swamis/ISKCON_Swamis_-_R_to_Y/His_Holiness_Radhanath_Swami/Lectures/00_-_Year_wise/Devotional_Nectar_-_1994/1994-052_Curing_The_Disease_Of_Envy_SB-10_54_26_Mumbai_-_Radhanath_Swami_1994-03-23_IDesireTree.mp3", "1994-052_Curing_The_Disease_Of_Envy_SB-10_54_26_Mumbai_-_Radhanath_Swami_1994-03-23_IDesireTree.mp3")</f>
        <v>1994-052_Curing_The_Disease_Of_Envy_SB-10_54_26_Mumbai_-_Radhanath_Swami_1994-03-23_IDesireTree.mp3</v>
      </c>
      <c r="D761" s="24"/>
      <c r="E761" s="24"/>
    </row>
    <row r="762">
      <c r="A762" s="25" t="s">
        <v>18352</v>
      </c>
      <c r="B762" s="25" t="s">
        <v>18358</v>
      </c>
      <c r="C762" s="26" t="str">
        <f>HYPERLINK("https://audio.iskcondesiretree.com/02_-_ISKCON_Swamis/ISKCON_Swamis_-_R_to_Y/His_Holiness_Radhanath_Swami/Lectures/00_-_Year_wise/Devotional_Nectar_-_1994/1994-053_Ksira-Chora_Gopinath_GT_-_BG-05_29_Mumbai_-_Radhanath_Swami_1994-03-23_IDesireTree.mp3", "1994-053_Ksira-Chora_Gopinath_GT_-_BG-05_29_Mumbai_-_Radhanath_Swami_1994-03-23_IDesireTree.mp3")</f>
        <v>1994-053_Ksira-Chora_Gopinath_GT_-_BG-05_29_Mumbai_-_Radhanath_Swami_1994-03-23_IDesireTree.mp3</v>
      </c>
      <c r="D762" s="24"/>
      <c r="E762" s="24"/>
    </row>
    <row r="763">
      <c r="A763" s="25" t="s">
        <v>18352</v>
      </c>
      <c r="B763" s="25" t="s">
        <v>18358</v>
      </c>
      <c r="C763" s="26" t="str">
        <f>HYPERLINK("https://audio.iskcondesiretree.com/02_-_ISKCON_Swamis/ISKCON_Swamis_-_R_to_Y/His_Holiness_Radhanath_Swami/Lectures/00_-_Year_wise/Devotional_Nectar_-_1994/1994-054_Surrendering_Everything_SB-08_18_23-25_Mumbai_-_Radhanath_Swami_1994-03-25_IDesireTree.mp3", "1994-054_Surrendering_Everything_SB-08_18_23-25_Mumbai_-_Radhanath_Swami_1994-03-25_IDesireTree.mp3")</f>
        <v>1994-054_Surrendering_Everything_SB-08_18_23-25_Mumbai_-_Radhanath_Swami_1994-03-25_IDesireTree.mp3</v>
      </c>
      <c r="D763" s="24"/>
      <c r="E763" s="24"/>
    </row>
    <row r="764">
      <c r="A764" s="25" t="s">
        <v>18352</v>
      </c>
      <c r="B764" s="25" t="s">
        <v>18358</v>
      </c>
      <c r="C764" s="26" t="str">
        <f>HYPERLINK("https://audio.iskcondesiretree.com/02_-_ISKCON_Swamis/ISKCON_Swamis_-_R_to_Y/His_Holiness_Radhanath_Swami/Lectures/00_-_Year_wise/Devotional_Nectar_-_1994/1994-055_Lord_Krishna%27s_Way_Of_Purification_SB-10_54_35_Mumbai_-_26-03-94_IDesireTree.mp3", "1994-055_Lord_Krishna%27s_Way_Of_Purification_SB-10_54_35_Mumbai_-_26-03-94_IDesireTree.mp3")</f>
        <v>1994-055_Lord_Krishna%27s_Way_Of_Purification_SB-10_54_35_Mumbai_-_26-03-94_IDesireTree.mp3</v>
      </c>
      <c r="D764" s="24"/>
      <c r="E764" s="24"/>
    </row>
    <row r="765">
      <c r="A765" s="25" t="s">
        <v>18352</v>
      </c>
      <c r="B765" s="25" t="s">
        <v>18358</v>
      </c>
      <c r="C765" s="26" t="str">
        <f>HYPERLINK("https://audio.iskcondesiretree.com/02_-_ISKCON_Swamis/ISKCON_Swamis_-_R_to_Y/His_Holiness_Radhanath_Swami/Lectures/00_-_Year_wise/Devotional_Nectar_-_1994/1994-056_Reading_Chaitanya_Charitamrita_CC_AL-13_81_Mumbai_-_27-03-94_IDesireTree.mp3", "1994-056_Reading_Chaitanya_Charitamrita_CC_AL-13_81_Mumbai_-_27-03-94_IDesireTree.mp3")</f>
        <v>1994-056_Reading_Chaitanya_Charitamrita_CC_AL-13_81_Mumbai_-_27-03-94_IDesireTree.mp3</v>
      </c>
      <c r="D765" s="24"/>
      <c r="E765" s="24"/>
    </row>
    <row r="766">
      <c r="A766" s="25" t="s">
        <v>18352</v>
      </c>
      <c r="B766" s="25" t="s">
        <v>18358</v>
      </c>
      <c r="C766" s="26" t="str">
        <f>HYPERLINK("https://audio.iskcondesiretree.com/02_-_ISKCON_Swamis/ISKCON_Swamis_-_R_to_Y/His_Holiness_Radhanath_Swami/Lectures/00_-_Year_wise/Devotional_Nectar_-_1994/1994-057_Covered_Incarnations_SB-07_03_38_Mumbai_-_Radhanath_Swami_1994-03-27_IDesireTree.mp3", "1994-057_Covered_Incarnations_SB-07_03_38_Mumbai_-_Radhanath_Swami_1994-03-27_IDesireTree.mp3")</f>
        <v>1994-057_Covered_Incarnations_SB-07_03_38_Mumbai_-_Radhanath_Swami_1994-03-27_IDesireTree.mp3</v>
      </c>
      <c r="D766" s="24"/>
      <c r="E766" s="24"/>
    </row>
    <row r="767">
      <c r="A767" s="25" t="s">
        <v>18352</v>
      </c>
      <c r="B767" s="25" t="s">
        <v>18358</v>
      </c>
      <c r="C767" s="26" t="str">
        <f>HYPERLINK("https://audio.iskcondesiretree.com/02_-_ISKCON_Swamis/ISKCON_Swamis_-_R_to_Y/His_Holiness_Radhanath_Swami/Lectures/00_-_Year_wise/Devotional_Nectar_-_1994/1994-058_Understanding_Bhagavad-Gita_Lecture_Mumbai_-_Radhanath_Swami_1994-03-28_IDesireTree.mp3", "1994-058_Understanding_Bhagavad-Gita_Lecture_Mumbai_-_Radhanath_Swami_1994-03-28_IDesireTree.mp3")</f>
        <v>1994-058_Understanding_Bhagavad-Gita_Lecture_Mumbai_-_Radhanath_Swami_1994-03-28_IDesireTree.mp3</v>
      </c>
      <c r="D767" s="24"/>
      <c r="E767" s="24"/>
    </row>
    <row r="768">
      <c r="A768" s="25" t="s">
        <v>18352</v>
      </c>
      <c r="B768" s="25" t="s">
        <v>18358</v>
      </c>
      <c r="C768" s="26" t="str">
        <f>HYPERLINK("https://audio.iskcondesiretree.com/02_-_ISKCON_Swamis/ISKCON_Swamis_-_R_to_Y/His_Holiness_Radhanath_Swami/Lectures/00_-_Year_wise/Devotional_Nectar_-_1994/1994-059_Regulation_In_Spiritual_Life_SB-01_03_29_Mumbai_-_03-04-94_IDesireTree.mp3", "1994-059_Regulation_In_Spiritual_Life_SB-01_03_29_Mumbai_-_03-04-94_IDesireTree.mp3")</f>
        <v>1994-059_Regulation_In_Spiritual_Life_SB-01_03_29_Mumbai_-_03-04-94_IDesireTree.mp3</v>
      </c>
      <c r="D768" s="24"/>
      <c r="E768" s="24"/>
    </row>
    <row r="769">
      <c r="A769" s="25" t="s">
        <v>18352</v>
      </c>
      <c r="B769" s="25" t="s">
        <v>18358</v>
      </c>
      <c r="C769" s="26" t="str">
        <f>HYPERLINK("https://audio.iskcondesiretree.com/02_-_ISKCON_Swamis/ISKCON_Swamis_-_R_to_Y/His_Holiness_Radhanath_Swami/Lectures/00_-_Year_wise/Devotional_Nectar_-_1994/1994-062_The_Purpose_Of_Yajna_BG-03_10_Mumbai_-_Radhanath_Swami_1994-04-03_IDesireTree.mp3", "1994-062_The_Purpose_Of_Yajna_BG-03_10_Mumbai_-_Radhanath_Swami_1994-04-03_IDesireTree.mp3")</f>
        <v>1994-062_The_Purpose_Of_Yajna_BG-03_10_Mumbai_-_Radhanath_Swami_1994-04-03_IDesireTree.mp3</v>
      </c>
      <c r="D769" s="24"/>
      <c r="E769" s="24"/>
    </row>
    <row r="770">
      <c r="A770" s="25" t="s">
        <v>18352</v>
      </c>
      <c r="B770" s="25" t="s">
        <v>18358</v>
      </c>
      <c r="C770" s="26" t="str">
        <f>HYPERLINK("https://audio.iskcondesiretree.com/02_-_ISKCON_Swamis/ISKCON_Swamis_-_R_to_Y/His_Holiness_Radhanath_Swami/Lectures/00_-_Year_wise/Devotional_Nectar_-_1994/1994-063_Humility_%26_Pride_SB-01_11_01_Mumbai_-_Radhanath_Swami_1994-04-07_IDesireTree.mp3", "1994-063_Humility_%26_Pride_SB-01_11_01_Mumbai_-_Radhanath_Swami_1994-04-07_IDesireTree.mp3")</f>
        <v>1994-063_Humility_%26_Pride_SB-01_11_01_Mumbai_-_Radhanath_Swami_1994-04-07_IDesireTree.mp3</v>
      </c>
      <c r="D770" s="24"/>
      <c r="E770" s="24"/>
    </row>
    <row r="771">
      <c r="A771" s="25" t="s">
        <v>18352</v>
      </c>
      <c r="B771" s="25" t="s">
        <v>18358</v>
      </c>
      <c r="C771" s="26" t="str">
        <f>HYPERLINK("https://audio.iskcondesiretree.com/02_-_ISKCON_Swamis/ISKCON_Swamis_-_R_to_Y/His_Holiness_Radhanath_Swami/Lectures/00_-_Year_wise/Devotional_Nectar_-_1994/1994-064_Material_World_On_Blazing_Fire_SB-01_03_38-39_Mumbai_-_05-05-94_IDesireTree.mp3", "1994-064_Material_World_On_Blazing_Fire_SB-01_03_38-39_Mumbai_-_05-05-94_IDesireTree.mp3")</f>
        <v>1994-064_Material_World_On_Blazing_Fire_SB-01_03_38-39_Mumbai_-_05-05-94_IDesireTree.mp3</v>
      </c>
      <c r="D771" s="24"/>
      <c r="E771" s="24"/>
    </row>
    <row r="772">
      <c r="A772" s="25" t="s">
        <v>18352</v>
      </c>
      <c r="B772" s="25" t="s">
        <v>18358</v>
      </c>
      <c r="C772" s="26" t="str">
        <f>HYPERLINK("https://audio.iskcondesiretree.com/02_-_ISKCON_Swamis/ISKCON_Swamis_-_R_to_Y/His_Holiness_Radhanath_Swami/Lectures/00_-_Year_wise/Devotional_Nectar_-_1994/1994-066_Vaishnava%27s_Activities_-_Difficult_To_Understand_SB-10_57_04_Mumbai_-_06-05-94_IDesireTre"&amp;"e.mp3", "1994-066_Vaishnava%27s_Activities_-_Difficult_To_Understand_SB-10_57_04_Mumbai_-_06-05-94_IDesireTree.mp3")</f>
        <v>1994-066_Vaishnava%27s_Activities_-_Difficult_To_Understand_SB-10_57_04_Mumbai_-_06-05-94_IDesireTree.mp3</v>
      </c>
      <c r="D772" s="24"/>
      <c r="E772" s="24"/>
    </row>
    <row r="773">
      <c r="A773" s="25" t="s">
        <v>18352</v>
      </c>
      <c r="B773" s="25" t="s">
        <v>18358</v>
      </c>
      <c r="C773" s="26" t="str">
        <f>HYPERLINK("https://audio.iskcondesiretree.com/02_-_ISKCON_Swamis/ISKCON_Swamis_-_R_to_Y/His_Holiness_Radhanath_Swami/Lectures/00_-_Year_wise/Devotional_Nectar_-_1994/1994-067_Overcoming_Difficulties_SB-07_09_43_Mumbai_-_Radhanath_Swami_1994-05-06_IDesireTree.mp3", "1994-067_Overcoming_Difficulties_SB-07_09_43_Mumbai_-_Radhanath_Swami_1994-05-06_IDesireTree.mp3")</f>
        <v>1994-067_Overcoming_Difficulties_SB-07_09_43_Mumbai_-_Radhanath_Swami_1994-05-06_IDesireTree.mp3</v>
      </c>
      <c r="D773" s="24"/>
      <c r="E773" s="24"/>
    </row>
    <row r="774">
      <c r="A774" s="25" t="s">
        <v>18352</v>
      </c>
      <c r="B774" s="25" t="s">
        <v>18358</v>
      </c>
      <c r="C774" s="26" t="str">
        <f>HYPERLINK("https://audio.iskcondesiretree.com/02_-_ISKCON_Swamis/ISKCON_Swamis_-_R_to_Y/His_Holiness_Radhanath_Swami/Lectures/00_-_Year_wise/Devotional_Nectar_-_1994/1994-070_Transcendental_Reciprocation_SB-10_57_05_Mumbai_-_07-05-94_IDesireTree.mp3", "1994-070_Transcendental_Reciprocation_SB-10_57_05_Mumbai_-_07-05-94_IDesireTree.mp3")</f>
        <v>1994-070_Transcendental_Reciprocation_SB-10_57_05_Mumbai_-_07-05-94_IDesireTree.mp3</v>
      </c>
      <c r="D774" s="24"/>
      <c r="E774" s="24"/>
    </row>
    <row r="775">
      <c r="A775" s="25" t="s">
        <v>18352</v>
      </c>
      <c r="B775" s="25" t="s">
        <v>18358</v>
      </c>
      <c r="C775" s="26" t="str">
        <f>HYPERLINK("https://audio.iskcondesiretree.com/02_-_ISKCON_Swamis/ISKCON_Swamis_-_R_to_Y/His_Holiness_Radhanath_Swami/Lectures/00_-_Year_wise/Devotional_Nectar_-_1994/1994-071_The_Supreme_Gift_SB-01_05_07_Mumbai_-_Radhanath_Swami_1994-05-07_IDesireTree.mp3", "1994-071_The_Supreme_Gift_SB-01_05_07_Mumbai_-_Radhanath_Swami_1994-05-07_IDesireTree.mp3")</f>
        <v>1994-071_The_Supreme_Gift_SB-01_05_07_Mumbai_-_Radhanath_Swami_1994-05-07_IDesireTree.mp3</v>
      </c>
      <c r="D775" s="24"/>
      <c r="E775" s="24"/>
    </row>
    <row r="776">
      <c r="A776" s="25" t="s">
        <v>18352</v>
      </c>
      <c r="B776" s="25" t="s">
        <v>18358</v>
      </c>
      <c r="C776" s="26" t="str">
        <f>HYPERLINK("https://audio.iskcondesiretree.com/02_-_ISKCON_Swamis/ISKCON_Swamis_-_R_to_Y/His_Holiness_Radhanath_Swami/Lectures/00_-_Year_wise/Devotional_Nectar_-_1994/1994-074_Accusations_In_The_Lives_Of_Devotees_SB-10_57_19_Mumbai_-_08-05-94_IDesireTree.mp3", "1994-074_Accusations_In_The_Lives_Of_Devotees_SB-10_57_19_Mumbai_-_08-05-94_IDesireTree.mp3")</f>
        <v>1994-074_Accusations_In_The_Lives_Of_Devotees_SB-10_57_19_Mumbai_-_08-05-94_IDesireTree.mp3</v>
      </c>
      <c r="D776" s="24"/>
      <c r="E776" s="24"/>
    </row>
    <row r="777">
      <c r="A777" s="25" t="s">
        <v>18352</v>
      </c>
      <c r="B777" s="25" t="s">
        <v>18358</v>
      </c>
      <c r="C777" s="26" t="str">
        <f>HYPERLINK("https://audio.iskcondesiretree.com/02_-_ISKCON_Swamis/ISKCON_Swamis_-_R_to_Y/His_Holiness_Radhanath_Swami/Lectures/00_-_Year_wise/Devotional_Nectar_-_1994/1994-075_Prayers_By_Queen_Kunti_SB-01_08_35_Mumbai_-_Radhanath_Swami_1994-05-08_IDesireTree.mp3", "1994-075_Prayers_By_Queen_Kunti_SB-01_08_35_Mumbai_-_Radhanath_Swami_1994-05-08_IDesireTree.mp3")</f>
        <v>1994-075_Prayers_By_Queen_Kunti_SB-01_08_35_Mumbai_-_Radhanath_Swami_1994-05-08_IDesireTree.mp3</v>
      </c>
      <c r="D777" s="24"/>
      <c r="E777" s="24"/>
    </row>
    <row r="778">
      <c r="A778" s="25" t="s">
        <v>18352</v>
      </c>
      <c r="B778" s="25" t="s">
        <v>18358</v>
      </c>
      <c r="C778" s="26" t="str">
        <f>HYPERLINK("https://audio.iskcondesiretree.com/02_-_ISKCON_Swamis/ISKCON_Swamis_-_R_to_Y/His_Holiness_Radhanath_Swami/Lectures/00_-_Year_wise/Devotional_Nectar_-_1994/1994-076_Compassion_Of_Haridas_Thakur_BG-02_15_Mumbai_-_Radhanath_Swami_1994-05-08_IDesireTree.mp3", "1994-076_Compassion_Of_Haridas_Thakur_BG-02_15_Mumbai_-_Radhanath_Swami_1994-05-08_IDesireTree.mp3")</f>
        <v>1994-076_Compassion_Of_Haridas_Thakur_BG-02_15_Mumbai_-_Radhanath_Swami_1994-05-08_IDesireTree.mp3</v>
      </c>
      <c r="D778" s="24"/>
      <c r="E778" s="24"/>
    </row>
    <row r="779">
      <c r="A779" s="25" t="s">
        <v>18352</v>
      </c>
      <c r="B779" s="25" t="s">
        <v>18358</v>
      </c>
      <c r="C779" s="26" t="str">
        <f>HYPERLINK("https://audio.iskcondesiretree.com/02_-_ISKCON_Swamis/ISKCON_Swamis_-_R_to_Y/His_Holiness_Radhanath_Swami/Lectures/00_-_Year_wise/Devotional_Nectar_-_1994/1994-077_How_To_Advance_HT_-_SI-6_Belgaum_-_Radhanath_Swami_1994-05-09_IDesireTree.mp3", "1994-077_How_To_Advance_HT_-_SI-6_Belgaum_-_Radhanath_Swami_1994-05-09_IDesireTree.mp3")</f>
        <v>1994-077_How_To_Advance_HT_-_SI-6_Belgaum_-_Radhanath_Swami_1994-05-09_IDesireTree.mp3</v>
      </c>
      <c r="D779" s="24"/>
      <c r="E779" s="24"/>
    </row>
    <row r="780">
      <c r="A780" s="25" t="s">
        <v>18352</v>
      </c>
      <c r="B780" s="25" t="s">
        <v>18358</v>
      </c>
      <c r="C780" s="26" t="str">
        <f>HYPERLINK("https://audio.iskcondesiretree.com/02_-_ISKCON_Swamis/ISKCON_Swamis_-_R_to_Y/His_Holiness_Radhanath_Swami/Lectures/00_-_Year_wise/Devotional_Nectar_-_1994/1994-078_Action_And_Thoughts_In_Krishna_Consciousness_Ht_-_BG-13_14_Belgaum_-_10-05-94_IDesireTree.m"&amp;"p3", "1994-078_Action_And_Thoughts_In_Krishna_Consciousness_Ht_-_BG-13_14_Belgaum_-_10-05-94_IDesireTree.mp3")</f>
        <v>1994-078_Action_And_Thoughts_In_Krishna_Consciousness_Ht_-_BG-13_14_Belgaum_-_10-05-94_IDesireTree.mp3</v>
      </c>
      <c r="D780" s="24"/>
      <c r="E780" s="24"/>
    </row>
    <row r="781">
      <c r="A781" s="25" t="s">
        <v>18352</v>
      </c>
      <c r="B781" s="25" t="s">
        <v>18358</v>
      </c>
      <c r="C781" s="26" t="str">
        <f>HYPERLINK("https://audio.iskcondesiretree.com/02_-_ISKCON_Swamis/ISKCON_Swamis_-_R_to_Y/His_Holiness_Radhanath_Swami/Lectures/00_-_Year_wise/Devotional_Nectar_-_1994/1994-079_Detachment_SB-01_15_42_Mumbai_-_Radhanath_Swami_1994-05-10_IDesireTree.mp3", "1994-079_Detachment_SB-01_15_42_Mumbai_-_Radhanath_Swami_1994-05-10_IDesireTree.mp3")</f>
        <v>1994-079_Detachment_SB-01_15_42_Mumbai_-_Radhanath_Swami_1994-05-10_IDesireTree.mp3</v>
      </c>
      <c r="D781" s="24"/>
      <c r="E781" s="24"/>
    </row>
    <row r="782">
      <c r="A782" s="25" t="s">
        <v>18352</v>
      </c>
      <c r="B782" s="25" t="s">
        <v>18358</v>
      </c>
      <c r="C782" s="26" t="str">
        <f>HYPERLINK("https://audio.iskcondesiretree.com/02_-_ISKCON_Swamis/ISKCON_Swamis_-_R_to_Y/His_Holiness_Radhanath_Swami/Lectures/00_-_Year_wise/Devotional_Nectar_-_1994/1994-080_Importance_Of_Reading_Srila_Prabhupada%27s_Book_Ht_-_SB-01_02_14-16_Mumbai_-_11-05-94_IDesi"&amp;"reTree.mp3", "1994-080_Importance_Of_Reading_Srila_Prabhupada%27s_Book_Ht_-_SB-01_02_14-16_Mumbai_-_11-05-94_IDesireTree.mp3")</f>
        <v>1994-080_Importance_Of_Reading_Srila_Prabhupada%27s_Book_Ht_-_SB-01_02_14-16_Mumbai_-_11-05-94_IDesireTree.mp3</v>
      </c>
      <c r="D782" s="24"/>
      <c r="E782" s="24"/>
    </row>
    <row r="783">
      <c r="A783" s="25" t="s">
        <v>18352</v>
      </c>
      <c r="B783" s="25" t="s">
        <v>18358</v>
      </c>
      <c r="C783" s="26" t="str">
        <f>HYPERLINK("https://audio.iskcondesiretree.com/02_-_ISKCON_Swamis/ISKCON_Swamis_-_R_to_Y/His_Holiness_Radhanath_Swami/Lectures/00_-_Year_wise/Devotional_Nectar_-_1994/1994-082_Importance_Of_Surrender_SB-07_01_07_Mumbai_-_Radhanath_Swami_1994-05-12_IDesireTree.mp3", "1994-082_Importance_Of_Surrender_SB-07_01_07_Mumbai_-_Radhanath_Swami_1994-05-12_IDesireTree.mp3")</f>
        <v>1994-082_Importance_Of_Surrender_SB-07_01_07_Mumbai_-_Radhanath_Swami_1994-05-12_IDesireTree.mp3</v>
      </c>
      <c r="D783" s="24"/>
      <c r="E783" s="24"/>
    </row>
    <row r="784">
      <c r="A784" s="25" t="s">
        <v>18352</v>
      </c>
      <c r="B784" s="25" t="s">
        <v>18358</v>
      </c>
      <c r="C784" s="26" t="str">
        <f>HYPERLINK("https://audio.iskcondesiretree.com/02_-_ISKCON_Swamis/ISKCON_Swamis_-_R_to_Y/His_Holiness_Radhanath_Swami/Lectures/00_-_Year_wise/Devotional_Nectar_-_1994/1994-084_To_Avoid_Fall_Down_BG-06_44_Mumbai_-_Radhanath_Swami_1994-05-12_IDesireTree.mp3", "1994-084_To_Avoid_Fall_Down_BG-06_44_Mumbai_-_Radhanath_Swami_1994-05-12_IDesireTree.mp3")</f>
        <v>1994-084_To_Avoid_Fall_Down_BG-06_44_Mumbai_-_Radhanath_Swami_1994-05-12_IDesireTree.mp3</v>
      </c>
      <c r="D784" s="24"/>
      <c r="E784" s="24"/>
    </row>
    <row r="785">
      <c r="A785" s="25" t="s">
        <v>18352</v>
      </c>
      <c r="B785" s="25" t="s">
        <v>18358</v>
      </c>
      <c r="C785" s="26" t="str">
        <f>HYPERLINK("https://audio.iskcondesiretree.com/02_-_ISKCON_Swamis/ISKCON_Swamis_-_R_to_Y/His_Holiness_Radhanath_Swami/Lectures/00_-_Year_wise/Devotional_Nectar_-_1994/1994-085_Fire_Of_Tribulation_SB-10_58_5_Mumbai_-_Radhanath_Swami_1994-05-13_IDesireTree.mp3", "1994-085_Fire_Of_Tribulation_SB-10_58_5_Mumbai_-_Radhanath_Swami_1994-05-13_IDesireTree.mp3")</f>
        <v>1994-085_Fire_Of_Tribulation_SB-10_58_5_Mumbai_-_Radhanath_Swami_1994-05-13_IDesireTree.mp3</v>
      </c>
      <c r="D785" s="24"/>
      <c r="E785" s="24"/>
    </row>
    <row r="786">
      <c r="A786" s="25" t="s">
        <v>18352</v>
      </c>
      <c r="B786" s="25" t="s">
        <v>18358</v>
      </c>
      <c r="C786" s="26" t="str">
        <f>HYPERLINK("https://audio.iskcondesiretree.com/02_-_ISKCON_Swamis/ISKCON_Swamis_-_R_to_Y/His_Holiness_Radhanath_Swami/Lectures/00_-_Year_wise/Devotional_Nectar_-_1994/1994-088_Question_And_Answer_Q%26A_Mumbai_-_Radhanath_Swami_1994-05-13_IDesireTree.mp3", "1994-088_Question_And_Answer_Q%26A_Mumbai_-_Radhanath_Swami_1994-05-13_IDesireTree.mp3")</f>
        <v>1994-088_Question_And_Answer_Q%26A_Mumbai_-_Radhanath_Swami_1994-05-13_IDesireTree.mp3</v>
      </c>
      <c r="D786" s="24"/>
      <c r="E786" s="24"/>
    </row>
    <row r="787">
      <c r="A787" s="25" t="s">
        <v>18352</v>
      </c>
      <c r="B787" s="25" t="s">
        <v>18358</v>
      </c>
      <c r="C787" s="26" t="str">
        <f>HYPERLINK("https://audio.iskcondesiretree.com/02_-_ISKCON_Swamis/ISKCON_Swamis_-_R_to_Y/His_Holiness_Radhanath_Swami/Lectures/00_-_Year_wise/Devotional_Nectar_-_1994/1994-090_Real_Perfection_When_Krishna_Remembers_His_Devotees_SB-10_58_06_Mumbai_-_14-05-94_IDesireTr"&amp;"ee.mp3", "1994-090_Real_Perfection_When_Krishna_Remembers_His_Devotees_SB-10_58_06_Mumbai_-_14-05-94_IDesireTree.mp3")</f>
        <v>1994-090_Real_Perfection_When_Krishna_Remembers_His_Devotees_SB-10_58_06_Mumbai_-_14-05-94_IDesireTree.mp3</v>
      </c>
      <c r="D787" s="24"/>
      <c r="E787" s="24"/>
    </row>
    <row r="788">
      <c r="A788" s="25" t="s">
        <v>18352</v>
      </c>
      <c r="B788" s="25" t="s">
        <v>18358</v>
      </c>
      <c r="C788" s="26" t="str">
        <f>HYPERLINK("https://audio.iskcondesiretree.com/02_-_ISKCON_Swamis/ISKCON_Swamis_-_R_to_Y/His_Holiness_Radhanath_Swami/Lectures/00_-_Year_wise/Devotional_Nectar_-_1994/1994-091_Nature_Of_Material_Existence_BG-18_25_Mumbai_-_Radhanath_Swami_1994-05-14_IDesireTree.mp3", "1994-091_Nature_Of_Material_Existence_BG-18_25_Mumbai_-_Radhanath_Swami_1994-05-14_IDesireTree.mp3")</f>
        <v>1994-091_Nature_Of_Material_Existence_BG-18_25_Mumbai_-_Radhanath_Swami_1994-05-14_IDesireTree.mp3</v>
      </c>
      <c r="D788" s="24"/>
      <c r="E788" s="24"/>
    </row>
    <row r="789">
      <c r="A789" s="25" t="s">
        <v>18352</v>
      </c>
      <c r="B789" s="25" t="s">
        <v>18358</v>
      </c>
      <c r="C789" s="26" t="str">
        <f>HYPERLINK("https://audio.iskcondesiretree.com/02_-_ISKCON_Swamis/ISKCON_Swamis_-_R_to_Y/His_Holiness_Radhanath_Swami/Lectures/00_-_Year_wise/Devotional_Nectar_-_1994/1994-094_Positive_Humility_SB-10_58_08_Mumbai_-_Radhanath_Swami_1994-05-15_IDesireTree.mp3", "1994-094_Positive_Humility_SB-10_58_08_Mumbai_-_Radhanath_Swami_1994-05-15_IDesireTree.mp3")</f>
        <v>1994-094_Positive_Humility_SB-10_58_08_Mumbai_-_Radhanath_Swami_1994-05-15_IDesireTree.mp3</v>
      </c>
      <c r="D789" s="24"/>
      <c r="E789" s="24"/>
    </row>
    <row r="790">
      <c r="A790" s="25" t="s">
        <v>18352</v>
      </c>
      <c r="B790" s="25" t="s">
        <v>18358</v>
      </c>
      <c r="C790" s="26" t="str">
        <f>HYPERLINK("https://audio.iskcondesiretree.com/02_-_ISKCON_Swamis/ISKCON_Swamis_-_R_to_Y/His_Holiness_Radhanath_Swami/Lectures/00_-_Year_wise/Devotional_Nectar_-_1994/1994-096_Talks_With_LIMC_Students_Lecture_Mumbai_-_Radhanath_Swami_1994-05-12_IDesireTree.mp3", "1994-096_Talks_With_LIMC_Students_Lecture_Mumbai_-_Radhanath_Swami_1994-05-12_IDesireTree.mp3")</f>
        <v>1994-096_Talks_With_LIMC_Students_Lecture_Mumbai_-_Radhanath_Swami_1994-05-12_IDesireTree.mp3</v>
      </c>
      <c r="D790" s="24"/>
      <c r="E790" s="24"/>
    </row>
    <row r="791">
      <c r="A791" s="25" t="s">
        <v>18352</v>
      </c>
      <c r="B791" s="25" t="s">
        <v>18358</v>
      </c>
      <c r="C791" s="26" t="str">
        <f>HYPERLINK("https://audio.iskcondesiretree.com/02_-_ISKCON_Swamis/ISKCON_Swamis_-_R_to_Y/His_Holiness_Radhanath_Swami/Lectures/00_-_Year_wise/Devotional_Nectar_-_1994/1994-097_Significance_Of_Chandan_Yatra_Lecture_Mumbai_-_Radhanath_Swami_1994-05-15_IDesireTree.mp3", "1994-097_Significance_Of_Chandan_Yatra_Lecture_Mumbai_-_Radhanath_Swami_1994-05-15_IDesireTree.mp3")</f>
        <v>1994-097_Significance_Of_Chandan_Yatra_Lecture_Mumbai_-_Radhanath_Swami_1994-05-15_IDesireTree.mp3</v>
      </c>
      <c r="D791" s="24"/>
      <c r="E791" s="24"/>
    </row>
    <row r="792">
      <c r="A792" s="25" t="s">
        <v>18352</v>
      </c>
      <c r="B792" s="25" t="s">
        <v>18358</v>
      </c>
      <c r="C792" s="26" t="str">
        <f>HYPERLINK("https://audio.iskcondesiretree.com/02_-_ISKCON_Swamis/ISKCON_Swamis_-_R_to_Y/His_Holiness_Radhanath_Swami/Lectures/00_-_Year_wise/Devotional_Nectar_-_1994/1994-098_Talk_With_Brahmachari%27s_Q%26A_Mumbai_-_Radhanath_Swami_1994-05-25_IDesireTree.mp3", "1994-098_Talk_With_Brahmachari%27s_Q%26A_Mumbai_-_Radhanath_Swami_1994-05-25_IDesireTree.mp3")</f>
        <v>1994-098_Talk_With_Brahmachari%27s_Q%26A_Mumbai_-_Radhanath_Swami_1994-05-25_IDesireTree.mp3</v>
      </c>
      <c r="D792" s="24"/>
      <c r="E792" s="24"/>
    </row>
    <row r="793">
      <c r="A793" s="25" t="s">
        <v>18352</v>
      </c>
      <c r="B793" s="25" t="s">
        <v>18358</v>
      </c>
      <c r="C793" s="26" t="str">
        <f>HYPERLINK("https://audio.iskcondesiretree.com/02_-_ISKCON_Swamis/ISKCON_Swamis_-_R_to_Y/His_Holiness_Radhanath_Swami/Lectures/00_-_Year_wise/Devotional_Nectar_-_1994/1994-099_Vrindavan_das_Thakur_Lecture_-_Radhanath_Swami_1994-06-05_IDesireTree.mp3", "1994-099_Vrindavan_das_Thakur_Lecture_-_Radhanath_Swami_1994-06-05_IDesireTree.mp3")</f>
        <v>1994-099_Vrindavan_das_Thakur_Lecture_-_Radhanath_Swami_1994-06-05_IDesireTree.mp3</v>
      </c>
      <c r="D793" s="24"/>
      <c r="E793" s="24"/>
    </row>
    <row r="794">
      <c r="A794" s="25" t="s">
        <v>18352</v>
      </c>
      <c r="B794" s="25" t="s">
        <v>18358</v>
      </c>
      <c r="C794" s="26" t="str">
        <f>HYPERLINK("https://audio.iskcondesiretree.com/02_-_ISKCON_Swamis/ISKCON_Swamis_-_R_to_Y/His_Holiness_Radhanath_Swami/Lectures/00_-_Year_wise/Devotional_Nectar_-_1994/1994-100_Transcendental_Remedy_for_this_Age_Lecture_NV_-_Radhanath_Swami_1994-06-16_IDesireTree.mp3", "1994-100_Transcendental_Remedy_for_this_Age_Lecture_NV_-_Radhanath_Swami_1994-06-16_IDesireTree.mp3")</f>
        <v>1994-100_Transcendental_Remedy_for_this_Age_Lecture_NV_-_Radhanath_Swami_1994-06-16_IDesireTree.mp3</v>
      </c>
      <c r="D794" s="24"/>
      <c r="E794" s="24"/>
    </row>
    <row r="795">
      <c r="A795" s="25" t="s">
        <v>18352</v>
      </c>
      <c r="B795" s="25" t="s">
        <v>18358</v>
      </c>
      <c r="C795" s="26" t="str">
        <f>HYPERLINK("https://audio.iskcondesiretree.com/02_-_ISKCON_Swamis/ISKCON_Swamis_-_R_to_Y/His_Holiness_Radhanath_Swami/Lectures/00_-_Year_wise/Devotional_Nectar_-_1994/1994-101_Talks_With_Padharpur_Camp_Volunteers_Lecture_Mumbai_-_07-08-94_IDesireTree.mp3", "1994-101_Talks_With_Padharpur_Camp_Volunteers_Lecture_Mumbai_-_07-08-94_IDesireTree.mp3")</f>
        <v>1994-101_Talks_With_Padharpur_Camp_Volunteers_Lecture_Mumbai_-_07-08-94_IDesireTree.mp3</v>
      </c>
      <c r="D795" s="24"/>
      <c r="E795" s="24"/>
    </row>
    <row r="796">
      <c r="A796" s="25" t="s">
        <v>18352</v>
      </c>
      <c r="B796" s="25" t="s">
        <v>18358</v>
      </c>
      <c r="C796" s="26" t="str">
        <f>HYPERLINK("https://audio.iskcondesiretree.com/02_-_ISKCON_Swamis/ISKCON_Swamis_-_R_to_Y/His_Holiness_Radhanath_Swami/Lectures/00_-_Year_wise/Devotional_Nectar_-_1994/1994-102_Chaitanya_Mahaprabhu%27s_Lilla_Is_Most_Merciful_SB-01_03_33_Mumbai_-_16-08-94_IDesireTree.m"&amp;"p3", "1994-102_Chaitanya_Mahaprabhu%27s_Lilla_Is_Most_Merciful_SB-01_03_33_Mumbai_-_16-08-94_IDesireTree.mp3")</f>
        <v>1994-102_Chaitanya_Mahaprabhu%27s_Lilla_Is_Most_Merciful_SB-01_03_33_Mumbai_-_16-08-94_IDesireTree.mp3</v>
      </c>
      <c r="D796" s="24"/>
      <c r="E796" s="24"/>
    </row>
    <row r="797">
      <c r="A797" s="25" t="s">
        <v>18352</v>
      </c>
      <c r="B797" s="25" t="s">
        <v>18358</v>
      </c>
      <c r="C797" s="26" t="str">
        <f>HYPERLINK("https://audio.iskcondesiretree.com/02_-_ISKCON_Swamis/ISKCON_Swamis_-_R_to_Y/His_Holiness_Radhanath_Swami/Lectures/00_-_Year_wise/Devotional_Nectar_-_1994/1994-103_Significance_Of_Jhulan_Yatra_Lecture_Mumbai_-_Radhanath_Swami_1994-08-20_IDesireTree.mp3", "1994-103_Significance_Of_Jhulan_Yatra_Lecture_Mumbai_-_Radhanath_Swami_1994-08-20_IDesireTree.mp3")</f>
        <v>1994-103_Significance_Of_Jhulan_Yatra_Lecture_Mumbai_-_Radhanath_Swami_1994-08-20_IDesireTree.mp3</v>
      </c>
      <c r="D797" s="24"/>
      <c r="E797" s="24"/>
    </row>
    <row r="798">
      <c r="A798" s="25" t="s">
        <v>18352</v>
      </c>
      <c r="B798" s="25" t="s">
        <v>18358</v>
      </c>
      <c r="C798" s="26" t="str">
        <f>HYPERLINK("https://audio.iskcondesiretree.com/02_-_ISKCON_Swamis/ISKCON_Swamis_-_R_to_Y/His_Holiness_Radhanath_Swami/Lectures/00_-_Year_wise/Devotional_Nectar_-_1994/1994-104_Incarnation_Are_Expansions_Of_Krishna_SB-01_03_28_Mumbai_-_21-08-94_IDesireTree.mp3", "1994-104_Incarnation_Are_Expansions_Of_Krishna_SB-01_03_28_Mumbai_-_21-08-94_IDesireTree.mp3")</f>
        <v>1994-104_Incarnation_Are_Expansions_Of_Krishna_SB-01_03_28_Mumbai_-_21-08-94_IDesireTree.mp3</v>
      </c>
      <c r="D798" s="24"/>
      <c r="E798" s="24"/>
    </row>
    <row r="799">
      <c r="A799" s="25" t="s">
        <v>18352</v>
      </c>
      <c r="B799" s="25" t="s">
        <v>18358</v>
      </c>
      <c r="C799" s="26" t="str">
        <f>HYPERLINK("https://audio.iskcondesiretree.com/02_-_ISKCON_Swamis/ISKCON_Swamis_-_R_to_Y/His_Holiness_Radhanath_Swami/Lectures/00_-_Year_wise/Devotional_Nectar_-_1994/1994-105_Hearing_Is_Necessary_Everyday_SB-01_03_29_Mumbai_-_22-08-94_IDesireTree.mp3", "1994-105_Hearing_Is_Necessary_Everyday_SB-01_03_29_Mumbai_-_22-08-94_IDesireTree.mp3")</f>
        <v>1994-105_Hearing_Is_Necessary_Everyday_SB-01_03_29_Mumbai_-_22-08-94_IDesireTree.mp3</v>
      </c>
      <c r="D799" s="24"/>
      <c r="E799" s="24"/>
    </row>
    <row r="800">
      <c r="A800" s="25" t="s">
        <v>18352</v>
      </c>
      <c r="B800" s="25" t="s">
        <v>18358</v>
      </c>
      <c r="C800" s="26" t="str">
        <f>HYPERLINK("https://audio.iskcondesiretree.com/02_-_ISKCON_Swamis/ISKCON_Swamis_-_R_to_Y/His_Holiness_Radhanath_Swami/Lectures/00_-_Year_wise/Devotional_Nectar_-_1994/1994-106_Lord_Balaram%27s_Mercy_Is_must_BG-10_08_Mumbai_-_Radhanath_Swami_1994-08-21_IDesireTree.mp3", "1994-106_Lord_Balaram%27s_Mercy_Is_must_BG-10_08_Mumbai_-_Radhanath_Swami_1994-08-21_IDesireTree.mp3")</f>
        <v>1994-106_Lord_Balaram%27s_Mercy_Is_must_BG-10_08_Mumbai_-_Radhanath_Swami_1994-08-21_IDesireTree.mp3</v>
      </c>
      <c r="D800" s="24"/>
      <c r="E800" s="24"/>
    </row>
    <row r="801">
      <c r="A801" s="25" t="s">
        <v>18352</v>
      </c>
      <c r="B801" s="25" t="s">
        <v>18358</v>
      </c>
      <c r="C801" s="26" t="str">
        <f>HYPERLINK("https://audio.iskcondesiretree.com/02_-_ISKCON_Swamis/ISKCON_Swamis_-_R_to_Y/His_Holiness_Radhanath_Swami/Lectures/00_-_Year_wise/Devotional_Nectar_-_1994/1994-108_Uncovering_The_Soul_SB-01_03_31_Mumbai_-_Radhanath_Swami_1994-08-24_IDesireTree.mp3", "1994-108_Uncovering_The_Soul_SB-01_03_31_Mumbai_-_Radhanath_Swami_1994-08-24_IDesireTree.mp3")</f>
        <v>1994-108_Uncovering_The_Soul_SB-01_03_31_Mumbai_-_Radhanath_Swami_1994-08-24_IDesireTree.mp3</v>
      </c>
      <c r="D801" s="24"/>
      <c r="E801" s="24"/>
    </row>
    <row r="802">
      <c r="A802" s="25" t="s">
        <v>18352</v>
      </c>
      <c r="B802" s="25" t="s">
        <v>18358</v>
      </c>
      <c r="C802" s="26" t="str">
        <f>HYPERLINK("https://audio.iskcondesiretree.com/02_-_ISKCON_Swamis/ISKCON_Swamis_-_R_to_Y/His_Holiness_Radhanath_Swami/Lectures/00_-_Year_wise/Devotional_Nectar_-_1994/1994-109_Secret_Of_Success_SB-01_05_31_Mumbai_-_Radhanath_Swami_1994-08-25_IDesireTree.mp3", "1994-109_Secret_Of_Success_SB-01_05_31_Mumbai_-_Radhanath_Swami_1994-08-25_IDesireTree.mp3")</f>
        <v>1994-109_Secret_Of_Success_SB-01_05_31_Mumbai_-_Radhanath_Swami_1994-08-25_IDesireTree.mp3</v>
      </c>
      <c r="D802" s="24"/>
      <c r="E802" s="24"/>
    </row>
    <row r="803">
      <c r="A803" s="25" t="s">
        <v>18352</v>
      </c>
      <c r="B803" s="25" t="s">
        <v>18358</v>
      </c>
      <c r="C803" s="26" t="str">
        <f>HYPERLINK("https://audio.iskcondesiretree.com/02_-_ISKCON_Swamis/ISKCON_Swamis_-_R_to_Y/His_Holiness_Radhanath_Swami/Lectures/00_-_Year_wise/Devotional_Nectar_-_1994/1994-111_Appearance_Of_Krishna_In_Our_Heart_SB-10-03_13_Mumbai_-_26-08-94_IDesireTree.mp3", "1994-111_Appearance_Of_Krishna_In_Our_Heart_SB-10-03_13_Mumbai_-_26-08-94_IDesireTree.mp3")</f>
        <v>1994-111_Appearance_Of_Krishna_In_Our_Heart_SB-10-03_13_Mumbai_-_26-08-94_IDesireTree.mp3</v>
      </c>
      <c r="D803" s="24"/>
      <c r="E803" s="24"/>
    </row>
    <row r="804">
      <c r="A804" s="25" t="s">
        <v>18352</v>
      </c>
      <c r="B804" s="25" t="s">
        <v>18358</v>
      </c>
      <c r="C804" s="26" t="str">
        <f>HYPERLINK("https://audio.iskcondesiretree.com/02_-_ISKCON_Swamis/ISKCON_Swamis_-_R_to_Y/His_Holiness_Radhanath_Swami/Lectures/00_-_Year_wise/Devotional_Nectar_-_1994/1994-114_Eight_Sons_Of_Mother_Devaki_SB-01_03_38_Mumbai_-_Radhanath_Swami_1994-08-28_IDesireTree.mp3", "1994-114_Eight_Sons_Of_Mother_Devaki_SB-01_03_38_Mumbai_-_Radhanath_Swami_1994-08-28_IDesireTree.mp3")</f>
        <v>1994-114_Eight_Sons_Of_Mother_Devaki_SB-01_03_38_Mumbai_-_Radhanath_Swami_1994-08-28_IDesireTree.mp3</v>
      </c>
      <c r="D804" s="24"/>
      <c r="E804" s="24"/>
    </row>
    <row r="805">
      <c r="A805" s="25" t="s">
        <v>18352</v>
      </c>
      <c r="B805" s="25" t="s">
        <v>18358</v>
      </c>
      <c r="C805" s="26" t="str">
        <f>HYPERLINK("https://audio.iskcondesiretree.com/02_-_ISKCON_Swamis/ISKCON_Swamis_-_R_to_Y/His_Holiness_Radhanath_Swami/Lectures/00_-_Year_wise/Devotional_Nectar_-_1994/1994-116_The_Glory_of_Nityananda-Balaram_Lecture_-_Radhanath_Swami_08-94_IDesireTree.mp3", "1994-116_The_Glory_of_Nityananda-Balaram_Lecture_-_Radhanath_Swami_08-94_IDesireTree.mp3")</f>
        <v>1994-116_The_Glory_of_Nityananda-Balaram_Lecture_-_Radhanath_Swami_08-94_IDesireTree.mp3</v>
      </c>
      <c r="D805" s="24"/>
      <c r="E805" s="24"/>
    </row>
    <row r="806">
      <c r="A806" s="25" t="s">
        <v>18352</v>
      </c>
      <c r="B806" s="25" t="s">
        <v>18358</v>
      </c>
      <c r="C806" s="26" t="str">
        <f>HYPERLINK("https://audio.iskcondesiretree.com/02_-_ISKCON_Swamis/ISKCON_Swamis_-_R_to_Y/His_Holiness_Radhanath_Swami/Lectures/00_-_Year_wise/Devotional_Nectar_-_1994/1994-117_Role_Of_Durga_Devi_SB-01_03_34_Mumbai_-_Radhanath_Swami_1994-08-29_IDesireTree.mp3", "1994-117_Role_Of_Durga_Devi_SB-01_03_34_Mumbai_-_Radhanath_Swami_1994-08-29_IDesireTree.mp3")</f>
        <v>1994-117_Role_Of_Durga_Devi_SB-01_03_34_Mumbai_-_Radhanath_Swami_1994-08-29_IDesireTree.mp3</v>
      </c>
      <c r="D806" s="24"/>
      <c r="E806" s="24"/>
    </row>
    <row r="807">
      <c r="A807" s="25" t="s">
        <v>18352</v>
      </c>
      <c r="B807" s="25" t="s">
        <v>18358</v>
      </c>
      <c r="C807" s="26" t="str">
        <f>HYPERLINK("https://audio.iskcondesiretree.com/02_-_ISKCON_Swamis/ISKCON_Swamis_-_R_to_Y/His_Holiness_Radhanath_Swami/Lectures/00_-_Year_wise/Devotional_Nectar_-_1994/1994-118_We_Have_No_Power_To_Understand_Krishna_SB-01_03_35_Mumbai_-_28-08-94_IDesireTree.mp3", "1994-118_We_Have_No_Power_To_Understand_Krishna_SB-01_03_35_Mumbai_-_28-08-94_IDesireTree.mp3")</f>
        <v>1994-118_We_Have_No_Power_To_Understand_Krishna_SB-01_03_35_Mumbai_-_28-08-94_IDesireTree.mp3</v>
      </c>
      <c r="D807" s="24"/>
      <c r="E807" s="24"/>
    </row>
    <row r="808">
      <c r="A808" s="25" t="s">
        <v>18352</v>
      </c>
      <c r="B808" s="25" t="s">
        <v>18358</v>
      </c>
      <c r="C808" s="26" t="str">
        <f>HYPERLINK("https://audio.iskcondesiretree.com/02_-_ISKCON_Swamis/ISKCON_Swamis_-_R_to_Y/His_Holiness_Radhanath_Swami/Lectures/00_-_Year_wise/Devotional_Nectar_-_1994/1994-119_First_Purify_Ourselves_Lecture_Mumbai_-_Radhanath_Swami_1994-08-28_IDesireTree.mp3", "1994-119_First_Purify_Ourselves_Lecture_Mumbai_-_Radhanath_Swami_1994-08-28_IDesireTree.mp3")</f>
        <v>1994-119_First_Purify_Ourselves_Lecture_Mumbai_-_Radhanath_Swami_1994-08-28_IDesireTree.mp3</v>
      </c>
      <c r="D808" s="24"/>
      <c r="E808" s="24"/>
    </row>
    <row r="809">
      <c r="A809" s="25" t="s">
        <v>18352</v>
      </c>
      <c r="B809" s="25" t="s">
        <v>18358</v>
      </c>
      <c r="C809" s="26" t="str">
        <f>HYPERLINK("https://audio.iskcondesiretree.com/02_-_ISKCON_Swamis/ISKCON_Swamis_-_R_to_Y/His_Holiness_Radhanath_Swami/Lectures/00_-_Year_wise/Devotional_Nectar_-_1994/1994-120_Childhood_Pastimes_Of_Krishna_SB-01_03_36_Mumbai_-_29-08-94_IDesireTree.mp3", "1994-120_Childhood_Pastimes_Of_Krishna_SB-01_03_36_Mumbai_-_29-08-94_IDesireTree.mp3")</f>
        <v>1994-120_Childhood_Pastimes_Of_Krishna_SB-01_03_36_Mumbai_-_29-08-94_IDesireTree.mp3</v>
      </c>
      <c r="D809" s="24"/>
      <c r="E809" s="24"/>
    </row>
    <row r="810">
      <c r="A810" s="25" t="s">
        <v>18352</v>
      </c>
      <c r="B810" s="25" t="s">
        <v>18358</v>
      </c>
      <c r="C810" s="26" t="str">
        <f>HYPERLINK("https://audio.iskcondesiretree.com/02_-_ISKCON_Swamis/ISKCON_Swamis_-_R_to_Y/His_Holiness_Radhanath_Swami/Lectures/00_-_Year_wise/Devotional_Nectar_-_1994/1994-121_Krishna%27s_Pastimes_Are_Nectarian_Lecture_Mumbai_-_29-08-94_IDesireTree.mp3", "1994-121_Krishna%27s_Pastimes_Are_Nectarian_Lecture_Mumbai_-_29-08-94_IDesireTree.mp3")</f>
        <v>1994-121_Krishna%27s_Pastimes_Are_Nectarian_Lecture_Mumbai_-_29-08-94_IDesireTree.mp3</v>
      </c>
      <c r="D810" s="24"/>
      <c r="E810" s="24"/>
    </row>
    <row r="811">
      <c r="A811" s="25" t="s">
        <v>18352</v>
      </c>
      <c r="B811" s="25" t="s">
        <v>18358</v>
      </c>
      <c r="C811" s="26" t="str">
        <f>HYPERLINK("https://audio.iskcondesiretree.com/02_-_ISKCON_Swamis/ISKCON_Swamis_-_R_to_Y/His_Holiness_Radhanath_Swami/Lectures/00_-_Year_wise/Devotional_Nectar_-_1994/1994-123_Why_Does_Krsna_Appear_Lecture_Mumbai_-_Radhanath_Swami_1994-08-29_IDesireTree.mp3", "1994-123_Why_Does_Krsna_Appear_Lecture_Mumbai_-_Radhanath_Swami_1994-08-29_IDesireTree.mp3")</f>
        <v>1994-123_Why_Does_Krsna_Appear_Lecture_Mumbai_-_Radhanath_Swami_1994-08-29_IDesireTree.mp3</v>
      </c>
      <c r="D811" s="24"/>
      <c r="E811" s="24"/>
    </row>
    <row r="812">
      <c r="A812" s="25" t="s">
        <v>18352</v>
      </c>
      <c r="B812" s="25" t="s">
        <v>18358</v>
      </c>
      <c r="C812" s="26" t="str">
        <f>HYPERLINK("https://audio.iskcondesiretree.com/02_-_ISKCON_Swamis/ISKCON_Swamis_-_R_to_Y/His_Holiness_Radhanath_Swami/Lectures/00_-_Year_wise/Devotional_Nectar_-_1994/1994-124_Offering_To_Srila_Prabhupada__Mumbai_-_Radhanath_Swami_1994-08-30_IDesireTree.mp3", "1994-124_Offering_To_Srila_Prabhupada__Mumbai_-_Radhanath_Swami_1994-08-30_IDesireTree.mp3")</f>
        <v>1994-124_Offering_To_Srila_Prabhupada__Mumbai_-_Radhanath_Swami_1994-08-30_IDesireTree.mp3</v>
      </c>
      <c r="D812" s="24"/>
      <c r="E812" s="24"/>
    </row>
    <row r="813">
      <c r="A813" s="25" t="s">
        <v>18352</v>
      </c>
      <c r="B813" s="25" t="s">
        <v>18358</v>
      </c>
      <c r="C813" s="26" t="str">
        <f>HYPERLINK("https://audio.iskcondesiretree.com/02_-_ISKCON_Swamis/ISKCON_Swamis_-_R_to_Y/His_Holiness_Radhanath_Swami/Lectures/00_-_Year_wise/Devotional_Nectar_-_1994/1994-125_Pastimes_Of_Lord_Krishna_HT_-_Lecture_Mumbai_-_Radhanath_Swami_1994-08-31_IDesireTree.mp3", "1994-125_Pastimes_Of_Lord_Krishna_HT_-_Lecture_Mumbai_-_Radhanath_Swami_1994-08-31_IDesireTree.mp3")</f>
        <v>1994-125_Pastimes_Of_Lord_Krishna_HT_-_Lecture_Mumbai_-_Radhanath_Swami_1994-08-31_IDesireTree.mp3</v>
      </c>
      <c r="D813" s="24"/>
      <c r="E813" s="24"/>
    </row>
    <row r="814">
      <c r="A814" s="25" t="s">
        <v>18352</v>
      </c>
      <c r="B814" s="25" t="s">
        <v>18358</v>
      </c>
      <c r="C814" s="26" t="str">
        <f>HYPERLINK("https://audio.iskcondesiretree.com/02_-_ISKCON_Swamis/ISKCON_Swamis_-_R_to_Y/His_Holiness_Radhanath_Swami/Lectures/00_-_Year_wise/Devotional_Nectar_-_1994/1994-126_Don%27t_Solve_Problems_-_Transcend_Them_Lecture_Mumbai_-_02-09-94_IDesireTree.mp3", "1994-126_Don%27t_Solve_Problems_-_Transcend_Them_Lecture_Mumbai_-_02-09-94_IDesireTree.mp3")</f>
        <v>1994-126_Don%27t_Solve_Problems_-_Transcend_Them_Lecture_Mumbai_-_02-09-94_IDesireTree.mp3</v>
      </c>
      <c r="D814" s="24"/>
      <c r="E814" s="24"/>
    </row>
    <row r="815">
      <c r="A815" s="25" t="s">
        <v>18352</v>
      </c>
      <c r="B815" s="25" t="s">
        <v>18358</v>
      </c>
      <c r="C815" s="26" t="str">
        <f>HYPERLINK("https://audio.iskcondesiretree.com/02_-_ISKCON_Swamis/ISKCON_Swamis_-_R_to_Y/His_Holiness_Radhanath_Swami/Lectures/00_-_Year_wise/Devotional_Nectar_-_1994/1994-129_Lord_Nityananda_Prabhu%27s_Mercy_Lecture_Mumbai_-_Radhanath_Swami_1994-09-03_IDesireTree.mp"&amp;"3", "1994-129_Lord_Nityananda_Prabhu%27s_Mercy_Lecture_Mumbai_-_Radhanath_Swami_1994-09-03_IDesireTree.mp3")</f>
        <v>1994-129_Lord_Nityananda_Prabhu%27s_Mercy_Lecture_Mumbai_-_Radhanath_Swami_1994-09-03_IDesireTree.mp3</v>
      </c>
      <c r="D815" s="24"/>
      <c r="E815" s="24"/>
    </row>
    <row r="816">
      <c r="A816" s="25" t="s">
        <v>18352</v>
      </c>
      <c r="B816" s="25" t="s">
        <v>18358</v>
      </c>
      <c r="C816" s="26" t="str">
        <f>HYPERLINK("https://audio.iskcondesiretree.com/02_-_ISKCON_Swamis/ISKCON_Swamis_-_R_to_Y/His_Holiness_Radhanath_Swami/Lectures/00_-_Year_wise/Devotional_Nectar_-_1994/1994-130_Greed_For_Wealth_Ruins_Us_SB-10_10_38_Mumbai_-_Radhanath_Swami_1994-09-04_IDesireTree.mp3", "1994-130_Greed_For_Wealth_Ruins_Us_SB-10_10_38_Mumbai_-_Radhanath_Swami_1994-09-04_IDesireTree.mp3")</f>
        <v>1994-130_Greed_For_Wealth_Ruins_Us_SB-10_10_38_Mumbai_-_Radhanath_Swami_1994-09-04_IDesireTree.mp3</v>
      </c>
      <c r="D816" s="24"/>
      <c r="E816" s="24"/>
    </row>
    <row r="817">
      <c r="A817" s="25" t="s">
        <v>18352</v>
      </c>
      <c r="B817" s="25" t="s">
        <v>18358</v>
      </c>
      <c r="C817" s="26" t="str">
        <f>HYPERLINK("https://audio.iskcondesiretree.com/02_-_ISKCON_Swamis/ISKCON_Swamis_-_R_to_Y/His_Holiness_Radhanath_Swami/Lectures/00_-_Year_wise/Devotional_Nectar_-_1994/1994-133_Need_Of_The_Hour_Mt_-_BG-04_03_Palghar_-_Radhanath_Swami_1994-09-04_IDesireTree.mp3", "1994-133_Need_Of_The_Hour_Mt_-_BG-04_03_Palghar_-_Radhanath_Swami_1994-09-04_IDesireTree.mp3")</f>
        <v>1994-133_Need_Of_The_Hour_Mt_-_BG-04_03_Palghar_-_Radhanath_Swami_1994-09-04_IDesireTree.mp3</v>
      </c>
      <c r="D817" s="24"/>
      <c r="E817" s="24"/>
    </row>
    <row r="818">
      <c r="A818" s="25" t="s">
        <v>18352</v>
      </c>
      <c r="B818" s="25" t="s">
        <v>18358</v>
      </c>
      <c r="C818" s="26" t="str">
        <f>HYPERLINK("https://audio.iskcondesiretree.com/02_-_ISKCON_Swamis/ISKCON_Swamis_-_R_to_Y/His_Holiness_Radhanath_Swami/Lectures/00_-_Year_wise/Devotional_Nectar_-_1994/1994-135_Submitting_To_The_Parampara_SB-01_04_01_Mumbai_-_Radhanath_Swami_1994-09-07_IDesireTree.mp3", "1994-135_Submitting_To_The_Parampara_SB-01_04_01_Mumbai_-_Radhanath_Swami_1994-09-07_IDesireTree.mp3")</f>
        <v>1994-135_Submitting_To_The_Parampara_SB-01_04_01_Mumbai_-_Radhanath_Swami_1994-09-07_IDesireTree.mp3</v>
      </c>
      <c r="D818" s="24"/>
      <c r="E818" s="24"/>
    </row>
    <row r="819">
      <c r="A819" s="25" t="s">
        <v>18352</v>
      </c>
      <c r="B819" s="25" t="s">
        <v>18358</v>
      </c>
      <c r="C819" s="26" t="str">
        <f>HYPERLINK("https://audio.iskcondesiretree.com/02_-_ISKCON_Swamis/ISKCON_Swamis_-_R_to_Y/His_Holiness_Radhanath_Swami/Lectures/00_-_Year_wise/Devotional_Nectar_-_1994/1994-137_Surrender_To_the_Order_SB-01_03_42_Mumbai_-_Radhanath_Swami_1994-09-04_IDesireTree.mp3", "1994-137_Surrender_To_the_Order_SB-01_03_42_Mumbai_-_Radhanath_Swami_1994-09-04_IDesireTree.mp3")</f>
        <v>1994-137_Surrender_To_the_Order_SB-01_03_42_Mumbai_-_Radhanath_Swami_1994-09-04_IDesireTree.mp3</v>
      </c>
      <c r="D819" s="24"/>
      <c r="E819" s="24"/>
    </row>
    <row r="820">
      <c r="A820" s="25" t="s">
        <v>18352</v>
      </c>
      <c r="B820" s="25" t="s">
        <v>18358</v>
      </c>
      <c r="C820" s="26" t="str">
        <f>HYPERLINK("https://audio.iskcondesiretree.com/02_-_ISKCON_Swamis/ISKCON_Swamis_-_R_to_Y/His_Holiness_Radhanath_Swami/Lectures/00_-_Year_wise/Devotional_Nectar_-_1994/1994-138_How_Much_Faith_Do_We_Have_BG-04_39_Mumbai_-_Radhanath_Swami_1994-09-10_IDesireTree.mp3", "1994-138_How_Much_Faith_Do_We_Have_BG-04_39_Mumbai_-_Radhanath_Swami_1994-09-10_IDesireTree.mp3")</f>
        <v>1994-138_How_Much_Faith_Do_We_Have_BG-04_39_Mumbai_-_Radhanath_Swami_1994-09-10_IDesireTree.mp3</v>
      </c>
      <c r="D820" s="24"/>
      <c r="E820" s="24"/>
    </row>
    <row r="821">
      <c r="A821" s="25" t="s">
        <v>18352</v>
      </c>
      <c r="B821" s="25" t="s">
        <v>18358</v>
      </c>
      <c r="C821" s="26" t="str">
        <f>HYPERLINK("https://audio.iskcondesiretree.com/02_-_ISKCON_Swamis/ISKCON_Swamis_-_R_to_Y/His_Holiness_Radhanath_Swami/Lectures/00_-_Year_wise/Devotional_Nectar_-_1994/1994-140_Proper_Worship_Of_Demigods_SB-08_06_09_Mumbai_-_Radhanath_Swami_1994-09-09_IDesireTree.mp3", "1994-140_Proper_Worship_Of_Demigods_SB-08_06_09_Mumbai_-_Radhanath_Swami_1994-09-09_IDesireTree.mp3")</f>
        <v>1994-140_Proper_Worship_Of_Demigods_SB-08_06_09_Mumbai_-_Radhanath_Swami_1994-09-09_IDesireTree.mp3</v>
      </c>
      <c r="D821" s="24"/>
      <c r="E821" s="24"/>
    </row>
    <row r="822">
      <c r="A822" s="25" t="s">
        <v>18352</v>
      </c>
      <c r="B822" s="25" t="s">
        <v>18358</v>
      </c>
      <c r="C822" s="26" t="str">
        <f>HYPERLINK("https://audio.iskcondesiretree.com/02_-_ISKCON_Swamis/ISKCON_Swamis_-_R_to_Y/His_Holiness_Radhanath_Swami/Lectures/00_-_Year_wise/Devotional_Nectar_-_1994/1994-141_Strive_For_Service_Of_Sakhis_Lecture_Mumbai_-_Radhanath_Swami_1994-09-11_IDesireTree.mp3", "1994-141_Strive_For_Service_Of_Sakhis_Lecture_Mumbai_-_Radhanath_Swami_1994-09-11_IDesireTree.mp3")</f>
        <v>1994-141_Strive_For_Service_Of_Sakhis_Lecture_Mumbai_-_Radhanath_Swami_1994-09-11_IDesireTree.mp3</v>
      </c>
      <c r="D822" s="24"/>
      <c r="E822" s="24"/>
    </row>
    <row r="823">
      <c r="A823" s="25" t="s">
        <v>18352</v>
      </c>
      <c r="B823" s="25" t="s">
        <v>18358</v>
      </c>
      <c r="C823" s="26" t="str">
        <f>HYPERLINK("https://audio.iskcondesiretree.com/02_-_ISKCON_Swamis/ISKCON_Swamis_-_R_to_Y/His_Holiness_Radhanath_Swami/Lectures/00_-_Year_wise/Devotional_Nectar_-_1994/1994-142_Eagerness_To_Hear_SB-01_04_03_Mumbai_-_Radhanath_Swami_1994-09-09_IDesireTree.mp3", "1994-142_Eagerness_To_Hear_SB-01_04_03_Mumbai_-_Radhanath_Swami_1994-09-09_IDesireTree.mp3")</f>
        <v>1994-142_Eagerness_To_Hear_SB-01_04_03_Mumbai_-_Radhanath_Swami_1994-09-09_IDesireTree.mp3</v>
      </c>
      <c r="D823" s="24"/>
      <c r="E823" s="24"/>
    </row>
    <row r="824">
      <c r="A824" s="25" t="s">
        <v>18352</v>
      </c>
      <c r="B824" s="25" t="s">
        <v>18358</v>
      </c>
      <c r="C824" s="26" t="str">
        <f>HYPERLINK("https://audio.iskcondesiretree.com/02_-_ISKCON_Swamis/ISKCON_Swamis_-_R_to_Y/His_Holiness_Radhanath_Swami/Lectures/00_-_Year_wise/Devotional_Nectar_-_1994/1994-145_Renunciation_Of_Sukhdev_Goswami_SB-01_04_05_Mumbai_-_11-09-94_IDesireTree.mp3", "1994-145_Renunciation_Of_Sukhdev_Goswami_SB-01_04_05_Mumbai_-_11-09-94_IDesireTree.mp3")</f>
        <v>1994-145_Renunciation_Of_Sukhdev_Goswami_SB-01_04_05_Mumbai_-_11-09-94_IDesireTree.mp3</v>
      </c>
      <c r="D824" s="24"/>
      <c r="E824" s="24"/>
    </row>
    <row r="825">
      <c r="A825" s="25" t="s">
        <v>18352</v>
      </c>
      <c r="B825" s="25" t="s">
        <v>18358</v>
      </c>
      <c r="C825" s="26" t="str">
        <f>HYPERLINK("https://audio.iskcondesiretree.com/02_-_ISKCON_Swamis/ISKCON_Swamis_-_R_to_Y/His_Holiness_Radhanath_Swami/Lectures/00_-_Year_wise/Devotional_Nectar_-_1994/1994-146_Glories_Of_Radharani_Lecture_Mumbai_-_Radhanath_Swami_1994-09-12_IDesireTree.mp3", "1994-146_Glories_Of_Radharani_Lecture_Mumbai_-_Radhanath_Swami_1994-09-12_IDesireTree.mp3")</f>
        <v>1994-146_Glories_Of_Radharani_Lecture_Mumbai_-_Radhanath_Swami_1994-09-12_IDesireTree.mp3</v>
      </c>
      <c r="D825" s="24"/>
      <c r="E825" s="24"/>
    </row>
    <row r="826">
      <c r="A826" s="25" t="s">
        <v>18352</v>
      </c>
      <c r="B826" s="25" t="s">
        <v>18358</v>
      </c>
      <c r="C826" s="26" t="str">
        <f>HYPERLINK("https://audio.iskcondesiretree.com/02_-_ISKCON_Swamis/ISKCON_Swamis_-_R_to_Y/His_Holiness_Radhanath_Swami/Lectures/00_-_Year_wise/Devotional_Nectar_-_1994/1994-147_Priorities_Of_Bhakti_BG-03_08_Mumbai_-_Radhanath_Swami_1994-09-13_IDesireTree.mp3", "1994-147_Priorities_Of_Bhakti_BG-03_08_Mumbai_-_Radhanath_Swami_1994-09-13_IDesireTree.mp3")</f>
        <v>1994-147_Priorities_Of_Bhakti_BG-03_08_Mumbai_-_Radhanath_Swami_1994-09-13_IDesireTree.mp3</v>
      </c>
      <c r="D826" s="24"/>
      <c r="E826" s="24"/>
    </row>
    <row r="827">
      <c r="A827" s="25" t="s">
        <v>18352</v>
      </c>
      <c r="B827" s="25" t="s">
        <v>18358</v>
      </c>
      <c r="C827" s="26" t="str">
        <f>HYPERLINK("https://audio.iskcondesiretree.com/02_-_ISKCON_Swamis/ISKCON_Swamis_-_R_to_Y/His_Holiness_Radhanath_Swami/Lectures/00_-_Year_wise/Devotional_Nectar_-_1994/1994-148_Srila_Bhaktivinod_Thakur_SB_Mumbai_-_Radhanath_Swami_1994-09-17_IDesireTree.mp3", "1994-148_Srila_Bhaktivinod_Thakur_SB_Mumbai_-_Radhanath_Swami_1994-09-17_IDesireTree.mp3")</f>
        <v>1994-148_Srila_Bhaktivinod_Thakur_SB_Mumbai_-_Radhanath_Swami_1994-09-17_IDesireTree.mp3</v>
      </c>
      <c r="D827" s="24"/>
      <c r="E827" s="24"/>
    </row>
    <row r="828">
      <c r="A828" s="25" t="s">
        <v>18352</v>
      </c>
      <c r="B828" s="25" t="s">
        <v>18358</v>
      </c>
      <c r="C828" s="26" t="str">
        <f>HYPERLINK("https://audio.iskcondesiretree.com/02_-_ISKCON_Swamis/ISKCON_Swamis_-_R_to_Y/His_Holiness_Radhanath_Swami/Lectures/00_-_Year_wise/Devotional_Nectar_-_1994/1994-149_Vamandev_%26_Jiva_Goswami_App_-_Radhanath_Swami_IDesireTree.mp3", "1994-149_Vamandev_%26_Jiva_Goswami_App_-_Radhanath_Swami_IDesireTree.mp3")</f>
        <v>1994-149_Vamandev_%26_Jiva_Goswami_App_-_Radhanath_Swami_IDesireTree.mp3</v>
      </c>
      <c r="D828" s="24"/>
      <c r="E828" s="24"/>
    </row>
    <row r="829">
      <c r="A829" s="25" t="s">
        <v>18352</v>
      </c>
      <c r="B829" s="25" t="s">
        <v>18358</v>
      </c>
      <c r="C829" s="26" t="str">
        <f>HYPERLINK("https://audio.iskcondesiretree.com/02_-_ISKCON_Swamis/ISKCON_Swamis_-_R_to_Y/His_Holiness_Radhanath_Swami/Lectures/00_-_Year_wise/Devotional_Nectar_-_1994/1994-150_Detachment_In_Family_Life_Uncomplete_Ending_-_SB-01_04_10_Mumbai_-_18-09-94_IDesireTree.mp3", "1994-150_Detachment_In_Family_Life_Uncomplete_Ending_-_SB-01_04_10_Mumbai_-_18-09-94_IDesireTree.mp3")</f>
        <v>1994-150_Detachment_In_Family_Life_Uncomplete_Ending_-_SB-01_04_10_Mumbai_-_18-09-94_IDesireTree.mp3</v>
      </c>
      <c r="D829" s="24"/>
      <c r="E829" s="24"/>
    </row>
    <row r="830">
      <c r="A830" s="25" t="s">
        <v>18352</v>
      </c>
      <c r="B830" s="25" t="s">
        <v>18358</v>
      </c>
      <c r="C830" s="26" t="str">
        <f>HYPERLINK("https://audio.iskcondesiretree.com/02_-_ISKCON_Swamis/ISKCON_Swamis_-_R_to_Y/His_Holiness_Radhanath_Swami/Lectures/00_-_Year_wise/Devotional_Nectar_-_1994/1994-151_Life_Of_Bhaktivinoda_Thakur_SB-01_01_08_Mumbai_-_Radhanath_Swami_1994-09-17_IDesireTree.mp3", "1994-151_Life_Of_Bhaktivinoda_Thakur_SB-01_01_08_Mumbai_-_Radhanath_Swami_1994-09-17_IDesireTree.mp3")</f>
        <v>1994-151_Life_Of_Bhaktivinoda_Thakur_SB-01_01_08_Mumbai_-_Radhanath_Swami_1994-09-17_IDesireTree.mp3</v>
      </c>
      <c r="D830" s="24"/>
      <c r="E830" s="24"/>
    </row>
    <row r="831">
      <c r="A831" s="25" t="s">
        <v>18352</v>
      </c>
      <c r="B831" s="25" t="s">
        <v>18358</v>
      </c>
      <c r="C831" s="26" t="str">
        <f>HYPERLINK("https://audio.iskcondesiretree.com/02_-_ISKCON_Swamis/ISKCON_Swamis_-_R_to_Y/His_Holiness_Radhanath_Swami/Lectures/00_-_Year_wise/Devotional_Nectar_-_1994/1994-152_glories_Of_Haridas_Thakur_Lecture_Mumbai_-_Radhanath_Swami_1994-09-18_IDesireTree.mp3", "1994-152_glories_Of_Haridas_Thakur_Lecture_Mumbai_-_Radhanath_Swami_1994-09-18_IDesireTree.mp3")</f>
        <v>1994-152_glories_Of_Haridas_Thakur_Lecture_Mumbai_-_Radhanath_Swami_1994-09-18_IDesireTree.mp3</v>
      </c>
      <c r="D831" s="24"/>
      <c r="E831" s="24"/>
    </row>
    <row r="832">
      <c r="A832" s="25" t="s">
        <v>18352</v>
      </c>
      <c r="B832" s="25" t="s">
        <v>18358</v>
      </c>
      <c r="C832" s="26" t="str">
        <f>HYPERLINK("https://audio.iskcondesiretree.com/02_-_ISKCON_Swamis/ISKCON_Swamis_-_R_to_Y/His_Holiness_Radhanath_Swami/Lectures/00_-_Year_wise/Devotional_Nectar_-_1994/1994-155_Think_Of_Krishna_BG-07_01_Mumbai_-_Radhanath_Swami_1994-09-20_IDesireTree.mp3", "1994-155_Think_Of_Krishna_BG-07_01_Mumbai_-_Radhanath_Swami_1994-09-20_IDesireTree.mp3")</f>
        <v>1994-155_Think_Of_Krishna_BG-07_01_Mumbai_-_Radhanath_Swami_1994-09-20_IDesireTree.mp3</v>
      </c>
      <c r="D832" s="24"/>
      <c r="E832" s="24"/>
    </row>
    <row r="833">
      <c r="A833" s="25" t="s">
        <v>18352</v>
      </c>
      <c r="B833" s="25" t="s">
        <v>18358</v>
      </c>
      <c r="C833" s="26" t="str">
        <f>HYPERLINK("https://audio.iskcondesiretree.com/02_-_ISKCON_Swamis/ISKCON_Swamis_-_R_to_Y/His_Holiness_Radhanath_Swami/Lectures/00_-_Year_wise/Devotional_Nectar_-_1994/1994-157_Real_Morality_And_Immorality_SB-01_04_14_Mumbai_-_22-09-94_IDesireTree.mp3", "1994-157_Real_Morality_And_Immorality_SB-01_04_14_Mumbai_-_22-09-94_IDesireTree.mp3")</f>
        <v>1994-157_Real_Morality_And_Immorality_SB-01_04_14_Mumbai_-_22-09-94_IDesireTree.mp3</v>
      </c>
      <c r="D833" s="24"/>
      <c r="E833" s="24"/>
    </row>
    <row r="834">
      <c r="A834" s="25" t="s">
        <v>18352</v>
      </c>
      <c r="B834" s="25" t="s">
        <v>18358</v>
      </c>
      <c r="C834" s="26" t="str">
        <f>HYPERLINK("https://audio.iskcondesiretree.com/02_-_ISKCON_Swamis/ISKCON_Swamis_-_R_to_Y/His_Holiness_Radhanath_Swami/Lectures/00_-_Year_wise/Devotional_Nectar_-_1994/1994-158_Ishtagoshti_With_Brahmacharis_Q%26A_Mumbai_-_Radhanath_Swami_1994-09-22_IDesireTree.mp3", "1994-158_Ishtagoshti_With_Brahmacharis_Q%26A_Mumbai_-_Radhanath_Swami_1994-09-22_IDesireTree.mp3")</f>
        <v>1994-158_Ishtagoshti_With_Brahmacharis_Q%26A_Mumbai_-_Radhanath_Swami_1994-09-22_IDesireTree.mp3</v>
      </c>
      <c r="D834" s="24"/>
      <c r="E834" s="24"/>
    </row>
    <row r="835">
      <c r="A835" s="25" t="s">
        <v>18352</v>
      </c>
      <c r="B835" s="25" t="s">
        <v>18358</v>
      </c>
      <c r="C835" s="26" t="str">
        <f>HYPERLINK("https://audio.iskcondesiretree.com/02_-_ISKCON_Swamis/ISKCON_Swamis_-_R_to_Y/His_Holiness_Radhanath_Swami/Lectures/00_-_Year_wise/Devotional_Nectar_-_1994/1994-160_Krishna_Is_Centre_Of_Everything_HT_-_Lecture_Mumbai_-_23-09-94_IDesireTree.mp3", "1994-160_Krishna_Is_Centre_Of_Everything_HT_-_Lecture_Mumbai_-_23-09-94_IDesireTree.mp3")</f>
        <v>1994-160_Krishna_Is_Centre_Of_Everything_HT_-_Lecture_Mumbai_-_23-09-94_IDesireTree.mp3</v>
      </c>
      <c r="D835" s="24"/>
      <c r="E835" s="24"/>
    </row>
    <row r="836">
      <c r="A836" s="25" t="s">
        <v>18352</v>
      </c>
      <c r="B836" s="25" t="s">
        <v>18358</v>
      </c>
      <c r="C836" s="26" t="str">
        <f>HYPERLINK("https://audio.iskcondesiretree.com/02_-_ISKCON_Swamis/ISKCON_Swamis_-_R_to_Y/His_Holiness_Radhanath_Swami/Lectures/00_-_Year_wise/Devotional_Nectar_-_1994/1994-162_Don%27t_Be_Arrogant_Ht_-_BG-03_11_Mumbai_-_Radhanath_Swami_1994-09-24_IDesireTree.mp3", "1994-162_Don%27t_Be_Arrogant_Ht_-_BG-03_11_Mumbai_-_Radhanath_Swami_1994-09-24_IDesireTree.mp3")</f>
        <v>1994-162_Don%27t_Be_Arrogant_Ht_-_BG-03_11_Mumbai_-_Radhanath_Swami_1994-09-24_IDesireTree.mp3</v>
      </c>
      <c r="D836" s="24"/>
      <c r="E836" s="24"/>
    </row>
    <row r="837">
      <c r="A837" s="25" t="s">
        <v>18352</v>
      </c>
      <c r="B837" s="25" t="s">
        <v>18358</v>
      </c>
      <c r="C837" s="26" t="str">
        <f>HYPERLINK("https://audio.iskcondesiretree.com/02_-_ISKCON_Swamis/ISKCON_Swamis_-_R_to_Y/His_Holiness_Radhanath_Swami/Lectures/00_-_Year_wise/Devotional_Nectar_-_1994/1994-165_Material_Gains_Can_Be_Troublesome_SB-01_02_23_Mumbai_-_25-09-94_IDesireTree.mp3", "1994-165_Material_Gains_Can_Be_Troublesome_SB-01_02_23_Mumbai_-_25-09-94_IDesireTree.mp3")</f>
        <v>1994-165_Material_Gains_Can_Be_Troublesome_SB-01_02_23_Mumbai_-_25-09-94_IDesireTree.mp3</v>
      </c>
      <c r="D837" s="24"/>
      <c r="E837" s="24"/>
    </row>
    <row r="838">
      <c r="A838" s="25" t="s">
        <v>18352</v>
      </c>
      <c r="B838" s="25" t="s">
        <v>18358</v>
      </c>
      <c r="C838" s="26" t="str">
        <f>HYPERLINK("https://audio.iskcondesiretree.com/02_-_ISKCON_Swamis/ISKCON_Swamis_-_R_to_Y/His_Holiness_Radhanath_Swami/Lectures/00_-_Year_wise/Devotional_Nectar_-_1994/1994-167_Without_Determination_We_Are_Animals_SB-04_24_44_Mumbai_-_25-09-94_IDesireTree.mp3", "1994-167_Without_Determination_We_Are_Animals_SB-04_24_44_Mumbai_-_25-09-94_IDesireTree.mp3")</f>
        <v>1994-167_Without_Determination_We_Are_Animals_SB-04_24_44_Mumbai_-_25-09-94_IDesireTree.mp3</v>
      </c>
      <c r="D838" s="24"/>
      <c r="E838" s="24"/>
    </row>
    <row r="839">
      <c r="A839" s="25" t="s">
        <v>18352</v>
      </c>
      <c r="B839" s="25" t="s">
        <v>18358</v>
      </c>
      <c r="C839" s="26" t="str">
        <f>HYPERLINK("https://audio.iskcondesiretree.com/02_-_ISKCON_Swamis/ISKCON_Swamis_-_R_to_Y/His_Holiness_Radhanath_Swami/Lectures/00_-_Year_wise/Devotional_Nectar_-_1994/1994-169_Story_Of_Lord_Varahadev_SB-03_13_14-17_Varahavan_-_27-09-94_IDesireTree.mp3", "1994-169_Story_Of_Lord_Varahadev_SB-03_13_14-17_Varahavan_-_27-09-94_IDesireTree.mp3")</f>
        <v>1994-169_Story_Of_Lord_Varahadev_SB-03_13_14-17_Varahavan_-_27-09-94_IDesireTree.mp3</v>
      </c>
      <c r="D839" s="24"/>
      <c r="E839" s="24"/>
    </row>
    <row r="840">
      <c r="A840" s="25" t="s">
        <v>18352</v>
      </c>
      <c r="B840" s="25" t="s">
        <v>18358</v>
      </c>
      <c r="C840" s="26" t="str">
        <f>HYPERLINK("https://audio.iskcondesiretree.com/02_-_ISKCON_Swamis/ISKCON_Swamis_-_R_to_Y/His_Holiness_Radhanath_Swami/Lectures/00_-_Year_wise/Devotional_Nectar_-_1994/1994-173_About_Varahavan_KT_-_BG-06_31-32_Varahavan_-_Radhanath_Swami_1994-09-30_IDesireTree.mp3", "1994-173_About_Varahavan_KT_-_BG-06_31-32_Varahavan_-_Radhanath_Swami_1994-09-30_IDesireTree.mp3")</f>
        <v>1994-173_About_Varahavan_KT_-_BG-06_31-32_Varahavan_-_Radhanath_Swami_1994-09-30_IDesireTree.mp3</v>
      </c>
      <c r="D840" s="24"/>
      <c r="E840" s="24"/>
    </row>
    <row r="841">
      <c r="A841" s="25" t="s">
        <v>18352</v>
      </c>
      <c r="B841" s="25" t="s">
        <v>18358</v>
      </c>
      <c r="C841" s="26" t="str">
        <f>HYPERLINK("https://audio.iskcondesiretree.com/02_-_ISKCON_Swamis/ISKCON_Swamis_-_R_to_Y/His_Holiness_Radhanath_Swami/Lectures/00_-_Year_wise/Devotional_Nectar_-_1994/1994-174_Essence_Of_The_Vedas_SB-01_04_13_Mumbai_-_Radhanath_Swami_1994-10-02_IDesireTree.mp3", "1994-174_Essence_Of_The_Vedas_SB-01_04_13_Mumbai_-_Radhanath_Swami_1994-10-02_IDesireTree.mp3")</f>
        <v>1994-174_Essence_Of_The_Vedas_SB-01_04_13_Mumbai_-_Radhanath_Swami_1994-10-02_IDesireTree.mp3</v>
      </c>
      <c r="D841" s="24"/>
      <c r="E841" s="24"/>
    </row>
    <row r="842">
      <c r="A842" s="25" t="s">
        <v>18352</v>
      </c>
      <c r="B842" s="25" t="s">
        <v>18358</v>
      </c>
      <c r="C842" s="26" t="str">
        <f>HYPERLINK("https://audio.iskcondesiretree.com/02_-_ISKCON_Swamis/ISKCON_Swamis_-_R_to_Y/His_Holiness_Radhanath_Swami/Lectures/00_-_Year_wise/Devotional_Nectar_-_1994/1994-176_Time_Devours_Everything_BG-11_32_33_Mumbai_-_Radhanath_Swami_1994-10-04_IDesireTree.mp3", "1994-176_Time_Devours_Everything_BG-11_32_33_Mumbai_-_Radhanath_Swami_1994-10-04_IDesireTree.mp3")</f>
        <v>1994-176_Time_Devours_Everything_BG-11_32_33_Mumbai_-_Radhanath_Swami_1994-10-04_IDesireTree.mp3</v>
      </c>
      <c r="D842" s="24"/>
      <c r="E842" s="24"/>
    </row>
    <row r="843">
      <c r="A843" s="25" t="s">
        <v>18352</v>
      </c>
      <c r="B843" s="25" t="s">
        <v>18358</v>
      </c>
      <c r="C843" s="26" t="str">
        <f>HYPERLINK("https://audio.iskcondesiretree.com/02_-_ISKCON_Swamis/ISKCON_Swamis_-_R_to_Y/His_Holiness_Radhanath_Swami/Lectures/00_-_Year_wise/Devotional_Nectar_-_1994/1994-177_Accept_Knowledge_Humbly_SB-01_04_33_Mumbai_-_Radhanath_Swami_1994-10-06_IDesireTree.mp3", "1994-177_Accept_Knowledge_Humbly_SB-01_04_33_Mumbai_-_Radhanath_Swami_1994-10-06_IDesireTree.mp3")</f>
        <v>1994-177_Accept_Knowledge_Humbly_SB-01_04_33_Mumbai_-_Radhanath_Swami_1994-10-06_IDesireTree.mp3</v>
      </c>
      <c r="D843" s="24"/>
      <c r="E843" s="24"/>
    </row>
    <row r="844">
      <c r="A844" s="25" t="s">
        <v>18352</v>
      </c>
      <c r="B844" s="25" t="s">
        <v>18358</v>
      </c>
      <c r="C844" s="26" t="str">
        <f>HYPERLINK("https://audio.iskcondesiretree.com/02_-_ISKCON_Swamis/ISKCON_Swamis_-_R_to_Y/His_Holiness_Radhanath_Swami/Lectures/00_-_Year_wise/Devotional_Nectar_-_1994/1994-180_Criticism_Ruins_Spiritual_Life_Lecture_Mumbai_-_Radhanath_Swami_1994-10-07_IDesireTree.mp3", "1994-180_Criticism_Ruins_Spiritual_Life_Lecture_Mumbai_-_Radhanath_Swami_1994-10-07_IDesireTree.mp3")</f>
        <v>1994-180_Criticism_Ruins_Spiritual_Life_Lecture_Mumbai_-_Radhanath_Swami_1994-10-07_IDesireTree.mp3</v>
      </c>
      <c r="D844" s="24"/>
      <c r="E844" s="24"/>
    </row>
    <row r="845">
      <c r="A845" s="25" t="s">
        <v>18352</v>
      </c>
      <c r="B845" s="25" t="s">
        <v>18358</v>
      </c>
      <c r="C845" s="26" t="str">
        <f>HYPERLINK("https://audio.iskcondesiretree.com/02_-_ISKCON_Swamis/ISKCON_Swamis_-_R_to_Y/His_Holiness_Radhanath_Swami/Lectures/00_-_Year_wise/Devotional_Nectar_-_1994/1994-181_Cause_Of_Despondency_SB-01_05_02_Mumbai_-_Radhanath_Swami_1994-10-08_IDesireTree.mp3", "1994-181_Cause_Of_Despondency_SB-01_05_02_Mumbai_-_Radhanath_Swami_1994-10-08_IDesireTree.mp3")</f>
        <v>1994-181_Cause_Of_Despondency_SB-01_05_02_Mumbai_-_Radhanath_Swami_1994-10-08_IDesireTree.mp3</v>
      </c>
      <c r="D845" s="24"/>
      <c r="E845" s="24"/>
    </row>
    <row r="846">
      <c r="A846" s="25" t="s">
        <v>18352</v>
      </c>
      <c r="B846" s="25" t="s">
        <v>18358</v>
      </c>
      <c r="C846" s="26" t="str">
        <f>HYPERLINK("https://audio.iskcondesiretree.com/02_-_ISKCON_Swamis/ISKCON_Swamis_-_R_to_Y/His_Holiness_Radhanath_Swami/Lectures/00_-_Year_wise/Devotional_Nectar_-_1994/1994-183_Pride_And_Criticism_SB-04_20_26_Mumbai_-_Radhanath_Swami_1994-10-08_IDesireTree.mp3", "1994-183_Pride_And_Criticism_SB-04_20_26_Mumbai_-_Radhanath_Swami_1994-10-08_IDesireTree.mp3")</f>
        <v>1994-183_Pride_And_Criticism_SB-04_20_26_Mumbai_-_Radhanath_Swami_1994-10-08_IDesireTree.mp3</v>
      </c>
      <c r="D846" s="24"/>
      <c r="E846" s="24"/>
    </row>
    <row r="847">
      <c r="A847" s="25" t="s">
        <v>18352</v>
      </c>
      <c r="B847" s="25" t="s">
        <v>18358</v>
      </c>
      <c r="C847" s="26" t="str">
        <f>HYPERLINK("https://audio.iskcondesiretree.com/02_-_ISKCON_Swamis/ISKCON_Swamis_-_R_to_Y/His_Holiness_Radhanath_Swami/Lectures/00_-_Year_wise/Devotional_Nectar_-_1994/1994-184_Go_Beyond_The_Three_Modes_BG-14_05_Mumbai_-_Radhanath_Swami_1994-10-09_IDesireTree.mp3", "1994-184_Go_Beyond_The_Three_Modes_BG-14_05_Mumbai_-_Radhanath_Swami_1994-10-09_IDesireTree.mp3")</f>
        <v>1994-184_Go_Beyond_The_Three_Modes_BG-14_05_Mumbai_-_Radhanath_Swami_1994-10-09_IDesireTree.mp3</v>
      </c>
      <c r="D847" s="24"/>
      <c r="E847" s="24"/>
    </row>
    <row r="848">
      <c r="A848" s="25" t="s">
        <v>18352</v>
      </c>
      <c r="B848" s="25" t="s">
        <v>18358</v>
      </c>
      <c r="C848" s="26" t="str">
        <f>HYPERLINK("https://audio.iskcondesiretree.com/02_-_ISKCON_Swamis/ISKCON_Swamis_-_R_to_Y/His_Holiness_Radhanath_Swami/Lectures/00_-_Year_wise/Devotional_Nectar_-_1994/1994-186_Real_Accomplishment_SB-01_05_02_Mumbai_-_09-10-94_IDesireTree.mp3", "1994-186_Real_Accomplishment_SB-01_05_02_Mumbai_-_09-10-94_IDesireTree.mp3")</f>
        <v>1994-186_Real_Accomplishment_SB-01_05_02_Mumbai_-_09-10-94_IDesireTree.mp3</v>
      </c>
      <c r="D848" s="24"/>
      <c r="E848" s="24"/>
    </row>
    <row r="849">
      <c r="A849" s="25" t="s">
        <v>18352</v>
      </c>
      <c r="B849" s="25" t="s">
        <v>18358</v>
      </c>
      <c r="C849" s="26" t="str">
        <f>HYPERLINK("https://audio.iskcondesiretree.com/02_-_ISKCON_Swamis/ISKCON_Swamis_-_R_to_Y/His_Holiness_Radhanath_Swami/Lectures/00_-_Year_wise/Devotional_Nectar_-_1994/1994-188_Mercy_In_Form_Of_Holy_Name_HT_-_BG-09_20_Pune_-_Radhanath_Swami_1994-10-12_IDesireTree.mp3", "1994-188_Mercy_In_Form_Of_Holy_Name_HT_-_BG-09_20_Pune_-_Radhanath_Swami_1994-10-12_IDesireTree.mp3")</f>
        <v>1994-188_Mercy_In_Form_Of_Holy_Name_HT_-_BG-09_20_Pune_-_Radhanath_Swami_1994-10-12_IDesireTree.mp3</v>
      </c>
      <c r="D849" s="24"/>
      <c r="E849" s="24"/>
    </row>
    <row r="850">
      <c r="A850" s="25" t="s">
        <v>18352</v>
      </c>
      <c r="B850" s="25" t="s">
        <v>18358</v>
      </c>
      <c r="C850" s="26" t="str">
        <f>HYPERLINK("https://audio.iskcondesiretree.com/02_-_ISKCON_Swamis/ISKCON_Swamis_-_R_to_Y/His_Holiness_Radhanath_Swami/Lectures/00_-_Year_wise/Devotional_Nectar_-_1994/1994-190_Give_Best_For_Krishna_SB-03_33_17_Pune_-_Radhanath_Swami_1994-10-13_IDesireTree.mp3", "1994-190_Give_Best_For_Krishna_SB-03_33_17_Pune_-_Radhanath_Swami_1994-10-13_IDesireTree.mp3")</f>
        <v>1994-190_Give_Best_For_Krishna_SB-03_33_17_Pune_-_Radhanath_Swami_1994-10-13_IDesireTree.mp3</v>
      </c>
      <c r="D850" s="24"/>
      <c r="E850" s="24"/>
    </row>
    <row r="851">
      <c r="A851" s="25" t="s">
        <v>18352</v>
      </c>
      <c r="B851" s="25" t="s">
        <v>18358</v>
      </c>
      <c r="C851" s="26" t="str">
        <f>HYPERLINK("https://audio.iskcondesiretree.com/02_-_ISKCON_Swamis/ISKCON_Swamis_-_R_to_Y/His_Holiness_Radhanath_Swami/Lectures/00_-_Year_wise/Devotional_Nectar_-_1994/1994-192_Six_Demons_In_Our_Heart_BG-04_08_Mumbai_-_Radhanath_Swami_1994-10-15_IDesireTree.mp3", "1994-192_Six_Demons_In_Our_Heart_BG-04_08_Mumbai_-_Radhanath_Swami_1994-10-15_IDesireTree.mp3")</f>
        <v>1994-192_Six_Demons_In_Our_Heart_BG-04_08_Mumbai_-_Radhanath_Swami_1994-10-15_IDesireTree.mp3</v>
      </c>
      <c r="D851" s="24"/>
      <c r="E851" s="24"/>
    </row>
    <row r="852">
      <c r="A852" s="25" t="s">
        <v>18352</v>
      </c>
      <c r="B852" s="25" t="s">
        <v>18358</v>
      </c>
      <c r="C852" s="26" t="str">
        <f>HYPERLINK("https://audio.iskcondesiretree.com/02_-_ISKCON_Swamis/ISKCON_Swamis_-_R_to_Y/His_Holiness_Radhanath_Swami/Lectures/00_-_Year_wise/Devotional_Nectar_-_1994/1994-194_Raghunatha_Das_Goswami_Lecture_Mumbai_-_Radhanath_Swami_1994-10-16_IDesireTree.mp3", "1994-194_Raghunatha_Das_Goswami_Lecture_Mumbai_-_Radhanath_Swami_1994-10-16_IDesireTree.mp3")</f>
        <v>1994-194_Raghunatha_Das_Goswami_Lecture_Mumbai_-_Radhanath_Swami_1994-10-16_IDesireTree.mp3</v>
      </c>
      <c r="D852" s="24"/>
      <c r="E852" s="24"/>
    </row>
    <row r="853">
      <c r="A853" s="25" t="s">
        <v>18352</v>
      </c>
      <c r="B853" s="25" t="s">
        <v>18358</v>
      </c>
      <c r="C853" s="26" t="str">
        <f>HYPERLINK("https://audio.iskcondesiretree.com/02_-_ISKCON_Swamis/ISKCON_Swamis_-_R_to_Y/His_Holiness_Radhanath_Swami/Lectures/00_-_Year_wise/Devotional_Nectar_-_1994/1994-196_What_Are_Samskaras_Ht_-_Lecture_Mumbai_-_Radhanath_Swami_1994-10-16_IDesireTree.mp3", "1994-196_What_Are_Samskaras_Ht_-_Lecture_Mumbai_-_Radhanath_Swami_1994-10-16_IDesireTree.mp3")</f>
        <v>1994-196_What_Are_Samskaras_Ht_-_Lecture_Mumbai_-_Radhanath_Swami_1994-10-16_IDesireTree.mp3</v>
      </c>
      <c r="D853" s="24"/>
      <c r="E853" s="24"/>
    </row>
    <row r="854">
      <c r="A854" s="25" t="s">
        <v>18352</v>
      </c>
      <c r="B854" s="25" t="s">
        <v>18358</v>
      </c>
      <c r="C854" s="26" t="str">
        <f>HYPERLINK("https://audio.iskcondesiretree.com/02_-_ISKCON_Swamis/ISKCON_Swamis_-_R_to_Y/His_Holiness_Radhanath_Swami/Lectures/00_-_Year_wise/Devotional_Nectar_-_1994/1994-199_Story_Of_Chand_Kazi_%26_Sridhar_Kolavecha_BG-04_39_Mumbai_-_18-10-94_IDesireTree.mp3", "1994-199_Story_Of_Chand_Kazi_%26_Sridhar_Kolavecha_BG-04_39_Mumbai_-_18-10-94_IDesireTree.mp3")</f>
        <v>1994-199_Story_Of_Chand_Kazi_%26_Sridhar_Kolavecha_BG-04_39_Mumbai_-_18-10-94_IDesireTree.mp3</v>
      </c>
      <c r="D854" s="24"/>
      <c r="E854" s="24"/>
    </row>
    <row r="855">
      <c r="A855" s="25" t="s">
        <v>18352</v>
      </c>
      <c r="B855" s="25" t="s">
        <v>18358</v>
      </c>
      <c r="C855" s="26" t="str">
        <f>HYPERLINK("https://audio.iskcondesiretree.com/02_-_ISKCON_Swamis/ISKCON_Swamis_-_R_to_Y/His_Holiness_Radhanath_Swami/Lectures/00_-_Year_wise/Devotional_Nectar_-_1994/1994-200_Glories_Of_Sridhar_Kalavecha_BG-04_89_Mumbai_-_Radhanath_Swami_1994-10-18_IDesireTree.mp3", "1994-200_Glories_Of_Sridhar_Kalavecha_BG-04_89_Mumbai_-_Radhanath_Swami_1994-10-18_IDesireTree.mp3")</f>
        <v>1994-200_Glories_Of_Sridhar_Kalavecha_BG-04_89_Mumbai_-_Radhanath_Swami_1994-10-18_IDesireTree.mp3</v>
      </c>
      <c r="D855" s="24"/>
      <c r="E855" s="24"/>
    </row>
    <row r="856">
      <c r="A856" s="25" t="s">
        <v>18352</v>
      </c>
      <c r="B856" s="25" t="s">
        <v>18358</v>
      </c>
      <c r="C856" s="26" t="str">
        <f>HYPERLINK("https://audio.iskcondesiretree.com/02_-_ISKCON_Swamis/ISKCON_Swamis_-_R_to_Y/His_Holiness_Radhanath_Swami/Lectures/00_-_Year_wise/Devotional_Nectar_-_1994/1994-202_Meditation_On_Sharad_Purnima_SB-10_29_01-02_Mumbai_-_19-10-94_IDesireTree.mp3", "1994-202_Meditation_On_Sharad_Purnima_SB-10_29_01-02_Mumbai_-_19-10-94_IDesireTree.mp3")</f>
        <v>1994-202_Meditation_On_Sharad_Purnima_SB-10_29_01-02_Mumbai_-_19-10-94_IDesireTree.mp3</v>
      </c>
      <c r="D856" s="24"/>
      <c r="E856" s="24"/>
    </row>
    <row r="857">
      <c r="A857" s="25" t="s">
        <v>18352</v>
      </c>
      <c r="B857" s="25" t="s">
        <v>18358</v>
      </c>
      <c r="C857" s="26" t="str">
        <f>HYPERLINK("https://audio.iskcondesiretree.com/02_-_ISKCON_Swamis/ISKCON_Swamis_-_R_to_Y/His_Holiness_Radhanath_Swami/Lectures/00_-_Year_wise/Devotional_Nectar_-_1994/1994-204_Question_And_Answer_Q%26A_Mumbai_-_Radhanath_Swami_1994-10-21_IDesireTree.mp3", "1994-204_Question_And_Answer_Q%26A_Mumbai_-_Radhanath_Swami_1994-10-21_IDesireTree.mp3")</f>
        <v>1994-204_Question_And_Answer_Q%26A_Mumbai_-_Radhanath_Swami_1994-10-21_IDesireTree.mp3</v>
      </c>
      <c r="D857" s="24"/>
      <c r="E857" s="24"/>
    </row>
    <row r="858">
      <c r="A858" s="25" t="s">
        <v>18352</v>
      </c>
      <c r="B858" s="25" t="s">
        <v>18358</v>
      </c>
      <c r="C858" s="26" t="str">
        <f>HYPERLINK("https://audio.iskcondesiretree.com/02_-_ISKCON_Swamis/ISKCON_Swamis_-_R_to_Y/His_Holiness_Radhanath_Swami/Lectures/00_-_Year_wise/Devotional_Nectar_-_1994/1994-205_What_Is_Civilization_SB-01_05_16_Mumbai_-_Radhanath_Swami_1994-10-22_IDesireTree.mp3", "1994-205_What_Is_Civilization_SB-01_05_16_Mumbai_-_Radhanath_Swami_1994-10-22_IDesireTree.mp3")</f>
        <v>1994-205_What_Is_Civilization_SB-01_05_16_Mumbai_-_Radhanath_Swami_1994-10-22_IDesireTree.mp3</v>
      </c>
      <c r="D858" s="24"/>
      <c r="E858" s="24"/>
    </row>
    <row r="859">
      <c r="A859" s="25" t="s">
        <v>18352</v>
      </c>
      <c r="B859" s="25" t="s">
        <v>18358</v>
      </c>
      <c r="C859" s="26" t="str">
        <f>HYPERLINK("https://audio.iskcondesiretree.com/02_-_ISKCON_Swamis/ISKCON_Swamis_-_R_to_Y/His_Holiness_Radhanath_Swami/Lectures/00_-_Year_wise/Devotional_Nectar_-_1994/1994-206_Childhood_Pastimes_Of_Krishna_Lecture_Mumbai_-_Radhanath_Swami_1994-10-22_IDesireTree.mp3", "1994-206_Childhood_Pastimes_Of_Krishna_Lecture_Mumbai_-_Radhanath_Swami_1994-10-22_IDesireTree.mp3")</f>
        <v>1994-206_Childhood_Pastimes_Of_Krishna_Lecture_Mumbai_-_Radhanath_Swami_1994-10-22_IDesireTree.mp3</v>
      </c>
      <c r="D859" s="24"/>
      <c r="E859" s="24"/>
    </row>
    <row r="860">
      <c r="A860" s="25" t="s">
        <v>18352</v>
      </c>
      <c r="B860" s="25" t="s">
        <v>18358</v>
      </c>
      <c r="C860" s="26" t="str">
        <f>HYPERLINK("https://audio.iskcondesiretree.com/02_-_ISKCON_Swamis/ISKCON_Swamis_-_R_to_Y/His_Holiness_Radhanath_Swami/Lectures/00_-_Year_wise/Devotional_Nectar_-_1994/1994-207_Fallen_Devotee_Is_Most_Miserable_SB-01_05_17_Mumbai_-_23-10-94_IDesireTree.mp3", "1994-207_Fallen_Devotee_Is_Most_Miserable_SB-01_05_17_Mumbai_-_23-10-94_IDesireTree.mp3")</f>
        <v>1994-207_Fallen_Devotee_Is_Most_Miserable_SB-01_05_17_Mumbai_-_23-10-94_IDesireTree.mp3</v>
      </c>
      <c r="D860" s="24"/>
      <c r="E860" s="24"/>
    </row>
    <row r="861">
      <c r="A861" s="25" t="s">
        <v>18352</v>
      </c>
      <c r="B861" s="25" t="s">
        <v>18358</v>
      </c>
      <c r="C861" s="26" t="str">
        <f>HYPERLINK("https://audio.iskcondesiretree.com/02_-_ISKCON_Swamis/ISKCON_Swamis_-_R_to_Y/His_Holiness_Radhanath_Swami/Lectures/00_-_Year_wise/Devotional_Nectar_-_1994/1994-208_Govardhan_Lilla_Lecture_Mumbai_-_Radhanath_Swami_1994-10-23_IDesireTree.mp3", "1994-208_Govardhan_Lilla_Lecture_Mumbai_-_Radhanath_Swami_1994-10-23_IDesireTree.mp3")</f>
        <v>1994-208_Govardhan_Lilla_Lecture_Mumbai_-_Radhanath_Swami_1994-10-23_IDesireTree.mp3</v>
      </c>
      <c r="D861" s="24"/>
      <c r="E861" s="24"/>
    </row>
    <row r="862">
      <c r="A862" s="25" t="s">
        <v>18352</v>
      </c>
      <c r="B862" s="25" t="s">
        <v>18358</v>
      </c>
      <c r="C862" s="26" t="str">
        <f>HYPERLINK("https://audio.iskcondesiretree.com/02_-_ISKCON_Swamis/ISKCON_Swamis_-_R_to_Y/His_Holiness_Radhanath_Swami/Lectures/00_-_Year_wise/Devotional_Nectar_-_1994/1994-209_Contents_Of_Bhagavatam_SB-01_05_14_Mumbai_-_28-10-94_IDesireTree.mp3", "1994-209_Contents_Of_Bhagavatam_SB-01_05_14_Mumbai_-_28-10-94_IDesireTree.mp3")</f>
        <v>1994-209_Contents_Of_Bhagavatam_SB-01_05_14_Mumbai_-_28-10-94_IDesireTree.mp3</v>
      </c>
      <c r="D862" s="24"/>
      <c r="E862" s="24"/>
    </row>
    <row r="863">
      <c r="A863" s="25" t="s">
        <v>18352</v>
      </c>
      <c r="B863" s="25" t="s">
        <v>18358</v>
      </c>
      <c r="C863" s="26" t="str">
        <f>HYPERLINK("https://audio.iskcondesiretree.com/02_-_ISKCON_Swamis/ISKCON_Swamis_-_R_to_Y/His_Holiness_Radhanath_Swami/Lectures/00_-_Year_wise/Devotional_Nectar_-_1994/1994-210_Serve_Without_Expectation_BG-02_49_Mumbai_-_Radhanath_Swami_1994-12-20_IDesireTree.mp3", "1994-210_Serve_Without_Expectation_BG-02_49_Mumbai_-_Radhanath_Swami_1994-12-20_IDesireTree.mp3")</f>
        <v>1994-210_Serve_Without_Expectation_BG-02_49_Mumbai_-_Radhanath_Swami_1994-12-20_IDesireTree.mp3</v>
      </c>
      <c r="D863" s="24"/>
      <c r="E863" s="24"/>
    </row>
    <row r="864">
      <c r="A864" s="25" t="s">
        <v>18352</v>
      </c>
      <c r="B864" s="25" t="s">
        <v>18358</v>
      </c>
      <c r="C864" s="26" t="str">
        <f>HYPERLINK("https://audio.iskcondesiretree.com/02_-_ISKCON_Swamis/ISKCON_Swamis_-_R_to_Y/His_Holiness_Radhanath_Swami/Lectures/00_-_Year_wise/Devotional_Nectar_-_1994/1994-211_What_Is_Grihastha_Ashram_SB-01_07_02_Mumbai_-_Radhanath_Swami_1994-12-21_IDesireTree.mp3", "1994-211_What_Is_Grihastha_Ashram_SB-01_07_02_Mumbai_-_Radhanath_Swami_1994-12-21_IDesireTree.mp3")</f>
        <v>1994-211_What_Is_Grihastha_Ashram_SB-01_07_02_Mumbai_-_Radhanath_Swami_1994-12-21_IDesireTree.mp3</v>
      </c>
      <c r="D864" s="24"/>
      <c r="E864" s="24"/>
    </row>
    <row r="865">
      <c r="A865" s="25" t="s">
        <v>18352</v>
      </c>
      <c r="B865" s="25" t="s">
        <v>18358</v>
      </c>
      <c r="C865" s="26" t="str">
        <f>HYPERLINK("https://audio.iskcondesiretree.com/02_-_ISKCON_Swamis/ISKCON_Swamis_-_R_to_Y/His_Holiness_Radhanath_Swami/Lectures/00_-_Year_wise/Devotional_Nectar_-_1994/1994-212_Protector_Of_Real_Religion_BG-04_38_Mumbai_-_Radhanath_Swami_1994-12-22_IDesireTree.mp3", "1994-212_Protector_Of_Real_Religion_BG-04_38_Mumbai_-_Radhanath_Swami_1994-12-22_IDesireTree.mp3")</f>
        <v>1994-212_Protector_Of_Real_Religion_BG-04_38_Mumbai_-_Radhanath_Swami_1994-12-22_IDesireTree.mp3</v>
      </c>
      <c r="D865" s="24"/>
      <c r="E865" s="24"/>
    </row>
    <row r="866">
      <c r="A866" s="25" t="s">
        <v>18352</v>
      </c>
      <c r="B866" s="25" t="s">
        <v>18358</v>
      </c>
      <c r="C866" s="26" t="str">
        <f>HYPERLINK("https://audio.iskcondesiretree.com/02_-_ISKCON_Swamis/ISKCON_Swamis_-_R_to_Y/His_Holiness_Radhanath_Swami/Lectures/00_-_Year_wise/Devotional_Nectar_-_1994/1994-213_Talk_With_Chinmaya_Mission_Boys_Lecture_Mumbai_-_Radhanath_Swami_1994-12-22_IDesireTree.mp3", "1994-213_Talk_With_Chinmaya_Mission_Boys_Lecture_Mumbai_-_Radhanath_Swami_1994-12-22_IDesireTree.mp3")</f>
        <v>1994-213_Talk_With_Chinmaya_Mission_Boys_Lecture_Mumbai_-_Radhanath_Swami_1994-12-22_IDesireTree.mp3</v>
      </c>
      <c r="D866" s="24"/>
      <c r="E866" s="24"/>
    </row>
    <row r="867">
      <c r="A867" s="25" t="s">
        <v>18352</v>
      </c>
      <c r="B867" s="25" t="s">
        <v>18358</v>
      </c>
      <c r="C867" s="26" t="str">
        <f>HYPERLINK("https://audio.iskcondesiretree.com/02_-_ISKCON_Swamis/ISKCON_Swamis_-_R_to_Y/His_Holiness_Radhanath_Swami/Lectures/00_-_Year_wise/Devotional_Nectar_-_1994/1994-214_Vyasdev%27s_Meditation_At_Badrikashram_SB-01_07_03-04_Mumbai_-_23-12-94_IDesireTree.mp3", "1994-214_Vyasdev%27s_Meditation_At_Badrikashram_SB-01_07_03-04_Mumbai_-_23-12-94_IDesireTree.mp3")</f>
        <v>1994-214_Vyasdev%27s_Meditation_At_Badrikashram_SB-01_07_03-04_Mumbai_-_23-12-94_IDesireTree.mp3</v>
      </c>
      <c r="D867" s="24"/>
      <c r="E867" s="24"/>
    </row>
    <row r="868">
      <c r="A868" s="25" t="s">
        <v>18352</v>
      </c>
      <c r="B868" s="25" t="s">
        <v>18358</v>
      </c>
      <c r="C868" s="26" t="str">
        <f>HYPERLINK("https://audio.iskcondesiretree.com/02_-_ISKCON_Swamis/ISKCON_Swamis_-_R_to_Y/His_Holiness_Radhanath_Swami/Lectures/00_-_Year_wise/Devotional_Nectar_-_1994/1994-215_Glories_of_the_Holy_Name_Lecture_-_Radhanath_Swami_94_IDesireTree.mp3", "1994-215_Glories_of_the_Holy_Name_Lecture_-_Radhanath_Swami_94_IDesireTree.mp3")</f>
        <v>1994-215_Glories_of_the_Holy_Name_Lecture_-_Radhanath_Swami_94_IDesireTree.mp3</v>
      </c>
      <c r="D868" s="24"/>
      <c r="E868" s="24"/>
    </row>
    <row r="869">
      <c r="A869" s="25" t="s">
        <v>18352</v>
      </c>
      <c r="B869" s="25" t="s">
        <v>18359</v>
      </c>
      <c r="C869" s="26" t="str">
        <f>HYPERLINK("https://audio.iskcondesiretree.com/02_-_ISKCON_Swamis/ISKCON_Swamis_-_R_to_Y/His_Holiness_Radhanath_Swami/Lectures/00_-_Year_wise/Devotional_Nectar_-_1995/1995-001_South_India_Yatra_SB-01_01_13_Mumbai_-_Radhanath_Swami_1995-01-01.mp3", "1995-001_South_India_Yatra_SB-01_01_13_Mumbai_-_Radhanath_Swami_1995-01-01.mp3")</f>
        <v>1995-001_South_India_Yatra_SB-01_01_13_Mumbai_-_Radhanath_Swami_1995-01-01.mp3</v>
      </c>
      <c r="D869" s="24"/>
      <c r="E869" s="24"/>
    </row>
    <row r="870">
      <c r="A870" s="25" t="s">
        <v>18352</v>
      </c>
      <c r="B870" s="25" t="s">
        <v>18359</v>
      </c>
      <c r="C870" s="26" t="str">
        <f>HYPERLINK("https://audio.iskcondesiretree.com/02_-_ISKCON_Swamis/ISKCON_Swamis_-_R_to_Y/His_Holiness_Radhanath_Swami/Lectures/00_-_Year_wise/Devotional_Nectar_-_1995/1995-002_The_Story_Of_Dronacharya_SB-01_07_15_Mumbai_-_Radhanath_Swami_1995-01-02.mp3", "1995-002_The_Story_Of_Dronacharya_SB-01_07_15_Mumbai_-_Radhanath_Swami_1995-01-02.mp3")</f>
        <v>1995-002_The_Story_Of_Dronacharya_SB-01_07_15_Mumbai_-_Radhanath_Swami_1995-01-02.mp3</v>
      </c>
      <c r="D870" s="24"/>
      <c r="E870" s="24"/>
    </row>
    <row r="871">
      <c r="A871" s="25" t="s">
        <v>18352</v>
      </c>
      <c r="B871" s="25" t="s">
        <v>18359</v>
      </c>
      <c r="C871" s="26" t="str">
        <f>HYPERLINK("https://audio.iskcondesiretree.com/02_-_ISKCON_Swamis/ISKCON_Swamis_-_R_to_Y/His_Holiness_Radhanath_Swami/Lectures/00_-_Year_wise/Devotional_Nectar_-_1995/1995-003_Association_Of_Devotees_SB-01_07_17-19_Mumbai_-_Radhanath_Swami_1995-01-03.mp3", "1995-003_Association_Of_Devotees_SB-01_07_17-19_Mumbai_-_Radhanath_Swami_1995-01-03.mp3")</f>
        <v>1995-003_Association_Of_Devotees_SB-01_07_17-19_Mumbai_-_Radhanath_Swami_1995-01-03.mp3</v>
      </c>
      <c r="D871" s="24"/>
      <c r="E871" s="24"/>
    </row>
    <row r="872">
      <c r="A872" s="25" t="s">
        <v>18352</v>
      </c>
      <c r="B872" s="25" t="s">
        <v>18359</v>
      </c>
      <c r="C872" s="26" t="str">
        <f>HYPERLINK("https://audio.iskcondesiretree.com/02_-_ISKCON_Swamis/ISKCON_Swamis_-_R_to_Y/His_Holiness_Radhanath_Swami/Lectures/00_-_Year_wise/Devotional_Nectar_-_1995/1995-004_Our_Aspiration_To_Chant_Humbly_BG-03_31_Mumbai_-_Radhanath_Swami_1995-01-03.mp3", "1995-004_Our_Aspiration_To_Chant_Humbly_BG-03_31_Mumbai_-_Radhanath_Swami_1995-01-03.mp3")</f>
        <v>1995-004_Our_Aspiration_To_Chant_Humbly_BG-03_31_Mumbai_-_Radhanath_Swami_1995-01-03.mp3</v>
      </c>
      <c r="D872" s="24"/>
      <c r="E872" s="24"/>
    </row>
    <row r="873">
      <c r="A873" s="25" t="s">
        <v>18352</v>
      </c>
      <c r="B873" s="25" t="s">
        <v>18359</v>
      </c>
      <c r="C873" s="26" t="str">
        <f>HYPERLINK("https://audio.iskcondesiretree.com/02_-_ISKCON_Swamis/ISKCON_Swamis_-_R_to_Y/His_Holiness_Radhanath_Swami/Lectures/00_-_Year_wise/Devotional_Nectar_-_1995/1995-005_How_To_Please_Krishna_SB-01_02_28-29_Mumbai_-_Radhanath_Swami_1995-01-03.mp3", "1995-005_How_To_Please_Krishna_SB-01_02_28-29_Mumbai_-_Radhanath_Swami_1995-01-03.mp3")</f>
        <v>1995-005_How_To_Please_Krishna_SB-01_02_28-29_Mumbai_-_Radhanath_Swami_1995-01-03.mp3</v>
      </c>
      <c r="D873" s="24"/>
      <c r="E873" s="24"/>
    </row>
    <row r="874">
      <c r="A874" s="25" t="s">
        <v>18352</v>
      </c>
      <c r="B874" s="25" t="s">
        <v>18359</v>
      </c>
      <c r="C874" s="26" t="str">
        <f>HYPERLINK("https://audio.iskcondesiretree.com/02_-_ISKCON_Swamis/ISKCON_Swamis_-_R_to_Y/His_Holiness_Radhanath_Swami/Lectures/00_-_Year_wise/Devotional_Nectar_-_1995/1995-006_Get_Out_Of_Darkness_SB-01_07_23_Mumbai_-_Radhanath_Swami_1995-01-05.mp3", "1995-006_Get_Out_Of_Darkness_SB-01_07_23_Mumbai_-_Radhanath_Swami_1995-01-05.mp3")</f>
        <v>1995-006_Get_Out_Of_Darkness_SB-01_07_23_Mumbai_-_Radhanath_Swami_1995-01-05.mp3</v>
      </c>
      <c r="D874" s="24"/>
      <c r="E874" s="24"/>
    </row>
    <row r="875">
      <c r="A875" s="25" t="s">
        <v>18352</v>
      </c>
      <c r="B875" s="25" t="s">
        <v>18359</v>
      </c>
      <c r="C875" s="26" t="str">
        <f>HYPERLINK("https://audio.iskcondesiretree.com/02_-_ISKCON_Swamis/ISKCON_Swamis_-_R_to_Y/His_Holiness_Radhanath_Swami/Lectures/00_-_Year_wise/Devotional_Nectar_-_1995/1995-007_Arrival_Lecture_Lecture_Mumbai_-_Radhanath_Swami_1995-01-06.mp3", "1995-007_Arrival_Lecture_Lecture_Mumbai_-_Radhanath_Swami_1995-01-06.mp3")</f>
        <v>1995-007_Arrival_Lecture_Lecture_Mumbai_-_Radhanath_Swami_1995-01-06.mp3</v>
      </c>
      <c r="D875" s="24"/>
      <c r="E875" s="24"/>
    </row>
    <row r="876">
      <c r="A876" s="25" t="s">
        <v>18352</v>
      </c>
      <c r="B876" s="25" t="s">
        <v>18359</v>
      </c>
      <c r="C876" s="26" t="str">
        <f>HYPERLINK("https://audio.iskcondesiretree.com/02_-_ISKCON_Swamis/ISKCON_Swamis_-_R_to_Y/His_Holiness_Radhanath_Swami/Lectures/00_-_Year_wise/Devotional_Nectar_-_1995/1995-008_Centennial_Address_Lecture_Mumbai_-_Radhanath_Swami_1995-01-06.mp3", "1995-008_Centennial_Address_Lecture_Mumbai_-_Radhanath_Swami_1995-01-06.mp3")</f>
        <v>1995-008_Centennial_Address_Lecture_Mumbai_-_Radhanath_Swami_1995-01-06.mp3</v>
      </c>
      <c r="D876" s="24"/>
      <c r="E876" s="24"/>
    </row>
    <row r="877">
      <c r="A877" s="25" t="s">
        <v>18352</v>
      </c>
      <c r="B877" s="25" t="s">
        <v>18359</v>
      </c>
      <c r="C877" s="26" t="str">
        <f>HYPERLINK("https://audio.iskcondesiretree.com/02_-_ISKCON_Swamis/ISKCON_Swamis_-_R_to_Y/His_Holiness_Radhanath_Swami/Lectures/00_-_Year_wise/Devotional_Nectar_-_1995/1995-009_Kunti%27s_Dependence_On_Holy_Name_SB-01_08_38_Mumbai_-_Radhanath_Swami_1995-01-07.mp3", "1995-009_Kunti%27s_Dependence_On_Holy_Name_SB-01_08_38_Mumbai_-_Radhanath_Swami_1995-01-07.mp3")</f>
        <v>1995-009_Kunti%27s_Dependence_On_Holy_Name_SB-01_08_38_Mumbai_-_Radhanath_Swami_1995-01-07.mp3</v>
      </c>
      <c r="D877" s="24"/>
      <c r="E877" s="24"/>
    </row>
    <row r="878">
      <c r="A878" s="25" t="s">
        <v>18352</v>
      </c>
      <c r="B878" s="25" t="s">
        <v>18359</v>
      </c>
      <c r="C878" s="26" t="str">
        <f>HYPERLINK("https://audio.iskcondesiretree.com/02_-_ISKCON_Swamis/ISKCON_Swamis_-_R_to_Y/His_Holiness_Radhanath_Swami/Lectures/00_-_Year_wise/Devotional_Nectar_-_1995/1995-010_We_Are_Helpless_SB-01_07_26_Mumbai_-_Radhanath_Swami_1995-01-08.mp3", "1995-010_We_Are_Helpless_SB-01_07_26_Mumbai_-_Radhanath_Swami_1995-01-08.mp3")</f>
        <v>1995-010_We_Are_Helpless_SB-01_07_26_Mumbai_-_Radhanath_Swami_1995-01-08.mp3</v>
      </c>
      <c r="D878" s="24"/>
      <c r="E878" s="24"/>
    </row>
    <row r="879">
      <c r="A879" s="25" t="s">
        <v>18352</v>
      </c>
      <c r="B879" s="25" t="s">
        <v>18359</v>
      </c>
      <c r="C879" s="26" t="str">
        <f>HYPERLINK("https://audio.iskcondesiretree.com/02_-_ISKCON_Swamis/ISKCON_Swamis_-_R_to_Y/His_Holiness_Radhanath_Swami/Lectures/00_-_Year_wise/Devotional_Nectar_-_1995/1995-011_Demoniac_Qualities-_Lust_Pride_Prestige_BG-16_10_Mumbai_-_Radhanath_Swami_1995-01-08.mp3", "1995-011_Demoniac_Qualities-_Lust_Pride_Prestige_BG-16_10_Mumbai_-_Radhanath_Swami_1995-01-08.mp3")</f>
        <v>1995-011_Demoniac_Qualities-_Lust_Pride_Prestige_BG-16_10_Mumbai_-_Radhanath_Swami_1995-01-08.mp3</v>
      </c>
      <c r="D879" s="24"/>
      <c r="E879" s="24"/>
    </row>
    <row r="880">
      <c r="A880" s="25" t="s">
        <v>18352</v>
      </c>
      <c r="B880" s="25" t="s">
        <v>18359</v>
      </c>
      <c r="C880" s="26" t="str">
        <f>HYPERLINK("https://audio.iskcondesiretree.com/02_-_ISKCON_Swamis/ISKCON_Swamis_-_R_to_Y/His_Holiness_Radhanath_Swami/Lectures/00_-_Year_wise/Devotional_Nectar_-_1995/1995-013_Nature_The_Enjoyer_And_Consciousness_BG-13_01-02_Mumbai_-_Radhanath_Swami_1995-01-10.mp3", "1995-013_Nature_The_Enjoyer_And_Consciousness_BG-13_01-02_Mumbai_-_Radhanath_Swami_1995-01-10.mp3")</f>
        <v>1995-013_Nature_The_Enjoyer_And_Consciousness_BG-13_01-02_Mumbai_-_Radhanath_Swami_1995-01-10.mp3</v>
      </c>
      <c r="D880" s="24"/>
      <c r="E880" s="24"/>
    </row>
    <row r="881">
      <c r="A881" s="25" t="s">
        <v>18352</v>
      </c>
      <c r="B881" s="25" t="s">
        <v>18359</v>
      </c>
      <c r="C881" s="26" t="str">
        <f>HYPERLINK("https://audio.iskcondesiretree.com/02_-_ISKCON_Swamis/ISKCON_Swamis_-_R_to_Y/His_Holiness_Radhanath_Swami/Lectures/00_-_Year_wise/Devotional_Nectar_-_1995/1995-014_Talk_With_J_J_Medical_Students_Lecture_Mumbai_-_Radhanath_Swami_1995-01-11_new.mp3", "1995-014_Talk_With_J_J_Medical_Students_Lecture_Mumbai_-_Radhanath_Swami_1995-01-11_new.mp3")</f>
        <v>1995-014_Talk_With_J_J_Medical_Students_Lecture_Mumbai_-_Radhanath_Swami_1995-01-11_new.mp3</v>
      </c>
      <c r="D881" s="24"/>
      <c r="E881" s="24"/>
    </row>
    <row r="882">
      <c r="A882" s="25" t="s">
        <v>18352</v>
      </c>
      <c r="B882" s="25" t="s">
        <v>18359</v>
      </c>
      <c r="C882" s="26" t="str">
        <f>HYPERLINK("https://audio.iskcondesiretree.com/02_-_ISKCON_Swamis/ISKCON_Swamis_-_R_to_Y/His_Holiness_Radhanath_Swami/Lectures/00_-_Year_wise/Devotional_Nectar_-_1995/1995-015_O_Lord%21_My_Home_Is_Your_Property_Lecture_Pune_-_Radhanath_Swami_1995-01-12.mp3", "1995-015_O_Lord%21_My_Home_Is_Your_Property_Lecture_Pune_-_Radhanath_Swami_1995-01-12.mp3")</f>
        <v>1995-015_O_Lord%21_My_Home_Is_Your_Property_Lecture_Pune_-_Radhanath_Swami_1995-01-12.mp3</v>
      </c>
      <c r="D882" s="24"/>
      <c r="E882" s="24"/>
    </row>
    <row r="883">
      <c r="A883" s="25" t="s">
        <v>18352</v>
      </c>
      <c r="B883" s="25" t="s">
        <v>18359</v>
      </c>
      <c r="C883" s="26" t="str">
        <f>HYPERLINK("https://audio.iskcondesiretree.com/02_-_ISKCON_Swamis/ISKCON_Swamis_-_R_to_Y/His_Holiness_Radhanath_Swami/Lectures/00_-_Year_wise/Devotional_Nectar_-_1995/1995-016_Bhagavad_Gita-_The_Greatest_Science_Mt_-_BG-05_24_Pune_-_Radhanath_Swami_1995-01-12.mp3", "1995-016_Bhagavad_Gita-_The_Greatest_Science_Mt_-_BG-05_24_Pune_-_Radhanath_Swami_1995-01-12.mp3")</f>
        <v>1995-016_Bhagavad_Gita-_The_Greatest_Science_Mt_-_BG-05_24_Pune_-_Radhanath_Swami_1995-01-12.mp3</v>
      </c>
      <c r="D883" s="24"/>
      <c r="E883" s="24"/>
    </row>
    <row r="884">
      <c r="A884" s="25" t="s">
        <v>18352</v>
      </c>
      <c r="B884" s="25" t="s">
        <v>18359</v>
      </c>
      <c r="C884" s="26" t="str">
        <f>HYPERLINK("https://audio.iskcondesiretree.com/02_-_ISKCON_Swamis/ISKCON_Swamis_-_R_to_Y/His_Holiness_Radhanath_Swami/Lectures/00_-_Year_wise/Devotional_Nectar_-_1995/1995-017_You_Are_Invisible_To_All-_Kunti_SB-01_8_18_Pune_-_Radhanath_Swami_1995-01-13.mp3", "1995-017_You_Are_Invisible_To_All-_Kunti_SB-01_8_18_Pune_-_Radhanath_Swami_1995-01-13.mp3")</f>
        <v>1995-017_You_Are_Invisible_To_All-_Kunti_SB-01_8_18_Pune_-_Radhanath_Swami_1995-01-13.mp3</v>
      </c>
      <c r="D884" s="24"/>
      <c r="E884" s="24"/>
    </row>
    <row r="885">
      <c r="A885" s="25" t="s">
        <v>18352</v>
      </c>
      <c r="B885" s="25" t="s">
        <v>18359</v>
      </c>
      <c r="C885" s="26" t="str">
        <f>HYPERLINK("https://audio.iskcondesiretree.com/02_-_ISKCON_Swamis/ISKCON_Swamis_-_R_to_Y/His_Holiness_Radhanath_Swami/Lectures/00_-_Year_wise/Devotional_Nectar_-_1995/1995-018_Opulence_Of_The_Absolute_BG-10_07_Pune_-_Radhanath_Swami_1995-01-13.mp3", "1995-018_Opulence_Of_The_Absolute_BG-10_07_Pune_-_Radhanath_Swami_1995-01-13.mp3")</f>
        <v>1995-018_Opulence_Of_The_Absolute_BG-10_07_Pune_-_Radhanath_Swami_1995-01-13.mp3</v>
      </c>
      <c r="D885" s="24"/>
      <c r="E885" s="24"/>
    </row>
    <row r="886">
      <c r="A886" s="25" t="s">
        <v>18352</v>
      </c>
      <c r="B886" s="25" t="s">
        <v>18359</v>
      </c>
      <c r="C886" s="26" t="str">
        <f>HYPERLINK("https://audio.iskcondesiretree.com/02_-_ISKCON_Swamis/ISKCON_Swamis_-_R_to_Y/His_Holiness_Radhanath_Swami/Lectures/00_-_Year_wise/Devotional_Nectar_-_1995/1995-019_Question_%26_Answere_Q_%26_A_Pune_-_Radhanath_Swami_1995-01-13.mp3", "1995-019_Question_%26_Answere_Q_%26_A_Pune_-_Radhanath_Swami_1995-01-13.mp3")</f>
        <v>1995-019_Question_%26_Answere_Q_%26_A_Pune_-_Radhanath_Swami_1995-01-13.mp3</v>
      </c>
      <c r="D886" s="24"/>
      <c r="E886" s="24"/>
    </row>
    <row r="887">
      <c r="A887" s="25" t="s">
        <v>18352</v>
      </c>
      <c r="B887" s="25" t="s">
        <v>18359</v>
      </c>
      <c r="C887" s="26" t="str">
        <f>HYPERLINK("https://audio.iskcondesiretree.com/02_-_ISKCON_Swamis/ISKCON_Swamis_-_R_to_Y/His_Holiness_Radhanath_Swami/Lectures/00_-_Year_wise/Devotional_Nectar_-_1995/1995-020_Importance_Of_Makar_Sankranti_Mt_-_SB-01_9_29-30_Kolhapur_-_Radhanath_Swami_1995-01-14.mp3", "1995-020_Importance_Of_Makar_Sankranti_Mt_-_SB-01_9_29-30_Kolhapur_-_Radhanath_Swami_1995-01-14.mp3")</f>
        <v>1995-020_Importance_Of_Makar_Sankranti_Mt_-_SB-01_9_29-30_Kolhapur_-_Radhanath_Swami_1995-01-14.mp3</v>
      </c>
      <c r="D887" s="24"/>
      <c r="E887" s="24"/>
    </row>
    <row r="888">
      <c r="A888" s="25" t="s">
        <v>18352</v>
      </c>
      <c r="B888" s="25" t="s">
        <v>18359</v>
      </c>
      <c r="C888" s="26" t="str">
        <f>HYPERLINK("https://audio.iskcondesiretree.com/02_-_ISKCON_Swamis/ISKCON_Swamis_-_R_to_Y/His_Holiness_Radhanath_Swami/Lectures/00_-_Year_wise/Devotional_Nectar_-_1995/1995-021_How_To_Understand_Krishna_Ht_-_BG-10_10_Belgaum_-_Radhanath_Swami_1995-01-15.mp3", "1995-021_How_To_Understand_Krishna_Ht_-_BG-10_10_Belgaum_-_Radhanath_Swami_1995-01-15.mp3")</f>
        <v>1995-021_How_To_Understand_Krishna_Ht_-_BG-10_10_Belgaum_-_Radhanath_Swami_1995-01-15.mp3</v>
      </c>
      <c r="D888" s="24"/>
      <c r="E888" s="24"/>
    </row>
    <row r="889">
      <c r="A889" s="25" t="s">
        <v>18352</v>
      </c>
      <c r="B889" s="25" t="s">
        <v>18359</v>
      </c>
      <c r="C889" s="26" t="str">
        <f>HYPERLINK("https://audio.iskcondesiretree.com/02_-_ISKCON_Swamis/ISKCON_Swamis_-_R_to_Y/His_Holiness_Radhanath_Swami/Lectures/00_-_Year_wise/Devotional_Nectar_-_1995/1995-022_Arrival_Address_Ht_-_Lecture_Belgaum_-_Radhanath_Swami_1995-01-15.mp3", "1995-022_Arrival_Address_Ht_-_Lecture_Belgaum_-_Radhanath_Swami_1995-01-15.mp3")</f>
        <v>1995-022_Arrival_Address_Ht_-_Lecture_Belgaum_-_Radhanath_Swami_1995-01-15.mp3</v>
      </c>
      <c r="D889" s="24"/>
      <c r="E889" s="24"/>
    </row>
    <row r="890">
      <c r="A890" s="25" t="s">
        <v>18352</v>
      </c>
      <c r="B890" s="25" t="s">
        <v>18359</v>
      </c>
      <c r="C890" s="26" t="str">
        <f>HYPERLINK("https://audio.iskcondesiretree.com/02_-_ISKCON_Swamis/ISKCON_Swamis_-_R_to_Y/His_Holiness_Radhanath_Swami/Lectures/00_-_Year_wise/Devotional_Nectar_-_1995/1995-023_Materialistic_People_Are_Animals_Ht_-_SB-02_03_18_Belgaum_-_Radhanath_Swami_1995-01-16.mp3", "1995-023_Materialistic_People_Are_Animals_Ht_-_SB-02_03_18_Belgaum_-_Radhanath_Swami_1995-01-16.mp3")</f>
        <v>1995-023_Materialistic_People_Are_Animals_Ht_-_SB-02_03_18_Belgaum_-_Radhanath_Swami_1995-01-16.mp3</v>
      </c>
      <c r="D890" s="24"/>
      <c r="E890" s="24"/>
    </row>
    <row r="891">
      <c r="A891" s="25" t="s">
        <v>18352</v>
      </c>
      <c r="B891" s="25" t="s">
        <v>18359</v>
      </c>
      <c r="C891" s="26" t="str">
        <f>HYPERLINK("https://audio.iskcondesiretree.com/02_-_ISKCON_Swamis/ISKCON_Swamis_-_R_to_Y/His_Holiness_Radhanath_Swami/Lectures/00_-_Year_wise/Devotional_Nectar_-_1995/1995-024_The_Supreme_Goal_Of_Life_MT_-_SB-01_02_08_Belgaum_-_Radhanath_Swami_1995-01-16.mp3", "1995-024_The_Supreme_Goal_Of_Life_MT_-_SB-01_02_08_Belgaum_-_Radhanath_Swami_1995-01-16.mp3")</f>
        <v>1995-024_The_Supreme_Goal_Of_Life_MT_-_SB-01_02_08_Belgaum_-_Radhanath_Swami_1995-01-16.mp3</v>
      </c>
      <c r="D891" s="24"/>
      <c r="E891" s="24"/>
    </row>
    <row r="892">
      <c r="A892" s="25" t="s">
        <v>18352</v>
      </c>
      <c r="B892" s="25" t="s">
        <v>18359</v>
      </c>
      <c r="C892" s="26" t="str">
        <f>HYPERLINK("https://audio.iskcondesiretree.com/02_-_ISKCON_Swamis/ISKCON_Swamis_-_R_to_Y/His_Holiness_Radhanath_Swami/Lectures/00_-_Year_wise/Devotional_Nectar_-_1995/1995-025_Blind_Leading_The_Blind_HT_-_SB-02_03_19_Belgaum_-_Radhanath_Swami_1995-01-17.mp3", "1995-025_Blind_Leading_The_Blind_HT_-_SB-02_03_19_Belgaum_-_Radhanath_Swami_1995-01-17.mp3")</f>
        <v>1995-025_Blind_Leading_The_Blind_HT_-_SB-02_03_19_Belgaum_-_Radhanath_Swami_1995-01-17.mp3</v>
      </c>
      <c r="D892" s="24"/>
      <c r="E892" s="24"/>
    </row>
    <row r="893">
      <c r="A893" s="25" t="s">
        <v>18352</v>
      </c>
      <c r="B893" s="25" t="s">
        <v>18359</v>
      </c>
      <c r="C893" s="26" t="str">
        <f>HYPERLINK("https://audio.iskcondesiretree.com/02_-_ISKCON_Swamis/ISKCON_Swamis_-_R_to_Y/His_Holiness_Radhanath_Swami/Lectures/00_-_Year_wise/Devotional_Nectar_-_1995/1995-026_Meaning_Of_Lotus_Feet_SB-01_08_39_Nasik_-_Radhanath_Swami_1995-01-19.mp3", "1995-026_Meaning_Of_Lotus_Feet_SB-01_08_39_Nasik_-_Radhanath_Swami_1995-01-19.mp3")</f>
        <v>1995-026_Meaning_Of_Lotus_Feet_SB-01_08_39_Nasik_-_Radhanath_Swami_1995-01-19.mp3</v>
      </c>
      <c r="D893" s="24"/>
      <c r="E893" s="24"/>
    </row>
    <row r="894">
      <c r="A894" s="25" t="s">
        <v>18352</v>
      </c>
      <c r="B894" s="25" t="s">
        <v>18359</v>
      </c>
      <c r="C894" s="26" t="str">
        <f>HYPERLINK("https://audio.iskcondesiretree.com/02_-_ISKCON_Swamis/ISKCON_Swamis_-_R_to_Y/His_Holiness_Radhanath_Swami/Lectures/00_-_Year_wise/Devotional_Nectar_-_1995/1995-027_Krsna_Is_equal_To_All_BG-09_29_Javlibaleshwar_-_Radhanath_Swami_1995-01-19.mp3", "1995-027_Krsna_Is_equal_To_All_BG-09_29_Javlibaleshwar_-_Radhanath_Swami_1995-01-19.mp3")</f>
        <v>1995-027_Krsna_Is_equal_To_All_BG-09_29_Javlibaleshwar_-_Radhanath_Swami_1995-01-19.mp3</v>
      </c>
      <c r="D894" s="24"/>
      <c r="E894" s="24"/>
    </row>
    <row r="895">
      <c r="A895" s="25" t="s">
        <v>18352</v>
      </c>
      <c r="B895" s="25" t="s">
        <v>18359</v>
      </c>
      <c r="C895" s="26" t="str">
        <f>HYPERLINK("https://audio.iskcondesiretree.com/02_-_ISKCON_Swamis/ISKCON_Swamis_-_R_to_Y/His_Holiness_Radhanath_Swami/Lectures/00_-_Year_wise/Devotional_Nectar_-_1995/1995-028_What_Is_Faith_SB-03_02_10_Mumbai_-_Radhanath_Swami_1995-01-20.mp3", "1995-028_What_Is_Faith_SB-03_02_10_Mumbai_-_Radhanath_Swami_1995-01-20.mp3")</f>
        <v>1995-028_What_Is_Faith_SB-03_02_10_Mumbai_-_Radhanath_Swami_1995-01-20.mp3</v>
      </c>
      <c r="D895" s="24"/>
      <c r="E895" s="24"/>
    </row>
    <row r="896">
      <c r="A896" s="25" t="s">
        <v>18352</v>
      </c>
      <c r="B896" s="25" t="s">
        <v>18359</v>
      </c>
      <c r="C896" s="26" t="str">
        <f>HYPERLINK("https://audio.iskcondesiretree.com/02_-_ISKCON_Swamis/ISKCON_Swamis_-_R_to_Y/His_Holiness_Radhanath_Swami/Lectures/00_-_Year_wise/Devotional_Nectar_-_1995/1995-029_Gopala_Bhatta_Goswami_SB-01_01_13_Mumbai_-_Radhanath_Swami_1995-01-21.mp3", "1995-029_Gopala_Bhatta_Goswami_SB-01_01_13_Mumbai_-_Radhanath_Swami_1995-01-21.mp3")</f>
        <v>1995-029_Gopala_Bhatta_Goswami_SB-01_01_13_Mumbai_-_Radhanath_Swami_1995-01-21.mp3</v>
      </c>
      <c r="D896" s="24"/>
      <c r="E896" s="24"/>
    </row>
    <row r="897">
      <c r="A897" s="25" t="s">
        <v>18352</v>
      </c>
      <c r="B897" s="25" t="s">
        <v>18359</v>
      </c>
      <c r="C897" s="26" t="str">
        <f>HYPERLINK("https://audio.iskcondesiretree.com/02_-_ISKCON_Swamis/ISKCON_Swamis_-_R_to_Y/His_Holiness_Radhanath_Swami/Lectures/00_-_Year_wise/Devotional_Nectar_-_1995/1995-030_Vaishnavas_Forgive_Easily_SB-01_07_44_Mumbai_-_Radhanath_Swami_1995-01-21.mp3", "1995-030_Vaishnavas_Forgive_Easily_SB-01_07_44_Mumbai_-_Radhanath_Swami_1995-01-21.mp3")</f>
        <v>1995-030_Vaishnavas_Forgive_Easily_SB-01_07_44_Mumbai_-_Radhanath_Swami_1995-01-21.mp3</v>
      </c>
      <c r="D897" s="24"/>
      <c r="E897" s="24"/>
    </row>
    <row r="898">
      <c r="A898" s="25" t="s">
        <v>18352</v>
      </c>
      <c r="B898" s="25" t="s">
        <v>18359</v>
      </c>
      <c r="C898" s="26" t="str">
        <f>HYPERLINK("https://audio.iskcondesiretree.com/02_-_ISKCON_Swamis/ISKCON_Swamis_-_R_to_Y/His_Holiness_Radhanath_Swami/Lectures/00_-_Year_wise/Devotional_Nectar_-_1995/1995-031_Jaydev_Goswami_SB-01_03_29_Mumbai_-_Radhanath_Swami_1995-01-22.mp3", "1995-031_Jaydev_Goswami_SB-01_03_29_Mumbai_-_Radhanath_Swami_1995-01-22.mp3")</f>
        <v>1995-031_Jaydev_Goswami_SB-01_03_29_Mumbai_-_Radhanath_Swami_1995-01-22.mp3</v>
      </c>
      <c r="D898" s="24"/>
      <c r="E898" s="24"/>
    </row>
    <row r="899">
      <c r="A899" s="25" t="s">
        <v>18352</v>
      </c>
      <c r="B899" s="25" t="s">
        <v>18359</v>
      </c>
      <c r="C899" s="26" t="str">
        <f>HYPERLINK("https://audio.iskcondesiretree.com/02_-_ISKCON_Swamis/ISKCON_Swamis_-_R_to_Y/His_Holiness_Radhanath_Swami/Lectures/00_-_Year_wise/Devotional_Nectar_-_1995/1995-032_Compassion_Exemplified_SB-01_07_45-47_Mumbai_-_Radhanath_Swami_1995-01-22.mp3", "1995-032_Compassion_Exemplified_SB-01_07_45-47_Mumbai_-_Radhanath_Swami_1995-01-22.mp3")</f>
        <v>1995-032_Compassion_Exemplified_SB-01_07_45-47_Mumbai_-_Radhanath_Swami_1995-01-22.mp3</v>
      </c>
      <c r="D899" s="24"/>
      <c r="E899" s="24"/>
    </row>
    <row r="900">
      <c r="A900" s="25" t="s">
        <v>18352</v>
      </c>
      <c r="B900" s="25" t="s">
        <v>18359</v>
      </c>
      <c r="C900" s="26" t="str">
        <f>HYPERLINK("https://audio.iskcondesiretree.com/02_-_ISKCON_Swamis/ISKCON_Swamis_-_R_to_Y/His_Holiness_Radhanath_Swami/Lectures/00_-_Year_wise/Devotional_Nectar_-_1995/1995-033_Take_Gita_Seriously_BG-07_01_Mumbai_-_Radhanath_Swami_1995-01-22.mp3", "1995-033_Take_Gita_Seriously_BG-07_01_Mumbai_-_Radhanath_Swami_1995-01-22.mp3")</f>
        <v>1995-033_Take_Gita_Seriously_BG-07_01_Mumbai_-_Radhanath_Swami_1995-01-22.mp3</v>
      </c>
      <c r="D900" s="24"/>
      <c r="E900" s="24"/>
    </row>
    <row r="901">
      <c r="A901" s="25" t="s">
        <v>18352</v>
      </c>
      <c r="B901" s="25" t="s">
        <v>18359</v>
      </c>
      <c r="C901" s="26" t="str">
        <f>HYPERLINK("https://audio.iskcondesiretree.com/02_-_ISKCON_Swamis/ISKCON_Swamis_-_R_to_Y/His_Holiness_Radhanath_Swami/Lectures/00_-_Year_wise/Devotional_Nectar_-_1995/1995-034_Why_Caitanya_Mahaprabhu_Appeared_Lecture_Mumbai_-_Radhanath_Swami_1995-01-23.mp3", "1995-034_Why_Caitanya_Mahaprabhu_Appeared_Lecture_Mumbai_-_Radhanath_Swami_1995-01-23.mp3")</f>
        <v>1995-034_Why_Caitanya_Mahaprabhu_Appeared_Lecture_Mumbai_-_Radhanath_Swami_1995-01-23.mp3</v>
      </c>
      <c r="D901" s="24"/>
      <c r="E901" s="24"/>
    </row>
    <row r="902">
      <c r="A902" s="25" t="s">
        <v>18352</v>
      </c>
      <c r="B902" s="25" t="s">
        <v>18359</v>
      </c>
      <c r="C902" s="26" t="str">
        <f>HYPERLINK("https://audio.iskcondesiretree.com/02_-_ISKCON_Swamis/ISKCON_Swamis_-_R_to_Y/His_Holiness_Radhanath_Swami/Lectures/00_-_Year_wise/Devotional_Nectar_-_1995/1995-035_Why_Pune_Yatra_Lecture_Pune_-_Radhanath_Swami_1995-01-26.mp3", "1995-035_Why_Pune_Yatra_Lecture_Pune_-_Radhanath_Swami_1995-01-26.mp3")</f>
        <v>1995-035_Why_Pune_Yatra_Lecture_Pune_-_Radhanath_Swami_1995-01-26.mp3</v>
      </c>
      <c r="D902" s="24"/>
      <c r="E902" s="24"/>
    </row>
    <row r="903">
      <c r="A903" s="25" t="s">
        <v>18352</v>
      </c>
      <c r="B903" s="25" t="s">
        <v>18359</v>
      </c>
      <c r="C903" s="26" t="str">
        <f>HYPERLINK("https://audio.iskcondesiretree.com/02_-_ISKCON_Swamis/ISKCON_Swamis_-_R_to_Y/His_Holiness_Radhanath_Swami/Lectures/00_-_Year_wise/Devotional_Nectar_-_1995/1995-036_Question_%26_Answer_Q%26A_Pune_-_Radhanath_Swami_1995-01-27.mp3", "1995-036_Question_%26_Answer_Q%26A_Pune_-_Radhanath_Swami_1995-01-27.mp3")</f>
        <v>1995-036_Question_%26_Answer_Q%26A_Pune_-_Radhanath_Swami_1995-01-27.mp3</v>
      </c>
      <c r="D903" s="24"/>
      <c r="E903" s="24"/>
    </row>
    <row r="904">
      <c r="A904" s="25" t="s">
        <v>18352</v>
      </c>
      <c r="B904" s="25" t="s">
        <v>18359</v>
      </c>
      <c r="C904" s="26" t="str">
        <f>HYPERLINK("https://audio.iskcondesiretree.com/02_-_ISKCON_Swamis/ISKCON_Swamis_-_R_to_Y/His_Holiness_Radhanath_Swami/Lectures/00_-_Year_wise/Devotional_Nectar_-_1995/1995-037_Chaitanya_Mahaprabhu_Begins_Sankirtan_SB-09_04_24_Pune_-_Radhanath_Swami_1995-01-27.mp3", "1995-037_Chaitanya_Mahaprabhu_Begins_Sankirtan_SB-09_04_24_Pune_-_Radhanath_Swami_1995-01-27.mp3")</f>
        <v>1995-037_Chaitanya_Mahaprabhu_Begins_Sankirtan_SB-09_04_24_Pune_-_Radhanath_Swami_1995-01-27.mp3</v>
      </c>
      <c r="D904" s="24"/>
      <c r="E904" s="24"/>
    </row>
    <row r="905">
      <c r="A905" s="25" t="s">
        <v>18352</v>
      </c>
      <c r="B905" s="25" t="s">
        <v>18359</v>
      </c>
      <c r="C905" s="26" t="str">
        <f>HYPERLINK("https://audio.iskcondesiretree.com/02_-_ISKCON_Swamis/ISKCON_Swamis_-_R_to_Y/His_Holiness_Radhanath_Swami/Lectures/00_-_Year_wise/Devotional_Nectar_-_1995/1995-038_What_Is_Isckcon_Lecture_Pune_-_Radhanath_Swami_1995-01-28.mp3", "1995-038_What_Is_Isckcon_Lecture_Pune_-_Radhanath_Swami_1995-01-28.mp3")</f>
        <v>1995-038_What_Is_Isckcon_Lecture_Pune_-_Radhanath_Swami_1995-01-28.mp3</v>
      </c>
      <c r="D905" s="24"/>
      <c r="E905" s="24"/>
    </row>
    <row r="906">
      <c r="A906" s="25" t="s">
        <v>18352</v>
      </c>
      <c r="B906" s="25" t="s">
        <v>18359</v>
      </c>
      <c r="C906" s="26" t="str">
        <f>HYPERLINK("https://audio.iskcondesiretree.com/02_-_ISKCON_Swamis/ISKCON_Swamis_-_R_to_Y/His_Holiness_Radhanath_Swami/Lectures/00_-_Year_wise/Devotional_Nectar_-_1995/1995-039_Servant_Of_Servant_SB-09_04_63_Pune_-_Radhanath_Swami_1995-01-29.mp3", "1995-039_Servant_Of_Servant_SB-09_04_63_Pune_-_Radhanath_Swami_1995-01-29.mp3")</f>
        <v>1995-039_Servant_Of_Servant_SB-09_04_63_Pune_-_Radhanath_Swami_1995-01-29.mp3</v>
      </c>
      <c r="D906" s="24"/>
      <c r="E906" s="24"/>
    </row>
    <row r="907">
      <c r="A907" s="25" t="s">
        <v>18352</v>
      </c>
      <c r="B907" s="25" t="s">
        <v>18359</v>
      </c>
      <c r="C907" s="26" t="str">
        <f>HYPERLINK("https://audio.iskcondesiretree.com/02_-_ISKCON_Swamis/ISKCON_Swamis_-_R_to_Y/His_Holiness_Radhanath_Swami/Lectures/00_-_Year_wise/Devotional_Nectar_-_1995/1995-040_Don%27t_Break_Others_Heart_SB-04_08_34_Mumbai_-_Radhanath_Swami_1995-02-01.mp3", "1995-040_Don%27t_Break_Others_Heart_SB-04_08_34_Mumbai_-_Radhanath_Swami_1995-02-01.mp3")</f>
        <v>1995-040_Don%27t_Break_Others_Heart_SB-04_08_34_Mumbai_-_Radhanath_Swami_1995-02-01.mp3</v>
      </c>
      <c r="D907" s="24"/>
      <c r="E907" s="24"/>
    </row>
    <row r="908">
      <c r="A908" s="25" t="s">
        <v>18352</v>
      </c>
      <c r="B908" s="25" t="s">
        <v>18359</v>
      </c>
      <c r="C908" s="26" t="str">
        <f>HYPERLINK("https://audio.iskcondesiretree.com/02_-_ISKCON_Swamis/ISKCON_Swamis_-_R_to_Y/His_Holiness_Radhanath_Swami/Lectures/00_-_Year_wise/Devotional_Nectar_-_1995/1995-041_Activities_Of_Devotees_SB-01_08_36_Allahabad_-_Radhanath_Swami_1995-02-02.mp3", "1995-041_Activities_Of_Devotees_SB-01_08_36_Allahabad_-_Radhanath_Swami_1995-02-02.mp3")</f>
        <v>1995-041_Activities_Of_Devotees_SB-01_08_36_Allahabad_-_Radhanath_Swami_1995-02-02.mp3</v>
      </c>
      <c r="D908" s="24"/>
      <c r="E908" s="24"/>
    </row>
    <row r="909">
      <c r="A909" s="25" t="s">
        <v>18352</v>
      </c>
      <c r="B909" s="25" t="s">
        <v>18359</v>
      </c>
      <c r="C909" s="26" t="str">
        <f>HYPERLINK("https://audio.iskcondesiretree.com/02_-_ISKCON_Swamis/ISKCON_Swamis_-_R_to_Y/His_Holiness_Radhanath_Swami/Lectures/00_-_Year_wise/Devotional_Nectar_-_1995/1995-042_We_Are_Completely_Dependent_On_Your_Mercy_SB-01_08_37_Allahabad_-_03-02-95_IDesireTree.mp3", "1995-042_We_Are_Completely_Dependent_On_Your_Mercy_SB-01_08_37_Allahabad_-_03-02-95_IDesireTree.mp3")</f>
        <v>1995-042_We_Are_Completely_Dependent_On_Your_Mercy_SB-01_08_37_Allahabad_-_03-02-95_IDesireTree.mp3</v>
      </c>
      <c r="D909" s="24"/>
      <c r="E909" s="24"/>
    </row>
    <row r="910">
      <c r="A910" s="25" t="s">
        <v>18352</v>
      </c>
      <c r="B910" s="25" t="s">
        <v>18359</v>
      </c>
      <c r="C910" s="26" t="str">
        <f>HYPERLINK("https://audio.iskcondesiretree.com/02_-_ISKCON_Swamis/ISKCON_Swamis_-_R_to_Y/His_Holiness_Radhanath_Swami/Lectures/00_-_Year_wise/Devotional_Nectar_-_1995/1995-043_Lord_Chaitanya_In_Varanasi_HT_-_Lecture_Mumbai_-_Radhanath_Swami_1995-02-05.mp3", "1995-043_Lord_Chaitanya_In_Varanasi_HT_-_Lecture_Mumbai_-_Radhanath_Swami_1995-02-05.mp3")</f>
        <v>1995-043_Lord_Chaitanya_In_Varanasi_HT_-_Lecture_Mumbai_-_Radhanath_Swami_1995-02-05.mp3</v>
      </c>
      <c r="D910" s="24"/>
      <c r="E910" s="24"/>
    </row>
    <row r="911">
      <c r="A911" s="25" t="s">
        <v>18352</v>
      </c>
      <c r="B911" s="25" t="s">
        <v>18359</v>
      </c>
      <c r="C911" s="26" t="str">
        <f>HYPERLINK("https://audio.iskcondesiretree.com/02_-_ISKCON_Swamis/ISKCON_Swamis_-_R_to_Y/His_Holiness_Radhanath_Swami/Lectures/00_-_Year_wise/Devotional_Nectar_-_1995/1995-044_Uttara-_Mother_In_Krishna_Consciousness_SB-01_08_10_Mumbai_-_Radhanath_Swami_1995-02-08.mp3", "1995-044_Uttara-_Mother_In_Krishna_Consciousness_SB-01_08_10_Mumbai_-_Radhanath_Swami_1995-02-08.mp3")</f>
        <v>1995-044_Uttara-_Mother_In_Krishna_Consciousness_SB-01_08_10_Mumbai_-_Radhanath_Swami_1995-02-08.mp3</v>
      </c>
      <c r="D911" s="24"/>
      <c r="E911" s="24"/>
    </row>
    <row r="912">
      <c r="A912" s="25" t="s">
        <v>18352</v>
      </c>
      <c r="B912" s="25" t="s">
        <v>18359</v>
      </c>
      <c r="C912" s="26" t="str">
        <f>HYPERLINK("https://audio.iskcondesiretree.com/02_-_ISKCON_Swamis/ISKCON_Swamis_-_R_to_Y/His_Holiness_Radhanath_Swami/Lectures/00_-_Year_wise/Devotional_Nectar_-_1995/1995-045_How_Krishna_Protects_SB-01_08_11_Mumbai_-_Radhanath_Swami_1995-02-09.mp3", "1995-045_How_Krishna_Protects_SB-01_08_11_Mumbai_-_Radhanath_Swami_1995-02-09.mp3")</f>
        <v>1995-045_How_Krishna_Protects_SB-01_08_11_Mumbai_-_Radhanath_Swami_1995-02-09.mp3</v>
      </c>
      <c r="D912" s="24"/>
      <c r="E912" s="24"/>
    </row>
    <row r="913">
      <c r="A913" s="25" t="s">
        <v>18352</v>
      </c>
      <c r="B913" s="25" t="s">
        <v>18359</v>
      </c>
      <c r="C913" s="26" t="str">
        <f>HYPERLINK("https://audio.iskcondesiretree.com/02_-_ISKCON_Swamis/ISKCON_Swamis_-_R_to_Y/His_Holiness_Radhanath_Swami/Lectures/00_-_Year_wise/Devotional_Nectar_-_1995/1995-046_Talk_With_Nair_Medical_Students_Lecture_Mumbai_-_Radhanath_Swami_1995-02-09.mp3", "1995-046_Talk_With_Nair_Medical_Students_Lecture_Mumbai_-_Radhanath_Swami_1995-02-09.mp3")</f>
        <v>1995-046_Talk_With_Nair_Medical_Students_Lecture_Mumbai_-_Radhanath_Swami_1995-02-09.mp3</v>
      </c>
      <c r="D913" s="24"/>
      <c r="E913" s="24"/>
    </row>
    <row r="914">
      <c r="A914" s="25" t="s">
        <v>18352</v>
      </c>
      <c r="B914" s="25" t="s">
        <v>18359</v>
      </c>
      <c r="C914" s="26" t="str">
        <f>HYPERLINK("https://audio.iskcondesiretree.com/02_-_ISKCON_Swamis/ISKCON_Swamis_-_R_to_Y/His_Holiness_Radhanath_Swami/Lectures/00_-_Year_wise/Devotional_Nectar_-_1995/1995-047_Don%27t_Judge_Vaishnavas_By_Material_Bodies_BG-15_08_Mumbai_-_Radhanath_Swami_1995-02-11.mp"&amp;"3", "1995-047_Don%27t_Judge_Vaishnavas_By_Material_Bodies_BG-15_08_Mumbai_-_Radhanath_Swami_1995-02-11.mp3")</f>
        <v>1995-047_Don%27t_Judge_Vaishnavas_By_Material_Bodies_BG-15_08_Mumbai_-_Radhanath_Swami_1995-02-11.mp3</v>
      </c>
      <c r="D914" s="24"/>
      <c r="E914" s="24"/>
    </row>
    <row r="915">
      <c r="A915" s="25" t="s">
        <v>18352</v>
      </c>
      <c r="B915" s="25" t="s">
        <v>18359</v>
      </c>
      <c r="C915" s="26" t="str">
        <f>HYPERLINK("https://audio.iskcondesiretree.com/02_-_ISKCON_Swamis/ISKCON_Swamis_-_R_to_Y/His_Holiness_Radhanath_Swami/Lectures/00_-_Year_wise/Devotional_Nectar_-_1995/1995-048_Story_Of_Lord_VarahaDev_SB-03_14_05_Mumbai_-_Radhanath_Swami_1995-02-12.mp3", "1995-048_Story_Of_Lord_VarahaDev_SB-03_14_05_Mumbai_-_Radhanath_Swami_1995-02-12.mp3")</f>
        <v>1995-048_Story_Of_Lord_VarahaDev_SB-03_14_05_Mumbai_-_Radhanath_Swami_1995-02-12.mp3</v>
      </c>
      <c r="D915" s="24"/>
      <c r="E915" s="24"/>
    </row>
    <row r="916">
      <c r="A916" s="25" t="s">
        <v>18352</v>
      </c>
      <c r="B916" s="25" t="s">
        <v>18359</v>
      </c>
      <c r="C916" s="26" t="str">
        <f>HYPERLINK("https://audio.iskcondesiretree.com/02_-_ISKCON_Swamis/ISKCON_Swamis_-_R_to_Y/His_Holiness_Radhanath_Swami/Lectures/00_-_Year_wise/Devotional_Nectar_-_1995/1995-049_Merciful_Lord_Nityananda_CC_ML-01_08_Mumbai_-_Radhanath_Swami_1995-02-13.mp3", "1995-049_Merciful_Lord_Nityananda_CC_ML-01_08_Mumbai_-_Radhanath_Swami_1995-02-13.mp3")</f>
        <v>1995-049_Merciful_Lord_Nityananda_CC_ML-01_08_Mumbai_-_Radhanath_Swami_1995-02-13.mp3</v>
      </c>
      <c r="D916" s="24"/>
      <c r="E916" s="24"/>
    </row>
    <row r="917">
      <c r="A917" s="25" t="s">
        <v>18352</v>
      </c>
      <c r="B917" s="25" t="s">
        <v>18359</v>
      </c>
      <c r="C917" s="26" t="str">
        <f>HYPERLINK("https://audio.iskcondesiretree.com/02_-_ISKCON_Swamis/ISKCON_Swamis_-_R_to_Y/His_Holiness_Radhanath_Swami/Lectures/00_-_Year_wise/Devotional_Nectar_-_1995/1995-050_Krishna%27s_Energies_SB-01_08_16_Mumbai_-_Radhanath_Swami_1995-02-14.mp3", "1995-050_Krishna%27s_Energies_SB-01_08_16_Mumbai_-_Radhanath_Swami_1995-02-14.mp3")</f>
        <v>1995-050_Krishna%27s_Energies_SB-01_08_16_Mumbai_-_Radhanath_Swami_1995-02-14.mp3</v>
      </c>
      <c r="D917" s="24"/>
      <c r="E917" s="24"/>
    </row>
    <row r="918">
      <c r="A918" s="25" t="s">
        <v>18352</v>
      </c>
      <c r="B918" s="25" t="s">
        <v>18359</v>
      </c>
      <c r="C918" s="26" t="str">
        <f>HYPERLINK("https://audio.iskcondesiretree.com/02_-_ISKCON_Swamis/ISKCON_Swamis_-_R_to_Y/His_Holiness_Radhanath_Swami/Lectures/00_-_Year_wise/Devotional_Nectar_-_1995/1995-051_Affection_Between_Devotees_SB-01_08_31_Mumbai_-_Radhanath_Swami_1995-03-05.mp3", "1995-051_Affection_Between_Devotees_SB-01_08_31_Mumbai_-_Radhanath_Swami_1995-03-05.mp3")</f>
        <v>1995-051_Affection_Between_Devotees_SB-01_08_31_Mumbai_-_Radhanath_Swami_1995-03-05.mp3</v>
      </c>
      <c r="D918" s="24"/>
      <c r="E918" s="24"/>
    </row>
    <row r="919">
      <c r="A919" s="25" t="s">
        <v>18352</v>
      </c>
      <c r="B919" s="25" t="s">
        <v>18359</v>
      </c>
      <c r="C919" s="26" t="str">
        <f>HYPERLINK("https://audio.iskcondesiretree.com/02_-_ISKCON_Swamis/ISKCON_Swamis_-_R_to_Y/His_Holiness_Radhanath_Swami/Lectures/00_-_Year_wise/Devotional_Nectar_-_1995/1995-052_Don%27t_Speculate_About_Krishna_SB-01_08_33_Mumbai_-_Radhanath_Swami_1995-03-07.mp3", "1995-052_Don%27t_Speculate_About_Krishna_SB-01_08_33_Mumbai_-_Radhanath_Swami_1995-03-07.mp3")</f>
        <v>1995-052_Don%27t_Speculate_About_Krishna_SB-01_08_33_Mumbai_-_Radhanath_Swami_1995-03-07.mp3</v>
      </c>
      <c r="D919" s="24"/>
      <c r="E919" s="24"/>
    </row>
    <row r="920">
      <c r="A920" s="25" t="s">
        <v>18352</v>
      </c>
      <c r="B920" s="25" t="s">
        <v>18359</v>
      </c>
      <c r="C920" s="26" t="str">
        <f>HYPERLINK("https://audio.iskcondesiretree.com/02_-_ISKCON_Swamis/ISKCON_Swamis_-_R_to_Y/His_Holiness_Radhanath_Swami/Lectures/00_-_Year_wise/Devotional_Nectar_-_1995/1995-053_How_To_Get_Real_Treasure_CC_ML-20_142_Mumbai_-_Radhanath_Swami_1995-03-07.mp3", "1995-053_How_To_Get_Real_Treasure_CC_ML-20_142_Mumbai_-_Radhanath_Swami_1995-03-07.mp3")</f>
        <v>1995-053_How_To_Get_Real_Treasure_CC_ML-20_142_Mumbai_-_Radhanath_Swami_1995-03-07.mp3</v>
      </c>
      <c r="D920" s="24"/>
      <c r="E920" s="24"/>
    </row>
    <row r="921">
      <c r="A921" s="25" t="s">
        <v>18352</v>
      </c>
      <c r="B921" s="25" t="s">
        <v>18359</v>
      </c>
      <c r="C921" s="26" t="str">
        <f>HYPERLINK("https://audio.iskcondesiretree.com/02_-_ISKCON_Swamis/ISKCON_Swamis_-_R_to_Y/His_Holiness_Radhanath_Swami/Lectures/00_-_Year_wise/Devotional_Nectar_-_1995/1995-055_Real_Religion_Krishna_Consciouness_SB-01_08_35_Mumbai_-_Radhanath_Swami_1995-03-09.mp3", "1995-055_Real_Religion_Krishna_Consciouness_SB-01_08_35_Mumbai_-_Radhanath_Swami_1995-03-09.mp3")</f>
        <v>1995-055_Real_Religion_Krishna_Consciouness_SB-01_08_35_Mumbai_-_Radhanath_Swami_1995-03-09.mp3</v>
      </c>
      <c r="D921" s="24"/>
      <c r="E921" s="24"/>
    </row>
    <row r="922">
      <c r="A922" s="25" t="s">
        <v>18352</v>
      </c>
      <c r="B922" s="25" t="s">
        <v>18359</v>
      </c>
      <c r="C922" s="26" t="str">
        <f>HYPERLINK("https://audio.iskcondesiretree.com/02_-_ISKCON_Swamis/ISKCON_Swamis_-_R_to_Y/His_Holiness_Radhanath_Swami/Lectures/00_-_Year_wise/Devotional_Nectar_-_1995/1995-056_Lecture_To_Students_BG-04_23_Mumbai_-_Radhanath_Swami_1995-03-09.mp3", "1995-056_Lecture_To_Students_BG-04_23_Mumbai_-_Radhanath_Swami_1995-03-09.mp3")</f>
        <v>1995-056_Lecture_To_Students_BG-04_23_Mumbai_-_Radhanath_Swami_1995-03-09.mp3</v>
      </c>
      <c r="D922" s="24"/>
      <c r="E922" s="24"/>
    </row>
    <row r="923">
      <c r="A923" s="25" t="s">
        <v>18352</v>
      </c>
      <c r="B923" s="25" t="s">
        <v>18359</v>
      </c>
      <c r="C923" s="26" t="str">
        <f>HYPERLINK("https://audio.iskcondesiretree.com/02_-_ISKCON_Swamis/ISKCON_Swamis_-_R_to_Y/His_Holiness_Radhanath_Swami/Lectures/00_-_Year_wise/Devotional_Nectar_-_1995/1995-057_Become_Fortunate_CC_ML-22_3Mumbai_-_Radhanath_Swami_1995-03-10.mp3", "1995-057_Become_Fortunate_CC_ML-22_3Mumbai_-_Radhanath_Swami_1995-03-10.mp3")</f>
        <v>1995-057_Become_Fortunate_CC_ML-22_3Mumbai_-_Radhanath_Swami_1995-03-10.mp3</v>
      </c>
      <c r="D923" s="24"/>
      <c r="E923" s="24"/>
    </row>
    <row r="924">
      <c r="A924" s="25" t="s">
        <v>18352</v>
      </c>
      <c r="B924" s="25" t="s">
        <v>18359</v>
      </c>
      <c r="C924" s="26" t="str">
        <f>HYPERLINK("https://audio.iskcondesiretree.com/02_-_ISKCON_Swamis/ISKCON_Swamis_-_R_to_Y/His_Holiness_Radhanath_Swami/Lectures/00_-_Year_wise/Devotional_Nectar_-_1995/1995-058_Consciouness_Means_Krishna_Consciouness_SB-01_08_38_Mumbai_-_Radhanath_Swami_1995-03-12.mp3", "1995-058_Consciouness_Means_Krishna_Consciouness_SB-01_08_38_Mumbai_-_Radhanath_Swami_1995-03-12.mp3")</f>
        <v>1995-058_Consciouness_Means_Krishna_Consciouness_SB-01_08_38_Mumbai_-_Radhanath_Swami_1995-03-12.mp3</v>
      </c>
      <c r="D924" s="24"/>
      <c r="E924" s="24"/>
    </row>
    <row r="925">
      <c r="A925" s="25" t="s">
        <v>18352</v>
      </c>
      <c r="B925" s="25" t="s">
        <v>18359</v>
      </c>
      <c r="C925" s="26" t="str">
        <f>HYPERLINK("https://audio.iskcondesiretree.com/02_-_ISKCON_Swamis/ISKCON_Swamis_-_R_to_Y/His_Holiness_Radhanath_Swami/Lectures/00_-_Year_wise/Devotional_Nectar_-_1995/1995-059_Hari_Nama_Sankirtan_CC_ML-20_34_Mumbai_-_Radhanath_Swami_1995-03-12.mp3", "1995-059_Hari_Nama_Sankirtan_CC_ML-20_34_Mumbai_-_Radhanath_Swami_1995-03-12.mp3")</f>
        <v>1995-059_Hari_Nama_Sankirtan_CC_ML-20_34_Mumbai_-_Radhanath_Swami_1995-03-12.mp3</v>
      </c>
      <c r="D925" s="24"/>
      <c r="E925" s="24"/>
    </row>
    <row r="926">
      <c r="A926" s="25" t="s">
        <v>18352</v>
      </c>
      <c r="B926" s="25" t="s">
        <v>18359</v>
      </c>
      <c r="C926" s="26" t="str">
        <f>HYPERLINK("https://audio.iskcondesiretree.com/02_-_ISKCON_Swamis/ISKCON_Swamis_-_R_to_Y/His_Holiness_Radhanath_Swami/Lectures/00_-_Year_wise/Devotional_Nectar_-_1995/1995-060_Take_To_Bhakti_Now_Ht_-_BG-07_06_Mumbai_-_Radhanath_Swami_1995-03-12.mp3", "1995-060_Take_To_Bhakti_Now_Ht_-_BG-07_06_Mumbai_-_Radhanath_Swami_1995-03-12.mp3")</f>
        <v>1995-060_Take_To_Bhakti_Now_Ht_-_BG-07_06_Mumbai_-_Radhanath_Swami_1995-03-12.mp3</v>
      </c>
      <c r="D926" s="24"/>
      <c r="E926" s="24"/>
    </row>
    <row r="927">
      <c r="A927" s="25" t="s">
        <v>18352</v>
      </c>
      <c r="B927" s="25" t="s">
        <v>18359</v>
      </c>
      <c r="C927" s="26" t="str">
        <f>HYPERLINK("https://audio.iskcondesiretree.com/02_-_ISKCON_Swamis/ISKCON_Swamis_-_R_to_Y/His_Holiness_Radhanath_Swami/Lectures/00_-_Year_wise/Devotional_Nectar_-_1995/1995-061_incomplete_lec_Madhavendra_Puri_%26_Gopal_Nathji_Lecture_Mumbai_-_14-03-95_IDesireTree.mp3", "1995-061_incomplete_lec_Madhavendra_Puri_%26_Gopal_Nathji_Lecture_Mumbai_-_14-03-95_IDesireTree.mp3")</f>
        <v>1995-061_incomplete_lec_Madhavendra_Puri_%26_Gopal_Nathji_Lecture_Mumbai_-_14-03-95_IDesireTree.mp3</v>
      </c>
      <c r="D927" s="24"/>
      <c r="E927" s="24"/>
    </row>
    <row r="928">
      <c r="A928" s="25" t="s">
        <v>18352</v>
      </c>
      <c r="B928" s="25" t="s">
        <v>18359</v>
      </c>
      <c r="C928" s="26" t="str">
        <f>HYPERLINK("https://audio.iskcondesiretree.com/02_-_ISKCON_Swamis/ISKCON_Swamis_-_R_to_Y/His_Holiness_Radhanath_Swami/Lectures/00_-_Year_wise/Devotional_Nectar_-_1995/1995-062_Merciful_Of_All_Incarnations_Ht_-_BG-04_06_Mumbai_-_Radhanath_Swami_1996-03-15.mp3", "1995-062_Merciful_Of_All_Incarnations_Ht_-_BG-04_06_Mumbai_-_Radhanath_Swami_1996-03-15.mp3")</f>
        <v>1995-062_Merciful_Of_All_Incarnations_Ht_-_BG-04_06_Mumbai_-_Radhanath_Swami_1996-03-15.mp3</v>
      </c>
      <c r="D928" s="24"/>
      <c r="E928" s="24"/>
    </row>
    <row r="929">
      <c r="A929" s="25" t="s">
        <v>18352</v>
      </c>
      <c r="B929" s="25" t="s">
        <v>18359</v>
      </c>
      <c r="C929" s="26" t="str">
        <f>HYPERLINK("https://audio.iskcondesiretree.com/02_-_ISKCON_Swamis/ISKCON_Swamis_-_R_to_Y/His_Holiness_Radhanath_Swami/Lectures/00_-_Year_wise/Devotional_Nectar_-_1995/1995-063_Initiation_Lecture_Lecture_Mumbai_-_Radhanath_Swami_1995-03-17.mp3", "1995-063_Initiation_Lecture_Lecture_Mumbai_-_Radhanath_Swami_1995-03-17.mp3")</f>
        <v>1995-063_Initiation_Lecture_Lecture_Mumbai_-_Radhanath_Swami_1995-03-17.mp3</v>
      </c>
      <c r="D929" s="24"/>
      <c r="E929" s="24"/>
    </row>
    <row r="930">
      <c r="A930" s="25" t="s">
        <v>18352</v>
      </c>
      <c r="B930" s="25" t="s">
        <v>18359</v>
      </c>
      <c r="C930" s="26" t="str">
        <f>HYPERLINK("https://audio.iskcondesiretree.com/02_-_ISKCON_Swamis/ISKCON_Swamis_-_R_to_Y/His_Holiness_Radhanath_Swami/Lectures/00_-_Year_wise/Devotional_Nectar_-_1995/1995-064_Prabhupada_Pastimes_Lecture_Mumbai_-_Radhanath_Swami_1995-03-18.mp3", "1995-064_Prabhupada_Pastimes_Lecture_Mumbai_-_Radhanath_Swami_1995-03-18.mp3")</f>
        <v>1995-064_Prabhupada_Pastimes_Lecture_Mumbai_-_Radhanath_Swami_1995-03-18.mp3</v>
      </c>
      <c r="D930" s="24"/>
      <c r="E930" s="24"/>
    </row>
    <row r="931">
      <c r="A931" s="25" t="s">
        <v>18352</v>
      </c>
      <c r="B931" s="25" t="s">
        <v>18359</v>
      </c>
      <c r="C931" s="26" t="str">
        <f>HYPERLINK("https://audio.iskcondesiretree.com/02_-_ISKCON_Swamis/ISKCON_Swamis_-_R_to_Y/His_Holiness_Radhanath_Swami/Lectures/00_-_Year_wise/Devotional_Nectar_-_1995/1995-065_Initiation_Lecture_Lecture_Mumbai_-_Radhanath_Swami_1995-03-18.mp3", "1995-065_Initiation_Lecture_Lecture_Mumbai_-_Radhanath_Swami_1995-03-18.mp3")</f>
        <v>1995-065_Initiation_Lecture_Lecture_Mumbai_-_Radhanath_Swami_1995-03-18.mp3</v>
      </c>
      <c r="D931" s="24"/>
      <c r="E931" s="24"/>
    </row>
    <row r="932">
      <c r="A932" s="25" t="s">
        <v>18352</v>
      </c>
      <c r="B932" s="25" t="s">
        <v>18359</v>
      </c>
      <c r="C932" s="26" t="str">
        <f>HYPERLINK("https://audio.iskcondesiretree.com/02_-_ISKCON_Swamis/ISKCON_Swamis_-_R_to_Y/His_Holiness_Radhanath_Swami/Lectures/00_-_Year_wise/Devotional_Nectar_-_1995/1995-066_Pastimes_Of_Nimai_Lecture_Mumbai_-_Radhanath_Swami_1995-03-19.mp3", "1995-066_Pastimes_Of_Nimai_Lecture_Mumbai_-_Radhanath_Swami_1995-03-19.mp3")</f>
        <v>1995-066_Pastimes_Of_Nimai_Lecture_Mumbai_-_Radhanath_Swami_1995-03-19.mp3</v>
      </c>
      <c r="D932" s="24"/>
      <c r="E932" s="24"/>
    </row>
    <row r="933">
      <c r="A933" s="25" t="s">
        <v>18352</v>
      </c>
      <c r="B933" s="25" t="s">
        <v>18359</v>
      </c>
      <c r="C933" s="26" t="str">
        <f>HYPERLINK("https://audio.iskcondesiretree.com/02_-_ISKCON_Swamis/ISKCON_Swamis_-_R_to_Y/His_Holiness_Radhanath_Swami/Lectures/00_-_Year_wise/Devotional_Nectar_-_1995/1995-067_Prabhupada_Night_Lecture_Mumbai_-_Radhanath_Swami_1995-03-23.mp3", "1995-067_Prabhupada_Night_Lecture_Mumbai_-_Radhanath_Swami_1995-03-23.mp3")</f>
        <v>1995-067_Prabhupada_Night_Lecture_Mumbai_-_Radhanath_Swami_1995-03-23.mp3</v>
      </c>
      <c r="D933" s="24"/>
      <c r="E933" s="24"/>
    </row>
    <row r="934">
      <c r="A934" s="25" t="s">
        <v>18352</v>
      </c>
      <c r="B934" s="25" t="s">
        <v>18359</v>
      </c>
      <c r="C934" s="26" t="str">
        <f>HYPERLINK("https://audio.iskcondesiretree.com/02_-_ISKCON_Swamis/ISKCON_Swamis_-_R_to_Y/His_Holiness_Radhanath_Swami/Lectures/00_-_Year_wise/Devotional_Nectar_-_1995/1995-068_Understanding_Kurukshetra_And_Gita_Lecture_Kurukshetra_-_Radhanath_Swami_1995-03-24.mp3", "1995-068_Understanding_Kurukshetra_And_Gita_Lecture_Kurukshetra_-_Radhanath_Swami_1995-03-24.mp3")</f>
        <v>1995-068_Understanding_Kurukshetra_And_Gita_Lecture_Kurukshetra_-_Radhanath_Swami_1995-03-24.mp3</v>
      </c>
      <c r="D934" s="24"/>
      <c r="E934" s="24"/>
    </row>
    <row r="935">
      <c r="A935" s="25" t="s">
        <v>18352</v>
      </c>
      <c r="B935" s="25" t="s">
        <v>18359</v>
      </c>
      <c r="C935" s="26" t="str">
        <f>HYPERLINK("https://audio.iskcondesiretree.com/02_-_ISKCON_Swamis/ISKCON_Swamis_-_R_to_Y/His_Holiness_Radhanath_Swami/Lectures/00_-_Year_wise/Devotional_Nectar_-_1995/1995-069_Lord_Jaganatha_Ratha_Yatra_SB-02_09_36_Kurukshetra_-_Radhanath_Swami_1995-03-25.mp3", "1995-069_Lord_Jaganatha_Ratha_Yatra_SB-02_09_36_Kurukshetra_-_Radhanath_Swami_1995-03-25.mp3")</f>
        <v>1995-069_Lord_Jaganatha_Ratha_Yatra_SB-02_09_36_Kurukshetra_-_Radhanath_Swami_1995-03-25.mp3</v>
      </c>
      <c r="D935" s="24"/>
      <c r="E935" s="24"/>
    </row>
    <row r="936">
      <c r="A936" s="25" t="s">
        <v>18352</v>
      </c>
      <c r="B936" s="25" t="s">
        <v>18359</v>
      </c>
      <c r="C936" s="26" t="str">
        <f>HYPERLINK("https://audio.iskcondesiretree.com/02_-_ISKCON_Swamis/ISKCON_Swamis_-_R_to_Y/His_Holiness_Radhanath_Swami/Lectures/00_-_Year_wise/Devotional_Nectar_-_1995/1995-07-15_Various_-_Loving_Vaishnava_Relationships_Among_Family_in_Iskcon_-_RNS_Bhaktivedanta_Manor"&amp;".mp3", "1995-07-15_Various_-_Loving_Vaishnava_Relationships_Among_Family_in_Iskcon_-_RNS_Bhaktivedanta_Manor.mp3")</f>
        <v>1995-07-15_Various_-_Loving_Vaishnava_Relationships_Among_Family_in_Iskcon_-_RNS_Bhaktivedanta_Manor.mp3</v>
      </c>
      <c r="D936" s="24"/>
      <c r="E936" s="24"/>
    </row>
    <row r="937">
      <c r="A937" s="25" t="s">
        <v>18352</v>
      </c>
      <c r="B937" s="25" t="s">
        <v>18359</v>
      </c>
      <c r="C937" s="26" t="str">
        <f>HYPERLINK("https://audio.iskcondesiretree.com/02_-_ISKCON_Swamis/ISKCON_Swamis_-_R_to_Y/His_Holiness_Radhanath_Swami/Lectures/00_-_Year_wise/Devotional_Nectar_-_1995/1995-070_Glorification_Of_Srila_Prabhupada_Lecture_Kurukshetra_-_Radhanath_Swami_1995-03-26.mp3", "1995-070_Glorification_Of_Srila_Prabhupada_Lecture_Kurukshetra_-_Radhanath_Swami_1995-03-26.mp3")</f>
        <v>1995-070_Glorification_Of_Srila_Prabhupada_Lecture_Kurukshetra_-_Radhanath_Swami_1995-03-26.mp3</v>
      </c>
      <c r="D937" s="24"/>
      <c r="E937" s="24"/>
    </row>
    <row r="938">
      <c r="A938" s="25" t="s">
        <v>18352</v>
      </c>
      <c r="B938" s="25" t="s">
        <v>18359</v>
      </c>
      <c r="C938" s="26" t="str">
        <f>HYPERLINK("https://audio.iskcondesiretree.com/02_-_ISKCON_Swamis/ISKCON_Swamis_-_R_to_Y/His_Holiness_Radhanath_Swami/Lectures/00_-_Year_wise/Devotional_Nectar_-_1995/1995-071_Material_Life_Means_Suffering_HT_-_BG-06_40_Kurukshetra_-_Radhanath_Swami_1995-03-27.mp3", "1995-071_Material_Life_Means_Suffering_HT_-_BG-06_40_Kurukshetra_-_Radhanath_Swami_1995-03-27.mp3")</f>
        <v>1995-071_Material_Life_Means_Suffering_HT_-_BG-06_40_Kurukshetra_-_Radhanath_Swami_1995-03-27.mp3</v>
      </c>
      <c r="D938" s="24"/>
      <c r="E938" s="24"/>
    </row>
    <row r="939">
      <c r="A939" s="25" t="s">
        <v>18352</v>
      </c>
      <c r="B939" s="25" t="s">
        <v>18359</v>
      </c>
      <c r="C939" s="26" t="str">
        <f>HYPERLINK("https://audio.iskcondesiretree.com/02_-_ISKCON_Swamis/ISKCON_Swamis_-_R_to_Y/His_Holiness_Radhanath_Swami/Lectures/00_-_Year_wise/Devotional_Nectar_-_1995/1995-072_Service_Attitude_Changes_Our_Stone_Like_Heart_Lecture_Kurukshetra_-_27-03-95_IDesireTree.mp"&amp;"3", "1995-072_Service_Attitude_Changes_Our_Stone_Like_Heart_Lecture_Kurukshetra_-_27-03-95_IDesireTree.mp3")</f>
        <v>1995-072_Service_Attitude_Changes_Our_Stone_Like_Heart_Lecture_Kurukshetra_-_27-03-95_IDesireTree.mp3</v>
      </c>
      <c r="D939" s="24"/>
      <c r="E939" s="24"/>
    </row>
    <row r="940">
      <c r="A940" s="25" t="s">
        <v>18352</v>
      </c>
      <c r="B940" s="25" t="s">
        <v>18359</v>
      </c>
      <c r="C940" s="26" t="str">
        <f>HYPERLINK("https://audio.iskcondesiretree.com/02_-_ISKCON_Swamis/ISKCON_Swamis_-_R_to_Y/His_Holiness_Radhanath_Swami/Lectures/00_-_Year_wise/Devotional_Nectar_-_1995/1995-073_How_The_Pandavas_Were_Protected_SB-01_09_02-03_Mumbai_-_30-03-95_IDesireTree.mp3", "1995-073_How_The_Pandavas_Were_Protected_SB-01_09_02-03_Mumbai_-_30-03-95_IDesireTree.mp3")</f>
        <v>1995-073_How_The_Pandavas_Were_Protected_SB-01_09_02-03_Mumbai_-_30-03-95_IDesireTree.mp3</v>
      </c>
      <c r="D940" s="24"/>
      <c r="E940" s="24"/>
    </row>
    <row r="941">
      <c r="A941" s="25" t="s">
        <v>18352</v>
      </c>
      <c r="B941" s="25" t="s">
        <v>18359</v>
      </c>
      <c r="C941" s="26" t="str">
        <f>HYPERLINK("https://audio.iskcondesiretree.com/02_-_ISKCON_Swamis/ISKCON_Swamis_-_R_to_Y/His_Holiness_Radhanath_Swami/Lectures/00_-_Year_wise/Devotional_Nectar_-_1995/1995-074_Rath_Yatra_CC_ML-13_03_Mumbai_-_Radhanath_Swami_1995-03-31_IDesireTree.mp3", "1995-074_Rath_Yatra_CC_ML-13_03_Mumbai_-_Radhanath_Swami_1995-03-31_IDesireTree.mp3")</f>
        <v>1995-074_Rath_Yatra_CC_ML-13_03_Mumbai_-_Radhanath_Swami_1995-03-31_IDesireTree.mp3</v>
      </c>
      <c r="D941" s="24"/>
      <c r="E941" s="24"/>
    </row>
    <row r="942">
      <c r="A942" s="25" t="s">
        <v>18352</v>
      </c>
      <c r="B942" s="25" t="s">
        <v>18359</v>
      </c>
      <c r="C942" s="26" t="str">
        <f>HYPERLINK("https://audio.iskcondesiretree.com/02_-_ISKCON_Swamis/ISKCON_Swamis_-_R_to_Y/His_Holiness_Radhanath_Swami/Lectures/00_-_Year_wise/Devotional_Nectar_-_1995/1995-075_Become_Humble_SB-01_09_04_Mumbai_-_01-04-95_IDesireTree.mp3", "1995-075_Become_Humble_SB-01_09_04_Mumbai_-_01-04-95_IDesireTree.mp3")</f>
        <v>1995-075_Become_Humble_SB-01_09_04_Mumbai_-_01-04-95_IDesireTree.mp3</v>
      </c>
      <c r="D942" s="24"/>
      <c r="E942" s="24"/>
    </row>
    <row r="943">
      <c r="A943" s="25" t="s">
        <v>18352</v>
      </c>
      <c r="B943" s="25" t="s">
        <v>18359</v>
      </c>
      <c r="C943" s="26" t="str">
        <f>HYPERLINK("https://audio.iskcondesiretree.com/02_-_ISKCON_Swamis/ISKCON_Swamis_-_R_to_Y/His_Holiness_Radhanath_Swami/Lectures/00_-_Year_wise/Devotional_Nectar_-_1995/1995-075_How_Krishna_Consciousness_Develops_Lecture_Mumbai_-_01-04-95_IDesireTree.mp3", "1995-075_How_Krishna_Consciousness_Develops_Lecture_Mumbai_-_01-04-95_IDesireTree.mp3")</f>
        <v>1995-075_How_Krishna_Consciousness_Develops_Lecture_Mumbai_-_01-04-95_IDesireTree.mp3</v>
      </c>
      <c r="D943" s="24"/>
      <c r="E943" s="24"/>
    </row>
    <row r="944">
      <c r="A944" s="25" t="s">
        <v>18352</v>
      </c>
      <c r="B944" s="25" t="s">
        <v>18359</v>
      </c>
      <c r="C944" s="26" t="str">
        <f>HYPERLINK("https://audio.iskcondesiretree.com/02_-_ISKCON_Swamis/ISKCON_Swamis_-_R_to_Y/His_Holiness_Radhanath_Swami/Lectures/00_-_Year_wise/Devotional_Nectar_-_1995/1995-076_Devotees_Desire-_Only_To_Serve_BG-12_17_Mumbai_-_02-04-95_new_IDesireTree.mp3", "1995-076_Devotees_Desire-_Only_To_Serve_BG-12_17_Mumbai_-_02-04-95_new_IDesireTree.mp3")</f>
        <v>1995-076_Devotees_Desire-_Only_To_Serve_BG-12_17_Mumbai_-_02-04-95_new_IDesireTree.mp3</v>
      </c>
      <c r="D944" s="24"/>
      <c r="E944" s="24"/>
    </row>
    <row r="945">
      <c r="A945" s="25" t="s">
        <v>18352</v>
      </c>
      <c r="B945" s="25" t="s">
        <v>18359</v>
      </c>
      <c r="C945" s="26" t="str">
        <f>HYPERLINK("https://audio.iskcondesiretree.com/02_-_ISKCON_Swamis/ISKCON_Swamis_-_R_to_Y/His_Holiness_Radhanath_Swami/Lectures/00_-_Year_wise/Devotional_Nectar_-_1995/1995-077_Question_And_Answer_Q%26A_Massorie_-_Radhanath_Swami_1995-04-06_IDesireTree.mp3", "1995-077_Question_And_Answer_Q%26A_Massorie_-_Radhanath_Swami_1995-04-06_IDesireTree.mp3")</f>
        <v>1995-077_Question_And_Answer_Q%26A_Massorie_-_Radhanath_Swami_1995-04-06_IDesireTree.mp3</v>
      </c>
      <c r="D945" s="24"/>
      <c r="E945" s="24"/>
    </row>
    <row r="946">
      <c r="A946" s="25" t="s">
        <v>18352</v>
      </c>
      <c r="B946" s="25" t="s">
        <v>18359</v>
      </c>
      <c r="C946" s="26" t="str">
        <f>HYPERLINK("https://audio.iskcondesiretree.com/02_-_ISKCON_Swamis/ISKCON_Swamis_-_R_to_Y/His_Holiness_Radhanath_Swami/Lectures/00_-_Year_wise/Devotional_Nectar_-_1995/1995-078_Developing_Krishna_Consciouness_SB-04_30_17-18_Delhi_-_06-05-95_IDesireTree.mp3", "1995-078_Developing_Krishna_Consciouness_SB-04_30_17-18_Delhi_-_06-05-95_IDesireTree.mp3")</f>
        <v>1995-078_Developing_Krishna_Consciouness_SB-04_30_17-18_Delhi_-_06-05-95_IDesireTree.mp3</v>
      </c>
      <c r="D946" s="24"/>
      <c r="E946" s="24"/>
    </row>
    <row r="947">
      <c r="A947" s="25" t="s">
        <v>18352</v>
      </c>
      <c r="B947" s="25" t="s">
        <v>18359</v>
      </c>
      <c r="C947" s="26" t="str">
        <f>HYPERLINK("https://audio.iskcondesiretree.com/02_-_ISKCON_Swamis/ISKCON_Swamis_-_R_to_Y/His_Holiness_Radhanath_Swami/Lectures/00_-_Year_wise/Devotional_Nectar_-_1995/1995-079_Arrival_Lecture_Lecture_Mumbai_-_Radhanath_Swami_1995-08-09_IDesireTree.mp3", "1995-079_Arrival_Lecture_Lecture_Mumbai_-_Radhanath_Swami_1995-08-09_IDesireTree.mp3")</f>
        <v>1995-079_Arrival_Lecture_Lecture_Mumbai_-_Radhanath_Swami_1995-08-09_IDesireTree.mp3</v>
      </c>
      <c r="D947" s="24"/>
      <c r="E947" s="24"/>
    </row>
    <row r="948">
      <c r="A948" s="25" t="s">
        <v>18352</v>
      </c>
      <c r="B948" s="25" t="s">
        <v>18359</v>
      </c>
      <c r="C948" s="26" t="str">
        <f>HYPERLINK("https://audio.iskcondesiretree.com/02_-_ISKCON_Swamis/ISKCON_Swamis_-_R_to_Y/His_Holiness_Radhanath_Swami/Lectures/00_-_Year_wise/Devotional_Nectar_-_1995/1995-080_Festival_Of_Jhulan_Yatra_Lecture_Mumbai_-_Radhanath_Swami_1995-08-09_IDesireTree.mp3", "1995-080_Festival_Of_Jhulan_Yatra_Lecture_Mumbai_-_Radhanath_Swami_1995-08-09_IDesireTree.mp3")</f>
        <v>1995-080_Festival_Of_Jhulan_Yatra_Lecture_Mumbai_-_Radhanath_Swami_1995-08-09_IDesireTree.mp3</v>
      </c>
      <c r="D948" s="24"/>
      <c r="E948" s="24"/>
    </row>
    <row r="949">
      <c r="A949" s="25" t="s">
        <v>18352</v>
      </c>
      <c r="B949" s="25" t="s">
        <v>18359</v>
      </c>
      <c r="C949" s="26" t="str">
        <f>HYPERLINK("https://audio.iskcondesiretree.com/02_-_ISKCON_Swamis/ISKCON_Swamis_-_R_to_Y/His_Holiness_Radhanath_Swami/Lectures/00_-_Year_wise/Devotional_Nectar_-_1995/1995-081_Leaders_Should_Be_Like_King_Shibi_SB-01_12_20_Mumbai_-_10-08-95_IDesireTree.mp3", "1995-081_Leaders_Should_Be_Like_King_Shibi_SB-01_12_20_Mumbai_-_10-08-95_IDesireTree.mp3")</f>
        <v>1995-081_Leaders_Should_Be_Like_King_Shibi_SB-01_12_20_Mumbai_-_10-08-95_IDesireTree.mp3</v>
      </c>
      <c r="D949" s="24"/>
      <c r="E949" s="24"/>
    </row>
    <row r="950">
      <c r="A950" s="25" t="s">
        <v>18352</v>
      </c>
      <c r="B950" s="25" t="s">
        <v>18359</v>
      </c>
      <c r="C950" s="26" t="str">
        <f>HYPERLINK("https://audio.iskcondesiretree.com/02_-_ISKCON_Swamis/ISKCON_Swamis_-_R_to_Y/His_Holiness_Radhanath_Swami/Lectures/00_-_Year_wise/Devotional_Nectar_-_1995/1995-082_Lord_Balaram%27s_Appearence_Day_SB-10_08_12_Mumbai_-_10-08-95_IDesireTree.mp3", "1995-082_Lord_Balaram%27s_Appearence_Day_SB-10_08_12_Mumbai_-_10-08-95_IDesireTree.mp3")</f>
        <v>1995-082_Lord_Balaram%27s_Appearence_Day_SB-10_08_12_Mumbai_-_10-08-95_IDesireTree.mp3</v>
      </c>
      <c r="D950" s="24"/>
      <c r="E950" s="24"/>
    </row>
    <row r="951">
      <c r="A951" s="25" t="s">
        <v>18352</v>
      </c>
      <c r="B951" s="25" t="s">
        <v>18359</v>
      </c>
      <c r="C951" s="26" t="str">
        <f>HYPERLINK("https://audio.iskcondesiretree.com/02_-_ISKCON_Swamis/ISKCON_Swamis_-_R_to_Y/His_Holiness_Radhanath_Swami/Lectures/00_-_Year_wise/Devotional_Nectar_-_1995/1995-083_Preaching_By_Our_Own_Actions_SB-07_10_39_Mumbai_-_12-08-95_IDesireTree.mp3", "1995-083_Preaching_By_Our_Own_Actions_SB-07_10_39_Mumbai_-_12-08-95_IDesireTree.mp3")</f>
        <v>1995-083_Preaching_By_Our_Own_Actions_SB-07_10_39_Mumbai_-_12-08-95_IDesireTree.mp3</v>
      </c>
      <c r="D951" s="24"/>
      <c r="E951" s="24"/>
    </row>
    <row r="952">
      <c r="A952" s="25" t="s">
        <v>18352</v>
      </c>
      <c r="B952" s="25" t="s">
        <v>18359</v>
      </c>
      <c r="C952" s="26" t="str">
        <f>HYPERLINK("https://audio.iskcondesiretree.com/02_-_ISKCON_Swamis/ISKCON_Swamis_-_R_to_Y/His_Holiness_Radhanath_Swami/Lectures/00_-_Year_wise/Devotional_Nectar_-_1995/1995-084_Fight_Against_Crisis_Of_Doubts_SB-01_12_21_Mumbai_-_13-08-95_IDesireTree.mp3", "1995-084_Fight_Against_Crisis_Of_Doubts_SB-01_12_21_Mumbai_-_13-08-95_IDesireTree.mp3")</f>
        <v>1995-084_Fight_Against_Crisis_Of_Doubts_SB-01_12_21_Mumbai_-_13-08-95_IDesireTree.mp3</v>
      </c>
      <c r="D952" s="24"/>
      <c r="E952" s="24"/>
    </row>
    <row r="953">
      <c r="A953" s="25" t="s">
        <v>18352</v>
      </c>
      <c r="B953" s="25" t="s">
        <v>18359</v>
      </c>
      <c r="C953" s="26" t="str">
        <f>HYPERLINK("https://audio.iskcondesiretree.com/02_-_ISKCON_Swamis/ISKCON_Swamis_-_R_to_Y/His_Holiness_Radhanath_Swami/Lectures/00_-_Year_wise/Devotional_Nectar_-_1995/1995-085_What_Is_Yukta_Vairagya_BG-03_06_Mumbai_-_Radhanath_Swami_1995-08-13_IDesireTree.mp3", "1995-085_What_Is_Yukta_Vairagya_BG-03_06_Mumbai_-_Radhanath_Swami_1995-08-13_IDesireTree.mp3")</f>
        <v>1995-085_What_Is_Yukta_Vairagya_BG-03_06_Mumbai_-_Radhanath_Swami_1995-08-13_IDesireTree.mp3</v>
      </c>
      <c r="D953" s="24"/>
      <c r="E953" s="24"/>
    </row>
    <row r="954">
      <c r="A954" s="25" t="s">
        <v>18352</v>
      </c>
      <c r="B954" s="25" t="s">
        <v>18359</v>
      </c>
      <c r="C954" s="26" t="str">
        <f>HYPERLINK("https://audio.iskcondesiretree.com/02_-_ISKCON_Swamis/ISKCON_Swamis_-_R_to_Y/His_Holiness_Radhanath_Swami/Lectures/00_-_Year_wise/Devotional_Nectar_-_1995/1995-086_Krishna_Is_Our_Only_Shelter_SB-01_12_23_Mumbai_-_Radhanath_Swami_1995-08-15_IDesireTree.mp3", "1995-086_Krishna_Is_Our_Only_Shelter_SB-01_12_23_Mumbai_-_Radhanath_Swami_1995-08-15_IDesireTree.mp3")</f>
        <v>1995-086_Krishna_Is_Our_Only_Shelter_SB-01_12_23_Mumbai_-_Radhanath_Swami_1995-08-15_IDesireTree.mp3</v>
      </c>
      <c r="D954" s="24"/>
      <c r="E954" s="24"/>
    </row>
    <row r="955">
      <c r="A955" s="25" t="s">
        <v>18352</v>
      </c>
      <c r="B955" s="25" t="s">
        <v>18359</v>
      </c>
      <c r="C955" s="26" t="str">
        <f>HYPERLINK("https://audio.iskcondesiretree.com/02_-_ISKCON_Swamis/ISKCON_Swamis_-_R_to_Y/His_Holiness_Radhanath_Swami/Lectures/00_-_Year_wise/Devotional_Nectar_-_1995/1995-087_Significance_Of_Krishna%27s_Appearance_Lecture_Mumbai_-_18-08-95_IDesireTree.mp3", "1995-087_Significance_Of_Krishna%27s_Appearance_Lecture_Mumbai_-_18-08-95_IDesireTree.mp3")</f>
        <v>1995-087_Significance_Of_Krishna%27s_Appearance_Lecture_Mumbai_-_18-08-95_IDesireTree.mp3</v>
      </c>
      <c r="D955" s="24"/>
      <c r="E955" s="24"/>
    </row>
    <row r="956">
      <c r="A956" s="25" t="s">
        <v>18352</v>
      </c>
      <c r="B956" s="25" t="s">
        <v>18359</v>
      </c>
      <c r="C956" s="26" t="str">
        <f>HYPERLINK("https://audio.iskcondesiretree.com/02_-_ISKCON_Swamis/ISKCON_Swamis_-_R_to_Y/His_Holiness_Radhanath_Swami/Lectures/00_-_Year_wise/Devotional_Nectar_-_1995/1995-088_Janmashtami_Katha_SB-10_01_16_Mumbai_-_Radhanath_Swami_1995-08-18_IDesireTree.mp3", "1995-088_Janmashtami_Katha_SB-10_01_16_Mumbai_-_Radhanath_Swami_1995-08-18_IDesireTree.mp3")</f>
        <v>1995-088_Janmashtami_Katha_SB-10_01_16_Mumbai_-_Radhanath_Swami_1995-08-18_IDesireTree.mp3</v>
      </c>
      <c r="D956" s="24"/>
      <c r="E956" s="24"/>
    </row>
    <row r="957">
      <c r="A957" s="25" t="s">
        <v>18352</v>
      </c>
      <c r="B957" s="25" t="s">
        <v>18359</v>
      </c>
      <c r="C957" s="26" t="str">
        <f>HYPERLINK("https://audio.iskcondesiretree.com/02_-_ISKCON_Swamis/ISKCON_Swamis_-_R_to_Y/His_Holiness_Radhanath_Swami/Lectures/00_-_Year_wise/Devotional_Nectar_-_1995/1995-089_Offring_To_Srila_Prabhupada_Lecture_Mumbai_-_Radhanath_Swami_1995-08-19_IDesireTree.mp3", "1995-089_Offring_To_Srila_Prabhupada_Lecture_Mumbai_-_Radhanath_Swami_1995-08-19_IDesireTree.mp3")</f>
        <v>1995-089_Offring_To_Srila_Prabhupada_Lecture_Mumbai_-_Radhanath_Swami_1995-08-19_IDesireTree.mp3</v>
      </c>
      <c r="D957" s="24"/>
      <c r="E957" s="24"/>
    </row>
    <row r="958">
      <c r="A958" s="25" t="s">
        <v>18352</v>
      </c>
      <c r="B958" s="25" t="s">
        <v>18359</v>
      </c>
      <c r="C958" s="26" t="str">
        <f>HYPERLINK("https://audio.iskcondesiretree.com/02_-_ISKCON_Swamis/ISKCON_Swamis_-_R_to_Y/His_Holiness_Radhanath_Swami/Lectures/00_-_Year_wise/Devotional_Nectar_-_1995/1995-090_What_To_Ask_From_Krishna_SB-01_02_07_Mumbai_-_Radhanath_Swami_1995-08-20_IDesireTree.mp3", "1995-090_What_To_Ask_From_Krishna_SB-01_02_07_Mumbai_-_Radhanath_Swami_1995-08-20_IDesireTree.mp3")</f>
        <v>1995-090_What_To_Ask_From_Krishna_SB-01_02_07_Mumbai_-_Radhanath_Swami_1995-08-20_IDesireTree.mp3</v>
      </c>
      <c r="D958" s="24"/>
      <c r="E958" s="24"/>
    </row>
    <row r="959">
      <c r="A959" s="25" t="s">
        <v>18352</v>
      </c>
      <c r="B959" s="25" t="s">
        <v>18359</v>
      </c>
      <c r="C959" s="26" t="str">
        <f>HYPERLINK("https://audio.iskcondesiretree.com/02_-_ISKCON_Swamis/ISKCON_Swamis_-_R_to_Y/His_Holiness_Radhanath_Swami/Lectures/00_-_Year_wise/Devotional_Nectar_-_1995/1995-091_Glories_Of_Srila_Prabhupada_Lecture_Mumbai_-_Radhanath_Swami_1995-08-20_IDesireTree.mp3", "1995-091_Glories_Of_Srila_Prabhupada_Lecture_Mumbai_-_Radhanath_Swami_1995-08-20_IDesireTree.mp3")</f>
        <v>1995-091_Glories_Of_Srila_Prabhupada_Lecture_Mumbai_-_Radhanath_Swami_1995-08-20_IDesireTree.mp3</v>
      </c>
      <c r="D959" s="24"/>
      <c r="E959" s="24"/>
    </row>
    <row r="960">
      <c r="A960" s="25" t="s">
        <v>18352</v>
      </c>
      <c r="B960" s="25" t="s">
        <v>18359</v>
      </c>
      <c r="C960" s="26" t="str">
        <f>HYPERLINK("https://audio.iskcondesiretree.com/02_-_ISKCON_Swamis/ISKCON_Swamis_-_R_to_Y/His_Holiness_Radhanath_Swami/Lectures/00_-_Year_wise/Devotional_Nectar_-_1995/1995-092_Krishna_Supreme_Source_Of_Everything_Ht_-_BG-07_07_Palghar_-_23-08-95_IDesireTree.mp3", "1995-092_Krishna_Supreme_Source_Of_Everything_Ht_-_BG-07_07_Palghar_-_23-08-95_IDesireTree.mp3")</f>
        <v>1995-092_Krishna_Supreme_Source_Of_Everything_Ht_-_BG-07_07_Palghar_-_23-08-95_IDesireTree.mp3</v>
      </c>
      <c r="D960" s="24"/>
      <c r="E960" s="24"/>
    </row>
    <row r="961">
      <c r="A961" s="25" t="s">
        <v>18352</v>
      </c>
      <c r="B961" s="25" t="s">
        <v>18359</v>
      </c>
      <c r="C961" s="26" t="str">
        <f>HYPERLINK("https://audio.iskcondesiretree.com/02_-_ISKCON_Swamis/ISKCON_Swamis_-_R_to_Y/His_Holiness_Radhanath_Swami/Lectures/00_-_Year_wise/Devotional_Nectar_-_1995/1995-093_Maharaj_Yudhisthir_Ideal_Leader_SB-01_12_34_Mumbai_-_25-08-95_IDesireTree.mp3", "1995-093_Maharaj_Yudhisthir_Ideal_Leader_SB-01_12_34_Mumbai_-_25-08-95_IDesireTree.mp3")</f>
        <v>1995-093_Maharaj_Yudhisthir_Ideal_Leader_SB-01_12_34_Mumbai_-_25-08-95_IDesireTree.mp3</v>
      </c>
      <c r="D961" s="24"/>
      <c r="E961" s="24"/>
    </row>
    <row r="962">
      <c r="A962" s="25" t="s">
        <v>18352</v>
      </c>
      <c r="B962" s="25" t="s">
        <v>18359</v>
      </c>
      <c r="C962" s="26" t="str">
        <f>HYPERLINK("https://audio.iskcondesiretree.com/02_-_ISKCON_Swamis/ISKCON_Swamis_-_R_to_Y/His_Holiness_Radhanath_Swami/Lectures/00_-_Year_wise/Devotional_Nectar_-_1995/1995-094_Krishna_Is_Realised_Gradually_SB-02_04_06_Mumbai_-_25-08-95_IDesireTree.mp3", "1995-094_Krishna_Is_Realised_Gradually_SB-02_04_06_Mumbai_-_25-08-95_IDesireTree.mp3")</f>
        <v>1995-094_Krishna_Is_Realised_Gradually_SB-02_04_06_Mumbai_-_25-08-95_IDesireTree.mp3</v>
      </c>
      <c r="D962" s="24"/>
      <c r="E962" s="24"/>
    </row>
    <row r="963">
      <c r="A963" s="25" t="s">
        <v>18352</v>
      </c>
      <c r="B963" s="25" t="s">
        <v>18359</v>
      </c>
      <c r="C963" s="26" t="str">
        <f>HYPERLINK("https://audio.iskcondesiretree.com/02_-_ISKCON_Swamis/ISKCON_Swamis_-_R_to_Y/His_Holiness_Radhanath_Swami/Lectures/00_-_Year_wise/Devotional_Nectar_-_1995/1995-095_Always_Glorify_Devotees_BG-10_09_Mumbai_-_Radhanath_Swami_1995-08-29_IDesireTree.mp3", "1995-095_Always_Glorify_Devotees_BG-10_09_Mumbai_-_Radhanath_Swami_1995-08-29_IDesireTree.mp3")</f>
        <v>1995-095_Always_Glorify_Devotees_BG-10_09_Mumbai_-_Radhanath_Swami_1995-08-29_IDesireTree.mp3</v>
      </c>
      <c r="D963" s="24"/>
      <c r="E963" s="24"/>
    </row>
    <row r="964">
      <c r="A964" s="25" t="s">
        <v>18352</v>
      </c>
      <c r="B964" s="25" t="s">
        <v>18359</v>
      </c>
      <c r="C964" s="26" t="str">
        <f>HYPERLINK("https://audio.iskcondesiretree.com/02_-_ISKCON_Swamis/ISKCON_Swamis_-_R_to_Y/His_Holiness_Radhanath_Swami/Lectures/00_-_Year_wise/Devotional_Nectar_-_1995/1995-096_Greatness_Of_Yamaraj_And_Vidura_SB-01_13_01_Mumbai_-_29-08-95_IDesireTree.mp3", "1995-096_Greatness_Of_Yamaraj_And_Vidura_SB-01_13_01_Mumbai_-_29-08-95_IDesireTree.mp3")</f>
        <v>1995-096_Greatness_Of_Yamaraj_And_Vidura_SB-01_13_01_Mumbai_-_29-08-95_IDesireTree.mp3</v>
      </c>
      <c r="D964" s="24"/>
      <c r="E964" s="24"/>
    </row>
    <row r="965">
      <c r="A965" s="25" t="s">
        <v>18352</v>
      </c>
      <c r="B965" s="25" t="s">
        <v>18359</v>
      </c>
      <c r="C965" s="26" t="str">
        <f>HYPERLINK("https://audio.iskcondesiretree.com/02_-_ISKCON_Swamis/ISKCON_Swamis_-_R_to_Y/His_Holiness_Radhanath_Swami/Lectures/00_-_Year_wise/Devotional_Nectar_-_1995/1995-097_Importance_Of_Disciplic_Succession_Lecture_Pune_-_30-08-95_IDesireTree.mp3", "1995-097_Importance_Of_Disciplic_Succession_Lecture_Pune_-_30-08-95_IDesireTree.mp3")</f>
        <v>1995-097_Importance_Of_Disciplic_Succession_Lecture_Pune_-_30-08-95_IDesireTree.mp3</v>
      </c>
      <c r="D965" s="24"/>
      <c r="E965" s="24"/>
    </row>
    <row r="966">
      <c r="A966" s="25" t="s">
        <v>18352</v>
      </c>
      <c r="B966" s="25" t="s">
        <v>18359</v>
      </c>
      <c r="C966" s="26" t="str">
        <f>HYPERLINK("https://audio.iskcondesiretree.com/02_-_ISKCON_Swamis/ISKCON_Swamis_-_R_to_Y/His_Holiness_Radhanath_Swami/Lectures/00_-_Year_wise/Devotional_Nectar_-_1995/1995-098_More_You_Enjoy_More_You_Suffer_SB-08_07_39_Pune_-_30-08-95_IDesireTree.mp3", "1995-098_More_You_Enjoy_More_You_Suffer_SB-08_07_39_Pune_-_30-08-95_IDesireTree.mp3")</f>
        <v>1995-098_More_You_Enjoy_More_You_Suffer_SB-08_07_39_Pune_-_30-08-95_IDesireTree.mp3</v>
      </c>
      <c r="D966" s="24"/>
      <c r="E966" s="24"/>
    </row>
    <row r="967">
      <c r="A967" s="25" t="s">
        <v>18352</v>
      </c>
      <c r="B967" s="25" t="s">
        <v>18359</v>
      </c>
      <c r="C967" s="26" t="str">
        <f>HYPERLINK("https://audio.iskcondesiretree.com/02_-_ISKCON_Swamis/ISKCON_Swamis_-_R_to_Y/His_Holiness_Radhanath_Swami/Lectures/00_-_Year_wise/Devotional_Nectar_-_1995/1995-099_Be_Determined_In_Devotional_Service_SB-04_11_02_Pune_-_31-08-95_IDesireTree.mp3", "1995-099_Be_Determined_In_Devotional_Service_SB-04_11_02_Pune_-_31-08-95_IDesireTree.mp3")</f>
        <v>1995-099_Be_Determined_In_Devotional_Service_SB-04_11_02_Pune_-_31-08-95_IDesireTree.mp3</v>
      </c>
      <c r="D967" s="24"/>
      <c r="E967" s="24"/>
    </row>
    <row r="968">
      <c r="A968" s="25" t="s">
        <v>18352</v>
      </c>
      <c r="B968" s="25" t="s">
        <v>18359</v>
      </c>
      <c r="C968" s="26" t="str">
        <f>HYPERLINK("https://audio.iskcondesiretree.com/02_-_ISKCON_Swamis/ISKCON_Swamis_-_R_to_Y/His_Holiness_Radhanath_Swami/Lectures/00_-_Year_wise/Devotional_Nectar_-_1995/1995-100_Gita-_Practical_Way_OF_Life_HT_-_BG-03_30_Pune_-_Radhanath_Swami_1995-08-31_IDesireTree.mp3", "1995-100_Gita-_Practical_Way_OF_Life_HT_-_BG-03_30_Pune_-_Radhanath_Swami_1995-08-31_IDesireTree.mp3")</f>
        <v>1995-100_Gita-_Practical_Way_OF_Life_HT_-_BG-03_30_Pune_-_Radhanath_Swami_1995-08-31_IDesireTree.mp3</v>
      </c>
      <c r="D968" s="24"/>
      <c r="E968" s="24"/>
    </row>
    <row r="969">
      <c r="A969" s="25" t="s">
        <v>18352</v>
      </c>
      <c r="B969" s="25" t="s">
        <v>18359</v>
      </c>
      <c r="C969" s="26" t="str">
        <f>HYPERLINK("https://audio.iskcondesiretree.com/02_-_ISKCON_Swamis/ISKCON_Swamis_-_R_to_Y/His_Holiness_Radhanath_Swami/Lectures/00_-_Year_wise/Devotional_Nectar_-_1995/1995-101_Discussion_On_Shiva_%26_Past_Life_Of_Radhanath_Swami_Lecture_Pune_-_01-09-95_IDesireTree.mp"&amp;"3", "1995-101_Discussion_On_Shiva_%26_Past_Life_Of_Radhanath_Swami_Lecture_Pune_-_01-09-95_IDesireTree.mp3")</f>
        <v>1995-101_Discussion_On_Shiva_%26_Past_Life_Of_Radhanath_Swami_Lecture_Pune_-_01-09-95_IDesireTree.mp3</v>
      </c>
      <c r="D969" s="24"/>
      <c r="E969" s="24"/>
    </row>
    <row r="970">
      <c r="A970" s="25" t="s">
        <v>18352</v>
      </c>
      <c r="B970" s="25" t="s">
        <v>18359</v>
      </c>
      <c r="C970" s="26" t="str">
        <f>HYPERLINK("https://audio.iskcondesiretree.com/02_-_ISKCON_Swamis/ISKCON_Swamis_-_R_to_Y/His_Holiness_Radhanath_Swami/Lectures/00_-_Year_wise/Devotional_Nectar_-_1995/1995-102_Srimati_Radharani-_Embodiment_Of_Devotion_CC_Adi-04_68-69_Mumbai_-_02-09-95_IDesireTree.mp3", "1995-102_Srimati_Radharani-_Embodiment_Of_Devotion_CC_Adi-04_68-69_Mumbai_-_02-09-95_IDesireTree.mp3")</f>
        <v>1995-102_Srimati_Radharani-_Embodiment_Of_Devotion_CC_Adi-04_68-69_Mumbai_-_02-09-95_IDesireTree.mp3</v>
      </c>
      <c r="D970" s="24"/>
      <c r="E970" s="24"/>
    </row>
    <row r="971">
      <c r="A971" s="25" t="s">
        <v>18352</v>
      </c>
      <c r="B971" s="25" t="s">
        <v>18359</v>
      </c>
      <c r="C971" s="26" t="str">
        <f>HYPERLINK("https://audio.iskcondesiretree.com/02_-_ISKCON_Swamis/ISKCON_Swamis_-_R_to_Y/His_Holiness_Radhanath_Swami/Lectures/00_-_Year_wise/Devotional_Nectar_-_1995/1995-103_Gopis_Are_Supreme_Devotees_BG-12_20_Mumbai_-_Radhanath_Swami_1995-09-03_IDesireTree.mp3", "1995-103_Gopis_Are_Supreme_Devotees_BG-12_20_Mumbai_-_Radhanath_Swami_1995-09-03_IDesireTree.mp3")</f>
        <v>1995-103_Gopis_Are_Supreme_Devotees_BG-12_20_Mumbai_-_Radhanath_Swami_1995-09-03_IDesireTree.mp3</v>
      </c>
      <c r="D971" s="24"/>
      <c r="E971" s="24"/>
    </row>
    <row r="972">
      <c r="A972" s="25" t="s">
        <v>18352</v>
      </c>
      <c r="B972" s="25" t="s">
        <v>18359</v>
      </c>
      <c r="C972" s="26" t="str">
        <f>HYPERLINK("https://audio.iskcondesiretree.com/02_-_ISKCON_Swamis/ISKCON_Swamis_-_R_to_Y/His_Holiness_Radhanath_Swami/Lectures/00_-_Year_wise/Devotional_Nectar_-_1995/1995-104_How_To_Welcome_Devotees_SB-01_13_09_Mumbai_-_Radhanath_Swami_1995-09-05_IDesireTree.mp3", "1995-104_How_To_Welcome_Devotees_SB-01_13_09_Mumbai_-_Radhanath_Swami_1995-09-05_IDesireTree.mp3")</f>
        <v>1995-104_How_To_Welcome_Devotees_SB-01_13_09_Mumbai_-_Radhanath_Swami_1995-09-05_IDesireTree.mp3</v>
      </c>
      <c r="D972" s="24"/>
      <c r="E972" s="24"/>
    </row>
    <row r="973">
      <c r="A973" s="25" t="s">
        <v>18352</v>
      </c>
      <c r="B973" s="25" t="s">
        <v>18359</v>
      </c>
      <c r="C973" s="26" t="str">
        <f>HYPERLINK("https://audio.iskcondesiretree.com/02_-_ISKCON_Swamis/ISKCON_Swamis_-_R_to_Y/His_Holiness_Radhanath_Swami/Lectures/00_-_Year_wise/Devotional_Nectar_-_1995/1995-105_Mahamaya_And_Yogamaya_BG-13_31-32_Mumbai_-_Radhanath_Swami_1995-09-15_IDesireTree.mp3", "1995-105_Mahamaya_And_Yogamaya_BG-13_31-32_Mumbai_-_Radhanath_Swami_1995-09-15_IDesireTree.mp3")</f>
        <v>1995-105_Mahamaya_And_Yogamaya_BG-13_31-32_Mumbai_-_Radhanath_Swami_1995-09-15_IDesireTree.mp3</v>
      </c>
      <c r="D973" s="24"/>
      <c r="E973" s="24"/>
    </row>
    <row r="974">
      <c r="A974" s="25" t="s">
        <v>18352</v>
      </c>
      <c r="B974" s="25" t="s">
        <v>18359</v>
      </c>
      <c r="C974" s="26" t="str">
        <f>HYPERLINK("https://audio.iskcondesiretree.com/02_-_ISKCON_Swamis/ISKCON_Swamis_-_R_to_Y/His_Holiness_Radhanath_Swami/Lectures/00_-_Year_wise/Devotional_Nectar_-_1995/1995-106_Story_Of_Chand_Kazi_BG-12_08_Mumbai_-_Radhanath_Swami_1995-09-17_IDesireTree.mp3", "1995-106_Story_Of_Chand_Kazi_BG-12_08_Mumbai_-_Radhanath_Swami_1995-09-17_IDesireTree.mp3")</f>
        <v>1995-106_Story_Of_Chand_Kazi_BG-12_08_Mumbai_-_Radhanath_Swami_1995-09-17_IDesireTree.mp3</v>
      </c>
      <c r="D974" s="24"/>
      <c r="E974" s="24"/>
    </row>
    <row r="975">
      <c r="A975" s="25" t="s">
        <v>18352</v>
      </c>
      <c r="B975" s="25" t="s">
        <v>18359</v>
      </c>
      <c r="C975" s="26" t="str">
        <f>HYPERLINK("https://audio.iskcondesiretree.com/02_-_ISKCON_Swamis/ISKCON_Swamis_-_R_to_Y/His_Holiness_Radhanath_Swami/Lectures/00_-_Year_wise/Devotional_Nectar_-_1995/1995-107_Materialistic_People_Material_Desire_SB-01_13_27_Mumbai_-_23-09-95_IDesireTree.mp3", "1995-107_Materialistic_People_Material_Desire_SB-01_13_27_Mumbai_-_23-09-95_IDesireTree.mp3")</f>
        <v>1995-107_Materialistic_People_Material_Desire_SB-01_13_27_Mumbai_-_23-09-95_IDesireTree.mp3</v>
      </c>
      <c r="D975" s="24"/>
      <c r="E975" s="24"/>
    </row>
    <row r="976">
      <c r="A976" s="25" t="s">
        <v>18352</v>
      </c>
      <c r="B976" s="25" t="s">
        <v>18359</v>
      </c>
      <c r="C976" s="26" t="str">
        <f>HYPERLINK("https://audio.iskcondesiretree.com/02_-_ISKCON_Swamis/ISKCON_Swamis_-_R_to_Y/His_Holiness_Radhanath_Swami/Lectures/00_-_Year_wise/Devotional_Nectar_-_1995/1995-108_Aspiring_For_Service_BG-02-52_Mumbai_-_Radhanath_Swami_1995-09-24_IDesireTree.mp3", "1995-108_Aspiring_For_Service_BG-02-52_Mumbai_-_Radhanath_Swami_1995-09-24_IDesireTree.mp3")</f>
        <v>1995-108_Aspiring_For_Service_BG-02-52_Mumbai_-_Radhanath_Swami_1995-09-24_IDesireTree.mp3</v>
      </c>
      <c r="D976" s="24"/>
      <c r="E976" s="24"/>
    </row>
    <row r="977">
      <c r="A977" s="25" t="s">
        <v>18352</v>
      </c>
      <c r="B977" s="25" t="s">
        <v>18359</v>
      </c>
      <c r="C977" s="26" t="str">
        <f>HYPERLINK("https://audio.iskcondesiretree.com/02_-_ISKCON_Swamis/ISKCON_Swamis_-_R_to_Y/His_Holiness_Radhanath_Swami/Lectures/00_-_Year_wise/Devotional_Nectar_-_1995/1995-109_Lust_Greatest_Bondage_SB-07_06_17-18_Delhi_-_Radhanath_Swami_1995-09-29_IDesireTree.mp3", "1995-109_Lust_Greatest_Bondage_SB-07_06_17-18_Delhi_-_Radhanath_Swami_1995-09-29_IDesireTree.mp3")</f>
        <v>1995-109_Lust_Greatest_Bondage_SB-07_06_17-18_Delhi_-_Radhanath_Swami_1995-09-29_IDesireTree.mp3</v>
      </c>
      <c r="D977" s="24"/>
      <c r="E977" s="24"/>
    </row>
    <row r="978">
      <c r="A978" s="25" t="s">
        <v>18352</v>
      </c>
      <c r="B978" s="25" t="s">
        <v>18359</v>
      </c>
      <c r="C978" s="26" t="str">
        <f>HYPERLINK("https://audio.iskcondesiretree.com/02_-_ISKCON_Swamis/ISKCON_Swamis_-_R_to_Y/His_Holiness_Radhanath_Swami/Lectures/00_-_Year_wise/Devotional_Nectar_-_1995/1995-110_Question_And_Answers_Q%26A_Mumbai_-_Radhanath_Swami_1995-09-30_IDesireTree.mp3", "1995-110_Question_And_Answers_Q%26A_Mumbai_-_Radhanath_Swami_1995-09-30_IDesireTree.mp3")</f>
        <v>1995-110_Question_And_Answers_Q%26A_Mumbai_-_Radhanath_Swami_1995-09-30_IDesireTree.mp3</v>
      </c>
      <c r="D978" s="24"/>
      <c r="E978" s="24"/>
    </row>
    <row r="979">
      <c r="A979" s="25" t="s">
        <v>18352</v>
      </c>
      <c r="B979" s="25" t="s">
        <v>18359</v>
      </c>
      <c r="C979" s="26" t="str">
        <f>HYPERLINK("https://audio.iskcondesiretree.com/02_-_ISKCON_Swamis/ISKCON_Swamis_-_R_to_Y/His_Holiness_Radhanath_Swami/Lectures/00_-_Year_wise/Devotional_Nectar_-_1995/1995-112_Instructions_Of_Lord_Rishabhdev_SB-05_05_03_Mumbai_-_01-10-95_IDesireTree.mp3", "1995-112_Instructions_Of_Lord_Rishabhdev_SB-05_05_03_Mumbai_-_01-10-95_IDesireTree.mp3")</f>
        <v>1995-112_Instructions_Of_Lord_Rishabhdev_SB-05_05_03_Mumbai_-_01-10-95_IDesireTree.mp3</v>
      </c>
      <c r="D979" s="24"/>
      <c r="E979" s="24"/>
    </row>
    <row r="980">
      <c r="A980" s="25" t="s">
        <v>18352</v>
      </c>
      <c r="B980" s="25" t="s">
        <v>18359</v>
      </c>
      <c r="C980" s="26" t="str">
        <f>HYPERLINK("https://audio.iskcondesiretree.com/02_-_ISKCON_Swamis/ISKCON_Swamis_-_R_to_Y/His_Holiness_Radhanath_Swami/Lectures/00_-_Year_wise/Devotional_Nectar_-_1995/1995-113_Four_Types_Of_Devotees_HT_-_BG-07_16_Mumbai_-_Radhanath_Swami_1995-10-02_IDesireTree.mp3", "1995-113_Four_Types_Of_Devotees_HT_-_BG-07_16_Mumbai_-_Radhanath_Swami_1995-10-02_IDesireTree.mp3")</f>
        <v>1995-113_Four_Types_Of_Devotees_HT_-_BG-07_16_Mumbai_-_Radhanath_Swami_1995-10-02_IDesireTree.mp3</v>
      </c>
      <c r="D980" s="24"/>
      <c r="E980" s="24"/>
    </row>
    <row r="981">
      <c r="A981" s="25" t="s">
        <v>18352</v>
      </c>
      <c r="B981" s="25" t="s">
        <v>18359</v>
      </c>
      <c r="C981" s="26" t="str">
        <f>HYPERLINK("https://audio.iskcondesiretree.com/02_-_ISKCON_Swamis/ISKCON_Swamis_-_R_to_Y/His_Holiness_Radhanath_Swami/Lectures/00_-_Year_wise/Devotional_Nectar_-_1995/1995-114_Pastimes_Of_Lord_Rama_SB-09_10_23_Mumbai_-_Radhanath_Swami_1995-10-03_IDesireTree.mp3", "1995-114_Pastimes_Of_Lord_Rama_SB-09_10_23_Mumbai_-_Radhanath_Swami_1995-10-03_IDesireTree.mp3")</f>
        <v>1995-114_Pastimes_Of_Lord_Rama_SB-09_10_23_Mumbai_-_Radhanath_Swami_1995-10-03_IDesireTree.mp3</v>
      </c>
      <c r="D981" s="24"/>
      <c r="E981" s="24"/>
    </row>
    <row r="982">
      <c r="A982" s="25" t="s">
        <v>18352</v>
      </c>
      <c r="B982" s="25" t="s">
        <v>18359</v>
      </c>
      <c r="C982" s="26" t="str">
        <f>HYPERLINK("https://audio.iskcondesiretree.com/02_-_ISKCON_Swamis/ISKCON_Swamis_-_R_to_Y/His_Holiness_Radhanath_Swami/Lectures/00_-_Year_wise/Devotional_Nectar_-_1995/1995-115_Raghunath_Das_Goswami_SB_Mumbai_-_Radhanath_Swami_1995-10-05_IDesireTree.mp3", "1995-115_Raghunath_Das_Goswami_SB_Mumbai_-_Radhanath_Swami_1995-10-05_IDesireTree.mp3")</f>
        <v>1995-115_Raghunath_Das_Goswami_SB_Mumbai_-_Radhanath_Swami_1995-10-05_IDesireTree.mp3</v>
      </c>
      <c r="D982" s="24"/>
      <c r="E982" s="24"/>
    </row>
    <row r="983">
      <c r="A983" s="25" t="s">
        <v>18352</v>
      </c>
      <c r="B983" s="25" t="s">
        <v>18359</v>
      </c>
      <c r="C983" s="26" t="str">
        <f>HYPERLINK("https://audio.iskcondesiretree.com/02_-_ISKCON_Swamis/ISKCON_Swamis_-_R_to_Y/His_Holiness_Radhanath_Swami/Lectures/00_-_Year_wise/Devotional_Nectar_-_1995/1995-116_Laws_Of_God_SB-01_13_42_Mumbai_-_Radhanath_Swami_1995-10-06_IDesireTree.mp3", "1995-116_Laws_Of_God_SB-01_13_42_Mumbai_-_Radhanath_Swami_1995-10-06_IDesireTree.mp3")</f>
        <v>1995-116_Laws_Of_God_SB-01_13_42_Mumbai_-_Radhanath_Swami_1995-10-06_IDesireTree.mp3</v>
      </c>
      <c r="D983" s="24"/>
      <c r="E983" s="24"/>
    </row>
    <row r="984">
      <c r="A984" s="25" t="s">
        <v>18352</v>
      </c>
      <c r="B984" s="25" t="s">
        <v>18359</v>
      </c>
      <c r="C984" s="26" t="str">
        <f>HYPERLINK("https://audio.iskcondesiretree.com/02_-_ISKCON_Swamis/ISKCON_Swamis_-_R_to_Y/His_Holiness_Radhanath_Swami/Lectures/00_-_Year_wise/Devotional_Nectar_-_1995/1995-117_Nature_Of_Material_Pleasure_BG-02_57_Mumbai_-_Radhanath_Swami_1995-10-07_IDesireTree.mp3", "1995-117_Nature_Of_Material_Pleasure_BG-02_57_Mumbai_-_Radhanath_Swami_1995-10-07_IDesireTree.mp3")</f>
        <v>1995-117_Nature_Of_Material_Pleasure_BG-02_57_Mumbai_-_Radhanath_Swami_1995-10-07_IDesireTree.mp3</v>
      </c>
      <c r="D984" s="24"/>
      <c r="E984" s="24"/>
    </row>
    <row r="985">
      <c r="A985" s="25" t="s">
        <v>18352</v>
      </c>
      <c r="B985" s="25" t="s">
        <v>18359</v>
      </c>
      <c r="C985" s="26" t="str">
        <f>HYPERLINK("https://audio.iskcondesiretree.com/02_-_ISKCON_Swamis/ISKCON_Swamis_-_R_to_Y/His_Holiness_Radhanath_Swami/Lectures/00_-_Year_wise/Devotional_Nectar_-_1995/1995-118_Childhood_Pastimes_Of_Krishna_BG-10_03_Mumbai_-_Radhanath_Swami_1995-10-08_IDesireTree.mp3", "1995-118_Childhood_Pastimes_Of_Krishna_BG-10_03_Mumbai_-_Radhanath_Swami_1995-10-08_IDesireTree.mp3")</f>
        <v>1995-118_Childhood_Pastimes_Of_Krishna_BG-10_03_Mumbai_-_Radhanath_Swami_1995-10-08_IDesireTree.mp3</v>
      </c>
      <c r="D985" s="24"/>
      <c r="E985" s="24"/>
    </row>
    <row r="986">
      <c r="A986" s="25" t="s">
        <v>18352</v>
      </c>
      <c r="B986" s="25" t="s">
        <v>18359</v>
      </c>
      <c r="C986" s="26" t="str">
        <f>HYPERLINK("https://audio.iskcondesiretree.com/02_-_ISKCON_Swamis/ISKCON_Swamis_-_R_to_Y/His_Holiness_Radhanath_Swami/Lectures/00_-_Year_wise/Devotional_Nectar_-_1995/1995-119_Sharad_Purnima_Lecture_Mumbai_-_Radhanath_Swami_1995-10-08_IDesireTree.mp3", "1995-119_Sharad_Purnima_Lecture_Mumbai_-_Radhanath_Swami_1995-10-08_IDesireTree.mp3")</f>
        <v>1995-119_Sharad_Purnima_Lecture_Mumbai_-_Radhanath_Swami_1995-10-08_IDesireTree.mp3</v>
      </c>
      <c r="D986" s="24"/>
      <c r="E986" s="24"/>
    </row>
    <row r="987">
      <c r="A987" s="25" t="s">
        <v>18352</v>
      </c>
      <c r="B987" s="25" t="s">
        <v>18359</v>
      </c>
      <c r="C987" s="26" t="str">
        <f>HYPERLINK("https://audio.iskcondesiretree.com/02_-_ISKCON_Swamis/ISKCON_Swamis_-_R_to_Y/His_Holiness_Radhanath_Swami/Lectures/00_-_Year_wise/Devotional_Nectar_-_1995/1995-120_Krishna_In_Form_Of_Kala_SB-01_13_49_Mumbai_-_Radhanath_Swami_1995-10-12_IDesireTree.mp3", "1995-120_Krishna_In_Form_Of_Kala_SB-01_13_49_Mumbai_-_Radhanath_Swami_1995-10-12_IDesireTree.mp3")</f>
        <v>1995-120_Krishna_In_Form_Of_Kala_SB-01_13_49_Mumbai_-_Radhanath_Swami_1995-10-12_IDesireTree.mp3</v>
      </c>
      <c r="D987" s="24"/>
      <c r="E987" s="24"/>
    </row>
    <row r="988">
      <c r="A988" s="25" t="s">
        <v>18352</v>
      </c>
      <c r="B988" s="25" t="s">
        <v>18359</v>
      </c>
      <c r="C988" s="26" t="str">
        <f>HYPERLINK("https://audio.iskcondesiretree.com/02_-_ISKCON_Swamis/ISKCON_Swamis_-_R_to_Y/His_Holiness_Radhanath_Swami/Lectures/00_-_Year_wise/Devotional_Nectar_-_1995/1995-121_Life_Of_Srila_Narottam_Das_Thakur_SB_Mumbai_-_Radhanath_Swami_1995-10-13_IDesireTree.mp3", "1995-121_Life_Of_Srila_Narottam_Das_Thakur_SB_Mumbai_-_Radhanath_Swami_1995-10-13_IDesireTree.mp3")</f>
        <v>1995-121_Life_Of_Srila_Narottam_Das_Thakur_SB_Mumbai_-_Radhanath_Swami_1995-10-13_IDesireTree.mp3</v>
      </c>
      <c r="D988" s="24"/>
      <c r="E988" s="24"/>
    </row>
    <row r="989">
      <c r="A989" s="25" t="s">
        <v>18352</v>
      </c>
      <c r="B989" s="25" t="s">
        <v>18359</v>
      </c>
      <c r="C989" s="26" t="str">
        <f>HYPERLINK("https://audio.iskcondesiretree.com/02_-_ISKCON_Swamis/ISKCON_Swamis_-_R_to_Y/His_Holiness_Radhanath_Swami/Lectures/00_-_Year_wise/Devotional_Nectar_-_1995/1995-122_Humility_Not_Pride_Can_Win_Krsna_SB-01_13_50_Mumbai_-_14-10-95_IDesireTree.mp3", "1995-122_Humility_Not_Pride_Can_Win_Krsna_SB-01_13_50_Mumbai_-_14-10-95_IDesireTree.mp3")</f>
        <v>1995-122_Humility_Not_Pride_Can_Win_Krsna_SB-01_13_50_Mumbai_-_14-10-95_IDesireTree.mp3</v>
      </c>
      <c r="D989" s="24"/>
      <c r="E989" s="24"/>
    </row>
    <row r="990">
      <c r="A990" s="25" t="s">
        <v>18352</v>
      </c>
      <c r="B990" s="25" t="s">
        <v>18359</v>
      </c>
      <c r="C990" s="26" t="str">
        <f>HYPERLINK("https://audio.iskcondesiretree.com/02_-_ISKCON_Swamis/ISKCON_Swamis_-_R_to_Y/His_Holiness_Radhanath_Swami/Lectures/00_-_Year_wise/Devotional_Nectar_-_1995/1995-123_Practical_Application_Of_Bhagavad_Gita_Lecture_Mumbai_-_14-10-95_new_IDesireTree.mp3", "1995-123_Practical_Application_Of_Bhagavad_Gita_Lecture_Mumbai_-_14-10-95_new_IDesireTree.mp3")</f>
        <v>1995-123_Practical_Application_Of_Bhagavad_Gita_Lecture_Mumbai_-_14-10-95_new_IDesireTree.mp3</v>
      </c>
      <c r="D990" s="24"/>
      <c r="E990" s="24"/>
    </row>
    <row r="991">
      <c r="A991" s="25" t="s">
        <v>18352</v>
      </c>
      <c r="B991" s="25" t="s">
        <v>18359</v>
      </c>
      <c r="C991" s="26" t="str">
        <f>HYPERLINK("https://audio.iskcondesiretree.com/02_-_ISKCON_Swamis/ISKCON_Swamis_-_R_to_Y/His_Holiness_Radhanath_Swami/Lectures/00_-_Year_wise/Devotional_Nectar_-_1995/1995-124_Appearance_Of_Radha_Kunda_CC_ML-08_08_Mumbai_-_Radhanath_Swami_1995-10-17_IDesireTree.mp3", "1995-124_Appearance_Of_Radha_Kunda_CC_ML-08_08_Mumbai_-_Radhanath_Swami_1995-10-17_IDesireTree.mp3")</f>
        <v>1995-124_Appearance_Of_Radha_Kunda_CC_ML-08_08_Mumbai_-_Radhanath_Swami_1995-10-17_IDesireTree.mp3</v>
      </c>
      <c r="D991" s="24"/>
      <c r="E991" s="24"/>
    </row>
    <row r="992">
      <c r="A992" s="25" t="s">
        <v>18352</v>
      </c>
      <c r="B992" s="25" t="s">
        <v>18359</v>
      </c>
      <c r="C992" s="26" t="str">
        <f>HYPERLINK("https://audio.iskcondesiretree.com/02_-_ISKCON_Swamis/ISKCON_Swamis_-_R_to_Y/His_Holiness_Radhanath_Swami/Lectures/00_-_Year_wise/Devotional_Nectar_-_1995/1995-125_Question_And_Answers_Q%26A_Jaipur_-_Radhanath_Swami_1995-10-24_new_IDesireTree.mp3", "1995-125_Question_And_Answers_Q%26A_Jaipur_-_Radhanath_Swami_1995-10-24_new_IDesireTree.mp3")</f>
        <v>1995-125_Question_And_Answers_Q%26A_Jaipur_-_Radhanath_Swami_1995-10-24_new_IDesireTree.mp3</v>
      </c>
      <c r="D992" s="24"/>
      <c r="E992" s="24"/>
    </row>
    <row r="993">
      <c r="A993" s="25" t="s">
        <v>18352</v>
      </c>
      <c r="B993" s="25" t="s">
        <v>18359</v>
      </c>
      <c r="C993" s="26" t="str">
        <f>HYPERLINK("https://audio.iskcondesiretree.com/02_-_ISKCON_Swamis/ISKCON_Swamis_-_R_to_Y/His_Holiness_Radhanath_Swami/Lectures/00_-_Year_wise/Devotional_Nectar_-_1995/1995-126_Krishna_Our_Only_Shelter_Ht_-_Lecture_Mumbai_-_Radhanath_Swami_1995-10-25_IDesireTree.mp3", "1995-126_Krishna_Our_Only_Shelter_Ht_-_Lecture_Mumbai_-_Radhanath_Swami_1995-10-25_IDesireTree.mp3")</f>
        <v>1995-126_Krishna_Our_Only_Shelter_Ht_-_Lecture_Mumbai_-_Radhanath_Swami_1995-10-25_IDesireTree.mp3</v>
      </c>
      <c r="D993" s="24"/>
      <c r="E993" s="24"/>
    </row>
    <row r="994">
      <c r="A994" s="25" t="s">
        <v>18352</v>
      </c>
      <c r="B994" s="25" t="s">
        <v>18359</v>
      </c>
      <c r="C994" s="26" t="str">
        <f>HYPERLINK("https://audio.iskcondesiretree.com/02_-_ISKCON_Swamis/ISKCON_Swamis_-_R_to_Y/His_Holiness_Radhanath_Swami/Lectures/00_-_Year_wise/Devotional_Nectar_-_1995/1995-127_Offering_To_Srila_Prabhupad_Ht_-_Lecture_Mumbai_-_25-10-95_IDesireTree.mp3", "1995-127_Offering_To_Srila_Prabhupad_Ht_-_Lecture_Mumbai_-_25-10-95_IDesireTree.mp3")</f>
        <v>1995-127_Offering_To_Srila_Prabhupad_Ht_-_Lecture_Mumbai_-_25-10-95_IDesireTree.mp3</v>
      </c>
      <c r="D994" s="24"/>
      <c r="E994" s="24"/>
    </row>
    <row r="995">
      <c r="A995" s="25" t="s">
        <v>18352</v>
      </c>
      <c r="B995" s="25" t="s">
        <v>18359</v>
      </c>
      <c r="C995" s="26" t="str">
        <f>HYPERLINK("https://audio.iskcondesiretree.com/02_-_ISKCON_Swamis/ISKCON_Swamis_-_R_to_Y/His_Holiness_Radhanath_Swami/Lectures/00_-_Year_wise/Devotional_Nectar_-_1995/1995-128_Live_By_God%27s_Plan_BG-03_31-32_Mumbai_-_Radhanath_Swami_1995-10-28_IDesireTree.mp3", "1995-128_Live_By_God%27s_Plan_BG-03_31-32_Mumbai_-_Radhanath_Swami_1995-10-28_IDesireTree.mp3")</f>
        <v>1995-128_Live_By_God%27s_Plan_BG-03_31-32_Mumbai_-_Radhanath_Swami_1995-10-28_IDesireTree.mp3</v>
      </c>
      <c r="D995" s="24"/>
      <c r="E995" s="24"/>
    </row>
    <row r="996">
      <c r="A996" s="25" t="s">
        <v>18352</v>
      </c>
      <c r="B996" s="25" t="s">
        <v>18359</v>
      </c>
      <c r="C996" s="26" t="str">
        <f>HYPERLINK("https://audio.iskcondesiretree.com/02_-_ISKCON_Swamis/ISKCON_Swamis_-_R_to_Y/His_Holiness_Radhanath_Swami/Lectures/00_-_Year_wise/Devotional_Nectar_-_1995/1995-129_Krishna_Consciousness_Is_The_Only_Hope_SB-01_14_08_Mumbai_-_29-10-95_IDesireTree.mp3", "1995-129_Krishna_Consciousness_Is_The_Only_Hope_SB-01_14_08_Mumbai_-_29-10-95_IDesireTree.mp3")</f>
        <v>1995-129_Krishna_Consciousness_Is_The_Only_Hope_SB-01_14_08_Mumbai_-_29-10-95_IDesireTree.mp3</v>
      </c>
      <c r="D996" s="24"/>
      <c r="E996" s="24"/>
    </row>
    <row r="997">
      <c r="A997" s="25" t="s">
        <v>18352</v>
      </c>
      <c r="B997" s="25" t="s">
        <v>18359</v>
      </c>
      <c r="C997" s="26" t="str">
        <f>HYPERLINK("https://audio.iskcondesiretree.com/02_-_ISKCON_Swamis/ISKCON_Swamis_-_R_to_Y/His_Holiness_Radhanath_Swami/Lectures/00_-_Year_wise/Devotional_Nectar_-_1995/1995-130_Worship_Of_Govardhan_Hill_BG-09_26_Mumbai_-_Radhanath_Swami_1995-10-29_IDesireTree.mp3", "1995-130_Worship_Of_Govardhan_Hill_BG-09_26_Mumbai_-_Radhanath_Swami_1995-10-29_IDesireTree.mp3")</f>
        <v>1995-130_Worship_Of_Govardhan_Hill_BG-09_26_Mumbai_-_Radhanath_Swami_1995-10-29_IDesireTree.mp3</v>
      </c>
      <c r="D997" s="24"/>
      <c r="E997" s="24"/>
    </row>
    <row r="998">
      <c r="A998" s="25" t="s">
        <v>18352</v>
      </c>
      <c r="B998" s="25" t="s">
        <v>18359</v>
      </c>
      <c r="C998" s="26" t="str">
        <f>HYPERLINK("https://audio.iskcondesiretree.com/02_-_ISKCON_Swamis/ISKCON_Swamis_-_R_to_Y/His_Holiness_Radhanath_Swami/Lectures/00_-_Year_wise/Devotional_Nectar_-_1995/1995-131_Arrival_Lecture_Lecture_Mumbai_-_Radhanath_Swami_1995-12-16_IDesireTree.mp3", "1995-131_Arrival_Lecture_Lecture_Mumbai_-_Radhanath_Swami_1995-12-16_IDesireTree.mp3")</f>
        <v>1995-131_Arrival_Lecture_Lecture_Mumbai_-_Radhanath_Swami_1995-12-16_IDesireTree.mp3</v>
      </c>
      <c r="D998" s="24"/>
      <c r="E998" s="24"/>
    </row>
    <row r="999">
      <c r="A999" s="25" t="s">
        <v>18352</v>
      </c>
      <c r="B999" s="25" t="s">
        <v>18359</v>
      </c>
      <c r="C999" s="26" t="str">
        <f>HYPERLINK("https://audio.iskcondesiretree.com/02_-_ISKCON_Swamis/ISKCON_Swamis_-_R_to_Y/His_Holiness_Radhanath_Swami/Lectures/00_-_Year_wise/Devotional_Nectar_-_1995/1995-132_Srimad_Bhagavatam_Class1of_15_Minutes_SB-01_15_29_31_Mumbai_-_17-12-95_IDesireTree.mp3", "1995-132_Srimad_Bhagavatam_Class1of_15_Minutes_SB-01_15_29_31_Mumbai_-_17-12-95_IDesireTree.mp3")</f>
        <v>1995-132_Srimad_Bhagavatam_Class1of_15_Minutes_SB-01_15_29_31_Mumbai_-_17-12-95_IDesireTree.mp3</v>
      </c>
      <c r="D999" s="24"/>
      <c r="E999" s="24"/>
    </row>
    <row r="1000">
      <c r="A1000" s="25" t="s">
        <v>18352</v>
      </c>
      <c r="B1000" s="25" t="s">
        <v>18359</v>
      </c>
      <c r="C1000" s="26" t="str">
        <f>HYPERLINK("https://audio.iskcondesiretree.com/02_-_ISKCON_Swamis/ISKCON_Swamis_-_R_to_Y/His_Holiness_Radhanath_Swami/Lectures/00_-_Year_wise/Devotional_Nectar_-_1995/1995-133_Krsna_Consciousness_Original_Consciousness_SB-02_01_04_Mumbai_-_17-12-95_IDesireTree.mp3", "1995-133_Krsna_Consciousness_Original_Consciousness_SB-02_01_04_Mumbai_-_17-12-95_IDesireTree.mp3")</f>
        <v>1995-133_Krsna_Consciousness_Original_Consciousness_SB-02_01_04_Mumbai_-_17-12-95_IDesireTree.mp3</v>
      </c>
      <c r="D1000" s="24"/>
      <c r="E1000" s="24"/>
    </row>
    <row r="1001">
      <c r="A1001" s="25" t="s">
        <v>18352</v>
      </c>
      <c r="B1001" s="25" t="s">
        <v>18359</v>
      </c>
      <c r="C1001" s="26" t="str">
        <f>HYPERLINK("https://audio.iskcondesiretree.com/02_-_ISKCON_Swamis/ISKCON_Swamis_-_R_to_Y/His_Holiness_Radhanath_Swami/Lectures/00_-_Year_wise/Devotional_Nectar_-_1995/1995-134_Srimad_Bhagavatam_Class1of_15_Minutes_SB-01_15_33_34_Mumbai_-_21-12-95_IDesireTree.mp3", "1995-134_Srimad_Bhagavatam_Class1of_15_Minutes_SB-01_15_33_34_Mumbai_-_21-12-95_IDesireTree.mp3")</f>
        <v>1995-134_Srimad_Bhagavatam_Class1of_15_Minutes_SB-01_15_33_34_Mumbai_-_21-12-95_IDesireTree.mp3</v>
      </c>
      <c r="D1001" s="24"/>
      <c r="E1001" s="24"/>
    </row>
    <row r="1002">
      <c r="A1002" s="25" t="s">
        <v>18352</v>
      </c>
      <c r="B1002" s="25" t="s">
        <v>18359</v>
      </c>
      <c r="C1002" s="26" t="str">
        <f>HYPERLINK("https://audio.iskcondesiretree.com/02_-_ISKCON_Swamis/ISKCON_Swamis_-_R_to_Y/His_Holiness_Radhanath_Swami/Lectures/00_-_Year_wise/Devotional_Nectar_-_1995/1995-135_How_Krsna_Left_This_World_SB-01_15_35_Mumbai_-_Radhanath_Swami_1995-12-23_IDesireTree.mp3", "1995-135_How_Krsna_Left_This_World_SB-01_15_35_Mumbai_-_Radhanath_Swami_1995-12-23_IDesireTree.mp3")</f>
        <v>1995-135_How_Krsna_Left_This_World_SB-01_15_35_Mumbai_-_Radhanath_Swami_1995-12-23_IDesireTree.mp3</v>
      </c>
      <c r="D1002" s="24"/>
      <c r="E1002" s="24"/>
    </row>
    <row r="1003">
      <c r="A1003" s="25" t="s">
        <v>18352</v>
      </c>
      <c r="B1003" s="25" t="s">
        <v>18359</v>
      </c>
      <c r="C1003" s="26" t="str">
        <f>HYPERLINK("https://audio.iskcondesiretree.com/02_-_ISKCON_Swamis/ISKCON_Swamis_-_R_to_Y/His_Holiness_Radhanath_Swami/Lectures/00_-_Year_wise/Devotional_Nectar_-_1995/1995-136_Glories_Of_Jiva_Goswami_Lecture_Mumbai_-_Radhanath_Swami_1995-12-24_IDesireTree.mp3", "1995-136_Glories_Of_Jiva_Goswami_Lecture_Mumbai_-_Radhanath_Swami_1995-12-24_IDesireTree.mp3")</f>
        <v>1995-136_Glories_Of_Jiva_Goswami_Lecture_Mumbai_-_Radhanath_Swami_1995-12-24_IDesireTree.mp3</v>
      </c>
      <c r="D1003" s="24"/>
      <c r="E1003" s="24"/>
    </row>
    <row r="1004">
      <c r="A1004" s="25" t="s">
        <v>18352</v>
      </c>
      <c r="B1004" s="25" t="s">
        <v>18359</v>
      </c>
      <c r="C1004" s="26" t="str">
        <f>HYPERLINK("https://audio.iskcondesiretree.com/02_-_ISKCON_Swamis/ISKCON_Swamis_-_R_to_Y/His_Holiness_Radhanath_Swami/Lectures/00_-_Year_wise/Devotional_Nectar_-_1995/1995-137_What_Is_Real_Knowledge_BG-13_22_Mumbai_-_Radhanath_Swami_1995-12-25_IDesireTree.mp3", "1995-137_What_Is_Real_Knowledge_BG-13_22_Mumbai_-_Radhanath_Swami_1995-12-25_IDesireTree.mp3")</f>
        <v>1995-137_What_Is_Real_Knowledge_BG-13_22_Mumbai_-_Radhanath_Swami_1995-12-25_IDesireTree.mp3</v>
      </c>
      <c r="D1004" s="24"/>
      <c r="E1004" s="24"/>
    </row>
    <row r="1005">
      <c r="A1005" s="25" t="s">
        <v>18352</v>
      </c>
      <c r="B1005" s="25" t="s">
        <v>18359</v>
      </c>
      <c r="C1005" s="26" t="str">
        <f>HYPERLINK("https://audio.iskcondesiretree.com/02_-_ISKCON_Swamis/ISKCON_Swamis_-_R_to_Y/His_Holiness_Radhanath_Swami/Lectures/00_-_Year_wise/Devotional_Nectar_-_1995/1995-138_Die_To_Live_SB-01_15_41_Mumbai_-_Radhanath_Swami_1995-12-29_IDesireTree.mp3", "1995-138_Die_To_Live_SB-01_15_41_Mumbai_-_Radhanath_Swami_1995-12-29_IDesireTree.mp3")</f>
        <v>1995-138_Die_To_Live_SB-01_15_41_Mumbai_-_Radhanath_Swami_1995-12-29_IDesireTree.mp3</v>
      </c>
      <c r="D1005" s="24"/>
      <c r="E1005" s="24"/>
    </row>
    <row r="1006">
      <c r="A1006" s="25" t="s">
        <v>18352</v>
      </c>
      <c r="B1006" s="25" t="s">
        <v>18360</v>
      </c>
      <c r="C1006" s="26" t="str">
        <f>HYPERLINK("https://audio.iskcondesiretree.com/02_-_ISKCON_Swamis/ISKCON_Swamis_-_R_to_Y/His_Holiness_Radhanath_Swami/Lectures/00_-_Year_wise/Devotional_Nectar_-_1996/1996-001_Quit_Home_Timely_SB-01_15_44_Mumbai_-_Radhanath_Swami_1996-01-01.mp3", "1996-001_Quit_Home_Timely_SB-01_15_44_Mumbai_-_Radhanath_Swami_1996-01-01.mp3")</f>
        <v>1996-001_Quit_Home_Timely_SB-01_15_44_Mumbai_-_Radhanath_Swami_1996-01-01.mp3</v>
      </c>
      <c r="D1006" s="24"/>
      <c r="E1006" s="24"/>
    </row>
    <row r="1007">
      <c r="A1007" s="25" t="s">
        <v>18352</v>
      </c>
      <c r="B1007" s="25" t="s">
        <v>18360</v>
      </c>
      <c r="C1007" s="26" t="str">
        <f>HYPERLINK("https://audio.iskcondesiretree.com/02_-_ISKCON_Swamis/ISKCON_Swamis_-_R_to_Y/His_Holiness_Radhanath_Swami/Lectures/00_-_Year_wise/Devotional_Nectar_-_1996/1996-002_Pastimes_Of_Nimai_BG-10_40_Pune_-_Radhanath_Swami_1996-01-02.mp3", "1996-002_Pastimes_Of_Nimai_BG-10_40_Pune_-_Radhanath_Swami_1996-01-02.mp3")</f>
        <v>1996-002_Pastimes_Of_Nimai_BG-10_40_Pune_-_Radhanath_Swami_1996-01-02.mp3</v>
      </c>
      <c r="D1007" s="24"/>
      <c r="E1007" s="24"/>
    </row>
    <row r="1008">
      <c r="A1008" s="25" t="s">
        <v>18352</v>
      </c>
      <c r="B1008" s="25" t="s">
        <v>18360</v>
      </c>
      <c r="C1008" s="26" t="str">
        <f>HYPERLINK("https://audio.iskcondesiretree.com/02_-_ISKCON_Swamis/ISKCON_Swamis_-_R_to_Y/His_Holiness_Radhanath_Swami/Lectures/00_-_Year_wise/Devotional_Nectar_-_1996/1996-003_Science_And_Spirituality_Lecture_Pune_-_Radhanath_Swami_1996-01-02.mp3", "1996-003_Science_And_Spirituality_Lecture_Pune_-_Radhanath_Swami_1996-01-02.mp3")</f>
        <v>1996-003_Science_And_Spirituality_Lecture_Pune_-_Radhanath_Swami_1996-01-02.mp3</v>
      </c>
      <c r="D1008" s="24"/>
      <c r="E1008" s="24"/>
    </row>
    <row r="1009">
      <c r="A1009" s="25" t="s">
        <v>18352</v>
      </c>
      <c r="B1009" s="25" t="s">
        <v>18360</v>
      </c>
      <c r="C1009" s="26" t="str">
        <f>HYPERLINK("https://audio.iskcondesiretree.com/02_-_ISKCON_Swamis/ISKCON_Swamis_-_R_to_Y/His_Holiness_Radhanath_Swami/Lectures/00_-_Year_wise/Devotional_Nectar_-_1996/1996-004_Arrival_Lecture_Lecture_Pune_-_Radhanath_Swami_1996-01-03.mp3", "1996-004_Arrival_Lecture_Lecture_Pune_-_Radhanath_Swami_1996-01-03.mp3")</f>
        <v>1996-004_Arrival_Lecture_Lecture_Pune_-_Radhanath_Swami_1996-01-03.mp3</v>
      </c>
      <c r="D1009" s="24"/>
      <c r="E1009" s="24"/>
    </row>
    <row r="1010">
      <c r="A1010" s="25" t="s">
        <v>18352</v>
      </c>
      <c r="B1010" s="25" t="s">
        <v>18360</v>
      </c>
      <c r="C1010" s="26" t="str">
        <f>HYPERLINK("https://audio.iskcondesiretree.com/02_-_ISKCON_Swamis/ISKCON_Swamis_-_R_to_Y/His_Holiness_Radhanath_Swami/Lectures/00_-_Year_wise/Devotional_Nectar_-_1996/1996-005_Gaur_Nitai_Lecture_Pune_-_Radhanath_Swami_1996-01-03.mp3", "1996-005_Gaur_Nitai_Lecture_Pune_-_Radhanath_Swami_1996-01-03.mp3")</f>
        <v>1996-005_Gaur_Nitai_Lecture_Pune_-_Radhanath_Swami_1996-01-03.mp3</v>
      </c>
      <c r="D1010" s="24"/>
      <c r="E1010" s="24"/>
    </row>
    <row r="1011">
      <c r="A1011" s="25" t="s">
        <v>18352</v>
      </c>
      <c r="B1011" s="25" t="s">
        <v>18360</v>
      </c>
      <c r="C1011" s="26" t="str">
        <f>HYPERLINK("https://audio.iskcondesiretree.com/02_-_ISKCON_Swamis/ISKCON_Swamis_-_R_to_Y/His_Holiness_Radhanath_Swami/Lectures/00_-_Year_wise/Devotional_Nectar_-_1996/1996-006_Even_Lord_Brahma_Is_Bewildered_BG-08_19_Pune_-_Radhanath_Swami_1996-01-03.mp3", "1996-006_Even_Lord_Brahma_Is_Bewildered_BG-08_19_Pune_-_Radhanath_Swami_1996-01-03.mp3")</f>
        <v>1996-006_Even_Lord_Brahma_Is_Bewildered_BG-08_19_Pune_-_Radhanath_Swami_1996-01-03.mp3</v>
      </c>
      <c r="D1011" s="24"/>
      <c r="E1011" s="24"/>
    </row>
    <row r="1012">
      <c r="A1012" s="25" t="s">
        <v>18352</v>
      </c>
      <c r="B1012" s="25" t="s">
        <v>18360</v>
      </c>
      <c r="C1012" s="26" t="str">
        <f>HYPERLINK("https://audio.iskcondesiretree.com/02_-_ISKCON_Swamis/ISKCON_Swamis_-_R_to_Y/His_Holiness_Radhanath_Swami/Lectures/00_-_Year_wise/Devotional_Nectar_-_1996/1996-007_Krishna_Is_Supremely_Merciful_SB-03_02_23_Pune_-_Radhanath_Swami_1996-01-04.mp3", "1996-007_Krishna_Is_Supremely_Merciful_SB-03_02_23_Pune_-_Radhanath_Swami_1996-01-04.mp3")</f>
        <v>1996-007_Krishna_Is_Supremely_Merciful_SB-03_02_23_Pune_-_Radhanath_Swami_1996-01-04.mp3</v>
      </c>
      <c r="D1012" s="24"/>
      <c r="E1012" s="24"/>
    </row>
    <row r="1013">
      <c r="A1013" s="25" t="s">
        <v>18352</v>
      </c>
      <c r="B1013" s="25" t="s">
        <v>18360</v>
      </c>
      <c r="C1013" s="26" t="str">
        <f>HYPERLINK("https://audio.iskcondesiretree.com/02_-_ISKCON_Swamis/ISKCON_Swamis_-_R_to_Y/His_Holiness_Radhanath_Swami/Lectures/00_-_Year_wise/Devotional_Nectar_-_1996/1996-008_Self_Management_Lecture_Mumbai_-_Radhanath_Swami_1996-01-04.mp3", "1996-008_Self_Management_Lecture_Mumbai_-_Radhanath_Swami_1996-01-04.mp3")</f>
        <v>1996-008_Self_Management_Lecture_Mumbai_-_Radhanath_Swami_1996-01-04.mp3</v>
      </c>
      <c r="D1013" s="24"/>
      <c r="E1013" s="24"/>
    </row>
    <row r="1014">
      <c r="A1014" s="25" t="s">
        <v>18352</v>
      </c>
      <c r="B1014" s="25" t="s">
        <v>18360</v>
      </c>
      <c r="C1014" s="26" t="str">
        <f>HYPERLINK("https://audio.iskcondesiretree.com/02_-_ISKCON_Swamis/ISKCON_Swamis_-_R_to_Y/His_Holiness_Radhanath_Swami/Lectures/00_-_Year_wise/Devotional_Nectar_-_1996/1996-009_Importance_Of_Deity_Worship_BG-07_18_Mumbai_-_Radhanath_Swami_1996-01-05.mp3", "1996-009_Importance_Of_Deity_Worship_BG-07_18_Mumbai_-_Radhanath_Swami_1996-01-05.mp3")</f>
        <v>1996-009_Importance_Of_Deity_Worship_BG-07_18_Mumbai_-_Radhanath_Swami_1996-01-05.mp3</v>
      </c>
      <c r="D1014" s="24"/>
      <c r="E1014" s="24"/>
    </row>
    <row r="1015">
      <c r="A1015" s="25" t="s">
        <v>18352</v>
      </c>
      <c r="B1015" s="25" t="s">
        <v>18360</v>
      </c>
      <c r="C1015" s="26" t="str">
        <f>HYPERLINK("https://audio.iskcondesiretree.com/02_-_ISKCON_Swamis/ISKCON_Swamis_-_R_to_Y/His_Holiness_Radhanath_Swami/Lectures/00_-_Year_wise/Devotional_Nectar_-_1996/1996-010_Wake_Up_To_Reality_SB-01_15_51_Mumbai_-_Radhanath_Swami_1996-01-07.mp3", "1996-010_Wake_Up_To_Reality_SB-01_15_51_Mumbai_-_Radhanath_Swami_1996-01-07.mp3")</f>
        <v>1996-010_Wake_Up_To_Reality_SB-01_15_51_Mumbai_-_Radhanath_Swami_1996-01-07.mp3</v>
      </c>
      <c r="D1015" s="24"/>
      <c r="E1015" s="24"/>
    </row>
    <row r="1016">
      <c r="A1016" s="25" t="s">
        <v>18352</v>
      </c>
      <c r="B1016" s="25" t="s">
        <v>18360</v>
      </c>
      <c r="C1016" s="26" t="str">
        <f>HYPERLINK("https://audio.iskcondesiretree.com/02_-_ISKCON_Swamis/ISKCON_Swamis_-_R_to_Y/His_Holiness_Radhanath_Swami/Lectures/00_-_Year_wise/Devotional_Nectar_-_1996/1996-011_Don%27t_Waste_Valuable_Time_SB-01_16_6_Mumbai_-_Radhanath_Swami_1996-01-07_IDesireTree.mp3", "1996-011_Don%27t_Waste_Valuable_Time_SB-01_16_6_Mumbai_-_Radhanath_Swami_1996-01-07_IDesireTree.mp3")</f>
        <v>1996-011_Don%27t_Waste_Valuable_Time_SB-01_16_6_Mumbai_-_Radhanath_Swami_1996-01-07_IDesireTree.mp3</v>
      </c>
      <c r="D1016" s="24"/>
      <c r="E1016" s="24"/>
    </row>
    <row r="1017">
      <c r="A1017" s="25" t="s">
        <v>18352</v>
      </c>
      <c r="B1017" s="25" t="s">
        <v>18360</v>
      </c>
      <c r="C1017" s="26" t="str">
        <f>HYPERLINK("https://audio.iskcondesiretree.com/02_-_ISKCON_Swamis/ISKCON_Swamis_-_R_to_Y/His_Holiness_Radhanath_Swami/Lectures/00_-_Year_wise/Devotional_Nectar_-_1996/1996-012_Prabhupada-_Messenger_Of_Bhagwat_Gita_MT_-_Lecture_Kolhapur_-_08-01-96_IDesireTree.mp3", "1996-012_Prabhupada-_Messenger_Of_Bhagwat_Gita_MT_-_Lecture_Kolhapur_-_08-01-96_IDesireTree.mp3")</f>
        <v>1996-012_Prabhupada-_Messenger_Of_Bhagwat_Gita_MT_-_Lecture_Kolhapur_-_08-01-96_IDesireTree.mp3</v>
      </c>
      <c r="D1017" s="24"/>
      <c r="E1017" s="24"/>
    </row>
    <row r="1018">
      <c r="A1018" s="25" t="s">
        <v>18352</v>
      </c>
      <c r="B1018" s="25" t="s">
        <v>18360</v>
      </c>
      <c r="C1018" s="26" t="str">
        <f>HYPERLINK("https://audio.iskcondesiretree.com/02_-_ISKCON_Swamis/ISKCON_Swamis_-_R_to_Y/His_Holiness_Radhanath_Swami/Lectures/00_-_Year_wise/Devotional_Nectar_-_1996/1996-013_The_Only_Shelter_Lecture_Kolhapur_-_Radhanath_Swami_1996-01-08_IDesireTree.mp3", "1996-013_The_Only_Shelter_Lecture_Kolhapur_-_Radhanath_Swami_1996-01-08_IDesireTree.mp3")</f>
        <v>1996-013_The_Only_Shelter_Lecture_Kolhapur_-_Radhanath_Swami_1996-01-08_IDesireTree.mp3</v>
      </c>
      <c r="D1018" s="24"/>
      <c r="E1018" s="24"/>
    </row>
    <row r="1019">
      <c r="A1019" s="25" t="s">
        <v>18352</v>
      </c>
      <c r="B1019" s="25" t="s">
        <v>18360</v>
      </c>
      <c r="C1019" s="26" t="str">
        <f>HYPERLINK("https://audio.iskcondesiretree.com/02_-_ISKCON_Swamis/ISKCON_Swamis_-_R_to_Y/His_Holiness_Radhanath_Swami/Lectures/00_-_Year_wise/Devotional_Nectar_-_1996/1996-014_Centre_Should_Be_Krishna_MT_-_SB-09_04_63_Belgaum_-_09-01-96_IDesireTree.mp3", "1996-014_Centre_Should_Be_Krishna_MT_-_SB-09_04_63_Belgaum_-_09-01-96_IDesireTree.mp3")</f>
        <v>1996-014_Centre_Should_Be_Krishna_MT_-_SB-09_04_63_Belgaum_-_09-01-96_IDesireTree.mp3</v>
      </c>
      <c r="D1019" s="24"/>
      <c r="E1019" s="24"/>
    </row>
    <row r="1020">
      <c r="A1020" s="25" t="s">
        <v>18352</v>
      </c>
      <c r="B1020" s="25" t="s">
        <v>18360</v>
      </c>
      <c r="C1020" s="26" t="str">
        <f>HYPERLINK("https://audio.iskcondesiretree.com/02_-_ISKCON_Swamis/ISKCON_Swamis_-_R_to_Y/His_Holiness_Radhanath_Swami/Lectures/00_-_Year_wise/Devotional_Nectar_-_1996/1996-015_Give_Credits_To_Others_MT_-_SB-03_02_09_Belgaum_-_10-01-96_IDesireTree.mp3", "1996-015_Give_Credits_To_Others_MT_-_SB-03_02_09_Belgaum_-_10-01-96_IDesireTree.mp3")</f>
        <v>1996-015_Give_Credits_To_Others_MT_-_SB-03_02_09_Belgaum_-_10-01-96_IDesireTree.mp3</v>
      </c>
      <c r="D1020" s="24"/>
      <c r="E1020" s="24"/>
    </row>
    <row r="1021">
      <c r="A1021" s="25" t="s">
        <v>18352</v>
      </c>
      <c r="B1021" s="25" t="s">
        <v>18360</v>
      </c>
      <c r="C1021" s="26" t="str">
        <f>HYPERLINK("https://audio.iskcondesiretree.com/02_-_ISKCON_Swamis/ISKCON_Swamis_-_R_to_Y/His_Holiness_Radhanath_Swami/Lectures/00_-_Year_wise/Devotional_Nectar_-_1996/1996-016_Prabhupada_Premanjali_MT_-_Lecture_Belgaum_-_Radhanath_Swami_1996-01-10_IDesireTree.mp3", "1996-016_Prabhupada_Premanjali_MT_-_Lecture_Belgaum_-_Radhanath_Swami_1996-01-10_IDesireTree.mp3")</f>
        <v>1996-016_Prabhupada_Premanjali_MT_-_Lecture_Belgaum_-_Radhanath_Swami_1996-01-10_IDesireTree.mp3</v>
      </c>
      <c r="D1021" s="24"/>
      <c r="E1021" s="24"/>
    </row>
    <row r="1022">
      <c r="A1022" s="25" t="s">
        <v>18352</v>
      </c>
      <c r="B1022" s="25" t="s">
        <v>18360</v>
      </c>
      <c r="C1022" s="26" t="str">
        <f>HYPERLINK("https://audio.iskcondesiretree.com/02_-_ISKCON_Swamis/ISKCON_Swamis_-_R_to_Y/His_Holiness_Radhanath_Swami/Lectures/00_-_Year_wise/Devotional_Nectar_-_1996/1996-017_Loving_Exchanges_Ht_-_Q%26A_Belgaum_-_Radhanath_Swami_1996-01-11_IDesireTree.mp3", "1996-017_Loving_Exchanges_Ht_-_Q%26A_Belgaum_-_Radhanath_Swami_1996-01-11_IDesireTree.mp3")</f>
        <v>1996-017_Loving_Exchanges_Ht_-_Q%26A_Belgaum_-_Radhanath_Swami_1996-01-11_IDesireTree.mp3</v>
      </c>
      <c r="D1022" s="24"/>
      <c r="E1022" s="24"/>
    </row>
    <row r="1023">
      <c r="A1023" s="25" t="s">
        <v>18352</v>
      </c>
      <c r="B1023" s="25" t="s">
        <v>18360</v>
      </c>
      <c r="C1023" s="26" t="str">
        <f>HYPERLINK("https://audio.iskcondesiretree.com/02_-_ISKCON_Swamis/ISKCON_Swamis_-_R_to_Y/His_Holiness_Radhanath_Swami/Lectures/00_-_Year_wise/Devotional_Nectar_-_1996/1996-018_Yamaraj_Is_The_Well_Wisher_Of_Devotees_SB-01_16_07_Mumbai_-_14-01-96_IDesireTree.mp3", "1996-018_Yamaraj_Is_The_Well_Wisher_Of_Devotees_SB-01_16_07_Mumbai_-_14-01-96_IDesireTree.mp3")</f>
        <v>1996-018_Yamaraj_Is_The_Well_Wisher_Of_Devotees_SB-01_16_07_Mumbai_-_14-01-96_IDesireTree.mp3</v>
      </c>
      <c r="D1023" s="24"/>
      <c r="E1023" s="24"/>
    </row>
    <row r="1024">
      <c r="A1024" s="25" t="s">
        <v>18352</v>
      </c>
      <c r="B1024" s="25" t="s">
        <v>18360</v>
      </c>
      <c r="C1024" s="26" t="str">
        <f>HYPERLINK("https://audio.iskcondesiretree.com/02_-_ISKCON_Swamis/ISKCON_Swamis_-_R_to_Y/His_Holiness_Radhanath_Swami/Lectures/00_-_Year_wise/Devotional_Nectar_-_1996/1996-019_Nimai_Pandit%27s_Sannyas_Lilla_Lecture_Mumbai_-_Radhanath_Swami_1996-01-14_IDesireTree.mp3", "1996-019_Nimai_Pandit%27s_Sannyas_Lilla_Lecture_Mumbai_-_Radhanath_Swami_1996-01-14_IDesireTree.mp3")</f>
        <v>1996-019_Nimai_Pandit%27s_Sannyas_Lilla_Lecture_Mumbai_-_Radhanath_Swami_1996-01-14_IDesireTree.mp3</v>
      </c>
      <c r="D1024" s="24"/>
      <c r="E1024" s="24"/>
    </row>
    <row r="1025">
      <c r="A1025" s="25" t="s">
        <v>18352</v>
      </c>
      <c r="B1025" s="25" t="s">
        <v>18360</v>
      </c>
      <c r="C1025" s="26" t="str">
        <f>HYPERLINK("https://audio.iskcondesiretree.com/02_-_ISKCON_Swamis/ISKCON_Swamis_-_R_to_Y/His_Holiness_Radhanath_Swami/Lectures/00_-_Year_wise/Devotional_Nectar_-_1996/1996-020_Eternal_Pastimes_Of_Lord_Krishna_Ht_-_BG-02_57_Mumbai_-_16-01-96_IDesireTree.mp3", "1996-020_Eternal_Pastimes_Of_Lord_Krishna_Ht_-_BG-02_57_Mumbai_-_16-01-96_IDesireTree.mp3")</f>
        <v>1996-020_Eternal_Pastimes_Of_Lord_Krishna_Ht_-_BG-02_57_Mumbai_-_16-01-96_IDesireTree.mp3</v>
      </c>
      <c r="D1025" s="24"/>
      <c r="E1025" s="24"/>
    </row>
    <row r="1026">
      <c r="A1026" s="25" t="s">
        <v>18352</v>
      </c>
      <c r="B1026" s="25" t="s">
        <v>18360</v>
      </c>
      <c r="C1026" s="26" t="str">
        <f>HYPERLINK("https://audio.iskcondesiretree.com/02_-_ISKCON_Swamis/ISKCON_Swamis_-_R_to_Y/His_Holiness_Radhanath_Swami/Lectures/00_-_Year_wise/Devotional_Nectar_-_1996/1996-021_Making_Krishna_Happy_BG-12_16_Mumbai_-_Radhanath_Swami_1996-01-18_IDesireTree.mp3", "1996-021_Making_Krishna_Happy_BG-12_16_Mumbai_-_Radhanath_Swami_1996-01-18_IDesireTree.mp3")</f>
        <v>1996-021_Making_Krishna_Happy_BG-12_16_Mumbai_-_Radhanath_Swami_1996-01-18_IDesireTree.mp3</v>
      </c>
      <c r="D1026" s="24"/>
      <c r="E1026" s="24"/>
    </row>
    <row r="1027">
      <c r="A1027" s="25" t="s">
        <v>18352</v>
      </c>
      <c r="B1027" s="25" t="s">
        <v>18360</v>
      </c>
      <c r="C1027" s="26" t="str">
        <f>HYPERLINK("https://audio.iskcondesiretree.com/02_-_ISKCON_Swamis/ISKCON_Swamis_-_R_to_Y/His_Holiness_Radhanath_Swami/Lectures/00_-_Year_wise/Devotional_Nectar_-_1996/1996-022_What_Is_Real_Education_Lecture_Mumbai_-_Radhanath_Swami_1996-01-20_IDesireTree.mp3", "1996-022_What_Is_Real_Education_Lecture_Mumbai_-_Radhanath_Swami_1996-01-20_IDesireTree.mp3")</f>
        <v>1996-022_What_Is_Real_Education_Lecture_Mumbai_-_Radhanath_Swami_1996-01-20_IDesireTree.mp3</v>
      </c>
      <c r="D1027" s="24"/>
      <c r="E1027" s="24"/>
    </row>
    <row r="1028">
      <c r="A1028" s="25" t="s">
        <v>18352</v>
      </c>
      <c r="B1028" s="25" t="s">
        <v>18360</v>
      </c>
      <c r="C1028" s="26" t="str">
        <f>HYPERLINK("https://audio.iskcondesiretree.com/02_-_ISKCON_Swamis/ISKCON_Swamis_-_R_to_Y/His_Holiness_Radhanath_Swami/Lectures/00_-_Year_wise/Devotional_Nectar_-_1996/1996-023_Determination_Like_Bird_Chatak_Lecture_Mumbai_-_Radhanath_Swami_1996-01-21_IDesireTree.mp3", "1996-023_Determination_Like_Bird_Chatak_Lecture_Mumbai_-_Radhanath_Swami_1996-01-21_IDesireTree.mp3")</f>
        <v>1996-023_Determination_Like_Bird_Chatak_Lecture_Mumbai_-_Radhanath_Swami_1996-01-21_IDesireTree.mp3</v>
      </c>
      <c r="D1028" s="24"/>
      <c r="E1028" s="24"/>
    </row>
    <row r="1029">
      <c r="A1029" s="25" t="s">
        <v>18352</v>
      </c>
      <c r="B1029" s="25" t="s">
        <v>18360</v>
      </c>
      <c r="C1029" s="26" t="str">
        <f>HYPERLINK("https://audio.iskcondesiretree.com/02_-_ISKCON_Swamis/ISKCON_Swamis_-_R_to_Y/His_Holiness_Radhanath_Swami/Lectures/00_-_Year_wise/Devotional_Nectar_-_1996/1996-024_Krishna_Is_Servant_Of_Devotees_SB-01_16_16_Mumbai_-_21-01-96_IDesireTree.mp3", "1996-024_Krishna_Is_Servant_Of_Devotees_SB-01_16_16_Mumbai_-_21-01-96_IDesireTree.mp3")</f>
        <v>1996-024_Krishna_Is_Servant_Of_Devotees_SB-01_16_16_Mumbai_-_21-01-96_IDesireTree.mp3</v>
      </c>
      <c r="D1029" s="24"/>
      <c r="E1029" s="24"/>
    </row>
    <row r="1030">
      <c r="A1030" s="25" t="s">
        <v>18352</v>
      </c>
      <c r="B1030" s="25" t="s">
        <v>18360</v>
      </c>
      <c r="C1030" s="26" t="str">
        <f>HYPERLINK("https://audio.iskcondesiretree.com/02_-_ISKCON_Swamis/ISKCON_Swamis_-_R_to_Y/His_Holiness_Radhanath_Swami/Lectures/00_-_Year_wise/Devotional_Nectar_-_1996/1996-025_Be_Dear_To_Devotees_SB-01_16_19_Mumbai_-_Radhanath_Swami_1996-01-23_IDesireTree.mp3", "1996-025_Be_Dear_To_Devotees_SB-01_16_19_Mumbai_-_Radhanath_Swami_1996-01-23_IDesireTree.mp3")</f>
        <v>1996-025_Be_Dear_To_Devotees_SB-01_16_19_Mumbai_-_Radhanath_Swami_1996-01-23_IDesireTree.mp3</v>
      </c>
      <c r="D1030" s="24"/>
      <c r="E1030" s="24"/>
    </row>
    <row r="1031">
      <c r="A1031" s="25" t="s">
        <v>18352</v>
      </c>
      <c r="B1031" s="25" t="s">
        <v>18360</v>
      </c>
      <c r="C1031" s="26" t="str">
        <f>HYPERLINK("https://audio.iskcondesiretree.com/02_-_ISKCON_Swamis/ISKCON_Swamis_-_R_to_Y/His_Holiness_Radhanath_Swami/Lectures/00_-_Year_wise/Devotional_Nectar_-_1996/1996-026_Talks_With_College_Students_Lecture_Mumbai_-_Radhanath_Swami_1996-01-23_IDesireTree.mp3", "1996-026_Talks_With_College_Students_Lecture_Mumbai_-_Radhanath_Swami_1996-01-23_IDesireTree.mp3")</f>
        <v>1996-026_Talks_With_College_Students_Lecture_Mumbai_-_Radhanath_Swami_1996-01-23_IDesireTree.mp3</v>
      </c>
      <c r="D1031" s="24"/>
      <c r="E1031" s="24"/>
    </row>
    <row r="1032">
      <c r="A1032" s="25" t="s">
        <v>18352</v>
      </c>
      <c r="B1032" s="25" t="s">
        <v>18360</v>
      </c>
      <c r="C1032" s="26" t="str">
        <f>HYPERLINK("https://audio.iskcondesiretree.com/02_-_ISKCON_Swamis/ISKCON_Swamis_-_R_to_Y/His_Holiness_Radhanath_Swami/Lectures/00_-_Year_wise/Devotional_Nectar_-_1996/1996-027_Arrival_Lecture_Lecture_Pune_-_Radhanath_Swami_1996-01-25_IDesireTree.mp3", "1996-027_Arrival_Lecture_Lecture_Pune_-_Radhanath_Swami_1996-01-25_IDesireTree.mp3")</f>
        <v>1996-027_Arrival_Lecture_Lecture_Pune_-_Radhanath_Swami_1996-01-25_IDesireTree.mp3</v>
      </c>
      <c r="D1032" s="24"/>
      <c r="E1032" s="24"/>
    </row>
    <row r="1033">
      <c r="A1033" s="25" t="s">
        <v>18352</v>
      </c>
      <c r="B1033" s="25" t="s">
        <v>18360</v>
      </c>
      <c r="C1033" s="26" t="str">
        <f>HYPERLINK("https://audio.iskcondesiretree.com/02_-_ISKCON_Swamis/ISKCON_Swamis_-_R_to_Y/His_Holiness_Radhanath_Swami/Lectures/00_-_Year_wise/Devotional_Nectar_-_1996/1996-028_Question_And_Answer_Q%26A_Pune_-_Radhanath_Swami_1996-01-25_IDesireTree.mp3", "1996-028_Question_And_Answer_Q%26A_Pune_-_Radhanath_Swami_1996-01-25_IDesireTree.mp3")</f>
        <v>1996-028_Question_And_Answer_Q%26A_Pune_-_Radhanath_Swami_1996-01-25_IDesireTree.mp3</v>
      </c>
      <c r="D1033" s="24"/>
      <c r="E1033" s="24"/>
    </row>
    <row r="1034">
      <c r="A1034" s="25" t="s">
        <v>18352</v>
      </c>
      <c r="B1034" s="25" t="s">
        <v>18360</v>
      </c>
      <c r="C1034" s="26" t="str">
        <f>HYPERLINK("https://audio.iskcondesiretree.com/02_-_ISKCON_Swamis/ISKCON_Swamis_-_R_to_Y/His_Holiness_Radhanath_Swami/Lectures/00_-_Year_wise/Devotional_Nectar_-_1996/1996-029_Advaita_Acharya_Lecture_Pune_-_Radhanath_Swami_1996-01-26_new_IDesireTree.mp3", "1996-029_Advaita_Acharya_Lecture_Pune_-_Radhanath_Swami_1996-01-26_new_IDesireTree.mp3")</f>
        <v>1996-029_Advaita_Acharya_Lecture_Pune_-_Radhanath_Swami_1996-01-26_new_IDesireTree.mp3</v>
      </c>
      <c r="D1034" s="24"/>
      <c r="E1034" s="24"/>
    </row>
    <row r="1035">
      <c r="A1035" s="25" t="s">
        <v>18352</v>
      </c>
      <c r="B1035" s="25" t="s">
        <v>18360</v>
      </c>
      <c r="C1035" s="26" t="str">
        <f>HYPERLINK("https://audio.iskcondesiretree.com/02_-_ISKCON_Swamis/ISKCON_Swamis_-_R_to_Y/His_Holiness_Radhanath_Swami/Lectures/00_-_Year_wise/Devotional_Nectar_-_1996/1996-030_Departure_Lecture_Lecture_Pune_-_Radhanath_Swami_1996-01-27_IDesireTree.mp3", "1996-030_Departure_Lecture_Lecture_Pune_-_Radhanath_Swami_1996-01-27_IDesireTree.mp3")</f>
        <v>1996-030_Departure_Lecture_Lecture_Pune_-_Radhanath_Swami_1996-01-27_IDesireTree.mp3</v>
      </c>
      <c r="D1035" s="24"/>
      <c r="E1035" s="24"/>
    </row>
    <row r="1036">
      <c r="A1036" s="25" t="s">
        <v>18352</v>
      </c>
      <c r="B1036" s="25" t="s">
        <v>18360</v>
      </c>
      <c r="C1036" s="26" t="str">
        <f>HYPERLINK("https://audio.iskcondesiretree.com/02_-_ISKCON_Swamis/ISKCON_Swamis_-_R_to_Y/His_Holiness_Radhanath_Swami/Lectures/00_-_Year_wise/Devotional_Nectar_-_1996/1996-031_Vyas_Puja_Lecture_Pune_-_Radhanath_Swami_1996-01-27_IDesireTree.mp3", "1996-031_Vyas_Puja_Lecture_Pune_-_Radhanath_Swami_1996-01-27_IDesireTree.mp3")</f>
        <v>1996-031_Vyas_Puja_Lecture_Pune_-_Radhanath_Swami_1996-01-27_IDesireTree.mp3</v>
      </c>
      <c r="D1036" s="24"/>
      <c r="E1036" s="24"/>
    </row>
    <row r="1037">
      <c r="A1037" s="25" t="s">
        <v>18352</v>
      </c>
      <c r="B1037" s="25" t="s">
        <v>18360</v>
      </c>
      <c r="C1037" s="26" t="str">
        <f>HYPERLINK("https://audio.iskcondesiretree.com/02_-_ISKCON_Swamis/ISKCON_Swamis_-_R_to_Y/His_Holiness_Radhanath_Swami/Lectures/00_-_Year_wise/Devotional_Nectar_-_1996/1996-032_Lord_Caitanya%27s_Pastimes_In_Boat_Lecture_Mumbai_-_30-1-96_IDesireTree.mp3", "1996-032_Lord_Caitanya%27s_Pastimes_In_Boat_Lecture_Mumbai_-_30-1-96_IDesireTree.mp3")</f>
        <v>1996-032_Lord_Caitanya%27s_Pastimes_In_Boat_Lecture_Mumbai_-_30-1-96_IDesireTree.mp3</v>
      </c>
      <c r="D1037" s="24"/>
      <c r="E1037" s="24"/>
    </row>
    <row r="1038">
      <c r="A1038" s="25" t="s">
        <v>18352</v>
      </c>
      <c r="B1038" s="25" t="s">
        <v>18360</v>
      </c>
      <c r="C1038" s="26" t="str">
        <f>HYPERLINK("https://audio.iskcondesiretree.com/02_-_ISKCON_Swamis/ISKCON_Swamis_-_R_to_Y/His_Holiness_Radhanath_Swami/Lectures/00_-_Year_wise/Devotional_Nectar_-_1996/1996-033_Glorification_Of_Mayapur_Lecture_Mayapur_-_Radhanath_Swami_1996-02-18_IDesireTree.mp3", "1996-033_Glorification_Of_Mayapur_Lecture_Mayapur_-_Radhanath_Swami_1996-02-18_IDesireTree.mp3")</f>
        <v>1996-033_Glorification_Of_Mayapur_Lecture_Mayapur_-_Radhanath_Swami_1996-02-18_IDesireTree.mp3</v>
      </c>
      <c r="D1038" s="24"/>
      <c r="E1038" s="24"/>
    </row>
    <row r="1039">
      <c r="A1039" s="25" t="s">
        <v>18352</v>
      </c>
      <c r="B1039" s="25" t="s">
        <v>18360</v>
      </c>
      <c r="C1039" s="26" t="str">
        <f>HYPERLINK("https://audio.iskcondesiretree.com/02_-_ISKCON_Swamis/ISKCON_Swamis_-_R_to_Y/His_Holiness_Radhanath_Swami/Lectures/00_-_Year_wise/Devotional_Nectar_-_1996/1996-034_Chaitanya_Charitamrita_Reading_CC_ML-09_221_Trivandurum_-_22-02-96_IDesireTree.mp3", "1996-034_Chaitanya_Charitamrita_Reading_CC_ML-09_221_Trivandurum_-_22-02-96_IDesireTree.mp3")</f>
        <v>1996-034_Chaitanya_Charitamrita_Reading_CC_ML-09_221_Trivandurum_-_22-02-96_IDesireTree.mp3</v>
      </c>
      <c r="D1039" s="24"/>
      <c r="E1039" s="24"/>
    </row>
    <row r="1040">
      <c r="A1040" s="25" t="s">
        <v>18352</v>
      </c>
      <c r="B1040" s="25" t="s">
        <v>18360</v>
      </c>
      <c r="C1040" s="26" t="str">
        <f>HYPERLINK("https://audio.iskcondesiretree.com/02_-_ISKCON_Swamis/ISKCON_Swamis_-_R_to_Y/His_Holiness_Radhanath_Swami/Lectures/00_-_Year_wise/Devotional_Nectar_-_1996/1996-035_Chaitanya_Charitamrita_Reading_Lecture_Trivandurum_-_22-02-96_IDesireTree.mp3", "1996-035_Chaitanya_Charitamrita_Reading_Lecture_Trivandurum_-_22-02-96_IDesireTree.mp3")</f>
        <v>1996-035_Chaitanya_Charitamrita_Reading_Lecture_Trivandurum_-_22-02-96_IDesireTree.mp3</v>
      </c>
      <c r="D1040" s="24"/>
      <c r="E1040" s="24"/>
    </row>
    <row r="1041">
      <c r="A1041" s="25" t="s">
        <v>18352</v>
      </c>
      <c r="B1041" s="25" t="s">
        <v>18360</v>
      </c>
      <c r="C1041" s="26" t="str">
        <f>HYPERLINK("https://audio.iskcondesiretree.com/02_-_ISKCON_Swamis/ISKCON_Swamis_-_R_to_Y/His_Holiness_Radhanath_Swami/Lectures/00_-_Year_wise/Devotional_Nectar_-_1996/1996-036_Even_Lord_Brahma_Stresses_Personalism_SB-03_26_21_Trivandurum_-_23-02-96_IDesireTree.mp3", "1996-036_Even_Lord_Brahma_Stresses_Personalism_SB-03_26_21_Trivandurum_-_23-02-96_IDesireTree.mp3")</f>
        <v>1996-036_Even_Lord_Brahma_Stresses_Personalism_SB-03_26_21_Trivandurum_-_23-02-96_IDesireTree.mp3</v>
      </c>
      <c r="D1041" s="24"/>
      <c r="E1041" s="24"/>
    </row>
    <row r="1042">
      <c r="A1042" s="25" t="s">
        <v>18352</v>
      </c>
      <c r="B1042" s="25" t="s">
        <v>18360</v>
      </c>
      <c r="C1042" s="26" t="str">
        <f>HYPERLINK("https://audio.iskcondesiretree.com/02_-_ISKCON_Swamis/ISKCON_Swamis_-_R_to_Y/His_Holiness_Radhanath_Swami/Lectures/00_-_Year_wise/Devotional_Nectar_-_1996/1996-037_Even_Lord_Brahma_Stresses_Personalism_BrahamaSamhita_-_Lecture_Mumbai_-_23-02-96_IDesireTre"&amp;"e.mp3", "1996-037_Even_Lord_Brahma_Stresses_Personalism_BrahamaSamhita_-_Lecture_Mumbai_-_23-02-96_IDesireTree.mp3")</f>
        <v>1996-037_Even_Lord_Brahma_Stresses_Personalism_BrahamaSamhita_-_Lecture_Mumbai_-_23-02-96_IDesireTree.mp3</v>
      </c>
      <c r="D1042" s="24"/>
      <c r="E1042" s="24"/>
    </row>
    <row r="1043">
      <c r="A1043" s="25" t="s">
        <v>18352</v>
      </c>
      <c r="B1043" s="25" t="s">
        <v>18360</v>
      </c>
      <c r="C1043" s="26" t="str">
        <f>HYPERLINK("https://audio.iskcondesiretree.com/02_-_ISKCON_Swamis/ISKCON_Swamis_-_R_to_Y/His_Holiness_Radhanath_Swami/Lectures/00_-_Year_wise/Devotional_Nectar_-_1996/1996-038_Importance_Of_Cows_And_Bulls_SB-01_17_20_Mumbai_-_25-02-96_IDesireTree.mp3", "1996-038_Importance_Of_Cows_And_Bulls_SB-01_17_20_Mumbai_-_25-02-96_IDesireTree.mp3")</f>
        <v>1996-038_Importance_Of_Cows_And_Bulls_SB-01_17_20_Mumbai_-_25-02-96_IDesireTree.mp3</v>
      </c>
      <c r="D1043" s="24"/>
      <c r="E1043" s="24"/>
    </row>
    <row r="1044">
      <c r="A1044" s="25" t="s">
        <v>18352</v>
      </c>
      <c r="B1044" s="25" t="s">
        <v>18360</v>
      </c>
      <c r="C1044" s="26" t="str">
        <f>HYPERLINK("https://audio.iskcondesiretree.com/02_-_ISKCON_Swamis/ISKCON_Swamis_-_R_to_Y/His_Holiness_Radhanath_Swami/Lectures/00_-_Year_wise/Devotional_Nectar_-_1996/1996-039_Story_Of_Keshav_Kashmiri_Lecture_Mumbai_-_Radhanath_Swami_1996-02-25_IDesireTree.mp3", "1996-039_Story_Of_Keshav_Kashmiri_Lecture_Mumbai_-_Radhanath_Swami_1996-02-25_IDesireTree.mp3")</f>
        <v>1996-039_Story_Of_Keshav_Kashmiri_Lecture_Mumbai_-_Radhanath_Swami_1996-02-25_IDesireTree.mp3</v>
      </c>
      <c r="D1044" s="24"/>
      <c r="E1044" s="24"/>
    </row>
    <row r="1045">
      <c r="A1045" s="25" t="s">
        <v>18352</v>
      </c>
      <c r="B1045" s="25" t="s">
        <v>18360</v>
      </c>
      <c r="C1045" s="26" t="str">
        <f>HYPERLINK("https://audio.iskcondesiretree.com/02_-_ISKCON_Swamis/ISKCON_Swamis_-_R_to_Y/His_Holiness_Radhanath_Swami/Lectures/00_-_Year_wise/Devotional_Nectar_-_1996/1996-040_Proper_Discrimination_SB-01_17_23_Mumbai_-_Radhanath_Swami_1996-02-27_IDesireTree.mp3", "1996-040_Proper_Discrimination_SB-01_17_23_Mumbai_-_Radhanath_Swami_1996-02-27_IDesireTree.mp3")</f>
        <v>1996-040_Proper_Discrimination_SB-01_17_23_Mumbai_-_Radhanath_Swami_1996-02-27_IDesireTree.mp3</v>
      </c>
      <c r="D1045" s="24"/>
      <c r="E1045" s="24"/>
    </row>
    <row r="1046">
      <c r="A1046" s="25" t="s">
        <v>18352</v>
      </c>
      <c r="B1046" s="25" t="s">
        <v>18360</v>
      </c>
      <c r="C1046" s="26" t="str">
        <f>HYPERLINK("https://audio.iskcondesiretree.com/02_-_ISKCON_Swamis/ISKCON_Swamis_-_R_to_Y/His_Holiness_Radhanath_Swami/Lectures/00_-_Year_wise/Devotional_Nectar_-_1996/1996-041_Four_Principle_of_Religion_SB-01_17_25_Mumbai_-_Radhanath_Swami_1996-02-29_IDesireTree.mp3", "1996-041_Four_Principle_of_Religion_SB-01_17_25_Mumbai_-_Radhanath_Swami_1996-02-29_IDesireTree.mp3")</f>
        <v>1996-041_Four_Principle_of_Religion_SB-01_17_25_Mumbai_-_Radhanath_Swami_1996-02-29_IDesireTree.mp3</v>
      </c>
      <c r="D1046" s="24"/>
      <c r="E1046" s="24"/>
    </row>
    <row r="1047">
      <c r="A1047" s="25" t="s">
        <v>18352</v>
      </c>
      <c r="B1047" s="25" t="s">
        <v>18360</v>
      </c>
      <c r="C1047" s="26" t="str">
        <f>HYPERLINK("https://audio.iskcondesiretree.com/02_-_ISKCON_Swamis/ISKCON_Swamis_-_R_to_Y/His_Holiness_Radhanath_Swami/Lectures/00_-_Year_wise/Devotional_Nectar_-_1996/1996-042_Mother_Earth_SB-01_17_26-27_Mumbai_-_Radhanath_Swami_1996-03-01_IDesireTree.mp3", "1996-042_Mother_Earth_SB-01_17_26-27_Mumbai_-_Radhanath_Swami_1996-03-01_IDesireTree.mp3")</f>
        <v>1996-042_Mother_Earth_SB-01_17_26-27_Mumbai_-_Radhanath_Swami_1996-03-01_IDesireTree.mp3</v>
      </c>
      <c r="D1047" s="24"/>
      <c r="E1047" s="24"/>
    </row>
    <row r="1048">
      <c r="A1048" s="25" t="s">
        <v>18352</v>
      </c>
      <c r="B1048" s="25" t="s">
        <v>18360</v>
      </c>
      <c r="C1048" s="26" t="str">
        <f>HYPERLINK("https://audio.iskcondesiretree.com/02_-_ISKCON_Swamis/ISKCON_Swamis_-_R_to_Y/His_Holiness_Radhanath_Swami/Lectures/00_-_Year_wise/Devotional_Nectar_-_1996/1996-043_Yoga_Means_Activity_For_Purification_BG-05_11_Mumbai_-_01-03-96_IDesireTree.mp3", "1996-043_Yoga_Means_Activity_For_Purification_BG-05_11_Mumbai_-_01-03-96_IDesireTree.mp3")</f>
        <v>1996-043_Yoga_Means_Activity_For_Purification_BG-05_11_Mumbai_-_01-03-96_IDesireTree.mp3</v>
      </c>
      <c r="D1048" s="24"/>
      <c r="E1048" s="24"/>
    </row>
    <row r="1049">
      <c r="A1049" s="25" t="s">
        <v>18352</v>
      </c>
      <c r="B1049" s="25" t="s">
        <v>18360</v>
      </c>
      <c r="C1049" s="26" t="str">
        <f>HYPERLINK("https://audio.iskcondesiretree.com/02_-_ISKCON_Swamis/ISKCON_Swamis_-_R_to_Y/His_Holiness_Radhanath_Swami/Lectures/00_-_Year_wise/Devotional_Nectar_-_1996/1996-044_Srila_Madhavendra_Puri_Disappearance_Day_Festival_Lecture_Mumbai_-_02-03-96_IDesireTree.mp3", "1996-044_Srila_Madhavendra_Puri_Disappearance_Day_Festival_Lecture_Mumbai_-_02-03-96_IDesireTree.mp3")</f>
        <v>1996-044_Srila_Madhavendra_Puri_Disappearance_Day_Festival_Lecture_Mumbai_-_02-03-96_IDesireTree.mp3</v>
      </c>
      <c r="D1049" s="24"/>
      <c r="E1049" s="24"/>
    </row>
    <row r="1050">
      <c r="A1050" s="25" t="s">
        <v>18352</v>
      </c>
      <c r="B1050" s="25" t="s">
        <v>18360</v>
      </c>
      <c r="C1050" s="26" t="str">
        <f>HYPERLINK("https://audio.iskcondesiretree.com/02_-_ISKCON_Swamis/ISKCON_Swamis_-_R_to_Y/His_Holiness_Radhanath_Swami/Lectures/00_-_Year_wise/Devotional_Nectar_-_1996/1996-045_Lord_Chaitanya_Visits_Kulia_Gram_Lecture_Mumbai_-_03-03-96_IDesireTree.mp3", "1996-045_Lord_Chaitanya_Visits_Kulia_Gram_Lecture_Mumbai_-_03-03-96_IDesireTree.mp3")</f>
        <v>1996-045_Lord_Chaitanya_Visits_Kulia_Gram_Lecture_Mumbai_-_03-03-96_IDesireTree.mp3</v>
      </c>
      <c r="D1050" s="24"/>
      <c r="E1050" s="24"/>
    </row>
    <row r="1051">
      <c r="A1051" s="25" t="s">
        <v>18352</v>
      </c>
      <c r="B1051" s="25" t="s">
        <v>18360</v>
      </c>
      <c r="C1051" s="26" t="str">
        <f>HYPERLINK("https://audio.iskcondesiretree.com/02_-_ISKCON_Swamis/ISKCON_Swamis_-_R_to_Y/His_Holiness_Radhanath_Swami/Lectures/00_-_Year_wise/Devotional_Nectar_-_1996/1996-046_Pastimes_Of_Mahaprabhu_Performing_Drama_Lecture_Mumbai_-_04-03-96_IDesireTree.mp3", "1996-046_Pastimes_Of_Mahaprabhu_Performing_Drama_Lecture_Mumbai_-_04-03-96_IDesireTree.mp3")</f>
        <v>1996-046_Pastimes_Of_Mahaprabhu_Performing_Drama_Lecture_Mumbai_-_04-03-96_IDesireTree.mp3</v>
      </c>
      <c r="D1051" s="24"/>
      <c r="E1051" s="24"/>
    </row>
    <row r="1052">
      <c r="A1052" s="25" t="s">
        <v>18352</v>
      </c>
      <c r="B1052" s="25" t="s">
        <v>18360</v>
      </c>
      <c r="C1052" s="26" t="str">
        <f>HYPERLINK("https://audio.iskcondesiretree.com/02_-_ISKCON_Swamis/ISKCON_Swamis_-_R_to_Y/His_Holiness_Radhanath_Swami/Lectures/00_-_Year_wise/Devotional_Nectar_-_1996/1996-047_Navadwip_Pastimes_Of_Lord_Caitanya_Lecture_Mumbai_-_05-03-96_IDesireTree.mp3", "1996-047_Navadwip_Pastimes_Of_Lord_Caitanya_Lecture_Mumbai_-_05-03-96_IDesireTree.mp3")</f>
        <v>1996-047_Navadwip_Pastimes_Of_Lord_Caitanya_Lecture_Mumbai_-_05-03-96_IDesireTree.mp3</v>
      </c>
      <c r="D1052" s="24"/>
      <c r="E1052" s="24"/>
    </row>
    <row r="1053">
      <c r="A1053" s="25" t="s">
        <v>18352</v>
      </c>
      <c r="B1053" s="25" t="s">
        <v>18360</v>
      </c>
      <c r="C1053" s="26" t="str">
        <f>HYPERLINK("https://audio.iskcondesiretree.com/02_-_ISKCON_Swamis/ISKCON_Swamis_-_R_to_Y/His_Holiness_Radhanath_Swami/Lectures/00_-_Year_wise/Devotional_Nectar_-_1996/1996-048_Compassion_Of_Caitanya_Mahaprabhu_Lecture_Mumbai_-_05-03-96_IDesireTree.mp3", "1996-048_Compassion_Of_Caitanya_Mahaprabhu_Lecture_Mumbai_-_05-03-96_IDesireTree.mp3")</f>
        <v>1996-048_Compassion_Of_Caitanya_Mahaprabhu_Lecture_Mumbai_-_05-03-96_IDesireTree.mp3</v>
      </c>
      <c r="D1053" s="24"/>
      <c r="E1053" s="24"/>
    </row>
    <row r="1054">
      <c r="A1054" s="25" t="s">
        <v>18352</v>
      </c>
      <c r="B1054" s="25" t="s">
        <v>18360</v>
      </c>
      <c r="C1054" s="26" t="str">
        <f>HYPERLINK("https://audio.iskcondesiretree.com/02_-_ISKCON_Swamis/ISKCON_Swamis_-_R_to_Y/His_Holiness_Radhanath_Swami/Lectures/00_-_Year_wise/Devotional_Nectar_-_1996/1996-049_Faults_Of_Impersonalism_Lecture_Mumbai_-_Radhanath_Swami_1996-03-06_IDesireTree.mp3", "1996-049_Faults_Of_Impersonalism_Lecture_Mumbai_-_Radhanath_Swami_1996-03-06_IDesireTree.mp3")</f>
        <v>1996-049_Faults_Of_Impersonalism_Lecture_Mumbai_-_Radhanath_Swami_1996-03-06_IDesireTree.mp3</v>
      </c>
      <c r="D1054" s="24"/>
      <c r="E1054" s="24"/>
    </row>
    <row r="1055">
      <c r="A1055" s="25" t="s">
        <v>18352</v>
      </c>
      <c r="B1055" s="25" t="s">
        <v>18360</v>
      </c>
      <c r="C1055" s="26" t="str">
        <f>HYPERLINK("https://audio.iskcondesiretree.com/02_-_ISKCON_Swamis/ISKCON_Swamis_-_R_to_Y/His_Holiness_Radhanath_Swami/Lectures/00_-_Year_wise/Devotional_Nectar_-_1996/1996-050_The_Ultimate_Purpose_Of_Life_SB-03_25_13_Mumbai_-_09-03-96_IDesireTree.mp3", "1996-050_The_Ultimate_Purpose_Of_Life_SB-03_25_13_Mumbai_-_09-03-96_IDesireTree.mp3")</f>
        <v>1996-050_The_Ultimate_Purpose_Of_Life_SB-03_25_13_Mumbai_-_09-03-96_IDesireTree.mp3</v>
      </c>
      <c r="D1055" s="24"/>
      <c r="E1055" s="24"/>
    </row>
    <row r="1056">
      <c r="A1056" s="25" t="s">
        <v>18352</v>
      </c>
      <c r="B1056" s="25" t="s">
        <v>18360</v>
      </c>
      <c r="C1056" s="26" t="str">
        <f>HYPERLINK("https://audio.iskcondesiretree.com/02_-_ISKCON_Swamis/ISKCON_Swamis_-_R_to_Y/His_Holiness_Radhanath_Swami/Lectures/00_-_Year_wise/Devotional_Nectar_-_1996/1996-051_Strong_Leader_Can_Stop_Effect_Of_Kali_SB-01_17_35_Mumbai_-_10-03-96_IDesireTree.mp3", "1996-051_Strong_Leader_Can_Stop_Effect_Of_Kali_SB-01_17_35_Mumbai_-_10-03-96_IDesireTree.mp3")</f>
        <v>1996-051_Strong_Leader_Can_Stop_Effect_Of_Kali_SB-01_17_35_Mumbai_-_10-03-96_IDesireTree.mp3</v>
      </c>
      <c r="D1056" s="24"/>
      <c r="E1056" s="24"/>
    </row>
    <row r="1057">
      <c r="A1057" s="25" t="s">
        <v>18352</v>
      </c>
      <c r="B1057" s="25" t="s">
        <v>18360</v>
      </c>
      <c r="C1057" s="26" t="str">
        <f>HYPERLINK("https://audio.iskcondesiretree.com/02_-_ISKCON_Swamis/ISKCON_Swamis_-_R_to_Y/His_Holiness_Radhanath_Swami/Lectures/00_-_Year_wise/Devotional_Nectar_-_1996/1996-052_Mercy_Of_Lord_Nityananda_Lecture_Mumbai_-_Radhanath_Swami_1996-03-10_IDesireTree.mp3", "1996-052_Mercy_Of_Lord_Nityananda_Lecture_Mumbai_-_Radhanath_Swami_1996-03-10_IDesireTree.mp3")</f>
        <v>1996-052_Mercy_Of_Lord_Nityananda_Lecture_Mumbai_-_Radhanath_Swami_1996-03-10_IDesireTree.mp3</v>
      </c>
      <c r="D1057" s="24"/>
      <c r="E1057" s="24"/>
    </row>
    <row r="1058">
      <c r="A1058" s="25" t="s">
        <v>18352</v>
      </c>
      <c r="B1058" s="25" t="s">
        <v>18360</v>
      </c>
      <c r="C1058" s="26" t="str">
        <f>HYPERLINK("https://audio.iskcondesiretree.com/02_-_ISKCON_Swamis/ISKCON_Swamis_-_R_to_Y/His_Holiness_Radhanath_Swami/Lectures/00_-_Year_wise/Devotional_Nectar_-_1996/1996-053_Glorification_Of_HH_Gaur_Govind_Swami_Lecture_Mumbai_-_13-03-96_IDesireTree.mp3", "1996-053_Glorification_Of_HH_Gaur_Govind_Swami_Lecture_Mumbai_-_13-03-96_IDesireTree.mp3")</f>
        <v>1996-053_Glorification_Of_HH_Gaur_Govind_Swami_Lecture_Mumbai_-_13-03-96_IDesireTree.mp3</v>
      </c>
      <c r="D1058" s="24"/>
      <c r="E1058" s="24"/>
    </row>
    <row r="1059">
      <c r="A1059" s="25" t="s">
        <v>18352</v>
      </c>
      <c r="B1059" s="25" t="s">
        <v>18360</v>
      </c>
      <c r="C1059" s="26" t="str">
        <f>HYPERLINK("https://audio.iskcondesiretree.com/02_-_ISKCON_Swamis/ISKCON_Swamis_-_R_to_Y/His_Holiness_Radhanath_Swami/Lectures/00_-_Year_wise/Devotional_Nectar_-_1996/1996-054_Kaliyuga_SB-01_17_40_Mumbai_-_Radhanath_Swami_1996-03-15_IDesireTree.mp3", "1996-054_Kaliyuga_SB-01_17_40_Mumbai_-_Radhanath_Swami_1996-03-15_IDesireTree.mp3")</f>
        <v>1996-054_Kaliyuga_SB-01_17_40_Mumbai_-_Radhanath_Swami_1996-03-15_IDesireTree.mp3</v>
      </c>
      <c r="D1059" s="24"/>
      <c r="E1059" s="24"/>
    </row>
    <row r="1060">
      <c r="A1060" s="25" t="s">
        <v>18352</v>
      </c>
      <c r="B1060" s="25" t="s">
        <v>18360</v>
      </c>
      <c r="C1060" s="26" t="str">
        <f>HYPERLINK("https://audio.iskcondesiretree.com/02_-_ISKCON_Swamis/ISKCON_Swamis_-_R_to_Y/His_Holiness_Radhanath_Swami/Lectures/00_-_Year_wise/Devotional_Nectar_-_1996/1996-055_Where_To_Attach_Oneself_Ht_-_BG-07_01_Mumbai_-_Radhanath_Swami_1996-03-16_IDesireTree.mp3", "1996-055_Where_To_Attach_Oneself_Ht_-_BG-07_01_Mumbai_-_Radhanath_Swami_1996-03-16_IDesireTree.mp3")</f>
        <v>1996-055_Where_To_Attach_Oneself_Ht_-_BG-07_01_Mumbai_-_Radhanath_Swami_1996-03-16_IDesireTree.mp3</v>
      </c>
      <c r="D1060" s="24"/>
      <c r="E1060" s="24"/>
    </row>
    <row r="1061">
      <c r="A1061" s="25" t="s">
        <v>18352</v>
      </c>
      <c r="B1061" s="25" t="s">
        <v>18360</v>
      </c>
      <c r="C1061" s="26" t="str">
        <f>HYPERLINK("https://audio.iskcondesiretree.com/02_-_ISKCON_Swamis/ISKCON_Swamis_-_R_to_Y/His_Holiness_Radhanath_Swami/Lectures/00_-_Year_wise/Devotional_Nectar_-_1996/1996-056_My_First_Meeting_With_Srila_Prabhupada_Lecture_Mumbai_-_16-03-96_IDesireTree.mp3", "1996-056_My_First_Meeting_With_Srila_Prabhupada_Lecture_Mumbai_-_16-03-96_IDesireTree.mp3")</f>
        <v>1996-056_My_First_Meeting_With_Srila_Prabhupada_Lecture_Mumbai_-_16-03-96_IDesireTree.mp3</v>
      </c>
      <c r="D1061" s="24"/>
      <c r="E1061" s="24"/>
    </row>
    <row r="1062">
      <c r="A1062" s="25" t="s">
        <v>18352</v>
      </c>
      <c r="B1062" s="25" t="s">
        <v>18360</v>
      </c>
      <c r="C1062" s="26" t="str">
        <f>HYPERLINK("https://audio.iskcondesiretree.com/02_-_ISKCON_Swamis/ISKCON_Swamis_-_R_to_Y/His_Holiness_Radhanath_Swami/Lectures/00_-_Year_wise/Devotional_Nectar_-_1996/1996-057_One%27s_Ashram_Is_Not_Important_SB-10_02_10_Mumbai_-_17-03-96_IDesireTree.mp3", "1996-057_One%27s_Ashram_Is_Not_Important_SB-10_02_10_Mumbai_-_17-03-96_IDesireTree.mp3")</f>
        <v>1996-057_One%27s_Ashram_Is_Not_Important_SB-10_02_10_Mumbai_-_17-03-96_IDesireTree.mp3</v>
      </c>
      <c r="D1062" s="24"/>
      <c r="E1062" s="24"/>
    </row>
    <row r="1063">
      <c r="A1063" s="25" t="s">
        <v>18352</v>
      </c>
      <c r="B1063" s="25" t="s">
        <v>18360</v>
      </c>
      <c r="C1063" s="26" t="str">
        <f>HYPERLINK("https://audio.iskcondesiretree.com/02_-_ISKCON_Swamis/ISKCON_Swamis_-_R_to_Y/His_Holiness_Radhanath_Swami/Lectures/00_-_Year_wise/Devotional_Nectar_-_1996/1996-058_Great_King_Prataprudra_CC_-_Radhanath_Swami_IDesireTree.mp3", "1996-058_Great_King_Prataprudra_CC_-_Radhanath_Swami_IDesireTree.mp3")</f>
        <v>1996-058_Great_King_Prataprudra_CC_-_Radhanath_Swami_IDesireTree.mp3</v>
      </c>
      <c r="D1063" s="24"/>
      <c r="E1063" s="24"/>
    </row>
    <row r="1064">
      <c r="A1064" s="25" t="s">
        <v>18352</v>
      </c>
      <c r="B1064" s="25" t="s">
        <v>18360</v>
      </c>
      <c r="C1064" s="26" t="str">
        <f>HYPERLINK("https://audio.iskcondesiretree.com/02_-_ISKCON_Swamis/ISKCON_Swamis_-_R_to_Y/His_Holiness_Radhanath_Swami/Lectures/00_-_Year_wise/Devotional_Nectar_-_1996/1996-059_Krsna_Protects_Great_Devotee_SB-01_18_02_Mumbai_-_23-03-96_IDesireTree.mp3", "1996-059_Krsna_Protects_Great_Devotee_SB-01_18_02_Mumbai_-_23-03-96_IDesireTree.mp3")</f>
        <v>1996-059_Krsna_Protects_Great_Devotee_SB-01_18_02_Mumbai_-_23-03-96_IDesireTree.mp3</v>
      </c>
      <c r="D1064" s="24"/>
      <c r="E1064" s="24"/>
    </row>
    <row r="1065">
      <c r="A1065" s="25" t="s">
        <v>18352</v>
      </c>
      <c r="B1065" s="25" t="s">
        <v>18360</v>
      </c>
      <c r="C1065" s="26" t="str">
        <f>HYPERLINK("https://audio.iskcondesiretree.com/02_-_ISKCON_Swamis/ISKCON_Swamis_-_R_to_Y/His_Holiness_Radhanath_Swami/Lectures/00_-_Year_wise/Devotional_Nectar_-_1996/1996-060_What_Is_Supreme_Wealth_Lecture_Mumbai_-_Radhanath_Swami_1996-03-23_IDesireTree.mp3", "1996-060_What_Is_Supreme_Wealth_Lecture_Mumbai_-_Radhanath_Swami_1996-03-23_IDesireTree.mp3")</f>
        <v>1996-060_What_Is_Supreme_Wealth_Lecture_Mumbai_-_Radhanath_Swami_1996-03-23_IDesireTree.mp3</v>
      </c>
      <c r="D1065" s="24"/>
      <c r="E1065" s="24"/>
    </row>
    <row r="1066">
      <c r="A1066" s="25" t="s">
        <v>18352</v>
      </c>
      <c r="B1066" s="25" t="s">
        <v>18360</v>
      </c>
      <c r="C1066" s="26" t="str">
        <f>HYPERLINK("https://audio.iskcondesiretree.com/02_-_ISKCON_Swamis/ISKCON_Swamis_-_R_to_Y/His_Holiness_Radhanath_Swami/Lectures/00_-_Year_wise/Devotional_Nectar_-_1996/1996-061_Faith_Removes_Fear_SB-01_18_04_Mumbai_-_Radhanath_Swami_1996-03-24_IDesireTree.mp3", "1996-061_Faith_Removes_Fear_SB-01_18_04_Mumbai_-_Radhanath_Swami_1996-03-24_IDesireTree.mp3")</f>
        <v>1996-061_Faith_Removes_Fear_SB-01_18_04_Mumbai_-_Radhanath_Swami_1996-03-24_IDesireTree.mp3</v>
      </c>
      <c r="D1066" s="24"/>
      <c r="E1066" s="24"/>
    </row>
    <row r="1067">
      <c r="A1067" s="25" t="s">
        <v>18352</v>
      </c>
      <c r="B1067" s="25" t="s">
        <v>18360</v>
      </c>
      <c r="C1067" s="26" t="str">
        <f>HYPERLINK("https://audio.iskcondesiretree.com/02_-_ISKCON_Swamis/ISKCON_Swamis_-_R_to_Y/His_Holiness_Radhanath_Swami/Lectures/00_-_Year_wise/Devotional_Nectar_-_1996/1996-062_RamanujAcharya_Appearence_Day_BG-03_34_Mumbai_-_Radhanath_Swami_1996-03-24_IDesireTree.mp3", "1996-062_RamanujAcharya_Appearence_Day_BG-03_34_Mumbai_-_Radhanath_Swami_1996-03-24_IDesireTree.mp3")</f>
        <v>1996-062_RamanujAcharya_Appearence_Day_BG-03_34_Mumbai_-_Radhanath_Swami_1996-03-24_IDesireTree.mp3</v>
      </c>
      <c r="D1067" s="24"/>
      <c r="E1067" s="24"/>
    </row>
    <row r="1068">
      <c r="A1068" s="25" t="s">
        <v>18352</v>
      </c>
      <c r="B1068" s="25" t="s">
        <v>18360</v>
      </c>
      <c r="C1068" s="26" t="str">
        <f>HYPERLINK("https://audio.iskcondesiretree.com/02_-_ISKCON_Swamis/ISKCON_Swamis_-_R_to_Y/His_Holiness_Radhanath_Swami/Lectures/00_-_Year_wise/Devotional_Nectar_-_1996/1996-063_Initiation_Lecture_Lecture_Mumbai_-_Radhanath_Swami_1996-03-28_IDesireTree.mp3", "1996-063_Initiation_Lecture_Lecture_Mumbai_-_Radhanath_Swami_1996-03-28_IDesireTree.mp3")</f>
        <v>1996-063_Initiation_Lecture_Lecture_Mumbai_-_Radhanath_Swami_1996-03-28_IDesireTree.mp3</v>
      </c>
      <c r="D1068" s="24"/>
      <c r="E1068" s="24"/>
    </row>
    <row r="1069">
      <c r="A1069" s="25" t="s">
        <v>18352</v>
      </c>
      <c r="B1069" s="25" t="s">
        <v>18360</v>
      </c>
      <c r="C1069" s="26" t="str">
        <f>HYPERLINK("https://audio.iskcondesiretree.com/02_-_ISKCON_Swamis/ISKCON_Swamis_-_R_to_Y/His_Holiness_Radhanath_Swami/Lectures/00_-_Year_wise/Devotional_Nectar_-_1996/1996-064_Initiation_Lecture_Fire_Sacrifice_-_Lecture_Mumbai_-_28-03-96_IDesireTree.mp3", "1996-064_Initiation_Lecture_Fire_Sacrifice_-_Lecture_Mumbai_-_28-03-96_IDesireTree.mp3")</f>
        <v>1996-064_Initiation_Lecture_Fire_Sacrifice_-_Lecture_Mumbai_-_28-03-96_IDesireTree.mp3</v>
      </c>
      <c r="D1069" s="24"/>
      <c r="E1069" s="24"/>
    </row>
    <row r="1070">
      <c r="A1070" s="25" t="s">
        <v>18352</v>
      </c>
      <c r="B1070" s="25" t="s">
        <v>18360</v>
      </c>
      <c r="C1070" s="26" t="str">
        <f>HYPERLINK("https://audio.iskcondesiretree.com/02_-_ISKCON_Swamis/ISKCON_Swamis_-_R_to_Y/His_Holiness_Radhanath_Swami/Lectures/00_-_Year_wise/Devotional_Nectar_-_1996/1996-065_Shyamsunder_Prabhu_Remember_Srila_Prabhupada_Lecture_Mumbai_-_28-03-96_IDesireTree.mp3", "1996-065_Shyamsunder_Prabhu_Remember_Srila_Prabhupada_Lecture_Mumbai_-_28-03-96_IDesireTree.mp3")</f>
        <v>1996-065_Shyamsunder_Prabhu_Remember_Srila_Prabhupada_Lecture_Mumbai_-_28-03-96_IDesireTree.mp3</v>
      </c>
      <c r="D1070" s="24"/>
      <c r="E1070" s="24"/>
    </row>
    <row r="1071">
      <c r="A1071" s="25" t="s">
        <v>18352</v>
      </c>
      <c r="B1071" s="25" t="s">
        <v>18360</v>
      </c>
      <c r="C1071" s="26" t="str">
        <f>HYPERLINK("https://audio.iskcondesiretree.com/02_-_ISKCON_Swamis/ISKCON_Swamis_-_R_to_Y/His_Holiness_Radhanath_Swami/Lectures/00_-_Year_wise/Devotional_Nectar_-_1996/1996-066_Teachings_Of_Lord_Rama_Lectures_Mumbai_-_Radhanath_Swami_1996-03-30_IDesireTree.mp3", "1996-066_Teachings_Of_Lord_Rama_Lectures_Mumbai_-_Radhanath_Swami_1996-03-30_IDesireTree.mp3")</f>
        <v>1996-066_Teachings_Of_Lord_Rama_Lectures_Mumbai_-_Radhanath_Swami_1996-03-30_IDesireTree.mp3</v>
      </c>
      <c r="D1071" s="24"/>
      <c r="E1071" s="24"/>
    </row>
    <row r="1072">
      <c r="A1072" s="25" t="s">
        <v>18352</v>
      </c>
      <c r="B1072" s="25" t="s">
        <v>18360</v>
      </c>
      <c r="C1072" s="26" t="str">
        <f>HYPERLINK("https://audio.iskcondesiretree.com/02_-_ISKCON_Swamis/ISKCON_Swamis_-_R_to_Y/His_Holiness_Radhanath_Swami/Lectures/00_-_Year_wise/Devotional_Nectar_-_1996/1996-067_Lord_Never_Appears_Alone_SB-01_18_9_Mumbai_-_Radhanath_Swami_1996-03-29_IDesireTree.mp3", "1996-067_Lord_Never_Appears_Alone_SB-01_18_9_Mumbai_-_Radhanath_Swami_1996-03-29_IDesireTree.mp3")</f>
        <v>1996-067_Lord_Never_Appears_Alone_SB-01_18_9_Mumbai_-_Radhanath_Swami_1996-03-29_IDesireTree.mp3</v>
      </c>
      <c r="D1072" s="24"/>
      <c r="E1072" s="24"/>
    </row>
    <row r="1073">
      <c r="A1073" s="25" t="s">
        <v>18352</v>
      </c>
      <c r="B1073" s="25" t="s">
        <v>18360</v>
      </c>
      <c r="C1073" s="26" t="str">
        <f>HYPERLINK("https://audio.iskcondesiretree.com/02_-_ISKCON_Swamis/ISKCON_Swamis_-_R_to_Y/His_Holiness_Radhanath_Swami/Lectures/00_-_Year_wise/Devotional_Nectar_-_1996/1996-068_Pastimes_Of_Lord_Rama_SB-09_10_02_Mumbai_-_Radhanath_Swami_1996-03-29_IDesireTree.mp3", "1996-068_Pastimes_Of_Lord_Rama_SB-09_10_02_Mumbai_-_Radhanath_Swami_1996-03-29_IDesireTree.mp3")</f>
        <v>1996-068_Pastimes_Of_Lord_Rama_SB-09_10_02_Mumbai_-_Radhanath_Swami_1996-03-29_IDesireTree.mp3</v>
      </c>
      <c r="D1073" s="24"/>
      <c r="E1073" s="24"/>
    </row>
    <row r="1074">
      <c r="A1074" s="25" t="s">
        <v>18352</v>
      </c>
      <c r="B1074" s="25" t="s">
        <v>18360</v>
      </c>
      <c r="C1074" s="26" t="str">
        <f>HYPERLINK("https://audio.iskcondesiretree.com/02_-_ISKCON_Swamis/ISKCON_Swamis_-_R_to_Y/His_Holiness_Radhanath_Swami/Lectures/00_-_Year_wise/Devotional_Nectar_-_1996/1996-069_Glorify_Devotees_Inspite_Of_Our_Ego_Lecture_Mumbai_-_31-03-96_IDesireTree.mp3", "1996-069_Glorify_Devotees_Inspite_Of_Our_Ego_Lecture_Mumbai_-_31-03-96_IDesireTree.mp3")</f>
        <v>1996-069_Glorify_Devotees_Inspite_Of_Our_Ego_Lecture_Mumbai_-_31-03-96_IDesireTree.mp3</v>
      </c>
      <c r="D1074" s="24"/>
      <c r="E1074" s="24"/>
    </row>
    <row r="1075">
      <c r="A1075" s="25" t="s">
        <v>18352</v>
      </c>
      <c r="B1075" s="25" t="s">
        <v>18360</v>
      </c>
      <c r="C1075" s="26" t="str">
        <f>HYPERLINK("https://audio.iskcondesiretree.com/02_-_ISKCON_Swamis/ISKCON_Swamis_-_R_to_Y/His_Holiness_Radhanath_Swami/Lectures/00_-_Year_wise/Devotional_Nectar_-_1996/1996-070_Saffron_Awarding_Ceremony_Lecture_Mumbai_-_Radhanath_Swami_1996-04-03_IDesireTree.mp3", "1996-070_Saffron_Awarding_Ceremony_Lecture_Mumbai_-_Radhanath_Swami_1996-04-03_IDesireTree.mp3")</f>
        <v>1996-070_Saffron_Awarding_Ceremony_Lecture_Mumbai_-_Radhanath_Swami_1996-04-03_IDesireTree.mp3</v>
      </c>
      <c r="D1075" s="24"/>
      <c r="E1075" s="24"/>
    </row>
    <row r="1076">
      <c r="A1076" s="25" t="s">
        <v>18352</v>
      </c>
      <c r="B1076" s="25" t="s">
        <v>18360</v>
      </c>
      <c r="C1076" s="26" t="str">
        <f>HYPERLINK("https://audio.iskcondesiretree.com/02_-_ISKCON_Swamis/ISKCON_Swamis_-_R_to_Y/His_Holiness_Radhanath_Swami/Lectures/00_-_Year_wise/Devotional_Nectar_-_1996/1996-071_Sri_Hanuman%27s_Pastimes_Lecture_Mumbai_-_Radhanath_Swami_1996-04-03_new_IDesireTree.mp3", "1996-071_Sri_Hanuman%27s_Pastimes_Lecture_Mumbai_-_Radhanath_Swami_1996-04-03_new_IDesireTree.mp3")</f>
        <v>1996-071_Sri_Hanuman%27s_Pastimes_Lecture_Mumbai_-_Radhanath_Swami_1996-04-03_new_IDesireTree.mp3</v>
      </c>
      <c r="D1076" s="24"/>
      <c r="E1076" s="24"/>
    </row>
    <row r="1077">
      <c r="A1077" s="25" t="s">
        <v>18352</v>
      </c>
      <c r="B1077" s="25" t="s">
        <v>18360</v>
      </c>
      <c r="C1077" s="26" t="str">
        <f>HYPERLINK("https://audio.iskcondesiretree.com/02_-_ISKCON_Swamis/ISKCON_Swamis_-_R_to_Y/His_Holiness_Radhanath_Swami/Lectures/00_-_Year_wise/Devotional_Nectar_-_1996/1996-072_Real_Wealth_Is_Krishna_Consciousness_BG-12_08_Mumbai_-_06-04-96_IDesireTree.mp3", "1996-072_Real_Wealth_Is_Krishna_Consciousness_BG-12_08_Mumbai_-_06-04-96_IDesireTree.mp3")</f>
        <v>1996-072_Real_Wealth_Is_Krishna_Consciousness_BG-12_08_Mumbai_-_06-04-96_IDesireTree.mp3</v>
      </c>
      <c r="D1077" s="24"/>
      <c r="E1077" s="24"/>
    </row>
    <row r="1078">
      <c r="A1078" s="25" t="s">
        <v>18352</v>
      </c>
      <c r="B1078" s="25" t="s">
        <v>18360</v>
      </c>
      <c r="C1078" s="26" t="str">
        <f>HYPERLINK("https://audio.iskcondesiretree.com/02_-_ISKCON_Swamis/ISKCON_Swamis_-_R_to_Y/His_Holiness_Radhanath_Swami/Lectures/00_-_Year_wise/Devotional_Nectar_-_1996/1996-073_How_Insignificant_We_Are%21_BG-08_18_Mumbai_-_Radhanath_Swami_1996-04-07_IDesireTree.mp3", "1996-073_How_Insignificant_We_Are%21_BG-08_18_Mumbai_-_Radhanath_Swami_1996-04-07_IDesireTree.mp3")</f>
        <v>1996-073_How_Insignificant_We_Are%21_BG-08_18_Mumbai_-_Radhanath_Swami_1996-04-07_IDesireTree.mp3</v>
      </c>
      <c r="D1078" s="24"/>
      <c r="E1078" s="24"/>
    </row>
    <row r="1079">
      <c r="A1079" s="25" t="s">
        <v>18352</v>
      </c>
      <c r="B1079" s="25" t="s">
        <v>18360</v>
      </c>
      <c r="C1079" s="26" t="str">
        <f>HYPERLINK("https://audio.iskcondesiretree.com/02_-_ISKCON_Swamis/ISKCON_Swamis_-_R_to_Y/His_Holiness_Radhanath_Swami/Lectures/00_-_Year_wise/Devotional_Nectar_-_1996/1996-074_Qualification_Is_More_Important_Than_Birth_SB-01_18_18_Mumbai_-_07-04-96_IDesireTree.mp3", "1996-074_Qualification_Is_More_Important_Than_Birth_SB-01_18_18_Mumbai_-_07-04-96_IDesireTree.mp3")</f>
        <v>1996-074_Qualification_Is_More_Important_Than_Birth_SB-01_18_18_Mumbai_-_07-04-96_IDesireTree.mp3</v>
      </c>
      <c r="D1079" s="24"/>
      <c r="E1079" s="24"/>
    </row>
    <row r="1080">
      <c r="A1080" s="25" t="s">
        <v>18352</v>
      </c>
      <c r="B1080" s="25" t="s">
        <v>18360</v>
      </c>
      <c r="C1080" s="26" t="str">
        <f>HYPERLINK("https://audio.iskcondesiretree.com/02_-_ISKCON_Swamis/ISKCON_Swamis_-_R_to_Y/His_Holiness_Radhanath_Swami/Lectures/00_-_Year_wise/Devotional_Nectar_-_1996/1996-075_Purify_Our_Heart_BG-03_20_Pune_-_Radhanath_Swami_1996-04-09_IDesireTree.mp3", "1996-075_Purify_Our_Heart_BG-03_20_Pune_-_Radhanath_Swami_1996-04-09_IDesireTree.mp3")</f>
        <v>1996-075_Purify_Our_Heart_BG-03_20_Pune_-_Radhanath_Swami_1996-04-09_IDesireTree.mp3</v>
      </c>
      <c r="D1080" s="24"/>
      <c r="E1080" s="24"/>
    </row>
    <row r="1081">
      <c r="A1081" s="25" t="s">
        <v>18352</v>
      </c>
      <c r="B1081" s="25" t="s">
        <v>18360</v>
      </c>
      <c r="C1081" s="26" t="str">
        <f>HYPERLINK("https://audio.iskcondesiretree.com/02_-_ISKCON_Swamis/ISKCON_Swamis_-_R_to_Y/His_Holiness_Radhanath_Swami/Lectures/00_-_Year_wise/Devotional_Nectar_-_1996/1996-076_Give_Up_Envy_And_Cooperate_SB-04_19_01-02_Pune_-_Radhanath_Swami_1996-04-10_IDesireTree.mp3", "1996-076_Give_Up_Envy_And_Cooperate_SB-04_19_01-02_Pune_-_Radhanath_Swami_1996-04-10_IDesireTree.mp3")</f>
        <v>1996-076_Give_Up_Envy_And_Cooperate_SB-04_19_01-02_Pune_-_Radhanath_Swami_1996-04-10_IDesireTree.mp3</v>
      </c>
      <c r="D1081" s="24"/>
      <c r="E1081" s="24"/>
    </row>
    <row r="1082">
      <c r="A1082" s="25" t="s">
        <v>18352</v>
      </c>
      <c r="B1082" s="25" t="s">
        <v>18360</v>
      </c>
      <c r="C1082" s="26" t="str">
        <f>HYPERLINK("https://audio.iskcondesiretree.com/02_-_ISKCON_Swamis/ISKCON_Swamis_-_R_to_Y/His_Holiness_Radhanath_Swami/Lectures/00_-_Year_wise/Devotional_Nectar_-_1996/1996-077_Abhiram_Gopal_Thakur_Appearence_Day_Lecture_Pune_-_10-04-96_IDesireTree.mp3", "1996-077_Abhiram_Gopal_Thakur_Appearence_Day_Lecture_Pune_-_10-04-96_IDesireTree.mp3")</f>
        <v>1996-077_Abhiram_Gopal_Thakur_Appearence_Day_Lecture_Pune_-_10-04-96_IDesireTree.mp3</v>
      </c>
      <c r="D1082" s="24"/>
      <c r="E1082" s="24"/>
    </row>
    <row r="1083">
      <c r="A1083" s="25" t="s">
        <v>18352</v>
      </c>
      <c r="B1083" s="25" t="s">
        <v>18360</v>
      </c>
      <c r="C1083" s="26" t="str">
        <f>HYPERLINK("https://audio.iskcondesiretree.com/02_-_ISKCON_Swamis/ISKCON_Swamis_-_R_to_Y/His_Holiness_Radhanath_Swami/Lectures/00_-_Year_wise/Devotional_Nectar_-_1996/1996-078_Transcendental_Sight_Seeing_SB-02_03_22_Pune_-_Radhanath_Swami_1996-04-11_IDesireTree.mp3", "1996-078_Transcendental_Sight_Seeing_SB-02_03_22_Pune_-_Radhanath_Swami_1996-04-11_IDesireTree.mp3")</f>
        <v>1996-078_Transcendental_Sight_Seeing_SB-02_03_22_Pune_-_Radhanath_Swami_1996-04-11_IDesireTree.mp3</v>
      </c>
      <c r="D1083" s="24"/>
      <c r="E1083" s="24"/>
    </row>
    <row r="1084">
      <c r="A1084" s="25" t="s">
        <v>18352</v>
      </c>
      <c r="B1084" s="25" t="s">
        <v>18360</v>
      </c>
      <c r="C1084" s="26" t="str">
        <f>HYPERLINK("https://audio.iskcondesiretree.com/02_-_ISKCON_Swamis/ISKCON_Swamis_-_R_to_Y/His_Holiness_Radhanath_Swami/Lectures/00_-_Year_wise/Devotional_Nectar_-_1996/1996-079_Story_Of_King_Nriga_Ht_-_BG-07_29_Pune_-_Radhanath_Swami_1996-04-11_IDesireTree.mp3", "1996-079_Story_Of_King_Nriga_Ht_-_BG-07_29_Pune_-_Radhanath_Swami_1996-04-11_IDesireTree.mp3")</f>
        <v>1996-079_Story_Of_King_Nriga_Ht_-_BG-07_29_Pune_-_Radhanath_Swami_1996-04-11_IDesireTree.mp3</v>
      </c>
      <c r="D1084" s="24"/>
      <c r="E1084" s="24"/>
    </row>
    <row r="1085">
      <c r="A1085" s="25" t="s">
        <v>18352</v>
      </c>
      <c r="B1085" s="25" t="s">
        <v>18360</v>
      </c>
      <c r="C1085" s="26" t="str">
        <f>HYPERLINK("https://audio.iskcondesiretree.com/02_-_ISKCON_Swamis/ISKCON_Swamis_-_R_to_Y/His_Holiness_Radhanath_Swami/Lectures/00_-_Year_wise/Devotional_Nectar_-_1996/1996-080_Sarvabhavma_Bhattacharya_And_Chaitanya_Mahaprabhu_CC-Madhya-06_89_Mumbai_-_12-04-96_IDesire"&amp;"Tree.mp3", "1996-080_Sarvabhavma_Bhattacharya_And_Chaitanya_Mahaprabhu_CC-Madhya-06_89_Mumbai_-_12-04-96_IDesireTree.mp3")</f>
        <v>1996-080_Sarvabhavma_Bhattacharya_And_Chaitanya_Mahaprabhu_CC-Madhya-06_89_Mumbai_-_12-04-96_IDesireTree.mp3</v>
      </c>
      <c r="D1085" s="24"/>
      <c r="E1085" s="24"/>
    </row>
    <row r="1086">
      <c r="A1086" s="25" t="s">
        <v>18352</v>
      </c>
      <c r="B1086" s="25" t="s">
        <v>18360</v>
      </c>
      <c r="C1086" s="26" t="str">
        <f>HYPERLINK("https://audio.iskcondesiretree.com/02_-_ISKCON_Swamis/ISKCON_Swamis_-_R_to_Y/His_Holiness_Radhanath_Swami/Lectures/00_-_Year_wise/Devotional_Nectar_-_1996/1996-081_Vrindavan_Das_Thakur_Ht_-_SB-03_25_15_Mumbai_-_Radhanath_Swami_1996-04-13_IDesireTree.mp3", "1996-081_Vrindavan_Das_Thakur_Ht_-_SB-03_25_15_Mumbai_-_Radhanath_Swami_1996-04-13_IDesireTree.mp3")</f>
        <v>1996-081_Vrindavan_Das_Thakur_Ht_-_SB-03_25_15_Mumbai_-_Radhanath_Swami_1996-04-13_IDesireTree.mp3</v>
      </c>
      <c r="D1086" s="24"/>
      <c r="E1086" s="24"/>
    </row>
    <row r="1087">
      <c r="A1087" s="25" t="s">
        <v>18352</v>
      </c>
      <c r="B1087" s="25" t="s">
        <v>18360</v>
      </c>
      <c r="C1087" s="26" t="str">
        <f>HYPERLINK("https://audio.iskcondesiretree.com/02_-_ISKCON_Swamis/ISKCON_Swamis_-_R_to_Y/His_Holiness_Radhanath_Swami/Lectures/00_-_Year_wise/Devotional_Nectar_-_1996/1996-082_Maharaj_Parikshit_Acted_According_To_Plan_of_Krishna_SB-01_18_26_Mumbai_-_14-04-96_IDesireT"&amp;"ree.mp3", "1996-082_Maharaj_Parikshit_Acted_According_To_Plan_of_Krishna_SB-01_18_26_Mumbai_-_14-04-96_IDesireTree.mp3")</f>
        <v>1996-082_Maharaj_Parikshit_Acted_According_To_Plan_of_Krishna_SB-01_18_26_Mumbai_-_14-04-96_IDesireTree.mp3</v>
      </c>
      <c r="D1087" s="24"/>
      <c r="E1087" s="24"/>
    </row>
    <row r="1088">
      <c r="A1088" s="25" t="s">
        <v>18352</v>
      </c>
      <c r="B1088" s="25" t="s">
        <v>18360</v>
      </c>
      <c r="C1088" s="26" t="str">
        <f>HYPERLINK("https://audio.iskcondesiretree.com/02_-_ISKCON_Swamis/ISKCON_Swamis_-_R_to_Y/His_Holiness_Radhanath_Swami/Lectures/00_-_Year_wise/Devotional_Nectar_-_1996/1996-083_Most_Merciful-_Nitai_Gaurachandra_Lecture_Mumbai_-_14-04-96_IDesireTree.mp3", "1996-083_Most_Merciful-_Nitai_Gaurachandra_Lecture_Mumbai_-_14-04-96_IDesireTree.mp3")</f>
        <v>1996-083_Most_Merciful-_Nitai_Gaurachandra_Lecture_Mumbai_-_14-04-96_IDesireTree.mp3</v>
      </c>
      <c r="D1088" s="24"/>
      <c r="E1088" s="24"/>
    </row>
    <row r="1089">
      <c r="A1089" s="25" t="s">
        <v>18352</v>
      </c>
      <c r="B1089" s="25" t="s">
        <v>18360</v>
      </c>
      <c r="C1089" s="26" t="str">
        <f>HYPERLINK("https://audio.iskcondesiretree.com/02_-_ISKCON_Swamis/ISKCON_Swamis_-_R_to_Y/His_Holiness_Radhanath_Swami/Lectures/00_-_Year_wise/Devotional_Nectar_-_1996/1996-084_Isckon_Youth_Forum_Inaguration_Lecture_Mumbai_-_Radhanath_Swami_1996-04-16_IDesireTree.mp3", "1996-084_Isckon_Youth_Forum_Inaguration_Lecture_Mumbai_-_Radhanath_Swami_1996-04-16_IDesireTree.mp3")</f>
        <v>1996-084_Isckon_Youth_Forum_Inaguration_Lecture_Mumbai_-_Radhanath_Swami_1996-04-16_IDesireTree.mp3</v>
      </c>
      <c r="D1089" s="24"/>
      <c r="E1089" s="24"/>
    </row>
    <row r="1090">
      <c r="A1090" s="25" t="s">
        <v>18352</v>
      </c>
      <c r="B1090" s="25" t="s">
        <v>18360</v>
      </c>
      <c r="C1090" s="26" t="str">
        <f>HYPERLINK("https://audio.iskcondesiretree.com/02_-_ISKCON_Swamis/ISKCON_Swamis_-_R_to_Y/His_Holiness_Radhanath_Swami/Lectures/00_-_Year_wise/Devotional_Nectar_-_1996/1996-085_Laws_Of_God_Will_Surely_Act_BG-03_15_Mumbai_-_Radhanath_Swami_1996-04-18_IDesireTree.mp3", "1996-085_Laws_Of_God_Will_Surely_Act_BG-03_15_Mumbai_-_Radhanath_Swami_1996-04-18_IDesireTree.mp3")</f>
        <v>1996-085_Laws_Of_God_Will_Surely_Act_BG-03_15_Mumbai_-_Radhanath_Swami_1996-04-18_IDesireTree.mp3</v>
      </c>
      <c r="D1090" s="24"/>
      <c r="E1090" s="24"/>
    </row>
    <row r="1091">
      <c r="A1091" s="25" t="s">
        <v>18352</v>
      </c>
      <c r="B1091" s="25" t="s">
        <v>18360</v>
      </c>
      <c r="C1091" s="26" t="str">
        <f>HYPERLINK("https://audio.iskcondesiretree.com/02_-_ISKCON_Swamis/ISKCON_Swamis_-_R_to_Y/His_Holiness_Radhanath_Swami/Lectures/00_-_Year_wise/Devotional_Nectar_-_1996/1996-086_King_Shivaji_Took_Shelter_Of_Holy_Name_Mt_-_BG-02-48_Mumbai_-_19-04-96_IDesireTree.mp3", "1996-086_King_Shivaji_Took_Shelter_Of_Holy_Name_Mt_-_BG-02-48_Mumbai_-_19-04-96_IDesireTree.mp3")</f>
        <v>1996-086_King_Shivaji_Took_Shelter_Of_Holy_Name_Mt_-_BG-02-48_Mumbai_-_19-04-96_IDesireTree.mp3</v>
      </c>
      <c r="D1091" s="24"/>
      <c r="E1091" s="24"/>
    </row>
    <row r="1092">
      <c r="A1092" s="25" t="s">
        <v>18352</v>
      </c>
      <c r="B1092" s="25" t="s">
        <v>18360</v>
      </c>
      <c r="C1092" s="26" t="str">
        <f>HYPERLINK("https://audio.iskcondesiretree.com/02_-_ISKCON_Swamis/ISKCON_Swamis_-_R_to_Y/His_Holiness_Radhanath_Swami/Lectures/00_-_Year_wise/Devotional_Nectar_-_1996/1996-087_Varnashram_System_Means_Acting_Together_SB-01_18_32_Mumbai_-_20-04-96_IDesireTree.mp3", "1996-087_Varnashram_System_Means_Acting_Together_SB-01_18_32_Mumbai_-_20-04-96_IDesireTree.mp3")</f>
        <v>1996-087_Varnashram_System_Means_Acting_Together_SB-01_18_32_Mumbai_-_20-04-96_IDesireTree.mp3</v>
      </c>
      <c r="D1092" s="24"/>
      <c r="E1092" s="24"/>
    </row>
    <row r="1093">
      <c r="A1093" s="25" t="s">
        <v>18352</v>
      </c>
      <c r="B1093" s="25" t="s">
        <v>18360</v>
      </c>
      <c r="C1093" s="26" t="str">
        <f>HYPERLINK("https://audio.iskcondesiretree.com/02_-_ISKCON_Swamis/ISKCON_Swamis_-_R_to_Y/His_Holiness_Radhanath_Swami/Lectures/00_-_Year_wise/Devotional_Nectar_-_1996/1996-088_Teachings_Of_Jada_Bharat_Ht_-_Lecture_Mumbai_-_Radhanath_Swami_1996-04-20_IDesireTree.mp3", "1996-088_Teachings_Of_Jada_Bharat_Ht_-_Lecture_Mumbai_-_Radhanath_Swami_1996-04-20_IDesireTree.mp3")</f>
        <v>1996-088_Teachings_Of_Jada_Bharat_Ht_-_Lecture_Mumbai_-_Radhanath_Swami_1996-04-20_IDesireTree.mp3</v>
      </c>
      <c r="D1093" s="24"/>
      <c r="E1093" s="24"/>
    </row>
    <row r="1094">
      <c r="A1094" s="25" t="s">
        <v>18352</v>
      </c>
      <c r="B1094" s="25" t="s">
        <v>18360</v>
      </c>
      <c r="C1094" s="26" t="str">
        <f>HYPERLINK("https://audio.iskcondesiretree.com/02_-_ISKCON_Swamis/ISKCON_Swamis_-_R_to_Y/His_Holiness_Radhanath_Swami/Lectures/00_-_Year_wise/Devotional_Nectar_-_1996/1996-089_Srila_Gadadhar_Pandit_Lecture_Mumbai_-_Radhanath_Swami_1996-04-21_IDesireTree.mp3", "1996-089_Srila_Gadadhar_Pandit_Lecture_Mumbai_-_Radhanath_Swami_1996-04-21_IDesireTree.mp3")</f>
        <v>1996-089_Srila_Gadadhar_Pandit_Lecture_Mumbai_-_Radhanath_Swami_1996-04-21_IDesireTree.mp3</v>
      </c>
      <c r="D1094" s="24"/>
      <c r="E1094" s="24"/>
    </row>
    <row r="1095">
      <c r="A1095" s="25" t="s">
        <v>18352</v>
      </c>
      <c r="B1095" s="25" t="s">
        <v>18360</v>
      </c>
      <c r="C1095" s="26" t="str">
        <f>HYPERLINK("https://audio.iskcondesiretree.com/02_-_ISKCON_Swamis/ISKCON_Swamis_-_R_to_Y/His_Holiness_Radhanath_Swami/Lectures/00_-_Year_wise/Devotional_Nectar_-_1996/1996-090_Fight_In_Spiritual_Life_Lecture_Mumbai_-_Radhanath_Swami_1996-04-21_IDesireTree.mp3", "1996-090_Fight_In_Spiritual_Life_Lecture_Mumbai_-_Radhanath_Swami_1996-04-21_IDesireTree.mp3")</f>
        <v>1996-090_Fight_In_Spiritual_Life_Lecture_Mumbai_-_Radhanath_Swami_1996-04-21_IDesireTree.mp3</v>
      </c>
      <c r="D1095" s="24"/>
      <c r="E1095" s="24"/>
    </row>
    <row r="1096">
      <c r="A1096" s="25" t="s">
        <v>18352</v>
      </c>
      <c r="B1096" s="25" t="s">
        <v>18360</v>
      </c>
      <c r="C1096" s="26" t="str">
        <f>HYPERLINK("https://audio.iskcondesiretree.com/02_-_ISKCON_Swamis/ISKCON_Swamis_-_R_to_Y/His_Holiness_Radhanath_Swami/Lectures/00_-_Year_wise/Devotional_Nectar_-_1996/1996-091_How_Degradation_Of_Brahmanas_Began_SB-1_18_37_Mumbai_-_24-04-96_IDesireTree.mp3", "1996-091_How_Degradation_Of_Brahmanas_Began_SB-1_18_37_Mumbai_-_24-04-96_IDesireTree.mp3")</f>
        <v>1996-091_How_Degradation_Of_Brahmanas_Began_SB-1_18_37_Mumbai_-_24-04-96_IDesireTree.mp3</v>
      </c>
      <c r="D1096" s="24"/>
      <c r="E1096" s="24"/>
    </row>
    <row r="1097">
      <c r="A1097" s="25" t="s">
        <v>18352</v>
      </c>
      <c r="B1097" s="25" t="s">
        <v>18360</v>
      </c>
      <c r="C1097" s="26" t="str">
        <f>HYPERLINK("https://audio.iskcondesiretree.com/02_-_ISKCON_Swamis/ISKCON_Swamis_-_R_to_Y/His_Holiness_Radhanath_Swami/Lectures/00_-_Year_wise/Devotional_Nectar_-_1996/1996-092_What_Is_Knowledge_And_Ignorance_BG-10_1_Mumbai_-_24-04-96_IDesireTree.mp3", "1996-092_What_Is_Knowledge_And_Ignorance_BG-10_1_Mumbai_-_24-04-96_IDesireTree.mp3")</f>
        <v>1996-092_What_Is_Knowledge_And_Ignorance_BG-10_1_Mumbai_-_24-04-96_IDesireTree.mp3</v>
      </c>
      <c r="D1097" s="24"/>
      <c r="E1097" s="24"/>
    </row>
    <row r="1098">
      <c r="A1098" s="25" t="s">
        <v>18352</v>
      </c>
      <c r="B1098" s="25" t="s">
        <v>18360</v>
      </c>
      <c r="C1098" s="26" t="str">
        <f>HYPERLINK("https://audio.iskcondesiretree.com/02_-_ISKCON_Swamis/ISKCON_Swamis_-_R_to_Y/His_Holiness_Radhanath_Swami/Lectures/00_-_Year_wise/Devotional_Nectar_-_1996/1996-093_Pastimes_Of_Sri_RamanujAcharya_BG_Mumbai_-_25-04-96_IDesireTree.mp3", "1996-093_Pastimes_Of_Sri_RamanujAcharya_BG_Mumbai_-_25-04-96_IDesireTree.mp3")</f>
        <v>1996-093_Pastimes_Of_Sri_RamanujAcharya_BG_Mumbai_-_25-04-96_IDesireTree.mp3</v>
      </c>
      <c r="D1098" s="24"/>
      <c r="E1098" s="24"/>
    </row>
    <row r="1099">
      <c r="A1099" s="25" t="s">
        <v>18352</v>
      </c>
      <c r="B1099" s="25" t="s">
        <v>18360</v>
      </c>
      <c r="C1099" s="26" t="str">
        <f>HYPERLINK("https://audio.iskcondesiretree.com/02_-_ISKCON_Swamis/ISKCON_Swamis_-_R_to_Y/His_Holiness_Radhanath_Swami/Lectures/00_-_Year_wise/Devotional_Nectar_-_1996/1996-093_Pastimes_Of_Sri_RamanujAcharya_BG_Mumbai_-_Radhanath_Swami_1996-04-25_IDesireTree.mp3", "1996-093_Pastimes_Of_Sri_RamanujAcharya_BG_Mumbai_-_Radhanath_Swami_1996-04-25_IDesireTree.mp3")</f>
        <v>1996-093_Pastimes_Of_Sri_RamanujAcharya_BG_Mumbai_-_Radhanath_Swami_1996-04-25_IDesireTree.mp3</v>
      </c>
      <c r="D1099" s="24"/>
      <c r="E1099" s="24"/>
    </row>
    <row r="1100">
      <c r="A1100" s="25" t="s">
        <v>18352</v>
      </c>
      <c r="B1100" s="25" t="s">
        <v>18360</v>
      </c>
      <c r="C1100" s="26" t="str">
        <f>HYPERLINK("https://audio.iskcondesiretree.com/02_-_ISKCON_Swamis/ISKCON_Swamis_-_R_to_Y/His_Holiness_Radhanath_Swami/Lectures/00_-_Year_wise/Devotional_Nectar_-_1996/1996-094_Devotees_Must_Be_Self_Conscious_SB-01_18_38-40_Mumbai_-_26-04-96_IDesireTree.mp3", "1996-094_Devotees_Must_Be_Self_Conscious_SB-01_18_38-40_Mumbai_-_26-04-96_IDesireTree.mp3")</f>
        <v>1996-094_Devotees_Must_Be_Self_Conscious_SB-01_18_38-40_Mumbai_-_26-04-96_IDesireTree.mp3</v>
      </c>
      <c r="D1100" s="24"/>
      <c r="E1100" s="24"/>
    </row>
    <row r="1101">
      <c r="A1101" s="25" t="s">
        <v>18352</v>
      </c>
      <c r="B1101" s="25" t="s">
        <v>18360</v>
      </c>
      <c r="C1101" s="26" t="str">
        <f>HYPERLINK("https://audio.iskcondesiretree.com/02_-_ISKCON_Swamis/ISKCON_Swamis_-_R_to_Y/His_Holiness_Radhanath_Swami/Lectures/00_-_Year_wise/Devotional_Nectar_-_1996/1996-095_Please_Krishna_According_To_Our_Capacity_BG-12_18_Mumbai_-_26-04-96_IDesireTree.mp3", "1996-095_Please_Krishna_According_To_Our_Capacity_BG-12_18_Mumbai_-_26-04-96_IDesireTree.mp3")</f>
        <v>1996-095_Please_Krishna_According_To_Our_Capacity_BG-12_18_Mumbai_-_26-04-96_IDesireTree.mp3</v>
      </c>
      <c r="D1101" s="24"/>
      <c r="E1101" s="24"/>
    </row>
    <row r="1102">
      <c r="A1102" s="25" t="s">
        <v>18352</v>
      </c>
      <c r="B1102" s="25" t="s">
        <v>18360</v>
      </c>
      <c r="C1102" s="26" t="str">
        <f>HYPERLINK("https://audio.iskcondesiretree.com/02_-_ISKCON_Swamis/ISKCON_Swamis_-_R_to_Y/His_Holiness_Radhanath_Swami/Lectures/00_-_Year_wise/Devotional_Nectar_-_1996/1996-096_Question_And_Answer_Q%26A_Mumbai_-_24-04-96_IDesireTree.mp3", "1996-096_Question_And_Answer_Q%26A_Mumbai_-_24-04-96_IDesireTree.mp3")</f>
        <v>1996-096_Question_And_Answer_Q%26A_Mumbai_-_24-04-96_IDesireTree.mp3</v>
      </c>
      <c r="D1102" s="24"/>
      <c r="E1102" s="24"/>
    </row>
    <row r="1103">
      <c r="A1103" s="25" t="s">
        <v>18352</v>
      </c>
      <c r="B1103" s="25" t="s">
        <v>18360</v>
      </c>
      <c r="C1103" s="26" t="str">
        <f>HYPERLINK("https://audio.iskcondesiretree.com/02_-_ISKCON_Swamis/ISKCON_Swamis_-_R_to_Y/His_Holiness_Radhanath_Swami/Lectures/00_-_Year_wise/Devotional_Nectar_-_1996/1996-096_Question_And_Answer_Q%26A_Mumbai_-_Radhanath_Swami_1996-04-24_IDesireTree.mp3", "1996-096_Question_And_Answer_Q%26A_Mumbai_-_Radhanath_Swami_1996-04-24_IDesireTree.mp3")</f>
        <v>1996-096_Question_And_Answer_Q%26A_Mumbai_-_Radhanath_Swami_1996-04-24_IDesireTree.mp3</v>
      </c>
      <c r="D1103" s="24"/>
      <c r="E1103" s="24"/>
    </row>
    <row r="1104">
      <c r="A1104" s="25" t="s">
        <v>18352</v>
      </c>
      <c r="B1104" s="25" t="s">
        <v>18360</v>
      </c>
      <c r="C1104" s="26" t="str">
        <f>HYPERLINK("https://audio.iskcondesiretree.com/02_-_ISKCON_Swamis/ISKCON_Swamis_-_R_to_Y/His_Holiness_Radhanath_Swami/Lectures/00_-_Year_wise/Devotional_Nectar_-_1996/1996-097_Center_Marriage_Life_Around_Krsna_Lecture_Mumbai_-_25-04-96_IDesireTree.mp3", "1996-097_Center_Marriage_Life_Around_Krsna_Lecture_Mumbai_-_25-04-96_IDesireTree.mp3")</f>
        <v>1996-097_Center_Marriage_Life_Around_Krsna_Lecture_Mumbai_-_25-04-96_IDesireTree.mp3</v>
      </c>
      <c r="D1104" s="24"/>
      <c r="E1104" s="24"/>
    </row>
    <row r="1105">
      <c r="A1105" s="25" t="s">
        <v>18352</v>
      </c>
      <c r="B1105" s="25" t="s">
        <v>18360</v>
      </c>
      <c r="C1105" s="26" t="str">
        <f>HYPERLINK("https://audio.iskcondesiretree.com/02_-_ISKCON_Swamis/ISKCON_Swamis_-_R_to_Y/His_Holiness_Radhanath_Swami/Lectures/00_-_Year_wise/Devotional_Nectar_-_1996/1996-098_Pastimes_Of_Jahnava_Devi_SB_Mumbai_-_Radhanath_Swami_1996-04-27_IDesireTree.mp3", "1996-098_Pastimes_Of_Jahnava_Devi_SB_Mumbai_-_Radhanath_Swami_1996-04-27_IDesireTree.mp3")</f>
        <v>1996-098_Pastimes_Of_Jahnava_Devi_SB_Mumbai_-_Radhanath_Swami_1996-04-27_IDesireTree.mp3</v>
      </c>
      <c r="D1105" s="24"/>
      <c r="E1105" s="24"/>
    </row>
    <row r="1106">
      <c r="A1106" s="25" t="s">
        <v>18352</v>
      </c>
      <c r="B1106" s="25" t="s">
        <v>18360</v>
      </c>
      <c r="C1106" s="26" t="str">
        <f>HYPERLINK("https://audio.iskcondesiretree.com/02_-_ISKCON_Swamis/ISKCON_Swamis_-_R_to_Y/His_Holiness_Radhanath_Swami/Lectures/00_-_Year_wise/Devotional_Nectar_-_1996/1996-099_Greatness_Of_Sita_Devi_SB-01_02_08_Mumbai_-_Radhanath_Swami_1996-04-27_IDesireTree.mp3", "1996-099_Greatness_Of_Sita_Devi_SB-01_02_08_Mumbai_-_Radhanath_Swami_1996-04-27_IDesireTree.mp3")</f>
        <v>1996-099_Greatness_Of_Sita_Devi_SB-01_02_08_Mumbai_-_Radhanath_Swami_1996-04-27_IDesireTree.mp3</v>
      </c>
      <c r="D1106" s="24"/>
      <c r="E1106" s="24"/>
    </row>
    <row r="1107">
      <c r="A1107" s="25" t="s">
        <v>18352</v>
      </c>
      <c r="B1107" s="25" t="s">
        <v>18360</v>
      </c>
      <c r="C1107" s="26" t="str">
        <f>HYPERLINK("https://audio.iskcondesiretree.com/02_-_ISKCON_Swamis/ISKCON_Swamis_-_R_to_Y/His_Holiness_Radhanath_Swami/Lectures/00_-_Year_wise/Devotional_Nectar_-_1996/1996-100_Instinctive_Behaviour_Not_For_Devotee_SB-01_08_48_Mumbai_-_28-04-96_IDesireTree.mp3", "1996-100_Instinctive_Behaviour_Not_For_Devotee_SB-01_08_48_Mumbai_-_28-04-96_IDesireTree.mp3")</f>
        <v>1996-100_Instinctive_Behaviour_Not_For_Devotee_SB-01_08_48_Mumbai_-_28-04-96_IDesireTree.mp3</v>
      </c>
      <c r="D1107" s="24"/>
      <c r="E1107" s="24"/>
    </row>
    <row r="1108">
      <c r="A1108" s="25" t="s">
        <v>18352</v>
      </c>
      <c r="B1108" s="25" t="s">
        <v>18360</v>
      </c>
      <c r="C1108" s="26" t="str">
        <f>HYPERLINK("https://audio.iskcondesiretree.com/02_-_ISKCON_Swamis/ISKCON_Swamis_-_R_to_Y/His_Holiness_Radhanath_Swami/Lectures/00_-_Year_wise/Devotional_Nectar_-_1996/1996-101_Humility_Is_A_Must_SB-07_09_26-27_Mumbai_-_Radhanath_Swami_1996-04-28_IDesireTree.mp3", "1996-101_Humility_Is_A_Must_SB-07_09_26-27_Mumbai_-_Radhanath_Swami_1996-04-28_IDesireTree.mp3")</f>
        <v>1996-101_Humility_Is_A_Must_SB-07_09_26-27_Mumbai_-_Radhanath_Swami_1996-04-28_IDesireTree.mp3</v>
      </c>
      <c r="D1108" s="24"/>
      <c r="E1108" s="24"/>
    </row>
    <row r="1109">
      <c r="A1109" s="25" t="s">
        <v>18352</v>
      </c>
      <c r="B1109" s="25" t="s">
        <v>18360</v>
      </c>
      <c r="C1109" s="26" t="str">
        <f>HYPERLINK("https://audio.iskcondesiretree.com/02_-_ISKCON_Swamis/ISKCON_Swamis_-_R_to_Y/His_Holiness_Radhanath_Swami/Lectures/00_-_Year_wise/Devotional_Nectar_-_1996/1996-102_SB-05_14_19_-_Radhanath_Swami_1996-06-01_IDesireTree.mp3", "1996-102_SB-05_14_19_-_Radhanath_Swami_1996-06-01_IDesireTree.mp3")</f>
        <v>1996-102_SB-05_14_19_-_Radhanath_Swami_1996-06-01_IDesireTree.mp3</v>
      </c>
      <c r="D1109" s="24"/>
      <c r="E1109" s="24"/>
    </row>
    <row r="1110">
      <c r="A1110" s="25" t="s">
        <v>18352</v>
      </c>
      <c r="B1110" s="25" t="s">
        <v>18360</v>
      </c>
      <c r="C1110" s="26" t="str">
        <f>HYPERLINK("https://audio.iskcondesiretree.com/02_-_ISKCON_Swamis/ISKCON_Swamis_-_R_to_Y/His_Holiness_Radhanath_Swami/Lectures/00_-_Year_wise/Devotional_Nectar_-_1996/1996-103_SB-06_07_13_-_Radhanath_Swami_1996-06-08_IDesireTree.mp3", "1996-103_SB-06_07_13_-_Radhanath_Swami_1996-06-08_IDesireTree.mp3")</f>
        <v>1996-103_SB-06_07_13_-_Radhanath_Swami_1996-06-08_IDesireTree.mp3</v>
      </c>
      <c r="D1110" s="24"/>
      <c r="E1110" s="24"/>
    </row>
    <row r="1111">
      <c r="A1111" s="25" t="s">
        <v>18352</v>
      </c>
      <c r="B1111" s="25" t="s">
        <v>18360</v>
      </c>
      <c r="C1111" s="26" t="str">
        <f>HYPERLINK("https://audio.iskcondesiretree.com/02_-_ISKCON_Swamis/ISKCON_Swamis_-_R_to_Y/His_Holiness_Radhanath_Swami/Lectures/00_-_Year_wise/Devotional_Nectar_-_1996/1996-104_Forest_of_Material_Enjoyment_SB-05_14_19_-_Radhanath_Swami_06-96_IDesireTree.mp3", "1996-104_Forest_of_Material_Enjoyment_SB-05_14_19_-_Radhanath_Swami_06-96_IDesireTree.mp3")</f>
        <v>1996-104_Forest_of_Material_Enjoyment_SB-05_14_19_-_Radhanath_Swami_06-96_IDesireTree.mp3</v>
      </c>
      <c r="D1111" s="24"/>
      <c r="E1111" s="24"/>
    </row>
    <row r="1112">
      <c r="A1112" s="25" t="s">
        <v>18352</v>
      </c>
      <c r="B1112" s="25" t="s">
        <v>18360</v>
      </c>
      <c r="C1112" s="26" t="str">
        <f>HYPERLINK("https://audio.iskcondesiretree.com/02_-_ISKCON_Swamis/ISKCON_Swamis_-_R_to_Y/His_Holiness_Radhanath_Swami/Lectures/00_-_Year_wise/Devotional_Nectar_-_1996/1996-105_SB_-_Radhanath_Swami_1996-07-25_IDesireTree.mp3", "1996-105_SB_-_Radhanath_Swami_1996-07-25_IDesireTree.mp3")</f>
        <v>1996-105_SB_-_Radhanath_Swami_1996-07-25_IDesireTree.mp3</v>
      </c>
      <c r="D1112" s="24"/>
      <c r="E1112" s="24"/>
    </row>
    <row r="1113">
      <c r="A1113" s="25" t="s">
        <v>18352</v>
      </c>
      <c r="B1113" s="25" t="s">
        <v>18360</v>
      </c>
      <c r="C1113" s="26" t="str">
        <f>HYPERLINK("https://audio.iskcondesiretree.com/02_-_ISKCON_Swamis/ISKCON_Swamis_-_R_to_Y/His_Holiness_Radhanath_Swami/Lectures/00_-_Year_wise/Devotional_Nectar_-_1996/1996-106_Glories_Of_Srila_Prabhupada_Lecture_Mumbai_-_Radhanath_Swami_1996-08-04_IDesireTree.mp3", "1996-106_Glories_Of_Srila_Prabhupada_Lecture_Mumbai_-_Radhanath_Swami_1996-08-04_IDesireTree.mp3")</f>
        <v>1996-106_Glories_Of_Srila_Prabhupada_Lecture_Mumbai_-_Radhanath_Swami_1996-08-04_IDesireTree.mp3</v>
      </c>
      <c r="D1113" s="24"/>
      <c r="E1113" s="24"/>
    </row>
    <row r="1114">
      <c r="A1114" s="25" t="s">
        <v>18352</v>
      </c>
      <c r="B1114" s="25" t="s">
        <v>18360</v>
      </c>
      <c r="C1114" s="26" t="str">
        <f>HYPERLINK("https://audio.iskcondesiretree.com/02_-_ISKCON_Swamis/ISKCON_Swamis_-_R_to_Y/His_Holiness_Radhanath_Swami/Lectures/00_-_Year_wise/Devotional_Nectar_-_1996/1996-107_Vyas_Puja_Offering_Lecture_Mumbai_-_Radhanath_Swami_1996-08-04_IDesireTree.mp3", "1996-107_Vyas_Puja_Offering_Lecture_Mumbai_-_Radhanath_Swami_1996-08-04_IDesireTree.mp3")</f>
        <v>1996-107_Vyas_Puja_Offering_Lecture_Mumbai_-_Radhanath_Swami_1996-08-04_IDesireTree.mp3</v>
      </c>
      <c r="D1114" s="24"/>
      <c r="E1114" s="24"/>
    </row>
    <row r="1115">
      <c r="A1115" s="25" t="s">
        <v>18352</v>
      </c>
      <c r="B1115" s="25" t="s">
        <v>18360</v>
      </c>
      <c r="C1115" s="26" t="str">
        <f>HYPERLINK("https://audio.iskcondesiretree.com/02_-_ISKCON_Swamis/ISKCON_Swamis_-_R_to_Y/His_Holiness_Radhanath_Swami/Lectures/00_-_Year_wise/Devotional_Nectar_-_1996/1996-109_SB-06_09_50_-_Radhanath_Swami_1997-08-08_IDesireTree.mp3", "1996-109_SB-06_09_50_-_Radhanath_Swami_1997-08-08_IDesireTree.mp3")</f>
        <v>1996-109_SB-06_09_50_-_Radhanath_Swami_1997-08-08_IDesireTree.mp3</v>
      </c>
      <c r="D1115" s="24"/>
      <c r="E1115" s="24"/>
    </row>
    <row r="1116">
      <c r="A1116" s="25" t="s">
        <v>18352</v>
      </c>
      <c r="B1116" s="25" t="s">
        <v>18360</v>
      </c>
      <c r="C1116" s="26" t="str">
        <f>HYPERLINK("https://audio.iskcondesiretree.com/02_-_ISKCON_Swamis/ISKCON_Swamis_-_R_to_Y/His_Holiness_Radhanath_Swami/Lectures/00_-_Year_wise/Devotional_Nectar_-_1996/1996-110_Lord_Balarama%27s_Appearence_Day_Lecture_Mumbai_-_Radhanath_Swami_1996-08-28_IDesireTree.mp"&amp;"3", "1996-110_Lord_Balarama%27s_Appearence_Day_Lecture_Mumbai_-_Radhanath_Swami_1996-08-28_IDesireTree.mp3")</f>
        <v>1996-110_Lord_Balarama%27s_Appearence_Day_Lecture_Mumbai_-_Radhanath_Swami_1996-08-28_IDesireTree.mp3</v>
      </c>
      <c r="D1116" s="24"/>
      <c r="E1116" s="24"/>
    </row>
    <row r="1117">
      <c r="A1117" s="25" t="s">
        <v>18352</v>
      </c>
      <c r="B1117" s="25" t="s">
        <v>18360</v>
      </c>
      <c r="C1117" s="26" t="str">
        <f>HYPERLINK("https://audio.iskcondesiretree.com/02_-_ISKCON_Swamis/ISKCON_Swamis_-_R_to_Y/His_Holiness_Radhanath_Swami/Lectures/00_-_Year_wise/Devotional_Nectar_-_1996/1996-111_Obstacles_Are_For_Our_Benefit_SB-02_02_32_Mumbai_-_24-08-96_IDesireTree.mp3", "1996-111_Obstacles_Are_For_Our_Benefit_SB-02_02_32_Mumbai_-_24-08-96_IDesireTree.mp3")</f>
        <v>1996-111_Obstacles_Are_For_Our_Benefit_SB-02_02_32_Mumbai_-_24-08-96_IDesireTree.mp3</v>
      </c>
      <c r="D1117" s="24"/>
      <c r="E1117" s="24"/>
    </row>
    <row r="1118">
      <c r="A1118" s="25" t="s">
        <v>18352</v>
      </c>
      <c r="B1118" s="25" t="s">
        <v>18360</v>
      </c>
      <c r="C1118" s="26" t="str">
        <f>HYPERLINK("https://audio.iskcondesiretree.com/02_-_ISKCON_Swamis/ISKCON_Swamis_-_R_to_Y/His_Holiness_Radhanath_Swami/Lectures/00_-_Year_wise/Devotional_Nectar_-_1996/1996-112_Bhakti_Yoga-_Most_Auspicious_SB-02_02_33_Mumbai_-_25-08-96_IDesireTree.mp3", "1996-112_Bhakti_Yoga-_Most_Auspicious_SB-02_02_33_Mumbai_-_25-08-96_IDesireTree.mp3")</f>
        <v>1996-112_Bhakti_Yoga-_Most_Auspicious_SB-02_02_33_Mumbai_-_25-08-96_IDesireTree.mp3</v>
      </c>
      <c r="D1118" s="24"/>
      <c r="E1118" s="24"/>
    </row>
    <row r="1119">
      <c r="A1119" s="25" t="s">
        <v>18352</v>
      </c>
      <c r="B1119" s="25" t="s">
        <v>18360</v>
      </c>
      <c r="C1119" s="26" t="str">
        <f>HYPERLINK("https://audio.iskcondesiretree.com/02_-_ISKCON_Swamis/ISKCON_Swamis_-_R_to_Y/His_Holiness_Radhanath_Swami/Lectures/00_-_Year_wise/Devotional_Nectar_-_1996/1996-113_Materialists_Always_Attack_Devotees_SB-02_02_34_Mumbai_-_25-08-96_IDesireTree.mp3", "1996-113_Materialists_Always_Attack_Devotees_SB-02_02_34_Mumbai_-_25-08-96_IDesireTree.mp3")</f>
        <v>1996-113_Materialists_Always_Attack_Devotees_SB-02_02_34_Mumbai_-_25-08-96_IDesireTree.mp3</v>
      </c>
      <c r="D1119" s="24"/>
      <c r="E1119" s="24"/>
    </row>
    <row r="1120">
      <c r="A1120" s="25" t="s">
        <v>18352</v>
      </c>
      <c r="B1120" s="25" t="s">
        <v>18360</v>
      </c>
      <c r="C1120" s="26" t="str">
        <f>HYPERLINK("https://audio.iskcondesiretree.com/02_-_ISKCON_Swamis/ISKCON_Swamis_-_R_to_Y/His_Holiness_Radhanath_Swami/Lectures/00_-_Year_wise/Devotional_Nectar_-_1996/1996-114_Ideal_Family_Life_SB-01_15_28_Mumbai_-_Radhanath_Swami_1996-08-26_IDesireTree.mp3", "1996-114_Ideal_Family_Life_SB-01_15_28_Mumbai_-_Radhanath_Swami_1996-08-26_IDesireTree.mp3")</f>
        <v>1996-114_Ideal_Family_Life_SB-01_15_28_Mumbai_-_Radhanath_Swami_1996-08-26_IDesireTree.mp3</v>
      </c>
      <c r="D1120" s="24"/>
      <c r="E1120" s="24"/>
    </row>
    <row r="1121">
      <c r="A1121" s="25" t="s">
        <v>18352</v>
      </c>
      <c r="B1121" s="25" t="s">
        <v>18360</v>
      </c>
      <c r="C1121" s="26" t="str">
        <f>HYPERLINK("https://audio.iskcondesiretree.com/02_-_ISKCON_Swamis/ISKCON_Swamis_-_R_to_Y/His_Holiness_Radhanath_Swami/Lectures/00_-_Year_wise/Devotional_Nectar_-_1996/1996-115_Hearing_Is_Most_Important_Activity_SB-02_02_03_Mumbai_-_28-08-96_IDesireTree.mp3", "1996-115_Hearing_Is_Most_Important_Activity_SB-02_02_03_Mumbai_-_28-08-96_IDesireTree.mp3")</f>
        <v>1996-115_Hearing_Is_Most_Important_Activity_SB-02_02_03_Mumbai_-_28-08-96_IDesireTree.mp3</v>
      </c>
      <c r="D1121" s="24"/>
      <c r="E1121" s="24"/>
    </row>
    <row r="1122">
      <c r="A1122" s="25" t="s">
        <v>18352</v>
      </c>
      <c r="B1122" s="25" t="s">
        <v>18360</v>
      </c>
      <c r="C1122" s="26" t="str">
        <f>HYPERLINK("https://audio.iskcondesiretree.com/02_-_ISKCON_Swamis/ISKCON_Swamis_-_R_to_Y/His_Holiness_Radhanath_Swami/Lectures/00_-_Year_wise/Devotional_Nectar_-_1996/1996-116_Address_To_Devotees_From_South_Africa_Lecture_Mumbai_-_28-08-96_IDesireTree.mp3", "1996-116_Address_To_Devotees_From_South_Africa_Lecture_Mumbai_-_28-08-96_IDesireTree.mp3")</f>
        <v>1996-116_Address_To_Devotees_From_South_Africa_Lecture_Mumbai_-_28-08-96_IDesireTree.mp3</v>
      </c>
      <c r="D1122" s="24"/>
      <c r="E1122" s="24"/>
    </row>
    <row r="1123">
      <c r="A1123" s="25" t="s">
        <v>18352</v>
      </c>
      <c r="B1123" s="25" t="s">
        <v>18360</v>
      </c>
      <c r="C1123" s="26" t="str">
        <f>HYPERLINK("https://audio.iskcondesiretree.com/02_-_ISKCON_Swamis/ISKCON_Swamis_-_R_to_Y/His_Holiness_Radhanath_Swami/Lectures/00_-_Year_wise/Devotional_Nectar_-_1996/1996-117_Demigod_Worship_And_Vaishnavas_SB-02_03_02-07_Mumbai_-_30-08-96_IDesireTree.mp3", "1996-117_Demigod_Worship_And_Vaishnavas_SB-02_03_02-07_Mumbai_-_30-08-96_IDesireTree.mp3")</f>
        <v>1996-117_Demigod_Worship_And_Vaishnavas_SB-02_03_02-07_Mumbai_-_30-08-96_IDesireTree.mp3</v>
      </c>
      <c r="D1123" s="24"/>
      <c r="E1123" s="24"/>
    </row>
    <row r="1124">
      <c r="A1124" s="25" t="s">
        <v>18352</v>
      </c>
      <c r="B1124" s="25" t="s">
        <v>18360</v>
      </c>
      <c r="C1124" s="26" t="str">
        <f>HYPERLINK("https://audio.iskcondesiretree.com/02_-_ISKCON_Swamis/ISKCON_Swamis_-_R_to_Y/His_Holiness_Radhanath_Swami/Lectures/00_-_Year_wise/Devotional_Nectar_-_1996/1996-118_Bhakti-_The_Greatest_Wealth_SB-02_03_08-09_Mumbai_-_01-09-96_IDesireTree.mp3", "1996-118_Bhakti-_The_Greatest_Wealth_SB-02_03_08-09_Mumbai_-_01-09-96_IDesireTree.mp3")</f>
        <v>1996-118_Bhakti-_The_Greatest_Wealth_SB-02_03_08-09_Mumbai_-_01-09-96_IDesireTree.mp3</v>
      </c>
      <c r="D1124" s="24"/>
      <c r="E1124" s="24"/>
    </row>
    <row r="1125">
      <c r="A1125" s="25" t="s">
        <v>18352</v>
      </c>
      <c r="B1125" s="25" t="s">
        <v>18360</v>
      </c>
      <c r="C1125" s="26" t="str">
        <f>HYPERLINK("https://audio.iskcondesiretree.com/02_-_ISKCON_Swamis/ISKCON_Swamis_-_R_to_Y/His_Holiness_Radhanath_Swami/Lectures/00_-_Year_wise/Devotional_Nectar_-_1996/1996-119_Dualities_Of_Mind_SB-07_08_09_Mumbai_-_Radhanath_Swami_1996-09-01_IDesireTree.mp3", "1996-119_Dualities_Of_Mind_SB-07_08_09_Mumbai_-_Radhanath_Swami_1996-09-01_IDesireTree.mp3")</f>
        <v>1996-119_Dualities_Of_Mind_SB-07_08_09_Mumbai_-_Radhanath_Swami_1996-09-01_IDesireTree.mp3</v>
      </c>
      <c r="D1125" s="24"/>
      <c r="E1125" s="24"/>
    </row>
    <row r="1126">
      <c r="A1126" s="25" t="s">
        <v>18352</v>
      </c>
      <c r="B1126" s="25" t="s">
        <v>18360</v>
      </c>
      <c r="C1126" s="26" t="str">
        <f>HYPERLINK("https://audio.iskcondesiretree.com/02_-_ISKCON_Swamis/ISKCON_Swamis_-_R_to_Y/His_Holiness_Radhanath_Swami/Lectures/00_-_Year_wise/Devotional_Nectar_-_1996/1996-120_Glories_Of_Srila_Prabhupada_Lecture_Mumbai_-_Radhanath_Swami_1996-09-04_IDesireTree.mp3", "1996-120_Glories_Of_Srila_Prabhupada_Lecture_Mumbai_-_Radhanath_Swami_1996-09-04_IDesireTree.mp3")</f>
        <v>1996-120_Glories_Of_Srila_Prabhupada_Lecture_Mumbai_-_Radhanath_Swami_1996-09-04_IDesireTree.mp3</v>
      </c>
      <c r="D1126" s="24"/>
      <c r="E1126" s="24"/>
    </row>
    <row r="1127">
      <c r="A1127" s="25" t="s">
        <v>18352</v>
      </c>
      <c r="B1127" s="25" t="s">
        <v>18360</v>
      </c>
      <c r="C1127" s="26" t="str">
        <f>HYPERLINK("https://audio.iskcondesiretree.com/02_-_ISKCON_Swamis/ISKCON_Swamis_-_R_to_Y/His_Holiness_Radhanath_Swami/Lectures/00_-_Year_wise/Devotional_Nectar_-_1996/1996-121_Vyas_Puja_Offering_Lecture_Mumbai_-_Radhanath_Swami_1996-09-04_IDesireTree.mp3", "1996-121_Vyas_Puja_Offering_Lecture_Mumbai_-_Radhanath_Swami_1996-09-04_IDesireTree.mp3")</f>
        <v>1996-121_Vyas_Puja_Offering_Lecture_Mumbai_-_Radhanath_Swami_1996-09-04_IDesireTree.mp3</v>
      </c>
      <c r="D1127" s="24"/>
      <c r="E1127" s="24"/>
    </row>
    <row r="1128">
      <c r="A1128" s="25" t="s">
        <v>18352</v>
      </c>
      <c r="B1128" s="25" t="s">
        <v>18360</v>
      </c>
      <c r="C1128" s="26" t="str">
        <f>HYPERLINK("https://audio.iskcondesiretree.com/02_-_ISKCON_Swamis/ISKCON_Swamis_-_R_to_Y/His_Holiness_Radhanath_Swami/Lectures/00_-_Year_wise/Devotional_Nectar_-_1996/1996-123_Vrindavan_Pastimes_Of_Krishna_SB-02_03_12_Mumbai_-_05-09-96_Part_2_IDesireTree.mp3", "1996-123_Vrindavan_Pastimes_Of_Krishna_SB-02_03_12_Mumbai_-_05-09-96_Part_2_IDesireTree.mp3")</f>
        <v>1996-123_Vrindavan_Pastimes_Of_Krishna_SB-02_03_12_Mumbai_-_05-09-96_Part_2_IDesireTree.mp3</v>
      </c>
      <c r="D1128" s="24"/>
      <c r="E1128" s="24"/>
    </row>
    <row r="1129">
      <c r="A1129" s="25" t="s">
        <v>18352</v>
      </c>
      <c r="B1129" s="25" t="s">
        <v>18360</v>
      </c>
      <c r="C1129" s="26" t="str">
        <f>HYPERLINK("https://audio.iskcondesiretree.com/02_-_ISKCON_Swamis/ISKCON_Swamis_-_R_to_Y/His_Holiness_Radhanath_Swami/Lectures/00_-_Year_wise/Devotional_Nectar_-_1996/1996-124_Chant_And_Remember_Pastimes_Of_Krishna_BG-04_09_Mumbai_-_05-09-96_IDesireTree.mp3", "1996-124_Chant_And_Remember_Pastimes_Of_Krishna_BG-04_09_Mumbai_-_05-09-96_IDesireTree.mp3")</f>
        <v>1996-124_Chant_And_Remember_Pastimes_Of_Krishna_BG-04_09_Mumbai_-_05-09-96_IDesireTree.mp3</v>
      </c>
      <c r="D1129" s="24"/>
      <c r="E1129" s="24"/>
    </row>
    <row r="1130">
      <c r="A1130" s="25" t="s">
        <v>18352</v>
      </c>
      <c r="B1130" s="25" t="s">
        <v>18360</v>
      </c>
      <c r="C1130" s="26" t="str">
        <f>HYPERLINK("https://audio.iskcondesiretree.com/02_-_ISKCON_Swamis/ISKCON_Swamis_-_R_to_Y/His_Holiness_Radhanath_Swami/Lectures/00_-_Year_wise/Devotional_Nectar_-_1996/1996-125_Offering_To_Srila_Prabhupada_Lecture_Mumbai_-_Radhanath_Swami_1996-09-06_IDesireTree.mp3", "1996-125_Offering_To_Srila_Prabhupada_Lecture_Mumbai_-_Radhanath_Swami_1996-09-06_IDesireTree.mp3")</f>
        <v>1996-125_Offering_To_Srila_Prabhupada_Lecture_Mumbai_-_Radhanath_Swami_1996-09-06_IDesireTree.mp3</v>
      </c>
      <c r="D1130" s="24"/>
      <c r="E1130" s="24"/>
    </row>
    <row r="1131">
      <c r="A1131" s="25" t="s">
        <v>18352</v>
      </c>
      <c r="B1131" s="25" t="s">
        <v>18360</v>
      </c>
      <c r="C1131" s="26" t="str">
        <f>HYPERLINK("https://audio.iskcondesiretree.com/02_-_ISKCON_Swamis/ISKCON_Swamis_-_R_to_Y/His_Holiness_Radhanath_Swami/Lectures/00_-_Year_wise/Devotional_Nectar_-_1996/1996-126_Causeless_Mercy_Of_Srila_Prabhupada_BG-02_70_Mumbai_-_07-09-96_IDesireTree.mp3", "1996-126_Causeless_Mercy_Of_Srila_Prabhupada_BG-02_70_Mumbai_-_07-09-96_IDesireTree.mp3")</f>
        <v>1996-126_Causeless_Mercy_Of_Srila_Prabhupada_BG-02_70_Mumbai_-_07-09-96_IDesireTree.mp3</v>
      </c>
      <c r="D1131" s="24"/>
      <c r="E1131" s="24"/>
    </row>
    <row r="1132">
      <c r="A1132" s="25" t="s">
        <v>18352</v>
      </c>
      <c r="B1132" s="25" t="s">
        <v>18360</v>
      </c>
      <c r="C1132" s="26" t="str">
        <f>HYPERLINK("https://audio.iskcondesiretree.com/02_-_ISKCON_Swamis/ISKCON_Swamis_-_R_to_Y/His_Holiness_Radhanath_Swami/Lectures/00_-_Year_wise/Devotional_Nectar_-_1996/1996-127_Lord%27s_Affection_For_His_Devotee_SB-07_10_3-4_Mumbai_-_8-9-96_IDesireTree.mp3", "1996-127_Lord%27s_Affection_For_His_Devotee_SB-07_10_3-4_Mumbai_-_8-9-96_IDesireTree.mp3")</f>
        <v>1996-127_Lord%27s_Affection_For_His_Devotee_SB-07_10_3-4_Mumbai_-_8-9-96_IDesireTree.mp3</v>
      </c>
      <c r="D1132" s="24"/>
      <c r="E1132" s="24"/>
    </row>
    <row r="1133">
      <c r="A1133" s="25" t="s">
        <v>18352</v>
      </c>
      <c r="B1133" s="25" t="s">
        <v>18360</v>
      </c>
      <c r="C1133" s="26" t="str">
        <f>HYPERLINK("https://audio.iskcondesiretree.com/02_-_ISKCON_Swamis/ISKCON_Swamis_-_R_to_Y/His_Holiness_Radhanath_Swami/Lectures/00_-_Year_wise/Devotional_Nectar_-_1996/1996-128_On_Dramas_Lecture_Mumbai_-_Radhanath_Swami_1996-09-09_IDesireTree.mp3", "1996-128_On_Dramas_Lecture_Mumbai_-_Radhanath_Swami_1996-09-09_IDesireTree.mp3")</f>
        <v>1996-128_On_Dramas_Lecture_Mumbai_-_Radhanath_Swami_1996-09-09_IDesireTree.mp3</v>
      </c>
      <c r="D1133" s="24"/>
      <c r="E1133" s="24"/>
    </row>
    <row r="1134">
      <c r="A1134" s="25" t="s">
        <v>18352</v>
      </c>
      <c r="B1134" s="25" t="s">
        <v>18360</v>
      </c>
      <c r="C1134" s="26" t="str">
        <f>HYPERLINK("https://audio.iskcondesiretree.com/02_-_ISKCON_Swamis/ISKCON_Swamis_-_R_to_Y/His_Holiness_Radhanath_Swami/Lectures/00_-_Year_wise/Devotional_Nectar_-_1996/1996-129_Krishna-_The_Original_Purusa_SB-02_03_21_Mumbai_-_14-09-96_IDesireTree.mp3", "1996-129_Krishna-_The_Original_Purusa_SB-02_03_21_Mumbai_-_14-09-96_IDesireTree.mp3")</f>
        <v>1996-129_Krishna-_The_Original_Purusa_SB-02_03_21_Mumbai_-_14-09-96_IDesireTree.mp3</v>
      </c>
      <c r="D1134" s="24"/>
      <c r="E1134" s="24"/>
    </row>
    <row r="1135">
      <c r="A1135" s="25" t="s">
        <v>18352</v>
      </c>
      <c r="B1135" s="25" t="s">
        <v>18360</v>
      </c>
      <c r="C1135" s="26" t="str">
        <f>HYPERLINK("https://audio.iskcondesiretree.com/02_-_ISKCON_Swamis/ISKCON_Swamis_-_R_to_Y/His_Holiness_Radhanath_Swami/Lectures/00_-_Year_wise/Devotional_Nectar_-_1996/1996-130_Pastimes_Of_Srila_Prabhupada_Lecture_Mumbai_-_Radhanath_Swami_1996-09-15_IDesireTree.mp3", "1996-130_Pastimes_Of_Srila_Prabhupada_Lecture_Mumbai_-_Radhanath_Swami_1996-09-15_IDesireTree.mp3")</f>
        <v>1996-130_Pastimes_Of_Srila_Prabhupada_Lecture_Mumbai_-_Radhanath_Swami_1996-09-15_IDesireTree.mp3</v>
      </c>
      <c r="D1135" s="24"/>
      <c r="E1135" s="24"/>
    </row>
    <row r="1136">
      <c r="A1136" s="25" t="s">
        <v>18352</v>
      </c>
      <c r="B1136" s="25" t="s">
        <v>18360</v>
      </c>
      <c r="C1136" s="26" t="str">
        <f>HYPERLINK("https://audio.iskcondesiretree.com/02_-_ISKCON_Swamis/ISKCON_Swamis_-_R_to_Y/His_Holiness_Radhanath_Swami/Lectures/00_-_Year_wise/Devotional_Nectar_-_1996/1996-131_Hear_from_Guru_BG-07_01_Mumbai_-_Radhanath_Swami_1996-09-16_IDesireTree.mp3", "1996-131_Hear_from_Guru_BG-07_01_Mumbai_-_Radhanath_Swami_1996-09-16_IDesireTree.mp3")</f>
        <v>1996-131_Hear_from_Guru_BG-07_01_Mumbai_-_Radhanath_Swami_1996-09-16_IDesireTree.mp3</v>
      </c>
      <c r="D1136" s="24"/>
      <c r="E1136" s="24"/>
    </row>
    <row r="1137">
      <c r="A1137" s="25" t="s">
        <v>18352</v>
      </c>
      <c r="B1137" s="25" t="s">
        <v>18360</v>
      </c>
      <c r="C1137" s="26" t="str">
        <f>HYPERLINK("https://audio.iskcondesiretree.com/02_-_ISKCON_Swamis/ISKCON_Swamis_-_R_to_Y/His_Holiness_Radhanath_Swami/Lectures/00_-_Year_wise/Devotional_Nectar_-_1996/1996-132_Holy_Name_Is_Realised_With_Humility_SB-02_03_24-25_Mumbai_-_19-09-96_IDesireTree.mp3", "1996-132_Holy_Name_Is_Realised_With_Humility_SB-02_03_24-25_Mumbai_-_19-09-96_IDesireTree.mp3")</f>
        <v>1996-132_Holy_Name_Is_Realised_With_Humility_SB-02_03_24-25_Mumbai_-_19-09-96_IDesireTree.mp3</v>
      </c>
      <c r="D1137" s="24"/>
      <c r="E1137" s="24"/>
    </row>
    <row r="1138">
      <c r="A1138" s="25" t="s">
        <v>18352</v>
      </c>
      <c r="B1138" s="25" t="s">
        <v>18360</v>
      </c>
      <c r="C1138" s="26" t="str">
        <f>HYPERLINK("https://audio.iskcondesiretree.com/02_-_ISKCON_Swamis/ISKCON_Swamis_-_R_to_Y/His_Holiness_Radhanath_Swami/Lectures/00_-_Year_wise/Devotional_Nectar_-_1996/1996-133_Srimati_Radharani%27s_Appearence_Day_CC_Adi-04_74-81_Mumbai_-_20-09-96_IDesireTree.mp3", "1996-133_Srimati_Radharani%27s_Appearence_Day_CC_Adi-04_74-81_Mumbai_-_20-09-96_IDesireTree.mp3")</f>
        <v>1996-133_Srimati_Radharani%27s_Appearence_Day_CC_Adi-04_74-81_Mumbai_-_20-09-96_IDesireTree.mp3</v>
      </c>
      <c r="D1138" s="24"/>
      <c r="E1138" s="24"/>
    </row>
    <row r="1139">
      <c r="A1139" s="25" t="s">
        <v>18352</v>
      </c>
      <c r="B1139" s="25" t="s">
        <v>18360</v>
      </c>
      <c r="C1139" s="26" t="str">
        <f>HYPERLINK("https://audio.iskcondesiretree.com/02_-_ISKCON_Swamis/ISKCON_Swamis_-_R_to_Y/His_Holiness_Radhanath_Swami/Lectures/00_-_Year_wise/Devotional_Nectar_-_1996/1996-134_Radhastami_Lecture_Mumbai_-_Radhanath_Swami_1996-09-20_new_IDesireTree.mp3", "1996-134_Radhastami_Lecture_Mumbai_-_Radhanath_Swami_1996-09-20_new_IDesireTree.mp3")</f>
        <v>1996-134_Radhastami_Lecture_Mumbai_-_Radhanath_Swami_1996-09-20_new_IDesireTree.mp3</v>
      </c>
      <c r="D1139" s="24"/>
      <c r="E1139" s="24"/>
    </row>
    <row r="1140">
      <c r="A1140" s="25" t="s">
        <v>18352</v>
      </c>
      <c r="B1140" s="25" t="s">
        <v>18360</v>
      </c>
      <c r="C1140" s="26" t="str">
        <f>HYPERLINK("https://audio.iskcondesiretree.com/02_-_ISKCON_Swamis/ISKCON_Swamis_-_R_to_Y/His_Holiness_Radhanath_Swami/Lectures/00_-_Year_wise/Devotional_Nectar_-_1996/1996-135_What_Is_The_Aim_Of_Life_BG-02_08_Mumbai_-_Radhanath_Swami_1996-09-21_IDesireTree.mp3", "1996-135_What_Is_The_Aim_Of_Life_BG-02_08_Mumbai_-_Radhanath_Swami_1996-09-21_IDesireTree.mp3")</f>
        <v>1996-135_What_Is_The_Aim_Of_Life_BG-02_08_Mumbai_-_Radhanath_Swami_1996-09-21_IDesireTree.mp3</v>
      </c>
      <c r="D1140" s="24"/>
      <c r="E1140" s="24"/>
    </row>
    <row r="1141">
      <c r="A1141" s="25" t="s">
        <v>18352</v>
      </c>
      <c r="B1141" s="25" t="s">
        <v>18360</v>
      </c>
      <c r="C1141" s="26" t="str">
        <f>HYPERLINK("https://audio.iskcondesiretree.com/02_-_ISKCON_Swamis/ISKCON_Swamis_-_R_to_Y/His_Holiness_Radhanath_Swami/Lectures/00_-_Year_wise/Devotional_Nectar_-_1996/1996-137_Don%27t_Let_Kali_Enter_Your_Home_SB-02_04_2Mumbai_-_22-09-96_IDesireTree.mp3", "1996-137_Don%27t_Let_Kali_Enter_Your_Home_SB-02_04_2Mumbai_-_22-09-96_IDesireTree.mp3")</f>
        <v>1996-137_Don%27t_Let_Kali_Enter_Your_Home_SB-02_04_2Mumbai_-_22-09-96_IDesireTree.mp3</v>
      </c>
      <c r="D1141" s="24"/>
      <c r="E1141" s="24"/>
    </row>
    <row r="1142">
      <c r="A1142" s="25" t="s">
        <v>18352</v>
      </c>
      <c r="B1142" s="25" t="s">
        <v>18360</v>
      </c>
      <c r="C1142" s="26" t="str">
        <f>HYPERLINK("https://audio.iskcondesiretree.com/02_-_ISKCON_Swamis/ISKCON_Swamis_-_R_to_Y/His_Holiness_Radhanath_Swami/Lectures/00_-_Year_wise/Devotional_Nectar_-_1996/1996-138_Gaura_Nitai_Deity_Welcoming_Lecture_Pune_-_Radhanath_Swami_1996-09-23_IDesireTree.mp3", "1996-138_Gaura_Nitai_Deity_Welcoming_Lecture_Pune_-_Radhanath_Swami_1996-09-23_IDesireTree.mp3")</f>
        <v>1996-138_Gaura_Nitai_Deity_Welcoming_Lecture_Pune_-_Radhanath_Swami_1996-09-23_IDesireTree.mp3</v>
      </c>
      <c r="D1142" s="24"/>
      <c r="E1142" s="24"/>
    </row>
    <row r="1143">
      <c r="A1143" s="25" t="s">
        <v>18352</v>
      </c>
      <c r="B1143" s="25" t="s">
        <v>18360</v>
      </c>
      <c r="C1143" s="26" t="str">
        <f>HYPERLINK("https://audio.iskcondesiretree.com/02_-_ISKCON_Swamis/ISKCON_Swamis_-_R_to_Y/His_Holiness_Radhanath_Swami/Lectures/00_-_Year_wise/Devotional_Nectar_-_1996/1996-140_Pleasing_Krishna_Is_Our_Aim_BG-18_58_Pune_-_24-09-96_IDesireTree.mp3", "1996-140_Pleasing_Krishna_Is_Our_Aim_BG-18_58_Pune_-_24-09-96_IDesireTree.mp3")</f>
        <v>1996-140_Pleasing_Krishna_Is_Our_Aim_BG-18_58_Pune_-_24-09-96_IDesireTree.mp3</v>
      </c>
      <c r="D1143" s="24"/>
      <c r="E1143" s="24"/>
    </row>
    <row r="1144">
      <c r="A1144" s="25" t="s">
        <v>18352</v>
      </c>
      <c r="B1144" s="25" t="s">
        <v>18360</v>
      </c>
      <c r="C1144" s="26" t="str">
        <f>HYPERLINK("https://audio.iskcondesiretree.com/02_-_ISKCON_Swamis/ISKCON_Swamis_-_R_to_Y/His_Holiness_Radhanath_Swami/Lectures/00_-_Year_wise/Devotional_Nectar_-_1996/1996-140_Pleasing_Krishna_Is_Our_Aim_BG-18_58_Pune_-_Radhanath_Swami_1996-09-24_IDesireTree.mp3", "1996-140_Pleasing_Krishna_Is_Our_Aim_BG-18_58_Pune_-_Radhanath_Swami_1996-09-24_IDesireTree.mp3")</f>
        <v>1996-140_Pleasing_Krishna_Is_Our_Aim_BG-18_58_Pune_-_Radhanath_Swami_1996-09-24_IDesireTree.mp3</v>
      </c>
      <c r="D1144" s="24"/>
      <c r="E1144" s="24"/>
    </row>
    <row r="1145">
      <c r="A1145" s="25" t="s">
        <v>18352</v>
      </c>
      <c r="B1145" s="25" t="s">
        <v>18360</v>
      </c>
      <c r="C1145" s="26" t="str">
        <f>HYPERLINK("https://audio.iskcondesiretree.com/02_-_ISKCON_Swamis/ISKCON_Swamis_-_R_to_Y/His_Holiness_Radhanath_Swami/Lectures/00_-_Year_wise/Devotional_Nectar_-_1996/1996-141_Srila_Bhaktivinoda_Thakur_SB-07_09_28_Pune_-_Radhanath_Swami_1996-09-25_IDesireTree.mp3", "1996-141_Srila_Bhaktivinoda_Thakur_SB-07_09_28_Pune_-_Radhanath_Swami_1996-09-25_IDesireTree.mp3")</f>
        <v>1996-141_Srila_Bhaktivinoda_Thakur_SB-07_09_28_Pune_-_Radhanath_Swami_1996-09-25_IDesireTree.mp3</v>
      </c>
      <c r="D1145" s="24"/>
      <c r="E1145" s="24"/>
    </row>
    <row r="1146">
      <c r="A1146" s="25" t="s">
        <v>18352</v>
      </c>
      <c r="B1146" s="25" t="s">
        <v>18360</v>
      </c>
      <c r="C1146" s="26" t="str">
        <f>HYPERLINK("https://audio.iskcondesiretree.com/02_-_ISKCON_Swamis/ISKCON_Swamis_-_R_to_Y/His_Holiness_Radhanath_Swami/Lectures/00_-_Year_wise/Devotional_Nectar_-_1996/1996-142_Visvaroop%27s_And_Prabhupada%27s_Sanyas_Pastimes_Lecture_Mumbai_-_27-09-96_IDesireTree.mp3", "1996-142_Visvaroop%27s_And_Prabhupada%27s_Sanyas_Pastimes_Lecture_Mumbai_-_27-09-96_IDesireTree.mp3")</f>
        <v>1996-142_Visvaroop%27s_And_Prabhupada%27s_Sanyas_Pastimes_Lecture_Mumbai_-_27-09-96_IDesireTree.mp3</v>
      </c>
      <c r="D1146" s="24"/>
      <c r="E1146" s="24"/>
    </row>
    <row r="1147">
      <c r="A1147" s="25" t="s">
        <v>18352</v>
      </c>
      <c r="B1147" s="25" t="s">
        <v>18360</v>
      </c>
      <c r="C1147" s="26" t="str">
        <f>HYPERLINK("https://audio.iskcondesiretree.com/02_-_ISKCON_Swamis/ISKCON_Swamis_-_R_to_Y/His_Holiness_Radhanath_Swami/Lectures/00_-_Year_wise/Devotional_Nectar_-_1996/1996-143_Caste_Sex_No_Consideration_SB-01_18_18-19_Mumbai_-_28-09-96_IDesireTree.mp3", "1996-143_Caste_Sex_No_Consideration_SB-01_18_18-19_Mumbai_-_28-09-96_IDesireTree.mp3")</f>
        <v>1996-143_Caste_Sex_No_Consideration_SB-01_18_18-19_Mumbai_-_28-09-96_IDesireTree.mp3</v>
      </c>
      <c r="D1147" s="24"/>
      <c r="E1147" s="24"/>
    </row>
    <row r="1148">
      <c r="A1148" s="25" t="s">
        <v>18352</v>
      </c>
      <c r="B1148" s="25" t="s">
        <v>18360</v>
      </c>
      <c r="C1148" s="26" t="str">
        <f>HYPERLINK("https://audio.iskcondesiretree.com/02_-_ISKCON_Swamis/ISKCON_Swamis_-_R_to_Y/His_Holiness_Radhanath_Swami/Lectures/00_-_Year_wise/Devotional_Nectar_-_1996/1996-144_Krishna_Is_Master_Of_Everyone_SB-02_04_07_Mumbai_-_28-09-96_IDesireTree.mp3", "1996-144_Krishna_Is_Master_Of_Everyone_SB-02_04_07_Mumbai_-_28-09-96_IDesireTree.mp3")</f>
        <v>1996-144_Krishna_Is_Master_Of_Everyone_SB-02_04_07_Mumbai_-_28-09-96_IDesireTree.mp3</v>
      </c>
      <c r="D1148" s="24"/>
      <c r="E1148" s="24"/>
    </row>
    <row r="1149">
      <c r="A1149" s="25" t="s">
        <v>18352</v>
      </c>
      <c r="B1149" s="25" t="s">
        <v>18360</v>
      </c>
      <c r="C1149" s="26" t="str">
        <f>HYPERLINK("https://audio.iskcondesiretree.com/02_-_ISKCON_Swamis/ISKCON_Swamis_-_R_to_Y/His_Holiness_Radhanath_Swami/Lectures/00_-_Year_wise/Devotional_Nectar_-_1996/1996-145_Pastimes_Of_Haridas_Thakur_Lecture_Mumbai_-_Radhanath_Swami_1996-09-29_IDesireTree.mp3", "1996-145_Pastimes_Of_Haridas_Thakur_Lecture_Mumbai_-_Radhanath_Swami_1996-09-29_IDesireTree.mp3")</f>
        <v>1996-145_Pastimes_Of_Haridas_Thakur_Lecture_Mumbai_-_Radhanath_Swami_1996-09-29_IDesireTree.mp3</v>
      </c>
      <c r="D1149" s="24"/>
      <c r="E1149" s="24"/>
    </row>
    <row r="1150">
      <c r="A1150" s="25" t="s">
        <v>18352</v>
      </c>
      <c r="B1150" s="25" t="s">
        <v>18360</v>
      </c>
      <c r="C1150" s="26" t="str">
        <f>HYPERLINK("https://audio.iskcondesiretree.com/02_-_ISKCON_Swamis/ISKCON_Swamis_-_R_to_Y/His_Holiness_Radhanath_Swami/Lectures/00_-_Year_wise/Devotional_Nectar_-_1996/1996-146_Arrival_Lecture_Mt_-_Lecture_Belgaum_-_Radhanath_Swami_1996-09-30_IDesireTree.mp3", "1996-146_Arrival_Lecture_Mt_-_Lecture_Belgaum_-_Radhanath_Swami_1996-09-30_IDesireTree.mp3")</f>
        <v>1996-146_Arrival_Lecture_Mt_-_Lecture_Belgaum_-_Radhanath_Swami_1996-09-30_IDesireTree.mp3</v>
      </c>
      <c r="D1150" s="24"/>
      <c r="E1150" s="24"/>
    </row>
    <row r="1151">
      <c r="A1151" s="25" t="s">
        <v>18352</v>
      </c>
      <c r="B1151" s="25" t="s">
        <v>18360</v>
      </c>
      <c r="C1151" s="26" t="str">
        <f>HYPERLINK("https://audio.iskcondesiretree.com/02_-_ISKCON_Swamis/ISKCON_Swamis_-_R_to_Y/His_Holiness_Radhanath_Swami/Lectures/00_-_Year_wise/Devotional_Nectar_-_1996/1996-147_Depend_On_Krishna_Lecture_Belgaum_-_Radhanath_Swami_1996-10-01_IDesireTree.mp3", "1996-147_Depend_On_Krishna_Lecture_Belgaum_-_Radhanath_Swami_1996-10-01_IDesireTree.mp3")</f>
        <v>1996-147_Depend_On_Krishna_Lecture_Belgaum_-_Radhanath_Swami_1996-10-01_IDesireTree.mp3</v>
      </c>
      <c r="D1151" s="24"/>
      <c r="E1151" s="24"/>
    </row>
    <row r="1152">
      <c r="A1152" s="25" t="s">
        <v>18352</v>
      </c>
      <c r="B1152" s="25" t="s">
        <v>18360</v>
      </c>
      <c r="C1152" s="26" t="str">
        <f>HYPERLINK("https://audio.iskcondesiretree.com/02_-_ISKCON_Swamis/ISKCON_Swamis_-_R_to_Y/His_Holiness_Radhanath_Swami/Lectures/00_-_Year_wise/Devotional_Nectar_-_1996/1996-148_Make_Mind_Your_Friend_Ht_-_BG-06_05_Kolhapur_-_Radhanath_Swami_1996-10-03_IDesireTree.mp3", "1996-148_Make_Mind_Your_Friend_Ht_-_BG-06_05_Kolhapur_-_Radhanath_Swami_1996-10-03_IDesireTree.mp3")</f>
        <v>1996-148_Make_Mind_Your_Friend_Ht_-_BG-06_05_Kolhapur_-_Radhanath_Swami_1996-10-03_IDesireTree.mp3</v>
      </c>
      <c r="D1152" s="24"/>
      <c r="E1152" s="24"/>
    </row>
    <row r="1153">
      <c r="A1153" s="25" t="s">
        <v>18352</v>
      </c>
      <c r="B1153" s="25" t="s">
        <v>18360</v>
      </c>
      <c r="C1153" s="26" t="str">
        <f>HYPERLINK("https://audio.iskcondesiretree.com/02_-_ISKCON_Swamis/ISKCON_Swamis_-_R_to_Y/His_Holiness_Radhanath_Swami/Lectures/00_-_Year_wise/Devotional_Nectar_-_1996/1996-149_Surrender_With_Humility_BG-02_04-07_Mumbai_-_Radhanath_Swami_1996-10-06_IDesireTree.mp3", "1996-149_Surrender_With_Humility_BG-02_04-07_Mumbai_-_Radhanath_Swami_1996-10-06_IDesireTree.mp3")</f>
        <v>1996-149_Surrender_With_Humility_BG-02_04-07_Mumbai_-_Radhanath_Swami_1996-10-06_IDesireTree.mp3</v>
      </c>
      <c r="D1153" s="24"/>
      <c r="E1153" s="24"/>
    </row>
    <row r="1154">
      <c r="A1154" s="25" t="s">
        <v>18352</v>
      </c>
      <c r="B1154" s="25" t="s">
        <v>18360</v>
      </c>
      <c r="C1154" s="26" t="str">
        <f>HYPERLINK("https://audio.iskcondesiretree.com/02_-_ISKCON_Swamis/ISKCON_Swamis_-_R_to_Y/His_Holiness_Radhanath_Swami/Lectures/00_-_Year_wise/Devotional_Nectar_-_1996/1996-150_Perform_Activities_To_Please_Krishna_SB-02_04_17_Mumbai_-_10-10-96_IDesireTree.mp3", "1996-150_Perform_Activities_To_Please_Krishna_SB-02_04_17_Mumbai_-_10-10-96_IDesireTree.mp3")</f>
        <v>1996-150_Perform_Activities_To_Please_Krishna_SB-02_04_17_Mumbai_-_10-10-96_IDesireTree.mp3</v>
      </c>
      <c r="D1154" s="24"/>
      <c r="E1154" s="24"/>
    </row>
    <row r="1155">
      <c r="A1155" s="25" t="s">
        <v>18352</v>
      </c>
      <c r="B1155" s="25" t="s">
        <v>18360</v>
      </c>
      <c r="C1155" s="26" t="str">
        <f>HYPERLINK("https://audio.iskcondesiretree.com/02_-_ISKCON_Swamis/ISKCON_Swamis_-_R_to_Y/His_Holiness_Radhanath_Swami/Lectures/00_-_Year_wise/Devotional_Nectar_-_1996/1996-151_Material_Consciousness_And_Spiritual_Consciousness_BG-14_19_Mumbai_-_10-10-96_IDesireTree.m"&amp;"p3", "1996-151_Material_Consciousness_And_Spiritual_Consciousness_BG-14_19_Mumbai_-_10-10-96_IDesireTree.mp3")</f>
        <v>1996-151_Material_Consciousness_And_Spiritual_Consciousness_BG-14_19_Mumbai_-_10-10-96_IDesireTree.mp3</v>
      </c>
      <c r="D1155" s="24"/>
      <c r="E1155" s="24"/>
    </row>
    <row r="1156">
      <c r="A1156" s="25" t="s">
        <v>18352</v>
      </c>
      <c r="B1156" s="25" t="s">
        <v>18360</v>
      </c>
      <c r="C1156" s="26" t="str">
        <f>HYPERLINK("https://audio.iskcondesiretree.com/02_-_ISKCON_Swamis/ISKCON_Swamis_-_R_to_Y/His_Holiness_Radhanath_Swami/Lectures/00_-_Year_wise/Devotional_Nectar_-_1996/1996-152_Power_Of_Bhakti_SB-02_04_18_Mumbai_-_Radhanath_Swami_1996-10-13_IDesireTree.mp3", "1996-152_Power_Of_Bhakti_SB-02_04_18_Mumbai_-_Radhanath_Swami_1996-10-13_IDesireTree.mp3")</f>
        <v>1996-152_Power_Of_Bhakti_SB-02_04_18_Mumbai_-_Radhanath_Swami_1996-10-13_IDesireTree.mp3</v>
      </c>
      <c r="D1156" s="24"/>
      <c r="E1156" s="24"/>
    </row>
    <row r="1157">
      <c r="A1157" s="25" t="s">
        <v>18352</v>
      </c>
      <c r="B1157" s="25" t="s">
        <v>18360</v>
      </c>
      <c r="C1157" s="26" t="str">
        <f>HYPERLINK("https://audio.iskcondesiretree.com/02_-_ISKCON_Swamis/ISKCON_Swamis_-_R_to_Y/His_Holiness_Radhanath_Swami/Lectures/00_-_Year_wise/Devotional_Nectar_-_1996/1996-153_Pastimes_Of_Gopala_Bhatta_Goswami_SB-02_04_21_Mumbai_-_13-10-96_IDesireTree.mp3", "1996-153_Pastimes_Of_Gopala_Bhatta_Goswami_SB-02_04_21_Mumbai_-_13-10-96_IDesireTree.mp3")</f>
        <v>1996-153_Pastimes_Of_Gopala_Bhatta_Goswami_SB-02_04_21_Mumbai_-_13-10-96_IDesireTree.mp3</v>
      </c>
      <c r="D1157" s="24"/>
      <c r="E1157" s="24"/>
    </row>
    <row r="1158">
      <c r="A1158" s="25" t="s">
        <v>18352</v>
      </c>
      <c r="B1158" s="25" t="s">
        <v>18360</v>
      </c>
      <c r="C1158" s="26" t="str">
        <f>HYPERLINK("https://audio.iskcondesiretree.com/02_-_ISKCON_Swamis/ISKCON_Swamis_-_R_to_Y/His_Holiness_Radhanath_Swami/Lectures/00_-_Year_wise/Devotional_Nectar_-_1996/1996-154_Demigods_And_Story_Of_Keshav_Kashmiri_HT_-_BG-09_23_Mumbai_-_16-10-96_IDesireTree.mp3", "1996-154_Demigods_And_Story_Of_Keshav_Kashmiri_HT_-_BG-09_23_Mumbai_-_16-10-96_IDesireTree.mp3")</f>
        <v>1996-154_Demigods_And_Story_Of_Keshav_Kashmiri_HT_-_BG-09_23_Mumbai_-_16-10-96_IDesireTree.mp3</v>
      </c>
      <c r="D1158" s="24"/>
      <c r="E1158" s="24"/>
    </row>
    <row r="1159">
      <c r="A1159" s="25" t="s">
        <v>18352</v>
      </c>
      <c r="B1159" s="25" t="s">
        <v>18360</v>
      </c>
      <c r="C1159" s="26" t="str">
        <f>HYPERLINK("https://audio.iskcondesiretree.com/02_-_ISKCON_Swamis/ISKCON_Swamis_-_R_to_Y/His_Holiness_Radhanath_Swami/Lectures/00_-_Year_wise/Devotional_Nectar_-_1996/1996-155_Knowledge_By_Utter_Surrender_SB-02_04_23_Mumbai_-_19-10-96_IDesireTree.mp3", "1996-155_Knowledge_By_Utter_Surrender_SB-02_04_23_Mumbai_-_19-10-96_IDesireTree.mp3")</f>
        <v>1996-155_Knowledge_By_Utter_Surrender_SB-02_04_23_Mumbai_-_19-10-96_IDesireTree.mp3</v>
      </c>
      <c r="D1159" s="24"/>
      <c r="E1159" s="24"/>
    </row>
    <row r="1160">
      <c r="A1160" s="25" t="s">
        <v>18352</v>
      </c>
      <c r="B1160" s="25" t="s">
        <v>18360</v>
      </c>
      <c r="C1160" s="26" t="str">
        <f>HYPERLINK("https://audio.iskcondesiretree.com/02_-_ISKCON_Swamis/ISKCON_Swamis_-_R_to_Y/His_Holiness_Radhanath_Swami/Lectures/00_-_Year_wise/Devotional_Nectar_-_1996/1996-156_Supreme_Person_Is_Understood_By_Service_SB-11_02_36_Mumbai_-_20-10-96_IDesireTree.mp3", "1996-156_Supreme_Person_Is_Understood_By_Service_SB-11_02_36_Mumbai_-_20-10-96_IDesireTree.mp3")</f>
        <v>1996-156_Supreme_Person_Is_Understood_By_Service_SB-11_02_36_Mumbai_-_20-10-96_IDesireTree.mp3</v>
      </c>
      <c r="D1160" s="24"/>
      <c r="E1160" s="24"/>
    </row>
    <row r="1161">
      <c r="A1161" s="25" t="s">
        <v>18352</v>
      </c>
      <c r="B1161" s="25" t="s">
        <v>18360</v>
      </c>
      <c r="C1161" s="26" t="str">
        <f>HYPERLINK("https://audio.iskcondesiretree.com/02_-_ISKCON_Swamis/ISKCON_Swamis_-_R_to_Y/His_Holiness_Radhanath_Swami/Lectures/00_-_Year_wise/Devotional_Nectar_-_1996/1996-157_Original_Cause_of_All_Problems_SB-02_05_03_Mumbai_-_24-10-96_IDesireTree.mp3", "1996-157_Original_Cause_of_All_Problems_SB-02_05_03_Mumbai_-_24-10-96_IDesireTree.mp3")</f>
        <v>1996-157_Original_Cause_of_All_Problems_SB-02_05_03_Mumbai_-_24-10-96_IDesireTree.mp3</v>
      </c>
      <c r="D1161" s="24"/>
      <c r="E1161" s="24"/>
    </row>
    <row r="1162">
      <c r="A1162" s="25" t="s">
        <v>18352</v>
      </c>
      <c r="B1162" s="25" t="s">
        <v>18360</v>
      </c>
      <c r="C1162" s="26" t="str">
        <f>HYPERLINK("https://audio.iskcondesiretree.com/02_-_ISKCON_Swamis/ISKCON_Swamis_-_R_to_Y/His_Holiness_Radhanath_Swami/Lectures/00_-_Year_wise/Devotional_Nectar_-_1996/1996-158_Saffron_Awarding_Ceremony_Lecture_Mumbai_-_Radhanath_Swami_1996-10-25_IDesireTree.mp3", "1996-158_Saffron_Awarding_Ceremony_Lecture_Mumbai_-_Radhanath_Swami_1996-10-25_IDesireTree.mp3")</f>
        <v>1996-158_Saffron_Awarding_Ceremony_Lecture_Mumbai_-_Radhanath_Swami_1996-10-25_IDesireTree.mp3</v>
      </c>
      <c r="D1162" s="24"/>
      <c r="E1162" s="24"/>
    </row>
    <row r="1163">
      <c r="A1163" s="25" t="s">
        <v>18352</v>
      </c>
      <c r="B1163" s="25" t="s">
        <v>18360</v>
      </c>
      <c r="C1163" s="26" t="str">
        <f>HYPERLINK("https://audio.iskcondesiretree.com/02_-_ISKCON_Swamis/ISKCON_Swamis_-_R_to_Y/His_Holiness_Radhanath_Swami/Lectures/00_-_Year_wise/Devotional_Nectar_-_1996/1996-159_Marriage_Address_Lecture_Mumbai_-_Radhanath_Swami_1996-10-25_IDesireTree.mp3", "1996-159_Marriage_Address_Lecture_Mumbai_-_Radhanath_Swami_1996-10-25_IDesireTree.mp3")</f>
        <v>1996-159_Marriage_Address_Lecture_Mumbai_-_Radhanath_Swami_1996-10-25_IDesireTree.mp3</v>
      </c>
      <c r="D1163" s="24"/>
      <c r="E1163" s="24"/>
    </row>
    <row r="1164">
      <c r="A1164" s="25" t="s">
        <v>18352</v>
      </c>
      <c r="B1164" s="25" t="s">
        <v>18360</v>
      </c>
      <c r="C1164" s="26" t="str">
        <f>HYPERLINK("https://audio.iskcondesiretree.com/02_-_ISKCON_Swamis/ISKCON_Swamis_-_R_to_Y/His_Holiness_Radhanath_Swami/Lectures/00_-_Year_wise/Devotional_Nectar_-_1996/1996-160_Gajendra_Has_Shown_The_Way_Lecture_Mumbai_-_Radhanath_Swami_1996-10-26_IDesireTree.mp3", "1996-160_Gajendra_Has_Shown_The_Way_Lecture_Mumbai_-_Radhanath_Swami_1996-10-26_IDesireTree.mp3")</f>
        <v>1996-160_Gajendra_Has_Shown_The_Way_Lecture_Mumbai_-_Radhanath_Swami_1996-10-26_IDesireTree.mp3</v>
      </c>
      <c r="D1164" s="24"/>
      <c r="E1164" s="24"/>
    </row>
    <row r="1165">
      <c r="A1165" s="25" t="s">
        <v>18352</v>
      </c>
      <c r="B1165" s="25" t="s">
        <v>18360</v>
      </c>
      <c r="C1165" s="26" t="str">
        <f>HYPERLINK("https://audio.iskcondesiretree.com/02_-_ISKCON_Swamis/ISKCON_Swamis_-_R_to_Y/His_Holiness_Radhanath_Swami/Lectures/00_-_Year_wise/Devotional_Nectar_-_1996/1996-161_Importance_Of_The_Month_Of_Damodar_Lecture_Mumbai_-_27-10-96_IDesireTree.mp3", "1996-161_Importance_Of_The_Month_Of_Damodar_Lecture_Mumbai_-_27-10-96_IDesireTree.mp3")</f>
        <v>1996-161_Importance_Of_The_Month_Of_Damodar_Lecture_Mumbai_-_27-10-96_IDesireTree.mp3</v>
      </c>
      <c r="D1165" s="24"/>
      <c r="E1165" s="24"/>
    </row>
    <row r="1166">
      <c r="A1166" s="25" t="s">
        <v>18352</v>
      </c>
      <c r="B1166" s="25" t="s">
        <v>18360</v>
      </c>
      <c r="C1166" s="26" t="str">
        <f>HYPERLINK("https://audio.iskcondesiretree.com/02_-_ISKCON_Swamis/ISKCON_Swamis_-_R_to_Y/His_Holiness_Radhanath_Swami/Lectures/00_-_Year_wise/Devotional_Nectar_-_1996/1996-162_Sharad_Purnima_Festival_Lecture_Mumbai_-_Radhanath_Swami_1996-10-27_IDesireTree.mp3", "1996-162_Sharad_Purnima_Festival_Lecture_Mumbai_-_Radhanath_Swami_1996-10-27_IDesireTree.mp3")</f>
        <v>1996-162_Sharad_Purnima_Festival_Lecture_Mumbai_-_Radhanath_Swami_1996-10-27_IDesireTree.mp3</v>
      </c>
      <c r="D1166" s="24"/>
      <c r="E1166" s="24"/>
    </row>
    <row r="1167">
      <c r="A1167" s="25" t="s">
        <v>18352</v>
      </c>
      <c r="B1167" s="25" t="s">
        <v>18360</v>
      </c>
      <c r="C1167" s="26" t="str">
        <f>HYPERLINK("https://audio.iskcondesiretree.com/02_-_ISKCON_Swamis/ISKCON_Swamis_-_R_to_Y/His_Holiness_Radhanath_Swami/Lectures/00_-_Year_wise/Devotional_Nectar_-_1996/1996-163_Glories_Of_Narrottama_Das_Thakur_SB-02_05_12_Mumbai_-_31-10-96_new_IDesireTree.mp3", "1996-163_Glories_Of_Narrottama_Das_Thakur_SB-02_05_12_Mumbai_-_31-10-96_new_IDesireTree.mp3")</f>
        <v>1996-163_Glories_Of_Narrottama_Das_Thakur_SB-02_05_12_Mumbai_-_31-10-96_new_IDesireTree.mp3</v>
      </c>
      <c r="D1167" s="24"/>
      <c r="E1167" s="24"/>
    </row>
    <row r="1168">
      <c r="A1168" s="25" t="s">
        <v>18352</v>
      </c>
      <c r="B1168" s="25" t="s">
        <v>18360</v>
      </c>
      <c r="C1168" s="26" t="str">
        <f>HYPERLINK("https://audio.iskcondesiretree.com/02_-_ISKCON_Swamis/ISKCON_Swamis_-_R_to_Y/His_Holiness_Radhanath_Swami/Lectures/00_-_Year_wise/Devotional_Nectar_-_1996/1996-164_Attach_To_Krishna_Detached_From_Maya_SB-02_05_14_Mumbai_-_02-11-96_IDesireTree.mp3", "1996-164_Attach_To_Krishna_Detached_From_Maya_SB-02_05_14_Mumbai_-_02-11-96_IDesireTree.mp3")</f>
        <v>1996-164_Attach_To_Krishna_Detached_From_Maya_SB-02_05_14_Mumbai_-_02-11-96_IDesireTree.mp3</v>
      </c>
      <c r="D1168" s="24"/>
      <c r="E1168" s="24"/>
    </row>
    <row r="1169">
      <c r="A1169" s="25" t="s">
        <v>18352</v>
      </c>
      <c r="B1169" s="25" t="s">
        <v>18360</v>
      </c>
      <c r="C1169" s="26" t="str">
        <f>HYPERLINK("https://audio.iskcondesiretree.com/02_-_ISKCON_Swamis/ISKCON_Swamis_-_R_to_Y/His_Holiness_Radhanath_Swami/Lectures/00_-_Year_wise/Devotional_Nectar_-_1996/1996-165_Be_Like_Swans_Not_Like_Crows_Ht_-_Lecture_Mumbai_-_02-11-96_IDesireTree.mp3", "1996-165_Be_Like_Swans_Not_Like_Crows_Ht_-_Lecture_Mumbai_-_02-11-96_IDesireTree.mp3")</f>
        <v>1996-165_Be_Like_Swans_Not_Like_Crows_Ht_-_Lecture_Mumbai_-_02-11-96_IDesireTree.mp3</v>
      </c>
      <c r="D1169" s="24"/>
      <c r="E1169" s="24"/>
    </row>
    <row r="1170">
      <c r="A1170" s="25" t="s">
        <v>18352</v>
      </c>
      <c r="B1170" s="25" t="s">
        <v>18360</v>
      </c>
      <c r="C1170" s="26" t="str">
        <f>HYPERLINK("https://audio.iskcondesiretree.com/02_-_ISKCON_Swamis/ISKCON_Swamis_-_R_to_Y/His_Holiness_Radhanath_Swami/Lectures/00_-_Year_wise/Devotional_Nectar_-_1996/1996-166_Book_Distribution_Meeting_Lecture_Mumbai_-_Radhanath_Swami_1996-11-03_IDesireTree.mp3", "1996-166_Book_Distribution_Meeting_Lecture_Mumbai_-_Radhanath_Swami_1996-11-03_IDesireTree.mp3")</f>
        <v>1996-166_Book_Distribution_Meeting_Lecture_Mumbai_-_Radhanath_Swami_1996-11-03_IDesireTree.mp3</v>
      </c>
      <c r="D1170" s="24"/>
      <c r="E1170" s="24"/>
    </row>
    <row r="1171">
      <c r="A1171" s="25" t="s">
        <v>18352</v>
      </c>
      <c r="B1171" s="25" t="s">
        <v>18360</v>
      </c>
      <c r="C1171" s="26" t="str">
        <f>HYPERLINK("https://audio.iskcondesiretree.com/02_-_ISKCON_Swamis/ISKCON_Swamis_-_R_to_Y/His_Holiness_Radhanath_Swami/Lectures/00_-_Year_wise/Devotional_Nectar_-_1996/1996-167_Bahulastami_Lecture_Mumbai_-_Radhanath_Swami_1996-11-03_IDesireTree.mp3", "1996-167_Bahulastami_Lecture_Mumbai_-_Radhanath_Swami_1996-11-03_IDesireTree.mp3")</f>
        <v>1996-167_Bahulastami_Lecture_Mumbai_-_Radhanath_Swami_1996-11-03_IDesireTree.mp3</v>
      </c>
      <c r="D1171" s="24"/>
      <c r="E1171" s="24"/>
    </row>
    <row r="1172">
      <c r="A1172" s="25" t="s">
        <v>18352</v>
      </c>
      <c r="B1172" s="25" t="s">
        <v>18360</v>
      </c>
      <c r="C1172" s="26" t="str">
        <f>HYPERLINK("https://audio.iskcondesiretree.com/02_-_ISKCON_Swamis/ISKCON_Swamis_-_R_to_Y/His_Holiness_Radhanath_Swami/Lectures/00_-_Year_wise/Devotional_Nectar_-_1996/1996-168_Precarious_Condition_Of_Indians_SB-02_05_15_Mumbai_-_03-11-96_IDesireTree.mp3", "1996-168_Precarious_Condition_Of_Indians_SB-02_05_15_Mumbai_-_03-11-96_IDesireTree.mp3")</f>
        <v>1996-168_Precarious_Condition_Of_Indians_SB-02_05_15_Mumbai_-_03-11-96_IDesireTree.mp3</v>
      </c>
      <c r="D1172" s="24"/>
      <c r="E1172" s="24"/>
    </row>
    <row r="1173">
      <c r="A1173" s="25" t="s">
        <v>18352</v>
      </c>
      <c r="B1173" s="25" t="s">
        <v>18360</v>
      </c>
      <c r="C1173" s="26" t="str">
        <f>HYPERLINK("https://audio.iskcondesiretree.com/02_-_ISKCON_Swamis/ISKCON_Swamis_-_R_to_Y/His_Holiness_Radhanath_Swami/Lectures/00_-_Year_wise/Devotional_Nectar_-_1996/1996-169_Departure_Meeting_Lecture_Mumbai_-_Radhanath_Swami_1996-11-04_IDesireTree.mp3", "1996-169_Departure_Meeting_Lecture_Mumbai_-_Radhanath_Swami_1996-11-04_IDesireTree.mp3")</f>
        <v>1996-169_Departure_Meeting_Lecture_Mumbai_-_Radhanath_Swami_1996-11-04_IDesireTree.mp3</v>
      </c>
      <c r="D1173" s="24"/>
      <c r="E1173" s="24"/>
    </row>
    <row r="1174">
      <c r="A1174" s="25" t="s">
        <v>18352</v>
      </c>
      <c r="B1174" s="25" t="s">
        <v>18360</v>
      </c>
      <c r="C1174" s="26" t="str">
        <f>HYPERLINK("https://audio.iskcondesiretree.com/02_-_ISKCON_Swamis/ISKCON_Swamis_-_R_to_Y/His_Holiness_Radhanath_Swami/Lectures/00_-_Year_wise/Devotional_Nectar_-_1996/1996-170_Lecture_New_Vrindavan_-_Radhanath_Swami_1996-12-09_IDesireTree.mp3", "1996-170_Lecture_New_Vrindavan_-_Radhanath_Swami_1996-12-09_IDesireTree.mp3")</f>
        <v>1996-170_Lecture_New_Vrindavan_-_Radhanath_Swami_1996-12-09_IDesireTree.mp3</v>
      </c>
      <c r="D1174" s="24"/>
      <c r="E1174" s="24"/>
    </row>
    <row r="1175">
      <c r="A1175" s="25" t="s">
        <v>18352</v>
      </c>
      <c r="B1175" s="25" t="s">
        <v>18360</v>
      </c>
      <c r="C1175" s="26" t="str">
        <f>HYPERLINK("https://audio.iskcondesiretree.com/02_-_ISKCON_Swamis/ISKCON_Swamis_-_R_to_Y/His_Holiness_Radhanath_Swami/Lectures/00_-_Year_wise/Devotional_Nectar_-_1996/1996-171_Arrival_Lecture_SB-02_06_35_Mumbai_-_Radhanath_Swami_1996-12-19_IDesireTree.mp3", "1996-171_Arrival_Lecture_SB-02_06_35_Mumbai_-_Radhanath_Swami_1996-12-19_IDesireTree.mp3")</f>
        <v>1996-171_Arrival_Lecture_SB-02_06_35_Mumbai_-_Radhanath_Swami_1996-12-19_IDesireTree.mp3</v>
      </c>
      <c r="D1175" s="24"/>
      <c r="E1175" s="24"/>
    </row>
    <row r="1176">
      <c r="A1176" s="25" t="s">
        <v>18352</v>
      </c>
      <c r="B1176" s="25" t="s">
        <v>18360</v>
      </c>
      <c r="C1176" s="26" t="str">
        <f>HYPERLINK("https://audio.iskcondesiretree.com/02_-_ISKCON_Swamis/ISKCON_Swamis_-_R_to_Y/His_Holiness_Radhanath_Swami/Lectures/00_-_Year_wise/Devotional_Nectar_-_1996/1996-172_Exalted_Position_Of_Lord_Brahma_And_Lord_Shiva_SB-02_06_37_Mumbai_-_21-12-96_IDesireTree.mp"&amp;"3", "1996-172_Exalted_Position_Of_Lord_Brahma_And_Lord_Shiva_SB-02_06_37_Mumbai_-_21-12-96_IDesireTree.mp3")</f>
        <v>1996-172_Exalted_Position_Of_Lord_Brahma_And_Lord_Shiva_SB-02_06_37_Mumbai_-_21-12-96_IDesireTree.mp3</v>
      </c>
      <c r="D1176" s="24"/>
      <c r="E1176" s="24"/>
    </row>
    <row r="1177">
      <c r="A1177" s="25" t="s">
        <v>18352</v>
      </c>
      <c r="B1177" s="25" t="s">
        <v>18360</v>
      </c>
      <c r="C1177" s="26" t="str">
        <f>HYPERLINK("https://audio.iskcondesiretree.com/02_-_ISKCON_Swamis/ISKCON_Swamis_-_R_to_Y/His_Holiness_Radhanath_Swami/Lectures/00_-_Year_wise/Devotional_Nectar_-_1996/1996-173_Surrender_By_Hearing_And_Chanting_SB-02_06_38_Mumbai_-_22-12-96_IDesireTree.mp3", "1996-173_Surrender_By_Hearing_And_Chanting_SB-02_06_38_Mumbai_-_22-12-96_IDesireTree.mp3")</f>
        <v>1996-173_Surrender_By_Hearing_And_Chanting_SB-02_06_38_Mumbai_-_22-12-96_IDesireTree.mp3</v>
      </c>
      <c r="D1177" s="24"/>
      <c r="E1177" s="24"/>
    </row>
    <row r="1178">
      <c r="A1178" s="25" t="s">
        <v>18352</v>
      </c>
      <c r="B1178" s="25" t="s">
        <v>18360</v>
      </c>
      <c r="C1178" s="26" t="str">
        <f>HYPERLINK("https://audio.iskcondesiretree.com/02_-_ISKCON_Swamis/ISKCON_Swamis_-_R_to_Y/His_Holiness_Radhanath_Swami/Lectures/00_-_Year_wise/Devotional_Nectar_-_1996/1996-174_Churning_The_Ocean_Of_Milk_Lecture_Mumbai_-_Radhanath_Swami_1996-12-22_IDesireTree.mp3", "1996-174_Churning_The_Ocean_Of_Milk_Lecture_Mumbai_-_Radhanath_Swami_1996-12-22_IDesireTree.mp3")</f>
        <v>1996-174_Churning_The_Ocean_Of_Milk_Lecture_Mumbai_-_Radhanath_Swami_1996-12-22_IDesireTree.mp3</v>
      </c>
      <c r="D1178" s="24"/>
      <c r="E1178" s="24"/>
    </row>
    <row r="1179">
      <c r="A1179" s="25" t="s">
        <v>18352</v>
      </c>
      <c r="B1179" s="25" t="s">
        <v>18360</v>
      </c>
      <c r="C1179" s="26" t="str">
        <f>HYPERLINK("https://audio.iskcondesiretree.com/02_-_ISKCON_Swamis/ISKCON_Swamis_-_R_to_Y/His_Holiness_Radhanath_Swami/Lectures/00_-_Year_wise/Devotional_Nectar_-_1996/1996-175_Jesus_Christ-_A_true_Guru_SB-02_06_42_Mumbai_-_Radhanath_Swami_1996-12-25_IDesireTree.mp3", "1996-175_Jesus_Christ-_A_true_Guru_SB-02_06_42_Mumbai_-_Radhanath_Swami_1996-12-25_IDesireTree.mp3")</f>
        <v>1996-175_Jesus_Christ-_A_true_Guru_SB-02_06_42_Mumbai_-_Radhanath_Swami_1996-12-25_IDesireTree.mp3</v>
      </c>
      <c r="D1179" s="24"/>
      <c r="E1179" s="24"/>
    </row>
    <row r="1180">
      <c r="A1180" s="25" t="s">
        <v>18352</v>
      </c>
      <c r="B1180" s="25" t="s">
        <v>18360</v>
      </c>
      <c r="C1180" s="26" t="str">
        <f>HYPERLINK("https://audio.iskcondesiretree.com/02_-_ISKCON_Swamis/ISKCON_Swamis_-_R_to_Y/His_Holiness_Radhanath_Swami/Lectures/00_-_Year_wise/Devotional_Nectar_-_1996/1996-176_Supremacy_of_Lord_Krishna_SB-02_06_43-45_Mumbai_-_26-12-96_IDesireTree.mp3", "1996-176_Supremacy_of_Lord_Krishna_SB-02_06_43-45_Mumbai_-_26-12-96_IDesireTree.mp3")</f>
        <v>1996-176_Supremacy_of_Lord_Krishna_SB-02_06_43-45_Mumbai_-_26-12-96_IDesireTree.mp3</v>
      </c>
      <c r="D1180" s="24"/>
      <c r="E1180" s="24"/>
    </row>
    <row r="1181">
      <c r="A1181" s="25" t="s">
        <v>18352</v>
      </c>
      <c r="B1181" s="25" t="s">
        <v>18360</v>
      </c>
      <c r="C1181" s="26" t="str">
        <f>HYPERLINK("https://audio.iskcondesiretree.com/02_-_ISKCON_Swamis/ISKCON_Swamis_-_R_to_Y/His_Holiness_Radhanath_Swami/Lectures/00_-_Year_wise/Devotional_Nectar_-_1996/1996-177_Gigantic_Boar_Incarnation_SB-02_07_01_Mumbai_-_Radhanath_Swami_1996-12-28_IDesireTree.mp3", "1996-177_Gigantic_Boar_Incarnation_SB-02_07_01_Mumbai_-_Radhanath_Swami_1996-12-28_IDesireTree.mp3")</f>
        <v>1996-177_Gigantic_Boar_Incarnation_SB-02_07_01_Mumbai_-_Radhanath_Swami_1996-12-28_IDesireTree.mp3</v>
      </c>
      <c r="D1181" s="24"/>
      <c r="E1181" s="24"/>
    </row>
    <row r="1182">
      <c r="A1182" s="25" t="s">
        <v>18352</v>
      </c>
      <c r="B1182" s="25" t="s">
        <v>18360</v>
      </c>
      <c r="C1182" s="26" t="str">
        <f>HYPERLINK("https://audio.iskcondesiretree.com/02_-_ISKCON_Swamis/ISKCON_Swamis_-_R_to_Y/His_Holiness_Radhanath_Swami/Lectures/00_-_Year_wise/Devotional_Nectar_-_1996/1996-178_Follow_the_Mahajans_BG-04_15_Mumbai_-_Radhanath_Swami_1996-12-28_IDesireTree.mp3", "1996-178_Follow_the_Mahajans_BG-04_15_Mumbai_-_Radhanath_Swami_1996-12-28_IDesireTree.mp3")</f>
        <v>1996-178_Follow_the_Mahajans_BG-04_15_Mumbai_-_Radhanath_Swami_1996-12-28_IDesireTree.mp3</v>
      </c>
      <c r="D1182" s="24"/>
      <c r="E1182" s="24"/>
    </row>
    <row r="1183">
      <c r="A1183" s="25" t="s">
        <v>18352</v>
      </c>
      <c r="B1183" s="25" t="s">
        <v>18360</v>
      </c>
      <c r="C1183" s="26" t="str">
        <f>HYPERLINK("https://audio.iskcondesiretree.com/02_-_ISKCON_Swamis/ISKCON_Swamis_-_R_to_Y/His_Holiness_Radhanath_Swami/Lectures/00_-_Year_wise/Devotional_Nectar_-_1996/1996-179_Glories_of_BhaktiSiddhanta_Saraswati_Lecture_Mumbai_-_29-12-96_IDesireTree.mp3", "1996-179_Glories_of_BhaktiSiddhanta_Saraswati_Lecture_Mumbai_-_29-12-96_IDesireTree.mp3")</f>
        <v>1996-179_Glories_of_BhaktiSiddhanta_Saraswati_Lecture_Mumbai_-_29-12-96_IDesireTree.mp3</v>
      </c>
      <c r="D1183" s="24"/>
      <c r="E1183" s="24"/>
    </row>
    <row r="1184">
      <c r="A1184" s="25" t="s">
        <v>18352</v>
      </c>
      <c r="B1184" s="25" t="s">
        <v>18361</v>
      </c>
      <c r="C1184" s="26" t="str">
        <f>HYPERLINK("https://audio.iskcondesiretree.com/02_-_ISKCON_Swamis/ISKCON_Swamis_-_R_to_Y/His_Holiness_Radhanath_Swami/Lectures/00_-_Year_wise/Devotional_Nectar_-_1997/1997-001_Birth_of_Lord_Kapila_SB-02_07_03_Mumbai_-_Radhanath_Swami_1997-01-01_IDesireTree.mp3", "1997-001_Birth_of_Lord_Kapila_SB-02_07_03_Mumbai_-_Radhanath_Swami_1997-01-01_IDesireTree.mp3")</f>
        <v>1997-001_Birth_of_Lord_Kapila_SB-02_07_03_Mumbai_-_Radhanath_Swami_1997-01-01_IDesireTree.mp3</v>
      </c>
      <c r="D1184" s="24"/>
      <c r="E1184" s="24"/>
    </row>
    <row r="1185">
      <c r="A1185" s="25" t="s">
        <v>18352</v>
      </c>
      <c r="B1185" s="25" t="s">
        <v>18361</v>
      </c>
      <c r="C1185" s="26" t="str">
        <f>HYPERLINK("https://audio.iskcondesiretree.com/02_-_ISKCON_Swamis/ISKCON_Swamis_-_R_to_Y/His_Holiness_Radhanath_Swami/Lectures/00_-_Year_wise/Devotional_Nectar_-_1997/1997-002_Glories_of_Shivananda_Sen_Gt_-_Lecture_Mumbai_-_Radhanath_Swami_1997-01-03_IDesireTree.mp3", "1997-002_Glories_of_Shivananda_Sen_Gt_-_Lecture_Mumbai_-_Radhanath_Swami_1997-01-03_IDesireTree.mp3")</f>
        <v>1997-002_Glories_of_Shivananda_Sen_Gt_-_Lecture_Mumbai_-_Radhanath_Swami_1997-01-03_IDesireTree.mp3</v>
      </c>
      <c r="D1185" s="24"/>
      <c r="E1185" s="24"/>
    </row>
    <row r="1186">
      <c r="A1186" s="25" t="s">
        <v>18352</v>
      </c>
      <c r="B1186" s="25" t="s">
        <v>18361</v>
      </c>
      <c r="C1186" s="26" t="str">
        <f>HYPERLINK("https://audio.iskcondesiretree.com/02_-_ISKCON_Swamis/ISKCON_Swamis_-_R_to_Y/His_Holiness_Radhanath_Swami/Lectures/00_-_Year_wise/Devotional_Nectar_-_1997/1997-003_Bhagavad_Gita_For_The_Modern_Man_Ht_-_Lecture_Mumbai_-_04-01-97_IDesireTree.mp3", "1997-003_Bhagavad_Gita_For_The_Modern_Man_Ht_-_Lecture_Mumbai_-_04-01-97_IDesireTree.mp3")</f>
        <v>1997-003_Bhagavad_Gita_For_The_Modern_Man_Ht_-_Lecture_Mumbai_-_04-01-97_IDesireTree.mp3</v>
      </c>
      <c r="D1186" s="24"/>
      <c r="E1186" s="24"/>
    </row>
    <row r="1187">
      <c r="A1187" s="25" t="s">
        <v>18352</v>
      </c>
      <c r="B1187" s="25" t="s">
        <v>18361</v>
      </c>
      <c r="C1187" s="26" t="str">
        <f>HYPERLINK("https://audio.iskcondesiretree.com/02_-_ISKCON_Swamis/ISKCON_Swamis_-_R_to_Y/His_Holiness_Radhanath_Swami/Lectures/00_-_Year_wise/Devotional_Nectar_-_1997/1997-004_Address_at_Chaitanya_Hospital_Lecture_Mumbai_-_Radhanath_Swami_1997-01-04_IDesireTree.mp3", "1997-004_Address_at_Chaitanya_Hospital_Lecture_Mumbai_-_Radhanath_Swami_1997-01-04_IDesireTree.mp3")</f>
        <v>1997-004_Address_at_Chaitanya_Hospital_Lecture_Mumbai_-_Radhanath_Swami_1997-01-04_IDesireTree.mp3</v>
      </c>
      <c r="D1187" s="24"/>
      <c r="E1187" s="24"/>
    </row>
    <row r="1188">
      <c r="A1188" s="25" t="s">
        <v>18352</v>
      </c>
      <c r="B1188" s="25" t="s">
        <v>18361</v>
      </c>
      <c r="C1188" s="26" t="str">
        <f>HYPERLINK("https://audio.iskcondesiretree.com/02_-_ISKCON_Swamis/ISKCON_Swamis_-_R_to_Y/His_Holiness_Radhanath_Swami/Lectures/00_-_Year_wise/Devotional_Nectar_-_1997/1997-005_Effects_of_Anger_SB-02_07_07_Mumbai_-_Radhanath_Swami_1997-01-05_IDesireTree.mp3", "1997-005_Effects_of_Anger_SB-02_07_07_Mumbai_-_Radhanath_Swami_1997-01-05_IDesireTree.mp3")</f>
        <v>1997-005_Effects_of_Anger_SB-02_07_07_Mumbai_-_Radhanath_Swami_1997-01-05_IDesireTree.mp3</v>
      </c>
      <c r="D1188" s="24"/>
      <c r="E1188" s="24"/>
    </row>
    <row r="1189">
      <c r="A1189" s="25" t="s">
        <v>18352</v>
      </c>
      <c r="B1189" s="25" t="s">
        <v>18361</v>
      </c>
      <c r="C1189" s="26" t="str">
        <f>HYPERLINK("https://audio.iskcondesiretree.com/02_-_ISKCON_Swamis/ISKCON_Swamis_-_R_to_Y/His_Holiness_Radhanath_Swami/Lectures/00_-_Year_wise/Devotional_Nectar_-_1997/1997-006_Devananda_Pandit_Disappearance_Day_Lecture_Mumbai_-_05-01-97_IDesireTree.mp3", "1997-006_Devananda_Pandit_Disappearance_Day_Lecture_Mumbai_-_05-01-97_IDesireTree.mp3")</f>
        <v>1997-006_Devananda_Pandit_Disappearance_Day_Lecture_Mumbai_-_05-01-97_IDesireTree.mp3</v>
      </c>
      <c r="D1189" s="24"/>
      <c r="E1189" s="24"/>
    </row>
    <row r="1190">
      <c r="A1190" s="25" t="s">
        <v>18352</v>
      </c>
      <c r="B1190" s="25" t="s">
        <v>18361</v>
      </c>
      <c r="C1190" s="26" t="str">
        <f>HYPERLINK("https://audio.iskcondesiretree.com/02_-_ISKCON_Swamis/ISKCON_Swamis_-_R_to_Y/His_Holiness_Radhanath_Swami/Lectures/00_-_Year_wise/Devotional_Nectar_-_1997/1997-007_Pastimes_of_King_Prithu_SB-02_07_09_Mumbai_-_Radhanath_Swami_1997-01-07_IDesireTree.mp3", "1997-007_Pastimes_of_King_Prithu_SB-02_07_09_Mumbai_-_Radhanath_Swami_1997-01-07_IDesireTree.mp3")</f>
        <v>1997-007_Pastimes_of_King_Prithu_SB-02_07_09_Mumbai_-_Radhanath_Swami_1997-01-07_IDesireTree.mp3</v>
      </c>
      <c r="D1190" s="24"/>
      <c r="E1190" s="24"/>
    </row>
    <row r="1191">
      <c r="A1191" s="25" t="s">
        <v>18352</v>
      </c>
      <c r="B1191" s="25" t="s">
        <v>18361</v>
      </c>
      <c r="C1191" s="26" t="str">
        <f>HYPERLINK("https://audio.iskcondesiretree.com/02_-_ISKCON_Swamis/ISKCON_Swamis_-_R_to_Y/His_Holiness_Radhanath_Swami/Lectures/00_-_Year_wise/Devotional_Nectar_-_1997/1997-008_Questions_by_Yaksha_to_Yudhishitra_BG-06_25_Mumbai_-_07-01-97_IDesireTree.mp3", "1997-008_Questions_by_Yaksha_to_Yudhishitra_BG-06_25_Mumbai_-_07-01-97_IDesireTree.mp3")</f>
        <v>1997-008_Questions_by_Yaksha_to_Yudhishitra_BG-06_25_Mumbai_-_07-01-97_IDesireTree.mp3</v>
      </c>
      <c r="D1191" s="24"/>
      <c r="E1191" s="24"/>
    </row>
    <row r="1192">
      <c r="A1192" s="25" t="s">
        <v>18352</v>
      </c>
      <c r="B1192" s="25" t="s">
        <v>18361</v>
      </c>
      <c r="C1192" s="26" t="str">
        <f>HYPERLINK("https://audio.iskcondesiretree.com/02_-_ISKCON_Swamis/ISKCON_Swamis_-_R_to_Y/His_Holiness_Radhanath_Swami/Lectures/00_-_Year_wise/Devotional_Nectar_-_1997/1997-009_Greatness_of_Srila_Jiva_Goswami_BG-03_34_Mumbai_-_11-01-97_IDesireTree.mp3", "1997-009_Greatness_of_Srila_Jiva_Goswami_BG-03_34_Mumbai_-_11-01-97_IDesireTree.mp3")</f>
        <v>1997-009_Greatness_of_Srila_Jiva_Goswami_BG-03_34_Mumbai_-_11-01-97_IDesireTree.mp3</v>
      </c>
      <c r="D1192" s="24"/>
      <c r="E1192" s="24"/>
    </row>
    <row r="1193">
      <c r="A1193" s="25" t="s">
        <v>18352</v>
      </c>
      <c r="B1193" s="25" t="s">
        <v>18361</v>
      </c>
      <c r="C1193" s="26" t="str">
        <f>HYPERLINK("https://audio.iskcondesiretree.com/02_-_ISKCON_Swamis/ISKCON_Swamis_-_R_to_Y/His_Holiness_Radhanath_Swami/Lectures/00_-_Year_wise/Devotional_Nectar_-_1997/1997-010_Matsya_Avatar_SB-02_07_12_Mumbai_-_12-01-97_IDesireTree.mp3", "1997-010_Matsya_Avatar_SB-02_07_12_Mumbai_-_12-01-97_IDesireTree.mp3")</f>
        <v>1997-010_Matsya_Avatar_SB-02_07_12_Mumbai_-_12-01-97_IDesireTree.mp3</v>
      </c>
      <c r="D1193" s="24"/>
      <c r="E1193" s="24"/>
    </row>
    <row r="1194">
      <c r="A1194" s="25" t="s">
        <v>18352</v>
      </c>
      <c r="B1194" s="25" t="s">
        <v>18361</v>
      </c>
      <c r="C1194" s="26" t="str">
        <f>HYPERLINK("https://audio.iskcondesiretree.com/02_-_ISKCON_Swamis/ISKCON_Swamis_-_R_to_Y/His_Holiness_Radhanath_Swami/Lectures/00_-_Year_wise/Devotional_Nectar_-_1997/1997-011_Mahaprabhu_Chastises_Advaita_Lecture_Mumbai_-_Radhanath_Swami_1997-01-12_IDesireTree.mp3", "1997-011_Mahaprabhu_Chastises_Advaita_Lecture_Mumbai_-_Radhanath_Swami_1997-01-12_IDesireTree.mp3")</f>
        <v>1997-011_Mahaprabhu_Chastises_Advaita_Lecture_Mumbai_-_Radhanath_Swami_1997-01-12_IDesireTree.mp3</v>
      </c>
      <c r="D1194" s="24"/>
      <c r="E1194" s="24"/>
    </row>
    <row r="1195">
      <c r="A1195" s="25" t="s">
        <v>18352</v>
      </c>
      <c r="B1195" s="25" t="s">
        <v>18361</v>
      </c>
      <c r="C1195" s="26" t="str">
        <f>HYPERLINK("https://audio.iskcondesiretree.com/02_-_ISKCON_Swamis/ISKCON_Swamis_-_R_to_Y/His_Holiness_Radhanath_Swami/Lectures/00_-_Year_wise/Devotional_Nectar_-_1997/1997-012_BTG_Festival_Lecture_Mumbai_-_Radhanath_Swami_1997-01-13_IDesireTree.mp3", "1997-012_BTG_Festival_Lecture_Mumbai_-_Radhanath_Swami_1997-01-13_IDesireTree.mp3")</f>
        <v>1997-012_BTG_Festival_Lecture_Mumbai_-_Radhanath_Swami_1997-01-13_IDesireTree.mp3</v>
      </c>
      <c r="D1195" s="24"/>
      <c r="E1195" s="24"/>
    </row>
    <row r="1196">
      <c r="A1196" s="25" t="s">
        <v>18352</v>
      </c>
      <c r="B1196" s="25" t="s">
        <v>18361</v>
      </c>
      <c r="C1196" s="26" t="str">
        <f>HYPERLINK("https://audio.iskcondesiretree.com/02_-_ISKCON_Swamis/ISKCON_Swamis_-_R_to_Y/His_Holiness_Radhanath_Swami/Lectures/00_-_Year_wise/Devotional_Nectar_-_1997/1997-013_Fruitive_Workers_are_Misers_Ht_-_BG-02_IDesireTree.mp3", "1997-013_Fruitive_Workers_are_Misers_Ht_-_BG-02_IDesireTree.mp3")</f>
        <v>1997-013_Fruitive_Workers_are_Misers_Ht_-_BG-02_IDesireTree.mp3</v>
      </c>
      <c r="D1196" s="24"/>
      <c r="E1196" s="24"/>
    </row>
    <row r="1197">
      <c r="A1197" s="25" t="s">
        <v>18352</v>
      </c>
      <c r="B1197" s="25" t="s">
        <v>18361</v>
      </c>
      <c r="C1197" s="26" t="str">
        <f>HYPERLINK("https://audio.iskcondesiretree.com/02_-_ISKCON_Swamis/ISKCON_Swamis_-_R_to_Y/His_Holiness_Radhanath_Swami/Lectures/00_-_Year_wise/Devotional_Nectar_-_1997/1997-014_Initiation_Lecture_Lecture_-_Radhanath_Swami_IDesireTree.mp3", "1997-014_Initiation_Lecture_Lecture_-_Radhanath_Swami_IDesireTree.mp3")</f>
        <v>1997-014_Initiation_Lecture_Lecture_-_Radhanath_Swami_IDesireTree.mp3</v>
      </c>
      <c r="D1197" s="24"/>
      <c r="E1197" s="24"/>
    </row>
    <row r="1198">
      <c r="A1198" s="25" t="s">
        <v>18352</v>
      </c>
      <c r="B1198" s="25" t="s">
        <v>18361</v>
      </c>
      <c r="C1198" s="26" t="str">
        <f>HYPERLINK("https://audio.iskcondesiretree.com/02_-_ISKCON_Swamis/ISKCON_Swamis_-_R_to_Y/His_Holiness_Radhanath_Swami/Lectures/00_-_Year_wise/Devotional_Nectar_-_1997/1997-015_Be_Eager_Like_Dhruva_BG-05_12_Pune_-_Radhanath_Swami_1997-01-17_IDesireTree.mp3", "1997-015_Be_Eager_Like_Dhruva_BG-05_12_Pune_-_Radhanath_Swami_1997-01-17_IDesireTree.mp3")</f>
        <v>1997-015_Be_Eager_Like_Dhruva_BG-05_12_Pune_-_Radhanath_Swami_1997-01-17_IDesireTree.mp3</v>
      </c>
      <c r="D1198" s="24"/>
      <c r="E1198" s="24"/>
    </row>
    <row r="1199">
      <c r="A1199" s="25" t="s">
        <v>18352</v>
      </c>
      <c r="B1199" s="25" t="s">
        <v>18361</v>
      </c>
      <c r="C1199" s="26" t="str">
        <f>HYPERLINK("https://audio.iskcondesiretree.com/02_-_ISKCON_Swamis/ISKCON_Swamis_-_R_to_Y/His_Holiness_Radhanath_Swami/Lectures/00_-_Year_wise/Devotional_Nectar_-_1997/1997-016_Materialists_are_like_Rats_SB-04_24_66_Pune_-_Radhanath_Swami_1997-01-17_IDesireTree.mp3", "1997-016_Materialists_are_like_Rats_SB-04_24_66_Pune_-_Radhanath_Swami_1997-01-17_IDesireTree.mp3")</f>
        <v>1997-016_Materialists_are_like_Rats_SB-04_24_66_Pune_-_Radhanath_Swami_1997-01-17_IDesireTree.mp3</v>
      </c>
      <c r="D1199" s="24"/>
      <c r="E1199" s="24"/>
    </row>
    <row r="1200">
      <c r="A1200" s="25" t="s">
        <v>18352</v>
      </c>
      <c r="B1200" s="25" t="s">
        <v>18361</v>
      </c>
      <c r="C1200" s="26" t="str">
        <f>HYPERLINK("https://audio.iskcondesiretree.com/02_-_ISKCON_Swamis/ISKCON_Swamis_-_R_to_Y/His_Holiness_Radhanath_Swami/Lectures/00_-_Year_wise/Devotional_Nectar_-_1997/1997-017_Talks_with_IYF_-_Pune_Boys_Lecture_Pune_-_Radhanath_Swami_1997-01-17_IDesireTree.mp3", "1997-017_Talks_with_IYF_-_Pune_Boys_Lecture_Pune_-_Radhanath_Swami_1997-01-17_IDesireTree.mp3")</f>
        <v>1997-017_Talks_with_IYF_-_Pune_Boys_Lecture_Pune_-_Radhanath_Swami_1997-01-17_IDesireTree.mp3</v>
      </c>
      <c r="D1200" s="24"/>
      <c r="E1200" s="24"/>
    </row>
    <row r="1201">
      <c r="A1201" s="25" t="s">
        <v>18352</v>
      </c>
      <c r="B1201" s="25" t="s">
        <v>18361</v>
      </c>
      <c r="C1201" s="26" t="str">
        <f>HYPERLINK("https://audio.iskcondesiretree.com/02_-_ISKCON_Swamis/ISKCON_Swamis_-_R_to_Y/His_Holiness_Radhanath_Swami/Lectures/00_-_Year_wise/Devotional_Nectar_-_1997/1997-018_Love_of_Brajbasis_SB-02_07_27_Khandala_-_Radhanath_Swami_1997-01-18_new_IDesireTree.mp3", "1997-018_Love_of_Brajbasis_SB-02_07_27_Khandala_-_Radhanath_Swami_1997-01-18_new_IDesireTree.mp3")</f>
        <v>1997-018_Love_of_Brajbasis_SB-02_07_27_Khandala_-_Radhanath_Swami_1997-01-18_new_IDesireTree.mp3</v>
      </c>
      <c r="D1201" s="24"/>
      <c r="E1201" s="24"/>
    </row>
    <row r="1202">
      <c r="A1202" s="25" t="s">
        <v>18352</v>
      </c>
      <c r="B1202" s="25" t="s">
        <v>18361</v>
      </c>
      <c r="C1202" s="26" t="str">
        <f>HYPERLINK("https://audio.iskcondesiretree.com/02_-_ISKCON_Swamis/ISKCON_Swamis_-_R_to_Y/His_Holiness_Radhanath_Swami/Lectures/00_-_Year_wise/Devotional_Nectar_-_1997/1997-019_Using_Science_In_Krishna_Consciousness_Lecture_Mumbai_-_19-01-97_IDesireTree.mp3", "1997-019_Using_Science_In_Krishna_Consciousness_Lecture_Mumbai_-_19-01-97_IDesireTree.mp3")</f>
        <v>1997-019_Using_Science_In_Krishna_Consciousness_Lecture_Mumbai_-_19-01-97_IDesireTree.mp3</v>
      </c>
      <c r="D1202" s="24"/>
      <c r="E1202" s="24"/>
    </row>
    <row r="1203">
      <c r="A1203" s="25" t="s">
        <v>18352</v>
      </c>
      <c r="B1203" s="25" t="s">
        <v>18361</v>
      </c>
      <c r="C1203" s="26" t="str">
        <f>HYPERLINK("https://audio.iskcondesiretree.com/02_-_ISKCON_Swamis/ISKCON_Swamis_-_R_to_Y/His_Holiness_Radhanath_Swami/Lectures/00_-_Year_wise/Devotional_Nectar_-_1997/1997-020_Never_Offend_Devotees_SB-04_30_08_Mumbai_-_Radhanath_Swami_1997-01-23_IDesireTree.mp3", "1997-020_Never_Offend_Devotees_SB-04_30_08_Mumbai_-_Radhanath_Swami_1997-01-23_IDesireTree.mp3")</f>
        <v>1997-020_Never_Offend_Devotees_SB-04_30_08_Mumbai_-_Radhanath_Swami_1997-01-23_IDesireTree.mp3</v>
      </c>
      <c r="D1203" s="24"/>
      <c r="E1203" s="24"/>
    </row>
    <row r="1204">
      <c r="A1204" s="25" t="s">
        <v>18352</v>
      </c>
      <c r="B1204" s="25" t="s">
        <v>18361</v>
      </c>
      <c r="C1204" s="26" t="str">
        <f>HYPERLINK("https://audio.iskcondesiretree.com/02_-_ISKCON_Swamis/ISKCON_Swamis_-_R_to_Y/His_Holiness_Radhanath_Swami/Lectures/00_-_Year_wise/Devotional_Nectar_-_1997/1997-021_Never_Expect_Any_Glory_Lecture_Mumbai_-_Radhanath_Swami_1997-01-23_IDesireTree.mp3", "1997-021_Never_Expect_Any_Glory_Lecture_Mumbai_-_Radhanath_Swami_1997-01-23_IDesireTree.mp3")</f>
        <v>1997-021_Never_Expect_Any_Glory_Lecture_Mumbai_-_Radhanath_Swami_1997-01-23_IDesireTree.mp3</v>
      </c>
      <c r="D1204" s="24"/>
      <c r="E1204" s="24"/>
    </row>
    <row r="1205">
      <c r="A1205" s="25" t="s">
        <v>18352</v>
      </c>
      <c r="B1205" s="25" t="s">
        <v>18361</v>
      </c>
      <c r="C1205" s="26" t="str">
        <f>HYPERLINK("https://audio.iskcondesiretree.com/02_-_ISKCON_Swamis/ISKCON_Swamis_-_R_to_Y/His_Holiness_Radhanath_Swami/Lectures/00_-_Year_wise/Devotional_Nectar_-_1997/1997-022_Attaining_the_Supreme_BG-08_12-13_Mumbai_-_Radhanath_Swami_1997-01-24_IDesireTree.mp3", "1997-022_Attaining_the_Supreme_BG-08_12-13_Mumbai_-_Radhanath_Swami_1997-01-24_IDesireTree.mp3")</f>
        <v>1997-022_Attaining_the_Supreme_BG-08_12-13_Mumbai_-_Radhanath_Swami_1997-01-24_IDesireTree.mp3</v>
      </c>
      <c r="D1205" s="24"/>
      <c r="E1205" s="24"/>
    </row>
    <row r="1206">
      <c r="A1206" s="25" t="s">
        <v>18352</v>
      </c>
      <c r="B1206" s="25" t="s">
        <v>18361</v>
      </c>
      <c r="C1206" s="26" t="str">
        <f>HYPERLINK("https://audio.iskcondesiretree.com/02_-_ISKCON_Swamis/ISKCON_Swamis_-_R_to_Y/His_Holiness_Radhanath_Swami/Lectures/00_-_Year_wise/Devotional_Nectar_-_1997/1997-023_Krishna-_The_Supreme_Source_SB-02_07_26_Mumbai_-_Radhanath_Swami_1997-01-25_IDesireTree.mp3", "1997-023_Krishna-_The_Supreme_Source_SB-02_07_26_Mumbai_-_Radhanath_Swami_1997-01-25_IDesireTree.mp3")</f>
        <v>1997-023_Krishna-_The_Supreme_Source_SB-02_07_26_Mumbai_-_Radhanath_Swami_1997-01-25_IDesireTree.mp3</v>
      </c>
      <c r="D1206" s="24"/>
      <c r="E1206" s="24"/>
    </row>
    <row r="1207">
      <c r="A1207" s="25" t="s">
        <v>18352</v>
      </c>
      <c r="B1207" s="25" t="s">
        <v>18361</v>
      </c>
      <c r="C1207" s="26" t="str">
        <f>HYPERLINK("https://audio.iskcondesiretree.com/02_-_ISKCON_Swamis/ISKCON_Swamis_-_R_to_Y/His_Holiness_Radhanath_Swami/Lectures/00_-_Year_wise/Devotional_Nectar_-_1997/1997-024_Story_Of_Vritasura_SB-_Mumbai_-_Radhanath_Swami_1997-01-25_IDesireTree.mp3", "1997-024_Story_Of_Vritasura_SB-_Mumbai_-_Radhanath_Swami_1997-01-25_IDesireTree.mp3")</f>
        <v>1997-024_Story_Of_Vritasura_SB-_Mumbai_-_Radhanath_Swami_1997-01-25_IDesireTree.mp3</v>
      </c>
      <c r="D1207" s="24"/>
      <c r="E1207" s="24"/>
    </row>
    <row r="1208">
      <c r="A1208" s="25" t="s">
        <v>18352</v>
      </c>
      <c r="B1208" s="25" t="s">
        <v>18361</v>
      </c>
      <c r="C1208" s="26" t="str">
        <f>HYPERLINK("https://audio.iskcondesiretree.com/02_-_ISKCON_Swamis/ISKCON_Swamis_-_R_to_Y/His_Holiness_Radhanath_Swami/Lectures/00_-_Year_wise/Devotional_Nectar_-_1997/1997-025_Subduing_Kaliya_SB-02_07_28-29_Mumbai_-_Radhanath_Swami_1997-01-26_IDesireTree.mp3", "1997-025_Subduing_Kaliya_SB-02_07_28-29_Mumbai_-_Radhanath_Swami_1997-01-26_IDesireTree.mp3")</f>
        <v>1997-025_Subduing_Kaliya_SB-02_07_28-29_Mumbai_-_Radhanath_Swami_1997-01-26_IDesireTree.mp3</v>
      </c>
      <c r="D1208" s="24"/>
      <c r="E1208" s="24"/>
    </row>
    <row r="1209">
      <c r="A1209" s="25" t="s">
        <v>18352</v>
      </c>
      <c r="B1209" s="25" t="s">
        <v>18361</v>
      </c>
      <c r="C1209" s="26" t="str">
        <f>HYPERLINK("https://audio.iskcondesiretree.com/02_-_ISKCON_Swamis/ISKCON_Swamis_-_R_to_Y/His_Holiness_Radhanath_Swami/Lectures/00_-_Year_wise/Devotional_Nectar_-_1997/1997-026_Parvati_Curses_Chitraketu_SB_Mumbai_-_Radhanath_Swami_1997-01-26_IDesireTree.mp3", "1997-026_Parvati_Curses_Chitraketu_SB_Mumbai_-_Radhanath_Swami_1997-01-26_IDesireTree.mp3")</f>
        <v>1997-026_Parvati_Curses_Chitraketu_SB_Mumbai_-_Radhanath_Swami_1997-01-26_IDesireTree.mp3</v>
      </c>
      <c r="D1209" s="24"/>
      <c r="E1209" s="24"/>
    </row>
    <row r="1210">
      <c r="A1210" s="25" t="s">
        <v>18352</v>
      </c>
      <c r="B1210" s="25" t="s">
        <v>18361</v>
      </c>
      <c r="C1210" s="26" t="str">
        <f>HYPERLINK("https://audio.iskcondesiretree.com/02_-_ISKCON_Swamis/ISKCON_Swamis_-_R_to_Y/His_Holiness_Radhanath_Swami/Lectures/00_-_Year_wise/Devotional_Nectar_-_1997/1997-027_Arrival_Lecture_Lecture_Pune_-_Radhanath_Swami_1997-01-30_IDesireTree.mp3", "1997-027_Arrival_Lecture_Lecture_Pune_-_Radhanath_Swami_1997-01-30_IDesireTree.mp3")</f>
        <v>1997-027_Arrival_Lecture_Lecture_Pune_-_Radhanath_Swami_1997-01-30_IDesireTree.mp3</v>
      </c>
      <c r="D1210" s="24"/>
      <c r="E1210" s="24"/>
    </row>
    <row r="1211">
      <c r="A1211" s="25" t="s">
        <v>18352</v>
      </c>
      <c r="B1211" s="25" t="s">
        <v>18361</v>
      </c>
      <c r="C1211" s="26" t="str">
        <f>HYPERLINK("https://audio.iskcondesiretree.com/02_-_ISKCON_Swamis/ISKCON_Swamis_-_R_to_Y/His_Holiness_Radhanath_Swami/Lectures/00_-_Year_wise/Devotional_Nectar_-_1997/1997-028_Gopala_Bhatta_Goswami_and_Ramachandra_Kaviraj_SB-05_05_20_Pune_-_31-01-97_IDesireTree.mp3", "1997-028_Gopala_Bhatta_Goswami_and_Ramachandra_Kaviraj_SB-05_05_20_Pune_-_31-01-97_IDesireTree.mp3")</f>
        <v>1997-028_Gopala_Bhatta_Goswami_and_Ramachandra_Kaviraj_SB-05_05_20_Pune_-_31-01-97_IDesireTree.mp3</v>
      </c>
      <c r="D1211" s="24"/>
      <c r="E1211" s="24"/>
    </row>
    <row r="1212">
      <c r="A1212" s="25" t="s">
        <v>18352</v>
      </c>
      <c r="B1212" s="25" t="s">
        <v>18361</v>
      </c>
      <c r="C1212" s="26" t="str">
        <f>HYPERLINK("https://audio.iskcondesiretree.com/02_-_ISKCON_Swamis/ISKCON_Swamis_-_R_to_Y/His_Holiness_Radhanath_Swami/Lectures/00_-_Year_wise/Devotional_Nectar_-_1997/1997-029_Question_And_Answer_Q%26A_Pune_-_Radhanath_Swami_1997-02-02_IDesireTree.mp3", "1997-029_Question_And_Answer_Q%26A_Pune_-_Radhanath_Swami_1997-02-02_IDesireTree.mp3")</f>
        <v>1997-029_Question_And_Answer_Q%26A_Pune_-_Radhanath_Swami_1997-02-02_IDesireTree.mp3</v>
      </c>
      <c r="D1212" s="24"/>
      <c r="E1212" s="24"/>
    </row>
    <row r="1213">
      <c r="A1213" s="25" t="s">
        <v>18352</v>
      </c>
      <c r="B1213" s="25" t="s">
        <v>18361</v>
      </c>
      <c r="C1213" s="26" t="str">
        <f>HYPERLINK("https://audio.iskcondesiretree.com/02_-_ISKCON_Swamis/ISKCON_Swamis_-_R_to_Y/His_Holiness_Radhanath_Swami/Lectures/00_-_Year_wise/Devotional_Nectar_-_1997/1997-030_Departure_Lecture_Lecture_Pune_-_Radhanath_Swami_1997-02-02_IDesireTree.mp3", "1997-030_Departure_Lecture_Lecture_Pune_-_Radhanath_Swami_1997-02-02_IDesireTree.mp3")</f>
        <v>1997-030_Departure_Lecture_Lecture_Pune_-_Radhanath_Swami_1997-02-02_IDesireTree.mp3</v>
      </c>
      <c r="D1213" s="24"/>
      <c r="E1213" s="24"/>
    </row>
    <row r="1214">
      <c r="A1214" s="25" t="s">
        <v>18352</v>
      </c>
      <c r="B1214" s="25" t="s">
        <v>18361</v>
      </c>
      <c r="C1214" s="26" t="str">
        <f>HYPERLINK("https://audio.iskcondesiretree.com/02_-_ISKCON_Swamis/ISKCON_Swamis_-_R_to_Y/His_Holiness_Radhanath_Swami/Lectures/00_-_Year_wise/Devotional_Nectar_-_1997/1997-031_Material_Problems_And_Spiritual_Solution_Lecture_Mumbai_-_07-02-97_IDesireTree.mp3", "1997-031_Material_Problems_And_Spiritual_Solution_Lecture_Mumbai_-_07-02-97_IDesireTree.mp3")</f>
        <v>1997-031_Material_Problems_And_Spiritual_Solution_Lecture_Mumbai_-_07-02-97_IDesireTree.mp3</v>
      </c>
      <c r="D1214" s="24"/>
      <c r="E1214" s="24"/>
    </row>
    <row r="1215">
      <c r="A1215" s="25" t="s">
        <v>18352</v>
      </c>
      <c r="B1215" s="25" t="s">
        <v>18361</v>
      </c>
      <c r="C1215" s="26" t="str">
        <f>HYPERLINK("https://audio.iskcondesiretree.com/02_-_ISKCON_Swamis/ISKCON_Swamis_-_R_to_Y/His_Holiness_Radhanath_Swami/Lectures/00_-_Year_wise/Devotional_Nectar_-_1997/1997-032_What_Is_Service_SB-02_07_42_Mumbai_-_Radhanath_Swami_1997-02-08_IDesireTree.mp3", "1997-032_What_Is_Service_SB-02_07_42_Mumbai_-_Radhanath_Swami_1997-02-08_IDesireTree.mp3")</f>
        <v>1997-032_What_Is_Service_SB-02_07_42_Mumbai_-_Radhanath_Swami_1997-02-08_IDesireTree.mp3</v>
      </c>
      <c r="D1215" s="24"/>
      <c r="E1215" s="24"/>
    </row>
    <row r="1216">
      <c r="A1216" s="25" t="s">
        <v>18352</v>
      </c>
      <c r="B1216" s="25" t="s">
        <v>18361</v>
      </c>
      <c r="C1216" s="26" t="str">
        <f>HYPERLINK("https://audio.iskcondesiretree.com/02_-_ISKCON_Swamis/ISKCON_Swamis_-_R_to_Y/His_Holiness_Radhanath_Swami/Lectures/00_-_Year_wise/Devotional_Nectar_-_1997/1997-033_Qualify_Like_Dhruva_SB-04_12_36_Mumbai_-_Radhanath_Swami_1997-02-08_IDesireTree.mp3", "1997-033_Qualify_Like_Dhruva_SB-04_12_36_Mumbai_-_Radhanath_Swami_1997-02-08_IDesireTree.mp3")</f>
        <v>1997-033_Qualify_Like_Dhruva_SB-04_12_36_Mumbai_-_Radhanath_Swami_1997-02-08_IDesireTree.mp3</v>
      </c>
      <c r="D1216" s="24"/>
      <c r="E1216" s="24"/>
    </row>
    <row r="1217">
      <c r="A1217" s="25" t="s">
        <v>18352</v>
      </c>
      <c r="B1217" s="25" t="s">
        <v>18361</v>
      </c>
      <c r="C1217" s="26" t="str">
        <f>HYPERLINK("https://audio.iskcondesiretree.com/02_-_ISKCON_Swamis/ISKCON_Swamis_-_R_to_Y/His_Holiness_Radhanath_Swami/Lectures/00_-_Year_wise/Devotional_Nectar_-_1997/1997-034_Surrender_To_The_Surrendered_SB-02_07_43-45_Mumbai_-_09-02-97_IDesireTree.mp3", "1997-034_Surrender_To_The_Surrendered_SB-02_07_43-45_Mumbai_-_09-02-97_IDesireTree.mp3")</f>
        <v>1997-034_Surrender_To_The_Surrendered_SB-02_07_43-45_Mumbai_-_09-02-97_IDesireTree.mp3</v>
      </c>
      <c r="D1217" s="24"/>
      <c r="E1217" s="24"/>
    </row>
    <row r="1218">
      <c r="A1218" s="25" t="s">
        <v>18352</v>
      </c>
      <c r="B1218" s="25" t="s">
        <v>18361</v>
      </c>
      <c r="C1218" s="26" t="str">
        <f>HYPERLINK("https://audio.iskcondesiretree.com/02_-_ISKCON_Swamis/ISKCON_Swamis_-_R_to_Y/His_Holiness_Radhanath_Swami/Lectures/00_-_Year_wise/Devotional_Nectar_-_1997/1997-035_Preach_With_Compassion_Lecture_Mumbai_-_Radhanath_Swami_1997-02-09_IDesireTree.mp3", "1997-035_Preach_With_Compassion_Lecture_Mumbai_-_Radhanath_Swami_1997-02-09_IDesireTree.mp3")</f>
        <v>1997-035_Preach_With_Compassion_Lecture_Mumbai_-_Radhanath_Swami_1997-02-09_IDesireTree.mp3</v>
      </c>
      <c r="D1218" s="24"/>
      <c r="E1218" s="24"/>
    </row>
    <row r="1219">
      <c r="A1219" s="25" t="s">
        <v>18352</v>
      </c>
      <c r="B1219" s="25" t="s">
        <v>18361</v>
      </c>
      <c r="C1219" s="26" t="str">
        <f>HYPERLINK("https://audio.iskcondesiretree.com/02_-_ISKCON_Swamis/ISKCON_Swamis_-_R_to_Y/His_Holiness_Radhanath_Swami/Lectures/00_-_Year_wise/Devotional_Nectar_-_1997/1997-036_Viswanatha_Chakravarty_Thakur_SB-02_07_47_Mumbai_-_11-02-97_IDesireTree.mp3", "1997-036_Viswanatha_Chakravarty_Thakur_SB-02_07_47_Mumbai_-_11-02-97_IDesireTree.mp3")</f>
        <v>1997-036_Viswanatha_Chakravarty_Thakur_SB-02_07_47_Mumbai_-_11-02-97_IDesireTree.mp3</v>
      </c>
      <c r="D1219" s="24"/>
      <c r="E1219" s="24"/>
    </row>
    <row r="1220">
      <c r="A1220" s="25" t="s">
        <v>18352</v>
      </c>
      <c r="B1220" s="25" t="s">
        <v>18361</v>
      </c>
      <c r="C1220" s="26" t="str">
        <f>HYPERLINK("https://audio.iskcondesiretree.com/02_-_ISKCON_Swamis/ISKCON_Swamis_-_R_to_Y/His_Holiness_Radhanath_Swami/Lectures/00_-_Year_wise/Devotional_Nectar_-_1997/1997-037_Vasant_Panchmi_Festival_Lecture_Mumbai_-_Radhanath_Swami_1997-02-11_IDesireTree.mp3", "1997-037_Vasant_Panchmi_Festival_Lecture_Mumbai_-_Radhanath_Swami_1997-02-11_IDesireTree.mp3")</f>
        <v>1997-037_Vasant_Panchmi_Festival_Lecture_Mumbai_-_Radhanath_Swami_1997-02-11_IDesireTree.mp3</v>
      </c>
      <c r="D1220" s="24"/>
      <c r="E1220" s="24"/>
    </row>
    <row r="1221">
      <c r="A1221" s="25" t="s">
        <v>18352</v>
      </c>
      <c r="B1221" s="25" t="s">
        <v>18361</v>
      </c>
      <c r="C1221" s="26" t="str">
        <f>HYPERLINK("https://audio.iskcondesiretree.com/02_-_ISKCON_Swamis/ISKCON_Swamis_-_R_to_Y/His_Holiness_Radhanath_Swami/Lectures/00_-_Year_wise/Devotional_Nectar_-_1997/1997-038_Real_Happiness_BG-06_28_Mumbai_-_Radhanath_Swami_1997-02-11_IDesireTree.mp3", "1997-038_Real_Happiness_BG-06_28_Mumbai_-_Radhanath_Swami_1997-02-11_IDesireTree.mp3")</f>
        <v>1997-038_Real_Happiness_BG-06_28_Mumbai_-_Radhanath_Swami_1997-02-11_IDesireTree.mp3</v>
      </c>
      <c r="D1221" s="24"/>
      <c r="E1221" s="24"/>
    </row>
    <row r="1222">
      <c r="A1222" s="25" t="s">
        <v>18352</v>
      </c>
      <c r="B1222" s="25" t="s">
        <v>18361</v>
      </c>
      <c r="C1222" s="26" t="str">
        <f>HYPERLINK("https://audio.iskcondesiretree.com/02_-_ISKCON_Swamis/ISKCON_Swamis_-_R_to_Y/His_Holiness_Radhanath_Swami/Lectures/00_-_Year_wise/Devotional_Nectar_-_1997/1997-039_Srila_Advaita_Acharya_Lecture_Mumbai_-_Radhanath_Swami_1997-02-13_IDesireTree.mp3", "1997-039_Srila_Advaita_Acharya_Lecture_Mumbai_-_Radhanath_Swami_1997-02-13_IDesireTree.mp3")</f>
        <v>1997-039_Srila_Advaita_Acharya_Lecture_Mumbai_-_Radhanath_Swami_1997-02-13_IDesireTree.mp3</v>
      </c>
      <c r="D1222" s="24"/>
      <c r="E1222" s="24"/>
    </row>
    <row r="1223">
      <c r="A1223" s="25" t="s">
        <v>18352</v>
      </c>
      <c r="B1223" s="25" t="s">
        <v>18361</v>
      </c>
      <c r="C1223" s="26" t="str">
        <f>HYPERLINK("https://audio.iskcondesiretree.com/02_-_ISKCON_Swamis/ISKCON_Swamis_-_R_to_Y/His_Holiness_Radhanath_Swami/Lectures/00_-_Year_wise/Devotional_Nectar_-_1997/1997-040_Perform_Your_Duty_BG-03_08_Mumbai_-_Radhanath_Swami_1997-02-13_IDesireTree.mp3", "1997-040_Perform_Your_Duty_BG-03_08_Mumbai_-_Radhanath_Swami_1997-02-13_IDesireTree.mp3")</f>
        <v>1997-040_Perform_Your_Duty_BG-03_08_Mumbai_-_Radhanath_Swami_1997-02-13_IDesireTree.mp3</v>
      </c>
      <c r="D1223" s="24"/>
      <c r="E1223" s="24"/>
    </row>
    <row r="1224">
      <c r="A1224" s="25" t="s">
        <v>18352</v>
      </c>
      <c r="B1224" s="25" t="s">
        <v>18361</v>
      </c>
      <c r="C1224" s="26" t="str">
        <f>HYPERLINK("https://audio.iskcondesiretree.com/02_-_ISKCON_Swamis/ISKCON_Swamis_-_R_to_Y/His_Holiness_Radhanath_Swami/Lectures/00_-_Year_wise/Devotional_Nectar_-_1997/1997-041_Sripad_Madhavacharya_CC_ML-09_245_Mumbai_-_Radhanath_Swami_1997-02-15_IDesireTree.mp3", "1997-041_Sripad_Madhavacharya_CC_ML-09_245_Mumbai_-_Radhanath_Swami_1997-02-15_IDesireTree.mp3")</f>
        <v>1997-041_Sripad_Madhavacharya_CC_ML-09_245_Mumbai_-_Radhanath_Swami_1997-02-15_IDesireTree.mp3</v>
      </c>
      <c r="D1224" s="24"/>
      <c r="E1224" s="24"/>
    </row>
    <row r="1225">
      <c r="A1225" s="25" t="s">
        <v>18352</v>
      </c>
      <c r="B1225" s="25" t="s">
        <v>18361</v>
      </c>
      <c r="C1225" s="26" t="str">
        <f>HYPERLINK("https://audio.iskcondesiretree.com/02_-_ISKCON_Swamis/ISKCON_Swamis_-_R_to_Y/His_Holiness_Radhanath_Swami/Lectures/00_-_Year_wise/Devotional_Nectar_-_1997/1997-042_Realise_Your_Identity_Ht_-_BG-05_12_Mumbai_-_Radhanath_Swami_1997-02-15_IDesireTree.mp3", "1997-042_Realise_Your_Identity_Ht_-_BG-05_12_Mumbai_-_Radhanath_Swami_1997-02-15_IDesireTree.mp3")</f>
        <v>1997-042_Realise_Your_Identity_Ht_-_BG-05_12_Mumbai_-_Radhanath_Swami_1997-02-15_IDesireTree.mp3</v>
      </c>
      <c r="D1225" s="24"/>
      <c r="E1225" s="24"/>
    </row>
    <row r="1226">
      <c r="A1226" s="25" t="s">
        <v>18352</v>
      </c>
      <c r="B1226" s="25" t="s">
        <v>18361</v>
      </c>
      <c r="C1226" s="26" t="str">
        <f>HYPERLINK("https://audio.iskcondesiretree.com/02_-_ISKCON_Swamis/ISKCON_Swamis_-_R_to_Y/His_Holiness_Radhanath_Swami/Lectures/00_-_Year_wise/Devotional_Nectar_-_1997/1997-043_Acharyas_Emphasise_Service_SB-02_07_50_Mumbai_-_Radhanath_Swami_1997-02-16_IDesireTree.mp3", "1997-043_Acharyas_Emphasise_Service_SB-02_07_50_Mumbai_-_Radhanath_Swami_1997-02-16_IDesireTree.mp3")</f>
        <v>1997-043_Acharyas_Emphasise_Service_SB-02_07_50_Mumbai_-_Radhanath_Swami_1997-02-16_IDesireTree.mp3</v>
      </c>
      <c r="D1226" s="24"/>
      <c r="E1226" s="24"/>
    </row>
    <row r="1227">
      <c r="A1227" s="25" t="s">
        <v>18352</v>
      </c>
      <c r="B1227" s="25" t="s">
        <v>18361</v>
      </c>
      <c r="C1227" s="26" t="str">
        <f>HYPERLINK("https://audio.iskcondesiretree.com/02_-_ISKCON_Swamis/ISKCON_Swamis_-_R_to_Y/His_Holiness_Radhanath_Swami/Lectures/00_-_Year_wise/Devotional_Nectar_-_1997/1997-044_Varahadev_Protects_Mother_Earth_SB_Mumbai_-_Radhanath_Swami_1997-02-19_IDesireTree.mp3", "1997-044_Varahadev_Protects_Mother_Earth_SB_Mumbai_-_Radhanath_Swami_1997-02-19_IDesireTree.mp3")</f>
        <v>1997-044_Varahadev_Protects_Mother_Earth_SB_Mumbai_-_Radhanath_Swami_1997-02-19_IDesireTree.mp3</v>
      </c>
      <c r="D1227" s="24"/>
      <c r="E1227" s="24"/>
    </row>
    <row r="1228">
      <c r="A1228" s="25" t="s">
        <v>18352</v>
      </c>
      <c r="B1228" s="25" t="s">
        <v>18361</v>
      </c>
      <c r="C1228" s="26" t="str">
        <f>HYPERLINK("https://audio.iskcondesiretree.com/02_-_ISKCON_Swamis/ISKCON_Swamis_-_R_to_Y/His_Holiness_Radhanath_Swami/Lectures/00_-_Year_wise/Devotional_Nectar_-_1997/1997-045_Lord_Nityananda_Lecture_Mumbai_-_Radhanath_Swami_1997-02-20_IDesireTree.mp3", "1997-045_Lord_Nityananda_Lecture_Mumbai_-_Radhanath_Swami_1997-02-20_IDesireTree.mp3")</f>
        <v>1997-045_Lord_Nityananda_Lecture_Mumbai_-_Radhanath_Swami_1997-02-20_IDesireTree.mp3</v>
      </c>
      <c r="D1228" s="24"/>
      <c r="E1228" s="24"/>
    </row>
    <row r="1229">
      <c r="A1229" s="25" t="s">
        <v>18352</v>
      </c>
      <c r="B1229" s="25" t="s">
        <v>18361</v>
      </c>
      <c r="C1229" s="26" t="str">
        <f>HYPERLINK("https://audio.iskcondesiretree.com/02_-_ISKCON_Swamis/ISKCON_Swamis_-_R_to_Y/His_Holiness_Radhanath_Swami/Lectures/00_-_Year_wise/Devotional_Nectar_-_1997/1997-046_Nitai_Delivers_Jagai_and_Madhai_Lecture_Mumbai_-_Radhanath_Swami_1997-02-20_IDesireTree.mp3", "1997-046_Nitai_Delivers_Jagai_and_Madhai_Lecture_Mumbai_-_Radhanath_Swami_1997-02-20_IDesireTree.mp3")</f>
        <v>1997-046_Nitai_Delivers_Jagai_and_Madhai_Lecture_Mumbai_-_Radhanath_Swami_1997-02-20_IDesireTree.mp3</v>
      </c>
      <c r="D1229" s="24"/>
      <c r="E1229" s="24"/>
    </row>
    <row r="1230">
      <c r="A1230" s="25" t="s">
        <v>18352</v>
      </c>
      <c r="B1230" s="25" t="s">
        <v>18361</v>
      </c>
      <c r="C1230" s="26" t="str">
        <f>HYPERLINK("https://audio.iskcondesiretree.com/02_-_ISKCON_Swamis/ISKCON_Swamis_-_R_to_Y/His_Holiness_Radhanath_Swami/Lectures/00_-_Year_wise/Devotional_Nectar_-_1997/1997-047_Become_Submissive_SB-02_08_01_Mumbai_-_Radhanath_Swami_1997-02-22_IDesireTree.mp3", "1997-047_Become_Submissive_SB-02_08_01_Mumbai_-_Radhanath_Swami_1997-02-22_IDesireTree.mp3")</f>
        <v>1997-047_Become_Submissive_SB-02_08_01_Mumbai_-_Radhanath_Swami_1997-02-22_IDesireTree.mp3</v>
      </c>
      <c r="D1230" s="24"/>
      <c r="E1230" s="24"/>
    </row>
    <row r="1231">
      <c r="A1231" s="25" t="s">
        <v>18352</v>
      </c>
      <c r="B1231" s="25" t="s">
        <v>18361</v>
      </c>
      <c r="C1231" s="26" t="str">
        <f>HYPERLINK("https://audio.iskcondesiretree.com/02_-_ISKCON_Swamis/ISKCON_Swamis_-_R_to_Y/His_Holiness_Radhanath_Swami/Lectures/00_-_Year_wise/Devotional_Nectar_-_1997/1997-048_Real_Intelligence_Lecture_Mumbai_-_Radhanath_Swami_1997-02-22_IDesireTree.mp3", "1997-048_Real_Intelligence_Lecture_Mumbai_-_Radhanath_Swami_1997-02-22_IDesireTree.mp3")</f>
        <v>1997-048_Real_Intelligence_Lecture_Mumbai_-_Radhanath_Swami_1997-02-22_IDesireTree.mp3</v>
      </c>
      <c r="D1231" s="24"/>
      <c r="E1231" s="24"/>
    </row>
    <row r="1232">
      <c r="A1232" s="25" t="s">
        <v>18352</v>
      </c>
      <c r="B1232" s="25" t="s">
        <v>18361</v>
      </c>
      <c r="C1232" s="26" t="str">
        <f>HYPERLINK("https://audio.iskcondesiretree.com/02_-_ISKCON_Swamis/ISKCON_Swamis_-_R_to_Y/His_Holiness_Radhanath_Swami/Lectures/00_-_Year_wise/Devotional_Nectar_-_1997/1997-049_Glories_of_Srimad_Bhagavatam_SB-02_08_02_Mumbai_-_23-02-97_IDesireTree.mp3", "1997-049_Glories_of_Srimad_Bhagavatam_SB-02_08_02_Mumbai_-_23-02-97_IDesireTree.mp3")</f>
        <v>1997-049_Glories_of_Srimad_Bhagavatam_SB-02_08_02_Mumbai_-_23-02-97_IDesireTree.mp3</v>
      </c>
      <c r="D1232" s="24"/>
      <c r="E1232" s="24"/>
    </row>
    <row r="1233">
      <c r="A1233" s="25" t="s">
        <v>18352</v>
      </c>
      <c r="B1233" s="25" t="s">
        <v>18361</v>
      </c>
      <c r="C1233" s="26" t="str">
        <f>HYPERLINK("https://audio.iskcondesiretree.com/02_-_ISKCON_Swamis/ISKCON_Swamis_-_R_to_Y/His_Holiness_Radhanath_Swami/Lectures/00_-_Year_wise/Devotional_Nectar_-_1997/1997-050_Srila_Prabhupada_Lecture_Mumbai_-_Radhanath_Swami_1997-02-23_IDesireTree.mp3", "1997-050_Srila_Prabhupada_Lecture_Mumbai_-_Radhanath_Swami_1997-02-23_IDesireTree.mp3")</f>
        <v>1997-050_Srila_Prabhupada_Lecture_Mumbai_-_Radhanath_Swami_1997-02-23_IDesireTree.mp3</v>
      </c>
      <c r="D1233" s="24"/>
      <c r="E1233" s="24"/>
    </row>
    <row r="1234">
      <c r="A1234" s="25" t="s">
        <v>18352</v>
      </c>
      <c r="B1234" s="25" t="s">
        <v>18361</v>
      </c>
      <c r="C1234" s="26" t="str">
        <f>HYPERLINK("https://audio.iskcondesiretree.com/02_-_ISKCON_Swamis/ISKCON_Swamis_-_R_to_Y/His_Holiness_Radhanath_Swami/Lectures/00_-_Year_wise/Devotional_Nectar_-_1997/1997-051_Srila_Ishwara_Puri_SB-02_08_02_Mumbai_-_Radhanath_Swami_1997-03-06_IDesireTree.mp3", "1997-051_Srila_Ishwara_Puri_SB-02_08_02_Mumbai_-_Radhanath_Swami_1997-03-06_IDesireTree.mp3")</f>
        <v>1997-051_Srila_Ishwara_Puri_SB-02_08_02_Mumbai_-_Radhanath_Swami_1997-03-06_IDesireTree.mp3</v>
      </c>
      <c r="D1234" s="24"/>
      <c r="E1234" s="24"/>
    </row>
    <row r="1235">
      <c r="A1235" s="25" t="s">
        <v>18352</v>
      </c>
      <c r="B1235" s="25" t="s">
        <v>18361</v>
      </c>
      <c r="C1235" s="26" t="str">
        <f>HYPERLINK("https://audio.iskcondesiretree.com/02_-_ISKCON_Swamis/ISKCON_Swamis_-_R_to_Y/His_Holiness_Radhanath_Swami/Lectures/00_-_Year_wise/Devotional_Nectar_-_1997/1997-052_What_Is_Responsibility_SB-02_08_21_Mumbai_-_Radhanath_Swami_1997-03-13_IDesireTree.mp3", "1997-052_What_Is_Responsibility_SB-02_08_21_Mumbai_-_Radhanath_Swami_1997-03-13_IDesireTree.mp3")</f>
        <v>1997-052_What_Is_Responsibility_SB-02_08_21_Mumbai_-_Radhanath_Swami_1997-03-13_IDesireTree.mp3</v>
      </c>
      <c r="D1235" s="24"/>
      <c r="E1235" s="24"/>
    </row>
    <row r="1236">
      <c r="A1236" s="25" t="s">
        <v>18352</v>
      </c>
      <c r="B1236" s="25" t="s">
        <v>18361</v>
      </c>
      <c r="C1236" s="26" t="str">
        <f>HYPERLINK("https://audio.iskcondesiretree.com/02_-_ISKCON_Swamis/ISKCON_Swamis_-_R_to_Y/His_Holiness_Radhanath_Swami/Lectures/00_-_Year_wise/Devotional_Nectar_-_1997/1997-053_Understanding_The_Pastimes_Of_Krishna_SB-02_08_23_Mumbai_-_15-03-97_IDesireTree.mp3", "1997-053_Understanding_The_Pastimes_Of_Krishna_SB-02_08_23_Mumbai_-_15-03-97_IDesireTree.mp3")</f>
        <v>1997-053_Understanding_The_Pastimes_Of_Krishna_SB-02_08_23_Mumbai_-_15-03-97_IDesireTree.mp3</v>
      </c>
      <c r="D1236" s="24"/>
      <c r="E1236" s="24"/>
    </row>
    <row r="1237">
      <c r="A1237" s="25" t="s">
        <v>18352</v>
      </c>
      <c r="B1237" s="25" t="s">
        <v>18361</v>
      </c>
      <c r="C1237" s="26" t="str">
        <f>HYPERLINK("https://audio.iskcondesiretree.com/02_-_ISKCON_Swamis/ISKCON_Swamis_-_R_to_Y/His_Holiness_Radhanath_Swami/Lectures/00_-_Year_wise/Devotional_Nectar_-_1997/1997-054_How_To_Please_Krishna_Lecture_Mumbai_-_Radhanath_Swami_1997-03-16_IDesireTree.mp3", "1997-054_How_To_Please_Krishna_Lecture_Mumbai_-_Radhanath_Swami_1997-03-16_IDesireTree.mp3")</f>
        <v>1997-054_How_To_Please_Krishna_Lecture_Mumbai_-_Radhanath_Swami_1997-03-16_IDesireTree.mp3</v>
      </c>
      <c r="D1237" s="24"/>
      <c r="E1237" s="24"/>
    </row>
    <row r="1238">
      <c r="A1238" s="25" t="s">
        <v>18352</v>
      </c>
      <c r="B1238" s="25" t="s">
        <v>18361</v>
      </c>
      <c r="C1238" s="26" t="str">
        <f>HYPERLINK("https://audio.iskcondesiretree.com/02_-_ISKCON_Swamis/ISKCON_Swamis_-_R_to_Y/His_Holiness_Radhanath_Swami/Lectures/00_-_Year_wise/Devotional_Nectar_-_1997/1997-055_Initiation_Lecture_Lecture_Mumbai_-_Radhanath_Swami_1997-03-24_IDesireTree.mp3", "1997-055_Initiation_Lecture_Lecture_Mumbai_-_Radhanath_Swami_1997-03-24_IDesireTree.mp3")</f>
        <v>1997-055_Initiation_Lecture_Lecture_Mumbai_-_Radhanath_Swami_1997-03-24_IDesireTree.mp3</v>
      </c>
      <c r="D1238" s="24"/>
      <c r="E1238" s="24"/>
    </row>
    <row r="1239">
      <c r="A1239" s="25" t="s">
        <v>18352</v>
      </c>
      <c r="B1239" s="25" t="s">
        <v>18361</v>
      </c>
      <c r="C1239" s="26" t="str">
        <f>HYPERLINK("https://audio.iskcondesiretree.com/02_-_ISKCON_Swamis/ISKCON_Swamis_-_R_to_Y/His_Holiness_Radhanath_Swami/Lectures/00_-_Year_wise/Devotional_Nectar_-_1997/1997-056_Real_Success_Of_Life_BG-04_31_Mumbai_-_Radhanath_Swami_1997-03-29_IDesireTree.mp3", "1997-056_Real_Success_Of_Life_BG-04_31_Mumbai_-_Radhanath_Swami_1997-03-29_IDesireTree.mp3")</f>
        <v>1997-056_Real_Success_Of_Life_BG-04_31_Mumbai_-_Radhanath_Swami_1997-03-29_IDesireTree.mp3</v>
      </c>
      <c r="D1239" s="24"/>
      <c r="E1239" s="24"/>
    </row>
    <row r="1240">
      <c r="A1240" s="25" t="s">
        <v>18352</v>
      </c>
      <c r="B1240" s="25" t="s">
        <v>18361</v>
      </c>
      <c r="C1240" s="26" t="str">
        <f>HYPERLINK("https://audio.iskcondesiretree.com/02_-_ISKCON_Swamis/ISKCON_Swamis_-_R_to_Y/His_Holiness_Radhanath_Swami/Lectures/00_-_Year_wise/Devotional_Nectar_-_1997/1997-057_Path_Of_Perfection_BG-07_30_Mumbai_-_Radhanath_Swami_1997-04-01_IDesireTree.mp3", "1997-057_Path_Of_Perfection_BG-07_30_Mumbai_-_Radhanath_Swami_1997-04-01_IDesireTree.mp3")</f>
        <v>1997-057_Path_Of_Perfection_BG-07_30_Mumbai_-_Radhanath_Swami_1997-04-01_IDesireTree.mp3</v>
      </c>
      <c r="D1240" s="24"/>
      <c r="E1240" s="24"/>
    </row>
    <row r="1241">
      <c r="A1241" s="25" t="s">
        <v>18352</v>
      </c>
      <c r="B1241" s="25" t="s">
        <v>18361</v>
      </c>
      <c r="C1241" s="26" t="str">
        <f>HYPERLINK("https://audio.iskcondesiretree.com/02_-_ISKCON_Swamis/ISKCON_Swamis_-_R_to_Y/His_Holiness_Radhanath_Swami/Lectures/00_-_Year_wise/Devotional_Nectar_-_1997/1997-058_Marriage_Ceremony_Address_Lecture_Mumbai_-_Radhanath_Swami_1997-04-08_IDesireTree.mp3", "1997-058_Marriage_Ceremony_Address_Lecture_Mumbai_-_Radhanath_Swami_1997-04-08_IDesireTree.mp3")</f>
        <v>1997-058_Marriage_Ceremony_Address_Lecture_Mumbai_-_Radhanath_Swami_1997-04-08_IDesireTree.mp3</v>
      </c>
      <c r="D1241" s="24"/>
      <c r="E1241" s="24"/>
    </row>
    <row r="1242">
      <c r="A1242" s="25" t="s">
        <v>18352</v>
      </c>
      <c r="B1242" s="25" t="s">
        <v>18361</v>
      </c>
      <c r="C1242" s="26" t="str">
        <f>HYPERLINK("https://audio.iskcondesiretree.com/02_-_ISKCON_Swamis/ISKCON_Swamis_-_R_to_Y/His_Holiness_Radhanath_Swami/Lectures/00_-_Year_wise/Devotional_Nectar_-_1997/1997-059_Trancendence_of_Vaikuntha_SB-02_09_10_Mumbai_-_Radhanath_Swami_1997-04-12_IDesireTree.mp3", "1997-059_Trancendence_of_Vaikuntha_SB-02_09_10_Mumbai_-_Radhanath_Swami_1997-04-12_IDesireTree.mp3")</f>
        <v>1997-059_Trancendence_of_Vaikuntha_SB-02_09_10_Mumbai_-_Radhanath_Swami_1997-04-12_IDesireTree.mp3</v>
      </c>
      <c r="D1242" s="24"/>
      <c r="E1242" s="24"/>
    </row>
    <row r="1243">
      <c r="A1243" s="25" t="s">
        <v>18352</v>
      </c>
      <c r="B1243" s="25" t="s">
        <v>18361</v>
      </c>
      <c r="C1243" s="26" t="str">
        <f>HYPERLINK("https://audio.iskcondesiretree.com/02_-_ISKCON_Swamis/ISKCON_Swamis_-_R_to_Y/His_Holiness_Radhanath_Swami/Lectures/00_-_Year_wise/Devotional_Nectar_-_1997/1997-060_The_Art_of_Working_Ht_-_BG-02_48-50_Mumbai_-_Radhanath_Swami_1997-04-12_IDesireTree.mp3", "1997-060_The_Art_of_Working_Ht_-_BG-02_48-50_Mumbai_-_Radhanath_Swami_1997-04-12_IDesireTree.mp3")</f>
        <v>1997-060_The_Art_of_Working_Ht_-_BG-02_48-50_Mumbai_-_Radhanath_Swami_1997-04-12_IDesireTree.mp3</v>
      </c>
      <c r="D1243" s="24"/>
      <c r="E1243" s="24"/>
    </row>
    <row r="1244">
      <c r="A1244" s="25" t="s">
        <v>18352</v>
      </c>
      <c r="B1244" s="25" t="s">
        <v>18361</v>
      </c>
      <c r="C1244" s="26" t="str">
        <f>HYPERLINK("https://audio.iskcondesiretree.com/02_-_ISKCON_Swamis/ISKCON_Swamis_-_R_to_Y/His_Holiness_Radhanath_Swami/Lectures/00_-_Year_wise/Devotional_Nectar_-_1997/1997-061_Opulence_Of_The_Denizens_Of_Vaikuntha_SB-02_09_11_Mumbai_-_13-04-97_IDesireTree.mp3", "1997-061_Opulence_Of_The_Denizens_Of_Vaikuntha_SB-02_09_11_Mumbai_-_13-04-97_IDesireTree.mp3")</f>
        <v>1997-061_Opulence_Of_The_Denizens_Of_Vaikuntha_SB-02_09_11_Mumbai_-_13-04-97_IDesireTree.mp3</v>
      </c>
      <c r="D1244" s="24"/>
      <c r="E1244" s="24"/>
    </row>
    <row r="1245">
      <c r="A1245" s="25" t="s">
        <v>18352</v>
      </c>
      <c r="B1245" s="25" t="s">
        <v>18361</v>
      </c>
      <c r="C1245" s="26" t="str">
        <f>HYPERLINK("https://audio.iskcondesiretree.com/02_-_ISKCON_Swamis/ISKCON_Swamis_-_R_to_Y/His_Holiness_Radhanath_Swami/Lectures/00_-_Year_wise/Devotional_Nectar_-_1997/1997-062_Ocean_of_Mercy_Lecture_Mumbai_-_Radhanath_Swami_1997-04-14_IDesireTree.mp3", "1997-062_Ocean_of_Mercy_Lecture_Mumbai_-_Radhanath_Swami_1997-04-14_IDesireTree.mp3")</f>
        <v>1997-062_Ocean_of_Mercy_Lecture_Mumbai_-_Radhanath_Swami_1997-04-14_IDesireTree.mp3</v>
      </c>
      <c r="D1245" s="24"/>
      <c r="E1245" s="24"/>
    </row>
    <row r="1246">
      <c r="A1246" s="25" t="s">
        <v>18352</v>
      </c>
      <c r="B1246" s="25" t="s">
        <v>18361</v>
      </c>
      <c r="C1246" s="26" t="str">
        <f>HYPERLINK("https://audio.iskcondesiretree.com/02_-_ISKCON_Swamis/ISKCON_Swamis_-_R_to_Y/His_Holiness_Radhanath_Swami/Lectures/00_-_Year_wise/Devotional_Nectar_-_1997/1997-063_Material_Distress_BG-04_38_Mumbai_-_Radhanath_Swami_1997-04-19_IDesireTree.mp3", "1997-063_Material_Distress_BG-04_38_Mumbai_-_Radhanath_Swami_1997-04-19_IDesireTree.mp3")</f>
        <v>1997-063_Material_Distress_BG-04_38_Mumbai_-_Radhanath_Swami_1997-04-19_IDesireTree.mp3</v>
      </c>
      <c r="D1246" s="24"/>
      <c r="E1246" s="24"/>
    </row>
    <row r="1247">
      <c r="A1247" s="25" t="s">
        <v>18352</v>
      </c>
      <c r="B1247" s="25" t="s">
        <v>18361</v>
      </c>
      <c r="C1247" s="26" t="str">
        <f>HYPERLINK("https://audio.iskcondesiretree.com/02_-_ISKCON_Swamis/ISKCON_Swamis_-_R_to_Y/His_Holiness_Radhanath_Swami/Lectures/00_-_Year_wise/Devotional_Nectar_-_1997/1997-064_Association_of_Devotees_Lecture_Udipi_-_Radhanath_Swami_1997-04-21_IDesireTree.mp3", "1997-064_Association_of_Devotees_Lecture_Udipi_-_Radhanath_Swami_1997-04-21_IDesireTree.mp3")</f>
        <v>1997-064_Association_of_Devotees_Lecture_Udipi_-_Radhanath_Swami_1997-04-21_IDesireTree.mp3</v>
      </c>
      <c r="D1247" s="24"/>
      <c r="E1247" s="24"/>
    </row>
    <row r="1248">
      <c r="A1248" s="25" t="s">
        <v>18352</v>
      </c>
      <c r="B1248" s="25" t="s">
        <v>18361</v>
      </c>
      <c r="C1248" s="26" t="str">
        <f>HYPERLINK("https://audio.iskcondesiretree.com/02_-_ISKCON_Swamis/ISKCON_Swamis_-_R_to_Y/His_Holiness_Radhanath_Swami/Lectures/00_-_Year_wise/Devotional_Nectar_-_1997/1997-065_Udipi_Yatra_Lecture_Udipi_-_Radhanath_Swami_1997-04-22_IDesireTree.mp3", "1997-065_Udipi_Yatra_Lecture_Udipi_-_Radhanath_Swami_1997-04-22_IDesireTree.mp3")</f>
        <v>1997-065_Udipi_Yatra_Lecture_Udipi_-_Radhanath_Swami_1997-04-22_IDesireTree.mp3</v>
      </c>
      <c r="D1248" s="24"/>
      <c r="E1248" s="24"/>
    </row>
    <row r="1249">
      <c r="A1249" s="25" t="s">
        <v>18352</v>
      </c>
      <c r="B1249" s="25" t="s">
        <v>18361</v>
      </c>
      <c r="C1249" s="26" t="str">
        <f>HYPERLINK("https://audio.iskcondesiretree.com/02_-_ISKCON_Swamis/ISKCON_Swamis_-_R_to_Y/His_Holiness_Radhanath_Swami/Lectures/00_-_Year_wise/Devotional_Nectar_-_1997/1997-066_The_Sublime_Process_Lecture_Mumbai_-_Radhanath_Swami_1997-04-23_IDesireTree.mp3", "1997-066_The_Sublime_Process_Lecture_Mumbai_-_Radhanath_Swami_1997-04-23_IDesireTree.mp3")</f>
        <v>1997-066_The_Sublime_Process_Lecture_Mumbai_-_Radhanath_Swami_1997-04-23_IDesireTree.mp3</v>
      </c>
      <c r="D1249" s="24"/>
      <c r="E1249" s="24"/>
    </row>
    <row r="1250">
      <c r="A1250" s="25" t="s">
        <v>18352</v>
      </c>
      <c r="B1250" s="25" t="s">
        <v>18361</v>
      </c>
      <c r="C1250" s="26" t="str">
        <f>HYPERLINK("https://audio.iskcondesiretree.com/02_-_ISKCON_Swamis/ISKCON_Swamis_-_R_to_Y/His_Holiness_Radhanath_Swami/Lectures/00_-_Year_wise/Devotional_Nectar_-_1997/1997-067_Perverted_Reflection_SB-02_09_17_Mumbai_-_Radhanath_Swami_1997-04-24_IDesireTree.mp3", "1997-067_Perverted_Reflection_SB-02_09_17_Mumbai_-_Radhanath_Swami_1997-04-24_IDesireTree.mp3")</f>
        <v>1997-067_Perverted_Reflection_SB-02_09_17_Mumbai_-_Radhanath_Swami_1997-04-24_IDesireTree.mp3</v>
      </c>
      <c r="D1250" s="24"/>
      <c r="E1250" s="24"/>
    </row>
    <row r="1251">
      <c r="A1251" s="25" t="s">
        <v>18352</v>
      </c>
      <c r="B1251" s="25" t="s">
        <v>18361</v>
      </c>
      <c r="C1251" s="26" t="str">
        <f>HYPERLINK("https://audio.iskcondesiretree.com/02_-_ISKCON_Swamis/ISKCON_Swamis_-_R_to_Y/His_Holiness_Radhanath_Swami/Lectures/00_-_Year_wise/Devotional_Nectar_-_1997/1997-068_Overcome_Spiritual_Laziness_Lecture_Mumbai_-_Radhanath_Swami_1997-04-27_IDesireTree.mp3", "1997-068_Overcome_Spiritual_Laziness_Lecture_Mumbai_-_Radhanath_Swami_1997-04-27_IDesireTree.mp3")</f>
        <v>1997-068_Overcome_Spiritual_Laziness_Lecture_Mumbai_-_Radhanath_Swami_1997-04-27_IDesireTree.mp3</v>
      </c>
      <c r="D1251" s="24"/>
      <c r="E1251" s="24"/>
    </row>
    <row r="1252">
      <c r="A1252" s="25" t="s">
        <v>18352</v>
      </c>
      <c r="B1252" s="25" t="s">
        <v>18361</v>
      </c>
      <c r="C1252" s="26" t="str">
        <f>HYPERLINK("https://audio.iskcondesiretree.com/02_-_ISKCON_Swamis/ISKCON_Swamis_-_R_to_Y/His_Holiness_Radhanath_Swami/Lectures/00_-_Year_wise/Devotional_Nectar_-_1997/1997-069_Bangalore_Temple_Opening_Lecture_Bangalore_-_Radhanath_Swami_1997-04-30_IDesireTree.mp3", "1997-069_Bangalore_Temple_Opening_Lecture_Bangalore_-_Radhanath_Swami_1997-04-30_IDesireTree.mp3")</f>
        <v>1997-069_Bangalore_Temple_Opening_Lecture_Bangalore_-_Radhanath_Swami_1997-04-30_IDesireTree.mp3</v>
      </c>
      <c r="D1252" s="24"/>
      <c r="E1252" s="24"/>
    </row>
    <row r="1253">
      <c r="A1253" s="25" t="s">
        <v>18352</v>
      </c>
      <c r="B1253" s="25" t="s">
        <v>18361</v>
      </c>
      <c r="C1253" s="26" t="str">
        <f>HYPERLINK("https://audio.iskcondesiretree.com/02_-_ISKCON_Swamis/ISKCON_Swamis_-_R_to_Y/His_Holiness_Radhanath_Swami/Lectures/00_-_Year_wise/Devotional_Nectar_-_1997/1997-070_Eagerness_Of_Krishna_BG-06_15_Mumbai_-_Radhanath_Swami_1997-05-03_IDesireTree.mp3", "1997-070_Eagerness_Of_Krishna_BG-06_15_Mumbai_-_Radhanath_Swami_1997-05-03_IDesireTree.mp3")</f>
        <v>1997-070_Eagerness_Of_Krishna_BG-06_15_Mumbai_-_Radhanath_Swami_1997-05-03_IDesireTree.mp3</v>
      </c>
      <c r="D1253" s="24"/>
      <c r="E1253" s="24"/>
    </row>
    <row r="1254">
      <c r="A1254" s="25" t="s">
        <v>18352</v>
      </c>
      <c r="B1254" s="25" t="s">
        <v>18361</v>
      </c>
      <c r="C1254" s="26" t="str">
        <f>HYPERLINK("https://audio.iskcondesiretree.com/02_-_ISKCON_Swamis/ISKCON_Swamis_-_R_to_Y/His_Holiness_Radhanath_Swami/Lectures/00_-_Year_wise/Devotional_Nectar_-_1997/1997-071_Always_Be_Alert_SB-02_09_28_Mumbai_-_Radhanath_Swami_1997-05-04_IDesireTree.mp3", "1997-071_Always_Be_Alert_SB-02_09_28_Mumbai_-_Radhanath_Swami_1997-05-04_IDesireTree.mp3")</f>
        <v>1997-071_Always_Be_Alert_SB-02_09_28_Mumbai_-_Radhanath_Swami_1997-05-04_IDesireTree.mp3</v>
      </c>
      <c r="D1254" s="24"/>
      <c r="E1254" s="24"/>
    </row>
    <row r="1255">
      <c r="A1255" s="25" t="s">
        <v>18352</v>
      </c>
      <c r="B1255" s="25" t="s">
        <v>18361</v>
      </c>
      <c r="C1255" s="26" t="str">
        <f>HYPERLINK("https://audio.iskcondesiretree.com/02_-_ISKCON_Swamis/ISKCON_Swamis_-_R_to_Y/His_Holiness_Radhanath_Swami/Lectures/00_-_Year_wise/Devotional_Nectar_-_1997/1997-072_Prabhupada_Nectar_Lecture_Mumbai_-_Radhanath_Swami_1997-05-05_IDesireTree.mp3", "1997-072_Prabhupada_Nectar_Lecture_Mumbai_-_Radhanath_Swami_1997-05-05_IDesireTree.mp3")</f>
        <v>1997-072_Prabhupada_Nectar_Lecture_Mumbai_-_Radhanath_Swami_1997-05-05_IDesireTree.mp3</v>
      </c>
      <c r="D1255" s="24"/>
      <c r="E1255" s="24"/>
    </row>
    <row r="1256">
      <c r="A1256" s="25" t="s">
        <v>18352</v>
      </c>
      <c r="B1256" s="25" t="s">
        <v>18361</v>
      </c>
      <c r="C1256" s="26" t="str">
        <f>HYPERLINK("https://audio.iskcondesiretree.com/02_-_ISKCON_Swamis/ISKCON_Swamis_-_R_to_Y/His_Holiness_Radhanath_Swami/Lectures/00_-_Year_wise/Devotional_Nectar_-_1997/1997-073_Appearence_Of_Lord_Chaitanya_BG-04_39_Mumbai_-_Radhanath_Swami_1997-05-06_IDesireTree.mp3", "1997-073_Appearence_Of_Lord_Chaitanya_BG-04_39_Mumbai_-_Radhanath_Swami_1997-05-06_IDesireTree.mp3")</f>
        <v>1997-073_Appearence_Of_Lord_Chaitanya_BG-04_39_Mumbai_-_Radhanath_Swami_1997-05-06_IDesireTree.mp3</v>
      </c>
      <c r="D1256" s="24"/>
      <c r="E1256" s="24"/>
    </row>
    <row r="1257">
      <c r="A1257" s="25" t="s">
        <v>18352</v>
      </c>
      <c r="B1257" s="25" t="s">
        <v>18361</v>
      </c>
      <c r="C1257" s="26" t="str">
        <f>HYPERLINK("https://audio.iskcondesiretree.com/02_-_ISKCON_Swamis/ISKCON_Swamis_-_R_to_Y/His_Holiness_Radhanath_Swami/Lectures/00_-_Year_wise/Devotional_Nectar_-_1997/1997-074_Marraige_Addresses_Lecture_Mumbai_-_Radhanath_Swami_1997-05-09_IDesireTree.mp3", "1997-074_Marraige_Addresses_Lecture_Mumbai_-_Radhanath_Swami_1997-05-09_IDesireTree.mp3")</f>
        <v>1997-074_Marraige_Addresses_Lecture_Mumbai_-_Radhanath_Swami_1997-05-09_IDesireTree.mp3</v>
      </c>
      <c r="D1257" s="24"/>
      <c r="E1257" s="24"/>
    </row>
    <row r="1258">
      <c r="A1258" s="25" t="s">
        <v>18352</v>
      </c>
      <c r="B1258" s="25" t="s">
        <v>18361</v>
      </c>
      <c r="C1258" s="26" t="str">
        <f>HYPERLINK("https://audio.iskcondesiretree.com/02_-_ISKCON_Swamis/ISKCON_Swamis_-_R_to_Y/His_Holiness_Radhanath_Swami/Lectures/00_-_Year_wise/Devotional_Nectar_-_1997/1997-075_Krishna_And_Jiva_Are_Never_One_SB-02_09_33_Mumbai_-_10-05-97_IDesireTree.mp3", "1997-075_Krishna_And_Jiva_Are_Never_One_SB-02_09_33_Mumbai_-_10-05-97_IDesireTree.mp3")</f>
        <v>1997-075_Krishna_And_Jiva_Are_Never_One_SB-02_09_33_Mumbai_-_10-05-97_IDesireTree.mp3</v>
      </c>
      <c r="D1258" s="24"/>
      <c r="E1258" s="24"/>
    </row>
    <row r="1259">
      <c r="A1259" s="25" t="s">
        <v>18352</v>
      </c>
      <c r="B1259" s="25" t="s">
        <v>18361</v>
      </c>
      <c r="C1259" s="26" t="str">
        <f>HYPERLINK("https://audio.iskcondesiretree.com/02_-_ISKCON_Swamis/ISKCON_Swamis_-_R_to_Y/His_Holiness_Radhanath_Swami/Lectures/00_-_Year_wise/Devotional_Nectar_-_1997/1997-076_Chatusshloki_Bhagavatam_SB-02_09_35-36_Mumbai_-_Radhanath_Swami_1997-05-14_IDesireTree.mp3", "1997-076_Chatusshloki_Bhagavatam_SB-02_09_35-36_Mumbai_-_Radhanath_Swami_1997-05-14_IDesireTree.mp3")</f>
        <v>1997-076_Chatusshloki_Bhagavatam_SB-02_09_35-36_Mumbai_-_Radhanath_Swami_1997-05-14_IDesireTree.mp3</v>
      </c>
      <c r="D1259" s="24"/>
      <c r="E1259" s="24"/>
    </row>
    <row r="1260">
      <c r="A1260" s="25" t="s">
        <v>18352</v>
      </c>
      <c r="B1260" s="25" t="s">
        <v>18361</v>
      </c>
      <c r="C1260" s="26" t="str">
        <f>HYPERLINK("https://audio.iskcondesiretree.com/02_-_ISKCON_Swamis/ISKCON_Swamis_-_R_to_Y/His_Holiness_Radhanath_Swami/Lectures/00_-_Year_wise/Devotional_Nectar_-_1997/1997-077_Departure_Address_To_Brahmacari_Lecture_Mumbai_-_Radhanath_Swami_1997-05-14_IDesireTree.mp3", "1997-077_Departure_Address_To_Brahmacari_Lecture_Mumbai_-_Radhanath_Swami_1997-05-14_IDesireTree.mp3")</f>
        <v>1997-077_Departure_Address_To_Brahmacari_Lecture_Mumbai_-_Radhanath_Swami_1997-05-14_IDesireTree.mp3</v>
      </c>
      <c r="D1260" s="24"/>
      <c r="E1260" s="24"/>
    </row>
    <row r="1261">
      <c r="A1261" s="25" t="s">
        <v>18352</v>
      </c>
      <c r="B1261" s="25" t="s">
        <v>18361</v>
      </c>
      <c r="C1261" s="26" t="str">
        <f>HYPERLINK("https://audio.iskcondesiretree.com/02_-_ISKCON_Swamis/ISKCON_Swamis_-_R_to_Y/His_Holiness_Radhanath_Swami/Lectures/00_-_Year_wise/Devotional_Nectar_-_1997/1997-078_Our_Eagerness_Attracts_Krishna_Lecture_K_ford_London_-_26-05-97_IDesireTree.mp3", "1997-078_Our_Eagerness_Attracts_Krishna_Lecture_K_ford_London_-_26-05-97_IDesireTree.mp3")</f>
        <v>1997-078_Our_Eagerness_Attracts_Krishna_Lecture_K_ford_London_-_26-05-97_IDesireTree.mp3</v>
      </c>
      <c r="D1261" s="24"/>
      <c r="E1261" s="24"/>
    </row>
    <row r="1262">
      <c r="A1262" s="25" t="s">
        <v>18352</v>
      </c>
      <c r="B1262" s="25" t="s">
        <v>18361</v>
      </c>
      <c r="C1262" s="26" t="str">
        <f>HYPERLINK("https://audio.iskcondesiretree.com/02_-_ISKCON_Swamis/ISKCON_Swamis_-_R_to_Y/His_Holiness_Radhanath_Swami/Lectures/00_-_Year_wise/Devotional_Nectar_-_1997/1997-079_Bhaktivedanta_Manor_SB_03_19_09_London_-_Radhanath_Swami_1997-05-28_IDesireTree.mp3", "1997-079_Bhaktivedanta_Manor_SB_03_19_09_London_-_Radhanath_Swami_1997-05-28_IDesireTree.mp3")</f>
        <v>1997-079_Bhaktivedanta_Manor_SB_03_19_09_London_-_Radhanath_Swami_1997-05-28_IDesireTree.mp3</v>
      </c>
      <c r="D1262" s="24"/>
      <c r="E1262" s="24"/>
    </row>
    <row r="1263">
      <c r="A1263" s="25" t="s">
        <v>18352</v>
      </c>
      <c r="B1263" s="25" t="s">
        <v>18361</v>
      </c>
      <c r="C1263" s="26" t="str">
        <f>HYPERLINK("https://audio.iskcondesiretree.com/02_-_ISKCON_Swamis/ISKCON_Swamis_-_R_to_Y/His_Holiness_Radhanath_Swami/Lectures/00_-_Year_wise/Devotional_Nectar_-_1997/1997-08-20_SB_03-27-06_-_How_to_Behave_with_Different_Devotees%20-01_-_Radhanath_Swami_Germany.mp3", "1997-08-20_SB_03-27-06_-_How_to_Behave_with_Different_Devotees%20-01_-_Radhanath_Swami_Germany.mp3")</f>
        <v>1997-08-20_SB_03-27-06_-_How_to_Behave_with_Different_Devotees%20-01_-_Radhanath_Swami_Germany.mp3</v>
      </c>
      <c r="D1263" s="24"/>
      <c r="E1263" s="24"/>
    </row>
    <row r="1264">
      <c r="A1264" s="25" t="s">
        <v>18352</v>
      </c>
      <c r="B1264" s="25" t="s">
        <v>18361</v>
      </c>
      <c r="C1264" s="26" t="str">
        <f>HYPERLINK("https://audio.iskcondesiretree.com/02_-_ISKCON_Swamis/ISKCON_Swamis_-_R_to_Y/His_Holiness_Radhanath_Swami/Lectures/00_-_Year_wise/Devotional_Nectar_-_1997/1997-08-20_SB_03-27-06_-_How_to_Behave_with_Different_Devotees%20-02_-_Radhanath_Swami_Germany.mp3", "1997-08-20_SB_03-27-06_-_How_to_Behave_with_Different_Devotees%20-02_-_Radhanath_Swami_Germany.mp3")</f>
        <v>1997-08-20_SB_03-27-06_-_How_to_Behave_with_Different_Devotees%20-02_-_Radhanath_Swami_Germany.mp3</v>
      </c>
      <c r="D1264" s="24"/>
      <c r="E1264" s="24"/>
    </row>
    <row r="1265">
      <c r="A1265" s="25" t="s">
        <v>18352</v>
      </c>
      <c r="B1265" s="25" t="s">
        <v>18361</v>
      </c>
      <c r="C1265" s="26" t="str">
        <f>HYPERLINK("https://audio.iskcondesiretree.com/02_-_ISKCON_Swamis/ISKCON_Swamis_-_R_to_Y/His_Holiness_Radhanath_Swami/Lectures/00_-_Year_wise/Devotional_Nectar_-_1997/1997-080_Compassionate_Nature_of_Devotees_Lecture_London_-_Radhanath_Swami_IDesireTree.mp3", "1997-080_Compassionate_Nature_of_Devotees_Lecture_London_-_Radhanath_Swami_IDesireTree.mp3")</f>
        <v>1997-080_Compassionate_Nature_of_Devotees_Lecture_London_-_Radhanath_Swami_IDesireTree.mp3</v>
      </c>
      <c r="D1265" s="24"/>
      <c r="E1265" s="24"/>
    </row>
    <row r="1266">
      <c r="A1266" s="25" t="s">
        <v>18352</v>
      </c>
      <c r="B1266" s="25" t="s">
        <v>18361</v>
      </c>
      <c r="C1266" s="26" t="str">
        <f>HYPERLINK("https://audio.iskcondesiretree.com/02_-_ISKCON_Swamis/ISKCON_Swamis_-_R_to_Y/His_Holiness_Radhanath_Swami/Lectures/00_-_Year_wise/Devotional_Nectar_-_1997/1997-081_Humility_of_Devotees_Lecture_Bhaktivedanta_Manor_-_31-05-97_IDesireTree.mp3", "1997-081_Humility_of_Devotees_Lecture_Bhaktivedanta_Manor_-_31-05-97_IDesireTree.mp3")</f>
        <v>1997-081_Humility_of_Devotees_Lecture_Bhaktivedanta_Manor_-_31-05-97_IDesireTree.mp3</v>
      </c>
      <c r="D1266" s="24"/>
      <c r="E1266" s="24"/>
    </row>
    <row r="1267">
      <c r="A1267" s="25" t="s">
        <v>18352</v>
      </c>
      <c r="B1267" s="25" t="s">
        <v>18361</v>
      </c>
      <c r="C1267" s="26" t="str">
        <f>HYPERLINK("https://audio.iskcondesiretree.com/02_-_ISKCON_Swamis/ISKCON_Swamis_-_R_to_Y/His_Holiness_Radhanath_Swami/Lectures/00_-_Year_wise/Devotional_Nectar_-_1997/1997-082_Sanatan_Dharma_-_The_Eternal_Nature_of_the_Soul_Lecture_Birmingham_Ram_mandir_UK_-_05-97_ID"&amp;"esireTree.mp3", "1997-082_Sanatan_Dharma_-_The_Eternal_Nature_of_the_Soul_Lecture_Birmingham_Ram_mandir_UK_-_05-97_IDesireTree.mp3")</f>
        <v>1997-082_Sanatan_Dharma_-_The_Eternal_Nature_of_the_Soul_Lecture_Birmingham_Ram_mandir_UK_-_05-97_IDesireTree.mp3</v>
      </c>
      <c r="D1267" s="24"/>
      <c r="E1267" s="24"/>
    </row>
    <row r="1268">
      <c r="A1268" s="25" t="s">
        <v>18352</v>
      </c>
      <c r="B1268" s="25" t="s">
        <v>18361</v>
      </c>
      <c r="C1268" s="26" t="str">
        <f>HYPERLINK("https://audio.iskcondesiretree.com/02_-_ISKCON_Swamis/ISKCON_Swamis_-_R_to_Y/His_Holiness_Radhanath_Swami/Lectures/00_-_Year_wise/Devotional_Nectar_-_1997/1997-083_SB-06_7_13_-_Radhanath_Swami_1997-06-08_IDesireTree.mp3", "1997-083_SB-06_7_13_-_Radhanath_Swami_1997-06-08_IDesireTree.mp3")</f>
        <v>1997-083_SB-06_7_13_-_Radhanath_Swami_1997-06-08_IDesireTree.mp3</v>
      </c>
      <c r="D1268" s="24"/>
      <c r="E1268" s="24"/>
    </row>
    <row r="1269">
      <c r="A1269" s="25" t="s">
        <v>18352</v>
      </c>
      <c r="B1269" s="25" t="s">
        <v>18361</v>
      </c>
      <c r="C1269" s="26" t="str">
        <f>HYPERLINK("https://audio.iskcondesiretree.com/02_-_ISKCON_Swamis/ISKCON_Swamis_-_R_to_Y/His_Holiness_Radhanath_Swami/Lectures/00_-_Year_wise/Devotional_Nectar_-_1997/1997-084_Unlimited_Dualities_BG-14_20_Chicago_-_Radhanath_Swami_1997-08-05_IDesireTree.mp3", "1997-084_Unlimited_Dualities_BG-14_20_Chicago_-_Radhanath_Swami_1997-08-05_IDesireTree.mp3")</f>
        <v>1997-084_Unlimited_Dualities_BG-14_20_Chicago_-_Radhanath_Swami_1997-08-05_IDesireTree.mp3</v>
      </c>
      <c r="D1269" s="24"/>
      <c r="E1269" s="24"/>
    </row>
    <row r="1270">
      <c r="A1270" s="25" t="s">
        <v>18352</v>
      </c>
      <c r="B1270" s="25" t="s">
        <v>18361</v>
      </c>
      <c r="C1270" s="26" t="str">
        <f>HYPERLINK("https://audio.iskcondesiretree.com/02_-_ISKCON_Swamis/ISKCON_Swamis_-_R_to_Y/His_Holiness_Radhanath_Swami/Lectures/00_-_Year_wise/Devotional_Nectar_-_1997/1997-085_Pride_Cometh_Before_The_Fall_SB-06_09_50_Chicago_-_08-08-97_IDesireTree.mp3", "1997-085_Pride_Cometh_Before_The_Fall_SB-06_09_50_Chicago_-_08-08-97_IDesireTree.mp3")</f>
        <v>1997-085_Pride_Cometh_Before_The_Fall_SB-06_09_50_Chicago_-_08-08-97_IDesireTree.mp3</v>
      </c>
      <c r="D1270" s="24"/>
      <c r="E1270" s="24"/>
    </row>
    <row r="1271">
      <c r="A1271" s="25" t="s">
        <v>18352</v>
      </c>
      <c r="B1271" s="25" t="s">
        <v>18361</v>
      </c>
      <c r="C1271" s="26" t="str">
        <f>HYPERLINK("https://audio.iskcondesiretree.com/02_-_ISKCON_Swamis/ISKCON_Swamis_-_R_to_Y/His_Holiness_Radhanath_Swami/Lectures/00_-_Year_wise/Devotional_Nectar_-_1997/1997-086_Lecture_Bhaktivedanta_Manor_London_-_Radhanath_Swami_1997-08-12_IDesireTree.mp3", "1997-086_Lecture_Bhaktivedanta_Manor_London_-_Radhanath_Swami_1997-08-12_IDesireTree.mp3")</f>
        <v>1997-086_Lecture_Bhaktivedanta_Manor_London_-_Radhanath_Swami_1997-08-12_IDesireTree.mp3</v>
      </c>
      <c r="D1271" s="24"/>
      <c r="E1271" s="24"/>
    </row>
    <row r="1272">
      <c r="A1272" s="25" t="s">
        <v>18352</v>
      </c>
      <c r="B1272" s="25" t="s">
        <v>18361</v>
      </c>
      <c r="C1272" s="26" t="str">
        <f>HYPERLINK("https://audio.iskcondesiretree.com/02_-_ISKCON_Swamis/ISKCON_Swamis_-_R_to_Y/His_Holiness_Radhanath_Swami/Lectures/00_-_Year_wise/Devotional_Nectar_-_1997/1997-087_Becoming_Sincere_SB-03_01_40_Mumbai_-_Radhanath_Swami_1997-08-23_IDesireTree.mp3", "1997-087_Becoming_Sincere_SB-03_01_40_Mumbai_-_Radhanath_Swami_1997-08-23_IDesireTree.mp3")</f>
        <v>1997-087_Becoming_Sincere_SB-03_01_40_Mumbai_-_Radhanath_Swami_1997-08-23_IDesireTree.mp3</v>
      </c>
      <c r="D1272" s="24"/>
      <c r="E1272" s="24"/>
    </row>
    <row r="1273">
      <c r="A1273" s="25" t="s">
        <v>18352</v>
      </c>
      <c r="B1273" s="25" t="s">
        <v>18361</v>
      </c>
      <c r="C1273" s="26" t="str">
        <f>HYPERLINK("https://audio.iskcondesiretree.com/02_-_ISKCON_Swamis/ISKCON_Swamis_-_R_to_Y/His_Holiness_Radhanath_Swami/Lectures/00_-_Year_wise/Devotional_Nectar_-_1997/1997-088_Krishna_Book_Reading_Lecture_Mumbai_-_Radhanath_Swami_1997-08-25_IDesireTree.mp3", "1997-088_Krishna_Book_Reading_Lecture_Mumbai_-_Radhanath_Swami_1997-08-25_IDesireTree.mp3")</f>
        <v>1997-088_Krishna_Book_Reading_Lecture_Mumbai_-_Radhanath_Swami_1997-08-25_IDesireTree.mp3</v>
      </c>
      <c r="D1273" s="24"/>
      <c r="E1273" s="24"/>
    </row>
    <row r="1274">
      <c r="A1274" s="25" t="s">
        <v>18352</v>
      </c>
      <c r="B1274" s="25" t="s">
        <v>18361</v>
      </c>
      <c r="C1274" s="26" t="str">
        <f>HYPERLINK("https://audio.iskcondesiretree.com/02_-_ISKCON_Swamis/ISKCON_Swamis_-_R_to_Y/His_Holiness_Radhanath_Swami/Lectures/00_-_Year_wise/Devotional_Nectar_-_1997/1997-089_Make_Krishna_The_Priority_Lecture_Mumbai_-_Radhanath_Swami_1997-08-25_IDesireTree.mp3", "1997-089_Make_Krishna_The_Priority_Lecture_Mumbai_-_Radhanath_Swami_1997-08-25_IDesireTree.mp3")</f>
        <v>1997-089_Make_Krishna_The_Priority_Lecture_Mumbai_-_Radhanath_Swami_1997-08-25_IDesireTree.mp3</v>
      </c>
      <c r="D1274" s="24"/>
      <c r="E1274" s="24"/>
    </row>
    <row r="1275">
      <c r="A1275" s="25" t="s">
        <v>18352</v>
      </c>
      <c r="B1275" s="25" t="s">
        <v>18361</v>
      </c>
      <c r="C1275" s="26" t="str">
        <f>HYPERLINK("https://audio.iskcondesiretree.com/02_-_ISKCON_Swamis/ISKCON_Swamis_-_R_to_Y/His_Holiness_Radhanath_Swami/Lectures/00_-_Year_wise/Devotional_Nectar_-_1997/1997-090_Offering_To_Srila_Prabhupada_Lecture_Mumbai_-_Radhanath_Swami_1997-08-28_IDesireTree.mp3", "1997-090_Offering_To_Srila_Prabhupada_Lecture_Mumbai_-_Radhanath_Swami_1997-08-28_IDesireTree.mp3")</f>
        <v>1997-090_Offering_To_Srila_Prabhupada_Lecture_Mumbai_-_Radhanath_Swami_1997-08-28_IDesireTree.mp3</v>
      </c>
      <c r="D1275" s="24"/>
      <c r="E1275" s="24"/>
    </row>
    <row r="1276">
      <c r="A1276" s="25" t="s">
        <v>18352</v>
      </c>
      <c r="B1276" s="25" t="s">
        <v>18361</v>
      </c>
      <c r="C1276" s="26" t="str">
        <f>HYPERLINK("https://audio.iskcondesiretree.com/02_-_ISKCON_Swamis/ISKCON_Swamis_-_R_to_Y/His_Holiness_Radhanath_Swami/Lectures/00_-_Year_wise/Devotional_Nectar_-_1997/1997-091_Our_Life_Is_Our_Eagerness_SB-03_01_44_Mumbai_-_Radhanath_Swami_1997-08-28_IDesireTree.mp3", "1997-091_Our_Life_Is_Our_Eagerness_SB-03_01_44_Mumbai_-_Radhanath_Swami_1997-08-28_IDesireTree.mp3")</f>
        <v>1997-091_Our_Life_Is_Our_Eagerness_SB-03_01_44_Mumbai_-_Radhanath_Swami_1997-08-28_IDesireTree.mp3</v>
      </c>
      <c r="D1276" s="24"/>
      <c r="E1276" s="24"/>
    </row>
    <row r="1277">
      <c r="A1277" s="25" t="s">
        <v>18352</v>
      </c>
      <c r="B1277" s="25" t="s">
        <v>18361</v>
      </c>
      <c r="C1277" s="26" t="str">
        <f>HYPERLINK("https://audio.iskcondesiretree.com/02_-_ISKCON_Swamis/ISKCON_Swamis_-_R_to_Y/His_Holiness_Radhanath_Swami/Lectures/00_-_Year_wise/Devotional_Nectar_-_1997/1997-092_Market_Place_Of_Happiness_BG-04_06_Mumbai_-_Radhanath_Swami_1997-08-30_IDesireTree.mp3", "1997-092_Market_Place_Of_Happiness_BG-04_06_Mumbai_-_Radhanath_Swami_1997-08-30_IDesireTree.mp3")</f>
        <v>1997-092_Market_Place_Of_Happiness_BG-04_06_Mumbai_-_Radhanath_Swami_1997-08-30_IDesireTree.mp3</v>
      </c>
      <c r="D1277" s="24"/>
      <c r="E1277" s="24"/>
    </row>
    <row r="1278">
      <c r="A1278" s="25" t="s">
        <v>18352</v>
      </c>
      <c r="B1278" s="25" t="s">
        <v>18361</v>
      </c>
      <c r="C1278" s="26" t="str">
        <f>HYPERLINK("https://audio.iskcondesiretree.com/02_-_ISKCON_Swamis/ISKCON_Swamis_-_R_to_Y/His_Holiness_Radhanath_Swami/Lectures/00_-_Year_wise/Devotional_Nectar_-_1997/1997-093_Be_Eager_For_Krishna_CC_Antya_Mumbai_-_Radhanath_Swami_1997-08-31_IDesireTree.mp3", "1997-093_Be_Eager_For_Krishna_CC_Antya_Mumbai_-_Radhanath_Swami_1997-08-31_IDesireTree.mp3")</f>
        <v>1997-093_Be_Eager_For_Krishna_CC_Antya_Mumbai_-_Radhanath_Swami_1997-08-31_IDesireTree.mp3</v>
      </c>
      <c r="D1278" s="24"/>
      <c r="E1278" s="24"/>
    </row>
    <row r="1279">
      <c r="A1279" s="25" t="s">
        <v>18352</v>
      </c>
      <c r="B1279" s="25" t="s">
        <v>18361</v>
      </c>
      <c r="C1279" s="26" t="str">
        <f>HYPERLINK("https://audio.iskcondesiretree.com/02_-_ISKCON_Swamis/ISKCON_Swamis_-_R_to_Y/His_Holiness_Radhanath_Swami/Lectures/00_-_Year_wise/Devotional_Nectar_-_1997/1997-094_Advent_Of_Lord_Krishna_BG-07_Mumbai_-_Radhanath_Swami_1997-09-06_IDesireTree.mp3", "1997-094_Advent_Of_Lord_Krishna_BG-07_Mumbai_-_Radhanath_Swami_1997-09-06_IDesireTree.mp3")</f>
        <v>1997-094_Advent_Of_Lord_Krishna_BG-07_Mumbai_-_Radhanath_Swami_1997-09-06_IDesireTree.mp3</v>
      </c>
      <c r="D1279" s="24"/>
      <c r="E1279" s="24"/>
    </row>
    <row r="1280">
      <c r="A1280" s="25" t="s">
        <v>18352</v>
      </c>
      <c r="B1280" s="25" t="s">
        <v>18361</v>
      </c>
      <c r="C1280" s="26" t="str">
        <f>HYPERLINK("https://audio.iskcondesiretree.com/02_-_ISKCON_Swamis/ISKCON_Swamis_-_R_to_Y/His_Holiness_Radhanath_Swami/Lectures/00_-_Year_wise/Devotional_Nectar_-_1997/1997-095_Conquer_Delusion_BG-07_Mumbai_-_Radhanath_Swami_1997-09-06_IDesireTree.mp3", "1997-095_Conquer_Delusion_BG-07_Mumbai_-_Radhanath_Swami_1997-09-06_IDesireTree.mp3")</f>
        <v>1997-095_Conquer_Delusion_BG-07_Mumbai_-_Radhanath_Swami_1997-09-06_IDesireTree.mp3</v>
      </c>
      <c r="D1280" s="24"/>
      <c r="E1280" s="24"/>
    </row>
    <row r="1281">
      <c r="A1281" s="25" t="s">
        <v>18352</v>
      </c>
      <c r="B1281" s="25" t="s">
        <v>18361</v>
      </c>
      <c r="C1281" s="26" t="str">
        <f>HYPERLINK("https://audio.iskcondesiretree.com/02_-_ISKCON_Swamis/ISKCON_Swamis_-_R_to_Y/His_Holiness_Radhanath_Swami/Lectures/00_-_Year_wise/Devotional_Nectar_-_1997/1997-096_Lord_Chaitanya_In_The_Mood_Of_Srimati_Radharani_SB-03_02_11-14_Mumbai_-_10-09-97_IDesireTre"&amp;"e.mp3", "1997-096_Lord_Chaitanya_In_The_Mood_Of_Srimati_Radharani_SB-03_02_11-14_Mumbai_-_10-09-97_IDesireTree.mp3")</f>
        <v>1997-096_Lord_Chaitanya_In_The_Mood_Of_Srimati_Radharani_SB-03_02_11-14_Mumbai_-_10-09-97_IDesireTree.mp3</v>
      </c>
      <c r="D1281" s="24"/>
      <c r="E1281" s="24"/>
    </row>
    <row r="1282">
      <c r="A1282" s="25" t="s">
        <v>18352</v>
      </c>
      <c r="B1282" s="25" t="s">
        <v>18361</v>
      </c>
      <c r="C1282" s="26" t="str">
        <f>HYPERLINK("https://audio.iskcondesiretree.com/02_-_ISKCON_Swamis/ISKCON_Swamis_-_R_to_Y/His_Holiness_Radhanath_Swami/Lectures/00_-_Year_wise/Devotional_Nectar_-_1997/1997-097_Make_The_Unfortunate_The_Most_Fortunate_SB-03_02_11_Mumbai_-_11-09-97_IDesireTree.mp3", "1997-097_Make_The_Unfortunate_The_Most_Fortunate_SB-03_02_11_Mumbai_-_11-09-97_IDesireTree.mp3")</f>
        <v>1997-097_Make_The_Unfortunate_The_Most_Fortunate_SB-03_02_11_Mumbai_-_11-09-97_IDesireTree.mp3</v>
      </c>
      <c r="D1282" s="24"/>
      <c r="E1282" s="24"/>
    </row>
    <row r="1283">
      <c r="A1283" s="25" t="s">
        <v>18352</v>
      </c>
      <c r="B1283" s="25" t="s">
        <v>18361</v>
      </c>
      <c r="C1283" s="26" t="str">
        <f>HYPERLINK("https://audio.iskcondesiretree.com/02_-_ISKCON_Swamis/ISKCON_Swamis_-_R_to_Y/His_Holiness_Radhanath_Swami/Lectures/00_-_Year_wise/Devotional_Nectar_-_1997/1997-098_Association_Of_Devotees_The_Most_Precious_Things_BG-11_03_Moscow_-_12-09-97_IDesireTree.mp3", "1997-098_Association_Of_Devotees_The_Most_Precious_Things_BG-11_03_Moscow_-_12-09-97_IDesireTree.mp3")</f>
        <v>1997-098_Association_Of_Devotees_The_Most_Precious_Things_BG-11_03_Moscow_-_12-09-97_IDesireTree.mp3</v>
      </c>
      <c r="D1283" s="24"/>
      <c r="E1283" s="24"/>
    </row>
    <row r="1284">
      <c r="A1284" s="25" t="s">
        <v>18352</v>
      </c>
      <c r="B1284" s="25" t="s">
        <v>18361</v>
      </c>
      <c r="C1284" s="26" t="str">
        <f>HYPERLINK("https://audio.iskcondesiretree.com/02_-_ISKCON_Swamis/ISKCON_Swamis_-_R_to_Y/His_Holiness_Radhanath_Swami/Lectures/00_-_Year_wise/Devotional_Nectar_-_1997/1997-099_Devotee_Welcomes_Difficulties_SB-04_12_05_Moscow_-_13-09-97_IDesireTree.mp3", "1997-099_Devotee_Welcomes_Difficulties_SB-04_12_05_Moscow_-_13-09-97_IDesireTree.mp3")</f>
        <v>1997-099_Devotee_Welcomes_Difficulties_SB-04_12_05_Moscow_-_13-09-97_IDesireTree.mp3</v>
      </c>
      <c r="D1284" s="24"/>
      <c r="E1284" s="24"/>
    </row>
    <row r="1285">
      <c r="A1285" s="25" t="s">
        <v>18352</v>
      </c>
      <c r="B1285" s="25" t="s">
        <v>18361</v>
      </c>
      <c r="C1285" s="26" t="str">
        <f>HYPERLINK("https://audio.iskcondesiretree.com/02_-_ISKCON_Swamis/ISKCON_Swamis_-_R_to_Y/His_Holiness_Radhanath_Swami/Lectures/00_-_Year_wise/Devotional_Nectar_-_1997/1997-100_Eagerness_To_Please_Krsna_Lecture_MOscow_-_Radhanath_Swami_1997-09-13_IDesireTree.mp3", "1997-100_Eagerness_To_Please_Krsna_Lecture_MOscow_-_Radhanath_Swami_1997-09-13_IDesireTree.mp3")</f>
        <v>1997-100_Eagerness_To_Please_Krsna_Lecture_MOscow_-_Radhanath_Swami_1997-09-13_IDesireTree.mp3</v>
      </c>
      <c r="D1285" s="24"/>
      <c r="E1285" s="24"/>
    </row>
    <row r="1286">
      <c r="A1286" s="25" t="s">
        <v>18352</v>
      </c>
      <c r="B1286" s="25" t="s">
        <v>18361</v>
      </c>
      <c r="C1286" s="26" t="str">
        <f>HYPERLINK("https://audio.iskcondesiretree.com/02_-_ISKCON_Swamis/ISKCON_Swamis_-_R_to_Y/His_Holiness_Radhanath_Swami/Lectures/00_-_Year_wise/Devotional_Nectar_-_1997/1997-101_Lecture_-_Radhanath_Swami_1997-09-14_IDesireTree.mp3", "1997-101_Lecture_-_Radhanath_Swami_1997-09-14_IDesireTree.mp3")</f>
        <v>1997-101_Lecture_-_Radhanath_Swami_1997-09-14_IDesireTree.mp3</v>
      </c>
      <c r="D1286" s="24"/>
      <c r="E1286" s="24"/>
    </row>
    <row r="1287">
      <c r="A1287" s="25" t="s">
        <v>18352</v>
      </c>
      <c r="B1287" s="25" t="s">
        <v>18361</v>
      </c>
      <c r="C1287" s="26" t="str">
        <f>HYPERLINK("https://audio.iskcondesiretree.com/02_-_ISKCON_Swamis/ISKCON_Swamis_-_R_to_Y/His_Holiness_Radhanath_Swami/Lectures/00_-_Year_wise/Devotional_Nectar_-_1997/1997-102_Opportunity_To_Serve_The_Greatest_Benidiction_SB-04_12_07_Moscow_-_15-09-97_IDesireTree.mp3", "1997-102_Opportunity_To_Serve_The_Greatest_Benidiction_SB-04_12_07_Moscow_-_15-09-97_IDesireTree.mp3")</f>
        <v>1997-102_Opportunity_To_Serve_The_Greatest_Benidiction_SB-04_12_07_Moscow_-_15-09-97_IDesireTree.mp3</v>
      </c>
      <c r="D1287" s="24"/>
      <c r="E1287" s="24"/>
    </row>
    <row r="1288">
      <c r="A1288" s="25" t="s">
        <v>18352</v>
      </c>
      <c r="B1288" s="25" t="s">
        <v>18361</v>
      </c>
      <c r="C1288" s="26" t="str">
        <f>HYPERLINK("https://audio.iskcondesiretree.com/02_-_ISKCON_Swamis/ISKCON_Swamis_-_R_to_Y/His_Holiness_Radhanath_Swami/Lectures/00_-_Year_wise/Devotional_Nectar_-_1997/1997-103_Desires_Limited_-_Resourses_Unlimited_SB-04_12_08_Moscow_-_16-09-97_IDesireTree.mp3", "1997-103_Desires_Limited_-_Resourses_Unlimited_SB-04_12_08_Moscow_-_16-09-97_IDesireTree.mp3")</f>
        <v>1997-103_Desires_Limited_-_Resourses_Unlimited_SB-04_12_08_Moscow_-_16-09-97_IDesireTree.mp3</v>
      </c>
      <c r="D1288" s="24"/>
      <c r="E1288" s="24"/>
    </row>
    <row r="1289">
      <c r="A1289" s="25" t="s">
        <v>18352</v>
      </c>
      <c r="B1289" s="25" t="s">
        <v>18361</v>
      </c>
      <c r="C1289" s="26" t="str">
        <f>HYPERLINK("https://audio.iskcondesiretree.com/02_-_ISKCON_Swamis/ISKCON_Swamis_-_R_to_Y/His_Holiness_Radhanath_Swami/Lectures/00_-_Year_wise/Devotional_Nectar_-_1997/1997-104_How_I_Meet_Srila_Prabhupada_Lecture_St_-_Radhanath_Swami_IDesireTree.mp3", "1997-104_How_I_Meet_Srila_Prabhupada_Lecture_St_-_Radhanath_Swami_IDesireTree.mp3")</f>
        <v>1997-104_How_I_Meet_Srila_Prabhupada_Lecture_St_-_Radhanath_Swami_IDesireTree.mp3</v>
      </c>
      <c r="D1289" s="24"/>
      <c r="E1289" s="24"/>
    </row>
    <row r="1290">
      <c r="A1290" s="25" t="s">
        <v>18352</v>
      </c>
      <c r="B1290" s="25" t="s">
        <v>18361</v>
      </c>
      <c r="C1290" s="26" t="str">
        <f>HYPERLINK("https://audio.iskcondesiretree.com/02_-_ISKCON_Swamis/ISKCON_Swamis_-_R_to_Y/His_Holiness_Radhanath_Swami/Lectures/00_-_Year_wise/Devotional_Nectar_-_1997/1997-105_SB-03_28_42_St_-_Radhanath_Swami_IDesireTree.mp3", "1997-105_SB-03_28_42_St_-_Radhanath_Swami_IDesireTree.mp3")</f>
        <v>1997-105_SB-03_28_42_St_-_Radhanath_Swami_IDesireTree.mp3</v>
      </c>
      <c r="D1290" s="24"/>
      <c r="E1290" s="24"/>
    </row>
    <row r="1291">
      <c r="A1291" s="25" t="s">
        <v>18352</v>
      </c>
      <c r="B1291" s="25" t="s">
        <v>18361</v>
      </c>
      <c r="C1291" s="26" t="str">
        <f>HYPERLINK("https://audio.iskcondesiretree.com/02_-_ISKCON_Swamis/ISKCON_Swamis_-_R_to_Y/His_Holiness_Radhanath_Swami/Lectures/00_-_Year_wise/Devotional_Nectar_-_1997/1997-106_Krsna_The_Supreme_Propritor_BG-08_20_Moscow_-_Radhanath_Swami_1997-09-19_IDesireTree.mp3", "1997-106_Krsna_The_Supreme_Propritor_BG-08_20_Moscow_-_Radhanath_Swami_1997-09-19_IDesireTree.mp3")</f>
        <v>1997-106_Krsna_The_Supreme_Propritor_BG-08_20_Moscow_-_Radhanath_Swami_1997-09-19_IDesireTree.mp3</v>
      </c>
      <c r="D1291" s="24"/>
      <c r="E1291" s="24"/>
    </row>
    <row r="1292">
      <c r="A1292" s="25" t="s">
        <v>18352</v>
      </c>
      <c r="B1292" s="25" t="s">
        <v>18361</v>
      </c>
      <c r="C1292" s="26" t="str">
        <f>HYPERLINK("https://audio.iskcondesiretree.com/02_-_ISKCON_Swamis/ISKCON_Swamis_-_R_to_Y/His_Holiness_Radhanath_Swami/Lectures/00_-_Year_wise/Devotional_Nectar_-_1997/1997-107_The_Wealth_Of_Krishna_Consciousness_SB-10_14_29_Mumbai_-_21-09-97_IDesireTree.mp3", "1997-107_The_Wealth_Of_Krishna_Consciousness_SB-10_14_29_Mumbai_-_21-09-97_IDesireTree.mp3")</f>
        <v>1997-107_The_Wealth_Of_Krishna_Consciousness_SB-10_14_29_Mumbai_-_21-09-97_IDesireTree.mp3</v>
      </c>
      <c r="D1292" s="24"/>
      <c r="E1292" s="24"/>
    </row>
    <row r="1293">
      <c r="A1293" s="25" t="s">
        <v>18352</v>
      </c>
      <c r="B1293" s="25" t="s">
        <v>18361</v>
      </c>
      <c r="C1293" s="26" t="str">
        <f>HYPERLINK("https://audio.iskcondesiretree.com/02_-_ISKCON_Swamis/ISKCON_Swamis_-_R_to_Y/His_Holiness_Radhanath_Swami/Lectures/00_-_Year_wise/Devotional_Nectar_-_1997/1997-108_Krishna_The_Most_Merciful_Personality_SB-03_02_23_Mumbai_-_25-09-97_IDesireTree.mp3", "1997-108_Krishna_The_Most_Merciful_Personality_SB-03_02_23_Mumbai_-_25-09-97_IDesireTree.mp3")</f>
        <v>1997-108_Krishna_The_Most_Merciful_Personality_SB-03_02_23_Mumbai_-_25-09-97_IDesireTree.mp3</v>
      </c>
      <c r="D1293" s="24"/>
      <c r="E1293" s="24"/>
    </row>
    <row r="1294">
      <c r="A1294" s="25" t="s">
        <v>18352</v>
      </c>
      <c r="B1294" s="25" t="s">
        <v>18361</v>
      </c>
      <c r="C1294" s="26" t="str">
        <f>HYPERLINK("https://audio.iskcondesiretree.com/02_-_ISKCON_Swamis/ISKCON_Swamis_-_R_to_Y/His_Holiness_Radhanath_Swami/Lectures/00_-_Year_wise/Devotional_Nectar_-_1997/1997-109_Simply_Please_Krishna_SB-03_02_25_Mumbai_-_Radhanath_Swami_1997-09-27_IDesireTree.mp3", "1997-109_Simply_Please_Krishna_SB-03_02_25_Mumbai_-_Radhanath_Swami_1997-09-27_IDesireTree.mp3")</f>
        <v>1997-109_Simply_Please_Krishna_SB-03_02_25_Mumbai_-_Radhanath_Swami_1997-09-27_IDesireTree.mp3</v>
      </c>
      <c r="D1294" s="24"/>
      <c r="E1294" s="24"/>
    </row>
    <row r="1295">
      <c r="A1295" s="25" t="s">
        <v>18352</v>
      </c>
      <c r="B1295" s="25" t="s">
        <v>18361</v>
      </c>
      <c r="C1295" s="26" t="str">
        <f>HYPERLINK("https://audio.iskcondesiretree.com/02_-_ISKCON_Swamis/ISKCON_Swamis_-_R_to_Y/His_Holiness_Radhanath_Swami/Lectures/00_-_Year_wise/Devotional_Nectar_-_1997/1997-110_Message_To_The_Congregation_Devotees_Lecture_Mumbai_-_27-09-97_IDesireTree.mp3", "1997-110_Message_To_The_Congregation_Devotees_Lecture_Mumbai_-_27-09-97_IDesireTree.mp3")</f>
        <v>1997-110_Message_To_The_Congregation_Devotees_Lecture_Mumbai_-_27-09-97_IDesireTree.mp3</v>
      </c>
      <c r="D1295" s="24"/>
      <c r="E1295" s="24"/>
    </row>
    <row r="1296">
      <c r="A1296" s="25" t="s">
        <v>18352</v>
      </c>
      <c r="B1296" s="25" t="s">
        <v>18361</v>
      </c>
      <c r="C1296" s="26" t="str">
        <f>HYPERLINK("https://audio.iskcondesiretree.com/02_-_ISKCON_Swamis/ISKCON_Swamis_-_R_to_Y/His_Holiness_Radhanath_Swami/Lectures/00_-_Year_wise/Devotional_Nectar_-_1997/1997-111_Ecstasy_Of_Nand_Maharaj_And_Mother_Yasoda_SB-03_02_26_Mumbai_-_28-09-97_IDesireTree.mp3", "1997-111_Ecstasy_Of_Nand_Maharaj_And_Mother_Yasoda_SB-03_02_26_Mumbai_-_28-09-97_IDesireTree.mp3")</f>
        <v>1997-111_Ecstasy_Of_Nand_Maharaj_And_Mother_Yasoda_SB-03_02_26_Mumbai_-_28-09-97_IDesireTree.mp3</v>
      </c>
      <c r="D1296" s="24"/>
      <c r="E1296" s="24"/>
    </row>
    <row r="1297">
      <c r="A1297" s="25" t="s">
        <v>18352</v>
      </c>
      <c r="B1297" s="25" t="s">
        <v>18361</v>
      </c>
      <c r="C1297" s="26" t="str">
        <f>HYPERLINK("https://audio.iskcondesiretree.com/02_-_ISKCON_Swamis/ISKCON_Swamis_-_R_to_Y/His_Holiness_Radhanath_Swami/Lectures/00_-_Year_wise/Devotional_Nectar_-_1997/1997-112_Simple_Living_High_Thinking_SB-03_02_29_Mumbai_-_Radhanath_Swami_1997-10-02_IDesireTree.mp3", "1997-112_Simple_Living_High_Thinking_SB-03_02_29_Mumbai_-_Radhanath_Swami_1997-10-02_IDesireTree.mp3")</f>
        <v>1997-112_Simple_Living_High_Thinking_SB-03_02_29_Mumbai_-_Radhanath_Swami_1997-10-02_IDesireTree.mp3</v>
      </c>
      <c r="D1297" s="24"/>
      <c r="E1297" s="24"/>
    </row>
    <row r="1298">
      <c r="A1298" s="25" t="s">
        <v>18352</v>
      </c>
      <c r="B1298" s="25" t="s">
        <v>18361</v>
      </c>
      <c r="C1298" s="26" t="str">
        <f>HYPERLINK("https://audio.iskcondesiretree.com/02_-_ISKCON_Swamis/ISKCON_Swamis_-_R_to_Y/His_Holiness_Radhanath_Swami/Lectures/00_-_Year_wise/Devotional_Nectar_-_1997/1997-113_Preparing_For_The_21_Century_Lecture_Mumbai_-_Radhanath_Swami_1997-10-02_IDesireTree.mp3", "1997-113_Preparing_For_The_21_Century_Lecture_Mumbai_-_Radhanath_Swami_1997-10-02_IDesireTree.mp3")</f>
        <v>1997-113_Preparing_For_The_21_Century_Lecture_Mumbai_-_Radhanath_Swami_1997-10-02_IDesireTree.mp3</v>
      </c>
      <c r="D1298" s="24"/>
      <c r="E1298" s="24"/>
    </row>
    <row r="1299">
      <c r="A1299" s="25" t="s">
        <v>18352</v>
      </c>
      <c r="B1299" s="25" t="s">
        <v>18361</v>
      </c>
      <c r="C1299" s="26" t="str">
        <f>HYPERLINK("https://audio.iskcondesiretree.com/02_-_ISKCON_Swamis/ISKCON_Swamis_-_R_to_Y/His_Holiness_Radhanath_Swami/Lectures/00_-_Year_wise/Devotional_Nectar_-_1997/1997-114_Honour_Demigods_But_Worship_Only_Krishna_SB-03_02_31-32_-_04-10-97_IDesireTree.mp3", "1997-114_Honour_Demigods_But_Worship_Only_Krishna_SB-03_02_31-32_-_04-10-97_IDesireTree.mp3")</f>
        <v>1997-114_Honour_Demigods_But_Worship_Only_Krishna_SB-03_02_31-32_-_04-10-97_IDesireTree.mp3</v>
      </c>
      <c r="D1299" s="24"/>
      <c r="E1299" s="24"/>
    </row>
    <row r="1300">
      <c r="A1300" s="25" t="s">
        <v>18352</v>
      </c>
      <c r="B1300" s="25" t="s">
        <v>18361</v>
      </c>
      <c r="C1300" s="26" t="str">
        <f>HYPERLINK("https://audio.iskcondesiretree.com/02_-_ISKCON_Swamis/ISKCON_Swamis_-_R_to_Y/His_Holiness_Radhanath_Swami/Lectures/00_-_Year_wise/Devotional_Nectar_-_1997/1997-115_Come_Out_Of_Dense_Illusion_BG-08_20_Mumbai_-_Radhanath_Swami_1997-10-04_IDesireTree.mp3", "1997-115_Come_Out_Of_Dense_Illusion_BG-08_20_Mumbai_-_Radhanath_Swami_1997-10-04_IDesireTree.mp3")</f>
        <v>1997-115_Come_Out_Of_Dense_Illusion_BG-08_20_Mumbai_-_Radhanath_Swami_1997-10-04_IDesireTree.mp3</v>
      </c>
      <c r="D1300" s="24"/>
      <c r="E1300" s="24"/>
    </row>
    <row r="1301">
      <c r="A1301" s="25" t="s">
        <v>18352</v>
      </c>
      <c r="B1301" s="25" t="s">
        <v>18361</v>
      </c>
      <c r="C1301" s="26" t="str">
        <f>HYPERLINK("https://audio.iskcondesiretree.com/02_-_ISKCON_Swamis/ISKCON_Swamis_-_R_to_Y/His_Holiness_Radhanath_Swami/Lectures/00_-_Year_wise/Devotional_Nectar_-_1997/1997-116_Lord_Krishna_In_The_Wrestling_Arena_SB-03_02_32-34_%26_03_31_Mumbai_-_05-10-97_IDesireTree."&amp;"mp3", "1997-116_Lord_Krishna_In_The_Wrestling_Arena_SB-03_02_32-34_%26_03_31_Mumbai_-_05-10-97_IDesireTree.mp3")</f>
        <v>1997-116_Lord_Krishna_In_The_Wrestling_Arena_SB-03_02_32-34_%26_03_31_Mumbai_-_05-10-97_IDesireTree.mp3</v>
      </c>
      <c r="D1301" s="24"/>
      <c r="E1301" s="24"/>
    </row>
    <row r="1302">
      <c r="A1302" s="25" t="s">
        <v>18352</v>
      </c>
      <c r="B1302" s="25" t="s">
        <v>18361</v>
      </c>
      <c r="C1302" s="26" t="str">
        <f>HYPERLINK("https://audio.iskcondesiretree.com/02_-_ISKCON_Swamis/ISKCON_Swamis_-_R_to_Y/His_Holiness_Radhanath_Swami/Lectures/00_-_Year_wise/Devotional_Nectar_-_1997/1997-117_Even_An_Elephant_Can_Become_A_Vaishnava_BG-03_02_Mumbai_-_05-10-97_IDesireTree.mp3", "1997-117_Even_An_Elephant_Can_Become_A_Vaishnava_BG-03_02_Mumbai_-_05-10-97_IDesireTree.mp3")</f>
        <v>1997-117_Even_An_Elephant_Can_Become_A_Vaishnava_BG-03_02_Mumbai_-_05-10-97_IDesireTree.mp3</v>
      </c>
      <c r="D1302" s="24"/>
      <c r="E1302" s="24"/>
    </row>
    <row r="1303">
      <c r="A1303" s="25" t="s">
        <v>18352</v>
      </c>
      <c r="B1303" s="25" t="s">
        <v>18361</v>
      </c>
      <c r="C1303" s="26" t="str">
        <f>HYPERLINK("https://audio.iskcondesiretree.com/02_-_ISKCON_Swamis/ISKCON_Swamis_-_R_to_Y/His_Holiness_Radhanath_Swami/Lectures/00_-_Year_wise/Devotional_Nectar_-_1997/1997-118_Advance_Like_Dhruva_SB-04_12_04_Pune_-_Radhanath_Swami_1997-10-06_IDesireTree.mp3", "1997-118_Advance_Like_Dhruva_SB-04_12_04_Pune_-_Radhanath_Swami_1997-10-06_IDesireTree.mp3")</f>
        <v>1997-118_Advance_Like_Dhruva_SB-04_12_04_Pune_-_Radhanath_Swami_1997-10-06_IDesireTree.mp3</v>
      </c>
      <c r="D1303" s="24"/>
      <c r="E1303" s="24"/>
    </row>
    <row r="1304">
      <c r="A1304" s="25" t="s">
        <v>18352</v>
      </c>
      <c r="B1304" s="25" t="s">
        <v>18361</v>
      </c>
      <c r="C1304" s="26" t="str">
        <f>HYPERLINK("https://audio.iskcondesiretree.com/02_-_ISKCON_Swamis/ISKCON_Swamis_-_R_to_Y/His_Holiness_Radhanath_Swami/Lectures/00_-_Year_wise/Devotional_Nectar_-_1997/1997-119_Identify_Yourself_Properly_SB-04_29_60_Pune_-_Radhanath_Swami_1997-10-07_IDesireTree.mp3", "1997-119_Identify_Yourself_Properly_SB-04_29_60_Pune_-_Radhanath_Swami_1997-10-07_IDesireTree.mp3")</f>
        <v>1997-119_Identify_Yourself_Properly_SB-04_29_60_Pune_-_Radhanath_Swami_1997-10-07_IDesireTree.mp3</v>
      </c>
      <c r="D1304" s="24"/>
      <c r="E1304" s="24"/>
    </row>
    <row r="1305">
      <c r="A1305" s="25" t="s">
        <v>18352</v>
      </c>
      <c r="B1305" s="25" t="s">
        <v>18361</v>
      </c>
      <c r="C1305" s="26" t="str">
        <f>HYPERLINK("https://audio.iskcondesiretree.com/02_-_ISKCON_Swamis/ISKCON_Swamis_-_R_to_Y/His_Holiness_Radhanath_Swami/Lectures/00_-_Year_wise/Devotional_Nectar_-_1997/1997-120_The_Power_Of_Holy_Name_Lecture_Pune_-_Radhanath_Swami_1997-10-08_IDesireTree.mp3", "1997-120_The_Power_Of_Holy_Name_Lecture_Pune_-_Radhanath_Swami_1997-10-08_IDesireTree.mp3")</f>
        <v>1997-120_The_Power_Of_Holy_Name_Lecture_Pune_-_Radhanath_Swami_1997-10-08_IDesireTree.mp3</v>
      </c>
      <c r="D1305" s="24"/>
      <c r="E1305" s="24"/>
    </row>
    <row r="1306">
      <c r="A1306" s="25" t="s">
        <v>18352</v>
      </c>
      <c r="B1306" s="25" t="s">
        <v>18361</v>
      </c>
      <c r="C1306" s="26" t="str">
        <f>HYPERLINK("https://audio.iskcondesiretree.com/02_-_ISKCON_Swamis/ISKCON_Swamis_-_R_to_Y/His_Holiness_Radhanath_Swami/Lectures/00_-_Year_wise/Devotional_Nectar_-_1997/1997-121_Talk_With_Pune_IYF_Boys_Lecture_Pune_-_Radhanath_Swami_1997-10-09_IDesireTree.mp3", "1997-121_Talk_With_Pune_IYF_Boys_Lecture_Pune_-_Radhanath_Swami_1997-10-09_IDesireTree.mp3")</f>
        <v>1997-121_Talk_With_Pune_IYF_Boys_Lecture_Pune_-_Radhanath_Swami_1997-10-09_IDesireTree.mp3</v>
      </c>
      <c r="D1306" s="24"/>
      <c r="E1306" s="24"/>
    </row>
    <row r="1307">
      <c r="A1307" s="25" t="s">
        <v>18352</v>
      </c>
      <c r="B1307" s="25" t="s">
        <v>18361</v>
      </c>
      <c r="C1307" s="26" t="str">
        <f>HYPERLINK("https://audio.iskcondesiretree.com/02_-_ISKCON_Swamis/ISKCON_Swamis_-_R_to_Y/His_Holiness_Radhanath_Swami/Lectures/00_-_Year_wise/Devotional_Nectar_-_1997/1997-122_Why_Are_People_Lonely_BG-12_15_Mumbai_-_Radhanath_Swami_1997-10-09_IDesireTree.mp3", "1997-122_Why_Are_People_Lonely_BG-12_15_Mumbai_-_Radhanath_Swami_1997-10-09_IDesireTree.mp3")</f>
        <v>1997-122_Why_Are_People_Lonely_BG-12_15_Mumbai_-_Radhanath_Swami_1997-10-09_IDesireTree.mp3</v>
      </c>
      <c r="D1307" s="24"/>
      <c r="E1307" s="24"/>
    </row>
    <row r="1308">
      <c r="A1308" s="25" t="s">
        <v>18352</v>
      </c>
      <c r="B1308" s="25" t="s">
        <v>18361</v>
      </c>
      <c r="C1308" s="26" t="str">
        <f>HYPERLINK("https://audio.iskcondesiretree.com/02_-_ISKCON_Swamis/ISKCON_Swamis_-_R_to_Y/His_Holiness_Radhanath_Swami/Lectures/00_-_Year_wise/Devotional_Nectar_-_1997/1997-123_Using_The_Senses_In_Krishna%27s_Service_SB-03_06_18_Mumbai_-_11-10-97_IDesireTree.mp3", "1997-123_Using_The_Senses_In_Krishna%27s_Service_SB-03_06_18_Mumbai_-_11-10-97_IDesireTree.mp3")</f>
        <v>1997-123_Using_The_Senses_In_Krishna%27s_Service_SB-03_06_18_Mumbai_-_11-10-97_IDesireTree.mp3</v>
      </c>
      <c r="D1308" s="24"/>
      <c r="E1308" s="24"/>
    </row>
    <row r="1309">
      <c r="A1309" s="25" t="s">
        <v>18352</v>
      </c>
      <c r="B1309" s="25" t="s">
        <v>18361</v>
      </c>
      <c r="C1309" s="26" t="str">
        <f>HYPERLINK("https://audio.iskcondesiretree.com/02_-_ISKCON_Swamis/ISKCON_Swamis_-_R_to_Y/His_Holiness_Radhanath_Swami/Lectures/00_-_Year_wise/Devotional_Nectar_-_1997/1997-124_Aim_And_Purpose_Of_Bhaktivedanta_Hospital_Lecture_Mumbai_-_11-10-97_IDesireTree.mp3", "1997-124_Aim_And_Purpose_Of_Bhaktivedanta_Hospital_Lecture_Mumbai_-_11-10-97_IDesireTree.mp3")</f>
        <v>1997-124_Aim_And_Purpose_Of_Bhaktivedanta_Hospital_Lecture_Mumbai_-_11-10-97_IDesireTree.mp3</v>
      </c>
      <c r="D1309" s="24"/>
      <c r="E1309" s="24"/>
    </row>
    <row r="1310">
      <c r="A1310" s="25" t="s">
        <v>18352</v>
      </c>
      <c r="B1310" s="25" t="s">
        <v>18361</v>
      </c>
      <c r="C1310" s="26" t="str">
        <f>HYPERLINK("https://audio.iskcondesiretree.com/02_-_ISKCON_Swamis/ISKCON_Swamis_-_R_to_Y/His_Holiness_Radhanath_Swami/Lectures/00_-_Year_wise/Devotional_Nectar_-_1997/1997-125_Krishna_As_Dwarkadhish_SB-03_03_08-09_Mumbai_-_Radhanath_Swami_1997-10-12_IDesireTree.mp3", "1997-125_Krishna_As_Dwarkadhish_SB-03_03_08-09_Mumbai_-_Radhanath_Swami_1997-10-12_IDesireTree.mp3")</f>
        <v>1997-125_Krishna_As_Dwarkadhish_SB-03_03_08-09_Mumbai_-_Radhanath_Swami_1997-10-12_IDesireTree.mp3</v>
      </c>
      <c r="D1310" s="24"/>
      <c r="E1310" s="24"/>
    </row>
    <row r="1311">
      <c r="A1311" s="25" t="s">
        <v>18352</v>
      </c>
      <c r="B1311" s="25" t="s">
        <v>18361</v>
      </c>
      <c r="C1311" s="26" t="str">
        <f>HYPERLINK("https://audio.iskcondesiretree.com/02_-_ISKCON_Swamis/ISKCON_Swamis_-_R_to_Y/His_Holiness_Radhanath_Swami/Lectures/00_-_Year_wise/Devotional_Nectar_-_1997/1997-126_Find_Your_Right_Place_Lecture_Mumbai_-_Radhanath_Swami_1997-10-12_IDesireTree.mp3", "1997-126_Find_Your_Right_Place_Lecture_Mumbai_-_Radhanath_Swami_1997-10-12_IDesireTree.mp3")</f>
        <v>1997-126_Find_Your_Right_Place_Lecture_Mumbai_-_Radhanath_Swami_1997-10-12_IDesireTree.mp3</v>
      </c>
      <c r="D1311" s="24"/>
      <c r="E1311" s="24"/>
    </row>
    <row r="1312">
      <c r="A1312" s="25" t="s">
        <v>18352</v>
      </c>
      <c r="B1312" s="25" t="s">
        <v>18361</v>
      </c>
      <c r="C1312" s="26" t="str">
        <f>HYPERLINK("https://audio.iskcondesiretree.com/02_-_ISKCON_Swamis/ISKCON_Swamis_-_R_to_Y/His_Holiness_Radhanath_Swami/Lectures/00_-_Year_wise/Devotional_Nectar_-_1997/1997-127_Burden_Of_Love_SB-03_03_14_Mumbai_-_Radhanath_Swami_1997-10-16_IDesireTree.mp3", "1997-127_Burden_Of_Love_SB-03_03_14_Mumbai_-_Radhanath_Swami_1997-10-16_IDesireTree.mp3")</f>
        <v>1997-127_Burden_Of_Love_SB-03_03_14_Mumbai_-_Radhanath_Swami_1997-10-16_IDesireTree.mp3</v>
      </c>
      <c r="D1312" s="24"/>
      <c r="E1312" s="24"/>
    </row>
    <row r="1313">
      <c r="A1313" s="25" t="s">
        <v>18352</v>
      </c>
      <c r="B1313" s="25" t="s">
        <v>18361</v>
      </c>
      <c r="C1313" s="26" t="str">
        <f>HYPERLINK("https://audio.iskcondesiretree.com/02_-_ISKCON_Swamis/ISKCON_Swamis_-_R_to_Y/His_Holiness_Radhanath_Swami/Lectures/00_-_Year_wise/Devotional_Nectar_-_1997/1997-128_Glories_Of_Navadwipdhama_Lecture_Mumbai_-_Radhanath_Swami_1997-10-18_IDesireTree.mp3", "1997-128_Glories_Of_Navadwipdhama_Lecture_Mumbai_-_Radhanath_Swami_1997-10-18_IDesireTree.mp3")</f>
        <v>1997-128_Glories_Of_Navadwipdhama_Lecture_Mumbai_-_Radhanath_Swami_1997-10-18_IDesireTree.mp3</v>
      </c>
      <c r="D1313" s="24"/>
      <c r="E1313" s="24"/>
    </row>
    <row r="1314">
      <c r="A1314" s="25" t="s">
        <v>18352</v>
      </c>
      <c r="B1314" s="25" t="s">
        <v>18361</v>
      </c>
      <c r="C1314" s="26" t="str">
        <f>HYPERLINK("https://audio.iskcondesiretree.com/02_-_ISKCON_Swamis/ISKCON_Swamis_-_R_to_Y/His_Holiness_Radhanath_Swami/Lectures/00_-_Year_wise/Devotional_Nectar_-_1997/1997-129_Why_Krishna_Protected_Parikshit_And_Not_Abhimanyu_SB-03_03_17_Mumbai_-_19-10-97_IDesireTree"&amp;".mp3", "1997-129_Why_Krishna_Protected_Parikshit_And_Not_Abhimanyu_SB-03_03_17_Mumbai_-_19-10-97_IDesireTree.mp3")</f>
        <v>1997-129_Why_Krishna_Protected_Parikshit_And_Not_Abhimanyu_SB-03_03_17_Mumbai_-_19-10-97_IDesireTree.mp3</v>
      </c>
      <c r="D1314" s="24"/>
      <c r="E1314" s="24"/>
    </row>
    <row r="1315">
      <c r="A1315" s="25" t="s">
        <v>18352</v>
      </c>
      <c r="B1315" s="25" t="s">
        <v>18361</v>
      </c>
      <c r="C1315" s="26" t="str">
        <f>HYPERLINK("https://audio.iskcondesiretree.com/02_-_ISKCON_Swamis/ISKCON_Swamis_-_R_to_Y/His_Holiness_Radhanath_Swami/Lectures/00_-_Year_wise/Devotional_Nectar_-_1997/1997-130_Killing_Of_Jarasandha_SB-03_03_19_-_Radhanath_Swami_1997-10-23_IDesireTree.mp3", "1997-130_Killing_Of_Jarasandha_SB-03_03_19_-_Radhanath_Swami_1997-10-23_IDesireTree.mp3")</f>
        <v>1997-130_Killing_Of_Jarasandha_SB-03_03_19_-_Radhanath_Swami_1997-10-23_IDesireTree.mp3</v>
      </c>
      <c r="D1315" s="24"/>
      <c r="E1315" s="24"/>
    </row>
    <row r="1316">
      <c r="A1316" s="25" t="s">
        <v>18352</v>
      </c>
      <c r="B1316" s="25" t="s">
        <v>18361</v>
      </c>
      <c r="C1316" s="26" t="str">
        <f>HYPERLINK("https://audio.iskcondesiretree.com/02_-_ISKCON_Swamis/ISKCON_Swamis_-_R_to_Y/His_Holiness_Radhanath_Swami/Lectures/00_-_Year_wise/Devotional_Nectar_-_1997/1997-131_Marraige_Ceremony_Address_Mumbai_-_Radhanath_Swami_1997-10-25_IDesireTree.mp3", "1997-131_Marraige_Ceremony_Address_Mumbai_-_Radhanath_Swami_1997-10-25_IDesireTree.mp3")</f>
        <v>1997-131_Marraige_Ceremony_Address_Mumbai_-_Radhanath_Swami_1997-10-25_IDesireTree.mp3</v>
      </c>
      <c r="D1316" s="24"/>
      <c r="E1316" s="24"/>
    </row>
    <row r="1317">
      <c r="A1317" s="25" t="s">
        <v>18352</v>
      </c>
      <c r="B1317" s="25" t="s">
        <v>18361</v>
      </c>
      <c r="C1317" s="26" t="str">
        <f>HYPERLINK("https://audio.iskcondesiretree.com/02_-_ISKCON_Swamis/ISKCON_Swamis_-_R_to_Y/His_Holiness_Radhanath_Swami/Lectures/00_-_Year_wise/Devotional_Nectar_-_1997/1997-132_Right_Approach_To_Bhagavatam_SB-05_04_08_Mayapur_-_27-10-97_IDesireTree.mp3", "1997-132_Right_Approach_To_Bhagavatam_SB-05_04_08_Mayapur_-_27-10-97_IDesireTree.mp3")</f>
        <v>1997-132_Right_Approach_To_Bhagavatam_SB-05_04_08_Mayapur_-_27-10-97_IDesireTree.mp3</v>
      </c>
      <c r="D1317" s="24"/>
      <c r="E1317" s="24"/>
    </row>
    <row r="1318">
      <c r="A1318" s="25" t="s">
        <v>18352</v>
      </c>
      <c r="B1318" s="25" t="s">
        <v>18361</v>
      </c>
      <c r="C1318" s="26" t="str">
        <f>HYPERLINK("https://audio.iskcondesiretree.com/02_-_ISKCON_Swamis/ISKCON_Swamis_-_R_to_Y/His_Holiness_Radhanath_Swami/Lectures/00_-_Year_wise/Devotional_Nectar_-_1997/1997-133_SB-05_11_06_-_Radhanath_Swami_IDesireTree.mp3", "1997-133_SB-05_11_06_-_Radhanath_Swami_IDesireTree.mp3")</f>
        <v>1997-133_SB-05_11_06_-_Radhanath_Swami_IDesireTree.mp3</v>
      </c>
      <c r="D1318" s="24"/>
      <c r="E1318" s="24"/>
    </row>
    <row r="1319">
      <c r="A1319" s="25" t="s">
        <v>18352</v>
      </c>
      <c r="B1319" s="25" t="s">
        <v>18361</v>
      </c>
      <c r="C1319" s="26" t="str">
        <f>HYPERLINK("https://audio.iskcondesiretree.com/02_-_ISKCON_Swamis/ISKCON_Swamis_-_R_to_Y/His_Holiness_Radhanath_Swami/Lectures/00_-_Year_wise/Devotional_Nectar_-_1997/1997-134_Imbibing_The_Mood_Of_Vrindavan_SB-07_14_12_Vrindavan_-_08-11-97_IDesireTree.mp3", "1997-134_Imbibing_The_Mood_Of_Vrindavan_SB-07_14_12_Vrindavan_-_08-11-97_IDesireTree.mp3")</f>
        <v>1997-134_Imbibing_The_Mood_Of_Vrindavan_SB-07_14_12_Vrindavan_-_08-11-97_IDesireTree.mp3</v>
      </c>
      <c r="D1319" s="24"/>
      <c r="E1319" s="24"/>
    </row>
    <row r="1320">
      <c r="A1320" s="25" t="s">
        <v>18352</v>
      </c>
      <c r="B1320" s="25" t="s">
        <v>18361</v>
      </c>
      <c r="C1320" s="26" t="str">
        <f>HYPERLINK("https://audio.iskcondesiretree.com/02_-_ISKCON_Swamis/ISKCON_Swamis_-_R_to_Y/His_Holiness_Radhanath_Swami/Lectures/00_-_Year_wise/Devotional_Nectar_-_1997/1997-135_Damodar_Lilla_Pastimes_Lecture_-_Radhanath_Swami_1997-11-14_IDesireTree.mp3", "1997-135_Damodar_Lilla_Pastimes_Lecture_-_Radhanath_Swami_1997-11-14_IDesireTree.mp3")</f>
        <v>1997-135_Damodar_Lilla_Pastimes_Lecture_-_Radhanath_Swami_1997-11-14_IDesireTree.mp3</v>
      </c>
      <c r="D1320" s="24"/>
      <c r="E1320" s="24"/>
    </row>
    <row r="1321">
      <c r="A1321" s="25" t="s">
        <v>18352</v>
      </c>
      <c r="B1321" s="25" t="s">
        <v>18361</v>
      </c>
      <c r="C1321" s="26" t="str">
        <f>HYPERLINK("https://audio.iskcondesiretree.com/02_-_ISKCON_Swamis/ISKCON_Swamis_-_R_to_Y/His_Holiness_Radhanath_Swami/Lectures/00_-_Year_wise/Devotional_Nectar_-_1997/1997-136_Separation_From_Krishna_Is_Intolerable_SB-03_04_14-15_Mumbai_-_15-11-97_IDesireTree.mp3", "1997-136_Separation_From_Krishna_Is_Intolerable_SB-03_04_14-15_Mumbai_-_15-11-97_IDesireTree.mp3")</f>
        <v>1997-136_Separation_From_Krishna_Is_Intolerable_SB-03_04_14-15_Mumbai_-_15-11-97_IDesireTree.mp3</v>
      </c>
      <c r="D1321" s="24"/>
      <c r="E1321" s="24"/>
    </row>
    <row r="1322">
      <c r="A1322" s="25" t="s">
        <v>18352</v>
      </c>
      <c r="B1322" s="25" t="s">
        <v>18361</v>
      </c>
      <c r="C1322" s="26" t="str">
        <f>HYPERLINK("https://audio.iskcondesiretree.com/02_-_ISKCON_Swamis/ISKCON_Swamis_-_R_to_Y/His_Holiness_Radhanath_Swami/Lectures/00_-_Year_wise/Devotional_Nectar_-_1997/1997-137_Govardhan_Lilla_SB-10_25_13_Mumbai_-_Radhanath_Swami_1997-11-16_IDesireTree.mp3", "1997-137_Govardhan_Lilla_SB-10_25_13_Mumbai_-_Radhanath_Swami_1997-11-16_IDesireTree.mp3")</f>
        <v>1997-137_Govardhan_Lilla_SB-10_25_13_Mumbai_-_Radhanath_Swami_1997-11-16_IDesireTree.mp3</v>
      </c>
      <c r="D1322" s="24"/>
      <c r="E1322" s="24"/>
    </row>
    <row r="1323">
      <c r="A1323" s="25" t="s">
        <v>18352</v>
      </c>
      <c r="B1323" s="25" t="s">
        <v>18361</v>
      </c>
      <c r="C1323" s="26" t="str">
        <f>HYPERLINK("https://audio.iskcondesiretree.com/02_-_ISKCON_Swamis/ISKCON_Swamis_-_R_to_Y/His_Holiness_Radhanath_Swami/Lectures/00_-_Year_wise/Devotional_Nectar_-_1997/1997-138_Eye_Of_Scriptures_Lecture_Mumbai_-_Radhanath_Swami_1997-11-16_IDesireTree.mp3", "1997-138_Eye_Of_Scriptures_Lecture_Mumbai_-_Radhanath_Swami_1997-11-16_IDesireTree.mp3")</f>
        <v>1997-138_Eye_Of_Scriptures_Lecture_Mumbai_-_Radhanath_Swami_1997-11-16_IDesireTree.mp3</v>
      </c>
      <c r="D1323" s="24"/>
      <c r="E1323" s="24"/>
    </row>
    <row r="1324">
      <c r="A1324" s="25" t="s">
        <v>18352</v>
      </c>
      <c r="B1324" s="25" t="s">
        <v>18361</v>
      </c>
      <c r="C1324" s="26" t="str">
        <f>HYPERLINK("https://audio.iskcondesiretree.com/02_-_ISKCON_Swamis/ISKCON_Swamis_-_R_to_Y/His_Holiness_Radhanath_Swami/Lectures/00_-_Year_wise/Devotional_Nectar_-_1997/1997-139_Instructions_To_Brahmacari_And_Departure_Address_SB-03_04_14-15_Mumbai_-_18-11-97_IDesireTr"&amp;"ee.mp3", "1997-139_Instructions_To_Brahmacari_And_Departure_Address_SB-03_04_14-15_Mumbai_-_18-11-97_IDesireTree.mp3")</f>
        <v>1997-139_Instructions_To_Brahmacari_And_Departure_Address_SB-03_04_14-15_Mumbai_-_18-11-97_IDesireTree.mp3</v>
      </c>
      <c r="D1324" s="24"/>
      <c r="E1324" s="24"/>
    </row>
    <row r="1325">
      <c r="A1325" s="25" t="s">
        <v>18352</v>
      </c>
      <c r="B1325" s="25" t="s">
        <v>18361</v>
      </c>
      <c r="C1325" s="26" t="str">
        <f>HYPERLINK("https://audio.iskcondesiretree.com/02_-_ISKCON_Swamis/ISKCON_Swamis_-_R_to_Y/His_Holiness_Radhanath_Swami/Lectures/00_-_Year_wise/Devotional_Nectar_-_1997/1997-140_Becoming_Servant_of_the_Servant_SB-03_04_18_Mumbai_-_18-11-97_new_IDesireTree.mp3", "1997-140_Becoming_Servant_of_the_Servant_SB-03_04_18_Mumbai_-_18-11-97_new_IDesireTree.mp3")</f>
        <v>1997-140_Becoming_Servant_of_the_Servant_SB-03_04_18_Mumbai_-_18-11-97_new_IDesireTree.mp3</v>
      </c>
      <c r="D1325" s="24"/>
      <c r="E1325" s="24"/>
    </row>
    <row r="1326">
      <c r="A1326" s="25" t="s">
        <v>18352</v>
      </c>
      <c r="B1326" s="25" t="s">
        <v>18361</v>
      </c>
      <c r="C1326" s="26" t="str">
        <f>HYPERLINK("https://audio.iskcondesiretree.com/02_-_ISKCON_Swamis/ISKCON_Swamis_-_R_to_Y/His_Holiness_Radhanath_Swami/Lectures/00_-_Year_wise/Devotional_Nectar_-_1997/1997-141_SB-04_13_38_-_Radhanath_Swami_1997-12-02_IDesireTree.mp3", "1997-141_SB-04_13_38_-_Radhanath_Swami_1997-12-02_IDesireTree.mp3")</f>
        <v>1997-141_SB-04_13_38_-_Radhanath_Swami_1997-12-02_IDesireTree.mp3</v>
      </c>
      <c r="D1326" s="24"/>
      <c r="E1326" s="24"/>
    </row>
    <row r="1327">
      <c r="A1327" s="25" t="s">
        <v>18352</v>
      </c>
      <c r="B1327" s="25" t="s">
        <v>18361</v>
      </c>
      <c r="C1327" s="26" t="str">
        <f>HYPERLINK("https://audio.iskcondesiretree.com/02_-_ISKCON_Swamis/ISKCON_Swamis_-_R_to_Y/His_Holiness_Radhanath_Swami/Lectures/00_-_Year_wise/Devotional_Nectar_-_1997/1997-142_BG-18_64_-_Radhanath_Swami_1997-12-03_IDesireTree.mp3", "1997-142_BG-18_64_-_Radhanath_Swami_1997-12-03_IDesireTree.mp3")</f>
        <v>1997-142_BG-18_64_-_Radhanath_Swami_1997-12-03_IDesireTree.mp3</v>
      </c>
      <c r="D1327" s="24"/>
      <c r="E1327" s="24"/>
    </row>
    <row r="1328">
      <c r="A1328" s="25" t="s">
        <v>18352</v>
      </c>
      <c r="B1328" s="25" t="s">
        <v>18361</v>
      </c>
      <c r="C1328" s="26" t="str">
        <f>HYPERLINK("https://audio.iskcondesiretree.com/02_-_ISKCON_Swamis/ISKCON_Swamis_-_R_to_Y/His_Holiness_Radhanath_Swami/Lectures/00_-_Year_wise/Devotional_Nectar_-_1997/1997-143_SB-04_13_39_-_Radhanath_Swami_1997-12-03_IDesireTree.mp3", "1997-143_SB-04_13_39_-_Radhanath_Swami_1997-12-03_IDesireTree.mp3")</f>
        <v>1997-143_SB-04_13_39_-_Radhanath_Swami_1997-12-03_IDesireTree.mp3</v>
      </c>
      <c r="D1328" s="24"/>
      <c r="E1328" s="24"/>
    </row>
    <row r="1329">
      <c r="A1329" s="25" t="s">
        <v>18352</v>
      </c>
      <c r="B1329" s="25" t="s">
        <v>18361</v>
      </c>
      <c r="C1329" s="26" t="str">
        <f>HYPERLINK("https://audio.iskcondesiretree.com/02_-_ISKCON_Swamis/ISKCON_Swamis_-_R_to_Y/His_Holiness_Radhanath_Swami/Lectures/00_-_Year_wise/Devotional_Nectar_-_1997/1997-144_BG-18_68_-_Radhanath_Swami_1997-12-04_IDesireTree.mp3", "1997-144_BG-18_68_-_Radhanath_Swami_1997-12-04_IDesireTree.mp3")</f>
        <v>1997-144_BG-18_68_-_Radhanath_Swami_1997-12-04_IDesireTree.mp3</v>
      </c>
      <c r="D1329" s="24"/>
      <c r="E1329" s="24"/>
    </row>
    <row r="1330">
      <c r="A1330" s="25" t="s">
        <v>18352</v>
      </c>
      <c r="B1330" s="25" t="s">
        <v>18361</v>
      </c>
      <c r="C1330" s="26" t="str">
        <f>HYPERLINK("https://audio.iskcondesiretree.com/02_-_ISKCON_Swamis/ISKCON_Swamis_-_R_to_Y/His_Holiness_Radhanath_Swami/Lectures/00_-_Year_wise/Devotional_Nectar_-_1997/1997-145_SB-04_13_40_-_Radhanath_Swami_1997-12-04_IDesireTree.mp3", "1997-145_SB-04_13_40_-_Radhanath_Swami_1997-12-04_IDesireTree.mp3")</f>
        <v>1997-145_SB-04_13_40_-_Radhanath_Swami_1997-12-04_IDesireTree.mp3</v>
      </c>
      <c r="D1330" s="24"/>
      <c r="E1330" s="24"/>
    </row>
    <row r="1331">
      <c r="A1331" s="25" t="s">
        <v>18352</v>
      </c>
      <c r="B1331" s="25" t="s">
        <v>18361</v>
      </c>
      <c r="C1331" s="26" t="str">
        <f>HYPERLINK("https://audio.iskcondesiretree.com/02_-_ISKCON_Swamis/ISKCON_Swamis_-_R_to_Y/His_Holiness_Radhanath_Swami/Lectures/00_-_Year_wise/Devotional_Nectar_-_1997/1997-146_To_always_Remember_Krishna_And_To_Never_Forget_Krishna_SB-01_08_42_London_IDesireTree.mp3", "1997-146_To_always_Remember_Krishna_And_To_Never_Forget_Krishna_SB-01_08_42_London_IDesireTree.mp3")</f>
        <v>1997-146_To_always_Remember_Krishna_And_To_Never_Forget_Krishna_SB-01_08_42_London_IDesireTree.mp3</v>
      </c>
      <c r="D1331" s="24"/>
      <c r="E1331" s="24"/>
    </row>
    <row r="1332">
      <c r="A1332" s="25" t="s">
        <v>18352</v>
      </c>
      <c r="B1332" s="25" t="s">
        <v>18361</v>
      </c>
      <c r="C1332" s="26" t="str">
        <f>HYPERLINK("https://audio.iskcondesiretree.com/02_-_ISKCON_Swamis/ISKCON_Swamis_-_R_to_Y/His_Holiness_Radhanath_Swami/Lectures/00_-_Year_wise/Devotional_Nectar_-_1997/1997-147_The_Holiest_of_Holy_Places_-_Where_Devotees_Reside_Lecture_London_IDesireTree.mp3", "1997-147_The_Holiest_of_Holy_Places_-_Where_Devotees_Reside_Lecture_London_IDesireTree.mp3")</f>
        <v>1997-147_The_Holiest_of_Holy_Places_-_Where_Devotees_Reside_Lecture_London_IDesireTree.mp3</v>
      </c>
      <c r="D1332" s="24"/>
      <c r="E1332" s="24"/>
    </row>
    <row r="1333">
      <c r="A1333" s="25" t="s">
        <v>18352</v>
      </c>
      <c r="B1333" s="25" t="s">
        <v>18361</v>
      </c>
      <c r="C1333" s="26" t="str">
        <f>HYPERLINK("https://audio.iskcondesiretree.com/02_-_ISKCON_Swamis/ISKCON_Swamis_-_R_to_Y/His_Holiness_Radhanath_Swami/Lectures/00_-_Year_wise/Devotional_Nectar_-_1997/1997-148_Understanding_The_Greatness_Of_Krishna_Lecture_London_Bhaktivedanta_Manor_IDesireTree.mp3", "1997-148_Understanding_The_Greatness_Of_Krishna_Lecture_London_Bhaktivedanta_Manor_IDesireTree.mp3")</f>
        <v>1997-148_Understanding_The_Greatness_Of_Krishna_Lecture_London_Bhaktivedanta_Manor_IDesireTree.mp3</v>
      </c>
      <c r="D1333" s="24"/>
      <c r="E1333" s="24"/>
    </row>
    <row r="1334">
      <c r="A1334" s="25" t="s">
        <v>18352</v>
      </c>
      <c r="B1334" s="25" t="s">
        <v>18361</v>
      </c>
      <c r="C1334" s="26" t="str">
        <f>HYPERLINK("https://audio.iskcondesiretree.com/02_-_ISKCON_Swamis/ISKCON_Swamis_-_R_to_Y/His_Holiness_Radhanath_Swami/Lectures/00_-_Year_wise/Devotional_Nectar_-_1997/1997-149_Marriage_Ceremony_Address_Yogesh_chandra_Prabhu_%26_Niti_Mataji_Lecture_IDesireTree.mp3", "1997-149_Marriage_Ceremony_Address_Yogesh_chandra_Prabhu_%26_Niti_Mataji_Lecture_IDesireTree.mp3")</f>
        <v>1997-149_Marriage_Ceremony_Address_Yogesh_chandra_Prabhu_%26_Niti_Mataji_Lecture_IDesireTree.mp3</v>
      </c>
      <c r="D1334" s="24"/>
      <c r="E1334" s="24"/>
    </row>
    <row r="1335">
      <c r="A1335" s="25" t="s">
        <v>18352</v>
      </c>
      <c r="B1335" s="25" t="s">
        <v>18362</v>
      </c>
      <c r="C1335" s="26" t="str">
        <f>HYPERLINK("https://audio.iskcondesiretree.com/02_-_ISKCON_Swamis/ISKCON_Swamis_-_R_to_Y/His_Holiness_Radhanath_Swami/Lectures/00_-_Year_wise/Devotional_Nectar_-_1998/1998-001_Weeds_of_False_Ego_SB-03_05_29_Mumbai_-_Radhanath_Swami_1998-01-01_IDesireTree.mp3", "1998-001_Weeds_of_False_Ego_SB-03_05_29_Mumbai_-_Radhanath_Swami_1998-01-01_IDesireTree.mp3")</f>
        <v>1998-001_Weeds_of_False_Ego_SB-03_05_29_Mumbai_-_Radhanath_Swami_1998-01-01_IDesireTree.mp3</v>
      </c>
      <c r="D1335" s="24"/>
      <c r="E1335" s="24"/>
    </row>
    <row r="1336">
      <c r="A1336" s="25" t="s">
        <v>18352</v>
      </c>
      <c r="B1336" s="25" t="s">
        <v>18362</v>
      </c>
      <c r="C1336" s="26" t="str">
        <f>HYPERLINK("https://audio.iskcondesiretree.com/02_-_ISKCON_Swamis/ISKCON_Swamis_-_R_to_Y/His_Holiness_Radhanath_Swami/Lectures/00_-_Year_wise/Devotional_Nectar_-_1998/1998-002_Pushya_Abhishek_Lecture_Mumbai_-_Radhanath_Swami_1998-01-12_IDesireTree.mp3", "1998-002_Pushya_Abhishek_Lecture_Mumbai_-_Radhanath_Swami_1998-01-12_IDesireTree.mp3")</f>
        <v>1998-002_Pushya_Abhishek_Lecture_Mumbai_-_Radhanath_Swami_1998-01-12_IDesireTree.mp3</v>
      </c>
      <c r="D1336" s="24"/>
      <c r="E1336" s="24"/>
    </row>
    <row r="1337">
      <c r="A1337" s="25" t="s">
        <v>18352</v>
      </c>
      <c r="B1337" s="25" t="s">
        <v>18362</v>
      </c>
      <c r="C1337" s="26" t="str">
        <f>HYPERLINK("https://audio.iskcondesiretree.com/02_-_ISKCON_Swamis/ISKCON_Swamis_-_R_to_Y/His_Holiness_Radhanath_Swami/Lectures/00_-_Year_wise/Devotional_Nectar_-_1998/1998-003_Relationship_Between_Krishna_%26_Bhisma_SB-01_09_23_Mumbai_-_14-01-98_IDesireTree.mp3", "1998-003_Relationship_Between_Krishna_%26_Bhisma_SB-01_09_23_Mumbai_-_14-01-98_IDesireTree.mp3")</f>
        <v>1998-003_Relationship_Between_Krishna_%26_Bhisma_SB-01_09_23_Mumbai_-_14-01-98_IDesireTree.mp3</v>
      </c>
      <c r="D1337" s="24"/>
      <c r="E1337" s="24"/>
    </row>
    <row r="1338">
      <c r="A1338" s="25" t="s">
        <v>18352</v>
      </c>
      <c r="B1338" s="25" t="s">
        <v>18362</v>
      </c>
      <c r="C1338" s="26" t="str">
        <f>HYPERLINK("https://audio.iskcondesiretree.com/02_-_ISKCON_Swamis/ISKCON_Swamis_-_R_to_Y/His_Holiness_Radhanath_Swami/Lectures/00_-_Year_wise/Devotional_Nectar_-_1998/1998-004_Perform_Your_Duties_In_Devotional_Service_SB-03_05_40_Mumbai_-_17-01-98_IDesireTree.mp3", "1998-004_Perform_Your_Duties_In_Devotional_Service_SB-03_05_40_Mumbai_-_17-01-98_IDesireTree.mp3")</f>
        <v>1998-004_Perform_Your_Duties_In_Devotional_Service_SB-03_05_40_Mumbai_-_17-01-98_IDesireTree.mp3</v>
      </c>
      <c r="D1338" s="24"/>
      <c r="E1338" s="24"/>
    </row>
    <row r="1339">
      <c r="A1339" s="25" t="s">
        <v>18352</v>
      </c>
      <c r="B1339" s="25" t="s">
        <v>18362</v>
      </c>
      <c r="C1339" s="26" t="str">
        <f>HYPERLINK("https://audio.iskcondesiretree.com/02_-_ISKCON_Swamis/ISKCON_Swamis_-_R_to_Y/His_Holiness_Radhanath_Swami/Lectures/00_-_Year_wise/Devotional_Nectar_-_1998/1998-005_Nectar_of_Lotus_Feet_SB-03_05_41_Mumbai_-_Radhanath_Swami_1998-01-18_IDesireTree.mp3", "1998-005_Nectar_of_Lotus_Feet_SB-03_05_41_Mumbai_-_Radhanath_Swami_1998-01-18_IDesireTree.mp3")</f>
        <v>1998-005_Nectar_of_Lotus_Feet_SB-03_05_41_Mumbai_-_Radhanath_Swami_1998-01-18_IDesireTree.mp3</v>
      </c>
      <c r="D1339" s="24"/>
      <c r="E1339" s="24"/>
    </row>
    <row r="1340">
      <c r="A1340" s="25" t="s">
        <v>18352</v>
      </c>
      <c r="B1340" s="25" t="s">
        <v>18362</v>
      </c>
      <c r="C1340" s="26" t="str">
        <f>HYPERLINK("https://audio.iskcondesiretree.com/02_-_ISKCON_Swamis/ISKCON_Swamis_-_R_to_Y/His_Holiness_Radhanath_Swami/Lectures/00_-_Year_wise/Devotional_Nectar_-_1998/1998-006_Appearance_of_Srila_Gopal_Bhatt_Goswami_Lecture_Mumbai_-_18-01-98_IDesireTree.mp3", "1998-006_Appearance_of_Srila_Gopal_Bhatt_Goswami_Lecture_Mumbai_-_18-01-98_IDesireTree.mp3")</f>
        <v>1998-006_Appearance_of_Srila_Gopal_Bhatt_Goswami_Lecture_Mumbai_-_18-01-98_IDesireTree.mp3</v>
      </c>
      <c r="D1340" s="24"/>
      <c r="E1340" s="24"/>
    </row>
    <row r="1341">
      <c r="A1341" s="25" t="s">
        <v>18352</v>
      </c>
      <c r="B1341" s="25" t="s">
        <v>18362</v>
      </c>
      <c r="C1341" s="26" t="str">
        <f>HYPERLINK("https://audio.iskcondesiretree.com/02_-_ISKCON_Swamis/ISKCON_Swamis_-_R_to_Y/His_Holiness_Radhanath_Swami/Lectures/00_-_Year_wise/Devotional_Nectar_-_1998/1998-007_Using_Our_Free_Will_Properly_Lecture_Mumbai_-_Radhanath_Swami_1998-01-20_IDesireTree.mp3", "1998-007_Using_Our_Free_Will_Properly_Lecture_Mumbai_-_Radhanath_Swami_1998-01-20_IDesireTree.mp3")</f>
        <v>1998-007_Using_Our_Free_Will_Properly_Lecture_Mumbai_-_Radhanath_Swami_1998-01-20_IDesireTree.mp3</v>
      </c>
      <c r="D1341" s="24"/>
      <c r="E1341" s="24"/>
    </row>
    <row r="1342">
      <c r="A1342" s="25" t="s">
        <v>18352</v>
      </c>
      <c r="B1342" s="25" t="s">
        <v>18362</v>
      </c>
      <c r="C1342" s="26" t="str">
        <f>HYPERLINK("https://audio.iskcondesiretree.com/02_-_ISKCON_Swamis/ISKCON_Swamis_-_R_to_Y/His_Holiness_Radhanath_Swami/Lectures/00_-_Year_wise/Devotional_Nectar_-_1998/1998-008_More_You_Have_More_You_Suffer_SB-03_09_06_Mumbai_-_21-01-98_IDesireTree.mp3", "1998-008_More_You_Have_More_You_Suffer_SB-03_09_06_Mumbai_-_21-01-98_IDesireTree.mp3")</f>
        <v>1998-008_More_You_Have_More_You_Suffer_SB-03_09_06_Mumbai_-_21-01-98_IDesireTree.mp3</v>
      </c>
      <c r="D1342" s="24"/>
      <c r="E1342" s="24"/>
    </row>
    <row r="1343">
      <c r="A1343" s="25" t="s">
        <v>18352</v>
      </c>
      <c r="B1343" s="25" t="s">
        <v>18362</v>
      </c>
      <c r="C1343" s="26" t="str">
        <f>HYPERLINK("https://audio.iskcondesiretree.com/02_-_ISKCON_Swamis/ISKCON_Swamis_-_R_to_Y/His_Holiness_Radhanath_Swami/Lectures/00_-_Year_wise/Devotional_Nectar_-_1998/1998-009_Arrival_Address_Lecture_Pune_-_Radhanath_Swami_1998-01-23_IDesireTree.mp3", "1998-009_Arrival_Address_Lecture_Pune_-_Radhanath_Swami_1998-01-23_IDesireTree.mp3")</f>
        <v>1998-009_Arrival_Address_Lecture_Pune_-_Radhanath_Swami_1998-01-23_IDesireTree.mp3</v>
      </c>
      <c r="D1343" s="24"/>
      <c r="E1343" s="24"/>
    </row>
    <row r="1344">
      <c r="A1344" s="25" t="s">
        <v>18352</v>
      </c>
      <c r="B1344" s="25" t="s">
        <v>18362</v>
      </c>
      <c r="C1344" s="26" t="str">
        <f>HYPERLINK("https://audio.iskcondesiretree.com/02_-_ISKCON_Swamis/ISKCON_Swamis_-_R_to_Y/His_Holiness_Radhanath_Swami/Lectures/00_-_Year_wise/Devotional_Nectar_-_1998/1998-01-22_SB_09-16-07-09_-_Radhanath_Swami_Radhanath_Swami_Mumbai.mp3", "1998-01-22_SB_09-16-07-09_-_Radhanath_Swami_Radhanath_Swami_Mumbai.mp3")</f>
        <v>1998-01-22_SB_09-16-07-09_-_Radhanath_Swami_Radhanath_Swami_Mumbai.mp3</v>
      </c>
      <c r="D1344" s="24"/>
      <c r="E1344" s="24"/>
    </row>
    <row r="1345">
      <c r="A1345" s="25" t="s">
        <v>18352</v>
      </c>
      <c r="B1345" s="25" t="s">
        <v>18362</v>
      </c>
      <c r="C1345" s="26" t="str">
        <f>HYPERLINK("https://audio.iskcondesiretree.com/02_-_ISKCON_Swamis/ISKCON_Swamis_-_R_to_Y/His_Holiness_Radhanath_Swami/Lectures/00_-_Year_wise/Devotional_Nectar_-_1998/1998-010_Questions_%26_Answers_Q%26A_Pune_-_Radhanath_Swami_1998-01-23_IDesireTree.mp3", "1998-010_Questions_%26_Answers_Q%26A_Pune_-_Radhanath_Swami_1998-01-23_IDesireTree.mp3")</f>
        <v>1998-010_Questions_%26_Answers_Q%26A_Pune_-_Radhanath_Swami_1998-01-23_IDesireTree.mp3</v>
      </c>
      <c r="D1345" s="24"/>
      <c r="E1345" s="24"/>
    </row>
    <row r="1346">
      <c r="A1346" s="25" t="s">
        <v>18352</v>
      </c>
      <c r="B1346" s="25" t="s">
        <v>18362</v>
      </c>
      <c r="C1346" s="26" t="str">
        <f>HYPERLINK("https://audio.iskcondesiretree.com/02_-_ISKCON_Swamis/ISKCON_Swamis_-_R_to_Y/His_Holiness_Radhanath_Swami/Lectures/00_-_Year_wise/Devotional_Nectar_-_1998/1998-011_Jada_Bharat_%26_Human_Sacrifice_SB-09_16_30-31_Mumbai_-_28-01-98_IDesireTree.mp3", "1998-011_Jada_Bharat_%26_Human_Sacrifice_SB-09_16_30-31_Mumbai_-_28-01-98_IDesireTree.mp3")</f>
        <v>1998-011_Jada_Bharat_%26_Human_Sacrifice_SB-09_16_30-31_Mumbai_-_28-01-98_IDesireTree.mp3</v>
      </c>
      <c r="D1346" s="24"/>
      <c r="E1346" s="24"/>
    </row>
    <row r="1347">
      <c r="A1347" s="25" t="s">
        <v>18352</v>
      </c>
      <c r="B1347" s="25" t="s">
        <v>18362</v>
      </c>
      <c r="C1347" s="26" t="str">
        <f>HYPERLINK("https://audio.iskcondesiretree.com/02_-_ISKCON_Swamis/ISKCON_Swamis_-_R_to_Y/His_Holiness_Radhanath_Swami/Lectures/00_-_Year_wise/Devotional_Nectar_-_1998/1998-012_Brahmacari_Class_and_Q%26A_Q%26A_Mumbai_-_Radhanath_Swami_1998-01-30_IDesireTree.mp3", "1998-012_Brahmacari_Class_and_Q%26A_Q%26A_Mumbai_-_Radhanath_Swami_1998-01-30_IDesireTree.mp3")</f>
        <v>1998-012_Brahmacari_Class_and_Q%26A_Q%26A_Mumbai_-_Radhanath_Swami_1998-01-30_IDesireTree.mp3</v>
      </c>
      <c r="D1347" s="24"/>
      <c r="E1347" s="24"/>
    </row>
    <row r="1348">
      <c r="A1348" s="25" t="s">
        <v>18352</v>
      </c>
      <c r="B1348" s="25" t="s">
        <v>18362</v>
      </c>
      <c r="C1348" s="26" t="str">
        <f>HYPERLINK("https://audio.iskcondesiretree.com/02_-_ISKCON_Swamis/ISKCON_Swamis_-_R_to_Y/His_Holiness_Radhanath_Swami/Lectures/00_-_Year_wise/Devotional_Nectar_-_1998/1998-013_Gaura_Nitai_Deity_Welcoming_Lecture_Mumbai_-_Radhanath_Swami_1998-01-30_IDesireTree.mp3", "1998-013_Gaura_Nitai_Deity_Welcoming_Lecture_Mumbai_-_Radhanath_Swami_1998-01-30_IDesireTree.mp3")</f>
        <v>1998-013_Gaura_Nitai_Deity_Welcoming_Lecture_Mumbai_-_Radhanath_Swami_1998-01-30_IDesireTree.mp3</v>
      </c>
      <c r="D1348" s="24"/>
      <c r="E1348" s="24"/>
    </row>
    <row r="1349">
      <c r="A1349" s="25" t="s">
        <v>18352</v>
      </c>
      <c r="B1349" s="25" t="s">
        <v>18362</v>
      </c>
      <c r="C1349" s="26" t="str">
        <f>HYPERLINK("https://audio.iskcondesiretree.com/02_-_ISKCON_Swamis/ISKCON_Swamis_-_R_to_Y/His_Holiness_Radhanath_Swami/Lectures/00_-_Year_wise/Devotional_Nectar_-_1998/1998-014_Pleasing_Demigods_SB-03_05_49_Mumbai_-_Radhanath_Swami_1998-01-31_IDesireTree.mp3", "1998-014_Pleasing_Demigods_SB-03_05_49_Mumbai_-_Radhanath_Swami_1998-01-31_IDesireTree.mp3")</f>
        <v>1998-014_Pleasing_Demigods_SB-03_05_49_Mumbai_-_Radhanath_Swami_1998-01-31_IDesireTree.mp3</v>
      </c>
      <c r="D1349" s="24"/>
      <c r="E1349" s="24"/>
    </row>
    <row r="1350">
      <c r="A1350" s="25" t="s">
        <v>18352</v>
      </c>
      <c r="B1350" s="25" t="s">
        <v>18362</v>
      </c>
      <c r="C1350" s="26" t="str">
        <f>HYPERLINK("https://audio.iskcondesiretree.com/02_-_ISKCON_Swamis/ISKCON_Swamis_-_R_to_Y/His_Holiness_Radhanath_Swami/Lectures/00_-_Year_wise/Devotional_Nectar_-_1998/1998-015_Fixed_Determination_BG-02_41_Mumbai_-_Radhanath_Swami_1998-01-31_IDesireTree.mp3", "1998-015_Fixed_Determination_BG-02_41_Mumbai_-_Radhanath_Swami_1998-01-31_IDesireTree.mp3")</f>
        <v>1998-015_Fixed_Determination_BG-02_41_Mumbai_-_Radhanath_Swami_1998-01-31_IDesireTree.mp3</v>
      </c>
      <c r="D1350" s="24"/>
      <c r="E1350" s="24"/>
    </row>
    <row r="1351">
      <c r="A1351" s="25" t="s">
        <v>18352</v>
      </c>
      <c r="B1351" s="25" t="s">
        <v>18362</v>
      </c>
      <c r="C1351" s="26" t="str">
        <f>HYPERLINK("https://audio.iskcondesiretree.com/02_-_ISKCON_Swamis/ISKCON_Swamis_-_R_to_Y/His_Holiness_Radhanath_Swami/Lectures/00_-_Year_wise/Devotional_Nectar_-_1998/1998-016_Life_of_Srila_Raghunath_Das_Goswami_Lecture_Mumbai_-_01-02-98_IDesireTree.mp3", "1998-016_Life_of_Srila_Raghunath_Das_Goswami_Lecture_Mumbai_-_01-02-98_IDesireTree.mp3")</f>
        <v>1998-016_Life_of_Srila_Raghunath_Das_Goswami_Lecture_Mumbai_-_01-02-98_IDesireTree.mp3</v>
      </c>
      <c r="D1351" s="24"/>
      <c r="E1351" s="24"/>
    </row>
    <row r="1352">
      <c r="A1352" s="25" t="s">
        <v>18352</v>
      </c>
      <c r="B1352" s="25" t="s">
        <v>18362</v>
      </c>
      <c r="C1352" s="26" t="str">
        <f>HYPERLINK("https://audio.iskcondesiretree.com/02_-_ISKCON_Swamis/ISKCON_Swamis_-_R_to_Y/His_Holiness_Radhanath_Swami/Lectures/00_-_Year_wise/Devotional_Nectar_-_1998/1998-017_Pastimes_of_Srila_Rupa_Goswami_I_Lecture_Pune_-_Radhanath_Swami_1998-01-24_IDesireTree.mp3", "1998-017_Pastimes_of_Srila_Rupa_Goswami_I_Lecture_Pune_-_Radhanath_Swami_1998-01-24_IDesireTree.mp3")</f>
        <v>1998-017_Pastimes_of_Srila_Rupa_Goswami_I_Lecture_Pune_-_Radhanath_Swami_1998-01-24_IDesireTree.mp3</v>
      </c>
      <c r="D1352" s="24"/>
      <c r="E1352" s="24"/>
    </row>
    <row r="1353">
      <c r="A1353" s="25" t="s">
        <v>18352</v>
      </c>
      <c r="B1353" s="25" t="s">
        <v>18362</v>
      </c>
      <c r="C1353" s="26" t="str">
        <f>HYPERLINK("https://audio.iskcondesiretree.com/02_-_ISKCON_Swamis/ISKCON_Swamis_-_R_to_Y/His_Holiness_Radhanath_Swami/Lectures/00_-_Year_wise/Devotional_Nectar_-_1998/1998-018_Pastimes_of_Srila_Rupa_Goswami_II_Lecture_Pune_-_Radhanath_Swami_1998-01-24_IDesireTree.mp3", "1998-018_Pastimes_of_Srila_Rupa_Goswami_II_Lecture_Pune_-_Radhanath_Swami_1998-01-24_IDesireTree.mp3")</f>
        <v>1998-018_Pastimes_of_Srila_Rupa_Goswami_II_Lecture_Pune_-_Radhanath_Swami_1998-01-24_IDesireTree.mp3</v>
      </c>
      <c r="D1353" s="24"/>
      <c r="E1353" s="24"/>
    </row>
    <row r="1354">
      <c r="A1354" s="25" t="s">
        <v>18352</v>
      </c>
      <c r="B1354" s="25" t="s">
        <v>18362</v>
      </c>
      <c r="C1354" s="26" t="str">
        <f>HYPERLINK("https://audio.iskcondesiretree.com/02_-_ISKCON_Swamis/ISKCON_Swamis_-_R_to_Y/His_Holiness_Radhanath_Swami/Lectures/00_-_Year_wise/Devotional_Nectar_-_1998/1998-019_Pastimes_of_Srila_Rupa_Goswami_III_Lecture_Pune_-_24-01-98_IDesireTree.mp3", "1998-019_Pastimes_of_Srila_Rupa_Goswami_III_Lecture_Pune_-_24-01-98_IDesireTree.mp3")</f>
        <v>1998-019_Pastimes_of_Srila_Rupa_Goswami_III_Lecture_Pune_-_24-01-98_IDesireTree.mp3</v>
      </c>
      <c r="D1354" s="24"/>
      <c r="E1354" s="24"/>
    </row>
    <row r="1355">
      <c r="A1355" s="25" t="s">
        <v>18352</v>
      </c>
      <c r="B1355" s="25" t="s">
        <v>18362</v>
      </c>
      <c r="C1355" s="26" t="str">
        <f>HYPERLINK("https://audio.iskcondesiretree.com/02_-_ISKCON_Swamis/ISKCON_Swamis_-_R_to_Y/His_Holiness_Radhanath_Swami/Lectures/00_-_Year_wise/Devotional_Nectar_-_1998/1998-020_Spiritual_Life_Means_to_Control_Mind_BG-06_36_Mumbai_-_27-01-98_IDesireTree.mp3", "1998-020_Spiritual_Life_Means_to_Control_Mind_BG-06_36_Mumbai_-_27-01-98_IDesireTree.mp3")</f>
        <v>1998-020_Spiritual_Life_Means_to_Control_Mind_BG-06_36_Mumbai_-_27-01-98_IDesireTree.mp3</v>
      </c>
      <c r="D1355" s="24"/>
      <c r="E1355" s="24"/>
    </row>
    <row r="1356">
      <c r="A1356" s="25" t="s">
        <v>18352</v>
      </c>
      <c r="B1356" s="25" t="s">
        <v>18362</v>
      </c>
      <c r="C1356" s="26" t="str">
        <f>HYPERLINK("https://audio.iskcondesiretree.com/02_-_ISKCON_Swamis/ISKCON_Swamis_-_R_to_Y/His_Holiness_Radhanath_Swami/Lectures/00_-_Year_wise/Devotional_Nectar_-_1998/1998-021_Pastimes_of_Srila_Vishwanath_Chakravarthy_Thakur_Lecture_Mumbai_-_01-02-98_IDesireTree.mp3", "1998-021_Pastimes_of_Srila_Vishwanath_Chakravarthy_Thakur_Lecture_Mumbai_-_01-02-98_IDesireTree.mp3")</f>
        <v>1998-021_Pastimes_of_Srila_Vishwanath_Chakravarthy_Thakur_Lecture_Mumbai_-_01-02-98_IDesireTree.mp3</v>
      </c>
      <c r="D1356" s="24"/>
      <c r="E1356" s="24"/>
    </row>
    <row r="1357">
      <c r="A1357" s="25" t="s">
        <v>18352</v>
      </c>
      <c r="B1357" s="25" t="s">
        <v>18362</v>
      </c>
      <c r="C1357" s="26" t="str">
        <f>HYPERLINK("https://audio.iskcondesiretree.com/02_-_ISKCON_Swamis/ISKCON_Swamis_-_R_to_Y/His_Holiness_Radhanath_Swami/Lectures/00_-_Year_wise/Devotional_Nectar_-_1998/1998-022_Lord%27s_Pastimes_in_the_Ocean_Lecture_Mumbai_-_Radhanath_Swami_1998-02-02_IDesireTree.mp3", "1998-022_Lord%27s_Pastimes_in_the_Ocean_Lecture_Mumbai_-_Radhanath_Swami_1998-02-02_IDesireTree.mp3")</f>
        <v>1998-022_Lord%27s_Pastimes_in_the_Ocean_Lecture_Mumbai_-_Radhanath_Swami_1998-02-02_IDesireTree.mp3</v>
      </c>
      <c r="D1357" s="24"/>
      <c r="E1357" s="24"/>
    </row>
    <row r="1358">
      <c r="A1358" s="25" t="s">
        <v>18352</v>
      </c>
      <c r="B1358" s="25" t="s">
        <v>18362</v>
      </c>
      <c r="C1358" s="26" t="str">
        <f>HYPERLINK("https://audio.iskcondesiretree.com/02_-_ISKCON_Swamis/ISKCON_Swamis_-_R_to_Y/His_Holiness_Radhanath_Swami/Lectures/00_-_Year_wise/Devotional_Nectar_-_1998/1998-023_Sripad_Madhvacaryas_Disappearance_Day_SB-09_18_16_Mumbai_-_02-02-98_IDesireTree.mp3", "1998-023_Sripad_Madhvacaryas_Disappearance_Day_SB-09_18_16_Mumbai_-_02-02-98_IDesireTree.mp3")</f>
        <v>1998-023_Sripad_Madhvacaryas_Disappearance_Day_SB-09_18_16_Mumbai_-_02-02-98_IDesireTree.mp3</v>
      </c>
      <c r="D1358" s="24"/>
      <c r="E1358" s="24"/>
    </row>
    <row r="1359">
      <c r="A1359" s="25" t="s">
        <v>18352</v>
      </c>
      <c r="B1359" s="25" t="s">
        <v>18362</v>
      </c>
      <c r="C1359" s="26" t="str">
        <f>HYPERLINK("https://audio.iskcondesiretree.com/02_-_ISKCON_Swamis/ISKCON_Swamis_-_R_to_Y/His_Holiness_Radhanath_Swami/Lectures/00_-_Year_wise/Devotional_Nectar_-_1998/1998-024_Understand_the_Laws_of_Nature_BG-04_06_Mumbai_-_Radhanath_Swami_1998-02-03_IDesireTree.mp3", "1998-024_Understand_the_Laws_of_Nature_BG-04_06_Mumbai_-_Radhanath_Swami_1998-02-03_IDesireTree.mp3")</f>
        <v>1998-024_Understand_the_Laws_of_Nature_BG-04_06_Mumbai_-_Radhanath_Swami_1998-02-03_IDesireTree.mp3</v>
      </c>
      <c r="D1359" s="24"/>
      <c r="E1359" s="24"/>
    </row>
    <row r="1360">
      <c r="A1360" s="25" t="s">
        <v>18352</v>
      </c>
      <c r="B1360" s="25" t="s">
        <v>18362</v>
      </c>
      <c r="C1360" s="26" t="str">
        <f>HYPERLINK("https://audio.iskcondesiretree.com/02_-_ISKCON_Swamis/ISKCON_Swamis_-_R_to_Y/His_Holiness_Radhanath_Swami/Lectures/00_-_Year_wise/Devotional_Nectar_-_1998/1998-025_Tapasya-_Purpose_of_Human_Existence_SB-03_09_17_Mumbai_-_04-02-98_IDesireTree.mp3", "1998-025_Tapasya-_Purpose_of_Human_Existence_SB-03_09_17_Mumbai_-_04-02-98_IDesireTree.mp3")</f>
        <v>1998-025_Tapasya-_Purpose_of_Human_Existence_SB-03_09_17_Mumbai_-_04-02-98_IDesireTree.mp3</v>
      </c>
      <c r="D1360" s="24"/>
      <c r="E1360" s="24"/>
    </row>
    <row r="1361">
      <c r="A1361" s="25" t="s">
        <v>18352</v>
      </c>
      <c r="B1361" s="25" t="s">
        <v>18362</v>
      </c>
      <c r="C1361" s="26" t="str">
        <f>HYPERLINK("https://audio.iskcondesiretree.com/02_-_ISKCON_Swamis/ISKCON_Swamis_-_R_to_Y/His_Holiness_Radhanath_Swami/Lectures/00_-_Year_wise/Devotional_Nectar_-_1998/1998-026_Only_Krishna_is_Infalliable_BG-15_16-17_Mumbai_-_Radhanath_Swami_1998-02-07_IDesireTree.mp3", "1998-026_Only_Krishna_is_Infalliable_BG-15_16-17_Mumbai_-_Radhanath_Swami_1998-02-07_IDesireTree.mp3")</f>
        <v>1998-026_Only_Krishna_is_Infalliable_BG-15_16-17_Mumbai_-_Radhanath_Swami_1998-02-07_IDesireTree.mp3</v>
      </c>
      <c r="D1361" s="24"/>
      <c r="E1361" s="24"/>
    </row>
    <row r="1362">
      <c r="A1362" s="25" t="s">
        <v>18352</v>
      </c>
      <c r="B1362" s="25" t="s">
        <v>18362</v>
      </c>
      <c r="C1362" s="26" t="str">
        <f>HYPERLINK("https://audio.iskcondesiretree.com/02_-_ISKCON_Swamis/ISKCON_Swamis_-_R_to_Y/His_Holiness_Radhanath_Swami/Lectures/00_-_Year_wise/Devotional_Nectar_-_1998/1998-027_Approach_Krishna_With_the_Desire_to_Serve_SB-03_06_03_Mumbai_-_07-02-98_IDesireTree.mp3", "1998-027_Approach_Krishna_With_the_Desire_to_Serve_SB-03_06_03_Mumbai_-_07-02-98_IDesireTree.mp3")</f>
        <v>1998-027_Approach_Krishna_With_the_Desire_to_Serve_SB-03_06_03_Mumbai_-_07-02-98_IDesireTree.mp3</v>
      </c>
      <c r="D1362" s="24"/>
      <c r="E1362" s="24"/>
    </row>
    <row r="1363">
      <c r="A1363" s="25" t="s">
        <v>18352</v>
      </c>
      <c r="B1363" s="25" t="s">
        <v>18362</v>
      </c>
      <c r="C1363" s="26" t="str">
        <f>HYPERLINK("https://audio.iskcondesiretree.com/02_-_ISKCON_Swamis/ISKCON_Swamis_-_R_to_Y/His_Holiness_Radhanath_Swami/Lectures/00_-_Year_wise/Devotional_Nectar_-_1998/1998-028_Virat_Rupa_%26_Archa_Vigraha_SB-03_06_04_Mumbai_-_Radhanath_Swami_1998-02-08_IDesireTree.mp"&amp;"3", "1998-028_Virat_Rupa_%26_Archa_Vigraha_SB-03_06_04_Mumbai_-_Radhanath_Swami_1998-02-08_IDesireTree.mp3")</f>
        <v>1998-028_Virat_Rupa_%26_Archa_Vigraha_SB-03_06_04_Mumbai_-_Radhanath_Swami_1998-02-08_IDesireTree.mp3</v>
      </c>
      <c r="D1363" s="24"/>
      <c r="E1363" s="24"/>
    </row>
    <row r="1364">
      <c r="A1364" s="25" t="s">
        <v>18352</v>
      </c>
      <c r="B1364" s="25" t="s">
        <v>18362</v>
      </c>
      <c r="C1364" s="26" t="str">
        <f>HYPERLINK("https://audio.iskcondesiretree.com/02_-_ISKCON_Swamis/ISKCON_Swamis_-_R_to_Y/His_Holiness_Radhanath_Swami/Lectures/00_-_Year_wise/Devotional_Nectar_-_1998/1998-029_Lord_Varahadev_Appearance_Day_Lecture_Mumbai_-_Radhanath_Swami_1998-02-08_IDesireTree.mp3", "1998-029_Lord_Varahadev_Appearance_Day_Lecture_Mumbai_-_Radhanath_Swami_1998-02-08_IDesireTree.mp3")</f>
        <v>1998-029_Lord_Varahadev_Appearance_Day_Lecture_Mumbai_-_Radhanath_Swami_1998-02-08_IDesireTree.mp3</v>
      </c>
      <c r="D1364" s="24"/>
      <c r="E1364" s="24"/>
    </row>
    <row r="1365">
      <c r="A1365" s="25" t="s">
        <v>18352</v>
      </c>
      <c r="B1365" s="25" t="s">
        <v>18362</v>
      </c>
      <c r="C1365" s="26" t="str">
        <f>HYPERLINK("https://audio.iskcondesiretree.com/02_-_ISKCON_Swamis/ISKCON_Swamis_-_R_to_Y/His_Holiness_Radhanath_Swami/Lectures/00_-_Year_wise/Devotional_Nectar_-_1998/1998-030_Pastimes_of_Lord_Nityananda_Prabhu_Lecture_Mumbai_-_09-02-98_IDesireTree.mp3", "1998-030_Pastimes_of_Lord_Nityananda_Prabhu_Lecture_Mumbai_-_09-02-98_IDesireTree.mp3")</f>
        <v>1998-030_Pastimes_of_Lord_Nityananda_Prabhu_Lecture_Mumbai_-_09-02-98_IDesireTree.mp3</v>
      </c>
      <c r="D1365" s="24"/>
      <c r="E1365" s="24"/>
    </row>
    <row r="1366">
      <c r="A1366" s="25" t="s">
        <v>18352</v>
      </c>
      <c r="B1366" s="25" t="s">
        <v>18362</v>
      </c>
      <c r="C1366" s="26" t="str">
        <f>HYPERLINK("https://audio.iskcondesiretree.com/02_-_ISKCON_Swamis/ISKCON_Swamis_-_R_to_Y/His_Holiness_Radhanath_Swami/Lectures/00_-_Year_wise/Devotional_Nectar_-_1998/1998-031_Pastimes_of_Lord_Nityananda_Prabhu_eve_Lecture_Mumbai_-_09-02-98_IDesireTree.mp3", "1998-031_Pastimes_of_Lord_Nityananda_Prabhu_eve_Lecture_Mumbai_-_09-02-98_IDesireTree.mp3")</f>
        <v>1998-031_Pastimes_of_Lord_Nityananda_Prabhu_eve_Lecture_Mumbai_-_09-02-98_IDesireTree.mp3</v>
      </c>
      <c r="D1366" s="24"/>
      <c r="E1366" s="24"/>
    </row>
    <row r="1367">
      <c r="A1367" s="25" t="s">
        <v>18352</v>
      </c>
      <c r="B1367" s="25" t="s">
        <v>18362</v>
      </c>
      <c r="C1367" s="26" t="str">
        <f>HYPERLINK("https://audio.iskcondesiretree.com/02_-_ISKCON_Swamis/ISKCON_Swamis_-_R_to_Y/His_Holiness_Radhanath_Swami/Lectures/00_-_Year_wise/Devotional_Nectar_-_1998/1998-032_Training_Our_Mind_Lecture_Mumbai_-_Radhanath_Swami_1998-02-10_IDesireTree.mp3", "1998-032_Training_Our_Mind_Lecture_Mumbai_-_Radhanath_Swami_1998-02-10_IDesireTree.mp3")</f>
        <v>1998-032_Training_Our_Mind_Lecture_Mumbai_-_Radhanath_Swami_1998-02-10_IDesireTree.mp3</v>
      </c>
      <c r="D1367" s="24"/>
      <c r="E1367" s="24"/>
    </row>
    <row r="1368">
      <c r="A1368" s="25" t="s">
        <v>18352</v>
      </c>
      <c r="B1368" s="25" t="s">
        <v>18362</v>
      </c>
      <c r="C1368" s="26" t="str">
        <f>HYPERLINK("https://audio.iskcondesiretree.com/02_-_ISKCON_Swamis/ISKCON_Swamis_-_R_to_Y/His_Holiness_Radhanath_Swami/Lectures/00_-_Year_wise/Devotional_Nectar_-_1998/1998-033_Everything_Belongs_to_Krishna_SB-03_09_22_Mumbai_-_11-02-98_IDesireTree.mp3", "1998-033_Everything_Belongs_to_Krishna_SB-03_09_22_Mumbai_-_11-02-98_IDesireTree.mp3")</f>
        <v>1998-033_Everything_Belongs_to_Krishna_SB-03_09_22_Mumbai_-_11-02-98_IDesireTree.mp3</v>
      </c>
      <c r="D1368" s="24"/>
      <c r="E1368" s="24"/>
    </row>
    <row r="1369">
      <c r="A1369" s="25" t="s">
        <v>18352</v>
      </c>
      <c r="B1369" s="25" t="s">
        <v>18362</v>
      </c>
      <c r="C1369" s="26" t="str">
        <f>HYPERLINK("https://audio.iskcondesiretree.com/02_-_ISKCON_Swamis/ISKCON_Swamis_-_R_to_Y/His_Holiness_Radhanath_Swami/Lectures/00_-_Year_wise/Devotional_Nectar_-_1998/1998-034_Narottam_Das_Thakur_Lecture_Mumbai_-_Radhanath_Swami_1998-02-12_IDesireTree.mp3", "1998-034_Narottam_Das_Thakur_Lecture_Mumbai_-_Radhanath_Swami_1998-02-12_IDesireTree.mp3")</f>
        <v>1998-034_Narottam_Das_Thakur_Lecture_Mumbai_-_Radhanath_Swami_1998-02-12_IDesireTree.mp3</v>
      </c>
      <c r="D1369" s="24"/>
      <c r="E1369" s="24"/>
    </row>
    <row r="1370">
      <c r="A1370" s="25" t="s">
        <v>18352</v>
      </c>
      <c r="B1370" s="25" t="s">
        <v>18362</v>
      </c>
      <c r="C1370" s="26" t="str">
        <f>HYPERLINK("https://audio.iskcondesiretree.com/02_-_ISKCON_Swamis/ISKCON_Swamis_-_R_to_Y/His_Holiness_Radhanath_Swami/Lectures/00_-_Year_wise/Devotional_Nectar_-_1998/1998-035_Transcendental_Faith_BG-12_01_Mumbai_-_Radhanath_Swami_1998-02-13_IDesireTree.mp3", "1998-035_Transcendental_Faith_BG-12_01_Mumbai_-_Radhanath_Swami_1998-02-13_IDesireTree.mp3")</f>
        <v>1998-035_Transcendental_Faith_BG-12_01_Mumbai_-_Radhanath_Swami_1998-02-13_IDesireTree.mp3</v>
      </c>
      <c r="D1370" s="24"/>
      <c r="E1370" s="24"/>
    </row>
    <row r="1371">
      <c r="A1371" s="25" t="s">
        <v>18352</v>
      </c>
      <c r="B1371" s="25" t="s">
        <v>18362</v>
      </c>
      <c r="C1371" s="26" t="str">
        <f>HYPERLINK("https://audio.iskcondesiretree.com/02_-_ISKCON_Swamis/ISKCON_Swamis_-_R_to_Y/His_Holiness_Radhanath_Swami/Lectures/00_-_Year_wise/Devotional_Nectar_-_1998/1998-036_Srimad_Bhagavatam_Explains_All_Detail_SB-03_06_08_Mumbai_-_14-02-98_IDesireTree.mp3", "1998-036_Srimad_Bhagavatam_Explains_All_Detail_SB-03_06_08_Mumbai_-_14-02-98_IDesireTree.mp3")</f>
        <v>1998-036_Srimad_Bhagavatam_Explains_All_Detail_SB-03_06_08_Mumbai_-_14-02-98_IDesireTree.mp3</v>
      </c>
      <c r="D1371" s="24"/>
      <c r="E1371" s="24"/>
    </row>
    <row r="1372">
      <c r="A1372" s="25" t="s">
        <v>18352</v>
      </c>
      <c r="B1372" s="25" t="s">
        <v>18362</v>
      </c>
      <c r="C1372" s="26" t="str">
        <f>HYPERLINK("https://audio.iskcondesiretree.com/02_-_ISKCON_Swamis/ISKCON_Swamis_-_R_to_Y/His_Holiness_Radhanath_Swami/Lectures/00_-_Year_wise/Devotional_Nectar_-_1998/1998-037_Krishna%27s_Mercy_is_Required_SB-03_06_09_Mumbai_-_Radhanath_Swami_1998-02-15_IDesireTree.m"&amp;"p3", "1998-037_Krishna%27s_Mercy_is_Required_SB-03_06_09_Mumbai_-_Radhanath_Swami_1998-02-15_IDesireTree.mp3")</f>
        <v>1998-037_Krishna%27s_Mercy_is_Required_SB-03_06_09_Mumbai_-_Radhanath_Swami_1998-02-15_IDesireTree.mp3</v>
      </c>
      <c r="D1372" s="24"/>
      <c r="E1372" s="24"/>
    </row>
    <row r="1373">
      <c r="A1373" s="25" t="s">
        <v>18352</v>
      </c>
      <c r="B1373" s="25" t="s">
        <v>18362</v>
      </c>
      <c r="C1373" s="26" t="str">
        <f>HYPERLINK("https://audio.iskcondesiretree.com/02_-_ISKCON_Swamis/ISKCON_Swamis_-_R_to_Y/His_Holiness_Radhanath_Swami/Lectures/00_-_Year_wise/Devotional_Nectar_-_1998/1998-038_Put_Your_Heart_in_Doing_Service_BG-09_13_Mumbai_-_15-02-98_IDesireTree.mp3", "1998-038_Put_Your_Heart_in_Doing_Service_BG-09_13_Mumbai_-_15-02-98_IDesireTree.mp3")</f>
        <v>1998-038_Put_Your_Heart_in_Doing_Service_BG-09_13_Mumbai_-_15-02-98_IDesireTree.mp3</v>
      </c>
      <c r="D1373" s="24"/>
      <c r="E1373" s="24"/>
    </row>
    <row r="1374">
      <c r="A1374" s="25" t="s">
        <v>18352</v>
      </c>
      <c r="B1374" s="25" t="s">
        <v>18362</v>
      </c>
      <c r="C1374" s="26" t="str">
        <f>HYPERLINK("https://audio.iskcondesiretree.com/02_-_ISKCON_Swamis/ISKCON_Swamis_-_R_to_Y/His_Holiness_Radhanath_Swami/Lectures/00_-_Year_wise/Devotional_Nectar_-_1998/1998-039_Srila_Bhaktisiddhanta_Saraswati_App_Day_Lecture_Mumbai_-_16-02-98_IDesireTree.mp3", "1998-039_Srila_Bhaktisiddhanta_Saraswati_App_Day_Lecture_Mumbai_-_16-02-98_IDesireTree.mp3")</f>
        <v>1998-039_Srila_Bhaktisiddhanta_Saraswati_App_Day_Lecture_Mumbai_-_16-02-98_IDesireTree.mp3</v>
      </c>
      <c r="D1374" s="24"/>
      <c r="E1374" s="24"/>
    </row>
    <row r="1375">
      <c r="A1375" s="25" t="s">
        <v>18352</v>
      </c>
      <c r="B1375" s="25" t="s">
        <v>18362</v>
      </c>
      <c r="C1375" s="26" t="str">
        <f>HYPERLINK("https://audio.iskcondesiretree.com/02_-_ISKCON_Swamis/ISKCON_Swamis_-_R_to_Y/His_Holiness_Radhanath_Swami/Lectures/00_-_Year_wise/Devotional_Nectar_-_1998/1998-040_Cunning_Mind_SB-05_11_17_Mayapur_-_Radhanath_Swami_1998-02-24_IDesireTree.mp3", "1998-040_Cunning_Mind_SB-05_11_17_Mayapur_-_Radhanath_Swami_1998-02-24_IDesireTree.mp3")</f>
        <v>1998-040_Cunning_Mind_SB-05_11_17_Mayapur_-_Radhanath_Swami_1998-02-24_IDesireTree.mp3</v>
      </c>
      <c r="D1375" s="24"/>
      <c r="E1375" s="24"/>
    </row>
    <row r="1376">
      <c r="A1376" s="25" t="s">
        <v>18352</v>
      </c>
      <c r="B1376" s="25" t="s">
        <v>18362</v>
      </c>
      <c r="C1376" s="26" t="str">
        <f>HYPERLINK("https://audio.iskcondesiretree.com/02_-_ISKCON_Swamis/ISKCON_Swamis_-_R_to_Y/His_Holiness_Radhanath_Swami/Lectures/00_-_Year_wise/Devotional_Nectar_-_1998/1998-041_Duties_%26_Responsibilities_in_Varnashram_DharmaSB-03_06_31_Mumbai_-_28-02-98_IDesireTree.m"&amp;"p3", "1998-041_Duties_%26_Responsibilities_in_Varnashram_DharmaSB-03_06_31_Mumbai_-_28-02-98_IDesireTree.mp3")</f>
        <v>1998-041_Duties_%26_Responsibilities_in_Varnashram_DharmaSB-03_06_31_Mumbai_-_28-02-98_IDesireTree.mp3</v>
      </c>
      <c r="D1376" s="24"/>
      <c r="E1376" s="24"/>
    </row>
    <row r="1377">
      <c r="A1377" s="25" t="s">
        <v>18352</v>
      </c>
      <c r="B1377" s="25" t="s">
        <v>18362</v>
      </c>
      <c r="C1377" s="26" t="str">
        <f>HYPERLINK("https://audio.iskcondesiretree.com/02_-_ISKCON_Swamis/ISKCON_Swamis_-_R_to_Y/His_Holiness_Radhanath_Swami/Lectures/00_-_Year_wise/Devotional_Nectar_-_1998/1998-042_Duties_in_Real_Varnashram_System_BG-03_06_32_Mumbai_-_01-03-98_IDesireTree.mp3", "1998-042_Duties_in_Real_Varnashram_System_BG-03_06_32_Mumbai_-_01-03-98_IDesireTree.mp3")</f>
        <v>1998-042_Duties_in_Real_Varnashram_System_BG-03_06_32_Mumbai_-_01-03-98_IDesireTree.mp3</v>
      </c>
      <c r="D1377" s="24"/>
      <c r="E1377" s="24"/>
    </row>
    <row r="1378">
      <c r="A1378" s="25" t="s">
        <v>18352</v>
      </c>
      <c r="B1378" s="25" t="s">
        <v>18362</v>
      </c>
      <c r="C1378" s="26" t="str">
        <f>HYPERLINK("https://audio.iskcondesiretree.com/02_-_ISKCON_Swamis/ISKCON_Swamis_-_R_to_Y/His_Holiness_Radhanath_Swami/Lectures/00_-_Year_wise/Devotional_Nectar_-_1998/1998-043_Just_Neglect_Your_Mind_SB-05_Mumbai_-_Radhanath_Swami_1998-03-01_IDesireTree.mp3", "1998-043_Just_Neglect_Your_Mind_SB-05_Mumbai_-_Radhanath_Swami_1998-03-01_IDesireTree.mp3")</f>
        <v>1998-043_Just_Neglect_Your_Mind_SB-05_Mumbai_-_Radhanath_Swami_1998-03-01_IDesireTree.mp3</v>
      </c>
      <c r="D1378" s="24"/>
      <c r="E1378" s="24"/>
    </row>
    <row r="1379">
      <c r="A1379" s="25" t="s">
        <v>18352</v>
      </c>
      <c r="B1379" s="25" t="s">
        <v>18362</v>
      </c>
      <c r="C1379" s="26" t="str">
        <f>HYPERLINK("https://audio.iskcondesiretree.com/02_-_ISKCON_Swamis/ISKCON_Swamis_-_R_to_Y/His_Holiness_Radhanath_Swami/Lectures/00_-_Year_wise/Devotional_Nectar_-_1998/1998-044_Overcoming_the_Three_Modes_BG-13_24_Mumbai_-_Radhanath_Swami_1998-03-03_IDesireTree.mp3", "1998-044_Overcoming_the_Three_Modes_BG-13_24_Mumbai_-_Radhanath_Swami_1998-03-03_IDesireTree.mp3")</f>
        <v>1998-044_Overcoming_the_Three_Modes_BG-13_24_Mumbai_-_Radhanath_Swami_1998-03-03_IDesireTree.mp3</v>
      </c>
      <c r="D1379" s="24"/>
      <c r="E1379" s="24"/>
    </row>
    <row r="1380">
      <c r="A1380" s="25" t="s">
        <v>18352</v>
      </c>
      <c r="B1380" s="25" t="s">
        <v>18362</v>
      </c>
      <c r="C1380" s="26" t="str">
        <f>HYPERLINK("https://audio.iskcondesiretree.com/02_-_ISKCON_Swamis/ISKCON_Swamis_-_R_to_Y/His_Holiness_Radhanath_Swami/Lectures/00_-_Year_wise/Devotional_Nectar_-_1998/1998-045_Praying-_The_Way_Lord_Brahma_Did_SB-03_09_40_Mumbai_-_04-03-98_IDesireTree.mp3", "1998-045_Praying-_The_Way_Lord_Brahma_Did_SB-03_09_40_Mumbai_-_04-03-98_IDesireTree.mp3")</f>
        <v>1998-045_Praying-_The_Way_Lord_Brahma_Did_SB-03_09_40_Mumbai_-_04-03-98_IDesireTree.mp3</v>
      </c>
      <c r="D1380" s="24"/>
      <c r="E1380" s="24"/>
    </row>
    <row r="1381">
      <c r="A1381" s="25" t="s">
        <v>18352</v>
      </c>
      <c r="B1381" s="25" t="s">
        <v>18362</v>
      </c>
      <c r="C1381" s="26" t="str">
        <f>HYPERLINK("https://audio.iskcondesiretree.com/02_-_ISKCON_Swamis/ISKCON_Swamis_-_R_to_Y/His_Holiness_Radhanath_Swami/Lectures/00_-_Year_wise/Devotional_Nectar_-_1998/1998-046_Setting_an_Ideal_Example_BG-02_23_Mumbai_-_Radhanath_Swami_1998-03-06_IDesireTree.mp3", "1998-046_Setting_an_Ideal_Example_BG-02_23_Mumbai_-_Radhanath_Swami_1998-03-06_IDesireTree.mp3")</f>
        <v>1998-046_Setting_an_Ideal_Example_BG-02_23_Mumbai_-_Radhanath_Swami_1998-03-06_IDesireTree.mp3</v>
      </c>
      <c r="D1381" s="24"/>
      <c r="E1381" s="24"/>
    </row>
    <row r="1382">
      <c r="A1382" s="25" t="s">
        <v>18352</v>
      </c>
      <c r="B1382" s="25" t="s">
        <v>18362</v>
      </c>
      <c r="C1382" s="26" t="str">
        <f>HYPERLINK("https://audio.iskcondesiretree.com/02_-_ISKCON_Swamis/ISKCON_Swamis_-_R_to_Y/His_Holiness_Radhanath_Swami/Lectures/00_-_Year_wise/Devotional_Nectar_-_1998/1998-047_Madhavendra_Puri_%26_Chaitanya_MahaPrabhu-_CC_Mumbai_-_08-03-98_IDesireTree.mp3", "1998-047_Madhavendra_Puri_%26_Chaitanya_MahaPrabhu-_CC_Mumbai_-_08-03-98_IDesireTree.mp3")</f>
        <v>1998-047_Madhavendra_Puri_%26_Chaitanya_MahaPrabhu-_CC_Mumbai_-_08-03-98_IDesireTree.mp3</v>
      </c>
      <c r="D1382" s="24"/>
      <c r="E1382" s="24"/>
    </row>
    <row r="1383">
      <c r="A1383" s="25" t="s">
        <v>18352</v>
      </c>
      <c r="B1383" s="25" t="s">
        <v>18362</v>
      </c>
      <c r="C1383" s="26" t="str">
        <f>HYPERLINK("https://audio.iskcondesiretree.com/02_-_ISKCON_Swamis/ISKCON_Swamis_-_R_to_Y/His_Holiness_Radhanath_Swami/Lectures/00_-_Year_wise/Devotional_Nectar_-_1998/1998-048_Attentive_Hearing_%26_Chanting_SB-03_06_37_Mumbai_-_08-03-98_IDesireTree.mp3", "1998-048_Attentive_Hearing_%26_Chanting_SB-03_06_37_Mumbai_-_08-03-98_IDesireTree.mp3")</f>
        <v>1998-048_Attentive_Hearing_%26_Chanting_SB-03_06_37_Mumbai_-_08-03-98_IDesireTree.mp3</v>
      </c>
      <c r="D1383" s="24"/>
      <c r="E1383" s="24"/>
    </row>
    <row r="1384">
      <c r="A1384" s="25" t="s">
        <v>18352</v>
      </c>
      <c r="B1384" s="25" t="s">
        <v>18362</v>
      </c>
      <c r="C1384" s="26" t="str">
        <f>HYPERLINK("https://audio.iskcondesiretree.com/02_-_ISKCON_Swamis/ISKCON_Swamis_-_R_to_Y/His_Holiness_Radhanath_Swami/Lectures/00_-_Year_wise/Devotional_Nectar_-_1998/1998-049_Bhakti_is_the_Only_Way_BG-07_01_Mumbai_-_Radhanath_Swami_1998-03-21_IDesireTree.mp3", "1998-049_Bhakti_is_the_Only_Way_BG-07_01_Mumbai_-_Radhanath_Swami_1998-03-21_IDesireTree.mp3")</f>
        <v>1998-049_Bhakti_is_the_Only_Way_BG-07_01_Mumbai_-_Radhanath_Swami_1998-03-21_IDesireTree.mp3</v>
      </c>
      <c r="D1384" s="24"/>
      <c r="E1384" s="24"/>
    </row>
    <row r="1385">
      <c r="A1385" s="25" t="s">
        <v>18352</v>
      </c>
      <c r="B1385" s="25" t="s">
        <v>18362</v>
      </c>
      <c r="C1385" s="26" t="str">
        <f>HYPERLINK("https://audio.iskcondesiretree.com/02_-_ISKCON_Swamis/ISKCON_Swamis_-_R_to_Y/His_Holiness_Radhanath_Swami/Lectures/00_-_Year_wise/Devotional_Nectar_-_1998/1998-050_Krishna_will_Definetly_Protect_SB-03_07_06_Mumbai_-_21-03-98_IDesireTree.mp3", "1998-050_Krishna_will_Definetly_Protect_SB-03_07_06_Mumbai_-_21-03-98_IDesireTree.mp3")</f>
        <v>1998-050_Krishna_will_Definetly_Protect_SB-03_07_06_Mumbai_-_21-03-98_IDesireTree.mp3</v>
      </c>
      <c r="D1385" s="24"/>
      <c r="E1385" s="24"/>
    </row>
    <row r="1386">
      <c r="A1386" s="25" t="s">
        <v>18352</v>
      </c>
      <c r="B1386" s="25" t="s">
        <v>18362</v>
      </c>
      <c r="C1386" s="26" t="str">
        <f>HYPERLINK("https://audio.iskcondesiretree.com/02_-_ISKCON_Swamis/ISKCON_Swamis_-_R_to_Y/His_Holiness_Radhanath_Swami/Lectures/00_-_Year_wise/Devotional_Nectar_-_1998/1998-051_Senses_Make_us_Miserable_SB-03_07_Mumbai_-_Radhanath_Swami_1998-03-22_IDesireTree.mp3", "1998-051_Senses_Make_us_Miserable_SB-03_07_Mumbai_-_Radhanath_Swami_1998-03-22_IDesireTree.mp3")</f>
        <v>1998-051_Senses_Make_us_Miserable_SB-03_07_Mumbai_-_Radhanath_Swami_1998-03-22_IDesireTree.mp3</v>
      </c>
      <c r="D1386" s="24"/>
      <c r="E1386" s="24"/>
    </row>
    <row r="1387">
      <c r="A1387" s="25" t="s">
        <v>18352</v>
      </c>
      <c r="B1387" s="25" t="s">
        <v>18362</v>
      </c>
      <c r="C1387" s="26" t="str">
        <f>HYPERLINK("https://audio.iskcondesiretree.com/02_-_ISKCON_Swamis/ISKCON_Swamis_-_R_to_Y/His_Holiness_Radhanath_Swami/Lectures/00_-_Year_wise/Devotional_Nectar_-_1998/1998-052_Philosophy_or_Foolosophy_BG-11_41-42_Kurukshetra_-_25-03-98_IDesireTree.mp3", "1998-052_Philosophy_or_Foolosophy_BG-11_41-42_Kurukshetra_-_25-03-98_IDesireTree.mp3")</f>
        <v>1998-052_Philosophy_or_Foolosophy_BG-11_41-42_Kurukshetra_-_25-03-98_IDesireTree.mp3</v>
      </c>
      <c r="D1387" s="24"/>
      <c r="E1387" s="24"/>
    </row>
    <row r="1388">
      <c r="A1388" s="25" t="s">
        <v>18352</v>
      </c>
      <c r="B1388" s="25" t="s">
        <v>18362</v>
      </c>
      <c r="C1388" s="26" t="str">
        <f>HYPERLINK("https://audio.iskcondesiretree.com/02_-_ISKCON_Swamis/ISKCON_Swamis_-_R_to_Y/His_Holiness_Radhanath_Swami/Lectures/00_-_Year_wise/Devotional_Nectar_-_1998/1998-053_Lord_Gauranga%27s_Lila_at_Rath_Yatra-_I_SB-_Kurukshetra_-_26-03-98_IDesireTree.mp3", "1998-053_Lord_Gauranga%27s_Lila_at_Rath_Yatra-_I_SB-_Kurukshetra_-_26-03-98_IDesireTree.mp3")</f>
        <v>1998-053_Lord_Gauranga%27s_Lila_at_Rath_Yatra-_I_SB-_Kurukshetra_-_26-03-98_IDesireTree.mp3</v>
      </c>
      <c r="D1388" s="24"/>
      <c r="E1388" s="24"/>
    </row>
    <row r="1389">
      <c r="A1389" s="25" t="s">
        <v>18352</v>
      </c>
      <c r="B1389" s="25" t="s">
        <v>18362</v>
      </c>
      <c r="C1389" s="26" t="str">
        <f>HYPERLINK("https://audio.iskcondesiretree.com/02_-_ISKCON_Swamis/ISKCON_Swamis_-_R_to_Y/His_Holiness_Radhanath_Swami/Lectures/00_-_Year_wise/Devotional_Nectar_-_1998/1998-054_Mind_the_Real_Cause_of_Suffering_BG-12_18-19_Mumbai_-_29-03-98_IDesireTree.mp3", "1998-054_Mind_the_Real_Cause_of_Suffering_BG-12_18-19_Mumbai_-_29-03-98_IDesireTree.mp3")</f>
        <v>1998-054_Mind_the_Real_Cause_of_Suffering_BG-12_18-19_Mumbai_-_29-03-98_IDesireTree.mp3</v>
      </c>
      <c r="D1389" s="24"/>
      <c r="E1389" s="24"/>
    </row>
    <row r="1390">
      <c r="A1390" s="25" t="s">
        <v>18352</v>
      </c>
      <c r="B1390" s="25" t="s">
        <v>18362</v>
      </c>
      <c r="C1390" s="26" t="str">
        <f>HYPERLINK("https://audio.iskcondesiretree.com/02_-_ISKCON_Swamis/ISKCON_Swamis_-_R_to_Y/His_Holiness_Radhanath_Swami/Lectures/00_-_Year_wise/Devotional_Nectar_-_1998/1998-055_Process_of_Devotional_Service_is_Gradual_SB-03_07_12_Mumbai_-_29-03-98_IDesireTree.mp3", "1998-055_Process_of_Devotional_Service_is_Gradual_SB-03_07_12_Mumbai_-_29-03-98_IDesireTree.mp3")</f>
        <v>1998-055_Process_of_Devotional_Service_is_Gradual_SB-03_07_12_Mumbai_-_29-03-98_IDesireTree.mp3</v>
      </c>
      <c r="D1390" s="24"/>
      <c r="E1390" s="24"/>
    </row>
    <row r="1391">
      <c r="A1391" s="25" t="s">
        <v>18352</v>
      </c>
      <c r="B1391" s="25" t="s">
        <v>18362</v>
      </c>
      <c r="C1391" s="26" t="str">
        <f>HYPERLINK("https://audio.iskcondesiretree.com/02_-_ISKCON_Swamis/ISKCON_Swamis_-_R_to_Y/His_Holiness_Radhanath_Swami/Lectures/00_-_Year_wise/Devotional_Nectar_-_1998/1998-056_Great_Kings-_Rantideva_%26_Dushyanta_SB-09_20_15-20_Mumbai_-_02-04-98_IDesireTree.mp3", "1998-056_Great_Kings-_Rantideva_%26_Dushyanta_SB-09_20_15-20_Mumbai_-_02-04-98_IDesireTree.mp3")</f>
        <v>1998-056_Great_Kings-_Rantideva_%26_Dushyanta_SB-09_20_15-20_Mumbai_-_02-04-98_IDesireTree.mp3</v>
      </c>
      <c r="D1391" s="24"/>
      <c r="E1391" s="24"/>
    </row>
    <row r="1392">
      <c r="A1392" s="25" t="s">
        <v>18352</v>
      </c>
      <c r="B1392" s="25" t="s">
        <v>18362</v>
      </c>
      <c r="C1392" s="26" t="str">
        <f>HYPERLINK("https://audio.iskcondesiretree.com/02_-_ISKCON_Swamis/ISKCON_Swamis_-_R_to_Y/His_Holiness_Radhanath_Swami/Lectures/00_-_Year_wise/Devotional_Nectar_-_1998/1998-057_To_Live_Without_Service_is_Impossible_Lecture_Mumbai_-_03-04-98_IDesireTree.mp3", "1998-057_To_Live_Without_Service_is_Impossible_Lecture_Mumbai_-_03-04-98_IDesireTree.mp3")</f>
        <v>1998-057_To_Live_Without_Service_is_Impossible_Lecture_Mumbai_-_03-04-98_IDesireTree.mp3</v>
      </c>
      <c r="D1392" s="24"/>
      <c r="E1392" s="24"/>
    </row>
    <row r="1393">
      <c r="A1393" s="25" t="s">
        <v>18352</v>
      </c>
      <c r="B1393" s="25" t="s">
        <v>18362</v>
      </c>
      <c r="C1393" s="26" t="str">
        <f>HYPERLINK("https://audio.iskcondesiretree.com/02_-_ISKCON_Swamis/ISKCON_Swamis_-_R_to_Y/His_Holiness_Radhanath_Swami/Lectures/00_-_Year_wise/Devotional_Nectar_-_1998/1998-058_Goal_of_Life-_Uninterrupted_Devotional_Service_SB-05_14_04_Mayapur_-_11-04-98_IDesireTree.m"&amp;"p3", "1998-058_Goal_of_Life-_Uninterrupted_Devotional_Service_SB-05_14_04_Mayapur_-_11-04-98_IDesireTree.mp3")</f>
        <v>1998-058_Goal_of_Life-_Uninterrupted_Devotional_Service_SB-05_14_04_Mayapur_-_11-04-98_IDesireTree.mp3</v>
      </c>
      <c r="D1393" s="24"/>
      <c r="E1393" s="24"/>
    </row>
    <row r="1394">
      <c r="A1394" s="25" t="s">
        <v>18352</v>
      </c>
      <c r="B1394" s="25" t="s">
        <v>18362</v>
      </c>
      <c r="C1394" s="26" t="str">
        <f>HYPERLINK("https://audio.iskcondesiretree.com/02_-_ISKCON_Swamis/ISKCON_Swamis_-_R_to_Y/His_Holiness_Radhanath_Swami/Lectures/00_-_Year_wise/Devotional_Nectar_-_1998/1998-059_Cleansing_the_Mirror_of_Mind_SB-05_14_05_Mayapur_-_12-04-98_IDesireTree.mp3", "1998-059_Cleansing_the_Mirror_of_Mind_SB-05_14_05_Mayapur_-_12-04-98_IDesireTree.mp3")</f>
        <v>1998-059_Cleansing_the_Mirror_of_Mind_SB-05_14_05_Mayapur_-_12-04-98_IDesireTree.mp3</v>
      </c>
      <c r="D1394" s="24"/>
      <c r="E1394" s="24"/>
    </row>
    <row r="1395">
      <c r="A1395" s="25" t="s">
        <v>18352</v>
      </c>
      <c r="B1395" s="25" t="s">
        <v>18362</v>
      </c>
      <c r="C1395" s="26" t="str">
        <f>HYPERLINK("https://audio.iskcondesiretree.com/02_-_ISKCON_Swamis/ISKCON_Swamis_-_R_to_Y/His_Holiness_Radhanath_Swami/Lectures/00_-_Year_wise/Devotional_Nectar_-_1998/1998-060_Real_Happiness_is_Krishna_Consiousness_SB-03_07_40_Mumbai_-_03-05-98_IDesireTree.mp3", "1998-060_Real_Happiness_is_Krishna_Consiousness_SB-03_07_40_Mumbai_-_03-05-98_IDesireTree.mp3")</f>
        <v>1998-060_Real_Happiness_is_Krishna_Consiousness_SB-03_07_40_Mumbai_-_03-05-98_IDesireTree.mp3</v>
      </c>
      <c r="D1395" s="24"/>
      <c r="E1395" s="24"/>
    </row>
    <row r="1396">
      <c r="A1396" s="25" t="s">
        <v>18352</v>
      </c>
      <c r="B1396" s="25" t="s">
        <v>18362</v>
      </c>
      <c r="C1396" s="26" t="str">
        <f>HYPERLINK("https://audio.iskcondesiretree.com/02_-_ISKCON_Swamis/ISKCON_Swamis_-_R_to_Y/His_Holiness_Radhanath_Swami/Lectures/00_-_Year_wise/Devotional_Nectar_-_1998/1998-061_Lord_is_Eternally_Hungry_for_His_Devotees_Love_Lecture_Mumbai_-_03-05-98_IDesireTree.mp3", "1998-061_Lord_is_Eternally_Hungry_for_His_Devotees_Love_Lecture_Mumbai_-_03-05-98_IDesireTree.mp3")</f>
        <v>1998-061_Lord_is_Eternally_Hungry_for_His_Devotees_Love_Lecture_Mumbai_-_03-05-98_IDesireTree.mp3</v>
      </c>
      <c r="D1396" s="24"/>
      <c r="E1396" s="24"/>
    </row>
    <row r="1397">
      <c r="A1397" s="25" t="s">
        <v>18352</v>
      </c>
      <c r="B1397" s="25" t="s">
        <v>18362</v>
      </c>
      <c r="C1397" s="26" t="str">
        <f>HYPERLINK("https://audio.iskcondesiretree.com/02_-_ISKCON_Swamis/ISKCON_Swamis_-_R_to_Y/His_Holiness_Radhanath_Swami/Lectures/00_-_Year_wise/Devotional_Nectar_-_1998/1998-062_Sincere_Desire_to_Serve_-_Please_Krishna_-_Radhanath_Swami_1998-05-05_IDesireTree.mp3", "1998-062_Sincere_Desire_to_Serve_-_Please_Krishna_-_Radhanath_Swami_1998-05-05_IDesireTree.mp3")</f>
        <v>1998-062_Sincere_Desire_to_Serve_-_Please_Krishna_-_Radhanath_Swami_1998-05-05_IDesireTree.mp3</v>
      </c>
      <c r="D1397" s="24"/>
      <c r="E1397" s="24"/>
    </row>
    <row r="1398">
      <c r="A1398" s="25" t="s">
        <v>18352</v>
      </c>
      <c r="B1398" s="25" t="s">
        <v>18362</v>
      </c>
      <c r="C1398" s="26" t="str">
        <f>HYPERLINK("https://audio.iskcondesiretree.com/02_-_ISKCON_Swamis/ISKCON_Swamis_-_R_to_Y/His_Holiness_Radhanath_Swami/Lectures/00_-_Year_wise/Devotional_Nectar_-_1998/1998-063_Srila_Prabhupada_Pastimes_Lecture_Mumbai_-_Radhanath_Swami_1998-05-07_IDesireTree.mp3", "1998-063_Srila_Prabhupada_Pastimes_Lecture_Mumbai_-_Radhanath_Swami_1998-05-07_IDesireTree.mp3")</f>
        <v>1998-063_Srila_Prabhupada_Pastimes_Lecture_Mumbai_-_Radhanath_Swami_1998-05-07_IDesireTree.mp3</v>
      </c>
      <c r="D1398" s="24"/>
      <c r="E1398" s="24"/>
    </row>
    <row r="1399">
      <c r="A1399" s="25" t="s">
        <v>18352</v>
      </c>
      <c r="B1399" s="25" t="s">
        <v>18362</v>
      </c>
      <c r="C1399" s="26" t="str">
        <f>HYPERLINK("https://audio.iskcondesiretree.com/02_-_ISKCON_Swamis/ISKCON_Swamis_-_R_to_Y/His_Holiness_Radhanath_Swami/Lectures/00_-_Year_wise/Devotional_Nectar_-_1998/1998-064_Attentively_Hearing_the_Sound_Vibration_SB-03_08_03_Mumbai_-_12-05-98_IDesireTree.mp3", "1998-064_Attentively_Hearing_the_Sound_Vibration_SB-03_08_03_Mumbai_-_12-05-98_IDesireTree.mp3")</f>
        <v>1998-064_Attentively_Hearing_the_Sound_Vibration_SB-03_08_03_Mumbai_-_12-05-98_IDesireTree.mp3</v>
      </c>
      <c r="D1399" s="24"/>
      <c r="E1399" s="24"/>
    </row>
    <row r="1400">
      <c r="A1400" s="25" t="s">
        <v>18352</v>
      </c>
      <c r="B1400" s="25" t="s">
        <v>18362</v>
      </c>
      <c r="C1400" s="26" t="str">
        <f>HYPERLINK("https://audio.iskcondesiretree.com/02_-_ISKCON_Swamis/ISKCON_Swamis_-_R_to_Y/His_Holiness_Radhanath_Swami/Lectures/00_-_Year_wise/Devotional_Nectar_-_1998/1998-065_Glories_of_Ganga_Devi_SB-03_08_04-05_Mumbai_-_Radhanath_Swami_1998-05-13_IDesireTree.mp3", "1998-065_Glories_of_Ganga_Devi_SB-03_08_04-05_Mumbai_-_Radhanath_Swami_1998-05-13_IDesireTree.mp3")</f>
        <v>1998-065_Glories_of_Ganga_Devi_SB-03_08_04-05_Mumbai_-_Radhanath_Swami_1998-05-13_IDesireTree.mp3</v>
      </c>
      <c r="D1400" s="24"/>
      <c r="E1400" s="24"/>
    </row>
    <row r="1401">
      <c r="A1401" s="25" t="s">
        <v>18352</v>
      </c>
      <c r="B1401" s="25" t="s">
        <v>18362</v>
      </c>
      <c r="C1401" s="26" t="str">
        <f>HYPERLINK("https://audio.iskcondesiretree.com/02_-_ISKCON_Swamis/ISKCON_Swamis_-_R_to_Y/His_Holiness_Radhanath_Swami/Lectures/00_-_Year_wise/Devotional_Nectar_-_1998/1998-066_Address_to_Brahmacaris-_I%26II_Lecture_Mumbai_-_Radhanath_Swami_1998-05-13_IDesireTree.mp3", "1998-066_Address_to_Brahmacaris-_I%26II_Lecture_Mumbai_-_Radhanath_Swami_1998-05-13_IDesireTree.mp3")</f>
        <v>1998-066_Address_to_Brahmacaris-_I%26II_Lecture_Mumbai_-_Radhanath_Swami_1998-05-13_IDesireTree.mp3</v>
      </c>
      <c r="D1401" s="24"/>
      <c r="E1401" s="24"/>
    </row>
    <row r="1402">
      <c r="A1402" s="25" t="s">
        <v>18352</v>
      </c>
      <c r="B1402" s="25" t="s">
        <v>18362</v>
      </c>
      <c r="C1402" s="26" t="str">
        <f>HYPERLINK("https://audio.iskcondesiretree.com/02_-_ISKCON_Swamis/ISKCON_Swamis_-_R_to_Y/His_Holiness_Radhanath_Swami/Lectures/00_-_Year_wise/Devotional_Nectar_-_1998/1998-067_Lecture_NV_-_Radhanath_Swami_1998-05-19_IDesireTree.mp3", "1998-067_Lecture_NV_-_Radhanath_Swami_1998-05-19_IDesireTree.mp3")</f>
        <v>1998-067_Lecture_NV_-_Radhanath_Swami_1998-05-19_IDesireTree.mp3</v>
      </c>
      <c r="D1402" s="24"/>
      <c r="E1402" s="24"/>
    </row>
    <row r="1403">
      <c r="A1403" s="25" t="s">
        <v>18352</v>
      </c>
      <c r="B1403" s="25" t="s">
        <v>18362</v>
      </c>
      <c r="C1403" s="26" t="str">
        <f>HYPERLINK("https://audio.iskcondesiretree.com/02_-_ISKCON_Swamis/ISKCON_Swamis_-_R_to_Y/His_Holiness_Radhanath_Swami/Lectures/00_-_Year_wise/Devotional_Nectar_-_1998/1998-068_SB-07_02_50_NV_-_Radhanath_Swami_1998-05-20_IDesireTree.mp3", "1998-068_SB-07_02_50_NV_-_Radhanath_Swami_1998-05-20_IDesireTree.mp3")</f>
        <v>1998-068_SB-07_02_50_NV_-_Radhanath_Swami_1998-05-20_IDesireTree.mp3</v>
      </c>
      <c r="D1403" s="24"/>
      <c r="E1403" s="24"/>
    </row>
    <row r="1404">
      <c r="A1404" s="25" t="s">
        <v>18352</v>
      </c>
      <c r="B1404" s="25" t="s">
        <v>18362</v>
      </c>
      <c r="C1404" s="26" t="str">
        <f>HYPERLINK("https://audio.iskcondesiretree.com/02_-_ISKCON_Swamis/ISKCON_Swamis_-_R_to_Y/His_Holiness_Radhanath_Swami/Lectures/00_-_Year_wise/Devotional_Nectar_-_1998/1998-069_Lord_Caitanya_Celebrating_Ratha_Yatra_Lecture_NV_-_21-05-98_IDesireTree.mp3", "1998-069_Lord_Caitanya_Celebrating_Ratha_Yatra_Lecture_NV_-_21-05-98_IDesireTree.mp3")</f>
        <v>1998-069_Lord_Caitanya_Celebrating_Ratha_Yatra_Lecture_NV_-_21-05-98_IDesireTree.mp3</v>
      </c>
      <c r="D1404" s="24"/>
      <c r="E1404" s="24"/>
    </row>
    <row r="1405">
      <c r="A1405" s="25" t="s">
        <v>18352</v>
      </c>
      <c r="B1405" s="25" t="s">
        <v>18362</v>
      </c>
      <c r="C1405" s="26" t="str">
        <f>HYPERLINK("https://audio.iskcondesiretree.com/02_-_ISKCON_Swamis/ISKCON_Swamis_-_R_to_Y/His_Holiness_Radhanath_Swami/Lectures/00_-_Year_wise/Devotional_Nectar_-_1998/1998-070_Indra%27s_Attachment_SB-3_25_16_NV_-_Radhanath_Swami_1998-05-25_IDesireTree.mp3", "1998-070_Indra%27s_Attachment_SB-3_25_16_NV_-_Radhanath_Swami_1998-05-25_IDesireTree.mp3")</f>
        <v>1998-070_Indra%27s_Attachment_SB-3_25_16_NV_-_Radhanath_Swami_1998-05-25_IDesireTree.mp3</v>
      </c>
      <c r="D1405" s="24"/>
      <c r="E1405" s="24"/>
    </row>
    <row r="1406">
      <c r="A1406" s="25" t="s">
        <v>18352</v>
      </c>
      <c r="B1406" s="25" t="s">
        <v>18362</v>
      </c>
      <c r="C1406" s="26" t="str">
        <f>HYPERLINK("https://audio.iskcondesiretree.com/02_-_ISKCON_Swamis/ISKCON_Swamis_-_R_to_Y/His_Holiness_Radhanath_Swami/Lectures/00_-_Year_wise/Devotional_Nectar_-_1998/1998-071_Different_Mellows_in_Vrindavan_%26_Goloka_Vrindavan_Lecture_Hyderabad_-_19-07-98_IDesireTre"&amp;"e.mp3", "1998-071_Different_Mellows_in_Vrindavan_%26_Goloka_Vrindavan_Lecture_Hyderabad_-_19-07-98_IDesireTree.mp3")</f>
        <v>1998-071_Different_Mellows_in_Vrindavan_%26_Goloka_Vrindavan_Lecture_Hyderabad_-_19-07-98_IDesireTree.mp3</v>
      </c>
      <c r="D1406" s="24"/>
      <c r="E1406" s="24"/>
    </row>
    <row r="1407">
      <c r="A1407" s="25" t="s">
        <v>18352</v>
      </c>
      <c r="B1407" s="25" t="s">
        <v>18362</v>
      </c>
      <c r="C1407" s="26" t="str">
        <f>HYPERLINK("https://audio.iskcondesiretree.com/02_-_ISKCON_Swamis/ISKCON_Swamis_-_R_to_Y/His_Holiness_Radhanath_Swami/Lectures/00_-_Year_wise/Devotional_Nectar_-_1998/1998-072_Pleasing_Krishna_With_Our_Humility_BG-08_07_Mumbai_-_19-07-98_IDesireTree.mp3", "1998-072_Pleasing_Krishna_With_Our_Humility_BG-08_07_Mumbai_-_19-07-98_IDesireTree.mp3")</f>
        <v>1998-072_Pleasing_Krishna_With_Our_Humility_BG-08_07_Mumbai_-_19-07-98_IDesireTree.mp3</v>
      </c>
      <c r="D1407" s="24"/>
      <c r="E1407" s="24"/>
    </row>
    <row r="1408">
      <c r="A1408" s="25" t="s">
        <v>18352</v>
      </c>
      <c r="B1408" s="25" t="s">
        <v>18362</v>
      </c>
      <c r="C1408" s="26" t="str">
        <f>HYPERLINK("https://audio.iskcondesiretree.com/02_-_ISKCON_Swamis/ISKCON_Swamis_-_R_to_Y/His_Holiness_Radhanath_Swami/Lectures/00_-_Year_wise/Devotional_Nectar_-_1998/1998-073_Total_Faith_in_Scriptures_SB-03_09_37_Mumbai_-_Radhanath_Swami_1998-07-20_IDesireTree.mp3", "1998-073_Total_Faith_in_Scriptures_SB-03_09_37_Mumbai_-_Radhanath_Swami_1998-07-20_IDesireTree.mp3")</f>
        <v>1998-073_Total_Faith_in_Scriptures_SB-03_09_37_Mumbai_-_Radhanath_Swami_1998-07-20_IDesireTree.mp3</v>
      </c>
      <c r="D1408" s="24"/>
      <c r="E1408" s="24"/>
    </row>
    <row r="1409">
      <c r="A1409" s="25" t="s">
        <v>18352</v>
      </c>
      <c r="B1409" s="25" t="s">
        <v>18362</v>
      </c>
      <c r="C1409" s="26" t="str">
        <f>HYPERLINK("https://audio.iskcondesiretree.com/02_-_ISKCON_Swamis/ISKCON_Swamis_-_R_to_Y/His_Holiness_Radhanath_Swami/Lectures/00_-_Year_wise/Devotional_Nectar_-_1998/1998-074_What_is_Real_Renunciation_Lecture_Mumbai_-_Radhanath_Swami_1998-07-21_IDesireTree.mp3", "1998-074_What_is_Real_Renunciation_Lecture_Mumbai_-_Radhanath_Swami_1998-07-21_IDesireTree.mp3")</f>
        <v>1998-074_What_is_Real_Renunciation_Lecture_Mumbai_-_Radhanath_Swami_1998-07-21_IDesireTree.mp3</v>
      </c>
      <c r="D1409" s="24"/>
      <c r="E1409" s="24"/>
    </row>
    <row r="1410">
      <c r="A1410" s="25" t="s">
        <v>18352</v>
      </c>
      <c r="B1410" s="25" t="s">
        <v>18362</v>
      </c>
      <c r="C1410" s="26" t="str">
        <f>HYPERLINK("https://audio.iskcondesiretree.com/02_-_ISKCON_Swamis/ISKCON_Swamis_-_R_to_Y/His_Holiness_Radhanath_Swami/Lectures/00_-_Year_wise/Devotional_Nectar_-_1998/1998-075_Real_Affection_SB-03_09_42_Mumbai_-_Radhanath_Swami_1998-07-26_IDesireTree.mp3", "1998-075_Real_Affection_SB-03_09_42_Mumbai_-_Radhanath_Swami_1998-07-26_IDesireTree.mp3")</f>
        <v>1998-075_Real_Affection_SB-03_09_42_Mumbai_-_Radhanath_Swami_1998-07-26_IDesireTree.mp3</v>
      </c>
      <c r="D1410" s="24"/>
      <c r="E1410" s="24"/>
    </row>
    <row r="1411">
      <c r="A1411" s="25" t="s">
        <v>18352</v>
      </c>
      <c r="B1411" s="25" t="s">
        <v>18362</v>
      </c>
      <c r="C1411" s="26" t="str">
        <f>HYPERLINK("https://audio.iskcondesiretree.com/02_-_ISKCON_Swamis/ISKCON_Swamis_-_R_to_Y/His_Holiness_Radhanath_Swami/Lectures/00_-_Year_wise/Devotional_Nectar_-_1998/1998-076_Ganges_of_the_Holy_Name_SB-03_13_44_Mumbai_-_Radhanath_Swami_1998-07-28_IDesireTree.mp3", "1998-076_Ganges_of_the_Holy_Name_SB-03_13_44_Mumbai_-_Radhanath_Swami_1998-07-28_IDesireTree.mp3")</f>
        <v>1998-076_Ganges_of_the_Holy_Name_SB-03_13_44_Mumbai_-_Radhanath_Swami_1998-07-28_IDesireTree.mp3</v>
      </c>
      <c r="D1411" s="24"/>
      <c r="E1411" s="24"/>
    </row>
    <row r="1412">
      <c r="A1412" s="25" t="s">
        <v>18352</v>
      </c>
      <c r="B1412" s="25" t="s">
        <v>18362</v>
      </c>
      <c r="C1412" s="26" t="str">
        <f>HYPERLINK("https://audio.iskcondesiretree.com/02_-_ISKCON_Swamis/ISKCON_Swamis_-_R_to_Y/His_Holiness_Radhanath_Swami/Lectures/00_-_Year_wise/Devotional_Nectar_-_1998/1998-077_Importance_of_Disciplic_Succession_SB-03_10_03_Mumbai_-_29-07-98_IDesireTree.mp3", "1998-077_Importance_of_Disciplic_Succession_SB-03_10_03_Mumbai_-_29-07-98_IDesireTree.mp3")</f>
        <v>1998-077_Importance_of_Disciplic_Succession_SB-03_10_03_Mumbai_-_29-07-98_IDesireTree.mp3</v>
      </c>
      <c r="D1412" s="24"/>
      <c r="E1412" s="24"/>
    </row>
    <row r="1413">
      <c r="A1413" s="25" t="s">
        <v>18352</v>
      </c>
      <c r="B1413" s="25" t="s">
        <v>18362</v>
      </c>
      <c r="C1413" s="26" t="str">
        <f>HYPERLINK("https://audio.iskcondesiretree.com/02_-_ISKCON_Swamis/ISKCON_Swamis_-_R_to_Y/His_Holiness_Radhanath_Swami/Lectures/00_-_Year_wise/Devotional_Nectar_-_1998/1998-078_Hare_Krishna_SB-03_10_04_Mumbai_-_Radhanath_Swami_1998-07-30_IDesireTree.mp3", "1998-078_Hare_Krishna_SB-03_10_04_Mumbai_-_Radhanath_Swami_1998-07-30_IDesireTree.mp3")</f>
        <v>1998-078_Hare_Krishna_SB-03_10_04_Mumbai_-_Radhanath_Swami_1998-07-30_IDesireTree.mp3</v>
      </c>
      <c r="D1413" s="24"/>
      <c r="E1413" s="24"/>
    </row>
    <row r="1414">
      <c r="A1414" s="25" t="s">
        <v>18352</v>
      </c>
      <c r="B1414" s="25" t="s">
        <v>18362</v>
      </c>
      <c r="C1414" s="26" t="str">
        <f>HYPERLINK("https://audio.iskcondesiretree.com/02_-_ISKCON_Swamis/ISKCON_Swamis_-_R_to_Y/His_Holiness_Radhanath_Swami/Lectures/00_-_Year_wise/Devotional_Nectar_-_1998/1998-079_You_Cannot_Satisfy_Each_%26_Every_Person_CC_ML-02_81_Mumbai_-_01-08-98_IDesireTree.mp3", "1998-079_You_Cannot_Satisfy_Each_%26_Every_Person_CC_ML-02_81_Mumbai_-_01-08-98_IDesireTree.mp3")</f>
        <v>1998-079_You_Cannot_Satisfy_Each_%26_Every_Person_CC_ML-02_81_Mumbai_-_01-08-98_IDesireTree.mp3</v>
      </c>
      <c r="D1414" s="24"/>
      <c r="E1414" s="24"/>
    </row>
    <row r="1415">
      <c r="A1415" s="25" t="s">
        <v>18352</v>
      </c>
      <c r="B1415" s="25" t="s">
        <v>18362</v>
      </c>
      <c r="C1415" s="26" t="str">
        <f>HYPERLINK("https://audio.iskcondesiretree.com/02_-_ISKCON_Swamis/ISKCON_Swamis_-_R_to_Y/His_Holiness_Radhanath_Swami/Lectures/00_-_Year_wise/Devotional_Nectar_-_1998/1998-080_The_Story_of_Banasura_BG-02_49_Mumbai_-_Radhanath_Swami_1998-08-01_IDesireTree.mp3", "1998-080_The_Story_of_Banasura_BG-02_49_Mumbai_-_Radhanath_Swami_1998-08-01_IDesireTree.mp3")</f>
        <v>1998-080_The_Story_of_Banasura_BG-02_49_Mumbai_-_Radhanath_Swami_1998-08-01_IDesireTree.mp3</v>
      </c>
      <c r="D1415" s="24"/>
      <c r="E1415" s="24"/>
    </row>
    <row r="1416">
      <c r="A1416" s="25" t="s">
        <v>18352</v>
      </c>
      <c r="B1416" s="25" t="s">
        <v>18362</v>
      </c>
      <c r="C1416" s="26" t="str">
        <f>HYPERLINK("https://audio.iskcondesiretree.com/02_-_ISKCON_Swamis/ISKCON_Swamis_-_R_to_Y/His_Holiness_Radhanath_Swami/Lectures/00_-_Year_wise/Devotional_Nectar_-_1998/1998-081_Demigods_Depend_on_Krishna_SB-03_5_37-38_Mumbai_-_15-08-98_IDesireTree.mp3", "1998-081_Demigods_Depend_on_Krishna_SB-03_5_37-38_Mumbai_-_15-08-98_IDesireTree.mp3")</f>
        <v>1998-081_Demigods_Depend_on_Krishna_SB-03_5_37-38_Mumbai_-_15-08-98_IDesireTree.mp3</v>
      </c>
      <c r="D1416" s="24"/>
      <c r="E1416" s="24"/>
    </row>
    <row r="1417">
      <c r="A1417" s="25" t="s">
        <v>18352</v>
      </c>
      <c r="B1417" s="25" t="s">
        <v>18362</v>
      </c>
      <c r="C1417" s="26" t="str">
        <f>HYPERLINK("https://audio.iskcondesiretree.com/02_-_ISKCON_Swamis/ISKCON_Swamis_-_R_to_Y/His_Holiness_Radhanath_Swami/Lectures/00_-_Year_wise/Devotional_Nectar_-_1998/1998-082_Reading_Prabhupada_Lilamrita_Lecture_Mumbai_-_Radhanath_Swami_1998-09-16_IDesireTree.mp3", "1998-082_Reading_Prabhupada_Lilamrita_Lecture_Mumbai_-_Radhanath_Swami_1998-09-16_IDesireTree.mp3")</f>
        <v>1998-082_Reading_Prabhupada_Lilamrita_Lecture_Mumbai_-_Radhanath_Swami_1998-09-16_IDesireTree.mp3</v>
      </c>
      <c r="D1417" s="24"/>
      <c r="E1417" s="24"/>
    </row>
    <row r="1418">
      <c r="A1418" s="25" t="s">
        <v>18352</v>
      </c>
      <c r="B1418" s="25" t="s">
        <v>18362</v>
      </c>
      <c r="C1418" s="26" t="str">
        <f>HYPERLINK("https://audio.iskcondesiretree.com/02_-_ISKCON_Swamis/ISKCON_Swamis_-_R_to_Y/His_Holiness_Radhanath_Swami/Lectures/00_-_Year_wise/Devotional_Nectar_-_1998/1998-083_Arrival_Address_Lecture_Mumbai_-_Radhanath_Swami_1998-09-18_IDesireTree.mp3", "1998-083_Arrival_Address_Lecture_Mumbai_-_Radhanath_Swami_1998-09-18_IDesireTree.mp3")</f>
        <v>1998-083_Arrival_Address_Lecture_Mumbai_-_Radhanath_Swami_1998-09-18_IDesireTree.mp3</v>
      </c>
      <c r="D1418" s="24"/>
      <c r="E1418" s="24"/>
    </row>
    <row r="1419">
      <c r="A1419" s="25" t="s">
        <v>18352</v>
      </c>
      <c r="B1419" s="25" t="s">
        <v>18362</v>
      </c>
      <c r="C1419" s="26" t="str">
        <f>HYPERLINK("https://audio.iskcondesiretree.com/02_-_ISKCON_Swamis/ISKCON_Swamis_-_R_to_Y/His_Holiness_Radhanath_Swami/Lectures/00_-_Year_wise/Devotional_Nectar_-_1998/1998-084_Becoming_Attached_to_Krishna_SB-03_12_42_Mumbai_-_19-09-98_IDesireTree.mp3", "1998-084_Becoming_Attached_to_Krishna_SB-03_12_42_Mumbai_-_19-09-98_IDesireTree.mp3")</f>
        <v>1998-084_Becoming_Attached_to_Krishna_SB-03_12_42_Mumbai_-_19-09-98_IDesireTree.mp3</v>
      </c>
      <c r="D1419" s="24"/>
      <c r="E1419" s="24"/>
    </row>
    <row r="1420">
      <c r="A1420" s="25" t="s">
        <v>18352</v>
      </c>
      <c r="B1420" s="25" t="s">
        <v>18362</v>
      </c>
      <c r="C1420" s="26" t="str">
        <f>HYPERLINK("https://audio.iskcondesiretree.com/02_-_ISKCON_Swamis/ISKCON_Swamis_-_R_to_Y/His_Holiness_Radhanath_Swami/Lectures/00_-_Year_wise/Devotional_Nectar_-_1998/1998-085_Hare_Krishna_SB-03_12_43_Mumbai_-_Radhanath_Swami_1998-09-20_IDesireTree.mp3", "1998-085_Hare_Krishna_SB-03_12_43_Mumbai_-_Radhanath_Swami_1998-09-20_IDesireTree.mp3")</f>
        <v>1998-085_Hare_Krishna_SB-03_12_43_Mumbai_-_Radhanath_Swami_1998-09-20_IDesireTree.mp3</v>
      </c>
      <c r="D1420" s="24"/>
      <c r="E1420" s="24"/>
    </row>
    <row r="1421">
      <c r="A1421" s="25" t="s">
        <v>18352</v>
      </c>
      <c r="B1421" s="25" t="s">
        <v>18362</v>
      </c>
      <c r="C1421" s="26" t="str">
        <f>HYPERLINK("https://audio.iskcondesiretree.com/02_-_ISKCON_Swamis/ISKCON_Swamis_-_R_to_Y/His_Holiness_Radhanath_Swami/Lectures/00_-_Year_wise/Devotional_Nectar_-_1998/1998-086_Marriage_Ceremony_Address_Lecture_Mumbai_-_Radhanath_Swami_1998-09-20_IDesireTree.mp3", "1998-086_Marriage_Ceremony_Address_Lecture_Mumbai_-_Radhanath_Swami_1998-09-20_IDesireTree.mp3")</f>
        <v>1998-086_Marriage_Ceremony_Address_Lecture_Mumbai_-_Radhanath_Swami_1998-09-20_IDesireTree.mp3</v>
      </c>
      <c r="D1421" s="24"/>
      <c r="E1421" s="24"/>
    </row>
    <row r="1422">
      <c r="A1422" s="25" t="s">
        <v>18352</v>
      </c>
      <c r="B1422" s="25" t="s">
        <v>18362</v>
      </c>
      <c r="C1422" s="26" t="str">
        <f>HYPERLINK("https://audio.iskcondesiretree.com/02_-_ISKCON_Swamis/ISKCON_Swamis_-_R_to_Y/His_Holiness_Radhanath_Swami/Lectures/00_-_Year_wise/Devotional_Nectar_-_1998/1998-087_Krishna_Lila_SB-10_Mumbai_-_Radhanath_Swami_1998-09-20_IDesireTree.mp3", "1998-087_Krishna_Lila_SB-10_Mumbai_-_Radhanath_Swami_1998-09-20_IDesireTree.mp3")</f>
        <v>1998-087_Krishna_Lila_SB-10_Mumbai_-_Radhanath_Swami_1998-09-20_IDesireTree.mp3</v>
      </c>
      <c r="D1422" s="24"/>
      <c r="E1422" s="24"/>
    </row>
    <row r="1423">
      <c r="A1423" s="25" t="s">
        <v>18352</v>
      </c>
      <c r="B1423" s="25" t="s">
        <v>18362</v>
      </c>
      <c r="C1423" s="26" t="str">
        <f>HYPERLINK("https://audio.iskcondesiretree.com/02_-_ISKCON_Swamis/ISKCON_Swamis_-_R_to_Y/His_Holiness_Radhanath_Swami/Lectures/00_-_Year_wise/Devotional_Nectar_-_1998/1998-088_Lecture_-_Radhanath_Swami_IDesireTree.mp3", "1998-088_Lecture_-_Radhanath_Swami_IDesireTree.mp3")</f>
        <v>1998-088_Lecture_-_Radhanath_Swami_IDesireTree.mp3</v>
      </c>
      <c r="D1423" s="24"/>
      <c r="E1423" s="24"/>
    </row>
    <row r="1424">
      <c r="A1424" s="25" t="s">
        <v>18352</v>
      </c>
      <c r="B1424" s="25" t="s">
        <v>18362</v>
      </c>
      <c r="C1424" s="26" t="str">
        <f>HYPERLINK("https://audio.iskcondesiretree.com/02_-_ISKCON_Swamis/ISKCON_Swamis_-_R_to_Y/His_Holiness_Radhanath_Swami/Lectures/00_-_Year_wise/Devotional_Nectar_-_1998/1998-089_Hare_Krishna_BG-07_06-07_Mumbai_-_Radhanath_Swami_1998-09-23_IDesireTree.mp3", "1998-089_Hare_Krishna_BG-07_06-07_Mumbai_-_Radhanath_Swami_1998-09-23_IDesireTree.mp3")</f>
        <v>1998-089_Hare_Krishna_BG-07_06-07_Mumbai_-_Radhanath_Swami_1998-09-23_IDesireTree.mp3</v>
      </c>
      <c r="D1424" s="24"/>
      <c r="E1424" s="24"/>
    </row>
    <row r="1425">
      <c r="A1425" s="25" t="s">
        <v>18352</v>
      </c>
      <c r="B1425" s="25" t="s">
        <v>18362</v>
      </c>
      <c r="C1425" s="26" t="str">
        <f>HYPERLINK("https://audio.iskcondesiretree.com/02_-_ISKCON_Swamis/ISKCON_Swamis_-_R_to_Y/His_Holiness_Radhanath_Swami/Lectures/00_-_Year_wise/Devotional_Nectar_-_1998/1998-090_Glories_of_Svayambhuva_Manu_SB-03_13_02-03_Mumbai_-_27-09-98_IDesireTree.mp3", "1998-090_Glories_of_Svayambhuva_Manu_SB-03_13_02-03_Mumbai_-_27-09-98_IDesireTree.mp3")</f>
        <v>1998-090_Glories_of_Svayambhuva_Manu_SB-03_13_02-03_Mumbai_-_27-09-98_IDesireTree.mp3</v>
      </c>
      <c r="D1425" s="24"/>
      <c r="E1425" s="24"/>
    </row>
    <row r="1426">
      <c r="A1426" s="25" t="s">
        <v>18352</v>
      </c>
      <c r="B1426" s="25" t="s">
        <v>18362</v>
      </c>
      <c r="C1426" s="26" t="str">
        <f>HYPERLINK("https://audio.iskcondesiretree.com/02_-_ISKCON_Swamis/ISKCON_Swamis_-_R_to_Y/His_Holiness_Radhanath_Swami/Lectures/00_-_Year_wise/Devotional_Nectar_-_1998/1998-091_Krishna_Lila_BG-08_14_Mumbai_-_Radhanath_Swami_1998-09-27_IDesireTree.mp3", "1998-091_Krishna_Lila_BG-08_14_Mumbai_-_Radhanath_Swami_1998-09-27_IDesireTree.mp3")</f>
        <v>1998-091_Krishna_Lila_BG-08_14_Mumbai_-_Radhanath_Swami_1998-09-27_IDesireTree.mp3</v>
      </c>
      <c r="D1426" s="24"/>
      <c r="E1426" s="24"/>
    </row>
    <row r="1427">
      <c r="A1427" s="25" t="s">
        <v>18352</v>
      </c>
      <c r="B1427" s="25" t="s">
        <v>18362</v>
      </c>
      <c r="C1427" s="26" t="str">
        <f>HYPERLINK("https://audio.iskcondesiretree.com/02_-_ISKCON_Swamis/ISKCON_Swamis_-_R_to_Y/His_Holiness_Radhanath_Swami/Lectures/00_-_Year_wise/Devotional_Nectar_-_1998/1998-092_Preach_Only_When_You_Receive_the_Order_Lecture_Mumbai_-_28-09-97_IDesireTree.mp3", "1998-092_Preach_Only_When_You_Receive_the_Order_Lecture_Mumbai_-_28-09-97_IDesireTree.mp3")</f>
        <v>1998-092_Preach_Only_When_You_Receive_the_Order_Lecture_Mumbai_-_28-09-97_IDesireTree.mp3</v>
      </c>
      <c r="D1427" s="24"/>
      <c r="E1427" s="24"/>
    </row>
    <row r="1428">
      <c r="A1428" s="25" t="s">
        <v>18352</v>
      </c>
      <c r="B1428" s="25" t="s">
        <v>18362</v>
      </c>
      <c r="C1428" s="26" t="str">
        <f>HYPERLINK("https://audio.iskcondesiretree.com/02_-_ISKCON_Swamis/ISKCON_Swamis_-_R_to_Y/His_Holiness_Radhanath_Swami/Lectures/00_-_Year_wise/Devotional_Nectar_-_1998/1998-093_Applying_Teachings_of_Ram_Lila_in_Our_Lives_Lecture_Belgaum_-_28-09-98_IDesireTree.mp3", "1998-093_Applying_Teachings_of_Ram_Lila_in_Our_Lives_Lecture_Belgaum_-_28-09-98_IDesireTree.mp3")</f>
        <v>1998-093_Applying_Teachings_of_Ram_Lila_in_Our_Lives_Lecture_Belgaum_-_28-09-98_IDesireTree.mp3</v>
      </c>
      <c r="D1428" s="24"/>
      <c r="E1428" s="24"/>
    </row>
    <row r="1429">
      <c r="A1429" s="25" t="s">
        <v>18352</v>
      </c>
      <c r="B1429" s="25" t="s">
        <v>18362</v>
      </c>
      <c r="C1429" s="26" t="str">
        <f>HYPERLINK("https://audio.iskcondesiretree.com/02_-_ISKCON_Swamis/ISKCON_Swamis_-_R_to_Y/His_Holiness_Radhanath_Swami/Lectures/00_-_Year_wise/Devotional_Nectar_-_1998/1998-094_Hare_Krishna_SB-03_32_40_Belgaum_-_Radhanath_Swami_1998-09-29_IDesireTree.mp3", "1998-094_Hare_Krishna_SB-03_32_40_Belgaum_-_Radhanath_Swami_1998-09-29_IDesireTree.mp3")</f>
        <v>1998-094_Hare_Krishna_SB-03_32_40_Belgaum_-_Radhanath_Swami_1998-09-29_IDesireTree.mp3</v>
      </c>
      <c r="D1429" s="24"/>
      <c r="E1429" s="24"/>
    </row>
    <row r="1430">
      <c r="A1430" s="25" t="s">
        <v>18352</v>
      </c>
      <c r="B1430" s="25" t="s">
        <v>18362</v>
      </c>
      <c r="C1430" s="26" t="str">
        <f>HYPERLINK("https://audio.iskcondesiretree.com/02_-_ISKCON_Swamis/ISKCON_Swamis_-_R_to_Y/His_Holiness_Radhanath_Swami/Lectures/00_-_Year_wise/Devotional_Nectar_-_1998/1998-095_Real_Solution_to_all_Material_Problem_BG-16_11-12_-_04-10-98_IDesireTree.mp3", "1998-095_Real_Solution_to_all_Material_Problem_BG-16_11-12_-_04-10-98_IDesireTree.mp3")</f>
        <v>1998-095_Real_Solution_to_all_Material_Problem_BG-16_11-12_-_04-10-98_IDesireTree.mp3</v>
      </c>
      <c r="D1430" s="24"/>
      <c r="E1430" s="24"/>
    </row>
    <row r="1431">
      <c r="A1431" s="25" t="s">
        <v>18352</v>
      </c>
      <c r="B1431" s="25" t="s">
        <v>18362</v>
      </c>
      <c r="C1431" s="26" t="str">
        <f>HYPERLINK("https://audio.iskcondesiretree.com/02_-_ISKCON_Swamis/ISKCON_Swamis_-_R_to_Y/His_Holiness_Radhanath_Swami/Lectures/00_-_Year_wise/Devotional_Nectar_-_1998/1998-096_Identify_Yourself_Properly_SB-03_02_29_Mumbai_-_Radhanath_Swami_1998-10-07_IDesireTree.mp3", "1998-096_Identify_Yourself_Properly_SB-03_02_29_Mumbai_-_Radhanath_Swami_1998-10-07_IDesireTree.mp3")</f>
        <v>1998-096_Identify_Yourself_Properly_SB-03_02_29_Mumbai_-_Radhanath_Swami_1998-10-07_IDesireTree.mp3</v>
      </c>
      <c r="D1431" s="24"/>
      <c r="E1431" s="24"/>
    </row>
    <row r="1432">
      <c r="A1432" s="25" t="s">
        <v>18352</v>
      </c>
      <c r="B1432" s="25" t="s">
        <v>18362</v>
      </c>
      <c r="C1432" s="26" t="str">
        <f>HYPERLINK("https://audio.iskcondesiretree.com/02_-_ISKCON_Swamis/ISKCON_Swamis_-_R_to_Y/His_Holiness_Radhanath_Swami/Lectures/00_-_Year_wise/Devotional_Nectar_-_1998/1998-097_Complexity_of_Modern_Civilization_Lecture_Pune_-_Radhanath_Swami_1998-10-07_IDesireTree.mp3", "1998-097_Complexity_of_Modern_Civilization_Lecture_Pune_-_Radhanath_Swami_1998-10-07_IDesireTree.mp3")</f>
        <v>1998-097_Complexity_of_Modern_Civilization_Lecture_Pune_-_Radhanath_Swami_1998-10-07_IDesireTree.mp3</v>
      </c>
      <c r="D1432" s="24"/>
      <c r="E1432" s="24"/>
    </row>
    <row r="1433">
      <c r="A1433" s="25" t="s">
        <v>18352</v>
      </c>
      <c r="B1433" s="25" t="s">
        <v>18362</v>
      </c>
      <c r="C1433" s="26" t="str">
        <f>HYPERLINK("https://audio.iskcondesiretree.com/02_-_ISKCON_Swamis/ISKCON_Swamis_-_R_to_Y/His_Holiness_Radhanath_Swami/Lectures/00_-_Year_wise/Devotional_Nectar_-_1998/1998-098_Bringing_the_Lord_Back_to_Our_Heart_BG-03_Nigdi_-_08-10-98_IDesireTree.mp3", "1998-098_Bringing_the_Lord_Back_to_Our_Heart_BG-03_Nigdi_-_08-10-98_IDesireTree.mp3")</f>
        <v>1998-098_Bringing_the_Lord_Back_to_Our_Heart_BG-03_Nigdi_-_08-10-98_IDesireTree.mp3</v>
      </c>
      <c r="D1433" s="24"/>
      <c r="E1433" s="24"/>
    </row>
    <row r="1434">
      <c r="A1434" s="25" t="s">
        <v>18352</v>
      </c>
      <c r="B1434" s="25" t="s">
        <v>18362</v>
      </c>
      <c r="C1434" s="26" t="str">
        <f>HYPERLINK("https://audio.iskcondesiretree.com/02_-_ISKCON_Swamis/ISKCON_Swamis_-_R_to_Y/His_Holiness_Radhanath_Swami/Lectures/00_-_Year_wise/Devotional_Nectar_-_1998/1998-099_No_Competition_in_Vaikuntha_SB-03_15_20_Mumbai_-_Radhanath_Swami_1998-11-04_IDesireTree.mp3", "1998-099_No_Competition_in_Vaikuntha_SB-03_15_20_Mumbai_-_Radhanath_Swami_1998-11-04_IDesireTree.mp3")</f>
        <v>1998-099_No_Competition_in_Vaikuntha_SB-03_15_20_Mumbai_-_Radhanath_Swami_1998-11-04_IDesireTree.mp3</v>
      </c>
      <c r="D1434" s="24"/>
      <c r="E1434" s="24"/>
    </row>
    <row r="1435">
      <c r="A1435" s="25" t="s">
        <v>18352</v>
      </c>
      <c r="B1435" s="25" t="s">
        <v>18362</v>
      </c>
      <c r="C1435" s="26" t="str">
        <f>HYPERLINK("https://audio.iskcondesiretree.com/02_-_ISKCON_Swamis/ISKCON_Swamis_-_R_to_Y/His_Holiness_Radhanath_Swami/Lectures/00_-_Year_wise/Devotional_Nectar_-_1998/1998-100_Becoming_Expert_With_Simplicity_SB-10_04_05_Mumbai_-_05-11-98_IDesireTree.mp3", "1998-100_Becoming_Expert_With_Simplicity_SB-10_04_05_Mumbai_-_05-11-98_IDesireTree.mp3")</f>
        <v>1998-100_Becoming_Expert_With_Simplicity_SB-10_04_05_Mumbai_-_05-11-98_IDesireTree.mp3</v>
      </c>
      <c r="D1435" s="24"/>
      <c r="E1435" s="24"/>
    </row>
    <row r="1436">
      <c r="A1436" s="25" t="s">
        <v>18352</v>
      </c>
      <c r="B1436" s="25" t="s">
        <v>18362</v>
      </c>
      <c r="C1436" s="26" t="str">
        <f>HYPERLINK("https://audio.iskcondesiretree.com/02_-_ISKCON_Swamis/ISKCON_Swamis_-_R_to_Y/His_Holiness_Radhanath_Swami/Lectures/00_-_Year_wise/Devotional_Nectar_-_1998/1998-101_Hare_Krishna_BG_05_20_Mumbai_-_08-11-98_IDesireTree.mp3", "1998-101_Hare_Krishna_BG_05_20_Mumbai_-_08-11-98_IDesireTree.mp3")</f>
        <v>1998-101_Hare_Krishna_BG_05_20_Mumbai_-_08-11-98_IDesireTree.mp3</v>
      </c>
      <c r="D1436" s="24"/>
      <c r="E1436" s="24"/>
    </row>
    <row r="1437">
      <c r="A1437" s="25" t="s">
        <v>18352</v>
      </c>
      <c r="B1437" s="25" t="s">
        <v>18362</v>
      </c>
      <c r="C1437" s="26" t="str">
        <f>HYPERLINK("https://audio.iskcondesiretree.com/02_-_ISKCON_Swamis/ISKCON_Swamis_-_R_to_Y/His_Holiness_Radhanath_Swami/Lectures/00_-_Year_wise/Devotional_Nectar_-_1998/1998-102_Performing_Our_Duties_With_Expertise_BG_03_23_Mumbai_-_10-11-98_IDesireTree.mp3", "1998-102_Performing_Our_Duties_With_Expertise_BG_03_23_Mumbai_-_10-11-98_IDesireTree.mp3")</f>
        <v>1998-102_Performing_Our_Duties_With_Expertise_BG_03_23_Mumbai_-_10-11-98_IDesireTree.mp3</v>
      </c>
      <c r="D1437" s="24"/>
      <c r="E1437" s="24"/>
    </row>
    <row r="1438">
      <c r="A1438" s="25" t="s">
        <v>18352</v>
      </c>
      <c r="B1438" s="25" t="s">
        <v>18362</v>
      </c>
      <c r="C1438" s="26" t="str">
        <f>HYPERLINK("https://audio.iskcondesiretree.com/02_-_ISKCON_Swamis/ISKCON_Swamis_-_R_to_Y/His_Holiness_Radhanath_Swami/Lectures/00_-_Year_wise/Devotional_Nectar_-_1998/1998-103_HareKrishna_MT_-_BG_02_55_Nasik_-_Radhanath_Swami_1998-11-18_IDesireTree.mp3", "1998-103_HareKrishna_MT_-_BG_02_55_Nasik_-_Radhanath_Swami_1998-11-18_IDesireTree.mp3")</f>
        <v>1998-103_HareKrishna_MT_-_BG_02_55_Nasik_-_Radhanath_Swami_1998-11-18_IDesireTree.mp3</v>
      </c>
      <c r="D1438" s="24"/>
      <c r="E1438" s="24"/>
    </row>
    <row r="1439">
      <c r="A1439" s="25" t="s">
        <v>18352</v>
      </c>
      <c r="B1439" s="25" t="s">
        <v>18362</v>
      </c>
      <c r="C1439" s="26" t="str">
        <f>HYPERLINK("https://audio.iskcondesiretree.com/02_-_ISKCON_Swamis/ISKCON_Swamis_-_R_to_Y/His_Holiness_Radhanath_Swami/Lectures/00_-_Year_wise/Devotional_Nectar_-_1998/1998-104_Bad_Association_is_Dangerous_SB-10_04_36_Mumbai_-_26-11-98_IDesireTree.mp3", "1998-104_Bad_Association_is_Dangerous_SB-10_04_36_Mumbai_-_26-11-98_IDesireTree.mp3")</f>
        <v>1998-104_Bad_Association_is_Dangerous_SB-10_04_36_Mumbai_-_26-11-98_IDesireTree.mp3</v>
      </c>
      <c r="D1439" s="24"/>
      <c r="E1439" s="24"/>
    </row>
    <row r="1440">
      <c r="A1440" s="25" t="s">
        <v>18352</v>
      </c>
      <c r="B1440" s="25" t="s">
        <v>18362</v>
      </c>
      <c r="C1440" s="26" t="str">
        <f>HYPERLINK("https://audio.iskcondesiretree.com/02_-_ISKCON_Swamis/ISKCON_Swamis_-_R_to_Y/His_Holiness_Radhanath_Swami/Lectures/00_-_Year_wise/Devotional_Nectar_-_1998/1998-105_Factors_While_Getting_Married_SB-03_14_19_Mumbai_-_28-11-98_IDesireTree.mp3", "1998-105_Factors_While_Getting_Married_SB-03_14_19_Mumbai_-_28-11-98_IDesireTree.mp3")</f>
        <v>1998-105_Factors_While_Getting_Married_SB-03_14_19_Mumbai_-_28-11-98_IDesireTree.mp3</v>
      </c>
      <c r="D1440" s="24"/>
      <c r="E1440" s="24"/>
    </row>
    <row r="1441">
      <c r="A1441" s="25" t="s">
        <v>18352</v>
      </c>
      <c r="B1441" s="25" t="s">
        <v>18362</v>
      </c>
      <c r="C1441" s="26" t="str">
        <f>HYPERLINK("https://audio.iskcondesiretree.com/02_-_ISKCON_Swamis/ISKCON_Swamis_-_R_to_Y/His_Holiness_Radhanath_Swami/Lectures/00_-_Year_wise/Devotional_Nectar_-_1998/1998-106_Focussing_the_Mind_on_the_Real_Purpose_of_Life_BG-02_28_Mumbai_-_28-11-98_IDesireTree.mp3", "1998-106_Focussing_the_Mind_on_the_Real_Purpose_of_Life_BG-02_28_Mumbai_-_28-11-98_IDesireTree.mp3")</f>
        <v>1998-106_Focussing_the_Mind_on_the_Real_Purpose_of_Life_BG-02_28_Mumbai_-_28-11-98_IDesireTree.mp3</v>
      </c>
      <c r="D1441" s="24"/>
      <c r="E1441" s="24"/>
    </row>
    <row r="1442">
      <c r="A1442" s="25" t="s">
        <v>18352</v>
      </c>
      <c r="B1442" s="25" t="s">
        <v>18362</v>
      </c>
      <c r="C1442" s="26" t="str">
        <f>HYPERLINK("https://audio.iskcondesiretree.com/02_-_ISKCON_Swamis/ISKCON_Swamis_-_R_to_Y/His_Holiness_Radhanath_Swami/Lectures/00_-_Year_wise/Devotional_Nectar_-_1998/1998-107_Lord_Siva%27s_Mercy_on_Daksa_SB-04_24_27-30_Mumbai_-_29-11-98_IDesireTree.mp3", "1998-107_Lord_Siva%27s_Mercy_on_Daksa_SB-04_24_27-30_Mumbai_-_29-11-98_IDesireTree.mp3")</f>
        <v>1998-107_Lord_Siva%27s_Mercy_on_Daksa_SB-04_24_27-30_Mumbai_-_29-11-98_IDesireTree.mp3</v>
      </c>
      <c r="D1442" s="24"/>
      <c r="E1442" s="24"/>
    </row>
    <row r="1443">
      <c r="A1443" s="25" t="s">
        <v>18352</v>
      </c>
      <c r="B1443" s="25" t="s">
        <v>18362</v>
      </c>
      <c r="C1443" s="26" t="str">
        <f>HYPERLINK("https://audio.iskcondesiretree.com/02_-_ISKCON_Swamis/ISKCON_Swamis_-_R_to_Y/His_Holiness_Radhanath_Swami/Lectures/00_-_Year_wise/Devotional_Nectar_-_1998/1998-108_Realization_With_My_Parents_Lecture_Mumbai_-_Radhanath_Swami_1998-12-02_IDesireTree.mp3", "1998-108_Realization_With_My_Parents_Lecture_Mumbai_-_Radhanath_Swami_1998-12-02_IDesireTree.mp3")</f>
        <v>1998-108_Realization_With_My_Parents_Lecture_Mumbai_-_Radhanath_Swami_1998-12-02_IDesireTree.mp3</v>
      </c>
      <c r="D1443" s="24"/>
      <c r="E1443" s="24"/>
    </row>
    <row r="1444">
      <c r="A1444" s="25" t="s">
        <v>18352</v>
      </c>
      <c r="B1444" s="25" t="s">
        <v>18362</v>
      </c>
      <c r="C1444" s="26" t="str">
        <f>HYPERLINK("https://audio.iskcondesiretree.com/02_-_ISKCON_Swamis/ISKCON_Swamis_-_R_to_Y/His_Holiness_Radhanath_Swami/Lectures/00_-_Year_wise/Devotional_Nectar_-_1998/1998-109_Soul%3B_One_of_Krishna%27s_Wonderful_Creation_BG_02_21_Mumbai_-_03-12-98_IDesireTree.mp3", "1998-109_Soul%3B_One_of_Krishna%27s_Wonderful_Creation_BG_02_21_Mumbai_-_03-12-98_IDesireTree.mp3")</f>
        <v>1998-109_Soul%3B_One_of_Krishna%27s_Wonderful_Creation_BG_02_21_Mumbai_-_03-12-98_IDesireTree.mp3</v>
      </c>
      <c r="D1444" s="24"/>
      <c r="E1444" s="24"/>
    </row>
    <row r="1445">
      <c r="A1445" s="25" t="s">
        <v>18352</v>
      </c>
      <c r="B1445" s="25" t="s">
        <v>18362</v>
      </c>
      <c r="C1445" s="26" t="str">
        <f>HYPERLINK("https://audio.iskcondesiretree.com/02_-_ISKCON_Swamis/ISKCON_Swamis_-_R_to_Y/His_Holiness_Radhanath_Swami/Lectures/00_-_Year_wise/Devotional_Nectar_-_1998/1998-110_Serving_the_Lord_with_Love_%26_Devotion_BG-08_15_Mumbai_-_04-12-98_IDesireTree.mp3", "1998-110_Serving_the_Lord_with_Love_%26_Devotion_BG-08_15_Mumbai_-_04-12-98_IDesireTree.mp3")</f>
        <v>1998-110_Serving_the_Lord_with_Love_%26_Devotion_BG-08_15_Mumbai_-_04-12-98_IDesireTree.mp3</v>
      </c>
      <c r="D1445" s="24"/>
      <c r="E1445" s="24"/>
    </row>
    <row r="1446">
      <c r="A1446" s="25" t="s">
        <v>18352</v>
      </c>
      <c r="B1446" s="25" t="s">
        <v>18362</v>
      </c>
      <c r="C1446" s="26" t="str">
        <f>HYPERLINK("https://audio.iskcondesiretree.com/02_-_ISKCON_Swamis/ISKCON_Swamis_-_R_to_Y/His_Holiness_Radhanath_Swami/Lectures/00_-_Year_wise/Devotional_Nectar_-_1998/1998-111_Best_Blessings_of_Demigods_SB-03_14_26_Mumbai_-_Radhanath_Swami_1998-12-06_IDesireTree.mp3", "1998-111_Best_Blessings_of_Demigods_SB-03_14_26_Mumbai_-_Radhanath_Swami_1998-12-06_IDesireTree.mp3")</f>
        <v>1998-111_Best_Blessings_of_Demigods_SB-03_14_26_Mumbai_-_Radhanath_Swami_1998-12-06_IDesireTree.mp3</v>
      </c>
      <c r="D1446" s="24"/>
      <c r="E1446" s="24"/>
    </row>
    <row r="1447">
      <c r="A1447" s="25" t="s">
        <v>18352</v>
      </c>
      <c r="B1447" s="25" t="s">
        <v>18362</v>
      </c>
      <c r="C1447" s="26" t="str">
        <f>HYPERLINK("https://audio.iskcondesiretree.com/02_-_ISKCON_Swamis/ISKCON_Swamis_-_R_to_Y/His_Holiness_Radhanath_Swami/Lectures/00_-_Year_wise/Devotional_Nectar_-_1998/1998-112_Holyname-_The_Most_Effective_Way_to_Remember_Krishna_BG-12_02_Mumbai_-_06-12-98_IDesireTree"&amp;".mp3", "1998-112_Holyname-_The_Most_Effective_Way_to_Remember_Krishna_BG-12_02_Mumbai_-_06-12-98_IDesireTree.mp3")</f>
        <v>1998-112_Holyname-_The_Most_Effective_Way_to_Remember_Krishna_BG-12_02_Mumbai_-_06-12-98_IDesireTree.mp3</v>
      </c>
      <c r="D1447" s="24"/>
      <c r="E1447" s="24"/>
    </row>
    <row r="1448">
      <c r="A1448" s="25" t="s">
        <v>18352</v>
      </c>
      <c r="B1448" s="25" t="s">
        <v>18362</v>
      </c>
      <c r="C1448" s="26" t="str">
        <f>HYPERLINK("https://audio.iskcondesiretree.com/02_-_ISKCON_Swamis/ISKCON_Swamis_-_R_to_Y/His_Holiness_Radhanath_Swami/Lectures/00_-_Year_wise/Devotional_Nectar_-_1998/1998-113_Offering_to_Srila_Bhaktisiddhantha_S_T_Lecture_Mumbai_-_07-12-98_IDesireTree.mp3", "1998-113_Offering_to_Srila_Bhaktisiddhantha_S_T_Lecture_Mumbai_-_07-12-98_IDesireTree.mp3")</f>
        <v>1998-113_Offering_to_Srila_Bhaktisiddhantha_S_T_Lecture_Mumbai_-_07-12-98_IDesireTree.mp3</v>
      </c>
      <c r="D1448" s="24"/>
      <c r="E1448" s="24"/>
    </row>
    <row r="1449">
      <c r="A1449" s="25" t="s">
        <v>18352</v>
      </c>
      <c r="B1449" s="25" t="s">
        <v>18363</v>
      </c>
      <c r="C1449" s="26" t="str">
        <f>HYPERLINK("https://audio.iskcondesiretree.com/02_-_ISKCON_Swamis/ISKCON_Swamis_-_R_to_Y/His_Holiness_Radhanath_Swami/Lectures/00_-_Year_wise/Devotional_Nectar_-_1999/1999-001_Putting_Krishna_in_the_Center_of_our_Lives_SB-04_09_01_Belgaum_-_01-01-99_IDesireTree.mp3", "1999-001_Putting_Krishna_in_the_Center_of_our_Lives_SB-04_09_01_Belgaum_-_01-01-99_IDesireTree.mp3")</f>
        <v>1999-001_Putting_Krishna_in_the_Center_of_our_Lives_SB-04_09_01_Belgaum_-_01-01-99_IDesireTree.mp3</v>
      </c>
      <c r="D1449" s="24"/>
      <c r="E1449" s="24"/>
    </row>
    <row r="1450">
      <c r="A1450" s="25" t="s">
        <v>18352</v>
      </c>
      <c r="B1450" s="25" t="s">
        <v>18363</v>
      </c>
      <c r="C1450" s="26" t="str">
        <f>HYPERLINK("https://audio.iskcondesiretree.com/02_-_ISKCON_Swamis/ISKCON_Swamis_-_R_to_Y/His_Holiness_Radhanath_Swami/Lectures/00_-_Year_wise/Devotional_Nectar_-_1999/1999-002_Hare_Krishna_Lecture_Mumbai_-_Radhanath_Swami_1999-01-02_IDesireTree.mp3", "1999-002_Hare_Krishna_Lecture_Mumbai_-_Radhanath_Swami_1999-01-02_IDesireTree.mp3")</f>
        <v>1999-002_Hare_Krishna_Lecture_Mumbai_-_Radhanath_Swami_1999-01-02_IDesireTree.mp3</v>
      </c>
      <c r="D1450" s="24"/>
      <c r="E1450" s="24"/>
    </row>
    <row r="1451">
      <c r="A1451" s="25" t="s">
        <v>18352</v>
      </c>
      <c r="B1451" s="25" t="s">
        <v>18363</v>
      </c>
      <c r="C1451" s="26" t="str">
        <f>HYPERLINK("https://audio.iskcondesiretree.com/02_-_ISKCON_Swamis/ISKCON_Swamis_-_R_to_Y/His_Holiness_Radhanath_Swami/Lectures/00_-_Year_wise/Devotional_Nectar_-_1999/1999-003_Glories_of_Srila_Advaita_Acharya_I_CC_Adi_1-_Mumbai_-_24-01-99_IDesireTree.mp3", "1999-003_Glories_of_Srila_Advaita_Acharya_I_CC_Adi_1-_Mumbai_-_24-01-99_IDesireTree.mp3")</f>
        <v>1999-003_Glories_of_Srila_Advaita_Acharya_I_CC_Adi_1-_Mumbai_-_24-01-99_IDesireTree.mp3</v>
      </c>
      <c r="D1451" s="24"/>
      <c r="E1451" s="24"/>
    </row>
    <row r="1452">
      <c r="A1452" s="25" t="s">
        <v>18352</v>
      </c>
      <c r="B1452" s="25" t="s">
        <v>18363</v>
      </c>
      <c r="C1452" s="26" t="str">
        <f>HYPERLINK("https://audio.iskcondesiretree.com/02_-_ISKCON_Swamis/ISKCON_Swamis_-_R_to_Y/His_Holiness_Radhanath_Swami/Lectures/00_-_Year_wise/Devotional_Nectar_-_1999/1999-004_Wedding_Ceremony_Address_Lecture_Mumbai_-_Radhanath_Swami_1999-01-25_IDesireTree.mp3", "1999-004_Wedding_Ceremony_Address_Lecture_Mumbai_-_Radhanath_Swami_1999-01-25_IDesireTree.mp3")</f>
        <v>1999-004_Wedding_Ceremony_Address_Lecture_Mumbai_-_Radhanath_Swami_1999-01-25_IDesireTree.mp3</v>
      </c>
      <c r="D1452" s="24"/>
      <c r="E1452" s="24"/>
    </row>
    <row r="1453">
      <c r="A1453" s="25" t="s">
        <v>18352</v>
      </c>
      <c r="B1453" s="25" t="s">
        <v>18363</v>
      </c>
      <c r="C1453" s="26" t="str">
        <f>HYPERLINK("https://audio.iskcondesiretree.com/02_-_ISKCON_Swamis/ISKCON_Swamis_-_R_to_Y/His_Holiness_Radhanath_Swami/Lectures/00_-_Year_wise/Devotional_Nectar_-_1999/1999-007_Pastimes_of_Srila_Ishwar_Puri_Lecture_Mumbai_-_Radhanath_Swami_1999-02-08_IDesireTree.mp3", "1999-007_Pastimes_of_Srila_Ishwar_Puri_Lecture_Mumbai_-_Radhanath_Swami_1999-02-08_IDesireTree.mp3")</f>
        <v>1999-007_Pastimes_of_Srila_Ishwar_Puri_Lecture_Mumbai_-_Radhanath_Swami_1999-02-08_IDesireTree.mp3</v>
      </c>
      <c r="D1453" s="24"/>
      <c r="E1453" s="24"/>
    </row>
    <row r="1454">
      <c r="A1454" s="25" t="s">
        <v>18352</v>
      </c>
      <c r="B1454" s="25" t="s">
        <v>18363</v>
      </c>
      <c r="C1454" s="26" t="str">
        <f>HYPERLINK("https://audio.iskcondesiretree.com/02_-_ISKCON_Swamis/ISKCON_Swamis_-_R_to_Y/His_Holiness_Radhanath_Swami/Lectures/00_-_Year_wise/Devotional_Nectar_-_1999/1999-008_Krishna%27s_Smila_Reawakens_the_Propensity_to_Love_SB-03_15_39_Mumbai_-_18-02-99_IDesireTre"&amp;"e.mp3", "1999-008_Krishna%27s_Smila_Reawakens_the_Propensity_to_Love_SB-03_15_39_Mumbai_-_18-02-99_IDesireTree.mp3")</f>
        <v>1999-008_Krishna%27s_Smila_Reawakens_the_Propensity_to_Love_SB-03_15_39_Mumbai_-_18-02-99_IDesireTree.mp3</v>
      </c>
      <c r="D1454" s="24"/>
      <c r="E1454" s="24"/>
    </row>
    <row r="1455">
      <c r="A1455" s="25" t="s">
        <v>18352</v>
      </c>
      <c r="B1455" s="25" t="s">
        <v>18363</v>
      </c>
      <c r="C1455" s="26" t="str">
        <f>HYPERLINK("https://audio.iskcondesiretree.com/02_-_ISKCON_Swamis/ISKCON_Swamis_-_R_to_Y/His_Holiness_Radhanath_Swami/Lectures/00_-_Year_wise/Devotional_Nectar_-_1999/1999-009_The_Soul%27s_Eternal_Longing_for_Krishna_SB-03_15_41-42_Mumbai_-_20-02-99_IDesireTree.mp3", "1999-009_The_Soul%27s_Eternal_Longing_for_Krishna_SB-03_15_41-42_Mumbai_-_20-02-99_IDesireTree.mp3")</f>
        <v>1999-009_The_Soul%27s_Eternal_Longing_for_Krishna_SB-03_15_41-42_Mumbai_-_20-02-99_IDesireTree.mp3</v>
      </c>
      <c r="D1455" s="24"/>
      <c r="E1455" s="24"/>
    </row>
    <row r="1456">
      <c r="A1456" s="25" t="s">
        <v>18352</v>
      </c>
      <c r="B1456" s="25" t="s">
        <v>18363</v>
      </c>
      <c r="C1456" s="26" t="str">
        <f>HYPERLINK("https://audio.iskcondesiretree.com/02_-_ISKCON_Swamis/ISKCON_Swamis_-_R_to_Y/His_Holiness_Radhanath_Swami/Lectures/00_-_Year_wise/Devotional_Nectar_-_1999/1999-01-10_Various_-_What_it_Means_to_be_Vaishnava_-_Radhanath_Swami_Mumbai.mp3", "1999-01-10_Various_-_What_it_Means_to_be_Vaishnava_-_Radhanath_Swami_Mumbai.mp3")</f>
        <v>1999-01-10_Various_-_What_it_Means_to_be_Vaishnava_-_Radhanath_Swami_Mumbai.mp3</v>
      </c>
      <c r="D1456" s="24"/>
      <c r="E1456" s="24"/>
    </row>
    <row r="1457">
      <c r="A1457" s="25" t="s">
        <v>18352</v>
      </c>
      <c r="B1457" s="25" t="s">
        <v>18363</v>
      </c>
      <c r="C1457" s="26" t="str">
        <f>HYPERLINK("https://audio.iskcondesiretree.com/02_-_ISKCON_Swamis/ISKCON_Swamis_-_R_to_Y/His_Holiness_Radhanath_Swami/Lectures/00_-_Year_wise/Devotional_Nectar_-_1999/1999-010_Kanak_Kamini_%26_Pratistha_SB-03_15_43_Mumbai_-_Radhanath_Swami_1999-02-21_IDesireTree.mp3", "1999-010_Kanak_Kamini_%26_Pratistha_SB-03_15_43_Mumbai_-_Radhanath_Swami_1999-02-21_IDesireTree.mp3")</f>
        <v>1999-010_Kanak_Kamini_%26_Pratistha_SB-03_15_43_Mumbai_-_Radhanath_Swami_1999-02-21_IDesireTree.mp3</v>
      </c>
      <c r="D1457" s="24"/>
      <c r="E1457" s="24"/>
    </row>
    <row r="1458">
      <c r="A1458" s="25" t="s">
        <v>18352</v>
      </c>
      <c r="B1458" s="25" t="s">
        <v>18363</v>
      </c>
      <c r="C1458" s="26" t="str">
        <f>HYPERLINK("https://audio.iskcondesiretree.com/02_-_ISKCON_Swamis/ISKCON_Swamis_-_R_to_Y/His_Holiness_Radhanath_Swami/Lectures/00_-_Year_wise/Devotional_Nectar_-_1999/1999-011_Every_Situation_is_a_Oppurtunity_to_Remember_Krishna_BG-02_57_Mumbai_-_21-02-99_IDesireTree"&amp;".mp3", "1999-011_Every_Situation_is_a_Oppurtunity_to_Remember_Krishna_BG-02_57_Mumbai_-_21-02-99_IDesireTree.mp3")</f>
        <v>1999-011_Every_Situation_is_a_Oppurtunity_to_Remember_Krishna_BG-02_57_Mumbai_-_21-02-99_IDesireTree.mp3</v>
      </c>
      <c r="D1458" s="24"/>
      <c r="E1458" s="24"/>
    </row>
    <row r="1459">
      <c r="A1459" s="25" t="s">
        <v>18352</v>
      </c>
      <c r="B1459" s="25" t="s">
        <v>18363</v>
      </c>
      <c r="C1459" s="26" t="str">
        <f>HYPERLINK("https://audio.iskcondesiretree.com/02_-_ISKCON_Swamis/ISKCON_Swamis_-_R_to_Y/His_Holiness_Radhanath_Swami/Lectures/00_-_Year_wise/Devotional_Nectar_-_1999/1999-012_Glorifying_our_Previous_Acaryas_Lecture_Pune_-_Radhanath_Swami_1999-02-25_IDesireTree.mp3", "1999-012_Glorifying_our_Previous_Acaryas_Lecture_Pune_-_Radhanath_Swami_1999-02-25_IDesireTree.mp3")</f>
        <v>1999-012_Glorifying_our_Previous_Acaryas_Lecture_Pune_-_Radhanath_Swami_1999-02-25_IDesireTree.mp3</v>
      </c>
      <c r="D1459" s="24"/>
      <c r="E1459" s="24"/>
    </row>
    <row r="1460">
      <c r="A1460" s="25" t="s">
        <v>18352</v>
      </c>
      <c r="B1460" s="25" t="s">
        <v>18363</v>
      </c>
      <c r="C1460" s="26" t="str">
        <f>HYPERLINK("https://audio.iskcondesiretree.com/02_-_ISKCON_Swamis/ISKCON_Swamis_-_R_to_Y/His_Holiness_Radhanath_Swami/Lectures/00_-_Year_wise/Devotional_Nectar_-_1999/1999-013_Hare_Krsna_Lecture_Pune_-_Radhanath_Swami_1999-02-25_IDesireTree.mp3", "1999-013_Hare_Krsna_Lecture_Pune_-_Radhanath_Swami_1999-02-25_IDesireTree.mp3")</f>
        <v>1999-013_Hare_Krsna_Lecture_Pune_-_Radhanath_Swami_1999-02-25_IDesireTree.mp3</v>
      </c>
      <c r="D1460" s="24"/>
      <c r="E1460" s="24"/>
    </row>
    <row r="1461">
      <c r="A1461" s="25" t="s">
        <v>18352</v>
      </c>
      <c r="B1461" s="25" t="s">
        <v>18363</v>
      </c>
      <c r="C1461" s="26" t="str">
        <f>HYPERLINK("https://audio.iskcondesiretree.com/02_-_ISKCON_Swamis/ISKCON_Swamis_-_R_to_Y/His_Holiness_Radhanath_Swami/Lectures/00_-_Year_wise/Devotional_Nectar_-_1999/1999-014_Questions_%26_Answers_Q%26A_Pune_-_Radhanath_Swami_1999-02-27_IDesireTree.mp3", "1999-014_Questions_%26_Answers_Q%26A_Pune_-_Radhanath_Swami_1999-02-27_IDesireTree.mp3")</f>
        <v>1999-014_Questions_%26_Answers_Q%26A_Pune_-_Radhanath_Swami_1999-02-27_IDesireTree.mp3</v>
      </c>
      <c r="D1461" s="24"/>
      <c r="E1461" s="24"/>
    </row>
    <row r="1462">
      <c r="A1462" s="25" t="s">
        <v>18352</v>
      </c>
      <c r="B1462" s="25" t="s">
        <v>18363</v>
      </c>
      <c r="C1462" s="26" t="str">
        <f>HYPERLINK("https://audio.iskcondesiretree.com/02_-_ISKCON_Swamis/ISKCON_Swamis_-_R_to_Y/His_Holiness_Radhanath_Swami/Lectures/00_-_Year_wise/Devotional_Nectar_-_1999/1999-015_Glories_of_Srila_Madhavendra_Puri-_I_CC_Adi-09_10_Pune_-_27-02-99_IDesireTree.mp3", "1999-015_Glories_of_Srila_Madhavendra_Puri-_I_CC_Adi-09_10_Pune_-_27-02-99_IDesireTree.mp3")</f>
        <v>1999-015_Glories_of_Srila_Madhavendra_Puri-_I_CC_Adi-09_10_Pune_-_27-02-99_IDesireTree.mp3</v>
      </c>
      <c r="D1462" s="24"/>
      <c r="E1462" s="24"/>
    </row>
    <row r="1463">
      <c r="A1463" s="25" t="s">
        <v>18352</v>
      </c>
      <c r="B1463" s="25" t="s">
        <v>18363</v>
      </c>
      <c r="C1463" s="26" t="str">
        <f>HYPERLINK("https://audio.iskcondesiretree.com/02_-_ISKCON_Swamis/ISKCON_Swamis_-_R_to_Y/His_Holiness_Radhanath_Swami/Lectures/00_-_Year_wise/Devotional_Nectar_-_1999/1999-016_Glories_of_Srila_Madhavendra_Puri_II_CC_Adi-09_10_Pune_-_27-02-99_IDesireTree.mp3", "1999-016_Glories_of_Srila_Madhavendra_Puri_II_CC_Adi-09_10_Pune_-_27-02-99_IDesireTree.mp3")</f>
        <v>1999-016_Glories_of_Srila_Madhavendra_Puri_II_CC_Adi-09_10_Pune_-_27-02-99_IDesireTree.mp3</v>
      </c>
      <c r="D1463" s="24"/>
      <c r="E1463" s="24"/>
    </row>
    <row r="1464">
      <c r="A1464" s="25" t="s">
        <v>18352</v>
      </c>
      <c r="B1464" s="25" t="s">
        <v>18363</v>
      </c>
      <c r="C1464" s="26" t="str">
        <f>HYPERLINK("https://audio.iskcondesiretree.com/02_-_ISKCON_Swamis/ISKCON_Swamis_-_R_to_Y/His_Holiness_Radhanath_Swami/Lectures/00_-_Year_wise/Devotional_Nectar_-_1999/1999-017_Lord_Chaitanya%27s_Sannyas_Lila_I_CC_Adi-07_21-38_Mumbai_-_02-03-99_IDesireTree.mp3", "1999-017_Lord_Chaitanya%27s_Sannyas_Lila_I_CC_Adi-07_21-38_Mumbai_-_02-03-99_IDesireTree.mp3")</f>
        <v>1999-017_Lord_Chaitanya%27s_Sannyas_Lila_I_CC_Adi-07_21-38_Mumbai_-_02-03-99_IDesireTree.mp3</v>
      </c>
      <c r="D1464" s="24"/>
      <c r="E1464" s="24"/>
    </row>
    <row r="1465">
      <c r="A1465" s="25" t="s">
        <v>18352</v>
      </c>
      <c r="B1465" s="25" t="s">
        <v>18363</v>
      </c>
      <c r="C1465" s="26" t="str">
        <f>HYPERLINK("https://audio.iskcondesiretree.com/02_-_ISKCON_Swamis/ISKCON_Swamis_-_R_to_Y/His_Holiness_Radhanath_Swami/Lectures/00_-_Year_wise/Devotional_Nectar_-_1999/1999-018_Gaura_Poornima_Celebration_Lecture_Mumbai_-_Radhanath_Swami_1999-03-02_IDesireTree.mp3", "1999-018_Gaura_Poornima_Celebration_Lecture_Mumbai_-_Radhanath_Swami_1999-03-02_IDesireTree.mp3")</f>
        <v>1999-018_Gaura_Poornima_Celebration_Lecture_Mumbai_-_Radhanath_Swami_1999-03-02_IDesireTree.mp3</v>
      </c>
      <c r="D1465" s="24"/>
      <c r="E1465" s="24"/>
    </row>
    <row r="1466">
      <c r="A1466" s="25" t="s">
        <v>18352</v>
      </c>
      <c r="B1466" s="25" t="s">
        <v>18363</v>
      </c>
      <c r="C1466" s="26" t="str">
        <f>HYPERLINK("https://audio.iskcondesiretree.com/02_-_ISKCON_Swamis/ISKCON_Swamis_-_R_to_Y/His_Holiness_Radhanath_Swami/Lectures/00_-_Year_wise/Devotional_Nectar_-_1999/1999-019_Glories_of_Mother_Ganga_Lecture_Mumbai_-_Radhanath_Swami_1999-03-12_IDesireTree.mp3", "1999-019_Glories_of_Mother_Ganga_Lecture_Mumbai_-_Radhanath_Swami_1999-03-12_IDesireTree.mp3")</f>
        <v>1999-019_Glories_of_Mother_Ganga_Lecture_Mumbai_-_Radhanath_Swami_1999-03-12_IDesireTree.mp3</v>
      </c>
      <c r="D1466" s="24"/>
      <c r="E1466" s="24"/>
    </row>
    <row r="1467">
      <c r="A1467" s="25" t="s">
        <v>18352</v>
      </c>
      <c r="B1467" s="25" t="s">
        <v>18363</v>
      </c>
      <c r="C1467" s="26" t="str">
        <f>HYPERLINK("https://audio.iskcondesiretree.com/02_-_ISKCON_Swamis/ISKCON_Swamis_-_R_to_Y/His_Holiness_Radhanath_Swami/Lectures/00_-_Year_wise/Devotional_Nectar_-_1999/1999-020_Appreciating_Activities_%26_Qualities_of_Vaishnavas_BG-03_04_Mumbai_-_13-03-99_IDesireTree."&amp;"mp3", "1999-020_Appreciating_Activities_%26_Qualities_of_Vaishnavas_BG-03_04_Mumbai_-_13-03-99_IDesireTree.mp3")</f>
        <v>1999-020_Appreciating_Activities_%26_Qualities_of_Vaishnavas_BG-03_04_Mumbai_-_13-03-99_IDesireTree.mp3</v>
      </c>
      <c r="D1467" s="24"/>
      <c r="E1467" s="24"/>
    </row>
    <row r="1468">
      <c r="A1468" s="25" t="s">
        <v>18352</v>
      </c>
      <c r="B1468" s="25" t="s">
        <v>18363</v>
      </c>
      <c r="C1468" s="26" t="str">
        <f>HYPERLINK("https://audio.iskcondesiretree.com/02_-_ISKCON_Swamis/ISKCON_Swamis_-_R_to_Y/His_Holiness_Radhanath_Swami/Lectures/00_-_Year_wise/Devotional_Nectar_-_1999/1999-021_Dying-_Giving_Our_Lives_for_Krishna_BG_Mumbai_-_Radhanath_Swami_1999-03-14_IDesireTree.mp3", "1999-021_Dying-_Giving_Our_Lives_for_Krishna_BG_Mumbai_-_Radhanath_Swami_1999-03-14_IDesireTree.mp3")</f>
        <v>1999-021_Dying-_Giving_Our_Lives_for_Krishna_BG_Mumbai_-_Radhanath_Swami_1999-03-14_IDesireTree.mp3</v>
      </c>
      <c r="D1468" s="24"/>
      <c r="E1468" s="24"/>
    </row>
    <row r="1469">
      <c r="A1469" s="25" t="s">
        <v>18352</v>
      </c>
      <c r="B1469" s="25" t="s">
        <v>18363</v>
      </c>
      <c r="C1469" s="26" t="str">
        <f>HYPERLINK("https://audio.iskcondesiretree.com/02_-_ISKCON_Swamis/ISKCON_Swamis_-_R_to_Y/His_Holiness_Radhanath_Swami/Lectures/00_-_Year_wise/Devotional_Nectar_-_1999/1999-022_Touchstone_of_the_Holy_Name_Lecture_Mumbai_-_Radhanath_Swami_1999-03-15_IDesireTree.mp3", "1999-022_Touchstone_of_the_Holy_Name_Lecture_Mumbai_-_Radhanath_Swami_1999-03-15_IDesireTree.mp3")</f>
        <v>1999-022_Touchstone_of_the_Holy_Name_Lecture_Mumbai_-_Radhanath_Swami_1999-03-15_IDesireTree.mp3</v>
      </c>
      <c r="D1469" s="24"/>
      <c r="E1469" s="24"/>
    </row>
    <row r="1470">
      <c r="A1470" s="25" t="s">
        <v>18352</v>
      </c>
      <c r="B1470" s="25" t="s">
        <v>18363</v>
      </c>
      <c r="C1470" s="26" t="str">
        <f>HYPERLINK("https://audio.iskcondesiretree.com/02_-_ISKCON_Swamis/ISKCON_Swamis_-_R_to_Y/His_Holiness_Radhanath_Swami/Lectures/00_-_Year_wise/Devotional_Nectar_-_1999/1999-023_Lecture_Ram_Lila_-_Radhanath_Swami_1999-03-25_IDesireTree.mp3", "1999-023_Lecture_Ram_Lila_-_Radhanath_Swami_1999-03-25_IDesireTree.mp3")</f>
        <v>1999-023_Lecture_Ram_Lila_-_Radhanath_Swami_1999-03-25_IDesireTree.mp3</v>
      </c>
      <c r="D1470" s="24"/>
      <c r="E1470" s="24"/>
    </row>
    <row r="1471">
      <c r="A1471" s="25" t="s">
        <v>18352</v>
      </c>
      <c r="B1471" s="25" t="s">
        <v>18363</v>
      </c>
      <c r="C1471" s="26" t="str">
        <f>HYPERLINK("https://audio.iskcondesiretree.com/02_-_ISKCON_Swamis/ISKCON_Swamis_-_R_to_Y/His_Holiness_Radhanath_Swami/Lectures/00_-_Year_wise/Devotional_Nectar_-_1999/1999-024_SB-07_10_51-59_-_Radhanath_Swami_1999-03-26_new_IDesireTree.mp3", "1999-024_SB-07_10_51-59_-_Radhanath_Swami_1999-03-26_new_IDesireTree.mp3")</f>
        <v>1999-024_SB-07_10_51-59_-_Radhanath_Swami_1999-03-26_new_IDesireTree.mp3</v>
      </c>
      <c r="D1471" s="24"/>
      <c r="E1471" s="24"/>
    </row>
    <row r="1472">
      <c r="A1472" s="25" t="s">
        <v>18352</v>
      </c>
      <c r="B1472" s="25" t="s">
        <v>18363</v>
      </c>
      <c r="C1472" s="26" t="str">
        <f>HYPERLINK("https://audio.iskcondesiretree.com/02_-_ISKCON_Swamis/ISKCON_Swamis_-_R_to_Y/His_Holiness_Radhanath_Swami/Lectures/00_-_Year_wise/Devotional_Nectar_-_1999/1999-025_Marriage_Ceremony_Address_Lecture_Mumbai_-_Radhanath_Swami_1999-05-23_IDesireTree.mp3", "1999-025_Marriage_Ceremony_Address_Lecture_Mumbai_-_Radhanath_Swami_1999-05-23_IDesireTree.mp3")</f>
        <v>1999-025_Marriage_Ceremony_Address_Lecture_Mumbai_-_Radhanath_Swami_1999-05-23_IDesireTree.mp3</v>
      </c>
      <c r="D1472" s="24"/>
      <c r="E1472" s="24"/>
    </row>
    <row r="1473">
      <c r="A1473" s="25" t="s">
        <v>18352</v>
      </c>
      <c r="B1473" s="25" t="s">
        <v>18363</v>
      </c>
      <c r="C1473" s="26" t="str">
        <f>HYPERLINK("https://audio.iskcondesiretree.com/02_-_ISKCON_Swamis/ISKCON_Swamis_-_R_to_Y/His_Holiness_Radhanath_Swami/Lectures/00_-_Year_wise/Devotional_Nectar_-_1999/1999-026_Lecture_-_Radhanath_Swami_1999-05-25_IDesireTree.mp3", "1999-026_Lecture_-_Radhanath_Swami_1999-05-25_IDesireTree.mp3")</f>
        <v>1999-026_Lecture_-_Radhanath_Swami_1999-05-25_IDesireTree.mp3</v>
      </c>
      <c r="D1473" s="24"/>
      <c r="E1473" s="24"/>
    </row>
    <row r="1474">
      <c r="A1474" s="25" t="s">
        <v>18352</v>
      </c>
      <c r="B1474" s="25" t="s">
        <v>18363</v>
      </c>
      <c r="C1474" s="26" t="str">
        <f>HYPERLINK("https://audio.iskcondesiretree.com/02_-_ISKCON_Swamis/ISKCON_Swamis_-_R_to_Y/His_Holiness_Radhanath_Swami/Lectures/00_-_Year_wise/Devotional_Nectar_-_1999/1999-027_Understanding_Krishna%27s_Unlimited_Pastimes_SB-10_12_03_Mumbai_-_06-06-99_IDesireTree.mp3", "1999-027_Understanding_Krishna%27s_Unlimited_Pastimes_SB-10_12_03_Mumbai_-_06-06-99_IDesireTree.mp3")</f>
        <v>1999-027_Understanding_Krishna%27s_Unlimited_Pastimes_SB-10_12_03_Mumbai_-_06-06-99_IDesireTree.mp3</v>
      </c>
      <c r="D1474" s="24"/>
      <c r="E1474" s="24"/>
    </row>
    <row r="1475">
      <c r="A1475" s="25" t="s">
        <v>18352</v>
      </c>
      <c r="B1475" s="25" t="s">
        <v>18363</v>
      </c>
      <c r="C1475" s="26" t="str">
        <f>HYPERLINK("https://audio.iskcondesiretree.com/02_-_ISKCON_Swamis/ISKCON_Swamis_-_R_to_Y/His_Holiness_Radhanath_Swami/Lectures/00_-_Year_wise/Devotional_Nectar_-_1999/1999-028_Humility_of_Parikshit_Maharaj_SB-01_19_15_Mumbai_-_13-06-99_IDesireTree.mp3", "1999-028_Humility_of_Parikshit_Maharaj_SB-01_19_15_Mumbai_-_13-06-99_IDesireTree.mp3")</f>
        <v>1999-028_Humility_of_Parikshit_Maharaj_SB-01_19_15_Mumbai_-_13-06-99_IDesireTree.mp3</v>
      </c>
      <c r="D1475" s="24"/>
      <c r="E1475" s="24"/>
    </row>
    <row r="1476">
      <c r="A1476" s="25" t="s">
        <v>18352</v>
      </c>
      <c r="B1476" s="25" t="s">
        <v>18363</v>
      </c>
      <c r="C1476" s="26" t="str">
        <f>HYPERLINK("https://audio.iskcondesiretree.com/02_-_ISKCON_Swamis/ISKCON_Swamis_-_R_to_Y/His_Holiness_Radhanath_Swami/Lectures/00_-_Year_wise/Devotional_Nectar_-_1999/1999-029_Devotee_Must_be_Grateful_SB-03_19_36_Mumbai_-_Radhanath_Swami_1999-06-18_IDesireTree.mp3", "1999-029_Devotee_Must_be_Grateful_SB-03_19_36_Mumbai_-_Radhanath_Swami_1999-06-18_IDesireTree.mp3")</f>
        <v>1999-029_Devotee_Must_be_Grateful_SB-03_19_36_Mumbai_-_Radhanath_Swami_1999-06-18_IDesireTree.mp3</v>
      </c>
      <c r="D1476" s="24"/>
      <c r="E1476" s="24"/>
    </row>
    <row r="1477">
      <c r="A1477" s="25" t="s">
        <v>18352</v>
      </c>
      <c r="B1477" s="25" t="s">
        <v>18363</v>
      </c>
      <c r="C1477" s="26" t="str">
        <f>HYPERLINK("https://audio.iskcondesiretree.com/02_-_ISKCON_Swamis/ISKCON_Swamis_-_R_to_Y/His_Holiness_Radhanath_Swami/Lectures/00_-_Year_wise/Devotional_Nectar_-_1999/1999-030_Krsna%27s_Violent_Act_Purifies_Our_Heart_SB-03_19_37_Mumbai_-_19-06-99_IDesireTree.mp3", "1999-030_Krsna%27s_Violent_Act_Purifies_Our_Heart_SB-03_19_37_Mumbai_-_19-06-99_IDesireTree.mp3")</f>
        <v>1999-030_Krsna%27s_Violent_Act_Purifies_Our_Heart_SB-03_19_37_Mumbai_-_19-06-99_IDesireTree.mp3</v>
      </c>
      <c r="D1477" s="24"/>
      <c r="E1477" s="24"/>
    </row>
    <row r="1478">
      <c r="A1478" s="25" t="s">
        <v>18352</v>
      </c>
      <c r="B1478" s="25" t="s">
        <v>18363</v>
      </c>
      <c r="C1478" s="26" t="str">
        <f>HYPERLINK("https://audio.iskcondesiretree.com/02_-_ISKCON_Swamis/ISKCON_Swamis_-_R_to_Y/His_Holiness_Radhanath_Swami/Lectures/00_-_Year_wise/Devotional_Nectar_-_1999/1999-031_Benefits_of_Hearing_Srimad_Bhagavatam_SB-03_19_38_Mumbai_-_20-06-99_IDesireTree.mp3", "1999-031_Benefits_of_Hearing_Srimad_Bhagavatam_SB-03_19_38_Mumbai_-_20-06-99_IDesireTree.mp3")</f>
        <v>1999-031_Benefits_of_Hearing_Srimad_Bhagavatam_SB-03_19_38_Mumbai_-_20-06-99_IDesireTree.mp3</v>
      </c>
      <c r="D1478" s="24"/>
      <c r="E1478" s="24"/>
    </row>
    <row r="1479">
      <c r="A1479" s="25" t="s">
        <v>18352</v>
      </c>
      <c r="B1479" s="25" t="s">
        <v>18363</v>
      </c>
      <c r="C1479" s="26" t="str">
        <f>HYPERLINK("https://audio.iskcondesiretree.com/02_-_ISKCON_Swamis/ISKCON_Swamis_-_R_to_Y/His_Holiness_Radhanath_Swami/Lectures/00_-_Year_wise/Devotional_Nectar_-_1999/1999-032_Every_Power_Brings_Tremendous_Responsibilities_SB-04_04_27_Mumbai_-_20-06-99_IDesireTree.mp"&amp;"3", "1999-032_Every_Power_Brings_Tremendous_Responsibilities_SB-04_04_27_Mumbai_-_20-06-99_IDesireTree.mp3")</f>
        <v>1999-032_Every_Power_Brings_Tremendous_Responsibilities_SB-04_04_27_Mumbai_-_20-06-99_IDesireTree.mp3</v>
      </c>
      <c r="D1479" s="24"/>
      <c r="E1479" s="24"/>
    </row>
    <row r="1480">
      <c r="A1480" s="25" t="s">
        <v>18352</v>
      </c>
      <c r="B1480" s="25" t="s">
        <v>18363</v>
      </c>
      <c r="C1480" s="26" t="str">
        <f>HYPERLINK("https://audio.iskcondesiretree.com/02_-_ISKCON_Swamis/ISKCON_Swamis_-_R_to_Y/His_Holiness_Radhanath_Swami/Lectures/00_-_Year_wise/Devotional_Nectar_-_1999/1999-033_Pride_Cometh_Before_the_Fall_BG-18_26_Mumbai_-_Radhanath_Swami_1999-06-22_IDesireTree.mp3", "1999-033_Pride_Cometh_Before_the_Fall_BG-18_26_Mumbai_-_Radhanath_Swami_1999-06-22_IDesireTree.mp3")</f>
        <v>1999-033_Pride_Cometh_Before_the_Fall_BG-18_26_Mumbai_-_Radhanath_Swami_1999-06-22_IDesireTree.mp3</v>
      </c>
      <c r="D1480" s="24"/>
      <c r="E1480" s="24"/>
    </row>
    <row r="1481">
      <c r="A1481" s="25" t="s">
        <v>18352</v>
      </c>
      <c r="B1481" s="25" t="s">
        <v>18363</v>
      </c>
      <c r="C1481" s="26" t="str">
        <f>HYPERLINK("https://audio.iskcondesiretree.com/02_-_ISKCON_Swamis/ISKCON_Swamis_-_R_to_Y/His_Holiness_Radhanath_Swami/Lectures/00_-_Year_wise/Devotional_Nectar_-_1999/1999-034_Srila_Prabhupada_Lilamrita_Reading_Lecture_Mumbai_-_24-06-99_IDesireTree.mp3", "1999-034_Srila_Prabhupada_Lilamrita_Reading_Lecture_Mumbai_-_24-06-99_IDesireTree.mp3")</f>
        <v>1999-034_Srila_Prabhupada_Lilamrita_Reading_Lecture_Mumbai_-_24-06-99_IDesireTree.mp3</v>
      </c>
      <c r="D1481" s="24"/>
      <c r="E1481" s="24"/>
    </row>
    <row r="1482">
      <c r="A1482" s="25" t="s">
        <v>18352</v>
      </c>
      <c r="B1482" s="25" t="s">
        <v>18363</v>
      </c>
      <c r="C1482" s="26" t="str">
        <f>HYPERLINK("https://audio.iskcondesiretree.com/02_-_ISKCON_Swamis/ISKCON_Swamis_-_R_to_Y/His_Holiness_Radhanath_Swami/Lectures/00_-_Year_wise/Devotional_Nectar_-_1999/1999-035_Hare_Krsna_Lecture_Belgaum_-_Radhanath_Swami_1999-07-01_IDesireTree.mp3", "1999-035_Hare_Krsna_Lecture_Belgaum_-_Radhanath_Swami_1999-07-01_IDesireTree.mp3")</f>
        <v>1999-035_Hare_Krsna_Lecture_Belgaum_-_Radhanath_Swami_1999-07-01_IDesireTree.mp3</v>
      </c>
      <c r="D1482" s="24"/>
      <c r="E1482" s="24"/>
    </row>
    <row r="1483">
      <c r="A1483" s="25" t="s">
        <v>18352</v>
      </c>
      <c r="B1483" s="25" t="s">
        <v>18363</v>
      </c>
      <c r="C1483" s="26" t="str">
        <f>HYPERLINK("https://audio.iskcondesiretree.com/02_-_ISKCON_Swamis/ISKCON_Swamis_-_R_to_Y/His_Holiness_Radhanath_Swami/Lectures/00_-_Year_wise/Devotional_Nectar_-_1999/1999-036_Soul_Searching_For_Krsna%27s_Love_Lecture_Mumbai_-_Radhanath_Swami_1999-07-03_IDesireTree.m"&amp;"p3", "1999-036_Soul_Searching_For_Krsna%27s_Love_Lecture_Mumbai_-_Radhanath_Swami_1999-07-03_IDesireTree.mp3")</f>
        <v>1999-036_Soul_Searching_For_Krsna%27s_Love_Lecture_Mumbai_-_Radhanath_Swami_1999-07-03_IDesireTree.mp3</v>
      </c>
      <c r="D1483" s="24"/>
      <c r="E1483" s="24"/>
    </row>
    <row r="1484">
      <c r="A1484" s="25" t="s">
        <v>18352</v>
      </c>
      <c r="B1484" s="25" t="s">
        <v>18363</v>
      </c>
      <c r="C1484" s="26" t="str">
        <f>HYPERLINK("https://audio.iskcondesiretree.com/02_-_ISKCON_Swamis/ISKCON_Swamis_-_R_to_Y/His_Holiness_Radhanath_Swami/Lectures/00_-_Year_wise/Devotional_Nectar_-_1999/1999-037_Danger_at_Every_Step_BG-__Mumbai_-_Radhanath_Swami_1999-07-04_IDesireTree.mp3", "1999-037_Danger_at_Every_Step_BG-__Mumbai_-_Radhanath_Swami_1999-07-04_IDesireTree.mp3")</f>
        <v>1999-037_Danger_at_Every_Step_BG-__Mumbai_-_Radhanath_Swami_1999-07-04_IDesireTree.mp3</v>
      </c>
      <c r="D1484" s="24"/>
      <c r="E1484" s="24"/>
    </row>
    <row r="1485">
      <c r="A1485" s="25" t="s">
        <v>18352</v>
      </c>
      <c r="B1485" s="25" t="s">
        <v>18363</v>
      </c>
      <c r="C1485" s="26" t="str">
        <f>HYPERLINK("https://audio.iskcondesiretree.com/02_-_ISKCON_Swamis/ISKCON_Swamis_-_R_to_Y/His_Holiness_Radhanath_Swami/Lectures/00_-_Year_wise/Devotional_Nectar_-_1999/1999-038_Everything_Is_Dependent_On_Krsna_SB-03-20-16_Mumbai_-_04-07-99_IDesireTree.mp3", "1999-038_Everything_Is_Dependent_On_Krsna_SB-03-20-16_Mumbai_-_04-07-99_IDesireTree.mp3")</f>
        <v>1999-038_Everything_Is_Dependent_On_Krsna_SB-03-20-16_Mumbai_-_04-07-99_IDesireTree.mp3</v>
      </c>
      <c r="D1485" s="24"/>
      <c r="E1485" s="24"/>
    </row>
    <row r="1486">
      <c r="A1486" s="25" t="s">
        <v>18352</v>
      </c>
      <c r="B1486" s="25" t="s">
        <v>18363</v>
      </c>
      <c r="C1486" s="26" t="str">
        <f>HYPERLINK("https://audio.iskcondesiretree.com/02_-_ISKCON_Swamis/ISKCON_Swamis_-_R_to_Y/His_Holiness_Radhanath_Swami/Lectures/00_-_Year_wise/Devotional_Nectar_-_1999/1999-039_Surrendering_Krsna_With_Full_Devotion_Lecture_Nasik_-_07-07-99_IDesireTree.mp3", "1999-039_Surrendering_Krsna_With_Full_Devotion_Lecture_Nasik_-_07-07-99_IDesireTree.mp3")</f>
        <v>1999-039_Surrendering_Krsna_With_Full_Devotion_Lecture_Nasik_-_07-07-99_IDesireTree.mp3</v>
      </c>
      <c r="D1486" s="24"/>
      <c r="E1486" s="24"/>
    </row>
    <row r="1487">
      <c r="A1487" s="25" t="s">
        <v>18352</v>
      </c>
      <c r="B1487" s="25" t="s">
        <v>18363</v>
      </c>
      <c r="C1487" s="26" t="str">
        <f>HYPERLINK("https://audio.iskcondesiretree.com/02_-_ISKCON_Swamis/ISKCON_Swamis_-_R_to_Y/His_Holiness_Radhanath_Swami/Lectures/00_-_Year_wise/Devotional_Nectar_-_1999/1999-040_Focussing_Our_Energy_In_Service_of_the_Lord_BG-05_12_Mumbai_-_09-07-99_IDesireTree.mp3", "1999-040_Focussing_Our_Energy_In_Service_of_the_Lord_BG-05_12_Mumbai_-_09-07-99_IDesireTree.mp3")</f>
        <v>1999-040_Focussing_Our_Energy_In_Service_of_the_Lord_BG-05_12_Mumbai_-_09-07-99_IDesireTree.mp3</v>
      </c>
      <c r="D1487" s="24"/>
      <c r="E1487" s="24"/>
    </row>
    <row r="1488">
      <c r="A1488" s="25" t="s">
        <v>18352</v>
      </c>
      <c r="B1488" s="25" t="s">
        <v>18363</v>
      </c>
      <c r="C1488" s="26" t="str">
        <f>HYPERLINK("https://audio.iskcondesiretree.com/02_-_ISKCON_Swamis/ISKCON_Swamis_-_R_to_Y/His_Holiness_Radhanath_Swami/Lectures/00_-_Year_wise/Devotional_Nectar_-_1999/1999-041_Sex_Life-_The_Most_Critical_Expression_of_Envy_to_God_SB-03_20_23_Mumbai_-_10-07-99_IDesire"&amp;"Tree.mp3", "1999-041_Sex_Life-_The_Most_Critical_Expression_of_Envy_to_God_SB-03_20_23_Mumbai_-_10-07-99_IDesireTree.mp3")</f>
        <v>1999-041_Sex_Life-_The_Most_Critical_Expression_of_Envy_to_God_SB-03_20_23_Mumbai_-_10-07-99_IDesireTree.mp3</v>
      </c>
      <c r="D1488" s="24"/>
      <c r="E1488" s="24"/>
    </row>
    <row r="1489">
      <c r="A1489" s="25" t="s">
        <v>18352</v>
      </c>
      <c r="B1489" s="25" t="s">
        <v>18363</v>
      </c>
      <c r="C1489" s="26" t="str">
        <f>HYPERLINK("https://audio.iskcondesiretree.com/02_-_ISKCON_Swamis/ISKCON_Swamis_-_R_to_Y/His_Holiness_Radhanath_Swami/Lectures/00_-_Year_wise/Devotional_Nectar_-_1999/1999-042_Happiness_in_Krishna_Consciousness_BG-09_13_Mumbai_-_10-07-99_IDesireTree.mp3", "1999-042_Happiness_in_Krishna_Consciousness_BG-09_13_Mumbai_-_10-07-99_IDesireTree.mp3")</f>
        <v>1999-042_Happiness_in_Krishna_Consciousness_BG-09_13_Mumbai_-_10-07-99_IDesireTree.mp3</v>
      </c>
      <c r="D1489" s="24"/>
      <c r="E1489" s="24"/>
    </row>
    <row r="1490">
      <c r="A1490" s="25" t="s">
        <v>18352</v>
      </c>
      <c r="B1490" s="25" t="s">
        <v>18363</v>
      </c>
      <c r="C1490" s="26" t="str">
        <f>HYPERLINK("https://audio.iskcondesiretree.com/02_-_ISKCON_Swamis/ISKCON_Swamis_-_R_to_Y/His_Holiness_Radhanath_Swami/Lectures/00_-_Year_wise/Devotional_Nectar_-_1999/1999-043_Eager_%26_Enthusiastic_to_Serve_the_Deity_Lecture_Mumbai_-_18-07-99_IDesireTree.mp3", "1999-043_Eager_%26_Enthusiastic_to_Serve_the_Deity_Lecture_Mumbai_-_18-07-99_IDesireTree.mp3")</f>
        <v>1999-043_Eager_%26_Enthusiastic_to_Serve_the_Deity_Lecture_Mumbai_-_18-07-99_IDesireTree.mp3</v>
      </c>
      <c r="D1490" s="24"/>
      <c r="E1490" s="24"/>
    </row>
    <row r="1491">
      <c r="A1491" s="25" t="s">
        <v>18352</v>
      </c>
      <c r="B1491" s="25" t="s">
        <v>18363</v>
      </c>
      <c r="C1491" s="26" t="str">
        <f>HYPERLINK("https://audio.iskcondesiretree.com/02_-_ISKCON_Swamis/ISKCON_Swamis_-_R_to_Y/His_Holiness_Radhanath_Swami/Lectures/00_-_Year_wise/Devotional_Nectar_-_1999/1999-044_Offering_to_HG_Abhiram_Gopal_Thakur_Lecture_Mumbai_-_19-07-99_IDesireTree.mp3", "1999-044_Offering_to_HG_Abhiram_Gopal_Thakur_Lecture_Mumbai_-_19-07-99_IDesireTree.mp3")</f>
        <v>1999-044_Offering_to_HG_Abhiram_Gopal_Thakur_Lecture_Mumbai_-_19-07-99_IDesireTree.mp3</v>
      </c>
      <c r="D1491" s="24"/>
      <c r="E1491" s="24"/>
    </row>
    <row r="1492">
      <c r="A1492" s="25" t="s">
        <v>18352</v>
      </c>
      <c r="B1492" s="25" t="s">
        <v>18363</v>
      </c>
      <c r="C1492" s="26" t="str">
        <f>HYPERLINK("https://audio.iskcondesiretree.com/02_-_ISKCON_Swamis/ISKCON_Swamis_-_R_to_Y/His_Holiness_Radhanath_Swami/Lectures/00_-_Year_wise/Devotional_Nectar_-_1999/1999-045_Hare_Krishna_SB-03_20_32_Mumbai_-_Radhanath_Swami_1999-07-20_IDesireTree.mp3", "1999-045_Hare_Krishna_SB-03_20_32_Mumbai_-_Radhanath_Swami_1999-07-20_IDesireTree.mp3")</f>
        <v>1999-045_Hare_Krishna_SB-03_20_32_Mumbai_-_Radhanath_Swami_1999-07-20_IDesireTree.mp3</v>
      </c>
      <c r="D1492" s="24"/>
      <c r="E1492" s="24"/>
    </row>
    <row r="1493">
      <c r="A1493" s="25" t="s">
        <v>18352</v>
      </c>
      <c r="B1493" s="25" t="s">
        <v>18363</v>
      </c>
      <c r="C1493" s="26" t="str">
        <f>HYPERLINK("https://audio.iskcondesiretree.com/02_-_ISKCON_Swamis/ISKCON_Swamis_-_R_to_Y/His_Holiness_Radhanath_Swami/Lectures/00_-_Year_wise/Devotional_Nectar_-_1999/1999-046_Realization_of_Jagannath_Puri_Yatra_Lecture_Mumbai_-_20-07-99_IDesireTree.mp3", "1999-046_Realization_of_Jagannath_Puri_Yatra_Lecture_Mumbai_-_20-07-99_IDesireTree.mp3")</f>
        <v>1999-046_Realization_of_Jagannath_Puri_Yatra_Lecture_Mumbai_-_20-07-99_IDesireTree.mp3</v>
      </c>
      <c r="D1493" s="24"/>
      <c r="E1493" s="24"/>
    </row>
    <row r="1494">
      <c r="A1494" s="25" t="s">
        <v>18352</v>
      </c>
      <c r="B1494" s="25" t="s">
        <v>18363</v>
      </c>
      <c r="C1494" s="26" t="str">
        <f>HYPERLINK("https://audio.iskcondesiretree.com/02_-_ISKCON_Swamis/ISKCON_Swamis_-_R_to_Y/His_Holiness_Radhanath_Swami/Lectures/00_-_Year_wise/Devotional_Nectar_-_1999/1999-047_Tapasya_Is_The_Basic_Element_Of_Bhakti_SB-03_20_32-34_Mumbai_-_20-07-99_IDesireTree.mp3", "1999-047_Tapasya_Is_The_Basic_Element_Of_Bhakti_SB-03_20_32-34_Mumbai_-_20-07-99_IDesireTree.mp3")</f>
        <v>1999-047_Tapasya_Is_The_Basic_Element_Of_Bhakti_SB-03_20_32-34_Mumbai_-_20-07-99_IDesireTree.mp3</v>
      </c>
      <c r="D1494" s="24"/>
      <c r="E1494" s="24"/>
    </row>
    <row r="1495">
      <c r="A1495" s="25" t="s">
        <v>18352</v>
      </c>
      <c r="B1495" s="25" t="s">
        <v>18363</v>
      </c>
      <c r="C1495" s="26" t="str">
        <f>HYPERLINK("https://audio.iskcondesiretree.com/02_-_ISKCON_Swamis/ISKCON_Swamis_-_R_to_Y/His_Holiness_Radhanath_Swami/Lectures/00_-_Year_wise/Devotional_Nectar_-_1999/1999-048_Apperance_of_Radha_Kund_Lecture_Mumbai_-_Radhanath_Swami_1999-10-31_IDesireTree.mp3", "1999-048_Apperance_of_Radha_Kund_Lecture_Mumbai_-_Radhanath_Swami_1999-10-31_IDesireTree.mp3")</f>
        <v>1999-048_Apperance_of_Radha_Kund_Lecture_Mumbai_-_Radhanath_Swami_1999-10-31_IDesireTree.mp3</v>
      </c>
      <c r="D1495" s="24"/>
      <c r="E1495" s="24"/>
    </row>
    <row r="1496">
      <c r="A1496" s="25" t="s">
        <v>18352</v>
      </c>
      <c r="B1496" s="25" t="s">
        <v>18363</v>
      </c>
      <c r="C1496" s="26" t="str">
        <f>HYPERLINK("https://audio.iskcondesiretree.com/02_-_ISKCON_Swamis/ISKCON_Swamis_-_R_to_Y/His_Holiness_Radhanath_Swami/Lectures/00_-_Year_wise/Devotional_Nectar_-_1999/1999-049_Relation_Between_Husband_%26_Wife_-_Radhanath_Swami_IDesireTree.mp3", "1999-049_Relation_Between_Husband_%26_Wife_-_Radhanath_Swami_IDesireTree.mp3")</f>
        <v>1999-049_Relation_Between_Husband_%26_Wife_-_Radhanath_Swami_IDesireTree.mp3</v>
      </c>
      <c r="D1496" s="24"/>
      <c r="E1496" s="24"/>
    </row>
    <row r="1497">
      <c r="A1497" s="25" t="s">
        <v>18352</v>
      </c>
      <c r="B1497" s="25" t="s">
        <v>18363</v>
      </c>
      <c r="C1497" s="26" t="str">
        <f>HYPERLINK("https://audio.iskcondesiretree.com/02_-_ISKCON_Swamis/ISKCON_Swamis_-_R_to_Y/His_Holiness_Radhanath_Swami/Lectures/00_-_Year_wise/Devotional_Nectar_-_1999/1999-050_Our_Advancement_is_in_Proportion_to_our_Faith_Sunday_Festival_Lecture_Mumbai_-_18-11-99_IDe"&amp;"sireTree.mp3", "1999-050_Our_Advancement_is_in_Proportion_to_our_Faith_Sunday_Festival_Lecture_Mumbai_-_18-11-99_IDesireTree.mp3")</f>
        <v>1999-050_Our_Advancement_is_in_Proportion_to_our_Faith_Sunday_Festival_Lecture_Mumbai_-_18-11-99_IDesireTree.mp3</v>
      </c>
      <c r="D1497" s="24"/>
      <c r="E1497" s="24"/>
    </row>
    <row r="1498">
      <c r="A1498" s="25" t="s">
        <v>18352</v>
      </c>
      <c r="B1498" s="25" t="s">
        <v>18363</v>
      </c>
      <c r="C1498" s="26" t="str">
        <f>HYPERLINK("https://audio.iskcondesiretree.com/02_-_ISKCON_Swamis/ISKCON_Swamis_-_R_to_Y/His_Holiness_Radhanath_Swami/Lectures/00_-_Year_wise/Devotional_Nectar_-_1999/1999-051_Preaching_is_the_Basis_of_our_Movement_SB-10_02_19_Vrindavan_-_20-11-99_IDesireTree.mp3", "1999-051_Preaching_is_the_Basis_of_our_Movement_SB-10_02_19_Vrindavan_-_20-11-99_IDesireTree.mp3")</f>
        <v>1999-051_Preaching_is_the_Basis_of_our_Movement_SB-10_02_19_Vrindavan_-_20-11-99_IDesireTree.mp3</v>
      </c>
      <c r="D1498" s="24"/>
      <c r="E1498" s="24"/>
    </row>
    <row r="1499">
      <c r="A1499" s="25" t="s">
        <v>18352</v>
      </c>
      <c r="B1499" s="25" t="s">
        <v>18363</v>
      </c>
      <c r="C1499" s="26" t="str">
        <f>HYPERLINK("https://audio.iskcondesiretree.com/02_-_ISKCON_Swamis/ISKCON_Swamis_-_R_to_Y/His_Holiness_Radhanath_Swami/Lectures/00_-_Year_wise/Devotional_Nectar_-_1999/1999-052_Glories_of_Bhismadev_Lecture_Kurukshetra_-_Radhanath_Swami_1999-11-25_IDesireTree.mp3", "1999-052_Glories_of_Bhismadev_Lecture_Kurukshetra_-_Radhanath_Swami_1999-11-25_IDesireTree.mp3")</f>
        <v>1999-052_Glories_of_Bhismadev_Lecture_Kurukshetra_-_Radhanath_Swami_1999-11-25_IDesireTree.mp3</v>
      </c>
      <c r="D1499" s="24"/>
      <c r="E1499" s="24"/>
    </row>
    <row r="1500">
      <c r="A1500" s="25" t="s">
        <v>18352</v>
      </c>
      <c r="B1500" s="25" t="s">
        <v>18363</v>
      </c>
      <c r="C1500" s="26" t="str">
        <f>HYPERLINK("https://audio.iskcondesiretree.com/02_-_ISKCON_Swamis/ISKCON_Swamis_-_R_to_Y/His_Holiness_Radhanath_Swami/Lectures/00_-_Year_wise/Devotional_Nectar_-_1999/1999-053_Exemplary_Life_of_Maharaj_Janak_BG-03_20_Kurukshetra_-_25-11-99_IDesireTree.mp3", "1999-053_Exemplary_Life_of_Maharaj_Janak_BG-03_20_Kurukshetra_-_25-11-99_IDesireTree.mp3")</f>
        <v>1999-053_Exemplary_Life_of_Maharaj_Janak_BG-03_20_Kurukshetra_-_25-11-99_IDesireTree.mp3</v>
      </c>
      <c r="D1500" s="24"/>
      <c r="E1500" s="24"/>
    </row>
    <row r="1501">
      <c r="A1501" s="25" t="s">
        <v>18352</v>
      </c>
      <c r="B1501" s="25" t="s">
        <v>18363</v>
      </c>
      <c r="C1501" s="26" t="str">
        <f>HYPERLINK("https://audio.iskcondesiretree.com/02_-_ISKCON_Swamis/ISKCON_Swamis_-_R_to_Y/His_Holiness_Radhanath_Swami/Lectures/00_-_Year_wise/Devotional_Nectar_-_1999/1999-054_History_%26_Contents_of_Bhagavad_Gita_BG-01_01_Kurukshetra_-_25-11-99_IDesireTree.mp3", "1999-054_History_%26_Contents_of_Bhagavad_Gita_BG-01_01_Kurukshetra_-_25-11-99_IDesireTree.mp3")</f>
        <v>1999-054_History_%26_Contents_of_Bhagavad_Gita_BG-01_01_Kurukshetra_-_25-11-99_IDesireTree.mp3</v>
      </c>
      <c r="D1501" s="24"/>
      <c r="E1501" s="24"/>
    </row>
    <row r="1502">
      <c r="A1502" s="25" t="s">
        <v>18352</v>
      </c>
      <c r="B1502" s="25" t="s">
        <v>18363</v>
      </c>
      <c r="C1502" s="26" t="str">
        <f>HYPERLINK("https://audio.iskcondesiretree.com/02_-_ISKCON_Swamis/ISKCON_Swamis_-_R_to_Y/His_Holiness_Radhanath_Swami/Lectures/00_-_Year_wise/Devotional_Nectar_-_1999/1999-055_Lords_Mercy_to_Cross_this_Material_World_BG-07_14_Kurukshetra_-_26-11-99_IDesireTree.mp3", "1999-055_Lords_Mercy_to_Cross_this_Material_World_BG-07_14_Kurukshetra_-_26-11-99_IDesireTree.mp3")</f>
        <v>1999-055_Lords_Mercy_to_Cross_this_Material_World_BG-07_14_Kurukshetra_-_26-11-99_IDesireTree.mp3</v>
      </c>
      <c r="D1502" s="24"/>
      <c r="E1502" s="24"/>
    </row>
    <row r="1503">
      <c r="A1503" s="25" t="s">
        <v>18352</v>
      </c>
      <c r="B1503" s="25" t="s">
        <v>18363</v>
      </c>
      <c r="C1503" s="26" t="str">
        <f>HYPERLINK("https://audio.iskcondesiretree.com/02_-_ISKCON_Swamis/ISKCON_Swamis_-_R_to_Y/His_Holiness_Radhanath_Swami/Lectures/00_-_Year_wise/Devotional_Nectar_-_1999/1999-056_Lecture_Mumbai_-_Radhanath_Swami_1999-12-04_IDesireTree.mp3", "1999-056_Lecture_Mumbai_-_Radhanath_Swami_1999-12-04_IDesireTree.mp3")</f>
        <v>1999-056_Lecture_Mumbai_-_Radhanath_Swami_1999-12-04_IDesireTree.mp3</v>
      </c>
      <c r="D1503" s="24"/>
      <c r="E1503" s="24"/>
    </row>
    <row r="1504">
      <c r="A1504" s="25" t="s">
        <v>18352</v>
      </c>
      <c r="B1504" s="25" t="s">
        <v>18363</v>
      </c>
      <c r="C1504" s="26" t="str">
        <f>HYPERLINK("https://audio.iskcondesiretree.com/02_-_ISKCON_Swamis/ISKCON_Swamis_-_R_to_Y/His_Holiness_Radhanath_Swami/Lectures/00_-_Year_wise/Devotional_Nectar_-_1999/1999-057_Absorbing_Ourselves_Fully_in_Thinking_of_Krishna_SB-03_25_36_Kolhapur_-_05-12-99_IDesireTre"&amp;"e.mp3", "1999-057_Absorbing_Ourselves_Fully_in_Thinking_of_Krishna_SB-03_25_36_Kolhapur_-_05-12-99_IDesireTree.mp3")</f>
        <v>1999-057_Absorbing_Ourselves_Fully_in_Thinking_of_Krishna_SB-03_25_36_Kolhapur_-_05-12-99_IDesireTree.mp3</v>
      </c>
      <c r="D1504" s="24"/>
      <c r="E1504" s="24"/>
    </row>
    <row r="1505">
      <c r="A1505" s="25" t="s">
        <v>18352</v>
      </c>
      <c r="B1505" s="25" t="s">
        <v>18363</v>
      </c>
      <c r="C1505" s="26" t="str">
        <f>HYPERLINK("https://audio.iskcondesiretree.com/02_-_ISKCON_Swamis/ISKCON_Swamis_-_R_to_Y/His_Holiness_Radhanath_Swami/Lectures/00_-_Year_wise/Devotional_Nectar_-_1999/1999-058_Krishna_Gives_What_is_Best_for_His_Devotees_Lecture_Kolhapur_-_05-12-99_IDesireTree.mp3", "1999-058_Krishna_Gives_What_is_Best_for_His_Devotees_Lecture_Kolhapur_-_05-12-99_IDesireTree.mp3")</f>
        <v>1999-058_Krishna_Gives_What_is_Best_for_His_Devotees_Lecture_Kolhapur_-_05-12-99_IDesireTree.mp3</v>
      </c>
      <c r="D1505" s="24"/>
      <c r="E1505" s="24"/>
    </row>
    <row r="1506">
      <c r="A1506" s="25" t="s">
        <v>18352</v>
      </c>
      <c r="B1506" s="25" t="s">
        <v>18363</v>
      </c>
      <c r="C1506" s="26" t="str">
        <f>HYPERLINK("https://audio.iskcondesiretree.com/02_-_ISKCON_Swamis/ISKCON_Swamis_-_R_to_Y/His_Holiness_Radhanath_Swami/Lectures/00_-_Year_wise/Devotional_Nectar_-_1999/1999-059_Treasure_Of_The_Lotus_Feet_Of_Lord_Krsna_Lecture_Mumbai_-_05-12-99_IDesireTree.mp3", "1999-059_Treasure_Of_The_Lotus_Feet_Of_Lord_Krsna_Lecture_Mumbai_-_05-12-99_IDesireTree.mp3")</f>
        <v>1999-059_Treasure_Of_The_Lotus_Feet_Of_Lord_Krsna_Lecture_Mumbai_-_05-12-99_IDesireTree.mp3</v>
      </c>
      <c r="D1506" s="24"/>
      <c r="E1506" s="24"/>
    </row>
    <row r="1507">
      <c r="A1507" s="25" t="s">
        <v>18352</v>
      </c>
      <c r="B1507" s="25" t="s">
        <v>18363</v>
      </c>
      <c r="C1507" s="26" t="str">
        <f>HYPERLINK("https://audio.iskcondesiretree.com/02_-_ISKCON_Swamis/ISKCON_Swamis_-_R_to_Y/His_Holiness_Radhanath_Swami/Lectures/00_-_Year_wise/Devotional_Nectar_-_1999/1999-060_Lecture_Mumbai_-_Radhanath_Swami_1999-12-07_IDesireTree.mp3", "1999-060_Lecture_Mumbai_-_Radhanath_Swami_1999-12-07_IDesireTree.mp3")</f>
        <v>1999-060_Lecture_Mumbai_-_Radhanath_Swami_1999-12-07_IDesireTree.mp3</v>
      </c>
      <c r="D1507" s="24"/>
      <c r="E1507" s="24"/>
    </row>
    <row r="1508">
      <c r="A1508" s="25" t="s">
        <v>18352</v>
      </c>
      <c r="B1508" s="25" t="s">
        <v>18363</v>
      </c>
      <c r="C1508" s="26" t="str">
        <f>HYPERLINK("https://audio.iskcondesiretree.com/02_-_ISKCON_Swamis/ISKCON_Swamis_-_R_to_Y/His_Holiness_Radhanath_Swami/Lectures/00_-_Year_wise/Devotional_Nectar_-_1999/1999-061_Original_Book_Distribution_BG-07_27_Mumbai_-_Radhanath_Swami_1999-12-12_IDesireTree.mp3", "1999-061_Original_Book_Distribution_BG-07_27_Mumbai_-_Radhanath_Swami_1999-12-12_IDesireTree.mp3")</f>
        <v>1999-061_Original_Book_Distribution_BG-07_27_Mumbai_-_Radhanath_Swami_1999-12-12_IDesireTree.mp3</v>
      </c>
      <c r="D1508" s="24"/>
      <c r="E1508" s="24"/>
    </row>
    <row r="1509">
      <c r="A1509" s="25" t="s">
        <v>18352</v>
      </c>
      <c r="B1509" s="25" t="s">
        <v>18363</v>
      </c>
      <c r="C1509" s="26" t="str">
        <f>HYPERLINK("https://audio.iskcondesiretree.com/02_-_ISKCON_Swamis/ISKCON_Swamis_-_R_to_Y/His_Holiness_Radhanath_Swami/Lectures/00_-_Year_wise/Devotional_Nectar_-_1999/1999-062_Following_In_The_Footstep_Of_Arjuna_I_BG_18_64-66_Mumbai_-_19-12-99_IDesireTree.mp3", "1999-062_Following_In_The_Footstep_Of_Arjuna_I_BG_18_64-66_Mumbai_-_19-12-99_IDesireTree.mp3")</f>
        <v>1999-062_Following_In_The_Footstep_Of_Arjuna_I_BG_18_64-66_Mumbai_-_19-12-99_IDesireTree.mp3</v>
      </c>
      <c r="D1509" s="24"/>
      <c r="E1509" s="24"/>
    </row>
    <row r="1510">
      <c r="A1510" s="25" t="s">
        <v>18352</v>
      </c>
      <c r="B1510" s="25" t="s">
        <v>18363</v>
      </c>
      <c r="C1510" s="26" t="str">
        <f>HYPERLINK("https://audio.iskcondesiretree.com/02_-_ISKCON_Swamis/ISKCON_Swamis_-_R_to_Y/His_Holiness_Radhanath_Swami/Lectures/00_-_Year_wise/Devotional_Nectar_-_1999/1999-063_Deliverance_of_Nalakuvera_%26_Manigriva_Lecture_Mumbai_-_24-12-99_IDesireTree.mp3", "1999-063_Deliverance_of_Nalakuvera_%26_Manigriva_Lecture_Mumbai_-_24-12-99_IDesireTree.mp3")</f>
        <v>1999-063_Deliverance_of_Nalakuvera_%26_Manigriva_Lecture_Mumbai_-_24-12-99_IDesireTree.mp3</v>
      </c>
      <c r="D1510" s="24"/>
      <c r="E1510" s="24"/>
    </row>
    <row r="1511">
      <c r="A1511" s="25" t="s">
        <v>18352</v>
      </c>
      <c r="B1511" s="25" t="s">
        <v>18363</v>
      </c>
      <c r="C1511" s="26" t="str">
        <f>HYPERLINK("https://audio.iskcondesiretree.com/02_-_ISKCON_Swamis/ISKCON_Swamis_-_R_to_Y/His_Holiness_Radhanath_Swami/Lectures/00_-_Year_wise/Devotional_Nectar_-_1999/1999-064_Maya_Seizes_an_Offender_SB-06_09_43_Mumbai_-_Radhanath_Swami_1999-12-27_IDesireTree.mp3", "1999-064_Maya_Seizes_an_Offender_SB-06_09_43_Mumbai_-_Radhanath_Swami_1999-12-27_IDesireTree.mp3")</f>
        <v>1999-064_Maya_Seizes_an_Offender_SB-06_09_43_Mumbai_-_Radhanath_Swami_1999-12-27_IDesireTree.mp3</v>
      </c>
      <c r="D1511" s="24"/>
      <c r="E1511" s="24"/>
    </row>
    <row r="1512">
      <c r="A1512" s="25" t="s">
        <v>18352</v>
      </c>
      <c r="B1512" s="25" t="s">
        <v>18363</v>
      </c>
      <c r="C1512" s="26" t="str">
        <f>HYPERLINK("https://audio.iskcondesiretree.com/02_-_ISKCON_Swamis/ISKCON_Swamis_-_R_to_Y/His_Holiness_Radhanath_Swami/Lectures/00_-_Year_wise/Devotional_Nectar_-_1999/1999-065_Kaliyuga_Gets_Maximum_Mercy_Lecture_Mumbai_-_Radhanath_Swami_1999-12-31_IDesireTree.mp3", "1999-065_Kaliyuga_Gets_Maximum_Mercy_Lecture_Mumbai_-_Radhanath_Swami_1999-12-31_IDesireTree.mp3")</f>
        <v>1999-065_Kaliyuga_Gets_Maximum_Mercy_Lecture_Mumbai_-_Radhanath_Swami_1999-12-31_IDesireTree.mp3</v>
      </c>
      <c r="D1512" s="24"/>
      <c r="E1512" s="24"/>
    </row>
    <row r="1513">
      <c r="A1513" s="25" t="s">
        <v>18352</v>
      </c>
      <c r="B1513" s="25" t="s">
        <v>18363</v>
      </c>
      <c r="C1513" s="26" t="str">
        <f>HYPERLINK("https://audio.iskcondesiretree.com/02_-_ISKCON_Swamis/ISKCON_Swamis_-_R_to_Y/His_Holiness_Radhanath_Swami/Lectures/00_-_Year_wise/Devotional_Nectar_-_1999/1999-066_Marriage_Ceremony_Nityalila_M_-_Radhanath_Swami_IDesireTree.mp3", "1999-066_Marriage_Ceremony_Nityalila_M_-_Radhanath_Swami_IDesireTree.mp3")</f>
        <v>1999-066_Marriage_Ceremony_Nityalila_M_-_Radhanath_Swami_IDesireTree.mp3</v>
      </c>
      <c r="D1513" s="24"/>
      <c r="E1513" s="24"/>
    </row>
    <row r="1514">
      <c r="A1514" s="25" t="s">
        <v>18352</v>
      </c>
      <c r="B1514" s="25" t="s">
        <v>18364</v>
      </c>
      <c r="C1514" s="26" t="str">
        <f>HYPERLINK("https://audio.iskcondesiretree.com/02_-_ISKCON_Swamis/ISKCON_Swamis_-_R_to_Y/His_Holiness_Radhanath_Swami/Lectures/00_-_Year_wise/Devotional_Nectar_-_2000/2000-001_Marriage_Address-_HG_Rupa_Vilas_P_%26_Nitya_Lila_M_Lecture_Mumbai_-_01-01-00_IDesireTree.mp"&amp;"3", "2000-001_Marriage_Address-_HG_Rupa_Vilas_P_%26_Nitya_Lila_M_Lecture_Mumbai_-_01-01-00_IDesireTree.mp3")</f>
        <v>2000-001_Marriage_Address-_HG_Rupa_Vilas_P_%26_Nitya_Lila_M_Lecture_Mumbai_-_01-01-00_IDesireTree.mp3</v>
      </c>
      <c r="D1514" s="24"/>
      <c r="E1514" s="24"/>
    </row>
    <row r="1515">
      <c r="A1515" s="25" t="s">
        <v>18352</v>
      </c>
      <c r="B1515" s="25" t="s">
        <v>18364</v>
      </c>
      <c r="C1515" s="26" t="str">
        <f>HYPERLINK("https://audio.iskcondesiretree.com/02_-_ISKCON_Swamis/ISKCON_Swamis_-_R_to_Y/His_Holiness_Radhanath_Swami/Lectures/00_-_Year_wise/Devotional_Nectar_-_2000/2000-002_Marriage_Ceremony_Address_Lecture_Mumbai_-_Radhanath_Swami_2000-01-01_IDesireTree.mp3", "2000-002_Marriage_Ceremony_Address_Lecture_Mumbai_-_Radhanath_Swami_2000-01-01_IDesireTree.mp3")</f>
        <v>2000-002_Marriage_Ceremony_Address_Lecture_Mumbai_-_Radhanath_Swami_2000-01-01_IDesireTree.mp3</v>
      </c>
      <c r="D1515" s="24"/>
      <c r="E1515" s="24"/>
    </row>
    <row r="1516">
      <c r="A1516" s="25" t="s">
        <v>18352</v>
      </c>
      <c r="B1516" s="25" t="s">
        <v>18364</v>
      </c>
      <c r="C1516" s="26" t="str">
        <f>HYPERLINK("https://audio.iskcondesiretree.com/02_-_ISKCON_Swamis/ISKCON_Swamis_-_R_to_Y/His_Holiness_Radhanath_Swami/Lectures/00_-_Year_wise/Devotional_Nectar_-_2000/2000-002_The_True_Purpose_of_Life-_MT_Sachin_%26_Preeti_Marriage_Address_Mumbai_-_01-01-00_IDesireTr"&amp;"ee.mp3", "2000-002_The_True_Purpose_of_Life-_MT_Sachin_%26_Preeti_Marriage_Address_Mumbai_-_01-01-00_IDesireTree.mp3")</f>
        <v>2000-002_The_True_Purpose_of_Life-_MT_Sachin_%26_Preeti_Marriage_Address_Mumbai_-_01-01-00_IDesireTree.mp3</v>
      </c>
      <c r="D1516" s="24"/>
      <c r="E1516" s="24"/>
    </row>
    <row r="1517">
      <c r="A1517" s="25" t="s">
        <v>18352</v>
      </c>
      <c r="B1517" s="25" t="s">
        <v>18364</v>
      </c>
      <c r="C1517" s="26" t="str">
        <f>HYPERLINK("https://audio.iskcondesiretree.com/02_-_ISKCON_Swamis/ISKCON_Swamis_-_R_to_Y/His_Holiness_Radhanath_Swami/Lectures/00_-_Year_wise/Devotional_Nectar_-_2000/2000-003_Leaders_Should_Enlighten_People_To_Take_Shelter_Of_Krsna_Lecture_Mumbai_-_06-01-00_IDesireT"&amp;"ree.mp3", "2000-003_Leaders_Should_Enlighten_People_To_Take_Shelter_Of_Krsna_Lecture_Mumbai_-_06-01-00_IDesireTree.mp3")</f>
        <v>2000-003_Leaders_Should_Enlighten_People_To_Take_Shelter_Of_Krsna_Lecture_Mumbai_-_06-01-00_IDesireTree.mp3</v>
      </c>
      <c r="D1517" s="24"/>
      <c r="E1517" s="24"/>
    </row>
    <row r="1518">
      <c r="A1518" s="25" t="s">
        <v>18352</v>
      </c>
      <c r="B1518" s="25" t="s">
        <v>18364</v>
      </c>
      <c r="C1518" s="26" t="str">
        <f>HYPERLINK("https://audio.iskcondesiretree.com/02_-_ISKCON_Swamis/ISKCON_Swamis_-_R_to_Y/His_Holiness_Radhanath_Swami/Lectures/00_-_Year_wise/Devotional_Nectar_-_2000/2000-003_The_True_Purpose_of_Life-_MT_Marriage_Address_Mumbai_-_01-01-00_IDesireTree.mp3", "2000-003_The_True_Purpose_of_Life-_MT_Marriage_Address_Mumbai_-_01-01-00_IDesireTree.mp3")</f>
        <v>2000-003_The_True_Purpose_of_Life-_MT_Marriage_Address_Mumbai_-_01-01-00_IDesireTree.mp3</v>
      </c>
      <c r="D1518" s="24"/>
      <c r="E1518" s="24"/>
    </row>
    <row r="1519">
      <c r="A1519" s="25" t="s">
        <v>18352</v>
      </c>
      <c r="B1519" s="25" t="s">
        <v>18364</v>
      </c>
      <c r="C1519" s="26" t="str">
        <f>HYPERLINK("https://audio.iskcondesiretree.com/02_-_ISKCON_Swamis/ISKCON_Swamis_-_R_to_Y/His_Holiness_Radhanath_Swami/Lectures/00_-_Year_wise/Devotional_Nectar_-_2000/2000-004_Our_Lives_In_Chaos_Lecture_Mumbai_-_Radhanath_Swami_2000-01-08_IDesireTree.mp3", "2000-004_Our_Lives_In_Chaos_Lecture_Mumbai_-_Radhanath_Swami_2000-01-08_IDesireTree.mp3")</f>
        <v>2000-004_Our_Lives_In_Chaos_Lecture_Mumbai_-_Radhanath_Swami_2000-01-08_IDesireTree.mp3</v>
      </c>
      <c r="D1519" s="24"/>
      <c r="E1519" s="24"/>
    </row>
    <row r="1520">
      <c r="A1520" s="25" t="s">
        <v>18352</v>
      </c>
      <c r="B1520" s="25" t="s">
        <v>18364</v>
      </c>
      <c r="C1520" s="26" t="str">
        <f>HYPERLINK("https://audio.iskcondesiretree.com/02_-_ISKCON_Swamis/ISKCON_Swamis_-_R_to_Y/His_Holiness_Radhanath_Swami/Lectures/00_-_Year_wise/Devotional_Nectar_-_2000/2000-005_Life_of_Srila_Jiva_Goswami_Lecture_Mumbai_-_Radhanath_Swami_2000-01-09_IDesireTree.mp3", "2000-005_Life_of_Srila_Jiva_Goswami_Lecture_Mumbai_-_Radhanath_Swami_2000-01-09_IDesireTree.mp3")</f>
        <v>2000-005_Life_of_Srila_Jiva_Goswami_Lecture_Mumbai_-_Radhanath_Swami_2000-01-09_IDesireTree.mp3</v>
      </c>
      <c r="D1520" s="24"/>
      <c r="E1520" s="24"/>
    </row>
    <row r="1521">
      <c r="A1521" s="25" t="s">
        <v>18352</v>
      </c>
      <c r="B1521" s="25" t="s">
        <v>18364</v>
      </c>
      <c r="C1521" s="26" t="str">
        <f>HYPERLINK("https://audio.iskcondesiretree.com/02_-_ISKCON_Swamis/ISKCON_Swamis_-_R_to_Y/His_Holiness_Radhanath_Swami/Lectures/00_-_Year_wise/Devotional_Nectar_-_2000/2000-006_Beware_of_Maya%27s_Hijackers_Lecture_Mumbai_-_Radhanath_Swami_2000-01-12_IDesireTree.mp3", "2000-006_Beware_of_Maya%27s_Hijackers_Lecture_Mumbai_-_Radhanath_Swami_2000-01-12_IDesireTree.mp3")</f>
        <v>2000-006_Beware_of_Maya%27s_Hijackers_Lecture_Mumbai_-_Radhanath_Swami_2000-01-12_IDesireTree.mp3</v>
      </c>
      <c r="D1521" s="24"/>
      <c r="E1521" s="24"/>
    </row>
    <row r="1522">
      <c r="A1522" s="25" t="s">
        <v>18352</v>
      </c>
      <c r="B1522" s="25" t="s">
        <v>18364</v>
      </c>
      <c r="C1522" s="26" t="str">
        <f>HYPERLINK("https://audio.iskcondesiretree.com/02_-_ISKCON_Swamis/ISKCON_Swamis_-_R_to_Y/His_Holiness_Radhanath_Swami/Lectures/00_-_Year_wise/Devotional_Nectar_-_2000/2000-007_Don%27t_be_Like_Dogs_Hogs_Camels_%26_Asses_SB-3_2_19_Mumbai_-_13-01-00_IDesireTree.mp3", "2000-007_Don%27t_be_Like_Dogs_Hogs_Camels_%26_Asses_SB-3_2_19_Mumbai_-_13-01-00_IDesireTree.mp3")</f>
        <v>2000-007_Don%27t_be_Like_Dogs_Hogs_Camels_%26_Asses_SB-3_2_19_Mumbai_-_13-01-00_IDesireTree.mp3</v>
      </c>
      <c r="D1522" s="24"/>
      <c r="E1522" s="24"/>
    </row>
    <row r="1523">
      <c r="A1523" s="25" t="s">
        <v>18352</v>
      </c>
      <c r="B1523" s="25" t="s">
        <v>18364</v>
      </c>
      <c r="C1523" s="26" t="str">
        <f>HYPERLINK("https://audio.iskcondesiretree.com/02_-_ISKCON_Swamis/ISKCON_Swamis_-_R_to_Y/His_Holiness_Radhanath_Swami/Lectures/00_-_Year_wise/Devotional_Nectar_-_2000/2000-008_The_Age_of_Kali_Lecture_Mumbai_-_Radhanath_Swami_2000-01-14_IDesireTree.mp3", "2000-008_The_Age_of_Kali_Lecture_Mumbai_-_Radhanath_Swami_2000-01-14_IDesireTree.mp3")</f>
        <v>2000-008_The_Age_of_Kali_Lecture_Mumbai_-_Radhanath_Swami_2000-01-14_IDesireTree.mp3</v>
      </c>
      <c r="D1523" s="24"/>
      <c r="E1523" s="24"/>
    </row>
    <row r="1524">
      <c r="A1524" s="25" t="s">
        <v>18352</v>
      </c>
      <c r="B1524" s="25" t="s">
        <v>18364</v>
      </c>
      <c r="C1524" s="26" t="str">
        <f>HYPERLINK("https://audio.iskcondesiretree.com/02_-_ISKCON_Swamis/ISKCON_Swamis_-_R_to_Y/His_Holiness_Radhanath_Swami/Lectures/00_-_Year_wise/Devotional_Nectar_-_2000/2000-009_Questions_%26_Answers_Q%26A_Udipi_-_Radhanath_Swami_2000-01-18_IDesireTree.mp3", "2000-009_Questions_%26_Answers_Q%26A_Udipi_-_Radhanath_Swami_2000-01-18_IDesireTree.mp3")</f>
        <v>2000-009_Questions_%26_Answers_Q%26A_Udipi_-_Radhanath_Swami_2000-01-18_IDesireTree.mp3</v>
      </c>
      <c r="D1524" s="24"/>
      <c r="E1524" s="24"/>
    </row>
    <row r="1525">
      <c r="A1525" s="25" t="s">
        <v>18352</v>
      </c>
      <c r="B1525" s="25" t="s">
        <v>18364</v>
      </c>
      <c r="C1525" s="26" t="str">
        <f>HYPERLINK("https://audio.iskcondesiretree.com/02_-_ISKCON_Swamis/ISKCON_Swamis_-_R_to_Y/His_Holiness_Radhanath_Swami/Lectures/00_-_Year_wise/Devotional_Nectar_-_2000/2000-010_Life_%26_Teachings_of_Srila_Madhavacarya-_Part_1_Lecture_Udipi_-_20-01-00_IDesireTree.mp3", "2000-010_Life_%26_Teachings_of_Srila_Madhavacarya-_Part_1_Lecture_Udipi_-_20-01-00_IDesireTree.mp3")</f>
        <v>2000-010_Life_%26_Teachings_of_Srila_Madhavacarya-_Part_1_Lecture_Udipi_-_20-01-00_IDesireTree.mp3</v>
      </c>
      <c r="D1525" s="24"/>
      <c r="E1525" s="24"/>
    </row>
    <row r="1526">
      <c r="A1526" s="25" t="s">
        <v>18352</v>
      </c>
      <c r="B1526" s="25" t="s">
        <v>18364</v>
      </c>
      <c r="C1526" s="26" t="str">
        <f>HYPERLINK("https://audio.iskcondesiretree.com/02_-_ISKCON_Swamis/ISKCON_Swamis_-_R_to_Y/His_Holiness_Radhanath_Swami/Lectures/00_-_Year_wise/Devotional_Nectar_-_2000/2000-011_Life_%26_Teachings_of_Srila_Madhavacarya-_Part_2_Lecture_Udipi_-_20-01-00_IDesireTree.mp3", "2000-011_Life_%26_Teachings_of_Srila_Madhavacarya-_Part_2_Lecture_Udipi_-_20-01-00_IDesireTree.mp3")</f>
        <v>2000-011_Life_%26_Teachings_of_Srila_Madhavacarya-_Part_2_Lecture_Udipi_-_20-01-00_IDesireTree.mp3</v>
      </c>
      <c r="D1526" s="24"/>
      <c r="E1526" s="24"/>
    </row>
    <row r="1527">
      <c r="A1527" s="25" t="s">
        <v>18352</v>
      </c>
      <c r="B1527" s="25" t="s">
        <v>18364</v>
      </c>
      <c r="C1527" s="26" t="str">
        <f>HYPERLINK("https://audio.iskcondesiretree.com/02_-_ISKCON_Swamis/ISKCON_Swamis_-_R_to_Y/His_Holiness_Radhanath_Swami/Lectures/00_-_Year_wise/Devotional_Nectar_-_2000/2000-012_Hare_Krishna_LectureKarnataka_-_Radhanath_Swami_2000-01-21_IDesireTree.mp3", "2000-012_Hare_Krishna_LectureKarnataka_-_Radhanath_Swami_2000-01-21_IDesireTree.mp3")</f>
        <v>2000-012_Hare_Krishna_LectureKarnataka_-_Radhanath_Swami_2000-01-21_IDesireTree.mp3</v>
      </c>
      <c r="D1527" s="24"/>
      <c r="E1527" s="24"/>
    </row>
    <row r="1528">
      <c r="A1528" s="25" t="s">
        <v>18352</v>
      </c>
      <c r="B1528" s="25" t="s">
        <v>18364</v>
      </c>
      <c r="C1528" s="26" t="str">
        <f>HYPERLINK("https://audio.iskcondesiretree.com/02_-_ISKCON_Swamis/ISKCON_Swamis_-_R_to_Y/His_Holiness_Radhanath_Swami/Lectures/00_-_Year_wise/Devotional_Nectar_-_2000/2000-013_Problems-_Opportunities_for_Self_Realization_HT_-_SB_04_14_39-40_Belgaum_-_23-01-00_IDesire"&amp;"Tree.mp3", "2000-013_Problems-_Opportunities_for_Self_Realization_HT_-_SB_04_14_39-40_Belgaum_-_23-01-00_IDesireTree.mp3")</f>
        <v>2000-013_Problems-_Opportunities_for_Self_Realization_HT_-_SB_04_14_39-40_Belgaum_-_23-01-00_IDesireTree.mp3</v>
      </c>
      <c r="D1528" s="24"/>
      <c r="E1528" s="24"/>
    </row>
    <row r="1529">
      <c r="A1529" s="25" t="s">
        <v>18352</v>
      </c>
      <c r="B1529" s="25" t="s">
        <v>18364</v>
      </c>
      <c r="C1529" s="26" t="str">
        <f>HYPERLINK("https://audio.iskcondesiretree.com/02_-_ISKCON_Swamis/ISKCON_Swamis_-_R_to_Y/His_Holiness_Radhanath_Swami/Lectures/00_-_Year_wise/Devotional_Nectar_-_2000/2000-014_No_Newspapers_in_Hell_Lecture_Belgaum_-_Radhanath_Swami_2000-01-23_IDesireTree.mp3", "2000-014_No_Newspapers_in_Hell_Lecture_Belgaum_-_Radhanath_Swami_2000-01-23_IDesireTree.mp3")</f>
        <v>2000-014_No_Newspapers_in_Hell_Lecture_Belgaum_-_Radhanath_Swami_2000-01-23_IDesireTree.mp3</v>
      </c>
      <c r="D1529" s="24"/>
      <c r="E1529" s="24"/>
    </row>
    <row r="1530">
      <c r="A1530" s="25" t="s">
        <v>18352</v>
      </c>
      <c r="B1530" s="25" t="s">
        <v>18364</v>
      </c>
      <c r="C1530" s="26" t="str">
        <f>HYPERLINK("https://audio.iskcondesiretree.com/02_-_ISKCON_Swamis/ISKCON_Swamis_-_R_to_Y/His_Holiness_Radhanath_Swami/Lectures/00_-_Year_wise/Devotional_Nectar_-_2000/2000-015_Marriage_Address_Lecture_Mumbai_-_Radhanath_Swami_2000-01-26_doubtful_IDesireTree.mp3", "2000-015_Marriage_Address_Lecture_Mumbai_-_Radhanath_Swami_2000-01-26_doubtful_IDesireTree.mp3")</f>
        <v>2000-015_Marriage_Address_Lecture_Mumbai_-_Radhanath_Swami_2000-01-26_doubtful_IDesireTree.mp3</v>
      </c>
      <c r="D1530" s="24"/>
      <c r="E1530" s="24"/>
    </row>
    <row r="1531">
      <c r="A1531" s="25" t="s">
        <v>18352</v>
      </c>
      <c r="B1531" s="25" t="s">
        <v>18364</v>
      </c>
      <c r="C1531" s="26" t="str">
        <f>HYPERLINK("https://audio.iskcondesiretree.com/02_-_ISKCON_Swamis/ISKCON_Swamis_-_R_to_Y/His_Holiness_Radhanath_Swami/Lectures/00_-_Year_wise/Devotional_Nectar_-_2000/2000-016_LNHO-_A_Real_Example_of_True_Indians-_Lecture_Mumbai_-_26-01-00_IDesireTree.mp3", "2000-016_LNHO-_A_Real_Example_of_True_Indians-_Lecture_Mumbai_-_26-01-00_IDesireTree.mp3")</f>
        <v>2000-016_LNHO-_A_Real_Example_of_True_Indians-_Lecture_Mumbai_-_26-01-00_IDesireTree.mp3</v>
      </c>
      <c r="D1531" s="24"/>
      <c r="E1531" s="24"/>
    </row>
    <row r="1532">
      <c r="A1532" s="25" t="s">
        <v>18352</v>
      </c>
      <c r="B1532" s="25" t="s">
        <v>18364</v>
      </c>
      <c r="C1532" s="26" t="str">
        <f>HYPERLINK("https://audio.iskcondesiretree.com/02_-_ISKCON_Swamis/ISKCON_Swamis_-_R_to_Y/His_Holiness_Radhanath_Swami/Lectures/00_-_Year_wise/Devotional_Nectar_-_2000/2000-017_Contribution_of_The_Gaudiya_Vaisnava_Acharyas_Lecture_Mumbai_-_2000-01-29_IDesireTree.mp3", "2000-017_Contribution_of_The_Gaudiya_Vaisnava_Acharyas_Lecture_Mumbai_-_2000-01-29_IDesireTree.mp3")</f>
        <v>2000-017_Contribution_of_The_Gaudiya_Vaisnava_Acharyas_Lecture_Mumbai_-_2000-01-29_IDesireTree.mp3</v>
      </c>
      <c r="D1532" s="24"/>
      <c r="E1532" s="24"/>
    </row>
    <row r="1533">
      <c r="A1533" s="25" t="s">
        <v>18352</v>
      </c>
      <c r="B1533" s="25" t="s">
        <v>18364</v>
      </c>
      <c r="C1533" s="26" t="str">
        <f>HYPERLINK("https://audio.iskcondesiretree.com/02_-_ISKCON_Swamis/ISKCON_Swamis_-_R_to_Y/His_Holiness_Radhanath_Swami/Lectures/00_-_Year_wise/Devotional_Nectar_-_2000/2000-018_Pushya_Abhishek_Lecture_Mumbai_-_Radhanath_Swami_2000-01-31_IDesireTree.mp3", "2000-018_Pushya_Abhishek_Lecture_Mumbai_-_Radhanath_Swami_2000-01-31_IDesireTree.mp3")</f>
        <v>2000-018_Pushya_Abhishek_Lecture_Mumbai_-_Radhanath_Swami_2000-01-31_IDesireTree.mp3</v>
      </c>
      <c r="D1533" s="24"/>
      <c r="E1533" s="24"/>
    </row>
    <row r="1534">
      <c r="A1534" s="25" t="s">
        <v>18352</v>
      </c>
      <c r="B1534" s="25" t="s">
        <v>18364</v>
      </c>
      <c r="C1534" s="26" t="str">
        <f>HYPERLINK("https://audio.iskcondesiretree.com/02_-_ISKCON_Swamis/ISKCON_Swamis_-_R_to_Y/His_Holiness_Radhanath_Swami/Lectures/00_-_Year_wise/Devotional_Nectar_-_2000/2000-019_Following_Guru_Parampara_SB-01_03_42_Mumbai_-_Radhanath_Swami_2000-02-03_IDesireTree.mp3", "2000-019_Following_Guru_Parampara_SB-01_03_42_Mumbai_-_Radhanath_Swami_2000-02-03_IDesireTree.mp3")</f>
        <v>2000-019_Following_Guru_Parampara_SB-01_03_42_Mumbai_-_Radhanath_Swami_2000-02-03_IDesireTree.mp3</v>
      </c>
      <c r="D1534" s="24"/>
      <c r="E1534" s="24"/>
    </row>
    <row r="1535">
      <c r="A1535" s="25" t="s">
        <v>18352</v>
      </c>
      <c r="B1535" s="25" t="s">
        <v>18364</v>
      </c>
      <c r="C1535" s="26" t="str">
        <f>HYPERLINK("https://audio.iskcondesiretree.com/02_-_ISKCON_Swamis/ISKCON_Swamis_-_R_to_Y/His_Holiness_Radhanath_Swami/Lectures/00_-_Year_wise/Devotional_Nectar_-_2000/2000-020_Futility_of_Material_Pleasure_SB-3_25_13_Mumbai_-_05-02-00_IDesireTree.mp3", "2000-020_Futility_of_Material_Pleasure_SB-3_25_13_Mumbai_-_05-02-00_IDesireTree.mp3")</f>
        <v>2000-020_Futility_of_Material_Pleasure_SB-3_25_13_Mumbai_-_05-02-00_IDesireTree.mp3</v>
      </c>
      <c r="D1535" s="24"/>
      <c r="E1535" s="24"/>
    </row>
    <row r="1536">
      <c r="A1536" s="25" t="s">
        <v>18352</v>
      </c>
      <c r="B1536" s="25" t="s">
        <v>18364</v>
      </c>
      <c r="C1536" s="26" t="str">
        <f>HYPERLINK("https://audio.iskcondesiretree.com/02_-_ISKCON_Swamis/ISKCON_Swamis_-_R_to_Y/His_Holiness_Radhanath_Swami/Lectures/00_-_Year_wise/Devotional_Nectar_-_2000/2000-021_Marriage_ceremony_address_Lecture_Mumbai_-_Radhanath_Swami_2000-02-05_IDesireTree.mp3", "2000-021_Marriage_ceremony_address_Lecture_Mumbai_-_Radhanath_Swami_2000-02-05_IDesireTree.mp3")</f>
        <v>2000-021_Marriage_ceremony_address_Lecture_Mumbai_-_Radhanath_Swami_2000-02-05_IDesireTree.mp3</v>
      </c>
      <c r="D1536" s="24"/>
      <c r="E1536" s="24"/>
    </row>
    <row r="1537">
      <c r="A1537" s="25" t="s">
        <v>18352</v>
      </c>
      <c r="B1537" s="25" t="s">
        <v>18364</v>
      </c>
      <c r="C1537" s="26" t="str">
        <f>HYPERLINK("https://audio.iskcondesiretree.com/02_-_ISKCON_Swamis/ISKCON_Swamis_-_R_to_Y/His_Holiness_Radhanath_Swami/Lectures/00_-_Year_wise/Devotional_Nectar_-_2000/2000-022_Qualification_to_Understand_the_Truth_SB-03_25_14_Mumbai_-_06-02-00_IDesireTree.mp3", "2000-022_Qualification_to_Understand_the_Truth_SB-03_25_14_Mumbai_-_06-02-00_IDesireTree.mp3")</f>
        <v>2000-022_Qualification_to_Understand_the_Truth_SB-03_25_14_Mumbai_-_06-02-00_IDesireTree.mp3</v>
      </c>
      <c r="D1537" s="24"/>
      <c r="E1537" s="24"/>
    </row>
    <row r="1538">
      <c r="A1538" s="25" t="s">
        <v>18352</v>
      </c>
      <c r="B1538" s="25" t="s">
        <v>18364</v>
      </c>
      <c r="C1538" s="26" t="str">
        <f>HYPERLINK("https://audio.iskcondesiretree.com/02_-_ISKCON_Swamis/ISKCON_Swamis_-_R_to_Y/His_Holiness_Radhanath_Swami/Lectures/00_-_Year_wise/Devotional_Nectar_-_2000/2000-023_Glories_of_the_Hare_Krishna_Movement_Lecture_Mumbai_-_06-02-00_IDesireTree.mp3", "2000-023_Glories_of_the_Hare_Krishna_Movement_Lecture_Mumbai_-_06-02-00_IDesireTree.mp3")</f>
        <v>2000-023_Glories_of_the_Hare_Krishna_Movement_Lecture_Mumbai_-_06-02-00_IDesireTree.mp3</v>
      </c>
      <c r="D1538" s="24"/>
      <c r="E1538" s="24"/>
    </row>
    <row r="1539">
      <c r="A1539" s="25" t="s">
        <v>18352</v>
      </c>
      <c r="B1539" s="25" t="s">
        <v>18364</v>
      </c>
      <c r="C1539" s="26" t="str">
        <f>HYPERLINK("https://audio.iskcondesiretree.com/02_-_ISKCON_Swamis/ISKCON_Swamis_-_R_to_Y/His_Holiness_Radhanath_Swami/Lectures/00_-_Year_wise/Devotional_Nectar_-_2000/2000-024_Marriage_In_Krsna_Conscious_Is_Renunciation_Lecture_Mumbai_-_07-02-2000_IDesireTree.mp3", "2000-024_Marriage_In_Krsna_Conscious_Is_Renunciation_Lecture_Mumbai_-_07-02-2000_IDesireTree.mp3")</f>
        <v>2000-024_Marriage_In_Krsna_Conscious_Is_Renunciation_Lecture_Mumbai_-_07-02-2000_IDesireTree.mp3</v>
      </c>
      <c r="D1539" s="24"/>
      <c r="E1539" s="24"/>
    </row>
    <row r="1540">
      <c r="A1540" s="25" t="s">
        <v>18352</v>
      </c>
      <c r="B1540" s="25" t="s">
        <v>18364</v>
      </c>
      <c r="C1540" s="26" t="str">
        <f>HYPERLINK("https://audio.iskcondesiretree.com/02_-_ISKCON_Swamis/ISKCON_Swamis_-_R_to_Y/His_Holiness_Radhanath_Swami/Lectures/00_-_Year_wise/Devotional_Nectar_-_2000/2000-025_Seeing_Everything_Positively_Lecture_Mumbai_-_Radhanath_Swami_2000-02-08_IDesireTree.mp3", "2000-025_Seeing_Everything_Positively_Lecture_Mumbai_-_Radhanath_Swami_2000-02-08_IDesireTree.mp3")</f>
        <v>2000-025_Seeing_Everything_Positively_Lecture_Mumbai_-_Radhanath_Swami_2000-02-08_IDesireTree.mp3</v>
      </c>
      <c r="D1540" s="24"/>
      <c r="E1540" s="24"/>
    </row>
    <row r="1541">
      <c r="A1541" s="25" t="s">
        <v>18352</v>
      </c>
      <c r="B1541" s="25" t="s">
        <v>18364</v>
      </c>
      <c r="C1541" s="26" t="str">
        <f>HYPERLINK("https://audio.iskcondesiretree.com/02_-_ISKCON_Swamis/ISKCON_Swamis_-_R_to_Y/His_Holiness_Radhanath_Swami/Lectures/00_-_Year_wise/Devotional_Nectar_-_2000/2000-026_Unlimited_Happiness_by_Surrendering_to_Krsna_SB_1_-_Radhanath_Swami_IDesireTree.mp3", "2000-026_Unlimited_Happiness_by_Surrendering_to_Krsna_SB_1_-_Radhanath_Swami_IDesireTree.mp3")</f>
        <v>2000-026_Unlimited_Happiness_by_Surrendering_to_Krsna_SB_1_-_Radhanath_Swami_IDesireTree.mp3</v>
      </c>
      <c r="D1541" s="24"/>
      <c r="E1541" s="24"/>
    </row>
    <row r="1542">
      <c r="A1542" s="25" t="s">
        <v>18352</v>
      </c>
      <c r="B1542" s="25" t="s">
        <v>18364</v>
      </c>
      <c r="C1542" s="26" t="str">
        <f>HYPERLINK("https://audio.iskcondesiretree.com/02_-_ISKCON_Swamis/ISKCON_Swamis_-_R_to_Y/His_Holiness_Radhanath_Swami/Lectures/00_-_Year_wise/Devotional_Nectar_-_2000/2000-027_Lecture_Los_Angeles_-_Radhanath_Swami_2000-02-10_IDesireTree.mp3", "2000-027_Lecture_Los_Angeles_-_Radhanath_Swami_2000-02-10_IDesireTree.mp3")</f>
        <v>2000-027_Lecture_Los_Angeles_-_Radhanath_Swami_2000-02-10_IDesireTree.mp3</v>
      </c>
      <c r="D1542" s="24"/>
      <c r="E1542" s="24"/>
    </row>
    <row r="1543">
      <c r="A1543" s="25" t="s">
        <v>18352</v>
      </c>
      <c r="B1543" s="25" t="s">
        <v>18364</v>
      </c>
      <c r="C1543" s="26" t="str">
        <f>HYPERLINK("https://audio.iskcondesiretree.com/02_-_ISKCON_Swamis/ISKCON_Swamis_-_R_to_Y/His_Holiness_Radhanath_Swami/Lectures/00_-_Year_wise/Devotional_Nectar_-_2000/2000-028_Arrival_Address_Lecture_Pune_-_Radhanath_Swami_2000-02-10_IDesireTree.mp3", "2000-028_Arrival_Address_Lecture_Pune_-_Radhanath_Swami_2000-02-10_IDesireTree.mp3")</f>
        <v>2000-028_Arrival_Address_Lecture_Pune_-_Radhanath_Swami_2000-02-10_IDesireTree.mp3</v>
      </c>
      <c r="D1543" s="24"/>
      <c r="E1543" s="24"/>
    </row>
    <row r="1544">
      <c r="A1544" s="25" t="s">
        <v>18352</v>
      </c>
      <c r="B1544" s="25" t="s">
        <v>18364</v>
      </c>
      <c r="C1544" s="26" t="str">
        <f>HYPERLINK("https://audio.iskcondesiretree.com/02_-_ISKCON_Swamis/ISKCON_Swamis_-_R_to_Y/His_Holiness_Radhanath_Swami/Lectures/00_-_Year_wise/Devotional_Nectar_-_2000/2000-029_Life_%26_Teachings_of_Srila_Sanatana_Goswami_Lecture_Pune_-_12-02-00_Part_1_IDesireTree.mp3", "2000-029_Life_%26_Teachings_of_Srila_Sanatana_Goswami_Lecture_Pune_-_12-02-00_Part_1_IDesireTree.mp3")</f>
        <v>2000-029_Life_%26_Teachings_of_Srila_Sanatana_Goswami_Lecture_Pune_-_12-02-00_Part_1_IDesireTree.mp3</v>
      </c>
      <c r="D1544" s="24"/>
      <c r="E1544" s="24"/>
    </row>
    <row r="1545">
      <c r="A1545" s="25" t="s">
        <v>18352</v>
      </c>
      <c r="B1545" s="25" t="s">
        <v>18364</v>
      </c>
      <c r="C1545" s="26" t="str">
        <f>HYPERLINK("https://audio.iskcondesiretree.com/02_-_ISKCON_Swamis/ISKCON_Swamis_-_R_to_Y/His_Holiness_Radhanath_Swami/Lectures/00_-_Year_wise/Devotional_Nectar_-_2000/2000-030_Life_%26_Teachings_of_Srila_Sanatana_Goswami_Lecture_Pune_-_12-02-00_Part_2_IDesireTree.mp3", "2000-030_Life_%26_Teachings_of_Srila_Sanatana_Goswami_Lecture_Pune_-_12-02-00_Part_2_IDesireTree.mp3")</f>
        <v>2000-030_Life_%26_Teachings_of_Srila_Sanatana_Goswami_Lecture_Pune_-_12-02-00_Part_2_IDesireTree.mp3</v>
      </c>
      <c r="D1545" s="24"/>
      <c r="E1545" s="24"/>
    </row>
    <row r="1546">
      <c r="A1546" s="25" t="s">
        <v>18352</v>
      </c>
      <c r="B1546" s="25" t="s">
        <v>18364</v>
      </c>
      <c r="C1546" s="26" t="str">
        <f>HYPERLINK("https://audio.iskcondesiretree.com/02_-_ISKCON_Swamis/ISKCON_Swamis_-_R_to_Y/His_Holiness_Radhanath_Swami/Lectures/00_-_Year_wise/Devotional_Nectar_-_2000/2000-031_Questions_%26_Answers-_I_Q%26A_Pune_-_Radhanath_Swami_2000-02-13_Part_1_IDesireTree.mp3", "2000-031_Questions_%26_Answers-_I_Q%26A_Pune_-_Radhanath_Swami_2000-02-13_Part_1_IDesireTree.mp3")</f>
        <v>2000-031_Questions_%26_Answers-_I_Q%26A_Pune_-_Radhanath_Swami_2000-02-13_Part_1_IDesireTree.mp3</v>
      </c>
      <c r="D1546" s="24"/>
      <c r="E1546" s="24"/>
    </row>
    <row r="1547">
      <c r="A1547" s="25" t="s">
        <v>18352</v>
      </c>
      <c r="B1547" s="25" t="s">
        <v>18364</v>
      </c>
      <c r="C1547" s="26" t="str">
        <f>HYPERLINK("https://audio.iskcondesiretree.com/02_-_ISKCON_Swamis/ISKCON_Swamis_-_R_to_Y/His_Holiness_Radhanath_Swami/Lectures/00_-_Year_wise/Devotional_Nectar_-_2000/2000-032_Questions_%26_Answers-_I_Q%26A_Pune_-_Radhanath_Swami_2000-02-13_Part_2_IDesireTree.mp3", "2000-032_Questions_%26_Answers-_I_Q%26A_Pune_-_Radhanath_Swami_2000-02-13_Part_2_IDesireTree.mp3")</f>
        <v>2000-032_Questions_%26_Answers-_I_Q%26A_Pune_-_Radhanath_Swami_2000-02-13_Part_2_IDesireTree.mp3</v>
      </c>
      <c r="D1547" s="24"/>
      <c r="E1547" s="24"/>
    </row>
    <row r="1548">
      <c r="A1548" s="25" t="s">
        <v>18352</v>
      </c>
      <c r="B1548" s="25" t="s">
        <v>18364</v>
      </c>
      <c r="C1548" s="26" t="str">
        <f>HYPERLINK("https://audio.iskcondesiretree.com/02_-_ISKCON_Swamis/ISKCON_Swamis_-_R_to_Y/His_Holiness_Radhanath_Swami/Lectures/00_-_Year_wise/Devotional_Nectar_-_2000/2000-033_Glories_of_Lord_Nityananda_Lecture_Mumbai_-_Radhanath_Swami_2000-02-17_IDesireTree.mp3", "2000-033_Glories_of_Lord_Nityananda_Lecture_Mumbai_-_Radhanath_Swami_2000-02-17_IDesireTree.mp3")</f>
        <v>2000-033_Glories_of_Lord_Nityananda_Lecture_Mumbai_-_Radhanath_Swami_2000-02-17_IDesireTree.mp3</v>
      </c>
      <c r="D1548" s="24"/>
      <c r="E1548" s="24"/>
    </row>
    <row r="1549">
      <c r="A1549" s="25" t="s">
        <v>18352</v>
      </c>
      <c r="B1549" s="25" t="s">
        <v>18364</v>
      </c>
      <c r="C1549" s="26" t="str">
        <f>HYPERLINK("https://audio.iskcondesiretree.com/02_-_ISKCON_Swamis/ISKCON_Swamis_-_R_to_Y/His_Holiness_Radhanath_Swami/Lectures/00_-_Year_wise/Devotional_Nectar_-_2000/2000-034_Real_Control_of_Mind_BG-06_-_Radhanath_Swami_IDesireTree.mp3", "2000-034_Real_Control_of_Mind_BG-06_-_Radhanath_Swami_IDesireTree.mp3")</f>
        <v>2000-034_Real_Control_of_Mind_BG-06_-_Radhanath_Swami_IDesireTree.mp3</v>
      </c>
      <c r="D1549" s="24"/>
      <c r="E1549" s="24"/>
    </row>
    <row r="1550">
      <c r="A1550" s="25" t="s">
        <v>18352</v>
      </c>
      <c r="B1550" s="25" t="s">
        <v>18364</v>
      </c>
      <c r="C1550" s="26" t="str">
        <f>HYPERLINK("https://audio.iskcondesiretree.com/02_-_ISKCON_Swamis/ISKCON_Swamis_-_R_to_Y/His_Holiness_Radhanath_Swami/Lectures/00_-_Year_wise/Devotional_Nectar_-_2000/2000-035_Srila_Narottam_Das_Thakur_Lecture_Mumbai_-_Radhanath_Swami_2000-02-20_IDesireTree.mp3", "2000-035_Srila_Narottam_Das_Thakur_Lecture_Mumbai_-_Radhanath_Swami_2000-02-20_IDesireTree.mp3")</f>
        <v>2000-035_Srila_Narottam_Das_Thakur_Lecture_Mumbai_-_Radhanath_Swami_2000-02-20_IDesireTree.mp3</v>
      </c>
      <c r="D1550" s="24"/>
      <c r="E1550" s="24"/>
    </row>
    <row r="1551">
      <c r="A1551" s="25" t="s">
        <v>18352</v>
      </c>
      <c r="B1551" s="25" t="s">
        <v>18364</v>
      </c>
      <c r="C1551" s="26" t="str">
        <f>HYPERLINK("https://audio.iskcondesiretree.com/02_-_ISKCON_Swamis/ISKCON_Swamis_-_R_to_Y/His_Holiness_Radhanath_Swami/Lectures/00_-_Year_wise/Devotional_Nectar_-_2000/2000-036_Line_2000-02-24_-_Radhanath_Swami_IDesireTree.mp3", "2000-036_Line_2000-02-24_-_Radhanath_Swami_IDesireTree.mp3")</f>
        <v>2000-036_Line_2000-02-24_-_Radhanath_Swami_IDesireTree.mp3</v>
      </c>
      <c r="D1551" s="24"/>
      <c r="E1551" s="24"/>
    </row>
    <row r="1552">
      <c r="A1552" s="25" t="s">
        <v>18352</v>
      </c>
      <c r="B1552" s="25" t="s">
        <v>18364</v>
      </c>
      <c r="C1552" s="26" t="str">
        <f>HYPERLINK("https://audio.iskcondesiretree.com/02_-_ISKCON_Swamis/ISKCON_Swamis_-_R_to_Y/His_Holiness_Radhanath_Swami/Lectures/00_-_Year_wise/Devotional_Nectar_-_2000/2000-037_Pre_Initiation_Lec_Lecture_Mumbai_-_Radhanath_Swami_2000-03-05_IDesireTree.mp3", "2000-037_Pre_Initiation_Lec_Lecture_Mumbai_-_Radhanath_Swami_2000-03-05_IDesireTree.mp3")</f>
        <v>2000-037_Pre_Initiation_Lec_Lecture_Mumbai_-_Radhanath_Swami_2000-03-05_IDesireTree.mp3</v>
      </c>
      <c r="D1552" s="24"/>
      <c r="E1552" s="24"/>
    </row>
    <row r="1553">
      <c r="A1553" s="25" t="s">
        <v>18352</v>
      </c>
      <c r="B1553" s="25" t="s">
        <v>18364</v>
      </c>
      <c r="C1553" s="26" t="str">
        <f>HYPERLINK("https://audio.iskcondesiretree.com/02_-_ISKCON_Swamis/ISKCON_Swamis_-_R_to_Y/His_Holiness_Radhanath_Swami/Lectures/00_-_Year_wise/Devotional_Nectar_-_2000/2000-038_Questions_%26_Answers_Q%26A_Mumbai_-_Radhanath_Swami_2000-03-05_IDesireTree.mp3", "2000-038_Questions_%26_Answers_Q%26A_Mumbai_-_Radhanath_Swami_2000-03-05_IDesireTree.mp3")</f>
        <v>2000-038_Questions_%26_Answers_Q%26A_Mumbai_-_Radhanath_Swami_2000-03-05_IDesireTree.mp3</v>
      </c>
      <c r="D1553" s="24"/>
      <c r="E1553" s="24"/>
    </row>
    <row r="1554">
      <c r="A1554" s="25" t="s">
        <v>18352</v>
      </c>
      <c r="B1554" s="25" t="s">
        <v>18364</v>
      </c>
      <c r="C1554" s="26" t="str">
        <f>HYPERLINK("https://audio.iskcondesiretree.com/02_-_ISKCON_Swamis/ISKCON_Swamis_-_R_to_Y/His_Holiness_Radhanath_Swami/Lectures/00_-_Year_wise/Devotional_Nectar_-_2000/2000-039_How_Bhagavad_Gita_is_an_Open_Secret_Lecture_Mumbai_-_12-03-00_IDesireTree.mp3", "2000-039_How_Bhagavad_Gita_is_an_Open_Secret_Lecture_Mumbai_-_12-03-00_IDesireTree.mp3")</f>
        <v>2000-039_How_Bhagavad_Gita_is_an_Open_Secret_Lecture_Mumbai_-_12-03-00_IDesireTree.mp3</v>
      </c>
      <c r="D1554" s="24"/>
      <c r="E1554" s="24"/>
    </row>
    <row r="1555">
      <c r="A1555" s="25" t="s">
        <v>18352</v>
      </c>
      <c r="B1555" s="25" t="s">
        <v>18364</v>
      </c>
      <c r="C1555" s="26" t="str">
        <f>HYPERLINK("https://audio.iskcondesiretree.com/02_-_ISKCON_Swamis/ISKCON_Swamis_-_R_to_Y/His_Holiness_Radhanath_Swami/Lectures/00_-_Year_wise/Devotional_Nectar_-_2000/2000-040_Condolence_Message_Mrs_Dalal_Lecture_Mumbai_-_Radhanath_Swami_2000-03-16_IDesireTree.mp3", "2000-040_Condolence_Message_Mrs_Dalal_Lecture_Mumbai_-_Radhanath_Swami_2000-03-16_IDesireTree.mp3")</f>
        <v>2000-040_Condolence_Message_Mrs_Dalal_Lecture_Mumbai_-_Radhanath_Swami_2000-03-16_IDesireTree.mp3</v>
      </c>
      <c r="D1555" s="24"/>
      <c r="E1555" s="24"/>
    </row>
    <row r="1556">
      <c r="A1556" s="25" t="s">
        <v>18352</v>
      </c>
      <c r="B1556" s="25" t="s">
        <v>18364</v>
      </c>
      <c r="C1556" s="26" t="str">
        <f>HYPERLINK("https://audio.iskcondesiretree.com/02_-_ISKCON_Swamis/ISKCON_Swamis_-_R_to_Y/His_Holiness_Radhanath_Swami/Lectures/00_-_Year_wise/Devotional_Nectar_-_2000/2000-041_Gaura_Poornima_Celebrations_Lecture_Mumbai_-_Radhanath_Swami_2000-03-19_IDesireTree.mp3", "2000-041_Gaura_Poornima_Celebrations_Lecture_Mumbai_-_Radhanath_Swami_2000-03-19_IDesireTree.mp3")</f>
        <v>2000-041_Gaura_Poornima_Celebrations_Lecture_Mumbai_-_Radhanath_Swami_2000-03-19_IDesireTree.mp3</v>
      </c>
      <c r="D1556" s="24"/>
      <c r="E1556" s="24"/>
    </row>
    <row r="1557">
      <c r="A1557" s="25" t="s">
        <v>18352</v>
      </c>
      <c r="B1557" s="25" t="s">
        <v>18364</v>
      </c>
      <c r="C1557" s="26" t="str">
        <f>HYPERLINK("https://audio.iskcondesiretree.com/02_-_ISKCON_Swamis/ISKCON_Swamis_-_R_to_Y/His_Holiness_Radhanath_Swami/Lectures/00_-_Year_wise/Devotional_Nectar_-_2000/2000-042_Gaura_Poornima_Celebrations_Lecture_Mumbai_-_Radhanath_Swami_2000-03-20_IDesireTree.mp3", "2000-042_Gaura_Poornima_Celebrations_Lecture_Mumbai_-_Radhanath_Swami_2000-03-20_IDesireTree.mp3")</f>
        <v>2000-042_Gaura_Poornima_Celebrations_Lecture_Mumbai_-_Radhanath_Swami_2000-03-20_IDesireTree.mp3</v>
      </c>
      <c r="D1557" s="24"/>
      <c r="E1557" s="24"/>
    </row>
    <row r="1558">
      <c r="A1558" s="25" t="s">
        <v>18352</v>
      </c>
      <c r="B1558" s="25" t="s">
        <v>18364</v>
      </c>
      <c r="C1558" s="26" t="str">
        <f>HYPERLINK("https://audio.iskcondesiretree.com/02_-_ISKCON_Swamis/ISKCON_Swamis_-_R_to_Y/His_Holiness_Radhanath_Swami/Lectures/00_-_Year_wise/Devotional_Nectar_-_2000/2000-043_Initiation_Lecture_Lecture_Mumbai_-_Radhanath_Swami_2000-03-21_IDesireTree.mp3", "2000-043_Initiation_Lecture_Lecture_Mumbai_-_Radhanath_Swami_2000-03-21_IDesireTree.mp3")</f>
        <v>2000-043_Initiation_Lecture_Lecture_Mumbai_-_Radhanath_Swami_2000-03-21_IDesireTree.mp3</v>
      </c>
      <c r="D1558" s="24"/>
      <c r="E1558" s="24"/>
    </row>
    <row r="1559">
      <c r="A1559" s="25" t="s">
        <v>18352</v>
      </c>
      <c r="B1559" s="25" t="s">
        <v>18364</v>
      </c>
      <c r="C1559" s="26" t="str">
        <f>HYPERLINK("https://audio.iskcondesiretree.com/02_-_ISKCON_Swamis/ISKCON_Swamis_-_R_to_Y/His_Holiness_Radhanath_Swami/Lectures/00_-_Year_wise/Devotional_Nectar_-_2000/2000-044_Jagannath_Misra_Festival_Initiation_Lecture-_I_-_21-03-00_Chek_IDesireTree.mp3", "2000-044_Jagannath_Misra_Festival_Initiation_Lecture-_I_-_21-03-00_Chek_IDesireTree.mp3")</f>
        <v>2000-044_Jagannath_Misra_Festival_Initiation_Lecture-_I_-_21-03-00_Chek_IDesireTree.mp3</v>
      </c>
      <c r="D1559" s="24"/>
      <c r="E1559" s="24"/>
    </row>
    <row r="1560">
      <c r="A1560" s="25" t="s">
        <v>18352</v>
      </c>
      <c r="B1560" s="25" t="s">
        <v>18364</v>
      </c>
      <c r="C1560" s="26" t="str">
        <f>HYPERLINK("https://audio.iskcondesiretree.com/02_-_ISKCON_Swamis/ISKCON_Swamis_-_R_to_Y/His_Holiness_Radhanath_Swami/Lectures/00_-_Year_wise/Devotional_Nectar_-_2000/2000-045_Placing_Our_Full_Faith_in_Krishna_SB-03_26_07_Mumbai_-_25-03-00_IDesireTree.mp3", "2000-045_Placing_Our_Full_Faith_in_Krishna_SB-03_26_07_Mumbai_-_25-03-00_IDesireTree.mp3")</f>
        <v>2000-045_Placing_Our_Full_Faith_in_Krishna_SB-03_26_07_Mumbai_-_25-03-00_IDesireTree.mp3</v>
      </c>
      <c r="D1560" s="24"/>
      <c r="E1560" s="24"/>
    </row>
    <row r="1561">
      <c r="A1561" s="25" t="s">
        <v>18352</v>
      </c>
      <c r="B1561" s="25" t="s">
        <v>18364</v>
      </c>
      <c r="C1561" s="26" t="str">
        <f>HYPERLINK("https://audio.iskcondesiretree.com/02_-_ISKCON_Swamis/ISKCON_Swamis_-_R_to_Y/His_Holiness_Radhanath_Swami/Lectures/00_-_Year_wise/Devotional_Nectar_-_2000/2000-046_Marriage_Ceremony_Address_Lecture_Mumbai_-_Radhanath_Swami_2000-03-25_IDesireTree.mp3", "2000-046_Marriage_Ceremony_Address_Lecture_Mumbai_-_Radhanath_Swami_2000-03-25_IDesireTree.mp3")</f>
        <v>2000-046_Marriage_Ceremony_Address_Lecture_Mumbai_-_Radhanath_Swami_2000-03-25_IDesireTree.mp3</v>
      </c>
      <c r="D1561" s="24"/>
      <c r="E1561" s="24"/>
    </row>
    <row r="1562">
      <c r="A1562" s="25" t="s">
        <v>18352</v>
      </c>
      <c r="B1562" s="25" t="s">
        <v>18364</v>
      </c>
      <c r="C1562" s="26" t="str">
        <f>HYPERLINK("https://audio.iskcondesiretree.com/02_-_ISKCON_Swamis/ISKCON_Swamis_-_R_to_Y/His_Holiness_Radhanath_Swami/Lectures/00_-_Year_wise/Devotional_Nectar_-_2000/2000-047_Lecture_Chicago_-_Radhanath_Swami_2000-04-24_IDesireTree.mp3", "2000-047_Lecture_Chicago_-_Radhanath_Swami_2000-04-24_IDesireTree.mp3")</f>
        <v>2000-047_Lecture_Chicago_-_Radhanath_Swami_2000-04-24_IDesireTree.mp3</v>
      </c>
      <c r="D1562" s="24"/>
      <c r="E1562" s="24"/>
    </row>
    <row r="1563">
      <c r="A1563" s="25" t="s">
        <v>18352</v>
      </c>
      <c r="B1563" s="25" t="s">
        <v>18364</v>
      </c>
      <c r="C1563" s="26" t="str">
        <f>HYPERLINK("https://audio.iskcondesiretree.com/02_-_ISKCON_Swamis/ISKCON_Swamis_-_R_to_Y/His_Holiness_Radhanath_Swami/Lectures/00_-_Year_wise/Devotional_Nectar_-_2000/2000-048_SB-08_-_Radhanath_Swami_IDesireTree.mp3", "2000-048_SB-08_-_Radhanath_Swami_IDesireTree.mp3")</f>
        <v>2000-048_SB-08_-_Radhanath_Swami_IDesireTree.mp3</v>
      </c>
      <c r="D1563" s="24"/>
      <c r="E1563" s="24"/>
    </row>
    <row r="1564">
      <c r="A1564" s="25" t="s">
        <v>18352</v>
      </c>
      <c r="B1564" s="25" t="s">
        <v>18364</v>
      </c>
      <c r="C1564" s="26" t="str">
        <f>HYPERLINK("https://audio.iskcondesiretree.com/02_-_ISKCON_Swamis/ISKCON_Swamis_-_R_to_Y/His_Holiness_Radhanath_Swami/Lectures/00_-_Year_wise/Devotional_Nectar_-_2000/2000-049_BG-09_-_Radhanath_Swami_IDesireTree.mp3", "2000-049_BG-09_-_Radhanath_Swami_IDesireTree.mp3")</f>
        <v>2000-049_BG-09_-_Radhanath_Swami_IDesireTree.mp3</v>
      </c>
      <c r="D1564" s="24"/>
      <c r="E1564" s="24"/>
    </row>
    <row r="1565">
      <c r="A1565" s="25" t="s">
        <v>18352</v>
      </c>
      <c r="B1565" s="25" t="s">
        <v>18364</v>
      </c>
      <c r="C1565" s="26" t="str">
        <f>HYPERLINK("https://audio.iskcondesiretree.com/02_-_ISKCON_Swamis/ISKCON_Swamis_-_R_to_Y/His_Holiness_Radhanath_Swami/Lectures/00_-_Year_wise/Devotional_Nectar_-_2000/2000-050_SB_-_Radhanath_Swami_IDesireTree.mp3", "2000-050_SB_-_Radhanath_Swami_IDesireTree.mp3")</f>
        <v>2000-050_SB_-_Radhanath_Swami_IDesireTree.mp3</v>
      </c>
      <c r="D1565" s="24"/>
      <c r="E1565" s="24"/>
    </row>
    <row r="1566">
      <c r="A1566" s="25" t="s">
        <v>18352</v>
      </c>
      <c r="B1566" s="25" t="s">
        <v>18364</v>
      </c>
      <c r="C1566" s="26" t="str">
        <f>HYPERLINK("https://audio.iskcondesiretree.com/02_-_ISKCON_Swamis/ISKCON_Swamis_-_R_to_Y/His_Holiness_Radhanath_Swami/Lectures/00_-_Year_wise/Devotional_Nectar_-_2000/2000-051_Real_Compassion_Is_Done_in_the_Mood_of_Service_SB-03_29_06_Mumbai_-_09-08-00_IDesireTree.mp"&amp;"3", "2000-051_Real_Compassion_Is_Done_in_the_Mood_of_Service_SB-03_29_06_Mumbai_-_09-08-00_IDesireTree.mp3")</f>
        <v>2000-051_Real_Compassion_Is_Done_in_the_Mood_of_Service_SB-03_29_06_Mumbai_-_09-08-00_IDesireTree.mp3</v>
      </c>
      <c r="D1566" s="24"/>
      <c r="E1566" s="24"/>
    </row>
    <row r="1567">
      <c r="A1567" s="25" t="s">
        <v>18352</v>
      </c>
      <c r="B1567" s="25" t="s">
        <v>18364</v>
      </c>
      <c r="C1567" s="26" t="str">
        <f>HYPERLINK("https://audio.iskcondesiretree.com/02_-_ISKCON_Swamis/ISKCON_Swamis_-_R_to_Y/His_Holiness_Radhanath_Swami/Lectures/00_-_Year_wise/Devotional_Nectar_-_2000/2000-053_Simplicity_%26_Sincerity_of_the_Heart_SB-01_08_20_Mumbai_-_17-08-00_IDesireTree.mp3", "2000-053_Simplicity_%26_Sincerity_of_the_Heart_SB-01_08_20_Mumbai_-_17-08-00_IDesireTree.mp3")</f>
        <v>2000-053_Simplicity_%26_Sincerity_of_the_Heart_SB-01_08_20_Mumbai_-_17-08-00_IDesireTree.mp3</v>
      </c>
      <c r="D1567" s="24"/>
      <c r="E1567" s="24"/>
    </row>
    <row r="1568">
      <c r="A1568" s="25" t="s">
        <v>18352</v>
      </c>
      <c r="B1568" s="25" t="s">
        <v>18364</v>
      </c>
      <c r="C1568" s="26" t="str">
        <f>HYPERLINK("https://audio.iskcondesiretree.com/02_-_ISKCON_Swamis/ISKCON_Swamis_-_R_to_Y/His_Holiness_Radhanath_Swami/Lectures/00_-_Year_wise/Devotional_Nectar_-_2000/2000-054_Properly_Worshipping_the_Deity_%26_Vaishnava-_I_SB-03_29_16_Mumbai_-_19-08-00_IDesireTree.m"&amp;"p3", "2000-054_Properly_Worshipping_the_Deity_%26_Vaishnava-_I_SB-03_29_16_Mumbai_-_19-08-00_IDesireTree.mp3")</f>
        <v>2000-054_Properly_Worshipping_the_Deity_%26_Vaishnava-_I_SB-03_29_16_Mumbai_-_19-08-00_IDesireTree.mp3</v>
      </c>
      <c r="D1568" s="24"/>
      <c r="E1568" s="24"/>
    </row>
    <row r="1569">
      <c r="A1569" s="25" t="s">
        <v>18352</v>
      </c>
      <c r="B1569" s="25" t="s">
        <v>18364</v>
      </c>
      <c r="C1569" s="26" t="str">
        <f>HYPERLINK("https://audio.iskcondesiretree.com/02_-_ISKCON_Swamis/ISKCON_Swamis_-_R_to_Y/His_Holiness_Radhanath_Swami/Lectures/00_-_Year_wise/Devotional_Nectar_-_2000/2000-055_Poverty_of_the_Heart_SB-03_29_17_Mumbai_-_Radhanath_Swami_2000-08-20_IDesireTree.mp3", "2000-055_Poverty_of_the_Heart_SB-03_29_17_Mumbai_-_Radhanath_Swami_2000-08-20_IDesireTree.mp3")</f>
        <v>2000-055_Poverty_of_the_Heart_SB-03_29_17_Mumbai_-_Radhanath_Swami_2000-08-20_IDesireTree.mp3</v>
      </c>
      <c r="D1569" s="24"/>
      <c r="E1569" s="24"/>
    </row>
    <row r="1570">
      <c r="A1570" s="25" t="s">
        <v>18352</v>
      </c>
      <c r="B1570" s="25" t="s">
        <v>18364</v>
      </c>
      <c r="C1570" s="26" t="str">
        <f>HYPERLINK("https://audio.iskcondesiretree.com/02_-_ISKCON_Swamis/ISKCON_Swamis_-_R_to_Y/His_Holiness_Radhanath_Swami/Lectures/00_-_Year_wise/Devotional_Nectar_-_2000/2000-056_Charming_Vrindavan_Pastimes_of_Lord_Krishna-_I_Sunday_Feast_Lecture_-_20-08-00_IDesireTree."&amp;"mp3", "2000-056_Charming_Vrindavan_Pastimes_of_Lord_Krishna-_I_Sunday_Feast_Lecture_-_20-08-00_IDesireTree.mp3")</f>
        <v>2000-056_Charming_Vrindavan_Pastimes_of_Lord_Krishna-_I_Sunday_Feast_Lecture_-_20-08-00_IDesireTree.mp3</v>
      </c>
      <c r="D1570" s="24"/>
      <c r="E1570" s="24"/>
    </row>
    <row r="1571">
      <c r="A1571" s="25" t="s">
        <v>18352</v>
      </c>
      <c r="B1571" s="25" t="s">
        <v>18364</v>
      </c>
      <c r="C1571" s="26" t="str">
        <f>HYPERLINK("https://audio.iskcondesiretree.com/02_-_ISKCON_Swamis/ISKCON_Swamis_-_R_to_Y/His_Holiness_Radhanath_Swami/Lectures/00_-_Year_wise/Devotional_Nectar_-_2000/2000-057_The_Appearance_of_Lord_Krishna-_I_SB-10_-_Radhanath_Swami_IDesireTree.mp3", "2000-057_The_Appearance_of_Lord_Krishna-_I_SB-10_-_Radhanath_Swami_IDesireTree.mp3")</f>
        <v>2000-057_The_Appearance_of_Lord_Krishna-_I_SB-10_-_Radhanath_Swami_IDesireTree.mp3</v>
      </c>
      <c r="D1571" s="24"/>
      <c r="E1571" s="24"/>
    </row>
    <row r="1572">
      <c r="A1572" s="25" t="s">
        <v>18352</v>
      </c>
      <c r="B1572" s="25" t="s">
        <v>18364</v>
      </c>
      <c r="C1572" s="26" t="str">
        <f>HYPERLINK("https://audio.iskcondesiretree.com/02_-_ISKCON_Swamis/ISKCON_Swamis_-_R_to_Y/His_Holiness_Radhanath_Swami/Lectures/00_-_Year_wise/Devotional_Nectar_-_2000/2000-058_Vyas_Puja_Offering_Lecture_Mumbai_-_Radhanath_Swami_2000-08-24_IDesireTree.mp3", "2000-058_Vyas_Puja_Offering_Lecture_Mumbai_-_Radhanath_Swami_2000-08-24_IDesireTree.mp3")</f>
        <v>2000-058_Vyas_Puja_Offering_Lecture_Mumbai_-_Radhanath_Swami_2000-08-24_IDesireTree.mp3</v>
      </c>
      <c r="D1572" s="24"/>
      <c r="E1572" s="24"/>
    </row>
    <row r="1573">
      <c r="A1573" s="25" t="s">
        <v>18352</v>
      </c>
      <c r="B1573" s="25" t="s">
        <v>18364</v>
      </c>
      <c r="C1573" s="26" t="str">
        <f>HYPERLINK("https://audio.iskcondesiretree.com/02_-_ISKCON_Swamis/ISKCON_Swamis_-_R_to_Y/His_Holiness_Radhanath_Swami/Lectures/00_-_Year_wise/Devotional_Nectar_-_2000/2000-059_Wonderful_Appearance_of_Lord_Krishna_Lecture_Mumbai_-_25-08-00_IDesireTree.mp3", "2000-059_Wonderful_Appearance_of_Lord_Krishna_Lecture_Mumbai_-_25-08-00_IDesireTree.mp3")</f>
        <v>2000-059_Wonderful_Appearance_of_Lord_Krishna_Lecture_Mumbai_-_25-08-00_IDesireTree.mp3</v>
      </c>
      <c r="D1573" s="24"/>
      <c r="E1573" s="24"/>
    </row>
    <row r="1574">
      <c r="A1574" s="25" t="s">
        <v>18352</v>
      </c>
      <c r="B1574" s="25" t="s">
        <v>18364</v>
      </c>
      <c r="C1574" s="26" t="str">
        <f>HYPERLINK("https://audio.iskcondesiretree.com/02_-_ISKCON_Swamis/ISKCON_Swamis_-_R_to_Y/His_Holiness_Radhanath_Swami/Lectures/00_-_Year_wise/Devotional_Nectar_-_2000/2000-060_Firm_Conviction_in_Lord_Krishna_BG-07_30_Mumbai_-_26-08-00_IDesireTree.mp3", "2000-060_Firm_Conviction_in_Lord_Krishna_BG-07_30_Mumbai_-_26-08-00_IDesireTree.mp3")</f>
        <v>2000-060_Firm_Conviction_in_Lord_Krishna_BG-07_30_Mumbai_-_26-08-00_IDesireTree.mp3</v>
      </c>
      <c r="D1574" s="24"/>
      <c r="E1574" s="24"/>
    </row>
    <row r="1575">
      <c r="A1575" s="25" t="s">
        <v>18352</v>
      </c>
      <c r="B1575" s="25" t="s">
        <v>18364</v>
      </c>
      <c r="C1575" s="26" t="str">
        <f>HYPERLINK("https://audio.iskcondesiretree.com/02_-_ISKCON_Swamis/ISKCON_Swamis_-_R_to_Y/His_Holiness_Radhanath_Swami/Lectures/00_-_Year_wise/Devotional_Nectar_-_2000/2000-061_Charming_Vrindavan_Pastimes_of_Lord_Krishna-_II_S_Feast_Lecture_-_27-08-00_IDesireTree.mp3", "2000-061_Charming_Vrindavan_Pastimes_of_Lord_Krishna-_II_S_Feast_Lecture_-_27-08-00_IDesireTree.mp3")</f>
        <v>2000-061_Charming_Vrindavan_Pastimes_of_Lord_Krishna-_II_S_Feast_Lecture_-_27-08-00_IDesireTree.mp3</v>
      </c>
      <c r="D1575" s="24"/>
      <c r="E1575" s="24"/>
    </row>
    <row r="1576">
      <c r="A1576" s="25" t="s">
        <v>18352</v>
      </c>
      <c r="B1576" s="25" t="s">
        <v>18364</v>
      </c>
      <c r="C1576" s="26" t="str">
        <f>HYPERLINK("https://audio.iskcondesiretree.com/02_-_ISKCON_Swamis/ISKCON_Swamis_-_R_to_Y/His_Holiness_Radhanath_Swami/Lectures/00_-_Year_wise/Devotional_Nectar_-_2000/2000-062_The_Only_True_Wealth_Is_Bhakti_SB-03_29_20_Mumbai_-_27-8-2000_IDesireTree.mp3", "2000-062_The_Only_True_Wealth_Is_Bhakti_SB-03_29_20_Mumbai_-_27-8-2000_IDesireTree.mp3")</f>
        <v>2000-062_The_Only_True_Wealth_Is_Bhakti_SB-03_29_20_Mumbai_-_27-8-2000_IDesireTree.mp3</v>
      </c>
      <c r="D1576" s="24"/>
      <c r="E1576" s="24"/>
    </row>
    <row r="1577">
      <c r="A1577" s="25" t="s">
        <v>18352</v>
      </c>
      <c r="B1577" s="25" t="s">
        <v>18364</v>
      </c>
      <c r="C1577" s="26" t="str">
        <f>HYPERLINK("https://audio.iskcondesiretree.com/02_-_ISKCON_Swamis/ISKCON_Swamis_-_R_to_Y/His_Holiness_Radhanath_Swami/Lectures/00_-_Year_wise/Devotional_Nectar_-_2000/2000-063_Genuine_Compassion_Please_Krishna_SB-03_29_26_Mumbai_-_03-09-00_IDesireTree.mp3", "2000-063_Genuine_Compassion_Please_Krishna_SB-03_29_26_Mumbai_-_03-09-00_IDesireTree.mp3")</f>
        <v>2000-063_Genuine_Compassion_Please_Krishna_SB-03_29_26_Mumbai_-_03-09-00_IDesireTree.mp3</v>
      </c>
      <c r="D1577" s="24"/>
      <c r="E1577" s="24"/>
    </row>
    <row r="1578">
      <c r="A1578" s="25" t="s">
        <v>18352</v>
      </c>
      <c r="B1578" s="25" t="s">
        <v>18364</v>
      </c>
      <c r="C1578" s="26" t="str">
        <f>HYPERLINK("https://audio.iskcondesiretree.com/02_-_ISKCON_Swamis/ISKCON_Swamis_-_R_to_Y/His_Holiness_Radhanath_Swami/Lectures/00_-_Year_wise/Devotional_Nectar_-_2000/2000-064_Taking_Care_of_Each_%26_Every_Devotee_Sunday_Feast_Mumbai_-_03-09-00_IDesireTree.mp3", "2000-064_Taking_Care_of_Each_%26_Every_Devotee_Sunday_Feast_Mumbai_-_03-09-00_IDesireTree.mp3")</f>
        <v>2000-064_Taking_Care_of_Each_%26_Every_Devotee_Sunday_Feast_Mumbai_-_03-09-00_IDesireTree.mp3</v>
      </c>
      <c r="D1578" s="24"/>
      <c r="E1578" s="24"/>
    </row>
    <row r="1579">
      <c r="A1579" s="25" t="s">
        <v>18352</v>
      </c>
      <c r="B1579" s="25" t="s">
        <v>18364</v>
      </c>
      <c r="C1579" s="26" t="str">
        <f>HYPERLINK("https://audio.iskcondesiretree.com/02_-_ISKCON_Swamis/ISKCON_Swamis_-_R_to_Y/His_Holiness_Radhanath_Swami/Lectures/00_-_Year_wise/Devotional_Nectar_-_2000/2000-065_Charming_Pastimes_of_Radha_%26_Krishna_I_Radhashtami_CC_Adi-01_05_Mumbai_-_06-09-00_IDesire"&amp;"Tree.mp3", "2000-065_Charming_Pastimes_of_Radha_%26_Krishna_I_Radhashtami_CC_Adi-01_05_Mumbai_-_06-09-00_IDesireTree.mp3")</f>
        <v>2000-065_Charming_Pastimes_of_Radha_%26_Krishna_I_Radhashtami_CC_Adi-01_05_Mumbai_-_06-09-00_IDesireTree.mp3</v>
      </c>
      <c r="D1579" s="24"/>
      <c r="E1579" s="24"/>
    </row>
    <row r="1580">
      <c r="A1580" s="25" t="s">
        <v>18352</v>
      </c>
      <c r="B1580" s="25" t="s">
        <v>18364</v>
      </c>
      <c r="C1580" s="26" t="str">
        <f>HYPERLINK("https://audio.iskcondesiretree.com/02_-_ISKCON_Swamis/ISKCON_Swamis_-_R_to_Y/His_Holiness_Radhanath_Swami/Lectures/00_-_Year_wise/Devotional_Nectar_-_2000/2000-066_Charming_Pastimes_of_Radha_%26_Krishna_II_Radhashtami_CC_Adi-01_05_Mumbai_-_06-09-00_IDesir"&amp;"eTree.mp3", "2000-066_Charming_Pastimes_of_Radha_%26_Krishna_II_Radhashtami_CC_Adi-01_05_Mumbai_-_06-09-00_IDesireTree.mp3")</f>
        <v>2000-066_Charming_Pastimes_of_Radha_%26_Krishna_II_Radhashtami_CC_Adi-01_05_Mumbai_-_06-09-00_IDesireTree.mp3</v>
      </c>
      <c r="D1580" s="24"/>
      <c r="E1580" s="24"/>
    </row>
    <row r="1581">
      <c r="A1581" s="25" t="s">
        <v>18352</v>
      </c>
      <c r="B1581" s="25" t="s">
        <v>18364</v>
      </c>
      <c r="C1581" s="26" t="str">
        <f>HYPERLINK("https://audio.iskcondesiretree.com/02_-_ISKCON_Swamis/ISKCON_Swamis_-_R_to_Y/His_Holiness_Radhanath_Swami/Lectures/00_-_Year_wise/Devotional_Nectar_-_2000/2000-068_SB_05_-_Radhanath_Swami_IDesireTree.mp3", "2000-068_SB_05_-_Radhanath_Swami_IDesireTree.mp3")</f>
        <v>2000-068_SB_05_-_Radhanath_Swami_IDesireTree.mp3</v>
      </c>
      <c r="D1581" s="24"/>
      <c r="E1581" s="24"/>
    </row>
    <row r="1582">
      <c r="A1582" s="25" t="s">
        <v>18352</v>
      </c>
      <c r="B1582" s="25" t="s">
        <v>18364</v>
      </c>
      <c r="C1582" s="26" t="str">
        <f>HYPERLINK("https://audio.iskcondesiretree.com/02_-_ISKCON_Swamis/ISKCON_Swamis_-_R_to_Y/His_Holiness_Radhanath_Swami/Lectures/00_-_Year_wise/Devotional_Nectar_-_2000/2000-069_BG_03_-_Radhanath_Swami_IDesireTree.mp3", "2000-069_BG_03_-_Radhanath_Swami_IDesireTree.mp3")</f>
        <v>2000-069_BG_03_-_Radhanath_Swami_IDesireTree.mp3</v>
      </c>
      <c r="D1582" s="24"/>
      <c r="E1582" s="24"/>
    </row>
    <row r="1583">
      <c r="A1583" s="25" t="s">
        <v>18352</v>
      </c>
      <c r="B1583" s="25" t="s">
        <v>18364</v>
      </c>
      <c r="C1583" s="26" t="str">
        <f>HYPERLINK("https://audio.iskcondesiretree.com/02_-_ISKCON_Swamis/ISKCON_Swamis_-_R_to_Y/His_Holiness_Radhanath_Swami/Lectures/00_-_Year_wise/Devotional_Nectar_-_2000/2000-070_SB_05_-_Radhanath_Swami_IDesireTree.mp3", "2000-070_SB_05_-_Radhanath_Swami_IDesireTree.mp3")</f>
        <v>2000-070_SB_05_-_Radhanath_Swami_IDesireTree.mp3</v>
      </c>
      <c r="D1583" s="24"/>
      <c r="E1583" s="24"/>
    </row>
    <row r="1584">
      <c r="A1584" s="25" t="s">
        <v>18352</v>
      </c>
      <c r="B1584" s="25" t="s">
        <v>18364</v>
      </c>
      <c r="C1584" s="26" t="str">
        <f>HYPERLINK("https://audio.iskcondesiretree.com/02_-_ISKCON_Swamis/ISKCON_Swamis_-_R_to_Y/His_Holiness_Radhanath_Swami/Lectures/00_-_Year_wise/Devotional_Nectar_-_2000/2000-071_SB_05_-_Radhanath_Swami_IDesireTree.mp3", "2000-071_SB_05_-_Radhanath_Swami_IDesireTree.mp3")</f>
        <v>2000-071_SB_05_-_Radhanath_Swami_IDesireTree.mp3</v>
      </c>
      <c r="D1584" s="24"/>
      <c r="E1584" s="24"/>
    </row>
    <row r="1585">
      <c r="A1585" s="25" t="s">
        <v>18352</v>
      </c>
      <c r="B1585" s="25" t="s">
        <v>18364</v>
      </c>
      <c r="C1585" s="26" t="str">
        <f>HYPERLINK("https://audio.iskcondesiretree.com/02_-_ISKCON_Swamis/ISKCON_Swamis_-_R_to_Y/His_Holiness_Radhanath_Swami/Lectures/00_-_Year_wise/Devotional_Nectar_-_2000/2000-072_SB_05_-_Radhanath_Swami_IDesireTree.mp3", "2000-072_SB_05_-_Radhanath_Swami_IDesireTree.mp3")</f>
        <v>2000-072_SB_05_-_Radhanath_Swami_IDesireTree.mp3</v>
      </c>
      <c r="D1585" s="24"/>
      <c r="E1585" s="24"/>
    </row>
    <row r="1586">
      <c r="A1586" s="25" t="s">
        <v>18352</v>
      </c>
      <c r="B1586" s="25" t="s">
        <v>18364</v>
      </c>
      <c r="C1586" s="26" t="str">
        <f>HYPERLINK("https://audio.iskcondesiretree.com/02_-_ISKCON_Swamis/ISKCON_Swamis_-_R_to_Y/His_Holiness_Radhanath_Swami/Lectures/00_-_Year_wise/Devotional_Nectar_-_2000/2000-073_Lecture_Oskorblenie_Predannogo_-_Radhanath_Swami_2000-10-14_IDesireTree.mp3", "2000-073_Lecture_Oskorblenie_Predannogo_-_Radhanath_Swami_2000-10-14_IDesireTree.mp3")</f>
        <v>2000-073_Lecture_Oskorblenie_Predannogo_-_Radhanath_Swami_2000-10-14_IDesireTree.mp3</v>
      </c>
      <c r="D1586" s="24"/>
      <c r="E1586" s="24"/>
    </row>
    <row r="1587">
      <c r="A1587" s="25" t="s">
        <v>18352</v>
      </c>
      <c r="B1587" s="25" t="s">
        <v>18364</v>
      </c>
      <c r="C1587" s="26" t="str">
        <f>HYPERLINK("https://audio.iskcondesiretree.com/02_-_ISKCON_Swamis/ISKCON_Swamis_-_R_to_Y/His_Holiness_Radhanath_Swami/Lectures/00_-_Year_wise/Devotional_Nectar_-_2000/2000-074_Lecture_-_Radhanath_Swami_2000-10-15_IDesireTree.mp3", "2000-074_Lecture_-_Radhanath_Swami_2000-10-15_IDesireTree.mp3")</f>
        <v>2000-074_Lecture_-_Radhanath_Swami_2000-10-15_IDesireTree.mp3</v>
      </c>
      <c r="D1587" s="24"/>
      <c r="E1587" s="24"/>
    </row>
    <row r="1588">
      <c r="A1588" s="25" t="s">
        <v>18352</v>
      </c>
      <c r="B1588" s="25" t="s">
        <v>18364</v>
      </c>
      <c r="C1588" s="26" t="str">
        <f>HYPERLINK("https://audio.iskcondesiretree.com/02_-_ISKCON_Swamis/ISKCON_Swamis_-_R_to_Y/His_Holiness_Radhanath_Swami/Lectures/00_-_Year_wise/Devotional_Nectar_-_2000/2000-075_SB_05_-_Radhanath_Swami_IDesireTree.mp3", "2000-075_SB_05_-_Radhanath_Swami_IDesireTree.mp3")</f>
        <v>2000-075_SB_05_-_Radhanath_Swami_IDesireTree.mp3</v>
      </c>
      <c r="D1588" s="24"/>
      <c r="E1588" s="24"/>
    </row>
    <row r="1589">
      <c r="A1589" s="25" t="s">
        <v>18352</v>
      </c>
      <c r="B1589" s="25" t="s">
        <v>18364</v>
      </c>
      <c r="C1589" s="26" t="str">
        <f>HYPERLINK("https://audio.iskcondesiretree.com/02_-_ISKCON_Swamis/ISKCON_Swamis_-_R_to_Y/His_Holiness_Radhanath_Swami/Lectures/00_-_Year_wise/Devotional_Nectar_-_2000/2000-076_Lecture_-_Radhanath_Swami_2000-10-17_IDesireTree.mp3", "2000-076_Lecture_-_Radhanath_Swami_2000-10-17_IDesireTree.mp3")</f>
        <v>2000-076_Lecture_-_Radhanath_Swami_2000-10-17_IDesireTree.mp3</v>
      </c>
      <c r="D1589" s="24"/>
      <c r="E1589" s="24"/>
    </row>
    <row r="1590">
      <c r="A1590" s="25" t="s">
        <v>18352</v>
      </c>
      <c r="B1590" s="25" t="s">
        <v>18364</v>
      </c>
      <c r="C1590" s="26" t="str">
        <f>HYPERLINK("https://audio.iskcondesiretree.com/02_-_ISKCON_Swamis/ISKCON_Swamis_-_R_to_Y/His_Holiness_Radhanath_Swami/Lectures/00_-_Year_wise/Devotional_Nectar_-_2000/2000-077_Narottam_Das_Thakur_Lecture_-_Radhanath_Swami_2000-10-17_IDesireTree.mp3", "2000-077_Narottam_Das_Thakur_Lecture_-_Radhanath_Swami_2000-10-17_IDesireTree.mp3")</f>
        <v>2000-077_Narottam_Das_Thakur_Lecture_-_Radhanath_Swami_2000-10-17_IDesireTree.mp3</v>
      </c>
      <c r="D1590" s="24"/>
      <c r="E1590" s="24"/>
    </row>
    <row r="1591">
      <c r="A1591" s="25" t="s">
        <v>18352</v>
      </c>
      <c r="B1591" s="25" t="s">
        <v>18364</v>
      </c>
      <c r="C1591" s="26" t="str">
        <f>HYPERLINK("https://audio.iskcondesiretree.com/02_-_ISKCON_Swamis/ISKCON_Swamis_-_R_to_Y/His_Holiness_Radhanath_Swami/Lectures/00_-_Year_wise/Devotional_Nectar_-_2000/2000-078_Narottam_Das_Thakur_Lecture_-_Radhanath_Swami_2000-10-17_IDesireTree.mp3", "2000-078_Narottam_Das_Thakur_Lecture_-_Radhanath_Swami_2000-10-17_IDesireTree.mp3")</f>
        <v>2000-078_Narottam_Das_Thakur_Lecture_-_Radhanath_Swami_2000-10-17_IDesireTree.mp3</v>
      </c>
      <c r="D1591" s="24"/>
      <c r="E1591" s="24"/>
    </row>
    <row r="1592">
      <c r="A1592" s="25" t="s">
        <v>18352</v>
      </c>
      <c r="B1592" s="25" t="s">
        <v>18364</v>
      </c>
      <c r="C1592" s="26" t="str">
        <f>HYPERLINK("https://audio.iskcondesiretree.com/02_-_ISKCON_Swamis/ISKCON_Swamis_-_R_to_Y/His_Holiness_Radhanath_Swami/Lectures/00_-_Year_wise/Devotional_Nectar_-_2000/2000-079_Lecture_Iniciacia_-_Radhanath_Swami_2000-10-18_Nir_IDesireTree.mp3", "2000-079_Lecture_Iniciacia_-_Radhanath_Swami_2000-10-18_Nir_IDesireTree.mp3")</f>
        <v>2000-079_Lecture_Iniciacia_-_Radhanath_Swami_2000-10-18_Nir_IDesireTree.mp3</v>
      </c>
      <c r="D1592" s="24"/>
      <c r="E1592" s="24"/>
    </row>
    <row r="1593">
      <c r="A1593" s="25" t="s">
        <v>18352</v>
      </c>
      <c r="B1593" s="25" t="s">
        <v>18364</v>
      </c>
      <c r="C1593" s="26" t="str">
        <f>HYPERLINK("https://audio.iskcondesiretree.com/02_-_ISKCON_Swamis/ISKCON_Swamis_-_R_to_Y/His_Holiness_Radhanath_Swami/Lectures/00_-_Year_wise/Devotional_Nectar_-_2000/2000-080_Krishna_-_The_Lifter_of_Govardhan_Hill-I_SB-10_26_05_Mumbai_-_28-10-00_IDesireTree.mp3", "2000-080_Krishna_-_The_Lifter_of_Govardhan_Hill-I_SB-10_26_05_Mumbai_-_28-10-00_IDesireTree.mp3")</f>
        <v>2000-080_Krishna_-_The_Lifter_of_Govardhan_Hill-I_SB-10_26_05_Mumbai_-_28-10-00_IDesireTree.mp3</v>
      </c>
      <c r="D1593" s="24"/>
      <c r="E1593" s="24"/>
    </row>
    <row r="1594">
      <c r="A1594" s="25" t="s">
        <v>18352</v>
      </c>
      <c r="B1594" s="25" t="s">
        <v>18364</v>
      </c>
      <c r="C1594" s="26" t="str">
        <f>HYPERLINK("https://audio.iskcondesiretree.com/02_-_ISKCON_Swamis/ISKCON_Swamis_-_R_to_Y/His_Holiness_Radhanath_Swami/Lectures/00_-_Year_wise/Devotional_Nectar_-_2000/2000-081_Krishna_-_The_Lifter_of_Govardhan_Hill-II_SB-10_26_05_Mumbai_-_28-10-00_IDesireTree.mp3", "2000-081_Krishna_-_The_Lifter_of_Govardhan_Hill-II_SB-10_26_05_Mumbai_-_28-10-00_IDesireTree.mp3")</f>
        <v>2000-081_Krishna_-_The_Lifter_of_Govardhan_Hill-II_SB-10_26_05_Mumbai_-_28-10-00_IDesireTree.mp3</v>
      </c>
      <c r="D1594" s="24"/>
      <c r="E1594" s="24"/>
    </row>
    <row r="1595">
      <c r="A1595" s="25" t="s">
        <v>18352</v>
      </c>
      <c r="B1595" s="25" t="s">
        <v>18364</v>
      </c>
      <c r="C1595" s="26" t="str">
        <f>HYPERLINK("https://audio.iskcondesiretree.com/02_-_ISKCON_Swamis/ISKCON_Swamis_-_R_to_Y/His_Holiness_Radhanath_Swami/Lectures/00_-_Year_wise/Devotional_Nectar_-_2000/2000-082_What_it_Means_to_be_Para_Dukh-Dukhi_SB-03_31_02_Mumbai_-_29-10-00_IDesireTree.mp3", "2000-082_What_it_Means_to_be_Para_Dukh-Dukhi_SB-03_31_02_Mumbai_-_29-10-00_IDesireTree.mp3")</f>
        <v>2000-082_What_it_Means_to_be_Para_Dukh-Dukhi_SB-03_31_02_Mumbai_-_29-10-00_IDesireTree.mp3</v>
      </c>
      <c r="D1595" s="24"/>
      <c r="E1595" s="24"/>
    </row>
    <row r="1596">
      <c r="A1596" s="25" t="s">
        <v>18352</v>
      </c>
      <c r="B1596" s="25" t="s">
        <v>18364</v>
      </c>
      <c r="C1596" s="26" t="str">
        <f>HYPERLINK("https://audio.iskcondesiretree.com/02_-_ISKCON_Swamis/ISKCON_Swamis_-_R_to_Y/His_Holiness_Radhanath_Swami/Lectures/00_-_Year_wise/Devotional_Nectar_-_2000/2000-083_Lalashmayi_Prarthana-_I_Sun_Feast_Mumbai_-_Radhanath_Swami_2000-10-29_IDesireTree.mp3", "2000-083_Lalashmayi_Prarthana-_I_Sun_Feast_Mumbai_-_Radhanath_Swami_2000-10-29_IDesireTree.mp3")</f>
        <v>2000-083_Lalashmayi_Prarthana-_I_Sun_Feast_Mumbai_-_Radhanath_Swami_2000-10-29_IDesireTree.mp3</v>
      </c>
      <c r="D1596" s="24"/>
      <c r="E1596" s="24"/>
    </row>
    <row r="1597">
      <c r="A1597" s="25" t="s">
        <v>18352</v>
      </c>
      <c r="B1597" s="25" t="s">
        <v>18364</v>
      </c>
      <c r="C1597" s="26" t="str">
        <f>HYPERLINK("https://audio.iskcondesiretree.com/02_-_ISKCON_Swamis/ISKCON_Swamis_-_R_to_Y/His_Holiness_Radhanath_Swami/Lectures/00_-_Year_wise/Devotional_Nectar_-_2000/2000-084_Lalashmayi_Prarthana-_II_Sun_Feast_Mumbai_-_Radhanath_Swami_2000-10-29_IDesireTree.mp3", "2000-084_Lalashmayi_Prarthana-_II_Sun_Feast_Mumbai_-_Radhanath_Swami_2000-10-29_IDesireTree.mp3")</f>
        <v>2000-084_Lalashmayi_Prarthana-_II_Sun_Feast_Mumbai_-_Radhanath_Swami_2000-10-29_IDesireTree.mp3</v>
      </c>
      <c r="D1597" s="24"/>
      <c r="E1597" s="24"/>
    </row>
    <row r="1598">
      <c r="A1598" s="25" t="s">
        <v>18352</v>
      </c>
      <c r="B1598" s="25" t="s">
        <v>18364</v>
      </c>
      <c r="C1598" s="26" t="str">
        <f>HYPERLINK("https://audio.iskcondesiretree.com/02_-_ISKCON_Swamis/ISKCON_Swamis_-_R_to_Y/His_Holiness_Radhanath_Swami/Lectures/00_-_Year_wise/Devotional_Nectar_-_2000/2000-085_Offering_to_Srila_Prabhupada_At_Radha_Gopinath_Temple_-_31-10-00_IDesireTree.mp3", "2000-085_Offering_to_Srila_Prabhupada_At_Radha_Gopinath_Temple_-_31-10-00_IDesireTree.mp3")</f>
        <v>2000-085_Offering_to_Srila_Prabhupada_At_Radha_Gopinath_Temple_-_31-10-00_IDesireTree.mp3</v>
      </c>
      <c r="D1598" s="24"/>
      <c r="E1598" s="24"/>
    </row>
    <row r="1599">
      <c r="A1599" s="25" t="s">
        <v>18352</v>
      </c>
      <c r="B1599" s="25" t="s">
        <v>18364</v>
      </c>
      <c r="C1599" s="26" t="str">
        <f>HYPERLINK("https://audio.iskcondesiretree.com/02_-_ISKCON_Swamis/ISKCON_Swamis_-_R_to_Y/His_Holiness_Radhanath_Swami/Lectures/00_-_Year_wise/Devotional_Nectar_-_2000/2000-086_Giving_Up_Enjoying_Spirit_to_Relish_Krishna_Katha_SB-03_31_08_Mumbai_-_04-11-00_IDesireTree"&amp;".mp3", "2000-086_Giving_Up_Enjoying_Spirit_to_Relish_Krishna_Katha_SB-03_31_08_Mumbai_-_04-11-00_IDesireTree.mp3")</f>
        <v>2000-086_Giving_Up_Enjoying_Spirit_to_Relish_Krishna_Katha_SB-03_31_08_Mumbai_-_04-11-00_IDesireTree.mp3</v>
      </c>
      <c r="D1599" s="24"/>
      <c r="E1599" s="24"/>
    </row>
    <row r="1600">
      <c r="A1600" s="25" t="s">
        <v>18352</v>
      </c>
      <c r="B1600" s="25" t="s">
        <v>18364</v>
      </c>
      <c r="C1600" s="26" t="str">
        <f>HYPERLINK("https://audio.iskcondesiretree.com/02_-_ISKCON_Swamis/ISKCON_Swamis_-_R_to_Y/His_Holiness_Radhanath_Swami/Lectures/00_-_Year_wise/Devotional_Nectar_-_2000/2000-087_Gadadhar_Pandit_%26_Shrinivas_Acharya_Lecture_Mumbai_-_05-11-00_IDesireTree.mp3", "2000-087_Gadadhar_Pandit_%26_Shrinivas_Acharya_Lecture_Mumbai_-_05-11-00_IDesireTree.mp3")</f>
        <v>2000-087_Gadadhar_Pandit_%26_Shrinivas_Acharya_Lecture_Mumbai_-_05-11-00_IDesireTree.mp3</v>
      </c>
      <c r="D1600" s="24"/>
      <c r="E1600" s="24"/>
    </row>
    <row r="1601">
      <c r="A1601" s="25" t="s">
        <v>18352</v>
      </c>
      <c r="B1601" s="25" t="s">
        <v>18364</v>
      </c>
      <c r="C1601" s="26" t="str">
        <f>HYPERLINK("https://audio.iskcondesiretree.com/02_-_ISKCON_Swamis/ISKCON_Swamis_-_R_to_Y/His_Holiness_Radhanath_Swami/Lectures/00_-_Year_wise/Devotional_Nectar_-_2000/2000-088_Drama_Realisation_Lecture_Mumbai_-_Radhanath_Swami_2000-11-10_IDesireTree.mp3", "2000-088_Drama_Realisation_Lecture_Mumbai_-_Radhanath_Swami_2000-11-10_IDesireTree.mp3")</f>
        <v>2000-088_Drama_Realisation_Lecture_Mumbai_-_Radhanath_Swami_2000-11-10_IDesireTree.mp3</v>
      </c>
      <c r="D1601" s="24"/>
      <c r="E1601" s="24"/>
    </row>
    <row r="1602">
      <c r="A1602" s="25" t="s">
        <v>18352</v>
      </c>
      <c r="B1602" s="25" t="s">
        <v>18364</v>
      </c>
      <c r="C1602" s="26" t="str">
        <f>HYPERLINK("https://audio.iskcondesiretree.com/02_-_ISKCON_Swamis/ISKCON_Swamis_-_R_to_Y/His_Holiness_Radhanath_Swami/Lectures/00_-_Year_wise/Devotional_Nectar_-_2000/2000-089_Krishna_is_the_Friend_of_all_Living_Entity_SB-03_31_14_Mumbai_-_11-11-00_IDesireTree.mp3", "2000-089_Krishna_is_the_Friend_of_all_Living_Entity_SB-03_31_14_Mumbai_-_11-11-00_IDesireTree.mp3")</f>
        <v>2000-089_Krishna_is_the_Friend_of_all_Living_Entity_SB-03_31_14_Mumbai_-_11-11-00_IDesireTree.mp3</v>
      </c>
      <c r="D1602" s="24"/>
      <c r="E1602" s="24"/>
    </row>
    <row r="1603">
      <c r="A1603" s="25" t="s">
        <v>18352</v>
      </c>
      <c r="B1603" s="25" t="s">
        <v>18364</v>
      </c>
      <c r="C1603" s="26" t="str">
        <f>HYPERLINK("https://audio.iskcondesiretree.com/02_-_ISKCON_Swamis/ISKCON_Swamis_-_R_to_Y/His_Holiness_Radhanath_Swami/Lectures/00_-_Year_wise/Devotional_Nectar_-_2000/2000-090_Worshipping_Krishna_With_the_Lamp_of_Our_LoveSun_Feast_SB-10_22_4_-_Mumbai_-_12-11-00_IDesi"&amp;"reTree.mp3", "2000-090_Worshipping_Krishna_With_the_Lamp_of_Our_LoveSun_Feast_SB-10_22_4_-_Mumbai_-_12-11-00_IDesireTree.mp3")</f>
        <v>2000-090_Worshipping_Krishna_With_the_Lamp_of_Our_LoveSun_Feast_SB-10_22_4_-_Mumbai_-_12-11-00_IDesireTree.mp3</v>
      </c>
      <c r="D1603" s="24"/>
      <c r="E1603" s="24"/>
    </row>
    <row r="1604">
      <c r="A1604" s="25" t="s">
        <v>18352</v>
      </c>
      <c r="B1604" s="25" t="s">
        <v>18364</v>
      </c>
      <c r="C1604" s="26" t="str">
        <f>HYPERLINK("https://audio.iskcondesiretree.com/02_-_ISKCON_Swamis/ISKCON_Swamis_-_R_to_Y/His_Holiness_Radhanath_Swami/Lectures/00_-_Year_wise/Devotional_Nectar_-_2000/2000-091_Offering_to_HG_Gopi_Vallabh_Prabhu_Lecture_Mumbai_-_12-11-00_IDesireTree.mp3", "2000-091_Offering_to_HG_Gopi_Vallabh_Prabhu_Lecture_Mumbai_-_12-11-00_IDesireTree.mp3")</f>
        <v>2000-091_Offering_to_HG_Gopi_Vallabh_Prabhu_Lecture_Mumbai_-_12-11-00_IDesireTree.mp3</v>
      </c>
      <c r="D1604" s="24"/>
      <c r="E1604" s="24"/>
    </row>
    <row r="1605">
      <c r="A1605" s="25" t="s">
        <v>18352</v>
      </c>
      <c r="B1605" s="25" t="s">
        <v>18364</v>
      </c>
      <c r="C1605" s="26" t="str">
        <f>HYPERLINK("https://audio.iskcondesiretree.com/02_-_ISKCON_Swamis/ISKCON_Swamis_-_R_to_Y/His_Holiness_Radhanath_Swami/Lectures/00_-_Year_wise/Devotional_Nectar_-_2000/2000-092_Only_by_Devotion_One_Can_Attract_Krishna%27s_Mercy_SB-03_31_15_Mumbai_-_12-11-00_IDesireTre"&amp;"e.mp3", "2000-092_Only_by_Devotion_One_Can_Attract_Krishna%27s_Mercy_SB-03_31_15_Mumbai_-_12-11-00_IDesireTree.mp3")</f>
        <v>2000-092_Only_by_Devotion_One_Can_Attract_Krishna%27s_Mercy_SB-03_31_15_Mumbai_-_12-11-00_IDesireTree.mp3</v>
      </c>
      <c r="D1605" s="24"/>
      <c r="E1605" s="24"/>
    </row>
    <row r="1606">
      <c r="A1606" s="25" t="s">
        <v>18352</v>
      </c>
      <c r="B1606" s="25" t="s">
        <v>18364</v>
      </c>
      <c r="C1606" s="26" t="str">
        <f>HYPERLINK("https://audio.iskcondesiretree.com/02_-_ISKCON_Swamis/ISKCON_Swamis_-_R_to_Y/His_Holiness_Radhanath_Swami/Lectures/00_-_Year_wise/Devotional_Nectar_-_2000/2000-093_Grihastha_Life_Meance_To_Sacrifice_For_Krsna_Lecture_Mumbai_-_24-11-2000_IDesireTree.mp3", "2000-093_Grihastha_Life_Meance_To_Sacrifice_For_Krsna_Lecture_Mumbai_-_24-11-2000_IDesireTree.mp3")</f>
        <v>2000-093_Grihastha_Life_Meance_To_Sacrifice_For_Krsna_Lecture_Mumbai_-_24-11-2000_IDesireTree.mp3</v>
      </c>
      <c r="D1606" s="24"/>
      <c r="E1606" s="24"/>
    </row>
    <row r="1607">
      <c r="A1607" s="25" t="s">
        <v>18352</v>
      </c>
      <c r="B1607" s="25" t="s">
        <v>18364</v>
      </c>
      <c r="C1607" s="26" t="str">
        <f>HYPERLINK("https://audio.iskcondesiretree.com/02_-_ISKCON_Swamis/ISKCON_Swamis_-_R_to_Y/His_Holiness_Radhanath_Swami/Lectures/00_-_Year_wise/Devotional_Nectar_-_2000/2000-094_Loving_Relationship_Between_Lord_%26_his_devotees_LectureMumbai_-_25-11-00_IDesireTree.mp3", "2000-094_Loving_Relationship_Between_Lord_%26_his_devotees_LectureMumbai_-_25-11-00_IDesireTree.mp3")</f>
        <v>2000-094_Loving_Relationship_Between_Lord_%26_his_devotees_LectureMumbai_-_25-11-00_IDesireTree.mp3</v>
      </c>
      <c r="D1607" s="24"/>
      <c r="E1607" s="24"/>
    </row>
    <row r="1608">
      <c r="A1608" s="25" t="s">
        <v>18352</v>
      </c>
      <c r="B1608" s="25" t="s">
        <v>18364</v>
      </c>
      <c r="C1608" s="26" t="str">
        <f>HYPERLINK("https://audio.iskcondesiretree.com/02_-_ISKCON_Swamis/ISKCON_Swamis_-_R_to_Y/His_Holiness_Radhanath_Swami/Lectures/00_-_Year_wise/Devotional_Nectar_-_2000/2000-095_Only_Bhakti_Can_Eradicate_All_Sinful_Disires_SB-03_31_29_Mumbai_-_25-11-2000_IDesireTree.mp"&amp;"3", "2000-095_Only_Bhakti_Can_Eradicate_All_Sinful_Disires_SB-03_31_29_Mumbai_-_25-11-2000_IDesireTree.mp3")</f>
        <v>2000-095_Only_Bhakti_Can_Eradicate_All_Sinful_Disires_SB-03_31_29_Mumbai_-_25-11-2000_IDesireTree.mp3</v>
      </c>
      <c r="D1608" s="24"/>
      <c r="E1608" s="24"/>
    </row>
    <row r="1609">
      <c r="A1609" s="25" t="s">
        <v>18352</v>
      </c>
      <c r="B1609" s="25" t="s">
        <v>18364</v>
      </c>
      <c r="C1609" s="26" t="str">
        <f>HYPERLINK("https://audio.iskcondesiretree.com/02_-_ISKCON_Swamis/ISKCON_Swamis_-_R_to_Y/His_Holiness_Radhanath_Swami/Lectures/00_-_Year_wise/Devotional_Nectar_-_2000/2000-096_Replace_bodily_attachment_By_Attachment_to_Krsna_SB-03_31_30_Mumbai_-_26-11-00_IDesireTree."&amp;"mp3", "2000-096_Replace_bodily_attachment_By_Attachment_to_Krsna_SB-03_31_30_Mumbai_-_26-11-00_IDesireTree.mp3")</f>
        <v>2000-096_Replace_bodily_attachment_By_Attachment_to_Krsna_SB-03_31_30_Mumbai_-_26-11-00_IDesireTree.mp3</v>
      </c>
      <c r="D1609" s="24"/>
      <c r="E1609" s="24"/>
    </row>
    <row r="1610">
      <c r="A1610" s="25" t="s">
        <v>18352</v>
      </c>
      <c r="B1610" s="25" t="s">
        <v>18364</v>
      </c>
      <c r="C1610" s="26" t="str">
        <f>HYPERLINK("https://audio.iskcondesiretree.com/02_-_ISKCON_Swamis/ISKCON_Swamis_-_R_to_Y/His_Holiness_Radhanath_Swami/Lectures/00_-_Year_wise/Devotional_Nectar_-_2000/2000-097_Marriage_address_Lecture_Mumbai_-_Radhanath_Swami_2000-12-02_IDesireTree.mp3", "2000-097_Marriage_address_Lecture_Mumbai_-_Radhanath_Swami_2000-12-02_IDesireTree.mp3")</f>
        <v>2000-097_Marriage_address_Lecture_Mumbai_-_Radhanath_Swami_2000-12-02_IDesireTree.mp3</v>
      </c>
      <c r="D1610" s="24"/>
      <c r="E1610" s="24"/>
    </row>
    <row r="1611">
      <c r="A1611" s="25" t="s">
        <v>18352</v>
      </c>
      <c r="B1611" s="25" t="s">
        <v>18364</v>
      </c>
      <c r="C1611" s="26" t="str">
        <f>HYPERLINK("https://audio.iskcondesiretree.com/02_-_ISKCON_Swamis/ISKCON_Swamis_-_R_to_Y/His_Holiness_Radhanath_Swami/Lectures/00_-_Year_wise/Devotional_Nectar_-_2000/2000-098_Serving_Guru_Parampara_By_Serving_Srila_Prabhupada_Lecture_Mumbai_-_07-12-00_IDesireTree.mp"&amp;"3", "2000-098_Serving_Guru_Parampara_By_Serving_Srila_Prabhupada_Lecture_Mumbai_-_07-12-00_IDesireTree.mp3")</f>
        <v>2000-098_Serving_Guru_Parampara_By_Serving_Srila_Prabhupada_Lecture_Mumbai_-_07-12-00_IDesireTree.mp3</v>
      </c>
      <c r="D1611" s="24"/>
      <c r="E1611" s="24"/>
    </row>
    <row r="1612">
      <c r="A1612" s="25" t="s">
        <v>18352</v>
      </c>
      <c r="B1612" s="25" t="s">
        <v>18364</v>
      </c>
      <c r="C1612" s="26" t="str">
        <f>HYPERLINK("https://audio.iskcondesiretree.com/02_-_ISKCON_Swamis/ISKCON_Swamis_-_R_to_Y/His_Holiness_Radhanath_Swami/Lectures/00_-_Year_wise/Devotional_Nectar_-_2000/2000-099_Depending_Fully_upon_krsnas_Mercy_BG-03_30_Mumbai_-_09-12-00_IDesireTree.mp3", "2000-099_Depending_Fully_upon_krsnas_Mercy_BG-03_30_Mumbai_-_09-12-00_IDesireTree.mp3")</f>
        <v>2000-099_Depending_Fully_upon_krsnas_Mercy_BG-03_30_Mumbai_-_09-12-00_IDesireTree.mp3</v>
      </c>
      <c r="D1612" s="24"/>
      <c r="E1612" s="24"/>
    </row>
    <row r="1613">
      <c r="A1613" s="25" t="s">
        <v>18352</v>
      </c>
      <c r="B1613" s="25" t="s">
        <v>18364</v>
      </c>
      <c r="C1613" s="26" t="str">
        <f>HYPERLINK("https://audio.iskcondesiretree.com/02_-_ISKCON_Swamis/ISKCON_Swamis_-_R_to_Y/His_Holiness_Radhanath_Swami/Lectures/00_-_Year_wise/Devotional_Nectar_-_2000/2000-100_Devotee_Simply_Wants_to_Serve_KrsnaLecture_Mumbai_-_10-12-00_IDesireTree.mp3", "2000-100_Devotee_Simply_Wants_to_Serve_KrsnaLecture_Mumbai_-_10-12-00_IDesireTree.mp3")</f>
        <v>2000-100_Devotee_Simply_Wants_to_Serve_KrsnaLecture_Mumbai_-_10-12-00_IDesireTree.mp3</v>
      </c>
      <c r="D1613" s="24"/>
      <c r="E1613" s="24"/>
    </row>
    <row r="1614">
      <c r="A1614" s="25" t="s">
        <v>18352</v>
      </c>
      <c r="B1614" s="25" t="s">
        <v>18364</v>
      </c>
      <c r="C1614" s="26" t="str">
        <f>HYPERLINK("https://audio.iskcondesiretree.com/02_-_ISKCON_Swamis/ISKCON_Swamis_-_R_to_Y/His_Holiness_Radhanath_Swami/Lectures/00_-_Year_wise/Devotional_Nectar_-_2000/2000-101_Glories_of_Srila_Bhaktisiddhanta_Sraswati_Thakur_Lecture_Mumbai_-_14-12-00_IDesireTree.mp3", "2000-101_Glories_of_Srila_Bhaktisiddhanta_Sraswati_Thakur_Lecture_Mumbai_-_14-12-00_IDesireTree.mp3")</f>
        <v>2000-101_Glories_of_Srila_Bhaktisiddhanta_Sraswati_Thakur_Lecture_Mumbai_-_14-12-00_IDesireTree.mp3</v>
      </c>
      <c r="D1614" s="24"/>
      <c r="E1614" s="24"/>
    </row>
    <row r="1615">
      <c r="A1615" s="25" t="s">
        <v>18352</v>
      </c>
      <c r="B1615" s="25" t="s">
        <v>18364</v>
      </c>
      <c r="C1615" s="26" t="str">
        <f>HYPERLINK("https://audio.iskcondesiretree.com/02_-_ISKCON_Swamis/ISKCON_Swamis_-_R_to_Y/His_Holiness_Radhanath_Swami/Lectures/00_-_Year_wise/Devotional_Nectar_-_2000/2000-102_Marriage_Address_Lecture_Mumbai_-_Radhanath_Swami_2000-12-16_IDesireTree.mp3", "2000-102_Marriage_Address_Lecture_Mumbai_-_Radhanath_Swami_2000-12-16_IDesireTree.mp3")</f>
        <v>2000-102_Marriage_Address_Lecture_Mumbai_-_Radhanath_Swami_2000-12-16_IDesireTree.mp3</v>
      </c>
      <c r="D1615" s="24"/>
      <c r="E1615" s="24"/>
    </row>
    <row r="1616">
      <c r="A1616" s="25" t="s">
        <v>18352</v>
      </c>
      <c r="B1616" s="25" t="s">
        <v>18364</v>
      </c>
      <c r="C1616" s="26" t="str">
        <f>HYPERLINK("https://audio.iskcondesiretree.com/02_-_ISKCON_Swamis/ISKCON_Swamis_-_R_to_Y/His_Holiness_Radhanath_Swami/Lectures/00_-_Year_wise/Devotional_Nectar_-_2000/2000-103_Lord_Caitanya_Relishing_The_Love_Of_Sri_Radha_CC_-_Radhanath_Swami_IDesireTree.mp3", "2000-103_Lord_Caitanya_Relishing_The_Love_Of_Sri_Radha_CC_-_Radhanath_Swami_IDesireTree.mp3")</f>
        <v>2000-103_Lord_Caitanya_Relishing_The_Love_Of_Sri_Radha_CC_-_Radhanath_Swami_IDesireTree.mp3</v>
      </c>
      <c r="D1616" s="24"/>
      <c r="E1616" s="24"/>
    </row>
    <row r="1617">
      <c r="A1617" s="25" t="s">
        <v>18352</v>
      </c>
      <c r="B1617" s="25" t="s">
        <v>18364</v>
      </c>
      <c r="C1617" s="26" t="str">
        <f>HYPERLINK("https://audio.iskcondesiretree.com/02_-_ISKCON_Swamis/ISKCON_Swamis_-_R_to_Y/His_Holiness_Radhanath_Swami/Lectures/00_-_Year_wise/Devotional_Nectar_-_2000/2000-104_Marriage_Ceremony_Address_Lecture_Mumbai_-_Radhanath_Swami_2000-12-01_IDesireTree.mp3", "2000-104_Marriage_Ceremony_Address_Lecture_Mumbai_-_Radhanath_Swami_2000-12-01_IDesireTree.mp3")</f>
        <v>2000-104_Marriage_Ceremony_Address_Lecture_Mumbai_-_Radhanath_Swami_2000-12-01_IDesireTree.mp3</v>
      </c>
      <c r="D1617" s="24"/>
      <c r="E1617" s="24"/>
    </row>
    <row r="1618">
      <c r="A1618" s="25" t="s">
        <v>18352</v>
      </c>
      <c r="B1618" s="25" t="s">
        <v>18364</v>
      </c>
      <c r="C1618" s="26" t="str">
        <f>HYPERLINK("https://audio.iskcondesiretree.com/02_-_ISKCON_Swamis/ISKCON_Swamis_-_R_to_Y/His_Holiness_Radhanath_Swami/Lectures/00_-_Year_wise/Devotional_Nectar_-_2000/2000-105_Marriage_Ceremony_Address_Lecture_Mumbai_-_Radhanath_Swami_2000-12-02_IDesireTree.mp3", "2000-105_Marriage_Ceremony_Address_Lecture_Mumbai_-_Radhanath_Swami_2000-12-02_IDesireTree.mp3")</f>
        <v>2000-105_Marriage_Ceremony_Address_Lecture_Mumbai_-_Radhanath_Swami_2000-12-02_IDesireTree.mp3</v>
      </c>
      <c r="D1618" s="24"/>
      <c r="E1618" s="24"/>
    </row>
    <row r="1619">
      <c r="A1619" s="25" t="s">
        <v>18352</v>
      </c>
      <c r="B1619" s="25" t="s">
        <v>18364</v>
      </c>
      <c r="C1619" s="26" t="str">
        <f>HYPERLINK("https://audio.iskcondesiretree.com/02_-_ISKCON_Swamis/ISKCON_Swamis_-_R_to_Y/His_Holiness_Radhanath_Swami/Lectures/00_-_Year_wise/Devotional_Nectar_-_2000/2000-106_Renouncing_Sexlife_For_the_Service_Of_Krsna_SB-03_31_35_Mumbai_-_02-12-00_IDesireTree.mp3", "2000-106_Renouncing_Sexlife_For_the_Service_Of_Krsna_SB-03_31_35_Mumbai_-_02-12-00_IDesireTree.mp3")</f>
        <v>2000-106_Renouncing_Sexlife_For_the_Service_Of_Krsna_SB-03_31_35_Mumbai_-_02-12-00_IDesireTree.mp3</v>
      </c>
      <c r="D1619" s="24"/>
      <c r="E1619" s="24"/>
    </row>
    <row r="1620">
      <c r="A1620" s="25" t="s">
        <v>18352</v>
      </c>
      <c r="B1620" s="25" t="s">
        <v>18364</v>
      </c>
      <c r="C1620" s="26" t="str">
        <f>HYPERLINK("https://audio.iskcondesiretree.com/02_-_ISKCON_Swamis/ISKCON_Swamis_-_R_to_Y/His_Holiness_Radhanath_Swami/Lectures/00_-_Year_wise/Devotional_Nectar_-_2000/2000-107_Marriage_Ceremony_Address_Lecture_Mumbai_-_Radhanath_Swami_2000-12-16_IDesireTree.mp3", "2000-107_Marriage_Ceremony_Address_Lecture_Mumbai_-_Radhanath_Swami_2000-12-16_IDesireTree.mp3")</f>
        <v>2000-107_Marriage_Ceremony_Address_Lecture_Mumbai_-_Radhanath_Swami_2000-12-16_IDesireTree.mp3</v>
      </c>
      <c r="D1620" s="24"/>
      <c r="E1620" s="24"/>
    </row>
    <row r="1621">
      <c r="A1621" s="25" t="s">
        <v>18352</v>
      </c>
      <c r="B1621" s="25" t="s">
        <v>18365</v>
      </c>
      <c r="C1621" s="26" t="str">
        <f>HYPERLINK("https://audio.iskcondesiretree.com/02_-_ISKCON_Swamis/ISKCON_Swamis_-_R_to_Y/His_Holiness_Radhanath_Swami/Lectures/00_-_Year_wise/Devotional_Nectar_-_2001/2001-001_Rath_Yatra_Lec_Lecture_-_Radhanath_Swami_2001-01-05_IDesireTree.mp3", "2001-001_Rath_Yatra_Lec_Lecture_-_Radhanath_Swami_2001-01-05_IDesireTree.mp3")</f>
        <v>2001-001_Rath_Yatra_Lec_Lecture_-_Radhanath_Swami_2001-01-05_IDesireTree.mp3</v>
      </c>
      <c r="D1621" s="24"/>
      <c r="E1621" s="24"/>
    </row>
    <row r="1622">
      <c r="A1622" s="25" t="s">
        <v>18352</v>
      </c>
      <c r="B1622" s="25" t="s">
        <v>18365</v>
      </c>
      <c r="C1622" s="26" t="str">
        <f>HYPERLINK("https://audio.iskcondesiretree.com/02_-_ISKCON_Swamis/ISKCON_Swamis_-_R_to_Y/His_Holiness_Radhanath_Swami/Lectures/00_-_Year_wise/Devotional_Nectar_-_2001/2001-002_Real_Renunciation_Means_To_Please_Krishna_SB-03_32_23_Mumbai_-_07-01-01_IDesireTree.mp3", "2001-002_Real_Renunciation_Means_To_Please_Krishna_SB-03_32_23_Mumbai_-_07-01-01_IDesireTree.mp3")</f>
        <v>2001-002_Real_Renunciation_Means_To_Please_Krishna_SB-03_32_23_Mumbai_-_07-01-01_IDesireTree.mp3</v>
      </c>
      <c r="D1622" s="24"/>
      <c r="E1622" s="24"/>
    </row>
    <row r="1623">
      <c r="A1623" s="25" t="s">
        <v>18352</v>
      </c>
      <c r="B1623" s="25" t="s">
        <v>18365</v>
      </c>
      <c r="C1623" s="26" t="str">
        <f>HYPERLINK("https://audio.iskcondesiretree.com/02_-_ISKCON_Swamis/ISKCON_Swamis_-_R_to_Y/His_Holiness_Radhanath_Swami/Lectures/00_-_Year_wise/Devotional_Nectar_-_2001/2001-003_SB-10_15_12_Vrindavan_-_Radhanath_Swami_2001-01-11_IDesireTree.mp3", "2001-003_SB-10_15_12_Vrindavan_-_Radhanath_Swami_2001-01-11_IDesireTree.mp3")</f>
        <v>2001-003_SB-10_15_12_Vrindavan_-_Radhanath_Swami_2001-01-11_IDesireTree.mp3</v>
      </c>
      <c r="D1623" s="24"/>
      <c r="E1623" s="24"/>
    </row>
    <row r="1624">
      <c r="A1624" s="25" t="s">
        <v>18352</v>
      </c>
      <c r="B1624" s="25" t="s">
        <v>18365</v>
      </c>
      <c r="C1624" s="26" t="str">
        <f>HYPERLINK("https://audio.iskcondesiretree.com/02_-_ISKCON_Swamis/ISKCON_Swamis_-_R_to_Y/His_Holiness_Radhanath_Swami/Lectures/00_-_Year_wise/Devotional_Nectar_-_2001/2001-004_SB_Class_Allahabad_-_Radhanath_Swami_2001-01-13_IDesireTree.mp3", "2001-004_SB_Class_Allahabad_-_Radhanath_Swami_2001-01-13_IDesireTree.mp3")</f>
        <v>2001-004_SB_Class_Allahabad_-_Radhanath_Swami_2001-01-13_IDesireTree.mp3</v>
      </c>
      <c r="D1624" s="24"/>
      <c r="E1624" s="24"/>
    </row>
    <row r="1625">
      <c r="A1625" s="25" t="s">
        <v>18352</v>
      </c>
      <c r="B1625" s="25" t="s">
        <v>18365</v>
      </c>
      <c r="C1625" s="26" t="str">
        <f>HYPERLINK("https://audio.iskcondesiretree.com/02_-_ISKCON_Swamis/ISKCON_Swamis_-_R_to_Y/His_Holiness_Radhanath_Swami/Lectures/00_-_Year_wise/Devotional_Nectar_-_2001/2001-005_Lecture_-_Radhanath_Swami_2001-01-13_IDesireTree.mp3", "2001-005_Lecture_-_Radhanath_Swami_2001-01-13_IDesireTree.mp3")</f>
        <v>2001-005_Lecture_-_Radhanath_Swami_2001-01-13_IDesireTree.mp3</v>
      </c>
      <c r="D1625" s="24"/>
      <c r="E1625" s="24"/>
    </row>
    <row r="1626">
      <c r="A1626" s="25" t="s">
        <v>18352</v>
      </c>
      <c r="B1626" s="25" t="s">
        <v>18365</v>
      </c>
      <c r="C1626" s="26" t="str">
        <f>HYPERLINK("https://audio.iskcondesiretree.com/02_-_ISKCON_Swamis/ISKCON_Swamis_-_R_to_Y/His_Holiness_Radhanath_Swami/Lectures/00_-_Year_wise/Devotional_Nectar_-_2001/2001-006_Lecture_Allahabad_-_Radhanath_Swami_2001-01-15_IDesireTree.mp3", "2001-006_Lecture_Allahabad_-_Radhanath_Swami_2001-01-15_IDesireTree.mp3")</f>
        <v>2001-006_Lecture_Allahabad_-_Radhanath_Swami_2001-01-15_IDesireTree.mp3</v>
      </c>
      <c r="D1626" s="24"/>
      <c r="E1626" s="24"/>
    </row>
    <row r="1627">
      <c r="A1627" s="25" t="s">
        <v>18352</v>
      </c>
      <c r="B1627" s="25" t="s">
        <v>18365</v>
      </c>
      <c r="C1627" s="26" t="str">
        <f>HYPERLINK("https://audio.iskcondesiretree.com/02_-_ISKCON_Swamis/ISKCON_Swamis_-_R_to_Y/His_Holiness_Radhanath_Swami/Lectures/00_-_Year_wise/Devotional_Nectar_-_2001/2001-007_Lecture_-_Radhanath_Swami_2001-01-17_IDesireTree.mp3", "2001-007_Lecture_-_Radhanath_Swami_2001-01-17_IDesireTree.mp3")</f>
        <v>2001-007_Lecture_-_Radhanath_Swami_2001-01-17_IDesireTree.mp3</v>
      </c>
      <c r="D1627" s="24"/>
      <c r="E1627" s="24"/>
    </row>
    <row r="1628">
      <c r="A1628" s="25" t="s">
        <v>18352</v>
      </c>
      <c r="B1628" s="25" t="s">
        <v>18365</v>
      </c>
      <c r="C1628" s="26" t="str">
        <f>HYPERLINK("https://audio.iskcondesiretree.com/02_-_ISKCON_Swamis/ISKCON_Swamis_-_R_to_Y/His_Holiness_Radhanath_Swami/Lectures/00_-_Year_wise/Devotional_Nectar_-_2001/2001-008_Lecture_Mumbai_-_Radhanath_Swami_2001-01-21_IDesireTree.mp3", "2001-008_Lecture_Mumbai_-_Radhanath_Swami_2001-01-21_IDesireTree.mp3")</f>
        <v>2001-008_Lecture_Mumbai_-_Radhanath_Swami_2001-01-21_IDesireTree.mp3</v>
      </c>
      <c r="D1628" s="24"/>
      <c r="E1628" s="24"/>
    </row>
    <row r="1629">
      <c r="A1629" s="25" t="s">
        <v>18352</v>
      </c>
      <c r="B1629" s="25" t="s">
        <v>18365</v>
      </c>
      <c r="C1629" s="26" t="str">
        <f>HYPERLINK("https://audio.iskcondesiretree.com/02_-_ISKCON_Swamis/ISKCON_Swamis_-_R_to_Y/His_Holiness_Radhanath_Swami/Lectures/00_-_Year_wise/Devotional_Nectar_-_2001/2001-009_Pastimes_Of_Lord_Caitanya-1_SB_-_Pune_-_Radhanath_Swami_2001-01-27_IDesireTree.mp3", "2001-009_Pastimes_Of_Lord_Caitanya-1_SB_-_Pune_-_Radhanath_Swami_2001-01-27_IDesireTree.mp3")</f>
        <v>2001-009_Pastimes_Of_Lord_Caitanya-1_SB_-_Pune_-_Radhanath_Swami_2001-01-27_IDesireTree.mp3</v>
      </c>
      <c r="D1629" s="24"/>
      <c r="E1629" s="24"/>
    </row>
    <row r="1630">
      <c r="A1630" s="25" t="s">
        <v>18352</v>
      </c>
      <c r="B1630" s="25" t="s">
        <v>18365</v>
      </c>
      <c r="C1630" s="26" t="str">
        <f>HYPERLINK("https://audio.iskcondesiretree.com/02_-_ISKCON_Swamis/ISKCON_Swamis_-_R_to_Y/His_Holiness_Radhanath_Swami/Lectures/00_-_Year_wise/Devotional_Nectar_-_2001/2001-010_Pastimes_Of_Lord_Caitanya-2_SB_-_Pune_-_Radhanath_Swami_2001-01-27_IDesireTree.mp3", "2001-010_Pastimes_Of_Lord_Caitanya-2_SB_-_Pune_-_Radhanath_Swami_2001-01-27_IDesireTree.mp3")</f>
        <v>2001-010_Pastimes_Of_Lord_Caitanya-2_SB_-_Pune_-_Radhanath_Swami_2001-01-27_IDesireTree.mp3</v>
      </c>
      <c r="D1630" s="24"/>
      <c r="E1630" s="24"/>
    </row>
    <row r="1631">
      <c r="A1631" s="25" t="s">
        <v>18352</v>
      </c>
      <c r="B1631" s="25" t="s">
        <v>18365</v>
      </c>
      <c r="C1631" s="26" t="str">
        <f>HYPERLINK("https://audio.iskcondesiretree.com/02_-_ISKCON_Swamis/ISKCON_Swamis_-_R_to_Y/His_Holiness_Radhanath_Swami/Lectures/00_-_Year_wise/Devotional_Nectar_-_2001/2001-011_Understanding_What_Is_Real_Happiness_BG_-_Radhanath_Swami_IDesireTree.mp3", "2001-011_Understanding_What_Is_Real_Happiness_BG_-_Radhanath_Swami_IDesireTree.mp3")</f>
        <v>2001-011_Understanding_What_Is_Real_Happiness_BG_-_Radhanath_Swami_IDesireTree.mp3</v>
      </c>
      <c r="D1631" s="24"/>
      <c r="E1631" s="24"/>
    </row>
    <row r="1632">
      <c r="A1632" s="25" t="s">
        <v>18352</v>
      </c>
      <c r="B1632" s="25" t="s">
        <v>18365</v>
      </c>
      <c r="C1632" s="26" t="str">
        <f>HYPERLINK("https://audio.iskcondesiretree.com/02_-_ISKCON_Swamis/ISKCON_Swamis_-_R_to_Y/His_Holiness_Radhanath_Swami/Lectures/00_-_Year_wise/Devotional_Nectar_-_2001/2001-012_Advaita_Acharya_The_Real_Acharya_SB-03_33_06_Mumbai_-_01-02-2001_IDesireTree.mp3", "2001-012_Advaita_Acharya_The_Real_Acharya_SB-03_33_06_Mumbai_-_01-02-2001_IDesireTree.mp3")</f>
        <v>2001-012_Advaita_Acharya_The_Real_Acharya_SB-03_33_06_Mumbai_-_01-02-2001_IDesireTree.mp3</v>
      </c>
      <c r="D1632" s="24"/>
      <c r="E1632" s="24"/>
    </row>
    <row r="1633">
      <c r="A1633" s="25" t="s">
        <v>18352</v>
      </c>
      <c r="B1633" s="25" t="s">
        <v>18365</v>
      </c>
      <c r="C1633" s="26" t="str">
        <f>HYPERLINK("https://audio.iskcondesiretree.com/02_-_ISKCON_Swamis/ISKCON_Swamis_-_R_to_Y/His_Holiness_Radhanath_Swami/Lectures/00_-_Year_wise/Devotional_Nectar_-_2001/2001-013_3_Kinds_Of_Devotees_Benedicted_Lecture_Mumbai_-_Radhanath_Swami_2001-02-03_IDesireTree.mp3", "2001-013_3_Kinds_Of_Devotees_Benedicted_Lecture_Mumbai_-_Radhanath_Swami_2001-02-03_IDesireTree.mp3")</f>
        <v>2001-013_3_Kinds_Of_Devotees_Benedicted_Lecture_Mumbai_-_Radhanath_Swami_2001-02-03_IDesireTree.mp3</v>
      </c>
      <c r="D1633" s="24"/>
      <c r="E1633" s="24"/>
    </row>
    <row r="1634">
      <c r="A1634" s="25" t="s">
        <v>18352</v>
      </c>
      <c r="B1634" s="25" t="s">
        <v>18365</v>
      </c>
      <c r="C1634" s="26" t="str">
        <f>HYPERLINK("https://audio.iskcondesiretree.com/02_-_ISKCON_Swamis/ISKCON_Swamis_-_R_to_Y/His_Holiness_Radhanath_Swami/Lectures/00_-_Year_wise/Devotional_Nectar_-_2001/2001-014_Bhakti_Free_From_Motivations_Lecture_Mumbai_-_Radhanath_Swami_2001-02-04_IDesireTree.mp3", "2001-014_Bhakti_Free_From_Motivations_Lecture_Mumbai_-_Radhanath_Swami_2001-02-04_IDesireTree.mp3")</f>
        <v>2001-014_Bhakti_Free_From_Motivations_Lecture_Mumbai_-_Radhanath_Swami_2001-02-04_IDesireTree.mp3</v>
      </c>
      <c r="D1634" s="24"/>
      <c r="E1634" s="24"/>
    </row>
    <row r="1635">
      <c r="A1635" s="25" t="s">
        <v>18352</v>
      </c>
      <c r="B1635" s="25" t="s">
        <v>18365</v>
      </c>
      <c r="C1635" s="26" t="str">
        <f>HYPERLINK("https://audio.iskcondesiretree.com/02_-_ISKCON_Swamis/ISKCON_Swamis_-_R_to_Y/His_Holiness_Radhanath_Swami/Lectures/00_-_Year_wise/Devotional_Nectar_-_2001/2001-015_Krishna_The_Reservoir_Of_Pleasure_Lecture_Mayapur_-_09-02-01_IDesireTree.mp3", "2001-015_Krishna_The_Reservoir_Of_Pleasure_Lecture_Mayapur_-_09-02-01_IDesireTree.mp3")</f>
        <v>2001-015_Krishna_The_Reservoir_Of_Pleasure_Lecture_Mayapur_-_09-02-01_IDesireTree.mp3</v>
      </c>
      <c r="D1635" s="24"/>
      <c r="E1635" s="24"/>
    </row>
    <row r="1636">
      <c r="A1636" s="25" t="s">
        <v>18352</v>
      </c>
      <c r="B1636" s="25" t="s">
        <v>18365</v>
      </c>
      <c r="C1636" s="26" t="str">
        <f>HYPERLINK("https://audio.iskcondesiretree.com/02_-_ISKCON_Swamis/ISKCON_Swamis_-_R_to_Y/His_Holiness_Radhanath_Swami/Lectures/00_-_Year_wise/Devotional_Nectar_-_2001/2001-016_Establishing_Unity_In_Diversity_SB-04_01_04_Mumbai_-_03-03-01_IDesireTree.mp3", "2001-016_Establishing_Unity_In_Diversity_SB-04_01_04_Mumbai_-_03-03-01_IDesireTree.mp3")</f>
        <v>2001-016_Establishing_Unity_In_Diversity_SB-04_01_04_Mumbai_-_03-03-01_IDesireTree.mp3</v>
      </c>
      <c r="D1636" s="24"/>
      <c r="E1636" s="24"/>
    </row>
    <row r="1637">
      <c r="A1637" s="25" t="s">
        <v>18352</v>
      </c>
      <c r="B1637" s="25" t="s">
        <v>18365</v>
      </c>
      <c r="C1637" s="26" t="str">
        <f>HYPERLINK("https://audio.iskcondesiretree.com/02_-_ISKCON_Swamis/ISKCON_Swamis_-_R_to_Y/His_Holiness_Radhanath_Swami/Lectures/00_-_Year_wise/Devotional_Nectar_-_2001/2001-017_Why_Study_The_Life_Of_Great_Souls_SB-01_13_05_Mumbai_-_12-04-01_IDesireTree.mp3", "2001-017_Why_Study_The_Life_Of_Great_Souls_SB-01_13_05_Mumbai_-_12-04-01_IDesireTree.mp3")</f>
        <v>2001-017_Why_Study_The_Life_Of_Great_Souls_SB-01_13_05_Mumbai_-_12-04-01_IDesireTree.mp3</v>
      </c>
      <c r="D1637" s="24"/>
      <c r="E1637" s="24"/>
    </row>
    <row r="1638">
      <c r="A1638" s="25" t="s">
        <v>18352</v>
      </c>
      <c r="B1638" s="25" t="s">
        <v>18365</v>
      </c>
      <c r="C1638" s="26" t="str">
        <f>HYPERLINK("https://audio.iskcondesiretree.com/02_-_ISKCON_Swamis/ISKCON_Swamis_-_R_to_Y/His_Holiness_Radhanath_Swami/Lectures/00_-_Year_wise/Devotional_Nectar_-_2001/2001-018_Everything_Is_Relative_To_Once_Own_Consciousness_SB-04_02_22_Mumbai_-_14-04-01_IDesireTree."&amp;"mp3", "2001-018_Everything_Is_Relative_To_Once_Own_Consciousness_SB-04_02_22_Mumbai_-_14-04-01_IDesireTree.mp3")</f>
        <v>2001-018_Everything_Is_Relative_To_Once_Own_Consciousness_SB-04_02_22_Mumbai_-_14-04-01_IDesireTree.mp3</v>
      </c>
      <c r="D1638" s="24"/>
      <c r="E1638" s="24"/>
    </row>
    <row r="1639">
      <c r="A1639" s="25" t="s">
        <v>18352</v>
      </c>
      <c r="B1639" s="25" t="s">
        <v>18365</v>
      </c>
      <c r="C1639" s="26" t="str">
        <f>HYPERLINK("https://audio.iskcondesiretree.com/02_-_ISKCON_Swamis/ISKCON_Swamis_-_R_to_Y/His_Holiness_Radhanath_Swami/Lectures/00_-_Year_wise/Devotional_Nectar_-_2001/2001-019_Effects_And_Consequence_Of_Anger_On_Daksha_SB-04_02_23-24_Mumbai_-_15-04-01_IDesireTree.mp3", "2001-019_Effects_And_Consequence_Of_Anger_On_Daksha_SB-04_02_23-24_Mumbai_-_15-04-01_IDesireTree.mp3")</f>
        <v>2001-019_Effects_And_Consequence_Of_Anger_On_Daksha_SB-04_02_23-24_Mumbai_-_15-04-01_IDesireTree.mp3</v>
      </c>
      <c r="D1639" s="24"/>
      <c r="E1639" s="24"/>
    </row>
    <row r="1640">
      <c r="A1640" s="25" t="s">
        <v>18352</v>
      </c>
      <c r="B1640" s="25" t="s">
        <v>18365</v>
      </c>
      <c r="C1640" s="26" t="str">
        <f>HYPERLINK("https://audio.iskcondesiretree.com/02_-_ISKCON_Swamis/ISKCON_Swamis_-_R_to_Y/His_Holiness_Radhanath_Swami/Lectures/00_-_Year_wise/Devotional_Nectar_-_2001/2001-020_Glories_Of_Srila_Prabhupad_And_Abhiram_Thakur_Lecture_Mumbai_-_15-04-2001_IDesireTree.mp3", "2001-020_Glories_Of_Srila_Prabhupad_And_Abhiram_Thakur_Lecture_Mumbai_-_15-04-2001_IDesireTree.mp3")</f>
        <v>2001-020_Glories_Of_Srila_Prabhupad_And_Abhiram_Thakur_Lecture_Mumbai_-_15-04-2001_IDesireTree.mp3</v>
      </c>
      <c r="D1640" s="24"/>
      <c r="E1640" s="24"/>
    </row>
    <row r="1641">
      <c r="A1641" s="25" t="s">
        <v>18352</v>
      </c>
      <c r="B1641" s="25" t="s">
        <v>18365</v>
      </c>
      <c r="C1641" s="26" t="str">
        <f>HYPERLINK("https://audio.iskcondesiretree.com/02_-_ISKCON_Swamis/ISKCON_Swamis_-_R_to_Y/His_Holiness_Radhanath_Swami/Lectures/00_-_Year_wise/Devotional_Nectar_-_2001/2001-021_The_Inner_mood_of_lord_shiva_SB-03_02_29_Mumbai_-_21-04-01_IDesireTree.mp3", "2001-021_The_Inner_mood_of_lord_shiva_SB-03_02_29_Mumbai_-_21-04-01_IDesireTree.mp3")</f>
        <v>2001-021_The_Inner_mood_of_lord_shiva_SB-03_02_29_Mumbai_-_21-04-01_IDesireTree.mp3</v>
      </c>
      <c r="D1641" s="24"/>
      <c r="E1641" s="24"/>
    </row>
    <row r="1642">
      <c r="A1642" s="25" t="s">
        <v>18352</v>
      </c>
      <c r="B1642" s="25" t="s">
        <v>18365</v>
      </c>
      <c r="C1642" s="26" t="str">
        <f>HYPERLINK("https://audio.iskcondesiretree.com/02_-_ISKCON_Swamis/ISKCON_Swamis_-_R_to_Y/His_Holiness_Radhanath_Swami/Lectures/00_-_Year_wise/Devotional_Nectar_-_2001/2001-022_Performing_Our_Services_With_Full_Responsibility_SB-04_02_30_Mumbai_-_22-04-01_IDesireTree."&amp;"mp3", "2001-022_Performing_Our_Services_With_Full_Responsibility_SB-04_02_30_Mumbai_-_22-04-01_IDesireTree.mp3")</f>
        <v>2001-022_Performing_Our_Services_With_Full_Responsibility_SB-04_02_30_Mumbai_-_22-04-01_IDesireTree.mp3</v>
      </c>
      <c r="D1642" s="24"/>
      <c r="E1642" s="24"/>
    </row>
    <row r="1643">
      <c r="A1643" s="25" t="s">
        <v>18352</v>
      </c>
      <c r="B1643" s="25" t="s">
        <v>18365</v>
      </c>
      <c r="C1643" s="26" t="str">
        <f>HYPERLINK("https://audio.iskcondesiretree.com/02_-_ISKCON_Swamis/ISKCON_Swamis_-_R_to_Y/His_Holiness_Radhanath_Swami/Lectures/00_-_Year_wise/Devotional_Nectar_-_2001/2001-023_Durlabha_Manav_Janma_Lecture_Mumbai_-_Radhanath_Swami_2001-04-22_IDesireTree.mp3", "2001-023_Durlabha_Manav_Janma_Lecture_Mumbai_-_Radhanath_Swami_2001-04-22_IDesireTree.mp3")</f>
        <v>2001-023_Durlabha_Manav_Janma_Lecture_Mumbai_-_Radhanath_Swami_2001-04-22_IDesireTree.mp3</v>
      </c>
      <c r="D1643" s="24"/>
      <c r="E1643" s="24"/>
    </row>
    <row r="1644">
      <c r="A1644" s="25" t="s">
        <v>18352</v>
      </c>
      <c r="B1644" s="25" t="s">
        <v>18365</v>
      </c>
      <c r="C1644" s="26" t="str">
        <f>HYPERLINK("https://audio.iskcondesiretree.com/02_-_ISKCON_Swamis/ISKCON_Swamis_-_R_to_Y/His_Holiness_Radhanath_Swami/Lectures/00_-_Year_wise/Devotional_Nectar_-_2001/2001-024_Lecture_London_-_Radhanath_Swami_2001-04-25_IDesireTree.mp3", "2001-024_Lecture_London_-_Radhanath_Swami_2001-04-25_IDesireTree.mp3")</f>
        <v>2001-024_Lecture_London_-_Radhanath_Swami_2001-04-25_IDesireTree.mp3</v>
      </c>
      <c r="D1644" s="24"/>
      <c r="E1644" s="24"/>
    </row>
    <row r="1645">
      <c r="A1645" s="25" t="s">
        <v>18352</v>
      </c>
      <c r="B1645" s="25" t="s">
        <v>18365</v>
      </c>
      <c r="C1645" s="26" t="str">
        <f>HYPERLINK("https://audio.iskcondesiretree.com/02_-_ISKCON_Swamis/ISKCON_Swamis_-_R_to_Y/His_Holiness_Radhanath_Swami/Lectures/00_-_Year_wise/Devotional_Nectar_-_2001/2001-025_Living_By_The_Principle_Die_To_Live_SB-04_04_24_Mumbai_-_17-6-01_IDesireTree.mp3", "2001-025_Living_By_The_Principle_Die_To_Live_SB-04_04_24_Mumbai_-_17-6-01_IDesireTree.mp3")</f>
        <v>2001-025_Living_By_The_Principle_Die_To_Live_SB-04_04_24_Mumbai_-_17-6-01_IDesireTree.mp3</v>
      </c>
      <c r="D1645" s="24"/>
      <c r="E1645" s="24"/>
    </row>
    <row r="1646">
      <c r="A1646" s="25" t="s">
        <v>18352</v>
      </c>
      <c r="B1646" s="25" t="s">
        <v>18365</v>
      </c>
      <c r="C1646" s="26" t="str">
        <f>HYPERLINK("https://audio.iskcondesiretree.com/02_-_ISKCON_Swamis/ISKCON_Swamis_-_R_to_Y/His_Holiness_Radhanath_Swami/Lectures/00_-_Year_wise/Devotional_Nectar_-_2001/2001-026_Secrets_Of_Revealed_Thru_Srivas_Thakur_I_Lecture_Mumbai_-_17-06-01_IDesireTree.mp3", "2001-026_Secrets_Of_Revealed_Thru_Srivas_Thakur_I_Lecture_Mumbai_-_17-06-01_IDesireTree.mp3")</f>
        <v>2001-026_Secrets_Of_Revealed_Thru_Srivas_Thakur_I_Lecture_Mumbai_-_17-06-01_IDesireTree.mp3</v>
      </c>
      <c r="D1646" s="24"/>
      <c r="E1646" s="24"/>
    </row>
    <row r="1647">
      <c r="A1647" s="25" t="s">
        <v>18352</v>
      </c>
      <c r="B1647" s="25" t="s">
        <v>18365</v>
      </c>
      <c r="C1647" s="26" t="str">
        <f>HYPERLINK("https://audio.iskcondesiretree.com/02_-_ISKCON_Swamis/ISKCON_Swamis_-_R_to_Y/His_Holiness_Radhanath_Swami/Lectures/00_-_Year_wise/Devotional_Nectar_-_2001/2001-027_Lord_Caitanya_And_Rath_Yatra_Lecture_Mumbai_-_Radhanath_Swami_2001-06-17_IDesireTree.mp3", "2001-027_Lord_Caitanya_And_Rath_Yatra_Lecture_Mumbai_-_Radhanath_Swami_2001-06-17_IDesireTree.mp3")</f>
        <v>2001-027_Lord_Caitanya_And_Rath_Yatra_Lecture_Mumbai_-_Radhanath_Swami_2001-06-17_IDesireTree.mp3</v>
      </c>
      <c r="D1647" s="24"/>
      <c r="E1647" s="24"/>
    </row>
    <row r="1648">
      <c r="A1648" s="25" t="s">
        <v>18352</v>
      </c>
      <c r="B1648" s="25" t="s">
        <v>18365</v>
      </c>
      <c r="C1648" s="26" t="str">
        <f>HYPERLINK("https://audio.iskcondesiretree.com/02_-_ISKCON_Swamis/ISKCON_Swamis_-_R_to_Y/His_Holiness_Radhanath_Swami/Lectures/00_-_Year_wise/Devotional_Nectar_-_2001/2001-028_Wonderful_Lila_Of_Lord_Krishna_SB-04_05_13-21_Mumbai_-_07-07_-2001_IDesireTree.mp3", "2001-028_Wonderful_Lila_Of_Lord_Krishna_SB-04_05_13-21_Mumbai_-_07-07_-2001_IDesireTree.mp3")</f>
        <v>2001-028_Wonderful_Lila_Of_Lord_Krishna_SB-04_05_13-21_Mumbai_-_07-07_-2001_IDesireTree.mp3</v>
      </c>
      <c r="D1648" s="24"/>
      <c r="E1648" s="24"/>
    </row>
    <row r="1649">
      <c r="A1649" s="25" t="s">
        <v>18352</v>
      </c>
      <c r="B1649" s="25" t="s">
        <v>18365</v>
      </c>
      <c r="C1649" s="26" t="str">
        <f>HYPERLINK("https://audio.iskcondesiretree.com/02_-_ISKCON_Swamis/ISKCON_Swamis_-_R_to_Y/His_Holiness_Radhanath_Swami/Lectures/00_-_Year_wise/Devotional_Nectar_-_2001/2001-029_Become_Loyal_To_Srila_Prabhupad_lecture_Mumbai_-_Radhanath_Swami_2001-07-08_IDesireTree.mp3", "2001-029_Become_Loyal_To_Srila_Prabhupad_lecture_Mumbai_-_Radhanath_Swami_2001-07-08_IDesireTree.mp3")</f>
        <v>2001-029_Become_Loyal_To_Srila_Prabhupad_lecture_Mumbai_-_Radhanath_Swami_2001-07-08_IDesireTree.mp3</v>
      </c>
      <c r="D1649" s="24"/>
      <c r="E1649" s="24"/>
    </row>
    <row r="1650">
      <c r="A1650" s="25" t="s">
        <v>18352</v>
      </c>
      <c r="B1650" s="25" t="s">
        <v>18365</v>
      </c>
      <c r="C1650" s="26" t="str">
        <f>HYPERLINK("https://audio.iskcondesiretree.com/02_-_ISKCON_Swamis/ISKCON_Swamis_-_R_to_Y/His_Holiness_Radhanath_Swami/Lectures/00_-_Year_wise/Devotional_Nectar_-_2001/2001-030_Mental_%26_Spiritual_Health_Challenge_Facing_New_Millenium_Lecture_Mumbai_-_12-07-01_IDesir"&amp;"eTree.mp3", "2001-030_Mental_%26_Spiritual_Health_Challenge_Facing_New_Millenium_Lecture_Mumbai_-_12-07-01_IDesireTree.mp3")</f>
        <v>2001-030_Mental_%26_Spiritual_Health_Challenge_Facing_New_Millenium_Lecture_Mumbai_-_12-07-01_IDesireTree.mp3</v>
      </c>
      <c r="D1650" s="24"/>
      <c r="E1650" s="24"/>
    </row>
    <row r="1651">
      <c r="A1651" s="25" t="s">
        <v>18352</v>
      </c>
      <c r="B1651" s="25" t="s">
        <v>18365</v>
      </c>
      <c r="C1651" s="26" t="str">
        <f>HYPERLINK("https://audio.iskcondesiretree.com/02_-_ISKCON_Swamis/ISKCON_Swamis_-_R_to_Y/His_Holiness_Radhanath_Swami/Lectures/00_-_Year_wise/Devotional_Nectar_-_2001/2001-031_Initiation_Lecture_Mumbai_-_Radhanath_Swami_2001-07-14_IDesireTree.mp3", "2001-031_Initiation_Lecture_Mumbai_-_Radhanath_Swami_2001-07-14_IDesireTree.mp3")</f>
        <v>2001-031_Initiation_Lecture_Mumbai_-_Radhanath_Swami_2001-07-14_IDesireTree.mp3</v>
      </c>
      <c r="D1651" s="24"/>
      <c r="E1651" s="24"/>
    </row>
    <row r="1652">
      <c r="A1652" s="25" t="s">
        <v>18352</v>
      </c>
      <c r="B1652" s="25" t="s">
        <v>18365</v>
      </c>
      <c r="C1652" s="26" t="str">
        <f>HYPERLINK("https://audio.iskcondesiretree.com/02_-_ISKCON_Swamis/ISKCON_Swamis_-_R_to_Y/His_Holiness_Radhanath_Swami/Lectures/00_-_Year_wise/Devotional_Nectar_-_2001/2001-032_Inititation_Lecture_Mumbai_-_Radhanath_Swami_2001-07-15_IDesireTree.mp3", "2001-032_Inititation_Lecture_Mumbai_-_Radhanath_Swami_2001-07-15_IDesireTree.mp3")</f>
        <v>2001-032_Inititation_Lecture_Mumbai_-_Radhanath_Swami_2001-07-15_IDesireTree.mp3</v>
      </c>
      <c r="D1652" s="24"/>
      <c r="E1652" s="24"/>
    </row>
    <row r="1653">
      <c r="A1653" s="25" t="s">
        <v>18352</v>
      </c>
      <c r="B1653" s="25" t="s">
        <v>18365</v>
      </c>
      <c r="C1653" s="26" t="str">
        <f>HYPERLINK("https://audio.iskcondesiretree.com/02_-_ISKCON_Swamis/ISKCON_Swamis_-_R_to_Y/His_Holiness_Radhanath_Swami/Lectures/00_-_Year_wise/Devotional_Nectar_-_2001/2001-033_Cultivate_Right_Spirit_For_Chanting_Lecture_Mumbai_-_15_07_01_IDesireTree.mp3", "2001-033_Cultivate_Right_Spirit_For_Chanting_Lecture_Mumbai_-_15_07_01_IDesireTree.mp3")</f>
        <v>2001-033_Cultivate_Right_Spirit_For_Chanting_Lecture_Mumbai_-_15_07_01_IDesireTree.mp3</v>
      </c>
      <c r="D1653" s="24"/>
      <c r="E1653" s="24"/>
    </row>
    <row r="1654">
      <c r="A1654" s="25" t="s">
        <v>18352</v>
      </c>
      <c r="B1654" s="25" t="s">
        <v>18365</v>
      </c>
      <c r="C1654" s="26" t="str">
        <f>HYPERLINK("https://audio.iskcondesiretree.com/02_-_ISKCON_Swamis/ISKCON_Swamis_-_R_to_Y/His_Holiness_Radhanath_Swami/Lectures/00_-_Year_wise/Devotional_Nectar_-_2001/2001-034_SB-06_01_44_Moscow_-_Radhanath_Swami_2001-07-30_IDesireTree.mp3", "2001-034_SB-06_01_44_Moscow_-_Radhanath_Swami_2001-07-30_IDesireTree.mp3")</f>
        <v>2001-034_SB-06_01_44_Moscow_-_Radhanath_Swami_2001-07-30_IDesireTree.mp3</v>
      </c>
      <c r="D1654" s="24"/>
      <c r="E1654" s="24"/>
    </row>
    <row r="1655">
      <c r="A1655" s="25" t="s">
        <v>18352</v>
      </c>
      <c r="B1655" s="25" t="s">
        <v>18365</v>
      </c>
      <c r="C1655" s="26" t="str">
        <f>HYPERLINK("https://audio.iskcondesiretree.com/02_-_ISKCON_Swamis/ISKCON_Swamis_-_R_to_Y/His_Holiness_Radhanath_Swami/Lectures/00_-_Year_wise/Devotional_Nectar_-_2001/2001-035_Remember_Srila_Prabhupada_Lecture_Moscow_-_Radhanath_Swami_2001-07-30_IDesireTree.mp3", "2001-035_Remember_Srila_Prabhupada_Lecture_Moscow_-_Radhanath_Swami_2001-07-30_IDesireTree.mp3")</f>
        <v>2001-035_Remember_Srila_Prabhupada_Lecture_Moscow_-_Radhanath_Swami_2001-07-30_IDesireTree.mp3</v>
      </c>
      <c r="D1655" s="24"/>
      <c r="E1655" s="24"/>
    </row>
    <row r="1656">
      <c r="A1656" s="25" t="s">
        <v>18352</v>
      </c>
      <c r="B1656" s="25" t="s">
        <v>18365</v>
      </c>
      <c r="C1656" s="26" t="str">
        <f>HYPERLINK("https://audio.iskcondesiretree.com/02_-_ISKCON_Swamis/ISKCON_Swamis_-_R_to_Y/His_Holiness_Radhanath_Swami/Lectures/00_-_Year_wise/Devotional_Nectar_-_2001/2001-036_Rupa_Goswami_Lecture_Moscow_-_Radhanath_Swami_2001-07-31_IDesireTree.mp3", "2001-036_Rupa_Goswami_Lecture_Moscow_-_Radhanath_Swami_2001-07-31_IDesireTree.mp3")</f>
        <v>2001-036_Rupa_Goswami_Lecture_Moscow_-_Radhanath_Swami_2001-07-31_IDesireTree.mp3</v>
      </c>
      <c r="D1656" s="24"/>
      <c r="E1656" s="24"/>
    </row>
    <row r="1657">
      <c r="A1657" s="25" t="s">
        <v>18352</v>
      </c>
      <c r="B1657" s="25" t="s">
        <v>18365</v>
      </c>
      <c r="C1657" s="26" t="str">
        <f>HYPERLINK("https://audio.iskcondesiretree.com/02_-_ISKCON_Swamis/ISKCON_Swamis_-_R_to_Y/His_Holiness_Radhanath_Swami/Lectures/00_-_Year_wise/Devotional_Nectar_-_2001/2001-037_Rupa_Goswami_Lecture_Moscow_-_Radhanath_Swami_31_IDesireTree.mp3", "2001-037_Rupa_Goswami_Lecture_Moscow_-_Radhanath_Swami_31_IDesireTree.mp3")</f>
        <v>2001-037_Rupa_Goswami_Lecture_Moscow_-_Radhanath_Swami_31_IDesireTree.mp3</v>
      </c>
      <c r="D1657" s="24"/>
      <c r="E1657" s="24"/>
    </row>
    <row r="1658">
      <c r="A1658" s="25" t="s">
        <v>18352</v>
      </c>
      <c r="B1658" s="25" t="s">
        <v>18365</v>
      </c>
      <c r="C1658" s="26" t="str">
        <f>HYPERLINK("https://audio.iskcondesiretree.com/02_-_ISKCON_Swamis/ISKCON_Swamis_-_R_to_Y/His_Holiness_Radhanath_Swami/Lectures/00_-_Year_wise/Devotional_Nectar_-_2001/2001-038_Rupa_Goswami_Lecture_Moscow_-_Radhanath_Swami_2001-08-01_IDesireTree.mp3", "2001-038_Rupa_Goswami_Lecture_Moscow_-_Radhanath_Swami_2001-08-01_IDesireTree.mp3")</f>
        <v>2001-038_Rupa_Goswami_Lecture_Moscow_-_Radhanath_Swami_2001-08-01_IDesireTree.mp3</v>
      </c>
      <c r="D1658" s="24"/>
      <c r="E1658" s="24"/>
    </row>
    <row r="1659">
      <c r="A1659" s="25" t="s">
        <v>18352</v>
      </c>
      <c r="B1659" s="25" t="s">
        <v>18365</v>
      </c>
      <c r="C1659" s="26" t="str">
        <f>HYPERLINK("https://audio.iskcondesiretree.com/02_-_ISKCON_Swamis/ISKCON_Swamis_-_R_to_Y/His_Holiness_Radhanath_Swami/Lectures/00_-_Year_wise/Devotional_Nectar_-_2001/2001-039_Lecture_Mosocw_-_Radhanath_Swami_2001-08-03_IDesireTree.mp3", "2001-039_Lecture_Mosocw_-_Radhanath_Swami_2001-08-03_IDesireTree.mp3")</f>
        <v>2001-039_Lecture_Mosocw_-_Radhanath_Swami_2001-08-03_IDesireTree.mp3</v>
      </c>
      <c r="D1659" s="24"/>
      <c r="E1659" s="24"/>
    </row>
    <row r="1660">
      <c r="A1660" s="25" t="s">
        <v>18352</v>
      </c>
      <c r="B1660" s="25" t="s">
        <v>18365</v>
      </c>
      <c r="C1660" s="26" t="str">
        <f>HYPERLINK("https://audio.iskcondesiretree.com/02_-_ISKCON_Swamis/ISKCON_Swamis_-_R_to_Y/His_Holiness_Radhanath_Swami/Lectures/00_-_Year_wise/Devotional_Nectar_-_2001/2001-040_Saniyas_Initiation_Lecture_Moscow_-_2001-08-04_IDesireTree.mp3", "2001-040_Saniyas_Initiation_Lecture_Moscow_-_2001-08-04_IDesireTree.mp3")</f>
        <v>2001-040_Saniyas_Initiation_Lecture_Moscow_-_2001-08-04_IDesireTree.mp3</v>
      </c>
      <c r="D1660" s="24"/>
      <c r="E1660" s="24"/>
    </row>
    <row r="1661">
      <c r="A1661" s="25" t="s">
        <v>18352</v>
      </c>
      <c r="B1661" s="25" t="s">
        <v>18365</v>
      </c>
      <c r="C1661" s="26" t="str">
        <f>HYPERLINK("https://audio.iskcondesiretree.com/02_-_ISKCON_Swamis/ISKCON_Swamis_-_R_to_Y/His_Holiness_Radhanath_Swami/Lectures/00_-_Year_wise/Devotional_Nectar_-_2001/2001-041_SB-60_01_47_Moscow_-_Radhanath_Swami_2001-08-05_IDesireTree.mp3", "2001-041_SB-60_01_47_Moscow_-_Radhanath_Swami_2001-08-05_IDesireTree.mp3")</f>
        <v>2001-041_SB-60_01_47_Moscow_-_Radhanath_Swami_2001-08-05_IDesireTree.mp3</v>
      </c>
      <c r="D1661" s="24"/>
      <c r="E1661" s="24"/>
    </row>
    <row r="1662">
      <c r="A1662" s="25" t="s">
        <v>18352</v>
      </c>
      <c r="B1662" s="25" t="s">
        <v>18365</v>
      </c>
      <c r="C1662" s="26" t="str">
        <f>HYPERLINK("https://audio.iskcondesiretree.com/02_-_ISKCON_Swamis/ISKCON_Swamis_-_R_to_Y/His_Holiness_Radhanath_Swami/Lectures/00_-_Year_wise/Devotional_Nectar_-_2001/2001-042_Lecture_Kiev_-_Radhanath_Swami_2001-08-06_IDesireTree.mp3", "2001-042_Lecture_Kiev_-_Radhanath_Swami_2001-08-06_IDesireTree.mp3")</f>
        <v>2001-042_Lecture_Kiev_-_Radhanath_Swami_2001-08-06_IDesireTree.mp3</v>
      </c>
      <c r="D1662" s="24"/>
      <c r="E1662" s="24"/>
    </row>
    <row r="1663">
      <c r="A1663" s="25" t="s">
        <v>18352</v>
      </c>
      <c r="B1663" s="25" t="s">
        <v>18365</v>
      </c>
      <c r="C1663" s="26" t="str">
        <f>HYPERLINK("https://audio.iskcondesiretree.com/02_-_ISKCON_Swamis/ISKCON_Swamis_-_R_to_Y/His_Holiness_Radhanath_Swami/Lectures/00_-_Year_wise/Devotional_Nectar_-_2001/2001-043_Lecture_Kiev_-_Radhanath_Swami_2001-08-07_IDesireTree.mp3", "2001-043_Lecture_Kiev_-_Radhanath_Swami_2001-08-07_IDesireTree.mp3")</f>
        <v>2001-043_Lecture_Kiev_-_Radhanath_Swami_2001-08-07_IDesireTree.mp3</v>
      </c>
      <c r="D1663" s="24"/>
      <c r="E1663" s="24"/>
    </row>
    <row r="1664">
      <c r="A1664" s="25" t="s">
        <v>18352</v>
      </c>
      <c r="B1664" s="25" t="s">
        <v>18365</v>
      </c>
      <c r="C1664" s="26" t="str">
        <f>HYPERLINK("https://audio.iskcondesiretree.com/02_-_ISKCON_Swamis/ISKCON_Swamis_-_R_to_Y/His_Holiness_Radhanath_Swami/Lectures/00_-_Year_wise/Devotional_Nectar_-_2001/2001-044_SB-07_09_19_Kiev_-_Radhanath_Swami_2001-08-08_IDesireTree.mp3", "2001-044_SB-07_09_19_Kiev_-_Radhanath_Swami_2001-08-08_IDesireTree.mp3")</f>
        <v>2001-044_SB-07_09_19_Kiev_-_Radhanath_Swami_2001-08-08_IDesireTree.mp3</v>
      </c>
      <c r="D1664" s="24"/>
      <c r="E1664" s="24"/>
    </row>
    <row r="1665">
      <c r="A1665" s="25" t="s">
        <v>18352</v>
      </c>
      <c r="B1665" s="25" t="s">
        <v>18365</v>
      </c>
      <c r="C1665" s="26" t="str">
        <f>HYPERLINK("https://audio.iskcondesiretree.com/02_-_ISKCON_Swamis/ISKCON_Swamis_-_R_to_Y/His_Holiness_Radhanath_Swami/Lectures/00_-_Year_wise/Devotional_Nectar_-_2001/2001-045_Lecture_Kiev_-_Radhanath_Swami_2001-08-08_IDesireTree.mp3", "2001-045_Lecture_Kiev_-_Radhanath_Swami_2001-08-08_IDesireTree.mp3")</f>
        <v>2001-045_Lecture_Kiev_-_Radhanath_Swami_2001-08-08_IDesireTree.mp3</v>
      </c>
      <c r="D1665" s="24"/>
      <c r="E1665" s="24"/>
    </row>
    <row r="1666">
      <c r="A1666" s="25" t="s">
        <v>18352</v>
      </c>
      <c r="B1666" s="25" t="s">
        <v>18365</v>
      </c>
      <c r="C1666" s="26" t="str">
        <f>HYPERLINK("https://audio.iskcondesiretree.com/02_-_ISKCON_Swamis/ISKCON_Swamis_-_R_to_Y/His_Holiness_Radhanath_Swami/Lectures/00_-_Year_wise/Devotional_Nectar_-_2001/2001-046_SB-07_09_20_Kiev_-_Radhanath_Swami_2001-08-09_IDesireTree.mp3", "2001-046_SB-07_09_20_Kiev_-_Radhanath_Swami_2001-08-09_IDesireTree.mp3")</f>
        <v>2001-046_SB-07_09_20_Kiev_-_Radhanath_Swami_2001-08-09_IDesireTree.mp3</v>
      </c>
      <c r="D1666" s="24"/>
      <c r="E1666" s="24"/>
    </row>
    <row r="1667">
      <c r="A1667" s="25" t="s">
        <v>18352</v>
      </c>
      <c r="B1667" s="25" t="s">
        <v>18365</v>
      </c>
      <c r="C1667" s="26" t="str">
        <f>HYPERLINK("https://audio.iskcondesiretree.com/02_-_ISKCON_Swamis/ISKCON_Swamis_-_R_to_Y/His_Holiness_Radhanath_Swami/Lectures/00_-_Year_wise/Devotional_Nectar_-_2001/2001-047_Arrival_Lec_Lecture_Mumbai_-_Radhanath_Swami_2001-10-31_IDesireTree.mp3", "2001-047_Arrival_Lec_Lecture_Mumbai_-_Radhanath_Swami_2001-10-31_IDesireTree.mp3")</f>
        <v>2001-047_Arrival_Lec_Lecture_Mumbai_-_Radhanath_Swami_2001-10-31_IDesireTree.mp3</v>
      </c>
      <c r="D1667" s="24"/>
      <c r="E1667" s="24"/>
    </row>
    <row r="1668">
      <c r="A1668" s="25" t="s">
        <v>18352</v>
      </c>
      <c r="B1668" s="25" t="s">
        <v>18365</v>
      </c>
      <c r="C1668" s="26" t="str">
        <f>HYPERLINK("https://audio.iskcondesiretree.com/02_-_ISKCON_Swamis/ISKCON_Swamis_-_R_to_Y/His_Holiness_Radhanath_Swami/Lectures/00_-_Year_wise/Devotional_Nectar_-_2001/2001-048_Extingushing_The_Fire_Of_Material_Exsistance_Lecture_Mumbai_-_31-10-01_IDesireTree.mp3", "2001-048_Extingushing_The_Fire_Of_Material_Exsistance_Lecture_Mumbai_-_31-10-01_IDesireTree.mp3")</f>
        <v>2001-048_Extingushing_The_Fire_Of_Material_Exsistance_Lecture_Mumbai_-_31-10-01_IDesireTree.mp3</v>
      </c>
      <c r="D1668" s="24"/>
      <c r="E1668" s="24"/>
    </row>
    <row r="1669">
      <c r="A1669" s="25" t="s">
        <v>18352</v>
      </c>
      <c r="B1669" s="25" t="s">
        <v>18365</v>
      </c>
      <c r="C1669" s="26" t="str">
        <f>HYPERLINK("https://audio.iskcondesiretree.com/02_-_ISKCON_Swamis/ISKCON_Swamis_-_R_to_Y/His_Holiness_Radhanath_Swami/Lectures/00_-_Year_wise/Devotional_Nectar_-_2001/2001-049_Advancement_In_Life_Depends_Upon_How_You_Please_Krishna_SB-04_08_34_Mumbai_-_01-11-01_IDesi"&amp;"reTree.mp3", "2001-049_Advancement_In_Life_Depends_Upon_How_You_Please_Krishna_SB-04_08_34_Mumbai_-_01-11-01_IDesireTree.mp3")</f>
        <v>2001-049_Advancement_In_Life_Depends_Upon_How_You_Please_Krishna_SB-04_08_34_Mumbai_-_01-11-01_IDesireTree.mp3</v>
      </c>
      <c r="D1669" s="24"/>
      <c r="E1669" s="24"/>
    </row>
    <row r="1670">
      <c r="A1670" s="25" t="s">
        <v>18352</v>
      </c>
      <c r="B1670" s="25" t="s">
        <v>18365</v>
      </c>
      <c r="C1670" s="26" t="str">
        <f>HYPERLINK("https://audio.iskcondesiretree.com/02_-_ISKCON_Swamis/ISKCON_Swamis_-_R_to_Y/His_Holiness_Radhanath_Swami/Lectures/00_-_Year_wise/Devotional_Nectar_-_2001/2001-050_Meaning_Of_Rasa_Lila_Lecture_Mumbai_-_Radhanath_Swami_2001-11-01_IDesireTree.mp3", "2001-050_Meaning_Of_Rasa_Lila_Lecture_Mumbai_-_Radhanath_Swami_2001-11-01_IDesireTree.mp3")</f>
        <v>2001-050_Meaning_Of_Rasa_Lila_Lecture_Mumbai_-_Radhanath_Swami_2001-11-01_IDesireTree.mp3</v>
      </c>
      <c r="D1670" s="24"/>
      <c r="E1670" s="24"/>
    </row>
    <row r="1671">
      <c r="A1671" s="25" t="s">
        <v>18352</v>
      </c>
      <c r="B1671" s="25" t="s">
        <v>18365</v>
      </c>
      <c r="C1671" s="26" t="str">
        <f>HYPERLINK("https://audio.iskcondesiretree.com/02_-_ISKCON_Swamis/ISKCON_Swamis_-_R_to_Y/His_Holiness_Radhanath_Swami/Lectures/00_-_Year_wise/Devotional_Nectar_-_2001/2001-051_Importance_Of_Training_%26_Discipline_SB-04_08_36_Mumbai_-_03-11-01_IDesireTree.mp3", "2001-051_Importance_Of_Training_%26_Discipline_SB-04_08_36_Mumbai_-_03-11-01_IDesireTree.mp3")</f>
        <v>2001-051_Importance_Of_Training_%26_Discipline_SB-04_08_36_Mumbai_-_03-11-01_IDesireTree.mp3</v>
      </c>
      <c r="D1671" s="24"/>
      <c r="E1671" s="24"/>
    </row>
    <row r="1672">
      <c r="A1672" s="25" t="s">
        <v>18352</v>
      </c>
      <c r="B1672" s="25" t="s">
        <v>18365</v>
      </c>
      <c r="C1672" s="26" t="str">
        <f>HYPERLINK("https://audio.iskcondesiretree.com/02_-_ISKCON_Swamis/ISKCON_Swamis_-_R_to_Y/His_Holiness_Radhanath_Swami/Lectures/00_-_Year_wise/Devotional_Nectar_-_2001/2001-052_Damodar_Lila_Of_Krsna_Lecture_London_-_Radhanath_Swami_2001-11-04_IDesireTree.mp3", "2001-052_Damodar_Lila_Of_Krsna_Lecture_London_-_Radhanath_Swami_2001-11-04_IDesireTree.mp3")</f>
        <v>2001-052_Damodar_Lila_Of_Krsna_Lecture_London_-_Radhanath_Swami_2001-11-04_IDesireTree.mp3</v>
      </c>
      <c r="D1672" s="24"/>
      <c r="E1672" s="24"/>
    </row>
    <row r="1673">
      <c r="A1673" s="25" t="s">
        <v>18352</v>
      </c>
      <c r="B1673" s="25" t="s">
        <v>18365</v>
      </c>
      <c r="C1673" s="26" t="str">
        <f>HYPERLINK("https://audio.iskcondesiretree.com/02_-_ISKCON_Swamis/ISKCON_Swamis_-_R_to_Y/His_Holiness_Radhanath_Swami/Lectures/00_-_Year_wise/Devotional_Nectar_-_2001/2001-053_Drama_Realisation_Lec_Lecture_Mumbai_-_Radhanath_Swami_2001-12-01_IDesireTree.mp3", "2001-053_Drama_Realisation_Lec_Lecture_Mumbai_-_Radhanath_Swami_2001-12-01_IDesireTree.mp3")</f>
        <v>2001-053_Drama_Realisation_Lec_Lecture_Mumbai_-_Radhanath_Swami_2001-12-01_IDesireTree.mp3</v>
      </c>
      <c r="D1673" s="24"/>
      <c r="E1673" s="24"/>
    </row>
    <row r="1674">
      <c r="A1674" s="25" t="s">
        <v>18352</v>
      </c>
      <c r="B1674" s="25" t="s">
        <v>18365</v>
      </c>
      <c r="C1674" s="26" t="str">
        <f>HYPERLINK("https://audio.iskcondesiretree.com/02_-_ISKCON_Swamis/ISKCON_Swamis_-_R_to_Y/His_Holiness_Radhanath_Swami/Lectures/00_-_Year_wise/Devotional_Nectar_-_2001/2001-054_Memories_Of_George_Harrison_Lecture_Mumbai_-_Radhanath_Swami_2001-12-02_IDesireTree.mp3", "2001-054_Memories_Of_George_Harrison_Lecture_Mumbai_-_Radhanath_Swami_2001-12-02_IDesireTree.mp3")</f>
        <v>2001-054_Memories_Of_George_Harrison_Lecture_Mumbai_-_Radhanath_Swami_2001-12-02_IDesireTree.mp3</v>
      </c>
      <c r="D1674" s="24"/>
      <c r="E1674" s="24"/>
    </row>
    <row r="1675">
      <c r="A1675" s="25" t="s">
        <v>18352</v>
      </c>
      <c r="B1675" s="25" t="s">
        <v>18365</v>
      </c>
      <c r="C1675" s="26" t="str">
        <f>HYPERLINK("https://audio.iskcondesiretree.com/02_-_ISKCON_Swamis/ISKCON_Swamis_-_R_to_Y/His_Holiness_Radhanath_Swami/Lectures/00_-_Year_wise/Devotional_Nectar_-_2001/2001-055_Real_Fortune_Is_Bhakti_Lecture_Mumbai_-_Radhanath_Swami_2001-12-07_IDesireTree.mp3", "2001-055_Real_Fortune_Is_Bhakti_Lecture_Mumbai_-_Radhanath_Swami_2001-12-07_IDesireTree.mp3")</f>
        <v>2001-055_Real_Fortune_Is_Bhakti_Lecture_Mumbai_-_Radhanath_Swami_2001-12-07_IDesireTree.mp3</v>
      </c>
      <c r="D1675" s="24"/>
      <c r="E1675" s="24"/>
    </row>
    <row r="1676">
      <c r="A1676" s="25" t="s">
        <v>18352</v>
      </c>
      <c r="B1676" s="25" t="s">
        <v>18365</v>
      </c>
      <c r="C1676" s="26" t="str">
        <f>HYPERLINK("https://audio.iskcondesiretree.com/02_-_ISKCON_Swamis/ISKCON_Swamis_-_R_to_Y/His_Holiness_Radhanath_Swami/Lectures/00_-_Year_wise/Devotional_Nectar_-_2001/2001-056_The_Desperate_Need_To_Take_Shelter_Of_Krsna_SB-04_08_79_Mumbai_-_08-12-01_IDesireTree.mp3", "2001-056_The_Desperate_Need_To_Take_Shelter_Of_Krsna_SB-04_08_79_Mumbai_-_08-12-01_IDesireTree.mp3")</f>
        <v>2001-056_The_Desperate_Need_To_Take_Shelter_Of_Krsna_SB-04_08_79_Mumbai_-_08-12-01_IDesireTree.mp3</v>
      </c>
      <c r="D1676" s="24"/>
      <c r="E1676" s="24"/>
    </row>
    <row r="1677">
      <c r="A1677" s="25" t="s">
        <v>18352</v>
      </c>
      <c r="B1677" s="25" t="s">
        <v>18365</v>
      </c>
      <c r="C1677" s="26" t="str">
        <f>HYPERLINK("https://audio.iskcondesiretree.com/02_-_ISKCON_Swamis/ISKCON_Swamis_-_R_to_Y/His_Holiness_Radhanath_Swami/Lectures/00_-_Year_wise/Devotional_Nectar_-_2001/2001-057_Krsna_Empowering_His_Devotee_In_A_Wonderful_Way_SB-04_08_80_Mumbai_-_09-12-01_IDesireTree.m"&amp;"p3", "2001-057_Krsna_Empowering_His_Devotee_In_A_Wonderful_Way_SB-04_08_80_Mumbai_-_09-12-01_IDesireTree.mp3")</f>
        <v>2001-057_Krsna_Empowering_His_Devotee_In_A_Wonderful_Way_SB-04_08_80_Mumbai_-_09-12-01_IDesireTree.mp3</v>
      </c>
      <c r="D1677" s="24"/>
      <c r="E1677" s="24"/>
    </row>
    <row r="1678">
      <c r="A1678" s="25" t="s">
        <v>18352</v>
      </c>
      <c r="B1678" s="25" t="s">
        <v>18365</v>
      </c>
      <c r="C1678" s="26" t="str">
        <f>HYPERLINK("https://audio.iskcondesiretree.com/02_-_ISKCON_Swamis/ISKCON_Swamis_-_R_to_Y/His_Holiness_Radhanath_Swami/Lectures/00_-_Year_wise/Devotional_Nectar_-_2001/2001-058_Real_Opulance_Is_Association_Of_Devotees_BG-01_08_Mumbai_-_09-12-01_IDesireTree.mp3", "2001-058_Real_Opulance_Is_Association_Of_Devotees_BG-01_08_Mumbai_-_09-12-01_IDesireTree.mp3")</f>
        <v>2001-058_Real_Opulance_Is_Association_Of_Devotees_BG-01_08_Mumbai_-_09-12-01_IDesireTree.mp3</v>
      </c>
      <c r="D1678" s="24"/>
      <c r="E1678" s="24"/>
    </row>
    <row r="1679">
      <c r="A1679" s="25" t="s">
        <v>18352</v>
      </c>
      <c r="B1679" s="25" t="s">
        <v>18365</v>
      </c>
      <c r="C1679" s="26" t="str">
        <f>HYPERLINK("https://audio.iskcondesiretree.com/02_-_ISKCON_Swamis/ISKCON_Swamis_-_R_to_Y/His_Holiness_Radhanath_Swami/Lectures/00_-_Year_wise/Devotional_Nectar_-_2001/2001-059_Vyas_Puja_Add_Lecture_Mumbai_-_Radhanath_Swami_2001-12-131_IDesireTree.mp3", "2001-059_Vyas_Puja_Add_Lecture_Mumbai_-_Radhanath_Swami_2001-12-131_IDesireTree.mp3")</f>
        <v>2001-059_Vyas_Puja_Add_Lecture_Mumbai_-_Radhanath_Swami_2001-12-131_IDesireTree.mp3</v>
      </c>
      <c r="D1679" s="24"/>
      <c r="E1679" s="24"/>
    </row>
    <row r="1680">
      <c r="A1680" s="25" t="s">
        <v>18352</v>
      </c>
      <c r="B1680" s="25" t="s">
        <v>18365</v>
      </c>
      <c r="C1680" s="26" t="str">
        <f>HYPERLINK("https://audio.iskcondesiretree.com/02_-_ISKCON_Swamis/ISKCON_Swamis_-_R_to_Y/His_Holiness_Radhanath_Swami/Lectures/00_-_Year_wise/Devotional_Nectar_-_2001/2001-06-16_Various_-_Devotee_care_system_for_the_UK-01_-_Radhanath_Swami_London.mp3", "2001-06-16_Various_-_Devotee_care_system_for_the_UK-01_-_Radhanath_Swami_London.mp3")</f>
        <v>2001-06-16_Various_-_Devotee_care_system_for_the_UK-01_-_Radhanath_Swami_London.mp3</v>
      </c>
      <c r="D1680" s="24"/>
      <c r="E1680" s="24"/>
    </row>
    <row r="1681">
      <c r="A1681" s="25" t="s">
        <v>18352</v>
      </c>
      <c r="B1681" s="25" t="s">
        <v>18365</v>
      </c>
      <c r="C1681" s="26" t="str">
        <f>HYPERLINK("https://audio.iskcondesiretree.com/02_-_ISKCON_Swamis/ISKCON_Swamis_-_R_to_Y/His_Holiness_Radhanath_Swami/Lectures/00_-_Year_wise/Devotional_Nectar_-_2001/2001-06-16_Various_-_Devotee_care_system_for_the_UK-02_-_Radhanath_Swami_London.mp3", "2001-06-16_Various_-_Devotee_care_system_for_the_UK-02_-_Radhanath_Swami_London.mp3")</f>
        <v>2001-06-16_Various_-_Devotee_care_system_for_the_UK-02_-_Radhanath_Swami_London.mp3</v>
      </c>
      <c r="D1681" s="24"/>
      <c r="E1681" s="24"/>
    </row>
    <row r="1682">
      <c r="A1682" s="25" t="s">
        <v>18352</v>
      </c>
      <c r="B1682" s="25" t="s">
        <v>18365</v>
      </c>
      <c r="C1682" s="26" t="str">
        <f>HYPERLINK("https://audio.iskcondesiretree.com/02_-_ISKCON_Swamis/ISKCON_Swamis_-_R_to_Y/His_Holiness_Radhanath_Swami/Lectures/00_-_Year_wise/Devotional_Nectar_-_2001/2001-060_Seeing_Krishna_Through_Faith_SB-04_09_02_-_Radhanath_Swami_2001-12-15_IDesireTree.mp3", "2001-060_Seeing_Krishna_Through_Faith_SB-04_09_02_-_Radhanath_Swami_2001-12-15_IDesireTree.mp3")</f>
        <v>2001-060_Seeing_Krishna_Through_Faith_SB-04_09_02_-_Radhanath_Swami_2001-12-15_IDesireTree.mp3</v>
      </c>
      <c r="D1682" s="24"/>
      <c r="E1682" s="24"/>
    </row>
    <row r="1683">
      <c r="A1683" s="25" t="s">
        <v>18352</v>
      </c>
      <c r="B1683" s="25" t="s">
        <v>18365</v>
      </c>
      <c r="C1683" s="26" t="str">
        <f>HYPERLINK("https://audio.iskcondesiretree.com/02_-_ISKCON_Swamis/ISKCON_Swamis_-_R_to_Y/His_Holiness_Radhanath_Swami/Lectures/00_-_Year_wise/Devotional_Nectar_-_2001/2001-061_Ecstacy_Through_Spiritualised_Senses_SB-04_09_03_Mumbai_-_16-12-01_IDesireTree.mp3", "2001-061_Ecstacy_Through_Spiritualised_Senses_SB-04_09_03_Mumbai_-_16-12-01_IDesireTree.mp3")</f>
        <v>2001-061_Ecstacy_Through_Spiritualised_Senses_SB-04_09_03_Mumbai_-_16-12-01_IDesireTree.mp3</v>
      </c>
      <c r="D1683" s="24"/>
      <c r="E1683" s="24"/>
    </row>
    <row r="1684">
      <c r="A1684" s="25" t="s">
        <v>18352</v>
      </c>
      <c r="B1684" s="25" t="s">
        <v>18365</v>
      </c>
      <c r="C1684" s="26" t="str">
        <f>HYPERLINK("https://audio.iskcondesiretree.com/02_-_ISKCON_Swamis/ISKCON_Swamis_-_R_to_Y/His_Holiness_Radhanath_Swami/Lectures/00_-_Year_wise/Devotional_Nectar_-_2001/2001-062_Killing_The_Serpent_Of_Impersonalism_Lecture_Mumbai_-_16-12-01_IDesireTree.mp3", "2001-062_Killing_The_Serpent_Of_Impersonalism_Lecture_Mumbai_-_16-12-01_IDesireTree.mp3")</f>
        <v>2001-062_Killing_The_Serpent_Of_Impersonalism_Lecture_Mumbai_-_16-12-01_IDesireTree.mp3</v>
      </c>
      <c r="D1684" s="24"/>
      <c r="E1684" s="24"/>
    </row>
    <row r="1685">
      <c r="A1685" s="25" t="s">
        <v>18352</v>
      </c>
      <c r="B1685" s="25" t="s">
        <v>18365</v>
      </c>
      <c r="C1685" s="26" t="str">
        <f>HYPERLINK("https://audio.iskcondesiretree.com/02_-_ISKCON_Swamis/ISKCON_Swamis_-_R_to_Y/His_Holiness_Radhanath_Swami/Lectures/00_-_Year_wise/Devotional_Nectar_-_2001/2001-063_Value_Of_Association_Of_Devotees_SB-01_18_13_Mumbai_-_20-12-01_IDesireTree.mp3", "2001-063_Value_Of_Association_Of_Devotees_SB-01_18_13_Mumbai_-_20-12-01_IDesireTree.mp3")</f>
        <v>2001-063_Value_Of_Association_Of_Devotees_SB-01_18_13_Mumbai_-_20-12-01_IDesireTree.mp3</v>
      </c>
      <c r="D1685" s="24"/>
      <c r="E1685" s="24"/>
    </row>
    <row r="1686">
      <c r="A1686" s="25" t="s">
        <v>18352</v>
      </c>
      <c r="B1686" s="25" t="s">
        <v>18365</v>
      </c>
      <c r="C1686" s="26" t="str">
        <f>HYPERLINK("https://audio.iskcondesiretree.com/02_-_ISKCON_Swamis/ISKCON_Swamis_-_R_to_Y/His_Holiness_Radhanath_Swami/Lectures/00_-_Year_wise/Devotional_Nectar_-_2001/2001-064_Make_Your_Desire_One_With_Krsna_SB_Class_Mumbai_-_22-12-01_IDesireTree.mp3", "2001-064_Make_Your_Desire_One_With_Krsna_SB_Class_Mumbai_-_22-12-01_IDesireTree.mp3")</f>
        <v>2001-064_Make_Your_Desire_One_With_Krsna_SB_Class_Mumbai_-_22-12-01_IDesireTree.mp3</v>
      </c>
      <c r="D1686" s="24"/>
      <c r="E1686" s="24"/>
    </row>
    <row r="1687">
      <c r="A1687" s="25" t="s">
        <v>18352</v>
      </c>
      <c r="B1687" s="25" t="s">
        <v>18365</v>
      </c>
      <c r="C1687" s="26" t="str">
        <f>HYPERLINK("https://audio.iskcondesiretree.com/02_-_ISKCON_Swamis/ISKCON_Swamis_-_R_to_Y/His_Holiness_Radhanath_Swami/Lectures/00_-_Year_wise/Devotional_Nectar_-_2001/2001-065_Worshippping_the_Lord_For_Material_Benifits_Is_Folishness_SB-04_09_09_Mumbai_-_23-12-01_IDe"&amp;"sireTree.mp3", "2001-065_Worshippping_the_Lord_For_Material_Benifits_Is_Folishness_SB-04_09_09_Mumbai_-_23-12-01_IDesireTree.mp3")</f>
        <v>2001-065_Worshippping_the_Lord_For_Material_Benifits_Is_Folishness_SB-04_09_09_Mumbai_-_23-12-01_IDesireTree.mp3</v>
      </c>
      <c r="D1687" s="24"/>
      <c r="E1687" s="24"/>
    </row>
    <row r="1688">
      <c r="A1688" s="25" t="s">
        <v>18352</v>
      </c>
      <c r="B1688" s="25" t="s">
        <v>18365</v>
      </c>
      <c r="C1688" s="26" t="str">
        <f>HYPERLINK("https://audio.iskcondesiretree.com/02_-_ISKCON_Swamis/ISKCON_Swamis_-_R_to_Y/His_Holiness_Radhanath_Swami/Lectures/00_-_Year_wise/Devotional_Nectar_-_2001/2001-066_Thakur_Bhaktivinod_Teaches_The_Process_Of_Devotional_Service_Lecture_Mumbai_-_23-12-01_IDes"&amp;"ireTree.mp3", "2001-066_Thakur_Bhaktivinod_Teaches_The_Process_Of_Devotional_Service_Lecture_Mumbai_-_23-12-01_IDesireTree.mp3")</f>
        <v>2001-066_Thakur_Bhaktivinod_Teaches_The_Process_Of_Devotional_Service_Lecture_Mumbai_-_23-12-01_IDesireTree.mp3</v>
      </c>
      <c r="D1688" s="24"/>
      <c r="E1688" s="24"/>
    </row>
    <row r="1689">
      <c r="A1689" s="25" t="s">
        <v>18352</v>
      </c>
      <c r="B1689" s="25" t="s">
        <v>18365</v>
      </c>
      <c r="C1689" s="26" t="str">
        <f>HYPERLINK("https://audio.iskcondesiretree.com/02_-_ISKCON_Swamis/ISKCON_Swamis_-_R_to_Y/His_Holiness_Radhanath_Swami/Lectures/00_-_Year_wise/Devotional_Nectar_-_2001/2001-067_Power_Of_The_Mercy_Of_The_Holy_Name_SB-01_18_19_Mumbai_-_27-12-01_IDesireTree.mp3", "2001-067_Power_Of_The_Mercy_Of_The_Holy_Name_SB-01_18_19_Mumbai_-_27-12-01_IDesireTree.mp3")</f>
        <v>2001-067_Power_Of_The_Mercy_Of_The_Holy_Name_SB-01_18_19_Mumbai_-_27-12-01_IDesireTree.mp3</v>
      </c>
      <c r="D1689" s="24"/>
      <c r="E1689" s="24"/>
    </row>
    <row r="1690">
      <c r="A1690" s="25" t="s">
        <v>18352</v>
      </c>
      <c r="B1690" s="25" t="s">
        <v>18365</v>
      </c>
      <c r="C1690" s="26" t="str">
        <f>HYPERLINK("https://audio.iskcondesiretree.com/02_-_ISKCON_Swamis/ISKCON_Swamis_-_R_to_Y/His_Holiness_Radhanath_Swami/Lectures/00_-_Year_wise/Devotional_Nectar_-_2001/2001-068_Knowledge_%26_Realisation_By_The_Grace_Of_Lord_SB-04_09_14_Mumbai_-_29-12-01_IDesireTree.mp"&amp;"3", "2001-068_Knowledge_%26_Realisation_By_The_Grace_Of_Lord_SB-04_09_14_Mumbai_-_29-12-01_IDesireTree.mp3")</f>
        <v>2001-068_Knowledge_%26_Realisation_By_The_Grace_Of_Lord_SB-04_09_14_Mumbai_-_29-12-01_IDesireTree.mp3</v>
      </c>
      <c r="D1690" s="24"/>
      <c r="E1690" s="24"/>
    </row>
    <row r="1691">
      <c r="A1691" s="25" t="s">
        <v>18352</v>
      </c>
      <c r="B1691" s="25" t="s">
        <v>18365</v>
      </c>
      <c r="C1691" s="26" t="str">
        <f>HYPERLINK("https://audio.iskcondesiretree.com/02_-_ISKCON_Swamis/ISKCON_Swamis_-_R_to_Y/His_Holiness_Radhanath_Swami/Lectures/00_-_Year_wise/Devotional_Nectar_-_2001/2001-069_Book_Distribution_Nectar_Lecture_Mumbai_-_Radhanath_Swami_2001-12-29_IDesireTree.mp3", "2001-069_Book_Distribution_Nectar_Lecture_Mumbai_-_Radhanath_Swami_2001-12-29_IDesireTree.mp3")</f>
        <v>2001-069_Book_Distribution_Nectar_Lecture_Mumbai_-_Radhanath_Swami_2001-12-29_IDesireTree.mp3</v>
      </c>
      <c r="D1691" s="24"/>
      <c r="E1691" s="24"/>
    </row>
    <row r="1692">
      <c r="A1692" s="25" t="s">
        <v>18352</v>
      </c>
      <c r="B1692" s="25" t="s">
        <v>18365</v>
      </c>
      <c r="C1692" s="26" t="str">
        <f>HYPERLINK("https://audio.iskcondesiretree.com/02_-_ISKCON_Swamis/ISKCON_Swamis_-_R_to_Y/His_Holiness_Radhanath_Swami/Lectures/00_-_Year_wise/Devotional_Nectar_-_2001/2001-070_Supreme_Greatness_Of_Krsna_%26_Insignificant_Jivas_SB-04_09_15_Mumbai_-_30-12-01_IDesireTre"&amp;"e.mp3", "2001-070_Supreme_Greatness_Of_Krsna_%26_Insignificant_Jivas_SB-04_09_15_Mumbai_-_30-12-01_IDesireTree.mp3")</f>
        <v>2001-070_Supreme_Greatness_Of_Krsna_%26_Insignificant_Jivas_SB-04_09_15_Mumbai_-_30-12-01_IDesireTree.mp3</v>
      </c>
      <c r="D1692" s="24"/>
      <c r="E1692" s="24"/>
    </row>
    <row r="1693">
      <c r="A1693" s="25" t="s">
        <v>18352</v>
      </c>
      <c r="B1693" s="25" t="s">
        <v>18365</v>
      </c>
      <c r="C1693" s="26" t="str">
        <f>HYPERLINK("https://audio.iskcondesiretree.com/02_-_ISKCON_Swamis/ISKCON_Swamis_-_R_to_Y/His_Holiness_Radhanath_Swami/Lectures/00_-_Year_wise/Devotional_Nectar_-_2001/2001-071_Overcoming_Sankachuda_Lecture_Mumbai_-_Radhanath_Swami_2001-12-30_IDesireTree.mp3", "2001-071_Overcoming_Sankachuda_Lecture_Mumbai_-_Radhanath_Swami_2001-12-30_IDesireTree.mp3")</f>
        <v>2001-071_Overcoming_Sankachuda_Lecture_Mumbai_-_Radhanath_Swami_2001-12-30_IDesireTree.mp3</v>
      </c>
      <c r="D1693" s="24"/>
      <c r="E1693" s="24"/>
    </row>
    <row r="1694">
      <c r="A1694" s="25" t="s">
        <v>18352</v>
      </c>
      <c r="B1694" s="25" t="s">
        <v>18365</v>
      </c>
      <c r="C1694" s="26" t="str">
        <f>HYPERLINK("https://audio.iskcondesiretree.com/02_-_ISKCON_Swamis/ISKCON_Swamis_-_R_to_Y/His_Holiness_Radhanath_Swami/Lectures/00_-_Year_wise/Devotional_Nectar_-_2001/2001-072_Getting_Purified_On_New_Years_Eve_Lecture_Mumbai_-_31-12-01_IDesireTree.mp3", "2001-072_Getting_Purified_On_New_Years_Eve_Lecture_Mumbai_-_31-12-01_IDesireTree.mp3")</f>
        <v>2001-072_Getting_Purified_On_New_Years_Eve_Lecture_Mumbai_-_31-12-01_IDesireTree.mp3</v>
      </c>
      <c r="D1694" s="24"/>
      <c r="E1694" s="24"/>
    </row>
    <row r="1695">
      <c r="A1695" s="25" t="s">
        <v>18352</v>
      </c>
      <c r="B1695" s="25" t="s">
        <v>18365</v>
      </c>
      <c r="C1695" s="26" t="str">
        <f>HYPERLINK("https://audio.iskcondesiretree.com/02_-_ISKCON_Swamis/ISKCON_Swamis_-_R_to_Y/His_Holiness_Radhanath_Swami/Lectures/00_-_Year_wise/Devotional_Nectar_-_2001/2001-08-03_Various_-_Developing_the_Consciousness_of_Family_Spirit_-_Radhanath_Swami_Moscow.mp3", "2001-08-03_Various_-_Developing_the_Consciousness_of_Family_Spirit_-_Radhanath_Swami_Moscow.mp3")</f>
        <v>2001-08-03_Various_-_Developing_the_Consciousness_of_Family_Spirit_-_Radhanath_Swami_Moscow.mp3</v>
      </c>
      <c r="D1695" s="24"/>
      <c r="E1695" s="24"/>
    </row>
    <row r="1696">
      <c r="A1696" s="25" t="s">
        <v>18352</v>
      </c>
      <c r="B1696" s="25" t="s">
        <v>18365</v>
      </c>
      <c r="C1696" s="26" t="str">
        <f>HYPERLINK("https://audio.iskcondesiretree.com/02_-_ISKCON_Swamis/ISKCON_Swamis_-_R_to_Y/His_Holiness_Radhanath_Swami/Lectures/00_-_Year_wise/Devotional_Nectar_-_2001/2001-08-10_Various_-_Devotees_are_the_Goldest_Assets-01_-_Radhanath_Swami_New_Vraj_Dham.mp3", "2001-08-10_Various_-_Devotees_are_the_Goldest_Assets-01_-_Radhanath_Swami_New_Vraj_Dham.mp3")</f>
        <v>2001-08-10_Various_-_Devotees_are_the_Goldest_Assets-01_-_Radhanath_Swami_New_Vraj_Dham.mp3</v>
      </c>
      <c r="D1696" s="24"/>
      <c r="E1696" s="24"/>
    </row>
    <row r="1697">
      <c r="A1697" s="25" t="s">
        <v>18352</v>
      </c>
      <c r="B1697" s="25" t="s">
        <v>18365</v>
      </c>
      <c r="C1697" s="26" t="str">
        <f>HYPERLINK("https://audio.iskcondesiretree.com/02_-_ISKCON_Swamis/ISKCON_Swamis_-_R_to_Y/His_Holiness_Radhanath_Swami/Lectures/00_-_Year_wise/Devotional_Nectar_-_2001/2001-08-10_Various_-_Devotees_are_the_Goldest_Assets-02_-_Radhanath_Swami_New_Vraj_Dham.mp3", "2001-08-10_Various_-_Devotees_are_the_Goldest_Assets-02_-_Radhanath_Swami_New_Vraj_Dham.mp3")</f>
        <v>2001-08-10_Various_-_Devotees_are_the_Goldest_Assets-02_-_Radhanath_Swami_New_Vraj_Dham.mp3</v>
      </c>
      <c r="D1697" s="24"/>
      <c r="E1697" s="24"/>
    </row>
    <row r="1698">
      <c r="A1698" s="25" t="s">
        <v>18352</v>
      </c>
      <c r="B1698" s="25" t="s">
        <v>18365</v>
      </c>
      <c r="C1698" s="26" t="str">
        <f>HYPERLINK("https://audio.iskcondesiretree.com/02_-_ISKCON_Swamis/ISKCON_Swamis_-_R_to_Y/His_Holiness_Radhanath_Swami/Lectures/00_-_Year_wise/Devotional_Nectar_-_2001/2001-08-25_SB_04-30-08_-_Developing_Proper_Relationship_Amongst_Devotees_-_Radhanath_Swami_Italy.mp3", "2001-08-25_SB_04-30-08_-_Developing_Proper_Relationship_Amongst_Devotees_-_Radhanath_Swami_Italy.mp3")</f>
        <v>2001-08-25_SB_04-30-08_-_Developing_Proper_Relationship_Amongst_Devotees_-_Radhanath_Swami_Italy.mp3</v>
      </c>
      <c r="D1698" s="24"/>
      <c r="E1698" s="24"/>
    </row>
    <row r="1699">
      <c r="A1699" s="25" t="s">
        <v>18352</v>
      </c>
      <c r="B1699" s="25" t="s">
        <v>18366</v>
      </c>
      <c r="C1699" s="26" t="str">
        <f>HYPERLINK("https://audio.iskcondesiretree.com/02_-_ISKCON_Swamis/ISKCON_Swamis_-_R_to_Y/His_Holiness_Radhanath_Swami/Lectures/00_-_Year_wise/Devotional_Nectar_-_2002/2002-001_Srila_Bhaktisiddhanta_Saraswati_Disapp_-_Radhanath_Swami_IDesireTree.mp3", "2002-001_Srila_Bhaktisiddhanta_Saraswati_Disapp_-_Radhanath_Swami_IDesireTree.mp3")</f>
        <v>2002-001_Srila_Bhaktisiddhanta_Saraswati_Disapp_-_Radhanath_Swami_IDesireTree.mp3</v>
      </c>
      <c r="D1699" s="24"/>
      <c r="E1699" s="24"/>
    </row>
    <row r="1700">
      <c r="A1700" s="25" t="s">
        <v>18352</v>
      </c>
      <c r="B1700" s="25" t="s">
        <v>18366</v>
      </c>
      <c r="C1700" s="26" t="str">
        <f>HYPERLINK("https://audio.iskcondesiretree.com/02_-_ISKCON_Swamis/ISKCON_Swamis_-_R_to_Y/His_Holiness_Radhanath_Swami/Lectures/00_-_Year_wise/Devotional_Nectar_-_2002/2002-002_Sweet_Memories_of_George_Harrison_SB-01_18_26_Mumbai_-_03-01-02_IDesireTree.mp3", "2002-002_Sweet_Memories_of_George_Harrison_SB-01_18_26_Mumbai_-_03-01-02_IDesireTree.mp3")</f>
        <v>2002-002_Sweet_Memories_of_George_Harrison_SB-01_18_26_Mumbai_-_03-01-02_IDesireTree.mp3</v>
      </c>
      <c r="D1700" s="24"/>
      <c r="E1700" s="24"/>
    </row>
    <row r="1701">
      <c r="A1701" s="25" t="s">
        <v>18352</v>
      </c>
      <c r="B1701" s="25" t="s">
        <v>18366</v>
      </c>
      <c r="C1701" s="26" t="str">
        <f>HYPERLINK("https://audio.iskcondesiretree.com/02_-_ISKCON_Swamis/ISKCON_Swamis_-_R_to_Y/His_Holiness_Radhanath_Swami/Lectures/00_-_Year_wise/Devotional_Nectar_-_2002/2002-004_Lord_Caitanya_%26_Rath_Yatra_Lecture_Mumbai_-_Radhanath_Swami_2002-01-05_IDesireTree.mp3", "2002-004_Lord_Caitanya_%26_Rath_Yatra_Lecture_Mumbai_-_Radhanath_Swami_2002-01-05_IDesireTree.mp3")</f>
        <v>2002-004_Lord_Caitanya_%26_Rath_Yatra_Lecture_Mumbai_-_Radhanath_Swami_2002-01-05_IDesireTree.mp3</v>
      </c>
      <c r="D1701" s="24"/>
      <c r="E1701" s="24"/>
    </row>
    <row r="1702">
      <c r="A1702" s="25" t="s">
        <v>18352</v>
      </c>
      <c r="B1702" s="25" t="s">
        <v>18366</v>
      </c>
      <c r="C1702" s="26" t="str">
        <f>HYPERLINK("https://audio.iskcondesiretree.com/02_-_ISKCON_Swamis/ISKCON_Swamis_-_R_to_Y/His_Holiness_Radhanath_Swami/Lectures/00_-_Year_wise/Devotional_Nectar_-_2002/2002-005_Lord_Caitanya_Celebrating_Rath_Yatra_CC_Mumbai_-_Radhanath_Swami_2002-01-05_IDesireTree.mp3", "2002-005_Lord_Caitanya_Celebrating_Rath_Yatra_CC_Mumbai_-_Radhanath_Swami_2002-01-05_IDesireTree.mp3")</f>
        <v>2002-005_Lord_Caitanya_Celebrating_Rath_Yatra_CC_Mumbai_-_Radhanath_Swami_2002-01-05_IDesireTree.mp3</v>
      </c>
      <c r="D1702" s="24"/>
      <c r="E1702" s="24"/>
    </row>
    <row r="1703">
      <c r="A1703" s="25" t="s">
        <v>18352</v>
      </c>
      <c r="B1703" s="25" t="s">
        <v>18366</v>
      </c>
      <c r="C1703" s="26" t="str">
        <f>HYPERLINK("https://audio.iskcondesiretree.com/02_-_ISKCON_Swamis/ISKCON_Swamis_-_R_to_Y/His_Holiness_Radhanath_Swami/Lectures/00_-_Year_wise/Devotional_Nectar_-_2002/2002-006_Nature_of_spiritual_Anxiety_SB_04_09_22_Mumbai_-_Radhanath_Swami_2002-01-06_IDesireTree.mp3", "2002-006_Nature_of_spiritual_Anxiety_SB_04_09_22_Mumbai_-_Radhanath_Swami_2002-01-06_IDesireTree.mp3")</f>
        <v>2002-006_Nature_of_spiritual_Anxiety_SB_04_09_22_Mumbai_-_Radhanath_Swami_2002-01-06_IDesireTree.mp3</v>
      </c>
      <c r="D1703" s="24"/>
      <c r="E1703" s="24"/>
    </row>
    <row r="1704">
      <c r="A1704" s="25" t="s">
        <v>18352</v>
      </c>
      <c r="B1704" s="25" t="s">
        <v>18366</v>
      </c>
      <c r="C1704" s="26" t="str">
        <f>HYPERLINK("https://audio.iskcondesiretree.com/02_-_ISKCON_Swamis/ISKCON_Swamis_-_R_to_Y/His_Holiness_Radhanath_Swami/Lectures/00_-_Year_wise/Devotional_Nectar_-_2002/2002-007_Shyamsunder_Prabhu_Remembers_George_Harrison_Lecture_Mumbai_-_06-01-02_IDesireTree.mp3", "2002-007_Shyamsunder_Prabhu_Remembers_George_Harrison_Lecture_Mumbai_-_06-01-02_IDesireTree.mp3")</f>
        <v>2002-007_Shyamsunder_Prabhu_Remembers_George_Harrison_Lecture_Mumbai_-_06-01-02_IDesireTree.mp3</v>
      </c>
      <c r="D1704" s="24"/>
      <c r="E1704" s="24"/>
    </row>
    <row r="1705">
      <c r="A1705" s="25" t="s">
        <v>18352</v>
      </c>
      <c r="B1705" s="25" t="s">
        <v>18366</v>
      </c>
      <c r="C1705" s="26" t="str">
        <f>HYPERLINK("https://audio.iskcondesiretree.com/02_-_ISKCON_Swamis/ISKCON_Swamis_-_R_to_Y/His_Holiness_Radhanath_Swami/Lectures/00_-_Year_wise/Devotional_Nectar_-_2002/2002-008_Looking_For_An_Every_Opportunity_To_See_Krsna_Lecture_Mumbai_-_08-01-02_IDesireTree.mp3", "2002-008_Looking_For_An_Every_Opportunity_To_See_Krsna_Lecture_Mumbai_-_08-01-02_IDesireTree.mp3")</f>
        <v>2002-008_Looking_For_An_Every_Opportunity_To_See_Krsna_Lecture_Mumbai_-_08-01-02_IDesireTree.mp3</v>
      </c>
      <c r="D1705" s="24"/>
      <c r="E1705" s="24"/>
    </row>
    <row r="1706">
      <c r="A1706" s="25" t="s">
        <v>18352</v>
      </c>
      <c r="B1706" s="25" t="s">
        <v>18366</v>
      </c>
      <c r="C1706" s="26" t="str">
        <f>HYPERLINK("https://audio.iskcondesiretree.com/02_-_ISKCON_Swamis/ISKCON_Swamis_-_R_to_Y/His_Holiness_Radhanath_Swami/Lectures/00_-_Year_wise/Devotional_Nectar_-_2002/2002-009_Book_Distribution_Of_Address_Lecture_Mumbai_-_Radhanath_Swami_2002-01-10_IDesireTree.mp3", "2002-009_Book_Distribution_Of_Address_Lecture_Mumbai_-_Radhanath_Swami_2002-01-10_IDesireTree.mp3")</f>
        <v>2002-009_Book_Distribution_Of_Address_Lecture_Mumbai_-_Radhanath_Swami_2002-01-10_IDesireTree.mp3</v>
      </c>
      <c r="D1706" s="24"/>
      <c r="E1706" s="24"/>
    </row>
    <row r="1707">
      <c r="A1707" s="25" t="s">
        <v>18352</v>
      </c>
      <c r="B1707" s="25" t="s">
        <v>18366</v>
      </c>
      <c r="C1707" s="26" t="str">
        <f>HYPERLINK("https://audio.iskcondesiretree.com/02_-_ISKCON_Swamis/ISKCON_Swamis_-_R_to_Y/His_Holiness_Radhanath_Swami/Lectures/00_-_Year_wise/Devotional_Nectar_-_2002/2002-01-13_SB_04-09-29_-_What_is_a_true_Substance_of_a_Vaishnava_-_Radhanath_Swami_Mumbai.mp3", "2002-01-13_SB_04-09-29_-_What_is_a_true_Substance_of_a_Vaishnava_-_Radhanath_Swami_Mumbai.mp3")</f>
        <v>2002-01-13_SB_04-09-29_-_What_is_a_true_Substance_of_a_Vaishnava_-_Radhanath_Swami_Mumbai.mp3</v>
      </c>
      <c r="D1707" s="24"/>
      <c r="E1707" s="24"/>
    </row>
    <row r="1708">
      <c r="A1708" s="25" t="s">
        <v>18352</v>
      </c>
      <c r="B1708" s="25" t="s">
        <v>18366</v>
      </c>
      <c r="C1708" s="26" t="str">
        <f>HYPERLINK("https://audio.iskcondesiretree.com/02_-_ISKCON_Swamis/ISKCON_Swamis_-_R_to_Y/His_Holiness_Radhanath_Swami/Lectures/00_-_Year_wise/Devotional_Nectar_-_2002/2002-010_Lamentation_Of_Dhruva_Maharaj_SB-04_93_28_Mumbai_-_12-01-02_IDesireTree.mp3", "2002-010_Lamentation_Of_Dhruva_Maharaj_SB-04_93_28_Mumbai_-_12-01-02_IDesireTree.mp3")</f>
        <v>2002-010_Lamentation_Of_Dhruva_Maharaj_SB-04_93_28_Mumbai_-_12-01-02_IDesireTree.mp3</v>
      </c>
      <c r="D1708" s="24"/>
      <c r="E1708" s="24"/>
    </row>
    <row r="1709">
      <c r="A1709" s="25" t="s">
        <v>18352</v>
      </c>
      <c r="B1709" s="25" t="s">
        <v>18366</v>
      </c>
      <c r="C1709" s="26" t="str">
        <f>HYPERLINK("https://audio.iskcondesiretree.com/02_-_ISKCON_Swamis/ISKCON_Swamis_-_R_to_Y/His_Holiness_Radhanath_Swami/Lectures/00_-_Year_wise/Devotional_Nectar_-_2002/2002-011_Real_Solution_For_World_Peace_Juhu_Rath_Yatra_Lecture_Mumbai_-_12-01-02_IDesireTree.mp3", "2002-011_Real_Solution_For_World_Peace_Juhu_Rath_Yatra_Lecture_Mumbai_-_12-01-02_IDesireTree.mp3")</f>
        <v>2002-011_Real_Solution_For_World_Peace_Juhu_Rath_Yatra_Lecture_Mumbai_-_12-01-02_IDesireTree.mp3</v>
      </c>
      <c r="D1709" s="24"/>
      <c r="E1709" s="24"/>
    </row>
    <row r="1710">
      <c r="A1710" s="25" t="s">
        <v>18352</v>
      </c>
      <c r="B1710" s="25" t="s">
        <v>18366</v>
      </c>
      <c r="C1710" s="26" t="str">
        <f>HYPERLINK("https://audio.iskcondesiretree.com/02_-_ISKCON_Swamis/ISKCON_Swamis_-_R_to_Y/His_Holiness_Radhanath_Swami/Lectures/00_-_Year_wise/Devotional_Nectar_-_2002/2002-012_True_Substance_Of_Vaishnava_SB-04_-_Radhanath_Swami_IDesireTree.mp3", "2002-012_True_Substance_Of_Vaishnava_SB-04_-_Radhanath_Swami_IDesireTree.mp3")</f>
        <v>2002-012_True_Substance_Of_Vaishnava_SB-04_-_Radhanath_Swami_IDesireTree.mp3</v>
      </c>
      <c r="D1710" s="24"/>
      <c r="E1710" s="24"/>
    </row>
    <row r="1711">
      <c r="A1711" s="25" t="s">
        <v>18352</v>
      </c>
      <c r="B1711" s="25" t="s">
        <v>18366</v>
      </c>
      <c r="C1711" s="26" t="str">
        <f>HYPERLINK("https://audio.iskcondesiretree.com/02_-_ISKCON_Swamis/ISKCON_Swamis_-_R_to_Y/His_Holiness_Radhanath_Swami/Lectures/00_-_Year_wise/Devotional_Nectar_-_2002/2002-013_Preaching_History_of_Russia_Lecture_Mumbai_-_Radhanath_Swami_2002-01-13_IDesireTree.mp3", "2002-013_Preaching_History_of_Russia_Lecture_Mumbai_-_Radhanath_Swami_2002-01-13_IDesireTree.mp3")</f>
        <v>2002-013_Preaching_History_of_Russia_Lecture_Mumbai_-_Radhanath_Swami_2002-01-13_IDesireTree.mp3</v>
      </c>
      <c r="D1711" s="24"/>
      <c r="E1711" s="24"/>
    </row>
    <row r="1712">
      <c r="A1712" s="25" t="s">
        <v>18352</v>
      </c>
      <c r="B1712" s="25" t="s">
        <v>18366</v>
      </c>
      <c r="C1712" s="26" t="str">
        <f>HYPERLINK("https://audio.iskcondesiretree.com/02_-_ISKCON_Swamis/ISKCON_Swamis_-_R_to_Y/His_Holiness_Radhanath_Swami/Lectures/00_-_Year_wise/Devotional_Nectar_-_2002/2002-014_Holding_Unto_The_Life_Boat_Of_Devotional_Service_SB-04_09_34_Mumbai_-_18-01-02_IDesireTree."&amp;"mp3", "2002-014_Holding_Unto_The_Life_Boat_Of_Devotional_Service_SB-04_09_34_Mumbai_-_18-01-02_IDesireTree.mp3")</f>
        <v>2002-014_Holding_Unto_The_Life_Boat_Of_Devotional_Service_SB-04_09_34_Mumbai_-_18-01-02_IDesireTree.mp3</v>
      </c>
      <c r="D1712" s="24"/>
      <c r="E1712" s="24"/>
    </row>
    <row r="1713">
      <c r="A1713" s="25" t="s">
        <v>18352</v>
      </c>
      <c r="B1713" s="25" t="s">
        <v>18366</v>
      </c>
      <c r="C1713" s="26" t="str">
        <f>HYPERLINK("https://audio.iskcondesiretree.com/02_-_ISKCON_Swamis/ISKCON_Swamis_-_R_to_Y/His_Holiness_Radhanath_Swami/Lectures/00_-_Year_wise/Devotional_Nectar_-_2002/2002-015_SB_04_30_18_Mumbai_-_Radhanath_Swami_2002-01-19_IDesireTree.mp3", "2002-015_SB_04_30_18_Mumbai_-_Radhanath_Swami_2002-01-19_IDesireTree.mp3")</f>
        <v>2002-015_SB_04_30_18_Mumbai_-_Radhanath_Swami_2002-01-19_IDesireTree.mp3</v>
      </c>
      <c r="D1713" s="24"/>
      <c r="E1713" s="24"/>
    </row>
    <row r="1714">
      <c r="A1714" s="25" t="s">
        <v>18352</v>
      </c>
      <c r="B1714" s="25" t="s">
        <v>18366</v>
      </c>
      <c r="C1714" s="26" t="str">
        <f>HYPERLINK("https://audio.iskcondesiretree.com/02_-_ISKCON_Swamis/ISKCON_Swamis_-_R_to_Y/His_Holiness_Radhanath_Swami/Lectures/00_-_Year_wise/Devotional_Nectar_-_2002/2002-016_Pandal_Programme_Lecture_Belgaum_-_Radhanath_Swami_2002-01-19_IDesireTree.mp3", "2002-016_Pandal_Programme_Lecture_Belgaum_-_Radhanath_Swami_2002-01-19_IDesireTree.mp3")</f>
        <v>2002-016_Pandal_Programme_Lecture_Belgaum_-_Radhanath_Swami_2002-01-19_IDesireTree.mp3</v>
      </c>
      <c r="D1714" s="24"/>
      <c r="E1714" s="24"/>
    </row>
    <row r="1715">
      <c r="A1715" s="25" t="s">
        <v>18352</v>
      </c>
      <c r="B1715" s="25" t="s">
        <v>18366</v>
      </c>
      <c r="C1715" s="26" t="str">
        <f>HYPERLINK("https://audio.iskcondesiretree.com/02_-_ISKCON_Swamis/ISKCON_Swamis_-_R_to_Y/His_Holiness_Radhanath_Swami/Lectures/00_-_Year_wise/Devotional_Nectar_-_2002/2002-017_Q_and_A_With_Belgaum_Devotees_Q_%26_A_Belgaum_-_Radhanath_Swami_2002-01-21_IDesireTree.mp3", "2002-017_Q_and_A_With_Belgaum_Devotees_Q_%26_A_Belgaum_-_Radhanath_Swami_2002-01-21_IDesireTree.mp3")</f>
        <v>2002-017_Q_and_A_With_Belgaum_Devotees_Q_%26_A_Belgaum_-_Radhanath_Swami_2002-01-21_IDesireTree.mp3</v>
      </c>
      <c r="D1715" s="24"/>
      <c r="E1715" s="24"/>
    </row>
    <row r="1716">
      <c r="A1716" s="25" t="s">
        <v>18352</v>
      </c>
      <c r="B1716" s="25" t="s">
        <v>18366</v>
      </c>
      <c r="C1716" s="26" t="str">
        <f>HYPERLINK("https://audio.iskcondesiretree.com/02_-_ISKCON_Swamis/ISKCON_Swamis_-_R_to_Y/His_Holiness_Radhanath_Swami/Lectures/00_-_Year_wise/Devotional_Nectar_-_2002/2002-018_What_It_Means_To_Be_Forgiving_SB-01_18_49_Mumbai_-_24-01-02_IDesireTree.mp3", "2002-018_What_It_Means_To_Be_Forgiving_SB-01_18_49_Mumbai_-_24-01-02_IDesireTree.mp3")</f>
        <v>2002-018_What_It_Means_To_Be_Forgiving_SB-01_18_49_Mumbai_-_24-01-02_IDesireTree.mp3</v>
      </c>
      <c r="D1716" s="24"/>
      <c r="E1716" s="24"/>
    </row>
    <row r="1717">
      <c r="A1717" s="25" t="s">
        <v>18352</v>
      </c>
      <c r="B1717" s="25" t="s">
        <v>18366</v>
      </c>
      <c r="C1717" s="26" t="str">
        <f>HYPERLINK("https://audio.iskcondesiretree.com/02_-_ISKCON_Swamis/ISKCON_Swamis_-_R_to_Y/His_Holiness_Radhanath_Swami/Lectures/00_-_Year_wise/Devotional_Nectar_-_2002/2002-019_Dhruva_Maharaj_An_Ideal_Hero_SB-04_09_48-50_Mumbai_-_26-01-02_IDesireTree.mp3", "2002-019_Dhruva_Maharaj_An_Ideal_Hero_SB-04_09_48-50_Mumbai_-_26-01-02_IDesireTree.mp3")</f>
        <v>2002-019_Dhruva_Maharaj_An_Ideal_Hero_SB-04_09_48-50_Mumbai_-_26-01-02_IDesireTree.mp3</v>
      </c>
      <c r="D1717" s="24"/>
      <c r="E1717" s="24"/>
    </row>
    <row r="1718">
      <c r="A1718" s="25" t="s">
        <v>18352</v>
      </c>
      <c r="B1718" s="25" t="s">
        <v>18366</v>
      </c>
      <c r="C1718" s="26" t="str">
        <f>HYPERLINK("https://audio.iskcondesiretree.com/02_-_ISKCON_Swamis/ISKCON_Swamis_-_R_to_Y/His_Holiness_Radhanath_Swami/Lectures/00_-_Year_wise/Devotional_Nectar_-_2002/2002-020_Develop_Concern_For_Spiritual_Welfare_For_Other_SB-04_09_51-52_Mumbai_-_27-01-02_IDesireTre"&amp;"e.mp3", "2002-020_Develop_Concern_For_Spiritual_Welfare_For_Other_SB-04_09_51-52_Mumbai_-_27-01-02_IDesireTree.mp3")</f>
        <v>2002-020_Develop_Concern_For_Spiritual_Welfare_For_Other_SB-04_09_51-52_Mumbai_-_27-01-02_IDesireTree.mp3</v>
      </c>
      <c r="D1718" s="24"/>
      <c r="E1718" s="24"/>
    </row>
    <row r="1719">
      <c r="A1719" s="25" t="s">
        <v>18352</v>
      </c>
      <c r="B1719" s="25" t="s">
        <v>18366</v>
      </c>
      <c r="C1719" s="26" t="str">
        <f>HYPERLINK("https://audio.iskcondesiretree.com/02_-_ISKCON_Swamis/ISKCON_Swamis_-_R_to_Y/His_Holiness_Radhanath_Swami/Lectures/00_-_Year_wise/Devotional_Nectar_-_2002/2002-021_Motherly_Love_Knows_No_Bounds_SB-04_09_51-52_Mumbai_-_27-01-02_IDesireTree.mp3", "2002-021_Motherly_Love_Knows_No_Bounds_SB-04_09_51-52_Mumbai_-_27-01-02_IDesireTree.mp3")</f>
        <v>2002-021_Motherly_Love_Knows_No_Bounds_SB-04_09_51-52_Mumbai_-_27-01-02_IDesireTree.mp3</v>
      </c>
      <c r="D1719" s="24"/>
      <c r="E1719" s="24"/>
    </row>
    <row r="1720">
      <c r="A1720" s="25" t="s">
        <v>18352</v>
      </c>
      <c r="B1720" s="25" t="s">
        <v>18366</v>
      </c>
      <c r="C1720" s="26" t="str">
        <f>HYPERLINK("https://audio.iskcondesiretree.com/02_-_ISKCON_Swamis/ISKCON_Swamis_-_R_to_Y/His_Holiness_Radhanath_Swami/Lectures/00_-_Year_wise/Devotional_Nectar_-_2002/2002-022_The_Simple_Process_Of_Krsna_Consciousness_Lecture_Mumbai_-_27-01-02_IDesireTree.mp3", "2002-022_The_Simple_Process_Of_Krsna_Consciousness_Lecture_Mumbai_-_27-01-02_IDesireTree.mp3")</f>
        <v>2002-022_The_Simple_Process_Of_Krsna_Consciousness_Lecture_Mumbai_-_27-01-02_IDesireTree.mp3</v>
      </c>
      <c r="D1720" s="24"/>
      <c r="E1720" s="24"/>
    </row>
    <row r="1721">
      <c r="A1721" s="25" t="s">
        <v>18352</v>
      </c>
      <c r="B1721" s="25" t="s">
        <v>18366</v>
      </c>
      <c r="C1721" s="26" t="str">
        <f>HYPERLINK("https://audio.iskcondesiretree.com/02_-_ISKCON_Swamis/ISKCON_Swamis_-_R_to_Y/His_Holiness_Radhanath_Swami/Lectures/00_-_Year_wise/Devotional_Nectar_-_2002/2002-023_Pushpa_Abhishek_Lect_-_Radhanath_Swami_IDesireTree.mp3", "2002-023_Pushpa_Abhishek_Lect_-_Radhanath_Swami_IDesireTree.mp3")</f>
        <v>2002-023_Pushpa_Abhishek_Lect_-_Radhanath_Swami_IDesireTree.mp3</v>
      </c>
      <c r="D1721" s="24"/>
      <c r="E1721" s="24"/>
    </row>
    <row r="1722">
      <c r="A1722" s="25" t="s">
        <v>18352</v>
      </c>
      <c r="B1722" s="25" t="s">
        <v>18366</v>
      </c>
      <c r="C1722" s="26" t="str">
        <f>HYPERLINK("https://audio.iskcondesiretree.com/02_-_ISKCON_Swamis/ISKCON_Swamis_-_R_to_Y/His_Holiness_Radhanath_Swami/Lectures/00_-_Year_wise/Devotional_Nectar_-_2002/2002-024_Deity_Welcoming_Address_Lecture_Mumbai_-_Radhanath_Swami_2002-01-29_IDesireTree.mp3", "2002-024_Deity_Welcoming_Address_Lecture_Mumbai_-_Radhanath_Swami_2002-01-29_IDesireTree.mp3")</f>
        <v>2002-024_Deity_Welcoming_Address_Lecture_Mumbai_-_Radhanath_Swami_2002-01-29_IDesireTree.mp3</v>
      </c>
      <c r="D1722" s="24"/>
      <c r="E1722" s="24"/>
    </row>
    <row r="1723">
      <c r="A1723" s="25" t="s">
        <v>18352</v>
      </c>
      <c r="B1723" s="25" t="s">
        <v>18366</v>
      </c>
      <c r="C1723" s="26" t="str">
        <f>HYPERLINK("https://audio.iskcondesiretree.com/02_-_ISKCON_Swamis/ISKCON_Swamis_-_R_to_Y/His_Holiness_Radhanath_Swami/Lectures/00_-_Year_wise/Devotional_Nectar_-_2002/2002-025_Extend_Srila_Prabhupada%27s_Compassion_LNHO_Function_Lecure_Mumbai_-_30-01-02_IDesireTree.m"&amp;"p3", "2002-025_Extend_Srila_Prabhupada%27s_Compassion_LNHO_Function_Lecure_Mumbai_-_30-01-02_IDesireTree.mp3")</f>
        <v>2002-025_Extend_Srila_Prabhupada%27s_Compassion_LNHO_Function_Lecure_Mumbai_-_30-01-02_IDesireTree.mp3</v>
      </c>
      <c r="D1723" s="24"/>
      <c r="E1723" s="24"/>
    </row>
    <row r="1724">
      <c r="A1724" s="25" t="s">
        <v>18352</v>
      </c>
      <c r="B1724" s="25" t="s">
        <v>18366</v>
      </c>
      <c r="C1724" s="26" t="str">
        <f>HYPERLINK("https://audio.iskcondesiretree.com/02_-_ISKCON_Swamis/ISKCON_Swamis_-_R_to_Y/His_Holiness_Radhanath_Swami/Lectures/00_-_Year_wise/Devotional_Nectar_-_2002/2002-026_To_Seek_Blessing_Is_a_Sign_Of_Humility_Lecture_Mumbai_-_31-01-02_IDesireTree.mp3", "2002-026_To_Seek_Blessing_Is_a_Sign_Of_Humility_Lecture_Mumbai_-_31-01-02_IDesireTree.mp3")</f>
        <v>2002-026_To_Seek_Blessing_Is_a_Sign_Of_Humility_Lecture_Mumbai_-_31-01-02_IDesireTree.mp3</v>
      </c>
      <c r="D1724" s="24"/>
      <c r="E1724" s="24"/>
    </row>
    <row r="1725">
      <c r="A1725" s="25" t="s">
        <v>18352</v>
      </c>
      <c r="B1725" s="25" t="s">
        <v>18366</v>
      </c>
      <c r="C1725" s="26" t="str">
        <f>HYPERLINK("https://audio.iskcondesiretree.com/02_-_ISKCON_Swamis/ISKCON_Swamis_-_R_to_Y/His_Holiness_Radhanath_Swami/Lectures/00_-_Year_wise/Devotional_Nectar_-_2002/2002-027_Today%27s_Society_Requires_Leaders_Like_Uttanupada_SB-04_-_Radhanath_Swami_IDesireTree.mp3", "2002-027_Today%27s_Society_Requires_Leaders_Like_Uttanupada_SB-04_-_Radhanath_Swami_IDesireTree.mp3")</f>
        <v>2002-027_Today%27s_Society_Requires_Leaders_Like_Uttanupada_SB-04_-_Radhanath_Swami_IDesireTree.mp3</v>
      </c>
      <c r="D1725" s="24"/>
      <c r="E1725" s="24"/>
    </row>
    <row r="1726">
      <c r="A1726" s="25" t="s">
        <v>18352</v>
      </c>
      <c r="B1726" s="25" t="s">
        <v>18366</v>
      </c>
      <c r="C1726" s="26" t="str">
        <f>HYPERLINK("https://audio.iskcondesiretree.com/02_-_ISKCON_Swamis/ISKCON_Swamis_-_R_to_Y/His_Holiness_Radhanath_Swami/Lectures/00_-_Year_wise/Devotional_Nectar_-_2002/2002-028_Dissipating_The_Cloud_Of_Illusion_Through_Love_Of_God_NSCI_Lecture_Mumbai_-_02-02-02_IDesir"&amp;"eTree.mp3", "2002-028_Dissipating_The_Cloud_Of_Illusion_Through_Love_Of_God_NSCI_Lecture_Mumbai_-_02-02-02_IDesireTree.mp3")</f>
        <v>2002-028_Dissipating_The_Cloud_Of_Illusion_Through_Love_Of_God_NSCI_Lecture_Mumbai_-_02-02-02_IDesireTree.mp3</v>
      </c>
      <c r="D1726" s="24"/>
      <c r="E1726" s="24"/>
    </row>
    <row r="1727">
      <c r="A1727" s="25" t="s">
        <v>18352</v>
      </c>
      <c r="B1727" s="25" t="s">
        <v>18366</v>
      </c>
      <c r="C1727" s="26" t="str">
        <f>HYPERLINK("https://audio.iskcondesiretree.com/02_-_ISKCON_Swamis/ISKCON_Swamis_-_R_to_Y/His_Holiness_Radhanath_Swami/Lectures/00_-_Year_wise/Devotional_Nectar_-_2002/2002-029_Beauty_Of_Old_Age_SB-04_09_67_Mumbai_-_Radhanath_Swami_2002-02-03_IDesireTree.mp3", "2002-029_Beauty_Of_Old_Age_SB-04_09_67_Mumbai_-_Radhanath_Swami_2002-02-03_IDesireTree.mp3")</f>
        <v>2002-029_Beauty_Of_Old_Age_SB-04_09_67_Mumbai_-_Radhanath_Swami_2002-02-03_IDesireTree.mp3</v>
      </c>
      <c r="D1727" s="24"/>
      <c r="E1727" s="24"/>
    </row>
    <row r="1728">
      <c r="A1728" s="25" t="s">
        <v>18352</v>
      </c>
      <c r="B1728" s="25" t="s">
        <v>18366</v>
      </c>
      <c r="C1728" s="26" t="str">
        <f>HYPERLINK("https://audio.iskcondesiretree.com/02_-_ISKCON_Swamis/ISKCON_Swamis_-_R_to_Y/His_Holiness_Radhanath_Swami/Lectures/00_-_Year_wise/Devotional_Nectar_-_2002/2002-030_Maharaj_Parikshit_setting_the_perfect_example_SB-01_19_09_10_Mumbai_-_07-02-02_IDesireTree."&amp;"mp3", "2002-030_Maharaj_Parikshit_setting_the_perfect_example_SB-01_19_09_10_Mumbai_-_07-02-02_IDesireTree.mp3")</f>
        <v>2002-030_Maharaj_Parikshit_setting_the_perfect_example_SB-01_19_09_10_Mumbai_-_07-02-02_IDesireTree.mp3</v>
      </c>
      <c r="D1728" s="24"/>
      <c r="E1728" s="24"/>
    </row>
    <row r="1729">
      <c r="A1729" s="25" t="s">
        <v>18352</v>
      </c>
      <c r="B1729" s="25" t="s">
        <v>18366</v>
      </c>
      <c r="C1729" s="26" t="str">
        <f>HYPERLINK("https://audio.iskcondesiretree.com/02_-_ISKCON_Swamis/ISKCON_Swamis_-_R_to_Y/His_Holiness_Radhanath_Swami/Lectures/00_-_Year_wise/Devotional_Nectar_-_2002/2002-031_Krsna_Always_Protects_His_Devotees_SB-04_10_14_Mumbai_-_Radhanath_Swami_09_IDesireTree.mp3", "2002-031_Krsna_Always_Protects_His_Devotees_SB-04_10_14_Mumbai_-_Radhanath_Swami_09_IDesireTree.mp3")</f>
        <v>2002-031_Krsna_Always_Protects_His_Devotees_SB-04_10_14_Mumbai_-_Radhanath_Swami_09_IDesireTree.mp3</v>
      </c>
      <c r="D1729" s="24"/>
      <c r="E1729" s="24"/>
    </row>
    <row r="1730">
      <c r="A1730" s="25" t="s">
        <v>18352</v>
      </c>
      <c r="B1730" s="25" t="s">
        <v>18366</v>
      </c>
      <c r="C1730" s="26" t="str">
        <f>HYPERLINK("https://audio.iskcondesiretree.com/02_-_ISKCON_Swamis/ISKCON_Swamis_-_R_to_Y/His_Holiness_Radhanath_Swami/Lectures/00_-_Year_wise/Devotional_Nectar_-_2002/2002-032_Disspating_The_Cloud_Of_Material_Illusion_SB-04_10_14_Mumbay_-_10-02-02_IDesireTree.mp3", "2002-032_Disspating_The_Cloud_Of_Material_Illusion_SB-04_10_14_Mumbay_-_10-02-02_IDesireTree.mp3")</f>
        <v>2002-032_Disspating_The_Cloud_Of_Material_Illusion_SB-04_10_14_Mumbay_-_10-02-02_IDesireTree.mp3</v>
      </c>
      <c r="D1730" s="24"/>
      <c r="E1730" s="24"/>
    </row>
    <row r="1731">
      <c r="A1731" s="25" t="s">
        <v>18352</v>
      </c>
      <c r="B1731" s="25" t="s">
        <v>18366</v>
      </c>
      <c r="C1731" s="26" t="str">
        <f>HYPERLINK("https://audio.iskcondesiretree.com/02_-_ISKCON_Swamis/ISKCON_Swamis_-_R_to_Y/His_Holiness_Radhanath_Swami/Lectures/00_-_Year_wise/Devotional_Nectar_-_2002/2002-033_Glories_Of_Srila_Jayadeva_Goswami_-_Radhanath_Swami_IDesireTree.mp3", "2002-033_Glories_Of_Srila_Jayadeva_Goswami_-_Radhanath_Swami_IDesireTree.mp3")</f>
        <v>2002-033_Glories_Of_Srila_Jayadeva_Goswami_-_Radhanath_Swami_IDesireTree.mp3</v>
      </c>
      <c r="D1731" s="24"/>
      <c r="E1731" s="24"/>
    </row>
    <row r="1732">
      <c r="A1732" s="25" t="s">
        <v>18352</v>
      </c>
      <c r="B1732" s="25" t="s">
        <v>18366</v>
      </c>
      <c r="C1732" s="26" t="str">
        <f>HYPERLINK("https://audio.iskcondesiretree.com/02_-_ISKCON_Swamis/ISKCON_Swamis_-_R_to_Y/His_Holiness_Radhanath_Swami/Lectures/00_-_Year_wise/Devotional_Nectar_-_2002/2002-034_Fearlessly_Surrender_Our_Lives_To_Krsna_SB-01_19_15_Mumbai_-_14-02-02_IDesireTree.mp3", "2002-034_Fearlessly_Surrender_Our_Lives_To_Krsna_SB-01_19_15_Mumbai_-_14-02-02_IDesireTree.mp3")</f>
        <v>2002-034_Fearlessly_Surrender_Our_Lives_To_Krsna_SB-01_19_15_Mumbai_-_14-02-02_IDesireTree.mp3</v>
      </c>
      <c r="D1732" s="24"/>
      <c r="E1732" s="24"/>
    </row>
    <row r="1733">
      <c r="A1733" s="25" t="s">
        <v>18352</v>
      </c>
      <c r="B1733" s="25" t="s">
        <v>18366</v>
      </c>
      <c r="C1733" s="26" t="str">
        <f>HYPERLINK("https://audio.iskcondesiretree.com/02_-_ISKCON_Swamis/ISKCON_Swamis_-_R_to_Y/His_Holiness_Radhanath_Swami/Lectures/00_-_Year_wise/Devotional_Nectar_-_2002/2002-035_Pastime_of_Baby_Krsna_Lecture_Mumbai_-_Radhanath_Swami_2002-02-15_IDesireTree.mp3", "2002-035_Pastime_of_Baby_Krsna_Lecture_Mumbai_-_Radhanath_Swami_2002-02-15_IDesireTree.mp3")</f>
        <v>2002-035_Pastime_of_Baby_Krsna_Lecture_Mumbai_-_Radhanath_Swami_2002-02-15_IDesireTree.mp3</v>
      </c>
      <c r="D1733" s="24"/>
      <c r="E1733" s="24"/>
    </row>
    <row r="1734">
      <c r="A1734" s="25" t="s">
        <v>18352</v>
      </c>
      <c r="B1734" s="25" t="s">
        <v>18366</v>
      </c>
      <c r="C1734" s="26" t="str">
        <f>HYPERLINK("https://audio.iskcondesiretree.com/02_-_ISKCON_Swamis/ISKCON_Swamis_-_R_to_Y/His_Holiness_Radhanath_Swami/Lectures/00_-_Year_wise/Devotional_Nectar_-_2002/2002-036_Understanding_The_Real_Meaning_Of_Valentines_Day_SB-04_11_03-05_Mumbai_-_16-02-02_IDesireTr"&amp;"ee.mp3", "2002-036_Understanding_The_Real_Meaning_Of_Valentines_Day_SB-04_11_03-05_Mumbai_-_16-02-02_IDesireTree.mp3")</f>
        <v>2002-036_Understanding_The_Real_Meaning_Of_Valentines_Day_SB-04_11_03-05_Mumbai_-_16-02-02_IDesireTree.mp3</v>
      </c>
      <c r="D1734" s="24"/>
      <c r="E1734" s="24"/>
    </row>
    <row r="1735">
      <c r="A1735" s="25" t="s">
        <v>18352</v>
      </c>
      <c r="B1735" s="25" t="s">
        <v>18366</v>
      </c>
      <c r="C1735" s="26" t="str">
        <f>HYPERLINK("https://audio.iskcondesiretree.com/02_-_ISKCON_Swamis/ISKCON_Swamis_-_R_to_Y/His_Holiness_Radhanath_Swami/Lectures/00_-_Year_wise/Devotional_Nectar_-_2002/2002-037_Vishwanath_Chakrvaty_-_Creator_Of_Spiritual_Renaissance_SB-04_11_06_Mumbai_-_17_IDesireTree"&amp;".mp3", "2002-037_Vishwanath_Chakrvaty_-_Creator_Of_Spiritual_Renaissance_SB-04_11_06_Mumbai_-_17_IDesireTree.mp3")</f>
        <v>2002-037_Vishwanath_Chakrvaty_-_Creator_Of_Spiritual_Renaissance_SB-04_11_06_Mumbai_-_17_IDesireTree.mp3</v>
      </c>
      <c r="D1735" s="24"/>
      <c r="E1735" s="24"/>
    </row>
    <row r="1736">
      <c r="A1736" s="25" t="s">
        <v>18352</v>
      </c>
      <c r="B1736" s="25" t="s">
        <v>18366</v>
      </c>
      <c r="C1736" s="26" t="str">
        <f>HYPERLINK("https://audio.iskcondesiretree.com/02_-_ISKCON_Swamis/ISKCON_Swamis_-_R_to_Y/His_Holiness_Radhanath_Swami/Lectures/00_-_Year_wise/Devotional_Nectar_-_2002/2002-038_quality_Of_Compassion_that_Decorates_Devotee_Lecture_Mumbai_-_17-02-02_IDesireTree.mp3", "2002-038_quality_Of_Compassion_that_Decorates_Devotee_Lecture_Mumbai_-_17-02-02_IDesireTree.mp3")</f>
        <v>2002-038_quality_Of_Compassion_that_Decorates_Devotee_Lecture_Mumbai_-_17-02-02_IDesireTree.mp3</v>
      </c>
      <c r="D1736" s="24"/>
      <c r="E1736" s="24"/>
    </row>
    <row r="1737">
      <c r="A1737" s="25" t="s">
        <v>18352</v>
      </c>
      <c r="B1737" s="25" t="s">
        <v>18366</v>
      </c>
      <c r="C1737" s="26" t="str">
        <f>HYPERLINK("https://audio.iskcondesiretree.com/02_-_ISKCON_Swamis/ISKCON_Swamis_-_R_to_Y/His_Holiness_Radhanath_Swami/Lectures/00_-_Year_wise/Devotional_Nectar_-_2002/2002-039_Advaita_Acharya_App_-_Radhanath_Swami_IDesireTree.mp3", "2002-039_Advaita_Acharya_App_-_Radhanath_Swami_IDesireTree.mp3")</f>
        <v>2002-039_Advaita_Acharya_App_-_Radhanath_Swami_IDesireTree.mp3</v>
      </c>
      <c r="D1737" s="24"/>
      <c r="E1737" s="24"/>
    </row>
    <row r="1738">
      <c r="A1738" s="25" t="s">
        <v>18352</v>
      </c>
      <c r="B1738" s="25" t="s">
        <v>18366</v>
      </c>
      <c r="C1738" s="26" t="str">
        <f>HYPERLINK("https://audio.iskcondesiretree.com/02_-_ISKCON_Swamis/ISKCON_Swamis_-_R_to_Y/His_Holiness_Radhanath_Swami/Lectures/00_-_Year_wise/Devotional_Nectar_-_2002/2002-040_Four_Essential_Qualities_of_a_Vaisnava_-_Radhanath_Swami_I_23_IDesireTree.mp3", "2002-040_Four_Essential_Qualities_of_a_Vaisnava_-_Radhanath_Swami_I_23_IDesireTree.mp3")</f>
        <v>2002-040_Four_Essential_Qualities_of_a_Vaisnava_-_Radhanath_Swami_I_23_IDesireTree.mp3</v>
      </c>
      <c r="D1738" s="24"/>
      <c r="E1738" s="24"/>
    </row>
    <row r="1739">
      <c r="A1739" s="25" t="s">
        <v>18352</v>
      </c>
      <c r="B1739" s="25" t="s">
        <v>18366</v>
      </c>
      <c r="C1739" s="26" t="str">
        <f>HYPERLINK("https://audio.iskcondesiretree.com/02_-_ISKCON_Swamis/ISKCON_Swamis_-_R_to_Y/His_Holiness_Radhanath_Swami/Lectures/00_-_Year_wise/Devotional_Nectar_-_2002/2002-041_Four_Essential_Qualities_of_a_Vaisnava_-_Radhanath_Swami_I_23_IDesireTree.mp3", "2002-041_Four_Essential_Qualities_of_a_Vaisnava_-_Radhanath_Swami_I_23_IDesireTree.mp3")</f>
        <v>2002-041_Four_Essential_Qualities_of_a_Vaisnava_-_Radhanath_Swami_I_23_IDesireTree.mp3</v>
      </c>
      <c r="D1739" s="24"/>
      <c r="E1739" s="24"/>
    </row>
    <row r="1740">
      <c r="A1740" s="25" t="s">
        <v>18352</v>
      </c>
      <c r="B1740" s="25" t="s">
        <v>18366</v>
      </c>
      <c r="C1740" s="26" t="str">
        <f>HYPERLINK("https://audio.iskcondesiretree.com/02_-_ISKCON_Swamis/ISKCON_Swamis_-_R_to_Y/His_Holiness_Radhanath_Swami/Lectures/00_-_Year_wise/Devotional_Nectar_-_2002/2002-042_Four_Essential_Qualities_of_a_Vaisnava_-_Radhanath_Swami_I_23_IDesireTree.mp3", "2002-042_Four_Essential_Qualities_of_a_Vaisnava_-_Radhanath_Swami_I_23_IDesireTree.mp3")</f>
        <v>2002-042_Four_Essential_Qualities_of_a_Vaisnava_-_Radhanath_Swami_I_23_IDesireTree.mp3</v>
      </c>
      <c r="D1740" s="24"/>
      <c r="E1740" s="24"/>
    </row>
    <row r="1741">
      <c r="A1741" s="25" t="s">
        <v>18352</v>
      </c>
      <c r="B1741" s="25" t="s">
        <v>18366</v>
      </c>
      <c r="C1741" s="26" t="str">
        <f>HYPERLINK("https://audio.iskcondesiretree.com/02_-_ISKCON_Swamis/ISKCON_Swamis_-_R_to_Y/His_Holiness_Radhanath_Swami/Lectures/00_-_Year_wise/Devotional_Nectar_-_2002/2002-043_Pastimes_%26_Teachings_Of_Lord_Nityananda_Lecture_Mumbai_-_25_02_02_IDesireTree.mp3", "2002-043_Pastimes_%26_Teachings_Of_Lord_Nityananda_Lecture_Mumbai_-_25_02_02_IDesireTree.mp3")</f>
        <v>2002-043_Pastimes_%26_Teachings_Of_Lord_Nityananda_Lecture_Mumbai_-_25_02_02_IDesireTree.mp3</v>
      </c>
      <c r="D1741" s="24"/>
      <c r="E1741" s="24"/>
    </row>
    <row r="1742">
      <c r="A1742" s="25" t="s">
        <v>18352</v>
      </c>
      <c r="B1742" s="25" t="s">
        <v>18366</v>
      </c>
      <c r="C1742" s="26" t="str">
        <f>HYPERLINK("https://audio.iskcondesiretree.com/02_-_ISKCON_Swamis/ISKCON_Swamis_-_R_to_Y/His_Holiness_Radhanath_Swami/Lectures/00_-_Year_wise/Devotional_Nectar_-_2002/2002-044_Real_Purpose_Of_Performing_Yagya_Lecture_Mumbai_-_22-03-02_IDesireTree.mp3", "2002-044_Real_Purpose_Of_Performing_Yagya_Lecture_Mumbai_-_22-03-02_IDesireTree.mp3")</f>
        <v>2002-044_Real_Purpose_Of_Performing_Yagya_Lecture_Mumbai_-_22-03-02_IDesireTree.mp3</v>
      </c>
      <c r="D1742" s="24"/>
      <c r="E1742" s="24"/>
    </row>
    <row r="1743">
      <c r="A1743" s="25" t="s">
        <v>18352</v>
      </c>
      <c r="B1743" s="25" t="s">
        <v>18366</v>
      </c>
      <c r="C1743" s="26" t="str">
        <f>HYPERLINK("https://audio.iskcondesiretree.com/02_-_ISKCON_Swamis/ISKCON_Swamis_-_R_to_Y/His_Holiness_Radhanath_Swami/Lectures/00_-_Year_wise/Devotional_Nectar_-_2002/2002-045_Real_Renunciation_Means_Using_Everything_For_Krsna_SB-04_12_06_Mumbai_-_23-03-02_IDesireTre"&amp;"e.mp3", "2002-045_Real_Renunciation_Means_Using_Everything_For_Krsna_SB-04_12_06_Mumbai_-_23-03-02_IDesireTree.mp3")</f>
        <v>2002-045_Real_Renunciation_Means_Using_Everything_For_Krsna_SB-04_12_06_Mumbai_-_23-03-02_IDesireTree.mp3</v>
      </c>
      <c r="D1743" s="24"/>
      <c r="E1743" s="24"/>
    </row>
    <row r="1744">
      <c r="A1744" s="25" t="s">
        <v>18352</v>
      </c>
      <c r="B1744" s="25" t="s">
        <v>18366</v>
      </c>
      <c r="C1744" s="26" t="str">
        <f>HYPERLINK("https://audio.iskcondesiretree.com/02_-_ISKCON_Swamis/ISKCON_Swamis_-_R_to_Y/His_Holiness_Radhanath_Swami/Lectures/00_-_Year_wise/Devotional_Nectar_-_2002/2002-046_SB-10_40_06_Vrindavan_-_Radhanath_Swami_2002-03-31_IDesireTree.mp3", "2002-046_SB-10_40_06_Vrindavan_-_Radhanath_Swami_2002-03-31_IDesireTree.mp3")</f>
        <v>2002-046_SB-10_40_06_Vrindavan_-_Radhanath_Swami_2002-03-31_IDesireTree.mp3</v>
      </c>
      <c r="D1744" s="24"/>
      <c r="E1744" s="24"/>
    </row>
    <row r="1745">
      <c r="A1745" s="25" t="s">
        <v>18352</v>
      </c>
      <c r="B1745" s="25" t="s">
        <v>18366</v>
      </c>
      <c r="C1745" s="26" t="str">
        <f>HYPERLINK("https://audio.iskcondesiretree.com/02_-_ISKCON_Swamis/ISKCON_Swamis_-_R_to_Y/His_Holiness_Radhanath_Swami/Lectures/00_-_Year_wise/Devotional_Nectar_-_2002/2002-047_Getting_Priorities_right_Lecture_Mumbai_-_Radhanath_Swami_2002-04-06_IDesireTree.mp3", "2002-047_Getting_Priorities_right_Lecture_Mumbai_-_Radhanath_Swami_2002-04-06_IDesireTree.mp3")</f>
        <v>2002-047_Getting_Priorities_right_Lecture_Mumbai_-_Radhanath_Swami_2002-04-06_IDesireTree.mp3</v>
      </c>
      <c r="D1745" s="24"/>
      <c r="E1745" s="24"/>
    </row>
    <row r="1746">
      <c r="A1746" s="25" t="s">
        <v>18352</v>
      </c>
      <c r="B1746" s="25" t="s">
        <v>18366</v>
      </c>
      <c r="C1746" s="26" t="str">
        <f>HYPERLINK("https://audio.iskcondesiretree.com/02_-_ISKCON_Swamis/ISKCON_Swamis_-_R_to_Y/His_Holiness_Radhanath_Swami/Lectures/00_-_Year_wise/Devotional_Nectar_-_2002/2002-048_Devotee_Should_Be_Duty_Bound_SB-04_12_16_Mumbai_-_07-04-02_IDesireTree.mp3", "2002-048_Devotee_Should_Be_Duty_Bound_SB-04_12_16_Mumbai_-_07-04-02_IDesireTree.mp3")</f>
        <v>2002-048_Devotee_Should_Be_Duty_Bound_SB-04_12_16_Mumbai_-_07-04-02_IDesireTree.mp3</v>
      </c>
      <c r="D1746" s="24"/>
      <c r="E1746" s="24"/>
    </row>
    <row r="1747">
      <c r="A1747" s="25" t="s">
        <v>18352</v>
      </c>
      <c r="B1747" s="25" t="s">
        <v>18366</v>
      </c>
      <c r="C1747" s="26" t="str">
        <f>HYPERLINK("https://audio.iskcondesiretree.com/02_-_ISKCON_Swamis/ISKCON_Swamis_-_R_to_Y/His_Holiness_Radhanath_Swami/Lectures/00_-_Year_wise/Devotional_Nectar_-_2002/2002-049_Remembering_HH_Tamal_Krsna_Goswami_Maharaj_Lecture_Mumbai_-_07-04-02_IDesireTree.mp3", "2002-049_Remembering_HH_Tamal_Krsna_Goswami_Maharaj_Lecture_Mumbai_-_07-04-02_IDesireTree.mp3")</f>
        <v>2002-049_Remembering_HH_Tamal_Krsna_Goswami_Maharaj_Lecture_Mumbai_-_07-04-02_IDesireTree.mp3</v>
      </c>
      <c r="D1747" s="24"/>
      <c r="E1747" s="24"/>
    </row>
    <row r="1748">
      <c r="A1748" s="25" t="s">
        <v>18352</v>
      </c>
      <c r="B1748" s="25" t="s">
        <v>18366</v>
      </c>
      <c r="C1748" s="26" t="str">
        <f>HYPERLINK("https://audio.iskcondesiretree.com/02_-_ISKCON_Swamis/ISKCON_Swamis_-_R_to_Y/His_Holiness_Radhanath_Swami/Lectures/00_-_Year_wise/Devotional_Nectar_-_2002/2002-050_Stress_Management_Lecture_Mumbai_-_Radhanath_Swami_2002-04-12_IDesireTree.mp3", "2002-050_Stress_Management_Lecture_Mumbai_-_Radhanath_Swami_2002-04-12_IDesireTree.mp3")</f>
        <v>2002-050_Stress_Management_Lecture_Mumbai_-_Radhanath_Swami_2002-04-12_IDesireTree.mp3</v>
      </c>
      <c r="D1748" s="24"/>
      <c r="E1748" s="24"/>
    </row>
    <row r="1749">
      <c r="A1749" s="25" t="s">
        <v>18352</v>
      </c>
      <c r="B1749" s="25" t="s">
        <v>18366</v>
      </c>
      <c r="C1749" s="26" t="str">
        <f>HYPERLINK("https://audio.iskcondesiretree.com/02_-_ISKCON_Swamis/ISKCON_Swamis_-_R_to_Y/His_Holiness_Radhanath_Swami/Lectures/00_-_Year_wise/Devotional_Nectar_-_2002/2002-051_Imbibing_The_Conscious_Of_Humlity_SB-04_12_22_Mumbai_-_13-04-02_IDesireTree.mp3", "2002-051_Imbibing_The_Conscious_Of_Humlity_SB-04_12_22_Mumbai_-_13-04-02_IDesireTree.mp3")</f>
        <v>2002-051_Imbibing_The_Conscious_Of_Humlity_SB-04_12_22_Mumbai_-_13-04-02_IDesireTree.mp3</v>
      </c>
      <c r="D1749" s="24"/>
      <c r="E1749" s="24"/>
    </row>
    <row r="1750">
      <c r="A1750" s="25" t="s">
        <v>18352</v>
      </c>
      <c r="B1750" s="25" t="s">
        <v>18366</v>
      </c>
      <c r="C1750" s="26" t="str">
        <f>HYPERLINK("https://audio.iskcondesiretree.com/02_-_ISKCON_Swamis/ISKCON_Swamis_-_R_to_Y/His_Holiness_Radhanath_Swami/Lectures/00_-_Year_wise/Devotional_Nectar_-_2002/2002-052_Bhakti_Is_the_Only_Real_Fortune_SB-04_12_23_Mumbai_-_14-04-02_IDesireTree.mp3", "2002-052_Bhakti_Is_the_Only_Real_Fortune_SB-04_12_23_Mumbai_-_14-04-02_IDesireTree.mp3")</f>
        <v>2002-052_Bhakti_Is_the_Only_Real_Fortune_SB-04_12_23_Mumbai_-_14-04-02_IDesireTree.mp3</v>
      </c>
      <c r="D1750" s="24"/>
      <c r="E1750" s="24"/>
    </row>
    <row r="1751">
      <c r="A1751" s="25" t="s">
        <v>18352</v>
      </c>
      <c r="B1751" s="25" t="s">
        <v>18366</v>
      </c>
      <c r="C1751" s="26" t="str">
        <f>HYPERLINK("https://audio.iskcondesiretree.com/02_-_ISKCON_Swamis/ISKCON_Swamis_-_R_to_Y/His_Holiness_Radhanath_Swami/Lectures/00_-_Year_wise/Devotional_Nectar_-_2002/2002-053_Learning_To_see_The_Lord_In_everything_%26_Everywhere_SB-02_01_24_Mumbai_-_15-04-02_IDesire"&amp;"Tree.mp3", "2002-053_Learning_To_see_The_Lord_In_everything_%26_Everywhere_SB-02_01_24_Mumbai_-_15-04-02_IDesireTree.mp3")</f>
        <v>2002-053_Learning_To_see_The_Lord_In_everything_%26_Everywhere_SB-02_01_24_Mumbai_-_15-04-02_IDesireTree.mp3</v>
      </c>
      <c r="D1751" s="24"/>
      <c r="E1751" s="24"/>
    </row>
    <row r="1752">
      <c r="A1752" s="25" t="s">
        <v>18352</v>
      </c>
      <c r="B1752" s="25" t="s">
        <v>18366</v>
      </c>
      <c r="C1752" s="26" t="str">
        <f>HYPERLINK("https://audio.iskcondesiretree.com/02_-_ISKCON_Swamis/ISKCON_Swamis_-_R_to_Y/His_Holiness_Radhanath_Swami/Lectures/00_-_Year_wise/Devotional_Nectar_-_2002/2002-054_SB_Class_New_Vrindavan_-_Radhanath_Swami_2002-05-19_IDesireTree.mp3", "2002-054_SB_Class_New_Vrindavan_-_Radhanath_Swami_2002-05-19_IDesireTree.mp3")</f>
        <v>2002-054_SB_Class_New_Vrindavan_-_Radhanath_Swami_2002-05-19_IDesireTree.mp3</v>
      </c>
      <c r="D1752" s="24"/>
      <c r="E1752" s="24"/>
    </row>
    <row r="1753">
      <c r="A1753" s="25" t="s">
        <v>18352</v>
      </c>
      <c r="B1753" s="25" t="s">
        <v>18366</v>
      </c>
      <c r="C1753" s="26" t="str">
        <f>HYPERLINK("https://audio.iskcondesiretree.com/02_-_ISKCON_Swamis/ISKCON_Swamis_-_R_to_Y/His_Holiness_Radhanath_Swami/Lectures/00_-_Year_wise/Devotional_Nectar_-_2002/2002-056_Sunday_Feast_New_Vrindavan_-_Radhanath_Swami_2002-06-16_IDesireTree.mp3", "2002-056_Sunday_Feast_New_Vrindavan_-_Radhanath_Swami_2002-06-16_IDesireTree.mp3")</f>
        <v>2002-056_Sunday_Feast_New_Vrindavan_-_Radhanath_Swami_2002-06-16_IDesireTree.mp3</v>
      </c>
      <c r="D1753" s="24"/>
      <c r="E1753" s="24"/>
    </row>
    <row r="1754">
      <c r="A1754" s="25" t="s">
        <v>18352</v>
      </c>
      <c r="B1754" s="25" t="s">
        <v>18366</v>
      </c>
      <c r="C1754" s="26" t="str">
        <f>HYPERLINK("https://audio.iskcondesiretree.com/02_-_ISKCON_Swamis/ISKCON_Swamis_-_R_to_Y/His_Holiness_Radhanath_Swami/Lectures/00_-_Year_wise/Devotional_Nectar_-_2002/2002-057_SB-04_30_-_Radhanath_Swami_IDesireTree.mp3", "2002-057_SB-04_30_-_Radhanath_Swami_IDesireTree.mp3")</f>
        <v>2002-057_SB-04_30_-_Radhanath_Swami_IDesireTree.mp3</v>
      </c>
      <c r="D1754" s="24"/>
      <c r="E1754" s="24"/>
    </row>
    <row r="1755">
      <c r="A1755" s="25" t="s">
        <v>18352</v>
      </c>
      <c r="B1755" s="25" t="s">
        <v>18366</v>
      </c>
      <c r="C1755" s="26" t="str">
        <f>HYPERLINK("https://audio.iskcondesiretree.com/02_-_ISKCON_Swamis/ISKCON_Swamis_-_R_to_Y/His_Holiness_Radhanath_Swami/Lectures/00_-_Year_wise/Devotional_Nectar_-_2002/2002-058_SB-04_30_22_New_Vrindavan_-_Radhanath_Swami_2002-06-23_IDesireTree.mp3", "2002-058_SB-04_30_22_New_Vrindavan_-_Radhanath_Swami_2002-06-23_IDesireTree.mp3")</f>
        <v>2002-058_SB-04_30_22_New_Vrindavan_-_Radhanath_Swami_2002-06-23_IDesireTree.mp3</v>
      </c>
      <c r="D1755" s="24"/>
      <c r="E1755" s="24"/>
    </row>
    <row r="1756">
      <c r="A1756" s="25" t="s">
        <v>18352</v>
      </c>
      <c r="B1756" s="25" t="s">
        <v>18366</v>
      </c>
      <c r="C1756" s="26" t="str">
        <f>HYPERLINK("https://audio.iskcondesiretree.com/02_-_ISKCON_Swamis/ISKCON_Swamis_-_R_to_Y/His_Holiness_Radhanath_Swami/Lectures/00_-_Year_wise/Devotional_Nectar_-_2002/2002-059_Vanamalis_Lecture_Washington_DC_-_Radhanath_Swami_2002-06-25_IDesireTree.mp3", "2002-059_Vanamalis_Lecture_Washington_DC_-_Radhanath_Swami_2002-06-25_IDesireTree.mp3")</f>
        <v>2002-059_Vanamalis_Lecture_Washington_DC_-_Radhanath_Swami_2002-06-25_IDesireTree.mp3</v>
      </c>
      <c r="D1756" s="24"/>
      <c r="E1756" s="24"/>
    </row>
    <row r="1757">
      <c r="A1757" s="25" t="s">
        <v>18352</v>
      </c>
      <c r="B1757" s="25" t="s">
        <v>18366</v>
      </c>
      <c r="C1757" s="26" t="str">
        <f>HYPERLINK("https://audio.iskcondesiretree.com/02_-_ISKCON_Swamis/ISKCON_Swamis_-_R_to_Y/His_Holiness_Radhanath_Swami/Lectures/00_-_Year_wise/Devotional_Nectar_-_2002/2002-06-16_SB_04-30-15_-_Proper_Culture_of_Co-operation_and_Respect_-_Radhanath_Swami_New_Vrindavan."&amp;"mp3", "2002-06-16_SB_04-30-15_-_Proper_Culture_of_Co-operation_and_Respect_-_Radhanath_Swami_New_Vrindavan.mp3")</f>
        <v>2002-06-16_SB_04-30-15_-_Proper_Culture_of_Co-operation_and_Respect_-_Radhanath_Swami_New_Vrindavan.mp3</v>
      </c>
      <c r="D1757" s="24"/>
      <c r="E1757" s="24"/>
    </row>
    <row r="1758">
      <c r="A1758" s="25" t="s">
        <v>18352</v>
      </c>
      <c r="B1758" s="25" t="s">
        <v>18366</v>
      </c>
      <c r="C1758" s="26" t="str">
        <f>HYPERLINK("https://audio.iskcondesiretree.com/02_-_ISKCON_Swamis/ISKCON_Swamis_-_R_to_Y/His_Holiness_Radhanath_Swami/Lectures/00_-_Year_wise/Devotional_Nectar_-_2002/2002-060_Potomac_SB-05_06_09_Washington_DC_-_Radhanath_Swami_2002-06-262_IDesireTree.mp3", "2002-060_Potomac_SB-05_06_09_Washington_DC_-_Radhanath_Swami_2002-06-262_IDesireTree.mp3")</f>
        <v>2002-060_Potomac_SB-05_06_09_Washington_DC_-_Radhanath_Swami_2002-06-262_IDesireTree.mp3</v>
      </c>
      <c r="D1758" s="24"/>
      <c r="E1758" s="24"/>
    </row>
    <row r="1759">
      <c r="A1759" s="25" t="s">
        <v>18352</v>
      </c>
      <c r="B1759" s="25" t="s">
        <v>18366</v>
      </c>
      <c r="C1759" s="26" t="str">
        <f>HYPERLINK("https://audio.iskcondesiretree.com/02_-_ISKCON_Swamis/ISKCON_Swamis_-_R_to_Y/His_Holiness_Radhanath_Swami/Lectures/00_-_Year_wise/Devotional_Nectar_-_2002/2002-061_Potomac_Jagannatha_Lecture_Washington_DC_-_Radhanath_Swami_2002-06-26_IDesireTree.mp3", "2002-061_Potomac_Jagannatha_Lecture_Washington_DC_-_Radhanath_Swami_2002-06-26_IDesireTree.mp3")</f>
        <v>2002-061_Potomac_Jagannatha_Lecture_Washington_DC_-_Radhanath_Swami_2002-06-26_IDesireTree.mp3</v>
      </c>
      <c r="D1759" s="24"/>
      <c r="E1759" s="24"/>
    </row>
    <row r="1760">
      <c r="A1760" s="25" t="s">
        <v>18352</v>
      </c>
      <c r="B1760" s="25" t="s">
        <v>18366</v>
      </c>
      <c r="C1760" s="26" t="str">
        <f>HYPERLINK("https://audio.iskcondesiretree.com/02_-_ISKCON_Swamis/ISKCON_Swamis_-_R_to_Y/His_Holiness_Radhanath_Swami/Lectures/00_-_Year_wise/Devotional_Nectar_-_2002/2002-062_SB-05_06_10_Washington_DC_-_Radhanath_Swami_2002-06-27_IDesireTree.mp3", "2002-062_SB-05_06_10_Washington_DC_-_Radhanath_Swami_2002-06-27_IDesireTree.mp3")</f>
        <v>2002-062_SB-05_06_10_Washington_DC_-_Radhanath_Swami_2002-06-27_IDesireTree.mp3</v>
      </c>
      <c r="D1760" s="24"/>
      <c r="E1760" s="24"/>
    </row>
    <row r="1761">
      <c r="A1761" s="25" t="s">
        <v>18352</v>
      </c>
      <c r="B1761" s="25" t="s">
        <v>18366</v>
      </c>
      <c r="C1761" s="26" t="str">
        <f>HYPERLINK("https://audio.iskcondesiretree.com/02_-_ISKCON_Swamis/ISKCON_Swamis_-_R_to_Y/His_Holiness_Radhanath_Swami/Lectures/00_-_Year_wise/Devotional_Nectar_-_2002/2002-063_Lecture_Washington_DC_-_Radhanath_Swami_2002-06-27_IDesireTree.mp3", "2002-063_Lecture_Washington_DC_-_Radhanath_Swami_2002-06-27_IDesireTree.mp3")</f>
        <v>2002-063_Lecture_Washington_DC_-_Radhanath_Swami_2002-06-27_IDesireTree.mp3</v>
      </c>
      <c r="D1761" s="24"/>
      <c r="E1761" s="24"/>
    </row>
    <row r="1762">
      <c r="A1762" s="25" t="s">
        <v>18352</v>
      </c>
      <c r="B1762" s="25" t="s">
        <v>18366</v>
      </c>
      <c r="C1762" s="26" t="str">
        <f>HYPERLINK("https://audio.iskcondesiretree.com/02_-_ISKCON_Swamis/ISKCON_Swamis_-_R_to_Y/His_Holiness_Radhanath_Swami/Lectures/00_-_Year_wise/Devotional_Nectar_-_2002/2002-064_Initiation_Lecture_New_Vrindavan_-_Radhanath_Swami_2002-07-04_IDesireTree.mp3", "2002-064_Initiation_Lecture_New_Vrindavan_-_Radhanath_Swami_2002-07-04_IDesireTree.mp3")</f>
        <v>2002-064_Initiation_Lecture_New_Vrindavan_-_Radhanath_Swami_2002-07-04_IDesireTree.mp3</v>
      </c>
      <c r="D1762" s="24"/>
      <c r="E1762" s="24"/>
    </row>
    <row r="1763">
      <c r="A1763" s="25" t="s">
        <v>18352</v>
      </c>
      <c r="B1763" s="25" t="s">
        <v>18366</v>
      </c>
      <c r="C1763" s="26" t="str">
        <f>HYPERLINK("https://audio.iskcondesiretree.com/02_-_ISKCON_Swamis/ISKCON_Swamis_-_R_to_Y/His_Holiness_Radhanath_Swami/Lectures/00_-_Year_wise/Devotional_Nectar_-_2002/2002-065_SB-04_30_34_New_Vrindavan_-_Radhanath_Swami_2002-07-05_IDesireTree.mp3", "2002-065_SB-04_30_34_New_Vrindavan_-_Radhanath_Swami_2002-07-05_IDesireTree.mp3")</f>
        <v>2002-065_SB-04_30_34_New_Vrindavan_-_Radhanath_Swami_2002-07-05_IDesireTree.mp3</v>
      </c>
      <c r="D1763" s="24"/>
      <c r="E1763" s="24"/>
    </row>
    <row r="1764">
      <c r="A1764" s="25" t="s">
        <v>18352</v>
      </c>
      <c r="B1764" s="25" t="s">
        <v>18366</v>
      </c>
      <c r="C1764" s="26" t="str">
        <f>HYPERLINK("https://audio.iskcondesiretree.com/02_-_ISKCON_Swamis/ISKCON_Swamis_-_R_to_Y/His_Holiness_Radhanath_Swami/Lectures/00_-_Year_wise/Devotional_Nectar_-_2002/2002-066_SB-04_30_35_New_Vrindavan_-_Radhanath_Swami_2002-07-06_IDesireTree.mp3", "2002-066_SB-04_30_35_New_Vrindavan_-_Radhanath_Swami_2002-07-06_IDesireTree.mp3")</f>
        <v>2002-066_SB-04_30_35_New_Vrindavan_-_Radhanath_Swami_2002-07-06_IDesireTree.mp3</v>
      </c>
      <c r="D1764" s="24"/>
      <c r="E1764" s="24"/>
    </row>
    <row r="1765">
      <c r="A1765" s="25" t="s">
        <v>18352</v>
      </c>
      <c r="B1765" s="25" t="s">
        <v>18366</v>
      </c>
      <c r="C1765" s="26" t="str">
        <f>HYPERLINK("https://audio.iskcondesiretree.com/02_-_ISKCON_Swamis/ISKCON_Swamis_-_R_to_Y/His_Holiness_Radhanath_Swami/Lectures/00_-_Year_wise/Devotional_Nectar_-_2002/2002-067_SB_04_30_36_New_Vrindavan_-_Radhanath_Swami_2002-07-07_IDesireTree.mp3", "2002-067_SB_04_30_36_New_Vrindavan_-_Radhanath_Swami_2002-07-07_IDesireTree.mp3")</f>
        <v>2002-067_SB_04_30_36_New_Vrindavan_-_Radhanath_Swami_2002-07-07_IDesireTree.mp3</v>
      </c>
      <c r="D1765" s="24"/>
      <c r="E1765" s="24"/>
    </row>
    <row r="1766">
      <c r="A1766" s="25" t="s">
        <v>18352</v>
      </c>
      <c r="B1766" s="25" t="s">
        <v>18366</v>
      </c>
      <c r="C1766" s="26" t="str">
        <f>HYPERLINK("https://audio.iskcondesiretree.com/02_-_ISKCON_Swamis/ISKCON_Swamis_-_R_to_Y/His_Holiness_Radhanath_Swami/Lectures/00_-_Year_wise/Devotional_Nectar_-_2002/2002-068_Lecture_2nd_AVE_New_Vrindavan_-_Radhanath_Swami_2002-07-09_IDesireTree.mp3", "2002-068_Lecture_2nd_AVE_New_Vrindavan_-_Radhanath_Swami_2002-07-09_IDesireTree.mp3")</f>
        <v>2002-068_Lecture_2nd_AVE_New_Vrindavan_-_Radhanath_Swami_2002-07-09_IDesireTree.mp3</v>
      </c>
      <c r="D1766" s="24"/>
      <c r="E1766" s="24"/>
    </row>
    <row r="1767">
      <c r="A1767" s="25" t="s">
        <v>18352</v>
      </c>
      <c r="B1767" s="25" t="s">
        <v>18366</v>
      </c>
      <c r="C1767" s="26" t="str">
        <f>HYPERLINK("https://audio.iskcondesiretree.com/02_-_ISKCON_Swamis/ISKCON_Swamis_-_R_to_Y/His_Holiness_Radhanath_Swami/Lectures/00_-_Year_wise/Devotional_Nectar_-_2002/2002-069_Lecture_26_2nd_AVE_-_Radhanath_Swami_2002-07-12_IDesireTree.mp3", "2002-069_Lecture_26_2nd_AVE_-_Radhanath_Swami_2002-07-12_IDesireTree.mp3")</f>
        <v>2002-069_Lecture_26_2nd_AVE_-_Radhanath_Swami_2002-07-12_IDesireTree.mp3</v>
      </c>
      <c r="D1767" s="24"/>
      <c r="E1767" s="24"/>
    </row>
    <row r="1768">
      <c r="A1768" s="25" t="s">
        <v>18352</v>
      </c>
      <c r="B1768" s="25" t="s">
        <v>18366</v>
      </c>
      <c r="C1768" s="26" t="str">
        <f>HYPERLINK("https://audio.iskcondesiretree.com/02_-_ISKCON_Swamis/ISKCON_Swamis_-_R_to_Y/His_Holiness_Radhanath_Swami/Lectures/00_-_Year_wise/Devotional_Nectar_-_2002/2002-070_Lecture_Italy_-_Radhanath_Swami_2002-09-03_IDesireTree.mp3", "2002-070_Lecture_Italy_-_Radhanath_Swami_2002-09-03_IDesireTree.mp3")</f>
        <v>2002-070_Lecture_Italy_-_Radhanath_Swami_2002-09-03_IDesireTree.mp3</v>
      </c>
      <c r="D1768" s="24"/>
      <c r="E1768" s="24"/>
    </row>
    <row r="1769">
      <c r="A1769" s="25" t="s">
        <v>18352</v>
      </c>
      <c r="B1769" s="25" t="s">
        <v>18366</v>
      </c>
      <c r="C1769" s="26" t="str">
        <f>HYPERLINK("https://audio.iskcondesiretree.com/02_-_ISKCON_Swamis/ISKCON_Swamis_-_R_to_Y/His_Holiness_Radhanath_Swami/Lectures/00_-_Year_wise/Devotional_Nectar_-_2002/2002-071_SB-04_29_71_New_Vrindavan_-_Radhanath_Swami_2002-08-15_IDesireTree.mp3", "2002-071_SB-04_29_71_New_Vrindavan_-_Radhanath_Swami_2002-08-15_IDesireTree.mp3")</f>
        <v>2002-071_SB-04_29_71_New_Vrindavan_-_Radhanath_Swami_2002-08-15_IDesireTree.mp3</v>
      </c>
      <c r="D1769" s="24"/>
      <c r="E1769" s="24"/>
    </row>
    <row r="1770">
      <c r="A1770" s="25" t="s">
        <v>18352</v>
      </c>
      <c r="B1770" s="25" t="s">
        <v>18366</v>
      </c>
      <c r="C1770" s="26" t="str">
        <f>HYPERLINK("https://audio.iskcondesiretree.com/02_-_ISKCON_Swamis/ISKCON_Swamis_-_R_to_Y/His_Holiness_Radhanath_Swami/Lectures/00_-_Year_wise/Devotional_Nectar_-_2002/2002-072_Lecture_Italy_-_Radhanath_Swami_2002-09-04_IDesireTree.mp3", "2002-072_Lecture_Italy_-_Radhanath_Swami_2002-09-04_IDesireTree.mp3")</f>
        <v>2002-072_Lecture_Italy_-_Radhanath_Swami_2002-09-04_IDesireTree.mp3</v>
      </c>
      <c r="D1770" s="24"/>
      <c r="E1770" s="24"/>
    </row>
    <row r="1771">
      <c r="A1771" s="25" t="s">
        <v>18352</v>
      </c>
      <c r="B1771" s="25" t="s">
        <v>18366</v>
      </c>
      <c r="C1771" s="26" t="str">
        <f>HYPERLINK("https://audio.iskcondesiretree.com/02_-_ISKCON_Swamis/ISKCON_Swamis_-_R_to_Y/His_Holiness_Radhanath_Swami/Lectures/00_-_Year_wise/Devotional_Nectar_-_2002/2002-073_Lecture_Italy_-_Radhanath_Swami_2002-09-04_IDesireTree.mp3", "2002-073_Lecture_Italy_-_Radhanath_Swami_2002-09-04_IDesireTree.mp3")</f>
        <v>2002-073_Lecture_Italy_-_Radhanath_Swami_2002-09-04_IDesireTree.mp3</v>
      </c>
      <c r="D1771" s="24"/>
      <c r="E1771" s="24"/>
    </row>
    <row r="1772">
      <c r="A1772" s="25" t="s">
        <v>18352</v>
      </c>
      <c r="B1772" s="25" t="s">
        <v>18366</v>
      </c>
      <c r="C1772" s="26" t="str">
        <f>HYPERLINK("https://audio.iskcondesiretree.com/02_-_ISKCON_Swamis/ISKCON_Swamis_-_R_to_Y/His_Holiness_Radhanath_Swami/Lectures/00_-_Year_wise/Devotional_Nectar_-_2002/2002-074_Lecture_Italy_-_Radhanath_Swami_2002-09-04_IDesireTree.mp3", "2002-074_Lecture_Italy_-_Radhanath_Swami_2002-09-04_IDesireTree.mp3")</f>
        <v>2002-074_Lecture_Italy_-_Radhanath_Swami_2002-09-04_IDesireTree.mp3</v>
      </c>
      <c r="D1772" s="24"/>
      <c r="E1772" s="24"/>
    </row>
    <row r="1773">
      <c r="A1773" s="25" t="s">
        <v>18352</v>
      </c>
      <c r="B1773" s="25" t="s">
        <v>18366</v>
      </c>
      <c r="C1773" s="26" t="str">
        <f>HYPERLINK("https://audio.iskcondesiretree.com/02_-_ISKCON_Swamis/ISKCON_Swamis_-_R_to_Y/His_Holiness_Radhanath_Swami/Lectures/00_-_Year_wise/Devotional_Nectar_-_2002/2002-075_Lecture_Italy_-_Radhanath_Swami_2002-09-16_IDesireTree.mp3", "2002-075_Lecture_Italy_-_Radhanath_Swami_2002-09-16_IDesireTree.mp3")</f>
        <v>2002-075_Lecture_Italy_-_Radhanath_Swami_2002-09-16_IDesireTree.mp3</v>
      </c>
      <c r="D1773" s="24"/>
      <c r="E1773" s="24"/>
    </row>
    <row r="1774">
      <c r="A1774" s="25" t="s">
        <v>18352</v>
      </c>
      <c r="B1774" s="25" t="s">
        <v>18366</v>
      </c>
      <c r="C1774" s="26" t="str">
        <f>HYPERLINK("https://audio.iskcondesiretree.com/02_-_ISKCON_Swamis/ISKCON_Swamis_-_R_to_Y/His_Holiness_Radhanath_Swami/Lectures/00_-_Year_wise/Devotional_Nectar_-_2002/2002-076_Lecture_Italy_-_Radhanath_Swami_2002-09-18_IDesireTree.mp3", "2002-076_Lecture_Italy_-_Radhanath_Swami_2002-09-18_IDesireTree.mp3")</f>
        <v>2002-076_Lecture_Italy_-_Radhanath_Swami_2002-09-18_IDesireTree.mp3</v>
      </c>
      <c r="D1774" s="24"/>
      <c r="E1774" s="24"/>
    </row>
    <row r="1775">
      <c r="A1775" s="25" t="s">
        <v>18352</v>
      </c>
      <c r="B1775" s="25" t="s">
        <v>18366</v>
      </c>
      <c r="C1775" s="26" t="str">
        <f>HYPERLINK("https://audio.iskcondesiretree.com/02_-_ISKCON_Swamis/ISKCON_Swamis_-_R_to_Y/His_Holiness_Radhanath_Swami/Lectures/00_-_Year_wise/Devotional_Nectar_-_2002/2002-077_Lecture_Italy_-_Radhanath_Swami_2002-09-18_IDesireTree.mp3", "2002-077_Lecture_Italy_-_Radhanath_Swami_2002-09-18_IDesireTree.mp3")</f>
        <v>2002-077_Lecture_Italy_-_Radhanath_Swami_2002-09-18_IDesireTree.mp3</v>
      </c>
      <c r="D1775" s="24"/>
      <c r="E1775" s="24"/>
    </row>
    <row r="1776">
      <c r="A1776" s="25" t="s">
        <v>18352</v>
      </c>
      <c r="B1776" s="25" t="s">
        <v>18366</v>
      </c>
      <c r="C1776" s="26" t="str">
        <f>HYPERLINK("https://audio.iskcondesiretree.com/02_-_ISKCON_Swamis/ISKCON_Swamis_-_R_to_Y/His_Holiness_Radhanath_Swami/Lectures/00_-_Year_wise/Devotional_Nectar_-_2002/2002-078_Lecture_Italy_-_Radhanath_Swami_2002-09-18_IDesireTree.mp3", "2002-078_Lecture_Italy_-_Radhanath_Swami_2002-09-18_IDesireTree.mp3")</f>
        <v>2002-078_Lecture_Italy_-_Radhanath_Swami_2002-09-18_IDesireTree.mp3</v>
      </c>
      <c r="D1776" s="24"/>
      <c r="E1776" s="24"/>
    </row>
    <row r="1777">
      <c r="A1777" s="25" t="s">
        <v>18352</v>
      </c>
      <c r="B1777" s="25" t="s">
        <v>18366</v>
      </c>
      <c r="C1777" s="26" t="str">
        <f>HYPERLINK("https://audio.iskcondesiretree.com/02_-_ISKCON_Swamis/ISKCON_Swamis_-_R_to_Y/His_Holiness_Radhanath_Swami/Lectures/00_-_Year_wise/Devotional_Nectar_-_2002/2002-079_Lecture_Italy_-_Radhanath_Swami_2002-09-19_IDesireTree.mp3", "2002-079_Lecture_Italy_-_Radhanath_Swami_2002-09-19_IDesireTree.mp3")</f>
        <v>2002-079_Lecture_Italy_-_Radhanath_Swami_2002-09-19_IDesireTree.mp3</v>
      </c>
      <c r="D1777" s="24"/>
      <c r="E1777" s="24"/>
    </row>
    <row r="1778">
      <c r="A1778" s="25" t="s">
        <v>18352</v>
      </c>
      <c r="B1778" s="25" t="s">
        <v>18366</v>
      </c>
      <c r="C1778" s="26" t="str">
        <f>HYPERLINK("https://audio.iskcondesiretree.com/02_-_ISKCON_Swamis/ISKCON_Swamis_-_R_to_Y/His_Holiness_Radhanath_Swami/Lectures/00_-_Year_wise/Devotional_Nectar_-_2002/2002-080_Lecture_Italy_-_Radhanath_Swami_2002-09-21_IDesireTree.mp3", "2002-080_Lecture_Italy_-_Radhanath_Swami_2002-09-21_IDesireTree.mp3")</f>
        <v>2002-080_Lecture_Italy_-_Radhanath_Swami_2002-09-21_IDesireTree.mp3</v>
      </c>
      <c r="D1778" s="24"/>
      <c r="E1778" s="24"/>
    </row>
    <row r="1779">
      <c r="A1779" s="25" t="s">
        <v>18352</v>
      </c>
      <c r="B1779" s="25" t="s">
        <v>18366</v>
      </c>
      <c r="C1779" s="26" t="str">
        <f>HYPERLINK("https://audio.iskcondesiretree.com/02_-_ISKCON_Swamis/ISKCON_Swamis_-_R_to_Y/His_Holiness_Radhanath_Swami/Lectures/00_-_Year_wise/Devotional_Nectar_-_2002/2002-081_Lecture_Italy_-_Radhanath_Swami_2002-09-22_IDesireTree.mp3", "2002-081_Lecture_Italy_-_Radhanath_Swami_2002-09-22_IDesireTree.mp3")</f>
        <v>2002-081_Lecture_Italy_-_Radhanath_Swami_2002-09-22_IDesireTree.mp3</v>
      </c>
      <c r="D1779" s="24"/>
      <c r="E1779" s="24"/>
    </row>
    <row r="1780">
      <c r="A1780" s="25" t="s">
        <v>18352</v>
      </c>
      <c r="B1780" s="25" t="s">
        <v>18366</v>
      </c>
      <c r="C1780" s="26" t="str">
        <f>HYPERLINK("https://audio.iskcondesiretree.com/02_-_ISKCON_Swamis/ISKCON_Swamis_-_R_to_Y/His_Holiness_Radhanath_Swami/Lectures/00_-_Year_wise/Devotional_Nectar_-_2002/2002-082_Lecture_Italy_-_Radhanath_Swami_2002-09-22_IDesireTree.mp3", "2002-082_Lecture_Italy_-_Radhanath_Swami_2002-09-22_IDesireTree.mp3")</f>
        <v>2002-082_Lecture_Italy_-_Radhanath_Swami_2002-09-22_IDesireTree.mp3</v>
      </c>
      <c r="D1780" s="24"/>
      <c r="E1780" s="24"/>
    </row>
    <row r="1781">
      <c r="A1781" s="25" t="s">
        <v>18352</v>
      </c>
      <c r="B1781" s="25" t="s">
        <v>18366</v>
      </c>
      <c r="C1781" s="26" t="str">
        <f>HYPERLINK("https://audio.iskcondesiretree.com/02_-_ISKCON_Swamis/ISKCON_Swamis_-_R_to_Y/His_Holiness_Radhanath_Swami/Lectures/00_-_Year_wise/Devotional_Nectar_-_2002/2002-083_Lecture_Italy_-_Radhanath_Swami_2002-09-23_IDesireTree.mp3", "2002-083_Lecture_Italy_-_Radhanath_Swami_2002-09-23_IDesireTree.mp3")</f>
        <v>2002-083_Lecture_Italy_-_Radhanath_Swami_2002-09-23_IDesireTree.mp3</v>
      </c>
      <c r="D1781" s="24"/>
      <c r="E1781" s="24"/>
    </row>
    <row r="1782">
      <c r="A1782" s="25" t="s">
        <v>18352</v>
      </c>
      <c r="B1782" s="25" t="s">
        <v>18366</v>
      </c>
      <c r="C1782" s="26" t="str">
        <f>HYPERLINK("https://audio.iskcondesiretree.com/02_-_ISKCON_Swamis/ISKCON_Swamis_-_R_to_Y/His_Holiness_Radhanath_Swami/Lectures/00_-_Year_wise/Devotional_Nectar_-_2002/2002-084_Lecture_Italy_-_Radhanath_Swami_2002-09-23_IDesireTree.mp3", "2002-084_Lecture_Italy_-_Radhanath_Swami_2002-09-23_IDesireTree.mp3")</f>
        <v>2002-084_Lecture_Italy_-_Radhanath_Swami_2002-09-23_IDesireTree.mp3</v>
      </c>
      <c r="D1782" s="24"/>
      <c r="E1782" s="24"/>
    </row>
    <row r="1783">
      <c r="A1783" s="25" t="s">
        <v>18352</v>
      </c>
      <c r="B1783" s="25" t="s">
        <v>18366</v>
      </c>
      <c r="C1783" s="26" t="str">
        <f>HYPERLINK("https://audio.iskcondesiretree.com/02_-_ISKCON_Swamis/ISKCON_Swamis_-_R_to_Y/His_Holiness_Radhanath_Swami/Lectures/00_-_Year_wise/Devotional_Nectar_-_2002/2002-085_Lecture_Italy_-_Radhanath_Swami_2002-09-23_IDesireTree.mp3", "2002-085_Lecture_Italy_-_Radhanath_Swami_2002-09-23_IDesireTree.mp3")</f>
        <v>2002-085_Lecture_Italy_-_Radhanath_Swami_2002-09-23_IDesireTree.mp3</v>
      </c>
      <c r="D1783" s="24"/>
      <c r="E1783" s="24"/>
    </row>
    <row r="1784">
      <c r="A1784" s="25" t="s">
        <v>18352</v>
      </c>
      <c r="B1784" s="25" t="s">
        <v>18366</v>
      </c>
      <c r="C1784" s="26" t="str">
        <f>HYPERLINK("https://audio.iskcondesiretree.com/02_-_ISKCON_Swamis/ISKCON_Swamis_-_R_to_Y/His_Holiness_Radhanath_Swami/Lectures/00_-_Year_wise/Devotional_Nectar_-_2002/2002-086_Lecture_Italy_-_Radhanath_Swami_2002-09-24_IDesireTree.mp3", "2002-086_Lecture_Italy_-_Radhanath_Swami_2002-09-24_IDesireTree.mp3")</f>
        <v>2002-086_Lecture_Italy_-_Radhanath_Swami_2002-09-24_IDesireTree.mp3</v>
      </c>
      <c r="D1784" s="24"/>
      <c r="E1784" s="24"/>
    </row>
    <row r="1785">
      <c r="A1785" s="25" t="s">
        <v>18352</v>
      </c>
      <c r="B1785" s="25" t="s">
        <v>18366</v>
      </c>
      <c r="C1785" s="26" t="str">
        <f>HYPERLINK("https://audio.iskcondesiretree.com/02_-_ISKCON_Swamis/ISKCON_Swamis_-_R_to_Y/His_Holiness_Radhanath_Swami/Lectures/00_-_Year_wise/Devotional_Nectar_-_2002/2002-087_Lecture_Italy_-_Radhanath_Swami_2002-09-24_IDesireTree.mp3", "2002-087_Lecture_Italy_-_Radhanath_Swami_2002-09-24_IDesireTree.mp3")</f>
        <v>2002-087_Lecture_Italy_-_Radhanath_Swami_2002-09-24_IDesireTree.mp3</v>
      </c>
      <c r="D1785" s="24"/>
      <c r="E1785" s="24"/>
    </row>
    <row r="1786">
      <c r="A1786" s="25" t="s">
        <v>18352</v>
      </c>
      <c r="B1786" s="25" t="s">
        <v>18366</v>
      </c>
      <c r="C1786" s="26" t="str">
        <f>HYPERLINK("https://audio.iskcondesiretree.com/02_-_ISKCON_Swamis/ISKCON_Swamis_-_R_to_Y/His_Holiness_Radhanath_Swami/Lectures/00_-_Year_wise/Devotional_Nectar_-_2002/2002-088_Lecture_Italy_-_Radhanath_Swami_2002-09-24_IDesireTree.mp3", "2002-088_Lecture_Italy_-_Radhanath_Swami_2002-09-24_IDesireTree.mp3")</f>
        <v>2002-088_Lecture_Italy_-_Radhanath_Swami_2002-09-24_IDesireTree.mp3</v>
      </c>
      <c r="D1786" s="24"/>
      <c r="E1786" s="24"/>
    </row>
    <row r="1787">
      <c r="A1787" s="25" t="s">
        <v>18352</v>
      </c>
      <c r="B1787" s="25" t="s">
        <v>18366</v>
      </c>
      <c r="C1787" s="26" t="str">
        <f>HYPERLINK("https://audio.iskcondesiretree.com/02_-_ISKCON_Swamis/ISKCON_Swamis_-_R_to_Y/His_Holiness_Radhanath_Swami/Lectures/00_-_Year_wise/Devotional_Nectar_-_2002/2002-089_SB-03_25_20_Moscow_-_Radhanath_Swami_2002-09-26_IDesireTree.mp3", "2002-089_SB-03_25_20_Moscow_-_Radhanath_Swami_2002-09-26_IDesireTree.mp3")</f>
        <v>2002-089_SB-03_25_20_Moscow_-_Radhanath_Swami_2002-09-26_IDesireTree.mp3</v>
      </c>
      <c r="D1787" s="24"/>
      <c r="E1787" s="24"/>
    </row>
    <row r="1788">
      <c r="A1788" s="25" t="s">
        <v>18352</v>
      </c>
      <c r="B1788" s="25" t="s">
        <v>18366</v>
      </c>
      <c r="C1788" s="26" t="str">
        <f>HYPERLINK("https://audio.iskcondesiretree.com/02_-_ISKCON_Swamis/ISKCON_Swamis_-_R_to_Y/His_Holiness_Radhanath_Swami/Lectures/00_-_Year_wise/Devotional_Nectar_-_2002/2002-09-05_SB_03-07-14_-_Different_Stages_of_Sadhana_Bhakti-01_-_Radhanath_Swami_Radhadesh.mp3", "2002-09-05_SB_03-07-14_-_Different_Stages_of_Sadhana_Bhakti-01_-_Radhanath_Swami_Radhadesh.mp3")</f>
        <v>2002-09-05_SB_03-07-14_-_Different_Stages_of_Sadhana_Bhakti-01_-_Radhanath_Swami_Radhadesh.mp3</v>
      </c>
      <c r="D1788" s="24"/>
      <c r="E1788" s="24"/>
    </row>
    <row r="1789">
      <c r="A1789" s="25" t="s">
        <v>18352</v>
      </c>
      <c r="B1789" s="25" t="s">
        <v>18366</v>
      </c>
      <c r="C1789" s="26" t="str">
        <f>HYPERLINK("https://audio.iskcondesiretree.com/02_-_ISKCON_Swamis/ISKCON_Swamis_-_R_to_Y/His_Holiness_Radhanath_Swami/Lectures/00_-_Year_wise/Devotional_Nectar_-_2002/2002-09-05_SB_03-07-14_-_Different_Stages_of_Sadhana_Bhakti-02_-_Radhanath_Swami_Radhadesh.mp3", "2002-09-05_SB_03-07-14_-_Different_Stages_of_Sadhana_Bhakti-02_-_Radhanath_Swami_Radhadesh.mp3")</f>
        <v>2002-09-05_SB_03-07-14_-_Different_Stages_of_Sadhana_Bhakti-02_-_Radhanath_Swami_Radhadesh.mp3</v>
      </c>
      <c r="D1789" s="24"/>
      <c r="E1789" s="24"/>
    </row>
    <row r="1790">
      <c r="A1790" s="25" t="s">
        <v>18352</v>
      </c>
      <c r="B1790" s="25" t="s">
        <v>18366</v>
      </c>
      <c r="C1790" s="26" t="str">
        <f>HYPERLINK("https://audio.iskcondesiretree.com/02_-_ISKCON_Swamis/ISKCON_Swamis_-_R_to_Y/His_Holiness_Radhanath_Swami/Lectures/00_-_Year_wise/Devotional_Nectar_-_2002/2002-09-06_Various_-_Volunteers_Program_-_Radhanath_Swami_London.mp3", "2002-09-06_Various_-_Volunteers_Program_-_Radhanath_Swami_London.mp3")</f>
        <v>2002-09-06_Various_-_Volunteers_Program_-_Radhanath_Swami_London.mp3</v>
      </c>
      <c r="D1790" s="24"/>
      <c r="E1790" s="24"/>
    </row>
    <row r="1791">
      <c r="A1791" s="25" t="s">
        <v>18352</v>
      </c>
      <c r="B1791" s="25" t="s">
        <v>18366</v>
      </c>
      <c r="C1791" s="26" t="str">
        <f>HYPERLINK("https://audio.iskcondesiretree.com/02_-_ISKCON_Swamis/ISKCON_Swamis_-_R_to_Y/His_Holiness_Radhanath_Swami/Lectures/00_-_Year_wise/Devotional_Nectar_-_2002/2002-090_Darshan_Lecture_Moscow_-_Radhanath_Swami_2002-09-27_IDesireTree.mp3", "2002-090_Darshan_Lecture_Moscow_-_Radhanath_Swami_2002-09-27_IDesireTree.mp3")</f>
        <v>2002-090_Darshan_Lecture_Moscow_-_Radhanath_Swami_2002-09-27_IDesireTree.mp3</v>
      </c>
      <c r="D1791" s="24"/>
      <c r="E1791" s="24"/>
    </row>
    <row r="1792">
      <c r="A1792" s="25" t="s">
        <v>18352</v>
      </c>
      <c r="B1792" s="25" t="s">
        <v>18366</v>
      </c>
      <c r="C1792" s="26" t="str">
        <f>HYPERLINK("https://audio.iskcondesiretree.com/02_-_ISKCON_Swamis/ISKCON_Swamis_-_R_to_Y/His_Holiness_Radhanath_Swami/Lectures/00_-_Year_wise/Devotional_Nectar_-_2002/2002-091_SB-03_25_21_Moscow_-_Radhanath_Swami_2002-09-27_IDesireTree.mp3", "2002-091_SB-03_25_21_Moscow_-_Radhanath_Swami_2002-09-27_IDesireTree.mp3")</f>
        <v>2002-091_SB-03_25_21_Moscow_-_Radhanath_Swami_2002-09-27_IDesireTree.mp3</v>
      </c>
      <c r="D1792" s="24"/>
      <c r="E1792" s="24"/>
    </row>
    <row r="1793">
      <c r="A1793" s="25" t="s">
        <v>18352</v>
      </c>
      <c r="B1793" s="25" t="s">
        <v>18366</v>
      </c>
      <c r="C1793" s="26" t="str">
        <f>HYPERLINK("https://audio.iskcondesiretree.com/02_-_ISKCON_Swamis/ISKCON_Swamis_-_R_to_Y/His_Holiness_Radhanath_Swami/Lectures/00_-_Year_wise/Devotional_Nectar_-_2002/2002-092_SB-03_25_22_Moscow_-_Radhanath_Swami_2002-09-28_IDesireTree.mp3", "2002-092_SB-03_25_22_Moscow_-_Radhanath_Swami_2002-09-28_IDesireTree.mp3")</f>
        <v>2002-092_SB-03_25_22_Moscow_-_Radhanath_Swami_2002-09-28_IDesireTree.mp3</v>
      </c>
      <c r="D1793" s="24"/>
      <c r="E1793" s="24"/>
    </row>
    <row r="1794">
      <c r="A1794" s="25" t="s">
        <v>18352</v>
      </c>
      <c r="B1794" s="25" t="s">
        <v>18366</v>
      </c>
      <c r="C1794" s="26" t="str">
        <f>HYPERLINK("https://audio.iskcondesiretree.com/02_-_ISKCON_Swamis/ISKCON_Swamis_-_R_to_Y/His_Holiness_Radhanath_Swami/Lectures/00_-_Year_wise/Devotional_Nectar_-_2002/2002-093_Lecture_Moscow_-_Radhanath_Swami_2002-09-28_IDesireTree.mp3", "2002-093_Lecture_Moscow_-_Radhanath_Swami_2002-09-28_IDesireTree.mp3")</f>
        <v>2002-093_Lecture_Moscow_-_Radhanath_Swami_2002-09-28_IDesireTree.mp3</v>
      </c>
      <c r="D1794" s="24"/>
      <c r="E1794" s="24"/>
    </row>
    <row r="1795">
      <c r="A1795" s="25" t="s">
        <v>18352</v>
      </c>
      <c r="B1795" s="25" t="s">
        <v>18366</v>
      </c>
      <c r="C1795" s="26" t="str">
        <f>HYPERLINK("https://audio.iskcondesiretree.com/02_-_ISKCON_Swamis/ISKCON_Swamis_-_R_to_Y/His_Holiness_Radhanath_Swami/Lectures/00_-_Year_wise/Devotional_Nectar_-_2002/2002-094_SB-03_25_23_Moscow_-_Radhanath_Swami_2002-09-29_IDesireTree.mp3", "2002-094_SB-03_25_23_Moscow_-_Radhanath_Swami_2002-09-29_IDesireTree.mp3")</f>
        <v>2002-094_SB-03_25_23_Moscow_-_Radhanath_Swami_2002-09-29_IDesireTree.mp3</v>
      </c>
      <c r="D1795" s="24"/>
      <c r="E1795" s="24"/>
    </row>
    <row r="1796">
      <c r="A1796" s="25" t="s">
        <v>18352</v>
      </c>
      <c r="B1796" s="25" t="s">
        <v>18366</v>
      </c>
      <c r="C1796" s="26" t="str">
        <f>HYPERLINK("https://audio.iskcondesiretree.com/02_-_ISKCON_Swamis/ISKCON_Swamis_-_R_to_Y/His_Holiness_Radhanath_Swami/Lectures/00_-_Year_wise/Devotional_Nectar_-_2002/2002-095_Lecture_Moscow_-_Radhanath_Swami_2002-09-302_IDesireTree.mp3", "2002-095_Lecture_Moscow_-_Radhanath_Swami_2002-09-302_IDesireTree.mp3")</f>
        <v>2002-095_Lecture_Moscow_-_Radhanath_Swami_2002-09-302_IDesireTree.mp3</v>
      </c>
      <c r="D1796" s="24"/>
      <c r="E1796" s="24"/>
    </row>
    <row r="1797">
      <c r="A1797" s="25" t="s">
        <v>18352</v>
      </c>
      <c r="B1797" s="25" t="s">
        <v>18366</v>
      </c>
      <c r="C1797" s="26" t="str">
        <f>HYPERLINK("https://audio.iskcondesiretree.com/02_-_ISKCON_Swamis/ISKCON_Swamis_-_R_to_Y/His_Holiness_Radhanath_Swami/Lectures/00_-_Year_wise/Devotional_Nectar_-_2002/2002-096_SB-03_25_24_Moscow_-_Radhanath_Swami_2002-09-30_IDesireTree.mp3", "2002-096_SB-03_25_24_Moscow_-_Radhanath_Swami_2002-09-30_IDesireTree.mp3")</f>
        <v>2002-096_SB-03_25_24_Moscow_-_Radhanath_Swami_2002-09-30_IDesireTree.mp3</v>
      </c>
      <c r="D1797" s="24"/>
      <c r="E1797" s="24"/>
    </row>
    <row r="1798">
      <c r="A1798" s="25" t="s">
        <v>18352</v>
      </c>
      <c r="B1798" s="25" t="s">
        <v>18366</v>
      </c>
      <c r="C1798" s="26" t="str">
        <f>HYPERLINK("https://audio.iskcondesiretree.com/02_-_ISKCON_Swamis/ISKCON_Swamis_-_R_to_Y/His_Holiness_Radhanath_Swami/Lectures/00_-_Year_wise/Devotional_Nectar_-_2002/2002-097_Initiation_Lecture_Moscow_-_Radhanath_Swami_2002-09-30_IDesireTree.mp3", "2002-097_Initiation_Lecture_Moscow_-_Radhanath_Swami_2002-09-30_IDesireTree.mp3")</f>
        <v>2002-097_Initiation_Lecture_Moscow_-_Radhanath_Swami_2002-09-30_IDesireTree.mp3</v>
      </c>
      <c r="D1798" s="24"/>
      <c r="E1798" s="24"/>
    </row>
    <row r="1799">
      <c r="A1799" s="25" t="s">
        <v>18352</v>
      </c>
      <c r="B1799" s="25" t="s">
        <v>18366</v>
      </c>
      <c r="C1799" s="26" t="str">
        <f>HYPERLINK("https://audio.iskcondesiretree.com/02_-_ISKCON_Swamis/ISKCON_Swamis_-_R_to_Y/His_Holiness_Radhanath_Swami/Lectures/00_-_Year_wise/Devotional_Nectar_-_2002/2002-098_Lecture_Kiev_-_Radhanath_Swami_2002-10-01_IDesireTree.mp3", "2002-098_Lecture_Kiev_-_Radhanath_Swami_2002-10-01_IDesireTree.mp3")</f>
        <v>2002-098_Lecture_Kiev_-_Radhanath_Swami_2002-10-01_IDesireTree.mp3</v>
      </c>
      <c r="D1799" s="24"/>
      <c r="E1799" s="24"/>
    </row>
    <row r="1800">
      <c r="A1800" s="25" t="s">
        <v>18352</v>
      </c>
      <c r="B1800" s="25" t="s">
        <v>18366</v>
      </c>
      <c r="C1800" s="26" t="str">
        <f>HYPERLINK("https://audio.iskcondesiretree.com/02_-_ISKCON_Swamis/ISKCON_Swamis_-_R_to_Y/His_Holiness_Radhanath_Swami/Lectures/00_-_Year_wise/Devotional_Nectar_-_2002/2002-099_Converting_the_mind_SB-04_10_08_Mumbai_-_Radhanath_Swami_2002-10-01_IDesireTree.mp3", "2002-099_Converting_the_mind_SB-04_10_08_Mumbai_-_Radhanath_Swami_2002-10-01_IDesireTree.mp3")</f>
        <v>2002-099_Converting_the_mind_SB-04_10_08_Mumbai_-_Radhanath_Swami_2002-10-01_IDesireTree.mp3</v>
      </c>
      <c r="D1800" s="24"/>
      <c r="E1800" s="24"/>
    </row>
    <row r="1801">
      <c r="A1801" s="25" t="s">
        <v>18352</v>
      </c>
      <c r="B1801" s="25" t="s">
        <v>18366</v>
      </c>
      <c r="C1801" s="26" t="str">
        <f>HYPERLINK("https://audio.iskcondesiretree.com/02_-_ISKCON_Swamis/ISKCON_Swamis_-_R_to_Y/His_Holiness_Radhanath_Swami/Lectures/00_-_Year_wise/Devotional_Nectar_-_2002/2002-100_Arrival_Address_Lecture_Mumbai_-_Radhanath_Swami_2002-10-12_IDesireTree.mp3", "2002-100_Arrival_Address_Lecture_Mumbai_-_Radhanath_Swami_2002-10-12_IDesireTree.mp3")</f>
        <v>2002-100_Arrival_Address_Lecture_Mumbai_-_Radhanath_Swami_2002-10-12_IDesireTree.mp3</v>
      </c>
      <c r="D1801" s="24"/>
      <c r="E1801" s="24"/>
    </row>
    <row r="1802">
      <c r="A1802" s="25" t="s">
        <v>18352</v>
      </c>
      <c r="B1802" s="25" t="s">
        <v>18366</v>
      </c>
      <c r="C1802" s="26" t="str">
        <f>HYPERLINK("https://audio.iskcondesiretree.com/02_-_ISKCON_Swamis/ISKCON_Swamis_-_R_to_Y/His_Holiness_Radhanath_Swami/Lectures/00_-_Year_wise/Devotional_Nectar_-_2002/2002-101_Higher_Intoxication_Of_The_Holy_Name_SB-04_18_15_Mumbai_-_13-10-02_IDesireTree.mp3", "2002-101_Higher_Intoxication_Of_The_Holy_Name_SB-04_18_15_Mumbai_-_13-10-02_IDesireTree.mp3")</f>
        <v>2002-101_Higher_Intoxication_Of_The_Holy_Name_SB-04_18_15_Mumbai_-_13-10-02_IDesireTree.mp3</v>
      </c>
      <c r="D1802" s="24"/>
      <c r="E1802" s="24"/>
    </row>
    <row r="1803">
      <c r="A1803" s="25" t="s">
        <v>18352</v>
      </c>
      <c r="B1803" s="25" t="s">
        <v>18366</v>
      </c>
      <c r="C1803" s="26" t="str">
        <f>HYPERLINK("https://audio.iskcondesiretree.com/02_-_ISKCON_Swamis/ISKCON_Swamis_-_R_to_Y/His_Holiness_Radhanath_Swami/Lectures/00_-_Year_wise/Devotional_Nectar_-_2002/2002-102_Sunday_Feast_Mumbai_-_Radhanath_Swami_2002-10-13_IDesireTree.mp3", "2002-102_Sunday_Feast_Mumbai_-_Radhanath_Swami_2002-10-13_IDesireTree.mp3")</f>
        <v>2002-102_Sunday_Feast_Mumbai_-_Radhanath_Swami_2002-10-13_IDesireTree.mp3</v>
      </c>
      <c r="D1803" s="24"/>
      <c r="E1803" s="24"/>
    </row>
    <row r="1804">
      <c r="A1804" s="25" t="s">
        <v>18352</v>
      </c>
      <c r="B1804" s="25" t="s">
        <v>18366</v>
      </c>
      <c r="C1804" s="26" t="str">
        <f>HYPERLINK("https://audio.iskcondesiretree.com/02_-_ISKCON_Swamis/ISKCON_Swamis_-_R_to_Y/His_Holiness_Radhanath_Swami/Lectures/00_-_Year_wise/Devotional_Nectar_-_2002/2002-103_Conflict_resolution_Lecture_Mumbai_-_Radhanath_Swami_2002-10-17_IDesireTree.mp3", "2002-103_Conflict_resolution_Lecture_Mumbai_-_Radhanath_Swami_2002-10-17_IDesireTree.mp3")</f>
        <v>2002-103_Conflict_resolution_Lecture_Mumbai_-_Radhanath_Swami_2002-10-17_IDesireTree.mp3</v>
      </c>
      <c r="D1804" s="24"/>
      <c r="E1804" s="24"/>
    </row>
    <row r="1805">
      <c r="A1805" s="25" t="s">
        <v>18352</v>
      </c>
      <c r="B1805" s="25" t="s">
        <v>18366</v>
      </c>
      <c r="C1805" s="26" t="str">
        <f>HYPERLINK("https://audio.iskcondesiretree.com/02_-_ISKCON_Swamis/ISKCON_Swamis_-_R_to_Y/His_Holiness_Radhanath_Swami/Lectures/00_-_Year_wise/Devotional_Nectar_-_2002/2002-104_Bhutanath_The_Lord_Of_Vaskas_Raksas_%26_Pisacasas_SB-04_18_21_Mumbai_-_19-10-02_IDesireTree"&amp;".mp3", "2002-104_Bhutanath_The_Lord_Of_Vaskas_Raksas_%26_Pisacasas_SB-04_18_21_Mumbai_-_19-10-02_IDesireTree.mp3")</f>
        <v>2002-104_Bhutanath_The_Lord_Of_Vaskas_Raksas_%26_Pisacasas_SB-04_18_21_Mumbai_-_19-10-02_IDesireTree.mp3</v>
      </c>
      <c r="D1805" s="24"/>
      <c r="E1805" s="24"/>
    </row>
    <row r="1806">
      <c r="A1806" s="25" t="s">
        <v>18352</v>
      </c>
      <c r="B1806" s="25" t="s">
        <v>18366</v>
      </c>
      <c r="C1806" s="26" t="str">
        <f>HYPERLINK("https://audio.iskcondesiretree.com/02_-_ISKCON_Swamis/ISKCON_Swamis_-_R_to_Y/His_Holiness_Radhanath_Swami/Lectures/00_-_Year_wise/Devotional_Nectar_-_2002/2002-105_Conquering_the_Greast_Enemy_Lecture_Mumbai_-_Radhanath_Swami_2002-10-19_IDesireTree.mp3", "2002-105_Conquering_the_Greast_Enemy_Lecture_Mumbai_-_Radhanath_Swami_2002-10-19_IDesireTree.mp3")</f>
        <v>2002-105_Conquering_the_Greast_Enemy_Lecture_Mumbai_-_Radhanath_Swami_2002-10-19_IDesireTree.mp3</v>
      </c>
      <c r="D1806" s="24"/>
      <c r="E1806" s="24"/>
    </row>
    <row r="1807">
      <c r="A1807" s="25" t="s">
        <v>18352</v>
      </c>
      <c r="B1807" s="25" t="s">
        <v>18366</v>
      </c>
      <c r="C1807" s="26" t="str">
        <f>HYPERLINK("https://audio.iskcondesiretree.com/02_-_ISKCON_Swamis/ISKCON_Swamis_-_R_to_Y/His_Holiness_Radhanath_Swami/Lectures/00_-_Year_wise/Devotional_Nectar_-_2002/2002-106_Spreading_Krsna_Consciousness_All_Over_I_Sunday_Feast_Mumbai_-_24-11-02_IDesireTree.mp3", "2002-106_Spreading_Krsna_Consciousness_All_Over_I_Sunday_Feast_Mumbai_-_24-11-02_IDesireTree.mp3")</f>
        <v>2002-106_Spreading_Krsna_Consciousness_All_Over_I_Sunday_Feast_Mumbai_-_24-11-02_IDesireTree.mp3</v>
      </c>
      <c r="D1807" s="24"/>
      <c r="E1807" s="24"/>
    </row>
    <row r="1808">
      <c r="A1808" s="25" t="s">
        <v>18352</v>
      </c>
      <c r="B1808" s="25" t="s">
        <v>18366</v>
      </c>
      <c r="C1808" s="26" t="str">
        <f>HYPERLINK("https://audio.iskcondesiretree.com/02_-_ISKCON_Swamis/ISKCON_Swamis_-_R_to_Y/His_Holiness_Radhanath_Swami/Lectures/00_-_Year_wise/Devotional_Nectar_-_2002/2002-107_Mother_Earth_Reciprocates_As_You_Approach_SB-04_18_22_Mumbai_-_20-10-02_IDesireTree.mp3", "2002-107_Mother_Earth_Reciprocates_As_You_Approach_SB-04_18_22_Mumbai_-_20-10-02_IDesireTree.mp3")</f>
        <v>2002-107_Mother_Earth_Reciprocates_As_You_Approach_SB-04_18_22_Mumbai_-_20-10-02_IDesireTree.mp3</v>
      </c>
      <c r="D1808" s="24"/>
      <c r="E1808" s="24"/>
    </row>
    <row r="1809">
      <c r="A1809" s="25" t="s">
        <v>18352</v>
      </c>
      <c r="B1809" s="25" t="s">
        <v>18366</v>
      </c>
      <c r="C1809" s="26" t="str">
        <f>HYPERLINK("https://audio.iskcondesiretree.com/02_-_ISKCON_Swamis/ISKCON_Swamis_-_R_to_Y/His_Holiness_Radhanath_Swami/Lectures/00_-_Year_wise/Devotional_Nectar_-_2002/2002-108_Utilising_Human_Body_For_The_Greatest_Gift_Sunday_Feast_Mumbai_-_20_10_02_IDesireTree.mp3", "2002-108_Utilising_Human_Body_For_The_Greatest_Gift_Sunday_Feast_Mumbai_-_20_10_02_IDesireTree.mp3")</f>
        <v>2002-108_Utilising_Human_Body_For_The_Greatest_Gift_Sunday_Feast_Mumbai_-_20_10_02_IDesireTree.mp3</v>
      </c>
      <c r="D1809" s="24"/>
      <c r="E1809" s="24"/>
    </row>
    <row r="1810">
      <c r="A1810" s="25" t="s">
        <v>18352</v>
      </c>
      <c r="B1810" s="25" t="s">
        <v>18366</v>
      </c>
      <c r="C1810" s="26" t="str">
        <f>HYPERLINK("https://audio.iskcondesiretree.com/02_-_ISKCON_Swamis/ISKCON_Swamis_-_R_to_Y/His_Holiness_Radhanath_Swami/Lectures/00_-_Year_wise/Devotional_Nectar_-_2002/2002-109_Sharad_Purnima_Lecture_Mumbai_-_Radhanath_Swami_2002-10-21_IDesireTree.mp3", "2002-109_Sharad_Purnima_Lecture_Mumbai_-_Radhanath_Swami_2002-10-21_IDesireTree.mp3")</f>
        <v>2002-109_Sharad_Purnima_Lecture_Mumbai_-_Radhanath_Swami_2002-10-21_IDesireTree.mp3</v>
      </c>
      <c r="D1810" s="24"/>
      <c r="E1810" s="24"/>
    </row>
    <row r="1811">
      <c r="A1811" s="25" t="s">
        <v>18352</v>
      </c>
      <c r="B1811" s="25" t="s">
        <v>18366</v>
      </c>
      <c r="C1811" s="26" t="str">
        <f>HYPERLINK("https://audio.iskcondesiretree.com/02_-_ISKCON_Swamis/ISKCON_Swamis_-_R_to_Y/His_Holiness_Radhanath_Swami/Lectures/00_-_Year_wise/Devotional_Nectar_-_2002/2002-110_Sacrifice_For_The_Welfare_Of_Others_SB-02_06_08_Mumbai_-_24-10-02_IDesireTree.mp3", "2002-110_Sacrifice_For_The_Welfare_Of_Others_SB-02_06_08_Mumbai_-_24-10-02_IDesireTree.mp3")</f>
        <v>2002-110_Sacrifice_For_The_Welfare_Of_Others_SB-02_06_08_Mumbai_-_24-10-02_IDesireTree.mp3</v>
      </c>
      <c r="D1811" s="24"/>
      <c r="E1811" s="24"/>
    </row>
    <row r="1812">
      <c r="A1812" s="25" t="s">
        <v>18352</v>
      </c>
      <c r="B1812" s="25" t="s">
        <v>18366</v>
      </c>
      <c r="C1812" s="26" t="str">
        <f>HYPERLINK("https://audio.iskcondesiretree.com/02_-_ISKCON_Swamis/ISKCON_Swamis_-_R_to_Y/His_Holiness_Radhanath_Swami/Lectures/00_-_Year_wise/Devotional_Nectar_-_2002/2002-111_Lessons_From_The_Life_Of_Narottam_Das_Sunday_Feast_Mumbai_-_27-10-02_IDesireTree.mp3", "2002-111_Lessons_From_The_Life_Of_Narottam_Das_Sunday_Feast_Mumbai_-_27-10-02_IDesireTree.mp3")</f>
        <v>2002-111_Lessons_From_The_Life_Of_Narottam_Das_Sunday_Feast_Mumbai_-_27-10-02_IDesireTree.mp3</v>
      </c>
      <c r="D1812" s="24"/>
      <c r="E1812" s="24"/>
    </row>
    <row r="1813">
      <c r="A1813" s="25" t="s">
        <v>18352</v>
      </c>
      <c r="B1813" s="25" t="s">
        <v>18366</v>
      </c>
      <c r="C1813" s="26" t="str">
        <f>HYPERLINK("https://audio.iskcondesiretree.com/02_-_ISKCON_Swamis/ISKCON_Swamis_-_R_to_Y/His_Holiness_Radhanath_Swami/Lectures/00_-_Year_wise/Devotional_Nectar_-_2002/2002-112_We_Want_To_Welcome_That_Wealth_Of_Love_Lecture_Mumbai_-_23-11-02_IDesireTree.mp3", "2002-112_We_Want_To_Welcome_That_Wealth_Of_Love_Lecture_Mumbai_-_23-11-02_IDesireTree.mp3")</f>
        <v>2002-112_We_Want_To_Welcome_That_Wealth_Of_Love_Lecture_Mumbai_-_23-11-02_IDesireTree.mp3</v>
      </c>
      <c r="D1813" s="24"/>
      <c r="E1813" s="24"/>
    </row>
    <row r="1814">
      <c r="A1814" s="25" t="s">
        <v>18352</v>
      </c>
      <c r="B1814" s="25" t="s">
        <v>18366</v>
      </c>
      <c r="C1814" s="26" t="str">
        <f>HYPERLINK("https://audio.iskcondesiretree.com/02_-_ISKCON_Swamis/ISKCON_Swamis_-_R_to_Y/His_Holiness_Radhanath_Swami/Lectures/00_-_Year_wise/Devotional_Nectar_-_2002/2002-113_Lord_Conquered_By_Devotees_Love_Lecture_Mumbai_-_Radhanath_Swami_2002-11-23_IDesireTree.mp3", "2002-113_Lord_Conquered_By_Devotees_Love_Lecture_Mumbai_-_Radhanath_Swami_2002-11-23_IDesireTree.mp3")</f>
        <v>2002-113_Lord_Conquered_By_Devotees_Love_Lecture_Mumbai_-_Radhanath_Swami_2002-11-23_IDesireTree.mp3</v>
      </c>
      <c r="D1814" s="24"/>
      <c r="E1814" s="24"/>
    </row>
    <row r="1815">
      <c r="A1815" s="25" t="s">
        <v>18352</v>
      </c>
      <c r="B1815" s="25" t="s">
        <v>18366</v>
      </c>
      <c r="C1815" s="26" t="str">
        <f>HYPERLINK("https://audio.iskcondesiretree.com/02_-_ISKCON_Swamis/ISKCON_Swamis_-_R_to_Y/His_Holiness_Radhanath_Swami/Lectures/00_-_Year_wise/Devotional_Nectar_-_2002/2002-114_Spreading_Krsna_Consciousness_All_Over_II_Sunday_Feast_Mumbai_-_24-11-02_IDesireTree.mp3", "2002-114_Spreading_Krsna_Consciousness_All_Over_II_Sunday_Feast_Mumbai_-_24-11-02_IDesireTree.mp3")</f>
        <v>2002-114_Spreading_Krsna_Consciousness_All_Over_II_Sunday_Feast_Mumbai_-_24-11-02_IDesireTree.mp3</v>
      </c>
      <c r="D1815" s="24"/>
      <c r="E1815" s="24"/>
    </row>
    <row r="1816">
      <c r="A1816" s="25" t="s">
        <v>18352</v>
      </c>
      <c r="B1816" s="25" t="s">
        <v>18366</v>
      </c>
      <c r="C1816" s="26" t="str">
        <f>HYPERLINK("https://audio.iskcondesiretree.com/02_-_ISKCON_Swamis/ISKCON_Swamis_-_R_to_Y/His_Holiness_Radhanath_Swami/Lectures/00_-_Year_wise/Devotional_Nectar_-_2002/2002-115_Teachings_Of_Rshibhdev_SB-02_07_10_Mumbai_-_Radhanath_Swami_2002-11-28_IDesireTree.mp3", "2002-115_Teachings_Of_Rshibhdev_SB-02_07_10_Mumbai_-_Radhanath_Swami_2002-11-28_IDesireTree.mp3")</f>
        <v>2002-115_Teachings_Of_Rshibhdev_SB-02_07_10_Mumbai_-_Radhanath_Swami_2002-11-28_IDesireTree.mp3</v>
      </c>
      <c r="D1816" s="24"/>
      <c r="E1816" s="24"/>
    </row>
    <row r="1817">
      <c r="A1817" s="25" t="s">
        <v>18352</v>
      </c>
      <c r="B1817" s="25" t="s">
        <v>18366</v>
      </c>
      <c r="C1817" s="26" t="str">
        <f>HYPERLINK("https://audio.iskcondesiretree.com/02_-_ISKCON_Swamis/ISKCON_Swamis_-_R_to_Y/His_Holiness_Radhanath_Swami/Lectures/00_-_Year_wise/Devotional_Nectar_-_2002/2002-116_The_Power_Of_Love_Prerna_Lecture_Mumbai_-_Radhanath_Swami_2002-11-29_IDesireTree.mp3", "2002-116_The_Power_Of_Love_Prerna_Lecture_Mumbai_-_Radhanath_Swami_2002-11-29_IDesireTree.mp3")</f>
        <v>2002-116_The_Power_Of_Love_Prerna_Lecture_Mumbai_-_Radhanath_Swami_2002-11-29_IDesireTree.mp3</v>
      </c>
      <c r="D1817" s="24"/>
      <c r="E1817" s="24"/>
    </row>
    <row r="1818">
      <c r="A1818" s="25" t="s">
        <v>18352</v>
      </c>
      <c r="B1818" s="25" t="s">
        <v>18366</v>
      </c>
      <c r="C1818" s="26" t="str">
        <f>HYPERLINK("https://audio.iskcondesiretree.com/02_-_ISKCON_Swamis/ISKCON_Swamis_-_R_to_Y/His_Holiness_Radhanath_Swami/Lectures/00_-_Year_wise/Devotional_Nectar_-_2002/2002-117_Absorbing_Our_Mind_BY_Taking_Responsibility_SB-04_20_12_Mumbai_-_30-11-02_IDesireTree.mp3", "2002-117_Absorbing_Our_Mind_BY_Taking_Responsibility_SB-04_20_12_Mumbai_-_30-11-02_IDesireTree.mp3")</f>
        <v>2002-117_Absorbing_Our_Mind_BY_Taking_Responsibility_SB-04_20_12_Mumbai_-_30-11-02_IDesireTree.mp3</v>
      </c>
      <c r="D1818" s="24"/>
      <c r="E1818" s="24"/>
    </row>
    <row r="1819">
      <c r="A1819" s="25" t="s">
        <v>18352</v>
      </c>
      <c r="B1819" s="25" t="s">
        <v>18366</v>
      </c>
      <c r="C1819" s="26" t="str">
        <f>HYPERLINK("https://audio.iskcondesiretree.com/02_-_ISKCON_Swamis/ISKCON_Swamis_-_R_to_Y/His_Holiness_Radhanath_Swami/Lectures/00_-_Year_wise/Devotional_Nectar_-_2002/2002-118_Glories_of_Srila_Narhari_Sarkar_SB-04_12_13_Mumbai_-_Radhanath_Swami_2002-12-01_IDesireTree"&amp;".mp3", "2002-118_Glories_of_Srila_Narhari_Sarkar_SB-04_12_13_Mumbai_-_Radhanath_Swami_2002-12-01_IDesireTree.mp3")</f>
        <v>2002-118_Glories_of_Srila_Narhari_Sarkar_SB-04_12_13_Mumbai_-_Radhanath_Swami_2002-12-01_IDesireTree.mp3</v>
      </c>
      <c r="D1819" s="24"/>
      <c r="E1819" s="24"/>
    </row>
    <row r="1820">
      <c r="A1820" s="25" t="s">
        <v>18352</v>
      </c>
      <c r="B1820" s="25" t="s">
        <v>18366</v>
      </c>
      <c r="C1820" s="26" t="str">
        <f>HYPERLINK("https://audio.iskcondesiretree.com/02_-_ISKCON_Swamis/ISKCON_Swamis_-_R_to_Y/His_Holiness_Radhanath_Swami/Lectures/00_-_Year_wise/Devotional_Nectar_-_2002/2002-12-22_SB_03-15-39_-_Radhanath_Swami_Los_Angeles.mp3", "2002-12-22_SB_03-15-39_-_Radhanath_Swami_Los_Angeles.mp3")</f>
        <v>2002-12-22_SB_03-15-39_-_Radhanath_Swami_Los_Angeles.mp3</v>
      </c>
      <c r="D1820" s="24"/>
      <c r="E1820" s="24"/>
    </row>
    <row r="1821">
      <c r="A1821" s="25" t="s">
        <v>18352</v>
      </c>
      <c r="B1821" s="25" t="s">
        <v>18366</v>
      </c>
      <c r="C1821" s="26" t="str">
        <f>HYPERLINK("https://audio.iskcondesiretree.com/02_-_ISKCON_Swamis/ISKCON_Swamis_-_R_to_Y/His_Holiness_Radhanath_Swami/Lectures/00_-_Year_wise/Devotional_Nectar_-_2002/2002-120_Vyas_Puja_Address_Lecture_Mumbai_-_Radhanath_Swami_2002-13-03_IDesireTree.mp3", "2002-120_Vyas_Puja_Address_Lecture_Mumbai_-_Radhanath_Swami_2002-13-03_IDesireTree.mp3")</f>
        <v>2002-120_Vyas_Puja_Address_Lecture_Mumbai_-_Radhanath_Swami_2002-13-03_IDesireTree.mp3</v>
      </c>
      <c r="D1821" s="24"/>
      <c r="E1821" s="24"/>
    </row>
    <row r="1822">
      <c r="A1822" s="25" t="s">
        <v>18352</v>
      </c>
      <c r="B1822" s="25" t="s">
        <v>18366</v>
      </c>
      <c r="C1822" s="26" t="str">
        <f>HYPERLINK("https://audio.iskcondesiretree.com/02_-_ISKCON_Swamis/ISKCON_Swamis_-_R_to_Y/His_Holiness_Radhanath_Swami/Lectures/00_-_Year_wise/Devotional_Nectar_-_2002/2002-121_Drama_Realisation_Lecture_Mumbai_-_Radhanath_Swami_2002-12-05_IDesireTree.mp3", "2002-121_Drama_Realisation_Lecture_Mumbai_-_Radhanath_Swami_2002-12-05_IDesireTree.mp3")</f>
        <v>2002-121_Drama_Realisation_Lecture_Mumbai_-_Radhanath_Swami_2002-12-05_IDesireTree.mp3</v>
      </c>
      <c r="D1822" s="24"/>
      <c r="E1822" s="24"/>
    </row>
    <row r="1823">
      <c r="A1823" s="25" t="s">
        <v>18352</v>
      </c>
      <c r="B1823" s="25" t="s">
        <v>18366</v>
      </c>
      <c r="C1823" s="26" t="str">
        <f>HYPERLINK("https://audio.iskcondesiretree.com/02_-_ISKCON_Swamis/ISKCON_Swamis_-_R_to_Y/His_Holiness_Radhanath_Swami/Lectures/00_-_Year_wise/Devotional_Nectar_-_2002/2002-122_Surrender_Means_Submitting_Fully_To_The_Will_Of_The_Lord_SB-04_20_17_Mumbai_-_07-12-02_IDes"&amp;"ireTree.mp3", "2002-122_Surrender_Means_Submitting_Fully_To_The_Will_Of_The_Lord_SB-04_20_17_Mumbai_-_07-12-02_IDesireTree.mp3")</f>
        <v>2002-122_Surrender_Means_Submitting_Fully_To_The_Will_Of_The_Lord_SB-04_20_17_Mumbai_-_07-12-02_IDesireTree.mp3</v>
      </c>
      <c r="D1823" s="24"/>
      <c r="E1823" s="24"/>
    </row>
    <row r="1824">
      <c r="A1824" s="25" t="s">
        <v>18352</v>
      </c>
      <c r="B1824" s="25" t="s">
        <v>18366</v>
      </c>
      <c r="C1824" s="26" t="str">
        <f>HYPERLINK("https://audio.iskcondesiretree.com/02_-_ISKCON_Swamis/ISKCON_Swamis_-_R_to_Y/His_Holiness_Radhanath_Swami/Lectures/00_-_Year_wise/Devotional_Nectar_-_2002/2002-123_Performing_Selfless_Service_for_The_Welfare_of_Others_Lecture_Mumbai_-_08-12-02_IDesireTree"&amp;".mp3", "2002-123_Performing_Selfless_Service_for_The_Welfare_of_Others_Lecture_Mumbai_-_08-12-02_IDesireTree.mp3")</f>
        <v>2002-123_Performing_Selfless_Service_for_The_Welfare_of_Others_Lecture_Mumbai_-_08-12-02_IDesireTree.mp3</v>
      </c>
      <c r="D1824" s="24"/>
      <c r="E1824" s="24"/>
    </row>
    <row r="1825">
      <c r="A1825" s="25" t="s">
        <v>18352</v>
      </c>
      <c r="B1825" s="25" t="s">
        <v>18366</v>
      </c>
      <c r="C1825" s="26" t="str">
        <f>HYPERLINK("https://audio.iskcondesiretree.com/02_-_ISKCON_Swamis/ISKCON_Swamis_-_R_to_Y/His_Holiness_Radhanath_Swami/Lectures/00_-_Year_wise/Devotional_Nectar_-_2002/2002-124_Become_Conditioned_to_Chant_The_Holy_Name_Lecture_Mumbai_-_29-12-02_IDesireTree.mp3", "2002-124_Become_Conditioned_to_Chant_The_Holy_Name_Lecture_Mumbai_-_29-12-02_IDesireTree.mp3")</f>
        <v>2002-124_Become_Conditioned_to_Chant_The_Holy_Name_Lecture_Mumbai_-_29-12-02_IDesireTree.mp3</v>
      </c>
      <c r="D1825" s="24"/>
      <c r="E1825" s="24"/>
    </row>
    <row r="1826">
      <c r="A1826" s="25" t="s">
        <v>18352</v>
      </c>
      <c r="B1826" s="25" t="s">
        <v>18366</v>
      </c>
      <c r="C1826" s="26" t="str">
        <f>HYPERLINK("https://audio.iskcondesiretree.com/02_-_ISKCON_Swamis/ISKCON_Swamis_-_R_to_Y/His_Holiness_Radhanath_Swami/Lectures/00_-_Year_wise/Devotional_Nectar_-_2002/2002-125_To_Utilise_Everything_to_Serve_The_Lord_Lecture_Mumbai_-_31-12-02_IDesireTree.mp3", "2002-125_To_Utilise_Everything_to_Serve_The_Lord_Lecture_Mumbai_-_31-12-02_IDesireTree.mp3")</f>
        <v>2002-125_To_Utilise_Everything_to_Serve_The_Lord_Lecture_Mumbai_-_31-12-02_IDesireTree.mp3</v>
      </c>
      <c r="D1826" s="24"/>
      <c r="E1826" s="24"/>
    </row>
    <row r="1827">
      <c r="A1827" s="25" t="s">
        <v>18352</v>
      </c>
      <c r="B1827" s="25" t="s">
        <v>18367</v>
      </c>
      <c r="C1827" s="26" t="str">
        <f>HYPERLINK("https://audio.iskcondesiretree.com/02_-_ISKCON_Swamis/ISKCON_Swamis_-_R_to_Y/His_Holiness_Radhanath_Swami/Lectures/00_-_Year_wise/Devotional_Nectar_-_2003/2003-001_What_Exactly_is_Non_Violence_SB-02_07_37_Mumbai_-_02-01-03_IDesireTree.mp3", "2003-001_What_Exactly_is_Non_Violence_SB-02_07_37_Mumbai_-_02-01-03_IDesireTree.mp3")</f>
        <v>2003-001_What_Exactly_is_Non_Violence_SB-02_07_37_Mumbai_-_02-01-03_IDesireTree.mp3</v>
      </c>
      <c r="D1827" s="24"/>
      <c r="E1827" s="24"/>
    </row>
    <row r="1828">
      <c r="A1828" s="25" t="s">
        <v>18352</v>
      </c>
      <c r="B1828" s="25" t="s">
        <v>18367</v>
      </c>
      <c r="C1828" s="26" t="str">
        <f>HYPERLINK("https://audio.iskcondesiretree.com/02_-_ISKCON_Swamis/ISKCON_Swamis_-_R_to_Y/His_Holiness_Radhanath_Swami/Lectures/00_-_Year_wise/Devotional_Nectar_-_2003/2003-002_Utilising_Human_Body_Lecture_Mumbai_-_Radhanath_Swami_2003-01-03_IDesireTree.mp3", "2003-002_Utilising_Human_Body_Lecture_Mumbai_-_Radhanath_Swami_2003-01-03_IDesireTree.mp3")</f>
        <v>2003-002_Utilising_Human_Body_Lecture_Mumbai_-_Radhanath_Swami_2003-01-03_IDesireTree.mp3</v>
      </c>
      <c r="D1828" s="24"/>
      <c r="E1828" s="24"/>
    </row>
    <row r="1829">
      <c r="A1829" s="25" t="s">
        <v>18352</v>
      </c>
      <c r="B1829" s="25" t="s">
        <v>18367</v>
      </c>
      <c r="C1829" s="26" t="str">
        <f>HYPERLINK("https://audio.iskcondesiretree.com/02_-_ISKCON_Swamis/ISKCON_Swamis_-_R_to_Y/His_Holiness_Radhanath_Swami/Lectures/00_-_Year_wise/Devotional_Nectar_-_2003/2003-003_Prthu_Maharaj_an_Ideal_Responsible_King_SB-04_21_06_Mumbai_-_04-01-03_IDesireTree.mp3", "2003-003_Prthu_Maharaj_an_Ideal_Responsible_King_SB-04_21_06_Mumbai_-_04-01-03_IDesireTree.mp3")</f>
        <v>2003-003_Prthu_Maharaj_an_Ideal_Responsible_King_SB-04_21_06_Mumbai_-_04-01-03_IDesireTree.mp3</v>
      </c>
      <c r="D1829" s="24"/>
      <c r="E1829" s="24"/>
    </row>
    <row r="1830">
      <c r="A1830" s="25" t="s">
        <v>18352</v>
      </c>
      <c r="B1830" s="25" t="s">
        <v>18367</v>
      </c>
      <c r="C1830" s="26" t="str">
        <f>HYPERLINK("https://audio.iskcondesiretree.com/02_-_ISKCON_Swamis/ISKCON_Swamis_-_R_to_Y/His_Holiness_Radhanath_Swami/Lectures/00_-_Year_wise/Devotional_Nectar_-_2003/2003-004_Surpassing_Material_Conditioning_Sunday_feast_Pune_-_05-01-03_IDesireTree.mp3", "2003-004_Surpassing_Material_Conditioning_Sunday_feast_Pune_-_05-01-03_IDesireTree.mp3")</f>
        <v>2003-004_Surpassing_Material_Conditioning_Sunday_feast_Pune_-_05-01-03_IDesireTree.mp3</v>
      </c>
      <c r="D1830" s="24"/>
      <c r="E1830" s="24"/>
    </row>
    <row r="1831">
      <c r="A1831" s="25" t="s">
        <v>18352</v>
      </c>
      <c r="B1831" s="25" t="s">
        <v>18367</v>
      </c>
      <c r="C1831" s="26" t="str">
        <f>HYPERLINK("https://audio.iskcondesiretree.com/02_-_ISKCON_Swamis/ISKCON_Swamis_-_R_to_Y/His_Holiness_Radhanath_Swami/Lectures/00_-_Year_wise/Devotional_Nectar_-_2003/2003-005_Tamal_Tree_Plantation_Ceremony_Lecture_Mumbai_-_Radhanath_Swami_2003-01-07_IDesireTree.mp3", "2003-005_Tamal_Tree_Plantation_Ceremony_Lecture_Mumbai_-_Radhanath_Swami_2003-01-07_IDesireTree.mp3")</f>
        <v>2003-005_Tamal_Tree_Plantation_Ceremony_Lecture_Mumbai_-_Radhanath_Swami_2003-01-07_IDesireTree.mp3</v>
      </c>
      <c r="D1831" s="24"/>
      <c r="E1831" s="24"/>
    </row>
    <row r="1832">
      <c r="A1832" s="25" t="s">
        <v>18352</v>
      </c>
      <c r="B1832" s="25" t="s">
        <v>18367</v>
      </c>
      <c r="C1832" s="26" t="str">
        <f>HYPERLINK("https://audio.iskcondesiretree.com/02_-_ISKCON_Swamis/ISKCON_Swamis_-_R_to_Y/His_Holiness_Radhanath_Swami/Lectures/00_-_Year_wise/Devotional_Nectar_-_2003/2003-006_Deity_Welcoming_Lecture_Mumbai_-_Radhanath_Swami_2003-01-07_IDesireTree.mp3", "2003-006_Deity_Welcoming_Lecture_Mumbai_-_Radhanath_Swami_2003-01-07_IDesireTree.mp3")</f>
        <v>2003-006_Deity_Welcoming_Lecture_Mumbai_-_Radhanath_Swami_2003-01-07_IDesireTree.mp3</v>
      </c>
      <c r="D1832" s="24"/>
      <c r="E1832" s="24"/>
    </row>
    <row r="1833">
      <c r="A1833" s="25" t="s">
        <v>18352</v>
      </c>
      <c r="B1833" s="25" t="s">
        <v>18367</v>
      </c>
      <c r="C1833" s="26" t="str">
        <f>HYPERLINK("https://audio.iskcondesiretree.com/02_-_ISKCON_Swamis/ISKCON_Swamis_-_R_to_Y/His_Holiness_Radhanath_Swami/Lectures/00_-_Year_wise/Devotional_Nectar_-_2003/2003-007_Intricacies_of_Subtle_Science_SB-04_21_13_Mumbai_-_11-01-03_IDesireTree.mp3", "2003-007_Intricacies_of_Subtle_Science_SB-04_21_13_Mumbai_-_11-01-03_IDesireTree.mp3")</f>
        <v>2003-007_Intricacies_of_Subtle_Science_SB-04_21_13_Mumbai_-_11-01-03_IDesireTree.mp3</v>
      </c>
      <c r="D1833" s="24"/>
      <c r="E1833" s="24"/>
    </row>
    <row r="1834">
      <c r="A1834" s="25" t="s">
        <v>18352</v>
      </c>
      <c r="B1834" s="25" t="s">
        <v>18367</v>
      </c>
      <c r="C1834" s="26" t="str">
        <f>HYPERLINK("https://audio.iskcondesiretree.com/02_-_ISKCON_Swamis/ISKCON_Swamis_-_R_to_Y/His_Holiness_Radhanath_Swami/Lectures/00_-_Year_wise/Devotional_Nectar_-_2003/2003-008_The_Culture_of_how_to_Respect_Others_SB-04_21_14_Mumbai_-_12-01-03_IDesireTree.mp3", "2003-008_The_Culture_of_how_to_Respect_Others_SB-04_21_14_Mumbai_-_12-01-03_IDesireTree.mp3")</f>
        <v>2003-008_The_Culture_of_how_to_Respect_Others_SB-04_21_14_Mumbai_-_12-01-03_IDesireTree.mp3</v>
      </c>
      <c r="D1834" s="24"/>
      <c r="E1834" s="24"/>
    </row>
    <row r="1835">
      <c r="A1835" s="25" t="s">
        <v>18352</v>
      </c>
      <c r="B1835" s="25" t="s">
        <v>18367</v>
      </c>
      <c r="C1835" s="26" t="str">
        <f>HYPERLINK("https://audio.iskcondesiretree.com/02_-_ISKCON_Swamis/ISKCON_Swamis_-_R_to_Y/His_Holiness_Radhanath_Swami/Lectures/00_-_Year_wise/Devotional_Nectar_-_2003/2003-009_Coming_Before_Sri_Radha_Gopinath_Sunday_Feast_Mumbai_-_12-01-03_IDesireTree.mp3", "2003-009_Coming_Before_Sri_Radha_Gopinath_Sunday_Feast_Mumbai_-_12-01-03_IDesireTree.mp3")</f>
        <v>2003-009_Coming_Before_Sri_Radha_Gopinath_Sunday_Feast_Mumbai_-_12-01-03_IDesireTree.mp3</v>
      </c>
      <c r="D1835" s="24"/>
      <c r="E1835" s="24"/>
    </row>
    <row r="1836">
      <c r="A1836" s="25" t="s">
        <v>18352</v>
      </c>
      <c r="B1836" s="25" t="s">
        <v>18367</v>
      </c>
      <c r="C1836" s="26" t="str">
        <f>HYPERLINK("https://audio.iskcondesiretree.com/02_-_ISKCON_Swamis/ISKCON_Swamis_-_R_to_Y/His_Holiness_Radhanath_Swami/Lectures/00_-_Year_wise/Devotional_Nectar_-_2003/2003-010_Taking_Responsibility_for_the_Benefit_of_Others_SB-04_21_24_Mumbai_-_19-01-03_IDesireTree.m"&amp;"p3", "2003-010_Taking_Responsibility_for_the_Benefit_of_Others_SB-04_21_24_Mumbai_-_19-01-03_IDesireTree.mp3")</f>
        <v>2003-010_Taking_Responsibility_for_the_Benefit_of_Others_SB-04_21_24_Mumbai_-_19-01-03_IDesireTree.mp3</v>
      </c>
      <c r="D1836" s="24"/>
      <c r="E1836" s="24"/>
    </row>
    <row r="1837">
      <c r="A1837" s="25" t="s">
        <v>18352</v>
      </c>
      <c r="B1837" s="25" t="s">
        <v>18367</v>
      </c>
      <c r="C1837" s="26" t="str">
        <f>HYPERLINK("https://audio.iskcondesiretree.com/02_-_ISKCON_Swamis/ISKCON_Swamis_-_R_to_Y/His_Holiness_Radhanath_Swami/Lectures/00_-_Year_wise/Devotional_Nectar_-_2003/2003-011_Srila_Prabhupada_Memories_Lecture_Mumbai_-_Radhanath_Swami_2003-01-19_IDesireTree.mp3", "2003-011_Srila_Prabhupada_Memories_Lecture_Mumbai_-_Radhanath_Swami_2003-01-19_IDesireTree.mp3")</f>
        <v>2003-011_Srila_Prabhupada_Memories_Lecture_Mumbai_-_Radhanath_Swami_2003-01-19_IDesireTree.mp3</v>
      </c>
      <c r="D1837" s="24"/>
      <c r="E1837" s="24"/>
    </row>
    <row r="1838">
      <c r="A1838" s="25" t="s">
        <v>18352</v>
      </c>
      <c r="B1838" s="25" t="s">
        <v>18367</v>
      </c>
      <c r="C1838" s="26" t="str">
        <f>HYPERLINK("https://audio.iskcondesiretree.com/02_-_ISKCON_Swamis/ISKCON_Swamis_-_R_to_Y/His_Holiness_Radhanath_Swami/Lectures/00_-_Year_wise/Devotional_Nectar_-_2003/2003-012_Glories_of_the_Lord_%26_His_Devotees_Mercy_Lecture_Mumbai_-_16-03-03_IDesireTree.mp3", "2003-012_Glories_of_the_Lord_%26_His_Devotees_Mercy_Lecture_Mumbai_-_16-03-03_IDesireTree.mp3")</f>
        <v>2003-012_Glories_of_the_Lord_%26_His_Devotees_Mercy_Lecture_Mumbai_-_16-03-03_IDesireTree.mp3</v>
      </c>
      <c r="D1838" s="24"/>
      <c r="E1838" s="24"/>
    </row>
    <row r="1839">
      <c r="A1839" s="25" t="s">
        <v>18352</v>
      </c>
      <c r="B1839" s="25" t="s">
        <v>18367</v>
      </c>
      <c r="C1839" s="26" t="str">
        <f>HYPERLINK("https://audio.iskcondesiretree.com/02_-_ISKCON_Swamis/ISKCON_Swamis_-_R_to_Y/His_Holiness_Radhanath_Swami/Lectures/00_-_Year_wise/Devotional_Nectar_-_2003/2003-013_Compassion_Melts_Heart_SB-06_01_01_Mumbai_-_Radhanath_Swami_2003-03-17_IDesireTree.mp3", "2003-013_Compassion_Melts_Heart_SB-06_01_01_Mumbai_-_Radhanath_Swami_2003-03-17_IDesireTree.mp3")</f>
        <v>2003-013_Compassion_Melts_Heart_SB-06_01_01_Mumbai_-_Radhanath_Swami_2003-03-17_IDesireTree.mp3</v>
      </c>
      <c r="D1839" s="24"/>
      <c r="E1839" s="24"/>
    </row>
    <row r="1840">
      <c r="A1840" s="25" t="s">
        <v>18352</v>
      </c>
      <c r="B1840" s="25" t="s">
        <v>18367</v>
      </c>
      <c r="C1840" s="26" t="str">
        <f>HYPERLINK("https://audio.iskcondesiretree.com/02_-_ISKCON_Swamis/ISKCON_Swamis_-_R_to_Y/His_Holiness_Radhanath_Swami/Lectures/00_-_Year_wise/Devotional_Nectar_-_2003/2003-014_Introducing_the_Great_Devotees_Lecture_Mumbai_-_Radhanath_Swami_2003-03-17_IDesireTree.mp3", "2003-014_Introducing_the_Great_Devotees_Lecture_Mumbai_-_Radhanath_Swami_2003-03-17_IDesireTree.mp3")</f>
        <v>2003-014_Introducing_the_Great_Devotees_Lecture_Mumbai_-_Radhanath_Swami_2003-03-17_IDesireTree.mp3</v>
      </c>
      <c r="D1840" s="24"/>
      <c r="E1840" s="24"/>
    </row>
    <row r="1841">
      <c r="A1841" s="25" t="s">
        <v>18352</v>
      </c>
      <c r="B1841" s="25" t="s">
        <v>18367</v>
      </c>
      <c r="C1841" s="26" t="str">
        <f>HYPERLINK("https://audio.iskcondesiretree.com/02_-_ISKCON_Swamis/ISKCON_Swamis_-_R_to_Y/His_Holiness_Radhanath_Swami/Lectures/00_-_Year_wise/Devotional_Nectar_-_2003/2003-015_Appearance_of_Lord_Caitanya_Lecture_Mumbai_-_Radhanath_Swami_2003-03-18_IDesireTree.mp3", "2003-015_Appearance_of_Lord_Caitanya_Lecture_Mumbai_-_Radhanath_Swami_2003-03-18_IDesireTree.mp3")</f>
        <v>2003-015_Appearance_of_Lord_Caitanya_Lecture_Mumbai_-_Radhanath_Swami_2003-03-18_IDesireTree.mp3</v>
      </c>
      <c r="D1841" s="24"/>
      <c r="E1841" s="24"/>
    </row>
    <row r="1842">
      <c r="A1842" s="25" t="s">
        <v>18352</v>
      </c>
      <c r="B1842" s="25" t="s">
        <v>18367</v>
      </c>
      <c r="C1842" s="26" t="str">
        <f>HYPERLINK("https://audio.iskcondesiretree.com/02_-_ISKCON_Swamis/ISKCON_Swamis_-_R_to_Y/His_Holiness_Radhanath_Swami/Lectures/00_-_Year_wise/Devotional_Nectar_-_2003/2003-016_Mahaprakash_lila_Lecture_Mumbai_-_Radhanath_Swami_2003-03-18_IDesireTree.mp3", "2003-016_Mahaprakash_lila_Lecture_Mumbai_-_Radhanath_Swami_2003-03-18_IDesireTree.mp3")</f>
        <v>2003-016_Mahaprakash_lila_Lecture_Mumbai_-_Radhanath_Swami_2003-03-18_IDesireTree.mp3</v>
      </c>
      <c r="D1842" s="24"/>
      <c r="E1842" s="24"/>
    </row>
    <row r="1843">
      <c r="A1843" s="25" t="s">
        <v>18352</v>
      </c>
      <c r="B1843" s="25" t="s">
        <v>18367</v>
      </c>
      <c r="C1843" s="26" t="str">
        <f>HYPERLINK("https://audio.iskcondesiretree.com/02_-_ISKCON_Swamis/ISKCON_Swamis_-_R_to_Y/His_Holiness_Radhanath_Swami/Lectures/00_-_Year_wise/Devotional_Nectar_-_2003/2003-017_Giving_a_Loving_Gift_to_Mahaprabhu_Lecture_Mumbai_-_18-03-03_IDesireTree.mp3", "2003-017_Giving_a_Loving_Gift_to_Mahaprabhu_Lecture_Mumbai_-_18-03-03_IDesireTree.mp3")</f>
        <v>2003-017_Giving_a_Loving_Gift_to_Mahaprabhu_Lecture_Mumbai_-_18-03-03_IDesireTree.mp3</v>
      </c>
      <c r="D1843" s="24"/>
      <c r="E1843" s="24"/>
    </row>
    <row r="1844">
      <c r="A1844" s="25" t="s">
        <v>18352</v>
      </c>
      <c r="B1844" s="25" t="s">
        <v>18367</v>
      </c>
      <c r="C1844" s="26" t="str">
        <f>HYPERLINK("https://audio.iskcondesiretree.com/02_-_ISKCON_Swamis/ISKCON_Swamis_-_R_to_Y/His_Holiness_Radhanath_Swami/Lectures/00_-_Year_wise/Devotional_Nectar_-_2003/2003-018_Jagannatha_Mishra_Festival_Lecture_Mumbai_-_Radhanath_Swami_2003-03-19_IDesireTree.mp3", "2003-018_Jagannatha_Mishra_Festival_Lecture_Mumbai_-_Radhanath_Swami_2003-03-19_IDesireTree.mp3")</f>
        <v>2003-018_Jagannatha_Mishra_Festival_Lecture_Mumbai_-_Radhanath_Swami_2003-03-19_IDesireTree.mp3</v>
      </c>
      <c r="D1844" s="24"/>
      <c r="E1844" s="24"/>
    </row>
    <row r="1845">
      <c r="A1845" s="25" t="s">
        <v>18352</v>
      </c>
      <c r="B1845" s="25" t="s">
        <v>18367</v>
      </c>
      <c r="C1845" s="26" t="str">
        <f>HYPERLINK("https://audio.iskcondesiretree.com/02_-_ISKCON_Swamis/ISKCON_Swamis_-_R_to_Y/His_Holiness_Radhanath_Swami/Lectures/00_-_Year_wise/Devotional_Nectar_-_2003/2003-019_Association_of_Devotees_is_the_Greatest_Benediction_SB-04_22_20_Mumbai_-_22-03-03_IDesireTr"&amp;"ee.mp3", "2003-019_Association_of_Devotees_is_the_Greatest_Benediction_SB-04_22_20_Mumbai_-_22-03-03_IDesireTree.mp3")</f>
        <v>2003-019_Association_of_Devotees_is_the_Greatest_Benediction_SB-04_22_20_Mumbai_-_22-03-03_IDesireTree.mp3</v>
      </c>
      <c r="D1845" s="24"/>
      <c r="E1845" s="24"/>
    </row>
    <row r="1846">
      <c r="A1846" s="25" t="s">
        <v>18352</v>
      </c>
      <c r="B1846" s="25" t="s">
        <v>18367</v>
      </c>
      <c r="C1846" s="26" t="str">
        <f>HYPERLINK("https://audio.iskcondesiretree.com/02_-_ISKCON_Swamis/ISKCON_Swamis_-_R_to_Y/His_Holiness_Radhanath_Swami/Lectures/00_-_Year_wise/Devotional_Nectar_-_2003/2003-020_Deeply_Value_the_Rare_Human_Life_Lecture_Mumbai_-_23-03-03_IDesireTree.mp3", "2003-020_Deeply_Value_the_Rare_Human_Life_Lecture_Mumbai_-_23-03-03_IDesireTree.mp3")</f>
        <v>2003-020_Deeply_Value_the_Rare_Human_Life_Lecture_Mumbai_-_23-03-03_IDesireTree.mp3</v>
      </c>
      <c r="D1846" s="24"/>
      <c r="E1846" s="24"/>
    </row>
    <row r="1847">
      <c r="A1847" s="25" t="s">
        <v>18352</v>
      </c>
      <c r="B1847" s="25" t="s">
        <v>18367</v>
      </c>
      <c r="C1847" s="26" t="str">
        <f>HYPERLINK("https://audio.iskcondesiretree.com/02_-_ISKCON_Swamis/ISKCON_Swamis_-_R_to_Y/His_Holiness_Radhanath_Swami/Lectures/00_-_Year_wise/Devotional_Nectar_-_2003/2003-021_Qualification_for_spiritual_Advancement_SB_Class_Mumbai_-_29-03-03_IDesireTree.mp3", "2003-021_Qualification_for_spiritual_Advancement_SB_Class_Mumbai_-_29-03-03_IDesireTree.mp3")</f>
        <v>2003-021_Qualification_for_spiritual_Advancement_SB_Class_Mumbai_-_29-03-03_IDesireTree.mp3</v>
      </c>
      <c r="D1847" s="24"/>
      <c r="E1847" s="24"/>
    </row>
    <row r="1848">
      <c r="A1848" s="25" t="s">
        <v>18352</v>
      </c>
      <c r="B1848" s="25" t="s">
        <v>18367</v>
      </c>
      <c r="C1848" s="26" t="str">
        <f>HYPERLINK("https://audio.iskcondesiretree.com/02_-_ISKCON_Swamis/ISKCON_Swamis_-_R_to_Y/His_Holiness_Radhanath_Swami/Lectures/00_-_Year_wise/Devotional_Nectar_-_2003/2003-022_Overcoming_Depression_Prerna_Lecture_Mumbai_-_Radhanath_Swami_2003-03-29_IDesireTree.mp3", "2003-022_Overcoming_Depression_Prerna_Lecture_Mumbai_-_Radhanath_Swami_2003-03-29_IDesireTree.mp3")</f>
        <v>2003-022_Overcoming_Depression_Prerna_Lecture_Mumbai_-_Radhanath_Swami_2003-03-29_IDesireTree.mp3</v>
      </c>
      <c r="D1848" s="24"/>
      <c r="E1848" s="24"/>
    </row>
    <row r="1849">
      <c r="A1849" s="25" t="s">
        <v>18352</v>
      </c>
      <c r="B1849" s="25" t="s">
        <v>18367</v>
      </c>
      <c r="C1849" s="26" t="str">
        <f>HYPERLINK("https://audio.iskcondesiretree.com/02_-_ISKCON_Swamis/ISKCON_Swamis_-_R_to_Y/His_Holiness_Radhanath_Swami/Lectures/00_-_Year_wise/Devotional_Nectar_-_2003/2003-023_Increase_Attachment_to_Devotional_Service_SB-04_22_25_Mumbai_-_30-03-03_IDesireTree.mp3", "2003-023_Increase_Attachment_to_Devotional_Service_SB-04_22_25_Mumbai_-_30-03-03_IDesireTree.mp3")</f>
        <v>2003-023_Increase_Attachment_to_Devotional_Service_SB-04_22_25_Mumbai_-_30-03-03_IDesireTree.mp3</v>
      </c>
      <c r="D1849" s="24"/>
      <c r="E1849" s="24"/>
    </row>
    <row r="1850">
      <c r="A1850" s="25" t="s">
        <v>18352</v>
      </c>
      <c r="B1850" s="25" t="s">
        <v>18367</v>
      </c>
      <c r="C1850" s="26" t="str">
        <f>HYPERLINK("https://audio.iskcondesiretree.com/02_-_ISKCON_Swamis/ISKCON_Swamis_-_R_to_Y/His_Holiness_Radhanath_Swami/Lectures/00_-_Year_wise/Devotional_Nectar_-_2003/2003-024_Improtance_of_the_Institution_of_ISKCON_Lecture_Mumbai_-_30-03-03_IDesireTree.mp3", "2003-024_Improtance_of_the_Institution_of_ISKCON_Lecture_Mumbai_-_30-03-03_IDesireTree.mp3")</f>
        <v>2003-024_Improtance_of_the_Institution_of_ISKCON_Lecture_Mumbai_-_30-03-03_IDesireTree.mp3</v>
      </c>
      <c r="D1850" s="24"/>
      <c r="E1850" s="24"/>
    </row>
    <row r="1851">
      <c r="A1851" s="25" t="s">
        <v>18352</v>
      </c>
      <c r="B1851" s="25" t="s">
        <v>18367</v>
      </c>
      <c r="C1851" s="26" t="str">
        <f>HYPERLINK("https://audio.iskcondesiretree.com/02_-_ISKCON_Swamis/ISKCON_Swamis_-_R_to_Y/His_Holiness_Radhanath_Swami/Lectures/00_-_Year_wise/Devotional_Nectar_-_2003/2003-025_Initiation_Lec_Lecture_Pune_-_Radhanath_Swami_2003-04-04_IDesireTree.mp3", "2003-025_Initiation_Lec_Lecture_Pune_-_Radhanath_Swami_2003-04-04_IDesireTree.mp3")</f>
        <v>2003-025_Initiation_Lec_Lecture_Pune_-_Radhanath_Swami_2003-04-04_IDesireTree.mp3</v>
      </c>
      <c r="D1851" s="24"/>
      <c r="E1851" s="24"/>
    </row>
    <row r="1852">
      <c r="A1852" s="25" t="s">
        <v>18352</v>
      </c>
      <c r="B1852" s="25" t="s">
        <v>18367</v>
      </c>
      <c r="C1852" s="26" t="str">
        <f>HYPERLINK("https://audio.iskcondesiretree.com/02_-_ISKCON_Swamis/ISKCON_Swamis_-_R_to_Y/His_Holiness_Radhanath_Swami/Lectures/00_-_Year_wise/Devotional_Nectar_-_2003/2003-026_We_should_depend_only_on_the_mercy_of_Krsna_SB_Class_Mumbai_-_06-04-03_IDesireTree.mp3", "2003-026_We_should_depend_only_on_the_mercy_of_Krsna_SB_Class_Mumbai_-_06-04-03_IDesireTree.mp3")</f>
        <v>2003-026_We_should_depend_only_on_the_mercy_of_Krsna_SB_Class_Mumbai_-_06-04-03_IDesireTree.mp3</v>
      </c>
      <c r="D1852" s="24"/>
      <c r="E1852" s="24"/>
    </row>
    <row r="1853">
      <c r="A1853" s="25" t="s">
        <v>18352</v>
      </c>
      <c r="B1853" s="25" t="s">
        <v>18367</v>
      </c>
      <c r="C1853" s="26" t="str">
        <f>HYPERLINK("https://audio.iskcondesiretree.com/02_-_ISKCON_Swamis/ISKCON_Swamis_-_R_to_Y/His_Holiness_Radhanath_Swami/Lectures/00_-_Year_wise/Devotional_Nectar_-_2003/2003-027_Love_and_Devotion_of_Bharat_to_Lord_Sri_Ram_Lecture_Mumbai_-_06-04-03_IDesireTree.mp3", "2003-027_Love_and_Devotion_of_Bharat_to_Lord_Sri_Ram_Lecture_Mumbai_-_06-04-03_IDesireTree.mp3")</f>
        <v>2003-027_Love_and_Devotion_of_Bharat_to_Lord_Sri_Ram_Lecture_Mumbai_-_06-04-03_IDesireTree.mp3</v>
      </c>
      <c r="D1853" s="24"/>
      <c r="E1853" s="24"/>
    </row>
    <row r="1854">
      <c r="A1854" s="25" t="s">
        <v>18352</v>
      </c>
      <c r="B1854" s="25" t="s">
        <v>18367</v>
      </c>
      <c r="C1854" s="26" t="str">
        <f>HYPERLINK("https://audio.iskcondesiretree.com/02_-_ISKCON_Swamis/ISKCON_Swamis_-_R_to_Y/His_Holiness_Radhanath_Swami/Lectures/00_-_Year_wise/Devotional_Nectar_-_2003/2003-028_Teachings_from_Ramayan_SB-02_09_33_Mumbai_-_Radhanath_Swami_2003-04-08_IDesireTree.mp3", "2003-028_Teachings_from_Ramayan_SB-02_09_33_Mumbai_-_Radhanath_Swami_2003-04-08_IDesireTree.mp3")</f>
        <v>2003-028_Teachings_from_Ramayan_SB-02_09_33_Mumbai_-_Radhanath_Swami_2003-04-08_IDesireTree.mp3</v>
      </c>
      <c r="D1854" s="24"/>
      <c r="E1854" s="24"/>
    </row>
    <row r="1855">
      <c r="A1855" s="25" t="s">
        <v>18352</v>
      </c>
      <c r="B1855" s="25" t="s">
        <v>18367</v>
      </c>
      <c r="C1855" s="26" t="str">
        <f>HYPERLINK("https://audio.iskcondesiretree.com/02_-_ISKCON_Swamis/ISKCON_Swamis_-_R_to_Y/His_Holiness_Radhanath_Swami/Lectures/00_-_Year_wise/Devotional_Nectar_-_2003/2003-029_Perfect_Questions_Perfect_Answers_Lecture_Mumbai_-_08-04-03_IDesireTree.mp3", "2003-029_Perfect_Questions_Perfect_Answers_Lecture_Mumbai_-_08-04-03_IDesireTree.mp3")</f>
        <v>2003-029_Perfect_Questions_Perfect_Answers_Lecture_Mumbai_-_08-04-03_IDesireTree.mp3</v>
      </c>
      <c r="D1855" s="24"/>
      <c r="E1855" s="24"/>
    </row>
    <row r="1856">
      <c r="A1856" s="25" t="s">
        <v>18352</v>
      </c>
      <c r="B1856" s="25" t="s">
        <v>18367</v>
      </c>
      <c r="C1856" s="26" t="str">
        <f>HYPERLINK("https://audio.iskcondesiretree.com/02_-_ISKCON_Swamis/ISKCON_Swamis_-_R_to_Y/His_Holiness_Radhanath_Swami/Lectures/00_-_Year_wise/Devotional_Nectar_-_2003/2003-030_Responsibility_of_a_Disciple_Initiation_Lec_Mumbai_-_11-04-03_IDesireTree.mp3", "2003-030_Responsibility_of_a_Disciple_Initiation_Lec_Mumbai_-_11-04-03_IDesireTree.mp3")</f>
        <v>2003-030_Responsibility_of_a_Disciple_Initiation_Lec_Mumbai_-_11-04-03_IDesireTree.mp3</v>
      </c>
      <c r="D1856" s="24"/>
      <c r="E1856" s="24"/>
    </row>
    <row r="1857">
      <c r="A1857" s="25" t="s">
        <v>18352</v>
      </c>
      <c r="B1857" s="25" t="s">
        <v>18367</v>
      </c>
      <c r="C1857" s="26" t="str">
        <f>HYPERLINK("https://audio.iskcondesiretree.com/02_-_ISKCON_Swamis/ISKCON_Swamis_-_R_to_Y/His_Holiness_Radhanath_Swami/Lectures/00_-_Year_wise/Devotional_Nectar_-_2003/2003-031_Ramayan_Contains_Examples_of_Ideals_Lecture_Mumbai_-_11-04-03_IDesireTree.mp3", "2003-031_Ramayan_Contains_Examples_of_Ideals_Lecture_Mumbai_-_11-04-03_IDesireTree.mp3")</f>
        <v>2003-031_Ramayan_Contains_Examples_of_Ideals_Lecture_Mumbai_-_11-04-03_IDesireTree.mp3</v>
      </c>
      <c r="D1857" s="24"/>
      <c r="E1857" s="24"/>
    </row>
    <row r="1858">
      <c r="A1858" s="25" t="s">
        <v>18352</v>
      </c>
      <c r="B1858" s="25" t="s">
        <v>18367</v>
      </c>
      <c r="C1858" s="26" t="str">
        <f>HYPERLINK("https://audio.iskcondesiretree.com/02_-_ISKCON_Swamis/ISKCON_Swamis_-_R_to_Y/His_Holiness_Radhanath_Swami/Lectures/00_-_Year_wise/Devotional_Nectar_-_2003/2003-032_HH_RNS_App_of_Jahnava_Devi_SB-05_14_26_New_Vrindavan_-_10-05-03_IDesireTree.mp3", "2003-032_HH_RNS_App_of_Jahnava_Devi_SB-05_14_26_New_Vrindavan_-_10-05-03_IDesireTree.mp3")</f>
        <v>2003-032_HH_RNS_App_of_Jahnava_Devi_SB-05_14_26_New_Vrindavan_-_10-05-03_IDesireTree.mp3</v>
      </c>
      <c r="D1858" s="24"/>
      <c r="E1858" s="24"/>
    </row>
    <row r="1859">
      <c r="A1859" s="25" t="s">
        <v>18352</v>
      </c>
      <c r="B1859" s="25" t="s">
        <v>18367</v>
      </c>
      <c r="C1859" s="26" t="str">
        <f>HYPERLINK("https://audio.iskcondesiretree.com/02_-_ISKCON_Swamis/ISKCON_Swamis_-_R_to_Y/His_Holiness_Radhanath_Swami/Lectures/00_-_Year_wise/Devotional_Nectar_-_2003/2003-033_HH_RNS_Darshan_Lecture_New_Vrindavan_-_Radhanath_Swami_2003-05-17_IDesireTree.mp3", "2003-033_HH_RNS_Darshan_Lecture_New_Vrindavan_-_Radhanath_Swami_2003-05-17_IDesireTree.mp3")</f>
        <v>2003-033_HH_RNS_Darshan_Lecture_New_Vrindavan_-_Radhanath_Swami_2003-05-17_IDesireTree.mp3</v>
      </c>
      <c r="D1859" s="24"/>
      <c r="E1859" s="24"/>
    </row>
    <row r="1860">
      <c r="A1860" s="25" t="s">
        <v>18352</v>
      </c>
      <c r="B1860" s="25" t="s">
        <v>18367</v>
      </c>
      <c r="C1860" s="26" t="str">
        <f>HYPERLINK("https://audio.iskcondesiretree.com/02_-_ISKCON_Swamis/ISKCON_Swamis_-_R_to_Y/His_Holiness_Radhanath_Swami/Lectures/00_-_Year_wise/Devotional_Nectar_-_2003/2003-034_HH_RNS_Bhag_Class_SB-05_14_33_New_Vrindavan_-_Radhanath_Swami_2003-05-17_IDesireTree.mp3", "2003-034_HH_RNS_Bhag_Class_SB-05_14_33_New_Vrindavan_-_Radhanath_Swami_2003-05-17_IDesireTree.mp3")</f>
        <v>2003-034_HH_RNS_Bhag_Class_SB-05_14_33_New_Vrindavan_-_Radhanath_Swami_2003-05-17_IDesireTree.mp3</v>
      </c>
      <c r="D1860" s="24"/>
      <c r="E1860" s="24"/>
    </row>
    <row r="1861">
      <c r="A1861" s="25" t="s">
        <v>18352</v>
      </c>
      <c r="B1861" s="25" t="s">
        <v>18367</v>
      </c>
      <c r="C1861" s="26" t="str">
        <f>HYPERLINK("https://audio.iskcondesiretree.com/02_-_ISKCON_Swamis/ISKCON_Swamis_-_R_to_Y/His_Holiness_Radhanath_Swami/Lectures/00_-_Year_wise/Devotional_Nectar_-_2003/2003-035_HH_RNS_NV_Parikrama_Lecture_New_Vrindavan_-_Radhanath_Swami_2003-05-17_IDesireTree.mp3", "2003-035_HH_RNS_NV_Parikrama_Lecture_New_Vrindavan_-_Radhanath_Swami_2003-05-17_IDesireTree.mp3")</f>
        <v>2003-035_HH_RNS_NV_Parikrama_Lecture_New_Vrindavan_-_Radhanath_Swami_2003-05-17_IDesireTree.mp3</v>
      </c>
      <c r="D1861" s="24"/>
      <c r="E1861" s="24"/>
    </row>
    <row r="1862">
      <c r="A1862" s="25" t="s">
        <v>18352</v>
      </c>
      <c r="B1862" s="25" t="s">
        <v>18367</v>
      </c>
      <c r="C1862" s="26" t="str">
        <f>HYPERLINK("https://audio.iskcondesiretree.com/02_-_ISKCON_Swamis/ISKCON_Swamis_-_R_to_Y/His_Holiness_Radhanath_Swami/Lectures/00_-_Year_wise/Devotional_Nectar_-_2003/2003-036_HG_TP_HH_RNS_HH_VS_NV_Parikrama_Lecture_New_Vrindavan_-_18-05-03_IDesireTree.mp3", "2003-036_HG_TP_HH_RNS_HH_VS_NV_Parikrama_Lecture_New_Vrindavan_-_18-05-03_IDesireTree.mp3")</f>
        <v>2003-036_HG_TP_HH_RNS_HH_VS_NV_Parikrama_Lecture_New_Vrindavan_-_18-05-03_IDesireTree.mp3</v>
      </c>
      <c r="D1862" s="24"/>
      <c r="E1862" s="24"/>
    </row>
    <row r="1863">
      <c r="A1863" s="25" t="s">
        <v>18352</v>
      </c>
      <c r="B1863" s="25" t="s">
        <v>18367</v>
      </c>
      <c r="C1863" s="26" t="str">
        <f>HYPERLINK("https://audio.iskcondesiretree.com/02_-_ISKCON_Swamis/ISKCON_Swamis_-_R_to_Y/His_Holiness_Radhanath_Swami/Lectures/00_-_Year_wise/Devotional_Nectar_-_2003/2003-037_Old_Vrindavan_Memorial_Day_Lecture_New_Vrindavan_-_26-05-03_IDesireTree.mp3", "2003-037_Old_Vrindavan_Memorial_Day_Lecture_New_Vrindavan_-_26-05-03_IDesireTree.mp3")</f>
        <v>2003-037_Old_Vrindavan_Memorial_Day_Lecture_New_Vrindavan_-_26-05-03_IDesireTree.mp3</v>
      </c>
      <c r="D1863" s="24"/>
      <c r="E1863" s="24"/>
    </row>
    <row r="1864">
      <c r="A1864" s="25" t="s">
        <v>18352</v>
      </c>
      <c r="B1864" s="25" t="s">
        <v>18367</v>
      </c>
      <c r="C1864" s="26" t="str">
        <f>HYPERLINK("https://audio.iskcondesiretree.com/02_-_ISKCON_Swamis/ISKCON_Swamis_-_R_to_Y/His_Holiness_Radhanath_Swami/Lectures/00_-_Year_wise/Devotional_Nectar_-_2003/2003-038_HRS_SB_Class_CC-Adi_lila_07_50_Alachua_-_Radhanath_Swami_June_2003_IDesireTree.mp3", "2003-038_HRS_SB_Class_CC-Adi_lila_07_50_Alachua_-_Radhanath_Swami_June_2003_IDesireTree.mp3")</f>
        <v>2003-038_HRS_SB_Class_CC-Adi_lila_07_50_Alachua_-_Radhanath_Swami_June_2003_IDesireTree.mp3</v>
      </c>
      <c r="D1864" s="24"/>
      <c r="E1864" s="24"/>
    </row>
    <row r="1865">
      <c r="A1865" s="25" t="s">
        <v>18352</v>
      </c>
      <c r="B1865" s="25" t="s">
        <v>18367</v>
      </c>
      <c r="C1865" s="26" t="str">
        <f>HYPERLINK("https://audio.iskcondesiretree.com/02_-_ISKCON_Swamis/ISKCON_Swamis_-_R_to_Y/His_Holiness_Radhanath_Swami/Lectures/00_-_Year_wise/Devotional_Nectar_-_2003/2003-039_Panihati_Festival-_Glories_of_Raghunath_Das_Goswami_Lecture_US_-_07-06-03_IDesireTree.mp3", "2003-039_Panihati_Festival-_Glories_of_Raghunath_Das_Goswami_Lecture_US_-_07-06-03_IDesireTree.mp3")</f>
        <v>2003-039_Panihati_Festival-_Glories_of_Raghunath_Das_Goswami_Lecture_US_-_07-06-03_IDesireTree.mp3</v>
      </c>
      <c r="D1865" s="24"/>
      <c r="E1865" s="24"/>
    </row>
    <row r="1866">
      <c r="A1866" s="25" t="s">
        <v>18352</v>
      </c>
      <c r="B1866" s="25" t="s">
        <v>18367</v>
      </c>
      <c r="C1866" s="26" t="str">
        <f>HYPERLINK("https://audio.iskcondesiretree.com/02_-_ISKCON_Swamis/ISKCON_Swamis_-_R_to_Y/His_Holiness_Radhanath_Swami/Lectures/00_-_Year_wise/Devotional_Nectar_-_2003/2003-040_Ratha_Yatra_Lecture_New_York_-_Radhanath_Swami_2003-06-08_IDesireTree.mp3", "2003-040_Ratha_Yatra_Lecture_New_York_-_Radhanath_Swami_2003-06-08_IDesireTree.mp3")</f>
        <v>2003-040_Ratha_Yatra_Lecture_New_York_-_Radhanath_Swami_2003-06-08_IDesireTree.mp3</v>
      </c>
      <c r="D1866" s="24"/>
      <c r="E1866" s="24"/>
    </row>
    <row r="1867">
      <c r="A1867" s="25" t="s">
        <v>18352</v>
      </c>
      <c r="B1867" s="25" t="s">
        <v>18367</v>
      </c>
      <c r="C1867" s="26" t="str">
        <f>HYPERLINK("https://audio.iskcondesiretree.com/02_-_ISKCON_Swamis/ISKCON_Swamis_-_R_to_Y/His_Holiness_Radhanath_Swami/Lectures/00_-_Year_wise/Devotional_Nectar_-_2003/2003-041_NY_Ashram_Darshan_Lecture_New_York_-_Radhanath_Swami_2003-06-12_IDesireTree.mp3", "2003-041_NY_Ashram_Darshan_Lecture_New_York_-_Radhanath_Swami_2003-06-12_IDesireTree.mp3")</f>
        <v>2003-041_NY_Ashram_Darshan_Lecture_New_York_-_Radhanath_Swami_2003-06-12_IDesireTree.mp3</v>
      </c>
      <c r="D1867" s="24"/>
      <c r="E1867" s="24"/>
    </row>
    <row r="1868">
      <c r="A1868" s="25" t="s">
        <v>18352</v>
      </c>
      <c r="B1868" s="25" t="s">
        <v>18367</v>
      </c>
      <c r="C1868" s="26" t="str">
        <f>HYPERLINK("https://audio.iskcondesiretree.com/02_-_ISKCON_Swamis/ISKCON_Swamis_-_R_to_Y/His_Holiness_Radhanath_Swami/Lectures/00_-_Year_wise/Devotional_Nectar_-_2003/2003-042_HHRS_SB-03_29_19_Gita_Nagari_-_Radhanath_Swami_2003-06-29_IDesireTree.mp3", "2003-042_HHRS_SB-03_29_19_Gita_Nagari_-_Radhanath_Swami_2003-06-29_IDesireTree.mp3")</f>
        <v>2003-042_HHRS_SB-03_29_19_Gita_Nagari_-_Radhanath_Swami_2003-06-29_IDesireTree.mp3</v>
      </c>
      <c r="D1868" s="24"/>
      <c r="E1868" s="24"/>
    </row>
    <row r="1869">
      <c r="A1869" s="25" t="s">
        <v>18352</v>
      </c>
      <c r="B1869" s="25" t="s">
        <v>18367</v>
      </c>
      <c r="C1869" s="26" t="str">
        <f>HYPERLINK("https://audio.iskcondesiretree.com/02_-_ISKCON_Swamis/ISKCON_Swamis_-_R_to_Y/His_Holiness_Radhanath_Swami/Lectures/00_-_Year_wise/Devotional_Nectar_-_2003/2003-043_Preparing_for_Ratha_Yatra_LectureNew_Vrindavan_-_Radhanath_Swami_2003-07-20_IDesireTree.mp3", "2003-043_Preparing_for_Ratha_Yatra_LectureNew_Vrindavan_-_Radhanath_Swami_2003-07-20_IDesireTree.mp3")</f>
        <v>2003-043_Preparing_for_Ratha_Yatra_LectureNew_Vrindavan_-_Radhanath_Swami_2003-07-20_IDesireTree.mp3</v>
      </c>
      <c r="D1869" s="24"/>
      <c r="E1869" s="24"/>
    </row>
    <row r="1870">
      <c r="A1870" s="25" t="s">
        <v>18352</v>
      </c>
      <c r="B1870" s="25" t="s">
        <v>18367</v>
      </c>
      <c r="C1870" s="26" t="str">
        <f>HYPERLINK("https://audio.iskcondesiretree.com/02_-_ISKCON_Swamis/ISKCON_Swamis_-_R_to_Y/His_Holiness_Radhanath_Swami/Lectures/00_-_Year_wise/Devotional_Nectar_-_2003/2003-044_Never_Trust_Maya%27s_Promises_SB-05_18_26_US_-_Radhanath_Swami_2003-07-25_IDesireTree.mp3", "2003-044_Never_Trust_Maya%27s_Promises_SB-05_18_26_US_-_Radhanath_Swami_2003-07-25_IDesireTree.mp3")</f>
        <v>2003-044_Never_Trust_Maya%27s_Promises_SB-05_18_26_US_-_Radhanath_Swami_2003-07-25_IDesireTree.mp3</v>
      </c>
      <c r="D1870" s="24"/>
      <c r="E1870" s="24"/>
    </row>
    <row r="1871">
      <c r="A1871" s="25" t="s">
        <v>18352</v>
      </c>
      <c r="B1871" s="25" t="s">
        <v>18367</v>
      </c>
      <c r="C1871" s="26" t="str">
        <f>HYPERLINK("https://audio.iskcondesiretree.com/02_-_ISKCON_Swamis/ISKCON_Swamis_-_R_to_Y/His_Holiness_Radhanath_Swami/Lectures/00_-_Year_wise/Devotional_Nectar_-_2003/2003-045_What_is_Real_Greatness_Sunday_Feast_New_Vrindavan_-_27-07-03_IDesireTree.mp3", "2003-045_What_is_Real_Greatness_Sunday_Feast_New_Vrindavan_-_27-07-03_IDesireTree.mp3")</f>
        <v>2003-045_What_is_Real_Greatness_Sunday_Feast_New_Vrindavan_-_27-07-03_IDesireTree.mp3</v>
      </c>
      <c r="D1871" s="24"/>
      <c r="E1871" s="24"/>
    </row>
    <row r="1872">
      <c r="A1872" s="25" t="s">
        <v>18352</v>
      </c>
      <c r="B1872" s="25" t="s">
        <v>18367</v>
      </c>
      <c r="C1872" s="26" t="str">
        <f>HYPERLINK("https://audio.iskcondesiretree.com/02_-_ISKCON_Swamis/ISKCON_Swamis_-_R_to_Y/His_Holiness_Radhanath_Swami/Lectures/00_-_Year_wise/Devotional_Nectar_-_2003/2003-046_Krishna%27s_Beauty_is_the_Ultimate_Reality_SB-04_24_49_Mumbai_-_16-08-03_IDesireTree.mp3", "2003-046_Krishna%27s_Beauty_is_the_Ultimate_Reality_SB-04_24_49_Mumbai_-_16-08-03_IDesireTree.mp3")</f>
        <v>2003-046_Krishna%27s_Beauty_is_the_Ultimate_Reality_SB-04_24_49_Mumbai_-_16-08-03_IDesireTree.mp3</v>
      </c>
      <c r="D1872" s="24"/>
      <c r="E1872" s="24"/>
    </row>
    <row r="1873">
      <c r="A1873" s="25" t="s">
        <v>18352</v>
      </c>
      <c r="B1873" s="25" t="s">
        <v>18367</v>
      </c>
      <c r="C1873" s="26" t="str">
        <f>HYPERLINK("https://audio.iskcondesiretree.com/02_-_ISKCON_Swamis/ISKCON_Swamis_-_R_to_Y/His_Holiness_Radhanath_Swami/Lectures/00_-_Year_wise/Devotional_Nectar_-_2003/2003-047_Lord_Krishna%27s_Various_Forms_of_Mercy_SB-04_24_50_Mumbai_-_17-08-03_IDesireTree.mp3", "2003-047_Lord_Krishna%27s_Various_Forms_of_Mercy_SB-04_24_50_Mumbai_-_17-08-03_IDesireTree.mp3")</f>
        <v>2003-047_Lord_Krishna%27s_Various_Forms_of_Mercy_SB-04_24_50_Mumbai_-_17-08-03_IDesireTree.mp3</v>
      </c>
      <c r="D1873" s="24"/>
      <c r="E1873" s="24"/>
    </row>
    <row r="1874">
      <c r="A1874" s="25" t="s">
        <v>18352</v>
      </c>
      <c r="B1874" s="25" t="s">
        <v>18367</v>
      </c>
      <c r="C1874" s="26" t="str">
        <f>HYPERLINK("https://audio.iskcondesiretree.com/02_-_ISKCON_Swamis/ISKCON_Swamis_-_R_to_Y/His_Holiness_Radhanath_Swami/Lectures/00_-_Year_wise/Devotional_Nectar_-_2003/2003-048_Tolerating_the_Porvoking_Situation_Sunday_Feast_Mumbai_-_17-08-03_IDesireTree.mp3", "2003-048_Tolerating_the_Porvoking_Situation_Sunday_Feast_Mumbai_-_17-08-03_IDesireTree.mp3")</f>
        <v>2003-048_Tolerating_the_Porvoking_Situation_Sunday_Feast_Mumbai_-_17-08-03_IDesireTree.mp3</v>
      </c>
      <c r="D1874" s="24"/>
      <c r="E1874" s="24"/>
    </row>
    <row r="1875">
      <c r="A1875" s="25" t="s">
        <v>18352</v>
      </c>
      <c r="B1875" s="25" t="s">
        <v>18367</v>
      </c>
      <c r="C1875" s="26" t="str">
        <f>HYPERLINK("https://audio.iskcondesiretree.com/02_-_ISKCON_Swamis/ISKCON_Swamis_-_R_to_Y/His_Holiness_Radhanath_Swami/Lectures/00_-_Year_wise/Devotional_Nectar_-_2003/2003-049_Appearance_%26_Pastimes_of_Lord_Krishna_-_I_Janmashtami_SB-10_03_31_Mumbai_-_20-08-03_IDesi"&amp;"reTree.mp3", "2003-049_Appearance_%26_Pastimes_of_Lord_Krishna_-_I_Janmashtami_SB-10_03_31_Mumbai_-_20-08-03_IDesireTree.mp3")</f>
        <v>2003-049_Appearance_%26_Pastimes_of_Lord_Krishna_-_I_Janmashtami_SB-10_03_31_Mumbai_-_20-08-03_IDesireTree.mp3</v>
      </c>
      <c r="D1875" s="24"/>
      <c r="E1875" s="24"/>
    </row>
    <row r="1876">
      <c r="A1876" s="25" t="s">
        <v>18352</v>
      </c>
      <c r="B1876" s="25" t="s">
        <v>18367</v>
      </c>
      <c r="C1876" s="26" t="str">
        <f>HYPERLINK("https://audio.iskcondesiretree.com/02_-_ISKCON_Swamis/ISKCON_Swamis_-_R_to_Y/His_Holiness_Radhanath_Swami/Lectures/00_-_Year_wise/Devotional_Nectar_-_2003/2003-050_Appearance_%26_Pastimes_of_Lord_Krishna_-_II_Janmashtami_SB-10_03_31_Mumbai_-_20-08-03_IDes"&amp;"ireTree.mp3", "2003-050_Appearance_%26_Pastimes_of_Lord_Krishna_-_II_Janmashtami_SB-10_03_31_Mumbai_-_20-08-03_IDesireTree.mp3")</f>
        <v>2003-050_Appearance_%26_Pastimes_of_Lord_Krishna_-_II_Janmashtami_SB-10_03_31_Mumbai_-_20-08-03_IDesireTree.mp3</v>
      </c>
      <c r="D1876" s="24"/>
      <c r="E1876" s="24"/>
    </row>
    <row r="1877">
      <c r="A1877" s="25" t="s">
        <v>18352</v>
      </c>
      <c r="B1877" s="25" t="s">
        <v>18367</v>
      </c>
      <c r="C1877" s="26" t="str">
        <f>HYPERLINK("https://audio.iskcondesiretree.com/02_-_ISKCON_Swamis/ISKCON_Swamis_-_R_to_Y/His_Holiness_Radhanath_Swami/Lectures/00_-_Year_wise/Devotional_Nectar_-_2003/2003-051_Vyas_Puja_Offering_Lecture_Mumbai_-_Radhanath_Swami_2003-08-21_IDesireTree.mp3", "2003-051_Vyas_Puja_Offering_Lecture_Mumbai_-_Radhanath_Swami_2003-08-21_IDesireTree.mp3")</f>
        <v>2003-051_Vyas_Puja_Offering_Lecture_Mumbai_-_Radhanath_Swami_2003-08-21_IDesireTree.mp3</v>
      </c>
      <c r="D1877" s="24"/>
      <c r="E1877" s="24"/>
    </row>
    <row r="1878">
      <c r="A1878" s="25" t="s">
        <v>18352</v>
      </c>
      <c r="B1878" s="25" t="s">
        <v>18367</v>
      </c>
      <c r="C1878" s="26" t="str">
        <f>HYPERLINK("https://audio.iskcondesiretree.com/02_-_ISKCON_Swamis/ISKCON_Swamis_-_R_to_Y/His_Holiness_Radhanath_Swami/Lectures/00_-_Year_wise/Devotional_Nectar_-_2003/2003-052_Mahaprabhus_House_Lecture_Mumbai_-_Radhanath_Swami_2003-08-22_IDesireTree.mp3", "2003-052_Mahaprabhus_House_Lecture_Mumbai_-_Radhanath_Swami_2003-08-22_IDesireTree.mp3")</f>
        <v>2003-052_Mahaprabhus_House_Lecture_Mumbai_-_Radhanath_Swami_2003-08-22_IDesireTree.mp3</v>
      </c>
      <c r="D1878" s="24"/>
      <c r="E1878" s="24"/>
    </row>
    <row r="1879">
      <c r="A1879" s="25" t="s">
        <v>18352</v>
      </c>
      <c r="B1879" s="25" t="s">
        <v>18367</v>
      </c>
      <c r="C1879" s="26" t="str">
        <f>HYPERLINK("https://audio.iskcondesiretree.com/02_-_ISKCON_Swamis/ISKCON_Swamis_-_R_to_Y/His_Holiness_Radhanath_Swami/Lectures/00_-_Year_wise/Devotional_Nectar_-_2003/2003-053_Bhakti_is_the_Highest_form_of_Meditation_SB-04_24_53_Mumbai_-_23-08-03_IDesireTree.mp3", "2003-053_Bhakti_is_the_Highest_form_of_Meditation_SB-04_24_53_Mumbai_-_23-08-03_IDesireTree.mp3")</f>
        <v>2003-053_Bhakti_is_the_Highest_form_of_Meditation_SB-04_24_53_Mumbai_-_23-08-03_IDesireTree.mp3</v>
      </c>
      <c r="D1879" s="24"/>
      <c r="E1879" s="24"/>
    </row>
    <row r="1880">
      <c r="A1880" s="25" t="s">
        <v>18352</v>
      </c>
      <c r="B1880" s="25" t="s">
        <v>18367</v>
      </c>
      <c r="C1880" s="26" t="str">
        <f>HYPERLINK("https://audio.iskcondesiretree.com/02_-_ISKCON_Swamis/ISKCON_Swamis_-_R_to_Y/His_Holiness_Radhanath_Swami/Lectures/00_-_Year_wise/Devotional_Nectar_-_2003/2003-054_Shabri%27s_Unflinching_Faith_in_the_Words_of_her_Guru_SB-04_24_54_Mumbai_-_24-08-03_IDesire"&amp;"Tree.mp3", "2003-054_Shabri%27s_Unflinching_Faith_in_the_Words_of_her_Guru_SB-04_24_54_Mumbai_-_24-08-03_IDesireTree.mp3")</f>
        <v>2003-054_Shabri%27s_Unflinching_Faith_in_the_Words_of_her_Guru_SB-04_24_54_Mumbai_-_24-08-03_IDesireTree.mp3</v>
      </c>
      <c r="D1880" s="24"/>
      <c r="E1880" s="24"/>
    </row>
    <row r="1881">
      <c r="A1881" s="25" t="s">
        <v>18352</v>
      </c>
      <c r="B1881" s="25" t="s">
        <v>18367</v>
      </c>
      <c r="C1881" s="26" t="str">
        <f>HYPERLINK("https://audio.iskcondesiretree.com/02_-_ISKCON_Swamis/ISKCON_Swamis_-_R_to_Y/His_Holiness_Radhanath_Swami/Lectures/00_-_Year_wise/Devotional_Nectar_-_2003/2003-055_Getting_attracted_to_the_enchanting_beauty_of_Krsna_Lecture_Mumbai_-_24-08-03_IDesireTree.m"&amp;"p3", "2003-055_Getting_attracted_to_the_enchanting_beauty_of_Krsna_Lecture_Mumbai_-_24-08-03_IDesireTree.mp3")</f>
        <v>2003-055_Getting_attracted_to_the_enchanting_beauty_of_Krsna_Lecture_Mumbai_-_24-08-03_IDesireTree.mp3</v>
      </c>
      <c r="D1881" s="24"/>
      <c r="E1881" s="24"/>
    </row>
    <row r="1882">
      <c r="A1882" s="25" t="s">
        <v>18352</v>
      </c>
      <c r="B1882" s="25" t="s">
        <v>18367</v>
      </c>
      <c r="C1882" s="26" t="str">
        <f>HYPERLINK("https://audio.iskcondesiretree.com/02_-_ISKCON_Swamis/ISKCON_Swamis_-_R_to_Y/His_Holiness_Radhanath_Swami/Lectures/00_-_Year_wise/Devotional_Nectar_-_2003/2003-056_Associate_with_Devotees_Striving_for_Devotional_Service_SB-04_24_59_Mumbai_-_30-08-03_IDesi"&amp;"reTree.mp3", "2003-056_Associate_with_Devotees_Striving_for_Devotional_Service_SB-04_24_59_Mumbai_-_30-08-03_IDesireTree.mp3")</f>
        <v>2003-056_Associate_with_Devotees_Striving_for_Devotional_Service_SB-04_24_59_Mumbai_-_30-08-03_IDesireTree.mp3</v>
      </c>
      <c r="D1882" s="24"/>
      <c r="E1882" s="24"/>
    </row>
    <row r="1883">
      <c r="A1883" s="25" t="s">
        <v>18352</v>
      </c>
      <c r="B1883" s="25" t="s">
        <v>18367</v>
      </c>
      <c r="C1883" s="26" t="str">
        <f>HYPERLINK("https://audio.iskcondesiretree.com/02_-_ISKCON_Swamis/ISKCON_Swamis_-_R_to_Y/His_Holiness_Radhanath_Swami/Lectures/00_-_Year_wise/Devotional_Nectar_-_2003/2003-057_Power_of_habits_Prerna_Lecture_Mumbai_-_Radhanath_Swami_2003-08-30_IDesireTree.mp3", "2003-057_Power_of_habits_Prerna_Lecture_Mumbai_-_Radhanath_Swami_2003-08-30_IDesireTree.mp3")</f>
        <v>2003-057_Power_of_habits_Prerna_Lecture_Mumbai_-_Radhanath_Swami_2003-08-30_IDesireTree.mp3</v>
      </c>
      <c r="D1883" s="24"/>
      <c r="E1883" s="24"/>
    </row>
    <row r="1884">
      <c r="A1884" s="25" t="s">
        <v>18352</v>
      </c>
      <c r="B1884" s="25" t="s">
        <v>18367</v>
      </c>
      <c r="C1884" s="26" t="str">
        <f>HYPERLINK("https://audio.iskcondesiretree.com/02_-_ISKCON_Swamis/ISKCON_Swamis_-_R_to_Y/His_Holiness_Radhanath_Swami/Lectures/00_-_Year_wise/Devotional_Nectar_-_2003/2003-058_Seeing_everything_in_relation_to_Krsna_SB_Class_Mumbai_-_31-08-03_IDesireTree.mp3", "2003-058_Seeing_everything_in_relation_to_Krsna_SB_Class_Mumbai_-_31-08-03_IDesireTree.mp3")</f>
        <v>2003-058_Seeing_everything_in_relation_to_Krsna_SB_Class_Mumbai_-_31-08-03_IDesireTree.mp3</v>
      </c>
      <c r="D1884" s="24"/>
      <c r="E1884" s="24"/>
    </row>
    <row r="1885">
      <c r="A1885" s="25" t="s">
        <v>18352</v>
      </c>
      <c r="B1885" s="25" t="s">
        <v>18367</v>
      </c>
      <c r="C1885" s="26" t="str">
        <f>HYPERLINK("https://audio.iskcondesiretree.com/02_-_ISKCON_Swamis/ISKCON_Swamis_-_R_to_Y/His_Holiness_Radhanath_Swami/Lectures/00_-_Year_wise/Devotional_Nectar_-_2003/2003-059_Being_Compassionate_to_all_Living_Entities_Lecture_Mumbai_-_31-08-03_IDesireTree.mp3", "2003-059_Being_Compassionate_to_all_Living_Entities_Lecture_Mumbai_-_31-08-03_IDesireTree.mp3")</f>
        <v>2003-059_Being_Compassionate_to_all_Living_Entities_Lecture_Mumbai_-_31-08-03_IDesireTree.mp3</v>
      </c>
      <c r="D1885" s="24"/>
      <c r="E1885" s="24"/>
    </row>
    <row r="1886">
      <c r="A1886" s="25" t="s">
        <v>18352</v>
      </c>
      <c r="B1886" s="25" t="s">
        <v>18367</v>
      </c>
      <c r="C1886" s="26" t="str">
        <f>HYPERLINK("https://audio.iskcondesiretree.com/02_-_ISKCON_Swamis/ISKCON_Swamis_-_R_to_Y/His_Holiness_Radhanath_Swami/Lectures/00_-_Year_wise/Devotional_Nectar_-_2003/2003-060_Brahman_Initation_Lecture_Mumbai_-_Radhanath_Swami_2003-09-02_IDesireTree.mp3", "2003-060_Brahman_Initation_Lecture_Mumbai_-_Radhanath_Swami_2003-09-02_IDesireTree.mp3")</f>
        <v>2003-060_Brahman_Initation_Lecture_Mumbai_-_Radhanath_Swami_2003-09-02_IDesireTree.mp3</v>
      </c>
      <c r="D1886" s="24"/>
      <c r="E1886" s="24"/>
    </row>
    <row r="1887">
      <c r="A1887" s="25" t="s">
        <v>18352</v>
      </c>
      <c r="B1887" s="25" t="s">
        <v>18367</v>
      </c>
      <c r="C1887" s="26" t="str">
        <f>HYPERLINK("https://audio.iskcondesiretree.com/02_-_ISKCON_Swamis/ISKCON_Swamis_-_R_to_Y/His_Holiness_Radhanath_Swami/Lectures/00_-_Year_wise/Devotional_Nectar_-_2003/2003-061_How_to_Approach_Srimati_Radharani_CC_madhya_08_209_Mumbai_-_04-09-03_IDesireTree.mp3", "2003-061_How_to_Approach_Srimati_Radharani_CC_madhya_08_209_Mumbai_-_04-09-03_IDesireTree.mp3")</f>
        <v>2003-061_How_to_Approach_Srimati_Radharani_CC_madhya_08_209_Mumbai_-_04-09-03_IDesireTree.mp3</v>
      </c>
      <c r="D1887" s="24"/>
      <c r="E1887" s="24"/>
    </row>
    <row r="1888">
      <c r="A1888" s="25" t="s">
        <v>18352</v>
      </c>
      <c r="B1888" s="25" t="s">
        <v>18367</v>
      </c>
      <c r="C1888" s="26" t="str">
        <f>HYPERLINK("https://audio.iskcondesiretree.com/02_-_ISKCON_Swamis/ISKCON_Swamis_-_R_to_Y/His_Holiness_Radhanath_Swami/Lectures/00_-_Year_wise/Devotional_Nectar_-_2003/2003-062_We_Need_Blessings_of_Srimati_Radharani_Lecture_Mumbai_-_04-09-03_IDesireTree.mp3", "2003-062_We_Need_Blessings_of_Srimati_Radharani_Lecture_Mumbai_-_04-09-03_IDesireTree.mp3")</f>
        <v>2003-062_We_Need_Blessings_of_Srimati_Radharani_Lecture_Mumbai_-_04-09-03_IDesireTree.mp3</v>
      </c>
      <c r="D1888" s="24"/>
      <c r="E1888" s="24"/>
    </row>
    <row r="1889">
      <c r="A1889" s="25" t="s">
        <v>18352</v>
      </c>
      <c r="B1889" s="25" t="s">
        <v>18367</v>
      </c>
      <c r="C1889" s="26" t="str">
        <f>HYPERLINK("https://audio.iskcondesiretree.com/02_-_ISKCON_Swamis/ISKCON_Swamis_-_R_to_Y/His_Holiness_Radhanath_Swami/Lectures/00_-_Year_wise/Devotional_Nectar_-_2003/2003-064_Failures_as_stepping_stones_to_success_Lecture_Mumbai_-_20-09-03_IDesireTree.mp3", "2003-064_Failures_as_stepping_stones_to_success_Lecture_Mumbai_-_20-09-03_IDesireTree.mp3")</f>
        <v>2003-064_Failures_as_stepping_stones_to_success_Lecture_Mumbai_-_20-09-03_IDesireTree.mp3</v>
      </c>
      <c r="D1889" s="24"/>
      <c r="E1889" s="24"/>
    </row>
    <row r="1890">
      <c r="A1890" s="25" t="s">
        <v>18352</v>
      </c>
      <c r="B1890" s="25" t="s">
        <v>18367</v>
      </c>
      <c r="C1890" s="26" t="str">
        <f>HYPERLINK("https://audio.iskcondesiretree.com/02_-_ISKCON_Swamis/ISKCON_Swamis_-_R_to_Y/His_Holiness_Radhanath_Swami/Lectures/00_-_Year_wise/Devotional_Nectar_-_2003/2003-065_Bhakti_Caru_M_Lecture_Sunday_feast_Mumbai_-_Radhanath_Swami_2003-09-21_IDesireTree.mp3", "2003-065_Bhakti_Caru_M_Lecture_Sunday_feast_Mumbai_-_Radhanath_Swami_2003-09-21_IDesireTree.mp3")</f>
        <v>2003-065_Bhakti_Caru_M_Lecture_Sunday_feast_Mumbai_-_Radhanath_Swami_2003-09-21_IDesireTree.mp3</v>
      </c>
      <c r="D1890" s="24"/>
      <c r="E1890" s="24"/>
    </row>
    <row r="1891">
      <c r="A1891" s="25" t="s">
        <v>18352</v>
      </c>
      <c r="B1891" s="25" t="s">
        <v>18367</v>
      </c>
      <c r="C1891" s="26" t="str">
        <f>HYPERLINK("https://audio.iskcondesiretree.com/02_-_ISKCON_Swamis/ISKCON_Swamis_-_R_to_Y/His_Holiness_Radhanath_Swami/Lectures/00_-_Year_wise/Devotional_Nectar_-_2003/2003-066_Compassion_of_Narad_Muni_on_King_Prachinibarishat_SB-04_25_08_Mumbai_-_4-10-03_IDesireTree."&amp;"mp3", "2003-066_Compassion_of_Narad_Muni_on_King_Prachinibarishat_SB-04_25_08_Mumbai_-_4-10-03_IDesireTree.mp3")</f>
        <v>2003-066_Compassion_of_Narad_Muni_on_King_Prachinibarishat_SB-04_25_08_Mumbai_-_4-10-03_IDesireTree.mp3</v>
      </c>
      <c r="D1891" s="24"/>
      <c r="E1891" s="24"/>
    </row>
    <row r="1892">
      <c r="A1892" s="25" t="s">
        <v>18352</v>
      </c>
      <c r="B1892" s="25" t="s">
        <v>18367</v>
      </c>
      <c r="C1892" s="26" t="str">
        <f>HYPERLINK("https://audio.iskcondesiretree.com/02_-_ISKCON_Swamis/ISKCON_Swamis_-_R_to_Y/His_Holiness_Radhanath_Swami/Lectures/00_-_Year_wise/Devotional_Nectar_-_2003/2003-067_Offering_to_HG_Caitanya_Vallabh_Prabhu_Lecture_Mumbai_-_04-10-03_IDesireTree.mp3", "2003-067_Offering_to_HG_Caitanya_Vallabh_Prabhu_Lecture_Mumbai_-_04-10-03_IDesireTree.mp3")</f>
        <v>2003-067_Offering_to_HG_Caitanya_Vallabh_Prabhu_Lecture_Mumbai_-_04-10-03_IDesireTree.mp3</v>
      </c>
      <c r="D1892" s="24"/>
      <c r="E1892" s="24"/>
    </row>
    <row r="1893">
      <c r="A1893" s="25" t="s">
        <v>18352</v>
      </c>
      <c r="B1893" s="25" t="s">
        <v>18367</v>
      </c>
      <c r="C1893" s="26" t="str">
        <f>HYPERLINK("https://audio.iskcondesiretree.com/02_-_ISKCON_Swamis/ISKCON_Swamis_-_R_to_Y/His_Holiness_Radhanath_Swami/Lectures/00_-_Year_wise/Devotional_Nectar_-_2003/2003-068_Expert_Preaching_of_Narad_Muni_%26_Madhavacarya_SB-04_25_09_Mumbai_-_05-10-03_IDesireTree.m"&amp;"p3", "2003-068_Expert_Preaching_of_Narad_Muni_%26_Madhavacarya_SB-04_25_09_Mumbai_-_05-10-03_IDesireTree.mp3")</f>
        <v>2003-068_Expert_Preaching_of_Narad_Muni_%26_Madhavacarya_SB-04_25_09_Mumbai_-_05-10-03_IDesireTree.mp3</v>
      </c>
      <c r="D1893" s="24"/>
      <c r="E1893" s="24"/>
    </row>
    <row r="1894">
      <c r="A1894" s="25" t="s">
        <v>18352</v>
      </c>
      <c r="B1894" s="25" t="s">
        <v>18367</v>
      </c>
      <c r="C1894" s="26" t="str">
        <f>HYPERLINK("https://audio.iskcondesiretree.com/02_-_ISKCON_Swamis/ISKCON_Swamis_-_R_to_Y/His_Holiness_Radhanath_Swami/Lectures/00_-_Year_wise/Devotional_Nectar_-_2003/2003-069_Sri_Ramacandra_Vijayotsava_Sunday_Feast_Mumbai_-_Radhanath_Swami_2003-10-05_IDesireTree.mp3", "2003-069_Sri_Ramacandra_Vijayotsava_Sunday_Feast_Mumbai_-_Radhanath_Swami_2003-10-05_IDesireTree.mp3")</f>
        <v>2003-069_Sri_Ramacandra_Vijayotsava_Sunday_Feast_Mumbai_-_Radhanath_Swami_2003-10-05_IDesireTree.mp3</v>
      </c>
      <c r="D1894" s="24"/>
      <c r="E1894" s="24"/>
    </row>
    <row r="1895">
      <c r="A1895" s="25" t="s">
        <v>18352</v>
      </c>
      <c r="B1895" s="25" t="s">
        <v>18367</v>
      </c>
      <c r="C1895" s="26" t="str">
        <f>HYPERLINK("https://audio.iskcondesiretree.com/02_-_ISKCON_Swamis/ISKCON_Swamis_-_R_to_Y/His_Holiness_Radhanath_Swami/Lectures/00_-_Year_wise/Devotional_Nectar_-_2003/2003-070_Goswamis_Disappearance_Lecture_Mumbai_-_Radhanath_Swami_2003-10-07_IDesireTree.mp3", "2003-070_Goswamis_Disappearance_Lecture_Mumbai_-_Radhanath_Swami_2003-10-07_IDesireTree.mp3")</f>
        <v>2003-070_Goswamis_Disappearance_Lecture_Mumbai_-_Radhanath_Swami_2003-10-07_IDesireTree.mp3</v>
      </c>
      <c r="D1895" s="24"/>
      <c r="E1895" s="24"/>
    </row>
    <row r="1896">
      <c r="A1896" s="25" t="s">
        <v>18352</v>
      </c>
      <c r="B1896" s="25" t="s">
        <v>18367</v>
      </c>
      <c r="C1896" s="26" t="str">
        <f>HYPERLINK("https://audio.iskcondesiretree.com/02_-_ISKCON_Swamis/ISKCON_Swamis_-_R_to_Y/His_Holiness_Radhanath_Swami/Lectures/00_-_Year_wise/Devotional_Nectar_-_2003/2003-071_Lord_Krishna%27s_Damodar_Lila_Lecture_Mumbai_-_Radhanath_Swami_2003-10-10_IDesireTree.mp3", "2003-071_Lord_Krishna%27s_Damodar_Lila_Lecture_Mumbai_-_Radhanath_Swami_2003-10-10_IDesireTree.mp3")</f>
        <v>2003-071_Lord_Krishna%27s_Damodar_Lila_Lecture_Mumbai_-_Radhanath_Swami_2003-10-10_IDesireTree.mp3</v>
      </c>
      <c r="D1896" s="24"/>
      <c r="E1896" s="24"/>
    </row>
    <row r="1897">
      <c r="A1897" s="25" t="s">
        <v>18352</v>
      </c>
      <c r="B1897" s="25" t="s">
        <v>18367</v>
      </c>
      <c r="C1897" s="26" t="str">
        <f>HYPERLINK("https://audio.iskcondesiretree.com/02_-_ISKCON_Swamis/ISKCON_Swamis_-_R_to_Y/His_Holiness_Radhanath_Swami/Lectures/00_-_Year_wise/Devotional_Nectar_-_2003/2003-072_Spititual_Life_Means_Transforming_our_Consciousness_SB-04_25_14_Mumbai_-_12-10-03_IDesireTr"&amp;"ee.mp3", "2003-072_Spititual_Life_Means_Transforming_our_Consciousness_SB-04_25_14_Mumbai_-_12-10-03_IDesireTree.mp3")</f>
        <v>2003-072_Spititual_Life_Means_Transforming_our_Consciousness_SB-04_25_14_Mumbai_-_12-10-03_IDesireTree.mp3</v>
      </c>
      <c r="D1897" s="24"/>
      <c r="E1897" s="24"/>
    </row>
    <row r="1898">
      <c r="A1898" s="25" t="s">
        <v>18352</v>
      </c>
      <c r="B1898" s="25" t="s">
        <v>18367</v>
      </c>
      <c r="C1898" s="26" t="str">
        <f>HYPERLINK("https://audio.iskcondesiretree.com/02_-_ISKCON_Swamis/ISKCON_Swamis_-_R_to_Y/His_Holiness_Radhanath_Swami/Lectures/00_-_Year_wise/Devotional_Nectar_-_2003/2003-073_Sunday_Feast_Mumbai_-_Radhanath_Swami_2003-10-12_IDesireTree.mp3", "2003-073_Sunday_Feast_Mumbai_-_Radhanath_Swami_2003-10-12_IDesireTree.mp3")</f>
        <v>2003-073_Sunday_Feast_Mumbai_-_Radhanath_Swami_2003-10-12_IDesireTree.mp3</v>
      </c>
      <c r="D1898" s="24"/>
      <c r="E1898" s="24"/>
    </row>
    <row r="1899">
      <c r="A1899" s="25" t="s">
        <v>18352</v>
      </c>
      <c r="B1899" s="25" t="s">
        <v>18367</v>
      </c>
      <c r="C1899" s="26" t="str">
        <f>HYPERLINK("https://audio.iskcondesiretree.com/02_-_ISKCON_Swamis/ISKCON_Swamis_-_R_to_Y/His_Holiness_Radhanath_Swami/Lectures/00_-_Year_wise/Devotional_Nectar_-_2003/2003-074_Intelligence_should_be_Chaste_%26_Faithful_to_the_soul_SB-04_25_21_Mumbai_-_19-10-03_IDesir"&amp;"eTree.mp3", "2003-074_Intelligence_should_be_Chaste_%26_Faithful_to_the_soul_SB-04_25_21_Mumbai_-_19-10-03_IDesireTree.mp3")</f>
        <v>2003-074_Intelligence_should_be_Chaste_%26_Faithful_to_the_soul_SB-04_25_21_Mumbai_-_19-10-03_IDesireTree.mp3</v>
      </c>
      <c r="D1899" s="24"/>
      <c r="E1899" s="24"/>
    </row>
    <row r="1900">
      <c r="A1900" s="25" t="s">
        <v>18352</v>
      </c>
      <c r="B1900" s="25" t="s">
        <v>18367</v>
      </c>
      <c r="C1900" s="26" t="str">
        <f>HYPERLINK("https://audio.iskcondesiretree.com/02_-_ISKCON_Swamis/ISKCON_Swamis_-_R_to_Y/His_Holiness_Radhanath_Swami/Lectures/00_-_Year_wise/Devotional_Nectar_-_2003/2003-075_Supreme_Love_of_the_Vrajavasis_Sunday_Feast_Mumbai_-_19-10-03_IDesireTree.mp3", "2003-075_Supreme_Love_of_the_Vrajavasis_Sunday_Feast_Mumbai_-_19-10-03_IDesireTree.mp3")</f>
        <v>2003-075_Supreme_Love_of_the_Vrajavasis_Sunday_Feast_Mumbai_-_19-10-03_IDesireTree.mp3</v>
      </c>
      <c r="D1900" s="24"/>
      <c r="E1900" s="24"/>
    </row>
    <row r="1901">
      <c r="A1901" s="25" t="s">
        <v>18352</v>
      </c>
      <c r="B1901" s="25" t="s">
        <v>18367</v>
      </c>
      <c r="C1901" s="26" t="str">
        <f>HYPERLINK("https://audio.iskcondesiretree.com/02_-_ISKCON_Swamis/ISKCON_Swamis_-_R_to_Y/His_Holiness_Radhanath_Swami/Lectures/00_-_Year_wise/Devotional_Nectar_-_2003/2003-076_Govardhan_Puja_SB-10_21_18_New_Vrindavan_-_Radhanath_Swami_2003-10-25_IDesireTree.mp3", "2003-076_Govardhan_Puja_SB-10_21_18_New_Vrindavan_-_Radhanath_Swami_2003-10-25_IDesireTree.mp3")</f>
        <v>2003-076_Govardhan_Puja_SB-10_21_18_New_Vrindavan_-_Radhanath_Swami_2003-10-25_IDesireTree.mp3</v>
      </c>
      <c r="D1901" s="24"/>
      <c r="E1901" s="24"/>
    </row>
    <row r="1902">
      <c r="A1902" s="25" t="s">
        <v>18352</v>
      </c>
      <c r="B1902" s="25" t="s">
        <v>18367</v>
      </c>
      <c r="C1902" s="26" t="str">
        <f>HYPERLINK("https://audio.iskcondesiretree.com/02_-_ISKCON_Swamis/ISKCON_Swamis_-_R_to_Y/His_Holiness_Radhanath_Swami/Lectures/00_-_Year_wise/Devotional_Nectar_-_2003/2003-077_Krishna%27s_All-Attractive_Damodara-Lila_Lecture_New_Vrindavan_-_26-10-03_IDesireTree.mp3", "2003-077_Krishna%27s_All-Attractive_Damodara-Lila_Lecture_New_Vrindavan_-_26-10-03_IDesireTree.mp3")</f>
        <v>2003-077_Krishna%27s_All-Attractive_Damodara-Lila_Lecture_New_Vrindavan_-_26-10-03_IDesireTree.mp3</v>
      </c>
      <c r="D1902" s="24"/>
      <c r="E1902" s="24"/>
    </row>
    <row r="1903">
      <c r="A1903" s="25" t="s">
        <v>18352</v>
      </c>
      <c r="B1903" s="25" t="s">
        <v>18367</v>
      </c>
      <c r="C1903" s="26" t="str">
        <f>HYPERLINK("https://audio.iskcondesiretree.com/02_-_ISKCON_Swamis/ISKCON_Swamis_-_R_to_Y/His_Holiness_Radhanath_Swami/Lectures/00_-_Year_wise/Devotional_Nectar_-_2003/2003-078_Offering_to_Srila_Prabhupad_Lecture_New_Vrindavan_-_28-10-03_IDesireTree.mp3", "2003-078_Offering_to_Srila_Prabhupad_Lecture_New_Vrindavan_-_28-10-03_IDesireTree.mp3")</f>
        <v>2003-078_Offering_to_Srila_Prabhupad_Lecture_New_Vrindavan_-_28-10-03_IDesireTree.mp3</v>
      </c>
      <c r="D1903" s="24"/>
      <c r="E1903" s="24"/>
    </row>
    <row r="1904">
      <c r="A1904" s="25" t="s">
        <v>18352</v>
      </c>
      <c r="B1904" s="25" t="s">
        <v>18367</v>
      </c>
      <c r="C1904" s="26" t="str">
        <f>HYPERLINK("https://audio.iskcondesiretree.com/02_-_ISKCON_Swamis/ISKCON_Swamis_-_R_to_Y/His_Holiness_Radhanath_Swami/Lectures/00_-_Year_wise/Devotional_Nectar_-_2003/2003-079_Lilamrta_Lecture_New_Vrindavan_-_Radhanath_Swami_2003-10-29_IDesireTree.mp3", "2003-079_Lilamrta_Lecture_New_Vrindavan_-_Radhanath_Swami_2003-10-29_IDesireTree.mp3")</f>
        <v>2003-079_Lilamrta_Lecture_New_Vrindavan_-_Radhanath_Swami_2003-10-29_IDesireTree.mp3</v>
      </c>
      <c r="D1904" s="24"/>
      <c r="E1904" s="24"/>
    </row>
    <row r="1905">
      <c r="A1905" s="25" t="s">
        <v>18352</v>
      </c>
      <c r="B1905" s="25" t="s">
        <v>18367</v>
      </c>
      <c r="C1905" s="26" t="str">
        <f>HYPERLINK("https://audio.iskcondesiretree.com/02_-_ISKCON_Swamis/ISKCON_Swamis_-_R_to_Y/His_Holiness_Radhanath_Swami/Lectures/00_-_Year_wise/Devotional_Nectar_-_2003/2003-08-03_Various_-_Lesson_to_Govinda_-_Radhanath_Swami_Rome.mp3", "2003-08-03_Various_-_Lesson_to_Govinda_-_Radhanath_Swami_Rome.mp3")</f>
        <v>2003-08-03_Various_-_Lesson_to_Govinda_-_Radhanath_Swami_Rome.mp3</v>
      </c>
      <c r="D1905" s="24"/>
      <c r="E1905" s="24"/>
    </row>
    <row r="1906">
      <c r="A1906" s="25" t="s">
        <v>18352</v>
      </c>
      <c r="B1906" s="25" t="s">
        <v>18367</v>
      </c>
      <c r="C1906" s="26" t="str">
        <f>HYPERLINK("https://audio.iskcondesiretree.com/02_-_ISKCON_Swamis/ISKCON_Swamis_-_R_to_Y/His_Holiness_Radhanath_Swami/Lectures/00_-_Year_wise/Devotional_Nectar_-_2003/2003-080_The_Nature_of_Prabhupada%27s_Love_Lecture_New_Vrindavan_-_29-10-03_IDesireTree.mp3", "2003-080_The_Nature_of_Prabhupada%27s_Love_Lecture_New_Vrindavan_-_29-10-03_IDesireTree.mp3")</f>
        <v>2003-080_The_Nature_of_Prabhupada%27s_Love_Lecture_New_Vrindavan_-_29-10-03_IDesireTree.mp3</v>
      </c>
      <c r="D1906" s="24"/>
      <c r="E1906" s="24"/>
    </row>
    <row r="1907">
      <c r="A1907" s="25" t="s">
        <v>18352</v>
      </c>
      <c r="B1907" s="25" t="s">
        <v>18367</v>
      </c>
      <c r="C1907" s="26" t="str">
        <f>HYPERLINK("https://audio.iskcondesiretree.com/02_-_ISKCON_Swamis/ISKCON_Swamis_-_R_to_Y/His_Holiness_Radhanath_Swami/Lectures/00_-_Year_wise/Devotional_Nectar_-_2003/2003-081_Diwali_-_Lord_Rama%27s_Return_to_Ayodhya_Lecture_New_Vrindavan_-_30-10-03_IDesireTree.mp3", "2003-081_Diwali_-_Lord_Rama%27s_Return_to_Ayodhya_Lecture_New_Vrindavan_-_30-10-03_IDesireTree.mp3")</f>
        <v>2003-081_Diwali_-_Lord_Rama%27s_Return_to_Ayodhya_Lecture_New_Vrindavan_-_30-10-03_IDesireTree.mp3</v>
      </c>
      <c r="D1907" s="24"/>
      <c r="E1907" s="24"/>
    </row>
    <row r="1908">
      <c r="A1908" s="25" t="s">
        <v>18352</v>
      </c>
      <c r="B1908" s="25" t="s">
        <v>18367</v>
      </c>
      <c r="C1908" s="26" t="str">
        <f>HYPERLINK("https://audio.iskcondesiretree.com/02_-_ISKCON_Swamis/ISKCON_Swamis_-_R_to_Y/His_Holiness_Radhanath_Swami/Lectures/00_-_Year_wise/Devotional_Nectar_-_2003/2003-082_Lord_Nityananda%27s_Mercy_Lecture_New_Vrindavan_-_Radhanath_Swami_2003-10-31_IDesireTree.mp"&amp;"3", "2003-082_Lord_Nityananda%27s_Mercy_Lecture_New_Vrindavan_-_Radhanath_Swami_2003-10-31_IDesireTree.mp3")</f>
        <v>2003-082_Lord_Nityananda%27s_Mercy_Lecture_New_Vrindavan_-_Radhanath_Swami_2003-10-31_IDesireTree.mp3</v>
      </c>
      <c r="D1908" s="24"/>
      <c r="E1908" s="24"/>
    </row>
    <row r="1909">
      <c r="A1909" s="25" t="s">
        <v>18352</v>
      </c>
      <c r="B1909" s="25" t="s">
        <v>18367</v>
      </c>
      <c r="C1909" s="26" t="str">
        <f>HYPERLINK("https://audio.iskcondesiretree.com/02_-_ISKCON_Swamis/ISKCON_Swamis_-_R_to_Y/His_Holiness_Radhanath_Swami/Lectures/00_-_Year_wise/Devotional_Nectar_-_2003/2003-083_Spirituality_-_The_essence_of_Life-RNS_LECTURE_Lecture_Albany_-_November_2003_-_IDesireTree"&amp;".mp3", "2003-083_Spirituality_-_The_essence_of_Life-RNS_LECTURE_Lecture_Albany_-_November_2003_-_IDesireTree.mp3")</f>
        <v>2003-083_Spirituality_-_The_essence_of_Life-RNS_LECTURE_Lecture_Albany_-_November_2003_-_IDesireTree.mp3</v>
      </c>
      <c r="D1909" s="24"/>
      <c r="E1909" s="24"/>
    </row>
    <row r="1910">
      <c r="A1910" s="25" t="s">
        <v>18352</v>
      </c>
      <c r="B1910" s="25" t="s">
        <v>18367</v>
      </c>
      <c r="C1910" s="26" t="str">
        <f>HYPERLINK("https://audio.iskcondesiretree.com/02_-_ISKCON_Swamis/ISKCON_Swamis_-_R_to_Y/His_Holiness_Radhanath_Swami/Lectures/00_-_Year_wise/Devotional_Nectar_-_2003/2003-084_Lecture_26_2nd_ave_-_Radhanath_Swami_2003-11-04_IDesireTree.mp3", "2003-084_Lecture_26_2nd_ave_-_Radhanath_Swami_2003-11-04_IDesireTree.mp3")</f>
        <v>2003-084_Lecture_26_2nd_ave_-_Radhanath_Swami_2003-11-04_IDesireTree.mp3</v>
      </c>
      <c r="D1910" s="24"/>
      <c r="E1910" s="24"/>
    </row>
    <row r="1911">
      <c r="A1911" s="25" t="s">
        <v>18352</v>
      </c>
      <c r="B1911" s="25" t="s">
        <v>18367</v>
      </c>
      <c r="C1911" s="26" t="str">
        <f>HYPERLINK("https://audio.iskcondesiretree.com/02_-_ISKCON_Swamis/ISKCON_Swamis_-_R_to_Y/His_Holiness_Radhanath_Swami/Lectures/00_-_Year_wise/Devotional_Nectar_-_2003/2003-085_Lecture_26_2nd_Ave_-_Radhanath_Swami_2003-11-04_IDesireTree.mp3", "2003-085_Lecture_26_2nd_Ave_-_Radhanath_Swami_2003-11-04_IDesireTree.mp3")</f>
        <v>2003-085_Lecture_26_2nd_Ave_-_Radhanath_Swami_2003-11-04_IDesireTree.mp3</v>
      </c>
      <c r="D1911" s="24"/>
      <c r="E1911" s="24"/>
    </row>
    <row r="1912">
      <c r="A1912" s="25" t="s">
        <v>18352</v>
      </c>
      <c r="B1912" s="25" t="s">
        <v>18367</v>
      </c>
      <c r="C1912" s="26" t="str">
        <f>HYPERLINK("https://audio.iskcondesiretree.com/02_-_ISKCON_Swamis/ISKCON_Swamis_-_R_to_Y/His_Holiness_Radhanath_Swami/Lectures/00_-_Year_wise/Devotional_Nectar_-_2003/2003-086_SB-10_01_64_San_Diego_-_Radhanath_Swami_2003-11-21_IDesireTree.mp3", "2003-086_SB-10_01_64_San_Diego_-_Radhanath_Swami_2003-11-21_IDesireTree.mp3")</f>
        <v>2003-086_SB-10_01_64_San_Diego_-_Radhanath_Swami_2003-11-21_IDesireTree.mp3</v>
      </c>
      <c r="D1912" s="24"/>
      <c r="E1912" s="24"/>
    </row>
    <row r="1913">
      <c r="A1913" s="25" t="s">
        <v>18352</v>
      </c>
      <c r="B1913" s="25" t="s">
        <v>18367</v>
      </c>
      <c r="C1913" s="26" t="str">
        <f>HYPERLINK("https://audio.iskcondesiretree.com/02_-_ISKCON_Swamis/ISKCON_Swamis_-_R_to_Y/His_Holiness_Radhanath_Swami/Lectures/00_-_Year_wise/Devotional_Nectar_-_2003/2003-087_Sri_Giridhari%27s_Home_Lecture_US_-_Radhanath_Swami_2003-11-21_IDesireTree.mp3", "2003-087_Sri_Giridhari%27s_Home_Lecture_US_-_Radhanath_Swami_2003-11-21_IDesireTree.mp3")</f>
        <v>2003-087_Sri_Giridhari%27s_Home_Lecture_US_-_Radhanath_Swami_2003-11-21_IDesireTree.mp3</v>
      </c>
      <c r="D1913" s="24"/>
      <c r="E1913" s="24"/>
    </row>
    <row r="1914">
      <c r="A1914" s="25" t="s">
        <v>18352</v>
      </c>
      <c r="B1914" s="25" t="s">
        <v>18367</v>
      </c>
      <c r="C1914" s="26" t="str">
        <f>HYPERLINK("https://audio.iskcondesiretree.com/02_-_ISKCON_Swamis/ISKCON_Swamis_-_R_to_Y/His_Holiness_Radhanath_Swami/Lectures/00_-_Year_wise/Devotional_Nectar_-_2003/2003-088_SB_10_01_65-66_San_Diego_-_Radhanath_Swami_2003-11-22_IDesireTree.mp3", "2003-088_SB_10_01_65-66_San_Diego_-_Radhanath_Swami_2003-11-22_IDesireTree.mp3")</f>
        <v>2003-088_SB_10_01_65-66_San_Diego_-_Radhanath_Swami_2003-11-22_IDesireTree.mp3</v>
      </c>
      <c r="D1914" s="24"/>
      <c r="E1914" s="24"/>
    </row>
    <row r="1915">
      <c r="A1915" s="25" t="s">
        <v>18352</v>
      </c>
      <c r="B1915" s="25" t="s">
        <v>18367</v>
      </c>
      <c r="C1915" s="26" t="str">
        <f>HYPERLINK("https://audio.iskcondesiretree.com/02_-_ISKCON_Swamis/ISKCON_Swamis_-_R_to_Y/His_Holiness_Radhanath_Swami/Lectures/00_-_Year_wise/Devotional_Nectar_-_2003/2003-089_Initiation_Initiation_Lecture_San_Diego_-_Radhanath_Swami_2003-11-22_IDesireTree.mp3", "2003-089_Initiation_Initiation_Lecture_San_Diego_-_Radhanath_Swami_2003-11-22_IDesireTree.mp3")</f>
        <v>2003-089_Initiation_Initiation_Lecture_San_Diego_-_Radhanath_Swami_2003-11-22_IDesireTree.mp3</v>
      </c>
      <c r="D1915" s="24"/>
      <c r="E1915" s="24"/>
    </row>
    <row r="1916">
      <c r="A1916" s="25" t="s">
        <v>18352</v>
      </c>
      <c r="B1916" s="25" t="s">
        <v>18367</v>
      </c>
      <c r="C1916" s="26" t="str">
        <f>HYPERLINK("https://audio.iskcondesiretree.com/02_-_ISKCON_Swamis/ISKCON_Swamis_-_R_to_Y/His_Holiness_Radhanath_Swami/Lectures/00_-_Year_wise/Devotional_Nectar_-_2003/2003-090_SB_10_01_67_San_Diego_-_Radhanath_Swami_2003-11-23_IDesireTree.mp3", "2003-090_SB_10_01_67_San_Diego_-_Radhanath_Swami_2003-11-23_IDesireTree.mp3")</f>
        <v>2003-090_SB_10_01_67_San_Diego_-_Radhanath_Swami_2003-11-23_IDesireTree.mp3</v>
      </c>
      <c r="D1916" s="24"/>
      <c r="E1916" s="24"/>
    </row>
    <row r="1917">
      <c r="A1917" s="25" t="s">
        <v>18352</v>
      </c>
      <c r="B1917" s="25" t="s">
        <v>18367</v>
      </c>
      <c r="C1917" s="26" t="str">
        <f>HYPERLINK("https://audio.iskcondesiretree.com/02_-_ISKCON_Swamis/ISKCON_Swamis_-_R_to_Y/His_Holiness_Radhanath_Swami/Lectures/00_-_Year_wise/Devotional_Nectar_-_2003/2003-091_Sunday_Feast_Laguna_Beach_-_Radhanath_Swami_2003-11-23_IDesireTree.mp3", "2003-091_Sunday_Feast_Laguna_Beach_-_Radhanath_Swami_2003-11-23_IDesireTree.mp3")</f>
        <v>2003-091_Sunday_Feast_Laguna_Beach_-_Radhanath_Swami_2003-11-23_IDesireTree.mp3</v>
      </c>
      <c r="D1917" s="24"/>
      <c r="E1917" s="24"/>
    </row>
    <row r="1918">
      <c r="A1918" s="25" t="s">
        <v>18352</v>
      </c>
      <c r="B1918" s="25" t="s">
        <v>18367</v>
      </c>
      <c r="C1918" s="26" t="str">
        <f>HYPERLINK("https://audio.iskcondesiretree.com/02_-_ISKCON_Swamis/ISKCON_Swamis_-_R_to_Y/His_Holiness_Radhanath_Swami/Lectures/00_-_Year_wise/Devotional_Nectar_-_2003/2003-092_SB_03_14_19_Laguna_Beach_-_Radhanath_Swami_2003-11-24_IDesireTree.mp3", "2003-092_SB_03_14_19_Laguna_Beach_-_Radhanath_Swami_2003-11-24_IDesireTree.mp3")</f>
        <v>2003-092_SB_03_14_19_Laguna_Beach_-_Radhanath_Swami_2003-11-24_IDesireTree.mp3</v>
      </c>
      <c r="D1918" s="24"/>
      <c r="E1918" s="24"/>
    </row>
    <row r="1919">
      <c r="A1919" s="25" t="s">
        <v>18352</v>
      </c>
      <c r="B1919" s="25" t="s">
        <v>18367</v>
      </c>
      <c r="C1919" s="26" t="str">
        <f>HYPERLINK("https://audio.iskcondesiretree.com/02_-_ISKCON_Swamis/ISKCON_Swamis_-_R_to_Y/His_Holiness_Radhanath_Swami/Lectures/00_-_Year_wise/Devotional_Nectar_-_2003/2003-093_SB-03_14_20_Laguna_Beach_-_Radhanath_Swami_2003-11-25_IDesireTree.mp3", "2003-093_SB-03_14_20_Laguna_Beach_-_Radhanath_Swami_2003-11-25_IDesireTree.mp3")</f>
        <v>2003-093_SB-03_14_20_Laguna_Beach_-_Radhanath_Swami_2003-11-25_IDesireTree.mp3</v>
      </c>
      <c r="D1919" s="24"/>
      <c r="E1919" s="24"/>
    </row>
    <row r="1920">
      <c r="A1920" s="25" t="s">
        <v>18352</v>
      </c>
      <c r="B1920" s="25" t="s">
        <v>18367</v>
      </c>
      <c r="C1920" s="26" t="str">
        <f>HYPERLINK("https://audio.iskcondesiretree.com/02_-_ISKCON_Swamis/ISKCON_Swamis_-_R_to_Y/His_Holiness_Radhanath_Swami/Lectures/00_-_Year_wise/Devotional_Nectar_-_2003/2003-094_SB-03_24_40_LA_-_Radhanath_Swami_2003-11-26_IDesireTree.mp3", "2003-094_SB-03_24_40_LA_-_Radhanath_Swami_2003-11-26_IDesireTree.mp3")</f>
        <v>2003-094_SB-03_24_40_LA_-_Radhanath_Swami_2003-11-26_IDesireTree.mp3</v>
      </c>
      <c r="D1920" s="24"/>
      <c r="E1920" s="24"/>
    </row>
    <row r="1921">
      <c r="A1921" s="25" t="s">
        <v>18352</v>
      </c>
      <c r="B1921" s="25" t="s">
        <v>18367</v>
      </c>
      <c r="C1921" s="26" t="str">
        <f>HYPERLINK("https://audio.iskcondesiretree.com/02_-_ISKCON_Swamis/ISKCON_Swamis_-_R_to_Y/His_Holiness_Radhanath_Swami/Lectures/00_-_Year_wise/Devotional_Nectar_-_2003/2003-095_Lecture_Yatra%27s_Nama_Hatta_-_Radhanath_Swami_2003-11-26_IDesireTree.mp3", "2003-095_Lecture_Yatra%27s_Nama_Hatta_-_Radhanath_Swami_2003-11-26_IDesireTree.mp3")</f>
        <v>2003-095_Lecture_Yatra%27s_Nama_Hatta_-_Radhanath_Swami_2003-11-26_IDesireTree.mp3</v>
      </c>
      <c r="D1921" s="24"/>
      <c r="E1921" s="24"/>
    </row>
    <row r="1922">
      <c r="A1922" s="25" t="s">
        <v>18352</v>
      </c>
      <c r="B1922" s="25" t="s">
        <v>18367</v>
      </c>
      <c r="C1922" s="26" t="str">
        <f>HYPERLINK("https://audio.iskcondesiretree.com/02_-_ISKCON_Swamis/ISKCON_Swamis_-_R_to_Y/His_Holiness_Radhanath_Swami/Lectures/00_-_Year_wise/Devotional_Nectar_-_2003/2003-096_SB-03_24_41_Los_Angeles_-_Radhanath_Swami_2003-11-27_IDesireTree.mp3", "2003-096_SB-03_24_41_Los_Angeles_-_Radhanath_Swami_2003-11-27_IDesireTree.mp3")</f>
        <v>2003-096_SB-03_24_41_Los_Angeles_-_Radhanath_Swami_2003-11-27_IDesireTree.mp3</v>
      </c>
      <c r="D1922" s="24"/>
      <c r="E1922" s="24"/>
    </row>
    <row r="1923">
      <c r="A1923" s="25" t="s">
        <v>18352</v>
      </c>
      <c r="B1923" s="25" t="s">
        <v>18367</v>
      </c>
      <c r="C1923" s="26" t="str">
        <f>HYPERLINK("https://audio.iskcondesiretree.com/02_-_ISKCON_Swamis/ISKCON_Swamis_-_R_to_Y/His_Holiness_Radhanath_Swami/Lectures/00_-_Year_wise/Devotional_Nectar_-_2003/2003-097_Nama_Hatta_Thanksgiving_Lecture_US_-_Radhanath_Swami_2003-11-27_IDesireTree.mp3", "2003-097_Nama_Hatta_Thanksgiving_Lecture_US_-_Radhanath_Swami_2003-11-27_IDesireTree.mp3")</f>
        <v>2003-097_Nama_Hatta_Thanksgiving_Lecture_US_-_Radhanath_Swami_2003-11-27_IDesireTree.mp3</v>
      </c>
      <c r="D1923" s="24"/>
      <c r="E1923" s="24"/>
    </row>
    <row r="1924">
      <c r="A1924" s="25" t="s">
        <v>18352</v>
      </c>
      <c r="B1924" s="25" t="s">
        <v>18367</v>
      </c>
      <c r="C1924" s="26" t="str">
        <f>HYPERLINK("https://audio.iskcondesiretree.com/02_-_ISKCON_Swamis/ISKCON_Swamis_-_R_to_Y/His_Holiness_Radhanath_Swami/Lectures/00_-_Year_wise/Devotional_Nectar_-_2003/2003-098_SB-03_24_42_LA_-_Radhanath_Swami_2003-11-28_IDesireTree.mp3", "2003-098_SB-03_24_42_LA_-_Radhanath_Swami_2003-11-28_IDesireTree.mp3")</f>
        <v>2003-098_SB-03_24_42_LA_-_Radhanath_Swami_2003-11-28_IDesireTree.mp3</v>
      </c>
      <c r="D1924" s="24"/>
      <c r="E1924" s="24"/>
    </row>
    <row r="1925">
      <c r="A1925" s="25" t="s">
        <v>18352</v>
      </c>
      <c r="B1925" s="25" t="s">
        <v>18367</v>
      </c>
      <c r="C1925" s="26" t="str">
        <f>HYPERLINK("https://audio.iskcondesiretree.com/02_-_ISKCON_Swamis/ISKCON_Swamis_-_R_to_Y/His_Holiness_Radhanath_Swami/Lectures/00_-_Year_wise/Devotional_Nectar_-_2003/2003-099_SB-03_24_43_Los_Angeles_-_Radhanath_Swami_2003-11-29_IDesireTree.mp3", "2003-099_SB-03_24_43_Los_Angeles_-_Radhanath_Swami_2003-11-29_IDesireTree.mp3")</f>
        <v>2003-099_SB-03_24_43_Los_Angeles_-_Radhanath_Swami_2003-11-29_IDesireTree.mp3</v>
      </c>
      <c r="D1925" s="24"/>
      <c r="E1925" s="24"/>
    </row>
    <row r="1926">
      <c r="A1926" s="25" t="s">
        <v>18352</v>
      </c>
      <c r="B1926" s="25" t="s">
        <v>18367</v>
      </c>
      <c r="C1926" s="26" t="str">
        <f>HYPERLINK("https://audio.iskcondesiretree.com/02_-_ISKCON_Swamis/ISKCON_Swamis_-_R_to_Y/His_Holiness_Radhanath_Swami/Lectures/00_-_Year_wise/Devotional_Nectar_-_2003/2003-100_Giriraja_Swami_%26_RNS_Swami_Lecture_Nama_Hatta_-_Radhanath_Swami_2003-11-29_IDesireTree.mp"&amp;"3", "2003-100_Giriraja_Swami_%26_RNS_Swami_Lecture_Nama_Hatta_-_Radhanath_Swami_2003-11-29_IDesireTree.mp3")</f>
        <v>2003-100_Giriraja_Swami_%26_RNS_Swami_Lecture_Nama_Hatta_-_Radhanath_Swami_2003-11-29_IDesireTree.mp3</v>
      </c>
      <c r="D1926" s="24"/>
      <c r="E1926" s="24"/>
    </row>
    <row r="1927">
      <c r="A1927" s="25" t="s">
        <v>18352</v>
      </c>
      <c r="B1927" s="25" t="s">
        <v>18367</v>
      </c>
      <c r="C1927" s="26" t="str">
        <f>HYPERLINK("https://audio.iskcondesiretree.com/02_-_ISKCON_Swamis/ISKCON_Swamis_-_R_to_Y/His_Holiness_Radhanath_Swami/Lectures/00_-_Year_wise/Devotional_Nectar_-_2003/2003-101_Gita_Jayanti_Sunday_Feast_US_-_Radhanath_Swami_2003-11-30_IDesireTree.mp3", "2003-101_Gita_Jayanti_Sunday_Feast_US_-_Radhanath_Swami_2003-11-30_IDesireTree.mp3")</f>
        <v>2003-101_Gita_Jayanti_Sunday_Feast_US_-_Radhanath_Swami_2003-11-30_IDesireTree.mp3</v>
      </c>
      <c r="D1927" s="24"/>
      <c r="E1927" s="24"/>
    </row>
    <row r="1928">
      <c r="A1928" s="25" t="s">
        <v>18352</v>
      </c>
      <c r="B1928" s="25" t="s">
        <v>18367</v>
      </c>
      <c r="C1928" s="26" t="str">
        <f>HYPERLINK("https://audio.iskcondesiretree.com/02_-_ISKCON_Swamis/ISKCON_Swamis_-_R_to_Y/His_Holiness_Radhanath_Swami/Lectures/00_-_Year_wise/Devotional_Nectar_-_2003/2003-102_Gita_Jayanti_Initiation_Lecture_US_-_Radhanath_Swami_2003-11-30_IDesireTree.mp3", "2003-102_Gita_Jayanti_Initiation_Lecture_US_-_Radhanath_Swami_2003-11-30_IDesireTree.mp3")</f>
        <v>2003-102_Gita_Jayanti_Initiation_Lecture_US_-_Radhanath_Swami_2003-11-30_IDesireTree.mp3</v>
      </c>
      <c r="D1928" s="24"/>
      <c r="E1928" s="24"/>
    </row>
    <row r="1929">
      <c r="A1929" s="25" t="s">
        <v>18352</v>
      </c>
      <c r="B1929" s="25" t="s">
        <v>18367</v>
      </c>
      <c r="C1929" s="26" t="str">
        <f>HYPERLINK("https://audio.iskcondesiretree.com/02_-_ISKCON_Swamis/ISKCON_Swamis_-_R_to_Y/His_Holiness_Radhanath_Swami/Lectures/00_-_Year_wise/Devotional_Nectar_-_2003/2003-103_Offering_to_H_-_Radhanath_Swami_IDesireTree.mp3", "2003-103_Offering_to_H_-_Radhanath_Swami_IDesireTree.mp3")</f>
        <v>2003-103_Offering_to_H_-_Radhanath_Swami_IDesireTree.mp3</v>
      </c>
      <c r="D1929" s="24"/>
      <c r="E1929" s="24"/>
    </row>
    <row r="1930">
      <c r="A1930" s="25" t="s">
        <v>18352</v>
      </c>
      <c r="B1930" s="25" t="s">
        <v>18367</v>
      </c>
      <c r="C1930" s="26" t="str">
        <f>HYPERLINK("https://audio.iskcondesiretree.com/02_-_ISKCON_Swamis/ISKCON_Swamis_-_R_to_Y/His_Holiness_Radhanath_Swami/Lectures/00_-_Year_wise/Devotional_Nectar_-_2003/2003-104_Vyas_Puja_Address_Lecture_Mumbai_-_Radhanath_Swami_2003-12-12_IDesireTree.mp3", "2003-104_Vyas_Puja_Address_Lecture_Mumbai_-_Radhanath_Swami_2003-12-12_IDesireTree.mp3")</f>
        <v>2003-104_Vyas_Puja_Address_Lecture_Mumbai_-_Radhanath_Swami_2003-12-12_IDesireTree.mp3</v>
      </c>
      <c r="D1930" s="24"/>
      <c r="E1930" s="24"/>
    </row>
    <row r="1931">
      <c r="A1931" s="25" t="s">
        <v>18352</v>
      </c>
      <c r="B1931" s="25" t="s">
        <v>18367</v>
      </c>
      <c r="C1931" s="26" t="str">
        <f>HYPERLINK("https://audio.iskcondesiretree.com/02_-_ISKCON_Swamis/ISKCON_Swamis_-_R_to_Y/His_Holiness_Radhanath_Swami/Lectures/00_-_Year_wise/Devotional_Nectar_-_2003/2003-105_Cutting_Down_the_Weed_of_False_Ego_SB-04_26_08_Mumbai_-_14-12-03_IDesireTree.mp3", "2003-105_Cutting_Down_the_Weed_of_False_Ego_SB-04_26_08_Mumbai_-_14-12-03_IDesireTree.mp3")</f>
        <v>2003-105_Cutting_Down_the_Weed_of_False_Ego_SB-04_26_08_Mumbai_-_14-12-03_IDesireTree.mp3</v>
      </c>
      <c r="D1931" s="24"/>
      <c r="E1931" s="24"/>
    </row>
    <row r="1932">
      <c r="A1932" s="25" t="s">
        <v>18352</v>
      </c>
      <c r="B1932" s="25" t="s">
        <v>18367</v>
      </c>
      <c r="C1932" s="26" t="str">
        <f>HYPERLINK("https://audio.iskcondesiretree.com/02_-_ISKCON_Swamis/ISKCON_Swamis_-_R_to_Y/His_Holiness_Radhanath_Swami/Lectures/00_-_Year_wise/Devotional_Nectar_-_2003/2003-107_Memorial_of_Idelle_Slavin_Lecture_Mumbai_-_Radhanath_Swami_2003-12-14_IDesireTree.mp3", "2003-107_Memorial_of_Idelle_Slavin_Lecture_Mumbai_-_Radhanath_Swami_2003-12-14_IDesireTree.mp3")</f>
        <v>2003-107_Memorial_of_Idelle_Slavin_Lecture_Mumbai_-_Radhanath_Swami_2003-12-14_IDesireTree.mp3</v>
      </c>
      <c r="D1932" s="24"/>
      <c r="E1932" s="24"/>
    </row>
    <row r="1933">
      <c r="A1933" s="25" t="s">
        <v>18352</v>
      </c>
      <c r="B1933" s="25" t="s">
        <v>18367</v>
      </c>
      <c r="C1933" s="26" t="str">
        <f>HYPERLINK("https://audio.iskcondesiretree.com/02_-_ISKCON_Swamis/ISKCON_Swamis_-_R_to_Y/His_Holiness_Radhanath_Swami/Lectures/00_-_Year_wise/Devotional_Nectar_-_2003/201540_Hare_Krsna_Lecture_Mumbai_-_Radhanath_Swami_2003-01-02_IDesireTree.mp3", "201540_Hare_Krsna_Lecture_Mumbai_-_Radhanath_Swami_2003-01-02_IDesireTree.mp3")</f>
        <v>201540_Hare_Krsna_Lecture_Mumbai_-_Radhanath_Swami_2003-01-02_IDesireTree.mp3</v>
      </c>
      <c r="D1933" s="24"/>
      <c r="E1933" s="24"/>
    </row>
    <row r="1934">
      <c r="A1934" s="25" t="s">
        <v>18352</v>
      </c>
      <c r="B1934" s="25" t="s">
        <v>18367</v>
      </c>
      <c r="C1934" s="26" t="str">
        <f>HYPERLINK("https://audio.iskcondesiretree.com/02_-_ISKCON_Swamis/ISKCON_Swamis_-_R_to_Y/His_Holiness_Radhanath_Swami/Lectures/00_-_Year_wise/Devotional_Nectar_-_2003/201543_Hare_Krsna_BG-08_05_Pune_-_Radhanath_Swami_2003-01-05_IDesireTree.mp3", "201543_Hare_Krsna_BG-08_05_Pune_-_Radhanath_Swami_2003-01-05_IDesireTree.mp3")</f>
        <v>201543_Hare_Krsna_BG-08_05_Pune_-_Radhanath_Swami_2003-01-05_IDesireTree.mp3</v>
      </c>
      <c r="D1934" s="24"/>
      <c r="E1934" s="24"/>
    </row>
    <row r="1935">
      <c r="A1935" s="25" t="s">
        <v>18352</v>
      </c>
      <c r="B1935" s="25" t="s">
        <v>18367</v>
      </c>
      <c r="C1935" s="26" t="str">
        <f>HYPERLINK("https://audio.iskcondesiretree.com/02_-_ISKCON_Swamis/ISKCON_Swamis_-_R_to_Y/His_Holiness_Radhanath_Swami/Lectures/00_-_Year_wise/Devotional_Nectar_-_2003/201547a_Wedding_Address_Lecture_Mumbai_-_Radhanath_Swami_2003-01-11_IDesireTree.mp3", "201547a_Wedding_Address_Lecture_Mumbai_-_Radhanath_Swami_2003-01-11_IDesireTree.mp3")</f>
        <v>201547a_Wedding_Address_Lecture_Mumbai_-_Radhanath_Swami_2003-01-11_IDesireTree.mp3</v>
      </c>
      <c r="D1935" s="24"/>
      <c r="E1935" s="24"/>
    </row>
    <row r="1936">
      <c r="A1936" s="25" t="s">
        <v>18352</v>
      </c>
      <c r="B1936" s="25" t="s">
        <v>18367</v>
      </c>
      <c r="C1936" s="26" t="str">
        <f>HYPERLINK("https://audio.iskcondesiretree.com/02_-_ISKCON_Swamis/ISKCON_Swamis_-_R_to_Y/His_Holiness_Radhanath_Swami/Lectures/00_-_Year_wise/Devotional_Nectar_-_2003/201547b_Offering_To_Syamsundari_%26_TKG_Lecture_Pune_-_Radhanath_Swami_2003-01-05_IDesireTree.mp3", "201547b_Offering_To_Syamsundari_%26_TKG_Lecture_Pune_-_Radhanath_Swami_2003-01-05_IDesireTree.mp3")</f>
        <v>201547b_Offering_To_Syamsundari_%26_TKG_Lecture_Pune_-_Radhanath_Swami_2003-01-05_IDesireTree.mp3</v>
      </c>
      <c r="D1936" s="24"/>
      <c r="E1936" s="24"/>
    </row>
    <row r="1937">
      <c r="A1937" s="25" t="s">
        <v>18352</v>
      </c>
      <c r="B1937" s="25" t="s">
        <v>18367</v>
      </c>
      <c r="C1937" s="26" t="str">
        <f>HYPERLINK("https://audio.iskcondesiretree.com/02_-_ISKCON_Swamis/ISKCON_Swamis_-_R_to_Y/His_Holiness_Radhanath_Swami/Lectures/00_-_Year_wise/Devotional_Nectar_-_2003/201560_Mahaprakash_Lila_Of_Lord_Caitanya_Lecture_Mumbai_-_Radhanath_Swami_2003-03-18_IDesireTree.mp3", "201560_Mahaprakash_Lila_Of_Lord_Caitanya_Lecture_Mumbai_-_Radhanath_Swami_2003-03-18_IDesireTree.mp3")</f>
        <v>201560_Mahaprakash_Lila_Of_Lord_Caitanya_Lecture_Mumbai_-_Radhanath_Swami_2003-03-18_IDesireTree.mp3</v>
      </c>
      <c r="D1937" s="24"/>
      <c r="E1937" s="24"/>
    </row>
    <row r="1938">
      <c r="A1938" s="25" t="s">
        <v>18352</v>
      </c>
      <c r="B1938" s="25" t="s">
        <v>18367</v>
      </c>
      <c r="C1938" s="26" t="str">
        <f>HYPERLINK("https://audio.iskcondesiretree.com/02_-_ISKCON_Swamis/ISKCON_Swamis_-_R_to_Y/His_Holiness_Radhanath_Swami/Lectures/00_-_Year_wise/Devotional_Nectar_-_2003/201569_Overcoming_Depression_Lecture_Mumbai_-_Radhanath_Swami_2003-03-29_IDesireTree.mp3", "201569_Overcoming_Depression_Lecture_Mumbai_-_Radhanath_Swami_2003-03-29_IDesireTree.mp3")</f>
        <v>201569_Overcoming_Depression_Lecture_Mumbai_-_Radhanath_Swami_2003-03-29_IDesireTree.mp3</v>
      </c>
      <c r="D1938" s="24"/>
      <c r="E1938" s="24"/>
    </row>
    <row r="1939">
      <c r="A1939" s="25" t="s">
        <v>18352</v>
      </c>
      <c r="B1939" s="25" t="s">
        <v>18367</v>
      </c>
      <c r="C1939" s="26" t="str">
        <f>HYPERLINK("https://audio.iskcondesiretree.com/02_-_ISKCON_Swamis/ISKCON_Swamis_-_R_to_Y/His_Holiness_Radhanath_Swami/Lectures/00_-_Year_wise/Devotional_Nectar_-_2003/201584_Ramayan_Contains_Examples_Of_Ideals_Lecture_Mumbai_-_11-04-03_IDesireTree.mp3", "201584_Ramayan_Contains_Examples_Of_Ideals_Lecture_Mumbai_-_11-04-03_IDesireTree.mp3")</f>
        <v>201584_Ramayan_Contains_Examples_Of_Ideals_Lecture_Mumbai_-_11-04-03_IDesireTree.mp3</v>
      </c>
      <c r="D1939" s="24"/>
      <c r="E1939" s="24"/>
    </row>
    <row r="1940">
      <c r="A1940" s="25" t="s">
        <v>18352</v>
      </c>
      <c r="B1940" s="25" t="s">
        <v>18367</v>
      </c>
      <c r="C1940" s="26" t="str">
        <f>HYPERLINK("https://audio.iskcondesiretree.com/02_-_ISKCON_Swamis/ISKCON_Swamis_-_R_to_Y/His_Holiness_Radhanath_Swami/Lectures/00_-_Year_wise/Devotional_Nectar_-_2003/201599_Medicine_for_Kaliyuga_Lecture_Mumbai_-_Radhanath_Swami_2003-08-31_IDesireTree.mp3", "201599_Medicine_for_Kaliyuga_Lecture_Mumbai_-_Radhanath_Swami_2003-08-31_IDesireTree.mp3")</f>
        <v>201599_Medicine_for_Kaliyuga_Lecture_Mumbai_-_Radhanath_Swami_2003-08-31_IDesireTree.mp3</v>
      </c>
      <c r="D1940" s="24"/>
      <c r="E1940" s="24"/>
    </row>
    <row r="1941">
      <c r="A1941" s="25" t="s">
        <v>18352</v>
      </c>
      <c r="B1941" s="25" t="s">
        <v>18368</v>
      </c>
      <c r="C1941" s="26" t="str">
        <f>HYPERLINK("https://audio.iskcondesiretree.com/02_-_ISKCON_Swamis/ISKCON_Swamis_-_R_to_Y/His_Holiness_Radhanath_Swami/Lectures/00_-_Year_wise/Devotional_Nectar_-_2004/More/2004-08-27_Festivals_-_Disappearance_of_Rupa_Goswami_-_Radhanath_Swami_San_Casciano.mp3", "2004-08-27_Festivals_-_Disappearance_of_Rupa_Goswami_-_Radhanath_Swami_San_Casciano.mp3")</f>
        <v>2004-08-27_Festivals_-_Disappearance_of_Rupa_Goswami_-_Radhanath_Swami_San_Casciano.mp3</v>
      </c>
      <c r="D1941" s="24"/>
      <c r="E1941" s="24"/>
    </row>
    <row r="1942">
      <c r="A1942" s="25" t="s">
        <v>18352</v>
      </c>
      <c r="B1942" s="25" t="s">
        <v>18368</v>
      </c>
      <c r="C1942" s="26" t="str">
        <f>HYPERLINK("https://audio.iskcondesiretree.com/02_-_ISKCON_Swamis/ISKCON_Swamis_-_R_to_Y/His_Holiness_Radhanath_Swami/Lectures/00_-_Year_wise/Devotional_Nectar_-_2004/More/2004-08-28_SB_03-16-09_-_Radhanath_Swami_San_Casciano.mp3", "2004-08-28_SB_03-16-09_-_Radhanath_Swami_San_Casciano.mp3")</f>
        <v>2004-08-28_SB_03-16-09_-_Radhanath_Swami_San_Casciano.mp3</v>
      </c>
      <c r="D1942" s="24"/>
      <c r="E1942" s="24"/>
    </row>
    <row r="1943">
      <c r="A1943" s="25" t="s">
        <v>18352</v>
      </c>
      <c r="B1943" s="25" t="s">
        <v>18368</v>
      </c>
      <c r="C1943" s="26" t="str">
        <f>HYPERLINK("https://audio.iskcondesiretree.com/02_-_ISKCON_Swamis/ISKCON_Swamis_-_R_to_Y/His_Holiness_Radhanath_Swami/Lectures/00_-_Year_wise/Devotional_Nectar_-_2004/More/2004-08-30_Various_-_Lord_CM_could_be_understood_by_those_who_recieved_his_Special_Mercy.mp3", "2004-08-30_Various_-_Lord_CM_could_be_understood_by_those_who_recieved_his_Special_Mercy.mp3")</f>
        <v>2004-08-30_Various_-_Lord_CM_could_be_understood_by_those_who_recieved_his_Special_Mercy.mp3</v>
      </c>
      <c r="D1943" s="24"/>
      <c r="E1943" s="24"/>
    </row>
    <row r="1944">
      <c r="A1944" s="25" t="s">
        <v>18352</v>
      </c>
      <c r="B1944" s="25" t="s">
        <v>18368</v>
      </c>
      <c r="C1944" s="26" t="str">
        <f>HYPERLINK("https://audio.iskcondesiretree.com/02_-_ISKCON_Swamis/ISKCON_Swamis_-_R_to_Y/His_Holiness_Radhanath_Swami/Lectures/00_-_Year_wise/Devotional_Nectar_-_2004/More/2004-08-31_Various_-_Chant_the_holy_names_with_the_Holy_Scriptures_-_Radhanath_Swami_Nepi.mp3", "2004-08-31_Various_-_Chant_the_holy_names_with_the_Holy_Scriptures_-_Radhanath_Swami_Nepi.mp3")</f>
        <v>2004-08-31_Various_-_Chant_the_holy_names_with_the_Holy_Scriptures_-_Radhanath_Swami_Nepi.mp3</v>
      </c>
      <c r="D1944" s="24"/>
      <c r="E1944" s="24"/>
    </row>
    <row r="1945">
      <c r="A1945" s="25" t="s">
        <v>18352</v>
      </c>
      <c r="B1945" s="25" t="s">
        <v>18368</v>
      </c>
      <c r="C1945" s="26" t="str">
        <f>HYPERLINK("https://audio.iskcondesiretree.com/02_-_ISKCON_Swamis/ISKCON_Swamis_-_R_to_Y/His_Holiness_Radhanath_Swami/Lectures/00_-_Year_wise/Devotional_Nectar_-_2004/More/2004-09-01_Various_-_Story_of_Sukhdev_Goswami_-_Radhanath_Swami_Nepi.mp3", "2004-09-01_Various_-_Story_of_Sukhdev_Goswami_-_Radhanath_Swami_Nepi.mp3")</f>
        <v>2004-09-01_Various_-_Story_of_Sukhdev_Goswami_-_Radhanath_Swami_Nepi.mp3</v>
      </c>
      <c r="D1945" s="24"/>
      <c r="E1945" s="24"/>
    </row>
    <row r="1946">
      <c r="A1946" s="25" t="s">
        <v>18352</v>
      </c>
      <c r="B1946" s="25" t="s">
        <v>18368</v>
      </c>
      <c r="C1946" s="26" t="str">
        <f>HYPERLINK("https://audio.iskcondesiretree.com/02_-_ISKCON_Swamis/ISKCON_Swamis_-_R_to_Y/His_Holiness_Radhanath_Swami/Lectures/00_-_Year_wise/Devotional_Nectar_-_2004/More/2004-09-01_Various_-_The_Story_of_Dorothy_-_Radhanath_Swami_Nepi.mp3", "2004-09-01_Various_-_The_Story_of_Dorothy_-_Radhanath_Swami_Nepi.mp3")</f>
        <v>2004-09-01_Various_-_The_Story_of_Dorothy_-_Radhanath_Swami_Nepi.mp3</v>
      </c>
      <c r="D1946" s="24"/>
      <c r="E1946" s="24"/>
    </row>
    <row r="1947">
      <c r="A1947" s="25" t="s">
        <v>18352</v>
      </c>
      <c r="B1947" s="25" t="s">
        <v>18368</v>
      </c>
      <c r="C1947" s="26" t="str">
        <f>HYPERLINK("https://audio.iskcondesiretree.com/02_-_ISKCON_Swamis/ISKCON_Swamis_-_R_to_Y/His_Holiness_Radhanath_Swami/Lectures/00_-_Year_wise/Devotional_Nectar_-_2004/VOL_01/01_The_Art_of_Tolerance_Prerana_Mumbai_-_Radhanath_Swami_2004-01-15_IDesireTree.mp3", "01_The_Art_of_Tolerance_Prerana_Mumbai_-_Radhanath_Swami_2004-01-15_IDesireTree.mp3")</f>
        <v>01_The_Art_of_Tolerance_Prerana_Mumbai_-_Radhanath_Swami_2004-01-15_IDesireTree.mp3</v>
      </c>
      <c r="D1947" s="24"/>
      <c r="E1947" s="24"/>
    </row>
    <row r="1948">
      <c r="A1948" s="25" t="s">
        <v>18352</v>
      </c>
      <c r="B1948" s="25" t="s">
        <v>18368</v>
      </c>
      <c r="C1948" s="26" t="str">
        <f>HYPERLINK("https://audio.iskcondesiretree.com/02_-_ISKCON_Swamis/ISKCON_Swamis_-_R_to_Y/His_Holiness_Radhanath_Swami/Lectures/00_-_Year_wise/Devotional_Nectar_-_2004/VOL_01/02_The_Appearance_%26_Pastimes_of_Lord_Jagannath_Rath_Yatra_Mumbai_-_16-01-04_IDesireTree.mp3", "02_The_Appearance_%26_Pastimes_of_Lord_Jagannath_Rath_Yatra_Mumbai_-_16-01-04_IDesireTree.mp3")</f>
        <v>02_The_Appearance_%26_Pastimes_of_Lord_Jagannath_Rath_Yatra_Mumbai_-_16-01-04_IDesireTree.mp3</v>
      </c>
      <c r="D1948" s="24"/>
      <c r="E1948" s="24"/>
    </row>
    <row r="1949">
      <c r="A1949" s="25" t="s">
        <v>18352</v>
      </c>
      <c r="B1949" s="25" t="s">
        <v>18368</v>
      </c>
      <c r="C1949" s="26" t="str">
        <f>HYPERLINK("https://audio.iskcondesiretree.com/02_-_ISKCON_Swamis/ISKCON_Swamis_-_R_to_Y/His_Holiness_Radhanath_Swami/Lectures/00_-_Year_wise/Devotional_Nectar_-_2004/VOL_01/03_Becoming_Instrument_of_Real_Compassion_SB-04_27_11_Mumbai_-_17-01-04_IDesireTree.mp3", "03_Becoming_Instrument_of_Real_Compassion_SB-04_27_11_Mumbai_-_17-01-04_IDesireTree.mp3")</f>
        <v>03_Becoming_Instrument_of_Real_Compassion_SB-04_27_11_Mumbai_-_17-01-04_IDesireTree.mp3</v>
      </c>
      <c r="D1949" s="24"/>
      <c r="E1949" s="24"/>
    </row>
    <row r="1950">
      <c r="A1950" s="25" t="s">
        <v>18352</v>
      </c>
      <c r="B1950" s="25" t="s">
        <v>18368</v>
      </c>
      <c r="C1950" s="26" t="str">
        <f>HYPERLINK("https://audio.iskcondesiretree.com/02_-_ISKCON_Swamis/ISKCON_Swamis_-_R_to_Y/His_Holiness_Radhanath_Swami/Lectures/00_-_Year_wise/Devotional_Nectar_-_2004/VOL_01/04_Maintaining_Our_Integrity_in_All_Circumstances_Lecture_Mumbai_-_17-01-04_IDesireTree.mp3", "04_Maintaining_Our_Integrity_in_All_Circumstances_Lecture_Mumbai_-_17-01-04_IDesireTree.mp3")</f>
        <v>04_Maintaining_Our_Integrity_in_All_Circumstances_Lecture_Mumbai_-_17-01-04_IDesireTree.mp3</v>
      </c>
      <c r="D1950" s="24"/>
      <c r="E1950" s="24"/>
    </row>
    <row r="1951">
      <c r="A1951" s="25" t="s">
        <v>18352</v>
      </c>
      <c r="B1951" s="25" t="s">
        <v>18368</v>
      </c>
      <c r="C1951" s="26" t="str">
        <f>HYPERLINK("https://audio.iskcondesiretree.com/02_-_ISKCON_Swamis/ISKCON_Swamis_-_R_to_Y/His_Holiness_Radhanath_Swami/Lectures/00_-_Year_wise/Devotional_Nectar_-_2004/VOL_01/05_Hearing_Krishna%27s_Glories_Assures_Ultimate_Perfection_Sunday_Feast_Mumbai_-_18-01-04_IDe"&amp;"sireTree.mp3", "05_Hearing_Krishna%27s_Glories_Assures_Ultimate_Perfection_Sunday_Feast_Mumbai_-_18-01-04_IDesireTree.mp3")</f>
        <v>05_Hearing_Krishna%27s_Glories_Assures_Ultimate_Perfection_Sunday_Feast_Mumbai_-_18-01-04_IDesireTree.mp3</v>
      </c>
      <c r="D1951" s="24"/>
      <c r="E1951" s="24"/>
    </row>
    <row r="1952">
      <c r="A1952" s="25" t="s">
        <v>18352</v>
      </c>
      <c r="B1952" s="25" t="s">
        <v>18368</v>
      </c>
      <c r="C1952" s="26" t="str">
        <f>HYPERLINK("https://audio.iskcondesiretree.com/02_-_ISKCON_Swamis/ISKCON_Swamis_-_R_to_Y/His_Holiness_Radhanath_Swami/Lectures/00_-_Year_wise/Devotional_Nectar_-_2004/VOL_01/06_Knowing_Our_Real_Shelter_LNHO_Address_Mumbai_-_Radhanath_Swami_2004-01-28_IDesireTree.mp3", "06_Knowing_Our_Real_Shelter_LNHO_Address_Mumbai_-_Radhanath_Swami_2004-01-28_IDesireTree.mp3")</f>
        <v>06_Knowing_Our_Real_Shelter_LNHO_Address_Mumbai_-_Radhanath_Swami_2004-01-28_IDesireTree.mp3</v>
      </c>
      <c r="D1952" s="24"/>
      <c r="E1952" s="24"/>
    </row>
    <row r="1953">
      <c r="A1953" s="25" t="s">
        <v>18352</v>
      </c>
      <c r="B1953" s="25" t="s">
        <v>18368</v>
      </c>
      <c r="C1953" s="26" t="str">
        <f>HYPERLINK("https://audio.iskcondesiretree.com/02_-_ISKCON_Swamis/ISKCON_Swamis_-_R_to_Y/His_Holiness_Radhanath_Swami/Lectures/00_-_Year_wise/Devotional_Nectar_-_2004/VOL_01/07_Simply_Love_%26_Devotion_Pushya_Abhishek_Mumbai_-_Radhanath_Swami_2004-01-29_IDesireTree.m"&amp;"p3", "07_Simply_Love_%26_Devotion_Pushya_Abhishek_Mumbai_-_Radhanath_Swami_2004-01-29_IDesireTree.mp3")</f>
        <v>07_Simply_Love_%26_Devotion_Pushya_Abhishek_Mumbai_-_Radhanath_Swami_2004-01-29_IDesireTree.mp3</v>
      </c>
      <c r="D1953" s="24"/>
      <c r="E1953" s="24"/>
    </row>
    <row r="1954">
      <c r="A1954" s="25" t="s">
        <v>18352</v>
      </c>
      <c r="B1954" s="25" t="s">
        <v>18368</v>
      </c>
      <c r="C1954" s="26" t="str">
        <f>HYPERLINK("https://audio.iskcondesiretree.com/02_-_ISKCON_Swamis/ISKCON_Swamis_-_R_to_Y/His_Holiness_Radhanath_Swami/Lectures/00_-_Year_wise/Devotional_Nectar_-_2004/VOL_01/08_Overcoming_The_Influence_of_Time_SB-4_27_24_Mumbai_-_31-01-04_IDesireTree.mp3", "08_Overcoming_The_Influence_of_Time_SB-4_27_24_Mumbai_-_31-01-04_IDesireTree.mp3")</f>
        <v>08_Overcoming_The_Influence_of_Time_SB-4_27_24_Mumbai_-_31-01-04_IDesireTree.mp3</v>
      </c>
      <c r="D1954" s="24"/>
      <c r="E1954" s="24"/>
    </row>
    <row r="1955">
      <c r="A1955" s="25" t="s">
        <v>18352</v>
      </c>
      <c r="B1955" s="25" t="s">
        <v>18368</v>
      </c>
      <c r="C1955" s="26" t="str">
        <f>HYPERLINK("https://audio.iskcondesiretree.com/02_-_ISKCON_Swamis/ISKCON_Swamis_-_R_to_Y/His_Holiness_Radhanath_Swami/Lectures/00_-_Year_wise/Devotional_Nectar_-_2004/VOL_01/09_Sripad_Ramanujacarya-_The_Embodiment_of_Compassion_Sunday_Feast_Mumbai_-_01-02-04_IDesireT"&amp;"ree.mp3", "09_Sripad_Ramanujacarya-_The_Embodiment_of_Compassion_Sunday_Feast_Mumbai_-_01-02-04_IDesireTree.mp3")</f>
        <v>09_Sripad_Ramanujacarya-_The_Embodiment_of_Compassion_Sunday_Feast_Mumbai_-_01-02-04_IDesireTree.mp3</v>
      </c>
      <c r="D1955" s="24"/>
      <c r="E1955" s="24"/>
    </row>
    <row r="1956">
      <c r="A1956" s="25" t="s">
        <v>18352</v>
      </c>
      <c r="B1956" s="25" t="s">
        <v>18368</v>
      </c>
      <c r="C1956" s="26" t="str">
        <f>HYPERLINK("https://audio.iskcondesiretree.com/02_-_ISKCON_Swamis/ISKCON_Swamis_-_R_to_Y/His_Holiness_Radhanath_Swami/Lectures/00_-_Year_wise/Devotional_Nectar_-_2004/VOL_02/01_Awakening_Our_Transcendental_Love_for_Krishna_Lecture_Mumbai_-_03-02-04_IDesireTree.mp3", "01_Awakening_Our_Transcendental_Love_for_Krishna_Lecture_Mumbai_-_03-02-04_IDesireTree.mp3")</f>
        <v>01_Awakening_Our_Transcendental_Love_for_Krishna_Lecture_Mumbai_-_03-02-04_IDesireTree.mp3</v>
      </c>
      <c r="D1956" s="24"/>
      <c r="E1956" s="24"/>
    </row>
    <row r="1957">
      <c r="A1957" s="25" t="s">
        <v>18352</v>
      </c>
      <c r="B1957" s="25" t="s">
        <v>18368</v>
      </c>
      <c r="C1957" s="26" t="str">
        <f>HYPERLINK("https://audio.iskcondesiretree.com/02_-_ISKCON_Swamis/ISKCON_Swamis_-_R_to_Y/His_Holiness_Radhanath_Swami/Lectures/00_-_Year_wise/Devotional_Nectar_-_2004/VOL_02/02_Nityananda_Trayodasi_Lecture_HH_Niranjan_Maharaj_HH_Devamrita_Maharaj_Mumbai_-_04-02-04_ID"&amp;"esireTree.mp3", "02_Nityananda_Trayodasi_Lecture_HH_Niranjan_Maharaj_HH_Devamrita_Maharaj_Mumbai_-_04-02-04_IDesireTree.mp3")</f>
        <v>02_Nityananda_Trayodasi_Lecture_HH_Niranjan_Maharaj_HH_Devamrita_Maharaj_Mumbai_-_04-02-04_IDesireTree.mp3</v>
      </c>
      <c r="D1957" s="24"/>
      <c r="E1957" s="24"/>
    </row>
    <row r="1958">
      <c r="A1958" s="25" t="s">
        <v>18352</v>
      </c>
      <c r="B1958" s="25" t="s">
        <v>18368</v>
      </c>
      <c r="C1958" s="26" t="str">
        <f>HYPERLINK("https://audio.iskcondesiretree.com/02_-_ISKCON_Swamis/ISKCON_Swamis_-_R_to_Y/His_Holiness_Radhanath_Swami/Lectures/00_-_Year_wise/Devotional_Nectar_-_2004/VOL_02/05_Lessons_From_The_Glorious_Departure_of_Parikshit_Maharaj_SB-01_16_02_Vrndavan_-_08-02-04_I"&amp;"DesireTree.mp3", "05_Lessons_From_The_Glorious_Departure_of_Parikshit_Maharaj_SB-01_16_02_Vrndavan_-_08-02-04_IDesireTree.mp3")</f>
        <v>05_Lessons_From_The_Glorious_Departure_of_Parikshit_Maharaj_SB-01_16_02_Vrndavan_-_08-02-04_IDesireTree.mp3</v>
      </c>
      <c r="D1958" s="24"/>
      <c r="E1958" s="24"/>
    </row>
    <row r="1959">
      <c r="A1959" s="25" t="s">
        <v>18352</v>
      </c>
      <c r="B1959" s="25" t="s">
        <v>18368</v>
      </c>
      <c r="C1959" s="26" t="str">
        <f>HYPERLINK("https://audio.iskcondesiretree.com/02_-_ISKCON_Swamis/ISKCON_Swamis_-_R_to_Y/His_Holiness_Radhanath_Swami/Lectures/00_-_Year_wise/Devotional_Nectar_-_2004/VOL_02/06_Cultivating_Our_Attachment_Towards_Krsna_SB-04_28_16_Mumbai_-_28-02-04_IDesireTree.mp3", "06_Cultivating_Our_Attachment_Towards_Krsna_SB-04_28_16_Mumbai_-_28-02-04_IDesireTree.mp3")</f>
        <v>06_Cultivating_Our_Attachment_Towards_Krsna_SB-04_28_16_Mumbai_-_28-02-04_IDesireTree.mp3</v>
      </c>
      <c r="D1959" s="24"/>
      <c r="E1959" s="24"/>
    </row>
    <row r="1960">
      <c r="A1960" s="25" t="s">
        <v>18352</v>
      </c>
      <c r="B1960" s="25" t="s">
        <v>18368</v>
      </c>
      <c r="C1960" s="26" t="str">
        <f>HYPERLINK("https://audio.iskcondesiretree.com/02_-_ISKCON_Swamis/ISKCON_Swamis_-_R_to_Y/His_Holiness_Radhanath_Swami/Lectures/00_-_Year_wise/Devotional_Nectar_-_2004/VOL_02/07_The_Art_Of_Self_Confidence_Prerana_Mumbai_-_Radhanath_Swami_2004-02-28_IDesireTree.mp3", "07_The_Art_Of_Self_Confidence_Prerana_Mumbai_-_Radhanath_Swami_2004-02-28_IDesireTree.mp3")</f>
        <v>07_The_Art_Of_Self_Confidence_Prerana_Mumbai_-_Radhanath_Swami_2004-02-28_IDesireTree.mp3</v>
      </c>
      <c r="D1960" s="24"/>
      <c r="E1960" s="24"/>
    </row>
    <row r="1961">
      <c r="A1961" s="25" t="s">
        <v>18352</v>
      </c>
      <c r="B1961" s="25" t="s">
        <v>18368</v>
      </c>
      <c r="C1961" s="26" t="str">
        <f>HYPERLINK("https://audio.iskcondesiretree.com/02_-_ISKCON_Swamis/ISKCON_Swamis_-_R_to_Y/His_Holiness_Radhanath_Swami/Lectures/00_-_Year_wise/Devotional_Nectar_-_2004/VOL_02/08_Investing_Time_In_Truth_%26_Eternity_SB-04_28_17_Mumbai_-_29-02-04_IDesireTree.mp3", "08_Investing_Time_In_Truth_%26_Eternity_SB-04_28_17_Mumbai_-_29-02-04_IDesireTree.mp3")</f>
        <v>08_Investing_Time_In_Truth_%26_Eternity_SB-04_28_17_Mumbai_-_29-02-04_IDesireTree.mp3</v>
      </c>
      <c r="D1961" s="24"/>
      <c r="E1961" s="24"/>
    </row>
    <row r="1962">
      <c r="A1962" s="25" t="s">
        <v>18352</v>
      </c>
      <c r="B1962" s="25" t="s">
        <v>18368</v>
      </c>
      <c r="C1962" s="26" t="str">
        <f>HYPERLINK("https://audio.iskcondesiretree.com/02_-_ISKCON_Swamis/ISKCON_Swamis_-_R_to_Y/His_Holiness_Radhanath_Swami/Lectures/00_-_Year_wise/Devotional_Nectar_-_2004/VOL_02/09_Following_in_the_Footsteps_of_Great_Souls_Sunday_Feast_Mumbai_-_29-02-04_IDesireTree.mp3", "09_Following_in_the_Footsteps_of_Great_Souls_Sunday_Feast_Mumbai_-_29-02-04_IDesireTree.mp3")</f>
        <v>09_Following_in_the_Footsteps_of_Great_Souls_Sunday_Feast_Mumbai_-_29-02-04_IDesireTree.mp3</v>
      </c>
      <c r="D1962" s="24"/>
      <c r="E1962" s="24"/>
    </row>
    <row r="1963">
      <c r="A1963" s="25" t="s">
        <v>18352</v>
      </c>
      <c r="B1963" s="25" t="s">
        <v>18368</v>
      </c>
      <c r="C1963" s="26" t="str">
        <f>HYPERLINK("https://audio.iskcondesiretree.com/02_-_ISKCON_Swamis/ISKCON_Swamis_-_R_to_Y/His_Holiness_Radhanath_Swami/Lectures/00_-_Year_wise/Devotional_Nectar_-_2004/VOL_02/10_Lord_Caitanya-_The_Supreme_Munificent_Gaur_Purnima_CC_ML-02_81_Mumbai_-_04-03-04_IDesireTr"&amp;"ee.mp3", "10_Lord_Caitanya-_The_Supreme_Munificent_Gaur_Purnima_CC_ML-02_81_Mumbai_-_04-03-04_IDesireTree.mp3")</f>
        <v>10_Lord_Caitanya-_The_Supreme_Munificent_Gaur_Purnima_CC_ML-02_81_Mumbai_-_04-03-04_IDesireTree.mp3</v>
      </c>
      <c r="D1963" s="24"/>
      <c r="E1963" s="24"/>
    </row>
    <row r="1964">
      <c r="A1964" s="25" t="s">
        <v>18352</v>
      </c>
      <c r="B1964" s="25" t="s">
        <v>18368</v>
      </c>
      <c r="C1964" s="26" t="str">
        <f>HYPERLINK("https://audio.iskcondesiretree.com/02_-_ISKCON_Swamis/ISKCON_Swamis_-_R_to_Y/His_Holiness_Radhanath_Swami/Lectures/00_-_Year_wise/Devotional_Nectar_-_2004/VOL_03/01_Srila_Prabhupada_Conquers_Russia_Gaur_Purnima_Mumbai_-_04-03-04_IDesireTree.mp3", "01_Srila_Prabhupada_Conquers_Russia_Gaur_Purnima_Mumbai_-_04-03-04_IDesireTree.mp3")</f>
        <v>01_Srila_Prabhupada_Conquers_Russia_Gaur_Purnima_Mumbai_-_04-03-04_IDesireTree.mp3</v>
      </c>
      <c r="D1964" s="24"/>
      <c r="E1964" s="24"/>
    </row>
    <row r="1965">
      <c r="A1965" s="25" t="s">
        <v>18352</v>
      </c>
      <c r="B1965" s="25" t="s">
        <v>18368</v>
      </c>
      <c r="C1965" s="26" t="str">
        <f>HYPERLINK("https://audio.iskcondesiretree.com/02_-_ISKCON_Swamis/ISKCON_Swamis_-_R_to_Y/His_Holiness_Radhanath_Swami/Lectures/00_-_Year_wise/Devotional_Nectar_-_2004/VOL_03/02_Lord_Caitanya-_The_Most_Magnanimous-I_Gaur_Purnima_Mumbai_-_05-03-04_IDesireTree.mp3", "02_Lord_Caitanya-_The_Most_Magnanimous-I_Gaur_Purnima_Mumbai_-_05-03-04_IDesireTree.mp3")</f>
        <v>02_Lord_Caitanya-_The_Most_Magnanimous-I_Gaur_Purnima_Mumbai_-_05-03-04_IDesireTree.mp3</v>
      </c>
      <c r="D1965" s="24"/>
      <c r="E1965" s="24"/>
    </row>
    <row r="1966">
      <c r="A1966" s="25" t="s">
        <v>18352</v>
      </c>
      <c r="B1966" s="25" t="s">
        <v>18368</v>
      </c>
      <c r="C1966" s="26" t="str">
        <f>HYPERLINK("https://audio.iskcondesiretree.com/02_-_ISKCON_Swamis/ISKCON_Swamis_-_R_to_Y/His_Holiness_Radhanath_Swami/Lectures/00_-_Year_wise/Devotional_Nectar_-_2004/VOL_03/03_Lord_Caitanya_-The_Most_Magnanimous-II_Gaur_Purnima_Mumbai_-_05-03-04_IDesireTree.mp3", "03_Lord_Caitanya_-The_Most_Magnanimous-II_Gaur_Purnima_Mumbai_-_05-03-04_IDesireTree.mp3")</f>
        <v>03_Lord_Caitanya_-The_Most_Magnanimous-II_Gaur_Purnima_Mumbai_-_05-03-04_IDesireTree.mp3</v>
      </c>
      <c r="D1966" s="24"/>
      <c r="E1966" s="24"/>
    </row>
    <row r="1967">
      <c r="A1967" s="25" t="s">
        <v>18352</v>
      </c>
      <c r="B1967" s="25" t="s">
        <v>18368</v>
      </c>
      <c r="C1967" s="26" t="str">
        <f>HYPERLINK("https://audio.iskcondesiretree.com/02_-_ISKCON_Swamis/ISKCON_Swamis_-_R_to_Y/His_Holiness_Radhanath_Swami/Lectures/00_-_Year_wise/Devotional_Nectar_-_2004/VOL_03/04_Lord_Caitanya%27s_Tour_of_South_India_Gaur_Purnima_Mumbai_-_05-03-04_IDesireTree.mp3", "04_Lord_Caitanya%27s_Tour_of_South_India_Gaur_Purnima_Mumbai_-_05-03-04_IDesireTree.mp3")</f>
        <v>04_Lord_Caitanya%27s_Tour_of_South_India_Gaur_Purnima_Mumbai_-_05-03-04_IDesireTree.mp3</v>
      </c>
      <c r="D1967" s="24"/>
      <c r="E1967" s="24"/>
    </row>
    <row r="1968">
      <c r="A1968" s="25" t="s">
        <v>18352</v>
      </c>
      <c r="B1968" s="25" t="s">
        <v>18368</v>
      </c>
      <c r="C1968" s="26" t="str">
        <f>HYPERLINK("https://audio.iskcondesiretree.com/02_-_ISKCON_Swamis/ISKCON_Swamis_-_R_to_Y/His_Holiness_Radhanath_Swami/Lectures/00_-_Year_wise/Devotional_Nectar_-_2004/VOL_03/05_Lord_Caitanya%E2%80%99s_Childhood_Pastimes-I_Gaur_Purnima_Mumbai_-_06-03-04_IDesireTree.mp"&amp;"3", "05_Lord_Caitanya%E2%80%99s_Childhood_Pastimes-I_Gaur_Purnima_Mumbai_-_06-03-04_IDesireTree.mp3")</f>
        <v>05_Lord_Caitanya%E2%80%99s_Childhood_Pastimes-I_Gaur_Purnima_Mumbai_-_06-03-04_IDesireTree.mp3</v>
      </c>
      <c r="D1968" s="24"/>
      <c r="E1968" s="24"/>
    </row>
    <row r="1969">
      <c r="A1969" s="25" t="s">
        <v>18352</v>
      </c>
      <c r="B1969" s="25" t="s">
        <v>18368</v>
      </c>
      <c r="C1969" s="26" t="str">
        <f>HYPERLINK("https://audio.iskcondesiretree.com/02_-_ISKCON_Swamis/ISKCON_Swamis_-_R_to_Y/His_Holiness_Radhanath_Swami/Lectures/00_-_Year_wise/Devotional_Nectar_-_2004/VOL_03/06_Lord_Caitanya%E2%80%99s_Childhood_Pastimes-II_Gaur_Purnima_Mumbai_-_06-03-04_IDesireTree.m"&amp;"p3", "06_Lord_Caitanya%E2%80%99s_Childhood_Pastimes-II_Gaur_Purnima_Mumbai_-_06-03-04_IDesireTree.mp3")</f>
        <v>06_Lord_Caitanya%E2%80%99s_Childhood_Pastimes-II_Gaur_Purnima_Mumbai_-_06-03-04_IDesireTree.mp3</v>
      </c>
      <c r="D1969" s="24"/>
      <c r="E1969" s="24"/>
    </row>
    <row r="1970">
      <c r="A1970" s="25" t="s">
        <v>18352</v>
      </c>
      <c r="B1970" s="25" t="s">
        <v>18368</v>
      </c>
      <c r="C1970" s="26" t="str">
        <f>HYPERLINK("https://audio.iskcondesiretree.com/02_-_ISKCON_Swamis/ISKCON_Swamis_-_R_to_Y/His_Holiness_Radhanath_Swami/Lectures/00_-_Year_wise/Devotional_Nectar_-_2004/VOL_03/07_Lord_Caitanya%E2%80%99s_Childhood_Pastimes-III_Gaur_Purnima_Mumbai_-_06-03-04_IDesireTree."&amp;"mp3", "07_Lord_Caitanya%E2%80%99s_Childhood_Pastimes-III_Gaur_Purnima_Mumbai_-_06-03-04_IDesireTree.mp3")</f>
        <v>07_Lord_Caitanya%E2%80%99s_Childhood_Pastimes-III_Gaur_Purnima_Mumbai_-_06-03-04_IDesireTree.mp3</v>
      </c>
      <c r="D1970" s="24"/>
      <c r="E1970" s="24"/>
    </row>
    <row r="1971">
      <c r="A1971" s="25" t="s">
        <v>18352</v>
      </c>
      <c r="B1971" s="25" t="s">
        <v>18368</v>
      </c>
      <c r="C1971" s="26" t="str">
        <f>HYPERLINK("https://audio.iskcondesiretree.com/02_-_ISKCON_Swamis/ISKCON_Swamis_-_R_to_Y/His_Holiness_Radhanath_Swami/Lectures/00_-_Year_wise/Devotional_Nectar_-_2004/VOL_03/08_Narottama_Das_Thakur_The_Pioneer_of_Gaur_Purnima_Festival_Gaur_Purnima_Mumbai_-_06-03-04_I"&amp;"DesireTree.mp3", "08_Narottama_Das_Thakur_The_Pioneer_of_Gaur_Purnima_Festival_Gaur_Purnima_Mumbai_-_06-03-04_IDesireTree.mp3")</f>
        <v>08_Narottama_Das_Thakur_The_Pioneer_of_Gaur_Purnima_Festival_Gaur_Purnima_Mumbai_-_06-03-04_IDesireTree.mp3</v>
      </c>
      <c r="D1971" s="24"/>
      <c r="E1971" s="24"/>
    </row>
    <row r="1972">
      <c r="A1972" s="25" t="s">
        <v>18352</v>
      </c>
      <c r="B1972" s="25" t="s">
        <v>18368</v>
      </c>
      <c r="C1972" s="26" t="str">
        <f>HYPERLINK("https://audio.iskcondesiretree.com/02_-_ISKCON_Swamis/ISKCON_Swamis_-_R_to_Y/His_Holiness_Radhanath_Swami/Lectures/00_-_Year_wise/Devotional_Nectar_-_2004/VOL_04/01_Balancing_Grhastha_Life_With_Spiritual_Life_Lecture_Mumbai_-_12-03-04_IDesireTree.mp3", "01_Balancing_Grhastha_Life_With_Spiritual_Life_Lecture_Mumbai_-_12-03-04_IDesireTree.mp3")</f>
        <v>01_Balancing_Grhastha_Life_With_Spiritual_Life_Lecture_Mumbai_-_12-03-04_IDesireTree.mp3</v>
      </c>
      <c r="D1972" s="24"/>
      <c r="E1972" s="24"/>
    </row>
    <row r="1973">
      <c r="A1973" s="25" t="s">
        <v>18352</v>
      </c>
      <c r="B1973" s="25" t="s">
        <v>18368</v>
      </c>
      <c r="C1973" s="26" t="str">
        <f>HYPERLINK("https://audio.iskcondesiretree.com/02_-_ISKCON_Swamis/ISKCON_Swamis_-_R_to_Y/His_Holiness_Radhanath_Swami/Lectures/00_-_Year_wise/Devotional_Nectar_-_2004/VOL_04/02_Selfless_Service_Attitude-_An_Expression_of_Real_Love_SB-04_28_24_Mumbai_-_13-03-04_IDesir"&amp;"eTree.mp3", "02_Selfless_Service_Attitude-_An_Expression_of_Real_Love_SB-04_28_24_Mumbai_-_13-03-04_IDesireTree.mp3")</f>
        <v>02_Selfless_Service_Attitude-_An_Expression_of_Real_Love_SB-04_28_24_Mumbai_-_13-03-04_IDesireTree.mp3</v>
      </c>
      <c r="D1973" s="24"/>
      <c r="E1973" s="24"/>
    </row>
    <row r="1974">
      <c r="A1974" s="25" t="s">
        <v>18352</v>
      </c>
      <c r="B1974" s="25" t="s">
        <v>18368</v>
      </c>
      <c r="C1974" s="26" t="str">
        <f>HYPERLINK("https://audio.iskcondesiretree.com/02_-_ISKCON_Swamis/ISKCON_Swamis_-_R_to_Y/His_Holiness_Radhanath_Swami/Lectures/00_-_Year_wise/Devotional_Nectar_-_2004/VOL_04/03_Identity_Crisis_Chetana_Mumbai_-_Radhanath_Swami_2004-03-13_IDesireTree.mp3", "03_Identity_Crisis_Chetana_Mumbai_-_Radhanath_Swami_2004-03-13_IDesireTree.mp3")</f>
        <v>03_Identity_Crisis_Chetana_Mumbai_-_Radhanath_Swami_2004-03-13_IDesireTree.mp3</v>
      </c>
      <c r="D1974" s="24"/>
      <c r="E1974" s="24"/>
    </row>
    <row r="1975">
      <c r="A1975" s="25" t="s">
        <v>18352</v>
      </c>
      <c r="B1975" s="25" t="s">
        <v>18368</v>
      </c>
      <c r="C1975" s="26" t="str">
        <f>HYPERLINK("https://audio.iskcondesiretree.com/02_-_ISKCON_Swamis/ISKCON_Swamis_-_R_to_Y/His_Holiness_Radhanath_Swami/Lectures/00_-_Year_wise/Devotional_Nectar_-_2004/VOL_04/04_HH_Sridhar_Maharaj-_Srila_Prabhupad%27s_Man_Sunday_Feast_Mumbai_-_14-03-04_IDesireTree.mp3", "04_HH_Sridhar_Maharaj-_Srila_Prabhupad%27s_Man_Sunday_Feast_Mumbai_-_14-03-04_IDesireTree.mp3")</f>
        <v>04_HH_Sridhar_Maharaj-_Srila_Prabhupad%27s_Man_Sunday_Feast_Mumbai_-_14-03-04_IDesireTree.mp3</v>
      </c>
      <c r="D1975" s="24"/>
      <c r="E1975" s="24"/>
    </row>
    <row r="1976">
      <c r="A1976" s="25" t="s">
        <v>18352</v>
      </c>
      <c r="B1976" s="25" t="s">
        <v>18368</v>
      </c>
      <c r="C1976" s="26" t="str">
        <f>HYPERLINK("https://audio.iskcondesiretree.com/02_-_ISKCON_Swamis/ISKCON_Swamis_-_R_to_Y/His_Holiness_Radhanath_Swami/Lectures/00_-_Year_wise/Devotional_Nectar_-_2004/VOL_04/05_The_Power_of_Bhakti_Lecture_Mumbai_-_Radhanath_Swami_2004-03-15_IDesireTree.mp3", "05_The_Power_of_Bhakti_Lecture_Mumbai_-_Radhanath_Swami_2004-03-15_IDesireTree.mp3")</f>
        <v>05_The_Power_of_Bhakti_Lecture_Mumbai_-_Radhanath_Swami_2004-03-15_IDesireTree.mp3</v>
      </c>
      <c r="D1976" s="24"/>
      <c r="E1976" s="24"/>
    </row>
    <row r="1977">
      <c r="A1977" s="25" t="s">
        <v>18352</v>
      </c>
      <c r="B1977" s="25" t="s">
        <v>18368</v>
      </c>
      <c r="C1977" s="26" t="str">
        <f>HYPERLINK("https://audio.iskcondesiretree.com/02_-_ISKCON_Swamis/ISKCON_Swamis_-_R_to_Y/His_Holiness_Radhanath_Swami/Lectures/00_-_Year_wise/Devotional_Nectar_-_2004/VOL_04/06_Nimai_Accepts_Mendicant_Brahamana%27s_Offerings_Lecture_Mumbai_-_16-03-04_IDesireTree.mp3", "06_Nimai_Accepts_Mendicant_Brahamana%27s_Offerings_Lecture_Mumbai_-_16-03-04_IDesireTree.mp3")</f>
        <v>06_Nimai_Accepts_Mendicant_Brahamana%27s_Offerings_Lecture_Mumbai_-_16-03-04_IDesireTree.mp3</v>
      </c>
      <c r="D1977" s="24"/>
      <c r="E1977" s="24"/>
    </row>
    <row r="1978">
      <c r="A1978" s="25" t="s">
        <v>18352</v>
      </c>
      <c r="B1978" s="25" t="s">
        <v>18368</v>
      </c>
      <c r="C1978" s="26" t="str">
        <f>HYPERLINK("https://audio.iskcondesiretree.com/02_-_ISKCON_Swamis/ISKCON_Swamis_-_R_to_Y/His_Holiness_Radhanath_Swami/Lectures/00_-_Year_wise/Devotional_Nectar_-_2004/VOL_04/07_Reawakening_Our_Transcendental_Consciousness_SB-03_07_13_Mumbai_-_19-03-04_IDesireTree.mp3", "07_Reawakening_Our_Transcendental_Consciousness_SB-03_07_13_Mumbai_-_19-03-04_IDesireTree.mp3")</f>
        <v>07_Reawakening_Our_Transcendental_Consciousness_SB-03_07_13_Mumbai_-_19-03-04_IDesireTree.mp3</v>
      </c>
      <c r="D1978" s="24"/>
      <c r="E1978" s="24"/>
    </row>
    <row r="1979">
      <c r="A1979" s="25" t="s">
        <v>18352</v>
      </c>
      <c r="B1979" s="25" t="s">
        <v>18368</v>
      </c>
      <c r="C1979" s="26" t="str">
        <f>HYPERLINK("https://audio.iskcondesiretree.com/02_-_ISKCON_Swamis/ISKCON_Swamis_-_R_to_Y/His_Holiness_Radhanath_Swami/Lectures/00_-_Year_wise/Devotional_Nectar_-_2004/VOL_04/08_Principles_of_Leadership_Seminar_Mumbai_-_Radhanath_Swami_2004-03-19_IDesireTree.mp3", "08_Principles_of_Leadership_Seminar_Mumbai_-_Radhanath_Swami_2004-03-19_IDesireTree.mp3")</f>
        <v>08_Principles_of_Leadership_Seminar_Mumbai_-_Radhanath_Swami_2004-03-19_IDesireTree.mp3</v>
      </c>
      <c r="D1979" s="24"/>
      <c r="E1979" s="24"/>
    </row>
    <row r="1980">
      <c r="A1980" s="25" t="s">
        <v>18352</v>
      </c>
      <c r="B1980" s="25" t="s">
        <v>18368</v>
      </c>
      <c r="C1980" s="26" t="str">
        <f>HYPERLINK("https://audio.iskcondesiretree.com/02_-_ISKCON_Swamis/ISKCON_Swamis_-_R_to_Y/His_Holiness_Radhanath_Swami/Lectures/00_-_Year_wise/Devotional_Nectar_-_2004/VOL_04/09_How_Srila_Prabhupada_Established_Worldwide_Ratha_Yatra_Rath_Yatra_Pune_-_20-03-04_IDesireT"&amp;"ree.mp3", "09_How_Srila_Prabhupada_Established_Worldwide_Ratha_Yatra_Rath_Yatra_Pune_-_20-03-04_IDesireTree.mp3")</f>
        <v>09_How_Srila_Prabhupada_Established_Worldwide_Ratha_Yatra_Rath_Yatra_Pune_-_20-03-04_IDesireTree.mp3</v>
      </c>
      <c r="D1980" s="24"/>
      <c r="E1980" s="24"/>
    </row>
    <row r="1981">
      <c r="A1981" s="25" t="s">
        <v>18352</v>
      </c>
      <c r="B1981" s="25" t="s">
        <v>18368</v>
      </c>
      <c r="C1981" s="26" t="str">
        <f>HYPERLINK("https://audio.iskcondesiretree.com/02_-_ISKCON_Swamis/ISKCON_Swamis_-_R_to_Y/His_Holiness_Radhanath_Swami/Lectures/00_-_Year_wise/Devotional_Nectar_-_2004/VOL_04/10_We_Are_Always_Servants_Initiation_Lec_Pune_-_Radhanath_Swami_2004-03-21_IDesireTree.mp3", "10_We_Are_Always_Servants_Initiation_Lec_Pune_-_Radhanath_Swami_2004-03-21_IDesireTree.mp3")</f>
        <v>10_We_Are_Always_Servants_Initiation_Lec_Pune_-_Radhanath_Swami_2004-03-21_IDesireTree.mp3</v>
      </c>
      <c r="D1981" s="24"/>
      <c r="E1981" s="24"/>
    </row>
    <row r="1982">
      <c r="A1982" s="25" t="s">
        <v>18352</v>
      </c>
      <c r="B1982" s="25" t="s">
        <v>18368</v>
      </c>
      <c r="C1982" s="26" t="str">
        <f>HYPERLINK("https://audio.iskcondesiretree.com/02_-_ISKCON_Swamis/ISKCON_Swamis_-_R_to_Y/His_Holiness_Radhanath_Swami/Lectures/00_-_Year_wise/Devotional_Nectar_-_2004/VOL_04/11_HH_Sridhar_Maharaj-_Embodiment_of_Selfless_Service_Lecture_Mumbai_-_27-03-04_IDesireTree.m"&amp;"p3", "11_HH_Sridhar_Maharaj-_Embodiment_of_Selfless_Service_Lecture_Mumbai_-_27-03-04_IDesireTree.mp3")</f>
        <v>11_HH_Sridhar_Maharaj-_Embodiment_of_Selfless_Service_Lecture_Mumbai_-_27-03-04_IDesireTree.mp3</v>
      </c>
      <c r="D1982" s="24"/>
      <c r="E1982" s="24"/>
    </row>
    <row r="1983">
      <c r="A1983" s="25" t="s">
        <v>18352</v>
      </c>
      <c r="B1983" s="25" t="s">
        <v>18368</v>
      </c>
      <c r="C1983" s="26" t="str">
        <f>HYPERLINK("https://audio.iskcondesiretree.com/02_-_ISKCON_Swamis/ISKCON_Swamis_-_R_to_Y/His_Holiness_Radhanath_Swami/Lectures/00_-_Year_wise/Devotional_Nectar_-_2004/VOL_04/12_Offering_To_HG_Saranagati_Mataji_Memorial_Offering_Mumbai_-_27-03-04_IDesireTree.mp3", "12_Offering_To_HG_Saranagati_Mataji_Memorial_Offering_Mumbai_-_27-03-04_IDesireTree.mp3")</f>
        <v>12_Offering_To_HG_Saranagati_Mataji_Memorial_Offering_Mumbai_-_27-03-04_IDesireTree.mp3</v>
      </c>
      <c r="D1983" s="24"/>
      <c r="E1983" s="24"/>
    </row>
    <row r="1984">
      <c r="A1984" s="25" t="s">
        <v>18352</v>
      </c>
      <c r="B1984" s="25" t="s">
        <v>18368</v>
      </c>
      <c r="C1984" s="26" t="str">
        <f>HYPERLINK("https://audio.iskcondesiretree.com/02_-_ISKCON_Swamis/ISKCON_Swamis_-_R_to_Y/His_Holiness_Radhanath_Swami/Lectures/00_-_Year_wise/Devotional_Nectar_-_2004/VOL_04/13_Service_of_Vrajvasis_is_Obtained_Through_Causeless_Mercy_Lecture_Mumbai_-_28-03-04_IDesire"&amp;"Tree.mp3", "13_Service_of_Vrajvasis_is_Obtained_Through_Causeless_Mercy_Lecture_Mumbai_-_28-03-04_IDesireTree.mp3")</f>
        <v>13_Service_of_Vrajvasis_is_Obtained_Through_Causeless_Mercy_Lecture_Mumbai_-_28-03-04_IDesireTree.mp3</v>
      </c>
      <c r="D1984" s="24"/>
      <c r="E1984" s="24"/>
    </row>
    <row r="1985">
      <c r="A1985" s="25" t="s">
        <v>18352</v>
      </c>
      <c r="B1985" s="25" t="s">
        <v>18368</v>
      </c>
      <c r="C1985" s="26" t="str">
        <f>HYPERLINK("https://audio.iskcondesiretree.com/02_-_ISKCON_Swamis/ISKCON_Swamis_-_R_to_Y/His_Holiness_Radhanath_Swami/Lectures/00_-_Year_wise/Devotional_Nectar_-_2004/VOL_05/01_Unity_is_Strength_Prerana_Mumbai_-_27-03-04_IDesireTree.mp3", "01_Unity_is_Strength_Prerana_Mumbai_-_27-03-04_IDesireTree.mp3")</f>
        <v>01_Unity_is_Strength_Prerana_Mumbai_-_27-03-04_IDesireTree.mp3</v>
      </c>
      <c r="D1985" s="24"/>
      <c r="E1985" s="24"/>
    </row>
    <row r="1986">
      <c r="A1986" s="25" t="s">
        <v>18352</v>
      </c>
      <c r="B1986" s="25" t="s">
        <v>18368</v>
      </c>
      <c r="C1986" s="26" t="str">
        <f>HYPERLINK("https://audio.iskcondesiretree.com/02_-_ISKCON_Swamis/ISKCON_Swamis_-_R_to_Y/His_Holiness_Radhanath_Swami/Lectures/00_-_Year_wise/Devotional_Nectar_-_2004/VOL_05/02_Bhakti_The_Only_Means_To_Attain_Spiritual_Perfection_SB-04_28_38_Mumbai_-_28-03-04_IDesire"&amp;"Tree.mp3", "02_Bhakti_The_Only_Means_To_Attain_Spiritual_Perfection_SB-04_28_38_Mumbai_-_28-03-04_IDesireTree.mp3")</f>
        <v>02_Bhakti_The_Only_Means_To_Attain_Spiritual_Perfection_SB-04_28_38_Mumbai_-_28-03-04_IDesireTree.mp3</v>
      </c>
      <c r="D1986" s="24"/>
      <c r="E1986" s="24"/>
    </row>
    <row r="1987">
      <c r="A1987" s="25" t="s">
        <v>18352</v>
      </c>
      <c r="B1987" s="25" t="s">
        <v>18368</v>
      </c>
      <c r="C1987" s="26" t="str">
        <f>HYPERLINK("https://audio.iskcondesiretree.com/02_-_ISKCON_Swamis/ISKCON_Swamis_-_R_to_Y/His_Holiness_Radhanath_Swami/Lectures/00_-_Year_wise/Devotional_Nectar_-_2004/VOL_05/03_Entering_The_Spiritual_Realm_Through_Faith_Sunday_Feast_Mumbai_-_28-03-04_IDesireTree.mp3", "03_Entering_The_Spiritual_Realm_Through_Faith_Sunday_Feast_Mumbai_-_28-03-04_IDesireTree.mp3")</f>
        <v>03_Entering_The_Spiritual_Realm_Through_Faith_Sunday_Feast_Mumbai_-_28-03-04_IDesireTree.mp3</v>
      </c>
      <c r="D1987" s="24"/>
      <c r="E1987" s="24"/>
    </row>
    <row r="1988">
      <c r="A1988" s="25" t="s">
        <v>18352</v>
      </c>
      <c r="B1988" s="25" t="s">
        <v>18368</v>
      </c>
      <c r="C1988" s="26" t="str">
        <f>HYPERLINK("https://audio.iskcondesiretree.com/02_-_ISKCON_Swamis/ISKCON_Swamis_-_R_to_Y/His_Holiness_Radhanath_Swami/Lectures/00_-_Year_wise/Devotional_Nectar_-_2004/VOL_05/04_Taking_Vow_of_Dedication_%26_Service_Initiation_Lec_Mumbai_-_30-03-04_IDesireTree.mp3", "04_Taking_Vow_of_Dedication_%26_Service_Initiation_Lec_Mumbai_-_30-03-04_IDesireTree.mp3")</f>
        <v>04_Taking_Vow_of_Dedication_%26_Service_Initiation_Lec_Mumbai_-_30-03-04_IDesireTree.mp3</v>
      </c>
      <c r="D1988" s="24"/>
      <c r="E1988" s="24"/>
    </row>
    <row r="1989">
      <c r="A1989" s="25" t="s">
        <v>18352</v>
      </c>
      <c r="B1989" s="25" t="s">
        <v>18368</v>
      </c>
      <c r="C1989" s="26" t="str">
        <f>HYPERLINK("https://audio.iskcondesiretree.com/02_-_ISKCON_Swamis/ISKCON_Swamis_-_R_to_Y/His_Holiness_Radhanath_Swami/Lectures/00_-_Year_wise/Devotional_Nectar_-_2004/VOL_05/05_Determination_of_Ahilya_Ram_Navami_Lec_Mumbai_-_30-03-04_IDesireTree.mp3", "05_Determination_of_Ahilya_Ram_Navami_Lec_Mumbai_-_30-03-04_IDesireTree.mp3")</f>
        <v>05_Determination_of_Ahilya_Ram_Navami_Lec_Mumbai_-_30-03-04_IDesireTree.mp3</v>
      </c>
      <c r="D1989" s="24"/>
      <c r="E1989" s="24"/>
    </row>
    <row r="1990">
      <c r="A1990" s="25" t="s">
        <v>18352</v>
      </c>
      <c r="B1990" s="25" t="s">
        <v>18368</v>
      </c>
      <c r="C1990" s="26" t="str">
        <f>HYPERLINK("https://audio.iskcondesiretree.com/02_-_ISKCON_Swamis/ISKCON_Swamis_-_R_to_Y/His_Holiness_Radhanath_Swami/Lectures/00_-_Year_wise/Devotional_Nectar_-_2004/VOL_05/06_Ramayan-_The_Legend_of_Selfless_Pure_Devotion_Lecture_Mumbai_-_31-03-04_IDesireTree.mp3", "06_Ramayan-_The_Legend_of_Selfless_Pure_Devotion_Lecture_Mumbai_-_31-03-04_IDesireTree.mp3")</f>
        <v>06_Ramayan-_The_Legend_of_Selfless_Pure_Devotion_Lecture_Mumbai_-_31-03-04_IDesireTree.mp3</v>
      </c>
      <c r="D1990" s="24"/>
      <c r="E1990" s="24"/>
    </row>
    <row r="1991">
      <c r="A1991" s="25" t="s">
        <v>18352</v>
      </c>
      <c r="B1991" s="25" t="s">
        <v>18368</v>
      </c>
      <c r="C1991" s="26" t="str">
        <f>HYPERLINK("https://audio.iskcondesiretree.com/02_-_ISKCON_Swamis/ISKCON_Swamis_-_R_to_Y/His_Holiness_Radhanath_Swami/Lectures/00_-_Year_wise/Devotional_Nectar_-_2004/VOL_05/07_Establishing_The_Spirit_of_Initiation_Initiation_Lec_Mumbai_-_02-04-04_IDesireTree.mp3", "07_Establishing_The_Spirit_of_Initiation_Initiation_Lec_Mumbai_-_02-04-04_IDesireTree.mp3")</f>
        <v>07_Establishing_The_Spirit_of_Initiation_Initiation_Lec_Mumbai_-_02-04-04_IDesireTree.mp3</v>
      </c>
      <c r="D1991" s="24"/>
      <c r="E1991" s="24"/>
    </row>
    <row r="1992">
      <c r="A1992" s="25" t="s">
        <v>18352</v>
      </c>
      <c r="B1992" s="25" t="s">
        <v>18368</v>
      </c>
      <c r="C1992" s="26" t="str">
        <f>HYPERLINK("https://audio.iskcondesiretree.com/02_-_ISKCON_Swamis/ISKCON_Swamis_-_R_to_Y/His_Holiness_Radhanath_Swami/Lectures/00_-_Year_wise/Devotional_Nectar_-_2004/VOL_05/08_Aspiring_To_Serve_Birth_After_Birth_SB-04_30_33_Mumbai_-_04-09-04_IDesireTree.mp3", "08_Aspiring_To_Serve_Birth_After_Birth_SB-04_30_33_Mumbai_-_04-09-04_IDesireTree.mp3")</f>
        <v>08_Aspiring_To_Serve_Birth_After_Birth_SB-04_30_33_Mumbai_-_04-09-04_IDesireTree.mp3</v>
      </c>
      <c r="D1992" s="24"/>
      <c r="E1992" s="24"/>
    </row>
    <row r="1993">
      <c r="A1993" s="25" t="s">
        <v>18352</v>
      </c>
      <c r="B1993" s="25" t="s">
        <v>18368</v>
      </c>
      <c r="C1993" s="26" t="str">
        <f>HYPERLINK("https://audio.iskcondesiretree.com/02_-_ISKCON_Swamis/ISKCON_Swamis_-_R_to_Y/His_Holiness_Radhanath_Swami/Lectures/00_-_Year_wise/Devotional_Nectar_-_2004/VOL_05/09_The_Immense_Value_of_Association_SB-04_30_34_Mumbai_-_05-09-04_IDesireTree.mp3", "09_The_Immense_Value_of_Association_SB-04_30_34_Mumbai_-_05-09-04_IDesireTree.mp3")</f>
        <v>09_The_Immense_Value_of_Association_SB-04_30_34_Mumbai_-_05-09-04_IDesireTree.mp3</v>
      </c>
      <c r="D1993" s="24"/>
      <c r="E1993" s="24"/>
    </row>
    <row r="1994">
      <c r="A1994" s="25" t="s">
        <v>18352</v>
      </c>
      <c r="B1994" s="25" t="s">
        <v>18368</v>
      </c>
      <c r="C1994" s="26" t="str">
        <f>HYPERLINK("https://audio.iskcondesiretree.com/02_-_ISKCON_Swamis/ISKCON_Swamis_-_R_to_Y/His_Holiness_Radhanath_Swami/Lectures/00_-_Year_wise/Devotional_Nectar_-_2004/VOL_06/01_Unity_is_Strength_Prerana_Mumbai_-_Radhanath_Swami_2004-03-27_IDesireTree.mp3", "01_Unity_is_Strength_Prerana_Mumbai_-_Radhanath_Swami_2004-03-27_IDesireTree.mp3")</f>
        <v>01_Unity_is_Strength_Prerana_Mumbai_-_Radhanath_Swami_2004-03-27_IDesireTree.mp3</v>
      </c>
      <c r="D1994" s="24"/>
      <c r="E1994" s="24"/>
    </row>
    <row r="1995">
      <c r="A1995" s="25" t="s">
        <v>18352</v>
      </c>
      <c r="B1995" s="25" t="s">
        <v>18368</v>
      </c>
      <c r="C1995" s="26" t="str">
        <f>HYPERLINK("https://audio.iskcondesiretree.com/02_-_ISKCON_Swamis/ISKCON_Swamis_-_R_to_Y/His_Holiness_Radhanath_Swami/Lectures/00_-_Year_wise/Devotional_Nectar_-_2004/VOL_06/02_Bhakti_The_Only_Means_To_Attain_Spiritual_Perfection_SB-04_28_38_Mumbai_-_28-03-04_IDesire"&amp;"Tree.mp3", "02_Bhakti_The_Only_Means_To_Attain_Spiritual_Perfection_SB-04_28_38_Mumbai_-_28-03-04_IDesireTree.mp3")</f>
        <v>02_Bhakti_The_Only_Means_To_Attain_Spiritual_Perfection_SB-04_28_38_Mumbai_-_28-03-04_IDesireTree.mp3</v>
      </c>
      <c r="D1995" s="24"/>
      <c r="E1995" s="24"/>
    </row>
    <row r="1996">
      <c r="A1996" s="25" t="s">
        <v>18352</v>
      </c>
      <c r="B1996" s="25" t="s">
        <v>18368</v>
      </c>
      <c r="C1996" s="26" t="str">
        <f>HYPERLINK("https://audio.iskcondesiretree.com/02_-_ISKCON_Swamis/ISKCON_Swamis_-_R_to_Y/His_Holiness_Radhanath_Swami/Lectures/00_-_Year_wise/Devotional_Nectar_-_2004/VOL_06/03_Entering_The_Spiritual_Realm_Through_Faith_Sunday_Feast_Mumbai_-_28-03-04_IDesireTree.mp3", "03_Entering_The_Spiritual_Realm_Through_Faith_Sunday_Feast_Mumbai_-_28-03-04_IDesireTree.mp3")</f>
        <v>03_Entering_The_Spiritual_Realm_Through_Faith_Sunday_Feast_Mumbai_-_28-03-04_IDesireTree.mp3</v>
      </c>
      <c r="D1996" s="24"/>
      <c r="E1996" s="24"/>
    </row>
    <row r="1997">
      <c r="A1997" s="25" t="s">
        <v>18352</v>
      </c>
      <c r="B1997" s="25" t="s">
        <v>18368</v>
      </c>
      <c r="C1997" s="26" t="str">
        <f>HYPERLINK("https://audio.iskcondesiretree.com/02_-_ISKCON_Swamis/ISKCON_Swamis_-_R_to_Y/His_Holiness_Radhanath_Swami/Lectures/00_-_Year_wise/Devotional_Nectar_-_2004/VOL_06/04_Taking_Vow_of_Dedication_%26_Service_Initiation_Lec_Mumbai_-_30-03-04_IDesireTree.mp3", "04_Taking_Vow_of_Dedication_%26_Service_Initiation_Lec_Mumbai_-_30-03-04_IDesireTree.mp3")</f>
        <v>04_Taking_Vow_of_Dedication_%26_Service_Initiation_Lec_Mumbai_-_30-03-04_IDesireTree.mp3</v>
      </c>
      <c r="D1997" s="24"/>
      <c r="E1997" s="24"/>
    </row>
    <row r="1998">
      <c r="A1998" s="25" t="s">
        <v>18352</v>
      </c>
      <c r="B1998" s="25" t="s">
        <v>18368</v>
      </c>
      <c r="C1998" s="26" t="str">
        <f>HYPERLINK("https://audio.iskcondesiretree.com/02_-_ISKCON_Swamis/ISKCON_Swamis_-_R_to_Y/His_Holiness_Radhanath_Swami/Lectures/00_-_Year_wise/Devotional_Nectar_-_2004/VOL_06/05_Determination_of_Ahilya_Ram_Navami_Lec_Mumbai_-_Radhanath_Swami_2004-03-30_IDesireTree.mp3", "05_Determination_of_Ahilya_Ram_Navami_Lec_Mumbai_-_Radhanath_Swami_2004-03-30_IDesireTree.mp3")</f>
        <v>05_Determination_of_Ahilya_Ram_Navami_Lec_Mumbai_-_Radhanath_Swami_2004-03-30_IDesireTree.mp3</v>
      </c>
      <c r="D1998" s="24"/>
      <c r="E1998" s="24"/>
    </row>
    <row r="1999">
      <c r="A1999" s="25" t="s">
        <v>18352</v>
      </c>
      <c r="B1999" s="25" t="s">
        <v>18368</v>
      </c>
      <c r="C1999" s="26" t="str">
        <f>HYPERLINK("https://audio.iskcondesiretree.com/02_-_ISKCON_Swamis/ISKCON_Swamis_-_R_to_Y/His_Holiness_Radhanath_Swami/Lectures/00_-_Year_wise/Devotional_Nectar_-_2004/VOL_06/06_Ramayan-_The_Legend_of_Selfless_Pure_Devotion_Lecture_Mumbai_-_31-03-04_IDesireTree.mp3", "06_Ramayan-_The_Legend_of_Selfless_Pure_Devotion_Lecture_Mumbai_-_31-03-04_IDesireTree.mp3")</f>
        <v>06_Ramayan-_The_Legend_of_Selfless_Pure_Devotion_Lecture_Mumbai_-_31-03-04_IDesireTree.mp3</v>
      </c>
      <c r="D1999" s="24"/>
      <c r="E1999" s="24"/>
    </row>
    <row r="2000">
      <c r="A2000" s="25" t="s">
        <v>18352</v>
      </c>
      <c r="B2000" s="25" t="s">
        <v>18368</v>
      </c>
      <c r="C2000" s="26" t="str">
        <f>HYPERLINK("https://audio.iskcondesiretree.com/02_-_ISKCON_Swamis/ISKCON_Swamis_-_R_to_Y/His_Holiness_Radhanath_Swami/Lectures/00_-_Year_wise/Devotional_Nectar_-_2004/VOL_06/07_Establishing_The_Spirit_of_Initiation_Initiation_Lec_Mumbai_-_02-04-04_IDesireTree.mp3", "07_Establishing_The_Spirit_of_Initiation_Initiation_Lec_Mumbai_-_02-04-04_IDesireTree.mp3")</f>
        <v>07_Establishing_The_Spirit_of_Initiation_Initiation_Lec_Mumbai_-_02-04-04_IDesireTree.mp3</v>
      </c>
      <c r="D2000" s="24"/>
      <c r="E2000" s="24"/>
    </row>
    <row r="2001">
      <c r="A2001" s="25" t="s">
        <v>18352</v>
      </c>
      <c r="B2001" s="25" t="s">
        <v>18368</v>
      </c>
      <c r="C2001" s="26" t="str">
        <f>HYPERLINK("https://audio.iskcondesiretree.com/02_-_ISKCON_Swamis/ISKCON_Swamis_-_R_to_Y/His_Holiness_Radhanath_Swami/Lectures/00_-_Year_wise/Devotional_Nectar_-_2004/VOL_06/08_Overcoming_Obstacles_in_Spiritual_Life_Lecture_New_York_-_11-04-04_IDesireTree.mp3", "08_Overcoming_Obstacles_in_Spiritual_Life_Lecture_New_York_-_11-04-04_IDesireTree.mp3")</f>
        <v>08_Overcoming_Obstacles_in_Spiritual_Life_Lecture_New_York_-_11-04-04_IDesireTree.mp3</v>
      </c>
      <c r="D2001" s="24"/>
      <c r="E2001" s="24"/>
    </row>
    <row r="2002">
      <c r="A2002" s="25" t="s">
        <v>18352</v>
      </c>
      <c r="B2002" s="25" t="s">
        <v>18368</v>
      </c>
      <c r="C2002" s="26" t="str">
        <f>HYPERLINK("https://audio.iskcondesiretree.com/02_-_ISKCON_Swamis/ISKCON_Swamis_-_R_to_Y/His_Holiness_Radhanath_Swami/Lectures/00_-_Year_wise/Devotional_Nectar_-_2004/VOL_06/09_Spirituality_And_Vegetarianism_Lecture_New_York_University_-_12-04-04_IDesireTree.mp3", "09_Spirituality_And_Vegetarianism_Lecture_New_York_University_-_12-04-04_IDesireTree.mp3")</f>
        <v>09_Spirituality_And_Vegetarianism_Lecture_New_York_University_-_12-04-04_IDesireTree.mp3</v>
      </c>
      <c r="D2002" s="24"/>
      <c r="E2002" s="24"/>
    </row>
    <row r="2003">
      <c r="A2003" s="25" t="s">
        <v>18352</v>
      </c>
      <c r="B2003" s="25" t="s">
        <v>18368</v>
      </c>
      <c r="C2003" s="26" t="str">
        <f>HYPERLINK("https://audio.iskcondesiretree.com/02_-_ISKCON_Swamis/ISKCON_Swamis_-_R_to_Y/His_Holiness_Radhanath_Swami/Lectures/00_-_Year_wise/Devotional_Nectar_-_2004/VOL_07/01_Srila_Prabhupada-_The_Embodiment_of_Compassion_Lecture_New_York_-_13-04-04_IDesireTree.mp3", "01_Srila_Prabhupada-_The_Embodiment_of_Compassion_Lecture_New_York_-_13-04-04_IDesireTree.mp3")</f>
        <v>01_Srila_Prabhupada-_The_Embodiment_of_Compassion_Lecture_New_York_-_13-04-04_IDesireTree.mp3</v>
      </c>
      <c r="D2003" s="24"/>
      <c r="E2003" s="24"/>
    </row>
    <row r="2004">
      <c r="A2004" s="25" t="s">
        <v>18352</v>
      </c>
      <c r="B2004" s="25" t="s">
        <v>18368</v>
      </c>
      <c r="C2004" s="26" t="str">
        <f>HYPERLINK("https://audio.iskcondesiretree.com/02_-_ISKCON_Swamis/ISKCON_Swamis_-_R_to_Y/His_Holiness_Radhanath_Swami/Lectures/00_-_Year_wise/Devotional_Nectar_-_2004/VOL_07/02_Quest_for_Inner_Happiness_Lecture_Chicago_-_Radhanath_Swami_2004-04-24_IDesireTree.mp3", "02_Quest_for_Inner_Happiness_Lecture_Chicago_-_Radhanath_Swami_2004-04-24_IDesireTree.mp3")</f>
        <v>02_Quest_for_Inner_Happiness_Lecture_Chicago_-_Radhanath_Swami_2004-04-24_IDesireTree.mp3</v>
      </c>
      <c r="D2004" s="24"/>
      <c r="E2004" s="24"/>
    </row>
    <row r="2005">
      <c r="A2005" s="25" t="s">
        <v>18352</v>
      </c>
      <c r="B2005" s="25" t="s">
        <v>18368</v>
      </c>
      <c r="C2005" s="26" t="str">
        <f>HYPERLINK("https://audio.iskcondesiretree.com/02_-_ISKCON_Swamis/ISKCON_Swamis_-_R_to_Y/His_Holiness_Radhanath_Swami/Lectures/00_-_Year_wise/Devotional_Nectar_-_2004/VOL_07/03_Five_Potent_Forms_of_Devotional_Service_Lecture_Chicago_-_25-04-04_IDesireTree.mp3", "03_Five_Potent_Forms_of_Devotional_Service_Lecture_Chicago_-_25-04-04_IDesireTree.mp3")</f>
        <v>03_Five_Potent_Forms_of_Devotional_Service_Lecture_Chicago_-_25-04-04_IDesireTree.mp3</v>
      </c>
      <c r="D2005" s="24"/>
      <c r="E2005" s="24"/>
    </row>
    <row r="2006">
      <c r="A2006" s="25" t="s">
        <v>18352</v>
      </c>
      <c r="B2006" s="25" t="s">
        <v>18368</v>
      </c>
      <c r="C2006" s="26" t="str">
        <f>HYPERLINK("https://audio.iskcondesiretree.com/02_-_ISKCON_Swamis/ISKCON_Swamis_-_R_to_Y/His_Holiness_Radhanath_Swami/Lectures/00_-_Year_wise/Devotional_Nectar_-_2004/VOL_07/04_Lord_Caitanya%27s_Instructions_to_Mukunda_Sarkar_Lecture_Chicago_-_26-04-04_IDesireTree.mp"&amp;"3", "04_Lord_Caitanya%27s_Instructions_to_Mukunda_Sarkar_Lecture_Chicago_-_26-04-04_IDesireTree.mp3")</f>
        <v>04_Lord_Caitanya%27s_Instructions_to_Mukunda_Sarkar_Lecture_Chicago_-_26-04-04_IDesireTree.mp3</v>
      </c>
      <c r="D2006" s="24"/>
      <c r="E2006" s="24"/>
    </row>
    <row r="2007">
      <c r="A2007" s="25" t="s">
        <v>18352</v>
      </c>
      <c r="B2007" s="25" t="s">
        <v>18368</v>
      </c>
      <c r="C2007" s="26" t="str">
        <f>HYPERLINK("https://audio.iskcondesiretree.com/02_-_ISKCON_Swamis/ISKCON_Swamis_-_R_to_Y/His_Holiness_Radhanath_Swami/Lectures/00_-_Year_wise/Devotional_Nectar_-_2004/VOL_07/05_Glorious_Departure_of_Bhisma_Dev_SB-01_09_43_Chicago_-_27-04-04_IDesireTree.mp3", "05_Glorious_Departure_of_Bhisma_Dev_SB-01_09_43_Chicago_-_27-04-04_IDesireTree.mp3")</f>
        <v>05_Glorious_Departure_of_Bhisma_Dev_SB-01_09_43_Chicago_-_27-04-04_IDesireTree.mp3</v>
      </c>
      <c r="D2007" s="24"/>
      <c r="E2007" s="24"/>
    </row>
    <row r="2008">
      <c r="A2008" s="25" t="s">
        <v>18352</v>
      </c>
      <c r="B2008" s="25" t="s">
        <v>18368</v>
      </c>
      <c r="C2008" s="26" t="str">
        <f>HYPERLINK("https://audio.iskcondesiretree.com/02_-_ISKCON_Swamis/ISKCON_Swamis_-_R_to_Y/His_Holiness_Radhanath_Swami/Lectures/00_-_Year_wise/Devotional_Nectar_-_2004/VOL_07/06_The_Power_of_Holy_Name_Lecture_Chicago_-_Radhanath_Swami_2004-04-27_IDesireTree.mp3", "06_The_Power_of_Holy_Name_Lecture_Chicago_-_Radhanath_Swami_2004-04-27_IDesireTree.mp3")</f>
        <v>06_The_Power_of_Holy_Name_Lecture_Chicago_-_Radhanath_Swami_2004-04-27_IDesireTree.mp3</v>
      </c>
      <c r="D2008" s="24"/>
      <c r="E2008" s="24"/>
    </row>
    <row r="2009">
      <c r="A2009" s="25" t="s">
        <v>18352</v>
      </c>
      <c r="B2009" s="25" t="s">
        <v>18368</v>
      </c>
      <c r="C2009" s="26" t="str">
        <f>HYPERLINK("https://audio.iskcondesiretree.com/02_-_ISKCON_Swamis/ISKCON_Swamis_-_R_to_Y/His_Holiness_Radhanath_Swami/Lectures/00_-_Year_wise/Devotional_Nectar_-_2004/VOL_07/07_Glories_of_Jahnava_Devi_SB-01_09_44_Chicago_-_Radhanath_Swami_2004-04-28_IDesireTree.mp3", "07_Glories_of_Jahnava_Devi_SB-01_09_44_Chicago_-_Radhanath_Swami_2004-04-28_IDesireTree.mp3")</f>
        <v>07_Glories_of_Jahnava_Devi_SB-01_09_44_Chicago_-_Radhanath_Swami_2004-04-28_IDesireTree.mp3</v>
      </c>
      <c r="D2009" s="24"/>
      <c r="E2009" s="24"/>
    </row>
    <row r="2010">
      <c r="A2010" s="25" t="s">
        <v>18352</v>
      </c>
      <c r="B2010" s="25" t="s">
        <v>18368</v>
      </c>
      <c r="C2010" s="26" t="str">
        <f>HYPERLINK("https://audio.iskcondesiretree.com/02_-_ISKCON_Swamis/ISKCON_Swamis_-_R_to_Y/His_Holiness_Radhanath_Swami/Lectures/00_-_Year_wise/Devotional_Nectar_-_2004/VOL_07/08_Living_in_Material_World_Honestly_Lecture_Chicago_-_30-04-04_IDesireTree.mp3", "08_Living_in_Material_World_Honestly_Lecture_Chicago_-_30-04-04_IDesireTree.mp3")</f>
        <v>08_Living_in_Material_World_Honestly_Lecture_Chicago_-_30-04-04_IDesireTree.mp3</v>
      </c>
      <c r="D2010" s="24"/>
      <c r="E2010" s="24"/>
    </row>
    <row r="2011">
      <c r="A2011" s="25" t="s">
        <v>18352</v>
      </c>
      <c r="B2011" s="25" t="s">
        <v>18368</v>
      </c>
      <c r="C2011" s="26" t="str">
        <f>HYPERLINK("https://audio.iskcondesiretree.com/02_-_ISKCON_Swamis/ISKCON_Swamis_-_R_to_Y/His_Holiness_Radhanath_Swami/Lectures/00_-_Year_wise/Devotional_Nectar_-_2004/VOL_07/10_Appearance_of_Lord_Narsimhadeva_Lecture_New_Vrindavan_-_03-05-04_IDesireTree.mp3", "10_Appearance_of_Lord_Narsimhadeva_Lecture_New_Vrindavan_-_03-05-04_IDesireTree.mp3")</f>
        <v>10_Appearance_of_Lord_Narsimhadeva_Lecture_New_Vrindavan_-_03-05-04_IDesireTree.mp3</v>
      </c>
      <c r="D2011" s="24"/>
      <c r="E2011" s="24"/>
    </row>
    <row r="2012">
      <c r="A2012" s="25" t="s">
        <v>18352</v>
      </c>
      <c r="B2012" s="25" t="s">
        <v>18368</v>
      </c>
      <c r="C2012" s="26" t="str">
        <f>HYPERLINK("https://audio.iskcondesiretree.com/02_-_ISKCON_Swamis/ISKCON_Swamis_-_R_to_Y/His_Holiness_Radhanath_Swami/Lectures/00_-_Year_wise/Devotional_Nectar_-_2004/VOL_07/11_A_Sadhu_is_Tolerant_and_Compassionate_SB-06_05_43_New_Vrindavan_-_08-05-04_IDesireTree.mp3", "11_A_Sadhu_is_Tolerant_and_Compassionate_SB-06_05_43_New_Vrindavan_-_08-05-04_IDesireTree.mp3")</f>
        <v>11_A_Sadhu_is_Tolerant_and_Compassionate_SB-06_05_43_New_Vrindavan_-_08-05-04_IDesireTree.mp3</v>
      </c>
      <c r="D2012" s="24"/>
      <c r="E2012" s="24"/>
    </row>
    <row r="2013">
      <c r="A2013" s="25" t="s">
        <v>18352</v>
      </c>
      <c r="B2013" s="25" t="s">
        <v>18368</v>
      </c>
      <c r="C2013" s="26" t="str">
        <f>HYPERLINK("https://audio.iskcondesiretree.com/02_-_ISKCON_Swamis/ISKCON_Swamis_-_R_to_Y/His_Holiness_Radhanath_Swami/Lectures/00_-_Year_wise/Devotional_Nectar_-_2004/VOL_07/12_The_Installation_of_Sri_Panca_Tattva_Sunday_Feast_New_Vrindavan_-_16-05-04_IDesireTree.mp3", "12_The_Installation_of_Sri_Panca_Tattva_Sunday_Feast_New_Vrindavan_-_16-05-04_IDesireTree.mp3")</f>
        <v>12_The_Installation_of_Sri_Panca_Tattva_Sunday_Feast_New_Vrindavan_-_16-05-04_IDesireTree.mp3</v>
      </c>
      <c r="D2013" s="24"/>
      <c r="E2013" s="24"/>
    </row>
    <row r="2014">
      <c r="A2014" s="25" t="s">
        <v>18352</v>
      </c>
      <c r="B2014" s="25" t="s">
        <v>18368</v>
      </c>
      <c r="C2014" s="26" t="str">
        <f>HYPERLINK("https://audio.iskcondesiretree.com/02_-_ISKCON_Swamis/ISKCON_Swamis_-_R_to_Y/His_Holiness_Radhanath_Swami/Lectures/00_-_Year_wise/Devotional_Nectar_-_2004/VOL_07/13_Cultivating_Enthusiasm_for_Hearing_Krishna_Katha_Lecture_Pittsburg_-_16-05-04_IDesireTree."&amp;"mp3", "13_Cultivating_Enthusiasm_for_Hearing_Krishna_Katha_Lecture_Pittsburg_-_16-05-04_IDesireTree.mp3")</f>
        <v>13_Cultivating_Enthusiasm_for_Hearing_Krishna_Katha_Lecture_Pittsburg_-_16-05-04_IDesireTree.mp3</v>
      </c>
      <c r="D2014" s="24"/>
      <c r="E2014" s="24"/>
    </row>
    <row r="2015">
      <c r="A2015" s="25" t="s">
        <v>18352</v>
      </c>
      <c r="B2015" s="25" t="s">
        <v>18368</v>
      </c>
      <c r="C2015" s="26" t="str">
        <f>HYPERLINK("https://audio.iskcondesiretree.com/02_-_ISKCON_Swamis/ISKCON_Swamis_-_R_to_Y/His_Holiness_Radhanath_Swami/Lectures/00_-_Year_wise/Devotional_Nectar_-_2004/VOL_08/01_Questions_%26_Answers_Lecture_Chicago_-_Radhanath_Swami_2004-05-01_IDesireTree.mp3", "01_Questions_%26_Answers_Lecture_Chicago_-_Radhanath_Swami_2004-05-01_IDesireTree.mp3")</f>
        <v>01_Questions_%26_Answers_Lecture_Chicago_-_Radhanath_Swami_2004-05-01_IDesireTree.mp3</v>
      </c>
      <c r="D2015" s="24"/>
      <c r="E2015" s="24"/>
    </row>
    <row r="2016">
      <c r="A2016" s="25" t="s">
        <v>18352</v>
      </c>
      <c r="B2016" s="25" t="s">
        <v>18368</v>
      </c>
      <c r="C2016" s="26" t="str">
        <f>HYPERLINK("https://audio.iskcondesiretree.com/02_-_ISKCON_Swamis/ISKCON_Swamis_-_R_to_Y/His_Holiness_Radhanath_Swami/Lectures/00_-_Year_wise/Devotional_Nectar_-_2004/VOL_08/02_Developing_our_Krishna_Consciousness_Lecture_New_Vrindavan_-_12-05-04_IDesireTree.mp3", "02_Developing_our_Krishna_Consciousness_Lecture_New_Vrindavan_-_12-05-04_IDesireTree.mp3")</f>
        <v>02_Developing_our_Krishna_Consciousness_Lecture_New_Vrindavan_-_12-05-04_IDesireTree.mp3</v>
      </c>
      <c r="D2016" s="24"/>
      <c r="E2016" s="24"/>
    </row>
    <row r="2017">
      <c r="A2017" s="25" t="s">
        <v>18352</v>
      </c>
      <c r="B2017" s="25" t="s">
        <v>18368</v>
      </c>
      <c r="C2017" s="26" t="str">
        <f>HYPERLINK("https://audio.iskcondesiretree.com/02_-_ISKCON_Swamis/ISKCON_Swamis_-_R_to_Y/His_Holiness_Radhanath_Swami/Lectures/00_-_Year_wise/Devotional_Nectar_-_2004/VOL_08/03_Life_and_Pastimes_of_Srila_Narrotam_Das_Thakur-I_Lecture_New_Vrindavan_-_13-05-04_IDesireT"&amp;"ree.mp3", "03_Life_and_Pastimes_of_Srila_Narrotam_Das_Thakur-I_Lecture_New_Vrindavan_-_13-05-04_IDesireTree.mp3")</f>
        <v>03_Life_and_Pastimes_of_Srila_Narrotam_Das_Thakur-I_Lecture_New_Vrindavan_-_13-05-04_IDesireTree.mp3</v>
      </c>
      <c r="D2017" s="24"/>
      <c r="E2017" s="24"/>
    </row>
    <row r="2018">
      <c r="A2018" s="25" t="s">
        <v>18352</v>
      </c>
      <c r="B2018" s="25" t="s">
        <v>18368</v>
      </c>
      <c r="C2018" s="26" t="str">
        <f>HYPERLINK("https://audio.iskcondesiretree.com/02_-_ISKCON_Swamis/ISKCON_Swamis_-_R_to_Y/His_Holiness_Radhanath_Swami/Lectures/00_-_Year_wise/Devotional_Nectar_-_2004/VOL_08/04_Life_and_Pastimes_of_Srila_Narrotam_Das_Thakur-II_Lecture_New_Vrindavan_-_19-05-04_IDesire"&amp;"Tree.mp3", "04_Life_and_Pastimes_of_Srila_Narrotam_Das_Thakur-II_Lecture_New_Vrindavan_-_19-05-04_IDesireTree.mp3")</f>
        <v>04_Life_and_Pastimes_of_Srila_Narrotam_Das_Thakur-II_Lecture_New_Vrindavan_-_19-05-04_IDesireTree.mp3</v>
      </c>
      <c r="D2018" s="24"/>
      <c r="E2018" s="24"/>
    </row>
    <row r="2019">
      <c r="A2019" s="25" t="s">
        <v>18352</v>
      </c>
      <c r="B2019" s="25" t="s">
        <v>18368</v>
      </c>
      <c r="C2019" s="26" t="str">
        <f>HYPERLINK("https://audio.iskcondesiretree.com/02_-_ISKCON_Swamis/ISKCON_Swamis_-_R_to_Y/His_Holiness_Radhanath_Swami/Lectures/00_-_Year_wise/Devotional_Nectar_-_2004/VOL_08/05_Life_and_Pastimes_of_Srila_Narrotam_Das_Thakur-III_Lecture_New_Vrindavan_-_20-05-04_IDesir"&amp;"eTree.mp3", "05_Life_and_Pastimes_of_Srila_Narrotam_Das_Thakur-III_Lecture_New_Vrindavan_-_20-05-04_IDesireTree.mp3")</f>
        <v>05_Life_and_Pastimes_of_Srila_Narrotam_Das_Thakur-III_Lecture_New_Vrindavan_-_20-05-04_IDesireTree.mp3</v>
      </c>
      <c r="D2019" s="24"/>
      <c r="E2019" s="24"/>
    </row>
    <row r="2020">
      <c r="A2020" s="25" t="s">
        <v>18352</v>
      </c>
      <c r="B2020" s="25" t="s">
        <v>18368</v>
      </c>
      <c r="C2020" s="26" t="str">
        <f>HYPERLINK("https://audio.iskcondesiretree.com/02_-_ISKCON_Swamis/ISKCON_Swamis_-_R_to_Y/His_Holiness_Radhanath_Swami/Lectures/00_-_Year_wise/Devotional_Nectar_-_2004/VOL_08/06_Developing_Culture_of_Respecting_Others_SB-06_07_33_New_Vrindavan_-_22-05-04_IDesireTree.m"&amp;"p3", "06_Developing_Culture_of_Respecting_Others_SB-06_07_33_New_Vrindavan_-_22-05-04_IDesireTree.mp3")</f>
        <v>06_Developing_Culture_of_Respecting_Others_SB-06_07_33_New_Vrindavan_-_22-05-04_IDesireTree.mp3</v>
      </c>
      <c r="D2020" s="24"/>
      <c r="E2020" s="24"/>
    </row>
    <row r="2021">
      <c r="A2021" s="25" t="s">
        <v>18352</v>
      </c>
      <c r="B2021" s="25" t="s">
        <v>18368</v>
      </c>
      <c r="C2021" s="26" t="str">
        <f>HYPERLINK("https://audio.iskcondesiretree.com/02_-_ISKCON_Swamis/ISKCON_Swamis_-_R_to_Y/His_Holiness_Radhanath_Swami/Lectures/00_-_Year_wise/Devotional_Nectar_-_2004/VOL_08/07_Indra_Offends_His_Spiritual_Master_Brhaspati_SB-06_07_34-35_New_Vrindavan_-_23-05-04_IDesi"&amp;"reTree.mp3", "07_Indra_Offends_His_Spiritual_Master_Brhaspati_SB-06_07_34-35_New_Vrindavan_-_23-05-04_IDesireTree.mp3")</f>
        <v>07_Indra_Offends_His_Spiritual_Master_Brhaspati_SB-06_07_34-35_New_Vrindavan_-_23-05-04_IDesireTree.mp3</v>
      </c>
      <c r="D2021" s="24"/>
      <c r="E2021" s="24"/>
    </row>
    <row r="2022">
      <c r="A2022" s="25" t="s">
        <v>18352</v>
      </c>
      <c r="B2022" s="25" t="s">
        <v>18368</v>
      </c>
      <c r="C2022" s="26" t="str">
        <f>HYPERLINK("https://audio.iskcondesiretree.com/02_-_ISKCON_Swamis/ISKCON_Swamis_-_R_to_Y/His_Holiness_Radhanath_Swami/Lectures/00_-_Year_wise/Devotional_Nectar_-_2004/VOL_08/08_Krishna_is_The_Supreme_Proprietor_Sunday_Feast_New_Vrindavan_-_23-05-04_IDesireTree.mp3", "08_Krishna_is_The_Supreme_Proprietor_Sunday_Feast_New_Vrindavan_-_23-05-04_IDesireTree.mp3")</f>
        <v>08_Krishna_is_The_Supreme_Proprietor_Sunday_Feast_New_Vrindavan_-_23-05-04_IDesireTree.mp3</v>
      </c>
      <c r="D2022" s="24"/>
      <c r="E2022" s="24"/>
    </row>
    <row r="2023">
      <c r="A2023" s="25" t="s">
        <v>18352</v>
      </c>
      <c r="B2023" s="25" t="s">
        <v>18368</v>
      </c>
      <c r="C2023" s="26" t="str">
        <f>HYPERLINK("https://audio.iskcondesiretree.com/02_-_ISKCON_Swamis/ISKCON_Swamis_-_R_to_Y/His_Holiness_Radhanath_Swami/Lectures/00_-_Year_wise/Devotional_Nectar_-_2004/VOL_08/09_Life_and_Pastimes_of_Srila_Narrotam_Das_Thakur-IV_Lecture_New_Vrindavan_-_24-05-04_IDesire"&amp;"Tree.mp3", "09_Life_and_Pastimes_of_Srila_Narrotam_Das_Thakur-IV_Lecture_New_Vrindavan_-_24-05-04_IDesireTree.mp3")</f>
        <v>09_Life_and_Pastimes_of_Srila_Narrotam_Das_Thakur-IV_Lecture_New_Vrindavan_-_24-05-04_IDesireTree.mp3</v>
      </c>
      <c r="D2023" s="24"/>
      <c r="E2023" s="24"/>
    </row>
    <row r="2024">
      <c r="A2024" s="25" t="s">
        <v>18352</v>
      </c>
      <c r="B2024" s="25" t="s">
        <v>18368</v>
      </c>
      <c r="C2024" s="26" t="str">
        <f>HYPERLINK("https://audio.iskcondesiretree.com/02_-_ISKCON_Swamis/ISKCON_Swamis_-_R_to_Y/His_Holiness_Radhanath_Swami/Lectures/00_-_Year_wise/Devotional_Nectar_-_2004/VOL_08/10_Life_and_Pastimes_of_Srila_Narrotam_Das_Thakur-V_Lecture_New_Vrindavan_-_26-05-04_IDesireT"&amp;"ree.mp3", "10_Life_and_Pastimes_of_Srila_Narrotam_Das_Thakur-V_Lecture_New_Vrindavan_-_26-05-04_IDesireTree.mp3")</f>
        <v>10_Life_and_Pastimes_of_Srila_Narrotam_Das_Thakur-V_Lecture_New_Vrindavan_-_26-05-04_IDesireTree.mp3</v>
      </c>
      <c r="D2024" s="24"/>
      <c r="E2024" s="24"/>
    </row>
    <row r="2025">
      <c r="A2025" s="25" t="s">
        <v>18352</v>
      </c>
      <c r="B2025" s="25" t="s">
        <v>18368</v>
      </c>
      <c r="C2025" s="26" t="str">
        <f>HYPERLINK("https://audio.iskcondesiretree.com/02_-_ISKCON_Swamis/ISKCON_Swamis_-_R_to_Y/His_Holiness_Radhanath_Swami/Lectures/00_-_Year_wise/Devotional_Nectar_-_2004/VOL_08/11_Krishna_Sees_Only_our_Devotion_Lecture_New_Vrindavan_-_27-05-04_IDesireTree.mp3", "11_Krishna_Sees_Only_our_Devotion_Lecture_New_Vrindavan_-_27-05-04_IDesireTree.mp3")</f>
        <v>11_Krishna_Sees_Only_our_Devotion_Lecture_New_Vrindavan_-_27-05-04_IDesireTree.mp3</v>
      </c>
      <c r="D2025" s="24"/>
      <c r="E2025" s="24"/>
    </row>
    <row r="2026">
      <c r="A2026" s="25" t="s">
        <v>18352</v>
      </c>
      <c r="B2026" s="25" t="s">
        <v>18368</v>
      </c>
      <c r="C2026" s="26" t="str">
        <f>HYPERLINK("https://audio.iskcondesiretree.com/02_-_ISKCON_Swamis/ISKCON_Swamis_-_R_to_Y/His_Holiness_Radhanath_Swami/Lectures/00_-_Year_wise/Devotional_Nectar_-_2004/VOL_08/12_Initiation-The_Process_of_Commitment_to_Parampara_Initiation_New_Vrindavan_-_29-05-04_IDes"&amp;"ireTree.mp3", "12_Initiation-The_Process_of_Commitment_to_Parampara_Initiation_New_Vrindavan_-_29-05-04_IDesireTree.mp3")</f>
        <v>12_Initiation-The_Process_of_Commitment_to_Parampara_Initiation_New_Vrindavan_-_29-05-04_IDesireTree.mp3</v>
      </c>
      <c r="D2026" s="24"/>
      <c r="E2026" s="24"/>
    </row>
    <row r="2027">
      <c r="A2027" s="25" t="s">
        <v>18352</v>
      </c>
      <c r="B2027" s="25" t="s">
        <v>18368</v>
      </c>
      <c r="C2027" s="26" t="str">
        <f>HYPERLINK("https://audio.iskcondesiretree.com/02_-_ISKCON_Swamis/ISKCON_Swamis_-_R_to_Y/His_Holiness_Radhanath_Swami/Lectures/00_-_Year_wise/Devotional_Nectar_-_2004/VOL_08/13_The_Power_of_Holy_Name_SB-06_08_19_New_Vrindavan_-_30-05-04_IDesireTree.mp3", "13_The_Power_of_Holy_Name_SB-06_08_19_New_Vrindavan_-_30-05-04_IDesireTree.mp3")</f>
        <v>13_The_Power_of_Holy_Name_SB-06_08_19_New_Vrindavan_-_30-05-04_IDesireTree.mp3</v>
      </c>
      <c r="D2027" s="24"/>
      <c r="E2027" s="24"/>
    </row>
    <row r="2028">
      <c r="A2028" s="25" t="s">
        <v>18352</v>
      </c>
      <c r="B2028" s="25" t="s">
        <v>18368</v>
      </c>
      <c r="C2028" s="26" t="str">
        <f>HYPERLINK("https://audio.iskcondesiretree.com/02_-_ISKCON_Swamis/ISKCON_Swamis_-_R_to_Y/His_Holiness_Radhanath_Swami/Lectures/00_-_Year_wise/Devotional_Nectar_-_2004/VOL_08/14_Life_of_Ganga_Mata_Goswamini_Sunday_Feast_New_Vrindavan_-_30-05-04_IDesireTree.mp3", "14_Life_of_Ganga_Mata_Goswamini_Sunday_Feast_New_Vrindavan_-_30-05-04_IDesireTree.mp3")</f>
        <v>14_Life_of_Ganga_Mata_Goswamini_Sunday_Feast_New_Vrindavan_-_30-05-04_IDesireTree.mp3</v>
      </c>
      <c r="D2028" s="24"/>
      <c r="E2028" s="24"/>
    </row>
    <row r="2029">
      <c r="A2029" s="25" t="s">
        <v>18352</v>
      </c>
      <c r="B2029" s="25" t="s">
        <v>18368</v>
      </c>
      <c r="C2029" s="26" t="str">
        <f>HYPERLINK("https://audio.iskcondesiretree.com/02_-_ISKCON_Swamis/ISKCON_Swamis_-_R_to_Y/His_Holiness_Radhanath_Swami/Lectures/00_-_Year_wise/Devotional_Nectar_-_2004/VOL_09/01_Learning_to_be_Grateful_from_Dhruva_Maharaj_SB-4_12_32_Gita_Nagari_-_02-06-04_IDesireTree."&amp;"mp3", "01_Learning_to_be_Grateful_from_Dhruva_Maharaj_SB-4_12_32_Gita_Nagari_-_02-06-04_IDesireTree.mp3")</f>
        <v>01_Learning_to_be_Grateful_from_Dhruva_Maharaj_SB-4_12_32_Gita_Nagari_-_02-06-04_IDesireTree.mp3</v>
      </c>
      <c r="D2029" s="24"/>
      <c r="E2029" s="24"/>
    </row>
    <row r="2030">
      <c r="A2030" s="25" t="s">
        <v>18352</v>
      </c>
      <c r="B2030" s="25" t="s">
        <v>18368</v>
      </c>
      <c r="C2030" s="26" t="str">
        <f>HYPERLINK("https://audio.iskcondesiretree.com/02_-_ISKCON_Swamis/ISKCON_Swamis_-_R_to_Y/His_Holiness_Radhanath_Swami/Lectures/00_-_Year_wise/Devotional_Nectar_-_2004/VOL_09/02_The_Importance_of_Determination_Lecture_New_York_-_04-06-04_IDesireTree.mp3", "02_The_Importance_of_Determination_Lecture_New_York_-_04-06-04_IDesireTree.mp3")</f>
        <v>02_The_Importance_of_Determination_Lecture_New_York_-_04-06-04_IDesireTree.mp3</v>
      </c>
      <c r="D2030" s="24"/>
      <c r="E2030" s="24"/>
    </row>
    <row r="2031">
      <c r="A2031" s="25" t="s">
        <v>18352</v>
      </c>
      <c r="B2031" s="25" t="s">
        <v>18368</v>
      </c>
      <c r="C2031" s="26" t="str">
        <f>HYPERLINK("https://audio.iskcondesiretree.com/02_-_ISKCON_Swamis/ISKCON_Swamis_-_R_to_Y/His_Holiness_Radhanath_Swami/Lectures/00_-_Year_wise/Devotional_Nectar_-_2004/VOL_09/03_The_Imperceptible_Nature_of_Time_SB-07_01_11_New_York_-_06-06-04_IDesireTree.mp3", "03_The_Imperceptible_Nature_of_Time_SB-07_01_11_New_York_-_06-06-04_IDesireTree.mp3")</f>
        <v>03_The_Imperceptible_Nature_of_Time_SB-07_01_11_New_York_-_06-06-04_IDesireTree.mp3</v>
      </c>
      <c r="D2031" s="24"/>
      <c r="E2031" s="24"/>
    </row>
    <row r="2032">
      <c r="A2032" s="25" t="s">
        <v>18352</v>
      </c>
      <c r="B2032" s="25" t="s">
        <v>18368</v>
      </c>
      <c r="C2032" s="26" t="str">
        <f>HYPERLINK("https://audio.iskcondesiretree.com/02_-_ISKCON_Swamis/ISKCON_Swamis_-_R_to_Y/His_Holiness_Radhanath_Swami/Lectures/00_-_Year_wise/Devotional_Nectar_-_2004/VOL_09/04_Real_Religion_Teaches_Love_of_Godhead_Sunday_Feast_New_York_-_06-06-04_IDesireTree.mp3", "04_Real_Religion_Teaches_Love_of_Godhead_Sunday_Feast_New_York_-_06-06-04_IDesireTree.mp3")</f>
        <v>04_Real_Religion_Teaches_Love_of_Godhead_Sunday_Feast_New_York_-_06-06-04_IDesireTree.mp3</v>
      </c>
      <c r="D2032" s="24"/>
      <c r="E2032" s="24"/>
    </row>
    <row r="2033">
      <c r="A2033" s="25" t="s">
        <v>18352</v>
      </c>
      <c r="B2033" s="25" t="s">
        <v>18368</v>
      </c>
      <c r="C2033" s="26" t="str">
        <f>HYPERLINK("https://audio.iskcondesiretree.com/02_-_ISKCON_Swamis/ISKCON_Swamis_-_R_to_Y/His_Holiness_Radhanath_Swami/Lectures/00_-_Year_wise/Devotional_Nectar_-_2004/VOL_09/05_Krishna_Always_Protects_His_Devotee_SB-07_01_12_New_York_-_07-06-04_IDesireTree.mp3", "05_Krishna_Always_Protects_His_Devotee_SB-07_01_12_New_York_-_07-06-04_IDesireTree.mp3")</f>
        <v>05_Krishna_Always_Protects_His_Devotee_SB-07_01_12_New_York_-_07-06-04_IDesireTree.mp3</v>
      </c>
      <c r="D2033" s="24"/>
      <c r="E2033" s="24"/>
    </row>
    <row r="2034">
      <c r="A2034" s="25" t="s">
        <v>18352</v>
      </c>
      <c r="B2034" s="25" t="s">
        <v>18368</v>
      </c>
      <c r="C2034" s="26" t="str">
        <f>HYPERLINK("https://audio.iskcondesiretree.com/02_-_ISKCON_Swamis/ISKCON_Swamis_-_R_to_Y/His_Holiness_Radhanath_Swami/Lectures/00_-_Year_wise/Devotional_Nectar_-_2004/VOL_09/06_Maharaj_Prataprudra%27s_Eagerness_to_Serve_Lord_Caitanya_Lecture_New_York_-_10-06-04_IDesi"&amp;"reTree.mp3", "06_Maharaj_Prataprudra%27s_Eagerness_to_Serve_Lord_Caitanya_Lecture_New_York_-_10-06-04_IDesireTree.mp3")</f>
        <v>06_Maharaj_Prataprudra%27s_Eagerness_to_Serve_Lord_Caitanya_Lecture_New_York_-_10-06-04_IDesireTree.mp3</v>
      </c>
      <c r="D2034" s="24"/>
      <c r="E2034" s="24"/>
    </row>
    <row r="2035">
      <c r="A2035" s="25" t="s">
        <v>18352</v>
      </c>
      <c r="B2035" s="25" t="s">
        <v>18368</v>
      </c>
      <c r="C2035" s="26" t="str">
        <f>HYPERLINK("https://audio.iskcondesiretree.com/02_-_ISKCON_Swamis/ISKCON_Swamis_-_R_to_Y/His_Holiness_Radhanath_Swami/Lectures/00_-_Year_wise/Devotional_Nectar_-_2004/VOL_09/07_The_Ecstatic_Dancing_of_Lord_Caitanya_at_Ratha-yatra_Lecture_New_York_-_11-06-04_IDesireTr"&amp;"ee.mp3", "07_The_Ecstatic_Dancing_of_Lord_Caitanya_at_Ratha-yatra_Lecture_New_York_-_11-06-04_IDesireTree.mp3")</f>
        <v>07_The_Ecstatic_Dancing_of_Lord_Caitanya_at_Ratha-yatra_Lecture_New_York_-_11-06-04_IDesireTree.mp3</v>
      </c>
      <c r="D2035" s="24"/>
      <c r="E2035" s="24"/>
    </row>
    <row r="2036">
      <c r="A2036" s="25" t="s">
        <v>18352</v>
      </c>
      <c r="B2036" s="25" t="s">
        <v>18368</v>
      </c>
      <c r="C2036" s="26" t="str">
        <f>HYPERLINK("https://audio.iskcondesiretree.com/02_-_ISKCON_Swamis/ISKCON_Swamis_-_R_to_Y/His_Holiness_Radhanath_Swami/Lectures/00_-_Year_wise/Devotional_Nectar_-_2004/VOL_09/09_The_Right_Mood_for_Deity_Worship_SB-03_29_16_Los_Angeles_-_18-07-04_IDesireTree.mp3", "09_The_Right_Mood_for_Deity_Worship_SB-03_29_16_Los_Angeles_-_18-07-04_IDesireTree.mp3")</f>
        <v>09_The_Right_Mood_for_Deity_Worship_SB-03_29_16_Los_Angeles_-_18-07-04_IDesireTree.mp3</v>
      </c>
      <c r="D2036" s="24"/>
      <c r="E2036" s="24"/>
    </row>
    <row r="2037">
      <c r="A2037" s="25" t="s">
        <v>18352</v>
      </c>
      <c r="B2037" s="25" t="s">
        <v>18368</v>
      </c>
      <c r="C2037" s="26" t="str">
        <f>HYPERLINK("https://audio.iskcondesiretree.com/02_-_ISKCON_Swamis/ISKCON_Swamis_-_R_to_Y/His_Holiness_Radhanath_Swami/Lectures/00_-_Year_wise/Devotional_Nectar_-_2004/VOL_09/10_Snana_Yatra-_Giving_Pleasure_to_Krishna_Sunday_Feast_Los_Angeles_-_2004_IDesireTree.mp3", "10_Snana_Yatra-_Giving_Pleasure_to_Krishna_Sunday_Feast_Los_Angeles_-_2004_IDesireTree.mp3")</f>
        <v>10_Snana_Yatra-_Giving_Pleasure_to_Krishna_Sunday_Feast_Los_Angeles_-_2004_IDesireTree.mp3</v>
      </c>
      <c r="D2037" s="24"/>
      <c r="E2037" s="24"/>
    </row>
    <row r="2038">
      <c r="A2038" s="25" t="s">
        <v>18352</v>
      </c>
      <c r="B2038" s="25" t="s">
        <v>18368</v>
      </c>
      <c r="C2038" s="26" t="str">
        <f>HYPERLINK("https://audio.iskcondesiretree.com/02_-_ISKCON_Swamis/ISKCON_Swamis_-_R_to_Y/His_Holiness_Radhanath_Swami/Lectures/00_-_Year_wise/Devotional_Nectar_-_2004/VOL_09/11_Serving_with_Right_Attitude_CC_Reading_Los_Angeles_-_Radhanath_Swami_2004_IDesireTree.mp3", "11_Serving_with_Right_Attitude_CC_Reading_Los_Angeles_-_Radhanath_Swami_2004_IDesireTree.mp3")</f>
        <v>11_Serving_with_Right_Attitude_CC_Reading_Los_Angeles_-_Radhanath_Swami_2004_IDesireTree.mp3</v>
      </c>
      <c r="D2038" s="24"/>
      <c r="E2038" s="24"/>
    </row>
    <row r="2039">
      <c r="A2039" s="25" t="s">
        <v>18352</v>
      </c>
      <c r="B2039" s="25" t="s">
        <v>18368</v>
      </c>
      <c r="C2039" s="26" t="str">
        <f>HYPERLINK("https://audio.iskcondesiretree.com/02_-_ISKCON_Swamis/ISKCON_Swamis_-_R_to_Y/His_Holiness_Radhanath_Swami/Lectures/00_-_Year_wise/Devotional_Nectar_-_2004/VOL_09/12_The_Cleansing_of_Gundica_Temple_CC_Reading_Los_Angeles_-_2004_IDesireTree.mp3", "12_The_Cleansing_of_Gundica_Temple_CC_Reading_Los_Angeles_-_2004_IDesireTree.mp3")</f>
        <v>12_The_Cleansing_of_Gundica_Temple_CC_Reading_Los_Angeles_-_2004_IDesireTree.mp3</v>
      </c>
      <c r="D2039" s="24"/>
      <c r="E2039" s="24"/>
    </row>
    <row r="2040">
      <c r="A2040" s="25" t="s">
        <v>18352</v>
      </c>
      <c r="B2040" s="25" t="s">
        <v>18368</v>
      </c>
      <c r="C2040" s="26" t="str">
        <f>HYPERLINK("https://audio.iskcondesiretree.com/02_-_ISKCON_Swamis/ISKCON_Swamis_-_R_to_Y/His_Holiness_Radhanath_Swami/Lectures/00_-_Year_wise/Devotional_Nectar_-_2004/VOL_10/01_Unalloyed_Devotional_Service_CC_Reading_Southern_California_-_2004_IDesireTree.mp3", "01_Unalloyed_Devotional_Service_CC_Reading_Southern_California_-_2004_IDesireTree.mp3")</f>
        <v>01_Unalloyed_Devotional_Service_CC_Reading_Southern_California_-_2004_IDesireTree.mp3</v>
      </c>
      <c r="D2040" s="24"/>
      <c r="E2040" s="24"/>
    </row>
    <row r="2041">
      <c r="A2041" s="25" t="s">
        <v>18352</v>
      </c>
      <c r="B2041" s="25" t="s">
        <v>18368</v>
      </c>
      <c r="C2041" s="26" t="str">
        <f>HYPERLINK("https://audio.iskcondesiretree.com/02_-_ISKCON_Swamis/ISKCON_Swamis_-_R_to_Y/His_Holiness_Radhanath_Swami/Lectures/00_-_Year_wise/Devotional_Nectar_-_2004/VOL_10/02_Appearance_of_Lord_Jagannath_Lecture_Los_Angeles_-_Radhanath_Swami_2004_IDesireTree.mp3", "02_Appearance_of_Lord_Jagannath_Lecture_Los_Angeles_-_Radhanath_Swami_2004_IDesireTree.mp3")</f>
        <v>02_Appearance_of_Lord_Jagannath_Lecture_Los_Angeles_-_Radhanath_Swami_2004_IDesireTree.mp3</v>
      </c>
      <c r="D2041" s="24"/>
      <c r="E2041" s="24"/>
    </row>
    <row r="2042">
      <c r="A2042" s="25" t="s">
        <v>18352</v>
      </c>
      <c r="B2042" s="25" t="s">
        <v>18368</v>
      </c>
      <c r="C2042" s="26" t="str">
        <f>HYPERLINK("https://audio.iskcondesiretree.com/02_-_ISKCON_Swamis/ISKCON_Swamis_-_R_to_Y/His_Holiness_Radhanath_Swami/Lectures/00_-_Year_wise/Devotional_Nectar_-_2004/VOL_10/04_Temptations_%26_False_Promises_of_Maya_SB-01_02_09_Saranagati_-_10-07-04_IDesireTree.mp3", "04_Temptations_%26_False_Promises_of_Maya_SB-01_02_09_Saranagati_-_10-07-04_IDesireTree.mp3")</f>
        <v>04_Temptations_%26_False_Promises_of_Maya_SB-01_02_09_Saranagati_-_10-07-04_IDesireTree.mp3</v>
      </c>
      <c r="D2042" s="24"/>
      <c r="E2042" s="24"/>
    </row>
    <row r="2043">
      <c r="A2043" s="25" t="s">
        <v>18352</v>
      </c>
      <c r="B2043" s="25" t="s">
        <v>18368</v>
      </c>
      <c r="C2043" s="26" t="str">
        <f>HYPERLINK("https://audio.iskcondesiretree.com/02_-_ISKCON_Swamis/ISKCON_Swamis_-_R_to_Y/His_Holiness_Radhanath_Swami/Lectures/00_-_Year_wise/Devotional_Nectar_-_2004/VOL_10/06_The_Important_Do%27s_%26_Don%27ts_of_Krishna_Consciousness_SB-3_25_25_Saranagati_-_11-07-0"&amp;"4_IDesireTree.mp3", "06_The_Important_Do%27s_%26_Don%27ts_of_Krishna_Consciousness_SB-3_25_25_Saranagati_-_11-07-04_IDesireTree.mp3")</f>
        <v>06_The_Important_Do%27s_%26_Don%27ts_of_Krishna_Consciousness_SB-3_25_25_Saranagati_-_11-07-04_IDesireTree.mp3</v>
      </c>
      <c r="D2043" s="24"/>
      <c r="E2043" s="24"/>
    </row>
    <row r="2044">
      <c r="A2044" s="25" t="s">
        <v>18352</v>
      </c>
      <c r="B2044" s="25" t="s">
        <v>18368</v>
      </c>
      <c r="C2044" s="26" t="str">
        <f>HYPERLINK("https://audio.iskcondesiretree.com/02_-_ISKCON_Swamis/ISKCON_Swamis_-_R_to_Y/His_Holiness_Radhanath_Swami/Lectures/00_-_Year_wise/Devotional_Nectar_-_2004/VOL_10/07_The_Glories_of_Holy_Name_Sunday_Feast_Saranagati_temple_-_11-07-04_IDesireTree.mp3", "07_The_Glories_of_Holy_Name_Sunday_Feast_Saranagati_temple_-_11-07-04_IDesireTree.mp3")</f>
        <v>07_The_Glories_of_Holy_Name_Sunday_Feast_Saranagati_temple_-_11-07-04_IDesireTree.mp3</v>
      </c>
      <c r="D2044" s="24"/>
      <c r="E2044" s="24"/>
    </row>
    <row r="2045">
      <c r="A2045" s="25" t="s">
        <v>18352</v>
      </c>
      <c r="B2045" s="25" t="s">
        <v>18368</v>
      </c>
      <c r="C2045" s="26" t="str">
        <f>HYPERLINK("https://audio.iskcondesiretree.com/02_-_ISKCON_Swamis/ISKCON_Swamis_-_R_to_Y/His_Holiness_Radhanath_Swami/Lectures/00_-_Year_wise/Devotional_Nectar_-_2004/VOL_10/08_Guarding_Against_Offenses_SB-9_4_68_Banabihari_Mandir_-_12-07-04_IDesireTree.mp3", "08_Guarding_Against_Offenses_SB-9_4_68_Banabihari_Mandir_-_12-07-04_IDesireTree.mp3")</f>
        <v>08_Guarding_Against_Offenses_SB-9_4_68_Banabihari_Mandir_-_12-07-04_IDesireTree.mp3</v>
      </c>
      <c r="D2045" s="24"/>
      <c r="E2045" s="24"/>
    </row>
    <row r="2046">
      <c r="A2046" s="25" t="s">
        <v>18352</v>
      </c>
      <c r="B2046" s="25" t="s">
        <v>18368</v>
      </c>
      <c r="C2046" s="26" t="str">
        <f>HYPERLINK("https://audio.iskcondesiretree.com/02_-_ISKCON_Swamis/ISKCON_Swamis_-_R_to_Y/His_Holiness_Radhanath_Swami/Lectures/00_-_Year_wise/Devotional_Nectar_-_2004/VOL_10/09_Fearlessness_Attained_by_Taking_Shelter_of_Krishna_Lecture_London_-_2004_IDesireTree.mp3", "09_Fearlessness_Attained_by_Taking_Shelter_of_Krishna_Lecture_London_-_2004_IDesireTree.mp3")</f>
        <v>09_Fearlessness_Attained_by_Taking_Shelter_of_Krishna_Lecture_London_-_2004_IDesireTree.mp3</v>
      </c>
      <c r="D2046" s="24"/>
      <c r="E2046" s="24"/>
    </row>
    <row r="2047">
      <c r="A2047" s="25" t="s">
        <v>18352</v>
      </c>
      <c r="B2047" s="25" t="s">
        <v>18368</v>
      </c>
      <c r="C2047" s="26" t="str">
        <f>HYPERLINK("https://audio.iskcondesiretree.com/02_-_ISKCON_Swamis/ISKCON_Swamis_-_R_to_Y/His_Holiness_Radhanath_Swami/Lectures/00_-_Year_wise/Devotional_Nectar_-_2004/VOL_11/01_Hanumanji%27s_Spirit_of_Surrender_Lecture_London_-_Radhanath_Swami_2004_IDesireTree.mp3", "01_Hanumanji%27s_Spirit_of_Surrender_Lecture_London_-_Radhanath_Swami_2004_IDesireTree.mp3")</f>
        <v>01_Hanumanji%27s_Spirit_of_Surrender_Lecture_London_-_Radhanath_Swami_2004_IDesireTree.mp3</v>
      </c>
      <c r="D2047" s="24"/>
      <c r="E2047" s="24"/>
    </row>
    <row r="2048">
      <c r="A2048" s="25" t="s">
        <v>18352</v>
      </c>
      <c r="B2048" s="25" t="s">
        <v>18368</v>
      </c>
      <c r="C2048" s="26" t="str">
        <f>HYPERLINK("https://audio.iskcondesiretree.com/02_-_ISKCON_Swamis/ISKCON_Swamis_-_R_to_Y/His_Holiness_Radhanath_Swami/Lectures/00_-_Year_wise/Devotional_Nectar_-_2004/VOL_11/02_Krishna_Consciousness_Means_Taking_Responsibility_CC_ML-22_56_London_-_2004_IDesireTree.mp"&amp;"3", "02_Krishna_Consciousness_Means_Taking_Responsibility_CC_ML-22_56_London_-_2004_IDesireTree.mp3")</f>
        <v>02_Krishna_Consciousness_Means_Taking_Responsibility_CC_ML-22_56_London_-_2004_IDesireTree.mp3</v>
      </c>
      <c r="D2048" s="24"/>
      <c r="E2048" s="24"/>
    </row>
    <row r="2049">
      <c r="A2049" s="25" t="s">
        <v>18352</v>
      </c>
      <c r="B2049" s="25" t="s">
        <v>18368</v>
      </c>
      <c r="C2049" s="26" t="str">
        <f>HYPERLINK("https://audio.iskcondesiretree.com/02_-_ISKCON_Swamis/ISKCON_Swamis_-_R_to_Y/His_Holiness_Radhanath_Swami/Lectures/00_-_Year_wise/Devotional_Nectar_-_2004/VOL_11/03_Seeking_Shelter_of_Vaisnavas_CC_ML-22_53_London_-_Radhanath_Swami_2004_IDesireTree.mp3", "03_Seeking_Shelter_of_Vaisnavas_CC_ML-22_53_London_-_Radhanath_Swami_2004_IDesireTree.mp3")</f>
        <v>03_Seeking_Shelter_of_Vaisnavas_CC_ML-22_53_London_-_Radhanath_Swami_2004_IDesireTree.mp3</v>
      </c>
      <c r="D2049" s="24"/>
      <c r="E2049" s="24"/>
    </row>
    <row r="2050">
      <c r="A2050" s="25" t="s">
        <v>18352</v>
      </c>
      <c r="B2050" s="25" t="s">
        <v>18368</v>
      </c>
      <c r="C2050" s="26" t="str">
        <f>HYPERLINK("https://audio.iskcondesiretree.com/02_-_ISKCON_Swamis/ISKCON_Swamis_-_R_to_Y/His_Holiness_Radhanath_Swami/Lectures/00_-_Year_wise/Devotional_Nectar_-_2004/VOL_11/04_Appearance_of_Lord_Krishna_Lecture_London_-_Radhanath_Swami_2004_IDesireTree.mp3", "04_Appearance_of_Lord_Krishna_Lecture_London_-_Radhanath_Swami_2004_IDesireTree.mp3")</f>
        <v>04_Appearance_of_Lord_Krishna_Lecture_London_-_Radhanath_Swami_2004_IDesireTree.mp3</v>
      </c>
      <c r="D2050" s="24"/>
      <c r="E2050" s="24"/>
    </row>
    <row r="2051">
      <c r="A2051" s="25" t="s">
        <v>18352</v>
      </c>
      <c r="B2051" s="25" t="s">
        <v>18368</v>
      </c>
      <c r="C2051" s="26" t="str">
        <f>HYPERLINK("https://audio.iskcondesiretree.com/02_-_ISKCON_Swamis/ISKCON_Swamis_-_R_to_Y/His_Holiness_Radhanath_Swami/Lectures/00_-_Year_wise/Devotional_Nectar_-_2004/VOL_11/05_Importance_of_Sense_Control_SB-07_12_17-25_London_-_Radhanath_Swami_2004_IDesireTree.mp3", "05_Importance_of_Sense_Control_SB-07_12_17-25_London_-_Radhanath_Swami_2004_IDesireTree.mp3")</f>
        <v>05_Importance_of_Sense_Control_SB-07_12_17-25_London_-_Radhanath_Swami_2004_IDesireTree.mp3</v>
      </c>
      <c r="D2051" s="24"/>
      <c r="E2051" s="24"/>
    </row>
    <row r="2052">
      <c r="A2052" s="25" t="s">
        <v>18352</v>
      </c>
      <c r="B2052" s="25" t="s">
        <v>18368</v>
      </c>
      <c r="C2052" s="26" t="str">
        <f>HYPERLINK("https://audio.iskcondesiretree.com/02_-_ISKCON_Swamis/ISKCON_Swamis_-_R_to_Y/His_Holiness_Radhanath_Swami/Lectures/00_-_Year_wise/Devotional_Nectar_-_2004/VOL_11/06_Overcoming_Fear_SB-04_28_22_London_-_Radhanath_Swami_2004_IDesireTree.mp3", "06_Overcoming_Fear_SB-04_28_22_London_-_Radhanath_Swami_2004_IDesireTree.mp3")</f>
        <v>06_Overcoming_Fear_SB-04_28_22_London_-_Radhanath_Swami_2004_IDesireTree.mp3</v>
      </c>
      <c r="D2052" s="24"/>
      <c r="E2052" s="24"/>
    </row>
    <row r="2053">
      <c r="A2053" s="25" t="s">
        <v>18352</v>
      </c>
      <c r="B2053" s="25" t="s">
        <v>18368</v>
      </c>
      <c r="C2053" s="26" t="str">
        <f>HYPERLINK("https://audio.iskcondesiretree.com/02_-_ISKCON_Swamis/ISKCON_Swamis_-_R_to_Y/His_Holiness_Radhanath_Swami/Lectures/00_-_Year_wise/Devotional_Nectar_-_2004/VOL_11/07_Krishna_Consciousness_Surpasses_all_Rituals_SB-07_15_04_London_-_23-08-04_IDesireTree.mp3", "07_Krishna_Consciousness_Surpasses_all_Rituals_SB-07_15_04_London_-_23-08-04_IDesireTree.mp3")</f>
        <v>07_Krishna_Consciousness_Surpasses_all_Rituals_SB-07_15_04_London_-_23-08-04_IDesireTree.mp3</v>
      </c>
      <c r="D2053" s="24"/>
      <c r="E2053" s="24"/>
    </row>
    <row r="2054">
      <c r="A2054" s="25" t="s">
        <v>18352</v>
      </c>
      <c r="B2054" s="25" t="s">
        <v>18368</v>
      </c>
      <c r="C2054" s="26" t="str">
        <f>HYPERLINK("https://audio.iskcondesiretree.com/02_-_ISKCON_Swamis/ISKCON_Swamis_-_R_to_Y/His_Holiness_Radhanath_Swami/Lectures/00_-_Year_wise/Devotional_Nectar_-_2004/VOL_11/08_Deliverance_of_Bakasura_Sunday_Feast_London_-_Radhanath_Swami_2004-08-22_IDesireTree.mp3", "08_Deliverance_of_Bakasura_Sunday_Feast_London_-_Radhanath_Swami_2004-08-22_IDesireTree.mp3")</f>
        <v>08_Deliverance_of_Bakasura_Sunday_Feast_London_-_Radhanath_Swami_2004-08-22_IDesireTree.mp3</v>
      </c>
      <c r="D2054" s="24"/>
      <c r="E2054" s="24"/>
    </row>
    <row r="2055">
      <c r="A2055" s="25" t="s">
        <v>18352</v>
      </c>
      <c r="B2055" s="25" t="s">
        <v>18368</v>
      </c>
      <c r="C2055" s="26" t="str">
        <f>HYPERLINK("https://audio.iskcondesiretree.com/02_-_ISKCON_Swamis/ISKCON_Swamis_-_R_to_Y/His_Holiness_Radhanath_Swami/Lectures/00_-_Year_wise/Devotional_Nectar_-_2004/VOL_11/09_Aspiring_to_Serve_Birth_after_Birth_SB-04_30_33_Mumbai_-_04-09-04_IDesireTree.mp3", "09_Aspiring_to_Serve_Birth_after_Birth_SB-04_30_33_Mumbai_-_04-09-04_IDesireTree.mp3")</f>
        <v>09_Aspiring_to_Serve_Birth_after_Birth_SB-04_30_33_Mumbai_-_04-09-04_IDesireTree.mp3</v>
      </c>
      <c r="D2055" s="24"/>
      <c r="E2055" s="24"/>
    </row>
    <row r="2056">
      <c r="A2056" s="25" t="s">
        <v>18352</v>
      </c>
      <c r="B2056" s="25" t="s">
        <v>18368</v>
      </c>
      <c r="C2056" s="26" t="str">
        <f>HYPERLINK("https://audio.iskcondesiretree.com/02_-_ISKCON_Swamis/ISKCON_Swamis_-_R_to_Y/His_Holiness_Radhanath_Swami/Lectures/00_-_Year_wise/Devotional_Nectar_-_2004/VOL_11/10_Immense_Value_of_Association_SB-4_30_34_Mumbai_-_05-09-04_IDesireTree.mp3", "10_Immense_Value_of_Association_SB-4_30_34_Mumbai_-_05-09-04_IDesireTree.mp3")</f>
        <v>10_Immense_Value_of_Association_SB-4_30_34_Mumbai_-_05-09-04_IDesireTree.mp3</v>
      </c>
      <c r="D2056" s="24"/>
      <c r="E2056" s="24"/>
    </row>
    <row r="2057">
      <c r="A2057" s="25" t="s">
        <v>18352</v>
      </c>
      <c r="B2057" s="25" t="s">
        <v>18368</v>
      </c>
      <c r="C2057" s="26" t="str">
        <f>HYPERLINK("https://audio.iskcondesiretree.com/02_-_ISKCON_Swamis/ISKCON_Swamis_-_R_to_Y/His_Holiness_Radhanath_Swami/Lectures/00_-_Year_wise/Devotional_Nectar_-_2004/VOL_11/11_Benefits_of_Hearing_Transcendental_Topics_Sunday_Feast_Mumbai_-_05-09-04_IDesireTree.mp3", "11_Benefits_of_Hearing_Transcendental_Topics_Sunday_Feast_Mumbai_-_05-09-04_IDesireTree.mp3")</f>
        <v>11_Benefits_of_Hearing_Transcendental_Topics_Sunday_Feast_Mumbai_-_05-09-04_IDesireTree.mp3</v>
      </c>
      <c r="D2057" s="24"/>
      <c r="E2057" s="24"/>
    </row>
    <row r="2058">
      <c r="A2058" s="25" t="s">
        <v>18352</v>
      </c>
      <c r="B2058" s="25" t="s">
        <v>18368</v>
      </c>
      <c r="C2058" s="26" t="str">
        <f>HYPERLINK("https://audio.iskcondesiretree.com/02_-_ISKCON_Swamis/ISKCON_Swamis_-_R_to_Y/His_Holiness_Radhanath_Swami/Lectures/00_-_Year_wise/Devotional_Nectar_-_2004/VOL_12/01_Appearance_of_Lord_Krishna_Janmashtami_Mumbai_-_Radhanath_Swami_2004-09-07_IDesireTree.mp3", "01_Appearance_of_Lord_Krishna_Janmashtami_Mumbai_-_Radhanath_Swami_2004-09-07_IDesireTree.mp3")</f>
        <v>01_Appearance_of_Lord_Krishna_Janmashtami_Mumbai_-_Radhanath_Swami_2004-09-07_IDesireTree.mp3</v>
      </c>
      <c r="D2058" s="24"/>
      <c r="E2058" s="24"/>
    </row>
    <row r="2059">
      <c r="A2059" s="25" t="s">
        <v>18352</v>
      </c>
      <c r="B2059" s="25" t="s">
        <v>18368</v>
      </c>
      <c r="C2059" s="26" t="str">
        <f>HYPERLINK("https://audio.iskcondesiretree.com/02_-_ISKCON_Swamis/ISKCON_Swamis_-_R_to_Y/His_Holiness_Radhanath_Swami/Lectures/00_-_Year_wise/Devotional_Nectar_-_2004/VOL_12/02_Srila_Prabhupada_In_New_York_Vyas_Puja_Offering_Mumbai_-_09-09-04_IDesireTree.mp3", "02_Srila_Prabhupada_In_New_York_Vyas_Puja_Offering_Mumbai_-_09-09-04_IDesireTree.mp3")</f>
        <v>02_Srila_Prabhupada_In_New_York_Vyas_Puja_Offering_Mumbai_-_09-09-04_IDesireTree.mp3</v>
      </c>
      <c r="D2059" s="24"/>
      <c r="E2059" s="24"/>
    </row>
    <row r="2060">
      <c r="A2060" s="25" t="s">
        <v>18352</v>
      </c>
      <c r="B2060" s="25" t="s">
        <v>18368</v>
      </c>
      <c r="C2060" s="26" t="str">
        <f>HYPERLINK("https://audio.iskcondesiretree.com/02_-_ISKCON_Swamis/ISKCON_Swamis_-_R_to_Y/His_Holiness_Radhanath_Swami/Lectures/00_-_Year_wise/Devotional_Nectar_-_2004/VOL_12/03_Transforming_Garage_Like_Heart_Into_VaikunthaLecture_Mumbai_-_10-09-04_IDesireTree.mp3", "03_Transforming_Garage_Like_Heart_Into_VaikunthaLecture_Mumbai_-_10-09-04_IDesireTree.mp3")</f>
        <v>03_Transforming_Garage_Like_Heart_Into_VaikunthaLecture_Mumbai_-_10-09-04_IDesireTree.mp3</v>
      </c>
      <c r="D2060" s="24"/>
      <c r="E2060" s="24"/>
    </row>
    <row r="2061">
      <c r="A2061" s="25" t="s">
        <v>18352</v>
      </c>
      <c r="B2061" s="25" t="s">
        <v>18368</v>
      </c>
      <c r="C2061" s="26" t="str">
        <f>HYPERLINK("https://audio.iskcondesiretree.com/02_-_ISKCON_Swamis/ISKCON_Swamis_-_R_to_Y/His_Holiness_Radhanath_Swami/Lectures/00_-_Year_wise/Devotional_Nectar_-_2004/VOL_12/04_Eternal_Friendship-_Sridhar_Swami_%26_Giriraj_SwamiOffering_Mumbai_-_11-09-04_IDesireTree."&amp;"mp3", "04_Eternal_Friendship-_Sridhar_Swami_%26_Giriraj_SwamiOffering_Mumbai_-_11-09-04_IDesireTree.mp3")</f>
        <v>04_Eternal_Friendship-_Sridhar_Swami_%26_Giriraj_SwamiOffering_Mumbai_-_11-09-04_IDesireTree.mp3</v>
      </c>
      <c r="D2061" s="24"/>
      <c r="E2061" s="24"/>
    </row>
    <row r="2062">
      <c r="A2062" s="25" t="s">
        <v>18352</v>
      </c>
      <c r="B2062" s="25" t="s">
        <v>18368</v>
      </c>
      <c r="C2062" s="26" t="str">
        <f>HYPERLINK("https://audio.iskcondesiretree.com/02_-_ISKCON_Swamis/ISKCON_Swamis_-_R_to_Y/His_Holiness_Radhanath_Swami/Lectures/00_-_Year_wise/Devotional_Nectar_-_2004/VOL_12/05_Who_is_Real_Aryan_SB-5_30_39_Mumbai_-_Radhanath_Swami_2004-09-12_IDesireTree.mp3", "05_Who_is_Real_Aryan_SB-5_30_39_Mumbai_-_Radhanath_Swami_2004-09-12_IDesireTree.mp3")</f>
        <v>05_Who_is_Real_Aryan_SB-5_30_39_Mumbai_-_Radhanath_Swami_2004-09-12_IDesireTree.mp3</v>
      </c>
      <c r="D2062" s="24"/>
      <c r="E2062" s="24"/>
    </row>
    <row r="2063">
      <c r="A2063" s="25" t="s">
        <v>18352</v>
      </c>
      <c r="B2063" s="25" t="s">
        <v>18368</v>
      </c>
      <c r="C2063" s="26" t="str">
        <f>HYPERLINK("https://audio.iskcondesiretree.com/02_-_ISKCON_Swamis/ISKCON_Swamis_-_R_to_Y/His_Holiness_Radhanath_Swami/Lectures/00_-_Year_wise/Devotional_Nectar_-_2004/VOL_12/06_Learning_to_Take_Shelter_of_Krsna_Sunday_Feast_Mumbai_-_12-09-04_IDesireTree.mp3", "06_Learning_to_Take_Shelter_of_Krsna_Sunday_Feast_Mumbai_-_12-09-04_IDesireTree.mp3")</f>
        <v>06_Learning_to_Take_Shelter_of_Krsna_Sunday_Feast_Mumbai_-_12-09-04_IDesireTree.mp3</v>
      </c>
      <c r="D2063" s="24"/>
      <c r="E2063" s="24"/>
    </row>
    <row r="2064">
      <c r="A2064" s="25" t="s">
        <v>18352</v>
      </c>
      <c r="B2064" s="25" t="s">
        <v>18368</v>
      </c>
      <c r="C2064" s="26" t="str">
        <f>HYPERLINK("https://audio.iskcondesiretree.com/02_-_ISKCON_Swamis/ISKCON_Swamis_-_R_to_Y/His_Holiness_Radhanath_Swami/Lectures/00_-_Year_wise/Devotional_Nectar_-_2004/VOL_12/07_Overcoming_the_Invisible_Strings_of_Maya_SB-04_30_45_Mumbai_-_18-09-04_IDesireTree.mp3", "07_Overcoming_the_Invisible_Strings_of_Maya_SB-04_30_45_Mumbai_-_18-09-04_IDesireTree.mp3")</f>
        <v>07_Overcoming_the_Invisible_Strings_of_Maya_SB-04_30_45_Mumbai_-_18-09-04_IDesireTree.mp3</v>
      </c>
      <c r="D2064" s="24"/>
      <c r="E2064" s="24"/>
    </row>
    <row r="2065">
      <c r="A2065" s="25" t="s">
        <v>18352</v>
      </c>
      <c r="B2065" s="25" t="s">
        <v>18368</v>
      </c>
      <c r="C2065" s="26" t="str">
        <f>HYPERLINK("https://audio.iskcondesiretree.com/02_-_ISKCON_Swamis/ISKCON_Swamis_-_R_to_Y/His_Holiness_Radhanath_Swami/Lectures/00_-_Year_wise/Devotional_Nectar_-_2004/VOL_12/08_Begging_for_Compassionate_Love_Radhashtami_Mumbai_-_22-09-04_IDesireTree.mp3", "08_Begging_for_Compassionate_Love_Radhashtami_Mumbai_-_22-09-04_IDesireTree.mp3")</f>
        <v>08_Begging_for_Compassionate_Love_Radhashtami_Mumbai_-_22-09-04_IDesireTree.mp3</v>
      </c>
      <c r="D2065" s="24"/>
      <c r="E2065" s="24"/>
    </row>
    <row r="2066">
      <c r="A2066" s="25" t="s">
        <v>18352</v>
      </c>
      <c r="B2066" s="25" t="s">
        <v>18368</v>
      </c>
      <c r="C2066" s="26" t="str">
        <f>HYPERLINK("https://audio.iskcondesiretree.com/02_-_ISKCON_Swamis/ISKCON_Swamis_-_R_to_Y/His_Holiness_Radhanath_Swami/Lectures/00_-_Year_wise/Devotional_Nectar_-_2004/VOL_13/01_Crying_Out_for_Mercy_Radhashtami_Mumbai_-_Radhanath_Swami_2004-09-22_IDesireTree.mp3", "01_Crying_Out_for_Mercy_Radhashtami_Mumbai_-_Radhanath_Swami_2004-09-22_IDesireTree.mp3")</f>
        <v>01_Crying_Out_for_Mercy_Radhashtami_Mumbai_-_Radhanath_Swami_2004-09-22_IDesireTree.mp3</v>
      </c>
      <c r="D2066" s="24"/>
      <c r="E2066" s="24"/>
    </row>
    <row r="2067">
      <c r="A2067" s="25" t="s">
        <v>18352</v>
      </c>
      <c r="B2067" s="25" t="s">
        <v>18368</v>
      </c>
      <c r="C2067" s="26" t="str">
        <f>HYPERLINK("https://audio.iskcondesiretree.com/02_-_ISKCON_Swamis/ISKCON_Swamis_-_R_to_Y/His_Holiness_Radhanath_Swami/Lectures/00_-_Year_wise/Devotional_Nectar_-_2004/VOL_13/02_The_Art_of_Forgiveness_Prerana_Mumbai_-_Radhanath_Swami_2004-09-18_IDesireTree.mp3", "02_The_Art_of_Forgiveness_Prerana_Mumbai_-_Radhanath_Swami_2004-09-18_IDesireTree.mp3")</f>
        <v>02_The_Art_of_Forgiveness_Prerana_Mumbai_-_Radhanath_Swami_2004-09-18_IDesireTree.mp3</v>
      </c>
      <c r="D2067" s="24"/>
      <c r="E2067" s="24"/>
    </row>
    <row r="2068">
      <c r="A2068" s="25" t="s">
        <v>18352</v>
      </c>
      <c r="B2068" s="25" t="s">
        <v>18368</v>
      </c>
      <c r="C2068" s="26" t="str">
        <f>HYPERLINK("https://audio.iskcondesiretree.com/02_-_ISKCON_Swamis/ISKCON_Swamis_-_R_to_Y/His_Holiness_Radhanath_Swami/Lectures/00_-_Year_wise/Devotional_Nectar_-_2004/VOL_13/03_While_in_Pandharpur_Lecture_Pandharpur_-_Radhanath_Swami_2004-09-19_IDesireTree.mp3", "03_While_in_Pandharpur_Lecture_Pandharpur_-_Radhanath_Swami_2004-09-19_IDesireTree.mp3")</f>
        <v>03_While_in_Pandharpur_Lecture_Pandharpur_-_Radhanath_Swami_2004-09-19_IDesireTree.mp3</v>
      </c>
      <c r="D2068" s="24"/>
      <c r="E2068" s="24"/>
    </row>
    <row r="2069">
      <c r="A2069" s="25" t="s">
        <v>18352</v>
      </c>
      <c r="B2069" s="25" t="s">
        <v>18368</v>
      </c>
      <c r="C2069" s="26" t="str">
        <f>HYPERLINK("https://audio.iskcondesiretree.com/02_-_ISKCON_Swamis/ISKCON_Swamis_-_R_to_Y/His_Holiness_Radhanath_Swami/Lectures/00_-_Year_wise/Devotional_Nectar_-_2004/VOL_13/04_Pandharpur-_A_Place_of_Immense_Spirituality_Lecture_Pandharpur_-_20-09-04_IDesireTree.mp3", "04_Pandharpur-_A_Place_of_Immense_Spirituality_Lecture_Pandharpur_-_20-09-04_IDesireTree.mp3")</f>
        <v>04_Pandharpur-_A_Place_of_Immense_Spirituality_Lecture_Pandharpur_-_20-09-04_IDesireTree.mp3</v>
      </c>
      <c r="D2069" s="24"/>
      <c r="E2069" s="24"/>
    </row>
    <row r="2070">
      <c r="A2070" s="25" t="s">
        <v>18352</v>
      </c>
      <c r="B2070" s="25" t="s">
        <v>18368</v>
      </c>
      <c r="C2070" s="26" t="str">
        <f>HYPERLINK("https://audio.iskcondesiretree.com/02_-_ISKCON_Swamis/ISKCON_Swamis_-_R_to_Y/His_Holiness_Radhanath_Swami/Lectures/00_-_Year_wise/Devotional_Nectar_-_2004/VOL_13/05_Root_of_All_Causes_SB-04_31_18_Mumbai_-_Radhanath_Swami_2004-10-16_IDesireTree.mp3", "05_Root_of_All_Causes_SB-04_31_18_Mumbai_-_Radhanath_Swami_2004-10-16_IDesireTree.mp3")</f>
        <v>05_Root_of_All_Causes_SB-04_31_18_Mumbai_-_Radhanath_Swami_2004-10-16_IDesireTree.mp3</v>
      </c>
      <c r="D2070" s="24"/>
      <c r="E2070" s="24"/>
    </row>
    <row r="2071">
      <c r="A2071" s="25" t="s">
        <v>18352</v>
      </c>
      <c r="B2071" s="25" t="s">
        <v>18368</v>
      </c>
      <c r="C2071" s="26" t="str">
        <f>HYPERLINK("https://audio.iskcondesiretree.com/02_-_ISKCON_Swamis/ISKCON_Swamis_-_R_to_Y/His_Holiness_Radhanath_Swami/Lectures/00_-_Year_wise/Devotional_Nectar_-_2004/VOL_13/06_The_Power_of_Positive_Atittude_Prerana_Mumbai_-_Radhanath_Swami_2004-10-16_IDesireTree.mp3", "06_The_Power_of_Positive_Atittude_Prerana_Mumbai_-_Radhanath_Swami_2004-10-16_IDesireTree.mp3")</f>
        <v>06_The_Power_of_Positive_Atittude_Prerana_Mumbai_-_Radhanath_Swami_2004-10-16_IDesireTree.mp3</v>
      </c>
      <c r="D2071" s="24"/>
      <c r="E2071" s="24"/>
    </row>
    <row r="2072">
      <c r="A2072" s="25" t="s">
        <v>18352</v>
      </c>
      <c r="B2072" s="25" t="s">
        <v>18368</v>
      </c>
      <c r="C2072" s="26" t="str">
        <f>HYPERLINK("https://audio.iskcondesiretree.com/02_-_ISKCON_Swamis/ISKCON_Swamis_-_R_to_Y/His_Holiness_Radhanath_Swami/Lectures/00_-_Year_wise/Devotional_Nectar_-_2004/VOL_13/07_Showing_Real_Compassion_Thru_Preaching_SB-04_31_19_Mumbai_-_17-10-04_IDesireTree.mp3", "07_Showing_Real_Compassion_Thru_Preaching_SB-04_31_19_Mumbai_-_17-10-04_IDesireTree.mp3")</f>
        <v>07_Showing_Real_Compassion_Thru_Preaching_SB-04_31_19_Mumbai_-_17-10-04_IDesireTree.mp3</v>
      </c>
      <c r="D2072" s="24"/>
      <c r="E2072" s="24"/>
    </row>
    <row r="2073">
      <c r="A2073" s="25" t="s">
        <v>18352</v>
      </c>
      <c r="B2073" s="25" t="s">
        <v>18368</v>
      </c>
      <c r="C2073" s="26" t="str">
        <f>HYPERLINK("https://audio.iskcondesiretree.com/02_-_ISKCON_Swamis/ISKCON_Swamis_-_R_to_Y/His_Holiness_Radhanath_Swami/Lectures/00_-_Year_wise/Devotional_Nectar_-_2004/VOL_13/08_Brahma_Vimohan_Lila_Sunday_Feast_Mumbai_-_Radhanath_Swami_2004-10-17_IDesireTree.mp3", "08_Brahma_Vimohan_Lila_Sunday_Feast_Mumbai_-_Radhanath_Swami_2004-10-17_IDesireTree.mp3")</f>
        <v>08_Brahma_Vimohan_Lila_Sunday_Feast_Mumbai_-_Radhanath_Swami_2004-10-17_IDesireTree.mp3</v>
      </c>
      <c r="D2073" s="24"/>
      <c r="E2073" s="24"/>
    </row>
    <row r="2074">
      <c r="A2074" s="25" t="s">
        <v>18352</v>
      </c>
      <c r="B2074" s="25" t="s">
        <v>18368</v>
      </c>
      <c r="C2074" s="26" t="str">
        <f>HYPERLINK("https://audio.iskcondesiretree.com/02_-_ISKCON_Swamis/ISKCON_Swamis_-_R_to_Y/His_Holiness_Radhanath_Swami/Lectures/00_-_Year_wise/Devotional_Nectar_-_2004/VOL_14/01_Real_Meaning_of_Yajna_Mumbai_-_Radhanath_Swami_2004-10-22_IDesireTree.mp3", "01_Real_Meaning_of_Yajna_Mumbai_-_Radhanath_Swami_2004-10-22_IDesireTree.mp3")</f>
        <v>01_Real_Meaning_of_Yajna_Mumbai_-_Radhanath_Swami_2004-10-22_IDesireTree.mp3</v>
      </c>
      <c r="D2074" s="24"/>
      <c r="E2074" s="24"/>
    </row>
    <row r="2075">
      <c r="A2075" s="25" t="s">
        <v>18352</v>
      </c>
      <c r="B2075" s="25" t="s">
        <v>18368</v>
      </c>
      <c r="C2075" s="26" t="str">
        <f>HYPERLINK("https://audio.iskcondesiretree.com/02_-_ISKCON_Swamis/ISKCON_Swamis_-_R_to_Y/His_Holiness_Radhanath_Swami/Lectures/00_-_Year_wise/Devotional_Nectar_-_2004/VOL_14/02_Philosophy_Without_Good_Character_has_no_Meaning_Lecture_Mumbai_-_23-10-04_IDesireTree.mp3", "02_Philosophy_Without_Good_Character_has_no_Meaning_Lecture_Mumbai_-_23-10-04_IDesireTree.mp3")</f>
        <v>02_Philosophy_Without_Good_Character_has_no_Meaning_Lecture_Mumbai_-_23-10-04_IDesireTree.mp3</v>
      </c>
      <c r="D2075" s="24"/>
      <c r="E2075" s="24"/>
    </row>
    <row r="2076">
      <c r="A2076" s="25" t="s">
        <v>18352</v>
      </c>
      <c r="B2076" s="25" t="s">
        <v>18368</v>
      </c>
      <c r="C2076" s="26" t="str">
        <f>HYPERLINK("https://audio.iskcondesiretree.com/02_-_ISKCON_Swamis/ISKCON_Swamis_-_R_to_Y/His_Holiness_Radhanath_Swami/Lectures/00_-_Year_wise/Devotional_Nectar_-_2004/VOL_14/03_Purifying_One%E2%80%99s_Existence_Through_Initiation_Initiation_Lecture_Mumbai_-_24-10-04_"&amp;"IDesireTree.mp3", "03_Purifying_One%E2%80%99s_Existence_Through_Initiation_Initiation_Lecture_Mumbai_-_24-10-04_IDesireTree.mp3")</f>
        <v>03_Purifying_One%E2%80%99s_Existence_Through_Initiation_Initiation_Lecture_Mumbai_-_24-10-04_IDesireTree.mp3</v>
      </c>
      <c r="D2076" s="24"/>
      <c r="E2076" s="24"/>
    </row>
    <row r="2077">
      <c r="A2077" s="25" t="s">
        <v>18352</v>
      </c>
      <c r="B2077" s="25" t="s">
        <v>18368</v>
      </c>
      <c r="C2077" s="26" t="str">
        <f>HYPERLINK("https://audio.iskcondesiretree.com/02_-_ISKCON_Swamis/ISKCON_Swamis_-_R_to_Y/His_Holiness_Radhanath_Swami/Lectures/00_-_Year_wise/Devotional_Nectar_-_2004/VOL_14/04_Willingness_to_Take_Humble_Position_%26_Forgive_Sunday_Feast_Mumbai_-_24-10-04_IDesireTree"&amp;".mp3", "04_Willingness_to_Take_Humble_Position_%26_Forgive_Sunday_Feast_Mumbai_-_24-10-04_IDesireTree.mp3")</f>
        <v>04_Willingness_to_Take_Humble_Position_%26_Forgive_Sunday_Feast_Mumbai_-_24-10-04_IDesireTree.mp3</v>
      </c>
      <c r="D2077" s="24"/>
      <c r="E2077" s="24"/>
    </row>
    <row r="2078">
      <c r="A2078" s="25" t="s">
        <v>18352</v>
      </c>
      <c r="B2078" s="25" t="s">
        <v>18368</v>
      </c>
      <c r="C2078" s="26" t="str">
        <f>HYPERLINK("https://audio.iskcondesiretree.com/02_-_ISKCON_Swamis/ISKCON_Swamis_-_R_to_Y/His_Holiness_Radhanath_Swami/Lectures/00_-_Year_wise/Devotional_Nectar_-_2004/VOL_14/05_Preachers_Must_Have_Compassionate_Heart_like_Vidura_SB-04_31_30-31_Mumbai_-_30-10-04_IDesi"&amp;"reTree.mp3", "05_Preachers_Must_Have_Compassionate_Heart_like_Vidura_SB-04_31_30-31_Mumbai_-_30-10-04_IDesireTree.mp3")</f>
        <v>05_Preachers_Must_Have_Compassionate_Heart_like_Vidura_SB-04_31_30-31_Mumbai_-_30-10-04_IDesireTree.mp3</v>
      </c>
      <c r="D2078" s="24"/>
      <c r="E2078" s="24"/>
    </row>
    <row r="2079">
      <c r="A2079" s="25" t="s">
        <v>18352</v>
      </c>
      <c r="B2079" s="25" t="s">
        <v>18368</v>
      </c>
      <c r="C2079" s="26" t="str">
        <f>HYPERLINK("https://audio.iskcondesiretree.com/02_-_ISKCON_Swamis/ISKCON_Swamis_-_R_to_Y/His_Holiness_Radhanath_Swami/Lectures/00_-_Year_wise/Devotional_Nectar_-_2004/VOL_14/06_Service_as_Center_of_Varnashram_SB-05_01_01_Mumbai_-_31-10-04_IDesireTree.mp3", "06_Service_as_Center_of_Varnashram_SB-05_01_01_Mumbai_-_31-10-04_IDesireTree.mp3")</f>
        <v>06_Service_as_Center_of_Varnashram_SB-05_01_01_Mumbai_-_31-10-04_IDesireTree.mp3</v>
      </c>
      <c r="D2079" s="24"/>
      <c r="E2079" s="24"/>
    </row>
    <row r="2080">
      <c r="A2080" s="25" t="s">
        <v>18352</v>
      </c>
      <c r="B2080" s="25" t="s">
        <v>18368</v>
      </c>
      <c r="C2080" s="26" t="str">
        <f>HYPERLINK("https://audio.iskcondesiretree.com/02_-_ISKCON_Swamis/ISKCON_Swamis_-_R_to_Y/His_Holiness_Radhanath_Swami/Lectures/00_-_Year_wise/Devotional_Nectar_-_2004/VOL_14/07_Festivals_of_Kartik_Sunday_Feast_Lecture_Mumbai_-_31-10-04_IDesireTree.mp3", "07_Festivals_of_Kartik_Sunday_Feast_Lecture_Mumbai_-_31-10-04_IDesireTree.mp3")</f>
        <v>07_Festivals_of_Kartik_Sunday_Feast_Lecture_Mumbai_-_31-10-04_IDesireTree.mp3</v>
      </c>
      <c r="D2080" s="24"/>
      <c r="E2080" s="24"/>
    </row>
    <row r="2081">
      <c r="A2081" s="25" t="s">
        <v>18352</v>
      </c>
      <c r="B2081" s="25" t="s">
        <v>18368</v>
      </c>
      <c r="C2081" s="26" t="str">
        <f>HYPERLINK("https://audio.iskcondesiretree.com/02_-_ISKCON_Swamis/ISKCON_Swamis_-_R_to_Y/His_Holiness_Radhanath_Swami/Lectures/00_-_Year_wise/Devotional_Nectar_-_2004/VOL_14/08_Krishna_Controlled_by_the_Love_of_His_Devotees_SB-02_04_12_KB_Mandir_-_25-11-04_IDesireTre"&amp;"e.mp3", "08_Krishna_Controlled_by_the_Love_of_His_Devotees_SB-02_04_12_KB_Mandir_-_25-11-04_IDesireTree.mp3")</f>
        <v>08_Krishna_Controlled_by_the_Love_of_His_Devotees_SB-02_04_12_KB_Mandir_-_25-11-04_IDesireTree.mp3</v>
      </c>
      <c r="D2081" s="24"/>
      <c r="E2081" s="24"/>
    </row>
    <row r="2082">
      <c r="A2082" s="25" t="s">
        <v>18352</v>
      </c>
      <c r="B2082" s="25" t="s">
        <v>18368</v>
      </c>
      <c r="C2082" s="26" t="str">
        <f>HYPERLINK("https://audio.iskcondesiretree.com/02_-_ISKCON_Swamis/ISKCON_Swamis_-_R_to_Y/His_Holiness_Radhanath_Swami/Lectures/00_-_Year_wise/Devotional_Nectar_-_2004/VOL_14/09_Compassion-_The_Real_Spirit_of_Renunciation_SB-05_01_25-26_Mumbai_-_28-11-04_IDesireTree.m"&amp;"p3", "09_Compassion-_The_Real_Spirit_of_Renunciation_SB-05_01_25-26_Mumbai_-_28-11-04_IDesireTree.mp3")</f>
        <v>09_Compassion-_The_Real_Spirit_of_Renunciation_SB-05_01_25-26_Mumbai_-_28-11-04_IDesireTree.mp3</v>
      </c>
      <c r="D2082" s="24"/>
      <c r="E2082" s="24"/>
    </row>
    <row r="2083">
      <c r="A2083" s="25" t="s">
        <v>18352</v>
      </c>
      <c r="B2083" s="25" t="s">
        <v>18368</v>
      </c>
      <c r="C2083" s="26" t="str">
        <f>HYPERLINK("https://audio.iskcondesiretree.com/02_-_ISKCON_Swamis/ISKCON_Swamis_-_R_to_Y/His_Holiness_Radhanath_Swami/Lectures/00_-_Year_wise/Devotional_Nectar_-_2004/VOL_14/10_Jagadananda_Pandit%27s_Love_Conquers_Lord_Caitanya_Sunday_Feast_Mumbai_-__28-11-04_IDesire"&amp;"Tree.mp3", "10_Jagadananda_Pandit%27s_Love_Conquers_Lord_Caitanya_Sunday_Feast_Mumbai_-__28-11-04_IDesireTree.mp3")</f>
        <v>10_Jagadananda_Pandit%27s_Love_Conquers_Lord_Caitanya_Sunday_Feast_Mumbai_-__28-11-04_IDesireTree.mp3</v>
      </c>
      <c r="D2083" s="24"/>
      <c r="E2083" s="24"/>
    </row>
    <row r="2084">
      <c r="A2084" s="25" t="s">
        <v>18352</v>
      </c>
      <c r="B2084" s="25" t="s">
        <v>18368</v>
      </c>
      <c r="C2084" s="26" t="str">
        <f>HYPERLINK("https://audio.iskcondesiretree.com/02_-_ISKCON_Swamis/ISKCON_Swamis_-_R_to_Y/His_Holiness_Radhanath_Swami/Lectures/00_-_Year_wise/Devotional_Nectar_-_2004/VOL_15/01_Why_Do_Bad_Things_Happen_to_Good_People_Prerana_Mumbai_-_30-11-04_IDesireTree.mp3", "01_Why_Do_Bad_Things_Happen_to_Good_People_Prerana_Mumbai_-_30-11-04_IDesireTree.mp3")</f>
        <v>01_Why_Do_Bad_Things_Happen_to_Good_People_Prerana_Mumbai_-_30-11-04_IDesireTree.mp3</v>
      </c>
      <c r="D2084" s="24"/>
      <c r="E2084" s="24"/>
    </row>
    <row r="2085">
      <c r="A2085" s="25" t="s">
        <v>18352</v>
      </c>
      <c r="B2085" s="25" t="s">
        <v>18368</v>
      </c>
      <c r="C2085" s="26" t="str">
        <f>HYPERLINK("https://audio.iskcondesiretree.com/02_-_ISKCON_Swamis/ISKCON_Swamis_-_R_to_Y/His_Holiness_Radhanath_Swami/Lectures/00_-_Year_wise/Devotional_Nectar_-_2004/VOL_15/02_Who_is_Crazy_Chetana_Mumbai_-_Radhanath_Swami_2004-12-04_IDesireTree.mp3", "02_Who_is_Crazy_Chetana_Mumbai_-_Radhanath_Swami_2004-12-04_IDesireTree.mp3")</f>
        <v>02_Who_is_Crazy_Chetana_Mumbai_-_Radhanath_Swami_2004-12-04_IDesireTree.mp3</v>
      </c>
      <c r="D2085" s="24"/>
      <c r="E2085" s="24"/>
    </row>
    <row r="2086">
      <c r="A2086" s="25" t="s">
        <v>18352</v>
      </c>
      <c r="B2086" s="25" t="s">
        <v>18368</v>
      </c>
      <c r="C2086" s="26" t="str">
        <f>HYPERLINK("https://audio.iskcondesiretree.com/02_-_ISKCON_Swamis/ISKCON_Swamis_-_R_to_Y/His_Holiness_Radhanath_Swami/Lectures/00_-_Year_wise/Devotional_Nectar_-_2004/VOL_15/03_Benefits_of_Taking_Shelter_of_Lord%27s_Lotus_Feet_SB-05_01_35_Mumbai_-_05-12-04_IDesireTre"&amp;"e.mp3", "03_Benefits_of_Taking_Shelter_of_Lord%27s_Lotus_Feet_SB-05_01_35_Mumbai_-_05-12-04_IDesireTree.mp3")</f>
        <v>03_Benefits_of_Taking_Shelter_of_Lord%27s_Lotus_Feet_SB-05_01_35_Mumbai_-_05-12-04_IDesireTree.mp3</v>
      </c>
      <c r="D2086" s="24"/>
      <c r="E2086" s="24"/>
    </row>
    <row r="2087">
      <c r="A2087" s="25" t="s">
        <v>18352</v>
      </c>
      <c r="B2087" s="25" t="s">
        <v>18368</v>
      </c>
      <c r="C2087" s="26" t="str">
        <f>HYPERLINK("https://audio.iskcondesiretree.com/02_-_ISKCON_Swamis/ISKCON_Swamis_-_R_to_Y/His_Holiness_Radhanath_Swami/Lectures/00_-_Year_wise/Devotional_Nectar_-_2004/VOL_15/04_Lord_Caitanya_Explains_Who_is_a_Vaisnava_Sunday_Feast_Mumbai_-_05-12-04_IDesireTree.mp3", "04_Lord_Caitanya_Explains_Who_is_a_Vaisnava_Sunday_Feast_Mumbai_-_05-12-04_IDesireTree.mp3")</f>
        <v>04_Lord_Caitanya_Explains_Who_is_a_Vaisnava_Sunday_Feast_Mumbai_-_05-12-04_IDesireTree.mp3</v>
      </c>
      <c r="D2087" s="24"/>
      <c r="E2087" s="24"/>
    </row>
    <row r="2088">
      <c r="A2088" s="25" t="s">
        <v>18352</v>
      </c>
      <c r="B2088" s="25" t="s">
        <v>18368</v>
      </c>
      <c r="C2088" s="26" t="str">
        <f>HYPERLINK("https://audio.iskcondesiretree.com/02_-_ISKCON_Swamis/ISKCON_Swamis_-_R_to_Y/His_Holiness_Radhanath_Swami/Lectures/00_-_Year_wise/Devotional_Nectar_-_2004/VOL_15/05_The_Real_Meaning_of_Vyas_Puja_Lecture_Mumbai_-_Radhanath_Swami_2004-12-11_IDesireTree.mp3", "05_The_Real_Meaning_of_Vyas_Puja_Lecture_Mumbai_-_Radhanath_Swami_2004-12-11_IDesireTree.mp3")</f>
        <v>05_The_Real_Meaning_of_Vyas_Puja_Lecture_Mumbai_-_Radhanath_Swami_2004-12-11_IDesireTree.mp3</v>
      </c>
      <c r="D2088" s="24"/>
      <c r="E2088" s="24"/>
    </row>
    <row r="2089">
      <c r="A2089" s="25" t="s">
        <v>18352</v>
      </c>
      <c r="B2089" s="25" t="s">
        <v>18368</v>
      </c>
      <c r="C2089" s="26" t="str">
        <f>HYPERLINK("https://audio.iskcondesiretree.com/02_-_ISKCON_Swamis/ISKCON_Swamis_-_R_to_Y/His_Holiness_Radhanath_Swami/Lectures/00_-_Year_wise/Devotional_Nectar_-_2004/VOL_15/06_Learning_to_Completely_Depend_on_Krishna_Lecture_Mumbai_-_11-12-04_IDesireTree.mp3", "06_Learning_to_Completely_Depend_on_Krishna_Lecture_Mumbai_-_11-12-04_IDesireTree.mp3")</f>
        <v>06_Learning_to_Completely_Depend_on_Krishna_Lecture_Mumbai_-_11-12-04_IDesireTree.mp3</v>
      </c>
      <c r="D2089" s="24"/>
      <c r="E2089" s="24"/>
    </row>
    <row r="2090">
      <c r="A2090" s="25" t="s">
        <v>18352</v>
      </c>
      <c r="B2090" s="25" t="s">
        <v>18368</v>
      </c>
      <c r="C2090" s="26" t="str">
        <f>HYPERLINK("https://audio.iskcondesiretree.com/02_-_ISKCON_Swamis/ISKCON_Swamis_-_R_to_Y/His_Holiness_Radhanath_Swami/Lectures/00_-_Year_wise/Devotional_Nectar_-_2004/VOL_15/07_Cooperation_Amongst_Devotees_SB-05_01_40_Mumbai_-_12-12-04_IDesireTree.mp3", "07_Cooperation_Amongst_Devotees_SB-05_01_40_Mumbai_-_12-12-04_IDesireTree.mp3")</f>
        <v>07_Cooperation_Amongst_Devotees_SB-05_01_40_Mumbai_-_12-12-04_IDesireTree.mp3</v>
      </c>
      <c r="D2090" s="24"/>
      <c r="E2090" s="24"/>
    </row>
    <row r="2091">
      <c r="A2091" s="25" t="s">
        <v>18352</v>
      </c>
      <c r="B2091" s="25" t="s">
        <v>18368</v>
      </c>
      <c r="C2091" s="26" t="str">
        <f>HYPERLINK("https://audio.iskcondesiretree.com/02_-_ISKCON_Swamis/ISKCON_Swamis_-_R_to_Y/His_Holiness_Radhanath_Swami/Lectures/00_-_Year_wise/Devotional_Nectar_-_2004/VOL_15/08_Gauri_Das_Pandit%27s_DevotionSunday_Feast_Mumbai_-_12-12-04_IDesireTree.mp3", "08_Gauri_Das_Pandit%27s_DevotionSunday_Feast_Mumbai_-_12-12-04_IDesireTree.mp3")</f>
        <v>08_Gauri_Das_Pandit%27s_DevotionSunday_Feast_Mumbai_-_12-12-04_IDesireTree.mp3</v>
      </c>
      <c r="D2091" s="24"/>
      <c r="E2091" s="24"/>
    </row>
    <row r="2092">
      <c r="A2092" s="25" t="s">
        <v>18352</v>
      </c>
      <c r="B2092" s="25" t="s">
        <v>18368</v>
      </c>
      <c r="C2092" s="26" t="str">
        <f>HYPERLINK("https://audio.iskcondesiretree.com/02_-_ISKCON_Swamis/ISKCON_Swamis_-_R_to_Y/His_Holiness_Radhanath_Swami/Lectures/00_-_Year_wise/Devotional_Nectar_-_2004/VOL_15/09_Address_on_25th_Year_Celebration_of_Khar_Program_Lecture_Mumbai_-_17-12-04_IDesireTree.mp3", "09_Address_on_25th_Year_Celebration_of_Khar_Program_Lecture_Mumbai_-_17-12-04_IDesireTree.mp3")</f>
        <v>09_Address_on_25th_Year_Celebration_of_Khar_Program_Lecture_Mumbai_-_17-12-04_IDesireTree.mp3</v>
      </c>
      <c r="D2092" s="24"/>
      <c r="E2092" s="24"/>
    </row>
    <row r="2093">
      <c r="A2093" s="25" t="s">
        <v>18352</v>
      </c>
      <c r="B2093" s="25" t="s">
        <v>18368</v>
      </c>
      <c r="C2093" s="26" t="str">
        <f>HYPERLINK("https://audio.iskcondesiretree.com/02_-_ISKCON_Swamis/ISKCON_Swamis_-_R_to_Y/His_Holiness_Radhanath_Swami/Lectures/00_-_Year_wise/Devotional_Nectar_-_2004/VOL_16/01_Perfection_Attained_by_Perfect_Hearing_SB-03_13_48_Mumbai_-_19-12-04_IDesireTree.mp3", "01_Perfection_Attained_by_Perfect_Hearing_SB-03_13_48_Mumbai_-_19-12-04_IDesireTree.mp3")</f>
        <v>01_Perfection_Attained_by_Perfect_Hearing_SB-03_13_48_Mumbai_-_19-12-04_IDesireTree.mp3</v>
      </c>
      <c r="D2093" s="24"/>
      <c r="E2093" s="24"/>
    </row>
    <row r="2094">
      <c r="A2094" s="25" t="s">
        <v>18352</v>
      </c>
      <c r="B2094" s="25" t="s">
        <v>18368</v>
      </c>
      <c r="C2094" s="26" t="str">
        <f>HYPERLINK("https://audio.iskcondesiretree.com/02_-_ISKCON_Swamis/ISKCON_Swamis_-_R_to_Y/His_Holiness_Radhanath_Swami/Lectures/00_-_Year_wise/Devotional_Nectar_-_2004/VOL_16/02_Narasimhananda_Brahmacari%27s_Love_for_Lord_Caitanya_Sunday_Feast_Mumbai_-_19-12-04_IDesir"&amp;"eTree.mp3", "02_Narasimhananda_Brahmacari%27s_Love_for_Lord_Caitanya_Sunday_Feast_Mumbai_-_19-12-04_IDesireTree.mp3")</f>
        <v>02_Narasimhananda_Brahmacari%27s_Love_for_Lord_Caitanya_Sunday_Feast_Mumbai_-_19-12-04_IDesireTree.mp3</v>
      </c>
      <c r="D2094" s="24"/>
      <c r="E2094" s="24"/>
    </row>
    <row r="2095">
      <c r="A2095" s="25" t="s">
        <v>18352</v>
      </c>
      <c r="B2095" s="25" t="s">
        <v>18368</v>
      </c>
      <c r="C2095" s="26" t="str">
        <f>HYPERLINK("https://audio.iskcondesiretree.com/02_-_ISKCON_Swamis/ISKCON_Swamis_-_R_to_Y/His_Holiness_Radhanath_Swami/Lectures/00_-_Year_wise/Devotional_Nectar_-_2004/VOL_16/03_Sincerity_Attracts_Krishna_SB-05_03_01_Mumbai_-_Radhanath_Swami_2004-12-25_IDesireTree.mp3", "03_Sincerity_Attracts_Krishna_SB-05_03_01_Mumbai_-_Radhanath_Swami_2004-12-25_IDesireTree.mp3")</f>
        <v>03_Sincerity_Attracts_Krishna_SB-05_03_01_Mumbai_-_Radhanath_Swami_2004-12-25_IDesireTree.mp3</v>
      </c>
      <c r="D2095" s="24"/>
      <c r="E2095" s="24"/>
    </row>
    <row r="2096">
      <c r="A2096" s="25" t="s">
        <v>18352</v>
      </c>
      <c r="B2096" s="25" t="s">
        <v>18368</v>
      </c>
      <c r="C2096" s="26" t="str">
        <f>HYPERLINK("https://audio.iskcondesiretree.com/02_-_ISKCON_Swamis/ISKCON_Swamis_-_R_to_Y/His_Holiness_Radhanath_Swami/Lectures/00_-_Year_wise/Devotional_Nectar_-_2004/VOL_16/04_Teachings_of_Lord_Jesus_Christ_Lecture_Mumbai_-_Radhanath_Swami_2004-12-25_IDesireTree.mp3", "04_Teachings_of_Lord_Jesus_Christ_Lecture_Mumbai_-_Radhanath_Swami_2004-12-25_IDesireTree.mp3")</f>
        <v>04_Teachings_of_Lord_Jesus_Christ_Lecture_Mumbai_-_Radhanath_Swami_2004-12-25_IDesireTree.mp3</v>
      </c>
      <c r="D2096" s="24"/>
      <c r="E2096" s="24"/>
    </row>
    <row r="2097">
      <c r="A2097" s="25" t="s">
        <v>18352</v>
      </c>
      <c r="B2097" s="25" t="s">
        <v>18368</v>
      </c>
      <c r="C2097" s="26" t="str">
        <f>HYPERLINK("https://audio.iskcondesiretree.com/02_-_ISKCON_Swamis/ISKCON_Swamis_-_R_to_Y/His_Holiness_Radhanath_Swami/Lectures/00_-_Year_wise/Devotional_Nectar_-_2004/VOL_16/05_Bhakti_The_Wealth_of_Heart_SB-05_03_02_Mumbai_-_Radhanath_Swami_2004-12-26_IDesireTree.mp3", "05_Bhakti_The_Wealth_of_Heart_SB-05_03_02_Mumbai_-_Radhanath_Swami_2004-12-26_IDesireTree.mp3")</f>
        <v>05_Bhakti_The_Wealth_of_Heart_SB-05_03_02_Mumbai_-_Radhanath_Swami_2004-12-26_IDesireTree.mp3</v>
      </c>
      <c r="D2097" s="24"/>
      <c r="E2097" s="24"/>
    </row>
    <row r="2098">
      <c r="A2098" s="25" t="s">
        <v>18352</v>
      </c>
      <c r="B2098" s="25" t="s">
        <v>18368</v>
      </c>
      <c r="C2098" s="26" t="str">
        <f>HYPERLINK("https://audio.iskcondesiretree.com/02_-_ISKCON_Swamis/ISKCON_Swamis_-_R_to_Y/His_Holiness_Radhanath_Swami/Lectures/00_-_Year_wise/Devotional_Nectar_-_2004/VOL_16/06_Glories_of_Narahari_Sarkar_%26_Gadadhar_Das_Sunday_Feast_Mumbai_-_26-12-04_IDesireTree.mp3", "06_Glories_of_Narahari_Sarkar_%26_Gadadhar_Das_Sunday_Feast_Mumbai_-_26-12-04_IDesireTree.mp3")</f>
        <v>06_Glories_of_Narahari_Sarkar_%26_Gadadhar_Das_Sunday_Feast_Mumbai_-_26-12-04_IDesireTree.mp3</v>
      </c>
      <c r="D2098" s="24"/>
      <c r="E2098" s="24"/>
    </row>
    <row r="2099">
      <c r="A2099" s="25" t="s">
        <v>18352</v>
      </c>
      <c r="B2099" s="25" t="s">
        <v>18368</v>
      </c>
      <c r="C2099" s="26" t="str">
        <f>HYPERLINK("https://audio.iskcondesiretree.com/02_-_ISKCON_Swamis/ISKCON_Swamis_-_R_to_Y/His_Holiness_Radhanath_Swami/Lectures/00_-_Year_wise/Devotional_Nectar_-_2004/VOL_16/07_Instructions_Of_Srila_Bhaktisiddhanta_Saraswati_Thakur_Lecture_Mumbai_-_30-12-04_IDesireTr"&amp;"ee.mp3", "07_Instructions_Of_Srila_Bhaktisiddhanta_Saraswati_Thakur_Lecture_Mumbai_-_30-12-04_IDesireTree.mp3")</f>
        <v>07_Instructions_Of_Srila_Bhaktisiddhanta_Saraswati_Thakur_Lecture_Mumbai_-_30-12-04_IDesireTree.mp3</v>
      </c>
      <c r="D2099" s="24"/>
      <c r="E2099" s="24"/>
    </row>
    <row r="2100">
      <c r="A2100" s="25" t="s">
        <v>18352</v>
      </c>
      <c r="B2100" s="25" t="s">
        <v>18368</v>
      </c>
      <c r="C2100" s="26" t="str">
        <f>HYPERLINK("https://audio.iskcondesiretree.com/02_-_ISKCON_Swamis/ISKCON_Swamis_-_R_to_Y/His_Holiness_Radhanath_Swami/Lectures/00_-_Year_wise/Devotional_Nectar_-_2004/VOL_16/08_New_Year_Resolution_Prerana_Mumbai_-_Radhanath_Swami_2004-12-31_IDesireTree.mp3", "08_New_Year_Resolution_Prerana_Mumbai_-_Radhanath_Swami_2004-12-31_IDesireTree.mp3")</f>
        <v>08_New_Year_Resolution_Prerana_Mumbai_-_Radhanath_Swami_2004-12-31_IDesireTree.mp3</v>
      </c>
      <c r="D2100" s="24"/>
      <c r="E2100" s="24"/>
    </row>
    <row r="2101">
      <c r="A2101" s="25" t="s">
        <v>18352</v>
      </c>
      <c r="B2101" s="25" t="s">
        <v>18368</v>
      </c>
      <c r="C2101" s="26" t="str">
        <f>HYPERLINK("https://audio.iskcondesiretree.com/02_-_ISKCON_Swamis/ISKCON_Swamis_-_R_to_Y/His_Holiness_Radhanath_Swami/Lectures/00_-_Year_wise/Devotional_Nectar_-_2004/VOL_16/09_What_is_Real_Greatness_Goloka_Dham_Germany_-_Radhanath_Swami_2004_IDesireTree.mp3", "09_What_is_Real_Greatness_Goloka_Dham_Germany_-_Radhanath_Swami_2004_IDesireTree.mp3")</f>
        <v>09_What_is_Real_Greatness_Goloka_Dham_Germany_-_Radhanath_Swami_2004_IDesireTree.mp3</v>
      </c>
      <c r="D2101" s="24"/>
      <c r="E2101" s="24"/>
    </row>
    <row r="2102">
      <c r="A2102" s="25" t="s">
        <v>18352</v>
      </c>
      <c r="B2102" s="25" t="s">
        <v>18368</v>
      </c>
      <c r="C2102" s="26" t="str">
        <f>HYPERLINK("https://audio.iskcondesiretree.com/02_-_ISKCON_Swamis/ISKCON_Swamis_-_R_to_Y/His_Holiness_Radhanath_Swami/Lectures/00_-_Year_wise/Devotional_Nectar_-_2004/VOL_17/2004-11-28_Srimad_Bhagavatam_ISKCON_Chowpatty_-_Radhanath_Swami_IDesireTree.mp3", "2004-11-28_Srimad_Bhagavatam_ISKCON_Chowpatty_-_Radhanath_Swami_IDesireTree.mp3")</f>
        <v>2004-11-28_Srimad_Bhagavatam_ISKCON_Chowpatty_-_Radhanath_Swami_IDesireTree.mp3</v>
      </c>
      <c r="D2102" s="24"/>
      <c r="E2102" s="24"/>
    </row>
    <row r="2103">
      <c r="A2103" s="25" t="s">
        <v>18352</v>
      </c>
      <c r="B2103" s="25" t="s">
        <v>18368</v>
      </c>
      <c r="C2103" s="26" t="str">
        <f>HYPERLINK("https://audio.iskcondesiretree.com/02_-_ISKCON_Swamis/ISKCON_Swamis_-_R_to_Y/His_Holiness_Radhanath_Swami/Lectures/00_-_Year_wise/Devotional_Nectar_-_2004/VOL_17/2004-11-28_Sunday_Feast_ISKCON_Chowpatty_-_Radhanath_Swami_IDesireTree.mp3", "2004-11-28_Sunday_Feast_ISKCON_Chowpatty_-_Radhanath_Swami_IDesireTree.mp3")</f>
        <v>2004-11-28_Sunday_Feast_ISKCON_Chowpatty_-_Radhanath_Swami_IDesireTree.mp3</v>
      </c>
      <c r="D2103" s="24"/>
      <c r="E2103" s="24"/>
    </row>
    <row r="2104">
      <c r="A2104" s="25" t="s">
        <v>18352</v>
      </c>
      <c r="B2104" s="25" t="s">
        <v>18369</v>
      </c>
      <c r="C2104" s="26" t="str">
        <f>HYPERLINK("https://audio.iskcondesiretree.com/02_-_ISKCON_Swamis/ISKCON_Swamis_-_R_to_Y/His_Holiness_Radhanath_Swami/Lectures/00_-_Year_wise/Devotional_Nectar_-_2005/More/2005-04-08_SB_03-21-19_-_Radhanath_Swami_San_Casciano.mp3", "2005-04-08_SB_03-21-19_-_Radhanath_Swami_San_Casciano.mp3")</f>
        <v>2005-04-08_SB_03-21-19_-_Radhanath_Swami_San_Casciano.mp3</v>
      </c>
      <c r="D2104" s="24"/>
      <c r="E2104" s="24"/>
    </row>
    <row r="2105">
      <c r="A2105" s="25" t="s">
        <v>18352</v>
      </c>
      <c r="B2105" s="25" t="s">
        <v>18369</v>
      </c>
      <c r="C2105" s="26" t="str">
        <f>HYPERLINK("https://audio.iskcondesiretree.com/02_-_ISKCON_Swamis/ISKCON_Swamis_-_R_to_Y/His_Holiness_Radhanath_Swami/Lectures/00_-_Year_wise/Devotional_Nectar_-_2005/More/2005-04-08_Various_-_Without_enthusiasm_there_is_no_life_to_our_Devotional_Service_-_RNS_San_Ca"&amp;"sciano.mp3", "2005-04-08_Various_-_Without_enthusiasm_there_is_no_life_to_our_Devotional_Service_-_RNS_San_Casciano.mp3")</f>
        <v>2005-04-08_Various_-_Without_enthusiasm_there_is_no_life_to_our_Devotional_Service_-_RNS_San_Casciano.mp3</v>
      </c>
      <c r="D2105" s="24"/>
      <c r="E2105" s="24"/>
    </row>
    <row r="2106">
      <c r="A2106" s="25" t="s">
        <v>18352</v>
      </c>
      <c r="B2106" s="25" t="s">
        <v>18369</v>
      </c>
      <c r="C2106" s="26" t="str">
        <f>HYPERLINK("https://audio.iskcondesiretree.com/02_-_ISKCON_Swamis/ISKCON_Swamis_-_R_to_Y/His_Holiness_Radhanath_Swami/Lectures/00_-_Year_wise/Devotional_Nectar_-_2005/More/2005-04-09_SB_03-21-20_-_Radhanath_Swami_San_Casciano.mp3", "2005-04-09_SB_03-21-20_-_Radhanath_Swami_San_Casciano.mp3")</f>
        <v>2005-04-09_SB_03-21-20_-_Radhanath_Swami_San_Casciano.mp3</v>
      </c>
      <c r="D2106" s="24"/>
      <c r="E2106" s="24"/>
    </row>
    <row r="2107">
      <c r="A2107" s="25" t="s">
        <v>18352</v>
      </c>
      <c r="B2107" s="25" t="s">
        <v>18369</v>
      </c>
      <c r="C2107" s="26" t="str">
        <f>HYPERLINK("https://audio.iskcondesiretree.com/02_-_ISKCON_Swamis/ISKCON_Swamis_-_R_to_Y/His_Holiness_Radhanath_Swami/Lectures/00_-_Year_wise/Devotional_Nectar_-_2005/More/2005-07-10_SB_07-04-40_-_Radhanath_Swami.mp3", "2005-07-10_SB_07-04-40_-_Radhanath_Swami.mp3")</f>
        <v>2005-07-10_SB_07-04-40_-_Radhanath_Swami.mp3</v>
      </c>
      <c r="D2107" s="24"/>
      <c r="E2107" s="24"/>
    </row>
    <row r="2108">
      <c r="A2108" s="25" t="s">
        <v>18352</v>
      </c>
      <c r="B2108" s="25" t="s">
        <v>18369</v>
      </c>
      <c r="C2108" s="26" t="str">
        <f>HYPERLINK("https://audio.iskcondesiretree.com/02_-_ISKCON_Swamis/ISKCON_Swamis_-_R_to_Y/His_Holiness_Radhanath_Swami/Lectures/00_-_Year_wise/Devotional_Nectar_-_2005/More/2005-08-03_Various_-_The_danger_of_Pride_-_Radhanath_Swami_Albettone.mp3", "2005-08-03_Various_-_The_danger_of_Pride_-_Radhanath_Swami_Albettone.mp3")</f>
        <v>2005-08-03_Various_-_The_danger_of_Pride_-_Radhanath_Swami_Albettone.mp3</v>
      </c>
      <c r="D2108" s="24"/>
      <c r="E2108" s="24"/>
    </row>
    <row r="2109">
      <c r="A2109" s="25" t="s">
        <v>18352</v>
      </c>
      <c r="B2109" s="25" t="s">
        <v>18369</v>
      </c>
      <c r="C2109" s="26" t="str">
        <f>HYPERLINK("https://audio.iskcondesiretree.com/02_-_ISKCON_Swamis/ISKCON_Swamis_-_R_to_Y/His_Holiness_Radhanath_Swami/Lectures/00_-_Year_wise/Devotional_Nectar_-_2005/More/2005-08-04_SB_02-01-07_-_Radhanath_Swami_Albettone.mp3", "2005-08-04_SB_02-01-07_-_Radhanath_Swami_Albettone.mp3")</f>
        <v>2005-08-04_SB_02-01-07_-_Radhanath_Swami_Albettone.mp3</v>
      </c>
      <c r="D2109" s="24"/>
      <c r="E2109" s="24"/>
    </row>
    <row r="2110">
      <c r="A2110" s="25" t="s">
        <v>18352</v>
      </c>
      <c r="B2110" s="25" t="s">
        <v>18369</v>
      </c>
      <c r="C2110" s="26" t="str">
        <f>HYPERLINK("https://audio.iskcondesiretree.com/02_-_ISKCON_Swamis/ISKCON_Swamis_-_R_to_Y/His_Holiness_Radhanath_Swami/Lectures/00_-_Year_wise/Devotional_Nectar_-_2005/More/2005-08-04_Various_-_Recalling_Bhakti_Tirtha_Swami_-_Radhanath_Swami_Albettone.mp3", "2005-08-04_Various_-_Recalling_Bhakti_Tirtha_Swami_-_Radhanath_Swami_Albettone.mp3")</f>
        <v>2005-08-04_Various_-_Recalling_Bhakti_Tirtha_Swami_-_Radhanath_Swami_Albettone.mp3</v>
      </c>
      <c r="D2110" s="24"/>
      <c r="E2110" s="24"/>
    </row>
    <row r="2111">
      <c r="A2111" s="25" t="s">
        <v>18352</v>
      </c>
      <c r="B2111" s="25" t="s">
        <v>18369</v>
      </c>
      <c r="C2111" s="26" t="str">
        <f>HYPERLINK("https://audio.iskcondesiretree.com/02_-_ISKCON_Swamis/ISKCON_Swamis_-_R_to_Y/His_Holiness_Radhanath_Swami/Lectures/00_-_Year_wise/Devotional_Nectar_-_2005/More/2005-08-05_Various_-_Humility_and_Devotion_-_Radhanath_Swami_Albettone.mp3", "2005-08-05_Various_-_Humility_and_Devotion_-_Radhanath_Swami_Albettone.mp3")</f>
        <v>2005-08-05_Various_-_Humility_and_Devotion_-_Radhanath_Swami_Albettone.mp3</v>
      </c>
      <c r="D2111" s="24"/>
      <c r="E2111" s="24"/>
    </row>
    <row r="2112">
      <c r="A2112" s="25" t="s">
        <v>18352</v>
      </c>
      <c r="B2112" s="25" t="s">
        <v>18369</v>
      </c>
      <c r="C2112" s="26" t="str">
        <f>HYPERLINK("https://audio.iskcondesiretree.com/02_-_ISKCON_Swamis/ISKCON_Swamis_-_R_to_Y/His_Holiness_Radhanath_Swami/Lectures/00_-_Year_wise/Devotional_Nectar_-_2005/More/2005-08-07_Festivals_-_Snana_Yatra_-_Radhanath_Swami_San_Casciano.mp3", "2005-08-07_Festivals_-_Snana_Yatra_-_Radhanath_Swami_San_Casciano.mp3")</f>
        <v>2005-08-07_Festivals_-_Snana_Yatra_-_Radhanath_Swami_San_Casciano.mp3</v>
      </c>
      <c r="D2112" s="24"/>
      <c r="E2112" s="24"/>
    </row>
    <row r="2113">
      <c r="A2113" s="25" t="s">
        <v>18352</v>
      </c>
      <c r="B2113" s="25" t="s">
        <v>18369</v>
      </c>
      <c r="C2113" s="26" t="str">
        <f>HYPERLINK("https://audio.iskcondesiretree.com/02_-_ISKCON_Swamis/ISKCON_Swamis_-_R_to_Y/His_Holiness_Radhanath_Swami/Lectures/00_-_Year_wise/Devotional_Nectar_-_2005/More/2005-08-08_Various_-_Initiations_-_Radhanath_Swami_San_Casciano.mp3", "2005-08-08_Various_-_Initiations_-_Radhanath_Swami_San_Casciano.mp3")</f>
        <v>2005-08-08_Various_-_Initiations_-_Radhanath_Swami_San_Casciano.mp3</v>
      </c>
      <c r="D2113" s="24"/>
      <c r="E2113" s="24"/>
    </row>
    <row r="2114">
      <c r="A2114" s="25" t="s">
        <v>18352</v>
      </c>
      <c r="B2114" s="25" t="s">
        <v>18369</v>
      </c>
      <c r="C2114" s="26" t="str">
        <f>HYPERLINK("https://audio.iskcondesiretree.com/02_-_ISKCON_Swamis/ISKCON_Swamis_-_R_to_Y/His_Holiness_Radhanath_Swami/Lectures/00_-_Year_wise/Devotional_Nectar_-_2005/More/2005-08-09_Various_-_True_Renunciation_-_Radhanath_Swami_San_Casciano.mp3", "2005-08-09_Various_-_True_Renunciation_-_Radhanath_Swami_San_Casciano.mp3")</f>
        <v>2005-08-09_Various_-_True_Renunciation_-_Radhanath_Swami_San_Casciano.mp3</v>
      </c>
      <c r="D2114" s="24"/>
      <c r="E2114" s="24"/>
    </row>
    <row r="2115">
      <c r="A2115" s="25" t="s">
        <v>18352</v>
      </c>
      <c r="B2115" s="25" t="s">
        <v>18369</v>
      </c>
      <c r="C2115" s="26" t="str">
        <f>HYPERLINK("https://audio.iskcondesiretree.com/02_-_ISKCON_Swamis/ISKCON_Swamis_-_R_to_Y/His_Holiness_Radhanath_Swami/Lectures/00_-_Year_wise/Devotional_Nectar_-_2005/More/2005-08-10_Various_-_Krishna_Know%27s_our_hearts_-_Radhanath_Swami_Nepi.mp3", "2005-08-10_Various_-_Krishna_Know%27s_our_hearts_-_Radhanath_Swami_Nepi.mp3")</f>
        <v>2005-08-10_Various_-_Krishna_Know%27s_our_hearts_-_Radhanath_Swami_Nepi.mp3</v>
      </c>
      <c r="D2115" s="24"/>
      <c r="E2115" s="24"/>
    </row>
    <row r="2116">
      <c r="A2116" s="25" t="s">
        <v>18352</v>
      </c>
      <c r="B2116" s="25" t="s">
        <v>18369</v>
      </c>
      <c r="C2116" s="26" t="str">
        <f>HYPERLINK("https://audio.iskcondesiretree.com/02_-_ISKCON_Swamis/ISKCON_Swamis_-_R_to_Y/His_Holiness_Radhanath_Swami/Lectures/00_-_Year_wise/Devotional_Nectar_-_2005/More/2005-08-10_Various_-_The_Essence_of_Austerity_-_Radhanath_Swami_Nepi.mp3", "2005-08-10_Various_-_The_Essence_of_Austerity_-_Radhanath_Swami_Nepi.mp3")</f>
        <v>2005-08-10_Various_-_The_Essence_of_Austerity_-_Radhanath_Swami_Nepi.mp3</v>
      </c>
      <c r="D2116" s="24"/>
      <c r="E2116" s="24"/>
    </row>
    <row r="2117">
      <c r="A2117" s="25" t="s">
        <v>18352</v>
      </c>
      <c r="B2117" s="25" t="s">
        <v>18369</v>
      </c>
      <c r="C2117" s="26" t="str">
        <f>HYPERLINK("https://audio.iskcondesiretree.com/02_-_ISKCON_Swamis/ISKCON_Swamis_-_R_to_Y/His_Holiness_Radhanath_Swami/Lectures/00_-_Year_wise/Devotional_Nectar_-_2005/More/2005-09-18_Various_-_A_Life_of_Compassion_Dedication_and_Love_HH_Bhakti_Tirtha_Swami_Maharaj_Pa"&amp;"rt_01_-_Mumbai.mp3", "2005-09-18_Various_-_A_Life_of_Compassion_Dedication_and_Love_HH_Bhakti_Tirtha_Swami_Maharaj_Part_01_-_Mumbai.mp3")</f>
        <v>2005-09-18_Various_-_A_Life_of_Compassion_Dedication_and_Love_HH_Bhakti_Tirtha_Swami_Maharaj_Part_01_-_Mumbai.mp3</v>
      </c>
      <c r="D2117" s="24"/>
      <c r="E2117" s="24"/>
    </row>
    <row r="2118">
      <c r="A2118" s="25" t="s">
        <v>18352</v>
      </c>
      <c r="B2118" s="25" t="s">
        <v>18369</v>
      </c>
      <c r="C2118" s="26" t="str">
        <f>HYPERLINK("https://audio.iskcondesiretree.com/02_-_ISKCON_Swamis/ISKCON_Swamis_-_R_to_Y/His_Holiness_Radhanath_Swami/Lectures/00_-_Year_wise/Devotional_Nectar_-_2005/More/2005-09-18_Various_-_A_Life_of_Compassion_Dedication_and_Love_HH_Bhakti_Tirtha_Swami_Maharaj_Pa"&amp;"rt_02_-_Mumbai.mp3", "2005-09-18_Various_-_A_Life_of_Compassion_Dedication_and_Love_HH_Bhakti_Tirtha_Swami_Maharaj_Part_02_-_Mumbai.mp3")</f>
        <v>2005-09-18_Various_-_A_Life_of_Compassion_Dedication_and_Love_HH_Bhakti_Tirtha_Swami_Maharaj_Part_02_-_Mumbai.mp3</v>
      </c>
      <c r="D2118" s="24"/>
      <c r="E2118" s="24"/>
    </row>
    <row r="2119">
      <c r="A2119" s="25" t="s">
        <v>18352</v>
      </c>
      <c r="B2119" s="25" t="s">
        <v>18369</v>
      </c>
      <c r="C2119" s="26" t="str">
        <f>HYPERLINK("https://audio.iskcondesiretree.com/02_-_ISKCON_Swamis/ISKCON_Swamis_-_R_to_Y/His_Holiness_Radhanath_Swami/Lectures/00_-_Year_wise/Devotional_Nectar_-_2005/Vol_01/01_Krishna_Doesn%27t_Require_Anything_SB-05_03_08_Mumbai_-_01-01-05_IDesireTree.mp3", "01_Krishna_Doesn%27t_Require_Anything_SB-05_03_08_Mumbai_-_01-01-05_IDesireTree.mp3")</f>
        <v>01_Krishna_Doesn%27t_Require_Anything_SB-05_03_08_Mumbai_-_01-01-05_IDesireTree.mp3</v>
      </c>
      <c r="D2119" s="24"/>
      <c r="E2119" s="24"/>
    </row>
    <row r="2120">
      <c r="A2120" s="25" t="s">
        <v>18352</v>
      </c>
      <c r="B2120" s="25" t="s">
        <v>18369</v>
      </c>
      <c r="C2120" s="26" t="str">
        <f>HYPERLINK("https://audio.iskcondesiretree.com/02_-_ISKCON_Swamis/ISKCON_Swamis_-_R_to_Y/His_Holiness_Radhanath_Swami/Lectures/00_-_Year_wise/Devotional_Nectar_-_2005/Vol_01/02_The_Meaning_and_Richness_of_Vedic_Culture_Lecture_Mumbai_-_02-01-05_IDesireTree.mp3", "02_The_Meaning_and_Richness_of_Vedic_Culture_Lecture_Mumbai_-_02-01-05_IDesireTree.mp3")</f>
        <v>02_The_Meaning_and_Richness_of_Vedic_Culture_Lecture_Mumbai_-_02-01-05_IDesireTree.mp3</v>
      </c>
      <c r="D2120" s="24"/>
      <c r="E2120" s="24"/>
    </row>
    <row r="2121">
      <c r="A2121" s="25" t="s">
        <v>18352</v>
      </c>
      <c r="B2121" s="25" t="s">
        <v>18369</v>
      </c>
      <c r="C2121" s="26" t="str">
        <f>HYPERLINK("https://audio.iskcondesiretree.com/02_-_ISKCON_Swamis/ISKCON_Swamis_-_R_to_Y/His_Holiness_Radhanath_Swami/Lectures/00_-_Year_wise/Devotional_Nectar_-_2005/Vol_01/03_The_Glories_of_Chanting_Hare_Krishna_Sunday_Feast_Mumbai_-_02-01-05_IDesireTree.mp3", "03_The_Glories_of_Chanting_Hare_Krishna_Sunday_Feast_Mumbai_-_02-01-05_IDesireTree.mp3")</f>
        <v>03_The_Glories_of_Chanting_Hare_Krishna_Sunday_Feast_Mumbai_-_02-01-05_IDesireTree.mp3</v>
      </c>
      <c r="D2121" s="24"/>
      <c r="E2121" s="24"/>
    </row>
    <row r="2122">
      <c r="A2122" s="25" t="s">
        <v>18352</v>
      </c>
      <c r="B2122" s="25" t="s">
        <v>18369</v>
      </c>
      <c r="C2122" s="26" t="str">
        <f>HYPERLINK("https://audio.iskcondesiretree.com/02_-_ISKCON_Swamis/ISKCON_Swamis_-_R_to_Y/His_Holiness_Radhanath_Swami/Lectures/00_-_Year_wise/Devotional_Nectar_-_2005/Vol_01/04_Knowing_Swami_Radhanath_Lecture_Mumbai_-_Radhanath_Swami_2005-01-06_IDesireTree.mp3", "04_Knowing_Swami_Radhanath_Lecture_Mumbai_-_Radhanath_Swami_2005-01-06_IDesireTree.mp3")</f>
        <v>04_Knowing_Swami_Radhanath_Lecture_Mumbai_-_Radhanath_Swami_2005-01-06_IDesireTree.mp3</v>
      </c>
      <c r="D2122" s="24"/>
      <c r="E2122" s="24"/>
    </row>
    <row r="2123">
      <c r="A2123" s="25" t="s">
        <v>18352</v>
      </c>
      <c r="B2123" s="25" t="s">
        <v>18369</v>
      </c>
      <c r="C2123" s="26" t="str">
        <f>HYPERLINK("https://audio.iskcondesiretree.com/02_-_ISKCON_Swamis/ISKCON_Swamis_-_R_to_Y/His_Holiness_Radhanath_Swami/Lectures/00_-_Year_wise/Devotional_Nectar_-_2005/Vol_01/05_The_Meaning_of_Renunciation_Lecture_Mumbai_-_Radhanath_Swami_2005-01-07_IDesireTree.mp3", "05_The_Meaning_of_Renunciation_Lecture_Mumbai_-_Radhanath_Swami_2005-01-07_IDesireTree.mp3")</f>
        <v>05_The_Meaning_of_Renunciation_Lecture_Mumbai_-_Radhanath_Swami_2005-01-07_IDesireTree.mp3</v>
      </c>
      <c r="D2123" s="24"/>
      <c r="E2123" s="24"/>
    </row>
    <row r="2124">
      <c r="A2124" s="25" t="s">
        <v>18352</v>
      </c>
      <c r="B2124" s="25" t="s">
        <v>18369</v>
      </c>
      <c r="C2124" s="26" t="str">
        <f>HYPERLINK("https://audio.iskcondesiretree.com/02_-_ISKCON_Swamis/ISKCON_Swamis_-_R_to_Y/His_Holiness_Radhanath_Swami/Lectures/00_-_Year_wise/Devotional_Nectar_-_2005/Vol_01/06_The_Lesson_Lord_Caitanya_Taught_Through_Devananda_Pandit_SB-5_3_8_Mumbai_-_08-01-05_IDesir"&amp;"eTree.mp3", "06_The_Lesson_Lord_Caitanya_Taught_Through_Devananda_Pandit_SB-5_3_8_Mumbai_-_08-01-05_IDesireTree.mp3")</f>
        <v>06_The_Lesson_Lord_Caitanya_Taught_Through_Devananda_Pandit_SB-5_3_8_Mumbai_-_08-01-05_IDesireTree.mp3</v>
      </c>
      <c r="D2124" s="24"/>
      <c r="E2124" s="24"/>
    </row>
    <row r="2125">
      <c r="A2125" s="25" t="s">
        <v>18352</v>
      </c>
      <c r="B2125" s="25" t="s">
        <v>18369</v>
      </c>
      <c r="C2125" s="26" t="str">
        <f>HYPERLINK("https://audio.iskcondesiretree.com/02_-_ISKCON_Swamis/ISKCON_Swamis_-_R_to_Y/His_Holiness_Radhanath_Swami/Lectures/00_-_Year_wise/Devotional_Nectar_-_2005/Vol_01/07_Achieving_My_Path_Lecture_Mumbai_-_Radhanath_Swami_2005-01-08_IDesireTree.mp3", "07_Achieving_My_Path_Lecture_Mumbai_-_Radhanath_Swami_2005-01-08_IDesireTree.mp3")</f>
        <v>07_Achieving_My_Path_Lecture_Mumbai_-_Radhanath_Swami_2005-01-08_IDesireTree.mp3</v>
      </c>
      <c r="D2125" s="24"/>
      <c r="E2125" s="24"/>
    </row>
    <row r="2126">
      <c r="A2126" s="25" t="s">
        <v>18352</v>
      </c>
      <c r="B2126" s="25" t="s">
        <v>18369</v>
      </c>
      <c r="C2126" s="26" t="str">
        <f>HYPERLINK("https://audio.iskcondesiretree.com/02_-_ISKCON_Swamis/ISKCON_Swamis_-_R_to_Y/His_Holiness_Radhanath_Swami/Lectures/00_-_Year_wise/Devotional_Nectar_-_2005/Vol_01/08_The_Secret_of_Achieving_True_Happiness_Lecture_Nigdi_-_09-01-05_IDesireTree.mp3", "08_The_Secret_of_Achieving_True_Happiness_Lecture_Nigdi_-_09-01-05_IDesireTree.mp3")</f>
        <v>08_The_Secret_of_Achieving_True_Happiness_Lecture_Nigdi_-_09-01-05_IDesireTree.mp3</v>
      </c>
      <c r="D2126" s="24"/>
      <c r="E2126" s="24"/>
    </row>
    <row r="2127">
      <c r="A2127" s="25" t="s">
        <v>18352</v>
      </c>
      <c r="B2127" s="25" t="s">
        <v>18369</v>
      </c>
      <c r="C2127" s="26" t="str">
        <f>HYPERLINK("https://audio.iskcondesiretree.com/02_-_ISKCON_Swamis/ISKCON_Swamis_-_R_to_Y/His_Holiness_Radhanath_Swami/Lectures/00_-_Year_wise/Devotional_Nectar_-_2005/Vol_01/09_The_Essence_of_the_Meaning_of_Bhagavad_Gita_Lecture_Mumbai_-_10-01-05_IDesireTree.mp3", "09_The_Essence_of_the_Meaning_of_Bhagavad_Gita_Lecture_Mumbai_-_10-01-05_IDesireTree.mp3")</f>
        <v>09_The_Essence_of_the_Meaning_of_Bhagavad_Gita_Lecture_Mumbai_-_10-01-05_IDesireTree.mp3</v>
      </c>
      <c r="D2127" s="24"/>
      <c r="E2127" s="24"/>
    </row>
    <row r="2128">
      <c r="A2128" s="25" t="s">
        <v>18352</v>
      </c>
      <c r="B2128" s="25" t="s">
        <v>18369</v>
      </c>
      <c r="C2128" s="26" t="str">
        <f>HYPERLINK("https://audio.iskcondesiretree.com/02_-_ISKCON_Swamis/ISKCON_Swamis_-_R_to_Y/His_Holiness_Radhanath_Swami/Lectures/00_-_Year_wise/Devotional_Nectar_-_2005/Vol_01/10_The_Variegatedness_of_Unconditional_Love_Sunday_Feast_Mumbai_-_16-01-05_IDesireTree.mp3", "10_The_Variegatedness_of_Unconditional_Love_Sunday_Feast_Mumbai_-_16-01-05_IDesireTree.mp3")</f>
        <v>10_The_Variegatedness_of_Unconditional_Love_Sunday_Feast_Mumbai_-_16-01-05_IDesireTree.mp3</v>
      </c>
      <c r="D2128" s="24"/>
      <c r="E2128" s="24"/>
    </row>
    <row r="2129">
      <c r="A2129" s="25" t="s">
        <v>18352</v>
      </c>
      <c r="B2129" s="25" t="s">
        <v>18369</v>
      </c>
      <c r="C2129" s="26" t="str">
        <f>HYPERLINK("https://audio.iskcondesiretree.com/02_-_ISKCON_Swamis/ISKCON_Swamis_-_R_to_Y/His_Holiness_Radhanath_Swami/Lectures/00_-_Year_wise/Devotional_Nectar_-_2005/Vol_02/01_Life_of_Srinivas_Acarya_Lecture_Pune_-_Radhanath_Swami_2005-01-22_IDesireTree.mp3", "01_Life_of_Srinivas_Acarya_Lecture_Pune_-_Radhanath_Swami_2005-01-22_IDesireTree.mp3")</f>
        <v>01_Life_of_Srinivas_Acarya_Lecture_Pune_-_Radhanath_Swami_2005-01-22_IDesireTree.mp3</v>
      </c>
      <c r="D2129" s="24"/>
      <c r="E2129" s="24"/>
    </row>
    <row r="2130">
      <c r="A2130" s="25" t="s">
        <v>18352</v>
      </c>
      <c r="B2130" s="25" t="s">
        <v>18369</v>
      </c>
      <c r="C2130" s="26" t="str">
        <f>HYPERLINK("https://audio.iskcondesiretree.com/02_-_ISKCON_Swamis/ISKCON_Swamis_-_R_to_Y/His_Holiness_Radhanath_Swami/Lectures/00_-_Year_wise/Devotional_Nectar_-_2005/Vol_02/02_Krishna_Accepts_the_Devotion_Lecture_Mumbai_-_Radhanath_Swami_2005-01-25_IDesireTree.mp3", "02_Krishna_Accepts_the_Devotion_Lecture_Mumbai_-_Radhanath_Swami_2005-01-25_IDesireTree.mp3")</f>
        <v>02_Krishna_Accepts_the_Devotion_Lecture_Mumbai_-_Radhanath_Swami_2005-01-25_IDesireTree.mp3</v>
      </c>
      <c r="D2130" s="24"/>
      <c r="E2130" s="24"/>
    </row>
    <row r="2131">
      <c r="A2131" s="25" t="s">
        <v>18352</v>
      </c>
      <c r="B2131" s="25" t="s">
        <v>18369</v>
      </c>
      <c r="C2131" s="26" t="str">
        <f>HYPERLINK("https://audio.iskcondesiretree.com/02_-_ISKCON_Swamis/ISKCON_Swamis_-_R_to_Y/His_Holiness_Radhanath_Swami/Lectures/00_-_Year_wise/Devotional_Nectar_-_2005/Vol_02/03_Do_Your_Activities_Only_for_Krishna%27s_Pleasure_SB-05_04_17_Mumbai_-_29-01-05_IDesireTree"&amp;".mp3", "03_Do_Your_Activities_Only_for_Krishna%27s_Pleasure_SB-05_04_17_Mumbai_-_29-01-05_IDesireTree.mp3")</f>
        <v>03_Do_Your_Activities_Only_for_Krishna%27s_Pleasure_SB-05_04_17_Mumbai_-_29-01-05_IDesireTree.mp3</v>
      </c>
      <c r="D2131" s="24"/>
      <c r="E2131" s="24"/>
    </row>
    <row r="2132">
      <c r="A2132" s="25" t="s">
        <v>18352</v>
      </c>
      <c r="B2132" s="25" t="s">
        <v>18369</v>
      </c>
      <c r="C2132" s="26" t="str">
        <f>HYPERLINK("https://audio.iskcondesiretree.com/02_-_ISKCON_Swamis/ISKCON_Swamis_-_R_to_Y/His_Holiness_Radhanath_Swami/Lectures/00_-_Year_wise/Devotional_Nectar_-_2005/Vol_02/04_Lady_Northcote_Hindu_Orphanage-A_Spiritual_Shelter_Lecture_Mumbai_-_29-01-05_IDesireTree.m"&amp;"p3", "04_Lady_Northcote_Hindu_Orphanage-A_Spiritual_Shelter_Lecture_Mumbai_-_29-01-05_IDesireTree.mp3")</f>
        <v>04_Lady_Northcote_Hindu_Orphanage-A_Spiritual_Shelter_Lecture_Mumbai_-_29-01-05_IDesireTree.mp3</v>
      </c>
      <c r="D2132" s="24"/>
      <c r="E2132" s="24"/>
    </row>
    <row r="2133">
      <c r="A2133" s="25" t="s">
        <v>18352</v>
      </c>
      <c r="B2133" s="25" t="s">
        <v>18369</v>
      </c>
      <c r="C2133" s="26" t="str">
        <f>HYPERLINK("https://audio.iskcondesiretree.com/02_-_ISKCON_Swamis/ISKCON_Swamis_-_R_to_Y/His_Holiness_Radhanath_Swami/Lectures/00_-_Year_wise/Devotional_Nectar_-_2005/Vol_02/05_The_Importance_of_Encouraging_All_Despite_Differences_Sunday_Feast_Mumbai_-_30-01-05_IDesi"&amp;"reTree.mp3", "05_The_Importance_of_Encouraging_All_Despite_Differences_Sunday_Feast_Mumbai_-_30-01-05_IDesireTree.mp3")</f>
        <v>05_The_Importance_of_Encouraging_All_Despite_Differences_Sunday_Feast_Mumbai_-_30-01-05_IDesireTree.mp3</v>
      </c>
      <c r="D2133" s="24"/>
      <c r="E2133" s="24"/>
    </row>
    <row r="2134">
      <c r="A2134" s="25" t="s">
        <v>18352</v>
      </c>
      <c r="B2134" s="25" t="s">
        <v>18369</v>
      </c>
      <c r="C2134" s="26" t="str">
        <f>HYPERLINK("https://audio.iskcondesiretree.com/02_-_ISKCON_Swamis/ISKCON_Swamis_-_R_to_Y/His_Holiness_Radhanath_Swami/Lectures/00_-_Year_wise/Devotional_Nectar_-_2005/Vol_02/06_What_is_Real_Attonement_NSCI_Lecture_Mumbai_-_Radhanath_Swami_2005-01-31_IDesireTree.mp3", "06_What_is_Real_Attonement_NSCI_Lecture_Mumbai_-_Radhanath_Swami_2005-01-31_IDesireTree.mp3")</f>
        <v>06_What_is_Real_Attonement_NSCI_Lecture_Mumbai_-_Radhanath_Swami_2005-01-31_IDesireTree.mp3</v>
      </c>
      <c r="D2134" s="24"/>
      <c r="E2134" s="24"/>
    </row>
    <row r="2135">
      <c r="A2135" s="25" t="s">
        <v>18352</v>
      </c>
      <c r="B2135" s="25" t="s">
        <v>18369</v>
      </c>
      <c r="C2135" s="26" t="str">
        <f>HYPERLINK("https://audio.iskcondesiretree.com/02_-_ISKCON_Swamis/ISKCON_Swamis_-_R_to_Y/His_Holiness_Radhanath_Swami/Lectures/00_-_Year_wise/Devotional_Nectar_-_2005/Vol_02/07_Detach_Yourself_from_Sense_Gratification_SB_-5_5_4_Mumbai_-_05-02-05_IDesireTree.mp3", "07_Detach_Yourself_from_Sense_Gratification_SB_-5_5_4_Mumbai_-_05-02-05_IDesireTree.mp3")</f>
        <v>07_Detach_Yourself_from_Sense_Gratification_SB_-5_5_4_Mumbai_-_05-02-05_IDesireTree.mp3</v>
      </c>
      <c r="D2135" s="24"/>
      <c r="E2135" s="24"/>
    </row>
    <row r="2136">
      <c r="A2136" s="25" t="s">
        <v>18352</v>
      </c>
      <c r="B2136" s="25" t="s">
        <v>18369</v>
      </c>
      <c r="C2136" s="26" t="str">
        <f>HYPERLINK("https://audio.iskcondesiretree.com/02_-_ISKCON_Swamis/ISKCON_Swamis_-_R_to_Y/His_Holiness_Radhanath_Swami/Lectures/00_-_Year_wise/Devotional_Nectar_-_2005/Vol_02/08_Dying_to_Live_Prerana_Mumbai_-_Radhanath_Swami_2005-02-10_IDesireTree.mp3", "08_Dying_to_Live_Prerana_Mumbai_-_Radhanath_Swami_2005-02-10_IDesireTree.mp3")</f>
        <v>08_Dying_to_Live_Prerana_Mumbai_-_Radhanath_Swami_2005-02-10_IDesireTree.mp3</v>
      </c>
      <c r="D2136" s="24"/>
      <c r="E2136" s="24"/>
    </row>
    <row r="2137">
      <c r="A2137" s="25" t="s">
        <v>18352</v>
      </c>
      <c r="B2137" s="25" t="s">
        <v>18369</v>
      </c>
      <c r="C2137" s="26" t="str">
        <f>HYPERLINK("https://audio.iskcondesiretree.com/02_-_ISKCON_Swamis/ISKCON_Swamis_-_R_to_Y/His_Holiness_Radhanath_Swami/Lectures/00_-_Year_wise/Devotional_Nectar_-_2005/Vol_02/09_The_Philosophy_of_Krishna_Consciousness_Lecture_Mumbai_-_12-02-05_IDesireTree.mp3", "09_The_Philosophy_of_Krishna_Consciousness_Lecture_Mumbai_-_12-02-05_IDesireTree.mp3")</f>
        <v>09_The_Philosophy_of_Krishna_Consciousness_Lecture_Mumbai_-_12-02-05_IDesireTree.mp3</v>
      </c>
      <c r="D2137" s="24"/>
      <c r="E2137" s="24"/>
    </row>
    <row r="2138">
      <c r="A2138" s="25" t="s">
        <v>18352</v>
      </c>
      <c r="B2138" s="25" t="s">
        <v>18369</v>
      </c>
      <c r="C2138" s="26" t="str">
        <f>HYPERLINK("https://audio.iskcondesiretree.com/02_-_ISKCON_Swamis/ISKCON_Swamis_-_R_to_Y/His_Holiness_Radhanath_Swami/Lectures/00_-_Year_wise/Devotional_Nectar_-_2005/Vol_03/01_The_Medicine_of_the_Holy_Name_Sunday_Feast_Mumbai_-_13-02-05_IDesireTree.mp3", "01_The_Medicine_of_the_Holy_Name_Sunday_Feast_Mumbai_-_13-02-05_IDesireTree.mp3")</f>
        <v>01_The_Medicine_of_the_Holy_Name_Sunday_Feast_Mumbai_-_13-02-05_IDesireTree.mp3</v>
      </c>
      <c r="D2138" s="24"/>
      <c r="E2138" s="24"/>
    </row>
    <row r="2139">
      <c r="A2139" s="25" t="s">
        <v>18352</v>
      </c>
      <c r="B2139" s="25" t="s">
        <v>18369</v>
      </c>
      <c r="C2139" s="26" t="str">
        <f>HYPERLINK("https://audio.iskcondesiretree.com/02_-_ISKCON_Swamis/ISKCON_Swamis_-_R_to_Y/His_Holiness_Radhanath_Swami/Lectures/00_-_Year_wise/Devotional_Nectar_-_2005/Vol_03/02_The_Glories_and_Pastimes_of_Lord_Nityananda_Prabhu_Lecture_Mumbai_-_21-02-05_IDesireTree.m"&amp;"p3", "02_The_Glories_and_Pastimes_of_Lord_Nityananda_Prabhu_Lecture_Mumbai_-_21-02-05_IDesireTree.mp3")</f>
        <v>02_The_Glories_and_Pastimes_of_Lord_Nityananda_Prabhu_Lecture_Mumbai_-_21-02-05_IDesireTree.mp3</v>
      </c>
      <c r="D2139" s="24"/>
      <c r="E2139" s="24"/>
    </row>
    <row r="2140">
      <c r="A2140" s="25" t="s">
        <v>18352</v>
      </c>
      <c r="B2140" s="25" t="s">
        <v>18369</v>
      </c>
      <c r="C2140" s="26" t="str">
        <f>HYPERLINK("https://audio.iskcondesiretree.com/02_-_ISKCON_Swamis/ISKCON_Swamis_-_R_to_Y/His_Holiness_Radhanath_Swami/Lectures/00_-_Year_wise/Devotional_Nectar_-_2005/Vol_03/03_Controlling_Mind_by_Attentively_Chanting_Holy_Name_SB-05_06_03_Mumbai_-_19-03-05_IDesireTr"&amp;"ee.mp3", "03_Controlling_Mind_by_Attentively_Chanting_Holy_Name_SB-05_06_03_Mumbai_-_19-03-05_IDesireTree.mp3")</f>
        <v>03_Controlling_Mind_by_Attentively_Chanting_Holy_Name_SB-05_06_03_Mumbai_-_19-03-05_IDesireTree.mp3</v>
      </c>
      <c r="D2140" s="24"/>
      <c r="E2140" s="24"/>
    </row>
    <row r="2141">
      <c r="A2141" s="25" t="s">
        <v>18352</v>
      </c>
      <c r="B2141" s="25" t="s">
        <v>18369</v>
      </c>
      <c r="C2141" s="26" t="str">
        <f>HYPERLINK("https://audio.iskcondesiretree.com/02_-_ISKCON_Swamis/ISKCON_Swamis_-_R_to_Y/His_Holiness_Radhanath_Swami/Lectures/00_-_Year_wise/Devotional_Nectar_-_2005/Vol_03/05_Protect_Yourself_by_Chanting_Holy_Name_SB-05_06_04_Mumbai_-_20-03-05_IDesireTree.mp3", "05_Protect_Yourself_by_Chanting_Holy_Name_SB-05_06_04_Mumbai_-_20-03-05_IDesireTree.mp3")</f>
        <v>05_Protect_Yourself_by_Chanting_Holy_Name_SB-05_06_04_Mumbai_-_20-03-05_IDesireTree.mp3</v>
      </c>
      <c r="D2141" s="24"/>
      <c r="E2141" s="24"/>
    </row>
    <row r="2142">
      <c r="A2142" s="25" t="s">
        <v>18352</v>
      </c>
      <c r="B2142" s="25" t="s">
        <v>18369</v>
      </c>
      <c r="C2142" s="26" t="str">
        <f>HYPERLINK("https://audio.iskcondesiretree.com/02_-_ISKCON_Swamis/ISKCON_Swamis_-_R_to_Y/His_Holiness_Radhanath_Swami/Lectures/00_-_Year_wise/Devotional_Nectar_-_2005/Vol_03/06_Lord_Caitanya_Giving_Credit_to_Devotees_Sunday_Feast_Mumbai_-_20-03-05_IDesireTree.mp3", "06_Lord_Caitanya_Giving_Credit_to_Devotees_Sunday_Feast_Mumbai_-_20-03-05_IDesireTree.mp3")</f>
        <v>06_Lord_Caitanya_Giving_Credit_to_Devotees_Sunday_Feast_Mumbai_-_20-03-05_IDesireTree.mp3</v>
      </c>
      <c r="D2142" s="24"/>
      <c r="E2142" s="24"/>
    </row>
    <row r="2143">
      <c r="A2143" s="25" t="s">
        <v>18352</v>
      </c>
      <c r="B2143" s="25" t="s">
        <v>18369</v>
      </c>
      <c r="C2143" s="26" t="str">
        <f>HYPERLINK("https://audio.iskcondesiretree.com/02_-_ISKCON_Swamis/ISKCON_Swamis_-_R_to_Y/His_Holiness_Radhanath_Swami/Lectures/00_-_Year_wise/Devotional_Nectar_-_2005/Vol_03/07_Establishing_the_Truth_of_One_Supreme_Godhead_Lecture_Mumbai_-_24-03-05_IDesireTree.mp3", "07_Establishing_the_Truth_of_One_Supreme_Godhead_Lecture_Mumbai_-_24-03-05_IDesireTree.mp3")</f>
        <v>07_Establishing_the_Truth_of_One_Supreme_Godhead_Lecture_Mumbai_-_24-03-05_IDesireTree.mp3</v>
      </c>
      <c r="D2143" s="24"/>
      <c r="E2143" s="24"/>
    </row>
    <row r="2144">
      <c r="A2144" s="25" t="s">
        <v>18352</v>
      </c>
      <c r="B2144" s="25" t="s">
        <v>18369</v>
      </c>
      <c r="C2144" s="26" t="str">
        <f>HYPERLINK("https://audio.iskcondesiretree.com/02_-_ISKCON_Swamis/ISKCON_Swamis_-_R_to_Y/His_Holiness_Radhanath_Swami/Lectures/00_-_Year_wise/Devotional_Nectar_-_2005/Vol_03/08_The_Prelude_to_Caitanya_Lila_Lecture_Mumbai_-_Radhanath_Swami_2005-03-24_IDesireTree.mp3", "08_The_Prelude_to_Caitanya_Lila_Lecture_Mumbai_-_Radhanath_Swami_2005-03-24_IDesireTree.mp3")</f>
        <v>08_The_Prelude_to_Caitanya_Lila_Lecture_Mumbai_-_Radhanath_Swami_2005-03-24_IDesireTree.mp3</v>
      </c>
      <c r="D2144" s="24"/>
      <c r="E2144" s="24"/>
    </row>
    <row r="2145">
      <c r="A2145" s="25" t="s">
        <v>18352</v>
      </c>
      <c r="B2145" s="25" t="s">
        <v>18369</v>
      </c>
      <c r="C2145" s="26" t="str">
        <f>HYPERLINK("https://audio.iskcondesiretree.com/02_-_ISKCON_Swamis/ISKCON_Swamis_-_R_to_Y/His_Holiness_Radhanath_Swami/Lectures/00_-_Year_wise/Devotional_Nectar_-_2005/Vol_04/01_The_Medicine_of_the_Holy_Name_Sunday_Feast_Mumbai_-_13-02-05_IDesireTree.mp3", "01_The_Medicine_of_the_Holy_Name_Sunday_Feast_Mumbai_-_13-02-05_IDesireTree.mp3")</f>
        <v>01_The_Medicine_of_the_Holy_Name_Sunday_Feast_Mumbai_-_13-02-05_IDesireTree.mp3</v>
      </c>
      <c r="D2145" s="24"/>
      <c r="E2145" s="24"/>
    </row>
    <row r="2146">
      <c r="A2146" s="25" t="s">
        <v>18352</v>
      </c>
      <c r="B2146" s="25" t="s">
        <v>18369</v>
      </c>
      <c r="C2146" s="26" t="str">
        <f>HYPERLINK("https://audio.iskcondesiretree.com/02_-_ISKCON_Swamis/ISKCON_Swamis_-_R_to_Y/His_Holiness_Radhanath_Swami/Lectures/00_-_Year_wise/Devotional_Nectar_-_2005/Vol_04/02_The_Glories_and_Pastimes_of_Lord_Nityananda_Prabhu_Lecture_Mumbai_-_21-02-05_IDesireTree.m"&amp;"p3", "02_The_Glories_and_Pastimes_of_Lord_Nityananda_Prabhu_Lecture_Mumbai_-_21-02-05_IDesireTree.mp3")</f>
        <v>02_The_Glories_and_Pastimes_of_Lord_Nityananda_Prabhu_Lecture_Mumbai_-_21-02-05_IDesireTree.mp3</v>
      </c>
      <c r="D2146" s="24"/>
      <c r="E2146" s="24"/>
    </row>
    <row r="2147">
      <c r="A2147" s="25" t="s">
        <v>18352</v>
      </c>
      <c r="B2147" s="25" t="s">
        <v>18369</v>
      </c>
      <c r="C2147" s="26" t="str">
        <f>HYPERLINK("https://audio.iskcondesiretree.com/02_-_ISKCON_Swamis/ISKCON_Swamis_-_R_to_Y/His_Holiness_Radhanath_Swami/Lectures/00_-_Year_wise/Devotional_Nectar_-_2005/Vol_04/03_Controlling_Mind_by_Attentively_Chanting_Holy_Name_SB-05_06_03_Mumbai_-_19-03-05_IDesireTr"&amp;"ee.mp3", "03_Controlling_Mind_by_Attentively_Chanting_Holy_Name_SB-05_06_03_Mumbai_-_19-03-05_IDesireTree.mp3")</f>
        <v>03_Controlling_Mind_by_Attentively_Chanting_Holy_Name_SB-05_06_03_Mumbai_-_19-03-05_IDesireTree.mp3</v>
      </c>
      <c r="D2147" s="24"/>
      <c r="E2147" s="24"/>
    </row>
    <row r="2148">
      <c r="A2148" s="25" t="s">
        <v>18352</v>
      </c>
      <c r="B2148" s="25" t="s">
        <v>18369</v>
      </c>
      <c r="C2148" s="26" t="str">
        <f>HYPERLINK("https://audio.iskcondesiretree.com/02_-_ISKCON_Swamis/ISKCON_Swamis_-_R_to_Y/His_Holiness_Radhanath_Swami/Lectures/00_-_Year_wise/Devotional_Nectar_-_2005/Vol_04/04_Material_World_a_Place_to_Live_and_Learn_Chetana_Lecture_Mumbai_-_19-03-05_IDesireTree.mp3", "04_Material_World_a_Place_to_Live_and_Learn_Chetana_Lecture_Mumbai_-_19-03-05_IDesireTree.mp3")</f>
        <v>04_Material_World_a_Place_to_Live_and_Learn_Chetana_Lecture_Mumbai_-_19-03-05_IDesireTree.mp3</v>
      </c>
      <c r="D2148" s="24"/>
      <c r="E2148" s="24"/>
    </row>
    <row r="2149">
      <c r="A2149" s="25" t="s">
        <v>18352</v>
      </c>
      <c r="B2149" s="25" t="s">
        <v>18369</v>
      </c>
      <c r="C2149" s="26" t="str">
        <f>HYPERLINK("https://audio.iskcondesiretree.com/02_-_ISKCON_Swamis/ISKCON_Swamis_-_R_to_Y/His_Holiness_Radhanath_Swami/Lectures/00_-_Year_wise/Devotional_Nectar_-_2005/Vol_04/05_Protect_Yourself_by_Chanting_Holy_Name_SB-05_06_04_Mumbai_-_20-03-05_IDesireTree.mp3", "05_Protect_Yourself_by_Chanting_Holy_Name_SB-05_06_04_Mumbai_-_20-03-05_IDesireTree.mp3")</f>
        <v>05_Protect_Yourself_by_Chanting_Holy_Name_SB-05_06_04_Mumbai_-_20-03-05_IDesireTree.mp3</v>
      </c>
      <c r="D2149" s="24"/>
      <c r="E2149" s="24"/>
    </row>
    <row r="2150">
      <c r="A2150" s="25" t="s">
        <v>18352</v>
      </c>
      <c r="B2150" s="25" t="s">
        <v>18369</v>
      </c>
      <c r="C2150" s="26" t="str">
        <f>HYPERLINK("https://audio.iskcondesiretree.com/02_-_ISKCON_Swamis/ISKCON_Swamis_-_R_to_Y/His_Holiness_Radhanath_Swami/Lectures/00_-_Year_wise/Devotional_Nectar_-_2005/Vol_04/06_Lord_Caitanya_Giving_Credit_to_Devotees_Sunday_Feast_Mumbai_-_20-03-05_IDesireTree.mp3", "06_Lord_Caitanya_Giving_Credit_to_Devotees_Sunday_Feast_Mumbai_-_20-03-05_IDesireTree.mp3")</f>
        <v>06_Lord_Caitanya_Giving_Credit_to_Devotees_Sunday_Feast_Mumbai_-_20-03-05_IDesireTree.mp3</v>
      </c>
      <c r="D2150" s="24"/>
      <c r="E2150" s="24"/>
    </row>
    <row r="2151">
      <c r="A2151" s="25" t="s">
        <v>18352</v>
      </c>
      <c r="B2151" s="25" t="s">
        <v>18369</v>
      </c>
      <c r="C2151" s="26" t="str">
        <f>HYPERLINK("https://audio.iskcondesiretree.com/02_-_ISKCON_Swamis/ISKCON_Swamis_-_R_to_Y/His_Holiness_Radhanath_Swami/Lectures/00_-_Year_wise/Devotional_Nectar_-_2005/Vol_04/07_Establishing_the_Truth_of_One_Supreme_Godhead_Lecture_Mumbai_-_24-03-05_IDesireTree.mp3", "07_Establishing_the_Truth_of_One_Supreme_Godhead_Lecture_Mumbai_-_24-03-05_IDesireTree.mp3")</f>
        <v>07_Establishing_the_Truth_of_One_Supreme_Godhead_Lecture_Mumbai_-_24-03-05_IDesireTree.mp3</v>
      </c>
      <c r="D2151" s="24"/>
      <c r="E2151" s="24"/>
    </row>
    <row r="2152">
      <c r="A2152" s="25" t="s">
        <v>18352</v>
      </c>
      <c r="B2152" s="25" t="s">
        <v>18369</v>
      </c>
      <c r="C2152" s="26" t="str">
        <f>HYPERLINK("https://audio.iskcondesiretree.com/02_-_ISKCON_Swamis/ISKCON_Swamis_-_R_to_Y/His_Holiness_Radhanath_Swami/Lectures/00_-_Year_wise/Devotional_Nectar_-_2005/Vol_04/08_The_Prelude_to_Caitanya_Lila_Lecture_Mumbai_-_Radhanath_Swami_2005-03-24_IDesireTree.mp3", "08_The_Prelude_to_Caitanya_Lila_Lecture_Mumbai_-_Radhanath_Swami_2005-03-24_IDesireTree.mp3")</f>
        <v>08_The_Prelude_to_Caitanya_Lila_Lecture_Mumbai_-_Radhanath_Swami_2005-03-24_IDesireTree.mp3</v>
      </c>
      <c r="D2152" s="24"/>
      <c r="E2152" s="24"/>
    </row>
    <row r="2153">
      <c r="A2153" s="25" t="s">
        <v>18352</v>
      </c>
      <c r="B2153" s="25" t="s">
        <v>18369</v>
      </c>
      <c r="C2153" s="26" t="str">
        <f>HYPERLINK("https://audio.iskcondesiretree.com/02_-_ISKCON_Swamis/ISKCON_Swamis_-_R_to_Y/His_Holiness_Radhanath_Swami/Lectures/00_-_Year_wise/Devotional_Nectar_-_2005/Vol_05/01_Lalita_Vishaka_Installation_Evening_Class_Lecture_Mumbai_-_02-04-05_IDesireTree.mp3", "01_Lalita_Vishaka_Installation_Evening_Class_Lecture_Mumbai_-_02-04-05_IDesireTree.mp3")</f>
        <v>01_Lalita_Vishaka_Installation_Evening_Class_Lecture_Mumbai_-_02-04-05_IDesireTree.mp3</v>
      </c>
      <c r="D2153" s="24"/>
      <c r="E2153" s="24"/>
    </row>
    <row r="2154">
      <c r="A2154" s="25" t="s">
        <v>18352</v>
      </c>
      <c r="B2154" s="25" t="s">
        <v>18369</v>
      </c>
      <c r="C2154" s="26" t="str">
        <f>HYPERLINK("https://audio.iskcondesiretree.com/02_-_ISKCON_Swamis/ISKCON_Swamis_-_R_to_Y/His_Holiness_Radhanath_Swami/Lectures/00_-_Year_wise/Devotional_Nectar_-_2005/Vol_05/02_Developing_Selfless_Service_Attitude_Sunday_Feast_Mumbai_-_03-04-05_IDesireTree.mp3", "02_Developing_Selfless_Service_Attitude_Sunday_Feast_Mumbai_-_03-04-05_IDesireTree.mp3")</f>
        <v>02_Developing_Selfless_Service_Attitude_Sunday_Feast_Mumbai_-_03-04-05_IDesireTree.mp3</v>
      </c>
      <c r="D2154" s="24"/>
      <c r="E2154" s="24"/>
    </row>
    <row r="2155">
      <c r="A2155" s="25" t="s">
        <v>18352</v>
      </c>
      <c r="B2155" s="25" t="s">
        <v>18369</v>
      </c>
      <c r="C2155" s="26" t="str">
        <f>HYPERLINK("https://audio.iskcondesiretree.com/02_-_ISKCON_Swamis/ISKCON_Swamis_-_R_to_Y/His_Holiness_Radhanath_Swami/Lectures/00_-_Year_wise/Devotional_Nectar_-_2005/Vol_05/03_Value_of_Sadhu_Sanga_Questions_%26_Answers_London_-_06-04-05_IDesireTree.mp3", "03_Value_of_Sadhu_Sanga_Questions_%26_Answers_London_-_06-04-05_IDesireTree.mp3")</f>
        <v>03_Value_of_Sadhu_Sanga_Questions_%26_Answers_London_-_06-04-05_IDesireTree.mp3</v>
      </c>
      <c r="D2155" s="24"/>
      <c r="E2155" s="24"/>
    </row>
    <row r="2156">
      <c r="A2156" s="25" t="s">
        <v>18352</v>
      </c>
      <c r="B2156" s="25" t="s">
        <v>18369</v>
      </c>
      <c r="C2156" s="26" t="str">
        <f>HYPERLINK("https://audio.iskcondesiretree.com/02_-_ISKCON_Swamis/ISKCON_Swamis_-_R_to_Y/His_Holiness_Radhanath_Swami/Lectures/00_-_Year_wise/Devotional_Nectar_-_2005/Vol_05/04_Keeping_Prabhupada%27s_Family_Alive_Lecture_London_-_06-04-05_IDesireTree.mp3", "04_Keeping_Prabhupada%27s_Family_Alive_Lecture_London_-_06-04-05_IDesireTree.mp3")</f>
        <v>04_Keeping_Prabhupada%27s_Family_Alive_Lecture_London_-_06-04-05_IDesireTree.mp3</v>
      </c>
      <c r="D2156" s="24"/>
      <c r="E2156" s="24"/>
    </row>
    <row r="2157">
      <c r="A2157" s="25" t="s">
        <v>18352</v>
      </c>
      <c r="B2157" s="25" t="s">
        <v>18369</v>
      </c>
      <c r="C2157" s="26" t="str">
        <f>HYPERLINK("https://audio.iskcondesiretree.com/02_-_ISKCON_Swamis/ISKCON_Swamis_-_R_to_Y/His_Holiness_Radhanath_Swami/Lectures/00_-_Year_wise/Devotional_Nectar_-_2005/Vol_05/05_Value_of_a_Moment%27s_Association_With_a_Pure_Devotee_SB-04_30_34_Germany_-_06-04-05_IDesi"&amp;"reTree.mp3", "05_Value_of_a_Moment%27s_Association_With_a_Pure_Devotee_SB-04_30_34_Germany_-_06-04-05_IDesireTree.mp3")</f>
        <v>05_Value_of_a_Moment%27s_Association_With_a_Pure_Devotee_SB-04_30_34_Germany_-_06-04-05_IDesireTree.mp3</v>
      </c>
      <c r="D2157" s="24"/>
      <c r="E2157" s="24"/>
    </row>
    <row r="2158">
      <c r="A2158" s="25" t="s">
        <v>18352</v>
      </c>
      <c r="B2158" s="25" t="s">
        <v>18369</v>
      </c>
      <c r="C2158" s="26" t="str">
        <f>HYPERLINK("https://audio.iskcondesiretree.com/02_-_ISKCON_Swamis/ISKCON_Swamis_-_R_to_Y/His_Holiness_Radhanath_Swami/Lectures/00_-_Year_wise/Devotional_Nectar_-_2005/Vol_05/06_Put_Your_Faith_in_Krishna_Lecture_Germany_-_Radhanath_Swami_April_2005_IDesireTree.mp3", "06_Put_Your_Faith_in_Krishna_Lecture_Germany_-_Radhanath_Swami_April_2005_IDesireTree.mp3")</f>
        <v>06_Put_Your_Faith_in_Krishna_Lecture_Germany_-_Radhanath_Swami_April_2005_IDesireTree.mp3</v>
      </c>
      <c r="D2158" s="24"/>
      <c r="E2158" s="24"/>
    </row>
    <row r="2159">
      <c r="A2159" s="25" t="s">
        <v>18352</v>
      </c>
      <c r="B2159" s="25" t="s">
        <v>18369</v>
      </c>
      <c r="C2159" s="26" t="str">
        <f>HYPERLINK("https://audio.iskcondesiretree.com/02_-_ISKCON_Swamis/ISKCON_Swamis_-_R_to_Y/His_Holiness_Radhanath_Swami/Lectures/00_-_Year_wise/Devotional_Nectar_-_2005/Vol_05/07_No_Shelter_Besides_Krishna%27s_Lotus_Feet_Lecture_London_-_April_2005_IDesireTree.mp3", "07_No_Shelter_Besides_Krishna%27s_Lotus_Feet_Lecture_London_-_April_2005_IDesireTree.mp3")</f>
        <v>07_No_Shelter_Besides_Krishna%27s_Lotus_Feet_Lecture_London_-_April_2005_IDesireTree.mp3</v>
      </c>
      <c r="D2159" s="24"/>
      <c r="E2159" s="24"/>
    </row>
    <row r="2160">
      <c r="A2160" s="25" t="s">
        <v>18352</v>
      </c>
      <c r="B2160" s="25" t="s">
        <v>18369</v>
      </c>
      <c r="C2160" s="26" t="str">
        <f>HYPERLINK("https://audio.iskcondesiretree.com/02_-_ISKCON_Swamis/ISKCON_Swamis_-_R_to_Y/His_Holiness_Radhanath_Swami/Lectures/00_-_Year_wise/Devotional_Nectar_-_2005/Vol_05/08_Family_Values_Lecture_London_-_Radhanath_Swami_April_2005_IDesireTree.mp3", "08_Family_Values_Lecture_London_-_Radhanath_Swami_April_2005_IDesireTree.mp3")</f>
        <v>08_Family_Values_Lecture_London_-_Radhanath_Swami_April_2005_IDesireTree.mp3</v>
      </c>
      <c r="D2160" s="24"/>
      <c r="E2160" s="24"/>
    </row>
    <row r="2161">
      <c r="A2161" s="25" t="s">
        <v>18352</v>
      </c>
      <c r="B2161" s="25" t="s">
        <v>18369</v>
      </c>
      <c r="C2161" s="26" t="str">
        <f>HYPERLINK("https://audio.iskcondesiretree.com/02_-_ISKCON_Swamis/ISKCON_Swamis_-_R_to_Y/His_Holiness_Radhanath_Swami/Lectures/00_-_Year_wise/Devotional_Nectar_-_2005/Vol_05/09_House_Program-Nikunja_Prabhu_Lecture_London_-_Radhanath_Swami_April_2005_IDesireTree.mp3", "09_House_Program-Nikunja_Prabhu_Lecture_London_-_Radhanath_Swami_April_2005_IDesireTree.mp3")</f>
        <v>09_House_Program-Nikunja_Prabhu_Lecture_London_-_Radhanath_Swami_April_2005_IDesireTree.mp3</v>
      </c>
      <c r="D2161" s="24"/>
      <c r="E2161" s="24"/>
    </row>
    <row r="2162">
      <c r="A2162" s="25" t="s">
        <v>18352</v>
      </c>
      <c r="B2162" s="25" t="s">
        <v>18369</v>
      </c>
      <c r="C2162" s="26" t="str">
        <f>HYPERLINK("https://audio.iskcondesiretree.com/02_-_ISKCON_Swamis/ISKCON_Swamis_-_R_to_Y/His_Holiness_Radhanath_Swami/Lectures/00_-_Year_wise/Devotional_Nectar_-_2005/Vol_05/10_Serving_the_Servants_Lecture_Gita_Nagari_-_Radhanath_Swami_June_2005_IDesireTree.mp3", "10_Serving_the_Servants_Lecture_Gita_Nagari_-_Radhanath_Swami_June_2005_IDesireTree.mp3")</f>
        <v>10_Serving_the_Servants_Lecture_Gita_Nagari_-_Radhanath_Swami_June_2005_IDesireTree.mp3</v>
      </c>
      <c r="D2162" s="24"/>
      <c r="E2162" s="24"/>
    </row>
    <row r="2163">
      <c r="A2163" s="25" t="s">
        <v>18352</v>
      </c>
      <c r="B2163" s="25" t="s">
        <v>18369</v>
      </c>
      <c r="C2163" s="26" t="str">
        <f>HYPERLINK("https://audio.iskcondesiretree.com/02_-_ISKCON_Swamis/ISKCON_Swamis_-_R_to_Y/His_Holiness_Radhanath_Swami/Lectures/00_-_Year_wise/Devotional_Nectar_-_2005/Vol_05/11Cooperation_Among_Devotees_SB-04_22_32_Gita_Nagari_-_June_2005_IDesireTree.mp3", "11Cooperation_Among_Devotees_SB-04_22_32_Gita_Nagari_-_June_2005_IDesireTree.mp3")</f>
        <v>11Cooperation_Among_Devotees_SB-04_22_32_Gita_Nagari_-_June_2005_IDesireTree.mp3</v>
      </c>
      <c r="D2163" s="24"/>
      <c r="E2163" s="24"/>
    </row>
    <row r="2164">
      <c r="A2164" s="25" t="s">
        <v>18352</v>
      </c>
      <c r="B2164" s="25" t="s">
        <v>18369</v>
      </c>
      <c r="C2164" s="26" t="str">
        <f>HYPERLINK("https://audio.iskcondesiretree.com/02_-_ISKCON_Swamis/ISKCON_Swamis_-_R_to_Y/His_Holiness_Radhanath_Swami/Lectures/00_-_Year_wise/Devotional_Nectar_-_2005/Vol_06/01_Overcoming_Influence_of_Materal_Modes_SB_Lecture_Gita_Nagari_-_June_2005_IDesireTree.mp3", "01_Overcoming_Influence_of_Materal_Modes_SB_Lecture_Gita_Nagari_-_June_2005_IDesireTree.mp3")</f>
        <v>01_Overcoming_Influence_of_Materal_Modes_SB_Lecture_Gita_Nagari_-_June_2005_IDesireTree.mp3</v>
      </c>
      <c r="D2164" s="24"/>
      <c r="E2164" s="24"/>
    </row>
    <row r="2165">
      <c r="A2165" s="25" t="s">
        <v>18352</v>
      </c>
      <c r="B2165" s="25" t="s">
        <v>18369</v>
      </c>
      <c r="C2165" s="26" t="str">
        <f>HYPERLINK("https://audio.iskcondesiretree.com/02_-_ISKCON_Swamis/ISKCON_Swamis_-_R_to_Y/His_Holiness_Radhanath_Swami/Lectures/00_-_Year_wise/Devotional_Nectar_-_2005/Vol_06/02_Glorious_Qualities_of_Prthu_Maharaj_SB-04_22_54_Gita_Nagari_-_June_2005_IDesireTree.mp3", "02_Glorious_Qualities_of_Prthu_Maharaj_SB-04_22_54_Gita_Nagari_-_June_2005_IDesireTree.mp3")</f>
        <v>02_Glorious_Qualities_of_Prthu_Maharaj_SB-04_22_54_Gita_Nagari_-_June_2005_IDesireTree.mp3</v>
      </c>
      <c r="D2165" s="24"/>
      <c r="E2165" s="24"/>
    </row>
    <row r="2166">
      <c r="A2166" s="25" t="s">
        <v>18352</v>
      </c>
      <c r="B2166" s="25" t="s">
        <v>18369</v>
      </c>
      <c r="C2166" s="26" t="str">
        <f>HYPERLINK("https://audio.iskcondesiretree.com/02_-_ISKCON_Swamis/ISKCON_Swamis_-_R_to_Y/His_Holiness_Radhanath_Swami/Lectures/00_-_Year_wise/Devotional_Nectar_-_2005/Vol_06/03_Following_in_the_Footsteps_SB-04_22_56_Gita_Nagari_-_June_2005_IDesireTree.mp3", "03_Following_in_the_Footsteps_SB-04_22_56_Gita_Nagari_-_June_2005_IDesireTree.mp3")</f>
        <v>03_Following_in_the_Footsteps_SB-04_22_56_Gita_Nagari_-_June_2005_IDesireTree.mp3</v>
      </c>
      <c r="D2166" s="24"/>
      <c r="E2166" s="24"/>
    </row>
    <row r="2167">
      <c r="A2167" s="25" t="s">
        <v>18352</v>
      </c>
      <c r="B2167" s="25" t="s">
        <v>18369</v>
      </c>
      <c r="C2167" s="26" t="str">
        <f>HYPERLINK("https://audio.iskcondesiretree.com/02_-_ISKCON_Swamis/ISKCON_Swamis_-_R_to_Y/His_Holiness_Radhanath_Swami/Lectures/00_-_Year_wise/Devotional_Nectar_-_2005/Vol_06/04_Lord_Caitanya_Pleases_Haridas_Thakur_Lecture_Gita_Nagari_-_June_2005_IDesireTree.mp3", "04_Lord_Caitanya_Pleases_Haridas_Thakur_Lecture_Gita_Nagari_-_June_2005_IDesireTree.mp3")</f>
        <v>04_Lord_Caitanya_Pleases_Haridas_Thakur_Lecture_Gita_Nagari_-_June_2005_IDesireTree.mp3</v>
      </c>
      <c r="D2167" s="24"/>
      <c r="E2167" s="24"/>
    </row>
    <row r="2168">
      <c r="A2168" s="25" t="s">
        <v>18352</v>
      </c>
      <c r="B2168" s="25" t="s">
        <v>18369</v>
      </c>
      <c r="C2168" s="26" t="str">
        <f>HYPERLINK("https://audio.iskcondesiretree.com/02_-_ISKCON_Swamis/ISKCON_Swamis_-_R_to_Y/His_Holiness_Radhanath_Swami/Lectures/00_-_Year_wise/Devotional_Nectar_-_2005/Vol_06/05_Jagadananda_Pandits_Loving_Relations_Lecture_Gita_Nagari_-_June_2005_IDesireTree.mp3", "05_Jagadananda_Pandits_Loving_Relations_Lecture_Gita_Nagari_-_June_2005_IDesireTree.mp3")</f>
        <v>05_Jagadananda_Pandits_Loving_Relations_Lecture_Gita_Nagari_-_June_2005_IDesireTree.mp3</v>
      </c>
      <c r="D2168" s="24"/>
      <c r="E2168" s="24"/>
    </row>
    <row r="2169">
      <c r="A2169" s="25" t="s">
        <v>18352</v>
      </c>
      <c r="B2169" s="25" t="s">
        <v>18369</v>
      </c>
      <c r="C2169" s="26" t="str">
        <f>HYPERLINK("https://audio.iskcondesiretree.com/02_-_ISKCON_Swamis/ISKCON_Swamis_-_R_to_Y/His_Holiness_Radhanath_Swami/Lectures/00_-_Year_wise/Devotional_Nectar_-_2005/Vol_06/06_Bhimasena%27s_Wedding_Lecture_New_Vrindavan_-_Radhanath_Swami_Spring_2005_IDesireTree.mp3", "06_Bhimasena%27s_Wedding_Lecture_New_Vrindavan_-_Radhanath_Swami_Spring_2005_IDesireTree.mp3")</f>
        <v>06_Bhimasena%27s_Wedding_Lecture_New_Vrindavan_-_Radhanath_Swami_Spring_2005_IDesireTree.mp3</v>
      </c>
      <c r="D2169" s="24"/>
      <c r="E2169" s="24"/>
    </row>
    <row r="2170">
      <c r="A2170" s="25" t="s">
        <v>18352</v>
      </c>
      <c r="B2170" s="25" t="s">
        <v>18369</v>
      </c>
      <c r="C2170" s="26" t="str">
        <f>HYPERLINK("https://audio.iskcondesiretree.com/02_-_ISKCON_Swamis/ISKCON_Swamis_-_R_to_Y/His_Holiness_Radhanath_Swami/Lectures/00_-_Year_wise/Devotional_Nectar_-_2005/Vol_06/07_Sunday_Feast_Sunday_Feast_Brooklyn_-_Radhanath_Swami_Spring_2005_IDesireTree.mp3", "07_Sunday_Feast_Sunday_Feast_Brooklyn_-_Radhanath_Swami_Spring_2005_IDesireTree.mp3")</f>
        <v>07_Sunday_Feast_Sunday_Feast_Brooklyn_-_Radhanath_Swami_Spring_2005_IDesireTree.mp3</v>
      </c>
      <c r="D2170" s="24"/>
      <c r="E2170" s="24"/>
    </row>
    <row r="2171">
      <c r="A2171" s="25" t="s">
        <v>18352</v>
      </c>
      <c r="B2171" s="25" t="s">
        <v>18369</v>
      </c>
      <c r="C2171" s="26" t="str">
        <f>HYPERLINK("https://audio.iskcondesiretree.com/02_-_ISKCON_Swamis/ISKCON_Swamis_-_R_to_Y/His_Holiness_Radhanath_Swami/Lectures/00_-_Year_wise/Devotional_Nectar_-_2005/Vol_06/08_Lord_Imprisioned_in_the_Heart_of_His_DevoteeLecture_Chicago_-_Spring_2005_IDesireTree.mp3", "08_Lord_Imprisioned_in_the_Heart_of_His_DevoteeLecture_Chicago_-_Spring_2005_IDesireTree.mp3")</f>
        <v>08_Lord_Imprisioned_in_the_Heart_of_His_DevoteeLecture_Chicago_-_Spring_2005_IDesireTree.mp3</v>
      </c>
      <c r="D2171" s="24"/>
      <c r="E2171" s="24"/>
    </row>
    <row r="2172">
      <c r="A2172" s="25" t="s">
        <v>18352</v>
      </c>
      <c r="B2172" s="25" t="s">
        <v>18369</v>
      </c>
      <c r="C2172" s="26" t="str">
        <f>HYPERLINK("https://audio.iskcondesiretree.com/02_-_ISKCON_Swamis/ISKCON_Swamis_-_R_to_Y/His_Holiness_Radhanath_Swami/Lectures/00_-_Year_wise/Devotional_Nectar_-_2005/Vol_06/09_Servant_Leadership_Lecture_Columbia_-_Radhanath_Swami_Spring_2005_IDesireTree.mp3", "09_Servant_Leadership_Lecture_Columbia_-_Radhanath_Swami_Spring_2005_IDesireTree.mp3")</f>
        <v>09_Servant_Leadership_Lecture_Columbia_-_Radhanath_Swami_Spring_2005_IDesireTree.mp3</v>
      </c>
      <c r="D2172" s="24"/>
      <c r="E2172" s="24"/>
    </row>
    <row r="2173">
      <c r="A2173" s="25" t="s">
        <v>18352</v>
      </c>
      <c r="B2173" s="25" t="s">
        <v>18369</v>
      </c>
      <c r="C2173" s="26" t="str">
        <f>HYPERLINK("https://audio.iskcondesiretree.com/02_-_ISKCON_Swamis/ISKCON_Swamis_-_R_to_Y/His_Holiness_Radhanath_Swami/Lectures/00_-_Year_wise/Devotional_Nectar_-_2005/Vol_06/10_Festival_of_Inspiration_Final_Addres_Lecture_New_Vrindavan_-_Spring_2005_IDesireTree.mp3", "10_Festival_of_Inspiration_Final_Addres_Lecture_New_Vrindavan_-_Spring_2005_IDesireTree.mp3")</f>
        <v>10_Festival_of_Inspiration_Final_Addres_Lecture_New_Vrindavan_-_Spring_2005_IDesireTree.mp3</v>
      </c>
      <c r="D2173" s="24"/>
      <c r="E2173" s="24"/>
    </row>
    <row r="2174">
      <c r="A2174" s="25" t="s">
        <v>18352</v>
      </c>
      <c r="B2174" s="25" t="s">
        <v>18369</v>
      </c>
      <c r="C2174" s="26" t="str">
        <f>HYPERLINK("https://audio.iskcondesiretree.com/02_-_ISKCON_Swamis/ISKCON_Swamis_-_R_to_Y/His_Holiness_Radhanath_Swami/Lectures/00_-_Year_wise/Devotional_Nectar_-_2005/Vol_06/11_First_Rath_Yatra-San_Francisco_Becomes_New_Jagannath_Puri_Lecture_US_-_Spring_2005_IDesire"&amp;"Tree.mp3", "11_First_Rath_Yatra-San_Francisco_Becomes_New_Jagannath_Puri_Lecture_US_-_Spring_2005_IDesireTree.mp3")</f>
        <v>11_First_Rath_Yatra-San_Francisco_Becomes_New_Jagannath_Puri_Lecture_US_-_Spring_2005_IDesireTree.mp3</v>
      </c>
      <c r="D2174" s="24"/>
      <c r="E2174" s="24"/>
    </row>
    <row r="2175">
      <c r="A2175" s="25" t="s">
        <v>18352</v>
      </c>
      <c r="B2175" s="25" t="s">
        <v>18369</v>
      </c>
      <c r="C2175" s="26" t="str">
        <f>HYPERLINK("https://audio.iskcondesiretree.com/02_-_ISKCON_Swamis/ISKCON_Swamis_-_R_to_Y/His_Holiness_Radhanath_Swami/Lectures/00_-_Year_wise/Devotional_Nectar_-_2005/Vol_06/12_Significance_of_Gundica_Marjanam_Lecture_US_-_Radhanath_Swami_Spring_2005_IDesireTree.mp3", "12_Significance_of_Gundica_Marjanam_Lecture_US_-_Radhanath_Swami_Spring_2005_IDesireTree.mp3")</f>
        <v>12_Significance_of_Gundica_Marjanam_Lecture_US_-_Radhanath_Swami_Spring_2005_IDesireTree.mp3</v>
      </c>
      <c r="D2175" s="24"/>
      <c r="E2175" s="24"/>
    </row>
    <row r="2176">
      <c r="A2176" s="25" t="s">
        <v>18352</v>
      </c>
      <c r="B2176" s="25" t="s">
        <v>18369</v>
      </c>
      <c r="C2176" s="26" t="str">
        <f>HYPERLINK("https://audio.iskcondesiretree.com/02_-_ISKCON_Swamis/ISKCON_Swamis_-_R_to_Y/His_Holiness_Radhanath_Swami/Lectures/00_-_Year_wise/Devotional_Nectar_-_2005/Vol_06/13_Spirituality_%26_Vegetarianism_Lecture_New_York_University_-_Spring_2005_IDesireTree.mp3", "13_Spirituality_%26_Vegetarianism_Lecture_New_York_University_-_Spring_2005_IDesireTree.mp3")</f>
        <v>13_Spirituality_%26_Vegetarianism_Lecture_New_York_University_-_Spring_2005_IDesireTree.mp3</v>
      </c>
      <c r="D2176" s="24"/>
      <c r="E2176" s="24"/>
    </row>
    <row r="2177">
      <c r="A2177" s="25" t="s">
        <v>18352</v>
      </c>
      <c r="B2177" s="25" t="s">
        <v>18369</v>
      </c>
      <c r="C2177" s="26" t="str">
        <f>HYPERLINK("https://audio.iskcondesiretree.com/02_-_ISKCON_Swamis/ISKCON_Swamis_-_R_to_Y/His_Holiness_Radhanath_Swami/Lectures/00_-_Year_wise/Devotional_Nectar_-_2005/Vol_06/14_Exchange_of_Hearts_SB-01_16_34_Chicago_-_Radhanath_Swami_Spring_2005_IDesireTree.mp3", "14_Exchange_of_Hearts_SB-01_16_34_Chicago_-_Radhanath_Swami_Spring_2005_IDesireTree.mp3")</f>
        <v>14_Exchange_of_Hearts_SB-01_16_34_Chicago_-_Radhanath_Swami_Spring_2005_IDesireTree.mp3</v>
      </c>
      <c r="D2177" s="24"/>
      <c r="E2177" s="24"/>
    </row>
    <row r="2178">
      <c r="A2178" s="25" t="s">
        <v>18352</v>
      </c>
      <c r="B2178" s="25" t="s">
        <v>18369</v>
      </c>
      <c r="C2178" s="26" t="str">
        <f>HYPERLINK("https://audio.iskcondesiretree.com/02_-_ISKCON_Swamis/ISKCON_Swamis_-_R_to_Y/His_Holiness_Radhanath_Swami/Lectures/00_-_Year_wise/Devotional_Nectar_-_2005/Vol_07/01_Glories_of_Srila_Vrindavan_Das_Thakur_SB-07_03_01_New_Vrindavan_-_Spring_2005_IDesireTree."&amp;"mp3", "01_Glories_of_Srila_Vrindavan_Das_Thakur_SB-07_03_01_New_Vrindavan_-_Spring_2005_IDesireTree.mp3")</f>
        <v>01_Glories_of_Srila_Vrindavan_Das_Thakur_SB-07_03_01_New_Vrindavan_-_Spring_2005_IDesireTree.mp3</v>
      </c>
      <c r="D2178" s="24"/>
      <c r="E2178" s="24"/>
    </row>
    <row r="2179">
      <c r="A2179" s="25" t="s">
        <v>18352</v>
      </c>
      <c r="B2179" s="25" t="s">
        <v>18369</v>
      </c>
      <c r="C2179" s="26" t="str">
        <f>HYPERLINK("https://audio.iskcondesiretree.com/02_-_ISKCON_Swamis/ISKCON_Swamis_-_R_to_Y/His_Holiness_Radhanath_Swami/Lectures/00_-_Year_wise/Devotional_Nectar_-_2005/Vol_07/02_Inspiring_One_Another_in_Krishna_Consciousness_SB-07_03_30_US_-_Spring_2005_IDesireTree.mp"&amp;"3", "02_Inspiring_One_Another_in_Krishna_Consciousness_SB-07_03_30_US_-_Spring_2005_IDesireTree.mp3")</f>
        <v>02_Inspiring_One_Another_in_Krishna_Consciousness_SB-07_03_30_US_-_Spring_2005_IDesireTree.mp3</v>
      </c>
      <c r="D2179" s="24"/>
      <c r="E2179" s="24"/>
    </row>
    <row r="2180">
      <c r="A2180" s="25" t="s">
        <v>18352</v>
      </c>
      <c r="B2180" s="25" t="s">
        <v>18369</v>
      </c>
      <c r="C2180" s="26" t="str">
        <f>HYPERLINK("https://audio.iskcondesiretree.com/02_-_ISKCON_Swamis/ISKCON_Swamis_-_R_to_Y/His_Holiness_Radhanath_Swami/Lectures/00_-_Year_wise/Devotional_Nectar_-_2005/Vol_07/03_Gravity_of_Vaisnav_offense_SB-04_06_37_US_-_West_Coast_2005_IDesireTree.mp3", "03_Gravity_of_Vaisnav_offense_SB-04_06_37_US_-_West_Coast_2005_IDesireTree.mp3")</f>
        <v>03_Gravity_of_Vaisnav_offense_SB-04_06_37_US_-_West_Coast_2005_IDesireTree.mp3</v>
      </c>
      <c r="D2180" s="24"/>
      <c r="E2180" s="24"/>
    </row>
    <row r="2181">
      <c r="A2181" s="25" t="s">
        <v>18352</v>
      </c>
      <c r="B2181" s="25" t="s">
        <v>18369</v>
      </c>
      <c r="C2181" s="26" t="str">
        <f>HYPERLINK("https://audio.iskcondesiretree.com/02_-_ISKCON_Swamis/ISKCON_Swamis_-_R_to_Y/His_Holiness_Radhanath_Swami/Lectures/00_-_Year_wise/Devotional_Nectar_-_2005/Vol_07/04_Do_Not_Be_Restless_Like_a_Lightning_Flash_SB-10_20_17_US_-_West_Coast_2005_IDesireTree.mp3", "04_Do_Not_Be_Restless_Like_a_Lightning_Flash_SB-10_20_17_US_-_West_Coast_2005_IDesireTree.mp3")</f>
        <v>04_Do_Not_Be_Restless_Like_a_Lightning_Flash_SB-10_20_17_US_-_West_Coast_2005_IDesireTree.mp3</v>
      </c>
      <c r="D2181" s="24"/>
      <c r="E2181" s="24"/>
    </row>
    <row r="2182">
      <c r="A2182" s="25" t="s">
        <v>18352</v>
      </c>
      <c r="B2182" s="25" t="s">
        <v>18369</v>
      </c>
      <c r="C2182" s="26" t="str">
        <f>HYPERLINK("https://audio.iskcondesiretree.com/02_-_ISKCON_Swamis/ISKCON_Swamis_-_R_to_Y/His_Holiness_Radhanath_Swami/Lectures/00_-_Year_wise/Devotional_Nectar_-_2005/Vol_07/05_The_Glories_of_HH_Bhakti_Tirtha_Swami_SB_Lecture_US_-_West_Coast_2005_IDesireTree.mp3", "05_The_Glories_of_HH_Bhakti_Tirtha_Swami_SB_Lecture_US_-_West_Coast_2005_IDesireTree.mp3")</f>
        <v>05_The_Glories_of_HH_Bhakti_Tirtha_Swami_SB_Lecture_US_-_West_Coast_2005_IDesireTree.mp3</v>
      </c>
      <c r="D2182" s="24"/>
      <c r="E2182" s="24"/>
    </row>
    <row r="2183">
      <c r="A2183" s="25" t="s">
        <v>18352</v>
      </c>
      <c r="B2183" s="25" t="s">
        <v>18369</v>
      </c>
      <c r="C2183" s="26" t="str">
        <f>HYPERLINK("https://audio.iskcondesiretree.com/02_-_ISKCON_Swamis/ISKCON_Swamis_-_R_to_Y/His_Holiness_Radhanath_Swami/Lectures/00_-_Year_wise/Devotional_Nectar_-_2005/Vol_07/06_The_Glories_of_Lord_Shiva_SB-04_06_42_US_-_Radhanath_Swami_West_Coast_2005_IDesireTree.mp3", "06_The_Glories_of_Lord_Shiva_SB-04_06_42_US_-_Radhanath_Swami_West_Coast_2005_IDesireTree.mp3")</f>
        <v>06_The_Glories_of_Lord_Shiva_SB-04_06_42_US_-_Radhanath_Swami_West_Coast_2005_IDesireTree.mp3</v>
      </c>
      <c r="D2183" s="24"/>
      <c r="E2183" s="24"/>
    </row>
    <row r="2184">
      <c r="A2184" s="25" t="s">
        <v>18352</v>
      </c>
      <c r="B2184" s="25" t="s">
        <v>18369</v>
      </c>
      <c r="C2184" s="26" t="str">
        <f>HYPERLINK("https://audio.iskcondesiretree.com/02_-_ISKCON_Swamis/ISKCON_Swamis_-_R_to_Y/His_Holiness_Radhanath_Swami/Lectures/00_-_Year_wise/Devotional_Nectar_-_2005/Vol_07/07_Varnashrama_Dharma_SB-04_06_44_US_-_Radhanath_Swami_West_Coast_2005_IDesireTree.mp3", "07_Varnashrama_Dharma_SB-04_06_44_US_-_Radhanath_Swami_West_Coast_2005_IDesireTree.mp3")</f>
        <v>07_Varnashrama_Dharma_SB-04_06_44_US_-_Radhanath_Swami_West_Coast_2005_IDesireTree.mp3</v>
      </c>
      <c r="D2184" s="24"/>
      <c r="E2184" s="24"/>
    </row>
    <row r="2185">
      <c r="A2185" s="25" t="s">
        <v>18352</v>
      </c>
      <c r="B2185" s="25" t="s">
        <v>18369</v>
      </c>
      <c r="C2185" s="26" t="str">
        <f>HYPERLINK("https://audio.iskcondesiretree.com/02_-_ISKCON_Swamis/ISKCON_Swamis_-_R_to_Y/His_Holiness_Radhanath_Swami/Lectures/00_-_Year_wise/Devotional_Nectar_-_2005/Vol_07/08_Responsibility_Lecture_London_-_Radhanath_Swami_August_2005_IDesireTree.mp3", "08_Responsibility_Lecture_London_-_Radhanath_Swami_August_2005_IDesireTree.mp3")</f>
        <v>08_Responsibility_Lecture_London_-_Radhanath_Swami_August_2005_IDesireTree.mp3</v>
      </c>
      <c r="D2185" s="24"/>
      <c r="E2185" s="24"/>
    </row>
    <row r="2186">
      <c r="A2186" s="25" t="s">
        <v>18352</v>
      </c>
      <c r="B2186" s="25" t="s">
        <v>18369</v>
      </c>
      <c r="C2186" s="26" t="str">
        <f>HYPERLINK("https://audio.iskcondesiretree.com/02_-_ISKCON_Swamis/ISKCON_Swamis_-_R_to_Y/His_Holiness_Radhanath_Swami/Lectures/00_-_Year_wise/Devotional_Nectar_-_2005/Vol_07/09_Maya_Traps_The_Puffed_Up_SB-05_13_23_Mumbai_-_Radhanath_Swami_2005-09-07_IDesireTree.mp3", "09_Maya_Traps_The_Puffed_Up_SB-05_13_23_Mumbai_-_Radhanath_Swami_2005-09-07_IDesireTree.mp3")</f>
        <v>09_Maya_Traps_The_Puffed_Up_SB-05_13_23_Mumbai_-_Radhanath_Swami_2005-09-07_IDesireTree.mp3</v>
      </c>
      <c r="D2186" s="24"/>
      <c r="E2186" s="24"/>
    </row>
    <row r="2187">
      <c r="A2187" s="25" t="s">
        <v>18352</v>
      </c>
      <c r="B2187" s="25" t="s">
        <v>18369</v>
      </c>
      <c r="C2187" s="26" t="str">
        <f>HYPERLINK("https://audio.iskcondesiretree.com/02_-_ISKCON_Swamis/ISKCON_Swamis_-_R_to_Y/His_Holiness_Radhanath_Swami/Lectures/00_-_Year_wise/Devotional_Nectar_-_2005/Vol_08/01_What_Janmashtami_Really_Means_Lecture_Mumbai_-_Radhanath_Swami_2005-09-09_IDesireTree.mp3", "01_What_Janmashtami_Really_Means_Lecture_Mumbai_-_Radhanath_Swami_2005-09-09_IDesireTree.mp3")</f>
        <v>01_What_Janmashtami_Really_Means_Lecture_Mumbai_-_Radhanath_Swami_2005-09-09_IDesireTree.mp3</v>
      </c>
      <c r="D2187" s="24"/>
      <c r="E2187" s="24"/>
    </row>
    <row r="2188">
      <c r="A2188" s="25" t="s">
        <v>18352</v>
      </c>
      <c r="B2188" s="25" t="s">
        <v>18369</v>
      </c>
      <c r="C2188" s="26" t="str">
        <f>HYPERLINK("https://audio.iskcondesiretree.com/02_-_ISKCON_Swamis/ISKCON_Swamis_-_R_to_Y/His_Holiness_Radhanath_Swami/Lectures/00_-_Year_wise/Devotional_Nectar_-_2005/Vol_08/02_Transcending_Material_Misery_%26_Lalita_Devi%27s_Appearance_Day_SB-5_14_1_Mumbai_-_10-09-0"&amp;"5_IDesireTree.mp3", "02_Transcending_Material_Misery_%26_Lalita_Devi%27s_Appearance_Day_SB-5_14_1_Mumbai_-_10-09-05_IDesireTree.mp3")</f>
        <v>02_Transcending_Material_Misery_%26_Lalita_Devi%27s_Appearance_Day_SB-5_14_1_Mumbai_-_10-09-05_IDesireTree.mp3</v>
      </c>
      <c r="D2188" s="24"/>
      <c r="E2188" s="24"/>
    </row>
    <row r="2189">
      <c r="A2189" s="25" t="s">
        <v>18352</v>
      </c>
      <c r="B2189" s="25" t="s">
        <v>18369</v>
      </c>
      <c r="C2189" s="26" t="str">
        <f>HYPERLINK("https://audio.iskcondesiretree.com/02_-_ISKCON_Swamis/ISKCON_Swamis_-_R_to_Y/His_Holiness_Radhanath_Swami/Lectures/00_-_Year_wise/Devotional_Nectar_-_2005/Vol_08/03_Glories_of_Srila_Swaroop_Damodar_Goswami_Lecture_Mumbai_-_10-09-05_IDesireTree.mp3", "03_Glories_of_Srila_Swaroop_Damodar_Goswami_Lecture_Mumbai_-_10-09-05_IDesireTree.mp3")</f>
        <v>03_Glories_of_Srila_Swaroop_Damodar_Goswami_Lecture_Mumbai_-_10-09-05_IDesireTree.mp3</v>
      </c>
      <c r="D2189" s="24"/>
      <c r="E2189" s="24"/>
    </row>
    <row r="2190">
      <c r="A2190" s="25" t="s">
        <v>18352</v>
      </c>
      <c r="B2190" s="25" t="s">
        <v>18369</v>
      </c>
      <c r="C2190" s="26" t="str">
        <f>HYPERLINK("https://audio.iskcondesiretree.com/02_-_ISKCON_Swamis/ISKCON_Swamis_-_R_to_Y/His_Holiness_Radhanath_Swami/Lectures/00_-_Year_wise/Devotional_Nectar_-_2005/Vol_08/04_Srimati_Radharani-_The_Embodiment_Of_Pure_Devotional_Service_SB_Class_Mumbai_-_11-09-05_ID"&amp;"esireTree.mp3", "04_Srimati_Radharani-_The_Embodiment_Of_Pure_Devotional_Service_SB_Class_Mumbai_-_11-09-05_IDesireTree.mp3")</f>
        <v>04_Srimati_Radharani-_The_Embodiment_Of_Pure_Devotional_Service_SB_Class_Mumbai_-_11-09-05_IDesireTree.mp3</v>
      </c>
      <c r="D2190" s="24"/>
      <c r="E2190" s="24"/>
    </row>
    <row r="2191">
      <c r="A2191" s="25" t="s">
        <v>18352</v>
      </c>
      <c r="B2191" s="25" t="s">
        <v>18369</v>
      </c>
      <c r="C2191" s="26" t="str">
        <f>HYPERLINK("https://audio.iskcondesiretree.com/02_-_ISKCON_Swamis/ISKCON_Swamis_-_R_to_Y/His_Holiness_Radhanath_Swami/Lectures/00_-_Year_wise/Devotional_Nectar_-_2005/Vol_08/05_Glories_of_Srimati_Radharani_Lecture_Mumbai_-_Radhanath_Swami_2005-09-11_IDesireTree.mp3", "05_Glories_of_Srimati_Radharani_Lecture_Mumbai_-_Radhanath_Swami_2005-09-11_IDesireTree.mp3")</f>
        <v>05_Glories_of_Srimati_Radharani_Lecture_Mumbai_-_Radhanath_Swami_2005-09-11_IDesireTree.mp3</v>
      </c>
      <c r="D2191" s="24"/>
      <c r="E2191" s="24"/>
    </row>
    <row r="2192">
      <c r="A2192" s="25" t="s">
        <v>18352</v>
      </c>
      <c r="B2192" s="25" t="s">
        <v>18369</v>
      </c>
      <c r="C2192" s="26" t="str">
        <f>HYPERLINK("https://audio.iskcondesiretree.com/02_-_ISKCON_Swamis/ISKCON_Swamis_-_R_to_Y/His_Holiness_Radhanath_Swami/Lectures/00_-_Year_wise/Devotional_Nectar_-_2005/Vol_08/06_Vaisnava%27s_Mood_of_Studying_Bhakti_Shastri_Lecture_Mumbai_-_14-09-05_IDesireTree.mp3", "06_Vaisnava%27s_Mood_of_Studying_Bhakti_Shastri_Lecture_Mumbai_-_14-09-05_IDesireTree.mp3")</f>
        <v>06_Vaisnava%27s_Mood_of_Studying_Bhakti_Shastri_Lecture_Mumbai_-_14-09-05_IDesireTree.mp3</v>
      </c>
      <c r="D2192" s="24"/>
      <c r="E2192" s="24"/>
    </row>
    <row r="2193">
      <c r="A2193" s="25" t="s">
        <v>18352</v>
      </c>
      <c r="B2193" s="25" t="s">
        <v>18369</v>
      </c>
      <c r="C2193" s="26" t="str">
        <f>HYPERLINK("https://audio.iskcondesiretree.com/02_-_ISKCON_Swamis/ISKCON_Swamis_-_R_to_Y/His_Holiness_Radhanath_Swami/Lectures/00_-_Year_wise/Devotional_Nectar_-_2005/Vol_08/07_Glories_of_Lord_Vaman_Dev_%26_Srila_Jiva_Goswami_SB-03_10_18_Mumbai_-_15-09-05_IDesireTree"&amp;".mp3", "07_Glories_of_Lord_Vaman_Dev_%26_Srila_Jiva_Goswami_SB-03_10_18_Mumbai_-_15-09-05_IDesireTree.mp3")</f>
        <v>07_Glories_of_Lord_Vaman_Dev_%26_Srila_Jiva_Goswami_SB-03_10_18_Mumbai_-_15-09-05_IDesireTree.mp3</v>
      </c>
      <c r="D2193" s="24"/>
      <c r="E2193" s="24"/>
    </row>
    <row r="2194">
      <c r="A2194" s="25" t="s">
        <v>18352</v>
      </c>
      <c r="B2194" s="25" t="s">
        <v>18369</v>
      </c>
      <c r="C2194" s="26" t="str">
        <f>HYPERLINK("https://audio.iskcondesiretree.com/02_-_ISKCON_Swamis/ISKCON_Swamis_-_R_to_Y/His_Holiness_Radhanath_Swami/Lectures/00_-_Year_wise/Devotional_Nectar_-_2005/Vol_09/01_Bali_Maharaj-_Emblem_of_Complete_Surrender_Lecture_Mumbai_-_15-09-05_IDesireTree.mp3", "01_Bali_Maharaj-_Emblem_of_Complete_Surrender_Lecture_Mumbai_-_15-09-05_IDesireTree.mp3")</f>
        <v>01_Bali_Maharaj-_Emblem_of_Complete_Surrender_Lecture_Mumbai_-_15-09-05_IDesireTree.mp3</v>
      </c>
      <c r="D2194" s="24"/>
      <c r="E2194" s="24"/>
    </row>
    <row r="2195">
      <c r="A2195" s="25" t="s">
        <v>18352</v>
      </c>
      <c r="B2195" s="25" t="s">
        <v>18369</v>
      </c>
      <c r="C2195" s="26" t="str">
        <f>HYPERLINK("https://audio.iskcondesiretree.com/02_-_ISKCON_Swamis/ISKCON_Swamis_-_R_to_Y/His_Holiness_Radhanath_Swami/Lectures/00_-_Year_wise/Devotional_Nectar_-_2005/Vol_09/02_Glories_of_Srila_Haridas_Thakur_SB-05_14_06_Mumbai_-_17-09-05_IDesireTree.mp3", "02_Glories_of_Srila_Haridas_Thakur_SB-05_14_06_Mumbai_-_17-09-05_IDesireTree.mp3")</f>
        <v>02_Glories_of_Srila_Haridas_Thakur_SB-05_14_06_Mumbai_-_17-09-05_IDesireTree.mp3</v>
      </c>
      <c r="D2195" s="24"/>
      <c r="E2195" s="24"/>
    </row>
    <row r="2196">
      <c r="A2196" s="25" t="s">
        <v>18352</v>
      </c>
      <c r="B2196" s="25" t="s">
        <v>18369</v>
      </c>
      <c r="C2196" s="26" t="str">
        <f>HYPERLINK("https://audio.iskcondesiretree.com/02_-_ISKCON_Swamis/ISKCON_Swamis_-_R_to_Y/His_Holiness_Radhanath_Swami/Lectures/00_-_Year_wise/Devotional_Nectar_-_2005/Vol_09/05_Cast_Off_the_Sinful_Mentality_SB-10_20_28_Mumbai_-_22-09-05_IDesireTree.mp3", "05_Cast_Off_the_Sinful_Mentality_SB-10_20_28_Mumbai_-_22-09-05_IDesireTree.mp3")</f>
        <v>05_Cast_Off_the_Sinful_Mentality_SB-10_20_28_Mumbai_-_22-09-05_IDesireTree.mp3</v>
      </c>
      <c r="D2196" s="24"/>
      <c r="E2196" s="24"/>
    </row>
    <row r="2197">
      <c r="A2197" s="25" t="s">
        <v>18352</v>
      </c>
      <c r="B2197" s="25" t="s">
        <v>18369</v>
      </c>
      <c r="C2197" s="26" t="str">
        <f>HYPERLINK("https://audio.iskcondesiretree.com/02_-_ISKCON_Swamis/ISKCON_Swamis_-_R_to_Y/His_Holiness_Radhanath_Swami/Lectures/00_-_Year_wise/Devotional_Nectar_-_2005/Vol_09/06_Do_Not_Eat_the_Forbidden_Apple_of_Envy_SB-05_14_12_Mumbai_-_24-09-05_IDesireTree.mp3", "06_Do_Not_Eat_the_Forbidden_Apple_of_Envy_SB-05_14_12_Mumbai_-_24-09-05_IDesireTree.mp3")</f>
        <v>06_Do_Not_Eat_the_Forbidden_Apple_of_Envy_SB-05_14_12_Mumbai_-_24-09-05_IDesireTree.mp3</v>
      </c>
      <c r="D2197" s="24"/>
      <c r="E2197" s="24"/>
    </row>
    <row r="2198">
      <c r="A2198" s="25" t="s">
        <v>18352</v>
      </c>
      <c r="B2198" s="25" t="s">
        <v>18369</v>
      </c>
      <c r="C2198" s="26" t="str">
        <f>HYPERLINK("https://audio.iskcondesiretree.com/02_-_ISKCON_Swamis/ISKCON_Swamis_-_R_to_Y/His_Holiness_Radhanath_Swami/Lectures/00_-_Year_wise/Devotional_Nectar_-_2005/Vol_09/07_Hurricane_or_Harinaam_Prerana_Lecture_Mumbai_-_Radhanath_Swami_2005-09-24_IDesireTree.mp3", "07_Hurricane_or_Harinaam_Prerana_Lecture_Mumbai_-_Radhanath_Swami_2005-09-24_IDesireTree.mp3")</f>
        <v>07_Hurricane_or_Harinaam_Prerana_Lecture_Mumbai_-_Radhanath_Swami_2005-09-24_IDesireTree.mp3</v>
      </c>
      <c r="D2198" s="24"/>
      <c r="E2198" s="24"/>
    </row>
    <row r="2199">
      <c r="A2199" s="25" t="s">
        <v>18352</v>
      </c>
      <c r="B2199" s="25" t="s">
        <v>18369</v>
      </c>
      <c r="C2199" s="26" t="str">
        <f>HYPERLINK("https://audio.iskcondesiretree.com/02_-_ISKCON_Swamis/ISKCON_Swamis_-_R_to_Y/His_Holiness_Radhanath_Swami/Lectures/00_-_Year_wise/Devotional_Nectar_-_2005/Vol_10/01_Saints_and_Swindlers_SB-05_14_13_Mumbai_-_Radhanath_Swami_2005-09-25_IDesireTree.mp3", "01_Saints_and_Swindlers_SB-05_14_13_Mumbai_-_Radhanath_Swami_2005-09-25_IDesireTree.mp3")</f>
        <v>01_Saints_and_Swindlers_SB-05_14_13_Mumbai_-_Radhanath_Swami_2005-09-25_IDesireTree.mp3</v>
      </c>
      <c r="D2199" s="24"/>
      <c r="E2199" s="24"/>
    </row>
    <row r="2200">
      <c r="A2200" s="25" t="s">
        <v>18352</v>
      </c>
      <c r="B2200" s="25" t="s">
        <v>18369</v>
      </c>
      <c r="C2200" s="26" t="str">
        <f>HYPERLINK("https://audio.iskcondesiretree.com/02_-_ISKCON_Swamis/ISKCON_Swamis_-_R_to_Y/His_Holiness_Radhanath_Swami/Lectures/00_-_Year_wise/Devotional_Nectar_-_2005/Vol_10/02_Human_Freedom_-To_Feed_the_Good_Dog_or_Bad_Dog_Sunday_Feast_Mumbai_-_25-09-05_IDesireTree."&amp;"mp3", "02_Human_Freedom_-To_Feed_the_Good_Dog_or_Bad_Dog_Sunday_Feast_Mumbai_-_25-09-05_IDesireTree.mp3")</f>
        <v>02_Human_Freedom_-To_Feed_the_Good_Dog_or_Bad_Dog_Sunday_Feast_Mumbai_-_25-09-05_IDesireTree.mp3</v>
      </c>
      <c r="D2200" s="24"/>
      <c r="E2200" s="24"/>
    </row>
    <row r="2201">
      <c r="A2201" s="25" t="s">
        <v>18352</v>
      </c>
      <c r="B2201" s="25" t="s">
        <v>18369</v>
      </c>
      <c r="C2201" s="26" t="str">
        <f>HYPERLINK("https://audio.iskcondesiretree.com/02_-_ISKCON_Swamis/ISKCON_Swamis_-_R_to_Y/His_Holiness_Radhanath_Swami/Lectures/00_-_Year_wise/Devotional_Nectar_-_2005/Vol_10/03_Dangers_and_Oppurtunities_Lecture_Mumbai_-_Radhanath_Swami_2005-09-28_IDesireTree.mp3", "03_Dangers_and_Oppurtunities_Lecture_Mumbai_-_Radhanath_Swami_2005-09-28_IDesireTree.mp3")</f>
        <v>03_Dangers_and_Oppurtunities_Lecture_Mumbai_-_Radhanath_Swami_2005-09-28_IDesireTree.mp3</v>
      </c>
      <c r="D2201" s="24"/>
      <c r="E2201" s="24"/>
    </row>
    <row r="2202">
      <c r="A2202" s="25" t="s">
        <v>18352</v>
      </c>
      <c r="B2202" s="25" t="s">
        <v>18369</v>
      </c>
      <c r="C2202" s="26" t="str">
        <f>HYPERLINK("https://audio.iskcondesiretree.com/02_-_ISKCON_Swamis/ISKCON_Swamis_-_R_to_Y/His_Holiness_Radhanath_Swami/Lectures/00_-_Year_wise/Devotional_Nectar_-_2005/Vol_10/04_Don%27t_Run_After_the_Twilight_of_Material_Existence_SB-03_20_38_Mumbai_-_30-09-05_IDesire"&amp;"Tree.mp3", "04_Don%27t_Run_After_the_Twilight_of_Material_Existence_SB-03_20_38_Mumbai_-_30-09-05_IDesireTree.mp3")</f>
        <v>04_Don%27t_Run_After_the_Twilight_of_Material_Existence_SB-03_20_38_Mumbai_-_30-09-05_IDesireTree.mp3</v>
      </c>
      <c r="D2202" s="24"/>
      <c r="E2202" s="24"/>
    </row>
    <row r="2203">
      <c r="A2203" s="25" t="s">
        <v>18352</v>
      </c>
      <c r="B2203" s="25" t="s">
        <v>18369</v>
      </c>
      <c r="C2203" s="26" t="str">
        <f>HYPERLINK("https://audio.iskcondesiretree.com/02_-_ISKCON_Swamis/ISKCON_Swamis_-_R_to_Y/His_Holiness_Radhanath_Swami/Lectures/00_-_Year_wise/Devotional_Nectar_-_2005/Vol_10/06_Thorns_And_Pebbles_on_the_Path_of_Grhastha_Ashram_SB-05_14_18_-_01-10-05_IDesireTree.mp3", "06_Thorns_And_Pebbles_on_the_Path_of_Grhastha_Ashram_SB-05_14_18_-_01-10-05_IDesireTree.mp3")</f>
        <v>06_Thorns_And_Pebbles_on_the_Path_of_Grhastha_Ashram_SB-05_14_18_-_01-10-05_IDesireTree.mp3</v>
      </c>
      <c r="D2203" s="24"/>
      <c r="E2203" s="24"/>
    </row>
    <row r="2204">
      <c r="A2204" s="25" t="s">
        <v>18352</v>
      </c>
      <c r="B2204" s="25" t="s">
        <v>18369</v>
      </c>
      <c r="C2204" s="26" t="str">
        <f>HYPERLINK("https://audio.iskcondesiretree.com/02_-_ISKCON_Swamis/ISKCON_Swamis_-_R_to_Y/His_Holiness_Radhanath_Swami/Lectures/00_-_Year_wise/Devotional_Nectar_-_2005/Vol_10/07_Offerings_to_Nandarani_Lecture_Mumbai_-_Radhanath_Swami_2005-10-01_IDesireTree.mp3", "07_Offerings_to_Nandarani_Lecture_Mumbai_-_Radhanath_Swami_2005-10-01_IDesireTree.mp3")</f>
        <v>07_Offerings_to_Nandarani_Lecture_Mumbai_-_Radhanath_Swami_2005-10-01_IDesireTree.mp3</v>
      </c>
      <c r="D2204" s="24"/>
      <c r="E2204" s="24"/>
    </row>
    <row r="2205">
      <c r="A2205" s="25" t="s">
        <v>18352</v>
      </c>
      <c r="B2205" s="25" t="s">
        <v>18369</v>
      </c>
      <c r="C2205" s="26" t="str">
        <f>HYPERLINK("https://audio.iskcondesiretree.com/02_-_ISKCON_Swamis/ISKCON_Swamis_-_R_to_Y/His_Holiness_Radhanath_Swami/Lectures/00_-_Year_wise/Devotional_Nectar_-_2005/Vol_10/08_Resolving_Conflicts_in_Grhastha_Ashram_SB-05_14_19_Mumbai_-_02-10-05_IDesireTree.mp3", "08_Resolving_Conflicts_in_Grhastha_Ashram_SB-05_14_19_Mumbai_-_02-10-05_IDesireTree.mp3")</f>
        <v>08_Resolving_Conflicts_in_Grhastha_Ashram_SB-05_14_19_Mumbai_-_02-10-05_IDesireTree.mp3</v>
      </c>
      <c r="D2205" s="24"/>
      <c r="E2205" s="24"/>
    </row>
    <row r="2206">
      <c r="A2206" s="25" t="s">
        <v>18352</v>
      </c>
      <c r="B2206" s="25" t="s">
        <v>18369</v>
      </c>
      <c r="C2206" s="26" t="str">
        <f>HYPERLINK("https://audio.iskcondesiretree.com/02_-_ISKCON_Swamis/ISKCON_Swamis_-_R_to_Y/His_Holiness_Radhanath_Swami/Lectures/00_-_Year_wise/Devotional_Nectar_-_2005/Vol_10/09_Power_of_Mercy_and_Pastimes_of_H_-_Radhanath_Swami_IDesireTree.mp3", "09_Power_of_Mercy_and_Pastimes_of_H_-_Radhanath_Swami_IDesireTree.mp3")</f>
        <v>09_Power_of_Mercy_and_Pastimes_of_H_-_Radhanath_Swami_IDesireTree.mp3</v>
      </c>
      <c r="D2206" s="24"/>
      <c r="E2206" s="24"/>
    </row>
    <row r="2207">
      <c r="A2207" s="25" t="s">
        <v>18352</v>
      </c>
      <c r="B2207" s="25" t="s">
        <v>18369</v>
      </c>
      <c r="C2207" s="26" t="str">
        <f>HYPERLINK("https://audio.iskcondesiretree.com/02_-_ISKCON_Swamis/ISKCON_Swamis_-_R_to_Y/His_Holiness_Radhanath_Swami/Lectures/00_-_Year_wise/Devotional_Nectar_-_2005/Vol_10/10_Yamuna_Pati_Prabhu%27s_Memorial_Lecture_Govind_Dham_Nigdi_-_06-10-05_IDesireTree.mp3", "10_Yamuna_Pati_Prabhu%27s_Memorial_Lecture_Govind_Dham_Nigdi_-_06-10-05_IDesireTree.mp3")</f>
        <v>10_Yamuna_Pati_Prabhu%27s_Memorial_Lecture_Govind_Dham_Nigdi_-_06-10-05_IDesireTree.mp3</v>
      </c>
      <c r="D2207" s="24"/>
      <c r="E2207" s="24"/>
    </row>
    <row r="2208">
      <c r="A2208" s="25" t="s">
        <v>18352</v>
      </c>
      <c r="B2208" s="25" t="s">
        <v>18369</v>
      </c>
      <c r="C2208" s="26" t="str">
        <f>HYPERLINK("https://audio.iskcondesiretree.com/02_-_ISKCON_Swamis/ISKCON_Swamis_-_R_to_Y/His_Holiness_Radhanath_Swami/Lectures/00_-_Year_wise/Devotional_Nectar_-_2005/Vol_11/01_From_Illusion_to_Reality_Chetana_Mumbai_-_Radhanath_Swami_2005-10-08_IDesireTree.mp3", "01_From_Illusion_to_Reality_Chetana_Mumbai_-_Radhanath_Swami_2005-10-08_IDesireTree.mp3")</f>
        <v>01_From_Illusion_to_Reality_Chetana_Mumbai_-_Radhanath_Swami_2005-10-08_IDesireTree.mp3</v>
      </c>
      <c r="D2208" s="24"/>
      <c r="E2208" s="24"/>
    </row>
    <row r="2209">
      <c r="A2209" s="25" t="s">
        <v>18352</v>
      </c>
      <c r="B2209" s="25" t="s">
        <v>18369</v>
      </c>
      <c r="C2209" s="26" t="str">
        <f>HYPERLINK("https://audio.iskcondesiretree.com/02_-_ISKCON_Swamis/ISKCON_Swamis_-_R_to_Y/His_Holiness_Radhanath_Swami/Lectures/00_-_Year_wise/Devotional_Nectar_-_2005/Vol_11/02_Greed_-_No_Satisfaction_No_Relationships_SB-05_14_26_Mumbai_-_09-10-05_IDesireTree.mp3", "02_Greed_-_No_Satisfaction_No_Relationships_SB-05_14_26_Mumbai_-_09-10-05_IDesireTree.mp3")</f>
        <v>02_Greed_-_No_Satisfaction_No_Relationships_SB-05_14_26_Mumbai_-_09-10-05_IDesireTree.mp3</v>
      </c>
      <c r="D2209" s="24"/>
      <c r="E2209" s="24"/>
    </row>
    <row r="2210">
      <c r="A2210" s="25" t="s">
        <v>18352</v>
      </c>
      <c r="B2210" s="25" t="s">
        <v>18369</v>
      </c>
      <c r="C2210" s="26" t="str">
        <f>HYPERLINK("https://audio.iskcondesiretree.com/02_-_ISKCON_Swamis/ISKCON_Swamis_-_R_to_Y/His_Holiness_Radhanath_Swami/Lectures/00_-_Year_wise/Devotional_Nectar_-_2005/Vol_11/03_To_Overcome_Envy_One_Must_Give_Up_Fault_Finding_Sunday_Feast_Mumbai_-_09-10-05_IDesireTree"&amp;".mp3", "03_To_Overcome_Envy_One_Must_Give_Up_Fault_Finding_Sunday_Feast_Mumbai_-_09-10-05_IDesireTree.mp3")</f>
        <v>03_To_Overcome_Envy_One_Must_Give_Up_Fault_Finding_Sunday_Feast_Mumbai_-_09-10-05_IDesireTree.mp3</v>
      </c>
      <c r="D2210" s="24"/>
      <c r="E2210" s="24"/>
    </row>
    <row r="2211">
      <c r="A2211" s="25" t="s">
        <v>18352</v>
      </c>
      <c r="B2211" s="25" t="s">
        <v>18369</v>
      </c>
      <c r="C2211" s="26" t="str">
        <f>HYPERLINK("https://audio.iskcondesiretree.com/02_-_ISKCON_Swamis/ISKCON_Swamis_-_R_to_Y/His_Holiness_Radhanath_Swami/Lectures/00_-_Year_wise/Devotional_Nectar_-_2005/Vol_11/04_Destroying_The_Ravana_Within_37th_Prerana_Mumbai_-_15-10-05_IDesireTree.mp3", "04_Destroying_The_Ravana_Within_37th_Prerana_Mumbai_-_15-10-05_IDesireTree.mp3")</f>
        <v>04_Destroying_The_Ravana_Within_37th_Prerana_Mumbai_-_15-10-05_IDesireTree.mp3</v>
      </c>
      <c r="D2211" s="24"/>
      <c r="E2211" s="24"/>
    </row>
    <row r="2212">
      <c r="A2212" s="25" t="s">
        <v>18352</v>
      </c>
      <c r="B2212" s="25" t="s">
        <v>18369</v>
      </c>
      <c r="C2212" s="26" t="str">
        <f>HYPERLINK("https://audio.iskcondesiretree.com/02_-_ISKCON_Swamis/ISKCON_Swamis_-_R_to_Y/His_Holiness_Radhanath_Swami/Lectures/00_-_Year_wise/Devotional_Nectar_-_2005/Vol_11/05_Monkey_Psychology_in_Concrete_Jungle_SB-05_14_32_Mumbai_-_16-10-05_IDesireTree.mp3", "05_Monkey_Psychology_in_Concrete_Jungle_SB-05_14_32_Mumbai_-_16-10-05_IDesireTree.mp3")</f>
        <v>05_Monkey_Psychology_in_Concrete_Jungle_SB-05_14_32_Mumbai_-_16-10-05_IDesireTree.mp3</v>
      </c>
      <c r="D2212" s="24"/>
      <c r="E2212" s="24"/>
    </row>
    <row r="2213">
      <c r="A2213" s="25" t="s">
        <v>18352</v>
      </c>
      <c r="B2213" s="25" t="s">
        <v>18369</v>
      </c>
      <c r="C2213" s="26" t="str">
        <f>HYPERLINK("https://audio.iskcondesiretree.com/02_-_ISKCON_Swamis/ISKCON_Swamis_-_R_to_Y/His_Holiness_Radhanath_Swami/Lectures/00_-_Year_wise/Devotional_Nectar_-_2005/Vol_11/06_Pastimes_of_Murari_Gupta_Sunday_Feast_Mumbai_-_Radhanath_Swami_2005-10-16_IDesireTree.mp3", "06_Pastimes_of_Murari_Gupta_Sunday_Feast_Mumbai_-_Radhanath_Swami_2005-10-16_IDesireTree.mp3")</f>
        <v>06_Pastimes_of_Murari_Gupta_Sunday_Feast_Mumbai_-_Radhanath_Swami_2005-10-16_IDesireTree.mp3</v>
      </c>
      <c r="D2213" s="24"/>
      <c r="E2213" s="24"/>
    </row>
    <row r="2214">
      <c r="A2214" s="25" t="s">
        <v>18352</v>
      </c>
      <c r="B2214" s="25" t="s">
        <v>18369</v>
      </c>
      <c r="C2214" s="26" t="str">
        <f>HYPERLINK("https://audio.iskcondesiretree.com/02_-_ISKCON_Swamis/ISKCON_Swamis_-_R_to_Y/His_Holiness_Radhanath_Swami/Lectures/00_-_Year_wise/Devotional_Nectar_-_2005/Vol_11/07_Glories_of_the_Month_of_Kartik_SB-3_21_30_Mumbai_-_17-10-05_IDesireTree.mp3", "07_Glories_of_the_Month_of_Kartik_SB-3_21_30_Mumbai_-_17-10-05_IDesireTree.mp3")</f>
        <v>07_Glories_of_the_Month_of_Kartik_SB-3_21_30_Mumbai_-_17-10-05_IDesireTree.mp3</v>
      </c>
      <c r="D2214" s="24"/>
      <c r="E2214" s="24"/>
    </row>
    <row r="2215">
      <c r="A2215" s="25" t="s">
        <v>18352</v>
      </c>
      <c r="B2215" s="25" t="s">
        <v>18369</v>
      </c>
      <c r="C2215" s="26" t="str">
        <f>HYPERLINK("https://audio.iskcondesiretree.com/02_-_ISKCON_Swamis/ISKCON_Swamis_-_R_to_Y/His_Holiness_Radhanath_Swami/Lectures/00_-_Year_wise/Devotional_Nectar_-_2005/Vol_11/08_Sharad_Poornima_Lecture_Mumbai_-_Radhanath_Swami_2005-10-17_IDesireTree.mp3", "08_Sharad_Poornima_Lecture_Mumbai_-_Radhanath_Swami_2005-10-17_IDesireTree.mp3")</f>
        <v>08_Sharad_Poornima_Lecture_Mumbai_-_Radhanath_Swami_2005-10-17_IDesireTree.mp3</v>
      </c>
      <c r="D2215" s="24"/>
      <c r="E2215" s="24"/>
    </row>
    <row r="2216">
      <c r="A2216" s="25" t="s">
        <v>18352</v>
      </c>
      <c r="B2216" s="25" t="s">
        <v>18369</v>
      </c>
      <c r="C2216" s="26" t="str">
        <f>HYPERLINK("https://audio.iskcondesiretree.com/02_-_ISKCON_Swamis/ISKCON_Swamis_-_R_to_Y/His_Holiness_Radhanath_Swami/Lectures/00_-_Year_wise/Devotional_Nectar_-_2005/Vol_11/09_Integrity_of_Lord_Ramchandra_Dipavali_Lecture_Mumbai_-_01-11-05_IDesireTree.mp3", "09_Integrity_of_Lord_Ramchandra_Dipavali_Lecture_Mumbai_-_01-11-05_IDesireTree.mp3")</f>
        <v>09_Integrity_of_Lord_Ramchandra_Dipavali_Lecture_Mumbai_-_01-11-05_IDesireTree.mp3</v>
      </c>
      <c r="D2216" s="24"/>
      <c r="E2216" s="24"/>
    </row>
    <row r="2217">
      <c r="A2217" s="25" t="s">
        <v>18352</v>
      </c>
      <c r="B2217" s="25" t="s">
        <v>18369</v>
      </c>
      <c r="C2217" s="26" t="str">
        <f>HYPERLINK("https://audio.iskcondesiretree.com/02_-_ISKCON_Swamis/ISKCON_Swamis_-_R_to_Y/His_Holiness_Radhanath_Swami/Lectures/00_-_Year_wise/Devotional_Nectar_-_2005/Vol_12/01_Govardhan_Puja_Lecture_Mumbai_-_Radhanath_Swami_2005-11-03_IDesireTree.mp3", "01_Govardhan_Puja_Lecture_Mumbai_-_Radhanath_Swami_2005-11-03_IDesireTree.mp3")</f>
        <v>01_Govardhan_Puja_Lecture_Mumbai_-_Radhanath_Swami_2005-11-03_IDesireTree.mp3</v>
      </c>
      <c r="D2217" s="24"/>
      <c r="E2217" s="24"/>
    </row>
    <row r="2218">
      <c r="A2218" s="25" t="s">
        <v>18352</v>
      </c>
      <c r="B2218" s="25" t="s">
        <v>18369</v>
      </c>
      <c r="C2218" s="26" t="str">
        <f>HYPERLINK("https://audio.iskcondesiretree.com/02_-_ISKCON_Swamis/ISKCON_Swamis_-_R_to_Y/His_Holiness_Radhanath_Swami/Lectures/00_-_Year_wise/Devotional_Nectar_-_2005/Vol_12/02_The_Origin_of_Mother_Ganges_SB-05_17_01_Mumbai_-_04-11-05_IDesireTree.mp3", "02_The_Origin_of_Mother_Ganges_SB-05_17_01_Mumbai_-_04-11-05_IDesireTree.mp3")</f>
        <v>02_The_Origin_of_Mother_Ganges_SB-05_17_01_Mumbai_-_04-11-05_IDesireTree.mp3</v>
      </c>
      <c r="D2218" s="24"/>
      <c r="E2218" s="24"/>
    </row>
    <row r="2219">
      <c r="A2219" s="25" t="s">
        <v>18352</v>
      </c>
      <c r="B2219" s="25" t="s">
        <v>18369</v>
      </c>
      <c r="C2219" s="26" t="str">
        <f>HYPERLINK("https://audio.iskcondesiretree.com/02_-_ISKCON_Swamis/ISKCON_Swamis_-_R_to_Y/His_Holiness_Radhanath_Swami/Lectures/00_-_Year_wise/Devotional_Nectar_-_2005/Vol_12/03_Setting_the_Scene-_The_Writing_of_Caitanya_Caritamrta_Sunday_Feast_Mumbai_-_04-11-05_IDesi"&amp;"reTree.mp3", "03_Setting_the_Scene-_The_Writing_of_Caitanya_Caritamrta_Sunday_Feast_Mumbai_-_04-11-05_IDesireTree.mp3")</f>
        <v>03_Setting_the_Scene-_The_Writing_of_Caitanya_Caritamrta_Sunday_Feast_Mumbai_-_04-11-05_IDesireTree.mp3</v>
      </c>
      <c r="D2219" s="24"/>
      <c r="E2219" s="24"/>
    </row>
    <row r="2220">
      <c r="A2220" s="25" t="s">
        <v>18352</v>
      </c>
      <c r="B2220" s="25" t="s">
        <v>18369</v>
      </c>
      <c r="C2220" s="26" t="str">
        <f>HYPERLINK("https://audio.iskcondesiretree.com/02_-_ISKCON_Swamis/ISKCON_Swamis_-_R_to_Y/His_Holiness_Radhanath_Swami/Lectures/00_-_Year_wise/Devotional_Nectar_-_2005/Vol_12/04_Offerings_-_Radhanath_Swami_IDesireTree.mp3", "04_Offerings_-_Radhanath_Swami_IDesireTree.mp3")</f>
        <v>04_Offerings_-_Radhanath_Swami_IDesireTree.mp3</v>
      </c>
      <c r="D2220" s="24"/>
      <c r="E2220" s="24"/>
    </row>
    <row r="2221">
      <c r="A2221" s="25" t="s">
        <v>18352</v>
      </c>
      <c r="B2221" s="25" t="s">
        <v>18369</v>
      </c>
      <c r="C2221" s="26" t="str">
        <f>HYPERLINK("https://audio.iskcondesiretree.com/02_-_ISKCON_Swamis/ISKCON_Swamis_-_R_to_Y/His_Holiness_Radhanath_Swami/Lectures/00_-_Year_wise/Devotional_Nectar_-_2005/Vol_12/05_Offerings_-_Radhanath_Swami_IDesireTree.mp3", "05_Offerings_-_Radhanath_Swami_IDesireTree.mp3")</f>
        <v>05_Offerings_-_Radhanath_Swami_IDesireTree.mp3</v>
      </c>
      <c r="D2221" s="24"/>
      <c r="E2221" s="24"/>
    </row>
    <row r="2222">
      <c r="A2222" s="25" t="s">
        <v>18352</v>
      </c>
      <c r="B2222" s="25" t="s">
        <v>18369</v>
      </c>
      <c r="C2222" s="26" t="str">
        <f>HYPERLINK("https://audio.iskcondesiretree.com/02_-_ISKCON_Swamis/ISKCON_Swamis_-_R_to_Y/His_Holiness_Radhanath_Swami/Lectures/00_-_Year_wise/Devotional_Nectar_-_2005/Vol_12/06_Krishna%27s_Inconceivable_Varigatedness_SB-05_15_05-06_Mumbai_-_06-11-05_IDesireTree.mp3", "06_Krishna%27s_Inconceivable_Varigatedness_SB-05_15_05-06_Mumbai_-_06-11-05_IDesireTree.mp3")</f>
        <v>06_Krishna%27s_Inconceivable_Varigatedness_SB-05_15_05-06_Mumbai_-_06-11-05_IDesireTree.mp3</v>
      </c>
      <c r="D2222" s="24"/>
      <c r="E2222" s="24"/>
    </row>
    <row r="2223">
      <c r="A2223" s="25" t="s">
        <v>18352</v>
      </c>
      <c r="B2223" s="25" t="s">
        <v>18369</v>
      </c>
      <c r="C2223" s="26" t="str">
        <f>HYPERLINK("https://audio.iskcondesiretree.com/02_-_ISKCON_Swamis/ISKCON_Swamis_-_R_to_Y/His_Holiness_Radhanath_Swami/Lectures/00_-_Year_wise/Devotional_Nectar_-_2005/Vol_12/07_Damodar_Lila_Sunday_Feast_Mumbai_-_Radhanath_Swami_2005-11-06_IDesireTree.mp3", "07_Damodar_Lila_Sunday_Feast_Mumbai_-_Radhanath_Swami_2005-11-06_IDesireTree.mp3")</f>
        <v>07_Damodar_Lila_Sunday_Feast_Mumbai_-_Radhanath_Swami_2005-11-06_IDesireTree.mp3</v>
      </c>
      <c r="D2223" s="24"/>
      <c r="E2223" s="24"/>
    </row>
    <row r="2224">
      <c r="A2224" s="25" t="s">
        <v>18352</v>
      </c>
      <c r="B2224" s="25" t="s">
        <v>18369</v>
      </c>
      <c r="C2224" s="26" t="str">
        <f>HYPERLINK("https://audio.iskcondesiretree.com/02_-_ISKCON_Swamis/ISKCON_Swamis_-_R_to_Y/His_Holiness_Radhanath_Swami/Lectures/00_-_Year_wise/Devotional_Nectar_-_2005/Vol_12/08_Becoming_an_Ornament_of_Parampara_and_not_Blemish_SB-05_15_16_Mumbai_-_20-11-05_IDesireTre"&amp;"e.mp3", "08_Becoming_an_Ornament_of_Parampara_and_not_Blemish_SB-05_15_16_Mumbai_-_20-11-05_IDesireTree.mp3")</f>
        <v>08_Becoming_an_Ornament_of_Parampara_and_not_Blemish_SB-05_15_16_Mumbai_-_20-11-05_IDesireTree.mp3</v>
      </c>
      <c r="D2224" s="24"/>
      <c r="E2224" s="24"/>
    </row>
    <row r="2225">
      <c r="A2225" s="25" t="s">
        <v>18352</v>
      </c>
      <c r="B2225" s="25" t="s">
        <v>18369</v>
      </c>
      <c r="C2225" s="26" t="str">
        <f>HYPERLINK("https://audio.iskcondesiretree.com/02_-_ISKCON_Swamis/ISKCON_Swamis_-_R_to_Y/His_Holiness_Radhanath_Swami/Lectures/00_-_Year_wise/Devotional_Nectar_-_2005/Vol_12/09_Memories_of_Srila_Prabhupada_Sunday_Feast_Mumbai_-_20-11-05_IDesireTree.mp3", "09_Memories_of_Srila_Prabhupada_Sunday_Feast_Mumbai_-_20-11-05_IDesireTree.mp3")</f>
        <v>09_Memories_of_Srila_Prabhupada_Sunday_Feast_Mumbai_-_20-11-05_IDesireTree.mp3</v>
      </c>
      <c r="D2225" s="24"/>
      <c r="E2225" s="24"/>
    </row>
    <row r="2226">
      <c r="A2226" s="25" t="s">
        <v>18352</v>
      </c>
      <c r="B2226" s="25" t="s">
        <v>18369</v>
      </c>
      <c r="C2226" s="26" t="str">
        <f>HYPERLINK("https://audio.iskcondesiretree.com/02_-_ISKCON_Swamis/ISKCON_Swamis_-_R_to_Y/His_Holiness_Radhanath_Swami/Lectures/00_-_Year_wise/Devotional_Nectar_-_2005/Vol_12/10_How_to_Cultivate_Attachment_to_Krsna_Lecture_Nigidi_-_20-11-05_IDesireTree.mp3", "10_How_to_Cultivate_Attachment_to_Krsna_Lecture_Nigidi_-_20-11-05_IDesireTree.mp3")</f>
        <v>10_How_to_Cultivate_Attachment_to_Krsna_Lecture_Nigidi_-_20-11-05_IDesireTree.mp3</v>
      </c>
      <c r="D2226" s="24"/>
      <c r="E2226" s="24"/>
    </row>
    <row r="2227">
      <c r="A2227" s="25" t="s">
        <v>18352</v>
      </c>
      <c r="B2227" s="25" t="s">
        <v>18369</v>
      </c>
      <c r="C2227" s="26" t="str">
        <f>HYPERLINK("https://audio.iskcondesiretree.com/02_-_ISKCON_Swamis/ISKCON_Swamis_-_R_to_Y/His_Holiness_Radhanath_Swami/Lectures/00_-_Year_wise/Devotional_Nectar_-_2005/Vol_13/01_The_Power_of_Prayers_Prerana_Mumbai_-_Radhanath_Swami_2005-11-25_IDesireTree.mp3", "01_The_Power_of_Prayers_Prerana_Mumbai_-_Radhanath_Swami_2005-11-25_IDesireTree.mp3")</f>
        <v>01_The_Power_of_Prayers_Prerana_Mumbai_-_Radhanath_Swami_2005-11-25_IDesireTree.mp3</v>
      </c>
      <c r="D2227" s="24"/>
      <c r="E2227" s="24"/>
    </row>
    <row r="2228">
      <c r="A2228" s="25" t="s">
        <v>18352</v>
      </c>
      <c r="B2228" s="25" t="s">
        <v>18369</v>
      </c>
      <c r="C2228" s="26" t="str">
        <f>HYPERLINK("https://audio.iskcondesiretree.com/02_-_ISKCON_Swamis/ISKCON_Swamis_-_R_to_Y/His_Holiness_Radhanath_Swami/Lectures/00_-_Year_wise/Devotional_Nectar_-_2005/Vol_13/03_Knowing_the_Inconceivable_Through_Faith_SB-05_16_08-09_Mumbai_-_27-11-05_IDesireTree.mp3", "03_Knowing_the_Inconceivable_Through_Faith_SB-05_16_08-09_Mumbai_-_27-11-05_IDesireTree.mp3")</f>
        <v>03_Knowing_the_Inconceivable_Through_Faith_SB-05_16_08-09_Mumbai_-_27-11-05_IDesireTree.mp3</v>
      </c>
      <c r="D2228" s="24"/>
      <c r="E2228" s="24"/>
    </row>
    <row r="2229">
      <c r="A2229" s="25" t="s">
        <v>18352</v>
      </c>
      <c r="B2229" s="25" t="s">
        <v>18369</v>
      </c>
      <c r="C2229" s="26" t="str">
        <f>HYPERLINK("https://audio.iskcondesiretree.com/02_-_ISKCON_Swamis/ISKCON_Swamis_-_R_to_Y/His_Holiness_Radhanath_Swami/Lectures/00_-_Year_wise/Devotional_Nectar_-_2005/Vol_13/04_Glories_of_Srila_Narahari_Sarkar_Sunday_Feast_Mumbai_-_27-11-05_IDesireTree.mp3", "04_Glories_of_Srila_Narahari_Sarkar_Sunday_Feast_Mumbai_-_27-11-05_IDesireTree.mp3")</f>
        <v>04_Glories_of_Srila_Narahari_Sarkar_Sunday_Feast_Mumbai_-_27-11-05_IDesireTree.mp3</v>
      </c>
      <c r="D2229" s="24"/>
      <c r="E2229" s="24"/>
    </row>
    <row r="2230">
      <c r="A2230" s="25" t="s">
        <v>18352</v>
      </c>
      <c r="B2230" s="25" t="s">
        <v>18369</v>
      </c>
      <c r="C2230" s="26" t="str">
        <f>HYPERLINK("https://audio.iskcondesiretree.com/02_-_ISKCON_Swamis/ISKCON_Swamis_-_R_to_Y/His_Holiness_Radhanath_Swami/Lectures/00_-_Year_wise/Devotional_Nectar_-_2005/Vol_13/05_Selfless_Love_%26_Selfless_Service_is_the_Essence_of_All_Lecture_Mumbai_-_30-11-05_IDesire"&amp;"Tree.mp3", "05_Selfless_Love_%26_Selfless_Service_is_the_Essence_of_All_Lecture_Mumbai_-_30-11-05_IDesireTree.mp3")</f>
        <v>05_Selfless_Love_%26_Selfless_Service_is_the_Essence_of_All_Lecture_Mumbai_-_30-11-05_IDesireTree.mp3</v>
      </c>
      <c r="D2230" s="24"/>
      <c r="E2230" s="24"/>
    </row>
    <row r="2231">
      <c r="A2231" s="25" t="s">
        <v>18352</v>
      </c>
      <c r="B2231" s="25" t="s">
        <v>18369</v>
      </c>
      <c r="C2231" s="26" t="str">
        <f>HYPERLINK("https://audio.iskcondesiretree.com/02_-_ISKCON_Swamis/ISKCON_Swamis_-_R_to_Y/His_Holiness_Radhanath_Swami/Lectures/00_-_Year_wise/Devotional_Nectar_-_2005/Vol_13/06_Lord_has_Personal_Relationships_With_All_SB-03_22_04_Mumbai_-_02-12-05_IDesireTree.mp3", "06_Lord_has_Personal_Relationships_With_All_SB-03_22_04_Mumbai_-_02-12-05_IDesireTree.mp3")</f>
        <v>06_Lord_has_Personal_Relationships_With_All_SB-03_22_04_Mumbai_-_02-12-05_IDesireTree.mp3</v>
      </c>
      <c r="D2231" s="24"/>
      <c r="E2231" s="24"/>
    </row>
    <row r="2232">
      <c r="A2232" s="25" t="s">
        <v>18352</v>
      </c>
      <c r="B2232" s="25" t="s">
        <v>18369</v>
      </c>
      <c r="C2232" s="26" t="str">
        <f>HYPERLINK("https://audio.iskcondesiretree.com/02_-_ISKCON_Swamis/ISKCON_Swamis_-_R_to_Y/His_Holiness_Radhanath_Swami/Lectures/00_-_Year_wise/Devotional_Nectar_-_2005/Vol_13/07_Believable_Activities_of_Unbelievable_Krishna_SB-05_16_26-29_Mumbai_-_03-12-05_IDesireTree"&amp;".mp3", "07_Believable_Activities_of_Unbelievable_Krishna_SB-05_16_26-29_Mumbai_-_03-12-05_IDesireTree.mp3")</f>
        <v>07_Believable_Activities_of_Unbelievable_Krishna_SB-05_16_26-29_Mumbai_-_03-12-05_IDesireTree.mp3</v>
      </c>
      <c r="D2232" s="24"/>
      <c r="E2232" s="24"/>
    </row>
    <row r="2233">
      <c r="A2233" s="25" t="s">
        <v>18352</v>
      </c>
      <c r="B2233" s="25" t="s">
        <v>18369</v>
      </c>
      <c r="C2233" s="26" t="str">
        <f>HYPERLINK("https://audio.iskcondesiretree.com/02_-_ISKCON_Swamis/ISKCON_Swamis_-_R_to_Y/His_Holiness_Radhanath_Swami/Lectures/00_-_Year_wise/Devotional_Nectar_-_2005/Vol_13/08_Knowledge_of_the_Absolute_Lecture_Mumbai_-_Radhanath_Swami_2005-12-06_IDesireTree.mp3", "08_Knowledge_of_the_Absolute_Lecture_Mumbai_-_Radhanath_Swami_2005-12-06_IDesireTree.mp3")</f>
        <v>08_Knowledge_of_the_Absolute_Lecture_Mumbai_-_Radhanath_Swami_2005-12-06_IDesireTree.mp3</v>
      </c>
      <c r="D2233" s="24"/>
      <c r="E2233" s="24"/>
    </row>
    <row r="2234">
      <c r="A2234" s="25" t="s">
        <v>18352</v>
      </c>
      <c r="B2234" s="25" t="s">
        <v>18369</v>
      </c>
      <c r="C2234" s="26" t="str">
        <f>HYPERLINK("https://audio.iskcondesiretree.com/02_-_ISKCON_Swamis/ISKCON_Swamis_-_R_to_Y/His_Holiness_Radhanath_Swami/Lectures/00_-_Year_wise/Devotional_Nectar_-_2005/Vol_13/09_Real_Problems_Real_Solutions_Prerna_Lecture_Mumbai_-_10-12-05_IDesireTree.mp3", "09_Real_Problems_Real_Solutions_Prerna_Lecture_Mumbai_-_10-12-05_IDesireTree.mp3")</f>
        <v>09_Real_Problems_Real_Solutions_Prerna_Lecture_Mumbai_-_10-12-05_IDesireTree.mp3</v>
      </c>
      <c r="D2234" s="24"/>
      <c r="E2234" s="24"/>
    </row>
    <row r="2235">
      <c r="A2235" s="25" t="s">
        <v>18352</v>
      </c>
      <c r="B2235" s="25" t="s">
        <v>18369</v>
      </c>
      <c r="C2235" s="26" t="str">
        <f>HYPERLINK("https://audio.iskcondesiretree.com/02_-_ISKCON_Swamis/ISKCON_Swamis_-_R_to_Y/His_Holiness_Radhanath_Swami/Lectures/00_-_Year_wise/Devotional_Nectar_-_2005/Vol_14/01_Heavenly_Pleasure_Vs_Spiritual_Pleasure_SB-05_17_10-11_Mumbai_-_11-12-05_IDesireTree.mp3", "01_Heavenly_Pleasure_Vs_Spiritual_Pleasure_SB-05_17_10-11_Mumbai_-_11-12-05_IDesireTree.mp3")</f>
        <v>01_Heavenly_Pleasure_Vs_Spiritual_Pleasure_SB-05_17_10-11_Mumbai_-_11-12-05_IDesireTree.mp3</v>
      </c>
      <c r="D2235" s="24"/>
      <c r="E2235" s="24"/>
    </row>
    <row r="2236">
      <c r="A2236" s="25" t="s">
        <v>18352</v>
      </c>
      <c r="B2236" s="25" t="s">
        <v>18369</v>
      </c>
      <c r="C2236" s="26" t="str">
        <f>HYPERLINK("https://audio.iskcondesiretree.com/02_-_ISKCON_Swamis/ISKCON_Swamis_-_R_to_Y/His_Holiness_Radhanath_Swami/Lectures/00_-_Year_wise/Devotional_Nectar_-_2005/Vol_14/02_Gita_Jayanti_Lecture_Sunday_Feast_Mumbai_-_Radhanath_Swami_2005-12-11_IDesireTree.mp3", "02_Gita_Jayanti_Lecture_Sunday_Feast_Mumbai_-_Radhanath_Swami_2005-12-11_IDesireTree.mp3")</f>
        <v>02_Gita_Jayanti_Lecture_Sunday_Feast_Mumbai_-_Radhanath_Swami_2005-12-11_IDesireTree.mp3</v>
      </c>
      <c r="D2236" s="24"/>
      <c r="E2236" s="24"/>
    </row>
    <row r="2237">
      <c r="A2237" s="25" t="s">
        <v>18352</v>
      </c>
      <c r="B2237" s="25" t="s">
        <v>18369</v>
      </c>
      <c r="C2237" s="26" t="str">
        <f>HYPERLINK("https://audio.iskcondesiretree.com/02_-_ISKCON_Swamis/ISKCON_Swamis_-_R_to_Y/His_Holiness_Radhanath_Swami/Lectures/00_-_Year_wise/Devotional_Nectar_-_2005/Vol_14/04_Vyas_Puja_Address_Lecture_Mumbai_-_Radhanath_Swami_2005-12-17_IDesireTree.mp3", "04_Vyas_Puja_Address_Lecture_Mumbai_-_Radhanath_Swami_2005-12-17_IDesireTree.mp3")</f>
        <v>04_Vyas_Puja_Address_Lecture_Mumbai_-_Radhanath_Swami_2005-12-17_IDesireTree.mp3</v>
      </c>
      <c r="D2237" s="24"/>
      <c r="E2237" s="24"/>
    </row>
    <row r="2238">
      <c r="A2238" s="25" t="s">
        <v>18352</v>
      </c>
      <c r="B2238" s="25" t="s">
        <v>18369</v>
      </c>
      <c r="C2238" s="26" t="str">
        <f>HYPERLINK("https://audio.iskcondesiretree.com/02_-_ISKCON_Swamis/ISKCON_Swamis_-_R_to_Y/His_Holiness_Radhanath_Swami/Lectures/00_-_Year_wise/Devotional_Nectar_-_2005/Vol_14/05_Compassion_of_Lord_Shiva_SB-05_17_17-19_Mumbai_-_18-12-05_IDesireTree.mp3", "05_Compassion_of_Lord_Shiva_SB-05_17_17-19_Mumbai_-_18-12-05_IDesireTree.mp3")</f>
        <v>05_Compassion_of_Lord_Shiva_SB-05_17_17-19_Mumbai_-_18-12-05_IDesireTree.mp3</v>
      </c>
      <c r="D2238" s="24"/>
      <c r="E2238" s="24"/>
    </row>
    <row r="2239">
      <c r="A2239" s="25" t="s">
        <v>18352</v>
      </c>
      <c r="B2239" s="25" t="s">
        <v>18369</v>
      </c>
      <c r="C2239" s="26" t="str">
        <f>HYPERLINK("https://audio.iskcondesiretree.com/02_-_ISKCON_Swamis/ISKCON_Swamis_-_R_to_Y/His_Holiness_Radhanath_Swami/Lectures/00_-_Year_wise/Devotional_Nectar_-_2005/Vol_14/06_Glories_Of_Srila_Bhakti_Siddanta_Saraswati_Thakur_Sunday_Feast_Mumbai_-_19-12-05_IDesireTr"&amp;"ee.mp3", "06_Glories_Of_Srila_Bhakti_Siddanta_Saraswati_Thakur_Sunday_Feast_Mumbai_-_19-12-05_IDesireTree.mp3")</f>
        <v>06_Glories_Of_Srila_Bhakti_Siddanta_Saraswati_Thakur_Sunday_Feast_Mumbai_-_19-12-05_IDesireTree.mp3</v>
      </c>
      <c r="D2239" s="24"/>
      <c r="E2239" s="24"/>
    </row>
    <row r="2240">
      <c r="A2240" s="25" t="s">
        <v>18352</v>
      </c>
      <c r="B2240" s="25" t="s">
        <v>18369</v>
      </c>
      <c r="C2240" s="26" t="str">
        <f>HYPERLINK("https://audio.iskcondesiretree.com/02_-_ISKCON_Swamis/ISKCON_Swamis_-_R_to_Y/His_Holiness_Radhanath_Swami/Lectures/00_-_Year_wise/Devotional_Nectar_-_2005/Vol_14/2005-07-10_SB_07-04-40_-_Radhanath_Swami.mp3", "2005-07-10_SB_07-04-40_-_Radhanath_Swami.mp3")</f>
        <v>2005-07-10_SB_07-04-40_-_Radhanath_Swami.mp3</v>
      </c>
      <c r="D2240" s="24"/>
      <c r="E2240" s="24"/>
    </row>
    <row r="2241">
      <c r="A2241" s="25" t="s">
        <v>18352</v>
      </c>
      <c r="B2241" s="25" t="s">
        <v>18370</v>
      </c>
      <c r="C2241" s="26" t="str">
        <f>HYPERLINK("https://audio.iskcondesiretree.com/02_-_ISKCON_Swamis/ISKCON_Swamis_-_R_to_Y/His_Holiness_Radhanath_Swami/Lectures/00_-_Year_wise/Devotional_Nectar_-_2006/2006-001_Glories_Of_Srila_Anantacharya_Lecture_Mumbai_-_Radhanath_Swami_2006-01-15_IDesireTree.mp3", "2006-001_Glories_Of_Srila_Anantacharya_Lecture_Mumbai_-_Radhanath_Swami_2006-01-15_IDesireTree.mp3")</f>
        <v>2006-001_Glories_Of_Srila_Anantacharya_Lecture_Mumbai_-_Radhanath_Swami_2006-01-15_IDesireTree.mp3</v>
      </c>
      <c r="D2241" s="24"/>
      <c r="E2241" s="24"/>
    </row>
    <row r="2242">
      <c r="A2242" s="25" t="s">
        <v>18352</v>
      </c>
      <c r="B2242" s="25" t="s">
        <v>18370</v>
      </c>
      <c r="C2242" s="26" t="str">
        <f>HYPERLINK("https://audio.iskcondesiretree.com/02_-_ISKCON_Swamis/ISKCON_Swamis_-_R_to_Y/His_Holiness_Radhanath_Swami/Lectures/00_-_Year_wise/Devotional_Nectar_-_2006/2006-002_Beware_Of_Paramatma%27s_Watchfull_Eyes_SB-05_18_29_Mumbai_-_21-01-06_IDesireTree.mp3", "2006-002_Beware_Of_Paramatma%27s_Watchfull_Eyes_SB-05_18_29_Mumbai_-_21-01-06_IDesireTree.mp3")</f>
        <v>2006-002_Beware_Of_Paramatma%27s_Watchfull_Eyes_SB-05_18_29_Mumbai_-_21-01-06_IDesireTree.mp3</v>
      </c>
      <c r="D2242" s="24"/>
      <c r="E2242" s="24"/>
    </row>
    <row r="2243">
      <c r="A2243" s="25" t="s">
        <v>18352</v>
      </c>
      <c r="B2243" s="25" t="s">
        <v>18370</v>
      </c>
      <c r="C2243" s="26" t="str">
        <f>HYPERLINK("https://audio.iskcondesiretree.com/02_-_ISKCON_Swamis/ISKCON_Swamis_-_R_to_Y/His_Holiness_Radhanath_Swami/Lectures/00_-_Year_wise/Devotional_Nectar_-_2006/2006-003_SB-05_18_30_Mumbai_-_Radhanath_Swami_2006-01-22_IDesireTree.mp3", "2006-003_SB-05_18_30_Mumbai_-_Radhanath_Swami_2006-01-22_IDesireTree.mp3")</f>
        <v>2006-003_SB-05_18_30_Mumbai_-_Radhanath_Swami_2006-01-22_IDesireTree.mp3</v>
      </c>
      <c r="D2243" s="24"/>
      <c r="E2243" s="24"/>
    </row>
    <row r="2244">
      <c r="A2244" s="25" t="s">
        <v>18352</v>
      </c>
      <c r="B2244" s="25" t="s">
        <v>18370</v>
      </c>
      <c r="C2244" s="26" t="str">
        <f>HYPERLINK("https://audio.iskcondesiretree.com/02_-_ISKCON_Swamis/ISKCON_Swamis_-_R_to_Y/His_Holiness_Radhanath_Swami/Lectures/00_-_Year_wise/Devotional_Nectar_-_2006/2006-004_Glories_Of_Srila_Locana_Das_Thakur_Lecture_Mumbai_-_22-01-06_IDesireTree.mp3", "2006-004_Glories_Of_Srila_Locana_Das_Thakur_Lecture_Mumbai_-_22-01-06_IDesireTree.mp3")</f>
        <v>2006-004_Glories_Of_Srila_Locana_Das_Thakur_Lecture_Mumbai_-_22-01-06_IDesireTree.mp3</v>
      </c>
      <c r="D2244" s="24"/>
      <c r="E2244" s="24"/>
    </row>
    <row r="2245">
      <c r="A2245" s="25" t="s">
        <v>18352</v>
      </c>
      <c r="B2245" s="25" t="s">
        <v>18370</v>
      </c>
      <c r="C2245" s="26" t="str">
        <f>HYPERLINK("https://audio.iskcondesiretree.com/02_-_ISKCON_Swamis/ISKCON_Swamis_-_R_to_Y/His_Holiness_Radhanath_Swami/Lectures/00_-_Year_wise/Devotional_Nectar_-_2006/2006-005_Power_Of_Inquiry_Prerana_Lecture_Mumbai_-_Radhanath_Swami_2006-01-26_IDesireTree.mp3", "2006-005_Power_Of_Inquiry_Prerana_Lecture_Mumbai_-_Radhanath_Swami_2006-01-26_IDesireTree.mp3")</f>
        <v>2006-005_Power_Of_Inquiry_Prerana_Lecture_Mumbai_-_Radhanath_Swami_2006-01-26_IDesireTree.mp3</v>
      </c>
      <c r="D2245" s="24"/>
      <c r="E2245" s="24"/>
    </row>
    <row r="2246">
      <c r="A2246" s="25" t="s">
        <v>18352</v>
      </c>
      <c r="B2246" s="25" t="s">
        <v>18370</v>
      </c>
      <c r="C2246" s="26" t="str">
        <f>HYPERLINK("https://audio.iskcondesiretree.com/02_-_ISKCON_Swamis/ISKCON_Swamis_-_R_to_Y/His_Holiness_Radhanath_Swami/Lectures/00_-_Year_wise/Devotional_Nectar_-_2006/2006-006_Lecture_Mumbai_-_Radhanath_Swami_2006-01-27_IDesireTree.mp3", "2006-006_Lecture_Mumbai_-_Radhanath_Swami_2006-01-27_IDesireTree.mp3")</f>
        <v>2006-006_Lecture_Mumbai_-_Radhanath_Swami_2006-01-27_IDesireTree.mp3</v>
      </c>
      <c r="D2246" s="24"/>
      <c r="E2246" s="24"/>
    </row>
    <row r="2247">
      <c r="A2247" s="25" t="s">
        <v>18352</v>
      </c>
      <c r="B2247" s="25" t="s">
        <v>18370</v>
      </c>
      <c r="C2247" s="26" t="str">
        <f>HYPERLINK("https://audio.iskcondesiretree.com/02_-_ISKCON_Swamis/ISKCON_Swamis_-_R_to_Y/His_Holiness_Radhanath_Swami/Lectures/00_-_Year_wise/Devotional_Nectar_-_2006/2006-007_Pastimes_Related_To_Lord_Varaha_SB-05_18_35_Mumbai_-_28-01-06_IDesireTree.mp3", "2006-007_Pastimes_Related_To_Lord_Varaha_SB-05_18_35_Mumbai_-_28-01-06_IDesireTree.mp3")</f>
        <v>2006-007_Pastimes_Related_To_Lord_Varaha_SB-05_18_35_Mumbai_-_28-01-06_IDesireTree.mp3</v>
      </c>
      <c r="D2247" s="24"/>
      <c r="E2247" s="24"/>
    </row>
    <row r="2248">
      <c r="A2248" s="25" t="s">
        <v>18352</v>
      </c>
      <c r="B2248" s="25" t="s">
        <v>18370</v>
      </c>
      <c r="C2248" s="26" t="str">
        <f>HYPERLINK("https://audio.iskcondesiretree.com/02_-_ISKCON_Swamis/ISKCON_Swamis_-_R_to_Y/His_Holiness_Radhanath_Swami/Lectures/00_-_Year_wise/Devotional_Nectar_-_2006/2006-008_Pushya_Abhishek_Lecture_Lecture_Mumbai_-_Radhanath_Swami_2006-01-28_IDesireTree.mp3", "2006-008_Pushya_Abhishek_Lecture_Lecture_Mumbai_-_Radhanath_Swami_2006-01-28_IDesireTree.mp3")</f>
        <v>2006-008_Pushya_Abhishek_Lecture_Lecture_Mumbai_-_Radhanath_Swami_2006-01-28_IDesireTree.mp3</v>
      </c>
      <c r="D2248" s="24"/>
      <c r="E2248" s="24"/>
    </row>
    <row r="2249">
      <c r="A2249" s="25" t="s">
        <v>18352</v>
      </c>
      <c r="B2249" s="25" t="s">
        <v>18370</v>
      </c>
      <c r="C2249" s="26" t="str">
        <f>HYPERLINK("https://audio.iskcondesiretree.com/02_-_ISKCON_Swamis/ISKCON_Swamis_-_R_to_Y/His_Holiness_Radhanath_Swami/Lectures/00_-_Year_wise/Devotional_Nectar_-_2006/2006-009_Memories_Of_Srila_Prabhupada_Lecture_Mumbai_-_Radhanath_Swami_2006-01-29_IDesireTree.mp3", "2006-009_Memories_Of_Srila_Prabhupada_Lecture_Mumbai_-_Radhanath_Swami_2006-01-29_IDesireTree.mp3")</f>
        <v>2006-009_Memories_Of_Srila_Prabhupada_Lecture_Mumbai_-_Radhanath_Swami_2006-01-29_IDesireTree.mp3</v>
      </c>
      <c r="D2249" s="24"/>
      <c r="E2249" s="24"/>
    </row>
    <row r="2250">
      <c r="A2250" s="25" t="s">
        <v>18352</v>
      </c>
      <c r="B2250" s="25" t="s">
        <v>18370</v>
      </c>
      <c r="C2250" s="26" t="str">
        <f>HYPERLINK("https://audio.iskcondesiretree.com/02_-_ISKCON_Swamis/ISKCON_Swamis_-_R_to_Y/His_Holiness_Radhanath_Swami/Lectures/00_-_Year_wise/Devotional_Nectar_-_2006/2006-010_Prabhupada_Memories_Lecture_Mumbai_-_Radhanath_Swami_2006-01-29_IDesireTree.mp3", "2006-010_Prabhupada_Memories_Lecture_Mumbai_-_Radhanath_Swami_2006-01-29_IDesireTree.mp3")</f>
        <v>2006-010_Prabhupada_Memories_Lecture_Mumbai_-_Radhanath_Swami_2006-01-29_IDesireTree.mp3</v>
      </c>
      <c r="D2250" s="24"/>
      <c r="E2250" s="24"/>
    </row>
    <row r="2251">
      <c r="A2251" s="25" t="s">
        <v>18352</v>
      </c>
      <c r="B2251" s="25" t="s">
        <v>18370</v>
      </c>
      <c r="C2251" s="26" t="str">
        <f>HYPERLINK("https://audio.iskcondesiretree.com/02_-_ISKCON_Swamis/ISKCON_Swamis_-_R_to_Y/His_Holiness_Radhanath_Swami/Lectures/00_-_Year_wise/Devotional_Nectar_-_2006/2006-011_Prabhupada_Memories_Lec_Mumbai_-_Radhanath_Swami_2006-02-05_IDesireTree.mp3", "2006-011_Prabhupada_Memories_Lec_Mumbai_-_Radhanath_Swami_2006-02-05_IDesireTree.mp3")</f>
        <v>2006-011_Prabhupada_Memories_Lec_Mumbai_-_Radhanath_Swami_2006-02-05_IDesireTree.mp3</v>
      </c>
      <c r="D2251" s="24"/>
      <c r="E2251" s="24"/>
    </row>
    <row r="2252">
      <c r="A2252" s="25" t="s">
        <v>18352</v>
      </c>
      <c r="B2252" s="25" t="s">
        <v>18370</v>
      </c>
      <c r="C2252" s="26" t="str">
        <f>HYPERLINK("https://audio.iskcondesiretree.com/02_-_ISKCON_Swamis/ISKCON_Swamis_-_R_to_Y/His_Holiness_Radhanath_Swami/Lectures/00_-_Year_wise/Devotional_Nectar_-_2006/2006-012_Marriage_Address_-_Krishna_Kaniya_Pr_%26_Anjali_Mataji_Lecture_Mumbai_-_07-02-06_IDesireTre"&amp;"e.mp3", "2006-012_Marriage_Address_-_Krishna_Kaniya_Pr_%26_Anjali_Mataji_Lecture_Mumbai_-_07-02-06_IDesireTree.mp3")</f>
        <v>2006-012_Marriage_Address_-_Krishna_Kaniya_Pr_%26_Anjali_Mataji_Lecture_Mumbai_-_07-02-06_IDesireTree.mp3</v>
      </c>
      <c r="D2252" s="24"/>
      <c r="E2252" s="24"/>
    </row>
    <row r="2253">
      <c r="A2253" s="25" t="s">
        <v>18352</v>
      </c>
      <c r="B2253" s="25" t="s">
        <v>18370</v>
      </c>
      <c r="C2253" s="26" t="str">
        <f>HYPERLINK("https://audio.iskcondesiretree.com/02_-_ISKCON_Swamis/ISKCON_Swamis_-_R_to_Y/His_Holiness_Radhanath_Swami/Lectures/00_-_Year_wise/Devotional_Nectar_-_2006/2006-013_Every_Moment_of_Your_Life_Count_Lec_at_NSCI_Mumbai_-_08-02-06_IDesireTree.mp3", "2006-013_Every_Moment_of_Your_Life_Count_Lec_at_NSCI_Mumbai_-_08-02-06_IDesireTree.mp3")</f>
        <v>2006-013_Every_Moment_of_Your_Life_Count_Lec_at_NSCI_Mumbai_-_08-02-06_IDesireTree.mp3</v>
      </c>
      <c r="D2253" s="24"/>
      <c r="E2253" s="24"/>
    </row>
    <row r="2254">
      <c r="A2254" s="25" t="s">
        <v>18352</v>
      </c>
      <c r="B2254" s="25" t="s">
        <v>18370</v>
      </c>
      <c r="C2254" s="26" t="str">
        <f>HYPERLINK("https://audio.iskcondesiretree.com/02_-_ISKCON_Swamis/ISKCON_Swamis_-_R_to_Y/His_Holiness_Radhanath_Swami/Lectures/00_-_Year_wise/Devotional_Nectar_-_2006/2006-014_Absorb_Completely_In_Whatever_One_Does_SB-05_19_13_Mumbai_-_12-02-06_IDesireTree.mp3", "2006-014_Absorb_Completely_In_Whatever_One_Does_SB-05_19_13_Mumbai_-_12-02-06_IDesireTree.mp3")</f>
        <v>2006-014_Absorb_Completely_In_Whatever_One_Does_SB-05_19_13_Mumbai_-_12-02-06_IDesireTree.mp3</v>
      </c>
      <c r="D2254" s="24"/>
      <c r="E2254" s="24"/>
    </row>
    <row r="2255">
      <c r="A2255" s="25" t="s">
        <v>18352</v>
      </c>
      <c r="B2255" s="25" t="s">
        <v>18370</v>
      </c>
      <c r="C2255" s="26" t="str">
        <f>HYPERLINK("https://audio.iskcondesiretree.com/02_-_ISKCON_Swamis/ISKCON_Swamis_-_R_to_Y/His_Holiness_Radhanath_Swami/Lectures/00_-_Year_wise/Devotional_Nectar_-_2006/2006-015_Prabhupada_Memories_Lecture_Mumbai_-_Radhanath_Swami_2006-02-12_IDesireTree.mp3", "2006-015_Prabhupada_Memories_Lecture_Mumbai_-_Radhanath_Swami_2006-02-12_IDesireTree.mp3")</f>
        <v>2006-015_Prabhupada_Memories_Lecture_Mumbai_-_Radhanath_Swami_2006-02-12_IDesireTree.mp3</v>
      </c>
      <c r="D2255" s="24"/>
      <c r="E2255" s="24"/>
    </row>
    <row r="2256">
      <c r="A2256" s="25" t="s">
        <v>18352</v>
      </c>
      <c r="B2256" s="25" t="s">
        <v>18370</v>
      </c>
      <c r="C2256" s="26" t="str">
        <f>HYPERLINK("https://audio.iskcondesiretree.com/02_-_ISKCON_Swamis/ISKCON_Swamis_-_R_to_Y/His_Holiness_Radhanath_Swami/Lectures/00_-_Year_wise/Devotional_Nectar_-_2006/2006-017_Srila_Prabhupada-_The_Emissary_Of_Lord_Caitanya_Mahaprabhu_Lecture_Mumbai_-_13-03-06_IDesir"&amp;"eTree.mp3", "2006-017_Srila_Prabhupada-_The_Emissary_Of_Lord_Caitanya_Mahaprabhu_Lecture_Mumbai_-_13-03-06_IDesireTree.mp3")</f>
        <v>2006-017_Srila_Prabhupada-_The_Emissary_Of_Lord_Caitanya_Mahaprabhu_Lecture_Mumbai_-_13-03-06_IDesireTree.mp3</v>
      </c>
      <c r="D2256" s="24"/>
      <c r="E2256" s="24"/>
    </row>
    <row r="2257">
      <c r="A2257" s="25" t="s">
        <v>18352</v>
      </c>
      <c r="B2257" s="25" t="s">
        <v>18370</v>
      </c>
      <c r="C2257" s="26" t="str">
        <f>HYPERLINK("https://audio.iskcondesiretree.com/02_-_ISKCON_Swamis/ISKCON_Swamis_-_R_to_Y/His_Holiness_Radhanath_Swami/Lectures/00_-_Year_wise/Devotional_Nectar_-_2006/2006-018_Lord_Caitanya_Manifesting_Different_Forms_Lecture_Mumbai_-_14-03-06_IDesireTree.mp3", "2006-018_Lord_Caitanya_Manifesting_Different_Forms_Lecture_Mumbai_-_14-03-06_IDesireTree.mp3")</f>
        <v>2006-018_Lord_Caitanya_Manifesting_Different_Forms_Lecture_Mumbai_-_14-03-06_IDesireTree.mp3</v>
      </c>
      <c r="D2257" s="24"/>
      <c r="E2257" s="24"/>
    </row>
    <row r="2258">
      <c r="A2258" s="25" t="s">
        <v>18352</v>
      </c>
      <c r="B2258" s="25" t="s">
        <v>18370</v>
      </c>
      <c r="C2258" s="26" t="str">
        <f>HYPERLINK("https://audio.iskcondesiretree.com/02_-_ISKCON_Swamis/ISKCON_Swamis_-_R_to_Y/His_Holiness_Radhanath_Swami/Lectures/00_-_Year_wise/Devotional_Nectar_-_2006/2006-019_Sankirtan_Movement_Makes_Kaliyuga_Glorious_Lecture_Mumbai_-_14-03-06_IDesireTree.mp3", "2006-019_Sankirtan_Movement_Makes_Kaliyuga_Glorious_Lecture_Mumbai_-_14-03-06_IDesireTree.mp3")</f>
        <v>2006-019_Sankirtan_Movement_Makes_Kaliyuga_Glorious_Lecture_Mumbai_-_14-03-06_IDesireTree.mp3</v>
      </c>
      <c r="D2258" s="24"/>
      <c r="E2258" s="24"/>
    </row>
    <row r="2259">
      <c r="A2259" s="25" t="s">
        <v>18352</v>
      </c>
      <c r="B2259" s="25" t="s">
        <v>18370</v>
      </c>
      <c r="C2259" s="26" t="str">
        <f>HYPERLINK("https://audio.iskcondesiretree.com/02_-_ISKCON_Swamis/ISKCON_Swamis_-_R_to_Y/His_Holiness_Radhanath_Swami/Lectures/00_-_Year_wise/Devotional_Nectar_-_2006/2006-020_The_Power_of_Holy_Name_Lecture_Mumbai_-_Radhanath_Swami_2006-03-15_IDesireTree.mp3", "2006-020_The_Power_of_Holy_Name_Lecture_Mumbai_-_Radhanath_Swami_2006-03-15_IDesireTree.mp3")</f>
        <v>2006-020_The_Power_of_Holy_Name_Lecture_Mumbai_-_Radhanath_Swami_2006-03-15_IDesireTree.mp3</v>
      </c>
      <c r="D2259" s="24"/>
      <c r="E2259" s="24"/>
    </row>
    <row r="2260">
      <c r="A2260" s="25" t="s">
        <v>18352</v>
      </c>
      <c r="B2260" s="25" t="s">
        <v>18370</v>
      </c>
      <c r="C2260" s="26" t="str">
        <f>HYPERLINK("https://audio.iskcondesiretree.com/02_-_ISKCON_Swamis/ISKCON_Swamis_-_R_to_Y/His_Holiness_Radhanath_Swami/Lectures/00_-_Year_wise/Devotional_Nectar_-_2006/2006-021_Holy_Name-_The_Highest_Gift_of_Lord_Caitanya_Mahaprabhu_Lecture_Mumbai_-_15-03-06_IDesireTr"&amp;"ee.mp3", "2006-021_Holy_Name-_The_Highest_Gift_of_Lord_Caitanya_Mahaprabhu_Lecture_Mumbai_-_15-03-06_IDesireTree.mp3")</f>
        <v>2006-021_Holy_Name-_The_Highest_Gift_of_Lord_Caitanya_Mahaprabhu_Lecture_Mumbai_-_15-03-06_IDesireTree.mp3</v>
      </c>
      <c r="D2260" s="24"/>
      <c r="E2260" s="24"/>
    </row>
    <row r="2261">
      <c r="A2261" s="25" t="s">
        <v>18352</v>
      </c>
      <c r="B2261" s="25" t="s">
        <v>18370</v>
      </c>
      <c r="C2261" s="26" t="str">
        <f>HYPERLINK("https://audio.iskcondesiretree.com/02_-_ISKCON_Swamis/ISKCON_Swamis_-_R_to_Y/His_Holiness_Radhanath_Swami/Lectures/00_-_Year_wise/Devotional_Nectar_-_2006/2006-022_Lord_Caitanya%27s_Pastime_of_Sannyas_%26_After_Lecture_Mumbai_-_15-03-06_IDesireTree.mp3", "2006-022_Lord_Caitanya%27s_Pastime_of_Sannyas_%26_After_Lecture_Mumbai_-_15-03-06_IDesireTree.mp3")</f>
        <v>2006-022_Lord_Caitanya%27s_Pastime_of_Sannyas_%26_After_Lecture_Mumbai_-_15-03-06_IDesireTree.mp3</v>
      </c>
      <c r="D2261" s="24"/>
      <c r="E2261" s="24"/>
    </row>
    <row r="2262">
      <c r="A2262" s="25" t="s">
        <v>18352</v>
      </c>
      <c r="B2262" s="25" t="s">
        <v>18370</v>
      </c>
      <c r="C2262" s="26" t="str">
        <f>HYPERLINK("https://audio.iskcondesiretree.com/02_-_ISKCON_Swamis/ISKCON_Swamis_-_R_to_Y/His_Holiness_Radhanath_Swami/Lectures/00_-_Year_wise/Devotional_Nectar_-_2006/2006-023_Lecture_At_Sahadev_Pr_Residence_Lecture_Mumbai_-_Radhanath_Swami_2006-03-18_IDesireTree.mp3", "2006-023_Lecture_At_Sahadev_Pr_Residence_Lecture_Mumbai_-_Radhanath_Swami_2006-03-18_IDesireTree.mp3")</f>
        <v>2006-023_Lecture_At_Sahadev_Pr_Residence_Lecture_Mumbai_-_Radhanath_Swami_2006-03-18_IDesireTree.mp3</v>
      </c>
      <c r="D2262" s="24"/>
      <c r="E2262" s="24"/>
    </row>
    <row r="2263">
      <c r="A2263" s="25" t="s">
        <v>18352</v>
      </c>
      <c r="B2263" s="25" t="s">
        <v>18370</v>
      </c>
      <c r="C2263" s="26" t="str">
        <f>HYPERLINK("https://audio.iskcondesiretree.com/02_-_ISKCON_Swamis/ISKCON_Swamis_-_R_to_Y/His_Holiness_Radhanath_Swami/Lectures/00_-_Year_wise/Devotional_Nectar_-_2006/2006-024_The_Absolute_Truth_is_Inconceivable_SB-05_21_11_Mumbai_-_19-03-06_IDesireTree.mp3", "2006-024_The_Absolute_Truth_is_Inconceivable_SB-05_21_11_Mumbai_-_19-03-06_IDesireTree.mp3")</f>
        <v>2006-024_The_Absolute_Truth_is_Inconceivable_SB-05_21_11_Mumbai_-_19-03-06_IDesireTree.mp3</v>
      </c>
      <c r="D2263" s="24"/>
      <c r="E2263" s="24"/>
    </row>
    <row r="2264">
      <c r="A2264" s="25" t="s">
        <v>18352</v>
      </c>
      <c r="B2264" s="25" t="s">
        <v>18370</v>
      </c>
      <c r="C2264" s="26" t="str">
        <f>HYPERLINK("https://audio.iskcondesiretree.com/02_-_ISKCON_Swamis/ISKCON_Swamis_-_R_to_Y/His_Holiness_Radhanath_Swami/Lectures/00_-_Year_wise/Devotional_Nectar_-_2006/2006-025_Krishna_Descends_To_Reawaken_Our_Dormant_Love_Lecture_Mumbai_-_19-03-06_IDesireTree.mp3", "2006-025_Krishna_Descends_To_Reawaken_Our_Dormant_Love_Lecture_Mumbai_-_19-03-06_IDesireTree.mp3")</f>
        <v>2006-025_Krishna_Descends_To_Reawaken_Our_Dormant_Love_Lecture_Mumbai_-_19-03-06_IDesireTree.mp3</v>
      </c>
      <c r="D2264" s="24"/>
      <c r="E2264" s="24"/>
    </row>
    <row r="2265">
      <c r="A2265" s="25" t="s">
        <v>18352</v>
      </c>
      <c r="B2265" s="25" t="s">
        <v>18370</v>
      </c>
      <c r="C2265" s="26" t="str">
        <f>HYPERLINK("https://audio.iskcondesiretree.com/02_-_ISKCON_Swamis/ISKCON_Swamis_-_R_to_Y/His_Holiness_Radhanath_Swami/Lectures/00_-_Year_wise/Devotional_Nectar_-_2006/2006-026_Srila_Prabhupada_The_Perfect_Rupanuga_Lecture_Mumbai_-_06-08-06_IDesireTree.mp3", "2006-026_Srila_Prabhupada_The_Perfect_Rupanuga_Lecture_Mumbai_-_06-08-06_IDesireTree.mp3")</f>
        <v>2006-026_Srila_Prabhupada_The_Perfect_Rupanuga_Lecture_Mumbai_-_06-08-06_IDesireTree.mp3</v>
      </c>
      <c r="D2265" s="24"/>
      <c r="E2265" s="24"/>
    </row>
    <row r="2266">
      <c r="A2266" s="25" t="s">
        <v>18352</v>
      </c>
      <c r="B2266" s="25" t="s">
        <v>18370</v>
      </c>
      <c r="C2266" s="26" t="str">
        <f>HYPERLINK("https://audio.iskcondesiretree.com/02_-_ISKCON_Swamis/ISKCON_Swamis_-_R_to_Y/His_Holiness_Radhanath_Swami/Lectures/00_-_Year_wise/Devotional_Nectar_-_2006/2006-027_Initiation_Lecture_Brahmacari_Initiation_on_Balaram_Jayanti_-_09-08-06_IDesireTree.mp3", "2006-027_Initiation_Lecture_Brahmacari_Initiation_on_Balaram_Jayanti_-_09-08-06_IDesireTree.mp3")</f>
        <v>2006-027_Initiation_Lecture_Brahmacari_Initiation_on_Balaram_Jayanti_-_09-08-06_IDesireTree.mp3</v>
      </c>
      <c r="D2266" s="24"/>
      <c r="E2266" s="24"/>
    </row>
    <row r="2267">
      <c r="A2267" s="25" t="s">
        <v>18352</v>
      </c>
      <c r="B2267" s="25" t="s">
        <v>18370</v>
      </c>
      <c r="C2267" s="26" t="str">
        <f>HYPERLINK("https://audio.iskcondesiretree.com/02_-_ISKCON_Swamis/ISKCON_Swamis_-_R_to_Y/His_Holiness_Radhanath_Swami/Lectures/00_-_Year_wise/Devotional_Nectar_-_2006/2006-028_Lord_Balaram-_The_Destroyer_of_Anarthas_Lord_Balaram_Appearance_Day_-_09-08-06_IDesireTree."&amp;"mp3", "2006-028_Lord_Balaram-_The_Destroyer_of_Anarthas_Lord_Balaram_Appearance_Day_-_09-08-06_IDesireTree.mp3")</f>
        <v>2006-028_Lord_Balaram-_The_Destroyer_of_Anarthas_Lord_Balaram_Appearance_Day_-_09-08-06_IDesireTree.mp3</v>
      </c>
      <c r="D2267" s="24"/>
      <c r="E2267" s="24"/>
    </row>
    <row r="2268">
      <c r="A2268" s="25" t="s">
        <v>18352</v>
      </c>
      <c r="B2268" s="25" t="s">
        <v>18370</v>
      </c>
      <c r="C2268" s="26" t="str">
        <f>HYPERLINK("https://audio.iskcondesiretree.com/02_-_ISKCON_Swamis/ISKCON_Swamis_-_R_to_Y/His_Holiness_Radhanath_Swami/Lectures/00_-_Year_wise/Devotional_Nectar_-_2006/2006-029_Tune_Your_Mind_to_Krishna_Channel_Sunday_Feast_-_Radhanath_Swami_2006-08-13_IDesireTree.mp3", "2006-029_Tune_Your_Mind_to_Krishna_Channel_Sunday_Feast_-_Radhanath_Swami_2006-08-13_IDesireTree.mp3")</f>
        <v>2006-029_Tune_Your_Mind_to_Krishna_Channel_Sunday_Feast_-_Radhanath_Swami_2006-08-13_IDesireTree.mp3</v>
      </c>
      <c r="D2268" s="24"/>
      <c r="E2268" s="24"/>
    </row>
    <row r="2269">
      <c r="A2269" s="25" t="s">
        <v>18352</v>
      </c>
      <c r="B2269" s="25" t="s">
        <v>18370</v>
      </c>
      <c r="C2269" s="26" t="str">
        <f>HYPERLINK("https://audio.iskcondesiretree.com/02_-_ISKCON_Swamis/ISKCON_Swamis_-_R_to_Y/His_Holiness_Radhanath_Swami/Lectures/00_-_Year_wise/Devotional_Nectar_-_2006/2006-030_Putana-Achieves_The_Ultimate_Independence_At_Radha_Rashbihari_Temple_-_15-08-06_IDesireTree"&amp;".mp3", "2006-030_Putana-Achieves_The_Ultimate_Independence_At_Radha_Rashbihari_Temple_-_15-08-06_IDesireTree.mp3")</f>
        <v>2006-030_Putana-Achieves_The_Ultimate_Independence_At_Radha_Rashbihari_Temple_-_15-08-06_IDesireTree.mp3</v>
      </c>
      <c r="D2269" s="24"/>
      <c r="E2269" s="24"/>
    </row>
    <row r="2270">
      <c r="A2270" s="25" t="s">
        <v>18352</v>
      </c>
      <c r="B2270" s="25" t="s">
        <v>18370</v>
      </c>
      <c r="C2270" s="26" t="str">
        <f>HYPERLINK("https://audio.iskcondesiretree.com/02_-_ISKCON_Swamis/ISKCON_Swamis_-_R_to_Y/His_Holiness_Radhanath_Swami/Lectures/00_-_Year_wise/Devotional_Nectar_-_2006/2006-031_Janmashtami_Lecture_At_Bhartiya_Vidya_Bhavan_-_Radhanath_Swami_2006-08-17_IDesireTree.mp3", "2006-031_Janmashtami_Lecture_At_Bhartiya_Vidya_Bhavan_-_Radhanath_Swami_2006-08-17_IDesireTree.mp3")</f>
        <v>2006-031_Janmashtami_Lecture_At_Bhartiya_Vidya_Bhavan_-_Radhanath_Swami_2006-08-17_IDesireTree.mp3</v>
      </c>
      <c r="D2270" s="24"/>
      <c r="E2270" s="24"/>
    </row>
    <row r="2271">
      <c r="A2271" s="25" t="s">
        <v>18352</v>
      </c>
      <c r="B2271" s="25" t="s">
        <v>18370</v>
      </c>
      <c r="C2271" s="26" t="str">
        <f>HYPERLINK("https://audio.iskcondesiretree.com/02_-_ISKCON_Swamis/ISKCON_Swamis_-_R_to_Y/His_Holiness_Radhanath_Swami/Lectures/00_-_Year_wise/Devotional_Nectar_-_2006/2006-032_SP_Vyas_Puja_Address_RadhaGopinath_Temple_-_Radhanath_Swami_2006-08-17_IDesireTree.mp3", "2006-032_SP_Vyas_Puja_Address_RadhaGopinath_Temple_-_Radhanath_Swami_2006-08-17_IDesireTree.mp3")</f>
        <v>2006-032_SP_Vyas_Puja_Address_RadhaGopinath_Temple_-_Radhanath_Swami_2006-08-17_IDesireTree.mp3</v>
      </c>
      <c r="D2271" s="24"/>
      <c r="E2271" s="24"/>
    </row>
    <row r="2272">
      <c r="A2272" s="25" t="s">
        <v>18352</v>
      </c>
      <c r="B2272" s="25" t="s">
        <v>18370</v>
      </c>
      <c r="C2272" s="26" t="str">
        <f>HYPERLINK("https://audio.iskcondesiretree.com/02_-_ISKCON_Swamis/ISKCON_Swamis_-_R_to_Y/His_Holiness_Radhanath_Swami/Lectures/00_-_Year_wise/Devotional_Nectar_-_2006/2006-033_Prayers_of_A_Pure_Devotee-_Srila_Prabhupada_Sunday_Feast_-_20-08-06_IDesireTree.mp3", "2006-033_Prayers_of_A_Pure_Devotee-_Srila_Prabhupada_Sunday_Feast_-_20-08-06_IDesireTree.mp3")</f>
        <v>2006-033_Prayers_of_A_Pure_Devotee-_Srila_Prabhupada_Sunday_Feast_-_20-08-06_IDesireTree.mp3</v>
      </c>
      <c r="D2272" s="24"/>
      <c r="E2272" s="24"/>
    </row>
    <row r="2273">
      <c r="A2273" s="25" t="s">
        <v>18352</v>
      </c>
      <c r="B2273" s="25" t="s">
        <v>18370</v>
      </c>
      <c r="C2273" s="26" t="str">
        <f>HYPERLINK("https://audio.iskcondesiretree.com/02_-_ISKCON_Swamis/ISKCON_Swamis_-_R_to_Y/His_Holiness_Radhanath_Swami/Lectures/00_-_Year_wise/Devotional_Nectar_-_2006/2006-034_Insightful_life_of_Narada_Muni_-_Sunday_Festival_Lecture_-_SB-01_06_34_-_31-12-06_IDesireTr"&amp;"ee.mp3", "2006-034_Insightful_life_of_Narada_Muni_-_Sunday_Festival_Lecture_-_SB-01_06_34_-_31-12-06_IDesireTree.mp3")</f>
        <v>2006-034_Insightful_life_of_Narada_Muni_-_Sunday_Festival_Lecture_-_SB-01_06_34_-_31-12-06_IDesireTree.mp3</v>
      </c>
      <c r="D2273" s="24"/>
      <c r="E2273" s="24"/>
    </row>
    <row r="2274">
      <c r="A2274" s="25" t="s">
        <v>18352</v>
      </c>
      <c r="B2274" s="25" t="s">
        <v>18370</v>
      </c>
      <c r="C2274" s="26" t="str">
        <f>HYPERLINK("https://audio.iskcondesiretree.com/02_-_ISKCON_Swamis/ISKCON_Swamis_-_R_to_Y/His_Holiness_Radhanath_Swami/Lectures/00_-_Year_wise/Devotional_Nectar_-_2006/2006_Various_-_How_to_Properly_Serve_the_Vaishnavas_-_Radhanath_Swami.mp3", "2006_Various_-_How_to_Properly_Serve_the_Vaishnavas_-_Radhanath_Swami.mp3")</f>
        <v>2006_Various_-_How_to_Properly_Serve_the_Vaishnavas_-_Radhanath_Swami.mp3</v>
      </c>
      <c r="D2274" s="24"/>
      <c r="E2274" s="24"/>
    </row>
    <row r="2275">
      <c r="A2275" s="25" t="s">
        <v>18352</v>
      </c>
      <c r="B2275" s="25" t="s">
        <v>18370</v>
      </c>
      <c r="C2275" s="26" t="str">
        <f>HYPERLINK("https://audio.iskcondesiretree.com/02_-_ISKCON_Swamis/ISKCON_Swamis_-_R_to_Y/His_Holiness_Radhanath_Swami/Lectures/00_-_Year_wise/Devotional_Nectar_-_2006/2006_Various_-_Krishna_never_forgets_service_of_his_Devotees_-_Radhanath_Swami.mp3", "2006_Various_-_Krishna_never_forgets_service_of_his_Devotees_-_Radhanath_Swami.mp3")</f>
        <v>2006_Various_-_Krishna_never_forgets_service_of_his_Devotees_-_Radhanath_Swami.mp3</v>
      </c>
      <c r="D2275" s="24"/>
      <c r="E2275" s="24"/>
    </row>
    <row r="2276">
      <c r="A2276" s="25" t="s">
        <v>18352</v>
      </c>
      <c r="B2276" s="25" t="s">
        <v>18370</v>
      </c>
      <c r="C2276" s="26" t="str">
        <f>HYPERLINK("https://audio.iskcondesiretree.com/02_-_ISKCON_Swamis/ISKCON_Swamis_-_R_to_Y/His_Holiness_Radhanath_Swami/Lectures/00_-_Year_wise/Devotional_Nectar_-_2006/2006_Various_-_Prabhupada_Pastimes_-_Radhanath_Swami.mp3", "2006_Various_-_Prabhupada_Pastimes_-_Radhanath_Swami.mp3")</f>
        <v>2006_Various_-_Prabhupada_Pastimes_-_Radhanath_Swami.mp3</v>
      </c>
      <c r="D2276" s="24"/>
      <c r="E2276" s="24"/>
    </row>
    <row r="2277">
      <c r="A2277" s="25" t="s">
        <v>18352</v>
      </c>
      <c r="B2277" s="25" t="s">
        <v>18370</v>
      </c>
      <c r="C2277" s="26" t="str">
        <f>HYPERLINK("https://audio.iskcondesiretree.com/02_-_ISKCON_Swamis/ISKCON_Swamis_-_R_to_Y/His_Holiness_Radhanath_Swami/Lectures/00_-_Year_wise/Devotional_Nectar_-_2006/2006_Various_-_The_Principle_of_Gratitude_-_Radhanath_Swami.mp3", "2006_Various_-_The_Principle_of_Gratitude_-_Radhanath_Swami.mp3")</f>
        <v>2006_Various_-_The_Principle_of_Gratitude_-_Radhanath_Swami.mp3</v>
      </c>
      <c r="D2277" s="24"/>
      <c r="E2277" s="24"/>
    </row>
    <row r="2278">
      <c r="A2278" s="25" t="s">
        <v>18352</v>
      </c>
      <c r="B2278" s="25" t="s">
        <v>18371</v>
      </c>
      <c r="C2278" s="26" t="str">
        <f>HYPERLINK("https://audio.iskcondesiretree.com/02_-_ISKCON_Swamis/ISKCON_Swamis_-_R_to_Y/His_Holiness_Radhanath_Swami/Lectures/00_-_Year_wise/Devotional_Nectar_-_2007/07-10-20_Srimad_Bhagavatam-7-1-4%2C5_Submissiveness_-_An_Essential_Qualification_-_RNS_ISKCON_Chowpa"&amp;"tty.mp3", "07-10-20_Srimad_Bhagavatam-7-1-4%2C5_Submissiveness_-_An_Essential_Qualification_-_RNS_ISKCON_Chowpatty.mp3")</f>
        <v>07-10-20_Srimad_Bhagavatam-7-1-4%2C5_Submissiveness_-_An_Essential_Qualification_-_RNS_ISKCON_Chowpatty.mp3</v>
      </c>
      <c r="D2278" s="24"/>
      <c r="E2278" s="24"/>
    </row>
    <row r="2279">
      <c r="A2279" s="25" t="s">
        <v>18352</v>
      </c>
      <c r="B2279" s="25" t="s">
        <v>18371</v>
      </c>
      <c r="C2279" s="26" t="str">
        <f>HYPERLINK("https://audio.iskcondesiretree.com/02_-_ISKCON_Swamis/ISKCON_Swamis_-_R_to_Y/His_Holiness_Radhanath_Swami/Lectures/00_-_Year_wise/Devotional_Nectar_-_2007/07-11-25_Hate_The_Sin_But_Love_The_Sinner_%28SB-7_1_44-46%29_HH_Radhanath_Swami.mp3", "07-11-25_Hate_The_Sin_But_Love_The_Sinner_%28SB-7_1_44-46%29_HH_Radhanath_Swami.mp3")</f>
        <v>07-11-25_Hate_The_Sin_But_Love_The_Sinner_%28SB-7_1_44-46%29_HH_Radhanath_Swami.mp3</v>
      </c>
      <c r="D2279" s="24"/>
      <c r="E2279" s="24"/>
    </row>
    <row r="2280">
      <c r="A2280" s="25" t="s">
        <v>18352</v>
      </c>
      <c r="B2280" s="25" t="s">
        <v>18371</v>
      </c>
      <c r="C2280" s="26" t="str">
        <f>HYPERLINK("https://audio.iskcondesiretree.com/02_-_ISKCON_Swamis/ISKCON_Swamis_-_R_to_Y/His_Holiness_Radhanath_Swami/Lectures/00_-_Year_wise/Devotional_Nectar_-_2007/07-12-14_Krishna_sees_the_purpose_%28SB7_2_23%29_HH_Radhanath_Swami.mp3", "07-12-14_Krishna_sees_the_purpose_%28SB7_2_23%29_HH_Radhanath_Swami.mp3")</f>
        <v>07-12-14_Krishna_sees_the_purpose_%28SB7_2_23%29_HH_Radhanath_Swami.mp3</v>
      </c>
      <c r="D2280" s="24"/>
      <c r="E2280" s="24"/>
    </row>
    <row r="2281">
      <c r="A2281" s="25" t="s">
        <v>18352</v>
      </c>
      <c r="B2281" s="25" t="s">
        <v>18371</v>
      </c>
      <c r="C2281" s="26" t="str">
        <f>HYPERLINK("https://audio.iskcondesiretree.com/02_-_ISKCON_Swamis/ISKCON_Swamis_-_R_to_Y/His_Holiness_Radhanath_Swami/Lectures/00_-_Year_wise/Devotional_Nectar_-_2007/07-12-16_Saving_India%27s_Future_Generations_%28Gopal%27s_Fun_School_Annual_Day%29_Radhanath_Swami.m"&amp;"p3", "07-12-16_Saving_India%27s_Future_Generations_%28Gopal%27s_Fun_School_Annual_Day%29_Radhanath_Swami.mp3")</f>
        <v>07-12-16_Saving_India%27s_Future_Generations_%28Gopal%27s_Fun_School_Annual_Day%29_Radhanath_Swami.mp3</v>
      </c>
      <c r="D2281" s="24"/>
      <c r="E2281" s="24"/>
    </row>
    <row r="2282">
      <c r="A2282" s="25" t="s">
        <v>18352</v>
      </c>
      <c r="B2282" s="25" t="s">
        <v>18371</v>
      </c>
      <c r="C2282" s="26" t="str">
        <f>HYPERLINK("https://audio.iskcondesiretree.com/02_-_ISKCON_Swamis/ISKCON_Swamis_-_R_to_Y/His_Holiness_Radhanath_Swami/Lectures/00_-_Year_wise/Devotional_Nectar_-_2007/07-12-30_Humb_Service_Attit_TransKnowledge_To_Realisation_%28SB-7_2_42%29_Radhanath_Swami.mp3", "07-12-30_Humb_Service_Attit_TransKnowledge_To_Realisation_%28SB-7_2_42%29_Radhanath_Swami.mp3")</f>
        <v>07-12-30_Humb_Service_Attit_TransKnowledge_To_Realisation_%28SB-7_2_42%29_Radhanath_Swami.mp3</v>
      </c>
      <c r="D2282" s="24"/>
      <c r="E2282" s="24"/>
    </row>
    <row r="2283">
      <c r="A2283" s="25" t="s">
        <v>18352</v>
      </c>
      <c r="B2283" s="25" t="s">
        <v>18371</v>
      </c>
      <c r="C2283" s="26" t="str">
        <f>HYPERLINK("https://audio.iskcondesiretree.com/02_-_ISKCON_Swamis/ISKCON_Swamis_-_R_to_Y/His_Holiness_Radhanath_Swami/Lectures/00_-_Year_wise/Devotional_Nectar_-_2007/07-12-30_Selfless_Service_Attracts_Lord%27s_Empowerment_%28Sunday_Feast%29_Radhanath_Swami.mp3", "07-12-30_Selfless_Service_Attracts_Lord%27s_Empowerment_%28Sunday_Feast%29_Radhanath_Swami.mp3")</f>
        <v>07-12-30_Selfless_Service_Attracts_Lord%27s_Empowerment_%28Sunday_Feast%29_Radhanath_Swami.mp3</v>
      </c>
      <c r="D2283" s="24"/>
      <c r="E2283" s="24"/>
    </row>
    <row r="2284">
      <c r="A2284" s="25" t="s">
        <v>18352</v>
      </c>
      <c r="B2284" s="25" t="s">
        <v>18371</v>
      </c>
      <c r="C2284" s="26" t="str">
        <f>HYPERLINK("https://audio.iskcondesiretree.com/02_-_ISKCON_Swamis/ISKCON_Swamis_-_R_to_Y/His_Holiness_Radhanath_Swami/Lectures/00_-_Year_wise/Devotional_Nectar_-_2007/2007-01-07_Pastimes_of_Advaita_Acharya_-_Radhanath_Swami.mp3", "2007-01-07_Pastimes_of_Advaita_Acharya_-_Radhanath_Swami.mp3")</f>
        <v>2007-01-07_Pastimes_of_Advaita_Acharya_-_Radhanath_Swami.mp3</v>
      </c>
      <c r="D2284" s="24"/>
      <c r="E2284" s="24"/>
    </row>
    <row r="2285">
      <c r="A2285" s="25" t="s">
        <v>18352</v>
      </c>
      <c r="B2285" s="25" t="s">
        <v>18371</v>
      </c>
      <c r="C2285" s="26" t="str">
        <f>HYPERLINK("https://audio.iskcondesiretree.com/02_-_ISKCON_Swamis/ISKCON_Swamis_-_R_to_Y/His_Holiness_Radhanath_Swami/Lectures/00_-_Year_wise/Devotional_Nectar_-_2007/2007-01-07_Special_Lecture_Attitude_of_Gratitude_BIRLA_House_-_Radhanath_Swami_IDesireTree.mp3", "2007-01-07_Special_Lecture_Attitude_of_Gratitude_BIRLA_House_-_Radhanath_Swami_IDesireTree.mp3")</f>
        <v>2007-01-07_Special_Lecture_Attitude_of_Gratitude_BIRLA_House_-_Radhanath_Swami_IDesireTree.mp3</v>
      </c>
      <c r="D2285" s="24"/>
      <c r="E2285" s="24"/>
    </row>
    <row r="2286">
      <c r="A2286" s="25" t="s">
        <v>18352</v>
      </c>
      <c r="B2286" s="25" t="s">
        <v>18371</v>
      </c>
      <c r="C2286" s="26" t="str">
        <f>HYPERLINK("https://audio.iskcondesiretree.com/02_-_ISKCON_Swamis/ISKCON_Swamis_-_R_to_Y/His_Holiness_Radhanath_Swami/Lectures/00_-_Year_wise/Devotional_Nectar_-_2007/2007-01-11_Service_Attitude_is_Heart_of_Bhakti_CC_ML-13_60_-_Radhanath_Swami_Juhu_Mumbai.mp3", "2007-01-11_Service_Attitude_is_Heart_of_Bhakti_CC_ML-13_60_-_Radhanath_Swami_Juhu_Mumbai.mp3")</f>
        <v>2007-01-11_Service_Attitude_is_Heart_of_Bhakti_CC_ML-13_60_-_Radhanath_Swami_Juhu_Mumbai.mp3</v>
      </c>
      <c r="D2286" s="24"/>
      <c r="E2286" s="24"/>
    </row>
    <row r="2287">
      <c r="A2287" s="25" t="s">
        <v>18352</v>
      </c>
      <c r="B2287" s="25" t="s">
        <v>18371</v>
      </c>
      <c r="C2287" s="26" t="str">
        <f>HYPERLINK("https://audio.iskcondesiretree.com/02_-_ISKCON_Swamis/ISKCON_Swamis_-_R_to_Y/His_Holiness_Radhanath_Swami/Lectures/00_-_Year_wise/Devotional_Nectar_-_2007/2007-02-18_Coming_Above_The_Dualities_SB-06-09-37_ISKCON_Chowpatty_-_Radhanath_Swami_IDesireTree.mp3", "2007-02-18_Coming_Above_The_Dualities_SB-06-09-37_ISKCON_Chowpatty_-_Radhanath_Swami_IDesireTree.mp3")</f>
        <v>2007-02-18_Coming_Above_The_Dualities_SB-06-09-37_ISKCON_Chowpatty_-_Radhanath_Swami_IDesireTree.mp3</v>
      </c>
      <c r="D2287" s="24"/>
      <c r="E2287" s="24"/>
    </row>
    <row r="2288">
      <c r="A2288" s="25" t="s">
        <v>18352</v>
      </c>
      <c r="B2288" s="25" t="s">
        <v>18371</v>
      </c>
      <c r="C2288" s="26" t="str">
        <f>HYPERLINK("https://audio.iskcondesiretree.com/02_-_ISKCON_Swamis/ISKCON_Swamis_-_R_to_Y/His_Holiness_Radhanath_Swami/Lectures/00_-_Year_wise/Devotional_Nectar_-_2007/2007-02-25_Sunday_Festival_Babulnath_-_Radhanath_Swami_IDesireTree.mp3", "2007-02-25_Sunday_Festival_Babulnath_-_Radhanath_Swami_IDesireTree.mp3")</f>
        <v>2007-02-25_Sunday_Festival_Babulnath_-_Radhanath_Swami_IDesireTree.mp3</v>
      </c>
      <c r="D2288" s="24"/>
      <c r="E2288" s="24"/>
    </row>
    <row r="2289">
      <c r="A2289" s="25" t="s">
        <v>18352</v>
      </c>
      <c r="B2289" s="25" t="s">
        <v>18371</v>
      </c>
      <c r="C2289" s="26" t="str">
        <f>HYPERLINK("https://audio.iskcondesiretree.com/02_-_ISKCON_Swamis/ISKCON_Swamis_-_R_to_Y/His_Holiness_Radhanath_Swami/Lectures/00_-_Year_wise/Devotional_Nectar_-_2007/2007-03-03_Gaur_Lila_Eve_Class_-_Radhanath_Swami.mp3", "2007-03-03_Gaur_Lila_Eve_Class_-_Radhanath_Swami.mp3")</f>
        <v>2007-03-03_Gaur_Lila_Eve_Class_-_Radhanath_Swami.mp3</v>
      </c>
      <c r="D2289" s="24"/>
      <c r="E2289" s="24"/>
    </row>
    <row r="2290">
      <c r="A2290" s="25" t="s">
        <v>18352</v>
      </c>
      <c r="B2290" s="25" t="s">
        <v>18371</v>
      </c>
      <c r="C2290" s="26" t="str">
        <f>HYPERLINK("https://audio.iskcondesiretree.com/02_-_ISKCON_Swamis/ISKCON_Swamis_-_R_to_Y/His_Holiness_Radhanath_Swami/Lectures/00_-_Year_wise/Devotional_Nectar_-_2007/2007-03-03_Gaur_Lila_Morn_Class_-_Radhanath_Swami.mp3", "2007-03-03_Gaur_Lila_Morn_Class_-_Radhanath_Swami.mp3")</f>
        <v>2007-03-03_Gaur_Lila_Morn_Class_-_Radhanath_Swami.mp3</v>
      </c>
      <c r="D2290" s="24"/>
      <c r="E2290" s="24"/>
    </row>
    <row r="2291">
      <c r="A2291" s="25" t="s">
        <v>18352</v>
      </c>
      <c r="B2291" s="25" t="s">
        <v>18371</v>
      </c>
      <c r="C2291" s="26" t="str">
        <f>HYPERLINK("https://audio.iskcondesiretree.com/02_-_ISKCON_Swamis/ISKCON_Swamis_-_R_to_Y/His_Holiness_Radhanath_Swami/Lectures/00_-_Year_wise/Devotional_Nectar_-_2007/2007-03-04_Childhood_pastimes_of_Nimai_-_Radhanath_Swami.mp3", "2007-03-04_Childhood_pastimes_of_Nimai_-_Radhanath_Swami.mp3")</f>
        <v>2007-03-04_Childhood_pastimes_of_Nimai_-_Radhanath_Swami.mp3</v>
      </c>
      <c r="D2291" s="24"/>
      <c r="E2291" s="24"/>
    </row>
    <row r="2292">
      <c r="A2292" s="25" t="s">
        <v>18352</v>
      </c>
      <c r="B2292" s="25" t="s">
        <v>18371</v>
      </c>
      <c r="C2292" s="26" t="str">
        <f>HYPERLINK("https://audio.iskcondesiretree.com/02_-_ISKCON_Swamis/ISKCON_Swamis_-_R_to_Y/His_Holiness_Radhanath_Swami/Lectures/00_-_Year_wise/Devotional_Nectar_-_2007/2007-03-04_Jagannath_Misra_Festival_-_Radhanath_Swami.mp3", "2007-03-04_Jagannath_Misra_Festival_-_Radhanath_Swami.mp3")</f>
        <v>2007-03-04_Jagannath_Misra_Festival_-_Radhanath_Swami.mp3</v>
      </c>
      <c r="D2292" s="24"/>
      <c r="E2292" s="24"/>
    </row>
    <row r="2293">
      <c r="A2293" s="25" t="s">
        <v>18352</v>
      </c>
      <c r="B2293" s="25" t="s">
        <v>18371</v>
      </c>
      <c r="C2293" s="26" t="str">
        <f>HYPERLINK("https://audio.iskcondesiretree.com/02_-_ISKCON_Swamis/ISKCON_Swamis_-_R_to_Y/His_Holiness_Radhanath_Swami/Lectures/00_-_Year_wise/Devotional_Nectar_-_2007/2007-03-07_-_Lecture_-_Second_Avenue_-_07-03-07.mp3", "2007-03-07_-_Lecture_-_Second_Avenue_-_07-03-07.mp3")</f>
        <v>2007-03-07_-_Lecture_-_Second_Avenue_-_07-03-07.mp3</v>
      </c>
      <c r="D2293" s="24"/>
      <c r="E2293" s="24"/>
    </row>
    <row r="2294">
      <c r="A2294" s="25" t="s">
        <v>18352</v>
      </c>
      <c r="B2294" s="25" t="s">
        <v>18371</v>
      </c>
      <c r="C2294" s="26" t="str">
        <f>HYPERLINK("https://audio.iskcondesiretree.com/02_-_ISKCON_Swamis/ISKCON_Swamis_-_R_to_Y/His_Holiness_Radhanath_Swami/Lectures/00_-_Year_wise/Devotional_Nectar_-_2007/2007-03-09_Lec_at_Khar_-_Radhanath_Swami.mp3", "2007-03-09_Lec_at_Khar_-_Radhanath_Swami.mp3")</f>
        <v>2007-03-09_Lec_at_Khar_-_Radhanath_Swami.mp3</v>
      </c>
      <c r="D2294" s="24"/>
      <c r="E2294" s="24"/>
    </row>
    <row r="2295">
      <c r="A2295" s="25" t="s">
        <v>18352</v>
      </c>
      <c r="B2295" s="25" t="s">
        <v>18371</v>
      </c>
      <c r="C2295" s="26" t="str">
        <f>HYPERLINK("https://audio.iskcondesiretree.com/02_-_ISKCON_Swamis/ISKCON_Swamis_-_R_to_Y/His_Holiness_Radhanath_Swami/Lectures/00_-_Year_wise/Devotional_Nectar_-_2007/2007-03-26%20SB-03-31-06_Juhu_-_Radhanath_Swami.mp3", "2007-03-26%20SB-03-31-06_Juhu_-_Radhanath_Swami.mp3")</f>
        <v>2007-03-26%20SB-03-31-06_Juhu_-_Radhanath_Swami.mp3</v>
      </c>
      <c r="D2295" s="24"/>
      <c r="E2295" s="24"/>
    </row>
    <row r="2296">
      <c r="A2296" s="25" t="s">
        <v>18352</v>
      </c>
      <c r="B2296" s="25" t="s">
        <v>18371</v>
      </c>
      <c r="C2296" s="26" t="str">
        <f>HYPERLINK("https://audio.iskcondesiretree.com/02_-_ISKCON_Swamis/ISKCON_Swamis_-_R_to_Y/His_Holiness_Radhanath_Swami/Lectures/00_-_Year_wise/Devotional_Nectar_-_2007/2007-03-27_Ramnavmi_lec_-_Radhanath_Swami.mp3", "2007-03-27_Ramnavmi_lec_-_Radhanath_Swami.mp3")</f>
        <v>2007-03-27_Ramnavmi_lec_-_Radhanath_Swami.mp3</v>
      </c>
      <c r="D2296" s="24"/>
      <c r="E2296" s="24"/>
    </row>
    <row r="2297">
      <c r="A2297" s="25" t="s">
        <v>18352</v>
      </c>
      <c r="B2297" s="25" t="s">
        <v>18371</v>
      </c>
      <c r="C2297" s="26" t="str">
        <f>HYPERLINK("https://audio.iskcondesiretree.com/02_-_ISKCON_Swamis/ISKCON_Swamis_-_R_to_Y/His_Holiness_Radhanath_Swami/Lectures/00_-_Year_wise/Devotional_Nectar_-_2007/2007-04-02_Service_Attitude_is_the_Foundation_SB-06-11-24_-_Radhanath_Swami.mp3", "2007-04-02_Service_Attitude_is_the_Foundation_SB-06-11-24_-_Radhanath_Swami.mp3")</f>
        <v>2007-04-02_Service_Attitude_is_the_Foundation_SB-06-11-24_-_Radhanath_Swami.mp3</v>
      </c>
      <c r="D2297" s="24"/>
      <c r="E2297" s="24"/>
    </row>
    <row r="2298">
      <c r="A2298" s="25" t="s">
        <v>18352</v>
      </c>
      <c r="B2298" s="25" t="s">
        <v>18371</v>
      </c>
      <c r="C2298" s="26" t="str">
        <f>HYPERLINK("https://audio.iskcondesiretree.com/02_-_ISKCON_Swamis/ISKCON_Swamis_-_R_to_Y/His_Holiness_Radhanath_Swami/Lectures/00_-_Year_wise/Devotional_Nectar_-_2007/2007-04-02_Understanding_the_Spirit_of_Vrindavan_Pastimes_Sunday_Feast_-_Radhanath_Swami.mp3", "2007-04-02_Understanding_the_Spirit_of_Vrindavan_Pastimes_Sunday_Feast_-_Radhanath_Swami.mp3")</f>
        <v>2007-04-02_Understanding_the_Spirit_of_Vrindavan_Pastimes_Sunday_Feast_-_Radhanath_Swami.mp3</v>
      </c>
      <c r="D2298" s="24"/>
      <c r="E2298" s="24"/>
    </row>
    <row r="2299">
      <c r="A2299" s="25" t="s">
        <v>18352</v>
      </c>
      <c r="B2299" s="25" t="s">
        <v>18371</v>
      </c>
      <c r="C2299" s="26" t="str">
        <f>HYPERLINK("https://audio.iskcondesiretree.com/02_-_ISKCON_Swamis/ISKCON_Swamis_-_R_to_Y/His_Holiness_Radhanath_Swami/Lectures/00_-_Year_wise/Devotional_Nectar_-_2007/2007-04-28_Do_Not_Mistreat_Anyone_SB-06-14-01_ISKCON_Chowpatty_-_Radhanath_Swami_IDesireTree.mp3", "2007-04-28_Do_Not_Mistreat_Anyone_SB-06-14-01_ISKCON_Chowpatty_-_Radhanath_Swami_IDesireTree.mp3")</f>
        <v>2007-04-28_Do_Not_Mistreat_Anyone_SB-06-14-01_ISKCON_Chowpatty_-_Radhanath_Swami_IDesireTree.mp3</v>
      </c>
      <c r="D2299" s="24"/>
      <c r="E2299" s="24"/>
    </row>
    <row r="2300">
      <c r="A2300" s="25" t="s">
        <v>18352</v>
      </c>
      <c r="B2300" s="25" t="s">
        <v>18371</v>
      </c>
      <c r="C2300" s="26" t="str">
        <f>HYPERLINK("https://audio.iskcondesiretree.com/02_-_ISKCON_Swamis/ISKCON_Swamis_-_R_to_Y/His_Holiness_Radhanath_Swami/Lectures/00_-_Year_wise/Devotional_Nectar_-_2007/2007-04-29_Sunday_Festival_ISKCON_Chowpatty_-_Radhanath_Swami_IDesireTree.mp3", "2007-04-29_Sunday_Festival_ISKCON_Chowpatty_-_Radhanath_Swami_IDesireTree.mp3")</f>
        <v>2007-04-29_Sunday_Festival_ISKCON_Chowpatty_-_Radhanath_Swami_IDesireTree.mp3</v>
      </c>
      <c r="D2300" s="24"/>
      <c r="E2300" s="24"/>
    </row>
    <row r="2301">
      <c r="A2301" s="25" t="s">
        <v>18352</v>
      </c>
      <c r="B2301" s="25" t="s">
        <v>18371</v>
      </c>
      <c r="C2301" s="26" t="str">
        <f>HYPERLINK("https://audio.iskcondesiretree.com/02_-_ISKCON_Swamis/ISKCON_Swamis_-_R_to_Y/His_Holiness_Radhanath_Swami/Lectures/00_-_Year_wise/Devotional_Nectar_-_2007/2007-05-01_Narshima_Chaturdasi_Festival_Morn_Lec_SB-07-09-18_-_Radhanath_Swami.mp3", "2007-05-01_Narshima_Chaturdasi_Festival_Morn_Lec_SB-07-09-18_-_Radhanath_Swami.mp3")</f>
        <v>2007-05-01_Narshima_Chaturdasi_Festival_Morn_Lec_SB-07-09-18_-_Radhanath_Swami.mp3</v>
      </c>
      <c r="D2301" s="24"/>
      <c r="E2301" s="24"/>
    </row>
    <row r="2302">
      <c r="A2302" s="25" t="s">
        <v>18352</v>
      </c>
      <c r="B2302" s="25" t="s">
        <v>18371</v>
      </c>
      <c r="C2302" s="26" t="str">
        <f>HYPERLINK("https://audio.iskcondesiretree.com/02_-_ISKCON_Swamis/ISKCON_Swamis_-_R_to_Y/His_Holiness_Radhanath_Swami/Lectures/00_-_Year_wise/Devotional_Nectar_-_2007/2007-05-08_Initation_Eve_Lec_-_Radhanath_Swami.mp3", "2007-05-08_Initation_Eve_Lec_-_Radhanath_Swami.mp3")</f>
        <v>2007-05-08_Initation_Eve_Lec_-_Radhanath_Swami.mp3</v>
      </c>
      <c r="D2302" s="24"/>
      <c r="E2302" s="24"/>
    </row>
    <row r="2303">
      <c r="A2303" s="25" t="s">
        <v>18352</v>
      </c>
      <c r="B2303" s="25" t="s">
        <v>18371</v>
      </c>
      <c r="C2303" s="26" t="str">
        <f>HYPERLINK("https://audio.iskcondesiretree.com/02_-_ISKCON_Swamis/ISKCON_Swamis_-_R_to_Y/His_Holiness_Radhanath_Swami/Lectures/00_-_Year_wise/Devotional_Nectar_-_2007/2007-05-08_Initation_Morn_Lec_-_Radhanath_Swami.mp3", "2007-05-08_Initation_Morn_Lec_-_Radhanath_Swami.mp3")</f>
        <v>2007-05-08_Initation_Morn_Lec_-_Radhanath_Swami.mp3</v>
      </c>
      <c r="D2303" s="24"/>
      <c r="E2303" s="24"/>
    </row>
    <row r="2304">
      <c r="A2304" s="25" t="s">
        <v>18352</v>
      </c>
      <c r="B2304" s="25" t="s">
        <v>18371</v>
      </c>
      <c r="C2304" s="26" t="str">
        <f>HYPERLINK("https://audio.iskcondesiretree.com/02_-_ISKCON_Swamis/ISKCON_Swamis_-_R_to_Y/His_Holiness_Radhanath_Swami/Lectures/00_-_Year_wise/Devotional_Nectar_-_2007/2007-07-31_CC_Madhya_Lila_13-155_-_Radhanath_Swami_Los_Angeles.mp3", "2007-07-31_CC_Madhya_Lila_13-155_-_Radhanath_Swami_Los_Angeles.mp3")</f>
        <v>2007-07-31_CC_Madhya_Lila_13-155_-_Radhanath_Swami_Los_Angeles.mp3</v>
      </c>
      <c r="D2304" s="24"/>
      <c r="E2304" s="24"/>
    </row>
    <row r="2305">
      <c r="A2305" s="25" t="s">
        <v>18352</v>
      </c>
      <c r="B2305" s="25" t="s">
        <v>18371</v>
      </c>
      <c r="C2305" s="26" t="str">
        <f>HYPERLINK("https://audio.iskcondesiretree.com/02_-_ISKCON_Swamis/ISKCON_Swamis_-_R_to_Y/His_Holiness_Radhanath_Swami/Lectures/00_-_Year_wise/Devotional_Nectar_-_2007/2007-08-26_Sunday_Festival_Alachua_-_Radhanath_Swami_IDesireTree.mp3", "2007-08-26_Sunday_Festival_Alachua_-_Radhanath_Swami_IDesireTree.mp3")</f>
        <v>2007-08-26_Sunday_Festival_Alachua_-_Radhanath_Swami_IDesireTree.mp3</v>
      </c>
      <c r="D2305" s="24"/>
      <c r="E2305" s="24"/>
    </row>
    <row r="2306">
      <c r="A2306" s="25" t="s">
        <v>18352</v>
      </c>
      <c r="B2306" s="25" t="s">
        <v>18371</v>
      </c>
      <c r="C2306" s="26" t="str">
        <f>HYPERLINK("https://audio.iskcondesiretree.com/02_-_ISKCON_Swamis/ISKCON_Swamis_-_R_to_Y/His_Holiness_Radhanath_Swami/Lectures/00_-_Year_wise/Devotional_Nectar_-_2007/2007-08-27_SB-07-06-11-12-13_Alachua_-_Radhanath_Swami_IDesireTree.mp3", "2007-08-27_SB-07-06-11-12-13_Alachua_-_Radhanath_Swami_IDesireTree.mp3")</f>
        <v>2007-08-27_SB-07-06-11-12-13_Alachua_-_Radhanath_Swami_IDesireTree.mp3</v>
      </c>
      <c r="D2306" s="24"/>
      <c r="E2306" s="24"/>
    </row>
    <row r="2307">
      <c r="A2307" s="25" t="s">
        <v>18352</v>
      </c>
      <c r="B2307" s="25" t="s">
        <v>18371</v>
      </c>
      <c r="C2307" s="26" t="str">
        <f>HYPERLINK("https://audio.iskcondesiretree.com/02_-_ISKCON_Swamis/ISKCON_Swamis_-_R_to_Y/His_Holiness_Radhanath_Swami/Lectures/00_-_Year_wise/Devotional_Nectar_-_2007/2007-08-29_SB-07-06-14-13_Alachua_-_Radhanath_Swami_IDesireTree.mp3", "2007-08-29_SB-07-06-14-13_Alachua_-_Radhanath_Swami_IDesireTree.mp3")</f>
        <v>2007-08-29_SB-07-06-14-13_Alachua_-_Radhanath_Swami_IDesireTree.mp3</v>
      </c>
      <c r="D2307" s="24"/>
      <c r="E2307" s="24"/>
    </row>
    <row r="2308">
      <c r="A2308" s="25" t="s">
        <v>18352</v>
      </c>
      <c r="B2308" s="25" t="s">
        <v>18371</v>
      </c>
      <c r="C2308" s="26" t="str">
        <f>HYPERLINK("https://audio.iskcondesiretree.com/02_-_ISKCON_Swamis/ISKCON_Swamis_-_R_to_Y/His_Holiness_Radhanath_Swami/Lectures/00_-_Year_wise/Devotional_Nectar_-_2007/2007-09-29_Various_-_Sunday_Feast-Disappearance_of_Sanatana_Goswami_-_Radhanath_Swami_Los_Angeles.mp"&amp;"3", "2007-09-29_Various_-_Sunday_Feast-Disappearance_of_Sanatana_Goswami_-_Radhanath_Swami_Los_Angeles.mp3")</f>
        <v>2007-09-29_Various_-_Sunday_Feast-Disappearance_of_Sanatana_Goswami_-_Radhanath_Swami_Los_Angeles.mp3</v>
      </c>
      <c r="D2308" s="24"/>
      <c r="E2308" s="24"/>
    </row>
    <row r="2309">
      <c r="A2309" s="25" t="s">
        <v>18352</v>
      </c>
      <c r="B2309" s="25" t="s">
        <v>18371</v>
      </c>
      <c r="C2309" s="26" t="str">
        <f>HYPERLINK("https://audio.iskcondesiretree.com/02_-_ISKCON_Swamis/ISKCON_Swamis_-_R_to_Y/His_Holiness_Radhanath_Swami/Lectures/00_-_Year_wise/Devotional_Nectar_-_2007/2007-10-14_Sunday_Festival_Teachings_From_Sri_Brhat_Bhagvatamrta_ISKCON_Chowpatty_IDesireTree.mp3", "2007-10-14_Sunday_Festival_Teachings_From_Sri_Brhat_Bhagvatamrta_ISKCON_Chowpatty_IDesireTree.mp3")</f>
        <v>2007-10-14_Sunday_Festival_Teachings_From_Sri_Brhat_Bhagvatamrta_ISKCON_Chowpatty_IDesireTree.mp3</v>
      </c>
      <c r="D2309" s="24"/>
      <c r="E2309" s="24"/>
    </row>
    <row r="2310">
      <c r="A2310" s="25" t="s">
        <v>18352</v>
      </c>
      <c r="B2310" s="25" t="s">
        <v>18371</v>
      </c>
      <c r="C2310" s="26" t="str">
        <f>HYPERLINK("https://audio.iskcondesiretree.com/02_-_ISKCON_Swamis/ISKCON_Swamis_-_R_to_Y/His_Holiness_Radhanath_Swami/Lectures/00_-_Year_wise/Devotional_Nectar_-_2007/2007-10-18_Eve_Lec_at_nair_medicle_college_-_Radhanath_Swami.mp3", "2007-10-18_Eve_Lec_at_nair_medicle_college_-_Radhanath_Swami.mp3")</f>
        <v>2007-10-18_Eve_Lec_at_nair_medicle_college_-_Radhanath_Swami.mp3</v>
      </c>
      <c r="D2310" s="24"/>
      <c r="E2310" s="24"/>
    </row>
    <row r="2311">
      <c r="A2311" s="25" t="s">
        <v>18352</v>
      </c>
      <c r="B2311" s="25" t="s">
        <v>18371</v>
      </c>
      <c r="C2311" s="26" t="str">
        <f>HYPERLINK("https://audio.iskcondesiretree.com/02_-_ISKCON_Swamis/ISKCON_Swamis_-_R_to_Y/His_Holiness_Radhanath_Swami/Lectures/00_-_Year_wise/Devotional_Nectar_-_2007/2007-10-19_SB_at_RRB_JUHU_-_Radhanath_Swami.mp3", "2007-10-19_SB_at_RRB_JUHU_-_Radhanath_Swami.mp3")</f>
        <v>2007-10-19_SB_at_RRB_JUHU_-_Radhanath_Swami.mp3</v>
      </c>
      <c r="D2311" s="24"/>
      <c r="E2311" s="24"/>
    </row>
    <row r="2312">
      <c r="A2312" s="25" t="s">
        <v>18352</v>
      </c>
      <c r="B2312" s="25" t="s">
        <v>18371</v>
      </c>
      <c r="C2312" s="26" t="str">
        <f>HYPERLINK("https://audio.iskcondesiretree.com/02_-_ISKCON_Swamis/ISKCON_Swamis_-_R_to_Y/His_Holiness_Radhanath_Swami/Lectures/00_-_Year_wise/Devotional_Nectar_-_2007/2007-10-26_Eventful_Kartik_Month_SB-07-01-10_ISKCON_Chowpatty_-_Radhanath_Swami_IDesireTree.mp3", "2007-10-26_Eventful_Kartik_Month_SB-07-01-10_ISKCON_Chowpatty_-_Radhanath_Swami_IDesireTree.mp3")</f>
        <v>2007-10-26_Eventful_Kartik_Month_SB-07-01-10_ISKCON_Chowpatty_-_Radhanath_Swami_IDesireTree.mp3</v>
      </c>
      <c r="D2312" s="24"/>
      <c r="E2312" s="24"/>
    </row>
    <row r="2313">
      <c r="A2313" s="25" t="s">
        <v>18352</v>
      </c>
      <c r="B2313" s="25" t="s">
        <v>18371</v>
      </c>
      <c r="C2313" s="26" t="str">
        <f>HYPERLINK("https://audio.iskcondesiretree.com/02_-_ISKCON_Swamis/ISKCON_Swamis_-_R_to_Y/His_Holiness_Radhanath_Swami/Lectures/00_-_Year_wise/Devotional_Nectar_-_2007/2007-11-25_Hate_The_Sin_But_Love_The_Sinner_SB-07-01-44-46_-_Radhanath_Swami_IDesireTree.mp3", "2007-11-25_Hate_The_Sin_But_Love_The_Sinner_SB-07-01-44-46_-_Radhanath_Swami_IDesireTree.mp3")</f>
        <v>2007-11-25_Hate_The_Sin_But_Love_The_Sinner_SB-07-01-44-46_-_Radhanath_Swami_IDesireTree.mp3</v>
      </c>
      <c r="D2313" s="24"/>
      <c r="E2313" s="24"/>
    </row>
    <row r="2314">
      <c r="A2314" s="25" t="s">
        <v>18352</v>
      </c>
      <c r="B2314" s="25" t="s">
        <v>18371</v>
      </c>
      <c r="C2314" s="26" t="str">
        <f>HYPERLINK("https://audio.iskcondesiretree.com/02_-_ISKCON_Swamis/ISKCON_Swamis_-_R_to_Y/His_Holiness_Radhanath_Swami/Lectures/00_-_Year_wise/Devotional_Nectar_-_2007/2007-11-25_SB-07_-_Radhanath_Swami.mp3", "2007-11-25_SB-07_-_Radhanath_Swami.mp3")</f>
        <v>2007-11-25_SB-07_-_Radhanath_Swami.mp3</v>
      </c>
      <c r="D2314" s="24"/>
      <c r="E2314" s="24"/>
    </row>
    <row r="2315">
      <c r="A2315" s="25" t="s">
        <v>18352</v>
      </c>
      <c r="B2315" s="25" t="s">
        <v>18371</v>
      </c>
      <c r="C2315" s="26" t="str">
        <f>HYPERLINK("https://audio.iskcondesiretree.com/02_-_ISKCON_Swamis/ISKCON_Swamis_-_R_to_Y/His_Holiness_Radhanath_Swami/Lectures/00_-_Year_wise/Devotional_Nectar_-_2007/2007-12-02_Sunday_Feast_with_HHDVS_HG_Mahamuni_Prabhu_IDesireTree_-_Radhanath_Swami.mp3", "2007-12-02_Sunday_Feast_with_HHDVS_HG_Mahamuni_Prabhu_IDesireTree_-_Radhanath_Swami.mp3")</f>
        <v>2007-12-02_Sunday_Feast_with_HHDVS_HG_Mahamuni_Prabhu_IDesireTree_-_Radhanath_Swami.mp3</v>
      </c>
      <c r="D2315" s="24"/>
      <c r="E2315" s="24"/>
    </row>
    <row r="2316">
      <c r="A2316" s="25" t="s">
        <v>18352</v>
      </c>
      <c r="B2316" s="25" t="s">
        <v>18371</v>
      </c>
      <c r="C2316" s="26" t="str">
        <f>HYPERLINK("https://audio.iskcondesiretree.com/02_-_ISKCON_Swamis/ISKCON_Swamis_-_R_to_Y/His_Holiness_Radhanath_Swami/Lectures/00_-_Year_wise/Devotional_Nectar_-_2007/2007-12-07_Address_to_Garland_making_Matajis_-_Radhanath_Swami.mp3", "2007-12-07_Address_to_Garland_making_Matajis_-_Radhanath_Swami.mp3")</f>
        <v>2007-12-07_Address_to_Garland_making_Matajis_-_Radhanath_Swami.mp3</v>
      </c>
      <c r="D2316" s="24"/>
      <c r="E2316" s="24"/>
    </row>
    <row r="2317">
      <c r="A2317" s="25" t="s">
        <v>18352</v>
      </c>
      <c r="B2317" s="25" t="s">
        <v>18371</v>
      </c>
      <c r="C2317" s="26" t="str">
        <f>HYPERLINK("https://audio.iskcondesiretree.com/02_-_ISKCON_Swamis/ISKCON_Swamis_-_R_to_Y/His_Holiness_Radhanath_Swami/Lectures/00_-_Year_wise/Devotional_Nectar_-_2007/2007-12-08_Vyas_Puja_Address_-_Radhanath_Swami.mp3", "2007-12-08_Vyas_Puja_Address_-_Radhanath_Swami.mp3")</f>
        <v>2007-12-08_Vyas_Puja_Address_-_Radhanath_Swami.mp3</v>
      </c>
      <c r="D2317" s="24"/>
      <c r="E2317" s="24"/>
    </row>
    <row r="2318">
      <c r="A2318" s="25" t="s">
        <v>18352</v>
      </c>
      <c r="B2318" s="25" t="s">
        <v>18371</v>
      </c>
      <c r="C2318" s="26" t="str">
        <f>HYPERLINK("https://audio.iskcondesiretree.com/02_-_ISKCON_Swamis/ISKCON_Swamis_-_R_to_Y/His_Holiness_Radhanath_Swami/Lectures/00_-_Year_wise/Devotional_Nectar_-_2007/2007-12-09_Connecting_To_Mercy_Of_Devotees_Sunday_Feast_with_HHCMS_HGMMP_IDesireTree.MP3", "2007-12-09_Connecting_To_Mercy_Of_Devotees_Sunday_Feast_with_HHCMS_HGMMP_IDesireTree.MP3")</f>
        <v>2007-12-09_Connecting_To_Mercy_Of_Devotees_Sunday_Feast_with_HHCMS_HGMMP_IDesireTree.MP3</v>
      </c>
      <c r="D2318" s="24"/>
      <c r="E2318" s="24"/>
    </row>
    <row r="2319">
      <c r="A2319" s="25" t="s">
        <v>18352</v>
      </c>
      <c r="B2319" s="25" t="s">
        <v>18371</v>
      </c>
      <c r="C2319" s="26" t="str">
        <f>HYPERLINK("https://audio.iskcondesiretree.com/02_-_ISKCON_Swamis/ISKCON_Swamis_-_R_to_Y/His_Holiness_Radhanath_Swami/Lectures/00_-_Year_wise/Devotional_Nectar_-_2007/2007-12-09_Taking_Care_Of_Details_SB-07-02-14_IDesireTree.MP3", "2007-12-09_Taking_Care_Of_Details_SB-07-02-14_IDesireTree.MP3")</f>
        <v>2007-12-09_Taking_Care_Of_Details_SB-07-02-14_IDesireTree.MP3</v>
      </c>
      <c r="D2319" s="24"/>
      <c r="E2319" s="24"/>
    </row>
    <row r="2320">
      <c r="A2320" s="25" t="s">
        <v>18352</v>
      </c>
      <c r="B2320" s="25" t="s">
        <v>18371</v>
      </c>
      <c r="C2320" s="26" t="str">
        <f>HYPERLINK("https://audio.iskcondesiretree.com/02_-_ISKCON_Swamis/ISKCON_Swamis_-_R_to_Y/His_Holiness_Radhanath_Swami/Lectures/00_-_Year_wise/Devotional_Nectar_-_2007/2007-12-09_Taking_Care_Of_Details_SB-07-02-14_IDesireTree_-_Radhanath_Swami.MP3", "2007-12-09_Taking_Care_Of_Details_SB-07-02-14_IDesireTree_-_Radhanath_Swami.MP3")</f>
        <v>2007-12-09_Taking_Care_Of_Details_SB-07-02-14_IDesireTree_-_Radhanath_Swami.MP3</v>
      </c>
      <c r="D2320" s="24"/>
      <c r="E2320" s="24"/>
    </row>
    <row r="2321">
      <c r="A2321" s="25" t="s">
        <v>18352</v>
      </c>
      <c r="B2321" s="25" t="s">
        <v>18371</v>
      </c>
      <c r="C2321" s="26" t="str">
        <f>HYPERLINK("https://audio.iskcondesiretree.com/02_-_ISKCON_Swamis/ISKCON_Swamis_-_R_to_Y/His_Holiness_Radhanath_Swami/Lectures/00_-_Year_wise/Devotional_Nectar_-_2007/2007-12-14_Krishna_sees_the_purpose_SB-07-02-23_-_Radhanath_Swami_IDesireTree.mp3", "2007-12-14_Krishna_sees_the_purpose_SB-07-02-23_-_Radhanath_Swami_IDesireTree.mp3")</f>
        <v>2007-12-14_Krishna_sees_the_purpose_SB-07-02-23_-_Radhanath_Swami_IDesireTree.mp3</v>
      </c>
      <c r="D2321" s="24"/>
      <c r="E2321" s="24"/>
    </row>
    <row r="2322">
      <c r="A2322" s="25" t="s">
        <v>18352</v>
      </c>
      <c r="B2322" s="25" t="s">
        <v>18371</v>
      </c>
      <c r="C2322" s="26" t="str">
        <f>HYPERLINK("https://audio.iskcondesiretree.com/02_-_ISKCON_Swamis/ISKCON_Swamis_-_R_to_Y/His_Holiness_Radhanath_Swami/Lectures/00_-_Year_wise/Devotional_Nectar_-_2007/2007-12-15_SB-07-02-23_-_Radhanath_Swami.mp3", "2007-12-15_SB-07-02-23_-_Radhanath_Swami.mp3")</f>
        <v>2007-12-15_SB-07-02-23_-_Radhanath_Swami.mp3</v>
      </c>
      <c r="D2322" s="24"/>
      <c r="E2322" s="24"/>
    </row>
    <row r="2323">
      <c r="A2323" s="25" t="s">
        <v>18352</v>
      </c>
      <c r="B2323" s="25" t="s">
        <v>18371</v>
      </c>
      <c r="C2323" s="26" t="str">
        <f>HYPERLINK("https://audio.iskcondesiretree.com/02_-_ISKCON_Swamis/ISKCON_Swamis_-_R_to_Y/His_Holiness_Radhanath_Swami/Lectures/00_-_Year_wise/Devotional_Nectar_-_2007/2007-12-22_50th_wedding_aniversary_Sahadev_Prabhu-Sucharitra_Mataji_IDesireTree.mp3", "2007-12-22_50th_wedding_aniversary_Sahadev_Prabhu-Sucharitra_Mataji_IDesireTree.mp3")</f>
        <v>2007-12-22_50th_wedding_aniversary_Sahadev_Prabhu-Sucharitra_Mataji_IDesireTree.mp3</v>
      </c>
      <c r="D2323" s="24"/>
      <c r="E2323" s="24"/>
    </row>
    <row r="2324">
      <c r="A2324" s="25" t="s">
        <v>18352</v>
      </c>
      <c r="B2324" s="25" t="s">
        <v>18371</v>
      </c>
      <c r="C2324" s="26" t="str">
        <f>HYPERLINK("https://audio.iskcondesiretree.com/02_-_ISKCON_Swamis/ISKCON_Swamis_-_R_to_Y/His_Holiness_Radhanath_Swami/Lectures/00_-_Year_wise/Devotional_Nectar_-_2007/2007-12-22_No_Substitute_For_Maturity_%26_Realisation_SB-07-02-35_-_Radhanath_Swami_IDesireTree.mp3", "2007-12-22_No_Substitute_For_Maturity_%26_Realisation_SB-07-02-35_-_Radhanath_Swami_IDesireTree.mp3")</f>
        <v>2007-12-22_No_Substitute_For_Maturity_%26_Realisation_SB-07-02-35_-_Radhanath_Swami_IDesireTree.mp3</v>
      </c>
      <c r="D2324" s="24"/>
      <c r="E2324" s="24"/>
    </row>
    <row r="2325">
      <c r="A2325" s="25" t="s">
        <v>18352</v>
      </c>
      <c r="B2325" s="25" t="s">
        <v>18371</v>
      </c>
      <c r="C2325" s="26" t="str">
        <f>HYPERLINK("https://audio.iskcondesiretree.com/02_-_ISKCON_Swamis/ISKCON_Swamis_-_R_to_Y/His_Holiness_Radhanath_Swami/Lectures/00_-_Year_wise/Devotional_Nectar_-_2007/2007_Various_-_Daksa_curses_Shiva_-_Radhanath_Swami.mp3", "2007_Various_-_Daksa_curses_Shiva_-_Radhanath_Swami.mp3")</f>
        <v>2007_Various_-_Daksa_curses_Shiva_-_Radhanath_Swami.mp3</v>
      </c>
      <c r="D2325" s="24"/>
      <c r="E2325" s="24"/>
    </row>
    <row r="2326">
      <c r="A2326" s="25" t="s">
        <v>18352</v>
      </c>
      <c r="B2326" s="25" t="s">
        <v>18371</v>
      </c>
      <c r="C2326" s="26" t="str">
        <f>HYPERLINK("https://audio.iskcondesiretree.com/02_-_ISKCON_Swamis/ISKCON_Swamis_-_R_to_Y/His_Holiness_Radhanath_Swami/Lectures/00_-_Year_wise/Devotional_Nectar_-_2007/2007_Various_-_Enthusiasm_and_Devotion_-_Radhanath_Swami.mp3", "2007_Various_-_Enthusiasm_and_Devotion_-_Radhanath_Swami.mp3")</f>
        <v>2007_Various_-_Enthusiasm_and_Devotion_-_Radhanath_Swami.mp3</v>
      </c>
      <c r="D2326" s="24"/>
      <c r="E2326" s="24"/>
    </row>
    <row r="2327">
      <c r="A2327" s="25" t="s">
        <v>18352</v>
      </c>
      <c r="B2327" s="25" t="s">
        <v>18371</v>
      </c>
      <c r="C2327" s="26" t="str">
        <f>HYPERLINK("https://audio.iskcondesiretree.com/02_-_ISKCON_Swamis/ISKCON_Swamis_-_R_to_Y/His_Holiness_Radhanath_Swami/Lectures/00_-_Year_wise/Devotional_Nectar_-_2007/2007_Various_-_Figure_of_Radharani_-_Radhanath_Swami.mp3", "2007_Various_-_Figure_of_Radharani_-_Radhanath_Swami.mp3")</f>
        <v>2007_Various_-_Figure_of_Radharani_-_Radhanath_Swami.mp3</v>
      </c>
      <c r="D2327" s="24"/>
      <c r="E2327" s="24"/>
    </row>
    <row r="2328">
      <c r="A2328" s="25" t="s">
        <v>18352</v>
      </c>
      <c r="B2328" s="25" t="s">
        <v>18371</v>
      </c>
      <c r="C2328" s="26" t="str">
        <f>HYPERLINK("https://audio.iskcondesiretree.com/02_-_ISKCON_Swamis/ISKCON_Swamis_-_R_to_Y/His_Holiness_Radhanath_Swami/Lectures/00_-_Year_wise/Devotional_Nectar_-_2007/2007_Various_-_Finding_Spirituality_in_the_Agreement_-_Radhanath_Swami.mp3", "2007_Various_-_Finding_Spirituality_in_the_Agreement_-_Radhanath_Swami.mp3")</f>
        <v>2007_Various_-_Finding_Spirituality_in_the_Agreement_-_Radhanath_Swami.mp3</v>
      </c>
      <c r="D2328" s="24"/>
      <c r="E2328" s="24"/>
    </row>
    <row r="2329">
      <c r="A2329" s="25" t="s">
        <v>18352</v>
      </c>
      <c r="B2329" s="25" t="s">
        <v>18371</v>
      </c>
      <c r="C2329" s="26" t="str">
        <f>HYPERLINK("https://audio.iskcondesiretree.com/02_-_ISKCON_Swamis/ISKCON_Swamis_-_R_to_Y/His_Holiness_Radhanath_Swami/Lectures/00_-_Year_wise/Devotional_Nectar_-_2007/2007_Various_-_Glory_of_the_Holy_Name_-_Radhanath_Swami.mp3", "2007_Various_-_Glory_of_the_Holy_Name_-_Radhanath_Swami.mp3")</f>
        <v>2007_Various_-_Glory_of_the_Holy_Name_-_Radhanath_Swami.mp3</v>
      </c>
      <c r="D2329" s="24"/>
      <c r="E2329" s="24"/>
    </row>
    <row r="2330">
      <c r="A2330" s="25" t="s">
        <v>18352</v>
      </c>
      <c r="B2330" s="25" t="s">
        <v>18371</v>
      </c>
      <c r="C2330" s="26" t="str">
        <f>HYPERLINK("https://audio.iskcondesiretree.com/02_-_ISKCON_Swamis/ISKCON_Swamis_-_R_to_Y/His_Holiness_Radhanath_Swami/Lectures/00_-_Year_wise/Devotional_Nectar_-_2007/2007_Various_-_Learning_to_Love_-_Radhanath_Swami.mp3", "2007_Various_-_Learning_to_Love_-_Radhanath_Swami.mp3")</f>
        <v>2007_Various_-_Learning_to_Love_-_Radhanath_Swami.mp3</v>
      </c>
      <c r="D2330" s="24"/>
      <c r="E2330" s="24"/>
    </row>
    <row r="2331">
      <c r="A2331" s="25" t="s">
        <v>18352</v>
      </c>
      <c r="B2331" s="25" t="s">
        <v>18371</v>
      </c>
      <c r="C2331" s="26" t="str">
        <f>HYPERLINK("https://audio.iskcondesiretree.com/02_-_ISKCON_Swamis/ISKCON_Swamis_-_R_to_Y/His_Holiness_Radhanath_Swami/Lectures/00_-_Year_wise/Devotional_Nectar_-_2007/2007_Various_-_Life_of_Haridas_Thakur_-_Radhanath_Swami.mp3", "2007_Various_-_Life_of_Haridas_Thakur_-_Radhanath_Swami.mp3")</f>
        <v>2007_Various_-_Life_of_Haridas_Thakur_-_Radhanath_Swami.mp3</v>
      </c>
      <c r="D2331" s="24"/>
      <c r="E2331" s="24"/>
    </row>
    <row r="2332">
      <c r="A2332" s="25" t="s">
        <v>18352</v>
      </c>
      <c r="B2332" s="25" t="s">
        <v>18371</v>
      </c>
      <c r="C2332" s="26" t="str">
        <f>HYPERLINK("https://audio.iskcondesiretree.com/02_-_ISKCON_Swamis/ISKCON_Swamis_-_R_to_Y/His_Holiness_Radhanath_Swami/Lectures/00_-_Year_wise/Devotional_Nectar_-_2007/2007_Various_-_Meaning_of_Marriage_-_Radhanath_Swami.mp3", "2007_Various_-_Meaning_of_Marriage_-_Radhanath_Swami.mp3")</f>
        <v>2007_Various_-_Meaning_of_Marriage_-_Radhanath_Swami.mp3</v>
      </c>
      <c r="D2332" s="24"/>
      <c r="E2332" s="24"/>
    </row>
    <row r="2333">
      <c r="A2333" s="25" t="s">
        <v>18352</v>
      </c>
      <c r="B2333" s="25" t="s">
        <v>18371</v>
      </c>
      <c r="C2333" s="26" t="str">
        <f>HYPERLINK("https://audio.iskcondesiretree.com/02_-_ISKCON_Swamis/ISKCON_Swamis_-_R_to_Y/His_Holiness_Radhanath_Swami/Lectures/00_-_Year_wise/Devotional_Nectar_-_2007/2007_Various_-_Nature_Teaches_-_Radhanath_Swami.mp3", "2007_Various_-_Nature_Teaches_-_Radhanath_Swami.mp3")</f>
        <v>2007_Various_-_Nature_Teaches_-_Radhanath_Swami.mp3</v>
      </c>
      <c r="D2333" s="24"/>
      <c r="E2333" s="24"/>
    </row>
    <row r="2334">
      <c r="A2334" s="25" t="s">
        <v>18352</v>
      </c>
      <c r="B2334" s="25" t="s">
        <v>18371</v>
      </c>
      <c r="C2334" s="26" t="str">
        <f>HYPERLINK("https://audio.iskcondesiretree.com/02_-_ISKCON_Swamis/ISKCON_Swamis_-_R_to_Y/His_Holiness_Radhanath_Swami/Lectures/00_-_Year_wise/Devotional_Nectar_-_2007/2007_Various_-_Pride_Kills_Devotion_-_Radhanath_Swami.mp3", "2007_Various_-_Pride_Kills_Devotion_-_Radhanath_Swami.mp3")</f>
        <v>2007_Various_-_Pride_Kills_Devotion_-_Radhanath_Swami.mp3</v>
      </c>
      <c r="D2334" s="24"/>
      <c r="E2334" s="24"/>
    </row>
    <row r="2335">
      <c r="A2335" s="25" t="s">
        <v>18352</v>
      </c>
      <c r="B2335" s="25" t="s">
        <v>18371</v>
      </c>
      <c r="C2335" s="26" t="str">
        <f>HYPERLINK("https://audio.iskcondesiretree.com/02_-_ISKCON_Swamis/ISKCON_Swamis_-_R_to_Y/His_Holiness_Radhanath_Swami/Lectures/00_-_Year_wise/Devotional_Nectar_-_2007/2007_Various_-_Sacrifice_for_Others_-_Radhanath_Swami.mp3", "2007_Various_-_Sacrifice_for_Others_-_Radhanath_Swami.mp3")</f>
        <v>2007_Various_-_Sacrifice_for_Others_-_Radhanath_Swami.mp3</v>
      </c>
      <c r="D2335" s="24"/>
      <c r="E2335" s="24"/>
    </row>
    <row r="2336">
      <c r="A2336" s="25" t="s">
        <v>18352</v>
      </c>
      <c r="B2336" s="25" t="s">
        <v>18371</v>
      </c>
      <c r="C2336" s="26" t="str">
        <f>HYPERLINK("https://audio.iskcondesiretree.com/02_-_ISKCON_Swamis/ISKCON_Swamis_-_R_to_Y/His_Holiness_Radhanath_Swami/Lectures/00_-_Year_wise/Devotional_Nectar_-_2007/2007_Various_-_Servant_of_the_Servant_-_Radhanath_Swami.mp3", "2007_Various_-_Servant_of_the_Servant_-_Radhanath_Swami.mp3")</f>
        <v>2007_Various_-_Servant_of_the_Servant_-_Radhanath_Swami.mp3</v>
      </c>
      <c r="D2336" s="24"/>
      <c r="E2336" s="24"/>
    </row>
    <row r="2337">
      <c r="A2337" s="25" t="s">
        <v>18352</v>
      </c>
      <c r="B2337" s="25" t="s">
        <v>18371</v>
      </c>
      <c r="C2337" s="26" t="str">
        <f>HYPERLINK("https://audio.iskcondesiretree.com/02_-_ISKCON_Swamis/ISKCON_Swamis_-_R_to_Y/His_Holiness_Radhanath_Swami/Lectures/00_-_Year_wise/Devotional_Nectar_-_2007/2007_Various_-_Speeches_in_Naimisharanya_-_Radhanath_Swami.mp3", "2007_Various_-_Speeches_in_Naimisharanya_-_Radhanath_Swami.mp3")</f>
        <v>2007_Various_-_Speeches_in_Naimisharanya_-_Radhanath_Swami.mp3</v>
      </c>
      <c r="D2337" s="24"/>
      <c r="E2337" s="24"/>
    </row>
    <row r="2338">
      <c r="A2338" s="25" t="s">
        <v>18352</v>
      </c>
      <c r="B2338" s="25" t="s">
        <v>18371</v>
      </c>
      <c r="C2338" s="26" t="str">
        <f>HYPERLINK("https://audio.iskcondesiretree.com/02_-_ISKCON_Swamis/ISKCON_Swamis_-_R_to_Y/His_Holiness_Radhanath_Swami/Lectures/00_-_Year_wise/Devotional_Nectar_-_2007/2007_Various_-_Sunday-Feast_Srila_Prabhupada_Says_that_KC_is_not_a_Artificial_Imposition_on_Mind_-_R"&amp;"NS.mp3", "2007_Various_-_Sunday-Feast_Srila_Prabhupada_Says_that_KC_is_not_a_Artificial_Imposition_on_Mind_-_RNS.mp3")</f>
        <v>2007_Various_-_Sunday-Feast_Srila_Prabhupada_Says_that_KC_is_not_a_Artificial_Imposition_on_Mind_-_RNS.mp3</v>
      </c>
      <c r="D2338" s="24"/>
      <c r="E2338" s="24"/>
    </row>
    <row r="2339">
      <c r="A2339" s="25" t="s">
        <v>18352</v>
      </c>
      <c r="B2339" s="25" t="s">
        <v>18371</v>
      </c>
      <c r="C2339" s="26" t="str">
        <f>HYPERLINK("https://audio.iskcondesiretree.com/02_-_ISKCON_Swamis/ISKCON_Swamis_-_R_to_Y/His_Holiness_Radhanath_Swami/Lectures/00_-_Year_wise/Devotional_Nectar_-_2007/2007_Various_-_Surrender_of_Bali_Maharaj_-_Radhanath_Swami.mp3", "2007_Various_-_Surrender_of_Bali_Maharaj_-_Radhanath_Swami.mp3")</f>
        <v>2007_Various_-_Surrender_of_Bali_Maharaj_-_Radhanath_Swami.mp3</v>
      </c>
      <c r="D2339" s="24"/>
      <c r="E2339" s="24"/>
    </row>
    <row r="2340">
      <c r="A2340" s="25" t="s">
        <v>18352</v>
      </c>
      <c r="B2340" s="25" t="s">
        <v>18372</v>
      </c>
      <c r="C2340" s="26" t="str">
        <f>HYPERLINK("https://audio.iskcondesiretree.com/02_-_ISKCON_Swamis/ISKCON_Swamis_-_R_to_Y/His_Holiness_Radhanath_Swami/Lectures/00_-_Year_wise/Devotional_Nectar_-_2008/08-01-05_Art_Of_Mind_Control_%28SB-7_2_47%29_HH_Radhanath_Swami.mp3", "08-01-05_Art_Of_Mind_Control_%28SB-7_2_47%29_HH_Radhanath_Swami.mp3")</f>
        <v>08-01-05_Art_Of_Mind_Control_%28SB-7_2_47%29_HH_Radhanath_Swami.mp3</v>
      </c>
      <c r="D2340" s="24"/>
      <c r="E2340" s="24"/>
    </row>
    <row r="2341">
      <c r="A2341" s="25" t="s">
        <v>18352</v>
      </c>
      <c r="B2341" s="25" t="s">
        <v>18372</v>
      </c>
      <c r="C2341" s="26" t="str">
        <f>HYPERLINK("https://audio.iskcondesiretree.com/02_-_ISKCON_Swamis/ISKCON_Swamis_-_R_to_Y/His_Holiness_Radhanath_Swami/Lectures/00_-_Year_wise/Devotional_Nectar_-_2008/08-01-06_Stop_Dreaming_Wake_-_Up_%21_%28SB-7_2_48%29_HH_Radhanath_Swami.mp3", "08-01-06_Stop_Dreaming_Wake_-_Up_%21_%28SB-7_2_48%29_HH_Radhanath_Swami.mp3")</f>
        <v>08-01-06_Stop_Dreaming_Wake_-_Up_%21_%28SB-7_2_48%29_HH_Radhanath_Swami.mp3</v>
      </c>
      <c r="D2341" s="24"/>
      <c r="E2341" s="24"/>
    </row>
    <row r="2342">
      <c r="A2342" s="25" t="s">
        <v>18352</v>
      </c>
      <c r="B2342" s="25" t="s">
        <v>18372</v>
      </c>
      <c r="C2342" s="26" t="str">
        <f>HYPERLINK("https://audio.iskcondesiretree.com/02_-_ISKCON_Swamis/ISKCON_Swamis_-_R_to_Y/His_Holiness_Radhanath_Swami/Lectures/00_-_Year_wise/Devotional_Nectar_-_2008/08-01-06_Uddharan_Dutta_The_Saviour_Of_fallen_%28Sunday_Feast%29_Radhanth_Swami_Nara_Narayana_Prabhu"&amp;".mp3", "08-01-06_Uddharan_Dutta_The_Saviour_Of_fallen_%28Sunday_Feast%29_Radhanth_Swami_Nara_Narayana_Prabhu.mp3")</f>
        <v>08-01-06_Uddharan_Dutta_The_Saviour_Of_fallen_%28Sunday_Feast%29_Radhanth_Swami_Nara_Narayana_Prabhu.mp3</v>
      </c>
      <c r="D2342" s="24"/>
      <c r="E2342" s="24"/>
    </row>
    <row r="2343">
      <c r="A2343" s="25" t="s">
        <v>18352</v>
      </c>
      <c r="B2343" s="25" t="s">
        <v>18372</v>
      </c>
      <c r="C2343" s="26" t="str">
        <f>HYPERLINK("https://audio.iskcondesiretree.com/02_-_ISKCON_Swamis/ISKCON_Swamis_-_R_to_Y/His_Holiness_Radhanath_Swami/Lectures/00_-_Year_wise/Devotional_Nectar_-_2008/2008-01-03_Sankirtan_Festival_2008_with_HG_Mahamuni_Pr_-_Radhanath_Swami.mp3", "2008-01-03_Sankirtan_Festival_2008_with_HG_Mahamuni_Pr_-_Radhanath_Swami.mp3")</f>
        <v>2008-01-03_Sankirtan_Festival_2008_with_HG_Mahamuni_Pr_-_Radhanath_Swami.mp3</v>
      </c>
      <c r="D2343" s="24"/>
      <c r="E2343" s="24"/>
    </row>
    <row r="2344">
      <c r="A2344" s="25" t="s">
        <v>18352</v>
      </c>
      <c r="B2344" s="25" t="s">
        <v>18372</v>
      </c>
      <c r="C2344" s="26" t="str">
        <f>HYPERLINK("https://audio.iskcondesiretree.com/02_-_ISKCON_Swamis/ISKCON_Swamis_-_R_to_Y/His_Holiness_Radhanath_Swami/Lectures/00_-_Year_wise/Devotional_Nectar_-_2008/2008-01-05_Art_Of_Mind_Control_SB-07-02-47_-_Radhanath_Swami_IDesiretree.mp3", "2008-01-05_Art_Of_Mind_Control_SB-07-02-47_-_Radhanath_Swami_IDesiretree.mp3")</f>
        <v>2008-01-05_Art_Of_Mind_Control_SB-07-02-47_-_Radhanath_Swami_IDesiretree.mp3</v>
      </c>
      <c r="D2344" s="24"/>
      <c r="E2344" s="24"/>
    </row>
    <row r="2345">
      <c r="A2345" s="25" t="s">
        <v>18352</v>
      </c>
      <c r="B2345" s="25" t="s">
        <v>18372</v>
      </c>
      <c r="C2345" s="26" t="str">
        <f>HYPERLINK("https://audio.iskcondesiretree.com/02_-_ISKCON_Swamis/ISKCON_Swamis_-_R_to_Y/His_Holiness_Radhanath_Swami/Lectures/00_-_Year_wise/Devotional_Nectar_-_2008/2008-01-05_Mid_Day_Meal_Program_-_Radhanath_Swami_IDesireTree.mp3", "2008-01-05_Mid_Day_Meal_Program_-_Radhanath_Swami_IDesireTree.mp3")</f>
        <v>2008-01-05_Mid_Day_Meal_Program_-_Radhanath_Swami_IDesireTree.mp3</v>
      </c>
      <c r="D2345" s="24"/>
      <c r="E2345" s="24"/>
    </row>
    <row r="2346">
      <c r="A2346" s="25" t="s">
        <v>18352</v>
      </c>
      <c r="B2346" s="25" t="s">
        <v>18372</v>
      </c>
      <c r="C2346" s="26" t="str">
        <f>HYPERLINK("https://audio.iskcondesiretree.com/02_-_ISKCON_Swamis/ISKCON_Swamis_-_R_to_Y/His_Holiness_Radhanath_Swami/Lectures/00_-_Year_wise/Devotional_Nectar_-_2008/2008-01-06_Stop_Dreaming_Wake_-_Up_%21_SB-07-02-48_-_Radhanath_Swami_IDesireTree.mp3", "2008-01-06_Stop_Dreaming_Wake_-_Up_%21_SB-07-02-48_-_Radhanath_Swami_IDesireTree.mp3")</f>
        <v>2008-01-06_Stop_Dreaming_Wake_-_Up_%21_SB-07-02-48_-_Radhanath_Swami_IDesireTree.mp3</v>
      </c>
      <c r="D2346" s="24"/>
      <c r="E2346" s="24"/>
    </row>
    <row r="2347">
      <c r="A2347" s="25" t="s">
        <v>18352</v>
      </c>
      <c r="B2347" s="25" t="s">
        <v>18372</v>
      </c>
      <c r="C2347" s="26" t="str">
        <f>HYPERLINK("https://audio.iskcondesiretree.com/02_-_ISKCON_Swamis/ISKCON_Swamis_-_R_to_Y/His_Holiness_Radhanath_Swami/Lectures/00_-_Year_wise/Devotional_Nectar_-_2008/2008-01-10_BhaktiVedant_Hospital-Annual_Day%20Celebration_-_Radhanath_Swami_2008_IDesireTree.mp3", "2008-01-10_BhaktiVedant_Hospital-Annual_Day%20Celebration_-_Radhanath_Swami_2008_IDesireTree.mp3")</f>
        <v>2008-01-10_BhaktiVedant_Hospital-Annual_Day%20Celebration_-_Radhanath_Swami_2008_IDesireTree.mp3</v>
      </c>
      <c r="D2347" s="24"/>
      <c r="E2347" s="24"/>
    </row>
    <row r="2348">
      <c r="A2348" s="25" t="s">
        <v>18352</v>
      </c>
      <c r="B2348" s="25" t="s">
        <v>18372</v>
      </c>
      <c r="C2348" s="26" t="str">
        <f>HYPERLINK("https://audio.iskcondesiretree.com/02_-_ISKCON_Swamis/ISKCON_Swamis_-_R_to_Y/His_Holiness_Radhanath_Swami/Lectures/00_-_Year_wise/Devotional_Nectar_-_2008/2008-01-11_Rath_Yatra_In_Iraq_-_Radhanath_Swami_IDesireTree.mp3", "2008-01-11_Rath_Yatra_In_Iraq_-_Radhanath_Swami_IDesireTree.mp3")</f>
        <v>2008-01-11_Rath_Yatra_In_Iraq_-_Radhanath_Swami_IDesireTree.mp3</v>
      </c>
      <c r="D2348" s="24"/>
      <c r="E2348" s="24"/>
    </row>
    <row r="2349">
      <c r="A2349" s="25" t="s">
        <v>18352</v>
      </c>
      <c r="B2349" s="25" t="s">
        <v>18372</v>
      </c>
      <c r="C2349" s="26" t="str">
        <f>HYPERLINK("https://audio.iskcondesiretree.com/02_-_ISKCON_Swamis/ISKCON_Swamis_-_R_to_Y/His_Holiness_Radhanath_Swami/Lectures/00_-_Year_wise/Devotional_Nectar_-_2008/2008-01-12_Anomalies_Of_Modern_Civilization_SB-07-02-59-60_-_Radhanath_Swami_IDesireTree.mp3", "2008-01-12_Anomalies_Of_Modern_Civilization_SB-07-02-59-60_-_Radhanath_Swami_IDesireTree.mp3")</f>
        <v>2008-01-12_Anomalies_Of_Modern_Civilization_SB-07-02-59-60_-_Radhanath_Swami_IDesireTree.mp3</v>
      </c>
      <c r="D2349" s="24"/>
      <c r="E2349" s="24"/>
    </row>
    <row r="2350">
      <c r="A2350" s="25" t="s">
        <v>18352</v>
      </c>
      <c r="B2350" s="25" t="s">
        <v>18372</v>
      </c>
      <c r="C2350" s="26" t="str">
        <f>HYPERLINK("https://audio.iskcondesiretree.com/02_-_ISKCON_Swamis/ISKCON_Swamis_-_R_to_Y/His_Holiness_Radhanath_Swami/Lectures/00_-_Year_wise/Devotional_Nectar_-_2008/2008-01-13_Clear_Intelligence_Comes_From_Sincerity_SB-07-02-61_-_Radhanath_Swami_IDesireTree.mp3", "2008-01-13_Clear_Intelligence_Comes_From_Sincerity_SB-07-02-61_-_Radhanath_Swami_IDesireTree.mp3")</f>
        <v>2008-01-13_Clear_Intelligence_Comes_From_Sincerity_SB-07-02-61_-_Radhanath_Swami_IDesireTree.mp3</v>
      </c>
      <c r="D2350" s="24"/>
      <c r="E2350" s="24"/>
    </row>
    <row r="2351">
      <c r="A2351" s="25" t="s">
        <v>18352</v>
      </c>
      <c r="B2351" s="25" t="s">
        <v>18372</v>
      </c>
      <c r="C2351" s="26" t="str">
        <f>HYPERLINK("https://audio.iskcondesiretree.com/02_-_ISKCON_Swamis/ISKCON_Swamis_-_R_to_Y/His_Holiness_Radhanath_Swami/Lectures/00_-_Year_wise/Devotional_Nectar_-_2008/2008-01-13_Gauranga_Takes_Sannyas_Sunday_Feast_-_Radhanath_Swami_IDesireTree.mp3", "2008-01-13_Gauranga_Takes_Sannyas_Sunday_Feast_-_Radhanath_Swami_IDesireTree.mp3")</f>
        <v>2008-01-13_Gauranga_Takes_Sannyas_Sunday_Feast_-_Radhanath_Swami_IDesireTree.mp3</v>
      </c>
      <c r="D2351" s="24"/>
      <c r="E2351" s="24"/>
    </row>
    <row r="2352">
      <c r="A2352" s="25" t="s">
        <v>18352</v>
      </c>
      <c r="B2352" s="25" t="s">
        <v>18372</v>
      </c>
      <c r="C2352" s="26" t="str">
        <f>HYPERLINK("https://audio.iskcondesiretree.com/02_-_ISKCON_Swamis/ISKCON_Swamis_-_R_to_Y/His_Holiness_Radhanath_Swami/Lectures/00_-_Year_wise/Devotional_Nectar_-_2008/2008-01-14_Making_Marriage_Divine_-_Radhanath_Swami_IDesireTree.mp3", "2008-01-14_Making_Marriage_Divine_-_Radhanath_Swami_IDesireTree.mp3")</f>
        <v>2008-01-14_Making_Marriage_Divine_-_Radhanath_Swami_IDesireTree.mp3</v>
      </c>
      <c r="D2352" s="24"/>
      <c r="E2352" s="24"/>
    </row>
    <row r="2353">
      <c r="A2353" s="25" t="s">
        <v>18352</v>
      </c>
      <c r="B2353" s="25" t="s">
        <v>18372</v>
      </c>
      <c r="C2353" s="26" t="str">
        <f>HYPERLINK("https://audio.iskcondesiretree.com/02_-_ISKCON_Swamis/ISKCON_Swamis_-_R_to_Y/His_Holiness_Radhanath_Swami/Lectures/00_-_Year_wise/Devotional_Nectar_-_2008/2008-01-18_Enriching_Our_Lives_By_Divine_Qualities_Birla_House_-_Radhanath_Swami_IDesireTree.mp3", "2008-01-18_Enriching_Our_Lives_By_Divine_Qualities_Birla_House_-_Radhanath_Swami_IDesireTree.mp3")</f>
        <v>2008-01-18_Enriching_Our_Lives_By_Divine_Qualities_Birla_House_-_Radhanath_Swami_IDesireTree.mp3</v>
      </c>
      <c r="D2353" s="24"/>
      <c r="E2353" s="24"/>
    </row>
    <row r="2354">
      <c r="A2354" s="25" t="s">
        <v>18352</v>
      </c>
      <c r="B2354" s="25" t="s">
        <v>18372</v>
      </c>
      <c r="C2354" s="26" t="str">
        <f>HYPERLINK("https://audio.iskcondesiretree.com/02_-_ISKCON_Swamis/ISKCON_Swamis_-_R_to_Y/His_Holiness_Radhanath_Swami/Lectures/00_-_Year_wise/Devotional_Nectar_-_2008/2008-01-19_Love_Me_-_Love_My_Cows_SB-07-03-13_-_Radhanath_Swami_IDesireTree.mp3", "2008-01-19_Love_Me_-_Love_My_Cows_SB-07-03-13_-_Radhanath_Swami_IDesireTree.mp3")</f>
        <v>2008-01-19_Love_Me_-_Love_My_Cows_SB-07-03-13_-_Radhanath_Swami_IDesireTree.mp3</v>
      </c>
      <c r="D2354" s="24"/>
      <c r="E2354" s="24"/>
    </row>
    <row r="2355">
      <c r="A2355" s="25" t="s">
        <v>18352</v>
      </c>
      <c r="B2355" s="25" t="s">
        <v>18372</v>
      </c>
      <c r="C2355" s="26" t="str">
        <f>HYPERLINK("https://audio.iskcondesiretree.com/02_-_ISKCON_Swamis/ISKCON_Swamis_-_R_to_Y/His_Holiness_Radhanath_Swami/Lectures/00_-_Year_wise/Devotional_Nectar_-_2008/2008-02-19_Nityananda_Katha_CC_Adi_lila-05_-_Radhanath_Swami_IDesireTree.mp3", "2008-02-19_Nityananda_Katha_CC_Adi_lila-05_-_Radhanath_Swami_IDesireTree.mp3")</f>
        <v>2008-02-19_Nityananda_Katha_CC_Adi_lila-05_-_Radhanath_Swami_IDesireTree.mp3</v>
      </c>
      <c r="D2355" s="24"/>
      <c r="E2355" s="24"/>
    </row>
    <row r="2356">
      <c r="A2356" s="25" t="s">
        <v>18352</v>
      </c>
      <c r="B2356" s="25" t="s">
        <v>18372</v>
      </c>
      <c r="C2356" s="26" t="str">
        <f>HYPERLINK("https://audio.iskcondesiretree.com/02_-_ISKCON_Swamis/ISKCON_Swamis_-_R_to_Y/His_Holiness_Radhanath_Swami/Lectures/00_-_Year_wise/Devotional_Nectar_-_2008/2008-02-19_Nityananda_Katha_CC_Adilila_05-204_-_Radhanath_Swami_IDesireTree.MP3", "2008-02-19_Nityananda_Katha_CC_Adilila_05-204_-_Radhanath_Swami_IDesireTree.MP3")</f>
        <v>2008-02-19_Nityananda_Katha_CC_Adilila_05-204_-_Radhanath_Swami_IDesireTree.MP3</v>
      </c>
      <c r="D2356" s="24"/>
      <c r="E2356" s="24"/>
    </row>
    <row r="2357">
      <c r="A2357" s="25" t="s">
        <v>18352</v>
      </c>
      <c r="B2357" s="25" t="s">
        <v>18372</v>
      </c>
      <c r="C2357" s="26" t="str">
        <f>HYPERLINK("https://audio.iskcondesiretree.com/02_-_ISKCON_Swamis/ISKCON_Swamis_-_R_to_Y/His_Holiness_Radhanath_Swami/Lectures/00_-_Year_wise/Devotional_Nectar_-_2008/2008-03-06_Kolkata_IYF_IDesireTree_-_Radhanath_Swami.mp3", "2008-03-06_Kolkata_IYF_IDesireTree_-_Radhanath_Swami.mp3")</f>
        <v>2008-03-06_Kolkata_IYF_IDesireTree_-_Radhanath_Swami.mp3</v>
      </c>
      <c r="D2357" s="24"/>
      <c r="E2357" s="24"/>
    </row>
    <row r="2358">
      <c r="A2358" s="25" t="s">
        <v>18352</v>
      </c>
      <c r="B2358" s="25" t="s">
        <v>18372</v>
      </c>
      <c r="C2358" s="26" t="str">
        <f>HYPERLINK("https://audio.iskcondesiretree.com/02_-_ISKCON_Swamis/ISKCON_Swamis_-_R_to_Y/His_Holiness_Radhanath_Swami/Lectures/00_-_Year_wise/Devotional_Nectar_-_2008/2008-03-07_Kolkata_SB-04_IDesireTree_-_Radhanath_Swami.mp3", "2008-03-07_Kolkata_SB-04_IDesireTree_-_Radhanath_Swami.mp3")</f>
        <v>2008-03-07_Kolkata_SB-04_IDesireTree_-_Radhanath_Swami.mp3</v>
      </c>
      <c r="D2358" s="24"/>
      <c r="E2358" s="24"/>
    </row>
    <row r="2359">
      <c r="A2359" s="25" t="s">
        <v>18352</v>
      </c>
      <c r="B2359" s="25" t="s">
        <v>18372</v>
      </c>
      <c r="C2359" s="26" t="str">
        <f>HYPERLINK("https://audio.iskcondesiretree.com/02_-_ISKCON_Swamis/ISKCON_Swamis_-_R_to_Y/His_Holiness_Radhanath_Swami/Lectures/00_-_Year_wise/Devotional_Nectar_-_2008/2008-03-08_Who_Is_A_Vaisnava_SB-07-04-33_-_Radhanath_Swami_IDesireTree.mp3", "2008-03-08_Who_Is_A_Vaisnava_SB-07-04-33_-_Radhanath_Swami_IDesireTree.mp3")</f>
        <v>2008-03-08_Who_Is_A_Vaisnava_SB-07-04-33_-_Radhanath_Swami_IDesireTree.mp3</v>
      </c>
      <c r="D2359" s="24"/>
      <c r="E2359" s="24"/>
    </row>
    <row r="2360">
      <c r="A2360" s="25" t="s">
        <v>18352</v>
      </c>
      <c r="B2360" s="25" t="s">
        <v>18372</v>
      </c>
      <c r="C2360" s="26" t="str">
        <f>HYPERLINK("https://audio.iskcondesiretree.com/02_-_ISKCON_Swamis/ISKCON_Swamis_-_R_to_Y/His_Holiness_Radhanath_Swami/Lectures/00_-_Year_wise/Devotional_Nectar_-_2008/2008-03-09_Antidote_Of_Envy_Is_Appreciation_SB-07-04-34_-_Radhanath_Swami_IDesireTree.mp3", "2008-03-09_Antidote_Of_Envy_Is_Appreciation_SB-07-04-34_-_Radhanath_Swami_IDesireTree.mp3")</f>
        <v>2008-03-09_Antidote_Of_Envy_Is_Appreciation_SB-07-04-34_-_Radhanath_Swami_IDesireTree.mp3</v>
      </c>
      <c r="D2360" s="24"/>
      <c r="E2360" s="24"/>
    </row>
    <row r="2361">
      <c r="A2361" s="25" t="s">
        <v>18352</v>
      </c>
      <c r="B2361" s="25" t="s">
        <v>18372</v>
      </c>
      <c r="C2361" s="26" t="str">
        <f>HYPERLINK("https://audio.iskcondesiretree.com/02_-_ISKCON_Swamis/ISKCON_Swamis_-_R_to_Y/His_Holiness_Radhanath_Swami/Lectures/00_-_Year_wise/Devotional_Nectar_-_2008/2008-03-10_Marriage%20Address_HG_Ananda_Krsna_Pr_%26_Sunayna_-_Radhanath_Swami_IDesireTree.mp3", "2008-03-10_Marriage%20Address_HG_Ananda_Krsna_Pr_%26_Sunayna_-_Radhanath_Swami_IDesireTree.mp3")</f>
        <v>2008-03-10_Marriage%20Address_HG_Ananda_Krsna_Pr_%26_Sunayna_-_Radhanath_Swami_IDesireTree.mp3</v>
      </c>
      <c r="D2361" s="24"/>
      <c r="E2361" s="24"/>
    </row>
    <row r="2362">
      <c r="A2362" s="25" t="s">
        <v>18352</v>
      </c>
      <c r="B2362" s="25" t="s">
        <v>18372</v>
      </c>
      <c r="C2362" s="26" t="str">
        <f>HYPERLINK("https://audio.iskcondesiretree.com/02_-_ISKCON_Swamis/ISKCON_Swamis_-_R_to_Y/His_Holiness_Radhanath_Swami/Lectures/00_-_Year_wise/Devotional_Nectar_-_2008/2008-03-20_Parallels_Of_Prahlad%27s_Mood_In_Gura_Lila_SB-07-04-44_-_Radhanath_Swami_IDesireTree.mp3", "2008-03-20_Parallels_Of_Prahlad%27s_Mood_In_Gura_Lila_SB-07-04-44_-_Radhanath_Swami_IDesireTree.mp3")</f>
        <v>2008-03-20_Parallels_Of_Prahlad%27s_Mood_In_Gura_Lila_SB-07-04-44_-_Radhanath_Swami_IDesireTree.mp3</v>
      </c>
      <c r="D2362" s="24"/>
      <c r="E2362" s="24"/>
    </row>
    <row r="2363">
      <c r="A2363" s="25" t="s">
        <v>18352</v>
      </c>
      <c r="B2363" s="25" t="s">
        <v>18372</v>
      </c>
      <c r="C2363" s="26" t="str">
        <f>HYPERLINK("https://audio.iskcondesiretree.com/02_-_ISKCON_Swamis/ISKCON_Swamis_-_R_to_Y/His_Holiness_Radhanath_Swami/Lectures/00_-_Year_wise/Devotional_Nectar_-_2008/2008-03-21_Evening_Lecture_-_Radhanath_Swami_IDesireTree.mp3", "2008-03-21_Evening_Lecture_-_Radhanath_Swami_IDesireTree.mp3")</f>
        <v>2008-03-21_Evening_Lecture_-_Radhanath_Swami_IDesireTree.mp3</v>
      </c>
      <c r="D2363" s="24"/>
      <c r="E2363" s="24"/>
    </row>
    <row r="2364">
      <c r="A2364" s="25" t="s">
        <v>18352</v>
      </c>
      <c r="B2364" s="25" t="s">
        <v>18372</v>
      </c>
      <c r="C2364" s="26" t="str">
        <f>HYPERLINK("https://audio.iskcondesiretree.com/02_-_ISKCON_Swamis/ISKCON_Swamis_-_R_to_Y/His_Holiness_Radhanath_Swami/Lectures/00_-_Year_wise/Devotional_Nectar_-_2008/2008-03-21_Gaur_pournima_Eve_Lecture_-_Radhanath_Swami_IDesireTree.mp3", "2008-03-21_Gaur_pournima_Eve_Lecture_-_Radhanath_Swami_IDesireTree.mp3")</f>
        <v>2008-03-21_Gaur_pournima_Eve_Lecture_-_Radhanath_Swami_IDesireTree.mp3</v>
      </c>
      <c r="D2364" s="24"/>
      <c r="E2364" s="24"/>
    </row>
    <row r="2365">
      <c r="A2365" s="25" t="s">
        <v>18352</v>
      </c>
      <c r="B2365" s="25" t="s">
        <v>18372</v>
      </c>
      <c r="C2365" s="26" t="str">
        <f>HYPERLINK("https://audio.iskcondesiretree.com/02_-_ISKCON_Swamis/ISKCON_Swamis_-_R_to_Y/His_Holiness_Radhanath_Swami/Lectures/00_-_Year_wise/Devotional_Nectar_-_2008/2008-03-21_Gay_Gorachand_Jive_Tare_-_Radhanath_Swami_IDesireTree.mp3", "2008-03-21_Gay_Gorachand_Jive_Tare_-_Radhanath_Swami_IDesireTree.mp3")</f>
        <v>2008-03-21_Gay_Gorachand_Jive_Tare_-_Radhanath_Swami_IDesireTree.mp3</v>
      </c>
      <c r="D2365" s="24"/>
      <c r="E2365" s="24"/>
    </row>
    <row r="2366">
      <c r="A2366" s="25" t="s">
        <v>18352</v>
      </c>
      <c r="B2366" s="25" t="s">
        <v>18372</v>
      </c>
      <c r="C2366" s="26" t="str">
        <f>HYPERLINK("https://audio.iskcondesiretree.com/02_-_ISKCON_Swamis/ISKCON_Swamis_-_R_to_Y/His_Holiness_Radhanath_Swami/Lectures/00_-_Year_wise/Devotional_Nectar_-_2008/2008-03-21_Lord_Caitanya_Visits_Vrnindavan_CC_Madhya_-_Radhanath_Swami_IDesireTree.mp3", "2008-03-21_Lord_Caitanya_Visits_Vrnindavan_CC_Madhya_-_Radhanath_Swami_IDesireTree.mp3")</f>
        <v>2008-03-21_Lord_Caitanya_Visits_Vrnindavan_CC_Madhya_-_Radhanath_Swami_IDesireTree.mp3</v>
      </c>
      <c r="D2366" s="24"/>
      <c r="E2366" s="24"/>
    </row>
    <row r="2367">
      <c r="A2367" s="25" t="s">
        <v>18352</v>
      </c>
      <c r="B2367" s="25" t="s">
        <v>18372</v>
      </c>
      <c r="C2367" s="26" t="str">
        <f>HYPERLINK("https://audio.iskcondesiretree.com/02_-_ISKCON_Swamis/ISKCON_Swamis_-_R_to_Y/His_Holiness_Radhanath_Swami/Lectures/00_-_Year_wise/Devotional_Nectar_-_2008/2008-03-22_First_Gaura_Pournima_Celebration_-_Radhanath_Swami_IDesireTree.mp3", "2008-03-22_First_Gaura_Pournima_Celebration_-_Radhanath_Swami_IDesireTree.mp3")</f>
        <v>2008-03-22_First_Gaura_Pournima_Celebration_-_Radhanath_Swami_IDesireTree.mp3</v>
      </c>
      <c r="D2367" s="24"/>
      <c r="E2367" s="24"/>
    </row>
    <row r="2368">
      <c r="A2368" s="25" t="s">
        <v>18352</v>
      </c>
      <c r="B2368" s="25" t="s">
        <v>18372</v>
      </c>
      <c r="C2368" s="26" t="str">
        <f>HYPERLINK("https://audio.iskcondesiretree.com/02_-_ISKCON_Swamis/ISKCON_Swamis_-_R_to_Y/His_Holiness_Radhanath_Swami/Lectures/00_-_Year_wise/Devotional_Nectar_-_2008/2008-03-23_Fortune_Of_A_Genuine_Beggar_Sunday_Feast_-_Radhanath_Swami_IDesireTree.mp3", "2008-03-23_Fortune_Of_A_Genuine_Beggar_Sunday_Feast_-_Radhanath_Swami_IDesireTree.mp3")</f>
        <v>2008-03-23_Fortune_Of_A_Genuine_Beggar_Sunday_Feast_-_Radhanath_Swami_IDesireTree.mp3</v>
      </c>
      <c r="D2368" s="24"/>
      <c r="E2368" s="24"/>
    </row>
    <row r="2369">
      <c r="A2369" s="25" t="s">
        <v>18352</v>
      </c>
      <c r="B2369" s="25" t="s">
        <v>18372</v>
      </c>
      <c r="C2369" s="26" t="str">
        <f>HYPERLINK("https://audio.iskcondesiretree.com/02_-_ISKCON_Swamis/ISKCON_Swamis_-_R_to_Y/His_Holiness_Radhanath_Swami/Lectures/00_-_Year_wise/Devotional_Nectar_-_2008/2008-03-26_Devotees_Do_not_Create_Enemies_SB-07-05-03_-_Radhanath_Swami_IDesireTree.mp3", "2008-03-26_Devotees_Do_not_Create_Enemies_SB-07-05-03_-_Radhanath_Swami_IDesireTree.mp3")</f>
        <v>2008-03-26_Devotees_Do_not_Create_Enemies_SB-07-05-03_-_Radhanath_Swami_IDesireTree.mp3</v>
      </c>
      <c r="D2369" s="24"/>
      <c r="E2369" s="24"/>
    </row>
    <row r="2370">
      <c r="A2370" s="25" t="s">
        <v>18352</v>
      </c>
      <c r="B2370" s="25" t="s">
        <v>18372</v>
      </c>
      <c r="C2370" s="26" t="str">
        <f>HYPERLINK("https://audio.iskcondesiretree.com/02_-_ISKCON_Swamis/ISKCON_Swamis_-_R_to_Y/His_Holiness_Radhanath_Swami/Lectures/00_-_Year_wise/Devotional_Nectar_-_2008/2008-04-13_Realisations_On_The_Banks_Of_Ganges_Sunday_Feast_-_Radhanath_Swami_IDesireTree.mp3", "2008-04-13_Realisations_On_The_Banks_Of_Ganges_Sunday_Feast_-_Radhanath_Swami_IDesireTree.mp3")</f>
        <v>2008-04-13_Realisations_On_The_Banks_Of_Ganges_Sunday_Feast_-_Radhanath_Swami_IDesireTree.mp3</v>
      </c>
      <c r="D2370" s="24"/>
      <c r="E2370" s="24"/>
    </row>
    <row r="2371">
      <c r="A2371" s="25" t="s">
        <v>18352</v>
      </c>
      <c r="B2371" s="25" t="s">
        <v>18372</v>
      </c>
      <c r="C2371" s="26" t="str">
        <f>HYPERLINK("https://audio.iskcondesiretree.com/02_-_ISKCON_Swamis/ISKCON_Swamis_-_R_to_Y/His_Holiness_Radhanath_Swami/Lectures/00_-_Year_wise/Devotional_Nectar_-_2008/2008-04-13_Setting_Life%27s_Priorities_Without_Complacency_-_Radhanath_Swami_IDesireTree.mp3", "2008-04-13_Setting_Life%27s_Priorities_Without_Complacency_-_Radhanath_Swami_IDesireTree.mp3")</f>
        <v>2008-04-13_Setting_Life%27s_Priorities_Without_Complacency_-_Radhanath_Swami_IDesireTree.mp3</v>
      </c>
      <c r="D2371" s="24"/>
      <c r="E2371" s="24"/>
    </row>
    <row r="2372">
      <c r="A2372" s="25" t="s">
        <v>18352</v>
      </c>
      <c r="B2372" s="25" t="s">
        <v>18372</v>
      </c>
      <c r="C2372" s="26" t="str">
        <f>HYPERLINK("https://audio.iskcondesiretree.com/02_-_ISKCON_Swamis/ISKCON_Swamis_-_R_to_Y/His_Holiness_Radhanath_Swami/Lectures/00_-_Year_wise/Devotional_Nectar_-_2008/2008-04-15_Eve_Lecture_HT_-_Radhanath_Swami_IDesireTree.mp3", "2008-04-15_Eve_Lecture_HT_-_Radhanath_Swami_IDesireTree.mp3")</f>
        <v>2008-04-15_Eve_Lecture_HT_-_Radhanath_Swami_IDesireTree.mp3</v>
      </c>
      <c r="D2372" s="24"/>
      <c r="E2372" s="24"/>
    </row>
    <row r="2373">
      <c r="A2373" s="25" t="s">
        <v>18352</v>
      </c>
      <c r="B2373" s="25" t="s">
        <v>18372</v>
      </c>
      <c r="C2373" s="26" t="str">
        <f>HYPERLINK("https://audio.iskcondesiretree.com/02_-_ISKCON_Swamis/ISKCON_Swamis_-_R_to_Y/His_Holiness_Radhanath_Swami/Lectures/00_-_Year_wise/Devotional_Nectar_-_2008/2008-04-17_Initiation_Lecture_HT_-_Radhanath_Swami_IDesireTree.mp3", "2008-04-17_Initiation_Lecture_HT_-_Radhanath_Swami_IDesireTree.mp3")</f>
        <v>2008-04-17_Initiation_Lecture_HT_-_Radhanath_Swami_IDesireTree.mp3</v>
      </c>
      <c r="D2373" s="24"/>
      <c r="E2373" s="24"/>
    </row>
    <row r="2374">
      <c r="A2374" s="25" t="s">
        <v>18352</v>
      </c>
      <c r="B2374" s="25" t="s">
        <v>18372</v>
      </c>
      <c r="C2374" s="26" t="str">
        <f>HYPERLINK("https://audio.iskcondesiretree.com/02_-_ISKCON_Swamis/ISKCON_Swamis_-_R_to_Y/His_Holiness_Radhanath_Swami/Lectures/00_-_Year_wise/Devotional_Nectar_-_2008/2008-04-17_Service_With_Co-operation-01_HT_-_Radhanath_Swami_IDesireTree.mp3", "2008-04-17_Service_With_Co-operation-01_HT_-_Radhanath_Swami_IDesireTree.mp3")</f>
        <v>2008-04-17_Service_With_Co-operation-01_HT_-_Radhanath_Swami_IDesireTree.mp3</v>
      </c>
      <c r="D2374" s="24"/>
      <c r="E2374" s="24"/>
    </row>
    <row r="2375">
      <c r="A2375" s="25" t="s">
        <v>18352</v>
      </c>
      <c r="B2375" s="25" t="s">
        <v>18372</v>
      </c>
      <c r="C2375" s="26" t="str">
        <f>HYPERLINK("https://audio.iskcondesiretree.com/02_-_ISKCON_Swamis/ISKCON_Swamis_-_R_to_Y/His_Holiness_Radhanath_Swami/Lectures/00_-_Year_wise/Devotional_Nectar_-_2008/2008-04-17_Serving_With_Co-operation-02_HT_-_Radhanath_Swami_IDesireTree.mp3", "2008-04-17_Serving_With_Co-operation-02_HT_-_Radhanath_Swami_IDesireTree.mp3")</f>
        <v>2008-04-17_Serving_With_Co-operation-02_HT_-_Radhanath_Swami_IDesireTree.mp3</v>
      </c>
      <c r="D2375" s="24"/>
      <c r="E2375" s="24"/>
    </row>
    <row r="2376">
      <c r="A2376" s="25" t="s">
        <v>18352</v>
      </c>
      <c r="B2376" s="25" t="s">
        <v>18372</v>
      </c>
      <c r="C2376" s="26" t="str">
        <f>HYPERLINK("https://audio.iskcondesiretree.com/02_-_ISKCON_Swamis/ISKCON_Swamis_-_R_to_Y/His_Holiness_Radhanath_Swami/Lectures/00_-_Year_wise/Devotional_Nectar_-_2008/2008-04-18_Lecture_at_Kolhapur_MT_-_Radhanath_Swami_IDesireTree.mp3", "2008-04-18_Lecture_at_Kolhapur_MT_-_Radhanath_Swami_IDesireTree.mp3")</f>
        <v>2008-04-18_Lecture_at_Kolhapur_MT_-_Radhanath_Swami_IDesireTree.mp3</v>
      </c>
      <c r="D2376" s="24"/>
      <c r="E2376" s="24"/>
    </row>
    <row r="2377">
      <c r="A2377" s="25" t="s">
        <v>18352</v>
      </c>
      <c r="B2377" s="25" t="s">
        <v>18372</v>
      </c>
      <c r="C2377" s="26" t="str">
        <f>HYPERLINK("https://audio.iskcondesiretree.com/02_-_ISKCON_Swamis/ISKCON_Swamis_-_R_to_Y/His_Holiness_Radhanath_Swami/Lectures/00_-_Year_wise/Devotional_Nectar_-_2008/2008-04-20_Glories_Of_Sri_Hanuman_Sunday_Feast_-_Radhanath_Swami_IDesireTree.mp3", "2008-04-20_Glories_Of_Sri_Hanuman_Sunday_Feast_-_Radhanath_Swami_IDesireTree.mp3")</f>
        <v>2008-04-20_Glories_Of_Sri_Hanuman_Sunday_Feast_-_Radhanath_Swami_IDesireTree.mp3</v>
      </c>
      <c r="D2377" s="24"/>
      <c r="E2377" s="24"/>
    </row>
    <row r="2378">
      <c r="A2378" s="25" t="s">
        <v>18352</v>
      </c>
      <c r="B2378" s="25" t="s">
        <v>18372</v>
      </c>
      <c r="C2378" s="26" t="str">
        <f>HYPERLINK("https://audio.iskcondesiretree.com/02_-_ISKCON_Swamis/ISKCON_Swamis_-_R_to_Y/His_Holiness_Radhanath_Swami/Lectures/00_-_Year_wise/Devotional_Nectar_-_2008/2008-04-22_History_Of_Rath_Yatra_Gopal%27s_Fun_School_Rath_Yatra_-_Radhanath_Swami_IDesireTree.mp3", "2008-04-22_History_Of_Rath_Yatra_Gopal%27s_Fun_School_Rath_Yatra_-_Radhanath_Swami_IDesireTree.mp3")</f>
        <v>2008-04-22_History_Of_Rath_Yatra_Gopal%27s_Fun_School_Rath_Yatra_-_Radhanath_Swami_IDesireTree.mp3</v>
      </c>
      <c r="D2378" s="24"/>
      <c r="E2378" s="24"/>
    </row>
    <row r="2379">
      <c r="A2379" s="25" t="s">
        <v>18352</v>
      </c>
      <c r="B2379" s="25" t="s">
        <v>18372</v>
      </c>
      <c r="C2379" s="26" t="str">
        <f>HYPERLINK("https://audio.iskcondesiretree.com/02_-_ISKCON_Swamis/ISKCON_Swamis_-_R_to_Y/His_Holiness_Radhanath_Swami/Lectures/00_-_Year_wise/Devotional_Nectar_-_2008/2008-05-07_SB_06-04-26_-_Radhanath_Sw_Bhaktivedanta_Manor.mp3", "2008-05-07_SB_06-04-26_-_Radhanath_Sw_Bhaktivedanta_Manor.mp3")</f>
        <v>2008-05-07_SB_06-04-26_-_Radhanath_Sw_Bhaktivedanta_Manor.mp3</v>
      </c>
      <c r="D2379" s="24"/>
      <c r="E2379" s="24"/>
    </row>
    <row r="2380">
      <c r="A2380" s="25" t="s">
        <v>18352</v>
      </c>
      <c r="B2380" s="25" t="s">
        <v>18372</v>
      </c>
      <c r="C2380" s="26" t="str">
        <f>HYPERLINK("https://audio.iskcondesiretree.com/02_-_ISKCON_Swamis/ISKCON_Swamis_-_R_to_Y/His_Holiness_Radhanath_Swami/Lectures/00_-_Year_wise/Devotional_Nectar_-_2008/2008-08-30_SB_04-29-47_-_Radhanath_Swami_Los_Angeles.mp3", "2008-08-30_SB_04-29-47_-_Radhanath_Swami_Los_Angeles.mp3")</f>
        <v>2008-08-30_SB_04-29-47_-_Radhanath_Swami_Los_Angeles.mp3</v>
      </c>
      <c r="D2380" s="24"/>
      <c r="E2380" s="24"/>
    </row>
    <row r="2381">
      <c r="A2381" s="25" t="s">
        <v>18352</v>
      </c>
      <c r="B2381" s="25" t="s">
        <v>18372</v>
      </c>
      <c r="C2381" s="26" t="str">
        <f>HYPERLINK("https://audio.iskcondesiretree.com/02_-_ISKCON_Swamis/ISKCON_Swamis_-_R_to_Y/His_Holiness_Radhanath_Swami/Lectures/00_-_Year_wise/Devotional_Nectar_-_2008/2008-08-31_Festivals_-_Initiation_Ceremony_-_Radhanath_Swami_Los_Angeles.mp3", "2008-08-31_Festivals_-_Initiation_Ceremony_-_Radhanath_Swami_Los_Angeles.mp3")</f>
        <v>2008-08-31_Festivals_-_Initiation_Ceremony_-_Radhanath_Swami_Los_Angeles.mp3</v>
      </c>
      <c r="D2381" s="24"/>
      <c r="E2381" s="24"/>
    </row>
    <row r="2382">
      <c r="A2382" s="25" t="s">
        <v>18352</v>
      </c>
      <c r="B2382" s="25" t="s">
        <v>18372</v>
      </c>
      <c r="C2382" s="26" t="str">
        <f>HYPERLINK("https://audio.iskcondesiretree.com/02_-_ISKCON_Swamis/ISKCON_Swamis_-_R_to_Y/His_Holiness_Radhanath_Swami/Lectures/00_-_Year_wise/Devotional_Nectar_-_2008/2008-08-31_Various_-_Sunday_Feast-Everyone_is_seeking_pleasure_-_Radhanath_Swami_Los_Angeles.mp3", "2008-08-31_Various_-_Sunday_Feast-Everyone_is_seeking_pleasure_-_Radhanath_Swami_Los_Angeles.mp3")</f>
        <v>2008-08-31_Various_-_Sunday_Feast-Everyone_is_seeking_pleasure_-_Radhanath_Swami_Los_Angeles.mp3</v>
      </c>
      <c r="D2382" s="24"/>
      <c r="E2382" s="24"/>
    </row>
    <row r="2383">
      <c r="A2383" s="25" t="s">
        <v>18352</v>
      </c>
      <c r="B2383" s="25" t="s">
        <v>18372</v>
      </c>
      <c r="C2383" s="26" t="str">
        <f>HYPERLINK("https://audio.iskcondesiretree.com/02_-_ISKCON_Swamis/ISKCON_Swamis_-_R_to_Y/His_Holiness_Radhanath_Swami/Lectures/00_-_Year_wise/Devotional_Nectar_-_2008/2008-09-02_SB_04-29-49_-_Radhanath_Swami_Los_Angeles.mp3", "2008-09-02_SB_04-29-49_-_Radhanath_Swami_Los_Angeles.mp3")</f>
        <v>2008-09-02_SB_04-29-49_-_Radhanath_Swami_Los_Angeles.mp3</v>
      </c>
      <c r="D2383" s="24"/>
      <c r="E2383" s="24"/>
    </row>
    <row r="2384">
      <c r="A2384" s="25" t="s">
        <v>18352</v>
      </c>
      <c r="B2384" s="25" t="s">
        <v>18372</v>
      </c>
      <c r="C2384" s="26" t="str">
        <f>HYPERLINK("https://audio.iskcondesiretree.com/02_-_ISKCON_Swamis/ISKCON_Swamis_-_R_to_Y/His_Holiness_Radhanath_Swami/Lectures/00_-_Year_wise/Devotional_Nectar_-_2008/2008-10-05_Various_-_Supreme_lord_krishna_descends_in_this_age_of_kali_as_CM_-_RNS_Bhaktivedanta_Man"&amp;"or.mp3", "2008-10-05_Various_-_Supreme_lord_krishna_descends_in_this_age_of_kali_as_CM_-_RNS_Bhaktivedanta_Manor.mp3")</f>
        <v>2008-10-05_Various_-_Supreme_lord_krishna_descends_in_this_age_of_kali_as_CM_-_RNS_Bhaktivedanta_Manor.mp3</v>
      </c>
      <c r="D2384" s="24"/>
      <c r="E2384" s="24"/>
    </row>
    <row r="2385">
      <c r="A2385" s="25" t="s">
        <v>18352</v>
      </c>
      <c r="B2385" s="25" t="s">
        <v>18372</v>
      </c>
      <c r="C2385" s="26" t="str">
        <f>HYPERLINK("https://audio.iskcondesiretree.com/02_-_ISKCON_Swamis/ISKCON_Swamis_-_R_to_Y/His_Holiness_Radhanath_Swami/Lectures/00_-_Year_wise/Devotional_Nectar_-_2008/2008-10-07_SB_06-08-34-42_-_Radhanath_Sw_Bhaktivedanta_Manor.mp3", "2008-10-07_SB_06-08-34-42_-_Radhanath_Sw_Bhaktivedanta_Manor.mp3")</f>
        <v>2008-10-07_SB_06-08-34-42_-_Radhanath_Sw_Bhaktivedanta_Manor.mp3</v>
      </c>
      <c r="D2385" s="24"/>
      <c r="E2385" s="24"/>
    </row>
    <row r="2386">
      <c r="A2386" s="25" t="s">
        <v>18352</v>
      </c>
      <c r="B2386" s="25" t="s">
        <v>18372</v>
      </c>
      <c r="C2386" s="26" t="str">
        <f>HYPERLINK("https://audio.iskcondesiretree.com/02_-_ISKCON_Swamis/ISKCON_Swamis_-_R_to_Y/His_Holiness_Radhanath_Swami/Lectures/00_-_Year_wise/Devotional_Nectar_-_2008/2008-10-26_-_A_Learned_Person_is_one_whos_sees_everyone_equal_-_San_Diego.mp3", "2008-10-26_-_A_Learned_Person_is_one_whos_sees_everyone_equal_-_San_Diego.mp3")</f>
        <v>2008-10-26_-_A_Learned_Person_is_one_whos_sees_everyone_equal_-_San_Diego.mp3</v>
      </c>
      <c r="D2386" s="24"/>
      <c r="E2386" s="24"/>
    </row>
    <row r="2387">
      <c r="A2387" s="25" t="s">
        <v>18352</v>
      </c>
      <c r="B2387" s="25" t="s">
        <v>18372</v>
      </c>
      <c r="C2387" s="26" t="str">
        <f>HYPERLINK("https://audio.iskcondesiretree.com/02_-_ISKCON_Swamis/ISKCON_Swamis_-_R_to_Y/His_Holiness_Radhanath_Swami/Lectures/00_-_Year_wise/Devotional_Nectar_-_2008/2008-10-28_-_Lecture_-_Laguna_Beach.mp3", "2008-10-28_-_Lecture_-_Laguna_Beach.mp3")</f>
        <v>2008-10-28_-_Lecture_-_Laguna_Beach.mp3</v>
      </c>
      <c r="D2387" s="24"/>
      <c r="E2387" s="24"/>
    </row>
    <row r="2388">
      <c r="A2388" s="25" t="s">
        <v>18352</v>
      </c>
      <c r="B2388" s="25" t="s">
        <v>18372</v>
      </c>
      <c r="C2388" s="26" t="str">
        <f>HYPERLINK("https://audio.iskcondesiretree.com/02_-_ISKCON_Swamis/ISKCON_Swamis_-_R_to_Y/His_Holiness_Radhanath_Swami/Lectures/00_-_Year_wise/Devotional_Nectar_-_2008/2008-10-29_-_Narayan%27s_Home_-_San_Diego.mp3", "2008-10-29_-_Narayan%27s_Home_-_San_Diego.mp3")</f>
        <v>2008-10-29_-_Narayan%27s_Home_-_San_Diego.mp3</v>
      </c>
      <c r="D2388" s="24"/>
      <c r="E2388" s="24"/>
    </row>
    <row r="2389">
      <c r="A2389" s="25" t="s">
        <v>18352</v>
      </c>
      <c r="B2389" s="25" t="s">
        <v>18372</v>
      </c>
      <c r="C2389" s="26" t="str">
        <f>HYPERLINK("https://audio.iskcondesiretree.com/02_-_ISKCON_Swamis/ISKCON_Swamis_-_R_to_Y/His_Holiness_Radhanath_Swami/Lectures/00_-_Year_wise/Devotional_Nectar_-_2008/2008-11-13_Creating_Culture_Of_Vrindavan_-_ISKCON_Juhu_-_Radhanath_Swami_IDesireTree.mp3", "2008-11-13_Creating_Culture_Of_Vrindavan_-_ISKCON_Juhu_-_Radhanath_Swami_IDesireTree.mp3")</f>
        <v>2008-11-13_Creating_Culture_Of_Vrindavan_-_ISKCON_Juhu_-_Radhanath_Swami_IDesireTree.mp3</v>
      </c>
      <c r="D2389" s="24"/>
      <c r="E2389" s="24"/>
    </row>
    <row r="2390">
      <c r="A2390" s="25" t="s">
        <v>18352</v>
      </c>
      <c r="B2390" s="25" t="s">
        <v>18372</v>
      </c>
      <c r="C2390" s="26" t="str">
        <f>HYPERLINK("https://audio.iskcondesiretree.com/02_-_ISKCON_Swamis/ISKCON_Swamis_-_R_to_Y/His_Holiness_Radhanath_Swami/Lectures/00_-_Year_wise/Devotional_Nectar_-_2008/2008-11-26_A_True_Love_Story_SB-07-09-51-52_ISKCON_Chowpatty_-_Radhanath_Swami_IDesireTree.mp3", "2008-11-26_A_True_Love_Story_SB-07-09-51-52_ISKCON_Chowpatty_-_Radhanath_Swami_IDesireTree.mp3")</f>
        <v>2008-11-26_A_True_Love_Story_SB-07-09-51-52_ISKCON_Chowpatty_-_Radhanath_Swami_IDesireTree.mp3</v>
      </c>
      <c r="D2390" s="24"/>
      <c r="E2390" s="24"/>
    </row>
    <row r="2391">
      <c r="A2391" s="25" t="s">
        <v>18352</v>
      </c>
      <c r="B2391" s="25" t="s">
        <v>18372</v>
      </c>
      <c r="C2391" s="26" t="str">
        <f>HYPERLINK("https://audio.iskcondesiretree.com/02_-_ISKCON_Swamis/ISKCON_Swamis_-_R_to_Y/His_Holiness_Radhanath_Swami/Lectures/00_-_Year_wise/Devotional_Nectar_-_2008/2008_Various_-_Be_not_Bees_Flies_-_Radhanath_Swami.mp3", "2008_Various_-_Be_not_Bees_Flies_-_Radhanath_Swami.mp3")</f>
        <v>2008_Various_-_Be_not_Bees_Flies_-_Radhanath_Swami.mp3</v>
      </c>
      <c r="D2391" s="24"/>
      <c r="E2391" s="24"/>
    </row>
    <row r="2392">
      <c r="A2392" s="25" t="s">
        <v>18352</v>
      </c>
      <c r="B2392" s="25" t="s">
        <v>18372</v>
      </c>
      <c r="C2392" s="26" t="str">
        <f>HYPERLINK("https://audio.iskcondesiretree.com/02_-_ISKCON_Swamis/ISKCON_Swamis_-_R_to_Y/His_Holiness_Radhanath_Swami/Lectures/00_-_Year_wise/Devotional_Nectar_-_2008/2008_Various_-_Compassion_of_Srila_Prabhupada_-_Radhanath_Swami.mp3", "2008_Various_-_Compassion_of_Srila_Prabhupada_-_Radhanath_Swami.mp3")</f>
        <v>2008_Various_-_Compassion_of_Srila_Prabhupada_-_Radhanath_Swami.mp3</v>
      </c>
      <c r="D2392" s="24"/>
      <c r="E2392" s="24"/>
    </row>
    <row r="2393">
      <c r="A2393" s="25" t="s">
        <v>18352</v>
      </c>
      <c r="B2393" s="25" t="s">
        <v>18372</v>
      </c>
      <c r="C2393" s="26" t="str">
        <f>HYPERLINK("https://audio.iskcondesiretree.com/02_-_ISKCON_Swamis/ISKCON_Swamis_-_R_to_Y/His_Holiness_Radhanath_Swami/Lectures/00_-_Year_wise/Devotional_Nectar_-_2008/2008_Various_-_Foundations_of_Devotional_Service_-_Radhanath_Swami.mp3", "2008_Various_-_Foundations_of_Devotional_Service_-_Radhanath_Swami.mp3")</f>
        <v>2008_Various_-_Foundations_of_Devotional_Service_-_Radhanath_Swami.mp3</v>
      </c>
      <c r="D2393" s="24"/>
      <c r="E2393" s="24"/>
    </row>
    <row r="2394">
      <c r="A2394" s="25" t="s">
        <v>18352</v>
      </c>
      <c r="B2394" s="25" t="s">
        <v>18372</v>
      </c>
      <c r="C2394" s="26" t="str">
        <f>HYPERLINK("https://audio.iskcondesiretree.com/02_-_ISKCON_Swamis/ISKCON_Swamis_-_R_to_Y/His_Holiness_Radhanath_Swami/Lectures/00_-_Year_wise/Devotional_Nectar_-_2008/2008_Various_-_How_to_Prevent_Mad_Elephant_-_Radhanath_Swami.mp3", "2008_Various_-_How_to_Prevent_Mad_Elephant_-_Radhanath_Swami.mp3")</f>
        <v>2008_Various_-_How_to_Prevent_Mad_Elephant_-_Radhanath_Swami.mp3</v>
      </c>
      <c r="D2394" s="24"/>
      <c r="E2394" s="24"/>
    </row>
    <row r="2395">
      <c r="A2395" s="25" t="s">
        <v>18352</v>
      </c>
      <c r="B2395" s="25" t="s">
        <v>18372</v>
      </c>
      <c r="C2395" s="26" t="str">
        <f>HYPERLINK("https://audio.iskcondesiretree.com/02_-_ISKCON_Swamis/ISKCON_Swamis_-_R_to_Y/His_Holiness_Radhanath_Swami/Lectures/00_-_Year_wise/Devotional_Nectar_-_2008/2008_Various_-_Matter_of_Conscience_-_Radhanath_Swami.mp3", "2008_Various_-_Matter_of_Conscience_-_Radhanath_Swami.mp3")</f>
        <v>2008_Various_-_Matter_of_Conscience_-_Radhanath_Swami.mp3</v>
      </c>
      <c r="D2395" s="24"/>
      <c r="E2395" s="24"/>
    </row>
    <row r="2396">
      <c r="A2396" s="25" t="s">
        <v>18352</v>
      </c>
      <c r="B2396" s="25" t="s">
        <v>18372</v>
      </c>
      <c r="C2396" s="26" t="str">
        <f>HYPERLINK("https://audio.iskcondesiretree.com/02_-_ISKCON_Swamis/ISKCON_Swamis_-_R_to_Y/His_Holiness_Radhanath_Swami/Lectures/00_-_Year_wise/Devotional_Nectar_-_2008/2008_Various_-_The_Real_need_is_Love_and_be_Loved_-_Radhanath_Swami.mp3", "2008_Various_-_The_Real_need_is_Love_and_be_Loved_-_Radhanath_Swami.mp3")</f>
        <v>2008_Various_-_The_Real_need_is_Love_and_be_Loved_-_Radhanath_Swami.mp3</v>
      </c>
      <c r="D2396" s="24"/>
      <c r="E2396" s="24"/>
    </row>
    <row r="2397">
      <c r="A2397" s="25" t="s">
        <v>18352</v>
      </c>
      <c r="B2397" s="25" t="s">
        <v>18372</v>
      </c>
      <c r="C2397" s="26" t="str">
        <f>HYPERLINK("https://audio.iskcondesiretree.com/02_-_ISKCON_Swamis/ISKCON_Swamis_-_R_to_Y/His_Holiness_Radhanath_Swami/Lectures/00_-_Year_wise/Devotional_Nectar_-_2008/2008_Various_-_The_Real_Step_is_in_the_Heart_-_Radhanath_Swami.mp3", "2008_Various_-_The_Real_Step_is_in_the_Heart_-_Radhanath_Swami.mp3")</f>
        <v>2008_Various_-_The_Real_Step_is_in_the_Heart_-_Radhanath_Swami.mp3</v>
      </c>
      <c r="D2397" s="24"/>
      <c r="E2397" s="24"/>
    </row>
    <row r="2398">
      <c r="A2398" s="25" t="s">
        <v>18352</v>
      </c>
      <c r="B2398" s="25" t="s">
        <v>18373</v>
      </c>
      <c r="C2398" s="26" t="str">
        <f>HYPERLINK("https://audio.iskcondesiretree.com/02_-_ISKCON_Swamis/ISKCON_Swamis_-_R_to_Y/His_Holiness_Radhanath_Swami/Lectures/00_-_Year_wise/Devotional_Nectar_-_2009/2009-01-04_Festivals_-_Ratha_Yatra_-_Radhanath_Swami_ISKCON_Nigdi.mp3", "2009-01-04_Festivals_-_Ratha_Yatra_-_Radhanath_Swami_ISKCON_Nigdi.mp3")</f>
        <v>2009-01-04_Festivals_-_Ratha_Yatra_-_Radhanath_Swami_ISKCON_Nigdi.mp3</v>
      </c>
      <c r="D2398" s="24"/>
      <c r="E2398" s="24"/>
    </row>
    <row r="2399">
      <c r="A2399" s="25" t="s">
        <v>18352</v>
      </c>
      <c r="B2399" s="25" t="s">
        <v>18373</v>
      </c>
      <c r="C2399" s="26" t="str">
        <f>HYPERLINK("https://audio.iskcondesiretree.com/02_-_ISKCON_Swamis/ISKCON_Swamis_-_R_to_Y/His_Holiness_Radhanath_Swami/Lectures/00_-_Year_wise/Devotional_Nectar_-_2009/2009-01-10_Misery_Is_For_Everyone_SB-07-10-52-59_ISKCON_Chowpatty_-_Radhanath_Swami_IDesireTree.mp3", "2009-01-10_Misery_Is_For_Everyone_SB-07-10-52-59_ISKCON_Chowpatty_-_Radhanath_Swami_IDesireTree.mp3")</f>
        <v>2009-01-10_Misery_Is_For_Everyone_SB-07-10-52-59_ISKCON_Chowpatty_-_Radhanath_Swami_IDesireTree.mp3</v>
      </c>
      <c r="D2399" s="24"/>
      <c r="E2399" s="24"/>
    </row>
    <row r="2400">
      <c r="A2400" s="25" t="s">
        <v>18352</v>
      </c>
      <c r="B2400" s="25" t="s">
        <v>18373</v>
      </c>
      <c r="C2400" s="26" t="str">
        <f>HYPERLINK("https://audio.iskcondesiretree.com/02_-_ISKCON_Swamis/ISKCON_Swamis_-_R_to_Y/His_Holiness_Radhanath_Swami/Lectures/00_-_Year_wise/Devotional_Nectar_-_2009/2009-02-04_SB_07-13-29_-_Winning_the_Game_of_Life_-_Radhanath_Swami.mp3", "2009-02-04_SB_07-13-29_-_Winning_the_Game_of_Life_-_Radhanath_Swami.mp3")</f>
        <v>2009-02-04_SB_07-13-29_-_Winning_the_Game_of_Life_-_Radhanath_Swami.mp3</v>
      </c>
      <c r="D2400" s="24"/>
      <c r="E2400" s="24"/>
    </row>
    <row r="2401">
      <c r="A2401" s="25" t="s">
        <v>18352</v>
      </c>
      <c r="B2401" s="25" t="s">
        <v>18373</v>
      </c>
      <c r="C2401" s="26" t="str">
        <f>HYPERLINK("https://audio.iskcondesiretree.com/02_-_ISKCON_Swamis/ISKCON_Swamis_-_R_to_Y/His_Holiness_Radhanath_Swami/Lectures/00_-_Year_wise/Devotional_Nectar_-_2009/2009-02-07_Festivals_-_Unity_by_Focusing_on_Essence_-_Radhanath_Swami_Mumbai.mp3", "2009-02-07_Festivals_-_Unity_by_Focusing_on_Essence_-_Radhanath_Swami_Mumbai.mp3")</f>
        <v>2009-02-07_Festivals_-_Unity_by_Focusing_on_Essence_-_Radhanath_Swami_Mumbai.mp3</v>
      </c>
      <c r="D2401" s="24"/>
      <c r="E2401" s="24"/>
    </row>
    <row r="2402">
      <c r="A2402" s="25" t="s">
        <v>18352</v>
      </c>
      <c r="B2402" s="25" t="s">
        <v>18373</v>
      </c>
      <c r="C2402" s="26" t="str">
        <f>HYPERLINK("https://audio.iskcondesiretree.com/02_-_ISKCON_Swamis/ISKCON_Swamis_-_R_to_Y/His_Holiness_Radhanath_Swami/Lectures/00_-_Year_wise/Devotional_Nectar_-_2009/2009-03-07_Various_-_In_Search_for_Krishna_-_Radhanath_Swami_MumbaiQA.mp3", "2009-03-07_Various_-_In_Search_for_Krishna_-_Radhanath_Swami_MumbaiQA.mp3")</f>
        <v>2009-03-07_Various_-_In_Search_for_Krishna_-_Radhanath_Swami_MumbaiQA.mp3</v>
      </c>
      <c r="D2402" s="24"/>
      <c r="E2402" s="24"/>
    </row>
    <row r="2403">
      <c r="A2403" s="25" t="s">
        <v>18352</v>
      </c>
      <c r="B2403" s="25" t="s">
        <v>18373</v>
      </c>
      <c r="C2403" s="26" t="str">
        <f>HYPERLINK("https://audio.iskcondesiretree.com/02_-_ISKCON_Swamis/ISKCON_Swamis_-_R_to_Y/His_Holiness_Radhanath_Swami/Lectures/00_-_Year_wise/Devotional_Nectar_-_2009/2009-03-11_CC_Adi_Lila_17-32_-_Proper_Mood_for_Chanting_Hare_Krishna_-_Radhanath_Swami.mp3", "2009-03-11_CC_Adi_Lila_17-32_-_Proper_Mood_for_Chanting_Hare_Krishna_-_Radhanath_Swami.mp3")</f>
        <v>2009-03-11_CC_Adi_Lila_17-32_-_Proper_Mood_for_Chanting_Hare_Krishna_-_Radhanath_Swami.mp3</v>
      </c>
      <c r="D2403" s="24"/>
      <c r="E2403" s="24"/>
    </row>
    <row r="2404">
      <c r="A2404" s="25" t="s">
        <v>18352</v>
      </c>
      <c r="B2404" s="25" t="s">
        <v>18373</v>
      </c>
      <c r="C2404" s="26" t="str">
        <f>HYPERLINK("https://audio.iskcondesiretree.com/02_-_ISKCON_Swamis/ISKCON_Swamis_-_R_to_Y/His_Holiness_Radhanath_Swami/Lectures/00_-_Year_wise/Devotional_Nectar_-_2009/2009-03-11_Festivals_-_Gaura_Poornima_-_Radhanath_Swami.mp3", "2009-03-11_Festivals_-_Gaura_Poornima_-_Radhanath_Swami.mp3")</f>
        <v>2009-03-11_Festivals_-_Gaura_Poornima_-_Radhanath_Swami.mp3</v>
      </c>
      <c r="D2404" s="24"/>
      <c r="E2404" s="24"/>
    </row>
    <row r="2405">
      <c r="A2405" s="25" t="s">
        <v>18352</v>
      </c>
      <c r="B2405" s="25" t="s">
        <v>18373</v>
      </c>
      <c r="C2405" s="26" t="str">
        <f>HYPERLINK("https://audio.iskcondesiretree.com/02_-_ISKCON_Swamis/ISKCON_Swamis_-_R_to_Y/His_Holiness_Radhanath_Swami/Lectures/00_-_Year_wise/Devotional_Nectar_-_2009/2009-03-11_Festivals_-_Gaura_Purnima_-_Radhanath_Swami.mp3", "2009-03-11_Festivals_-_Gaura_Purnima_-_Radhanath_Swami.mp3")</f>
        <v>2009-03-11_Festivals_-_Gaura_Purnima_-_Radhanath_Swami.mp3</v>
      </c>
      <c r="D2405" s="24"/>
      <c r="E2405" s="24"/>
    </row>
    <row r="2406">
      <c r="A2406" s="25" t="s">
        <v>18352</v>
      </c>
      <c r="B2406" s="25" t="s">
        <v>18373</v>
      </c>
      <c r="C2406" s="26" t="str">
        <f>HYPERLINK("https://audio.iskcondesiretree.com/02_-_ISKCON_Swamis/ISKCON_Swamis_-_R_to_Y/His_Holiness_Radhanath_Swami/Lectures/00_-_Year_wise/Devotional_Nectar_-_2009/2009-03-11_Various_-_Sannyasa_Initiation_of_Jagat_Cakshu_Prabhu_-_Radhanath_Swami_Mumbai.mp3", "2009-03-11_Various_-_Sannyasa_Initiation_of_Jagat_Cakshu_Prabhu_-_Radhanath_Swami_Mumbai.mp3")</f>
        <v>2009-03-11_Various_-_Sannyasa_Initiation_of_Jagat_Cakshu_Prabhu_-_Radhanath_Swami_Mumbai.mp3</v>
      </c>
      <c r="D2406" s="24"/>
      <c r="E2406" s="24"/>
    </row>
    <row r="2407">
      <c r="A2407" s="25" t="s">
        <v>18352</v>
      </c>
      <c r="B2407" s="25" t="s">
        <v>18373</v>
      </c>
      <c r="C2407" s="26" t="str">
        <f>HYPERLINK("https://audio.iskcondesiretree.com/02_-_ISKCON_Swamis/ISKCON_Swamis_-_R_to_Y/His_Holiness_Radhanath_Swami/Lectures/00_-_Year_wise/Devotional_Nectar_-_2009/2009-03-14_Various_-_Power_of_Blesssings_-_Radhanath_Swami.mp3", "2009-03-14_Various_-_Power_of_Blesssings_-_Radhanath_Swami.mp3")</f>
        <v>2009-03-14_Various_-_Power_of_Blesssings_-_Radhanath_Swami.mp3</v>
      </c>
      <c r="D2407" s="24"/>
      <c r="E2407" s="24"/>
    </row>
    <row r="2408">
      <c r="A2408" s="25" t="s">
        <v>18352</v>
      </c>
      <c r="B2408" s="25" t="s">
        <v>18373</v>
      </c>
      <c r="C2408" s="26" t="str">
        <f>HYPERLINK("https://audio.iskcondesiretree.com/02_-_ISKCON_Swamis/ISKCON_Swamis_-_R_to_Y/His_Holiness_Radhanath_Swami/Lectures/00_-_Year_wise/Devotional_Nectar_-_2009/2009-03-22_Baffled_In_Casino_Of_Maya_SB07-13-30_ISKCON_Chowpatty_-_Radhanath_Swami_IDesireTree.mp3", "2009-03-22_Baffled_In_Casino_Of_Maya_SB07-13-30_ISKCON_Chowpatty_-_Radhanath_Swami_IDesireTree.mp3")</f>
        <v>2009-03-22_Baffled_In_Casino_Of_Maya_SB07-13-30_ISKCON_Chowpatty_-_Radhanath_Swami_IDesireTree.mp3</v>
      </c>
      <c r="D2408" s="24"/>
      <c r="E2408" s="24"/>
    </row>
    <row r="2409">
      <c r="A2409" s="25" t="s">
        <v>18352</v>
      </c>
      <c r="B2409" s="25" t="s">
        <v>18373</v>
      </c>
      <c r="C2409" s="26" t="str">
        <f>HYPERLINK("https://audio.iskcondesiretree.com/02_-_ISKCON_Swamis/ISKCON_Swamis_-_R_to_Y/His_Holiness_Radhanath_Swami/Lectures/00_-_Year_wise/Devotional_Nectar_-_2009/2009-03-25_Glories_of_Jayapataka_Swami_-_Radhanath_Sw_Bhaktivedanta_Manor.mp3", "2009-03-25_Glories_of_Jayapataka_Swami_-_Radhanath_Sw_Bhaktivedanta_Manor.mp3")</f>
        <v>2009-03-25_Glories_of_Jayapataka_Swami_-_Radhanath_Sw_Bhaktivedanta_Manor.mp3</v>
      </c>
      <c r="D2409" s="24"/>
      <c r="E2409" s="24"/>
    </row>
    <row r="2410">
      <c r="A2410" s="25" t="s">
        <v>18352</v>
      </c>
      <c r="B2410" s="25" t="s">
        <v>18373</v>
      </c>
      <c r="C2410" s="26" t="str">
        <f>HYPERLINK("https://audio.iskcondesiretree.com/02_-_ISKCON_Swamis/ISKCON_Swamis_-_R_to_Y/His_Holiness_Radhanath_Swami/Lectures/00_-_Year_wise/Devotional_Nectar_-_2009/2009-08-05_Lord_Balaram_App_Day_-_Bhaktivedanta_Manor.mp3", "2009-08-05_Lord_Balaram_App_Day_-_Bhaktivedanta_Manor.mp3")</f>
        <v>2009-08-05_Lord_Balaram_App_Day_-_Bhaktivedanta_Manor.mp3</v>
      </c>
      <c r="D2410" s="24"/>
      <c r="E2410" s="24"/>
    </row>
    <row r="2411">
      <c r="A2411" s="25" t="s">
        <v>18352</v>
      </c>
      <c r="B2411" s="25" t="s">
        <v>18373</v>
      </c>
      <c r="C2411" s="26" t="str">
        <f>HYPERLINK("https://audio.iskcondesiretree.com/02_-_ISKCON_Swamis/ISKCON_Swamis_-_R_to_Y/His_Holiness_Radhanath_Swami/Lectures/00_-_Year_wise/Devotional_Nectar_-_2009/2009-08-05_Lord_Balaram_App_Day_-_Radhanath_Swami_Bhaktivedanta_Manor.mp3", "2009-08-05_Lord_Balaram_App_Day_-_Radhanath_Swami_Bhaktivedanta_Manor.mp3")</f>
        <v>2009-08-05_Lord_Balaram_App_Day_-_Radhanath_Swami_Bhaktivedanta_Manor.mp3</v>
      </c>
      <c r="D2411" s="24"/>
      <c r="E2411" s="24"/>
    </row>
    <row r="2412">
      <c r="A2412" s="25" t="s">
        <v>18352</v>
      </c>
      <c r="B2412" s="25" t="s">
        <v>18373</v>
      </c>
      <c r="C2412" s="26" t="str">
        <f>HYPERLINK("https://audio.iskcondesiretree.com/02_-_ISKCON_Swamis/ISKCON_Swamis_-_R_to_Y/His_Holiness_Radhanath_Swami/Lectures/00_-_Year_wise/Devotional_Nectar_-_2009/2009-08-09_Sunday_Feast_Hare_Krishna_Kirtan_ISKCON_Chowpatty_-_Radhanath_Swami_IDesireTree.mp3", "2009-08-09_Sunday_Feast_Hare_Krishna_Kirtan_ISKCON_Chowpatty_-_Radhanath_Swami_IDesireTree.mp3")</f>
        <v>2009-08-09_Sunday_Feast_Hare_Krishna_Kirtan_ISKCON_Chowpatty_-_Radhanath_Swami_IDesireTree.mp3</v>
      </c>
      <c r="D2412" s="24"/>
      <c r="E2412" s="24"/>
    </row>
    <row r="2413">
      <c r="A2413" s="25" t="s">
        <v>18352</v>
      </c>
      <c r="B2413" s="25" t="s">
        <v>18373</v>
      </c>
      <c r="C2413" s="26" t="str">
        <f>HYPERLINK("https://audio.iskcondesiretree.com/02_-_ISKCON_Swamis/ISKCON_Swamis_-_R_to_Y/His_Holiness_Radhanath_Swami/Lectures/00_-_Year_wise/Devotional_Nectar_-_2009/2009-08-14_SB_10-03-27_-_Fulfilling_the_reason_for_Krishna%27s_Appearance_-_Radhanath_Swami.mp3", "2009-08-14_SB_10-03-27_-_Fulfilling_the_reason_for_Krishna%27s_Appearance_-_Radhanath_Swami.mp3")</f>
        <v>2009-08-14_SB_10-03-27_-_Fulfilling_the_reason_for_Krishna%27s_Appearance_-_Radhanath_Swami.mp3</v>
      </c>
      <c r="D2413" s="24"/>
      <c r="E2413" s="24"/>
    </row>
    <row r="2414">
      <c r="A2414" s="25" t="s">
        <v>18352</v>
      </c>
      <c r="B2414" s="25" t="s">
        <v>18373</v>
      </c>
      <c r="C2414" s="26" t="str">
        <f>HYPERLINK("https://audio.iskcondesiretree.com/02_-_ISKCON_Swamis/ISKCON_Swamis_-_R_to_Y/His_Holiness_Radhanath_Swami/Lectures/00_-_Year_wise/Devotional_Nectar_-_2009/2009-08-22_The_Only_Secure_Investment_SB-08-02-33_ISKCON_Chowpatty_-_Radhanath_Swami_IDesireTree.mp3", "2009-08-22_The_Only_Secure_Investment_SB-08-02-33_ISKCON_Chowpatty_-_Radhanath_Swami_IDesireTree.mp3")</f>
        <v>2009-08-22_The_Only_Secure_Investment_SB-08-02-33_ISKCON_Chowpatty_-_Radhanath_Swami_IDesireTree.mp3</v>
      </c>
      <c r="D2414" s="24"/>
      <c r="E2414" s="24"/>
    </row>
    <row r="2415">
      <c r="A2415" s="25" t="s">
        <v>18352</v>
      </c>
      <c r="B2415" s="25" t="s">
        <v>18373</v>
      </c>
      <c r="C2415" s="26" t="str">
        <f>HYPERLINK("https://audio.iskcondesiretree.com/02_-_ISKCON_Swamis/ISKCON_Swamis_-_R_to_Y/His_Holiness_Radhanath_Swami/Lectures/00_-_Year_wise/Devotional_Nectar_-_2009/2009-08-23_Krishna_Is_Always_Grateful_SB-08-03-01_ISKCON_Chowpatty_-_Radhanath_Swami_IDesireTree.mp3", "2009-08-23_Krishna_Is_Always_Grateful_SB-08-03-01_ISKCON_Chowpatty_-_Radhanath_Swami_IDesireTree.mp3")</f>
        <v>2009-08-23_Krishna_Is_Always_Grateful_SB-08-03-01_ISKCON_Chowpatty_-_Radhanath_Swami_IDesireTree.mp3</v>
      </c>
      <c r="D2415" s="24"/>
      <c r="E2415" s="24"/>
    </row>
    <row r="2416">
      <c r="A2416" s="25" t="s">
        <v>18352</v>
      </c>
      <c r="B2416" s="25" t="s">
        <v>18373</v>
      </c>
      <c r="C2416" s="26" t="str">
        <f>HYPERLINK("https://audio.iskcondesiretree.com/02_-_ISKCON_Swamis/ISKCON_Swamis_-_R_to_Y/His_Holiness_Radhanath_Swami/Lectures/00_-_Year_wise/Devotional_Nectar_-_2009/2009-08-26_Various_-_Prerna-The_Journey_Home_-_Radhanath_Swami_Mumbai.mp3", "2009-08-26_Various_-_Prerna-The_Journey_Home_-_Radhanath_Swami_Mumbai.mp3")</f>
        <v>2009-08-26_Various_-_Prerna-The_Journey_Home_-_Radhanath_Swami_Mumbai.mp3</v>
      </c>
      <c r="D2416" s="24"/>
      <c r="E2416" s="24"/>
    </row>
    <row r="2417">
      <c r="A2417" s="25" t="s">
        <v>18352</v>
      </c>
      <c r="B2417" s="25" t="s">
        <v>18373</v>
      </c>
      <c r="C2417" s="26" t="str">
        <f>HYPERLINK("https://audio.iskcondesiretree.com/02_-_ISKCON_Swamis/ISKCON_Swamis_-_R_to_Y/His_Holiness_Radhanath_Swami/Lectures/00_-_Year_wise/Devotional_Nectar_-_2009/2009-08-27_Festivals_-_Radhastami-Glories_of_Srimati_Radharani_-_Radhanath_Swami_Mumbai.mp3", "2009-08-27_Festivals_-_Radhastami-Glories_of_Srimati_Radharani_-_Radhanath_Swami_Mumbai.mp3")</f>
        <v>2009-08-27_Festivals_-_Radhastami-Glories_of_Srimati_Radharani_-_Radhanath_Swami_Mumbai.mp3</v>
      </c>
      <c r="D2417" s="24"/>
      <c r="E2417" s="24"/>
    </row>
    <row r="2418">
      <c r="A2418" s="25" t="s">
        <v>18352</v>
      </c>
      <c r="B2418" s="25" t="s">
        <v>18373</v>
      </c>
      <c r="C2418" s="26" t="str">
        <f>HYPERLINK("https://audio.iskcondesiretree.com/02_-_ISKCON_Swamis/ISKCON_Swamis_-_R_to_Y/His_Holiness_Radhanath_Swami/Lectures/00_-_Year_wise/Devotional_Nectar_-_2009/2009-08-30_SB_08-03-06_-_Forgetting_Krishna_the_Greatest_Crisis_-_Radhanath_Swami.mp3", "2009-08-30_SB_08-03-06_-_Forgetting_Krishna_the_Greatest_Crisis_-_Radhanath_Swami.mp3")</f>
        <v>2009-08-30_SB_08-03-06_-_Forgetting_Krishna_the_Greatest_Crisis_-_Radhanath_Swami.mp3</v>
      </c>
      <c r="D2418" s="24"/>
      <c r="E2418" s="24"/>
    </row>
    <row r="2419">
      <c r="A2419" s="25" t="s">
        <v>18352</v>
      </c>
      <c r="B2419" s="25" t="s">
        <v>18373</v>
      </c>
      <c r="C2419" s="26" t="str">
        <f>HYPERLINK("https://audio.iskcondesiretree.com/02_-_ISKCON_Swamis/ISKCON_Swamis_-_R_to_Y/His_Holiness_Radhanath_Swami/Lectures/00_-_Year_wise/Devotional_Nectar_-_2009/2009-09-06_Various_-_Sunday_Feast-Haridasa_Thakura%27s_Glorious_Passing_Away_-_Radhanath_Swami_Mumba"&amp;"i.mp3", "2009-09-06_Various_-_Sunday_Feast-Haridasa_Thakura%27s_Glorious_Passing_Away_-_Radhanath_Swami_Mumbai.mp3")</f>
        <v>2009-09-06_Various_-_Sunday_Feast-Haridasa_Thakura%27s_Glorious_Passing_Away_-_Radhanath_Swami_Mumbai.mp3</v>
      </c>
      <c r="D2419" s="24"/>
      <c r="E2419" s="24"/>
    </row>
    <row r="2420">
      <c r="A2420" s="25" t="s">
        <v>18352</v>
      </c>
      <c r="B2420" s="25" t="s">
        <v>18373</v>
      </c>
      <c r="C2420" s="26" t="str">
        <f>HYPERLINK("https://audio.iskcondesiretree.com/02_-_ISKCON_Swamis/ISKCON_Swamis_-_R_to_Y/His_Holiness_Radhanath_Swami/Lectures/00_-_Year_wise/Devotional_Nectar_-_2009/2009-09-09_Evening_class_-_Prabhupadadesh_Italy_-_Radhanath_Swami.mp3", "2009-09-09_Evening_class_-_Prabhupadadesh_Italy_-_Radhanath_Swami.mp3")</f>
        <v>2009-09-09_Evening_class_-_Prabhupadadesh_Italy_-_Radhanath_Swami.mp3</v>
      </c>
      <c r="D2420" s="24"/>
      <c r="E2420" s="24"/>
    </row>
    <row r="2421">
      <c r="A2421" s="25" t="s">
        <v>18352</v>
      </c>
      <c r="B2421" s="25" t="s">
        <v>18373</v>
      </c>
      <c r="C2421" s="26" t="str">
        <f>HYPERLINK("https://audio.iskcondesiretree.com/02_-_ISKCON_Swamis/ISKCON_Swamis_-_R_to_Y/His_Holiness_Radhanath_Swami/Lectures/00_-_Year_wise/Devotional_Nectar_-_2009/2009-09-10_Public_program_-_Bologna_Italy_-_Radhanath_Swami.mp3", "2009-09-10_Public_program_-_Bologna_Italy_-_Radhanath_Swami.mp3")</f>
        <v>2009-09-10_Public_program_-_Bologna_Italy_-_Radhanath_Swami.mp3</v>
      </c>
      <c r="D2421" s="24"/>
      <c r="E2421" s="24"/>
    </row>
    <row r="2422">
      <c r="A2422" s="25" t="s">
        <v>18352</v>
      </c>
      <c r="B2422" s="25" t="s">
        <v>18373</v>
      </c>
      <c r="C2422" s="26" t="str">
        <f>HYPERLINK("https://audio.iskcondesiretree.com/02_-_ISKCON_Swamis/ISKCON_Swamis_-_R_to_Y/His_Holiness_Radhanath_Swami/Lectures/00_-_Year_wise/Devotional_Nectar_-_2009/2009-09-10_SB_03-18-15_-_Prabhupadadesh_Italy_-_Radhanath_Swami.mp3", "2009-09-10_SB_03-18-15_-_Prabhupadadesh_Italy_-_Radhanath_Swami.mp3")</f>
        <v>2009-09-10_SB_03-18-15_-_Prabhupadadesh_Italy_-_Radhanath_Swami.mp3</v>
      </c>
      <c r="D2422" s="24"/>
      <c r="E2422" s="24"/>
    </row>
    <row r="2423">
      <c r="A2423" s="25" t="s">
        <v>18352</v>
      </c>
      <c r="B2423" s="25" t="s">
        <v>18373</v>
      </c>
      <c r="C2423" s="26" t="str">
        <f>HYPERLINK("https://audio.iskcondesiretree.com/02_-_ISKCON_Swamis/ISKCON_Swamis_-_R_to_Y/His_Holiness_Radhanath_Swami/Lectures/00_-_Year_wise/Devotional_Nectar_-_2009/2009-09-11_How_prabhupada%27s_hardships_for_us_-_Prabhupadadesh_Italy_-_Radhanath_Swami.mp3", "2009-09-11_How_prabhupada%27s_hardships_for_us_-_Prabhupadadesh_Italy_-_Radhanath_Swami.mp3")</f>
        <v>2009-09-11_How_prabhupada%27s_hardships_for_us_-_Prabhupadadesh_Italy_-_Radhanath_Swami.mp3</v>
      </c>
      <c r="D2423" s="24"/>
      <c r="E2423" s="24"/>
    </row>
    <row r="2424">
      <c r="A2424" s="25" t="s">
        <v>18352</v>
      </c>
      <c r="B2424" s="25" t="s">
        <v>18373</v>
      </c>
      <c r="C2424" s="26" t="str">
        <f>HYPERLINK("https://audio.iskcondesiretree.com/02_-_ISKCON_Swamis/ISKCON_Swamis_-_R_to_Y/His_Holiness_Radhanath_Swami/Lectures/00_-_Year_wise/Devotional_Nectar_-_2009/2009-09-12_Initiation_lecture_-_Prabhupadadesh_Italy_-_Radhanath_Swami.mp3", "2009-09-12_Initiation_lecture_-_Prabhupadadesh_Italy_-_Radhanath_Swami.mp3")</f>
        <v>2009-09-12_Initiation_lecture_-_Prabhupadadesh_Italy_-_Radhanath_Swami.mp3</v>
      </c>
      <c r="D2424" s="24"/>
      <c r="E2424" s="24"/>
    </row>
    <row r="2425">
      <c r="A2425" s="25" t="s">
        <v>18352</v>
      </c>
      <c r="B2425" s="25" t="s">
        <v>18373</v>
      </c>
      <c r="C2425" s="26" t="str">
        <f>HYPERLINK("https://audio.iskcondesiretree.com/02_-_ISKCON_Swamis/ISKCON_Swamis_-_R_to_Y/His_Holiness_Radhanath_Swami/Lectures/00_-_Year_wise/Devotional_Nectar_-_2009/2009-09-12_Wedding_lecture_-_Prabhupadadesh_Italy_-_Radhanath_Swami.mp3", "2009-09-12_Wedding_lecture_-_Prabhupadadesh_Italy_-_Radhanath_Swami.mp3")</f>
        <v>2009-09-12_Wedding_lecture_-_Prabhupadadesh_Italy_-_Radhanath_Swami.mp3</v>
      </c>
      <c r="D2425" s="24"/>
      <c r="E2425" s="24"/>
    </row>
    <row r="2426">
      <c r="A2426" s="25" t="s">
        <v>18352</v>
      </c>
      <c r="B2426" s="25" t="s">
        <v>18373</v>
      </c>
      <c r="C2426" s="26" t="str">
        <f>HYPERLINK("https://audio.iskcondesiretree.com/02_-_ISKCON_Swamis/ISKCON_Swamis_-_R_to_Y/His_Holiness_Radhanath_Swami/Lectures/00_-_Year_wise/Devotional_Nectar_-_2009/2009-09-13_BG_02-22_-_Villagio_hare_krishna_-_Italy_-_Radhanath_Swami.mp3", "2009-09-13_BG_02-22_-_Villagio_hare_krishna_-_Italy_-_Radhanath_Swami.mp3")</f>
        <v>2009-09-13_BG_02-22_-_Villagio_hare_krishna_-_Italy_-_Radhanath_Swami.mp3</v>
      </c>
      <c r="D2426" s="24"/>
      <c r="E2426" s="24"/>
    </row>
    <row r="2427">
      <c r="A2427" s="25" t="s">
        <v>18352</v>
      </c>
      <c r="B2427" s="25" t="s">
        <v>18373</v>
      </c>
      <c r="C2427" s="26" t="str">
        <f>HYPERLINK("https://audio.iskcondesiretree.com/02_-_ISKCON_Swamis/ISKCON_Swamis_-_R_to_Y/His_Holiness_Radhanath_Swami/Lectures/00_-_Year_wise/Devotional_Nectar_-_2009/2009-09-13_Departure_lecture_-_Prabhupadadesh_Italy_-_Radhanath_Swami.mp3", "2009-09-13_Departure_lecture_-_Prabhupadadesh_Italy_-_Radhanath_Swami.mp3")</f>
        <v>2009-09-13_Departure_lecture_-_Prabhupadadesh_Italy_-_Radhanath_Swami.mp3</v>
      </c>
      <c r="D2427" s="24"/>
      <c r="E2427" s="24"/>
    </row>
    <row r="2428">
      <c r="A2428" s="25" t="s">
        <v>18352</v>
      </c>
      <c r="B2428" s="25" t="s">
        <v>18373</v>
      </c>
      <c r="C2428" s="26" t="str">
        <f>HYPERLINK("https://audio.iskcondesiretree.com/02_-_ISKCON_Swamis/ISKCON_Swamis_-_R_to_Y/His_Holiness_Radhanath_Swami/Lectures/00_-_Year_wise/Devotional_Nectar_-_2009/2009-09-25_Various_-_House_Program-Personify_a_universal_teaching_-_Radhanath_Sw_Mumbai.mp3", "2009-09-25_Various_-_House_Program-Personify_a_universal_teaching_-_Radhanath_Sw_Mumbai.mp3")</f>
        <v>2009-09-25_Various_-_House_Program-Personify_a_universal_teaching_-_Radhanath_Sw_Mumbai.mp3</v>
      </c>
      <c r="D2428" s="24"/>
      <c r="E2428" s="24"/>
    </row>
    <row r="2429">
      <c r="A2429" s="25" t="s">
        <v>18352</v>
      </c>
      <c r="B2429" s="25" t="s">
        <v>18373</v>
      </c>
      <c r="C2429" s="26" t="str">
        <f>HYPERLINK("https://audio.iskcondesiretree.com/02_-_ISKCON_Swamis/ISKCON_Swamis_-_R_to_Y/His_Holiness_Radhanath_Swami/Lectures/00_-_Year_wise/Devotional_Nectar_-_2009/2009-09-25_Various_-_House_Program-Personify_a_universal_teaching_-_Radhanath_Swami_Mumbai.mp3", "2009-09-25_Various_-_House_Program-Personify_a_universal_teaching_-_Radhanath_Swami_Mumbai.mp3")</f>
        <v>2009-09-25_Various_-_House_Program-Personify_a_universal_teaching_-_Radhanath_Swami_Mumbai.mp3</v>
      </c>
      <c r="D2429" s="24"/>
      <c r="E2429" s="24"/>
    </row>
    <row r="2430">
      <c r="A2430" s="25" t="s">
        <v>18352</v>
      </c>
      <c r="B2430" s="25" t="s">
        <v>18373</v>
      </c>
      <c r="C2430" s="26" t="str">
        <f>HYPERLINK("https://audio.iskcondesiretree.com/02_-_ISKCON_Swamis/ISKCON_Swamis_-_R_to_Y/His_Holiness_Radhanath_Swami/Lectures/00_-_Year_wise/Devotional_Nectar_-_2009/2009-09-28_Dusherra_Lecture_-_Glories_Of_Lord_Ramachandra_-_Radhanath_Swami_ISKCON_Chowpatty.mp3", "2009-09-28_Dusherra_Lecture_-_Glories_Of_Lord_Ramachandra_-_Radhanath_Swami_ISKCON_Chowpatty.mp3")</f>
        <v>2009-09-28_Dusherra_Lecture_-_Glories_Of_Lord_Ramachandra_-_Radhanath_Swami_ISKCON_Chowpatty.mp3</v>
      </c>
      <c r="D2430" s="24"/>
      <c r="E2430" s="24"/>
    </row>
    <row r="2431">
      <c r="A2431" s="25" t="s">
        <v>18352</v>
      </c>
      <c r="B2431" s="25" t="s">
        <v>18373</v>
      </c>
      <c r="C2431" s="26" t="str">
        <f>HYPERLINK("https://audio.iskcondesiretree.com/02_-_ISKCON_Swamis/ISKCON_Swamis_-_R_to_Y/His_Holiness_Radhanath_Swami/Lectures/00_-_Year_wise/Devotional_Nectar_-_2009/2009-10-04_Sunday_Feast_-_Sharad_Purnima_Lecture_-_Radhanath_Swami_ISKCON_Chowpatty.mp3", "2009-10-04_Sunday_Feast_-_Sharad_Purnima_Lecture_-_Radhanath_Swami_ISKCON_Chowpatty.mp3")</f>
        <v>2009-10-04_Sunday_Feast_-_Sharad_Purnima_Lecture_-_Radhanath_Swami_ISKCON_Chowpatty.mp3</v>
      </c>
      <c r="D2431" s="24"/>
      <c r="E2431" s="24"/>
    </row>
    <row r="2432">
      <c r="A2432" s="25" t="s">
        <v>18352</v>
      </c>
      <c r="B2432" s="25" t="s">
        <v>18373</v>
      </c>
      <c r="C2432" s="26" t="str">
        <f>HYPERLINK("https://audio.iskcondesiretree.com/02_-_ISKCON_Swamis/ISKCON_Swamis_-_R_to_Y/His_Holiness_Radhanath_Swami/Lectures/00_-_Year_wise/Devotional_Nectar_-_2009/2009-10-05_Various_-_Marriage_Address_to_Yoga_Group_-_Radhanath_Sw_Mumbai.mp3", "2009-10-05_Various_-_Marriage_Address_to_Yoga_Group_-_Radhanath_Sw_Mumbai.mp3")</f>
        <v>2009-10-05_Various_-_Marriage_Address_to_Yoga_Group_-_Radhanath_Sw_Mumbai.mp3</v>
      </c>
      <c r="D2432" s="24"/>
      <c r="E2432" s="24"/>
    </row>
    <row r="2433">
      <c r="A2433" s="25" t="s">
        <v>18352</v>
      </c>
      <c r="B2433" s="25" t="s">
        <v>18373</v>
      </c>
      <c r="C2433" s="26" t="str">
        <f>HYPERLINK("https://audio.iskcondesiretree.com/02_-_ISKCON_Swamis/ISKCON_Swamis_-_R_to_Y/His_Holiness_Radhanath_Swami/Lectures/00_-_Year_wise/Devotional_Nectar_-_2009/2009-10-05_Various_-_Marriage_Address_to_Yoga_Group_-_Radhanath_Swami_Mumbai.mp3", "2009-10-05_Various_-_Marriage_Address_to_Yoga_Group_-_Radhanath_Swami_Mumbai.mp3")</f>
        <v>2009-10-05_Various_-_Marriage_Address_to_Yoga_Group_-_Radhanath_Swami_Mumbai.mp3</v>
      </c>
      <c r="D2433" s="24"/>
      <c r="E2433" s="24"/>
    </row>
    <row r="2434">
      <c r="A2434" s="25" t="s">
        <v>18352</v>
      </c>
      <c r="B2434" s="25" t="s">
        <v>18373</v>
      </c>
      <c r="C2434" s="26" t="str">
        <f>HYPERLINK("https://audio.iskcondesiretree.com/02_-_ISKCON_Swamis/ISKCON_Swamis_-_R_to_Y/His_Holiness_Radhanath_Swami/Lectures/00_-_Year_wise/Devotional_Nectar_-_2009/2009-10-10_Festivals_-_Ratha_Yatra-Loving_Krishna_includes_Loving_Everyone_-_Radhanath_Sw_Juhu.mp3", "2009-10-10_Festivals_-_Ratha_Yatra-Loving_Krishna_includes_Loving_Everyone_-_Radhanath_Sw_Juhu.mp3")</f>
        <v>2009-10-10_Festivals_-_Ratha_Yatra-Loving_Krishna_includes_Loving_Everyone_-_Radhanath_Sw_Juhu.mp3</v>
      </c>
      <c r="D2434" s="24"/>
      <c r="E2434" s="24"/>
    </row>
    <row r="2435">
      <c r="A2435" s="25" t="s">
        <v>18352</v>
      </c>
      <c r="B2435" s="25" t="s">
        <v>18373</v>
      </c>
      <c r="C2435" s="26" t="str">
        <f>HYPERLINK("https://audio.iskcondesiretree.com/02_-_ISKCON_Swamis/ISKCON_Swamis_-_R_to_Y/His_Holiness_Radhanath_Swami/Lectures/00_-_Year_wise/Devotional_Nectar_-_2009/2009-10-28_-_Bodhi_Tree_Lecture.mp3", "2009-10-28_-_Bodhi_Tree_Lecture.mp3")</f>
        <v>2009-10-28_-_Bodhi_Tree_Lecture.mp3</v>
      </c>
      <c r="D2435" s="24"/>
      <c r="E2435" s="24"/>
    </row>
    <row r="2436">
      <c r="A2436" s="25" t="s">
        <v>18352</v>
      </c>
      <c r="B2436" s="25" t="s">
        <v>18373</v>
      </c>
      <c r="C2436" s="26" t="str">
        <f>HYPERLINK("https://audio.iskcondesiretree.com/02_-_ISKCON_Swamis/ISKCON_Swamis_-_R_to_Y/His_Holiness_Radhanath_Swami/Lectures/00_-_Year_wise/Devotional_Nectar_-_2009/2009-10-29_Bhariti_Ganguly_prg_-_Kolkata_-_Radhanath_Swami_IDesireTree.mp3", "2009-10-29_Bhariti_Ganguly_prg_-_Kolkata_-_Radhanath_Swami_IDesireTree.mp3")</f>
        <v>2009-10-29_Bhariti_Ganguly_prg_-_Kolkata_-_Radhanath_Swami_IDesireTree.mp3</v>
      </c>
      <c r="D2436" s="24"/>
      <c r="E2436" s="24"/>
    </row>
    <row r="2437">
      <c r="A2437" s="25" t="s">
        <v>18352</v>
      </c>
      <c r="B2437" s="25" t="s">
        <v>18373</v>
      </c>
      <c r="C2437" s="26" t="str">
        <f>HYPERLINK("https://audio.iskcondesiretree.com/02_-_ISKCON_Swamis/ISKCON_Swamis_-_R_to_Y/His_Holiness_Radhanath_Swami/Lectures/00_-_Year_wise/Devotional_Nectar_-_2009/2009-10-30_Crossword_talk_-_Kolkata_-_Radhanath_Swami_IDesireTree.mp3", "2009-10-30_Crossword_talk_-_Kolkata_-_Radhanath_Swami_IDesireTree.mp3")</f>
        <v>2009-10-30_Crossword_talk_-_Kolkata_-_Radhanath_Swami_IDesireTree.mp3</v>
      </c>
      <c r="D2437" s="24"/>
      <c r="E2437" s="24"/>
    </row>
    <row r="2438">
      <c r="A2438" s="25" t="s">
        <v>18352</v>
      </c>
      <c r="B2438" s="25" t="s">
        <v>18373</v>
      </c>
      <c r="C2438" s="26" t="str">
        <f>HYPERLINK("https://audio.iskcondesiretree.com/02_-_ISKCON_Swamis/ISKCON_Swamis_-_R_to_Y/His_Holiness_Radhanath_Swami/Lectures/00_-_Year_wise/Devotional_Nectar_-_2009/2009-10-30_Gorenka_House_Prg_-_Kolkata_-_Radhanath_Swami_IDesireTree.mp3", "2009-10-30_Gorenka_House_Prg_-_Kolkata_-_Radhanath_Swami_IDesireTree.mp3")</f>
        <v>2009-10-30_Gorenka_House_Prg_-_Kolkata_-_Radhanath_Swami_IDesireTree.mp3</v>
      </c>
      <c r="D2438" s="24"/>
      <c r="E2438" s="24"/>
    </row>
    <row r="2439">
      <c r="A2439" s="25" t="s">
        <v>18352</v>
      </c>
      <c r="B2439" s="25" t="s">
        <v>18373</v>
      </c>
      <c r="C2439" s="26" t="str">
        <f>HYPERLINK("https://audio.iskcondesiretree.com/02_-_ISKCON_Swamis/ISKCON_Swamis_-_R_to_Y/His_Holiness_Radhanath_Swami/Lectures/00_-_Year_wise/Devotional_Nectar_-_2009/2009-10-30_SB_04-21-01_-_Kolkata_-_Radhanath_Swami_IDesireTree.mp3", "2009-10-30_SB_04-21-01_-_Kolkata_-_Radhanath_Swami_IDesireTree.mp3")</f>
        <v>2009-10-30_SB_04-21-01_-_Kolkata_-_Radhanath_Swami_IDesireTree.mp3</v>
      </c>
      <c r="D2439" s="24"/>
      <c r="E2439" s="24"/>
    </row>
    <row r="2440">
      <c r="A2440" s="25" t="s">
        <v>18352</v>
      </c>
      <c r="B2440" s="25" t="s">
        <v>18373</v>
      </c>
      <c r="C2440" s="26" t="str">
        <f>HYPERLINK("https://audio.iskcondesiretree.com/02_-_ISKCON_Swamis/ISKCON_Swamis_-_R_to_Y/His_Holiness_Radhanath_Swami/Lectures/00_-_Year_wise/Devotional_Nectar_-_2009/2009-10-31_SB_04-21-4-4_-_Kolkata_-_Radhanath_Swami_IDesireTree.mp3", "2009-10-31_SB_04-21-4-4_-_Kolkata_-_Radhanath_Swami_IDesireTree.mp3")</f>
        <v>2009-10-31_SB_04-21-4-4_-_Kolkata_-_Radhanath_Swami_IDesireTree.mp3</v>
      </c>
      <c r="D2440" s="24"/>
      <c r="E2440" s="24"/>
    </row>
    <row r="2441">
      <c r="A2441" s="25" t="s">
        <v>18352</v>
      </c>
      <c r="B2441" s="25" t="s">
        <v>18373</v>
      </c>
      <c r="C2441" s="26" t="str">
        <f>HYPERLINK("https://audio.iskcondesiretree.com/02_-_ISKCON_Swamis/ISKCON_Swamis_-_R_to_Y/His_Holiness_Radhanath_Swami/Lectures/00_-_Year_wise/Devotional_Nectar_-_2009/2009-11-01_SB_04-21-05_-_Kolkata_-_Radhanath_Swami_IDesireTree.mp3", "2009-11-01_SB_04-21-05_-_Kolkata_-_Radhanath_Swami_IDesireTree.mp3")</f>
        <v>2009-11-01_SB_04-21-05_-_Kolkata_-_Radhanath_Swami_IDesireTree.mp3</v>
      </c>
      <c r="D2441" s="24"/>
      <c r="E2441" s="24"/>
    </row>
    <row r="2442">
      <c r="A2442" s="25" t="s">
        <v>18352</v>
      </c>
      <c r="B2442" s="25" t="s">
        <v>18373</v>
      </c>
      <c r="C2442" s="26" t="str">
        <f>HYPERLINK("https://audio.iskcondesiretree.com/02_-_ISKCON_Swamis/ISKCON_Swamis_-_R_to_Y/His_Holiness_Radhanath_Swami/Lectures/00_-_Year_wise/Devotional_Nectar_-_2009/2009-11-07_SB-08-06-13_-_Serving_The_Lord_Without_Demanding_-_Radhanath_Swami_ISKCON_Chowpatty.mp3", "2009-11-07_SB-08-06-13_-_Serving_The_Lord_Without_Demanding_-_Radhanath_Swami_ISKCON_Chowpatty.mp3")</f>
        <v>2009-11-07_SB-08-06-13_-_Serving_The_Lord_Without_Demanding_-_Radhanath_Swami_ISKCON_Chowpatty.mp3</v>
      </c>
      <c r="D2442" s="24"/>
      <c r="E2442" s="24"/>
    </row>
    <row r="2443">
      <c r="A2443" s="25" t="s">
        <v>18352</v>
      </c>
      <c r="B2443" s="25" t="s">
        <v>18373</v>
      </c>
      <c r="C2443" s="26" t="str">
        <f>HYPERLINK("https://audio.iskcondesiretree.com/02_-_ISKCON_Swamis/ISKCON_Swamis_-_R_to_Y/His_Holiness_Radhanath_Swami/Lectures/00_-_Year_wise/Devotional_Nectar_-_2009/2009-11-08_SB-08-06-14_-_Krishna_Hears_Intent_Of_Our_Prayers_-_Radhanath_Swami_ISKCON_Chowpatty.mp3", "2009-11-08_SB-08-06-14_-_Krishna_Hears_Intent_Of_Our_Prayers_-_Radhanath_Swami_ISKCON_Chowpatty.mp3")</f>
        <v>2009-11-08_SB-08-06-14_-_Krishna_Hears_Intent_Of_Our_Prayers_-_Radhanath_Swami_ISKCON_Chowpatty.mp3</v>
      </c>
      <c r="D2443" s="24"/>
      <c r="E2443" s="24"/>
    </row>
    <row r="2444">
      <c r="A2444" s="25" t="s">
        <v>18352</v>
      </c>
      <c r="B2444" s="25" t="s">
        <v>18373</v>
      </c>
      <c r="C2444" s="26" t="str">
        <f>HYPERLINK("https://audio.iskcondesiretree.com/02_-_ISKCON_Swamis/ISKCON_Swamis_-_R_to_Y/His_Holiness_Radhanath_Swami/Lectures/00_-_Year_wise/Devotional_Nectar_-_2009/2009-11-14_SB-08-06-26-28_-_Making_Truce_For_A_Higher_Cause_-_Radhanath_Swami_ISKCON_Chowpatty.mp3", "2009-11-14_SB-08-06-26-28_-_Making_Truce_For_A_Higher_Cause_-_Radhanath_Swami_ISKCON_Chowpatty.mp3")</f>
        <v>2009-11-14_SB-08-06-26-28_-_Making_Truce_For_A_Higher_Cause_-_Radhanath_Swami_ISKCON_Chowpatty.mp3</v>
      </c>
      <c r="D2444" s="24"/>
      <c r="E2444" s="24"/>
    </row>
    <row r="2445">
      <c r="A2445" s="25" t="s">
        <v>18352</v>
      </c>
      <c r="B2445" s="25" t="s">
        <v>18373</v>
      </c>
      <c r="C2445" s="26" t="str">
        <f>HYPERLINK("https://audio.iskcondesiretree.com/02_-_ISKCON_Swamis/ISKCON_Swamis_-_R_to_Y/His_Holiness_Radhanath_Swami/Lectures/00_-_Year_wise/Devotional_Nectar_-_2009/2009-11-15_Sunday_Feast_-_Gratefully_Adjusting_In_Any_Situation_-_Radhanath_Swami_-_Cross_Maidan.mp3", "2009-11-15_Sunday_Feast_-_Gratefully_Adjusting_In_Any_Situation_-_Radhanath_Swami_-_Cross_Maidan.mp3")</f>
        <v>2009-11-15_Sunday_Feast_-_Gratefully_Adjusting_In_Any_Situation_-_Radhanath_Swami_-_Cross_Maidan.mp3</v>
      </c>
      <c r="D2445" s="24"/>
      <c r="E2445" s="24"/>
    </row>
    <row r="2446">
      <c r="A2446" s="25" t="s">
        <v>18352</v>
      </c>
      <c r="B2446" s="25" t="s">
        <v>18373</v>
      </c>
      <c r="C2446" s="26" t="str">
        <f>HYPERLINK("https://audio.iskcondesiretree.com/02_-_ISKCON_Swamis/ISKCON_Swamis_-_R_to_Y/His_Holiness_Radhanath_Swami/Lectures/00_-_Year_wise/Devotional_Nectar_-_2009/2009-11-23_SB_10-06_-_The_Killing_of_the_Demon_Putana_-_Radhanath_Sw_Bhaktivedanta_Manor.mp3", "2009-11-23_SB_10-06_-_The_Killing_of_the_Demon_Putana_-_Radhanath_Sw_Bhaktivedanta_Manor.mp3")</f>
        <v>2009-11-23_SB_10-06_-_The_Killing_of_the_Demon_Putana_-_Radhanath_Sw_Bhaktivedanta_Manor.mp3</v>
      </c>
      <c r="D2446" s="24"/>
      <c r="E2446" s="24"/>
    </row>
    <row r="2447">
      <c r="A2447" s="25" t="s">
        <v>18352</v>
      </c>
      <c r="B2447" s="25" t="s">
        <v>18373</v>
      </c>
      <c r="C2447" s="26" t="str">
        <f>HYPERLINK("https://audio.iskcondesiretree.com/02_-_ISKCON_Swamis/ISKCON_Swamis_-_R_to_Y/His_Holiness_Radhanath_Swami/Lectures/00_-_Year_wise/Devotional_Nectar_-_2009/2009-12-13_Sunday_Feast_-_Los_Angeles_-_Radhanath_Swami_IDesireTree.mp3", "2009-12-13_Sunday_Feast_-_Los_Angeles_-_Radhanath_Swami_IDesireTree.mp3")</f>
        <v>2009-12-13_Sunday_Feast_-_Los_Angeles_-_Radhanath_Swami_IDesireTree.mp3</v>
      </c>
      <c r="D2447" s="24"/>
      <c r="E2447" s="24"/>
    </row>
    <row r="2448">
      <c r="A2448" s="25" t="s">
        <v>18352</v>
      </c>
      <c r="B2448" s="25" t="s">
        <v>18373</v>
      </c>
      <c r="C2448" s="26" t="str">
        <f>HYPERLINK("https://audio.iskcondesiretree.com/02_-_ISKCON_Swamis/ISKCON_Swamis_-_R_to_Y/His_Holiness_Radhanath_Swami/Lectures/00_-_Year_wise/Devotional_Nectar_-_2009/2009-12-14_SB_05-13-11_-_Los_Angeles_-_Radhanath_Swami_IDesireTree.mp3", "2009-12-14_SB_05-13-11_-_Los_Angeles_-_Radhanath_Swami_IDesireTree.mp3")</f>
        <v>2009-12-14_SB_05-13-11_-_Los_Angeles_-_Radhanath_Swami_IDesireTree.mp3</v>
      </c>
      <c r="D2448" s="24"/>
      <c r="E2448" s="24"/>
    </row>
    <row r="2449">
      <c r="A2449" s="25" t="s">
        <v>18352</v>
      </c>
      <c r="B2449" s="25" t="s">
        <v>18373</v>
      </c>
      <c r="C2449" s="26" t="str">
        <f>HYPERLINK("https://audio.iskcondesiretree.com/02_-_ISKCON_Swamis/ISKCON_Swamis_-_R_to_Y/His_Holiness_Radhanath_Swami/Lectures/00_-_Year_wise/Devotional_Nectar_-_2009/2009-12-15_SB_05-13-12_-_Los_Angeles_-_Radhanath_Swami_IDesireTree.mp3", "2009-12-15_SB_05-13-12_-_Los_Angeles_-_Radhanath_Swami_IDesireTree.mp3")</f>
        <v>2009-12-15_SB_05-13-12_-_Los_Angeles_-_Radhanath_Swami_IDesireTree.mp3</v>
      </c>
      <c r="D2449" s="24"/>
      <c r="E2449" s="24"/>
    </row>
    <row r="2450">
      <c r="A2450" s="25" t="s">
        <v>18352</v>
      </c>
      <c r="B2450" s="25" t="s">
        <v>18373</v>
      </c>
      <c r="C2450" s="26" t="str">
        <f>HYPERLINK("https://audio.iskcondesiretree.com/02_-_ISKCON_Swamis/ISKCON_Swamis_-_R_to_Y/His_Holiness_Radhanath_Swami/Lectures/00_-_Year_wise/Devotional_Nectar_-_2009/2009-12-18_SB_05-13-15_-_Los_Angeles_-_Radhanath_Swami_IDesireTree.mp3", "2009-12-18_SB_05-13-15_-_Los_Angeles_-_Radhanath_Swami_IDesireTree.mp3")</f>
        <v>2009-12-18_SB_05-13-15_-_Los_Angeles_-_Radhanath_Swami_IDesireTree.mp3</v>
      </c>
      <c r="D2450" s="24"/>
      <c r="E2450" s="24"/>
    </row>
    <row r="2451">
      <c r="A2451" s="25" t="s">
        <v>18352</v>
      </c>
      <c r="B2451" s="25" t="s">
        <v>18373</v>
      </c>
      <c r="C2451" s="26" t="str">
        <f>HYPERLINK("https://audio.iskcondesiretree.com/02_-_ISKCON_Swamis/ISKCON_Swamis_-_R_to_Y/His_Holiness_Radhanath_Swami/Lectures/00_-_Year_wise/Devotional_Nectar_-_2009/2009-12-18_SB_05-13-15_-_Los_Angeles_IDesireTree.mp3", "2009-12-18_SB_05-13-15_-_Los_Angeles_IDesireTree.mp3")</f>
        <v>2009-12-18_SB_05-13-15_-_Los_Angeles_IDesireTree.mp3</v>
      </c>
      <c r="D2451" s="24"/>
      <c r="E2451" s="24"/>
    </row>
    <row r="2452">
      <c r="A2452" s="25" t="s">
        <v>18352</v>
      </c>
      <c r="B2452" s="25" t="s">
        <v>18373</v>
      </c>
      <c r="C2452" s="26" t="str">
        <f>HYPERLINK("https://audio.iskcondesiretree.com/02_-_ISKCON_Swamis/ISKCON_Swamis_-_R_to_Y/His_Holiness_Radhanath_Swami/Lectures/00_-_Year_wise/Devotional_Nectar_-_2009/2009-12-22_-_Initiation_Ceremony_Lecture_-_ISKCON_Silicon_-_Radhanath_Swami_Valley.mp3", "2009-12-22_-_Initiation_Ceremony_Lecture_-_ISKCON_Silicon_-_Radhanath_Swami_Valley.mp3")</f>
        <v>2009-12-22_-_Initiation_Ceremony_Lecture_-_ISKCON_Silicon_-_Radhanath_Swami_Valley.mp3</v>
      </c>
      <c r="D2452" s="24"/>
      <c r="E2452" s="24"/>
    </row>
    <row r="2453">
      <c r="A2453" s="25" t="s">
        <v>18352</v>
      </c>
      <c r="B2453" s="25" t="s">
        <v>18373</v>
      </c>
      <c r="C2453" s="26" t="str">
        <f>HYPERLINK("https://audio.iskcondesiretree.com/02_-_ISKCON_Swamis/ISKCON_Swamis_-_R_to_Y/His_Holiness_Radhanath_Swami/Lectures/00_-_Year_wise/Devotional_Nectar_-_2009/2009-12-22_Initiations_-_Radhanath_Swami_San_Jose.mp3", "2009-12-22_Initiations_-_Radhanath_Swami_San_Jose.mp3")</f>
        <v>2009-12-22_Initiations_-_Radhanath_Swami_San_Jose.mp3</v>
      </c>
      <c r="D2453" s="24"/>
      <c r="E2453" s="24"/>
    </row>
    <row r="2454">
      <c r="A2454" s="25" t="s">
        <v>18352</v>
      </c>
      <c r="B2454" s="25" t="s">
        <v>18373</v>
      </c>
      <c r="C2454" s="26" t="str">
        <f>HYPERLINK("https://audio.iskcondesiretree.com/02_-_ISKCON_Swamis/ISKCON_Swamis_-_R_to_Y/His_Holiness_Radhanath_Swami/Lectures/00_-_Year_wise/Devotional_Nectar_-_2009/2009-12-23_-_Lecture_-_ISKCON_Silicon_Valley_-_Radhanath_Swami.mp3", "2009-12-23_-_Lecture_-_ISKCON_Silicon_Valley_-_Radhanath_Swami.mp3")</f>
        <v>2009-12-23_-_Lecture_-_ISKCON_Silicon_Valley_-_Radhanath_Swami.mp3</v>
      </c>
      <c r="D2454" s="24"/>
      <c r="E2454" s="24"/>
    </row>
    <row r="2455">
      <c r="A2455" s="25" t="s">
        <v>18352</v>
      </c>
      <c r="B2455" s="25" t="s">
        <v>18373</v>
      </c>
      <c r="C2455" s="26" t="str">
        <f>HYPERLINK("https://audio.iskcondesiretree.com/02_-_ISKCON_Swamis/ISKCON_Swamis_-_R_to_Y/His_Holiness_Radhanath_Swami/Lectures/00_-_Year_wise/Devotional_Nectar_-_2009/2009-12-23_Lecture_-_San_Jose_-_Radhanath_Swami.mp3", "2009-12-23_Lecture_-_San_Jose_-_Radhanath_Swami.mp3")</f>
        <v>2009-12-23_Lecture_-_San_Jose_-_Radhanath_Swami.mp3</v>
      </c>
      <c r="D2455" s="24"/>
      <c r="E2455" s="24"/>
    </row>
    <row r="2456">
      <c r="A2456" s="25" t="s">
        <v>18352</v>
      </c>
      <c r="B2456" s="25" t="s">
        <v>18373</v>
      </c>
      <c r="C2456" s="26" t="str">
        <f>HYPERLINK("https://audio.iskcondesiretree.com/02_-_ISKCON_Swamis/ISKCON_Swamis_-_R_to_Y/His_Holiness_Radhanath_Swami/Lectures/00_-_Year_wise/Devotional_Nectar_-_2009/2009_Various_-_Devotees_Greet_-_Radhanath_Swami.mp3", "2009_Various_-_Devotees_Greet_-_Radhanath_Swami.mp3")</f>
        <v>2009_Various_-_Devotees_Greet_-_Radhanath_Swami.mp3</v>
      </c>
      <c r="D2456" s="24"/>
      <c r="E2456" s="24"/>
    </row>
    <row r="2457">
      <c r="A2457" s="25" t="s">
        <v>18352</v>
      </c>
      <c r="B2457" s="25" t="s">
        <v>18373</v>
      </c>
      <c r="C2457" s="26" t="str">
        <f>HYPERLINK("https://audio.iskcondesiretree.com/02_-_ISKCON_Swamis/ISKCON_Swamis_-_R_to_Y/His_Holiness_Radhanath_Swami/Lectures/00_-_Year_wise/Devotional_Nectar_-_2009/2009_Various_-_Faith_Defeats_Fear_-_Radhanath_Swami.mp3", "2009_Various_-_Faith_Defeats_Fear_-_Radhanath_Swami.mp3")</f>
        <v>2009_Various_-_Faith_Defeats_Fear_-_Radhanath_Swami.mp3</v>
      </c>
      <c r="D2457" s="24"/>
      <c r="E2457" s="24"/>
    </row>
    <row r="2458">
      <c r="A2458" s="25" t="s">
        <v>18352</v>
      </c>
      <c r="B2458" s="25" t="s">
        <v>18373</v>
      </c>
      <c r="C2458" s="26" t="str">
        <f>HYPERLINK("https://audio.iskcondesiretree.com/02_-_ISKCON_Swamis/ISKCON_Swamis_-_R_to_Y/His_Holiness_Radhanath_Swami/Lectures/00_-_Year_wise/Devotional_Nectar_-_2009/2009_Various_-_Initiation_-_Radhanath_Swami.mp3", "2009_Various_-_Initiation_-_Radhanath_Swami.mp3")</f>
        <v>2009_Various_-_Initiation_-_Radhanath_Swami.mp3</v>
      </c>
      <c r="D2458" s="24"/>
      <c r="E2458" s="24"/>
    </row>
    <row r="2459">
      <c r="A2459" s="25" t="s">
        <v>18352</v>
      </c>
      <c r="B2459" s="25" t="s">
        <v>18373</v>
      </c>
      <c r="C2459" s="26" t="str">
        <f>HYPERLINK("https://audio.iskcondesiretree.com/02_-_ISKCON_Swamis/ISKCON_Swamis_-_R_to_Y/His_Holiness_Radhanath_Swami/Lectures/00_-_Year_wise/Devotional_Nectar_-_2009/2009_Various_-_Love_God_-_Radhanath_Swami.mp3", "2009_Various_-_Love_God_-_Radhanath_Swami.mp3")</f>
        <v>2009_Various_-_Love_God_-_Radhanath_Swami.mp3</v>
      </c>
      <c r="D2459" s="24"/>
      <c r="E2459" s="24"/>
    </row>
    <row r="2460">
      <c r="A2460" s="25" t="s">
        <v>18352</v>
      </c>
      <c r="B2460" s="25" t="s">
        <v>18373</v>
      </c>
      <c r="C2460" s="26" t="str">
        <f>HYPERLINK("https://audio.iskcondesiretree.com/02_-_ISKCON_Swamis/ISKCON_Swamis_-_R_to_Y/His_Holiness_Radhanath_Swami/Lectures/00_-_Year_wise/Devotional_Nectar_-_2009/2009_Various_-_Marriage_-_Radhanath_Swami.mp3", "2009_Various_-_Marriage_-_Radhanath_Swami.mp3")</f>
        <v>2009_Various_-_Marriage_-_Radhanath_Swami.mp3</v>
      </c>
      <c r="D2460" s="24"/>
      <c r="E2460" s="24"/>
    </row>
    <row r="2461">
      <c r="A2461" s="25" t="s">
        <v>18352</v>
      </c>
      <c r="B2461" s="25" t="s">
        <v>18373</v>
      </c>
      <c r="C2461" s="26" t="str">
        <f>HYPERLINK("https://audio.iskcondesiretree.com/02_-_ISKCON_Swamis/ISKCON_Swamis_-_R_to_Y/His_Holiness_Radhanath_Swami/Lectures/00_-_Year_wise/Devotional_Nectar_-_2009/2009_Various_-_Prabhupada_Arrives_West_-_Radhanath_Swami.mp3", "2009_Various_-_Prabhupada_Arrives_West_-_Radhanath_Swami.mp3")</f>
        <v>2009_Various_-_Prabhupada_Arrives_West_-_Radhanath_Swami.mp3</v>
      </c>
      <c r="D2461" s="24"/>
      <c r="E2461" s="24"/>
    </row>
    <row r="2462">
      <c r="A2462" s="25" t="s">
        <v>18352</v>
      </c>
      <c r="B2462" s="25" t="s">
        <v>18373</v>
      </c>
      <c r="C2462" s="26" t="str">
        <f>HYPERLINK("https://audio.iskcondesiretree.com/02_-_ISKCON_Swamis/ISKCON_Swamis_-_R_to_Y/His_Holiness_Radhanath_Swami/Lectures/00_-_Year_wise/Devotional_Nectar_-_2009/2009_Various_-_Soul_Devotion_Time_-_Radhanath_Swami.mp3", "2009_Various_-_Soul_Devotion_Time_-_Radhanath_Swami.mp3")</f>
        <v>2009_Various_-_Soul_Devotion_Time_-_Radhanath_Swami.mp3</v>
      </c>
      <c r="D2462" s="24"/>
      <c r="E2462" s="24"/>
    </row>
    <row r="2463">
      <c r="A2463" s="25" t="s">
        <v>18352</v>
      </c>
      <c r="B2463" s="25" t="s">
        <v>18373</v>
      </c>
      <c r="C2463" s="26" t="str">
        <f>HYPERLINK("https://audio.iskcondesiretree.com/02_-_ISKCON_Swamis/ISKCON_Swamis_-_R_to_Y/His_Holiness_Radhanath_Swami/Lectures/00_-_Year_wise/Devotional_Nectar_-_2009/2009_Various_-_Spirit_of_Bhakti_-_Radhanath_Swami.mp3", "2009_Various_-_Spirit_of_Bhakti_-_Radhanath_Swami.mp3")</f>
        <v>2009_Various_-_Spirit_of_Bhakti_-_Radhanath_Swami.mp3</v>
      </c>
      <c r="D2463" s="24"/>
      <c r="E2463" s="24"/>
    </row>
    <row r="2464">
      <c r="A2464" s="25" t="s">
        <v>18352</v>
      </c>
      <c r="B2464" s="25" t="s">
        <v>18373</v>
      </c>
      <c r="C2464" s="26" t="str">
        <f>HYPERLINK("https://audio.iskcondesiretree.com/02_-_ISKCON_Swamis/ISKCON_Swamis_-_R_to_Y/His_Holiness_Radhanath_Swami/Lectures/00_-_Year_wise/Devotional_Nectar_-_2009/RNS_Initiation_-_09-09-12_Italy.mp3", "RNS_Initiation_-_09-09-12_Italy.mp3")</f>
        <v>RNS_Initiation_-_09-09-12_Italy.mp3</v>
      </c>
      <c r="D2464" s="24"/>
      <c r="E2464" s="24"/>
    </row>
    <row r="2465">
      <c r="A2465" s="25" t="s">
        <v>18352</v>
      </c>
      <c r="B2465" s="25" t="s">
        <v>18373</v>
      </c>
      <c r="C2465" s="26" t="str">
        <f>HYPERLINK("https://audio.iskcondesiretree.com/02_-_ISKCON_Swamis/ISKCON_Swamis_-_R_to_Y/His_Holiness_Radhanath_Swami/Lectures/00_-_Year_wise/Devotional_Nectar_-_2009/RNS_Prerna_Lecture_-_Radhanath_Swami.mp3", "RNS_Prerna_Lecture_-_Radhanath_Swami.mp3")</f>
        <v>RNS_Prerna_Lecture_-_Radhanath_Swami.mp3</v>
      </c>
      <c r="D2465" s="24"/>
      <c r="E2465" s="24"/>
    </row>
    <row r="2466">
      <c r="A2466" s="25" t="s">
        <v>18352</v>
      </c>
      <c r="B2466" s="25" t="s">
        <v>18374</v>
      </c>
      <c r="C2466" s="26" t="str">
        <f>HYPERLINK("https://audio.iskcondesiretree.com/02_-_ISKCON_Swamis/ISKCON_Swamis_-_R_to_Y/His_Holiness_Radhanath_Swami/Lectures/00_-_Year_wise/Devotional_Nectar_-_2010/2010-01-02_Maha_Sanga_with_HH_GRS_-_Manor.mp3", "2010-01-02_Maha_Sanga_with_HH_GRS_-_Manor.mp3")</f>
        <v>2010-01-02_Maha_Sanga_with_HH_GRS_-_Manor.mp3</v>
      </c>
      <c r="D2466" s="24"/>
      <c r="E2466" s="24"/>
    </row>
    <row r="2467">
      <c r="A2467" s="25" t="s">
        <v>18352</v>
      </c>
      <c r="B2467" s="25" t="s">
        <v>18374</v>
      </c>
      <c r="C2467" s="26" t="str">
        <f>HYPERLINK("https://audio.iskcondesiretree.com/02_-_ISKCON_Swamis/ISKCON_Swamis_-_R_to_Y/His_Holiness_Radhanath_Swami/Lectures/00_-_Year_wise/Devotional_Nectar_-_2010/2010-01-09_Bhagavatam_Crushes_Out_Faith_In_Illusion_SB-08-08-09-27-28_-_ISKCON_Chowpatty.mp3", "2010-01-09_Bhagavatam_Crushes_Out_Faith_In_Illusion_SB-08-08-09-27-28_-_ISKCON_Chowpatty.mp3")</f>
        <v>2010-01-09_Bhagavatam_Crushes_Out_Faith_In_Illusion_SB-08-08-09-27-28_-_ISKCON_Chowpatty.mp3</v>
      </c>
      <c r="D2467" s="24"/>
      <c r="E2467" s="24"/>
    </row>
    <row r="2468">
      <c r="A2468" s="25" t="s">
        <v>18352</v>
      </c>
      <c r="B2468" s="25" t="s">
        <v>18374</v>
      </c>
      <c r="C2468" s="26" t="str">
        <f>HYPERLINK("https://audio.iskcondesiretree.com/02_-_ISKCON_Swamis/ISKCON_Swamis_-_R_to_Y/His_Holiness_Radhanath_Swami/Lectures/00_-_Year_wise/Devotional_Nectar_-_2010/2010-01-09_DADAR_Ratha_Yatra_Lecture_-_Radhanath_Swami_ISKCON_Chowpatty.mp3", "2010-01-09_DADAR_Ratha_Yatra_Lecture_-_Radhanath_Swami_ISKCON_Chowpatty.mp3")</f>
        <v>2010-01-09_DADAR_Ratha_Yatra_Lecture_-_Radhanath_Swami_ISKCON_Chowpatty.mp3</v>
      </c>
      <c r="D2468" s="24"/>
      <c r="E2468" s="24"/>
    </row>
    <row r="2469">
      <c r="A2469" s="25" t="s">
        <v>18352</v>
      </c>
      <c r="B2469" s="25" t="s">
        <v>18374</v>
      </c>
      <c r="C2469" s="26" t="str">
        <f>HYPERLINK("https://audio.iskcondesiretree.com/02_-_ISKCON_Swamis/ISKCON_Swamis_-_R_to_Y/His_Holiness_Radhanath_Swami/Lectures/00_-_Year_wise/Devotional_Nectar_-_2010/2010-01-17_HH_Radhanath_Swami_at_SJM_-_SB_04-30-08.mp3", "2010-01-17_HH_Radhanath_Swami_at_SJM_-_SB_04-30-08.mp3")</f>
        <v>2010-01-17_HH_Radhanath_Swami_at_SJM_-_SB_04-30-08.mp3</v>
      </c>
      <c r="D2469" s="24"/>
      <c r="E2469" s="24"/>
    </row>
    <row r="2470">
      <c r="A2470" s="25" t="s">
        <v>18352</v>
      </c>
      <c r="B2470" s="25" t="s">
        <v>18374</v>
      </c>
      <c r="C2470" s="26" t="str">
        <f>HYPERLINK("https://audio.iskcondesiretree.com/02_-_ISKCON_Swamis/ISKCON_Swamis_-_R_to_Y/His_Holiness_Radhanath_Swami/Lectures/00_-_Year_wise/Devotional_Nectar_-_2010/2010-01-17_HHRNS_Lecture_in_Jayanagar_Bangalore_-_Radhanath_Swami.mp3", "2010-01-17_HHRNS_Lecture_in_Jayanagar_Bangalore_-_Radhanath_Swami.mp3")</f>
        <v>2010-01-17_HHRNS_Lecture_in_Jayanagar_Bangalore_-_Radhanath_Swami.mp3</v>
      </c>
      <c r="D2470" s="24"/>
      <c r="E2470" s="24"/>
    </row>
    <row r="2471">
      <c r="A2471" s="25" t="s">
        <v>18352</v>
      </c>
      <c r="B2471" s="25" t="s">
        <v>18374</v>
      </c>
      <c r="C2471" s="26" t="str">
        <f>HYPERLINK("https://audio.iskcondesiretree.com/02_-_ISKCON_Swamis/ISKCON_Swamis_-_R_to_Y/His_Holiness_Radhanath_Swami/Lectures/00_-_Year_wise/Devotional_Nectar_-_2010/2010-01-17_SB_04-30-08_HH_RNS_at_SJM_Bangalore.mp3", "2010-01-17_SB_04-30-08_HH_RNS_at_SJM_Bangalore.mp3")</f>
        <v>2010-01-17_SB_04-30-08_HH_RNS_at_SJM_Bangalore.mp3</v>
      </c>
      <c r="D2471" s="24"/>
      <c r="E2471" s="24"/>
    </row>
    <row r="2472">
      <c r="A2472" s="25" t="s">
        <v>18352</v>
      </c>
      <c r="B2472" s="25" t="s">
        <v>18374</v>
      </c>
      <c r="C2472" s="26" t="str">
        <f>HYPERLINK("https://audio.iskcondesiretree.com/02_-_ISKCON_Swamis/ISKCON_Swamis_-_R_to_Y/His_Holiness_Radhanath_Swami/Lectures/00_-_Year_wise/Devotional_Nectar_-_2010/2010-01-31_Festivals_-_Lecture_at_Juhu_Rath_Yatra_-_Radhanath_Swami_Juhu.mp3", "2010-01-31_Festivals_-_Lecture_at_Juhu_Rath_Yatra_-_Radhanath_Swami_Juhu.mp3")</f>
        <v>2010-01-31_Festivals_-_Lecture_at_Juhu_Rath_Yatra_-_Radhanath_Swami_Juhu.mp3</v>
      </c>
      <c r="D2472" s="24"/>
      <c r="E2472" s="24"/>
    </row>
    <row r="2473">
      <c r="A2473" s="25" t="s">
        <v>18352</v>
      </c>
      <c r="B2473" s="25" t="s">
        <v>18374</v>
      </c>
      <c r="C2473" s="26" t="str">
        <f>HYPERLINK("https://audio.iskcondesiretree.com/02_-_ISKCON_Swamis/ISKCON_Swamis_-_R_to_Y/His_Holiness_Radhanath_Swami/Lectures/00_-_Year_wise/Devotional_Nectar_-_2010/2010-01-31_Various_-_Sunday_Feast-Krishna_Consciousness_is_the_Real_Wealth_-_Radhanath_Swami_Mumbai."&amp;"mp3", "2010-01-31_Various_-_Sunday_Feast-Krishna_Consciousness_is_the_Real_Wealth_-_Radhanath_Swami_Mumbai.mp3")</f>
        <v>2010-01-31_Various_-_Sunday_Feast-Krishna_Consciousness_is_the_Real_Wealth_-_Radhanath_Swami_Mumbai.mp3</v>
      </c>
      <c r="D2473" s="24"/>
      <c r="E2473" s="24"/>
    </row>
    <row r="2474">
      <c r="A2474" s="25" t="s">
        <v>18352</v>
      </c>
      <c r="B2474" s="25" t="s">
        <v>18374</v>
      </c>
      <c r="C2474" s="26" t="str">
        <f>HYPERLINK("https://audio.iskcondesiretree.com/02_-_ISKCON_Swamis/ISKCON_Swamis_-_R_to_Y/His_Holiness_Radhanath_Swami/Lectures/00_-_Year_wise/Devotional_Nectar_-_2010/2010-02-04_HH_Radhanath_Swami_-_at_KPP.mp3", "2010-02-04_HH_Radhanath_Swami_-_at_KPP.mp3")</f>
        <v>2010-02-04_HH_Radhanath_Swami_-_at_KPP.mp3</v>
      </c>
      <c r="D2474" s="24"/>
      <c r="E2474" s="24"/>
    </row>
    <row r="2475">
      <c r="A2475" s="25" t="s">
        <v>18352</v>
      </c>
      <c r="B2475" s="25" t="s">
        <v>18374</v>
      </c>
      <c r="C2475" s="26" t="str">
        <f>HYPERLINK("https://audio.iskcondesiretree.com/02_-_ISKCON_Swamis/ISKCON_Swamis_-_R_to_Y/His_Holiness_Radhanath_Swami/Lectures/00_-_Year_wise/Devotional_Nectar_-_2010/2010-02-04_SB_class_ISKCON_Vrindavan_Radhanath_Swami.mp3", "2010-02-04_SB_class_ISKCON_Vrindavan_Radhanath_Swami.mp3")</f>
        <v>2010-02-04_SB_class_ISKCON_Vrindavan_Radhanath_Swami.mp3</v>
      </c>
      <c r="D2475" s="24"/>
      <c r="E2475" s="24"/>
    </row>
    <row r="2476">
      <c r="A2476" s="25" t="s">
        <v>18352</v>
      </c>
      <c r="B2476" s="25" t="s">
        <v>18374</v>
      </c>
      <c r="C2476" s="26" t="str">
        <f>HYPERLINK("https://audio.iskcondesiretree.com/02_-_ISKCON_Swamis/ISKCON_Swamis_-_R_to_Y/His_Holiness_Radhanath_Swami/Lectures/00_-_Year_wise/Devotional_Nectar_-_2010/2010-02-12_SB_08-07-39_Mayapur_Radhanath_Swami.mp3", "2010-02-12_SB_08-07-39_Mayapur_Radhanath_Swami.mp3")</f>
        <v>2010-02-12_SB_08-07-39_Mayapur_Radhanath_Swami.mp3</v>
      </c>
      <c r="D2476" s="24"/>
      <c r="E2476" s="24"/>
    </row>
    <row r="2477">
      <c r="A2477" s="25" t="s">
        <v>18352</v>
      </c>
      <c r="B2477" s="25" t="s">
        <v>18374</v>
      </c>
      <c r="C2477" s="26" t="str">
        <f>HYPERLINK("https://audio.iskcondesiretree.com/02_-_ISKCON_Swamis/ISKCON_Swamis_-_R_to_Y/His_Holiness_Radhanath_Swami/Lectures/00_-_Year_wise/Devotional_Nectar_-_2010/2010-02-21_Vyasa_Puja_Mumbai_Radhanath_Swami.mp3", "2010-02-21_Vyasa_Puja_Mumbai_Radhanath_Swami.mp3")</f>
        <v>2010-02-21_Vyasa_Puja_Mumbai_Radhanath_Swami.mp3</v>
      </c>
      <c r="D2477" s="24"/>
      <c r="E2477" s="24"/>
    </row>
    <row r="2478">
      <c r="A2478" s="25" t="s">
        <v>18352</v>
      </c>
      <c r="B2478" s="25" t="s">
        <v>18374</v>
      </c>
      <c r="C2478" s="26" t="str">
        <f>HYPERLINK("https://audio.iskcondesiretree.com/02_-_ISKCON_Swamis/ISKCON_Swamis_-_R_to_Y/His_Holiness_Radhanath_Swami/Lectures/00_-_Year_wise/Devotional_Nectar_-_2010/2010-02-21_Vyasa_Puja_Offering_Radhanath_Swami.mp3", "2010-02-21_Vyasa_Puja_Offering_Radhanath_Swami.mp3")</f>
        <v>2010-02-21_Vyasa_Puja_Offering_Radhanath_Swami.mp3</v>
      </c>
      <c r="D2478" s="24"/>
      <c r="E2478" s="24"/>
    </row>
    <row r="2479">
      <c r="A2479" s="25" t="s">
        <v>18352</v>
      </c>
      <c r="B2479" s="25" t="s">
        <v>18374</v>
      </c>
      <c r="C2479" s="26" t="str">
        <f>HYPERLINK("https://audio.iskcondesiretree.com/02_-_ISKCON_Swamis/ISKCON_Swamis_-_R_to_Y/His_Holiness_Radhanath_Swami/Lectures/00_-_Year_wise/Devotional_Nectar_-_2010/2010-02-27_CC_Madhya_06-255_-_Love_In_Separation_-_Radhanatha_Swami_ISKCON_Chowpatty.mp3", "2010-02-27_CC_Madhya_06-255_-_Love_In_Separation_-_Radhanatha_Swami_ISKCON_Chowpatty.mp3")</f>
        <v>2010-02-27_CC_Madhya_06-255_-_Love_In_Separation_-_Radhanatha_Swami_ISKCON_Chowpatty.mp3</v>
      </c>
      <c r="D2479" s="24"/>
      <c r="E2479" s="24"/>
    </row>
    <row r="2480">
      <c r="A2480" s="25" t="s">
        <v>18352</v>
      </c>
      <c r="B2480" s="25" t="s">
        <v>18374</v>
      </c>
      <c r="C2480" s="26" t="str">
        <f>HYPERLINK("https://audio.iskcondesiretree.com/02_-_ISKCON_Swamis/ISKCON_Swamis_-_R_to_Y/His_Holiness_Radhanath_Swami/Lectures/00_-_Year_wise/Devotional_Nectar_-_2010/2010-02-27_Gaur_Leela-Eve%20Lec_-_Radhanath_Swami_ISKCON_Chowpatty.mp3", "2010-02-27_Gaur_Leela-Eve%20Lec_-_Radhanath_Swami_ISKCON_Chowpatty.mp3")</f>
        <v>2010-02-27_Gaur_Leela-Eve%20Lec_-_Radhanath_Swami_ISKCON_Chowpatty.mp3</v>
      </c>
      <c r="D2480" s="24"/>
      <c r="E2480" s="24"/>
    </row>
    <row r="2481">
      <c r="A2481" s="25" t="s">
        <v>18352</v>
      </c>
      <c r="B2481" s="25" t="s">
        <v>18374</v>
      </c>
      <c r="C2481" s="26" t="str">
        <f>HYPERLINK("https://audio.iskcondesiretree.com/02_-_ISKCON_Swamis/ISKCON_Swamis_-_R_to_Y/His_Holiness_Radhanath_Swami/Lectures/00_-_Year_wise/Devotional_Nectar_-_2010/2010-02-28_CC_Madhya_06-254_-_Gaur_Leela_-_Radhanath_Swami_ISKCON_Chowpatty.mp3", "2010-02-28_CC_Madhya_06-254_-_Gaur_Leela_-_Radhanath_Swami_ISKCON_Chowpatty.mp3")</f>
        <v>2010-02-28_CC_Madhya_06-254_-_Gaur_Leela_-_Radhanath_Swami_ISKCON_Chowpatty.mp3</v>
      </c>
      <c r="D2481" s="24"/>
      <c r="E2481" s="24"/>
    </row>
    <row r="2482">
      <c r="A2482" s="25" t="s">
        <v>18352</v>
      </c>
      <c r="B2482" s="25" t="s">
        <v>18374</v>
      </c>
      <c r="C2482" s="26" t="str">
        <f>HYPERLINK("https://audio.iskcondesiretree.com/02_-_ISKCON_Swamis/ISKCON_Swamis_-_R_to_Y/His_Holiness_Radhanath_Swami/Lectures/00_-_Year_wise/Devotional_Nectar_-_2010/2010-02-28_Gaur_Leela_-_Radhanath_Swami_ISKCON_Chowpatty.mp3", "2010-02-28_Gaur_Leela_-_Radhanath_Swami_ISKCON_Chowpatty.mp3")</f>
        <v>2010-02-28_Gaur_Leela_-_Radhanath_Swami_ISKCON_Chowpatty.mp3</v>
      </c>
      <c r="D2482" s="24"/>
      <c r="E2482" s="24"/>
    </row>
    <row r="2483">
      <c r="A2483" s="25" t="s">
        <v>18352</v>
      </c>
      <c r="B2483" s="25" t="s">
        <v>18374</v>
      </c>
      <c r="C2483" s="26" t="str">
        <f>HYPERLINK("https://audio.iskcondesiretree.com/02_-_ISKCON_Swamis/ISKCON_Swamis_-_R_to_Y/His_Holiness_Radhanath_Swami/Lectures/00_-_Year_wise/Devotional_Nectar_-_2010/2010-03-04_Various_-_Ishta_Goshti_-_Radhanath_Swami_Mumbai.mp3", "2010-03-04_Various_-_Ishta_Goshti_-_Radhanath_Swami_Mumbai.mp3")</f>
        <v>2010-03-04_Various_-_Ishta_Goshti_-_Radhanath_Swami_Mumbai.mp3</v>
      </c>
      <c r="D2483" s="24"/>
      <c r="E2483" s="24"/>
    </row>
    <row r="2484">
      <c r="A2484" s="25" t="s">
        <v>18352</v>
      </c>
      <c r="B2484" s="25" t="s">
        <v>18374</v>
      </c>
      <c r="C2484" s="26" t="str">
        <f>HYPERLINK("https://audio.iskcondesiretree.com/02_-_ISKCON_Swamis/ISKCON_Swamis_-_R_to_Y/His_Holiness_Radhanath_Swami/Lectures/00_-_Year_wise/Devotional_Nectar_-_2010/2010-03-06_-_Prerna_Festival_-_Vedic_Perspective_Of_Climatic_Change_-_Radhanath_Swami.mp3", "2010-03-06_-_Prerna_Festival_-_Vedic_Perspective_Of_Climatic_Change_-_Radhanath_Swami.mp3")</f>
        <v>2010-03-06_-_Prerna_Festival_-_Vedic_Perspective_Of_Climatic_Change_-_Radhanath_Swami.mp3</v>
      </c>
      <c r="D2484" s="24"/>
      <c r="E2484" s="24"/>
    </row>
    <row r="2485">
      <c r="A2485" s="25" t="s">
        <v>18352</v>
      </c>
      <c r="B2485" s="25" t="s">
        <v>18374</v>
      </c>
      <c r="C2485" s="26" t="str">
        <f>HYPERLINK("https://audio.iskcondesiretree.com/02_-_ISKCON_Swamis/ISKCON_Swamis_-_R_to_Y/His_Holiness_Radhanath_Swami/Lectures/00_-_Year_wise/Devotional_Nectar_-_2010/2010-03-14_-_Sunday_Feast_-_Glories_Of_Mother_Ganges_-_Radhanath_Swami_ISKCON_Chowpatty.mp3", "2010-03-14_-_Sunday_Feast_-_Glories_Of_Mother_Ganges_-_Radhanath_Swami_ISKCON_Chowpatty.mp3")</f>
        <v>2010-03-14_-_Sunday_Feast_-_Glories_Of_Mother_Ganges_-_Radhanath_Swami_ISKCON_Chowpatty.mp3</v>
      </c>
      <c r="D2485" s="24"/>
      <c r="E2485" s="24"/>
    </row>
    <row r="2486">
      <c r="A2486" s="25" t="s">
        <v>18352</v>
      </c>
      <c r="B2486" s="25" t="s">
        <v>18374</v>
      </c>
      <c r="C2486" s="26" t="str">
        <f>HYPERLINK("https://audio.iskcondesiretree.com/02_-_ISKCON_Swamis/ISKCON_Swamis_-_R_to_Y/His_Holiness_Radhanath_Swami/Lectures/00_-_Year_wise/Devotional_Nectar_-_2010/2010-03-14_SB_08-14-07-08_-_Realities_Of_Material_Existence_-_Radhanath_Swami_ISKCON_Chowpatty.mp3", "2010-03-14_SB_08-14-07-08_-_Realities_Of_Material_Existence_-_Radhanath_Swami_ISKCON_Chowpatty.mp3")</f>
        <v>2010-03-14_SB_08-14-07-08_-_Realities_Of_Material_Existence_-_Radhanath_Swami_ISKCON_Chowpatty.mp3</v>
      </c>
      <c r="D2486" s="24"/>
      <c r="E2486" s="24"/>
    </row>
    <row r="2487">
      <c r="A2487" s="25" t="s">
        <v>18352</v>
      </c>
      <c r="B2487" s="25" t="s">
        <v>18374</v>
      </c>
      <c r="C2487" s="26" t="str">
        <f>HYPERLINK("https://audio.iskcondesiretree.com/02_-_ISKCON_Swamis/ISKCON_Swamis_-_R_to_Y/His_Holiness_Radhanath_Swami/Lectures/00_-_Year_wise/Devotional_Nectar_-_2010/2010-03-18_Devotees_taking_initiation_vows_Radhanath_Swami.MP3", "2010-03-18_Devotees_taking_initiation_vows_Radhanath_Swami.MP3")</f>
        <v>2010-03-18_Devotees_taking_initiation_vows_Radhanath_Swami.MP3</v>
      </c>
      <c r="D2487" s="24"/>
      <c r="E2487" s="24"/>
    </row>
    <row r="2488">
      <c r="A2488" s="25" t="s">
        <v>18352</v>
      </c>
      <c r="B2488" s="25" t="s">
        <v>18374</v>
      </c>
      <c r="C2488" s="26" t="str">
        <f>HYPERLINK("https://audio.iskcondesiretree.com/02_-_ISKCON_Swamis/ISKCON_Swamis_-_R_to_Y/His_Holiness_Radhanath_Swami/Lectures/00_-_Year_wise/Devotional_Nectar_-_2010/2010-03-18_Initiation_is_saying_thank_you_to_Krishna_-_initiation_lect_-_Radhanath_Swami_Pune.MP3", "2010-03-18_Initiation_is_saying_thank_you_to_Krishna_-_initiation_lect_-_Radhanath_Swami_Pune.MP3")</f>
        <v>2010-03-18_Initiation_is_saying_thank_you_to_Krishna_-_initiation_lect_-_Radhanath_Swami_Pune.MP3</v>
      </c>
      <c r="D2488" s="24"/>
      <c r="E2488" s="24"/>
    </row>
    <row r="2489">
      <c r="A2489" s="25" t="s">
        <v>18352</v>
      </c>
      <c r="B2489" s="25" t="s">
        <v>18374</v>
      </c>
      <c r="C2489" s="26" t="str">
        <f>HYPERLINK("https://audio.iskcondesiretree.com/02_-_ISKCON_Swamis/ISKCON_Swamis_-_R_to_Y/His_Holiness_Radhanath_Swami/Lectures/00_-_Year_wise/Devotional_Nectar_-_2010/2010-03-20_Lakshmi_Narayan_Festival_-_Radhanath_Swami_And_Chandramouli_Swami.mp3", "2010-03-20_Lakshmi_Narayan_Festival_-_Radhanath_Swami_And_Chandramouli_Swami.mp3")</f>
        <v>2010-03-20_Lakshmi_Narayan_Festival_-_Radhanath_Swami_And_Chandramouli_Swami.mp3</v>
      </c>
      <c r="D2489" s="24"/>
      <c r="E2489" s="24"/>
    </row>
    <row r="2490">
      <c r="A2490" s="25" t="s">
        <v>18352</v>
      </c>
      <c r="B2490" s="25" t="s">
        <v>18374</v>
      </c>
      <c r="C2490" s="26" t="str">
        <f>HYPERLINK("https://audio.iskcondesiretree.com/02_-_ISKCON_Swamis/ISKCON_Swamis_-_R_to_Y/His_Holiness_Radhanath_Swami/Lectures/00_-_Year_wise/Devotional_Nectar_-_2010/2010-03-21_Various_-_Sunday_Feast-Coperating_for_Higher_Purpose_-_Radhanath_Swami_Mumbai.mp3", "2010-03-21_Various_-_Sunday_Feast-Coperating_for_Higher_Purpose_-_Radhanath_Swami_Mumbai.mp3")</f>
        <v>2010-03-21_Various_-_Sunday_Feast-Coperating_for_Higher_Purpose_-_Radhanath_Swami_Mumbai.mp3</v>
      </c>
      <c r="D2490" s="24"/>
      <c r="E2490" s="24"/>
    </row>
    <row r="2491">
      <c r="A2491" s="25" t="s">
        <v>18352</v>
      </c>
      <c r="B2491" s="25" t="s">
        <v>18374</v>
      </c>
      <c r="C2491" s="26" t="str">
        <f>HYPERLINK("https://audio.iskcondesiretree.com/02_-_ISKCON_Swamis/ISKCON_Swamis_-_R_to_Y/His_Holiness_Radhanath_Swami/Lectures/00_-_Year_wise/Devotional_Nectar_-_2010/2010-03-24_Sri_Rama_Navami_-_Lord%27s_Reciprocations_With_His_Pure_Devotees_-_Radhanath_Swami.mp3", "2010-03-24_Sri_Rama_Navami_-_Lord%27s_Reciprocations_With_His_Pure_Devotees_-_Radhanath_Swami.mp3")</f>
        <v>2010-03-24_Sri_Rama_Navami_-_Lord%27s_Reciprocations_With_His_Pure_Devotees_-_Radhanath_Swami.mp3</v>
      </c>
      <c r="D2491" s="24"/>
      <c r="E2491" s="24"/>
    </row>
    <row r="2492">
      <c r="A2492" s="25" t="s">
        <v>18352</v>
      </c>
      <c r="B2492" s="25" t="s">
        <v>18374</v>
      </c>
      <c r="C2492" s="26" t="str">
        <f>HYPERLINK("https://audio.iskcondesiretree.com/02_-_ISKCON_Swamis/ISKCON_Swamis_-_R_to_Y/His_Holiness_Radhanath_Swami/Lectures/00_-_Year_wise/Devotional_Nectar_-_2010/2010-03-27_Initiation_Lecture_-_Radhanath_Swami_ISKCON_Chowpatty.mp3", "2010-03-27_Initiation_Lecture_-_Radhanath_Swami_ISKCON_Chowpatty.mp3")</f>
        <v>2010-03-27_Initiation_Lecture_-_Radhanath_Swami_ISKCON_Chowpatty.mp3</v>
      </c>
      <c r="D2492" s="24"/>
      <c r="E2492" s="24"/>
    </row>
    <row r="2493">
      <c r="A2493" s="25" t="s">
        <v>18352</v>
      </c>
      <c r="B2493" s="25" t="s">
        <v>18374</v>
      </c>
      <c r="C2493" s="26" t="str">
        <f>HYPERLINK("https://audio.iskcondesiretree.com/02_-_ISKCON_Swamis/ISKCON_Swamis_-_R_to_Y/His_Holiness_Radhanath_Swami/Lectures/00_-_Year_wise/Devotional_Nectar_-_2010/2010-03-28_SB-08-16-06_-_Principles_Of_Hospitality_-_Radhanath_Swami_ISKCON_Chowpatty.mp3", "2010-03-28_SB-08-16-06_-_Principles_Of_Hospitality_-_Radhanath_Swami_ISKCON_Chowpatty.mp3")</f>
        <v>2010-03-28_SB-08-16-06_-_Principles_Of_Hospitality_-_Radhanath_Swami_ISKCON_Chowpatty.mp3</v>
      </c>
      <c r="D2493" s="24"/>
      <c r="E2493" s="24"/>
    </row>
    <row r="2494">
      <c r="A2494" s="25" t="s">
        <v>18352</v>
      </c>
      <c r="B2494" s="25" t="s">
        <v>18374</v>
      </c>
      <c r="C2494" s="26" t="str">
        <f>HYPERLINK("https://audio.iskcondesiretree.com/02_-_ISKCON_Swamis/ISKCON_Swamis_-_R_to_Y/His_Holiness_Radhanath_Swami/Lectures/00_-_Year_wise/Devotional_Nectar_-_2010/2010-03-30_Hanuman_Jayanti_-_Hanumanji%27s_Loyalty_And_Determination_-_Radhanath_Swami_ISKCON_Chowpa"&amp;"tty.mp3", "2010-03-30_Hanuman_Jayanti_-_Hanumanji%27s_Loyalty_And_Determination_-_Radhanath_Swami_ISKCON_Chowpatty.mp3")</f>
        <v>2010-03-30_Hanuman_Jayanti_-_Hanumanji%27s_Loyalty_And_Determination_-_Radhanath_Swami_ISKCON_Chowpatty.mp3</v>
      </c>
      <c r="D2494" s="24"/>
      <c r="E2494" s="24"/>
    </row>
    <row r="2495">
      <c r="A2495" s="25" t="s">
        <v>18352</v>
      </c>
      <c r="B2495" s="25" t="s">
        <v>18374</v>
      </c>
      <c r="C2495" s="26" t="str">
        <f>HYPERLINK("https://audio.iskcondesiretree.com/02_-_ISKCON_Swamis/ISKCON_Swamis_-_R_to_Y/His_Holiness_Radhanath_Swami/Lectures/00_-_Year_wise/Devotional_Nectar_-_2010/2010-03-30_Initiation_Lecture-Brahmacaris_And_Their_Parents_-_Radhanath_Swami_ISKCON_Chowpatty.mp3", "2010-03-30_Initiation_Lecture-Brahmacaris_And_Their_Parents_-_Radhanath_Swami_ISKCON_Chowpatty.mp3")</f>
        <v>2010-03-30_Initiation_Lecture-Brahmacaris_And_Their_Parents_-_Radhanath_Swami_ISKCON_Chowpatty.mp3</v>
      </c>
      <c r="D2495" s="24"/>
      <c r="E2495" s="24"/>
    </row>
    <row r="2496">
      <c r="A2496" s="25" t="s">
        <v>18352</v>
      </c>
      <c r="B2496" s="25" t="s">
        <v>18374</v>
      </c>
      <c r="C2496" s="26" t="str">
        <f>HYPERLINK("https://audio.iskcondesiretree.com/02_-_ISKCON_Swamis/ISKCON_Swamis_-_R_to_Y/His_Holiness_Radhanath_Swami/Lectures/00_-_Year_wise/Devotional_Nectar_-_2010/2010-04-01_SB_Radhanath_Swami_ISKCON_Delhi_-_Radhanath_Swami.mp3", "2010-04-01_SB_Radhanath_Swami_ISKCON_Delhi_-_Radhanath_Swami.mp3")</f>
        <v>2010-04-01_SB_Radhanath_Swami_ISKCON_Delhi_-_Radhanath_Swami.mp3</v>
      </c>
      <c r="D2496" s="24"/>
      <c r="E2496" s="24"/>
    </row>
    <row r="2497">
      <c r="A2497" s="25" t="s">
        <v>18352</v>
      </c>
      <c r="B2497" s="25" t="s">
        <v>18374</v>
      </c>
      <c r="C2497" s="26" t="str">
        <f>HYPERLINK("https://audio.iskcondesiretree.com/02_-_ISKCON_Swamis/ISKCON_Swamis_-_R_to_Y/His_Holiness_Radhanath_Swami/Lectures/00_-_Year_wise/Devotional_Nectar_-_2010/2010-04-10_Prerna_Festival_-_In_Search_Of_Lost_Love_-_Radhanath_Swami_ISKCON_Chowpatty.mp3", "2010-04-10_Prerna_Festival_-_In_Search_Of_Lost_Love_-_Radhanath_Swami_ISKCON_Chowpatty.mp3")</f>
        <v>2010-04-10_Prerna_Festival_-_In_Search_Of_Lost_Love_-_Radhanath_Swami_ISKCON_Chowpatty.mp3</v>
      </c>
      <c r="D2497" s="24"/>
      <c r="E2497" s="24"/>
    </row>
    <row r="2498">
      <c r="A2498" s="25" t="s">
        <v>18352</v>
      </c>
      <c r="B2498" s="25" t="s">
        <v>18374</v>
      </c>
      <c r="C2498" s="26" t="str">
        <f>HYPERLINK("https://audio.iskcondesiretree.com/02_-_ISKCON_Swamis/ISKCON_Swamis_-_R_to_Y/His_Holiness_Radhanath_Swami/Lectures/00_-_Year_wise/Devotional_Nectar_-_2010/2010-04-11_Sunday_Feast_-_Every_Breath_Is_A_Death_Breath_-_Radhanath_Swami_ISKCON_Chowpatty.mp3", "2010-04-11_Sunday_Feast_-_Every_Breath_Is_A_Death_Breath_-_Radhanath_Swami_ISKCON_Chowpatty.mp3")</f>
        <v>2010-04-11_Sunday_Feast_-_Every_Breath_Is_A_Death_Breath_-_Radhanath_Swami_ISKCON_Chowpatty.mp3</v>
      </c>
      <c r="D2498" s="24"/>
      <c r="E2498" s="24"/>
    </row>
    <row r="2499">
      <c r="A2499" s="25" t="s">
        <v>18352</v>
      </c>
      <c r="B2499" s="25" t="s">
        <v>18374</v>
      </c>
      <c r="C2499" s="26" t="str">
        <f>HYPERLINK("https://audio.iskcondesiretree.com/02_-_ISKCON_Swamis/ISKCON_Swamis_-_R_to_Y/His_Holiness_Radhanath_Swami/Lectures/00_-_Year_wise/Devotional_Nectar_-_2010/2010-04-15_SB_04-23-27_-_Importance_of_Purushottam_Adhika_Masa_-_Radhanath_Swami_Juhu.mp3", "2010-04-15_SB_04-23-27_-_Importance_of_Purushottam_Adhika_Masa_-_Radhanath_Swami_Juhu.mp3")</f>
        <v>2010-04-15_SB_04-23-27_-_Importance_of_Purushottam_Adhika_Masa_-_Radhanath_Swami_Juhu.mp3</v>
      </c>
      <c r="D2499" s="24"/>
      <c r="E2499" s="24"/>
    </row>
    <row r="2500">
      <c r="A2500" s="25" t="s">
        <v>18352</v>
      </c>
      <c r="B2500" s="25" t="s">
        <v>18374</v>
      </c>
      <c r="C2500" s="26" t="str">
        <f>HYPERLINK("https://audio.iskcondesiretree.com/02_-_ISKCON_Swamis/ISKCON_Swamis_-_R_to_Y/His_Holiness_Radhanath_Swami/Lectures/00_-_Year_wise/Devotional_Nectar_-_2010/2010-04-16_SB_01-02-06_-_Divinity_and_Divine_Service_-_Radhanath_Swami_Mumbai.mp3", "2010-04-16_SB_01-02-06_-_Divinity_and_Divine_Service_-_Radhanath_Swami_Mumbai.mp3")</f>
        <v>2010-04-16_SB_01-02-06_-_Divinity_and_Divine_Service_-_Radhanath_Swami_Mumbai.mp3</v>
      </c>
      <c r="D2500" s="24"/>
      <c r="E2500" s="24"/>
    </row>
    <row r="2501">
      <c r="A2501" s="25" t="s">
        <v>18352</v>
      </c>
      <c r="B2501" s="25" t="s">
        <v>18374</v>
      </c>
      <c r="C2501" s="26" t="str">
        <f>HYPERLINK("https://audio.iskcondesiretree.com/02_-_ISKCON_Swamis/ISKCON_Swamis_-_R_to_Y/His_Holiness_Radhanath_Swami/Lectures/00_-_Year_wise/Devotional_Nectar_-_2010/2010-04-18_Various_-_Every_Moment_is_a_Chance_to_Love_Krishna_-_Radhanath_Swami_Mumbai.mp3", "2010-04-18_Various_-_Every_Moment_is_a_Chance_to_Love_Krishna_-_Radhanath_Swami_Mumbai.mp3")</f>
        <v>2010-04-18_Various_-_Every_Moment_is_a_Chance_to_Love_Krishna_-_Radhanath_Swami_Mumbai.mp3</v>
      </c>
      <c r="D2501" s="24"/>
      <c r="E2501" s="24"/>
    </row>
    <row r="2502">
      <c r="A2502" s="25" t="s">
        <v>18352</v>
      </c>
      <c r="B2502" s="25" t="s">
        <v>18374</v>
      </c>
      <c r="C2502" s="26" t="str">
        <f>HYPERLINK("https://audio.iskcondesiretree.com/02_-_ISKCON_Swamis/ISKCON_Swamis_-_R_to_Y/His_Holiness_Radhanath_Swami/Lectures/00_-_Year_wise/Devotional_Nectar_-_2010/2010-04-23_-_Evening_Class_-_Radhanath_Swami.mp3", "2010-04-23_-_Evening_Class_-_Radhanath_Swami.mp3")</f>
        <v>2010-04-23_-_Evening_Class_-_Radhanath_Swami.mp3</v>
      </c>
      <c r="D2502" s="24"/>
      <c r="E2502" s="24"/>
    </row>
    <row r="2503">
      <c r="A2503" s="25" t="s">
        <v>18352</v>
      </c>
      <c r="B2503" s="25" t="s">
        <v>18374</v>
      </c>
      <c r="C2503" s="26" t="str">
        <f>HYPERLINK("https://audio.iskcondesiretree.com/02_-_ISKCON_Swamis/ISKCON_Swamis_-_R_to_Y/His_Holiness_Radhanath_Swami/Lectures/00_-_Year_wise/Devotional_Nectar_-_2010/2010-04-23_Various_-_Vaikuntha_is_the_residence_of_Lord_-_Radhanath_Sw_Bhaktivedanta_Manor.mp3", "2010-04-23_Various_-_Vaikuntha_is_the_residence_of_Lord_-_Radhanath_Sw_Bhaktivedanta_Manor.mp3")</f>
        <v>2010-04-23_Various_-_Vaikuntha_is_the_residence_of_Lord_-_Radhanath_Sw_Bhaktivedanta_Manor.mp3</v>
      </c>
      <c r="D2503" s="24"/>
      <c r="E2503" s="24"/>
    </row>
    <row r="2504">
      <c r="A2504" s="25" t="s">
        <v>18352</v>
      </c>
      <c r="B2504" s="25" t="s">
        <v>18374</v>
      </c>
      <c r="C2504" s="26" t="str">
        <f>HYPERLINK("https://audio.iskcondesiretree.com/02_-_ISKCON_Swamis/ISKCON_Swamis_-_R_to_Y/His_Holiness_Radhanath_Swami/Lectures/00_-_Year_wise/Devotional_Nectar_-_2010/2010-04-24_-_Initiation_Address_-_Radhanath_Swami.mp3", "2010-04-24_-_Initiation_Address_-_Radhanath_Swami.mp3")</f>
        <v>2010-04-24_-_Initiation_Address_-_Radhanath_Swami.mp3</v>
      </c>
      <c r="D2504" s="24"/>
      <c r="E2504" s="24"/>
    </row>
    <row r="2505">
      <c r="A2505" s="25" t="s">
        <v>18352</v>
      </c>
      <c r="B2505" s="25" t="s">
        <v>18374</v>
      </c>
      <c r="C2505" s="26" t="str">
        <f>HYPERLINK("https://audio.iskcondesiretree.com/02_-_ISKCON_Swamis/ISKCON_Swamis_-_R_to_Y/His_Holiness_Radhanath_Swami/Lectures/00_-_Year_wise/Devotional_Nectar_-_2010/2010-04-26_Festivals_-_Govardhan_Puja_-_Radhanath_Swami_New_York.mp3", "2010-04-26_Festivals_-_Govardhan_Puja_-_Radhanath_Swami_New_York.mp3")</f>
        <v>2010-04-26_Festivals_-_Govardhan_Puja_-_Radhanath_Swami_New_York.mp3</v>
      </c>
      <c r="D2505" s="24"/>
      <c r="E2505" s="24"/>
    </row>
    <row r="2506">
      <c r="A2506" s="25" t="s">
        <v>18352</v>
      </c>
      <c r="B2506" s="25" t="s">
        <v>18374</v>
      </c>
      <c r="C2506" s="26" t="str">
        <f>HYPERLINK("https://audio.iskcondesiretree.com/02_-_ISKCON_Swamis/ISKCON_Swamis_-_R_to_Y/His_Holiness_Radhanath_Swami/Lectures/00_-_Year_wise/Devotional_Nectar_-_2010/2010-04-29_-_SB_Class_-_Radhanath_Swami_New_York_City.mp3", "2010-04-29_-_SB_Class_-_Radhanath_Swami_New_York_City.mp3")</f>
        <v>2010-04-29_-_SB_Class_-_Radhanath_Swami_New_York_City.mp3</v>
      </c>
      <c r="D2506" s="24"/>
      <c r="E2506" s="24"/>
    </row>
    <row r="2507">
      <c r="A2507" s="25" t="s">
        <v>18352</v>
      </c>
      <c r="B2507" s="25" t="s">
        <v>18374</v>
      </c>
      <c r="C2507" s="26" t="str">
        <f>HYPERLINK("https://audio.iskcondesiretree.com/02_-_ISKCON_Swamis/ISKCON_Swamis_-_R_to_Y/His_Holiness_Radhanath_Swami/Lectures/00_-_Year_wise/Devotional_Nectar_-_2010/2010-05-28_Krishna_Balaram_Pastimes_-_Radhanath_Swami_ISKCON_Alachua.mp3", "2010-05-28_Krishna_Balaram_Pastimes_-_Radhanath_Swami_ISKCON_Alachua.mp3")</f>
        <v>2010-05-28_Krishna_Balaram_Pastimes_-_Radhanath_Swami_ISKCON_Alachua.mp3</v>
      </c>
      <c r="D2507" s="24"/>
      <c r="E2507" s="24"/>
    </row>
    <row r="2508">
      <c r="A2508" s="25" t="s">
        <v>18352</v>
      </c>
      <c r="B2508" s="25" t="s">
        <v>18374</v>
      </c>
      <c r="C2508" s="26" t="str">
        <f>HYPERLINK("https://audio.iskcondesiretree.com/02_-_ISKCON_Swamis/ISKCON_Swamis_-_R_to_Y/His_Holiness_Radhanath_Swami/Lectures/00_-_Year_wise/Devotional_Nectar_-_2010/2010-06-02_-_Morning_Class_-_Radhanath_Swami_Alachua_Florida.mp3", "2010-06-02_-_Morning_Class_-_Radhanath_Swami_Alachua_Florida.mp3")</f>
        <v>2010-06-02_-_Morning_Class_-_Radhanath_Swami_Alachua_Florida.mp3</v>
      </c>
      <c r="D2508" s="24"/>
      <c r="E2508" s="24"/>
    </row>
    <row r="2509">
      <c r="A2509" s="25" t="s">
        <v>18352</v>
      </c>
      <c r="B2509" s="25" t="s">
        <v>18374</v>
      </c>
      <c r="C2509" s="26" t="str">
        <f>HYPERLINK("https://audio.iskcondesiretree.com/02_-_ISKCON_Swamis/ISKCON_Swamis_-_R_to_Y/His_Holiness_Radhanath_Swami/Lectures/00_-_Year_wise/Devotional_Nectar_-_2010/2010-06-20_Evening_Lecture_-_Radhanath_Swami_Amsterdam.mp3", "2010-06-20_Evening_Lecture_-_Radhanath_Swami_Amsterdam.mp3")</f>
        <v>2010-06-20_Evening_Lecture_-_Radhanath_Swami_Amsterdam.mp3</v>
      </c>
      <c r="D2509" s="24"/>
      <c r="E2509" s="24"/>
    </row>
    <row r="2510">
      <c r="A2510" s="25" t="s">
        <v>18352</v>
      </c>
      <c r="B2510" s="25" t="s">
        <v>18374</v>
      </c>
      <c r="C2510" s="26" t="str">
        <f>HYPERLINK("https://audio.iskcondesiretree.com/02_-_ISKCON_Swamis/ISKCON_Swamis_-_R_to_Y/His_Holiness_Radhanath_Swami/Lectures/00_-_Year_wise/Devotional_Nectar_-_2010/2010-06-20_Morning_Lecture_-_Radhanath_Swami_Amsterdam.mp3", "2010-06-20_Morning_Lecture_-_Radhanath_Swami_Amsterdam.mp3")</f>
        <v>2010-06-20_Morning_Lecture_-_Radhanath_Swami_Amsterdam.mp3</v>
      </c>
      <c r="D2510" s="24"/>
      <c r="E2510" s="24"/>
    </row>
    <row r="2511">
      <c r="A2511" s="25" t="s">
        <v>18352</v>
      </c>
      <c r="B2511" s="25" t="s">
        <v>18374</v>
      </c>
      <c r="C2511" s="26" t="str">
        <f>HYPERLINK("https://audio.iskcondesiretree.com/02_-_ISKCON_Swamis/ISKCON_Swamis_-_R_to_Y/His_Holiness_Radhanath_Swami/Lectures/00_-_Year_wise/Devotional_Nectar_-_2010/2010-06-21_Desciple_Gathering_Rotterdam_-_Radhanath_Swami_and%20Dhananjaya_Das_Netherland.mp3", "2010-06-21_Desciple_Gathering_Rotterdam_-_Radhanath_Swami_and%20Dhananjaya_Das_Netherland.mp3")</f>
        <v>2010-06-21_Desciple_Gathering_Rotterdam_-_Radhanath_Swami_and%20Dhananjaya_Das_Netherland.mp3</v>
      </c>
      <c r="D2511" s="24"/>
      <c r="E2511" s="24"/>
    </row>
    <row r="2512">
      <c r="A2512" s="25" t="s">
        <v>18352</v>
      </c>
      <c r="B2512" s="25" t="s">
        <v>18374</v>
      </c>
      <c r="C2512" s="26" t="str">
        <f>HYPERLINK("https://audio.iskcondesiretree.com/02_-_ISKCON_Swamis/ISKCON_Swamis_-_R_to_Y/His_Holiness_Radhanath_Swami/Lectures/00_-_Year_wise/Devotional_Nectar_-_2010/2010-06-22_SB_04-28-27_-_Radhanath_Swami_Radhadesh.mp3", "2010-06-22_SB_04-28-27_-_Radhanath_Swami_Radhadesh.mp3")</f>
        <v>2010-06-22_SB_04-28-27_-_Radhanath_Swami_Radhadesh.mp3</v>
      </c>
      <c r="D2512" s="24"/>
      <c r="E2512" s="24"/>
    </row>
    <row r="2513">
      <c r="A2513" s="25" t="s">
        <v>18352</v>
      </c>
      <c r="B2513" s="25" t="s">
        <v>18374</v>
      </c>
      <c r="C2513" s="26" t="str">
        <f>HYPERLINK("https://audio.iskcondesiretree.com/02_-_ISKCON_Swamis/ISKCON_Swamis_-_R_to_Y/His_Holiness_Radhanath_Swami/Lectures/00_-_Year_wise/Devotional_Nectar_-_2010/2010-06-23_-_Reception_of_Devotees_-_Radhanath_Swami_Kiev.mp3", "2010-06-23_-_Reception_of_Devotees_-_Radhanath_Swami_Kiev.mp3")</f>
        <v>2010-06-23_-_Reception_of_Devotees_-_Radhanath_Swami_Kiev.mp3</v>
      </c>
      <c r="D2513" s="24"/>
      <c r="E2513" s="24"/>
    </row>
    <row r="2514">
      <c r="A2514" s="25" t="s">
        <v>18352</v>
      </c>
      <c r="B2514" s="25" t="s">
        <v>18374</v>
      </c>
      <c r="C2514" s="26" t="str">
        <f>HYPERLINK("https://audio.iskcondesiretree.com/02_-_ISKCON_Swamis/ISKCON_Swamis_-_R_to_Y/His_Holiness_Radhanath_Swami/Lectures/00_-_Year_wise/Devotional_Nectar_-_2010/2010-06-24_-_Raghunatha_Das_Goswami_-_Radhanath_Swami_Kiev.mp3", "2010-06-24_-_Raghunatha_Das_Goswami_-_Radhanath_Swami_Kiev.mp3")</f>
        <v>2010-06-24_-_Raghunatha_Das_Goswami_-_Radhanath_Swami_Kiev.mp3</v>
      </c>
      <c r="D2514" s="24"/>
      <c r="E2514" s="24"/>
    </row>
    <row r="2515">
      <c r="A2515" s="25" t="s">
        <v>18352</v>
      </c>
      <c r="B2515" s="25" t="s">
        <v>18374</v>
      </c>
      <c r="C2515" s="26" t="str">
        <f>HYPERLINK("https://audio.iskcondesiretree.com/02_-_ISKCON_Swamis/ISKCON_Swamis_-_R_to_Y/His_Holiness_Radhanath_Swami/Lectures/00_-_Year_wise/Devotional_Nectar_-_2010/2010-06-24_Kiev_Ukraine_Radhanath_Swami.mp3", "2010-06-24_Kiev_Ukraine_Radhanath_Swami.mp3")</f>
        <v>2010-06-24_Kiev_Ukraine_Radhanath_Swami.mp3</v>
      </c>
      <c r="D2515" s="24"/>
      <c r="E2515" s="24"/>
    </row>
    <row r="2516">
      <c r="A2516" s="25" t="s">
        <v>18352</v>
      </c>
      <c r="B2516" s="25" t="s">
        <v>18374</v>
      </c>
      <c r="C2516" s="26" t="str">
        <f>HYPERLINK("https://audio.iskcondesiretree.com/02_-_ISKCON_Swamis/ISKCON_Swamis_-_R_to_Y/His_Holiness_Radhanath_Swami/Lectures/00_-_Year_wise/Devotional_Nectar_-_2010/2010-06-25_-_How_to_percieve_Krishna_in_our_daily_life_-_Radhanath_Swami_and_Niranjan_Swami.mp3", "2010-06-25_-_How_to_percieve_Krishna_in_our_daily_life_-_Radhanath_Swami_and_Niranjan_Swami.mp3")</f>
        <v>2010-06-25_-_How_to_percieve_Krishna_in_our_daily_life_-_Radhanath_Swami_and_Niranjan_Swami.mp3</v>
      </c>
      <c r="D2516" s="24"/>
      <c r="E2516" s="24"/>
    </row>
    <row r="2517">
      <c r="A2517" s="25" t="s">
        <v>18352</v>
      </c>
      <c r="B2517" s="25" t="s">
        <v>18374</v>
      </c>
      <c r="C2517" s="26" t="str">
        <f>HYPERLINK("https://audio.iskcondesiretree.com/02_-_ISKCON_Swamis/ISKCON_Swamis_-_R_to_Y/His_Holiness_Radhanath_Swami/Lectures/00_-_Year_wise/Devotional_Nectar_-_2010/2010-06-25_Kiev_Ukraine_Radhanath_Swami_with_Niranjana_Swami.mp3", "2010-06-25_Kiev_Ukraine_Radhanath_Swami_with_Niranjana_Swami.mp3")</f>
        <v>2010-06-25_Kiev_Ukraine_Radhanath_Swami_with_Niranjana_Swami.mp3</v>
      </c>
      <c r="D2517" s="24"/>
      <c r="E2517" s="24"/>
    </row>
    <row r="2518">
      <c r="A2518" s="25" t="s">
        <v>18352</v>
      </c>
      <c r="B2518" s="25" t="s">
        <v>18374</v>
      </c>
      <c r="C2518" s="26" t="str">
        <f>HYPERLINK("https://audio.iskcondesiretree.com/02_-_ISKCON_Swamis/ISKCON_Swamis_-_R_to_Y/His_Holiness_Radhanath_Swami/Lectures/00_-_Year_wise/Devotional_Nectar_-_2010/2010-06-26_-_He_Krishna_Karuna_Sindhu_-_Radhanath_Swami_Kiev.mp3", "2010-06-26_-_He_Krishna_Karuna_Sindhu_-_Radhanath_Swami_Kiev.mp3")</f>
        <v>2010-06-26_-_He_Krishna_Karuna_Sindhu_-_Radhanath_Swami_Kiev.mp3</v>
      </c>
      <c r="D2518" s="24"/>
      <c r="E2518" s="24"/>
    </row>
    <row r="2519">
      <c r="A2519" s="25" t="s">
        <v>18352</v>
      </c>
      <c r="B2519" s="25" t="s">
        <v>18374</v>
      </c>
      <c r="C2519" s="26" t="str">
        <f>HYPERLINK("https://audio.iskcondesiretree.com/02_-_ISKCON_Swamis/ISKCON_Swamis_-_R_to_Y/His_Holiness_Radhanath_Swami/Lectures/00_-_Year_wise/Devotional_Nectar_-_2010/2010-06-26_-_Lord_Chaitanya_came_to_bestow_gift_of_Pure_Bhakti_-_Radhanath_Swami_Kiev.mp3", "2010-06-26_-_Lord_Chaitanya_came_to_bestow_gift_of_Pure_Bhakti_-_Radhanath_Swami_Kiev.mp3")</f>
        <v>2010-06-26_-_Lord_Chaitanya_came_to_bestow_gift_of_Pure_Bhakti_-_Radhanath_Swami_Kiev.mp3</v>
      </c>
      <c r="D2519" s="24"/>
      <c r="E2519" s="24"/>
    </row>
    <row r="2520">
      <c r="A2520" s="25" t="s">
        <v>18352</v>
      </c>
      <c r="B2520" s="25" t="s">
        <v>18374</v>
      </c>
      <c r="C2520" s="26" t="str">
        <f>HYPERLINK("https://audio.iskcondesiretree.com/02_-_ISKCON_Swamis/ISKCON_Swamis_-_R_to_Y/His_Holiness_Radhanath_Swami/Lectures/00_-_Year_wise/Devotional_Nectar_-_2010/2010-06-26_Evening_darshan_Kiev_Ukraine_Radhanath_Swami.mp3", "2010-06-26_Evening_darshan_Kiev_Ukraine_Radhanath_Swami.mp3")</f>
        <v>2010-06-26_Evening_darshan_Kiev_Ukraine_Radhanath_Swami.mp3</v>
      </c>
      <c r="D2520" s="24"/>
      <c r="E2520" s="24"/>
    </row>
    <row r="2521">
      <c r="A2521" s="25" t="s">
        <v>18352</v>
      </c>
      <c r="B2521" s="25" t="s">
        <v>18374</v>
      </c>
      <c r="C2521" s="26" t="str">
        <f>HYPERLINK("https://audio.iskcondesiretree.com/02_-_ISKCON_Swamis/ISKCON_Swamis_-_R_to_Y/His_Holiness_Radhanath_Swami/Lectures/00_-_Year_wise/Devotional_Nectar_-_2010/2010-06-26_Kiev_Ukraine_Radhanath_Swami.mp3", "2010-06-26_Kiev_Ukraine_Radhanath_Swami.mp3")</f>
        <v>2010-06-26_Kiev_Ukraine_Radhanath_Swami.mp3</v>
      </c>
      <c r="D2521" s="24"/>
      <c r="E2521" s="24"/>
    </row>
    <row r="2522">
      <c r="A2522" s="25" t="s">
        <v>18352</v>
      </c>
      <c r="B2522" s="25" t="s">
        <v>18374</v>
      </c>
      <c r="C2522" s="26" t="str">
        <f>HYPERLINK("https://audio.iskcondesiretree.com/02_-_ISKCON_Swamis/ISKCON_Swamis_-_R_to_Y/His_Holiness_Radhanath_Swami/Lectures/00_-_Year_wise/Devotional_Nectar_-_2010/2010-06-27_-_Sunday_Feast_Program_-_Radhanath_Swami_and_Niranjan_Swami_Kiev.mp3", "2010-06-27_-_Sunday_Feast_Program_-_Radhanath_Swami_and_Niranjan_Swami_Kiev.mp3")</f>
        <v>2010-06-27_-_Sunday_Feast_Program_-_Radhanath_Swami_and_Niranjan_Swami_Kiev.mp3</v>
      </c>
      <c r="D2522" s="24"/>
      <c r="E2522" s="24"/>
    </row>
    <row r="2523">
      <c r="A2523" s="25" t="s">
        <v>18352</v>
      </c>
      <c r="B2523" s="25" t="s">
        <v>18374</v>
      </c>
      <c r="C2523" s="26" t="str">
        <f>HYPERLINK("https://audio.iskcondesiretree.com/02_-_ISKCON_Swamis/ISKCON_Swamis_-_R_to_Y/His_Holiness_Radhanath_Swami/Lectures/00_-_Year_wise/Devotional_Nectar_-_2010/2010-06-27_Kiev_Ukraine_Radhanath_Swami_with_Niranjana_Swami.mp3", "2010-06-27_Kiev_Ukraine_Radhanath_Swami_with_Niranjana_Swami.mp3")</f>
        <v>2010-06-27_Kiev_Ukraine_Radhanath_Swami_with_Niranjana_Swami.mp3</v>
      </c>
      <c r="D2523" s="24"/>
      <c r="E2523" s="24"/>
    </row>
    <row r="2524">
      <c r="A2524" s="25" t="s">
        <v>18352</v>
      </c>
      <c r="B2524" s="25" t="s">
        <v>18374</v>
      </c>
      <c r="C2524" s="26" t="str">
        <f>HYPERLINK("https://audio.iskcondesiretree.com/02_-_ISKCON_Swamis/ISKCON_Swamis_-_R_to_Y/His_Holiness_Radhanath_Swami/Lectures/00_-_Year_wise/Devotional_Nectar_-_2010/2010-06-28_-_Initiation_-_Radhanath_Swami_Kiev.mp3", "2010-06-28_-_Initiation_-_Radhanath_Swami_Kiev.mp3")</f>
        <v>2010-06-28_-_Initiation_-_Radhanath_Swami_Kiev.mp3</v>
      </c>
      <c r="D2524" s="24"/>
      <c r="E2524" s="24"/>
    </row>
    <row r="2525">
      <c r="A2525" s="25" t="s">
        <v>18352</v>
      </c>
      <c r="B2525" s="25" t="s">
        <v>18374</v>
      </c>
      <c r="C2525" s="26" t="str">
        <f>HYPERLINK("https://audio.iskcondesiretree.com/02_-_ISKCON_Swamis/ISKCON_Swamis_-_R_to_Y/His_Holiness_Radhanath_Swami/Lectures/00_-_Year_wise/Devotional_Nectar_-_2010/2010-06-28_-_Initiation_-_Radhanath_Swami_Kiev_Ukraine.mp3", "2010-06-28_-_Initiation_-_Radhanath_Swami_Kiev_Ukraine.mp3")</f>
        <v>2010-06-28_-_Initiation_-_Radhanath_Swami_Kiev_Ukraine.mp3</v>
      </c>
      <c r="D2525" s="24"/>
      <c r="E2525" s="24"/>
    </row>
    <row r="2526">
      <c r="A2526" s="25" t="s">
        <v>18352</v>
      </c>
      <c r="B2526" s="25" t="s">
        <v>18374</v>
      </c>
      <c r="C2526" s="26" t="str">
        <f>HYPERLINK("https://audio.iskcondesiretree.com/02_-_ISKCON_Swamis/ISKCON_Swamis_-_R_to_Y/His_Holiness_Radhanath_Swami/Lectures/00_-_Year_wise/Devotional_Nectar_-_2010/2010-07-08_Please%20use%20the%20free%20will%20to%20become%20sincere_-_Radhanath_Swami.mp3", "2010-07-08_Please%20use%20the%20free%20will%20to%20become%20sincere_-_Radhanath_Swami.mp3")</f>
        <v>2010-07-08_Please%20use%20the%20free%20will%20to%20become%20sincere_-_Radhanath_Swami.mp3</v>
      </c>
      <c r="D2526" s="24"/>
      <c r="E2526" s="24"/>
    </row>
    <row r="2527">
      <c r="A2527" s="25" t="s">
        <v>18352</v>
      </c>
      <c r="B2527" s="25" t="s">
        <v>18374</v>
      </c>
      <c r="C2527" s="26" t="str">
        <f>HYPERLINK("https://audio.iskcondesiretree.com/02_-_ISKCON_Swamis/ISKCON_Swamis_-_R_to_Y/His_Holiness_Radhanath_Swami/Lectures/00_-_Year_wise/Devotional_Nectar_-_2010/2010-07-08_Spiritual%20Medicine-1_-_Radhanath_Swami.mp3", "2010-07-08_Spiritual%20Medicine-1_-_Radhanath_Swami.mp3")</f>
        <v>2010-07-08_Spiritual%20Medicine-1_-_Radhanath_Swami.mp3</v>
      </c>
      <c r="D2527" s="24"/>
      <c r="E2527" s="24"/>
    </row>
    <row r="2528">
      <c r="A2528" s="25" t="s">
        <v>18352</v>
      </c>
      <c r="B2528" s="25" t="s">
        <v>18374</v>
      </c>
      <c r="C2528" s="26" t="str">
        <f>HYPERLINK("https://audio.iskcondesiretree.com/02_-_ISKCON_Swamis/ISKCON_Swamis_-_R_to_Y/His_Holiness_Radhanath_Swami/Lectures/00_-_Year_wise/Devotional_Nectar_-_2010/2010-07-08_Various_-_Free_Will_Sincere_-_Radhanath_Swami.mp3", "2010-07-08_Various_-_Free_Will_Sincere_-_Radhanath_Swami.mp3")</f>
        <v>2010-07-08_Various_-_Free_Will_Sincere_-_Radhanath_Swami.mp3</v>
      </c>
      <c r="D2528" s="24"/>
      <c r="E2528" s="24"/>
    </row>
    <row r="2529">
      <c r="A2529" s="25" t="s">
        <v>18352</v>
      </c>
      <c r="B2529" s="25" t="s">
        <v>18374</v>
      </c>
      <c r="C2529" s="26" t="str">
        <f>HYPERLINK("https://audio.iskcondesiretree.com/02_-_ISKCON_Swamis/ISKCON_Swamis_-_R_to_Y/His_Holiness_Radhanath_Swami/Lectures/00_-_Year_wise/Devotional_Nectar_-_2010/2010-07-09_Various_-_Narada_Muni_Jagat_Guru_-_Radhanath_Swami.mp3", "2010-07-09_Various_-_Narada_Muni_Jagat_Guru_-_Radhanath_Swami.mp3")</f>
        <v>2010-07-09_Various_-_Narada_Muni_Jagat_Guru_-_Radhanath_Swami.mp3</v>
      </c>
      <c r="D2529" s="24"/>
      <c r="E2529" s="24"/>
    </row>
    <row r="2530">
      <c r="A2530" s="25" t="s">
        <v>18352</v>
      </c>
      <c r="B2530" s="25" t="s">
        <v>18374</v>
      </c>
      <c r="C2530" s="26" t="str">
        <f>HYPERLINK("https://audio.iskcondesiretree.com/02_-_ISKCON_Swamis/ISKCON_Swamis_-_R_to_Y/His_Holiness_Radhanath_Swami/Lectures/00_-_Year_wise/Devotional_Nectar_-_2010/2010-07-09_Various_-_Spiritual_Medicine_-_Radhanath_Swami.mp3", "2010-07-09_Various_-_Spiritual_Medicine_-_Radhanath_Swami.mp3")</f>
        <v>2010-07-09_Various_-_Spiritual_Medicine_-_Radhanath_Swami.mp3</v>
      </c>
      <c r="D2530" s="24"/>
      <c r="E2530" s="24"/>
    </row>
    <row r="2531">
      <c r="A2531" s="25" t="s">
        <v>18352</v>
      </c>
      <c r="B2531" s="25" t="s">
        <v>18374</v>
      </c>
      <c r="C2531" s="26" t="str">
        <f>HYPERLINK("https://audio.iskcondesiretree.com/02_-_ISKCON_Swamis/ISKCON_Swamis_-_R_to_Y/His_Holiness_Radhanath_Swami/Lectures/00_-_Year_wise/Devotional_Nectar_-_2010/2010-07-10_Various_-_Amanina_Manadena_-_Radhanath_Swami.mp3", "2010-07-10_Various_-_Amanina_Manadena_-_Radhanath_Swami.mp3")</f>
        <v>2010-07-10_Various_-_Amanina_Manadena_-_Radhanath_Swami.mp3</v>
      </c>
      <c r="D2531" s="24"/>
      <c r="E2531" s="24"/>
    </row>
    <row r="2532">
      <c r="A2532" s="25" t="s">
        <v>18352</v>
      </c>
      <c r="B2532" s="25" t="s">
        <v>18374</v>
      </c>
      <c r="C2532" s="26" t="str">
        <f>HYPERLINK("https://audio.iskcondesiretree.com/02_-_ISKCON_Swamis/ISKCON_Swamis_-_R_to_Y/His_Holiness_Radhanath_Swami/Lectures/00_-_Year_wise/Devotional_Nectar_-_2010/2010-07-11_Various_-_Bhakti_-_Radhanath_Swami.mp3", "2010-07-11_Various_-_Bhakti_-_Radhanath_Swami.mp3")</f>
        <v>2010-07-11_Various_-_Bhakti_-_Radhanath_Swami.mp3</v>
      </c>
      <c r="D2532" s="24"/>
      <c r="E2532" s="24"/>
    </row>
    <row r="2533">
      <c r="A2533" s="25" t="s">
        <v>18352</v>
      </c>
      <c r="B2533" s="25" t="s">
        <v>18374</v>
      </c>
      <c r="C2533" s="26" t="str">
        <f>HYPERLINK("https://audio.iskcondesiretree.com/02_-_ISKCON_Swamis/ISKCON_Swamis_-_R_to_Y/His_Holiness_Radhanath_Swami/Lectures/00_-_Year_wise/Devotional_Nectar_-_2010/2010-07-11_Various_-_Bhakti_means_service_-_Radhanath_Swami.mp3", "2010-07-11_Various_-_Bhakti_means_service_-_Radhanath_Swami.mp3")</f>
        <v>2010-07-11_Various_-_Bhakti_means_service_-_Radhanath_Swami.mp3</v>
      </c>
      <c r="D2533" s="24"/>
      <c r="E2533" s="24"/>
    </row>
    <row r="2534">
      <c r="A2534" s="25" t="s">
        <v>18352</v>
      </c>
      <c r="B2534" s="25" t="s">
        <v>18374</v>
      </c>
      <c r="C2534" s="26" t="str">
        <f>HYPERLINK("https://audio.iskcondesiretree.com/02_-_ISKCON_Swamis/ISKCON_Swamis_-_R_to_Y/His_Holiness_Radhanath_Swami/Lectures/00_-_Year_wise/Devotional_Nectar_-_2010/2010-07-12_Initiations_-_Radhanath_Swami.mp3", "2010-07-12_Initiations_-_Radhanath_Swami.mp3")</f>
        <v>2010-07-12_Initiations_-_Radhanath_Swami.mp3</v>
      </c>
      <c r="D2534" s="24"/>
      <c r="E2534" s="24"/>
    </row>
    <row r="2535">
      <c r="A2535" s="25" t="s">
        <v>18352</v>
      </c>
      <c r="B2535" s="25" t="s">
        <v>18374</v>
      </c>
      <c r="C2535" s="26" t="str">
        <f>HYPERLINK("https://audio.iskcondesiretree.com/02_-_ISKCON_Swamis/ISKCON_Swamis_-_R_to_Y/His_Holiness_Radhanath_Swami/Lectures/00_-_Year_wise/Devotional_Nectar_-_2010/2010-07-12_Spiritual%20Medicine-2_-_Radhanath_Swami.mp3", "2010-07-12_Spiritual%20Medicine-2_-_Radhanath_Swami.mp3")</f>
        <v>2010-07-12_Spiritual%20Medicine-2_-_Radhanath_Swami.mp3</v>
      </c>
      <c r="D2535" s="24"/>
      <c r="E2535" s="24"/>
    </row>
    <row r="2536">
      <c r="A2536" s="25" t="s">
        <v>18352</v>
      </c>
      <c r="B2536" s="25" t="s">
        <v>18374</v>
      </c>
      <c r="C2536" s="26" t="str">
        <f>HYPERLINK("https://audio.iskcondesiretree.com/02_-_ISKCON_Swamis/ISKCON_Swamis_-_R_to_Y/His_Holiness_Radhanath_Swami/Lectures/00_-_Year_wise/Devotional_Nectar_-_2010/2010-07-12_Various_-_Initiation_-_Radhanath_Swami.mp3", "2010-07-12_Various_-_Initiation_-_Radhanath_Swami.mp3")</f>
        <v>2010-07-12_Various_-_Initiation_-_Radhanath_Swami.mp3</v>
      </c>
      <c r="D2536" s="24"/>
      <c r="E2536" s="24"/>
    </row>
    <row r="2537">
      <c r="A2537" s="25" t="s">
        <v>18352</v>
      </c>
      <c r="B2537" s="25" t="s">
        <v>18374</v>
      </c>
      <c r="C2537" s="26" t="str">
        <f>HYPERLINK("https://audio.iskcondesiretree.com/02_-_ISKCON_Swamis/ISKCON_Swamis_-_R_to_Y/His_Holiness_Radhanath_Swami/Lectures/00_-_Year_wise/Devotional_Nectar_-_2010/2010-07-14_SB_07-04-29_-_Radhanath_Sw_Bhaktivedanta_Manor.mp3", "2010-07-14_SB_07-04-29_-_Radhanath_Sw_Bhaktivedanta_Manor.mp3")</f>
        <v>2010-07-14_SB_07-04-29_-_Radhanath_Sw_Bhaktivedanta_Manor.mp3</v>
      </c>
      <c r="D2537" s="24"/>
      <c r="E2537" s="24"/>
    </row>
    <row r="2538">
      <c r="A2538" s="25" t="s">
        <v>18352</v>
      </c>
      <c r="B2538" s="25" t="s">
        <v>18374</v>
      </c>
      <c r="C2538" s="26" t="str">
        <f>HYPERLINK("https://audio.iskcondesiretree.com/02_-_ISKCON_Swamis/ISKCON_Swamis_-_R_to_Y/His_Holiness_Radhanath_Swami/Lectures/00_-_Year_wise/Devotional_Nectar_-_2010/2010-08-02_Radio_Interview_-_Ajayan_at_Mind_Matters_Radio_with_Radhanath_Swami_Seattle_USA.mp3", "2010-08-02_Radio_Interview_-_Ajayan_at_Mind_Matters_Radio_with_Radhanath_Swami_Seattle_USA.mp3")</f>
        <v>2010-08-02_Radio_Interview_-_Ajayan_at_Mind_Matters_Radio_with_Radhanath_Swami_Seattle_USA.mp3</v>
      </c>
      <c r="D2538" s="24"/>
      <c r="E2538" s="24"/>
    </row>
    <row r="2539">
      <c r="A2539" s="25" t="s">
        <v>18352</v>
      </c>
      <c r="B2539" s="25" t="s">
        <v>18374</v>
      </c>
      <c r="C2539" s="26" t="str">
        <f>HYPERLINK("https://audio.iskcondesiretree.com/02_-_ISKCON_Swamis/ISKCON_Swamis_-_R_to_Y/His_Holiness_Radhanath_Swami/Lectures/00_-_Year_wise/Devotional_Nectar_-_2010/2010-08-26_-_A_Learned_Person_is_one_whos_sees_everyone_equal_-_Radhanath_Swami_San_Diego.mp3", "2010-08-26_-_A_Learned_Person_is_one_whos_sees_everyone_equal_-_Radhanath_Swami_San_Diego.mp3")</f>
        <v>2010-08-26_-_A_Learned_Person_is_one_whos_sees_everyone_equal_-_Radhanath_Swami_San_Diego.mp3</v>
      </c>
      <c r="D2539" s="24"/>
      <c r="E2539" s="24"/>
    </row>
    <row r="2540">
      <c r="A2540" s="25" t="s">
        <v>18352</v>
      </c>
      <c r="B2540" s="25" t="s">
        <v>18374</v>
      </c>
      <c r="C2540" s="26" t="str">
        <f>HYPERLINK("https://audio.iskcondesiretree.com/02_-_ISKCON_Swamis/ISKCON_Swamis_-_R_to_Y/His_Holiness_Radhanath_Swami/Lectures/00_-_Year_wise/Devotional_Nectar_-_2010/2010-08-26_SB_05-25-06_-_Radhanath_Swami_Los_Angeles.mp3", "2010-08-26_SB_05-25-06_-_Radhanath_Swami_Los_Angeles.mp3")</f>
        <v>2010-08-26_SB_05-25-06_-_Radhanath_Swami_Los_Angeles.mp3</v>
      </c>
      <c r="D2540" s="24"/>
      <c r="E2540" s="24"/>
    </row>
    <row r="2541">
      <c r="A2541" s="25" t="s">
        <v>18352</v>
      </c>
      <c r="B2541" s="25" t="s">
        <v>18374</v>
      </c>
      <c r="C2541" s="26" t="str">
        <f>HYPERLINK("https://audio.iskcondesiretree.com/02_-_ISKCON_Swamis/ISKCON_Swamis_-_R_to_Y/His_Holiness_Radhanath_Swami/Lectures/00_-_Year_wise/Devotional_Nectar_-_2010/2010-08-27_-_Seeing%20All%20Living%20Entities%20Equally%20With%20Love_-_Radhanath_Swami_SanDiego.mp3", "2010-08-27_-_Seeing%20All%20Living%20Entities%20Equally%20With%20Love_-_Radhanath_Swami_SanDiego.mp3")</f>
        <v>2010-08-27_-_Seeing%20All%20Living%20Entities%20Equally%20With%20Love_-_Radhanath_Swami_SanDiego.mp3</v>
      </c>
      <c r="D2541" s="24"/>
      <c r="E2541" s="24"/>
    </row>
    <row r="2542">
      <c r="A2542" s="25" t="s">
        <v>18352</v>
      </c>
      <c r="B2542" s="25" t="s">
        <v>18374</v>
      </c>
      <c r="C2542" s="26" t="str">
        <f>HYPERLINK("https://audio.iskcondesiretree.com/02_-_ISKCON_Swamis/ISKCON_Swamis_-_R_to_Y/His_Holiness_Radhanath_Swami/Lectures/00_-_Year_wise/Devotional_Nectar_-_2010/2010-08-28_-_Lecture_-_Laguna_Beach_-_Radhanath_Swami.mp3", "2010-08-28_-_Lecture_-_Laguna_Beach_-_Radhanath_Swami.mp3")</f>
        <v>2010-08-28_-_Lecture_-_Laguna_Beach_-_Radhanath_Swami.mp3</v>
      </c>
      <c r="D2542" s="24"/>
      <c r="E2542" s="24"/>
    </row>
    <row r="2543">
      <c r="A2543" s="25" t="s">
        <v>18352</v>
      </c>
      <c r="B2543" s="25" t="s">
        <v>18374</v>
      </c>
      <c r="C2543" s="26" t="str">
        <f>HYPERLINK("https://audio.iskcondesiretree.com/02_-_ISKCON_Swamis/ISKCON_Swamis_-_R_to_Y/His_Holiness_Radhanath_Swami/Lectures/00_-_Year_wise/Devotional_Nectar_-_2010/2010-08-29_-_Narayan%27s_Home_-_Los_Angeles_Radhanath_Swami.mp3", "2010-08-29_-_Narayan%27s_Home_-_Los_Angeles_Radhanath_Swami.mp3")</f>
        <v>2010-08-29_-_Narayan%27s_Home_-_Los_Angeles_Radhanath_Swami.mp3</v>
      </c>
      <c r="D2543" s="24"/>
      <c r="E2543" s="24"/>
    </row>
    <row r="2544">
      <c r="A2544" s="25" t="s">
        <v>18352</v>
      </c>
      <c r="B2544" s="25" t="s">
        <v>18374</v>
      </c>
      <c r="C2544" s="26" t="str">
        <f>HYPERLINK("https://audio.iskcondesiretree.com/02_-_ISKCON_Swamis/ISKCON_Swamis_-_R_to_Y/His_Holiness_Radhanath_Swami/Lectures/00_-_Year_wise/Devotional_Nectar_-_2010/2010-09-01_Sri_Krishna_Janmastam_Evening_-_Radhanatha_Swami_Los_Angeles.mp3", "2010-09-01_Sri_Krishna_Janmastam_Evening_-_Radhanatha_Swami_Los_Angeles.mp3")</f>
        <v>2010-09-01_Sri_Krishna_Janmastam_Evening_-_Radhanatha_Swami_Los_Angeles.mp3</v>
      </c>
      <c r="D2544" s="24"/>
      <c r="E2544" s="24"/>
    </row>
    <row r="2545">
      <c r="A2545" s="25" t="s">
        <v>18352</v>
      </c>
      <c r="B2545" s="25" t="s">
        <v>18374</v>
      </c>
      <c r="C2545" s="26" t="str">
        <f>HYPERLINK("https://audio.iskcondesiretree.com/02_-_ISKCON_Swamis/ISKCON_Swamis_-_R_to_Y/His_Holiness_Radhanath_Swami/Lectures/00_-_Year_wise/Devotional_Nectar_-_2010/2010-09-02_-_Prabhupada_Vyasa_puja_homages_-_San_Diego_Radhanath_Swami.mp3", "2010-09-02_-_Prabhupada_Vyasa_puja_homages_-_San_Diego_Radhanath_Swami.mp3")</f>
        <v>2010-09-02_-_Prabhupada_Vyasa_puja_homages_-_San_Diego_Radhanath_Swami.mp3</v>
      </c>
      <c r="D2545" s="24"/>
      <c r="E2545" s="24"/>
    </row>
    <row r="2546">
      <c r="A2546" s="25" t="s">
        <v>18352</v>
      </c>
      <c r="B2546" s="25" t="s">
        <v>18374</v>
      </c>
      <c r="C2546" s="26" t="str">
        <f>HYPERLINK("https://audio.iskcondesiretree.com/02_-_ISKCON_Swamis/ISKCON_Swamis_-_R_to_Y/His_Holiness_Radhanath_Swami/Lectures/00_-_Year_wise/Devotional_Nectar_-_2010/2010-09-22_Radio_Interview_-_Michele_Meiche_at_Awakenings_Radio_with_Radhanath_Swami_USA.mp3", "2010-09-22_Radio_Interview_-_Michele_Meiche_at_Awakenings_Radio_with_Radhanath_Swami_USA.mp3")</f>
        <v>2010-09-22_Radio_Interview_-_Michele_Meiche_at_Awakenings_Radio_with_Radhanath_Swami_USA.mp3</v>
      </c>
      <c r="D2546" s="24"/>
      <c r="E2546" s="24"/>
    </row>
    <row r="2547">
      <c r="A2547" s="25" t="s">
        <v>18352</v>
      </c>
      <c r="B2547" s="25" t="s">
        <v>18374</v>
      </c>
      <c r="C2547" s="26" t="str">
        <f>HYPERLINK("https://audio.iskcondesiretree.com/02_-_ISKCON_Swamis/ISKCON_Swamis_-_R_to_Y/His_Holiness_Radhanath_Swami/Lectures/00_-_Year_wise/Devotional_Nectar_-_2010/2010-09-28_-_Bodhi_Tree_Lecture_-_Radhanath_Swami.mp3", "2010-09-28_-_Bodhi_Tree_Lecture_-_Radhanath_Swami.mp3")</f>
        <v>2010-09-28_-_Bodhi_Tree_Lecture_-_Radhanath_Swami.mp3</v>
      </c>
      <c r="D2547" s="24"/>
      <c r="E2547" s="24"/>
    </row>
    <row r="2548">
      <c r="A2548" s="25" t="s">
        <v>18352</v>
      </c>
      <c r="B2548" s="25" t="s">
        <v>18374</v>
      </c>
      <c r="C2548" s="26" t="str">
        <f>HYPERLINK("https://audio.iskcondesiretree.com/02_-_ISKCON_Swamis/ISKCON_Swamis_-_R_to_Y/His_Holiness_Radhanath_Swami/Lectures/00_-_Year_wise/Devotional_Nectar_-_2010/2010-09-28_Radio_Interview_-_Dennis_Miller_with_Radhanath_Swami_USA.mp3", "2010-09-28_Radio_Interview_-_Dennis_Miller_with_Radhanath_Swami_USA.mp3")</f>
        <v>2010-09-28_Radio_Interview_-_Dennis_Miller_with_Radhanath_Swami_USA.mp3</v>
      </c>
      <c r="D2548" s="24"/>
      <c r="E2548" s="24"/>
    </row>
    <row r="2549">
      <c r="A2549" s="25" t="s">
        <v>18352</v>
      </c>
      <c r="B2549" s="25" t="s">
        <v>18374</v>
      </c>
      <c r="C2549" s="26" t="str">
        <f>HYPERLINK("https://audio.iskcondesiretree.com/02_-_ISKCON_Swamis/ISKCON_Swamis_-_R_to_Y/His_Holiness_Radhanath_Swami/Lectures/00_-_Year_wise/Devotional_Nectar_-_2010/2010-09-30_-_Yoga_Rasa_-_Radhanatha_Swami_Dallas.mp3", "2010-09-30_-_Yoga_Rasa_-_Radhanatha_Swami_Dallas.mp3")</f>
        <v>2010-09-30_-_Yoga_Rasa_-_Radhanatha_Swami_Dallas.mp3</v>
      </c>
      <c r="D2549" s="24"/>
      <c r="E2549" s="24"/>
    </row>
    <row r="2550">
      <c r="A2550" s="25" t="s">
        <v>18352</v>
      </c>
      <c r="B2550" s="25" t="s">
        <v>18374</v>
      </c>
      <c r="C2550" s="26" t="str">
        <f>HYPERLINK("https://audio.iskcondesiretree.com/02_-_ISKCON_Swamis/ISKCON_Swamis_-_R_to_Y/His_Holiness_Radhanath_Swami/Lectures/00_-_Year_wise/Devotional_Nectar_-_2010/2010-10-01_-_Nia_Moves_-_Radhanath_Swami_Dallas.mp3", "2010-10-01_-_Nia_Moves_-_Radhanath_Swami_Dallas.mp3")</f>
        <v>2010-10-01_-_Nia_Moves_-_Radhanath_Swami_Dallas.mp3</v>
      </c>
      <c r="D2550" s="24"/>
      <c r="E2550" s="24"/>
    </row>
    <row r="2551">
      <c r="A2551" s="25" t="s">
        <v>18352</v>
      </c>
      <c r="B2551" s="25" t="s">
        <v>18374</v>
      </c>
      <c r="C2551" s="26" t="str">
        <f>HYPERLINK("https://audio.iskcondesiretree.com/02_-_ISKCON_Swamis/ISKCON_Swamis_-_R_to_Y/His_Holiness_Radhanath_Swami/Lectures/00_-_Year_wise/Devotional_Nectar_-_2010/2010-10-02_-_Heights_Yoga_School_-_Radhanath_Swami_Dallas.mp3", "2010-10-02_-_Heights_Yoga_School_-_Radhanath_Swami_Dallas.mp3")</f>
        <v>2010-10-02_-_Heights_Yoga_School_-_Radhanath_Swami_Dallas.mp3</v>
      </c>
      <c r="D2551" s="24"/>
      <c r="E2551" s="24"/>
    </row>
    <row r="2552">
      <c r="A2552" s="25" t="s">
        <v>18352</v>
      </c>
      <c r="B2552" s="25" t="s">
        <v>18374</v>
      </c>
      <c r="C2552" s="26" t="str">
        <f>HYPERLINK("https://audio.iskcondesiretree.com/02_-_ISKCON_Swamis/ISKCON_Swamis_-_R_to_Y/His_Holiness_Radhanath_Swami/Lectures/00_-_Year_wise/Devotional_Nectar_-_2010/2010-10-02_-_India_House_-_Radhanath_Swami_Dallas.mp3", "2010-10-02_-_India_House_-_Radhanath_Swami_Dallas.mp3")</f>
        <v>2010-10-02_-_India_House_-_Radhanath_Swami_Dallas.mp3</v>
      </c>
      <c r="D2552" s="24"/>
      <c r="E2552" s="24"/>
    </row>
    <row r="2553">
      <c r="A2553" s="25" t="s">
        <v>18352</v>
      </c>
      <c r="B2553" s="25" t="s">
        <v>18374</v>
      </c>
      <c r="C2553" s="26" t="str">
        <f>HYPERLINK("https://audio.iskcondesiretree.com/02_-_ISKCON_Swamis/ISKCON_Swamis_-_R_to_Y/His_Holiness_Radhanath_Swami/Lectures/00_-_Year_wise/Devotional_Nectar_-_2010/2010-10-03_-_Home_Program_-_Radhanath_Swami_Texas.mp3", "2010-10-03_-_Home_Program_-_Radhanath_Swami_Texas.mp3")</f>
        <v>2010-10-03_-_Home_Program_-_Radhanath_Swami_Texas.mp3</v>
      </c>
      <c r="D2553" s="24"/>
      <c r="E2553" s="24"/>
    </row>
    <row r="2554">
      <c r="A2554" s="25" t="s">
        <v>18352</v>
      </c>
      <c r="B2554" s="25" t="s">
        <v>18374</v>
      </c>
      <c r="C2554" s="26" t="str">
        <f>HYPERLINK("https://audio.iskcondesiretree.com/02_-_ISKCON_Swamis/ISKCON_Swamis_-_R_to_Y/His_Holiness_Radhanath_Swami/Lectures/00_-_Year_wise/Devotional_Nectar_-_2010/2010-10-03_-_Houston_Temple_-_Radhanath_Swami_Dallas.mp3", "2010-10-03_-_Houston_Temple_-_Radhanath_Swami_Dallas.mp3")</f>
        <v>2010-10-03_-_Houston_Temple_-_Radhanath_Swami_Dallas.mp3</v>
      </c>
      <c r="D2554" s="24"/>
      <c r="E2554" s="24"/>
    </row>
    <row r="2555">
      <c r="A2555" s="25" t="s">
        <v>18352</v>
      </c>
      <c r="B2555" s="25" t="s">
        <v>18374</v>
      </c>
      <c r="C2555" s="26" t="str">
        <f>HYPERLINK("https://audio.iskcondesiretree.com/02_-_ISKCON_Swamis/ISKCON_Swamis_-_R_to_Y/His_Holiness_Radhanath_Swami/Lectures/00_-_Year_wise/Devotional_Nectar_-_2010/2010-10-05_Radio_Interview_-_Johnny_Tan_at_My_Mama_Kitchen_Talk_Radio_with_Radhanath_Swami_USA.mp3", "2010-10-05_Radio_Interview_-_Johnny_Tan_at_My_Mama_Kitchen_Talk_Radio_with_Radhanath_Swami_USA.mp3")</f>
        <v>2010-10-05_Radio_Interview_-_Johnny_Tan_at_My_Mama_Kitchen_Talk_Radio_with_Radhanath_Swami_USA.mp3</v>
      </c>
      <c r="D2555" s="24"/>
      <c r="E2555" s="24"/>
    </row>
    <row r="2556">
      <c r="A2556" s="25" t="s">
        <v>18352</v>
      </c>
      <c r="B2556" s="25" t="s">
        <v>18374</v>
      </c>
      <c r="C2556" s="26" t="str">
        <f>HYPERLINK("https://audio.iskcondesiretree.com/02_-_ISKCON_Swamis/ISKCON_Swamis_-_R_to_Y/His_Holiness_Radhanath_Swami/Lectures/00_-_Year_wise/Devotional_Nectar_-_2010/2010-10-06_-_Kalachandji%27s_-_Radhanath_Swami_Dallas.mp3", "2010-10-06_-_Kalachandji%27s_-_Radhanath_Swami_Dallas.mp3")</f>
        <v>2010-10-06_-_Kalachandji%27s_-_Radhanath_Swami_Dallas.mp3</v>
      </c>
      <c r="D2556" s="24"/>
      <c r="E2556" s="24"/>
    </row>
    <row r="2557">
      <c r="A2557" s="25" t="s">
        <v>18352</v>
      </c>
      <c r="B2557" s="25" t="s">
        <v>18374</v>
      </c>
      <c r="C2557" s="26" t="str">
        <f>HYPERLINK("https://audio.iskcondesiretree.com/02_-_ISKCON_Swamis/ISKCON_Swamis_-_R_to_Y/His_Holiness_Radhanath_Swami/Lectures/00_-_Year_wise/Devotional_Nectar_-_2010/2010-10-07_-_UT_of_Dallas_-_Radhanath_Swami_Dallas.mp3", "2010-10-07_-_UT_of_Dallas_-_Radhanath_Swami_Dallas.mp3")</f>
        <v>2010-10-07_-_UT_of_Dallas_-_Radhanath_Swami_Dallas.mp3</v>
      </c>
      <c r="D2557" s="24"/>
      <c r="E2557" s="24"/>
    </row>
    <row r="2558">
      <c r="A2558" s="25" t="s">
        <v>18352</v>
      </c>
      <c r="B2558" s="25" t="s">
        <v>18374</v>
      </c>
      <c r="C2558" s="26" t="str">
        <f>HYPERLINK("https://audio.iskcondesiretree.com/02_-_ISKCON_Swamis/ISKCON_Swamis_-_R_to_Y/His_Holiness_Radhanath_Swami/Lectures/00_-_Year_wise/Devotional_Nectar_-_2010/2010-10-08_-_Dallas_Conference_Center_-_Radhanath_Swami_Dallas.mp3", "2010-10-08_-_Dallas_Conference_Center_-_Radhanath_Swami_Dallas.mp3")</f>
        <v>2010-10-08_-_Dallas_Conference_Center_-_Radhanath_Swami_Dallas.mp3</v>
      </c>
      <c r="D2558" s="24"/>
      <c r="E2558" s="24"/>
    </row>
    <row r="2559">
      <c r="A2559" s="25" t="s">
        <v>18352</v>
      </c>
      <c r="B2559" s="25" t="s">
        <v>18374</v>
      </c>
      <c r="C2559" s="26" t="str">
        <f>HYPERLINK("https://audio.iskcondesiretree.com/02_-_ISKCON_Swamis/ISKCON_Swamis_-_R_to_Y/His_Holiness_Radhanath_Swami/Lectures/00_-_Year_wise/Devotional_Nectar_-_2010/2010-10-09_-_Arlington_Yoga_Center_-_Radhanath_Swami_Dallas.mp3", "2010-10-09_-_Arlington_Yoga_Center_-_Radhanath_Swami_Dallas.mp3")</f>
        <v>2010-10-09_-_Arlington_Yoga_Center_-_Radhanath_Swami_Dallas.mp3</v>
      </c>
      <c r="D2559" s="24"/>
      <c r="E2559" s="24"/>
    </row>
    <row r="2560">
      <c r="A2560" s="25" t="s">
        <v>18352</v>
      </c>
      <c r="B2560" s="25" t="s">
        <v>18374</v>
      </c>
      <c r="C2560" s="26" t="str">
        <f>HYPERLINK("https://audio.iskcondesiretree.com/02_-_ISKCON_Swamis/ISKCON_Swamis_-_R_to_Y/His_Holiness_Radhanath_Swami/Lectures/00_-_Year_wise/Devotional_Nectar_-_2010/2010-10-09_-_Pathways_Church_-_Radhanath_Swami_Dallas.mp3", "2010-10-09_-_Pathways_Church_-_Radhanath_Swami_Dallas.mp3")</f>
        <v>2010-10-09_-_Pathways_Church_-_Radhanath_Swami_Dallas.mp3</v>
      </c>
      <c r="D2560" s="24"/>
      <c r="E2560" s="24"/>
    </row>
    <row r="2561">
      <c r="A2561" s="25" t="s">
        <v>18352</v>
      </c>
      <c r="B2561" s="25" t="s">
        <v>18374</v>
      </c>
      <c r="C2561" s="26" t="str">
        <f>HYPERLINK("https://audio.iskcondesiretree.com/02_-_ISKCON_Swamis/ISKCON_Swamis_-_R_to_Y/His_Holiness_Radhanath_Swami/Lectures/00_-_Year_wise/Devotional_Nectar_-_2010/2010-10-11_Radio_Interview_-_Eliakim%20Thorpe_at_LA_Talk_Radio_with_Radhanath_Swami_USA.mp3", "2010-10-11_Radio_Interview_-_Eliakim%20Thorpe_at_LA_Talk_Radio_with_Radhanath_Swami_USA.mp3")</f>
        <v>2010-10-11_Radio_Interview_-_Eliakim%20Thorpe_at_LA_Talk_Radio_with_Radhanath_Swami_USA.mp3</v>
      </c>
      <c r="D2561" s="24"/>
      <c r="E2561" s="24"/>
    </row>
    <row r="2562">
      <c r="A2562" s="25" t="s">
        <v>18352</v>
      </c>
      <c r="B2562" s="25" t="s">
        <v>18374</v>
      </c>
      <c r="C2562" s="26" t="str">
        <f>HYPERLINK("https://audio.iskcondesiretree.com/02_-_ISKCON_Swamis/ISKCON_Swamis_-_R_to_Y/His_Holiness_Radhanath_Swami/Lectures/00_-_Year_wise/Devotional_Nectar_-_2010/2010-10-12_Radio_Interview_-_Mischke_at_WCCO_News_Radio_830_with_Radhanath_Swami_USA.mp3", "2010-10-12_Radio_Interview_-_Mischke_at_WCCO_News_Radio_830_with_Radhanath_Swami_USA.mp3")</f>
        <v>2010-10-12_Radio_Interview_-_Mischke_at_WCCO_News_Radio_830_with_Radhanath_Swami_USA.mp3</v>
      </c>
      <c r="D2562" s="24"/>
      <c r="E2562" s="24"/>
    </row>
    <row r="2563">
      <c r="A2563" s="25" t="s">
        <v>18352</v>
      </c>
      <c r="B2563" s="25" t="s">
        <v>18374</v>
      </c>
      <c r="C2563" s="26" t="str">
        <f>HYPERLINK("https://audio.iskcondesiretree.com/02_-_ISKCON_Swamis/ISKCON_Swamis_-_R_to_Y/His_Holiness_Radhanath_Swami/Lectures/00_-_Year_wise/Devotional_Nectar_-_2010/2010-10-15_-_Akashic_Bookstore.mp3", "2010-10-15_-_Akashic_Bookstore.mp3")</f>
        <v>2010-10-15_-_Akashic_Bookstore.mp3</v>
      </c>
      <c r="D2563" s="24"/>
      <c r="E2563" s="24"/>
    </row>
    <row r="2564">
      <c r="A2564" s="25" t="s">
        <v>18352</v>
      </c>
      <c r="B2564" s="25" t="s">
        <v>18374</v>
      </c>
      <c r="C2564" s="26" t="str">
        <f>HYPERLINK("https://audio.iskcondesiretree.com/02_-_ISKCON_Swamis/ISKCON_Swamis_-_R_to_Y/His_Holiness_Radhanath_Swami/Lectures/00_-_Year_wise/Devotional_Nectar_-_2010/2010-10-15_-_Srimad_Bhagavatam_class_-_Los_Angeles.mp3", "2010-10-15_-_Srimad_Bhagavatam_class_-_Los_Angeles.mp3")</f>
        <v>2010-10-15_-_Srimad_Bhagavatam_class_-_Los_Angeles.mp3</v>
      </c>
      <c r="D2564" s="24"/>
      <c r="E2564" s="24"/>
    </row>
    <row r="2565">
      <c r="A2565" s="25" t="s">
        <v>18352</v>
      </c>
      <c r="B2565" s="25" t="s">
        <v>18374</v>
      </c>
      <c r="C2565" s="26" t="str">
        <f>HYPERLINK("https://audio.iskcondesiretree.com/02_-_ISKCON_Swamis/ISKCON_Swamis_-_R_to_Y/His_Holiness_Radhanath_Swami/Lectures/00_-_Year_wise/Devotional_Nectar_-_2010/2010-10-15_Interview_-_Matt_Welsh_of_Spiritual_Media_Blog_with_Radhanath_Swami_USA.mp3", "2010-10-15_Interview_-_Matt_Welsh_of_Spiritual_Media_Blog_with_Radhanath_Swami_USA.mp3")</f>
        <v>2010-10-15_Interview_-_Matt_Welsh_of_Spiritual_Media_Blog_with_Radhanath_Swami_USA.mp3</v>
      </c>
      <c r="D2565" s="24"/>
      <c r="E2565" s="24"/>
    </row>
    <row r="2566">
      <c r="A2566" s="25" t="s">
        <v>18352</v>
      </c>
      <c r="B2566" s="25" t="s">
        <v>18374</v>
      </c>
      <c r="C2566" s="26" t="str">
        <f>HYPERLINK("https://audio.iskcondesiretree.com/02_-_ISKCON_Swamis/ISKCON_Swamis_-_R_to_Y/His_Holiness_Radhanath_Swami/Lectures/00_-_Year_wise/Devotional_Nectar_-_2010/2010-10-15_Lecture_Akashic_Bookstore_Radhanath_Swami.mp3", "2010-10-15_Lecture_Akashic_Bookstore_Radhanath_Swami.mp3")</f>
        <v>2010-10-15_Lecture_Akashic_Bookstore_Radhanath_Swami.mp3</v>
      </c>
      <c r="D2566" s="24"/>
      <c r="E2566" s="24"/>
    </row>
    <row r="2567">
      <c r="A2567" s="25" t="s">
        <v>18352</v>
      </c>
      <c r="B2567" s="25" t="s">
        <v>18374</v>
      </c>
      <c r="C2567" s="26" t="str">
        <f>HYPERLINK("https://audio.iskcondesiretree.com/02_-_ISKCON_Swamis/ISKCON_Swamis_-_R_to_Y/His_Holiness_Radhanath_Swami/Lectures/00_-_Year_wise/Devotional_Nectar_-_2010/2010-10-15_Radio_Interview_-_Robin_Rothenberg_at_Living_Yoga_Radio_with_Radhanath_Swami_USA.mp3", "2010-10-15_Radio_Interview_-_Robin_Rothenberg_at_Living_Yoga_Radio_with_Radhanath_Swami_USA.mp3")</f>
        <v>2010-10-15_Radio_Interview_-_Robin_Rothenberg_at_Living_Yoga_Radio_with_Radhanath_Swami_USA.mp3</v>
      </c>
      <c r="D2567" s="24"/>
      <c r="E2567" s="24"/>
    </row>
    <row r="2568">
      <c r="A2568" s="25" t="s">
        <v>18352</v>
      </c>
      <c r="B2568" s="25" t="s">
        <v>18374</v>
      </c>
      <c r="C2568" s="26" t="str">
        <f>HYPERLINK("https://audio.iskcondesiretree.com/02_-_ISKCON_Swamis/ISKCON_Swamis_-_R_to_Y/His_Holiness_Radhanath_Swami/Lectures/00_-_Year_wise/Devotional_Nectar_-_2010/2010-10-15_SB_-_Los_Angeles_-_Radhanath_Swami.mp3", "2010-10-15_SB_-_Los_Angeles_-_Radhanath_Swami.mp3")</f>
        <v>2010-10-15_SB_-_Los_Angeles_-_Radhanath_Swami.mp3</v>
      </c>
      <c r="D2568" s="24"/>
      <c r="E2568" s="24"/>
    </row>
    <row r="2569">
      <c r="A2569" s="25" t="s">
        <v>18352</v>
      </c>
      <c r="B2569" s="25" t="s">
        <v>18374</v>
      </c>
      <c r="C2569" s="26" t="str">
        <f>HYPERLINK("https://audio.iskcondesiretree.com/02_-_ISKCON_Swamis/ISKCON_Swamis_-_R_to_Y/His_Holiness_Radhanath_Swami/Lectures/00_-_Year_wise/Devotional_Nectar_-_2010/2010-10-17_Annual_Ratha_Yatra_Lecture_-_Radhanath_Swami_Laguna_Beach.mp3", "2010-10-17_Annual_Ratha_Yatra_Lecture_-_Radhanath_Swami_Laguna_Beach.mp3")</f>
        <v>2010-10-17_Annual_Ratha_Yatra_Lecture_-_Radhanath_Swami_Laguna_Beach.mp3</v>
      </c>
      <c r="D2569" s="24"/>
      <c r="E2569" s="24"/>
    </row>
    <row r="2570">
      <c r="A2570" s="25" t="s">
        <v>18352</v>
      </c>
      <c r="B2570" s="25" t="s">
        <v>18374</v>
      </c>
      <c r="C2570" s="26" t="str">
        <f>HYPERLINK("https://audio.iskcondesiretree.com/02_-_ISKCON_Swamis/ISKCON_Swamis_-_R_to_Y/His_Holiness_Radhanath_Swami/Lectures/00_-_Year_wise/Devotional_Nectar_-_2010/2010-10-17_Arati_-_Radhanath_Swami_Laguna_Beach.mp3", "2010-10-17_Arati_-_Radhanath_Swami_Laguna_Beach.mp3")</f>
        <v>2010-10-17_Arati_-_Radhanath_Swami_Laguna_Beach.mp3</v>
      </c>
      <c r="D2570" s="24"/>
      <c r="E2570" s="24"/>
    </row>
    <row r="2571">
      <c r="A2571" s="25" t="s">
        <v>18352</v>
      </c>
      <c r="B2571" s="25" t="s">
        <v>18374</v>
      </c>
      <c r="C2571" s="26" t="str">
        <f>HYPERLINK("https://audio.iskcondesiretree.com/02_-_ISKCON_Swamis/ISKCON_Swamis_-_R_to_Y/His_Holiness_Radhanath_Swami/Lectures/00_-_Year_wise/Devotional_Nectar_-_2010/2010-10-19_SB_Class_-_Radhanath_Swami_Los_Angeles.mp3", "2010-10-19_SB_Class_-_Radhanath_Swami_Los_Angeles.mp3")</f>
        <v>2010-10-19_SB_Class_-_Radhanath_Swami_Los_Angeles.mp3</v>
      </c>
      <c r="D2571" s="24"/>
      <c r="E2571" s="24"/>
    </row>
    <row r="2572">
      <c r="A2572" s="25" t="s">
        <v>18352</v>
      </c>
      <c r="B2572" s="25" t="s">
        <v>18374</v>
      </c>
      <c r="C2572" s="26" t="str">
        <f>HYPERLINK("https://audio.iskcondesiretree.com/02_-_ISKCON_Swamis/ISKCON_Swamis_-_R_to_Y/His_Holiness_Radhanath_Swami/Lectures/00_-_Year_wise/Devotional_Nectar_-_2010/2010-11-17_-_Lecture_-_Radhanath_Swami_Boston_University.mp3", "2010-11-17_-_Lecture_-_Radhanath_Swami_Boston_University.mp3")</f>
        <v>2010-11-17_-_Lecture_-_Radhanath_Swami_Boston_University.mp3</v>
      </c>
      <c r="D2572" s="24"/>
      <c r="E2572" s="24"/>
    </row>
    <row r="2573">
      <c r="A2573" s="25" t="s">
        <v>18352</v>
      </c>
      <c r="B2573" s="25" t="s">
        <v>18374</v>
      </c>
      <c r="C2573" s="26" t="str">
        <f>HYPERLINK("https://audio.iskcondesiretree.com/02_-_ISKCON_Swamis/ISKCON_Swamis_-_R_to_Y/His_Holiness_Radhanath_Swami/Lectures/00_-_Year_wise/Devotional_Nectar_-_2010/2010-12-07_-_Birthday_Lecture_-_Radhanath_Swami.mp3", "2010-12-07_-_Birthday_Lecture_-_Radhanath_Swami.mp3")</f>
        <v>2010-12-07_-_Birthday_Lecture_-_Radhanath_Swami.mp3</v>
      </c>
      <c r="D2573" s="24"/>
      <c r="E2573" s="24"/>
    </row>
    <row r="2574">
      <c r="A2574" s="25" t="s">
        <v>18352</v>
      </c>
      <c r="B2574" s="25" t="s">
        <v>18374</v>
      </c>
      <c r="C2574" s="26" t="str">
        <f>HYPERLINK("https://audio.iskcondesiretree.com/02_-_ISKCON_Swamis/ISKCON_Swamis_-_R_to_Y/His_Holiness_Radhanath_Swami/Lectures/00_-_Year_wise/Devotional_Nectar_-_2010/2010-12-07_-_Birthday_Offerings_-_Radhanath_Swami.mp3", "2010-12-07_-_Birthday_Offerings_-_Radhanath_Swami.mp3")</f>
        <v>2010-12-07_-_Birthday_Offerings_-_Radhanath_Swami.mp3</v>
      </c>
      <c r="D2574" s="24"/>
      <c r="E2574" s="24"/>
    </row>
    <row r="2575">
      <c r="A2575" s="25" t="s">
        <v>18352</v>
      </c>
      <c r="B2575" s="25" t="s">
        <v>18374</v>
      </c>
      <c r="C2575" s="26" t="str">
        <f>HYPERLINK("https://audio.iskcondesiretree.com/02_-_ISKCON_Swamis/ISKCON_Swamis_-_R_to_Y/His_Holiness_Radhanath_Swami/Lectures/00_-_Year_wise/Devotional_Nectar_-_2010/2010-12-10_Various_-_To_associates_with_devotees_and_to_render_some_Services_-_Radhanath_Sw.mp3", "2010-12-10_Various_-_To_associates_with_devotees_and_to_render_some_Services_-_Radhanath_Sw.mp3")</f>
        <v>2010-12-10_Various_-_To_associates_with_devotees_and_to_render_some_Services_-_Radhanath_Sw.mp3</v>
      </c>
      <c r="D2575" s="24"/>
      <c r="E2575" s="24"/>
    </row>
    <row r="2576">
      <c r="A2576" s="25" t="s">
        <v>18352</v>
      </c>
      <c r="B2576" s="25" t="s">
        <v>18374</v>
      </c>
      <c r="C2576" s="26" t="str">
        <f>HYPERLINK("https://audio.iskcondesiretree.com/02_-_ISKCON_Swamis/ISKCON_Swamis_-_R_to_Y/His_Holiness_Radhanath_Swami/Lectures/00_-_Year_wise/Devotional_Nectar_-_2010/2010-12-12_Sunday_Feast_-_Illustrations_Of_Quality_Of_Gratitude_-_Radhanath_Swami_ISKCON_Chowpatty.m"&amp;"p3", "2010-12-12_Sunday_Feast_-_Illustrations_Of_Quality_Of_Gratitude_-_Radhanath_Swami_ISKCON_Chowpatty.mp3")</f>
        <v>2010-12-12_Sunday_Feast_-_Illustrations_Of_Quality_Of_Gratitude_-_Radhanath_Swami_ISKCON_Chowpatty.mp3</v>
      </c>
      <c r="D2576" s="24"/>
      <c r="E2576" s="24"/>
    </row>
    <row r="2577">
      <c r="A2577" s="25" t="s">
        <v>18352</v>
      </c>
      <c r="B2577" s="25" t="s">
        <v>18374</v>
      </c>
      <c r="C2577" s="26" t="str">
        <f>HYPERLINK("https://audio.iskcondesiretree.com/02_-_ISKCON_Swamis/ISKCON_Swamis_-_R_to_Y/His_Holiness_Radhanath_Swami/Lectures/00_-_Year_wise/Devotional_Nectar_-_2010/2010_Festivals_-_Festival_of_Inspiration_-_Radhanath_Swami_New_Vrindavan.mp3", "2010_Festivals_-_Festival_of_Inspiration_-_Radhanath_Swami_New_Vrindavan.mp3")</f>
        <v>2010_Festivals_-_Festival_of_Inspiration_-_Radhanath_Swami_New_Vrindavan.mp3</v>
      </c>
      <c r="D2577" s="24"/>
      <c r="E2577" s="24"/>
    </row>
    <row r="2578">
      <c r="A2578" s="25" t="s">
        <v>18352</v>
      </c>
      <c r="B2578" s="25" t="s">
        <v>18374</v>
      </c>
      <c r="C2578" s="26" t="str">
        <f>HYPERLINK("https://audio.iskcondesiretree.com/02_-_ISKCON_Swamis/ISKCON_Swamis_-_R_to_Y/His_Holiness_Radhanath_Swami/Lectures/00_-_Year_wise/Devotional_Nectar_-_2010/2010_Various_-_History_of_Villa_Vrindavana_-_Radhanath_Swami.mp3", "2010_Various_-_History_of_Villa_Vrindavana_-_Radhanath_Swami.mp3")</f>
        <v>2010_Various_-_History_of_Villa_Vrindavana_-_Radhanath_Swami.mp3</v>
      </c>
      <c r="D2578" s="24"/>
      <c r="E2578" s="24"/>
    </row>
    <row r="2579">
      <c r="A2579" s="25" t="s">
        <v>18352</v>
      </c>
      <c r="B2579" s="25" t="s">
        <v>18374</v>
      </c>
      <c r="C2579" s="26" t="str">
        <f>HYPERLINK("https://audio.iskcondesiretree.com/02_-_ISKCON_Swamis/ISKCON_Swamis_-_R_to_Y/His_Holiness_Radhanath_Swami/Lectures/00_-_Year_wise/Devotional_Nectar_-_2010/Prabhupada_Vyasa_puja_homages_-_San_Diego.mp3", "Prabhupada_Vyasa_puja_homages_-_San_Diego.mp3")</f>
        <v>Prabhupada_Vyasa_puja_homages_-_San_Diego.mp3</v>
      </c>
      <c r="D2579" s="24"/>
      <c r="E2579" s="24"/>
    </row>
    <row r="2580">
      <c r="A2580" s="25" t="s">
        <v>18352</v>
      </c>
      <c r="B2580" s="25" t="s">
        <v>18374</v>
      </c>
      <c r="C2580" s="26" t="str">
        <f>HYPERLINK("https://audio.iskcondesiretree.com/02_-_ISKCON_Swamis/ISKCON_Swamis_-_R_to_Y/His_Holiness_Radhanath_Swami/Lectures/00_-_Year_wise/Devotional_Nectar_-_2010/RNS_SB_04-2-27_-_10-06-22.mp3", "RNS_SB_04-2-27_-_10-06-22.mp3")</f>
        <v>RNS_SB_04-2-27_-_10-06-22.mp3</v>
      </c>
      <c r="D2580" s="24"/>
      <c r="E2580" s="24"/>
    </row>
    <row r="2581">
      <c r="A2581" s="25" t="s">
        <v>18352</v>
      </c>
      <c r="B2581" s="25" t="s">
        <v>18375</v>
      </c>
      <c r="C2581" s="26" t="str">
        <f>HYPERLINK("https://audio.iskcondesiretree.com/02_-_ISKCON_Swamis/ISKCON_Swamis_-_R_to_Y/His_Holiness_Radhanath_Swami/Lectures/00_-_Year_wise/Devotional_Nectar_-_2011/2011-01-22_-_Ghatkopar_Rath_Yatra/Ghatkopar_Rath_Yatra_Radhanath_Swami_lecture_and_kirtan.mp3", "Ghatkopar_Rath_Yatra_Radhanath_Swami_lecture_and_kirtan.mp3")</f>
        <v>Ghatkopar_Rath_Yatra_Radhanath_Swami_lecture_and_kirtan.mp3</v>
      </c>
      <c r="D2581" s="24"/>
      <c r="E2581" s="24"/>
    </row>
    <row r="2582">
      <c r="A2582" s="25" t="s">
        <v>18352</v>
      </c>
      <c r="B2582" s="25" t="s">
        <v>18375</v>
      </c>
      <c r="C2582" s="26" t="str">
        <f>HYPERLINK("https://audio.iskcondesiretree.com/02_-_ISKCON_Swamis/ISKCON_Swamis_-_R_to_Y/His_Holiness_Radhanath_Swami/Lectures/00_-_Year_wise/Devotional_Nectar_-_2011/2011-01-26_-_ISKCON_Juhu/2011-01-26_Radhanath_Swami_ISKCON_Juhu.mp3", "2011-01-26_Radhanath_Swami_ISKCON_Juhu.mp3")</f>
        <v>2011-01-26_Radhanath_Swami_ISKCON_Juhu.mp3</v>
      </c>
      <c r="D2582" s="24"/>
      <c r="E2582" s="24"/>
    </row>
    <row r="2583">
      <c r="A2583" s="25" t="s">
        <v>18352</v>
      </c>
      <c r="B2583" s="25" t="s">
        <v>18375</v>
      </c>
      <c r="C2583" s="26" t="str">
        <f>HYPERLINK("https://audio.iskcondesiretree.com/02_-_ISKCON_Swamis/ISKCON_Swamis_-_R_to_Y/His_Holiness_Radhanath_Swami/Lectures/00_-_Year_wise/Devotional_Nectar_-_2011/2011_-_ISKCON_Hyderabad/2011-03-28_-_Book_launch_address_-_Radhanath_Swami_Hyderabad.mp3", "2011-03-28_-_Book_launch_address_-_Radhanath_Swami_Hyderabad.mp3")</f>
        <v>2011-03-28_-_Book_launch_address_-_Radhanath_Swami_Hyderabad.mp3</v>
      </c>
      <c r="D2583" s="24"/>
      <c r="E2583" s="24"/>
    </row>
    <row r="2584">
      <c r="A2584" s="25" t="s">
        <v>18352</v>
      </c>
      <c r="B2584" s="25" t="s">
        <v>18375</v>
      </c>
      <c r="C2584" s="26" t="str">
        <f>HYPERLINK("https://audio.iskcondesiretree.com/02_-_ISKCON_Swamis/ISKCON_Swamis_-_R_to_Y/His_Holiness_Radhanath_Swami/Lectures/00_-_Year_wise/Devotional_Nectar_-_2011/2011_-_ISKCON_Hyderabad/2011-03-29_-_Initiation_Lecture_-_Radhanath_Swami_ISKCON_Hyderabad.mp3", "2011-03-29_-_Initiation_Lecture_-_Radhanath_Swami_ISKCON_Hyderabad.mp3")</f>
        <v>2011-03-29_-_Initiation_Lecture_-_Radhanath_Swami_ISKCON_Hyderabad.mp3</v>
      </c>
      <c r="D2584" s="24"/>
      <c r="E2584" s="24"/>
    </row>
    <row r="2585">
      <c r="A2585" s="25" t="s">
        <v>18352</v>
      </c>
      <c r="B2585" s="25" t="s">
        <v>18375</v>
      </c>
      <c r="C2585" s="26" t="str">
        <f>HYPERLINK("https://audio.iskcondesiretree.com/02_-_ISKCON_Swamis/ISKCON_Swamis_-_R_to_Y/His_Holiness_Radhanath_Swami/Lectures/00_-_Year_wise/Devotional_Nectar_-_2011/2011_-_ISKCON_Hyderabad/2011-03-29_SB_04-31-05_-_Radhanath_Swami_ISKCON_Hyderabad.mp3", "2011-03-29_SB_04-31-05_-_Radhanath_Swami_ISKCON_Hyderabad.mp3")</f>
        <v>2011-03-29_SB_04-31-05_-_Radhanath_Swami_ISKCON_Hyderabad.mp3</v>
      </c>
      <c r="D2585" s="24"/>
      <c r="E2585" s="24"/>
    </row>
    <row r="2586">
      <c r="A2586" s="25" t="s">
        <v>18352</v>
      </c>
      <c r="B2586" s="25" t="s">
        <v>18375</v>
      </c>
      <c r="C2586" s="26" t="str">
        <f>HYPERLINK("https://audio.iskcondesiretree.com/02_-_ISKCON_Swamis/ISKCON_Swamis_-_R_to_Y/His_Holiness_Radhanath_Swami/Lectures/00_-_Year_wise/Devotional_Nectar_-_2011/2011_-_ISKCON_Hyderabad/2011-03-30_SB_01-04-02_-_Radhanath_Swami_ISKCON_Secunderabad.mp3", "2011-03-30_SB_01-04-02_-_Radhanath_Swami_ISKCON_Secunderabad.mp3")</f>
        <v>2011-03-30_SB_01-04-02_-_Radhanath_Swami_ISKCON_Secunderabad.mp3</v>
      </c>
      <c r="D2586" s="24"/>
      <c r="E2586" s="24"/>
    </row>
    <row r="2587">
      <c r="A2587" s="25" t="s">
        <v>18352</v>
      </c>
      <c r="B2587" s="25" t="s">
        <v>18375</v>
      </c>
      <c r="C2587" s="26" t="str">
        <f>HYPERLINK("https://audio.iskcondesiretree.com/02_-_ISKCON_Swamis/ISKCON_Swamis_-_R_to_Y/His_Holiness_Radhanath_Swami/Lectures/00_-_Year_wise/Devotional_Nectar_-_2011/2011_May_-_Festival_Of_Inspiration/2011-05-11_-_Question_And_Answer_-_Radhanath_Swami_New_Vrindavan."&amp;"mp3", "2011-05-11_-_Question_And_Answer_-_Radhanath_Swami_New_Vrindavan.mp3")</f>
        <v>2011-05-11_-_Question_And_Answer_-_Radhanath_Swami_New_Vrindavan.mp3</v>
      </c>
      <c r="D2587" s="24"/>
      <c r="E2587" s="24"/>
    </row>
    <row r="2588">
      <c r="A2588" s="25" t="s">
        <v>18352</v>
      </c>
      <c r="B2588" s="25" t="s">
        <v>18375</v>
      </c>
      <c r="C2588" s="26" t="str">
        <f>HYPERLINK("https://audio.iskcondesiretree.com/02_-_ISKCON_Swamis/ISKCON_Swamis_-_R_to_Y/His_Holiness_Radhanath_Swami/Lectures/00_-_Year_wise/Devotional_Nectar_-_2011/More/2011-01-05_Various_-_Address_to_Harvard_Business_Management_Students_-_Radhanath_Swami_Mumbai.m"&amp;"p3", "2011-01-05_Various_-_Address_to_Harvard_Business_Management_Students_-_Radhanath_Swami_Mumbai.mp3")</f>
        <v>2011-01-05_Various_-_Address_to_Harvard_Business_Management_Students_-_Radhanath_Swami_Mumbai.mp3</v>
      </c>
      <c r="D2588" s="24"/>
      <c r="E2588" s="24"/>
    </row>
    <row r="2589">
      <c r="A2589" s="25" t="s">
        <v>18352</v>
      </c>
      <c r="B2589" s="25" t="s">
        <v>18375</v>
      </c>
      <c r="C2589" s="26" t="str">
        <f>HYPERLINK("https://audio.iskcondesiretree.com/02_-_ISKCON_Swamis/ISKCON_Swamis_-_R_to_Y/His_Holiness_Radhanath_Swami/Lectures/00_-_Year_wise/Devotional_Nectar_-_2011/More/2011-01-08_Various_-_Sincerity_and_Compassion_-_Radhanath_Swami_Mumbai.mp3", "2011-01-08_Various_-_Sincerity_and_Compassion_-_Radhanath_Swami_Mumbai.mp3")</f>
        <v>2011-01-08_Various_-_Sincerity_and_Compassion_-_Radhanath_Swami_Mumbai.mp3</v>
      </c>
      <c r="D2589" s="24"/>
      <c r="E2589" s="24"/>
    </row>
    <row r="2590">
      <c r="A2590" s="25" t="s">
        <v>18352</v>
      </c>
      <c r="B2590" s="25" t="s">
        <v>18375</v>
      </c>
      <c r="C2590" s="26" t="str">
        <f>HYPERLINK("https://audio.iskcondesiretree.com/02_-_ISKCON_Swamis/ISKCON_Swamis_-_R_to_Y/His_Holiness_Radhanath_Swami/Lectures/00_-_Year_wise/Devotional_Nectar_-_2011/More/2011-01-09_SB-09-10-29_-_Parallels_Between_Vidura_Prahalada_And_Vibhisana_-_RNS_ISKCON_Chowpatt"&amp;"y.mp3", "2011-01-09_SB-09-10-29_-_Parallels_Between_Vidura_Prahalada_And_Vibhisana_-_RNS_ISKCON_Chowpatty.mp3")</f>
        <v>2011-01-09_SB-09-10-29_-_Parallels_Between_Vidura_Prahalada_And_Vibhisana_-_RNS_ISKCON_Chowpatty.mp3</v>
      </c>
      <c r="D2590" s="24"/>
      <c r="E2590" s="24"/>
    </row>
    <row r="2591">
      <c r="A2591" s="25" t="s">
        <v>18352</v>
      </c>
      <c r="B2591" s="25" t="s">
        <v>18375</v>
      </c>
      <c r="C2591" s="26" t="str">
        <f>HYPERLINK("https://audio.iskcondesiretree.com/02_-_ISKCON_Swamis/ISKCON_Swamis_-_R_to_Y/His_Holiness_Radhanath_Swami/Lectures/00_-_Year_wise/Devotional_Nectar_-_2011/More/2011-01-09_Sunday_Feast_-_Kirtan_-_Radhanath_Swami_ISKCON_Chowpatty.mp3", "2011-01-09_Sunday_Feast_-_Kirtan_-_Radhanath_Swami_ISKCON_Chowpatty.mp3")</f>
        <v>2011-01-09_Sunday_Feast_-_Kirtan_-_Radhanath_Swami_ISKCON_Chowpatty.mp3</v>
      </c>
      <c r="D2591" s="24"/>
      <c r="E2591" s="24"/>
    </row>
    <row r="2592">
      <c r="A2592" s="25" t="s">
        <v>18352</v>
      </c>
      <c r="B2592" s="25" t="s">
        <v>18375</v>
      </c>
      <c r="C2592" s="26" t="str">
        <f>HYPERLINK("https://audio.iskcondesiretree.com/02_-_ISKCON_Swamis/ISKCON_Swamis_-_R_to_Y/His_Holiness_Radhanath_Swami/Lectures/00_-_Year_wise/Devotional_Nectar_-_2011/More/2011-01-09_Sunday_Feast_-_Krsna_Is_Eager_For_Devotees_Happiness_-_Radhanath_Swami_ISKCON_Chowpa"&amp;"tty.mp3", "2011-01-09_Sunday_Feast_-_Krsna_Is_Eager_For_Devotees_Happiness_-_Radhanath_Swami_ISKCON_Chowpatty.mp3")</f>
        <v>2011-01-09_Sunday_Feast_-_Krsna_Is_Eager_For_Devotees_Happiness_-_Radhanath_Swami_ISKCON_Chowpatty.mp3</v>
      </c>
      <c r="D2592" s="24"/>
      <c r="E2592" s="24"/>
    </row>
    <row r="2593">
      <c r="A2593" s="25" t="s">
        <v>18352</v>
      </c>
      <c r="B2593" s="25" t="s">
        <v>18375</v>
      </c>
      <c r="C2593" s="26" t="str">
        <f>HYPERLINK("https://audio.iskcondesiretree.com/02_-_ISKCON_Swamis/ISKCON_Swamis_-_R_to_Y/His_Holiness_Radhanath_Swami/Lectures/00_-_Year_wise/Devotional_Nectar_-_2011/More/2011-01-09_Sunday_Feast_-_Krsna_Is_Eager_To_See_His_Devotees_Being_Happy_-_RNS_ISKCON_Chowpatty"&amp;".mp3", "2011-01-09_Sunday_Feast_-_Krsna_Is_Eager_To_See_His_Devotees_Being_Happy_-_RNS_ISKCON_Chowpatty.mp3")</f>
        <v>2011-01-09_Sunday_Feast_-_Krsna_Is_Eager_To_See_His_Devotees_Being_Happy_-_RNS_ISKCON_Chowpatty.mp3</v>
      </c>
      <c r="D2593" s="24"/>
      <c r="E2593" s="24"/>
    </row>
    <row r="2594">
      <c r="A2594" s="25" t="s">
        <v>18352</v>
      </c>
      <c r="B2594" s="25" t="s">
        <v>18375</v>
      </c>
      <c r="C2594" s="26" t="str">
        <f>HYPERLINK("https://audio.iskcondesiretree.com/02_-_ISKCON_Swamis/ISKCON_Swamis_-_R_to_Y/His_Holiness_Radhanath_Swami/Lectures/00_-_Year_wise/Devotional_Nectar_-_2011/More/2011-01-14_-_Dhruva_Maharaj_Teaches_The_Principle_Of_Gratitude_-_Radhanath_Swami_ISKCON_Chowpat"&amp;"ty.mp3", "2011-01-14_-_Dhruva_Maharaj_Teaches_The_Principle_Of_Gratitude_-_Radhanath_Swami_ISKCON_Chowpatty.mp3")</f>
        <v>2011-01-14_-_Dhruva_Maharaj_Teaches_The_Principle_Of_Gratitude_-_Radhanath_Swami_ISKCON_Chowpatty.mp3</v>
      </c>
      <c r="D2594" s="24"/>
      <c r="E2594" s="24"/>
    </row>
    <row r="2595">
      <c r="A2595" s="25" t="s">
        <v>18352</v>
      </c>
      <c r="B2595" s="25" t="s">
        <v>18375</v>
      </c>
      <c r="C2595" s="26" t="str">
        <f>HYPERLINK("https://audio.iskcondesiretree.com/02_-_ISKCON_Swamis/ISKCON_Swamis_-_R_to_Y/His_Holiness_Radhanath_Swami/Lectures/00_-_Year_wise/Devotional_Nectar_-_2011/More/2011-01-16_-_Sunday_Feast_Inconceivable_Ways_Of_Lord%27s_Reciprocation_-_Radhanath_Swami_ISKCON"&amp;"_Chowpatty.mp3", "2011-01-16_-_Sunday_Feast_Inconceivable_Ways_Of_Lord%27s_Reciprocation_-_Radhanath_Swami_ISKCON_Chowpatty.mp3")</f>
        <v>2011-01-16_-_Sunday_Feast_Inconceivable_Ways_Of_Lord%27s_Reciprocation_-_Radhanath_Swami_ISKCON_Chowpatty.mp3</v>
      </c>
      <c r="D2595" s="24"/>
      <c r="E2595" s="24"/>
    </row>
    <row r="2596">
      <c r="A2596" s="25" t="s">
        <v>18352</v>
      </c>
      <c r="B2596" s="25" t="s">
        <v>18375</v>
      </c>
      <c r="C2596" s="26" t="str">
        <f>HYPERLINK("https://audio.iskcondesiretree.com/02_-_ISKCON_Swamis/ISKCON_Swamis_-_R_to_Y/His_Holiness_Radhanath_Swami/Lectures/00_-_Year_wise/Devotional_Nectar_-_2011/More/2011-01-16_-_Sunday_Feast_Kirtan_-_Radhanath_Swami_ISKCON_Chowpatty.mp3", "2011-01-16_-_Sunday_Feast_Kirtan_-_Radhanath_Swami_ISKCON_Chowpatty.mp3")</f>
        <v>2011-01-16_-_Sunday_Feast_Kirtan_-_Radhanath_Swami_ISKCON_Chowpatty.mp3</v>
      </c>
      <c r="D2596" s="24"/>
      <c r="E2596" s="24"/>
    </row>
    <row r="2597">
      <c r="A2597" s="25" t="s">
        <v>18352</v>
      </c>
      <c r="B2597" s="25" t="s">
        <v>18375</v>
      </c>
      <c r="C2597" s="26" t="str">
        <f>HYPERLINK("https://audio.iskcondesiretree.com/02_-_ISKCON_Swamis/ISKCON_Swamis_-_R_to_Y/His_Holiness_Radhanath_Swami/Lectures/00_-_Year_wise/Devotional_Nectar_-_2011/More/2011-01-21_Various_-_Saffron_Awarding_Ceremony_-_Radhanath_Swami_Mumbai.mp3", "2011-01-21_Various_-_Saffron_Awarding_Ceremony_-_Radhanath_Swami_Mumbai.mp3")</f>
        <v>2011-01-21_Various_-_Saffron_Awarding_Ceremony_-_Radhanath_Swami_Mumbai.mp3</v>
      </c>
      <c r="D2597" s="24"/>
      <c r="E2597" s="24"/>
    </row>
    <row r="2598">
      <c r="A2598" s="25" t="s">
        <v>18352</v>
      </c>
      <c r="B2598" s="25" t="s">
        <v>18375</v>
      </c>
      <c r="C2598" s="26" t="str">
        <f>HYPERLINK("https://audio.iskcondesiretree.com/02_-_ISKCON_Swamis/ISKCON_Swamis_-_R_to_Y/His_Holiness_Radhanath_Swami/Lectures/00_-_Year_wise/Devotional_Nectar_-_2011/More/2011-01-22_-_Ghatkopar_Rath_Yatra_Importance_Of_Jagannath_Rath_Yatra_-_Radhanath_Swami_ISKCON_C"&amp;"howpatty.mp3", "2011-01-22_-_Ghatkopar_Rath_Yatra_Importance_Of_Jagannath_Rath_Yatra_-_Radhanath_Swami_ISKCON_Chowpatty.mp3")</f>
        <v>2011-01-22_-_Ghatkopar_Rath_Yatra_Importance_Of_Jagannath_Rath_Yatra_-_Radhanath_Swami_ISKCON_Chowpatty.mp3</v>
      </c>
      <c r="D2598" s="24"/>
      <c r="E2598" s="24"/>
    </row>
    <row r="2599">
      <c r="A2599" s="25" t="s">
        <v>18352</v>
      </c>
      <c r="B2599" s="25" t="s">
        <v>18375</v>
      </c>
      <c r="C2599" s="26" t="str">
        <f>HYPERLINK("https://audio.iskcondesiretree.com/02_-_ISKCON_Swamis/ISKCON_Swamis_-_R_to_Y/His_Holiness_Radhanath_Swami/Lectures/00_-_Year_wise/Devotional_Nectar_-_2011/More/2011-01-23_-_Sunday_Feast_Kirtan_-_Radhanath_Swami_ISKCON_Chowpatty.mp3", "2011-01-23_-_Sunday_Feast_Kirtan_-_Radhanath_Swami_ISKCON_Chowpatty.mp3")</f>
        <v>2011-01-23_-_Sunday_Feast_Kirtan_-_Radhanath_Swami_ISKCON_Chowpatty.mp3</v>
      </c>
      <c r="D2599" s="24"/>
      <c r="E2599" s="24"/>
    </row>
    <row r="2600">
      <c r="A2600" s="25" t="s">
        <v>18352</v>
      </c>
      <c r="B2600" s="25" t="s">
        <v>18375</v>
      </c>
      <c r="C2600" s="26" t="str">
        <f>HYPERLINK("https://audio.iskcondesiretree.com/02_-_ISKCON_Swamis/ISKCON_Swamis_-_R_to_Y/His_Holiness_Radhanath_Swami/Lectures/00_-_Year_wise/Devotional_Nectar_-_2011/More/2011-01-23_SB-09-11-18-19_-_Pain_In_Separation_Spiritually_Means_Highest_Ecstasies_-_RNS_ISKCON"&amp;"_Chowpatty.mp3", "2011-01-23_SB-09-11-18-19_-_Pain_In_Separation_Spiritually_Means_Highest_Ecstasies_-_RNS_ISKCON_Chowpatty.mp3")</f>
        <v>2011-01-23_SB-09-11-18-19_-_Pain_In_Separation_Spiritually_Means_Highest_Ecstasies_-_RNS_ISKCON_Chowpatty.mp3</v>
      </c>
      <c r="D2600" s="24"/>
      <c r="E2600" s="24"/>
    </row>
    <row r="2601">
      <c r="A2601" s="25" t="s">
        <v>18352</v>
      </c>
      <c r="B2601" s="25" t="s">
        <v>18375</v>
      </c>
      <c r="C2601" s="26" t="str">
        <f>HYPERLINK("https://audio.iskcondesiretree.com/02_-_ISKCON_Swamis/ISKCON_Swamis_-_R_to_Y/His_Holiness_Radhanath_Swami/Lectures/00_-_Year_wise/Devotional_Nectar_-_2011/More/2011-01-23_Sunday_Feast_Kirtan_-_Radhanath_Swami_ISKCON_Chowpatty.mp3", "2011-01-23_Sunday_Feast_Kirtan_-_Radhanath_Swami_ISKCON_Chowpatty.mp3")</f>
        <v>2011-01-23_Sunday_Feast_Kirtan_-_Radhanath_Swami_ISKCON_Chowpatty.mp3</v>
      </c>
      <c r="D2601" s="24"/>
      <c r="E2601" s="24"/>
    </row>
    <row r="2602">
      <c r="A2602" s="25" t="s">
        <v>18352</v>
      </c>
      <c r="B2602" s="25" t="s">
        <v>18375</v>
      </c>
      <c r="C2602" s="26" t="str">
        <f>HYPERLINK("https://audio.iskcondesiretree.com/02_-_ISKCON_Swamis/ISKCON_Swamis_-_R_to_Y/His_Holiness_Radhanath_Swami/Lectures/00_-_Year_wise/Devotional_Nectar_-_2011/More/2011-01-23_Various_-_Sunday_Feast-Rantidev%27s_Spirit_of_Responsible_Leadership_-_Radhanath_Swa"&amp;"mi_Mumbai.mp3", "2011-01-23_Various_-_Sunday_Feast-Rantidev%27s_Spirit_of_Responsible_Leadership_-_Radhanath_Swami_Mumbai.mp3")</f>
        <v>2011-01-23_Various_-_Sunday_Feast-Rantidev%27s_Spirit_of_Responsible_Leadership_-_Radhanath_Swami_Mumbai.mp3</v>
      </c>
      <c r="D2602" s="24"/>
      <c r="E2602" s="24"/>
    </row>
    <row r="2603">
      <c r="A2603" s="25" t="s">
        <v>18352</v>
      </c>
      <c r="B2603" s="25" t="s">
        <v>18375</v>
      </c>
      <c r="C2603" s="26" t="str">
        <f>HYPERLINK("https://audio.iskcondesiretree.com/02_-_ISKCON_Swamis/ISKCON_Swamis_-_R_to_Y/His_Holiness_Radhanath_Swami/Lectures/00_-_Year_wise/Devotional_Nectar_-_2011/More/2011-01-29_Pushya_Abhishek_Festival_Lecture-Significance_Of_Pushya_Abhishek_-_RNS_ISKCON_Chowpa"&amp;"tty.mp3", "2011-01-29_Pushya_Abhishek_Festival_Lecture-Significance_Of_Pushya_Abhishek_-_RNS_ISKCON_Chowpatty.mp3")</f>
        <v>2011-01-29_Pushya_Abhishek_Festival_Lecture-Significance_Of_Pushya_Abhishek_-_RNS_ISKCON_Chowpatty.mp3</v>
      </c>
      <c r="D2603" s="24"/>
      <c r="E2603" s="24"/>
    </row>
    <row r="2604">
      <c r="A2604" s="25" t="s">
        <v>18352</v>
      </c>
      <c r="B2604" s="25" t="s">
        <v>18375</v>
      </c>
      <c r="C2604" s="26" t="str">
        <f>HYPERLINK("https://audio.iskcondesiretree.com/02_-_ISKCON_Swamis/ISKCON_Swamis_-_R_to_Y/His_Holiness_Radhanath_Swami/Lectures/00_-_Year_wise/Devotional_Nectar_-_2011/More/2011-01-29_SB-09-11-26-36_-_Its_The_Thought_That_Counts_-_Radhanath_Swami_ISKCON_Chowpatty.mp3", "2011-01-29_SB-09-11-26-36_-_Its_The_Thought_That_Counts_-_Radhanath_Swami_ISKCON_Chowpatty.mp3")</f>
        <v>2011-01-29_SB-09-11-26-36_-_Its_The_Thought_That_Counts_-_Radhanath_Swami_ISKCON_Chowpatty.mp3</v>
      </c>
      <c r="D2604" s="24"/>
      <c r="E2604" s="24"/>
    </row>
    <row r="2605">
      <c r="A2605" s="25" t="s">
        <v>18352</v>
      </c>
      <c r="B2605" s="25" t="s">
        <v>18375</v>
      </c>
      <c r="C2605" s="26" t="str">
        <f>HYPERLINK("https://audio.iskcondesiretree.com/02_-_ISKCON_Swamis/ISKCON_Swamis_-_R_to_Y/His_Holiness_Radhanath_Swami/Lectures/00_-_Year_wise/Devotional_Nectar_-_2011/More/2011-01-30_-_Sunday_Feast_Jelly_Fish_Of_Maya_Has_Unlimited_Tenticles_-_Radhanath_Swami_ISKCON_C"&amp;"howpatty.mp3", "2011-01-30_-_Sunday_Feast_Jelly_Fish_Of_Maya_Has_Unlimited_Tenticles_-_Radhanath_Swami_ISKCON_Chowpatty.mp3")</f>
        <v>2011-01-30_-_Sunday_Feast_Jelly_Fish_Of_Maya_Has_Unlimited_Tenticles_-_Radhanath_Swami_ISKCON_Chowpatty.mp3</v>
      </c>
      <c r="D2605" s="24"/>
      <c r="E2605" s="24"/>
    </row>
    <row r="2606">
      <c r="A2606" s="25" t="s">
        <v>18352</v>
      </c>
      <c r="B2606" s="25" t="s">
        <v>18375</v>
      </c>
      <c r="C2606" s="26" t="str">
        <f>HYPERLINK("https://audio.iskcondesiretree.com/02_-_ISKCON_Swamis/ISKCON_Swamis_-_R_to_Y/His_Holiness_Radhanath_Swami/Lectures/00_-_Year_wise/Devotional_Nectar_-_2011/More/2011-02-11_Q%26A_-_Inter_Faith_Conference_-_Radhanath_Swami_Somaiya%20College.mp3", "2011-02-11_Q%26A_-_Inter_Faith_Conference_-_Radhanath_Swami_Somaiya%20College.mp3")</f>
        <v>2011-02-11_Q%26A_-_Inter_Faith_Conference_-_Radhanath_Swami_Somaiya%20College.mp3</v>
      </c>
      <c r="D2606" s="24"/>
      <c r="E2606" s="24"/>
    </row>
    <row r="2607">
      <c r="A2607" s="25" t="s">
        <v>18352</v>
      </c>
      <c r="B2607" s="25" t="s">
        <v>18375</v>
      </c>
      <c r="C2607" s="26" t="str">
        <f>HYPERLINK("https://audio.iskcondesiretree.com/02_-_ISKCON_Swamis/ISKCON_Swamis_-_R_to_Y/His_Holiness_Radhanath_Swami/Lectures/00_-_Year_wise/Devotional_Nectar_-_2011/More/2011-02-11_Various_-_Public_Address-Inter_Faith_Conference_-_Radhanath_Swami_Somaiya%20College."&amp;"mp3", "2011-02-11_Various_-_Public_Address-Inter_Faith_Conference_-_Radhanath_Swami_Somaiya%20College.mp3")</f>
        <v>2011-02-11_Various_-_Public_Address-Inter_Faith_Conference_-_Radhanath_Swami_Somaiya%20College.mp3</v>
      </c>
      <c r="D2607" s="24"/>
      <c r="E2607" s="24"/>
    </row>
    <row r="2608">
      <c r="A2608" s="25" t="s">
        <v>18352</v>
      </c>
      <c r="B2608" s="25" t="s">
        <v>18375</v>
      </c>
      <c r="C2608" s="26" t="str">
        <f>HYPERLINK("https://audio.iskcondesiretree.com/02_-_ISKCON_Swamis/ISKCON_Swamis_-_R_to_Y/His_Holiness_Radhanath_Swami/Lectures/00_-_Year_wise/Devotional_Nectar_-_2011/More/2011-02-16_Nityananda_Trayodasi_-_Radhanath_Swami_ISKCON_Mayapur.mp3", "2011-02-16_Nityananda_Trayodasi_-_Radhanath_Swami_ISKCON_Mayapur.mp3")</f>
        <v>2011-02-16_Nityananda_Trayodasi_-_Radhanath_Swami_ISKCON_Mayapur.mp3</v>
      </c>
      <c r="D2608" s="24"/>
      <c r="E2608" s="24"/>
    </row>
    <row r="2609">
      <c r="A2609" s="25" t="s">
        <v>18352</v>
      </c>
      <c r="B2609" s="25" t="s">
        <v>18375</v>
      </c>
      <c r="C2609" s="26" t="str">
        <f>HYPERLINK("https://audio.iskcondesiretree.com/02_-_ISKCON_Swamis/ISKCON_Swamis_-_R_to_Y/His_Holiness_Radhanath_Swami/Lectures/00_-_Year_wise/Devotional_Nectar_-_2011/More/2011-02-23_SB_04-12-17_Glories_of_His_Holiness_Gaur_Govinda_Maharaj_-_Mayapur.mp3", "2011-02-23_SB_04-12-17_Glories_of_His_Holiness_Gaur_Govinda_Maharaj_-_Mayapur.mp3")</f>
        <v>2011-02-23_SB_04-12-17_Glories_of_His_Holiness_Gaur_Govinda_Maharaj_-_Mayapur.mp3</v>
      </c>
      <c r="D2609" s="24"/>
      <c r="E2609" s="24"/>
    </row>
    <row r="2610">
      <c r="A2610" s="25" t="s">
        <v>18352</v>
      </c>
      <c r="B2610" s="25" t="s">
        <v>18375</v>
      </c>
      <c r="C2610" s="26" t="str">
        <f>HYPERLINK("https://audio.iskcondesiretree.com/02_-_ISKCON_Swamis/ISKCON_Swamis_-_R_to_Y/His_Holiness_Radhanath_Swami/Lectures/00_-_Year_wise/Devotional_Nectar_-_2011/More/2011-03-06_SB_09-15-16-21_-_Parasurama-The_Lords_Warrior_Incarnation_-_Radhanath_Swami_ISKCON_C"&amp;"howpatty.mp3", "2011-03-06_SB_09-15-16-21_-_Parasurama-The_Lords_Warrior_Incarnation_-_Radhanath_Swami_ISKCON_Chowpatty.mp3")</f>
        <v>2011-03-06_SB_09-15-16-21_-_Parasurama-The_Lords_Warrior_Incarnation_-_Radhanath_Swami_ISKCON_Chowpatty.mp3</v>
      </c>
      <c r="D2610" s="24"/>
      <c r="E2610" s="24"/>
    </row>
    <row r="2611">
      <c r="A2611" s="25" t="s">
        <v>18352</v>
      </c>
      <c r="B2611" s="25" t="s">
        <v>18375</v>
      </c>
      <c r="C2611" s="26" t="str">
        <f>HYPERLINK("https://audio.iskcondesiretree.com/02_-_ISKCON_Swamis/ISKCON_Swamis_-_R_to_Y/His_Holiness_Radhanath_Swami/Lectures/00_-_Year_wise/Devotional_Nectar_-_2011/More/2011-03-06_Sunday_Feast_-_Srila_Prabhupada_Katha_-_Radhanath_Swami_ISKCON_Chowpatty.mp3", "2011-03-06_Sunday_Feast_-_Srila_Prabhupada_Katha_-_Radhanath_Swami_ISKCON_Chowpatty.mp3")</f>
        <v>2011-03-06_Sunday_Feast_-_Srila_Prabhupada_Katha_-_Radhanath_Swami_ISKCON_Chowpatty.mp3</v>
      </c>
      <c r="D2611" s="24"/>
      <c r="E2611" s="24"/>
    </row>
    <row r="2612">
      <c r="A2612" s="25" t="s">
        <v>18352</v>
      </c>
      <c r="B2612" s="25" t="s">
        <v>18375</v>
      </c>
      <c r="C2612" s="26" t="str">
        <f>HYPERLINK("https://audio.iskcondesiretree.com/02_-_ISKCON_Swamis/ISKCON_Swamis_-_R_to_Y/His_Holiness_Radhanath_Swami/Lectures/00_-_Year_wise/Devotional_Nectar_-_2011/More/2011-03-13_Sunday%20Feast_Loving%20Reciprocations_of_Lord_Caitanya_-_Radhanath_Swami_Pune.mp3", "2011-03-13_Sunday%20Feast_Loving%20Reciprocations_of_Lord_Caitanya_-_Radhanath_Swami_Pune.mp3")</f>
        <v>2011-03-13_Sunday%20Feast_Loving%20Reciprocations_of_Lord_Caitanya_-_Radhanath_Swami_Pune.mp3</v>
      </c>
      <c r="D2612" s="24"/>
      <c r="E2612" s="24"/>
    </row>
    <row r="2613">
      <c r="A2613" s="25" t="s">
        <v>18352</v>
      </c>
      <c r="B2613" s="25" t="s">
        <v>18375</v>
      </c>
      <c r="C2613" s="26" t="str">
        <f>HYPERLINK("https://audio.iskcondesiretree.com/02_-_ISKCON_Swamis/ISKCON_Swamis_-_R_to_Y/His_Holiness_Radhanath_Swami/Lectures/00_-_Year_wise/Devotional_Nectar_-_2011/More/2011-03-18_CC_Adi_-_Mahaprabhu%27s_Reciprocation_with_Devotees_at_Kuliagram_-_Radhanath_Sw_ISKC"&amp;"ON_Chowpatty.mp3", "2011-03-18_CC_Adi_-_Mahaprabhu%27s_Reciprocation_with_Devotees_at_Kuliagram_-_Radhanath_Sw_ISKCON_Chowpatty.mp3")</f>
        <v>2011-03-18_CC_Adi_-_Mahaprabhu%27s_Reciprocation_with_Devotees_at_Kuliagram_-_Radhanath_Sw_ISKCON_Chowpatty.mp3</v>
      </c>
      <c r="D2613" s="24"/>
      <c r="E2613" s="24"/>
    </row>
    <row r="2614">
      <c r="A2614" s="25" t="s">
        <v>18352</v>
      </c>
      <c r="B2614" s="25" t="s">
        <v>18375</v>
      </c>
      <c r="C2614" s="26" t="str">
        <f>HYPERLINK("https://audio.iskcondesiretree.com/02_-_ISKCON_Swamis/ISKCON_Swamis_-_R_to_Y/His_Holiness_Radhanath_Swami/Lectures/00_-_Year_wise/Devotional_Nectar_-_2011/More/2011-03-19_-_Gaur_Purnima_Lecture_-_Radhanath_Swami_ISKCON_Chowpatty.mp3", "2011-03-19_-_Gaur_Purnima_Lecture_-_Radhanath_Swami_ISKCON_Chowpatty.mp3")</f>
        <v>2011-03-19_-_Gaur_Purnima_Lecture_-_Radhanath_Swami_ISKCON_Chowpatty.mp3</v>
      </c>
      <c r="D2614" s="24"/>
      <c r="E2614" s="24"/>
    </row>
    <row r="2615">
      <c r="A2615" s="25" t="s">
        <v>18352</v>
      </c>
      <c r="B2615" s="25" t="s">
        <v>18375</v>
      </c>
      <c r="C2615" s="26" t="str">
        <f>HYPERLINK("https://audio.iskcondesiretree.com/02_-_ISKCON_Swamis/ISKCON_Swamis_-_R_to_Y/His_Holiness_Radhanath_Swami/Lectures/00_-_Year_wise/Devotional_Nectar_-_2011/More/2011-03-19_CC_Adi_Lila_-_Advent_of_Lord_Sri_Caitanya_Mahaprabhu_-_Radhanath_Swami_ISKCON_Chowpa"&amp;"tty.mp3", "2011-03-19_CC_Adi_Lila_-_Advent_of_Lord_Sri_Caitanya_Mahaprabhu_-_Radhanath_Swami_ISKCON_Chowpatty.mp3")</f>
        <v>2011-03-19_CC_Adi_Lila_-_Advent_of_Lord_Sri_Caitanya_Mahaprabhu_-_Radhanath_Swami_ISKCON_Chowpatty.mp3</v>
      </c>
      <c r="D2615" s="24"/>
      <c r="E2615" s="24"/>
    </row>
    <row r="2616">
      <c r="A2616" s="25" t="s">
        <v>18352</v>
      </c>
      <c r="B2616" s="25" t="s">
        <v>18375</v>
      </c>
      <c r="C2616" s="26" t="str">
        <f>HYPERLINK("https://audio.iskcondesiretree.com/02_-_ISKCON_Swamis/ISKCON_Swamis_-_R_to_Y/His_Holiness_Radhanath_Swami/Lectures/00_-_Year_wise/Devotional_Nectar_-_2011/More/2011-03-19_CC_Adi_Lila_-_Childhood_Pastimes_Of_Baby_Nimai_-_Radhanath_Swami_ISKCON_Chowpatty.mp"&amp;"3", "2011-03-19_CC_Adi_Lila_-_Childhood_Pastimes_Of_Baby_Nimai_-_Radhanath_Swami_ISKCON_Chowpatty.mp3")</f>
        <v>2011-03-19_CC_Adi_Lila_-_Childhood_Pastimes_Of_Baby_Nimai_-_Radhanath_Swami_ISKCON_Chowpatty.mp3</v>
      </c>
      <c r="D2616" s="24"/>
      <c r="E2616" s="24"/>
    </row>
    <row r="2617">
      <c r="A2617" s="25" t="s">
        <v>18352</v>
      </c>
      <c r="B2617" s="25" t="s">
        <v>18375</v>
      </c>
      <c r="C2617" s="26" t="str">
        <f>HYPERLINK("https://audio.iskcondesiretree.com/02_-_ISKCON_Swamis/ISKCON_Swamis_-_R_to_Y/His_Holiness_Radhanath_Swami/Lectures/00_-_Year_wise/Devotional_Nectar_-_2011/More/2011-03-19_CC_Adi_Lila_-_Distributing_the_Fruit_of_Love_of_Godhead_-_Radhanath_Swami_ISKCON_Cho"&amp;"wpatty.mp3", "2011-03-19_CC_Adi_Lila_-_Distributing_the_Fruit_of_Love_of_Godhead_-_Radhanath_Swami_ISKCON_Chowpatty.mp3")</f>
        <v>2011-03-19_CC_Adi_Lila_-_Distributing_the_Fruit_of_Love_of_Godhead_-_Radhanath_Swami_ISKCON_Chowpatty.mp3</v>
      </c>
      <c r="D2617" s="24"/>
      <c r="E2617" s="24"/>
    </row>
    <row r="2618">
      <c r="A2618" s="25" t="s">
        <v>18352</v>
      </c>
      <c r="B2618" s="25" t="s">
        <v>18375</v>
      </c>
      <c r="C2618" s="26" t="str">
        <f>HYPERLINK("https://audio.iskcondesiretree.com/02_-_ISKCON_Swamis/ISKCON_Swamis_-_R_to_Y/His_Holiness_Radhanath_Swami/Lectures/00_-_Year_wise/Devotional_Nectar_-_2011/More/2011-03-19_Gaura_Poornima_Lecture_-_Radhanath_Swami_ISKCON_Chowpatty.mp3", "2011-03-19_Gaura_Poornima_Lecture_-_Radhanath_Swami_ISKCON_Chowpatty.mp3")</f>
        <v>2011-03-19_Gaura_Poornima_Lecture_-_Radhanath_Swami_ISKCON_Chowpatty.mp3</v>
      </c>
      <c r="D2618" s="24"/>
      <c r="E2618" s="24"/>
    </row>
    <row r="2619">
      <c r="A2619" s="25" t="s">
        <v>18352</v>
      </c>
      <c r="B2619" s="25" t="s">
        <v>18375</v>
      </c>
      <c r="C2619" s="26" t="str">
        <f>HYPERLINK("https://audio.iskcondesiretree.com/02_-_ISKCON_Swamis/ISKCON_Swamis_-_R_to_Y/His_Holiness_Radhanath_Swami/Lectures/00_-_Year_wise/Devotional_Nectar_-_2011/More/2011-03-20_CC_Adi_-_CM_Compassion_is_a_Benediction_for_Everyone_-_Radhanatha_Sw_ISKCON_Chowpatt"&amp;"y.mp3", "2011-03-20_CC_Adi_-_CM_Compassion_is_a_Benediction_for_Everyone_-_Radhanatha_Sw_ISKCON_Chowpatty.mp3")</f>
        <v>2011-03-20_CC_Adi_-_CM_Compassion_is_a_Benediction_for_Everyone_-_Radhanatha_Sw_ISKCON_Chowpatty.mp3</v>
      </c>
      <c r="D2619" s="24"/>
      <c r="E2619" s="24"/>
    </row>
    <row r="2620">
      <c r="A2620" s="25" t="s">
        <v>18352</v>
      </c>
      <c r="B2620" s="25" t="s">
        <v>18375</v>
      </c>
      <c r="C2620" s="26" t="str">
        <f>HYPERLINK("https://audio.iskcondesiretree.com/02_-_ISKCON_Swamis/ISKCON_Swamis_-_R_to_Y/His_Holiness_Radhanath_Swami/Lectures/00_-_Year_wise/Devotional_Nectar_-_2011/More/2011-03-22_SB_04-09-17_-_Dhruva_Maharaja_Returns_Home_-_Radhanath_Swami_ISKCON_Nigidi.mp3", "2011-03-22_SB_04-09-17_-_Dhruva_Maharaja_Returns_Home_-_Radhanath_Swami_ISKCON_Nigidi.mp3")</f>
        <v>2011-03-22_SB_04-09-17_-_Dhruva_Maharaja_Returns_Home_-_Radhanath_Swami_ISKCON_Nigidi.mp3</v>
      </c>
      <c r="D2620" s="24"/>
      <c r="E2620" s="24"/>
    </row>
    <row r="2621">
      <c r="A2621" s="25" t="s">
        <v>18352</v>
      </c>
      <c r="B2621" s="25" t="s">
        <v>18375</v>
      </c>
      <c r="C2621" s="26" t="str">
        <f>HYPERLINK("https://audio.iskcondesiretree.com/02_-_ISKCON_Swamis/ISKCON_Swamis_-_R_to_Y/His_Holiness_Radhanath_Swami/Lectures/00_-_Year_wise/Devotional_Nectar_-_2011/More/2011-03-25_SB_04-28-48_False_Ego_purified_though_Service_-_Radhanath_Swami_ISKCON_Juhu.mp3", "2011-03-25_SB_04-28-48_False_Ego_purified_though_Service_-_Radhanath_Swami_ISKCON_Juhu.mp3")</f>
        <v>2011-03-25_SB_04-28-48_False_Ego_purified_though_Service_-_Radhanath_Swami_ISKCON_Juhu.mp3</v>
      </c>
      <c r="D2621" s="24"/>
      <c r="E2621" s="24"/>
    </row>
    <row r="2622">
      <c r="A2622" s="25" t="s">
        <v>18352</v>
      </c>
      <c r="B2622" s="25" t="s">
        <v>18375</v>
      </c>
      <c r="C2622" s="26" t="str">
        <f>HYPERLINK("https://audio.iskcondesiretree.com/02_-_ISKCON_Swamis/ISKCON_Swamis_-_R_to_Y/His_Holiness_Radhanath_Swami/Lectures/00_-_Year_wise/Devotional_Nectar_-_2011/More/2011-03-26_Festivals_-_Dadar_Rath_Yatra_-_Radhanath_Swami.mp3", "2011-03-26_Festivals_-_Dadar_Rath_Yatra_-_Radhanath_Swami.mp3")</f>
        <v>2011-03-26_Festivals_-_Dadar_Rath_Yatra_-_Radhanath_Swami.mp3</v>
      </c>
      <c r="D2622" s="24"/>
      <c r="E2622" s="24"/>
    </row>
    <row r="2623">
      <c r="A2623" s="25" t="s">
        <v>18352</v>
      </c>
      <c r="B2623" s="25" t="s">
        <v>18375</v>
      </c>
      <c r="C2623" s="26" t="str">
        <f>HYPERLINK("https://audio.iskcondesiretree.com/02_-_ISKCON_Swamis/ISKCON_Swamis_-_R_to_Y/His_Holiness_Radhanath_Swami/Lectures/00_-_Year_wise/Devotional_Nectar_-_2011/More/2011-03-26_Festivals_-_Dadar_Ratha_Yatra_-_Radhanath_Swami.mp3", "2011-03-26_Festivals_-_Dadar_Ratha_Yatra_-_Radhanath_Swami.mp3")</f>
        <v>2011-03-26_Festivals_-_Dadar_Ratha_Yatra_-_Radhanath_Swami.mp3</v>
      </c>
      <c r="D2623" s="24"/>
      <c r="E2623" s="24"/>
    </row>
    <row r="2624">
      <c r="A2624" s="25" t="s">
        <v>18352</v>
      </c>
      <c r="B2624" s="25" t="s">
        <v>18375</v>
      </c>
      <c r="C2624" s="26" t="str">
        <f>HYPERLINK("https://audio.iskcondesiretree.com/02_-_ISKCON_Swamis/ISKCON_Swamis_-_R_to_Y/His_Holiness_Radhanath_Swami/Lectures/00_-_Year_wise/Devotional_Nectar_-_2011/More/2011-03-26_SB_09-18-01_-_Serving_Krishna_is_the_Safest_Position_-_Radhanath_Swami.mp3", "2011-03-26_SB_09-18-01_-_Serving_Krishna_is_the_Safest_Position_-_Radhanath_Swami.mp3")</f>
        <v>2011-03-26_SB_09-18-01_-_Serving_Krishna_is_the_Safest_Position_-_Radhanath_Swami.mp3</v>
      </c>
      <c r="D2624" s="24"/>
      <c r="E2624" s="24"/>
    </row>
    <row r="2625">
      <c r="A2625" s="25" t="s">
        <v>18352</v>
      </c>
      <c r="B2625" s="25" t="s">
        <v>18375</v>
      </c>
      <c r="C2625" s="26" t="str">
        <f>HYPERLINK("https://audio.iskcondesiretree.com/02_-_ISKCON_Swamis/ISKCON_Swamis_-_R_to_Y/His_Holiness_Radhanath_Swami/Lectures/00_-_Year_wise/Devotional_Nectar_-_2011/More/2011-03-27_SB_09-18-03-05_-_The_Mysterious_Way_Of_Destiny_-_Radhanath_Swami_ISKCON_Chowpatty.mp"&amp;"3", "2011-03-27_SB_09-18-03-05_-_The_Mysterious_Way_Of_Destiny_-_Radhanath_Swami_ISKCON_Chowpatty.mp3")</f>
        <v>2011-03-27_SB_09-18-03-05_-_The_Mysterious_Way_Of_Destiny_-_Radhanath_Swami_ISKCON_Chowpatty.mp3</v>
      </c>
      <c r="D2625" s="24"/>
      <c r="E2625" s="24"/>
    </row>
    <row r="2626">
      <c r="A2626" s="25" t="s">
        <v>18352</v>
      </c>
      <c r="B2626" s="25" t="s">
        <v>18375</v>
      </c>
      <c r="C2626" s="26" t="str">
        <f>HYPERLINK("https://audio.iskcondesiretree.com/02_-_ISKCON_Swamis/ISKCON_Swamis_-_R_to_Y/His_Holiness_Radhanath_Swami/Lectures/00_-_Year_wise/Devotional_Nectar_-_2011/More/2011-03-27_Various_-_Sunday_Feast-My_First_Meeting_with_Srila_Prabhupada_-_Radhanath_Swami.mp3", "2011-03-27_Various_-_Sunday_Feast-My_First_Meeting_with_Srila_Prabhupada_-_Radhanath_Swami.mp3")</f>
        <v>2011-03-27_Various_-_Sunday_Feast-My_First_Meeting_with_Srila_Prabhupada_-_Radhanath_Swami.mp3</v>
      </c>
      <c r="D2626" s="24"/>
      <c r="E2626" s="24"/>
    </row>
    <row r="2627">
      <c r="A2627" s="25" t="s">
        <v>18352</v>
      </c>
      <c r="B2627" s="25" t="s">
        <v>18375</v>
      </c>
      <c r="C2627" s="26" t="str">
        <f>HYPERLINK("https://audio.iskcondesiretree.com/02_-_ISKCON_Swamis/ISKCON_Swamis_-_R_to_Y/His_Holiness_Radhanath_Swami/Lectures/00_-_Year_wise/Devotional_Nectar_-_2011/More/2011-04-08_Various_-_Sannyas_Initiation_Address_-_Radhanath_Sw_Bhaktivedanta_Manor.mp3", "2011-04-08_Various_-_Sannyas_Initiation_Address_-_Radhanath_Sw_Bhaktivedanta_Manor.mp3")</f>
        <v>2011-04-08_Various_-_Sannyas_Initiation_Address_-_Radhanath_Sw_Bhaktivedanta_Manor.mp3</v>
      </c>
      <c r="D2627" s="24"/>
      <c r="E2627" s="24"/>
    </row>
    <row r="2628">
      <c r="A2628" s="25" t="s">
        <v>18352</v>
      </c>
      <c r="B2628" s="25" t="s">
        <v>18375</v>
      </c>
      <c r="C2628" s="26" t="str">
        <f>HYPERLINK("https://audio.iskcondesiretree.com/02_-_ISKCON_Swamis/ISKCON_Swamis_-_R_to_Y/His_Holiness_Radhanath_Swami/Lectures/00_-_Year_wise/Devotional_Nectar_-_2011/More/2011-05-21_CC_Madhya_Lila_04-125_-_Radhanath_Swami_Alachua.mp3", "2011-05-21_CC_Madhya_Lila_04-125_-_Radhanath_Swami_Alachua.mp3")</f>
        <v>2011-05-21_CC_Madhya_Lila_04-125_-_Radhanath_Swami_Alachua.mp3</v>
      </c>
      <c r="D2628" s="24"/>
      <c r="E2628" s="24"/>
    </row>
    <row r="2629">
      <c r="A2629" s="25" t="s">
        <v>18352</v>
      </c>
      <c r="B2629" s="25" t="s">
        <v>18375</v>
      </c>
      <c r="C2629" s="26" t="str">
        <f>HYPERLINK("https://audio.iskcondesiretree.com/02_-_ISKCON_Swamis/ISKCON_Swamis_-_R_to_Y/His_Holiness_Radhanath_Swami/Lectures/00_-_Year_wise/Devotional_Nectar_-_2011/More/2011-05-24_-_SB_09-22-01_-_Radhanatha_Swami_Alachua.mp3", "2011-05-24_-_SB_09-22-01_-_Radhanatha_Swami_Alachua.mp3")</f>
        <v>2011-05-24_-_SB_09-22-01_-_Radhanatha_Swami_Alachua.mp3</v>
      </c>
      <c r="D2629" s="24"/>
      <c r="E2629" s="24"/>
    </row>
    <row r="2630">
      <c r="A2630" s="25" t="s">
        <v>18352</v>
      </c>
      <c r="B2630" s="25" t="s">
        <v>18375</v>
      </c>
      <c r="C2630" s="26" t="str">
        <f>HYPERLINK("https://audio.iskcondesiretree.com/02_-_ISKCON_Swamis/ISKCON_Swamis_-_R_to_Y/His_Holiness_Radhanath_Swami/Lectures/00_-_Year_wise/Devotional_Nectar_-_2011/More/2011-05-24_SB_09-22-01_-_Radhanath_Swami_Alachua.mp3", "2011-05-24_SB_09-22-01_-_Radhanath_Swami_Alachua.mp3")</f>
        <v>2011-05-24_SB_09-22-01_-_Radhanath_Swami_Alachua.mp3</v>
      </c>
      <c r="D2630" s="24"/>
      <c r="E2630" s="24"/>
    </row>
    <row r="2631">
      <c r="A2631" s="25" t="s">
        <v>18352</v>
      </c>
      <c r="B2631" s="25" t="s">
        <v>18375</v>
      </c>
      <c r="C2631" s="26" t="str">
        <f>HYPERLINK("https://audio.iskcondesiretree.com/02_-_ISKCON_Swamis/ISKCON_Swamis_-_R_to_Y/His_Holiness_Radhanath_Swami/Lectures/00_-_Year_wise/Devotional_Nectar_-_2011/More/2011-05-25_Various_-_Yagya_-_Radhanath_Swami_ISKCON_Boston.mp3", "2011-05-25_Various_-_Yagya_-_Radhanath_Swami_ISKCON_Boston.mp3")</f>
        <v>2011-05-25_Various_-_Yagya_-_Radhanath_Swami_ISKCON_Boston.mp3</v>
      </c>
      <c r="D2631" s="24"/>
      <c r="E2631" s="24"/>
    </row>
    <row r="2632">
      <c r="A2632" s="25" t="s">
        <v>18352</v>
      </c>
      <c r="B2632" s="25" t="s">
        <v>18375</v>
      </c>
      <c r="C2632" s="26" t="str">
        <f>HYPERLINK("https://audio.iskcondesiretree.com/02_-_ISKCON_Swamis/ISKCON_Swamis_-_R_to_Y/His_Holiness_Radhanath_Swami/Lectures/00_-_Year_wise/Devotional_Nectar_-_2011/More/2011-06-20_-_Ethics_In_Leadership_and_Management_-_Radhanath_Swami_Norwood.mp3", "2011-06-20_-_Ethics_In_Leadership_and_Management_-_Radhanath_Swami_Norwood.mp3")</f>
        <v>2011-06-20_-_Ethics_In_Leadership_and_Management_-_Radhanath_Swami_Norwood.mp3</v>
      </c>
      <c r="D2632" s="24"/>
      <c r="E2632" s="24"/>
    </row>
    <row r="2633">
      <c r="A2633" s="25" t="s">
        <v>18352</v>
      </c>
      <c r="B2633" s="25" t="s">
        <v>18375</v>
      </c>
      <c r="C2633" s="26" t="str">
        <f>HYPERLINK("https://audio.iskcondesiretree.com/02_-_ISKCON_Swamis/ISKCON_Swamis_-_R_to_Y/His_Holiness_Radhanath_Swami/Lectures/00_-_Year_wise/Devotional_Nectar_-_2011/More/2011-06-24_Various_-_Interview_-_Radhanath_Swami_Washington.mp3", "2011-06-24_Various_-_Interview_-_Radhanath_Swami_Washington.mp3")</f>
        <v>2011-06-24_Various_-_Interview_-_Radhanath_Swami_Washington.mp3</v>
      </c>
      <c r="D2633" s="24"/>
      <c r="E2633" s="24"/>
    </row>
    <row r="2634">
      <c r="A2634" s="25" t="s">
        <v>18352</v>
      </c>
      <c r="B2634" s="25" t="s">
        <v>18375</v>
      </c>
      <c r="C2634" s="26" t="str">
        <f>HYPERLINK("https://audio.iskcondesiretree.com/02_-_ISKCON_Swamis/ISKCON_Swamis_-_R_to_Y/His_Holiness_Radhanath_Swami/Lectures/00_-_Year_wise/Devotional_Nectar_-_2011/More/2011-07-03_Various_-_Panihati_-_Radhanath_Swami_California.mp3", "2011-07-03_Various_-_Panihati_-_Radhanath_Swami_California.mp3")</f>
        <v>2011-07-03_Various_-_Panihati_-_Radhanath_Swami_California.mp3</v>
      </c>
      <c r="D2634" s="24"/>
      <c r="E2634" s="24"/>
    </row>
    <row r="2635">
      <c r="A2635" s="25" t="s">
        <v>18352</v>
      </c>
      <c r="B2635" s="25" t="s">
        <v>18375</v>
      </c>
      <c r="C2635" s="26" t="str">
        <f>HYPERLINK("https://audio.iskcondesiretree.com/02_-_ISKCON_Swamis/ISKCON_Swamis_-_R_to_Y/His_Holiness_Radhanath_Swami/Lectures/00_-_Year_wise/Devotional_Nectar_-_2011/More/2011-07-07_SB_06-09-39_-_Radhanath_Swami_Los_Angeles.mp3", "2011-07-07_SB_06-09-39_-_Radhanath_Swami_Los_Angeles.mp3")</f>
        <v>2011-07-07_SB_06-09-39_-_Radhanath_Swami_Los_Angeles.mp3</v>
      </c>
      <c r="D2635" s="24"/>
      <c r="E2635" s="24"/>
    </row>
    <row r="2636">
      <c r="A2636" s="25" t="s">
        <v>18352</v>
      </c>
      <c r="B2636" s="25" t="s">
        <v>18375</v>
      </c>
      <c r="C2636" s="26" t="str">
        <f>HYPERLINK("https://audio.iskcondesiretree.com/02_-_ISKCON_Swamis/ISKCON_Swamis_-_R_to_Y/His_Holiness_Radhanath_Swami/Lectures/00_-_Year_wise/Devotional_Nectar_-_2011/More/2011-07-08_SB_06-09-40_-_Radhanath_Swami_Los_Angeles.mp3", "2011-07-08_SB_06-09-40_-_Radhanath_Swami_Los_Angeles.mp3")</f>
        <v>2011-07-08_SB_06-09-40_-_Radhanath_Swami_Los_Angeles.mp3</v>
      </c>
      <c r="D2636" s="24"/>
      <c r="E2636" s="24"/>
    </row>
    <row r="2637">
      <c r="A2637" s="25" t="s">
        <v>18352</v>
      </c>
      <c r="B2637" s="25" t="s">
        <v>18375</v>
      </c>
      <c r="C2637" s="26" t="str">
        <f>HYPERLINK("https://audio.iskcondesiretree.com/02_-_ISKCON_Swamis/ISKCON_Swamis_-_R_to_Y/His_Holiness_Radhanath_Swami/Lectures/00_-_Year_wise/Devotional_Nectar_-_2011/More/2011-07-10_Sunday_Feast_-_Lord_Chaitanya_Came_to_teach_us_by_his_Example_-_Radhanath_Swami_Los_"&amp;"Angeles.mp3", "2011-07-10_Sunday_Feast_-_Lord_Chaitanya_Came_to_teach_us_by_his_Example_-_Radhanath_Swami_Los_Angeles.mp3")</f>
        <v>2011-07-10_Sunday_Feast_-_Lord_Chaitanya_Came_to_teach_us_by_his_Example_-_Radhanath_Swami_Los_Angeles.mp3</v>
      </c>
      <c r="D2637" s="24"/>
      <c r="E2637" s="24"/>
    </row>
    <row r="2638">
      <c r="A2638" s="25" t="s">
        <v>18352</v>
      </c>
      <c r="B2638" s="25" t="s">
        <v>18375</v>
      </c>
      <c r="C2638" s="26" t="str">
        <f>HYPERLINK("https://audio.iskcondesiretree.com/02_-_ISKCON_Swamis/ISKCON_Swamis_-_R_to_Y/His_Holiness_Radhanath_Swami/Lectures/00_-_Year_wise/Devotional_Nectar_-_2011/More/2011-07-11_Various_-_Bhaktivedanta_Hospice-Celebrating_One_Year_of_Service_-_Radhanath_Swami_Vr"&amp;"indavan.MP3", "2011-07-11_Various_-_Bhaktivedanta_Hospice-Celebrating_One_Year_of_Service_-_Radhanath_Swami_Vrindavan.MP3")</f>
        <v>2011-07-11_Various_-_Bhaktivedanta_Hospice-Celebrating_One_Year_of_Service_-_Radhanath_Swami_Vrindavan.MP3</v>
      </c>
      <c r="D2638" s="24"/>
      <c r="E2638" s="24"/>
    </row>
    <row r="2639">
      <c r="A2639" s="25" t="s">
        <v>18352</v>
      </c>
      <c r="B2639" s="25" t="s">
        <v>18375</v>
      </c>
      <c r="C2639" s="26" t="str">
        <f>HYPERLINK("https://audio.iskcondesiretree.com/02_-_ISKCON_Swamis/ISKCON_Swamis_-_R_to_Y/His_Holiness_Radhanath_Swami/Lectures/00_-_Year_wise/Devotional_Nectar_-_2011/More/2011-07-13_SB_06-09-44_-_Radhanath_Swami_Los_Angeles.mp3", "2011-07-13_SB_06-09-44_-_Radhanath_Swami_Los_Angeles.mp3")</f>
        <v>2011-07-13_SB_06-09-44_-_Radhanath_Swami_Los_Angeles.mp3</v>
      </c>
      <c r="D2639" s="24"/>
      <c r="E2639" s="24"/>
    </row>
    <row r="2640">
      <c r="A2640" s="25" t="s">
        <v>18352</v>
      </c>
      <c r="B2640" s="25" t="s">
        <v>18375</v>
      </c>
      <c r="C2640" s="26" t="str">
        <f>HYPERLINK("https://audio.iskcondesiretree.com/02_-_ISKCON_Swamis/ISKCON_Swamis_-_R_to_Y/His_Holiness_Radhanath_Swami/Lectures/00_-_Year_wise/Devotional_Nectar_-_2011/More/2011-07-30_Various_-_Sadhu_Sanga_Co-operation_-_Radhanath_Sw_Bhaktivedanta_Manor.mp3", "2011-07-30_Various_-_Sadhu_Sanga_Co-operation_-_Radhanath_Sw_Bhaktivedanta_Manor.mp3")</f>
        <v>2011-07-30_Various_-_Sadhu_Sanga_Co-operation_-_Radhanath_Sw_Bhaktivedanta_Manor.mp3</v>
      </c>
      <c r="D2640" s="24"/>
      <c r="E2640" s="24"/>
    </row>
    <row r="2641">
      <c r="A2641" s="25" t="s">
        <v>18352</v>
      </c>
      <c r="B2641" s="25" t="s">
        <v>18375</v>
      </c>
      <c r="C2641" s="26" t="str">
        <f>HYPERLINK("https://audio.iskcondesiretree.com/02_-_ISKCON_Swamis/ISKCON_Swamis_-_R_to_Y/His_Holiness_Radhanath_Swami/Lectures/00_-_Year_wise/Devotional_Nectar_-_2011/More/2011-07-31_CC_Adi_Lila_04-227-228_-_Radhanath_Sw_Bhaktivedanta_Manor.mp3", "2011-07-31_CC_Adi_Lila_04-227-228_-_Radhanath_Sw_Bhaktivedanta_Manor.mp3")</f>
        <v>2011-07-31_CC_Adi_Lila_04-227-228_-_Radhanath_Sw_Bhaktivedanta_Manor.mp3</v>
      </c>
      <c r="D2641" s="24"/>
      <c r="E2641" s="24"/>
    </row>
    <row r="2642">
      <c r="A2642" s="25" t="s">
        <v>18352</v>
      </c>
      <c r="B2642" s="25" t="s">
        <v>18375</v>
      </c>
      <c r="C2642" s="26" t="str">
        <f>HYPERLINK("https://audio.iskcondesiretree.com/02_-_ISKCON_Swamis/ISKCON_Swamis_-_R_to_Y/His_Holiness_Radhanath_Swami/Lectures/00_-_Year_wise/Devotional_Nectar_-_2011/More/2011-08-05_Various_-_Absorbtion_-_Radhanath_Swami.mp3", "2011-08-05_Various_-_Absorbtion_-_Radhanath_Swami.mp3")</f>
        <v>2011-08-05_Various_-_Absorbtion_-_Radhanath_Swami.mp3</v>
      </c>
      <c r="D2642" s="24"/>
      <c r="E2642" s="24"/>
    </row>
    <row r="2643">
      <c r="A2643" s="25" t="s">
        <v>18352</v>
      </c>
      <c r="B2643" s="25" t="s">
        <v>18375</v>
      </c>
      <c r="C2643" s="26" t="str">
        <f>HYPERLINK("https://audio.iskcondesiretree.com/02_-_ISKCON_Swamis/ISKCON_Swamis_-_R_to_Y/His_Holiness_Radhanath_Swami/Lectures/00_-_Year_wise/Devotional_Nectar_-_2011/More/2011-08-05_Various_-_Absorbtion_-_Radhanath_Swami_with_Sacinandana_Swami_-_DC.mp3", "2011-08-05_Various_-_Absorbtion_-_Radhanath_Swami_with_Sacinandana_Swami_-_DC.mp3")</f>
        <v>2011-08-05_Various_-_Absorbtion_-_Radhanath_Swami_with_Sacinandana_Swami_-_DC.mp3</v>
      </c>
      <c r="D2643" s="24"/>
      <c r="E2643" s="24"/>
    </row>
    <row r="2644">
      <c r="A2644" s="25" t="s">
        <v>18352</v>
      </c>
      <c r="B2644" s="25" t="s">
        <v>18375</v>
      </c>
      <c r="C2644" s="26" t="str">
        <f>HYPERLINK("https://audio.iskcondesiretree.com/02_-_ISKCON_Swamis/ISKCON_Swamis_-_R_to_Y/His_Holiness_Radhanath_Swami/Lectures/00_-_Year_wise/Devotional_Nectar_-_2011/More/2011-08-07_Various_-_True_Faith_-_Radhanath_Swami.mp3", "2011-08-07_Various_-_True_Faith_-_Radhanath_Swami.mp3")</f>
        <v>2011-08-07_Various_-_True_Faith_-_Radhanath_Swami.mp3</v>
      </c>
      <c r="D2644" s="24"/>
      <c r="E2644" s="24"/>
    </row>
    <row r="2645">
      <c r="A2645" s="25" t="s">
        <v>18352</v>
      </c>
      <c r="B2645" s="25" t="s">
        <v>18375</v>
      </c>
      <c r="C2645" s="26" t="str">
        <f>HYPERLINK("https://audio.iskcondesiretree.com/02_-_ISKCON_Swamis/ISKCON_Swamis_-_R_to_Y/His_Holiness_Radhanath_Swami/Lectures/00_-_Year_wise/Devotional_Nectar_-_2011/More/2011-10-15_SB_10-03-09_-_Selfless_Servive_has_no_Material_Impediments_-_Radhanath_Swami.mp3", "2011-10-15_SB_10-03-09_-_Selfless_Servive_has_no_Material_Impediments_-_Radhanath_Swami.mp3")</f>
        <v>2011-10-15_SB_10-03-09_-_Selfless_Servive_has_no_Material_Impediments_-_Radhanath_Swami.mp3</v>
      </c>
      <c r="D2645" s="24"/>
      <c r="E2645" s="24"/>
    </row>
    <row r="2646">
      <c r="A2646" s="25" t="s">
        <v>18352</v>
      </c>
      <c r="B2646" s="25" t="s">
        <v>18375</v>
      </c>
      <c r="C2646" s="26" t="str">
        <f>HYPERLINK("https://audio.iskcondesiretree.com/02_-_ISKCON_Swamis/ISKCON_Swamis_-_R_to_Y/His_Holiness_Radhanath_Swami/Lectures/00_-_Year_wise/Devotional_Nectar_-_2011/More/2011-11-13_SB_01-11-22_-_Krishna_and_his_Devotees_Accomodating_Nature_-_Radhanath_Swami_ISKCON_"&amp;"Chowpatty.mp3", "2011-11-13_SB_01-11-22_-_Krishna_and_his_Devotees_Accomodating_Nature_-_Radhanath_Swami_ISKCON_Chowpatty.mp3")</f>
        <v>2011-11-13_SB_01-11-22_-_Krishna_and_his_Devotees_Accomodating_Nature_-_Radhanath_Swami_ISKCON_Chowpatty.mp3</v>
      </c>
      <c r="D2646" s="24"/>
      <c r="E2646" s="24"/>
    </row>
    <row r="2647">
      <c r="A2647" s="25" t="s">
        <v>18352</v>
      </c>
      <c r="B2647" s="25" t="s">
        <v>18375</v>
      </c>
      <c r="C2647" s="26" t="str">
        <f>HYPERLINK("https://audio.iskcondesiretree.com/02_-_ISKCON_Swamis/ISKCON_Swamis_-_R_to_Y/His_Holiness_Radhanath_Swami/Lectures/00_-_Year_wise/Devotional_Nectar_-_2011/More/2011-11-13_Sunday_Feast_-_To_Appreciate_Compassion_of_Vaishnavas_-_Radhanath_Swami_ISKCON_Chowp"&amp;"atty.mp3", "2011-11-13_Sunday_Feast_-_To_Appreciate_Compassion_of_Vaishnavas_-_Radhanath_Swami_ISKCON_Chowpatty.mp3")</f>
        <v>2011-11-13_Sunday_Feast_-_To_Appreciate_Compassion_of_Vaishnavas_-_Radhanath_Swami_ISKCON_Chowpatty.mp3</v>
      </c>
      <c r="D2647" s="24"/>
      <c r="E2647" s="24"/>
    </row>
    <row r="2648">
      <c r="A2648" s="25" t="s">
        <v>18352</v>
      </c>
      <c r="B2648" s="25" t="s">
        <v>18375</v>
      </c>
      <c r="C2648" s="26" t="str">
        <f>HYPERLINK("https://audio.iskcondesiretree.com/02_-_ISKCON_Swamis/ISKCON_Swamis_-_R_to_Y/His_Holiness_Radhanath_Swami/Lectures/00_-_Year_wise/Devotional_Nectar_-_2011/More/2011-11-19_99th_Prerna_-_The_Power_of_Intentions_-_Radhanath_Swami_ISKCON_Chowpatty.mp3", "2011-11-19_99th_Prerna_-_The_Power_of_Intentions_-_Radhanath_Swami_ISKCON_Chowpatty.mp3")</f>
        <v>2011-11-19_99th_Prerna_-_The_Power_of_Intentions_-_Radhanath_Swami_ISKCON_Chowpatty.mp3</v>
      </c>
      <c r="D2648" s="24"/>
      <c r="E2648" s="24"/>
    </row>
    <row r="2649">
      <c r="A2649" s="25" t="s">
        <v>18352</v>
      </c>
      <c r="B2649" s="25" t="s">
        <v>18375</v>
      </c>
      <c r="C2649" s="26" t="str">
        <f>HYPERLINK("https://audio.iskcondesiretree.com/02_-_ISKCON_Swamis/ISKCON_Swamis_-_R_to_Y/His_Holiness_Radhanath_Swami/Lectures/00_-_Year_wise/Devotional_Nectar_-_2011/More/2011-11-19_SB-10-03-47_-_True_Vaishnava_Culture_as_in_Vrindavan_-_Radhanath_Swami_ISKCON_Chowpa"&amp;"tty.mp3", "2011-11-19_SB-10-03-47_-_True_Vaishnava_Culture_as_in_Vrindavan_-_Radhanath_Swami_ISKCON_Chowpatty.mp3")</f>
        <v>2011-11-19_SB-10-03-47_-_True_Vaishnava_Culture_as_in_Vrindavan_-_Radhanath_Swami_ISKCON_Chowpatty.mp3</v>
      </c>
      <c r="D2649" s="24"/>
      <c r="E2649" s="24"/>
    </row>
    <row r="2650">
      <c r="A2650" s="25" t="s">
        <v>18352</v>
      </c>
      <c r="B2650" s="25" t="s">
        <v>18375</v>
      </c>
      <c r="C2650" s="26" t="str">
        <f>HYPERLINK("https://audio.iskcondesiretree.com/02_-_ISKCON_Swamis/ISKCON_Swamis_-_R_to_Y/His_Holiness_Radhanath_Swami/Lectures/00_-_Year_wise/Devotional_Nectar_-_2011/More/2011-11-21_SB_03-31-18_-_Gratitude_and_Surrender_-_Radhanath_Sw_ISKCON_Delhi.mp3", "2011-11-21_SB_03-31-18_-_Gratitude_and_Surrender_-_Radhanath_Sw_ISKCON_Delhi.mp3")</f>
        <v>2011-11-21_SB_03-31-18_-_Gratitude_and_Surrender_-_Radhanath_Sw_ISKCON_Delhi.mp3</v>
      </c>
      <c r="D2650" s="24"/>
      <c r="E2650" s="24"/>
    </row>
    <row r="2651">
      <c r="A2651" s="25" t="s">
        <v>18352</v>
      </c>
      <c r="B2651" s="25" t="s">
        <v>18375</v>
      </c>
      <c r="C2651" s="26" t="str">
        <f>HYPERLINK("https://audio.iskcondesiretree.com/02_-_ISKCON_Swamis/ISKCON_Swamis_-_R_to_Y/His_Holiness_Radhanath_Swami/Lectures/00_-_Year_wise/Devotional_Nectar_-_2011/More/2011-11-24_Various_-_Marraige_Address_of_Jaishank_and_Vishnu_Priya_-_Radhanath_Swami.mp3", "2011-11-24_Various_-_Marraige_Address_of_Jaishank_and_Vishnu_Priya_-_Radhanath_Swami.mp3")</f>
        <v>2011-11-24_Various_-_Marraige_Address_of_Jaishank_and_Vishnu_Priya_-_Radhanath_Swami.mp3</v>
      </c>
      <c r="D2651" s="24"/>
      <c r="E2651" s="24"/>
    </row>
    <row r="2652">
      <c r="A2652" s="25" t="s">
        <v>18352</v>
      </c>
      <c r="B2652" s="25" t="s">
        <v>18375</v>
      </c>
      <c r="C2652" s="26" t="str">
        <f>HYPERLINK("https://audio.iskcondesiretree.com/02_-_ISKCON_Swamis/ISKCON_Swamis_-_R_to_Y/His_Holiness_Radhanath_Swami/Lectures/00_-_Year_wise/Devotional_Nectar_-_2011/More/2011-11-26_SB_10-04-03_-_Real_Peace_is_Peace_of_Mind_-_Radhanath_Swami_ISKCON_Chowpatty.mp3", "2011-11-26_SB_10-04-03_-_Real_Peace_is_Peace_of_Mind_-_Radhanath_Swami_ISKCON_Chowpatty.mp3")</f>
        <v>2011-11-26_SB_10-04-03_-_Real_Peace_is_Peace_of_Mind_-_Radhanath_Swami_ISKCON_Chowpatty.mp3</v>
      </c>
      <c r="D2652" s="24"/>
      <c r="E2652" s="24"/>
    </row>
    <row r="2653">
      <c r="A2653" s="25" t="s">
        <v>18352</v>
      </c>
      <c r="B2653" s="25" t="s">
        <v>18375</v>
      </c>
      <c r="C2653" s="26" t="str">
        <f>HYPERLINK("https://audio.iskcondesiretree.com/02_-_ISKCON_Swamis/ISKCON_Swamis_-_R_to_Y/His_Holiness_Radhanath_Swami/Lectures/00_-_Year_wise/Devotional_Nectar_-_2011/More/2011-11-28_SB_01-02-13_-_If_we_Please_Krishna_that_is_our_Success_and_Perfection_-_RNS_ISKCON_A"&amp;"hmedabad.mp3", "2011-11-28_SB_01-02-13_-_If_we_Please_Krishna_that_is_our_Success_and_Perfection_-_RNS_ISKCON_Ahmedabad.mp3")</f>
        <v>2011-11-28_SB_01-02-13_-_If_we_Please_Krishna_that_is_our_Success_and_Perfection_-_RNS_ISKCON_Ahmedabad.mp3</v>
      </c>
      <c r="D2653" s="24"/>
      <c r="E2653" s="24"/>
    </row>
    <row r="2654">
      <c r="A2654" s="25" t="s">
        <v>18352</v>
      </c>
      <c r="B2654" s="25" t="s">
        <v>18375</v>
      </c>
      <c r="C2654" s="26" t="str">
        <f>HYPERLINK("https://audio.iskcondesiretree.com/02_-_ISKCON_Swamis/ISKCON_Swamis_-_R_to_Y/His_Holiness_Radhanath_Swami/Lectures/00_-_Year_wise/Devotional_Nectar_-_2011/More/2011-12-06_-_Gita_Dan_Yajna_-_Radhanath_Swami_ISKCON_Chowpatty.mp3", "2011-12-06_-_Gita_Dan_Yajna_-_Radhanath_Swami_ISKCON_Chowpatty.mp3")</f>
        <v>2011-12-06_-_Gita_Dan_Yajna_-_Radhanath_Swami_ISKCON_Chowpatty.mp3</v>
      </c>
      <c r="D2654" s="24"/>
      <c r="E2654" s="24"/>
    </row>
    <row r="2655">
      <c r="A2655" s="25" t="s">
        <v>18352</v>
      </c>
      <c r="B2655" s="25" t="s">
        <v>18375</v>
      </c>
      <c r="C2655" s="26" t="str">
        <f>HYPERLINK("https://audio.iskcondesiretree.com/02_-_ISKCON_Swamis/ISKCON_Swamis_-_R_to_Y/His_Holiness_Radhanath_Swami/Lectures/00_-_Year_wise/Devotional_Nectar_-_2011/More/2011-12-10_SB-10-04-21_-_Philosophy_without_Character_has_no_Meaning_-_Radhanath_Swami_ISKCON_C"&amp;"howpatty.mp3", "2011-12-10_SB-10-04-21_-_Philosophy_without_Character_has_no_Meaning_-_Radhanath_Swami_ISKCON_Chowpatty.mp3")</f>
        <v>2011-12-10_SB-10-04-21_-_Philosophy_without_Character_has_no_Meaning_-_Radhanath_Swami_ISKCON_Chowpatty.mp3</v>
      </c>
      <c r="D2655" s="24"/>
      <c r="E2655" s="24"/>
    </row>
    <row r="2656">
      <c r="A2656" s="25" t="s">
        <v>18352</v>
      </c>
      <c r="B2656" s="25" t="s">
        <v>18375</v>
      </c>
      <c r="C2656" s="26" t="str">
        <f>HYPERLINK("https://audio.iskcondesiretree.com/02_-_ISKCON_Swamis/ISKCON_Swamis_-_R_to_Y/His_Holiness_Radhanath_Swami/Lectures/00_-_Year_wise/Devotional_Nectar_-_2011/More/2011-12-11_Sunday_Feast_-_Regain_Our_Real_Spiritual_Health_-_Radhanath_Swami_ISKCON_Chowpatty.m"&amp;"p3", "2011-12-11_Sunday_Feast_-_Regain_Our_Real_Spiritual_Health_-_Radhanath_Swami_ISKCON_Chowpatty.mp3")</f>
        <v>2011-12-11_Sunday_Feast_-_Regain_Our_Real_Spiritual_Health_-_Radhanath_Swami_ISKCON_Chowpatty.mp3</v>
      </c>
      <c r="D2656" s="24"/>
      <c r="E2656" s="24"/>
    </row>
    <row r="2657">
      <c r="A2657" s="25" t="s">
        <v>18352</v>
      </c>
      <c r="B2657" s="25" t="s">
        <v>18375</v>
      </c>
      <c r="C2657" s="26" t="str">
        <f>HYPERLINK("https://audio.iskcondesiretree.com/02_-_ISKCON_Swamis/ISKCON_Swamis_-_R_to_Y/His_Holiness_Radhanath_Swami/Lectures/00_-_Year_wise/Devotional_Nectar_-_2011/More/2011-12-17_SB-10-04-28-29_-_False_Sense_of_Propritership_-_Radhanath_Swami_ISKCON_Chowpatty.mp3", "2011-12-17_SB-10-04-28-29_-_False_Sense_of_Propritership_-_Radhanath_Swami_ISKCON_Chowpatty.mp3")</f>
        <v>2011-12-17_SB-10-04-28-29_-_False_Sense_of_Propritership_-_Radhanath_Swami_ISKCON_Chowpatty.mp3</v>
      </c>
      <c r="D2657" s="24"/>
      <c r="E2657" s="24"/>
    </row>
    <row r="2658">
      <c r="A2658" s="25" t="s">
        <v>18352</v>
      </c>
      <c r="B2658" s="25" t="s">
        <v>18375</v>
      </c>
      <c r="C2658" s="26" t="str">
        <f>HYPERLINK("https://audio.iskcondesiretree.com/02_-_ISKCON_Swamis/ISKCON_Swamis_-_R_to_Y/His_Holiness_Radhanath_Swami/Lectures/00_-_Year_wise/Devotional_Nectar_-_2011/More/2011-12-18_SB-10-04-30_-_Strive_to_develop_saintly_Qualities_-_Radhanath_Swami_ISKCON_Chowpatty"&amp;".mp3", "2011-12-18_SB-10-04-30_-_Strive_to_develop_saintly_Qualities_-_Radhanath_Swami_ISKCON_Chowpatty.mp3")</f>
        <v>2011-12-18_SB-10-04-30_-_Strive_to_develop_saintly_Qualities_-_Radhanath_Swami_ISKCON_Chowpatty.mp3</v>
      </c>
      <c r="D2658" s="24"/>
      <c r="E2658" s="24"/>
    </row>
    <row r="2659">
      <c r="A2659" s="25" t="s">
        <v>18352</v>
      </c>
      <c r="B2659" s="25" t="s">
        <v>18375</v>
      </c>
      <c r="C2659" s="26" t="str">
        <f>HYPERLINK("https://audio.iskcondesiretree.com/02_-_ISKCON_Swamis/ISKCON_Swamis_-_R_to_Y/His_Holiness_Radhanath_Swami/Lectures/00_-_Year_wise/Devotional_Nectar_-_2011/More/2011-12-18_Various_-_Sunday_Feast-Developing_Real_Attachment_-_Radhanath_Swami_ISKCON_Chowpatty"&amp;".mp3", "2011-12-18_Various_-_Sunday_Feast-Developing_Real_Attachment_-_Radhanath_Swami_ISKCON_Chowpatty.mp3")</f>
        <v>2011-12-18_Various_-_Sunday_Feast-Developing_Real_Attachment_-_Radhanath_Swami_ISKCON_Chowpatty.mp3</v>
      </c>
      <c r="D2659" s="24"/>
      <c r="E2659" s="24"/>
    </row>
    <row r="2660">
      <c r="A2660" s="25" t="s">
        <v>18352</v>
      </c>
      <c r="B2660" s="25" t="s">
        <v>18375</v>
      </c>
      <c r="C2660" s="26" t="str">
        <f>HYPERLINK("https://audio.iskcondesiretree.com/02_-_ISKCON_Swamis/ISKCON_Swamis_-_R_to_Y/His_Holiness_Radhanath_Swami/Lectures/00_-_Year_wise/Devotional_Nectar_-_2011/More/2011-12-24_-_Jagannath_Rath_Yatra_Lecture_-_Radhanath_Swami_Wada.mp3", "2011-12-24_-_Jagannath_Rath_Yatra_Lecture_-_Radhanath_Swami_Wada.mp3")</f>
        <v>2011-12-24_-_Jagannath_Rath_Yatra_Lecture_-_Radhanath_Swami_Wada.mp3</v>
      </c>
      <c r="D2660" s="24"/>
      <c r="E2660" s="24"/>
    </row>
    <row r="2661">
      <c r="A2661" s="25" t="s">
        <v>18352</v>
      </c>
      <c r="B2661" s="25" t="s">
        <v>18375</v>
      </c>
      <c r="C2661" s="26" t="str">
        <f>HYPERLINK("https://audio.iskcondesiretree.com/02_-_ISKCON_Swamis/ISKCON_Swamis_-_R_to_Y/His_Holiness_Radhanath_Swami/Lectures/00_-_Year_wise/Devotional_Nectar_-_2011/More/2011-12-31_SB-10-05-05-07_-_Expressing_Love_and_Care_by_Real_Gestures_-_Radhanath_Swami_ISKCON_"&amp;"Chowpatty.mp3", "2011-12-31_SB-10-05-05-07_-_Expressing_Love_and_Care_by_Real_Gestures_-_Radhanath_Swami_ISKCON_Chowpatty.mp3")</f>
        <v>2011-12-31_SB-10-05-05-07_-_Expressing_Love_and_Care_by_Real_Gestures_-_Radhanath_Swami_ISKCON_Chowpatty.mp3</v>
      </c>
      <c r="D2661" s="24"/>
      <c r="E2661" s="24"/>
    </row>
    <row r="2662">
      <c r="A2662" s="25" t="s">
        <v>18352</v>
      </c>
      <c r="B2662" s="25" t="s">
        <v>18375</v>
      </c>
      <c r="C2662" s="26" t="str">
        <f>HYPERLINK("https://audio.iskcondesiretree.com/02_-_ISKCON_Swamis/ISKCON_Swamis_-_R_to_Y/His_Holiness_Radhanath_Swami/Lectures/00_-_Year_wise/Devotional_Nectar_-_2011/More/2011_Various_-_Finding_Unity_-_Radhanath_Swami.mp3", "2011_Various_-_Finding_Unity_-_Radhanath_Swami.mp3")</f>
        <v>2011_Various_-_Finding_Unity_-_Radhanath_Swami.mp3</v>
      </c>
      <c r="D2662" s="24"/>
      <c r="E2662" s="24"/>
    </row>
    <row r="2663">
      <c r="A2663" s="25" t="s">
        <v>18352</v>
      </c>
      <c r="B2663" s="25" t="s">
        <v>18375</v>
      </c>
      <c r="C2663" s="26" t="str">
        <f>HYPERLINK("https://audio.iskcondesiretree.com/02_-_ISKCON_Swamis/ISKCON_Swamis_-_R_to_Y/His_Holiness_Radhanath_Swami/Lectures/00_-_Year_wise/Devotional_Nectar_-_2011/More/2011_Various_-_Knowing_the_body_to_be_Krishna%27s_Property_-_Radhanath_Swami_Golok_Dham.mp3", "2011_Various_-_Knowing_the_body_to_be_Krishna%27s_Property_-_Radhanath_Swami_Golok_Dham.mp3")</f>
        <v>2011_Various_-_Knowing_the_body_to_be_Krishna%27s_Property_-_Radhanath_Swami_Golok_Dham.mp3</v>
      </c>
      <c r="D2663" s="24"/>
      <c r="E2663" s="24"/>
    </row>
    <row r="2664">
      <c r="A2664" s="25" t="s">
        <v>18352</v>
      </c>
      <c r="B2664" s="25" t="s">
        <v>18376</v>
      </c>
      <c r="C2664" s="26" t="str">
        <f>HYPERLINK("https://audio.iskcondesiretree.com/02_-_ISKCON_Swamis/ISKCON_Swamis_-_R_to_Y/His_Holiness_Radhanath_Swami/Lectures/00_-_Year_wise/Devotional_Nectar_-_2012/2012-01-06_Various_-_Pastimes_of_Lord_Jagannath_-_Radhanath_Swami_ISKCON_Juhu.mp3", "2012-01-06_Various_-_Pastimes_of_Lord_Jagannath_-_Radhanath_Swami_ISKCON_Juhu.mp3")</f>
        <v>2012-01-06_Various_-_Pastimes_of_Lord_Jagannath_-_Radhanath_Swami_ISKCON_Juhu.mp3</v>
      </c>
      <c r="D2664" s="24"/>
      <c r="E2664" s="24"/>
    </row>
    <row r="2665">
      <c r="A2665" s="25" t="s">
        <v>18352</v>
      </c>
      <c r="B2665" s="25" t="s">
        <v>18376</v>
      </c>
      <c r="C2665" s="26" t="str">
        <f>HYPERLINK("https://audio.iskcondesiretree.com/02_-_ISKCON_Swamis/ISKCON_Swamis_-_R_to_Y/His_Holiness_Radhanath_Swami/Lectures/00_-_Year_wise/Devotional_Nectar_-_2012/2012-01-07_-_Glories_of_Jagannath_Rath_Yatra_-_Radhanath_Swami_Dadar.mp3", "2012-01-07_-_Glories_of_Jagannath_Rath_Yatra_-_Radhanath_Swami_Dadar.mp3")</f>
        <v>2012-01-07_-_Glories_of_Jagannath_Rath_Yatra_-_Radhanath_Swami_Dadar.mp3</v>
      </c>
      <c r="D2665" s="24"/>
      <c r="E2665" s="24"/>
    </row>
    <row r="2666">
      <c r="A2666" s="25" t="s">
        <v>18352</v>
      </c>
      <c r="B2666" s="25" t="s">
        <v>18376</v>
      </c>
      <c r="C2666" s="26" t="str">
        <f>HYPERLINK("https://audio.iskcondesiretree.com/02_-_ISKCON_Swamis/ISKCON_Swamis_-_R_to_Y/His_Holiness_Radhanath_Swami/Lectures/00_-_Year_wise/Devotional_Nectar_-_2012/2012-01-08_-_Jagannath_Rath_Yatra_Lecture_-_Radhanath_Swami_Juhu.mp3", "2012-01-08_-_Jagannath_Rath_Yatra_Lecture_-_Radhanath_Swami_Juhu.mp3")</f>
        <v>2012-01-08_-_Jagannath_Rath_Yatra_Lecture_-_Radhanath_Swami_Juhu.mp3</v>
      </c>
      <c r="D2666" s="24"/>
      <c r="E2666" s="24"/>
    </row>
    <row r="2667">
      <c r="A2667" s="25" t="s">
        <v>18352</v>
      </c>
      <c r="B2667" s="25" t="s">
        <v>18376</v>
      </c>
      <c r="C2667" s="26" t="str">
        <f>HYPERLINK("https://audio.iskcondesiretree.com/02_-_ISKCON_Swamis/ISKCON_Swamis_-_R_to_Y/His_Holiness_Radhanath_Swami/Lectures/00_-_Year_wise/Devotional_Nectar_-_2012/2012-01-08_SB_10-05-17_-_Get_Happiness_to_Give_Happiness_-_Radhanath_Swami_ISKCON_Chowpatty.mp3", "2012-01-08_SB_10-05-17_-_Get_Happiness_to_Give_Happiness_-_Radhanath_Swami_ISKCON_Chowpatty.mp3")</f>
        <v>2012-01-08_SB_10-05-17_-_Get_Happiness_to_Give_Happiness_-_Radhanath_Swami_ISKCON_Chowpatty.mp3</v>
      </c>
      <c r="D2667" s="24"/>
      <c r="E2667" s="24"/>
    </row>
    <row r="2668">
      <c r="A2668" s="25" t="s">
        <v>18352</v>
      </c>
      <c r="B2668" s="25" t="s">
        <v>18376</v>
      </c>
      <c r="C2668" s="26" t="str">
        <f>HYPERLINK("https://audio.iskcondesiretree.com/02_-_ISKCON_Swamis/ISKCON_Swamis_-_R_to_Y/His_Holiness_Radhanath_Swami/Lectures/00_-_Year_wise/Devotional_Nectar_-_2012/2012-01-14_Festivals_-_Jagannath_Rath_Yatra_Lecture_-_Radhanath_Swami_Ghatkopar.mp3", "2012-01-14_Festivals_-_Jagannath_Rath_Yatra_Lecture_-_Radhanath_Swami_Ghatkopar.mp3")</f>
        <v>2012-01-14_Festivals_-_Jagannath_Rath_Yatra_Lecture_-_Radhanath_Swami_Ghatkopar.mp3</v>
      </c>
      <c r="D2668" s="24"/>
      <c r="E2668" s="24"/>
    </row>
    <row r="2669">
      <c r="A2669" s="25" t="s">
        <v>18352</v>
      </c>
      <c r="B2669" s="25" t="s">
        <v>18376</v>
      </c>
      <c r="C2669" s="26" t="str">
        <f>HYPERLINK("https://audio.iskcondesiretree.com/02_-_ISKCON_Swamis/ISKCON_Swamis_-_R_to_Y/His_Holiness_Radhanath_Swami/Lectures/00_-_Year_wise/Devotional_Nectar_-_2012/2012-01-15_Various_-_Kunja_Bihari_Prabhu%27s_Residence_-_Radhanath_Swami_Mumbai_Central.mp3", "2012-01-15_Various_-_Kunja_Bihari_Prabhu%27s_Residence_-_Radhanath_Swami_Mumbai_Central.mp3")</f>
        <v>2012-01-15_Various_-_Kunja_Bihari_Prabhu%27s_Residence_-_Radhanath_Swami_Mumbai_Central.mp3</v>
      </c>
      <c r="D2669" s="24"/>
      <c r="E2669" s="24"/>
    </row>
    <row r="2670">
      <c r="A2670" s="25" t="s">
        <v>18352</v>
      </c>
      <c r="B2670" s="25" t="s">
        <v>18376</v>
      </c>
      <c r="C2670" s="26" t="str">
        <f>HYPERLINK("https://audio.iskcondesiretree.com/02_-_ISKCON_Swamis/ISKCON_Swamis_-_R_to_Y/His_Holiness_Radhanath_Swami/Lectures/00_-_Year_wise/Devotional_Nectar_-_2012/2012-01-21_SB_10-06-01_-_Dynamics_of_Love_of_Godhead_-_Radhanath_Swami_ISKCON_Chowpatty.mp3", "2012-01-21_SB_10-06-01_-_Dynamics_of_Love_of_Godhead_-_Radhanath_Swami_ISKCON_Chowpatty.mp3")</f>
        <v>2012-01-21_SB_10-06-01_-_Dynamics_of_Love_of_Godhead_-_Radhanath_Swami_ISKCON_Chowpatty.mp3</v>
      </c>
      <c r="D2670" s="24"/>
      <c r="E2670" s="24"/>
    </row>
    <row r="2671">
      <c r="A2671" s="25" t="s">
        <v>18352</v>
      </c>
      <c r="B2671" s="25" t="s">
        <v>18376</v>
      </c>
      <c r="C2671" s="26" t="str">
        <f>HYPERLINK("https://audio.iskcondesiretree.com/02_-_ISKCON_Swamis/ISKCON_Swamis_-_R_to_Y/His_Holiness_Radhanath_Swami/Lectures/00_-_Year_wise/Devotional_Nectar_-_2012/2012-01-21_Various_-_INSPIRO-Youth_Festival_Lecture_-_Radhanath_Swami_ISKCON_Chowpatty.mp3", "2012-01-21_Various_-_INSPIRO-Youth_Festival_Lecture_-_Radhanath_Swami_ISKCON_Chowpatty.mp3")</f>
        <v>2012-01-21_Various_-_INSPIRO-Youth_Festival_Lecture_-_Radhanath_Swami_ISKCON_Chowpatty.mp3</v>
      </c>
      <c r="D2671" s="24"/>
      <c r="E2671" s="24"/>
    </row>
    <row r="2672">
      <c r="A2672" s="25" t="s">
        <v>18352</v>
      </c>
      <c r="B2672" s="25" t="s">
        <v>18376</v>
      </c>
      <c r="C2672" s="26" t="str">
        <f>HYPERLINK("https://audio.iskcondesiretree.com/02_-_ISKCON_Swamis/ISKCON_Swamis_-_R_to_Y/His_Holiness_Radhanath_Swami/Lectures/00_-_Year_wise/Devotional_Nectar_-_2012/2012-01-22_Various_-_Birla_House_Program_-_Radhanath_Swami_ISKCON_Chowpatty.mp3", "2012-01-22_Various_-_Birla_House_Program_-_Radhanath_Swami_ISKCON_Chowpatty.mp3")</f>
        <v>2012-01-22_Various_-_Birla_House_Program_-_Radhanath_Swami_ISKCON_Chowpatty.mp3</v>
      </c>
      <c r="D2672" s="24"/>
      <c r="E2672" s="24"/>
    </row>
    <row r="2673">
      <c r="A2673" s="25" t="s">
        <v>18352</v>
      </c>
      <c r="B2673" s="25" t="s">
        <v>18376</v>
      </c>
      <c r="C2673" s="26" t="str">
        <f>HYPERLINK("https://audio.iskcondesiretree.com/02_-_ISKCON_Swamis/ISKCON_Swamis_-_R_to_Y/His_Holiness_Radhanath_Swami/Lectures/00_-_Year_wise/Devotional_Nectar_-_2012/2012-01-22_Various_-_GCL-Bhagavat_Gita_Lecture_-_Radhanath_Swami_ISKCON_Chowpatty.mp3", "2012-01-22_Various_-_GCL-Bhagavat_Gita_Lecture_-_Radhanath_Swami_ISKCON_Chowpatty.mp3")</f>
        <v>2012-01-22_Various_-_GCL-Bhagavat_Gita_Lecture_-_Radhanath_Swami_ISKCON_Chowpatty.mp3</v>
      </c>
      <c r="D2673" s="24"/>
      <c r="E2673" s="24"/>
    </row>
    <row r="2674">
      <c r="A2674" s="25" t="s">
        <v>18352</v>
      </c>
      <c r="B2674" s="25" t="s">
        <v>18376</v>
      </c>
      <c r="C2674" s="26" t="str">
        <f>HYPERLINK("https://audio.iskcondesiretree.com/02_-_ISKCON_Swamis/ISKCON_Swamis_-_R_to_Y/His_Holiness_Radhanath_Swami/Lectures/00_-_Year_wise/Devotional_Nectar_-_2012/2012-01-22_Various_-_Sunday_Feast-Glories_of_Ambarish_Maharaj_-_Radhanath_Swami_ISKCON_Chowpatty.mp3", "2012-01-22_Various_-_Sunday_Feast-Glories_of_Ambarish_Maharaj_-_Radhanath_Swami_ISKCON_Chowpatty.mp3")</f>
        <v>2012-01-22_Various_-_Sunday_Feast-Glories_of_Ambarish_Maharaj_-_Radhanath_Swami_ISKCON_Chowpatty.mp3</v>
      </c>
      <c r="D2674" s="24"/>
      <c r="E2674" s="24"/>
    </row>
    <row r="2675">
      <c r="A2675" s="25" t="s">
        <v>18352</v>
      </c>
      <c r="B2675" s="25" t="s">
        <v>18376</v>
      </c>
      <c r="C2675" s="26" t="str">
        <f>HYPERLINK("https://audio.iskcondesiretree.com/02_-_ISKCON_Swamis/ISKCON_Swamis_-_R_to_Y/His_Holiness_Radhanath_Swami/Lectures/00_-_Year_wise/Devotional_Nectar_-_2012/2012-01-26_-_Republic_Day_and_Our_Spiritual_Constitution_-_Radhanath_Swami_ISKCON_Juhu.mp3", "2012-01-26_-_Republic_Day_and_Our_Spiritual_Constitution_-_Radhanath_Swami_ISKCON_Juhu.mp3")</f>
        <v>2012-01-26_-_Republic_Day_and_Our_Spiritual_Constitution_-_Radhanath_Swami_ISKCON_Juhu.mp3</v>
      </c>
      <c r="D2675" s="24"/>
      <c r="E2675" s="24"/>
    </row>
    <row r="2676">
      <c r="A2676" s="25" t="s">
        <v>18352</v>
      </c>
      <c r="B2676" s="25" t="s">
        <v>18376</v>
      </c>
      <c r="C2676" s="26" t="str">
        <f>HYPERLINK("https://audio.iskcondesiretree.com/02_-_ISKCON_Swamis/ISKCON_Swamis_-_R_to_Y/His_Holiness_Radhanath_Swami/Lectures/00_-_Year_wise/Devotional_Nectar_-_2012/2012-01-28_SB_03-02-23_-_Glories_of_Acharyas_-_Radhanath_Swami_ISKCON_Chowpatty.mp3", "2012-01-28_SB_03-02-23_-_Glories_of_Acharyas_-_Radhanath_Swami_ISKCON_Chowpatty.mp3")</f>
        <v>2012-01-28_SB_03-02-23_-_Glories_of_Acharyas_-_Radhanath_Swami_ISKCON_Chowpatty.mp3</v>
      </c>
      <c r="D2676" s="24"/>
      <c r="E2676" s="24"/>
    </row>
    <row r="2677">
      <c r="A2677" s="25" t="s">
        <v>18352</v>
      </c>
      <c r="B2677" s="25" t="s">
        <v>18376</v>
      </c>
      <c r="C2677" s="26" t="str">
        <f>HYPERLINK("https://audio.iskcondesiretree.com/02_-_ISKCON_Swamis/ISKCON_Swamis_-_R_to_Y/His_Holiness_Radhanath_Swami/Lectures/00_-_Year_wise/Devotional_Nectar_-_2012/2012-01-29_SB_10-06-09_-_Putana_in_Vrindavan_-_Radhanath_Swami_ISKCON_Chowpatty.mp3", "2012-01-29_SB_10-06-09_-_Putana_in_Vrindavan_-_Radhanath_Swami_ISKCON_Chowpatty.mp3")</f>
        <v>2012-01-29_SB_10-06-09_-_Putana_in_Vrindavan_-_Radhanath_Swami_ISKCON_Chowpatty.mp3</v>
      </c>
      <c r="D2677" s="24"/>
      <c r="E2677" s="24"/>
    </row>
    <row r="2678">
      <c r="A2678" s="25" t="s">
        <v>18352</v>
      </c>
      <c r="B2678" s="25" t="s">
        <v>18376</v>
      </c>
      <c r="C2678" s="26" t="str">
        <f>HYPERLINK("https://audio.iskcondesiretree.com/02_-_ISKCON_Swamis/ISKCON_Swamis_-_R_to_Y/His_Holiness_Radhanath_Swami/Lectures/00_-_Year_wise/Devotional_Nectar_-_2012/2012-02-04_Various_-_Prerna_Festival-Power_of_Intensions_-_Radhanath_Swami_ISKCON_Kolkata.mp3", "2012-02-04_Various_-_Prerna_Festival-Power_of_Intensions_-_Radhanath_Swami_ISKCON_Kolkata.mp3")</f>
        <v>2012-02-04_Various_-_Prerna_Festival-Power_of_Intensions_-_Radhanath_Swami_ISKCON_Kolkata.mp3</v>
      </c>
      <c r="D2678" s="24"/>
      <c r="E2678" s="24"/>
    </row>
    <row r="2679">
      <c r="A2679" s="25" t="s">
        <v>18352</v>
      </c>
      <c r="B2679" s="25" t="s">
        <v>18376</v>
      </c>
      <c r="C2679" s="26" t="str">
        <f>HYPERLINK("https://audio.iskcondesiretree.com/02_-_ISKCON_Swamis/ISKCON_Swamis_-_R_to_Y/His_Holiness_Radhanath_Swami/Lectures/00_-_Year_wise/Devotional_Nectar_-_2012/2012-02-05_Festivals_-_Nityananda_Trayodashi_Festival_Class_-_Radhanath_Swami_ISKCON_Kolkata.mp3", "2012-02-05_Festivals_-_Nityananda_Trayodashi_Festival_Class_-_Radhanath_Swami_ISKCON_Kolkata.mp3")</f>
        <v>2012-02-05_Festivals_-_Nityananda_Trayodashi_Festival_Class_-_Radhanath_Swami_ISKCON_Kolkata.mp3</v>
      </c>
      <c r="D2679" s="24"/>
      <c r="E2679" s="24"/>
    </row>
    <row r="2680">
      <c r="A2680" s="25" t="s">
        <v>18352</v>
      </c>
      <c r="B2680" s="25" t="s">
        <v>18376</v>
      </c>
      <c r="C2680" s="26" t="str">
        <f>HYPERLINK("https://audio.iskcondesiretree.com/02_-_ISKCON_Swamis/ISKCON_Swamis_-_R_to_Y/His_Holiness_Radhanath_Swami/Lectures/00_-_Year_wise/Devotional_Nectar_-_2012/2012-02-10_SB_04-30-08_-_Radhanath_Swami_ISKCON_Mayapur.mp3", "2012-02-10_SB_04-30-08_-_Radhanath_Swami_ISKCON_Mayapur.mp3")</f>
        <v>2012-02-10_SB_04-30-08_-_Radhanath_Swami_ISKCON_Mayapur.mp3</v>
      </c>
      <c r="D2680" s="24"/>
      <c r="E2680" s="24"/>
    </row>
    <row r="2681">
      <c r="A2681" s="25" t="s">
        <v>18352</v>
      </c>
      <c r="B2681" s="25" t="s">
        <v>18376</v>
      </c>
      <c r="C2681" s="26" t="str">
        <f>HYPERLINK("https://audio.iskcondesiretree.com/02_-_ISKCON_Swamis/ISKCON_Swamis_-_R_to_Y/His_Holiness_Radhanath_Swami/Lectures/00_-_Year_wise/Devotional_Nectar_-_2012/2012-02-25_SB_10-07-03_-_Developing_Eagerness_to_Hear_-_Radhanath_Swami_ISKCON_Chowpatty.mp3", "2012-02-25_SB_10-07-03_-_Developing_Eagerness_to_Hear_-_Radhanath_Swami_ISKCON_Chowpatty.mp3")</f>
        <v>2012-02-25_SB_10-07-03_-_Developing_Eagerness_to_Hear_-_Radhanath_Swami_ISKCON_Chowpatty.mp3</v>
      </c>
      <c r="D2681" s="24"/>
      <c r="E2681" s="24"/>
    </row>
    <row r="2682">
      <c r="A2682" s="25" t="s">
        <v>18352</v>
      </c>
      <c r="B2682" s="25" t="s">
        <v>18376</v>
      </c>
      <c r="C2682" s="26" t="str">
        <f>HYPERLINK("https://audio.iskcondesiretree.com/02_-_ISKCON_Swamis/ISKCON_Swamis_-_R_to_Y/His_Holiness_Radhanath_Swami/Lectures/00_-_Year_wise/Devotional_Nectar_-_2012/2012-02-26_-_GCL_Award_Giving_Lecture_-_Radhanath_Swami_ISKCON%20Chowpatty.mp3", "2012-02-26_-_GCL_Award_Giving_Lecture_-_Radhanath_Swami_ISKCON%20Chowpatty.mp3")</f>
        <v>2012-02-26_-_GCL_Award_Giving_Lecture_-_Radhanath_Swami_ISKCON%20Chowpatty.mp3</v>
      </c>
      <c r="D2682" s="24"/>
      <c r="E2682" s="24"/>
    </row>
    <row r="2683">
      <c r="A2683" s="25" t="s">
        <v>18352</v>
      </c>
      <c r="B2683" s="25" t="s">
        <v>18376</v>
      </c>
      <c r="C2683" s="26" t="str">
        <f>HYPERLINK("https://audio.iskcondesiretree.com/02_-_ISKCON_Swamis/ISKCON_Swamis_-_R_to_Y/His_Holiness_Radhanath_Swami/Lectures/00_-_Year_wise/Devotional_Nectar_-_2012/2012-02-26_SB-10-07-04_-_Be_Sensitive_to_Mind_Body_and_Soul_-_Radhanath_Swami_ISKCON_Chowpatty.mp3", "2012-02-26_SB-10-07-04_-_Be_Sensitive_to_Mind_Body_and_Soul_-_Radhanath_Swami_ISKCON_Chowpatty.mp3")</f>
        <v>2012-02-26_SB-10-07-04_-_Be_Sensitive_to_Mind_Body_and_Soul_-_Radhanath_Swami_ISKCON_Chowpatty.mp3</v>
      </c>
      <c r="D2683" s="24"/>
      <c r="E2683" s="24"/>
    </row>
    <row r="2684">
      <c r="A2684" s="25" t="s">
        <v>18352</v>
      </c>
      <c r="B2684" s="25" t="s">
        <v>18376</v>
      </c>
      <c r="C2684" s="26" t="str">
        <f>HYPERLINK("https://audio.iskcondesiretree.com/02_-_ISKCON_Swamis/ISKCON_Swamis_-_R_to_Y/His_Holiness_Radhanath_Swami/Lectures/00_-_Year_wise/Devotional_Nectar_-_2012/2012-03-04_-_Filling_In_and_Emptying_Out_-_Radhanath_Swami.mp3", "2012-03-04_-_Filling_In_and_Emptying_Out_-_Radhanath_Swami.mp3")</f>
        <v>2012-03-04_-_Filling_In_and_Emptying_Out_-_Radhanath_Swami.mp3</v>
      </c>
      <c r="D2684" s="24"/>
      <c r="E2684" s="24"/>
    </row>
    <row r="2685">
      <c r="A2685" s="25" t="s">
        <v>18352</v>
      </c>
      <c r="B2685" s="25" t="s">
        <v>18376</v>
      </c>
      <c r="C2685" s="26" t="str">
        <f>HYPERLINK("https://audio.iskcondesiretree.com/02_-_ISKCON_Swamis/ISKCON_Swamis_-_R_to_Y/His_Holiness_Radhanath_Swami/Lectures/00_-_Year_wise/Devotional_Nectar_-_2012/2012-03-08_Festivals_-_Lord_Chaitanya_is_Conquered_by_Love_-_Radhanath_Swami_ISKCON_Chowpatty.mp3", "2012-03-08_Festivals_-_Lord_Chaitanya_is_Conquered_by_Love_-_Radhanath_Swami_ISKCON_Chowpatty.mp3")</f>
        <v>2012-03-08_Festivals_-_Lord_Chaitanya_is_Conquered_by_Love_-_Radhanath_Swami_ISKCON_Chowpatty.mp3</v>
      </c>
      <c r="D2685" s="24"/>
      <c r="E2685" s="24"/>
    </row>
    <row r="2686">
      <c r="A2686" s="25" t="s">
        <v>18352</v>
      </c>
      <c r="B2686" s="25" t="s">
        <v>18376</v>
      </c>
      <c r="C2686" s="26" t="str">
        <f>HYPERLINK("https://audio.iskcondesiretree.com/02_-_ISKCON_Swamis/ISKCON_Swamis_-_R_to_Y/His_Holiness_Radhanath_Swami/Lectures/00_-_Year_wise/Devotional_Nectar_-_2012/2012-03-11_Sunday_Feast-Lord_Caitanya%27s_Mahaprakash_Lila_-_Radhanath_Swami_ISKCON_Chowpatty.mp3", "2012-03-11_Sunday_Feast-Lord_Caitanya%27s_Mahaprakash_Lila_-_Radhanath_Swami_ISKCON_Chowpatty.mp3")</f>
        <v>2012-03-11_Sunday_Feast-Lord_Caitanya%27s_Mahaprakash_Lila_-_Radhanath_Swami_ISKCON_Chowpatty.mp3</v>
      </c>
      <c r="D2686" s="24"/>
      <c r="E2686" s="24"/>
    </row>
    <row r="2687">
      <c r="A2687" s="25" t="s">
        <v>18352</v>
      </c>
      <c r="B2687" s="25" t="s">
        <v>18376</v>
      </c>
      <c r="C2687" s="26" t="str">
        <f>HYPERLINK("https://audio.iskcondesiretree.com/02_-_ISKCON_Swamis/ISKCON_Swamis_-_R_to_Y/His_Holiness_Radhanath_Swami/Lectures/00_-_Year_wise/Devotional_Nectar_-_2012/2012-03-16_SB_04-15-04_-_King_Prithu%27s_Appearance_and_Coronation_-_Radhanath_Swami_ISKCON_Nigdi.mp"&amp;"3", "2012-03-16_SB_04-15-04_-_King_Prithu%27s_Appearance_and_Coronation_-_Radhanath_Swami_ISKCON_Nigdi.mp3")</f>
        <v>2012-03-16_SB_04-15-04_-_King_Prithu%27s_Appearance_and_Coronation_-_Radhanath_Swami_ISKCON_Nigdi.mp3</v>
      </c>
      <c r="D2687" s="24"/>
      <c r="E2687" s="24"/>
    </row>
    <row r="2688">
      <c r="A2688" s="25" t="s">
        <v>18352</v>
      </c>
      <c r="B2688" s="25" t="s">
        <v>18376</v>
      </c>
      <c r="C2688" s="26" t="str">
        <f>HYPERLINK("https://audio.iskcondesiretree.com/02_-_ISKCON_Swamis/ISKCON_Swamis_-_R_to_Y/His_Holiness_Radhanath_Swami/Lectures/00_-_Year_wise/Devotional_Nectar_-_2012/2012-03-18_SB_10-07-22-25_-_Transformation_of_Ego_-_Radhanath_Swami_ISKCON_Chowpatty.mp3", "2012-03-18_SB_10-07-22-25_-_Transformation_of_Ego_-_Radhanath_Swami_ISKCON_Chowpatty.mp3")</f>
        <v>2012-03-18_SB_10-07-22-25_-_Transformation_of_Ego_-_Radhanath_Swami_ISKCON_Chowpatty.mp3</v>
      </c>
      <c r="D2688" s="24"/>
      <c r="E2688" s="24"/>
    </row>
    <row r="2689">
      <c r="A2689" s="25" t="s">
        <v>18352</v>
      </c>
      <c r="B2689" s="25" t="s">
        <v>18376</v>
      </c>
      <c r="C2689" s="26" t="str">
        <f>HYPERLINK("https://audio.iskcondesiretree.com/02_-_ISKCON_Swamis/ISKCON_Swamis_-_R_to_Y/His_Holiness_Radhanath_Swami/Lectures/00_-_Year_wise/Devotional_Nectar_-_2012/2012-03-21_Various_-_Interview_on_TV_show_Rain_-_Radhanath_Swami.mp3", "2012-03-21_Various_-_Interview_on_TV_show_Rain_-_Radhanath_Swami.mp3")</f>
        <v>2012-03-21_Various_-_Interview_on_TV_show_Rain_-_Radhanath_Swami.mp3</v>
      </c>
      <c r="D2689" s="24"/>
      <c r="E2689" s="24"/>
    </row>
    <row r="2690">
      <c r="A2690" s="25" t="s">
        <v>18352</v>
      </c>
      <c r="B2690" s="25" t="s">
        <v>18376</v>
      </c>
      <c r="C2690" s="26" t="str">
        <f>HYPERLINK("https://audio.iskcondesiretree.com/02_-_ISKCON_Swamis/ISKCON_Swamis_-_R_to_Y/His_Holiness_Radhanath_Swami/Lectures/00_-_Year_wise/Devotional_Nectar_-_2012/2012-03-25_Various_-_Victory_of_Krishna_Consciousness_-_Radhanath_Swami_Moscow.mp3", "2012-03-25_Various_-_Victory_of_Krishna_Consciousness_-_Radhanath_Swami_Moscow.mp3")</f>
        <v>2012-03-25_Various_-_Victory_of_Krishna_Consciousness_-_Radhanath_Swami_Moscow.mp3</v>
      </c>
      <c r="D2690" s="24"/>
      <c r="E2690" s="24"/>
    </row>
    <row r="2691">
      <c r="A2691" s="25" t="s">
        <v>18352</v>
      </c>
      <c r="B2691" s="25" t="s">
        <v>18376</v>
      </c>
      <c r="C2691" s="26" t="str">
        <f>HYPERLINK("https://audio.iskcondesiretree.com/02_-_ISKCON_Swamis/ISKCON_Swamis_-_R_to_Y/His_Holiness_Radhanath_Swami/Lectures/00_-_Year_wise/Devotional_Nectar_-_2012/2012-03-29_Various_-_Creating_a_Caring_Community_-_Radhanath_Swami_ISKCON_London.mp3", "2012-03-29_Various_-_Creating_a_Caring_Community_-_Radhanath_Swami_ISKCON_London.mp3")</f>
        <v>2012-03-29_Various_-_Creating_a_Caring_Community_-_Radhanath_Swami_ISKCON_London.mp3</v>
      </c>
      <c r="D2691" s="24"/>
      <c r="E2691" s="24"/>
    </row>
    <row r="2692">
      <c r="A2692" s="25" t="s">
        <v>18352</v>
      </c>
      <c r="B2692" s="25" t="s">
        <v>18376</v>
      </c>
      <c r="C2692" s="26" t="str">
        <f>HYPERLINK("https://audio.iskcondesiretree.com/02_-_ISKCON_Swamis/ISKCON_Swamis_-_R_to_Y/His_Holiness_Radhanath_Swami/Lectures/00_-_Year_wise/Devotional_Nectar_-_2012/2012-03-30_Various_-_Envy_is_the_root_cause_of_our_Degradation_-_Radhanath_Swami_ISKCON_London.mp3", "2012-03-30_Various_-_Envy_is_the_root_cause_of_our_Degradation_-_Radhanath_Swami_ISKCON_London.mp3")</f>
        <v>2012-03-30_Various_-_Envy_is_the_root_cause_of_our_Degradation_-_Radhanath_Swami_ISKCON_London.mp3</v>
      </c>
      <c r="D2692" s="24"/>
      <c r="E2692" s="24"/>
    </row>
    <row r="2693">
      <c r="A2693" s="25" t="s">
        <v>18352</v>
      </c>
      <c r="B2693" s="25" t="s">
        <v>18376</v>
      </c>
      <c r="C2693" s="26" t="str">
        <f>HYPERLINK("https://audio.iskcondesiretree.com/02_-_ISKCON_Swamis/ISKCON_Swamis_-_R_to_Y/His_Holiness_Radhanath_Swami/Lectures/00_-_Year_wise/Devotional_Nectar_-_2012/2012-03-31_SB_09-10-02_-_The_Pastimes_of_Lord_Ramchandra_-_Radhanath_Swami_UK.mp3", "2012-03-31_SB_09-10-02_-_The_Pastimes_of_Lord_Ramchandra_-_Radhanath_Swami_UK.mp3")</f>
        <v>2012-03-31_SB_09-10-02_-_The_Pastimes_of_Lord_Ramchandra_-_Radhanath_Swami_UK.mp3</v>
      </c>
      <c r="D2693" s="24"/>
      <c r="E2693" s="24"/>
    </row>
    <row r="2694">
      <c r="A2694" s="25" t="s">
        <v>18352</v>
      </c>
      <c r="B2694" s="25" t="s">
        <v>18376</v>
      </c>
      <c r="C2694" s="26" t="str">
        <f>HYPERLINK("https://audio.iskcondesiretree.com/02_-_ISKCON_Swamis/ISKCON_Swamis_-_R_to_Y/His_Holiness_Radhanath_Swami/Lectures/00_-_Year_wise/Devotional_Nectar_-_2012/2012-04-01_Festivals_-_Appearance_of_Lord_Sri_Ramchandra_-_Radhanath_Swami_Bhaktivedanta_Manor.mp3", "2012-04-01_Festivals_-_Appearance_of_Lord_Sri_Ramchandra_-_Radhanath_Swami_Bhaktivedanta_Manor.mp3")</f>
        <v>2012-04-01_Festivals_-_Appearance_of_Lord_Sri_Ramchandra_-_Radhanath_Swami_Bhaktivedanta_Manor.mp3</v>
      </c>
      <c r="D2694" s="24"/>
      <c r="E2694" s="24"/>
    </row>
    <row r="2695">
      <c r="A2695" s="25" t="s">
        <v>18352</v>
      </c>
      <c r="B2695" s="25" t="s">
        <v>18376</v>
      </c>
      <c r="C2695" s="26" t="str">
        <f>HYPERLINK("https://audio.iskcondesiretree.com/02_-_ISKCON_Swamis/ISKCON_Swamis_-_R_to_Y/His_Holiness_Radhanath_Swami/Lectures/00_-_Year_wise/Devotional_Nectar_-_2012/2012-04-19_Various_-_East_Meets_West-01_-_Radhanath_Swami_and_Dr.Cornel_Richardson_Auditorium.mp3", "2012-04-19_Various_-_East_Meets_West-01_-_Radhanath_Swami_and_Dr.Cornel_Richardson_Auditorium.mp3")</f>
        <v>2012-04-19_Various_-_East_Meets_West-01_-_Radhanath_Swami_and_Dr.Cornel_Richardson_Auditorium.mp3</v>
      </c>
      <c r="D2695" s="24"/>
      <c r="E2695" s="24"/>
    </row>
    <row r="2696">
      <c r="A2696" s="25" t="s">
        <v>18352</v>
      </c>
      <c r="B2696" s="25" t="s">
        <v>18376</v>
      </c>
      <c r="C2696" s="26" t="str">
        <f>HYPERLINK("https://audio.iskcondesiretree.com/02_-_ISKCON_Swamis/ISKCON_Swamis_-_R_to_Y/His_Holiness_Radhanath_Swami/Lectures/00_-_Year_wise/Devotional_Nectar_-_2012/2012-04-19_Various_-_East_Meets_West-02_-_Radhanath_Swami_and_Dr.Cornel_Richardson_Auditorium.mp3", "2012-04-19_Various_-_East_Meets_West-02_-_Radhanath_Swami_and_Dr.Cornel_Richardson_Auditorium.mp3")</f>
        <v>2012-04-19_Various_-_East_Meets_West-02_-_Radhanath_Swami_and_Dr.Cornel_Richardson_Auditorium.mp3</v>
      </c>
      <c r="D2696" s="24"/>
      <c r="E2696" s="24"/>
    </row>
    <row r="2697">
      <c r="A2697" s="25" t="s">
        <v>18352</v>
      </c>
      <c r="B2697" s="25" t="s">
        <v>18376</v>
      </c>
      <c r="C2697" s="26" t="str">
        <f>HYPERLINK("https://audio.iskcondesiretree.com/02_-_ISKCON_Swamis/ISKCON_Swamis_-_R_to_Y/His_Holiness_Radhanath_Swami/Lectures/00_-_Year_wise/Devotional_Nectar_-_2012/2012-05-13_Various_-_Mother%27s_Day_-_Radhanath_Swami_New_Vrindavan.mp3", "2012-05-13_Various_-_Mother%27s_Day_-_Radhanath_Swami_New_Vrindavan.mp3")</f>
        <v>2012-05-13_Various_-_Mother%27s_Day_-_Radhanath_Swami_New_Vrindavan.mp3</v>
      </c>
      <c r="D2697" s="24"/>
      <c r="E2697" s="24"/>
    </row>
    <row r="2698">
      <c r="A2698" s="25" t="s">
        <v>18352</v>
      </c>
      <c r="B2698" s="25" t="s">
        <v>18376</v>
      </c>
      <c r="C2698" s="26" t="str">
        <f>HYPERLINK("https://audio.iskcondesiretree.com/02_-_ISKCON_Swamis/ISKCON_Swamis_-_R_to_Y/His_Holiness_Radhanath_Swami/Lectures/00_-_Year_wise/Devotional_Nectar_-_2012/2012-05-14_Various_-_Instruction_of_Chaitanya_Mahaprabhu_-_Radhanath_Swami_New_Vrindavan.mp3", "2012-05-14_Various_-_Instruction_of_Chaitanya_Mahaprabhu_-_Radhanath_Swami_New_Vrindavan.mp3")</f>
        <v>2012-05-14_Various_-_Instruction_of_Chaitanya_Mahaprabhu_-_Radhanath_Swami_New_Vrindavan.mp3</v>
      </c>
      <c r="D2698" s="24"/>
      <c r="E2698" s="24"/>
    </row>
    <row r="2699">
      <c r="A2699" s="25" t="s">
        <v>18352</v>
      </c>
      <c r="B2699" s="25" t="s">
        <v>18376</v>
      </c>
      <c r="C2699" s="26" t="str">
        <f>HYPERLINK("https://audio.iskcondesiretree.com/02_-_ISKCON_Swamis/ISKCON_Swamis_-_R_to_Y/His_Holiness_Radhanath_Swami/Lectures/00_-_Year_wise/Devotional_Nectar_-_2012/2012-05-20_Various_-_Krishna_is_the_source_of_everything_-_Radhanath_Swami_Bhaktivedanta_Manor.mp3", "2012-05-20_Various_-_Krishna_is_the_source_of_everything_-_Radhanath_Swami_Bhaktivedanta_Manor.mp3")</f>
        <v>2012-05-20_Various_-_Krishna_is_the_source_of_everything_-_Radhanath_Swami_Bhaktivedanta_Manor.mp3</v>
      </c>
      <c r="D2699" s="24"/>
      <c r="E2699" s="24"/>
    </row>
    <row r="2700">
      <c r="A2700" s="25" t="s">
        <v>18352</v>
      </c>
      <c r="B2700" s="25" t="s">
        <v>18376</v>
      </c>
      <c r="C2700" s="26" t="str">
        <f>HYPERLINK("https://audio.iskcondesiretree.com/02_-_ISKCON_Swamis/ISKCON_Swamis_-_R_to_Y/His_Holiness_Radhanath_Swami/Lectures/00_-_Year_wise/Devotional_Nectar_-_2012/2012-06-16_CC_Madhya_Lila_06-241_-_Radhanath_Swami_New_Vrindavan.mp3", "2012-06-16_CC_Madhya_Lila_06-241_-_Radhanath_Swami_New_Vrindavan.mp3")</f>
        <v>2012-06-16_CC_Madhya_Lila_06-241_-_Radhanath_Swami_New_Vrindavan.mp3</v>
      </c>
      <c r="D2700" s="24"/>
      <c r="E2700" s="24"/>
    </row>
    <row r="2701">
      <c r="A2701" s="25" t="s">
        <v>18352</v>
      </c>
      <c r="B2701" s="25" t="s">
        <v>18376</v>
      </c>
      <c r="C2701" s="26" t="str">
        <f>HYPERLINK("https://audio.iskcondesiretree.com/02_-_ISKCON_Swamis/ISKCON_Swamis_-_R_to_Y/His_Holiness_Radhanath_Swami/Lectures/00_-_Year_wise/Devotional_Nectar_-_2012/2012-07-06_SB_07-03-31_-_Radhanath_Swami_Los_Angeles.mp3", "2012-07-06_SB_07-03-31_-_Radhanath_Swami_Los_Angeles.mp3")</f>
        <v>2012-07-06_SB_07-03-31_-_Radhanath_Swami_Los_Angeles.mp3</v>
      </c>
      <c r="D2701" s="24"/>
      <c r="E2701" s="24"/>
    </row>
    <row r="2702">
      <c r="A2702" s="25" t="s">
        <v>18352</v>
      </c>
      <c r="B2702" s="25" t="s">
        <v>18376</v>
      </c>
      <c r="C2702" s="26" t="str">
        <f>HYPERLINK("https://audio.iskcondesiretree.com/02_-_ISKCON_Swamis/ISKCON_Swamis_-_R_to_Y/His_Holiness_Radhanath_Swami/Lectures/00_-_Year_wise/Devotional_Nectar_-_2012/2012-07-08_CC_Madhya_Lila_22-107_-_Sunday_Feast_Lecture_-_Radhanath_Swami_Los_Angeles.mp3", "2012-07-08_CC_Madhya_Lila_22-107_-_Sunday_Feast_Lecture_-_Radhanath_Swami_Los_Angeles.mp3")</f>
        <v>2012-07-08_CC_Madhya_Lila_22-107_-_Sunday_Feast_Lecture_-_Radhanath_Swami_Los_Angeles.mp3</v>
      </c>
      <c r="D2702" s="24"/>
      <c r="E2702" s="24"/>
    </row>
    <row r="2703">
      <c r="A2703" s="25" t="s">
        <v>18352</v>
      </c>
      <c r="B2703" s="25" t="s">
        <v>18376</v>
      </c>
      <c r="C2703" s="26" t="str">
        <f>HYPERLINK("https://audio.iskcondesiretree.com/02_-_ISKCON_Swamis/ISKCON_Swamis_-_R_to_Y/His_Holiness_Radhanath_Swami/Lectures/00_-_Year_wise/Devotional_Nectar_-_2012/2012-07-08_SB_07-03-33_-_Radhanath_Swami_Los_Angeles.mp3", "2012-07-08_SB_07-03-33_-_Radhanath_Swami_Los_Angeles.mp3")</f>
        <v>2012-07-08_SB_07-03-33_-_Radhanath_Swami_Los_Angeles.mp3</v>
      </c>
      <c r="D2703" s="24"/>
      <c r="E2703" s="24"/>
    </row>
    <row r="2704">
      <c r="A2704" s="25" t="s">
        <v>18352</v>
      </c>
      <c r="B2704" s="25" t="s">
        <v>18376</v>
      </c>
      <c r="C2704" s="26" t="str">
        <f>HYPERLINK("https://audio.iskcondesiretree.com/02_-_ISKCON_Swamis/ISKCON_Swamis_-_R_to_Y/His_Holiness_Radhanath_Swami/Lectures/00_-_Year_wise/Devotional_Nectar_-_2012/2012-07-27_Various_-_Sadhu_Sanga_-_Radhanath_Swami_Bhaktivedanta_Manor.mp3", "2012-07-27_Various_-_Sadhu_Sanga_-_Radhanath_Swami_Bhaktivedanta_Manor.mp3")</f>
        <v>2012-07-27_Various_-_Sadhu_Sanga_-_Radhanath_Swami_Bhaktivedanta_Manor.mp3</v>
      </c>
      <c r="D2704" s="24"/>
      <c r="E2704" s="24"/>
    </row>
    <row r="2705">
      <c r="A2705" s="25" t="s">
        <v>18352</v>
      </c>
      <c r="B2705" s="25" t="s">
        <v>18376</v>
      </c>
      <c r="C2705" s="26" t="str">
        <f>HYPERLINK("https://audio.iskcondesiretree.com/02_-_ISKCON_Swamis/ISKCON_Swamis_-_R_to_Y/His_Holiness_Radhanath_Swami/Lectures/00_-_Year_wise/Devotional_Nectar_-_2012/2012-07-28_Various_-_Initiation_Address_-_Radhanath_Swami_Bhaktivedanta_Manor.mp3", "2012-07-28_Various_-_Initiation_Address_-_Radhanath_Swami_Bhaktivedanta_Manor.mp3")</f>
        <v>2012-07-28_Various_-_Initiation_Address_-_Radhanath_Swami_Bhaktivedanta_Manor.mp3</v>
      </c>
      <c r="D2705" s="24"/>
      <c r="E2705" s="24"/>
    </row>
    <row r="2706">
      <c r="A2706" s="25" t="s">
        <v>18352</v>
      </c>
      <c r="B2706" s="25" t="s">
        <v>18376</v>
      </c>
      <c r="C2706" s="26" t="str">
        <f>HYPERLINK("https://audio.iskcondesiretree.com/02_-_ISKCON_Swamis/ISKCON_Swamis_-_R_to_Y/His_Holiness_Radhanath_Swami/Lectures/00_-_Year_wise/Devotional_Nectar_-_2012/2012-07-29_Festivals_-_Jhulan_Yatra_-_Radhanath_Swami_Bhaktivedanta_Manor.mp3", "2012-07-29_Festivals_-_Jhulan_Yatra_-_Radhanath_Swami_Bhaktivedanta_Manor.mp3")</f>
        <v>2012-07-29_Festivals_-_Jhulan_Yatra_-_Radhanath_Swami_Bhaktivedanta_Manor.mp3</v>
      </c>
      <c r="D2706" s="24"/>
      <c r="E2706" s="24"/>
    </row>
    <row r="2707">
      <c r="A2707" s="25" t="s">
        <v>18352</v>
      </c>
      <c r="B2707" s="25" t="s">
        <v>18376</v>
      </c>
      <c r="C2707" s="26" t="str">
        <f>HYPERLINK("https://audio.iskcondesiretree.com/02_-_ISKCON_Swamis/ISKCON_Swamis_-_R_to_Y/His_Holiness_Radhanath_Swami/Lectures/00_-_Year_wise/Devotional_Nectar_-_2012/2012-08-02_Festivals_-_Balaram_Jayanti_-_Radhanath_Swami_ISKCON_London.mp3", "2012-08-02_Festivals_-_Balaram_Jayanti_-_Radhanath_Swami_ISKCON_London.mp3")</f>
        <v>2012-08-02_Festivals_-_Balaram_Jayanti_-_Radhanath_Swami_ISKCON_London.mp3</v>
      </c>
      <c r="D2707" s="24"/>
      <c r="E2707" s="24"/>
    </row>
    <row r="2708">
      <c r="A2708" s="25" t="s">
        <v>18352</v>
      </c>
      <c r="B2708" s="25" t="s">
        <v>18376</v>
      </c>
      <c r="C2708" s="26" t="str">
        <f>HYPERLINK("https://audio.iskcondesiretree.com/02_-_ISKCON_Swamis/ISKCON_Swamis_-_R_to_Y/His_Holiness_Radhanath_Swami/Lectures/00_-_Year_wise/Devotional_Nectar_-_2012/2012-08-04_Various_-_Forest_of_Enjoyment_%28Morning%29_-_Radhanath_Swami_ISKCON_Radhadesh.mp3", "2012-08-04_Various_-_Forest_of_Enjoyment_%28Morning%29_-_Radhanath_Swami_ISKCON_Radhadesh.mp3")</f>
        <v>2012-08-04_Various_-_Forest_of_Enjoyment_%28Morning%29_-_Radhanath_Swami_ISKCON_Radhadesh.mp3</v>
      </c>
      <c r="D2708" s="24"/>
      <c r="E2708" s="24"/>
    </row>
    <row r="2709">
      <c r="A2709" s="25" t="s">
        <v>18352</v>
      </c>
      <c r="B2709" s="25" t="s">
        <v>18376</v>
      </c>
      <c r="C2709" s="26" t="str">
        <f>HYPERLINK("https://audio.iskcondesiretree.com/02_-_ISKCON_Swamis/ISKCON_Swamis_-_R_to_Y/His_Holiness_Radhanath_Swami/Lectures/00_-_Year_wise/Devotional_Nectar_-_2012/2012-08-04_Various_-_Unity_and_Honesty_-_Radhanath_Swami_ISKCON_Radhadesh.mp3", "2012-08-04_Various_-_Unity_and_Honesty_-_Radhanath_Swami_ISKCON_Radhadesh.mp3")</f>
        <v>2012-08-04_Various_-_Unity_and_Honesty_-_Radhanath_Swami_ISKCON_Radhadesh.mp3</v>
      </c>
      <c r="D2709" s="24"/>
      <c r="E2709" s="24"/>
    </row>
    <row r="2710">
      <c r="A2710" s="25" t="s">
        <v>18352</v>
      </c>
      <c r="B2710" s="25" t="s">
        <v>18376</v>
      </c>
      <c r="C2710" s="26" t="str">
        <f>HYPERLINK("https://audio.iskcondesiretree.com/02_-_ISKCON_Swamis/ISKCON_Swamis_-_R_to_Y/His_Holiness_Radhanath_Swami/Lectures/00_-_Year_wise/Devotional_Nectar_-_2012/2012-08-05_SB_05-14-23_-_Radhanath_Swami_ISKCON_Radhadesh.mp3", "2012-08-05_SB_05-14-23_-_Radhanath_Swami_ISKCON_Radhadesh.mp3")</f>
        <v>2012-08-05_SB_05-14-23_-_Radhanath_Swami_ISKCON_Radhadesh.mp3</v>
      </c>
      <c r="D2710" s="24"/>
      <c r="E2710" s="24"/>
    </row>
    <row r="2711">
      <c r="A2711" s="25" t="s">
        <v>18352</v>
      </c>
      <c r="B2711" s="25" t="s">
        <v>18376</v>
      </c>
      <c r="C2711" s="26" t="str">
        <f>HYPERLINK("https://audio.iskcondesiretree.com/02_-_ISKCON_Swamis/ISKCON_Swamis_-_R_to_Y/His_Holiness_Radhanath_Swami/Lectures/00_-_Year_wise/Devotional_Nectar_-_2012/2012-08-05_Various_-_How_to_transform_Crisis_into_blessings_-_Radhanath_Swami_ISKCON_Radhadesh.mp3", "2012-08-05_Various_-_How_to_transform_Crisis_into_blessings_-_Radhanath_Swami_ISKCON_Radhadesh.mp3")</f>
        <v>2012-08-05_Various_-_How_to_transform_Crisis_into_blessings_-_Radhanath_Swami_ISKCON_Radhadesh.mp3</v>
      </c>
      <c r="D2711" s="24"/>
      <c r="E2711" s="24"/>
    </row>
    <row r="2712">
      <c r="A2712" s="25" t="s">
        <v>18352</v>
      </c>
      <c r="B2712" s="25" t="s">
        <v>18376</v>
      </c>
      <c r="C2712" s="26" t="str">
        <f>HYPERLINK("https://audio.iskcondesiretree.com/02_-_ISKCON_Swamis/ISKCON_Swamis_-_R_to_Y/His_Holiness_Radhanath_Swami/Lectures/00_-_Year_wise/Devotional_Nectar_-_2012/2012-08-10_Festivals_-_Janmashtami_Festival_Class_-_Radhanath_Swami_Bhaktivedanta_Manor.mp3", "2012-08-10_Festivals_-_Janmashtami_Festival_Class_-_Radhanath_Swami_Bhaktivedanta_Manor.mp3")</f>
        <v>2012-08-10_Festivals_-_Janmashtami_Festival_Class_-_Radhanath_Swami_Bhaktivedanta_Manor.mp3</v>
      </c>
      <c r="D2712" s="24"/>
      <c r="E2712" s="24"/>
    </row>
    <row r="2713">
      <c r="A2713" s="25" t="s">
        <v>18352</v>
      </c>
      <c r="B2713" s="25" t="s">
        <v>18376</v>
      </c>
      <c r="C2713" s="26" t="str">
        <f>HYPERLINK("https://audio.iskcondesiretree.com/02_-_ISKCON_Swamis/ISKCON_Swamis_-_R_to_Y/His_Holiness_Radhanath_Swami/Lectures/00_-_Year_wise/Devotional_Nectar_-_2012/2012-08-12_Various_-_Janmashtami_Festival_Class_-_Radhanath_Swami_Bhaktivedanta_Manor.mp3", "2012-08-12_Various_-_Janmashtami_Festival_Class_-_Radhanath_Swami_Bhaktivedanta_Manor.mp3")</f>
        <v>2012-08-12_Various_-_Janmashtami_Festival_Class_-_Radhanath_Swami_Bhaktivedanta_Manor.mp3</v>
      </c>
      <c r="D2713" s="24"/>
      <c r="E2713" s="24"/>
    </row>
    <row r="2714">
      <c r="A2714" s="25" t="s">
        <v>18352</v>
      </c>
      <c r="B2714" s="25" t="s">
        <v>18376</v>
      </c>
      <c r="C2714" s="26" t="str">
        <f>HYPERLINK("https://audio.iskcondesiretree.com/02_-_ISKCON_Swamis/ISKCON_Swamis_-_R_to_Y/His_Holiness_Radhanath_Swami/Lectures/00_-_Year_wise/Devotional_Nectar_-_2012/2012-08-13_Various_-_The_True_Meaning_of_Sacred_-_Radhanath_Swami_ISKCON_Florence.mp3", "2012-08-13_Various_-_The_True_Meaning_of_Sacred_-_Radhanath_Swami_ISKCON_Florence.mp3")</f>
        <v>2012-08-13_Various_-_The_True_Meaning_of_Sacred_-_Radhanath_Swami_ISKCON_Florence.mp3</v>
      </c>
      <c r="D2714" s="24"/>
      <c r="E2714" s="24"/>
    </row>
    <row r="2715">
      <c r="A2715" s="25" t="s">
        <v>18352</v>
      </c>
      <c r="B2715" s="25" t="s">
        <v>18376</v>
      </c>
      <c r="C2715" s="26" t="str">
        <f>HYPERLINK("https://audio.iskcondesiretree.com/02_-_ISKCON_Swamis/ISKCON_Swamis_-_R_to_Y/His_Holiness_Radhanath_Swami/Lectures/00_-_Year_wise/Devotional_Nectar_-_2012/2012-08-14_SB_05-12-04_-_Radhanath_Swami_ISKCON_Florence.mp3", "2012-08-14_SB_05-12-04_-_Radhanath_Swami_ISKCON_Florence.mp3")</f>
        <v>2012-08-14_SB_05-12-04_-_Radhanath_Swami_ISKCON_Florence.mp3</v>
      </c>
      <c r="D2715" s="24"/>
      <c r="E2715" s="24"/>
    </row>
    <row r="2716">
      <c r="A2716" s="25" t="s">
        <v>18352</v>
      </c>
      <c r="B2716" s="25" t="s">
        <v>18376</v>
      </c>
      <c r="C2716" s="26" t="str">
        <f>HYPERLINK("https://audio.iskcondesiretree.com/02_-_ISKCON_Swamis/ISKCON_Swamis_-_R_to_Y/His_Holiness_Radhanath_Swami/Lectures/00_-_Year_wise/Devotional_Nectar_-_2012/2012-08-14_Various_-_The_Instructions_of_The_Spiritual_Master_-_Radhanath_Swami_ISKCON_Florence.mp3", "2012-08-14_Various_-_The_Instructions_of_The_Spiritual_Master_-_Radhanath_Swami_ISKCON_Florence.mp3")</f>
        <v>2012-08-14_Various_-_The_Instructions_of_The_Spiritual_Master_-_Radhanath_Swami_ISKCON_Florence.mp3</v>
      </c>
      <c r="D2716" s="24"/>
      <c r="E2716" s="24"/>
    </row>
    <row r="2717">
      <c r="A2717" s="25" t="s">
        <v>18352</v>
      </c>
      <c r="B2717" s="25" t="s">
        <v>18376</v>
      </c>
      <c r="C2717" s="26" t="str">
        <f>HYPERLINK("https://audio.iskcondesiretree.com/02_-_ISKCON_Swamis/ISKCON_Swamis_-_R_to_Y/His_Holiness_Radhanath_Swami/Lectures/00_-_Year_wise/Devotional_Nectar_-_2012/2012-08-15_Various_-_Initiations_-_Radhanath_Swami_Italy.mp3", "2012-08-15_Various_-_Initiations_-_Radhanath_Swami_Italy.mp3")</f>
        <v>2012-08-15_Various_-_Initiations_-_Radhanath_Swami_Italy.mp3</v>
      </c>
      <c r="D2717" s="24"/>
      <c r="E2717" s="24"/>
    </row>
    <row r="2718">
      <c r="A2718" s="25" t="s">
        <v>18352</v>
      </c>
      <c r="B2718" s="25" t="s">
        <v>18376</v>
      </c>
      <c r="C2718" s="26" t="str">
        <f>HYPERLINK("https://audio.iskcondesiretree.com/02_-_ISKCON_Swamis/ISKCON_Swamis_-_R_to_Y/His_Holiness_Radhanath_Swami/Lectures/00_-_Year_wise/Devotional_Nectar_-_2012/2012-08-15_Various_-_Simple_Living_and_High_Thinking_-_Radhanath_Swami_ISKCON_Florence.mp3", "2012-08-15_Various_-_Simple_Living_and_High_Thinking_-_Radhanath_Swami_ISKCON_Florence.mp3")</f>
        <v>2012-08-15_Various_-_Simple_Living_and_High_Thinking_-_Radhanath_Swami_ISKCON_Florence.mp3</v>
      </c>
      <c r="D2718" s="24"/>
      <c r="E2718" s="24"/>
    </row>
    <row r="2719">
      <c r="A2719" s="25" t="s">
        <v>18352</v>
      </c>
      <c r="B2719" s="25" t="s">
        <v>18376</v>
      </c>
      <c r="C2719" s="26" t="str">
        <f>HYPERLINK("https://audio.iskcondesiretree.com/02_-_ISKCON_Swamis/ISKCON_Swamis_-_R_to_Y/His_Holiness_Radhanath_Swami/Lectures/00_-_Year_wise/Devotional_Nectar_-_2012/2012-09-14_SB_07-05-06_-_Radhanath_Swami_Los_Angeles.mp3", "2012-09-14_SB_07-05-06_-_Radhanath_Swami_Los_Angeles.mp3")</f>
        <v>2012-09-14_SB_07-05-06_-_Radhanath_Swami_Los_Angeles.mp3</v>
      </c>
      <c r="D2719" s="24"/>
      <c r="E2719" s="24"/>
    </row>
    <row r="2720">
      <c r="A2720" s="25" t="s">
        <v>18352</v>
      </c>
      <c r="B2720" s="25" t="s">
        <v>18376</v>
      </c>
      <c r="C2720" s="26" t="str">
        <f>HYPERLINK("https://audio.iskcondesiretree.com/02_-_ISKCON_Swamis/ISKCON_Swamis_-_R_to_Y/His_Holiness_Radhanath_Swami/Lectures/00_-_Year_wise/Devotional_Nectar_-_2012/2012-10-08_Various_-_Spiritual_Life_-_Radhanath_Swami_London_University.mp3", "2012-10-08_Various_-_Spiritual_Life_-_Radhanath_Swami_London_University.mp3")</f>
        <v>2012-10-08_Various_-_Spiritual_Life_-_Radhanath_Swami_London_University.mp3</v>
      </c>
      <c r="D2720" s="24"/>
      <c r="E2720" s="24"/>
    </row>
    <row r="2721">
      <c r="A2721" s="25" t="s">
        <v>18352</v>
      </c>
      <c r="B2721" s="25" t="s">
        <v>18376</v>
      </c>
      <c r="C2721" s="26" t="str">
        <f>HYPERLINK("https://audio.iskcondesiretree.com/02_-_ISKCON_Swamis/ISKCON_Swamis_-_R_to_Y/His_Holiness_Radhanath_Swami/Lectures/00_-_Year_wise/Devotional_Nectar_-_2012/2012-10-13_CC_Adi_Lila_11-36_-_Rath_Yatra_Pastimes_-_Radhanath_Swami_ISKCON_London.mp3", "2012-10-13_CC_Adi_Lila_11-36_-_Rath_Yatra_Pastimes_-_Radhanath_Swami_ISKCON_London.mp3")</f>
        <v>2012-10-13_CC_Adi_Lila_11-36_-_Rath_Yatra_Pastimes_-_Radhanath_Swami_ISKCON_London.mp3</v>
      </c>
      <c r="D2721" s="24"/>
      <c r="E2721" s="24"/>
    </row>
    <row r="2722">
      <c r="A2722" s="25" t="s">
        <v>18352</v>
      </c>
      <c r="B2722" s="25" t="s">
        <v>18376</v>
      </c>
      <c r="C2722" s="26" t="str">
        <f>HYPERLINK("https://audio.iskcondesiretree.com/02_-_ISKCON_Swamis/ISKCON_Swamis_-_R_to_Y/His_Holiness_Radhanath_Swami/Lectures/00_-_Year_wise/Devotional_Nectar_-_2012/2012-10-14_CC_Adi_Lila_07-24_-_Radhanath_Swami_Bhaktivedanta_Manor.mp3", "2012-10-14_CC_Adi_Lila_07-24_-_Radhanath_Swami_Bhaktivedanta_Manor.mp3")</f>
        <v>2012-10-14_CC_Adi_Lila_07-24_-_Radhanath_Swami_Bhaktivedanta_Manor.mp3</v>
      </c>
      <c r="D2722" s="24"/>
      <c r="E2722" s="24"/>
    </row>
    <row r="2723">
      <c r="A2723" s="25" t="s">
        <v>18352</v>
      </c>
      <c r="B2723" s="25" t="s">
        <v>18376</v>
      </c>
      <c r="C2723" s="26" t="str">
        <f>HYPERLINK("https://audio.iskcondesiretree.com/02_-_ISKCON_Swamis/ISKCON_Swamis_-_R_to_Y/His_Holiness_Radhanath_Swami/Lectures/00_-_Year_wise/Devotional_Nectar_-_2012/2012-10-18_SB_10-13-33_-_Love_is_the_Ultimate_Light_-_Radhanath_Swami_ISKCON_Chowpatty.mp3", "2012-10-18_SB_10-13-33_-_Love_is_the_Ultimate_Light_-_Radhanath_Swami_ISKCON_Chowpatty.mp3")</f>
        <v>2012-10-18_SB_10-13-33_-_Love_is_the_Ultimate_Light_-_Radhanath_Swami_ISKCON_Chowpatty.mp3</v>
      </c>
      <c r="D2723" s="24"/>
      <c r="E2723" s="24"/>
    </row>
    <row r="2724">
      <c r="A2724" s="25" t="s">
        <v>18352</v>
      </c>
      <c r="B2724" s="25" t="s">
        <v>18376</v>
      </c>
      <c r="C2724" s="26" t="str">
        <f>HYPERLINK("https://audio.iskcondesiretree.com/02_-_ISKCON_Swamis/ISKCON_Swamis_-_R_to_Y/His_Holiness_Radhanath_Swami/Lectures/00_-_Year_wise/Devotional_Nectar_-_2012/2012-10-23_SB_10-55-11_-_Radhanath_Swami_ISKCON_Tirupati.mp3", "2012-10-23_SB_10-55-11_-_Radhanath_Swami_ISKCON_Tirupati.mp3")</f>
        <v>2012-10-23_SB_10-55-11_-_Radhanath_Swami_ISKCON_Tirupati.mp3</v>
      </c>
      <c r="D2724" s="24"/>
      <c r="E2724" s="24"/>
    </row>
    <row r="2725">
      <c r="A2725" s="25" t="s">
        <v>18352</v>
      </c>
      <c r="B2725" s="25" t="s">
        <v>18376</v>
      </c>
      <c r="C2725" s="26" t="str">
        <f>HYPERLINK("https://audio.iskcondesiretree.com/02_-_ISKCON_Swamis/ISKCON_Swamis_-_R_to_Y/His_Holiness_Radhanath_Swami/Lectures/00_-_Year_wise/Devotional_Nectar_-_2012/2012-10-29_Festivals_-_Sharad_Poornima_Class_-_Radhanath_Swami_ISKCON_Chowpatty.mp3", "2012-10-29_Festivals_-_Sharad_Poornima_Class_-_Radhanath_Swami_ISKCON_Chowpatty.mp3")</f>
        <v>2012-10-29_Festivals_-_Sharad_Poornima_Class_-_Radhanath_Swami_ISKCON_Chowpatty.mp3</v>
      </c>
      <c r="D2725" s="24"/>
      <c r="E2725" s="24"/>
    </row>
    <row r="2726">
      <c r="A2726" s="25" t="s">
        <v>18352</v>
      </c>
      <c r="B2726" s="25" t="s">
        <v>18376</v>
      </c>
      <c r="C2726" s="26" t="str">
        <f>HYPERLINK("https://audio.iskcondesiretree.com/02_-_ISKCON_Swamis/ISKCON_Swamis_-_R_to_Y/His_Holiness_Radhanath_Swami/Lectures/00_-_Year_wise/Devotional_Nectar_-_2012/2012-12-02_Festivals_-_Vyasa_Puja_Address_Lecture_-_Radhanath_Swami_Cross_Maidan_Churchgate.mp3", "2012-12-02_Festivals_-_Vyasa_Puja_Address_Lecture_-_Radhanath_Swami_Cross_Maidan_Churchgate.mp3")</f>
        <v>2012-12-02_Festivals_-_Vyasa_Puja_Address_Lecture_-_Radhanath_Swami_Cross_Maidan_Churchgate.mp3</v>
      </c>
      <c r="D2726" s="24"/>
      <c r="E2726" s="24"/>
    </row>
    <row r="2727">
      <c r="A2727" s="25" t="s">
        <v>18352</v>
      </c>
      <c r="B2727" s="25" t="s">
        <v>18376</v>
      </c>
      <c r="C2727" s="26" t="str">
        <f>HYPERLINK("https://audio.iskcondesiretree.com/02_-_ISKCON_Swamis/ISKCON_Swamis_-_R_to_Y/His_Holiness_Radhanath_Swami/Lectures/00_-_Year_wise/Devotional_Nectar_-_2012/2012-12-07_SB-10-14-11_-_Humility_acceses_Krisha%27s_Mercy_-_Radhanath_Swami_ISKCON_Chowpatty.mp3", "2012-12-07_SB-10-14-11_-_Humility_acceses_Krisha%27s_Mercy_-_Radhanath_Swami_ISKCON_Chowpatty.mp3")</f>
        <v>2012-12-07_SB-10-14-11_-_Humility_acceses_Krisha%27s_Mercy_-_Radhanath_Swami_ISKCON_Chowpatty.mp3</v>
      </c>
      <c r="D2727" s="24"/>
      <c r="E2727" s="24"/>
    </row>
    <row r="2728">
      <c r="A2728" s="25" t="s">
        <v>18352</v>
      </c>
      <c r="B2728" s="25" t="s">
        <v>18376</v>
      </c>
      <c r="C2728" s="26" t="str">
        <f>HYPERLINK("https://audio.iskcondesiretree.com/02_-_ISKCON_Swamis/ISKCON_Swamis_-_R_to_Y/His_Holiness_Radhanath_Swami/Lectures/00_-_Year_wise/Devotional_Nectar_-_2012/2012_CC_Madhya_Lila_06-241_-_Radhanath_Swami_New_Vrindavan.mp3", "2012_CC_Madhya_Lila_06-241_-_Radhanath_Swami_New_Vrindavan.mp3")</f>
        <v>2012_CC_Madhya_Lila_06-241_-_Radhanath_Swami_New_Vrindavan.mp3</v>
      </c>
      <c r="D2728" s="24"/>
      <c r="E2728" s="24"/>
    </row>
    <row r="2729">
      <c r="A2729" s="25" t="s">
        <v>18352</v>
      </c>
      <c r="B2729" s="25" t="s">
        <v>18376</v>
      </c>
      <c r="C2729" s="26" t="str">
        <f>HYPERLINK("https://audio.iskcondesiretree.com/02_-_ISKCON_Swamis/ISKCON_Swamis_-_R_to_Y/His_Holiness_Radhanath_Swami/Lectures/00_-_Year_wise/Devotional_Nectar_-_2012/2012_Various_-_A_Vedic_Scholar_cum_Swami_-_Radhanath_Swami_Harvard_University.mp3", "2012_Various_-_A_Vedic_Scholar_cum_Swami_-_Radhanath_Swami_Harvard_University.mp3")</f>
        <v>2012_Various_-_A_Vedic_Scholar_cum_Swami_-_Radhanath_Swami_Harvard_University.mp3</v>
      </c>
      <c r="D2729" s="24"/>
      <c r="E2729" s="24"/>
    </row>
    <row r="2730">
      <c r="A2730" s="25" t="s">
        <v>18352</v>
      </c>
      <c r="B2730" s="25" t="s">
        <v>18376</v>
      </c>
      <c r="C2730" s="26" t="str">
        <f>HYPERLINK("https://audio.iskcondesiretree.com/02_-_ISKCON_Swamis/ISKCON_Swamis_-_R_to_Y/His_Holiness_Radhanath_Swami/Lectures/00_-_Year_wise/Devotional_Nectar_-_2012/2012_Various_-_Community_of_Devotees_-_Radhanath_Swami_New_Vrindavan.mp3", "2012_Various_-_Community_of_Devotees_-_Radhanath_Swami_New_Vrindavan.mp3")</f>
        <v>2012_Various_-_Community_of_Devotees_-_Radhanath_Swami_New_Vrindavan.mp3</v>
      </c>
      <c r="D2730" s="24"/>
      <c r="E2730" s="24"/>
    </row>
    <row r="2731">
      <c r="A2731" s="25" t="s">
        <v>18352</v>
      </c>
      <c r="B2731" s="25" t="s">
        <v>18376</v>
      </c>
      <c r="C2731" s="26" t="str">
        <f>HYPERLINK("https://audio.iskcondesiretree.com/02_-_ISKCON_Swamis/ISKCON_Swamis_-_R_to_Y/His_Holiness_Radhanath_Swami/Lectures/00_-_Year_wise/Devotional_Nectar_-_2012/2012_Various_-_Disappearance_of_Srila_Ramananda_Raya_-_Radhanath_Swami_New_Vrindavan.mp3", "2012_Various_-_Disappearance_of_Srila_Ramananda_Raya_-_Radhanath_Swami_New_Vrindavan.mp3")</f>
        <v>2012_Various_-_Disappearance_of_Srila_Ramananda_Raya_-_Radhanath_Swami_New_Vrindavan.mp3</v>
      </c>
      <c r="D2731" s="24"/>
      <c r="E2731" s="24"/>
    </row>
    <row r="2732">
      <c r="A2732" s="25" t="s">
        <v>18352</v>
      </c>
      <c r="B2732" s="25" t="s">
        <v>18376</v>
      </c>
      <c r="C2732" s="26" t="str">
        <f>HYPERLINK("https://audio.iskcondesiretree.com/02_-_ISKCON_Swamis/ISKCON_Swamis_-_R_to_Y/His_Holiness_Radhanath_Swami/Lectures/00_-_Year_wise/Devotional_Nectar_-_2012/2012_Various_-_Love_for_Krishna_-_Radhanath_Swami_Coloba.mp3", "2012_Various_-_Love_for_Krishna_-_Radhanath_Swami_Coloba.mp3")</f>
        <v>2012_Various_-_Love_for_Krishna_-_Radhanath_Swami_Coloba.mp3</v>
      </c>
      <c r="D2732" s="24"/>
      <c r="E2732" s="24"/>
    </row>
    <row r="2733">
      <c r="A2733" s="25" t="s">
        <v>18352</v>
      </c>
      <c r="B2733" s="25" t="s">
        <v>18376</v>
      </c>
      <c r="C2733" s="26" t="str">
        <f>HYPERLINK("https://audio.iskcondesiretree.com/02_-_ISKCON_Swamis/ISKCON_Swamis_-_R_to_Y/His_Holiness_Radhanath_Swami/Lectures/00_-_Year_wise/Devotional_Nectar_-_2012/2012_Various_-_Spiritual_Realization_-_Radhanath_Swami_New_Vrindavan.mp3", "2012_Various_-_Spiritual_Realization_-_Radhanath_Swami_New_Vrindavan.mp3")</f>
        <v>2012_Various_-_Spiritual_Realization_-_Radhanath_Swami_New_Vrindavan.mp3</v>
      </c>
      <c r="D2733" s="24"/>
      <c r="E2733" s="24"/>
    </row>
    <row r="2734">
      <c r="A2734" s="25" t="s">
        <v>18352</v>
      </c>
      <c r="B2734" s="25" t="s">
        <v>18377</v>
      </c>
      <c r="C2734" s="26" t="str">
        <f>HYPERLINK("https://audio.iskcondesiretree.com/02_-_ISKCON_Swamis/ISKCON_Swamis_-_R_to_Y/His_Holiness_Radhanath_Swami/Lectures/00_-_Year_wise/Devotional_Nectar_-_2013/2013-01-09_SB_03-25-20_-_Radhanath_Swami_ISKCON_Vrindavan.mp3", "2013-01-09_SB_03-25-20_-_Radhanath_Swami_ISKCON_Vrindavan.mp3")</f>
        <v>2013-01-09_SB_03-25-20_-_Radhanath_Swami_ISKCON_Vrindavan.mp3</v>
      </c>
      <c r="D2734" s="24"/>
      <c r="E2734" s="24"/>
    </row>
    <row r="2735">
      <c r="A2735" s="25" t="s">
        <v>18352</v>
      </c>
      <c r="B2735" s="25" t="s">
        <v>18377</v>
      </c>
      <c r="C2735" s="26" t="str">
        <f>HYPERLINK("https://audio.iskcondesiretree.com/02_-_ISKCON_Swamis/ISKCON_Swamis_-_R_to_Y/His_Holiness_Radhanath_Swami/Lectures/00_-_Year_wise/Devotional_Nectar_-_2013/2013-01-12_Festivals_-_Jagannath_Rath_Yatra_Festival-Dadar_-_Radhanath_Swami_ISKCON_Chowpatty.mp3", "2013-01-12_Festivals_-_Jagannath_Rath_Yatra_Festival-Dadar_-_Radhanath_Swami_ISKCON_Chowpatty.mp3")</f>
        <v>2013-01-12_Festivals_-_Jagannath_Rath_Yatra_Festival-Dadar_-_Radhanath_Swami_ISKCON_Chowpatty.mp3</v>
      </c>
      <c r="D2735" s="24"/>
      <c r="E2735" s="24"/>
    </row>
    <row r="2736">
      <c r="A2736" s="25" t="s">
        <v>18352</v>
      </c>
      <c r="B2736" s="25" t="s">
        <v>18377</v>
      </c>
      <c r="C2736" s="26" t="str">
        <f>HYPERLINK("https://audio.iskcondesiretree.com/02_-_ISKCON_Swamis/ISKCON_Swamis_-_R_to_Y/His_Holiness_Radhanath_Swami/Lectures/00_-_Year_wise/Devotional_Nectar_-_2013/2013-01-16_Various_-_Bhumi_Pujan_Lecture_-_Radhanath_Swami_ISKCON_Aurangabad.mp3", "2013-01-16_Various_-_Bhumi_Pujan_Lecture_-_Radhanath_Swami_ISKCON_Aurangabad.mp3")</f>
        <v>2013-01-16_Various_-_Bhumi_Pujan_Lecture_-_Radhanath_Swami_ISKCON_Aurangabad.mp3</v>
      </c>
      <c r="D2736" s="24"/>
      <c r="E2736" s="24"/>
    </row>
    <row r="2737">
      <c r="A2737" s="25" t="s">
        <v>18352</v>
      </c>
      <c r="B2737" s="25" t="s">
        <v>18377</v>
      </c>
      <c r="C2737" s="26" t="str">
        <f>HYPERLINK("https://audio.iskcondesiretree.com/02_-_ISKCON_Swamis/ISKCON_Swamis_-_R_to_Y/His_Holiness_Radhanath_Swami/Lectures/00_-_Year_wise/Devotional_Nectar_-_2013/2013-01-18_Various_-_Teachings_of_Prahlad_Maharaj_-_Radhanath_Swami_ISKCON_Juhu.mp3", "2013-01-18_Various_-_Teachings_of_Prahlad_Maharaj_-_Radhanath_Swami_ISKCON_Juhu.mp3")</f>
        <v>2013-01-18_Various_-_Teachings_of_Prahlad_Maharaj_-_Radhanath_Swami_ISKCON_Juhu.mp3</v>
      </c>
      <c r="D2737" s="24"/>
      <c r="E2737" s="24"/>
    </row>
    <row r="2738">
      <c r="A2738" s="25" t="s">
        <v>18352</v>
      </c>
      <c r="B2738" s="25" t="s">
        <v>18377</v>
      </c>
      <c r="C2738" s="26" t="str">
        <f>HYPERLINK("https://audio.iskcondesiretree.com/02_-_ISKCON_Swamis/ISKCON_Swamis_-_R_to_Y/His_Holiness_Radhanath_Swami/Lectures/00_-_Year_wise/Devotional_Nectar_-_2013/2013-01-19_Festivals_-_Ghatkopar_Rath_Yatra_Lecture_-_Radhanath_Swami_Ghatkopar.mp3", "2013-01-19_Festivals_-_Ghatkopar_Rath_Yatra_Lecture_-_Radhanath_Swami_Ghatkopar.mp3")</f>
        <v>2013-01-19_Festivals_-_Ghatkopar_Rath_Yatra_Lecture_-_Radhanath_Swami_Ghatkopar.mp3</v>
      </c>
      <c r="D2738" s="24"/>
      <c r="E2738" s="24"/>
    </row>
    <row r="2739">
      <c r="A2739" s="25" t="s">
        <v>18352</v>
      </c>
      <c r="B2739" s="25" t="s">
        <v>18377</v>
      </c>
      <c r="C2739" s="26" t="str">
        <f>HYPERLINK("https://audio.iskcondesiretree.com/02_-_ISKCON_Swamis/ISKCON_Swamis_-_R_to_Y/His_Holiness_Radhanath_Swami/Lectures/00_-_Year_wise/Devotional_Nectar_-_2013/2013-01-20_SB-10-14-61_-_Charming_contrasts_in_Krishna_Lila_-_Radhanath_Swami_ISKCON_Chowpatty.mp3", "2013-01-20_SB-10-14-61_-_Charming_contrasts_in_Krishna_Lila_-_Radhanath_Swami_ISKCON_Chowpatty.mp3")</f>
        <v>2013-01-20_SB-10-14-61_-_Charming_contrasts_in_Krishna_Lila_-_Radhanath_Swami_ISKCON_Chowpatty.mp3</v>
      </c>
      <c r="D2739" s="24"/>
      <c r="E2739" s="24"/>
    </row>
    <row r="2740">
      <c r="A2740" s="25" t="s">
        <v>18352</v>
      </c>
      <c r="B2740" s="25" t="s">
        <v>18377</v>
      </c>
      <c r="C2740" s="26" t="str">
        <f>HYPERLINK("https://audio.iskcondesiretree.com/02_-_ISKCON_Swamis/ISKCON_Swamis_-_R_to_Y/His_Holiness_Radhanath_Swami/Lectures/00_-_Year_wise/Devotional_Nectar_-_2013/2013-01-26_Festivals_-_Pushya_Abhishek_Lecture_-_Radhanath_Swami_ISKCON_Chowpatty.mp3", "2013-01-26_Festivals_-_Pushya_Abhishek_Lecture_-_Radhanath_Swami_ISKCON_Chowpatty.mp3")</f>
        <v>2013-01-26_Festivals_-_Pushya_Abhishek_Lecture_-_Radhanath_Swami_ISKCON_Chowpatty.mp3</v>
      </c>
      <c r="D2740" s="24"/>
      <c r="E2740" s="24"/>
    </row>
    <row r="2741">
      <c r="A2741" s="25" t="s">
        <v>18352</v>
      </c>
      <c r="B2741" s="25" t="s">
        <v>18377</v>
      </c>
      <c r="C2741" s="26" t="str">
        <f>HYPERLINK("https://audio.iskcondesiretree.com/02_-_ISKCON_Swamis/ISKCON_Swamis_-_R_to_Y/His_Holiness_Radhanath_Swami/Lectures/00_-_Year_wise/Devotional_Nectar_-_2013/2013-02-03_SB_10-15-20_-_Pleasing_oneself_to_Please_Krishna_-_Radhanath_Swami_ISKCON_Chowpatty.mp3", "2013-02-03_SB_10-15-20_-_Pleasing_oneself_to_Please_Krishna_-_Radhanath_Swami_ISKCON_Chowpatty.mp3")</f>
        <v>2013-02-03_SB_10-15-20_-_Pleasing_oneself_to_Please_Krishna_-_Radhanath_Swami_ISKCON_Chowpatty.mp3</v>
      </c>
      <c r="D2741" s="24"/>
      <c r="E2741" s="24"/>
    </row>
    <row r="2742">
      <c r="A2742" s="25" t="s">
        <v>18352</v>
      </c>
      <c r="B2742" s="25" t="s">
        <v>18377</v>
      </c>
      <c r="C2742" s="26" t="str">
        <f>HYPERLINK("https://audio.iskcondesiretree.com/02_-_ISKCON_Swamis/ISKCON_Swamis_-_R_to_Y/His_Holiness_Radhanath_Swami/Lectures/00_-_Year_wise/Devotional_Nectar_-_2013/2013-03-17_SB_10-16-42-44_-_Power_of_Devotees_Association_-_Radhanath_Swami_ISKCON_Chowpatty.mp3", "2013-03-17_SB_10-16-42-44_-_Power_of_Devotees_Association_-_Radhanath_Swami_ISKCON_Chowpatty.mp3")</f>
        <v>2013-03-17_SB_10-16-42-44_-_Power_of_Devotees_Association_-_Radhanath_Swami_ISKCON_Chowpatty.mp3</v>
      </c>
      <c r="D2742" s="24"/>
      <c r="E2742" s="24"/>
    </row>
    <row r="2743">
      <c r="A2743" s="25" t="s">
        <v>18352</v>
      </c>
      <c r="B2743" s="25" t="s">
        <v>18377</v>
      </c>
      <c r="C2743" s="26" t="str">
        <f>HYPERLINK("https://audio.iskcondesiretree.com/02_-_ISKCON_Swamis/ISKCON_Swamis_-_R_to_Y/His_Holiness_Radhanath_Swami/Lectures/00_-_Year_wise/Devotional_Nectar_-_2013/2013-03-27_Festivals_-_Gaura_Poornima_-_Radhanath_Swami_ISKCON_Bhaktivedanta_Manor.mp3", "2013-03-27_Festivals_-_Gaura_Poornima_-_Radhanath_Swami_ISKCON_Bhaktivedanta_Manor.mp3")</f>
        <v>2013-03-27_Festivals_-_Gaura_Poornima_-_Radhanath_Swami_ISKCON_Bhaktivedanta_Manor.mp3</v>
      </c>
      <c r="D2743" s="24"/>
      <c r="E2743" s="24"/>
    </row>
    <row r="2744">
      <c r="A2744" s="25" t="s">
        <v>18352</v>
      </c>
      <c r="B2744" s="25" t="s">
        <v>18377</v>
      </c>
      <c r="C2744" s="26" t="str">
        <f>HYPERLINK("https://audio.iskcondesiretree.com/02_-_ISKCON_Swamis/ISKCON_Swamis_-_R_to_Y/His_Holiness_Radhanath_Swami/Lectures/00_-_Year_wise/Devotional_Nectar_-_2013/2013-04-28_Various_-_Sunday_Feast_Lecture_-_Radhanath_Swami_ISKCON_Chicago.mp3", "2013-04-28_Various_-_Sunday_Feast_Lecture_-_Radhanath_Swami_ISKCON_Chicago.mp3")</f>
        <v>2013-04-28_Various_-_Sunday_Feast_Lecture_-_Radhanath_Swami_ISKCON_Chicago.mp3</v>
      </c>
      <c r="D2744" s="24"/>
      <c r="E2744" s="24"/>
    </row>
    <row r="2745">
      <c r="A2745" s="25" t="s">
        <v>18352</v>
      </c>
      <c r="B2745" s="25" t="s">
        <v>18377</v>
      </c>
      <c r="C2745" s="26" t="str">
        <f>HYPERLINK("https://audio.iskcondesiretree.com/02_-_ISKCON_Swamis/ISKCON_Swamis_-_R_to_Y/His_Holiness_Radhanath_Swami/Lectures/00_-_Year_wise/Devotional_Nectar_-_2013/2013-05-23_Various_-_Disappearance_of_Jayananda_Prabhu_-_Radhanath_Swami_ISKCON_Alachua.mp3", "2013-05-23_Various_-_Disappearance_of_Jayananda_Prabhu_-_Radhanath_Swami_ISKCON_Alachua.mp3")</f>
        <v>2013-05-23_Various_-_Disappearance_of_Jayananda_Prabhu_-_Radhanath_Swami_ISKCON_Alachua.mp3</v>
      </c>
      <c r="D2745" s="24"/>
      <c r="E2745" s="24"/>
    </row>
    <row r="2746">
      <c r="A2746" s="25" t="s">
        <v>18352</v>
      </c>
      <c r="B2746" s="25" t="s">
        <v>18377</v>
      </c>
      <c r="C2746" s="26" t="str">
        <f>HYPERLINK("https://audio.iskcondesiretree.com/02_-_ISKCON_Swamis/ISKCON_Swamis_-_R_to_Y/His_Holiness_Radhanath_Swami/Lectures/00_-_Year_wise/Devotional_Nectar_-_2013/2013-05-24_SB_07-05-30_-_Appearance_Day_of_Narsimha_Deva_-_Radhanath_Swami_ISKCON_Alachua.mp3", "2013-05-24_SB_07-05-30_-_Appearance_Day_of_Narsimha_Deva_-_Radhanath_Swami_ISKCON_Alachua.mp3")</f>
        <v>2013-05-24_SB_07-05-30_-_Appearance_Day_of_Narsimha_Deva_-_Radhanath_Swami_ISKCON_Alachua.mp3</v>
      </c>
      <c r="D2746" s="24"/>
      <c r="E2746" s="24"/>
    </row>
    <row r="2747">
      <c r="A2747" s="25" t="s">
        <v>18352</v>
      </c>
      <c r="B2747" s="25" t="s">
        <v>18377</v>
      </c>
      <c r="C2747" s="26" t="str">
        <f>HYPERLINK("https://audio.iskcondesiretree.com/02_-_ISKCON_Swamis/ISKCON_Swamis_-_R_to_Y/His_Holiness_Radhanath_Swami/Lectures/00_-_Year_wise/Devotional_Nectar_-_2013/2013-06-04_SB_07-10-08_-_Radhanath_Swami_Los_Angeles.mp3", "2013-06-04_SB_07-10-08_-_Radhanath_Swami_Los_Angeles.mp3")</f>
        <v>2013-06-04_SB_07-10-08_-_Radhanath_Swami_Los_Angeles.mp3</v>
      </c>
      <c r="D2747" s="24"/>
      <c r="E2747" s="24"/>
    </row>
    <row r="2748">
      <c r="A2748" s="25" t="s">
        <v>18352</v>
      </c>
      <c r="B2748" s="25" t="s">
        <v>18377</v>
      </c>
      <c r="C2748" s="26" t="str">
        <f>HYPERLINK("https://audio.iskcondesiretree.com/02_-_ISKCON_Swamis/ISKCON_Swamis_-_R_to_Y/His_Holiness_Radhanath_Swami/Lectures/00_-_Year_wise/Devotional_Nectar_-_2013/2013-06-04_Various_-_Moving_story_of_Sindhutai_Sapkal_-_Radhanath_Swami_Narayan_Mandir.mp3", "2013-06-04_Various_-_Moving_story_of_Sindhutai_Sapkal_-_Radhanath_Swami_Narayan_Mandir.mp3")</f>
        <v>2013-06-04_Various_-_Moving_story_of_Sindhutai_Sapkal_-_Radhanath_Swami_Narayan_Mandir.mp3</v>
      </c>
      <c r="D2748" s="24"/>
      <c r="E2748" s="24"/>
    </row>
    <row r="2749">
      <c r="A2749" s="25" t="s">
        <v>18352</v>
      </c>
      <c r="B2749" s="25" t="s">
        <v>18377</v>
      </c>
      <c r="C2749" s="26" t="str">
        <f>HYPERLINK("https://audio.iskcondesiretree.com/02_-_ISKCON_Swamis/ISKCON_Swamis_-_R_to_Y/His_Holiness_Radhanath_Swami/Lectures/00_-_Year_wise/Devotional_Nectar_-_2013/2013-06-15_Various_-_Initiation_Ceremony_-_Radhanath_Swami_ISKCON_Silicon_Valley.mp3", "2013-06-15_Various_-_Initiation_Ceremony_-_Radhanath_Swami_ISKCON_Silicon_Valley.mp3")</f>
        <v>2013-06-15_Various_-_Initiation_Ceremony_-_Radhanath_Swami_ISKCON_Silicon_Valley.mp3</v>
      </c>
      <c r="D2749" s="24"/>
      <c r="E2749" s="24"/>
    </row>
    <row r="2750">
      <c r="A2750" s="25" t="s">
        <v>18352</v>
      </c>
      <c r="B2750" s="25" t="s">
        <v>18377</v>
      </c>
      <c r="C2750" s="26" t="str">
        <f>HYPERLINK("https://audio.iskcondesiretree.com/02_-_ISKCON_Swamis/ISKCON_Swamis_-_R_to_Y/His_Holiness_Radhanath_Swami/Lectures/00_-_Year_wise/Devotional_Nectar_-_2013/2013-06-16_Various_-_Raghunatha_Dasa_Goswami_-_Radhanath_Swami_ISKCON_Silicon_Valley.mp3", "2013-06-16_Various_-_Raghunatha_Dasa_Goswami_-_Radhanath_Swami_ISKCON_Silicon_Valley.mp3")</f>
        <v>2013-06-16_Various_-_Raghunatha_Dasa_Goswami_-_Radhanath_Swami_ISKCON_Silicon_Valley.mp3</v>
      </c>
      <c r="D2750" s="24"/>
      <c r="E2750" s="24"/>
    </row>
    <row r="2751">
      <c r="A2751" s="25" t="s">
        <v>18352</v>
      </c>
      <c r="B2751" s="25" t="s">
        <v>18377</v>
      </c>
      <c r="C2751" s="26" t="str">
        <f>HYPERLINK("https://audio.iskcondesiretree.com/02_-_ISKCON_Swamis/ISKCON_Swamis_-_R_to_Y/His_Holiness_Radhanath_Swami/Lectures/00_-_Year_wise/Devotional_Nectar_-_2013/2013-07-20_SB-10-22-27-28_-_Breaking_the_wall_of_False_Ego_-_Radhanath_Swami_ISKCON_Chowpatty.mp3", "2013-07-20_SB-10-22-27-28_-_Breaking_the_wall_of_False_Ego_-_Radhanath_Swami_ISKCON_Chowpatty.mp3")</f>
        <v>2013-07-20_SB-10-22-27-28_-_Breaking_the_wall_of_False_Ego_-_Radhanath_Swami_ISKCON_Chowpatty.mp3</v>
      </c>
      <c r="D2751" s="24"/>
      <c r="E2751" s="24"/>
    </row>
    <row r="2752">
      <c r="A2752" s="25" t="s">
        <v>18352</v>
      </c>
      <c r="B2752" s="25" t="s">
        <v>18377</v>
      </c>
      <c r="C2752" s="26" t="str">
        <f>HYPERLINK("https://audio.iskcondesiretree.com/02_-_ISKCON_Swamis/ISKCON_Swamis_-_R_to_Y/His_Holiness_Radhanath_Swami/Lectures/00_-_Year_wise/Devotional_Nectar_-_2013/2013-07-27_Prerna_Festival-Engineering-The_Better_World_-_Radhanath_Swami_ISKCON_Chowpatty.mp3", "2013-07-27_Prerna_Festival-Engineering-The_Better_World_-_Radhanath_Swami_ISKCON_Chowpatty.mp3")</f>
        <v>2013-07-27_Prerna_Festival-Engineering-The_Better_World_-_Radhanath_Swami_ISKCON_Chowpatty.mp3</v>
      </c>
      <c r="D2752" s="24"/>
      <c r="E2752" s="24"/>
    </row>
    <row r="2753">
      <c r="A2753" s="25" t="s">
        <v>18352</v>
      </c>
      <c r="B2753" s="25" t="s">
        <v>18377</v>
      </c>
      <c r="C2753" s="26" t="str">
        <f>HYPERLINK("https://audio.iskcondesiretree.com/02_-_ISKCON_Swamis/ISKCON_Swamis_-_R_to_Y/His_Holiness_Radhanath_Swami/Lectures/00_-_Year_wise/Devotional_Nectar_-_2013/2013-08-09_Various_-_Initiation_Lecture_-_Radhanath_Sw_Gita_Nagari.mp3", "2013-08-09_Various_-_Initiation_Lecture_-_Radhanath_Sw_Gita_Nagari.mp3")</f>
        <v>2013-08-09_Various_-_Initiation_Lecture_-_Radhanath_Sw_Gita_Nagari.mp3</v>
      </c>
      <c r="D2753" s="24"/>
      <c r="E2753" s="24"/>
    </row>
    <row r="2754">
      <c r="A2754" s="25" t="s">
        <v>18352</v>
      </c>
      <c r="B2754" s="25" t="s">
        <v>18377</v>
      </c>
      <c r="C2754" s="26" t="str">
        <f>HYPERLINK("https://audio.iskcondesiretree.com/02_-_ISKCON_Swamis/ISKCON_Swamis_-_R_to_Y/His_Holiness_Radhanath_Swami/Lectures/00_-_Year_wise/Devotional_Nectar_-_2013/2013-08-10_Various_-_Everyone_is_happy_in_Vrindavan_-_Radhanath_Sw_Gita_Nagari.mp3", "2013-08-10_Various_-_Everyone_is_happy_in_Vrindavan_-_Radhanath_Sw_Gita_Nagari.mp3")</f>
        <v>2013-08-10_Various_-_Everyone_is_happy_in_Vrindavan_-_Radhanath_Sw_Gita_Nagari.mp3</v>
      </c>
      <c r="D2754" s="24"/>
      <c r="E2754" s="24"/>
    </row>
    <row r="2755">
      <c r="A2755" s="25" t="s">
        <v>18352</v>
      </c>
      <c r="B2755" s="25" t="s">
        <v>18377</v>
      </c>
      <c r="C2755" s="26" t="str">
        <f>HYPERLINK("https://audio.iskcondesiretree.com/02_-_ISKCON_Swamis/ISKCON_Swamis_-_R_to_Y/His_Holiness_Radhanath_Swami/Lectures/00_-_Year_wise/Devotional_Nectar_-_2013/2013-08-11_Various_-_Lord_Chaitanya%27s_Absorption_-_Radhanath_Sw_Gita_Nagari.mp3", "2013-08-11_Various_-_Lord_Chaitanya%27s_Absorption_-_Radhanath_Sw_Gita_Nagari.mp3")</f>
        <v>2013-08-11_Various_-_Lord_Chaitanya%27s_Absorption_-_Radhanath_Sw_Gita_Nagari.mp3</v>
      </c>
      <c r="D2755" s="24"/>
      <c r="E2755" s="24"/>
    </row>
    <row r="2756">
      <c r="A2756" s="25" t="s">
        <v>18352</v>
      </c>
      <c r="B2756" s="25" t="s">
        <v>18377</v>
      </c>
      <c r="C2756" s="26" t="str">
        <f>HYPERLINK("https://audio.iskcondesiretree.com/02_-_ISKCON_Swamis/ISKCON_Swamis_-_R_to_Y/His_Holiness_Radhanath_Swami/Lectures/00_-_Year_wise/Devotional_Nectar_-_2013/2013-09-13_Festivals_-_Radhashtami_Lecture_-_Radhanatha_Swami_Bhaktivedanta_Manor.mp3", "2013-09-13_Festivals_-_Radhashtami_Lecture_-_Radhanatha_Swami_Bhaktivedanta_Manor.mp3")</f>
        <v>2013-09-13_Festivals_-_Radhashtami_Lecture_-_Radhanatha_Swami_Bhaktivedanta_Manor.mp3</v>
      </c>
      <c r="D2756" s="24"/>
      <c r="E2756" s="24"/>
    </row>
    <row r="2757">
      <c r="A2757" s="25" t="s">
        <v>18352</v>
      </c>
      <c r="B2757" s="25" t="s">
        <v>18377</v>
      </c>
      <c r="C2757" s="26" t="str">
        <f>HYPERLINK("https://audio.iskcondesiretree.com/02_-_ISKCON_Swamis/ISKCON_Swamis_-_R_to_Y/His_Holiness_Radhanath_Swami/Lectures/00_-_Year_wise/Devotional_Nectar_-_2013/2013-10-06_Various_-_Sunday_Feast-%20Servant_of_the_Servant_-_Radhanath_Swami_ISKCON_Slovenia.mp3", "2013-10-06_Various_-_Sunday_Feast-%20Servant_of_the_Servant_-_Radhanath_Swami_ISKCON_Slovenia.mp3")</f>
        <v>2013-10-06_Various_-_Sunday_Feast-%20Servant_of_the_Servant_-_Radhanath_Swami_ISKCON_Slovenia.mp3</v>
      </c>
      <c r="D2757" s="24"/>
      <c r="E2757" s="24"/>
    </row>
    <row r="2758">
      <c r="A2758" s="25" t="s">
        <v>18352</v>
      </c>
      <c r="B2758" s="25" t="s">
        <v>18377</v>
      </c>
      <c r="C2758" s="26" t="str">
        <f>HYPERLINK("https://audio.iskcondesiretree.com/02_-_ISKCON_Swamis/ISKCON_Swamis_-_R_to_Y/His_Holiness_Radhanath_Swami/Lectures/00_-_Year_wise/Devotional_Nectar_-_2013/2013-10-24_Various_-_Vegetarian_Society_-_Radhanath_Swami_Mumbai.mp3", "2013-10-24_Various_-_Vegetarian_Society_-_Radhanath_Swami_Mumbai.mp3")</f>
        <v>2013-10-24_Various_-_Vegetarian_Society_-_Radhanath_Swami_Mumbai.mp3</v>
      </c>
      <c r="D2758" s="24"/>
      <c r="E2758" s="24"/>
    </row>
    <row r="2759">
      <c r="A2759" s="25" t="s">
        <v>18352</v>
      </c>
      <c r="B2759" s="25" t="s">
        <v>18377</v>
      </c>
      <c r="C2759" s="26" t="str">
        <f>HYPERLINK("https://audio.iskcondesiretree.com/02_-_ISKCON_Swamis/ISKCON_Swamis_-_R_to_Y/His_Holiness_Radhanath_Swami/Lectures/00_-_Year_wise/Devotional_Nectar_-_2013/2013-12-17_SB-08-18-20_-_Radhanath_Swami_Bhaktivedanta_Manor.mp3", "2013-12-17_SB-08-18-20_-_Radhanath_Swami_Bhaktivedanta_Manor.mp3")</f>
        <v>2013-12-17_SB-08-18-20_-_Radhanath_Swami_Bhaktivedanta_Manor.mp3</v>
      </c>
      <c r="D2759" s="24"/>
      <c r="E2759" s="24"/>
    </row>
    <row r="2760">
      <c r="A2760" s="25" t="s">
        <v>18352</v>
      </c>
      <c r="B2760" s="25" t="s">
        <v>18377</v>
      </c>
      <c r="C2760" s="26" t="str">
        <f>HYPERLINK("https://audio.iskcondesiretree.com/02_-_ISKCON_Swamis/ISKCON_Swamis_-_R_to_Y/His_Holiness_Radhanath_Swami/Lectures/00_-_Year_wise/Devotional_Nectar_-_2013/2013-12-20_Various_-_What_Is_A_Real_Vision_-_Radhanath_Swami_Pune.mp3", "2013-12-20_Various_-_What_Is_A_Real_Vision_-_Radhanath_Swami_Pune.mp3")</f>
        <v>2013-12-20_Various_-_What_Is_A_Real_Vision_-_Radhanath_Swami_Pune.mp3</v>
      </c>
      <c r="D2760" s="24"/>
      <c r="E2760" s="24"/>
    </row>
    <row r="2761">
      <c r="A2761" s="25" t="s">
        <v>18352</v>
      </c>
      <c r="B2761" s="25" t="s">
        <v>18377</v>
      </c>
      <c r="C2761" s="26" t="str">
        <f>HYPERLINK("https://audio.iskcondesiretree.com/02_-_ISKCON_Swamis/ISKCON_Swamis_-_R_to_Y/His_Holiness_Radhanath_Swami/Lectures/00_-_Year_wise/Devotional_Nectar_-_2013/2013-12-21_SB_07-05-32_-_Simplicity_Enables_to_Receive_Grace_of_Krishna_-_Radhanath_Swami_Pune.mp3", "2013-12-21_SB_07-05-32_-_Simplicity_Enables_to_Receive_Grace_of_Krishna_-_Radhanath_Swami_Pune.mp3")</f>
        <v>2013-12-21_SB_07-05-32_-_Simplicity_Enables_to_Receive_Grace_of_Krishna_-_Radhanath_Swami_Pune.mp3</v>
      </c>
      <c r="D2761" s="24"/>
      <c r="E2761" s="24"/>
    </row>
    <row r="2762">
      <c r="A2762" s="25" t="s">
        <v>18352</v>
      </c>
      <c r="B2762" s="25" t="s">
        <v>18377</v>
      </c>
      <c r="C2762" s="26" t="str">
        <f>HYPERLINK("https://audio.iskcondesiretree.com/02_-_ISKCON_Swamis/ISKCON_Swamis_-_R_to_Y/His_Holiness_Radhanath_Swami/Lectures/00_-_Year_wise/Devotional_Nectar_-_2013/2013-12-21_Various_-_Real_Transformation_is_Awakening_of_Love_-_Radhanath_Swami_Pune.mp3", "2013-12-21_Various_-_Real_Transformation_is_Awakening_of_Love_-_Radhanath_Swami_Pune.mp3")</f>
        <v>2013-12-21_Various_-_Real_Transformation_is_Awakening_of_Love_-_Radhanath_Swami_Pune.mp3</v>
      </c>
      <c r="D2762" s="24"/>
      <c r="E2762" s="24"/>
    </row>
    <row r="2763">
      <c r="A2763" s="25" t="s">
        <v>18352</v>
      </c>
      <c r="B2763" s="25" t="s">
        <v>18377</v>
      </c>
      <c r="C2763" s="26" t="str">
        <f>HYPERLINK("https://audio.iskcondesiretree.com/02_-_ISKCON_Swamis/ISKCON_Swamis_-_R_to_Y/His_Holiness_Radhanath_Swami/Lectures/00_-_Year_wise/Devotional_Nectar_-_2013/2013-12-26_Various_-_Returning_to_Patna_After_42_Years_-_Radhanath_Swami_Patna.mp3", "2013-12-26_Various_-_Returning_to_Patna_After_42_Years_-_Radhanath_Swami_Patna.mp3")</f>
        <v>2013-12-26_Various_-_Returning_to_Patna_After_42_Years_-_Radhanath_Swami_Patna.mp3</v>
      </c>
      <c r="D2763" s="24"/>
      <c r="E2763" s="24"/>
    </row>
    <row r="2764">
      <c r="A2764" s="25" t="s">
        <v>18352</v>
      </c>
      <c r="B2764" s="25" t="s">
        <v>18378</v>
      </c>
      <c r="C2764" s="26" t="str">
        <f>HYPERLINK("https://audio.iskcondesiretree.com/02_-_ISKCON_Swamis/ISKCON_Swamis_-_R_to_Y/His_Holiness_Radhanath_Swami/Lectures/00_-_Year_wise/Devotional_Nectar_-_2014/2014-01-03_Various_-_Striking_The_Balance_In_Life_-_Radhanath_Swami.mp3", "2014-01-03_Various_-_Striking_The_Balance_In_Life_-_Radhanath_Swami.mp3")</f>
        <v>2014-01-03_Various_-_Striking_The_Balance_In_Life_-_Radhanath_Swami.mp3</v>
      </c>
      <c r="D2764" s="24"/>
      <c r="E2764" s="24"/>
    </row>
    <row r="2765">
      <c r="A2765" s="25" t="s">
        <v>18352</v>
      </c>
      <c r="B2765" s="25" t="s">
        <v>18378</v>
      </c>
      <c r="C2765" s="26" t="str">
        <f>HYPERLINK("https://audio.iskcondesiretree.com/02_-_ISKCON_Swamis/ISKCON_Swamis_-_R_to_Y/His_Holiness_Radhanath_Swami/Lectures/00_-_Year_wise/Devotional_Nectar_-_2014/2014-01-04_SB_10-34-16-20_-_Snake_of_False_Ego%20_-_Radhanath_Swami_ISKCON_Chowpatty.mp3", "2014-01-04_SB_10-34-16-20_-_Snake_of_False_Ego%20_-_Radhanath_Swami_ISKCON_Chowpatty.mp3")</f>
        <v>2014-01-04_SB_10-34-16-20_-_Snake_of_False_Ego%20_-_Radhanath_Swami_ISKCON_Chowpatty.mp3</v>
      </c>
      <c r="D2765" s="24"/>
      <c r="E2765" s="24"/>
    </row>
    <row r="2766">
      <c r="A2766" s="25" t="s">
        <v>18352</v>
      </c>
      <c r="B2766" s="25" t="s">
        <v>18378</v>
      </c>
      <c r="C2766" s="26" t="str">
        <f>HYPERLINK("https://audio.iskcondesiretree.com/02_-_ISKCON_Swamis/ISKCON_Swamis_-_R_to_Y/His_Holiness_Radhanath_Swami/Lectures/00_-_Year_wise/Devotional_Nectar_-_2014/2014-01-04_Various_-_Prerna_Festival-The_Power_To_Change_-_Radhanath_Swami_ISKCON_Chowpatty.mp3", "2014-01-04_Various_-_Prerna_Festival-The_Power_To_Change_-_Radhanath_Swami_ISKCON_Chowpatty.mp3")</f>
        <v>2014-01-04_Various_-_Prerna_Festival-The_Power_To_Change_-_Radhanath_Swami_ISKCON_Chowpatty.mp3</v>
      </c>
      <c r="D2766" s="24"/>
      <c r="E2766" s="24"/>
    </row>
    <row r="2767">
      <c r="A2767" s="25" t="s">
        <v>18352</v>
      </c>
      <c r="B2767" s="25" t="s">
        <v>18378</v>
      </c>
      <c r="C2767" s="26" t="str">
        <f>HYPERLINK("https://audio.iskcondesiretree.com/02_-_ISKCON_Swamis/ISKCON_Swamis_-_R_to_Y/His_Holiness_Radhanath_Swami/Lectures/00_-_Year_wise/Devotional_Nectar_-_2014/2014-01-05_Various_-_Sunday_Feast-Glories_of_Jiva_Goswami_-_Radhanath_Swami_ISKCON_Chowpatty.mp3", "2014-01-05_Various_-_Sunday_Feast-Glories_of_Jiva_Goswami_-_Radhanath_Swami_ISKCON_Chowpatty.mp3")</f>
        <v>2014-01-05_Various_-_Sunday_Feast-Glories_of_Jiva_Goswami_-_Radhanath_Swami_ISKCON_Chowpatty.mp3</v>
      </c>
      <c r="D2767" s="24"/>
      <c r="E2767" s="24"/>
    </row>
    <row r="2768">
      <c r="A2768" s="25" t="s">
        <v>18352</v>
      </c>
      <c r="B2768" s="25" t="s">
        <v>18378</v>
      </c>
      <c r="C2768" s="26" t="str">
        <f>HYPERLINK("https://audio.iskcondesiretree.com/02_-_ISKCON_Swamis/ISKCON_Swamis_-_R_to_Y/His_Holiness_Radhanath_Swami/Lectures/00_-_Year_wise/Devotional_Nectar_-_2014/2014-01-06_Various_-_Sankirtan_Festival_-_Radhanath_Swami.mp3", "2014-01-06_Various_-_Sankirtan_Festival_-_Radhanath_Swami.mp3")</f>
        <v>2014-01-06_Various_-_Sankirtan_Festival_-_Radhanath_Swami.mp3</v>
      </c>
      <c r="D2768" s="24"/>
      <c r="E2768" s="24"/>
    </row>
    <row r="2769">
      <c r="A2769" s="25" t="s">
        <v>18352</v>
      </c>
      <c r="B2769" s="25" t="s">
        <v>18378</v>
      </c>
      <c r="C2769" s="26" t="str">
        <f>HYPERLINK("https://audio.iskcondesiretree.com/02_-_ISKCON_Swamis/ISKCON_Swamis_-_R_to_Y/His_Holiness_Radhanath_Swami/Lectures/00_-_Year_wise/Devotional_Nectar_-_2014/2014-01-10_Festivals_-_Bhaktivedanta_Hospital_Annual_Day_-_Radhanath_Swami_Mira_Road.mp3", "2014-01-10_Festivals_-_Bhaktivedanta_Hospital_Annual_Day_-_Radhanath_Swami_Mira_Road.mp3")</f>
        <v>2014-01-10_Festivals_-_Bhaktivedanta_Hospital_Annual_Day_-_Radhanath_Swami_Mira_Road.mp3</v>
      </c>
      <c r="D2769" s="24"/>
      <c r="E2769" s="24"/>
    </row>
    <row r="2770">
      <c r="A2770" s="25" t="s">
        <v>18352</v>
      </c>
      <c r="B2770" s="25" t="s">
        <v>18378</v>
      </c>
      <c r="C2770" s="26" t="str">
        <f>HYPERLINK("https://audio.iskcondesiretree.com/02_-_ISKCON_Swamis/ISKCON_Swamis_-_R_to_Y/His_Holiness_Radhanath_Swami/Lectures/00_-_Year_wise/Devotional_Nectar_-_2014/2014-01-11_SB_10-35-04-05_-_Sweetness_of_Krishna%27s_Love_-_Radhanath_Swami_ISKCON_Chowpatty.mp3", "2014-01-11_SB_10-35-04-05_-_Sweetness_of_Krishna%27s_Love_-_Radhanath_Swami_ISKCON_Chowpatty.mp3")</f>
        <v>2014-01-11_SB_10-35-04-05_-_Sweetness_of_Krishna%27s_Love_-_Radhanath_Swami_ISKCON_Chowpatty.mp3</v>
      </c>
      <c r="D2770" s="24"/>
      <c r="E2770" s="24"/>
    </row>
    <row r="2771">
      <c r="A2771" s="25" t="s">
        <v>18352</v>
      </c>
      <c r="B2771" s="25" t="s">
        <v>18378</v>
      </c>
      <c r="C2771" s="26" t="str">
        <f>HYPERLINK("https://audio.iskcondesiretree.com/02_-_ISKCON_Swamis/ISKCON_Swamis_-_R_to_Y/His_Holiness_Radhanath_Swami/Lectures/00_-_Year_wise/Devotional_Nectar_-_2014/2014-01-11_Various_-_Receiving_Grace_By_Becoming_An_Instrument_of_God_-_Radhanath_Swami_Wada.mp3", "2014-01-11_Various_-_Receiving_Grace_By_Becoming_An_Instrument_of_God_-_Radhanath_Swami_Wada.mp3")</f>
        <v>2014-01-11_Various_-_Receiving_Grace_By_Becoming_An_Instrument_of_God_-_Radhanath_Swami_Wada.mp3</v>
      </c>
      <c r="D2771" s="24"/>
      <c r="E2771" s="24"/>
    </row>
    <row r="2772">
      <c r="A2772" s="25" t="s">
        <v>18352</v>
      </c>
      <c r="B2772" s="25" t="s">
        <v>18378</v>
      </c>
      <c r="C2772" s="26" t="str">
        <f>HYPERLINK("https://audio.iskcondesiretree.com/02_-_ISKCON_Swamis/ISKCON_Swamis_-_R_to_Y/His_Holiness_Radhanath_Swami/Lectures/00_-_Year_wise/Devotional_Nectar_-_2014/2014-01-12_Various_-_Being_Content_Is_A_Sign_Of_Simplicity_-_Radhanath_Swami_Wada.mp3", "2014-01-12_Various_-_Being_Content_Is_A_Sign_Of_Simplicity_-_Radhanath_Swami_Wada.mp3")</f>
        <v>2014-01-12_Various_-_Being_Content_Is_A_Sign_Of_Simplicity_-_Radhanath_Swami_Wada.mp3</v>
      </c>
      <c r="D2772" s="24"/>
      <c r="E2772" s="24"/>
    </row>
    <row r="2773">
      <c r="A2773" s="25" t="s">
        <v>18352</v>
      </c>
      <c r="B2773" s="25" t="s">
        <v>18378</v>
      </c>
      <c r="C2773" s="26" t="str">
        <f>HYPERLINK("https://audio.iskcondesiretree.com/02_-_ISKCON_Swamis/ISKCON_Swamis_-_R_to_Y/His_Holiness_Radhanath_Swami/Lectures/00_-_Year_wise/Devotional_Nectar_-_2014/2014-01-12_Various_-_Our_Contribution_to_Save_the_Environment_-_Radhanath_Swami_Wada.mp3", "2014-01-12_Various_-_Our_Contribution_to_Save_the_Environment_-_Radhanath_Swami_Wada.mp3")</f>
        <v>2014-01-12_Various_-_Our_Contribution_to_Save_the_Environment_-_Radhanath_Swami_Wada.mp3</v>
      </c>
      <c r="D2773" s="24"/>
      <c r="E2773" s="24"/>
    </row>
    <row r="2774">
      <c r="A2774" s="25" t="s">
        <v>18352</v>
      </c>
      <c r="B2774" s="25" t="s">
        <v>18378</v>
      </c>
      <c r="C2774" s="26" t="str">
        <f>HYPERLINK("https://audio.iskcondesiretree.com/02_-_ISKCON_Swamis/ISKCON_Swamis_-_R_to_Y/His_Holiness_Radhanath_Swami/Lectures/00_-_Year_wise/Devotional_Nectar_-_2014/2014-01-14_Various_-_Pastimes_of_Sridhar_Kolavecha_-_Radhanath_Swami_Wada.mp3", "2014-01-14_Various_-_Pastimes_of_Sridhar_Kolavecha_-_Radhanath_Swami_Wada.mp3")</f>
        <v>2014-01-14_Various_-_Pastimes_of_Sridhar_Kolavecha_-_Radhanath_Swami_Wada.mp3</v>
      </c>
      <c r="D2774" s="24"/>
      <c r="E2774" s="24"/>
    </row>
    <row r="2775">
      <c r="A2775" s="25" t="s">
        <v>18352</v>
      </c>
      <c r="B2775" s="25" t="s">
        <v>18378</v>
      </c>
      <c r="C2775" s="26" t="str">
        <f>HYPERLINK("https://audio.iskcondesiretree.com/02_-_ISKCON_Swamis/ISKCON_Swamis_-_R_to_Y/His_Holiness_Radhanath_Swami/Lectures/00_-_Year_wise/Devotional_Nectar_-_2014/2014-01-15_Festivals_-_Anniversary_of_the_Juhu_Temple_Opening_-_Radhanath_Swami_ISKCON_Juhu.mp3", "2014-01-15_Festivals_-_Anniversary_of_the_Juhu_Temple_Opening_-_Radhanath_Swami_ISKCON_Juhu.mp3")</f>
        <v>2014-01-15_Festivals_-_Anniversary_of_the_Juhu_Temple_Opening_-_Radhanath_Swami_ISKCON_Juhu.mp3</v>
      </c>
      <c r="D2775" s="24"/>
      <c r="E2775" s="24"/>
    </row>
    <row r="2776">
      <c r="A2776" s="25" t="s">
        <v>18352</v>
      </c>
      <c r="B2776" s="25" t="s">
        <v>18378</v>
      </c>
      <c r="C2776" s="26" t="str">
        <f>HYPERLINK("https://audio.iskcondesiretree.com/02_-_ISKCON_Swamis/ISKCON_Swamis_-_R_to_Y/His_Holiness_Radhanath_Swami/Lectures/00_-_Year_wise/Devotional_Nectar_-_2014/2014-01-16_SB_06-03-08_-_Radhanath_Swami_ISKCON_Juhu.mp3", "2014-01-16_SB_06-03-08_-_Radhanath_Swami_ISKCON_Juhu.mp3")</f>
        <v>2014-01-16_SB_06-03-08_-_Radhanath_Swami_ISKCON_Juhu.mp3</v>
      </c>
      <c r="D2776" s="24"/>
      <c r="E2776" s="24"/>
    </row>
    <row r="2777">
      <c r="A2777" s="25" t="s">
        <v>18352</v>
      </c>
      <c r="B2777" s="25" t="s">
        <v>18378</v>
      </c>
      <c r="C2777" s="26" t="str">
        <f>HYPERLINK("https://audio.iskcondesiretree.com/02_-_ISKCON_Swamis/ISKCON_Swamis_-_R_to_Y/His_Holiness_Radhanath_Swami/Lectures/00_-_Year_wise/Devotional_Nectar_-_2014/2014-01-17_Various_-_Pallika_Dasi%27s_Memorial_Program_-_Radhanath_Swami_Mumbai.mp3", "2014-01-17_Various_-_Pallika_Dasi%27s_Memorial_Program_-_Radhanath_Swami_Mumbai.mp3")</f>
        <v>2014-01-17_Various_-_Pallika_Dasi%27s_Memorial_Program_-_Radhanath_Swami_Mumbai.mp3</v>
      </c>
      <c r="D2777" s="24"/>
      <c r="E2777" s="24"/>
    </row>
    <row r="2778">
      <c r="A2778" s="25" t="s">
        <v>18352</v>
      </c>
      <c r="B2778" s="25" t="s">
        <v>18378</v>
      </c>
      <c r="C2778" s="26" t="str">
        <f>HYPERLINK("https://audio.iskcondesiretree.com/02_-_ISKCON_Swamis/ISKCON_Swamis_-_R_to_Y/His_Holiness_Radhanath_Swami/Lectures/00_-_Year_wise/Devotional_Nectar_-_2014/2014-01-17_Various_-_Pallika_Dasi%E2%80%99s_Memorial_Program_-_Radhanath_Swami_Mumbai.mp3", "2014-01-17_Various_-_Pallika_Dasi%E2%80%99s_Memorial_Program_-_Radhanath_Swami_Mumbai.mp3")</f>
        <v>2014-01-17_Various_-_Pallika_Dasi%E2%80%99s_Memorial_Program_-_Radhanath_Swami_Mumbai.mp3</v>
      </c>
      <c r="D2778" s="24"/>
      <c r="E2778" s="24"/>
    </row>
    <row r="2779">
      <c r="A2779" s="25" t="s">
        <v>18352</v>
      </c>
      <c r="B2779" s="25" t="s">
        <v>18378</v>
      </c>
      <c r="C2779" s="26" t="str">
        <f>HYPERLINK("https://audio.iskcondesiretree.com/02_-_ISKCON_Swamis/ISKCON_Swamis_-_R_to_Y/His_Holiness_Radhanath_Swami/Lectures/00_-_Year_wise/Devotional_Nectar_-_2014/2014-01-18_Various_-_Celebrating_Festival_of_Unity_in_Diversity_-_Radhanath_Swami.mp3", "2014-01-18_Various_-_Celebrating_Festival_of_Unity_in_Diversity_-_Radhanath_Swami.mp3")</f>
        <v>2014-01-18_Various_-_Celebrating_Festival_of_Unity_in_Diversity_-_Radhanath_Swami.mp3</v>
      </c>
      <c r="D2779" s="24"/>
      <c r="E2779" s="24"/>
    </row>
    <row r="2780">
      <c r="A2780" s="25" t="s">
        <v>18352</v>
      </c>
      <c r="B2780" s="25" t="s">
        <v>18378</v>
      </c>
      <c r="C2780" s="26" t="str">
        <f>HYPERLINK("https://audio.iskcondesiretree.com/02_-_ISKCON_Swamis/ISKCON_Swamis_-_R_to_Y/His_Holiness_Radhanath_Swami/Lectures/00_-_Year_wise/Devotional_Nectar_-_2014/2014-01-24_Various_-_Stories_From_Journey_Home_-_Radhanath_Swami.mp3", "2014-01-24_Various_-_Stories_From_Journey_Home_-_Radhanath_Swami.mp3")</f>
        <v>2014-01-24_Various_-_Stories_From_Journey_Home_-_Radhanath_Swami.mp3</v>
      </c>
      <c r="D2780" s="24"/>
      <c r="E2780" s="24"/>
    </row>
    <row r="2781">
      <c r="A2781" s="25" t="s">
        <v>18352</v>
      </c>
      <c r="B2781" s="25" t="s">
        <v>18378</v>
      </c>
      <c r="C2781" s="26" t="str">
        <f>HYPERLINK("https://audio.iskcondesiretree.com/02_-_ISKCON_Swamis/ISKCON_Swamis_-_R_to_Y/His_Holiness_Radhanath_Swami/Lectures/00_-_Year_wise/Devotional_Nectar_-_2014/2014-01-25_Festivals_-_Pushya_Abhishek_Lecture_%28Evening%29_-_Radhanath_Swami_ISKCON_Chowpatty.mp3", "2014-01-25_Festivals_-_Pushya_Abhishek_Lecture_%28Evening%29_-_Radhanath_Swami_ISKCON_Chowpatty.mp3")</f>
        <v>2014-01-25_Festivals_-_Pushya_Abhishek_Lecture_%28Evening%29_-_Radhanath_Swami_ISKCON_Chowpatty.mp3</v>
      </c>
      <c r="D2781" s="24"/>
      <c r="E2781" s="24"/>
    </row>
    <row r="2782">
      <c r="A2782" s="25" t="s">
        <v>18352</v>
      </c>
      <c r="B2782" s="25" t="s">
        <v>18378</v>
      </c>
      <c r="C2782" s="26" t="str">
        <f>HYPERLINK("https://audio.iskcondesiretree.com/02_-_ISKCON_Swamis/ISKCON_Swamis_-_R_to_Y/His_Holiness_Radhanath_Swami/Lectures/00_-_Year_wise/Devotional_Nectar_-_2014/2014-01-25_SB_10-36-05-15_-_Naam_Ruchi_and_Jivadaya_-_Radhanath_Swami_ISKCON_Chowpatty.mp3", "2014-01-25_SB_10-36-05-15_-_Naam_Ruchi_and_Jivadaya_-_Radhanath_Swami_ISKCON_Chowpatty.mp3")</f>
        <v>2014-01-25_SB_10-36-05-15_-_Naam_Ruchi_and_Jivadaya_-_Radhanath_Swami_ISKCON_Chowpatty.mp3</v>
      </c>
      <c r="D2782" s="24"/>
      <c r="E2782" s="24"/>
    </row>
    <row r="2783">
      <c r="A2783" s="25" t="s">
        <v>18352</v>
      </c>
      <c r="B2783" s="25" t="s">
        <v>18378</v>
      </c>
      <c r="C2783" s="26" t="str">
        <f>HYPERLINK("https://audio.iskcondesiretree.com/02_-_ISKCON_Swamis/ISKCON_Swamis_-_R_to_Y/His_Holiness_Radhanath_Swami/Lectures/00_-_Year_wise/Devotional_Nectar_-_2014/2014-01-25_SB_10-36-05_-_Aristasura-The_Garb_of_False_Religion_-_Radhanath_Swami.mp3", "2014-01-25_SB_10-36-05_-_Aristasura-The_Garb_of_False_Religion_-_Radhanath_Swami.mp3")</f>
        <v>2014-01-25_SB_10-36-05_-_Aristasura-The_Garb_of_False_Religion_-_Radhanath_Swami.mp3</v>
      </c>
      <c r="D2783" s="24"/>
      <c r="E2783" s="24"/>
    </row>
    <row r="2784">
      <c r="A2784" s="25" t="s">
        <v>18352</v>
      </c>
      <c r="B2784" s="25" t="s">
        <v>18378</v>
      </c>
      <c r="C2784" s="26" t="str">
        <f>HYPERLINK("https://audio.iskcondesiretree.com/02_-_ISKCON_Swamis/ISKCON_Swamis_-_R_to_Y/His_Holiness_Radhanath_Swami/Lectures/00_-_Year_wise/Devotional_Nectar_-_2014/2014-01-26_SB_10-36-16_-_Turning_Worst_Into_Worthy_-_Radhanath_Swami.mp3", "2014-01-26_SB_10-36-16_-_Turning_Worst_Into_Worthy_-_Radhanath_Swami.mp3")</f>
        <v>2014-01-26_SB_10-36-16_-_Turning_Worst_Into_Worthy_-_Radhanath_Swami.mp3</v>
      </c>
      <c r="D2784" s="24"/>
      <c r="E2784" s="24"/>
    </row>
    <row r="2785">
      <c r="A2785" s="25" t="s">
        <v>18352</v>
      </c>
      <c r="B2785" s="25" t="s">
        <v>18378</v>
      </c>
      <c r="C2785" s="26" t="str">
        <f>HYPERLINK("https://audio.iskcondesiretree.com/02_-_ISKCON_Swamis/ISKCON_Swamis_-_R_to_Y/His_Holiness_Radhanath_Swami/Lectures/00_-_Year_wise/Devotional_Nectar_-_2014/2014-01-26_Various_-_What_Is_Real_Freedom_-_Radhanath_Swami.mp3", "2014-01-26_Various_-_What_Is_Real_Freedom_-_Radhanath_Swami.mp3")</f>
        <v>2014-01-26_Various_-_What_Is_Real_Freedom_-_Radhanath_Swami.mp3</v>
      </c>
      <c r="D2785" s="24"/>
      <c r="E2785" s="24"/>
    </row>
    <row r="2786">
      <c r="A2786" s="25" t="s">
        <v>18352</v>
      </c>
      <c r="B2786" s="25" t="s">
        <v>18378</v>
      </c>
      <c r="C2786" s="26" t="str">
        <f>HYPERLINK("https://audio.iskcondesiretree.com/02_-_ISKCON_Swamis/ISKCON_Swamis_-_R_to_Y/His_Holiness_Radhanath_Swami/Lectures/00_-_Year_wise/Devotional_Nectar_-_2014/2014-01-29_Various_-_Addressed_to_Ukraine_Devotees_-_Radhanath_Swami.mp3", "2014-01-29_Various_-_Addressed_to_Ukraine_Devotees_-_Radhanath_Swami.mp3")</f>
        <v>2014-01-29_Various_-_Addressed_to_Ukraine_Devotees_-_Radhanath_Swami.mp3</v>
      </c>
      <c r="D2786" s="24"/>
      <c r="E2786" s="24"/>
    </row>
    <row r="2787">
      <c r="A2787" s="25" t="s">
        <v>18352</v>
      </c>
      <c r="B2787" s="25" t="s">
        <v>18378</v>
      </c>
      <c r="C2787" s="26" t="str">
        <f>HYPERLINK("https://audio.iskcondesiretree.com/02_-_ISKCON_Swamis/ISKCON_Swamis_-_R_to_Y/His_Holiness_Radhanath_Swami/Lectures/00_-_Year_wise/Devotional_Nectar_-_2014/2014-01-30_Various_-_Tamil_Book_Launch-Sharing_Moments_From_Journey_Home_-_Radhanath_Swami.mp3", "2014-01-30_Various_-_Tamil_Book_Launch-Sharing_Moments_From_Journey_Home_-_Radhanath_Swami.mp3")</f>
        <v>2014-01-30_Various_-_Tamil_Book_Launch-Sharing_Moments_From_Journey_Home_-_Radhanath_Swami.mp3</v>
      </c>
      <c r="D2787" s="24"/>
      <c r="E2787" s="24"/>
    </row>
    <row r="2788">
      <c r="A2788" s="25" t="s">
        <v>18352</v>
      </c>
      <c r="B2788" s="25" t="s">
        <v>18378</v>
      </c>
      <c r="C2788" s="26" t="str">
        <f>HYPERLINK("https://audio.iskcondesiretree.com/02_-_ISKCON_Swamis/ISKCON_Swamis_-_R_to_Y/His_Holiness_Radhanath_Swami/Lectures/00_-_Year_wise/Devotional_Nectar_-_2014/2014-02-02_Various_-_Memories_and_Appreciation_of_HG_Kirtida_Mataji_-_Radhanath_Swami.mp3", "2014-02-02_Various_-_Memories_and_Appreciation_of_HG_Kirtida_Mataji_-_Radhanath_Swami.mp3")</f>
        <v>2014-02-02_Various_-_Memories_and_Appreciation_of_HG_Kirtida_Mataji_-_Radhanath_Swami.mp3</v>
      </c>
      <c r="D2788" s="24"/>
      <c r="E2788" s="24"/>
    </row>
    <row r="2789">
      <c r="A2789" s="25" t="s">
        <v>18352</v>
      </c>
      <c r="B2789" s="25" t="s">
        <v>18378</v>
      </c>
      <c r="C2789" s="26" t="str">
        <f>HYPERLINK("https://audio.iskcondesiretree.com/02_-_ISKCON_Swamis/ISKCON_Swamis_-_R_to_Y/His_Holiness_Radhanath_Swami/Lectures/00_-_Year_wise/Devotional_Nectar_-_2014/2014-02-04_Various_-_Grihastha_Ashram_is_a_Sacred_Opportunity_for_Bhakti_-_Radhanath_Swami.mp3", "2014-02-04_Various_-_Grihastha_Ashram_is_a_Sacred_Opportunity_for_Bhakti_-_Radhanath_Swami.mp3")</f>
        <v>2014-02-04_Various_-_Grihastha_Ashram_is_a_Sacred_Opportunity_for_Bhakti_-_Radhanath_Swami.mp3</v>
      </c>
      <c r="D2789" s="24"/>
      <c r="E2789" s="24"/>
    </row>
    <row r="2790">
      <c r="A2790" s="25" t="s">
        <v>18352</v>
      </c>
      <c r="B2790" s="25" t="s">
        <v>18378</v>
      </c>
      <c r="C2790" s="26" t="str">
        <f>HYPERLINK("https://audio.iskcondesiretree.com/02_-_ISKCON_Swamis/ISKCON_Swamis_-_R_to_Y/His_Holiness_Radhanath_Swami/Lectures/00_-_Year_wise/Devotional_Nectar_-_2014/2014-02-06_Various_-_Annamrita-A_Sign_of_Srila_Prabhupada%27s_Compassion_-_Radhanath_Swami_Dadar.mp3", "2014-02-06_Various_-_Annamrita-A_Sign_of_Srila_Prabhupada%27s_Compassion_-_Radhanath_Swami_Dadar.mp3")</f>
        <v>2014-02-06_Various_-_Annamrita-A_Sign_of_Srila_Prabhupada%27s_Compassion_-_Radhanath_Swami_Dadar.mp3</v>
      </c>
      <c r="D2790" s="24"/>
      <c r="E2790" s="24"/>
    </row>
    <row r="2791">
      <c r="A2791" s="25" t="s">
        <v>18352</v>
      </c>
      <c r="B2791" s="25" t="s">
        <v>18378</v>
      </c>
      <c r="C2791" s="26" t="str">
        <f>HYPERLINK("https://audio.iskcondesiretree.com/02_-_ISKCON_Swamis/ISKCON_Swamis_-_R_to_Y/His_Holiness_Radhanath_Swami/Lectures/00_-_Year_wise/Devotional_Nectar_-_2014/2014-02-09_SB_10-38-01_-_Key_of_Entering_Vrindavan_-_Radhanath_Swami_ISKCON_Chowpatty.mp3", "2014-02-09_SB_10-38-01_-_Key_of_Entering_Vrindavan_-_Radhanath_Swami_ISKCON_Chowpatty.mp3")</f>
        <v>2014-02-09_SB_10-38-01_-_Key_of_Entering_Vrindavan_-_Radhanath_Swami_ISKCON_Chowpatty.mp3</v>
      </c>
      <c r="D2791" s="24"/>
      <c r="E2791" s="24"/>
    </row>
    <row r="2792">
      <c r="A2792" s="25" t="s">
        <v>18352</v>
      </c>
      <c r="B2792" s="25" t="s">
        <v>18378</v>
      </c>
      <c r="C2792" s="26" t="str">
        <f>HYPERLINK("https://audio.iskcondesiretree.com/02_-_ISKCON_Swamis/ISKCON_Swamis_-_R_to_Y/His_Holiness_Radhanath_Swami/Lectures/00_-_Year_wise/Devotional_Nectar_-_2014/2014-03-02_SB_08-23-16_-_Radhanath_Swami_ISKCON_Mayapur.mp3", "2014-03-02_SB_08-23-16_-_Radhanath_Swami_ISKCON_Mayapur.mp3")</f>
        <v>2014-03-02_SB_08-23-16_-_Radhanath_Swami_ISKCON_Mayapur.mp3</v>
      </c>
      <c r="D2792" s="24"/>
      <c r="E2792" s="24"/>
    </row>
    <row r="2793">
      <c r="A2793" s="25" t="s">
        <v>18352</v>
      </c>
      <c r="B2793" s="25" t="s">
        <v>18378</v>
      </c>
      <c r="C2793" s="26" t="str">
        <f>HYPERLINK("https://audio.iskcondesiretree.com/02_-_ISKCON_Swamis/ISKCON_Swamis_-_R_to_Y/His_Holiness_Radhanath_Swami/Lectures/00_-_Year_wise/Devotional_Nectar_-_2014/2014-03-04_Various_-_My_Experience_with_Himalayan_Yogis_-_Radhanath_Swami_Rishikesh.mp3", "2014-03-04_Various_-_My_Experience_with_Himalayan_Yogis_-_Radhanath_Swami_Rishikesh.mp3")</f>
        <v>2014-03-04_Various_-_My_Experience_with_Himalayan_Yogis_-_Radhanath_Swami_Rishikesh.mp3</v>
      </c>
      <c r="D2793" s="24"/>
      <c r="E2793" s="24"/>
    </row>
    <row r="2794">
      <c r="A2794" s="25" t="s">
        <v>18352</v>
      </c>
      <c r="B2794" s="25" t="s">
        <v>18378</v>
      </c>
      <c r="C2794" s="26" t="str">
        <f>HYPERLINK("https://audio.iskcondesiretree.com/02_-_ISKCON_Swamis/ISKCON_Swamis_-_R_to_Y/His_Holiness_Radhanath_Swami/Lectures/00_-_Year_wise/Devotional_Nectar_-_2014/2014-03-05_Various_-_In_Giving_We_Receive_-_Radhanath_Swami_Rishikesh.mp3", "2014-03-05_Various_-_In_Giving_We_Receive_-_Radhanath_Swami_Rishikesh.mp3")</f>
        <v>2014-03-05_Various_-_In_Giving_We_Receive_-_Radhanath_Swami_Rishikesh.mp3</v>
      </c>
      <c r="D2794" s="24"/>
      <c r="E2794" s="24"/>
    </row>
    <row r="2795">
      <c r="A2795" s="25" t="s">
        <v>18352</v>
      </c>
      <c r="B2795" s="25" t="s">
        <v>18378</v>
      </c>
      <c r="C2795" s="26" t="str">
        <f>HYPERLINK("https://audio.iskcondesiretree.com/02_-_ISKCON_Swamis/ISKCON_Swamis_-_R_to_Y/His_Holiness_Radhanath_Swami/Lectures/00_-_Year_wise/Devotional_Nectar_-_2014/2014-03-05_Various_-_The_Way_to_Real_Ananda_-_Radhanath_Swami_Rishikesh.mp3", "2014-03-05_Various_-_The_Way_to_Real_Ananda_-_Radhanath_Swami_Rishikesh.mp3")</f>
        <v>2014-03-05_Various_-_The_Way_to_Real_Ananda_-_Radhanath_Swami_Rishikesh.mp3</v>
      </c>
      <c r="D2795" s="24"/>
      <c r="E2795" s="24"/>
    </row>
    <row r="2796">
      <c r="A2796" s="25" t="s">
        <v>18352</v>
      </c>
      <c r="B2796" s="25" t="s">
        <v>18378</v>
      </c>
      <c r="C2796" s="26" t="str">
        <f>HYPERLINK("https://audio.iskcondesiretree.com/02_-_ISKCON_Swamis/ISKCON_Swamis_-_R_to_Y/His_Holiness_Radhanath_Swami/Lectures/00_-_Year_wise/Devotional_Nectar_-_2014/2014-03-06_Various_-_What_is_the_Mood_of_Bhakti_-_Radhanath_Swami_Rishikesh.mp3", "2014-03-06_Various_-_What_is_the_Mood_of_Bhakti_-_Radhanath_Swami_Rishikesh.mp3")</f>
        <v>2014-03-06_Various_-_What_is_the_Mood_of_Bhakti_-_Radhanath_Swami_Rishikesh.mp3</v>
      </c>
      <c r="D2796" s="24"/>
      <c r="E2796" s="24"/>
    </row>
    <row r="2797">
      <c r="A2797" s="25" t="s">
        <v>18352</v>
      </c>
      <c r="B2797" s="25" t="s">
        <v>18378</v>
      </c>
      <c r="C2797" s="26" t="str">
        <f>HYPERLINK("https://audio.iskcondesiretree.com/02_-_ISKCON_Swamis/ISKCON_Swamis_-_R_to_Y/His_Holiness_Radhanath_Swami/Lectures/00_-_Year_wise/Devotional_Nectar_-_2014/2014-03-08_SB_10-40-01_-_Conceiving_Inconceivable_Krishna%27s_Creation_-_Radhanath_Swami.mp3", "2014-03-08_SB_10-40-01_-_Conceiving_Inconceivable_Krishna%27s_Creation_-_Radhanath_Swami.mp3")</f>
        <v>2014-03-08_SB_10-40-01_-_Conceiving_Inconceivable_Krishna%27s_Creation_-_Radhanath_Swami.mp3</v>
      </c>
      <c r="D2797" s="24"/>
      <c r="E2797" s="24"/>
    </row>
    <row r="2798">
      <c r="A2798" s="25" t="s">
        <v>18352</v>
      </c>
      <c r="B2798" s="25" t="s">
        <v>18378</v>
      </c>
      <c r="C2798" s="26" t="str">
        <f>HYPERLINK("https://audio.iskcondesiretree.com/02_-_ISKCON_Swamis/ISKCON_Swamis_-_R_to_Y/His_Holiness_Radhanath_Swami/Lectures/00_-_Year_wise/Devotional_Nectar_-_2014/2014-03-08_Various_-_What_is_Dhruva%27s_And_Hanuman%27s_Yoga_-_Radhanath_Swami_Rishikesh.mp3", "2014-03-08_Various_-_What_is_Dhruva%27s_And_Hanuman%27s_Yoga_-_Radhanath_Swami_Rishikesh.mp3")</f>
        <v>2014-03-08_Various_-_What_is_Dhruva%27s_And_Hanuman%27s_Yoga_-_Radhanath_Swami_Rishikesh.mp3</v>
      </c>
      <c r="D2798" s="24"/>
      <c r="E2798" s="24"/>
    </row>
    <row r="2799">
      <c r="A2799" s="25" t="s">
        <v>18352</v>
      </c>
      <c r="B2799" s="25" t="s">
        <v>18378</v>
      </c>
      <c r="C2799" s="26" t="str">
        <f>HYPERLINK("https://audio.iskcondesiretree.com/02_-_ISKCON_Swamis/ISKCON_Swamis_-_R_to_Y/His_Holiness_Radhanath_Swami/Lectures/00_-_Year_wise/Devotional_Nectar_-_2014/2014-03-09_SB_10-40-04-05_-_Lord_Reciprocates_with_Our_Emotions_-_Radhanath_Swami.mp3", "2014-03-09_SB_10-40-04-05_-_Lord_Reciprocates_with_Our_Emotions_-_Radhanath_Swami.mp3")</f>
        <v>2014-03-09_SB_10-40-04-05_-_Lord_Reciprocates_with_Our_Emotions_-_Radhanath_Swami.mp3</v>
      </c>
      <c r="D2799" s="24"/>
      <c r="E2799" s="24"/>
    </row>
    <row r="2800">
      <c r="A2800" s="25" t="s">
        <v>18352</v>
      </c>
      <c r="B2800" s="25" t="s">
        <v>18378</v>
      </c>
      <c r="C2800" s="26" t="str">
        <f>HYPERLINK("https://audio.iskcondesiretree.com/02_-_ISKCON_Swamis/ISKCON_Swamis_-_R_to_Y/His_Holiness_Radhanath_Swami/Lectures/00_-_Year_wise/Devotional_Nectar_-_2014/2014-03-09_SB_10-40-04-05_-_Separation_from_Krishna_-_Radhanath_Swami_ISKCON_Chowpatty.mp3", "2014-03-09_SB_10-40-04-05_-_Separation_from_Krishna_-_Radhanath_Swami_ISKCON_Chowpatty.mp3")</f>
        <v>2014-03-09_SB_10-40-04-05_-_Separation_from_Krishna_-_Radhanath_Swami_ISKCON_Chowpatty.mp3</v>
      </c>
      <c r="D2800" s="24"/>
      <c r="E2800" s="24"/>
    </row>
    <row r="2801">
      <c r="A2801" s="25" t="s">
        <v>18352</v>
      </c>
      <c r="B2801" s="25" t="s">
        <v>18378</v>
      </c>
      <c r="C2801" s="26" t="str">
        <f>HYPERLINK("https://audio.iskcondesiretree.com/02_-_ISKCON_Swamis/ISKCON_Swamis_-_R_to_Y/His_Holiness_Radhanath_Swami/Lectures/00_-_Year_wise/Devotional_Nectar_-_2014/2014-04-16_SB_03-05-40_-_Bhakti_reveals_Knowledge_within_our_Heart_-_Radhanath_Swami.mp3", "2014-04-16_SB_03-05-40_-_Bhakti_reveals_Knowledge_within_our_Heart_-_Radhanath_Swami.mp3")</f>
        <v>2014-04-16_SB_03-05-40_-_Bhakti_reveals_Knowledge_within_our_Heart_-_Radhanath_Swami.mp3</v>
      </c>
      <c r="D2801" s="24"/>
      <c r="E2801" s="24"/>
    </row>
    <row r="2802">
      <c r="A2802" s="25" t="s">
        <v>18352</v>
      </c>
      <c r="B2802" s="25" t="s">
        <v>18378</v>
      </c>
      <c r="C2802" s="26" t="str">
        <f>HYPERLINK("https://audio.iskcondesiretree.com/02_-_ISKCON_Swamis/ISKCON_Swamis_-_R_to_Y/His_Holiness_Radhanath_Swami/Lectures/00_-_Year_wise/Devotional_Nectar_-_2014/2014-04-20_SB_10-44-05_-_Inconceivable_Krishna_Kills_Kamsa_-_Radhanath_Swami_ISKCON_Chowpatty.mp3", "2014-04-20_SB_10-44-05_-_Inconceivable_Krishna_Kills_Kamsa_-_Radhanath_Swami_ISKCON_Chowpatty.mp3")</f>
        <v>2014-04-20_SB_10-44-05_-_Inconceivable_Krishna_Kills_Kamsa_-_Radhanath_Swami_ISKCON_Chowpatty.mp3</v>
      </c>
      <c r="D2802" s="24"/>
      <c r="E2802" s="24"/>
    </row>
    <row r="2803">
      <c r="A2803" s="25" t="s">
        <v>18352</v>
      </c>
      <c r="B2803" s="25" t="s">
        <v>18378</v>
      </c>
      <c r="C2803" s="26" t="str">
        <f>HYPERLINK("https://audio.iskcondesiretree.com/02_-_ISKCON_Swamis/ISKCON_Swamis_-_R_to_Y/His_Holiness_Radhanath_Swami/Lectures/00_-_Year_wise/Devotional_Nectar_-_2014/2014-04-25_Various_-_The_Magic_of_Love_-_Radhanath_Swami.mp3", "2014-04-25_Various_-_The_Magic_of_Love_-_Radhanath_Swami.mp3")</f>
        <v>2014-04-25_Various_-_The_Magic_of_Love_-_Radhanath_Swami.mp3</v>
      </c>
      <c r="D2803" s="24"/>
      <c r="E2803" s="24"/>
    </row>
    <row r="2804">
      <c r="A2804" s="25" t="s">
        <v>18352</v>
      </c>
      <c r="B2804" s="25" t="s">
        <v>18378</v>
      </c>
      <c r="C2804" s="26" t="str">
        <f>HYPERLINK("https://audio.iskcondesiretree.com/02_-_ISKCON_Swamis/ISKCON_Swamis_-_R_to_Y/His_Holiness_Radhanath_Swami/Lectures/00_-_Year_wise/Devotional_Nectar_-_2014/2014-04-27_Seminars_-_Mahabharat_Series_04_-_Radhanath_Swami_Bhaktivedanta_Manor.mp3", "2014-04-27_Seminars_-_Mahabharat_Series_04_-_Radhanath_Swami_Bhaktivedanta_Manor.mp3")</f>
        <v>2014-04-27_Seminars_-_Mahabharat_Series_04_-_Radhanath_Swami_Bhaktivedanta_Manor.mp3</v>
      </c>
      <c r="D2804" s="24"/>
      <c r="E2804" s="24"/>
    </row>
    <row r="2805">
      <c r="A2805" s="25" t="s">
        <v>18352</v>
      </c>
      <c r="B2805" s="25" t="s">
        <v>18378</v>
      </c>
      <c r="C2805" s="26" t="str">
        <f>HYPERLINK("https://audio.iskcondesiretree.com/02_-_ISKCON_Swamis/ISKCON_Swamis_-_R_to_Y/His_Holiness_Radhanath_Swami/Lectures/00_-_Year_wise/Devotional_Nectar_-_2014/2014-05-04_Various_-_Sunday_Feast-To_Love_Krishna_-_Radhanath_Swami_ISKCON_Chicago.mp3", "2014-05-04_Various_-_Sunday_Feast-To_Love_Krishna_-_Radhanath_Swami_ISKCON_Chicago.mp3")</f>
        <v>2014-05-04_Various_-_Sunday_Feast-To_Love_Krishna_-_Radhanath_Swami_ISKCON_Chicago.mp3</v>
      </c>
      <c r="D2805" s="24"/>
      <c r="E2805" s="24"/>
    </row>
    <row r="2806">
      <c r="A2806" s="25" t="s">
        <v>18352</v>
      </c>
      <c r="B2806" s="25" t="s">
        <v>18378</v>
      </c>
      <c r="C2806" s="26" t="str">
        <f>HYPERLINK("https://audio.iskcondesiretree.com/02_-_ISKCON_Swamis/ISKCON_Swamis_-_R_to_Y/His_Holiness_Radhanath_Swami/Lectures/00_-_Year_wise/Devotional_Nectar_-_2014/2014-05-15_Festivals_-_Nrsingha_Festival-Soul_of_Lord_Nrsingha_-_Radhanath_Swami.mp3", "2014-05-15_Festivals_-_Nrsingha_Festival-Soul_of_Lord_Nrsingha_-_Radhanath_Swami.mp3")</f>
        <v>2014-05-15_Festivals_-_Nrsingha_Festival-Soul_of_Lord_Nrsingha_-_Radhanath_Swami.mp3</v>
      </c>
      <c r="D2806" s="24"/>
      <c r="E2806" s="24"/>
    </row>
    <row r="2807">
      <c r="A2807" s="25" t="s">
        <v>18352</v>
      </c>
      <c r="B2807" s="25" t="s">
        <v>18378</v>
      </c>
      <c r="C2807" s="26" t="str">
        <f>HYPERLINK("https://audio.iskcondesiretree.com/02_-_ISKCON_Swamis/ISKCON_Swamis_-_R_to_Y/His_Holiness_Radhanath_Swami/Lectures/00_-_Year_wise/Devotional_Nectar_-_2014/2014-06-09_SB_08-06-13_-_Radhanath_Swami_Los_Angeles.mp3", "2014-06-09_SB_08-06-13_-_Radhanath_Swami_Los_Angeles.mp3")</f>
        <v>2014-06-09_SB_08-06-13_-_Radhanath_Swami_Los_Angeles.mp3</v>
      </c>
      <c r="D2807" s="24"/>
      <c r="E2807" s="24"/>
    </row>
    <row r="2808">
      <c r="A2808" s="25" t="s">
        <v>18352</v>
      </c>
      <c r="B2808" s="25" t="s">
        <v>18378</v>
      </c>
      <c r="C2808" s="26" t="str">
        <f>HYPERLINK("https://audio.iskcondesiretree.com/02_-_ISKCON_Swamis/ISKCON_Swamis_-_R_to_Y/His_Holiness_Radhanath_Swami/Lectures/00_-_Year_wise/Devotional_Nectar_-_2014/2014-06-11_SB_08-06-15_-_Radhanath_Swami_Los_Angeles.mp3", "2014-06-11_SB_08-06-15_-_Radhanath_Swami_Los_Angeles.mp3")</f>
        <v>2014-06-11_SB_08-06-15_-_Radhanath_Swami_Los_Angeles.mp3</v>
      </c>
      <c r="D2808" s="24"/>
      <c r="E2808" s="24"/>
    </row>
    <row r="2809">
      <c r="A2809" s="25" t="s">
        <v>18352</v>
      </c>
      <c r="B2809" s="25" t="s">
        <v>18378</v>
      </c>
      <c r="C2809" s="26" t="str">
        <f>HYPERLINK("https://audio.iskcondesiretree.com/02_-_ISKCON_Swamis/ISKCON_Swamis_-_R_to_Y/His_Holiness_Radhanath_Swami/Lectures/00_-_Year_wise/Devotional_Nectar_-_2014/2014-07-01_Various_-_Loving_Gurudeva-Srila_Prabhupada_-_Radhanath_Swami_Govardha_Eco_Village.mp3", "2014-07-01_Various_-_Loving_Gurudeva-Srila_Prabhupada_-_Radhanath_Swami_Govardha_Eco_Village.mp3")</f>
        <v>2014-07-01_Various_-_Loving_Gurudeva-Srila_Prabhupada_-_Radhanath_Swami_Govardha_Eco_Village.mp3</v>
      </c>
      <c r="D2809" s="24"/>
      <c r="E2809" s="24"/>
    </row>
    <row r="2810">
      <c r="A2810" s="25" t="s">
        <v>18352</v>
      </c>
      <c r="B2810" s="25" t="s">
        <v>18378</v>
      </c>
      <c r="C2810" s="26" t="str">
        <f>HYPERLINK("https://audio.iskcondesiretree.com/02_-_ISKCON_Swamis/ISKCON_Swamis_-_R_to_Y/His_Holiness_Radhanath_Swami/Lectures/00_-_Year_wise/Devotional_Nectar_-_2014/2014-07-12_SB_04-20-16_-_Radhanath_Swami_Gita_Nagari_Retreat.mp3", "2014-07-12_SB_04-20-16_-_Radhanath_Swami_Gita_Nagari_Retreat.mp3")</f>
        <v>2014-07-12_SB_04-20-16_-_Radhanath_Swami_Gita_Nagari_Retreat.mp3</v>
      </c>
      <c r="D2810" s="24"/>
      <c r="E2810" s="24"/>
    </row>
    <row r="2811">
      <c r="A2811" s="25" t="s">
        <v>18352</v>
      </c>
      <c r="B2811" s="25" t="s">
        <v>18378</v>
      </c>
      <c r="C2811" s="26" t="str">
        <f>HYPERLINK("https://audio.iskcondesiretree.com/02_-_ISKCON_Swamis/ISKCON_Swamis_-_R_to_Y/His_Holiness_Radhanath_Swami/Lectures/00_-_Year_wise/Devotional_Nectar_-_2014/2014-07-19_Various_-_Nature_of_Dualities_-_Radhanath_Swami_TBC.mp3", "2014-07-19_Various_-_Nature_of_Dualities_-_Radhanath_Swami_TBC.mp3")</f>
        <v>2014-07-19_Various_-_Nature_of_Dualities_-_Radhanath_Swami_TBC.mp3</v>
      </c>
      <c r="D2811" s="24"/>
      <c r="E2811" s="24"/>
    </row>
    <row r="2812">
      <c r="A2812" s="25" t="s">
        <v>18352</v>
      </c>
      <c r="B2812" s="25" t="s">
        <v>18378</v>
      </c>
      <c r="C2812" s="26" t="str">
        <f>HYPERLINK("https://audio.iskcondesiretree.com/02_-_ISKCON_Swamis/ISKCON_Swamis_-_R_to_Y/His_Holiness_Radhanath_Swami/Lectures/00_-_Year_wise/Devotional_Nectar_-_2014/2014-07-29_Various_-_The_Soul_is_Eternal_-_Radhanath_Swami_Bhakti_Center.mp3", "2014-07-29_Various_-_The_Soul_is_Eternal_-_Radhanath_Swami_Bhakti_Center.mp3")</f>
        <v>2014-07-29_Various_-_The_Soul_is_Eternal_-_Radhanath_Swami_Bhakti_Center.mp3</v>
      </c>
      <c r="D2812" s="24"/>
      <c r="E2812" s="24"/>
    </row>
    <row r="2813">
      <c r="A2813" s="25" t="s">
        <v>18352</v>
      </c>
      <c r="B2813" s="25" t="s">
        <v>18378</v>
      </c>
      <c r="C2813" s="26" t="str">
        <f>HYPERLINK("https://audio.iskcondesiretree.com/02_-_ISKCON_Swamis/ISKCON_Swamis_-_R_to_Y/His_Holiness_Radhanath_Swami/Lectures/00_-_Year_wise/Devotional_Nectar_-_2014/2014-08-05_SB_11-08-09_-_Radhanath_Swami.mp3", "2014-08-05_SB_11-08-09_-_Radhanath_Swami.mp3")</f>
        <v>2014-08-05_SB_11-08-09_-_Radhanath_Swami.mp3</v>
      </c>
      <c r="D2813" s="24"/>
      <c r="E2813" s="24"/>
    </row>
    <row r="2814">
      <c r="A2814" s="25" t="s">
        <v>18352</v>
      </c>
      <c r="B2814" s="25" t="s">
        <v>18378</v>
      </c>
      <c r="C2814" s="26" t="str">
        <f>HYPERLINK("https://audio.iskcondesiretree.com/02_-_ISKCON_Swamis/ISKCON_Swamis_-_R_to_Y/His_Holiness_Radhanath_Swami/Lectures/00_-_Year_wise/Devotional_Nectar_-_2014/2014-08-05_Various_-_First_meeting_with_Malati_Mataji_-_Radhanath_Swami.mp3", "2014-08-05_Various_-_First_meeting_with_Malati_Mataji_-_Radhanath_Swami.mp3")</f>
        <v>2014-08-05_Various_-_First_meeting_with_Malati_Mataji_-_Radhanath_Swami.mp3</v>
      </c>
      <c r="D2814" s="24"/>
      <c r="E2814" s="24"/>
    </row>
    <row r="2815">
      <c r="A2815" s="25" t="s">
        <v>18352</v>
      </c>
      <c r="B2815" s="25" t="s">
        <v>18378</v>
      </c>
      <c r="C2815" s="26" t="str">
        <f>HYPERLINK("https://audio.iskcondesiretree.com/02_-_ISKCON_Swamis/ISKCON_Swamis_-_R_to_Y/His_Holiness_Radhanath_Swami/Lectures/00_-_Year_wise/Devotional_Nectar_-_2014/2014-08-06_SB_11-08-10_-_Radhanath_Swami.mp3", "2014-08-06_SB_11-08-10_-_Radhanath_Swami.mp3")</f>
        <v>2014-08-06_SB_11-08-10_-_Radhanath_Swami.mp3</v>
      </c>
      <c r="D2815" s="24"/>
      <c r="E2815" s="24"/>
    </row>
    <row r="2816">
      <c r="A2816" s="25" t="s">
        <v>18352</v>
      </c>
      <c r="B2816" s="25" t="s">
        <v>18378</v>
      </c>
      <c r="C2816" s="26" t="str">
        <f>HYPERLINK("https://audio.iskcondesiretree.com/02_-_ISKCON_Swamis/ISKCON_Swamis_-_R_to_Y/His_Holiness_Radhanath_Swami/Lectures/00_-_Year_wise/Devotional_Nectar_-_2014/2014-08-10_Various_-_Staying_Strong_-_Radhanath_Swami_Washington_DC.mp3", "2014-08-10_Various_-_Staying_Strong_-_Radhanath_Swami_Washington_DC.mp3")</f>
        <v>2014-08-10_Various_-_Staying_Strong_-_Radhanath_Swami_Washington_DC.mp3</v>
      </c>
      <c r="D2816" s="24"/>
      <c r="E2816" s="24"/>
    </row>
    <row r="2817">
      <c r="A2817" s="25" t="s">
        <v>18352</v>
      </c>
      <c r="B2817" s="25" t="s">
        <v>18378</v>
      </c>
      <c r="C2817" s="26" t="str">
        <f>HYPERLINK("https://audio.iskcondesiretree.com/02_-_ISKCON_Swamis/ISKCON_Swamis_-_R_to_Y/His_Holiness_Radhanath_Swami/Lectures/00_-_Year_wise/Devotional_Nectar_-_2014/2014-08-15_Various_-_The_Lotus_Festival_-_Radhanath_Swami_Bhakti_Center.mp3", "2014-08-15_Various_-_The_Lotus_Festival_-_Radhanath_Swami_Bhakti_Center.mp3")</f>
        <v>2014-08-15_Various_-_The_Lotus_Festival_-_Radhanath_Swami_Bhakti_Center.mp3</v>
      </c>
      <c r="D2817" s="24"/>
      <c r="E2817" s="24"/>
    </row>
    <row r="2818">
      <c r="A2818" s="25" t="s">
        <v>18352</v>
      </c>
      <c r="B2818" s="25" t="s">
        <v>18378</v>
      </c>
      <c r="C2818" s="26" t="str">
        <f>HYPERLINK("https://audio.iskcondesiretree.com/02_-_ISKCON_Swamis/ISKCON_Swamis_-_R_to_Y/His_Holiness_Radhanath_Swami/Lectures/00_-_Year_wise/Devotional_Nectar_-_2014/2014-08-17_BG_04-09_-_Janma_Karma_ca_me_Divyam_-_Radhanath_Swami_Bhakti_Center.mp3", "2014-08-17_BG_04-09_-_Janma_Karma_ca_me_Divyam_-_Radhanath_Swami_Bhakti_Center.mp3")</f>
        <v>2014-08-17_BG_04-09_-_Janma_Karma_ca_me_Divyam_-_Radhanath_Swami_Bhakti_Center.mp3</v>
      </c>
      <c r="D2818" s="24"/>
      <c r="E2818" s="24"/>
    </row>
    <row r="2819">
      <c r="A2819" s="25" t="s">
        <v>18352</v>
      </c>
      <c r="B2819" s="25" t="s">
        <v>18378</v>
      </c>
      <c r="C2819" s="26" t="str">
        <f>HYPERLINK("https://audio.iskcondesiretree.com/02_-_ISKCON_Swamis/ISKCON_Swamis_-_R_to_Y/His_Holiness_Radhanath_Swami/Lectures/00_-_Year_wise/Devotional_Nectar_-_2014/2014-08-29_Festivals_-_The_Pearl_Festival-Hare_Krishna_Kirtan_-_Radhanath_Swami_Bhakti_Center.mp3", "2014-08-29_Festivals_-_The_Pearl_Festival-Hare_Krishna_Kirtan_-_Radhanath_Swami_Bhakti_Center.mp3")</f>
        <v>2014-08-29_Festivals_-_The_Pearl_Festival-Hare_Krishna_Kirtan_-_Radhanath_Swami_Bhakti_Center.mp3</v>
      </c>
      <c r="D2819" s="24"/>
      <c r="E2819" s="24"/>
    </row>
    <row r="2820">
      <c r="A2820" s="25" t="s">
        <v>18352</v>
      </c>
      <c r="B2820" s="25" t="s">
        <v>18378</v>
      </c>
      <c r="C2820" s="26" t="str">
        <f>HYPERLINK("https://audio.iskcondesiretree.com/02_-_ISKCON_Swamis/ISKCON_Swamis_-_R_to_Y/His_Holiness_Radhanath_Swami/Lectures/00_-_Year_wise/Devotional_Nectar_-_2014/2014-08-29_Festivals_-_The_Pearl_Festival-Path_of_Devotion_-_Radhanath_Swami_Bhakti_Center.mp3", "2014-08-29_Festivals_-_The_Pearl_Festival-Path_of_Devotion_-_Radhanath_Swami_Bhakti_Center.mp3")</f>
        <v>2014-08-29_Festivals_-_The_Pearl_Festival-Path_of_Devotion_-_Radhanath_Swami_Bhakti_Center.mp3</v>
      </c>
      <c r="D2820" s="24"/>
      <c r="E2820" s="24"/>
    </row>
    <row r="2821">
      <c r="A2821" s="25" t="s">
        <v>18352</v>
      </c>
      <c r="B2821" s="25" t="s">
        <v>18378</v>
      </c>
      <c r="C2821" s="26" t="str">
        <f>HYPERLINK("https://audio.iskcondesiretree.com/02_-_ISKCON_Swamis/ISKCON_Swamis_-_R_to_Y/His_Holiness_Radhanath_Swami/Lectures/00_-_Year_wise/Devotional_Nectar_-_2014/2014-09-12_Various_-_Principles_of_a_Spiritual_Community_-_Radhanath_Swami_Denver.mp3", "2014-09-12_Various_-_Principles_of_a_Spiritual_Community_-_Radhanath_Swami_Denver.mp3")</f>
        <v>2014-09-12_Various_-_Principles_of_a_Spiritual_Community_-_Radhanath_Swami_Denver.mp3</v>
      </c>
      <c r="D2821" s="24"/>
      <c r="E2821" s="24"/>
    </row>
    <row r="2822">
      <c r="A2822" s="25" t="s">
        <v>18352</v>
      </c>
      <c r="B2822" s="25" t="s">
        <v>18378</v>
      </c>
      <c r="C2822" s="26" t="str">
        <f>HYPERLINK("https://audio.iskcondesiretree.com/02_-_ISKCON_Swamis/ISKCON_Swamis_-_R_to_Y/His_Holiness_Radhanath_Swami/Lectures/00_-_Year_wise/Devotional_Nectar_-_2014/2014-09-21_Various_-_Initation_Ceremony_-_Radhanath_Swami_ISKCON_Chicago.mp3", "2014-09-21_Various_-_Initation_Ceremony_-_Radhanath_Swami_ISKCON_Chicago.mp3")</f>
        <v>2014-09-21_Various_-_Initation_Ceremony_-_Radhanath_Swami_ISKCON_Chicago.mp3</v>
      </c>
      <c r="D2822" s="24"/>
      <c r="E2822" s="24"/>
    </row>
    <row r="2823">
      <c r="A2823" s="25" t="s">
        <v>18352</v>
      </c>
      <c r="B2823" s="25" t="s">
        <v>18378</v>
      </c>
      <c r="C2823" s="26" t="str">
        <f>HYPERLINK("https://audio.iskcondesiretree.com/02_-_ISKCON_Swamis/ISKCON_Swamis_-_R_to_Y/His_Holiness_Radhanath_Swami/Lectures/00_-_Year_wise/Devotional_Nectar_-_2014/2014-10-16_SB_10-87-32_-_Dealings_Devotees_-_Radhanath_Swami_ISKCON_Tirupati.mp3", "2014-10-16_SB_10-87-32_-_Dealings_Devotees_-_Radhanath_Swami_ISKCON_Tirupati.mp3")</f>
        <v>2014-10-16_SB_10-87-32_-_Dealings_Devotees_-_Radhanath_Swami_ISKCON_Tirupati.mp3</v>
      </c>
      <c r="D2823" s="24"/>
      <c r="E2823" s="24"/>
    </row>
    <row r="2824">
      <c r="A2824" s="25" t="s">
        <v>18352</v>
      </c>
      <c r="B2824" s="25" t="s">
        <v>18378</v>
      </c>
      <c r="C2824" s="26" t="str">
        <f>HYPERLINK("https://audio.iskcondesiretree.com/02_-_ISKCON_Swamis/ISKCON_Swamis_-_R_to_Y/His_Holiness_Radhanath_Swami/Lectures/00_-_Year_wise/Devotional_Nectar_-_2014/2014-11-02_SB_10-52-24_-_Being_Eager_to_hear_about_Krishna_-_Radhanath_Swami_ISKCON_Chowpatty.mp3", "2014-11-02_SB_10-52-24_-_Being_Eager_to_hear_about_Krishna_-_Radhanath_Swami_ISKCON_Chowpatty.mp3")</f>
        <v>2014-11-02_SB_10-52-24_-_Being_Eager_to_hear_about_Krishna_-_Radhanath_Swami_ISKCON_Chowpatty.mp3</v>
      </c>
      <c r="D2824" s="24"/>
      <c r="E2824" s="24"/>
    </row>
    <row r="2825">
      <c r="A2825" s="25" t="s">
        <v>18352</v>
      </c>
      <c r="B2825" s="25" t="s">
        <v>18378</v>
      </c>
      <c r="C2825" s="26" t="str">
        <f>HYPERLINK("https://audio.iskcondesiretree.com/02_-_ISKCON_Swamis/ISKCON_Swamis_-_R_to_Y/His_Holiness_Radhanath_Swami/Lectures/00_-_Year_wise/Devotional_Nectar_-_2014/2014-11-15_SB_10-52-44_-_Rukmini%27s_Message_to_Lord_Krishna_-_Radhanath_Swami_ISKCON_Chowpatty.mp3", "2014-11-15_SB_10-52-44_-_Rukmini%27s_Message_to_Lord_Krishna_-_Radhanath_Swami_ISKCON_Chowpatty.mp3")</f>
        <v>2014-11-15_SB_10-52-44_-_Rukmini%27s_Message_to_Lord_Krishna_-_Radhanath_Swami_ISKCON_Chowpatty.mp3</v>
      </c>
      <c r="D2825" s="24"/>
      <c r="E2825" s="24"/>
    </row>
    <row r="2826">
      <c r="A2826" s="25" t="s">
        <v>18352</v>
      </c>
      <c r="B2826" s="25" t="s">
        <v>18378</v>
      </c>
      <c r="C2826" s="26" t="str">
        <f>HYPERLINK("https://audio.iskcondesiretree.com/02_-_ISKCON_Swamis/ISKCON_Swamis_-_R_to_Y/His_Holiness_Radhanath_Swami/Lectures/00_-_Year_wise/Devotional_Nectar_-_2014/2014-11-23_SB_10-53-13-17_-_Krishna_Kidnaps_Rukmini_-_Radhanath_Swami_ISKCON_Chowpatty.mp3", "2014-11-23_SB_10-53-13-17_-_Krishna_Kidnaps_Rukmini_-_Radhanath_Swami_ISKCON_Chowpatty.mp3")</f>
        <v>2014-11-23_SB_10-53-13-17_-_Krishna_Kidnaps_Rukmini_-_Radhanath_Swami_ISKCON_Chowpatty.mp3</v>
      </c>
      <c r="D2826" s="24"/>
      <c r="E2826" s="24"/>
    </row>
    <row r="2827">
      <c r="A2827" s="25" t="s">
        <v>18352</v>
      </c>
      <c r="B2827" s="25" t="s">
        <v>18378</v>
      </c>
      <c r="C2827" s="26" t="str">
        <f>HYPERLINK("https://audio.iskcondesiretree.com/02_-_ISKCON_Swamis/ISKCON_Swamis_-_R_to_Y/His_Holiness_Radhanath_Swami/Lectures/00_-_Year_wise/Devotional_Nectar_-_2014/2014-12-07_Various_-_Initiation_Class_-_Radhanath_Swami_Bhaktivedanta_Manor.mp3", "2014-12-07_Various_-_Initiation_Class_-_Radhanath_Swami_Bhaktivedanta_Manor.mp3")</f>
        <v>2014-12-07_Various_-_Initiation_Class_-_Radhanath_Swami_Bhaktivedanta_Manor.mp3</v>
      </c>
      <c r="D2827" s="24"/>
      <c r="E2827" s="24"/>
    </row>
    <row r="2828">
      <c r="A2828" s="25" t="s">
        <v>18352</v>
      </c>
      <c r="B2828" s="25" t="s">
        <v>18378</v>
      </c>
      <c r="C2828" s="26" t="str">
        <f>HYPERLINK("https://audio.iskcondesiretree.com/02_-_ISKCON_Swamis/ISKCON_Swamis_-_R_to_Y/His_Holiness_Radhanath_Swami/Lectures/00_-_Year_wise/Devotional_Nectar_-_2014/2014-12-13_SB-10-54-10-12_-_Krishna_Marries_Rukmini_-_Radhanath_Swami_ISKCON_Chowpatty.mp3", "2014-12-13_SB-10-54-10-12_-_Krishna_Marries_Rukmini_-_Radhanath_Swami_ISKCON_Chowpatty.mp3")</f>
        <v>2014-12-13_SB-10-54-10-12_-_Krishna_Marries_Rukmini_-_Radhanath_Swami_ISKCON_Chowpatty.mp3</v>
      </c>
      <c r="D2828" s="24"/>
      <c r="E2828" s="24"/>
    </row>
    <row r="2829">
      <c r="A2829" s="25" t="s">
        <v>18352</v>
      </c>
      <c r="B2829" s="25" t="s">
        <v>18379</v>
      </c>
      <c r="C2829" s="26" t="str">
        <f>HYPERLINK("https://audio.iskcondesiretree.com/02_-_ISKCON_Swamis/ISKCON_Swamis_-_R_to_Y/His_Holiness_Radhanath_Swami/Lectures/00_-_Year_wise/Devotional_Nectar_-_2015/2015-01-11_Festivals_-_Bhaktivedanta_Hospital_Annual_Day_-_Radhanath_Swami_Mumbai.mp3", "2015-01-11_Festivals_-_Bhaktivedanta_Hospital_Annual_Day_-_Radhanath_Swami_Mumbai.mp3")</f>
        <v>2015-01-11_Festivals_-_Bhaktivedanta_Hospital_Annual_Day_-_Radhanath_Swami_Mumbai.mp3</v>
      </c>
      <c r="D2829" s="24"/>
      <c r="E2829" s="24"/>
    </row>
    <row r="2830">
      <c r="A2830" s="25" t="s">
        <v>18352</v>
      </c>
      <c r="B2830" s="25" t="s">
        <v>18379</v>
      </c>
      <c r="C2830" s="26" t="str">
        <f>HYPERLINK("https://audio.iskcondesiretree.com/02_-_ISKCON_Swamis/ISKCON_Swamis_-_R_to_Y/His_Holiness_Radhanath_Swami/Lectures/00_-_Year_wise/Devotional_Nectar_-_2015/2015-01-22_Prerana_Festivals-The_Power_of_Sound_-_Radhanath_Swami_ISKCON_Chowpatty.mp3", "2015-01-22_Prerana_Festivals-The_Power_of_Sound_-_Radhanath_Swami_ISKCON_Chowpatty.mp3")</f>
        <v>2015-01-22_Prerana_Festivals-The_Power_of_Sound_-_Radhanath_Swami_ISKCON_Chowpatty.mp3</v>
      </c>
      <c r="D2830" s="24"/>
      <c r="E2830" s="24"/>
    </row>
    <row r="2831">
      <c r="A2831" s="25" t="s">
        <v>18352</v>
      </c>
      <c r="B2831" s="25" t="s">
        <v>18379</v>
      </c>
      <c r="C2831" s="26" t="str">
        <f>HYPERLINK("https://audio.iskcondesiretree.com/02_-_ISKCON_Swamis/ISKCON_Swamis_-_R_to_Y/His_Holiness_Radhanath_Swami/Lectures/00_-_Year_wise/Devotional_Nectar_-_2015/2015-01-23_Festivals_-_Ratha_Yatra_Festivals_-_Radhanath_Swami_Juhu.mp3", "2015-01-23_Festivals_-_Ratha_Yatra_Festivals_-_Radhanath_Swami_Juhu.mp3")</f>
        <v>2015-01-23_Festivals_-_Ratha_Yatra_Festivals_-_Radhanath_Swami_Juhu.mp3</v>
      </c>
      <c r="D2831" s="24"/>
      <c r="E2831" s="24"/>
    </row>
    <row r="2832">
      <c r="A2832" s="25" t="s">
        <v>18352</v>
      </c>
      <c r="B2832" s="25" t="s">
        <v>18379</v>
      </c>
      <c r="C2832" s="26" t="str">
        <f>HYPERLINK("https://audio.iskcondesiretree.com/02_-_ISKCON_Swamis/ISKCON_Swamis_-_R_to_Y/His_Holiness_Radhanath_Swami/Lectures/00_-_Year_wise/Devotional_Nectar_-_2015/2015-01-30_Festivals_-_Initiation_Lecture_-_Radhanath_Swami_Juhu.mp3", "2015-01-30_Festivals_-_Initiation_Lecture_-_Radhanath_Swami_Juhu.mp3")</f>
        <v>2015-01-30_Festivals_-_Initiation_Lecture_-_Radhanath_Swami_Juhu.mp3</v>
      </c>
      <c r="D2832" s="24"/>
      <c r="E2832" s="24"/>
    </row>
    <row r="2833">
      <c r="A2833" s="25" t="s">
        <v>18352</v>
      </c>
      <c r="B2833" s="25" t="s">
        <v>18379</v>
      </c>
      <c r="C2833" s="26" t="str">
        <f>HYPERLINK("https://audio.iskcondesiretree.com/02_-_ISKCON_Swamis/ISKCON_Swamis_-_R_to_Y/His_Holiness_Radhanath_Swami/Lectures/00_-_Year_wise/Devotional_Nectar_-_2015/2015-02-02_Various_-_Srila_Prabhupada_and_Calcutta_-_Radhanath_Swami_Kolkata.mp3", "2015-02-02_Various_-_Srila_Prabhupada_and_Calcutta_-_Radhanath_Swami_Kolkata.mp3")</f>
        <v>2015-02-02_Various_-_Srila_Prabhupada_and_Calcutta_-_Radhanath_Swami_Kolkata.mp3</v>
      </c>
      <c r="D2833" s="24"/>
      <c r="E2833" s="24"/>
    </row>
    <row r="2834">
      <c r="A2834" s="25" t="s">
        <v>18352</v>
      </c>
      <c r="B2834" s="25" t="s">
        <v>18379</v>
      </c>
      <c r="C2834" s="26" t="str">
        <f>HYPERLINK("https://audio.iskcondesiretree.com/02_-_ISKCON_Swamis/ISKCON_Swamis_-_R_to_Y/His_Holiness_Radhanath_Swami/Lectures/00_-_Year_wise/Devotional_Nectar_-_2015/2015-02-14_SB_06-04-12_-_Radhanath_Swami_ISKCON_Mayapur.mp3", "2015-02-14_SB_06-04-12_-_Radhanath_Swami_ISKCON_Mayapur.mp3")</f>
        <v>2015-02-14_SB_06-04-12_-_Radhanath_Swami_ISKCON_Mayapur.mp3</v>
      </c>
      <c r="D2834" s="24"/>
      <c r="E2834" s="24"/>
    </row>
    <row r="2835">
      <c r="A2835" s="25" t="s">
        <v>18352</v>
      </c>
      <c r="B2835" s="25" t="s">
        <v>18379</v>
      </c>
      <c r="C2835" s="26" t="str">
        <f>HYPERLINK("https://audio.iskcondesiretree.com/02_-_ISKCON_Swamis/ISKCON_Swamis_-_R_to_Y/His_Holiness_Radhanath_Swami/Lectures/00_-_Year_wise/Devotional_Nectar_-_2015/2015-02-21_SB-10-58-06-07_-_Gratitude_In_All_Situation_-_Radhanath_Swami_ISKCON_Chowpatty.mp3", "2015-02-21_SB-10-58-06-07_-_Gratitude_In_All_Situation_-_Radhanath_Swami_ISKCON_Chowpatty.mp3")</f>
        <v>2015-02-21_SB-10-58-06-07_-_Gratitude_In_All_Situation_-_Radhanath_Swami_ISKCON_Chowpatty.mp3</v>
      </c>
      <c r="D2835" s="24"/>
      <c r="E2835" s="24"/>
    </row>
    <row r="2836">
      <c r="A2836" s="25" t="s">
        <v>18352</v>
      </c>
      <c r="B2836" s="25" t="s">
        <v>18379</v>
      </c>
      <c r="C2836" s="26" t="str">
        <f>HYPERLINK("https://audio.iskcondesiretree.com/02_-_ISKCON_Swamis/ISKCON_Swamis_-_R_to_Y/His_Holiness_Radhanath_Swami/Lectures/00_-_Year_wise/Devotional_Nectar_-_2015/2015-02-22_Festivals_-_Wada_Rath_Yatra-Celebrating_Festival_of_Chariots_-_Radhanath_Swami_Wada.mp3", "2015-02-22_Festivals_-_Wada_Rath_Yatra-Celebrating_Festival_of_Chariots_-_Radhanath_Swami_Wada.mp3")</f>
        <v>2015-02-22_Festivals_-_Wada_Rath_Yatra-Celebrating_Festival_of_Chariots_-_Radhanath_Swami_Wada.mp3</v>
      </c>
      <c r="D2836" s="24"/>
      <c r="E2836" s="24"/>
    </row>
    <row r="2837">
      <c r="A2837" s="25" t="s">
        <v>18352</v>
      </c>
      <c r="B2837" s="25" t="s">
        <v>18379</v>
      </c>
      <c r="C2837" s="26" t="str">
        <f>HYPERLINK("https://audio.iskcondesiretree.com/02_-_ISKCON_Swamis/ISKCON_Swamis_-_R_to_Y/His_Holiness_Radhanath_Swami/Lectures/00_-_Year_wise/Devotional_Nectar_-_2015/2015-02-27_Various_-_Recognising_The_Divinity_In_Everyone_-_Radhanath_Swami_Vivek_Vig_House.mp3", "2015-02-27_Various_-_Recognising_The_Divinity_In_Everyone_-_Radhanath_Swami_Vivek_Vig_House.mp3")</f>
        <v>2015-02-27_Various_-_Recognising_The_Divinity_In_Everyone_-_Radhanath_Swami_Vivek_Vig_House.mp3</v>
      </c>
      <c r="D2837" s="24"/>
      <c r="E2837" s="24"/>
    </row>
    <row r="2838">
      <c r="A2838" s="25" t="s">
        <v>18352</v>
      </c>
      <c r="B2838" s="25" t="s">
        <v>18379</v>
      </c>
      <c r="C2838" s="26" t="str">
        <f>HYPERLINK("https://audio.iskcondesiretree.com/02_-_ISKCON_Swamis/ISKCON_Swamis_-_R_to_Y/His_Holiness_Radhanath_Swami/Lectures/00_-_Year_wise/Devotional_Nectar_-_2015/2015-03-01_Various_-_IYF-Qualities_of_A_Real_Yogi_-_Radhanath_Swami_Rishikesh.mp3", "2015-03-01_Various_-_IYF-Qualities_of_A_Real_Yogi_-_Radhanath_Swami_Rishikesh.mp3")</f>
        <v>2015-03-01_Various_-_IYF-Qualities_of_A_Real_Yogi_-_Radhanath_Swami_Rishikesh.mp3</v>
      </c>
      <c r="D2838" s="24"/>
      <c r="E2838" s="24"/>
    </row>
    <row r="2839">
      <c r="A2839" s="25" t="s">
        <v>18352</v>
      </c>
      <c r="B2839" s="25" t="s">
        <v>18379</v>
      </c>
      <c r="C2839" s="26" t="str">
        <f>HYPERLINK("https://audio.iskcondesiretree.com/02_-_ISKCON_Swamis/ISKCON_Swamis_-_R_to_Y/His_Holiness_Radhanath_Swami/Lectures/00_-_Year_wise/Devotional_Nectar_-_2015/2015-03-02_Various_-_Glories_of_Hanuman_-_Radhanath_Swami_Rishikesh.mp3", "2015-03-02_Various_-_Glories_of_Hanuman_-_Radhanath_Swami_Rishikesh.mp3")</f>
        <v>2015-03-02_Various_-_Glories_of_Hanuman_-_Radhanath_Swami_Rishikesh.mp3</v>
      </c>
      <c r="D2839" s="24"/>
      <c r="E2839" s="24"/>
    </row>
    <row r="2840">
      <c r="A2840" s="25" t="s">
        <v>18352</v>
      </c>
      <c r="B2840" s="25" t="s">
        <v>18379</v>
      </c>
      <c r="C2840" s="26" t="str">
        <f>HYPERLINK("https://audio.iskcondesiretree.com/02_-_ISKCON_Swamis/ISKCON_Swamis_-_R_to_Y/His_Holiness_Radhanath_Swami/Lectures/00_-_Year_wise/Devotional_Nectar_-_2015/2015-03-02_Various_-_IYF-Equanimity_Amidst_Turbulence_-_Radhanath_Swami_Rishikesh.mp3", "2015-03-02_Various_-_IYF-Equanimity_Amidst_Turbulence_-_Radhanath_Swami_Rishikesh.mp3")</f>
        <v>2015-03-02_Various_-_IYF-Equanimity_Amidst_Turbulence_-_Radhanath_Swami_Rishikesh.mp3</v>
      </c>
      <c r="D2840" s="24"/>
      <c r="E2840" s="24"/>
    </row>
    <row r="2841">
      <c r="A2841" s="25" t="s">
        <v>18352</v>
      </c>
      <c r="B2841" s="25" t="s">
        <v>18379</v>
      </c>
      <c r="C2841" s="26" t="str">
        <f>HYPERLINK("https://audio.iskcondesiretree.com/02_-_ISKCON_Swamis/ISKCON_Swamis_-_R_to_Y/His_Holiness_Radhanath_Swami/Lectures/00_-_Year_wise/Devotional_Nectar_-_2015/2015-03-03_Various_-_Glory_of_Path_of_Devotion_and_Holy_Name_-_Radhanath_Swami_Rishikesh.mp3", "2015-03-03_Various_-_Glory_of_Path_of_Devotion_and_Holy_Name_-_Radhanath_Swami_Rishikesh.mp3")</f>
        <v>2015-03-03_Various_-_Glory_of_Path_of_Devotion_and_Holy_Name_-_Radhanath_Swami_Rishikesh.mp3</v>
      </c>
      <c r="D2841" s="24"/>
      <c r="E2841" s="24"/>
    </row>
    <row r="2842">
      <c r="A2842" s="25" t="s">
        <v>18352</v>
      </c>
      <c r="B2842" s="25" t="s">
        <v>18379</v>
      </c>
      <c r="C2842" s="26" t="str">
        <f>HYPERLINK("https://audio.iskcondesiretree.com/02_-_ISKCON_Swamis/ISKCON_Swamis_-_R_to_Y/His_Holiness_Radhanath_Swami/Lectures/00_-_Year_wise/Devotional_Nectar_-_2015/2015-03-03_Various_-_IYF-Yoga_of_Love_-_Radhanath_Swami_Rishikesh.mp3", "2015-03-03_Various_-_IYF-Yoga_of_Love_-_Radhanath_Swami_Rishikesh.mp3")</f>
        <v>2015-03-03_Various_-_IYF-Yoga_of_Love_-_Radhanath_Swami_Rishikesh.mp3</v>
      </c>
      <c r="D2842" s="24"/>
      <c r="E2842" s="24"/>
    </row>
    <row r="2843">
      <c r="A2843" s="25" t="s">
        <v>18352</v>
      </c>
      <c r="B2843" s="25" t="s">
        <v>18379</v>
      </c>
      <c r="C2843" s="26" t="str">
        <f>HYPERLINK("https://audio.iskcondesiretree.com/02_-_ISKCON_Swamis/ISKCON_Swamis_-_R_to_Y/His_Holiness_Radhanath_Swami/Lectures/00_-_Year_wise/Devotional_Nectar_-_2015/2015-03-03_Various_-_Meaning_of_Anand_Prakash_-_Radhanath_Swami_Rishikesh.mp3", "2015-03-03_Various_-_Meaning_of_Anand_Prakash_-_Radhanath_Swami_Rishikesh.mp3")</f>
        <v>2015-03-03_Various_-_Meaning_of_Anand_Prakash_-_Radhanath_Swami_Rishikesh.mp3</v>
      </c>
      <c r="D2843" s="24"/>
      <c r="E2843" s="24"/>
    </row>
    <row r="2844">
      <c r="A2844" s="25" t="s">
        <v>18352</v>
      </c>
      <c r="B2844" s="25" t="s">
        <v>18379</v>
      </c>
      <c r="C2844" s="26" t="str">
        <f>HYPERLINK("https://audio.iskcondesiretree.com/02_-_ISKCON_Swamis/ISKCON_Swamis_-_R_to_Y/His_Holiness_Radhanath_Swami/Lectures/00_-_Year_wise/Devotional_Nectar_-_2015/2015-03-05_CC_Adi_Lila_07-20-21_-_Gaur_Purnima_Festival_-_Radhanath_Swami_ISKCON_Chowpatty.mp3", "2015-03-05_CC_Adi_Lila_07-20-21_-_Gaur_Purnima_Festival_-_Radhanath_Swami_ISKCON_Chowpatty.mp3")</f>
        <v>2015-03-05_CC_Adi_Lila_07-20-21_-_Gaur_Purnima_Festival_-_Radhanath_Swami_ISKCON_Chowpatty.mp3</v>
      </c>
      <c r="D2844" s="24"/>
      <c r="E2844" s="24"/>
    </row>
    <row r="2845">
      <c r="A2845" s="25" t="s">
        <v>18352</v>
      </c>
      <c r="B2845" s="25" t="s">
        <v>18379</v>
      </c>
      <c r="C2845" s="26" t="str">
        <f>HYPERLINK("https://audio.iskcondesiretree.com/02_-_ISKCON_Swamis/ISKCON_Swamis_-_R_to_Y/His_Holiness_Radhanath_Swami/Lectures/00_-_Year_wise/Devotional_Nectar_-_2015/2015-03-05_Festivals_-_Gaur_Purnima-Evening_Lecture_-_Radhanath_Swami_ISKCON_Chowpatty.mp3", "2015-03-05_Festivals_-_Gaur_Purnima-Evening_Lecture_-_Radhanath_Swami_ISKCON_Chowpatty.mp3")</f>
        <v>2015-03-05_Festivals_-_Gaur_Purnima-Evening_Lecture_-_Radhanath_Swami_ISKCON_Chowpatty.mp3</v>
      </c>
      <c r="D2845" s="24"/>
      <c r="E2845" s="24"/>
    </row>
    <row r="2846">
      <c r="A2846" s="25" t="s">
        <v>18352</v>
      </c>
      <c r="B2846" s="25" t="s">
        <v>18379</v>
      </c>
      <c r="C2846" s="26" t="str">
        <f>HYPERLINK("https://audio.iskcondesiretree.com/02_-_ISKCON_Swamis/ISKCON_Swamis_-_R_to_Y/His_Holiness_Radhanath_Swami/Lectures/00_-_Year_wise/Devotional_Nectar_-_2015/2015-03-05_Various_-_Enchanting_Pastimes_of_Lord_Caitanya_Mahaprabhu_01_-_Radhanath_Swami.mp3", "2015-03-05_Various_-_Enchanting_Pastimes_of_Lord_Caitanya_Mahaprabhu_01_-_Radhanath_Swami.mp3")</f>
        <v>2015-03-05_Various_-_Enchanting_Pastimes_of_Lord_Caitanya_Mahaprabhu_01_-_Radhanath_Swami.mp3</v>
      </c>
      <c r="D2846" s="24"/>
      <c r="E2846" s="24"/>
    </row>
    <row r="2847">
      <c r="A2847" s="25" t="s">
        <v>18352</v>
      </c>
      <c r="B2847" s="25" t="s">
        <v>18379</v>
      </c>
      <c r="C2847" s="26" t="str">
        <f>HYPERLINK("https://audio.iskcondesiretree.com/02_-_ISKCON_Swamis/ISKCON_Swamis_-_R_to_Y/His_Holiness_Radhanath_Swami/Lectures/00_-_Year_wise/Devotional_Nectar_-_2015/2015-03-06_Festivals-Jagannath_Mishra_Festival_-_Radhanath_Swami_ISKCON_Chowpatty.mp3", "2015-03-06_Festivals-Jagannath_Mishra_Festival_-_Radhanath_Swami_ISKCON_Chowpatty.mp3")</f>
        <v>2015-03-06_Festivals-Jagannath_Mishra_Festival_-_Radhanath_Swami_ISKCON_Chowpatty.mp3</v>
      </c>
      <c r="D2847" s="24"/>
      <c r="E2847" s="24"/>
    </row>
    <row r="2848">
      <c r="A2848" s="25" t="s">
        <v>18352</v>
      </c>
      <c r="B2848" s="25" t="s">
        <v>18379</v>
      </c>
      <c r="C2848" s="26" t="str">
        <f>HYPERLINK("https://audio.iskcondesiretree.com/02_-_ISKCON_Swamis/ISKCON_Swamis_-_R_to_Y/His_Holiness_Radhanath_Swami/Lectures/00_-_Year_wise/Devotional_Nectar_-_2015/2015-03-06_Various_-_Enchanting_Pastimes_of_Lord_Caitanya_Mahaprabhu_02_-_Radhanath_Swami.mp3", "2015-03-06_Various_-_Enchanting_Pastimes_of_Lord_Caitanya_Mahaprabhu_02_-_Radhanath_Swami.mp3")</f>
        <v>2015-03-06_Various_-_Enchanting_Pastimes_of_Lord_Caitanya_Mahaprabhu_02_-_Radhanath_Swami.mp3</v>
      </c>
      <c r="D2848" s="24"/>
      <c r="E2848" s="24"/>
    </row>
    <row r="2849">
      <c r="A2849" s="25" t="s">
        <v>18352</v>
      </c>
      <c r="B2849" s="25" t="s">
        <v>18379</v>
      </c>
      <c r="C2849" s="26" t="str">
        <f>HYPERLINK("https://audio.iskcondesiretree.com/02_-_ISKCON_Swamis/ISKCON_Swamis_-_R_to_Y/His_Holiness_Radhanath_Swami/Lectures/00_-_Year_wise/Devotional_Nectar_-_2015/2015-03-08_SB_04-16-03_-_Leadership_means_to_Sacrifice_and_be_Responsible_-_Radhanath_Swami.mp3", "2015-03-08_SB_04-16-03_-_Leadership_means_to_Sacrifice_and_be_Responsible_-_Radhanath_Swami.mp3")</f>
        <v>2015-03-08_SB_04-16-03_-_Leadership_means_to_Sacrifice_and_be_Responsible_-_Radhanath_Swami.mp3</v>
      </c>
      <c r="D2849" s="24"/>
      <c r="E2849" s="24"/>
    </row>
    <row r="2850">
      <c r="A2850" s="25" t="s">
        <v>18352</v>
      </c>
      <c r="B2850" s="25" t="s">
        <v>18379</v>
      </c>
      <c r="C2850" s="26" t="str">
        <f>HYPERLINK("https://audio.iskcondesiretree.com/02_-_ISKCON_Swamis/ISKCON_Swamis_-_R_to_Y/His_Holiness_Radhanath_Swami/Lectures/00_-_Year_wise/Devotional_Nectar_-_2015/2015-04-05_Various_-_Valuable_Lessons_From_Ramayana_-_Radhanath_Swami_Coimbatore.mp3", "2015-04-05_Various_-_Valuable_Lessons_From_Ramayana_-_Radhanath_Swami_Coimbatore.mp3")</f>
        <v>2015-04-05_Various_-_Valuable_Lessons_From_Ramayana_-_Radhanath_Swami_Coimbatore.mp3</v>
      </c>
      <c r="D2850" s="24"/>
      <c r="E2850" s="24"/>
    </row>
    <row r="2851">
      <c r="A2851" s="25" t="s">
        <v>18352</v>
      </c>
      <c r="B2851" s="25" t="s">
        <v>18379</v>
      </c>
      <c r="C2851" s="26" t="str">
        <f>HYPERLINK("https://audio.iskcondesiretree.com/02_-_ISKCON_Swamis/ISKCON_Swamis_-_R_to_Y/His_Holiness_Radhanath_Swami/Lectures/00_-_Year_wise/Devotional_Nectar_-_2015/2015-04-12_SB-10-60-37_-_Imports_of_Word_Niskincanah_-_Radhanath_Swami_ISKCON_Chowpatty.mp3", "2015-04-12_SB-10-60-37_-_Imports_of_Word_Niskincanah_-_Radhanath_Swami_ISKCON_Chowpatty.mp3")</f>
        <v>2015-04-12_SB-10-60-37_-_Imports_of_Word_Niskincanah_-_Radhanath_Swami_ISKCON_Chowpatty.mp3</v>
      </c>
      <c r="D2851" s="24"/>
      <c r="E2851" s="24"/>
    </row>
    <row r="2852">
      <c r="A2852" s="25" t="s">
        <v>18352</v>
      </c>
      <c r="B2852" s="25" t="s">
        <v>18379</v>
      </c>
      <c r="C2852" s="26" t="str">
        <f>HYPERLINK("https://audio.iskcondesiretree.com/02_-_ISKCON_Swamis/ISKCON_Swamis_-_R_to_Y/His_Holiness_Radhanath_Swami/Lectures/00_-_Year_wise/Devotional_Nectar_-_2015/2015-04-29_SB_07-09-44_-_Radhanath_Swami_ISKCON_London.mp3", "2015-04-29_SB_07-09-44_-_Radhanath_Swami_ISKCON_London.mp3")</f>
        <v>2015-04-29_SB_07-09-44_-_Radhanath_Swami_ISKCON_London.mp3</v>
      </c>
      <c r="D2852" s="24"/>
      <c r="E2852" s="24"/>
    </row>
    <row r="2853">
      <c r="A2853" s="25" t="s">
        <v>18352</v>
      </c>
      <c r="B2853" s="25" t="s">
        <v>18379</v>
      </c>
      <c r="C2853" s="26" t="str">
        <f>HYPERLINK("https://audio.iskcondesiretree.com/02_-_ISKCON_Swamis/ISKCON_Swamis_-_R_to_Y/His_Holiness_Radhanath_Swami/Lectures/00_-_Year_wise/Devotional_Nectar_-_2015/2015-05_SB_05-18-09_-_Radhanath_Swami_North_Carolina.mp3", "2015-05_SB_05-18-09_-_Radhanath_Swami_North_Carolina.mp3")</f>
        <v>2015-05_SB_05-18-09_-_Radhanath_Swami_North_Carolina.mp3</v>
      </c>
      <c r="D2853" s="24"/>
      <c r="E2853" s="24"/>
    </row>
    <row r="2854">
      <c r="A2854" s="25" t="s">
        <v>18352</v>
      </c>
      <c r="B2854" s="25" t="s">
        <v>18379</v>
      </c>
      <c r="C2854" s="26" t="str">
        <f>HYPERLINK("https://audio.iskcondesiretree.com/02_-_ISKCON_Swamis/ISKCON_Swamis_-_R_to_Y/His_Holiness_Radhanath_Swami/Lectures/00_-_Year_wise/Devotional_Nectar_-_2015/2015-06-30_SB_09-06-48_-_Radhanath_Swami_Los_Angeles.mp3", "2015-06-30_SB_09-06-48_-_Radhanath_Swami_Los_Angeles.mp3")</f>
        <v>2015-06-30_SB_09-06-48_-_Radhanath_Swami_Los_Angeles.mp3</v>
      </c>
      <c r="D2854" s="24"/>
      <c r="E2854" s="24"/>
    </row>
    <row r="2855">
      <c r="A2855" s="25" t="s">
        <v>18352</v>
      </c>
      <c r="B2855" s="25" t="s">
        <v>18379</v>
      </c>
      <c r="C2855" s="26" t="str">
        <f>HYPERLINK("https://audio.iskcondesiretree.com/02_-_ISKCON_Swamis/ISKCON_Swamis_-_R_to_Y/His_Holiness_Radhanath_Swami/Lectures/00_-_Year_wise/Devotional_Nectar_-_2015/2015-07-01_Various_-_What_is_Yoga_-_Radhanath_Swami_Veda_Yoga_Center.mp3", "2015-07-01_Various_-_What_is_Yoga_-_Radhanath_Swami_Veda_Yoga_Center.mp3")</f>
        <v>2015-07-01_Various_-_What_is_Yoga_-_Radhanath_Swami_Veda_Yoga_Center.mp3</v>
      </c>
      <c r="D2855" s="24"/>
      <c r="E2855" s="24"/>
    </row>
    <row r="2856">
      <c r="A2856" s="25" t="s">
        <v>18352</v>
      </c>
      <c r="B2856" s="25" t="s">
        <v>18379</v>
      </c>
      <c r="C2856" s="26" t="str">
        <f>HYPERLINK("https://audio.iskcondesiretree.com/02_-_ISKCON_Swamis/ISKCON_Swamis_-_R_to_Y/His_Holiness_Radhanath_Swami/Lectures/00_-_Year_wise/Devotional_Nectar_-_2015/2015-07-03_Various_-_Every_human_being_has_Limitness_Desire_-_Radhanath_Swami_Camarillo.mp3", "2015-07-03_Various_-_Every_human_being_has_Limitness_Desire_-_Radhanath_Swami_Camarillo.mp3")</f>
        <v>2015-07-03_Various_-_Every_human_being_has_Limitness_Desire_-_Radhanath_Swami_Camarillo.mp3</v>
      </c>
      <c r="D2856" s="24"/>
      <c r="E2856" s="24"/>
    </row>
    <row r="2857">
      <c r="A2857" s="25" t="s">
        <v>18352</v>
      </c>
      <c r="B2857" s="25" t="s">
        <v>18379</v>
      </c>
      <c r="C2857" s="26" t="str">
        <f>HYPERLINK("https://audio.iskcondesiretree.com/02_-_ISKCON_Swamis/ISKCON_Swamis_-_R_to_Y/His_Holiness_Radhanath_Swami/Lectures/00_-_Year_wise/Devotional_Nectar_-_2015/2015-07-07_SB_09-07-08_-_Radhanath_Swami_Los_Angeles.mp3", "2015-07-07_SB_09-07-08_-_Radhanath_Swami_Los_Angeles.mp3")</f>
        <v>2015-07-07_SB_09-07-08_-_Radhanath_Swami_Los_Angeles.mp3</v>
      </c>
      <c r="D2857" s="24"/>
      <c r="E2857" s="24"/>
    </row>
    <row r="2858">
      <c r="A2858" s="25" t="s">
        <v>18352</v>
      </c>
      <c r="B2858" s="25" t="s">
        <v>18379</v>
      </c>
      <c r="C2858" s="26" t="str">
        <f>HYPERLINK("https://audio.iskcondesiretree.com/02_-_ISKCON_Swamis/ISKCON_Swamis_-_R_to_Y/His_Holiness_Radhanath_Swami/Lectures/00_-_Year_wise/Devotional_Nectar_-_2015/2015-07_Various_-_Compassionate_-_Radhanath_Swami_Yogalution_Movement_Ayurveda.mp3", "2015-07_Various_-_Compassionate_-_Radhanath_Swami_Yogalution_Movement_Ayurveda.mp3")</f>
        <v>2015-07_Various_-_Compassionate_-_Radhanath_Swami_Yogalution_Movement_Ayurveda.mp3</v>
      </c>
      <c r="D2858" s="24"/>
      <c r="E2858" s="24"/>
    </row>
    <row r="2859">
      <c r="A2859" s="25" t="s">
        <v>18352</v>
      </c>
      <c r="B2859" s="25" t="s">
        <v>18379</v>
      </c>
      <c r="C2859" s="26" t="str">
        <f>HYPERLINK("https://audio.iskcondesiretree.com/02_-_ISKCON_Swamis/ISKCON_Swamis_-_R_to_Y/His_Holiness_Radhanath_Swami/Lectures/00_-_Year_wise/Devotional_Nectar_-_2015/2015-08-22_Prerana_-_Jaladuta-A_Historic_Voyage_-_Radhanath_Swami_ISKCON_Chowpatty.mp3", "2015-08-22_Prerana_-_Jaladuta-A_Historic_Voyage_-_Radhanath_Swami_ISKCON_Chowpatty.mp3")</f>
        <v>2015-08-22_Prerana_-_Jaladuta-A_Historic_Voyage_-_Radhanath_Swami_ISKCON_Chowpatty.mp3</v>
      </c>
      <c r="D2859" s="24"/>
      <c r="E2859" s="24"/>
    </row>
    <row r="2860">
      <c r="A2860" s="25" t="s">
        <v>18352</v>
      </c>
      <c r="B2860" s="25" t="s">
        <v>18379</v>
      </c>
      <c r="C2860" s="26" t="str">
        <f>HYPERLINK("https://audio.iskcondesiretree.com/02_-_ISKCON_Swamis/ISKCON_Swamis_-_R_to_Y/His_Holiness_Radhanath_Swami/Lectures/00_-_Year_wise/Devotional_Nectar_-_2015/2015-08-22_SB-10-67-04_-_Beware_of_Spritiual_Crisis_-_Radhanath_Swami_ISKCON_Chowpatty.mp3", "2015-08-22_SB-10-67-04_-_Beware_of_Spritiual_Crisis_-_Radhanath_Swami_ISKCON_Chowpatty.mp3")</f>
        <v>2015-08-22_SB-10-67-04_-_Beware_of_Spritiual_Crisis_-_Radhanath_Swami_ISKCON_Chowpatty.mp3</v>
      </c>
      <c r="D2860" s="24"/>
      <c r="E2860" s="24"/>
    </row>
    <row r="2861">
      <c r="A2861" s="25" t="s">
        <v>18352</v>
      </c>
      <c r="B2861" s="25" t="s">
        <v>18379</v>
      </c>
      <c r="C2861" s="26" t="str">
        <f>HYPERLINK("https://audio.iskcondesiretree.com/02_-_ISKCON_Swamis/ISKCON_Swamis_-_R_to_Y/His_Holiness_Radhanath_Swami/Lectures/00_-_Year_wise/Devotional_Nectar_-_2015/2015-08-28_Various_-_Lessons_from_Churning_of_Milk_Ocean_-_Radhanath_Swami_Kumbha_Mela_Nasik.mp3", "2015-08-28_Various_-_Lessons_from_Churning_of_Milk_Ocean_-_Radhanath_Swami_Kumbha_Mela_Nasik.mp3")</f>
        <v>2015-08-28_Various_-_Lessons_from_Churning_of_Milk_Ocean_-_Radhanath_Swami_Kumbha_Mela_Nasik.mp3</v>
      </c>
      <c r="D2861" s="24"/>
      <c r="E2861" s="24"/>
    </row>
    <row r="2862">
      <c r="A2862" s="25" t="s">
        <v>18352</v>
      </c>
      <c r="B2862" s="25" t="s">
        <v>18379</v>
      </c>
      <c r="C2862" s="26" t="str">
        <f>HYPERLINK("https://audio.iskcondesiretree.com/02_-_ISKCON_Swamis/ISKCON_Swamis_-_R_to_Y/His_Holiness_Radhanath_Swami/Lectures/00_-_Year_wise/Devotional_Nectar_-_2015/2015-08-28_Various_-_Pastimes_and_Glories_of_Nasik_Dham_-_Radhanath_Swami_ISKCON_Nasik.mp3", "2015-08-28_Various_-_Pastimes_and_Glories_of_Nasik_Dham_-_Radhanath_Swami_ISKCON_Nasik.mp3")</f>
        <v>2015-08-28_Various_-_Pastimes_and_Glories_of_Nasik_Dham_-_Radhanath_Swami_ISKCON_Nasik.mp3</v>
      </c>
      <c r="D2862" s="24"/>
      <c r="E2862" s="24"/>
    </row>
    <row r="2863">
      <c r="A2863" s="25" t="s">
        <v>18352</v>
      </c>
      <c r="B2863" s="25" t="s">
        <v>18379</v>
      </c>
      <c r="C2863" s="26" t="str">
        <f>HYPERLINK("https://audio.iskcondesiretree.com/02_-_ISKCON_Swamis/ISKCON_Swamis_-_R_to_Y/His_Holiness_Radhanath_Swami/Lectures/00_-_Year_wise/Devotional_Nectar_-_2015/2015-08-29_SB_08-02-32_-_The_Elephant_Gajendra%E2%80%99s_Crisis_-_Radhanath_Swami_Kumbha%20Mela_Nasi"&amp;"k.mp3", "2015-08-29_SB_08-02-32_-_The_Elephant_Gajendra%E2%80%99s_Crisis_-_Radhanath_Swami_Kumbha%20Mela_Nasik.mp3")</f>
        <v>2015-08-29_SB_08-02-32_-_The_Elephant_Gajendra%E2%80%99s_Crisis_-_Radhanath_Swami_Kumbha%20Mela_Nasik.mp3</v>
      </c>
      <c r="D2863" s="24"/>
      <c r="E2863" s="24"/>
    </row>
    <row r="2864">
      <c r="A2864" s="25" t="s">
        <v>18352</v>
      </c>
      <c r="B2864" s="25" t="s">
        <v>18379</v>
      </c>
      <c r="C2864" s="26" t="str">
        <f>HYPERLINK("https://audio.iskcondesiretree.com/02_-_ISKCON_Swamis/ISKCON_Swamis_-_R_to_Y/His_Holiness_Radhanath_Swami/Lectures/00_-_Year_wise/Devotional_Nectar_-_2015/2015-08-29_Various_-_Glories_of_Lord_Balarama_-_Radhanath_Swami_Kumbha_Mela_Nasik.mp3", "2015-08-29_Various_-_Glories_of_Lord_Balarama_-_Radhanath_Swami_Kumbha_Mela_Nasik.mp3")</f>
        <v>2015-08-29_Various_-_Glories_of_Lord_Balarama_-_Radhanath_Swami_Kumbha_Mela_Nasik.mp3</v>
      </c>
      <c r="D2864" s="24"/>
      <c r="E2864" s="24"/>
    </row>
    <row r="2865">
      <c r="A2865" s="25" t="s">
        <v>18352</v>
      </c>
      <c r="B2865" s="25" t="s">
        <v>18379</v>
      </c>
      <c r="C2865" s="26" t="str">
        <f>HYPERLINK("https://audio.iskcondesiretree.com/02_-_ISKCON_Swamis/ISKCON_Swamis_-_R_to_Y/His_Holiness_Radhanath_Swami/Lectures/00_-_Year_wise/Devotional_Nectar_-_2015/2015-09-05_Festivals_-_Janmastami_Talk_-_Radhanath_Swami_Omega.mp3", "2015-09-05_Festivals_-_Janmastami_Talk_-_Radhanath_Swami_Omega.mp3")</f>
        <v>2015-09-05_Festivals_-_Janmastami_Talk_-_Radhanath_Swami_Omega.mp3</v>
      </c>
      <c r="D2865" s="24"/>
      <c r="E2865" s="24"/>
    </row>
    <row r="2866">
      <c r="A2866" s="25" t="s">
        <v>18352</v>
      </c>
      <c r="B2866" s="25" t="s">
        <v>18379</v>
      </c>
      <c r="C2866" s="26" t="str">
        <f>HYPERLINK("https://audio.iskcondesiretree.com/02_-_ISKCON_Swamis/ISKCON_Swamis_-_R_to_Y/His_Holiness_Radhanath_Swami/Lectures/00_-_Year_wise/Devotional_Nectar_-_2015/2015-09-06_Festivals_-_Srila_Prabhupada_Appearance_-_Radhanath_Swami_Omega.mp3", "2015-09-06_Festivals_-_Srila_Prabhupada_Appearance_-_Radhanath_Swami_Omega.mp3")</f>
        <v>2015-09-06_Festivals_-_Srila_Prabhupada_Appearance_-_Radhanath_Swami_Omega.mp3</v>
      </c>
      <c r="D2866" s="24"/>
      <c r="E2866" s="24"/>
    </row>
    <row r="2867">
      <c r="A2867" s="25" t="s">
        <v>18352</v>
      </c>
      <c r="B2867" s="25" t="s">
        <v>18379</v>
      </c>
      <c r="C2867" s="26" t="str">
        <f>HYPERLINK("https://audio.iskcondesiretree.com/02_-_ISKCON_Swamis/ISKCON_Swamis_-_R_to_Y/His_Holiness_Radhanath_Swami/Lectures/00_-_Year_wise/Devotional_Nectar_-_2015/2015-09-09_Various_-_Bhakti_Fest-Bhakti_means_to_Love_-_Radhanath_Swami_California.mp3", "2015-09-09_Various_-_Bhakti_Fest-Bhakti_means_to_Love_-_Radhanath_Swami_California.mp3")</f>
        <v>2015-09-09_Various_-_Bhakti_Fest-Bhakti_means_to_Love_-_Radhanath_Swami_California.mp3</v>
      </c>
      <c r="D2867" s="24"/>
      <c r="E2867" s="24"/>
    </row>
    <row r="2868">
      <c r="A2868" s="25" t="s">
        <v>18352</v>
      </c>
      <c r="B2868" s="25" t="s">
        <v>18379</v>
      </c>
      <c r="C2868" s="26" t="str">
        <f>HYPERLINK("https://audio.iskcondesiretree.com/02_-_ISKCON_Swamis/ISKCON_Swamis_-_R_to_Y/His_Holiness_Radhanath_Swami/Lectures/00_-_Year_wise/Devotional_Nectar_-_2015/2015-09-10_Various_-_Bhakti_Fest-Three_Gunas_-_Radhanath_Swami_California.mp3", "2015-09-10_Various_-_Bhakti_Fest-Three_Gunas_-_Radhanath_Swami_California.mp3")</f>
        <v>2015-09-10_Various_-_Bhakti_Fest-Three_Gunas_-_Radhanath_Swami_California.mp3</v>
      </c>
      <c r="D2868" s="24"/>
      <c r="E2868" s="24"/>
    </row>
    <row r="2869">
      <c r="A2869" s="25" t="s">
        <v>18352</v>
      </c>
      <c r="B2869" s="25" t="s">
        <v>18379</v>
      </c>
      <c r="C2869" s="26" t="str">
        <f>HYPERLINK("https://audio.iskcondesiretree.com/02_-_ISKCON_Swamis/ISKCON_Swamis_-_R_to_Y/His_Holiness_Radhanath_Swami/Lectures/00_-_Year_wise/Devotional_Nectar_-_2015/2015-09-11_Various_-_Bhakti_Fest-Jatayu_Helping_Mother_Sita_-_Radhanath_Swami_California.mp3", "2015-09-11_Various_-_Bhakti_Fest-Jatayu_Helping_Mother_Sita_-_Radhanath_Swami_California.mp3")</f>
        <v>2015-09-11_Various_-_Bhakti_Fest-Jatayu_Helping_Mother_Sita_-_Radhanath_Swami_California.mp3</v>
      </c>
      <c r="D2869" s="24"/>
      <c r="E2869" s="24"/>
    </row>
    <row r="2870">
      <c r="A2870" s="25" t="s">
        <v>18352</v>
      </c>
      <c r="B2870" s="25" t="s">
        <v>18379</v>
      </c>
      <c r="C2870" s="26" t="str">
        <f>HYPERLINK("https://audio.iskcondesiretree.com/02_-_ISKCON_Swamis/ISKCON_Swamis_-_R_to_Y/His_Holiness_Radhanath_Swami/Lectures/00_-_Year_wise/Devotional_Nectar_-_2015/2015-09-13_Various_-_Bhakti_Fest-Spiritual_Path_-_Radhanath_Swami_California.mp3", "2015-09-13_Various_-_Bhakti_Fest-Spiritual_Path_-_Radhanath_Swami_California.mp3")</f>
        <v>2015-09-13_Various_-_Bhakti_Fest-Spiritual_Path_-_Radhanath_Swami_California.mp3</v>
      </c>
      <c r="D2870" s="24"/>
      <c r="E2870" s="24"/>
    </row>
    <row r="2871">
      <c r="A2871" s="25" t="s">
        <v>18352</v>
      </c>
      <c r="B2871" s="25" t="s">
        <v>18379</v>
      </c>
      <c r="C2871" s="26" t="str">
        <f>HYPERLINK("https://audio.iskcondesiretree.com/02_-_ISKCON_Swamis/ISKCON_Swamis_-_R_to_Y/His_Holiness_Radhanath_Swami/Lectures/00_-_Year_wise/Devotional_Nectar_-_2015/2015-09-13_Various_-_Srila_Prabhupada_Arrival_in_USA_-_Radhanath_Swami_Los_Angeles.mp3", "2015-09-13_Various_-_Srila_Prabhupada_Arrival_in_USA_-_Radhanath_Swami_Los_Angeles.mp3")</f>
        <v>2015-09-13_Various_-_Srila_Prabhupada_Arrival_in_USA_-_Radhanath_Swami_Los_Angeles.mp3</v>
      </c>
      <c r="D2871" s="24"/>
      <c r="E2871" s="24"/>
    </row>
    <row r="2872">
      <c r="A2872" s="25" t="s">
        <v>18352</v>
      </c>
      <c r="B2872" s="25" t="s">
        <v>18379</v>
      </c>
      <c r="C2872" s="26" t="str">
        <f>HYPERLINK("https://audio.iskcondesiretree.com/02_-_ISKCON_Swamis/ISKCON_Swamis_-_R_to_Y/His_Holiness_Radhanath_Swami/Lectures/00_-_Year_wise/Devotional_Nectar_-_2015/2015-09-16_Festivals_-_Sannyasa_Initiation_of_Amal_Bhakta_Swami_-_Radhanath_Swami_Los_Angeles.mp3", "2015-09-16_Festivals_-_Sannyasa_Initiation_of_Amal_Bhakta_Swami_-_Radhanath_Swami_Los_Angeles.mp3")</f>
        <v>2015-09-16_Festivals_-_Sannyasa_Initiation_of_Amal_Bhakta_Swami_-_Radhanath_Swami_Los_Angeles.mp3</v>
      </c>
      <c r="D2872" s="24"/>
      <c r="E2872" s="24"/>
    </row>
    <row r="2873">
      <c r="A2873" s="25" t="s">
        <v>18352</v>
      </c>
      <c r="B2873" s="25" t="s">
        <v>18379</v>
      </c>
      <c r="C2873" s="26" t="str">
        <f>HYPERLINK("https://audio.iskcondesiretree.com/02_-_ISKCON_Swamis/ISKCON_Swamis_-_R_to_Y/His_Holiness_Radhanath_Swami/Lectures/00_-_Year_wise/Devotional_Nectar_-_2015/2015-09-21_Festivals_-_Sri_Radhastami_-_Radhanath_Swami_New_Jersey.mp3", "2015-09-21_Festivals_-_Sri_Radhastami_-_Radhanath_Swami_New_Jersey.mp3")</f>
        <v>2015-09-21_Festivals_-_Sri_Radhastami_-_Radhanath_Swami_New_Jersey.mp3</v>
      </c>
      <c r="D2873" s="24"/>
      <c r="E2873" s="24"/>
    </row>
    <row r="2874">
      <c r="A2874" s="25" t="s">
        <v>18352</v>
      </c>
      <c r="B2874" s="25" t="s">
        <v>18379</v>
      </c>
      <c r="C2874" s="26" t="str">
        <f>HYPERLINK("https://audio.iskcondesiretree.com/02_-_ISKCON_Swamis/ISKCON_Swamis_-_R_to_Y/His_Holiness_Radhanath_Swami/Lectures/00_-_Year_wise/Devotional_Nectar_-_2015/2015-09-22_Festivals_-_Sri_Radhastami_Pearl_Festival_-_Radhanath_Swami_New%20York.mp3", "2015-09-22_Festivals_-_Sri_Radhastami_Pearl_Festival_-_Radhanath_Swami_New%20York.mp3")</f>
        <v>2015-09-22_Festivals_-_Sri_Radhastami_Pearl_Festival_-_Radhanath_Swami_New%20York.mp3</v>
      </c>
      <c r="D2874" s="24"/>
      <c r="E2874" s="24"/>
    </row>
    <row r="2875">
      <c r="A2875" s="25" t="s">
        <v>18352</v>
      </c>
      <c r="B2875" s="25" t="s">
        <v>18379</v>
      </c>
      <c r="C2875" s="26" t="str">
        <f>HYPERLINK("https://audio.iskcondesiretree.com/02_-_ISKCON_Swamis/ISKCON_Swamis_-_R_to_Y/His_Holiness_Radhanath_Swami/Lectures/00_-_Year_wise/Devotional_Nectar_-_2015/2015-09_Various_-_India_Conference-Maharaja%27s_Experiences_-_Radhanath_Sw_Boston.mp3", "2015-09_Various_-_India_Conference-Maharaja%27s_Experiences_-_Radhanath_Sw_Boston.mp3")</f>
        <v>2015-09_Various_-_India_Conference-Maharaja%27s_Experiences_-_Radhanath_Sw_Boston.mp3</v>
      </c>
      <c r="D2875" s="24"/>
      <c r="E2875" s="24"/>
    </row>
    <row r="2876">
      <c r="A2876" s="25" t="s">
        <v>18352</v>
      </c>
      <c r="B2876" s="25" t="s">
        <v>18379</v>
      </c>
      <c r="C2876" s="26" t="str">
        <f>HYPERLINK("https://audio.iskcondesiretree.com/02_-_ISKCON_Swamis/ISKCON_Swamis_-_R_to_Y/His_Holiness_Radhanath_Swami/Lectures/00_-_Year_wise/Devotional_Nectar_-_2015/2015-10-18_SB_04-30-08_-_Importance_of_Co-operation_among_Devotees_-_Radhanath_Swami_GEV_Wada.mp3", "2015-10-18_SB_04-30-08_-_Importance_of_Co-operation_among_Devotees_-_Radhanath_Swami_GEV_Wada.mp3")</f>
        <v>2015-10-18_SB_04-30-08_-_Importance_of_Co-operation_among_Devotees_-_Radhanath_Swami_GEV_Wada.mp3</v>
      </c>
      <c r="D2876" s="24"/>
      <c r="E2876" s="24"/>
    </row>
    <row r="2877">
      <c r="A2877" s="25" t="s">
        <v>18352</v>
      </c>
      <c r="B2877" s="25" t="s">
        <v>18379</v>
      </c>
      <c r="C2877" s="26" t="str">
        <f>HYPERLINK("https://audio.iskcondesiretree.com/02_-_ISKCON_Swamis/ISKCON_Swamis_-_R_to_Y/His_Holiness_Radhanath_Swami/Lectures/00_-_Year_wise/Devotional_Nectar_-_2015/2015-10-27_Various_-_Krishna%27s_Power_to_Receive_and_Give_Love_Is_Unlimited_-_Radhanath_Swami.mp3", "2015-10-27_Various_-_Krishna%27s_Power_to_Receive_and_Give_Love_Is_Unlimited_-_Radhanath_Swami.mp3")</f>
        <v>2015-10-27_Various_-_Krishna%27s_Power_to_Receive_and_Give_Love_Is_Unlimited_-_Radhanath_Swami.mp3</v>
      </c>
      <c r="D2877" s="24"/>
      <c r="E2877" s="24"/>
    </row>
    <row r="2878">
      <c r="A2878" s="25" t="s">
        <v>18352</v>
      </c>
      <c r="B2878" s="25" t="s">
        <v>18379</v>
      </c>
      <c r="C2878" s="26" t="str">
        <f>HYPERLINK("https://audio.iskcondesiretree.com/02_-_ISKCON_Swamis/ISKCON_Swamis_-_R_to_Y/His_Holiness_Radhanath_Swami/Lectures/00_-_Year_wise/Devotional_Nectar_-_2015/2015-11-25_Various_-_Special_Kartik_Purnima_Class_-_Radhanath_Swami_Bhaktivedanta_Manor.mp3", "2015-11-25_Various_-_Special_Kartik_Purnima_Class_-_Radhanath_Swami_Bhaktivedanta_Manor.mp3")</f>
        <v>2015-11-25_Various_-_Special_Kartik_Purnima_Class_-_Radhanath_Swami_Bhaktivedanta_Manor.mp3</v>
      </c>
      <c r="D2878" s="24"/>
      <c r="E2878" s="24"/>
    </row>
    <row r="2879">
      <c r="A2879" s="25" t="s">
        <v>18352</v>
      </c>
      <c r="B2879" s="25" t="s">
        <v>18379</v>
      </c>
      <c r="C2879" s="26" t="str">
        <f>HYPERLINK("https://audio.iskcondesiretree.com/02_-_ISKCON_Swamis/ISKCON_Swamis_-_R_to_Y/His_Holiness_Radhanath_Swami/Lectures/00_-_Year_wise/Devotional_Nectar_-_2015/2015-12-08_SB_08-04-03-04_-_Radhanath_Swami_Dallas.mp3", "2015-12-08_SB_08-04-03-04_-_Radhanath_Swami_Dallas.mp3")</f>
        <v>2015-12-08_SB_08-04-03-04_-_Radhanath_Swami_Dallas.mp3</v>
      </c>
      <c r="D2879" s="24"/>
      <c r="E2879" s="24"/>
    </row>
    <row r="2880">
      <c r="A2880" s="25" t="s">
        <v>18352</v>
      </c>
      <c r="B2880" s="25" t="s">
        <v>18379</v>
      </c>
      <c r="C2880" s="26" t="str">
        <f>HYPERLINK("https://audio.iskcondesiretree.com/02_-_ISKCON_Swamis/ISKCON_Swamis_-_R_to_Y/His_Holiness_Radhanath_Swami/Lectures/00_-_Year_wise/Devotional_Nectar_-_2015/2015_SB_05-18-09_-_Radhanath_Swami_North_Carolina.mp3", "2015_SB_05-18-09_-_Radhanath_Swami_North_Carolina.mp3")</f>
        <v>2015_SB_05-18-09_-_Radhanath_Swami_North_Carolina.mp3</v>
      </c>
      <c r="D2880" s="24"/>
      <c r="E2880" s="24"/>
    </row>
    <row r="2881">
      <c r="A2881" s="25" t="s">
        <v>18352</v>
      </c>
      <c r="B2881" s="25" t="s">
        <v>18380</v>
      </c>
      <c r="C2881" s="26" t="str">
        <f>HYPERLINK("https://audio.iskcondesiretree.com/02_-_ISKCON_Swamis/ISKCON_Swamis_-_R_to_Y/His_Holiness_Radhanath_Swami/Lectures/00_-_Year_wise/Devotional_Nectar_-_2016/2016-01-02_SB_04-30-08_-_Developing_Friendship_based_on_Krishna%27s_Terms_-_Radhanath_Swami_GEV.mp3", "2016-01-02_SB_04-30-08_-_Developing_Friendship_based_on_Krishna%27s_Terms_-_Radhanath_Swami_GEV.mp3")</f>
        <v>2016-01-02_SB_04-30-08_-_Developing_Friendship_based_on_Krishna%27s_Terms_-_Radhanath_Swami_GEV.mp3</v>
      </c>
      <c r="D2881" s="24"/>
      <c r="E2881" s="24"/>
    </row>
    <row r="2882">
      <c r="A2882" s="25" t="s">
        <v>18352</v>
      </c>
      <c r="B2882" s="25" t="s">
        <v>18380</v>
      </c>
      <c r="C2882" s="26" t="str">
        <f>HYPERLINK("https://audio.iskcondesiretree.com/02_-_ISKCON_Swamis/ISKCON_Swamis_-_R_to_Y/His_Holiness_Radhanath_Swami/Lectures/00_-_Year_wise/Devotional_Nectar_-_2016/2016-01-09_Various_-_Wealth-The_Double_Edge_Sword_-_Radhanath_Swami_Artha_GEV.mp3", "2016-01-09_Various_-_Wealth-The_Double_Edge_Sword_-_Radhanath_Swami_Artha_GEV.mp3")</f>
        <v>2016-01-09_Various_-_Wealth-The_Double_Edge_Sword_-_Radhanath_Swami_Artha_GEV.mp3</v>
      </c>
      <c r="D2882" s="24"/>
      <c r="E2882" s="24"/>
    </row>
    <row r="2883">
      <c r="A2883" s="25" t="s">
        <v>18352</v>
      </c>
      <c r="B2883" s="25" t="s">
        <v>18380</v>
      </c>
      <c r="C2883" s="26" t="str">
        <f>HYPERLINK("https://audio.iskcondesiretree.com/02_-_ISKCON_Swamis/ISKCON_Swamis_-_R_to_Y/His_Holiness_Radhanath_Swami/Lectures/00_-_Year_wise/Devotional_Nectar_-_2016/2016-01-15_Various_-_Integrity_and_Compassion_-_Radhanath_Swami_Sunil_Sanghai_House.mp3", "2016-01-15_Various_-_Integrity_and_Compassion_-_Radhanath_Swami_Sunil_Sanghai_House.mp3")</f>
        <v>2016-01-15_Various_-_Integrity_and_Compassion_-_Radhanath_Swami_Sunil_Sanghai_House.mp3</v>
      </c>
      <c r="D2883" s="24"/>
      <c r="E2883" s="24"/>
    </row>
    <row r="2884">
      <c r="A2884" s="25" t="s">
        <v>18352</v>
      </c>
      <c r="B2884" s="25" t="s">
        <v>18380</v>
      </c>
      <c r="C2884" s="26" t="str">
        <f>HYPERLINK("https://audio.iskcondesiretree.com/02_-_ISKCON_Swamis/ISKCON_Swamis_-_R_to_Y/His_Holiness_Radhanath_Swami/Lectures/00_-_Year_wise/Devotional_Nectar_-_2016/2016-01-31_SB_10-74-36_-_Vaishnav_means_No_Envy_-_Radhanath_Swami_ISKCON_Chowpatty.mp3", "2016-01-31_SB_10-74-36_-_Vaishnav_means_No_Envy_-_Radhanath_Swami_ISKCON_Chowpatty.mp3")</f>
        <v>2016-01-31_SB_10-74-36_-_Vaishnav_means_No_Envy_-_Radhanath_Swami_ISKCON_Chowpatty.mp3</v>
      </c>
      <c r="D2884" s="24"/>
      <c r="E2884" s="24"/>
    </row>
    <row r="2885">
      <c r="A2885" s="25" t="s">
        <v>18352</v>
      </c>
      <c r="B2885" s="25" t="s">
        <v>18380</v>
      </c>
      <c r="C2885" s="26" t="str">
        <f>HYPERLINK("https://audio.iskcondesiretree.com/02_-_ISKCON_Swamis/ISKCON_Swamis_-_R_to_Y/His_Holiness_Radhanath_Swami/Lectures/00_-_Year_wise/Devotional_Nectar_-_2016/2016-02-06_SB_07-07-43_-_How_Srila_Prabhupada_Established_ISKCON_-_Radhanath_Swami_Juhu.mp3", "2016-02-06_SB_07-07-43_-_How_Srila_Prabhupada_Established_ISKCON_-_Radhanath_Swami_Juhu.mp3")</f>
        <v>2016-02-06_SB_07-07-43_-_How_Srila_Prabhupada_Established_ISKCON_-_Radhanath_Swami_Juhu.mp3</v>
      </c>
      <c r="D2885" s="24"/>
      <c r="E2885" s="24"/>
    </row>
    <row r="2886">
      <c r="A2886" s="25" t="s">
        <v>18352</v>
      </c>
      <c r="B2886" s="25" t="s">
        <v>18380</v>
      </c>
      <c r="C2886" s="26" t="str">
        <f>HYPERLINK("https://audio.iskcondesiretree.com/02_-_ISKCON_Swamis/ISKCON_Swamis_-_R_to_Y/His_Holiness_Radhanath_Swami/Lectures/00_-_Year_wise/Devotional_Nectar_-_2016/2016-02-12_Various_-_Six_C%27s_of_Community_Building_-_Radhanath_Swami_Vasco.mp3", "2016-02-12_Various_-_Six_C%27s_of_Community_Building_-_Radhanath_Swami_Vasco.mp3")</f>
        <v>2016-02-12_Various_-_Six_C%27s_of_Community_Building_-_Radhanath_Swami_Vasco.mp3</v>
      </c>
      <c r="D2886" s="24"/>
      <c r="E2886" s="24"/>
    </row>
    <row r="2887">
      <c r="A2887" s="25" t="s">
        <v>18352</v>
      </c>
      <c r="B2887" s="25" t="s">
        <v>18380</v>
      </c>
      <c r="C2887" s="26" t="str">
        <f>HYPERLINK("https://audio.iskcondesiretree.com/02_-_ISKCON_Swamis/ISKCON_Swamis_-_R_to_Y/His_Holiness_Radhanath_Swami/Lectures/00_-_Year_wise/Devotional_Nectar_-_2016/2016-02-13_Various_-_Journey_Home_Experiences_-_Radhanath_Swami_Panjim.mp3", "2016-02-13_Various_-_Journey_Home_Experiences_-_Radhanath_Swami_Panjim.mp3")</f>
        <v>2016-02-13_Various_-_Journey_Home_Experiences_-_Radhanath_Swami_Panjim.mp3</v>
      </c>
      <c r="D2887" s="24"/>
      <c r="E2887" s="24"/>
    </row>
    <row r="2888">
      <c r="A2888" s="25" t="s">
        <v>18352</v>
      </c>
      <c r="B2888" s="25" t="s">
        <v>18380</v>
      </c>
      <c r="C2888" s="26" t="str">
        <f>HYPERLINK("https://audio.iskcondesiretree.com/02_-_ISKCON_Swamis/ISKCON_Swamis_-_R_to_Y/His_Holiness_Radhanath_Swami/Lectures/00_-_Year_wise/Devotional_Nectar_-_2016/2016-02-14_Various_-_Yoga_of_Love_-_Radhanath_Swami_Panjim.mp3", "2016-02-14_Various_-_Yoga_of_Love_-_Radhanath_Swami_Panjim.mp3")</f>
        <v>2016-02-14_Various_-_Yoga_of_Love_-_Radhanath_Swami_Panjim.mp3</v>
      </c>
      <c r="D2888" s="24"/>
      <c r="E2888" s="24"/>
    </row>
    <row r="2889">
      <c r="A2889" s="25" t="s">
        <v>18352</v>
      </c>
      <c r="B2889" s="25" t="s">
        <v>18380</v>
      </c>
      <c r="C2889" s="26" t="str">
        <f>HYPERLINK("https://audio.iskcondesiretree.com/02_-_ISKCON_Swamis/ISKCON_Swamis_-_R_to_Y/His_Holiness_Radhanath_Swami/Lectures/00_-_Year_wise/Devotional_Nectar_-_2016/2016-02-15_Various_-_We_Advance_by_Showing_Gratitude_towards_Great_Souls_-_Radhanath_Swami_Belgaum.m"&amp;"p3", "2016-02-15_Various_-_We_Advance_by_Showing_Gratitude_towards_Great_Souls_-_Radhanath_Swami_Belgaum.mp3")</f>
        <v>2016-02-15_Various_-_We_Advance_by_Showing_Gratitude_towards_Great_Souls_-_Radhanath_Swami_Belgaum.mp3</v>
      </c>
      <c r="D2889" s="24"/>
      <c r="E2889" s="24"/>
    </row>
    <row r="2890">
      <c r="A2890" s="25" t="s">
        <v>18352</v>
      </c>
      <c r="B2890" s="25" t="s">
        <v>18380</v>
      </c>
      <c r="C2890" s="26" t="str">
        <f>HYPERLINK("https://audio.iskcondesiretree.com/02_-_ISKCON_Swamis/ISKCON_Swamis_-_R_to_Y/His_Holiness_Radhanath_Swami/Lectures/00_-_Year_wise/Devotional_Nectar_-_2016/2016-02-16_Festivals_-_Glories_of_Vasant_Panchami_-_Radhanath_Swami_Belgaum.mp3", "2016-02-16_Festivals_-_Glories_of_Vasant_Panchami_-_Radhanath_Swami_Belgaum.mp3")</f>
        <v>2016-02-16_Festivals_-_Glories_of_Vasant_Panchami_-_Radhanath_Swami_Belgaum.mp3</v>
      </c>
      <c r="D2890" s="24"/>
      <c r="E2890" s="24"/>
    </row>
    <row r="2891">
      <c r="A2891" s="25" t="s">
        <v>18352</v>
      </c>
      <c r="B2891" s="25" t="s">
        <v>18380</v>
      </c>
      <c r="C2891" s="26" t="str">
        <f>HYPERLINK("https://audio.iskcondesiretree.com/02_-_ISKCON_Swamis/ISKCON_Swamis_-_R_to_Y/His_Holiness_Radhanath_Swami/Lectures/00_-_Year_wise/Devotional_Nectar_-_2016/2016-02-16_Various_-_Journey_Home_Experiences_-_Radhanath_Swami_Kolkata.mp3", "2016-02-16_Various_-_Journey_Home_Experiences_-_Radhanath_Swami_Kolkata.mp3")</f>
        <v>2016-02-16_Various_-_Journey_Home_Experiences_-_Radhanath_Swami_Kolkata.mp3</v>
      </c>
      <c r="D2891" s="24"/>
      <c r="E2891" s="24"/>
    </row>
    <row r="2892">
      <c r="A2892" s="25" t="s">
        <v>18352</v>
      </c>
      <c r="B2892" s="25" t="s">
        <v>18380</v>
      </c>
      <c r="C2892" s="26" t="str">
        <f>HYPERLINK("https://audio.iskcondesiretree.com/02_-_ISKCON_Swamis/ISKCON_Swamis_-_R_to_Y/His_Holiness_Radhanath_Swami/Lectures/00_-_Year_wise/Devotional_Nectar_-_2016/2016-02-20_Festivals_-_Nityananda_Trayodashi_Katha_-_Radhanath_Swami_Kolkata.mp3", "2016-02-20_Festivals_-_Nityananda_Trayodashi_Katha_-_Radhanath_Swami_Kolkata.mp3")</f>
        <v>2016-02-20_Festivals_-_Nityananda_Trayodashi_Katha_-_Radhanath_Swami_Kolkata.mp3</v>
      </c>
      <c r="D2892" s="24"/>
      <c r="E2892" s="24"/>
    </row>
    <row r="2893">
      <c r="A2893" s="25" t="s">
        <v>18352</v>
      </c>
      <c r="B2893" s="25" t="s">
        <v>18380</v>
      </c>
      <c r="C2893" s="26" t="str">
        <f>HYPERLINK("https://audio.iskcondesiretree.com/02_-_ISKCON_Swamis/ISKCON_Swamis_-_R_to_Y/His_Holiness_Radhanath_Swami/Lectures/00_-_Year_wise/Devotional_Nectar_-_2016/2016-02-26_SB_05-18-09_-_Radhanath_Swami_ISKCON_Mayapur.mp3", "2016-02-26_SB_05-18-09_-_Radhanath_Swami_ISKCON_Mayapur.mp3")</f>
        <v>2016-02-26_SB_05-18-09_-_Radhanath_Swami_ISKCON_Mayapur.mp3</v>
      </c>
      <c r="D2893" s="24"/>
      <c r="E2893" s="24"/>
    </row>
    <row r="2894">
      <c r="A2894" s="25" t="s">
        <v>18352</v>
      </c>
      <c r="B2894" s="25" t="s">
        <v>18380</v>
      </c>
      <c r="C2894" s="26" t="str">
        <f>HYPERLINK("https://audio.iskcondesiretree.com/02_-_ISKCON_Swamis/ISKCON_Swamis_-_R_to_Y/His_Holiness_Radhanath_Swami/Lectures/00_-_Year_wise/Devotional_Nectar_-_2016/2016-02-28_Festivals_-_ILS-Appearance_of_Srila_Bhaktisiddhanta_Thakur_-_Radhanath_Swami_Mayapur.mp3", "2016-02-28_Festivals_-_ILS-Appearance_of_Srila_Bhaktisiddhanta_Thakur_-_Radhanath_Swami_Mayapur.mp3")</f>
        <v>2016-02-28_Festivals_-_ILS-Appearance_of_Srila_Bhaktisiddhanta_Thakur_-_Radhanath_Swami_Mayapur.mp3</v>
      </c>
      <c r="D2894" s="24"/>
      <c r="E2894" s="24"/>
    </row>
    <row r="2895">
      <c r="A2895" s="25" t="s">
        <v>18352</v>
      </c>
      <c r="B2895" s="25" t="s">
        <v>18380</v>
      </c>
      <c r="C2895" s="26" t="str">
        <f>HYPERLINK("https://audio.iskcondesiretree.com/02_-_ISKCON_Swamis/ISKCON_Swamis_-_R_to_Y/His_Holiness_Radhanath_Swami/Lectures/00_-_Year_wise/Devotional_Nectar_-_2016/2016-03-13_SB_10-78-07-16_-_Krishna%27s_Great_Multitasking_-_Radhanath_Swami_ISKCON_Chowpatty.mp3", "2016-03-13_SB_10-78-07-16_-_Krishna%27s_Great_Multitasking_-_Radhanath_Swami_ISKCON_Chowpatty.mp3")</f>
        <v>2016-03-13_SB_10-78-07-16_-_Krishna%27s_Great_Multitasking_-_Radhanath_Swami_ISKCON_Chowpatty.mp3</v>
      </c>
      <c r="D2895" s="24"/>
      <c r="E2895" s="24"/>
    </row>
    <row r="2896">
      <c r="A2896" s="25" t="s">
        <v>18352</v>
      </c>
      <c r="B2896" s="25" t="s">
        <v>18380</v>
      </c>
      <c r="C2896" s="26" t="str">
        <f>HYPERLINK("https://audio.iskcondesiretree.com/02_-_ISKCON_Swamis/ISKCON_Swamis_-_R_to_Y/His_Holiness_Radhanath_Swami/Lectures/00_-_Year_wise/Devotional_Nectar_-_2016/2016-04-12_Various_-_Interview_on_The_Journey_Within_by_CBS_Radio_-_Radhanath_Swami_Chicago.mp3", "2016-04-12_Various_-_Interview_on_The_Journey_Within_by_CBS_Radio_-_Radhanath_Swami_Chicago.mp3")</f>
        <v>2016-04-12_Various_-_Interview_on_The_Journey_Within_by_CBS_Radio_-_Radhanath_Swami_Chicago.mp3</v>
      </c>
      <c r="D2896" s="24"/>
      <c r="E2896" s="24"/>
    </row>
    <row r="2897">
      <c r="A2897" s="25" t="s">
        <v>18352</v>
      </c>
      <c r="B2897" s="25" t="s">
        <v>18380</v>
      </c>
      <c r="C2897" s="26" t="str">
        <f>HYPERLINK("https://audio.iskcondesiretree.com/02_-_ISKCON_Swamis/ISKCON_Swamis_-_R_to_Y/His_Holiness_Radhanath_Swami/Lectures/00_-_Year_wise/Devotional_Nectar_-_2016/2016-05-05_Various_-_Six_Obstacles_on_the_path_of_Love_-_Radhanath_Swami_Bhakti_Center.mp3", "2016-05-05_Various_-_Six_Obstacles_on_the_path_of_Love_-_Radhanath_Swami_Bhakti_Center.mp3")</f>
        <v>2016-05-05_Various_-_Six_Obstacles_on_the_path_of_Love_-_Radhanath_Swami_Bhakti_Center.mp3</v>
      </c>
      <c r="D2897" s="24"/>
      <c r="E2897" s="24"/>
    </row>
    <row r="2898">
      <c r="A2898" s="25" t="s">
        <v>18352</v>
      </c>
      <c r="B2898" s="25" t="s">
        <v>18380</v>
      </c>
      <c r="C2898" s="26" t="str">
        <f>HYPERLINK("https://audio.iskcondesiretree.com/02_-_ISKCON_Swamis/ISKCON_Swamis_-_R_to_Y/His_Holiness_Radhanath_Swami/Lectures/00_-_Year_wise/Devotional_Nectar_-_2016/2016-05-18_Various_-_Power_of_Positive_Attitude_-_Radhanath_Swami_Hewlett_Packard_Houston.mp3", "2016-05-18_Various_-_Power_of_Positive_Attitude_-_Radhanath_Swami_Hewlett_Packard_Houston.mp3")</f>
        <v>2016-05-18_Various_-_Power_of_Positive_Attitude_-_Radhanath_Swami_Hewlett_Packard_Houston.mp3</v>
      </c>
      <c r="D2898" s="24"/>
      <c r="E2898" s="24"/>
    </row>
    <row r="2899">
      <c r="A2899" s="25" t="s">
        <v>18352</v>
      </c>
      <c r="B2899" s="25" t="s">
        <v>18380</v>
      </c>
      <c r="C2899" s="26" t="str">
        <f>HYPERLINK("https://audio.iskcondesiretree.com/02_-_ISKCON_Swamis/ISKCON_Swamis_-_R_to_Y/His_Holiness_Radhanath_Swami/Lectures/00_-_Year_wise/Devotional_Nectar_-_2016/2016-05-20_Festivals_-_Narsimha_Chaturdashi_-_Radhanath_Swami_ISKCON_Houston.mp3", "2016-05-20_Festivals_-_Narsimha_Chaturdashi_-_Radhanath_Swami_ISKCON_Houston.mp3")</f>
        <v>2016-05-20_Festivals_-_Narsimha_Chaturdashi_-_Radhanath_Swami_ISKCON_Houston.mp3</v>
      </c>
      <c r="D2899" s="24"/>
      <c r="E2899" s="24"/>
    </row>
    <row r="2900">
      <c r="A2900" s="25" t="s">
        <v>18352</v>
      </c>
      <c r="B2900" s="25" t="s">
        <v>18380</v>
      </c>
      <c r="C2900" s="26" t="str">
        <f>HYPERLINK("https://audio.iskcondesiretree.com/02_-_ISKCON_Swamis/ISKCON_Swamis_-_R_to_Y/His_Holiness_Radhanath_Swami/Lectures/00_-_Year_wise/Devotional_Nectar_-_2016/2016-06-06_Various_-_Initiation_Lecture_-_Radhanath_Swami_New_York_Bhakti_Center.mp3", "2016-06-06_Various_-_Initiation_Lecture_-_Radhanath_Swami_New_York_Bhakti_Center.mp3")</f>
        <v>2016-06-06_Various_-_Initiation_Lecture_-_Radhanath_Swami_New_York_Bhakti_Center.mp3</v>
      </c>
      <c r="D2900" s="24"/>
      <c r="E2900" s="24"/>
    </row>
    <row r="2901">
      <c r="A2901" s="25" t="s">
        <v>18352</v>
      </c>
      <c r="B2901" s="25" t="s">
        <v>18380</v>
      </c>
      <c r="C2901" s="26" t="str">
        <f>HYPERLINK("https://audio.iskcondesiretree.com/02_-_ISKCON_Swamis/ISKCON_Swamis_-_R_to_Y/His_Holiness_Radhanath_Swami/Lectures/00_-_Year_wise/Devotional_Nectar_-_2016/2016-06_Various_-_Journey_Within_-_Radhanath_Swami_Pittsburgh.mp3", "2016-06_Various_-_Journey_Within_-_Radhanath_Swami_Pittsburgh.mp3")</f>
        <v>2016-06_Various_-_Journey_Within_-_Radhanath_Swami_Pittsburgh.mp3</v>
      </c>
      <c r="D2901" s="24"/>
      <c r="E2901" s="24"/>
    </row>
    <row r="2902">
      <c r="A2902" s="25" t="s">
        <v>18352</v>
      </c>
      <c r="B2902" s="25" t="s">
        <v>18380</v>
      </c>
      <c r="C2902" s="26" t="str">
        <f>HYPERLINK("https://audio.iskcondesiretree.com/02_-_ISKCON_Swamis/ISKCON_Swamis_-_R_to_Y/His_Holiness_Radhanath_Swami/Lectures/00_-_Year_wise/Devotional_Nectar_-_2016/2016-07-22_Various_-_The_Currency_of_Relationships_-_Radhanath_Swami.mp3", "2016-07-22_Various_-_The_Currency_of_Relationships_-_Radhanath_Swami.mp3")</f>
        <v>2016-07-22_Various_-_The_Currency_of_Relationships_-_Radhanath_Swami.mp3</v>
      </c>
      <c r="D2902" s="24"/>
      <c r="E2902" s="24"/>
    </row>
    <row r="2903">
      <c r="A2903" s="25" t="s">
        <v>18352</v>
      </c>
      <c r="B2903" s="25" t="s">
        <v>18380</v>
      </c>
      <c r="C2903" s="26" t="str">
        <f>HYPERLINK("https://audio.iskcondesiretree.com/02_-_ISKCON_Swamis/ISKCON_Swamis_-_R_to_Y/His_Holiness_Radhanath_Swami/Lectures/00_-_Year_wise/Devotional_Nectar_-_2016/2016-07-25_Various_-_Growing_Through_Adversity_-_Radhanath_Swami.mp3", "2016-07-25_Various_-_Growing_Through_Adversity_-_Radhanath_Swami.mp3")</f>
        <v>2016-07-25_Various_-_Growing_Through_Adversity_-_Radhanath_Swami.mp3</v>
      </c>
      <c r="D2903" s="24"/>
      <c r="E2903" s="24"/>
    </row>
    <row r="2904">
      <c r="A2904" s="25" t="s">
        <v>18352</v>
      </c>
      <c r="B2904" s="25" t="s">
        <v>18380</v>
      </c>
      <c r="C2904" s="26" t="str">
        <f>HYPERLINK("https://audio.iskcondesiretree.com/02_-_ISKCON_Swamis/ISKCON_Swamis_-_R_to_Y/His_Holiness_Radhanath_Swami/Lectures/00_-_Year_wise/Devotional_Nectar_-_2016/2016-07-26_SB_10-03-47_-_Radhanath_Swami_Los_Angeles.mp3", "2016-07-26_SB_10-03-47_-_Radhanath_Swami_Los_Angeles.mp3")</f>
        <v>2016-07-26_SB_10-03-47_-_Radhanath_Swami_Los_Angeles.mp3</v>
      </c>
      <c r="D2904" s="24"/>
      <c r="E2904" s="24"/>
    </row>
    <row r="2905">
      <c r="A2905" s="25" t="s">
        <v>18352</v>
      </c>
      <c r="B2905" s="25" t="s">
        <v>18380</v>
      </c>
      <c r="C2905" s="26" t="str">
        <f>HYPERLINK("https://audio.iskcondesiretree.com/02_-_ISKCON_Swamis/ISKCON_Swamis_-_R_to_Y/His_Holiness_Radhanath_Swami/Lectures/00_-_Year_wise/Devotional_Nectar_-_2016/2016-08-25_Festivals_-_Janmastami_Lecture_-_Radhanath_Swami_ISKCON_Chicago.mp3", "2016-08-25_Festivals_-_Janmastami_Lecture_-_Radhanath_Swami_ISKCON_Chicago.mp3")</f>
        <v>2016-08-25_Festivals_-_Janmastami_Lecture_-_Radhanath_Swami_ISKCON_Chicago.mp3</v>
      </c>
      <c r="D2905" s="24"/>
      <c r="E2905" s="24"/>
    </row>
    <row r="2906">
      <c r="A2906" s="25" t="s">
        <v>18352</v>
      </c>
      <c r="B2906" s="25" t="s">
        <v>18380</v>
      </c>
      <c r="C2906" s="26" t="str">
        <f>HYPERLINK("https://audio.iskcondesiretree.com/02_-_ISKCON_Swamis/ISKCON_Swamis_-_R_to_Y/His_Holiness_Radhanath_Swami/Lectures/00_-_Year_wise/Devotional_Nectar_-_2016/2016-10-23_Various_-_Disciples_Meeting_-_Radhanath_Swami_UK.mp3", "2016-10-23_Various_-_Disciples_Meeting_-_Radhanath_Swami_UK.mp3")</f>
        <v>2016-10-23_Various_-_Disciples_Meeting_-_Radhanath_Swami_UK.mp3</v>
      </c>
      <c r="D2906" s="24"/>
      <c r="E2906" s="24"/>
    </row>
    <row r="2907">
      <c r="A2907" s="25" t="s">
        <v>18352</v>
      </c>
      <c r="B2907" s="25" t="s">
        <v>18380</v>
      </c>
      <c r="C2907" s="26" t="str">
        <f>HYPERLINK("https://audio.iskcondesiretree.com/02_-_ISKCON_Swamis/ISKCON_Swamis_-_R_to_Y/His_Holiness_Radhanath_Swami/Lectures/00_-_Year_wise/Devotional_Nectar_-_2016/2016-10-30_Festivals_-_Govardhan_Puja_-_Radhanath_Swami_ISKCON_Chowpatty.mp3", "2016-10-30_Festivals_-_Govardhan_Puja_-_Radhanath_Swami_ISKCON_Chowpatty.mp3")</f>
        <v>2016-10-30_Festivals_-_Govardhan_Puja_-_Radhanath_Swami_ISKCON_Chowpatty.mp3</v>
      </c>
      <c r="D2907" s="24"/>
      <c r="E2907" s="24"/>
    </row>
    <row r="2908">
      <c r="A2908" s="25" t="s">
        <v>18352</v>
      </c>
      <c r="B2908" s="25" t="s">
        <v>18380</v>
      </c>
      <c r="C2908" s="26" t="str">
        <f>HYPERLINK("https://audio.iskcondesiretree.com/02_-_ISKCON_Swamis/ISKCON_Swamis_-_R_to_Y/His_Holiness_Radhanath_Swami/Lectures/00_-_Year_wise/Devotional_Nectar_-_2016/2016-10-31_Festivals_-_Govardhan_Puja_-_Radhanath_Swami_GEV_Wada.MP3", "2016-10-31_Festivals_-_Govardhan_Puja_-_Radhanath_Swami_GEV_Wada.MP3")</f>
        <v>2016-10-31_Festivals_-_Govardhan_Puja_-_Radhanath_Swami_GEV_Wada.MP3</v>
      </c>
      <c r="D2908" s="24"/>
      <c r="E2908" s="24"/>
    </row>
    <row r="2909">
      <c r="A2909" s="25" t="s">
        <v>18352</v>
      </c>
      <c r="B2909" s="25" t="s">
        <v>18380</v>
      </c>
      <c r="C2909" s="26" t="str">
        <f>HYPERLINK("https://audio.iskcondesiretree.com/02_-_ISKCON_Swamis/ISKCON_Swamis_-_R_to_Y/His_Holiness_Radhanath_Swami/Lectures/00_-_Year_wise/Devotional_Nectar_-_2016/2016-11-03_-_Srila_Prabhupada_Disappearance_Day_-_Radhanath_Swami_GEV_Wada.mp3", "2016-11-03_-_Srila_Prabhupada_Disappearance_Day_-_Radhanath_Swami_GEV_Wada.mp3")</f>
        <v>2016-11-03_-_Srila_Prabhupada_Disappearance_Day_-_Radhanath_Swami_GEV_Wada.mp3</v>
      </c>
      <c r="D2909" s="24"/>
      <c r="E2909" s="24"/>
    </row>
    <row r="2910">
      <c r="A2910" s="25" t="s">
        <v>18352</v>
      </c>
      <c r="B2910" s="25" t="s">
        <v>18380</v>
      </c>
      <c r="C2910" s="26" t="str">
        <f>HYPERLINK("https://audio.iskcondesiretree.com/02_-_ISKCON_Swamis/ISKCON_Swamis_-_R_to_Y/His_Holiness_Radhanath_Swami/Lectures/00_-_Year_wise/Devotional_Nectar_-_2016/2016-11-18_SB_10-87-25_-_Describing_The_Indescribable_-_Radhanath_Swami_ISKCON_Chowpatty.mp3", "2016-11-18_SB_10-87-25_-_Describing_The_Indescribable_-_Radhanath_Swami_ISKCON_Chowpatty.mp3")</f>
        <v>2016-11-18_SB_10-87-25_-_Describing_The_Indescribable_-_Radhanath_Swami_ISKCON_Chowpatty.mp3</v>
      </c>
      <c r="D2910" s="24"/>
      <c r="E2910" s="24"/>
    </row>
    <row r="2911">
      <c r="A2911" s="25" t="s">
        <v>18352</v>
      </c>
      <c r="B2911" s="25" t="s">
        <v>18380</v>
      </c>
      <c r="C2911" s="26" t="str">
        <f>HYPERLINK("https://audio.iskcondesiretree.com/02_-_ISKCON_Swamis/ISKCON_Swamis_-_R_to_Y/His_Holiness_Radhanath_Swami/Lectures/00_-_Year_wise/Devotional_Nectar_-_2016/2016-11-28_Various_-_Rupa_Goswami_and_Sanatan_Goswami_-_Radhanath_Swami_GEV_Wada.mp3", "2016-11-28_Various_-_Rupa_Goswami_and_Sanatan_Goswami_-_Radhanath_Swami_GEV_Wada.mp3")</f>
        <v>2016-11-28_Various_-_Rupa_Goswami_and_Sanatan_Goswami_-_Radhanath_Swami_GEV_Wada.mp3</v>
      </c>
      <c r="D2911" s="24"/>
      <c r="E2911" s="24"/>
    </row>
    <row r="2912">
      <c r="A2912" s="25" t="s">
        <v>18352</v>
      </c>
      <c r="B2912" s="25" t="s">
        <v>18380</v>
      </c>
      <c r="C2912" s="26" t="str">
        <f>HYPERLINK("https://audio.iskcondesiretree.com/02_-_ISKCON_Swamis/ISKCON_Swamis_-_R_to_Y/His_Holiness_Radhanath_Swami/Lectures/00_-_Year_wise/Devotional_Nectar_-_2016/2016-12-11_SB-10-87-42_-_Common_Quality_of_Prayers_offered_-_Radhanath_Swami_ISKCON_Chowpatty.mp3", "2016-12-11_SB-10-87-42_-_Common_Quality_of_Prayers_offered_-_Radhanath_Swami_ISKCON_Chowpatty.mp3")</f>
        <v>2016-12-11_SB-10-87-42_-_Common_Quality_of_Prayers_offered_-_Radhanath_Swami_ISKCON_Chowpatty.mp3</v>
      </c>
      <c r="D2912" s="24"/>
      <c r="E2912" s="24"/>
    </row>
    <row r="2913">
      <c r="A2913" s="25" t="s">
        <v>18352</v>
      </c>
      <c r="B2913" s="25" t="s">
        <v>18380</v>
      </c>
      <c r="C2913" s="26" t="str">
        <f>HYPERLINK("https://audio.iskcondesiretree.com/02_-_ISKCON_Swamis/ISKCON_Swamis_-_R_to_Y/His_Holiness_Radhanath_Swami/Lectures/00_-_Year_wise/Devotional_Nectar_-_2016/2016_Various_-_Good_Life_Project_Interview_-_Radhanath_Swami.mp3", "2016_Various_-_Good_Life_Project_Interview_-_Radhanath_Swami.mp3")</f>
        <v>2016_Various_-_Good_Life_Project_Interview_-_Radhanath_Swami.mp3</v>
      </c>
      <c r="D2913" s="24"/>
      <c r="E2913" s="24"/>
    </row>
    <row r="2914">
      <c r="A2914" s="25" t="s">
        <v>18352</v>
      </c>
      <c r="B2914" s="25" t="s">
        <v>18381</v>
      </c>
      <c r="C2914" s="26" t="str">
        <f>HYPERLINK("https://audio.iskcondesiretree.com/02_-_ISKCON_Swamis/ISKCON_Swamis_-_R_to_Y/His_Holiness_Radhanath_Swami/Lectures/00_-_Year_wise/Devotional_Nectar_-_2017/2017-01-15_SB_10-89-37-44_-_Wholeheartedly_Taking_Krishna%27s_Shelter_-_Radhanath_Swami_ISKCON_Chowp"&amp;"atty.mp3", "2017-01-15_SB_10-89-37-44_-_Wholeheartedly_Taking_Krishna%27s_Shelter_-_Radhanath_Swami_ISKCON_Chowpatty.mp3")</f>
        <v>2017-01-15_SB_10-89-37-44_-_Wholeheartedly_Taking_Krishna%27s_Shelter_-_Radhanath_Swami_ISKCON_Chowpatty.mp3</v>
      </c>
      <c r="D2914" s="24"/>
      <c r="E2914" s="24"/>
    </row>
    <row r="2915">
      <c r="A2915" s="25" t="s">
        <v>18352</v>
      </c>
      <c r="B2915" s="25" t="s">
        <v>18381</v>
      </c>
      <c r="C2915" s="26" t="str">
        <f>HYPERLINK("https://audio.iskcondesiretree.com/02_-_ISKCON_Swamis/ISKCON_Swamis_-_R_to_Y/His_Holiness_Radhanath_Swami/Lectures/00_-_Year_wise/Devotional_Nectar_-_2017/2017-01-28_Pushya_Abhishek_Festival_-_Evening_Lecture-What_Attracts_Krishna_Is_Simplicity_of_Offerin"&amp;"gs_-_Radhanath_Sw_ISKCON_Chowpatty.mp3", "2017-01-28_Pushya_Abhishek_Festival_-_Evening_Lecture-What_Attracts_Krishna_Is_Simplicity_of_Offerings_-_Radhanath_Sw_ISKCON_Chowpatty.mp3")</f>
        <v>2017-01-28_Pushya_Abhishek_Festival_-_Evening_Lecture-What_Attracts_Krishna_Is_Simplicity_of_Offerings_-_Radhanath_Sw_ISKCON_Chowpatty.mp3</v>
      </c>
      <c r="D2915" s="24"/>
      <c r="E2915" s="24"/>
    </row>
    <row r="2916">
      <c r="A2916" s="25" t="s">
        <v>18352</v>
      </c>
      <c r="B2916" s="25" t="s">
        <v>18381</v>
      </c>
      <c r="C2916" s="26" t="str">
        <f>HYPERLINK("https://audio.iskcondesiretree.com/02_-_ISKCON_Swamis/ISKCON_Swamis_-_R_to_Y/His_Holiness_Radhanath_Swami/Lectures/00_-_Year_wise/Devotional_Nectar_-_2017/2017-01-28_SB-10-90-16-17_-_Spiritual_Relationships_Greatest_Subject_to_Explore_and_Experience_-_Rad"&amp;"hanath_Swami_ISKCON_Chowpatty.mp3", "2017-01-28_SB-10-90-16-17_-_Spiritual_Relationships_Greatest_Subject_to_Explore_and_Experience_-_Radhanath_Swami_ISKCON_Chowpatty.mp3")</f>
        <v>2017-01-28_SB-10-90-16-17_-_Spiritual_Relationships_Greatest_Subject_to_Explore_and_Experience_-_Radhanath_Swami_ISKCON_Chowpatty.mp3</v>
      </c>
      <c r="D2916" s="24"/>
      <c r="E2916" s="24"/>
    </row>
    <row r="2917">
      <c r="A2917" s="25" t="s">
        <v>18352</v>
      </c>
      <c r="B2917" s="25" t="s">
        <v>18381</v>
      </c>
      <c r="C2917" s="26" t="str">
        <f>HYPERLINK("https://audio.iskcondesiretree.com/02_-_ISKCON_Swamis/ISKCON_Swamis_-_R_to_Y/His_Holiness_Radhanath_Swami/Lectures/00_-_Year_wise/Devotional_Nectar_-_2017/2017-02-26_SB_11-01-13-15_-_Material_Disease-I_Have_Right_to_be_Disrespectful_-_Radhanath_Sw_Chowpat"&amp;"ty.mp3", "2017-02-26_SB_11-01-13-15_-_Material_Disease-I_Have_Right_to_be_Disrespectful_-_Radhanath_Sw_Chowpatty.mp3")</f>
        <v>2017-02-26_SB_11-01-13-15_-_Material_Disease-I_Have_Right_to_be_Disrespectful_-_Radhanath_Sw_Chowpatty.mp3</v>
      </c>
      <c r="D2917" s="24"/>
      <c r="E2917" s="24"/>
    </row>
    <row r="2918">
      <c r="A2918" s="25" t="s">
        <v>18352</v>
      </c>
      <c r="B2918" s="25" t="s">
        <v>18381</v>
      </c>
      <c r="C2918" s="26" t="str">
        <f>HYPERLINK("https://audio.iskcondesiretree.com/02_-_ISKCON_Swamis/ISKCON_Swamis_-_R_to_Y/His_Holiness_Radhanath_Swami/Lectures/00_-_Year_wise/Devotional_Nectar_-_2017/2017-03-12_Festivals_-_Gaura_Purnima-01_Morning_Session_-_Radhanath_Swami_ISKCON_Chowpatty.mp3", "2017-03-12_Festivals_-_Gaura_Purnima-01_Morning_Session_-_Radhanath_Swami_ISKCON_Chowpatty.mp3")</f>
        <v>2017-03-12_Festivals_-_Gaura_Purnima-01_Morning_Session_-_Radhanath_Swami_ISKCON_Chowpatty.mp3</v>
      </c>
      <c r="D2918" s="24"/>
      <c r="E2918" s="24"/>
    </row>
    <row r="2919">
      <c r="A2919" s="25" t="s">
        <v>18352</v>
      </c>
      <c r="B2919" s="25" t="s">
        <v>18381</v>
      </c>
      <c r="C2919" s="26" t="str">
        <f>HYPERLINK("https://audio.iskcondesiretree.com/02_-_ISKCON_Swamis/ISKCON_Swamis_-_R_to_Y/His_Holiness_Radhanath_Swami/Lectures/00_-_Year_wise/Devotional_Nectar_-_2017/2017-03-12_Festivals_-_Gaura_Purnima-02_Afternoon_Session_-_Radhanath_Swami_ISKCON_Chowpatty.mp3", "2017-03-12_Festivals_-_Gaura_Purnima-02_Afternoon_Session_-_Radhanath_Swami_ISKCON_Chowpatty.mp3")</f>
        <v>2017-03-12_Festivals_-_Gaura_Purnima-02_Afternoon_Session_-_Radhanath_Swami_ISKCON_Chowpatty.mp3</v>
      </c>
      <c r="D2919" s="24"/>
      <c r="E2919" s="24"/>
    </row>
    <row r="2920">
      <c r="A2920" s="25" t="s">
        <v>18352</v>
      </c>
      <c r="B2920" s="25" t="s">
        <v>18381</v>
      </c>
      <c r="C2920" s="26" t="str">
        <f>HYPERLINK("https://audio.iskcondesiretree.com/02_-_ISKCON_Swamis/ISKCON_Swamis_-_R_to_Y/His_Holiness_Radhanath_Swami/Lectures/00_-_Year_wise/Devotional_Nectar_-_2017/2017-03-12_Festivals_-_Gaura_Purnima-03_Evening_Session_-_Radhanath_Swami_ISKCON_Chowpatty.mp3", "2017-03-12_Festivals_-_Gaura_Purnima-03_Evening_Session_-_Radhanath_Swami_ISKCON_Chowpatty.mp3")</f>
        <v>2017-03-12_Festivals_-_Gaura_Purnima-03_Evening_Session_-_Radhanath_Swami_ISKCON_Chowpatty.mp3</v>
      </c>
      <c r="D2920" s="24"/>
      <c r="E2920" s="24"/>
    </row>
    <row r="2921">
      <c r="A2921" s="25" t="s">
        <v>18352</v>
      </c>
      <c r="B2921" s="25" t="s">
        <v>18381</v>
      </c>
      <c r="C2921" s="26" t="str">
        <f>HYPERLINK("https://audio.iskcondesiretree.com/02_-_ISKCON_Swamis/ISKCON_Swamis_-_R_to_Y/His_Holiness_Radhanath_Swami/Lectures/00_-_Year_wise/Devotional_Nectar_-_2017/2017-04-16_Various_-_Sunday_Feast_Class_-_Radhanath_Swami_ISKCON_Alachua.mp3", "2017-04-16_Various_-_Sunday_Feast_Class_-_Radhanath_Swami_ISKCON_Alachua.mp3")</f>
        <v>2017-04-16_Various_-_Sunday_Feast_Class_-_Radhanath_Swami_ISKCON_Alachua.mp3</v>
      </c>
      <c r="D2921" s="24"/>
      <c r="E2921" s="24"/>
    </row>
    <row r="2922">
      <c r="A2922" s="25" t="s">
        <v>18352</v>
      </c>
      <c r="B2922" s="25" t="s">
        <v>18381</v>
      </c>
      <c r="C2922" s="26" t="str">
        <f>HYPERLINK("https://audio.iskcondesiretree.com/02_-_ISKCON_Swamis/ISKCON_Swamis_-_R_to_Y/His_Holiness_Radhanath_Swami/Lectures/00_-_Year_wise/Devotional_Nectar_-_2017/2017-05-29_SB_10-13-31_-_Radhanath_Swami_Los_Angeles.mp3", "2017-05-29_SB_10-13-31_-_Radhanath_Swami_Los_Angeles.mp3")</f>
        <v>2017-05-29_SB_10-13-31_-_Radhanath_Swami_Los_Angeles.mp3</v>
      </c>
      <c r="D2922" s="24"/>
      <c r="E2922" s="24"/>
    </row>
    <row r="2923">
      <c r="A2923" s="25" t="s">
        <v>18352</v>
      </c>
      <c r="B2923" s="25" t="s">
        <v>18381</v>
      </c>
      <c r="C2923" s="26" t="str">
        <f>HYPERLINK("https://audio.iskcondesiretree.com/02_-_ISKCON_Swamis/ISKCON_Swamis_-_R_to_Y/His_Holiness_Radhanath_Swami/Lectures/00_-_Year_wise/Devotional_Nectar_-_2017/2017-06-04_Festivals_-_Panihati_Cida_Dahi_Festival_-_Radhanath_Swami_Laguna_Beach.mp3", "2017-06-04_Festivals_-_Panihati_Cida_Dahi_Festival_-_Radhanath_Swami_Laguna_Beach.mp3")</f>
        <v>2017-06-04_Festivals_-_Panihati_Cida_Dahi_Festival_-_Radhanath_Swami_Laguna_Beach.mp3</v>
      </c>
      <c r="D2923" s="24"/>
      <c r="E2923" s="24"/>
    </row>
    <row r="2924">
      <c r="A2924" s="25" t="s">
        <v>18352</v>
      </c>
      <c r="B2924" s="25" t="s">
        <v>18381</v>
      </c>
      <c r="C2924" s="26" t="str">
        <f>HYPERLINK("https://audio.iskcondesiretree.com/02_-_ISKCON_Swamis/ISKCON_Swamis_-_R_to_Y/His_Holiness_Radhanath_Swami/Lectures/00_-_Year_wise/Devotional_Nectar_-_2017/2017-06-12_SB_10-13-44_-_Radhanath_Swami_Los_Angeles.mp3", "2017-06-12_SB_10-13-44_-_Radhanath_Swami_Los_Angeles.mp3")</f>
        <v>2017-06-12_SB_10-13-44_-_Radhanath_Swami_Los_Angeles.mp3</v>
      </c>
      <c r="D2924" s="24"/>
      <c r="E2924" s="24"/>
    </row>
    <row r="2925">
      <c r="A2925" s="25" t="s">
        <v>18352</v>
      </c>
      <c r="B2925" s="25" t="s">
        <v>18381</v>
      </c>
      <c r="C2925" s="26" t="str">
        <f>HYPERLINK("https://audio.iskcondesiretree.com/02_-_ISKCON_Swamis/ISKCON_Swamis_-_R_to_Y/His_Holiness_Radhanath_Swami/Lectures/00_-_Year_wise/Devotional_Nectar_-_2017/2017-07-05_SB_01-01-01_-_Radhanath_Swami_Los_Angeles.mp3", "2017-07-05_SB_01-01-01_-_Radhanath_Swami_Los_Angeles.mp3")</f>
        <v>2017-07-05_SB_01-01-01_-_Radhanath_Swami_Los_Angeles.mp3</v>
      </c>
      <c r="D2925" s="24"/>
      <c r="E2925" s="24"/>
    </row>
    <row r="2926">
      <c r="A2926" s="25" t="s">
        <v>18352</v>
      </c>
      <c r="B2926" s="25" t="s">
        <v>18381</v>
      </c>
      <c r="C2926" s="26" t="str">
        <f>HYPERLINK("https://audio.iskcondesiretree.com/02_-_ISKCON_Swamis/ISKCON_Swamis_-_R_to_Y/His_Holiness_Radhanath_Swami/Lectures/00_-_Year_wise/Devotional_Nectar_-_2017/2017-08-05_Festival_-_Prerana-The_Journey_Within_-_Radhanath_Swami_ISKCON_Chowpatty.mp3", "2017-08-05_Festival_-_Prerana-The_Journey_Within_-_Radhanath_Swami_ISKCON_Chowpatty.mp3")</f>
        <v>2017-08-05_Festival_-_Prerana-The_Journey_Within_-_Radhanath_Swami_ISKCON_Chowpatty.mp3</v>
      </c>
      <c r="D2926" s="24"/>
      <c r="E2926" s="24"/>
    </row>
    <row r="2927">
      <c r="A2927" s="25" t="s">
        <v>18352</v>
      </c>
      <c r="B2927" s="25" t="s">
        <v>18381</v>
      </c>
      <c r="C2927" s="26" t="str">
        <f>HYPERLINK("https://audio.iskcondesiretree.com/02_-_ISKCON_Swamis/ISKCON_Swamis_-_R_to_Y/His_Holiness_Radhanath_Swami/Lectures/00_-_Year_wise/Devotional_Nectar_-_2017/2017-08-05_SB_11-03-35_-_The_Supreme_Personality_Godhead-The_Cause_of_Creation_-_Radhanath_Swami_ISK"&amp;"CON_Chowpatty.mp3", "2017-08-05_SB_11-03-35_-_The_Supreme_Personality_Godhead-The_Cause_of_Creation_-_Radhanath_Swami_ISKCON_Chowpatty.mp3")</f>
        <v>2017-08-05_SB_11-03-35_-_The_Supreme_Personality_Godhead-The_Cause_of_Creation_-_Radhanath_Swami_ISKCON_Chowpatty.mp3</v>
      </c>
      <c r="D2927" s="24"/>
      <c r="E2927" s="24"/>
    </row>
    <row r="2928">
      <c r="A2928" s="25" t="s">
        <v>18352</v>
      </c>
      <c r="B2928" s="25" t="s">
        <v>18381</v>
      </c>
      <c r="C2928" s="26" t="str">
        <f>HYPERLINK("https://audio.iskcondesiretree.com/02_-_ISKCON_Swamis/ISKCON_Swamis_-_R_to_Y/His_Holiness_Radhanath_Swami/Lectures/00_-_Year_wise/Devotional_Nectar_-_2017/2017-08-06_SB_11-03-36_-_Kaliya_Pastime_-_Radhanath_Swami_ISKCON_Chowpatty.mp3", "2017-08-06_SB_11-03-36_-_Kaliya_Pastime_-_Radhanath_Swami_ISKCON_Chowpatty.mp3")</f>
        <v>2017-08-06_SB_11-03-36_-_Kaliya_Pastime_-_Radhanath_Swami_ISKCON_Chowpatty.mp3</v>
      </c>
      <c r="D2928" s="24"/>
      <c r="E2928" s="24"/>
    </row>
    <row r="2929">
      <c r="A2929" s="25" t="s">
        <v>18352</v>
      </c>
      <c r="B2929" s="25" t="s">
        <v>18381</v>
      </c>
      <c r="C2929" s="26" t="str">
        <f>HYPERLINK("https://audio.iskcondesiretree.com/02_-_ISKCON_Swamis/ISKCON_Swamis_-_R_to_Y/His_Holiness_Radhanath_Swami/Lectures/00_-_Year_wise/Devotional_Nectar_-_2017/2017-08-15_Festivals_-_Janmastami_Lecture_Part-01_-_Radhanath_Swami_ISKCON_Chowpatty.mp3", "2017-08-15_Festivals_-_Janmastami_Lecture_Part-01_-_Radhanath_Swami_ISKCON_Chowpatty.mp3")</f>
        <v>2017-08-15_Festivals_-_Janmastami_Lecture_Part-01_-_Radhanath_Swami_ISKCON_Chowpatty.mp3</v>
      </c>
      <c r="D2929" s="24"/>
      <c r="E2929" s="24"/>
    </row>
    <row r="2930">
      <c r="A2930" s="25" t="s">
        <v>18352</v>
      </c>
      <c r="B2930" s="25" t="s">
        <v>18381</v>
      </c>
      <c r="C2930" s="26" t="str">
        <f>HYPERLINK("https://audio.iskcondesiretree.com/02_-_ISKCON_Swamis/ISKCON_Swamis_-_R_to_Y/His_Holiness_Radhanath_Swami/Lectures/00_-_Year_wise/Devotional_Nectar_-_2017/2017-08-15_Festivals_-_Janmastami_Lecture_Part-02_-_Radhanath_Swami_ISKCON_Chowpatty.mp3", "2017-08-15_Festivals_-_Janmastami_Lecture_Part-02_-_Radhanath_Swami_ISKCON_Chowpatty.mp3")</f>
        <v>2017-08-15_Festivals_-_Janmastami_Lecture_Part-02_-_Radhanath_Swami_ISKCON_Chowpatty.mp3</v>
      </c>
      <c r="D2930" s="24"/>
      <c r="E2930" s="24"/>
    </row>
    <row r="2931">
      <c r="A2931" s="25" t="s">
        <v>18352</v>
      </c>
      <c r="B2931" s="25" t="s">
        <v>18381</v>
      </c>
      <c r="C2931" s="26" t="str">
        <f>HYPERLINK("https://audio.iskcondesiretree.com/02_-_ISKCON_Swamis/ISKCON_Swamis_-_R_to_Y/His_Holiness_Radhanath_Swami/Lectures/00_-_Year_wise/Devotional_Nectar_-_2017/2017-08-15_Festivals_-_Janmastami_Lecture_Part-03_-_Radhanath_Swami_ISKCON_Chowpatty.mp3", "2017-08-15_Festivals_-_Janmastami_Lecture_Part-03_-_Radhanath_Swami_ISKCON_Chowpatty.mp3")</f>
        <v>2017-08-15_Festivals_-_Janmastami_Lecture_Part-03_-_Radhanath_Swami_ISKCON_Chowpatty.mp3</v>
      </c>
      <c r="D2931" s="24"/>
      <c r="E2931" s="24"/>
    </row>
    <row r="2932">
      <c r="A2932" s="25" t="s">
        <v>18352</v>
      </c>
      <c r="B2932" s="25" t="s">
        <v>18381</v>
      </c>
      <c r="C2932" s="26" t="str">
        <f>HYPERLINK("https://audio.iskcondesiretree.com/02_-_ISKCON_Swamis/ISKCON_Swamis_-_R_to_Y/His_Holiness_Radhanath_Swami/Lectures/00_-_Year_wise/Devotional_Nectar_-_2017/2017-08-15_Festivals_-_Janmastami_Lecture_Part-04_-_Radhanath_Swami_ISKCON_Chowpatty.mp3", "2017-08-15_Festivals_-_Janmastami_Lecture_Part-04_-_Radhanath_Swami_ISKCON_Chowpatty.mp3")</f>
        <v>2017-08-15_Festivals_-_Janmastami_Lecture_Part-04_-_Radhanath_Swami_ISKCON_Chowpatty.mp3</v>
      </c>
      <c r="D2932" s="24"/>
      <c r="E2932" s="24"/>
    </row>
    <row r="2933">
      <c r="A2933" s="25" t="s">
        <v>18352</v>
      </c>
      <c r="B2933" s="25" t="s">
        <v>18381</v>
      </c>
      <c r="C2933" s="26" t="str">
        <f>HYPERLINK("https://audio.iskcondesiretree.com/02_-_ISKCON_Swamis/ISKCON_Swamis_-_R_to_Y/His_Holiness_Radhanath_Swami/Lectures/00_-_Year_wise/Devotional_Nectar_-_2017/2017-08-29_Festivals_-_Radhastami%28Evening_Class%29_-_Radhanath_Swami_ISKCON_Chowpatty.mp3", "2017-08-29_Festivals_-_Radhastami%28Evening_Class%29_-_Radhanath_Swami_ISKCON_Chowpatty.mp3")</f>
        <v>2017-08-29_Festivals_-_Radhastami%28Evening_Class%29_-_Radhanath_Swami_ISKCON_Chowpatty.mp3</v>
      </c>
      <c r="D2933" s="24"/>
      <c r="E2933" s="24"/>
    </row>
    <row r="2934">
      <c r="A2934" s="25" t="s">
        <v>18352</v>
      </c>
      <c r="B2934" s="25" t="s">
        <v>18381</v>
      </c>
      <c r="C2934" s="26" t="str">
        <f>HYPERLINK("https://audio.iskcondesiretree.com/02_-_ISKCON_Swamis/ISKCON_Swamis_-_R_to_Y/His_Holiness_Radhanath_Swami/Lectures/00_-_Year_wise/Devotional_Nectar_-_2017/2017-08-29_Festivals_-_Radhastami-Glories_of_Radharani%28Morning_Class%29_-_Radhanath_Swami_ISKCON_C"&amp;"howpatty.mp3", "2017-08-29_Festivals_-_Radhastami-Glories_of_Radharani%28Morning_Class%29_-_Radhanath_Swami_ISKCON_Chowpatty.mp3")</f>
        <v>2017-08-29_Festivals_-_Radhastami-Glories_of_Radharani%28Morning_Class%29_-_Radhanath_Swami_ISKCON_Chowpatty.mp3</v>
      </c>
      <c r="D2934" s="24"/>
      <c r="E2934" s="24"/>
    </row>
    <row r="2935">
      <c r="A2935" s="25" t="s">
        <v>18352</v>
      </c>
      <c r="B2935" s="25" t="s">
        <v>18381</v>
      </c>
      <c r="C2935" s="26" t="str">
        <f>HYPERLINK("https://audio.iskcondesiretree.com/02_-_ISKCON_Swamis/ISKCON_Swamis_-_R_to_Y/His_Holiness_Radhanath_Swami/Lectures/00_-_Year_wise/Devotional_Nectar_-_2017/2017-09-16_SB_01-02-23_-_Radhanath_Swami_Los_Angeles.mp3", "2017-09-16_SB_01-02-23_-_Radhanath_Swami_Los_Angeles.mp3")</f>
        <v>2017-09-16_SB_01-02-23_-_Radhanath_Swami_Los_Angeles.mp3</v>
      </c>
      <c r="D2935" s="24"/>
      <c r="E2935" s="24"/>
    </row>
    <row r="2936">
      <c r="A2936" s="25" t="s">
        <v>18352</v>
      </c>
      <c r="B2936" s="25" t="s">
        <v>18381</v>
      </c>
      <c r="C2936" s="26" t="str">
        <f>HYPERLINK("https://audio.iskcondesiretree.com/02_-_ISKCON_Swamis/ISKCON_Swamis_-_R_to_Y/His_Holiness_Radhanath_Swami/Lectures/00_-_Year_wise/Devotional_Nectar_-_2017/2017-10-08_Various_-_A_Special_Lecture_of_Gratitude_in_Memory_of_Srinathji_Prabhu_-_Radhanath_Swami_"&amp;"ISKCON_Chowpatty.mp3", "2017-10-08_Various_-_A_Special_Lecture_of_Gratitude_in_Memory_of_Srinathji_Prabhu_-_Radhanath_Swami_ISKCON_Chowpatty.mp3")</f>
        <v>2017-10-08_Various_-_A_Special_Lecture_of_Gratitude_in_Memory_of_Srinathji_Prabhu_-_Radhanath_Swami_ISKCON_Chowpatty.mp3</v>
      </c>
      <c r="D2936" s="24"/>
      <c r="E2936" s="24"/>
    </row>
    <row r="2937">
      <c r="A2937" s="25" t="s">
        <v>18352</v>
      </c>
      <c r="B2937" s="25" t="s">
        <v>18381</v>
      </c>
      <c r="C2937" s="26" t="str">
        <f>HYPERLINK("https://audio.iskcondesiretree.com/02_-_ISKCON_Swamis/ISKCON_Swamis_-_R_to_Y/His_Holiness_Radhanath_Swami/Lectures/00_-_Year_wise/Devotional_Nectar_-_2017/2017-12-16_SB_11-06-08_-_Glorious_Activities_of_the_Lord_-_Radhanath_Swami_ISKCON_Chowpatty.mp3", "2017-12-16_SB_11-06-08_-_Glorious_Activities_of_the_Lord_-_Radhanath_Swami_ISKCON_Chowpatty.mp3")</f>
        <v>2017-12-16_SB_11-06-08_-_Glorious_Activities_of_the_Lord_-_Radhanath_Swami_ISKCON_Chowpatty.mp3</v>
      </c>
      <c r="D2937" s="24"/>
      <c r="E2937" s="24"/>
    </row>
    <row r="2938">
      <c r="A2938" s="25" t="s">
        <v>18352</v>
      </c>
      <c r="B2938" s="25" t="s">
        <v>18381</v>
      </c>
      <c r="C2938" s="26" t="str">
        <f>HYPERLINK("https://audio.iskcondesiretree.com/02_-_ISKCON_Swamis/ISKCON_Swamis_-_R_to_Y/His_Holiness_Radhanath_Swami/Lectures/00_-_Year_wise/Devotional_Nectar_-_2017/2017-12-17_SB_11-06-09_-_Mercy_of_Devotees_is_Only_our_Qualification_-_Radhanath_Swami_ISKCON_Chowpa"&amp;"tty.mp3", "2017-12-17_SB_11-06-09_-_Mercy_of_Devotees_is_Only_our_Qualification_-_Radhanath_Swami_ISKCON_Chowpatty.mp3")</f>
        <v>2017-12-17_SB_11-06-09_-_Mercy_of_Devotees_is_Only_our_Qualification_-_Radhanath_Swami_ISKCON_Chowpatty.mp3</v>
      </c>
      <c r="D2938" s="24"/>
      <c r="E2938" s="24"/>
    </row>
    <row r="2939">
      <c r="A2939" s="25" t="s">
        <v>18352</v>
      </c>
      <c r="B2939" s="25" t="s">
        <v>18381</v>
      </c>
      <c r="C2939" s="26" t="str">
        <f>HYPERLINK("https://audio.iskcondesiretree.com/02_-_ISKCON_Swamis/ISKCON_Swamis_-_R_to_Y/His_Holiness_Radhanath_Swami/Lectures/00_-_Year_wise/Devotional_Nectar_-_2017/2017-12-25_Various_-_What_Pleases_Me_-_Radhanath_Swami_Desai_House.mp3", "2017-12-25_Various_-_What_Pleases_Me_-_Radhanath_Swami_Desai_House.mp3")</f>
        <v>2017-12-25_Various_-_What_Pleases_Me_-_Radhanath_Swami_Desai_House.mp3</v>
      </c>
      <c r="D2939" s="24"/>
      <c r="E2939" s="24"/>
    </row>
    <row r="2940">
      <c r="A2940" s="25" t="s">
        <v>18352</v>
      </c>
      <c r="B2940" s="25" t="s">
        <v>18381</v>
      </c>
      <c r="C2940" s="26" t="str">
        <f>HYPERLINK("https://audio.iskcondesiretree.com/02_-_ISKCON_Swamis/ISKCON_Swamis_-_R_to_Y/His_Holiness_Radhanath_Swami/Lectures/00_-_Year_wise/Devotional_Nectar_-_2017/2017_Festivals_-_Gaura_Purnima-03_Evening_Session-Jaya_Jaya_Jagannath_-_Radhanath_Sw_Chowpatty.mp3", "2017_Festivals_-_Gaura_Purnima-03_Evening_Session-Jaya_Jaya_Jagannath_-_Radhanath_Sw_Chowpatty.mp3")</f>
        <v>2017_Festivals_-_Gaura_Purnima-03_Evening_Session-Jaya_Jaya_Jagannath_-_Radhanath_Sw_Chowpatty.mp3</v>
      </c>
      <c r="D2940" s="24"/>
      <c r="E2940" s="24"/>
    </row>
    <row r="2941">
      <c r="A2941" s="25" t="s">
        <v>18352</v>
      </c>
      <c r="B2941" s="25" t="s">
        <v>18381</v>
      </c>
      <c r="C2941" s="26" t="str">
        <f>HYPERLINK("https://audio.iskcondesiretree.com/02_-_ISKCON_Swamis/ISKCON_Swamis_-_R_to_Y/His_Holiness_Radhanath_Swami/Lectures/00_-_Year_wise/Devotional_Nectar_-_2017/2017_Pushya_Abhishek_-_What_Attracts_Krishna_Is_Simplicity_of_Offerings_-_Radhanath_Sw_Chowpatty.mp3", "2017_Pushya_Abhishek_-_What_Attracts_Krishna_Is_Simplicity_of_Offerings_-_Radhanath_Sw_Chowpatty.mp3")</f>
        <v>2017_Pushya_Abhishek_-_What_Attracts_Krishna_Is_Simplicity_of_Offerings_-_Radhanath_Sw_Chowpatty.mp3</v>
      </c>
      <c r="D2941" s="24"/>
      <c r="E2941" s="24"/>
    </row>
    <row r="2942">
      <c r="A2942" s="25" t="s">
        <v>18352</v>
      </c>
      <c r="B2942" s="25" t="s">
        <v>18382</v>
      </c>
      <c r="C2942" s="26" t="str">
        <f>HYPERLINK("https://audio.iskcondesiretree.com/02_-_ISKCON_Swamis/ISKCON_Swamis_-_R_to_Y/His_Holiness_Radhanath_Swami/Lectures/00_-_Year_wise/Devotional_Nectar_-_2018/2018-01-06_SB_11-06-34-35_-_Glories_of_Gopal_Bhatta_Goswami_-_Radhanath_Swami_ISKCON_Chowpatty.mp3", "2018-01-06_SB_11-06-34-35_-_Glories_of_Gopal_Bhatta_Goswami_-_Radhanath_Swami_ISKCON_Chowpatty.mp3")</f>
        <v>2018-01-06_SB_11-06-34-35_-_Glories_of_Gopal_Bhatta_Goswami_-_Radhanath_Swami_ISKCON_Chowpatty.mp3</v>
      </c>
      <c r="D2942" s="24"/>
      <c r="E2942" s="24"/>
    </row>
    <row r="2943">
      <c r="A2943" s="25" t="s">
        <v>18352</v>
      </c>
      <c r="B2943" s="25" t="s">
        <v>18382</v>
      </c>
      <c r="C2943" s="26" t="str">
        <f>HYPERLINK("https://audio.iskcondesiretree.com/02_-_ISKCON_Swamis/ISKCON_Swamis_-_R_to_Y/His_Holiness_Radhanath_Swami/Lectures/00_-_Year_wise/Devotional_Nectar_-_2018/2018-01-07_Festivals_Marathi_Translation_-_Lecture_at_Shivaji_Park_Ratha_Yatra_-_Radhanath_Swami_Dad"&amp;"ar.mp3", "2018-01-07_Festivals_Marathi_Translation_-_Lecture_at_Shivaji_Park_Ratha_Yatra_-_Radhanath_Swami_Dadar.mp3")</f>
        <v>2018-01-07_Festivals_Marathi_Translation_-_Lecture_at_Shivaji_Park_Ratha_Yatra_-_Radhanath_Swami_Dadar.mp3</v>
      </c>
      <c r="D2943" s="24"/>
      <c r="E2943" s="24"/>
    </row>
    <row r="2944">
      <c r="A2944" s="25" t="s">
        <v>18352</v>
      </c>
      <c r="B2944" s="25" t="s">
        <v>18382</v>
      </c>
      <c r="C2944" s="26" t="str">
        <f>HYPERLINK("https://audio.iskcondesiretree.com/02_-_ISKCON_Swamis/ISKCON_Swamis_-_R_to_Y/His_Holiness_Radhanath_Swami/Lectures/00_-_Year_wise/Devotional_Nectar_-_2018/2018-01-07_SB_11-06-35_-_Process_to_Understand_Krishna_-_Radhanath_Swami_ISKCON_Chowpatty.mp3", "2018-01-07_SB_11-06-35_-_Process_to_Understand_Krishna_-_Radhanath_Swami_ISKCON_Chowpatty.mp3")</f>
        <v>2018-01-07_SB_11-06-35_-_Process_to_Understand_Krishna_-_Radhanath_Swami_ISKCON_Chowpatty.mp3</v>
      </c>
      <c r="D2944" s="24"/>
      <c r="E2944" s="24"/>
    </row>
    <row r="2945">
      <c r="A2945" s="25" t="s">
        <v>18352</v>
      </c>
      <c r="B2945" s="25" t="s">
        <v>18382</v>
      </c>
      <c r="C2945" s="26" t="str">
        <f>HYPERLINK("https://audio.iskcondesiretree.com/02_-_ISKCON_Swamis/ISKCON_Swamis_-_R_to_Y/His_Holiness_Radhanath_Swami/Lectures/00_-_Year_wise/Devotional_Nectar_-_2018/2018-01-15_Festivals_-_40th_Anniversary_Juhu-Srila_Prabhupada_Memories_-_Radhanath_Swami_ISKCON_Juhu"&amp;".mp3", "2018-01-15_Festivals_-_40th_Anniversary_Juhu-Srila_Prabhupada_Memories_-_Radhanath_Swami_ISKCON_Juhu.mp3")</f>
        <v>2018-01-15_Festivals_-_40th_Anniversary_Juhu-Srila_Prabhupada_Memories_-_Radhanath_Swami_ISKCON_Juhu.mp3</v>
      </c>
      <c r="D2945" s="24"/>
      <c r="E2945" s="24"/>
    </row>
    <row r="2946">
      <c r="A2946" s="25" t="s">
        <v>18352</v>
      </c>
      <c r="B2946" s="25" t="s">
        <v>18382</v>
      </c>
      <c r="C2946" s="26" t="str">
        <f>HYPERLINK("https://audio.iskcondesiretree.com/02_-_ISKCON_Swamis/ISKCON_Swamis_-_R_to_Y/His_Holiness_Radhanath_Swami/Lectures/00_-_Year_wise/Devotional_Nectar_-_2018/2018-01-26_Festivals_-_Special_Class_on_Sri_Ramanujacarya_-_Radhanath_Swami_ISKCON_Juhu.mp3", "2018-01-26_Festivals_-_Special_Class_on_Sri_Ramanujacarya_-_Radhanath_Swami_ISKCON_Juhu.mp3")</f>
        <v>2018-01-26_Festivals_-_Special_Class_on_Sri_Ramanujacarya_-_Radhanath_Swami_ISKCON_Juhu.mp3</v>
      </c>
      <c r="D2946" s="24"/>
      <c r="E2946" s="24"/>
    </row>
    <row r="2947">
      <c r="A2947" s="25" t="s">
        <v>18352</v>
      </c>
      <c r="B2947" s="25" t="s">
        <v>18382</v>
      </c>
      <c r="C2947" s="26" t="str">
        <f>HYPERLINK("https://audio.iskcondesiretree.com/02_-_ISKCON_Swamis/ISKCON_Swamis_-_R_to_Y/His_Holiness_Radhanath_Swami/Lectures/00_-_Year_wise/Devotional_Nectar_-_2018/2018-01-27_Festivals_-_Pushya_Abhishek-Krishna_Accepts_Our_Love_-_Radhanath_Swami_ISKCON_Chowpatty.m"&amp;"p3", "2018-01-27_Festivals_-_Pushya_Abhishek-Krishna_Accepts_Our_Love_-_Radhanath_Swami_ISKCON_Chowpatty.mp3")</f>
        <v>2018-01-27_Festivals_-_Pushya_Abhishek-Krishna_Accepts_Our_Love_-_Radhanath_Swami_ISKCON_Chowpatty.mp3</v>
      </c>
      <c r="D2947" s="24"/>
      <c r="E2947" s="24"/>
    </row>
    <row r="2948">
      <c r="A2948" s="25" t="s">
        <v>18352</v>
      </c>
      <c r="B2948" s="25" t="s">
        <v>18382</v>
      </c>
      <c r="C2948" s="26" t="str">
        <f>HYPERLINK("https://audio.iskcondesiretree.com/02_-_ISKCON_Swamis/ISKCON_Swamis_-_R_to_Y/His_Holiness_Radhanath_Swami/Lectures/00_-_Year_wise/Devotional_Nectar_-_2018/2018-01-29_Festivals_-_Nityananda_Trayodashi-Bhakti_Is_Expression_of_Enthusiasm_to_Please_Krishna%28"&amp;"Morning%29_-_Radhanath_Swami_ISKCON_Chowpatty.mp3", "2018-01-29_Festivals_-_Nityananda_Trayodashi-Bhakti_Is_Expression_of_Enthusiasm_to_Please_Krishna%28Morning%29_-_Radhanath_Swami_ISKCON_Chowpatty.mp3")</f>
        <v>2018-01-29_Festivals_-_Nityananda_Trayodashi-Bhakti_Is_Expression_of_Enthusiasm_to_Please_Krishna%28Morning%29_-_Radhanath_Swami_ISKCON_Chowpatty.mp3</v>
      </c>
      <c r="D2948" s="24"/>
      <c r="E2948" s="24"/>
    </row>
    <row r="2949">
      <c r="A2949" s="25" t="s">
        <v>18352</v>
      </c>
      <c r="B2949" s="25" t="s">
        <v>18382</v>
      </c>
      <c r="C2949" s="26" t="str">
        <f>HYPERLINK("https://audio.iskcondesiretree.com/02_-_ISKCON_Swamis/ISKCON_Swamis_-_R_to_Y/His_Holiness_Radhanath_Swami/Lectures/00_-_Year_wise/Devotional_Nectar_-_2018/2018-01-29_Festivals_-_Nityananda_Trayodashi-Lord_Nityanand_Delivers_The_Most_Fallen%28Evening%29_-_"&amp;"Radhanath_Swami_ISKCON_Chowpatty.mp3", "2018-01-29_Festivals_-_Nityananda_Trayodashi-Lord_Nityanand_Delivers_The_Most_Fallen%28Evening%29_-_Radhanath_Swami_ISKCON_Chowpatty.mp3")</f>
        <v>2018-01-29_Festivals_-_Nityananda_Trayodashi-Lord_Nityanand_Delivers_The_Most_Fallen%28Evening%29_-_Radhanath_Swami_ISKCON_Chowpatty.mp3</v>
      </c>
      <c r="D2949" s="24"/>
      <c r="E2949" s="24"/>
    </row>
    <row r="2950">
      <c r="A2950" s="25" t="s">
        <v>18352</v>
      </c>
      <c r="B2950" s="25" t="s">
        <v>18382</v>
      </c>
      <c r="C2950" s="26" t="str">
        <f>HYPERLINK("https://audio.iskcondesiretree.com/02_-_ISKCON_Swamis/ISKCON_Swamis_-_R_to_Y/His_Holiness_Radhanath_Swami/Lectures/00_-_Year_wise/Devotional_Nectar_-_2018/2018-02-08_Festivals_-_Secret_of_Servant_Leadership_-_Radhanath_Swami_ISKCON_Mayapur.mp3", "2018-02-08_Festivals_-_Secret_of_Servant_Leadership_-_Radhanath_Swami_ISKCON_Mayapur.mp3")</f>
        <v>2018-02-08_Festivals_-_Secret_of_Servant_Leadership_-_Radhanath_Swami_ISKCON_Mayapur.mp3</v>
      </c>
      <c r="D2950" s="24"/>
      <c r="E2950" s="24"/>
    </row>
    <row r="2951">
      <c r="A2951" s="25" t="s">
        <v>18352</v>
      </c>
      <c r="B2951" s="25" t="s">
        <v>18382</v>
      </c>
      <c r="C2951" s="26" t="str">
        <f>HYPERLINK("https://audio.iskcondesiretree.com/02_-_ISKCON_Swamis/ISKCON_Swamis_-_R_to_Y/His_Holiness_Radhanath_Swami/Lectures/00_-_Year_wise/Devotional_Nectar_-_2018/2018-02-10_SB_04-20-13_-_Radhanath_Swami_ISKCON_Mayapur.mp3", "2018-02-10_SB_04-20-13_-_Radhanath_Swami_ISKCON_Mayapur.mp3")</f>
        <v>2018-02-10_SB_04-20-13_-_Radhanath_Swami_ISKCON_Mayapur.mp3</v>
      </c>
      <c r="D2951" s="24"/>
      <c r="E2951" s="24"/>
    </row>
    <row r="2952">
      <c r="A2952" s="25" t="s">
        <v>18352</v>
      </c>
      <c r="B2952" s="25" t="s">
        <v>18382</v>
      </c>
      <c r="C2952" s="26" t="str">
        <f>HYPERLINK("https://audio.iskcondesiretree.com/02_-_ISKCON_Swamis/ISKCON_Swamis_-_R_to_Y/His_Holiness_Radhanath_Swami/Lectures/00_-_Year_wise/Devotional_Nectar_-_2018/2018-03-02_Festivals_-_Gaur_Purnima-Appearance_of_Lord_Gauranga-Evening_Class_-_Radhanath_Swami_ISKC"&amp;"ON_Chowpatty.mp3", "2018-03-02_Festivals_-_Gaur_Purnima-Appearance_of_Lord_Gauranga-Evening_Class_-_Radhanath_Swami_ISKCON_Chowpatty.mp3")</f>
        <v>2018-03-02_Festivals_-_Gaur_Purnima-Appearance_of_Lord_Gauranga-Evening_Class_-_Radhanath_Swami_ISKCON_Chowpatty.mp3</v>
      </c>
      <c r="D2952" s="24"/>
      <c r="E2952" s="24"/>
    </row>
    <row r="2953">
      <c r="A2953" s="25" t="s">
        <v>18352</v>
      </c>
      <c r="B2953" s="25" t="s">
        <v>18382</v>
      </c>
      <c r="C2953" s="26" t="str">
        <f>HYPERLINK("https://audio.iskcondesiretree.com/02_-_ISKCON_Swamis/ISKCON_Swamis_-_R_to_Y/His_Holiness_Radhanath_Swami/Lectures/00_-_Year_wise/Devotional_Nectar_-_2018/2018-03-02_Festivals_-_Gaur_Purnima_Morning_Class-Gaur_Katha_-_Radhanath_Swami_ISKCON_Chowpatty.mp3", "2018-03-02_Festivals_-_Gaur_Purnima_Morning_Class-Gaur_Katha_-_Radhanath_Swami_ISKCON_Chowpatty.mp3")</f>
        <v>2018-03-02_Festivals_-_Gaur_Purnima_Morning_Class-Gaur_Katha_-_Radhanath_Swami_ISKCON_Chowpatty.mp3</v>
      </c>
      <c r="D2953" s="24"/>
      <c r="E2953" s="24"/>
    </row>
    <row r="2954">
      <c r="A2954" s="25" t="s">
        <v>18352</v>
      </c>
      <c r="B2954" s="25" t="s">
        <v>18382</v>
      </c>
      <c r="C2954" s="26" t="str">
        <f>HYPERLINK("https://audio.iskcondesiretree.com/02_-_ISKCON_Swamis/ISKCON_Swamis_-_R_to_Y/His_Holiness_Radhanath_Swami/Lectures/00_-_Year_wise/Devotional_Nectar_-_2018/2018-03-11_SB_11-03-45_-_Saintly_Persons_are_Like_Fire-They_Purify_All_-_Radhanath_Swami_ISKCON_Chow"&amp;"patty.mp3", "2018-03-11_SB_11-03-45_-_Saintly_Persons_are_Like_Fire-They_Purify_All_-_Radhanath_Swami_ISKCON_Chowpatty.mp3")</f>
        <v>2018-03-11_SB_11-03-45_-_Saintly_Persons_are_Like_Fire-They_Purify_All_-_Radhanath_Swami_ISKCON_Chowpatty.mp3</v>
      </c>
      <c r="D2954" s="24"/>
      <c r="E2954" s="24"/>
    </row>
    <row r="2955">
      <c r="A2955" s="25" t="s">
        <v>18352</v>
      </c>
      <c r="B2955" s="25" t="s">
        <v>18382</v>
      </c>
      <c r="C2955" s="26" t="str">
        <f>HYPERLINK("https://audio.iskcondesiretree.com/02_-_ISKCON_Swamis/ISKCON_Swamis_-_R_to_Y/His_Holiness_Radhanath_Swami/Lectures/00_-_Year_wise/Devotional_Nectar_-_2018/2018-08-18_Various_-_Spirit_of_Service_weighs_more_than_the_Act_-_Radhanath_Swami_Bhaktivedanta_Mano"&amp;"r.mp3", "2018-08-18_Various_-_Spirit_of_Service_weighs_more_than_the_Act_-_Radhanath_Swami_Bhaktivedanta_Manor.mp3")</f>
        <v>2018-08-18_Various_-_Spirit_of_Service_weighs_more_than_the_Act_-_Radhanath_Swami_Bhaktivedanta_Manor.mp3</v>
      </c>
      <c r="D2955" s="24"/>
      <c r="E2955" s="24"/>
    </row>
    <row r="2956">
      <c r="A2956" s="25" t="s">
        <v>18352</v>
      </c>
      <c r="B2956" s="25" t="s">
        <v>18382</v>
      </c>
      <c r="C2956" s="26" t="str">
        <f>HYPERLINK("https://audio.iskcondesiretree.com/02_-_ISKCON_Swamis/ISKCON_Swamis_-_R_to_Y/His_Holiness_Radhanath_Swami/Lectures/00_-_Year_wise/Devotional_Nectar_-_2018/2018-08-19_Various_-_Proper_Hearing_of_Hari_Katha_-_Radhanath_Swami_Bhaktivedanta_Manor.mp3", "2018-08-19_Various_-_Proper_Hearing_of_Hari_Katha_-_Radhanath_Swami_Bhaktivedanta_Manor.mp3")</f>
        <v>2018-08-19_Various_-_Proper_Hearing_of_Hari_Katha_-_Radhanath_Swami_Bhaktivedanta_Manor.mp3</v>
      </c>
      <c r="D2956" s="24"/>
      <c r="E2956" s="24"/>
    </row>
    <row r="2957">
      <c r="A2957" s="25" t="s">
        <v>18352</v>
      </c>
      <c r="B2957" s="25" t="s">
        <v>18382</v>
      </c>
      <c r="C2957" s="26" t="str">
        <f>HYPERLINK("https://audio.iskcondesiretree.com/02_-_ISKCON_Swamis/ISKCON_Swamis_-_R_to_Y/His_Holiness_Radhanath_Swami/Lectures/00_-_Year_wise/Devotional_Nectar_-_2018/2018-08-26_SB_10-08-12_-_Balaram_Jayanti_Class_-_Radhanath_Swami_ISKCON_Chowpatty.mp3", "2018-08-26_SB_10-08-12_-_Balaram_Jayanti_Class_-_Radhanath_Swami_ISKCON_Chowpatty.mp3")</f>
        <v>2018-08-26_SB_10-08-12_-_Balaram_Jayanti_Class_-_Radhanath_Swami_ISKCON_Chowpatty.mp3</v>
      </c>
      <c r="D2957" s="24"/>
      <c r="E2957" s="24"/>
    </row>
    <row r="2958">
      <c r="A2958" s="25" t="s">
        <v>18352</v>
      </c>
      <c r="B2958" s="25" t="s">
        <v>18382</v>
      </c>
      <c r="C2958" s="26" t="str">
        <f>HYPERLINK("https://audio.iskcondesiretree.com/02_-_ISKCON_Swamis/ISKCON_Swamis_-_R_to_Y/His_Holiness_Radhanath_Swami/Lectures/00_-_Year_wise/Devotional_Nectar_-_2018/2018-09-02_SB_10-16-39_-_Janmastami_Festival_Katha_-_Radhanath_Swami_ISKCON_Chowpatty.mp3", "2018-09-02_SB_10-16-39_-_Janmastami_Festival_Katha_-_Radhanath_Swami_ISKCON_Chowpatty.mp3")</f>
        <v>2018-09-02_SB_10-16-39_-_Janmastami_Festival_Katha_-_Radhanath_Swami_ISKCON_Chowpatty.mp3</v>
      </c>
      <c r="D2958" s="24"/>
      <c r="E2958" s="24"/>
    </row>
    <row r="2959">
      <c r="A2959" s="25" t="s">
        <v>18352</v>
      </c>
      <c r="B2959" s="25" t="s">
        <v>18382</v>
      </c>
      <c r="C2959" s="26" t="str">
        <f>HYPERLINK("https://audio.iskcondesiretree.com/02_-_ISKCON_Swamis/ISKCON_Swamis_-_R_to_Y/His_Holiness_Radhanath_Swami/Lectures/00_-_Year_wise/Devotional_Nectar_-_2018/2018-09-03_SB_10-01-02_-_Janmastami_Festival_Katha_-_Radhanath_Swami_ISKCON_Chowpatty.mp3", "2018-09-03_SB_10-01-02_-_Janmastami_Festival_Katha_-_Radhanath_Swami_ISKCON_Chowpatty.mp3")</f>
        <v>2018-09-03_SB_10-01-02_-_Janmastami_Festival_Katha_-_Radhanath_Swami_ISKCON_Chowpatty.mp3</v>
      </c>
      <c r="D2959" s="24"/>
      <c r="E2959" s="24"/>
    </row>
    <row r="2960">
      <c r="A2960" s="25" t="s">
        <v>18352</v>
      </c>
      <c r="B2960" s="25" t="s">
        <v>18382</v>
      </c>
      <c r="C2960" s="26" t="str">
        <f>HYPERLINK("https://audio.iskcondesiretree.com/02_-_ISKCON_Swamis/ISKCON_Swamis_-_R_to_Y/His_Holiness_Radhanath_Swami/Lectures/00_-_Year_wise/Devotional_Nectar_-_2018/2018-09-04_Festivals_-_Srila_Prabhupada_Appearance-Offerings_by_Various_Devotees_-_Radhanath_Swami_I"&amp;"SKCON_Chowpatty.mp3", "2018-09-04_Festivals_-_Srila_Prabhupada_Appearance-Offerings_by_Various_Devotees_-_Radhanath_Swami_ISKCON_Chowpatty.mp3")</f>
        <v>2018-09-04_Festivals_-_Srila_Prabhupada_Appearance-Offerings_by_Various_Devotees_-_Radhanath_Swami_ISKCON_Chowpatty.mp3</v>
      </c>
      <c r="D2960" s="24"/>
      <c r="E2960" s="24"/>
    </row>
    <row r="2961">
      <c r="A2961" s="25" t="s">
        <v>18352</v>
      </c>
      <c r="B2961" s="25" t="s">
        <v>18382</v>
      </c>
      <c r="C2961" s="26" t="str">
        <f>HYPERLINK("https://audio.iskcondesiretree.com/02_-_ISKCON_Swamis/ISKCON_Swamis_-_R_to_Y/His_Holiness_Radhanath_Swami/Lectures/00_-_Year_wise/Devotional_Nectar_-_2018/2018-10-28_SB_11-14-01_-_Glories_Of_Uddhav_Gita_-_Radhanath_Swami_ISKCON_Chowpatty.mp3", "2018-10-28_SB_11-14-01_-_Glories_Of_Uddhav_Gita_-_Radhanath_Swami_ISKCON_Chowpatty.mp3")</f>
        <v>2018-10-28_SB_11-14-01_-_Glories_Of_Uddhav_Gita_-_Radhanath_Swami_ISKCON_Chowpatty.mp3</v>
      </c>
      <c r="D2961" s="24"/>
      <c r="E2961" s="24"/>
    </row>
    <row r="2962">
      <c r="A2962" s="25" t="s">
        <v>18352</v>
      </c>
      <c r="B2962" s="25" t="s">
        <v>18382</v>
      </c>
      <c r="C2962" s="26" t="str">
        <f>HYPERLINK("https://audio.iskcondesiretree.com/02_-_ISKCON_Swamis/ISKCON_Swamis_-_R_to_Y/His_Holiness_Radhanath_Swami/Lectures/00_-_Year_wise/Devotional_Nectar_-_2018/2018-12-09_SB_11-15-01_-_Sharanagati_means_Taking_Shelter_of_Lord_Krishna_-_Radhanath_Swami_ISKCON_C"&amp;"howpatty.mp3", "2018-12-09_SB_11-15-01_-_Sharanagati_means_Taking_Shelter_of_Lord_Krishna_-_Radhanath_Swami_ISKCON_Chowpatty.mp3")</f>
        <v>2018-12-09_SB_11-15-01_-_Sharanagati_means_Taking_Shelter_of_Lord_Krishna_-_Radhanath_Swami_ISKCON_Chowpatty.mp3</v>
      </c>
      <c r="D2962" s="24"/>
      <c r="E2962" s="24"/>
    </row>
    <row r="2963">
      <c r="A2963" s="25" t="s">
        <v>18352</v>
      </c>
      <c r="B2963" s="25" t="s">
        <v>18382</v>
      </c>
      <c r="C2963" s="26" t="str">
        <f>HYPERLINK("https://audio.iskcondesiretree.com/02_-_ISKCON_Swamis/ISKCON_Swamis_-_R_to_Y/His_Holiness_Radhanath_Swami/Lectures/00_-_Year_wise/Devotional_Nectar_-_2018/2018-12-16_SB_11-15-12_-_Lord_Krishna_is_Real_Yogesvara_-_Radhanath_Swami_ISKCON_Chowpatty.mp3", "2018-12-16_SB_11-15-12_-_Lord_Krishna_is_Real_Yogesvara_-_Radhanath_Swami_ISKCON_Chowpatty.mp3")</f>
        <v>2018-12-16_SB_11-15-12_-_Lord_Krishna_is_Real_Yogesvara_-_Radhanath_Swami_ISKCON_Chowpatty.mp3</v>
      </c>
      <c r="D2963" s="24"/>
      <c r="E2963" s="24"/>
    </row>
    <row r="2964">
      <c r="A2964" s="25" t="s">
        <v>18352</v>
      </c>
      <c r="B2964" s="25" t="s">
        <v>18382</v>
      </c>
      <c r="C2964" s="26" t="str">
        <f>HYPERLINK("https://audio.iskcondesiretree.com/02_-_ISKCON_Swamis/ISKCON_Swamis_-_R_to_Y/His_Holiness_Radhanath_Swami/Lectures/00_-_Year_wise/Devotional_Nectar_-_2018/2018-12-23_SB_11-15-17_-_Achieving_Perfection_through_Devotional_Service_-_Radhanath_Swami_ISKCON_Ch"&amp;"owpatty.mp3", "2018-12-23_SB_11-15-17_-_Achieving_Perfection_through_Devotional_Service_-_Radhanath_Swami_ISKCON_Chowpatty.mp3")</f>
        <v>2018-12-23_SB_11-15-17_-_Achieving_Perfection_through_Devotional_Service_-_Radhanath_Swami_ISKCON_Chowpatty.mp3</v>
      </c>
      <c r="D2964" s="24"/>
      <c r="E2964" s="24"/>
    </row>
    <row r="2965">
      <c r="A2965" s="25" t="s">
        <v>18352</v>
      </c>
      <c r="B2965" s="25" t="s">
        <v>18383</v>
      </c>
      <c r="C2965" s="26" t="str">
        <f>HYPERLINK("https://audio.iskcondesiretree.com/02_-_ISKCON_Swamis/ISKCON_Swamis_-_R_to_Y/His_Holiness_Radhanath_Swami/Lectures/00_-_Year_wise/Devotional_Nectar_-_2019/2019-01-05_Festivals_-_Shivaji_Park_Rath_Yatra_Lecture_-_Radhanath_Swami_Dadar.mp3", "2019-01-05_Festivals_-_Shivaji_Park_Rath_Yatra_Lecture_-_Radhanath_Swami_Dadar.mp3")</f>
        <v>2019-01-05_Festivals_-_Shivaji_Park_Rath_Yatra_Lecture_-_Radhanath_Swami_Dadar.mp3</v>
      </c>
      <c r="D2965" s="24"/>
      <c r="E2965" s="24"/>
    </row>
    <row r="2966">
      <c r="A2966" s="25" t="s">
        <v>18352</v>
      </c>
      <c r="B2966" s="25" t="s">
        <v>18383</v>
      </c>
      <c r="C2966" s="26" t="str">
        <f>HYPERLINK("https://audio.iskcondesiretree.com/02_-_ISKCON_Swamis/ISKCON_Swamis_-_R_to_Y/His_Holiness_Radhanath_Swami/Lectures/00_-_Year_wise/Devotional_Nectar_-_2019/2019-01-06_SB_11-15-32_-_Psychology_of_Love_of_Godhead_-_Radhanath_Swami_ISKCON_Chowpatty.mp3", "2019-01-06_SB_11-15-32_-_Psychology_of_Love_of_Godhead_-_Radhanath_Swami_ISKCON_Chowpatty.mp3")</f>
        <v>2019-01-06_SB_11-15-32_-_Psychology_of_Love_of_Godhead_-_Radhanath_Swami_ISKCON_Chowpatty.mp3</v>
      </c>
      <c r="D2966" s="24"/>
      <c r="E2966" s="24"/>
    </row>
    <row r="2967">
      <c r="A2967" s="25" t="s">
        <v>18352</v>
      </c>
      <c r="B2967" s="25" t="s">
        <v>18383</v>
      </c>
      <c r="C2967" s="26" t="str">
        <f>HYPERLINK("https://audio.iskcondesiretree.com/02_-_ISKCON_Swamis/ISKCON_Swamis_-_R_to_Y/His_Holiness_Radhanath_Swami/Lectures/00_-_Year_wise/Devotional_Nectar_-_2019/2019-01-20_SB_11-16-10-17_-_Krishna_is_the_Source_of_Opulence_-_Radhanath_Swami_ISKCON_Chowpatty.mp3", "2019-01-20_SB_11-16-10-17_-_Krishna_is_the_Source_of_Opulence_-_Radhanath_Swami_ISKCON_Chowpatty.mp3")</f>
        <v>2019-01-20_SB_11-16-10-17_-_Krishna_is_the_Source_of_Opulence_-_Radhanath_Swami_ISKCON_Chowpatty.mp3</v>
      </c>
      <c r="D2967" s="24"/>
      <c r="E2967" s="24"/>
    </row>
    <row r="2968">
      <c r="A2968" s="25" t="s">
        <v>18352</v>
      </c>
      <c r="B2968" s="25" t="s">
        <v>18383</v>
      </c>
      <c r="C2968" s="26" t="str">
        <f>HYPERLINK("https://audio.iskcondesiretree.com/02_-_ISKCON_Swamis/ISKCON_Swamis_-_R_to_Y/His_Holiness_Radhanath_Swami/Lectures/00_-_Year_wise/Devotional_Nectar_-_2019/2019-01-20_Various_-_Special_Lecture-Childhood_Pastimes_of_Lord_Krishna_-_Radhanath_Swami_ISKCON_Juh"&amp;"u.mp3", "2019-01-20_Various_-_Special_Lecture-Childhood_Pastimes_of_Lord_Krishna_-_Radhanath_Swami_ISKCON_Juhu.mp3")</f>
        <v>2019-01-20_Various_-_Special_Lecture-Childhood_Pastimes_of_Lord_Krishna_-_Radhanath_Swami_ISKCON_Juhu.mp3</v>
      </c>
      <c r="D2968" s="24"/>
      <c r="E2968" s="24"/>
    </row>
    <row r="2969">
      <c r="A2969" s="25" t="s">
        <v>18352</v>
      </c>
      <c r="B2969" s="25" t="s">
        <v>18383</v>
      </c>
      <c r="C2969" s="26" t="str">
        <f>HYPERLINK("https://audio.iskcondesiretree.com/02_-_ISKCON_Swamis/ISKCON_Swamis_-_R_to_Y/His_Holiness_Radhanath_Swami/Lectures/00_-_Year_wise/Devotional_Nectar_-_2019/2019-01-25_Festivals_-_Special_Class_on_Radha_Madan_Mohan_Installation_-_Radhanath_Swami_GEV_Wada.mp"&amp;"3", "2019-01-25_Festivals_-_Special_Class_on_Radha_Madan_Mohan_Installation_-_Radhanath_Swami_GEV_Wada.mp3")</f>
        <v>2019-01-25_Festivals_-_Special_Class_on_Radha_Madan_Mohan_Installation_-_Radhanath_Swami_GEV_Wada.mp3</v>
      </c>
      <c r="D2969" s="24"/>
      <c r="E2969" s="24"/>
    </row>
    <row r="2970">
      <c r="A2970" s="25" t="s">
        <v>18352</v>
      </c>
      <c r="B2970" s="25" t="s">
        <v>18383</v>
      </c>
      <c r="C2970" s="26" t="str">
        <f>HYPERLINK("https://audio.iskcondesiretree.com/02_-_ISKCON_Swamis/ISKCON_Swamis_-_R_to_Y/His_Holiness_Radhanath_Swami/Lectures/00_-_Year_wise/Devotional_Nectar_-_2019/2019-01-27_SB_04-31-26_-_Sacrifice_to_Help_Others_Pleases_Krishna_than_Anything_Else_-_Radhanath_Swa"&amp;"mi_ISKCON_Chowpatty.mp3", "2019-01-27_SB_04-31-26_-_Sacrifice_to_Help_Others_Pleases_Krishna_than_Anything_Else_-_Radhanath_Swami_ISKCON_Chowpatty.mp3")</f>
        <v>2019-01-27_SB_04-31-26_-_Sacrifice_to_Help_Others_Pleases_Krishna_than_Anything_Else_-_Radhanath_Swami_ISKCON_Chowpatty.mp3</v>
      </c>
      <c r="D2970" s="24"/>
      <c r="E2970" s="24"/>
    </row>
    <row r="2971">
      <c r="A2971" s="25" t="s">
        <v>18352</v>
      </c>
      <c r="B2971" s="25" t="s">
        <v>18383</v>
      </c>
      <c r="C2971" s="26" t="str">
        <f>HYPERLINK("https://audio.iskcondesiretree.com/02_-_ISKCON_Swamis/ISKCON_Swamis_-_R_to_Y/His_Holiness_Radhanath_Swami/Lectures/00_-_Year_wise/Devotional_Nectar_-_2019/2019-03-24_CC_Madhya_Lila_01-52-53_-_Radhanath_Swami_Bhaktivedanta_Manor.mp3", "2019-03-24_CC_Madhya_Lila_01-52-53_-_Radhanath_Swami_Bhaktivedanta_Manor.mp3")</f>
        <v>2019-03-24_CC_Madhya_Lila_01-52-53_-_Radhanath_Swami_Bhaktivedanta_Manor.mp3</v>
      </c>
      <c r="D2971" s="24"/>
      <c r="E2971" s="24"/>
    </row>
    <row r="2972">
      <c r="A2972" s="25" t="s">
        <v>18352</v>
      </c>
      <c r="B2972" s="25" t="s">
        <v>18383</v>
      </c>
      <c r="C2972" s="26" t="str">
        <f>HYPERLINK("https://audio.iskcondesiretree.com/02_-_ISKCON_Swamis/ISKCON_Swamis_-_R_to_Y/His_Holiness_Radhanath_Swami/Lectures/00_-_Year_wise/Devotional_Nectar_-_2019/2019-04-28_Festivals_-_Glories_of_Sri_Hanuman-The_Emblem_of_Devotion_-_Radhanath_Swami.mp3", "2019-04-28_Festivals_-_Glories_of_Sri_Hanuman-The_Emblem_of_Devotion_-_Radhanath_Swami.mp3")</f>
        <v>2019-04-28_Festivals_-_Glories_of_Sri_Hanuman-The_Emblem_of_Devotion_-_Radhanath_Swami.mp3</v>
      </c>
      <c r="D2972" s="24"/>
      <c r="E2972" s="24"/>
    </row>
    <row r="2973">
      <c r="A2973" s="25" t="s">
        <v>18352</v>
      </c>
      <c r="B2973" s="25" t="s">
        <v>18383</v>
      </c>
      <c r="C2973" s="26" t="str">
        <f>HYPERLINK("https://audio.iskcondesiretree.com/02_-_ISKCON_Swamis/ISKCON_Swamis_-_R_to_Y/His_Holiness_Radhanath_Swami/Lectures/00_-_Year_wise/Devotional_Nectar_-_2019/2019-05-06_Various_-_Wisdom_from_the_Bhakti_Tradition_-_Radhanath_Swami_Bhakti_Centre.mp3", "2019-05-06_Various_-_Wisdom_from_the_Bhakti_Tradition_-_Radhanath_Swami_Bhakti_Centre.mp3")</f>
        <v>2019-05-06_Various_-_Wisdom_from_the_Bhakti_Tradition_-_Radhanath_Swami_Bhakti_Centre.mp3</v>
      </c>
      <c r="D2973" s="24"/>
      <c r="E2973" s="24"/>
    </row>
    <row r="2974">
      <c r="A2974" s="25" t="s">
        <v>18352</v>
      </c>
      <c r="B2974" s="25" t="s">
        <v>18383</v>
      </c>
      <c r="C2974" s="26" t="str">
        <f>HYPERLINK("https://audio.iskcondesiretree.com/02_-_ISKCON_Swamis/ISKCON_Swamis_-_R_to_Y/His_Holiness_Radhanath_Swami/Lectures/00_-_Year_wise/Devotional_Nectar_-_2019/2019-05-14_Various_-_Talk_on_Mothers_Day_-_Radhanath_Swami_Bhakti_Centre.mp3", "2019-05-14_Various_-_Talk_on_Mothers_Day_-_Radhanath_Swami_Bhakti_Centre.mp3")</f>
        <v>2019-05-14_Various_-_Talk_on_Mothers_Day_-_Radhanath_Swami_Bhakti_Centre.mp3</v>
      </c>
      <c r="D2974" s="24"/>
      <c r="E2974" s="24"/>
    </row>
    <row r="2975">
      <c r="A2975" s="25" t="s">
        <v>18352</v>
      </c>
      <c r="B2975" s="25" t="s">
        <v>18383</v>
      </c>
      <c r="C2975" s="26" t="str">
        <f>HYPERLINK("https://audio.iskcondesiretree.com/02_-_ISKCON_Swamis/ISKCON_Swamis_-_R_to_Y/His_Holiness_Radhanath_Swami/Lectures/00_-_Year_wise/Devotional_Nectar_-_2019/2019-05-14_Various_-_Wisdom_from_the_Bhakti_Tradition_-_Radhanath_Swami_Bhakti_Centre.mp3", "2019-05-14_Various_-_Wisdom_from_the_Bhakti_Tradition_-_Radhanath_Swami_Bhakti_Centre.mp3")</f>
        <v>2019-05-14_Various_-_Wisdom_from_the_Bhakti_Tradition_-_Radhanath_Swami_Bhakti_Centre.mp3</v>
      </c>
      <c r="D2975" s="24"/>
      <c r="E2975" s="24"/>
    </row>
    <row r="2976">
      <c r="A2976" s="25" t="s">
        <v>18352</v>
      </c>
      <c r="B2976" s="25" t="s">
        <v>18383</v>
      </c>
      <c r="C2976" s="26" t="str">
        <f>HYPERLINK("https://audio.iskcondesiretree.com/02_-_ISKCON_Swamis/ISKCON_Swamis_-_R_to_Y/His_Holiness_Radhanath_Swami/Lectures/00_-_Year_wise/Devotional_Nectar_-_2019/2019-05-29_Various_-_Wisdom_from_the_Bhakti_Tradition_-_Radhanath_Swami_Bhakti_Centre.mp3", "2019-05-29_Various_-_Wisdom_from_the_Bhakti_Tradition_-_Radhanath_Swami_Bhakti_Centre.mp3")</f>
        <v>2019-05-29_Various_-_Wisdom_from_the_Bhakti_Tradition_-_Radhanath_Swami_Bhakti_Centre.mp3</v>
      </c>
      <c r="D2976" s="24"/>
      <c r="E2976" s="24"/>
    </row>
    <row r="2977">
      <c r="A2977" s="25" t="s">
        <v>18352</v>
      </c>
      <c r="B2977" s="25" t="s">
        <v>18383</v>
      </c>
      <c r="C2977" s="26" t="str">
        <f>HYPERLINK("https://audio.iskcondesiretree.com/02_-_ISKCON_Swamis/ISKCON_Swamis_-_R_to_Y/His_Holiness_Radhanath_Swami/Lectures/00_-_Year_wise/Devotional_Nectar_-_2019/2019-07-10_SB_01-16-20_-_Radhanath_Swami_Los_Angeles.mp3", "2019-07-10_SB_01-16-20_-_Radhanath_Swami_Los_Angeles.mp3")</f>
        <v>2019-07-10_SB_01-16-20_-_Radhanath_Swami_Los_Angeles.mp3</v>
      </c>
      <c r="D2977" s="24"/>
      <c r="E2977" s="24"/>
    </row>
    <row r="2978">
      <c r="A2978" s="25" t="s">
        <v>18352</v>
      </c>
      <c r="B2978" s="25" t="s">
        <v>18383</v>
      </c>
      <c r="C2978" s="26" t="str">
        <f>HYPERLINK("https://audio.iskcondesiretree.com/02_-_ISKCON_Swamis/ISKCON_Swamis_-_R_to_Y/His_Holiness_Radhanath_Swami/Lectures/00_-_Year_wise/Devotional_Nectar_-_2019/2019-07-28_Festivals_-_Initiation_Talk_-_Radhanath_Swami_Silicon_Valley.mp3", "2019-07-28_Festivals_-_Initiation_Talk_-_Radhanath_Swami_Silicon_Valley.mp3")</f>
        <v>2019-07-28_Festivals_-_Initiation_Talk_-_Radhanath_Swami_Silicon_Valley.mp3</v>
      </c>
      <c r="D2978" s="24"/>
      <c r="E2978" s="24"/>
    </row>
    <row r="2979">
      <c r="A2979" s="25" t="s">
        <v>18352</v>
      </c>
      <c r="B2979" s="25" t="s">
        <v>18383</v>
      </c>
      <c r="C2979" s="26" t="str">
        <f>HYPERLINK("https://audio.iskcondesiretree.com/02_-_ISKCON_Swamis/ISKCON_Swamis_-_R_to_Y/His_Holiness_Radhanath_Swami/Lectures/00_-_Year_wise/Devotional_Nectar_-_2019/2019-08-24_SB_01-03-28_-_Janmashtami_Festival_-_Radhanath_Swami_ISKCON_Chowpatty.mp3", "2019-08-24_SB_01-03-28_-_Janmashtami_Festival_-_Radhanath_Swami_ISKCON_Chowpatty.mp3")</f>
        <v>2019-08-24_SB_01-03-28_-_Janmashtami_Festival_-_Radhanath_Swami_ISKCON_Chowpatty.mp3</v>
      </c>
      <c r="D2979" s="24"/>
      <c r="E2979" s="24"/>
    </row>
    <row r="2980">
      <c r="A2980" s="25" t="s">
        <v>18352</v>
      </c>
      <c r="B2980" s="25" t="s">
        <v>18383</v>
      </c>
      <c r="C2980" s="26" t="str">
        <f>HYPERLINK("https://audio.iskcondesiretree.com/02_-_ISKCON_Swamis/ISKCON_Swamis_-_R_to_Y/His_Holiness_Radhanath_Swami/Lectures/00_-_Year_wise/Devotional_Nectar_-_2019/2019-08-25_Festivals_-_Srila_Prabhupada_Vyasa_Puja_Offerings_-_Radhanath_Swami_ISKCON_Chowpatty.mp3", "2019-08-25_Festivals_-_Srila_Prabhupada_Vyasa_Puja_Offerings_-_Radhanath_Swami_ISKCON_Chowpatty.mp3")</f>
        <v>2019-08-25_Festivals_-_Srila_Prabhupada_Vyasa_Puja_Offerings_-_Radhanath_Swami_ISKCON_Chowpatty.mp3</v>
      </c>
      <c r="D2980" s="24"/>
      <c r="E2980" s="24"/>
    </row>
    <row r="2981">
      <c r="A2981" s="25" t="s">
        <v>18352</v>
      </c>
      <c r="B2981" s="25" t="s">
        <v>18383</v>
      </c>
      <c r="C2981" s="26" t="str">
        <f>HYPERLINK("https://audio.iskcondesiretree.com/02_-_ISKCON_Swamis/ISKCON_Swamis_-_R_to_Y/His_Holiness_Radhanath_Swami/Lectures/00_-_Year_wise/Devotional_Nectar_-_2019/2019-11-10_Festivals_-_Govardhan_Puja_Lecture_-_Radhanath_Swami_GEV.mp3", "2019-11-10_Festivals_-_Govardhan_Puja_Lecture_-_Radhanath_Swami_GEV.mp3")</f>
        <v>2019-11-10_Festivals_-_Govardhan_Puja_Lecture_-_Radhanath_Swami_GEV.mp3</v>
      </c>
      <c r="D2981" s="24"/>
      <c r="E2981" s="24"/>
    </row>
    <row r="2982">
      <c r="A2982" s="25" t="s">
        <v>18352</v>
      </c>
      <c r="B2982" s="25" t="s">
        <v>18383</v>
      </c>
      <c r="C2982" s="26" t="str">
        <f>HYPERLINK("https://audio.iskcondesiretree.com/02_-_ISKCON_Swamis/ISKCON_Swamis_-_R_to_Y/His_Holiness_Radhanath_Swami/Lectures/00_-_Year_wise/Devotional_Nectar_-_2019/2019-12-19_SB-11-24-08_-_Humility_is_Important_in_Uprooting_False_Ego_-_Radhanath_Swami_ISKCON_Chowp"&amp;"atty.mp3", "2019-12-19_SB-11-24-08_-_Humility_is_Important_in_Uprooting_False_Ego_-_Radhanath_Swami_ISKCON_Chowpatty.mp3")</f>
        <v>2019-12-19_SB-11-24-08_-_Humility_is_Important_in_Uprooting_False_Ego_-_Radhanath_Swami_ISKCON_Chowpatty.mp3</v>
      </c>
      <c r="D2982" s="24"/>
      <c r="E2982" s="24"/>
    </row>
    <row r="2983">
      <c r="A2983" s="25" t="s">
        <v>18352</v>
      </c>
      <c r="B2983" s="25" t="s">
        <v>18383</v>
      </c>
      <c r="C2983" s="26" t="str">
        <f>HYPERLINK("https://audio.iskcondesiretree.com/02_-_ISKCON_Swamis/ISKCON_Swamis_-_R_to_Y/His_Holiness_Radhanath_Swami/Lectures/00_-_Year_wise/Devotional_Nectar_-_2019/2019-12-29_Festivals_-_Glories_of_Jiva_Goswami_-_Radhanath_Swami_GEV_Wada.mp3", "2019-12-29_Festivals_-_Glories_of_Jiva_Goswami_-_Radhanath_Swami_GEV_Wada.mp3")</f>
        <v>2019-12-29_Festivals_-_Glories_of_Jiva_Goswami_-_Radhanath_Swami_GEV_Wada.mp3</v>
      </c>
      <c r="D2983" s="24"/>
      <c r="E2983" s="24"/>
    </row>
    <row r="2984">
      <c r="A2984" s="25" t="s">
        <v>18352</v>
      </c>
      <c r="B2984" s="25" t="s">
        <v>18384</v>
      </c>
      <c r="C2984" s="26" t="str">
        <f>HYPERLINK("https://audio.iskcondesiretree.com/02_-_ISKCON_Swamis/ISKCON_Swamis_-_R_to_Y/His_Holiness_Radhanath_Swami/Lectures/00_-_Year_wise/Devotional_Nectar_-_2020/2020-01-05_SB_11-25-06_-_Intricate_Workings_of_The_Modes_Of_Material_Nature_-_Radhanath_Swami_ISKCON"&amp;"_Chowpatty.mp3", "2020-01-05_SB_11-25-06_-_Intricate_Workings_of_The_Modes_Of_Material_Nature_-_Radhanath_Swami_ISKCON_Chowpatty.mp3")</f>
        <v>2020-01-05_SB_11-25-06_-_Intricate_Workings_of_The_Modes_Of_Material_Nature_-_Radhanath_Swami_ISKCON_Chowpatty.mp3</v>
      </c>
      <c r="D2984" s="24"/>
      <c r="E2984" s="24"/>
    </row>
    <row r="2985">
      <c r="A2985" s="25" t="s">
        <v>18352</v>
      </c>
      <c r="B2985" s="25" t="s">
        <v>18384</v>
      </c>
      <c r="C2985" s="26" t="str">
        <f>HYPERLINK("https://audio.iskcondesiretree.com/02_-_ISKCON_Swamis/ISKCON_Swamis_-_R_to_Y/His_Holiness_Radhanath_Swami/Lectures/00_-_Year_wise/Devotional_Nectar_-_2020/2020-01-12_SB_06-03-31_-_Sankirtan_brings_Auspiciousness_-_Radhanath_Swami_ISKCON_Chowpatty.mp3", "2020-01-12_SB_06-03-31_-_Sankirtan_brings_Auspiciousness_-_Radhanath_Swami_ISKCON_Chowpatty.mp3")</f>
        <v>2020-01-12_SB_06-03-31_-_Sankirtan_brings_Auspiciousness_-_Radhanath_Swami_ISKCON_Chowpatty.mp3</v>
      </c>
      <c r="D2985" s="24"/>
      <c r="E2985" s="24"/>
    </row>
    <row r="2986">
      <c r="A2986" s="25" t="s">
        <v>18352</v>
      </c>
      <c r="B2986" s="25" t="s">
        <v>18384</v>
      </c>
      <c r="C2986" s="26" t="str">
        <f>HYPERLINK("https://audio.iskcondesiretree.com/02_-_ISKCON_Swamis/ISKCON_Swamis_-_R_to_Y/His_Holiness_Radhanath_Swami/Lectures/00_-_Year_wise/Devotional_Nectar_-_2020/2020-01-18_Various_-_Artha_Forum_-_Radhanath_Swami_GEV.mp3", "2020-01-18_Various_-_Artha_Forum_-_Radhanath_Swami_GEV.mp3")</f>
        <v>2020-01-18_Various_-_Artha_Forum_-_Radhanath_Swami_GEV.mp3</v>
      </c>
      <c r="D2986" s="24"/>
      <c r="E2986" s="24"/>
    </row>
    <row r="2987">
      <c r="A2987" s="25" t="s">
        <v>18352</v>
      </c>
      <c r="B2987" s="25" t="s">
        <v>18384</v>
      </c>
      <c r="C2987" s="26" t="str">
        <f>HYPERLINK("https://audio.iskcondesiretree.com/02_-_ISKCON_Swamis/ISKCON_Swamis_-_R_to_Y/His_Holiness_Radhanath_Swami/Lectures/00_-_Year_wise/Devotional_Nectar_-_2020/2020-01-25_Festivals_-_Pushya_Abhishek_Lecture-Evening_Class_-_Radhanath_Swami_ISKCON_Chowpatty.mp3", "2020-01-25_Festivals_-_Pushya_Abhishek_Lecture-Evening_Class_-_Radhanath_Swami_ISKCON_Chowpatty.mp3")</f>
        <v>2020-01-25_Festivals_-_Pushya_Abhishek_Lecture-Evening_Class_-_Radhanath_Swami_ISKCON_Chowpatty.mp3</v>
      </c>
      <c r="D2987" s="24"/>
      <c r="E2987" s="24"/>
    </row>
    <row r="2988">
      <c r="A2988" s="25" t="s">
        <v>18352</v>
      </c>
      <c r="B2988" s="25" t="s">
        <v>18384</v>
      </c>
      <c r="C2988" s="26" t="str">
        <f>HYPERLINK("https://audio.iskcondesiretree.com/02_-_ISKCON_Swamis/ISKCON_Swamis_-_R_to_Y/His_Holiness_Radhanath_Swami/Lectures/00_-_Year_wise/Devotional_Nectar_-_2020/2020-01-25_Festivals_-_Pushya_Abhishek_Lecture-Morning_Class_-_Radhanath_Swami_ISKCON_Chowpatty.mp3", "2020-01-25_Festivals_-_Pushya_Abhishek_Lecture-Morning_Class_-_Radhanath_Swami_ISKCON_Chowpatty.mp3")</f>
        <v>2020-01-25_Festivals_-_Pushya_Abhishek_Lecture-Morning_Class_-_Radhanath_Swami_ISKCON_Chowpatty.mp3</v>
      </c>
      <c r="D2988" s="24"/>
      <c r="E2988" s="24"/>
    </row>
    <row r="2989">
      <c r="A2989" s="25" t="s">
        <v>18352</v>
      </c>
      <c r="B2989" s="25" t="s">
        <v>18384</v>
      </c>
      <c r="C2989" s="26" t="str">
        <f>HYPERLINK("https://audio.iskcondesiretree.com/02_-_ISKCON_Swamis/ISKCON_Swamis_-_R_to_Y/His_Holiness_Radhanath_Swami/Lectures/00_-_Year_wise/Devotional_Nectar_-_2020/2020-01-26_Various_-_Special_Class-Shikshastakam_-_Radhanath_Swami_ISKCON_Juhu.mp3", "2020-01-26_Various_-_Special_Class-Shikshastakam_-_Radhanath_Swami_ISKCON_Juhu.mp3")</f>
        <v>2020-01-26_Various_-_Special_Class-Shikshastakam_-_Radhanath_Swami_ISKCON_Juhu.mp3</v>
      </c>
      <c r="D2989" s="24"/>
      <c r="E2989" s="24"/>
    </row>
    <row r="2990">
      <c r="A2990" s="25" t="s">
        <v>18352</v>
      </c>
      <c r="B2990" s="25" t="s">
        <v>18384</v>
      </c>
      <c r="C2990" s="26" t="str">
        <f>HYPERLINK("https://audio.iskcondesiretree.com/02_-_ISKCON_Swamis/ISKCON_Swamis_-_R_to_Y/His_Holiness_Radhanath_Swami/Lectures/00_-_Year_wise/Devotional_Nectar_-_2020/2020-01-30_Festivals_Marathi_Translation_-_Vasant_Panchami_and_Rath_Yatra_Lecture_-_Radhanath_Swami_"&amp;"Shivaji_Park_Dadar.mp3", "2020-01-30_Festivals_Marathi_Translation_-_Vasant_Panchami_and_Rath_Yatra_Lecture_-_Radhanath_Swami_Shivaji_Park_Dadar.mp3")</f>
        <v>2020-01-30_Festivals_Marathi_Translation_-_Vasant_Panchami_and_Rath_Yatra_Lecture_-_Radhanath_Swami_Shivaji_Park_Dadar.mp3</v>
      </c>
      <c r="D2990" s="24"/>
      <c r="E2990" s="24"/>
    </row>
    <row r="2991">
      <c r="A2991" s="25" t="s">
        <v>18352</v>
      </c>
      <c r="B2991" s="25" t="s">
        <v>18384</v>
      </c>
      <c r="C2991" s="26" t="str">
        <f>HYPERLINK("https://audio.iskcondesiretree.com/02_-_ISKCON_Swamis/ISKCON_Swamis_-_R_to_Y/His_Holiness_Radhanath_Swami/Lectures/00_-_Year_wise/Devotional_Nectar_-_2020/2020-02-02_CC_Adi_Lila_06-12_-_Glories_of_Advaita_Acharya_-_Radhanath_Swami_ISKCON_Chowpatty.mp3", "2020-02-02_CC_Adi_Lila_06-12_-_Glories_of_Advaita_Acharya_-_Radhanath_Swami_ISKCON_Chowpatty.mp3")</f>
        <v>2020-02-02_CC_Adi_Lila_06-12_-_Glories_of_Advaita_Acharya_-_Radhanath_Swami_ISKCON_Chowpatty.mp3</v>
      </c>
      <c r="D2991" s="24"/>
      <c r="E2991" s="24"/>
    </row>
    <row r="2992">
      <c r="A2992" s="25" t="s">
        <v>18352</v>
      </c>
      <c r="B2992" s="25" t="s">
        <v>18384</v>
      </c>
      <c r="C2992" s="26" t="str">
        <f>HYPERLINK("https://audio.iskcondesiretree.com/02_-_ISKCON_Swamis/ISKCON_Swamis_-_R_to_Y/His_Holiness_Radhanath_Swami/Lectures/00_-_Year_wise/Devotional_Nectar_-_2020/2020-02-19_SB_09-21-18_-_Ishvar_Puri_Lecture_-_Radhanath_Swami_ISKCON_Mayapur.mp3", "2020-02-19_SB_09-21-18_-_Ishvar_Puri_Lecture_-_Radhanath_Swami_ISKCON_Mayapur.mp3")</f>
        <v>2020-02-19_SB_09-21-18_-_Ishvar_Puri_Lecture_-_Radhanath_Swami_ISKCON_Mayapur.mp3</v>
      </c>
      <c r="D2992" s="24"/>
      <c r="E2992" s="24"/>
    </row>
    <row r="2993">
      <c r="A2993" s="25" t="s">
        <v>18352</v>
      </c>
      <c r="B2993" s="25" t="s">
        <v>18384</v>
      </c>
      <c r="C2993" s="26" t="str">
        <f>HYPERLINK("https://audio.iskcondesiretree.com/02_-_ISKCON_Swamis/ISKCON_Swamis_-_R_to_Y/His_Holiness_Radhanath_Swami/Lectures/00_-_Year_wise/Devotional_Nectar_-_2020/2020-03-09_Festivals_-_Appearance_of_Lord_Chaitanya_Mahaprabhu_-_Radhanath_Swami_GEV_Wada.mp3", "2020-03-09_Festivals_-_Appearance_of_Lord_Chaitanya_Mahaprabhu_-_Radhanath_Swami_GEV_Wada.mp3")</f>
        <v>2020-03-09_Festivals_-_Appearance_of_Lord_Chaitanya_Mahaprabhu_-_Radhanath_Swami_GEV_Wada.mp3</v>
      </c>
      <c r="D2993" s="24"/>
      <c r="E2993" s="24"/>
    </row>
    <row r="2994">
      <c r="A2994" s="25" t="s">
        <v>18352</v>
      </c>
      <c r="B2994" s="25" t="s">
        <v>18384</v>
      </c>
      <c r="C2994" s="26" t="str">
        <f>HYPERLINK("https://audio.iskcondesiretree.com/02_-_ISKCON_Swamis/ISKCON_Swamis_-_R_to_Y/His_Holiness_Radhanath_Swami/Lectures/00_-_Year_wise/Devotional_Nectar_-_2020/2020-06-06_Various_-_Mahabhagavat_Prarikshit_Maharaj_-_Radhanath_Swami_ISKCON_Chowpatty.mp3", "2020-06-06_Various_-_Mahabhagavat_Prarikshit_Maharaj_-_Radhanath_Swami_ISKCON_Chowpatty.mp3")</f>
        <v>2020-06-06_Various_-_Mahabhagavat_Prarikshit_Maharaj_-_Radhanath_Swami_ISKCON_Chowpatty.mp3</v>
      </c>
      <c r="D2994" s="24"/>
      <c r="E2994" s="24"/>
    </row>
    <row r="2995">
      <c r="A2995" s="25" t="s">
        <v>18352</v>
      </c>
      <c r="B2995" s="25" t="s">
        <v>18384</v>
      </c>
      <c r="C2995" s="26" t="str">
        <f>HYPERLINK("https://audio.iskcondesiretree.com/02_-_ISKCON_Swamis/ISKCON_Swamis_-_R_to_Y/His_Holiness_Radhanath_Swami/Lectures/00_-_Year_wise/Devotional_Nectar_-_2020/2020-06-21_CC_Madhya_Lila_13-60_-_Rath_Yatra_Class_with_Special_Prayers_for_His_Holiness_Bhakti_Char"&amp;"u_Swami_-_Radhanath_Swami.mp3", "2020-06-21_CC_Madhya_Lila_13-60_-_Rath_Yatra_Class_with_Special_Prayers_for_His_Holiness_Bhakti_Charu_Swami_-_Radhanath_Swami.mp3")</f>
        <v>2020-06-21_CC_Madhya_Lila_13-60_-_Rath_Yatra_Class_with_Special_Prayers_for_His_Holiness_Bhakti_Charu_Swami_-_Radhanath_Swami.mp3</v>
      </c>
      <c r="D2995" s="24"/>
      <c r="E2995" s="24"/>
    </row>
    <row r="2996">
      <c r="A2996" s="25" t="s">
        <v>18352</v>
      </c>
      <c r="B2996" s="25" t="s">
        <v>18384</v>
      </c>
      <c r="C2996" s="26" t="str">
        <f>HYPERLINK("https://audio.iskcondesiretree.com/02_-_ISKCON_Swamis/ISKCON_Swamis_-_R_to_Y/His_Holiness_Radhanath_Swami/Lectures/00_-_Year_wise/Devotional_Nectar_-_2020/2020-08-03_Festivals_-_Zoom_Class-Balaram%20_Jayanti_-_Radhanath_Swami_ISKCON_Chowpatty.mp3", "2020-08-03_Festivals_-_Zoom_Class-Balaram%20_Jayanti_-_Radhanath_Swami_ISKCON_Chowpatty.mp3")</f>
        <v>2020-08-03_Festivals_-_Zoom_Class-Balaram%20_Jayanti_-_Radhanath_Swami_ISKCON_Chowpatty.mp3</v>
      </c>
      <c r="D2996" s="24"/>
      <c r="E2996" s="24"/>
    </row>
    <row r="2997">
      <c r="A2997" s="25" t="s">
        <v>18352</v>
      </c>
      <c r="B2997" s="25" t="s">
        <v>18384</v>
      </c>
      <c r="C2997" s="26" t="str">
        <f>HYPERLINK("https://audio.iskcondesiretree.com/02_-_ISKCON_Swamis/ISKCON_Swamis_-_R_to_Y/His_Holiness_Radhanath_Swami/Lectures/00_-_Year_wise/Devotional_Nectar_-_2020/2020-08-12_-_Janmashtami_Special_Class_-_Radhanath_Swami_ISKCON_Chowpatty.mp3", "2020-08-12_-_Janmashtami_Special_Class_-_Radhanath_Swami_ISKCON_Chowpatty.mp3")</f>
        <v>2020-08-12_-_Janmashtami_Special_Class_-_Radhanath_Swami_ISKCON_Chowpatty.mp3</v>
      </c>
      <c r="D2997" s="24"/>
      <c r="E2997" s="24"/>
    </row>
    <row r="2998">
      <c r="A2998" s="25" t="s">
        <v>18352</v>
      </c>
      <c r="B2998" s="25" t="s">
        <v>18384</v>
      </c>
      <c r="C2998" s="26" t="str">
        <f>HYPERLINK("https://audio.iskcondesiretree.com/02_-_ISKCON_Swamis/ISKCON_Swamis_-_R_to_Y/His_Holiness_Radhanath_Swami/Lectures/00_-_Year_wise/Devotional_Nectar_-_2020/2020-08-13_-_Prabhupada_Vyas_Puja_Celebrations_-_Radhanath_Swami_ISKCON_Chowpatty.mp3", "2020-08-13_-_Prabhupada_Vyas_Puja_Celebrations_-_Radhanath_Swami_ISKCON_Chowpatty.mp3")</f>
        <v>2020-08-13_-_Prabhupada_Vyas_Puja_Celebrations_-_Radhanath_Swami_ISKCON_Chowpatty.mp3</v>
      </c>
      <c r="D2998" s="24"/>
      <c r="E2998" s="24"/>
    </row>
    <row r="2999">
      <c r="A2999" s="25" t="s">
        <v>18352</v>
      </c>
      <c r="B2999" s="25" t="s">
        <v>18384</v>
      </c>
      <c r="C2999" s="26" t="str">
        <f>HYPERLINK("https://audio.iskcondesiretree.com/02_-_ISKCON_Swamis/ISKCON_Swamis_-_R_to_Y/His_Holiness_Radhanath_Swami/Lectures/00_-_Year_wise/Devotional_Nectar_-_2020/2020-12-13_Festivals_-_Satsang_Lecture_-_Radhanath_Swami_ISKCON_Chowpatty.mp3", "2020-12-13_Festivals_-_Satsang_Lecture_-_Radhanath_Swami_ISKCON_Chowpatty.mp3")</f>
        <v>2020-12-13_Festivals_-_Satsang_Lecture_-_Radhanath_Swami_ISKCON_Chowpatty.mp3</v>
      </c>
      <c r="D2999" s="24"/>
      <c r="E2999" s="24"/>
    </row>
    <row r="3000">
      <c r="A3000" s="25" t="s">
        <v>18352</v>
      </c>
      <c r="B3000" s="25" t="s">
        <v>18385</v>
      </c>
      <c r="C3000" s="26" t="str">
        <f>HYPERLINK("https://audio.iskcondesiretree.com/02_-_ISKCON_Swamis/ISKCON_Swamis_-_R_to_Y/His_Holiness_Radhanath_Swami/Lectures/00_-_Year_wise/Devotional_Nectar_-_2021/2021-01-30_Festivals_-_Pushya_Abhishek_Class_-_Radhanath_Swami_ISKCON_Chowpatty.mp3", "2021-01-30_Festivals_-_Pushya_Abhishek_Class_-_Radhanath_Swami_ISKCON_Chowpatty.mp3")</f>
        <v>2021-01-30_Festivals_-_Pushya_Abhishek_Class_-_Radhanath_Swami_ISKCON_Chowpatty.mp3</v>
      </c>
      <c r="D3000" s="24"/>
      <c r="E3000" s="24"/>
    </row>
    <row r="3001">
      <c r="A3001" s="25" t="s">
        <v>18352</v>
      </c>
      <c r="B3001" s="25" t="s">
        <v>18385</v>
      </c>
      <c r="C3001" s="26" t="str">
        <f>HYPERLINK("https://audio.iskcondesiretree.com/02_-_ISKCON_Swamis/ISKCON_Swamis_-_R_to_Y/His_Holiness_Radhanath_Swami/Lectures/00_-_Year_wise/Devotional_Nectar_-_2021/2021-02-25_Festivals_-_Nityananda_Trayodashi_Special_Class_-_Radhanath_Swami_ISKCON_Chowpatty.mp3", "2021-02-25_Festivals_-_Nityananda_Trayodashi_Special_Class_-_Radhanath_Swami_ISKCON_Chowpatty.mp3")</f>
        <v>2021-02-25_Festivals_-_Nityananda_Trayodashi_Special_Class_-_Radhanath_Swami_ISKCON_Chowpatty.mp3</v>
      </c>
      <c r="D3001" s="24"/>
      <c r="E3001" s="24"/>
    </row>
    <row r="3002">
      <c r="A3002" s="25" t="s">
        <v>18352</v>
      </c>
      <c r="B3002" s="25" t="s">
        <v>18385</v>
      </c>
      <c r="C3002" s="26" t="str">
        <f>HYPERLINK("https://audio.iskcondesiretree.com/02_-_ISKCON_Swamis/ISKCON_Swamis_-_R_to_Y/His_Holiness_Radhanath_Swami/Lectures/00_-_Year_wise/Devotional_Nectar_-_2021/2021-03-28_Festivals_-_Gaura_Purnima_Evening_Lecture_-_Radhanath_Swami_ISKCON_Chowpatty.mp3", "2021-03-28_Festivals_-_Gaura_Purnima_Evening_Lecture_-_Radhanath_Swami_ISKCON_Chowpatty.mp3")</f>
        <v>2021-03-28_Festivals_-_Gaura_Purnima_Evening_Lecture_-_Radhanath_Swami_ISKCON_Chowpatty.mp3</v>
      </c>
      <c r="D3002" s="24"/>
      <c r="E3002" s="24"/>
    </row>
    <row r="3003">
      <c r="A3003" s="25" t="s">
        <v>18352</v>
      </c>
      <c r="B3003" s="25" t="s">
        <v>18385</v>
      </c>
      <c r="C3003" s="26" t="str">
        <f>HYPERLINK("https://audio.iskcondesiretree.com/02_-_ISKCON_Swamis/ISKCON_Swamis_-_R_to_Y/His_Holiness_Radhanath_Swami/Lectures/00_-_Year_wise/Devotional_Nectar_-_2021/2021-04-21_Festivals_-_Sri_Ram_Navami_Lecture_-_Radhanath_Swami_ISKCON_Chowpatty.mp3", "2021-04-21_Festivals_-_Sri_Ram_Navami_Lecture_-_Radhanath_Swami_ISKCON_Chowpatty.mp3")</f>
        <v>2021-04-21_Festivals_-_Sri_Ram_Navami_Lecture_-_Radhanath_Swami_ISKCON_Chowpatty.mp3</v>
      </c>
      <c r="D3003" s="24"/>
      <c r="E3003" s="24"/>
    </row>
    <row r="3004">
      <c r="A3004" s="25" t="s">
        <v>18352</v>
      </c>
      <c r="B3004" s="25" t="s">
        <v>18385</v>
      </c>
      <c r="C3004" s="26" t="str">
        <f>HYPERLINK("https://audio.iskcondesiretree.com/02_-_ISKCON_Swamis/ISKCON_Swamis_-_R_to_Y/His_Holiness_Radhanath_Swami/Lectures/00_-_Year_wise/Devotional_Nectar_-_2021/2021-05-11_Various_-_Memorial_Program_of_HG_Pankajanghri_Prabhu_-_Radhanath_Swami_ISKCON_Chowpatty.m"&amp;"p3", "2021-05-11_Various_-_Memorial_Program_of_HG_Pankajanghri_Prabhu_-_Radhanath_Swami_ISKCON_Chowpatty.mp3")</f>
        <v>2021-05-11_Various_-_Memorial_Program_of_HG_Pankajanghri_Prabhu_-_Radhanath_Swami_ISKCON_Chowpatty.mp3</v>
      </c>
      <c r="D3004" s="24"/>
      <c r="E3004" s="24"/>
    </row>
    <row r="3005">
      <c r="A3005" s="25" t="s">
        <v>18352</v>
      </c>
      <c r="B3005" s="25" t="s">
        <v>18385</v>
      </c>
      <c r="C3005" s="26" t="str">
        <f>HYPERLINK("https://audio.iskcondesiretree.com/02_-_ISKCON_Swamis/ISKCON_Swamis_-_R_to_Y/His_Holiness_Radhanath_Swami/Lectures/00_-_Year_wise/Devotional_Nectar_-_2021/2021-05-25_Festivals_-_Narasimha_Chaturdashi_Class_-_Radhanath_Swami_ISKCON_Chowpatty.mp3", "2021-05-25_Festivals_-_Narasimha_Chaturdashi_Class_-_Radhanath_Swami_ISKCON_Chowpatty.mp3")</f>
        <v>2021-05-25_Festivals_-_Narasimha_Chaturdashi_Class_-_Radhanath_Swami_ISKCON_Chowpatty.mp3</v>
      </c>
      <c r="D3005" s="24"/>
      <c r="E3005" s="24"/>
    </row>
    <row r="3006">
      <c r="A3006" s="25" t="s">
        <v>18352</v>
      </c>
      <c r="B3006" s="25" t="s">
        <v>18385</v>
      </c>
      <c r="C3006" s="26" t="str">
        <f>HYPERLINK("https://audio.iskcondesiretree.com/02_-_ISKCON_Swamis/ISKCON_Swamis_-_R_to_Y/His_Holiness_Radhanath_Swami/Lectures/00_-_Year_wise/Devotional_Nectar_-_2021/2021-07-18_Festivals_-_Brahmotsavam_Festival_Lecture_-_Radhanath_Swami_ISKCON_Chowpatty.mp3", "2021-07-18_Festivals_-_Brahmotsavam_Festival_Lecture_-_Radhanath_Swami_ISKCON_Chowpatty.mp3")</f>
        <v>2021-07-18_Festivals_-_Brahmotsavam_Festival_Lecture_-_Radhanath_Swami_ISKCON_Chowpatty.mp3</v>
      </c>
      <c r="D3006" s="24"/>
      <c r="E3006" s="24"/>
    </row>
    <row r="3007">
      <c r="A3007" s="25" t="s">
        <v>18352</v>
      </c>
      <c r="B3007" s="25" t="s">
        <v>18385</v>
      </c>
      <c r="C3007" s="26" t="str">
        <f>HYPERLINK("https://audio.iskcondesiretree.com/02_-_ISKCON_Swamis/ISKCON_Swamis_-_R_to_Y/His_Holiness_Radhanath_Swami/Lectures/00_-_Year_wise/Devotional_Nectar_-_2021/2021-09-14_Festivals_-_Radhastami_Class_-_Radhanath_Swami_ISKCON_Chowpatty.mp3", "2021-09-14_Festivals_-_Radhastami_Class_-_Radhanath_Swami_ISKCON_Chowpatty.mp3")</f>
        <v>2021-09-14_Festivals_-_Radhastami_Class_-_Radhanath_Swami_ISKCON_Chowpatty.mp3</v>
      </c>
      <c r="D3007" s="24"/>
      <c r="E3007" s="24"/>
    </row>
    <row r="3008">
      <c r="A3008" s="25" t="s">
        <v>18352</v>
      </c>
      <c r="B3008" s="25" t="s">
        <v>18386</v>
      </c>
      <c r="C3008" s="26" t="str">
        <f>HYPERLINK("https://audio.iskcondesiretree.com/02_-_ISKCON_Swamis/ISKCON_Swamis_-_R_to_Y/His_Holiness_Radhanath_Swami/Lectures/00_-_Year_wise/Devotional_Nectar_-_2022/2022-01-09_Various_-_Satsang_Program_-_Radhanath_Swami_ISKCON_Chowpatty.mp3", "2022-01-09_Various_-_Satsang_Program_-_Radhanath_Swami_ISKCON_Chowpatty.mp3")</f>
        <v>2022-01-09_Various_-_Satsang_Program_-_Radhanath_Swami_ISKCON_Chowpatty.mp3</v>
      </c>
      <c r="D3008" s="24"/>
      <c r="E3008" s="24"/>
    </row>
    <row r="3009">
      <c r="A3009" s="25" t="s">
        <v>18352</v>
      </c>
      <c r="B3009" s="25" t="s">
        <v>18386</v>
      </c>
      <c r="C3009" s="26" t="str">
        <f>HYPERLINK("https://audio.iskcondesiretree.com/02_-_ISKCON_Swamis/ISKCON_Swamis_-_R_to_Y/His_Holiness_Radhanath_Swami/Lectures/00_-_Year_wise/Devotional_Nectar_-_2022/2022-01-23_Various_-_Satsang_Program_-_Radhanath_Sw_ISKCON_Chowpatty.mp3", "2022-01-23_Various_-_Satsang_Program_-_Radhanath_Sw_ISKCON_Chowpatty.mp3")</f>
        <v>2022-01-23_Various_-_Satsang_Program_-_Radhanath_Sw_ISKCON_Chowpatty.mp3</v>
      </c>
      <c r="D3009" s="24"/>
      <c r="E3009" s="24"/>
    </row>
    <row r="3010">
      <c r="A3010" s="25" t="s">
        <v>18352</v>
      </c>
      <c r="B3010" s="25" t="s">
        <v>18386</v>
      </c>
      <c r="C3010" s="26" t="str">
        <f>HYPERLINK("https://audio.iskcondesiretree.com/02_-_ISKCON_Swamis/ISKCON_Swamis_-_R_to_Y/His_Holiness_Radhanath_Swami/Lectures/00_-_Year_wise/Devotional_Nectar_-_2022/2022-01-26_Festival_-_Special_Class_-_Radhanath_Swami_ISKCON_Juhu.mp3", "2022-01-26_Festival_-_Special_Class_-_Radhanath_Swami_ISKCON_Juhu.mp3")</f>
        <v>2022-01-26_Festival_-_Special_Class_-_Radhanath_Swami_ISKCON_Juhu.mp3</v>
      </c>
      <c r="D3010" s="24"/>
      <c r="E3010" s="24"/>
    </row>
    <row r="3011">
      <c r="A3011" s="25" t="s">
        <v>18352</v>
      </c>
      <c r="B3011" s="25" t="s">
        <v>18386</v>
      </c>
      <c r="C3011" s="26" t="str">
        <f>HYPERLINK("https://audio.iskcondesiretree.com/02_-_ISKCON_Swamis/ISKCON_Swamis_-_R_to_Y/His_Holiness_Radhanath_Swami/Lectures/00_-_Year_wise/Devotional_Nectar_-_2022/2022-01-29_Festivals_-_Pushya_Abhishek_Lecture_-_Radhanth_Swami_ISKCON_Chowpatty.mp3", "2022-01-29_Festivals_-_Pushya_Abhishek_Lecture_-_Radhanth_Swami_ISKCON_Chowpatty.mp3")</f>
        <v>2022-01-29_Festivals_-_Pushya_Abhishek_Lecture_-_Radhanth_Swami_ISKCON_Chowpatty.mp3</v>
      </c>
      <c r="D3011" s="24"/>
      <c r="E3011" s="24"/>
    </row>
    <row r="3012">
      <c r="A3012" s="25" t="s">
        <v>18352</v>
      </c>
      <c r="B3012" s="25" t="s">
        <v>18386</v>
      </c>
      <c r="C3012" s="26" t="str">
        <f>HYPERLINK("https://audio.iskcondesiretree.com/02_-_ISKCON_Swamis/ISKCON_Swamis_-_R_to_Y/His_Holiness_Radhanath_Swami/Lectures/00_-_Year_wise/Devotional_Nectar_-_2022/2022-01-30_Various_-_Memorial_Program_of_HG_Vamshidhar_Prabhu_-_Radhanth_Swami_ISKCON_Chowpatty.mp3", "2022-01-30_Various_-_Memorial_Program_of_HG_Vamshidhar_Prabhu_-_Radhanth_Swami_ISKCON_Chowpatty.mp3")</f>
        <v>2022-01-30_Various_-_Memorial_Program_of_HG_Vamshidhar_Prabhu_-_Radhanth_Swami_ISKCON_Chowpatty.mp3</v>
      </c>
      <c r="D3012" s="24"/>
      <c r="E3012" s="24"/>
    </row>
    <row r="3013">
      <c r="A3013" s="25" t="s">
        <v>18352</v>
      </c>
      <c r="B3013" s="25" t="s">
        <v>18386</v>
      </c>
      <c r="C3013" s="26" t="str">
        <f>HYPERLINK("https://audio.iskcondesiretree.com/02_-_ISKCON_Swamis/ISKCON_Swamis_-_R_to_Y/His_Holiness_Radhanath_Swami/Lectures/00_-_Year_wise/Devotional_Nectar_-_2022/2022-02-14_Festivals_-_Lord_Nityananda_Appearance_Class_-_Radhanath_Swami_ISKCON_Chowpatty.mp3", "2022-02-14_Festivals_-_Lord_Nityananda_Appearance_Class_-_Radhanath_Swami_ISKCON_Chowpatty.mp3")</f>
        <v>2022-02-14_Festivals_-_Lord_Nityananda_Appearance_Class_-_Radhanath_Swami_ISKCON_Chowpatty.mp3</v>
      </c>
      <c r="D3013" s="24"/>
      <c r="E3013" s="24"/>
    </row>
    <row r="3014">
      <c r="A3014" s="25" t="s">
        <v>18352</v>
      </c>
      <c r="B3014" s="25" t="s">
        <v>18386</v>
      </c>
      <c r="C3014" s="26" t="str">
        <f>HYPERLINK("https://audio.iskcondesiretree.com/02_-_ISKCON_Swamis/ISKCON_Swamis_-_R_to_Y/His_Holiness_Radhanath_Swami/Lectures/00_-_Year_wise/Devotional_Nectar_-_2022/2022-02-27_Various_-_Satsang_Program_-_Radhanath_Swami_ISKCON_Chowpatty.mp3", "2022-02-27_Various_-_Satsang_Program_-_Radhanath_Swami_ISKCON_Chowpatty.mp3")</f>
        <v>2022-02-27_Various_-_Satsang_Program_-_Radhanath_Swami_ISKCON_Chowpatty.mp3</v>
      </c>
      <c r="D3014" s="24"/>
      <c r="E3014" s="24"/>
    </row>
    <row r="3015">
      <c r="A3015" s="25" t="s">
        <v>18352</v>
      </c>
      <c r="B3015" s="25" t="s">
        <v>18386</v>
      </c>
      <c r="C3015" s="26" t="str">
        <f>HYPERLINK("https://audio.iskcondesiretree.com/02_-_ISKCON_Swamis/ISKCON_Swamis_-_R_to_Y/His_Holiness_Radhanath_Swami/Lectures/00_-_Year_wise/Devotional_Nectar_-_2022/2022-04-10_Festivals_-_Rama_Navami_Evening_Class_-_Radhanath_Swami_GEV.mp3", "2022-04-10_Festivals_-_Rama_Navami_Evening_Class_-_Radhanath_Swami_GEV.mp3")</f>
        <v>2022-04-10_Festivals_-_Rama_Navami_Evening_Class_-_Radhanath_Swami_GEV.mp3</v>
      </c>
      <c r="D3015" s="24"/>
      <c r="E3015" s="24"/>
    </row>
    <row r="3016">
      <c r="A3016" s="25" t="s">
        <v>18352</v>
      </c>
      <c r="B3016" s="25" t="s">
        <v>18386</v>
      </c>
      <c r="C3016" s="26" t="str">
        <f>HYPERLINK("https://audio.iskcondesiretree.com/02_-_ISKCON_Swamis/ISKCON_Swamis_-_R_to_Y/His_Holiness_Radhanath_Swami/Lectures/00_-_Year_wise/Devotional_Nectar_-_2022/2022-05-14_Various_-_Green_Pilgrimage_Conference_-_Radhanath_Swami_GEV.mp3", "2022-05-14_Various_-_Green_Pilgrimage_Conference_-_Radhanath_Swami_GEV.mp3")</f>
        <v>2022-05-14_Various_-_Green_Pilgrimage_Conference_-_Radhanath_Swami_GEV.mp3</v>
      </c>
      <c r="D3016" s="24"/>
      <c r="E3016" s="24"/>
    </row>
    <row r="3017">
      <c r="A3017" s="25" t="s">
        <v>18352</v>
      </c>
      <c r="B3017" s="25" t="s">
        <v>18386</v>
      </c>
      <c r="C3017" s="26" t="str">
        <f>HYPERLINK("https://audio.iskcondesiretree.com/02_-_ISKCON_Swamis/ISKCON_Swamis_-_R_to_Y/His_Holiness_Radhanath_Swami/Lectures/00_-_Year_wise/Devotional_Nectar_-_2022/2022-05-15_Festivals_-_Narsimha_Chaturdashi_Class_-_Radhanath_Swami_ISKCON_Chowpatty.mp3", "2022-05-15_Festivals_-_Narsimha_Chaturdashi_Class_-_Radhanath_Swami_ISKCON_Chowpatty.mp3")</f>
        <v>2022-05-15_Festivals_-_Narsimha_Chaturdashi_Class_-_Radhanath_Swami_ISKCON_Chowpatty.mp3</v>
      </c>
      <c r="D3017" s="24"/>
      <c r="E3017" s="24"/>
    </row>
    <row r="3018">
      <c r="A3018" s="25" t="s">
        <v>18352</v>
      </c>
      <c r="B3018" s="25" t="s">
        <v>18386</v>
      </c>
      <c r="C3018" s="26" t="str">
        <f>HYPERLINK("https://audio.iskcondesiretree.com/02_-_ISKCON_Swamis/ISKCON_Swamis_-_R_to_Y/His_Holiness_Radhanath_Swami/Lectures/00_-_Year_wise/Devotional_Nectar_-_2022/2022-05-22_SB_01-11-16_-_Lord_Krishna_stirs_his_devotees_Hearts_-_Radhanath_Swami_ISKCON_Chowpatty.m"&amp;"p3", "2022-05-22_SB_01-11-16_-_Lord_Krishna_stirs_his_devotees_Hearts_-_Radhanath_Swami_ISKCON_Chowpatty.mp3")</f>
        <v>2022-05-22_SB_01-11-16_-_Lord_Krishna_stirs_his_devotees_Hearts_-_Radhanath_Swami_ISKCON_Chowpatty.mp3</v>
      </c>
      <c r="D3018" s="24"/>
      <c r="E3018" s="24"/>
    </row>
    <row r="3019">
      <c r="A3019" s="25" t="s">
        <v>18352</v>
      </c>
      <c r="B3019" s="25" t="s">
        <v>18387</v>
      </c>
      <c r="C3019" s="26" t="str">
        <f>HYPERLINK("https://audio.iskcondesiretree.com/02_-_ISKCON_Swamis/ISKCON_Swamis_-_R_to_Y/His_Holiness_Radhanath_Swami/Lectures/00_-_Year_wise/Devotional_Nectar_-_2023/2023-03-07_Festivals_-_Gaur_Purnima_Class_-_Radhanath_Swami_ISKCON_Chowpatty.mp3", "2023-03-07_Festivals_-_Gaur_Purnima_Class_-_Radhanath_Swami_ISKCON_Chowpatty.mp3")</f>
        <v>2023-03-07_Festivals_-_Gaur_Purnima_Class_-_Radhanath_Swami_ISKCON_Chowpatty.mp3</v>
      </c>
      <c r="D3019" s="24"/>
      <c r="E3019" s="24"/>
    </row>
    <row r="3020">
      <c r="A3020" s="25" t="s">
        <v>18352</v>
      </c>
      <c r="B3020" s="25" t="s">
        <v>18387</v>
      </c>
      <c r="C3020" s="26" t="str">
        <f>HYPERLINK("https://audio.iskcondesiretree.com/02_-_ISKCON_Swamis/ISKCON_Swamis_-_R_to_Y/His_Holiness_Radhanath_Swami/Lectures/00_-_Year_wise/Devotional_Nectar_-_2023/2023-03-30_Festivals_-_Rama_Navami_Lecture_-_Radhanath_Swami_ISKCON_Chowpatty.mp3", "2023-03-30_Festivals_-_Rama_Navami_Lecture_-_Radhanath_Swami_ISKCON_Chowpatty.mp3")</f>
        <v>2023-03-30_Festivals_-_Rama_Navami_Lecture_-_Radhanath_Swami_ISKCON_Chowpatty.mp3</v>
      </c>
      <c r="D3020" s="24"/>
      <c r="E3020" s="24"/>
    </row>
    <row r="3021">
      <c r="A3021" s="25" t="s">
        <v>18352</v>
      </c>
      <c r="B3021" s="25" t="s">
        <v>18387</v>
      </c>
      <c r="C3021" s="26" t="str">
        <f>HYPERLINK("https://audio.iskcondesiretree.com/02_-_ISKCON_Swamis/ISKCON_Swamis_-_R_to_Y/His_Holiness_Radhanath_Swami/Lectures/00_-_Year_wise/Devotional_Nectar_-_2023/2023-04-02_SB_09-10-16_-_Lessons_from_Ramayana_-_Radhanath_Swami_ISKCON_Chowpatty.mp3", "2023-04-02_SB_09-10-16_-_Lessons_from_Ramayana_-_Radhanath_Swami_ISKCON_Chowpatty.mp3")</f>
        <v>2023-04-02_SB_09-10-16_-_Lessons_from_Ramayana_-_Radhanath_Swami_ISKCON_Chowpatty.mp3</v>
      </c>
      <c r="D3021" s="24"/>
      <c r="E3021" s="24"/>
    </row>
    <row r="3022">
      <c r="A3022" s="25" t="s">
        <v>18352</v>
      </c>
      <c r="B3022" s="25" t="s">
        <v>18387</v>
      </c>
      <c r="C3022" s="26" t="str">
        <f>HYPERLINK("https://audio.iskcondesiretree.com/02_-_ISKCON_Swamis/ISKCON_Swamis_-_R_to_Y/His_Holiness_Radhanath_Swami/Lectures/00_-_Year_wise/Devotional_Nectar_-_2023/2023-04-09_SB_01-18-03_-_Glories_of_King_Parikshit_-_Radhanath_Swami_ISKCON_Chowpatty.mp3", "2023-04-09_SB_01-18-03_-_Glories_of_King_Parikshit_-_Radhanath_Swami_ISKCON_Chowpatty.mp3")</f>
        <v>2023-04-09_SB_01-18-03_-_Glories_of_King_Parikshit_-_Radhanath_Swami_ISKCON_Chowpatty.mp3</v>
      </c>
      <c r="D3022" s="24"/>
      <c r="E3022" s="24"/>
    </row>
    <row r="3023">
      <c r="A3023" s="25" t="s">
        <v>18352</v>
      </c>
      <c r="B3023" s="25" t="s">
        <v>18387</v>
      </c>
      <c r="C3023" s="26" t="str">
        <f>HYPERLINK("https://audio.iskcondesiretree.com/02_-_ISKCON_Swamis/ISKCON_Swamis_-_R_to_Y/His_Holiness_Radhanath_Swami/Lectures/00_-_Year_wise/Devotional_Nectar_-_2023/2023-06-25_Various_-_Sunday_Feast_Lecture_-_Radhanath_Swami_ISKCON_Alachua.mp3", "2023-06-25_Various_-_Sunday_Feast_Lecture_-_Radhanath_Swami_ISKCON_Alachua.mp3")</f>
        <v>2023-06-25_Various_-_Sunday_Feast_Lecture_-_Radhanath_Swami_ISKCON_Alachua.mp3</v>
      </c>
      <c r="D3023" s="24"/>
      <c r="E3023" s="24"/>
    </row>
    <row r="3024">
      <c r="A3024" s="25" t="s">
        <v>18352</v>
      </c>
      <c r="B3024" s="25" t="s">
        <v>18387</v>
      </c>
      <c r="C3024" s="26" t="str">
        <f>HYPERLINK("https://audio.iskcondesiretree.com/02_-_ISKCON_Swamis/ISKCON_Swamis_-_R_to_Y/His_Holiness_Radhanath_Swami/Lectures/00_-_Year_wise/Devotional_Nectar_-_2023/2023-06-26_Festivals_-_Initiation_Lecture_-_Radhanath_Swami_ISKCON_Alachua.mp3", "2023-06-26_Festivals_-_Initiation_Lecture_-_Radhanath_Swami_ISKCON_Alachua.mp3")</f>
        <v>2023-06-26_Festivals_-_Initiation_Lecture_-_Radhanath_Swami_ISKCON_Alachua.mp3</v>
      </c>
      <c r="D3024" s="24"/>
      <c r="E3024" s="24"/>
    </row>
    <row r="3025">
      <c r="A3025" s="25" t="s">
        <v>18352</v>
      </c>
      <c r="B3025" s="25" t="s">
        <v>18387</v>
      </c>
      <c r="C3025" s="26" t="str">
        <f>HYPERLINK("https://audio.iskcondesiretree.com/02_-_ISKCON_Swamis/ISKCON_Swamis_-_R_to_Y/His_Holiness_Radhanath_Swami/Lectures/00_-_Year_wise/Devotional_Nectar_-_2023/2023-07-16_Festivals_-_Brahmotsav_Festival_Lecture_-_Radhanath_Swami_ISKCON_Chowpatty.mp3", "2023-07-16_Festivals_-_Brahmotsav_Festival_Lecture_-_Radhanath_Swami_ISKCON_Chowpatty.mp3")</f>
        <v>2023-07-16_Festivals_-_Brahmotsav_Festival_Lecture_-_Radhanath_Swami_ISKCON_Chowpatty.mp3</v>
      </c>
      <c r="D3025" s="24"/>
      <c r="E3025" s="24"/>
    </row>
    <row r="3026">
      <c r="A3026" s="25" t="s">
        <v>18352</v>
      </c>
      <c r="B3026" s="25" t="s">
        <v>18387</v>
      </c>
      <c r="C3026" s="26" t="str">
        <f>HYPERLINK("https://audio.iskcondesiretree.com/02_-_ISKCON_Swamis/ISKCON_Swamis_-_R_to_Y/His_Holiness_Radhanath_Swami/Lectures/00_-_Year_wise/Devotional_Nectar_-_2023/2023-09-07_Festivals_-_Janmastami_Lecture-Krishna_Katha_-_Radhanath_Swami_ISKCON_Chowpatty.mp3", "2023-09-07_Festivals_-_Janmastami_Lecture-Krishna_Katha_-_Radhanath_Swami_ISKCON_Chowpatty.mp3")</f>
        <v>2023-09-07_Festivals_-_Janmastami_Lecture-Krishna_Katha_-_Radhanath_Swami_ISKCON_Chowpatty.mp3</v>
      </c>
      <c r="D3026" s="24"/>
      <c r="E3026" s="24"/>
    </row>
    <row r="3027">
      <c r="A3027" s="25" t="s">
        <v>18352</v>
      </c>
      <c r="B3027" s="25" t="s">
        <v>18387</v>
      </c>
      <c r="C3027" s="26" t="str">
        <f>HYPERLINK("https://audio.iskcondesiretree.com/02_-_ISKCON_Swamis/ISKCON_Swamis_-_R_to_Y/His_Holiness_Radhanath_Swami/Lectures/00_-_Year_wise/Devotional_Nectar_-_2023/2023-09-23_Festivals_-_Radhastami_Class-Enchanting_Pastimes_of_Srimati_Radharani_-_Radhanath_Swami_I"&amp;"SKCON_Chowpatty.mp3", "2023-09-23_Festivals_-_Radhastami_Class-Enchanting_Pastimes_of_Srimati_Radharani_-_Radhanath_Swami_ISKCON_Chowpatty.mp3")</f>
        <v>2023-09-23_Festivals_-_Radhastami_Class-Enchanting_Pastimes_of_Srimati_Radharani_-_Radhanath_Swami_ISKCON_Chowpatty.mp3</v>
      </c>
      <c r="D3027" s="24"/>
      <c r="E3027" s="24"/>
    </row>
    <row r="3028">
      <c r="A3028" s="25" t="s">
        <v>18352</v>
      </c>
      <c r="B3028" s="25" t="s">
        <v>18387</v>
      </c>
      <c r="C3028" s="26" t="str">
        <f>HYPERLINK("https://audio.iskcondesiretree.com/02_-_ISKCON_Swamis/ISKCON_Swamis_-_R_to_Y/His_Holiness_Radhanath_Swami/Lectures/00_-_Year_wise/Devotional_Nectar_-_2023/2023-09-24_SB_02-02-36_-_Making_heart_a_better_place_-_Radhanath_Swami_Maharaj_ISKCON_Chowpatty.mp3", "2023-09-24_SB_02-02-36_-_Making_heart_a_better_place_-_Radhanath_Swami_Maharaj_ISKCON_Chowpatty.mp3")</f>
        <v>2023-09-24_SB_02-02-36_-_Making_heart_a_better_place_-_Radhanath_Swami_Maharaj_ISKCON_Chowpatty.mp3</v>
      </c>
      <c r="D3028" s="24"/>
      <c r="E3028" s="24"/>
    </row>
    <row r="3029">
      <c r="A3029" s="25" t="s">
        <v>18352</v>
      </c>
      <c r="B3029" s="25" t="s">
        <v>18387</v>
      </c>
      <c r="C3029" s="26" t="str">
        <f>HYPERLINK("https://audio.iskcondesiretree.com/02_-_ISKCON_Swamis/ISKCON_Swamis_-_R_to_Y/His_Holiness_Radhanath_Swami/Lectures/00_-_Year_wise/Devotional_Nectar_-_2023/2023-10-12_Festivals_-_Vyas_Puja-Festival_of_Gratitude_-_Radhanath_Swami_GEV.mp3", "2023-10-12_Festivals_-_Vyas_Puja-Festival_of_Gratitude_-_Radhanath_Swami_GEV.mp3")</f>
        <v>2023-10-12_Festivals_-_Vyas_Puja-Festival_of_Gratitude_-_Radhanath_Swami_GEV.mp3</v>
      </c>
      <c r="D3029" s="24"/>
      <c r="E3029" s="24"/>
    </row>
    <row r="3030">
      <c r="A3030" s="25" t="s">
        <v>18352</v>
      </c>
      <c r="B3030" s="25" t="s">
        <v>18388</v>
      </c>
      <c r="C3030" s="26" t="str">
        <f>HYPERLINK("https://audio.iskcondesiretree.com/02_-_ISKCON_Swamis/ISKCON_Swamis_-_R_to_Y/His_Holiness_Radhanath_Swami/Lectures/00_-_Year_wise/Devotional_Nectar_-_2024/2024-01-06_Festival_Lecture_-_Pushya_Abhishek_Lecture_-_Radhanath_Swami_ISKCON_Chowpatty.mp3", "2024-01-06_Festival_Lecture_-_Pushya_Abhishek_Lecture_-_Radhanath_Swami_ISKCON_Chowpatty.mp3")</f>
        <v>2024-01-06_Festival_Lecture_-_Pushya_Abhishek_Lecture_-_Radhanath_Swami_ISKCON_Chowpatty.mp3</v>
      </c>
      <c r="D3030" s="24"/>
      <c r="E3030" s="24"/>
    </row>
    <row r="3031">
      <c r="A3031" s="25" t="s">
        <v>18352</v>
      </c>
      <c r="B3031" s="25" t="s">
        <v>18388</v>
      </c>
      <c r="C3031" s="26" t="str">
        <f>HYPERLINK("https://audio.iskcondesiretree.com/02_-_ISKCON_Swamis/ISKCON_Swamis_-_R_to_Y/His_Holiness_Radhanath_Swami/Lectures/00_-_Year_wise/Devotional_Nectar_-_2024/2024-01-07_SB_02-05-32_-_How_to_atone_for_offences_-_Radhanath_Swami_ISKCON_Chowpatty.mp3", "2024-01-07_SB_02-05-32_-_How_to_atone_for_offences_-_Radhanath_Swami_ISKCON_Chowpatty.mp3")</f>
        <v>2024-01-07_SB_02-05-32_-_How_to_atone_for_offences_-_Radhanath_Swami_ISKCON_Chowpatty.mp3</v>
      </c>
      <c r="D3031" s="24"/>
      <c r="E3031" s="24"/>
    </row>
    <row r="3032">
      <c r="A3032" s="25" t="s">
        <v>18352</v>
      </c>
      <c r="B3032" s="25" t="s">
        <v>18388</v>
      </c>
      <c r="C3032" s="26" t="str">
        <f>HYPERLINK("https://audio.iskcondesiretree.com/02_-_ISKCON_Swamis/ISKCON_Swamis_-_R_to_Y/His_Holiness_Radhanath_Swami/Lectures/00_-_Year_wise/Devotional_Nectar_-_2024/2024-01-26_Special_Class_-_Welcoming_Sri_Rama_to_our_Life_-_Radhanath_Swami_ISKCON_Juhu.mp3", "2024-01-26_Special_Class_-_Welcoming_Sri_Rama_to_our_Life_-_Radhanath_Swami_ISKCON_Juhu.mp3")</f>
        <v>2024-01-26_Special_Class_-_Welcoming_Sri_Rama_to_our_Life_-_Radhanath_Swami_ISKCON_Juhu.mp3</v>
      </c>
      <c r="D3032" s="24"/>
      <c r="E3032" s="24"/>
    </row>
    <row r="3033">
      <c r="A3033" s="25" t="s">
        <v>18352</v>
      </c>
      <c r="B3033" s="25" t="s">
        <v>18388</v>
      </c>
      <c r="C3033" s="26" t="str">
        <f>HYPERLINK("https://audio.iskcondesiretree.com/02_-_ISKCON_Swamis/ISKCON_Swamis_-_R_to_Y/His_Holiness_Radhanath_Swami/Lectures/00_-_Year_wise/Devotional_Nectar_-_2024/2024-04-07_SB_02-07-24_-_Lessons_from_Ramayan_-_Radhanath_Swami_ISKCON_Chowpatty.mp3", "2024-04-07_SB_02-07-24_-_Lessons_from_Ramayan_-_Radhanath_Swami_ISKCON_Chowpatty.mp3")</f>
        <v>2024-04-07_SB_02-07-24_-_Lessons_from_Ramayan_-_Radhanath_Swami_ISKCON_Chowpatty.mp3</v>
      </c>
      <c r="D3033" s="24"/>
      <c r="E3033" s="24"/>
    </row>
    <row r="3034">
      <c r="A3034" s="25" t="s">
        <v>18352</v>
      </c>
      <c r="B3034" s="25" t="s">
        <v>18388</v>
      </c>
      <c r="C3034" s="26" t="str">
        <f>HYPERLINK("https://audio.iskcondesiretree.com/02_-_ISKCON_Swamis/ISKCON_Swamis_-_R_to_Y/His_Holiness_Radhanath_Swami/Lectures/00_-_Year_wise/Devotional_Nectar_-_2024/2024-07-14_SB_02-09-29_-_How_Lord_Krishna_reveals_Himself_-_Radhanath_Swami_ISKCON_Chowpatty.mp3", "2024-07-14_SB_02-09-29_-_How_Lord_Krishna_reveals_Himself_-_Radhanath_Swami_ISKCON_Chowpatty.mp3")</f>
        <v>2024-07-14_SB_02-09-29_-_How_Lord_Krishna_reveals_Himself_-_Radhanath_Swami_ISKCON_Chowpatty.mp3</v>
      </c>
      <c r="D3034" s="24"/>
      <c r="E3034" s="24"/>
    </row>
    <row r="3035">
      <c r="A3035" s="25" t="s">
        <v>18352</v>
      </c>
      <c r="B3035" s="25" t="s">
        <v>18388</v>
      </c>
      <c r="C3035" s="26" t="str">
        <f>HYPERLINK("https://audio.iskcondesiretree.com/02_-_ISKCON_Swamis/ISKCON_Swamis_-_R_to_Y/His_Holiness_Radhanath_Swami/Lectures/00_-_Year_wise/Devotional_Nectar_-_2024/2024-07-21_Festival_Class_-_Brahmotsava_-_Radhanath_Swami_Maharaj_ISKCON_Chowpatty.mp3", "2024-07-21_Festival_Class_-_Brahmotsava_-_Radhanath_Swami_Maharaj_ISKCON_Chowpatty.mp3")</f>
        <v>2024-07-21_Festival_Class_-_Brahmotsava_-_Radhanath_Swami_Maharaj_ISKCON_Chowpatty.mp3</v>
      </c>
      <c r="D3035" s="24"/>
      <c r="E3035" s="24"/>
    </row>
    <row r="3036">
      <c r="A3036" s="25" t="s">
        <v>18352</v>
      </c>
      <c r="B3036" s="25" t="s">
        <v>18388</v>
      </c>
      <c r="C3036" s="26" t="str">
        <f>HYPERLINK("https://audio.iskcondesiretree.com/02_-_ISKCON_Swamis/ISKCON_Swamis_-_R_to_Y/His_Holiness_Radhanath_Swami/Lectures/00_-_Year_wise/Devotional_Nectar_-_2024/2024-08-18_SB_02-09-46_-_Austerity_and_Bhakti_-_Radhanath_Swami_ISKCON_Chowpatty.mp3", "2024-08-18_SB_02-09-46_-_Austerity_and_Bhakti_-_Radhanath_Swami_ISKCON_Chowpatty.mp3")</f>
        <v>2024-08-18_SB_02-09-46_-_Austerity_and_Bhakti_-_Radhanath_Swami_ISKCON_Chowpatty.mp3</v>
      </c>
      <c r="D3036" s="24"/>
      <c r="E3036" s="24"/>
    </row>
    <row r="3037">
      <c r="A3037" s="25" t="s">
        <v>18352</v>
      </c>
      <c r="B3037" s="25" t="s">
        <v>18388</v>
      </c>
      <c r="C3037" s="26" t="str">
        <f>HYPERLINK("https://audio.iskcondesiretree.com/02_-_ISKCON_Swamis/ISKCON_Swamis_-_R_to_Y/His_Holiness_Radhanath_Swami/Lectures/00_-_Year_wise/Devotional_Nectar_-_2024/2024-08-19_Festival_Class_-_Glories_of_Lord_Balarama_-_Radhanath_Swami_ISKCON_Chowpatty.mp3", "2024-08-19_Festival_Class_-_Glories_of_Lord_Balarama_-_Radhanath_Swami_ISKCON_Chowpatty.mp3")</f>
        <v>2024-08-19_Festival_Class_-_Glories_of_Lord_Balarama_-_Radhanath_Swami_ISKCON_Chowpatty.mp3</v>
      </c>
      <c r="D3037" s="24"/>
      <c r="E3037" s="24"/>
    </row>
    <row r="3038">
      <c r="A3038" s="25" t="s">
        <v>18352</v>
      </c>
      <c r="B3038" s="25" t="s">
        <v>18388</v>
      </c>
      <c r="C3038" s="26" t="str">
        <f>HYPERLINK("https://audio.iskcondesiretree.com/02_-_ISKCON_Swamis/ISKCON_Swamis_-_R_to_Y/His_Holiness_Radhanath_Swami/Lectures/00_-_Year_wise/Devotional_Nectar_-_2024/2024-08-26_SB_03-02-12_-_Janmashtami_Lecture-Krishna_is_Supremely_Perfect_-_Radhanath_Swami_ISKCON_C"&amp;"howpatty.mp3", "2024-08-26_SB_03-02-12_-_Janmashtami_Lecture-Krishna_is_Supremely_Perfect_-_Radhanath_Swami_ISKCON_Chowpatty.mp3")</f>
        <v>2024-08-26_SB_03-02-12_-_Janmashtami_Lecture-Krishna_is_Supremely_Perfect_-_Radhanath_Swami_ISKCON_Chowpatty.mp3</v>
      </c>
      <c r="D3038" s="24"/>
      <c r="E3038" s="24"/>
    </row>
    <row r="3039">
      <c r="A3039" s="25" t="s">
        <v>18352</v>
      </c>
      <c r="B3039" s="25" t="s">
        <v>18388</v>
      </c>
      <c r="C3039" s="26" t="str">
        <f>HYPERLINK("https://audio.iskcondesiretree.com/02_-_ISKCON_Swamis/ISKCON_Swamis_-_R_to_Y/His_Holiness_Radhanath_Swami/Lectures/00_-_Year_wise/Devotional_Nectar_-_2024/2024-08-27_Festivals_-_Srila_Prabhupada_Vyas_Puja_Offering_-_Radhanath_Swami_Maharaj_ISKCON_Chowpatt"&amp;"y.mp3", "2024-08-27_Festivals_-_Srila_Prabhupada_Vyas_Puja_Offering_-_Radhanath_Swami_Maharaj_ISKCON_Chowpatty.mp3")</f>
        <v>2024-08-27_Festivals_-_Srila_Prabhupada_Vyas_Puja_Offering_-_Radhanath_Swami_Maharaj_ISKCON_Chowpatty.mp3</v>
      </c>
      <c r="D3039" s="24"/>
      <c r="E3039" s="24"/>
    </row>
    <row r="3040">
      <c r="A3040" s="25" t="s">
        <v>18352</v>
      </c>
      <c r="B3040" s="25" t="s">
        <v>18388</v>
      </c>
      <c r="C3040" s="26" t="str">
        <f>HYPERLINK("https://audio.iskcondesiretree.com/02_-_ISKCON_Swamis/ISKCON_Swamis_-_R_to_Y/His_Holiness_Radhanath_Swami/Lectures/00_-_Year_wise/Devotional_Nectar_-_2024/2024-08-30_SB_06-19-06_-_Radhanath_Swami_ISKCON_Delhi.mp3", "2024-08-30_SB_06-19-06_-_Radhanath_Swami_ISKCON_Delhi.mp3")</f>
        <v>2024-08-30_SB_06-19-06_-_Radhanath_Swami_ISKCON_Delhi.mp3</v>
      </c>
      <c r="D3040" s="24"/>
      <c r="E3040" s="24"/>
    </row>
    <row r="3041">
      <c r="A3041" s="25" t="s">
        <v>18352</v>
      </c>
      <c r="B3041" s="25" t="s">
        <v>18388</v>
      </c>
      <c r="C3041" s="26" t="str">
        <f>HYPERLINK("https://audio.iskcondesiretree.com/02_-_ISKCON_Swamis/ISKCON_Swamis_-_R_to_Y/His_Holiness_Radhanath_Swami/Lectures/00_-_Year_wise/Devotional_Nectar_-_2024/2024-09-11_CC_Adi_Lila_04-69_-_Radhastami_Lecture_-_Radhanath_Swami_ISKCON_Chowpatty.mp3", "2024-09-11_CC_Adi_Lila_04-69_-_Radhastami_Lecture_-_Radhanath_Swami_ISKCON_Chowpatty.mp3")</f>
        <v>2024-09-11_CC_Adi_Lila_04-69_-_Radhastami_Lecture_-_Radhanath_Swami_ISKCON_Chowpatty.mp3</v>
      </c>
      <c r="D3041" s="24"/>
      <c r="E3041" s="24"/>
    </row>
    <row r="3042">
      <c r="A3042" s="25" t="s">
        <v>18352</v>
      </c>
      <c r="B3042" s="25" t="s">
        <v>18388</v>
      </c>
      <c r="C3042" s="26" t="str">
        <f>HYPERLINK("https://audio.iskcondesiretree.com/02_-_ISKCON_Swamis/ISKCON_Swamis_-_R_to_Y/His_Holiness_Radhanath_Swami/Lectures/00_-_Year_wise/Devotional_Nectar_-_2024/2024-12-01_SB_03-02-03_-_What_is_the_Difficulty_-_Radhanath_Swami_ISKCON_Chowpatty.mp3", "2024-12-01_SB_03-02-03_-_What_is_the_Difficulty_-_Radhanath_Swami_ISKCON_Chowpatty.mp3")</f>
        <v>2024-12-01_SB_03-02-03_-_What_is_the_Difficulty_-_Radhanath_Swami_ISKCON_Chowpatty.mp3</v>
      </c>
      <c r="D3042" s="24"/>
      <c r="E3042" s="24"/>
    </row>
    <row r="3043">
      <c r="A3043" s="25" t="s">
        <v>18352</v>
      </c>
      <c r="B3043" s="25" t="s">
        <v>18388</v>
      </c>
      <c r="C3043" s="26" t="str">
        <f>HYPERLINK("https://audio.iskcondesiretree.com/02_-_ISKCON_Swamis/ISKCON_Swamis_-_R_to_Y/His_Holiness_Radhanath_Swami/Lectures/00_-_Year_wise/Devotional_Nectar_-_2024/2024-12-22_SB_03-22-20_-_Krishna_inconceivable_Plans_-_Radhanath_Swami_ISKCON_Chowpatty.mp3", "2024-12-22_SB_03-22-20_-_Krishna_inconceivable_Plans_-_Radhanath_Swami_ISKCON_Chowpatty.mp3")</f>
        <v>2024-12-22_SB_03-22-20_-_Krishna_inconceivable_Plans_-_Radhanath_Swami_ISKCON_Chowpatty.mp3</v>
      </c>
      <c r="D3043" s="24"/>
      <c r="E3043" s="24"/>
    </row>
    <row r="3044">
      <c r="A3044" s="25" t="s">
        <v>18352</v>
      </c>
      <c r="B3044" s="25" t="s">
        <v>18389</v>
      </c>
      <c r="C3044" s="26" t="str">
        <f>HYPERLINK("https://audio.iskcondesiretree.com/02_-_ISKCON_Swamis/ISKCON_Swamis_-_R_to_Y/His_Holiness_Radhanath_Swami/Lectures/00_-_Year_wise/Devotional_Nectar_-_2025/2025-03-02_SB_03-04-28_-_Sacrifice_Maturity_and_Humanity_of_Uddhava_-_Radhanath_Swami_ISKCON_Chowpat"&amp;"ty.mp3", "2025-03-02_SB_03-04-28_-_Sacrifice_Maturity_and_Humanity_of_Uddhava_-_Radhanath_Swami_ISKCON_Chowpatty.mp3")</f>
        <v>2025-03-02_SB_03-04-28_-_Sacrifice_Maturity_and_Humanity_of_Uddhava_-_Radhanath_Swami_ISKCON_Chowpatty.mp3</v>
      </c>
      <c r="D3044" s="24"/>
      <c r="E3044" s="24"/>
    </row>
    <row r="3045">
      <c r="A3045" s="25" t="s">
        <v>18352</v>
      </c>
      <c r="B3045" s="25" t="s">
        <v>18389</v>
      </c>
      <c r="C3045" s="26" t="str">
        <f>HYPERLINK("https://audio.iskcondesiretree.com/02_-_ISKCON_Swamis/ISKCON_Swamis_-_R_to_Y/His_Holiness_Radhanath_Swami/Lectures/00_-_Year_wise/Devotional_Nectar_-_2025/2025-05-28_SB_03-15-33_-_Radhanath_Swami_ISKCON_Alachua.mp3", "2025-05-28_SB_03-15-33_-_Radhanath_Swami_ISKCON_Alachua.mp3")</f>
        <v>2025-05-28_SB_03-15-33_-_Radhanath_Swami_ISKCON_Alachua.mp3</v>
      </c>
      <c r="D3045" s="24"/>
      <c r="E3045" s="24"/>
    </row>
    <row r="3046">
      <c r="A3046" s="25" t="s">
        <v>18352</v>
      </c>
      <c r="B3046" s="25" t="s">
        <v>18390</v>
      </c>
      <c r="C3046" s="26" t="str">
        <f>HYPERLINK("https://audio.iskcondesiretree.com/02_-_ISKCON_Swamis/ISKCON_Swamis_-_R_to_Y/His_Holiness_Radhanath_Swami/Lectures/00_-_Year_wise/Gita_Nagari_Retreat_2014/01_-_2014_Gita_Nagari_Retreat_-_Mission_of_Lord_Chaitanya_Mahaprabhu_Movement_-_Radhanath_Swami%20.m"&amp;"p3", "01_-_2014_Gita_Nagari_Retreat_-_Mission_of_Lord_Chaitanya_Mahaprabhu_Movement_-_Radhanath_Swami%20.mp3")</f>
        <v>01_-_2014_Gita_Nagari_Retreat_-_Mission_of_Lord_Chaitanya_Mahaprabhu_Movement_-_Radhanath_Swami%20.mp3</v>
      </c>
      <c r="D3046" s="24"/>
      <c r="E3046" s="24"/>
    </row>
    <row r="3047">
      <c r="A3047" s="25" t="s">
        <v>18352</v>
      </c>
      <c r="B3047" s="25" t="s">
        <v>18390</v>
      </c>
      <c r="C3047" s="26" t="str">
        <f>HYPERLINK("https://audio.iskcondesiretree.com/02_-_ISKCON_Swamis/ISKCON_Swamis_-_R_to_Y/His_Holiness_Radhanath_Swami/Lectures/00_-_Year_wise/Gita_Nagari_Retreat_2014/02_-_2014_Gita_Nagari_Retreat_-_Bhajans-Hare_Krishna_Kirtan_-_Radhanath_Swami.mp3", "02_-_2014_Gita_Nagari_Retreat_-_Bhajans-Hare_Krishna_Kirtan_-_Radhanath_Swami.mp3")</f>
        <v>02_-_2014_Gita_Nagari_Retreat_-_Bhajans-Hare_Krishna_Kirtan_-_Radhanath_Swami.mp3</v>
      </c>
      <c r="D3047" s="24"/>
      <c r="E3047" s="24"/>
    </row>
    <row r="3048">
      <c r="A3048" s="25" t="s">
        <v>18352</v>
      </c>
      <c r="B3048" s="25" t="s">
        <v>18390</v>
      </c>
      <c r="C3048" s="26" t="str">
        <f>HYPERLINK("https://audio.iskcondesiretree.com/02_-_ISKCON_Swamis/ISKCON_Swamis_-_R_to_Y/His_Holiness_Radhanath_Swami/Lectures/00_-_Year_wise/Gita_Nagari_Retreat_2014/03_-_2014_Gita_Nagari_Retreat_-_Bhajans-Hare_Krishna_Kirtan.mp3", "03_-_2014_Gita_Nagari_Retreat_-_Bhajans-Hare_Krishna_Kirtan.mp3")</f>
        <v>03_-_2014_Gita_Nagari_Retreat_-_Bhajans-Hare_Krishna_Kirtan.mp3</v>
      </c>
      <c r="D3048" s="24"/>
      <c r="E3048" s="24"/>
    </row>
    <row r="3049">
      <c r="A3049" s="25" t="s">
        <v>18352</v>
      </c>
      <c r="B3049" s="25" t="s">
        <v>18390</v>
      </c>
      <c r="C3049" s="26" t="str">
        <f>HYPERLINK("https://audio.iskcondesiretree.com/02_-_ISKCON_Swamis/ISKCON_Swamis_-_R_to_Y/His_Holiness_Radhanath_Swami/Lectures/00_-_Year_wise/Gita_Nagari_Retreat_2014/04_-_2014_Gita_Nagari_Retreat_-_Morning_Session-Devotees_Chanting_-_Radhanath_Swami.mp3", "04_-_2014_Gita_Nagari_Retreat_-_Morning_Session-Devotees_Chanting_-_Radhanath_Swami.mp3")</f>
        <v>04_-_2014_Gita_Nagari_Retreat_-_Morning_Session-Devotees_Chanting_-_Radhanath_Swami.mp3</v>
      </c>
      <c r="D3049" s="24"/>
      <c r="E3049" s="24"/>
    </row>
    <row r="3050">
      <c r="A3050" s="25" t="s">
        <v>18352</v>
      </c>
      <c r="B3050" s="25" t="s">
        <v>18390</v>
      </c>
      <c r="C3050" s="26" t="str">
        <f>HYPERLINK("https://audio.iskcondesiretree.com/02_-_ISKCON_Swamis/ISKCON_Swamis_-_R_to_Y/His_Holiness_Radhanath_Swami/Lectures/00_-_Year_wise/Gita_Nagari_Retreat_2014/05_-_2014_Gita_Nagari_Retreat_-_CC_Madhya_Lila_13-80_-_Sesa_Prabhu.mp3", "05_-_2014_Gita_Nagari_Retreat_-_CC_Madhya_Lila_13-80_-_Sesa_Prabhu.mp3")</f>
        <v>05_-_2014_Gita_Nagari_Retreat_-_CC_Madhya_Lila_13-80_-_Sesa_Prabhu.mp3</v>
      </c>
      <c r="D3050" s="24"/>
      <c r="E3050" s="24"/>
    </row>
    <row r="3051">
      <c r="A3051" s="25" t="s">
        <v>18352</v>
      </c>
      <c r="B3051" s="25" t="s">
        <v>18390</v>
      </c>
      <c r="C3051" s="26" t="str">
        <f>HYPERLINK("https://audio.iskcondesiretree.com/02_-_ISKCON_Swamis/ISKCON_Swamis_-_R_to_Y/His_Holiness_Radhanath_Swami/Lectures/00_-_Year_wise/Gita_Nagari_Retreat_2014/06_-_2014_Gita_Nagari_Retreat_-_Bhajans-Hare_Krishna_Kirtan.mp3", "06_-_2014_Gita_Nagari_Retreat_-_Bhajans-Hare_Krishna_Kirtan.mp3")</f>
        <v>06_-_2014_Gita_Nagari_Retreat_-_Bhajans-Hare_Krishna_Kirtan.mp3</v>
      </c>
      <c r="D3051" s="24"/>
      <c r="E3051" s="24"/>
    </row>
    <row r="3052">
      <c r="A3052" s="25" t="s">
        <v>18352</v>
      </c>
      <c r="B3052" s="25" t="s">
        <v>18390</v>
      </c>
      <c r="C3052" s="26" t="str">
        <f>HYPERLINK("https://audio.iskcondesiretree.com/02_-_ISKCON_Swamis/ISKCON_Swamis_-_R_to_Y/His_Holiness_Radhanath_Swami/Lectures/00_-_Year_wise/Gita_Nagari_Retreat_2014/07_-_2014_Gita_Nagari_Retreat_-_Bhajans-Hare_Krishna_Kirtan.mp3", "07_-_2014_Gita_Nagari_Retreat_-_Bhajans-Hare_Krishna_Kirtan.mp3")</f>
        <v>07_-_2014_Gita_Nagari_Retreat_-_Bhajans-Hare_Krishna_Kirtan.mp3</v>
      </c>
      <c r="D3052" s="24"/>
      <c r="E3052" s="24"/>
    </row>
    <row r="3053">
      <c r="A3053" s="25" t="s">
        <v>18352</v>
      </c>
      <c r="B3053" s="25" t="s">
        <v>18390</v>
      </c>
      <c r="C3053" s="26" t="str">
        <f>HYPERLINK("https://audio.iskcondesiretree.com/02_-_ISKCON_Swamis/ISKCON_Swamis_-_R_to_Y/His_Holiness_Radhanath_Swami/Lectures/00_-_Year_wise/Gita_Nagari_Retreat_2014/08_-_2014_Gita_Nagari_Retreat_-_Bhajans-Hare_Krishna_Kirtan.mp3", "08_-_2014_Gita_Nagari_Retreat_-_Bhajans-Hare_Krishna_Kirtan.mp3")</f>
        <v>08_-_2014_Gita_Nagari_Retreat_-_Bhajans-Hare_Krishna_Kirtan.mp3</v>
      </c>
      <c r="D3053" s="24"/>
      <c r="E3053" s="24"/>
    </row>
    <row r="3054">
      <c r="A3054" s="25" t="s">
        <v>18352</v>
      </c>
      <c r="B3054" s="25" t="s">
        <v>18390</v>
      </c>
      <c r="C3054" s="26" t="str">
        <f>HYPERLINK("https://audio.iskcondesiretree.com/02_-_ISKCON_Swamis/ISKCON_Swamis_-_R_to_Y/His_Holiness_Radhanath_Swami/Lectures/00_-_Year_wise/Gita_Nagari_Retreat_2014/09_-_2014_Gita_Nagari_Retreat_-_SB_04-20-16_-_Radhanath_Swami.mp3", "09_-_2014_Gita_Nagari_Retreat_-_SB_04-20-16_-_Radhanath_Swami.mp3")</f>
        <v>09_-_2014_Gita_Nagari_Retreat_-_SB_04-20-16_-_Radhanath_Swami.mp3</v>
      </c>
      <c r="D3054" s="24"/>
      <c r="E3054" s="24"/>
    </row>
    <row r="3055">
      <c r="A3055" s="25" t="s">
        <v>18352</v>
      </c>
      <c r="B3055" s="25" t="s">
        <v>18390</v>
      </c>
      <c r="C3055" s="26" t="str">
        <f>HYPERLINK("https://audio.iskcondesiretree.com/02_-_ISKCON_Swamis/ISKCON_Swamis_-_R_to_Y/His_Holiness_Radhanath_Swami/Lectures/00_-_Year_wise/Gita_Nagari_Retreat_2014/10_-_2014_Gita_Nagari_Retreat_-_Bhajans-Hare_krishna_Kirtan_-_Radhanath_Swami.mp3", "10_-_2014_Gita_Nagari_Retreat_-_Bhajans-Hare_krishna_Kirtan_-_Radhanath_Swami.mp3")</f>
        <v>10_-_2014_Gita_Nagari_Retreat_-_Bhajans-Hare_krishna_Kirtan_-_Radhanath_Swami.mp3</v>
      </c>
      <c r="D3055" s="24"/>
      <c r="E3055" s="24"/>
    </row>
    <row r="3056">
      <c r="A3056" s="25" t="s">
        <v>18352</v>
      </c>
      <c r="B3056" s="25" t="s">
        <v>18390</v>
      </c>
      <c r="C3056" s="26" t="str">
        <f>HYPERLINK("https://audio.iskcondesiretree.com/02_-_ISKCON_Swamis/ISKCON_Swamis_-_R_to_Y/His_Holiness_Radhanath_Swami/Lectures/00_-_Year_wise/Gita_Nagari_Retreat_2014/11_-_2014_Gita_Nagari_Retreat_-_Bhajans-Hare_krishna_Kirtan.mp3", "11_-_2014_Gita_Nagari_Retreat_-_Bhajans-Hare_krishna_Kirtan.mp3")</f>
        <v>11_-_2014_Gita_Nagari_Retreat_-_Bhajans-Hare_krishna_Kirtan.mp3</v>
      </c>
      <c r="D3056" s="24"/>
      <c r="E3056" s="24"/>
    </row>
    <row r="3057">
      <c r="A3057" s="25" t="s">
        <v>18352</v>
      </c>
      <c r="B3057" s="25" t="s">
        <v>18390</v>
      </c>
      <c r="C3057" s="26" t="str">
        <f>HYPERLINK("https://audio.iskcondesiretree.com/02_-_ISKCON_Swamis/ISKCON_Swamis_-_R_to_Y/His_Holiness_Radhanath_Swami/Lectures/00_-_Year_wise/Gita_Nagari_Retreat_2014/12_-_2014_Gita_Nagari_Retreat_-_Mission_of_Lord_Chaitanya_Mahaprabhu_Movement_-_Rukmini_Mataji.mp3", "12_-_2014_Gita_Nagari_Retreat_-_Mission_of_Lord_Chaitanya_Mahaprabhu_Movement_-_Rukmini_Mataji.mp3")</f>
        <v>12_-_2014_Gita_Nagari_Retreat_-_Mission_of_Lord_Chaitanya_Mahaprabhu_Movement_-_Rukmini_Mataji.mp3</v>
      </c>
      <c r="D3057" s="24"/>
      <c r="E3057" s="24"/>
    </row>
    <row r="3058">
      <c r="A3058" s="25" t="s">
        <v>18352</v>
      </c>
      <c r="B3058" s="25" t="s">
        <v>18390</v>
      </c>
      <c r="C3058" s="26" t="str">
        <f>HYPERLINK("https://audio.iskcondesiretree.com/02_-_ISKCON_Swamis/ISKCON_Swamis_-_R_to_Y/His_Holiness_Radhanath_Swami/Lectures/00_-_Year_wise/Gita_Nagari_Retreat_2014/15_-_2014_Gita_Nagari_Retreat_-_Bonafied_Spiritual_Master_-_Devamrita_Swami.mp3", "15_-_2014_Gita_Nagari_Retreat_-_Bonafied_Spiritual_Master_-_Devamrita_Swami.mp3")</f>
        <v>15_-_2014_Gita_Nagari_Retreat_-_Bonafied_Spiritual_Master_-_Devamrita_Swami.mp3</v>
      </c>
      <c r="D3058" s="24"/>
      <c r="E3058" s="24"/>
    </row>
    <row r="3059">
      <c r="A3059" s="25" t="s">
        <v>18352</v>
      </c>
      <c r="B3059" s="25" t="s">
        <v>18390</v>
      </c>
      <c r="C3059" s="26" t="str">
        <f>HYPERLINK("https://audio.iskcondesiretree.com/02_-_ISKCON_Swamis/ISKCON_Swamis_-_R_to_Y/His_Holiness_Radhanath_Swami/Lectures/00_-_Year_wise/Gita_Nagari_Retreat_2014/16_-_2014_Gita_Nagari_Retreat_-_Initiation_Ceremony.mp3", "16_-_2014_Gita_Nagari_Retreat_-_Initiation_Ceremony.mp3")</f>
        <v>16_-_2014_Gita_Nagari_Retreat_-_Initiation_Ceremony.mp3</v>
      </c>
      <c r="D3059" s="24"/>
      <c r="E3059" s="24"/>
    </row>
    <row r="3060">
      <c r="A3060" s="25" t="s">
        <v>18352</v>
      </c>
      <c r="B3060" s="25" t="s">
        <v>18390</v>
      </c>
      <c r="C3060" s="26" t="str">
        <f>HYPERLINK("https://audio.iskcondesiretree.com/02_-_ISKCON_Swamis/ISKCON_Swamis_-_R_to_Y/His_Holiness_Radhanath_Swami/Lectures/00_-_Year_wise/Gita_Nagari_Retreat_2014/17_-_2014_Gita_Nagari_Retreat_-_Devotion_to_Reach_Krishna_-_Radhanath_Swami.mp3", "17_-_2014_Gita_Nagari_Retreat_-_Devotion_to_Reach_Krishna_-_Radhanath_Swami.mp3")</f>
        <v>17_-_2014_Gita_Nagari_Retreat_-_Devotion_to_Reach_Krishna_-_Radhanath_Swami.mp3</v>
      </c>
      <c r="D3060" s="24"/>
      <c r="E3060" s="24"/>
    </row>
    <row r="3061">
      <c r="A3061" s="25" t="s">
        <v>18352</v>
      </c>
      <c r="B3061" s="25" t="s">
        <v>18390</v>
      </c>
      <c r="C3061" s="26" t="str">
        <f>HYPERLINK("https://audio.iskcondesiretree.com/02_-_ISKCON_Swamis/ISKCON_Swamis_-_R_to_Y/His_Holiness_Radhanath_Swami/Lectures/00_-_Year_wise/Gita_Nagari_Retreat_2014/18_-_2014_Gita_Nagari_Retreat_-_Pure_Devotion_Service_-_Radhanath_Swami.mp3", "18_-_2014_Gita_Nagari_Retreat_-_Pure_Devotion_Service_-_Radhanath_Swami.mp3")</f>
        <v>18_-_2014_Gita_Nagari_Retreat_-_Pure_Devotion_Service_-_Radhanath_Swami.mp3</v>
      </c>
      <c r="D3061" s="24"/>
      <c r="E3061" s="24"/>
    </row>
    <row r="3062">
      <c r="A3062" s="25" t="s">
        <v>18352</v>
      </c>
      <c r="B3062" s="25" t="s">
        <v>18390</v>
      </c>
      <c r="C3062" s="26" t="str">
        <f>HYPERLINK("https://audio.iskcondesiretree.com/02_-_ISKCON_Swamis/ISKCON_Swamis_-_R_to_Y/His_Holiness_Radhanath_Swami/Lectures/00_-_Year_wise/Gita_Nagari_Retreat_2014/19_-_2014_Gita_Nagari_Retreat_-_Initiation_Ceremony_-_Radhanath_Swami.mp3", "19_-_2014_Gita_Nagari_Retreat_-_Initiation_Ceremony_-_Radhanath_Swami.mp3")</f>
        <v>19_-_2014_Gita_Nagari_Retreat_-_Initiation_Ceremony_-_Radhanath_Swami.mp3</v>
      </c>
      <c r="D3062" s="24"/>
      <c r="E3062" s="24"/>
    </row>
    <row r="3063">
      <c r="A3063" s="25" t="s">
        <v>18352</v>
      </c>
      <c r="B3063" s="25" t="s">
        <v>18390</v>
      </c>
      <c r="C3063" s="26" t="str">
        <f>HYPERLINK("https://audio.iskcondesiretree.com/02_-_ISKCON_Swamis/ISKCON_Swamis_-_R_to_Y/His_Holiness_Radhanath_Swami/Lectures/00_-_Year_wise/Gita_Nagari_Retreat_2014/20_-_2014_Gita_Nagari_Retreat_-_Initiation_Ceremony_-_Radhanath_Swami.mp3", "20_-_2014_Gita_Nagari_Retreat_-_Initiation_Ceremony_-_Radhanath_Swami.mp3")</f>
        <v>20_-_2014_Gita_Nagari_Retreat_-_Initiation_Ceremony_-_Radhanath_Swami.mp3</v>
      </c>
      <c r="D3063" s="24"/>
      <c r="E3063" s="24"/>
    </row>
    <row r="3064">
      <c r="A3064" s="25" t="s">
        <v>18352</v>
      </c>
      <c r="B3064" s="25" t="s">
        <v>18390</v>
      </c>
      <c r="C3064" s="26" t="str">
        <f>HYPERLINK("https://audio.iskcondesiretree.com/02_-_ISKCON_Swamis/ISKCON_Swamis_-_R_to_Y/His_Holiness_Radhanath_Swami/Lectures/00_-_Year_wise/Gita_Nagari_Retreat_2014/21_-_2014_Gita_Nagari_Retreat_-_End_of_Initiation_Ceremony_-_Devamrita_Swami.mp3", "21_-_2014_Gita_Nagari_Retreat_-_End_of_Initiation_Ceremony_-_Devamrita_Swami.mp3")</f>
        <v>21_-_2014_Gita_Nagari_Retreat_-_End_of_Initiation_Ceremony_-_Devamrita_Swami.mp3</v>
      </c>
      <c r="D3064" s="24"/>
      <c r="E3064" s="24"/>
    </row>
    <row r="3065">
      <c r="A3065" s="25" t="s">
        <v>18352</v>
      </c>
      <c r="B3065" s="25" t="s">
        <v>18390</v>
      </c>
      <c r="C3065" s="26" t="str">
        <f>HYPERLINK("https://audio.iskcondesiretree.com/02_-_ISKCON_Swamis/ISKCON_Swamis_-_R_to_Y/His_Holiness_Radhanath_Swami/Lectures/00_-_Year_wise/Gita_Nagari_Retreat_2014/22_-_2014-07-12_Gita_Nagari_Retreat_-_How_Creation_begins_-_Radhanath_Swami.mp3", "22_-_2014-07-12_Gita_Nagari_Retreat_-_How_Creation_begins_-_Radhanath_Swami.mp3")</f>
        <v>22_-_2014-07-12_Gita_Nagari_Retreat_-_How_Creation_begins_-_Radhanath_Swami.mp3</v>
      </c>
      <c r="D3065" s="24"/>
      <c r="E3065" s="24"/>
    </row>
    <row r="3066">
      <c r="A3066" s="25" t="s">
        <v>18352</v>
      </c>
      <c r="B3066" s="25" t="s">
        <v>18390</v>
      </c>
      <c r="C3066" s="26" t="str">
        <f>HYPERLINK("https://audio.iskcondesiretree.com/02_-_ISKCON_Swamis/ISKCON_Swamis_-_R_to_Y/His_Holiness_Radhanath_Swami/Lectures/00_-_Year_wise/Gita_Nagari_Retreat_2014/23_-_2014-07-12_Gita_Nagari_Retreat_-_Proper_Attitude_-_Radhanath_Swami.mp3", "23_-_2014-07-12_Gita_Nagari_Retreat_-_Proper_Attitude_-_Radhanath_Swami.mp3")</f>
        <v>23_-_2014-07-12_Gita_Nagari_Retreat_-_Proper_Attitude_-_Radhanath_Swami.mp3</v>
      </c>
      <c r="D3066" s="24"/>
      <c r="E3066" s="24"/>
    </row>
    <row r="3067">
      <c r="A3067" s="25" t="s">
        <v>18352</v>
      </c>
      <c r="B3067" s="25" t="s">
        <v>18391</v>
      </c>
      <c r="C3067" s="26" t="str">
        <f>HYPERLINK("https://audio.iskcondesiretree.com/02_-_ISKCON_Swamis/ISKCON_Swamis_-_R_to_Y/His_Holiness_Radhanath_Swami/Lectures/00_-_Year_wise/Gita_Nagari_Retreat_2015/2015_Gita_Nagari_Retreat_-_Authenticity_and_Harmony_-_Giriraj_Swami_2015-05-30.mp3", "2015_Gita_Nagari_Retreat_-_Authenticity_and_Harmony_-_Giriraj_Swami_2015-05-30.mp3")</f>
        <v>2015_Gita_Nagari_Retreat_-_Authenticity_and_Harmony_-_Giriraj_Swami_2015-05-30.mp3</v>
      </c>
      <c r="D3067" s="24"/>
      <c r="E3067" s="24"/>
    </row>
    <row r="3068">
      <c r="A3068" s="25" t="s">
        <v>18352</v>
      </c>
      <c r="B3068" s="25" t="s">
        <v>18391</v>
      </c>
      <c r="C3068" s="26" t="str">
        <f>HYPERLINK("https://audio.iskcondesiretree.com/02_-_ISKCON_Swamis/ISKCON_Swamis_-_R_to_Y/His_Holiness_Radhanath_Swami/Lectures/00_-_Year_wise/Gita_Nagari_Retreat_2015/2015_Gita_Nagari_Retreat_-_Guru_Puja_-_2015-05-29.mp3", "2015_Gita_Nagari_Retreat_-_Guru_Puja_-_2015-05-29.mp3")</f>
        <v>2015_Gita_Nagari_Retreat_-_Guru_Puja_-_2015-05-29.mp3</v>
      </c>
      <c r="D3068" s="24"/>
      <c r="E3068" s="24"/>
    </row>
    <row r="3069">
      <c r="A3069" s="25" t="s">
        <v>18352</v>
      </c>
      <c r="B3069" s="25" t="s">
        <v>18391</v>
      </c>
      <c r="C3069" s="26" t="str">
        <f>HYPERLINK("https://audio.iskcondesiretree.com/02_-_ISKCON_Swamis/ISKCON_Swamis_-_R_to_Y/His_Holiness_Radhanath_Swami/Lectures/00_-_Year_wise/Gita_Nagari_Retreat_2015/2015_Gita_Nagari_Retreat_-_Guru_Puja_-_2015-05-31.mp3", "2015_Gita_Nagari_Retreat_-_Guru_Puja_-_2015-05-31.mp3")</f>
        <v>2015_Gita_Nagari_Retreat_-_Guru_Puja_-_2015-05-31.mp3</v>
      </c>
      <c r="D3069" s="24"/>
      <c r="E3069" s="24"/>
    </row>
    <row r="3070">
      <c r="A3070" s="25" t="s">
        <v>18352</v>
      </c>
      <c r="B3070" s="25" t="s">
        <v>18391</v>
      </c>
      <c r="C3070" s="26" t="str">
        <f>HYPERLINK("https://audio.iskcondesiretree.com/02_-_ISKCON_Swamis/ISKCON_Swamis_-_R_to_Y/His_Holiness_Radhanath_Swami/Lectures/00_-_Year_wise/Gita_Nagari_Retreat_2015/2015_Gita_Nagari_Retreat_-_Hare_Krishna_Kirtan_-_2015-05-30.mp3", "2015_Gita_Nagari_Retreat_-_Hare_Krishna_Kirtan_-_2015-05-30.mp3")</f>
        <v>2015_Gita_Nagari_Retreat_-_Hare_Krishna_Kirtan_-_2015-05-30.mp3</v>
      </c>
      <c r="D3070" s="24"/>
      <c r="E3070" s="24"/>
    </row>
    <row r="3071">
      <c r="A3071" s="25" t="s">
        <v>18352</v>
      </c>
      <c r="B3071" s="25" t="s">
        <v>18391</v>
      </c>
      <c r="C3071" s="26" t="str">
        <f>HYPERLINK("https://audio.iskcondesiretree.com/02_-_ISKCON_Swamis/ISKCON_Swamis_-_R_to_Y/His_Holiness_Radhanath_Swami/Lectures/00_-_Year_wise/Gita_Nagari_Retreat_2015/2015_Gita_Nagari_Retreat_-_Hare_Krishna_Kirtan_-_Kids_Kirtan_2015-05-30.mp3", "2015_Gita_Nagari_Retreat_-_Hare_Krishna_Kirtan_-_Kids_Kirtan_2015-05-30.mp3")</f>
        <v>2015_Gita_Nagari_Retreat_-_Hare_Krishna_Kirtan_-_Kids_Kirtan_2015-05-30.mp3</v>
      </c>
      <c r="D3071" s="24"/>
      <c r="E3071" s="24"/>
    </row>
    <row r="3072">
      <c r="A3072" s="25" t="s">
        <v>18352</v>
      </c>
      <c r="B3072" s="25" t="s">
        <v>18391</v>
      </c>
      <c r="C3072" s="26" t="str">
        <f>HYPERLINK("https://audio.iskcondesiretree.com/02_-_ISKCON_Swamis/ISKCON_Swamis_-_R_to_Y/His_Holiness_Radhanath_Swami/Lectures/00_-_Year_wise/Gita_Nagari_Retreat_2015/2015_Gita_Nagari_Retreat_-_Hare_Krishna_Kirtan_01_-_Acyuta_Gopi_Mataji_2015-05-30.mp3", "2015_Gita_Nagari_Retreat_-_Hare_Krishna_Kirtan_01_-_Acyuta_Gopi_Mataji_2015-05-30.mp3")</f>
        <v>2015_Gita_Nagari_Retreat_-_Hare_Krishna_Kirtan_01_-_Acyuta_Gopi_Mataji_2015-05-30.mp3</v>
      </c>
      <c r="D3072" s="24"/>
      <c r="E3072" s="24"/>
    </row>
    <row r="3073">
      <c r="A3073" s="25" t="s">
        <v>18352</v>
      </c>
      <c r="B3073" s="25" t="s">
        <v>18391</v>
      </c>
      <c r="C3073" s="26" t="str">
        <f>HYPERLINK("https://audio.iskcondesiretree.com/02_-_ISKCON_Swamis/ISKCON_Swamis_-_R_to_Y/His_Holiness_Radhanath_Swami/Lectures/00_-_Year_wise/Gita_Nagari_Retreat_2015/2015_Gita_Nagari_Retreat_-_Hare_Krishna_Kirtan_02_-_Acyuta_Gopi_Mataji_2015-05-30.mp3", "2015_Gita_Nagari_Retreat_-_Hare_Krishna_Kirtan_02_-_Acyuta_Gopi_Mataji_2015-05-30.mp3")</f>
        <v>2015_Gita_Nagari_Retreat_-_Hare_Krishna_Kirtan_02_-_Acyuta_Gopi_Mataji_2015-05-30.mp3</v>
      </c>
      <c r="D3073" s="24"/>
      <c r="E3073" s="24"/>
    </row>
    <row r="3074">
      <c r="A3074" s="25" t="s">
        <v>18352</v>
      </c>
      <c r="B3074" s="25" t="s">
        <v>18391</v>
      </c>
      <c r="C3074" s="26" t="str">
        <f>HYPERLINK("https://audio.iskcondesiretree.com/02_-_ISKCON_Swamis/ISKCON_Swamis_-_R_to_Y/His_Holiness_Radhanath_Swami/Lectures/00_-_Year_wise/Gita_Nagari_Retreat_2015/2015_Gita_Nagari_Retreat_-_Krishna_Integrity_and_Us_-_Vishaka_Mataji_2015-05-29.mp3", "2015_Gita_Nagari_Retreat_-_Krishna_Integrity_and_Us_-_Vishaka_Mataji_2015-05-29.mp3")</f>
        <v>2015_Gita_Nagari_Retreat_-_Krishna_Integrity_and_Us_-_Vishaka_Mataji_2015-05-29.mp3</v>
      </c>
      <c r="D3074" s="24"/>
      <c r="E3074" s="24"/>
    </row>
    <row r="3075">
      <c r="A3075" s="25" t="s">
        <v>18352</v>
      </c>
      <c r="B3075" s="25" t="s">
        <v>18391</v>
      </c>
      <c r="C3075" s="26" t="str">
        <f>HYPERLINK("https://audio.iskcondesiretree.com/02_-_ISKCON_Swamis/ISKCON_Swamis_-_R_to_Y/His_Holiness_Radhanath_Swami/Lectures/00_-_Year_wise/Gita_Nagari_Retreat_2015/2015_Gita_Nagari_Retreat_-_Pleasing_Krishna_-_Radhanath_Swami_2015-05-30.mp3", "2015_Gita_Nagari_Retreat_-_Pleasing_Krishna_-_Radhanath_Swami_2015-05-30.mp3")</f>
        <v>2015_Gita_Nagari_Retreat_-_Pleasing_Krishna_-_Radhanath_Swami_2015-05-30.mp3</v>
      </c>
      <c r="D3075" s="24"/>
      <c r="E3075" s="24"/>
    </row>
    <row r="3076">
      <c r="A3076" s="25" t="s">
        <v>18352</v>
      </c>
      <c r="B3076" s="25" t="s">
        <v>18391</v>
      </c>
      <c r="C3076" s="26" t="str">
        <f>HYPERLINK("https://audio.iskcondesiretree.com/02_-_ISKCON_Swamis/ISKCON_Swamis_-_R_to_Y/His_Holiness_Radhanath_Swami/Lectures/00_-_Year_wise/Gita_Nagari_Retreat_2015/2015_Gita_Nagari_Retreat_-_SB_02-07-15_-_2015-05-29.mp3", "2015_Gita_Nagari_Retreat_-_SB_02-07-15_-_2015-05-29.mp3")</f>
        <v>2015_Gita_Nagari_Retreat_-_SB_02-07-15_-_2015-05-29.mp3</v>
      </c>
      <c r="D3076" s="24"/>
      <c r="E3076" s="24"/>
    </row>
    <row r="3077">
      <c r="A3077" s="25" t="s">
        <v>18352</v>
      </c>
      <c r="B3077" s="25" t="s">
        <v>18391</v>
      </c>
      <c r="C3077" s="26" t="str">
        <f>HYPERLINK("https://audio.iskcondesiretree.com/02_-_ISKCON_Swamis/ISKCON_Swamis_-_R_to_Y/His_Holiness_Radhanath_Swami/Lectures/00_-_Year_wise/Gita_Nagari_Retreat_2015/2015_Gita_Nagari_Retreat_-_SB_07-09-28_-_Malati_Mataji_2015-05-30.mp3", "2015_Gita_Nagari_Retreat_-_SB_07-09-28_-_Malati_Mataji_2015-05-30.mp3")</f>
        <v>2015_Gita_Nagari_Retreat_-_SB_07-09-28_-_Malati_Mataji_2015-05-30.mp3</v>
      </c>
      <c r="D3077" s="24"/>
      <c r="E3077" s="24"/>
    </row>
    <row r="3078">
      <c r="A3078" s="25" t="s">
        <v>18352</v>
      </c>
      <c r="B3078" s="25" t="s">
        <v>18391</v>
      </c>
      <c r="C3078" s="26" t="str">
        <f>HYPERLINK("https://audio.iskcondesiretree.com/02_-_ISKCON_Swamis/ISKCON_Swamis_-_R_to_Y/His_Holiness_Radhanath_Swami/Lectures/00_-_Year_wise/Gita_Nagari_Retreat_2015/2015_Gita_Nagari_Retreat_-_Srila_Prabhupada_Pastimes_-_Vishaka_Mataji_2015-05-29.mp3", "2015_Gita_Nagari_Retreat_-_Srila_Prabhupada_Pastimes_-_Vishaka_Mataji_2015-05-29.mp3")</f>
        <v>2015_Gita_Nagari_Retreat_-_Srila_Prabhupada_Pastimes_-_Vishaka_Mataji_2015-05-29.mp3</v>
      </c>
      <c r="D3078" s="24"/>
      <c r="E3078" s="24"/>
    </row>
    <row r="3079">
      <c r="A3079" s="25" t="s">
        <v>18352</v>
      </c>
      <c r="B3079" s="25" t="s">
        <v>18391</v>
      </c>
      <c r="C3079" s="26" t="str">
        <f>HYPERLINK("https://audio.iskcondesiretree.com/02_-_ISKCON_Swamis/ISKCON_Swamis_-_R_to_Y/His_Holiness_Radhanath_Swami/Lectures/00_-_Year_wise/Gita_Nagari_Retreat_2015/2015_Gita_Nagari_Retreat_-_Tulasi_Puja_-_2015-05-29.mp3", "2015_Gita_Nagari_Retreat_-_Tulasi_Puja_-_2015-05-29.mp3")</f>
        <v>2015_Gita_Nagari_Retreat_-_Tulasi_Puja_-_2015-05-29.mp3</v>
      </c>
      <c r="D3079" s="24"/>
      <c r="E3079" s="24"/>
    </row>
    <row r="3080">
      <c r="A3080" s="25" t="s">
        <v>18352</v>
      </c>
      <c r="B3080" s="25" t="s">
        <v>5895</v>
      </c>
      <c r="C3080" s="26" t="str">
        <f>HYPERLINK("https://audio.iskcondesiretree.com/02_-_ISKCON_Swamis/ISKCON_Swamis_-_R_to_Y/His_Holiness_Radhanath_Swami/Lectures/00_-_Year_wise/More/SB_03-18-15_-_The_Battle_Between_Lord_Boar_and_the_Demon_Hiranyaksa_-_Radhanath_Swami.mp3", "SB_03-18-15_-_The_Battle_Between_Lord_Boar_and_the_Demon_Hiranyaksa_-_Radhanath_Swami.mp3")</f>
        <v>SB_03-18-15_-_The_Battle_Between_Lord_Boar_and_the_Demon_Hiranyaksa_-_Radhanath_Swami.mp3</v>
      </c>
      <c r="D3080" s="24"/>
      <c r="E3080" s="24"/>
    </row>
    <row r="3081">
      <c r="A3081" s="25" t="s">
        <v>18352</v>
      </c>
      <c r="B3081" s="25" t="s">
        <v>5895</v>
      </c>
      <c r="C3081" s="26" t="str">
        <f>HYPERLINK("https://audio.iskcondesiretree.com/02_-_ISKCON_Swamis/ISKCON_Swamis_-_R_to_Y/His_Holiness_Radhanath_Swami/Lectures/00_-_Year_wise/More/Various_-_Building_a_Foundation_-_Radhanath_Swami.mp3", "Various_-_Building_a_Foundation_-_Radhanath_Swami.mp3")</f>
        <v>Various_-_Building_a_Foundation_-_Radhanath_Swami.mp3</v>
      </c>
      <c r="D3081" s="24"/>
      <c r="E3081" s="24"/>
    </row>
    <row r="3082">
      <c r="A3082" s="25" t="s">
        <v>18352</v>
      </c>
      <c r="B3082" s="25" t="s">
        <v>5895</v>
      </c>
      <c r="C3082" s="26" t="str">
        <f>HYPERLINK("https://audio.iskcondesiretree.com/02_-_ISKCON_Swamis/ISKCON_Swamis_-_R_to_Y/His_Holiness_Radhanath_Swami/Lectures/00_-_Year_wise/More/Various_-_Encountering_God-Hindu_and_Christian_Perspectives_-_Radhanath_Swami.mp3", "Various_-_Encountering_God-Hindu_and_Christian_Perspectives_-_Radhanath_Swami.mp3")</f>
        <v>Various_-_Encountering_God-Hindu_and_Christian_Perspectives_-_Radhanath_Swami.mp3</v>
      </c>
      <c r="D3082" s="24"/>
      <c r="E3082" s="24"/>
    </row>
    <row r="3083">
      <c r="A3083" s="25" t="s">
        <v>18352</v>
      </c>
      <c r="B3083" s="25" t="s">
        <v>5895</v>
      </c>
      <c r="C3083" s="26" t="str">
        <f>HYPERLINK("https://audio.iskcondesiretree.com/02_-_ISKCON_Swamis/ISKCON_Swamis_-_R_to_Y/His_Holiness_Radhanath_Swami/Lectures/00_-_Year_wise/More/Various_-_Every_situation_is_a_Blessing_-_Radhanath_Swami.mp3", "Various_-_Every_situation_is_a_Blessing_-_Radhanath_Swami.mp3")</f>
        <v>Various_-_Every_situation_is_a_Blessing_-_Radhanath_Swami.mp3</v>
      </c>
      <c r="D3083" s="24"/>
      <c r="E3083" s="24"/>
    </row>
    <row r="3084">
      <c r="A3084" s="25" t="s">
        <v>18352</v>
      </c>
      <c r="B3084" s="25" t="s">
        <v>5895</v>
      </c>
      <c r="C3084" s="26" t="str">
        <f>HYPERLINK("https://audio.iskcondesiretree.com/02_-_ISKCON_Swamis/ISKCON_Swamis_-_R_to_Y/His_Holiness_Radhanath_Swami/Lectures/00_-_Year_wise/More/Various_-_Lessons_from_a_Hawk_-_Radhanath_Swami.mp3", "Various_-_Lessons_from_a_Hawk_-_Radhanath_Swami.mp3")</f>
        <v>Various_-_Lessons_from_a_Hawk_-_Radhanath_Swami.mp3</v>
      </c>
      <c r="D3084" s="24"/>
      <c r="E3084" s="24"/>
    </row>
    <row r="3085">
      <c r="A3085" s="25" t="s">
        <v>18352</v>
      </c>
      <c r="B3085" s="25" t="s">
        <v>5895</v>
      </c>
      <c r="C3085" s="26" t="str">
        <f>HYPERLINK("https://audio.iskcondesiretree.com/02_-_ISKCON_Swamis/ISKCON_Swamis_-_R_to_Y/His_Holiness_Radhanath_Swami/Lectures/00_-_Year_wise/More/Various_-_Memories_and_Realization_with_his_mother_-_Radhanath_Swami.mp3", "Various_-_Memories_and_Realization_with_his_mother_-_Radhanath_Swami.mp3")</f>
        <v>Various_-_Memories_and_Realization_with_his_mother_-_Radhanath_Swami.mp3</v>
      </c>
      <c r="D3085" s="24"/>
      <c r="E3085" s="24"/>
    </row>
    <row r="3086">
      <c r="A3086" s="25" t="s">
        <v>18352</v>
      </c>
      <c r="B3086" s="25" t="s">
        <v>5895</v>
      </c>
      <c r="C3086" s="26" t="str">
        <f>HYPERLINK("https://audio.iskcondesiretree.com/02_-_ISKCON_Swamis/ISKCON_Swamis_-_R_to_Y/His_Holiness_Radhanath_Swami/Lectures/00_-_Year_wise/More/Various_-_Real_Love_and_Perverted_Love_-_Radhanath_Swami.mp3", "Various_-_Real_Love_and_Perverted_Love_-_Radhanath_Swami.mp3")</f>
        <v>Various_-_Real_Love_and_Perverted_Love_-_Radhanath_Swami.mp3</v>
      </c>
      <c r="D3086" s="24"/>
      <c r="E3086" s="24"/>
    </row>
    <row r="3087">
      <c r="A3087" s="25" t="s">
        <v>18352</v>
      </c>
      <c r="B3087" s="25" t="s">
        <v>5895</v>
      </c>
      <c r="C3087" s="26" t="str">
        <f>HYPERLINK("https://audio.iskcondesiretree.com/02_-_ISKCON_Swamis/ISKCON_Swamis_-_R_to_Y/His_Holiness_Radhanath_Swami/Lectures/00_-_Year_wise/More/Various_-_Relative_Perception_of_Reality_-_Radhanath_Swami.mp3", "Various_-_Relative_Perception_of_Reality_-_Radhanath_Swami.mp3")</f>
        <v>Various_-_Relative_Perception_of_Reality_-_Radhanath_Swami.mp3</v>
      </c>
      <c r="D3087" s="24"/>
      <c r="E3087" s="24"/>
    </row>
    <row r="3088">
      <c r="A3088" s="25" t="s">
        <v>18352</v>
      </c>
      <c r="B3088" s="25" t="s">
        <v>5895</v>
      </c>
      <c r="C3088" s="26" t="str">
        <f>HYPERLINK("https://audio.iskcondesiretree.com/02_-_ISKCON_Swamis/ISKCON_Swamis_-_R_to_Y/His_Holiness_Radhanath_Swami/Lectures/00_-_Year_wise/More/Various_-_Saranagati_Series-Accepting_Lord_as_the_Supreme_Protector_-_Radhanath_Swami_ISKCON_Chicago.mp3", "Various_-_Saranagati_Series-Accepting_Lord_as_the_Supreme_Protector_-_Radhanath_Swami_ISKCON_Chicago.mp3")</f>
        <v>Various_-_Saranagati_Series-Accepting_Lord_as_the_Supreme_Protector_-_Radhanath_Swami_ISKCON_Chicago.mp3</v>
      </c>
      <c r="D3088" s="24"/>
      <c r="E3088" s="24"/>
    </row>
    <row r="3089">
      <c r="A3089" s="25" t="s">
        <v>18352</v>
      </c>
      <c r="B3089" s="25" t="s">
        <v>5895</v>
      </c>
      <c r="C3089" s="26" t="str">
        <f>HYPERLINK("https://audio.iskcondesiretree.com/02_-_ISKCON_Swamis/ISKCON_Swamis_-_R_to_Y/His_Holiness_Radhanath_Swami/Lectures/00_-_Year_wise/More/Various_-_The_Stick_of_Sadhu%27s_Blessing_-_Radhanath_Swami.mp3", "Various_-_The_Stick_of_Sadhu%27s_Blessing_-_Radhanath_Swami.mp3")</f>
        <v>Various_-_The_Stick_of_Sadhu%27s_Blessing_-_Radhanath_Swami.mp3</v>
      </c>
      <c r="D3089" s="24"/>
      <c r="E3089" s="24"/>
    </row>
    <row r="3090">
      <c r="A3090" s="25" t="s">
        <v>18392</v>
      </c>
      <c r="B3090" s="25" t="s">
        <v>18393</v>
      </c>
      <c r="C3090" s="26" t="str">
        <f>HYPERLINK("https://audio.iskcondesiretree.com/02_-_ISKCON_Swamis/ISKCON_Swamis_-_R_to_Y/His_Holiness_Radhanath_Swami/Lectures/01_-_Theme_wise/Anarthas/01_-_Envy/1991-052_The_Diesease_Of_Envy_SB_09-11-23_-_Radhanath_Swami_Mumbai_1991-05-24_IDesireTree.mp3", "1991-052_The_Diesease_Of_Envy_SB_09-11-23_-_Radhanath_Swami_Mumbai_1991-05-24_IDesireTree.mp3")</f>
        <v>1991-052_The_Diesease_Of_Envy_SB_09-11-23_-_Radhanath_Swami_Mumbai_1991-05-24_IDesireTree.mp3</v>
      </c>
      <c r="D3090" s="24"/>
      <c r="E3090" s="24"/>
    </row>
    <row r="3091">
      <c r="A3091" s="25" t="s">
        <v>18392</v>
      </c>
      <c r="B3091" s="25" t="s">
        <v>18393</v>
      </c>
      <c r="C3091" s="26" t="str">
        <f>HYPERLINK("https://audio.iskcondesiretree.com/02_-_ISKCON_Swamis/ISKCON_Swamis_-_R_to_Y/His_Holiness_Radhanath_Swami/Lectures/01_-_Theme_wise/Anarthas/01_-_Envy/1991-133_Envious_Of_His_Mercy_SB_10-02-20_-_Radhanath_Swami_Mumbai_1991-11-29_IDesireTree.mp3", "1991-133_Envious_Of_His_Mercy_SB_10-02-20_-_Radhanath_Swami_Mumbai_1991-11-29_IDesireTree.mp3")</f>
        <v>1991-133_Envious_Of_His_Mercy_SB_10-02-20_-_Radhanath_Swami_Mumbai_1991-11-29_IDesireTree.mp3</v>
      </c>
      <c r="D3091" s="24"/>
      <c r="E3091" s="24"/>
    </row>
    <row r="3092">
      <c r="A3092" s="25" t="s">
        <v>18392</v>
      </c>
      <c r="B3092" s="25" t="s">
        <v>18393</v>
      </c>
      <c r="C3092" s="26" t="str">
        <f>HYPERLINK("https://audio.iskcondesiretree.com/02_-_ISKCON_Swamis/ISKCON_Swamis_-_R_to_Y/His_Holiness_Radhanath_Swami/Lectures/01_-_Theme_wise/Anarthas/01_-_Envy/1991_Ravana-Personification_of_Lust_%26_Envy-02_-_Radhanath_Swami_Heideberg_1991-12-09_IDesireTree.mp3", "1991_Ravana-Personification_of_Lust_%26_Envy-02_-_Radhanath_Swami_Heideberg_1991-12-09_IDesireTree.mp3")</f>
        <v>1991_Ravana-Personification_of_Lust_%26_Envy-02_-_Radhanath_Swami_Heideberg_1991-12-09_IDesireTree.mp3</v>
      </c>
      <c r="D3092" s="24"/>
      <c r="E3092" s="24"/>
    </row>
    <row r="3093">
      <c r="A3093" s="25" t="s">
        <v>18392</v>
      </c>
      <c r="B3093" s="25" t="s">
        <v>18393</v>
      </c>
      <c r="C3093" s="26" t="str">
        <f>HYPERLINK("https://audio.iskcondesiretree.com/02_-_ISKCON_Swamis/ISKCON_Swamis_-_R_to_Y/His_Holiness_Radhanath_Swami/Lectures/01_-_Theme_wise/Anarthas/01_-_Envy/1994-052_Curing_The_Disease_Of_Envy_SB_10-54-26_-_Radhanath_Swami_Mumbai_1994-03-23_IDesireTree.mp3", "1994-052_Curing_The_Disease_Of_Envy_SB_10-54-26_-_Radhanath_Swami_Mumbai_1994-03-23_IDesireTree.mp3")</f>
        <v>1994-052_Curing_The_Disease_Of_Envy_SB_10-54-26_-_Radhanath_Swami_Mumbai_1994-03-23_IDesireTree.mp3</v>
      </c>
      <c r="D3093" s="24"/>
      <c r="E3093" s="24"/>
    </row>
    <row r="3094">
      <c r="A3094" s="25" t="s">
        <v>18392</v>
      </c>
      <c r="B3094" s="25" t="s">
        <v>18393</v>
      </c>
      <c r="C3094" s="26" t="str">
        <f>HYPERLINK("https://audio.iskcondesiretree.com/02_-_ISKCON_Swamis/ISKCON_Swamis_-_R_to_Y/His_Holiness_Radhanath_Swami/Lectures/01_-_Theme_wise/Anarthas/01_-_Envy/1996-076_Give_Up_Envy_And_Cooperate_SB_04-19-01-02_-_Radhanath_Swami_Pune_1996-04-10_IDesireTree.mp3", "1996-076_Give_Up_Envy_And_Cooperate_SB_04-19-01-02_-_Radhanath_Swami_Pune_1996-04-10_IDesireTree.mp3")</f>
        <v>1996-076_Give_Up_Envy_And_Cooperate_SB_04-19-01-02_-_Radhanath_Swami_Pune_1996-04-10_IDesireTree.mp3</v>
      </c>
      <c r="D3094" s="24"/>
      <c r="E3094" s="24"/>
    </row>
    <row r="3095">
      <c r="A3095" s="25" t="s">
        <v>18392</v>
      </c>
      <c r="B3095" s="25" t="s">
        <v>18393</v>
      </c>
      <c r="C3095" s="26" t="str">
        <f>HYPERLINK("https://audio.iskcondesiretree.com/02_-_ISKCON_Swamis/ISKCON_Swamis_-_R_to_Y/His_Holiness_Radhanath_Swami/Lectures/01_-_Theme_wise/Anarthas/01_-_Envy/1997_Ravana-Personification_of_Lust_%26_Envy-01_-_Radhanath_Swami_Heideberg_1997-12-09_IDesireTree.mp3", "1997_Ravana-Personification_of_Lust_%26_Envy-01_-_Radhanath_Swami_Heideberg_1997-12-09_IDesireTree.mp3")</f>
        <v>1997_Ravana-Personification_of_Lust_%26_Envy-01_-_Radhanath_Swami_Heideberg_1997-12-09_IDesireTree.mp3</v>
      </c>
      <c r="D3095" s="24"/>
      <c r="E3095" s="24"/>
    </row>
    <row r="3096">
      <c r="A3096" s="25" t="s">
        <v>18392</v>
      </c>
      <c r="B3096" s="25" t="s">
        <v>18393</v>
      </c>
      <c r="C3096" s="26" t="str">
        <f>HYPERLINK("https://audio.iskcondesiretree.com/02_-_ISKCON_Swamis/ISKCON_Swamis_-_R_to_Y/His_Holiness_Radhanath_Swami/Lectures/01_-_Theme_wise/Anarthas/01_-_Envy/1998-099_No_Competition_in_Vaikuntha_SB_03-15-20_-_Radhanath_Swami_Mumbai_1998-11-04_IDesireTree.mp3", "1998-099_No_Competition_in_Vaikuntha_SB_03-15-20_-_Radhanath_Swami_Mumbai_1998-11-04_IDesireTree.mp3")</f>
        <v>1998-099_No_Competition_in_Vaikuntha_SB_03-15-20_-_Radhanath_Swami_Mumbai_1998-11-04_IDesireTree.mp3</v>
      </c>
      <c r="D3096" s="24"/>
      <c r="E3096" s="24"/>
    </row>
    <row r="3097">
      <c r="A3097" s="25" t="s">
        <v>18392</v>
      </c>
      <c r="B3097" s="25" t="s">
        <v>18393</v>
      </c>
      <c r="C3097" s="26" t="str">
        <f>HYPERLINK("https://audio.iskcondesiretree.com/02_-_ISKCON_Swamis/ISKCON_Swamis_-_R_to_Y/His_Holiness_Radhanath_Swami/Lectures/01_-_Theme_wise/Anarthas/01_-_Envy/2001-071_Overcoming_Sankachuda_Lecture_Mumbai_-_Radhanath_Swami_2001-12-30_IDesireTree.mp3", "2001-071_Overcoming_Sankachuda_Lecture_Mumbai_-_Radhanath_Swami_2001-12-30_IDesireTree.mp3")</f>
        <v>2001-071_Overcoming_Sankachuda_Lecture_Mumbai_-_Radhanath_Swami_2001-12-30_IDesireTree.mp3</v>
      </c>
      <c r="D3097" s="24"/>
      <c r="E3097" s="24"/>
    </row>
    <row r="3098">
      <c r="A3098" s="25" t="s">
        <v>18392</v>
      </c>
      <c r="B3098" s="25" t="s">
        <v>18393</v>
      </c>
      <c r="C3098" s="26" t="str">
        <f>HYPERLINK("https://audio.iskcondesiretree.com/02_-_ISKCON_Swamis/ISKCON_Swamis_-_R_to_Y/His_Holiness_Radhanath_Swami/Lectures/01_-_Theme_wise/Anarthas/01_-_Envy/Cultivating_Compassion_by_Eliminating_Envy_-_Radhanath_Swami_IDesireTree.mp3", "Cultivating_Compassion_by_Eliminating_Envy_-_Radhanath_Swami_IDesireTree.mp3")</f>
        <v>Cultivating_Compassion_by_Eliminating_Envy_-_Radhanath_Swami_IDesireTree.mp3</v>
      </c>
      <c r="D3098" s="24"/>
      <c r="E3098" s="24"/>
    </row>
    <row r="3099">
      <c r="A3099" s="25" t="s">
        <v>18392</v>
      </c>
      <c r="B3099" s="25" t="s">
        <v>18393</v>
      </c>
      <c r="C3099" s="26" t="str">
        <f>HYPERLINK("https://audio.iskcondesiretree.com/02_-_ISKCON_Swamis/ISKCON_Swamis_-_R_to_Y/His_Holiness_Radhanath_Swami/Lectures/01_-_Theme_wise/Anarthas/01_-_Envy/Do_Not_Eat_the_Forbidden_Apple_of_Envy-SB-05-14-12_-_Radhanath_Swami_24-09-05.MP3", "Do_Not_Eat_the_Forbidden_Apple_of_Envy-SB-05-14-12_-_Radhanath_Swami_24-09-05.MP3")</f>
        <v>Do_Not_Eat_the_Forbidden_Apple_of_Envy-SB-05-14-12_-_Radhanath_Swami_24-09-05.MP3</v>
      </c>
      <c r="D3099" s="24"/>
      <c r="E3099" s="24"/>
    </row>
    <row r="3100">
      <c r="A3100" s="25" t="s">
        <v>18392</v>
      </c>
      <c r="B3100" s="25" t="s">
        <v>18393</v>
      </c>
      <c r="C3100" s="26" t="str">
        <f>HYPERLINK("https://audio.iskcondesiretree.com/02_-_ISKCON_Swamis/ISKCON_Swamis_-_R_to_Y/His_Holiness_Radhanath_Swami/Lectures/01_-_Theme_wise/Anarthas/01_-_Envy/Freeing_Ourselves_from_our_Kaliya_like_Envy_-_Radhanath_Swami_IDesireTree.mp3", "Freeing_Ourselves_from_our_Kaliya_like_Envy_-_Radhanath_Swami_IDesireTree.mp3")</f>
        <v>Freeing_Ourselves_from_our_Kaliya_like_Envy_-_Radhanath_Swami_IDesireTree.mp3</v>
      </c>
      <c r="D3100" s="24"/>
      <c r="E3100" s="24"/>
    </row>
    <row r="3101">
      <c r="A3101" s="25" t="s">
        <v>18392</v>
      </c>
      <c r="B3101" s="25" t="s">
        <v>18393</v>
      </c>
      <c r="C3101" s="26" t="str">
        <f>HYPERLINK("https://audio.iskcondesiretree.com/02_-_ISKCON_Swamis/ISKCON_Swamis_-_R_to_Y/His_Holiness_Radhanath_Swami/Lectures/01_-_Theme_wise/Anarthas/01_-_Envy/To_Overcome_Envy_One_Must_Give_Up_Fault_Finding-Sunday_Feast_-_Radhanath_Swami_09-10-05.MP3", "To_Overcome_Envy_One_Must_Give_Up_Fault_Finding-Sunday_Feast_-_Radhanath_Swami_09-10-05.MP3")</f>
        <v>To_Overcome_Envy_One_Must_Give_Up_Fault_Finding-Sunday_Feast_-_Radhanath_Swami_09-10-05.MP3</v>
      </c>
      <c r="D3101" s="24"/>
      <c r="E3101" s="24"/>
    </row>
    <row r="3102">
      <c r="A3102" s="25" t="s">
        <v>18392</v>
      </c>
      <c r="B3102" s="25" t="s">
        <v>18393</v>
      </c>
      <c r="C3102" s="26" t="str">
        <f>HYPERLINK("https://audio.iskcondesiretree.com/02_-_ISKCON_Swamis/ISKCON_Swamis_-_R_to_Y/His_Holiness_Radhanath_Swami/Lectures/01_-_Theme_wise/Anarthas/02_-_Anger/1997_Effects_of_Anger_SB-02-07-07_-_Radhanath_Swami_Mumbai_1997-01-05_IDesireTree.mp3", "1997_Effects_of_Anger_SB-02-07-07_-_Radhanath_Swami_Mumbai_1997-01-05_IDesireTree.mp3")</f>
        <v>1997_Effects_of_Anger_SB-02-07-07_-_Radhanath_Swami_Mumbai_1997-01-05_IDesireTree.mp3</v>
      </c>
      <c r="D3102" s="24"/>
      <c r="E3102" s="24"/>
    </row>
    <row r="3103">
      <c r="A3103" s="25" t="s">
        <v>18392</v>
      </c>
      <c r="B3103" s="25" t="s">
        <v>18393</v>
      </c>
      <c r="C3103" s="26" t="str">
        <f>HYPERLINK("https://audio.iskcondesiretree.com/02_-_ISKCON_Swamis/ISKCON_Swamis_-_R_to_Y/His_Holiness_Radhanath_Swami/Lectures/01_-_Theme_wise/Anarthas/02_-_Anger/2001_Effect_and_Consequences_of_Anger_on_Daksa_-_Radhanath_Swami_2001-04-15_Mumbai_IDesireTree.mp3", "2001_Effect_and_Consequences_of_Anger_on_Daksa_-_Radhanath_Swami_2001-04-15_Mumbai_IDesireTree.mp3")</f>
        <v>2001_Effect_and_Consequences_of_Anger_on_Daksa_-_Radhanath_Swami_2001-04-15_Mumbai_IDesireTree.mp3</v>
      </c>
      <c r="D3103" s="24"/>
      <c r="E3103" s="24"/>
    </row>
    <row r="3104">
      <c r="A3104" s="25" t="s">
        <v>18392</v>
      </c>
      <c r="B3104" s="25" t="s">
        <v>18393</v>
      </c>
      <c r="C3104" s="26" t="str">
        <f>HYPERLINK("https://audio.iskcondesiretree.com/02_-_ISKCON_Swamis/ISKCON_Swamis_-_R_to_Y/His_Holiness_Radhanath_Swami/Lectures/01_-_Theme_wise/Anarthas/03_-_Illusion/1991-099_Coming_Out_Of_Illusion_BG_15-07_-_Radhanath_Swami_Mumbai_1991-10-26_IDesireTree.mp3", "1991-099_Coming_Out_Of_Illusion_BG_15-07_-_Radhanath_Swami_Mumbai_1991-10-26_IDesireTree.mp3")</f>
        <v>1991-099_Coming_Out_Of_Illusion_BG_15-07_-_Radhanath_Swami_Mumbai_1991-10-26_IDesireTree.mp3</v>
      </c>
      <c r="D3104" s="24"/>
      <c r="E3104" s="24"/>
    </row>
    <row r="3105">
      <c r="A3105" s="25" t="s">
        <v>18392</v>
      </c>
      <c r="B3105" s="25" t="s">
        <v>18393</v>
      </c>
      <c r="C3105" s="26" t="str">
        <f>HYPERLINK("https://audio.iskcondesiretree.com/02_-_ISKCON_Swamis/ISKCON_Swamis_-_R_to_Y/His_Holiness_Radhanath_Swami/Lectures/01_-_Theme_wise/Anarthas/03_-_Illusion/1993-145_Truth_And_Illusion_BG_03-27_-_Radhanath_Swami_Mumbai_1993-10-09_IDesireTree.mp3", "1993-145_Truth_And_Illusion_BG_03-27_-_Radhanath_Swami_Mumbai_1993-10-09_IDesireTree.mp3")</f>
        <v>1993-145_Truth_And_Illusion_BG_03-27_-_Radhanath_Swami_Mumbai_1993-10-09_IDesireTree.mp3</v>
      </c>
      <c r="D3105" s="24"/>
      <c r="E3105" s="24"/>
    </row>
    <row r="3106">
      <c r="A3106" s="25" t="s">
        <v>18392</v>
      </c>
      <c r="B3106" s="25" t="s">
        <v>18393</v>
      </c>
      <c r="C3106" s="26" t="str">
        <f>HYPERLINK("https://audio.iskcondesiretree.com/02_-_ISKCON_Swamis/ISKCON_Swamis_-_R_to_Y/His_Holiness_Radhanath_Swami/Lectures/01_-_Theme_wise/Anarthas/03_-_Illusion/1996-010_Wake_Up_To_Reality_SB_01-15-51_-_Radhanath_Swami_Mumbai_1996-01-07.mp3", "1996-010_Wake_Up_To_Reality_SB_01-15-51_-_Radhanath_Swami_Mumbai_1996-01-07.mp3")</f>
        <v>1996-010_Wake_Up_To_Reality_SB_01-15-51_-_Radhanath_Swami_Mumbai_1996-01-07.mp3</v>
      </c>
      <c r="D3106" s="24"/>
      <c r="E3106" s="24"/>
    </row>
    <row r="3107">
      <c r="A3107" s="25" t="s">
        <v>18392</v>
      </c>
      <c r="B3107" s="25" t="s">
        <v>18393</v>
      </c>
      <c r="C3107" s="26" t="str">
        <f>HYPERLINK("https://audio.iskcondesiretree.com/02_-_ISKCON_Swamis/ISKCON_Swamis_-_R_to_Y/His_Holiness_Radhanath_Swami/Lectures/01_-_Theme_wise/Anarthas/03_-_Illusion/1997-095_Conquer_Delusion_BG-07_-_Radhanath_Swami_Mumbai_1997-09-06_IDesireTree.mp3", "1997-095_Conquer_Delusion_BG-07_-_Radhanath_Swami_Mumbai_1997-09-06_IDesireTree.mp3")</f>
        <v>1997-095_Conquer_Delusion_BG-07_-_Radhanath_Swami_Mumbai_1997-09-06_IDesireTree.mp3</v>
      </c>
      <c r="D3107" s="24"/>
      <c r="E3107" s="24"/>
    </row>
    <row r="3108">
      <c r="A3108" s="25" t="s">
        <v>18392</v>
      </c>
      <c r="B3108" s="25" t="s">
        <v>18393</v>
      </c>
      <c r="C3108" s="26" t="str">
        <f>HYPERLINK("https://audio.iskcondesiretree.com/02_-_ISKCON_Swamis/ISKCON_Swamis_-_R_to_Y/His_Holiness_Radhanath_Swami/Lectures/01_-_Theme_wise/Anarthas/03_-_Illusion/1997-115_Come_Out_Of_Dense_Illusion_BG_08-20_-_Radhanath_Swami_Mumbai_1997-10-04_IDesireTree.mp3", "1997-115_Come_Out_Of_Dense_Illusion_BG_08-20_-_Radhanath_Swami_Mumbai_1997-10-04_IDesireTree.mp3")</f>
        <v>1997-115_Come_Out_Of_Dense_Illusion_BG_08-20_-_Radhanath_Swami_Mumbai_1997-10-04_IDesireTree.mp3</v>
      </c>
      <c r="D3108" s="24"/>
      <c r="E3108" s="24"/>
    </row>
    <row r="3109">
      <c r="A3109" s="25" t="s">
        <v>18392</v>
      </c>
      <c r="B3109" s="25" t="s">
        <v>18393</v>
      </c>
      <c r="C3109" s="26" t="str">
        <f>HYPERLINK("https://audio.iskcondesiretree.com/02_-_ISKCON_Swamis/ISKCON_Swamis_-_R_to_Y/His_Holiness_Radhanath_Swami/Lectures/01_-_Theme_wise/Anarthas/03_-_Illusion/Dissipating_the_Cloud_of_Material_Illusion_-_Radhanath_Swami_IDesireTree.mp3", "Dissipating_the_Cloud_of_Material_Illusion_-_Radhanath_Swami_IDesireTree.mp3")</f>
        <v>Dissipating_the_Cloud_of_Material_Illusion_-_Radhanath_Swami_IDesireTree.mp3</v>
      </c>
      <c r="D3109" s="24"/>
      <c r="E3109" s="24"/>
    </row>
    <row r="3110">
      <c r="A3110" s="25" t="s">
        <v>18392</v>
      </c>
      <c r="B3110" s="25" t="s">
        <v>18393</v>
      </c>
      <c r="C3110" s="26" t="str">
        <f>HYPERLINK("https://audio.iskcondesiretree.com/02_-_ISKCON_Swamis/ISKCON_Swamis_-_R_to_Y/His_Holiness_Radhanath_Swami/Lectures/01_-_Theme_wise/Anarthas/03_-_Illusion/Everything_is_relative_-_Radhanath_Swami_IDesireTree.MP3", "Everything_is_relative_-_Radhanath_Swami_IDesireTree.MP3")</f>
        <v>Everything_is_relative_-_Radhanath_Swami_IDesireTree.MP3</v>
      </c>
      <c r="D3110" s="24"/>
      <c r="E3110" s="24"/>
    </row>
    <row r="3111">
      <c r="A3111" s="25" t="s">
        <v>18392</v>
      </c>
      <c r="B3111" s="25" t="s">
        <v>18393</v>
      </c>
      <c r="C3111" s="26" t="str">
        <f>HYPERLINK("https://audio.iskcondesiretree.com/02_-_ISKCON_Swamis/ISKCON_Swamis_-_R_to_Y/His_Holiness_Radhanath_Swami/Lectures/01_-_Theme_wise/Anarthas/03_-_Illusion/How_the_Soul_Gets_Illusioned_-_Radhanath_Swami_IDesireTree.mp3", "How_the_Soul_Gets_Illusioned_-_Radhanath_Swami_IDesireTree.mp3")</f>
        <v>How_the_Soul_Gets_Illusioned_-_Radhanath_Swami_IDesireTree.mp3</v>
      </c>
      <c r="D3111" s="24"/>
      <c r="E3111" s="24"/>
    </row>
    <row r="3112">
      <c r="A3112" s="25" t="s">
        <v>18392</v>
      </c>
      <c r="B3112" s="25" t="s">
        <v>18393</v>
      </c>
      <c r="C3112" s="26" t="str">
        <f>HYPERLINK("https://audio.iskcondesiretree.com/02_-_ISKCON_Swamis/ISKCON_Swamis_-_R_to_Y/His_Holiness_Radhanath_Swami/Lectures/01_-_Theme_wise/Anarthas/04_-_Lust/1989-010_Overcoming_Lust_Lecture_-_Radhanath_Swami_NV_1989-07-01_IDesireTree.mp3", "1989-010_Overcoming_Lust_Lecture_-_Radhanath_Swami_NV_1989-07-01_IDesireTree.mp3")</f>
        <v>1989-010_Overcoming_Lust_Lecture_-_Radhanath_Swami_NV_1989-07-01_IDesireTree.mp3</v>
      </c>
      <c r="D3112" s="24"/>
      <c r="E3112" s="24"/>
    </row>
    <row r="3113">
      <c r="A3113" s="25" t="s">
        <v>18392</v>
      </c>
      <c r="B3113" s="25" t="s">
        <v>18393</v>
      </c>
      <c r="C3113" s="26" t="str">
        <f>HYPERLINK("https://audio.iskcondesiretree.com/02_-_ISKCON_Swamis/ISKCON_Swamis_-_R_to_Y/His_Holiness_Radhanath_Swami/Lectures/01_-_Theme_wise/Anarthas/04_-_Lust/1989-066_Overcoming_Lust_Lecture_-_Radhanath_Swami_Mumbai_1989-01-07_IDesireTree.mp3", "1989-066_Overcoming_Lust_Lecture_-_Radhanath_Swami_Mumbai_1989-01-07_IDesireTree.mp3")</f>
        <v>1989-066_Overcoming_Lust_Lecture_-_Radhanath_Swami_Mumbai_1989-01-07_IDesireTree.mp3</v>
      </c>
      <c r="D3113" s="24"/>
      <c r="E3113" s="24"/>
    </row>
    <row r="3114">
      <c r="A3114" s="25" t="s">
        <v>18392</v>
      </c>
      <c r="B3114" s="25" t="s">
        <v>18393</v>
      </c>
      <c r="C3114" s="26" t="str">
        <f>HYPERLINK("https://audio.iskcondesiretree.com/02_-_ISKCON_Swamis/ISKCON_Swamis_-_R_to_Y/His_Holiness_Radhanath_Swami/Lectures/01_-_Theme_wise/Anarthas/04_-_Lust/1989-087_Conquering_The_Enemy_Of_Lust_SB_07-13-26_-_Radhanath_Swami_Mumbai_1989-12-29_IDesireTree.mp3", "1989-087_Conquering_The_Enemy_Of_Lust_SB_07-13-26_-_Radhanath_Swami_Mumbai_1989-12-29_IDesireTree.mp3")</f>
        <v>1989-087_Conquering_The_Enemy_Of_Lust_SB_07-13-26_-_Radhanath_Swami_Mumbai_1989-12-29_IDesireTree.mp3</v>
      </c>
      <c r="D3114" s="24"/>
      <c r="E3114" s="24"/>
    </row>
    <row r="3115">
      <c r="A3115" s="25" t="s">
        <v>18392</v>
      </c>
      <c r="B3115" s="25" t="s">
        <v>18393</v>
      </c>
      <c r="C3115" s="26" t="str">
        <f>HYPERLINK("https://audio.iskcondesiretree.com/02_-_ISKCON_Swamis/ISKCON_Swamis_-_R_to_Y/His_Holiness_Radhanath_Swami/Lectures/01_-_Theme_wise/Anarthas/04_-_Lust/1990-013_The_Story_Of_Ajamila_Lecture_-_Radhanath_Swami_Mumbai_1990-01-28_IDesireTree.mp3", "1990-013_The_Story_Of_Ajamila_Lecture_-_Radhanath_Swami_Mumbai_1990-01-28_IDesireTree.mp3")</f>
        <v>1990-013_The_Story_Of_Ajamila_Lecture_-_Radhanath_Swami_Mumbai_1990-01-28_IDesireTree.mp3</v>
      </c>
      <c r="D3115" s="24"/>
      <c r="E3115" s="24"/>
    </row>
    <row r="3116">
      <c r="A3116" s="25" t="s">
        <v>18392</v>
      </c>
      <c r="B3116" s="25" t="s">
        <v>18393</v>
      </c>
      <c r="C3116" s="26" t="str">
        <f>HYPERLINK("https://audio.iskcondesiretree.com/02_-_ISKCON_Swamis/ISKCON_Swamis_-_R_to_Y/His_Holiness_Radhanath_Swami/Lectures/01_-_Theme_wise/Anarthas/04_-_Lust/1990_The_Story_of_Ajamila_-_Radhanath_Swami_Mumbai_1990-01-28_IDesireTree.MP3", "1990_The_Story_of_Ajamila_-_Radhanath_Swami_Mumbai_1990-01-28_IDesireTree.MP3")</f>
        <v>1990_The_Story_of_Ajamila_-_Radhanath_Swami_Mumbai_1990-01-28_IDesireTree.MP3</v>
      </c>
      <c r="D3116" s="24"/>
      <c r="E3116" s="24"/>
    </row>
    <row r="3117">
      <c r="A3117" s="25" t="s">
        <v>18392</v>
      </c>
      <c r="B3117" s="25" t="s">
        <v>18393</v>
      </c>
      <c r="C3117" s="26" t="str">
        <f>HYPERLINK("https://audio.iskcondesiretree.com/02_-_ISKCON_Swamis/ISKCON_Swamis_-_R_to_Y/His_Holiness_Radhanath_Swami/Lectures/01_-_Theme_wise/Anarthas/04_-_Lust/1991-035_Miseries_Of_Sex_Attraction_SB_09-10-09-11_-_Radhanath_Swami_Mumbai_1991-04-28_IDesireTree.mp3", "1991-035_Miseries_Of_Sex_Attraction_SB_09-10-09-11_-_Radhanath_Swami_Mumbai_1991-04-28_IDesireTree.mp3")</f>
        <v>1991-035_Miseries_Of_Sex_Attraction_SB_09-10-09-11_-_Radhanath_Swami_Mumbai_1991-04-28_IDesireTree.mp3</v>
      </c>
      <c r="D3117" s="24"/>
      <c r="E3117" s="24"/>
    </row>
    <row r="3118">
      <c r="A3118" s="25" t="s">
        <v>18392</v>
      </c>
      <c r="B3118" s="25" t="s">
        <v>18393</v>
      </c>
      <c r="C3118" s="26" t="str">
        <f>HYPERLINK("https://audio.iskcondesiretree.com/02_-_ISKCON_Swamis/ISKCON_Swamis_-_R_to_Y/His_Holiness_Radhanath_Swami/Lectures/01_-_Theme_wise/Anarthas/04_-_Lust/1991-082_Story_Of_Ajamila_SB_06-03-22-23_-_Radhanath_Swami_Mumbai_1991-10-18_IDesireTree.mp3", "1991-082_Story_Of_Ajamila_SB_06-03-22-23_-_Radhanath_Swami_Mumbai_1991-10-18_IDesireTree.mp3")</f>
        <v>1991-082_Story_Of_Ajamila_SB_06-03-22-23_-_Radhanath_Swami_Mumbai_1991-10-18_IDesireTree.mp3</v>
      </c>
      <c r="D3118" s="24"/>
      <c r="E3118" s="24"/>
    </row>
    <row r="3119">
      <c r="A3119" s="25" t="s">
        <v>18392</v>
      </c>
      <c r="B3119" s="25" t="s">
        <v>18393</v>
      </c>
      <c r="C3119" s="26" t="str">
        <f>HYPERLINK("https://audio.iskcondesiretree.com/02_-_ISKCON_Swamis/ISKCON_Swamis_-_R_to_Y/His_Holiness_Radhanath_Swami/Lectures/01_-_Theme_wise/Anarthas/04_-_Lust/1992-159_Teachings_From_Story_Of_Ajamila_SB_06-02-07_-_Radhanath_Swami_Mumbai_1992-12-28_IDesireTree.mp3", "1992-159_Teachings_From_Story_Of_Ajamila_SB_06-02-07_-_Radhanath_Swami_Mumbai_1992-12-28_IDesireTree.mp3")</f>
        <v>1992-159_Teachings_From_Story_Of_Ajamila_SB_06-02-07_-_Radhanath_Swami_Mumbai_1992-12-28_IDesireTree.mp3</v>
      </c>
      <c r="D3119" s="24"/>
      <c r="E3119" s="24"/>
    </row>
    <row r="3120">
      <c r="A3120" s="25" t="s">
        <v>18392</v>
      </c>
      <c r="B3120" s="25" t="s">
        <v>18393</v>
      </c>
      <c r="C3120" s="26" t="str">
        <f>HYPERLINK("https://audio.iskcondesiretree.com/02_-_ISKCON_Swamis/ISKCON_Swamis_-_R_to_Y/His_Holiness_Radhanath_Swami/Lectures/01_-_Theme_wise/Anarthas/04_-_Lust/1995-011_Demoniac_Qualities-Lust_Pride_Prestige_BG_16-10_-_Radhanath_Swami_Mumbai_1995-01-08.mp3", "1995-011_Demoniac_Qualities-Lust_Pride_Prestige_BG_16-10_-_Radhanath_Swami_Mumbai_1995-01-08.mp3")</f>
        <v>1995-011_Demoniac_Qualities-Lust_Pride_Prestige_BG_16-10_-_Radhanath_Swami_Mumbai_1995-01-08.mp3</v>
      </c>
      <c r="D3120" s="24"/>
      <c r="E3120" s="24"/>
    </row>
    <row r="3121">
      <c r="A3121" s="25" t="s">
        <v>18392</v>
      </c>
      <c r="B3121" s="25" t="s">
        <v>18393</v>
      </c>
      <c r="C3121" s="26" t="str">
        <f>HYPERLINK("https://audio.iskcondesiretree.com/02_-_ISKCON_Swamis/ISKCON_Swamis_-_R_to_Y/His_Holiness_Radhanath_Swami/Lectures/01_-_Theme_wise/Anarthas/04_-_Lust/1995-109_Lust_Greatest_Bondage_SB_07-06-17-18_-_Radhanath_Swami_Delhi_1995-09-29_IDesireTree.mp3", "1995-109_Lust_Greatest_Bondage_SB_07-06-17-18_-_Radhanath_Swami_Delhi_1995-09-29_IDesireTree.mp3")</f>
        <v>1995-109_Lust_Greatest_Bondage_SB_07-06-17-18_-_Radhanath_Swami_Delhi_1995-09-29_IDesireTree.mp3</v>
      </c>
      <c r="D3121" s="24"/>
      <c r="E3121" s="24"/>
    </row>
    <row r="3122">
      <c r="A3122" s="25" t="s">
        <v>18392</v>
      </c>
      <c r="B3122" s="25" t="s">
        <v>18393</v>
      </c>
      <c r="C3122" s="26" t="str">
        <f>HYPERLINK("https://audio.iskcondesiretree.com/02_-_ISKCON_Swamis/ISKCON_Swamis_-_R_to_Y/His_Holiness_Radhanath_Swami/Lectures/01_-_Theme_wise/Anarthas/04_-_Lust/1997_Ravana-Personification_of_Lust_%26_Envy-01_-_Radhanath_Swami_Heideberg_1997-12-09_IDesireTree.mp3", "1997_Ravana-Personification_of_Lust_%26_Envy-01_-_Radhanath_Swami_Heideberg_1997-12-09_IDesireTree.mp3")</f>
        <v>1997_Ravana-Personification_of_Lust_%26_Envy-01_-_Radhanath_Swami_Heideberg_1997-12-09_IDesireTree.mp3</v>
      </c>
      <c r="D3122" s="24"/>
      <c r="E3122" s="24"/>
    </row>
    <row r="3123">
      <c r="A3123" s="25" t="s">
        <v>18392</v>
      </c>
      <c r="B3123" s="25" t="s">
        <v>18393</v>
      </c>
      <c r="C3123" s="26" t="str">
        <f>HYPERLINK("https://audio.iskcondesiretree.com/02_-_ISKCON_Swamis/ISKCON_Swamis_-_R_to_Y/His_Holiness_Radhanath_Swami/Lectures/01_-_Theme_wise/Anarthas/04_-_Lust/1997_Ravana-Personification_of_Lust_%26_Envy-02_-_Radhanath_Swami_Heideberg_1997-12-09_IDesireTree.mp3", "1997_Ravana-Personification_of_Lust_%26_Envy-02_-_Radhanath_Swami_Heideberg_1997-12-09_IDesireTree.mp3")</f>
        <v>1997_Ravana-Personification_of_Lust_%26_Envy-02_-_Radhanath_Swami_Heideberg_1997-12-09_IDesireTree.mp3</v>
      </c>
      <c r="D3123" s="24"/>
      <c r="E3123" s="24"/>
    </row>
    <row r="3124">
      <c r="A3124" s="25" t="s">
        <v>18392</v>
      </c>
      <c r="B3124" s="25" t="s">
        <v>18393</v>
      </c>
      <c r="C3124" s="26" t="str">
        <f>HYPERLINK("https://audio.iskcondesiretree.com/02_-_ISKCON_Swamis/ISKCON_Swamis_-_R_to_Y/His_Holiness_Radhanath_Swami/Lectures/01_-_Theme_wise/Anarthas/05_-_Greed/1994-130_Greed_For_Wealth_Ruins_Us_SB_10-10-38_-_Radhanath_Swami_Mumbai_1994-09-04_IDesireTree.mp3", "1994-130_Greed_For_Wealth_Ruins_Us_SB_10-10-38_-_Radhanath_Swami_Mumbai_1994-09-04_IDesireTree.mp3")</f>
        <v>1994-130_Greed_For_Wealth_Ruins_Us_SB_10-10-38_-_Radhanath_Swami_Mumbai_1994-09-04_IDesireTree.mp3</v>
      </c>
      <c r="D3124" s="24"/>
      <c r="E3124" s="24"/>
    </row>
    <row r="3125">
      <c r="A3125" s="25" t="s">
        <v>18392</v>
      </c>
      <c r="B3125" s="25" t="s">
        <v>18393</v>
      </c>
      <c r="C3125" s="26" t="str">
        <f>HYPERLINK("https://audio.iskcondesiretree.com/02_-_ISKCON_Swamis/ISKCON_Swamis_-_R_to_Y/His_Holiness_Radhanath_Swami/Lectures/01_-_Theme_wise/Anarthas/05_-_Greed/1998-008_More_You_Have_More_You_Suffer_SB_03-09-06_-_Radhanath_Swami_Mumbai_1998-01-21_IDesireTree.mp3", "1998-008_More_You_Have_More_You_Suffer_SB_03-09-06_-_Radhanath_Swami_Mumbai_1998-01-21_IDesireTree.mp3")</f>
        <v>1998-008_More_You_Have_More_You_Suffer_SB_03-09-06_-_Radhanath_Swami_Mumbai_1998-01-21_IDesireTree.mp3</v>
      </c>
      <c r="D3125" s="24"/>
      <c r="E3125" s="24"/>
    </row>
    <row r="3126">
      <c r="A3126" s="25" t="s">
        <v>18392</v>
      </c>
      <c r="B3126" s="25" t="s">
        <v>18393</v>
      </c>
      <c r="C3126" s="26" t="str">
        <f>HYPERLINK("https://audio.iskcondesiretree.com/02_-_ISKCON_Swamis/ISKCON_Swamis_-_R_to_Y/His_Holiness_Radhanath_Swami/Lectures/01_-_Theme_wise/Anarthas/05_-_Greed/Greed-No_Satisfaction_No_Relationships_SB-05-14-26_-_Radhanth_Swami_Mumbai_09-10-05.mp3", "Greed-No_Satisfaction_No_Relationships_SB-05-14-26_-_Radhanth_Swami_Mumbai_09-10-05.mp3")</f>
        <v>Greed-No_Satisfaction_No_Relationships_SB-05-14-26_-_Radhanth_Swami_Mumbai_09-10-05.mp3</v>
      </c>
      <c r="D3126" s="24"/>
      <c r="E3126" s="24"/>
    </row>
    <row r="3127">
      <c r="A3127" s="25" t="s">
        <v>18392</v>
      </c>
      <c r="B3127" s="25" t="s">
        <v>18393</v>
      </c>
      <c r="C3127" s="26" t="str">
        <f>HYPERLINK("https://audio.iskcondesiretree.com/02_-_ISKCON_Swamis/ISKCON_Swamis_-_R_to_Y/His_Holiness_Radhanath_Swami/Lectures/01_-_Theme_wise/Anarthas/06_-_Pride/1989-062_Pride_Lecture_-_Radhanath_Swami_Mumbai_1989-10-05_IDesireTree.mp3", "1989-062_Pride_Lecture_-_Radhanath_Swami_Mumbai_1989-10-05_IDesireTree.mp3")</f>
        <v>1989-062_Pride_Lecture_-_Radhanath_Swami_Mumbai_1989-10-05_IDesireTree.mp3</v>
      </c>
      <c r="D3127" s="24"/>
      <c r="E3127" s="24"/>
    </row>
    <row r="3128">
      <c r="A3128" s="25" t="s">
        <v>18392</v>
      </c>
      <c r="B3128" s="25" t="s">
        <v>18393</v>
      </c>
      <c r="C3128" s="26" t="str">
        <f>HYPERLINK("https://audio.iskcondesiretree.com/02_-_ISKCON_Swamis/ISKCON_Swamis_-_R_to_Y/His_Holiness_Radhanath_Swami/Lectures/01_-_Theme_wise/Anarthas/06_-_Pride/1991-004_Pride_Is_Sin_BG_11-55_-_Radhanath_Swami_Mumbai_1991-01-25_IDesireTree.mp3", "1991-004_Pride_Is_Sin_BG_11-55_-_Radhanath_Swami_Mumbai_1991-01-25_IDesireTree.mp3")</f>
        <v>1991-004_Pride_Is_Sin_BG_11-55_-_Radhanath_Swami_Mumbai_1991-01-25_IDesireTree.mp3</v>
      </c>
      <c r="D3128" s="24"/>
      <c r="E3128" s="24"/>
    </row>
    <row r="3129">
      <c r="A3129" s="25" t="s">
        <v>18392</v>
      </c>
      <c r="B3129" s="25" t="s">
        <v>18393</v>
      </c>
      <c r="C3129" s="26" t="str">
        <f>HYPERLINK("https://audio.iskcondesiretree.com/02_-_ISKCON_Swamis/ISKCON_Swamis_-_R_to_Y/His_Holiness_Radhanath_Swami/Lectures/01_-_Theme_wise/Anarthas/06_-_Pride/1991-060_Dangerous_Road-_Pride_SB_09-14-04-06_-_Radhanath_Swami_Mumbai_1991-06-06_IDesireTree.mp3", "1991-060_Dangerous_Road-_Pride_SB_09-14-04-06_-_Radhanath_Swami_Mumbai_1991-06-06_IDesireTree.mp3")</f>
        <v>1991-060_Dangerous_Road-_Pride_SB_09-14-04-06_-_Radhanath_Swami_Mumbai_1991-06-06_IDesireTree.mp3</v>
      </c>
      <c r="D3129" s="24"/>
      <c r="E3129" s="24"/>
    </row>
    <row r="3130">
      <c r="A3130" s="25" t="s">
        <v>18392</v>
      </c>
      <c r="B3130" s="25" t="s">
        <v>18393</v>
      </c>
      <c r="C3130" s="26" t="str">
        <f>HYPERLINK("https://audio.iskcondesiretree.com/02_-_ISKCON_Swamis/ISKCON_Swamis_-_R_to_Y/His_Holiness_Radhanath_Swami/Lectures/01_-_Theme_wise/Anarthas/06_-_Pride/1993-004_Meaning_Of_False_Pride_SB_10-20-19_-_Radhanath_Swami_Mumbai_1993-01-06_IDesireTree.mp3", "1993-004_Meaning_Of_False_Pride_SB_10-20-19_-_Radhanath_Swami_Mumbai_1993-01-06_IDesireTree.mp3")</f>
        <v>1993-004_Meaning_Of_False_Pride_SB_10-20-19_-_Radhanath_Swami_Mumbai_1993-01-06_IDesireTree.mp3</v>
      </c>
      <c r="D3130" s="24"/>
      <c r="E3130" s="24"/>
    </row>
    <row r="3131">
      <c r="A3131" s="25" t="s">
        <v>18392</v>
      </c>
      <c r="B3131" s="25" t="s">
        <v>18393</v>
      </c>
      <c r="C3131" s="26" t="str">
        <f>HYPERLINK("https://audio.iskcondesiretree.com/02_-_ISKCON_Swamis/ISKCON_Swamis_-_R_to_Y/His_Holiness_Radhanath_Swami/Lectures/01_-_Theme_wise/Anarthas/06_-_Pride/1994-063_Humility_%26_Pride_SB_01-11-01_-_Radhanath_Swami_Mumbai_1994-04-07_IDesireTree.mp3", "1994-063_Humility_%26_Pride_SB_01-11-01_-_Radhanath_Swami_Mumbai_1994-04-07_IDesireTree.mp3")</f>
        <v>1994-063_Humility_%26_Pride_SB_01-11-01_-_Radhanath_Swami_Mumbai_1994-04-07_IDesireTree.mp3</v>
      </c>
      <c r="D3131" s="24"/>
      <c r="E3131" s="24"/>
    </row>
    <row r="3132">
      <c r="A3132" s="25" t="s">
        <v>18392</v>
      </c>
      <c r="B3132" s="25" t="s">
        <v>18393</v>
      </c>
      <c r="C3132" s="26" t="str">
        <f>HYPERLINK("https://audio.iskcondesiretree.com/02_-_ISKCON_Swamis/ISKCON_Swamis_-_R_to_Y/His_Holiness_Radhanath_Swami/Lectures/01_-_Theme_wise/Anarthas/06_-_Pride/1994-162_Don%27t_Be_Arrogant_Ht_-_BG_03-11_-_Radhanath_Swami_Mumbai_1994-09-24_IDesireTree.mp3", "1994-162_Don%27t_Be_Arrogant_Ht_-_BG_03-11_-_Radhanath_Swami_Mumbai_1994-09-24_IDesireTree.mp3")</f>
        <v>1994-162_Don%27t_Be_Arrogant_Ht_-_BG_03-11_-_Radhanath_Swami_Mumbai_1994-09-24_IDesireTree.mp3</v>
      </c>
      <c r="D3132" s="24"/>
      <c r="E3132" s="24"/>
    </row>
    <row r="3133">
      <c r="A3133" s="25" t="s">
        <v>18392</v>
      </c>
      <c r="B3133" s="25" t="s">
        <v>18393</v>
      </c>
      <c r="C3133" s="26" t="str">
        <f>HYPERLINK("https://audio.iskcondesiretree.com/02_-_ISKCON_Swamis/ISKCON_Swamis_-_R_to_Y/His_Holiness_Radhanath_Swami/Lectures/01_-_Theme_wise/Anarthas/06_-_Pride/1994-183_Pride_And_Criticism_SB_04-20-26_-_Radhanath_Swami_Mumbai_1994-10-08_IDesireTree.mp3", "1994-183_Pride_And_Criticism_SB_04-20-26_-_Radhanath_Swami_Mumbai_1994-10-08_IDesireTree.mp3")</f>
        <v>1994-183_Pride_And_Criticism_SB_04-20-26_-_Radhanath_Swami_Mumbai_1994-10-08_IDesireTree.mp3</v>
      </c>
      <c r="D3133" s="24"/>
      <c r="E3133" s="24"/>
    </row>
    <row r="3134">
      <c r="A3134" s="25" t="s">
        <v>18392</v>
      </c>
      <c r="B3134" s="25" t="s">
        <v>18393</v>
      </c>
      <c r="C3134" s="26" t="str">
        <f>HYPERLINK("https://audio.iskcondesiretree.com/02_-_ISKCON_Swamis/ISKCON_Swamis_-_R_to_Y/His_Holiness_Radhanath_Swami/Lectures/01_-_Theme_wise/Anarthas/06_-_Pride/1995-011_Demoniac_Qualities-Lust_Pride_Prestige_BG_16-10_-_Radhanath_Swami_Mumbai_1995-01-08.mp3", "1995-011_Demoniac_Qualities-Lust_Pride_Prestige_BG_16-10_-_Radhanath_Swami_Mumbai_1995-01-08.mp3")</f>
        <v>1995-011_Demoniac_Qualities-Lust_Pride_Prestige_BG_16-10_-_Radhanath_Swami_Mumbai_1995-01-08.mp3</v>
      </c>
      <c r="D3134" s="24"/>
      <c r="E3134" s="24"/>
    </row>
    <row r="3135">
      <c r="A3135" s="25" t="s">
        <v>18392</v>
      </c>
      <c r="B3135" s="25" t="s">
        <v>18393</v>
      </c>
      <c r="C3135" s="26" t="str">
        <f>HYPERLINK("https://audio.iskcondesiretree.com/02_-_ISKCON_Swamis/ISKCON_Swamis_-_R_to_Y/His_Holiness_Radhanath_Swami/Lectures/01_-_Theme_wise/Anarthas/06_-_Pride/1999-033_Pride_Cometh_Before_the_Fall_BG_18-26_-_Radhanath_Swami_Mumbai_1999-06-22_IDesireTree.mp3", "1999-033_Pride_Cometh_Before_the_Fall_BG_18-26_-_Radhanath_Swami_Mumbai_1999-06-22_IDesireTree.mp3")</f>
        <v>1999-033_Pride_Cometh_Before_the_Fall_BG_18-26_-_Radhanath_Swami_Mumbai_1999-06-22_IDesireTree.mp3</v>
      </c>
      <c r="D3135" s="24"/>
      <c r="E3135" s="24"/>
    </row>
    <row r="3136">
      <c r="A3136" s="25" t="s">
        <v>18392</v>
      </c>
      <c r="B3136" s="25" t="s">
        <v>18393</v>
      </c>
      <c r="C3136" s="26" t="str">
        <f>HYPERLINK("https://audio.iskcondesiretree.com/02_-_ISKCON_Swamis/ISKCON_Swamis_-_R_to_Y/His_Holiness_Radhanath_Swami/Lectures/01_-_Theme_wise/Anarthas/06_-_Pride/2005_Maya_Traps_The_Puffed_Up_SB_05-13-23_-_Radhanath_Swami_Mumbai_-_2005-09-07.MP3", "2005_Maya_Traps_The_Puffed_Up_SB_05-13-23_-_Radhanath_Swami_Mumbai_-_2005-09-07.MP3")</f>
        <v>2005_Maya_Traps_The_Puffed_Up_SB_05-13-23_-_Radhanath_Swami_Mumbai_-_2005-09-07.MP3</v>
      </c>
      <c r="D3136" s="24"/>
      <c r="E3136" s="24"/>
    </row>
    <row r="3137">
      <c r="A3137" s="25" t="s">
        <v>18392</v>
      </c>
      <c r="B3137" s="25" t="s">
        <v>18393</v>
      </c>
      <c r="C3137" s="26" t="str">
        <f>HYPERLINK("https://audio.iskcondesiretree.com/02_-_ISKCON_Swamis/ISKCON_Swamis_-_R_to_Y/His_Holiness_Radhanath_Swami/Lectures/01_-_Theme_wise/Anarthas/06_-_Pride/Do_not_become_a_prisoner_of_success_SB_06-11-24-26_-_Radhanath_Swami_IDesireTree.mp3", "Do_not_become_a_prisoner_of_success_SB_06-11-24-26_-_Radhanath_Swami_IDesireTree.mp3")</f>
        <v>Do_not_become_a_prisoner_of_success_SB_06-11-24-26_-_Radhanath_Swami_IDesireTree.mp3</v>
      </c>
      <c r="D3137" s="24"/>
      <c r="E3137" s="24"/>
    </row>
    <row r="3138">
      <c r="A3138" s="25" t="s">
        <v>18392</v>
      </c>
      <c r="B3138" s="25" t="s">
        <v>18393</v>
      </c>
      <c r="C3138" s="26" t="str">
        <f>HYPERLINK("https://audio.iskcondesiretree.com/02_-_ISKCON_Swamis/ISKCON_Swamis_-_R_to_Y/His_Holiness_Radhanath_Swami/Lectures/01_-_Theme_wise/Anarthas/06_-_Pride/Keshi%27s_Pride_and_Yamuna%27s_Mercy_-_Radhanath_Swami_IDesireTree.mp3", "Keshi%27s_Pride_and_Yamuna%27s_Mercy_-_Radhanath_Swami_IDesireTree.mp3")</f>
        <v>Keshi%27s_Pride_and_Yamuna%27s_Mercy_-_Radhanath_Swami_IDesireTree.mp3</v>
      </c>
      <c r="D3138" s="24"/>
      <c r="E3138" s="24"/>
    </row>
    <row r="3139">
      <c r="A3139" s="25" t="s">
        <v>18392</v>
      </c>
      <c r="B3139" s="25" t="s">
        <v>18393</v>
      </c>
      <c r="C3139" s="26" t="str">
        <f>HYPERLINK("https://audio.iskcondesiretree.com/02_-_ISKCON_Swamis/ISKCON_Swamis_-_R_to_Y/His_Holiness_Radhanath_Swami/Lectures/01_-_Theme_wise/Anarthas/07_-_How_to_overcome_anarthas/Destroying_The_Ravana_Within_%2837th_Prerana_-_Mumbai%29_15-10-05.MP3", "Destroying_The_Ravana_Within_%2837th_Prerana_-_Mumbai%29_15-10-05.MP3")</f>
        <v>Destroying_The_Ravana_Within_%2837th_Prerana_-_Mumbai%29_15-10-05.MP3</v>
      </c>
      <c r="D3139" s="24"/>
      <c r="E3139" s="24"/>
    </row>
    <row r="3140">
      <c r="A3140" s="25" t="s">
        <v>18392</v>
      </c>
      <c r="B3140" s="25" t="s">
        <v>18393</v>
      </c>
      <c r="C3140" s="26" t="str">
        <f>HYPERLINK("https://audio.iskcondesiretree.com/02_-_ISKCON_Swamis/ISKCON_Swamis_-_R_to_Y/His_Holiness_Radhanath_Swami/Lectures/01_-_Theme_wise/Anarthas/07_-_How_to_overcome_anarthas/Lord_Balaram-The_Destroyer_of_Anarthas-Lord_Balaram_-_Radhanath_Swami.mp3", "Lord_Balaram-The_Destroyer_of_Anarthas-Lord_Balaram_-_Radhanath_Swami.mp3")</f>
        <v>Lord_Balaram-The_Destroyer_of_Anarthas-Lord_Balaram_-_Radhanath_Swami.mp3</v>
      </c>
      <c r="D3140" s="24"/>
      <c r="E3140" s="24"/>
    </row>
    <row r="3141">
      <c r="A3141" s="25" t="s">
        <v>18392</v>
      </c>
      <c r="B3141" s="25" t="s">
        <v>18394</v>
      </c>
      <c r="C3141" s="26" t="str">
        <f>HYPERLINK("https://audio.iskcondesiretree.com/02_-_ISKCON_Swamis/ISKCON_Swamis_-_R_to_Y/His_Holiness_Radhanath_Swami/Lectures/01_-_Theme_wise/Attachment_and_Detachment/1992-016_Shun_Attachment_Now_SB_10-04-16-18_-_Radhanath_Swami_Mumbai_1992-01-29_IDesireTree.mp3", "1992-016_Shun_Attachment_Now_SB_10-04-16-18_-_Radhanath_Swami_Mumbai_1992-01-29_IDesireTree.mp3")</f>
        <v>1992-016_Shun_Attachment_Now_SB_10-04-16-18_-_Radhanath_Swami_Mumbai_1992-01-29_IDesireTree.mp3</v>
      </c>
      <c r="D3141" s="24"/>
      <c r="E3141" s="24"/>
    </row>
    <row r="3142">
      <c r="A3142" s="25" t="s">
        <v>18392</v>
      </c>
      <c r="B3142" s="25" t="s">
        <v>18394</v>
      </c>
      <c r="C3142" s="26" t="str">
        <f>HYPERLINK("https://audio.iskcondesiretree.com/02_-_ISKCON_Swamis/ISKCON_Swamis_-_R_to_Y/His_Holiness_Radhanath_Swami/Lectures/01_-_Theme_wise/Attachment_and_Detachment/1992-061_Secret_Of_Detachment_Lecture_-_Radhanath_Swami_Mumbai_1992-04-04_IDesireTree.mp3", "1992-061_Secret_Of_Detachment_Lecture_-_Radhanath_Swami_Mumbai_1992-04-04_IDesireTree.mp3")</f>
        <v>1992-061_Secret_Of_Detachment_Lecture_-_Radhanath_Swami_Mumbai_1992-04-04_IDesireTree.mp3</v>
      </c>
      <c r="D3142" s="24"/>
      <c r="E3142" s="24"/>
    </row>
    <row r="3143">
      <c r="A3143" s="25" t="s">
        <v>18392</v>
      </c>
      <c r="B3143" s="25" t="s">
        <v>18394</v>
      </c>
      <c r="C3143" s="26" t="str">
        <f>HYPERLINK("https://audio.iskcondesiretree.com/02_-_ISKCON_Swamis/ISKCON_Swamis_-_R_to_Y/His_Holiness_Radhanath_Swami/Lectures/01_-_Theme_wise/Attachment_and_Detachment/1992-074_Spiritual_Attachments_SB_10-13-33-34_-_Radhanath_Swami_Mumbai_1992-08-16_IDesireTree.mp3", "1992-074_Spiritual_Attachments_SB_10-13-33-34_-_Radhanath_Swami_Mumbai_1992-08-16_IDesireTree.mp3")</f>
        <v>1992-074_Spiritual_Attachments_SB_10-13-33-34_-_Radhanath_Swami_Mumbai_1992-08-16_IDesireTree.mp3</v>
      </c>
      <c r="D3143" s="24"/>
      <c r="E3143" s="24"/>
    </row>
    <row r="3144">
      <c r="A3144" s="25" t="s">
        <v>18392</v>
      </c>
      <c r="B3144" s="25" t="s">
        <v>18394</v>
      </c>
      <c r="C3144" s="26" t="str">
        <f>HYPERLINK("https://audio.iskcondesiretree.com/02_-_ISKCON_Swamis/ISKCON_Swamis_-_R_to_Y/His_Holiness_Radhanath_Swami/Lectures/01_-_Theme_wise/Attachment_and_Detachment/1993-057_To_Be_Detached_SB_03-29-70-11_-_Radhanath_Swami_Mumbai_1993-04-17_IDesireTree.mp3", "1993-057_To_Be_Detached_SB_03-29-70-11_-_Radhanath_Swami_Mumbai_1993-04-17_IDesireTree.mp3")</f>
        <v>1993-057_To_Be_Detached_SB_03-29-70-11_-_Radhanath_Swami_Mumbai_1993-04-17_IDesireTree.mp3</v>
      </c>
      <c r="D3144" s="24"/>
      <c r="E3144" s="24"/>
    </row>
    <row r="3145">
      <c r="A3145" s="25" t="s">
        <v>18392</v>
      </c>
      <c r="B3145" s="25" t="s">
        <v>18394</v>
      </c>
      <c r="C3145" s="26" t="str">
        <f>HYPERLINK("https://audio.iskcondesiretree.com/02_-_ISKCON_Swamis/ISKCON_Swamis_-_R_to_Y/His_Holiness_Radhanath_Swami/Lectures/01_-_Theme_wise/Attachment_and_Detachment/1994-079_Detachment_SB-01-15-42_-_Radhanath_Swami_Mumbai_1994-05-10_IDesireTree.mp3", "1994-079_Detachment_SB-01-15-42_-_Radhanath_Swami_Mumbai_1994-05-10_IDesireTree.mp3")</f>
        <v>1994-079_Detachment_SB-01-15-42_-_Radhanath_Swami_Mumbai_1994-05-10_IDesireTree.mp3</v>
      </c>
      <c r="D3145" s="24"/>
      <c r="E3145" s="24"/>
    </row>
    <row r="3146">
      <c r="A3146" s="25" t="s">
        <v>18392</v>
      </c>
      <c r="B3146" s="25" t="s">
        <v>18394</v>
      </c>
      <c r="C3146" s="26" t="str">
        <f>HYPERLINK("https://audio.iskcondesiretree.com/02_-_ISKCON_Swamis/ISKCON_Swamis_-_R_to_Y/His_Holiness_Radhanath_Swami/Lectures/01_-_Theme_wise/Attachment_and_Detachment/1996-055_Where_To_Attach_Oneself_Ht_-_BG_07-01_-_Radhanath_Swami_Mumbai_1996-03-16_IDesireTree.mp3", "1996-055_Where_To_Attach_Oneself_Ht_-_BG_07-01_-_Radhanath_Swami_Mumbai_1996-03-16_IDesireTree.mp3")</f>
        <v>1996-055_Where_To_Attach_Oneself_Ht_-_BG_07-01_-_Radhanath_Swami_Mumbai_1996-03-16_IDesireTree.mp3</v>
      </c>
      <c r="D3146" s="24"/>
      <c r="E3146" s="24"/>
    </row>
    <row r="3147">
      <c r="A3147" s="25" t="s">
        <v>18392</v>
      </c>
      <c r="B3147" s="25" t="s">
        <v>18394</v>
      </c>
      <c r="C3147" s="26" t="str">
        <f>HYPERLINK("https://audio.iskcondesiretree.com/02_-_ISKCON_Swamis/ISKCON_Swamis_-_R_to_Y/His_Holiness_Radhanath_Swami/Lectures/01_-_Theme_wise/Attachment_and_Detachment/1998-070_Indra%27s_Attachment_SB_03-25-16_-_Radhanath_Swami_NV_1998-05-25_IDesireTree.mp3", "1998-070_Indra%27s_Attachment_SB_03-25-16_-_Radhanath_Swami_NV_1998-05-25_IDesireTree.mp3")</f>
        <v>1998-070_Indra%27s_Attachment_SB_03-25-16_-_Radhanath_Swami_NV_1998-05-25_IDesireTree.mp3</v>
      </c>
      <c r="D3147" s="24"/>
      <c r="E3147" s="24"/>
    </row>
    <row r="3148">
      <c r="A3148" s="25" t="s">
        <v>18392</v>
      </c>
      <c r="B3148" s="25" t="s">
        <v>18395</v>
      </c>
      <c r="C3148" s="26" t="str">
        <f>HYPERLINK("https://audio.iskcondesiretree.com/02_-_ISKCON_Swamis/ISKCON_Swamis_-_R_to_Y/His_Holiness_Radhanath_Swami/Lectures/01_-_Theme_wise/Attracting_to_Krsna_Consciousness/1989-011_An_Empty_Husk_Lecture_-_Radhanath_Swami_Mumbai_1989-07-08_IDesireTree.mp3", "1989-011_An_Empty_Husk_Lecture_-_Radhanath_Swami_Mumbai_1989-07-08_IDesireTree.mp3")</f>
        <v>1989-011_An_Empty_Husk_Lecture_-_Radhanath_Swami_Mumbai_1989-07-08_IDesireTree.mp3</v>
      </c>
      <c r="D3148" s="24"/>
      <c r="E3148" s="24"/>
    </row>
    <row r="3149">
      <c r="A3149" s="25" t="s">
        <v>18392</v>
      </c>
      <c r="B3149" s="25" t="s">
        <v>18396</v>
      </c>
      <c r="C3149" s="26" t="str">
        <f>HYPERLINK("https://audio.iskcondesiretree.com/02_-_ISKCON_Swamis/ISKCON_Swamis_-_R_to_Y/His_Holiness_Radhanath_Swami/Lectures/01_-_Theme_wise/Back_To_Godhead/2007_What_it_Takes_to_Go_Back_To_Godhead_SB_06-11-19_-_Radhanath_Swami_2007-03-25_IDesireTree.MP3", "2007_What_it_Takes_to_Go_Back_To_Godhead_SB_06-11-19_-_Radhanath_Swami_2007-03-25_IDesireTree.MP3")</f>
        <v>2007_What_it_Takes_to_Go_Back_To_Godhead_SB_06-11-19_-_Radhanath_Swami_2007-03-25_IDesireTree.MP3</v>
      </c>
      <c r="D3149" s="24"/>
      <c r="E3149" s="24"/>
    </row>
    <row r="3150">
      <c r="A3150" s="25" t="s">
        <v>18392</v>
      </c>
      <c r="B3150" s="25" t="s">
        <v>18397</v>
      </c>
      <c r="C3150" s="26" t="str">
        <f>HYPERLINK("https://audio.iskcondesiretree.com/02_-_ISKCON_Swamis/ISKCON_Swamis_-_R_to_Y/His_Holiness_Radhanath_Swami/Lectures/01_-_Theme_wise/Bhagavad_Gita/1989-003_The_Goal_Of_Life_BG_2-47_-_Radhanath_Swami_Mumbai_1989-02-17_IDesireTree.mp3", "1989-003_The_Goal_Of_Life_BG_2-47_-_Radhanath_Swami_Mumbai_1989-02-17_IDesireTree.mp3")</f>
        <v>1989-003_The_Goal_Of_Life_BG_2-47_-_Radhanath_Swami_Mumbai_1989-02-17_IDesireTree.mp3</v>
      </c>
      <c r="D3150" s="24"/>
      <c r="E3150" s="24"/>
    </row>
    <row r="3151">
      <c r="A3151" s="25" t="s">
        <v>18392</v>
      </c>
      <c r="B3151" s="25" t="s">
        <v>18397</v>
      </c>
      <c r="C3151" s="26" t="str">
        <f>HYPERLINK("https://audio.iskcondesiretree.com/02_-_ISKCON_Swamis/ISKCON_Swamis_-_R_to_Y/His_Holiness_Radhanath_Swami/Lectures/01_-_Theme_wise/Bhagavad_Gita/1989-017_Take_The_Medicine_BG_05-20_-_Radhanath_Swami_Mumbai_1989-07-20_IDesireTree.mp3", "1989-017_Take_The_Medicine_BG_05-20_-_Radhanath_Swami_Mumbai_1989-07-20_IDesireTree.mp3")</f>
        <v>1989-017_Take_The_Medicine_BG_05-20_-_Radhanath_Swami_Mumbai_1989-07-20_IDesireTree.mp3</v>
      </c>
      <c r="D3151" s="24"/>
      <c r="E3151" s="24"/>
    </row>
    <row r="3152">
      <c r="A3152" s="25" t="s">
        <v>18392</v>
      </c>
      <c r="B3152" s="25" t="s">
        <v>18397</v>
      </c>
      <c r="C3152" s="26" t="str">
        <f>HYPERLINK("https://audio.iskcondesiretree.com/02_-_ISKCON_Swamis/ISKCON_Swamis_-_R_to_Y/His_Holiness_Radhanath_Swami/Lectures/01_-_Theme_wise/Bhagavad_Gita/1989-069_Bhagavad_Gita_Rejects_Piety_BG_02-45_-_Radhanath_Swami_Mumbai_1989-10-18_IDesireTree.mp3", "1989-069_Bhagavad_Gita_Rejects_Piety_BG_02-45_-_Radhanath_Swami_Mumbai_1989-10-18_IDesireTree.mp3")</f>
        <v>1989-069_Bhagavad_Gita_Rejects_Piety_BG_02-45_-_Radhanath_Swami_Mumbai_1989-10-18_IDesireTree.mp3</v>
      </c>
      <c r="D3152" s="24"/>
      <c r="E3152" s="24"/>
    </row>
    <row r="3153">
      <c r="A3153" s="25" t="s">
        <v>18392</v>
      </c>
      <c r="B3153" s="25" t="s">
        <v>18397</v>
      </c>
      <c r="C3153" s="26" t="str">
        <f>HYPERLINK("https://audio.iskcondesiretree.com/02_-_ISKCON_Swamis/ISKCON_Swamis_-_R_to_Y/His_Holiness_Radhanath_Swami/Lectures/01_-_Theme_wise/Bhagavad_Gita/1992-090_Dicussions_On_Bhagavad_Gita_Q%26A_-_Radhanath_Swami_Mumbai_1992-08-26_IDesireTree.mp3", "1992-090_Dicussions_On_Bhagavad_Gita_Q%26A_-_Radhanath_Swami_Mumbai_1992-08-26_IDesireTree.mp3")</f>
        <v>1992-090_Dicussions_On_Bhagavad_Gita_Q%26A_-_Radhanath_Swami_Mumbai_1992-08-26_IDesireTree.mp3</v>
      </c>
      <c r="D3153" s="24"/>
      <c r="E3153" s="24"/>
    </row>
    <row r="3154">
      <c r="A3154" s="25" t="s">
        <v>18392</v>
      </c>
      <c r="B3154" s="25" t="s">
        <v>18397</v>
      </c>
      <c r="C3154" s="26" t="str">
        <f>HYPERLINK("https://audio.iskcondesiretree.com/02_-_ISKCON_Swamis/ISKCON_Swamis_-_R_to_Y/His_Holiness_Radhanath_Swami/Lectures/01_-_Theme_wise/Bhagavad_Gita/1993-045_Kshetra_And_Kshetra_Jna_BG_13-01-03_-_Radhanath_Swami_Mumbai_1993-04-10_IDesireTree.mp3", "1993-045_Kshetra_And_Kshetra_Jna_BG_13-01-03_-_Radhanath_Swami_Mumbai_1993-04-10_IDesireTree.mp3")</f>
        <v>1993-045_Kshetra_And_Kshetra_Jna_BG_13-01-03_-_Radhanath_Swami_Mumbai_1993-04-10_IDesireTree.mp3</v>
      </c>
      <c r="D3154" s="24"/>
      <c r="E3154" s="24"/>
    </row>
    <row r="3155">
      <c r="A3155" s="25" t="s">
        <v>18392</v>
      </c>
      <c r="B3155" s="25" t="s">
        <v>18397</v>
      </c>
      <c r="C3155" s="26" t="str">
        <f>HYPERLINK("https://audio.iskcondesiretree.com/02_-_ISKCON_Swamis/ISKCON_Swamis_-_R_to_Y/His_Holiness_Radhanath_Swami/Lectures/01_-_Theme_wise/Bhagavad_Gita/1993-048_Inaction_In_Action_BG_04-17_-_Radhanath_Swami_Mumbai_1993-04-11_IDesireTree.mp3", "1993-048_Inaction_In_Action_BG_04-17_-_Radhanath_Swami_Mumbai_1993-04-11_IDesireTree.mp3")</f>
        <v>1993-048_Inaction_In_Action_BG_04-17_-_Radhanath_Swami_Mumbai_1993-04-11_IDesireTree.mp3</v>
      </c>
      <c r="D3155" s="24"/>
      <c r="E3155" s="24"/>
    </row>
    <row r="3156">
      <c r="A3156" s="25" t="s">
        <v>18392</v>
      </c>
      <c r="B3156" s="25" t="s">
        <v>18397</v>
      </c>
      <c r="C3156" s="26" t="str">
        <f>HYPERLINK("https://audio.iskcondesiretree.com/02_-_ISKCON_Swamis/ISKCON_Swamis_-_R_to_Y/His_Holiness_Radhanath_Swami/Lectures/01_-_Theme_wise/Bhagavad_Gita/1993-066_Transcendental_Words_Of_Gita_BG_10-19_-_Radhanath_Swami_Mumbai_1993-04-24_IDesireTree.mp3", "1993-066_Transcendental_Words_Of_Gita_BG_10-19_-_Radhanath_Swami_Mumbai_1993-04-24_IDesireTree.mp3")</f>
        <v>1993-066_Transcendental_Words_Of_Gita_BG_10-19_-_Radhanath_Swami_Mumbai_1993-04-24_IDesireTree.mp3</v>
      </c>
      <c r="D3156" s="24"/>
      <c r="E3156" s="24"/>
    </row>
    <row r="3157">
      <c r="A3157" s="25" t="s">
        <v>18392</v>
      </c>
      <c r="B3157" s="25" t="s">
        <v>18397</v>
      </c>
      <c r="C3157" s="26" t="str">
        <f>HYPERLINK("https://audio.iskcondesiretree.com/02_-_ISKCON_Swamis/ISKCON_Swamis_-_R_to_Y/His_Holiness_Radhanath_Swami/Lectures/01_-_Theme_wise/Bhagavad_Gita/1993-068_Everything_Emanates_From_Me_BG_10-08_-_Radhanath_Swami_Mumbai_1993-04-25_IDesireTree.mp3", "1993-068_Everything_Emanates_From_Me_BG_10-08_-_Radhanath_Swami_Mumbai_1993-04-25_IDesireTree.mp3")</f>
        <v>1993-068_Everything_Emanates_From_Me_BG_10-08_-_Radhanath_Swami_Mumbai_1993-04-25_IDesireTree.mp3</v>
      </c>
      <c r="D3157" s="24"/>
      <c r="E3157" s="24"/>
    </row>
    <row r="3158">
      <c r="A3158" s="25" t="s">
        <v>18392</v>
      </c>
      <c r="B3158" s="25" t="s">
        <v>18397</v>
      </c>
      <c r="C3158" s="26" t="str">
        <f>HYPERLINK("https://audio.iskcondesiretree.com/02_-_ISKCON_Swamis/ISKCON_Swamis_-_R_to_Y/His_Holiness_Radhanath_Swami/Lectures/01_-_Theme_wise/Bhagavad_Gita/1994-005_Teachings_Of_Bhagavad_Gita_BG_07-02_-_Radhanath_Swami_Mumbai_1994-01-11_IDesireTree.mp3", "1994-005_Teachings_Of_Bhagavad_Gita_BG_07-02_-_Radhanath_Swami_Mumbai_1994-01-11_IDesireTree.mp3")</f>
        <v>1994-005_Teachings_Of_Bhagavad_Gita_BG_07-02_-_Radhanath_Swami_Mumbai_1994-01-11_IDesireTree.mp3</v>
      </c>
      <c r="D3158" s="24"/>
      <c r="E3158" s="24"/>
    </row>
    <row r="3159">
      <c r="A3159" s="25" t="s">
        <v>18392</v>
      </c>
      <c r="B3159" s="25" t="s">
        <v>18397</v>
      </c>
      <c r="C3159" s="26" t="str">
        <f>HYPERLINK("https://audio.iskcondesiretree.com/02_-_ISKCON_Swamis/ISKCON_Swamis_-_R_to_Y/His_Holiness_Radhanath_Swami/Lectures/01_-_Theme_wise/Bhagavad_Gita/1994-058_Understanding_Bhagavad-Gita_Lecture_-_Radhanath_Swami_Mumbai_1994-03-28_IDesireTree.mp3", "1994-058_Understanding_Bhagavad-Gita_Lecture_-_Radhanath_Swami_Mumbai_1994-03-28_IDesireTree.mp3")</f>
        <v>1994-058_Understanding_Bhagavad-Gita_Lecture_-_Radhanath_Swami_Mumbai_1994-03-28_IDesireTree.mp3</v>
      </c>
      <c r="D3159" s="24"/>
      <c r="E3159" s="24"/>
    </row>
    <row r="3160">
      <c r="A3160" s="25" t="s">
        <v>18392</v>
      </c>
      <c r="B3160" s="25" t="s">
        <v>18397</v>
      </c>
      <c r="C3160" s="26" t="str">
        <f>HYPERLINK("https://audio.iskcondesiretree.com/02_-_ISKCON_Swamis/ISKCON_Swamis_-_R_to_Y/His_Holiness_Radhanath_Swami/Lectures/01_-_Theme_wise/Bhagavad_Gita/1995-013_Nature_The_Enjoyer_And_Consciousness_BG_13-01-02_-_Radhanath_Swami_Mumbai_1995-01-10.mp3", "1995-013_Nature_The_Enjoyer_And_Consciousness_BG_13-01-02_-_Radhanath_Swami_Mumbai_1995-01-10.mp3")</f>
        <v>1995-013_Nature_The_Enjoyer_And_Consciousness_BG_13-01-02_-_Radhanath_Swami_Mumbai_1995-01-10.mp3</v>
      </c>
      <c r="D3160" s="24"/>
      <c r="E3160" s="24"/>
    </row>
    <row r="3161">
      <c r="A3161" s="25" t="s">
        <v>18392</v>
      </c>
      <c r="B3161" s="25" t="s">
        <v>18397</v>
      </c>
      <c r="C3161" s="26" t="str">
        <f>HYPERLINK("https://audio.iskcondesiretree.com/02_-_ISKCON_Swamis/ISKCON_Swamis_-_R_to_Y/His_Holiness_Radhanath_Swami/Lectures/01_-_Theme_wise/Bhagavad_Gita/1995-016_Bhagavad_Gita-The_Greatest_Science_Mt_BG_05-24_-_Radhanath_Swami_Pune_1995-01-12.mp3", "1995-016_Bhagavad_Gita-The_Greatest_Science_Mt_BG_05-24_-_Radhanath_Swami_Pune_1995-01-12.mp3")</f>
        <v>1995-016_Bhagavad_Gita-The_Greatest_Science_Mt_BG_05-24_-_Radhanath_Swami_Pune_1995-01-12.mp3</v>
      </c>
      <c r="D3161" s="24"/>
      <c r="E3161" s="24"/>
    </row>
    <row r="3162">
      <c r="A3162" s="25" t="s">
        <v>18392</v>
      </c>
      <c r="B3162" s="25" t="s">
        <v>18397</v>
      </c>
      <c r="C3162" s="26" t="str">
        <f>HYPERLINK("https://audio.iskcondesiretree.com/02_-_ISKCON_Swamis/ISKCON_Swamis_-_R_to_Y/His_Holiness_Radhanath_Swami/Lectures/01_-_Theme_wise/Bhagavad_Gita/1995-033_Take_Gita_Seriously_BG_07-01_-_Radhanath_Swami_Mumbai_1995-01-22.mp3", "1995-033_Take_Gita_Seriously_BG_07-01_-_Radhanath_Swami_Mumbai_1995-01-22.mp3")</f>
        <v>1995-033_Take_Gita_Seriously_BG_07-01_-_Radhanath_Swami_Mumbai_1995-01-22.mp3</v>
      </c>
      <c r="D3162" s="24"/>
      <c r="E3162" s="24"/>
    </row>
    <row r="3163">
      <c r="A3163" s="25" t="s">
        <v>18392</v>
      </c>
      <c r="B3163" s="25" t="s">
        <v>18397</v>
      </c>
      <c r="C3163" s="26" t="str">
        <f>HYPERLINK("https://audio.iskcondesiretree.com/02_-_ISKCON_Swamis/ISKCON_Swamis_-_R_to_Y/His_Holiness_Radhanath_Swami/Lectures/01_-_Theme_wise/Bhagavad_Gita/1995-068_Understanding_Kurukshetra_And_Gita_Lecture_-_Radhanath_Swami_Kurukshetra_1995-03-24.mp3", "1995-068_Understanding_Kurukshetra_And_Gita_Lecture_-_Radhanath_Swami_Kurukshetra_1995-03-24.mp3")</f>
        <v>1995-068_Understanding_Kurukshetra_And_Gita_Lecture_-_Radhanath_Swami_Kurukshetra_1995-03-24.mp3</v>
      </c>
      <c r="D3163" s="24"/>
      <c r="E3163" s="24"/>
    </row>
    <row r="3164">
      <c r="A3164" s="25" t="s">
        <v>18392</v>
      </c>
      <c r="B3164" s="25" t="s">
        <v>18397</v>
      </c>
      <c r="C3164" s="26" t="str">
        <f>HYPERLINK("https://audio.iskcondesiretree.com/02_-_ISKCON_Swamis/ISKCON_Swamis_-_R_to_Y/His_Holiness_Radhanath_Swami/Lectures/01_-_Theme_wise/Bhagavad_Gita/1995-100_Gita_Practical_Way_OF_Life_HT_-_BG_03-30_-_Radhanath_Swami_Pune_1995-08-31_IDesireTree.mp3", "1995-100_Gita_Practical_Way_OF_Life_HT_-_BG_03-30_-_Radhanath_Swami_Pune_1995-08-31_IDesireTree.mp3")</f>
        <v>1995-100_Gita_Practical_Way_OF_Life_HT_-_BG_03-30_-_Radhanath_Swami_Pune_1995-08-31_IDesireTree.mp3</v>
      </c>
      <c r="D3164" s="24"/>
      <c r="E3164" s="24"/>
    </row>
    <row r="3165">
      <c r="A3165" s="25" t="s">
        <v>18392</v>
      </c>
      <c r="B3165" s="25" t="s">
        <v>18397</v>
      </c>
      <c r="C3165" s="26" t="str">
        <f>HYPERLINK("https://audio.iskcondesiretree.com/02_-_ISKCON_Swamis/ISKCON_Swamis_-_R_to_Y/His_Holiness_Radhanath_Swami/Lectures/01_-_Theme_wise/Bhagavad_Gita/1996_Arjuna%27s_Purifying_Arrows-01_-_Radhanath_Swami_Columbus_1996-07-21_IDesireTree.mp3", "1996_Arjuna%27s_Purifying_Arrows-01_-_Radhanath_Swami_Columbus_1996-07-21_IDesireTree.mp3")</f>
        <v>1996_Arjuna%27s_Purifying_Arrows-01_-_Radhanath_Swami_Columbus_1996-07-21_IDesireTree.mp3</v>
      </c>
      <c r="D3165" s="24"/>
      <c r="E3165" s="24"/>
    </row>
    <row r="3166">
      <c r="A3166" s="25" t="s">
        <v>18392</v>
      </c>
      <c r="B3166" s="25" t="s">
        <v>18397</v>
      </c>
      <c r="C3166" s="26" t="str">
        <f>HYPERLINK("https://audio.iskcondesiretree.com/02_-_ISKCON_Swamis/ISKCON_Swamis_-_R_to_Y/His_Holiness_Radhanath_Swami/Lectures/01_-_Theme_wise/Bhagavad_Gita/1996_Arjuna%27s_Purifying_Arrows-02_-_Radhanath_Swami_Columbus_1996-07-21_IDesireTree.mp3", "1996_Arjuna%27s_Purifying_Arrows-02_-_Radhanath_Swami_Columbus_1996-07-21_IDesireTree.mp3")</f>
        <v>1996_Arjuna%27s_Purifying_Arrows-02_-_Radhanath_Swami_Columbus_1996-07-21_IDesireTree.mp3</v>
      </c>
      <c r="D3166" s="24"/>
      <c r="E3166" s="24"/>
    </row>
    <row r="3167">
      <c r="A3167" s="25" t="s">
        <v>18392</v>
      </c>
      <c r="B3167" s="25" t="s">
        <v>18397</v>
      </c>
      <c r="C3167" s="26" t="str">
        <f>HYPERLINK("https://audio.iskcondesiretree.com/02_-_ISKCON_Swamis/ISKCON_Swamis_-_R_to_Y/His_Holiness_Radhanath_Swami/Lectures/01_-_Theme_wise/Bhagavad_Gita/1997-003_Bhagavad_Gita_For_The_Modern_Man_Ht_-_Lecture_-_Radhanath_Swami_Mumbai_1997-01-04_IDesireTree.mp3", "1997-003_Bhagavad_Gita_For_The_Modern_Man_Ht_-_Lecture_-_Radhanath_Swami_Mumbai_1997-01-04_IDesireTree.mp3")</f>
        <v>1997-003_Bhagavad_Gita_For_The_Modern_Man_Ht_-_Lecture_-_Radhanath_Swami_Mumbai_1997-01-04_IDesireTree.mp3</v>
      </c>
      <c r="D3167" s="24"/>
      <c r="E3167" s="24"/>
    </row>
    <row r="3168">
      <c r="A3168" s="25" t="s">
        <v>18392</v>
      </c>
      <c r="B3168" s="25" t="s">
        <v>18397</v>
      </c>
      <c r="C3168" s="26" t="str">
        <f>HYPERLINK("https://audio.iskcondesiretree.com/02_-_ISKCON_Swamis/ISKCON_Swamis_-_R_to_Y/His_Holiness_Radhanath_Swami/Lectures/01_-_Theme_wise/Bhagavad_Gita/1997_BG-08-20_If_You_are_Eager_Nothing_is_Impossible_-_Radhanath_Swami_1997-09-19_IDesireTree.mp3", "1997_BG-08-20_If_You_are_Eager_Nothing_is_Impossible_-_Radhanath_Swami_1997-09-19_IDesireTree.mp3")</f>
        <v>1997_BG-08-20_If_You_are_Eager_Nothing_is_Impossible_-_Radhanath_Swami_1997-09-19_IDesireTree.mp3</v>
      </c>
      <c r="D3168" s="24"/>
      <c r="E3168" s="24"/>
    </row>
    <row r="3169">
      <c r="A3169" s="25" t="s">
        <v>18392</v>
      </c>
      <c r="B3169" s="25" t="s">
        <v>18397</v>
      </c>
      <c r="C3169" s="26" t="str">
        <f>HYPERLINK("https://audio.iskcondesiretree.com/02_-_ISKCON_Swamis/ISKCON_Swamis_-_R_to_Y/His_Holiness_Radhanath_Swami/Lectures/01_-_Theme_wise/Bhagavad_Gita/1998_BG-02-50_The_Art_of_Living_-_Radhanath_Swami_Germany_1998-08-27_IDesireTree.mp3", "1998_BG-02-50_The_Art_of_Living_-_Radhanath_Swami_Germany_1998-08-27_IDesireTree.mp3")</f>
        <v>1998_BG-02-50_The_Art_of_Living_-_Radhanath_Swami_Germany_1998-08-27_IDesireTree.mp3</v>
      </c>
      <c r="D3169" s="24"/>
      <c r="E3169" s="24"/>
    </row>
    <row r="3170">
      <c r="A3170" s="25" t="s">
        <v>18392</v>
      </c>
      <c r="B3170" s="25" t="s">
        <v>18397</v>
      </c>
      <c r="C3170" s="26" t="str">
        <f>HYPERLINK("https://audio.iskcondesiretree.com/02_-_ISKCON_Swamis/ISKCON_Swamis_-_R_to_Y/His_Holiness_Radhanath_Swami/Lectures/01_-_Theme_wise/Bhagavad_Gita/1998_BG-17-20_The_Ultimate_Charity_of_Krishna_Consciousness_-_Radhanath_Swami_1998-08-08_IDesireTree.mp3", "1998_BG-17-20_The_Ultimate_Charity_of_Krishna_Consciousness_-_Radhanath_Swami_1998-08-08_IDesireTree.mp3")</f>
        <v>1998_BG-17-20_The_Ultimate_Charity_of_Krishna_Consciousness_-_Radhanath_Swami_1998-08-08_IDesireTree.mp3</v>
      </c>
      <c r="D3170" s="24"/>
      <c r="E3170" s="24"/>
    </row>
    <row r="3171">
      <c r="A3171" s="25" t="s">
        <v>18392</v>
      </c>
      <c r="B3171" s="25" t="s">
        <v>18397</v>
      </c>
      <c r="C3171" s="26" t="str">
        <f>HYPERLINK("https://audio.iskcondesiretree.com/02_-_ISKCON_Swamis/ISKCON_Swamis_-_R_to_Y/His_Holiness_Radhanath_Swami/Lectures/01_-_Theme_wise/Bhagavad_Gita/1999-062_Following_In_The_Footstep_Of_Arjuna_I_BG_18-64-66_-_Radhanath_Swami_Mumbai_1999-12-19_IDesireTree.mp3", "1999-062_Following_In_The_Footstep_Of_Arjuna_I_BG_18-64-66_-_Radhanath_Swami_Mumbai_1999-12-19_IDesireTree.mp3")</f>
        <v>1999-062_Following_In_The_Footstep_Of_Arjuna_I_BG_18-64-66_-_Radhanath_Swami_Mumbai_1999-12-19_IDesireTree.mp3</v>
      </c>
      <c r="D3171" s="24"/>
      <c r="E3171" s="24"/>
    </row>
    <row r="3172">
      <c r="A3172" s="25" t="s">
        <v>18392</v>
      </c>
      <c r="B3172" s="25" t="s">
        <v>18397</v>
      </c>
      <c r="C3172" s="26" t="str">
        <f>HYPERLINK("https://audio.iskcondesiretree.com/02_-_ISKCON_Swamis/ISKCON_Swamis_-_R_to_Y/His_Holiness_Radhanath_Swami/Lectures/01_-_Theme_wise/Bhagavad_Gita/2000-039_How_Bhagavad_Gita_is_an_Open_Secret_Lecture_-_Radhanath_Swami_Mumbai_2000-03-12_IDesireTree.mp3", "2000-039_How_Bhagavad_Gita_is_an_Open_Secret_Lecture_-_Radhanath_Swami_Mumbai_2000-03-12_IDesireTree.mp3")</f>
        <v>2000-039_How_Bhagavad_Gita_is_an_Open_Secret_Lecture_-_Radhanath_Swami_Mumbai_2000-03-12_IDesireTree.mp3</v>
      </c>
      <c r="D3172" s="24"/>
      <c r="E3172" s="24"/>
    </row>
    <row r="3173">
      <c r="A3173" s="25" t="s">
        <v>18392</v>
      </c>
      <c r="B3173" s="25" t="s">
        <v>18397</v>
      </c>
      <c r="C3173" s="26" t="str">
        <f>HYPERLINK("https://audio.iskcondesiretree.com/02_-_ISKCON_Swamis/ISKCON_Swamis_-_R_to_Y/His_Holiness_Radhanath_Swami/Lectures/01_-_Theme_wise/Bhagavad_Gita/2003-101_Gita_Jayanti_Sunday_Feast_-_Radhanath_Swami_US_2003-11-30_IDesireTree.mp3", "2003-101_Gita_Jayanti_Sunday_Feast_-_Radhanath_Swami_US_2003-11-30_IDesireTree.mp3")</f>
        <v>2003-101_Gita_Jayanti_Sunday_Feast_-_Radhanath_Swami_US_2003-11-30_IDesireTree.mp3</v>
      </c>
      <c r="D3173" s="24"/>
      <c r="E3173" s="24"/>
    </row>
    <row r="3174">
      <c r="A3174" s="25" t="s">
        <v>18392</v>
      </c>
      <c r="B3174" s="25" t="s">
        <v>18397</v>
      </c>
      <c r="C3174" s="26" t="str">
        <f>HYPERLINK("https://audio.iskcondesiretree.com/02_-_ISKCON_Swamis/ISKCON_Swamis_-_R_to_Y/His_Holiness_Radhanath_Swami/Lectures/01_-_Theme_wise/Bhagavad_Gita/2005_Gita_Jayanti_Lecture_-_Sunday_Feast_-_Radhanath_Swami_Mumbai_2005-12-11_IDesireTree.mp3", "2005_Gita_Jayanti_Lecture_-_Sunday_Feast_-_Radhanath_Swami_Mumbai_2005-12-11_IDesireTree.mp3")</f>
        <v>2005_Gita_Jayanti_Lecture_-_Sunday_Feast_-_Radhanath_Swami_Mumbai_2005-12-11_IDesireTree.mp3</v>
      </c>
      <c r="D3174" s="24"/>
      <c r="E3174" s="24"/>
    </row>
    <row r="3175">
      <c r="A3175" s="25" t="s">
        <v>18392</v>
      </c>
      <c r="B3175" s="25" t="s">
        <v>18397</v>
      </c>
      <c r="C3175" s="26" t="str">
        <f>HYPERLINK("https://audio.iskcondesiretree.com/02_-_ISKCON_Swamis/ISKCON_Swamis_-_R_to_Y/His_Holiness_Radhanath_Swami/Lectures/01_-_Theme_wise/Bhagavad_Gita/2005_The_Essence_of_the_Meaning_of_Bhagavad_Gita_Radhanath_Swami_-_Mumbai_2005-01-10_IDesireTree.mp3", "2005_The_Essence_of_the_Meaning_of_Bhagavad_Gita_Radhanath_Swami_-_Mumbai_2005-01-10_IDesireTree.mp3")</f>
        <v>2005_The_Essence_of_the_Meaning_of_Bhagavad_Gita_Radhanath_Swami_-_Mumbai_2005-01-10_IDesireTree.mp3</v>
      </c>
      <c r="D3175" s="24"/>
      <c r="E3175" s="24"/>
    </row>
    <row r="3176">
      <c r="A3176" s="25" t="s">
        <v>18392</v>
      </c>
      <c r="B3176" s="25" t="s">
        <v>18397</v>
      </c>
      <c r="C3176" s="26" t="str">
        <f>HYPERLINK("https://audio.iskcondesiretree.com/02_-_ISKCON_Swamis/ISKCON_Swamis_-_R_to_Y/His_Holiness_Radhanath_Swami/Lectures/01_-_Theme_wise/Bhagavad_Gita/BG_05-14_Serving_the_Lord_with_Simplicity_-_Radhanath_Swami_Zurich_IDesireTree.mp3", "BG_05-14_Serving_the_Lord_with_Simplicity_-_Radhanath_Swami_Zurich_IDesireTree.mp3")</f>
        <v>BG_05-14_Serving_the_Lord_with_Simplicity_-_Radhanath_Swami_Zurich_IDesireTree.mp3</v>
      </c>
      <c r="D3176" s="24"/>
      <c r="E3176" s="24"/>
    </row>
    <row r="3177">
      <c r="A3177" s="25" t="s">
        <v>18392</v>
      </c>
      <c r="B3177" s="25" t="s">
        <v>18397</v>
      </c>
      <c r="C3177" s="26" t="str">
        <f>HYPERLINK("https://audio.iskcondesiretree.com/02_-_ISKCON_Swamis/ISKCON_Swamis_-_R_to_Y/His_Holiness_Radhanath_Swami/Lectures/01_-_Theme_wise/Bhagavad_Gita/Purifying_Ourselves_by_Performing_Devotional_Service_BG-04-14_-_Mumbai_08-01-92_IDesireTree.MP3", "Purifying_Ourselves_by_Performing_Devotional_Service_BG-04-14_-_Mumbai_08-01-92_IDesireTree.MP3")</f>
        <v>Purifying_Ourselves_by_Performing_Devotional_Service_BG-04-14_-_Mumbai_08-01-92_IDesireTree.MP3</v>
      </c>
      <c r="D3177" s="24"/>
      <c r="E3177" s="24"/>
    </row>
    <row r="3178">
      <c r="A3178" s="25" t="s">
        <v>18392</v>
      </c>
      <c r="B3178" s="25" t="s">
        <v>18397</v>
      </c>
      <c r="C3178" s="26" t="str">
        <f>HYPERLINK("https://audio.iskcondesiretree.com/02_-_ISKCON_Swamis/ISKCON_Swamis_-_R_to_Y/His_Holiness_Radhanath_Swami/Lectures/01_-_Theme_wise/Bhagavad_Gita/The_Activities_of_a_Krishna_Conscious_Person_BG-03-18-20_-_Mumbai_29-03-05_IDesireTree.mp3", "The_Activities_of_a_Krishna_Conscious_Person_BG-03-18-20_-_Mumbai_29-03-05_IDesireTree.mp3")</f>
        <v>The_Activities_of_a_Krishna_Conscious_Person_BG-03-18-20_-_Mumbai_29-03-05_IDesireTree.mp3</v>
      </c>
      <c r="D3178" s="24"/>
      <c r="E3178" s="24"/>
    </row>
    <row r="3179">
      <c r="A3179" s="25" t="s">
        <v>18392</v>
      </c>
      <c r="B3179" s="25" t="s">
        <v>18398</v>
      </c>
      <c r="C3179" s="26" t="str">
        <f>HYPERLINK("https://audio.iskcondesiretree.com/02_-_ISKCON_Swamis/ISKCON_Swamis_-_R_to_Y/His_Holiness_Radhanath_Swami/Lectures/01_-_Theme_wise/Bhakti/1989-012_The_Correct_Anchorage_BG_08-28_-_Radhanath_Swami_Mumbai_1989-07-09_IDesireTree.mp3", "1989-012_The_Correct_Anchorage_BG_08-28_-_Radhanath_Swami_Mumbai_1989-07-09_IDesireTree.mp3")</f>
        <v>1989-012_The_Correct_Anchorage_BG_08-28_-_Radhanath_Swami_Mumbai_1989-07-09_IDesireTree.mp3</v>
      </c>
      <c r="D3179" s="24"/>
      <c r="E3179" s="24"/>
    </row>
    <row r="3180">
      <c r="A3180" s="25" t="s">
        <v>18392</v>
      </c>
      <c r="B3180" s="25" t="s">
        <v>18398</v>
      </c>
      <c r="C3180" s="26" t="str">
        <f>HYPERLINK("https://audio.iskcondesiretree.com/02_-_ISKCON_Swamis/ISKCON_Swamis_-_R_to_Y/His_Holiness_Radhanath_Swami/Lectures/01_-_Theme_wise/Bhakti/1989-065_Entering_The_Supreme_Mystery_SB_07-10-50_-_Radhanath_Swami_Mumbai_1989-10-06_IDesireTree.mp3", "1989-065_Entering_The_Supreme_Mystery_SB_07-10-50_-_Radhanath_Swami_Mumbai_1989-10-06_IDesireTree.mp3")</f>
        <v>1989-065_Entering_The_Supreme_Mystery_SB_07-10-50_-_Radhanath_Swami_Mumbai_1989-10-06_IDesireTree.mp3</v>
      </c>
      <c r="D3180" s="24"/>
      <c r="E3180" s="24"/>
    </row>
    <row r="3181">
      <c r="A3181" s="25" t="s">
        <v>18392</v>
      </c>
      <c r="B3181" s="25" t="s">
        <v>18398</v>
      </c>
      <c r="C3181" s="26" t="str">
        <f>HYPERLINK("https://audio.iskcondesiretree.com/02_-_ISKCON_Swamis/ISKCON_Swamis_-_R_to_Y/His_Holiness_Radhanath_Swami/Lectures/01_-_Theme_wise/Bhakti/1989-067_Bhakti-_The_Process_Of_Becoming_Greater_Than_God_Lecture_-_Radhanath_Swami_Mumbai_1989-10-15_IDesireTree.mp3", "1989-067_Bhakti-_The_Process_Of_Becoming_Greater_Than_God_Lecture_-_Radhanath_Swami_Mumbai_1989-10-15_IDesireTree.mp3")</f>
        <v>1989-067_Bhakti-_The_Process_Of_Becoming_Greater_Than_God_Lecture_-_Radhanath_Swami_Mumbai_1989-10-15_IDesireTree.mp3</v>
      </c>
      <c r="D3181" s="24"/>
      <c r="E3181" s="24"/>
    </row>
    <row r="3182">
      <c r="A3182" s="25" t="s">
        <v>18392</v>
      </c>
      <c r="B3182" s="25" t="s">
        <v>18398</v>
      </c>
      <c r="C3182" s="26" t="str">
        <f>HYPERLINK("https://audio.iskcondesiretree.com/02_-_ISKCON_Swamis/ISKCON_Swamis_-_R_to_Y/His_Holiness_Radhanath_Swami/Lectures/01_-_Theme_wise/Bhakti/1990-006_Spiritual_Progress_SB_07-13-45_-_Radhanath_Swami_Mumbai_1990-01-12_IDesireTree.mp3", "1990-006_Spiritual_Progress_SB_07-13-45_-_Radhanath_Swami_Mumbai_1990-01-12_IDesireTree.mp3")</f>
        <v>1990-006_Spiritual_Progress_SB_07-13-45_-_Radhanath_Swami_Mumbai_1990-01-12_IDesireTree.mp3</v>
      </c>
      <c r="D3182" s="24"/>
      <c r="E3182" s="24"/>
    </row>
    <row r="3183">
      <c r="A3183" s="25" t="s">
        <v>18392</v>
      </c>
      <c r="B3183" s="25" t="s">
        <v>18398</v>
      </c>
      <c r="C3183" s="26" t="str">
        <f>HYPERLINK("https://audio.iskcondesiretree.com/02_-_ISKCON_Swamis/ISKCON_Swamis_-_R_to_Y/His_Holiness_Radhanath_Swami/Lectures/01_-_Theme_wise/Bhakti/1990-030_Six_Characteristics_Of_Pure_Devotional_Service_Lecture_-_Radhanath_Swami_Mumbai_1990-03-18_IDesireTree.mp3", "1990-030_Six_Characteristics_Of_Pure_Devotional_Service_Lecture_-_Radhanath_Swami_Mumbai_1990-03-18_IDesireTree.mp3")</f>
        <v>1990-030_Six_Characteristics_Of_Pure_Devotional_Service_Lecture_-_Radhanath_Swami_Mumbai_1990-03-18_IDesireTree.mp3</v>
      </c>
      <c r="D3183" s="24"/>
      <c r="E3183" s="24"/>
    </row>
    <row r="3184">
      <c r="A3184" s="25" t="s">
        <v>18392</v>
      </c>
      <c r="B3184" s="25" t="s">
        <v>18398</v>
      </c>
      <c r="C3184" s="26" t="str">
        <f>HYPERLINK("https://audio.iskcondesiretree.com/02_-_ISKCON_Swamis/ISKCON_Swamis_-_R_to_Y/His_Holiness_Radhanath_Swami/Lectures/01_-_Theme_wise/Bhakti/1990-035_Nourishing_The_Spiritual_Plant_SB_07-15-52_-_Radhanath_Swami_Mumbai_1990-03-25_IDesireTree.mp3", "1990-035_Nourishing_The_Spiritual_Plant_SB_07-15-52_-_Radhanath_Swami_Mumbai_1990-03-25_IDesireTree.mp3")</f>
        <v>1990-035_Nourishing_The_Spiritual_Plant_SB_07-15-52_-_Radhanath_Swami_Mumbai_1990-03-25_IDesireTree.mp3</v>
      </c>
      <c r="D3184" s="24"/>
      <c r="E3184" s="24"/>
    </row>
    <row r="3185">
      <c r="A3185" s="25" t="s">
        <v>18392</v>
      </c>
      <c r="B3185" s="25" t="s">
        <v>18398</v>
      </c>
      <c r="C3185" s="26" t="str">
        <f>HYPERLINK("https://audio.iskcondesiretree.com/02_-_ISKCON_Swamis/ISKCON_Swamis_-_R_to_Y/His_Holiness_Radhanath_Swami/Lectures/01_-_Theme_wise/Bhakti/1990-039_Pleasing_Krishna_And_His_Devotees_SB_07-15-77_-_Radhanath_Swami_Mumbai_1990-04-14_IDesireTree.mp3", "1990-039_Pleasing_Krishna_And_His_Devotees_SB_07-15-77_-_Radhanath_Swami_Mumbai_1990-04-14_IDesireTree.mp3")</f>
        <v>1990-039_Pleasing_Krishna_And_His_Devotees_SB_07-15-77_-_Radhanath_Swami_Mumbai_1990-04-14_IDesireTree.mp3</v>
      </c>
      <c r="D3185" s="24"/>
      <c r="E3185" s="24"/>
    </row>
    <row r="3186">
      <c r="A3186" s="25" t="s">
        <v>18392</v>
      </c>
      <c r="B3186" s="25" t="s">
        <v>18398</v>
      </c>
      <c r="C3186" s="26" t="str">
        <f>HYPERLINK("https://audio.iskcondesiretree.com/02_-_ISKCON_Swamis/ISKCON_Swamis_-_R_to_Y/His_Holiness_Radhanath_Swami/Lectures/01_-_Theme_wise/Bhakti/1990-047_How_To_Begin_Spiritual_Life_Lecture_-_Radhanath_Swami_Mumbai_1990-04-28_IDesireTree.mp3", "1990-047_How_To_Begin_Spiritual_Life_Lecture_-_Radhanath_Swami_Mumbai_1990-04-28_IDesireTree.mp3")</f>
        <v>1990-047_How_To_Begin_Spiritual_Life_Lecture_-_Radhanath_Swami_Mumbai_1990-04-28_IDesireTree.mp3</v>
      </c>
      <c r="D3186" s="24"/>
      <c r="E3186" s="24"/>
    </row>
    <row r="3187">
      <c r="A3187" s="25" t="s">
        <v>18392</v>
      </c>
      <c r="B3187" s="25" t="s">
        <v>18398</v>
      </c>
      <c r="C3187" s="26" t="str">
        <f>HYPERLINK("https://audio.iskcondesiretree.com/02_-_ISKCON_Swamis/ISKCON_Swamis_-_R_to_Y/His_Holiness_Radhanath_Swami/Lectures/01_-_Theme_wise/Bhakti/1990-068_Making_Krishna_Happy_SB_08-07-05-06_-_Radhanath_Swami_Mumbai_1990-08-24_IDesireTree.mp3", "1990-068_Making_Krishna_Happy_SB_08-07-05-06_-_Radhanath_Swami_Mumbai_1990-08-24_IDesireTree.mp3")</f>
        <v>1990-068_Making_Krishna_Happy_SB_08-07-05-06_-_Radhanath_Swami_Mumbai_1990-08-24_IDesireTree.mp3</v>
      </c>
      <c r="D3187" s="24"/>
      <c r="E3187" s="24"/>
    </row>
    <row r="3188">
      <c r="A3188" s="25" t="s">
        <v>18392</v>
      </c>
      <c r="B3188" s="25" t="s">
        <v>18398</v>
      </c>
      <c r="C3188" s="26" t="str">
        <f>HYPERLINK("https://audio.iskcondesiretree.com/02_-_ISKCON_Swamis/ISKCON_Swamis_-_R_to_Y/His_Holiness_Radhanath_Swami/Lectures/01_-_Theme_wise/Bhakti/1990-085_How_To_Become_Pure_Devotee_Lecture_-_Radhanath_Swami_Mumbai_1990-10-04_IDesireTree.mp3", "1990-085_How_To_Become_Pure_Devotee_Lecture_-_Radhanath_Swami_Mumbai_1990-10-04_IDesireTree.mp3")</f>
        <v>1990-085_How_To_Become_Pure_Devotee_Lecture_-_Radhanath_Swami_Mumbai_1990-10-04_IDesireTree.mp3</v>
      </c>
      <c r="D3188" s="24"/>
      <c r="E3188" s="24"/>
    </row>
    <row r="3189">
      <c r="A3189" s="25" t="s">
        <v>18392</v>
      </c>
      <c r="B3189" s="25" t="s">
        <v>18398</v>
      </c>
      <c r="C3189" s="26" t="str">
        <f>HYPERLINK("https://audio.iskcondesiretree.com/02_-_ISKCON_Swamis/ISKCON_Swamis_-_R_to_Y/His_Holiness_Radhanath_Swami/Lectures/01_-_Theme_wise/Bhakti/1990-096_Aspiring_For_Nothing_But_Service_BG_10-01_-_Radhanath_Swami_Mumbai_1990-10-21_IDesireTree.mp3", "1990-096_Aspiring_For_Nothing_But_Service_BG_10-01_-_Radhanath_Swami_Mumbai_1990-10-21_IDesireTree.mp3")</f>
        <v>1990-096_Aspiring_For_Nothing_But_Service_BG_10-01_-_Radhanath_Swami_Mumbai_1990-10-21_IDesireTree.mp3</v>
      </c>
      <c r="D3189" s="24"/>
      <c r="E3189" s="24"/>
    </row>
    <row r="3190">
      <c r="A3190" s="25" t="s">
        <v>18392</v>
      </c>
      <c r="B3190" s="25" t="s">
        <v>18398</v>
      </c>
      <c r="C3190" s="26" t="str">
        <f>HYPERLINK("https://audio.iskcondesiretree.com/02_-_ISKCON_Swamis/ISKCON_Swamis_-_R_to_Y/His_Holiness_Radhanath_Swami/Lectures/01_-_Theme_wise/Bhakti/1991-012_Spiritual_Sentiments_BG_14-04_-_Radhanath_Swami_Mumbai_1991-02-01_IDesireTree.mp3", "1991-012_Spiritual_Sentiments_BG_14-04_-_Radhanath_Swami_Mumbai_1991-02-01_IDesireTree.mp3")</f>
        <v>1991-012_Spiritual_Sentiments_BG_14-04_-_Radhanath_Swami_Mumbai_1991-02-01_IDesireTree.mp3</v>
      </c>
      <c r="D3190" s="24"/>
      <c r="E3190" s="24"/>
    </row>
    <row r="3191">
      <c r="A3191" s="25" t="s">
        <v>18392</v>
      </c>
      <c r="B3191" s="25" t="s">
        <v>18398</v>
      </c>
      <c r="C3191" s="26" t="str">
        <f>HYPERLINK("https://audio.iskcondesiretree.com/02_-_ISKCON_Swamis/ISKCON_Swamis_-_R_to_Y/His_Holiness_Radhanath_Swami/Lectures/01_-_Theme_wise/Bhakti/1991-055_The_Greatness_Of_devotee_SB_1991-05-27_-_Radhanath_Swami_IDesireTree.mp3", "1991-055_The_Greatness_Of_devotee_SB_1991-05-27_-_Radhanath_Swami_IDesireTree.mp3")</f>
        <v>1991-055_The_Greatness_Of_devotee_SB_1991-05-27_-_Radhanath_Swami_IDesireTree.mp3</v>
      </c>
      <c r="D3191" s="24"/>
      <c r="E3191" s="24"/>
    </row>
    <row r="3192">
      <c r="A3192" s="25" t="s">
        <v>18392</v>
      </c>
      <c r="B3192" s="25" t="s">
        <v>18398</v>
      </c>
      <c r="C3192" s="26" t="str">
        <f>HYPERLINK("https://audio.iskcondesiretree.com/02_-_ISKCON_Swamis/ISKCON_Swamis_-_R_to_Y/His_Holiness_Radhanath_Swami/Lectures/01_-_Theme_wise/Bhakti/1992-079_Importance_Of_Tulasi_Maharani_SB_10-13-49_-_Radhanath_Swami_Mumbai_1992-08-28_IDesireTree.mp3", "1992-079_Importance_Of_Tulasi_Maharani_SB_10-13-49_-_Radhanath_Swami_Mumbai_1992-08-28_IDesireTree.mp3")</f>
        <v>1992-079_Importance_Of_Tulasi_Maharani_SB_10-13-49_-_Radhanath_Swami_Mumbai_1992-08-28_IDesireTree.mp3</v>
      </c>
      <c r="D3192" s="24"/>
      <c r="E3192" s="24"/>
    </row>
    <row r="3193">
      <c r="A3193" s="25" t="s">
        <v>18392</v>
      </c>
      <c r="B3193" s="25" t="s">
        <v>18398</v>
      </c>
      <c r="C3193" s="26" t="str">
        <f>HYPERLINK("https://audio.iskcondesiretree.com/02_-_ISKCON_Swamis/ISKCON_Swamis_-_R_to_Y/His_Holiness_Radhanath_Swami/Lectures/01_-_Theme_wise/Bhakti/1992-082_Mysticism_And_Devotion_SB_10-13-37-38_-_Radhanath_Swami_Mumbai_1992-08-19_IDesireTree.mp3", "1992-082_Mysticism_And_Devotion_SB_10-13-37-38_-_Radhanath_Swami_Mumbai_1992-08-19_IDesireTree.mp3")</f>
        <v>1992-082_Mysticism_And_Devotion_SB_10-13-37-38_-_Radhanath_Swami_Mumbai_1992-08-19_IDesireTree.mp3</v>
      </c>
      <c r="D3193" s="24"/>
      <c r="E3193" s="24"/>
    </row>
    <row r="3194">
      <c r="A3194" s="25" t="s">
        <v>18392</v>
      </c>
      <c r="B3194" s="25" t="s">
        <v>18398</v>
      </c>
      <c r="C3194" s="26" t="str">
        <f>HYPERLINK("https://audio.iskcondesiretree.com/02_-_ISKCON_Swamis/ISKCON_Swamis_-_R_to_Y/His_Holiness_Radhanath_Swami/Lectures/01_-_Theme_wise/Bhakti/1992-106_The_Power_Of_Devotion_SB_10-14-11_-_Radhanath_Swami_Mumbai_1992-09-19_IDesireTree.mp3", "1992-106_The_Power_Of_Devotion_SB_10-14-11_-_Radhanath_Swami_Mumbai_1992-09-19_IDesireTree.mp3")</f>
        <v>1992-106_The_Power_Of_Devotion_SB_10-14-11_-_Radhanath_Swami_Mumbai_1992-09-19_IDesireTree.mp3</v>
      </c>
      <c r="D3194" s="24"/>
      <c r="E3194" s="24"/>
    </row>
    <row r="3195">
      <c r="A3195" s="25" t="s">
        <v>18392</v>
      </c>
      <c r="B3195" s="25" t="s">
        <v>18398</v>
      </c>
      <c r="C3195" s="26" t="str">
        <f>HYPERLINK("https://audio.iskcondesiretree.com/02_-_ISKCON_Swamis/ISKCON_Swamis_-_R_to_Y/His_Holiness_Radhanath_Swami/Lectures/01_-_Theme_wise/Bhakti/1992-112_Importance_Of_Austerity_SB_01-03-09_-_Radhanath_Swami_Mumbai_1992-09-13_IDesireTree.mp3", "1992-112_Importance_Of_Austerity_SB_01-03-09_-_Radhanath_Swami_Mumbai_1992-09-13_IDesireTree.mp3")</f>
        <v>1992-112_Importance_Of_Austerity_SB_01-03-09_-_Radhanath_Swami_Mumbai_1992-09-13_IDesireTree.mp3</v>
      </c>
      <c r="D3195" s="24"/>
      <c r="E3195" s="24"/>
    </row>
    <row r="3196">
      <c r="A3196" s="25" t="s">
        <v>18392</v>
      </c>
      <c r="B3196" s="25" t="s">
        <v>18398</v>
      </c>
      <c r="C3196" s="26" t="str">
        <f>HYPERLINK("https://audio.iskcondesiretree.com/02_-_ISKCON_Swamis/ISKCON_Swamis_-_R_to_Y/His_Holiness_Radhanath_Swami/Lectures/01_-_Theme_wise/Bhakti/1992-160_Pure_Devotional_Service_Is_Real_Diamond_SB_10-20-08_-_Radhanath_Swami_Mumbai_1992-12-29_IDesireTree.mp3", "1992-160_Pure_Devotional_Service_Is_Real_Diamond_SB_10-20-08_-_Radhanath_Swami_Mumbai_1992-12-29_IDesireTree.mp3")</f>
        <v>1992-160_Pure_Devotional_Service_Is_Real_Diamond_SB_10-20-08_-_Radhanath_Swami_Mumbai_1992-12-29_IDesireTree.mp3</v>
      </c>
      <c r="D3196" s="24"/>
      <c r="E3196" s="24"/>
    </row>
    <row r="3197">
      <c r="A3197" s="25" t="s">
        <v>18392</v>
      </c>
      <c r="B3197" s="25" t="s">
        <v>18398</v>
      </c>
      <c r="C3197" s="26" t="str">
        <f>HYPERLINK("https://audio.iskcondesiretree.com/02_-_ISKCON_Swamis/ISKCON_Swamis_-_R_to_Y/His_Holiness_Radhanath_Swami/Lectures/01_-_Theme_wise/Bhakti/1993-075_Science_Of_Bhakti_BG_12-16_-_Radhanath_Swami_Mumbai_1993-05-02_IDesireTree.mp3", "1993-075_Science_Of_Bhakti_BG_12-16_-_Radhanath_Swami_Mumbai_1993-05-02_IDesireTree.mp3")</f>
        <v>1993-075_Science_Of_Bhakti_BG_12-16_-_Radhanath_Swami_Mumbai_1993-05-02_IDesireTree.mp3</v>
      </c>
      <c r="D3197" s="24"/>
      <c r="E3197" s="24"/>
    </row>
    <row r="3198">
      <c r="A3198" s="25" t="s">
        <v>18392</v>
      </c>
      <c r="B3198" s="25" t="s">
        <v>18398</v>
      </c>
      <c r="C3198" s="26" t="str">
        <f>HYPERLINK("https://audio.iskcondesiretree.com/02_-_ISKCON_Swamis/ISKCON_Swamis_-_R_to_Y/His_Holiness_Radhanath_Swami/Lectures/01_-_Theme_wise/Bhakti/1993-083_How_To_Attain_Love_Of_God_SB_03-01-04_-_Radhanath_Swami_Mumbai_1993-05-07_IDesireTree.mp3", "1993-083_How_To_Attain_Love_Of_God_SB_03-01-04_-_Radhanath_Swami_Mumbai_1993-05-07_IDesireTree.mp3")</f>
        <v>1993-083_How_To_Attain_Love_Of_God_SB_03-01-04_-_Radhanath_Swami_Mumbai_1993-05-07_IDesireTree.mp3</v>
      </c>
      <c r="D3198" s="24"/>
      <c r="E3198" s="24"/>
    </row>
    <row r="3199">
      <c r="A3199" s="25" t="s">
        <v>18392</v>
      </c>
      <c r="B3199" s="25" t="s">
        <v>18398</v>
      </c>
      <c r="C3199" s="26" t="str">
        <f>HYPERLINK("https://audio.iskcondesiretree.com/02_-_ISKCON_Swamis/ISKCON_Swamis_-_R_to_Y/His_Holiness_Radhanath_Swami/Lectures/01_-_Theme_wise/Bhakti/1993-132_Sweetness_Of_Bhakti_SB_04-24-55_-_Radhanath_Swami_Mumbai_1993-09-26_IDesireTree.mp3", "1993-132_Sweetness_Of_Bhakti_SB_04-24-55_-_Radhanath_Swami_Mumbai_1993-09-26_IDesireTree.mp3")</f>
        <v>1993-132_Sweetness_Of_Bhakti_SB_04-24-55_-_Radhanath_Swami_Mumbai_1993-09-26_IDesireTree.mp3</v>
      </c>
      <c r="D3199" s="24"/>
      <c r="E3199" s="24"/>
    </row>
    <row r="3200">
      <c r="A3200" s="25" t="s">
        <v>18392</v>
      </c>
      <c r="B3200" s="25" t="s">
        <v>18398</v>
      </c>
      <c r="C3200" s="26" t="str">
        <f>HYPERLINK("https://audio.iskcondesiretree.com/02_-_ISKCON_Swamis/ISKCON_Swamis_-_R_to_Y/His_Holiness_Radhanath_Swami/Lectures/01_-_Theme_wise/Bhakti/1994-001_Unalloyed_Devotional_Service_SB_03-29-10_-_Radhanath_Swami_Mayapur_1994-01-02_IDesireTree.mp3", "1994-001_Unalloyed_Devotional_Service_SB_03-29-10_-_Radhanath_Swami_Mayapur_1994-01-02_IDesireTree.mp3")</f>
        <v>1994-001_Unalloyed_Devotional_Service_SB_03-29-10_-_Radhanath_Swami_Mayapur_1994-01-02_IDesireTree.mp3</v>
      </c>
      <c r="D3200" s="24"/>
      <c r="E3200" s="24"/>
    </row>
    <row r="3201">
      <c r="A3201" s="25" t="s">
        <v>18392</v>
      </c>
      <c r="B3201" s="25" t="s">
        <v>18398</v>
      </c>
      <c r="C3201" s="26" t="str">
        <f>HYPERLINK("https://audio.iskcondesiretree.com/02_-_ISKCON_Swamis/ISKCON_Swamis_-_R_to_Y/His_Holiness_Radhanath_Swami/Lectures/01_-_Theme_wise/Bhakti/1994-011_Path_of_Pure_devotional_service_I_SB_02-03-24_-_Radhanath_Swami_Pune_1994-01-22_IDesireTree.mp3", "1994-011_Path_of_Pure_devotional_service_I_SB_02-03-24_-_Radhanath_Swami_Pune_1994-01-22_IDesireTree.mp3")</f>
        <v>1994-011_Path_of_Pure_devotional_service_I_SB_02-03-24_-_Radhanath_Swami_Pune_1994-01-22_IDesireTree.mp3</v>
      </c>
      <c r="D3201" s="24"/>
      <c r="E3201" s="24"/>
    </row>
    <row r="3202">
      <c r="A3202" s="25" t="s">
        <v>18392</v>
      </c>
      <c r="B3202" s="25" t="s">
        <v>18398</v>
      </c>
      <c r="C3202" s="26" t="str">
        <f>HYPERLINK("https://audio.iskcondesiretree.com/02_-_ISKCON_Swamis/ISKCON_Swamis_-_R_to_Y/His_Holiness_Radhanath_Swami/Lectures/01_-_Theme_wise/Bhakti/1994-050_What_Does_Bhakti_Means_SB_01-05-12_-_Radhanath_Swami_Mumbai_1994-03-13_IDesireTree.mp3", "1994-050_What_Does_Bhakti_Means_SB_01-05-12_-_Radhanath_Swami_Mumbai_1994-03-13_IDesireTree.mp3")</f>
        <v>1994-050_What_Does_Bhakti_Means_SB_01-05-12_-_Radhanath_Swami_Mumbai_1994-03-13_IDesireTree.mp3</v>
      </c>
      <c r="D3202" s="24"/>
      <c r="E3202" s="24"/>
    </row>
    <row r="3203">
      <c r="A3203" s="25" t="s">
        <v>18392</v>
      </c>
      <c r="B3203" s="25" t="s">
        <v>18398</v>
      </c>
      <c r="C3203" s="26" t="str">
        <f>HYPERLINK("https://audio.iskcondesiretree.com/02_-_ISKCON_Swamis/ISKCON_Swamis_-_R_to_Y/His_Holiness_Radhanath_Swami/Lectures/01_-_Theme_wise/Bhakti/1994-141_Strive_For_Service_Of_Sakhis_Lecture_-_Radhanath_Swami_Mumbai_1994-09-11_IDesireTree.mp3", "1994-141_Strive_For_Service_Of_Sakhis_Lecture_-_Radhanath_Swami_Mumbai_1994-09-11_IDesireTree.mp3")</f>
        <v>1994-141_Strive_For_Service_Of_Sakhis_Lecture_-_Radhanath_Swami_Mumbai_1994-09-11_IDesireTree.mp3</v>
      </c>
      <c r="D3203" s="24"/>
      <c r="E3203" s="24"/>
    </row>
    <row r="3204">
      <c r="A3204" s="25" t="s">
        <v>18392</v>
      </c>
      <c r="B3204" s="25" t="s">
        <v>18398</v>
      </c>
      <c r="C3204" s="26" t="str">
        <f>HYPERLINK("https://audio.iskcondesiretree.com/02_-_ISKCON_Swamis/ISKCON_Swamis_-_R_to_Y/His_Holiness_Radhanath_Swami/Lectures/01_-_Theme_wise/Bhakti/1994-147_Priorities_Of_Bhakti_BG_03-08_-_Radhanath_Swami_Mumbai_1994-09-13_IDesireTree.mp3", "1994-147_Priorities_Of_Bhakti_BG_03-08_-_Radhanath_Swami_Mumbai_1994-09-13_IDesireTree.mp3")</f>
        <v>1994-147_Priorities_Of_Bhakti_BG_03-08_-_Radhanath_Swami_Mumbai_1994-09-13_IDesireTree.mp3</v>
      </c>
      <c r="D3204" s="24"/>
      <c r="E3204" s="24"/>
    </row>
    <row r="3205">
      <c r="A3205" s="25" t="s">
        <v>18392</v>
      </c>
      <c r="B3205" s="25" t="s">
        <v>18398</v>
      </c>
      <c r="C3205" s="26" t="str">
        <f>HYPERLINK("https://audio.iskcondesiretree.com/02_-_ISKCON_Swamis/ISKCON_Swamis_-_R_to_Y/His_Holiness_Radhanath_Swami/Lectures/01_-_Theme_wise/Bhakti/1994-190_Give_Best_For_Krishna_SB_03-33-17_-_Radhanath_Swami_Pune_1994-10-13_IDesireTree.mp3", "1994-190_Give_Best_For_Krishna_SB_03-33-17_-_Radhanath_Swami_Pune_1994-10-13_IDesireTree.mp3")</f>
        <v>1994-190_Give_Best_For_Krishna_SB_03-33-17_-_Radhanath_Swami_Pune_1994-10-13_IDesireTree.mp3</v>
      </c>
      <c r="D3205" s="24"/>
      <c r="E3205" s="24"/>
    </row>
    <row r="3206">
      <c r="A3206" s="25" t="s">
        <v>18392</v>
      </c>
      <c r="B3206" s="25" t="s">
        <v>18398</v>
      </c>
      <c r="C3206" s="26" t="str">
        <f>HYPERLINK("https://audio.iskcondesiretree.com/02_-_ISKCON_Swamis/ISKCON_Swamis_-_R_to_Y/His_Holiness_Radhanath_Swami/Lectures/01_-_Theme_wise/Bhakti/1995-060_Take_To_Bhakti_Now_Ht_-_BG_07-06_-_Radhanath_Swami_Mumbai_1995-03-12.mp3", "1995-060_Take_To_Bhakti_Now_Ht_-_BG_07-06_-_Radhanath_Swami_Mumbai_1995-03-12.mp3")</f>
        <v>1995-060_Take_To_Bhakti_Now_Ht_-_BG_07-06_-_Radhanath_Swami_Mumbai_1995-03-12.mp3</v>
      </c>
      <c r="D3206" s="24"/>
      <c r="E3206" s="24"/>
    </row>
    <row r="3207">
      <c r="A3207" s="25" t="s">
        <v>18392</v>
      </c>
      <c r="B3207" s="25" t="s">
        <v>18398</v>
      </c>
      <c r="C3207" s="26" t="str">
        <f>HYPERLINK("https://audio.iskcondesiretree.com/02_-_ISKCON_Swamis/ISKCON_Swamis_-_R_to_Y/His_Holiness_Radhanath_Swami/Lectures/01_-_Theme_wise/Bhakti/1996-112_Bhakti_Yoga-_Most_Auspicious_SB_02-02-33_-_Radhanath_Swami_Mumbai_1996-08-25_IDesireTree.mp3", "1996-112_Bhakti_Yoga-_Most_Auspicious_SB_02-02-33_-_Radhanath_Swami_Mumbai_1996-08-25_IDesireTree.mp3")</f>
        <v>1996-112_Bhakti_Yoga-_Most_Auspicious_SB_02-02-33_-_Radhanath_Swami_Mumbai_1996-08-25_IDesireTree.mp3</v>
      </c>
      <c r="D3207" s="24"/>
      <c r="E3207" s="24"/>
    </row>
    <row r="3208">
      <c r="A3208" s="25" t="s">
        <v>18392</v>
      </c>
      <c r="B3208" s="25" t="s">
        <v>18398</v>
      </c>
      <c r="C3208" s="26" t="str">
        <f>HYPERLINK("https://audio.iskcondesiretree.com/02_-_ISKCON_Swamis/ISKCON_Swamis_-_R_to_Y/His_Holiness_Radhanath_Swami/Lectures/01_-_Theme_wise/Bhakti/1996-118_Bhakti-_The_Greatest_Wealth_SB_02-03-08-09_-_Radhanath_Swami_Mumbai_1996-09-01_IDesireTree.mp3", "1996-118_Bhakti-_The_Greatest_Wealth_SB_02-03-08-09_-_Radhanath_Swami_Mumbai_1996-09-01_IDesireTree.mp3")</f>
        <v>1996-118_Bhakti-_The_Greatest_Wealth_SB_02-03-08-09_-_Radhanath_Swami_Mumbai_1996-09-01_IDesireTree.mp3</v>
      </c>
      <c r="D3208" s="24"/>
      <c r="E3208" s="24"/>
    </row>
    <row r="3209">
      <c r="A3209" s="25" t="s">
        <v>18392</v>
      </c>
      <c r="B3209" s="25" t="s">
        <v>18398</v>
      </c>
      <c r="C3209" s="26" t="str">
        <f>HYPERLINK("https://audio.iskcondesiretree.com/02_-_ISKCON_Swamis/ISKCON_Swamis_-_R_to_Y/His_Holiness_Radhanath_Swami/Lectures/01_-_Theme_wise/Bhakti/1996-152_Power_Of_Bhakti_SB_02-04-18_-_Radhanath_Swami_Mumbai_1996-10-13_IDesireTree.mp3", "1996-152_Power_Of_Bhakti_SB_02-04-18_-_Radhanath_Swami_Mumbai_1996-10-13_IDesireTree.mp3")</f>
        <v>1996-152_Power_Of_Bhakti_SB_02-04-18_-_Radhanath_Swami_Mumbai_1996-10-13_IDesireTree.mp3</v>
      </c>
      <c r="D3209" s="24"/>
      <c r="E3209" s="24"/>
    </row>
    <row r="3210">
      <c r="A3210" s="25" t="s">
        <v>18392</v>
      </c>
      <c r="B3210" s="25" t="s">
        <v>18398</v>
      </c>
      <c r="C3210" s="26" t="str">
        <f>HYPERLINK("https://audio.iskcondesiretree.com/02_-_ISKCON_Swamis/ISKCON_Swamis_-_R_to_Y/His_Holiness_Radhanath_Swami/Lectures/01_-_Theme_wise/Bhakti/1998-004_Perform_Your_Duties_In_Devotional_Service_SB_03-05-40_-_Radhanath_Swami_Mumbai_1998-01-17_IDesireTree.mp3", "1998-004_Perform_Your_Duties_In_Devotional_Service_SB_03-05-40_-_Radhanath_Swami_Mumbai_1998-01-17_IDesireTree.mp3")</f>
        <v>1998-004_Perform_Your_Duties_In_Devotional_Service_SB_03-05-40_-_Radhanath_Swami_Mumbai_1998-01-17_IDesireTree.mp3</v>
      </c>
      <c r="D3210" s="24"/>
      <c r="E3210" s="24"/>
    </row>
    <row r="3211">
      <c r="A3211" s="25" t="s">
        <v>18392</v>
      </c>
      <c r="B3211" s="25" t="s">
        <v>18398</v>
      </c>
      <c r="C3211" s="26" t="str">
        <f>HYPERLINK("https://audio.iskcondesiretree.com/02_-_ISKCON_Swamis/ISKCON_Swamis_-_R_to_Y/His_Holiness_Radhanath_Swami/Lectures/01_-_Theme_wise/Bhakti/1998-049_Bhakti_is_the_Only_Way_BG_07-01_-_Radhanath_Swami_Mumbai_1998-03-21_IDesireTree.mp3", "1998-049_Bhakti_is_the_Only_Way_BG_07-01_-_Radhanath_Swami_Mumbai_1998-03-21_IDesireTree.mp3")</f>
        <v>1998-049_Bhakti_is_the_Only_Way_BG_07-01_-_Radhanath_Swami_Mumbai_1998-03-21_IDesireTree.mp3</v>
      </c>
      <c r="D3211" s="24"/>
      <c r="E3211" s="24"/>
    </row>
    <row r="3212">
      <c r="A3212" s="25" t="s">
        <v>18392</v>
      </c>
      <c r="B3212" s="25" t="s">
        <v>18398</v>
      </c>
      <c r="C3212" s="26" t="str">
        <f>HYPERLINK("https://audio.iskcondesiretree.com/02_-_ISKCON_Swamis/ISKCON_Swamis_-_R_to_Y/His_Holiness_Radhanath_Swami/Lectures/01_-_Theme_wise/Bhakti/1998-055_Process_of_Devotional_Service_is_Gradual_SB_03-07-12_-_Radhanath_Swami_Mumbai_1998-03-29_IDesireTree.mp3", "1998-055_Process_of_Devotional_Service_is_Gradual_SB_03-07-12_-_Radhanath_Swami_Mumbai_1998-03-29_IDesireTree.mp3")</f>
        <v>1998-055_Process_of_Devotional_Service_is_Gradual_SB_03-07-12_-_Radhanath_Swami_Mumbai_1998-03-29_IDesireTree.mp3</v>
      </c>
      <c r="D3212" s="24"/>
      <c r="E3212" s="24"/>
    </row>
    <row r="3213">
      <c r="A3213" s="25" t="s">
        <v>18392</v>
      </c>
      <c r="B3213" s="25" t="s">
        <v>18398</v>
      </c>
      <c r="C3213" s="26" t="str">
        <f>HYPERLINK("https://audio.iskcondesiretree.com/02_-_ISKCON_Swamis/ISKCON_Swamis_-_R_to_Y/His_Holiness_Radhanath_Swami/Lectures/01_-_Theme_wise/Bhakti/1998-110_Serving_the_Lord_with_Love_%26_Devotion_BG_08-15_-_Radhanath_Swami_Mumbai_1998-12-04_IDesireTree.mp3", "1998-110_Serving_the_Lord_with_Love_%26_Devotion_BG_08-15_-_Radhanath_Swami_Mumbai_1998-12-04_IDesireTree.mp3")</f>
        <v>1998-110_Serving_the_Lord_with_Love_%26_Devotion_BG_08-15_-_Radhanath_Swami_Mumbai_1998-12-04_IDesireTree.mp3</v>
      </c>
      <c r="D3213" s="24"/>
      <c r="E3213" s="24"/>
    </row>
    <row r="3214">
      <c r="A3214" s="25" t="s">
        <v>18392</v>
      </c>
      <c r="B3214" s="25" t="s">
        <v>18398</v>
      </c>
      <c r="C3214" s="26" t="str">
        <f>HYPERLINK("https://audio.iskcondesiretree.com/02_-_ISKCON_Swamis/ISKCON_Swamis_-_R_to_Y/His_Holiness_Radhanath_Swami/Lectures/01_-_Theme_wise/Bhakti/1999-039_Surrendering_Krsna_With_Full_Devotion_Lecture_-_Radhanath_Swami_Nasik_1999-07-07_IDesireTree.mp3", "1999-039_Surrendering_Krsna_With_Full_Devotion_Lecture_-_Radhanath_Swami_Nasik_1999-07-07_IDesireTree.mp3")</f>
        <v>1999-039_Surrendering_Krsna_With_Full_Devotion_Lecture_-_Radhanath_Swami_Nasik_1999-07-07_IDesireTree.mp3</v>
      </c>
      <c r="D3214" s="24"/>
      <c r="E3214" s="24"/>
    </row>
    <row r="3215">
      <c r="A3215" s="25" t="s">
        <v>18392</v>
      </c>
      <c r="B3215" s="25" t="s">
        <v>18398</v>
      </c>
      <c r="C3215" s="26" t="str">
        <f>HYPERLINK("https://audio.iskcondesiretree.com/02_-_ISKCON_Swamis/ISKCON_Swamis_-_R_to_Y/His_Holiness_Radhanath_Swami/Lectures/01_-_Theme_wise/Bhakti/1999-047_Tapasya_Is_The_Basic_Element_Of_Bhakti_SB_03-20-32-34_-_Radhanath_Swami_Mumbai_1999-07-20_IDesireTree.mp3", "1999-047_Tapasya_Is_The_Basic_Element_Of_Bhakti_SB_03-20-32-34_-_Radhanath_Swami_Mumbai_1999-07-20_IDesireTree.mp3")</f>
        <v>1999-047_Tapasya_Is_The_Basic_Element_Of_Bhakti_SB_03-20-32-34_-_Radhanath_Swami_Mumbai_1999-07-20_IDesireTree.mp3</v>
      </c>
      <c r="D3215" s="24"/>
      <c r="E3215" s="24"/>
    </row>
    <row r="3216">
      <c r="A3216" s="25" t="s">
        <v>18392</v>
      </c>
      <c r="B3216" s="25" t="s">
        <v>18398</v>
      </c>
      <c r="C3216" s="26" t="str">
        <f>HYPERLINK("https://audio.iskcondesiretree.com/02_-_ISKCON_Swamis/ISKCON_Swamis_-_R_to_Y/His_Holiness_Radhanath_Swami/Lectures/01_-_Theme_wise/Bhakti/2000_Only_Bhakti_Can_Eradicate_all_Sinful_Desires_SB-03-31-29_-_Radhanath_Swami_Mumbai_2000-11-25_IDesireTree.MP3", "2000_Only_Bhakti_Can_Eradicate_all_Sinful_Desires_SB-03-31-29_-_Radhanath_Swami_Mumbai_2000-11-25_IDesireTree.MP3")</f>
        <v>2000_Only_Bhakti_Can_Eradicate_all_Sinful_Desires_SB-03-31-29_-_Radhanath_Swami_Mumbai_2000-11-25_IDesireTree.MP3</v>
      </c>
      <c r="D3216" s="24"/>
      <c r="E3216" s="24"/>
    </row>
    <row r="3217">
      <c r="A3217" s="25" t="s">
        <v>18392</v>
      </c>
      <c r="B3217" s="25" t="s">
        <v>18398</v>
      </c>
      <c r="C3217" s="26" t="str">
        <f>HYPERLINK("https://audio.iskcondesiretree.com/02_-_ISKCON_Swamis/ISKCON_Swamis_-_R_to_Y/His_Holiness_Radhanath_Swami/Lectures/01_-_Theme_wise/Bhakti/2000_SB-03-29-20_The_Only_True_Wealth_Is_Bhakti_-_Radhanath_Swami_2000-09-06_IDesireTree.mp3", "2000_SB-03-29-20_The_Only_True_Wealth_Is_Bhakti_-_Radhanath_Swami_2000-09-06_IDesireTree.mp3")</f>
        <v>2000_SB-03-29-20_The_Only_True_Wealth_Is_Bhakti_-_Radhanath_Swami_2000-09-06_IDesireTree.mp3</v>
      </c>
      <c r="D3217" s="24"/>
      <c r="E3217" s="24"/>
    </row>
    <row r="3218">
      <c r="A3218" s="25" t="s">
        <v>18392</v>
      </c>
      <c r="B3218" s="25" t="s">
        <v>18398</v>
      </c>
      <c r="C3218" s="26" t="str">
        <f>HYPERLINK("https://audio.iskcondesiretree.com/02_-_ISKCON_Swamis/ISKCON_Swamis_-_R_to_Y/His_Holiness_Radhanath_Swami/Lectures/01_-_Theme_wise/Bhakti/2001-014_Bhakti_Free_From_Motivations_Lecture_-_Radhanath_Swami_Mumbai_2001-02-04_IDesireTree.mp3", "2001-014_Bhakti_Free_From_Motivations_Lecture_-_Radhanath_Swami_Mumbai_2001-02-04_IDesireTree.mp3")</f>
        <v>2001-014_Bhakti_Free_From_Motivations_Lecture_-_Radhanath_Swami_Mumbai_2001-02-04_IDesireTree.mp3</v>
      </c>
      <c r="D3218" s="24"/>
      <c r="E3218" s="24"/>
    </row>
    <row r="3219">
      <c r="A3219" s="25" t="s">
        <v>18392</v>
      </c>
      <c r="B3219" s="25" t="s">
        <v>18398</v>
      </c>
      <c r="C3219" s="26" t="str">
        <f>HYPERLINK("https://audio.iskcondesiretree.com/02_-_ISKCON_Swamis/ISKCON_Swamis_-_R_to_Y/His_Holiness_Radhanath_Swami/Lectures/01_-_Theme_wise/Bhakti/2001-055_Real_Fortune_Is_Bhakti_Lecture_-_Radhanath_Swami_Mumbai_2001-12-07_IDesireTree.mp3", "2001-055_Real_Fortune_Is_Bhakti_Lecture_-_Radhanath_Swami_Mumbai_2001-12-07_IDesireTree.mp3")</f>
        <v>2001-055_Real_Fortune_Is_Bhakti_Lecture_-_Radhanath_Swami_Mumbai_2001-12-07_IDesireTree.mp3</v>
      </c>
      <c r="D3219" s="24"/>
      <c r="E3219" s="24"/>
    </row>
    <row r="3220">
      <c r="A3220" s="25" t="s">
        <v>18392</v>
      </c>
      <c r="B3220" s="25" t="s">
        <v>18398</v>
      </c>
      <c r="C3220" s="26" t="str">
        <f>HYPERLINK("https://audio.iskcondesiretree.com/02_-_ISKCON_Swamis/ISKCON_Swamis_-_R_to_Y/His_Holiness_Radhanath_Swami/Lectures/01_-_Theme_wise/Bhakti/2001-061_Ecstacy_Through_Spiritualised_Senses_SB_04-09-03_-_Radhanath_Swami_Mumbai_2001-12-16_IDesireTree.mp3", "2001-061_Ecstacy_Through_Spiritualised_Senses_SB_04-09-03_-_Radhanath_Swami_Mumbai_2001-12-16_IDesireTree.mp3")</f>
        <v>2001-061_Ecstacy_Through_Spiritualised_Senses_SB_04-09-03_-_Radhanath_Swami_Mumbai_2001-12-16_IDesireTree.mp3</v>
      </c>
      <c r="D3220" s="24"/>
      <c r="E3220" s="24"/>
    </row>
    <row r="3221">
      <c r="A3221" s="25" t="s">
        <v>18392</v>
      </c>
      <c r="B3221" s="25" t="s">
        <v>18398</v>
      </c>
      <c r="C3221" s="26" t="str">
        <f>HYPERLINK("https://audio.iskcondesiretree.com/02_-_ISKCON_Swamis/ISKCON_Swamis_-_R_to_Y/His_Holiness_Radhanath_Swami/Lectures/01_-_Theme_wise/Bhakti/2002-052_Bhakti_Is_the_Only_Real_Fortune_SB_04-12-23_-_Radhanath_Swami_Mumbai_2002-04-14_IDesireTree.mp3", "2002-052_Bhakti_Is_the_Only_Real_Fortune_SB_04-12-23_-_Radhanath_Swami_Mumbai_2002-04-14_IDesireTree.mp3")</f>
        <v>2002-052_Bhakti_Is_the_Only_Real_Fortune_SB_04-12-23_-_Radhanath_Swami_Mumbai_2002-04-14_IDesireTree.mp3</v>
      </c>
      <c r="D3221" s="24"/>
      <c r="E3221" s="24"/>
    </row>
    <row r="3222">
      <c r="A3222" s="25" t="s">
        <v>18392</v>
      </c>
      <c r="B3222" s="25" t="s">
        <v>18398</v>
      </c>
      <c r="C3222" s="26" t="str">
        <f>HYPERLINK("https://audio.iskcondesiretree.com/02_-_ISKCON_Swamis/ISKCON_Swamis_-_R_to_Y/His_Holiness_Radhanath_Swami/Lectures/01_-_Theme_wise/Bhakti/2003-053_Bhakti_is_the_Highest_form_of_Meditation_SB_04-24-53_-_Radhanath_Swami_Mumbai_1998-03-23_IDesireTree.mp3", "2003-053_Bhakti_is_the_Highest_form_of_Meditation_SB_04-24-53_-_Radhanath_Swami_Mumbai_1998-03-23_IDesireTree.mp3")</f>
        <v>2003-053_Bhakti_is_the_Highest_form_of_Meditation_SB_04-24-53_-_Radhanath_Swami_Mumbai_1998-03-23_IDesireTree.mp3</v>
      </c>
      <c r="D3222" s="24"/>
      <c r="E3222" s="24"/>
    </row>
    <row r="3223">
      <c r="A3223" s="25" t="s">
        <v>18392</v>
      </c>
      <c r="B3223" s="25" t="s">
        <v>18398</v>
      </c>
      <c r="C3223" s="26" t="str">
        <f>HYPERLINK("https://audio.iskcondesiretree.com/02_-_ISKCON_Swamis/ISKCON_Swamis_-_R_to_Y/His_Holiness_Radhanath_Swami/Lectures/01_-_Theme_wise/Bhakti/2003_Love_and_Devotion_of_Bharat_to_Sri_Rama-01_-_Radhanath_Swami_Mumbai_2003-04-06_IDesireTree.MP3", "2003_Love_and_Devotion_of_Bharat_to_Sri_Rama-01_-_Radhanath_Swami_Mumbai_2003-04-06_IDesireTree.MP3")</f>
        <v>2003_Love_and_Devotion_of_Bharat_to_Sri_Rama-01_-_Radhanath_Swami_Mumbai_2003-04-06_IDesireTree.MP3</v>
      </c>
      <c r="D3223" s="24"/>
      <c r="E3223" s="24"/>
    </row>
    <row r="3224">
      <c r="A3224" s="25" t="s">
        <v>18392</v>
      </c>
      <c r="B3224" s="25" t="s">
        <v>18398</v>
      </c>
      <c r="C3224" s="26" t="str">
        <f>HYPERLINK("https://audio.iskcondesiretree.com/02_-_ISKCON_Swamis/ISKCON_Swamis_-_R_to_Y/His_Holiness_Radhanath_Swami/Lectures/01_-_Theme_wise/Bhakti/2003_Love_and_Devotion_of_Bharat_to_Sri_Rama-02_-_Radhanath_Swami_Mumbai_2003-04-06_IDesireTree.MP3", "2003_Love_and_Devotion_of_Bharat_to_Sri_Rama-02_-_Radhanath_Swami_Mumbai_2003-04-06_IDesireTree.MP3")</f>
        <v>2003_Love_and_Devotion_of_Bharat_to_Sri_Rama-02_-_Radhanath_Swami_Mumbai_2003-04-06_IDesireTree.MP3</v>
      </c>
      <c r="D3224" s="24"/>
      <c r="E3224" s="24"/>
    </row>
    <row r="3225">
      <c r="A3225" s="25" t="s">
        <v>18392</v>
      </c>
      <c r="B3225" s="25" t="s">
        <v>18398</v>
      </c>
      <c r="C3225" s="26" t="str">
        <f>HYPERLINK("https://audio.iskcondesiretree.com/02_-_ISKCON_Swamis/ISKCON_Swamis_-_R_to_Y/His_Holiness_Radhanath_Swami/Lectures/01_-_Theme_wise/Bhakti/2004_Krishna_Sees_Only_our_Devotion_-_Radhanath_Swami_New_Vrindavan_2004-05-27_IDesireTree.mp3", "2004_Krishna_Sees_Only_our_Devotion_-_Radhanath_Swami_New_Vrindavan_2004-05-27_IDesireTree.mp3")</f>
        <v>2004_Krishna_Sees_Only_our_Devotion_-_Radhanath_Swami_New_Vrindavan_2004-05-27_IDesireTree.mp3</v>
      </c>
      <c r="D3225" s="24"/>
      <c r="E3225" s="24"/>
    </row>
    <row r="3226">
      <c r="A3226" s="25" t="s">
        <v>18392</v>
      </c>
      <c r="B3226" s="25" t="s">
        <v>18398</v>
      </c>
      <c r="C3226" s="26" t="str">
        <f>HYPERLINK("https://audio.iskcondesiretree.com/02_-_ISKCON_Swamis/ISKCON_Swamis_-_R_to_Y/His_Holiness_Radhanath_Swami/Lectures/01_-_Theme_wise/Bhakti/2004_Simply_Love_and_Devotion_Pushya_Abhishek_-_Radhanath_Swami_Mumbai_2004-01-29_IDesireTree.mp3", "2004_Simply_Love_and_Devotion_Pushya_Abhishek_-_Radhanath_Swami_Mumbai_2004-01-29_IDesireTree.mp3")</f>
        <v>2004_Simply_Love_and_Devotion_Pushya_Abhishek_-_Radhanath_Swami_Mumbai_2004-01-29_IDesireTree.mp3</v>
      </c>
      <c r="D3226" s="24"/>
      <c r="E3226" s="24"/>
    </row>
    <row r="3227">
      <c r="A3227" s="25" t="s">
        <v>18392</v>
      </c>
      <c r="B3227" s="25" t="s">
        <v>18398</v>
      </c>
      <c r="C3227" s="26" t="str">
        <f>HYPERLINK("https://audio.iskcondesiretree.com/02_-_ISKCON_Swamis/ISKCON_Swamis_-_R_to_Y/His_Holiness_Radhanath_Swami/Lectures/01_-_Theme_wise/Bhakti/2004_The_Power_of_Bhakti_-_Radhanath_Swami_Mumbai_2004-03-15_IDesireTree.mp3", "2004_The_Power_of_Bhakti_-_Radhanath_Swami_Mumbai_2004-03-15_IDesireTree.mp3")</f>
        <v>2004_The_Power_of_Bhakti_-_Radhanath_Swami_Mumbai_2004-03-15_IDesireTree.mp3</v>
      </c>
      <c r="D3227" s="24"/>
      <c r="E3227" s="24"/>
    </row>
    <row r="3228">
      <c r="A3228" s="25" t="s">
        <v>18392</v>
      </c>
      <c r="B3228" s="25" t="s">
        <v>18398</v>
      </c>
      <c r="C3228" s="26" t="str">
        <f>HYPERLINK("https://audio.iskcondesiretree.com/02_-_ISKCON_Swamis/ISKCON_Swamis_-_R_to_Y/His_Holiness_Radhanath_Swami/Lectures/01_-_Theme_wise/Bhakti/Bhakti_The_Only_Means_To_Attain_Spiritual_Perfection_SB-04-28-38_-_Mumbai_28-03-04_IDesireTree.mp3", "Bhakti_The_Only_Means_To_Attain_Spiritual_Perfection_SB-04-28-38_-_Mumbai_28-03-04_IDesireTree.mp3")</f>
        <v>Bhakti_The_Only_Means_To_Attain_Spiritual_Perfection_SB-04-28-38_-_Mumbai_28-03-04_IDesireTree.mp3</v>
      </c>
      <c r="D3228" s="24"/>
      <c r="E3228" s="24"/>
    </row>
    <row r="3229">
      <c r="A3229" s="25" t="s">
        <v>18392</v>
      </c>
      <c r="B3229" s="25" t="s">
        <v>18398</v>
      </c>
      <c r="C3229" s="26" t="str">
        <f>HYPERLINK("https://audio.iskcondesiretree.com/02_-_ISKCON_Swamis/ISKCON_Swamis_-_R_to_Y/His_Holiness_Radhanath_Swami/Lectures/01_-_Theme_wise/Bhakti/Bhakti_The_Wealth_of_Heart_SB-05-03-02_-_Mumbai_26-12-04_IDesireTree.mp3", "Bhakti_The_Wealth_of_Heart_SB-05-03-02_-_Mumbai_26-12-04_IDesireTree.mp3")</f>
        <v>Bhakti_The_Wealth_of_Heart_SB-05-03-02_-_Mumbai_26-12-04_IDesireTree.mp3</v>
      </c>
      <c r="D3229" s="24"/>
      <c r="E3229" s="24"/>
    </row>
    <row r="3230">
      <c r="A3230" s="25" t="s">
        <v>18392</v>
      </c>
      <c r="B3230" s="25" t="s">
        <v>18398</v>
      </c>
      <c r="C3230" s="26" t="str">
        <f>HYPERLINK("https://audio.iskcondesiretree.com/02_-_ISKCON_Swamis/ISKCON_Swamis_-_R_to_Y/His_Holiness_Radhanath_Swami/Lectures/01_-_Theme_wise/Bhakti/Holding_unto_the_Life_wreth_of_Devotional_Service_-_Radhanath_Swami_IDesireTree.mp3", "Holding_unto_the_Life_wreth_of_Devotional_Service_-_Radhanath_Swami_IDesireTree.mp3")</f>
        <v>Holding_unto_the_Life_wreth_of_Devotional_Service_-_Radhanath_Swami_IDesireTree.mp3</v>
      </c>
      <c r="D3230" s="24"/>
      <c r="E3230" s="24"/>
    </row>
    <row r="3231">
      <c r="A3231" s="25" t="s">
        <v>18392</v>
      </c>
      <c r="B3231" s="25" t="s">
        <v>18398</v>
      </c>
      <c r="C3231" s="26" t="str">
        <f>HYPERLINK("https://audio.iskcondesiretree.com/02_-_ISKCON_Swamis/ISKCON_Swamis_-_R_to_Y/His_Holiness_Radhanath_Swami/Lectures/01_-_Theme_wise/Bhakti/Nourishing_Our_Spiritual_Strength_-_Radhanath_Swami_IDesireTree.mp3", "Nourishing_Our_Spiritual_Strength_-_Radhanath_Swami_IDesireTree.mp3")</f>
        <v>Nourishing_Our_Spiritual_Strength_-_Radhanath_Swami_IDesireTree.mp3</v>
      </c>
      <c r="D3231" s="24"/>
      <c r="E3231" s="24"/>
    </row>
    <row r="3232">
      <c r="A3232" s="25" t="s">
        <v>18392</v>
      </c>
      <c r="B3232" s="25" t="s">
        <v>18398</v>
      </c>
      <c r="C3232" s="26" t="str">
        <f>HYPERLINK("https://audio.iskcondesiretree.com/02_-_ISKCON_Swamis/ISKCON_Swamis_-_R_to_Y/His_Holiness_Radhanath_Swami/Lectures/01_-_Theme_wise/Bhakti/Only_Bhakti_Can_Eradicate_all_Sinful_Desires_SB-03-31-29_-_Mumbai_25-11-00_IDesireTree.MP3", "Only_Bhakti_Can_Eradicate_all_Sinful_Desires_SB-03-31-29_-_Mumbai_25-11-00_IDesireTree.MP3")</f>
        <v>Only_Bhakti_Can_Eradicate_all_Sinful_Desires_SB-03-31-29_-_Mumbai_25-11-00_IDesireTree.MP3</v>
      </c>
      <c r="D3232" s="24"/>
      <c r="E3232" s="24"/>
    </row>
    <row r="3233">
      <c r="A3233" s="25" t="s">
        <v>18392</v>
      </c>
      <c r="B3233" s="25" t="s">
        <v>18398</v>
      </c>
      <c r="C3233" s="26" t="str">
        <f>HYPERLINK("https://audio.iskcondesiretree.com/02_-_ISKCON_Swamis/ISKCON_Swamis_-_R_to_Y/His_Holiness_Radhanath_Swami/Lectures/01_-_Theme_wise/Bhakti/Quresh_and_Dhanurdas%27_Supreme_Devotion_To_Ramanuja_-_Radhanath_Swami_IDesireTree.mp3", "Quresh_and_Dhanurdas%27_Supreme_Devotion_To_Ramanuja_-_Radhanath_Swami_IDesireTree.mp3")</f>
        <v>Quresh_and_Dhanurdas%27_Supreme_Devotion_To_Ramanuja_-_Radhanath_Swami_IDesireTree.mp3</v>
      </c>
      <c r="D3233" s="24"/>
      <c r="E3233" s="24"/>
    </row>
    <row r="3234">
      <c r="A3234" s="25" t="s">
        <v>18392</v>
      </c>
      <c r="B3234" s="25" t="s">
        <v>18398</v>
      </c>
      <c r="C3234" s="26" t="str">
        <f>HYPERLINK("https://audio.iskcondesiretree.com/02_-_ISKCON_Swamis/ISKCON_Swamis_-_R_to_Y/His_Holiness_Radhanath_Swami/Lectures/01_-_Theme_wise/Bhakti/Serving_the_Lord_with_Humility_and_Devotion_-_Radhanath_Swami_IDesireTree.mp3", "Serving_the_Lord_with_Humility_and_Devotion_-_Radhanath_Swami_IDesireTree.mp3")</f>
        <v>Serving_the_Lord_with_Humility_and_Devotion_-_Radhanath_Swami_IDesireTree.mp3</v>
      </c>
      <c r="D3234" s="24"/>
      <c r="E3234" s="24"/>
    </row>
    <row r="3235">
      <c r="A3235" s="25" t="s">
        <v>18392</v>
      </c>
      <c r="B3235" s="25" t="s">
        <v>18398</v>
      </c>
      <c r="C3235" s="26" t="str">
        <f>HYPERLINK("https://audio.iskcondesiretree.com/02_-_ISKCON_Swamis/ISKCON_Swamis_-_R_to_Y/His_Holiness_Radhanath_Swami/Lectures/01_-_Theme_wise/Bhakti/Srimad_Bhagvatam_Only_Deals_with_Unalloyed_Devotion_SB-01-01-02_-_Prabhupadade_21-08-01_IDesireTree.MP3", "Srimad_Bhagvatam_Only_Deals_with_Unalloyed_Devotion_SB-01-01-02_-_Prabhupadade_21-08-01_IDesireTree.MP3")</f>
        <v>Srimad_Bhagvatam_Only_Deals_with_Unalloyed_Devotion_SB-01-01-02_-_Prabhupadade_21-08-01_IDesireTree.MP3</v>
      </c>
      <c r="D3235" s="24"/>
      <c r="E3235" s="24"/>
    </row>
    <row r="3236">
      <c r="A3236" s="25" t="s">
        <v>18392</v>
      </c>
      <c r="B3236" s="25" t="s">
        <v>18398</v>
      </c>
      <c r="C3236" s="26" t="str">
        <f>HYPERLINK("https://audio.iskcondesiretree.com/02_-_ISKCON_Swamis/ISKCON_Swamis_-_R_to_Y/His_Holiness_Radhanath_Swami/Lectures/01_-_Theme_wise/Bhakti/Stages_of_devotional_Serves-01_-_Radhanath_Swami_IDesireTree.MP3", "Stages_of_devotional_Serves-01_-_Radhanath_Swami_IDesireTree.MP3")</f>
        <v>Stages_of_devotional_Serves-01_-_Radhanath_Swami_IDesireTree.MP3</v>
      </c>
      <c r="D3236" s="24"/>
      <c r="E3236" s="24"/>
    </row>
    <row r="3237">
      <c r="A3237" s="25" t="s">
        <v>18392</v>
      </c>
      <c r="B3237" s="25" t="s">
        <v>18398</v>
      </c>
      <c r="C3237" s="26" t="str">
        <f>HYPERLINK("https://audio.iskcondesiretree.com/02_-_ISKCON_Swamis/ISKCON_Swamis_-_R_to_Y/His_Holiness_Radhanath_Swami/Lectures/01_-_Theme_wise/Bhakti/The_Power_of_Bhakti_-_Mumbai_15-03-04_IDesireTree.mp3", "The_Power_of_Bhakti_-_Mumbai_15-03-04_IDesireTree.mp3")</f>
        <v>The_Power_of_Bhakti_-_Mumbai_15-03-04_IDesireTree.mp3</v>
      </c>
      <c r="D3237" s="24"/>
      <c r="E3237" s="24"/>
    </row>
    <row r="3238">
      <c r="A3238" s="25" t="s">
        <v>18392</v>
      </c>
      <c r="B3238" s="25" t="s">
        <v>18398</v>
      </c>
      <c r="C3238" s="26" t="str">
        <f>HYPERLINK("https://audio.iskcondesiretree.com/02_-_ISKCON_Swamis/ISKCON_Swamis_-_R_to_Y/His_Holiness_Radhanath_Swami/Lectures/01_-_Theme_wise/Bhakti/Unmotivated_%26_Unalloyed_Devotion_of_Vasudev_for_Krishna_SB-10-08-09_-_Mumbai_10-04-92_IDesireTree.MP3", "Unmotivated_%26_Unalloyed_Devotion_of_Vasudev_for_Krishna_SB-10-08-09_-_Mumbai_10-04-92_IDesireTree.MP3")</f>
        <v>Unmotivated_%26_Unalloyed_Devotion_of_Vasudev_for_Krishna_SB-10-08-09_-_Mumbai_10-04-92_IDesireTree.MP3</v>
      </c>
      <c r="D3238" s="24"/>
      <c r="E3238" s="24"/>
    </row>
    <row r="3239">
      <c r="A3239" s="25" t="s">
        <v>18392</v>
      </c>
      <c r="B3239" s="25" t="s">
        <v>18398</v>
      </c>
      <c r="C3239" s="26" t="str">
        <f>HYPERLINK("https://audio.iskcondesiretree.com/02_-_ISKCON_Swamis/ISKCON_Swamis_-_R_to_Y/His_Holiness_Radhanath_Swami/Lectures/01_-_Theme_wise/Bhakti/Worshipping_the_Lord_for_Material_Benefit_is_Foolish_23_-_Radhanath_Swami_IDesireTree.mp3", "Worshipping_the_Lord_for_Material_Benefit_is_Foolish_23_-_Radhanath_Swami_IDesireTree.mp3")</f>
        <v>Worshipping_the_Lord_for_Material_Benefit_is_Foolish_23_-_Radhanath_Swami_IDesireTree.mp3</v>
      </c>
      <c r="D3239" s="24"/>
      <c r="E3239" s="24"/>
    </row>
    <row r="3240">
      <c r="A3240" s="25" t="s">
        <v>18392</v>
      </c>
      <c r="B3240" s="25" t="s">
        <v>18399</v>
      </c>
      <c r="C3240" s="26" t="str">
        <f>HYPERLINK("https://audio.iskcondesiretree.com/02_-_ISKCON_Swamis/ISKCON_Swamis_-_R_to_Y/His_Holiness_Radhanath_Swami/Lectures/01_-_Theme_wise/Blessings/1991-069_Blessing_Of_Acharyas_Is_Necessary_Lecture_-_Radhanath_Swami_Mumbai_1991-05-27_IDesireTree.mp3", "1991-069_Blessing_Of_Acharyas_Is_Necessary_Lecture_-_Radhanath_Swami_Mumbai_1991-05-27_IDesireTree.mp3")</f>
        <v>1991-069_Blessing_Of_Acharyas_Is_Necessary_Lecture_-_Radhanath_Swami_Mumbai_1991-05-27_IDesireTree.mp3</v>
      </c>
      <c r="D3240" s="24"/>
      <c r="E3240" s="24"/>
    </row>
    <row r="3241">
      <c r="A3241" s="25" t="s">
        <v>18392</v>
      </c>
      <c r="B3241" s="25" t="s">
        <v>18399</v>
      </c>
      <c r="C3241" s="26" t="str">
        <f>HYPERLINK("https://audio.iskcondesiretree.com/02_-_ISKCON_Swamis/ISKCON_Swamis_-_R_to_Y/His_Holiness_Radhanath_Swami/Lectures/01_-_Theme_wise/Blessings/1991-088_Need_For_Vaishnava_Blessings_Lecture_-_Radhanath_Swami_Mumbai_1991-10-23_IDesireTree.mp3", "1991-088_Need_For_Vaishnava_Blessings_Lecture_-_Radhanath_Swami_Mumbai_1991-10-23_IDesireTree.mp3")</f>
        <v>1991-088_Need_For_Vaishnava_Blessings_Lecture_-_Radhanath_Swami_Mumbai_1991-10-23_IDesireTree.mp3</v>
      </c>
      <c r="D3241" s="24"/>
      <c r="E3241" s="24"/>
    </row>
    <row r="3242">
      <c r="A3242" s="25" t="s">
        <v>18392</v>
      </c>
      <c r="B3242" s="25" t="s">
        <v>18399</v>
      </c>
      <c r="C3242" s="26" t="str">
        <f>HYPERLINK("https://audio.iskcondesiretree.com/02_-_ISKCON_Swamis/ISKCON_Swamis_-_R_to_Y/His_Holiness_Radhanath_Swami/Lectures/01_-_Theme_wise/Blessings/1992-064_Guru_And_Vaishnava_Blessing_SB_10-08-06_-_Radhanath_Swami_Mumbai_1992-04-09_IDesireTree.mp3", "1992-064_Guru_And_Vaishnava_Blessing_SB_10-08-06_-_Radhanath_Swami_Mumbai_1992-04-09_IDesireTree.mp3")</f>
        <v>1992-064_Guru_And_Vaishnava_Blessing_SB_10-08-06_-_Radhanath_Swami_Mumbai_1992-04-09_IDesireTree.mp3</v>
      </c>
      <c r="D3242" s="24"/>
      <c r="E3242" s="24"/>
    </row>
    <row r="3243">
      <c r="A3243" s="25" t="s">
        <v>18392</v>
      </c>
      <c r="B3243" s="25" t="s">
        <v>18399</v>
      </c>
      <c r="C3243" s="26" t="str">
        <f>HYPERLINK("https://audio.iskcondesiretree.com/02_-_ISKCON_Swamis/ISKCON_Swamis_-_R_to_Y/His_Holiness_Radhanath_Swami/Lectures/01_-_Theme_wise/Blessings/1992-139_Prayers_Of_Vaishnavas_Never_Go_In_Vain_SB_10-16-60-64_-_Radhanath_Swami_Mumbai_1992-12-12_IDesireTree.mp3", "1992-139_Prayers_Of_Vaishnavas_Never_Go_In_Vain_SB_10-16-60-64_-_Radhanath_Swami_Mumbai_1992-12-12_IDesireTree.mp3")</f>
        <v>1992-139_Prayers_Of_Vaishnavas_Never_Go_In_Vain_SB_10-16-60-64_-_Radhanath_Swami_Mumbai_1992-12-12_IDesireTree.mp3</v>
      </c>
      <c r="D3243" s="24"/>
      <c r="E3243" s="24"/>
    </row>
    <row r="3244">
      <c r="A3244" s="25" t="s">
        <v>18392</v>
      </c>
      <c r="B3244" s="25" t="s">
        <v>18399</v>
      </c>
      <c r="C3244" s="26" t="str">
        <f>HYPERLINK("https://audio.iskcondesiretree.com/02_-_ISKCON_Swamis/ISKCON_Swamis_-_R_to_Y/His_Holiness_Radhanath_Swami/Lectures/01_-_Theme_wise/Blessings/1993-087_Lord_Krishna%27s_Blessing_On_His_Devotees_SB_10-28-17_-_Radhanath_Swami_Mumbai_1993-05-18_IDesireTree.mp3", "1993-087_Lord_Krishna%27s_Blessing_On_His_Devotees_SB_10-28-17_-_Radhanath_Swami_Mumbai_1993-05-18_IDesireTree.mp3")</f>
        <v>1993-087_Lord_Krishna%27s_Blessing_On_His_Devotees_SB_10-28-17_-_Radhanath_Swami_Mumbai_1993-05-18_IDesireTree.mp3</v>
      </c>
      <c r="D3244" s="24"/>
      <c r="E3244" s="24"/>
    </row>
    <row r="3245">
      <c r="A3245" s="25" t="s">
        <v>18392</v>
      </c>
      <c r="B3245" s="25" t="s">
        <v>18399</v>
      </c>
      <c r="C3245" s="26" t="str">
        <f>HYPERLINK("https://audio.iskcondesiretree.com/02_-_ISKCON_Swamis/ISKCON_Swamis_-_R_to_Y/His_Holiness_Radhanath_Swami/Lectures/01_-_Theme_wise/Blessings/1998-111_Best_Blessings_of_Demigods_SB_03-14-26_-_Radhanath_Swami_Mumbai_1998-12-06_IDesireTree.mp3", "1998-111_Best_Blessings_of_Demigods_SB_03-14-26_-_Radhanath_Swami_Mumbai_1998-12-06_IDesireTree.mp3")</f>
        <v>1998-111_Best_Blessings_of_Demigods_SB_03-14-26_-_Radhanath_Swami_Mumbai_1998-12-06_IDesireTree.mp3</v>
      </c>
      <c r="D3245" s="24"/>
      <c r="E3245" s="24"/>
    </row>
    <row r="3246">
      <c r="A3246" s="25" t="s">
        <v>18392</v>
      </c>
      <c r="B3246" s="25" t="s">
        <v>18399</v>
      </c>
      <c r="C3246" s="26" t="str">
        <f>HYPERLINK("https://audio.iskcondesiretree.com/02_-_ISKCON_Swamis/ISKCON_Swamis_-_R_to_Y/His_Holiness_Radhanath_Swami/Lectures/01_-_Theme_wise/Blessings/2002-026_To_Seek_Blessing_Is_a_Sign_Of_Humility_Lecture_-_Radhanath_Swami_Mumbai_2002-01-31_IDesireTree.mp3", "2002-026_To_Seek_Blessing_Is_a_Sign_Of_Humility_Lecture_-_Radhanath_Swami_Mumbai_2002-01-31_IDesireTree.mp3")</f>
        <v>2002-026_To_Seek_Blessing_Is_a_Sign_Of_Humility_Lecture_-_Radhanath_Swami_Mumbai_2002-01-31_IDesireTree.mp3</v>
      </c>
      <c r="D3246" s="24"/>
      <c r="E3246" s="24"/>
    </row>
    <row r="3247">
      <c r="A3247" s="25" t="s">
        <v>18392</v>
      </c>
      <c r="B3247" s="25" t="s">
        <v>18400</v>
      </c>
      <c r="C3247" s="26" t="str">
        <f>HYPERLINK("https://audio.iskcondesiretree.com/02_-_ISKCON_Swamis/ISKCON_Swamis_-_R_to_Y/His_Holiness_Radhanath_Swami/Lectures/01_-_Theme_wise/Books_are_the_basis/1989-055_Studying_Bhagavatam_SB_07-10-43-44_-_Radhanath_Swami_Mumbai_1989-09-28_IDesireTree.mp3", "1989-055_Studying_Bhagavatam_SB_07-10-43-44_-_Radhanath_Swami_Mumbai_1989-09-28_IDesireTree.mp3")</f>
        <v>1989-055_Studying_Bhagavatam_SB_07-10-43-44_-_Radhanath_Swami_Mumbai_1989-09-28_IDesireTree.mp3</v>
      </c>
      <c r="D3247" s="24"/>
      <c r="E3247" s="24"/>
    </row>
    <row r="3248">
      <c r="A3248" s="25" t="s">
        <v>18392</v>
      </c>
      <c r="B3248" s="25" t="s">
        <v>18400</v>
      </c>
      <c r="C3248" s="26" t="str">
        <f>HYPERLINK("https://audio.iskcondesiretree.com/02_-_ISKCON_Swamis/ISKCON_Swamis_-_R_to_Y/His_Holiness_Radhanath_Swami/Lectures/01_-_Theme_wise/Books_are_the_basis/1996-166_Book_Distribution_Meeting_Lecture_-_Radhanath_Swami_Mumbai_1996-11-03_IDesireTree.mp3", "1996-166_Book_Distribution_Meeting_Lecture_-_Radhanath_Swami_Mumbai_1996-11-03_IDesireTree.mp3")</f>
        <v>1996-166_Book_Distribution_Meeting_Lecture_-_Radhanath_Swami_Mumbai_1996-11-03_IDesireTree.mp3</v>
      </c>
      <c r="D3248" s="24"/>
      <c r="E3248" s="24"/>
    </row>
    <row r="3249">
      <c r="A3249" s="25" t="s">
        <v>18392</v>
      </c>
      <c r="B3249" s="25" t="s">
        <v>18400</v>
      </c>
      <c r="C3249" s="26" t="str">
        <f>HYPERLINK("https://audio.iskcondesiretree.com/02_-_ISKCON_Swamis/ISKCON_Swamis_-_R_to_Y/His_Holiness_Radhanath_Swami/Lectures/01_-_Theme_wise/Books_are_the_basis/1997-012_BTG_Festival_Lecture_-_Radhanath_Swami_Mumbai_1997-01-13_IDesireTree.mp3", "1997-012_BTG_Festival_Lecture_-_Radhanath_Swami_Mumbai_1997-01-13_IDesireTree.mp3")</f>
        <v>1997-012_BTG_Festival_Lecture_-_Radhanath_Swami_Mumbai_1997-01-13_IDesireTree.mp3</v>
      </c>
      <c r="D3249" s="24"/>
      <c r="E3249" s="24"/>
    </row>
    <row r="3250">
      <c r="A3250" s="25" t="s">
        <v>18392</v>
      </c>
      <c r="B3250" s="25" t="s">
        <v>18400</v>
      </c>
      <c r="C3250" s="26" t="str">
        <f>HYPERLINK("https://audio.iskcondesiretree.com/02_-_ISKCON_Swamis/ISKCON_Swamis_-_R_to_Y/His_Holiness_Radhanath_Swami/Lectures/01_-_Theme_wise/Books_are_the_basis/1997-088_Krishna_Book_Reading_Lecture_-_Radhanath_Swami_Mumbai_1997-08-25_IDesireTree.mp3", "1997-088_Krishna_Book_Reading_Lecture_-_Radhanath_Swami_Mumbai_1997-08-25_IDesireTree.mp3")</f>
        <v>1997-088_Krishna_Book_Reading_Lecture_-_Radhanath_Swami_Mumbai_1997-08-25_IDesireTree.mp3</v>
      </c>
      <c r="D3250" s="24"/>
      <c r="E3250" s="24"/>
    </row>
    <row r="3251">
      <c r="A3251" s="25" t="s">
        <v>18392</v>
      </c>
      <c r="B3251" s="25" t="s">
        <v>18400</v>
      </c>
      <c r="C3251" s="26" t="str">
        <f>HYPERLINK("https://audio.iskcondesiretree.com/02_-_ISKCON_Swamis/ISKCON_Swamis_-_R_to_Y/His_Holiness_Radhanath_Swami/Lectures/01_-_Theme_wise/Books_are_the_basis/1999-061_Original_Book_Distribution_BG_07-27_-_Radhanath_Swami_Mumbai_1999-12-12_IDesireTree.mp3", "1999-061_Original_Book_Distribution_BG_07-27_-_Radhanath_Swami_Mumbai_1999-12-12_IDesireTree.mp3")</f>
        <v>1999-061_Original_Book_Distribution_BG_07-27_-_Radhanath_Swami_Mumbai_1999-12-12_IDesireTree.mp3</v>
      </c>
      <c r="D3251" s="24"/>
      <c r="E3251" s="24"/>
    </row>
    <row r="3252">
      <c r="A3252" s="25" t="s">
        <v>18392</v>
      </c>
      <c r="B3252" s="25" t="s">
        <v>18400</v>
      </c>
      <c r="C3252" s="26" t="str">
        <f>HYPERLINK("https://audio.iskcondesiretree.com/02_-_ISKCON_Swamis/ISKCON_Swamis_-_R_to_Y/His_Holiness_Radhanath_Swami/Lectures/01_-_Theme_wise/Books_are_the_basis/2001-069_Book_Distribution_Nectar_Lecture_-_Radhanath_Swami_Mumbai_2001-12-29_IDesireTree.mp3", "2001-069_Book_Distribution_Nectar_Lecture_-_Radhanath_Swami_Mumbai_2001-12-29_IDesireTree.mp3")</f>
        <v>2001-069_Book_Distribution_Nectar_Lecture_-_Radhanath_Swami_Mumbai_2001-12-29_IDesireTree.mp3</v>
      </c>
      <c r="D3252" s="24"/>
      <c r="E3252" s="24"/>
    </row>
    <row r="3253">
      <c r="A3253" s="25" t="s">
        <v>18392</v>
      </c>
      <c r="B3253" s="25" t="s">
        <v>18400</v>
      </c>
      <c r="C3253" s="26" t="str">
        <f>HYPERLINK("https://audio.iskcondesiretree.com/02_-_ISKCON_Swamis/ISKCON_Swamis_-_R_to_Y/His_Holiness_Radhanath_Swami/Lectures/01_-_Theme_wise/Books_are_the_basis/2002-009_Book_Distribution_Of_Address_Lecture_-_Radhanath_Swami_Mumbai_2002-01-10_IDesireTree.mp3", "2002-009_Book_Distribution_Of_Address_Lecture_-_Radhanath_Swami_Mumbai_2002-01-10_IDesireTree.mp3")</f>
        <v>2002-009_Book_Distribution_Of_Address_Lecture_-_Radhanath_Swami_Mumbai_2002-01-10_IDesireTree.mp3</v>
      </c>
      <c r="D3253" s="24"/>
      <c r="E3253" s="24"/>
    </row>
    <row r="3254">
      <c r="A3254" s="25" t="s">
        <v>18392</v>
      </c>
      <c r="B3254" s="25" t="s">
        <v>18401</v>
      </c>
      <c r="C3254" s="26" t="str">
        <f>HYPERLINK("https://audio.iskcondesiretree.com/02_-_ISKCON_Swamis/ISKCON_Swamis_-_R_to_Y/His_Holiness_Radhanath_Swami/Lectures/01_-_Theme_wise/Brahmachari_Training/1989-008_Proper_Behaviour_of_a_Brahmacari_SB_-_Radhanath_Swami_NV_1989-06-27_IDesireTree.mp3", "1989-008_Proper_Behaviour_of_a_Brahmacari_SB_-_Radhanath_Swami_NV_1989-06-27_IDesireTree.mp3")</f>
        <v>1989-008_Proper_Behaviour_of_a_Brahmacari_SB_-_Radhanath_Swami_NV_1989-06-27_IDesireTree.mp3</v>
      </c>
      <c r="D3254" s="24"/>
      <c r="E3254" s="24"/>
    </row>
    <row r="3255">
      <c r="A3255" s="25" t="s">
        <v>18392</v>
      </c>
      <c r="B3255" s="25" t="s">
        <v>18401</v>
      </c>
      <c r="C3255" s="26" t="str">
        <f>HYPERLINK("https://audio.iskcondesiretree.com/02_-_ISKCON_Swamis/ISKCON_Swamis_-_R_to_Y/His_Holiness_Radhanath_Swami/Lectures/01_-_Theme_wise/Brahmachari_Training/1992-111_Lecture_On_Accepting_Saffron_Lecture_-_Radhanath_Swami_Mumbai_1992-09-11_IDesireTree.mp3", "1992-111_Lecture_On_Accepting_Saffron_Lecture_-_Radhanath_Swami_Mumbai_1992-09-11_IDesireTree.mp3")</f>
        <v>1992-111_Lecture_On_Accepting_Saffron_Lecture_-_Radhanath_Swami_Mumbai_1992-09-11_IDesireTree.mp3</v>
      </c>
      <c r="D3255" s="24"/>
      <c r="E3255" s="24"/>
    </row>
    <row r="3256">
      <c r="A3256" s="25" t="s">
        <v>18392</v>
      </c>
      <c r="B3256" s="25" t="s">
        <v>18401</v>
      </c>
      <c r="C3256" s="26" t="str">
        <f>HYPERLINK("https://audio.iskcondesiretree.com/02_-_ISKCON_Swamis/ISKCON_Swamis_-_R_to_Y/His_Holiness_Radhanath_Swami/Lectures/01_-_Theme_wise/Brahmachari_Training/1994-098_Talk_With_Brahmachari%27s_Q%26A_-_Radhanath_Swami_Mumbai_1994-05-25_IDesireTree.mp3", "1994-098_Talk_With_Brahmachari%27s_Q%26A_-_Radhanath_Swami_Mumbai_1994-05-25_IDesireTree.mp3")</f>
        <v>1994-098_Talk_With_Brahmachari%27s_Q%26A_-_Radhanath_Swami_Mumbai_1994-05-25_IDesireTree.mp3</v>
      </c>
      <c r="D3256" s="24"/>
      <c r="E3256" s="24"/>
    </row>
    <row r="3257">
      <c r="A3257" s="25" t="s">
        <v>18392</v>
      </c>
      <c r="B3257" s="25" t="s">
        <v>18401</v>
      </c>
      <c r="C3257" s="26" t="str">
        <f>HYPERLINK("https://audio.iskcondesiretree.com/02_-_ISKCON_Swamis/ISKCON_Swamis_-_R_to_Y/His_Holiness_Radhanath_Swami/Lectures/01_-_Theme_wise/Brahmachari_Training/1994-158_Ishtagoshti_With_Brahmacharis_Q%26A_-_Radhanath_Swami_Mumbai_1994-09-22_IDesireTree.mp3", "1994-158_Ishtagoshti_With_Brahmacharis_Q%26A_-_Radhanath_Swami_Mumbai_1994-09-22_IDesireTree.mp3")</f>
        <v>1994-158_Ishtagoshti_With_Brahmacharis_Q%26A_-_Radhanath_Swami_Mumbai_1994-09-22_IDesireTree.mp3</v>
      </c>
      <c r="D3257" s="24"/>
      <c r="E3257" s="24"/>
    </row>
    <row r="3258">
      <c r="A3258" s="25" t="s">
        <v>18392</v>
      </c>
      <c r="B3258" s="25" t="s">
        <v>18401</v>
      </c>
      <c r="C3258" s="26" t="str">
        <f>HYPERLINK("https://audio.iskcondesiretree.com/02_-_ISKCON_Swamis/ISKCON_Swamis_-_R_to_Y/His_Holiness_Radhanath_Swami/Lectures/01_-_Theme_wise/Brahmachari_Training/1996-070_Saffron_Awarding_Ceremony_Lecture_-_Radhanath_Swami_Mumbai_1996-04-03_IDesireTree.mp3", "1996-070_Saffron_Awarding_Ceremony_Lecture_-_Radhanath_Swami_Mumbai_1996-04-03_IDesireTree.mp3")</f>
        <v>1996-070_Saffron_Awarding_Ceremony_Lecture_-_Radhanath_Swami_Mumbai_1996-04-03_IDesireTree.mp3</v>
      </c>
      <c r="D3258" s="24"/>
      <c r="E3258" s="24"/>
    </row>
    <row r="3259">
      <c r="A3259" s="25" t="s">
        <v>18392</v>
      </c>
      <c r="B3259" s="25" t="s">
        <v>18401</v>
      </c>
      <c r="C3259" s="26" t="str">
        <f>HYPERLINK("https://audio.iskcondesiretree.com/02_-_ISKCON_Swamis/ISKCON_Swamis_-_R_to_Y/His_Holiness_Radhanath_Swami/Lectures/01_-_Theme_wise/Brahmachari_Training/1997-077_Departure_Address_To_Brahmacari_Lecture_-_Radhanath_Swami_Mumbai_1997-05-14_IDesireTree.mp3", "1997-077_Departure_Address_To_Brahmacari_Lecture_-_Radhanath_Swami_Mumbai_1997-05-14_IDesireTree.mp3")</f>
        <v>1997-077_Departure_Address_To_Brahmacari_Lecture_-_Radhanath_Swami_Mumbai_1997-05-14_IDesireTree.mp3</v>
      </c>
      <c r="D3259" s="24"/>
      <c r="E3259" s="24"/>
    </row>
    <row r="3260">
      <c r="A3260" s="25" t="s">
        <v>18392</v>
      </c>
      <c r="B3260" s="25" t="s">
        <v>18401</v>
      </c>
      <c r="C3260" s="26" t="str">
        <f>HYPERLINK("https://audio.iskcondesiretree.com/02_-_ISKCON_Swamis/ISKCON_Swamis_-_R_to_Y/His_Holiness_Radhanath_Swami/Lectures/01_-_Theme_wise/Brahmachari_Training/1998-012_Brahmacari_Class_and_Q%26A_Q%26A_-_Radhanath_Swami_Mumbai_1998-01-30_IDesireTree.mp3", "1998-012_Brahmacari_Class_and_Q%26A_Q%26A_-_Radhanath_Swami_Mumbai_1998-01-30_IDesireTree.mp3")</f>
        <v>1998-012_Brahmacari_Class_and_Q%26A_Q%26A_-_Radhanath_Swami_Mumbai_1998-01-30_IDesireTree.mp3</v>
      </c>
      <c r="D3260" s="24"/>
      <c r="E3260" s="24"/>
    </row>
    <row r="3261">
      <c r="A3261" s="25" t="s">
        <v>18392</v>
      </c>
      <c r="B3261" s="25" t="s">
        <v>18401</v>
      </c>
      <c r="C3261" s="26" t="str">
        <f>HYPERLINK("https://audio.iskcondesiretree.com/02_-_ISKCON_Swamis/ISKCON_Swamis_-_R_to_Y/His_Holiness_Radhanath_Swami/Lectures/01_-_Theme_wise/Brahmachari_Training/1998-066_Address_to_Brahmacaris-_I%26II_Lecture_-_Radhanath_Swami_Mumbai_1998-05-13_IDesireTree.mp3", "1998-066_Address_to_Brahmacaris-_I%26II_Lecture_-_Radhanath_Swami_Mumbai_1998-05-13_IDesireTree.mp3")</f>
        <v>1998-066_Address_to_Brahmacaris-_I%26II_Lecture_-_Radhanath_Swami_Mumbai_1998-05-13_IDesireTree.mp3</v>
      </c>
      <c r="D3261" s="24"/>
      <c r="E3261" s="24"/>
    </row>
    <row r="3262">
      <c r="A3262" s="25" t="s">
        <v>18392</v>
      </c>
      <c r="B3262" s="25" t="s">
        <v>18402</v>
      </c>
      <c r="C3262" s="26" t="str">
        <f>HYPERLINK("https://audio.iskcondesiretree.com/02_-_ISKCON_Swamis/ISKCON_Swamis_-_R_to_Y/His_Holiness_Radhanath_Swami/Lectures/01_-_Theme_wise/Chaitanya_Charithamritha/1991-025_Chaitanya_Charitamrita_Reading_Lecture_-_Radhanath_Swami_Mumbai_1991-02-28_IDesireTree.mp3", "1991-025_Chaitanya_Charitamrita_Reading_Lecture_-_Radhanath_Swami_Mumbai_1991-02-28_IDesireTree.mp3")</f>
        <v>1991-025_Chaitanya_Charitamrita_Reading_Lecture_-_Radhanath_Swami_Mumbai_1991-02-28_IDesireTree.mp3</v>
      </c>
      <c r="D3262" s="24"/>
      <c r="E3262" s="24"/>
    </row>
    <row r="3263">
      <c r="A3263" s="25" t="s">
        <v>18392</v>
      </c>
      <c r="B3263" s="25" t="s">
        <v>18402</v>
      </c>
      <c r="C3263" s="26" t="str">
        <f>HYPERLINK("https://audio.iskcondesiretree.com/02_-_ISKCON_Swamis/ISKCON_Swamis_-_R_to_Y/His_Holiness_Radhanath_Swami/Lectures/01_-_Theme_wise/Chaitanya_Charithamritha/1992-054_The_Highest_Pastimes_CC_01-01-04-22_-_Radhanath_Swami_Mumbai_1992-03-31_IDesireTree.mp3", "1992-054_The_Highest_Pastimes_CC_01-01-04-22_-_Radhanath_Swami_Mumbai_1992-03-31_IDesireTree.mp3")</f>
        <v>1992-054_The_Highest_Pastimes_CC_01-01-04-22_-_Radhanath_Swami_Mumbai_1992-03-31_IDesireTree.mp3</v>
      </c>
      <c r="D3263" s="24"/>
      <c r="E3263" s="24"/>
    </row>
    <row r="3264">
      <c r="A3264" s="25" t="s">
        <v>18392</v>
      </c>
      <c r="B3264" s="25" t="s">
        <v>18402</v>
      </c>
      <c r="C3264" s="26" t="str">
        <f>HYPERLINK("https://audio.iskcondesiretree.com/02_-_ISKCON_Swamis/ISKCON_Swamis_-_R_to_Y/His_Holiness_Radhanath_Swami/Lectures/01_-_Theme_wise/Chaitanya_Charithamritha/Setting_the_Scene-The_Writing_of_Caitanya_Caritamrta_Sunday_Feast_-_Mumbai_04-11-05.mp3", "Setting_the_Scene-The_Writing_of_Caitanya_Caritamrta_Sunday_Feast_-_Mumbai_04-11-05.mp3")</f>
        <v>Setting_the_Scene-The_Writing_of_Caitanya_Caritamrta_Sunday_Feast_-_Mumbai_04-11-05.mp3</v>
      </c>
      <c r="D3264" s="24"/>
      <c r="E3264" s="24"/>
    </row>
    <row r="3265">
      <c r="A3265" s="25" t="s">
        <v>18392</v>
      </c>
      <c r="B3265" s="25" t="s">
        <v>18402</v>
      </c>
      <c r="C3265" s="26" t="str">
        <f>HYPERLINK("https://audio.iskcondesiretree.com/02_-_ISKCON_Swamis/ISKCON_Swamis_-_R_to_Y/His_Holiness_Radhanath_Swami/Lectures/01_-_Theme_wise/Chaitanya_Charithamritha/Srila_Krishnadas_Kaviraj_Goswami_CC_Adi-08_01-02_Mumbai_26-10-93_IDesireTree.mp3", "Srila_Krishnadas_Kaviraj_Goswami_CC_Adi-08_01-02_Mumbai_26-10-93_IDesireTree.mp3")</f>
        <v>Srila_Krishnadas_Kaviraj_Goswami_CC_Adi-08_01-02_Mumbai_26-10-93_IDesireTree.mp3</v>
      </c>
      <c r="D3265" s="24"/>
      <c r="E3265" s="24"/>
    </row>
    <row r="3266">
      <c r="A3266" s="25" t="s">
        <v>18392</v>
      </c>
      <c r="B3266" s="25" t="s">
        <v>18403</v>
      </c>
      <c r="C3266" s="26" t="str">
        <f>HYPERLINK("https://audio.iskcondesiretree.com/02_-_ISKCON_Swamis/ISKCON_Swamis_-_R_to_Y/His_Holiness_Radhanath_Swami/Lectures/01_-_Theme_wise/Charity/1989-013_Charity_BG_15-18_-_Radhanath_Swami_Mumbai_1989-07-16_IDesireTree.mp3", "1989-013_Charity_BG_15-18_-_Radhanath_Swami_Mumbai_1989-07-16_IDesireTree.mp3")</f>
        <v>1989-013_Charity_BG_15-18_-_Radhanath_Swami_Mumbai_1989-07-16_IDesireTree.mp3</v>
      </c>
      <c r="D3266" s="24"/>
      <c r="E3266" s="24"/>
    </row>
    <row r="3267">
      <c r="A3267" s="25" t="s">
        <v>18392</v>
      </c>
      <c r="B3267" s="25" t="s">
        <v>18403</v>
      </c>
      <c r="C3267" s="26" t="str">
        <f>HYPERLINK("https://audio.iskcondesiretree.com/02_-_ISKCON_Swamis/ISKCON_Swamis_-_R_to_Y/His_Holiness_Radhanath_Swami/Lectures/01_-_Theme_wise/Charity/1990-007_Greatest_charity_to_others_Lecture_-_Radhanath_Swami_Mumbai_1990-01-14_IDesireTree.mp3", "1990-007_Greatest_charity_to_others_Lecture_-_Radhanath_Swami_Mumbai_1990-01-14_IDesireTree.mp3")</f>
        <v>1990-007_Greatest_charity_to_others_Lecture_-_Radhanath_Swami_Mumbai_1990-01-14_IDesireTree.mp3</v>
      </c>
      <c r="D3267" s="24"/>
      <c r="E3267" s="24"/>
    </row>
    <row r="3268">
      <c r="A3268" s="25" t="s">
        <v>18392</v>
      </c>
      <c r="B3268" s="25" t="s">
        <v>18404</v>
      </c>
      <c r="C3268" s="26" t="str">
        <f>HYPERLINK("https://audio.iskcondesiretree.com/02_-_ISKCON_Swamis/ISKCON_Swamis_-_R_to_Y/His_Holiness_Radhanath_Swami/Lectures/01_-_Theme_wise/Chastity/1991-057_The_Importance_Of_Chastity_SB_09-10-24-27_-_Radhanath_Swami_Mumbai_1991-05-06_IDesireTree.mp3", "1991-057_The_Importance_Of_Chastity_SB_09-10-24-27_-_Radhanath_Swami_Mumbai_1991-05-06_IDesireTree.mp3")</f>
        <v>1991-057_The_Importance_Of_Chastity_SB_09-10-24-27_-_Radhanath_Swami_Mumbai_1991-05-06_IDesireTree.mp3</v>
      </c>
      <c r="D3268" s="24"/>
      <c r="E3268" s="24"/>
    </row>
    <row r="3269">
      <c r="A3269" s="25" t="s">
        <v>18392</v>
      </c>
      <c r="B3269" s="25" t="s">
        <v>18405</v>
      </c>
      <c r="C3269" s="26" t="str">
        <f>HYPERLINK("https://audio.iskcondesiretree.com/02_-_ISKCON_Swamis/ISKCON_Swamis_-_R_to_Y/His_Holiness_Radhanath_Swami/Lectures/01_-_Theme_wise/Compassion/1989-046_Not_Bad_Not_Mad_But_Sick_Lecture_-_Radhanath_Swami_Mumbai_1989-09-23_IDesireTree.mp3", "1989-046_Not_Bad_Not_Mad_But_Sick_Lecture_-_Radhanath_Swami_Mumbai_1989-09-23_IDesireTree.mp3")</f>
        <v>1989-046_Not_Bad_Not_Mad_But_Sick_Lecture_-_Radhanath_Swami_Mumbai_1989-09-23_IDesireTree.mp3</v>
      </c>
      <c r="D3269" s="24"/>
      <c r="E3269" s="24"/>
    </row>
    <row r="3270">
      <c r="A3270" s="25" t="s">
        <v>18392</v>
      </c>
      <c r="B3270" s="25" t="s">
        <v>18405</v>
      </c>
      <c r="C3270" s="26" t="str">
        <f>HYPERLINK("https://audio.iskcondesiretree.com/02_-_ISKCON_Swamis/ISKCON_Swamis_-_R_to_Y/His_Holiness_Radhanath_Swami/Lectures/01_-_Theme_wise/Compassion/1992-132_Love_And_Compassion_SB_06-10-08-10_-_Radhanath_Swami_Mumbai_1992-11-28_IDesireTree.mp3", "1992-132_Love_And_Compassion_SB_06-10-08-10_-_Radhanath_Swami_Mumbai_1992-11-28_IDesireTree.mp3")</f>
        <v>1992-132_Love_And_Compassion_SB_06-10-08-10_-_Radhanath_Swami_Mumbai_1992-11-28_IDesireTree.mp3</v>
      </c>
      <c r="D3270" s="24"/>
      <c r="E3270" s="24"/>
    </row>
    <row r="3271">
      <c r="A3271" s="25" t="s">
        <v>18392</v>
      </c>
      <c r="B3271" s="25" t="s">
        <v>18405</v>
      </c>
      <c r="C3271" s="26" t="str">
        <f>HYPERLINK("https://audio.iskcondesiretree.com/02_-_ISKCON_Swamis/ISKCON_Swamis_-_R_to_Y/His_Holiness_Radhanath_Swami/Lectures/01_-_Theme_wise/Compassion/1994-076_Compassion_Of_Haridas_Thakur_BG_02-15_-_Radhanath_Swami_Mumbai_1994-05-08_IDesireTree.mp3", "1994-076_Compassion_Of_Haridas_Thakur_BG_02-15_-_Radhanath_Swami_Mumbai_1994-05-08_IDesireTree.mp3")</f>
        <v>1994-076_Compassion_Of_Haridas_Thakur_BG_02-15_-_Radhanath_Swami_Mumbai_1994-05-08_IDesireTree.mp3</v>
      </c>
      <c r="D3271" s="24"/>
      <c r="E3271" s="24"/>
    </row>
    <row r="3272">
      <c r="A3272" s="25" t="s">
        <v>18392</v>
      </c>
      <c r="B3272" s="25" t="s">
        <v>18405</v>
      </c>
      <c r="C3272" s="26" t="str">
        <f>HYPERLINK("https://audio.iskcondesiretree.com/02_-_ISKCON_Swamis/ISKCON_Swamis_-_R_to_Y/His_Holiness_Radhanath_Swami/Lectures/01_-_Theme_wise/Compassion/1995-032_Compassion_Exemplified_SB_01-07-45-47_-_Radhanath_Swami_Mumbai_1995-01-22.mp3", "1995-032_Compassion_Exemplified_SB_01-07-45-47_-_Radhanath_Swami_Mumbai_1995-01-22.mp3")</f>
        <v>1995-032_Compassion_Exemplified_SB_01-07-45-47_-_Radhanath_Swami_Mumbai_1995-01-22.mp3</v>
      </c>
      <c r="D3272" s="24"/>
      <c r="E3272" s="24"/>
    </row>
    <row r="3273">
      <c r="A3273" s="25" t="s">
        <v>18392</v>
      </c>
      <c r="B3273" s="25" t="s">
        <v>18405</v>
      </c>
      <c r="C3273" s="26" t="str">
        <f>HYPERLINK("https://audio.iskcondesiretree.com/02_-_ISKCON_Swamis/ISKCON_Swamis_-_R_to_Y/His_Holiness_Radhanath_Swami/Lectures/01_-_Theme_wise/Compassion/1997-035_Preach_With_Compassion_Lecture_-_Radhanath_Swami_Mumbai_1997-02-09_IDesireTree.mp3", "1997-035_Preach_With_Compassion_Lecture_-_Radhanath_Swami_Mumbai_1997-02-09_IDesireTree.mp3")</f>
        <v>1997-035_Preach_With_Compassion_Lecture_-_Radhanath_Swami_Mumbai_1997-02-09_IDesireTree.mp3</v>
      </c>
      <c r="D3273" s="24"/>
      <c r="E3273" s="24"/>
    </row>
    <row r="3274">
      <c r="A3274" s="25" t="s">
        <v>18392</v>
      </c>
      <c r="B3274" s="25" t="s">
        <v>18405</v>
      </c>
      <c r="C3274" s="26" t="str">
        <f>HYPERLINK("https://audio.iskcondesiretree.com/02_-_ISKCON_Swamis/ISKCON_Swamis_-_R_to_Y/His_Holiness_Radhanath_Swami/Lectures/01_-_Theme_wise/Compassion/1997-080_Compassionate_Nature_of_Devotees_Lecture_-_Radhanath_Swami_London_IDesireTree.mp3", "1997-080_Compassionate_Nature_of_Devotees_Lecture_-_Radhanath_Swami_London_IDesireTree.mp3")</f>
        <v>1997-080_Compassionate_Nature_of_Devotees_Lecture_-_Radhanath_Swami_London_IDesireTree.mp3</v>
      </c>
      <c r="D3274" s="24"/>
      <c r="E3274" s="24"/>
    </row>
    <row r="3275">
      <c r="A3275" s="25" t="s">
        <v>18392</v>
      </c>
      <c r="B3275" s="25" t="s">
        <v>18405</v>
      </c>
      <c r="C3275" s="26" t="str">
        <f>HYPERLINK("https://audio.iskcondesiretree.com/02_-_ISKCON_Swamis/ISKCON_Swamis_-_R_to_Y/His_Holiness_Radhanath_Swami/Lectures/01_-_Theme_wise/Compassion/2000-063_Genuine_Compassion_Please_Krishna_SB_03-29-26_-_Radhanath_Swam_Mumbaii_2000-09-030_IDesireTree.mp3", "2000-063_Genuine_Compassion_Please_Krishna_SB_03-29-26_-_Radhanath_Swam_Mumbaii_2000-09-030_IDesireTree.mp3")</f>
        <v>2000-063_Genuine_Compassion_Please_Krishna_SB_03-29-26_-_Radhanath_Swam_Mumbaii_2000-09-030_IDesireTree.mp3</v>
      </c>
      <c r="D3275" s="24"/>
      <c r="E3275" s="24"/>
    </row>
    <row r="3276">
      <c r="A3276" s="25" t="s">
        <v>18392</v>
      </c>
      <c r="B3276" s="25" t="s">
        <v>18405</v>
      </c>
      <c r="C3276" s="26" t="str">
        <f>HYPERLINK("https://audio.iskcondesiretree.com/02_-_ISKCON_Swamis/ISKCON_Swamis_-_R_to_Y/His_Holiness_Radhanath_Swami/Lectures/01_-_Theme_wise/Compassion/2000_SB-03-29-06_Real_Compassion_is_Done_in_the_mood_-_Radhanath_Swami_2000-08-09_IDesireTree.mp3", "2000_SB-03-29-06_Real_Compassion_is_Done_in_the_mood_-_Radhanath_Swami_2000-08-09_IDesireTree.mp3")</f>
        <v>2000_SB-03-29-06_Real_Compassion_is_Done_in_the_mood_-_Radhanath_Swami_2000-08-09_IDesireTree.mp3</v>
      </c>
      <c r="D3276" s="24"/>
      <c r="E3276" s="24"/>
    </row>
    <row r="3277">
      <c r="A3277" s="25" t="s">
        <v>18392</v>
      </c>
      <c r="B3277" s="25" t="s">
        <v>18405</v>
      </c>
      <c r="C3277" s="26" t="str">
        <f>HYPERLINK("https://audio.iskcondesiretree.com/02_-_ISKCON_Swamis/ISKCON_Swamis_-_R_to_Y/His_Holiness_Radhanath_Swami/Lectures/01_-_Theme_wise/Compassion/2002-038_quality_Of_Compassion_that_Decorates_Devotee_Lecture_-_Radhanath_Swami_Mumbai_2002-02-17_IDesireTree.mp3", "2002-038_quality_Of_Compassion_that_Decorates_Devotee_Lecture_-_Radhanath_Swami_Mumbai_2002-02-17_IDesireTree.mp3")</f>
        <v>2002-038_quality_Of_Compassion_that_Decorates_Devotee_Lecture_-_Radhanath_Swami_Mumbai_2002-02-17_IDesireTree.mp3</v>
      </c>
      <c r="D3277" s="24"/>
      <c r="E3277" s="24"/>
    </row>
    <row r="3278">
      <c r="A3278" s="25" t="s">
        <v>18392</v>
      </c>
      <c r="B3278" s="25" t="s">
        <v>18405</v>
      </c>
      <c r="C3278" s="26" t="str">
        <f>HYPERLINK("https://audio.iskcondesiretree.com/02_-_ISKCON_Swamis/ISKCON_Swamis_-_R_to_Y/His_Holiness_Radhanath_Swami/Lectures/01_-_Theme_wise/Compassion/2003-013_Compassion_Melts_Heart_SB_06-01-01_-_Radhanath_Swami_Mumbai_2003-03-17_IDesireTree.mp3", "2003-013_Compassion_Melts_Heart_SB_06-01-01_-_Radhanath_Swami_Mumbai_2003-03-17_IDesireTree.mp3")</f>
        <v>2003-013_Compassion_Melts_Heart_SB_06-01-01_-_Radhanath_Swami_Mumbai_2003-03-17_IDesireTree.mp3</v>
      </c>
      <c r="D3278" s="24"/>
      <c r="E3278" s="24"/>
    </row>
    <row r="3279">
      <c r="A3279" s="25" t="s">
        <v>18392</v>
      </c>
      <c r="B3279" s="25" t="s">
        <v>18405</v>
      </c>
      <c r="C3279" s="26" t="str">
        <f>HYPERLINK("https://audio.iskcondesiretree.com/02_-_ISKCON_Swamis/ISKCON_Swamis_-_R_to_Y/His_Holiness_Radhanath_Swami/Lectures/01_-_Theme_wise/Compassion/2003-059_Being_Compassionate_to_all_Living_Entities_Lecture_-_Radhanath_Swami_Mumbai_2003-08-31_IDesireTree.mp3", "2003-059_Being_Compassionate_to_all_Living_Entities_Lecture_-_Radhanath_Swami_Mumbai_2003-08-31_IDesireTree.mp3")</f>
        <v>2003-059_Being_Compassionate_to_all_Living_Entities_Lecture_-_Radhanath_Swami_Mumbai_2003-08-31_IDesireTree.mp3</v>
      </c>
      <c r="D3279" s="24"/>
      <c r="E3279" s="24"/>
    </row>
    <row r="3280">
      <c r="A3280" s="25" t="s">
        <v>18392</v>
      </c>
      <c r="B3280" s="25" t="s">
        <v>18405</v>
      </c>
      <c r="C3280" s="26" t="str">
        <f>HYPERLINK("https://audio.iskcondesiretree.com/02_-_ISKCON_Swamis/ISKCON_Swamis_-_R_to_Y/His_Holiness_Radhanath_Swami/Lectures/01_-_Theme_wise/Compassion/2003_Being_Compassionate_to_All_Living_Entities_Lecture_-_Radhanath_Swami_Mumbai_2003-08-31_IDesireTree.mp3", "2003_Being_Compassionate_to_All_Living_Entities_Lecture_-_Radhanath_Swami_Mumbai_2003-08-31_IDesireTree.mp3")</f>
        <v>2003_Being_Compassionate_to_All_Living_Entities_Lecture_-_Radhanath_Swami_Mumbai_2003-08-31_IDesireTree.mp3</v>
      </c>
      <c r="D3280" s="24"/>
      <c r="E3280" s="24"/>
    </row>
    <row r="3281">
      <c r="A3281" s="25" t="s">
        <v>18392</v>
      </c>
      <c r="B3281" s="25" t="s">
        <v>18405</v>
      </c>
      <c r="C3281" s="26" t="str">
        <f>HYPERLINK("https://audio.iskcondesiretree.com/02_-_ISKCON_Swamis/ISKCON_Swamis_-_R_to_Y/His_Holiness_Radhanath_Swami/Lectures/01_-_Theme_wise/Compassion/2004_A_Sadhu_is_Tolerant_and_Compassionate_SB_06-05-43_-_Radhanath_Swami_New_Vrindavan_2004-05-08_IDesireTree.mp3", "2004_A_Sadhu_is_Tolerant_and_Compassionate_SB_06-05-43_-_Radhanath_Swami_New_Vrindavan_2004-05-08_IDesireTree.mp3")</f>
        <v>2004_A_Sadhu_is_Tolerant_and_Compassionate_SB_06-05-43_-_Radhanath_Swami_New_Vrindavan_2004-05-08_IDesireTree.mp3</v>
      </c>
      <c r="D3281" s="24"/>
      <c r="E3281" s="24"/>
    </row>
    <row r="3282">
      <c r="A3282" s="25" t="s">
        <v>18392</v>
      </c>
      <c r="B3282" s="25" t="s">
        <v>18405</v>
      </c>
      <c r="C3282" s="26" t="str">
        <f>HYPERLINK("https://audio.iskcondesiretree.com/02_-_ISKCON_Swamis/ISKCON_Swamis_-_R_to_Y/His_Holiness_Radhanath_Swami/Lectures/01_-_Theme_wise/Compassion/2004_Becoming_Instrument_of_Real_Compassion_SB_04-27-11_-_Radhanath_Swami_Mumbai_2004-01-17_IDesireTree.mp3", "2004_Becoming_Instrument_of_Real_Compassion_SB_04-27-11_-_Radhanath_Swami_Mumbai_2004-01-17_IDesireTree.mp3")</f>
        <v>2004_Becoming_Instrument_of_Real_Compassion_SB_04-27-11_-_Radhanath_Swami_Mumbai_2004-01-17_IDesireTree.mp3</v>
      </c>
      <c r="D3282" s="24"/>
      <c r="E3282" s="24"/>
    </row>
    <row r="3283">
      <c r="A3283" s="25" t="s">
        <v>18392</v>
      </c>
      <c r="B3283" s="25" t="s">
        <v>18405</v>
      </c>
      <c r="C3283" s="26" t="str">
        <f>HYPERLINK("https://audio.iskcondesiretree.com/02_-_ISKCON_Swamis/ISKCON_Swamis_-_R_to_Y/His_Holiness_Radhanath_Swami/Lectures/01_-_Theme_wise/Compassion/2004_Showing_Real_Compassion_Through_Preaching_SB_04-31-19_-_Radhanath_Swami_Mumbai_2004-10-17IDesireTree.mp3", "2004_Showing_Real_Compassion_Through_Preaching_SB_04-31-19_-_Radhanath_Swami_Mumbai_2004-10-17IDesireTree.mp3")</f>
        <v>2004_Showing_Real_Compassion_Through_Preaching_SB_04-31-19_-_Radhanath_Swami_Mumbai_2004-10-17IDesireTree.mp3</v>
      </c>
      <c r="D3283" s="24"/>
      <c r="E3283" s="24"/>
    </row>
    <row r="3284">
      <c r="A3284" s="25" t="s">
        <v>18392</v>
      </c>
      <c r="B3284" s="25" t="s">
        <v>18405</v>
      </c>
      <c r="C3284" s="26" t="str">
        <f>HYPERLINK("https://audio.iskcondesiretree.com/02_-_ISKCON_Swamis/ISKCON_Swamis_-_R_to_Y/His_Holiness_Radhanath_Swami/Lectures/01_-_Theme_wise/Compassion/2005_Compassion_of_Lord_Shiva_SB_05-17-17-19_-_Radhanath_Swami_Mumbai_2005-12-18_IDesireTree.MP3", "2005_Compassion_of_Lord_Shiva_SB_05-17-17-19_-_Radhanath_Swami_Mumbai_2005-12-18_IDesireTree.MP3")</f>
        <v>2005_Compassion_of_Lord_Shiva_SB_05-17-17-19_-_Radhanath_Swami_Mumbai_2005-12-18_IDesireTree.MP3</v>
      </c>
      <c r="D3284" s="24"/>
      <c r="E3284" s="24"/>
    </row>
    <row r="3285">
      <c r="A3285" s="25" t="s">
        <v>18392</v>
      </c>
      <c r="B3285" s="25" t="s">
        <v>18405</v>
      </c>
      <c r="C3285" s="26" t="str">
        <f>HYPERLINK("https://audio.iskcondesiretree.com/02_-_ISKCON_Swamis/ISKCON_Swamis_-_R_to_Y/His_Holiness_Radhanath_Swami/Lectures/01_-_Theme_wise/Compassion/2007_From_Passion_To_Compassion-Prerna_Festival_-_Radhanath_Swami_and_Giriraj_Swami_2007-12-15_IDesireTree.mp3", "2007_From_Passion_To_Compassion-Prerna_Festival_-_Radhanath_Swami_and_Giriraj_Swami_2007-12-15_IDesireTree.mp3")</f>
        <v>2007_From_Passion_To_Compassion-Prerna_Festival_-_Radhanath_Swami_and_Giriraj_Swami_2007-12-15_IDesireTree.mp3</v>
      </c>
      <c r="D3285" s="24"/>
      <c r="E3285" s="24"/>
    </row>
    <row r="3286">
      <c r="A3286" s="25" t="s">
        <v>18392</v>
      </c>
      <c r="B3286" s="25" t="s">
        <v>18405</v>
      </c>
      <c r="C3286" s="26" t="str">
        <f>HYPERLINK("https://audio.iskcondesiretree.com/02_-_ISKCON_Swamis/ISKCON_Swamis_-_R_to_Y/His_Holiness_Radhanath_Swami/Lectures/01_-_Theme_wise/Compassion/Compassion-The_Real_Spirit_of_Renunciation_SB-05-01-25-26_-_Mumbai_28-11-04_IDesireTree.mp3", "Compassion-The_Real_Spirit_of_Renunciation_SB-05-01-25-26_-_Mumbai_28-11-04_IDesireTree.mp3")</f>
        <v>Compassion-The_Real_Spirit_of_Renunciation_SB-05-01-25-26_-_Mumbai_28-11-04_IDesireTree.mp3</v>
      </c>
      <c r="D3286" s="24"/>
      <c r="E3286" s="24"/>
    </row>
    <row r="3287">
      <c r="A3287" s="25" t="s">
        <v>18392</v>
      </c>
      <c r="B3287" s="25" t="s">
        <v>18405</v>
      </c>
      <c r="C3287" s="26" t="str">
        <f>HYPERLINK("https://audio.iskcondesiretree.com/02_-_ISKCON_Swamis/ISKCON_Swamis_-_R_to_Y/His_Holiness_Radhanath_Swami/Lectures/01_-_Theme_wise/Compassion/Preachers_Must_Have_Compassionate_Heart_like_Vidura_SB-04-31-30-31_-_Mumbai_30-10-04_IDesireTree.mp3", "Preachers_Must_Have_Compassionate_Heart_like_Vidura_SB-04-31-30-31_-_Mumbai_30-10-04_IDesireTree.mp3")</f>
        <v>Preachers_Must_Have_Compassionate_Heart_like_Vidura_SB-04-31-30-31_-_Mumbai_30-10-04_IDesireTree.mp3</v>
      </c>
      <c r="D3287" s="24"/>
      <c r="E3287" s="24"/>
    </row>
    <row r="3288">
      <c r="A3288" s="25" t="s">
        <v>18392</v>
      </c>
      <c r="B3288" s="25" t="s">
        <v>18405</v>
      </c>
      <c r="C3288" s="26" t="str">
        <f>HYPERLINK("https://audio.iskcondesiretree.com/02_-_ISKCON_Swamis/ISKCON_Swamis_-_R_to_Y/His_Holiness_Radhanath_Swami/Lectures/01_-_Theme_wise/Compassion/SB-03-29-06_Real_Compassion_is_Done_in_the_mood_-_09.08.00_IDesireTree.mp3", "SB-03-29-06_Real_Compassion_is_Done_in_the_mood_-_09.08.00_IDesireTree.mp3")</f>
        <v>SB-03-29-06_Real_Compassion_is_Done_in_the_mood_-_09.08.00_IDesireTree.mp3</v>
      </c>
      <c r="D3288" s="24"/>
      <c r="E3288" s="24"/>
    </row>
    <row r="3289">
      <c r="A3289" s="25" t="s">
        <v>18392</v>
      </c>
      <c r="B3289" s="25" t="s">
        <v>18405</v>
      </c>
      <c r="C3289" s="26" t="str">
        <f>HYPERLINK("https://audio.iskcondesiretree.com/02_-_ISKCON_Swamis/ISKCON_Swamis_-_R_to_Y/His_Holiness_Radhanath_Swami/Lectures/01_-_Theme_wise/Compassion/Showing_Real_Compassion_Thru_Preaching_SB-04-31-19_-_Mumbai_17-10-04_IDesireTree.mp3", "Showing_Real_Compassion_Thru_Preaching_SB-04-31-19_-_Mumbai_17-10-04_IDesireTree.mp3")</f>
        <v>Showing_Real_Compassion_Thru_Preaching_SB-04-31-19_-_Mumbai_17-10-04_IDesireTree.mp3</v>
      </c>
      <c r="D3289" s="24"/>
      <c r="E3289" s="24"/>
    </row>
    <row r="3290">
      <c r="A3290" s="25" t="s">
        <v>18392</v>
      </c>
      <c r="B3290" s="25" t="s">
        <v>18406</v>
      </c>
      <c r="C3290" s="26" t="str">
        <f>HYPERLINK("https://audio.iskcondesiretree.com/02_-_ISKCON_Swamis/ISKCON_Swamis_-_R_to_Y/His_Holiness_Radhanath_Swami/Lectures/01_-_Theme_wise/Conflict_Resolution/2001-016_Establishing_Unity_In_Diversity_SB_04-01-04_-_Radhanath_Swami_Mumbai_2001-03-03_IDesireTree.mp3", "2001-016_Establishing_Unity_In_Diversity_SB_04-01-04_-_Radhanath_Swami_Mumbai_2001-03-03_IDesireTree.mp3")</f>
        <v>2001-016_Establishing_Unity_In_Diversity_SB_04-01-04_-_Radhanath_Swami_Mumbai_2001-03-03_IDesireTree.mp3</v>
      </c>
      <c r="D3290" s="24"/>
      <c r="E3290" s="24"/>
    </row>
    <row r="3291">
      <c r="A3291" s="25" t="s">
        <v>18392</v>
      </c>
      <c r="B3291" s="25" t="s">
        <v>18406</v>
      </c>
      <c r="C3291" s="26" t="str">
        <f>HYPERLINK("https://audio.iskcondesiretree.com/02_-_ISKCON_Swamis/ISKCON_Swamis_-_R_to_Y/His_Holiness_Radhanath_Swami/Lectures/01_-_Theme_wise/Conflict_Resolution/2002-103_Conflict_resolution_Lecture_-_Radhanath_Swami_Mumbai_2002-10-17_IDesireTree.mp3", "2002-103_Conflict_resolution_Lecture_-_Radhanath_Swami_Mumbai_2002-10-17_IDesireTree.mp3")</f>
        <v>2002-103_Conflict_resolution_Lecture_-_Radhanath_Swami_Mumbai_2002-10-17_IDesireTree.mp3</v>
      </c>
      <c r="D3291" s="24"/>
      <c r="E3291" s="24"/>
    </row>
    <row r="3292">
      <c r="A3292" s="25" t="s">
        <v>18392</v>
      </c>
      <c r="B3292" s="25" t="s">
        <v>18407</v>
      </c>
      <c r="C3292" s="26" t="str">
        <f>HYPERLINK("https://audio.iskcondesiretree.com/02_-_ISKCON_Swamis/ISKCON_Swamis_-_R_to_Y/His_Holiness_Radhanath_Swami/Lectures/01_-_Theme_wise/Cultural_Activities/1996-128_On_Dramas_Lecture_-_Radhanath_Swami_Mumbai_1996-09-09_IDesireTree.mp3", "1996-128_On_Dramas_Lecture_-_Radhanath_Swami_Mumbai_1996-09-09_IDesireTree.mp3")</f>
        <v>1996-128_On_Dramas_Lecture_-_Radhanath_Swami_Mumbai_1996-09-09_IDesireTree.mp3</v>
      </c>
      <c r="D3292" s="24"/>
      <c r="E3292" s="24"/>
    </row>
    <row r="3293">
      <c r="A3293" s="25" t="s">
        <v>18392</v>
      </c>
      <c r="B3293" s="25" t="s">
        <v>18407</v>
      </c>
      <c r="C3293" s="26" t="str">
        <f>HYPERLINK("https://audio.iskcondesiretree.com/02_-_ISKCON_Swamis/ISKCON_Swamis_-_R_to_Y/His_Holiness_Radhanath_Swami/Lectures/01_-_Theme_wise/Cultural_Activities/2000-088_Drama_Realisation_Lecture_-_Radhanath_Swami_Mumbai_2000-11-10_IDesireTree.mp3", "2000-088_Drama_Realisation_Lecture_-_Radhanath_Swami_Mumbai_2000-11-10_IDesireTree.mp3")</f>
        <v>2000-088_Drama_Realisation_Lecture_-_Radhanath_Swami_Mumbai_2000-11-10_IDesireTree.mp3</v>
      </c>
      <c r="D3293" s="24"/>
      <c r="E3293" s="24"/>
    </row>
    <row r="3294">
      <c r="A3294" s="25" t="s">
        <v>18392</v>
      </c>
      <c r="B3294" s="25" t="s">
        <v>18407</v>
      </c>
      <c r="C3294" s="26" t="str">
        <f>HYPERLINK("https://audio.iskcondesiretree.com/02_-_ISKCON_Swamis/ISKCON_Swamis_-_R_to_Y/His_Holiness_Radhanath_Swami/Lectures/01_-_Theme_wise/Cultural_Activities/2001-053_Drama_Realisation_Lec_Lecture_-_Radhanath_Swami_Mumbai_2001-12-01_IDesireTree.mp3", "2001-053_Drama_Realisation_Lec_Lecture_-_Radhanath_Swami_Mumbai_2001-12-01_IDesireTree.mp3")</f>
        <v>2001-053_Drama_Realisation_Lec_Lecture_-_Radhanath_Swami_Mumbai_2001-12-01_IDesireTree.mp3</v>
      </c>
      <c r="D3294" s="24"/>
      <c r="E3294" s="24"/>
    </row>
    <row r="3295">
      <c r="A3295" s="25" t="s">
        <v>18392</v>
      </c>
      <c r="B3295" s="25" t="s">
        <v>18407</v>
      </c>
      <c r="C3295" s="26" t="str">
        <f>HYPERLINK("https://audio.iskcondesiretree.com/02_-_ISKCON_Swamis/ISKCON_Swamis_-_R_to_Y/His_Holiness_Radhanath_Swami/Lectures/01_-_Theme_wise/Cultural_Activities/2002-121_Drama_Realisation_Lecture_-_Radhanath_Swami_Mumbai_2002-12-05_IDesireTree.mp3", "2002-121_Drama_Realisation_Lecture_-_Radhanath_Swami_Mumbai_2002-12-05_IDesireTree.mp3")</f>
        <v>2002-121_Drama_Realisation_Lecture_-_Radhanath_Swami_Mumbai_2002-12-05_IDesireTree.mp3</v>
      </c>
      <c r="D3295" s="24"/>
      <c r="E3295" s="24"/>
    </row>
    <row r="3296">
      <c r="A3296" s="25" t="s">
        <v>18392</v>
      </c>
      <c r="B3296" s="25" t="s">
        <v>18407</v>
      </c>
      <c r="C3296" s="26" t="str">
        <f>HYPERLINK("https://audio.iskcondesiretree.com/02_-_ISKCON_Swamis/ISKCON_Swamis_-_R_to_Y/His_Holiness_Radhanath_Swami/Lectures/01_-_Theme_wise/Cultural_Activities/2003-005_Tamal_Tree_Plantation_Ceremony_Lecture_-_Radhanath_Swami_Mumbai_2003-01-07_IDesireTree.mp3", "2003-005_Tamal_Tree_Plantation_Ceremony_Lecture_-_Radhanath_Swami_Mumbai_2003-01-07_IDesireTree.mp3")</f>
        <v>2003-005_Tamal_Tree_Plantation_Ceremony_Lecture_-_Radhanath_Swami_Mumbai_2003-01-07_IDesireTree.mp3</v>
      </c>
      <c r="D3296" s="24"/>
      <c r="E3296" s="24"/>
    </row>
    <row r="3297">
      <c r="A3297" s="25" t="s">
        <v>18392</v>
      </c>
      <c r="B3297" s="25" t="s">
        <v>18408</v>
      </c>
      <c r="C3297" s="26" t="str">
        <f>HYPERLINK("https://audio.iskcondesiretree.com/02_-_ISKCON_Swamis/ISKCON_Swamis_-_R_to_Y/His_Holiness_Radhanath_Swami/Lectures/01_-_Theme_wise/Death/1989-051_Preparing_For_Death_SB_07-10-39_-_Radhanath_Swami_Mumbai_1989-09-25_IDesireTree.mp3", "1989-051_Preparing_For_Death_SB_07-10-39_-_Radhanath_Swami_Mumbai_1989-09-25_IDesireTree.mp3")</f>
        <v>1989-051_Preparing_For_Death_SB_07-10-39_-_Radhanath_Swami_Mumbai_1989-09-25_IDesireTree.mp3</v>
      </c>
      <c r="D3297" s="24"/>
      <c r="E3297" s="24"/>
    </row>
    <row r="3298">
      <c r="A3298" s="25" t="s">
        <v>18392</v>
      </c>
      <c r="B3298" s="25" t="s">
        <v>18408</v>
      </c>
      <c r="C3298" s="26" t="str">
        <f>HYPERLINK("https://audio.iskcondesiretree.com/02_-_ISKCON_Swamis/ISKCON_Swamis_-_R_to_Y/His_Holiness_Radhanath_Swami/Lectures/01_-_Theme_wise/Death/1989-063_Will_You_Be_A_Kitten_Or_Rat_BG_11-36_-_Radhanath_Swami_Mumbai_1989-10-05_IDesireTree.mp3", "1989-063_Will_You_Be_A_Kitten_Or_Rat_BG_11-36_-_Radhanath_Swami_Mumbai_1989-10-05_IDesireTree.mp3")</f>
        <v>1989-063_Will_You_Be_A_Kitten_Or_Rat_BG_11-36_-_Radhanath_Swami_Mumbai_1989-10-05_IDesireTree.mp3</v>
      </c>
      <c r="D3298" s="24"/>
      <c r="E3298" s="24"/>
    </row>
    <row r="3299">
      <c r="A3299" s="25" t="s">
        <v>18392</v>
      </c>
      <c r="B3299" s="25" t="s">
        <v>18408</v>
      </c>
      <c r="C3299" s="26" t="str">
        <f>HYPERLINK("https://audio.iskcondesiretree.com/02_-_ISKCON_Swamis/ISKCON_Swamis_-_R_to_Y/His_Holiness_Radhanath_Swami/Lectures/01_-_Theme_wise/Death/1991-048_Life_After_Death_Lecture_-_Radhanath_Swami_Mumbai_1991-05-12_IDesireTree.mp3", "1991-048_Life_After_Death_Lecture_-_Radhanath_Swami_Mumbai_1991-05-12_IDesireTree.mp3")</f>
        <v>1991-048_Life_After_Death_Lecture_-_Radhanath_Swami_Mumbai_1991-05-12_IDesireTree.mp3</v>
      </c>
      <c r="D3299" s="24"/>
      <c r="E3299" s="24"/>
    </row>
    <row r="3300">
      <c r="A3300" s="25" t="s">
        <v>18392</v>
      </c>
      <c r="B3300" s="25" t="s">
        <v>18408</v>
      </c>
      <c r="C3300" s="26" t="str">
        <f>HYPERLINK("https://audio.iskcondesiretree.com/02_-_ISKCON_Swamis/ISKCON_Swamis_-_R_to_Y/His_Holiness_Radhanath_Swami/Lectures/01_-_Theme_wise/Death/1991-086_Death_Is_the_End_Lecture_-_Radhanath_Swami_Mumbai_1991-10-02_IDesireTree.mp3", "1991-086_Death_Is_the_End_Lecture_-_Radhanath_Swami_Mumbai_1991-10-02_IDesireTree.mp3")</f>
        <v>1991-086_Death_Is_the_End_Lecture_-_Radhanath_Swami_Mumbai_1991-10-02_IDesireTree.mp3</v>
      </c>
      <c r="D3300" s="24"/>
      <c r="E3300" s="24"/>
    </row>
    <row r="3301">
      <c r="A3301" s="25" t="s">
        <v>18392</v>
      </c>
      <c r="B3301" s="25" t="s">
        <v>18408</v>
      </c>
      <c r="C3301" s="26" t="str">
        <f>HYPERLINK("https://audio.iskcondesiretree.com/02_-_ISKCON_Swamis/ISKCON_Swamis_-_R_to_Y/His_Holiness_Radhanath_Swami/Lectures/01_-_Theme_wise/Death/1991-105_Death_Is_Sure_Sir_SB_10-01-36_-_Radhanath_Swami_Mumbai_1991-10-29_IDesireTree.mp3", "1991-105_Death_Is_Sure_Sir_SB_10-01-36_-_Radhanath_Swami_Mumbai_1991-10-29_IDesireTree.mp3")</f>
        <v>1991-105_Death_Is_Sure_Sir_SB_10-01-36_-_Radhanath_Swami_Mumbai_1991-10-29_IDesireTree.mp3</v>
      </c>
      <c r="D3301" s="24"/>
      <c r="E3301" s="24"/>
    </row>
    <row r="3302">
      <c r="A3302" s="25" t="s">
        <v>18392</v>
      </c>
      <c r="B3302" s="25" t="s">
        <v>18408</v>
      </c>
      <c r="C3302" s="26" t="str">
        <f>HYPERLINK("https://audio.iskcondesiretree.com/02_-_ISKCON_Swamis/ISKCON_Swamis_-_R_to_Y/His_Holiness_Radhanath_Swami/Lectures/01_-_Theme_wise/Death/1991-107_Parikshit%27s_Enquiry_Before_Death_SB_01-19-24_-_Radhanath_Swami_Mumbai_1991-10-29_IDesireTree.mp3", "1991-107_Parikshit%27s_Enquiry_Before_Death_SB_01-19-24_-_Radhanath_Swami_Mumbai_1991-10-29_IDesireTree.mp3")</f>
        <v>1991-107_Parikshit%27s_Enquiry_Before_Death_SB_01-19-24_-_Radhanath_Swami_Mumbai_1991-10-29_IDesireTree.mp3</v>
      </c>
      <c r="D3302" s="24"/>
      <c r="E3302" s="24"/>
    </row>
    <row r="3303">
      <c r="A3303" s="25" t="s">
        <v>18392</v>
      </c>
      <c r="B3303" s="25" t="s">
        <v>18408</v>
      </c>
      <c r="C3303" s="26" t="str">
        <f>HYPERLINK("https://audio.iskcondesiretree.com/02_-_ISKCON_Swamis/ISKCON_Swamis_-_R_to_Y/His_Holiness_Radhanath_Swami/Lectures/01_-_Theme_wise/Death/1991-109_When_Death_Comes_SB_10-01-42_-_Radhanath_Swami_Mumbai_1991-10-30_IDesireTree.mp3", "1991-109_When_Death_Comes_SB_10-01-42_-_Radhanath_Swami_Mumbai_1991-10-30_IDesireTree.mp3")</f>
        <v>1991-109_When_Death_Comes_SB_10-01-42_-_Radhanath_Swami_Mumbai_1991-10-30_IDesireTree.mp3</v>
      </c>
      <c r="D3303" s="24"/>
      <c r="E3303" s="24"/>
    </row>
    <row r="3304">
      <c r="A3304" s="25" t="s">
        <v>18392</v>
      </c>
      <c r="B3304" s="25" t="s">
        <v>18408</v>
      </c>
      <c r="C3304" s="26" t="str">
        <f>HYPERLINK("https://audio.iskcondesiretree.com/02_-_ISKCON_Swamis/ISKCON_Swamis_-_R_to_Y/His_Holiness_Radhanath_Swami/Lectures/01_-_Theme_wise/Death/1993-006_We_Are_Like_Puppets_In_The_Hands_Of_Death_SB_12-03-01-08_-_Radhanath_Swami_Mumbai_1993-01-09_IDesireTree.mp3", "1993-006_We_Are_Like_Puppets_In_The_Hands_Of_Death_SB_12-03-01-08_-_Radhanath_Swami_Mumbai_1993-01-09_IDesireTree.mp3")</f>
        <v>1993-006_We_Are_Like_Puppets_In_The_Hands_Of_Death_SB_12-03-01-08_-_Radhanath_Swami_Mumbai_1993-01-09_IDesireTree.mp3</v>
      </c>
      <c r="D3304" s="24"/>
      <c r="E3304" s="24"/>
    </row>
    <row r="3305">
      <c r="A3305" s="25" t="s">
        <v>18392</v>
      </c>
      <c r="B3305" s="25" t="s">
        <v>18408</v>
      </c>
      <c r="C3305" s="26" t="str">
        <f>HYPERLINK("https://audio.iskcondesiretree.com/02_-_ISKCON_Swamis/ISKCON_Swamis_-_R_to_Y/His_Holiness_Radhanath_Swami/Lectures/01_-_Theme_wise/Death/1993-019_Death_Means_Eternal_Life_SB_10-20-47-48_-_Radhanath_Swami_Mumbai_1993-01-18_IDesireTree.mp3", "1993-019_Death_Means_Eternal_Life_SB_10-20-47-48_-_Radhanath_Swami_Mumbai_1993-01-18_IDesireTree.mp3")</f>
        <v>1993-019_Death_Means_Eternal_Life_SB_10-20-47-48_-_Radhanath_Swami_Mumbai_1993-01-18_IDesireTree.mp3</v>
      </c>
      <c r="D3305" s="24"/>
      <c r="E3305" s="24"/>
    </row>
    <row r="3306">
      <c r="A3306" s="25" t="s">
        <v>18392</v>
      </c>
      <c r="B3306" s="25" t="s">
        <v>18408</v>
      </c>
      <c r="C3306" s="26" t="str">
        <f>HYPERLINK("https://audio.iskcondesiretree.com/02_-_ISKCON_Swamis/ISKCON_Swamis_-_R_to_Y/His_Holiness_Radhanath_Swami/Lectures/01_-_Theme_wise/Death/1993-067_Death_Is_Knocking_At_The_Door_SB_01-15-21_-_Radhanath_Swami_Mumbai_1993-04-25_IDesireTree.mp3", "1993-067_Death_Is_Knocking_At_The_Door_SB_01-15-21_-_Radhanath_Swami_Mumbai_1993-04-25_IDesireTree.mp3")</f>
        <v>1993-067_Death_Is_Knocking_At_The_Door_SB_01-15-21_-_Radhanath_Swami_Mumbai_1993-04-25_IDesireTree.mp3</v>
      </c>
      <c r="D3306" s="24"/>
      <c r="E3306" s="24"/>
    </row>
    <row r="3307">
      <c r="A3307" s="25" t="s">
        <v>18392</v>
      </c>
      <c r="B3307" s="25" t="s">
        <v>18408</v>
      </c>
      <c r="C3307" s="26" t="str">
        <f>HYPERLINK("https://audio.iskcondesiretree.com/02_-_ISKCON_Swamis/ISKCON_Swamis_-_R_to_Y/His_Holiness_Radhanath_Swami/Lectures/01_-_Theme_wise/Death/1993-088_Preparing_For_Final_Test_SB_01-19-15_-_Radhanath_Swami_1993-05-19_IDesireTree.mp3", "1993-088_Preparing_For_Final_Test_SB_01-19-15_-_Radhanath_Swami_1993-05-19_IDesireTree.mp3")</f>
        <v>1993-088_Preparing_For_Final_Test_SB_01-19-15_-_Radhanath_Swami_1993-05-19_IDesireTree.mp3</v>
      </c>
      <c r="D3307" s="24"/>
      <c r="E3307" s="24"/>
    </row>
    <row r="3308">
      <c r="A3308" s="25" t="s">
        <v>18392</v>
      </c>
      <c r="B3308" s="25" t="s">
        <v>18408</v>
      </c>
      <c r="C3308" s="26" t="str">
        <f>HYPERLINK("https://audio.iskcondesiretree.com/02_-_ISKCON_Swamis/ISKCON_Swamis_-_R_to_Y/His_Holiness_Radhanath_Swami/Lectures/01_-_Theme_wise/Death/1993-131_Lord_Krsna_In_the_Form_of_Death_SB_10-45-45-50_-_Radhanath_Swami_Mumbai_1993-09-25_IDesireTree.mp3", "1993-131_Lord_Krsna_In_the_Form_of_Death_SB_10-45-45-50_-_Radhanath_Swami_Mumbai_1993-09-25_IDesireTree.mp3")</f>
        <v>1993-131_Lord_Krsna_In_the_Form_of_Death_SB_10-45-45-50_-_Radhanath_Swami_Mumbai_1993-09-25_IDesireTree.mp3</v>
      </c>
      <c r="D3308" s="24"/>
      <c r="E3308" s="24"/>
    </row>
    <row r="3309">
      <c r="A3309" s="25" t="s">
        <v>18392</v>
      </c>
      <c r="B3309" s="25" t="s">
        <v>18408</v>
      </c>
      <c r="C3309" s="26" t="str">
        <f>HYPERLINK("https://audio.iskcondesiretree.com/02_-_ISKCON_Swamis/ISKCON_Swamis_-_R_to_Y/His_Holiness_Radhanath_Swami/Lectures/01_-_Theme_wise/Death/1996-001_Quit_Home_Timely_SB_01-15-44_-_Radhanath_Swami_Mumbai_1996-01-01.mp3", "1996-001_Quit_Home_Timely_SB_01-15-44_-_Radhanath_Swami_Mumbai_1996-01-01.mp3")</f>
        <v>1996-001_Quit_Home_Timely_SB_01-15-44_-_Radhanath_Swami_Mumbai_1996-01-01.mp3</v>
      </c>
      <c r="D3309" s="24"/>
      <c r="E3309" s="24"/>
    </row>
    <row r="3310">
      <c r="A3310" s="25" t="s">
        <v>18392</v>
      </c>
      <c r="B3310" s="25" t="s">
        <v>18409</v>
      </c>
      <c r="C3310" s="26" t="str">
        <f>HYPERLINK("https://audio.iskcondesiretree.com/02_-_ISKCON_Swamis/ISKCON_Swamis_-_R_to_Y/His_Holiness_Radhanath_Swami/Lectures/01_-_Theme_wise/Deity_Worship/1991-001_Worshiping_diety_Lecture_-_Radhanath_Swami_Mumbai_1991-01-10_IDesireTree.mp3", "1991-001_Worshiping_diety_Lecture_-_Radhanath_Swami_Mumbai_1991-01-10_IDesireTree.mp3")</f>
        <v>1991-001_Worshiping_diety_Lecture_-_Radhanath_Swami_Mumbai_1991-01-10_IDesireTree.mp3</v>
      </c>
      <c r="D3310" s="24"/>
      <c r="E3310" s="24"/>
    </row>
    <row r="3311">
      <c r="A3311" s="25" t="s">
        <v>18392</v>
      </c>
      <c r="B3311" s="25" t="s">
        <v>18409</v>
      </c>
      <c r="C3311" s="26" t="str">
        <f>HYPERLINK("https://audio.iskcondesiretree.com/02_-_ISKCON_Swamis/ISKCON_Swamis_-_R_to_Y/His_Holiness_Radhanath_Swami/Lectures/01_-_Theme_wise/Deity_Worship/1992-092_Grihastha_Ashrama_and_Deity_Worship_BG-07-07_-_Radhanath_Swami_Mumbai_1992-08-27_IDesireTree.mp3", "1992-092_Grihastha_Ashrama_and_Deity_Worship_BG-07-07_-_Radhanath_Swami_Mumbai_1992-08-27_IDesireTree.mp3")</f>
        <v>1992-092_Grihastha_Ashrama_and_Deity_Worship_BG-07-07_-_Radhanath_Swami_Mumbai_1992-08-27_IDesireTree.mp3</v>
      </c>
      <c r="D3311" s="24"/>
      <c r="E3311" s="24"/>
    </row>
    <row r="3312">
      <c r="A3312" s="25" t="s">
        <v>18392</v>
      </c>
      <c r="B3312" s="25" t="s">
        <v>18409</v>
      </c>
      <c r="C3312" s="26" t="str">
        <f>HYPERLINK("https://audio.iskcondesiretree.com/02_-_ISKCON_Swamis/ISKCON_Swamis_-_R_to_Y/His_Holiness_Radhanath_Swami/Lectures/01_-_Theme_wise/Deity_Worship/1993-033_Meditation_On_Aarati_Lecture_-_Radhanath_Swami_Mumbai_1993-03-29_IDesireTree.mp3", "1993-033_Meditation_On_Aarati_Lecture_-_Radhanath_Swami_Mumbai_1993-03-29_IDesireTree.mp3")</f>
        <v>1993-033_Meditation_On_Aarati_Lecture_-_Radhanath_Swami_Mumbai_1993-03-29_IDesireTree.mp3</v>
      </c>
      <c r="D3312" s="24"/>
      <c r="E3312" s="24"/>
    </row>
    <row r="3313">
      <c r="A3313" s="25" t="s">
        <v>18392</v>
      </c>
      <c r="B3313" s="25" t="s">
        <v>18409</v>
      </c>
      <c r="C3313" s="26" t="str">
        <f>HYPERLINK("https://audio.iskcondesiretree.com/02_-_ISKCON_Swamis/ISKCON_Swamis_-_R_to_Y/His_Holiness_Radhanath_Swami/Lectures/01_-_Theme_wise/Deity_Worship/1996-009_Importance_Of_Deity_Worship_BG_07-18_-_Radhanath_Swami_Mumbai_1996-01-05.mp3", "1996-009_Importance_Of_Deity_Worship_BG_07-18_-_Radhanath_Swami_Mumbai_1996-01-05.mp3")</f>
        <v>1996-009_Importance_Of_Deity_Worship_BG_07-18_-_Radhanath_Swami_Mumbai_1996-01-05.mp3</v>
      </c>
      <c r="D3313" s="24"/>
      <c r="E3313" s="24"/>
    </row>
    <row r="3314">
      <c r="A3314" s="25" t="s">
        <v>18392</v>
      </c>
      <c r="B3314" s="25" t="s">
        <v>18409</v>
      </c>
      <c r="C3314" s="26" t="str">
        <f>HYPERLINK("https://audio.iskcondesiretree.com/02_-_ISKCON_Swamis/ISKCON_Swamis_-_R_to_Y/His_Holiness_Radhanath_Swami/Lectures/01_-_Theme_wise/Deity_Worship/1996-138_Gaura_Nitai_Deity_Welcoming_Lecture_-_Radhanath_Swami_Pune_1996-09-23_IDesireTree.mp3", "1996-138_Gaura_Nitai_Deity_Welcoming_Lecture_-_Radhanath_Swami_Pune_1996-09-23_IDesireTree.mp3")</f>
        <v>1996-138_Gaura_Nitai_Deity_Welcoming_Lecture_-_Radhanath_Swami_Pune_1996-09-23_IDesireTree.mp3</v>
      </c>
      <c r="D3314" s="24"/>
      <c r="E3314" s="24"/>
    </row>
    <row r="3315">
      <c r="A3315" s="25" t="s">
        <v>18392</v>
      </c>
      <c r="B3315" s="25" t="s">
        <v>18409</v>
      </c>
      <c r="C3315" s="26" t="str">
        <f>HYPERLINK("https://audio.iskcondesiretree.com/02_-_ISKCON_Swamis/ISKCON_Swamis_-_R_to_Y/His_Holiness_Radhanath_Swami/Lectures/01_-_Theme_wise/Deity_Worship/1998-013_Gaura_Nitai_Deity_Welcoming_Lecture_-_Radhanath_Swami_Mumbai_1998-01-30_IDesireTree.mp3", "1998-013_Gaura_Nitai_Deity_Welcoming_Lecture_-_Radhanath_Swami_Mumbai_1998-01-30_IDesireTree.mp3")</f>
        <v>1998-013_Gaura_Nitai_Deity_Welcoming_Lecture_-_Radhanath_Swami_Mumbai_1998-01-30_IDesireTree.mp3</v>
      </c>
      <c r="D3315" s="24"/>
      <c r="E3315" s="24"/>
    </row>
    <row r="3316">
      <c r="A3316" s="25" t="s">
        <v>18392</v>
      </c>
      <c r="B3316" s="25" t="s">
        <v>18409</v>
      </c>
      <c r="C3316" s="26" t="str">
        <f>HYPERLINK("https://audio.iskcondesiretree.com/02_-_ISKCON_Swamis/ISKCON_Swamis_-_R_to_Y/His_Holiness_Radhanath_Swami/Lectures/01_-_Theme_wise/Deity_Worship/1999-043_Eager_and_Enthusiastic_to_Serve_the_Deity_Lecture_-_Radhanath_Swami_Mumbai_1999-07-18_IDesireTree.mp3", "1999-043_Eager_and_Enthusiastic_to_Serve_the_Deity_Lecture_-_Radhanath_Swami_Mumbai_1999-07-18_IDesireTree.mp3")</f>
        <v>1999-043_Eager_and_Enthusiastic_to_Serve_the_Deity_Lecture_-_Radhanath_Swami_Mumbai_1999-07-18_IDesireTree.mp3</v>
      </c>
      <c r="D3316" s="24"/>
      <c r="E3316" s="24"/>
    </row>
    <row r="3317">
      <c r="A3317" s="25" t="s">
        <v>18392</v>
      </c>
      <c r="B3317" s="25" t="s">
        <v>18409</v>
      </c>
      <c r="C3317" s="26" t="str">
        <f>HYPERLINK("https://audio.iskcondesiretree.com/02_-_ISKCON_Swamis/ISKCON_Swamis_-_R_to_Y/His_Holiness_Radhanath_Swami/Lectures/01_-_Theme_wise/Deity_Worship/2000_SB-03-29-16_Properly_Worshipping_the_Deity-01_-_Radhanath_Swami_2000-08-19_IDesireTree.mp3", "2000_SB-03-29-16_Properly_Worshipping_the_Deity-01_-_Radhanath_Swami_2000-08-19_IDesireTree.mp3")</f>
        <v>2000_SB-03-29-16_Properly_Worshipping_the_Deity-01_-_Radhanath_Swami_2000-08-19_IDesireTree.mp3</v>
      </c>
      <c r="D3317" s="24"/>
      <c r="E3317" s="24"/>
    </row>
    <row r="3318">
      <c r="A3318" s="25" t="s">
        <v>18392</v>
      </c>
      <c r="B3318" s="25" t="s">
        <v>18409</v>
      </c>
      <c r="C3318" s="26" t="str">
        <f>HYPERLINK("https://audio.iskcondesiretree.com/02_-_ISKCON_Swamis/ISKCON_Swamis_-_R_to_Y/His_Holiness_Radhanath_Swami/Lectures/01_-_Theme_wise/Deity_Worship/2000_SB-03-29-16_Properly_Worshipping_the_Deity-02_-_Radhanath_Swami_2000-08-19_IDesireTree.mp3", "2000_SB-03-29-16_Properly_Worshipping_the_Deity-02_-_Radhanath_Swami_2000-08-19_IDesireTree.mp3")</f>
        <v>2000_SB-03-29-16_Properly_Worshipping_the_Deity-02_-_Radhanath_Swami_2000-08-19_IDesireTree.mp3</v>
      </c>
      <c r="D3318" s="24"/>
      <c r="E3318" s="24"/>
    </row>
    <row r="3319">
      <c r="A3319" s="25" t="s">
        <v>18392</v>
      </c>
      <c r="B3319" s="25" t="s">
        <v>18409</v>
      </c>
      <c r="C3319" s="26" t="str">
        <f>HYPERLINK("https://audio.iskcondesiretree.com/02_-_ISKCON_Swamis/ISKCON_Swamis_-_R_to_Y/His_Holiness_Radhanath_Swami/Lectures/01_-_Theme_wise/Deity_Worship/2002-024_Deity_Welcoming_Address_Lecture_-_Radhanath_Swami_Mumbai_2002-01-29_IDesireTree.mp3", "2002-024_Deity_Welcoming_Address_Lecture_-_Radhanath_Swami_Mumbai_2002-01-29_IDesireTree.mp3")</f>
        <v>2002-024_Deity_Welcoming_Address_Lecture_-_Radhanath_Swami_Mumbai_2002-01-29_IDesireTree.mp3</v>
      </c>
      <c r="D3319" s="24"/>
      <c r="E3319" s="24"/>
    </row>
    <row r="3320">
      <c r="A3320" s="25" t="s">
        <v>18392</v>
      </c>
      <c r="B3320" s="25" t="s">
        <v>18409</v>
      </c>
      <c r="C3320" s="26" t="str">
        <f>HYPERLINK("https://audio.iskcondesiretree.com/02_-_ISKCON_Swamis/ISKCON_Swamis_-_R_to_Y/His_Holiness_Radhanath_Swami/Lectures/01_-_Theme_wise/Deity_Worship/2003-006_Deity_Welcoming_Lecture_-_Radhanath_Swami_Mumbai_2003-02-07_IDesireTree.mp3", "2003-006_Deity_Welcoming_Lecture_-_Radhanath_Swami_Mumbai_2003-02-07_IDesireTree.mp3")</f>
        <v>2003-006_Deity_Welcoming_Lecture_-_Radhanath_Swami_Mumbai_2003-02-07_IDesireTree.mp3</v>
      </c>
      <c r="D3320" s="24"/>
      <c r="E3320" s="24"/>
    </row>
    <row r="3321">
      <c r="A3321" s="25" t="s">
        <v>18392</v>
      </c>
      <c r="B3321" s="25" t="s">
        <v>18409</v>
      </c>
      <c r="C3321" s="26" t="str">
        <f>HYPERLINK("https://audio.iskcondesiretree.com/02_-_ISKCON_Swamis/ISKCON_Swamis_-_R_to_Y/His_Holiness_Radhanath_Swami/Lectures/01_-_Theme_wise/Deity_Worship/2004_The_Right_Mood_for_Deity_Worship_SB_03-29-16_-_Radhanath_Swami_Los_Angeles_2004-07-18_IDesireTree.mp3", "2004_The_Right_Mood_for_Deity_Worship_SB_03-29-16_-_Radhanath_Swami_Los_Angeles_2004-07-18_IDesireTree.mp3")</f>
        <v>2004_The_Right_Mood_for_Deity_Worship_SB_03-29-16_-_Radhanath_Swami_Los_Angeles_2004-07-18_IDesireTree.mp3</v>
      </c>
      <c r="D3321" s="24"/>
      <c r="E3321" s="24"/>
    </row>
    <row r="3322">
      <c r="A3322" s="25" t="s">
        <v>18392</v>
      </c>
      <c r="B3322" s="25" t="s">
        <v>18409</v>
      </c>
      <c r="C3322" s="26" t="str">
        <f>HYPERLINK("https://audio.iskcondesiretree.com/02_-_ISKCON_Swamis/ISKCON_Swamis_-_R_to_Y/His_Holiness_Radhanath_Swami/Lectures/01_-_Theme_wise/Deity_Worship/2005_Lalita_Vishaka_Installation_Evening_Class_-_Radhanath_Swami_Mumbai_2005-04-02_IDesireTree.mp3", "2005_Lalita_Vishaka_Installation_Evening_Class_-_Radhanath_Swami_Mumbai_2005-04-02_IDesireTree.mp3")</f>
        <v>2005_Lalita_Vishaka_Installation_Evening_Class_-_Radhanath_Swami_Mumbai_2005-04-02_IDesireTree.mp3</v>
      </c>
      <c r="D3322" s="24"/>
      <c r="E3322" s="24"/>
    </row>
    <row r="3323">
      <c r="A3323" s="25" t="s">
        <v>18392</v>
      </c>
      <c r="B3323" s="25" t="s">
        <v>18409</v>
      </c>
      <c r="C3323" s="26" t="str">
        <f>HYPERLINK("https://audio.iskcondesiretree.com/02_-_ISKCON_Swamis/ISKCON_Swamis_-_R_to_Y/His_Holiness_Radhanath_Swami/Lectures/01_-_Theme_wise/Deity_Worship/Sri_Bhasya_Compiled_and_Deity_Worship_Established_-_Radhanath_Swami_IDesireTree.mp3", "Sri_Bhasya_Compiled_and_Deity_Worship_Established_-_Radhanath_Swami_IDesireTree.mp3")</f>
        <v>Sri_Bhasya_Compiled_and_Deity_Worship_Established_-_Radhanath_Swami_IDesireTree.mp3</v>
      </c>
      <c r="D3323" s="24"/>
      <c r="E3323" s="24"/>
    </row>
    <row r="3324">
      <c r="A3324" s="25" t="s">
        <v>18392</v>
      </c>
      <c r="B3324" s="25" t="s">
        <v>18409</v>
      </c>
      <c r="C3324" s="26" t="str">
        <f>HYPERLINK("https://audio.iskcondesiretree.com/02_-_ISKCON_Swamis/ISKCON_Swamis_-_R_to_Y/His_Holiness_Radhanath_Swami/Lectures/01_-_Theme_wise/Deity_Worship/The_Installation_of_Sri_Panca_Tattva_-_Sunday_Feast_-_New_Vrindavan_16-05-04_IDesireTree.mp3", "The_Installation_of_Sri_Panca_Tattva_-_Sunday_Feast_-_New_Vrindavan_16-05-04_IDesireTree.mp3")</f>
        <v>The_Installation_of_Sri_Panca_Tattva_-_Sunday_Feast_-_New_Vrindavan_16-05-04_IDesireTree.mp3</v>
      </c>
      <c r="D3324" s="24"/>
      <c r="E3324" s="24"/>
    </row>
    <row r="3325">
      <c r="A3325" s="25" t="s">
        <v>18392</v>
      </c>
      <c r="B3325" s="25" t="s">
        <v>18410</v>
      </c>
      <c r="C3325" s="26" t="str">
        <f>HYPERLINK("https://audio.iskcondesiretree.com/02_-_ISKCON_Swamis/ISKCON_Swamis_-_R_to_Y/His_Holiness_Radhanath_Swami/Lectures/01_-_Theme_wise/Demigods/1990-069_The_Perfect_Worship_Of_Lord_Ganesh_BG_02-45_-_Radhanath_Swami_Mumbai_1990-08-26_IDesireTree.mp3", "1990-069_The_Perfect_Worship_Of_Lord_Ganesh_BG_02-45_-_Radhanath_Swami_Mumbai_1990-08-26_IDesireTree.mp3")</f>
        <v>1990-069_The_Perfect_Worship_Of_Lord_Ganesh_BG_02-45_-_Radhanath_Swami_Mumbai_1990-08-26_IDesireTree.mp3</v>
      </c>
      <c r="D3325" s="24"/>
      <c r="E3325" s="24"/>
    </row>
    <row r="3326">
      <c r="A3326" s="25" t="s">
        <v>18392</v>
      </c>
      <c r="B3326" s="25" t="s">
        <v>18410</v>
      </c>
      <c r="C3326" s="26" t="str">
        <f>HYPERLINK("https://audio.iskcondesiretree.com/02_-_ISKCON_Swamis/ISKCON_Swamis_-_R_to_Y/His_Holiness_Radhanath_Swami/Lectures/01_-_Theme_wise/Demigods/1991-067_Man_And_Demigods_SB_09-13-11_-_Radhanath_Swami_Mumbai_1991-06-02_IDesireTree.mp3", "1991-067_Man_And_Demigods_SB_09-13-11_-_Radhanath_Swami_Mumbai_1991-06-02_IDesireTree.mp3")</f>
        <v>1991-067_Man_And_Demigods_SB_09-13-11_-_Radhanath_Swami_Mumbai_1991-06-02_IDesireTree.mp3</v>
      </c>
      <c r="D3326" s="24"/>
      <c r="E3326" s="24"/>
    </row>
    <row r="3327">
      <c r="A3327" s="25" t="s">
        <v>18392</v>
      </c>
      <c r="B3327" s="25" t="s">
        <v>18410</v>
      </c>
      <c r="C3327" s="26" t="str">
        <f>HYPERLINK("https://audio.iskcondesiretree.com/02_-_ISKCON_Swamis/ISKCON_Swamis_-_R_to_Y/His_Holiness_Radhanath_Swami/Lectures/01_-_Theme_wise/Demigods/1992-110_Demigod_Worship_SB_06-03-12_-_Radhanath_Swami_Mumbai_1992-09-11_IDesireTree.mp3", "1992-110_Demigod_Worship_SB_06-03-12_-_Radhanath_Swami_Mumbai_1992-09-11_IDesireTree.mp3")</f>
        <v>1992-110_Demigod_Worship_SB_06-03-12_-_Radhanath_Swami_Mumbai_1992-09-11_IDesireTree.mp3</v>
      </c>
      <c r="D3327" s="24"/>
      <c r="E3327" s="24"/>
    </row>
    <row r="3328">
      <c r="A3328" s="25" t="s">
        <v>18392</v>
      </c>
      <c r="B3328" s="25" t="s">
        <v>18410</v>
      </c>
      <c r="C3328" s="26" t="str">
        <f>HYPERLINK("https://audio.iskcondesiretree.com/02_-_ISKCON_Swamis/ISKCON_Swamis_-_R_to_Y/His_Holiness_Radhanath_Swami/Lectures/01_-_Theme_wise/Demigods/1993-122_Respecting_Demigods_SB_10-34-10-15_-_Radhanath_Swami_1993-06-19_IDesireTree.mp3", "1993-122_Respecting_Demigods_SB_10-34-10-15_-_Radhanath_Swami_1993-06-19_IDesireTree.mp3")</f>
        <v>1993-122_Respecting_Demigods_SB_10-34-10-15_-_Radhanath_Swami_1993-06-19_IDesireTree.mp3</v>
      </c>
      <c r="D3328" s="24"/>
      <c r="E3328" s="24"/>
    </row>
    <row r="3329">
      <c r="A3329" s="25" t="s">
        <v>18392</v>
      </c>
      <c r="B3329" s="25" t="s">
        <v>18410</v>
      </c>
      <c r="C3329" s="26" t="str">
        <f>HYPERLINK("https://audio.iskcondesiretree.com/02_-_ISKCON_Swamis/ISKCON_Swamis_-_R_to_Y/His_Holiness_Radhanath_Swami/Lectures/01_-_Theme_wise/Demigods/1994-117_Role_Of_Durga_Devi_SB_01-03-34_-_Radhanath_Swami_Mumbai_1994-08-29_IDesireTree.mp3", "1994-117_Role_Of_Durga_Devi_SB_01-03-34_-_Radhanath_Swami_Mumbai_1994-08-29_IDesireTree.mp3")</f>
        <v>1994-117_Role_Of_Durga_Devi_SB_01-03-34_-_Radhanath_Swami_Mumbai_1994-08-29_IDesireTree.mp3</v>
      </c>
      <c r="D3329" s="24"/>
      <c r="E3329" s="24"/>
    </row>
    <row r="3330">
      <c r="A3330" s="25" t="s">
        <v>18392</v>
      </c>
      <c r="B3330" s="25" t="s">
        <v>18410</v>
      </c>
      <c r="C3330" s="26" t="str">
        <f>HYPERLINK("https://audio.iskcondesiretree.com/02_-_ISKCON_Swamis/ISKCON_Swamis_-_R_to_Y/His_Holiness_Radhanath_Swami/Lectures/01_-_Theme_wise/Demigods/1994-136_Proper_Worship_Of_Demigods_SB_08-06-09_-_Radhanath_Swami_Mumbai_1994-09-09_IDesireTree.mp3", "1994-136_Proper_Worship_Of_Demigods_SB_08-06-09_-_Radhanath_Swami_Mumbai_1994-09-09_IDesireTree.mp3")</f>
        <v>1994-136_Proper_Worship_Of_Demigods_SB_08-06-09_-_Radhanath_Swami_Mumbai_1994-09-09_IDesireTree.mp3</v>
      </c>
      <c r="D3330" s="24"/>
      <c r="E3330" s="24"/>
    </row>
    <row r="3331">
      <c r="A3331" s="25" t="s">
        <v>18392</v>
      </c>
      <c r="B3331" s="25" t="s">
        <v>18410</v>
      </c>
      <c r="C3331" s="26" t="str">
        <f>HYPERLINK("https://audio.iskcondesiretree.com/02_-_ISKCON_Swamis/ISKCON_Swamis_-_R_to_Y/His_Holiness_Radhanath_Swami/Lectures/01_-_Theme_wise/Demigods/1996-154_Demigods_And_Story_Of_Keshav_Kashmiri_HT_-_BG_09-23_-_Radhanath_Swami_Mumbai_1996-10-16_IDesireTree.mp3", "1996-154_Demigods_And_Story_Of_Keshav_Kashmiri_HT_-_BG_09-23_-_Radhanath_Swami_Mumbai_1996-10-16_IDesireTree.mp3")</f>
        <v>1996-154_Demigods_And_Story_Of_Keshav_Kashmiri_HT_-_BG_09-23_-_Radhanath_Swami_Mumbai_1996-10-16_IDesireTree.mp3</v>
      </c>
      <c r="D3331" s="24"/>
      <c r="E3331" s="24"/>
    </row>
    <row r="3332">
      <c r="A3332" s="25" t="s">
        <v>18392</v>
      </c>
      <c r="B3332" s="25" t="s">
        <v>18410</v>
      </c>
      <c r="C3332" s="26" t="str">
        <f>HYPERLINK("https://audio.iskcondesiretree.com/02_-_ISKCON_Swamis/ISKCON_Swamis_-_R_to_Y/His_Holiness_Radhanath_Swami/Lectures/01_-_Theme_wise/Demigods/1997-114_Honour_Demigods_But_Worship_Only_Krishna_SB_03-02-31-32_-_Radhanath_Swami_1997-10-04_IDesireTree.mp3", "1997-114_Honour_Demigods_But_Worship_Only_Krishna_SB_03-02-31-32_-_Radhanath_Swami_1997-10-04_IDesireTree.mp3")</f>
        <v>1997-114_Honour_Demigods_But_Worship_Only_Krishna_SB_03-02-31-32_-_Radhanath_Swami_1997-10-04_IDesireTree.mp3</v>
      </c>
      <c r="D3332" s="24"/>
      <c r="E3332" s="24"/>
    </row>
    <row r="3333">
      <c r="A3333" s="25" t="s">
        <v>18392</v>
      </c>
      <c r="B3333" s="25" t="s">
        <v>18410</v>
      </c>
      <c r="C3333" s="26" t="str">
        <f>HYPERLINK("https://audio.iskcondesiretree.com/02_-_ISKCON_Swamis/ISKCON_Swamis_-_R_to_Y/His_Holiness_Radhanath_Swami/Lectures/01_-_Theme_wise/Demigods/1998-014_Pleasing_Demigods_SB_03-05-49_-_Radhanath_Swami_Mumbai_1998-01-31_IDesireTree.mp3", "1998-014_Pleasing_Demigods_SB_03-05-49_-_Radhanath_Swami_Mumbai_1998-01-31_IDesireTree.mp3")</f>
        <v>1998-014_Pleasing_Demigods_SB_03-05-49_-_Radhanath_Swami_Mumbai_1998-01-31_IDesireTree.mp3</v>
      </c>
      <c r="D3333" s="24"/>
      <c r="E3333" s="24"/>
    </row>
    <row r="3334">
      <c r="A3334" s="25" t="s">
        <v>18392</v>
      </c>
      <c r="B3334" s="25" t="s">
        <v>18410</v>
      </c>
      <c r="C3334" s="26" t="str">
        <f>HYPERLINK("https://audio.iskcondesiretree.com/02_-_ISKCON_Swamis/ISKCON_Swamis_-_R_to_Y/His_Holiness_Radhanath_Swami/Lectures/01_-_Theme_wise/Demigods/1998-081_Demigods_Depend_on_Krishna_SB_03-05-37-38_-_Radhanath_Swami_Mumbai_1998-08-15_IDesireTree.mp3", "1998-081_Demigods_Depend_on_Krishna_SB_03-05-37-38_-_Radhanath_Swami_Mumbai_1998-08-15_IDesireTree.mp3")</f>
        <v>1998-081_Demigods_Depend_on_Krishna_SB_03-05-37-38_-_Radhanath_Swami_Mumbai_1998-08-15_IDesireTree.mp3</v>
      </c>
      <c r="D3334" s="24"/>
      <c r="E3334" s="24"/>
    </row>
    <row r="3335">
      <c r="A3335" s="25" t="s">
        <v>18392</v>
      </c>
      <c r="B3335" s="25" t="s">
        <v>18410</v>
      </c>
      <c r="C3335" s="26" t="str">
        <f>HYPERLINK("https://audio.iskcondesiretree.com/02_-_ISKCON_Swamis/ISKCON_Swamis_-_R_to_Y/His_Holiness_Radhanath_Swami/Lectures/01_-_Theme_wise/Demigods/1998-111_Best_Blessings_of_Demigods_SB_03-14-26_-_Radhanath_Swami_Mumbai_1998-06-12_IDesireTree.mp3", "1998-111_Best_Blessings_of_Demigods_SB_03-14-26_-_Radhanath_Swami_Mumbai_1998-06-12_IDesireTree.mp3")</f>
        <v>1998-111_Best_Blessings_of_Demigods_SB_03-14-26_-_Radhanath_Swami_Mumbai_1998-06-12_IDesireTree.mp3</v>
      </c>
      <c r="D3335" s="24"/>
      <c r="E3335" s="24"/>
    </row>
    <row r="3336">
      <c r="A3336" s="25" t="s">
        <v>18392</v>
      </c>
      <c r="B3336" s="25" t="s">
        <v>18411</v>
      </c>
      <c r="C3336" s="26" t="str">
        <f>HYPERLINK("https://audio.iskcondesiretree.com/02_-_ISKCON_Swamis/ISKCON_Swamis_-_R_to_Y/His_Holiness_Radhanath_Swami/Lectures/01_-_Theme_wise/Desires/1989-057_Krishna_Reciprocates_To_Your_Desire_SB_07-01-03_-_Radhanath_Swami_Mumbai_1989-09-29_IDesireTree.mp3", "1989-057_Krishna_Reciprocates_To_Your_Desire_SB_07-01-03_-_Radhanath_Swami_Mumbai_1989-09-29_IDesireTree.mp3")</f>
        <v>1989-057_Krishna_Reciprocates_To_Your_Desire_SB_07-01-03_-_Radhanath_Swami_Mumbai_1989-09-29_IDesireTree.mp3</v>
      </c>
      <c r="D3336" s="24"/>
      <c r="E3336" s="24"/>
    </row>
    <row r="3337">
      <c r="A3337" s="25" t="s">
        <v>18392</v>
      </c>
      <c r="B3337" s="25" t="s">
        <v>18411</v>
      </c>
      <c r="C3337" s="26" t="str">
        <f>HYPERLINK("https://audio.iskcondesiretree.com/02_-_ISKCON_Swamis/ISKCON_Swamis_-_R_to_Y/His_Holiness_Radhanath_Swami/Lectures/01_-_Theme_wise/Desires/1991-119_Desire_To_Please_Krishna_BG_02-14_-_Radhanath_Swami_Mumbai_1991-11-20_IDesireTree.mp3", "1991-119_Desire_To_Please_Krishna_BG_02-14_-_Radhanath_Swami_Mumbai_1991-11-20_IDesireTree.mp3")</f>
        <v>1991-119_Desire_To_Please_Krishna_BG_02-14_-_Radhanath_Swami_Mumbai_1991-11-20_IDesireTree.mp3</v>
      </c>
      <c r="D3337" s="24"/>
      <c r="E3337" s="24"/>
    </row>
    <row r="3338">
      <c r="A3338" s="25" t="s">
        <v>18392</v>
      </c>
      <c r="B3338" s="25" t="s">
        <v>18411</v>
      </c>
      <c r="C3338" s="26" t="str">
        <f>HYPERLINK("https://audio.iskcondesiretree.com/02_-_ISKCON_Swamis/ISKCON_Swamis_-_R_to_Y/His_Holiness_Radhanath_Swami/Lectures/01_-_Theme_wise/Desires/1995-076_Devotees_Desire-_Only_To_Serve_BG_12-17_-_Radhanath_Swami_Mumbai_1995-04-02_new_IDesireTree.mp3", "1995-076_Devotees_Desire-_Only_To_Serve_BG_12-17_-_Radhanath_Swami_Mumbai_1995-04-02_new_IDesireTree.mp3")</f>
        <v>1995-076_Devotees_Desire-_Only_To_Serve_BG_12-17_-_Radhanath_Swami_Mumbai_1995-04-02_new_IDesireTree.mp3</v>
      </c>
      <c r="D3338" s="24"/>
      <c r="E3338" s="24"/>
    </row>
    <row r="3339">
      <c r="A3339" s="25" t="s">
        <v>18392</v>
      </c>
      <c r="B3339" s="25" t="s">
        <v>18411</v>
      </c>
      <c r="C3339" s="26" t="str">
        <f>HYPERLINK("https://audio.iskcondesiretree.com/02_-_ISKCON_Swamis/ISKCON_Swamis_-_R_to_Y/His_Holiness_Radhanath_Swami/Lectures/01_-_Theme_wise/Desires/1997-103_Desires_Limited_-_Resourses_Unlimited_SB_04-12-08_-_Radhanath_Swami_Moscow_1997-09-16_IDesireTree.mp3", "1997-103_Desires_Limited_-_Resourses_Unlimited_SB_04-12-08_-_Radhanath_Swami_Moscow_1997-09-16_IDesireTree.mp3")</f>
        <v>1997-103_Desires_Limited_-_Resourses_Unlimited_SB_04-12-08_-_Radhanath_Swami_Moscow_1997-09-16_IDesireTree.mp3</v>
      </c>
      <c r="D3339" s="24"/>
      <c r="E3339" s="24"/>
    </row>
    <row r="3340">
      <c r="A3340" s="25" t="s">
        <v>18392</v>
      </c>
      <c r="B3340" s="25" t="s">
        <v>18411</v>
      </c>
      <c r="C3340" s="26" t="str">
        <f>HYPERLINK("https://audio.iskcondesiretree.com/02_-_ISKCON_Swamis/ISKCON_Swamis_-_R_to_Y/His_Holiness_Radhanath_Swami/Lectures/01_-_Theme_wise/Desires/2000_Only_Bhakti_Can_Eradicate_all_Sinful_Desires_SB_03-31-29_-_Radhanath_Swami_Mumbai_2000-11-25_IDesireTree.MP3", "2000_Only_Bhakti_Can_Eradicate_all_Sinful_Desires_SB_03-31-29_-_Radhanath_Swami_Mumbai_2000-11-25_IDesireTree.MP3")</f>
        <v>2000_Only_Bhakti_Can_Eradicate_all_Sinful_Desires_SB_03-31-29_-_Radhanath_Swami_Mumbai_2000-11-25_IDesireTree.MP3</v>
      </c>
      <c r="D3340" s="24"/>
      <c r="E3340" s="24"/>
    </row>
    <row r="3341">
      <c r="A3341" s="25" t="s">
        <v>18392</v>
      </c>
      <c r="B3341" s="25" t="s">
        <v>18411</v>
      </c>
      <c r="C3341" s="26" t="str">
        <f>HYPERLINK("https://audio.iskcondesiretree.com/02_-_ISKCON_Swamis/ISKCON_Swamis_-_R_to_Y/His_Holiness_Radhanath_Swami/Lectures/01_-_Theme_wise/Desires/2007_We_Must_Cultivate_Proper_Desires_SB_06-10-0_-_Radhanath_Swami_2007-03-11_IDesireTree.mp3", "2007_We_Must_Cultivate_Proper_Desires_SB_06-10-0_-_Radhanath_Swami_2007-03-11_IDesireTree.mp3")</f>
        <v>2007_We_Must_Cultivate_Proper_Desires_SB_06-10-0_-_Radhanath_Swami_2007-03-11_IDesireTree.mp3</v>
      </c>
      <c r="D3341" s="24"/>
      <c r="E3341" s="24"/>
    </row>
    <row r="3342">
      <c r="A3342" s="25" t="s">
        <v>18392</v>
      </c>
      <c r="B3342" s="25" t="s">
        <v>18412</v>
      </c>
      <c r="C3342" s="26" t="str">
        <f>HYPERLINK("https://audio.iskcondesiretree.com/02_-_ISKCON_Swamis/ISKCON_Swamis_-_R_to_Y/His_Holiness_Radhanath_Swami/Lectures/01_-_Theme_wise/Determination/1990-079_Comitting_To_This_Great_Mission_SB_08-07-24_-_Radhanath_Swami_Mumbai_1990-09-05_IDesireTree.mp3", "1990-079_Comitting_To_This_Great_Mission_SB_08-07-24_-_Radhanath_Swami_Mumbai_1990-09-05_IDesireTree.mp3")</f>
        <v>1990-079_Comitting_To_This_Great_Mission_SB_08-07-24_-_Radhanath_Swami_Mumbai_1990-09-05_IDesireTree.mp3</v>
      </c>
      <c r="D3342" s="24"/>
      <c r="E3342" s="24"/>
    </row>
    <row r="3343">
      <c r="A3343" s="25" t="s">
        <v>18392</v>
      </c>
      <c r="B3343" s="25" t="s">
        <v>18412</v>
      </c>
      <c r="C3343" s="26" t="str">
        <f>HYPERLINK("https://audio.iskcondesiretree.com/02_-_ISKCON_Swamis/ISKCON_Swamis_-_R_to_Y/His_Holiness_Radhanath_Swami/Lectures/01_-_Theme_wise/Determination/1990-086_Determination_BG_02-41_-_Radhanath_Swami_Mumbai_1990-10-05_IDesireTree.mp3", "1990-086_Determination_BG_02-41_-_Radhanath_Swami_Mumbai_1990-10-05_IDesireTree.mp3")</f>
        <v>1990-086_Determination_BG_02-41_-_Radhanath_Swami_Mumbai_1990-10-05_IDesireTree.mp3</v>
      </c>
      <c r="D3343" s="24"/>
      <c r="E3343" s="24"/>
    </row>
    <row r="3344">
      <c r="A3344" s="25" t="s">
        <v>18392</v>
      </c>
      <c r="B3344" s="25" t="s">
        <v>18412</v>
      </c>
      <c r="C3344" s="26" t="str">
        <f>HYPERLINK("https://audio.iskcondesiretree.com/02_-_ISKCON_Swamis/ISKCON_Swamis_-_R_to_Y/His_Holiness_Radhanath_Swami/Lectures/01_-_Theme_wise/Determination/1990-087_Be_Fixed_In_Your_Aim_BG_08-27_-_Radhanath_Swami_Mumbai_1990-10-06_IDesireTree.mp3", "1990-087_Be_Fixed_In_Your_Aim_BG_08-27_-_Radhanath_Swami_Mumbai_1990-10-06_IDesireTree.mp3")</f>
        <v>1990-087_Be_Fixed_In_Your_Aim_BG_08-27_-_Radhanath_Swami_Mumbai_1990-10-06_IDesireTree.mp3</v>
      </c>
      <c r="D3344" s="24"/>
      <c r="E3344" s="24"/>
    </row>
    <row r="3345">
      <c r="A3345" s="25" t="s">
        <v>18392</v>
      </c>
      <c r="B3345" s="25" t="s">
        <v>18412</v>
      </c>
      <c r="C3345" s="26" t="str">
        <f>HYPERLINK("https://audio.iskcondesiretree.com/02_-_ISKCON_Swamis/ISKCON_Swamis_-_R_to_Y/His_Holiness_Radhanath_Swami/Lectures/01_-_Theme_wise/Determination/1992-077_One_Pointed_Determination_BG_02-41_-_Radhanath_Swami_Mumbai_1992-04-10_IDesireTree.mp3", "1992-077_One_Pointed_Determination_BG_02-41_-_Radhanath_Swami_Mumbai_1992-04-10_IDesireTree.mp3")</f>
        <v>1992-077_One_Pointed_Determination_BG_02-41_-_Radhanath_Swami_Mumbai_1992-04-10_IDesireTree.mp3</v>
      </c>
      <c r="D3345" s="24"/>
      <c r="E3345" s="24"/>
    </row>
    <row r="3346">
      <c r="A3346" s="25" t="s">
        <v>18392</v>
      </c>
      <c r="B3346" s="25" t="s">
        <v>18412</v>
      </c>
      <c r="C3346" s="26" t="str">
        <f>HYPERLINK("https://audio.iskcondesiretree.com/02_-_ISKCON_Swamis/ISKCON_Swamis_-_R_to_Y/His_Holiness_Radhanath_Swami/Lectures/01_-_Theme_wise/Determination/1993-189_To_Have_Determination_SB_01-06-22_-_Radhanath_Swami_Mumbai_1993-12-19_IDesireTree.mp3", "1993-189_To_Have_Determination_SB_01-06-22_-_Radhanath_Swami_Mumbai_1993-12-19_IDesireTree.mp3")</f>
        <v>1993-189_To_Have_Determination_SB_01-06-22_-_Radhanath_Swami_Mumbai_1993-12-19_IDesireTree.mp3</v>
      </c>
      <c r="D3346" s="24"/>
      <c r="E3346" s="24"/>
    </row>
    <row r="3347">
      <c r="A3347" s="25" t="s">
        <v>18392</v>
      </c>
      <c r="B3347" s="25" t="s">
        <v>18412</v>
      </c>
      <c r="C3347" s="26" t="str">
        <f>HYPERLINK("https://audio.iskcondesiretree.com/02_-_ISKCON_Swamis/ISKCON_Swamis_-_R_to_Y/His_Holiness_Radhanath_Swami/Lectures/01_-_Theme_wise/Determination/1994-167_Without_Determination_We_Are_Animals_SB_04-24-44_-_Radhanath_Swam_Mumbaii_1994-09-25_IDesireTree.mp3", "1994-167_Without_Determination_We_Are_Animals_SB_04-24-44_-_Radhanath_Swam_Mumbaii_1994-09-25_IDesireTree.mp3")</f>
        <v>1994-167_Without_Determination_We_Are_Animals_SB_04-24-44_-_Radhanath_Swam_Mumbaii_1994-09-25_IDesireTree.mp3</v>
      </c>
      <c r="D3347" s="24"/>
      <c r="E3347" s="24"/>
    </row>
    <row r="3348">
      <c r="A3348" s="25" t="s">
        <v>18392</v>
      </c>
      <c r="B3348" s="25" t="s">
        <v>18412</v>
      </c>
      <c r="C3348" s="26" t="str">
        <f>HYPERLINK("https://audio.iskcondesiretree.com/02_-_ISKCON_Swamis/ISKCON_Swamis_-_R_to_Y/His_Holiness_Radhanath_Swami/Lectures/01_-_Theme_wise/Determination/1995-099_Be_Determined_In_Devotional_Service_SB_04-11-02_-_Radhanath_Swami_Pune_1995-08-31_IDesireTree.mp3", "1995-099_Be_Determined_In_Devotional_Service_SB_04-11-02_-_Radhanath_Swami_Pune_1995-08-31_IDesireTree.mp3")</f>
        <v>1995-099_Be_Determined_In_Devotional_Service_SB_04-11-02_-_Radhanath_Swami_Pune_1995-08-31_IDesireTree.mp3</v>
      </c>
      <c r="D3348" s="24"/>
      <c r="E3348" s="24"/>
    </row>
    <row r="3349">
      <c r="A3349" s="25" t="s">
        <v>18392</v>
      </c>
      <c r="B3349" s="25" t="s">
        <v>18412</v>
      </c>
      <c r="C3349" s="26" t="str">
        <f>HYPERLINK("https://audio.iskcondesiretree.com/02_-_ISKCON_Swamis/ISKCON_Swamis_-_R_to_Y/His_Holiness_Radhanath_Swami/Lectures/01_-_Theme_wise/Determination/1996-023_Determination_Like_Bird_Chatak_Lecture_-_Radhanath_Swami_Mumbai_1996-01-21_IDesireTree.mp3", "1996-023_Determination_Like_Bird_Chatak_Lecture_-_Radhanath_Swami_Mumbai_1996-01-21_IDesireTree.mp3")</f>
        <v>1996-023_Determination_Like_Bird_Chatak_Lecture_-_Radhanath_Swami_Mumbai_1996-01-21_IDesireTree.mp3</v>
      </c>
      <c r="D3349" s="24"/>
      <c r="E3349" s="24"/>
    </row>
    <row r="3350">
      <c r="A3350" s="25" t="s">
        <v>18392</v>
      </c>
      <c r="B3350" s="25" t="s">
        <v>18412</v>
      </c>
      <c r="C3350" s="26" t="str">
        <f>HYPERLINK("https://audio.iskcondesiretree.com/02_-_ISKCON_Swamis/ISKCON_Swamis_-_R_to_Y/His_Holiness_Radhanath_Swami/Lectures/01_-_Theme_wise/Determination/1998-015_Fixed_Determination_BG_02-41_-_Radhanath_Swami_Mumbai_1998-01-31_IDesireTree.mp3", "1998-015_Fixed_Determination_BG_02-41_-_Radhanath_Swami_Mumbai_1998-01-31_IDesireTree.mp3")</f>
        <v>1998-015_Fixed_Determination_BG_02-41_-_Radhanath_Swami_Mumbai_1998-01-31_IDesireTree.mp3</v>
      </c>
      <c r="D3350" s="24"/>
      <c r="E3350" s="24"/>
    </row>
    <row r="3351">
      <c r="A3351" s="25" t="s">
        <v>18392</v>
      </c>
      <c r="B3351" s="25" t="s">
        <v>18412</v>
      </c>
      <c r="C3351" s="26" t="str">
        <f>HYPERLINK("https://audio.iskcondesiretree.com/02_-_ISKCON_Swamis/ISKCON_Swamis_-_R_to_Y/His_Holiness_Radhanath_Swami/Lectures/01_-_Theme_wise/Determination/2004_Determination_of_Ahilya_Ram_Navami_-_Radhanath_Swami_Mumbai_2004-03-30_IDesireTree.mp3", "2004_Determination_of_Ahilya_Ram_Navami_-_Radhanath_Swami_Mumbai_2004-03-30_IDesireTree.mp3")</f>
        <v>2004_Determination_of_Ahilya_Ram_Navami_-_Radhanath_Swami_Mumbai_2004-03-30_IDesireTree.mp3</v>
      </c>
      <c r="D3351" s="24"/>
      <c r="E3351" s="24"/>
    </row>
    <row r="3352">
      <c r="A3352" s="25" t="s">
        <v>18392</v>
      </c>
      <c r="B3352" s="25" t="s">
        <v>18412</v>
      </c>
      <c r="C3352" s="26" t="str">
        <f>HYPERLINK("https://audio.iskcondesiretree.com/02_-_ISKCON_Swamis/ISKCON_Swamis_-_R_to_Y/His_Holiness_Radhanath_Swami/Lectures/01_-_Theme_wise/Determination/2004_The_Importance_of_Determination_-_Radhanath_Swami_New_York_2004-06-04_IDesireTree.mp3", "2004_The_Importance_of_Determination_-_Radhanath_Swami_New_York_2004-06-04_IDesireTree.mp3")</f>
        <v>2004_The_Importance_of_Determination_-_Radhanath_Swami_New_York_2004-06-04_IDesireTree.mp3</v>
      </c>
      <c r="D3352" s="24"/>
      <c r="E3352" s="24"/>
    </row>
    <row r="3353">
      <c r="A3353" s="25" t="s">
        <v>18392</v>
      </c>
      <c r="B3353" s="25" t="s">
        <v>18413</v>
      </c>
      <c r="C3353" s="26" t="str">
        <f>HYPERLINK("https://audio.iskcondesiretree.com/02_-_ISKCON_Swamis/ISKCON_Swamis_-_R_to_Y/His_Holiness_Radhanath_Swami/Lectures/01_-_Theme_wise/Devotees_Association/01.Inspiring_One_Another_in_Krishna_Consciousness_SB-07-03-30_-_US_Spring_2005_IDesireTree.mp3", "01.Inspiring_One_Another_in_Krishna_Consciousness_SB-07-03-30_-_US_Spring_2005_IDesireTree.mp3")</f>
        <v>01.Inspiring_One_Another_in_Krishna_Consciousness_SB-07-03-30_-_US_Spring_2005_IDesireTree.mp3</v>
      </c>
      <c r="D3353" s="24"/>
      <c r="E3353" s="24"/>
    </row>
    <row r="3354">
      <c r="A3354" s="25" t="s">
        <v>18392</v>
      </c>
      <c r="B3354" s="25" t="s">
        <v>18413</v>
      </c>
      <c r="C3354" s="26" t="str">
        <f>HYPERLINK("https://audio.iskcondesiretree.com/02_-_ISKCON_Swamis/ISKCON_Swamis_-_R_to_Y/His_Holiness_Radhanath_Swami/Lectures/01_-_Theme_wise/Devotees_Association/02.Seeking_Shelter_of_Vaisnavas_CC-ML-22-53_-_London_2004_IDesireTree.mp3", "02.Seeking_Shelter_of_Vaisnavas_CC-ML-22-53_-_London_2004_IDesireTree.mp3")</f>
        <v>02.Seeking_Shelter_of_Vaisnavas_CC-ML-22-53_-_London_2004_IDesireTree.mp3</v>
      </c>
      <c r="D3354" s="24"/>
      <c r="E3354" s="24"/>
    </row>
    <row r="3355">
      <c r="A3355" s="25" t="s">
        <v>18392</v>
      </c>
      <c r="B3355" s="25" t="s">
        <v>18413</v>
      </c>
      <c r="C3355" s="26" t="str">
        <f>HYPERLINK("https://audio.iskcondesiretree.com/02_-_ISKCON_Swamis/ISKCON_Swamis_-_R_to_Y/His_Holiness_Radhanath_Swami/Lectures/01_-_Theme_wise/Devotees_Association/03.Value_of_Sadhu_Sanga_-_Questions_%26_Answers_-_Radhanath_Swami_London_2005-04-06_IDesireTree.mp3", "03.Value_of_Sadhu_Sanga_-_Questions_%26_Answers_-_Radhanath_Swami_London_2005-04-06_IDesireTree.mp3")</f>
        <v>03.Value_of_Sadhu_Sanga_-_Questions_%26_Answers_-_Radhanath_Swami_London_2005-04-06_IDesireTree.mp3</v>
      </c>
      <c r="D3355" s="24"/>
      <c r="E3355" s="24"/>
    </row>
    <row r="3356">
      <c r="A3356" s="25" t="s">
        <v>18392</v>
      </c>
      <c r="B3356" s="25" t="s">
        <v>18413</v>
      </c>
      <c r="C3356" s="26" t="str">
        <f>HYPERLINK("https://audio.iskcondesiretree.com/02_-_ISKCON_Swamis/ISKCON_Swamis_-_R_to_Y/His_Holiness_Radhanath_Swami/Lectures/01_-_Theme_wise/Devotees_Association/04.Value_of_a_Moment%27s_Association_With_a_Pure_Devotee_SB-04-30-34_-_06-04-05_IDesireTree.mp3", "04.Value_of_a_Moment%27s_Association_With_a_Pure_Devotee_SB-04-30-34_-_06-04-05_IDesireTree.mp3")</f>
        <v>04.Value_of_a_Moment%27s_Association_With_a_Pure_Devotee_SB-04-30-34_-_06-04-05_IDesireTree.mp3</v>
      </c>
      <c r="D3356" s="24"/>
      <c r="E3356" s="24"/>
    </row>
    <row r="3357">
      <c r="A3357" s="25" t="s">
        <v>18392</v>
      </c>
      <c r="B3357" s="25" t="s">
        <v>18413</v>
      </c>
      <c r="C3357" s="26" t="str">
        <f>HYPERLINK("https://audio.iskcondesiretree.com/02_-_ISKCON_Swamis/ISKCON_Swamis_-_R_to_Y/His_Holiness_Radhanath_Swami/Lectures/01_-_Theme_wise/Devotees_Association/05.Developing_Culture_of_Respecting_Others_SB_06-07-33_-_New_Vrindavan_22-05-04_IDesireTree.mp3", "05.Developing_Culture_of_Respecting_Others_SB_06-07-33_-_New_Vrindavan_22-05-04_IDesireTree.mp3")</f>
        <v>05.Developing_Culture_of_Respecting_Others_SB_06-07-33_-_New_Vrindavan_22-05-04_IDesireTree.mp3</v>
      </c>
      <c r="D3357" s="24"/>
      <c r="E3357" s="24"/>
    </row>
    <row r="3358">
      <c r="A3358" s="25" t="s">
        <v>18392</v>
      </c>
      <c r="B3358" s="25" t="s">
        <v>18413</v>
      </c>
      <c r="C3358" s="26" t="str">
        <f>HYPERLINK("https://audio.iskcondesiretree.com/02_-_ISKCON_Swamis/ISKCON_Swamis_-_R_to_Y/His_Holiness_Radhanath_Swami/Lectures/01_-_Theme_wise/Devotees_Association/06.07-04-28_Do_Not_Mistreat_Anyone_SB_06-14-01_-_Radhanath_Swami_IDesireTree.mp3", "06.07-04-28_Do_Not_Mistreat_Anyone_SB_06-14-01_-_Radhanath_Swami_IDesireTree.mp3")</f>
        <v>06.07-04-28_Do_Not_Mistreat_Anyone_SB_06-14-01_-_Radhanath_Swami_IDesireTree.mp3</v>
      </c>
      <c r="D3358" s="24"/>
      <c r="E3358" s="24"/>
    </row>
    <row r="3359">
      <c r="A3359" s="25" t="s">
        <v>18392</v>
      </c>
      <c r="B3359" s="25" t="s">
        <v>18413</v>
      </c>
      <c r="C3359" s="26" t="str">
        <f>HYPERLINK("https://audio.iskcondesiretree.com/02_-_ISKCON_Swamis/ISKCON_Swamis_-_R_to_Y/His_Holiness_Radhanath_Swami/Lectures/01_-_Theme_wise/Devotees_Association/08.Cooperation_Amongst_Devotees_SB_05-01-40_-_Mumbai_2004-12-12_IDesireTree.mp3", "08.Cooperation_Amongst_Devotees_SB_05-01-40_-_Mumbai_2004-12-12_IDesireTree.mp3")</f>
        <v>08.Cooperation_Amongst_Devotees_SB_05-01-40_-_Mumbai_2004-12-12_IDesireTree.mp3</v>
      </c>
      <c r="D3359" s="24"/>
      <c r="E3359" s="24"/>
    </row>
    <row r="3360">
      <c r="A3360" s="25" t="s">
        <v>18392</v>
      </c>
      <c r="B3360" s="25" t="s">
        <v>18413</v>
      </c>
      <c r="C3360" s="26" t="str">
        <f>HYPERLINK("https://audio.iskcondesiretree.com/02_-_ISKCON_Swamis/ISKCON_Swamis_-_R_to_Y/His_Holiness_Radhanath_Swami/Lectures/01_-_Theme_wise/Devotees_Association/09.08-03-26_Devotees_Do_not_Create_Enemies_SB_07-05-03_-_Radhanath_Swami_IDesireTree.mp3", "09.08-03-26_Devotees_Do_not_Create_Enemies_SB_07-05-03_-_Radhanath_Swami_IDesireTree.mp3")</f>
        <v>09.08-03-26_Devotees_Do_not_Create_Enemies_SB_07-05-03_-_Radhanath_Swami_IDesireTree.mp3</v>
      </c>
      <c r="D3360" s="24"/>
      <c r="E3360" s="24"/>
    </row>
    <row r="3361">
      <c r="A3361" s="25" t="s">
        <v>18392</v>
      </c>
      <c r="B3361" s="25" t="s">
        <v>18413</v>
      </c>
      <c r="C3361" s="26" t="str">
        <f>HYPERLINK("https://audio.iskcondesiretree.com/02_-_ISKCON_Swamis/ISKCON_Swamis_-_R_to_Y/His_Holiness_Radhanath_Swami/Lectures/01_-_Theme_wise/Devotees_Association/10.Immense_Value_of_Association_SB_04-30-34_-_Radhanath_Swami_Mumbai_2004-09-05_IDesireTree.mp3", "10.Immense_Value_of_Association_SB_04-30-34_-_Radhanath_Swami_Mumbai_2004-09-05_IDesireTree.mp3")</f>
        <v>10.Immense_Value_of_Association_SB_04-30-34_-_Radhanath_Swami_Mumbai_2004-09-05_IDesireTree.mp3</v>
      </c>
      <c r="D3361" s="24"/>
      <c r="E3361" s="24"/>
    </row>
    <row r="3362">
      <c r="A3362" s="25" t="s">
        <v>18392</v>
      </c>
      <c r="B3362" s="25" t="s">
        <v>18413</v>
      </c>
      <c r="C3362" s="26" t="str">
        <f>HYPERLINK("https://audio.iskcondesiretree.com/02_-_ISKCON_Swamis/ISKCON_Swamis_-_R_to_Y/His_Holiness_Radhanath_Swami/Lectures/01_-_Theme_wise/Devotees_Association/11.Cooperation_Among_Devotees_SB_04-22-32_-_Radhanath_Swami_Gita_Nagari_June_2005_IDesireTree.mp3", "11.Cooperation_Among_Devotees_SB_04-22-32_-_Radhanath_Swami_Gita_Nagari_June_2005_IDesireTree.mp3")</f>
        <v>11.Cooperation_Among_Devotees_SB_04-22-32_-_Radhanath_Swami_Gita_Nagari_June_2005_IDesireTree.mp3</v>
      </c>
      <c r="D3362" s="24"/>
      <c r="E3362" s="24"/>
    </row>
    <row r="3363">
      <c r="A3363" s="25" t="s">
        <v>18392</v>
      </c>
      <c r="B3363" s="25" t="s">
        <v>18413</v>
      </c>
      <c r="C3363" s="26" t="str">
        <f>HYPERLINK("https://audio.iskcondesiretree.com/02_-_ISKCON_Swamis/ISKCON_Swamis_-_R_to_Y/His_Holiness_Radhanath_Swami/Lectures/01_-_Theme_wise/Devotees_Association/12.Real_Love_is_Only_Possible_when_We_are_United_-_Radhanath_Swami_IDesireTree.mp3", "12.Real_Love_is_Only_Possible_when_We_are_United_-_Radhanath_Swami_IDesireTree.mp3")</f>
        <v>12.Real_Love_is_Only_Possible_when_We_are_United_-_Radhanath_Swami_IDesireTree.mp3</v>
      </c>
      <c r="D3363" s="24"/>
      <c r="E3363" s="24"/>
    </row>
    <row r="3364">
      <c r="A3364" s="25" t="s">
        <v>18392</v>
      </c>
      <c r="B3364" s="25" t="s">
        <v>18413</v>
      </c>
      <c r="C3364" s="26" t="str">
        <f>HYPERLINK("https://audio.iskcondesiretree.com/02_-_ISKCON_Swamis/ISKCON_Swamis_-_R_to_Y/His_Holiness_Radhanath_Swami/Lectures/01_-_Theme_wise/Devotees_Association/15.Getting_Attached_to_the_Lord%27s_Devotees_-_Radhanath_Swami_IDesireTree.mp3", "15.Getting_Attached_to_the_Lord%27s_Devotees_-_Radhanath_Swami_IDesireTree.mp3")</f>
        <v>15.Getting_Attached_to_the_Lord%27s_Devotees_-_Radhanath_Swami_IDesireTree.mp3</v>
      </c>
      <c r="D3364" s="24"/>
      <c r="E3364" s="24"/>
    </row>
    <row r="3365">
      <c r="A3365" s="25" t="s">
        <v>18392</v>
      </c>
      <c r="B3365" s="25" t="s">
        <v>18413</v>
      </c>
      <c r="C3365" s="26" t="str">
        <f>HYPERLINK("https://audio.iskcondesiretree.com/02_-_ISKCON_Swamis/ISKCON_Swamis_-_R_to_Y/His_Holiness_Radhanath_Swami/Lectures/01_-_Theme_wise/Devotees_Association/16.Association_of_Devotees_is_the_Greatest_Benediction_SB-04-22-20_-_Mumbai_22-03-03.mp3", "16.Association_of_Devotees_is_the_Greatest_Benediction_SB-04-22-20_-_Mumbai_22-03-03.mp3")</f>
        <v>16.Association_of_Devotees_is_the_Greatest_Benediction_SB-04-22-20_-_Mumbai_22-03-03.mp3</v>
      </c>
      <c r="D3365" s="24"/>
      <c r="E3365" s="24"/>
    </row>
    <row r="3366">
      <c r="A3366" s="25" t="s">
        <v>18392</v>
      </c>
      <c r="B3366" s="25" t="s">
        <v>18413</v>
      </c>
      <c r="C3366" s="26" t="str">
        <f>HYPERLINK("https://audio.iskcondesiretree.com/02_-_ISKCON_Swamis/ISKCON_Swamis_-_R_to_Y/His_Holiness_Radhanath_Swami/Lectures/01_-_Theme_wise/Devotees_Association/17.Cooperation_Means_the_Process_of_Pleasing_-_New_Vrindavan_03-05-99_IDesireTree.mp3", "17.Cooperation_Means_the_Process_of_Pleasing_-_New_Vrindavan_03-05-99_IDesireTree.mp3")</f>
        <v>17.Cooperation_Means_the_Process_of_Pleasing_-_New_Vrindavan_03-05-99_IDesireTree.mp3</v>
      </c>
      <c r="D3366" s="24"/>
      <c r="E3366" s="24"/>
    </row>
    <row r="3367">
      <c r="A3367" s="25" t="s">
        <v>18392</v>
      </c>
      <c r="B3367" s="25" t="s">
        <v>18413</v>
      </c>
      <c r="C3367" s="26" t="str">
        <f>HYPERLINK("https://audio.iskcondesiretree.com/02_-_ISKCON_Swamis/ISKCON_Swamis_-_R_to_Y/His_Holiness_Radhanath_Swami/Lectures/01_-_Theme_wise/Devotees_Association/18.Purpose_of_Associating_with_the_Devotees_Belga_-_Radhanath_Swami_2002-01-19_IDesireTree.mp3", "18.Purpose_of_Associating_with_the_Devotees_Belga_-_Radhanath_Swami_2002-01-19_IDesireTree.mp3")</f>
        <v>18.Purpose_of_Associating_with_the_Devotees_Belga_-_Radhanath_Swami_2002-01-19_IDesireTree.mp3</v>
      </c>
      <c r="D3367" s="24"/>
      <c r="E3367" s="24"/>
    </row>
    <row r="3368">
      <c r="A3368" s="25" t="s">
        <v>18392</v>
      </c>
      <c r="B3368" s="25" t="s">
        <v>18413</v>
      </c>
      <c r="C3368" s="26" t="str">
        <f>HYPERLINK("https://audio.iskcondesiretree.com/02_-_ISKCON_Swamis/ISKCON_Swamis_-_R_to_Y/His_Holiness_Radhanath_Swami/Lectures/01_-_Theme_wise/Devotees_Association/1990-056_Association_Of_Devotees_BG_10-09_-_Radhanath_Swami_Mumbai_1990-07-27_IDesireTree.mp3", "1990-056_Association_Of_Devotees_BG_10-09_-_Radhanath_Swami_Mumbai_1990-07-27_IDesireTree.mp3")</f>
        <v>1990-056_Association_Of_Devotees_BG_10-09_-_Radhanath_Swami_Mumbai_1990-07-27_IDesireTree.mp3</v>
      </c>
      <c r="D3368" s="24"/>
      <c r="E3368" s="24"/>
    </row>
    <row r="3369">
      <c r="A3369" s="25" t="s">
        <v>18392</v>
      </c>
      <c r="B3369" s="25" t="s">
        <v>18413</v>
      </c>
      <c r="C3369" s="26" t="str">
        <f>HYPERLINK("https://audio.iskcondesiretree.com/02_-_ISKCON_Swamis/ISKCON_Swamis_-_R_to_Y/His_Holiness_Radhanath_Swami/Lectures/01_-_Theme_wise/Devotees_Association/1991-136_Different_Categories_Of_Devotees_Lecture_-_Radhanath_Swami_Mumbai_1991-11-30_IDesireTree.mp3", "1991-136_Different_Categories_Of_Devotees_Lecture_-_Radhanath_Swami_Mumbai_1991-11-30_IDesireTree.mp3")</f>
        <v>1991-136_Different_Categories_Of_Devotees_Lecture_-_Radhanath_Swami_Mumbai_1991-11-30_IDesireTree.mp3</v>
      </c>
      <c r="D3369" s="24"/>
      <c r="E3369" s="24"/>
    </row>
    <row r="3370">
      <c r="A3370" s="25" t="s">
        <v>18392</v>
      </c>
      <c r="B3370" s="25" t="s">
        <v>18413</v>
      </c>
      <c r="C3370" s="26" t="str">
        <f>HYPERLINK("https://audio.iskcondesiretree.com/02_-_ISKCON_Swamis/ISKCON_Swamis_-_R_to_Y/His_Holiness_Radhanath_Swami/Lectures/01_-_Theme_wise/Devotees_Association/1991-154_Lord%27s_Merciful_Devotees_CC_AL_01-01_-_Radhanath_Swami_Mumbai_1991-12-12_IDesireTree.mp3", "1991-154_Lord%27s_Merciful_Devotees_CC_AL_01-01_-_Radhanath_Swami_Mumbai_1991-12-12_IDesireTree.mp3")</f>
        <v>1991-154_Lord%27s_Merciful_Devotees_CC_AL_01-01_-_Radhanath_Swami_Mumbai_1991-12-12_IDesireTree.mp3</v>
      </c>
      <c r="D3370" s="24"/>
      <c r="E3370" s="24"/>
    </row>
    <row r="3371">
      <c r="A3371" s="25" t="s">
        <v>18392</v>
      </c>
      <c r="B3371" s="25" t="s">
        <v>18413</v>
      </c>
      <c r="C3371" s="26" t="str">
        <f>HYPERLINK("https://audio.iskcondesiretree.com/02_-_ISKCON_Swamis/ISKCON_Swamis_-_R_to_Y/His_Holiness_Radhanath_Swami/Lectures/01_-_Theme_wise/Devotees_Association/1992-046_A_Moment%27s_Association_SB_07-13-42_-_Radhanath_Swami_Mumbai_1992-03-27_IDesireTree.mp3", "1992-046_A_Moment%27s_Association_SB_07-13-42_-_Radhanath_Swami_Mumbai_1992-03-27_IDesireTree.mp3")</f>
        <v>1992-046_A_Moment%27s_Association_SB_07-13-42_-_Radhanath_Swami_Mumbai_1992-03-27_IDesireTree.mp3</v>
      </c>
      <c r="D3371" s="24"/>
      <c r="E3371" s="24"/>
    </row>
    <row r="3372">
      <c r="A3372" s="25" t="s">
        <v>18392</v>
      </c>
      <c r="B3372" s="25" t="s">
        <v>18413</v>
      </c>
      <c r="C3372" s="26" t="str">
        <f>HYPERLINK("https://audio.iskcondesiretree.com/02_-_ISKCON_Swamis/ISKCON_Swamis_-_R_to_Y/His_Holiness_Radhanath_Swami/Lectures/01_-_Theme_wise/Devotees_Association/1992-152_Power_Of_Association_SB_03-07-14_-_Radhanath_Swami_Mumbai_1992-12-25_IDesireTree.mp3", "1992-152_Power_Of_Association_SB_03-07-14_-_Radhanath_Swami_Mumbai_1992-12-25_IDesireTree.mp3")</f>
        <v>1992-152_Power_Of_Association_SB_03-07-14_-_Radhanath_Swami_Mumbai_1992-12-25_IDesireTree.mp3</v>
      </c>
      <c r="D3372" s="24"/>
      <c r="E3372" s="24"/>
    </row>
    <row r="3373">
      <c r="A3373" s="25" t="s">
        <v>18392</v>
      </c>
      <c r="B3373" s="25" t="s">
        <v>18413</v>
      </c>
      <c r="C3373" s="26" t="str">
        <f>HYPERLINK("https://audio.iskcondesiretree.com/02_-_ISKCON_Swamis/ISKCON_Swamis_-_R_to_Y/His_Holiness_Radhanath_Swami/Lectures/01_-_Theme_wise/Devotees_Association/1993-002_what_is_real_satsang_SB_10-20-15_-_Radhanath_Swami_Pune_1993-01-03_IDesireTree.mp3", "1993-002_what_is_real_satsang_SB_10-20-15_-_Radhanath_Swami_Pune_1993-01-03_IDesireTree.mp3")</f>
        <v>1993-002_what_is_real_satsang_SB_10-20-15_-_Radhanath_Swami_Pune_1993-01-03_IDesireTree.mp3</v>
      </c>
      <c r="D3373" s="24"/>
      <c r="E3373" s="24"/>
    </row>
    <row r="3374">
      <c r="A3374" s="25" t="s">
        <v>18392</v>
      </c>
      <c r="B3374" s="25" t="s">
        <v>18413</v>
      </c>
      <c r="C3374" s="26" t="str">
        <f>HYPERLINK("https://audio.iskcondesiretree.com/02_-_ISKCON_Swamis/ISKCON_Swamis_-_R_to_Y/His_Holiness_Radhanath_Swami/Lectures/01_-_Theme_wise/Devotees_Association/1993-105_Attachment_To_Devotees_SB_03-25-24_-_Radhanath_Swami_Mumbai_1993-06-05_IDesireTree.mp3", "1993-105_Attachment_To_Devotees_SB_03-25-24_-_Radhanath_Swami_Mumbai_1993-06-05_IDesireTree.mp3")</f>
        <v>1993-105_Attachment_To_Devotees_SB_03-25-24_-_Radhanath_Swami_Mumbai_1993-06-05_IDesireTree.mp3</v>
      </c>
      <c r="D3374" s="24"/>
      <c r="E3374" s="24"/>
    </row>
    <row r="3375">
      <c r="A3375" s="25" t="s">
        <v>18392</v>
      </c>
      <c r="B3375" s="25" t="s">
        <v>18413</v>
      </c>
      <c r="C3375" s="26" t="str">
        <f>HYPERLINK("https://audio.iskcondesiretree.com/02_-_ISKCON_Swamis/ISKCON_Swamis_-_R_to_Y/His_Holiness_Radhanath_Swami/Lectures/01_-_Theme_wise/Devotees_Association/1993-141_Need_For_Association_BG_10-09_-_Radhanath_Swami_Mumbai_1993-10-03_IDesireTree.mp3", "1993-141_Need_For_Association_BG_10-09_-_Radhanath_Swami_Mumbai_1993-10-03_IDesireTree.mp3")</f>
        <v>1993-141_Need_For_Association_BG_10-09_-_Radhanath_Swami_Mumbai_1993-10-03_IDesireTree.mp3</v>
      </c>
      <c r="D3375" s="24"/>
      <c r="E3375" s="24"/>
    </row>
    <row r="3376">
      <c r="A3376" s="25" t="s">
        <v>18392</v>
      </c>
      <c r="B3376" s="25" t="s">
        <v>18413</v>
      </c>
      <c r="C3376" s="26" t="str">
        <f>HYPERLINK("https://audio.iskcondesiretree.com/02_-_ISKCON_Swamis/ISKCON_Swamis_-_R_to_Y/His_Holiness_Radhanath_Swami/Lectures/01_-_Theme_wise/Devotees_Association/1995-003_Association_Of_Devotees_SB_01-07-17-19_-_Radhanath_Swami_Mumbai_1995-01-03.mp3", "1995-003_Association_Of_Devotees_SB_01-07-17-19_-_Radhanath_Swami_Mumbai_1995-01-03.mp3")</f>
        <v>1995-003_Association_Of_Devotees_SB_01-07-17-19_-_Radhanath_Swami_Mumbai_1995-01-03.mp3</v>
      </c>
      <c r="D3376" s="24"/>
      <c r="E3376" s="24"/>
    </row>
    <row r="3377">
      <c r="A3377" s="25" t="s">
        <v>18392</v>
      </c>
      <c r="B3377" s="25" t="s">
        <v>18413</v>
      </c>
      <c r="C3377" s="26" t="str">
        <f>HYPERLINK("https://audio.iskcondesiretree.com/02_-_ISKCON_Swamis/ISKCON_Swamis_-_R_to_Y/His_Holiness_Radhanath_Swami/Lectures/01_-_Theme_wise/Devotees_Association/1995-023_Materialistic_People_Are_Animals_Ht_-_SB_02-03-18_-_Radhanath_Swami_Belgaum_1995-01-16.mp3", "1995-023_Materialistic_People_Are_Animals_Ht_-_SB_02-03-18_-_Radhanath_Swami_Belgaum_1995-01-16.mp3")</f>
        <v>1995-023_Materialistic_People_Are_Animals_Ht_-_SB_02-03-18_-_Radhanath_Swami_Belgaum_1995-01-16.mp3</v>
      </c>
      <c r="D3377" s="24"/>
      <c r="E3377" s="24"/>
    </row>
    <row r="3378">
      <c r="A3378" s="25" t="s">
        <v>18392</v>
      </c>
      <c r="B3378" s="25" t="s">
        <v>18413</v>
      </c>
      <c r="C3378" s="26" t="str">
        <f>HYPERLINK("https://audio.iskcondesiretree.com/02_-_ISKCON_Swamis/ISKCON_Swamis_-_R_to_Y/His_Holiness_Radhanath_Swami/Lectures/01_-_Theme_wise/Devotees_Association/1995-051_Affection_Between_Devotees_SB_01-08-31_-_Radhanath_Swami_Mumbai_1995-03-05.mp3", "1995-051_Affection_Between_Devotees_SB_01-08-31_-_Radhanath_Swami_Mumbai_1995-03-05.mp3")</f>
        <v>1995-051_Affection_Between_Devotees_SB_01-08-31_-_Radhanath_Swami_Mumbai_1995-03-05.mp3</v>
      </c>
      <c r="D3378" s="24"/>
      <c r="E3378" s="24"/>
    </row>
    <row r="3379">
      <c r="A3379" s="25" t="s">
        <v>18392</v>
      </c>
      <c r="B3379" s="25" t="s">
        <v>18413</v>
      </c>
      <c r="C3379" s="26" t="str">
        <f>HYPERLINK("https://audio.iskcondesiretree.com/02_-_ISKCON_Swamis/ISKCON_Swamis_-_R_to_Y/His_Holiness_Radhanath_Swami/Lectures/01_-_Theme_wise/Devotees_Association/1997-064_Association_of_Devotees_Lecture_-_Radhanath_Swami_Udipi_1997-04-21_IDesireTree.mp3", "1997-064_Association_of_Devotees_Lecture_-_Radhanath_Swami_Udipi_1997-04-21_IDesireTree.mp3")</f>
        <v>1997-064_Association_of_Devotees_Lecture_-_Radhanath_Swami_Udipi_1997-04-21_IDesireTree.mp3</v>
      </c>
      <c r="D3379" s="24"/>
      <c r="E3379" s="24"/>
    </row>
    <row r="3380">
      <c r="A3380" s="25" t="s">
        <v>18392</v>
      </c>
      <c r="B3380" s="25" t="s">
        <v>18413</v>
      </c>
      <c r="C3380" s="26" t="str">
        <f>HYPERLINK("https://audio.iskcondesiretree.com/02_-_ISKCON_Swamis/ISKCON_Swamis_-_R_to_Y/His_Holiness_Radhanath_Swami/Lectures/01_-_Theme_wise/Devotees_Association/1998-104_Bad_Association_is_Dangerous_SB_10-04-36_-_Radhanath_Swami_Mumbai_1998-11-26_IDesireTree.mp3", "1998-104_Bad_Association_is_Dangerous_SB_10-04-36_-_Radhanath_Swami_Mumbai_1998-11-26_IDesireTree.mp3")</f>
        <v>1998-104_Bad_Association_is_Dangerous_SB_10-04-36_-_Radhanath_Swami_Mumbai_1998-11-26_IDesireTree.mp3</v>
      </c>
      <c r="D3380" s="24"/>
      <c r="E3380" s="24"/>
    </row>
    <row r="3381">
      <c r="A3381" s="25" t="s">
        <v>18392</v>
      </c>
      <c r="B3381" s="25" t="s">
        <v>18413</v>
      </c>
      <c r="C3381" s="26" t="str">
        <f>HYPERLINK("https://audio.iskcondesiretree.com/02_-_ISKCON_Swamis/ISKCON_Swamis_-_R_to_Y/His_Holiness_Radhanath_Swami/Lectures/01_-_Theme_wise/Devotees_Association/2004_Seeking_Shelter_of_Vaisnavas_CC-Madhya_Lila-22-53_-_Radhanath_Swami_London_2004_IDesireTree.mp3", "2004_Seeking_Shelter_of_Vaisnavas_CC-Madhya_Lila-22-53_-_Radhanath_Swami_London_2004_IDesireTree.mp3")</f>
        <v>2004_Seeking_Shelter_of_Vaisnavas_CC-Madhya_Lila-22-53_-_Radhanath_Swami_London_2004_IDesireTree.mp3</v>
      </c>
      <c r="D3381" s="24"/>
      <c r="E3381" s="24"/>
    </row>
    <row r="3382">
      <c r="A3382" s="25" t="s">
        <v>18392</v>
      </c>
      <c r="B3382" s="25" t="s">
        <v>18414</v>
      </c>
      <c r="C3382" s="26" t="str">
        <f>HYPERLINK("https://audio.iskcondesiretree.com/02_-_ISKCON_Swamis/ISKCON_Swamis_-_R_to_Y/His_Holiness_Radhanath_Swami/Lectures/01_-_Theme_wise/Dhaams/01_-_General/01.While_in_Pandharpur_-_Radhanath_Swami_Pandharpur_2004-09-19_IDesireTree.mp3", "01.While_in_Pandharpur_-_Radhanath_Swami_Pandharpur_2004-09-19_IDesireTree.mp3")</f>
        <v>01.While_in_Pandharpur_-_Radhanath_Swami_Pandharpur_2004-09-19_IDesireTree.mp3</v>
      </c>
      <c r="D3382" s="24"/>
      <c r="E3382" s="24"/>
    </row>
    <row r="3383">
      <c r="A3383" s="25" t="s">
        <v>18392</v>
      </c>
      <c r="B3383" s="25" t="s">
        <v>18414</v>
      </c>
      <c r="C3383" s="26" t="str">
        <f>HYPERLINK("https://audio.iskcondesiretree.com/02_-_ISKCON_Swamis/ISKCON_Swamis_-_R_to_Y/His_Holiness_Radhanath_Swami/Lectures/01_-_Theme_wise/Dhaams/01_-_General/02.Pandharpur-A_Place_of_Immense_Spirituality_-_Radhanath_Swami_Pandharpur_2004-09-20_IDesireTree.mp3", "02.Pandharpur-A_Place_of_Immense_Spirituality_-_Radhanath_Swami_Pandharpur_2004-09-20_IDesireTree.mp3")</f>
        <v>02.Pandharpur-A_Place_of_Immense_Spirituality_-_Radhanath_Swami_Pandharpur_2004-09-20_IDesireTree.mp3</v>
      </c>
      <c r="D3383" s="24"/>
      <c r="E3383" s="24"/>
    </row>
    <row r="3384">
      <c r="A3384" s="25" t="s">
        <v>18392</v>
      </c>
      <c r="B3384" s="25" t="s">
        <v>18414</v>
      </c>
      <c r="C3384" s="26" t="str">
        <f>HYPERLINK("https://audio.iskcondesiretree.com/02_-_ISKCON_Swamis/ISKCON_Swamis_-_R_to_Y/His_Holiness_Radhanath_Swami/Lectures/01_-_Theme_wise/Dhaams/01_-_General/03.Being_Conscious_of_the_Holy_Dhama.mp3", "03.Being_Conscious_of_the_Holy_Dhama.mp3")</f>
        <v>03.Being_Conscious_of_the_Holy_Dhama.mp3</v>
      </c>
      <c r="D3384" s="24"/>
      <c r="E3384" s="24"/>
    </row>
    <row r="3385">
      <c r="A3385" s="25" t="s">
        <v>18392</v>
      </c>
      <c r="B3385" s="25" t="s">
        <v>18414</v>
      </c>
      <c r="C3385" s="26" t="str">
        <f>HYPERLINK("https://audio.iskcondesiretree.com/02_-_ISKCON_Swamis/ISKCON_Swamis_-_R_to_Y/His_Holiness_Radhanath_Swami/Lectures/01_-_Theme_wise/Dhaams/01_-_General/04.How_to_Appreciate_Sri_Vrindavana_Dhama_-_Radhanath_Swami_IDesireTree.mp3", "04.How_to_Appreciate_Sri_Vrindavana_Dhama_-_Radhanath_Swami_IDesireTree.mp3")</f>
        <v>04.How_to_Appreciate_Sri_Vrindavana_Dhama_-_Radhanath_Swami_IDesireTree.mp3</v>
      </c>
      <c r="D3385" s="24"/>
      <c r="E3385" s="24"/>
    </row>
    <row r="3386">
      <c r="A3386" s="25" t="s">
        <v>18392</v>
      </c>
      <c r="B3386" s="25" t="s">
        <v>18414</v>
      </c>
      <c r="C3386" s="26" t="str">
        <f>HYPERLINK("https://audio.iskcondesiretree.com/02_-_ISKCON_Swamis/ISKCON_Swamis_-_R_to_Y/His_Holiness_Radhanath_Swami/Lectures/01_-_Theme_wise/Dhaams/01_-_General/05.Perceiving_Vrindavan_-_Radhanath_Swami_Mumbai_1991-10-14_IDesireTree.mp3", "05.Perceiving_Vrindavan_-_Radhanath_Swami_Mumbai_1991-10-14_IDesireTree.mp3")</f>
        <v>05.Perceiving_Vrindavan_-_Radhanath_Swami_Mumbai_1991-10-14_IDesireTree.mp3</v>
      </c>
      <c r="D3386" s="24"/>
      <c r="E3386" s="24"/>
    </row>
    <row r="3387">
      <c r="A3387" s="25" t="s">
        <v>18392</v>
      </c>
      <c r="B3387" s="25" t="s">
        <v>18414</v>
      </c>
      <c r="C3387" s="26" t="str">
        <f>HYPERLINK("https://audio.iskcondesiretree.com/02_-_ISKCON_Swamis/ISKCON_Swamis_-_R_to_Y/His_Holiness_Radhanath_Swami/Lectures/01_-_Theme_wise/Dhaams/01_-_General/06.Establishing_the_Spirit_of_Yatra_-_Radhanath_Swami_IDesireTree.mp3", "06.Establishing_the_Spirit_of_Yatra_-_Radhanath_Swami_IDesireTree.mp3")</f>
        <v>06.Establishing_the_Spirit_of_Yatra_-_Radhanath_Swami_IDesireTree.mp3</v>
      </c>
      <c r="D3387" s="24"/>
      <c r="E3387" s="24"/>
    </row>
    <row r="3388">
      <c r="A3388" s="25" t="s">
        <v>18392</v>
      </c>
      <c r="B3388" s="25" t="s">
        <v>18414</v>
      </c>
      <c r="C3388" s="26" t="str">
        <f>HYPERLINK("https://audio.iskcondesiretree.com/02_-_ISKCON_Swamis/ISKCON_Swamis_-_R_to_Y/His_Holiness_Radhanath_Swami/Lectures/01_-_Theme_wise/Dhaams/01_-_General/07.Qualifications_to_Enter_the_Holy_Dhama.mp3", "07.Qualifications_to_Enter_the_Holy_Dhama.mp3")</f>
        <v>07.Qualifications_to_Enter_the_Holy_Dhama.mp3</v>
      </c>
      <c r="D3388" s="24"/>
      <c r="E3388" s="24"/>
    </row>
    <row r="3389">
      <c r="A3389" s="25" t="s">
        <v>18392</v>
      </c>
      <c r="B3389" s="25" t="s">
        <v>18414</v>
      </c>
      <c r="C3389" s="26" t="str">
        <f>HYPERLINK("https://audio.iskcondesiretree.com/02_-_ISKCON_Swamis/ISKCON_Swamis_-_R_to_Y/His_Holiness_Radhanath_Swami/Lectures/01_-_Theme_wise/Dhaams/01_-_General/08.Taking_the_Spirit_of_Vrindavan_Everywhere_-_Radhanath_Swami_IDesireTree.mp3", "08.Taking_the_Spirit_of_Vrindavan_Everywhere_-_Radhanath_Swami_IDesireTree.mp3")</f>
        <v>08.Taking_the_Spirit_of_Vrindavan_Everywhere_-_Radhanath_Swami_IDesireTree.mp3</v>
      </c>
      <c r="D3389" s="24"/>
      <c r="E3389" s="24"/>
    </row>
    <row r="3390">
      <c r="A3390" s="25" t="s">
        <v>18392</v>
      </c>
      <c r="B3390" s="25" t="s">
        <v>18414</v>
      </c>
      <c r="C3390" s="26" t="str">
        <f>HYPERLINK("https://audio.iskcondesiretree.com/02_-_ISKCON_Swamis/ISKCON_Swamis_-_R_to_Y/His_Holiness_Radhanath_Swami/Lectures/01_-_Theme_wise/Dhaams/01_-_General/09.The_Mood_of_Entering_Vrindavan.mp3", "09.The_Mood_of_Entering_Vrindavan.mp3")</f>
        <v>09.The_Mood_of_Entering_Vrindavan.mp3</v>
      </c>
      <c r="D3390" s="24"/>
      <c r="E3390" s="24"/>
    </row>
    <row r="3391">
      <c r="A3391" s="25" t="s">
        <v>18392</v>
      </c>
      <c r="B3391" s="25" t="s">
        <v>18414</v>
      </c>
      <c r="C3391" s="26" t="str">
        <f>HYPERLINK("https://audio.iskcondesiretree.com/02_-_ISKCON_Swamis/ISKCON_Swamis_-_R_to_Y/His_Holiness_Radhanath_Swami/Lectures/01_-_Theme_wise/Dhaams/02_-_Ashrams/Lecture_at_Fugla_Ashram_-_Radhanath_Swami_IDesireTree.mp3", "Lecture_at_Fugla_Ashram_-_Radhanath_Swami_IDesireTree.mp3")</f>
        <v>Lecture_at_Fugla_Ashram_-_Radhanath_Swami_IDesireTree.mp3</v>
      </c>
      <c r="D3391" s="24"/>
      <c r="E3391" s="24"/>
    </row>
    <row r="3392">
      <c r="A3392" s="25" t="s">
        <v>18392</v>
      </c>
      <c r="B3392" s="25" t="s">
        <v>18414</v>
      </c>
      <c r="C3392" s="26" t="str">
        <f>HYPERLINK("https://audio.iskcondesiretree.com/02_-_ISKCON_Swamis/ISKCON_Swamis_-_R_to_Y/His_Holiness_Radhanath_Swami/Lectures/01_-_Theme_wise/Dhaams/03_-_Ghaats/Akrura_Ghat/01.Lecture_at_Akrura_ghat_01_-_Radhanath_Swami_IDesireTree.mp3", "01.Lecture_at_Akrura_ghat_01_-_Radhanath_Swami_IDesireTree.mp3")</f>
        <v>01.Lecture_at_Akrura_ghat_01_-_Radhanath_Swami_IDesireTree.mp3</v>
      </c>
      <c r="D3392" s="24"/>
      <c r="E3392" s="24"/>
    </row>
    <row r="3393">
      <c r="A3393" s="25" t="s">
        <v>18392</v>
      </c>
      <c r="B3393" s="25" t="s">
        <v>18414</v>
      </c>
      <c r="C3393" s="26" t="str">
        <f>HYPERLINK("https://audio.iskcondesiretree.com/02_-_ISKCON_Swamis/ISKCON_Swamis_-_R_to_Y/His_Holiness_Radhanath_Swami/Lectures/01_-_Theme_wise/Dhaams/03_-_Ghaats/Akrura_Ghat/01.Lecture_at_Akrura_ghat_02_-_Radhanath_Swami_IDesireTree.mp3", "01.Lecture_at_Akrura_ghat_02_-_Radhanath_Swami_IDesireTree.mp3")</f>
        <v>01.Lecture_at_Akrura_ghat_02_-_Radhanath_Swami_IDesireTree.mp3</v>
      </c>
      <c r="D3393" s="24"/>
      <c r="E3393" s="24"/>
    </row>
    <row r="3394">
      <c r="A3394" s="25" t="s">
        <v>18392</v>
      </c>
      <c r="B3394" s="25" t="s">
        <v>18414</v>
      </c>
      <c r="C3394" s="26" t="str">
        <f>HYPERLINK("https://audio.iskcondesiretree.com/02_-_ISKCON_Swamis/ISKCON_Swamis_-_R_to_Y/His_Holiness_Radhanath_Swami/Lectures/01_-_Theme_wise/Dhaams/03_-_Ghaats/Kaliya_Ghat/01.Lecture_at_kaliya_ghat_-_Radhanath_Swami_IDesireTree.mp3", "01.Lecture_at_kaliya_ghat_-_Radhanath_Swami_IDesireTree.mp3")</f>
        <v>01.Lecture_at_kaliya_ghat_-_Radhanath_Swami_IDesireTree.mp3</v>
      </c>
      <c r="D3394" s="24"/>
      <c r="E3394" s="24"/>
    </row>
    <row r="3395">
      <c r="A3395" s="25" t="s">
        <v>18392</v>
      </c>
      <c r="B3395" s="25" t="s">
        <v>18414</v>
      </c>
      <c r="C3395" s="26" t="str">
        <f>HYPERLINK("https://audio.iskcondesiretree.com/02_-_ISKCON_Swamis/ISKCON_Swamis_-_R_to_Y/His_Holiness_Radhanath_Swami/Lectures/01_-_Theme_wise/Dhaams/03_-_Ghaats/Kaliya_Ghat/02.Lecture_at_kaliya_ghat_-_Radhanath_Swami_IDesireTree.mp3", "02.Lecture_at_kaliya_ghat_-_Radhanath_Swami_IDesireTree.mp3")</f>
        <v>02.Lecture_at_kaliya_ghat_-_Radhanath_Swami_IDesireTree.mp3</v>
      </c>
      <c r="D3395" s="24"/>
      <c r="E3395" s="24"/>
    </row>
    <row r="3396">
      <c r="A3396" s="25" t="s">
        <v>18392</v>
      </c>
      <c r="B3396" s="25" t="s">
        <v>18414</v>
      </c>
      <c r="C3396" s="26" t="str">
        <f>HYPERLINK("https://audio.iskcondesiretree.com/02_-_ISKCON_Swamis/ISKCON_Swamis_-_R_to_Y/His_Holiness_Radhanath_Swami/Lectures/01_-_Theme_wise/Dhaams/04_-_Various_places_in_Vrindavana/01_-_Gokul/01.Pastimes_of_Gokula_-_Gokula_Mahavana_IDesireTree.mp3", "01.Pastimes_of_Gokula_-_Gokula_Mahavana_IDesireTree.mp3")</f>
        <v>01.Pastimes_of_Gokula_-_Gokula_Mahavana_IDesireTree.mp3</v>
      </c>
      <c r="D3396" s="24"/>
      <c r="E3396" s="24"/>
    </row>
    <row r="3397">
      <c r="A3397" s="25" t="s">
        <v>18392</v>
      </c>
      <c r="B3397" s="25" t="s">
        <v>18414</v>
      </c>
      <c r="C3397" s="26" t="str">
        <f>HYPERLINK("https://audio.iskcondesiretree.com/02_-_ISKCON_Swamis/ISKCON_Swamis_-_R_to_Y/His_Holiness_Radhanath_Swami/Lectures/01_-_Theme_wise/Dhaams/04_-_Various_places_in_Vrindavana/01_-_Gokul/02.Lecture_at_Gokula-01_-_Radhanath_Swami_IDesireTree.mp3", "02.Lecture_at_Gokula-01_-_Radhanath_Swami_IDesireTree.mp3")</f>
        <v>02.Lecture_at_Gokula-01_-_Radhanath_Swami_IDesireTree.mp3</v>
      </c>
      <c r="D3397" s="24"/>
      <c r="E3397" s="24"/>
    </row>
    <row r="3398">
      <c r="A3398" s="25" t="s">
        <v>18392</v>
      </c>
      <c r="B3398" s="25" t="s">
        <v>18414</v>
      </c>
      <c r="C3398" s="26" t="str">
        <f>HYPERLINK("https://audio.iskcondesiretree.com/02_-_ISKCON_Swamis/ISKCON_Swamis_-_R_to_Y/His_Holiness_Radhanath_Swami/Lectures/01_-_Theme_wise/Dhaams/04_-_Various_places_in_Vrindavana/01_-_Gokul/03.Lecture_at_Gokula-02_-_Radhanath_Swami_IDesireTree.mp3", "03.Lecture_at_Gokula-02_-_Radhanath_Swami_IDesireTree.mp3")</f>
        <v>03.Lecture_at_Gokula-02_-_Radhanath_Swami_IDesireTree.mp3</v>
      </c>
      <c r="D3398" s="24"/>
      <c r="E3398" s="24"/>
    </row>
    <row r="3399">
      <c r="A3399" s="25" t="s">
        <v>18392</v>
      </c>
      <c r="B3399" s="25" t="s">
        <v>18414</v>
      </c>
      <c r="C3399" s="26" t="str">
        <f>HYPERLINK("https://audio.iskcondesiretree.com/02_-_ISKCON_Swamis/ISKCON_Swamis_-_R_to_Y/His_Holiness_Radhanath_Swami/Lectures/01_-_Theme_wise/Dhaams/04_-_Various_places_in_Vrindavana/01_-_Gokul/04.Lecture_at_Gokula-03_-_Radhanath_Swami_IDesireTree.mp3", "04.Lecture_at_Gokula-03_-_Radhanath_Swami_IDesireTree.mp3")</f>
        <v>04.Lecture_at_Gokula-03_-_Radhanath_Swami_IDesireTree.mp3</v>
      </c>
      <c r="D3399" s="24"/>
      <c r="E3399" s="24"/>
    </row>
    <row r="3400">
      <c r="A3400" s="25" t="s">
        <v>18392</v>
      </c>
      <c r="B3400" s="25" t="s">
        <v>18414</v>
      </c>
      <c r="C3400" s="26" t="str">
        <f>HYPERLINK("https://audio.iskcondesiretree.com/02_-_ISKCON_Swamis/ISKCON_Swamis_-_R_to_Y/His_Holiness_Radhanath_Swami/Lectures/01_-_Theme_wise/Dhaams/04_-_Various_places_in_Vrindavana/02%20-%20Govardhan%20Parikrama/01.Prayers_to_Begin_Govardhana_Parikrama_IDesireTree"&amp;".mp3", "01.Prayers_to_Begin_Govardhana_Parikrama_IDesireTree.mp3")</f>
        <v>01.Prayers_to_Begin_Govardhana_Parikrama_IDesireTree.mp3</v>
      </c>
      <c r="D3400" s="24"/>
      <c r="E3400" s="24"/>
    </row>
    <row r="3401">
      <c r="A3401" s="25" t="s">
        <v>18392</v>
      </c>
      <c r="B3401" s="25" t="s">
        <v>18414</v>
      </c>
      <c r="C3401" s="26" t="str">
        <f>HYPERLINK("https://audio.iskcondesiretree.com/02_-_ISKCON_Swamis/ISKCON_Swamis_-_R_to_Y/His_Holiness_Radhanath_Swami/Lectures/01_-_Theme_wise/Dhaams/04_-_Various_places_in_Vrindavana/02%20-%20Govardhan%20Parikrama/02.The_Lifting_of_Govardhana_Hill_IDesireTree.mp3", "02.The_Lifting_of_Govardhana_Hill_IDesireTree.mp3")</f>
        <v>02.The_Lifting_of_Govardhana_Hill_IDesireTree.mp3</v>
      </c>
      <c r="D3401" s="24"/>
      <c r="E3401" s="24"/>
    </row>
    <row r="3402">
      <c r="A3402" s="25" t="s">
        <v>18392</v>
      </c>
      <c r="B3402" s="25" t="s">
        <v>18414</v>
      </c>
      <c r="C3402" s="26" t="str">
        <f>HYPERLINK("https://audio.iskcondesiretree.com/02_-_ISKCON_Swamis/ISKCON_Swamis_-_R_to_Y/His_Holiness_Radhanath_Swami/Lectures/01_-_Theme_wise/Dhaams/04_-_Various_places_in_Vrindavana/02%20-%20Govardhan%20Parikrama/03.Parikrama_Completion_Prayers_IDesireTree.mp3", "03.Parikrama_Completion_Prayers_IDesireTree.mp3")</f>
        <v>03.Parikrama_Completion_Prayers_IDesireTree.mp3</v>
      </c>
      <c r="D3402" s="24"/>
      <c r="E3402" s="24"/>
    </row>
    <row r="3403">
      <c r="A3403" s="25" t="s">
        <v>18392</v>
      </c>
      <c r="B3403" s="25" t="s">
        <v>18414</v>
      </c>
      <c r="C3403" s="26" t="str">
        <f>HYPERLINK("https://audio.iskcondesiretree.com/02_-_ISKCON_Swamis/ISKCON_Swamis_-_R_to_Y/His_Holiness_Radhanath_Swami/Lectures/01_-_Theme_wise/Dhaams/04_-_Various_places_in_Vrindavana/02%20-%20Govardhan%20Parikrama/04.Pastimes_of_Govardhan_Lila_in_boat_IDesireTree.mp"&amp;"3", "04.Pastimes_of_Govardhan_Lila_in_boat_IDesireTree.mp3")</f>
        <v>04.Pastimes_of_Govardhan_Lila_in_boat_IDesireTree.mp3</v>
      </c>
      <c r="D3403" s="24"/>
      <c r="E3403" s="24"/>
    </row>
    <row r="3404">
      <c r="A3404" s="25" t="s">
        <v>18392</v>
      </c>
      <c r="B3404" s="25" t="s">
        <v>18414</v>
      </c>
      <c r="C3404" s="26" t="str">
        <f>HYPERLINK("https://audio.iskcondesiretree.com/02_-_ISKCON_Swamis/ISKCON_Swamis_-_R_to_Y/His_Holiness_Radhanath_Swami/Lectures/01_-_Theme_wise/Dhaams/04_-_Various_places_in_Vrindavana/02%20-%20Govardhan%20Parikrama/05.Govardhan_Parikrama-01_IDesireTree.mp3", "05.Govardhan_Parikrama-01_IDesireTree.mp3")</f>
        <v>05.Govardhan_Parikrama-01_IDesireTree.mp3</v>
      </c>
      <c r="D3404" s="24"/>
      <c r="E3404" s="24"/>
    </row>
    <row r="3405">
      <c r="A3405" s="25" t="s">
        <v>18392</v>
      </c>
      <c r="B3405" s="25" t="s">
        <v>18414</v>
      </c>
      <c r="C3405" s="26" t="str">
        <f>HYPERLINK("https://audio.iskcondesiretree.com/02_-_ISKCON_Swamis/ISKCON_Swamis_-_R_to_Y/His_Holiness_Radhanath_Swami/Lectures/01_-_Theme_wise/Dhaams/04_-_Various_places_in_Vrindavana/02%20-%20Govardhan%20Parikrama/06.Govardhan_Parikrama-02_IDesireTree.mp3", "06.Govardhan_Parikrama-02_IDesireTree.mp3")</f>
        <v>06.Govardhan_Parikrama-02_IDesireTree.mp3</v>
      </c>
      <c r="D3405" s="24"/>
      <c r="E3405" s="24"/>
    </row>
    <row r="3406">
      <c r="A3406" s="25" t="s">
        <v>18392</v>
      </c>
      <c r="B3406" s="25" t="s">
        <v>18414</v>
      </c>
      <c r="C3406" s="26" t="str">
        <f>HYPERLINK("https://audio.iskcondesiretree.com/02_-_ISKCON_Swamis/ISKCON_Swamis_-_R_to_Y/His_Holiness_Radhanath_Swami/Lectures/01_-_Theme_wise/Dhaams/04_-_Various_places_in_Vrindavana/03_-_Kunds/01.Bhajan_and_Lecture_at_Govind_Kund_-_Radhanath_Swami_IDesireTree.mp3", "01.Bhajan_and_Lecture_at_Govind_Kund_-_Radhanath_Swami_IDesireTree.mp3")</f>
        <v>01.Bhajan_and_Lecture_at_Govind_Kund_-_Radhanath_Swami_IDesireTree.mp3</v>
      </c>
      <c r="D3406" s="24"/>
      <c r="E3406" s="24"/>
    </row>
    <row r="3407">
      <c r="A3407" s="25" t="s">
        <v>18392</v>
      </c>
      <c r="B3407" s="25" t="s">
        <v>18414</v>
      </c>
      <c r="C3407" s="26" t="str">
        <f>HYPERLINK("https://audio.iskcondesiretree.com/02_-_ISKCON_Swamis/ISKCON_Swamis_-_R_to_Y/His_Holiness_Radhanath_Swami/Lectures/01_-_Theme_wise/Dhaams/04_-_Various_places_in_Vrindavana/03_-_Kunds/02.Lecture_at_Govind_Kund_IDesireTree_-_Radhanath_Swami_IDesireTree.mp3", "02.Lecture_at_Govind_Kund_IDesireTree_-_Radhanath_Swami_IDesireTree.mp3")</f>
        <v>02.Lecture_at_Govind_Kund_IDesireTree_-_Radhanath_Swami_IDesireTree.mp3</v>
      </c>
      <c r="D3407" s="24"/>
      <c r="E3407" s="24"/>
    </row>
    <row r="3408">
      <c r="A3408" s="25" t="s">
        <v>18392</v>
      </c>
      <c r="B3408" s="25" t="s">
        <v>18414</v>
      </c>
      <c r="C3408" s="26" t="str">
        <f>HYPERLINK("https://audio.iskcondesiretree.com/02_-_ISKCON_Swamis/ISKCON_Swamis_-_R_to_Y/His_Holiness_Radhanath_Swami/Lectures/01_-_Theme_wise/Dhaams/04_-_Various_places_in_Vrindavana/03_-_Kunds/03.Bhajan_and_Lecture_at_Govind_Kund_-_Radhanath_Swami_IDesireTree.mp3", "03.Bhajan_and_Lecture_at_Govind_Kund_-_Radhanath_Swami_IDesireTree.mp3")</f>
        <v>03.Bhajan_and_Lecture_at_Govind_Kund_-_Radhanath_Swami_IDesireTree.mp3</v>
      </c>
      <c r="D3408" s="24"/>
      <c r="E3408" s="24"/>
    </row>
    <row r="3409">
      <c r="A3409" s="25" t="s">
        <v>18392</v>
      </c>
      <c r="B3409" s="25" t="s">
        <v>18414</v>
      </c>
      <c r="C3409" s="26" t="str">
        <f>HYPERLINK("https://audio.iskcondesiretree.com/02_-_ISKCON_Swamis/ISKCON_Swamis_-_R_to_Y/His_Holiness_Radhanath_Swami/Lectures/01_-_Theme_wise/Dhaams/04_-_Various_places_in_Vrindavana/03_-_Kunds/04.Lecture_at_Krsna_Kund_-_Radhanath_Swami_IDesireTree.mp3", "04.Lecture_at_Krsna_Kund_-_Radhanath_Swami_IDesireTree.mp3")</f>
        <v>04.Lecture_at_Krsna_Kund_-_Radhanath_Swami_IDesireTree.mp3</v>
      </c>
      <c r="D3409" s="24"/>
      <c r="E3409" s="24"/>
    </row>
    <row r="3410">
      <c r="A3410" s="25" t="s">
        <v>18392</v>
      </c>
      <c r="B3410" s="25" t="s">
        <v>18414</v>
      </c>
      <c r="C3410" s="26" t="str">
        <f>HYPERLINK("https://audio.iskcondesiretree.com/02_-_ISKCON_Swamis/ISKCON_Swamis_-_R_to_Y/His_Holiness_Radhanath_Swami/Lectures/01_-_Theme_wise/Dhaams/04_-_Various_places_in_Vrindavana/03_-_Kunds/05.The_Glories_of_Radha_Kunda_-_Radhanath_Swami_IDesireTree.mp3", "05.The_Glories_of_Radha_Kunda_-_Radhanath_Swami_IDesireTree.mp3")</f>
        <v>05.The_Glories_of_Radha_Kunda_-_Radhanath_Swami_IDesireTree.mp3</v>
      </c>
      <c r="D3410" s="24"/>
      <c r="E3410" s="24"/>
    </row>
    <row r="3411">
      <c r="A3411" s="25" t="s">
        <v>18392</v>
      </c>
      <c r="B3411" s="25" t="s">
        <v>18414</v>
      </c>
      <c r="C3411" s="26" t="str">
        <f>HYPERLINK("https://audio.iskcondesiretree.com/02_-_ISKCON_Swamis/ISKCON_Swamis_-_R_to_Y/His_Holiness_Radhanath_Swami/Lectures/01_-_Theme_wise/Dhaams/04_-_Various_places_in_Vrindavana/03_-_Kunds/06.Bathing_with_Strong_Faith_-_Radhanath_Swami_IDesireTree.mp3", "06.Bathing_with_Strong_Faith_-_Radhanath_Swami_IDesireTree.mp3")</f>
        <v>06.Bathing_with_Strong_Faith_-_Radhanath_Swami_IDesireTree.mp3</v>
      </c>
      <c r="D3411" s="24"/>
      <c r="E3411" s="24"/>
    </row>
    <row r="3412">
      <c r="A3412" s="25" t="s">
        <v>18392</v>
      </c>
      <c r="B3412" s="25" t="s">
        <v>18414</v>
      </c>
      <c r="C3412" s="26" t="str">
        <f>HYPERLINK("https://audio.iskcondesiretree.com/02_-_ISKCON_Swamis/ISKCON_Swamis_-_R_to_Y/His_Holiness_Radhanath_Swami/Lectures/01_-_Theme_wise/Dhaams/04_-_Various_places_in_Vrindavana/03_-_Kunds/07.Lecture_at_Radhakund_-_Radhanath_Swami_IDesireTree.mp3", "07.Lecture_at_Radhakund_-_Radhanath_Swami_IDesireTree.mp3")</f>
        <v>07.Lecture_at_Radhakund_-_Radhanath_Swami_IDesireTree.mp3</v>
      </c>
      <c r="D3412" s="24"/>
      <c r="E3412" s="24"/>
    </row>
    <row r="3413">
      <c r="A3413" s="25" t="s">
        <v>18392</v>
      </c>
      <c r="B3413" s="25" t="s">
        <v>18414</v>
      </c>
      <c r="C3413" s="26" t="str">
        <f>HYPERLINK("https://audio.iskcondesiretree.com/02_-_ISKCON_Swamis/ISKCON_Swamis_-_R_to_Y/His_Holiness_Radhanath_Swami/Lectures/01_-_Theme_wise/Dhaams/04_-_Various_places_in_Vrindavana/03_-_Kunds/08.Lecture_at_Surya_Kund_-_Radhanath_Swami_IDesireTree.mp3", "08.Lecture_at_Surya_Kund_-_Radhanath_Swami_IDesireTree.mp3")</f>
        <v>08.Lecture_at_Surya_Kund_-_Radhanath_Swami_IDesireTree.mp3</v>
      </c>
      <c r="D3413" s="24"/>
      <c r="E3413" s="24"/>
    </row>
    <row r="3414">
      <c r="A3414" s="25" t="s">
        <v>18392</v>
      </c>
      <c r="B3414" s="25" t="s">
        <v>18414</v>
      </c>
      <c r="C3414" s="26" t="str">
        <f>HYPERLINK("https://audio.iskcondesiretree.com/02_-_ISKCON_Swamis/ISKCON_Swamis_-_R_to_Y/His_Holiness_Radhanath_Swami/Lectures/01_-_Theme_wise/Dhaams/04_-_Various_places_in_Vrindavana/03_-_Kunds/09.Lecture_at_uddhava_kund_-_Radhanath_Swami_IDesireTree.mp3", "09.Lecture_at_uddhava_kund_-_Radhanath_Swami_IDesireTree.mp3")</f>
        <v>09.Lecture_at_uddhava_kund_-_Radhanath_Swami_IDesireTree.mp3</v>
      </c>
      <c r="D3414" s="24"/>
      <c r="E3414" s="24"/>
    </row>
    <row r="3415">
      <c r="A3415" s="25" t="s">
        <v>18392</v>
      </c>
      <c r="B3415" s="25" t="s">
        <v>18414</v>
      </c>
      <c r="C3415" s="26" t="str">
        <f>HYPERLINK("https://audio.iskcondesiretree.com/02_-_ISKCON_Swamis/ISKCON_Swamis_-_R_to_Y/His_Holiness_Radhanath_Swami/Lectures/01_-_Theme_wise/Dhaams/04_-_Various_places_in_Vrindavana/03_-_Kunds/10.Lecture_at_vrinda_kund_with_Bhagavat_Prasad_Pr_IDesireTree.mp3", "10.Lecture_at_vrinda_kund_with_Bhagavat_Prasad_Pr_IDesireTree.mp3")</f>
        <v>10.Lecture_at_vrinda_kund_with_Bhagavat_Prasad_Pr_IDesireTree.mp3</v>
      </c>
      <c r="D3415" s="24"/>
      <c r="E3415" s="24"/>
    </row>
    <row r="3416">
      <c r="A3416" s="25" t="s">
        <v>18392</v>
      </c>
      <c r="B3416" s="25" t="s">
        <v>18414</v>
      </c>
      <c r="C3416" s="26" t="str">
        <f>HYPERLINK("https://audio.iskcondesiretree.com/02_-_ISKCON_Swamis/ISKCON_Swamis_-_R_to_Y/His_Holiness_Radhanath_Swami/Lectures/01_-_Theme_wise/Dhaams/04_-_Various_places_in_Vrindavana/04_-_Sarovars/01.Lecture_at_Candra_Sarovar_-_Radhanath_Swami_IDesireTree.mp3", "01.Lecture_at_Candra_Sarovar_-_Radhanath_Swami_IDesireTree.mp3")</f>
        <v>01.Lecture_at_Candra_Sarovar_-_Radhanath_Swami_IDesireTree.mp3</v>
      </c>
      <c r="D3416" s="24"/>
      <c r="E3416" s="24"/>
    </row>
    <row r="3417">
      <c r="A3417" s="25" t="s">
        <v>18392</v>
      </c>
      <c r="B3417" s="25" t="s">
        <v>18414</v>
      </c>
      <c r="C3417" s="26" t="str">
        <f>HYPERLINK("https://audio.iskcondesiretree.com/02_-_ISKCON_Swamis/ISKCON_Swamis_-_R_to_Y/His_Holiness_Radhanath_Swami/Lectures/01_-_Theme_wise/Dhaams/04_-_Various_places_in_Vrindavana/04_-_Sarovars/02.Bhajan_and_Lecture_-_Maan_Sarovar_IDesireTree.mp3", "02.Bhajan_and_Lecture_-_Maan_Sarovar_IDesireTree.mp3")</f>
        <v>02.Bhajan_and_Lecture_-_Maan_Sarovar_IDesireTree.mp3</v>
      </c>
      <c r="D3417" s="24"/>
      <c r="E3417" s="24"/>
    </row>
    <row r="3418">
      <c r="A3418" s="25" t="s">
        <v>18392</v>
      </c>
      <c r="B3418" s="25" t="s">
        <v>18414</v>
      </c>
      <c r="C3418" s="26" t="str">
        <f>HYPERLINK("https://audio.iskcondesiretree.com/02_-_ISKCON_Swamis/ISKCON_Swamis_-_R_to_Y/His_Holiness_Radhanath_Swami/Lectures/01_-_Theme_wise/Dhaams/04_-_Various_places_in_Vrindavana/04_-_Sarovars/02.Lecture_at_Kusum_Sarovar-01_-_Radhanath_Swami_IDesireTree.mp3", "02.Lecture_at_Kusum_Sarovar-01_-_Radhanath_Swami_IDesireTree.mp3")</f>
        <v>02.Lecture_at_Kusum_Sarovar-01_-_Radhanath_Swami_IDesireTree.mp3</v>
      </c>
      <c r="D3418" s="24"/>
      <c r="E3418" s="24"/>
    </row>
    <row r="3419">
      <c r="A3419" s="25" t="s">
        <v>18392</v>
      </c>
      <c r="B3419" s="25" t="s">
        <v>18414</v>
      </c>
      <c r="C3419" s="26" t="str">
        <f>HYPERLINK("https://audio.iskcondesiretree.com/02_-_ISKCON_Swamis/ISKCON_Swamis_-_R_to_Y/His_Holiness_Radhanath_Swami/Lectures/01_-_Theme_wise/Dhaams/04_-_Various_places_in_Vrindavana/04_-_Sarovars/03.Lecture_at_Kusum_Sarovar-02_-_Radhanath_Swami_IDesireTree.mp3", "03.Lecture_at_Kusum_Sarovar-02_-_Radhanath_Swami_IDesireTree.mp3")</f>
        <v>03.Lecture_at_Kusum_Sarovar-02_-_Radhanath_Swami_IDesireTree.mp3</v>
      </c>
      <c r="D3419" s="24"/>
      <c r="E3419" s="24"/>
    </row>
    <row r="3420">
      <c r="A3420" s="25" t="s">
        <v>18392</v>
      </c>
      <c r="B3420" s="25" t="s">
        <v>18414</v>
      </c>
      <c r="C3420" s="26" t="str">
        <f>HYPERLINK("https://audio.iskcondesiretree.com/02_-_ISKCON_Swamis/ISKCON_Swamis_-_R_to_Y/His_Holiness_Radhanath_Swami/Lectures/01_-_Theme_wise/Dhaams/04_-_Various_places_in_Vrindavana/04_-_Sarovars/04.Concluding_speech_at_kusum_Sarovar_IDesireTree.mp3", "04.Concluding_speech_at_kusum_Sarovar_IDesireTree.mp3")</f>
        <v>04.Concluding_speech_at_kusum_Sarovar_IDesireTree.mp3</v>
      </c>
      <c r="D3420" s="24"/>
      <c r="E3420" s="24"/>
    </row>
    <row r="3421">
      <c r="A3421" s="25" t="s">
        <v>18392</v>
      </c>
      <c r="B3421" s="25" t="s">
        <v>18414</v>
      </c>
      <c r="C3421" s="26" t="str">
        <f>HYPERLINK("https://audio.iskcondesiretree.com/02_-_ISKCON_Swamis/ISKCON_Swamis_-_R_to_Y/His_Holiness_Radhanath_Swami/Lectures/01_-_Theme_wise/Dhaams/04_-_Various_places_in_Vrindavana/04_-_Sarovars/06.Lecture_at_Pawan_sarovar_-_Radhanath_Swami_IDesireTree.mp3", "06.Lecture_at_Pawan_sarovar_-_Radhanath_Swami_IDesireTree.mp3")</f>
        <v>06.Lecture_at_Pawan_sarovar_-_Radhanath_Swami_IDesireTree.mp3</v>
      </c>
      <c r="D3421" s="24"/>
      <c r="E3421" s="24"/>
    </row>
    <row r="3422">
      <c r="A3422" s="25" t="s">
        <v>18392</v>
      </c>
      <c r="B3422" s="25" t="s">
        <v>18414</v>
      </c>
      <c r="C3422" s="26" t="str">
        <f>HYPERLINK("https://audio.iskcondesiretree.com/02_-_ISKCON_Swamis/ISKCON_Swamis_-_R_to_Y/His_Holiness_Radhanath_Swami/Lectures/01_-_Theme_wise/Dhaams/04_-_Various_places_in_Vrindavana/04_-_Sarovars/07.Pavan_Sarovar_-_Radhanath_Swami_IDesireTree.mp3", "07.Pavan_Sarovar_-_Radhanath_Swami_IDesireTree.mp3")</f>
        <v>07.Pavan_Sarovar_-_Radhanath_Swami_IDesireTree.mp3</v>
      </c>
      <c r="D3422" s="24"/>
      <c r="E3422" s="24"/>
    </row>
    <row r="3423">
      <c r="A3423" s="25" t="s">
        <v>18392</v>
      </c>
      <c r="B3423" s="25" t="s">
        <v>18414</v>
      </c>
      <c r="C3423" s="26" t="str">
        <f>HYPERLINK("https://audio.iskcondesiretree.com/02_-_ISKCON_Swamis/ISKCON_Swamis_-_R_to_Y/His_Holiness_Radhanath_Swami/Lectures/01_-_Theme_wise/Dhaams/04_-_Various_places_in_Vrindavana/05_-_Temples/01.Lecture_at_Radha_Damodar_Temple_-_Radhanath_Swami_IDesireTree.mp3", "01.Lecture_at_Radha_Damodar_Temple_-_Radhanath_Swami_IDesireTree.mp3")</f>
        <v>01.Lecture_at_Radha_Damodar_Temple_-_Radhanath_Swami_IDesireTree.mp3</v>
      </c>
      <c r="D3423" s="24"/>
      <c r="E3423" s="24"/>
    </row>
    <row r="3424">
      <c r="A3424" s="25" t="s">
        <v>18392</v>
      </c>
      <c r="B3424" s="25" t="s">
        <v>18414</v>
      </c>
      <c r="C3424" s="26" t="str">
        <f>HYPERLINK("https://audio.iskcondesiretree.com/02_-_ISKCON_Swamis/ISKCON_Swamis_-_R_to_Y/His_Holiness_Radhanath_Swami/Lectures/01_-_Theme_wise/Dhaams/04_-_Various_places_in_Vrindavana/05_-_Temples/02.Lecture_at_Radha_Gopijanvallabh_Temple-01_IDesireTree.mp3", "02.Lecture_at_Radha_Gopijanvallabh_Temple-01_IDesireTree.mp3")</f>
        <v>02.Lecture_at_Radha_Gopijanvallabh_Temple-01_IDesireTree.mp3</v>
      </c>
      <c r="D3424" s="24"/>
      <c r="E3424" s="24"/>
    </row>
    <row r="3425">
      <c r="A3425" s="25" t="s">
        <v>18392</v>
      </c>
      <c r="B3425" s="25" t="s">
        <v>18414</v>
      </c>
      <c r="C3425" s="26" t="str">
        <f>HYPERLINK("https://audio.iskcondesiretree.com/02_-_ISKCON_Swamis/ISKCON_Swamis_-_R_to_Y/His_Holiness_Radhanath_Swami/Lectures/01_-_Theme_wise/Dhaams/04_-_Various_places_in_Vrindavana/05_-_Temples/03.Lecture_at_Radha_Gopijanvallabh_Temple-02_IDesireTree.mp3", "03.Lecture_at_Radha_Gopijanvallabh_Temple-02_IDesireTree.mp3")</f>
        <v>03.Lecture_at_Radha_Gopijanvallabh_Temple-02_IDesireTree.mp3</v>
      </c>
      <c r="D3425" s="24"/>
      <c r="E3425" s="24"/>
    </row>
    <row r="3426">
      <c r="A3426" s="25" t="s">
        <v>18392</v>
      </c>
      <c r="B3426" s="25" t="s">
        <v>18414</v>
      </c>
      <c r="C3426" s="26" t="str">
        <f>HYPERLINK("https://audio.iskcondesiretree.com/02_-_ISKCON_Swamis/ISKCON_Swamis_-_R_to_Y/His_Holiness_Radhanath_Swami/Lectures/01_-_Theme_wise/Dhaams/04_-_Various_places_in_Vrindavana/05_-_Temples/04.Lecture_at_Radha_Govindji_Temple_-_Radhanath_Swami_IDesireTree.mp3", "04.Lecture_at_Radha_Govindji_Temple_-_Radhanath_Swami_IDesireTree.mp3")</f>
        <v>04.Lecture_at_Radha_Govindji_Temple_-_Radhanath_Swami_IDesireTree.mp3</v>
      </c>
      <c r="D3426" s="24"/>
      <c r="E3426" s="24"/>
    </row>
    <row r="3427">
      <c r="A3427" s="25" t="s">
        <v>18392</v>
      </c>
      <c r="B3427" s="25" t="s">
        <v>18414</v>
      </c>
      <c r="C3427" s="26" t="str">
        <f>HYPERLINK("https://audio.iskcondesiretree.com/02_-_ISKCON_Swamis/ISKCON_Swamis_-_R_to_Y/His_Holiness_Radhanath_Swami/Lectures/01_-_Theme_wise/Dhaams/04_-_Various_places_in_Vrindavana/05_-_Temples/05.Raval_Dauji_Temple_-_Radhanath_Swami_IDesireTree.mp3", "05.Raval_Dauji_Temple_-_Radhanath_Swami_IDesireTree.mp3")</f>
        <v>05.Raval_Dauji_Temple_-_Radhanath_Swami_IDesireTree.mp3</v>
      </c>
      <c r="D3427" s="24"/>
      <c r="E3427" s="24"/>
    </row>
    <row r="3428">
      <c r="A3428" s="25" t="s">
        <v>18392</v>
      </c>
      <c r="B3428" s="25" t="s">
        <v>18414</v>
      </c>
      <c r="C3428" s="26" t="str">
        <f>HYPERLINK("https://audio.iskcondesiretree.com/02_-_ISKCON_Swamis/ISKCON_Swamis_-_R_to_Y/His_Holiness_Radhanath_Swami/Lectures/01_-_Theme_wise/Dhaams/04_-_Various_places_in_Vrindavana/05_-_Temples/06.The_Seven_Main_Temples_of_Vrindavan_IDesireTree.mp3", "06.The_Seven_Main_Temples_of_Vrindavan_IDesireTree.mp3")</f>
        <v>06.The_Seven_Main_Temples_of_Vrindavan_IDesireTree.mp3</v>
      </c>
      <c r="D3428" s="24"/>
      <c r="E3428" s="24"/>
    </row>
    <row r="3429">
      <c r="A3429" s="25" t="s">
        <v>18392</v>
      </c>
      <c r="B3429" s="25" t="s">
        <v>18414</v>
      </c>
      <c r="C3429" s="26" t="str">
        <f>HYPERLINK("https://audio.iskcondesiretree.com/02_-_ISKCON_Swamis/ISKCON_Swamis_-_R_to_Y/His_Holiness_Radhanath_Swami/Lectures/01_-_Theme_wise/Dhaams/04_-_Various_places_in_Vrindavana/05_-_Temples/07.Various_Temples_Of_Vrindavan-01_-_Radhanath_Swami_IDesireTree.mp3", "07.Various_Temples_Of_Vrindavan-01_-_Radhanath_Swami_IDesireTree.mp3")</f>
        <v>07.Various_Temples_Of_Vrindavan-01_-_Radhanath_Swami_IDesireTree.mp3</v>
      </c>
      <c r="D3429" s="24"/>
      <c r="E3429" s="24"/>
    </row>
    <row r="3430">
      <c r="A3430" s="25" t="s">
        <v>18392</v>
      </c>
      <c r="B3430" s="25" t="s">
        <v>18414</v>
      </c>
      <c r="C3430" s="26" t="str">
        <f>HYPERLINK("https://audio.iskcondesiretree.com/02_-_ISKCON_Swamis/ISKCON_Swamis_-_R_to_Y/His_Holiness_Radhanath_Swami/Lectures/01_-_Theme_wise/Dhaams/04_-_Various_places_in_Vrindavana/05_-_Temples/08.Various_Temples_Of_Vrindavan-02_-_Radhanath_Swami_IDesireTree.mp3", "08.Various_Temples_Of_Vrindavan-02_-_Radhanath_Swami_IDesireTree.mp3")</f>
        <v>08.Various_Temples_Of_Vrindavan-02_-_Radhanath_Swami_IDesireTree.mp3</v>
      </c>
      <c r="D3430" s="24"/>
      <c r="E3430" s="24"/>
    </row>
    <row r="3431">
      <c r="A3431" s="25" t="s">
        <v>18392</v>
      </c>
      <c r="B3431" s="25" t="s">
        <v>18414</v>
      </c>
      <c r="C3431" s="26" t="str">
        <f>HYPERLINK("https://audio.iskcondesiretree.com/02_-_ISKCON_Swamis/ISKCON_Swamis_-_R_to_Y/His_Holiness_Radhanath_Swami/Lectures/01_-_Theme_wise/Dhaams/04_-_Various_places_in_Vrindavana/06_-_Ter_Kadamba/01.Bhajan_%26_Lecture_at_Tera_kadam_IDesireTree.mp3", "01.Bhajan_%26_Lecture_at_Tera_kadam_IDesireTree.mp3")</f>
        <v>01.Bhajan_%26_Lecture_at_Tera_kadam_IDesireTree.mp3</v>
      </c>
      <c r="D3431" s="24"/>
      <c r="E3431" s="24"/>
    </row>
    <row r="3432">
      <c r="A3432" s="25" t="s">
        <v>18392</v>
      </c>
      <c r="B3432" s="25" t="s">
        <v>18414</v>
      </c>
      <c r="C3432" s="26" t="str">
        <f>HYPERLINK("https://audio.iskcondesiretree.com/02_-_ISKCON_Swamis/ISKCON_Swamis_-_R_to_Y/His_Holiness_Radhanath_Swami/Lectures/01_-_Theme_wise/Dhaams/04_-_Various_places_in_Vrindavana/06_-_Ter_Kadamba/02.Lecture_at_Tera_kadam-02_-_Radhanath_Swami_IDesireTree.mp3", "02.Lecture_at_Tera_kadam-02_-_Radhanath_Swami_IDesireTree.mp3")</f>
        <v>02.Lecture_at_Tera_kadam-02_-_Radhanath_Swami_IDesireTree.mp3</v>
      </c>
      <c r="D3432" s="24"/>
      <c r="E3432" s="24"/>
    </row>
    <row r="3433">
      <c r="A3433" s="25" t="s">
        <v>18392</v>
      </c>
      <c r="B3433" s="25" t="s">
        <v>18414</v>
      </c>
      <c r="C3433" s="26" t="str">
        <f>HYPERLINK("https://audio.iskcondesiretree.com/02_-_ISKCON_Swamis/ISKCON_Swamis_-_R_to_Y/His_Holiness_Radhanath_Swami/Lectures/01_-_Theme_wise/Dhaams/04_-_Various_places_in_Vrindavana/06_-_Ter_Kadamba/03.Terakadamba_-_Radhanath_Swami_IDesireTree.mp3", "03.Terakadamba_-_Radhanath_Swami_IDesireTree.mp3")</f>
        <v>03.Terakadamba_-_Radhanath_Swami_IDesireTree.mp3</v>
      </c>
      <c r="D3433" s="24"/>
      <c r="E3433" s="24"/>
    </row>
    <row r="3434">
      <c r="A3434" s="25" t="s">
        <v>18392</v>
      </c>
      <c r="B3434" s="25" t="s">
        <v>18414</v>
      </c>
      <c r="C3434" s="26" t="str">
        <f>HYPERLINK("https://audio.iskcondesiretree.com/02_-_ISKCON_Swamis/ISKCON_Swamis_-_R_to_Y/His_Holiness_Radhanath_Swami/Lectures/01_-_Theme_wise/Dhaams/04_-_Various_places_in_Vrindavana/07_-_Vanaas/01.Bandiravan_-_Radhanath_Swami_IDesireTree.mp3", "01.Bandiravan_-_Radhanath_Swami_IDesireTree.mp3")</f>
        <v>01.Bandiravan_-_Radhanath_Swami_IDesireTree.mp3</v>
      </c>
      <c r="D3434" s="24"/>
      <c r="E3434" s="24"/>
    </row>
    <row r="3435">
      <c r="A3435" s="25" t="s">
        <v>18392</v>
      </c>
      <c r="B3435" s="25" t="s">
        <v>18414</v>
      </c>
      <c r="C3435" s="26" t="str">
        <f>HYPERLINK("https://audio.iskcondesiretree.com/02_-_ISKCON_Swamis/ISKCON_Swamis_-_R_to_Y/His_Holiness_Radhanath_Swami/Lectures/01_-_Theme_wise/Dhaams/04_-_Various_places_in_Vrindavana/07_-_Vanaas/02.Lecture_at_Bilvavan_-_Radhanath_Swami_IDesireTree.mp3", "02.Lecture_at_Bilvavan_-_Radhanath_Swami_IDesireTree.mp3")</f>
        <v>02.Lecture_at_Bilvavan_-_Radhanath_Swami_IDesireTree.mp3</v>
      </c>
      <c r="D3435" s="24"/>
      <c r="E3435" s="24"/>
    </row>
    <row r="3436">
      <c r="A3436" s="25" t="s">
        <v>18392</v>
      </c>
      <c r="B3436" s="25" t="s">
        <v>18414</v>
      </c>
      <c r="C3436" s="26" t="str">
        <f>HYPERLINK("https://audio.iskcondesiretree.com/02_-_ISKCON_Swamis/ISKCON_Swamis_-_R_to_Y/His_Holiness_Radhanath_Swami/Lectures/01_-_Theme_wise/Dhaams/04_-_Various_places_in_Vrindavana/07_-_Vanaas/03.Kamyavana_with_Sachinanadana_Swami_-_Radhanath_Swami_IDesireTree.mp3", "03.Kamyavana_with_Sachinanadana_Swami_-_Radhanath_Swami_IDesireTree.mp3")</f>
        <v>03.Kamyavana_with_Sachinanadana_Swami_-_Radhanath_Swami_IDesireTree.mp3</v>
      </c>
      <c r="D3436" s="24"/>
      <c r="E3436" s="24"/>
    </row>
    <row r="3437">
      <c r="A3437" s="25" t="s">
        <v>18392</v>
      </c>
      <c r="B3437" s="25" t="s">
        <v>18414</v>
      </c>
      <c r="C3437" s="26" t="str">
        <f>HYPERLINK("https://audio.iskcondesiretree.com/02_-_ISKCON_Swamis/ISKCON_Swamis_-_R_to_Y/His_Holiness_Radhanath_Swami/Lectures/01_-_Theme_wise/Dhaams/04_-_Various_places_in_Vrindavana/07_-_Vanaas/04.Lecture_at_Shyamvan_-_Radhanath_Swami_IDesireTree.mp3", "04.Lecture_at_Shyamvan_-_Radhanath_Swami_IDesireTree.mp3")</f>
        <v>04.Lecture_at_Shyamvan_-_Radhanath_Swami_IDesireTree.mp3</v>
      </c>
      <c r="D3437" s="24"/>
      <c r="E3437" s="24"/>
    </row>
    <row r="3438">
      <c r="A3438" s="25" t="s">
        <v>18392</v>
      </c>
      <c r="B3438" s="25" t="s">
        <v>18414</v>
      </c>
      <c r="C3438" s="26" t="str">
        <f>HYPERLINK("https://audio.iskcondesiretree.com/02_-_ISKCON_Swamis/ISKCON_Swamis_-_R_to_Y/His_Holiness_Radhanath_Swami/Lectures/01_-_Theme_wise/Dhaams/04_-_Various_places_in_Vrindavana/07_-_Vanaas/05.Talvan_Madhuban_-_Radhanath_Swami_IDesireTree.mp3", "05.Talvan_Madhuban_-_Radhanath_Swami_IDesireTree.mp3")</f>
        <v>05.Talvan_Madhuban_-_Radhanath_Swami_IDesireTree.mp3</v>
      </c>
      <c r="D3438" s="24"/>
      <c r="E3438" s="24"/>
    </row>
    <row r="3439">
      <c r="A3439" s="25" t="s">
        <v>18392</v>
      </c>
      <c r="B3439" s="25" t="s">
        <v>18414</v>
      </c>
      <c r="C3439" s="26" t="str">
        <f>HYPERLINK("https://audio.iskcondesiretree.com/02_-_ISKCON_Swamis/ISKCON_Swamis_-_R_to_Y/His_Holiness_Radhanath_Swami/Lectures/01_-_Theme_wise/Dhaams/04_-_Various_places_in_Vrindavana/08_-_Barsana/01.The_Beautiful_Birthplace.mp3", "01.The_Beautiful_Birthplace.mp3")</f>
        <v>01.The_Beautiful_Birthplace.mp3</v>
      </c>
      <c r="D3439" s="24"/>
      <c r="E3439" s="24"/>
    </row>
    <row r="3440">
      <c r="A3440" s="25" t="s">
        <v>18392</v>
      </c>
      <c r="B3440" s="25" t="s">
        <v>18414</v>
      </c>
      <c r="C3440" s="26" t="str">
        <f>HYPERLINK("https://audio.iskcondesiretree.com/02_-_ISKCON_Swamis/ISKCON_Swamis_-_R_to_Y/His_Holiness_Radhanath_Swami/Lectures/01_-_Theme_wise/Dhaams/04_-_Various_places_in_Vrindavana/08_-_Barsana/02.Wonderful_Pastimes_of_Varsana_-_Radhanath_Swami_IDesireTree.mp3", "02.Wonderful_Pastimes_of_Varsana_-_Radhanath_Swami_IDesireTree.mp3")</f>
        <v>02.Wonderful_Pastimes_of_Varsana_-_Radhanath_Swami_IDesireTree.mp3</v>
      </c>
      <c r="D3440" s="24"/>
      <c r="E3440" s="24"/>
    </row>
    <row r="3441">
      <c r="A3441" s="25" t="s">
        <v>18392</v>
      </c>
      <c r="B3441" s="25" t="s">
        <v>18414</v>
      </c>
      <c r="C3441" s="26" t="str">
        <f>HYPERLINK("https://audio.iskcondesiretree.com/02_-_ISKCON_Swamis/ISKCON_Swamis_-_R_to_Y/His_Holiness_Radhanath_Swami/Lectures/01_-_Theme_wise/Dhaams/04_-_Various_places_in_Vrindavana/08_-_Barsana/03.Barsana-01_-_Radhanath_Swami_IDesireTree.mp3", "03.Barsana-01_-_Radhanath_Swami_IDesireTree.mp3")</f>
        <v>03.Barsana-01_-_Radhanath_Swami_IDesireTree.mp3</v>
      </c>
      <c r="D3441" s="24"/>
      <c r="E3441" s="24"/>
    </row>
    <row r="3442">
      <c r="A3442" s="25" t="s">
        <v>18392</v>
      </c>
      <c r="B3442" s="25" t="s">
        <v>18414</v>
      </c>
      <c r="C3442" s="26" t="str">
        <f>HYPERLINK("https://audio.iskcondesiretree.com/02_-_ISKCON_Swamis/ISKCON_Swamis_-_R_to_Y/His_Holiness_Radhanath_Swami/Lectures/01_-_Theme_wise/Dhaams/04_-_Various_places_in_Vrindavana/08_-_Barsana/04.Barsana-02_-_Radhanath_Swami_IDesireTree.mp3", "04.Barsana-02_-_Radhanath_Swami_IDesireTree.mp3")</f>
        <v>04.Barsana-02_-_Radhanath_Swami_IDesireTree.mp3</v>
      </c>
      <c r="D3442" s="24"/>
      <c r="E3442" s="24"/>
    </row>
    <row r="3443">
      <c r="A3443" s="25" t="s">
        <v>18392</v>
      </c>
      <c r="B3443" s="25" t="s">
        <v>18414</v>
      </c>
      <c r="C3443" s="26" t="str">
        <f>HYPERLINK("https://audio.iskcondesiretree.com/02_-_ISKCON_Swamis/ISKCON_Swamis_-_R_to_Y/His_Holiness_Radhanath_Swami/Lectures/01_-_Theme_wise/Dhaams/04_-_Various_places_in_Vrindavana/08_-_Barsana/05.Barsana-03_-_Radhanath_Swami_IDesireTree.mp3", "05.Barsana-03_-_Radhanath_Swami_IDesireTree.mp3")</f>
        <v>05.Barsana-03_-_Radhanath_Swami_IDesireTree.mp3</v>
      </c>
      <c r="D3443" s="24"/>
      <c r="E3443" s="24"/>
    </row>
    <row r="3444">
      <c r="A3444" s="25" t="s">
        <v>18392</v>
      </c>
      <c r="B3444" s="25" t="s">
        <v>18414</v>
      </c>
      <c r="C3444" s="26" t="str">
        <f>HYPERLINK("https://audio.iskcondesiretree.com/02_-_ISKCON_Swamis/ISKCON_Swamis_-_R_to_Y/His_Holiness_Radhanath_Swami/Lectures/01_-_Theme_wise/Dhaams/04_-_Various_places_in_Vrindavana/09_-_Vatas/01.Krishna%27s_Pastimes_at_Sringara_Vata_-_Radhanath_Swami_IDesireTree.m"&amp;"p3", "01.Krishna%27s_Pastimes_at_Sringara_Vata_-_Radhanath_Swami_IDesireTree.mp3")</f>
        <v>01.Krishna%27s_Pastimes_at_Sringara_Vata_-_Radhanath_Swami_IDesireTree.mp3</v>
      </c>
      <c r="D3444" s="24"/>
      <c r="E3444" s="24"/>
    </row>
    <row r="3445">
      <c r="A3445" s="25" t="s">
        <v>18392</v>
      </c>
      <c r="B3445" s="25" t="s">
        <v>18414</v>
      </c>
      <c r="C3445" s="26" t="str">
        <f>HYPERLINK("https://audio.iskcondesiretree.com/02_-_ISKCON_Swamis/ISKCON_Swamis_-_R_to_Y/His_Holiness_Radhanath_Swami/Lectures/01_-_Theme_wise/Dhaams/04_-_Various_places_in_Vrindavana/09_-_Vatas/02.Lecture_%26_Kirtan_at_Vamsi_Vatas_-_Radhanath_Swami_IDesireTree.mp3", "02.Lecture_%26_Kirtan_at_Vamsi_Vatas_-_Radhanath_Swami_IDesireTree.mp3")</f>
        <v>02.Lecture_%26_Kirtan_at_Vamsi_Vatas_-_Radhanath_Swami_IDesireTree.mp3</v>
      </c>
      <c r="D3445" s="24"/>
      <c r="E3445" s="24"/>
    </row>
    <row r="3446">
      <c r="A3446" s="25" t="s">
        <v>18392</v>
      </c>
      <c r="B3446" s="25" t="s">
        <v>18414</v>
      </c>
      <c r="C3446" s="26" t="str">
        <f>HYPERLINK("https://audio.iskcondesiretree.com/02_-_ISKCON_Swamis/ISKCON_Swamis_-_R_to_Y/His_Holiness_Radhanath_Swami/Lectures/01_-_Theme_wise/Dhaams/04_-_Various_places_in_Vrindavana/10_-_Other_places/01.The_Sacred_Lake_of_Nandagaon_-_Radhanath_Swami_IDesireTree.mp3", "01.The_Sacred_Lake_of_Nandagaon_-_Radhanath_Swami_IDesireTree.mp3")</f>
        <v>01.The_Sacred_Lake_of_Nandagaon_-_Radhanath_Swami_IDesireTree.mp3</v>
      </c>
      <c r="D3446" s="24"/>
      <c r="E3446" s="24"/>
    </row>
    <row r="3447">
      <c r="A3447" s="25" t="s">
        <v>18392</v>
      </c>
      <c r="B3447" s="25" t="s">
        <v>18414</v>
      </c>
      <c r="C3447" s="26" t="str">
        <f>HYPERLINK("https://audio.iskcondesiretree.com/02_-_ISKCON_Swamis/ISKCON_Swamis_-_R_to_Y/His_Holiness_Radhanath_Swami/Lectures/01_-_Theme_wise/Dhaams/04_-_Various_places_in_Vrindavana/10_-_Other_places/02.Nand_Gaon_-_Radhanath_Swami_IDesireTree.mp3", "02.Nand_Gaon_-_Radhanath_Swami_IDesireTree.mp3")</f>
        <v>02.Nand_Gaon_-_Radhanath_Swami_IDesireTree.mp3</v>
      </c>
      <c r="D3447" s="24"/>
      <c r="E3447" s="24"/>
    </row>
    <row r="3448">
      <c r="A3448" s="25" t="s">
        <v>18392</v>
      </c>
      <c r="B3448" s="25" t="s">
        <v>18414</v>
      </c>
      <c r="C3448" s="26" t="str">
        <f>HYPERLINK("https://audio.iskcondesiretree.com/02_-_ISKCON_Swamis/ISKCON_Swamis_-_R_to_Y/His_Holiness_Radhanath_Swami/Lectures/01_-_Theme_wise/Dhaams/04_-_Various_places_in_Vrindavana/10_-_Other_places/03.Rupa_Goswami%27s_Beautiful_Bhajan_Kutir_IDesireTree.mp3", "03.Rupa_Goswami%27s_Beautiful_Bhajan_Kutir_IDesireTree.mp3")</f>
        <v>03.Rupa_Goswami%27s_Beautiful_Bhajan_Kutir_IDesireTree.mp3</v>
      </c>
      <c r="D3448" s="24"/>
      <c r="E3448" s="24"/>
    </row>
    <row r="3449">
      <c r="A3449" s="25" t="s">
        <v>18392</v>
      </c>
      <c r="B3449" s="25" t="s">
        <v>18414</v>
      </c>
      <c r="C3449" s="26" t="str">
        <f>HYPERLINK("https://audio.iskcondesiretree.com/02_-_ISKCON_Swamis/ISKCON_Swamis_-_R_to_Y/His_Holiness_Radhanath_Swami/Lectures/01_-_Theme_wise/Dhaams/04_-_Various_places_in_Vrindavana/10_-_Other_places/04.Lecture_at_uddhava_kyari_-_Radhanath_Swami_IDesireTree.mp3", "04.Lecture_at_uddhava_kyari_-_Radhanath_Swami_IDesireTree.mp3")</f>
        <v>04.Lecture_at_uddhava_kyari_-_Radhanath_Swami_IDesireTree.mp3</v>
      </c>
      <c r="D3449" s="24"/>
      <c r="E3449" s="24"/>
    </row>
    <row r="3450">
      <c r="A3450" s="25" t="s">
        <v>18392</v>
      </c>
      <c r="B3450" s="25" t="s">
        <v>18414</v>
      </c>
      <c r="C3450" s="26" t="str">
        <f>HYPERLINK("https://audio.iskcondesiretree.com/02_-_ISKCON_Swamis/ISKCON_Swamis_-_R_to_Y/His_Holiness_Radhanath_Swami/Lectures/01_-_Theme_wise/Dhaams/04_-_Various_places_in_Vrindavana/10_-_Other_places/05.Talk_at_Yajya_Sthali_-_Radhanath_Swami_IDesireTree.mp3", "05.Talk_at_Yajya_Sthali_-_Radhanath_Swami_IDesireTree.mp3")</f>
        <v>05.Talk_at_Yajya_Sthali_-_Radhanath_Swami_IDesireTree.mp3</v>
      </c>
      <c r="D3450" s="24"/>
      <c r="E3450" s="24"/>
    </row>
    <row r="3451">
      <c r="A3451" s="25" t="s">
        <v>18392</v>
      </c>
      <c r="B3451" s="25" t="s">
        <v>18414</v>
      </c>
      <c r="C3451" s="26" t="str">
        <f>HYPERLINK("https://audio.iskcondesiretree.com/02_-_ISKCON_Swamis/ISKCON_Swamis_-_R_to_Y/His_Holiness_Radhanath_Swami/Lectures/01_-_Theme_wise/Dhaams/05_-_Various_places_in_Mayapur/01_-_Aam_Ghat/01.%20Lecture_at_Aam_Ghat_-_Radhanath_Swami_2003.mp3", "01.%20Lecture_at_Aam_Ghat_-_Radhanath_Swami_2003.mp3")</f>
        <v>01.%20Lecture_at_Aam_Ghat_-_Radhanath_Swami_2003.mp3</v>
      </c>
      <c r="D3451" s="24"/>
      <c r="E3451" s="24"/>
    </row>
    <row r="3452">
      <c r="A3452" s="25" t="s">
        <v>18392</v>
      </c>
      <c r="B3452" s="25" t="s">
        <v>18414</v>
      </c>
      <c r="C3452" s="26" t="str">
        <f>HYPERLINK("https://audio.iskcondesiretree.com/02_-_ISKCON_Swamis/ISKCON_Swamis_-_R_to_Y/His_Holiness_Radhanath_Swami/Lectures/01_-_Theme_wise/Dhaams/05_-_Various_places_in_Mayapur/02_-_Ambika_Kalana/Lecture_at_Anbika_Kalana_-_Radhanath_Swami_2003_IDesireTree.mp3", "Lecture_at_Anbika_Kalana_-_Radhanath_Swami_2003_IDesireTree.mp3")</f>
        <v>Lecture_at_Anbika_Kalana_-_Radhanath_Swami_2003_IDesireTree.mp3</v>
      </c>
      <c r="D3452" s="24"/>
      <c r="E3452" s="24"/>
    </row>
    <row r="3453">
      <c r="A3453" s="25" t="s">
        <v>18392</v>
      </c>
      <c r="B3453" s="25" t="s">
        <v>18414</v>
      </c>
      <c r="C3453" s="26" t="str">
        <f>HYPERLINK("https://audio.iskcondesiretree.com/02_-_ISKCON_Swamis/ISKCON_Swamis_-_R_to_Y/His_Holiness_Radhanath_Swami/Lectures/01_-_Theme_wise/Dhaams/05_-_Various_places_in_Mayapur/03_-_Champahatti/Lecture_at_Champahatti_-_Radhanath_Swami_2003_IDesireTree.mp3", "Lecture_at_Champahatti_-_Radhanath_Swami_2003_IDesireTree.mp3")</f>
        <v>Lecture_at_Champahatti_-_Radhanath_Swami_2003_IDesireTree.mp3</v>
      </c>
      <c r="D3453" s="24"/>
      <c r="E3453" s="24"/>
    </row>
    <row r="3454">
      <c r="A3454" s="25" t="s">
        <v>18392</v>
      </c>
      <c r="B3454" s="25" t="s">
        <v>18414</v>
      </c>
      <c r="C3454" s="26" t="str">
        <f>HYPERLINK("https://audio.iskcondesiretree.com/02_-_ISKCON_Swamis/ISKCON_Swamis_-_R_to_Y/His_Holiness_Radhanath_Swami/Lectures/01_-_Theme_wise/Dhaams/05_-_Various_places_in_Mayapur/04_-_Dhameshwar_Mahaprabhu/Lecture_at_Dhameshwar_Mahaprabhu_-_2003_IDesireTree.mp3", "Lecture_at_Dhameshwar_Mahaprabhu_-_2003_IDesireTree.mp3")</f>
        <v>Lecture_at_Dhameshwar_Mahaprabhu_-_2003_IDesireTree.mp3</v>
      </c>
      <c r="D3454" s="24"/>
      <c r="E3454" s="24"/>
    </row>
    <row r="3455">
      <c r="A3455" s="25" t="s">
        <v>18392</v>
      </c>
      <c r="B3455" s="25" t="s">
        <v>18414</v>
      </c>
      <c r="C3455" s="26" t="str">
        <f>HYPERLINK("https://audio.iskcondesiretree.com/02_-_ISKCON_Swamis/ISKCON_Swamis_-_R_to_Y/His_Holiness_Radhanath_Swami/Lectures/01_-_Theme_wise/Dhaams/05_-_Various_places_in_Mayapur/05_-_Ekchakra/Lecture_at_Bankim_Rai_-_Ekchakra_-_Radhanath_Swami_2003_IDesireTree.mp3", "Lecture_at_Bankim_Rai_-_Ekchakra_-_Radhanath_Swami_2003_IDesireTree.mp3")</f>
        <v>Lecture_at_Bankim_Rai_-_Ekchakra_-_Radhanath_Swami_2003_IDesireTree.mp3</v>
      </c>
      <c r="D3455" s="24"/>
      <c r="E3455" s="24"/>
    </row>
    <row r="3456">
      <c r="A3456" s="25" t="s">
        <v>18392</v>
      </c>
      <c r="B3456" s="25" t="s">
        <v>18414</v>
      </c>
      <c r="C3456" s="26" t="str">
        <f>HYPERLINK("https://audio.iskcondesiretree.com/02_-_ISKCON_Swamis/ISKCON_Swamis_-_R_to_Y/His_Holiness_Radhanath_Swami/Lectures/01_-_Theme_wise/Dhaams/05_-_Various_places_in_Mayapur/05_-_Ekchakra/Lecture_at_Ekcakra-01_-_Radhanath_Swami_2003_IDesireTree.mp3", "Lecture_at_Ekcakra-01_-_Radhanath_Swami_2003_IDesireTree.mp3")</f>
        <v>Lecture_at_Ekcakra-01_-_Radhanath_Swami_2003_IDesireTree.mp3</v>
      </c>
      <c r="D3456" s="24"/>
      <c r="E3456" s="24"/>
    </row>
    <row r="3457">
      <c r="A3457" s="25" t="s">
        <v>18392</v>
      </c>
      <c r="B3457" s="25" t="s">
        <v>18414</v>
      </c>
      <c r="C3457" s="26" t="str">
        <f>HYPERLINK("https://audio.iskcondesiretree.com/02_-_ISKCON_Swamis/ISKCON_Swamis_-_R_to_Y/His_Holiness_Radhanath_Swami/Lectures/01_-_Theme_wise/Dhaams/05_-_Various_places_in_Mayapur/05_-_Ekchakra/Lecture_at_Ekcakra-02_-_Radhanath_Swami_2003_IDesireTree.mp3", "Lecture_at_Ekcakra-02_-_Radhanath_Swami_2003_IDesireTree.mp3")</f>
        <v>Lecture_at_Ekcakra-02_-_Radhanath_Swami_2003_IDesireTree.mp3</v>
      </c>
      <c r="D3457" s="24"/>
      <c r="E3457" s="24"/>
    </row>
    <row r="3458">
      <c r="A3458" s="25" t="s">
        <v>18392</v>
      </c>
      <c r="B3458" s="25" t="s">
        <v>18414</v>
      </c>
      <c r="C3458" s="26" t="str">
        <f>HYPERLINK("https://audio.iskcondesiretree.com/02_-_ISKCON_Swamis/ISKCON_Swamis_-_R_to_Y/His_Holiness_Radhanath_Swami/Lectures/01_-_Theme_wise/Dhaams/05_-_Various_places_in_Mayapur/05_-_Ekchakra/Lecture_at_Ekcakra-03_-_Radhanath_Swami_2003_IDesireTree.mp3", "Lecture_at_Ekcakra-03_-_Radhanath_Swami_2003_IDesireTree.mp3")</f>
        <v>Lecture_at_Ekcakra-03_-_Radhanath_Swami_2003_IDesireTree.mp3</v>
      </c>
      <c r="D3458" s="24"/>
      <c r="E3458" s="24"/>
    </row>
    <row r="3459">
      <c r="A3459" s="25" t="s">
        <v>18392</v>
      </c>
      <c r="B3459" s="25" t="s">
        <v>18414</v>
      </c>
      <c r="C3459" s="26" t="str">
        <f>HYPERLINK("https://audio.iskcondesiretree.com/02_-_ISKCON_Swamis/ISKCON_Swamis_-_R_to_Y/His_Holiness_Radhanath_Swami/Lectures/01_-_Theme_wise/Dhaams/05_-_Various_places_in_Mayapur/06_-_Gada_Gardens/Lecture_at_Gada_Garden-01_-_Radhanath_Swami_2003_IDesireTree.mp3", "Lecture_at_Gada_Garden-01_-_Radhanath_Swami_2003_IDesireTree.mp3")</f>
        <v>Lecture_at_Gada_Garden-01_-_Radhanath_Swami_2003_IDesireTree.mp3</v>
      </c>
      <c r="D3459" s="24"/>
      <c r="E3459" s="24"/>
    </row>
    <row r="3460">
      <c r="A3460" s="25" t="s">
        <v>18392</v>
      </c>
      <c r="B3460" s="25" t="s">
        <v>18414</v>
      </c>
      <c r="C3460" s="26" t="str">
        <f>HYPERLINK("https://audio.iskcondesiretree.com/02_-_ISKCON_Swamis/ISKCON_Swamis_-_R_to_Y/His_Holiness_Radhanath_Swami/Lectures/01_-_Theme_wise/Dhaams/05_-_Various_places_in_Mayapur/06_-_Gada_Gardens/Lecture_at_Gada_Garden-02_-_Radhanath_Swami_2003_IDesireTree.mp3", "Lecture_at_Gada_Garden-02_-_Radhanath_Swami_2003_IDesireTree.mp3")</f>
        <v>Lecture_at_Gada_Garden-02_-_Radhanath_Swami_2003_IDesireTree.mp3</v>
      </c>
      <c r="D3460" s="24"/>
      <c r="E3460" s="24"/>
    </row>
    <row r="3461">
      <c r="A3461" s="25" t="s">
        <v>18392</v>
      </c>
      <c r="B3461" s="25" t="s">
        <v>18414</v>
      </c>
      <c r="C3461" s="26" t="str">
        <f>HYPERLINK("https://audio.iskcondesiretree.com/02_-_ISKCON_Swamis/ISKCON_Swamis_-_R_to_Y/His_Holiness_Radhanath_Swami/Lectures/01_-_Theme_wise/Dhaams/05_-_Various_places_in_Mayapur/06_-_Gada_Gardens/Lecture_at_Gada_Garden-03_-_Radhanath_Swami_2003_IDesireTree.mp3", "Lecture_at_Gada_Garden-03_-_Radhanath_Swami_2003_IDesireTree.mp3")</f>
        <v>Lecture_at_Gada_Garden-03_-_Radhanath_Swami_2003_IDesireTree.mp3</v>
      </c>
      <c r="D3461" s="24"/>
      <c r="E3461" s="24"/>
    </row>
    <row r="3462">
      <c r="A3462" s="25" t="s">
        <v>18392</v>
      </c>
      <c r="B3462" s="25" t="s">
        <v>18414</v>
      </c>
      <c r="C3462" s="26" t="str">
        <f>HYPERLINK("https://audio.iskcondesiretree.com/02_-_ISKCON_Swamis/ISKCON_Swamis_-_R_to_Y/His_Holiness_Radhanath_Swami/Lectures/01_-_Theme_wise/Dhaams/05_-_Various_places_in_Mayapur/06_-_Gada_Gardens/Lecture_at_Gada_Garden-04_-_Radhanath_Swami_2003_IDesireTree.mp3", "Lecture_at_Gada_Garden-04_-_Radhanath_Swami_2003_IDesireTree.mp3")</f>
        <v>Lecture_at_Gada_Garden-04_-_Radhanath_Swami_2003_IDesireTree.mp3</v>
      </c>
      <c r="D3462" s="24"/>
      <c r="E3462" s="24"/>
    </row>
    <row r="3463">
      <c r="A3463" s="25" t="s">
        <v>18392</v>
      </c>
      <c r="B3463" s="25" t="s">
        <v>18414</v>
      </c>
      <c r="C3463" s="26" t="str">
        <f>HYPERLINK("https://audio.iskcondesiretree.com/02_-_ISKCON_Swamis/ISKCON_Swamis_-_R_to_Y/His_Holiness_Radhanath_Swami/Lectures/01_-_Theme_wise/Dhaams/05_-_Various_places_in_Mayapur/06_-_Gada_Gardens/Lecture_at_Gada_Garden-05_-_Radhanath_Swami_2003_IDesireTree.mp3", "Lecture_at_Gada_Garden-05_-_Radhanath_Swami_2003_IDesireTree.mp3")</f>
        <v>Lecture_at_Gada_Garden-05_-_Radhanath_Swami_2003_IDesireTree.mp3</v>
      </c>
      <c r="D3463" s="24"/>
      <c r="E3463" s="24"/>
    </row>
    <row r="3464">
      <c r="A3464" s="25" t="s">
        <v>18392</v>
      </c>
      <c r="B3464" s="25" t="s">
        <v>18414</v>
      </c>
      <c r="C3464" s="26" t="str">
        <f>HYPERLINK("https://audio.iskcondesiretree.com/02_-_ISKCON_Swamis/ISKCON_Swamis_-_R_to_Y/His_Holiness_Radhanath_Swami/Lectures/01_-_Theme_wise/Dhaams/05_-_Various_places_in_Mayapur/06_-_Gada_Gardens/Lecture_at_Gada_Garden-06_-_Radhanath_Swami_2003_IDesireTree.mp3", "Lecture_at_Gada_Garden-06_-_Radhanath_Swami_2003_IDesireTree.mp3")</f>
        <v>Lecture_at_Gada_Garden-06_-_Radhanath_Swami_2003_IDesireTree.mp3</v>
      </c>
      <c r="D3464" s="24"/>
      <c r="E3464" s="24"/>
    </row>
    <row r="3465">
      <c r="A3465" s="25" t="s">
        <v>18392</v>
      </c>
      <c r="B3465" s="25" t="s">
        <v>18414</v>
      </c>
      <c r="C3465" s="26" t="str">
        <f>HYPERLINK("https://audio.iskcondesiretree.com/02_-_ISKCON_Swamis/ISKCON_Swamis_-_R_to_Y/His_Holiness_Radhanath_Swami/Lectures/01_-_Theme_wise/Dhaams/05_-_Various_places_in_Mayapur/07_-_Gaur_Doha/01.Lecture_at_Gaur_Doha_-_Radhanath_Swami_2003_IDesireTree.mp3", "01.Lecture_at_Gaur_Doha_-_Radhanath_Swami_2003_IDesireTree.mp3")</f>
        <v>01.Lecture_at_Gaur_Doha_-_Radhanath_Swami_2003_IDesireTree.mp3</v>
      </c>
      <c r="D3465" s="24"/>
      <c r="E3465" s="24"/>
    </row>
    <row r="3466">
      <c r="A3466" s="25" t="s">
        <v>18392</v>
      </c>
      <c r="B3466" s="25" t="s">
        <v>18414</v>
      </c>
      <c r="C3466" s="26" t="str">
        <f>HYPERLINK("https://audio.iskcondesiretree.com/02_-_ISKCON_Swamis/ISKCON_Swamis_-_R_to_Y/His_Holiness_Radhanath_Swami/Lectures/01_-_Theme_wise/Dhaams/05_-_Various_places_in_Mayapur/08_-_Jajigram/Pastimes_at_Jajigram_-_Radhanath_Swami_IDesireTree.mp3", "Pastimes_at_Jajigram_-_Radhanath_Swami_IDesireTree.mp3")</f>
        <v>Pastimes_at_Jajigram_-_Radhanath_Swami_IDesireTree.mp3</v>
      </c>
      <c r="D3466" s="24"/>
      <c r="E3466" s="24"/>
    </row>
    <row r="3467">
      <c r="A3467" s="25" t="s">
        <v>18392</v>
      </c>
      <c r="B3467" s="25" t="s">
        <v>18414</v>
      </c>
      <c r="C3467" s="26" t="str">
        <f>HYPERLINK("https://audio.iskcondesiretree.com/02_-_ISKCON_Swamis/ISKCON_Swamis_-_R_to_Y/His_Holiness_Radhanath_Swami/Lectures/01_-_Theme_wise/Dhaams/05_-_Various_places_in_Mayapur/09_-_Kadam_Kanini/Lecture_at_Kadam_Kanini_-_Radhanath_Swami_2003_IDesireTree.mp3", "Lecture_at_Kadam_Kanini_-_Radhanath_Swami_2003_IDesireTree.mp3")</f>
        <v>Lecture_at_Kadam_Kanini_-_Radhanath_Swami_2003_IDesireTree.mp3</v>
      </c>
      <c r="D3467" s="24"/>
      <c r="E3467" s="24"/>
    </row>
    <row r="3468">
      <c r="A3468" s="25" t="s">
        <v>18392</v>
      </c>
      <c r="B3468" s="25" t="s">
        <v>18414</v>
      </c>
      <c r="C3468" s="26" t="str">
        <f>HYPERLINK("https://audio.iskcondesiretree.com/02_-_ISKCON_Swamis/ISKCON_Swamis_-_R_to_Y/His_Holiness_Radhanath_Swami/Lectures/01_-_Theme_wise/Dhaams/05_-_Various_places_in_Mayapur/10_-_Kanainatshala/Pastimes_at_Kanainatshala_-_Radhanath_Swami_IDesireTree.mp3", "Pastimes_at_Kanainatshala_-_Radhanath_Swami_IDesireTree.mp3")</f>
        <v>Pastimes_at_Kanainatshala_-_Radhanath_Swami_IDesireTree.mp3</v>
      </c>
      <c r="D3468" s="24"/>
      <c r="E3468" s="24"/>
    </row>
    <row r="3469">
      <c r="A3469" s="25" t="s">
        <v>18392</v>
      </c>
      <c r="B3469" s="25" t="s">
        <v>18414</v>
      </c>
      <c r="C3469" s="26" t="str">
        <f>HYPERLINK("https://audio.iskcondesiretree.com/02_-_ISKCON_Swamis/ISKCON_Swamis_-_R_to_Y/His_Holiness_Radhanath_Swami/Lectures/01_-_Theme_wise/Dhaams/05_-_Various_places_in_Mayapur/11_-_Mamghachi/House_of_Vrindavan_Das_Thakur_-_Modrum_Dwip_07-11-15_IDesireTree.mp3", "House_of_Vrindavan_Das_Thakur_-_Modrum_Dwip_07-11-15_IDesireTree.mp3")</f>
        <v>House_of_Vrindavan_Das_Thakur_-_Modrum_Dwip_07-11-15_IDesireTree.mp3</v>
      </c>
      <c r="D3469" s="24"/>
      <c r="E3469" s="24"/>
    </row>
    <row r="3470">
      <c r="A3470" s="25" t="s">
        <v>18392</v>
      </c>
      <c r="B3470" s="25" t="s">
        <v>18414</v>
      </c>
      <c r="C3470" s="26" t="str">
        <f>HYPERLINK("https://audio.iskcondesiretree.com/02_-_ISKCON_Swamis/ISKCON_Swamis_-_R_to_Y/His_Holiness_Radhanath_Swami/Lectures/01_-_Theme_wise/Dhaams/05_-_Various_places_in_Mayapur/11_-_Mamghachi/Lecture_at_Mamghachi-01_-_Radhanath_Swami_2003_IDesireTree.mp3", "Lecture_at_Mamghachi-01_-_Radhanath_Swami_2003_IDesireTree.mp3")</f>
        <v>Lecture_at_Mamghachi-01_-_Radhanath_Swami_2003_IDesireTree.mp3</v>
      </c>
      <c r="D3470" s="24"/>
      <c r="E3470" s="24"/>
    </row>
    <row r="3471">
      <c r="A3471" s="25" t="s">
        <v>18392</v>
      </c>
      <c r="B3471" s="25" t="s">
        <v>18414</v>
      </c>
      <c r="C3471" s="26" t="str">
        <f>HYPERLINK("https://audio.iskcondesiretree.com/02_-_ISKCON_Swamis/ISKCON_Swamis_-_R_to_Y/His_Holiness_Radhanath_Swami/Lectures/01_-_Theme_wise/Dhaams/05_-_Various_places_in_Mayapur/11_-_Mamghachi/Lecture_at_Mamghachi-02_-_Radhanath_Swami_2003_IDesireTree.mp3", "Lecture_at_Mamghachi-02_-_Radhanath_Swami_2003_IDesireTree.mp3")</f>
        <v>Lecture_at_Mamghachi-02_-_Radhanath_Swami_2003_IDesireTree.mp3</v>
      </c>
      <c r="D3471" s="24"/>
      <c r="E3471" s="24"/>
    </row>
    <row r="3472">
      <c r="A3472" s="25" t="s">
        <v>18392</v>
      </c>
      <c r="B3472" s="25" t="s">
        <v>18414</v>
      </c>
      <c r="C3472" s="26" t="str">
        <f>HYPERLINK("https://audio.iskcondesiretree.com/02_-_ISKCON_Swamis/ISKCON_Swamis_-_R_to_Y/His_Holiness_Radhanath_Swami/Lectures/01_-_Theme_wise/Dhaams/05_-_Various_places_in_Mayapur/12_-_Phulia/01.%20Lecture_at_Phulia-01_-_Radhanath_Swami_2003_IDesireTree.mp3", "01.%20Lecture_at_Phulia-01_-_Radhanath_Swami_2003_IDesireTree.mp3")</f>
        <v>01.%20Lecture_at_Phulia-01_-_Radhanath_Swami_2003_IDesireTree.mp3</v>
      </c>
      <c r="D3472" s="24"/>
      <c r="E3472" s="24"/>
    </row>
    <row r="3473">
      <c r="A3473" s="25" t="s">
        <v>18392</v>
      </c>
      <c r="B3473" s="25" t="s">
        <v>18414</v>
      </c>
      <c r="C3473" s="26" t="str">
        <f>HYPERLINK("https://audio.iskcondesiretree.com/02_-_ISKCON_Swamis/ISKCON_Swamis_-_R_to_Y/His_Holiness_Radhanath_Swami/Lectures/01_-_Theme_wise/Dhaams/05_-_Various_places_in_Mayapur/12_-_Phulia/01.%20Lecture_at_Phulia-02_-_Radhanath_Swami_2003_IDesireTree.mp3", "01.%20Lecture_at_Phulia-02_-_Radhanath_Swami_2003_IDesireTree.mp3")</f>
        <v>01.%20Lecture_at_Phulia-02_-_Radhanath_Swami_2003_IDesireTree.mp3</v>
      </c>
      <c r="D3473" s="24"/>
      <c r="E3473" s="24"/>
    </row>
    <row r="3474">
      <c r="A3474" s="25" t="s">
        <v>18392</v>
      </c>
      <c r="B3474" s="25" t="s">
        <v>18414</v>
      </c>
      <c r="C3474" s="26" t="str">
        <f>HYPERLINK("https://audio.iskcondesiretree.com/02_-_ISKCON_Swamis/ISKCON_Swamis_-_R_to_Y/His_Holiness_Radhanath_Swami/Lectures/01_-_Theme_wise/Dhaams/05_-_Various_places_in_Mayapur/13_-_Ramkeli/Pastimes_at_Ramkeli_-_Radhanath_Swami_IDesireTree.mp3", "Pastimes_at_Ramkeli_-_Radhanath_Swami_IDesireTree.mp3")</f>
        <v>Pastimes_at_Ramkeli_-_Radhanath_Swami_IDesireTree.mp3</v>
      </c>
      <c r="D3474" s="24"/>
      <c r="E3474" s="24"/>
    </row>
    <row r="3475">
      <c r="A3475" s="25" t="s">
        <v>18392</v>
      </c>
      <c r="B3475" s="25" t="s">
        <v>18414</v>
      </c>
      <c r="C3475" s="26" t="str">
        <f>HYPERLINK("https://audio.iskcondesiretree.com/02_-_ISKCON_Swamis/ISKCON_Swamis_-_R_to_Y/His_Holiness_Radhanath_Swami/Lectures/01_-_Theme_wise/Dhaams/05_-_Various_places_in_Mayapur/14_-_Shantipur/Lecture_at_Shantipur-01_-_Radhanath_Swami_2003_IDesireTree.mp3", "Lecture_at_Shantipur-01_-_Radhanath_Swami_2003_IDesireTree.mp3")</f>
        <v>Lecture_at_Shantipur-01_-_Radhanath_Swami_2003_IDesireTree.mp3</v>
      </c>
      <c r="D3475" s="24"/>
      <c r="E3475" s="24"/>
    </row>
    <row r="3476">
      <c r="A3476" s="25" t="s">
        <v>18392</v>
      </c>
      <c r="B3476" s="25" t="s">
        <v>18414</v>
      </c>
      <c r="C3476" s="26" t="str">
        <f>HYPERLINK("https://audio.iskcondesiretree.com/02_-_ISKCON_Swamis/ISKCON_Swamis_-_R_to_Y/His_Holiness_Radhanath_Swami/Lectures/01_-_Theme_wise/Dhaams/05_-_Various_places_in_Mayapur/14_-_Shantipur/Lecture_at_Shantipur-02_-_Radhanath_Swami_2003_IDesireTree.mp3", "Lecture_at_Shantipur-02_-_Radhanath_Swami_2003_IDesireTree.mp3")</f>
        <v>Lecture_at_Shantipur-02_-_Radhanath_Swami_2003_IDesireTree.mp3</v>
      </c>
      <c r="D3476" s="24"/>
      <c r="E3476" s="24"/>
    </row>
    <row r="3477">
      <c r="A3477" s="25" t="s">
        <v>18392</v>
      </c>
      <c r="B3477" s="25" t="s">
        <v>18414</v>
      </c>
      <c r="C3477" s="26" t="str">
        <f>HYPERLINK("https://audio.iskcondesiretree.com/02_-_ISKCON_Swamis/ISKCON_Swamis_-_R_to_Y/His_Holiness_Radhanath_Swami/Lectures/01_-_Theme_wise/Dhaams/05_-_Various_places_in_Mayapur/15_-_Srikhand/Lecture_at_Srikhanda-01_-_Radhanath_Swami_2003_IDesireeTree.mp3", "Lecture_at_Srikhanda-01_-_Radhanath_Swami_2003_IDesireeTree.mp3")</f>
        <v>Lecture_at_Srikhanda-01_-_Radhanath_Swami_2003_IDesireeTree.mp3</v>
      </c>
      <c r="D3477" s="24"/>
      <c r="E3477" s="24"/>
    </row>
    <row r="3478">
      <c r="A3478" s="25" t="s">
        <v>18392</v>
      </c>
      <c r="B3478" s="25" t="s">
        <v>18414</v>
      </c>
      <c r="C3478" s="26" t="str">
        <f>HYPERLINK("https://audio.iskcondesiretree.com/02_-_ISKCON_Swamis/ISKCON_Swamis_-_R_to_Y/His_Holiness_Radhanath_Swami/Lectures/01_-_Theme_wise/Dhaams/05_-_Various_places_in_Mayapur/15_-_Srikhand/Lecture_at_Srikhanda-02_-_Radhanath_Swami_2003_IDesireeTree.mp3", "Lecture_at_Srikhanda-02_-_Radhanath_Swami_2003_IDesireeTree.mp3")</f>
        <v>Lecture_at_Srikhanda-02_-_Radhanath_Swami_2003_IDesireeTree.mp3</v>
      </c>
      <c r="D3478" s="24"/>
      <c r="E3478" s="24"/>
    </row>
    <row r="3479">
      <c r="A3479" s="25" t="s">
        <v>18392</v>
      </c>
      <c r="B3479" s="25" t="s">
        <v>18414</v>
      </c>
      <c r="C3479" s="26" t="str">
        <f>HYPERLINK("https://audio.iskcondesiretree.com/02_-_ISKCON_Swamis/ISKCON_Swamis_-_R_to_Y/His_Holiness_Radhanath_Swami/Lectures/01_-_Theme_wise/Dhaams/05_-_Various_places_in_Mayapur/15_-_Srikhand/Lecture_at_Srivas_Angan-01_-_Radhanath_Swami_2003_IDesireTree.mp3", "Lecture_at_Srivas_Angan-01_-_Radhanath_Swami_2003_IDesireTree.mp3")</f>
        <v>Lecture_at_Srivas_Angan-01_-_Radhanath_Swami_2003_IDesireTree.mp3</v>
      </c>
      <c r="D3479" s="24"/>
      <c r="E3479" s="24"/>
    </row>
    <row r="3480">
      <c r="A3480" s="25" t="s">
        <v>18392</v>
      </c>
      <c r="B3480" s="25" t="s">
        <v>18414</v>
      </c>
      <c r="C3480" s="26" t="str">
        <f>HYPERLINK("https://audio.iskcondesiretree.com/02_-_ISKCON_Swamis/ISKCON_Swamis_-_R_to_Y/His_Holiness_Radhanath_Swami/Lectures/01_-_Theme_wise/Dhaams/05_-_Various_places_in_Mayapur/15_-_Srikhand/Lecture_at_Srivas_Angan-02_-_Radhanath_Swami_2003_IDesireTree.mp3", "Lecture_at_Srivas_Angan-02_-_Radhanath_Swami_2003_IDesireTree.mp3")</f>
        <v>Lecture_at_Srivas_Angan-02_-_Radhanath_Swami_2003_IDesireTree.mp3</v>
      </c>
      <c r="D3480" s="24"/>
      <c r="E3480" s="24"/>
    </row>
    <row r="3481">
      <c r="A3481" s="25" t="s">
        <v>18392</v>
      </c>
      <c r="B3481" s="25" t="s">
        <v>18414</v>
      </c>
      <c r="C3481" s="26" t="str">
        <f>HYPERLINK("https://audio.iskcondesiretree.com/02_-_ISKCON_Swamis/ISKCON_Swamis_-_R_to_Y/His_Holiness_Radhanath_Swami/Lectures/01_-_Theme_wise/Dhaams/05_-_Various_places_in_Mayapur/15_-_Srikhand/Lecture_at_Srivas_Angan-03_-_Radhanath_Swami_2003_IDesireTree.mp3", "Lecture_at_Srivas_Angan-03_-_Radhanath_Swami_2003_IDesireTree.mp3")</f>
        <v>Lecture_at_Srivas_Angan-03_-_Radhanath_Swami_2003_IDesireTree.mp3</v>
      </c>
      <c r="D3481" s="24"/>
      <c r="E3481" s="24"/>
    </row>
    <row r="3482">
      <c r="A3482" s="25" t="s">
        <v>18392</v>
      </c>
      <c r="B3482" s="25" t="s">
        <v>18414</v>
      </c>
      <c r="C3482" s="26" t="str">
        <f>HYPERLINK("https://audio.iskcondesiretree.com/02_-_ISKCON_Swamis/ISKCON_Swamis_-_R_to_Y/His_Holiness_Radhanath_Swami/Lectures/01_-_Theme_wise/Dhaams/05_-_Various_places_in_Mayapur/15_-_Srikhand/Lecture_at_Srivas_Angan-04_-_Radhanath_Swami_2003_IDesireTree.mp3", "Lecture_at_Srivas_Angan-04_-_Radhanath_Swami_2003_IDesireTree.mp3")</f>
        <v>Lecture_at_Srivas_Angan-04_-_Radhanath_Swami_2003_IDesireTree.mp3</v>
      </c>
      <c r="D3482" s="24"/>
      <c r="E3482" s="24"/>
    </row>
    <row r="3483">
      <c r="A3483" s="25" t="s">
        <v>18392</v>
      </c>
      <c r="B3483" s="25" t="s">
        <v>18414</v>
      </c>
      <c r="C3483" s="26" t="str">
        <f>HYPERLINK("https://audio.iskcondesiretree.com/02_-_ISKCON_Swamis/ISKCON_Swamis_-_R_to_Y/His_Holiness_Radhanath_Swami/Lectures/01_-_Theme_wise/Dhaams/05_-_Various_places_in_Mayapur/15_-_Srikhand/Lecture_at_Srivas_Angan-05_-_Radhanath_Swami_2003_IDesireTree.mp3", "Lecture_at_Srivas_Angan-05_-_Radhanath_Swami_2003_IDesireTree.mp3")</f>
        <v>Lecture_at_Srivas_Angan-05_-_Radhanath_Swami_2003_IDesireTree.mp3</v>
      </c>
      <c r="D3483" s="24"/>
      <c r="E3483" s="24"/>
    </row>
    <row r="3484">
      <c r="A3484" s="25" t="s">
        <v>18392</v>
      </c>
      <c r="B3484" s="25" t="s">
        <v>18414</v>
      </c>
      <c r="C3484" s="26" t="str">
        <f>HYPERLINK("https://audio.iskcondesiretree.com/02_-_ISKCON_Swamis/ISKCON_Swamis_-_R_to_Y/His_Holiness_Radhanath_Swami/Lectures/01_-_Theme_wise/Dhaams/05_-_Various_places_in_Mayapur/15_-_Srikhand/Pastimes_at_Srikhanda_-_Radhanath_Swami_IDesireeTree.mp3", "Pastimes_at_Srikhanda_-_Radhanath_Swami_IDesireeTree.mp3")</f>
        <v>Pastimes_at_Srikhanda_-_Radhanath_Swami_IDesireeTree.mp3</v>
      </c>
      <c r="D3484" s="24"/>
      <c r="E3484" s="24"/>
    </row>
    <row r="3485">
      <c r="A3485" s="25" t="s">
        <v>18392</v>
      </c>
      <c r="B3485" s="25" t="s">
        <v>18414</v>
      </c>
      <c r="C3485" s="26" t="str">
        <f>HYPERLINK("https://audio.iskcondesiretree.com/02_-_ISKCON_Swamis/ISKCON_Swamis_-_R_to_Y/His_Holiness_Radhanath_Swami/Lectures/01_-_Theme_wise/Dhaams/05_-_Various_places_in_Mayapur/16_-_Sridhar_Aangan/Lecture_at_Sridhar_Angaan_-_Radhanath_Swami_-_2003_IDesireTree.mp3", "Lecture_at_Sridhar_Angaan_-_Radhanath_Swami_-_2003_IDesireTree.mp3")</f>
        <v>Lecture_at_Sridhar_Angaan_-_Radhanath_Swami_-_2003_IDesireTree.mp3</v>
      </c>
      <c r="D3485" s="24"/>
      <c r="E3485" s="24"/>
    </row>
    <row r="3486">
      <c r="A3486" s="25" t="s">
        <v>18392</v>
      </c>
      <c r="B3486" s="25" t="s">
        <v>18414</v>
      </c>
      <c r="C3486" s="26" t="str">
        <f>HYPERLINK("https://audio.iskcondesiretree.com/02_-_ISKCON_Swamis/ISKCON_Swamis_-_R_to_Y/His_Holiness_Radhanath_Swami/Lectures/01_-_Theme_wise/Dhaams/05_-_Various_places_in_Mayapur/17_-_Srinivas_Aangan/Pastimes_at_Srinivas_Angaan_-_Radhanath_Swami_IDesireTree.mp3", "Pastimes_at_Srinivas_Angaan_-_Radhanath_Swami_IDesireTree.mp3")</f>
        <v>Pastimes_at_Srinivas_Angaan_-_Radhanath_Swami_IDesireTree.mp3</v>
      </c>
      <c r="D3486" s="24"/>
      <c r="E3486" s="24"/>
    </row>
    <row r="3487">
      <c r="A3487" s="25" t="s">
        <v>18392</v>
      </c>
      <c r="B3487" s="25" t="s">
        <v>18414</v>
      </c>
      <c r="C3487" s="26" t="str">
        <f>HYPERLINK("https://audio.iskcondesiretree.com/02_-_ISKCON_Swamis/ISKCON_Swamis_-_R_to_Y/His_Holiness_Radhanath_Swami/Lectures/01_-_Theme_wise/Dhaams/05_-_Various_places_in_Mayapur/18_-_Surbhi_Kunj/Pastimes_at_Surbhi_Kunj_-_Radhanath_Swami_IDesireTree.mp3", "Pastimes_at_Surbhi_Kunj_-_Radhanath_Swami_IDesireTree.mp3")</f>
        <v>Pastimes_at_Surbhi_Kunj_-_Radhanath_Swami_IDesireTree.mp3</v>
      </c>
      <c r="D3487" s="24"/>
      <c r="E3487" s="24"/>
    </row>
    <row r="3488">
      <c r="A3488" s="25" t="s">
        <v>18392</v>
      </c>
      <c r="B3488" s="25" t="s">
        <v>18414</v>
      </c>
      <c r="C3488" s="26" t="str">
        <f>HYPERLINK("https://audio.iskcondesiretree.com/02_-_ISKCON_Swamis/ISKCON_Swamis_-_R_to_Y/His_Holiness_Radhanath_Swami/Lectures/01_-_Theme_wise/Dhaams/05_-_Various_places_in_Mayapur/19_-_Temples/Lecture_at_Candrodaya_Temple-01_-_Radhanath_Swami_2003_IDesireTree.mp3", "Lecture_at_Candrodaya_Temple-01_-_Radhanath_Swami_2003_IDesireTree.mp3")</f>
        <v>Lecture_at_Candrodaya_Temple-01_-_Radhanath_Swami_2003_IDesireTree.mp3</v>
      </c>
      <c r="D3488" s="24"/>
      <c r="E3488" s="24"/>
    </row>
    <row r="3489">
      <c r="A3489" s="25" t="s">
        <v>18392</v>
      </c>
      <c r="B3489" s="25" t="s">
        <v>18414</v>
      </c>
      <c r="C3489" s="26" t="str">
        <f>HYPERLINK("https://audio.iskcondesiretree.com/02_-_ISKCON_Swamis/ISKCON_Swamis_-_R_to_Y/His_Holiness_Radhanath_Swami/Lectures/01_-_Theme_wise/Dhaams/05_-_Various_places_in_Mayapur/19_-_Temples/Lecture_at_Candrodaya_Temple-02_-_Radhanath_Swami_2003_IDesireTree.mp3", "Lecture_at_Candrodaya_Temple-02_-_Radhanath_Swami_2003_IDesireTree.mp3")</f>
        <v>Lecture_at_Candrodaya_Temple-02_-_Radhanath_Swami_2003_IDesireTree.mp3</v>
      </c>
      <c r="D3489" s="24"/>
      <c r="E3489" s="24"/>
    </row>
    <row r="3490">
      <c r="A3490" s="25" t="s">
        <v>18392</v>
      </c>
      <c r="B3490" s="25" t="s">
        <v>18414</v>
      </c>
      <c r="C3490" s="26" t="str">
        <f>HYPERLINK("https://audio.iskcondesiretree.com/02_-_ISKCON_Swamis/ISKCON_Swamis_-_R_to_Y/His_Holiness_Radhanath_Swami/Lectures/01_-_Theme_wise/Dhaams/05_-_Various_places_in_Mayapur/20_-_Vidyanagar/Lecture_at_Vidyanagar_-_Radhanath_Swami_2003_IDesireTree.mp3", "Lecture_at_Vidyanagar_-_Radhanath_Swami_2003_IDesireTree.mp3")</f>
        <v>Lecture_at_Vidyanagar_-_Radhanath_Swami_2003_IDesireTree.mp3</v>
      </c>
      <c r="D3490" s="24"/>
      <c r="E3490" s="24"/>
    </row>
    <row r="3491">
      <c r="A3491" s="25" t="s">
        <v>18392</v>
      </c>
      <c r="B3491" s="25" t="s">
        <v>18414</v>
      </c>
      <c r="C3491" s="26" t="str">
        <f>HYPERLINK("https://audio.iskcondesiretree.com/02_-_ISKCON_Swamis/ISKCON_Swamis_-_R_to_Y/His_Holiness_Radhanath_Swami/Lectures/01_-_Theme_wise/Dhaams/05_-_Various_places_in_Mayapur/20_-_Vidyanagar/Pastimes_at_Vidhyanagar_and_Champahati.mp3", "Pastimes_at_Vidhyanagar_and_Champahati.mp3")</f>
        <v>Pastimes_at_Vidhyanagar_and_Champahati.mp3</v>
      </c>
      <c r="D3491" s="24"/>
      <c r="E3491" s="24"/>
    </row>
    <row r="3492">
      <c r="A3492" s="25" t="s">
        <v>18392</v>
      </c>
      <c r="B3492" s="25" t="s">
        <v>18414</v>
      </c>
      <c r="C3492" s="26" t="str">
        <f>HYPERLINK("https://audio.iskcondesiretree.com/02_-_ISKCON_Swamis/ISKCON_Swamis_-_R_to_Y/His_Holiness_Radhanath_Swami/Lectures/01_-_Theme_wise/Dhaams/05_-_Various_places_in_Mayapur/21_-_Madhyam_Dwip/Lecture_at_Madhyam_Dvip_-_Radhanath_Swami_2007-11-08_IDesireTree.MP3", "Lecture_at_Madhyam_Dvip_-_Radhanath_Swami_2007-11-08_IDesireTree.MP3")</f>
        <v>Lecture_at_Madhyam_Dvip_-_Radhanath_Swami_2007-11-08_IDesireTree.MP3</v>
      </c>
      <c r="D3492" s="24"/>
      <c r="E3492" s="24"/>
    </row>
    <row r="3493">
      <c r="A3493" s="25" t="s">
        <v>18392</v>
      </c>
      <c r="B3493" s="25" t="s">
        <v>18414</v>
      </c>
      <c r="C3493" s="26" t="str">
        <f>HYPERLINK("https://audio.iskcondesiretree.com/02_-_ISKCON_Swamis/ISKCON_Swamis_-_R_to_Y/His_Holiness_Radhanath_Swami/Lectures/01_-_Theme_wise/Dhaams/05_-_Various_places_in_Mayapur/22_-_Yogapith/Childhood_Pastimes_of_Nimai-01_-_2003_Yogapith_IDesireTree.mp3", "Childhood_Pastimes_of_Nimai-01_-_2003_Yogapith_IDesireTree.mp3")</f>
        <v>Childhood_Pastimes_of_Nimai-01_-_2003_Yogapith_IDesireTree.mp3</v>
      </c>
      <c r="D3493" s="24"/>
      <c r="E3493" s="24"/>
    </row>
    <row r="3494">
      <c r="A3494" s="25" t="s">
        <v>18392</v>
      </c>
      <c r="B3494" s="25" t="s">
        <v>18414</v>
      </c>
      <c r="C3494" s="26" t="str">
        <f>HYPERLINK("https://audio.iskcondesiretree.com/02_-_ISKCON_Swamis/ISKCON_Swamis_-_R_to_Y/His_Holiness_Radhanath_Swami/Lectures/01_-_Theme_wise/Dhaams/05_-_Various_places_in_Mayapur/22_-_Yogapith/Childhood_Pastimes_of_Nimai-02_-_2003_Yogapith_IDesireTree.mp3", "Childhood_Pastimes_of_Nimai-02_-_2003_Yogapith_IDesireTree.mp3")</f>
        <v>Childhood_Pastimes_of_Nimai-02_-_2003_Yogapith_IDesireTree.mp3</v>
      </c>
      <c r="D3494" s="24"/>
      <c r="E3494" s="24"/>
    </row>
    <row r="3495">
      <c r="A3495" s="25" t="s">
        <v>18392</v>
      </c>
      <c r="B3495" s="25" t="s">
        <v>18414</v>
      </c>
      <c r="C3495" s="26" t="str">
        <f>HYPERLINK("https://audio.iskcondesiretree.com/02_-_ISKCON_Swamis/ISKCON_Swamis_-_R_to_Y/His_Holiness_Radhanath_Swami/Lectures/01_-_Theme_wise/Dhaams/05_-_Various_places_in_Mayapur/22_-_Yogapith/Childhood_Pastimes_of_Nimai-03_-_2003_Yogapith_IDesireTree.mp3", "Childhood_Pastimes_of_Nimai-03_-_2003_Yogapith_IDesireTree.mp3")</f>
        <v>Childhood_Pastimes_of_Nimai-03_-_2003_Yogapith_IDesireTree.mp3</v>
      </c>
      <c r="D3495" s="24"/>
      <c r="E3495" s="24"/>
    </row>
    <row r="3496">
      <c r="A3496" s="25" t="s">
        <v>18392</v>
      </c>
      <c r="B3496" s="25" t="s">
        <v>18414</v>
      </c>
      <c r="C3496" s="26" t="str">
        <f>HYPERLINK("https://audio.iskcondesiretree.com/02_-_ISKCON_Swamis/ISKCON_Swamis_-_R_to_Y/His_Holiness_Radhanath_Swami/Lectures/01_-_Theme_wise/Dhaams/05_-_Various_places_in_Mayapur/22_-_Yogapith/Childhood_Pastimes_of_Nimai-04_-_2003_Yogapith_IDesireTree.mp3", "Childhood_Pastimes_of_Nimai-04_-_2003_Yogapith_IDesireTree.mp3")</f>
        <v>Childhood_Pastimes_of_Nimai-04_-_2003_Yogapith_IDesireTree.mp3</v>
      </c>
      <c r="D3496" s="24"/>
      <c r="E3496" s="24"/>
    </row>
    <row r="3497">
      <c r="A3497" s="25" t="s">
        <v>18392</v>
      </c>
      <c r="B3497" s="25" t="s">
        <v>18414</v>
      </c>
      <c r="C3497" s="26" t="str">
        <f>HYPERLINK("https://audio.iskcondesiretree.com/02_-_ISKCON_Swamis/ISKCON_Swamis_-_R_to_Y/His_Holiness_Radhanath_Swami/Lectures/01_-_Theme_wise/Dhaams/05_-_Various_places_in_Mayapur/22_-_Yogapith/Jaya_Jaya_Jagannath_-_07-11-05_Yogapith_IDesireTree.mp3", "Jaya_Jaya_Jagannath_-_07-11-05_Yogapith_IDesireTree.mp3")</f>
        <v>Jaya_Jaya_Jagannath_-_07-11-05_Yogapith_IDesireTree.mp3</v>
      </c>
      <c r="D3497" s="24"/>
      <c r="E3497" s="24"/>
    </row>
    <row r="3498">
      <c r="A3498" s="25" t="s">
        <v>18392</v>
      </c>
      <c r="B3498" s="25" t="s">
        <v>18414</v>
      </c>
      <c r="C3498" s="26" t="str">
        <f>HYPERLINK("https://audio.iskcondesiretree.com/02_-_ISKCON_Swamis/ISKCON_Swamis_-_R_to_Y/His_Holiness_Radhanath_Swami/Lectures/01_-_Theme_wise/Dhaams/06_-_Lectures_at_various_place_in_Puri/01.Lord_Caitanya%27s_Pastimes_at_Gambira_-_2006-06-30_Radhanath_Swami%2030-06-"&amp;"06.mp3", "06_-_Lectures_at_various_place_in_Puri")</f>
        <v>06_-_Lectures_at_various_place_in_Puri</v>
      </c>
      <c r="D3498" s="24"/>
      <c r="E3498" s="24"/>
    </row>
    <row r="3499">
      <c r="A3499" s="25" t="s">
        <v>18392</v>
      </c>
      <c r="B3499" s="25" t="s">
        <v>18414</v>
      </c>
      <c r="C3499" s="26" t="str">
        <f>HYPERLINK("https://audio.iskcondesiretree.com/02_-_ISKCON_Swamis/ISKCON_Swamis_-_R_to_Y/His_Holiness_Radhanath_Swami/Lectures/01_-_Theme_wise/Dhaams/06_-_Lectures_at_various_place_in_Puri/02.Lord_Performing_Pastimes_at_Kamalpur_and_Attarnala.mp3", "06_-_Lectures_at_various_place_in_Puri")</f>
        <v>06_-_Lectures_at_various_place_in_Puri</v>
      </c>
      <c r="D3499" s="24"/>
      <c r="E3499" s="24"/>
    </row>
    <row r="3500">
      <c r="A3500" s="25" t="s">
        <v>18392</v>
      </c>
      <c r="B3500" s="25" t="s">
        <v>18414</v>
      </c>
      <c r="C3500" s="26" t="str">
        <f>HYPERLINK("https://audio.iskcondesiretree.com/02_-_ISKCON_Swamis/ISKCON_Swamis_-_R_to_Y/His_Holiness_Radhanath_Swami/Lectures/01_-_Theme_wise/Dhaams/06_-_Lectures_at_various_place_in_Puri/03.Pastimes_at_the_House_of_Sarvabhauma_Bhattacarya.mp3", "06_-_Lectures_at_various_place_in_Puri")</f>
        <v>06_-_Lectures_at_various_place_in_Puri</v>
      </c>
      <c r="D3500" s="24"/>
      <c r="E3500" s="24"/>
    </row>
    <row r="3501">
      <c r="A3501" s="25" t="s">
        <v>18392</v>
      </c>
      <c r="B3501" s="25" t="s">
        <v>18414</v>
      </c>
      <c r="C3501" s="26" t="str">
        <f>HYPERLINK("https://audio.iskcondesiretree.com/02_-_ISKCON_Swamis/ISKCON_Swamis_-_R_to_Y/His_Holiness_Radhanath_Swami/Lectures/01_-_Theme_wise/Dhaams/06_-_Lectures_at_various_place_in_Puri/04.Pastimes_at_Narendra_Sarovar_-_Radhanath_Swami_IDesireTree.mp3", "06_-_Lectures_at_various_place_in_Puri")</f>
        <v>06_-_Lectures_at_various_place_in_Puri</v>
      </c>
      <c r="D3501" s="24"/>
      <c r="E3501" s="24"/>
    </row>
    <row r="3502">
      <c r="A3502" s="25" t="s">
        <v>18392</v>
      </c>
      <c r="B3502" s="25" t="s">
        <v>18414</v>
      </c>
      <c r="C3502" s="26" t="str">
        <f>HYPERLINK("https://audio.iskcondesiretree.com/02_-_ISKCON_Swamis/ISKCON_Swamis_-_R_to_Y/His_Holiness_Radhanath_Swami/Lectures/01_-_Theme_wise/Dhaams/06_-_Lectures_at_various_place_in_Puri/05.%20The_Residence_of_Lord_Chaitanya-Gambhira_-_Radhanath_Swami_IDesireTree.m"&amp;"p3", "06_-_Lectures_at_various_place_in_Puri")</f>
        <v>06_-_Lectures_at_various_place_in_Puri</v>
      </c>
      <c r="D3502" s="24"/>
      <c r="E3502" s="24"/>
    </row>
    <row r="3503">
      <c r="A3503" s="25" t="s">
        <v>18392</v>
      </c>
      <c r="B3503" s="25" t="s">
        <v>18414</v>
      </c>
      <c r="C3503" s="26" t="str">
        <f>HYPERLINK("https://audio.iskcondesiretree.com/02_-_ISKCON_Swamis/ISKCON_Swamis_-_R_to_Y/His_Holiness_Radhanath_Swami/Lectures/01_-_Theme_wise/Dhaams/06_-_Lectures_at_various_place_in_Puri/06.%20Pastimes_at_Chataka_parvat_-_Radhanath_Swami_IDesireTree.mp3", "06_-_Lectures_at_various_place_in_Puri")</f>
        <v>06_-_Lectures_at_various_place_in_Puri</v>
      </c>
      <c r="D3503" s="24"/>
      <c r="E3503" s="24"/>
    </row>
    <row r="3504">
      <c r="A3504" s="25" t="s">
        <v>18392</v>
      </c>
      <c r="B3504" s="25" t="s">
        <v>18414</v>
      </c>
      <c r="C3504" s="26" t="str">
        <f>HYPERLINK("https://audio.iskcondesiretree.com/02_-_ISKCON_Swamis/ISKCON_Swamis_-_R_to_Y/His_Holiness_Radhanath_Swami/Lectures/01_-_Theme_wise/Dhaams/06_-_Lectures_at_various_place_in_Puri/07.%20Totagopinath_-_Radhanath_Swami_IDesireTree.mp3", "06_-_Lectures_at_various_place_in_Puri")</f>
        <v>06_-_Lectures_at_various_place_in_Puri</v>
      </c>
      <c r="D3504" s="24"/>
      <c r="E3504" s="24"/>
    </row>
    <row r="3505">
      <c r="A3505" s="25" t="s">
        <v>18392</v>
      </c>
      <c r="B3505" s="25" t="s">
        <v>18414</v>
      </c>
      <c r="C3505" s="26" t="str">
        <f>HYPERLINK("https://audio.iskcondesiretree.com/02_-_ISKCON_Swamis/ISKCON_Swamis_-_R_to_Y/His_Holiness_Radhanath_Swami/Lectures/01_-_Theme_wise/Dhaams/06_-_Lectures_at_various_place_in_Puri/08%20-%20Pastimes%20at%20Jagannath%20Vallabh%20Garden%20%26%20Gundicha%20Templ"&amp;"e.mp3", "06_-_Lectures_at_various_place_in_Puri")</f>
        <v>06_-_Lectures_at_various_place_in_Puri</v>
      </c>
      <c r="D3505" s="24"/>
      <c r="E3505" s="24"/>
    </row>
    <row r="3506">
      <c r="A3506" s="25" t="s">
        <v>18392</v>
      </c>
      <c r="B3506" s="25" t="s">
        <v>18414</v>
      </c>
      <c r="C3506" s="26" t="str">
        <f>HYPERLINK("https://audio.iskcondesiretree.com/02_-_ISKCON_Swamis/ISKCON_Swamis_-_R_to_Y/His_Holiness_Radhanath_Swami/Lectures/01_-_Theme_wise/Dhaams/06_-_Lectures_at_various_place_in_Puri/09.%20Pastimes_at_Indradumna_Sarovar_-_Radhanath_Swami_IDesireTree.mp3", "06_-_Lectures_at_various_place_in_Puri")</f>
        <v>06_-_Lectures_at_various_place_in_Puri</v>
      </c>
      <c r="D3506" s="24"/>
      <c r="E3506" s="24"/>
    </row>
    <row r="3507">
      <c r="A3507" s="25" t="s">
        <v>18392</v>
      </c>
      <c r="B3507" s="25" t="s">
        <v>18414</v>
      </c>
      <c r="C3507" s="26" t="str">
        <f>HYPERLINK("https://audio.iskcondesiretree.com/02_-_ISKCON_Swamis/ISKCON_Swamis_-_R_to_Y/His_Holiness_Radhanath_Swami/Lectures/01_-_Theme_wise/Dhaams/07_-_Various_places_in_South_India/01_-_Kanchipuram/01_Alavandaar_The_King_Becomes_a_Saint-Yamunacarya.mp3", "07_-_Various_places_in_South_India")</f>
        <v>07_-_Various_places_in_South_India</v>
      </c>
      <c r="D3507" s="24"/>
      <c r="E3507" s="24"/>
    </row>
    <row r="3508">
      <c r="A3508" s="25" t="s">
        <v>18392</v>
      </c>
      <c r="B3508" s="25" t="s">
        <v>18414</v>
      </c>
      <c r="C3508" s="26" t="str">
        <f>HYPERLINK("https://audio.iskcondesiretree.com/02_-_ISKCON_Swamis/ISKCON_Swamis_-_R_to_Y/His_Holiness_Radhanath_Swami/Lectures/01_-_Theme_wise/Dhaams/07_-_Various_places_in_South_India/01_-_Kanchipuram/02_Defeat_Of_Yadavprakash_%26_Varadraj_Directs_Ramanuja.mp3", "07_-_Various_places_in_South_India")</f>
        <v>07_-_Various_places_in_South_India</v>
      </c>
      <c r="D3508" s="24"/>
      <c r="E3508" s="24"/>
    </row>
    <row r="3509">
      <c r="A3509" s="25" t="s">
        <v>18392</v>
      </c>
      <c r="B3509" s="25" t="s">
        <v>18414</v>
      </c>
      <c r="C3509" s="26" t="str">
        <f>HYPERLINK("https://audio.iskcondesiretree.com/02_-_ISKCON_Swamis/ISKCON_Swamis_-_R_to_Y/His_Holiness_Radhanath_Swami/Lectures/01_-_Theme_wise/Dhaams/07_-_Various_places_in_South_India/01_-_Kanchipuram/03_Ramanuja_Accepts_Sannyas_-_Radhanath_Swami_IDesireTree.mp3", "07_-_Various_places_in_South_India")</f>
        <v>07_-_Various_places_in_South_India</v>
      </c>
      <c r="D3509" s="24"/>
      <c r="E3509" s="24"/>
    </row>
    <row r="3510">
      <c r="A3510" s="25" t="s">
        <v>18392</v>
      </c>
      <c r="B3510" s="25" t="s">
        <v>18414</v>
      </c>
      <c r="C3510" s="26" t="str">
        <f>HYPERLINK("https://audio.iskcondesiretree.com/02_-_ISKCON_Swamis/ISKCON_Swamis_-_R_to_Y/His_Holiness_Radhanath_Swami/Lectures/01_-_Theme_wise/Dhaams/07_-_Various_places_in_South_India/01_-_Kanchipuram/04_Kanchipurna%27s_Loving_Relation_With_Lord_Vardaraj.mp3", "07_-_Various_places_in_South_India")</f>
        <v>07_-_Various_places_in_South_India</v>
      </c>
      <c r="D3510" s="24"/>
      <c r="E3510" s="24"/>
    </row>
    <row r="3511">
      <c r="A3511" s="25" t="s">
        <v>18392</v>
      </c>
      <c r="B3511" s="25" t="s">
        <v>18414</v>
      </c>
      <c r="C3511" s="26" t="str">
        <f>HYPERLINK("https://audio.iskcondesiretree.com/02_-_ISKCON_Swamis/ISKCON_Swamis_-_R_to_Y/His_Holiness_Radhanath_Swami/Lectures/01_-_Theme_wise/Dhaams/07_-_Various_places_in_South_India/02_-_Madurai/01_Significance_of_Darbha_Shayana_lecture_at_Tirupallani_-_Radhanath_"&amp;"Swami.mp3", "07_-_Various_places_in_South_India")</f>
        <v>07_-_Various_places_in_South_India</v>
      </c>
      <c r="D3511" s="24"/>
      <c r="E3511" s="24"/>
    </row>
    <row r="3512">
      <c r="A3512" s="25" t="s">
        <v>18392</v>
      </c>
      <c r="B3512" s="25" t="s">
        <v>18414</v>
      </c>
      <c r="C3512" s="26" t="str">
        <f>HYPERLINK("https://audio.iskcondesiretree.com/02_-_ISKCON_Swamis/ISKCON_Swamis_-_R_to_Y/His_Holiness_Radhanath_Swami/Lectures/01_-_Theme_wise/Dhaams/07_-_Various_places_in_South_India/03_-_Rameshwaram/02_-_Mighty_Hanuman%27s_Mighty_Deeds_-_Radhanath_Swami.mp3", "07_-_Various_places_in_South_India")</f>
        <v>07_-_Various_places_in_South_India</v>
      </c>
      <c r="D3512" s="24"/>
      <c r="E3512" s="24"/>
    </row>
    <row r="3513">
      <c r="A3513" s="25" t="s">
        <v>18392</v>
      </c>
      <c r="B3513" s="25" t="s">
        <v>18414</v>
      </c>
      <c r="C3513" s="26" t="str">
        <f>HYPERLINK("https://audio.iskcondesiretree.com/02_-_ISKCON_Swamis/ISKCON_Swamis_-_R_to_Y/His_Holiness_Radhanath_Swami/Lectures/01_-_Theme_wise/Dhaams/07_-_Various_places_in_South_India/03_-_Rameshwaram/03_-_Vibhishana%27s_Advice_To_Ravana%27s_Plot_-_Radhanath_Swami.m"&amp;"p3", "07_-_Various_places_in_South_India")</f>
        <v>07_-_Various_places_in_South_India</v>
      </c>
      <c r="D3513" s="24"/>
      <c r="E3513" s="24"/>
    </row>
    <row r="3514">
      <c r="A3514" s="25" t="s">
        <v>18392</v>
      </c>
      <c r="B3514" s="25" t="s">
        <v>18414</v>
      </c>
      <c r="C3514" s="26" t="str">
        <f>HYPERLINK("https://audio.iskcondesiretree.com/02_-_ISKCON_Swamis/ISKCON_Swamis_-_R_to_Y/His_Holiness_Radhanath_Swami/Lectures/01_-_Theme_wise/Dhaams/07_-_Various_places_in_South_India/03_-_Rameshwaram/04_-_Vibhishana_Surrenders_to_Lord_Rama_-_Radhanath_Swami.mp3", "07_-_Various_places_in_South_India")</f>
        <v>07_-_Various_places_in_South_India</v>
      </c>
      <c r="D3514" s="24"/>
      <c r="E3514" s="24"/>
    </row>
    <row r="3515">
      <c r="A3515" s="25" t="s">
        <v>18392</v>
      </c>
      <c r="B3515" s="25" t="s">
        <v>18414</v>
      </c>
      <c r="C3515" s="26" t="str">
        <f>HYPERLINK("https://audio.iskcondesiretree.com/02_-_ISKCON_Swamis/ISKCON_Swamis_-_R_to_Y/His_Holiness_Radhanath_Swami/Lectures/01_-_Theme_wise/Dhaams/07_-_Various_places_in_South_India/03_-_Rameshwaram/05_-_Sacrifice_of_Lord_Laksman_-_Radhanath_Swami_IDesireTree.mp3", "07_-_Various_places_in_South_India")</f>
        <v>07_-_Various_places_in_South_India</v>
      </c>
      <c r="D3515" s="24"/>
      <c r="E3515" s="24"/>
    </row>
    <row r="3516">
      <c r="A3516" s="25" t="s">
        <v>18392</v>
      </c>
      <c r="B3516" s="25" t="s">
        <v>18414</v>
      </c>
      <c r="C3516" s="26" t="str">
        <f>HYPERLINK("https://audio.iskcondesiretree.com/02_-_ISKCON_Swamis/ISKCON_Swamis_-_R_to_Y/His_Holiness_Radhanath_Swami/Lectures/01_-_Theme_wise/Dhaams/07_-_Various_places_in_South_India/03_-_Rameshwaram/06_-_Glories_Of_King_Kulashekar_%26_Andal_Alwar_-_Radhanath_Swami"&amp;".mp3", "07_-_Various_places_in_South_India")</f>
        <v>07_-_Various_places_in_South_India</v>
      </c>
      <c r="D3516" s="24"/>
      <c r="E3516" s="24"/>
    </row>
    <row r="3517">
      <c r="A3517" s="25" t="s">
        <v>18392</v>
      </c>
      <c r="B3517" s="25" t="s">
        <v>18414</v>
      </c>
      <c r="C3517" s="26" t="str">
        <f>HYPERLINK("https://audio.iskcondesiretree.com/02_-_ISKCON_Swamis/ISKCON_Swamis_-_R_to_Y/His_Holiness_Radhanath_Swami/Lectures/01_-_Theme_wise/Dhaams/07_-_Various_places_in_South_India/03_-_Rameshwaram/07_-_Summary_of_Mahaprabhu%27s_Further_Tour_of_South_India.mp3", "07_-_Various_places_in_South_India")</f>
        <v>07_-_Various_places_in_South_India</v>
      </c>
      <c r="D3517" s="24"/>
      <c r="E3517" s="24"/>
    </row>
    <row r="3518">
      <c r="A3518" s="25" t="s">
        <v>18392</v>
      </c>
      <c r="B3518" s="25" t="s">
        <v>18414</v>
      </c>
      <c r="C3518" s="26" t="str">
        <f>HYPERLINK("https://audio.iskcondesiretree.com/02_-_ISKCON_Swamis/ISKCON_Swamis_-_R_to_Y/His_Holiness_Radhanath_Swami/Lectures/01_-_Theme_wise/Dhaams/07_-_Various_places_in_South_India/04_-_Sri_Rangam/01_History_of_the_Sri_Rangam_Temple_-_Radhanath_Swami.mp3", "07_-_Various_places_in_South_India")</f>
        <v>07_-_Various_places_in_South_India</v>
      </c>
      <c r="D3518" s="24"/>
      <c r="E3518" s="24"/>
    </row>
    <row r="3519">
      <c r="A3519" s="25" t="s">
        <v>18392</v>
      </c>
      <c r="B3519" s="25" t="s">
        <v>18414</v>
      </c>
      <c r="C3519" s="26" t="str">
        <f>HYPERLINK("https://audio.iskcondesiretree.com/02_-_ISKCON_Swamis/ISKCON_Swamis_-_R_to_Y/His_Holiness_Radhanath_Swami/Lectures/01_-_Theme_wise/Dhaams/07_-_Various_places_in_South_India/04_-_Sri_Rangam/02_Mahaprabhu_Begins_his_South_India_Tour_-_Radhanath_Swami.mp3", "07_-_Various_places_in_South_India")</f>
        <v>07_-_Various_places_in_South_India</v>
      </c>
      <c r="D3519" s="24"/>
      <c r="E3519" s="24"/>
    </row>
    <row r="3520">
      <c r="A3520" s="25" t="s">
        <v>18392</v>
      </c>
      <c r="B3520" s="25" t="s">
        <v>18414</v>
      </c>
      <c r="C3520" s="26" t="str">
        <f>HYPERLINK("https://audio.iskcondesiretree.com/02_-_ISKCON_Swamis/ISKCON_Swamis_-_R_to_Y/His_Holiness_Radhanath_Swami/Lectures/01_-_Theme_wise/Dhaams/07_-_Various_places_in_South_India/04_-_Sri_Rangam/03_Ramanuja%27s_pastimes_Sri_Rangam_-_Radhanath_Swami.mp3", "07_-_Various_places_in_South_India")</f>
        <v>07_-_Various_places_in_South_India</v>
      </c>
      <c r="D3520" s="24"/>
      <c r="E3520" s="24"/>
    </row>
    <row r="3521">
      <c r="A3521" s="25" t="s">
        <v>18392</v>
      </c>
      <c r="B3521" s="25" t="s">
        <v>18414</v>
      </c>
      <c r="C3521" s="26" t="str">
        <f>HYPERLINK("https://audio.iskcondesiretree.com/02_-_ISKCON_Swamis/ISKCON_Swamis_-_R_to_Y/His_Holiness_Radhanath_Swami/Lectures/01_-_Theme_wise/Dhaams/07_-_Various_places_in_South_India/04_-_Sri_Rangam/04_Mahaprabhu%27s_Stay_at_Venkata_Bhatt%27s_House_-_Radhanath_Swam"&amp;"i.mp3", "07_-_Various_places_in_South_India")</f>
        <v>07_-_Various_places_in_South_India</v>
      </c>
      <c r="D3521" s="24"/>
      <c r="E3521" s="24"/>
    </row>
    <row r="3522">
      <c r="A3522" s="25" t="s">
        <v>18392</v>
      </c>
      <c r="B3522" s="25" t="s">
        <v>18414</v>
      </c>
      <c r="C3522" s="26" t="str">
        <f>HYPERLINK("https://audio.iskcondesiretree.com/02_-_ISKCON_Swamis/ISKCON_Swamis_-_R_to_Y/His_Holiness_Radhanath_Swami/Lectures/01_-_Theme_wise/Dhaams/07_-_Various_places_in_South_India/04_-_Sri_Rangam/05_Sri_Rangakshetra-The_Place_of_Selfless_Service_-_Radhanath_Sw.m"&amp;"p3", "07_-_Various_places_in_South_India")</f>
        <v>07_-_Various_places_in_South_India</v>
      </c>
      <c r="D3522" s="24"/>
      <c r="E3522" s="24"/>
    </row>
    <row r="3523">
      <c r="A3523" s="25" t="s">
        <v>18392</v>
      </c>
      <c r="B3523" s="25" t="s">
        <v>18414</v>
      </c>
      <c r="C3523" s="26" t="str">
        <f>HYPERLINK("https://audio.iskcondesiretree.com/02_-_ISKCON_Swamis/ISKCON_Swamis_-_R_to_Y/His_Holiness_Radhanath_Swami/Lectures/01_-_Theme_wise/Dhaams/07_-_Various_places_in_South_India/04_-_Sri_Rangam/06_Lord_Nityananda_Prabhu%27s_Journey_to_Navadvipa_-_Radhanath_Sw."&amp;"mp3", "07_-_Various_places_in_South_India")</f>
        <v>07_-_Various_places_in_South_India</v>
      </c>
      <c r="D3523" s="24"/>
      <c r="E3523" s="24"/>
    </row>
    <row r="3524">
      <c r="A3524" s="25" t="s">
        <v>18392</v>
      </c>
      <c r="B3524" s="25" t="s">
        <v>18414</v>
      </c>
      <c r="C3524" s="26" t="str">
        <f>HYPERLINK("https://audio.iskcondesiretree.com/02_-_ISKCON_Swamis/ISKCON_Swamis_-_R_to_Y/His_Holiness_Radhanath_Swami/Lectures/01_-_Theme_wise/Dhaams/07_-_Various_places_in_South_India/05_-_Tirupati/01_-_Lord_Srinivas%27s_Separation_for_Lakshmi_Devi_-_Radhanath_Swami"&amp;".mp3", "07_-_Various_places_in_South_India")</f>
        <v>07_-_Various_places_in_South_India</v>
      </c>
      <c r="D3524" s="24"/>
      <c r="E3524" s="24"/>
    </row>
    <row r="3525">
      <c r="A3525" s="25" t="s">
        <v>18392</v>
      </c>
      <c r="B3525" s="25" t="s">
        <v>18414</v>
      </c>
      <c r="C3525" s="26" t="str">
        <f>HYPERLINK("https://audio.iskcondesiretree.com/02_-_ISKCON_Swamis/ISKCON_Swamis_-_R_to_Y/His_Holiness_Radhanath_Swami/Lectures/01_-_Theme_wise/Dhaams/07_-_Various_places_in_South_India/05_-_Tirupati/02_-_Vedavati_The_Emblem_of_Chastity_and_Patience_-_Radhanath_Swami."&amp;"mp3", "07_-_Various_places_in_South_India")</f>
        <v>07_-_Various_places_in_South_India</v>
      </c>
      <c r="D3525" s="24"/>
      <c r="E3525" s="24"/>
    </row>
    <row r="3526">
      <c r="A3526" s="25" t="s">
        <v>18392</v>
      </c>
      <c r="B3526" s="25" t="s">
        <v>18414</v>
      </c>
      <c r="C3526" s="26" t="str">
        <f>HYPERLINK("https://audio.iskcondesiretree.com/02_-_ISKCON_Swamis/ISKCON_Swamis_-_R_to_Y/His_Holiness_Radhanath_Swami/Lectures/01_-_Theme_wise/Dhaams/08_-_Mayapur/1996-033_Glorification_Of_Mayapur_Lecture_-_Radhanath_Swami_Mayapur_1996-02-18_IDesireTree.mp3", "08_-_Mayapur")</f>
        <v>08_-_Mayapur</v>
      </c>
      <c r="D3526" s="24"/>
      <c r="E3526" s="24"/>
    </row>
    <row r="3527">
      <c r="A3527" s="25" t="s">
        <v>18392</v>
      </c>
      <c r="B3527" s="25" t="s">
        <v>18414</v>
      </c>
      <c r="C3527" s="26" t="str">
        <f>HYPERLINK("https://audio.iskcondesiretree.com/02_-_ISKCON_Swamis/ISKCON_Swamis_-_R_to_Y/His_Holiness_Radhanath_Swami/Lectures/01_-_Theme_wise/Dhaams/08_-_Mayapur/1997-128_Glories_Of_Navadwipdhama_Lecture_-_Radhanath_Swami_Mumbai_1997-10-18_IDesireTree.mp3", "08_-_Mayapur")</f>
        <v>08_-_Mayapur</v>
      </c>
      <c r="D3527" s="24"/>
      <c r="E3527" s="24"/>
    </row>
    <row r="3528">
      <c r="A3528" s="25" t="s">
        <v>18392</v>
      </c>
      <c r="B3528" s="25" t="s">
        <v>18414</v>
      </c>
      <c r="C3528" s="26" t="str">
        <f>HYPERLINK("https://audio.iskcondesiretree.com/02_-_ISKCON_Swamis/ISKCON_Swamis_-_R_to_Y/His_Holiness_Radhanath_Swami/Lectures/01_-_Theme_wise/Dhaams/09_-_South%20India/1995-001_South_India_Yatra_SB_01-01-13_-_Radhanath_Swami_Mumbai_1995-01-01.mp3", "09_-_South%20India")</f>
        <v>09_-_South%20India</v>
      </c>
      <c r="D3528" s="24"/>
      <c r="E3528" s="24"/>
    </row>
    <row r="3529">
      <c r="A3529" s="25" t="s">
        <v>18392</v>
      </c>
      <c r="B3529" s="25" t="s">
        <v>18414</v>
      </c>
      <c r="C3529" s="26" t="str">
        <f>HYPERLINK("https://audio.iskcondesiretree.com/02_-_ISKCON_Swamis/ISKCON_Swamis_-_R_to_Y/His_Holiness_Radhanath_Swami/Lectures/01_-_Theme_wise/Dhaams/10_-_Udipi/1997-065_Udipi_Yatra_Lecture_-_Radhanath_Swami_Udipi_1997-04-22_IDesireTree.mp3", "10_-_Udipi")</f>
        <v>10_-_Udipi</v>
      </c>
      <c r="D3529" s="24"/>
      <c r="E3529" s="24"/>
    </row>
    <row r="3530">
      <c r="A3530" s="25" t="s">
        <v>18392</v>
      </c>
      <c r="B3530" s="25" t="s">
        <v>18415</v>
      </c>
      <c r="C3530" s="26" t="str">
        <f>HYPERLINK("https://audio.iskcondesiretree.com/02_-_ISKCON_Swamis/ISKCON_Swamis_-_R_to_Y/His_Holiness_Radhanath_Swami/Lectures/01_-_Theme_wise/Disciple_and_Devotee--Ideal_Qualities/1990-023_Discipline_BG_02-64_-_Radhanath_Swami_Mumbai_19990-02-19_IDesireTree.mp3", "1990-023_Discipline_BG_02-64_-_Radhanath_Swami_Mumbai_19990-02-19_IDesireTree.mp3")</f>
        <v>1990-023_Discipline_BG_02-64_-_Radhanath_Swami_Mumbai_19990-02-19_IDesireTree.mp3</v>
      </c>
      <c r="D3530" s="24"/>
      <c r="E3530" s="24"/>
    </row>
    <row r="3531">
      <c r="A3531" s="25" t="s">
        <v>18392</v>
      </c>
      <c r="B3531" s="25" t="s">
        <v>18416</v>
      </c>
      <c r="C3531" s="26" t="str">
        <f>HYPERLINK("https://audio.iskcondesiretree.com/02_-_ISKCON_Swamis/ISKCON_Swamis_-_R_to_Y/His_Holiness_Radhanath_Swami/Lectures/01_-_Theme_wise/Disciplic_Succession/1994-135_Submitting_To_The_Parampara_SB_01-04-01_-_Radhanath_Swami_Mumbai_1994-09-07_IDesireTree.mp3", "1994-135_Submitting_To_The_Parampara_SB_01-04-01_-_Radhanath_Swami_Mumbai_1994-09-07_IDesireTree.mp3")</f>
        <v>1994-135_Submitting_To_The_Parampara_SB_01-04-01_-_Radhanath_Swami_Mumbai_1994-09-07_IDesireTree.mp3</v>
      </c>
      <c r="D3531" s="24"/>
      <c r="E3531" s="24"/>
    </row>
    <row r="3532">
      <c r="A3532" s="25" t="s">
        <v>18392</v>
      </c>
      <c r="B3532" s="25" t="s">
        <v>18416</v>
      </c>
      <c r="C3532" s="26" t="str">
        <f>HYPERLINK("https://audio.iskcondesiretree.com/02_-_ISKCON_Swamis/ISKCON_Swamis_-_R_to_Y/His_Holiness_Radhanath_Swami/Lectures/01_-_Theme_wise/Disciplic_Succession/1995-097_Importance_Of_Disciplic_Succession_Lecture_-_Radhanath_Swami_Pune_1995-08-30_IDesireTree.mp3", "1995-097_Importance_Of_Disciplic_Succession_Lecture_-_Radhanath_Swami_Pune_1995-08-30_IDesireTree.mp3")</f>
        <v>1995-097_Importance_Of_Disciplic_Succession_Lecture_-_Radhanath_Swami_Pune_1995-08-30_IDesireTree.mp3</v>
      </c>
      <c r="D3532" s="24"/>
      <c r="E3532" s="24"/>
    </row>
    <row r="3533">
      <c r="A3533" s="25" t="s">
        <v>18392</v>
      </c>
      <c r="B3533" s="25" t="s">
        <v>18416</v>
      </c>
      <c r="C3533" s="26" t="str">
        <f>HYPERLINK("https://audio.iskcondesiretree.com/02_-_ISKCON_Swamis/ISKCON_Swamis_-_R_to_Y/His_Holiness_Radhanath_Swami/Lectures/01_-_Theme_wise/Disciplic_Succession/2000-019_Following_Guru_Parampara_SB_01-03-42_-_Radhanath_Swami_Mumbai_2000-02-03_IDesireTree.mp3", "2000-019_Following_Guru_Parampara_SB_01-03-42_-_Radhanath_Swami_Mumbai_2000-02-03_IDesireTree.mp3")</f>
        <v>2000-019_Following_Guru_Parampara_SB_01-03-42_-_Radhanath_Swami_Mumbai_2000-02-03_IDesireTree.mp3</v>
      </c>
      <c r="D3533" s="24"/>
      <c r="E3533" s="24"/>
    </row>
    <row r="3534">
      <c r="A3534" s="25" t="s">
        <v>18392</v>
      </c>
      <c r="B3534" s="25" t="s">
        <v>18417</v>
      </c>
      <c r="C3534" s="26" t="str">
        <f>HYPERLINK("https://audio.iskcondesiretree.com/02_-_ISKCON_Swamis/ISKCON_Swamis_-_R_to_Y/His_Holiness_Radhanath_Swami/Lectures/01_-_Theme_wise/Eagerness/1993-175_Being_Eager_And_Greedy_For_Krishna_BG_10-31_-_Radhanath_Swami_Mumbai_1993-12-09_IDesireTree.mp3", "1993-175_Being_Eager_And_Greedy_For_Krishna_BG_10-31_-_Radhanath_Swami_Mumbai_1993-12-09_IDesireTree.mp3")</f>
        <v>1993-175_Being_Eager_And_Greedy_For_Krishna_BG_10-31_-_Radhanath_Swami_Mumbai_1993-12-09_IDesireTree.mp3</v>
      </c>
      <c r="D3534" s="24"/>
      <c r="E3534" s="24"/>
    </row>
    <row r="3535">
      <c r="A3535" s="25" t="s">
        <v>18392</v>
      </c>
      <c r="B3535" s="25" t="s">
        <v>18417</v>
      </c>
      <c r="C3535" s="26" t="str">
        <f>HYPERLINK("https://audio.iskcondesiretree.com/02_-_ISKCON_Swamis/ISKCON_Swamis_-_R_to_Y/His_Holiness_Radhanath_Swami/Lectures/01_-_Theme_wise/Eagerness/1997-015_Be_Eager_Like_Dhruva_BG_05-12_-_Radhanath_Swami_Pune_1997-01-17_IDesireTree.mp3", "1997-015_Be_Eager_Like_Dhruva_BG_05-12_-_Radhanath_Swami_Pune_1997-01-17_IDesireTree.mp3")</f>
        <v>1997-015_Be_Eager_Like_Dhruva_BG_05-12_-_Radhanath_Swami_Pune_1997-01-17_IDesireTree.mp3</v>
      </c>
      <c r="D3535" s="24"/>
      <c r="E3535" s="24"/>
    </row>
    <row r="3536">
      <c r="A3536" s="25" t="s">
        <v>18392</v>
      </c>
      <c r="B3536" s="25" t="s">
        <v>18417</v>
      </c>
      <c r="C3536" s="26" t="str">
        <f>HYPERLINK("https://audio.iskcondesiretree.com/02_-_ISKCON_Swamis/ISKCON_Swamis_-_R_to_Y/His_Holiness_Radhanath_Swami/Lectures/01_-_Theme_wise/Eagerness/1997-070_Eagerness_Of_Krishna_BG_06-15_-_Radhanath_Swami_Mumbai_1997-05-03_IDesireTree.mp3", "1997-070_Eagerness_Of_Krishna_BG_06-15_-_Radhanath_Swami_Mumbai_1997-05-03_IDesireTree.mp3")</f>
        <v>1997-070_Eagerness_Of_Krishna_BG_06-15_-_Radhanath_Swami_Mumbai_1997-05-03_IDesireTree.mp3</v>
      </c>
      <c r="D3536" s="24"/>
      <c r="E3536" s="24"/>
    </row>
    <row r="3537">
      <c r="A3537" s="25" t="s">
        <v>18392</v>
      </c>
      <c r="B3537" s="25" t="s">
        <v>18417</v>
      </c>
      <c r="C3537" s="26" t="str">
        <f>HYPERLINK("https://audio.iskcondesiretree.com/02_-_ISKCON_Swamis/ISKCON_Swamis_-_R_to_Y/His_Holiness_Radhanath_Swami/Lectures/01_-_Theme_wise/Eagerness/1997-078_Our_Eagerness_Attracts_Krishna_Lecture_K_ford_-_Radhanath_Swami_London_1997-05-26_IDesireTree.mp3", "1997-078_Our_Eagerness_Attracts_Krishna_Lecture_K_ford_-_Radhanath_Swami_London_1997-05-26_IDesireTree.mp3")</f>
        <v>1997-078_Our_Eagerness_Attracts_Krishna_Lecture_K_ford_-_Radhanath_Swami_London_1997-05-26_IDesireTree.mp3</v>
      </c>
      <c r="D3537" s="24"/>
      <c r="E3537" s="24"/>
    </row>
    <row r="3538">
      <c r="A3538" s="25" t="s">
        <v>18392</v>
      </c>
      <c r="B3538" s="25" t="s">
        <v>18417</v>
      </c>
      <c r="C3538" s="26" t="str">
        <f>HYPERLINK("https://audio.iskcondesiretree.com/02_-_ISKCON_Swamis/ISKCON_Swamis_-_R_to_Y/His_Holiness_Radhanath_Swami/Lectures/01_-_Theme_wise/Eagerness/1997-091_Our_Life_Is_Our_Eagerness_SB_03-01-44_-_Radhanath_Swami_Mumbai_1997-08-28_IDesireTree.mp3", "1997-091_Our_Life_Is_Our_Eagerness_SB_03-01-44_-_Radhanath_Swami_Mumbai_1997-08-28_IDesireTree.mp3")</f>
        <v>1997-091_Our_Life_Is_Our_Eagerness_SB_03-01-44_-_Radhanath_Swami_Mumbai_1997-08-28_IDesireTree.mp3</v>
      </c>
      <c r="D3538" s="24"/>
      <c r="E3538" s="24"/>
    </row>
    <row r="3539">
      <c r="A3539" s="25" t="s">
        <v>18392</v>
      </c>
      <c r="B3539" s="25" t="s">
        <v>18417</v>
      </c>
      <c r="C3539" s="26" t="str">
        <f>HYPERLINK("https://audio.iskcondesiretree.com/02_-_ISKCON_Swamis/ISKCON_Swamis_-_R_to_Y/His_Holiness_Radhanath_Swami/Lectures/01_-_Theme_wise/Eagerness/1997-093_Be_Eager_For_Krishna_CC_Antya_-_Radhanath_Swami_Mumbai_1997-08-31_IDesireTree.mp3", "1997-093_Be_Eager_For_Krishna_CC_Antya_-_Radhanath_Swami_Mumbai_1997-08-31_IDesireTree.mp3")</f>
        <v>1997-093_Be_Eager_For_Krishna_CC_Antya_-_Radhanath_Swami_Mumbai_1997-08-31_IDesireTree.mp3</v>
      </c>
      <c r="D3539" s="24"/>
      <c r="E3539" s="24"/>
    </row>
    <row r="3540">
      <c r="A3540" s="25" t="s">
        <v>18392</v>
      </c>
      <c r="B3540" s="25" t="s">
        <v>18417</v>
      </c>
      <c r="C3540" s="26" t="str">
        <f>HYPERLINK("https://audio.iskcondesiretree.com/02_-_ISKCON_Swamis/ISKCON_Swamis_-_R_to_Y/His_Holiness_Radhanath_Swami/Lectures/01_-_Theme_wise/Eagerness/1997-100_Eagerness_To_Please_Krsna_Lecture_-_Radhanath_Swami_MOscow_1997-09-13_IDesireTree.mp3", "1997-100_Eagerness_To_Please_Krsna_Lecture_-_Radhanath_Swami_MOscow_1997-09-13_IDesireTree.mp3")</f>
        <v>1997-100_Eagerness_To_Please_Krsna_Lecture_-_Radhanath_Swami_MOscow_1997-09-13_IDesireTree.mp3</v>
      </c>
      <c r="D3540" s="24"/>
      <c r="E3540" s="24"/>
    </row>
    <row r="3541">
      <c r="A3541" s="25" t="s">
        <v>18392</v>
      </c>
      <c r="B3541" s="25" t="s">
        <v>18417</v>
      </c>
      <c r="C3541" s="26" t="str">
        <f>HYPERLINK("https://audio.iskcondesiretree.com/02_-_ISKCON_Swamis/ISKCON_Swamis_-_R_to_Y/His_Holiness_Radhanath_Swami/Lectures/01_-_Theme_wise/Eagerness/1999-043_Eager_%26_Enthusiastic_to_Serve_the_Deity_Lecture_-_Radhanath_Swami_Mumbai_1999-07-18_IDesireTree.mp3", "1999-043_Eager_%26_Enthusiastic_to_Serve_the_Deity_Lecture_-_Radhanath_Swami_Mumbai_1999-07-18_IDesireTree.mp3")</f>
        <v>1999-043_Eager_%26_Enthusiastic_to_Serve_the_Deity_Lecture_-_Radhanath_Swami_Mumbai_1999-07-18_IDesireTree.mp3</v>
      </c>
      <c r="D3541" s="24"/>
      <c r="E3541" s="24"/>
    </row>
    <row r="3542">
      <c r="A3542" s="25" t="s">
        <v>18392</v>
      </c>
      <c r="B3542" s="25" t="s">
        <v>18417</v>
      </c>
      <c r="C3542" s="26" t="str">
        <f>HYPERLINK("https://audio.iskcondesiretree.com/02_-_ISKCON_Swamis/ISKCON_Swamis_-_R_to_Y/His_Holiness_Radhanath_Swami/Lectures/01_-_Theme_wise/Eagerness/2002-008_Looking_For_An_Every_Opportunity_To_See_Krsna_Lecture_-_Radhanath_Swami_Mumbai_2002-01-08_IDesireTree.mp3", "2002-008_Looking_For_An_Every_Opportunity_To_See_Krsna_Lecture_-_Radhanath_Swami_Mumbai_2002-01-08_IDesireTree.mp3")</f>
        <v>2002-008_Looking_For_An_Every_Opportunity_To_See_Krsna_Lecture_-_Radhanath_Swami_Mumbai_2002-01-08_IDesireTree.mp3</v>
      </c>
      <c r="D3542" s="24"/>
      <c r="E3542" s="24"/>
    </row>
    <row r="3543">
      <c r="A3543" s="25" t="s">
        <v>18392</v>
      </c>
      <c r="B3543" s="25" t="s">
        <v>18418</v>
      </c>
      <c r="C3543" s="26" t="str">
        <f>HYPERLINK("https://audio.iskcondesiretree.com/02_-_ISKCON_Swamis/ISKCON_Swamis_-_R_to_Y/His_Holiness_Radhanath_Swami/Lectures/01_-_Theme_wise/Enthusiasm/1990-088_Be_Enthusiastic_CC_ML-01_02_-_Radhanath_Swami_Mumbai_1990-10-060_new_IDesireTree.mp3", "1990-088_Be_Enthusiastic_CC_ML-01_02_-_Radhanath_Swami_Mumbai_1990-10-060_new_IDesireTree.mp3")</f>
        <v>1990-088_Be_Enthusiastic_CC_ML-01_02_-_Radhanath_Swami_Mumbai_1990-10-060_new_IDesireTree.mp3</v>
      </c>
      <c r="D3543" s="24"/>
      <c r="E3543" s="24"/>
    </row>
    <row r="3544">
      <c r="A3544" s="25" t="s">
        <v>18392</v>
      </c>
      <c r="B3544" s="25" t="s">
        <v>18418</v>
      </c>
      <c r="C3544" s="26" t="str">
        <f>HYPERLINK("https://audio.iskcondesiretree.com/02_-_ISKCON_Swamis/ISKCON_Swamis_-_R_to_Y/His_Holiness_Radhanath_Swami/Lectures/01_-_Theme_wise/Enthusiasm/1993-015_Enthusiasm_Patience_And_Faith_SB_10-20-45-46_-_Radhanath_Swami_Mumbai_1993-01-17_IDesireTree.mp3", "1993-015_Enthusiasm_Patience_And_Faith_SB_10-20-45-46_-_Radhanath_Swami_Mumbai_1993-01-17_IDesireTree.mp3")</f>
        <v>1993-015_Enthusiasm_Patience_And_Faith_SB_10-20-45-46_-_Radhanath_Swami_Mumbai_1993-01-17_IDesireTree.mp3</v>
      </c>
      <c r="D3544" s="24"/>
      <c r="E3544" s="24"/>
    </row>
    <row r="3545">
      <c r="A3545" s="25" t="s">
        <v>18392</v>
      </c>
      <c r="B3545" s="25" t="s">
        <v>18418</v>
      </c>
      <c r="C3545" s="26" t="str">
        <f>HYPERLINK("https://audio.iskcondesiretree.com/02_-_ISKCON_Swamis/ISKCON_Swamis_-_R_to_Y/His_Holiness_Radhanath_Swami/Lectures/01_-_Theme_wise/Enthusiasm/1997-071_Always_Be_Alert_SB_02-09-28_-_Radhanath_Swami_Mumbai_1997-05-04_IDesireTree.mp3", "1997-071_Always_Be_Alert_SB_02-09-28_-_Radhanath_Swami_Mumbai_1997-05-04_IDesireTree.mp3")</f>
        <v>1997-071_Always_Be_Alert_SB_02-09-28_-_Radhanath_Swami_Mumbai_1997-05-04_IDesireTree.mp3</v>
      </c>
      <c r="D3545" s="24"/>
      <c r="E3545" s="24"/>
    </row>
    <row r="3546">
      <c r="A3546" s="25" t="s">
        <v>18392</v>
      </c>
      <c r="B3546" s="25" t="s">
        <v>18418</v>
      </c>
      <c r="C3546" s="26" t="str">
        <f>HYPERLINK("https://audio.iskcondesiretree.com/02_-_ISKCON_Swamis/ISKCON_Swamis_-_R_to_Y/His_Holiness_Radhanath_Swami/Lectures/01_-_Theme_wise/Enthusiasm/1999-043_Eager_%26_Enthusiastic_to_Serve_the_Deity_Lecture_-_Radhanath_Swami_Mumbai_1999-07-18_IDesireTree.mp3", "1999-043_Eager_%26_Enthusiastic_to_Serve_the_Deity_Lecture_-_Radhanath_Swami_Mumbai_1999-07-18_IDesireTree.mp3")</f>
        <v>1999-043_Eager_%26_Enthusiastic_to_Serve_the_Deity_Lecture_-_Radhanath_Swami_Mumbai_1999-07-18_IDesireTree.mp3</v>
      </c>
      <c r="D3546" s="24"/>
      <c r="E3546" s="24"/>
    </row>
    <row r="3547">
      <c r="A3547" s="25" t="s">
        <v>18392</v>
      </c>
      <c r="B3547" s="25" t="s">
        <v>18419</v>
      </c>
      <c r="C3547" s="26" t="str">
        <f>HYPERLINK("https://audio.iskcondesiretree.com/02_-_ISKCON_Swamis/ISKCON_Swamis_-_R_to_Y/His_Holiness_Radhanath_Swami/Lectures/01_-_Theme_wise/Faith/1989-049_Becoming_Peaceful_SB_08-05-47_-_Radhanath_Swami_Mumbai_1989-09-24_IDesireTree.mp3", "1989-049_Becoming_Peaceful_SB_08-05-47_-_Radhanath_Swami_Mumbai_1989-09-24_IDesireTree.mp3")</f>
        <v>1989-049_Becoming_Peaceful_SB_08-05-47_-_Radhanath_Swami_Mumbai_1989-09-24_IDesireTree.mp3</v>
      </c>
      <c r="D3547" s="24"/>
      <c r="E3547" s="24"/>
    </row>
    <row r="3548">
      <c r="A3548" s="25" t="s">
        <v>18392</v>
      </c>
      <c r="B3548" s="25" t="s">
        <v>18419</v>
      </c>
      <c r="C3548" s="26" t="str">
        <f>HYPERLINK("https://audio.iskcondesiretree.com/02_-_ISKCON_Swamis/ISKCON_Swamis_-_R_to_Y/His_Holiness_Radhanath_Swami/Lectures/01_-_Theme_wise/Faith/1989-056_Faith_Lecture_-_Radhanath_Swami_Mumbai_1989-09-29_IDesireTree.mp3", "1989-056_Faith_Lecture_-_Radhanath_Swami_Mumbai_1989-09-29_IDesireTree.mp3")</f>
        <v>1989-056_Faith_Lecture_-_Radhanath_Swami_Mumbai_1989-09-29_IDesireTree.mp3</v>
      </c>
      <c r="D3548" s="24"/>
      <c r="E3548" s="24"/>
    </row>
    <row r="3549">
      <c r="A3549" s="25" t="s">
        <v>18392</v>
      </c>
      <c r="B3549" s="25" t="s">
        <v>18419</v>
      </c>
      <c r="C3549" s="26" t="str">
        <f>HYPERLINK("https://audio.iskcondesiretree.com/02_-_ISKCON_Swamis/ISKCON_Swamis_-_R_to_Y/His_Holiness_Radhanath_Swami/Lectures/01_-_Theme_wise/Faith/1990-055_A_Vaishnava_Has_Faith_SB_08-05-47_-_Radhanath_Swami_Mumbai_1990-07-27_IDesireTree.mp3", "1990-055_A_Vaishnava_Has_Faith_SB_08-05-47_-_Radhanath_Swami_Mumbai_1990-07-27_IDesireTree.mp3")</f>
        <v>1990-055_A_Vaishnava_Has_Faith_SB_08-05-47_-_Radhanath_Swami_Mumbai_1990-07-27_IDesireTree.mp3</v>
      </c>
      <c r="D3549" s="24"/>
      <c r="E3549" s="24"/>
    </row>
    <row r="3550">
      <c r="A3550" s="25" t="s">
        <v>18392</v>
      </c>
      <c r="B3550" s="25" t="s">
        <v>18419</v>
      </c>
      <c r="C3550" s="26" t="str">
        <f>HYPERLINK("https://audio.iskcondesiretree.com/02_-_ISKCON_Swamis/ISKCON_Swamis_-_R_to_Y/His_Holiness_Radhanath_Swami/Lectures/01_-_Theme_wise/Faith/1990-058_Trust_In_Mercy_Of_God_SB_08-06-14_-_Radhanath_Swami_Mumbai_1990-08-09_IDesireTree.mp3", "1990-058_Trust_In_Mercy_Of_God_SB_08-06-14_-_Radhanath_Swami_Mumbai_1990-08-09_IDesireTree.mp3")</f>
        <v>1990-058_Trust_In_Mercy_Of_God_SB_08-06-14_-_Radhanath_Swami_Mumbai_1990-08-09_IDesireTree.mp3</v>
      </c>
      <c r="D3550" s="24"/>
      <c r="E3550" s="24"/>
    </row>
    <row r="3551">
      <c r="A3551" s="25" t="s">
        <v>18392</v>
      </c>
      <c r="B3551" s="25" t="s">
        <v>18419</v>
      </c>
      <c r="C3551" s="26" t="str">
        <f>HYPERLINK("https://audio.iskcondesiretree.com/02_-_ISKCON_Swamis/ISKCON_Swamis_-_R_to_Y/His_Holiness_Radhanath_Swami/Lectures/01_-_Theme_wise/Faith/1991-031_Surrender_And_Faith_BG_11-30-32_-_Radhanath_Swami_Mumbai_1991-03-08_IDesireTree.mp3", "1991-031_Surrender_And_Faith_BG_11-30-32_-_Radhanath_Swami_Mumbai_1991-03-08_IDesireTree.mp3")</f>
        <v>1991-031_Surrender_And_Faith_BG_11-30-32_-_Radhanath_Swami_Mumbai_1991-03-08_IDesireTree.mp3</v>
      </c>
      <c r="D3551" s="24"/>
      <c r="E3551" s="24"/>
    </row>
    <row r="3552">
      <c r="A3552" s="25" t="s">
        <v>18392</v>
      </c>
      <c r="B3552" s="25" t="s">
        <v>18419</v>
      </c>
      <c r="C3552" s="26" t="str">
        <f>HYPERLINK("https://audio.iskcondesiretree.com/02_-_ISKCON_Swamis/ISKCON_Swamis_-_R_to_Y/His_Holiness_Radhanath_Swami/Lectures/01_-_Theme_wise/Faith/1991-066_Devahuti%27s_Enquiries_To_Lord_Kapila_SB_03-25-07_-_Radhanath_Swami_Mumbai_1991-06-01_IDesireTree.mp3", "1991-066_Devahuti%27s_Enquiries_To_Lord_Kapila_SB_03-25-07_-_Radhanath_Swami_Mumbai_1991-06-01_IDesireTree.mp3")</f>
        <v>1991-066_Devahuti%27s_Enquiries_To_Lord_Kapila_SB_03-25-07_-_Radhanath_Swami_Mumbai_1991-06-01_IDesireTree.mp3</v>
      </c>
      <c r="D3552" s="24"/>
      <c r="E3552" s="24"/>
    </row>
    <row r="3553">
      <c r="A3553" s="25" t="s">
        <v>18392</v>
      </c>
      <c r="B3553" s="25" t="s">
        <v>18419</v>
      </c>
      <c r="C3553" s="26" t="str">
        <f>HYPERLINK("https://audio.iskcondesiretree.com/02_-_ISKCON_Swamis/ISKCON_Swamis_-_R_to_Y/His_Holiness_Radhanath_Swami/Lectures/01_-_Theme_wise/Faith/1991-107_Parikshit%27s_Enquiry_Before_Death_SB_01-19-24_-_Radhanath_Swami_Mumbai_1991-10-29_IDesireTree.mp3", "1991-107_Parikshit%27s_Enquiry_Before_Death_SB_01-19-24_-_Radhanath_Swami_Mumbai_1991-10-29_IDesireTree.mp3")</f>
        <v>1991-107_Parikshit%27s_Enquiry_Before_Death_SB_01-19-24_-_Radhanath_Swami_Mumbai_1991-10-29_IDesireTree.mp3</v>
      </c>
      <c r="D3553" s="24"/>
      <c r="E3553" s="24"/>
    </row>
    <row r="3554">
      <c r="A3554" s="25" t="s">
        <v>18392</v>
      </c>
      <c r="B3554" s="25" t="s">
        <v>18419</v>
      </c>
      <c r="C3554" s="26" t="str">
        <f>HYPERLINK("https://audio.iskcondesiretree.com/02_-_ISKCON_Swamis/ISKCON_Swamis_-_R_to_Y/His_Holiness_Radhanath_Swami/Lectures/01_-_Theme_wise/Faith/1991-116_Hearing-_Washes_All_Doubts_BG_04-38-39_-_Radhanath_Swami_Mumbai_1991-11-03_IDesireTree.mp3", "1991-116_Hearing-_Washes_All_Doubts_BG_04-38-39_-_Radhanath_Swami_Mumbai_1991-11-03_IDesireTree.mp3")</f>
        <v>1991-116_Hearing-_Washes_All_Doubts_BG_04-38-39_-_Radhanath_Swami_Mumbai_1991-11-03_IDesireTree.mp3</v>
      </c>
      <c r="D3554" s="24"/>
      <c r="E3554" s="24"/>
    </row>
    <row r="3555">
      <c r="A3555" s="25" t="s">
        <v>18392</v>
      </c>
      <c r="B3555" s="25" t="s">
        <v>18419</v>
      </c>
      <c r="C3555" s="26" t="str">
        <f>HYPERLINK("https://audio.iskcondesiretree.com/02_-_ISKCON_Swamis/ISKCON_Swamis_-_R_to_Y/His_Holiness_Radhanath_Swami/Lectures/01_-_Theme_wise/Faith/1991-156_The_Pillar_Of_Faith_SB_01-12-30_-_Radhanath_Swami_Surat_1991-12-09_IDesireTree.mp3", "1991-156_The_Pillar_Of_Faith_SB_01-12-30_-_Radhanath_Swami_Surat_1991-12-09_IDesireTree.mp3")</f>
        <v>1991-156_The_Pillar_Of_Faith_SB_01-12-30_-_Radhanath_Swami_Surat_1991-12-09_IDesireTree.mp3</v>
      </c>
      <c r="D3555" s="24"/>
      <c r="E3555" s="24"/>
    </row>
    <row r="3556">
      <c r="A3556" s="25" t="s">
        <v>18392</v>
      </c>
      <c r="B3556" s="25" t="s">
        <v>18419</v>
      </c>
      <c r="C3556" s="26" t="str">
        <f>HYPERLINK("https://audio.iskcondesiretree.com/02_-_ISKCON_Swamis/ISKCON_Swamis_-_R_to_Y/His_Holiness_Radhanath_Swami/Lectures/01_-_Theme_wise/Faith/1992-131_Our_Faith_Is_Our_Life_SB_10-16-25-30_-_Radhanath_Swami_Mumbai_1992-11-28_IDesireTree.mp3", "1992-131_Our_Faith_Is_Our_Life_SB_10-16-25-30_-_Radhanath_Swami_Mumbai_1992-11-28_IDesireTree.mp3")</f>
        <v>1992-131_Our_Faith_Is_Our_Life_SB_10-16-25-30_-_Radhanath_Swami_Mumbai_1992-11-28_IDesireTree.mp3</v>
      </c>
      <c r="D3556" s="24"/>
      <c r="E3556" s="24"/>
    </row>
    <row r="3557">
      <c r="A3557" s="25" t="s">
        <v>18392</v>
      </c>
      <c r="B3557" s="25" t="s">
        <v>18419</v>
      </c>
      <c r="C3557" s="26" t="str">
        <f>HYPERLINK("https://audio.iskcondesiretree.com/02_-_ISKCON_Swamis/ISKCON_Swamis_-_R_to_Y/His_Holiness_Radhanath_Swami/Lectures/01_-_Theme_wise/Faith/1992-150_Don%27t_Put_Your_Faith_In_This_Material_World_SB_10-18-27_-_Radhanath_Swami_Mumbai_1992-12-24_IDesireTree.mp3", "1992-150_Don%27t_Put_Your_Faith_In_This_Material_World_SB_10-18-27_-_Radhanath_Swami_Mumbai_1992-12-24_IDesireTree.mp3")</f>
        <v>1992-150_Don%27t_Put_Your_Faith_In_This_Material_World_SB_10-18-27_-_Radhanath_Swami_Mumbai_1992-12-24_IDesireTree.mp3</v>
      </c>
      <c r="D3557" s="24"/>
      <c r="E3557" s="24"/>
    </row>
    <row r="3558">
      <c r="A3558" s="25" t="s">
        <v>18392</v>
      </c>
      <c r="B3558" s="25" t="s">
        <v>18419</v>
      </c>
      <c r="C3558" s="26" t="str">
        <f>HYPERLINK("https://audio.iskcondesiretree.com/02_-_ISKCON_Swamis/ISKCON_Swamis_-_R_to_Y/His_Holiness_Radhanath_Swami/Lectures/01_-_Theme_wise/Faith/1992-153_Kill_The_Demon_Of_Doubt_SB_10-18-28-32_-_Radhanath_Swami_Mumbai_1992-12-25_IDesireTree.mp3", "1992-153_Kill_The_Demon_Of_Doubt_SB_10-18-28-32_-_Radhanath_Swami_Mumbai_1992-12-25_IDesireTree.mp3")</f>
        <v>1992-153_Kill_The_Demon_Of_Doubt_SB_10-18-28-32_-_Radhanath_Swami_Mumbai_1992-12-25_IDesireTree.mp3</v>
      </c>
      <c r="D3558" s="24"/>
      <c r="E3558" s="24"/>
    </row>
    <row r="3559">
      <c r="A3559" s="25" t="s">
        <v>18392</v>
      </c>
      <c r="B3559" s="25" t="s">
        <v>18419</v>
      </c>
      <c r="C3559" s="26" t="str">
        <f>HYPERLINK("https://audio.iskcondesiretree.com/02_-_ISKCON_Swamis/ISKCON_Swamis_-_R_to_Y/His_Holiness_Radhanath_Swami/Lectures/01_-_Theme_wise/Faith/1993-014_To_Have_Innocent_Faith_SB_10-20-42-44_-_Radhanath_Swami_Mumbai_1993-01-16_IDesireTree.mp3", "1993-014_To_Have_Innocent_Faith_SB_10-20-42-44_-_Radhanath_Swami_Mumbai_1993-01-16_IDesireTree.mp3")</f>
        <v>1993-014_To_Have_Innocent_Faith_SB_10-20-42-44_-_Radhanath_Swami_Mumbai_1993-01-16_IDesireTree.mp3</v>
      </c>
      <c r="D3559" s="24"/>
      <c r="E3559" s="24"/>
    </row>
    <row r="3560">
      <c r="A3560" s="25" t="s">
        <v>18392</v>
      </c>
      <c r="B3560" s="25" t="s">
        <v>18419</v>
      </c>
      <c r="C3560" s="26" t="str">
        <f>HYPERLINK("https://audio.iskcondesiretree.com/02_-_ISKCON_Swamis/ISKCON_Swamis_-_R_to_Y/His_Holiness_Radhanath_Swami/Lectures/01_-_Theme_wise/Faith/1993-015_Enthusiasm_Patience_And_Faith_SB_10-20-45-46_-_Radhanath_Swami_Mumbai_1993-01-17_IDesireTree.mp3", "1993-015_Enthusiasm_Patience_And_Faith_SB_10-20-45-46_-_Radhanath_Swami_Mumbai_1993-01-17_IDesireTree.mp3")</f>
        <v>1993-015_Enthusiasm_Patience_And_Faith_SB_10-20-45-46_-_Radhanath_Swami_Mumbai_1993-01-17_IDesireTree.mp3</v>
      </c>
      <c r="D3560" s="24"/>
      <c r="E3560" s="24"/>
    </row>
    <row r="3561">
      <c r="A3561" s="25" t="s">
        <v>18392</v>
      </c>
      <c r="B3561" s="25" t="s">
        <v>18419</v>
      </c>
      <c r="C3561" s="26" t="str">
        <f>HYPERLINK("https://audio.iskcondesiretree.com/02_-_ISKCON_Swamis/ISKCON_Swamis_-_R_to_Y/His_Holiness_Radhanath_Swami/Lectures/01_-_Theme_wise/Faith/1993-029_Purpose_Of_Creation_SB_02-09-36_-_Radhanath_Swami_1993-03-26_IDesireTree.mp3", "1993-029_Purpose_Of_Creation_SB_02-09-36_-_Radhanath_Swami_1993-03-26_IDesireTree.mp3")</f>
        <v>1993-029_Purpose_Of_Creation_SB_02-09-36_-_Radhanath_Swami_1993-03-26_IDesireTree.mp3</v>
      </c>
      <c r="D3561" s="24"/>
      <c r="E3561" s="24"/>
    </row>
    <row r="3562">
      <c r="A3562" s="25" t="s">
        <v>18392</v>
      </c>
      <c r="B3562" s="25" t="s">
        <v>18419</v>
      </c>
      <c r="C3562" s="26" t="str">
        <f>HYPERLINK("https://audio.iskcondesiretree.com/02_-_ISKCON_Swamis/ISKCON_Swamis_-_R_to_Y/His_Holiness_Radhanath_Swami/Lectures/01_-_Theme_wise/Faith/1994-138_How_Much_Faith_Do_We_Have_BG_04-39_-_Radhanath_Swami_Mumbai_1994-09-10_IDesireTree.mp3", "1994-138_How_Much_Faith_Do_We_Have_BG_04-39_-_Radhanath_Swami_Mumbai_1994-09-10_IDesireTree.mp3")</f>
        <v>1994-138_How_Much_Faith_Do_We_Have_BG_04-39_-_Radhanath_Swami_Mumbai_1994-09-10_IDesireTree.mp3</v>
      </c>
      <c r="D3562" s="24"/>
      <c r="E3562" s="24"/>
    </row>
    <row r="3563">
      <c r="A3563" s="25" t="s">
        <v>18392</v>
      </c>
      <c r="B3563" s="25" t="s">
        <v>18419</v>
      </c>
      <c r="C3563" s="26" t="str">
        <f>HYPERLINK("https://audio.iskcondesiretree.com/02_-_ISKCON_Swamis/ISKCON_Swamis_-_R_to_Y/His_Holiness_Radhanath_Swami/Lectures/01_-_Theme_wise/Faith/1995-028_What_Is_Faith_SB_03-02-10_-_Radhanath_Swami_Mumbai_1995-01-20.mp3", "1995-028_What_Is_Faith_SB_03-02-10_-_Radhanath_Swami_Mumbai_1995-01-20.mp3")</f>
        <v>1995-028_What_Is_Faith_SB_03-02-10_-_Radhanath_Swami_Mumbai_1995-01-20.mp3</v>
      </c>
      <c r="D3563" s="24"/>
      <c r="E3563" s="24"/>
    </row>
    <row r="3564">
      <c r="A3564" s="25" t="s">
        <v>18392</v>
      </c>
      <c r="B3564" s="25" t="s">
        <v>18419</v>
      </c>
      <c r="C3564" s="26" t="str">
        <f>HYPERLINK("https://audio.iskcondesiretree.com/02_-_ISKCON_Swamis/ISKCON_Swamis_-_R_to_Y/His_Holiness_Radhanath_Swami/Lectures/01_-_Theme_wise/Faith/1995-084_Fight_Against_Crisis_Of_Doubts_SB_01-12-21_-_Radhanath_Swami_Mumbai_1995-08-13_IDesireTree.mp3", "1995-084_Fight_Against_Crisis_Of_Doubts_SB_01-12-21_-_Radhanath_Swami_Mumbai_1995-08-13_IDesireTree.mp3")</f>
        <v>1995-084_Fight_Against_Crisis_Of_Doubts_SB_01-12-21_-_Radhanath_Swami_Mumbai_1995-08-13_IDesireTree.mp3</v>
      </c>
      <c r="D3564" s="24"/>
      <c r="E3564" s="24"/>
    </row>
    <row r="3565">
      <c r="A3565" s="25" t="s">
        <v>18392</v>
      </c>
      <c r="B3565" s="25" t="s">
        <v>18419</v>
      </c>
      <c r="C3565" s="26" t="str">
        <f>HYPERLINK("https://audio.iskcondesiretree.com/02_-_ISKCON_Swamis/ISKCON_Swamis_-_R_to_Y/His_Holiness_Radhanath_Swami/Lectures/01_-_Theme_wise/Faith/1996-061_Faith_Removes_Fear_SB_01-18-04_-_Radhanath_Swami_Mumbai_1996-03-24_IDesireTree.mp3", "1996-061_Faith_Removes_Fear_SB_01-18-04_-_Radhanath_Swami_Mumbai_1996-03-24_IDesireTree.mp3")</f>
        <v>1996-061_Faith_Removes_Fear_SB_01-18-04_-_Radhanath_Swami_Mumbai_1996-03-24_IDesireTree.mp3</v>
      </c>
      <c r="D3565" s="24"/>
      <c r="E3565" s="24"/>
    </row>
    <row r="3566">
      <c r="A3566" s="25" t="s">
        <v>18392</v>
      </c>
      <c r="B3566" s="25" t="s">
        <v>18419</v>
      </c>
      <c r="C3566" s="26" t="str">
        <f>HYPERLINK("https://audio.iskcondesiretree.com/02_-_ISKCON_Swamis/ISKCON_Swamis_-_R_to_Y/His_Holiness_Radhanath_Swami/Lectures/01_-_Theme_wise/Faith/1998-073_Total_Faith_in_Scriptures_SB_03-09-37_-_Radhanath_Swami_Mumbai_1998-07-20_IDesireTree.mp3", "1998-073_Total_Faith_in_Scriptures_SB_03-09-37_-_Radhanath_Swami_Mumbai_1998-07-20_IDesireTree.mp3")</f>
        <v>1998-073_Total_Faith_in_Scriptures_SB_03-09-37_-_Radhanath_Swami_Mumbai_1998-07-20_IDesireTree.mp3</v>
      </c>
      <c r="D3566" s="24"/>
      <c r="E3566" s="24"/>
    </row>
    <row r="3567">
      <c r="A3567" s="25" t="s">
        <v>18392</v>
      </c>
      <c r="B3567" s="25" t="s">
        <v>18419</v>
      </c>
      <c r="C3567" s="26" t="str">
        <f>HYPERLINK("https://audio.iskcondesiretree.com/02_-_ISKCON_Swamis/ISKCON_Swamis_-_R_to_Y/His_Holiness_Radhanath_Swami/Lectures/01_-_Theme_wise/Faith/2000-045_Placing_Our_Full_Faith_in_Krishna_SB_03-26-07_-_Radhanath_Swami_Mumbai_2000-03-25_IDesireTree.mp3", "2000-045_Placing_Our_Full_Faith_in_Krishna_SB_03-26-07_-_Radhanath_Swami_Mumbai_2000-03-25_IDesireTree.mp3")</f>
        <v>2000-045_Placing_Our_Full_Faith_in_Krishna_SB_03-26-07_-_Radhanath_Swami_Mumbai_2000-03-25_IDesireTree.mp3</v>
      </c>
      <c r="D3567" s="24"/>
      <c r="E3567" s="24"/>
    </row>
    <row r="3568">
      <c r="A3568" s="25" t="s">
        <v>18392</v>
      </c>
      <c r="B3568" s="25" t="s">
        <v>18419</v>
      </c>
      <c r="C3568" s="26" t="str">
        <f>HYPERLINK("https://audio.iskcondesiretree.com/02_-_ISKCON_Swamis/ISKCON_Swamis_-_R_to_Y/His_Holiness_Radhanath_Swami/Lectures/01_-_Theme_wise/Faith/2000-060_Firm_Conviction_in_Lord_Krishna_BG_07-30_-_Radhanath_Swami_Mumbai_2000-08-26_IDesireTree.mp3", "2000-060_Firm_Conviction_in_Lord_Krishna_BG_07-30_-_Radhanath_Swami_Mumbai_2000-08-26_IDesireTree.mp3")</f>
        <v>2000-060_Firm_Conviction_in_Lord_Krishna_BG_07-30_-_Radhanath_Swami_Mumbai_2000-08-26_IDesireTree.mp3</v>
      </c>
      <c r="D3568" s="24"/>
      <c r="E3568" s="24"/>
    </row>
    <row r="3569">
      <c r="A3569" s="25" t="s">
        <v>18392</v>
      </c>
      <c r="B3569" s="25" t="s">
        <v>18419</v>
      </c>
      <c r="C3569" s="26" t="str">
        <f>HYPERLINK("https://audio.iskcondesiretree.com/02_-_ISKCON_Swamis/ISKCON_Swamis_-_R_to_Y/His_Holiness_Radhanath_Swami/Lectures/01_-_Theme_wise/Faith/2001-060_Seeing_Krishna_Through_Faith_SB_04-09-02_-_Radhanath_Swami_2001-12-15_IDesireTree.mp3", "2001-060_Seeing_Krishna_Through_Faith_SB_04-09-02_-_Radhanath_Swami_2001-12-15_IDesireTree.mp3")</f>
        <v>2001-060_Seeing_Krishna_Through_Faith_SB_04-09-02_-_Radhanath_Swami_2001-12-15_IDesireTree.mp3</v>
      </c>
      <c r="D3569" s="24"/>
      <c r="E3569" s="24"/>
    </row>
    <row r="3570">
      <c r="A3570" s="25" t="s">
        <v>18392</v>
      </c>
      <c r="B3570" s="25" t="s">
        <v>18420</v>
      </c>
      <c r="C3570" s="26" t="str">
        <f>HYPERLINK("https://audio.iskcondesiretree.com/02_-_ISKCON_Swamis/ISKCON_Swamis_-_R_to_Y/His_Holiness_Radhanath_Swami/Lectures/01_-_Theme_wise/False_Ego/01.SB-10-27-12-14_Ego_Purification_-_Radhanath_Swami_Mumbai_1993-04-30_IDesireTree.mp3", "01.SB-10-27-12-14_Ego_Purification_-_Radhanath_Swami_Mumbai_1993-04-30_IDesireTree.mp3")</f>
        <v>01.SB-10-27-12-14_Ego_Purification_-_Radhanath_Swami_Mumbai_1993-04-30_IDesireTree.mp3</v>
      </c>
      <c r="D3570" s="24"/>
      <c r="E3570" s="24"/>
    </row>
    <row r="3571">
      <c r="A3571" s="25" t="s">
        <v>18392</v>
      </c>
      <c r="B3571" s="25" t="s">
        <v>18420</v>
      </c>
      <c r="C3571" s="26" t="str">
        <f>HYPERLINK("https://audio.iskcondesiretree.com/02_-_ISKCON_Swamis/ISKCON_Swamis_-_R_to_Y/His_Holiness_Radhanath_Swami/Lectures/01_-_Theme_wise/False_Ego/02.SB_02-03-31-32_Ego_Crushed_-_Radhanath_Swami_Mumbai_1997-05-07_IDesireTree.mp3", "02.SB_02-03-31-32_Ego_Crushed_-_Radhanath_Swami_Mumbai_1997-05-07_IDesireTree.mp3")</f>
        <v>02.SB_02-03-31-32_Ego_Crushed_-_Radhanath_Swami_Mumbai_1997-05-07_IDesireTree.mp3</v>
      </c>
      <c r="D3571" s="24"/>
      <c r="E3571" s="24"/>
    </row>
    <row r="3572">
      <c r="A3572" s="25" t="s">
        <v>18392</v>
      </c>
      <c r="B3572" s="25" t="s">
        <v>18420</v>
      </c>
      <c r="C3572" s="26" t="str">
        <f>HYPERLINK("https://audio.iskcondesiretree.com/02_-_ISKCON_Swamis/ISKCON_Swamis_-_R_to_Y/His_Holiness_Radhanath_Swami/Lectures/01_-_Theme_wise/False_Ego/03.When_Ego_is_Attacked_-_Radhanath_Swami_IDesireTree.mp3", "03.When_Ego_is_Attacked_-_Radhanath_Swami_IDesireTree.mp3")</f>
        <v>03.When_Ego_is_Attacked_-_Radhanath_Swami_IDesireTree.mp3</v>
      </c>
      <c r="D3572" s="24"/>
      <c r="E3572" s="24"/>
    </row>
    <row r="3573">
      <c r="A3573" s="25" t="s">
        <v>18392</v>
      </c>
      <c r="B3573" s="25" t="s">
        <v>18420</v>
      </c>
      <c r="C3573" s="26" t="str">
        <f>HYPERLINK("https://audio.iskcondesiretree.com/02_-_ISKCON_Swamis/ISKCON_Swamis_-_R_to_Y/His_Holiness_Radhanath_Swami/Lectures/01_-_Theme_wise/False_Ego/04.Giving_Up_Our_Egoistic_Attachments_-_Radhanath_Swami_1997-11-21_Ilford_IDesireTree.mp3", "04.Giving_Up_Our_Egoistic_Attachments_-_Radhanath_Swami_1997-11-21_Ilford_IDesireTree.mp3")</f>
        <v>04.Giving_Up_Our_Egoistic_Attachments_-_Radhanath_Swami_1997-11-21_Ilford_IDesireTree.mp3</v>
      </c>
      <c r="D3573" s="24"/>
      <c r="E3573" s="24"/>
    </row>
    <row r="3574">
      <c r="A3574" s="25" t="s">
        <v>18392</v>
      </c>
      <c r="B3574" s="25" t="s">
        <v>18420</v>
      </c>
      <c r="C3574" s="26" t="str">
        <f>HYPERLINK("https://audio.iskcondesiretree.com/02_-_ISKCON_Swamis/ISKCON_Swamis_-_R_to_Y/His_Holiness_Radhanath_Swami/Lectures/01_-_Theme_wise/False_Ego/05.Cutting_Down_the_Weed_of_False_Ego-01_SB_04-26-08_-_Radhanath_Swami_Mumbai_2003-12-14_IDesireTree.mp3", "05.Cutting_Down_the_Weed_of_False_Ego-01_SB_04-26-08_-_Radhanath_Swami_Mumbai_2003-12-14_IDesireTree.mp3")</f>
        <v>05.Cutting_Down_the_Weed_of_False_Ego-01_SB_04-26-08_-_Radhanath_Swami_Mumbai_2003-12-14_IDesireTree.mp3</v>
      </c>
      <c r="D3574" s="24"/>
      <c r="E3574" s="24"/>
    </row>
    <row r="3575">
      <c r="A3575" s="25" t="s">
        <v>18392</v>
      </c>
      <c r="B3575" s="25" t="s">
        <v>18420</v>
      </c>
      <c r="C3575" s="26" t="str">
        <f>HYPERLINK("https://audio.iskcondesiretree.com/02_-_ISKCON_Swamis/ISKCON_Swamis_-_R_to_Y/His_Holiness_Radhanath_Swami/Lectures/01_-_Theme_wise/False_Ego/06.Cutting_Down_the_Weed_of_False_Ego-02_SB_04-26-08_-_Radhanath_Swami_Mumbai_2003-12-14_IDesireTree.mp3", "06.Cutting_Down_the_Weed_of_False_Ego-02_SB_04-26-08_-_Radhanath_Swami_Mumbai_2003-12-14_IDesireTree.mp3")</f>
        <v>06.Cutting_Down_the_Weed_of_False_Ego-02_SB_04-26-08_-_Radhanath_Swami_Mumbai_2003-12-14_IDesireTree.mp3</v>
      </c>
      <c r="D3575" s="24"/>
      <c r="E3575" s="24"/>
    </row>
    <row r="3576">
      <c r="A3576" s="25" t="s">
        <v>18392</v>
      </c>
      <c r="B3576" s="25" t="s">
        <v>18420</v>
      </c>
      <c r="C3576" s="26" t="str">
        <f>HYPERLINK("https://audio.iskcondesiretree.com/02_-_ISKCON_Swamis/ISKCON_Swamis_-_R_to_Y/His_Holiness_Radhanath_Swami/Lectures/01_-_Theme_wise/False_Ego/1991-007_Smashing_The_Illusion_Of_False_Ego_Lecture_-_Radhanath_Swami_Mumbai_1991-01-27_IDesireTree.mp3", "1991-007_Smashing_The_Illusion_Of_False_Ego_Lecture_-_Radhanath_Swami_Mumbai_1991-01-27_IDesireTree.mp3")</f>
        <v>1991-007_Smashing_The_Illusion_Of_False_Ego_Lecture_-_Radhanath_Swami_Mumbai_1991-01-27_IDesireTree.mp3</v>
      </c>
      <c r="D3576" s="24"/>
      <c r="E3576" s="24"/>
    </row>
    <row r="3577">
      <c r="A3577" s="25" t="s">
        <v>18392</v>
      </c>
      <c r="B3577" s="25" t="s">
        <v>18420</v>
      </c>
      <c r="C3577" s="26" t="str">
        <f>HYPERLINK("https://audio.iskcondesiretree.com/02_-_ISKCON_Swamis/ISKCON_Swamis_-_R_to_Y/His_Holiness_Radhanath_Swami/Lectures/01_-_Theme_wise/False_Ego/1992-073_Laziness_And_False_Ego_BG_03-30_-_Radhanath_Swami_Mumbai_1992-08-16_IDesireTree.mp3", "1992-073_Laziness_And_False_Ego_BG_03-30_-_Radhanath_Swami_Mumbai_1992-08-16_IDesireTree.mp3")</f>
        <v>1992-073_Laziness_And_False_Ego_BG_03-30_-_Radhanath_Swami_Mumbai_1992-08-16_IDesireTree.mp3</v>
      </c>
      <c r="D3577" s="24"/>
      <c r="E3577" s="24"/>
    </row>
    <row r="3578">
      <c r="A3578" s="25" t="s">
        <v>18392</v>
      </c>
      <c r="B3578" s="25" t="s">
        <v>18420</v>
      </c>
      <c r="C3578" s="26" t="str">
        <f>HYPERLINK("https://audio.iskcondesiretree.com/02_-_ISKCON_Swamis/ISKCON_Swamis_-_R_to_Y/His_Holiness_Radhanath_Swami/Lectures/01_-_Theme_wise/False_Ego/1996-069_Glorify_Devotees_Inspite_Of_Our_Ego_Lecture_-_Radhanath_Swami_Mumbai_1996-03-31_IDesireTree.mp3", "1996-069_Glorify_Devotees_Inspite_Of_Our_Ego_Lecture_-_Radhanath_Swami_Mumbai_1996-03-31_IDesireTree.mp3")</f>
        <v>1996-069_Glorify_Devotees_Inspite_Of_Our_Ego_Lecture_-_Radhanath_Swami_Mumbai_1996-03-31_IDesireTree.mp3</v>
      </c>
      <c r="D3578" s="24"/>
      <c r="E3578" s="24"/>
    </row>
    <row r="3579">
      <c r="A3579" s="25" t="s">
        <v>18392</v>
      </c>
      <c r="B3579" s="25" t="s">
        <v>18420</v>
      </c>
      <c r="C3579" s="26" t="str">
        <f>HYPERLINK("https://audio.iskcondesiretree.com/02_-_ISKCON_Swamis/ISKCON_Swamis_-_R_to_Y/His_Holiness_Radhanath_Swami/Lectures/01_-_Theme_wise/False_Ego/1998-001_Weeds_of_False_Ego_SB_03-05_29_-_Radhanath_Swami_Mumbai_1998-01-01_IDesireTree.mp3", "1998-001_Weeds_of_False_Ego_SB_03-05_29_-_Radhanath_Swami_Mumbai_1998-01-01_IDesireTree.mp3")</f>
        <v>1998-001_Weeds_of_False_Ego_SB_03-05_29_-_Radhanath_Swami_Mumbai_1998-01-01_IDesireTree.mp3</v>
      </c>
      <c r="D3579" s="24"/>
      <c r="E3579" s="24"/>
    </row>
    <row r="3580">
      <c r="A3580" s="25" t="s">
        <v>18392</v>
      </c>
      <c r="B3580" s="25" t="s">
        <v>18420</v>
      </c>
      <c r="C3580" s="26" t="str">
        <f>HYPERLINK("https://audio.iskcondesiretree.com/02_-_ISKCON_Swamis/ISKCON_Swamis_-_R_to_Y/His_Holiness_Radhanath_Swami/Lectures/01_-_Theme_wise/False_Ego/2003-105_Cutting_Down_the_Weed_of_False_Ego_SB_04-26-08_-_Radhanath_Swami_Mumbai_2003-12-14_IDesireTree.mp3", "2003-105_Cutting_Down_the_Weed_of_False_Ego_SB_04-26-08_-_Radhanath_Swami_Mumbai_2003-12-14_IDesireTree.mp3")</f>
        <v>2003-105_Cutting_Down_the_Weed_of_False_Ego_SB_04-26-08_-_Radhanath_Swami_Mumbai_2003-12-14_IDesireTree.mp3</v>
      </c>
      <c r="D3580" s="24"/>
      <c r="E3580" s="24"/>
    </row>
    <row r="3581">
      <c r="A3581" s="25" t="s">
        <v>18392</v>
      </c>
      <c r="B3581" s="25" t="s">
        <v>6087</v>
      </c>
      <c r="C3581" s="26" t="str">
        <f>HYPERLINK("https://audio.iskcondesiretree.com/02_-_ISKCON_Swamis/ISKCON_Swamis_-_R_to_Y/His_Holiness_Radhanath_Swami/Lectures/01_-_Theme_wise/Festivals/1989-072_Fool_Number_One_Lecture_-_Radhanath_Swami_Mumbai_1989-10-30_IDesireTree.mp3", "1989-072_Fool_Number_One_Lecture_-_Radhanath_Swami_Mumbai_1989-10-30_IDesireTree.mp3")</f>
        <v>1989-072_Fool_Number_One_Lecture_-_Radhanath_Swami_Mumbai_1989-10-30_IDesireTree.mp3</v>
      </c>
      <c r="D3581" s="24"/>
      <c r="E3581" s="24"/>
    </row>
    <row r="3582">
      <c r="A3582" s="25" t="s">
        <v>18392</v>
      </c>
      <c r="B3582" s="25" t="s">
        <v>6087</v>
      </c>
      <c r="C3582" s="26" t="str">
        <f>HYPERLINK("https://audio.iskcondesiretree.com/02_-_ISKCON_Swamis/ISKCON_Swamis_-_R_to_Y/His_Holiness_Radhanath_Swami/Lectures/01_-_Theme_wise/Festivals/1989-076_Meditation_On_The_Month_Of_Damodar_BG_04-09_-_Radhanath_Swami_Mumbai_1989-10-22_IDesireTree.mp3", "1989-076_Meditation_On_The_Month_Of_Damodar_BG_04-09_-_Radhanath_Swami_Mumbai_1989-10-22_IDesireTree.mp3")</f>
        <v>1989-076_Meditation_On_The_Month_Of_Damodar_BG_04-09_-_Radhanath_Swami_Mumbai_1989-10-22_IDesireTree.mp3</v>
      </c>
      <c r="D3582" s="24"/>
      <c r="E3582" s="24"/>
    </row>
    <row r="3583">
      <c r="A3583" s="25" t="s">
        <v>18392</v>
      </c>
      <c r="B3583" s="25" t="s">
        <v>6087</v>
      </c>
      <c r="C3583" s="26" t="str">
        <f>HYPERLINK("https://audio.iskcondesiretree.com/02_-_ISKCON_Swamis/ISKCON_Swamis_-_R_to_Y/His_Holiness_Radhanath_Swami/Lectures/01_-_Theme_wise/Festivals/1990-022_Lord_Nityananda_Appearance_Day_VS_1-1-12_-_Radhanath_Swami_Mumbai_1990-02-17_IDesireTree.mp3", "1990-022_Lord_Nityananda_Appearance_Day_VS_1-1-12_-_Radhanath_Swami_Mumbai_1990-02-17_IDesireTree.mp3")</f>
        <v>1990-022_Lord_Nityananda_Appearance_Day_VS_1-1-12_-_Radhanath_Swami_Mumbai_1990-02-17_IDesireTree.mp3</v>
      </c>
      <c r="D3583" s="24"/>
      <c r="E3583" s="24"/>
    </row>
    <row r="3584">
      <c r="A3584" s="25" t="s">
        <v>18392</v>
      </c>
      <c r="B3584" s="25" t="s">
        <v>6087</v>
      </c>
      <c r="C3584" s="26" t="str">
        <f>HYPERLINK("https://audio.iskcondesiretree.com/02_-_ISKCON_Swamis/ISKCON_Swamis_-_R_to_Y/His_Holiness_Radhanath_Swami/Lectures/01_-_Theme_wise/Festivals/1990-061_What_Janmashtami_Really_Means_BG_11-53_-_Radhanath_Swami_1990-08-12_IDesireTree.mp3", "1990-061_What_Janmashtami_Really_Means_BG_11-53_-_Radhanath_Swami_1990-08-12_IDesireTree.mp3")</f>
        <v>1990-061_What_Janmashtami_Really_Means_BG_11-53_-_Radhanath_Swami_1990-08-12_IDesireTree.mp3</v>
      </c>
      <c r="D3584" s="24"/>
      <c r="E3584" s="24"/>
    </row>
    <row r="3585">
      <c r="A3585" s="25" t="s">
        <v>18392</v>
      </c>
      <c r="B3585" s="25" t="s">
        <v>6087</v>
      </c>
      <c r="C3585" s="26" t="str">
        <f>HYPERLINK("https://audio.iskcondesiretree.com/02_-_ISKCON_Swamis/ISKCON_Swamis_-_R_to_Y/His_Holiness_Radhanath_Swami/Lectures/01_-_Theme_wise/Festivals/1990-093_Govardhan_Lilla_Lecture_-_Radhanath_Swami_Mumbai_1990-10-19_IDesireTree.mp3", "1990-093_Govardhan_Lilla_Lecture_-_Radhanath_Swami_Mumbai_1990-10-19_IDesireTree.mp3")</f>
        <v>1990-093_Govardhan_Lilla_Lecture_-_Radhanath_Swami_Mumbai_1990-10-19_IDesireTree.mp3</v>
      </c>
      <c r="D3585" s="24"/>
      <c r="E3585" s="24"/>
    </row>
    <row r="3586">
      <c r="A3586" s="25" t="s">
        <v>18392</v>
      </c>
      <c r="B3586" s="25" t="s">
        <v>6087</v>
      </c>
      <c r="C3586" s="26" t="str">
        <f>HYPERLINK("https://audio.iskcondesiretree.com/02_-_ISKCON_Swamis/ISKCON_Swamis_-_R_to_Y/His_Holiness_Radhanath_Swami/Lectures/01_-_Theme_wise/Festivals/1990_What_Janmastami_Really_Means_BG_11-53_-_Radhanath_Swami_Mumbai_1990-08-12_IDesireTree.mp3", "1990_What_Janmastami_Really_Means_BG_11-53_-_Radhanath_Swami_Mumbai_1990-08-12_IDesireTree.mp3")</f>
        <v>1990_What_Janmastami_Really_Means_BG_11-53_-_Radhanath_Swami_Mumbai_1990-08-12_IDesireTree.mp3</v>
      </c>
      <c r="D3586" s="24"/>
      <c r="E3586" s="24"/>
    </row>
    <row r="3587">
      <c r="A3587" s="25" t="s">
        <v>18392</v>
      </c>
      <c r="B3587" s="25" t="s">
        <v>6087</v>
      </c>
      <c r="C3587" s="26" t="str">
        <f>HYPERLINK("https://audio.iskcondesiretree.com/02_-_ISKCON_Swamis/ISKCON_Swamis_-_R_to_Y/His_Holiness_Radhanath_Swami/Lectures/01_-_Theme_wise/Festivals/1991-054_The_Story_Of_Narasimhadev_Lecture_-_Radhanath_Swami_Mumbai_1991-05-26_IDesireTree.mp3", "1991-054_The_Story_Of_Narasimhadev_Lecture_-_Radhanath_Swami_Mumbai_1991-05-26_IDesireTree.mp3")</f>
        <v>1991-054_The_Story_Of_Narasimhadev_Lecture_-_Radhanath_Swami_Mumbai_1991-05-26_IDesireTree.mp3</v>
      </c>
      <c r="D3587" s="24"/>
      <c r="E3587" s="24"/>
    </row>
    <row r="3588">
      <c r="A3588" s="25" t="s">
        <v>18392</v>
      </c>
      <c r="B3588" s="25" t="s">
        <v>6087</v>
      </c>
      <c r="C3588" s="26" t="str">
        <f>HYPERLINK("https://audio.iskcondesiretree.com/02_-_ISKCON_Swamis/ISKCON_Swamis_-_R_to_Y/His_Holiness_Radhanath_Swami/Lectures/01_-_Theme_wise/Festivals/1991-117_Teaching_From_Govardhan_Lila_Lecture_-_Radhanath_Swami_Mumbai_1991-11-07_IDesireTree.mp3", "1991-117_Teaching_From_Govardhan_Lila_Lecture_-_Radhanath_Swami_Mumbai_1991-11-07_IDesireTree.mp3")</f>
        <v>1991-117_Teaching_From_Govardhan_Lila_Lecture_-_Radhanath_Swami_Mumbai_1991-11-07_IDesireTree.mp3</v>
      </c>
      <c r="D3588" s="24"/>
      <c r="E3588" s="24"/>
    </row>
    <row r="3589">
      <c r="A3589" s="25" t="s">
        <v>18392</v>
      </c>
      <c r="B3589" s="25" t="s">
        <v>6087</v>
      </c>
      <c r="C3589" s="26" t="str">
        <f>HYPERLINK("https://audio.iskcondesiretree.com/02_-_ISKCON_Swamis/ISKCON_Swamis_-_R_to_Y/His_Holiness_Radhanath_Swami/Lectures/01_-_Theme_wise/Festivals/1992-021_Dhenukasura_Within_Us_BG_03-30_-_Radhanath_Swami_Mumbai_1992-02-03_IDesireTree.mp3", "1992-021_Dhenukasura_Within_Us_BG_03-30_-_Radhanath_Swami_Mumbai_1992-02-03_IDesireTree.mp3")</f>
        <v>1992-021_Dhenukasura_Within_Us_BG_03-30_-_Radhanath_Swami_Mumbai_1992-02-03_IDesireTree.mp3</v>
      </c>
      <c r="D3589" s="24"/>
      <c r="E3589" s="24"/>
    </row>
    <row r="3590">
      <c r="A3590" s="25" t="s">
        <v>18392</v>
      </c>
      <c r="B3590" s="25" t="s">
        <v>6087</v>
      </c>
      <c r="C3590" s="26" t="str">
        <f>HYPERLINK("https://audio.iskcondesiretree.com/02_-_ISKCON_Swamis/ISKCON_Swamis_-_R_to_Y/His_Holiness_Radhanath_Swami/Lectures/01_-_Theme_wise/Festivals/1992-038_Gaur_Purnima_Lecture_-_Radhanath_Swami_Mumbai_1992-03-18_IDesireTree.mp3", "1992-038_Gaur_Purnima_Lecture_-_Radhanath_Swami_Mumbai_1992-03-18_IDesireTree.mp3")</f>
        <v>1992-038_Gaur_Purnima_Lecture_-_Radhanath_Swami_Mumbai_1992-03-18_IDesireTree.mp3</v>
      </c>
      <c r="D3590" s="24"/>
      <c r="E3590" s="24"/>
    </row>
    <row r="3591">
      <c r="A3591" s="25" t="s">
        <v>18392</v>
      </c>
      <c r="B3591" s="25" t="s">
        <v>6087</v>
      </c>
      <c r="C3591" s="26" t="str">
        <f>HYPERLINK("https://audio.iskcondesiretree.com/02_-_ISKCON_Swamis/ISKCON_Swamis_-_R_to_Y/His_Holiness_Radhanath_Swami/Lectures/01_-_Theme_wise/Festivals/1992-071_Lord_Balarama_Appearance_Day_Lecture_-_Radhanath_Swami_Mumbai_1992-08-15_IDesireTree.mp3", "1992-071_Lord_Balarama_Appearance_Day_Lecture_-_Radhanath_Swami_Mumbai_1992-08-15_IDesireTree.mp3")</f>
        <v>1992-071_Lord_Balarama_Appearance_Day_Lecture_-_Radhanath_Swami_Mumbai_1992-08-15_IDesireTree.mp3</v>
      </c>
      <c r="D3591" s="24"/>
      <c r="E3591" s="24"/>
    </row>
    <row r="3592">
      <c r="A3592" s="25" t="s">
        <v>18392</v>
      </c>
      <c r="B3592" s="25" t="s">
        <v>6087</v>
      </c>
      <c r="C3592" s="26" t="str">
        <f>HYPERLINK("https://audio.iskcondesiretree.com/02_-_ISKCON_Swamis/ISKCON_Swamis_-_R_to_Y/His_Holiness_Radhanath_Swami/Lectures/01_-_Theme_wise/Festivals/1992-085_Meaning_Of_Janamashtami_Lecture_-_Radhanath_Swami_Mumbai_1992-08-21_IDesireTree.mp3", "1992-085_Meaning_Of_Janamashtami_Lecture_-_Radhanath_Swami_Mumbai_1992-08-21_IDesireTree.mp3")</f>
        <v>1992-085_Meaning_Of_Janamashtami_Lecture_-_Radhanath_Swami_Mumbai_1992-08-21_IDesireTree.mp3</v>
      </c>
      <c r="D3592" s="24"/>
      <c r="E3592" s="24"/>
    </row>
    <row r="3593">
      <c r="A3593" s="25" t="s">
        <v>18392</v>
      </c>
      <c r="B3593" s="25" t="s">
        <v>6087</v>
      </c>
      <c r="C3593" s="26" t="str">
        <f>HYPERLINK("https://audio.iskcondesiretree.com/02_-_ISKCON_Swamis/ISKCON_Swamis_-_R_to_Y/His_Holiness_Radhanath_Swami/Lectures/01_-_Theme_wise/Festivals/1993-107_Story_Of_Lord_Jagannath_BG_13-17_-_Radhanath_Swami_Mumbai_1993-06-06_IDesireTree.mp3", "1993-107_Story_Of_Lord_Jagannath_BG_13-17_-_Radhanath_Swami_Mumbai_1993-06-06_IDesireTree.mp3")</f>
        <v>1993-107_Story_Of_Lord_Jagannath_BG_13-17_-_Radhanath_Swami_Mumbai_1993-06-06_IDesireTree.mp3</v>
      </c>
      <c r="D3593" s="24"/>
      <c r="E3593" s="24"/>
    </row>
    <row r="3594">
      <c r="A3594" s="25" t="s">
        <v>18392</v>
      </c>
      <c r="B3594" s="25" t="s">
        <v>6087</v>
      </c>
      <c r="C3594" s="26" t="str">
        <f>HYPERLINK("https://audio.iskcondesiretree.com/02_-_ISKCON_Swamis/ISKCON_Swamis_-_R_to_Y/His_Holiness_Radhanath_Swami/Lectures/01_-_Theme_wise/Festivals/1993-169_Govardhan_Puja_SB_10-25-13_-_Radhanath_Swami_Mumbai_1993-11-15_IDesireTree.mp3", "1993-169_Govardhan_Puja_SB_10-25-13_-_Radhanath_Swami_Mumbai_1993-11-15_IDesireTree.mp3")</f>
        <v>1993-169_Govardhan_Puja_SB_10-25-13_-_Radhanath_Swami_Mumbai_1993-11-15_IDesireTree.mp3</v>
      </c>
      <c r="D3594" s="24"/>
      <c r="E3594" s="24"/>
    </row>
    <row r="3595">
      <c r="A3595" s="25" t="s">
        <v>18392</v>
      </c>
      <c r="B3595" s="25" t="s">
        <v>6087</v>
      </c>
      <c r="C3595" s="26" t="str">
        <f>HYPERLINK("https://audio.iskcondesiretree.com/02_-_ISKCON_Swamis/ISKCON_Swamis_-_R_to_Y/His_Holiness_Radhanath_Swami/Lectures/01_-_Theme_wise/Festivals/1994-027_Story_Of_Vasant_Panchami_Lecture_-_Radhanath_Swami_Mumbai_1994-02-15_IDesireTree.mp3", "1994-027_Story_Of_Vasant_Panchami_Lecture_-_Radhanath_Swami_Mumbai_1994-02-15_IDesireTree.mp3")</f>
        <v>1994-027_Story_Of_Vasant_Panchami_Lecture_-_Radhanath_Swami_Mumbai_1994-02-15_IDesireTree.mp3</v>
      </c>
      <c r="D3595" s="24"/>
      <c r="E3595" s="24"/>
    </row>
    <row r="3596">
      <c r="A3596" s="25" t="s">
        <v>18392</v>
      </c>
      <c r="B3596" s="25" t="s">
        <v>6087</v>
      </c>
      <c r="C3596" s="26" t="str">
        <f>HYPERLINK("https://audio.iskcondesiretree.com/02_-_ISKCON_Swamis/ISKCON_Swamis_-_R_to_Y/His_Holiness_Radhanath_Swami/Lectures/01_-_Theme_wise/Festivals/1994-097_Significance_Of_Chandan_Yatra_Lecture_-_Radhanath_Swami_Mumbai_1994-05-15_IDesireTree.mp3", "1994-097_Significance_Of_Chandan_Yatra_Lecture_-_Radhanath_Swami_Mumbai_1994-05-15_IDesireTree.mp3")</f>
        <v>1994-097_Significance_Of_Chandan_Yatra_Lecture_-_Radhanath_Swami_Mumbai_1994-05-15_IDesireTree.mp3</v>
      </c>
      <c r="D3596" s="24"/>
      <c r="E3596" s="24"/>
    </row>
    <row r="3597">
      <c r="A3597" s="25" t="s">
        <v>18392</v>
      </c>
      <c r="B3597" s="25" t="s">
        <v>6087</v>
      </c>
      <c r="C3597" s="26" t="str">
        <f>HYPERLINK("https://audio.iskcondesiretree.com/02_-_ISKCON_Swamis/ISKCON_Swamis_-_R_to_Y/His_Holiness_Radhanath_Swami/Lectures/01_-_Theme_wise/Festivals/1994-103_Significance_Of_Jhulan_Yatra_Lecture_-_Radhanath_Swami_Mumbai_1994-08-20_IDesireTree.mp3", "1994-103_Significance_Of_Jhulan_Yatra_Lecture_-_Radhanath_Swami_Mumbai_1994-08-20_IDesireTree.mp3")</f>
        <v>1994-103_Significance_Of_Jhulan_Yatra_Lecture_-_Radhanath_Swami_Mumbai_1994-08-20_IDesireTree.mp3</v>
      </c>
      <c r="D3597" s="24"/>
      <c r="E3597" s="24"/>
    </row>
    <row r="3598">
      <c r="A3598" s="25" t="s">
        <v>18392</v>
      </c>
      <c r="B3598" s="25" t="s">
        <v>6087</v>
      </c>
      <c r="C3598" s="26" t="str">
        <f>HYPERLINK("https://audio.iskcondesiretree.com/02_-_ISKCON_Swamis/ISKCON_Swamis_-_R_to_Y/His_Holiness_Radhanath_Swami/Lectures/01_-_Theme_wise/Festivals/1994-106_Lord_Balaram%27s_Mercy_Is_must_BG_10-08_-_Radhanath_Swami_Mumbai_1994-08-21_IDesireTree.mp3", "1994-106_Lord_Balaram%27s_Mercy_Is_must_BG_10-08_-_Radhanath_Swami_Mumbai_1994-08-21_IDesireTree.mp3")</f>
        <v>1994-106_Lord_Balaram%27s_Mercy_Is_must_BG_10-08_-_Radhanath_Swami_Mumbai_1994-08-21_IDesireTree.mp3</v>
      </c>
      <c r="D3598" s="24"/>
      <c r="E3598" s="24"/>
    </row>
    <row r="3599">
      <c r="A3599" s="25" t="s">
        <v>18392</v>
      </c>
      <c r="B3599" s="25" t="s">
        <v>6087</v>
      </c>
      <c r="C3599" s="26" t="str">
        <f>HYPERLINK("https://audio.iskcondesiretree.com/02_-_ISKCON_Swamis/ISKCON_Swamis_-_R_to_Y/His_Holiness_Radhanath_Swami/Lectures/01_-_Theme_wise/Festivals/1994-202_Meditation_On_Sharad_Purnima_SB_10-29-01-02_-_Radhanath_Swami_Mumbai_1994-10-19_IDesireTree.mp3", "1994-202_Meditation_On_Sharad_Purnima_SB_10-29-01-02_-_Radhanath_Swami_Mumbai_1994-10-19_IDesireTree.mp3")</f>
        <v>1994-202_Meditation_On_Sharad_Purnima_SB_10-29-01-02_-_Radhanath_Swami_Mumbai_1994-10-19_IDesireTree.mp3</v>
      </c>
      <c r="D3599" s="24"/>
      <c r="E3599" s="24"/>
    </row>
    <row r="3600">
      <c r="A3600" s="25" t="s">
        <v>18392</v>
      </c>
      <c r="B3600" s="25" t="s">
        <v>6087</v>
      </c>
      <c r="C3600" s="26" t="str">
        <f>HYPERLINK("https://audio.iskcondesiretree.com/02_-_ISKCON_Swamis/ISKCON_Swamis_-_R_to_Y/His_Holiness_Radhanath_Swami/Lectures/01_-_Theme_wise/Festivals/1994-208_Govardhan_Lilla_Lecture_-_Radhanath_Swami_Mumbai_1994-10-23_IDesireTree.mp3", "1994-208_Govardhan_Lilla_Lecture_-_Radhanath_Swami_Mumbai_1994-10-23_IDesireTree.mp3")</f>
        <v>1994-208_Govardhan_Lilla_Lecture_-_Radhanath_Swami_Mumbai_1994-10-23_IDesireTree.mp3</v>
      </c>
      <c r="D3600" s="24"/>
      <c r="E3600" s="24"/>
    </row>
    <row r="3601">
      <c r="A3601" s="25" t="s">
        <v>18392</v>
      </c>
      <c r="B3601" s="25" t="s">
        <v>6087</v>
      </c>
      <c r="C3601" s="26" t="str">
        <f>HYPERLINK("https://audio.iskcondesiretree.com/02_-_ISKCON_Swamis/ISKCON_Swamis_-_R_to_Y/His_Holiness_Radhanath_Swami/Lectures/01_-_Theme_wise/Festivals/1995-020_Importance_Of_Makar_Sankranti_Mt_-_SB_01-09-29-30_-_Radhanath_Swami_Kolhapur_1995-01-14.mp3", "1995-020_Importance_Of_Makar_Sankranti_Mt_-_SB_01-09-29-30_-_Radhanath_Swami_Kolhapur_1995-01-14.mp3")</f>
        <v>1995-020_Importance_Of_Makar_Sankranti_Mt_-_SB_01-09-29-30_-_Radhanath_Swami_Kolhapur_1995-01-14.mp3</v>
      </c>
      <c r="D3601" s="24"/>
      <c r="E3601" s="24"/>
    </row>
    <row r="3602">
      <c r="A3602" s="25" t="s">
        <v>18392</v>
      </c>
      <c r="B3602" s="25" t="s">
        <v>6087</v>
      </c>
      <c r="C3602" s="26" t="str">
        <f>HYPERLINK("https://audio.iskcondesiretree.com/02_-_ISKCON_Swamis/ISKCON_Swamis_-_R_to_Y/His_Holiness_Radhanath_Swami/Lectures/01_-_Theme_wise/Festivals/1995-069_Lord_Jaganatha_Ratha_Yatra_SB_02-09-36_-_Radhanath_Swami_Kurukshetra_1995-03-25.mp3", "1995-069_Lord_Jaganatha_Ratha_Yatra_SB_02-09-36_-_Radhanath_Swami_Kurukshetra_1995-03-25.mp3")</f>
        <v>1995-069_Lord_Jaganatha_Ratha_Yatra_SB_02-09-36_-_Radhanath_Swami_Kurukshetra_1995-03-25.mp3</v>
      </c>
      <c r="D3602" s="24"/>
      <c r="E3602" s="24"/>
    </row>
    <row r="3603">
      <c r="A3603" s="25" t="s">
        <v>18392</v>
      </c>
      <c r="B3603" s="25" t="s">
        <v>6087</v>
      </c>
      <c r="C3603" s="26" t="str">
        <f>HYPERLINK("https://audio.iskcondesiretree.com/02_-_ISKCON_Swamis/ISKCON_Swamis_-_R_to_Y/His_Holiness_Radhanath_Swami/Lectures/01_-_Theme_wise/Festivals/1995-074_Rath_Yatra_CC_ML_13-03_-_Radhanath_Swami_Mumbai_1995-03-31_IDesireTree.mp3", "1995-074_Rath_Yatra_CC_ML_13-03_-_Radhanath_Swami_Mumbai_1995-03-31_IDesireTree.mp3")</f>
        <v>1995-074_Rath_Yatra_CC_ML_13-03_-_Radhanath_Swami_Mumbai_1995-03-31_IDesireTree.mp3</v>
      </c>
      <c r="D3603" s="24"/>
      <c r="E3603" s="24"/>
    </row>
    <row r="3604">
      <c r="A3604" s="25" t="s">
        <v>18392</v>
      </c>
      <c r="B3604" s="25" t="s">
        <v>6087</v>
      </c>
      <c r="C3604" s="26" t="str">
        <f>HYPERLINK("https://audio.iskcondesiretree.com/02_-_ISKCON_Swamis/ISKCON_Swamis_-_R_to_Y/His_Holiness_Radhanath_Swami/Lectures/01_-_Theme_wise/Festivals/1995-080_Festival_Of_Jhulan_Yatra_Lecture_-_Radhanath_Swami_Mumbai_1995-08-09_IDesireTree.mp3", "1995-080_Festival_Of_Jhulan_Yatra_Lecture_-_Radhanath_Swami_Mumbai_1995-08-09_IDesireTree.mp3")</f>
        <v>1995-080_Festival_Of_Jhulan_Yatra_Lecture_-_Radhanath_Swami_Mumbai_1995-08-09_IDesireTree.mp3</v>
      </c>
      <c r="D3604" s="24"/>
      <c r="E3604" s="24"/>
    </row>
    <row r="3605">
      <c r="A3605" s="25" t="s">
        <v>18392</v>
      </c>
      <c r="B3605" s="25" t="s">
        <v>6087</v>
      </c>
      <c r="C3605" s="26" t="str">
        <f>HYPERLINK("https://audio.iskcondesiretree.com/02_-_ISKCON_Swamis/ISKCON_Swamis_-_R_to_Y/His_Holiness_Radhanath_Swami/Lectures/01_-_Theme_wise/Festivals/1995-082_Lord_Balaram%27s_Appearence_Day_SB_10-08-12_-_Radhanath_Swami_Mumbai_1995-08-10_IDesireTree.mp3", "1995-082_Lord_Balaram%27s_Appearence_Day_SB_10-08-12_-_Radhanath_Swami_Mumbai_1995-08-10_IDesireTree.mp3")</f>
        <v>1995-082_Lord_Balaram%27s_Appearence_Day_SB_10-08-12_-_Radhanath_Swami_Mumbai_1995-08-10_IDesireTree.mp3</v>
      </c>
      <c r="D3605" s="24"/>
      <c r="E3605" s="24"/>
    </row>
    <row r="3606">
      <c r="A3606" s="25" t="s">
        <v>18392</v>
      </c>
      <c r="B3606" s="25" t="s">
        <v>6087</v>
      </c>
      <c r="C3606" s="26" t="str">
        <f>HYPERLINK("https://audio.iskcondesiretree.com/02_-_ISKCON_Swamis/ISKCON_Swamis_-_R_to_Y/His_Holiness_Radhanath_Swami/Lectures/01_-_Theme_wise/Festivals/1995-087_Significance_Of_Krishna%27s_Appearance_Lecture_-_Radhanath_Swami_Mumbai_1995-08-18_IDesireTree.mp3", "1995-087_Significance_Of_Krishna%27s_Appearance_Lecture_-_Radhanath_Swami_Mumbai_1995-08-18_IDesireTree.mp3")</f>
        <v>1995-087_Significance_Of_Krishna%27s_Appearance_Lecture_-_Radhanath_Swami_Mumbai_1995-08-18_IDesireTree.mp3</v>
      </c>
      <c r="D3606" s="24"/>
      <c r="E3606" s="24"/>
    </row>
    <row r="3607">
      <c r="A3607" s="25" t="s">
        <v>18392</v>
      </c>
      <c r="B3607" s="25" t="s">
        <v>6087</v>
      </c>
      <c r="C3607" s="26" t="str">
        <f>HYPERLINK("https://audio.iskcondesiretree.com/02_-_ISKCON_Swamis/ISKCON_Swamis_-_R_to_Y/His_Holiness_Radhanath_Swami/Lectures/01_-_Theme_wise/Festivals/1995-088_Janmashtami_Katha_SB_10-01-16_-_Radhanath_Swami_Mumbai_1995-08-18_IDesireTree.mp3", "1995-088_Janmashtami_Katha_SB_10-01-16_-_Radhanath_Swami_Mumbai_1995-08-18_IDesireTree.mp3")</f>
        <v>1995-088_Janmashtami_Katha_SB_10-01-16_-_Radhanath_Swami_Mumbai_1995-08-18_IDesireTree.mp3</v>
      </c>
      <c r="D3607" s="24"/>
      <c r="E3607" s="24"/>
    </row>
    <row r="3608">
      <c r="A3608" s="25" t="s">
        <v>18392</v>
      </c>
      <c r="B3608" s="25" t="s">
        <v>6087</v>
      </c>
      <c r="C3608" s="26" t="str">
        <f>HYPERLINK("https://audio.iskcondesiretree.com/02_-_ISKCON_Swamis/ISKCON_Swamis_-_R_to_Y/His_Holiness_Radhanath_Swami/Lectures/01_-_Theme_wise/Festivals/1995-119_Sharad_Purnima_Lecture_-_Radhanath_Swami_Mumbai_1995-10-08_IDesireTree.mp3", "1995-119_Sharad_Purnima_Lecture_-_Radhanath_Swami_Mumbai_1995-10-08_IDesireTree.mp3")</f>
        <v>1995-119_Sharad_Purnima_Lecture_-_Radhanath_Swami_Mumbai_1995-10-08_IDesireTree.mp3</v>
      </c>
      <c r="D3608" s="24"/>
      <c r="E3608" s="24"/>
    </row>
    <row r="3609">
      <c r="A3609" s="25" t="s">
        <v>18392</v>
      </c>
      <c r="B3609" s="25" t="s">
        <v>6087</v>
      </c>
      <c r="C3609" s="26" t="str">
        <f>HYPERLINK("https://audio.iskcondesiretree.com/02_-_ISKCON_Swamis/ISKCON_Swamis_-_R_to_Y/His_Holiness_Radhanath_Swami/Lectures/01_-_Theme_wise/Festivals/1995-130_Worship_Of_Govardhan_Hill_BG_09-26_-_Radhanath_Swami_Mumbai_1995-10-29_IDesireTree.mp3", "1995-130_Worship_Of_Govardhan_Hill_BG_09-26_-_Radhanath_Swami_Mumbai_1995-10-29_IDesireTree.mp3")</f>
        <v>1995-130_Worship_Of_Govardhan_Hill_BG_09-26_-_Radhanath_Swami_Mumbai_1995-10-29_IDesireTree.mp3</v>
      </c>
      <c r="D3609" s="24"/>
      <c r="E3609" s="24"/>
    </row>
    <row r="3610">
      <c r="A3610" s="25" t="s">
        <v>18392</v>
      </c>
      <c r="B3610" s="25" t="s">
        <v>6087</v>
      </c>
      <c r="C3610" s="26" t="str">
        <f>HYPERLINK("https://audio.iskcondesiretree.com/02_-_ISKCON_Swamis/ISKCON_Swamis_-_R_to_Y/His_Holiness_Radhanath_Swami/Lectures/01_-_Theme_wise/Festivals/1996-110_Lord_Balarama%27s_Appearence_Day_Lecture_-_Radhanath_Swami_Mumbai_1996-08-28_IDesireTree.mp3", "1996-110_Lord_Balarama%27s_Appearence_Day_Lecture_-_Radhanath_Swami_Mumbai_1996-08-28_IDesireTree.mp3")</f>
        <v>1996-110_Lord_Balarama%27s_Appearence_Day_Lecture_-_Radhanath_Swami_Mumbai_1996-08-28_IDesireTree.mp3</v>
      </c>
      <c r="D3610" s="24"/>
      <c r="E3610" s="24"/>
    </row>
    <row r="3611">
      <c r="A3611" s="25" t="s">
        <v>18392</v>
      </c>
      <c r="B3611" s="25" t="s">
        <v>6087</v>
      </c>
      <c r="C3611" s="26" t="str">
        <f>HYPERLINK("https://audio.iskcondesiretree.com/02_-_ISKCON_Swamis/ISKCON_Swamis_-_R_to_Y/His_Holiness_Radhanath_Swami/Lectures/01_-_Theme_wise/Festivals/1996-161_Importance_Of_The_Month_Of_Damodar_Lecture_-_Radhanath_Swami_Mumbai_1996-10-27_IDesireTree.mp3", "1996-161_Importance_Of_The_Month_Of_Damodar_Lecture_-_Radhanath_Swami_Mumbai_1996-10-27_IDesireTree.mp3")</f>
        <v>1996-161_Importance_Of_The_Month_Of_Damodar_Lecture_-_Radhanath_Swami_Mumbai_1996-10-27_IDesireTree.mp3</v>
      </c>
      <c r="D3611" s="24"/>
      <c r="E3611" s="24"/>
    </row>
    <row r="3612">
      <c r="A3612" s="25" t="s">
        <v>18392</v>
      </c>
      <c r="B3612" s="25" t="s">
        <v>6087</v>
      </c>
      <c r="C3612" s="26" t="str">
        <f>HYPERLINK("https://audio.iskcondesiretree.com/02_-_ISKCON_Swamis/ISKCON_Swamis_-_R_to_Y/His_Holiness_Radhanath_Swami/Lectures/01_-_Theme_wise/Festivals/1996-162_Sharad_Purnima_Festival_Lecture_-_Radhanath_Swami_Mumbai_1996-10-27_IDesireTree.mp3", "1996-162_Sharad_Purnima_Festival_Lecture_-_Radhanath_Swami_Mumbai_1996-10-27_IDesireTree.mp3")</f>
        <v>1996-162_Sharad_Purnima_Festival_Lecture_-_Radhanath_Swami_Mumbai_1996-10-27_IDesireTree.mp3</v>
      </c>
      <c r="D3612" s="24"/>
      <c r="E3612" s="24"/>
    </row>
    <row r="3613">
      <c r="A3613" s="25" t="s">
        <v>18392</v>
      </c>
      <c r="B3613" s="25" t="s">
        <v>6087</v>
      </c>
      <c r="C3613" s="26" t="str">
        <f>HYPERLINK("https://audio.iskcondesiretree.com/02_-_ISKCON_Swamis/ISKCON_Swamis_-_R_to_Y/His_Holiness_Radhanath_Swami/Lectures/01_-_Theme_wise/Festivals/1996-167_Bahulastami_Lecture_-_Radhanath_Swami_Mumbai_1996-11-03_IDesireTree.mp3", "1996-167_Bahulastami_Lecture_-_Radhanath_Swami_Mumbai_1996-11-03_IDesireTree.mp3")</f>
        <v>1996-167_Bahulastami_Lecture_-_Radhanath_Swami_Mumbai_1996-11-03_IDesireTree.mp3</v>
      </c>
      <c r="D3613" s="24"/>
      <c r="E3613" s="24"/>
    </row>
    <row r="3614">
      <c r="A3614" s="25" t="s">
        <v>18392</v>
      </c>
      <c r="B3614" s="25" t="s">
        <v>6087</v>
      </c>
      <c r="C3614" s="26" t="str">
        <f>HYPERLINK("https://audio.iskcondesiretree.com/02_-_ISKCON_Swamis/ISKCON_Swamis_-_R_to_Y/His_Holiness_Radhanath_Swami/Lectures/01_-_Theme_wise/Festivals/1997-037_Vasant_Panchmi_Festival_Lecture_-_Radhanath_Swami_Mumbai_1997-02-11_IDesireTree.mp3", "1997-037_Vasant_Panchmi_Festival_Lecture_-_Radhanath_Swami_Mumbai_1997-02-11_IDesireTree.mp3")</f>
        <v>1997-037_Vasant_Panchmi_Festival_Lecture_-_Radhanath_Swami_Mumbai_1997-02-11_IDesireTree.mp3</v>
      </c>
      <c r="D3614" s="24"/>
      <c r="E3614" s="24"/>
    </row>
    <row r="3615">
      <c r="A3615" s="25" t="s">
        <v>18392</v>
      </c>
      <c r="B3615" s="25" t="s">
        <v>6087</v>
      </c>
      <c r="C3615" s="26" t="str">
        <f>HYPERLINK("https://audio.iskcondesiretree.com/02_-_ISKCON_Swamis/ISKCON_Swamis_-_R_to_Y/His_Holiness_Radhanath_Swami/Lectures/01_-_Theme_wise/Festivals/1998-002_Pushya_Abhishek_Lecture_-_Radhanath_Swami_Mumbai_1998-01-12_IDesireTree.mp3", "1998-002_Pushya_Abhishek_Lecture_-_Radhanath_Swami_Mumbai_1998-01-12_IDesireTree.mp3")</f>
        <v>1998-002_Pushya_Abhishek_Lecture_-_Radhanath_Swami_Mumbai_1998-01-12_IDesireTree.mp3</v>
      </c>
      <c r="D3615" s="24"/>
      <c r="E3615" s="24"/>
    </row>
    <row r="3616">
      <c r="A3616" s="25" t="s">
        <v>18392</v>
      </c>
      <c r="B3616" s="25" t="s">
        <v>6087</v>
      </c>
      <c r="C3616" s="26" t="str">
        <f>HYPERLINK("https://audio.iskcondesiretree.com/02_-_ISKCON_Swamis/ISKCON_Swamis_-_R_to_Y/His_Holiness_Radhanath_Swami/Lectures/01_-_Theme_wise/Festivals/1998-069_Lord_Caitanya_Celebrating_Ratha_Yatra_Lecture_-_Radhanath_Swami_NV_1998-05-21_IDesireTree.mp3", "1998-069_Lord_Caitanya_Celebrating_Ratha_Yatra_Lecture_-_Radhanath_Swami_NV_1998-05-21_IDesireTree.mp3")</f>
        <v>1998-069_Lord_Caitanya_Celebrating_Ratha_Yatra_Lecture_-_Radhanath_Swami_NV_1998-05-21_IDesireTree.mp3</v>
      </c>
      <c r="D3616" s="24"/>
      <c r="E3616" s="24"/>
    </row>
    <row r="3617">
      <c r="A3617" s="25" t="s">
        <v>18392</v>
      </c>
      <c r="B3617" s="25" t="s">
        <v>6087</v>
      </c>
      <c r="C3617" s="26" t="str">
        <f>HYPERLINK("https://audio.iskcondesiretree.com/02_-_ISKCON_Swamis/ISKCON_Swamis_-_R_to_Y/His_Holiness_Radhanath_Swami/Lectures/01_-_Theme_wise/Festivals/1999-018_Gaura_Poornima_Celebration_Lecture_-_Radhanath_Swami_Mumbai_1999-03-02_IDesireTree.mp3", "1999-018_Gaura_Poornima_Celebration_Lecture_-_Radhanath_Swami_Mumbai_1999-03-02_IDesireTree.mp3")</f>
        <v>1999-018_Gaura_Poornima_Celebration_Lecture_-_Radhanath_Swami_Mumbai_1999-03-02_IDesireTree.mp3</v>
      </c>
      <c r="D3617" s="24"/>
      <c r="E3617" s="24"/>
    </row>
    <row r="3618">
      <c r="A3618" s="25" t="s">
        <v>18392</v>
      </c>
      <c r="B3618" s="25" t="s">
        <v>6087</v>
      </c>
      <c r="C3618" s="26" t="str">
        <f>HYPERLINK("https://audio.iskcondesiretree.com/02_-_ISKCON_Swamis/ISKCON_Swamis_-_R_to_Y/His_Holiness_Radhanath_Swami/Lectures/01_-_Theme_wise/Festivals/2000-018_Pushya_Abhishek_Lecture_-_Radhanath_Swami_Mumbai_2000-01-31_IDesireTree.mp3", "2000-018_Pushya_Abhishek_Lecture_-_Radhanath_Swami_Mumbai_2000-01-31_IDesireTree.mp3")</f>
        <v>2000-018_Pushya_Abhishek_Lecture_-_Radhanath_Swami_Mumbai_2000-01-31_IDesireTree.mp3</v>
      </c>
      <c r="D3618" s="24"/>
      <c r="E3618" s="24"/>
    </row>
    <row r="3619">
      <c r="A3619" s="25" t="s">
        <v>18392</v>
      </c>
      <c r="B3619" s="25" t="s">
        <v>6087</v>
      </c>
      <c r="C3619" s="26" t="str">
        <f>HYPERLINK("https://audio.iskcondesiretree.com/02_-_ISKCON_Swamis/ISKCON_Swamis_-_R_to_Y/His_Holiness_Radhanath_Swami/Lectures/01_-_Theme_wise/Festivals/2000-041_Gaura_Poornima_Celebrations_Lecture_-_Radhanath_Swami_Mumbai_2000-03-19_IDesireTree.mp3", "2000-041_Gaura_Poornima_Celebrations_Lecture_-_Radhanath_Swami_Mumbai_2000-03-19_IDesireTree.mp3")</f>
        <v>2000-041_Gaura_Poornima_Celebrations_Lecture_-_Radhanath_Swami_Mumbai_2000-03-19_IDesireTree.mp3</v>
      </c>
      <c r="D3619" s="24"/>
      <c r="E3619" s="24"/>
    </row>
    <row r="3620">
      <c r="A3620" s="25" t="s">
        <v>18392</v>
      </c>
      <c r="B3620" s="25" t="s">
        <v>6087</v>
      </c>
      <c r="C3620" s="26" t="str">
        <f>HYPERLINK("https://audio.iskcondesiretree.com/02_-_ISKCON_Swamis/ISKCON_Swamis_-_R_to_Y/His_Holiness_Radhanath_Swami/Lectures/01_-_Theme_wise/Festivals/2000-042_Gaura_Poornima_Celebrations_Lecture_-_Radhanath_Swami_Mumbai_2000-03-20_IDesireTree.mp3", "2000-042_Gaura_Poornima_Celebrations_Lecture_-_Radhanath_Swami_Mumbai_2000-03-20_IDesireTree.mp3")</f>
        <v>2000-042_Gaura_Poornima_Celebrations_Lecture_-_Radhanath_Swami_Mumbai_2000-03-20_IDesireTree.mp3</v>
      </c>
      <c r="D3620" s="24"/>
      <c r="E3620" s="24"/>
    </row>
    <row r="3621">
      <c r="A3621" s="25" t="s">
        <v>18392</v>
      </c>
      <c r="B3621" s="25" t="s">
        <v>6087</v>
      </c>
      <c r="C3621" s="26" t="str">
        <f>HYPERLINK("https://audio.iskcondesiretree.com/02_-_ISKCON_Swamis/ISKCON_Swamis_-_R_to_Y/His_Holiness_Radhanath_Swami/Lectures/01_-_Theme_wise/Festivals/2000-044_Jagannath_Misra_Festival_Initiation_Lecture_-_Radhanath_Swami_Chek_2000-03-21_IDesireTree.mp3", "2000-044_Jagannath_Misra_Festival_Initiation_Lecture_-_Radhanath_Swami_Chek_2000-03-21_IDesireTree.mp3")</f>
        <v>2000-044_Jagannath_Misra_Festival_Initiation_Lecture_-_Radhanath_Swami_Chek_2000-03-21_IDesireTree.mp3</v>
      </c>
      <c r="D3621" s="24"/>
      <c r="E3621" s="24"/>
    </row>
    <row r="3622">
      <c r="A3622" s="25" t="s">
        <v>18392</v>
      </c>
      <c r="B3622" s="25" t="s">
        <v>6087</v>
      </c>
      <c r="C3622" s="26" t="str">
        <f>HYPERLINK("https://audio.iskcondesiretree.com/02_-_ISKCON_Swamis/ISKCON_Swamis_-_R_to_Y/His_Holiness_Radhanath_Swami/Lectures/01_-_Theme_wise/Festivals/2000-057_The_Appearance_of_Lord_Krishna_-_SB_10_-_Radhanath_Swami_IDesireTree.mp3", "2000-057_The_Appearance_of_Lord_Krishna_-_SB_10_-_Radhanath_Swami_IDesireTree.mp3")</f>
        <v>2000-057_The_Appearance_of_Lord_Krishna_-_SB_10_-_Radhanath_Swami_IDesireTree.mp3</v>
      </c>
      <c r="D3622" s="24"/>
      <c r="E3622" s="24"/>
    </row>
    <row r="3623">
      <c r="A3623" s="25" t="s">
        <v>18392</v>
      </c>
      <c r="B3623" s="25" t="s">
        <v>6087</v>
      </c>
      <c r="C3623" s="26" t="str">
        <f>HYPERLINK("https://audio.iskcondesiretree.com/02_-_ISKCON_Swamis/ISKCON_Swamis_-_R_to_Y/His_Holiness_Radhanath_Swami/Lectures/01_-_Theme_wise/Festivals/2000-059_Wonderful_Appearance_of_Lord_Krishna_Lecture_-_Radhanath_Swami_Mumbai_2000-08-25_IDesireTree.mp3", "2000-059_Wonderful_Appearance_of_Lord_Krishna_Lecture_-_Radhanath_Swami_Mumbai_2000-08-25_IDesireTree.mp3")</f>
        <v>2000-059_Wonderful_Appearance_of_Lord_Krishna_Lecture_-_Radhanath_Swami_Mumbai_2000-08-25_IDesireTree.mp3</v>
      </c>
      <c r="D3623" s="24"/>
      <c r="E3623" s="24"/>
    </row>
    <row r="3624">
      <c r="A3624" s="25" t="s">
        <v>18392</v>
      </c>
      <c r="B3624" s="25" t="s">
        <v>6087</v>
      </c>
      <c r="C3624" s="26" t="str">
        <f>HYPERLINK("https://audio.iskcondesiretree.com/02_-_ISKCON_Swamis/ISKCON_Swamis_-_R_to_Y/His_Holiness_Radhanath_Swami/Lectures/01_-_Theme_wise/Festivals/2001-001_Rath_Yatra_Lec_Lecture_-_Radhanath_Swami_2001-01-05_IDesireTree.mp3", "2001-001_Rath_Yatra_Lec_Lecture_-_Radhanath_Swami_2001-01-05_IDesireTree.mp3")</f>
        <v>2001-001_Rath_Yatra_Lec_Lecture_-_Radhanath_Swami_2001-01-05_IDesireTree.mp3</v>
      </c>
      <c r="D3624" s="24"/>
      <c r="E3624" s="24"/>
    </row>
    <row r="3625">
      <c r="A3625" s="25" t="s">
        <v>18392</v>
      </c>
      <c r="B3625" s="25" t="s">
        <v>6087</v>
      </c>
      <c r="C3625" s="26" t="str">
        <f>HYPERLINK("https://audio.iskcondesiretree.com/02_-_ISKCON_Swamis/ISKCON_Swamis_-_R_to_Y/His_Holiness_Radhanath_Swami/Lectures/01_-_Theme_wise/Festivals/2001-027_Lord_Caitanya_And_Rath_Yatra_Lecture_-_Radhanath_Swami_Mumbai_2001-06-17_IDesireTree.mp3", "2001-027_Lord_Caitanya_And_Rath_Yatra_Lecture_-_Radhanath_Swami_Mumbai_2001-06-17_IDesireTree.mp3")</f>
        <v>2001-027_Lord_Caitanya_And_Rath_Yatra_Lecture_-_Radhanath_Swami_Mumbai_2001-06-17_IDesireTree.mp3</v>
      </c>
      <c r="D3625" s="24"/>
      <c r="E3625" s="24"/>
    </row>
    <row r="3626">
      <c r="A3626" s="25" t="s">
        <v>18392</v>
      </c>
      <c r="B3626" s="25" t="s">
        <v>6087</v>
      </c>
      <c r="C3626" s="26" t="str">
        <f>HYPERLINK("https://audio.iskcondesiretree.com/02_-_ISKCON_Swamis/ISKCON_Swamis_-_R_to_Y/His_Holiness_Radhanath_Swami/Lectures/01_-_Theme_wise/Festivals/2001-052_Damodar_Lila_Of_Krsna_Lecture_-_Radhanath_Swami_London_2001-11-04_IDesireTree.mp3", "2001-052_Damodar_Lila_Of_Krsna_Lecture_-_Radhanath_Swami_London_2001-11-04_IDesireTree.mp3")</f>
        <v>2001-052_Damodar_Lila_Of_Krsna_Lecture_-_Radhanath_Swami_London_2001-11-04_IDesireTree.mp3</v>
      </c>
      <c r="D3626" s="24"/>
      <c r="E3626" s="24"/>
    </row>
    <row r="3627">
      <c r="A3627" s="25" t="s">
        <v>18392</v>
      </c>
      <c r="B3627" s="25" t="s">
        <v>6087</v>
      </c>
      <c r="C3627" s="26" t="str">
        <f>HYPERLINK("https://audio.iskcondesiretree.com/02_-_ISKCON_Swamis/ISKCON_Swamis_-_R_to_Y/His_Holiness_Radhanath_Swami/Lectures/01_-_Theme_wise/Festivals/2001_Narshima_Chaturdasi_Festival_Morn_Lec_SB_07-09-18_-_Radhanath_Swami_-_2001-05-07_IDesireTree.mp3", "2001_Narshima_Chaturdasi_Festival_Morn_Lec_SB_07-09-18_-_Radhanath_Swami_-_2001-05-07_IDesireTree.mp3")</f>
        <v>2001_Narshima_Chaturdasi_Festival_Morn_Lec_SB_07-09-18_-_Radhanath_Swami_-_2001-05-07_IDesireTree.mp3</v>
      </c>
      <c r="D3627" s="24"/>
      <c r="E3627" s="24"/>
    </row>
    <row r="3628">
      <c r="A3628" s="25" t="s">
        <v>18392</v>
      </c>
      <c r="B3628" s="25" t="s">
        <v>6087</v>
      </c>
      <c r="C3628" s="26" t="str">
        <f>HYPERLINK("https://audio.iskcondesiretree.com/02_-_ISKCON_Swamis/ISKCON_Swamis_-_R_to_Y/His_Holiness_Radhanath_Swami/Lectures/01_-_Theme_wise/Festivals/2001_Sri_Krishna%27s_Damodara_Lila_-_Radhanath_Swami_Mumbai_2001-11-04_IDesireTree.mp3", "2001_Sri_Krishna%27s_Damodara_Lila_-_Radhanath_Swami_Mumbai_2001-11-04_IDesireTree.mp3")</f>
        <v>2001_Sri_Krishna%27s_Damodara_Lila_-_Radhanath_Swami_Mumbai_2001-11-04_IDesireTree.mp3</v>
      </c>
      <c r="D3628" s="24"/>
      <c r="E3628" s="24"/>
    </row>
    <row r="3629">
      <c r="A3629" s="25" t="s">
        <v>18392</v>
      </c>
      <c r="B3629" s="25" t="s">
        <v>6087</v>
      </c>
      <c r="C3629" s="26" t="str">
        <f>HYPERLINK("https://audio.iskcondesiretree.com/02_-_ISKCON_Swamis/ISKCON_Swamis_-_R_to_Y/His_Holiness_Radhanath_Swami/Lectures/01_-_Theme_wise/Festivals/2002-004_Lord_Caitanya_%26_Rath_Yatra_Lecture_-_Radhanath_Swami_Mumbai_2002-01-05_IDesireTree.mp3", "2002-004_Lord_Caitanya_%26_Rath_Yatra_Lecture_-_Radhanath_Swami_Mumbai_2002-01-05_IDesireTree.mp3")</f>
        <v>2002-004_Lord_Caitanya_%26_Rath_Yatra_Lecture_-_Radhanath_Swami_Mumbai_2002-01-05_IDesireTree.mp3</v>
      </c>
      <c r="D3629" s="24"/>
      <c r="E3629" s="24"/>
    </row>
    <row r="3630">
      <c r="A3630" s="25" t="s">
        <v>18392</v>
      </c>
      <c r="B3630" s="25" t="s">
        <v>6087</v>
      </c>
      <c r="C3630" s="26" t="str">
        <f>HYPERLINK("https://audio.iskcondesiretree.com/02_-_ISKCON_Swamis/ISKCON_Swamis_-_R_to_Y/His_Holiness_Radhanath_Swami/Lectures/01_-_Theme_wise/Festivals/2002-005_Lord_Caitanya_Celebrating_Rath_Yatra_CC_-_Radhanath_Swami_Mumbai_2002-01-05_IDesireTree.mp3", "2002-005_Lord_Caitanya_Celebrating_Rath_Yatra_CC_-_Radhanath_Swami_Mumbai_2002-01-05_IDesireTree.mp3")</f>
        <v>2002-005_Lord_Caitanya_Celebrating_Rath_Yatra_CC_-_Radhanath_Swami_Mumbai_2002-01-05_IDesireTree.mp3</v>
      </c>
      <c r="D3630" s="24"/>
      <c r="E3630" s="24"/>
    </row>
    <row r="3631">
      <c r="A3631" s="25" t="s">
        <v>18392</v>
      </c>
      <c r="B3631" s="25" t="s">
        <v>6087</v>
      </c>
      <c r="C3631" s="26" t="str">
        <f>HYPERLINK("https://audio.iskcondesiretree.com/02_-_ISKCON_Swamis/ISKCON_Swamis_-_R_to_Y/His_Holiness_Radhanath_Swami/Lectures/01_-_Theme_wise/Festivals/2002-023_Pushpa_Abhishek_Lect_-_Radhanath_Swami_IDesireTree.mp3", "2002-023_Pushpa_Abhishek_Lect_-_Radhanath_Swami_IDesireTree.mp3")</f>
        <v>2002-023_Pushpa_Abhishek_Lect_-_Radhanath_Swami_IDesireTree.mp3</v>
      </c>
      <c r="D3631" s="24"/>
      <c r="E3631" s="24"/>
    </row>
    <row r="3632">
      <c r="A3632" s="25" t="s">
        <v>18392</v>
      </c>
      <c r="B3632" s="25" t="s">
        <v>6087</v>
      </c>
      <c r="C3632" s="26" t="str">
        <f>HYPERLINK("https://audio.iskcondesiretree.com/02_-_ISKCON_Swamis/ISKCON_Swamis_-_R_to_Y/His_Holiness_Radhanath_Swami/Lectures/01_-_Theme_wise/Festivals/2002-109_Sharad_Purnima_Lecture_-_Radhanath_Swami_Mumbai_2002-10-21_IDesireTree.mp3", "2002-109_Sharad_Purnima_Lecture_-_Radhanath_Swami_Mumbai_2002-10-21_IDesireTree.mp3")</f>
        <v>2002-109_Sharad_Purnima_Lecture_-_Radhanath_Swami_Mumbai_2002-10-21_IDesireTree.mp3</v>
      </c>
      <c r="D3632" s="24"/>
      <c r="E3632" s="24"/>
    </row>
    <row r="3633">
      <c r="A3633" s="25" t="s">
        <v>18392</v>
      </c>
      <c r="B3633" s="25" t="s">
        <v>6087</v>
      </c>
      <c r="C3633" s="26" t="str">
        <f>HYPERLINK("https://audio.iskcondesiretree.com/02_-_ISKCON_Swamis/ISKCON_Swamis_-_R_to_Y/His_Holiness_Radhanath_Swami/Lectures/01_-_Theme_wise/Festivals/2002_Pushya_Abhishek_-_Radhanath_Swami_2002-02-08_IDesireTree.mp3", "2002_Pushya_Abhishek_-_Radhanath_Swami_2002-02-08_IDesireTree.mp3")</f>
        <v>2002_Pushya_Abhishek_-_Radhanath_Swami_2002-02-08_IDesireTree.mp3</v>
      </c>
      <c r="D3633" s="24"/>
      <c r="E3633" s="24"/>
    </row>
    <row r="3634">
      <c r="A3634" s="25" t="s">
        <v>18392</v>
      </c>
      <c r="B3634" s="25" t="s">
        <v>6087</v>
      </c>
      <c r="C3634" s="26" t="str">
        <f>HYPERLINK("https://audio.iskcondesiretree.com/02_-_ISKCON_Swamis/ISKCON_Swamis_-_R_to_Y/His_Holiness_Radhanath_Swami/Lectures/01_-_Theme_wise/Festivals/2003-018_Jagannatha_Mishra_Festival_Lecture_-_Radhanath_Swami_Mumbai_2003-03-19_IDesireTree.mp3", "2003-018_Jagannatha_Mishra_Festival_Lecture_-_Radhanath_Swami_Mumbai_2003-03-19_IDesireTree.mp3")</f>
        <v>2003-018_Jagannatha_Mishra_Festival_Lecture_-_Radhanath_Swami_Mumbai_2003-03-19_IDesireTree.mp3</v>
      </c>
      <c r="D3634" s="24"/>
      <c r="E3634" s="24"/>
    </row>
    <row r="3635">
      <c r="A3635" s="25" t="s">
        <v>18392</v>
      </c>
      <c r="B3635" s="25" t="s">
        <v>6087</v>
      </c>
      <c r="C3635" s="26" t="str">
        <f>HYPERLINK("https://audio.iskcondesiretree.com/02_-_ISKCON_Swamis/ISKCON_Swamis_-_R_to_Y/His_Holiness_Radhanath_Swami/Lectures/01_-_Theme_wise/Festivals/2003-040_Ratha_Yatra_Lecture_-_Radhanath_Swami_New_York_2003-06-08_IDesireTree.mp3", "2003-040_Ratha_Yatra_Lecture_-_Radhanath_Swami_New_York_2003-06-08_IDesireTree.mp3")</f>
        <v>2003-040_Ratha_Yatra_Lecture_-_Radhanath_Swami_New_York_2003-06-08_IDesireTree.mp3</v>
      </c>
      <c r="D3635" s="24"/>
      <c r="E3635" s="24"/>
    </row>
    <row r="3636">
      <c r="A3636" s="25" t="s">
        <v>18392</v>
      </c>
      <c r="B3636" s="25" t="s">
        <v>6087</v>
      </c>
      <c r="C3636" s="26" t="str">
        <f>HYPERLINK("https://audio.iskcondesiretree.com/02_-_ISKCON_Swamis/ISKCON_Swamis_-_R_to_Y/His_Holiness_Radhanath_Swami/Lectures/01_-_Theme_wise/Festivals/2003-043_Preparing_for_Ratha_Yatra_Lecture_-_Radhanath_Swami_New_Vrindavan_2003-07-20_IDesireTree.mp3", "2003-043_Preparing_for_Ratha_Yatra_Lecture_-_Radhanath_Swami_New_Vrindavan_2003-07-20_IDesireTree.mp3")</f>
        <v>2003-043_Preparing_for_Ratha_Yatra_Lecture_-_Radhanath_Swami_New_Vrindavan_2003-07-20_IDesireTree.mp3</v>
      </c>
      <c r="D3636" s="24"/>
      <c r="E3636" s="24"/>
    </row>
    <row r="3637">
      <c r="A3637" s="25" t="s">
        <v>18392</v>
      </c>
      <c r="B3637" s="25" t="s">
        <v>6087</v>
      </c>
      <c r="C3637" s="26" t="str">
        <f>HYPERLINK("https://audio.iskcondesiretree.com/02_-_ISKCON_Swamis/ISKCON_Swamis_-_R_to_Y/His_Holiness_Radhanath_Swami/Lectures/01_-_Theme_wise/Festivals/2003-071_Lord_Krishna%27s_Damodar_Lila_Lecture_-_Radhanath_Swami_Mumbai_2003-10-03_IDesireTree.mp3", "2003-071_Lord_Krishna%27s_Damodar_Lila_Lecture_-_Radhanath_Swami_Mumbai_2003-10-03_IDesireTree.mp3")</f>
        <v>2003-071_Lord_Krishna%27s_Damodar_Lila_Lecture_-_Radhanath_Swami_Mumbai_2003-10-03_IDesireTree.mp3</v>
      </c>
      <c r="D3637" s="24"/>
      <c r="E3637" s="24"/>
    </row>
    <row r="3638">
      <c r="A3638" s="25" t="s">
        <v>18392</v>
      </c>
      <c r="B3638" s="25" t="s">
        <v>6087</v>
      </c>
      <c r="C3638" s="26" t="str">
        <f>HYPERLINK("https://audio.iskcondesiretree.com/02_-_ISKCON_Swamis/ISKCON_Swamis_-_R_to_Y/His_Holiness_Radhanath_Swami/Lectures/01_-_Theme_wise/Festivals/2003-076_Govardhan_Puja_SB_10-21-18_-_Radhanath_Swami_New_Vrindavan_2003-10-25_IDesireTree.mp3", "2003-076_Govardhan_Puja_SB_10-21-18_-_Radhanath_Swami_New_Vrindavan_2003-10-25_IDesireTree.mp3")</f>
        <v>2003-076_Govardhan_Puja_SB_10-21-18_-_Radhanath_Swami_New_Vrindavan_2003-10-25_IDesireTree.mp3</v>
      </c>
      <c r="D3638" s="24"/>
      <c r="E3638" s="24"/>
    </row>
    <row r="3639">
      <c r="A3639" s="25" t="s">
        <v>18392</v>
      </c>
      <c r="B3639" s="25" t="s">
        <v>6087</v>
      </c>
      <c r="C3639" s="26" t="str">
        <f>HYPERLINK("https://audio.iskcondesiretree.com/02_-_ISKCON_Swamis/ISKCON_Swamis_-_R_to_Y/His_Holiness_Radhanath_Swami/Lectures/01_-_Theme_wise/Festivals/2003-077_Krishna%27s_All-Attractive_Damodara-Lila_Lecture_New_Vrindavan_-_Radhanath_Swami_2003-10-26_IDesireTree.m"&amp;"p3", "2003-077_Krishna%27s_All-Attractive_Damodara-Lila_Lecture_New_Vrindavan_-_Radhanath_Swami_2003-10-26_IDesireTree.mp3")</f>
        <v>2003-077_Krishna%27s_All-Attractive_Damodara-Lila_Lecture_New_Vrindavan_-_Radhanath_Swami_2003-10-26_IDesireTree.mp3</v>
      </c>
      <c r="D3639" s="24"/>
      <c r="E3639" s="24"/>
    </row>
    <row r="3640">
      <c r="A3640" s="25" t="s">
        <v>18392</v>
      </c>
      <c r="B3640" s="25" t="s">
        <v>6087</v>
      </c>
      <c r="C3640" s="26" t="str">
        <f>HYPERLINK("https://audio.iskcondesiretree.com/02_-_ISKCON_Swamis/ISKCON_Swamis_-_R_to_Y/His_Holiness_Radhanath_Swami/Lectures/01_-_Theme_wise/Festivals/2004_Appearance_of_Lord_Jagannath_-_Radhanath_Swami_Los_Angeles_2004_IDesireTree.mp3", "2004_Appearance_of_Lord_Jagannath_-_Radhanath_Swami_Los_Angeles_2004_IDesireTree.mp3")</f>
        <v>2004_Appearance_of_Lord_Jagannath_-_Radhanath_Swami_Los_Angeles_2004_IDesireTree.mp3</v>
      </c>
      <c r="D3640" s="24"/>
      <c r="E3640" s="24"/>
    </row>
    <row r="3641">
      <c r="A3641" s="25" t="s">
        <v>18392</v>
      </c>
      <c r="B3641" s="25" t="s">
        <v>6087</v>
      </c>
      <c r="C3641" s="26" t="str">
        <f>HYPERLINK("https://audio.iskcondesiretree.com/02_-_ISKCON_Swamis/ISKCON_Swamis_-_R_to_Y/His_Holiness_Radhanath_Swami/Lectures/01_-_Theme_wise/Festivals/2004_Appearance_of_Lord_Krishna_-_Janmashtami_-_Radhanath_Swami_Mumbai_2004-09-07_IDesireTree.mp3", "2004_Appearance_of_Lord_Krishna_-_Janmashtami_-_Radhanath_Swami_Mumbai_2004-09-07_IDesireTree.mp3")</f>
        <v>2004_Appearance_of_Lord_Krishna_-_Janmashtami_-_Radhanath_Swami_Mumbai_2004-09-07_IDesireTree.mp3</v>
      </c>
      <c r="D3641" s="24"/>
      <c r="E3641" s="24"/>
    </row>
    <row r="3642">
      <c r="A3642" s="25" t="s">
        <v>18392</v>
      </c>
      <c r="B3642" s="25" t="s">
        <v>6087</v>
      </c>
      <c r="C3642" s="26" t="str">
        <f>HYPERLINK("https://audio.iskcondesiretree.com/02_-_ISKCON_Swamis/ISKCON_Swamis_-_R_to_Y/His_Holiness_Radhanath_Swami/Lectures/01_-_Theme_wise/Festivals/2004_Appearance_of_Lord_Narsimhadeva_-_Radhanath_Swami_New_Vrindavan_2004-05-03_IDesireTree.mp3", "2004_Appearance_of_Lord_Narsimhadeva_-_Radhanath_Swami_New_Vrindavan_2004-05-03_IDesireTree.mp3")</f>
        <v>2004_Appearance_of_Lord_Narsimhadeva_-_Radhanath_Swami_New_Vrindavan_2004-05-03_IDesireTree.mp3</v>
      </c>
      <c r="D3642" s="24"/>
      <c r="E3642" s="24"/>
    </row>
    <row r="3643">
      <c r="A3643" s="25" t="s">
        <v>18392</v>
      </c>
      <c r="B3643" s="25" t="s">
        <v>6087</v>
      </c>
      <c r="C3643" s="26" t="str">
        <f>HYPERLINK("https://audio.iskcondesiretree.com/02_-_ISKCON_Swamis/ISKCON_Swamis_-_R_to_Y/His_Holiness_Radhanath_Swami/Lectures/01_-_Theme_wise/Festivals/2004_Begging_for_Compassionate_Love-Radhashtami_-_Radhanath_Swami_Mumbai_2004-09-22_IDesireTree.mp3", "2004_Begging_for_Compassionate_Love-Radhashtami_-_Radhanath_Swami_Mumbai_2004-09-22_IDesireTree.mp3")</f>
        <v>2004_Begging_for_Compassionate_Love-Radhashtami_-_Radhanath_Swami_Mumbai_2004-09-22_IDesireTree.mp3</v>
      </c>
      <c r="D3643" s="24"/>
      <c r="E3643" s="24"/>
    </row>
    <row r="3644">
      <c r="A3644" s="25" t="s">
        <v>18392</v>
      </c>
      <c r="B3644" s="25" t="s">
        <v>6087</v>
      </c>
      <c r="C3644" s="26" t="str">
        <f>HYPERLINK("https://audio.iskcondesiretree.com/02_-_ISKCON_Swamis/ISKCON_Swamis_-_R_to_Y/His_Holiness_Radhanath_Swami/Lectures/01_-_Theme_wise/Festivals/2004_Crying_Out_for_Mercy-Radhashtami_-_Radhanath_Swami_Mumbai_2004-09-22_IDesireTree.mp3", "2004_Crying_Out_for_Mercy-Radhashtami_-_Radhanath_Swami_Mumbai_2004-09-22_IDesireTree.mp3")</f>
        <v>2004_Crying_Out_for_Mercy-Radhashtami_-_Radhanath_Swami_Mumbai_2004-09-22_IDesireTree.mp3</v>
      </c>
      <c r="D3644" s="24"/>
      <c r="E3644" s="24"/>
    </row>
    <row r="3645">
      <c r="A3645" s="25" t="s">
        <v>18392</v>
      </c>
      <c r="B3645" s="25" t="s">
        <v>6087</v>
      </c>
      <c r="C3645" s="26" t="str">
        <f>HYPERLINK("https://audio.iskcondesiretree.com/02_-_ISKCON_Swamis/ISKCON_Swamis_-_R_to_Y/His_Holiness_Radhanath_Swami/Lectures/01_-_Theme_wise/Festivals/2004_How_Srila_Prabhupada_Established_Worldwide_Ratha_Yatra_-_Radhanath_Swami_Pune_2004-03-20_IDesireTree.mp3", "2004_How_Srila_Prabhupada_Established_Worldwide_Ratha_Yatra_-_Radhanath_Swami_Pune_2004-03-20_IDesireTree.mp3")</f>
        <v>2004_How_Srila_Prabhupada_Established_Worldwide_Ratha_Yatra_-_Radhanath_Swami_Pune_2004-03-20_IDesireTree.mp3</v>
      </c>
      <c r="D3645" s="24"/>
      <c r="E3645" s="24"/>
    </row>
    <row r="3646">
      <c r="A3646" s="25" t="s">
        <v>18392</v>
      </c>
      <c r="B3646" s="25" t="s">
        <v>6087</v>
      </c>
      <c r="C3646" s="26" t="str">
        <f>HYPERLINK("https://audio.iskcondesiretree.com/02_-_ISKCON_Swamis/ISKCON_Swamis_-_R_to_Y/His_Holiness_Radhanath_Swami/Lectures/01_-_Theme_wise/Festivals/2004_Jagannath_Misra_Festival_-_Radhanath_Swami_2004-03-07_IDesireTree.MP3", "2004_Jagannath_Misra_Festival_-_Radhanath_Swami_2004-03-07_IDesireTree.MP3")</f>
        <v>2004_Jagannath_Misra_Festival_-_Radhanath_Swami_2004-03-07_IDesireTree.MP3</v>
      </c>
      <c r="D3646" s="24"/>
      <c r="E3646" s="24"/>
    </row>
    <row r="3647">
      <c r="A3647" s="25" t="s">
        <v>18392</v>
      </c>
      <c r="B3647" s="25" t="s">
        <v>6087</v>
      </c>
      <c r="C3647" s="26" t="str">
        <f>HYPERLINK("https://audio.iskcondesiretree.com/02_-_ISKCON_Swamis/ISKCON_Swamis_-_R_to_Y/His_Holiness_Radhanath_Swami/Lectures/01_-_Theme_wise/Festivals/2004_Lord_Caitanya_-_The_Most_Magnanimous-01_Gaur_Purnima_-_Radhanath_Swami_Mumbai_2004-03-05_IDesireTree.mp3", "2004_Lord_Caitanya_-_The_Most_Magnanimous-01_Gaur_Purnima_-_Radhanath_Swami_Mumbai_2004-03-05_IDesireTree.mp3")</f>
        <v>2004_Lord_Caitanya_-_The_Most_Magnanimous-01_Gaur_Purnima_-_Radhanath_Swami_Mumbai_2004-03-05_IDesireTree.mp3</v>
      </c>
      <c r="D3647" s="24"/>
      <c r="E3647" s="24"/>
    </row>
    <row r="3648">
      <c r="A3648" s="25" t="s">
        <v>18392</v>
      </c>
      <c r="B3648" s="25" t="s">
        <v>6087</v>
      </c>
      <c r="C3648" s="26" t="str">
        <f>HYPERLINK("https://audio.iskcondesiretree.com/02_-_ISKCON_Swamis/ISKCON_Swamis_-_R_to_Y/His_Holiness_Radhanath_Swami/Lectures/01_-_Theme_wise/Festivals/2004_Lord_Caitanya_-_The_Most_Magnanimous-02_Gaur_Purnima_-_Radhanath_Swami_Mumbai_2004-03-05_IDesireTree.mp3", "2004_Lord_Caitanya_-_The_Most_Magnanimous-02_Gaur_Purnima_-_Radhanath_Swami_Mumbai_2004-03-05_IDesireTree.mp3")</f>
        <v>2004_Lord_Caitanya_-_The_Most_Magnanimous-02_Gaur_Purnima_-_Radhanath_Swami_Mumbai_2004-03-05_IDesireTree.mp3</v>
      </c>
      <c r="D3648" s="24"/>
      <c r="E3648" s="24"/>
    </row>
    <row r="3649">
      <c r="A3649" s="25" t="s">
        <v>18392</v>
      </c>
      <c r="B3649" s="25" t="s">
        <v>6087</v>
      </c>
      <c r="C3649" s="26" t="str">
        <f>HYPERLINK("https://audio.iskcondesiretree.com/02_-_ISKCON_Swamis/ISKCON_Swamis_-_R_to_Y/His_Holiness_Radhanath_Swami/Lectures/01_-_Theme_wise/Festivals/2004_Lord_Caitanya_Tour_of_South_India_-_Gaur_Purnima_-_Radhanath_SwamiMumbai_2004-03-05_IDesireTree.mp3", "2004_Lord_Caitanya_Tour_of_South_India_-_Gaur_Purnima_-_Radhanath_SwamiMumbai_2004-03-05_IDesireTree.mp3")</f>
        <v>2004_Lord_Caitanya_Tour_of_South_India_-_Gaur_Purnima_-_Radhanath_SwamiMumbai_2004-03-05_IDesireTree.mp3</v>
      </c>
      <c r="D3649" s="24"/>
      <c r="E3649" s="24"/>
    </row>
    <row r="3650">
      <c r="A3650" s="25" t="s">
        <v>18392</v>
      </c>
      <c r="B3650" s="25" t="s">
        <v>6087</v>
      </c>
      <c r="C3650" s="26" t="str">
        <f>HYPERLINK("https://audio.iskcondesiretree.com/02_-_ISKCON_Swamis/ISKCON_Swamis_-_R_to_Y/His_Holiness_Radhanath_Swami/Lectures/01_-_Theme_wise/Festivals/2004_Lord_Caitanya%E2%80%99s_Childhood_Pastimes-01_Gaur_Purnima_-_Radhanath_Swami_Mumbai_2004-03-06_IDesireTree.mp"&amp;"3", "2004_Lord_Caitanya%E2%80%99s_Childhood_Pastimes-01_Gaur_Purnima_-_Radhanath_Swami_Mumbai_2004-03-06_IDesireTree.mp3")</f>
        <v>2004_Lord_Caitanya%E2%80%99s_Childhood_Pastimes-01_Gaur_Purnima_-_Radhanath_Swami_Mumbai_2004-03-06_IDesireTree.mp3</v>
      </c>
      <c r="D3650" s="24"/>
      <c r="E3650" s="24"/>
    </row>
    <row r="3651">
      <c r="A3651" s="25" t="s">
        <v>18392</v>
      </c>
      <c r="B3651" s="25" t="s">
        <v>6087</v>
      </c>
      <c r="C3651" s="26" t="str">
        <f>HYPERLINK("https://audio.iskcondesiretree.com/02_-_ISKCON_Swamis/ISKCON_Swamis_-_R_to_Y/His_Holiness_Radhanath_Swami/Lectures/01_-_Theme_wise/Festivals/2004_Lord_Caitanya%E2%80%99s_Childhood_Pastimes-02_Gaur_Purnima_-_Radhanath_Swami_Mumbai_2004-03-06_IDesireTree.mp"&amp;"3", "2004_Lord_Caitanya%E2%80%99s_Childhood_Pastimes-02_Gaur_Purnima_-_Radhanath_Swami_Mumbai_2004-03-06_IDesireTree.mp3")</f>
        <v>2004_Lord_Caitanya%E2%80%99s_Childhood_Pastimes-02_Gaur_Purnima_-_Radhanath_Swami_Mumbai_2004-03-06_IDesireTree.mp3</v>
      </c>
      <c r="D3651" s="24"/>
      <c r="E3651" s="24"/>
    </row>
    <row r="3652">
      <c r="A3652" s="25" t="s">
        <v>18392</v>
      </c>
      <c r="B3652" s="25" t="s">
        <v>6087</v>
      </c>
      <c r="C3652" s="26" t="str">
        <f>HYPERLINK("https://audio.iskcondesiretree.com/02_-_ISKCON_Swamis/ISKCON_Swamis_-_R_to_Y/His_Holiness_Radhanath_Swami/Lectures/01_-_Theme_wise/Festivals/2004_Lord_Caitanya%E2%80%99s_Childhood_Pastimes-03_Gaur_Purnima_-_Radhanath_Swami_Mumbai_2004-03-06_IDesireTree.mp"&amp;"3", "2004_Lord_Caitanya%E2%80%99s_Childhood_Pastimes-03_Gaur_Purnima_-_Radhanath_Swami_Mumbai_2004-03-06_IDesireTree.mp3")</f>
        <v>2004_Lord_Caitanya%E2%80%99s_Childhood_Pastimes-03_Gaur_Purnima_-_Radhanath_Swami_Mumbai_2004-03-06_IDesireTree.mp3</v>
      </c>
      <c r="D3652" s="24"/>
      <c r="E3652" s="24"/>
    </row>
    <row r="3653">
      <c r="A3653" s="25" t="s">
        <v>18392</v>
      </c>
      <c r="B3653" s="25" t="s">
        <v>6087</v>
      </c>
      <c r="C3653" s="26" t="str">
        <f>HYPERLINK("https://audio.iskcondesiretree.com/02_-_ISKCON_Swamis/ISKCON_Swamis_-_R_to_Y/His_Holiness_Radhanath_Swami/Lectures/01_-_Theme_wise/Festivals/2004_Ramayan_-_The_Legend_of_Selfless_Pure_Devotion_-_Radhanath_Swami_Mumbai_2004-03-31_IDesireTree.mp3", "2004_Ramayan_-_The_Legend_of_Selfless_Pure_Devotion_-_Radhanath_Swami_Mumbai_2004-03-31_IDesireTree.mp3")</f>
        <v>2004_Ramayan_-_The_Legend_of_Selfless_Pure_Devotion_-_Radhanath_Swami_Mumbai_2004-03-31_IDesireTree.mp3</v>
      </c>
      <c r="D3653" s="24"/>
      <c r="E3653" s="24"/>
    </row>
    <row r="3654">
      <c r="A3654" s="25" t="s">
        <v>18392</v>
      </c>
      <c r="B3654" s="25" t="s">
        <v>6087</v>
      </c>
      <c r="C3654" s="26" t="str">
        <f>HYPERLINK("https://audio.iskcondesiretree.com/02_-_ISKCON_Swamis/ISKCON_Swamis_-_R_to_Y/His_Holiness_Radhanath_Swami/Lectures/01_-_Theme_wise/Festivals/2004_Simply_Love_%26_Devotion_-_Pushya_Abhishek_-_Radhanath_Swami_Mumbai_2004-01-29_IDesireTree.mp3", "2004_Simply_Love_%26_Devotion_-_Pushya_Abhishek_-_Radhanath_Swami_Mumbai_2004-01-29_IDesireTree.mp3")</f>
        <v>2004_Simply_Love_%26_Devotion_-_Pushya_Abhishek_-_Radhanath_Swami_Mumbai_2004-01-29_IDesireTree.mp3</v>
      </c>
      <c r="D3654" s="24"/>
      <c r="E3654" s="24"/>
    </row>
    <row r="3655">
      <c r="A3655" s="25" t="s">
        <v>18392</v>
      </c>
      <c r="B3655" s="25" t="s">
        <v>6087</v>
      </c>
      <c r="C3655" s="26" t="str">
        <f>HYPERLINK("https://audio.iskcondesiretree.com/02_-_ISKCON_Swamis/ISKCON_Swamis_-_R_to_Y/His_Holiness_Radhanath_Swami/Lectures/01_-_Theme_wise/Festivals/2004_Snana_Yatra_-_Giving_Pleasure_to_Krishna_-_Radhanath_Swami_Los_Angeles_2004_IDesireTree.mp3", "2004_Snana_Yatra_-_Giving_Pleasure_to_Krishna_-_Radhanath_Swami_Los_Angeles_2004_IDesireTree.mp3")</f>
        <v>2004_Snana_Yatra_-_Giving_Pleasure_to_Krishna_-_Radhanath_Swami_Los_Angeles_2004_IDesireTree.mp3</v>
      </c>
      <c r="D3655" s="24"/>
      <c r="E3655" s="24"/>
    </row>
    <row r="3656">
      <c r="A3656" s="25" t="s">
        <v>18392</v>
      </c>
      <c r="B3656" s="25" t="s">
        <v>6087</v>
      </c>
      <c r="C3656" s="26" t="str">
        <f>HYPERLINK("https://audio.iskcondesiretree.com/02_-_ISKCON_Swamis/ISKCON_Swamis_-_R_to_Y/His_Holiness_Radhanath_Swami/Lectures/01_-_Theme_wise/Festivals/2004_The_Appearance_%26_Pastimes_of_Lord_Jagannath_Rath_yatra_-_Radhanath_Swami_Mumbai_2004-01-16_IDesireTree.mp3", "2004_The_Appearance_%26_Pastimes_of_Lord_Jagannath_Rath_yatra_-_Radhanath_Swami_Mumbai_2004-01-16_IDesireTree.mp3")</f>
        <v>2004_The_Appearance_%26_Pastimes_of_Lord_Jagannath_Rath_yatra_-_Radhanath_Swami_Mumbai_2004-01-16_IDesireTree.mp3</v>
      </c>
      <c r="D3656" s="24"/>
      <c r="E3656" s="24"/>
    </row>
    <row r="3657">
      <c r="A3657" s="25" t="s">
        <v>18392</v>
      </c>
      <c r="B3657" s="25" t="s">
        <v>6087</v>
      </c>
      <c r="C3657" s="26" t="str">
        <f>HYPERLINK("https://audio.iskcondesiretree.com/02_-_ISKCON_Swamis/ISKCON_Swamis_-_R_to_Y/His_Holiness_Radhanath_Swami/Lectures/01_-_Theme_wise/Festivals/2004_The_Cleansing_of_Gundica_Temple-CC_Reading_-_Radhanath_Swami_Los_Angeles_2004_IDesireTree.mp3", "2004_The_Cleansing_of_Gundica_Temple-CC_Reading_-_Radhanath_Swami_Los_Angeles_2004_IDesireTree.mp3")</f>
        <v>2004_The_Cleansing_of_Gundica_Temple-CC_Reading_-_Radhanath_Swami_Los_Angeles_2004_IDesireTree.mp3</v>
      </c>
      <c r="D3657" s="24"/>
      <c r="E3657" s="24"/>
    </row>
    <row r="3658">
      <c r="A3658" s="25" t="s">
        <v>18392</v>
      </c>
      <c r="B3658" s="25" t="s">
        <v>6087</v>
      </c>
      <c r="C3658" s="26" t="str">
        <f>HYPERLINK("https://audio.iskcondesiretree.com/02_-_ISKCON_Swamis/ISKCON_Swamis_-_R_to_Y/His_Holiness_Radhanath_Swami/Lectures/01_-_Theme_wise/Festivals/2004_The_Ecstatic_Dancing_of_Lord_Caitanya_at_Ratha-yatra_-_Radhanath_Swami_New_York_2004-06-11_IDesireTree.mp3", "2004_The_Ecstatic_Dancing_of_Lord_Caitanya_at_Ratha-yatra_-_Radhanath_Swami_New_York_2004-06-11_IDesireTree.mp3")</f>
        <v>2004_The_Ecstatic_Dancing_of_Lord_Caitanya_at_Ratha-yatra_-_Radhanath_Swami_New_York_2004-06-11_IDesireTree.mp3</v>
      </c>
      <c r="D3658" s="24"/>
      <c r="E3658" s="24"/>
    </row>
    <row r="3659">
      <c r="A3659" s="25" t="s">
        <v>18392</v>
      </c>
      <c r="B3659" s="25" t="s">
        <v>6087</v>
      </c>
      <c r="C3659" s="26" t="str">
        <f>HYPERLINK("https://audio.iskcondesiretree.com/02_-_ISKCON_Swamis/ISKCON_Swamis_-_R_to_Y/His_Holiness_Radhanath_Swami/Lectures/01_-_Theme_wise/Festivals/2005_First_Rath_Yatra-San_Francisco_Becomes_New_Jagannath_Puri_-_Radhanath_Swami_US_Spring_2005_IDesireTree.mp3", "2005_First_Rath_Yatra-San_Francisco_Becomes_New_Jagannath_Puri_-_Radhanath_Swami_US_Spring_2005_IDesireTree.mp3")</f>
        <v>2005_First_Rath_Yatra-San_Francisco_Becomes_New_Jagannath_Puri_-_Radhanath_Swami_US_Spring_2005_IDesireTree.mp3</v>
      </c>
      <c r="D3659" s="24"/>
      <c r="E3659" s="24"/>
    </row>
    <row r="3660">
      <c r="A3660" s="25" t="s">
        <v>18392</v>
      </c>
      <c r="B3660" s="25" t="s">
        <v>6087</v>
      </c>
      <c r="C3660" s="26" t="str">
        <f>HYPERLINK("https://audio.iskcondesiretree.com/02_-_ISKCON_Swamis/ISKCON_Swamis_-_R_to_Y/His_Holiness_Radhanath_Swami/Lectures/01_-_Theme_wise/Festivals/2005_Glories_of_the_Month_of_Kartik_SB_03-21-30_-_Radhanath_Swami_Mumbai_2005-10-17_IDesireTree.MP3", "2005_Glories_of_the_Month_of_Kartik_SB_03-21-30_-_Radhanath_Swami_Mumbai_2005-10-17_IDesireTree.MP3")</f>
        <v>2005_Glories_of_the_Month_of_Kartik_SB_03-21-30_-_Radhanath_Swami_Mumbai_2005-10-17_IDesireTree.MP3</v>
      </c>
      <c r="D3660" s="24"/>
      <c r="E3660" s="24"/>
    </row>
    <row r="3661">
      <c r="A3661" s="25" t="s">
        <v>18392</v>
      </c>
      <c r="B3661" s="25" t="s">
        <v>6087</v>
      </c>
      <c r="C3661" s="26" t="str">
        <f>HYPERLINK("https://audio.iskcondesiretree.com/02_-_ISKCON_Swamis/ISKCON_Swamis_-_R_to_Y/His_Holiness_Radhanath_Swami/Lectures/01_-_Theme_wise/Festivals/2005_Govardhan_Puja_-_Radhanath_Swami_Mumbai_2005-11-03_IDesireTree.MP3", "2005_Govardhan_Puja_-_Radhanath_Swami_Mumbai_2005-11-03_IDesireTree.MP3")</f>
        <v>2005_Govardhan_Puja_-_Radhanath_Swami_Mumbai_2005-11-03_IDesireTree.MP3</v>
      </c>
      <c r="D3661" s="24"/>
      <c r="E3661" s="24"/>
    </row>
    <row r="3662">
      <c r="A3662" s="25" t="s">
        <v>18392</v>
      </c>
      <c r="B3662" s="25" t="s">
        <v>6087</v>
      </c>
      <c r="C3662" s="26" t="str">
        <f>HYPERLINK("https://audio.iskcondesiretree.com/02_-_ISKCON_Swamis/ISKCON_Swamis_-_R_to_Y/His_Holiness_Radhanath_Swami/Lectures/01_-_Theme_wise/Festivals/2005_Laxmi_Naryan_Festival_-_Radhanath_Swami_Mumbai_2005-03-30_IDesireTree.mp3", "2005_Laxmi_Naryan_Festival_-_Radhanath_Swami_Mumbai_2005-03-30_IDesireTree.mp3")</f>
        <v>2005_Laxmi_Naryan_Festival_-_Radhanath_Swami_Mumbai_2005-03-30_IDesireTree.mp3</v>
      </c>
      <c r="D3662" s="24"/>
      <c r="E3662" s="24"/>
    </row>
    <row r="3663">
      <c r="A3663" s="25" t="s">
        <v>18392</v>
      </c>
      <c r="B3663" s="25" t="s">
        <v>6087</v>
      </c>
      <c r="C3663" s="26" t="str">
        <f>HYPERLINK("https://audio.iskcondesiretree.com/02_-_ISKCON_Swamis/ISKCON_Swamis_-_R_to_Y/His_Holiness_Radhanath_Swami/Lectures/01_-_Theme_wise/Festivals/2005_Sharad_Poornima_-_Radhanath_Swami_Mumbai_2005-10-17_IDesireTree.MP3", "2005_Sharad_Poornima_-_Radhanath_Swami_Mumbai_2005-10-17_IDesireTree.MP3")</f>
        <v>2005_Sharad_Poornima_-_Radhanath_Swami_Mumbai_2005-10-17_IDesireTree.MP3</v>
      </c>
      <c r="D3663" s="24"/>
      <c r="E3663" s="24"/>
    </row>
    <row r="3664">
      <c r="A3664" s="25" t="s">
        <v>18392</v>
      </c>
      <c r="B3664" s="25" t="s">
        <v>6087</v>
      </c>
      <c r="C3664" s="26" t="str">
        <f>HYPERLINK("https://audio.iskcondesiretree.com/02_-_ISKCON_Swamis/ISKCON_Swamis_-_R_to_Y/His_Holiness_Radhanath_Swami/Lectures/01_-_Theme_wise/Festivals/2005_Significance_of_Gundica_Marjanam_-_Radhanath_Swami_US_Spring_2005_IDesireTree.mp3", "2005_Significance_of_Gundica_Marjanam_-_Radhanath_Swami_US_Spring_2005_IDesireTree.mp3")</f>
        <v>2005_Significance_of_Gundica_Marjanam_-_Radhanath_Swami_US_Spring_2005_IDesireTree.mp3</v>
      </c>
      <c r="D3664" s="24"/>
      <c r="E3664" s="24"/>
    </row>
    <row r="3665">
      <c r="A3665" s="25" t="s">
        <v>18392</v>
      </c>
      <c r="B3665" s="25" t="s">
        <v>6087</v>
      </c>
      <c r="C3665" s="26" t="str">
        <f>HYPERLINK("https://audio.iskcondesiretree.com/02_-_ISKCON_Swamis/ISKCON_Swamis_-_R_to_Y/His_Holiness_Radhanath_Swami/Lectures/01_-_Theme_wise/Festivals/2005_What_Janmashtami_Really_Means_-_Radhanath_Swami_Mumbai_2005-09-09_IDesireTree.MP3", "2005_What_Janmashtami_Really_Means_-_Radhanath_Swami_Mumbai_2005-09-09_IDesireTree.MP3")</f>
        <v>2005_What_Janmashtami_Really_Means_-_Radhanath_Swami_Mumbai_2005-09-09_IDesireTree.MP3</v>
      </c>
      <c r="D3665" s="24"/>
      <c r="E3665" s="24"/>
    </row>
    <row r="3666">
      <c r="A3666" s="25" t="s">
        <v>18392</v>
      </c>
      <c r="B3666" s="25" t="s">
        <v>6087</v>
      </c>
      <c r="C3666" s="26" t="str">
        <f>HYPERLINK("https://audio.iskcondesiretree.com/02_-_ISKCON_Swamis/ISKCON_Swamis_-_R_to_Y/His_Holiness_Radhanath_Swami/Lectures/01_-_Theme_wise/Festivals/2006_Appearance_of_Lord_Jagannath_-_Radhanath_Swami_2006-06-26_IDesireTree.mp3", "2006_Appearance_of_Lord_Jagannath_-_Radhanath_Swami_2006-06-26_IDesireTree.mp3")</f>
        <v>2006_Appearance_of_Lord_Jagannath_-_Radhanath_Swami_2006-06-26_IDesireTree.mp3</v>
      </c>
      <c r="D3666" s="24"/>
      <c r="E3666" s="24"/>
    </row>
    <row r="3667">
      <c r="A3667" s="25" t="s">
        <v>18392</v>
      </c>
      <c r="B3667" s="25" t="s">
        <v>6087</v>
      </c>
      <c r="C3667" s="26" t="str">
        <f>HYPERLINK("https://audio.iskcondesiretree.com/02_-_ISKCON_Swamis/ISKCON_Swamis_-_R_to_Y/His_Holiness_Radhanath_Swami/Lectures/01_-_Theme_wise/Festivals/2006_Janmashtami_Lecture_-_Radhanath_Swami_Bhartiya_Vidya_Bhavan_2006-08-17_IDesireTree.mp3", "2006_Janmashtami_Lecture_-_Radhanath_Swami_Bhartiya_Vidya_Bhavan_2006-08-17_IDesireTree.mp3")</f>
        <v>2006_Janmashtami_Lecture_-_Radhanath_Swami_Bhartiya_Vidya_Bhavan_2006-08-17_IDesireTree.mp3</v>
      </c>
      <c r="D3667" s="24"/>
      <c r="E3667" s="24"/>
    </row>
    <row r="3668">
      <c r="A3668" s="25" t="s">
        <v>18392</v>
      </c>
      <c r="B3668" s="25" t="s">
        <v>6087</v>
      </c>
      <c r="C3668" s="26" t="str">
        <f>HYPERLINK("https://audio.iskcondesiretree.com/02_-_ISKCON_Swamis/ISKCON_Swamis_-_R_to_Y/His_Holiness_Radhanath_Swami/Lectures/01_-_Theme_wise/Festivals/2006_Lord_Balaram_App_Day-The_Destroyer_of_Anarthas_-_Radhanath_Swami_2006-08-09_IDesireTree.MP3", "2006_Lord_Balaram_App_Day-The_Destroyer_of_Anarthas_-_Radhanath_Swami_2006-08-09_IDesireTree.MP3")</f>
        <v>2006_Lord_Balaram_App_Day-The_Destroyer_of_Anarthas_-_Radhanath_Swami_2006-08-09_IDesireTree.MP3</v>
      </c>
      <c r="D3668" s="24"/>
      <c r="E3668" s="24"/>
    </row>
    <row r="3669">
      <c r="A3669" s="25" t="s">
        <v>18392</v>
      </c>
      <c r="B3669" s="25" t="s">
        <v>6087</v>
      </c>
      <c r="C3669" s="26" t="str">
        <f>HYPERLINK("https://audio.iskcondesiretree.com/02_-_ISKCON_Swamis/ISKCON_Swamis_-_R_to_Y/His_Holiness_Radhanath_Swami/Lectures/01_-_Theme_wise/Festivals/2006_Pushya_Abhishek_-_Radhanath_Swami_2006-01-28_IDesireTree.MP3", "2006_Pushya_Abhishek_-_Radhanath_Swami_2006-01-28_IDesireTree.MP3")</f>
        <v>2006_Pushya_Abhishek_-_Radhanath_Swami_2006-01-28_IDesireTree.MP3</v>
      </c>
      <c r="D3669" s="24"/>
      <c r="E3669" s="24"/>
    </row>
    <row r="3670">
      <c r="A3670" s="25" t="s">
        <v>18392</v>
      </c>
      <c r="B3670" s="25" t="s">
        <v>6087</v>
      </c>
      <c r="C3670" s="26" t="str">
        <f>HYPERLINK("https://audio.iskcondesiretree.com/02_-_ISKCON_Swamis/ISKCON_Swamis_-_R_to_Y/His_Holiness_Radhanath_Swami/Lectures/01_-_Theme_wise/Festivals/2007_Ramnavmi_Lec_-_Radhanath_Swami_2007-03-27_IDesireTree.mp3", "2007_Ramnavmi_Lec_-_Radhanath_Swami_2007-03-27_IDesireTree.mp3")</f>
        <v>2007_Ramnavmi_Lec_-_Radhanath_Swami_2007-03-27_IDesireTree.mp3</v>
      </c>
      <c r="D3670" s="24"/>
      <c r="E3670" s="24"/>
    </row>
    <row r="3671">
      <c r="A3671" s="25" t="s">
        <v>18392</v>
      </c>
      <c r="B3671" s="25" t="s">
        <v>6087</v>
      </c>
      <c r="C3671" s="26" t="str">
        <f>HYPERLINK("https://audio.iskcondesiretree.com/02_-_ISKCON_Swamis/ISKCON_Swamis_-_R_to_Y/His_Holiness_Radhanath_Swami/Lectures/01_-_Theme_wise/Festivals/2008_Ramnavami_-_Exemplary_Character_Of_Lord_Ramchandra_-_Juhu-Mumbai_-_Radhanath_Swami_2008-04-14_IDesireTree.mp3", "2008_Ramnavami_-_Exemplary_Character_Of_Lord_Ramchandra_-_Juhu-Mumbai_-_Radhanath_Swami_2008-04-14_IDesireTree.mp3")</f>
        <v>2008_Ramnavami_-_Exemplary_Character_Of_Lord_Ramchandra_-_Juhu-Mumbai_-_Radhanath_Swami_2008-04-14_IDesireTree.mp3</v>
      </c>
      <c r="D3671" s="24"/>
      <c r="E3671" s="24"/>
    </row>
    <row r="3672">
      <c r="A3672" s="25" t="s">
        <v>18392</v>
      </c>
      <c r="B3672" s="25" t="s">
        <v>6087</v>
      </c>
      <c r="C3672" s="26" t="str">
        <f>HYPERLINK("https://audio.iskcondesiretree.com/02_-_ISKCON_Swamis/ISKCON_Swamis_-_R_to_Y/His_Holiness_Radhanath_Swami/Lectures/01_-_Theme_wise/Festivals/2018-01-27_Pushya_Abhishek_Festival_-_Krishna_Accepts_Our_Love_-_Radhanath_Swami_ISKCON_Chowpatty.mp3", "2018-01-27_Pushya_Abhishek_Festival_-_Krishna_Accepts_Our_Love_-_Radhanath_Swami_ISKCON_Chowpatty.mp3")</f>
        <v>2018-01-27_Pushya_Abhishek_Festival_-_Krishna_Accepts_Our_Love_-_Radhanath_Swami_ISKCON_Chowpatty.mp3</v>
      </c>
      <c r="D3672" s="24"/>
      <c r="E3672" s="24"/>
    </row>
    <row r="3673">
      <c r="A3673" s="25" t="s">
        <v>18392</v>
      </c>
      <c r="B3673" s="25" t="s">
        <v>6087</v>
      </c>
      <c r="C3673" s="26" t="str">
        <f>HYPERLINK("https://audio.iskcondesiretree.com/02_-_ISKCON_Swamis/ISKCON_Swamis_-_R_to_Y/His_Holiness_Radhanath_Swami/Lectures/01_-_Theme_wise/Festivals/Appearance_of_Lord_Narsimhadeva_-_New_Vrindavan_03-05-04_IDesireTree.mp3", "Appearance_of_Lord_Narsimhadeva_-_New_Vrindavan_03-05-04_IDesireTree.mp3")</f>
        <v>Appearance_of_Lord_Narsimhadeva_-_New_Vrindavan_03-05-04_IDesireTree.mp3</v>
      </c>
      <c r="D3673" s="24"/>
      <c r="E3673" s="24"/>
    </row>
    <row r="3674">
      <c r="A3674" s="25" t="s">
        <v>18392</v>
      </c>
      <c r="B3674" s="25" t="s">
        <v>6087</v>
      </c>
      <c r="C3674" s="26" t="str">
        <f>HYPERLINK("https://audio.iskcondesiretree.com/02_-_ISKCON_Swamis/ISKCON_Swamis_-_R_to_Y/His_Holiness_Radhanath_Swami/Lectures/01_-_Theme_wise/Festivals/Damodar_Leela_-_Radhanath_Swami_IDesireTree.mp3", "Damodar_Leela_-_Radhanath_Swami_IDesireTree.mp3")</f>
        <v>Damodar_Leela_-_Radhanath_Swami_IDesireTree.mp3</v>
      </c>
      <c r="D3674" s="24"/>
      <c r="E3674" s="24"/>
    </row>
    <row r="3675">
      <c r="A3675" s="25" t="s">
        <v>18392</v>
      </c>
      <c r="B3675" s="25" t="s">
        <v>6087</v>
      </c>
      <c r="C3675" s="26" t="str">
        <f>HYPERLINK("https://audio.iskcondesiretree.com/02_-_ISKCON_Swamis/ISKCON_Swamis_-_R_to_Y/His_Holiness_Radhanath_Swami/Lectures/01_-_Theme_wise/Festivals/Damodarastakam_Prayers_-_Radhanath_Swami_IDesireTree.mp3", "Damodarastakam_Prayers_-_Radhanath_Swami_IDesireTree.mp3")</f>
        <v>Damodarastakam_Prayers_-_Radhanath_Swami_IDesireTree.mp3</v>
      </c>
      <c r="D3675" s="24"/>
      <c r="E3675" s="24"/>
    </row>
    <row r="3676">
      <c r="A3676" s="25" t="s">
        <v>18392</v>
      </c>
      <c r="B3676" s="25" t="s">
        <v>6087</v>
      </c>
      <c r="C3676" s="26" t="str">
        <f>HYPERLINK("https://audio.iskcondesiretree.com/02_-_ISKCON_Swamis/ISKCON_Swamis_-_R_to_Y/His_Holiness_Radhanath_Swami/Lectures/01_-_Theme_wise/Festivals/Eventful_Kartik_Month_-_Radhanath_Swami_IDesireTree.mp3", "Eventful_Kartik_Month_-_Radhanath_Swami_IDesireTree.mp3")</f>
        <v>Eventful_Kartik_Month_-_Radhanath_Swami_IDesireTree.mp3</v>
      </c>
      <c r="D3676" s="24"/>
      <c r="E3676" s="24"/>
    </row>
    <row r="3677">
      <c r="A3677" s="25" t="s">
        <v>18392</v>
      </c>
      <c r="B3677" s="25" t="s">
        <v>6087</v>
      </c>
      <c r="C3677" s="26" t="str">
        <f>HYPERLINK("https://audio.iskcondesiretree.com/02_-_ISKCON_Swamis/ISKCON_Swamis_-_R_to_Y/His_Holiness_Radhanath_Swami/Lectures/01_-_Theme_wise/Festivals/Glories_of_Giriraj_Govardhan_-_Radhanath_Swami_IDesireTree.mp3", "Glories_of_Giriraj_Govardhan_-_Radhanath_Swami_IDesireTree.mp3")</f>
        <v>Glories_of_Giriraj_Govardhan_-_Radhanath_Swami_IDesireTree.mp3</v>
      </c>
      <c r="D3677" s="24"/>
      <c r="E3677" s="24"/>
    </row>
    <row r="3678">
      <c r="A3678" s="25" t="s">
        <v>18392</v>
      </c>
      <c r="B3678" s="25" t="s">
        <v>6087</v>
      </c>
      <c r="C3678" s="26" t="str">
        <f>HYPERLINK("https://audio.iskcondesiretree.com/02_-_ISKCON_Swamis/ISKCON_Swamis_-_R_to_Y/His_Holiness_Radhanath_Swami/Lectures/01_-_Theme_wise/Festivals/Lord_Caitanya_The_Supreme_Munificent_-_Gaur_Purnima_CC_ML-02-81_-_Mumbai_04-03-04_IDesireTree.mp3", "Lord_Caitanya_The_Supreme_Munificent_-_Gaur_Purnima_CC_ML-02-81_-_Mumbai_04-03-04_IDesireTree.mp3")</f>
        <v>Lord_Caitanya_The_Supreme_Munificent_-_Gaur_Purnima_CC_ML-02-81_-_Mumbai_04-03-04_IDesireTree.mp3</v>
      </c>
      <c r="D3678" s="24"/>
      <c r="E3678" s="24"/>
    </row>
    <row r="3679">
      <c r="A3679" s="25" t="s">
        <v>18392</v>
      </c>
      <c r="B3679" s="25" t="s">
        <v>6087</v>
      </c>
      <c r="C3679" s="26" t="str">
        <f>HYPERLINK("https://audio.iskcondesiretree.com/02_-_ISKCON_Swamis/ISKCON_Swamis_-_R_to_Y/His_Holiness_Radhanath_Swami/Lectures/01_-_Theme_wise/Festivals/Lord_Narsimhadeva_Appearance_Day_-_Radhanath_Swami_Mumbai_1998-05-10_IDesireTree.mp3", "Lord_Narsimhadeva_Appearance_Day_-_Radhanath_Swami_Mumbai_1998-05-10_IDesireTree.mp3")</f>
        <v>Lord_Narsimhadeva_Appearance_Day_-_Radhanath_Swami_Mumbai_1998-05-10_IDesireTree.mp3</v>
      </c>
      <c r="D3679" s="24"/>
      <c r="E3679" s="24"/>
    </row>
    <row r="3680">
      <c r="A3680" s="25" t="s">
        <v>18392</v>
      </c>
      <c r="B3680" s="25" t="s">
        <v>6087</v>
      </c>
      <c r="C3680" s="26" t="str">
        <f>HYPERLINK("https://audio.iskcondesiretree.com/02_-_ISKCON_Swamis/ISKCON_Swamis_-_R_to_Y/His_Holiness_Radhanath_Swami/Lectures/01_-_Theme_wise/Festivals/Open_Your_Heart_To_Invite_Lord_Nityananda_Prabhu%27s_Mercy_-_Nityananda_Trayodasi_-_Mumbai_IDesireTree.mp3", "Open_Your_Heart_To_Invite_Lord_Nityananda_Prabhu%27s_Mercy_-_Nityananda_Trayodasi_-_Mumbai_IDesireTree.mp3")</f>
        <v>Open_Your_Heart_To_Invite_Lord_Nityananda_Prabhu%27s_Mercy_-_Nityananda_Trayodasi_-_Mumbai_IDesireTree.mp3</v>
      </c>
      <c r="D3680" s="24"/>
      <c r="E3680" s="24"/>
    </row>
    <row r="3681">
      <c r="A3681" s="25" t="s">
        <v>18392</v>
      </c>
      <c r="B3681" s="25" t="s">
        <v>6087</v>
      </c>
      <c r="C3681" s="26" t="str">
        <f>HYPERLINK("https://audio.iskcondesiretree.com/02_-_ISKCON_Swamis/ISKCON_Swamis_-_R_to_Y/His_Holiness_Radhanath_Swami/Lectures/01_-_Theme_wise/Festivals/Pastimes_at_Indradumna_Sarovar_-_Radhanath_Swami_IDesireTree.mp3", "Pastimes_at_Indradumna_Sarovar_-_Radhanath_Swami_IDesireTree.mp3")</f>
        <v>Pastimes_at_Indradumna_Sarovar_-_Radhanath_Swami_IDesireTree.mp3</v>
      </c>
      <c r="D3681" s="24"/>
      <c r="E3681" s="24"/>
    </row>
    <row r="3682">
      <c r="A3682" s="25" t="s">
        <v>18392</v>
      </c>
      <c r="B3682" s="25" t="s">
        <v>6087</v>
      </c>
      <c r="C3682" s="26" t="str">
        <f>HYPERLINK("https://audio.iskcondesiretree.com/02_-_ISKCON_Swamis/ISKCON_Swamis_-_R_to_Y/His_Holiness_Radhanath_Swami/Lectures/01_-_Theme_wise/Festivals/Pastimes_at_Jagannath_Vallabh_Garden_%26_Gundicha_Temple_-_Radhanath_Swami_IDesireTree.mp3", "Pastimes_at_Jagannath_Vallabh_Garden_%26_Gundicha_Temple_-_Radhanath_Swami_IDesireTree.mp3")</f>
        <v>Pastimes_at_Jagannath_Vallabh_Garden_%26_Gundicha_Temple_-_Radhanath_Swami_IDesireTree.mp3</v>
      </c>
      <c r="D3682" s="24"/>
      <c r="E3682" s="24"/>
    </row>
    <row r="3683">
      <c r="A3683" s="25" t="s">
        <v>18392</v>
      </c>
      <c r="B3683" s="25" t="s">
        <v>6087</v>
      </c>
      <c r="C3683" s="26" t="str">
        <f>HYPERLINK("https://audio.iskcondesiretree.com/02_-_ISKCON_Swamis/ISKCON_Swamis_-_R_to_Y/His_Holiness_Radhanath_Swami/Lectures/01_-_Theme_wise/Festivals/Perfect_Love-Radhastami_-_Radhanath_Swami_IDesireTree.mp3", "Perfect_Love-Radhastami_-_Radhanath_Swami_IDesireTree.mp3")</f>
        <v>Perfect_Love-Radhastami_-_Radhanath_Swami_IDesireTree.mp3</v>
      </c>
      <c r="D3683" s="24"/>
      <c r="E3683" s="24"/>
    </row>
    <row r="3684">
      <c r="A3684" s="25" t="s">
        <v>18392</v>
      </c>
      <c r="B3684" s="25" t="s">
        <v>6087</v>
      </c>
      <c r="C3684" s="26" t="str">
        <f>HYPERLINK("https://audio.iskcondesiretree.com/02_-_ISKCON_Swamis/ISKCON_Swamis_-_R_to_Y/His_Holiness_Radhanath_Swami/Lectures/01_-_Theme_wise/Festivals/Stories_of_Lord_Jagannath_-_Radhanath_Swami_IDesireTree.mp3", "Stories_of_Lord_Jagannath_-_Radhanath_Swami_IDesireTree.mp3")</f>
        <v>Stories_of_Lord_Jagannath_-_Radhanath_Swami_IDesireTree.mp3</v>
      </c>
      <c r="D3684" s="24"/>
      <c r="E3684" s="24"/>
    </row>
    <row r="3685">
      <c r="A3685" s="25" t="s">
        <v>18392</v>
      </c>
      <c r="B3685" s="25" t="s">
        <v>6087</v>
      </c>
      <c r="C3685" s="26" t="str">
        <f>HYPERLINK("https://audio.iskcondesiretree.com/02_-_ISKCON_Swamis/ISKCON_Swamis_-_R_to_Y/His_Holiness_Radhanath_Swami/Lectures/01_-_Theme_wise/Festivals/Story_of_Kshir_Chor_Gopinath_-_Radhanath_Swami_IDesireTree.mp3", "Story_of_Kshir_Chor_Gopinath_-_Radhanath_Swami_IDesireTree.mp3")</f>
        <v>Story_of_Kshir_Chor_Gopinath_-_Radhanath_Swami_IDesireTree.mp3</v>
      </c>
      <c r="D3685" s="24"/>
      <c r="E3685" s="24"/>
    </row>
    <row r="3686">
      <c r="A3686" s="25" t="s">
        <v>18392</v>
      </c>
      <c r="B3686" s="25" t="s">
        <v>6087</v>
      </c>
      <c r="C3686" s="26" t="str">
        <f>HYPERLINK("https://audio.iskcondesiretree.com/02_-_ISKCON_Swamis/ISKCON_Swamis_-_R_to_Y/His_Holiness_Radhanath_Swami/Lectures/01_-_Theme_wise/Festivals/Transcending_Material_Misery_%26_Lalita_Devi%27s_App_Day_SB-05-14-01_-_Mumbai_10-09-05_IDesireTree.MP3", "Transcending_Material_Misery_%26_Lalita_Devi%27s_App_Day_SB-05-14-01_-_Mumbai_10-09-05_IDesireTree.MP3")</f>
        <v>Transcending_Material_Misery_%26_Lalita_Devi%27s_App_Day_SB-05-14-01_-_Mumbai_10-09-05_IDesireTree.MP3</v>
      </c>
      <c r="D3686" s="24"/>
      <c r="E3686" s="24"/>
    </row>
    <row r="3687">
      <c r="A3687" s="25" t="s">
        <v>18392</v>
      </c>
      <c r="B3687" s="25" t="s">
        <v>6087</v>
      </c>
      <c r="C3687" s="26" t="str">
        <f>HYPERLINK("https://audio.iskcondesiretree.com/02_-_ISKCON_Swamis/ISKCON_Swamis_-_R_to_Y/His_Holiness_Radhanath_Swami/Lectures/01_-_Theme_wise/Festivals/Who_is_an_advanced_yogi_and_glories_of_Karthik_month_-_Radhanath_Swami_IDesireTree.mp3", "Who_is_an_advanced_yogi_and_glories_of_Karthik_month_-_Radhanath_Swami_IDesireTree.mp3")</f>
        <v>Who_is_an_advanced_yogi_and_glories_of_Karthik_month_-_Radhanath_Swami_IDesireTree.mp3</v>
      </c>
      <c r="D3687" s="24"/>
      <c r="E3687" s="24"/>
    </row>
    <row r="3688">
      <c r="A3688" s="25" t="s">
        <v>18392</v>
      </c>
      <c r="B3688" s="25" t="s">
        <v>18421</v>
      </c>
      <c r="C3688" s="26" t="str">
        <f>HYPERLINK("https://audio.iskcondesiretree.com/02_-_ISKCON_Swamis/ISKCON_Swamis_-_R_to_Y/His_Holiness_Radhanath_Swami/Lectures/01_-_Theme_wise/Following_the_footsteps_of_great_souls/01.Following_in_the_Footsteps_SB-04-22-56_-_Gita_Nagari_-_June_2005_IDesireTree.mp3", "01.Following_in_the_Footsteps_SB-04-22-56_-_Gita_Nagari_-_June_2005_IDesireTree.mp3")</f>
        <v>01.Following_in_the_Footsteps_SB-04-22-56_-_Gita_Nagari_-_June_2005_IDesireTree.mp3</v>
      </c>
      <c r="D3688" s="24"/>
      <c r="E3688" s="24"/>
    </row>
    <row r="3689">
      <c r="A3689" s="25" t="s">
        <v>18392</v>
      </c>
      <c r="B3689" s="25" t="s">
        <v>18421</v>
      </c>
      <c r="C3689" s="26" t="str">
        <f>HYPERLINK("https://audio.iskcondesiretree.com/02_-_ISKCON_Swamis/ISKCON_Swamis_-_R_to_Y/His_Holiness_Radhanath_Swami/Lectures/01_-_Theme_wise/Following_the_footsteps_of_great_souls/02.Following_in_the_Footsteps_of_Great_Souls_-_Sunday_Feast_-_Mumbai_29-2-04_IDesireT"&amp;"ree.mp3", "02.Following_in_the_Footsteps_of_Great_Souls_-_Sunday_Feast_-_Mumbai_29-2-04_IDesireTree.mp3")</f>
        <v>02.Following_in_the_Footsteps_of_Great_Souls_-_Sunday_Feast_-_Mumbai_29-2-04_IDesireTree.mp3</v>
      </c>
      <c r="D3689" s="24"/>
      <c r="E3689" s="24"/>
    </row>
    <row r="3690">
      <c r="A3690" s="25" t="s">
        <v>18392</v>
      </c>
      <c r="B3690" s="25" t="s">
        <v>18421</v>
      </c>
      <c r="C3690" s="26" t="str">
        <f>HYPERLINK("https://audio.iskcondesiretree.com/02_-_ISKCON_Swamis/ISKCON_Swamis_-_R_to_Y/His_Holiness_Radhanath_Swami/Lectures/01_-_Theme_wise/Following_the_footsteps_of_great_souls/Following_the_Great_Acaryas_-_Bhajan_and_Purport_-_Radhanath_Swami_IDesireTree.mp3", "Following_the_Great_Acaryas_-_Bhajan_and_Purport_-_Radhanath_Swami_IDesireTree.mp3")</f>
        <v>Following_the_Great_Acaryas_-_Bhajan_and_Purport_-_Radhanath_Swami_IDesireTree.mp3</v>
      </c>
      <c r="D3690" s="24"/>
      <c r="E3690" s="24"/>
    </row>
    <row r="3691">
      <c r="A3691" s="25" t="s">
        <v>18392</v>
      </c>
      <c r="B3691" s="25" t="s">
        <v>18422</v>
      </c>
      <c r="C3691" s="26" t="str">
        <f>HYPERLINK("https://audio.iskcondesiretree.com/02_-_ISKCON_Swamis/ISKCON_Swamis_-_R_to_Y/His_Holiness_Radhanath_Swami/Lectures/01_-_Theme_wise/Forgiveness/1989-037_Forgiveness_Lecture_-_Radhanath_Swami_Mumbai_1989-08-29_IDesireTree.mp3", "1989-037_Forgiveness_Lecture_-_Radhanath_Swami_Mumbai_1989-08-29_IDesireTree.mp3")</f>
        <v>1989-037_Forgiveness_Lecture_-_Radhanath_Swami_Mumbai_1989-08-29_IDesireTree.mp3</v>
      </c>
      <c r="D3691" s="24"/>
      <c r="E3691" s="24"/>
    </row>
    <row r="3692">
      <c r="A3692" s="25" t="s">
        <v>18392</v>
      </c>
      <c r="B3692" s="25" t="s">
        <v>18422</v>
      </c>
      <c r="C3692" s="26" t="str">
        <f>HYPERLINK("https://audio.iskcondesiretree.com/02_-_ISKCON_Swamis/ISKCON_Swamis_-_R_to_Y/His_Holiness_Radhanath_Swami/Lectures/01_-_Theme_wise/Forgiveness/1993-137_Power_Of_Forgiveness_Lecture_-_Radhanath_Swami_Mumbai_1993-09-29_IDesireTree.mp3", "1993-137_Power_Of_Forgiveness_Lecture_-_Radhanath_Swami_Mumbai_1993-09-29_IDesireTree.mp3")</f>
        <v>1993-137_Power_Of_Forgiveness_Lecture_-_Radhanath_Swami_Mumbai_1993-09-29_IDesireTree.mp3</v>
      </c>
      <c r="D3692" s="24"/>
      <c r="E3692" s="24"/>
    </row>
    <row r="3693">
      <c r="A3693" s="25" t="s">
        <v>18392</v>
      </c>
      <c r="B3693" s="25" t="s">
        <v>18422</v>
      </c>
      <c r="C3693" s="26" t="str">
        <f>HYPERLINK("https://audio.iskcondesiretree.com/02_-_ISKCON_Swamis/ISKCON_Swamis_-_R_to_Y/His_Holiness_Radhanath_Swami/Lectures/01_-_Theme_wise/Forgiveness/1995-030_Vaishnavas_Forgive_Easily_SB_01-07-44_-_Radhanath_Swami_Mumbai_1995-01-21.mp3", "1995-030_Vaishnavas_Forgive_Easily_SB_01-07-44_-_Radhanath_Swami_Mumbai_1995-01-21.mp3")</f>
        <v>1995-030_Vaishnavas_Forgive_Easily_SB_01-07-44_-_Radhanath_Swami_Mumbai_1995-01-21.mp3</v>
      </c>
      <c r="D3693" s="24"/>
      <c r="E3693" s="24"/>
    </row>
    <row r="3694">
      <c r="A3694" s="25" t="s">
        <v>18392</v>
      </c>
      <c r="B3694" s="25" t="s">
        <v>18422</v>
      </c>
      <c r="C3694" s="26" t="str">
        <f>HYPERLINK("https://audio.iskcondesiretree.com/02_-_ISKCON_Swamis/ISKCON_Swamis_-_R_to_Y/His_Holiness_Radhanath_Swami/Lectures/01_-_Theme_wise/Forgiveness/1995_Draupadi%27s_Exalted_Forgiving_Nature_SB_01-07-44_-_Radhanath_Swami_Mumbai_1995-01-21_IDesireTree.MP3", "1995_Draupadi%27s_Exalted_Forgiving_Nature_SB_01-07-44_-_Radhanath_Swami_Mumbai_1995-01-21_IDesireTree.MP3")</f>
        <v>1995_Draupadi%27s_Exalted_Forgiving_Nature_SB_01-07-44_-_Radhanath_Swami_Mumbai_1995-01-21_IDesireTree.MP3</v>
      </c>
      <c r="D3694" s="24"/>
      <c r="E3694" s="24"/>
    </row>
    <row r="3695">
      <c r="A3695" s="25" t="s">
        <v>18392</v>
      </c>
      <c r="B3695" s="25" t="s">
        <v>18422</v>
      </c>
      <c r="C3695" s="26" t="str">
        <f>HYPERLINK("https://audio.iskcondesiretree.com/02_-_ISKCON_Swamis/ISKCON_Swamis_-_R_to_Y/His_Holiness_Radhanath_Swami/Lectures/01_-_Theme_wise/Forgiveness/1999_Forgivness_-_The_Nature_of_Devotee_SB_09-15-40_-_Radhanath_Swami_1999-08-21_IDesireTree.mp3", "1999_Forgivness_-_The_Nature_of_Devotee_SB_09-15-40_-_Radhanath_Swami_1999-08-21_IDesireTree.mp3")</f>
        <v>1999_Forgivness_-_The_Nature_of_Devotee_SB_09-15-40_-_Radhanath_Swami_1999-08-21_IDesireTree.mp3</v>
      </c>
      <c r="D3695" s="24"/>
      <c r="E3695" s="24"/>
    </row>
    <row r="3696">
      <c r="A3696" s="25" t="s">
        <v>18392</v>
      </c>
      <c r="B3696" s="25" t="s">
        <v>18422</v>
      </c>
      <c r="C3696" s="26" t="str">
        <f>HYPERLINK("https://audio.iskcondesiretree.com/02_-_ISKCON_Swamis/ISKCON_Swamis_-_R_to_Y/His_Holiness_Radhanath_Swami/Lectures/01_-_Theme_wise/Forgiveness/2002-018_What_It_Means_To_Be_Forgiving_SB_01-18-49_-_Radhanath_Swami_Mumbai_2002-01-24_IDesireTree.mp3", "2002-018_What_It_Means_To_Be_Forgiving_SB_01-18-49_-_Radhanath_Swami_Mumbai_2002-01-24_IDesireTree.mp3")</f>
        <v>2002-018_What_It_Means_To_Be_Forgiving_SB_01-18-49_-_Radhanath_Swami_Mumbai_2002-01-24_IDesireTree.mp3</v>
      </c>
      <c r="D3696" s="24"/>
      <c r="E3696" s="24"/>
    </row>
    <row r="3697">
      <c r="A3697" s="25" t="s">
        <v>18392</v>
      </c>
      <c r="B3697" s="25" t="s">
        <v>18422</v>
      </c>
      <c r="C3697" s="26" t="str">
        <f>HYPERLINK("https://audio.iskcondesiretree.com/02_-_ISKCON_Swamis/ISKCON_Swamis_-_R_to_Y/His_Holiness_Radhanath_Swami/Lectures/01_-_Theme_wise/Forgiveness/2004_The_Art_of_Forgiveness_-_Radhanath_Swami_Mumbai_2004-09-184_IDesireTree.mp3", "2004_The_Art_of_Forgiveness_-_Radhanath_Swami_Mumbai_2004-09-184_IDesireTree.mp3")</f>
        <v>2004_The_Art_of_Forgiveness_-_Radhanath_Swami_Mumbai_2004-09-184_IDesireTree.mp3</v>
      </c>
      <c r="D3697" s="24"/>
      <c r="E3697" s="24"/>
    </row>
    <row r="3698">
      <c r="A3698" s="25" t="s">
        <v>18392</v>
      </c>
      <c r="B3698" s="25" t="s">
        <v>18422</v>
      </c>
      <c r="C3698" s="26" t="str">
        <f>HYPERLINK("https://audio.iskcondesiretree.com/02_-_ISKCON_Swamis/ISKCON_Swamis_-_R_to_Y/His_Holiness_Radhanath_Swami/Lectures/01_-_Theme_wise/Forgiveness/The_Power_of_Forgiveness_-_Radhanath_Swami_IDesireTree.mp3", "The_Power_of_Forgiveness_-_Radhanath_Swami_IDesireTree.mp3")</f>
        <v>The_Power_of_Forgiveness_-_Radhanath_Swami_IDesireTree.mp3</v>
      </c>
      <c r="D3698" s="24"/>
      <c r="E3698" s="24"/>
    </row>
    <row r="3699">
      <c r="A3699" s="25" t="s">
        <v>18392</v>
      </c>
      <c r="B3699" s="25" t="s">
        <v>18422</v>
      </c>
      <c r="C3699" s="26" t="str">
        <f>HYPERLINK("https://audio.iskcondesiretree.com/02_-_ISKCON_Swamis/ISKCON_Swamis_-_R_to_Y/His_Holiness_Radhanath_Swami/Lectures/01_-_Theme_wise/Forgiveness/Willingness_to_Take_Humble_Position_%26_Forgive_-_Sunday_Feast_-_Mumbai_24-10-04_IDesireTree.mp3", "Willingness_to_Take_Humble_Position_%26_Forgive_-_Sunday_Feast_-_Mumbai_24-10-04_IDesireTree.mp3")</f>
        <v>Willingness_to_Take_Humble_Position_%26_Forgive_-_Sunday_Feast_-_Mumbai_24-10-04_IDesireTree.mp3</v>
      </c>
      <c r="D3699" s="24"/>
      <c r="E3699" s="24"/>
    </row>
    <row r="3700">
      <c r="A3700" s="25" t="s">
        <v>18392</v>
      </c>
      <c r="B3700" s="25" t="s">
        <v>18423</v>
      </c>
      <c r="C3700" s="26" t="str">
        <f>HYPERLINK("https://audio.iskcondesiretree.com/02_-_ISKCON_Swamis/ISKCON_Swamis_-_R_to_Y/His_Holiness_Radhanath_Swami/Lectures/01_-_Theme_wise/Free_Will/1993-111_Utilising_Free_Will_In_Service_Of_Krishna_SB_02-09-34_-_Radhanath_Swami_Mumbai_1993-06-08_IDesireTree.mp3", "1993-111_Utilising_Free_Will_In_Service_Of_Krishna_SB_02-09-34_-_Radhanath_Swami_Mumbai_1993-06-08_IDesireTree.mp3")</f>
        <v>1993-111_Utilising_Free_Will_In_Service_Of_Krishna_SB_02-09-34_-_Radhanath_Swami_Mumbai_1993-06-08_IDesireTree.mp3</v>
      </c>
      <c r="D3700" s="24"/>
      <c r="E3700" s="24"/>
    </row>
    <row r="3701">
      <c r="A3701" s="25" t="s">
        <v>18392</v>
      </c>
      <c r="B3701" s="25" t="s">
        <v>18423</v>
      </c>
      <c r="C3701" s="26" t="str">
        <f>HYPERLINK("https://audio.iskcondesiretree.com/02_-_ISKCON_Swamis/ISKCON_Swamis_-_R_to_Y/His_Holiness_Radhanath_Swami/Lectures/01_-_Theme_wise/Free_Will/1998-007_Using_Our_Free_Will_Properly_Lecture_-_Radhanath_Swami_Mumbai_1998-01-20_IDesireTree.mp3", "1998-007_Using_Our_Free_Will_Properly_Lecture_-_Radhanath_Swami_Mumbai_1998-01-20_IDesireTree.mp3")</f>
        <v>1998-007_Using_Our_Free_Will_Properly_Lecture_-_Radhanath_Swami_Mumbai_1998-01-20_IDesireTree.mp3</v>
      </c>
      <c r="D3701" s="24"/>
      <c r="E3701" s="24"/>
    </row>
    <row r="3702">
      <c r="A3702" s="25" t="s">
        <v>18392</v>
      </c>
      <c r="B3702" s="25" t="s">
        <v>18424</v>
      </c>
      <c r="C3702" s="26" t="str">
        <f>HYPERLINK("https://audio.iskcondesiretree.com/02_-_ISKCON_Swamis/ISKCON_Swamis_-_R_to_Y/His_Holiness_Radhanath_Swami/Lectures/01_-_Theme_wise/Gaur_Lila-Love_in_Separation/Seminars_-_Gaur_Lila-Love_in_Separation_Part-01_-_Radhanath_Swami_ISKCON_Birmingham.mp3", "Seminars_-_Gaur_Lila-Love_in_Separation_Part-01_-_Radhanath_Swami_ISKCON_Birmingham.mp3")</f>
        <v>Seminars_-_Gaur_Lila-Love_in_Separation_Part-01_-_Radhanath_Swami_ISKCON_Birmingham.mp3</v>
      </c>
      <c r="D3702" s="24"/>
      <c r="E3702" s="24"/>
    </row>
    <row r="3703">
      <c r="A3703" s="25" t="s">
        <v>18392</v>
      </c>
      <c r="B3703" s="25" t="s">
        <v>18424</v>
      </c>
      <c r="C3703" s="26" t="str">
        <f>HYPERLINK("https://audio.iskcondesiretree.com/02_-_ISKCON_Swamis/ISKCON_Swamis_-_R_to_Y/His_Holiness_Radhanath_Swami/Lectures/01_-_Theme_wise/Gaur_Lila-Love_in_Separation/Seminars_-_Gaur_Lila-Love_in_Separation_Part-02_-_Radhanath_Swami_ISKCON_Birmingham.mp3", "Seminars_-_Gaur_Lila-Love_in_Separation_Part-02_-_Radhanath_Swami_ISKCON_Birmingham.mp3")</f>
        <v>Seminars_-_Gaur_Lila-Love_in_Separation_Part-02_-_Radhanath_Swami_ISKCON_Birmingham.mp3</v>
      </c>
      <c r="D3703" s="24"/>
      <c r="E3703" s="24"/>
    </row>
    <row r="3704">
      <c r="A3704" s="25" t="s">
        <v>18392</v>
      </c>
      <c r="B3704" s="25" t="s">
        <v>18424</v>
      </c>
      <c r="C3704" s="26" t="str">
        <f>HYPERLINK("https://audio.iskcondesiretree.com/02_-_ISKCON_Swamis/ISKCON_Swamis_-_R_to_Y/His_Holiness_Radhanath_Swami/Lectures/01_-_Theme_wise/Gaur_Lila-Love_in_Separation/Seminars_-_Gaur_Lila-Love_in_Separation_Part-03_-_Radhanath_Swami_ISKCON_Birmingham.mp3", "Seminars_-_Gaur_Lila-Love_in_Separation_Part-03_-_Radhanath_Swami_ISKCON_Birmingham.mp3")</f>
        <v>Seminars_-_Gaur_Lila-Love_in_Separation_Part-03_-_Radhanath_Swami_ISKCON_Birmingham.mp3</v>
      </c>
      <c r="D3704" s="24"/>
      <c r="E3704" s="24"/>
    </row>
    <row r="3705">
      <c r="A3705" s="25" t="s">
        <v>18392</v>
      </c>
      <c r="B3705" s="25" t="s">
        <v>18424</v>
      </c>
      <c r="C3705" s="26" t="str">
        <f>HYPERLINK("https://audio.iskcondesiretree.com/02_-_ISKCON_Swamis/ISKCON_Swamis_-_R_to_Y/His_Holiness_Radhanath_Swami/Lectures/01_-_Theme_wise/Gaur_Lila-Love_in_Separation/Seminars_-_Gaur_Lila-Love_in_Separation_Part-04_-_Radhanath_Swami_ISKCON_Birmingham.mp3", "Seminars_-_Gaur_Lila-Love_in_Separation_Part-04_-_Radhanath_Swami_ISKCON_Birmingham.mp3")</f>
        <v>Seminars_-_Gaur_Lila-Love_in_Separation_Part-04_-_Radhanath_Swami_ISKCON_Birmingham.mp3</v>
      </c>
      <c r="D3705" s="24"/>
      <c r="E3705" s="24"/>
    </row>
    <row r="3706">
      <c r="A3706" s="25" t="s">
        <v>18392</v>
      </c>
      <c r="B3706" s="25" t="s">
        <v>18425</v>
      </c>
      <c r="C3706" s="26" t="str">
        <f>HYPERLINK("https://audio.iskcondesiretree.com/02_-_ISKCON_Swamis/ISKCON_Swamis_-_R_to_Y/His_Holiness_Radhanath_Swami/Lectures/01_-_Theme_wise/Goal_of_Life/1989-003_The_Goal_Of_Life_BG_2-47_-_Radhanath_Swami_Mumbai_1989-02-17_IDesireTree.mp3", "1989-003_The_Goal_Of_Life_BG_2-47_-_Radhanath_Swami_Mumbai_1989-02-17_IDesireTree.mp3")</f>
        <v>1989-003_The_Goal_Of_Life_BG_2-47_-_Radhanath_Swami_Mumbai_1989-02-17_IDesireTree.mp3</v>
      </c>
      <c r="D3706" s="24"/>
      <c r="E3706" s="24"/>
    </row>
    <row r="3707">
      <c r="A3707" s="25" t="s">
        <v>18392</v>
      </c>
      <c r="B3707" s="25" t="s">
        <v>18425</v>
      </c>
      <c r="C3707" s="26" t="str">
        <f>HYPERLINK("https://audio.iskcondesiretree.com/02_-_ISKCON_Swamis/ISKCON_Swamis_-_R_to_Y/His_Holiness_Radhanath_Swami/Lectures/01_-_Theme_wise/Goal_of_Life/1989-015_Headline_In_Newspaper_SB_01-02-08_-_Radhanath_Swami_Mumbai_1989-07-17_IDesireTree.mp3", "1989-015_Headline_In_Newspaper_SB_01-02-08_-_Radhanath_Swami_Mumbai_1989-07-17_IDesireTree.mp3")</f>
        <v>1989-015_Headline_In_Newspaper_SB_01-02-08_-_Radhanath_Swami_Mumbai_1989-07-17_IDesireTree.mp3</v>
      </c>
      <c r="D3707" s="24"/>
      <c r="E3707" s="24"/>
    </row>
    <row r="3708">
      <c r="A3708" s="25" t="s">
        <v>18392</v>
      </c>
      <c r="B3708" s="25" t="s">
        <v>18425</v>
      </c>
      <c r="C3708" s="26" t="str">
        <f>HYPERLINK("https://audio.iskcondesiretree.com/02_-_ISKCON_Swamis/ISKCON_Swamis_-_R_to_Y/His_Holiness_Radhanath_Swami/Lectures/01_-_Theme_wise/Goal_of_Life/1993-185_Only_By_Realising_The_Goal_Of_Life_CC_Adi-08-63_-_Radhanath_Swami_Mumbai_1993-12-17_IDesireTree.mp3", "1993-185_Only_By_Realising_The_Goal_Of_Life_CC_Adi-08-63_-_Radhanath_Swami_Mumbai_1993-12-17_IDesireTree.mp3")</f>
        <v>1993-185_Only_By_Realising_The_Goal_Of_Life_CC_Adi-08-63_-_Radhanath_Swami_Mumbai_1993-12-17_IDesireTree.mp3</v>
      </c>
      <c r="D3708" s="24"/>
      <c r="E3708" s="24"/>
    </row>
    <row r="3709">
      <c r="A3709" s="25" t="s">
        <v>18392</v>
      </c>
      <c r="B3709" s="25" t="s">
        <v>18425</v>
      </c>
      <c r="C3709" s="26" t="str">
        <f>HYPERLINK("https://audio.iskcondesiretree.com/02_-_ISKCON_Swamis/ISKCON_Swamis_-_R_to_Y/His_Holiness_Radhanath_Swami/Lectures/01_-_Theme_wise/Goal_of_Life/1995-024_The_Supreme_Goal_Of_Life_MT_-_SB_01-02-08_-_Radhanath_Swami_Belgaum_1995-01-16.mp3", "1995-024_The_Supreme_Goal_Of_Life_MT_-_SB_01-02-08_-_Radhanath_Swami_Belgaum_1995-01-16.mp3")</f>
        <v>1995-024_The_Supreme_Goal_Of_Life_MT_-_SB_01-02-08_-_Radhanath_Swami_Belgaum_1995-01-16.mp3</v>
      </c>
      <c r="D3709" s="24"/>
      <c r="E3709" s="24"/>
    </row>
    <row r="3710">
      <c r="A3710" s="25" t="s">
        <v>18392</v>
      </c>
      <c r="B3710" s="25" t="s">
        <v>18425</v>
      </c>
      <c r="C3710" s="26" t="str">
        <f>HYPERLINK("https://audio.iskcondesiretree.com/02_-_ISKCON_Swamis/ISKCON_Swamis_-_R_to_Y/His_Holiness_Radhanath_Swami/Lectures/01_-_Theme_wise/Goal_of_Life/1996-135_What_Is_The_Aim_Of_Life_BG_02-08_-_Radhanath_Swami_Mumbai_1996-09-21_IDesireTree.mp3", "1996-135_What_Is_The_Aim_Of_Life_BG_02-08_-_Radhanath_Swami_Mumbai_1996-09-21_IDesireTree.mp3")</f>
        <v>1996-135_What_Is_The_Aim_Of_Life_BG_02-08_-_Radhanath_Swami_Mumbai_1996-09-21_IDesireTree.mp3</v>
      </c>
      <c r="D3710" s="24"/>
      <c r="E3710" s="24"/>
    </row>
    <row r="3711">
      <c r="A3711" s="25" t="s">
        <v>18392</v>
      </c>
      <c r="B3711" s="25" t="s">
        <v>18426</v>
      </c>
      <c r="C3711" s="26" t="str">
        <f>HYPERLINK("https://audio.iskcondesiretree.com/02_-_ISKCON_Swamis/ISKCON_Swamis_-_R_to_Y/His_Holiness_Radhanath_Swami/Lectures/01_-_Theme_wise/Gratitude/1992-005_I_Am_Eternally_Grateful_To_You_Lecture_-_Radhanath_Swami_Pune_1992-01-04_IDesireTree.mp3", "1992-005_I_Am_Eternally_Grateful_To_You_Lecture_-_Radhanath_Swami_Pune_1992-01-04_IDesireTree.mp3")</f>
        <v>1992-005_I_Am_Eternally_Grateful_To_You_Lecture_-_Radhanath_Swami_Pune_1992-01-04_IDesireTree.mp3</v>
      </c>
      <c r="D3711" s="24"/>
      <c r="E3711" s="24"/>
    </row>
    <row r="3712">
      <c r="A3712" s="25" t="s">
        <v>18392</v>
      </c>
      <c r="B3712" s="25" t="s">
        <v>18426</v>
      </c>
      <c r="C3712" s="26" t="str">
        <f>HYPERLINK("https://audio.iskcondesiretree.com/02_-_ISKCON_Swamis/ISKCON_Swamis_-_R_to_Y/His_Holiness_Radhanath_Swami/Lectures/01_-_Theme_wise/Gratitude/1993-115_Thank_for_Lord_Krsna%27s_Mercy_SB_01-08-38-39_-_Radhanath_Swami_1993-06-12_IDesireTree.mp3", "1993-115_Thank_for_Lord_Krsna%27s_Mercy_SB_01-08-38-39_-_Radhanath_Swami_1993-06-12_IDesireTree.mp3")</f>
        <v>1993-115_Thank_for_Lord_Krsna%27s_Mercy_SB_01-08-38-39_-_Radhanath_Swami_1993-06-12_IDesireTree.mp3</v>
      </c>
      <c r="D3712" s="24"/>
      <c r="E3712" s="24"/>
    </row>
    <row r="3713">
      <c r="A3713" s="25" t="s">
        <v>18392</v>
      </c>
      <c r="B3713" s="25" t="s">
        <v>18426</v>
      </c>
      <c r="C3713" s="26" t="str">
        <f>HYPERLINK("https://audio.iskcondesiretree.com/02_-_ISKCON_Swamis/ISKCON_Swamis_-_R_to_Y/His_Holiness_Radhanath_Swami/Lectures/01_-_Theme_wise/Gratitude/1999-029_Devotee_Must_be_Grateful_SB_03-19-36_-_Radhanath_Swami_Mumbai_1999-06-18_IDesireTree.mp3", "1999-029_Devotee_Must_be_Grateful_SB_03-19-36_-_Radhanath_Swami_Mumbai_1999-06-18_IDesireTree.mp3")</f>
        <v>1999-029_Devotee_Must_be_Grateful_SB_03-19-36_-_Radhanath_Swami_Mumbai_1999-06-18_IDesireTree.mp3</v>
      </c>
      <c r="D3713" s="24"/>
      <c r="E3713" s="24"/>
    </row>
    <row r="3714">
      <c r="A3714" s="25" t="s">
        <v>18392</v>
      </c>
      <c r="B3714" s="25" t="s">
        <v>18426</v>
      </c>
      <c r="C3714" s="26" t="str">
        <f>HYPERLINK("https://audio.iskcondesiretree.com/02_-_ISKCON_Swamis/ISKCON_Swamis_-_R_to_Y/His_Holiness_Radhanath_Swami/Lectures/01_-_Theme_wise/Gratitude/2007_Gratitude_the_Womb_for_Humility_-_Radhanath_Swami_Birla_House_2007-01-07_IDesireTree.mp3", "2007_Gratitude_the_Womb_for_Humility_-_Radhanath_Swami_Birla_House_2007-01-07_IDesireTree.mp3")</f>
        <v>2007_Gratitude_the_Womb_for_Humility_-_Radhanath_Swami_Birla_House_2007-01-07_IDesireTree.mp3</v>
      </c>
      <c r="D3714" s="24"/>
      <c r="E3714" s="24"/>
    </row>
    <row r="3715">
      <c r="A3715" s="25" t="s">
        <v>18392</v>
      </c>
      <c r="B3715" s="25" t="s">
        <v>18426</v>
      </c>
      <c r="C3715" s="26" t="str">
        <f>HYPERLINK("https://audio.iskcondesiretree.com/02_-_ISKCON_Swamis/ISKCON_Swamis_-_R_to_Y/His_Holiness_Radhanath_Swami/Lectures/01_-_Theme_wise/Gratitude/Devotee_Gratefully_Accept_Any_Situation_in_Life_SB_06-12-07_-_Radhanath_Swami_Mumbai_1994-01-25_IDesireTree.MP3", "Devotee_Gratefully_Accept_Any_Situation_in_Life_SB_06-12-07_-_Radhanath_Swami_Mumbai_1994-01-25_IDesireTree.MP3")</f>
        <v>Devotee_Gratefully_Accept_Any_Situation_in_Life_SB_06-12-07_-_Radhanath_Swami_Mumbai_1994-01-25_IDesireTree.MP3</v>
      </c>
      <c r="D3715" s="24"/>
      <c r="E3715" s="24"/>
    </row>
    <row r="3716">
      <c r="A3716" s="25" t="s">
        <v>18392</v>
      </c>
      <c r="B3716" s="25" t="s">
        <v>18426</v>
      </c>
      <c r="C3716" s="26" t="str">
        <f>HYPERLINK("https://audio.iskcondesiretree.com/02_-_ISKCON_Swamis/ISKCON_Swamis_-_R_to_Y/His_Holiness_Radhanath_Swami/Lectures/01_-_Theme_wise/Gratitude/Humility_%26_Gratitude-Must_To_Receive_Krishna%27s_Mercy_-_Jagannath_Misra_Festival_-_Mumbai_IDesireTree.mp3", "Humility_%26_Gratitude-Must_To_Receive_Krishna%27s_Mercy_-_Jagannath_Misra_Festival_-_Mumbai_IDesireTree.mp3")</f>
        <v>Humility_%26_Gratitude-Must_To_Receive_Krishna%27s_Mercy_-_Jagannath_Misra_Festival_-_Mumbai_IDesireTree.mp3</v>
      </c>
      <c r="D3716" s="24"/>
      <c r="E3716" s="24"/>
    </row>
    <row r="3717">
      <c r="A3717" s="25" t="s">
        <v>18392</v>
      </c>
      <c r="B3717" s="25" t="s">
        <v>18426</v>
      </c>
      <c r="C3717" s="26" t="str">
        <f>HYPERLINK("https://audio.iskcondesiretree.com/02_-_ISKCON_Swamis/ISKCON_Swamis_-_R_to_Y/His_Holiness_Radhanath_Swami/Lectures/01_-_Theme_wise/Gratitude/Learning_to_be_Grateful_from_Dhruva_Maharaj_SB-04-12-32_-_Gita_Nagari_02-06-04_IDesireTree.mp3", "Learning_to_be_Grateful_from_Dhruva_Maharaj_SB-04-12-32_-_Gita_Nagari_02-06-04_IDesireTree.mp3")</f>
        <v>Learning_to_be_Grateful_from_Dhruva_Maharaj_SB-04-12-32_-_Gita_Nagari_02-06-04_IDesireTree.mp3</v>
      </c>
      <c r="D3717" s="24"/>
      <c r="E3717" s="24"/>
    </row>
    <row r="3718">
      <c r="A3718" s="25" t="s">
        <v>18392</v>
      </c>
      <c r="B3718" s="25" t="s">
        <v>18426</v>
      </c>
      <c r="C3718" s="26" t="str">
        <f>HYPERLINK("https://audio.iskcondesiretree.com/02_-_ISKCON_Swamis/ISKCON_Swamis_-_R_to_Y/His_Holiness_Radhanath_Swami/Lectures/01_-_Theme_wise/Gratitude/Offering_Tears_of_Gratitude_and_Appreciation_-_Radhanath_Swami_IDesireTree.mp3", "Offering_Tears_of_Gratitude_and_Appreciation_-_Radhanath_Swami_IDesireTree.mp3")</f>
        <v>Offering_Tears_of_Gratitude_and_Appreciation_-_Radhanath_Swami_IDesireTree.mp3</v>
      </c>
      <c r="D3718" s="24"/>
      <c r="E3718" s="24"/>
    </row>
    <row r="3719">
      <c r="A3719" s="25" t="s">
        <v>18392</v>
      </c>
      <c r="B3719" s="25" t="s">
        <v>18426</v>
      </c>
      <c r="C3719" s="26" t="str">
        <f>HYPERLINK("https://audio.iskcondesiretree.com/02_-_ISKCON_Swamis/ISKCON_Swamis_-_R_to_Y/His_Holiness_Radhanath_Swami/Lectures/01_-_Theme_wise/Gratitude/Serve_with_Humility_and_Gratitude-Concluding_lecture_-_Radhanath_Swami_IDesireTree.mp3", "Serve_with_Humility_and_Gratitude-Concluding_lecture_-_Radhanath_Swami_IDesireTree.mp3")</f>
        <v>Serve_with_Humility_and_Gratitude-Concluding_lecture_-_Radhanath_Swami_IDesireTree.mp3</v>
      </c>
      <c r="D3719" s="24"/>
      <c r="E3719" s="24"/>
    </row>
    <row r="3720">
      <c r="A3720" s="25" t="s">
        <v>18392</v>
      </c>
      <c r="B3720" s="25" t="s">
        <v>18427</v>
      </c>
      <c r="C3720" s="26" t="str">
        <f>HYPERLINK("https://audio.iskcondesiretree.com/02_-_ISKCON_Swamis/ISKCON_Swamis_-_R_to_Y/His_Holiness_Radhanath_Swami/Lectures/01_-_Theme_wise/Great_Vaisnava_Acharyas/01_-_Goswami/Appearance_of_Srila_Gopala_Bhatta_Goswami_-_Radhanath_Swami_IDesireTree.mp3", "01_-_Goswami")</f>
        <v>01_-_Goswami</v>
      </c>
      <c r="D3720" s="24"/>
      <c r="E3720" s="24"/>
    </row>
    <row r="3721">
      <c r="A3721" s="25" t="s">
        <v>18392</v>
      </c>
      <c r="B3721" s="25" t="s">
        <v>18427</v>
      </c>
      <c r="C3721" s="26" t="str">
        <f>HYPERLINK("https://audio.iskcondesiretree.com/02_-_ISKCON_Swamis/ISKCON_Swamis_-_R_to_Y/His_Holiness_Radhanath_Swami/Lectures/01_-_Theme_wise/Great_Vaisnava_Acharyas/01_-_Goswami/Divine_Pastimes_of_the_Goswamis_-_Radhanath_Swami_IDesireTree.mp3", "01_-_Goswami")</f>
        <v>01_-_Goswami</v>
      </c>
      <c r="D3721" s="24"/>
      <c r="E3721" s="24"/>
    </row>
    <row r="3722">
      <c r="A3722" s="25" t="s">
        <v>18392</v>
      </c>
      <c r="B3722" s="25" t="s">
        <v>18427</v>
      </c>
      <c r="C3722" s="26" t="str">
        <f>HYPERLINK("https://audio.iskcondesiretree.com/02_-_ISKCON_Swamis/ISKCON_Swamis_-_R_to_Y/His_Holiness_Radhanath_Swami/Lectures/01_-_Theme_wise/Great_Vaisnava_Acharyas/01_-_Goswami/Glories_of_Haridas_Thakur_and_Sanatana_Goswami_-_Radhanath_Swami_IDesireTree.mp3", "01_-_Goswami")</f>
        <v>01_-_Goswami</v>
      </c>
      <c r="D3722" s="24"/>
      <c r="E3722" s="24"/>
    </row>
    <row r="3723">
      <c r="A3723" s="25" t="s">
        <v>18392</v>
      </c>
      <c r="B3723" s="25" t="s">
        <v>18427</v>
      </c>
      <c r="C3723" s="26" t="str">
        <f>HYPERLINK("https://audio.iskcondesiretree.com/02_-_ISKCON_Swamis/ISKCON_Swamis_-_R_to_Y/His_Holiness_Radhanath_Swami/Lectures/01_-_Theme_wise/Great_Vaisnava_Acharyas/01_-_Goswami/Glories_of_Lord_Vaman_Dev_%26_Srila_Jiva_Goswami_SB-03-10-18_-_Mumbai_15-09-05_IDesireT"&amp;"ree.MP3", "01_-_Goswami")</f>
        <v>01_-_Goswami</v>
      </c>
      <c r="D3723" s="24"/>
      <c r="E3723" s="24"/>
    </row>
    <row r="3724">
      <c r="A3724" s="25" t="s">
        <v>18392</v>
      </c>
      <c r="B3724" s="25" t="s">
        <v>18427</v>
      </c>
      <c r="C3724" s="26" t="str">
        <f>HYPERLINK("https://audio.iskcondesiretree.com/02_-_ISKCON_Swamis/ISKCON_Swamis_-_R_to_Y/His_Holiness_Radhanath_Swami/Lectures/01_-_Theme_wise/Great_Vaisnava_Acharyas/01_-_Goswami/Glorification_of_Jaydev_Goswami_-_Radhanath_Swami_IDesireTree.mp3", "01_-_Goswami")</f>
        <v>01_-_Goswami</v>
      </c>
      <c r="D3724" s="24"/>
      <c r="E3724" s="24"/>
    </row>
    <row r="3725">
      <c r="A3725" s="25" t="s">
        <v>18392</v>
      </c>
      <c r="B3725" s="25" t="s">
        <v>18427</v>
      </c>
      <c r="C3725" s="26" t="str">
        <f>HYPERLINK("https://audio.iskcondesiretree.com/02_-_ISKCON_Swamis/ISKCON_Swamis_-_R_to_Y/His_Holiness_Radhanath_Swami/Lectures/01_-_Theme_wise/Great_Vaisnava_Acharyas/01_-_Goswami/Glorification_of_Rupa_Goswami_-_Radhanath_Swami_IDesireTree.MP3", "01_-_Goswami")</f>
        <v>01_-_Goswami</v>
      </c>
      <c r="D3725" s="24"/>
      <c r="E3725" s="24"/>
    </row>
    <row r="3726">
      <c r="A3726" s="25" t="s">
        <v>18392</v>
      </c>
      <c r="B3726" s="25" t="s">
        <v>18427</v>
      </c>
      <c r="C3726" s="26" t="str">
        <f>HYPERLINK("https://audio.iskcondesiretree.com/02_-_ISKCON_Swamis/ISKCON_Swamis_-_R_to_Y/His_Holiness_Radhanath_Swami/Lectures/01_-_Theme_wise/Great_Vaisnava_Acharyas/01_-_Goswami/Jayadev_Goswami_-_Radhanath_Swami_IDesireTree.mp3", "01_-_Goswami")</f>
        <v>01_-_Goswami</v>
      </c>
      <c r="D3726" s="24"/>
      <c r="E3726" s="24"/>
    </row>
    <row r="3727">
      <c r="A3727" s="25" t="s">
        <v>18392</v>
      </c>
      <c r="B3727" s="25" t="s">
        <v>18427</v>
      </c>
      <c r="C3727" s="26" t="str">
        <f>HYPERLINK("https://audio.iskcondesiretree.com/02_-_ISKCON_Swamis/ISKCON_Swamis_-_R_to_Y/His_Holiness_Radhanath_Swami/Lectures/01_-_Theme_wise/Great_Vaisnava_Acharyas/01_-_Goswami/Life_and_Teachings_of_Srila_Rupa_Goswami-01_-_Radhanath_Swami_IDesireTree.mp3", "01_-_Goswami")</f>
        <v>01_-_Goswami</v>
      </c>
      <c r="D3727" s="24"/>
      <c r="E3727" s="24"/>
    </row>
    <row r="3728">
      <c r="A3728" s="25" t="s">
        <v>18392</v>
      </c>
      <c r="B3728" s="25" t="s">
        <v>18427</v>
      </c>
      <c r="C3728" s="26" t="str">
        <f>HYPERLINK("https://audio.iskcondesiretree.com/02_-_ISKCON_Swamis/ISKCON_Swamis_-_R_to_Y/His_Holiness_Radhanath_Swami/Lectures/01_-_Theme_wise/Great_Vaisnava_Acharyas/01_-_Goswami/Life_and_Teachings_of_Srila_Rupa_Goswami-02_-_Radhanath_Swami_IDesireTree.mp3", "01_-_Goswami")</f>
        <v>01_-_Goswami</v>
      </c>
      <c r="D3728" s="24"/>
      <c r="E3728" s="24"/>
    </row>
    <row r="3729">
      <c r="A3729" s="25" t="s">
        <v>18392</v>
      </c>
      <c r="B3729" s="25" t="s">
        <v>18427</v>
      </c>
      <c r="C3729" s="26" t="str">
        <f>HYPERLINK("https://audio.iskcondesiretree.com/02_-_ISKCON_Swamis/ISKCON_Swamis_-_R_to_Y/His_Holiness_Radhanath_Swami/Lectures/01_-_Theme_wise/Great_Vaisnava_Acharyas/01_-_Goswami/Life_and_Teachings_of_Srila_Sanatana_das_Goswami-01_-_Radhanath_Swami_IDesireTree.mp3", "01_-_Goswami")</f>
        <v>01_-_Goswami</v>
      </c>
      <c r="D3729" s="24"/>
      <c r="E3729" s="24"/>
    </row>
    <row r="3730">
      <c r="A3730" s="25" t="s">
        <v>18392</v>
      </c>
      <c r="B3730" s="25" t="s">
        <v>18427</v>
      </c>
      <c r="C3730" s="26" t="str">
        <f>HYPERLINK("https://audio.iskcondesiretree.com/02_-_ISKCON_Swamis/ISKCON_Swamis_-_R_to_Y/His_Holiness_Radhanath_Swami/Lectures/01_-_Theme_wise/Great_Vaisnava_Acharyas/01_-_Goswami/Life_and_Teachings_of_Srila_Sanatana_das_Goswami-02_-_Radhanath_Swami_IDesireTree.mp3", "01_-_Goswami")</f>
        <v>01_-_Goswami</v>
      </c>
      <c r="D3730" s="24"/>
      <c r="E3730" s="24"/>
    </row>
    <row r="3731">
      <c r="A3731" s="25" t="s">
        <v>18392</v>
      </c>
      <c r="B3731" s="25" t="s">
        <v>18427</v>
      </c>
      <c r="C3731" s="26" t="str">
        <f>HYPERLINK("https://audio.iskcondesiretree.com/02_-_ISKCON_Swamis/ISKCON_Swamis_-_R_to_Y/His_Holiness_Radhanath_Swami/Lectures/01_-_Theme_wise/Great_Vaisnava_Acharyas/01_-_Goswami/Lord_Caitanya_empowers_Sanatana_Goswami_-_Radhanath_Swami_IDesireTree.MP3", "01_-_Goswami")</f>
        <v>01_-_Goswami</v>
      </c>
      <c r="D3731" s="24"/>
      <c r="E3731" s="24"/>
    </row>
    <row r="3732">
      <c r="A3732" s="25" t="s">
        <v>18392</v>
      </c>
      <c r="B3732" s="25" t="s">
        <v>18427</v>
      </c>
      <c r="C3732" s="26" t="str">
        <f>HYPERLINK("https://audio.iskcondesiretree.com/02_-_ISKCON_Swamis/ISKCON_Swamis_-_R_to_Y/His_Holiness_Radhanath_Swami/Lectures/01_-_Theme_wise/Great_Vaisnava_Acharyas/01_-_Goswami/Pastimes_of_Srila_Gopala_Bhatt_Goswami_-_Radhanath_Swami_IDesireTree.mp3", "01_-_Goswami")</f>
        <v>01_-_Goswami</v>
      </c>
      <c r="D3732" s="24"/>
      <c r="E3732" s="24"/>
    </row>
    <row r="3733">
      <c r="A3733" s="25" t="s">
        <v>18392</v>
      </c>
      <c r="B3733" s="25" t="s">
        <v>18427</v>
      </c>
      <c r="C3733" s="26" t="str">
        <f>HYPERLINK("https://audio.iskcondesiretree.com/02_-_ISKCON_Swamis/ISKCON_Swamis_-_R_to_Y/His_Holiness_Radhanath_Swami/Lectures/01_-_Theme_wise/Great_Vaisnava_Acharyas/01_-_Goswami/Pastimes_of_Srila_Raghunath_Bhatt_Goswami_-_Radhanath_Swami_IDesireTree.mp3", "01_-_Goswami")</f>
        <v>01_-_Goswami</v>
      </c>
      <c r="D3733" s="24"/>
      <c r="E3733" s="24"/>
    </row>
    <row r="3734">
      <c r="A3734" s="25" t="s">
        <v>18392</v>
      </c>
      <c r="B3734" s="25" t="s">
        <v>18427</v>
      </c>
      <c r="C3734" s="26" t="str">
        <f>HYPERLINK("https://audio.iskcondesiretree.com/02_-_ISKCON_Swamis/ISKCON_Swamis_-_R_to_Y/His_Holiness_Radhanath_Swami/Lectures/01_-_Theme_wise/Great_Vaisnava_Acharyas/01_-_Goswami/Pastimes_of_Srila_Raghunath_Das_Goswami_-_Radhanath_Swami_IDesireTree.mp3", "01_-_Goswami")</f>
        <v>01_-_Goswami</v>
      </c>
      <c r="D3734" s="24"/>
      <c r="E3734" s="24"/>
    </row>
    <row r="3735">
      <c r="A3735" s="25" t="s">
        <v>18392</v>
      </c>
      <c r="B3735" s="25" t="s">
        <v>18427</v>
      </c>
      <c r="C3735" s="26" t="str">
        <f>HYPERLINK("https://audio.iskcondesiretree.com/02_-_ISKCON_Swamis/ISKCON_Swamis_-_R_to_Y/His_Holiness_Radhanath_Swami/Lectures/01_-_Theme_wise/Great_Vaisnava_Acharyas/01_-_Goswami/Pastimes_of_Srila_Rupa_Goswami-01_-_Radhanath_Swami_IDesireTree.mp3", "01_-_Goswami")</f>
        <v>01_-_Goswami</v>
      </c>
      <c r="D3735" s="24"/>
      <c r="E3735" s="24"/>
    </row>
    <row r="3736">
      <c r="A3736" s="25" t="s">
        <v>18392</v>
      </c>
      <c r="B3736" s="25" t="s">
        <v>18427</v>
      </c>
      <c r="C3736" s="26" t="str">
        <f>HYPERLINK("https://audio.iskcondesiretree.com/02_-_ISKCON_Swamis/ISKCON_Swamis_-_R_to_Y/His_Holiness_Radhanath_Swami/Lectures/01_-_Theme_wise/Great_Vaisnava_Acharyas/01_-_Goswami/Pastimes_of_Srila_Rupa_Goswami-02_-_Radhanath_Swami_IDesireTree.mp3", "01_-_Goswami")</f>
        <v>01_-_Goswami</v>
      </c>
      <c r="D3736" s="24"/>
      <c r="E3736" s="24"/>
    </row>
    <row r="3737">
      <c r="A3737" s="25" t="s">
        <v>18392</v>
      </c>
      <c r="B3737" s="25" t="s">
        <v>18427</v>
      </c>
      <c r="C3737" s="26" t="str">
        <f>HYPERLINK("https://audio.iskcondesiretree.com/02_-_ISKCON_Swamis/ISKCON_Swamis_-_R_to_Y/His_Holiness_Radhanath_Swami/Lectures/01_-_Theme_wise/Great_Vaisnava_Acharyas/01_-_Goswami/Renunciation_of_Raghunath_das_Goswami_-_Radhanath_Swami_IDesireTree.mp3", "01_-_Goswami")</f>
        <v>01_-_Goswami</v>
      </c>
      <c r="D3737" s="24"/>
      <c r="E3737" s="24"/>
    </row>
    <row r="3738">
      <c r="A3738" s="25" t="s">
        <v>18392</v>
      </c>
      <c r="B3738" s="25" t="s">
        <v>18427</v>
      </c>
      <c r="C3738" s="26" t="str">
        <f>HYPERLINK("https://audio.iskcondesiretree.com/02_-_ISKCON_Swamis/ISKCON_Swamis_-_R_to_Y/His_Holiness_Radhanath_Swami/Lectures/01_-_Theme_wise/Great_Vaisnava_Acharyas/01_-_Goswami/Rupa_Goswami%27s_Beautiful_Bhajan_Kutir_-_Radhanath_Swami_IDesireTree.mp3", "01_-_Goswami")</f>
        <v>01_-_Goswami</v>
      </c>
      <c r="D3738" s="24"/>
      <c r="E3738" s="24"/>
    </row>
    <row r="3739">
      <c r="A3739" s="25" t="s">
        <v>18392</v>
      </c>
      <c r="B3739" s="25" t="s">
        <v>18427</v>
      </c>
      <c r="C3739" s="26" t="str">
        <f>HYPERLINK("https://audio.iskcondesiretree.com/02_-_ISKCON_Swamis/ISKCON_Swamis_-_R_to_Y/His_Holiness_Radhanath_Swami/Lectures/01_-_Theme_wise/Great_Vaisnava_Acharyas/01_-_Goswami/Sri_Rupa_Manjari_Pada_-_Radhanath_Swami_IDesireTree.mp3", "01_-_Goswami")</f>
        <v>01_-_Goswami</v>
      </c>
      <c r="D3739" s="24"/>
      <c r="E3739" s="24"/>
    </row>
    <row r="3740">
      <c r="A3740" s="25" t="s">
        <v>18392</v>
      </c>
      <c r="B3740" s="25" t="s">
        <v>18427</v>
      </c>
      <c r="C3740" s="26" t="str">
        <f>HYPERLINK("https://audio.iskcondesiretree.com/02_-_ISKCON_Swamis/ISKCON_Swamis_-_R_to_Y/His_Holiness_Radhanath_Swami/Lectures/01_-_Theme_wise/Great_Vaisnava_Acharyas/01_-_Goswami/Supreme_humility_of_Sanatana_Goswami_-_Radhanath_Swami_IDesireTree.mp3", "01_-_Goswami")</f>
        <v>01_-_Goswami</v>
      </c>
      <c r="D3740" s="24"/>
      <c r="E3740" s="24"/>
    </row>
    <row r="3741">
      <c r="A3741" s="25" t="s">
        <v>18392</v>
      </c>
      <c r="B3741" s="25" t="s">
        <v>18427</v>
      </c>
      <c r="C3741" s="26" t="str">
        <f>HYPERLINK("https://audio.iskcondesiretree.com/02_-_ISKCON_Swamis/ISKCON_Swamis_-_R_to_Y/His_Holiness_Radhanath_Swami/Lectures/01_-_Theme_wise/Great_Vaisnava_Acharyas/01_-_Goswami/The_wealth_of_Srila_Raghunath_Goswami_-_Radhanath_Swami_IDesireTree.mp3", "01_-_Goswami")</f>
        <v>01_-_Goswami</v>
      </c>
      <c r="D3741" s="24"/>
      <c r="E3741" s="24"/>
    </row>
    <row r="3742">
      <c r="A3742" s="25" t="s">
        <v>18392</v>
      </c>
      <c r="B3742" s="25" t="s">
        <v>18427</v>
      </c>
      <c r="C3742" s="26" t="str">
        <f>HYPERLINK("https://audio.iskcondesiretree.com/02_-_ISKCON_Swamis/ISKCON_Swamis_-_R_to_Y/His_Holiness_Radhanath_Swami/Lectures/01_-_Theme_wise/Great_Vaisnava_Acharyas/01_-_Goswami/The_wealth_of_Srila_Rupa_Goswami_-_Radhanath_Swami_IDesireTree.MP3", "01_-_Goswami")</f>
        <v>01_-_Goswami</v>
      </c>
      <c r="D3742" s="24"/>
      <c r="E3742" s="24"/>
    </row>
    <row r="3743">
      <c r="A3743" s="25" t="s">
        <v>18392</v>
      </c>
      <c r="B3743" s="25" t="s">
        <v>18427</v>
      </c>
      <c r="C3743" s="26" t="str">
        <f>HYPERLINK("https://audio.iskcondesiretree.com/02_-_ISKCON_Swamis/ISKCON_Swamis_-_R_to_Y/His_Holiness_Radhanath_Swami/Lectures/01_-_Theme_wise/Great_Vaisnava_Acharyas/01_-_Goswami/The_Wonderful_Gift_of_Rupa_%26_Sanatana_-_07-09-02_London_IDesireTree.mp3", "01_-_Goswami")</f>
        <v>01_-_Goswami</v>
      </c>
      <c r="D3743" s="24"/>
      <c r="E3743" s="24"/>
    </row>
    <row r="3744">
      <c r="A3744" s="25" t="s">
        <v>18392</v>
      </c>
      <c r="B3744" s="25" t="s">
        <v>18427</v>
      </c>
      <c r="C3744" s="26" t="str">
        <f>HYPERLINK("https://audio.iskcondesiretree.com/02_-_ISKCON_Swamis/ISKCON_Swamis_-_R_to_Y/His_Holiness_Radhanath_Swami/Lectures/01_-_Theme_wise/Great_Vaisnava_Acharyas/02_-_Srila_Bhaktisiddantha_Sarasvathi_Thakur/05-Glorifying_A_Ray_of_Vishnu_IDesireTree.mp3", "02_-_Srila_Bhaktisiddantha_Sarasvathi_Thakur")</f>
        <v>02_-_Srila_Bhaktisiddantha_Sarasvathi_Thakur</v>
      </c>
      <c r="D3744" s="24"/>
      <c r="E3744" s="24"/>
    </row>
    <row r="3745">
      <c r="A3745" s="25" t="s">
        <v>18392</v>
      </c>
      <c r="B3745" s="25" t="s">
        <v>18427</v>
      </c>
      <c r="C3745" s="26" t="str">
        <f>HYPERLINK("https://audio.iskcondesiretree.com/02_-_ISKCON_Swamis/ISKCON_Swamis_-_R_to_Y/His_Holiness_Radhanath_Swami/Lectures/01_-_Theme_wise/Great_Vaisnava_Acharyas/02_-_Srila_Bhaktisiddantha_Sarasvathi_Thakur/06-Glories_of_Bhakti_Siddhanta_Saraswati_IDesireTree.mp"&amp;"3", "02_-_Srila_Bhaktisiddantha_Sarasvathi_Thakur")</f>
        <v>02_-_Srila_Bhaktisiddantha_Sarasvathi_Thakur</v>
      </c>
      <c r="D3745" s="24"/>
      <c r="E3745" s="24"/>
    </row>
    <row r="3746">
      <c r="A3746" s="25" t="s">
        <v>18392</v>
      </c>
      <c r="B3746" s="25" t="s">
        <v>18427</v>
      </c>
      <c r="C3746" s="26" t="str">
        <f>HYPERLINK("https://audio.iskcondesiretree.com/02_-_ISKCON_Swamis/ISKCON_Swamis_-_R_to_Y/His_Holiness_Radhanath_Swami/Lectures/01_-_Theme_wise/Great_Vaisnava_Acharyas/03_-_Srila_Bhaktivinoda_Thakur/01.Greatness_of_Srila_Bhaktivinode_Thakur_-_Mumbai_92-09-09_IDesireTr"&amp;"ee.mp3", "03_-_Srila_Bhaktivinoda_Thakur")</f>
        <v>03_-_Srila_Bhaktivinoda_Thakur</v>
      </c>
      <c r="D3746" s="24"/>
      <c r="E3746" s="24"/>
    </row>
    <row r="3747">
      <c r="A3747" s="25" t="s">
        <v>18392</v>
      </c>
      <c r="B3747" s="25" t="s">
        <v>18427</v>
      </c>
      <c r="C3747" s="26" t="str">
        <f>HYPERLINK("https://audio.iskcondesiretree.com/02_-_ISKCON_Swamis/ISKCON_Swamis_-_R_to_Y/His_Holiness_Radhanath_Swami/Lectures/01_-_Theme_wise/Great_Vaisnava_Acharyas/03_-_Srila_Bhaktivinoda_Thakur/02.Teachings_of_Bhaktivinode_Thakur-01_-_23-12-01_Mumbai_IDesireTree."&amp;"mp3", "03_-_Srila_Bhaktivinoda_Thakur")</f>
        <v>03_-_Srila_Bhaktivinoda_Thakur</v>
      </c>
      <c r="D3747" s="24"/>
      <c r="E3747" s="24"/>
    </row>
    <row r="3748">
      <c r="A3748" s="25" t="s">
        <v>18392</v>
      </c>
      <c r="B3748" s="25" t="s">
        <v>18427</v>
      </c>
      <c r="C3748" s="26" t="str">
        <f>HYPERLINK("https://audio.iskcondesiretree.com/02_-_ISKCON_Swamis/ISKCON_Swamis_-_R_to_Y/His_Holiness_Radhanath_Swami/Lectures/01_-_Theme_wise/Great_Vaisnava_Acharyas/03_-_Srila_Bhaktivinoda_Thakur/03.Teachings_of_Bhaktivinode_Thakur-02_IDesireTree.mp3", "03_-_Srila_Bhaktivinoda_Thakur")</f>
        <v>03_-_Srila_Bhaktivinoda_Thakur</v>
      </c>
      <c r="D3748" s="24"/>
      <c r="E3748" s="24"/>
    </row>
    <row r="3749">
      <c r="A3749" s="25" t="s">
        <v>18392</v>
      </c>
      <c r="B3749" s="25" t="s">
        <v>18427</v>
      </c>
      <c r="C3749" s="26" t="str">
        <f>HYPERLINK("https://audio.iskcondesiretree.com/02_-_ISKCON_Swamis/ISKCON_Swamis_-_R_to_Y/His_Holiness_Radhanath_Swami/Lectures/01_-_Theme_wise/Great_Vaisnava_Acharyas/03_-_Srila_Bhaktivinoda_Thakur/04.Bhakti_Vinode_Thakur%27s_Life_Story_IDesireTree.mp3", "03_-_Srila_Bhaktivinoda_Thakur")</f>
        <v>03_-_Srila_Bhaktivinoda_Thakur</v>
      </c>
      <c r="D3749" s="24"/>
      <c r="E3749" s="24"/>
    </row>
    <row r="3750">
      <c r="A3750" s="25" t="s">
        <v>18392</v>
      </c>
      <c r="B3750" s="25" t="s">
        <v>18427</v>
      </c>
      <c r="C3750" s="26" t="str">
        <f>HYPERLINK("https://audio.iskcondesiretree.com/02_-_ISKCON_Swamis/ISKCON_Swamis_-_R_to_Y/His_Holiness_Radhanath_Swami/Lectures/01_-_Theme_wise/Great_Vaisnava_Acharyas/03_-_Srila_Bhaktivinoda_Thakur/05.Bhaktivinod_thakur%27s_house_-_2003_IDesireTree.mp3", "03_-_Srila_Bhaktivinoda_Thakur")</f>
        <v>03_-_Srila_Bhaktivinoda_Thakur</v>
      </c>
      <c r="D3750" s="24"/>
      <c r="E3750" s="24"/>
    </row>
    <row r="3751">
      <c r="A3751" s="25" t="s">
        <v>18392</v>
      </c>
      <c r="B3751" s="25" t="s">
        <v>18427</v>
      </c>
      <c r="C3751" s="26" t="str">
        <f>HYPERLINK("https://audio.iskcondesiretree.com/02_-_ISKCON_Swamis/ISKCON_Swamis_-_R_to_Y/His_Holiness_Radhanath_Swami/Lectures/01_-_Theme_wise/Great_Vaisnava_Acharyas/04_-_Srila_Haridas_Thakur/01.Glories_of_Srila_Haridas_-_Radhanath_Swami_IDesireTree.MP3", "04_-_Srila_Haridas_Thakur")</f>
        <v>04_-_Srila_Haridas_Thakur</v>
      </c>
      <c r="D3751" s="24"/>
      <c r="E3751" s="24"/>
    </row>
    <row r="3752">
      <c r="A3752" s="25" t="s">
        <v>18392</v>
      </c>
      <c r="B3752" s="25" t="s">
        <v>18427</v>
      </c>
      <c r="C3752" s="26" t="str">
        <f>HYPERLINK("https://audio.iskcondesiretree.com/02_-_ISKCON_Swamis/ISKCON_Swamis_-_R_to_Y/His_Holiness_Radhanath_Swami/Lectures/01_-_Theme_wise/Great_Vaisnava_Acharyas/04_-_Srila_Haridas_Thakur/02.Begging_Haridas_Thakura_for_a_Higher_Taste_IDesireTree.mp3", "04_-_Srila_Haridas_Thakur")</f>
        <v>04_-_Srila_Haridas_Thakur</v>
      </c>
      <c r="D3752" s="24"/>
      <c r="E3752" s="24"/>
    </row>
    <row r="3753">
      <c r="A3753" s="25" t="s">
        <v>18392</v>
      </c>
      <c r="B3753" s="25" t="s">
        <v>18427</v>
      </c>
      <c r="C3753" s="26" t="str">
        <f>HYPERLINK("https://audio.iskcondesiretree.com/02_-_ISKCON_Swamis/ISKCON_Swamis_-_R_to_Y/His_Holiness_Radhanath_Swami/Lectures/01_-_Theme_wise/Great_Vaisnava_Acharyas/04_-_Srila_Haridas_Thakur/03.Life_%26_Teachings_of_Srila_Haridas_Thakur.mp3", "04_-_Srila_Haridas_Thakur")</f>
        <v>04_-_Srila_Haridas_Thakur</v>
      </c>
      <c r="D3753" s="24"/>
      <c r="E3753" s="24"/>
    </row>
    <row r="3754">
      <c r="A3754" s="25" t="s">
        <v>18392</v>
      </c>
      <c r="B3754" s="25" t="s">
        <v>18427</v>
      </c>
      <c r="C3754" s="26" t="str">
        <f>HYPERLINK("https://audio.iskcondesiretree.com/02_-_ISKCON_Swamis/ISKCON_Swamis_-_R_to_Y/His_Holiness_Radhanath_Swami/Lectures/01_-_Theme_wise/Great_Vaisnava_Acharyas/04_-_Srila_Haridas_Thakur/04.Glories_of_Srila_Haridas_Thakur_IDesireTree.mp3", "04_-_Srila_Haridas_Thakur")</f>
        <v>04_-_Srila_Haridas_Thakur</v>
      </c>
      <c r="D3754" s="24"/>
      <c r="E3754" s="24"/>
    </row>
    <row r="3755">
      <c r="A3755" s="25" t="s">
        <v>18392</v>
      </c>
      <c r="B3755" s="25" t="s">
        <v>18427</v>
      </c>
      <c r="C3755" s="26" t="str">
        <f>HYPERLINK("https://audio.iskcondesiretree.com/02_-_ISKCON_Swamis/ISKCON_Swamis_-_R_to_Y/His_Holiness_Radhanath_Swami/Lectures/01_-_Theme_wise/Great_Vaisnava_Acharyas/04_-_Srila_Haridas_Thakur/05.Glories_of_Srila_Haridas_Thakur-01.mp3", "04_-_Srila_Haridas_Thakur")</f>
        <v>04_-_Srila_Haridas_Thakur</v>
      </c>
      <c r="D3755" s="24"/>
      <c r="E3755" s="24"/>
    </row>
    <row r="3756">
      <c r="A3756" s="25" t="s">
        <v>18392</v>
      </c>
      <c r="B3756" s="25" t="s">
        <v>18427</v>
      </c>
      <c r="C3756" s="26" t="str">
        <f>HYPERLINK("https://audio.iskcondesiretree.com/02_-_ISKCON_Swamis/ISKCON_Swamis_-_R_to_Y/His_Holiness_Radhanath_Swami/Lectures/01_-_Theme_wise/Great_Vaisnava_Acharyas/04_-_Srila_Haridas_Thakur/06.Glories_of_Srila_Haridas_Thakur-02.mp3", "04_-_Srila_Haridas_Thakur")</f>
        <v>04_-_Srila_Haridas_Thakur</v>
      </c>
      <c r="D3756" s="24"/>
      <c r="E3756" s="24"/>
    </row>
    <row r="3757">
      <c r="A3757" s="25" t="s">
        <v>18392</v>
      </c>
      <c r="B3757" s="25" t="s">
        <v>18427</v>
      </c>
      <c r="C3757" s="26" t="str">
        <f>HYPERLINK("https://audio.iskcondesiretree.com/02_-_ISKCON_Swamis/ISKCON_Swamis_-_R_to_Y/His_Holiness_Radhanath_Swami/Lectures/01_-_Theme_wise/Great_Vaisnava_Acharyas/04_-_Srila_Haridas_Thakur/07.Glories_of_Haridas_Thakur_and_Sanatana_Goswami_IDesireTree.MP3", "04_-_Srila_Haridas_Thakur")</f>
        <v>04_-_Srila_Haridas_Thakur</v>
      </c>
      <c r="D3757" s="24"/>
      <c r="E3757" s="24"/>
    </row>
    <row r="3758">
      <c r="A3758" s="25" t="s">
        <v>18392</v>
      </c>
      <c r="B3758" s="25" t="s">
        <v>18427</v>
      </c>
      <c r="C3758" s="26" t="str">
        <f>HYPERLINK("https://audio.iskcondesiretree.com/02_-_ISKCON_Swamis/ISKCON_Swamis_-_R_to_Y/His_Holiness_Radhanath_Swami/Lectures/01_-_Theme_wise/Great_Vaisnava_Acharyas/04_-_Srila_Haridas_Thakur/08.Glories_of_Haridas_Thakur_-_Radhanath_Swami_IDesireTree.mp3", "04_-_Srila_Haridas_Thakur")</f>
        <v>04_-_Srila_Haridas_Thakur</v>
      </c>
      <c r="D3758" s="24"/>
      <c r="E3758" s="24"/>
    </row>
    <row r="3759">
      <c r="A3759" s="25" t="s">
        <v>18392</v>
      </c>
      <c r="B3759" s="25" t="s">
        <v>18427</v>
      </c>
      <c r="C3759" s="26" t="str">
        <f>HYPERLINK("https://audio.iskcondesiretree.com/02_-_ISKCON_Swamis/ISKCON_Swamis_-_R_to_Y/His_Holiness_Radhanath_Swami/Lectures/01_-_Theme_wise/Great_Vaisnava_Acharyas/04_-_Srila_Haridas_Thakur/09.Passing_of_Haridas_Thakur_-_Radhanath_Swami_IDesireTree.mp3", "04_-_Srila_Haridas_Thakur")</f>
        <v>04_-_Srila_Haridas_Thakur</v>
      </c>
      <c r="D3759" s="24"/>
      <c r="E3759" s="24"/>
    </row>
    <row r="3760">
      <c r="A3760" s="25" t="s">
        <v>18392</v>
      </c>
      <c r="B3760" s="25" t="s">
        <v>18427</v>
      </c>
      <c r="C3760" s="26" t="str">
        <f>HYPERLINK("https://audio.iskcondesiretree.com/02_-_ISKCON_Swamis/ISKCON_Swamis_-_R_to_Y/His_Holiness_Radhanath_Swami/Lectures/01_-_Theme_wise/Great_Vaisnava_Acharyas/04_-_Srila_Haridas_Thakur/10.Glories_of_Srila_Haridas_Thakur_SB-05-14-06.MP3", "04_-_Srila_Haridas_Thakur")</f>
        <v>04_-_Srila_Haridas_Thakur</v>
      </c>
      <c r="D3760" s="24"/>
      <c r="E3760" s="24"/>
    </row>
    <row r="3761">
      <c r="A3761" s="25" t="s">
        <v>18392</v>
      </c>
      <c r="B3761" s="25" t="s">
        <v>18427</v>
      </c>
      <c r="C3761" s="26" t="str">
        <f>HYPERLINK("https://audio.iskcondesiretree.com/02_-_ISKCON_Swamis/ISKCON_Swamis_-_R_to_Y/His_Holiness_Radhanath_Swami/Lectures/01_-_Theme_wise/Great_Vaisnava_Acharyas/05_-_Srila_Madhavendra_Puri/01.Madhavendrapuri_-_Radhanath_Swami_IDesireTree.MP3", "05_-_Srila_Madhavendra_Puri")</f>
        <v>05_-_Srila_Madhavendra_Puri</v>
      </c>
      <c r="D3761" s="24"/>
      <c r="E3761" s="24"/>
    </row>
    <row r="3762">
      <c r="A3762" s="25" t="s">
        <v>18392</v>
      </c>
      <c r="B3762" s="25" t="s">
        <v>18427</v>
      </c>
      <c r="C3762" s="26" t="str">
        <f>HYPERLINK("https://audio.iskcondesiretree.com/02_-_ISKCON_Swamis/ISKCON_Swamis_-_R_to_Y/His_Holiness_Radhanath_Swami/Lectures/01_-_Theme_wise/Great_Vaisnava_Acharyas/05_-_Srila_Madhavendra_Puri/02.Glories_of_Srila_Madhavendra_Puri-01_IDesireTree.mp3", "05_-_Srila_Madhavendra_Puri")</f>
        <v>05_-_Srila_Madhavendra_Puri</v>
      </c>
      <c r="D3762" s="24"/>
      <c r="E3762" s="24"/>
    </row>
    <row r="3763">
      <c r="A3763" s="25" t="s">
        <v>18392</v>
      </c>
      <c r="B3763" s="25" t="s">
        <v>18427</v>
      </c>
      <c r="C3763" s="26" t="str">
        <f>HYPERLINK("https://audio.iskcondesiretree.com/02_-_ISKCON_Swamis/ISKCON_Swamis_-_R_to_Y/His_Holiness_Radhanath_Swami/Lectures/01_-_Theme_wise/Great_Vaisnava_Acharyas/05_-_Srila_Madhavendra_Puri/03.Glories_Of_Srila_Madhavendra_Puri-02_IDesireTree.mp3", "05_-_Srila_Madhavendra_Puri")</f>
        <v>05_-_Srila_Madhavendra_Puri</v>
      </c>
      <c r="D3763" s="24"/>
      <c r="E3763" s="24"/>
    </row>
    <row r="3764">
      <c r="A3764" s="25" t="s">
        <v>18392</v>
      </c>
      <c r="B3764" s="25" t="s">
        <v>18427</v>
      </c>
      <c r="C3764" s="26" t="str">
        <f>HYPERLINK("https://audio.iskcondesiretree.com/02_-_ISKCON_Swamis/ISKCON_Swamis_-_R_to_Y/His_Holiness_Radhanath_Swami/Lectures/01_-_Theme_wise/Great_Vaisnava_Acharyas/06_-_Sripada_Madhavacharya/01.Sripad_Madhavacharya_-_CC_madhya-09-245_-_Mumbai_15-02-97_IDesireTree."&amp;"mp3", "06_-_Sripada_Madhavacharya")</f>
        <v>06_-_Sripada_Madhavacharya</v>
      </c>
      <c r="D3764" s="24"/>
      <c r="E3764" s="24"/>
    </row>
    <row r="3765">
      <c r="A3765" s="25" t="s">
        <v>18392</v>
      </c>
      <c r="B3765" s="25" t="s">
        <v>18427</v>
      </c>
      <c r="C3765" s="26" t="str">
        <f>HYPERLINK("https://audio.iskcondesiretree.com/02_-_ISKCON_Swamis/ISKCON_Swamis_-_R_to_Y/His_Holiness_Radhanath_Swami/Lectures/01_-_Theme_wise/Great_Vaisnava_Acharyas/06_-_Sripada_Madhavacharya/02.Sripad_Madhvacarya_-_Radhanath_Swami_2007-01-27_IDesireTree.MP3", "06_-_Sripada_Madhavacharya")</f>
        <v>06_-_Sripada_Madhavacharya</v>
      </c>
      <c r="D3765" s="24"/>
      <c r="E3765" s="24"/>
    </row>
    <row r="3766">
      <c r="A3766" s="25" t="s">
        <v>18392</v>
      </c>
      <c r="B3766" s="25" t="s">
        <v>18427</v>
      </c>
      <c r="C3766" s="26" t="str">
        <f>HYPERLINK("https://audio.iskcondesiretree.com/02_-_ISKCON_Swamis/ISKCON_Swamis_-_R_to_Y/His_Holiness_Radhanath_Swami/Lectures/01_-_Theme_wise/Great_Vaisnava_Acharyas/06_-_Sripada_Madhavacharya/03.Sripad_Madhavacarya_-_Radhanath_Swami_IDesireTree.mp3", "06_-_Sripada_Madhavacharya")</f>
        <v>06_-_Sripada_Madhavacharya</v>
      </c>
      <c r="D3766" s="24"/>
      <c r="E3766" s="24"/>
    </row>
    <row r="3767">
      <c r="A3767" s="25" t="s">
        <v>18392</v>
      </c>
      <c r="B3767" s="25" t="s">
        <v>18427</v>
      </c>
      <c r="C3767" s="26" t="str">
        <f>HYPERLINK("https://audio.iskcondesiretree.com/02_-_ISKCON_Swamis/ISKCON_Swamis_-_R_to_Y/His_Holiness_Radhanath_Swami/Lectures/01_-_Theme_wise/Great_Vaisnava_Acharyas/07_-_Srila_Narottamadas_Thakur/07.The_Glories_Of_Srila_Narottama_Das_Thakur_%26_King_Kulashekar_IDes"&amp;"ireTree.mp3", "07_-_Srila_Narottamadas_Thakur")</f>
        <v>07_-_Srila_Narottamadas_Thakur</v>
      </c>
      <c r="D3767" s="24"/>
      <c r="E3767" s="24"/>
    </row>
    <row r="3768">
      <c r="A3768" s="25" t="s">
        <v>18392</v>
      </c>
      <c r="B3768" s="25" t="s">
        <v>18427</v>
      </c>
      <c r="C3768" s="26" t="str">
        <f>HYPERLINK("https://audio.iskcondesiretree.com/02_-_ISKCON_Swamis/ISKCON_Swamis_-_R_to_Y/His_Holiness_Radhanath_Swami/Lectures/01_-_Theme_wise/Great_Vaisnava_Acharyas/07_-_Srila_Narottamadas_Thakur/08.The_Early_Years_of_Srila_Narottama_Das_Thakura_IDesireTree.mp3", "07_-_Srila_Narottamadas_Thakur")</f>
        <v>07_-_Srila_Narottamadas_Thakur</v>
      </c>
      <c r="D3768" s="24"/>
      <c r="E3768" s="24"/>
    </row>
    <row r="3769">
      <c r="A3769" s="25" t="s">
        <v>18392</v>
      </c>
      <c r="B3769" s="25" t="s">
        <v>18427</v>
      </c>
      <c r="C3769" s="26" t="str">
        <f>HYPERLINK("https://audio.iskcondesiretree.com/02_-_ISKCON_Swamis/ISKCON_Swamis_-_R_to_Y/His_Holiness_Radhanath_Swami/Lectures/01_-_Theme_wise/Great_Vaisnava_Acharyas/07_-_Srila_Narottamadas_Thakur/09.Narottama_Das_Associates_with_Great_Souls_IDesireTree.mp3", "07_-_Srila_Narottamadas_Thakur")</f>
        <v>07_-_Srila_Narottamadas_Thakur</v>
      </c>
      <c r="D3769" s="24"/>
      <c r="E3769" s="24"/>
    </row>
    <row r="3770">
      <c r="A3770" s="25" t="s">
        <v>18392</v>
      </c>
      <c r="B3770" s="25" t="s">
        <v>18427</v>
      </c>
      <c r="C3770" s="26" t="str">
        <f>HYPERLINK("https://audio.iskcondesiretree.com/02_-_ISKCON_Swamis/ISKCON_Swamis_-_R_to_Y/His_Holiness_Radhanath_Swami/Lectures/01_-_Theme_wise/Great_Vaisnava_Acharyas/07_-_Srila_Narottamadas_Thakur/10.Life_%26_Teachings_of_Narottama_Das_Thakur_-_17-10-00_IDesireTree."&amp;"mp3", "07_-_Srila_Narottamadas_Thakur")</f>
        <v>07_-_Srila_Narottamadas_Thakur</v>
      </c>
      <c r="D3770" s="24"/>
      <c r="E3770" s="24"/>
    </row>
    <row r="3771">
      <c r="A3771" s="25" t="s">
        <v>18392</v>
      </c>
      <c r="B3771" s="25" t="s">
        <v>18427</v>
      </c>
      <c r="C3771" s="26" t="str">
        <f>HYPERLINK("https://audio.iskcondesiretree.com/02_-_ISKCON_Swamis/ISKCON_Swamis_-_R_to_Y/His_Holiness_Radhanath_Swami/Lectures/01_-_Theme_wise/Great_Vaisnava_Acharyas/07_-_Srila_Narottamadas_Thakur/11.The_Preaching_of_Narottama_Das_Thakura_IDesireTree.mp3", "07_-_Srila_Narottamadas_Thakur")</f>
        <v>07_-_Srila_Narottamadas_Thakur</v>
      </c>
      <c r="D3771" s="24"/>
      <c r="E3771" s="24"/>
    </row>
    <row r="3772">
      <c r="A3772" s="25" t="s">
        <v>18392</v>
      </c>
      <c r="B3772" s="25" t="s">
        <v>18427</v>
      </c>
      <c r="C3772" s="26" t="str">
        <f>HYPERLINK("https://audio.iskcondesiretree.com/02_-_ISKCON_Swamis/ISKCON_Swamis_-_R_to_Y/His_Holiness_Radhanath_Swami/Lectures/01_-_Theme_wise/Great_Vaisnava_Acharyas/07_-_Srila_Narottamadas_Thakur/12.The_Final_Pastimes_of_Srila_Narottama_Das_Thakura_IDesireTree.mp3", "07_-_Srila_Narottamadas_Thakur")</f>
        <v>07_-_Srila_Narottamadas_Thakur</v>
      </c>
      <c r="D3772" s="24"/>
      <c r="E3772" s="24"/>
    </row>
    <row r="3773">
      <c r="A3773" s="25" t="s">
        <v>18392</v>
      </c>
      <c r="B3773" s="25" t="s">
        <v>18427</v>
      </c>
      <c r="C3773" s="26" t="str">
        <f>HYPERLINK("https://audio.iskcondesiretree.com/02_-_ISKCON_Swamis/ISKCON_Swamis_-_R_to_Y/His_Holiness_Radhanath_Swami/Lectures/01_-_Theme_wise/Great_Vaisnava_Acharyas/07_-_Srila_Narottamadas_Thakur/13.Narottam_Das_Thakur_-_Radhanath_Swami_IDesireTree.mp3", "07_-_Srila_Narottamadas_Thakur")</f>
        <v>07_-_Srila_Narottamadas_Thakur</v>
      </c>
      <c r="D3773" s="24"/>
      <c r="E3773" s="24"/>
    </row>
    <row r="3774">
      <c r="A3774" s="25" t="s">
        <v>18392</v>
      </c>
      <c r="B3774" s="25" t="s">
        <v>18427</v>
      </c>
      <c r="C3774" s="26" t="str">
        <f>HYPERLINK("https://audio.iskcondesiretree.com/02_-_ISKCON_Swamis/ISKCON_Swamis_-_R_to_Y/His_Holiness_Radhanath_Swami/Lectures/01_-_Theme_wise/Great_Vaisnava_Acharyas/08_-_Sripada_Ramanujacharya/02.Principles_of_Bhakti_%26_Disappearance_of_Ramanujacarya_IDesireTree.m"&amp;"p3", "08_-_Sripada_Ramanujacharya")</f>
        <v>08_-_Sripada_Ramanujacharya</v>
      </c>
      <c r="D3774" s="24"/>
      <c r="E3774" s="24"/>
    </row>
    <row r="3775">
      <c r="A3775" s="25" t="s">
        <v>18392</v>
      </c>
      <c r="B3775" s="25" t="s">
        <v>18427</v>
      </c>
      <c r="C3775" s="26" t="str">
        <f>HYPERLINK("https://audio.iskcondesiretree.com/02_-_ISKCON_Swamis/ISKCON_Swamis_-_R_to_Y/His_Holiness_Radhanath_Swami/Lectures/01_-_Theme_wise/Great_Vaisnava_Acharyas/08_-_Sripada_Ramanujacharya/03.Ramanuja_Accepts_Sannyas_-_Radhanath_Swami_IDesireTree.mp3", "08_-_Sripada_Ramanujacharya")</f>
        <v>08_-_Sripada_Ramanujacharya</v>
      </c>
      <c r="D3775" s="24"/>
      <c r="E3775" s="24"/>
    </row>
    <row r="3776">
      <c r="A3776" s="25" t="s">
        <v>18392</v>
      </c>
      <c r="B3776" s="25" t="s">
        <v>18427</v>
      </c>
      <c r="C3776" s="26" t="str">
        <f>HYPERLINK("https://audio.iskcondesiretree.com/02_-_ISKCON_Swamis/ISKCON_Swamis_-_R_to_Y/His_Holiness_Radhanath_Swami/Lectures/01_-_Theme_wise/Great_Vaisnava_Acharyas/08_-_Sripada_Ramanujacharya/04.Ramanuja%27s_pastimes_-_Sri_Rangam_-_Radhanath_Swami_IDesireTree.mp3", "08_-_Sripada_Ramanujacharya")</f>
        <v>08_-_Sripada_Ramanujacharya</v>
      </c>
      <c r="D3776" s="24"/>
      <c r="E3776" s="24"/>
    </row>
    <row r="3777">
      <c r="A3777" s="25" t="s">
        <v>18392</v>
      </c>
      <c r="B3777" s="25" t="s">
        <v>18427</v>
      </c>
      <c r="C3777" s="26" t="str">
        <f>HYPERLINK("https://audio.iskcondesiretree.com/02_-_ISKCON_Swamis/ISKCON_Swamis_-_R_to_Y/His_Holiness_Radhanath_Swami/Lectures/01_-_Theme_wise/Great_Vaisnava_Acharyas/08_-_Sripada_Ramanujacharya/05.Ramanujacarya_-_Emblem_of_complete_Surrender_%26_Humility_IDesireTree"&amp;".mp3", "08_-_Sripada_Ramanujacharya")</f>
        <v>08_-_Sripada_Ramanujacharya</v>
      </c>
      <c r="D3777" s="24"/>
      <c r="E3777" s="24"/>
    </row>
    <row r="3778">
      <c r="A3778" s="25" t="s">
        <v>18392</v>
      </c>
      <c r="B3778" s="25" t="s">
        <v>18428</v>
      </c>
      <c r="C3778" s="26" t="str">
        <f>HYPERLINK("https://audio.iskcondesiretree.com/02_-_ISKCON_Swamis/ISKCON_Swamis_-_R_to_Y/His_Holiness_Radhanath_Swami/Lectures/01_-_Theme_wise/Happiness/01.Heavenly_Pleasure_Vs_Spiritual_Pleasure_SB_05-17-10-11_-_Radhanath_Swami_Mumbai_2005-12-11_IDesireTree.mp3", "01.Heavenly_Pleasure_Vs_Spiritual_Pleasure_SB_05-17-10-11_-_Radhanath_Swami_Mumbai_2005-12-11_IDesireTree.mp3")</f>
        <v>01.Heavenly_Pleasure_Vs_Spiritual_Pleasure_SB_05-17-10-11_-_Radhanath_Swami_Mumbai_2005-12-11_IDesireTree.mp3</v>
      </c>
      <c r="D3778" s="24"/>
      <c r="E3778" s="24"/>
    </row>
    <row r="3779">
      <c r="A3779" s="25" t="s">
        <v>18392</v>
      </c>
      <c r="B3779" s="25" t="s">
        <v>18428</v>
      </c>
      <c r="C3779" s="26" t="str">
        <f>HYPERLINK("https://audio.iskcondesiretree.com/02_-_ISKCON_Swamis/ISKCON_Swamis_-_R_to_Y/His_Holiness_Radhanath_Swami/Lectures/01_-_Theme_wise/Happiness/02.Quest_for_Inner_Happiness_-_Radhanath_Swami_Chicago_2004-04-24_IDesireTree.mp3", "02.Quest_for_Inner_Happiness_-_Radhanath_Swami_Chicago_2004-04-24_IDesireTree.mp3")</f>
        <v>02.Quest_for_Inner_Happiness_-_Radhanath_Swami_Chicago_2004-04-24_IDesireTree.mp3</v>
      </c>
      <c r="D3779" s="24"/>
      <c r="E3779" s="24"/>
    </row>
    <row r="3780">
      <c r="A3780" s="25" t="s">
        <v>18392</v>
      </c>
      <c r="B3780" s="25" t="s">
        <v>18428</v>
      </c>
      <c r="C3780" s="26" t="str">
        <f>HYPERLINK("https://audio.iskcondesiretree.com/02_-_ISKCON_Swamis/ISKCON_Swamis_-_R_to_Y/His_Holiness_Radhanath_Swami/Lectures/01_-_Theme_wise/Happiness/03.The_Secret_of_Achieving_True_Happiness_-_Radhanath_Swami_Nigdi_2005-01-09_IDesireTree.mp3", "03.The_Secret_of_Achieving_True_Happiness_-_Radhanath_Swami_Nigdi_2005-01-09_IDesireTree.mp3")</f>
        <v>03.The_Secret_of_Achieving_True_Happiness_-_Radhanath_Swami_Nigdi_2005-01-09_IDesireTree.mp3</v>
      </c>
      <c r="D3780" s="24"/>
      <c r="E3780" s="24"/>
    </row>
    <row r="3781">
      <c r="A3781" s="25" t="s">
        <v>18392</v>
      </c>
      <c r="B3781" s="25" t="s">
        <v>18428</v>
      </c>
      <c r="C3781" s="26" t="str">
        <f>HYPERLINK("https://audio.iskcondesiretree.com/02_-_ISKCON_Swamis/ISKCON_Swamis_-_R_to_Y/His_Holiness_Radhanath_Swami/Lectures/01_-_Theme_wise/Happiness/1991-015_Eternal_Joy_Of_Soul_SB_09-04-46-47_Radhanath_Swami_Mumbai_1991-02-09_IDesireTree.mp3", "1991-015_Eternal_Joy_Of_Soul_SB_09-04-46-47_Radhanath_Swami_Mumbai_1991-02-09_IDesireTree.mp3")</f>
        <v>1991-015_Eternal_Joy_Of_Soul_SB_09-04-46-47_Radhanath_Swami_Mumbai_1991-02-09_IDesireTree.mp3</v>
      </c>
      <c r="D3781" s="24"/>
      <c r="E3781" s="24"/>
    </row>
    <row r="3782">
      <c r="A3782" s="25" t="s">
        <v>18392</v>
      </c>
      <c r="B3782" s="25" t="s">
        <v>18428</v>
      </c>
      <c r="C3782" s="26" t="str">
        <f>HYPERLINK("https://audio.iskcondesiretree.com/02_-_ISKCON_Swamis/ISKCON_Swamis_-_R_to_Y/His_Holiness_Radhanath_Swami/Lectures/01_-_Theme_wise/Happiness/1997-038_Real_Happiness_BG_06-28_-_Radhanath_Swami_Mumbai_1997-02-11_IDesireTree.mp3", "1997-038_Real_Happiness_BG_06-28_-_Radhanath_Swami_Mumbai_1997-02-11_IDesireTree.mp3")</f>
        <v>1997-038_Real_Happiness_BG_06-28_-_Radhanath_Swami_Mumbai_1997-02-11_IDesireTree.mp3</v>
      </c>
      <c r="D3782" s="24"/>
      <c r="E3782" s="24"/>
    </row>
    <row r="3783">
      <c r="A3783" s="25" t="s">
        <v>18392</v>
      </c>
      <c r="B3783" s="25" t="s">
        <v>18428</v>
      </c>
      <c r="C3783" s="26" t="str">
        <f>HYPERLINK("https://audio.iskcondesiretree.com/02_-_ISKCON_Swamis/ISKCON_Swamis_-_R_to_Y/His_Holiness_Radhanath_Swami/Lectures/01_-_Theme_wise/Happiness/1997-092_Market_Place_Of_Happiness_BG_04-06_Radhanath_Swami_Mumbai_1997-08-30_IDesireTree.mp3", "1997-092_Market_Place_Of_Happiness_BG_04-06_Radhanath_Swami_Mumbai_1997-08-30_IDesireTree.mp3")</f>
        <v>1997-092_Market_Place_Of_Happiness_BG_04-06_Radhanath_Swami_Mumbai_1997-08-30_IDesireTree.mp3</v>
      </c>
      <c r="D3783" s="24"/>
      <c r="E3783" s="24"/>
    </row>
    <row r="3784">
      <c r="A3784" s="25" t="s">
        <v>18392</v>
      </c>
      <c r="B3784" s="25" t="s">
        <v>18428</v>
      </c>
      <c r="C3784" s="26" t="str">
        <f>HYPERLINK("https://audio.iskcondesiretree.com/02_-_ISKCON_Swamis/ISKCON_Swamis_-_R_to_Y/His_Holiness_Radhanath_Swami/Lectures/01_-_Theme_wise/Happiness/1998-060_Real_Happiness_is_Krishna_Consiousness_SB_03-07-40_Radhanath_Swami_Mumbai_1998-05-03_IDesireTree.mp3", "1998-060_Real_Happiness_is_Krishna_Consiousness_SB_03-07-40_Radhanath_Swami_Mumbai_1998-05-03_IDesireTree.mp3")</f>
        <v>1998-060_Real_Happiness_is_Krishna_Consiousness_SB_03-07-40_Radhanath_Swami_Mumbai_1998-05-03_IDesireTree.mp3</v>
      </c>
      <c r="D3784" s="24"/>
      <c r="E3784" s="24"/>
    </row>
    <row r="3785">
      <c r="A3785" s="25" t="s">
        <v>18392</v>
      </c>
      <c r="B3785" s="25" t="s">
        <v>18428</v>
      </c>
      <c r="C3785" s="26" t="str">
        <f>HYPERLINK("https://audio.iskcondesiretree.com/02_-_ISKCON_Swamis/ISKCON_Swamis_-_R_to_Y/His_Holiness_Radhanath_Swami/Lectures/01_-_Theme_wise/Happiness/1999-042_Happiness_in_Krishna_Consciousness_BG_09-13_Radhanath_Swami_Mumbai_199-07-10_IDesireTree.mp3", "1999-042_Happiness_in_Krishna_Consciousness_BG_09-13_Radhanath_Swami_Mumbai_199-07-10_IDesireTree.mp3")</f>
        <v>1999-042_Happiness_in_Krishna_Consciousness_BG_09-13_Radhanath_Swami_Mumbai_199-07-10_IDesireTree.mp3</v>
      </c>
      <c r="D3785" s="24"/>
      <c r="E3785" s="24"/>
    </row>
    <row r="3786">
      <c r="A3786" s="25" t="s">
        <v>18392</v>
      </c>
      <c r="B3786" s="25" t="s">
        <v>18428</v>
      </c>
      <c r="C3786" s="26" t="str">
        <f>HYPERLINK("https://audio.iskcondesiretree.com/02_-_ISKCON_Swamis/ISKCON_Swamis_-_R_to_Y/His_Holiness_Radhanath_Swami/Lectures/01_-_Theme_wise/Happiness/2000-026_Unlimited_Happiness_by_Surrendering_to_Krsna_SB_01_-_Radhanath_Swami_IDesireTree.mp3", "2000-026_Unlimited_Happiness_by_Surrendering_to_Krsna_SB_01_-_Radhanath_Swami_IDesireTree.mp3")</f>
        <v>2000-026_Unlimited_Happiness_by_Surrendering_to_Krsna_SB_01_-_Radhanath_Swami_IDesireTree.mp3</v>
      </c>
      <c r="D3786" s="24"/>
      <c r="E3786" s="24"/>
    </row>
    <row r="3787">
      <c r="A3787" s="25" t="s">
        <v>18392</v>
      </c>
      <c r="B3787" s="25" t="s">
        <v>18428</v>
      </c>
      <c r="C3787" s="26" t="str">
        <f>HYPERLINK("https://audio.iskcondesiretree.com/02_-_ISKCON_Swamis/ISKCON_Swamis_-_R_to_Y/His_Holiness_Radhanath_Swami/Lectures/01_-_Theme_wise/Happiness/2001-011_Understanding_What_Is_Real_Happiness_BG_-_Radhanath_Swami_IDesireTree.mp3", "2001-011_Understanding_What_Is_Real_Happiness_BG_-_Radhanath_Swami_IDesireTree.mp3")</f>
        <v>2001-011_Understanding_What_Is_Real_Happiness_BG_-_Radhanath_Swami_IDesireTree.mp3</v>
      </c>
      <c r="D3787" s="24"/>
      <c r="E3787" s="24"/>
    </row>
    <row r="3788">
      <c r="A3788" s="25" t="s">
        <v>18392</v>
      </c>
      <c r="B3788" s="25" t="s">
        <v>18429</v>
      </c>
      <c r="C3788" s="26" t="str">
        <f>HYPERLINK("https://audio.iskcondesiretree.com/02_-_ISKCON_Swamis/ISKCON_Swamis_-_R_to_Y/His_Holiness_Radhanath_Swami/Lectures/01_-_Theme_wise/Heart/01.Transforming_Garage_Like_Heart_Into_Vaikuntha_-_Radhanath_Swami_Mumbai_2004-09-10_IDesireTree.mp3", "01.Transforming_Garage_Like_Heart_Into_Vaikuntha_-_Radhanath_Swami_Mumbai_2004-09-10_IDesireTree.mp3")</f>
        <v>01.Transforming_Garage_Like_Heart_Into_Vaikuntha_-_Radhanath_Swami_Mumbai_2004-09-10_IDesireTree.mp3</v>
      </c>
      <c r="D3788" s="24"/>
      <c r="E3788" s="24"/>
    </row>
    <row r="3789">
      <c r="A3789" s="25" t="s">
        <v>18392</v>
      </c>
      <c r="B3789" s="25" t="s">
        <v>18429</v>
      </c>
      <c r="C3789" s="26" t="str">
        <f>HYPERLINK("https://audio.iskcondesiretree.com/02_-_ISKCON_Swamis/ISKCON_Swamis_-_R_to_Y/His_Holiness_Radhanath_Swami/Lectures/01_-_Theme_wise/Heart/02.Bhakti_The_Wealth_of_Heart_SB_05-03-02_-_Radhanath_Swami_Mumbai_2004-12-26_IDesireTree.mp3", "02.Bhakti_The_Wealth_of_Heart_SB_05-03-02_-_Radhanath_Swami_Mumbai_2004-12-26_IDesireTree.mp3")</f>
        <v>02.Bhakti_The_Wealth_of_Heart_SB_05-03-02_-_Radhanath_Swami_Mumbai_2004-12-26_IDesireTree.mp3</v>
      </c>
      <c r="D3789" s="24"/>
      <c r="E3789" s="24"/>
    </row>
    <row r="3790">
      <c r="A3790" s="25" t="s">
        <v>18392</v>
      </c>
      <c r="B3790" s="25" t="s">
        <v>18429</v>
      </c>
      <c r="C3790" s="26" t="str">
        <f>HYPERLINK("https://audio.iskcondesiretree.com/02_-_ISKCON_Swamis/ISKCON_Swamis_-_R_to_Y/His_Holiness_Radhanath_Swami/Lectures/01_-_Theme_wise/Heart/03.Lord_Imprisioned_in_the_Heart_of_His_Devotee_-_Radhanath_Swami_Chicago_2005_IDesireTree.mp3", "03.Lord_Imprisioned_in_the_Heart_of_His_Devotee_-_Radhanath_Swami_Chicago_2005_IDesireTree.mp3")</f>
        <v>03.Lord_Imprisioned_in_the_Heart_of_His_Devotee_-_Radhanath_Swami_Chicago_2005_IDesireTree.mp3</v>
      </c>
      <c r="D3790" s="24"/>
      <c r="E3790" s="24"/>
    </row>
    <row r="3791">
      <c r="A3791" s="25" t="s">
        <v>18392</v>
      </c>
      <c r="B3791" s="25" t="s">
        <v>18429</v>
      </c>
      <c r="C3791" s="26" t="str">
        <f>HYPERLINK("https://audio.iskcondesiretree.com/02_-_ISKCON_Swamis/ISKCON_Swamis_-_R_to_Y/His_Holiness_Radhanath_Swami/Lectures/01_-_Theme_wise/Heart/04.Exchange_of_Hearts_SB-01-16-34_-_Radhanath_Swami_Chicago_2005_IDesireTree.mp3", "04.Exchange_of_Hearts_SB-01-16-34_-_Radhanath_Swami_Chicago_2005_IDesireTree.mp3")</f>
        <v>04.Exchange_of_Hearts_SB-01-16-34_-_Radhanath_Swami_Chicago_2005_IDesireTree.mp3</v>
      </c>
      <c r="D3791" s="24"/>
      <c r="E3791" s="24"/>
    </row>
    <row r="3792">
      <c r="A3792" s="25" t="s">
        <v>18392</v>
      </c>
      <c r="B3792" s="25" t="s">
        <v>18429</v>
      </c>
      <c r="C3792" s="26" t="str">
        <f>HYPERLINK("https://audio.iskcondesiretree.com/02_-_ISKCON_Swamis/ISKCON_Swamis_-_R_to_Y/His_Holiness_Radhanath_Swami/Lectures/01_-_Theme_wise/Heart/05.The_Real_Treasure_in_Our_Own_Heart_-_Radhanath_Swami_Copenhagen_1999-08-03_IDesireTree.mp3", "05.The_Real_Treasure_in_Our_Own_Heart_-_Radhanath_Swami_Copenhagen_1999-08-03_IDesireTree.mp3")</f>
        <v>05.The_Real_Treasure_in_Our_Own_Heart_-_Radhanath_Swami_Copenhagen_1999-08-03_IDesireTree.mp3</v>
      </c>
      <c r="D3792" s="24"/>
      <c r="E3792" s="24"/>
    </row>
    <row r="3793">
      <c r="A3793" s="25" t="s">
        <v>18392</v>
      </c>
      <c r="B3793" s="25" t="s">
        <v>18429</v>
      </c>
      <c r="C3793" s="26" t="str">
        <f>HYPERLINK("https://audio.iskcondesiretree.com/02_-_ISKCON_Swamis/ISKCON_Swamis_-_R_to_Y/His_Holiness_Radhanath_Swami/Lectures/01_-_Theme_wise/Heart/06.Poverty_of_the_Heart_-_Radhanath_Swami_IDesireTree.mp3", "06.Poverty_of_the_Heart_-_Radhanath_Swami_IDesireTree.mp3")</f>
        <v>06.Poverty_of_the_Heart_-_Radhanath_Swami_IDesireTree.mp3</v>
      </c>
      <c r="D3793" s="24"/>
      <c r="E3793" s="24"/>
    </row>
    <row r="3794">
      <c r="A3794" s="25" t="s">
        <v>18392</v>
      </c>
      <c r="B3794" s="25" t="s">
        <v>18429</v>
      </c>
      <c r="C3794" s="26" t="str">
        <f>HYPERLINK("https://audio.iskcondesiretree.com/02_-_ISKCON_Swamis/ISKCON_Swamis_-_R_to_Y/His_Holiness_Radhanath_Swami/Lectures/01_-_Theme_wise/Heart/07.Melting_the_Steel_Heart_by_Chanting_the_Holy_Name_-_Radhanath_Swami_IDesireTree.mp3", "07.Melting_the_Steel_Heart_by_Chanting_the_Holy_Name_-_Radhanath_Swami_IDesireTree.mp3")</f>
        <v>07.Melting_the_Steel_Heart_by_Chanting_the_Holy_Name_-_Radhanath_Swami_IDesireTree.mp3</v>
      </c>
      <c r="D3794" s="24"/>
      <c r="E3794" s="24"/>
    </row>
    <row r="3795">
      <c r="A3795" s="25" t="s">
        <v>18392</v>
      </c>
      <c r="B3795" s="25" t="s">
        <v>18429</v>
      </c>
      <c r="C3795" s="26" t="str">
        <f>HYPERLINK("https://audio.iskcondesiretree.com/02_-_ISKCON_Swamis/ISKCON_Swamis_-_R_to_Y/His_Holiness_Radhanath_Swami/Lectures/01_-_Theme_wise/Heart/08.Melting_the_hard_hear_-_Radhanath_Swami_IDesireTree.MP3", "08.Melting_the_hard_hear_-_Radhanath_Swami_IDesireTree.MP3")</f>
        <v>08.Melting_the_hard_hear_-_Radhanath_Swami_IDesireTree.MP3</v>
      </c>
      <c r="D3795" s="24"/>
      <c r="E3795" s="24"/>
    </row>
    <row r="3796">
      <c r="A3796" s="25" t="s">
        <v>18392</v>
      </c>
      <c r="B3796" s="25" t="s">
        <v>18429</v>
      </c>
      <c r="C3796" s="26" t="str">
        <f>HYPERLINK("https://audio.iskcondesiretree.com/02_-_ISKCON_Swamis/ISKCON_Swamis_-_R_to_Y/His_Holiness_Radhanath_Swami/Lectures/01_-_Theme_wise/Heart/09.Melting_Lords_Melting_Hearts_-_Radhanath_Swami_IDesireTree.mp3", "09.Melting_Lords_Melting_Hearts_-_Radhanath_Swami_IDesireTree.mp3")</f>
        <v>09.Melting_Lords_Melting_Hearts_-_Radhanath_Swami_IDesireTree.mp3</v>
      </c>
      <c r="D3796" s="24"/>
      <c r="E3796" s="24"/>
    </row>
    <row r="3797">
      <c r="A3797" s="25" t="s">
        <v>18392</v>
      </c>
      <c r="B3797" s="25" t="s">
        <v>18429</v>
      </c>
      <c r="C3797" s="26" t="str">
        <f>HYPERLINK("https://audio.iskcondesiretree.com/02_-_ISKCON_Swamis/ISKCON_Swamis_-_R_to_Y/His_Holiness_Radhanath_Swami/Lectures/01_-_Theme_wise/Heart/1991-056_Within_Our_Heart_Lecture_-_Radhanath_Swami_Mumbai_2005-05-91_IDesireTree.mp3", "1991-056_Within_Our_Heart_Lecture_-_Radhanath_Swami_Mumbai_2005-05-91_IDesireTree.mp3")</f>
        <v>1991-056_Within_Our_Heart_Lecture_-_Radhanath_Swami_Mumbai_2005-05-91_IDesireTree.mp3</v>
      </c>
      <c r="D3797" s="24"/>
      <c r="E3797" s="24"/>
    </row>
    <row r="3798">
      <c r="A3798" s="25" t="s">
        <v>18392</v>
      </c>
      <c r="B3798" s="25" t="s">
        <v>18429</v>
      </c>
      <c r="C3798" s="26" t="str">
        <f>HYPERLINK("https://audio.iskcondesiretree.com/02_-_ISKCON_Swamis/ISKCON_Swamis_-_R_to_Y/His_Holiness_Radhanath_Swami/Lectures/01_-_Theme_wise/Heart/1991-081_Ravan_In_Our_Heart_Lecture_-_Radhanath_Swami_Mumbai_1991-10-17_IDesireTree.mp3", "1991-081_Ravan_In_Our_Heart_Lecture_-_Radhanath_Swami_Mumbai_1991-10-17_IDesireTree.mp3")</f>
        <v>1991-081_Ravan_In_Our_Heart_Lecture_-_Radhanath_Swami_Mumbai_1991-10-17_IDesireTree.mp3</v>
      </c>
      <c r="D3798" s="24"/>
      <c r="E3798" s="24"/>
    </row>
    <row r="3799">
      <c r="A3799" s="25" t="s">
        <v>18392</v>
      </c>
      <c r="B3799" s="25" t="s">
        <v>18429</v>
      </c>
      <c r="C3799" s="26" t="str">
        <f>HYPERLINK("https://audio.iskcondesiretree.com/02_-_ISKCON_Swamis/ISKCON_Swamis_-_R_to_Y/His_Holiness_Radhanath_Swami/Lectures/01_-_Theme_wise/Heart/1993-017_To_Purify_Our_Heart_SB_01-02-08_-_Radhanath_Swami_1993-01-17_IDesireTree.mp3", "1993-017_To_Purify_Our_Heart_SB_01-02-08_-_Radhanath_Swami_1993-01-17_IDesireTree.mp3")</f>
        <v>1993-017_To_Purify_Our_Heart_SB_01-02-08_-_Radhanath_Swami_1993-01-17_IDesireTree.mp3</v>
      </c>
      <c r="D3799" s="24"/>
      <c r="E3799" s="24"/>
    </row>
    <row r="3800">
      <c r="A3800" s="25" t="s">
        <v>18392</v>
      </c>
      <c r="B3800" s="25" t="s">
        <v>18429</v>
      </c>
      <c r="C3800" s="26" t="str">
        <f>HYPERLINK("https://audio.iskcondesiretree.com/02_-_ISKCON_Swamis/ISKCON_Swamis_-_R_to_Y/His_Holiness_Radhanath_Swami/Lectures/01_-_Theme_wise/Heart/1994-111_Appearance_Of_Krishna_In_Our_Heart_SB_10-03-13_-_Radhanath_Swami_Mumbai_1994-08-26_IDesireTree.mp3", "1994-111_Appearance_Of_Krishna_In_Our_Heart_SB_10-03-13_-_Radhanath_Swami_Mumbai_1994-08-26_IDesireTree.mp3")</f>
        <v>1994-111_Appearance_Of_Krishna_In_Our_Heart_SB_10-03-13_-_Radhanath_Swami_Mumbai_1994-08-26_IDesireTree.mp3</v>
      </c>
      <c r="D3800" s="24"/>
      <c r="E3800" s="24"/>
    </row>
    <row r="3801">
      <c r="A3801" s="25" t="s">
        <v>18392</v>
      </c>
      <c r="B3801" s="25" t="s">
        <v>18429</v>
      </c>
      <c r="C3801" s="26" t="str">
        <f>HYPERLINK("https://audio.iskcondesiretree.com/02_-_ISKCON_Swamis/ISKCON_Swamis_-_R_to_Y/His_Holiness_Radhanath_Swami/Lectures/01_-_Theme_wise/Heart/1995-040_Don%27t_Break_Others_Heart_SB_04-08-34_-_Radhanath_Swami_Mumbai_1995-02-01.mp3", "1995-040_Don%27t_Break_Others_Heart_SB_04-08-34_-_Radhanath_Swami_Mumbai_1995-02-01.mp3")</f>
        <v>1995-040_Don%27t_Break_Others_Heart_SB_04-08-34_-_Radhanath_Swami_Mumbai_1995-02-01.mp3</v>
      </c>
      <c r="D3801" s="24"/>
      <c r="E3801" s="24"/>
    </row>
    <row r="3802">
      <c r="A3802" s="25" t="s">
        <v>18392</v>
      </c>
      <c r="B3802" s="25" t="s">
        <v>18429</v>
      </c>
      <c r="C3802" s="26" t="str">
        <f>HYPERLINK("https://audio.iskcondesiretree.com/02_-_ISKCON_Swamis/ISKCON_Swamis_-_R_to_Y/His_Holiness_Radhanath_Swami/Lectures/01_-_Theme_wise/Heart/1995-072_Service_Attitude_Changes_Our_Stone_Like_Heart_Lecture_-_Radhanath_Swami_Kurukshetra_1995-03-27.mp3", "1995-072_Service_Attitude_Changes_Our_Stone_Like_Heart_Lecture_-_Radhanath_Swami_Kurukshetra_1995-03-27.mp3")</f>
        <v>1995-072_Service_Attitude_Changes_Our_Stone_Like_Heart_Lecture_-_Radhanath_Swami_Kurukshetra_1995-03-27.mp3</v>
      </c>
      <c r="D3802" s="24"/>
      <c r="E3802" s="24"/>
    </row>
    <row r="3803">
      <c r="A3803" s="25" t="s">
        <v>18392</v>
      </c>
      <c r="B3803" s="25" t="s">
        <v>18429</v>
      </c>
      <c r="C3803" s="26" t="str">
        <f>HYPERLINK("https://audio.iskcondesiretree.com/02_-_ISKCON_Swamis/ISKCON_Swamis_-_R_to_Y/His_Holiness_Radhanath_Swami/Lectures/01_-_Theme_wise/Heart/1998-098_Bringing_the_Lord_Back_to_Our_Heart_BG_03_-_Radhanath_Swami_Nigdi_1998-10-08_IDesireTree.mp3", "1998-098_Bringing_the_Lord_Back_to_Our_Heart_BG_03_-_Radhanath_Swami_Nigdi_1998-10-08_IDesireTree.mp3")</f>
        <v>1998-098_Bringing_the_Lord_Back_to_Our_Heart_BG_03_-_Radhanath_Swami_Nigdi_1998-10-08_IDesireTree.mp3</v>
      </c>
      <c r="D3803" s="24"/>
      <c r="E3803" s="24"/>
    </row>
    <row r="3804">
      <c r="A3804" s="25" t="s">
        <v>18392</v>
      </c>
      <c r="B3804" s="25" t="s">
        <v>18429</v>
      </c>
      <c r="C3804" s="26" t="str">
        <f>HYPERLINK("https://audio.iskcondesiretree.com/02_-_ISKCON_Swamis/ISKCON_Swamis_-_R_to_Y/His_Holiness_Radhanath_Swami/Lectures/01_-_Theme_wise/Heart/2003-013_Compassion_Melts_Heart_SB_06-01-01_-_Radhanath_Swami_Mumbai_2003-03-17_IDesireTree.mp3", "2003-013_Compassion_Melts_Heart_SB_06-01-01_-_Radhanath_Swami_Mumbai_2003-03-17_IDesireTree.mp3")</f>
        <v>2003-013_Compassion_Melts_Heart_SB_06-01-01_-_Radhanath_Swami_Mumbai_2003-03-17_IDesireTree.mp3</v>
      </c>
      <c r="D3804" s="24"/>
      <c r="E3804" s="24"/>
    </row>
    <row r="3805">
      <c r="A3805" s="25" t="s">
        <v>18392</v>
      </c>
      <c r="B3805" s="25" t="s">
        <v>18430</v>
      </c>
      <c r="C3805" s="26" t="str">
        <f>HYPERLINK("https://audio.iskcondesiretree.com/02_-_ISKCON_Swamis/ISKCON_Swamis_-_R_to_Y/His_Holiness_Radhanath_Swami/Lectures/01_-_Theme_wise/Holy_Name/1990-013_The_Story_Of_Ajamila_Lecture_-_Radhanath_Swami_Mumbai_1990-01-28_IDesireTree.mp3", "1990-013_The_Story_Of_Ajamila_Lecture_-_Radhanath_Swami_Mumbai_1990-01-28_IDesireTree.mp3")</f>
        <v>1990-013_The_Story_Of_Ajamila_Lecture_-_Radhanath_Swami_Mumbai_1990-01-28_IDesireTree.mp3</v>
      </c>
      <c r="D3805" s="24"/>
      <c r="E3805" s="24"/>
    </row>
    <row r="3806">
      <c r="A3806" s="25" t="s">
        <v>18392</v>
      </c>
      <c r="B3806" s="25" t="s">
        <v>18430</v>
      </c>
      <c r="C3806" s="26" t="str">
        <f>HYPERLINK("https://audio.iskcondesiretree.com/02_-_ISKCON_Swamis/ISKCON_Swamis_-_R_to_Y/His_Holiness_Radhanath_Swami/Lectures/01_-_Theme_wise/Holy_Name/1990-020_The_Secret_Of_Proper_Chanting_SMSKM-2_-_Radhanath_Swami_Mumbai_1990-02-11_IDesireTree.mp3", "1990-020_The_Secret_Of_Proper_Chanting_SMSKM-2_-_Radhanath_Swami_Mumbai_1990-02-11_IDesireTree.mp3")</f>
        <v>1990-020_The_Secret_Of_Proper_Chanting_SMSKM-2_-_Radhanath_Swami_Mumbai_1990-02-11_IDesireTree.mp3</v>
      </c>
      <c r="D3806" s="24"/>
      <c r="E3806" s="24"/>
    </row>
    <row r="3807">
      <c r="A3807" s="25" t="s">
        <v>18392</v>
      </c>
      <c r="B3807" s="25" t="s">
        <v>18430</v>
      </c>
      <c r="C3807" s="26" t="str">
        <f>HYPERLINK("https://audio.iskcondesiretree.com/02_-_ISKCON_Swamis/ISKCON_Swamis_-_R_to_Y/His_Holiness_Radhanath_Swami/Lectures/01_-_Theme_wise/Holy_Name/1991-075_Refuge_In_Holy_Vibration_Lecture_-_Radhanath_Swami_Mumbai_1991-10-12_IDesireTree.mp3", "1991-075_Refuge_In_Holy_Vibration_Lecture_-_Radhanath_Swami_Mumbai_1991-10-12_IDesireTree.mp3")</f>
        <v>1991-075_Refuge_In_Holy_Vibration_Lecture_-_Radhanath_Swami_Mumbai_1991-10-12_IDesireTree.mp3</v>
      </c>
      <c r="D3807" s="24"/>
      <c r="E3807" s="24"/>
    </row>
    <row r="3808">
      <c r="A3808" s="25" t="s">
        <v>18392</v>
      </c>
      <c r="B3808" s="25" t="s">
        <v>18430</v>
      </c>
      <c r="C3808" s="26" t="str">
        <f>HYPERLINK("https://audio.iskcondesiretree.com/02_-_ISKCON_Swamis/ISKCON_Swamis_-_R_to_Y/His_Holiness_Radhanath_Swami/Lectures/01_-_Theme_wise/Holy_Name/1991-082_Story_Of_Ajamila_SB_06-03-22-23_-_Radhanath_Swami_Mumbai_1991-10-18_IDesireTree.mp3", "1991-082_Story_Of_Ajamila_SB_06-03-22-23_-_Radhanath_Swami_Mumbai_1991-10-18_IDesireTree.mp3")</f>
        <v>1991-082_Story_Of_Ajamila_SB_06-03-22-23_-_Radhanath_Swami_Mumbai_1991-10-18_IDesireTree.mp3</v>
      </c>
      <c r="D3808" s="24"/>
      <c r="E3808" s="24"/>
    </row>
    <row r="3809">
      <c r="A3809" s="25" t="s">
        <v>18392</v>
      </c>
      <c r="B3809" s="25" t="s">
        <v>18430</v>
      </c>
      <c r="C3809" s="26" t="str">
        <f>HYPERLINK("https://audio.iskcondesiretree.com/02_-_ISKCON_Swamis/ISKCON_Swamis_-_R_to_Y/His_Holiness_Radhanath_Swami/Lectures/01_-_Theme_wise/Holy_Name/1991-161_Name_-_Ultimate_purification_BG_02-44_-_Radhanath_Swami_Mumbai_1991-12-30_IDesireTree.mp3", "1991-161_Name_-_Ultimate_purification_BG_02-44_-_Radhanath_Swami_Mumbai_1991-12-30_IDesireTree.mp3")</f>
        <v>1991-161_Name_-_Ultimate_purification_BG_02-44_-_Radhanath_Swami_Mumbai_1991-12-30_IDesireTree.mp3</v>
      </c>
      <c r="D3809" s="24"/>
      <c r="E3809" s="24"/>
    </row>
    <row r="3810">
      <c r="A3810" s="25" t="s">
        <v>18392</v>
      </c>
      <c r="B3810" s="25" t="s">
        <v>18430</v>
      </c>
      <c r="C3810" s="26" t="str">
        <f>HYPERLINK("https://audio.iskcondesiretree.com/02_-_ISKCON_Swamis/ISKCON_Swamis_-_R_to_Y/His_Holiness_Radhanath_Swami/Lectures/01_-_Theme_wise/Holy_Name/1993-030_Aspiration_For_Chanting_Mahamantra_Lecture_-_Radhanath_Swami_Mumbai_1993-03-26_IDesireTree.mp3", "1993-030_Aspiration_For_Chanting_Mahamantra_Lecture_-_Radhanath_Swami_Mumbai_1993-03-26_IDesireTree.mp3")</f>
        <v>1993-030_Aspiration_For_Chanting_Mahamantra_Lecture_-_Radhanath_Swami_Mumbai_1993-03-26_IDesireTree.mp3</v>
      </c>
      <c r="D3810" s="24"/>
      <c r="E3810" s="24"/>
    </row>
    <row r="3811">
      <c r="A3811" s="25" t="s">
        <v>18392</v>
      </c>
      <c r="B3811" s="25" t="s">
        <v>18430</v>
      </c>
      <c r="C3811" s="26" t="str">
        <f>HYPERLINK("https://audio.iskcondesiretree.com/02_-_ISKCON_Swamis/ISKCON_Swamis_-_R_to_Y/His_Holiness_Radhanath_Swami/Lectures/01_-_Theme_wise/Holy_Name/1993-061_The_Power_Of_Holyname_Ht_-_BG_05-18_-_Radhanath_Swami_Mumbai_1993-04-19_IDesireTree.mp3", "1993-061_The_Power_Of_Holyname_Ht_-_BG_05-18_-_Radhanath_Swami_Mumbai_1993-04-19_IDesireTree.mp3")</f>
        <v>1993-061_The_Power_Of_Holyname_Ht_-_BG_05-18_-_Radhanath_Swami_Mumbai_1993-04-19_IDesireTree.mp3</v>
      </c>
      <c r="D3811" s="24"/>
      <c r="E3811" s="24"/>
    </row>
    <row r="3812">
      <c r="A3812" s="25" t="s">
        <v>18392</v>
      </c>
      <c r="B3812" s="25" t="s">
        <v>18430</v>
      </c>
      <c r="C3812" s="26" t="str">
        <f>HYPERLINK("https://audio.iskcondesiretree.com/02_-_ISKCON_Swamis/ISKCON_Swamis_-_R_to_Y/His_Holiness_Radhanath_Swami/Lectures/01_-_Theme_wise/Holy_Name/1993-104_The_Holy_Name_Is_all_auspicious_Lecture_-_Radhanath_Swami_1993-06-04_IDesireTree.mp3", "1993-104_The_Holy_Name_Is_all_auspicious_Lecture_-_Radhanath_Swami_1993-06-04_IDesireTree.mp3")</f>
        <v>1993-104_The_Holy_Name_Is_all_auspicious_Lecture_-_Radhanath_Swami_1993-06-04_IDesireTree.mp3</v>
      </c>
      <c r="D3812" s="24"/>
      <c r="E3812" s="24"/>
    </row>
    <row r="3813">
      <c r="A3813" s="25" t="s">
        <v>18392</v>
      </c>
      <c r="B3813" s="25" t="s">
        <v>18430</v>
      </c>
      <c r="C3813" s="26" t="str">
        <f>HYPERLINK("https://audio.iskcondesiretree.com/02_-_ISKCON_Swamis/ISKCON_Swamis_-_R_to_Y/His_Holiness_Radhanath_Swami/Lectures/01_-_Theme_wise/Holy_Name/1993-177_Chanting_Outweighs_Everything_Lecture_-_Radhanath_Swami_Mumbai_1993-12-11_IDesireTree.mp3", "1993-177_Chanting_Outweighs_Everything_Lecture_-_Radhanath_Swami_Mumbai_1993-12-11_IDesireTree.mp3")</f>
        <v>1993-177_Chanting_Outweighs_Everything_Lecture_-_Radhanath_Swami_Mumbai_1993-12-11_IDesireTree.mp3</v>
      </c>
      <c r="D3813" s="24"/>
      <c r="E3813" s="24"/>
    </row>
    <row r="3814">
      <c r="A3814" s="25" t="s">
        <v>18392</v>
      </c>
      <c r="B3814" s="25" t="s">
        <v>18430</v>
      </c>
      <c r="C3814" s="26" t="str">
        <f>HYPERLINK("https://audio.iskcondesiretree.com/02_-_ISKCON_Swamis/ISKCON_Swamis_-_R_to_Y/His_Holiness_Radhanath_Swami/Lectures/01_-_Theme_wise/Holy_Name/1993-183_The_Supreme_Yajna_BG_03_14_-_Radhanath_Swami_Mumbai_1993-12-15_IDesireTree.mp3", "1993-183_The_Supreme_Yajna_BG_03_14_-_Radhanath_Swami_Mumbai_1993-12-15_IDesireTree.mp3")</f>
        <v>1993-183_The_Supreme_Yajna_BG_03_14_-_Radhanath_Swami_Mumbai_1993-12-15_IDesireTree.mp3</v>
      </c>
      <c r="D3814" s="24"/>
      <c r="E3814" s="24"/>
    </row>
    <row r="3815">
      <c r="A3815" s="25" t="s">
        <v>18392</v>
      </c>
      <c r="B3815" s="25" t="s">
        <v>18430</v>
      </c>
      <c r="C3815" s="26" t="str">
        <f>HYPERLINK("https://audio.iskcondesiretree.com/02_-_ISKCON_Swamis/ISKCON_Swamis_-_R_to_Y/His_Holiness_Radhanath_Swami/Lectures/01_-_Theme_wise/Holy_Name/1993-188_Fire_Of_Harinaam_BG_03-10_-_Radhanath_Swami_Mumbai_1993-12-19_IDesireTree.mp3", "1993-188_Fire_Of_Harinaam_BG_03-10_-_Radhanath_Swami_Mumbai_1993-12-19_IDesireTree.mp3")</f>
        <v>1993-188_Fire_Of_Harinaam_BG_03-10_-_Radhanath_Swami_Mumbai_1993-12-19_IDesireTree.mp3</v>
      </c>
      <c r="D3815" s="24"/>
      <c r="E3815" s="24"/>
    </row>
    <row r="3816">
      <c r="A3816" s="25" t="s">
        <v>18392</v>
      </c>
      <c r="B3816" s="25" t="s">
        <v>18430</v>
      </c>
      <c r="C3816" s="26" t="str">
        <f>HYPERLINK("https://audio.iskcondesiretree.com/02_-_ISKCON_Swamis/ISKCON_Swamis_-_R_to_Y/His_Holiness_Radhanath_Swami/Lectures/01_-_Theme_wise/Holy_Name/1994-008_Value_Of_the_Holy_Name_Lecture_-_Radhanath_Swami_Mumbai_199-01-15_IDesireTree.mp3", "1994-008_Value_Of_the_Holy_Name_Lecture_-_Radhanath_Swami_Mumbai_199-01-15_IDesireTree.mp3")</f>
        <v>1994-008_Value_Of_the_Holy_Name_Lecture_-_Radhanath_Swami_Mumbai_199-01-15_IDesireTree.mp3</v>
      </c>
      <c r="D3816" s="24"/>
      <c r="E3816" s="24"/>
    </row>
    <row r="3817">
      <c r="A3817" s="25" t="s">
        <v>18392</v>
      </c>
      <c r="B3817" s="25" t="s">
        <v>18430</v>
      </c>
      <c r="C3817" s="26" t="str">
        <f>HYPERLINK("https://audio.iskcondesiretree.com/02_-_ISKCON_Swamis/ISKCON_Swamis_-_R_to_Y/His_Holiness_Radhanath_Swami/Lectures/01_-_Theme_wise/Holy_Name/1994-023_Real_touchstone_Holy_name_BG_07-28_-_Radhanath_Swami_Mumbai_1994-02-09_IDesireTree.mp3", "1994-023_Real_touchstone_Holy_name_BG_07-28_-_Radhanath_Swami_Mumbai_1994-02-09_IDesireTree.mp3")</f>
        <v>1994-023_Real_touchstone_Holy_name_BG_07-28_-_Radhanath_Swami_Mumbai_1994-02-09_IDesireTree.mp3</v>
      </c>
      <c r="D3817" s="24"/>
      <c r="E3817" s="24"/>
    </row>
    <row r="3818">
      <c r="A3818" s="25" t="s">
        <v>18392</v>
      </c>
      <c r="B3818" s="25" t="s">
        <v>18430</v>
      </c>
      <c r="C3818" s="26" t="str">
        <f>HYPERLINK("https://audio.iskcondesiretree.com/02_-_ISKCON_Swamis/ISKCON_Swamis_-_R_to_Y/His_Holiness_Radhanath_Swami/Lectures/01_-_Theme_wise/Holy_Name/1994-100_Transcendental_Remedy_for_this_Age_Lecture_-_Radhanath_Swami_NV_1994-06-16_IDesireTree.mp3", "1994-100_Transcendental_Remedy_for_this_Age_Lecture_-_Radhanath_Swami_NV_1994-06-16_IDesireTree.mp3")</f>
        <v>1994-100_Transcendental_Remedy_for_this_Age_Lecture_-_Radhanath_Swami_NV_1994-06-16_IDesireTree.mp3</v>
      </c>
      <c r="D3818" s="24"/>
      <c r="E3818" s="24"/>
    </row>
    <row r="3819">
      <c r="A3819" s="25" t="s">
        <v>18392</v>
      </c>
      <c r="B3819" s="25" t="s">
        <v>18430</v>
      </c>
      <c r="C3819" s="26" t="str">
        <f>HYPERLINK("https://audio.iskcondesiretree.com/02_-_ISKCON_Swamis/ISKCON_Swamis_-_R_to_Y/His_Holiness_Radhanath_Swami/Lectures/01_-_Theme_wise/Holy_Name/1994-188_Mercy_In_Form_Of_Holy_Name_HT_-_BG_09-20_-_Radhanath_Swami_Pune_1994-10-12_IDesireTree.mp3", "1994-188_Mercy_In_Form_Of_Holy_Name_HT_-_BG_09-20_-_Radhanath_Swami_Pune_1994-10-12_IDesireTree.mp3")</f>
        <v>1994-188_Mercy_In_Form_Of_Holy_Name_HT_-_BG_09-20_-_Radhanath_Swami_Pune_1994-10-12_IDesireTree.mp3</v>
      </c>
      <c r="D3819" s="24"/>
      <c r="E3819" s="24"/>
    </row>
    <row r="3820">
      <c r="A3820" s="25" t="s">
        <v>18392</v>
      </c>
      <c r="B3820" s="25" t="s">
        <v>18430</v>
      </c>
      <c r="C3820" s="26" t="str">
        <f>HYPERLINK("https://audio.iskcondesiretree.com/02_-_ISKCON_Swamis/ISKCON_Swamis_-_R_to_Y/His_Holiness_Radhanath_Swami/Lectures/01_-_Theme_wise/Holy_Name/1994-215_Glories_of_the_Holy_Name_Lecture_-_Radhanath_Swami_1994_IDesireTree.mp3", "1994-215_Glories_of_the_Holy_Name_Lecture_-_Radhanath_Swami_1994_IDesireTree.mp3")</f>
        <v>1994-215_Glories_of_the_Holy_Name_Lecture_-_Radhanath_Swami_1994_IDesireTree.mp3</v>
      </c>
      <c r="D3820" s="24"/>
      <c r="E3820" s="24"/>
    </row>
    <row r="3821">
      <c r="A3821" s="25" t="s">
        <v>18392</v>
      </c>
      <c r="B3821" s="25" t="s">
        <v>18430</v>
      </c>
      <c r="C3821" s="26" t="str">
        <f>HYPERLINK("https://audio.iskcondesiretree.com/02_-_ISKCON_Swamis/ISKCON_Swamis_-_R_to_Y/His_Holiness_Radhanath_Swami/Lectures/01_-_Theme_wise/Holy_Name/1995-004_Our_Aspiration_To_Chant_Humbly_BG_03-31_-_Radhanath_Swami_Mumbai_1995-01-03.mp3", "1995-004_Our_Aspiration_To_Chant_Humbly_BG_03-31_-_Radhanath_Swami_Mumbai_1995-01-03.mp3")</f>
        <v>1995-004_Our_Aspiration_To_Chant_Humbly_BG_03-31_-_Radhanath_Swami_Mumbai_1995-01-03.mp3</v>
      </c>
      <c r="D3821" s="24"/>
      <c r="E3821" s="24"/>
    </row>
    <row r="3822">
      <c r="A3822" s="25" t="s">
        <v>18392</v>
      </c>
      <c r="B3822" s="25" t="s">
        <v>18430</v>
      </c>
      <c r="C3822" s="26" t="str">
        <f>HYPERLINK("https://audio.iskcondesiretree.com/02_-_ISKCON_Swamis/ISKCON_Swamis_-_R_to_Y/His_Holiness_Radhanath_Swami/Lectures/01_-_Theme_wise/Holy_Name/1995-009_Kunti%27s_Dependence_On_Holy_Name_SB_01-08-38_-_Radhanath_Swami_Mumbai_1995-01-07.mp3", "1995-009_Kunti%27s_Dependence_On_Holy_Name_SB_01-08-38_-_Radhanath_Swami_Mumbai_1995-01-07.mp3")</f>
        <v>1995-009_Kunti%27s_Dependence_On_Holy_Name_SB_01-08-38_-_Radhanath_Swami_Mumbai_1995-01-07.mp3</v>
      </c>
      <c r="D3822" s="24"/>
      <c r="E3822" s="24"/>
    </row>
    <row r="3823">
      <c r="A3823" s="25" t="s">
        <v>18392</v>
      </c>
      <c r="B3823" s="25" t="s">
        <v>18430</v>
      </c>
      <c r="C3823" s="26" t="str">
        <f>HYPERLINK("https://audio.iskcondesiretree.com/02_-_ISKCON_Swamis/ISKCON_Swamis_-_R_to_Y/His_Holiness_Radhanath_Swami/Lectures/01_-_Theme_wise/Holy_Name/1995-059_Hari_Nama_Sankirtan_CC_ML_20-34_-_Radhanath_Swami_Mumbai_1995-03-12.mp3", "1995-059_Hari_Nama_Sankirtan_CC_ML_20-34_-_Radhanath_Swami_Mumbai_1995-03-12.mp3")</f>
        <v>1995-059_Hari_Nama_Sankirtan_CC_ML_20-34_-_Radhanath_Swami_Mumbai_1995-03-12.mp3</v>
      </c>
      <c r="D3823" s="24"/>
      <c r="E3823" s="24"/>
    </row>
    <row r="3824">
      <c r="A3824" s="25" t="s">
        <v>18392</v>
      </c>
      <c r="B3824" s="25" t="s">
        <v>18430</v>
      </c>
      <c r="C3824" s="26" t="str">
        <f>HYPERLINK("https://audio.iskcondesiretree.com/02_-_ISKCON_Swamis/ISKCON_Swamis_-_R_to_Y/His_Holiness_Radhanath_Swami/Lectures/01_-_Theme_wise/Holy_Name/1996-086_King_Shivaji_Took_Shelter_Of_Holy_Name_Mt_-_BG_02-48_-_Radhanath_Swami_Mumbai_1996-04-19_IDesireTree.mp3", "1996-086_King_Shivaji_Took_Shelter_Of_Holy_Name_Mt_-_BG_02-48_-_Radhanath_Swami_Mumbai_1996-04-19_IDesireTree.mp3")</f>
        <v>1996-086_King_Shivaji_Took_Shelter_Of_Holy_Name_Mt_-_BG_02-48_-_Radhanath_Swami_Mumbai_1996-04-19_IDesireTree.mp3</v>
      </c>
      <c r="D3824" s="24"/>
      <c r="E3824" s="24"/>
    </row>
    <row r="3825">
      <c r="A3825" s="25" t="s">
        <v>18392</v>
      </c>
      <c r="B3825" s="25" t="s">
        <v>18430</v>
      </c>
      <c r="C3825" s="26" t="str">
        <f>HYPERLINK("https://audio.iskcondesiretree.com/02_-_ISKCON_Swamis/ISKCON_Swamis_-_R_to_Y/His_Holiness_Radhanath_Swami/Lectures/01_-_Theme_wise/Holy_Name/1996-132_Holy_Name_Is_Realised_With_Humility_SB_02-03-25_-_Radhanath_Swami_Mumbai_1996-09-19_IDesireTree.mp3", "1996-132_Holy_Name_Is_Realised_With_Humility_SB_02-03-25_-_Radhanath_Swami_Mumbai_1996-09-19_IDesireTree.mp3")</f>
        <v>1996-132_Holy_Name_Is_Realised_With_Humility_SB_02-03-25_-_Radhanath_Swami_Mumbai_1996-09-19_IDesireTree.mp3</v>
      </c>
      <c r="D3825" s="24"/>
      <c r="E3825" s="24"/>
    </row>
    <row r="3826">
      <c r="A3826" s="25" t="s">
        <v>18392</v>
      </c>
      <c r="B3826" s="25" t="s">
        <v>18430</v>
      </c>
      <c r="C3826" s="26" t="str">
        <f>HYPERLINK("https://audio.iskcondesiretree.com/02_-_ISKCON_Swamis/ISKCON_Swamis_-_R_to_Y/His_Holiness_Radhanath_Swami/Lectures/01_-_Theme_wise/Holy_Name/1997-120_The_Power_Of_Holy_Name_Lecture_-_Radhanath_Swami_Pune_1997-10-08_IDesireTree.mp3", "1997-120_The_Power_Of_Holy_Name_Lecture_-_Radhanath_Swami_Pune_1997-10-08_IDesireTree.mp3")</f>
        <v>1997-120_The_Power_Of_Holy_Name_Lecture_-_Radhanath_Swami_Pune_1997-10-08_IDesireTree.mp3</v>
      </c>
      <c r="D3826" s="24"/>
      <c r="E3826" s="24"/>
    </row>
    <row r="3827">
      <c r="A3827" s="25" t="s">
        <v>18392</v>
      </c>
      <c r="B3827" s="25" t="s">
        <v>18430</v>
      </c>
      <c r="C3827" s="26" t="str">
        <f>HYPERLINK("https://audio.iskcondesiretree.com/02_-_ISKCON_Swamis/ISKCON_Swamis_-_R_to_Y/His_Holiness_Radhanath_Swami/Lectures/01_-_Theme_wise/Holy_Name/1998-048_Attentive_Hearing_%26_Chanting_SB_03-06-37_-_Radhanath_Swami_Mumbai_1998-03-08_IDesireTree.mp3", "1998-048_Attentive_Hearing_%26_Chanting_SB_03-06-37_-_Radhanath_Swami_Mumbai_1998-03-08_IDesireTree.mp3")</f>
        <v>1998-048_Attentive_Hearing_%26_Chanting_SB_03-06-37_-_Radhanath_Swami_Mumbai_1998-03-08_IDesireTree.mp3</v>
      </c>
      <c r="D3827" s="24"/>
      <c r="E3827" s="24"/>
    </row>
    <row r="3828">
      <c r="A3828" s="25" t="s">
        <v>18392</v>
      </c>
      <c r="B3828" s="25" t="s">
        <v>18430</v>
      </c>
      <c r="C3828" s="26" t="str">
        <f>HYPERLINK("https://audio.iskcondesiretree.com/02_-_ISKCON_Swamis/ISKCON_Swamis_-_R_to_Y/His_Holiness_Radhanath_Swami/Lectures/01_-_Theme_wise/Holy_Name/1998-064_Attentively_Hearing_the_Sound_Vibration_SB_03-08-03_-_Radhanath_Swami_Mumbai_1998-05-12_IDesireTree.mp3", "1998-064_Attentively_Hearing_the_Sound_Vibration_SB_03-08-03_-_Radhanath_Swami_Mumbai_1998-05-12_IDesireTree.mp3")</f>
        <v>1998-064_Attentively_Hearing_the_Sound_Vibration_SB_03-08-03_-_Radhanath_Swami_Mumbai_1998-05-12_IDesireTree.mp3</v>
      </c>
      <c r="D3828" s="24"/>
      <c r="E3828" s="24"/>
    </row>
    <row r="3829">
      <c r="A3829" s="25" t="s">
        <v>18392</v>
      </c>
      <c r="B3829" s="25" t="s">
        <v>18430</v>
      </c>
      <c r="C3829" s="26" t="str">
        <f>HYPERLINK("https://audio.iskcondesiretree.com/02_-_ISKCON_Swamis/ISKCON_Swamis_-_R_to_Y/His_Holiness_Radhanath_Swami/Lectures/01_-_Theme_wise/Holy_Name/1998-076_Ganges_of_the_Holy_Name_SB_03-13-44_-_Radhanath_Swami_Mumbai_1998-07-28_IDesireTree.mp3", "1998-076_Ganges_of_the_Holy_Name_SB_03-13-44_-_Radhanath_Swami_Mumbai_1998-07-28_IDesireTree.mp3")</f>
        <v>1998-076_Ganges_of_the_Holy_Name_SB_03-13-44_-_Radhanath_Swami_Mumbai_1998-07-28_IDesireTree.mp3</v>
      </c>
      <c r="D3829" s="24"/>
      <c r="E3829" s="24"/>
    </row>
    <row r="3830">
      <c r="A3830" s="25" t="s">
        <v>18392</v>
      </c>
      <c r="B3830" s="25" t="s">
        <v>18430</v>
      </c>
      <c r="C3830" s="26" t="str">
        <f>HYPERLINK("https://audio.iskcondesiretree.com/02_-_ISKCON_Swamis/ISKCON_Swamis_-_R_to_Y/His_Holiness_Radhanath_Swami/Lectures/01_-_Theme_wise/Holy_Name/1998-112_Holyname-_The_Most_Effective_Way_to_Remember_Krishna_BG-12_02_Mumbai_-_06-12-98_IDesireTree.mp3", "1998-112_Holyname-_The_Most_Effective_Way_to_Remember_Krishna_BG-12_02_Mumbai_-_06-12-98_IDesireTree.mp3")</f>
        <v>1998-112_Holyname-_The_Most_Effective_Way_to_Remember_Krishna_BG-12_02_Mumbai_-_06-12-98_IDesireTree.mp3</v>
      </c>
      <c r="D3830" s="24"/>
      <c r="E3830" s="24"/>
    </row>
    <row r="3831">
      <c r="A3831" s="25" t="s">
        <v>18392</v>
      </c>
      <c r="B3831" s="25" t="s">
        <v>18430</v>
      </c>
      <c r="C3831" s="26" t="str">
        <f>HYPERLINK("https://audio.iskcondesiretree.com/02_-_ISKCON_Swamis/ISKCON_Swamis_-_R_to_Y/His_Holiness_Radhanath_Swami/Lectures/01_-_Theme_wise/Holy_Name/1999-022_Touchstone_of_the_Holy_Name_Lecture_-_Radhanath_Swami_Mumbai_1999-03-15_IDesireTree.mp3", "1999-022_Touchstone_of_the_Holy_Name_Lecture_-_Radhanath_Swami_Mumbai_1999-03-15_IDesireTree.mp3")</f>
        <v>1999-022_Touchstone_of_the_Holy_Name_Lecture_-_Radhanath_Swami_Mumbai_1999-03-15_IDesireTree.mp3</v>
      </c>
      <c r="D3831" s="24"/>
      <c r="E3831" s="24"/>
    </row>
    <row r="3832">
      <c r="A3832" s="25" t="s">
        <v>18392</v>
      </c>
      <c r="B3832" s="25" t="s">
        <v>18430</v>
      </c>
      <c r="C3832" s="26" t="str">
        <f>HYPERLINK("https://audio.iskcondesiretree.com/02_-_ISKCON_Swamis/ISKCON_Swamis_-_R_to_Y/His_Holiness_Radhanath_Swami/Lectures/01_-_Theme_wise/Holy_Name/2001-033_Cultivate_Right_Spirit_For_Chanting_Lecture_-_Radhanath_Swami_Mumbai_2001-07-15_IDesireTree.mp3", "2001-033_Cultivate_Right_Spirit_For_Chanting_Lecture_-_Radhanath_Swami_Mumbai_2001-07-15_IDesireTree.mp3")</f>
        <v>2001-033_Cultivate_Right_Spirit_For_Chanting_Lecture_-_Radhanath_Swami_Mumbai_2001-07-15_IDesireTree.mp3</v>
      </c>
      <c r="D3832" s="24"/>
      <c r="E3832" s="24"/>
    </row>
    <row r="3833">
      <c r="A3833" s="25" t="s">
        <v>18392</v>
      </c>
      <c r="B3833" s="25" t="s">
        <v>18430</v>
      </c>
      <c r="C3833" s="26" t="str">
        <f>HYPERLINK("https://audio.iskcondesiretree.com/02_-_ISKCON_Swamis/ISKCON_Swamis_-_R_to_Y/His_Holiness_Radhanath_Swami/Lectures/01_-_Theme_wise/Holy_Name/2001-067_Power_Of_The_Mercy_Of_The_Holy_Name_SB_01-18-19_-_Radhanath_Swami_Mumbai_2001-12-27_IDesireTree.mp3", "2001-067_Power_Of_The_Mercy_Of_The_Holy_Name_SB_01-18-19_-_Radhanath_Swami_Mumbai_2001-12-27_IDesireTree.mp3")</f>
        <v>2001-067_Power_Of_The_Mercy_Of_The_Holy_Name_SB_01-18-19_-_Radhanath_Swami_Mumbai_2001-12-27_IDesireTree.mp3</v>
      </c>
      <c r="D3833" s="24"/>
      <c r="E3833" s="24"/>
    </row>
    <row r="3834">
      <c r="A3834" s="25" t="s">
        <v>18392</v>
      </c>
      <c r="B3834" s="25" t="s">
        <v>18430</v>
      </c>
      <c r="C3834" s="26" t="str">
        <f>HYPERLINK("https://audio.iskcondesiretree.com/02_-_ISKCON_Swamis/ISKCON_Swamis_-_R_to_Y/His_Holiness_Radhanath_Swami/Lectures/01_-_Theme_wise/Holy_Name/2002-101_Higher_Intoxication_Of_The_Holy_Name_SB_04-18-15_-_Radhanath_Swami_Mumbai_2002-10-13_IDesireTree.mp3", "2002-101_Higher_Intoxication_Of_The_Holy_Name_SB_04-18-15_-_Radhanath_Swami_Mumbai_2002-10-13_IDesireTree.mp3")</f>
        <v>2002-101_Higher_Intoxication_Of_The_Holy_Name_SB_04-18-15_-_Radhanath_Swami_Mumbai_2002-10-13_IDesireTree.mp3</v>
      </c>
      <c r="D3834" s="24"/>
      <c r="E3834" s="24"/>
    </row>
    <row r="3835">
      <c r="A3835" s="25" t="s">
        <v>18392</v>
      </c>
      <c r="B3835" s="25" t="s">
        <v>18430</v>
      </c>
      <c r="C3835" s="26" t="str">
        <f>HYPERLINK("https://audio.iskcondesiretree.com/02_-_ISKCON_Swamis/ISKCON_Swamis_-_R_to_Y/His_Holiness_Radhanath_Swami/Lectures/01_-_Theme_wise/Holy_Name/2002-124_Become_Conditioned_to_Chant_The_Holy_Name_Lecture_-_Radhanath_Swami_Mumbai_2002-12-29_IDesireTree.mp3", "2002-124_Become_Conditioned_to_Chant_The_Holy_Name_Lecture_-_Radhanath_Swami_Mumbai_2002-12-29_IDesireTree.mp3")</f>
        <v>2002-124_Become_Conditioned_to_Chant_The_Holy_Name_Lecture_-_Radhanath_Swami_Mumbai_2002-12-29_IDesireTree.mp3</v>
      </c>
      <c r="D3835" s="24"/>
      <c r="E3835" s="24"/>
    </row>
    <row r="3836">
      <c r="A3836" s="25" t="s">
        <v>18392</v>
      </c>
      <c r="B3836" s="25" t="s">
        <v>18430</v>
      </c>
      <c r="C3836" s="26" t="str">
        <f>HYPERLINK("https://audio.iskcondesiretree.com/02_-_ISKCON_Swamis/ISKCON_Swamis_-_R_to_Y/His_Holiness_Radhanath_Swami/Lectures/01_-_Theme_wise/Holy_Name/Chanting_is_Our_First_Responsibility_-_09-09-02_London_IDesireTree.mp3", "Chanting_is_Our_First_Responsibility_-_09-09-02_London_IDesireTree.mp3")</f>
        <v>Chanting_is_Our_First_Responsibility_-_09-09-02_London_IDesireTree.mp3</v>
      </c>
      <c r="D3836" s="24"/>
      <c r="E3836" s="24"/>
    </row>
    <row r="3837">
      <c r="A3837" s="25" t="s">
        <v>18392</v>
      </c>
      <c r="B3837" s="25" t="s">
        <v>18430</v>
      </c>
      <c r="C3837" s="26" t="str">
        <f>HYPERLINK("https://audio.iskcondesiretree.com/02_-_ISKCON_Swamis/ISKCON_Swamis_-_R_to_Y/His_Holiness_Radhanath_Swami/Lectures/01_-_Theme_wise/Holy_Name/Chanting_the_holy_name_SB-01-08-26_IDesireTree.MP3", "Chanting_the_holy_name_SB-01-08-26_IDesireTree.MP3")</f>
        <v>Chanting_the_holy_name_SB-01-08-26_IDesireTree.MP3</v>
      </c>
      <c r="D3837" s="24"/>
      <c r="E3837" s="24"/>
    </row>
    <row r="3838">
      <c r="A3838" s="25" t="s">
        <v>18392</v>
      </c>
      <c r="B3838" s="25" t="s">
        <v>18430</v>
      </c>
      <c r="C3838" s="26" t="str">
        <f>HYPERLINK("https://audio.iskcondesiretree.com/02_-_ISKCON_Swamis/ISKCON_Swamis_-_R_to_Y/His_Holiness_Radhanath_Swami/Lectures/01_-_Theme_wise/Holy_Name/Chanting_the_Holy_Name_with_Humility_%26_Sincerity_IDesireTree.mp3", "Chanting_the_Holy_Name_with_Humility_%26_Sincerity_IDesireTree.mp3")</f>
        <v>Chanting_the_Holy_Name_with_Humility_%26_Sincerity_IDesireTree.mp3</v>
      </c>
      <c r="D3838" s="24"/>
      <c r="E3838" s="24"/>
    </row>
    <row r="3839">
      <c r="A3839" s="25" t="s">
        <v>18392</v>
      </c>
      <c r="B3839" s="25" t="s">
        <v>18430</v>
      </c>
      <c r="C3839" s="26" t="str">
        <f>HYPERLINK("https://audio.iskcondesiretree.com/02_-_ISKCON_Swamis/ISKCON_Swamis_-_R_to_Y/His_Holiness_Radhanath_Swami/Lectures/01_-_Theme_wise/Holy_Name/Controlling_Mind_by_Attentively_Chanting_Holy_Name_SB-05-06-03_-_Mumbai_19-03-05_IDesireTree.mp3", "Controlling_Mind_by_Attentively_Chanting_Holy_Name_SB-05-06-03_-_Mumbai_19-03-05_IDesireTree.mp3")</f>
        <v>Controlling_Mind_by_Attentively_Chanting_Holy_Name_SB-05-06-03_-_Mumbai_19-03-05_IDesireTree.mp3</v>
      </c>
      <c r="D3839" s="24"/>
      <c r="E3839" s="24"/>
    </row>
    <row r="3840">
      <c r="A3840" s="25" t="s">
        <v>18392</v>
      </c>
      <c r="B3840" s="25" t="s">
        <v>18430</v>
      </c>
      <c r="C3840" s="26" t="str">
        <f>HYPERLINK("https://audio.iskcondesiretree.com/02_-_ISKCON_Swamis/ISKCON_Swamis_-_R_to_Y/His_Holiness_Radhanath_Swami/Lectures/01_-_Theme_wise/Holy_Name/Crying_Out_For_the_Mercy_of_the_Holy_Name_IDesireTree.mp3", "Crying_Out_For_the_Mercy_of_the_Holy_Name_IDesireTree.mp3")</f>
        <v>Crying_Out_For_the_Mercy_of_the_Holy_Name_IDesireTree.mp3</v>
      </c>
      <c r="D3840" s="24"/>
      <c r="E3840" s="24"/>
    </row>
    <row r="3841">
      <c r="A3841" s="25" t="s">
        <v>18392</v>
      </c>
      <c r="B3841" s="25" t="s">
        <v>18430</v>
      </c>
      <c r="C3841" s="26" t="str">
        <f>HYPERLINK("https://audio.iskcondesiretree.com/02_-_ISKCON_Swamis/ISKCON_Swamis_-_R_to_Y/His_Holiness_Radhanath_Swami/Lectures/01_-_Theme_wise/Holy_Name/Explaining_the_Sikshastakam_Verse_IDesireTree.mp3", "Explaining_the_Sikshastakam_Verse_IDesireTree.mp3")</f>
        <v>Explaining_the_Sikshastakam_Verse_IDesireTree.mp3</v>
      </c>
      <c r="D3841" s="24"/>
      <c r="E3841" s="24"/>
    </row>
    <row r="3842">
      <c r="A3842" s="25" t="s">
        <v>18392</v>
      </c>
      <c r="B3842" s="25" t="s">
        <v>18430</v>
      </c>
      <c r="C3842" s="26" t="str">
        <f>HYPERLINK("https://audio.iskcondesiretree.com/02_-_ISKCON_Swamis/ISKCON_Swamis_-_R_to_Y/His_Holiness_Radhanath_Swami/Lectures/01_-_Theme_wise/Holy_Name/Holy_Name_-_The_Weapon_of_Lord_Chaitanya_-_Mumbai_31-03-05_IDesireTree.mp3", "Holy_Name_-_The_Weapon_of_Lord_Chaitanya_-_Mumbai_31-03-05_IDesireTree.mp3")</f>
        <v>Holy_Name_-_The_Weapon_of_Lord_Chaitanya_-_Mumbai_31-03-05_IDesireTree.mp3</v>
      </c>
      <c r="D3842" s="24"/>
      <c r="E3842" s="24"/>
    </row>
    <row r="3843">
      <c r="A3843" s="25" t="s">
        <v>18392</v>
      </c>
      <c r="B3843" s="25" t="s">
        <v>18430</v>
      </c>
      <c r="C3843" s="26" t="str">
        <f>HYPERLINK("https://audio.iskcondesiretree.com/02_-_ISKCON_Swamis/ISKCON_Swamis_-_R_to_Y/His_Holiness_Radhanath_Swami/Lectures/01_-_Theme_wise/Holy_Name/Hurricane_or_Harinaam_-_Prerana_-_Mumbai_24-09-05_IDesireTree.MP3", "Hurricane_or_Harinaam_-_Prerana_-_Mumbai_24-09-05_IDesireTree.MP3")</f>
        <v>Hurricane_or_Harinaam_-_Prerana_-_Mumbai_24-09-05_IDesireTree.MP3</v>
      </c>
      <c r="D3843" s="24"/>
      <c r="E3843" s="24"/>
    </row>
    <row r="3844">
      <c r="A3844" s="25" t="s">
        <v>18392</v>
      </c>
      <c r="B3844" s="25" t="s">
        <v>18430</v>
      </c>
      <c r="C3844" s="26" t="str">
        <f>HYPERLINK("https://audio.iskcondesiretree.com/02_-_ISKCON_Swamis/ISKCON_Swamis_-_R_to_Y/His_Holiness_Radhanath_Swami/Lectures/01_-_Theme_wise/Holy_Name/Melting_the_Steel_Heart_by_Chanting_the_Holy_Name_IDesireTree.mp3", "Melting_the_Steel_Heart_by_Chanting_the_Holy_Name_IDesireTree.mp3")</f>
        <v>Melting_the_Steel_Heart_by_Chanting_the_Holy_Name_IDesireTree.mp3</v>
      </c>
      <c r="D3844" s="24"/>
      <c r="E3844" s="24"/>
    </row>
    <row r="3845">
      <c r="A3845" s="25" t="s">
        <v>18392</v>
      </c>
      <c r="B3845" s="25" t="s">
        <v>18430</v>
      </c>
      <c r="C3845" s="26" t="str">
        <f>HYPERLINK("https://audio.iskcondesiretree.com/02_-_ISKCON_Swamis/ISKCON_Swamis_-_R_to_Y/His_Holiness_Radhanath_Swami/Lectures/01_-_Theme_wise/Holy_Name/Protect_Yourself_by_Chanting_Holy_Name_SB-05-06-04_-_Mumbai_20-03-05_IDesireTree.mp3", "Protect_Yourself_by_Chanting_Holy_Name_SB-05-06-04_-_Mumbai_20-03-05_IDesireTree.mp3")</f>
        <v>Protect_Yourself_by_Chanting_Holy_Name_SB-05-06-04_-_Mumbai_20-03-05_IDesireTree.mp3</v>
      </c>
      <c r="D3845" s="24"/>
      <c r="E3845" s="24"/>
    </row>
    <row r="3846">
      <c r="A3846" s="25" t="s">
        <v>18392</v>
      </c>
      <c r="B3846" s="25" t="s">
        <v>18430</v>
      </c>
      <c r="C3846" s="26" t="str">
        <f>HYPERLINK("https://audio.iskcondesiretree.com/02_-_ISKCON_Swamis/ISKCON_Swamis_-_R_to_Y/His_Holiness_Radhanath_Swami/Lectures/01_-_Theme_wise/Holy_Name/Removing_Poison_by_Chanting_the_Holy_Name_IDesireTree.mp3", "Removing_Poison_by_Chanting_the_Holy_Name_IDesireTree.mp3")</f>
        <v>Removing_Poison_by_Chanting_the_Holy_Name_IDesireTree.mp3</v>
      </c>
      <c r="D3846" s="24"/>
      <c r="E3846" s="24"/>
    </row>
    <row r="3847">
      <c r="A3847" s="25" t="s">
        <v>18392</v>
      </c>
      <c r="B3847" s="25" t="s">
        <v>18430</v>
      </c>
      <c r="C3847" s="26" t="str">
        <f>HYPERLINK("https://audio.iskcondesiretree.com/02_-_ISKCON_Swamis/ISKCON_Swamis_-_R_to_Y/His_Holiness_Radhanath_Swami/Lectures/01_-_Theme_wise/Holy_Name/The_Glories_of_Holy_Name_-_Saranagati_temple_11-07-04_IDesireTree.mp3", "The_Glories_of_Holy_Name_-_Saranagati_temple_11-07-04_IDesireTree.mp3")</f>
        <v>The_Glories_of_Holy_Name_-_Saranagati_temple_11-07-04_IDesireTree.mp3</v>
      </c>
      <c r="D3847" s="24"/>
      <c r="E3847" s="24"/>
    </row>
    <row r="3848">
      <c r="A3848" s="25" t="s">
        <v>18392</v>
      </c>
      <c r="B3848" s="25" t="s">
        <v>18430</v>
      </c>
      <c r="C3848" s="26" t="str">
        <f>HYPERLINK("https://audio.iskcondesiretree.com/02_-_ISKCON_Swamis/ISKCON_Swamis_-_R_to_Y/His_Holiness_Radhanath_Swami/Lectures/01_-_Theme_wise/Holy_Name/The_Power_of_Holy_Name_-_Chicago_27-04-04_IDesireTree.mp3", "The_Power_of_Holy_Name_-_Chicago_27-04-04_IDesireTree.mp3")</f>
        <v>The_Power_of_Holy_Name_-_Chicago_27-04-04_IDesireTree.mp3</v>
      </c>
      <c r="D3848" s="24"/>
      <c r="E3848" s="24"/>
    </row>
    <row r="3849">
      <c r="A3849" s="25" t="s">
        <v>18392</v>
      </c>
      <c r="B3849" s="25" t="s">
        <v>18430</v>
      </c>
      <c r="C3849" s="26" t="str">
        <f>HYPERLINK("https://audio.iskcondesiretree.com/02_-_ISKCON_Swamis/ISKCON_Swamis_-_R_to_Y/His_Holiness_Radhanath_Swami/Lectures/01_-_Theme_wise/Holy_Name/The_Power_of_Holy_Name_SB-06-08-19_-_New_Vrindavan_30-5-04_IDesireTree.mp3", "The_Power_of_Holy_Name_SB-06-08-19_-_New_Vrindavan_30-5-04_IDesireTree.mp3")</f>
        <v>The_Power_of_Holy_Name_SB-06-08-19_-_New_Vrindavan_30-5-04_IDesireTree.mp3</v>
      </c>
      <c r="D3849" s="24"/>
      <c r="E3849" s="24"/>
    </row>
    <row r="3850">
      <c r="A3850" s="25" t="s">
        <v>18392</v>
      </c>
      <c r="B3850" s="25" t="s">
        <v>18431</v>
      </c>
      <c r="C3850" s="26" t="str">
        <f>HYPERLINK("https://audio.iskcondesiretree.com/02_-_ISKCON_Swamis/ISKCON_Swamis_-_R_to_Y/His_Holiness_Radhanath_Swami/Lectures/01_-_Theme_wise/Humility/01.Willingness_to_Take_Humble_Position_%26_Forgive_-_Radhanath_Swami_Mumbai_2004-10-24_IDesireTree.mp3", "01.Willingness_to_Take_Humble_Position_%26_Forgive_-_Radhanath_Swami_Mumbai_2004-10-24_IDesireTree.mp3")</f>
        <v>01.Willingness_to_Take_Humble_Position_%26_Forgive_-_Radhanath_Swami_Mumbai_2004-10-24_IDesireTree.mp3</v>
      </c>
      <c r="D3850" s="24"/>
      <c r="E3850" s="24"/>
    </row>
    <row r="3851">
      <c r="A3851" s="25" t="s">
        <v>18392</v>
      </c>
      <c r="B3851" s="25" t="s">
        <v>18431</v>
      </c>
      <c r="C3851" s="26" t="str">
        <f>HYPERLINK("https://audio.iskcondesiretree.com/02_-_ISKCON_Swamis/ISKCON_Swamis_-_R_to_Y/His_Holiness_Radhanath_Swami/Lectures/01_-_Theme_wise/Humility/02.Humility_%26_Gratitude-Must_To_Receive_Krishna%27s_Mercy_-_Jagannath_Misra_Festival_-_Mumbai_IDesireTree.mp3", "02.Humility_%26_Gratitude-Must_To_Receive_Krishna%27s_Mercy_-_Jagannath_Misra_Festival_-_Mumbai_IDesireTree.mp3")</f>
        <v>02.Humility_%26_Gratitude-Must_To_Receive_Krishna%27s_Mercy_-_Jagannath_Misra_Festival_-_Mumbai_IDesireTree.mp3</v>
      </c>
      <c r="D3851" s="24"/>
      <c r="E3851" s="24"/>
    </row>
    <row r="3852">
      <c r="A3852" s="25" t="s">
        <v>18392</v>
      </c>
      <c r="B3852" s="25" t="s">
        <v>18431</v>
      </c>
      <c r="C3852" s="26" t="str">
        <f>HYPERLINK("https://audio.iskcondesiretree.com/02_-_ISKCON_Swamis/ISKCON_Swamis_-_R_to_Y/His_Holiness_Radhanath_Swami/Lectures/01_-_Theme_wise/Humility/03.SB_07-09-08_-_Krishna_Protects_Meek_%26_Humble_-_Radhanath_Swami_2007-04-29_IDesireTree.MP3", "03.SB_07-09-08_-_Krishna_Protects_Meek_%26_Humble_-_Radhanath_Swami_2007-04-29_IDesireTree.MP3")</f>
        <v>03.SB_07-09-08_-_Krishna_Protects_Meek_%26_Humble_-_Radhanath_Swami_2007-04-29_IDesireTree.MP3</v>
      </c>
      <c r="D3852" s="24"/>
      <c r="E3852" s="24"/>
    </row>
    <row r="3853">
      <c r="A3853" s="25" t="s">
        <v>18392</v>
      </c>
      <c r="B3853" s="25" t="s">
        <v>18431</v>
      </c>
      <c r="C3853" s="26" t="str">
        <f>HYPERLINK("https://audio.iskcondesiretree.com/02_-_ISKCON_Swamis/ISKCON_Swamis_-_R_to_Y/His_Holiness_Radhanath_Swami/Lectures/01_-_Theme_wise/Humility/04.Chanting_the_Holy_Name_with_Humility_%26_Sincerity_-_Radhanath_Swami_IDesireTree.mp3", "04.Chanting_the_Holy_Name_with_Humility_%26_Sincerity_-_Radhanath_Swami_IDesireTree.mp3")</f>
        <v>04.Chanting_the_Holy_Name_with_Humility_%26_Sincerity_-_Radhanath_Swami_IDesireTree.mp3</v>
      </c>
      <c r="D3853" s="24"/>
      <c r="E3853" s="24"/>
    </row>
    <row r="3854">
      <c r="A3854" s="25" t="s">
        <v>18392</v>
      </c>
      <c r="B3854" s="25" t="s">
        <v>18431</v>
      </c>
      <c r="C3854" s="26" t="str">
        <f>HYPERLINK("https://audio.iskcondesiretree.com/02_-_ISKCON_Swamis/ISKCON_Swamis_-_R_to_Y/His_Holiness_Radhanath_Swami/Lectures/01_-_Theme_wise/Humility/05.Ramanujacarya_-_Emblem_of_complete_Surrender_%26_Humility_-_Radhanath_Swami_IDesireTree.mp3", "05.Ramanujacarya_-_Emblem_of_complete_Surrender_%26_Humility_-_Radhanath_Swami_IDesireTree.mp3")</f>
        <v>05.Ramanujacarya_-_Emblem_of_complete_Surrender_%26_Humility_-_Radhanath_Swami_IDesireTree.mp3</v>
      </c>
      <c r="D3854" s="24"/>
      <c r="E3854" s="24"/>
    </row>
    <row r="3855">
      <c r="A3855" s="25" t="s">
        <v>18392</v>
      </c>
      <c r="B3855" s="25" t="s">
        <v>18431</v>
      </c>
      <c r="C3855" s="26" t="str">
        <f>HYPERLINK("https://audio.iskcondesiretree.com/02_-_ISKCON_Swamis/ISKCON_Swamis_-_R_to_Y/His_Holiness_Radhanath_Swami/Lectures/01_-_Theme_wise/Humility/06.Supreme_humility_of_Sana_-_Radhanath_Swami_IDesireTree.MP3", "06.Supreme_humility_of_Sana_-_Radhanath_Swami_IDesireTree.MP3")</f>
        <v>06.Supreme_humility_of_Sana_-_Radhanath_Swami_IDesireTree.MP3</v>
      </c>
      <c r="D3855" s="24"/>
      <c r="E3855" s="24"/>
    </row>
    <row r="3856">
      <c r="A3856" s="25" t="s">
        <v>18392</v>
      </c>
      <c r="B3856" s="25" t="s">
        <v>18431</v>
      </c>
      <c r="C3856" s="26" t="str">
        <f>HYPERLINK("https://audio.iskcondesiretree.com/02_-_ISKCON_Swamis/ISKCON_Swamis_-_R_to_Y/His_Holiness_Radhanath_Swami/Lectures/01_-_Theme_wise/Humility/07.Serving_the_Lord_with_Humility_%26_Devotion_-_Radhanath_Swami_IDesireTree.mp3", "07.Serving_the_Lord_with_Humility_%26_Devotion_-_Radhanath_Swami_IDesireTree.mp3")</f>
        <v>07.Serving_the_Lord_with_Humility_%26_Devotion_-_Radhanath_Swami_IDesireTree.mp3</v>
      </c>
      <c r="D3856" s="24"/>
      <c r="E3856" s="24"/>
    </row>
    <row r="3857">
      <c r="A3857" s="25" t="s">
        <v>18392</v>
      </c>
      <c r="B3857" s="25" t="s">
        <v>18431</v>
      </c>
      <c r="C3857" s="26" t="str">
        <f>HYPERLINK("https://audio.iskcondesiretree.com/02_-_ISKCON_Swamis/ISKCON_Swamis_-_R_to_Y/His_Holiness_Radhanath_Swami/Lectures/01_-_Theme_wise/Humility/08.Serve_with_Humility_and_Gratitude_-_Concluding_lecture_-_Radhanath_Swami_IDesireTree.mp3", "08.Serve_with_Humility_and_Gratitude_-_Concluding_lecture_-_Radhanath_Swami_IDesireTree.mp3")</f>
        <v>08.Serve_with_Humility_and_Gratitude_-_Concluding_lecture_-_Radhanath_Swami_IDesireTree.mp3</v>
      </c>
      <c r="D3857" s="24"/>
      <c r="E3857" s="24"/>
    </row>
    <row r="3858">
      <c r="A3858" s="25" t="s">
        <v>18392</v>
      </c>
      <c r="B3858" s="25" t="s">
        <v>18431</v>
      </c>
      <c r="C3858" s="26" t="str">
        <f>HYPERLINK("https://audio.iskcondesiretree.com/02_-_ISKCON_Swamis/ISKCON_Swamis_-_R_to_Y/His_Holiness_Radhanath_Swami/Lectures/01_-_Theme_wise/Humility/1989-025_Humble_And_Tolerant_SB_07-10-5_-_Radhanath_Swami_Mumbai_1989-08-03_IDesireTree.mp3", "1989-025_Humble_And_Tolerant_SB_07-10-5_-_Radhanath_Swami_Mumbai_1989-08-03_IDesireTree.mp3")</f>
        <v>1989-025_Humble_And_Tolerant_SB_07-10-5_-_Radhanath_Swami_Mumbai_1989-08-03_IDesireTree.mp3</v>
      </c>
      <c r="D3858" s="24"/>
      <c r="E3858" s="24"/>
    </row>
    <row r="3859">
      <c r="A3859" s="25" t="s">
        <v>18392</v>
      </c>
      <c r="B3859" s="25" t="s">
        <v>18431</v>
      </c>
      <c r="C3859" s="26" t="str">
        <f>HYPERLINK("https://audio.iskcondesiretree.com/02_-_ISKCON_Swamis/ISKCON_Swamis_-_R_to_Y/His_Holiness_Radhanath_Swami/Lectures/01_-_Theme_wise/Humility/1990-060_Humility_BG_18-55_-_Radhanath_Swami_Mumbai_1990-08-11_IDesireTree.mp3", "1990-060_Humility_BG_18-55_-_Radhanath_Swami_Mumbai_1990-08-11_IDesireTree.mp3")</f>
        <v>1990-060_Humility_BG_18-55_-_Radhanath_Swami_Mumbai_1990-08-11_IDesireTree.mp3</v>
      </c>
      <c r="D3859" s="24"/>
      <c r="E3859" s="24"/>
    </row>
    <row r="3860">
      <c r="A3860" s="25" t="s">
        <v>18392</v>
      </c>
      <c r="B3860" s="25" t="s">
        <v>18431</v>
      </c>
      <c r="C3860" s="26" t="str">
        <f>HYPERLINK("https://audio.iskcondesiretree.com/02_-_ISKCON_Swamis/ISKCON_Swamis_-_R_to_Y/His_Holiness_Radhanath_Swami/Lectures/01_-_Theme_wise/Humility/1991-011_Being_A_Humble_Servant_SB_09-04-24_-_Radhanath_Swami_Mumbai_1991-02-01_IDesireTree.mp3", "1991-011_Being_A_Humble_Servant_SB_09-04-24_-_Radhanath_Swami_Mumbai_1991-02-01_IDesireTree.mp3")</f>
        <v>1991-011_Being_A_Humble_Servant_SB_09-04-24_-_Radhanath_Swami_Mumbai_1991-02-01_IDesireTree.mp3</v>
      </c>
      <c r="D3860" s="24"/>
      <c r="E3860" s="24"/>
    </row>
    <row r="3861">
      <c r="A3861" s="25" t="s">
        <v>18392</v>
      </c>
      <c r="B3861" s="25" t="s">
        <v>18431</v>
      </c>
      <c r="C3861" s="26" t="str">
        <f>HYPERLINK("https://audio.iskcondesiretree.com/02_-_ISKCON_Swamis/ISKCON_Swamis_-_R_to_Y/His_Holiness_Radhanath_Swami/Lectures/01_-_Theme_wise/Humility/1992-070_Developing_Humility_Lecture_-_Radhanath_Swami_Mumbai_1992-08-14_IDesireTree.mp3", "1992-070_Developing_Humility_Lecture_-_Radhanath_Swami_Mumbai_1992-08-14_IDesireTree.mp3")</f>
        <v>1992-070_Developing_Humility_Lecture_-_Radhanath_Swami_Mumbai_1992-08-14_IDesireTree.mp3</v>
      </c>
      <c r="D3861" s="24"/>
      <c r="E3861" s="24"/>
    </row>
    <row r="3862">
      <c r="A3862" s="25" t="s">
        <v>18392</v>
      </c>
      <c r="B3862" s="25" t="s">
        <v>18431</v>
      </c>
      <c r="C3862" s="26" t="str">
        <f>HYPERLINK("https://audio.iskcondesiretree.com/02_-_ISKCON_Swamis/ISKCON_Swamis_-_R_to_Y/His_Holiness_Radhanath_Swami/Lectures/01_-_Theme_wise/Humility/1992-083_Greatness_Of_Krishna_SB_10-03-39_-_Radhanath_Swami_Mumbai_1992-08-20_IDesireTree.mp3", "1992-083_Greatness_Of_Krishna_SB_10-03-39_-_Radhanath_Swami_Mumbai_1992-08-20_IDesireTree.mp3")</f>
        <v>1992-083_Greatness_Of_Krishna_SB_10-03-39_-_Radhanath_Swami_Mumbai_1992-08-20_IDesireTree.mp3</v>
      </c>
      <c r="D3862" s="24"/>
      <c r="E3862" s="24"/>
    </row>
    <row r="3863">
      <c r="A3863" s="25" t="s">
        <v>18392</v>
      </c>
      <c r="B3863" s="25" t="s">
        <v>18431</v>
      </c>
      <c r="C3863" s="26" t="str">
        <f>HYPERLINK("https://audio.iskcondesiretree.com/02_-_ISKCON_Swamis/ISKCON_Swamis_-_R_to_Y/His_Holiness_Radhanath_Swami/Lectures/01_-_Theme_wise/Humility/1992-100_Real_Humility_SB_10-14-28_-_Radhanath_Swami_Mumbai_1992-10-05_IDesireTree.mp3", "1992-100_Real_Humility_SB_10-14-28_-_Radhanath_Swami_Mumbai_1992-10-05_IDesireTree.mp3")</f>
        <v>1992-100_Real_Humility_SB_10-14-28_-_Radhanath_Swami_Mumbai_1992-10-05_IDesireTree.mp3</v>
      </c>
      <c r="D3863" s="24"/>
      <c r="E3863" s="24"/>
    </row>
    <row r="3864">
      <c r="A3864" s="25" t="s">
        <v>18392</v>
      </c>
      <c r="B3864" s="25" t="s">
        <v>18431</v>
      </c>
      <c r="C3864" s="26" t="str">
        <f>HYPERLINK("https://audio.iskcondesiretree.com/02_-_ISKCON_Swamis/ISKCON_Swamis_-_R_to_Y/His_Holiness_Radhanath_Swami/Lectures/01_-_Theme_wise/Humility/1992-105_We_Are_Really_Insignificant_SB_10-14-10_-_Radhanath_Swami_Mumbai_1992-09-18_IDesireTree.mp3", "1992-105_We_Are_Really_Insignificant_SB_10-14-10_-_Radhanath_Swami_Mumbai_1992-09-18_IDesireTree.mp3")</f>
        <v>1992-105_We_Are_Really_Insignificant_SB_10-14-10_-_Radhanath_Swami_Mumbai_1992-09-18_IDesireTree.mp3</v>
      </c>
      <c r="D3864" s="24"/>
      <c r="E3864" s="24"/>
    </row>
    <row r="3865">
      <c r="A3865" s="25" t="s">
        <v>18392</v>
      </c>
      <c r="B3865" s="25" t="s">
        <v>18431</v>
      </c>
      <c r="C3865" s="26" t="str">
        <f>HYPERLINK("https://audio.iskcondesiretree.com/02_-_ISKCON_Swamis/ISKCON_Swamis_-_R_to_Y/His_Holiness_Radhanath_Swami/Lectures/01_-_Theme_wise/Humility/1992-115_Humble_Servant_Attitude_SB_10-14-56_-_Radhanath_Swami_Mumbai_1992-09-14_IDesireTree.mp3", "1992-115_Humble_Servant_Attitude_SB_10-14-56_-_Radhanath_Swami_Mumbai_1992-09-14_IDesireTree.mp3")</f>
        <v>1992-115_Humble_Servant_Attitude_SB_10-14-56_-_Radhanath_Swami_Mumbai_1992-09-14_IDesireTree.mp3</v>
      </c>
      <c r="D3865" s="24"/>
      <c r="E3865" s="24"/>
    </row>
    <row r="3866">
      <c r="A3866" s="25" t="s">
        <v>18392</v>
      </c>
      <c r="B3866" s="25" t="s">
        <v>18431</v>
      </c>
      <c r="C3866" s="26" t="str">
        <f>HYPERLINK("https://audio.iskcondesiretree.com/02_-_ISKCON_Swamis/ISKCON_Swamis_-_R_to_Y/His_Holiness_Radhanath_Swami/Lectures/01_-_Theme_wise/Humility/1993-116_Thinking_Oneself_Lowly_SB_10-33-31-35_-_Radhanath_Swami_1993-06-12_IDesireTree.mp3", "1993-116_Thinking_Oneself_Lowly_SB_10-33-31-35_-_Radhanath_Swami_1993-06-12_IDesireTree.mp3")</f>
        <v>1993-116_Thinking_Oneself_Lowly_SB_10-33-31-35_-_Radhanath_Swami_1993-06-12_IDesireTree.mp3</v>
      </c>
      <c r="D3866" s="24"/>
      <c r="E3866" s="24"/>
    </row>
    <row r="3867">
      <c r="A3867" s="25" t="s">
        <v>18392</v>
      </c>
      <c r="B3867" s="25" t="s">
        <v>18431</v>
      </c>
      <c r="C3867" s="26" t="str">
        <f>HYPERLINK("https://audio.iskcondesiretree.com/02_-_ISKCON_Swamis/ISKCON_Swamis_-_R_to_Y/His_Holiness_Radhanath_Swami/Lectures/01_-_Theme_wise/Humility/1993-163_Uddavas_Humility_SB_10-49-22-25_-_Radhanath_Swami_Mumbai_1993-10-29_IDesireTree.mp3", "1993-163_Uddavas_Humility_SB_10-49-22-25_-_Radhanath_Swami_Mumbai_1993-10-29_IDesireTree.mp3")</f>
        <v>1993-163_Uddavas_Humility_SB_10-49-22-25_-_Radhanath_Swami_Mumbai_1993-10-29_IDesireTree.mp3</v>
      </c>
      <c r="D3867" s="24"/>
      <c r="E3867" s="24"/>
    </row>
    <row r="3868">
      <c r="A3868" s="25" t="s">
        <v>18392</v>
      </c>
      <c r="B3868" s="25" t="s">
        <v>18431</v>
      </c>
      <c r="C3868" s="26" t="str">
        <f>HYPERLINK("https://audio.iskcondesiretree.com/02_-_ISKCON_Swamis/ISKCON_Swamis_-_R_to_Y/His_Holiness_Radhanath_Swami/Lectures/01_-_Theme_wise/Humility/1993-170_Uddava_Realies_True_Humility_SB_10-47-53_-_Radhanath_Swami_Mumbai_1993-11-16_IDesireTree.mp3", "1993-170_Uddava_Realies_True_Humility_SB_10-47-53_-_Radhanath_Swami_Mumbai_1993-11-16_IDesireTree.mp3")</f>
        <v>1993-170_Uddava_Realies_True_Humility_SB_10-47-53_-_Radhanath_Swami_Mumbai_1993-11-16_IDesireTree.mp3</v>
      </c>
      <c r="D3868" s="24"/>
      <c r="E3868" s="24"/>
    </row>
    <row r="3869">
      <c r="A3869" s="25" t="s">
        <v>18392</v>
      </c>
      <c r="B3869" s="25" t="s">
        <v>18431</v>
      </c>
      <c r="C3869" s="26" t="str">
        <f>HYPERLINK("https://audio.iskcondesiretree.com/02_-_ISKCON_Swamis/ISKCON_Swamis_-_R_to_Y/His_Holiness_Radhanath_Swami/Lectures/01_-_Theme_wise/Humility/1994-006_Humbling_Ourselves_SB_01-02-19_-_Radhanath_Swami_Mumbai_1994-01-13_IDesireTree.mp3", "1994-006_Humbling_Ourselves_SB_01-02-19_-_Radhanath_Swami_Mumbai_1994-01-13_IDesireTree.mp3")</f>
        <v>1994-006_Humbling_Ourselves_SB_01-02-19_-_Radhanath_Swami_Mumbai_1994-01-13_IDesireTree.mp3</v>
      </c>
      <c r="D3869" s="24"/>
      <c r="E3869" s="24"/>
    </row>
    <row r="3870">
      <c r="A3870" s="25" t="s">
        <v>18392</v>
      </c>
      <c r="B3870" s="25" t="s">
        <v>18431</v>
      </c>
      <c r="C3870" s="26" t="str">
        <f>HYPERLINK("https://audio.iskcondesiretree.com/02_-_ISKCON_Swamis/ISKCON_Swamis_-_R_to_Y/His_Holiness_Radhanath_Swami/Lectures/01_-_Theme_wise/Humility/1994-012_Accepting_Mercy_with_Humility-I_SB_02-03-21_-_Radhanath_Swami_Pune_1994-01-23_IDesireTree.mp3", "1994-012_Accepting_Mercy_with_Humility-I_SB_02-03-21_-_Radhanath_Swami_Pune_1994-01-23_IDesireTree.mp3")</f>
        <v>1994-012_Accepting_Mercy_with_Humility-I_SB_02-03-21_-_Radhanath_Swami_Pune_1994-01-23_IDesireTree.mp3</v>
      </c>
      <c r="D3870" s="24"/>
      <c r="E3870" s="24"/>
    </row>
    <row r="3871">
      <c r="A3871" s="25" t="s">
        <v>18392</v>
      </c>
      <c r="B3871" s="25" t="s">
        <v>18431</v>
      </c>
      <c r="C3871" s="26" t="str">
        <f>HYPERLINK("https://audio.iskcondesiretree.com/02_-_ISKCON_Swamis/ISKCON_Swamis_-_R_to_Y/His_Holiness_Radhanath_Swami/Lectures/01_-_Theme_wise/Humility/1994-013_Accepting_Mercy_with_Humility-II_Lecture_-_Radhanath_Swami_Pune_1994-01-23_IDesireTree.mp3", "1994-013_Accepting_Mercy_with_Humility-II_Lecture_-_Radhanath_Swami_Pune_1994-01-23_IDesireTree.mp3")</f>
        <v>1994-013_Accepting_Mercy_with_Humility-II_Lecture_-_Radhanath_Swami_Pune_1994-01-23_IDesireTree.mp3</v>
      </c>
      <c r="D3871" s="24"/>
      <c r="E3871" s="24"/>
    </row>
    <row r="3872">
      <c r="A3872" s="25" t="s">
        <v>18392</v>
      </c>
      <c r="B3872" s="25" t="s">
        <v>18431</v>
      </c>
      <c r="C3872" s="26" t="str">
        <f>HYPERLINK("https://audio.iskcondesiretree.com/02_-_ISKCON_Swamis/ISKCON_Swamis_-_R_to_Y/His_Holiness_Radhanath_Swami/Lectures/01_-_Theme_wise/Humility/1994-063_Humility_%26_Pride_SB_01-11-01_-_Radhanath_Swami_Mumbai_1994-04-07_IDesireTree.mp3", "1994-063_Humility_%26_Pride_SB_01-11-01_-_Radhanath_Swami_Mumbai_1994-04-07_IDesireTree.mp3")</f>
        <v>1994-063_Humility_%26_Pride_SB_01-11-01_-_Radhanath_Swami_Mumbai_1994-04-07_IDesireTree.mp3</v>
      </c>
      <c r="D3872" s="24"/>
      <c r="E3872" s="24"/>
    </row>
    <row r="3873">
      <c r="A3873" s="25" t="s">
        <v>18392</v>
      </c>
      <c r="B3873" s="25" t="s">
        <v>18431</v>
      </c>
      <c r="C3873" s="26" t="str">
        <f>HYPERLINK("https://audio.iskcondesiretree.com/02_-_ISKCON_Swamis/ISKCON_Swamis_-_R_to_Y/His_Holiness_Radhanath_Swami/Lectures/01_-_Theme_wise/Humility/1994-094_Positive_Humility_SB_10-58-08_-_Radhanath_Swami_Mumbai_1994-05-15_IDesireTree.mp3", "1994-094_Positive_Humility_SB_10-58-08_-_Radhanath_Swami_Mumbai_1994-05-15_IDesireTree.mp3")</f>
        <v>1994-094_Positive_Humility_SB_10-58-08_-_Radhanath_Swami_Mumbai_1994-05-15_IDesireTree.mp3</v>
      </c>
      <c r="D3873" s="24"/>
      <c r="E3873" s="24"/>
    </row>
    <row r="3874">
      <c r="A3874" s="25" t="s">
        <v>18392</v>
      </c>
      <c r="B3874" s="25" t="s">
        <v>18431</v>
      </c>
      <c r="C3874" s="26" t="str">
        <f>HYPERLINK("https://audio.iskcondesiretree.com/02_-_ISKCON_Swamis/ISKCON_Swamis_-_R_to_Y/His_Holiness_Radhanath_Swami/Lectures/01_-_Theme_wise/Humility/1994-177_Accept_Knowledge_Humbly_SB_01-04-33_-_Radhanath_Swami_Mumbai_1994-10-06_IDesireTree.mp3", "1994-177_Accept_Knowledge_Humbly_SB_01-04-33_-_Radhanath_Swami_Mumbai_1994-10-06_IDesireTree.mp3")</f>
        <v>1994-177_Accept_Knowledge_Humbly_SB_01-04-33_-_Radhanath_Swami_Mumbai_1994-10-06_IDesireTree.mp3</v>
      </c>
      <c r="D3874" s="24"/>
      <c r="E3874" s="24"/>
    </row>
    <row r="3875">
      <c r="A3875" s="25" t="s">
        <v>18392</v>
      </c>
      <c r="B3875" s="25" t="s">
        <v>18431</v>
      </c>
      <c r="C3875" s="26" t="str">
        <f>HYPERLINK("https://audio.iskcondesiretree.com/02_-_ISKCON_Swamis/ISKCON_Swamis_-_R_to_Y/His_Holiness_Radhanath_Swami/Lectures/01_-_Theme_wise/Humility/1995-075_Become_Humble_SB_01-09-04_-_Radhanath_Swami_Mumbai_1995-04-01_IDesireTree.mp3", "1995-075_Become_Humble_SB_01-09-04_-_Radhanath_Swami_Mumbai_1995-04-01_IDesireTree.mp3")</f>
        <v>1995-075_Become_Humble_SB_01-09-04_-_Radhanath_Swami_Mumbai_1995-04-01_IDesireTree.mp3</v>
      </c>
      <c r="D3875" s="24"/>
      <c r="E3875" s="24"/>
    </row>
    <row r="3876">
      <c r="A3876" s="25" t="s">
        <v>18392</v>
      </c>
      <c r="B3876" s="25" t="s">
        <v>18431</v>
      </c>
      <c r="C3876" s="26" t="str">
        <f>HYPERLINK("https://audio.iskcondesiretree.com/02_-_ISKCON_Swamis/ISKCON_Swamis_-_R_to_Y/His_Holiness_Radhanath_Swami/Lectures/01_-_Theme_wise/Humility/1995-122_Humility_Not_Pride_Can_Win_Krsna_SB_01-13-50_-_Radhanath_Swami_Mumbai_1995-10-14_IDesireTree.mp3", "1995-122_Humility_Not_Pride_Can_Win_Krsna_SB_01-13-50_-_Radhanath_Swami_Mumbai_1995-10-14_IDesireTree.mp3")</f>
        <v>1995-122_Humility_Not_Pride_Can_Win_Krsna_SB_01-13-50_-_Radhanath_Swami_Mumbai_1995-10-14_IDesireTree.mp3</v>
      </c>
      <c r="D3876" s="24"/>
      <c r="E3876" s="24"/>
    </row>
    <row r="3877">
      <c r="A3877" s="25" t="s">
        <v>18392</v>
      </c>
      <c r="B3877" s="25" t="s">
        <v>18431</v>
      </c>
      <c r="C3877" s="26" t="str">
        <f>HYPERLINK("https://audio.iskcondesiretree.com/02_-_ISKCON_Swamis/ISKCON_Swamis_-_R_to_Y/His_Holiness_Radhanath_Swami/Lectures/01_-_Theme_wise/Humility/1996-073_How_Insignificant_We_Are%21_BG_08-18_-_Radhanath_Swami_Mumbai_1996-04-07_IDesireTree.mp3", "1996-073_How_Insignificant_We_Are%21_BG_08-18_-_Radhanath_Swami_Mumbai_1996-04-07_IDesireTree.mp3")</f>
        <v>1996-073_How_Insignificant_We_Are%21_BG_08-18_-_Radhanath_Swami_Mumbai_1996-04-07_IDesireTree.mp3</v>
      </c>
      <c r="D3877" s="24"/>
      <c r="E3877" s="24"/>
    </row>
    <row r="3878">
      <c r="A3878" s="25" t="s">
        <v>18392</v>
      </c>
      <c r="B3878" s="25" t="s">
        <v>18431</v>
      </c>
      <c r="C3878" s="26" t="str">
        <f>HYPERLINK("https://audio.iskcondesiretree.com/02_-_ISKCON_Swamis/ISKCON_Swamis_-_R_to_Y/His_Holiness_Radhanath_Swami/Lectures/01_-_Theme_wise/Humility/1996-101_Humility_Is_A_Must_SB_07-09-26-27_-_Radhanath_Swami_Mumbai_1996-04-28_IDesireTree.mp3", "1996-101_Humility_Is_A_Must_SB_07-09-26-27_-_Radhanath_Swami_Mumbai_1996-04-28_IDesireTree.mp3")</f>
        <v>1996-101_Humility_Is_A_Must_SB_07-09-26-27_-_Radhanath_Swami_Mumbai_1996-04-28_IDesireTree.mp3</v>
      </c>
      <c r="D3878" s="24"/>
      <c r="E3878" s="24"/>
    </row>
    <row r="3879">
      <c r="A3879" s="25" t="s">
        <v>18392</v>
      </c>
      <c r="B3879" s="25" t="s">
        <v>18431</v>
      </c>
      <c r="C3879" s="26" t="str">
        <f>HYPERLINK("https://audio.iskcondesiretree.com/02_-_ISKCON_Swamis/ISKCON_Swamis_-_R_to_Y/His_Holiness_Radhanath_Swami/Lectures/01_-_Theme_wise/Humility/1996-132_Holy_Name_Is_Realised_With_Humility_SB_02-03-25_-_Radhanath_Swami_Mumbai_1996-09-19_IDesireTree.mp3", "1996-132_Holy_Name_Is_Realised_With_Humility_SB_02-03-25_-_Radhanath_Swami_Mumbai_1996-09-19_IDesireTree.mp3")</f>
        <v>1996-132_Holy_Name_Is_Realised_With_Humility_SB_02-03-25_-_Radhanath_Swami_Mumbai_1996-09-19_IDesireTree.mp3</v>
      </c>
      <c r="D3879" s="24"/>
      <c r="E3879" s="24"/>
    </row>
    <row r="3880">
      <c r="A3880" s="25" t="s">
        <v>18392</v>
      </c>
      <c r="B3880" s="25" t="s">
        <v>18431</v>
      </c>
      <c r="C3880" s="26" t="str">
        <f>HYPERLINK("https://audio.iskcondesiretree.com/02_-_ISKCON_Swamis/ISKCON_Swamis_-_R_to_Y/His_Holiness_Radhanath_Swami/Lectures/01_-_Theme_wise/Humility/1996-149_Surrender_With_Humility_BG_02-04-07_-_Radhanath_Swami_Mumbai_1996-10-06_IDesireTree.mp3", "1996-149_Surrender_With_Humility_BG_02-04-07_-_Radhanath_Swami_Mumbai_1996-10-06_IDesireTree.mp3")</f>
        <v>1996-149_Surrender_With_Humility_BG_02-04-07_-_Radhanath_Swami_Mumbai_1996-10-06_IDesireTree.mp3</v>
      </c>
      <c r="D3880" s="24"/>
      <c r="E3880" s="24"/>
    </row>
    <row r="3881">
      <c r="A3881" s="25" t="s">
        <v>18392</v>
      </c>
      <c r="B3881" s="25" t="s">
        <v>18431</v>
      </c>
      <c r="C3881" s="26" t="str">
        <f>HYPERLINK("https://audio.iskcondesiretree.com/02_-_ISKCON_Swamis/ISKCON_Swamis_-_R_to_Y/His_Holiness_Radhanath_Swami/Lectures/01_-_Theme_wise/Humility/1997-081_Humility_of_Devotees_Lecture_-_Radhanath_Swami_Bhaktivedanta_Manor_1997-05-31_IDesireTree.mp3", "1997-081_Humility_of_Devotees_Lecture_-_Radhanath_Swami_Bhaktivedanta_Manor_1997-05-31_IDesireTree.mp3")</f>
        <v>1997-081_Humility_of_Devotees_Lecture_-_Radhanath_Swami_Bhaktivedanta_Manor_1997-05-31_IDesireTree.mp3</v>
      </c>
      <c r="D3881" s="24"/>
      <c r="E3881" s="24"/>
    </row>
    <row r="3882">
      <c r="A3882" s="25" t="s">
        <v>18392</v>
      </c>
      <c r="B3882" s="25" t="s">
        <v>18431</v>
      </c>
      <c r="C3882" s="26" t="str">
        <f>HYPERLINK("https://audio.iskcondesiretree.com/02_-_ISKCON_Swamis/ISKCON_Swamis_-_R_to_Y/His_Holiness_Radhanath_Swami/Lectures/01_-_Theme_wise/Humility/1998-072_Pleasing_Krishna_With_Our_Humility_BG_08-07_-_Radhanath_Swami_Mumbai_1998-07-19_IDesireTree.mp3", "1998-072_Pleasing_Krishna_With_Our_Humility_BG_08-07_-_Radhanath_Swami_Mumbai_1998-07-19_IDesireTree.mp3")</f>
        <v>1998-072_Pleasing_Krishna_With_Our_Humility_BG_08-07_-_Radhanath_Swami_Mumbai_1998-07-19_IDesireTree.mp3</v>
      </c>
      <c r="D3882" s="24"/>
      <c r="E3882" s="24"/>
    </row>
    <row r="3883">
      <c r="A3883" s="25" t="s">
        <v>18392</v>
      </c>
      <c r="B3883" s="25" t="s">
        <v>18431</v>
      </c>
      <c r="C3883" s="26" t="str">
        <f>HYPERLINK("https://audio.iskcondesiretree.com/02_-_ISKCON_Swamis/ISKCON_Swamis_-_R_to_Y/His_Holiness_Radhanath_Swami/Lectures/01_-_Theme_wise/Humility/1999-028_Humility_of_Parikshit_Maharaj_SB_01-19-15_-_Radhanath_Swami_Mumbai_1999-06-13_IDesireTree.mp3", "1999-028_Humility_of_Parikshit_Maharaj_SB_01-19-15_-_Radhanath_Swami_Mumbai_1999-06-13_IDesireTree.mp3")</f>
        <v>1999-028_Humility_of_Parikshit_Maharaj_SB_01-19-15_-_Radhanath_Swami_Mumbai_1999-06-13_IDesireTree.mp3</v>
      </c>
      <c r="D3883" s="24"/>
      <c r="E3883" s="24"/>
    </row>
    <row r="3884">
      <c r="A3884" s="25" t="s">
        <v>18392</v>
      </c>
      <c r="B3884" s="25" t="s">
        <v>18431</v>
      </c>
      <c r="C3884" s="26" t="str">
        <f>HYPERLINK("https://audio.iskcondesiretree.com/02_-_ISKCON_Swamis/ISKCON_Swamis_-_R_to_Y/His_Holiness_Radhanath_Swami/Lectures/01_-_Theme_wise/Humility/2002-026_To_Seek_Blessing_Is_a_Sign_Of_Humility_Lecture_-_Radhanath_Swami_Mumbai_2002-01-31_IDesireTree.mp3", "2002-026_To_Seek_Blessing_Is_a_Sign_Of_Humility_Lecture_-_Radhanath_Swami_Mumbai_2002-01-31_IDesireTree.mp3")</f>
        <v>2002-026_To_Seek_Blessing_Is_a_Sign_Of_Humility_Lecture_-_Radhanath_Swami_Mumbai_2002-01-31_IDesireTree.mp3</v>
      </c>
      <c r="D3884" s="24"/>
      <c r="E3884" s="24"/>
    </row>
    <row r="3885">
      <c r="A3885" s="25" t="s">
        <v>18392</v>
      </c>
      <c r="B3885" s="25" t="s">
        <v>18431</v>
      </c>
      <c r="C3885" s="26" t="str">
        <f>HYPERLINK("https://audio.iskcondesiretree.com/02_-_ISKCON_Swamis/ISKCON_Swamis_-_R_to_Y/His_Holiness_Radhanath_Swami/Lectures/01_-_Theme_wise/Humility/2002-051_Imbibing_The_Conscious_Of_Humlity_SB_04-12-22_-_Radhanath_Swami_Mumbai_2008-04-13_IDesireTree.mp3", "2002-051_Imbibing_The_Conscious_Of_Humlity_SB_04-12-22_-_Radhanath_Swami_Mumbai_2008-04-13_IDesireTree.mp3")</f>
        <v>2002-051_Imbibing_The_Conscious_Of_Humlity_SB_04-12-22_-_Radhanath_Swami_Mumbai_2008-04-13_IDesireTree.mp3</v>
      </c>
      <c r="D3885" s="24"/>
      <c r="E3885" s="24"/>
    </row>
    <row r="3886">
      <c r="A3886" s="25" t="s">
        <v>18392</v>
      </c>
      <c r="B3886" s="25" t="s">
        <v>18432</v>
      </c>
      <c r="C3886" s="26" t="str">
        <f>HYPERLINK("https://audio.iskcondesiretree.com/02_-_ISKCON_Swamis/ISKCON_Swamis_-_R_to_Y/His_Holiness_Radhanath_Swami/Lectures/01_-_Theme_wise/Incarnations/1991-054_The_Story_Of_Narasimhadev_Lecture_-_Radhanath_Swami_Mumbai_1991-05-26_IDesireTree.mp3", "1991-054_The_Story_Of_Narasimhadev_Lecture_-_Radhanath_Swami_Mumbai_1991-05-26_IDesireTree.mp3")</f>
        <v>1991-054_The_Story_Of_Narasimhadev_Lecture_-_Radhanath_Swami_Mumbai_1991-05-26_IDesireTree.mp3</v>
      </c>
      <c r="D3886" s="24"/>
      <c r="E3886" s="24"/>
    </row>
    <row r="3887">
      <c r="A3887" s="25" t="s">
        <v>18392</v>
      </c>
      <c r="B3887" s="25" t="s">
        <v>18432</v>
      </c>
      <c r="C3887" s="26" t="str">
        <f>HYPERLINK("https://audio.iskcondesiretree.com/02_-_ISKCON_Swamis/ISKCON_Swamis_-_R_to_Y/His_Holiness_Radhanath_Swami/Lectures/01_-_Theme_wise/Incarnations/1991-101_Vamandev_Begs_From_Bali_Maharaj_SB_08-19-21_-_Radhanath_Swami_Mumbai_1991-10-26_IDesireTree.mp3", "1991-101_Vamandev_Begs_From_Bali_Maharaj_SB_08-19-21_-_Radhanath_Swami_Mumbai_1991-10-26_IDesireTree.mp3")</f>
        <v>1991-101_Vamandev_Begs_From_Bali_Maharaj_SB_08-19-21_-_Radhanath_Swami_Mumbai_1991-10-26_IDesireTree.mp3</v>
      </c>
      <c r="D3887" s="24"/>
      <c r="E3887" s="24"/>
    </row>
    <row r="3888">
      <c r="A3888" s="25" t="s">
        <v>18392</v>
      </c>
      <c r="B3888" s="25" t="s">
        <v>18432</v>
      </c>
      <c r="C3888" s="26" t="str">
        <f>HYPERLINK("https://audio.iskcondesiretree.com/02_-_ISKCON_Swamis/ISKCON_Swamis_-_R_to_Y/His_Holiness_Radhanath_Swami/Lectures/01_-_Theme_wise/Incarnations/1991-131_Incarnations_Of_Krishna_Lecture_-_Radhanath_Swami_Mumbai_1991-11-06_IDesireTree.mp3", "1991-131_Incarnations_Of_Krishna_Lecture_-_Radhanath_Swami_Mumbai_1991-11-06_IDesireTree.mp3")</f>
        <v>1991-131_Incarnations_Of_Krishna_Lecture_-_Radhanath_Swami_Mumbai_1991-11-06_IDesireTree.mp3</v>
      </c>
      <c r="D3888" s="24"/>
      <c r="E3888" s="24"/>
    </row>
    <row r="3889">
      <c r="A3889" s="25" t="s">
        <v>18392</v>
      </c>
      <c r="B3889" s="25" t="s">
        <v>18432</v>
      </c>
      <c r="C3889" s="26" t="str">
        <f>HYPERLINK("https://audio.iskcondesiretree.com/02_-_ISKCON_Swamis/ISKCON_Swamis_-_R_to_Y/His_Holiness_Radhanath_Swami/Lectures/01_-_Theme_wise/Incarnations/1992-026_Incarnation_In_Four_Yugas_Lecture_-_Radhanath_Swami_Mumbai_1992-02-13_IDesireTree.mp3", "1992-026_Incarnation_In_Four_Yugas_Lecture_-_Radhanath_Swami_Mumbai_1992-02-13_IDesireTree.mp3")</f>
        <v>1992-026_Incarnation_In_Four_Yugas_Lecture_-_Radhanath_Swami_Mumbai_1992-02-13_IDesireTree.mp3</v>
      </c>
      <c r="D3889" s="24"/>
      <c r="E3889" s="24"/>
    </row>
    <row r="3890">
      <c r="A3890" s="25" t="s">
        <v>18392</v>
      </c>
      <c r="B3890" s="25" t="s">
        <v>18432</v>
      </c>
      <c r="C3890" s="26" t="str">
        <f>HYPERLINK("https://audio.iskcondesiretree.com/02_-_ISKCON_Swamis/ISKCON_Swamis_-_R_to_Y/His_Holiness_Radhanath_Swami/Lectures/01_-_Theme_wise/Incarnations/1992-028_Story_Of_VarahDev_Lecture_-_Radhanath_Swami_Mumbai_1992-02-15_IDesireTree.mp3", "1992-028_Story_Of_VarahDev_Lecture_-_Radhanath_Swami_Mumbai_1992-02-15_IDesireTree.mp3")</f>
        <v>1992-028_Story_Of_VarahDev_Lecture_-_Radhanath_Swami_Mumbai_1992-02-15_IDesireTree.mp3</v>
      </c>
      <c r="D3890" s="24"/>
      <c r="E3890" s="24"/>
    </row>
    <row r="3891">
      <c r="A3891" s="25" t="s">
        <v>18392</v>
      </c>
      <c r="B3891" s="25" t="s">
        <v>18432</v>
      </c>
      <c r="C3891" s="26" t="str">
        <f>HYPERLINK("https://audio.iskcondesiretree.com/02_-_ISKCON_Swamis/ISKCON_Swamis_-_R_to_Y/His_Holiness_Radhanath_Swami/Lectures/01_-_Theme_wise/Incarnations/1992-029_Appearance_Of_Lord_Varahadev_BG_04-08-09_-_Radhanath_Swami_Mumbai_1992-02-15_IDesireTree.mp3", "1992-029_Appearance_Of_Lord_Varahadev_BG_04-08-09_-_Radhanath_Swami_Mumbai_1992-02-15_IDesireTree.mp3")</f>
        <v>1992-029_Appearance_Of_Lord_Varahadev_BG_04-08-09_-_Radhanath_Swami_Mumbai_1992-02-15_IDesireTree.mp3</v>
      </c>
      <c r="D3891" s="24"/>
      <c r="E3891" s="24"/>
    </row>
    <row r="3892">
      <c r="A3892" s="25" t="s">
        <v>18392</v>
      </c>
      <c r="B3892" s="25" t="s">
        <v>18432</v>
      </c>
      <c r="C3892" s="26" t="str">
        <f>HYPERLINK("https://audio.iskcondesiretree.com/02_-_ISKCON_Swamis/ISKCON_Swamis_-_R_to_Y/His_Holiness_Radhanath_Swami/Lectures/01_-_Theme_wise/Incarnations/1992-104_Appearance_Of_Lord_Vamandev_-_Radhanath_Swami_Mumbai_1992-09-08_IDesireTree.mp3", "1992-104_Appearance_Of_Lord_Vamandev_-_Radhanath_Swami_Mumbai_1992-09-08_IDesireTree.mp3")</f>
        <v>1992-104_Appearance_Of_Lord_Vamandev_-_Radhanath_Swami_Mumbai_1992-09-08_IDesireTree.mp3</v>
      </c>
      <c r="D3892" s="24"/>
      <c r="E3892" s="24"/>
    </row>
    <row r="3893">
      <c r="A3893" s="25" t="s">
        <v>18392</v>
      </c>
      <c r="B3893" s="25" t="s">
        <v>18432</v>
      </c>
      <c r="C3893" s="26" t="str">
        <f>HYPERLINK("https://audio.iskcondesiretree.com/02_-_ISKCON_Swamis/ISKCON_Swamis_-_R_to_Y/His_Holiness_Radhanath_Swami/Lectures/01_-_Theme_wise/Incarnations/1993-082_Lord_Buddha_BG_09-29-05-22_-_Radhanath_Swami_1993-05-06_IDesireTree.mp3", "1993-082_Lord_Buddha_BG_09-29-05-22_-_Radhanath_Swami_1993-05-06_IDesireTree.mp3")</f>
        <v>1993-082_Lord_Buddha_BG_09-29-05-22_-_Radhanath_Swami_1993-05-06_IDesireTree.mp3</v>
      </c>
      <c r="D3893" s="24"/>
      <c r="E3893" s="24"/>
    </row>
    <row r="3894">
      <c r="A3894" s="25" t="s">
        <v>18392</v>
      </c>
      <c r="B3894" s="25" t="s">
        <v>18432</v>
      </c>
      <c r="C3894" s="26" t="str">
        <f>HYPERLINK("https://audio.iskcondesiretree.com/02_-_ISKCON_Swamis/ISKCON_Swamis_-_R_to_Y/His_Holiness_Radhanath_Swami/Lectures/01_-_Theme_wise/Incarnations/1993-134_Lord_Varahadev_SB_08-2-01-04_-_Radhanath_Swami_Mumbai_1993-09-27_IDesireTree.mp3", "1993-134_Lord_Varahadev_SB_08-2-01-04_-_Radhanath_Swami_Mumbai_1993-09-27_IDesireTree.mp3")</f>
        <v>1993-134_Lord_Varahadev_SB_08-2-01-04_-_Radhanath_Swami_Mumbai_1993-09-27_IDesireTree.mp3</v>
      </c>
      <c r="D3894" s="24"/>
      <c r="E3894" s="24"/>
    </row>
    <row r="3895">
      <c r="A3895" s="25" t="s">
        <v>18392</v>
      </c>
      <c r="B3895" s="25" t="s">
        <v>18432</v>
      </c>
      <c r="C3895" s="26" t="str">
        <f>HYPERLINK("https://audio.iskcondesiretree.com/02_-_ISKCON_Swamis/ISKCON_Swamis_-_R_to_Y/His_Holiness_Radhanath_Swami/Lectures/01_-_Theme_wise/Incarnations/1994-043_Lord_Varahadev_Lecture_-_Radhanath_Swami_Mumbai_1994-02-23_IDesireTree.mp3", "1994-043_Lord_Varahadev_Lecture_-_Radhanath_Swami_Mumbai_1994-02-23_IDesireTree.mp3")</f>
        <v>1994-043_Lord_Varahadev_Lecture_-_Radhanath_Swami_Mumbai_1994-02-23_IDesireTree.mp3</v>
      </c>
      <c r="D3895" s="24"/>
      <c r="E3895" s="24"/>
    </row>
    <row r="3896">
      <c r="A3896" s="25" t="s">
        <v>18392</v>
      </c>
      <c r="B3896" s="25" t="s">
        <v>18432</v>
      </c>
      <c r="C3896" s="26" t="str">
        <f>HYPERLINK("https://audio.iskcondesiretree.com/02_-_ISKCON_Swamis/ISKCON_Swamis_-_R_to_Y/His_Holiness_Radhanath_Swami/Lectures/01_-_Theme_wise/Incarnations/1994-104_Incarnation_Are_Expansions_Of_Krishna_SB_01-03-28_-_Radhanath_Swami_Mumbai_1994-08-21_IDesireTree.mp3", "1994-104_Incarnation_Are_Expansions_Of_Krishna_SB_01-03-28_-_Radhanath_Swami_Mumbai_1994-08-21_IDesireTree.mp3")</f>
        <v>1994-104_Incarnation_Are_Expansions_Of_Krishna_SB_01-03-28_-_Radhanath_Swami_Mumbai_1994-08-21_IDesireTree.mp3</v>
      </c>
      <c r="D3896" s="24"/>
      <c r="E3896" s="24"/>
    </row>
    <row r="3897">
      <c r="A3897" s="25" t="s">
        <v>18392</v>
      </c>
      <c r="B3897" s="25" t="s">
        <v>18432</v>
      </c>
      <c r="C3897" s="26" t="str">
        <f>HYPERLINK("https://audio.iskcondesiretree.com/02_-_ISKCON_Swamis/ISKCON_Swamis_-_R_to_Y/His_Holiness_Radhanath_Swami/Lectures/01_-_Theme_wise/Incarnations/1994-149_Vamandev_%26_Jiva_Goswami_App_-_Radhanath_Swami_IDesireTree.mp3", "1994-149_Vamandev_%26_Jiva_Goswami_App_-_Radhanath_Swami_IDesireTree.mp3")</f>
        <v>1994-149_Vamandev_%26_Jiva_Goswami_App_-_Radhanath_Swami_IDesireTree.mp3</v>
      </c>
      <c r="D3897" s="24"/>
      <c r="E3897" s="24"/>
    </row>
    <row r="3898">
      <c r="A3898" s="25" t="s">
        <v>18392</v>
      </c>
      <c r="B3898" s="25" t="s">
        <v>18432</v>
      </c>
      <c r="C3898" s="26" t="str">
        <f>HYPERLINK("https://audio.iskcondesiretree.com/02_-_ISKCON_Swamis/ISKCON_Swamis_-_R_to_Y/His_Holiness_Radhanath_Swami/Lectures/01_-_Theme_wise/Incarnations/1994-169_Story_Of_Lord_Varahadev_SB_03-13-14-17_-_Radhanath_Swami_Varahavan_1994-09-27_IDesireTree.mp3", "1994-169_Story_Of_Lord_Varahadev_SB_03-13-14-17_-_Radhanath_Swami_Varahavan_1994-09-27_IDesireTree.mp3")</f>
        <v>1994-169_Story_Of_Lord_Varahadev_SB_03-13-14-17_-_Radhanath_Swami_Varahavan_1994-09-27_IDesireTree.mp3</v>
      </c>
      <c r="D3898" s="24"/>
      <c r="E3898" s="24"/>
    </row>
    <row r="3899">
      <c r="A3899" s="25" t="s">
        <v>18392</v>
      </c>
      <c r="B3899" s="25" t="s">
        <v>18432</v>
      </c>
      <c r="C3899" s="26" t="str">
        <f>HYPERLINK("https://audio.iskcondesiretree.com/02_-_ISKCON_Swamis/ISKCON_Swamis_-_R_to_Y/His_Holiness_Radhanath_Swami/Lectures/01_-_Theme_wise/Incarnations/1995-048_Story_Of_Lord_VarahaDev_SB_03-14-05_-_Radhanath_Swami_Mumbai_1995-02-12.mp3", "1995-048_Story_Of_Lord_VarahaDev_SB_03-14-05_-_Radhanath_Swami_Mumbai_1995-02-12.mp3")</f>
        <v>1995-048_Story_Of_Lord_VarahaDev_SB_03-14-05_-_Radhanath_Swami_Mumbai_1995-02-12.mp3</v>
      </c>
      <c r="D3899" s="24"/>
      <c r="E3899" s="24"/>
    </row>
    <row r="3900">
      <c r="A3900" s="25" t="s">
        <v>18392</v>
      </c>
      <c r="B3900" s="25" t="s">
        <v>18432</v>
      </c>
      <c r="C3900" s="26" t="str">
        <f>HYPERLINK("https://audio.iskcondesiretree.com/02_-_ISKCON_Swamis/ISKCON_Swamis_-_R_to_Y/His_Holiness_Radhanath_Swami/Lectures/01_-_Theme_wise/Incarnations/1996-177_Gigantic_Boar_Incarnation_SB_02-07-01_-_Radhanath_Swami_Mumbai_1996-12-28_IDesireTree.mp3", "1996-177_Gigantic_Boar_Incarnation_SB_02-07-01_-_Radhanath_Swami_Mumbai_1996-12-28_IDesireTree.mp3")</f>
        <v>1996-177_Gigantic_Boar_Incarnation_SB_02-07-01_-_Radhanath_Swami_Mumbai_1996-12-28_IDesireTree.mp3</v>
      </c>
      <c r="D3900" s="24"/>
      <c r="E3900" s="24"/>
    </row>
    <row r="3901">
      <c r="A3901" s="25" t="s">
        <v>18392</v>
      </c>
      <c r="B3901" s="25" t="s">
        <v>18432</v>
      </c>
      <c r="C3901" s="26" t="str">
        <f>HYPERLINK("https://audio.iskcondesiretree.com/02_-_ISKCON_Swamis/ISKCON_Swamis_-_R_to_Y/His_Holiness_Radhanath_Swami/Lectures/01_-_Theme_wise/Incarnations/1997-010_Matsya_Avatar_SB_02-07-07_-_Radhanath_Swami_Mumbai_1997-01-12_IDesireTree.mp3", "1997-010_Matsya_Avatar_SB_02-07-07_-_Radhanath_Swami_Mumbai_1997-01-12_IDesireTree.mp3")</f>
        <v>1997-010_Matsya_Avatar_SB_02-07-07_-_Radhanath_Swami_Mumbai_1997-01-12_IDesireTree.mp3</v>
      </c>
      <c r="D3901" s="24"/>
      <c r="E3901" s="24"/>
    </row>
    <row r="3902">
      <c r="A3902" s="25" t="s">
        <v>18392</v>
      </c>
      <c r="B3902" s="25" t="s">
        <v>18432</v>
      </c>
      <c r="C3902" s="26" t="str">
        <f>HYPERLINK("https://audio.iskcondesiretree.com/02_-_ISKCON_Swamis/ISKCON_Swamis_-_R_to_Y/His_Holiness_Radhanath_Swami/Lectures/01_-_Theme_wise/Incarnations/1997-044_Varahadev_Protects_Mother_Earth_SB_-_Radhanath_Swami_Mumbai_1997-02-19_IDesireTree.mp3", "1997-044_Varahadev_Protects_Mother_Earth_SB_-_Radhanath_Swami_Mumbai_1997-02-19_IDesireTree.mp3")</f>
        <v>1997-044_Varahadev_Protects_Mother_Earth_SB_-_Radhanath_Swami_Mumbai_1997-02-19_IDesireTree.mp3</v>
      </c>
      <c r="D3902" s="24"/>
      <c r="E3902" s="24"/>
    </row>
    <row r="3903">
      <c r="A3903" s="25" t="s">
        <v>18392</v>
      </c>
      <c r="B3903" s="25" t="s">
        <v>18432</v>
      </c>
      <c r="C3903" s="26" t="str">
        <f>HYPERLINK("https://audio.iskcondesiretree.com/02_-_ISKCON_Swamis/ISKCON_Swamis_-_R_to_Y/His_Holiness_Radhanath_Swami/Lectures/01_-_Theme_wise/Incarnations/1998-022_Lord%27s_Pastimes_in_the_Ocean_Lecture_-_Radhanath_Swami_Mumbai_1998-02-02_IDesireTree.mp3", "1998-022_Lord%27s_Pastimes_in_the_Ocean_Lecture_-_Radhanath_Swami_Mumbai_1998-02-02_IDesireTree.mp3")</f>
        <v>1998-022_Lord%27s_Pastimes_in_the_Ocean_Lecture_-_Radhanath_Swami_Mumbai_1998-02-02_IDesireTree.mp3</v>
      </c>
      <c r="D3903" s="24"/>
      <c r="E3903" s="24"/>
    </row>
    <row r="3904">
      <c r="A3904" s="25" t="s">
        <v>18392</v>
      </c>
      <c r="B3904" s="25" t="s">
        <v>18432</v>
      </c>
      <c r="C3904" s="26" t="str">
        <f>HYPERLINK("https://audio.iskcondesiretree.com/02_-_ISKCON_Swamis/ISKCON_Swamis_-_R_to_Y/His_Holiness_Radhanath_Swami/Lectures/01_-_Theme_wise/Incarnations/1998-029_Lord_Varahadev_Appearance_Day_Lecture_-_Radhanath_Swami_Mumbai_1998-02-08_IDesireTree.mp3", "1998-029_Lord_Varahadev_Appearance_Day_Lecture_-_Radhanath_Swami_Mumbai_1998-02-08_IDesireTree.mp3")</f>
        <v>1998-029_Lord_Varahadev_Appearance_Day_Lecture_-_Radhanath_Swami_Mumbai_1998-02-08_IDesireTree.mp3</v>
      </c>
      <c r="D3904" s="24"/>
      <c r="E3904" s="24"/>
    </row>
    <row r="3905">
      <c r="A3905" s="25" t="s">
        <v>18392</v>
      </c>
      <c r="B3905" s="25" t="s">
        <v>18433</v>
      </c>
      <c r="C3905" s="26" t="str">
        <f>HYPERLINK("https://audio.iskcondesiretree.com/02_-_ISKCON_Swamis/ISKCON_Swamis_-_R_to_Y/His_Holiness_Radhanath_Swami/Lectures/01_-_Theme_wise/Indra/1993-034_We_are_not_Indras_SB_10-25-16-17_-_Radhanath_Swami_Mumbai_1993-03-29_IDesireTree.mp3", "1993-034_We_are_not_Indras_SB_10-25-16-17_-_Radhanath_Swami_Mumbai_1993-03-29_IDesireTree.mp3")</f>
        <v>1993-034_We_are_not_Indras_SB_10-25-16-17_-_Radhanath_Swami_Mumbai_1993-03-29_IDesireTree.mp3</v>
      </c>
      <c r="D3905" s="24"/>
      <c r="E3905" s="24"/>
    </row>
    <row r="3906">
      <c r="A3906" s="25" t="s">
        <v>18392</v>
      </c>
      <c r="B3906" s="25" t="s">
        <v>18433</v>
      </c>
      <c r="C3906" s="26" t="str">
        <f>HYPERLINK("https://audio.iskcondesiretree.com/02_-_ISKCON_Swamis/ISKCON_Swamis_-_R_to_Y/His_Holiness_Radhanath_Swami/Lectures/01_-_Theme_wise/Indra/1998-070_Indra%27s_Attachment_SB_03-25-16_-_Radhanath_Swami_NV_1998-05-25_IDesireTree.mp3", "1998-070_Indra%27s_Attachment_SB_03-25-16_-_Radhanath_Swami_NV_1998-05-25_IDesireTree.mp3")</f>
        <v>1998-070_Indra%27s_Attachment_SB_03-25-16_-_Radhanath_Swami_NV_1998-05-25_IDesireTree.mp3</v>
      </c>
      <c r="D3906" s="24"/>
      <c r="E3906" s="24"/>
    </row>
    <row r="3907">
      <c r="A3907" s="25" t="s">
        <v>18392</v>
      </c>
      <c r="B3907" s="25" t="s">
        <v>725</v>
      </c>
      <c r="C3907" s="26" t="str">
        <f>HYPERLINK("https://audio.iskcondesiretree.com/02_-_ISKCON_Swamis/ISKCON_Swamis_-_R_to_Y/His_Holiness_Radhanath_Swami/Lectures/01_-_Theme_wise/Initiation/04.Initation_Eve_Lec_-_Radhanath_Swami_2008-05-07_IDesireTree.MP3", "04.Initation_Eve_Lec_-_Radhanath_Swami_2008-05-07_IDesireTree.MP3")</f>
        <v>04.Initation_Eve_Lec_-_Radhanath_Swami_2008-05-07_IDesireTree.MP3</v>
      </c>
      <c r="D3907" s="24"/>
      <c r="E3907" s="24"/>
    </row>
    <row r="3908">
      <c r="A3908" s="25" t="s">
        <v>18392</v>
      </c>
      <c r="B3908" s="25" t="s">
        <v>725</v>
      </c>
      <c r="C3908" s="26" t="str">
        <f>HYPERLINK("https://audio.iskcondesiretree.com/02_-_ISKCON_Swamis/ISKCON_Swamis_-_R_to_Y/His_Holiness_Radhanath_Swami/Lectures/01_-_Theme_wise/Initiation/05.Initation_Morn_Lec_-_Radhanath_Swami_2008-05-07_IDesireTree.MP3", "05.Initation_Morn_Lec_-_Radhanath_Swami_2008-05-07_IDesireTree.MP3")</f>
        <v>05.Initation_Morn_Lec_-_Radhanath_Swami_2008-05-07_IDesireTree.MP3</v>
      </c>
      <c r="D3908" s="24"/>
      <c r="E3908" s="24"/>
    </row>
    <row r="3909">
      <c r="A3909" s="25" t="s">
        <v>18392</v>
      </c>
      <c r="B3909" s="25" t="s">
        <v>725</v>
      </c>
      <c r="C3909" s="26" t="str">
        <f>HYPERLINK("https://audio.iskcondesiretree.com/02_-_ISKCON_Swamis/ISKCON_Swamis_-_R_to_Y/His_Holiness_Radhanath_Swami/Lectures/01_-_Theme_wise/Initiation/06.Establishing_The_Spirit_of_Initiation_-_Radhanath_Swami_Mumbai_2004-04-02_IDesireTree.mp3", "06.Establishing_The_Spirit_of_Initiation_-_Radhanath_Swami_Mumbai_2004-04-02_IDesireTree.mp3")</f>
        <v>06.Establishing_The_Spirit_of_Initiation_-_Radhanath_Swami_Mumbai_2004-04-02_IDesireTree.mp3</v>
      </c>
      <c r="D3909" s="24"/>
      <c r="E3909" s="24"/>
    </row>
    <row r="3910">
      <c r="A3910" s="25" t="s">
        <v>18392</v>
      </c>
      <c r="B3910" s="25" t="s">
        <v>725</v>
      </c>
      <c r="C3910" s="26" t="str">
        <f>HYPERLINK("https://audio.iskcondesiretree.com/02_-_ISKCON_Swamis/ISKCON_Swamis_-_R_to_Y/His_Holiness_Radhanath_Swami/Lectures/01_-_Theme_wise/Initiation/07.Initiation-The_Process_of_Commitment_to_Parampara_-_Radhanath_Swami_New_Vrindavan_2004-05-29_IDesireTree.mp3", "07.Initiation-The_Process_of_Commitment_to_Parampara_-_Radhanath_Swami_New_Vrindavan_2004-05-29_IDesireTree.mp3")</f>
        <v>07.Initiation-The_Process_of_Commitment_to_Parampara_-_Radhanath_Swami_New_Vrindavan_2004-05-29_IDesireTree.mp3</v>
      </c>
      <c r="D3910" s="24"/>
      <c r="E3910" s="24"/>
    </row>
    <row r="3911">
      <c r="A3911" s="25" t="s">
        <v>18392</v>
      </c>
      <c r="B3911" s="25" t="s">
        <v>725</v>
      </c>
      <c r="C3911" s="26" t="str">
        <f>HYPERLINK("https://audio.iskcondesiretree.com/02_-_ISKCON_Swamis/ISKCON_Swamis_-_R_to_Y/His_Holiness_Radhanath_Swami/Lectures/01_-_Theme_wise/Initiation/10.Initiation_Lecture_-_Radhanath_Swami_2001-07-22_London_IDesireTree.mp3", "10.Initiation_Lecture_-_Radhanath_Swami_2001-07-22_London_IDesireTree.mp3")</f>
        <v>10.Initiation_Lecture_-_Radhanath_Swami_2001-07-22_London_IDesireTree.mp3</v>
      </c>
      <c r="D3911" s="24"/>
      <c r="E3911" s="24"/>
    </row>
    <row r="3912">
      <c r="A3912" s="25" t="s">
        <v>18392</v>
      </c>
      <c r="B3912" s="25" t="s">
        <v>725</v>
      </c>
      <c r="C3912" s="26" t="str">
        <f>HYPERLINK("https://audio.iskcondesiretree.com/02_-_ISKCON_Swamis/ISKCON_Swamis_-_R_to_Y/His_Holiness_Radhanath_Swami/Lectures/01_-_Theme_wise/Initiation/1992-037_Initiation_Lecture_Lecture_-_Radhanath_Swami_Mumbai_1992-03-18_IDesireTree.mp3", "1992-037_Initiation_Lecture_Lecture_-_Radhanath_Swami_Mumbai_1992-03-18_IDesireTree.mp3")</f>
        <v>1992-037_Initiation_Lecture_Lecture_-_Radhanath_Swami_Mumbai_1992-03-18_IDesireTree.mp3</v>
      </c>
      <c r="D3912" s="24"/>
      <c r="E3912" s="24"/>
    </row>
    <row r="3913">
      <c r="A3913" s="25" t="s">
        <v>18392</v>
      </c>
      <c r="B3913" s="25" t="s">
        <v>725</v>
      </c>
      <c r="C3913" s="26" t="str">
        <f>HYPERLINK("https://audio.iskcondesiretree.com/02_-_ISKCON_Swamis/ISKCON_Swamis_-_R_to_Y/His_Holiness_Radhanath_Swami/Lectures/01_-_Theme_wise/Initiation/1992-111_Lecture_On_Accepting_Saffron_Lecture_-_Radhanath_Swami_Mumbai_1992-09-11_IDesireTree.mp3", "1992-111_Lecture_On_Accepting_Saffron_Lecture_-_Radhanath_Swami_Mumbai_1992-09-11_IDesireTree.mp3")</f>
        <v>1992-111_Lecture_On_Accepting_Saffron_Lecture_-_Radhanath_Swami_Mumbai_1992-09-11_IDesireTree.mp3</v>
      </c>
      <c r="D3913" s="24"/>
      <c r="E3913" s="24"/>
    </row>
    <row r="3914">
      <c r="A3914" s="25" t="s">
        <v>18392</v>
      </c>
      <c r="B3914" s="25" t="s">
        <v>725</v>
      </c>
      <c r="C3914" s="26" t="str">
        <f>HYPERLINK("https://audio.iskcondesiretree.com/02_-_ISKCON_Swamis/ISKCON_Swamis_-_R_to_Y/His_Holiness_Radhanath_Swami/Lectures/01_-_Theme_wise/Initiation/1993-078_Introduction_About_Initiation_Lecture_-_Radhanath_Swami_Mumbai_1993-05-04_IDesireTree.mp3", "1993-078_Introduction_About_Initiation_Lecture_-_Radhanath_Swami_Mumbai_1993-05-04_IDesireTree.mp3")</f>
        <v>1993-078_Introduction_About_Initiation_Lecture_-_Radhanath_Swami_Mumbai_1993-05-04_IDesireTree.mp3</v>
      </c>
      <c r="D3914" s="24"/>
      <c r="E3914" s="24"/>
    </row>
    <row r="3915">
      <c r="A3915" s="25" t="s">
        <v>18392</v>
      </c>
      <c r="B3915" s="25" t="s">
        <v>725</v>
      </c>
      <c r="C3915" s="26" t="str">
        <f>HYPERLINK("https://audio.iskcondesiretree.com/02_-_ISKCON_Swamis/ISKCON_Swamis_-_R_to_Y/His_Holiness_Radhanath_Swami/Lectures/01_-_Theme_wise/Initiation/1993-080_Initiation_Lecture_Lecture_-_Radhanath_Swami_Mumbai_1993-05-05_IDesireTree.mp3", "1993-080_Initiation_Lecture_Lecture_-_Radhanath_Swami_Mumbai_1993-05-05_IDesireTree.mp3")</f>
        <v>1993-080_Initiation_Lecture_Lecture_-_Radhanath_Swami_Mumbai_1993-05-05_IDesireTree.mp3</v>
      </c>
      <c r="D3915" s="24"/>
      <c r="E3915" s="24"/>
    </row>
    <row r="3916">
      <c r="A3916" s="25" t="s">
        <v>18392</v>
      </c>
      <c r="B3916" s="25" t="s">
        <v>725</v>
      </c>
      <c r="C3916" s="26" t="str">
        <f>HYPERLINK("https://audio.iskcondesiretree.com/02_-_ISKCON_Swamis/ISKCON_Swamis_-_R_to_Y/His_Holiness_Radhanath_Swami/Lectures/01_-_Theme_wise/Initiation/1995-063_Initiation_Lecture_Lecture_-_Radhanath_Swami_Mumbai_1995-03-17.mp3", "1995-063_Initiation_Lecture_Lecture_-_Radhanath_Swami_Mumbai_1995-03-17.mp3")</f>
        <v>1995-063_Initiation_Lecture_Lecture_-_Radhanath_Swami_Mumbai_1995-03-17.mp3</v>
      </c>
      <c r="D3916" s="24"/>
      <c r="E3916" s="24"/>
    </row>
    <row r="3917">
      <c r="A3917" s="25" t="s">
        <v>18392</v>
      </c>
      <c r="B3917" s="25" t="s">
        <v>725</v>
      </c>
      <c r="C3917" s="26" t="str">
        <f>HYPERLINK("https://audio.iskcondesiretree.com/02_-_ISKCON_Swamis/ISKCON_Swamis_-_R_to_Y/His_Holiness_Radhanath_Swami/Lectures/01_-_Theme_wise/Initiation/1995-065_Initiation_Lecture_Lecture_-_Radhanath_Swami_Mumbai_1995-03-18.mp3", "1995-065_Initiation_Lecture_Lecture_-_Radhanath_Swami_Mumbai_1995-03-18.mp3")</f>
        <v>1995-065_Initiation_Lecture_Lecture_-_Radhanath_Swami_Mumbai_1995-03-18.mp3</v>
      </c>
      <c r="D3917" s="24"/>
      <c r="E3917" s="24"/>
    </row>
    <row r="3918">
      <c r="A3918" s="25" t="s">
        <v>18392</v>
      </c>
      <c r="B3918" s="25" t="s">
        <v>725</v>
      </c>
      <c r="C3918" s="26" t="str">
        <f>HYPERLINK("https://audio.iskcondesiretree.com/02_-_ISKCON_Swamis/ISKCON_Swamis_-_R_to_Y/His_Holiness_Radhanath_Swami/Lectures/01_-_Theme_wise/Initiation/1996-063_Initiation_Lecture_Lecture_-_Radhanath_Swami_Mumbai_1996-03-28_IDesireTree.mp3", "1996-063_Initiation_Lecture_Lecture_-_Radhanath_Swami_Mumbai_1996-03-28_IDesireTree.mp3")</f>
        <v>1996-063_Initiation_Lecture_Lecture_-_Radhanath_Swami_Mumbai_1996-03-28_IDesireTree.mp3</v>
      </c>
      <c r="D3918" s="24"/>
      <c r="E3918" s="24"/>
    </row>
    <row r="3919">
      <c r="A3919" s="25" t="s">
        <v>18392</v>
      </c>
      <c r="B3919" s="25" t="s">
        <v>725</v>
      </c>
      <c r="C3919" s="26" t="str">
        <f>HYPERLINK("https://audio.iskcondesiretree.com/02_-_ISKCON_Swamis/ISKCON_Swamis_-_R_to_Y/His_Holiness_Radhanath_Swami/Lectures/01_-_Theme_wise/Initiation/1996-064_Initiation_Lecture_Fire_Sacrifice_-_Radhanath_Swami_Mumbai_1996-03-28_IDesireTree.mp3", "1996-064_Initiation_Lecture_Fire_Sacrifice_-_Radhanath_Swami_Mumbai_1996-03-28_IDesireTree.mp3")</f>
        <v>1996-064_Initiation_Lecture_Fire_Sacrifice_-_Radhanath_Swami_Mumbai_1996-03-28_IDesireTree.mp3</v>
      </c>
      <c r="D3919" s="24"/>
      <c r="E3919" s="24"/>
    </row>
    <row r="3920">
      <c r="A3920" s="25" t="s">
        <v>18392</v>
      </c>
      <c r="B3920" s="25" t="s">
        <v>725</v>
      </c>
      <c r="C3920" s="26" t="str">
        <f>HYPERLINK("https://audio.iskcondesiretree.com/02_-_ISKCON_Swamis/ISKCON_Swamis_-_R_to_Y/His_Holiness_Radhanath_Swami/Lectures/01_-_Theme_wise/Initiation/1997-014_Initiation_Lecture_-_Radhanath_Swami_IDesireTree.mp3", "1997-014_Initiation_Lecture_-_Radhanath_Swami_IDesireTree.mp3")</f>
        <v>1997-014_Initiation_Lecture_-_Radhanath_Swami_IDesireTree.mp3</v>
      </c>
      <c r="D3920" s="24"/>
      <c r="E3920" s="24"/>
    </row>
    <row r="3921">
      <c r="A3921" s="25" t="s">
        <v>18392</v>
      </c>
      <c r="B3921" s="25" t="s">
        <v>725</v>
      </c>
      <c r="C3921" s="26" t="str">
        <f>HYPERLINK("https://audio.iskcondesiretree.com/02_-_ISKCON_Swamis/ISKCON_Swamis_-_R_to_Y/His_Holiness_Radhanath_Swami/Lectures/01_-_Theme_wise/Initiation/1997-055_Initiation_Lecture_Lecture_-_Radhanath_Swami_Mumbai_1997-03-24_IDesireTree.mp3", "1997-055_Initiation_Lecture_Lecture_-_Radhanath_Swami_Mumbai_1997-03-24_IDesireTree.mp3")</f>
        <v>1997-055_Initiation_Lecture_Lecture_-_Radhanath_Swami_Mumbai_1997-03-24_IDesireTree.mp3</v>
      </c>
      <c r="D3921" s="24"/>
      <c r="E3921" s="24"/>
    </row>
    <row r="3922">
      <c r="A3922" s="25" t="s">
        <v>18392</v>
      </c>
      <c r="B3922" s="25" t="s">
        <v>725</v>
      </c>
      <c r="C3922" s="26" t="str">
        <f>HYPERLINK("https://audio.iskcondesiretree.com/02_-_ISKCON_Swamis/ISKCON_Swamis_-_R_to_Y/His_Holiness_Radhanath_Swami/Lectures/01_-_Theme_wise/Initiation/2000-037_Pre_Initiation_Lecture_-_Radhanath_Swami_Mumbai_2000-03-05_IDesireTree.mp3", "2000-037_Pre_Initiation_Lecture_-_Radhanath_Swami_Mumbai_2000-03-05_IDesireTree.mp3")</f>
        <v>2000-037_Pre_Initiation_Lecture_-_Radhanath_Swami_Mumbai_2000-03-05_IDesireTree.mp3</v>
      </c>
      <c r="D3922" s="24"/>
      <c r="E3922" s="24"/>
    </row>
    <row r="3923">
      <c r="A3923" s="25" t="s">
        <v>18392</v>
      </c>
      <c r="B3923" s="25" t="s">
        <v>725</v>
      </c>
      <c r="C3923" s="26" t="str">
        <f>HYPERLINK("https://audio.iskcondesiretree.com/02_-_ISKCON_Swamis/ISKCON_Swamis_-_R_to_Y/His_Holiness_Radhanath_Swami/Lectures/01_-_Theme_wise/Initiation/2000-043_Initiation_Lecture_-_Radhanath_Swami_Mumbai_2000-03-21_IDesireTree.mp3", "2000-043_Initiation_Lecture_-_Radhanath_Swami_Mumbai_2000-03-21_IDesireTree.mp3")</f>
        <v>2000-043_Initiation_Lecture_-_Radhanath_Swami_Mumbai_2000-03-21_IDesireTree.mp3</v>
      </c>
      <c r="D3923" s="24"/>
      <c r="E3923" s="24"/>
    </row>
    <row r="3924">
      <c r="A3924" s="25" t="s">
        <v>18392</v>
      </c>
      <c r="B3924" s="25" t="s">
        <v>725</v>
      </c>
      <c r="C3924" s="26" t="str">
        <f>HYPERLINK("https://audio.iskcondesiretree.com/02_-_ISKCON_Swamis/ISKCON_Swamis_-_R_to_Y/His_Holiness_Radhanath_Swami/Lectures/01_-_Theme_wise/Initiation/2001-031_Initiation_Lecture_-_Radhanath_Swami_Mumbai_2001-07-14_IDesireTree.mp3", "2001-031_Initiation_Lecture_-_Radhanath_Swami_Mumbai_2001-07-14_IDesireTree.mp3")</f>
        <v>2001-031_Initiation_Lecture_-_Radhanath_Swami_Mumbai_2001-07-14_IDesireTree.mp3</v>
      </c>
      <c r="D3924" s="24"/>
      <c r="E3924" s="24"/>
    </row>
    <row r="3925">
      <c r="A3925" s="25" t="s">
        <v>18392</v>
      </c>
      <c r="B3925" s="25" t="s">
        <v>725</v>
      </c>
      <c r="C3925" s="26" t="str">
        <f>HYPERLINK("https://audio.iskcondesiretree.com/02_-_ISKCON_Swamis/ISKCON_Swamis_-_R_to_Y/His_Holiness_Radhanath_Swami/Lectures/01_-_Theme_wise/Initiation/2001-032_Inititation_Lecture_-_Radhanath_Swami_Mumbai_2001-07-15_IDesireTree.mp3", "2001-032_Inititation_Lecture_-_Radhanath_Swami_Mumbai_2001-07-15_IDesireTree.mp3")</f>
        <v>2001-032_Inititation_Lecture_-_Radhanath_Swami_Mumbai_2001-07-15_IDesireTree.mp3</v>
      </c>
      <c r="D3925" s="24"/>
      <c r="E3925" s="24"/>
    </row>
    <row r="3926">
      <c r="A3926" s="25" t="s">
        <v>18392</v>
      </c>
      <c r="B3926" s="25" t="s">
        <v>725</v>
      </c>
      <c r="C3926" s="26" t="str">
        <f>HYPERLINK("https://audio.iskcondesiretree.com/02_-_ISKCON_Swamis/ISKCON_Swamis_-_R_to_Y/His_Holiness_Radhanath_Swami/Lectures/01_-_Theme_wise/Initiation/2002-064_Initiation_Lecture_-_Radhanath_Swami_New_Vrindavan_2002-07-04_IDesireTree.mp3", "2002-064_Initiation_Lecture_-_Radhanath_Swami_New_Vrindavan_2002-07-04_IDesireTree.mp3")</f>
        <v>2002-064_Initiation_Lecture_-_Radhanath_Swami_New_Vrindavan_2002-07-04_IDesireTree.mp3</v>
      </c>
      <c r="D3926" s="24"/>
      <c r="E3926" s="24"/>
    </row>
    <row r="3927">
      <c r="A3927" s="25" t="s">
        <v>18392</v>
      </c>
      <c r="B3927" s="25" t="s">
        <v>725</v>
      </c>
      <c r="C3927" s="26" t="str">
        <f>HYPERLINK("https://audio.iskcondesiretree.com/02_-_ISKCON_Swamis/ISKCON_Swamis_-_R_to_Y/His_Holiness_Radhanath_Swami/Lectures/01_-_Theme_wise/Initiation/2003-025_Initiation_Lecture_-_Pune_2003-04-04_IDesireTree.mp3", "2003-025_Initiation_Lecture_-_Pune_2003-04-04_IDesireTree.mp3")</f>
        <v>2003-025_Initiation_Lecture_-_Pune_2003-04-04_IDesireTree.mp3</v>
      </c>
      <c r="D3927" s="24"/>
      <c r="E3927" s="24"/>
    </row>
    <row r="3928">
      <c r="A3928" s="25" t="s">
        <v>18392</v>
      </c>
      <c r="B3928" s="25" t="s">
        <v>725</v>
      </c>
      <c r="C3928" s="26" t="str">
        <f>HYPERLINK("https://audio.iskcondesiretree.com/02_-_ISKCON_Swamis/ISKCON_Swamis_-_R_to_Y/His_Holiness_Radhanath_Swami/Lectures/01_-_Theme_wise/Initiation/2003-030_Responsibility_of_a_Disciple_Initiation_Lecture_-_Radhanath_Swami_Mumbai_2003-04-11_IDesireTree.mp3", "2003-030_Responsibility_of_a_Disciple_Initiation_Lecture_-_Radhanath_Swami_Mumbai_2003-04-11_IDesireTree.mp3")</f>
        <v>2003-030_Responsibility_of_a_Disciple_Initiation_Lecture_-_Radhanath_Swami_Mumbai_2003-04-11_IDesireTree.mp3</v>
      </c>
      <c r="D3928" s="24"/>
      <c r="E3928" s="24"/>
    </row>
    <row r="3929">
      <c r="A3929" s="25" t="s">
        <v>18392</v>
      </c>
      <c r="B3929" s="25" t="s">
        <v>725</v>
      </c>
      <c r="C3929" s="26" t="str">
        <f>HYPERLINK("https://audio.iskcondesiretree.com/02_-_ISKCON_Swamis/ISKCON_Swamis_-_R_to_Y/His_Holiness_Radhanath_Swami/Lectures/01_-_Theme_wise/Initiation/2003-060_Brahman_Initation_Lecture_-_Radhanath_Swami_Mumbai_2003-09-02_IDesireTree.mp3", "2003-060_Brahman_Initation_Lecture_-_Radhanath_Swami_Mumbai_2003-09-02_IDesireTree.mp3")</f>
        <v>2003-060_Brahman_Initation_Lecture_-_Radhanath_Swami_Mumbai_2003-09-02_IDesireTree.mp3</v>
      </c>
      <c r="D3929" s="24"/>
      <c r="E3929" s="24"/>
    </row>
    <row r="3930">
      <c r="A3930" s="25" t="s">
        <v>18392</v>
      </c>
      <c r="B3930" s="25" t="s">
        <v>725</v>
      </c>
      <c r="C3930" s="26" t="str">
        <f>HYPERLINK("https://audio.iskcondesiretree.com/02_-_ISKCON_Swamis/ISKCON_Swamis_-_R_to_Y/His_Holiness_Radhanath_Swami/Lectures/01_-_Theme_wise/Initiation/2003-089_Initiation_Initiation_Lecture_-_Radhanath_Swami_San_Diego_2003-11-22_IDesireTree.mp3", "2003-089_Initiation_Initiation_Lecture_-_Radhanath_Swami_San_Diego_2003-11-22_IDesireTree.mp3")</f>
        <v>2003-089_Initiation_Initiation_Lecture_-_Radhanath_Swami_San_Diego_2003-11-22_IDesireTree.mp3</v>
      </c>
      <c r="D3930" s="24"/>
      <c r="E3930" s="24"/>
    </row>
    <row r="3931">
      <c r="A3931" s="25" t="s">
        <v>18392</v>
      </c>
      <c r="B3931" s="25" t="s">
        <v>725</v>
      </c>
      <c r="C3931" s="26" t="str">
        <f>HYPERLINK("https://audio.iskcondesiretree.com/02_-_ISKCON_Swamis/ISKCON_Swamis_-_R_to_Y/His_Holiness_Radhanath_Swami/Lectures/01_-_Theme_wise/Initiation/2003-102_Gita_Jayanti_Initiation_Lecture_-_Radhanath_Swami_US_2003-11-30_IDesireTree.mp3", "2003-102_Gita_Jayanti_Initiation_Lecture_-_Radhanath_Swami_US_2003-11-30_IDesireTree.mp3")</f>
        <v>2003-102_Gita_Jayanti_Initiation_Lecture_-_Radhanath_Swami_US_2003-11-30_IDesireTree.mp3</v>
      </c>
      <c r="D3931" s="24"/>
      <c r="E3931" s="24"/>
    </row>
    <row r="3932">
      <c r="A3932" s="25" t="s">
        <v>18392</v>
      </c>
      <c r="B3932" s="25" t="s">
        <v>18434</v>
      </c>
      <c r="C3932" s="26" t="str">
        <f>HYPERLINK("https://audio.iskcondesiretree.com/02_-_ISKCON_Swamis/ISKCON_Swamis_-_R_to_Y/His_Holiness_Radhanath_Swami/Lectures/01_-_Theme_wise/Inquiry_into_the_Absolute/1993-029_Purpose_Of_Creation_SB_02-09-36_-_Radhanath_Swami_1993-03-26_IDesireTree.mp3", "1993-029_Purpose_Of_Creation_SB_02-09-36_-_Radhanath_Swami_1993-03-26_IDesireTree.mp3")</f>
        <v>1993-029_Purpose_Of_Creation_SB_02-09-36_-_Radhanath_Swami_1993-03-26_IDesireTree.mp3</v>
      </c>
      <c r="D3932" s="24"/>
      <c r="E3932" s="24"/>
    </row>
    <row r="3933">
      <c r="A3933" s="25" t="s">
        <v>18392</v>
      </c>
      <c r="B3933" s="25" t="s">
        <v>18435</v>
      </c>
      <c r="C3933" s="26" t="str">
        <f>HYPERLINK("https://audio.iskcondesiretree.com/02_-_ISKCON_Swamis/ISKCON_Swamis_-_R_to_Y/His_Holiness_Radhanath_Swami/Lectures/01_-_Theme_wise/Intelligence/1997-048_Real_Intelligence_Lecture_-_Radhanath_Swami_Mumbai_1997-02-22_IDesireTree.mp3", "1997-048_Real_Intelligence_Lecture_-_Radhanath_Swami_Mumbai_1997-02-22_IDesireTree.mp3")</f>
        <v>1997-048_Real_Intelligence_Lecture_-_Radhanath_Swami_Mumbai_1997-02-22_IDesireTree.mp3</v>
      </c>
      <c r="D3933" s="24"/>
      <c r="E3933" s="24"/>
    </row>
    <row r="3934">
      <c r="A3934" s="25" t="s">
        <v>18392</v>
      </c>
      <c r="B3934" s="25" t="s">
        <v>18436</v>
      </c>
      <c r="C3934" s="26" t="str">
        <f>HYPERLINK("https://audio.iskcondesiretree.com/02_-_ISKCON_Swamis/ISKCON_Swamis_-_R_to_Y/His_Holiness_Radhanath_Swami/Lectures/01_-_Theme_wise/ISKCON/1995-038_What_Is_ISKCON_-_Radhanath_Swami_Pune_1995-01-28.mp3", "1995-038_What_Is_ISKCON_-_Radhanath_Swami_Pune_1995-01-28.mp3")</f>
        <v>1995-038_What_Is_ISKCON_-_Radhanath_Swami_Pune_1995-01-28.mp3</v>
      </c>
      <c r="D3934" s="24"/>
      <c r="E3934" s="24"/>
    </row>
    <row r="3935">
      <c r="A3935" s="25" t="s">
        <v>18392</v>
      </c>
      <c r="B3935" s="25" t="s">
        <v>18436</v>
      </c>
      <c r="C3935" s="26" t="str">
        <f>HYPERLINK("https://audio.iskcondesiretree.com/02_-_ISKCON_Swamis/ISKCON_Swamis_-_R_to_Y/His_Holiness_Radhanath_Swami/Lectures/01_-_Theme_wise/ISKCON/2000-023_Glories_of_the_Hare_Krishna_Movement_Lecture_-_Radhanath_Swami_Mumbai_2000-02-06_IDesireTree.mp3", "2000-023_Glories_of_the_Hare_Krishna_Movement_Lecture_-_Radhanath_Swami_Mumbai_2000-02-06_IDesireTree.mp3")</f>
        <v>2000-023_Glories_of_the_Hare_Krishna_Movement_Lecture_-_Radhanath_Swami_Mumbai_2000-02-06_IDesireTree.mp3</v>
      </c>
      <c r="D3935" s="24"/>
      <c r="E3935" s="24"/>
    </row>
    <row r="3936">
      <c r="A3936" s="25" t="s">
        <v>18392</v>
      </c>
      <c r="B3936" s="25" t="s">
        <v>18436</v>
      </c>
      <c r="C3936" s="26" t="str">
        <f>HYPERLINK("https://audio.iskcondesiretree.com/02_-_ISKCON_Swamis/ISKCON_Swamis_-_R_to_Y/His_Holiness_Radhanath_Swami/Lectures/01_-_Theme_wise/ISKCON/2003-024_Improtance_of_the_Institution_of_ISKCON_-_Radhanath_Swami_Mumbai_2003-03-30_IDesireTree.mp3", "2003-024_Improtance_of_the_Institution_of_ISKCON_-_Radhanath_Swami_Mumbai_2003-03-30_IDesireTree.mp3")</f>
        <v>2003-024_Improtance_of_the_Institution_of_ISKCON_-_Radhanath_Swami_Mumbai_2003-03-30_IDesireTree.mp3</v>
      </c>
      <c r="D3936" s="24"/>
      <c r="E3936" s="24"/>
    </row>
    <row r="3937">
      <c r="A3937" s="25" t="s">
        <v>18392</v>
      </c>
      <c r="B3937" s="25" t="s">
        <v>18437</v>
      </c>
      <c r="C3937" s="26" t="str">
        <f>HYPERLINK("https://audio.iskcondesiretree.com/02_-_ISKCON_Swamis/ISKCON_Swamis_-_R_to_Y/His_Holiness_Radhanath_Swami/Lectures/01_-_Theme_wise/ISKCON_Pune/1992-003_Why_We_Are_At_Pune_-_Radhanath_Swami_Pune_1992-01-03_IDesireTree.mp3", "1992-003_Why_We_Are_At_Pune_-_Radhanath_Swami_Pune_1992-01-03_IDesireTree.mp3")</f>
        <v>1992-003_Why_We_Are_At_Pune_-_Radhanath_Swami_Pune_1992-01-03_IDesireTree.mp3</v>
      </c>
      <c r="D3937" s="24"/>
      <c r="E3937" s="24"/>
    </row>
    <row r="3938">
      <c r="A3938" s="25" t="s">
        <v>18392</v>
      </c>
      <c r="B3938" s="25" t="s">
        <v>18437</v>
      </c>
      <c r="C3938" s="26" t="str">
        <f>HYPERLINK("https://audio.iskcondesiretree.com/02_-_ISKCON_Swamis/ISKCON_Swamis_-_R_to_Y/His_Holiness_Radhanath_Swami/Lectures/01_-_Theme_wise/ISKCON_Pune/1992-164_Introduction_To_Pune_Yatra_-_Pune_1992-12-31_IDesireTree.mp3", "1992-164_Introduction_To_Pune_Yatra_-_Pune_1992-12-31_IDesireTree.mp3")</f>
        <v>1992-164_Introduction_To_Pune_Yatra_-_Pune_1992-12-31_IDesireTree.mp3</v>
      </c>
      <c r="D3938" s="24"/>
      <c r="E3938" s="24"/>
    </row>
    <row r="3939">
      <c r="A3939" s="25" t="s">
        <v>18392</v>
      </c>
      <c r="B3939" s="25" t="s">
        <v>18437</v>
      </c>
      <c r="C3939" s="26" t="str">
        <f>HYPERLINK("https://audio.iskcondesiretree.com/02_-_ISKCON_Swamis/ISKCON_Swamis_-_R_to_Y/His_Holiness_Radhanath_Swami/Lectures/01_-_Theme_wise/ISKCON_Pune/1995-035_Why_Pune_Yatra_-_Radhanath_Swami_Pune_1995-01-26.mp3", "1995-035_Why_Pune_Yatra_-_Radhanath_Swami_Pune_1995-01-26.mp3")</f>
        <v>1995-035_Why_Pune_Yatra_-_Radhanath_Swami_Pune_1995-01-26.mp3</v>
      </c>
      <c r="D3939" s="24"/>
      <c r="E3939" s="24"/>
    </row>
    <row r="3940">
      <c r="A3940" s="25" t="s">
        <v>18392</v>
      </c>
      <c r="B3940" s="25" t="s">
        <v>18438</v>
      </c>
      <c r="C3940" s="26" t="str">
        <f>HYPERLINK("https://audio.iskcondesiretree.com/02_-_ISKCON_Swamis/ISKCON_Swamis_-_R_to_Y/His_Holiness_Radhanath_Swami/Lectures/01_-_Theme_wise/Kaliyuga/1991-010_Age_Of_Quarrel_And_Hypocrisy_SB_09-04-21_-_Radhanath_Swami_Mumbai_1991-01-30_IDesireTree.mp3", "1991-010_Age_Of_Quarrel_And_Hypocrisy_SB_09-04-21_-_Radhanath_Swami_Mumbai_1991-01-30_IDesireTree.mp3")</f>
        <v>1991-010_Age_Of_Quarrel_And_Hypocrisy_SB_09-04-21_-_Radhanath_Swami_Mumbai_1991-01-30_IDesireTree.mp3</v>
      </c>
      <c r="D3940" s="24"/>
      <c r="E3940" s="24"/>
    </row>
    <row r="3941">
      <c r="A3941" s="25" t="s">
        <v>18392</v>
      </c>
      <c r="B3941" s="25" t="s">
        <v>18438</v>
      </c>
      <c r="C3941" s="26" t="str">
        <f>HYPERLINK("https://audio.iskcondesiretree.com/02_-_ISKCON_Swamis/ISKCON_Swamis_-_R_to_Y/His_Holiness_Radhanath_Swami/Lectures/01_-_Theme_wise/Kaliyuga/1991-046_Advent_Of_Kaliyuga_SB_09-10-51_-_Radhanath_Swami_Mumbai_1991-05-11_IDesireTree.mp3", "1991-046_Advent_Of_Kaliyuga_SB_09-10-51_-_Radhanath_Swami_Mumbai_1991-05-11_IDesireTree.mp3")</f>
        <v>1991-046_Advent_Of_Kaliyuga_SB_09-10-51_-_Radhanath_Swami_Mumbai_1991-05-11_IDesireTree.mp3</v>
      </c>
      <c r="D3941" s="24"/>
      <c r="E3941" s="24"/>
    </row>
    <row r="3942">
      <c r="A3942" s="25" t="s">
        <v>18392</v>
      </c>
      <c r="B3942" s="25" t="s">
        <v>18438</v>
      </c>
      <c r="C3942" s="26" t="str">
        <f>HYPERLINK("https://audio.iskcondesiretree.com/02_-_ISKCON_Swamis/ISKCON_Swamis_-_R_to_Y/His_Holiness_Radhanath_Swami/Lectures/01_-_Theme_wise/Kaliyuga/1992-033_The_Greatest_Boon_In_Kaliyuga_BG_04-03_-_Radhanath_Swami_Mumbai_1992-02-19_IDesireTree.mp3", "1992-033_The_Greatest_Boon_In_Kaliyuga_BG_04-03_-_Radhanath_Swami_Mumbai_1992-02-19_IDesireTree.mp3")</f>
        <v>1992-033_The_Greatest_Boon_In_Kaliyuga_BG_04-03_-_Radhanath_Swami_Mumbai_1992-02-19_IDesireTree.mp3</v>
      </c>
      <c r="D3942" s="24"/>
      <c r="E3942" s="24"/>
    </row>
    <row r="3943">
      <c r="A3943" s="25" t="s">
        <v>18392</v>
      </c>
      <c r="B3943" s="25" t="s">
        <v>18438</v>
      </c>
      <c r="C3943" s="26" t="str">
        <f>HYPERLINK("https://audio.iskcondesiretree.com/02_-_ISKCON_Swamis/ISKCON_Swamis_-_R_to_Y/His_Holiness_Radhanath_Swami/Lectures/01_-_Theme_wise/Kaliyuga/1992-130_Fortune_Of_Kaliyuga_People_SB_11-05-36_-_Radhanath_Swami_Mumbai_1992-11-27_IDesireTree.mp3", "1992-130_Fortune_Of_Kaliyuga_People_SB_11-05-36_-_Radhanath_Swami_Mumbai_1992-11-27_IDesireTree.mp3")</f>
        <v>1992-130_Fortune_Of_Kaliyuga_People_SB_11-05-36_-_Radhanath_Swami_Mumbai_1992-11-27_IDesireTree.mp3</v>
      </c>
      <c r="D3943" s="24"/>
      <c r="E3943" s="24"/>
    </row>
    <row r="3944">
      <c r="A3944" s="25" t="s">
        <v>18392</v>
      </c>
      <c r="B3944" s="25" t="s">
        <v>18438</v>
      </c>
      <c r="C3944" s="26" t="str">
        <f>HYPERLINK("https://audio.iskcondesiretree.com/02_-_ISKCON_Swamis/ISKCON_Swamis_-_R_to_Y/His_Holiness_Radhanath_Swami/Lectures/01_-_Theme_wise/Kaliyuga/1993-025_Blessed_Age_Of_Kaliyuga_Lecture_-_Radhanath_Swami_Mumbai_1993-03-23_IDesireTree.mp3", "1993-025_Blessed_Age_Of_Kaliyuga_Lecture_-_Radhanath_Swami_Mumbai_1993-03-23_IDesireTree.mp3")</f>
        <v>1993-025_Blessed_Age_Of_Kaliyuga_Lecture_-_Radhanath_Swami_Mumbai_1993-03-23_IDesireTree.mp3</v>
      </c>
      <c r="D3944" s="24"/>
      <c r="E3944" s="24"/>
    </row>
    <row r="3945">
      <c r="A3945" s="25" t="s">
        <v>18392</v>
      </c>
      <c r="B3945" s="25" t="s">
        <v>18438</v>
      </c>
      <c r="C3945" s="26" t="str">
        <f>HYPERLINK("https://audio.iskcondesiretree.com/02_-_ISKCON_Swamis/ISKCON_Swamis_-_R_to_Y/His_Holiness_Radhanath_Swami/Lectures/01_-_Theme_wise/Kaliyuga/1993-179_Greatest_Benediction_In_Kaliyuga_SB_11-05-37_-_Radhanath_Swami_Mumbai_1993-12-12_IDesireTree.mp3", "1993-179_Greatest_Benediction_In_Kaliyuga_SB_11-05-37_-_Radhanath_Swami_Mumbai_1993-12-12_IDesireTree.mp3")</f>
        <v>1993-179_Greatest_Benediction_In_Kaliyuga_SB_11-05-37_-_Radhanath_Swami_Mumbai_1993-12-12_IDesireTree.mp3</v>
      </c>
      <c r="D3945" s="24"/>
      <c r="E3945" s="24"/>
    </row>
    <row r="3946">
      <c r="A3946" s="25" t="s">
        <v>18392</v>
      </c>
      <c r="B3946" s="25" t="s">
        <v>18438</v>
      </c>
      <c r="C3946" s="26" t="str">
        <f>HYPERLINK("https://audio.iskcondesiretree.com/02_-_ISKCON_Swamis/ISKCON_Swamis_-_R_to_Y/His_Holiness_Radhanath_Swami/Lectures/01_-_Theme_wise/Kaliyuga/1993-184_Disguised_Duryodhanas_SB_10-49-22_-_Radhanath_Swami_Mumbai_1993-12-17_IDesireTree.mp3", "1993-184_Disguised_Duryodhanas_SB_10-49-22_-_Radhanath_Swami_Mumbai_1993-12-17_IDesireTree.mp3")</f>
        <v>1993-184_Disguised_Duryodhanas_SB_10-49-22_-_Radhanath_Swami_Mumbai_1993-12-17_IDesireTree.mp3</v>
      </c>
      <c r="D3946" s="24"/>
      <c r="E3946" s="24"/>
    </row>
    <row r="3947">
      <c r="A3947" s="25" t="s">
        <v>18392</v>
      </c>
      <c r="B3947" s="25" t="s">
        <v>18438</v>
      </c>
      <c r="C3947" s="26" t="str">
        <f>HYPERLINK("https://audio.iskcondesiretree.com/02_-_ISKCON_Swamis/ISKCON_Swamis_-_R_to_Y/His_Holiness_Radhanath_Swami/Lectures/01_-_Theme_wise/Kaliyuga/1996-054_Kaliyuga_SB_01-17-40_-_Radhanath_Swami_Mumbai_1996-03-15_IDesireTree.mp3", "1996-054_Kaliyuga_SB_01-17-40_-_Radhanath_Swami_Mumbai_1996-03-15_IDesireTree.mp3")</f>
        <v>1996-054_Kaliyuga_SB_01-17-40_-_Radhanath_Swami_Mumbai_1996-03-15_IDesireTree.mp3</v>
      </c>
      <c r="D3947" s="24"/>
      <c r="E3947" s="24"/>
    </row>
    <row r="3948">
      <c r="A3948" s="25" t="s">
        <v>18392</v>
      </c>
      <c r="B3948" s="25" t="s">
        <v>18438</v>
      </c>
      <c r="C3948" s="26" t="str">
        <f>HYPERLINK("https://audio.iskcondesiretree.com/02_-_ISKCON_Swamis/ISKCON_Swamis_-_R_to_Y/His_Holiness_Radhanath_Swami/Lectures/01_-_Theme_wise/Kaliyuga/1996-091_How_Degradation_Of_Brahmanas_Began_SB_01-18-37_-_Radhanath_Swami_Mumbai_1996-04-24_IDesireTree.mp3", "1996-091_How_Degradation_Of_Brahmanas_Began_SB_01-18-37_-_Radhanath_Swami_Mumbai_1996-04-24_IDesireTree.mp3")</f>
        <v>1996-091_How_Degradation_Of_Brahmanas_Began_SB_01-18-37_-_Radhanath_Swami_Mumbai_1996-04-24_IDesireTree.mp3</v>
      </c>
      <c r="D3948" s="24"/>
      <c r="E3948" s="24"/>
    </row>
    <row r="3949">
      <c r="A3949" s="25" t="s">
        <v>18392</v>
      </c>
      <c r="B3949" s="25" t="s">
        <v>18438</v>
      </c>
      <c r="C3949" s="26" t="str">
        <f>HYPERLINK("https://audio.iskcondesiretree.com/02_-_ISKCON_Swamis/ISKCON_Swamis_-_R_to_Y/His_Holiness_Radhanath_Swami/Lectures/01_-_Theme_wise/Kaliyuga/1996-137_Don%27t_Let_Kali_Enter_Your_Home_SB_02-04-02_-_Radhanath_Swami_Mumbai_1996-09-22_IDesireTree.mp3", "1996-137_Don%27t_Let_Kali_Enter_Your_Home_SB_02-04-02_-_Radhanath_Swami_Mumbai_1996-09-22_IDesireTree.mp3")</f>
        <v>1996-137_Don%27t_Let_Kali_Enter_Your_Home_SB_02-04-02_-_Radhanath_Swami_Mumbai_1996-09-22_IDesireTree.mp3</v>
      </c>
      <c r="D3949" s="24"/>
      <c r="E3949" s="24"/>
    </row>
    <row r="3950">
      <c r="A3950" s="25" t="s">
        <v>18392</v>
      </c>
      <c r="B3950" s="25" t="s">
        <v>18438</v>
      </c>
      <c r="C3950" s="26" t="str">
        <f>HYPERLINK("https://audio.iskcondesiretree.com/02_-_ISKCON_Swamis/ISKCON_Swamis_-_R_to_Y/His_Holiness_Radhanath_Swami/Lectures/01_-_Theme_wise/Kaliyuga/1999-065_Kaliyuga_Gets_Maximum_Mercy_Lecture_-_Radhanath_Swami_Mumbai_1999-12-31_IDesireTree.mp3", "1999-065_Kaliyuga_Gets_Maximum_Mercy_Lecture_-_Radhanath_Swami_Mumbai_1999-12-31_IDesireTree.mp3")</f>
        <v>1999-065_Kaliyuga_Gets_Maximum_Mercy_Lecture_-_Radhanath_Swami_Mumbai_1999-12-31_IDesireTree.mp3</v>
      </c>
      <c r="D3950" s="24"/>
      <c r="E3950" s="24"/>
    </row>
    <row r="3951">
      <c r="A3951" s="25" t="s">
        <v>18392</v>
      </c>
      <c r="B3951" s="25" t="s">
        <v>18438</v>
      </c>
      <c r="C3951" s="26" t="str">
        <f>HYPERLINK("https://audio.iskcondesiretree.com/02_-_ISKCON_Swamis/ISKCON_Swamis_-_R_to_Y/His_Holiness_Radhanath_Swami/Lectures/01_-_Theme_wise/Kaliyuga/2000-008_The_Age_of_Kali_Lecture_-_Radhanath_Swami_Mumbai_2000-01-14_IDesireTree.mp3", "2000-008_The_Age_of_Kali_Lecture_-_Radhanath_Swami_Mumbai_2000-01-14_IDesireTree.mp3")</f>
        <v>2000-008_The_Age_of_Kali_Lecture_-_Radhanath_Swami_Mumbai_2000-01-14_IDesireTree.mp3</v>
      </c>
      <c r="D3951" s="24"/>
      <c r="E3951" s="24"/>
    </row>
    <row r="3952">
      <c r="A3952" s="25" t="s">
        <v>18392</v>
      </c>
      <c r="B3952" s="25" t="s">
        <v>18439</v>
      </c>
      <c r="C3952" s="26" t="str">
        <f>HYPERLINK("https://audio.iskcondesiretree.com/02_-_ISKCON_Swamis/ISKCON_Swamis_-_R_to_Y/His_Holiness_Radhanath_Swami/Lectures/01_-_Theme_wise/Knowledge/1991-003_Perfection_Of_All_Knowledge_SB_08-24-61_-_Radhanath_Swami_Mumbai_1991-01-25_IDesireTree.mp3", "1991-003_Perfection_Of_All_Knowledge_SB_08-24-61_-_Radhanath_Swami_Mumbai_1991-01-25_IDesireTree.mp3")</f>
        <v>1991-003_Perfection_Of_All_Knowledge_SB_08-24-61_-_Radhanath_Swami_Mumbai_1991-01-25_IDesireTree.mp3</v>
      </c>
      <c r="D3952" s="24"/>
      <c r="E3952" s="24"/>
    </row>
    <row r="3953">
      <c r="A3953" s="25" t="s">
        <v>18392</v>
      </c>
      <c r="B3953" s="25" t="s">
        <v>18439</v>
      </c>
      <c r="C3953" s="26" t="str">
        <f>HYPERLINK("https://audio.iskcondesiretree.com/02_-_ISKCON_Swamis/ISKCON_Swamis_-_R_to_Y/His_Holiness_Radhanath_Swami/Lectures/01_-_Theme_wise/Knowledge/1991-153_Receiving_Transcendental_Knowledge_BG_04-03_-_Radhanath_Swami_Mumbai_1991-12-29_IDesireTree.mp3", "1991-153_Receiving_Transcendental_Knowledge_BG_04-03_-_Radhanath_Swami_Mumbai_1991-12-29_IDesireTree.mp3")</f>
        <v>1991-153_Receiving_Transcendental_Knowledge_BG_04-03_-_Radhanath_Swami_Mumbai_1991-12-29_IDesireTree.mp3</v>
      </c>
      <c r="D3953" s="24"/>
      <c r="E3953" s="24"/>
    </row>
    <row r="3954">
      <c r="A3954" s="25" t="s">
        <v>18392</v>
      </c>
      <c r="B3954" s="25" t="s">
        <v>18439</v>
      </c>
      <c r="C3954" s="26" t="str">
        <f>HYPERLINK("https://audio.iskcondesiretree.com/02_-_ISKCON_Swamis/ISKCON_Swamis_-_R_to_Y/His_Holiness_Radhanath_Swami/Lectures/01_-_Theme_wise/Knowledge/1993-091_Knowledge_And_Renunciation_SB_03-27-21_-_Radhanath_Swami_Mumbai_1993-05-21_IDesireTree.mp3", "1993-091_Knowledge_And_Renunciation_SB_03-27-21_-_Radhanath_Swami_Mumbai_1993-05-21_IDesireTree.mp3")</f>
        <v>1993-091_Knowledge_And_Renunciation_SB_03-27-21_-_Radhanath_Swami_Mumbai_1993-05-21_IDesireTree.mp3</v>
      </c>
      <c r="D3954" s="24"/>
      <c r="E3954" s="24"/>
    </row>
    <row r="3955">
      <c r="A3955" s="25" t="s">
        <v>18392</v>
      </c>
      <c r="B3955" s="25" t="s">
        <v>18439</v>
      </c>
      <c r="C3955" s="26" t="str">
        <f>HYPERLINK("https://audio.iskcondesiretree.com/02_-_ISKCON_Swamis/ISKCON_Swamis_-_R_to_Y/His_Holiness_Radhanath_Swami/Lectures/01_-_Theme_wise/Knowledge/1994-015_How_To_Know_God_SB_02-06-34-35_-_Radhanath_Swami_Mumbai_1994-01-18_IDesireTree.mp3", "1994-015_How_To_Know_God_SB_02-06-34-35_-_Radhanath_Swami_Mumbai_1994-01-18_IDesireTree.mp3")</f>
        <v>1994-015_How_To_Know_God_SB_02-06-34-35_-_Radhanath_Swami_Mumbai_1994-01-18_IDesireTree.mp3</v>
      </c>
      <c r="D3955" s="24"/>
      <c r="E3955" s="24"/>
    </row>
    <row r="3956">
      <c r="A3956" s="25" t="s">
        <v>18392</v>
      </c>
      <c r="B3956" s="25" t="s">
        <v>18439</v>
      </c>
      <c r="C3956" s="26" t="str">
        <f>HYPERLINK("https://audio.iskcondesiretree.com/02_-_ISKCON_Swamis/ISKCON_Swamis_-_R_to_Y/His_Holiness_Radhanath_Swami/Lectures/01_-_Theme_wise/Knowledge/1994-177_Accept_Knowledge_Humbly_SB_01-04-33_-_Radhanath_Swami_Mumbai_1994-10-06_IDesireTree.mp3", "1994-177_Accept_Knowledge_Humbly_SB_01-04-33_-_Radhanath_Swami_Mumbai_1994-10-06_IDesireTree.mp3")</f>
        <v>1994-177_Accept_Knowledge_Humbly_SB_01-04-33_-_Radhanath_Swami_Mumbai_1994-10-06_IDesireTree.mp3</v>
      </c>
      <c r="D3956" s="24"/>
      <c r="E3956" s="24"/>
    </row>
    <row r="3957">
      <c r="A3957" s="25" t="s">
        <v>18392</v>
      </c>
      <c r="B3957" s="25" t="s">
        <v>18439</v>
      </c>
      <c r="C3957" s="26" t="str">
        <f>HYPERLINK("https://audio.iskcondesiretree.com/02_-_ISKCON_Swamis/ISKCON_Swamis_-_R_to_Y/His_Holiness_Radhanath_Swami/Lectures/01_-_Theme_wise/Knowledge/1995-137_What_Is_Real_Knowledge_BG_13-23_-_Radhanath_Swami_Mumbai_1995-12-25_IDesireTree.mp3", "1995-137_What_Is_Real_Knowledge_BG_13-23_-_Radhanath_Swami_Mumbai_1995-12-25_IDesireTree.mp3")</f>
        <v>1995-137_What_Is_Real_Knowledge_BG_13-23_-_Radhanath_Swami_Mumbai_1995-12-25_IDesireTree.mp3</v>
      </c>
      <c r="D3957" s="24"/>
      <c r="E3957" s="24"/>
    </row>
    <row r="3958">
      <c r="A3958" s="25" t="s">
        <v>18392</v>
      </c>
      <c r="B3958" s="25" t="s">
        <v>18439</v>
      </c>
      <c r="C3958" s="26" t="str">
        <f>HYPERLINK("https://audio.iskcondesiretree.com/02_-_ISKCON_Swamis/ISKCON_Swamis_-_R_to_Y/His_Holiness_Radhanath_Swami/Lectures/01_-_Theme_wise/Knowledge/1996-092_What_Is_Knowledge_And_Ignorance_BG_10-01_-_Radhanath_Swami_Mumbai_1996-04-24_IDesireTree.mp3", "1996-092_What_Is_Knowledge_And_Ignorance_BG_10-01_-_Radhanath_Swami_Mumbai_1996-04-24_IDesireTree.mp3")</f>
        <v>1996-092_What_Is_Knowledge_And_Ignorance_BG_10-01_-_Radhanath_Swami_Mumbai_1996-04-24_IDesireTree.mp3</v>
      </c>
      <c r="D3958" s="24"/>
      <c r="E3958" s="24"/>
    </row>
    <row r="3959">
      <c r="A3959" s="25" t="s">
        <v>18392</v>
      </c>
      <c r="B3959" s="25" t="s">
        <v>18439</v>
      </c>
      <c r="C3959" s="26" t="str">
        <f>HYPERLINK("https://audio.iskcondesiretree.com/02_-_ISKCON_Swamis/ISKCON_Swamis_-_R_to_Y/His_Holiness_Radhanath_Swami/Lectures/01_-_Theme_wise/Knowledge/1996-155_Knowledge_By_Utter_Surrender_SB_02-04-23_-_Radhanath_Swami_Mumbai_1996-10-19_IDesireTree.mp3", "1996-155_Knowledge_By_Utter_Surrender_SB_02-04-23_-_Radhanath_Swami_Mumbai_1996-10-19_IDesireTree.mp3")</f>
        <v>1996-155_Knowledge_By_Utter_Surrender_SB_02-04-23_-_Radhanath_Swami_Mumbai_1996-10-19_IDesireTree.mp3</v>
      </c>
      <c r="D3959" s="24"/>
      <c r="E3959" s="24"/>
    </row>
    <row r="3960">
      <c r="A3960" s="25" t="s">
        <v>18392</v>
      </c>
      <c r="B3960" s="25" t="s">
        <v>18440</v>
      </c>
      <c r="C3960" s="26" t="str">
        <f>HYPERLINK("https://audio.iskcondesiretree.com/02_-_ISKCON_Swamis/ISKCON_Swamis_-_R_to_Y/His_Holiness_Radhanath_Swami/Lectures/01_-_Theme_wise/Krsna/About_Krsna/1989-022_Why_Is_Krishna_Dancing_With_Gopis_-_Radhanath_Swami_Mumbai_1989-07-23_IDesireTree.mp3", "1989-022_Why_Is_Krishna_Dancing_With_Gopis_-_Radhanath_Swami_Mumbai_1989-07-23_IDesireTree.mp3")</f>
        <v>1989-022_Why_Is_Krishna_Dancing_With_Gopis_-_Radhanath_Swami_Mumbai_1989-07-23_IDesireTree.mp3</v>
      </c>
      <c r="D3960" s="24"/>
      <c r="E3960" s="24"/>
    </row>
    <row r="3961">
      <c r="A3961" s="25" t="s">
        <v>18392</v>
      </c>
      <c r="B3961" s="25" t="s">
        <v>18440</v>
      </c>
      <c r="C3961" s="26" t="str">
        <f>HYPERLINK("https://audio.iskcondesiretree.com/02_-_ISKCON_Swamis/ISKCON_Swamis_-_R_to_Y/His_Holiness_Radhanath_Swami/Lectures/01_-_Theme_wise/Krsna/About_Krsna/1989-035_Lord%27s_Inconceivable_Ways_Lecture_-_Radhanath_Swami_Mumbai_1989-08-25_IDesireTree.mp3", "1989-035_Lord%27s_Inconceivable_Ways_Lecture_-_Radhanath_Swami_Mumbai_1989-08-25_IDesireTree.mp3")</f>
        <v>1989-035_Lord%27s_Inconceivable_Ways_Lecture_-_Radhanath_Swami_Mumbai_1989-08-25_IDesireTree.mp3</v>
      </c>
      <c r="D3961" s="24"/>
      <c r="E3961" s="24"/>
    </row>
    <row r="3962">
      <c r="A3962" s="25" t="s">
        <v>18392</v>
      </c>
      <c r="B3962" s="25" t="s">
        <v>18440</v>
      </c>
      <c r="C3962" s="26" t="str">
        <f>HYPERLINK("https://audio.iskcondesiretree.com/02_-_ISKCON_Swamis/ISKCON_Swamis_-_R_to_Y/His_Holiness_Radhanath_Swami/Lectures/01_-_Theme_wise/Krsna/About_Krsna/1990-002_Whatever_Krishna_Does_Is_Perfect_BG-08_-_Radhanath_Swami_IDesireTree.mp3", "1990-002_Whatever_Krishna_Does_Is_Perfect_BG-08_-_Radhanath_Swami_IDesireTree.mp3")</f>
        <v>1990-002_Whatever_Krishna_Does_Is_Perfect_BG-08_-_Radhanath_Swami_IDesireTree.mp3</v>
      </c>
      <c r="D3962" s="24"/>
      <c r="E3962" s="24"/>
    </row>
    <row r="3963">
      <c r="A3963" s="25" t="s">
        <v>18392</v>
      </c>
      <c r="B3963" s="25" t="s">
        <v>18440</v>
      </c>
      <c r="C3963" s="26" t="str">
        <f>HYPERLINK("https://audio.iskcondesiretree.com/02_-_ISKCON_Swamis/ISKCON_Swamis_-_R_to_Y/His_Holiness_Radhanath_Swami/Lectures/01_-_Theme_wise/Krsna/About_Krsna/1990-040_Everything_Is_In_Krishna_BG_02-44_-_Radhanath_Swami_Mumbai_1990-04-14_IDesireTree.mp3", "1990-040_Everything_Is_In_Krishna_BG_02-44_-_Radhanath_Swami_Mumbai_1990-04-14_IDesireTree.mp3")</f>
        <v>1990-040_Everything_Is_In_Krishna_BG_02-44_-_Radhanath_Swami_Mumbai_1990-04-14_IDesireTree.mp3</v>
      </c>
      <c r="D3963" s="24"/>
      <c r="E3963" s="24"/>
    </row>
    <row r="3964">
      <c r="A3964" s="25" t="s">
        <v>18392</v>
      </c>
      <c r="B3964" s="25" t="s">
        <v>18440</v>
      </c>
      <c r="C3964" s="26" t="str">
        <f>HYPERLINK("https://audio.iskcondesiretree.com/02_-_ISKCON_Swamis/ISKCON_Swamis_-_R_to_Y/His_Holiness_Radhanath_Swami/Lectures/01_-_Theme_wise/Krsna/About_Krsna/1990-043_Krishna_Is_Your_Ever_Well_Wisher_SB_08-01-10_-_Radhanath_Swami_Mumbai_1990-04-25_IDesireTree.mp3", "1990-043_Krishna_Is_Your_Ever_Well_Wisher_SB_08-01-10_-_Radhanath_Swami_Mumbai_1990-04-25_IDesireTree.mp3")</f>
        <v>1990-043_Krishna_Is_Your_Ever_Well_Wisher_SB_08-01-10_-_Radhanath_Swami_Mumbai_1990-04-25_IDesireTree.mp3</v>
      </c>
      <c r="D3964" s="24"/>
      <c r="E3964" s="24"/>
    </row>
    <row r="3965">
      <c r="A3965" s="25" t="s">
        <v>18392</v>
      </c>
      <c r="B3965" s="25" t="s">
        <v>18440</v>
      </c>
      <c r="C3965" s="26" t="str">
        <f>HYPERLINK("https://audio.iskcondesiretree.com/02_-_ISKCON_Swamis/ISKCON_Swamis_-_R_to_Y/His_Holiness_Radhanath_Swami/Lectures/01_-_Theme_wise/Krsna/About_Krsna/1990-044_Perceiving_The_Paramatma_SB_08-01-11_-_Radhanath_Swami_Mumbai_1990-04-26_IDesireTree.mp3", "1990-044_Perceiving_The_Paramatma_SB_08-01-11_-_Radhanath_Swami_Mumbai_1990-04-26_IDesireTree.mp3")</f>
        <v>1990-044_Perceiving_The_Paramatma_SB_08-01-11_-_Radhanath_Swami_Mumbai_1990-04-26_IDesireTree.mp3</v>
      </c>
      <c r="D3965" s="24"/>
      <c r="E3965" s="24"/>
    </row>
    <row r="3966">
      <c r="A3966" s="25" t="s">
        <v>18392</v>
      </c>
      <c r="B3966" s="25" t="s">
        <v>18440</v>
      </c>
      <c r="C3966" s="26" t="str">
        <f>HYPERLINK("https://audio.iskcondesiretree.com/02_-_ISKCON_Swamis/ISKCON_Swamis_-_R_to_Y/His_Holiness_Radhanath_Swami/Lectures/01_-_Theme_wise/Krsna/About_Krsna/1990-049_Krsna_Needs_Your_Surrender_SB_08-01-15_-_Radhanath_Swami_Mumbai_1990-04-30_IDesireTree.mp3", "1990-049_Krsna_Needs_Your_Surrender_SB_08-01-15_-_Radhanath_Swami_Mumbai_1990-04-30_IDesireTree.mp3")</f>
        <v>1990-049_Krsna_Needs_Your_Surrender_SB_08-01-15_-_Radhanath_Swami_Mumbai_1990-04-30_IDesireTree.mp3</v>
      </c>
      <c r="D3966" s="24"/>
      <c r="E3966" s="24"/>
    </row>
    <row r="3967">
      <c r="A3967" s="25" t="s">
        <v>18392</v>
      </c>
      <c r="B3967" s="25" t="s">
        <v>18440</v>
      </c>
      <c r="C3967" s="26" t="str">
        <f>HYPERLINK("https://audio.iskcondesiretree.com/02_-_ISKCON_Swamis/ISKCON_Swamis_-_R_to_Y/His_Holiness_Radhanath_Swami/Lectures/01_-_Theme_wise/Krsna/About_Krsna/1990-070_Cause_Of_Lord%27s_Descent_SB_08-07-09-10_-_Radhanath_Swami_Mumbai_1990-08-26_IDesireTree.mp3", "1990-070_Cause_Of_Lord%27s_Descent_SB_08-07-09-10_-_Radhanath_Swami_Mumbai_1990-08-26_IDesireTree.mp3")</f>
        <v>1990-070_Cause_Of_Lord%27s_Descent_SB_08-07-09-10_-_Radhanath_Swami_Mumbai_1990-08-26_IDesireTree.mp3</v>
      </c>
      <c r="D3967" s="24"/>
      <c r="E3967" s="24"/>
    </row>
    <row r="3968">
      <c r="A3968" s="25" t="s">
        <v>18392</v>
      </c>
      <c r="B3968" s="25" t="s">
        <v>18440</v>
      </c>
      <c r="C3968" s="26" t="str">
        <f>HYPERLINK("https://audio.iskcondesiretree.com/02_-_ISKCON_Swamis/ISKCON_Swamis_-_R_to_Y/His_Holiness_Radhanath_Swami/Lectures/01_-_Theme_wise/Krsna/About_Krsna/1991-036_Krishna_Is_Perfect_BG_06-33-34_-_Radhanath_Swami_Mumbai_1991-04-28_IDesireTree.mp3", "1991-036_Krishna_Is_Perfect_BG_06-33-34_-_Radhanath_Swami_Mumbai_1991-04-28_IDesireTree.mp3")</f>
        <v>1991-036_Krishna_Is_Perfect_BG_06-33-34_-_Radhanath_Swami_Mumbai_1991-04-28_IDesireTree.mp3</v>
      </c>
      <c r="D3968" s="24"/>
      <c r="E3968" s="24"/>
    </row>
    <row r="3969">
      <c r="A3969" s="25" t="s">
        <v>18392</v>
      </c>
      <c r="B3969" s="25" t="s">
        <v>18440</v>
      </c>
      <c r="C3969" s="26" t="str">
        <f>HYPERLINK("https://audio.iskcondesiretree.com/02_-_ISKCON_Swamis/ISKCON_Swamis_-_R_to_Y/His_Holiness_Radhanath_Swami/Lectures/01_-_Theme_wise/Krsna/About_Krsna/1991-040_Krishna%27s_Inconceivable_Potency_SB_09-10-16_-_Radhanath_Swami_Mumbai_1991-05-03_IDesireTree.mp3", "1991-040_Krishna%27s_Inconceivable_Potency_SB_09-10-16_-_Radhanath_Swami_Mumbai_1991-05-03_IDesireTree.mp3")</f>
        <v>1991-040_Krishna%27s_Inconceivable_Potency_SB_09-10-16_-_Radhanath_Swami_Mumbai_1991-05-03_IDesireTree.mp3</v>
      </c>
      <c r="D3969" s="24"/>
      <c r="E3969" s="24"/>
    </row>
    <row r="3970">
      <c r="A3970" s="25" t="s">
        <v>18392</v>
      </c>
      <c r="B3970" s="25" t="s">
        <v>18440</v>
      </c>
      <c r="C3970" s="26" t="str">
        <f>HYPERLINK("https://audio.iskcondesiretree.com/02_-_ISKCON_Swamis/ISKCON_Swamis_-_R_to_Y/His_Holiness_Radhanath_Swami/Lectures/01_-_Theme_wise/Krsna/About_Krsna/1991-094_Krishna-_The_Supreme_SB_10-01-21_-_Radhanath_Swami_Mumbai_1991-10-21_IDesireTree.mp3", "1991-094_Krishna-_The_Supreme_SB_10-01-21_-_Radhanath_Swami_Mumbai_1991-10-21_IDesireTree.mp3")</f>
        <v>1991-094_Krishna-_The_Supreme_SB_10-01-21_-_Radhanath_Swami_Mumbai_1991-10-21_IDesireTree.mp3</v>
      </c>
      <c r="D3970" s="24"/>
      <c r="E3970" s="24"/>
    </row>
    <row r="3971">
      <c r="A3971" s="25" t="s">
        <v>18392</v>
      </c>
      <c r="B3971" s="25" t="s">
        <v>18440</v>
      </c>
      <c r="C3971" s="26" t="str">
        <f>HYPERLINK("https://audio.iskcondesiretree.com/02_-_ISKCON_Swamis/ISKCON_Swamis_-_R_to_Y/His_Holiness_Radhanath_Swami/Lectures/01_-_Theme_wise/Krsna/About_Krsna/1991-110_Different_Energies_Of_Krishna_Lecture_-_Radhanath_Swami_Mumbai_1991-10-30_IDesireTree.mp3", "1991-110_Different_Energies_Of_Krishna_Lecture_-_Radhanath_Swami_Mumbai_1991-10-30_IDesireTree.mp3")</f>
        <v>1991-110_Different_Energies_Of_Krishna_Lecture_-_Radhanath_Swami_Mumbai_1991-10-30_IDesireTree.mp3</v>
      </c>
      <c r="D3971" s="24"/>
      <c r="E3971" s="24"/>
    </row>
    <row r="3972">
      <c r="A3972" s="25" t="s">
        <v>18392</v>
      </c>
      <c r="B3972" s="25" t="s">
        <v>18440</v>
      </c>
      <c r="C3972" s="26" t="str">
        <f>HYPERLINK("https://audio.iskcondesiretree.com/02_-_ISKCON_Swamis/ISKCON_Swamis_-_R_to_Y/His_Holiness_Radhanath_Swami/Lectures/01_-_Theme_wise/Krsna/About_Krsna/1991-120_Our_Supreme_Lord_Lecture_-_Radhanath_Swami_Mumbai_1991-11-23_IDesireTree.mp3", "1991-120_Our_Supreme_Lord_Lecture_-_Radhanath_Swami_Mumbai_1991-11-23_IDesireTree.mp3")</f>
        <v>1991-120_Our_Supreme_Lord_Lecture_-_Radhanath_Swami_Mumbai_1991-11-23_IDesireTree.mp3</v>
      </c>
      <c r="D3972" s="24"/>
      <c r="E3972" s="24"/>
    </row>
    <row r="3973">
      <c r="A3973" s="25" t="s">
        <v>18392</v>
      </c>
      <c r="B3973" s="25" t="s">
        <v>18440</v>
      </c>
      <c r="C3973" s="26" t="str">
        <f>HYPERLINK("https://audio.iskcondesiretree.com/02_-_ISKCON_Swamis/ISKCON_Swamis_-_R_to_Y/His_Holiness_Radhanath_Swami/Lectures/01_-_Theme_wise/Krsna/About_Krsna/1991-125_The_Greatness_Of_Krishna_Lecture_-_Radhanath_Swami_Mumbai_1991-11-26_IDesireTree.mp3", "1991-125_The_Greatness_Of_Krishna_Lecture_-_Radhanath_Swami_Mumbai_1991-11-26_IDesireTree.mp3")</f>
        <v>1991-125_The_Greatness_Of_Krishna_Lecture_-_Radhanath_Swami_Mumbai_1991-11-26_IDesireTree.mp3</v>
      </c>
      <c r="D3973" s="24"/>
      <c r="E3973" s="24"/>
    </row>
    <row r="3974">
      <c r="A3974" s="25" t="s">
        <v>18392</v>
      </c>
      <c r="B3974" s="25" t="s">
        <v>18440</v>
      </c>
      <c r="C3974" s="26" t="str">
        <f>HYPERLINK("https://audio.iskcondesiretree.com/02_-_ISKCON_Swamis/ISKCON_Swamis_-_R_to_Y/His_Holiness_Radhanath_Swami/Lectures/01_-_Theme_wise/Krsna/About_Krsna/1991-142_Quadraple_Expansion_Of_Krishna_Lecture_-_Radhanath_Swami_Mumbai_1991-12-03_IDesireTree.mp3", "1991-142_Quadraple_Expansion_Of_Krishna_Lecture_-_Radhanath_Swami_Mumbai_1991-12-03_IDesireTree.mp3")</f>
        <v>1991-142_Quadraple_Expansion_Of_Krishna_Lecture_-_Radhanath_Swami_Mumbai_1991-12-03_IDesireTree.mp3</v>
      </c>
      <c r="D3974" s="24"/>
      <c r="E3974" s="24"/>
    </row>
    <row r="3975">
      <c r="A3975" s="25" t="s">
        <v>18392</v>
      </c>
      <c r="B3975" s="25" t="s">
        <v>18440</v>
      </c>
      <c r="C3975" s="26" t="str">
        <f>HYPERLINK("https://audio.iskcondesiretree.com/02_-_ISKCON_Swamis/ISKCON_Swamis_-_R_to_Y/His_Holiness_Radhanath_Swami/Lectures/01_-_Theme_wise/Krsna/About_Krsna/1991-152_Lord%27s_Sacrifice_Is_Uncomparable_Lecture_-_Radhanath_Swami_Mumbai_1991-12-27_IDesireTree.mp3", "1991-152_Lord%27s_Sacrifice_Is_Uncomparable_Lecture_-_Radhanath_Swami_Mumbai_1991-12-27_IDesireTree.mp3")</f>
        <v>1991-152_Lord%27s_Sacrifice_Is_Uncomparable_Lecture_-_Radhanath_Swami_Mumbai_1991-12-27_IDesireTree.mp3</v>
      </c>
      <c r="D3975" s="24"/>
      <c r="E3975" s="24"/>
    </row>
    <row r="3976">
      <c r="A3976" s="25" t="s">
        <v>18392</v>
      </c>
      <c r="B3976" s="25" t="s">
        <v>18440</v>
      </c>
      <c r="C3976" s="26" t="str">
        <f>HYPERLINK("https://audio.iskcondesiretree.com/02_-_ISKCON_Swamis/ISKCON_Swamis_-_R_to_Y/His_Holiness_Radhanath_Swami/Lectures/01_-_Theme_wise/Krsna/About_Krsna/1991-158_Incarnations_Of_Godhead_Lecture_-_Radhanath_Swami_Mumbai_1991-12-10_IDesireTree.mp3", "1991-158_Incarnations_Of_Godhead_Lecture_-_Radhanath_Swami_Mumbai_1991-12-10_IDesireTree.mp3")</f>
        <v>1991-158_Incarnations_Of_Godhead_Lecture_-_Radhanath_Swami_Mumbai_1991-12-10_IDesireTree.mp3</v>
      </c>
      <c r="D3976" s="24"/>
      <c r="E3976" s="24"/>
    </row>
    <row r="3977">
      <c r="A3977" s="25" t="s">
        <v>18392</v>
      </c>
      <c r="B3977" s="25" t="s">
        <v>18440</v>
      </c>
      <c r="C3977" s="26" t="str">
        <f>HYPERLINK("https://audio.iskcondesiretree.com/02_-_ISKCON_Swamis/ISKCON_Swamis_-_R_to_Y/His_Holiness_Radhanath_Swami/Lectures/01_-_Theme_wise/Krsna/About_Krsna/1991-159_Krishna_Is_Equal_To_All_SB_10-03-21_-_Radhanath_Swami_Mumbai_1991-12-30_IDesireTree.mp3", "1991-159_Krishna_Is_Equal_To_All_SB_10-03-21_-_Radhanath_Swami_Mumbai_1991-12-30_IDesireTree.mp3")</f>
        <v>1991-159_Krishna_Is_Equal_To_All_SB_10-03-21_-_Radhanath_Swami_Mumbai_1991-12-30_IDesireTree.mp3</v>
      </c>
      <c r="D3977" s="24"/>
      <c r="E3977" s="24"/>
    </row>
    <row r="3978">
      <c r="A3978" s="25" t="s">
        <v>18392</v>
      </c>
      <c r="B3978" s="25" t="s">
        <v>18440</v>
      </c>
      <c r="C3978" s="26" t="str">
        <f>HYPERLINK("https://audio.iskcondesiretree.com/02_-_ISKCON_Swamis/ISKCON_Swamis_-_R_to_Y/His_Holiness_Radhanath_Swami/Lectures/01_-_Theme_wise/Krsna/About_Krsna/1992-008_Who_Is_Original_Person_Lecture_-_Radhanath_Swami_Mumbai_1992-01-07_IDesireTree.mp3", "1992-008_Who_Is_Original_Person_Lecture_-_Radhanath_Swami_Mumbai_1992-01-07_IDesireTree.mp3")</f>
        <v>1992-008_Who_Is_Original_Person_Lecture_-_Radhanath_Swami_Mumbai_1992-01-07_IDesireTree.mp3</v>
      </c>
      <c r="D3978" s="24"/>
      <c r="E3978" s="24"/>
    </row>
    <row r="3979">
      <c r="A3979" s="25" t="s">
        <v>18392</v>
      </c>
      <c r="B3979" s="25" t="s">
        <v>18440</v>
      </c>
      <c r="C3979" s="26" t="str">
        <f>HYPERLINK("https://audio.iskcondesiretree.com/02_-_ISKCON_Swamis/ISKCON_Swamis_-_R_to_Y/His_Holiness_Radhanath_Swami/Lectures/01_-_Theme_wise/Krsna/About_Krsna/1992-009_Krsna_Is_Not_Boond_BG_04-14_-_Radhanath_Swami_Mumbai_1992-01-08_IDesireTree.mp3", "1992-009_Krsna_Is_Not_Boond_BG_04-14_-_Radhanath_Swami_Mumbai_1992-01-08_IDesireTree.mp3")</f>
        <v>1992-009_Krsna_Is_Not_Boond_BG_04-14_-_Radhanath_Swami_Mumbai_1992-01-08_IDesireTree.mp3</v>
      </c>
      <c r="D3979" s="24"/>
      <c r="E3979" s="24"/>
    </row>
    <row r="3980">
      <c r="A3980" s="25" t="s">
        <v>18392</v>
      </c>
      <c r="B3980" s="25" t="s">
        <v>18440</v>
      </c>
      <c r="C3980" s="26" t="str">
        <f>HYPERLINK("https://audio.iskcondesiretree.com/02_-_ISKCON_Swamis/ISKCON_Swamis_-_R_to_Y/His_Holiness_Radhanath_Swami/Lectures/01_-_Theme_wise/Krsna/About_Krsna/1992-011_Different_Expansions_Of_Krishna_CC_AL-02-90_-_Radhanath_Swami_Mumbai_1992-01-09_IDesireTree.mp3", "1992-011_Different_Expansions_Of_Krishna_CC_AL-02-90_-_Radhanath_Swami_Mumbai_1992-01-09_IDesireTree.mp3")</f>
        <v>1992-011_Different_Expansions_Of_Krishna_CC_AL-02-90_-_Radhanath_Swami_Mumbai_1992-01-09_IDesireTree.mp3</v>
      </c>
      <c r="D3980" s="24"/>
      <c r="E3980" s="24"/>
    </row>
    <row r="3981">
      <c r="A3981" s="25" t="s">
        <v>18392</v>
      </c>
      <c r="B3981" s="25" t="s">
        <v>18440</v>
      </c>
      <c r="C3981" s="26" t="str">
        <f>HYPERLINK("https://audio.iskcondesiretree.com/02_-_ISKCON_Swamis/ISKCON_Swamis_-_R_to_Y/His_Holiness_Radhanath_Swami/Lectures/01_-_Theme_wise/Krsna/About_Krsna/1992-017_Lord_Krishna-_A_Shastric_Evidence_CC_AL-02_-_Radhanath_Swami_Mumbai_1992-01-29_IDesireTree.mp3", "1992-017_Lord_Krishna-_A_Shastric_Evidence_CC_AL-02_-_Radhanath_Swami_Mumbai_1992-01-29_IDesireTree.mp3")</f>
        <v>1992-017_Lord_Krishna-_A_Shastric_Evidence_CC_AL-02_-_Radhanath_Swami_Mumbai_1992-01-29_IDesireTree.mp3</v>
      </c>
      <c r="D3981" s="24"/>
      <c r="E3981" s="24"/>
    </row>
    <row r="3982">
      <c r="A3982" s="25" t="s">
        <v>18392</v>
      </c>
      <c r="B3982" s="25" t="s">
        <v>18440</v>
      </c>
      <c r="C3982" s="26" t="str">
        <f>HYPERLINK("https://audio.iskcondesiretree.com/02_-_ISKCON_Swamis/ISKCON_Swamis_-_R_to_Y/His_Holiness_Radhanath_Swami/Lectures/01_-_Theme_wise/Krsna/About_Krsna/1992-075_Inconceivable_Lord_Krishna_SB_10-13-35_-_Radhanath_Swami_Mumbai_1992-08-17_IDesireTree.mp3", "1992-075_Inconceivable_Lord_Krishna_SB_10-13-35_-_Radhanath_Swami_Mumbai_1992-08-17_IDesireTree.mp3")</f>
        <v>1992-075_Inconceivable_Lord_Krishna_SB_10-13-35_-_Radhanath_Swami_Mumbai_1992-08-17_IDesireTree.mp3</v>
      </c>
      <c r="D3982" s="24"/>
      <c r="E3982" s="24"/>
    </row>
    <row r="3983">
      <c r="A3983" s="25" t="s">
        <v>18392</v>
      </c>
      <c r="B3983" s="25" t="s">
        <v>18440</v>
      </c>
      <c r="C3983" s="26" t="str">
        <f>HYPERLINK("https://audio.iskcondesiretree.com/02_-_ISKCON_Swamis/ISKCON_Swamis_-_R_to_Y/His_Holiness_Radhanath_Swami/Lectures/01_-_Theme_wise/Krsna/About_Krsna/1992-083_Greatness_Of_Krishna_SB_10-03-39_-_Radhanath_Swami_Mumbai_1992-08-20_IDesireTree.mp3", "1992-083_Greatness_Of_Krishna_SB_10-03-39_-_Radhanath_Swami_Mumbai_1992-08-20_IDesireTree.mp3")</f>
        <v>1992-083_Greatness_Of_Krishna_SB_10-03-39_-_Radhanath_Swami_Mumbai_1992-08-20_IDesireTree.mp3</v>
      </c>
      <c r="D3983" s="24"/>
      <c r="E3983" s="24"/>
    </row>
    <row r="3984">
      <c r="A3984" s="25" t="s">
        <v>18392</v>
      </c>
      <c r="B3984" s="25" t="s">
        <v>18440</v>
      </c>
      <c r="C3984" s="26" t="str">
        <f>HYPERLINK("https://audio.iskcondesiretree.com/02_-_ISKCON_Swamis/ISKCON_Swamis_-_R_to_Y/His_Holiness_Radhanath_Swami/Lectures/01_-_Theme_wise/Krsna/About_Krsna/1992-084_Supreme_Controller_SB_10-13-40_-_Radhanath_Swami_Mumbai_-_1992-08-21_IDesireTree.mp3", "1992-084_Supreme_Controller_SB_10-13-40_-_Radhanath_Swami_Mumbai_-_1992-08-21_IDesireTree.mp3")</f>
        <v>1992-084_Supreme_Controller_SB_10-13-40_-_Radhanath_Swami_Mumbai_-_1992-08-21_IDesireTree.mp3</v>
      </c>
      <c r="D3984" s="24"/>
      <c r="E3984" s="24"/>
    </row>
    <row r="3985">
      <c r="A3985" s="25" t="s">
        <v>18392</v>
      </c>
      <c r="B3985" s="25" t="s">
        <v>18440</v>
      </c>
      <c r="C3985" s="26" t="str">
        <f>HYPERLINK("https://audio.iskcondesiretree.com/02_-_ISKCON_Swamis/ISKCON_Swamis_-_R_to_Y/His_Holiness_Radhanath_Swami/Lectures/01_-_Theme_wise/Krsna/About_Krsna/1992-091_Glory_Of_Krishna_SB_10-13-46-48_-_Radhanath_Swami_Mumbai_1992-08-27_IDesireTree.mp3", "1992-091_Glory_Of_Krishna_SB_10-13-46-48_-_Radhanath_Swami_Mumbai_1992-08-27_IDesireTree.mp3")</f>
        <v>1992-091_Glory_Of_Krishna_SB_10-13-46-48_-_Radhanath_Swami_Mumbai_1992-08-27_IDesireTree.mp3</v>
      </c>
      <c r="D3985" s="24"/>
      <c r="E3985" s="24"/>
    </row>
    <row r="3986">
      <c r="A3986" s="25" t="s">
        <v>18392</v>
      </c>
      <c r="B3986" s="25" t="s">
        <v>18440</v>
      </c>
      <c r="C3986" s="26" t="str">
        <f>HYPERLINK("https://audio.iskcondesiretree.com/02_-_ISKCON_Swamis/ISKCON_Swamis_-_R_to_Y/His_Holiness_Radhanath_Swami/Lectures/01_-_Theme_wise/Krsna/About_Krsna/1992-109_Krishna_Is_Omnipotent_SB_10-14-16_-_Radhanath_Swami_Mumbai_1992-09-24_IDesireTree.mp3", "1992-109_Krishna_Is_Omnipotent_SB_10-14-16_-_Radhanath_Swami_Mumbai_1992-09-24_IDesireTree.mp3")</f>
        <v>1992-109_Krishna_Is_Omnipotent_SB_10-14-16_-_Radhanath_Swami_Mumbai_1992-09-24_IDesireTree.mp3</v>
      </c>
      <c r="D3986" s="24"/>
      <c r="E3986" s="24"/>
    </row>
    <row r="3987">
      <c r="A3987" s="25" t="s">
        <v>18392</v>
      </c>
      <c r="B3987" s="25" t="s">
        <v>18440</v>
      </c>
      <c r="C3987" s="26" t="str">
        <f>HYPERLINK("https://audio.iskcondesiretree.com/02_-_ISKCON_Swamis/ISKCON_Swamis_-_R_to_Y/His_Holiness_Radhanath_Swami/Lectures/01_-_Theme_wise/Krsna/About_Krsna/1992-119_Krishna-_The_Master_Of_Mystics_SB_10-14-27_-_Radhanath_Swami_Mumbai_1992-10-04_IDesireTree.mp3", "1992-119_Krishna-_The_Master_Of_Mystics_SB_10-14-27_-_Radhanath_Swami_Mumbai_1992-10-04_IDesireTree.mp3")</f>
        <v>1992-119_Krishna-_The_Master_Of_Mystics_SB_10-14-27_-_Radhanath_Swami_Mumbai_1992-10-04_IDesireTree.mp3</v>
      </c>
      <c r="D3987" s="24"/>
      <c r="E3987" s="24"/>
    </row>
    <row r="3988">
      <c r="A3988" s="25" t="s">
        <v>18392</v>
      </c>
      <c r="B3988" s="25" t="s">
        <v>18440</v>
      </c>
      <c r="C3988" s="26" t="str">
        <f>HYPERLINK("https://audio.iskcondesiretree.com/02_-_ISKCON_Swamis/ISKCON_Swamis_-_R_to_Y/His_Holiness_Radhanath_Swami/Lectures/01_-_Theme_wise/Krsna/About_Krsna/1993-003_Krsna_can_tear_down_the_wall_of_Illusion_SB_10-20-18_-_Radhanath_Swami_1993-01-05_IDesireTree.mp3", "1993-003_Krsna_can_tear_down_the_wall_of_Illusion_SB_10-20-18_-_Radhanath_Swami_1993-01-05_IDesireTree.mp3")</f>
        <v>1993-003_Krsna_can_tear_down_the_wall_of_Illusion_SB_10-20-18_-_Radhanath_Swami_1993-01-05_IDesireTree.mp3</v>
      </c>
      <c r="D3988" s="24"/>
      <c r="E3988" s="24"/>
    </row>
    <row r="3989">
      <c r="A3989" s="25" t="s">
        <v>18392</v>
      </c>
      <c r="B3989" s="25" t="s">
        <v>18440</v>
      </c>
      <c r="C3989" s="26" t="str">
        <f>HYPERLINK("https://audio.iskcondesiretree.com/02_-_ISKCON_Swamis/ISKCON_Swamis_-_R_to_Y/His_Holiness_Radhanath_Swami/Lectures/01_-_Theme_wise/Krsna/About_Krsna/1993-039_Supreme_Protector_SB_10-25-20_-_Radhanath_Swami_1993-04-03_IDesireTree.mp3", "1993-039_Supreme_Protector_SB_10-25-20_-_Radhanath_Swami_1993-04-03_IDesireTree.mp3")</f>
        <v>1993-039_Supreme_Protector_SB_10-25-20_-_Radhanath_Swami_1993-04-03_IDesireTree.mp3</v>
      </c>
      <c r="D3989" s="24"/>
      <c r="E3989" s="24"/>
    </row>
    <row r="3990">
      <c r="A3990" s="25" t="s">
        <v>18392</v>
      </c>
      <c r="B3990" s="25" t="s">
        <v>18440</v>
      </c>
      <c r="C3990" s="26" t="str">
        <f>HYPERLINK("https://audio.iskcondesiretree.com/02_-_ISKCON_Swamis/ISKCON_Swamis_-_R_to_Y/His_Holiness_Radhanath_Swami/Lectures/01_-_Theme_wise/Krsna/About_Krsna/1993-043_wonderful_krsna_SB_10-26-01_-_Radhanath_Swami_Mumbai_1993-04-08_IDesireTree.mp3", "1993-043_wonderful_krsna_SB_10-26-01_-_Radhanath_Swami_Mumbai_1993-04-08_IDesireTree.mp3")</f>
        <v>1993-043_wonderful_krsna_SB_10-26-01_-_Radhanath_Swami_Mumbai_1993-04-08_IDesireTree.mp3</v>
      </c>
      <c r="D3990" s="24"/>
      <c r="E3990" s="24"/>
    </row>
    <row r="3991">
      <c r="A3991" s="25" t="s">
        <v>18392</v>
      </c>
      <c r="B3991" s="25" t="s">
        <v>18440</v>
      </c>
      <c r="C3991" s="26" t="str">
        <f>HYPERLINK("https://audio.iskcondesiretree.com/02_-_ISKCON_Swamis/ISKCON_Swamis_-_R_to_Y/His_Holiness_Radhanath_Swami/Lectures/01_-_Theme_wise/Krsna/About_Krsna/1993-068_Everything_Emanates_From_Me_BG_10-08_-_Radhanath_Swami_Mumbai_1993-04-25_IDesireTree.mp3", "1993-068_Everything_Emanates_From_Me_BG_10-08_-_Radhanath_Swami_Mumbai_1993-04-25_IDesireTree.mp3")</f>
        <v>1993-068_Everything_Emanates_From_Me_BG_10-08_-_Radhanath_Swami_Mumbai_1993-04-25_IDesireTree.mp3</v>
      </c>
      <c r="D3991" s="24"/>
      <c r="E3991" s="24"/>
    </row>
    <row r="3992">
      <c r="A3992" s="25" t="s">
        <v>18392</v>
      </c>
      <c r="B3992" s="25" t="s">
        <v>18440</v>
      </c>
      <c r="C3992" s="26" t="str">
        <f>HYPERLINK("https://audio.iskcondesiretree.com/02_-_ISKCON_Swamis/ISKCON_Swamis_-_R_to_Y/His_Holiness_Radhanath_Swami/Lectures/01_-_Theme_wise/Krsna/About_Krsna/1993-119_Lord_Krsna%27s_Unlimited_Potency_SB_10-33-35-37_-_Radhanath_Swami_1993-06-14_IDesireTree.mp3", "1993-119_Lord_Krsna%27s_Unlimited_Potency_SB_10-33-35-37_-_Radhanath_Swami_1993-06-14_IDesireTree.mp3")</f>
        <v>1993-119_Lord_Krsna%27s_Unlimited_Potency_SB_10-33-35-37_-_Radhanath_Swami_1993-06-14_IDesireTree.mp3</v>
      </c>
      <c r="D3992" s="24"/>
      <c r="E3992" s="24"/>
    </row>
    <row r="3993">
      <c r="A3993" s="25" t="s">
        <v>18392</v>
      </c>
      <c r="B3993" s="25" t="s">
        <v>18440</v>
      </c>
      <c r="C3993" s="26" t="str">
        <f>HYPERLINK("https://audio.iskcondesiretree.com/02_-_ISKCON_Swamis/ISKCON_Swamis_-_R_to_Y/His_Holiness_Radhanath_Swami/Lectures/01_-_Theme_wise/Krsna/About_Krsna/1994-003_Lord_Krishna-_The_Only_Controller_SB_01-15-29_-_Radhanath_Swami_Mumbai_1994-01-09_IDesireTree.mp3", "1994-003_Lord_Krishna-_The_Only_Controller_SB_01-15-29_-_Radhanath_Swami_Mumbai_1994-01-09_IDesireTree.mp3")</f>
        <v>1994-003_Lord_Krishna-_The_Only_Controller_SB_01-15-29_-_Radhanath_Swami_Mumbai_1994-01-09_IDesireTree.mp3</v>
      </c>
      <c r="D3993" s="24"/>
      <c r="E3993" s="24"/>
    </row>
    <row r="3994">
      <c r="A3994" s="25" t="s">
        <v>18392</v>
      </c>
      <c r="B3994" s="25" t="s">
        <v>18440</v>
      </c>
      <c r="C3994" s="26" t="str">
        <f>HYPERLINK("https://audio.iskcondesiretree.com/02_-_ISKCON_Swamis/ISKCON_Swamis_-_R_to_Y/His_Holiness_Radhanath_Swami/Lectures/01_-_Theme_wise/Krsna/About_Krsna/1994-031_Lord_Krishna_The_Supreme_Well_Wisher_BG_09-22_-_Radhanath_Swami_Mumbai_1994-02-18_IDesireTree.mp3", "1994-031_Lord_Krishna_The_Supreme_Well_Wisher_BG_09-22_-_Radhanath_Swami_Mumbai_1994-02-18_IDesireTree.mp3")</f>
        <v>1994-031_Lord_Krishna_The_Supreme_Well_Wisher_BG_09-22_-_Radhanath_Swami_Mumbai_1994-02-18_IDesireTree.mp3</v>
      </c>
      <c r="D3994" s="24"/>
      <c r="E3994" s="24"/>
    </row>
    <row r="3995">
      <c r="A3995" s="25" t="s">
        <v>18392</v>
      </c>
      <c r="B3995" s="25" t="s">
        <v>18440</v>
      </c>
      <c r="C3995" s="26" t="str">
        <f>HYPERLINK("https://audio.iskcondesiretree.com/02_-_ISKCON_Swamis/ISKCON_Swamis_-_R_to_Y/His_Holiness_Radhanath_Swami/Lectures/01_-_Theme_wise/Krsna/About_Krsna/1994-123_Why_Does_Krsna_Appear_Lecture_-_Radhanath_Swami_Mumbai_1994-08-29_IDesireTree.mp3", "1994-123_Why_Does_Krsna_Appear_Lecture_-_Radhanath_Swami_Mumbai_1994-08-29_IDesireTree.mp3")</f>
        <v>1994-123_Why_Does_Krsna_Appear_Lecture_-_Radhanath_Swami_Mumbai_1994-08-29_IDesireTree.mp3</v>
      </c>
      <c r="D3995" s="24"/>
      <c r="E3995" s="24"/>
    </row>
    <row r="3996">
      <c r="A3996" s="25" t="s">
        <v>18392</v>
      </c>
      <c r="B3996" s="25" t="s">
        <v>18440</v>
      </c>
      <c r="C3996" s="26" t="str">
        <f>HYPERLINK("https://audio.iskcondesiretree.com/02_-_ISKCON_Swamis/ISKCON_Swamis_-_R_to_Y/His_Holiness_Radhanath_Swami/Lectures/01_-_Theme_wise/Krsna/About_Krsna/1994-160_Krishna_Is_Centre_Of_Everything_HT_-_Radhanath_Swami_Mumbai_1994-09-23_IDesireTree.mp3", "1994-160_Krishna_Is_Centre_Of_Everything_HT_-_Radhanath_Swami_Mumbai_1994-09-23_IDesireTree.mp3")</f>
        <v>1994-160_Krishna_Is_Centre_Of_Everything_HT_-_Radhanath_Swami_Mumbai_1994-09-23_IDesireTree.mp3</v>
      </c>
      <c r="D3996" s="24"/>
      <c r="E3996" s="24"/>
    </row>
    <row r="3997">
      <c r="A3997" s="25" t="s">
        <v>18392</v>
      </c>
      <c r="B3997" s="25" t="s">
        <v>18440</v>
      </c>
      <c r="C3997" s="26" t="str">
        <f>HYPERLINK("https://audio.iskcondesiretree.com/02_-_ISKCON_Swamis/ISKCON_Swamis_-_R_to_Y/His_Holiness_Radhanath_Swami/Lectures/01_-_Theme_wise/Krsna/About_Krsna/1995-018_Opulence_Of_The_Absolute_BG_10-07_-_Radhanath_Swami_Pune_1995-01-13.mp3", "1995-018_Opulence_Of_The_Absolute_BG_10-07_-_Radhanath_Swami_Pune_1995-01-13.mp3")</f>
        <v>1995-018_Opulence_Of_The_Absolute_BG_10-07_-_Radhanath_Swami_Pune_1995-01-13.mp3</v>
      </c>
      <c r="D3997" s="24"/>
      <c r="E3997" s="24"/>
    </row>
    <row r="3998">
      <c r="A3998" s="25" t="s">
        <v>18392</v>
      </c>
      <c r="B3998" s="25" t="s">
        <v>18440</v>
      </c>
      <c r="C3998" s="26" t="str">
        <f>HYPERLINK("https://audio.iskcondesiretree.com/02_-_ISKCON_Swamis/ISKCON_Swamis_-_R_to_Y/His_Holiness_Radhanath_Swami/Lectures/01_-_Theme_wise/Krsna/About_Krsna/1995-027_Krsna_Is_equal_To_All_BG_09-29_-_Radhanath_Swami_Javlibaleshwar_1995-01-19.mp3", "1995-027_Krsna_Is_equal_To_All_BG_09-29_-_Radhanath_Swami_Javlibaleshwar_1995-01-19.mp3")</f>
        <v>1995-027_Krsna_Is_equal_To_All_BG_09-29_-_Radhanath_Swami_Javlibaleshwar_1995-01-19.mp3</v>
      </c>
      <c r="D3998" s="24"/>
      <c r="E3998" s="24"/>
    </row>
    <row r="3999">
      <c r="A3999" s="25" t="s">
        <v>18392</v>
      </c>
      <c r="B3999" s="25" t="s">
        <v>18440</v>
      </c>
      <c r="C3999" s="26" t="str">
        <f>HYPERLINK("https://audio.iskcondesiretree.com/02_-_ISKCON_Swamis/ISKCON_Swamis_-_R_to_Y/His_Holiness_Radhanath_Swami/Lectures/01_-_Theme_wise/Krsna/About_Krsna/1995-050_Krishna%27s_Energies_SB_01-08-16_-_Radhanath_Swami_Mumbai_1995-02-14.mp3", "1995-050_Krishna%27s_Energies_SB_01-08-16_-_Radhanath_Swami_Mumbai_1995-02-14.mp3")</f>
        <v>1995-050_Krishna%27s_Energies_SB_01-08-16_-_Radhanath_Swami_Mumbai_1995-02-14.mp3</v>
      </c>
      <c r="D3999" s="24"/>
      <c r="E3999" s="24"/>
    </row>
    <row r="4000">
      <c r="A4000" s="25" t="s">
        <v>18392</v>
      </c>
      <c r="B4000" s="25" t="s">
        <v>18440</v>
      </c>
      <c r="C4000" s="26" t="str">
        <f>HYPERLINK("https://audio.iskcondesiretree.com/02_-_ISKCON_Swamis/ISKCON_Swamis_-_R_to_Y/His_Holiness_Radhanath_Swami/Lectures/01_-_Theme_wise/Krsna/About_Krsna/1996-007_Krishna_Is_Supremely_Merciful_SB_03-02-23_-_Radhanath_Swami_Pune_1996-01-04.mp3", "1996-007_Krishna_Is_Supremely_Merciful_SB_03-02-23_-_Radhanath_Swami_Pune_1996-01-04.mp3")</f>
        <v>1996-007_Krishna_Is_Supremely_Merciful_SB_03-02-23_-_Radhanath_Swami_Pune_1996-01-04.mp3</v>
      </c>
      <c r="D4000" s="24"/>
      <c r="E4000" s="24"/>
    </row>
    <row r="4001">
      <c r="A4001" s="25" t="s">
        <v>18392</v>
      </c>
      <c r="B4001" s="25" t="s">
        <v>18440</v>
      </c>
      <c r="C4001" s="26" t="str">
        <f>HYPERLINK("https://audio.iskcondesiretree.com/02_-_ISKCON_Swamis/ISKCON_Swamis_-_R_to_Y/His_Holiness_Radhanath_Swami/Lectures/01_-_Theme_wise/Krsna/About_Krsna/1996-067_Lord_Never_Appears_Alone_SB_01-18-09_-_Radhanath_Swami_Mumbai_1996-03-29_IDesireTree.mp3", "1996-067_Lord_Never_Appears_Alone_SB_01-18-09_-_Radhanath_Swami_Mumbai_1996-03-29_IDesireTree.mp3")</f>
        <v>1996-067_Lord_Never_Appears_Alone_SB_01-18-09_-_Radhanath_Swami_Mumbai_1996-03-29_IDesireTree.mp3</v>
      </c>
      <c r="D4001" s="24"/>
      <c r="E4001" s="24"/>
    </row>
    <row r="4002">
      <c r="A4002" s="25" t="s">
        <v>18392</v>
      </c>
      <c r="B4002" s="25" t="s">
        <v>18440</v>
      </c>
      <c r="C4002" s="26" t="str">
        <f>HYPERLINK("https://audio.iskcondesiretree.com/02_-_ISKCON_Swamis/ISKCON_Swamis_-_R_to_Y/His_Holiness_Radhanath_Swami/Lectures/01_-_Theme_wise/Krsna/About_Krsna/1996-129_Krishna-_The_Original_Purusa_SB_02-03-21_-_Radhanath_Swami_Mumbai_1996-09-14_IDesireTree.mp3", "1996-129_Krishna-_The_Original_Purusa_SB_02-03-21_-_Radhanath_Swami_Mumbai_1996-09-14_IDesireTree.mp3")</f>
        <v>1996-129_Krishna-_The_Original_Purusa_SB_02-03-21_-_Radhanath_Swami_Mumbai_1996-09-14_IDesireTree.mp3</v>
      </c>
      <c r="D4002" s="24"/>
      <c r="E4002" s="24"/>
    </row>
    <row r="4003">
      <c r="A4003" s="25" t="s">
        <v>18392</v>
      </c>
      <c r="B4003" s="25" t="s">
        <v>18440</v>
      </c>
      <c r="C4003" s="26" t="str">
        <f>HYPERLINK("https://audio.iskcondesiretree.com/02_-_ISKCON_Swamis/ISKCON_Swamis_-_R_to_Y/His_Holiness_Radhanath_Swami/Lectures/01_-_Theme_wise/Krsna/About_Krsna/1996-144_Krishna_Is_Master_Of_Everyone_SB_02-04-07_-_Radhanath_Swami_Mumbai_1996-09-28_IDesireTree.mp3", "1996-144_Krishna_Is_Master_Of_Everyone_SB_02-04-07_-_Radhanath_Swami_Mumbai_1996-09-28_IDesireTree.mp3")</f>
        <v>1996-144_Krishna_Is_Master_Of_Everyone_SB_02-04-07_-_Radhanath_Swami_Mumbai_1996-09-28_IDesireTree.mp3</v>
      </c>
      <c r="D4003" s="24"/>
      <c r="E4003" s="24"/>
    </row>
    <row r="4004">
      <c r="A4004" s="25" t="s">
        <v>18392</v>
      </c>
      <c r="B4004" s="25" t="s">
        <v>18440</v>
      </c>
      <c r="C4004" s="26" t="str">
        <f>HYPERLINK("https://audio.iskcondesiretree.com/02_-_ISKCON_Swamis/ISKCON_Swamis_-_R_to_Y/His_Holiness_Radhanath_Swami/Lectures/01_-_Theme_wise/Krsna/About_Krsna/1996-176_Supremacy_of_Lord_Krishna_SB_02-06-43-45_-_Radhanath_Swami_Mumbai_1996-12-26_IDesireTree.mp3", "1996-176_Supremacy_of_Lord_Krishna_SB_02-06-43-45_-_Radhanath_Swami_Mumbai_1996-12-26_IDesireTree.mp3")</f>
        <v>1996-176_Supremacy_of_Lord_Krishna_SB_02-06-43-45_-_Radhanath_Swami_Mumbai_1996-12-26_IDesireTree.mp3</v>
      </c>
      <c r="D4004" s="24"/>
      <c r="E4004" s="24"/>
    </row>
    <row r="4005">
      <c r="A4005" s="25" t="s">
        <v>18392</v>
      </c>
      <c r="B4005" s="25" t="s">
        <v>18440</v>
      </c>
      <c r="C4005" s="26" t="str">
        <f>HYPERLINK("https://audio.iskcondesiretree.com/02_-_ISKCON_Swamis/ISKCON_Swamis_-_R_to_Y/His_Holiness_Radhanath_Swami/Lectures/01_-_Theme_wise/Krsna/About_Krsna/1997-023_Krishna-_The_Supreme_Source_SB_02-07-26_-_Radhanath_Swami_Mumbai_1997-01-25_IDesireTree.mp3", "1997-023_Krishna-_The_Supreme_Source_SB_02-07-26_-_Radhanath_Swami_Mumbai_1997-01-25_IDesireTree.mp3")</f>
        <v>1997-023_Krishna-_The_Supreme_Source_SB_02-07-26_-_Radhanath_Swami_Mumbai_1997-01-25_IDesireTree.mp3</v>
      </c>
      <c r="D4005" s="24"/>
      <c r="E4005" s="24"/>
    </row>
    <row r="4006">
      <c r="A4006" s="25" t="s">
        <v>18392</v>
      </c>
      <c r="B4006" s="25" t="s">
        <v>18440</v>
      </c>
      <c r="C4006" s="26" t="str">
        <f>HYPERLINK("https://audio.iskcondesiretree.com/02_-_ISKCON_Swamis/ISKCON_Swamis_-_R_to_Y/His_Holiness_Radhanath_Swami/Lectures/01_-_Theme_wise/Krsna/About_Krsna/1997-106_Krsna_The_Supreme_Propritor_BG_08-20_-_Radhanath_Swami_Moscow_1997-09-19_IDesireTree.mp3", "1997-106_Krsna_The_Supreme_Propritor_BG_08-20_-_Radhanath_Swami_Moscow_1997-09-19_IDesireTree.mp3")</f>
        <v>1997-106_Krsna_The_Supreme_Propritor_BG_08-20_-_Radhanath_Swami_Moscow_1997-09-19_IDesireTree.mp3</v>
      </c>
      <c r="D4006" s="24"/>
      <c r="E4006" s="24"/>
    </row>
    <row r="4007">
      <c r="A4007" s="25" t="s">
        <v>18392</v>
      </c>
      <c r="B4007" s="25" t="s">
        <v>18440</v>
      </c>
      <c r="C4007" s="26" t="str">
        <f>HYPERLINK("https://audio.iskcondesiretree.com/02_-_ISKCON_Swamis/ISKCON_Swamis_-_R_to_Y/His_Holiness_Radhanath_Swami/Lectures/01_-_Theme_wise/Krsna/About_Krsna/1997-125_Krishna_As_Dwarkadhish_SB_03-03-08-09_-_Radhanath_Swami_Mumbai_1997-10-12_IDesireTree.mp3", "1997-125_Krishna_As_Dwarkadhish_SB_03-03-08-09_-_Radhanath_Swami_Mumbai_1997-10-12_IDesireTree.mp3")</f>
        <v>1997-125_Krishna_As_Dwarkadhish_SB_03-03-08-09_-_Radhanath_Swami_Mumbai_1997-10-12_IDesireTree.mp3</v>
      </c>
      <c r="D4007" s="24"/>
      <c r="E4007" s="24"/>
    </row>
    <row r="4008">
      <c r="A4008" s="25" t="s">
        <v>18392</v>
      </c>
      <c r="B4008" s="25" t="s">
        <v>18440</v>
      </c>
      <c r="C4008" s="26" t="str">
        <f>HYPERLINK("https://audio.iskcondesiretree.com/02_-_ISKCON_Swamis/ISKCON_Swamis_-_R_to_Y/His_Holiness_Radhanath_Swami/Lectures/01_-_Theme_wise/Krsna/About_Krsna/1998-026_Only_Krishna_is_Infalliable_BG_15-16-17_-_Radhanath_Swami_Mumbai_1998-02-07_IDesireTree.mp3", "1998-026_Only_Krishna_is_Infalliable_BG_15-16-17_-_Radhanath_Swami_Mumbai_1998-02-07_IDesireTree.mp3")</f>
        <v>1998-026_Only_Krishna_is_Infalliable_BG_15-16-17_-_Radhanath_Swami_Mumbai_1998-02-07_IDesireTree.mp3</v>
      </c>
      <c r="D4008" s="24"/>
      <c r="E4008" s="24"/>
    </row>
    <row r="4009">
      <c r="A4009" s="25" t="s">
        <v>18392</v>
      </c>
      <c r="B4009" s="25" t="s">
        <v>18440</v>
      </c>
      <c r="C4009" s="26" t="str">
        <f>HYPERLINK("https://audio.iskcondesiretree.com/02_-_ISKCON_Swamis/ISKCON_Swamis_-_R_to_Y/His_Holiness_Radhanath_Swami/Lectures/01_-_Theme_wise/Krsna/About_Krsna/1998-028_Virat_Rupa_%26_Archa_Vigraha_SB_03-06-04_-_Radhanath_Swami_Mumbai_1998-02-08_IDesireTree.mp3", "1998-028_Virat_Rupa_%26_Archa_Vigraha_SB_03-06-04_-_Radhanath_Swami_Mumbai_1998-02-08_IDesireTree.mp3")</f>
        <v>1998-028_Virat_Rupa_%26_Archa_Vigraha_SB_03-06-04_-_Radhanath_Swami_Mumbai_1998-02-08_IDesireTree.mp3</v>
      </c>
      <c r="D4009" s="24"/>
      <c r="E4009" s="24"/>
    </row>
    <row r="4010">
      <c r="A4010" s="25" t="s">
        <v>18392</v>
      </c>
      <c r="B4010" s="25" t="s">
        <v>18440</v>
      </c>
      <c r="C4010" s="26" t="str">
        <f>HYPERLINK("https://audio.iskcondesiretree.com/02_-_ISKCON_Swamis/ISKCON_Swamis_-_R_to_Y/His_Holiness_Radhanath_Swami/Lectures/01_-_Theme_wise/Krsna/About_Krsna/1998-033_Everything_Belongs_to_Krishna_SB_03-09-22_-_Radhanath_Swami_Mumbai_1998-02-11_IDesireTree.mp3", "1998-033_Everything_Belongs_to_Krishna_SB_03-09-22_-_Radhanath_Swami_Mumbai_1998-02-11_IDesireTree.mp3")</f>
        <v>1998-033_Everything_Belongs_to_Krishna_SB_03-09-22_-_Radhanath_Swami_Mumbai_1998-02-11_IDesireTree.mp3</v>
      </c>
      <c r="D4010" s="24"/>
      <c r="E4010" s="24"/>
    </row>
    <row r="4011">
      <c r="A4011" s="25" t="s">
        <v>18392</v>
      </c>
      <c r="B4011" s="25" t="s">
        <v>18440</v>
      </c>
      <c r="C4011" s="26" t="str">
        <f>HYPERLINK("https://audio.iskcondesiretree.com/02_-_ISKCON_Swamis/ISKCON_Swamis_-_R_to_Y/His_Holiness_Radhanath_Swami/Lectures/01_-_Theme_wise/Krsna/About_Krsna/1999-038_Everything_Is_Dependent_On_Krsna_SB_03-20-16_-_Radhanath_Swami_Mumbai_1999-07-04_IDesireTree.mp3", "1999-038_Everything_Is_Dependent_On_Krsna_SB_03-20-16_-_Radhanath_Swami_Mumbai_1999-07-04_IDesireTree.mp3")</f>
        <v>1999-038_Everything_Is_Dependent_On_Krsna_SB_03-20-16_-_Radhanath_Swami_Mumbai_1999-07-04_IDesireTree.mp3</v>
      </c>
      <c r="D4011" s="24"/>
      <c r="E4011" s="24"/>
    </row>
    <row r="4012">
      <c r="A4012" s="25" t="s">
        <v>18392</v>
      </c>
      <c r="B4012" s="25" t="s">
        <v>18440</v>
      </c>
      <c r="C4012" s="26" t="str">
        <f>HYPERLINK("https://audio.iskcondesiretree.com/02_-_ISKCON_Swamis/ISKCON_Swamis_-_R_to_Y/His_Holiness_Radhanath_Swami/Lectures/01_-_Theme_wise/Krsna/About_Krsna/1999-059_Treasure_Of_The_Lotus_Feet_Of_Lord_Krsna_-_Radhanath_Swami_Mumbai_1999-12-05_IDesireTree.mp3", "1999-059_Treasure_Of_The_Lotus_Feet_Of_Lord_Krsna_-_Radhanath_Swami_Mumbai_1999-12-05_IDesireTree.mp3")</f>
        <v>1999-059_Treasure_Of_The_Lotus_Feet_Of_Lord_Krsna_-_Radhanath_Swami_Mumbai_1999-12-05_IDesireTree.mp3</v>
      </c>
      <c r="D4012" s="24"/>
      <c r="E4012" s="24"/>
    </row>
    <row r="4013">
      <c r="A4013" s="25" t="s">
        <v>18392</v>
      </c>
      <c r="B4013" s="25" t="s">
        <v>18440</v>
      </c>
      <c r="C4013" s="26" t="str">
        <f>HYPERLINK("https://audio.iskcondesiretree.com/02_-_ISKCON_Swamis/ISKCON_Swamis_-_R_to_Y/His_Holiness_Radhanath_Swami/Lectures/01_-_Theme_wise/Krsna/About_Krsna/2001-015_Krishna_The_Reservoir_Of_Pleasure_-_Radhanath_Swami_Mayapur_2001-02-09_IDesireTree.mp3", "2001-015_Krishna_The_Reservoir_Of_Pleasure_-_Radhanath_Swami_Mayapur_2001-02-09_IDesireTree.mp3")</f>
        <v>2001-015_Krishna_The_Reservoir_Of_Pleasure_-_Radhanath_Swami_Mayapur_2001-02-09_IDesireTree.mp3</v>
      </c>
      <c r="D4013" s="24"/>
      <c r="E4013" s="24"/>
    </row>
    <row r="4014">
      <c r="A4014" s="25" t="s">
        <v>18392</v>
      </c>
      <c r="B4014" s="25" t="s">
        <v>18440</v>
      </c>
      <c r="C4014" s="26" t="str">
        <f>HYPERLINK("https://audio.iskcondesiretree.com/02_-_ISKCON_Swamis/ISKCON_Swamis_-_R_to_Y/His_Holiness_Radhanath_Swami/Lectures/01_-_Theme_wise/Krsna/Approaching_Krsna/1989-050_Hare_Krishna_-_Radhanath_Swami_IDesireTree.mp3", "1989-050_Hare_Krishna_-_Radhanath_Swami_IDesireTree.mp3")</f>
        <v>1989-050_Hare_Krishna_-_Radhanath_Swami_IDesireTree.mp3</v>
      </c>
      <c r="D4014" s="24"/>
      <c r="E4014" s="24"/>
    </row>
    <row r="4015">
      <c r="A4015" s="25" t="s">
        <v>18392</v>
      </c>
      <c r="B4015" s="25" t="s">
        <v>18440</v>
      </c>
      <c r="C4015" s="26" t="str">
        <f>HYPERLINK("https://audio.iskcondesiretree.com/02_-_ISKCON_Swamis/ISKCON_Swamis_-_R_to_Y/His_Holiness_Radhanath_Swami/Lectures/01_-_Theme_wise/Krsna/Approaching_Krsna/1991-093_Calling_With_Helplessness_SB_10-01-20_-_Radhanath_Swami_Mumbai_1991-10-20_IDesireTree.mp3", "1991-093_Calling_With_Helplessness_SB_10-01-20_-_Radhanath_Swami_Mumbai_1991-10-20_IDesireTree.mp3")</f>
        <v>1991-093_Calling_With_Helplessness_SB_10-01-20_-_Radhanath_Swami_Mumbai_1991-10-20_IDesireTree.mp3</v>
      </c>
      <c r="D4015" s="24"/>
      <c r="E4015" s="24"/>
    </row>
    <row r="4016">
      <c r="A4016" s="25" t="s">
        <v>18392</v>
      </c>
      <c r="B4016" s="25" t="s">
        <v>18440</v>
      </c>
      <c r="C4016" s="26" t="str">
        <f>HYPERLINK("https://audio.iskcondesiretree.com/02_-_ISKCON_Swamis/ISKCON_Swamis_-_R_to_Y/His_Holiness_Radhanath_Swami/Lectures/01_-_Theme_wise/Krsna/Approaching_Krsna/1991-155_Krishna_Only_SB_10-02-35_-_Radhanath_Swami_Mumbai_1991-12-13_IDesireTree.mp3", "1991-155_Krishna_Only_SB_10-02-35_-_Radhanath_Swami_Mumbai_1991-12-13_IDesireTree.mp3")</f>
        <v>1991-155_Krishna_Only_SB_10-02-35_-_Radhanath_Swami_Mumbai_1991-12-13_IDesireTree.mp3</v>
      </c>
      <c r="D4016" s="24"/>
      <c r="E4016" s="24"/>
    </row>
    <row r="4017">
      <c r="A4017" s="25" t="s">
        <v>18392</v>
      </c>
      <c r="B4017" s="25" t="s">
        <v>18440</v>
      </c>
      <c r="C4017" s="26" t="str">
        <f>HYPERLINK("https://audio.iskcondesiretree.com/02_-_ISKCON_Swamis/ISKCON_Swamis_-_R_to_Y/His_Holiness_Radhanath_Swami/Lectures/01_-_Theme_wise/Krsna/Approaching_Krsna/1992-113_Attachment_To_Krishna_SB_10-14-04_-_Radhanath_Swami_Mumbai_1992-09-13_IDesireTree.mp3", "1992-113_Attachment_To_Krishna_SB_10-14-04_-_Radhanath_Swami_Mumbai_1992-09-13_IDesireTree.mp3")</f>
        <v>1992-113_Attachment_To_Krishna_SB_10-14-04_-_Radhanath_Swami_Mumbai_1992-09-13_IDesireTree.mp3</v>
      </c>
      <c r="D4017" s="24"/>
      <c r="E4017" s="24"/>
    </row>
    <row r="4018">
      <c r="A4018" s="25" t="s">
        <v>18392</v>
      </c>
      <c r="B4018" s="25" t="s">
        <v>18440</v>
      </c>
      <c r="C4018" s="26" t="str">
        <f>HYPERLINK("https://audio.iskcondesiretree.com/02_-_ISKCON_Swamis/ISKCON_Swamis_-_R_to_Y/His_Holiness_Radhanath_Swami/Lectures/01_-_Theme_wise/Krsna/Approaching_Krsna/1993-110_To_Be_Greedy_For_Krishna_SB_10-29-39_-_Radhanath_Swami_Mumbai_1993-06-08_IDesireTree.mp3", "1993-110_To_Be_Greedy_For_Krishna_SB_10-29-39_-_Radhanath_Swami_Mumbai_1993-06-08_IDesireTree.mp3")</f>
        <v>1993-110_To_Be_Greedy_For_Krishna_SB_10-29-39_-_Radhanath_Swami_Mumbai_1993-06-08_IDesireTree.mp3</v>
      </c>
      <c r="D4018" s="24"/>
      <c r="E4018" s="24"/>
    </row>
    <row r="4019">
      <c r="A4019" s="25" t="s">
        <v>18392</v>
      </c>
      <c r="B4019" s="25" t="s">
        <v>18440</v>
      </c>
      <c r="C4019" s="26" t="str">
        <f>HYPERLINK("https://audio.iskcondesiretree.com/02_-_ISKCON_Swamis/ISKCON_Swamis_-_R_to_Y/His_Holiness_Radhanath_Swami/Lectures/01_-_Theme_wise/Krsna/Approaching_Krsna/1994-015_How_To_Know_God_SB_02-06-34-35_-_Radhanath_Swami_Mumbai_1994-01-18_IDesireTree.mp3", "1994-015_How_To_Know_God_SB_02-06-34-35_-_Radhanath_Swami_Mumbai_1994-01-18_IDesireTree.mp3")</f>
        <v>1994-015_How_To_Know_God_SB_02-06-34-35_-_Radhanath_Swami_Mumbai_1994-01-18_IDesireTree.mp3</v>
      </c>
      <c r="D4019" s="24"/>
      <c r="E4019" s="24"/>
    </row>
    <row r="4020">
      <c r="A4020" s="25" t="s">
        <v>18392</v>
      </c>
      <c r="B4020" s="25" t="s">
        <v>18440</v>
      </c>
      <c r="C4020" s="26" t="str">
        <f>HYPERLINK("https://audio.iskcondesiretree.com/02_-_ISKCON_Swamis/ISKCON_Swamis_-_R_to_Y/His_Holiness_Radhanath_Swami/Lectures/01_-_Theme_wise/Krsna/Approaching_Krsna/1994-155_Think_Of_Krishna_BG_07-01_-_Radhanath_Swami_Mumbai_1994-09-20_IDesireTree.mp3", "1994-155_Think_Of_Krishna_BG_07-01_-_Radhanath_Swami_Mumbai_1994-09-20_IDesireTree.mp3")</f>
        <v>1994-155_Think_Of_Krishna_BG_07-01_-_Radhanath_Swami_Mumbai_1994-09-20_IDesireTree.mp3</v>
      </c>
      <c r="D4020" s="24"/>
      <c r="E4020" s="24"/>
    </row>
    <row r="4021">
      <c r="A4021" s="25" t="s">
        <v>18392</v>
      </c>
      <c r="B4021" s="25" t="s">
        <v>18440</v>
      </c>
      <c r="C4021" s="26" t="str">
        <f>HYPERLINK("https://audio.iskcondesiretree.com/02_-_ISKCON_Swamis/ISKCON_Swamis_-_R_to_Y/His_Holiness_Radhanath_Swami/Lectures/01_-_Theme_wise/Krsna/Approaching_Krsna/1995-021_How_To_Understand_Krishna_-_BG_10-10_-_Radhanath_Swami_Belgaum_1995-01-15.mp3", "1995-021_How_To_Understand_Krishna_-_BG_10-10_-_Radhanath_Swami_Belgaum_1995-01-15.mp3")</f>
        <v>1995-021_How_To_Understand_Krishna_-_BG_10-10_-_Radhanath_Swami_Belgaum_1995-01-15.mp3</v>
      </c>
      <c r="D4021" s="24"/>
      <c r="E4021" s="24"/>
    </row>
    <row r="4022">
      <c r="A4022" s="25" t="s">
        <v>18392</v>
      </c>
      <c r="B4022" s="25" t="s">
        <v>18440</v>
      </c>
      <c r="C4022" s="26" t="str">
        <f>HYPERLINK("https://audio.iskcondesiretree.com/02_-_ISKCON_Swamis/ISKCON_Swamis_-_R_to_Y/His_Holiness_Radhanath_Swami/Lectures/01_-_Theme_wise/Krsna/Approaching_Krsna/1995-052_Don%27t_Speculate_About_Krishna_SB_01-08-33_-_Radhanath_Swami_Mumbai_1995-03-07.mp3", "1995-052_Don%27t_Speculate_About_Krishna_SB_01-08-33_-_Radhanath_Swami_Mumbai_1995-03-07.mp3")</f>
        <v>1995-052_Don%27t_Speculate_About_Krishna_SB_01-08-33_-_Radhanath_Swami_Mumbai_1995-03-07.mp3</v>
      </c>
      <c r="D4022" s="24"/>
      <c r="E4022" s="24"/>
    </row>
    <row r="4023">
      <c r="A4023" s="25" t="s">
        <v>18392</v>
      </c>
      <c r="B4023" s="25" t="s">
        <v>18440</v>
      </c>
      <c r="C4023" s="26" t="str">
        <f>HYPERLINK("https://audio.iskcondesiretree.com/02_-_ISKCON_Swamis/ISKCON_Swamis_-_R_to_Y/His_Holiness_Radhanath_Swami/Lectures/01_-_Theme_wise/Krsna/Approaching_Krsna/1995-090_What_To_Ask_From_Krishna_SB_01-02-07_-_Radhanath_Swami_Mumbai_1995-08-20_IDesireTree.mp3", "1995-090_What_To_Ask_From_Krishna_SB_01-02-07_-_Radhanath_Swami_Mumbai_1995-08-20_IDesireTree.mp3")</f>
        <v>1995-090_What_To_Ask_From_Krishna_SB_01-02-07_-_Radhanath_Swami_Mumbai_1995-08-20_IDesireTree.mp3</v>
      </c>
      <c r="D4023" s="24"/>
      <c r="E4023" s="24"/>
    </row>
    <row r="4024">
      <c r="A4024" s="25" t="s">
        <v>18392</v>
      </c>
      <c r="B4024" s="25" t="s">
        <v>18440</v>
      </c>
      <c r="C4024" s="26" t="str">
        <f>HYPERLINK("https://audio.iskcondesiretree.com/02_-_ISKCON_Swamis/ISKCON_Swamis_-_R_to_Y/His_Holiness_Radhanath_Swami/Lectures/01_-_Theme_wise/Krsna/Approaching_Krsna/1995-113_Four_Types_Of_Devotees_BG_07-16_-_Radhanath_Swami_Mumbai_1995-10-02_IDesireTree.mp3", "1995-113_Four_Types_Of_Devotees_BG_07-16_-_Radhanath_Swami_Mumbai_1995-10-02_IDesireTree.mp3")</f>
        <v>1995-113_Four_Types_Of_Devotees_BG_07-16_-_Radhanath_Swami_Mumbai_1995-10-02_IDesireTree.mp3</v>
      </c>
      <c r="D4024" s="24"/>
      <c r="E4024" s="24"/>
    </row>
    <row r="4025">
      <c r="A4025" s="25" t="s">
        <v>18392</v>
      </c>
      <c r="B4025" s="25" t="s">
        <v>18440</v>
      </c>
      <c r="C4025" s="26" t="str">
        <f>HYPERLINK("https://audio.iskcondesiretree.com/02_-_ISKCON_Swamis/ISKCON_Swamis_-_R_to_Y/His_Holiness_Radhanath_Swami/Lectures/01_-_Theme_wise/Krsna/Approaching_Krsna/1997-022_Attaining_the_Supreme_BG_08-12-13_-_Radhanath_Swami_Mumbai_1997-01-24_IDesireTree.mp3", "1997-022_Attaining_the_Supreme_BG_08-12-13_-_Radhanath_Swami_Mumbai_1997-01-24_IDesireTree.mp3")</f>
        <v>1997-022_Attaining_the_Supreme_BG_08-12-13_-_Radhanath_Swami_Mumbai_1997-01-24_IDesireTree.mp3</v>
      </c>
      <c r="D4025" s="24"/>
      <c r="E4025" s="24"/>
    </row>
    <row r="4026">
      <c r="A4026" s="25" t="s">
        <v>18392</v>
      </c>
      <c r="B4026" s="25" t="s">
        <v>18440</v>
      </c>
      <c r="C4026" s="26" t="str">
        <f>HYPERLINK("https://audio.iskcondesiretree.com/02_-_ISKCON_Swamis/ISKCON_Swamis_-_R_to_Y/His_Holiness_Radhanath_Swami/Lectures/01_-_Theme_wise/Krsna/Approaching_Krsna/1997-070_Eagerness_Of_Krishna_BG_06-15_-_Radhanath_Swami_Mumbai_1997-05-03_IDesireTree.mp3", "1997-070_Eagerness_Of_Krishna_BG_06-15_-_Radhanath_Swami_Mumbai_1997-05-03_IDesireTree.mp3")</f>
        <v>1997-070_Eagerness_Of_Krishna_BG_06-15_-_Radhanath_Swami_Mumbai_1997-05-03_IDesireTree.mp3</v>
      </c>
      <c r="D4026" s="24"/>
      <c r="E4026" s="24"/>
    </row>
    <row r="4027">
      <c r="A4027" s="25" t="s">
        <v>18392</v>
      </c>
      <c r="B4027" s="25" t="s">
        <v>18440</v>
      </c>
      <c r="C4027" s="26" t="str">
        <f>HYPERLINK("https://audio.iskcondesiretree.com/02_-_ISKCON_Swamis/ISKCON_Swamis_-_R_to_Y/His_Holiness_Radhanath_Swami/Lectures/01_-_Theme_wise/Krsna/Approaching_Krsna/1997-093_Be_Eager_For_Krishna_CC_Antya_Lila_-_Radhanath_Swami_Mumbai_1997-08-31_IDesireTree.mp3", "1997-093_Be_Eager_For_Krishna_CC_Antya_Lila_-_Radhanath_Swami_Mumbai_1997-08-31_IDesireTree.mp3")</f>
        <v>1997-093_Be_Eager_For_Krishna_CC_Antya_Lila_-_Radhanath_Swami_Mumbai_1997-08-31_IDesireTree.mp3</v>
      </c>
      <c r="D4027" s="24"/>
      <c r="E4027" s="24"/>
    </row>
    <row r="4028">
      <c r="A4028" s="25" t="s">
        <v>18392</v>
      </c>
      <c r="B4028" s="25" t="s">
        <v>18440</v>
      </c>
      <c r="C4028" s="26" t="str">
        <f>HYPERLINK("https://audio.iskcondesiretree.com/02_-_ISKCON_Swamis/ISKCON_Swamis_-_R_to_Y/His_Holiness_Radhanath_Swami/Lectures/01_-_Theme_wise/Krsna/Approaching_Krsna/1999-036_Soul_Searching_For_Krsna%27s_Love_-_Radhanath_Swami_Mumbai_1999-07-03_IDesireTree.mp3", "1999-036_Soul_Searching_For_Krsna%27s_Love_-_Radhanath_Swami_Mumbai_1999-07-03_IDesireTree.mp3")</f>
        <v>1999-036_Soul_Searching_For_Krsna%27s_Love_-_Radhanath_Swami_Mumbai_1999-07-03_IDesireTree.mp3</v>
      </c>
      <c r="D4028" s="24"/>
      <c r="E4028" s="24"/>
    </row>
    <row r="4029">
      <c r="A4029" s="25" t="s">
        <v>18392</v>
      </c>
      <c r="B4029" s="25" t="s">
        <v>18440</v>
      </c>
      <c r="C4029" s="26" t="str">
        <f>HYPERLINK("https://audio.iskcondesiretree.com/02_-_ISKCON_Swamis/ISKCON_Swamis_-_R_to_Y/His_Holiness_Radhanath_Swami/Lectures/01_-_Theme_wise/Krsna/Krsna%27s_Pastimes/1989-061_Story_of_Sri_Sudama_VP_01-19-65_-_Radhanath_Swami_Mumbai_1989-10-01_IDesireTree.mp3", "1989-061_Story_of_Sri_Sudama_VP_01-19-65_-_Radhanath_Swami_Mumbai_1989-10-01_IDesireTree.mp3")</f>
        <v>1989-061_Story_of_Sri_Sudama_VP_01-19-65_-_Radhanath_Swami_Mumbai_1989-10-01_IDesireTree.mp3</v>
      </c>
      <c r="D4029" s="24"/>
      <c r="E4029" s="24"/>
    </row>
    <row r="4030">
      <c r="A4030" s="25" t="s">
        <v>18392</v>
      </c>
      <c r="B4030" s="25" t="s">
        <v>18440</v>
      </c>
      <c r="C4030" s="26" t="str">
        <f>HYPERLINK("https://audio.iskcondesiretree.com/02_-_ISKCON_Swamis/ISKCON_Swamis_-_R_to_Y/His_Holiness_Radhanath_Swami/Lectures/01_-_Theme_wise/Krsna/Krsna%27s_Pastimes/1990-084_Rasa_Lila_CC_-_Radhanath_Swami_IDesireTree.mp3", "1990-084_Rasa_Lila_CC_-_Radhanath_Swami_IDesireTree.mp3")</f>
        <v>1990-084_Rasa_Lila_CC_-_Radhanath_Swami_IDesireTree.mp3</v>
      </c>
      <c r="D4030" s="24"/>
      <c r="E4030" s="24"/>
    </row>
    <row r="4031">
      <c r="A4031" s="25" t="s">
        <v>18392</v>
      </c>
      <c r="B4031" s="25" t="s">
        <v>18440</v>
      </c>
      <c r="C4031" s="26" t="str">
        <f>HYPERLINK("https://audio.iskcondesiretree.com/02_-_ISKCON_Swamis/ISKCON_Swamis_-_R_to_Y/His_Holiness_Radhanath_Swami/Lectures/01_-_Theme_wise/Krsna/Krsna%27s_Pastimes/1990-093_Govardhan_Lilla_Lecture_-_Radhanath_Swami_Mumbai_1990-10-19_IDesireTree.mp3", "1990-093_Govardhan_Lilla_Lecture_-_Radhanath_Swami_Mumbai_1990-10-19_IDesireTree.mp3")</f>
        <v>1990-093_Govardhan_Lilla_Lecture_-_Radhanath_Swami_Mumbai_1990-10-19_IDesireTree.mp3</v>
      </c>
      <c r="D4031" s="24"/>
      <c r="E4031" s="24"/>
    </row>
    <row r="4032">
      <c r="A4032" s="25" t="s">
        <v>18392</v>
      </c>
      <c r="B4032" s="25" t="s">
        <v>18440</v>
      </c>
      <c r="C4032" s="26" t="str">
        <f>HYPERLINK("https://audio.iskcondesiretree.com/02_-_ISKCON_Swamis/ISKCON_Swamis_-_R_to_Y/His_Holiness_Radhanath_Swami/Lectures/01_-_Theme_wise/Krsna/Krsna%27s_Pastimes/1991-080_Importance_Of_Krishna_Katha_SB_10-01-15_-_Radhanath_Swami_Mumbai_1991-10-16_IDesireTree.mp"&amp;"3", "1991-080_Importance_Of_Krishna_Katha_SB_10-01-15_-_Radhanath_Swami_Mumbai_1991-10-16_IDesireTree.mp3")</f>
        <v>1991-080_Importance_Of_Krishna_Katha_SB_10-01-15_-_Radhanath_Swami_Mumbai_1991-10-16_IDesireTree.mp3</v>
      </c>
      <c r="D4032" s="24"/>
      <c r="E4032" s="24"/>
    </row>
    <row r="4033">
      <c r="A4033" s="25" t="s">
        <v>18392</v>
      </c>
      <c r="B4033" s="25" t="s">
        <v>18440</v>
      </c>
      <c r="C4033" s="26" t="str">
        <f>HYPERLINK("https://audio.iskcondesiretree.com/02_-_ISKCON_Swamis/ISKCON_Swamis_-_R_to_Y/His_Holiness_Radhanath_Swami/Lectures/01_-_Theme_wise/Krsna/Krsna%27s_Pastimes/1991-117_Teaching_From_Govardhan_Lila_Lecture_-_Radhanath_Swami_Mumbai_1991-11-07_IDesireTree.mp3", "1991-117_Teaching_From_Govardhan_Lila_Lecture_-_Radhanath_Swami_Mumbai_1991-11-07_IDesireTree.mp3")</f>
        <v>1991-117_Teaching_From_Govardhan_Lila_Lecture_-_Radhanath_Swami_Mumbai_1991-11-07_IDesireTree.mp3</v>
      </c>
      <c r="D4033" s="24"/>
      <c r="E4033" s="24"/>
    </row>
    <row r="4034">
      <c r="A4034" s="25" t="s">
        <v>18392</v>
      </c>
      <c r="B4034" s="25" t="s">
        <v>18440</v>
      </c>
      <c r="C4034" s="26" t="str">
        <f>HYPERLINK("https://audio.iskcondesiretree.com/02_-_ISKCON_Swamis/ISKCON_Swamis_-_R_to_Y/His_Holiness_Radhanath_Swami/Lectures/01_-_Theme_wise/Krsna/Krsna%27s_Pastimes/1992-062_Brahma_Vimohana_Lila_SB_10-13-01-03_-_Radhanath_Swami_Mumbai_1992-04-05_IDesireTree.mp3", "1992-062_Brahma_Vimohana_Lila_SB_10-13-01-03_-_Radhanath_Swami_Mumbai_1992-04-05_IDesireTree.mp3")</f>
        <v>1992-062_Brahma_Vimohana_Lila_SB_10-13-01-03_-_Radhanath_Swami_Mumbai_1992-04-05_IDesireTree.mp3</v>
      </c>
      <c r="D4034" s="24"/>
      <c r="E4034" s="24"/>
    </row>
    <row r="4035">
      <c r="A4035" s="25" t="s">
        <v>18392</v>
      </c>
      <c r="B4035" s="25" t="s">
        <v>18440</v>
      </c>
      <c r="C4035" s="26" t="str">
        <f>HYPERLINK("https://audio.iskcondesiretree.com/02_-_ISKCON_Swamis/ISKCON_Swamis_-_R_to_Y/His_Holiness_Radhanath_Swami/Lectures/01_-_Theme_wise/Krsna/Krsna%27s_Pastimes/1993-101_Story_Of_Shyamantaka_Jewel_BG_02-44_-_Radhanath_Swami_Mumbai_1993-05-28_IDesireTree.mp3", "1993-101_Story_Of_Shyamantaka_Jewel_BG_02-44_-_Radhanath_Swami_Mumbai_1993-05-28_IDesireTree.mp3")</f>
        <v>1993-101_Story_Of_Shyamantaka_Jewel_BG_02-44_-_Radhanath_Swami_Mumbai_1993-05-28_IDesireTree.mp3</v>
      </c>
      <c r="D4035" s="24"/>
      <c r="E4035" s="24"/>
    </row>
    <row r="4036">
      <c r="A4036" s="25" t="s">
        <v>18392</v>
      </c>
      <c r="B4036" s="25" t="s">
        <v>18440</v>
      </c>
      <c r="C4036" s="26" t="str">
        <f>HYPERLINK("https://audio.iskcondesiretree.com/02_-_ISKCON_Swamis/ISKCON_Swamis_-_R_to_Y/His_Holiness_Radhanath_Swami/Lectures/01_-_Theme_wise/Krsna/Krsna%27s_Pastimes/1994-053_Ksira-Chora_Gopinath_GT_BG_05-29_-_Radhanath_Swami_Mumbai_1994-03-23_IDesireTree.mp3", "1994-053_Ksira-Chora_Gopinath_GT_BG_05-29_-_Radhanath_Swami_Mumbai_1994-03-23_IDesireTree.mp3")</f>
        <v>1994-053_Ksira-Chora_Gopinath_GT_BG_05-29_-_Radhanath_Swami_Mumbai_1994-03-23_IDesireTree.mp3</v>
      </c>
      <c r="D4036" s="24"/>
      <c r="E4036" s="24"/>
    </row>
    <row r="4037">
      <c r="A4037" s="25" t="s">
        <v>18392</v>
      </c>
      <c r="B4037" s="25" t="s">
        <v>18440</v>
      </c>
      <c r="C4037" s="26" t="str">
        <f>HYPERLINK("https://audio.iskcondesiretree.com/02_-_ISKCON_Swamis/ISKCON_Swamis_-_R_to_Y/His_Holiness_Radhanath_Swami/Lectures/01_-_Theme_wise/Krsna/Krsna%27s_Pastimes/1994-114_Eight_Sons_Of_Mother_Devaki_SB_01-03-38_-_Radhanath_Swami_Mumbai_1994-08-28_IDesireTree.mp"&amp;"3", "1994-114_Eight_Sons_Of_Mother_Devaki_SB_01-03-38_-_Radhanath_Swami_Mumbai_1994-08-28_IDesireTree.mp3")</f>
        <v>1994-114_Eight_Sons_Of_Mother_Devaki_SB_01-03-38_-_Radhanath_Swami_Mumbai_1994-08-28_IDesireTree.mp3</v>
      </c>
      <c r="D4037" s="24"/>
      <c r="E4037" s="24"/>
    </row>
    <row r="4038">
      <c r="A4038" s="25" t="s">
        <v>18392</v>
      </c>
      <c r="B4038" s="25" t="s">
        <v>18440</v>
      </c>
      <c r="C4038" s="26" t="str">
        <f>HYPERLINK("https://audio.iskcondesiretree.com/02_-_ISKCON_Swamis/ISKCON_Swamis_-_R_to_Y/His_Holiness_Radhanath_Swami/Lectures/01_-_Theme_wise/Krsna/Krsna%27s_Pastimes/1994-121_Krishna%27s_Pastimes_Are_Nectarian_Lecture_-_Radhanath_Swami_Mumbai_1994-08-29_IDesireTree"&amp;".mp3", "1994-121_Krishna%27s_Pastimes_Are_Nectarian_Lecture_-_Radhanath_Swami_Mumbai_1994-08-29_IDesireTree.mp3")</f>
        <v>1994-121_Krishna%27s_Pastimes_Are_Nectarian_Lecture_-_Radhanath_Swami_Mumbai_1994-08-29_IDesireTree.mp3</v>
      </c>
      <c r="D4038" s="24"/>
      <c r="E4038" s="24"/>
    </row>
    <row r="4039">
      <c r="A4039" s="25" t="s">
        <v>18392</v>
      </c>
      <c r="B4039" s="25" t="s">
        <v>18440</v>
      </c>
      <c r="C4039" s="26" t="str">
        <f>HYPERLINK("https://audio.iskcondesiretree.com/02_-_ISKCON_Swamis/ISKCON_Swamis_-_R_to_Y/His_Holiness_Radhanath_Swami/Lectures/01_-_Theme_wise/Krsna/Krsna%27s_Pastimes/1994-125_Pastimes_Of_Lord_Krishna_Lecture_-_Radhanath_Swami_Mumbai_1994-08-31_IDesireTree.mp3", "1994-125_Pastimes_Of_Lord_Krishna_Lecture_-_Radhanath_Swami_Mumbai_1994-08-31_IDesireTree.mp3")</f>
        <v>1994-125_Pastimes_Of_Lord_Krishna_Lecture_-_Radhanath_Swami_Mumbai_1994-08-31_IDesireTree.mp3</v>
      </c>
      <c r="D4039" s="24"/>
      <c r="E4039" s="24"/>
    </row>
    <row r="4040">
      <c r="A4040" s="25" t="s">
        <v>18392</v>
      </c>
      <c r="B4040" s="25" t="s">
        <v>18440</v>
      </c>
      <c r="C4040" s="26" t="str">
        <f>HYPERLINK("https://audio.iskcondesiretree.com/02_-_ISKCON_Swamis/ISKCON_Swamis_-_R_to_Y/His_Holiness_Radhanath_Swami/Lectures/01_-_Theme_wise/Krsna/Krsna%27s_Pastimes/1994-127_Pastimes_Of_Lord_Krishna_Lecture_-_Radhanath_Swami_Mumbai_1994-08-31_IDesireTree.mp3", "1994-127_Pastimes_Of_Lord_Krishna_Lecture_-_Radhanath_Swami_Mumbai_1994-08-31_IDesireTree.mp3")</f>
        <v>1994-127_Pastimes_Of_Lord_Krishna_Lecture_-_Radhanath_Swami_Mumbai_1994-08-31_IDesireTree.mp3</v>
      </c>
      <c r="D4040" s="24"/>
      <c r="E4040" s="24"/>
    </row>
    <row r="4041">
      <c r="A4041" s="25" t="s">
        <v>18392</v>
      </c>
      <c r="B4041" s="25" t="s">
        <v>18440</v>
      </c>
      <c r="C4041" s="26" t="str">
        <f>HYPERLINK("https://audio.iskcondesiretree.com/02_-_ISKCON_Swamis/ISKCON_Swamis_-_R_to_Y/His_Holiness_Radhanath_Swami/Lectures/01_-_Theme_wise/Krsna/Krsna%27s_Pastimes/1994-206_Childhood_Pastimes_Of_Krishna_Lecture_-_Radhanath_Swami_Mumbai_1994-10-22_IDesireTree.mp3", "1994-206_Childhood_Pastimes_Of_Krishna_Lecture_-_Radhanath_Swami_Mumbai_1994-10-22_IDesireTree.mp3")</f>
        <v>1994-206_Childhood_Pastimes_Of_Krishna_Lecture_-_Radhanath_Swami_Mumbai_1994-10-22_IDesireTree.mp3</v>
      </c>
      <c r="D4041" s="24"/>
      <c r="E4041" s="24"/>
    </row>
    <row r="4042">
      <c r="A4042" s="25" t="s">
        <v>18392</v>
      </c>
      <c r="B4042" s="25" t="s">
        <v>18440</v>
      </c>
      <c r="C4042" s="26" t="str">
        <f>HYPERLINK("https://audio.iskcondesiretree.com/02_-_ISKCON_Swamis/ISKCON_Swamis_-_R_to_Y/His_Holiness_Radhanath_Swami/Lectures/01_-_Theme_wise/Krsna/Krsna%27s_Pastimes/1995-118_Childhood_Pastimes_Of_Krishna_BG_10-03_-_Radhanath_Swami_Mumbai_1995-10-08_IDesireTree.mp3", "1995-118_Childhood_Pastimes_Of_Krishna_BG_10-03_-_Radhanath_Swami_Mumbai_1995-10-08_IDesireTree.mp3")</f>
        <v>1995-118_Childhood_Pastimes_Of_Krishna_BG_10-03_-_Radhanath_Swami_Mumbai_1995-10-08_IDesireTree.mp3</v>
      </c>
      <c r="D4042" s="24"/>
      <c r="E4042" s="24"/>
    </row>
    <row r="4043">
      <c r="A4043" s="25" t="s">
        <v>18392</v>
      </c>
      <c r="B4043" s="25" t="s">
        <v>18440</v>
      </c>
      <c r="C4043" s="26" t="str">
        <f>HYPERLINK("https://audio.iskcondesiretree.com/02_-_ISKCON_Swamis/ISKCON_Swamis_-_R_to_Y/His_Holiness_Radhanath_Swami/Lectures/01_-_Theme_wise/Krsna/Krsna%27s_Pastimes/1995-135_How_Krsna_Left_This_World_SB_01-15-35_-_Radhanath_Swami_Mumbai_1995-12-23_IDesireTree.mp3", "1995-135_How_Krsna_Left_This_World_SB_01-15-35_-_Radhanath_Swami_Mumbai_1995-12-23_IDesireTree.mp3")</f>
        <v>1995-135_How_Krsna_Left_This_World_SB_01-15-35_-_Radhanath_Swami_Mumbai_1995-12-23_IDesireTree.mp3</v>
      </c>
      <c r="D4043" s="24"/>
      <c r="E4043" s="24"/>
    </row>
    <row r="4044">
      <c r="A4044" s="25" t="s">
        <v>18392</v>
      </c>
      <c r="B4044" s="25" t="s">
        <v>18440</v>
      </c>
      <c r="C4044" s="26" t="str">
        <f>HYPERLINK("https://audio.iskcondesiretree.com/02_-_ISKCON_Swamis/ISKCON_Swamis_-_R_to_Y/His_Holiness_Radhanath_Swami/Lectures/01_-_Theme_wise/Krsna/Krsna%27s_Pastimes/1997-025_Subduing_Kaliya_SB_02-07-28-29_-_Radhanath_Swami_Mumbai_1997-01-26_IDesireTree.mp3", "1997-025_Subduing_Kaliya_SB_02-07-28-29_-_Radhanath_Swami_Mumbai_1997-01-26_IDesireTree.mp3")</f>
        <v>1997-025_Subduing_Kaliya_SB_02-07-28-29_-_Radhanath_Swami_Mumbai_1997-01-26_IDesireTree.mp3</v>
      </c>
      <c r="D4044" s="24"/>
      <c r="E4044" s="24"/>
    </row>
    <row r="4045">
      <c r="A4045" s="25" t="s">
        <v>18392</v>
      </c>
      <c r="B4045" s="25" t="s">
        <v>18440</v>
      </c>
      <c r="C4045" s="26" t="str">
        <f>HYPERLINK("https://audio.iskcondesiretree.com/02_-_ISKCON_Swamis/ISKCON_Swamis_-_R_to_Y/His_Holiness_Radhanath_Swami/Lectures/01_-_Theme_wise/Krsna/Krsna%27s_Pastimes/1997-094_Advent_Of_Lord_Krishna_BG-07_-_Radhanath_Swami_Mumbai_1997-09-06_IDesireTree.mp3", "1997-094_Advent_Of_Lord_Krishna_BG-07_-_Radhanath_Swami_Mumbai_1997-09-06_IDesireTree.mp3")</f>
        <v>1997-094_Advent_Of_Lord_Krishna_BG-07_-_Radhanath_Swami_Mumbai_1997-09-06_IDesireTree.mp3</v>
      </c>
      <c r="D4045" s="24"/>
      <c r="E4045" s="24"/>
    </row>
    <row r="4046">
      <c r="A4046" s="25" t="s">
        <v>18392</v>
      </c>
      <c r="B4046" s="25" t="s">
        <v>18440</v>
      </c>
      <c r="C4046" s="26" t="str">
        <f>HYPERLINK("https://audio.iskcondesiretree.com/02_-_ISKCON_Swamis/ISKCON_Swamis_-_R_to_Y/His_Holiness_Radhanath_Swami/Lectures/01_-_Theme_wise/Krsna/Krsna%27s_Pastimes/1997-135_Damodar_Lila_Pastimes_Lecture_-_Radhanath_Swami_1997-11-14_IDesireTree.mp3", "1997-135_Damodar_Lila_Pastimes_Lecture_-_Radhanath_Swami_1997-11-14_IDesireTree.mp3")</f>
        <v>1997-135_Damodar_Lila_Pastimes_Lecture_-_Radhanath_Swami_1997-11-14_IDesireTree.mp3</v>
      </c>
      <c r="D4046" s="24"/>
      <c r="E4046" s="24"/>
    </row>
    <row r="4047">
      <c r="A4047" s="25" t="s">
        <v>18392</v>
      </c>
      <c r="B4047" s="25" t="s">
        <v>18440</v>
      </c>
      <c r="C4047" s="26" t="str">
        <f>HYPERLINK("https://audio.iskcondesiretree.com/02_-_ISKCON_Swamis/ISKCON_Swamis_-_R_to_Y/His_Holiness_Radhanath_Swami/Lectures/01_-_Theme_wise/Krsna/Krsna%27s_Pastimes/1997-137_Govardhan_Lilla_SB_10-25-13_-_Radhanath_Swami_Mumbai_1997-11-16_IDesireTree.mp3", "1997-137_Govardhan_Lilla_SB_10-25-13_-_Radhanath_Swami_Mumbai_1997-11-16_IDesireTree.mp3")</f>
        <v>1997-137_Govardhan_Lilla_SB_10-25-13_-_Radhanath_Swami_Mumbai_1997-11-16_IDesireTree.mp3</v>
      </c>
      <c r="D4047" s="24"/>
      <c r="E4047" s="24"/>
    </row>
    <row r="4048">
      <c r="A4048" s="25" t="s">
        <v>18392</v>
      </c>
      <c r="B4048" s="25" t="s">
        <v>18440</v>
      </c>
      <c r="C4048" s="26" t="str">
        <f>HYPERLINK("https://audio.iskcondesiretree.com/02_-_ISKCON_Swamis/ISKCON_Swamis_-_R_to_Y/His_Holiness_Radhanath_Swami/Lectures/01_-_Theme_wise/Krsna/Krsna%27s_Pastimes/1998-087_Krishna_Lila_SB-10_-_Radhanath_Swami_Mumbai_1998-09-20_IDesireTree.mp3", "1998-087_Krishna_Lila_SB-10_-_Radhanath_Swami_Mumbai_1998-09-20_IDesireTree.mp3")</f>
        <v>1998-087_Krishna_Lila_SB-10_-_Radhanath_Swami_Mumbai_1998-09-20_IDesireTree.mp3</v>
      </c>
      <c r="D4048" s="24"/>
      <c r="E4048" s="24"/>
    </row>
    <row r="4049">
      <c r="A4049" s="25" t="s">
        <v>18392</v>
      </c>
      <c r="B4049" s="25" t="s">
        <v>18440</v>
      </c>
      <c r="C4049" s="26" t="str">
        <f>HYPERLINK("https://audio.iskcondesiretree.com/02_-_ISKCON_Swamis/ISKCON_Swamis_-_R_to_Y/His_Holiness_Radhanath_Swami/Lectures/01_-_Theme_wise/Krsna/Krsna%27s_Pastimes/1998-091_Krishna_Lila_BG_08-14_-_Radhanath_Swami_Mumbai_1998-09-27_IDesireTree.mp3", "1998-091_Krishna_Lila_BG_08-14_-_Radhanath_Swami_Mumbai_1998-09-27_IDesireTree.mp3")</f>
        <v>1998-091_Krishna_Lila_BG_08-14_-_Radhanath_Swami_Mumbai_1998-09-27_IDesireTree.mp3</v>
      </c>
      <c r="D4049" s="24"/>
      <c r="E4049" s="24"/>
    </row>
    <row r="4050">
      <c r="A4050" s="25" t="s">
        <v>18392</v>
      </c>
      <c r="B4050" s="25" t="s">
        <v>18440</v>
      </c>
      <c r="C4050" s="26" t="str">
        <f>HYPERLINK("https://audio.iskcondesiretree.com/02_-_ISKCON_Swamis/ISKCON_Swamis_-_R_to_Y/His_Holiness_Radhanath_Swami/Lectures/01_-_Theme_wise/Krsna/Krsna%27s_Pastimes/2001-052_Damodar_Lila_Of_Krsna_Lecture_-_Radhanath_Swami_London_2001-11-04_IDesireTree.mp3", "2001-052_Damodar_Lila_Of_Krsna_Lecture_-_Radhanath_Swami_London_2001-11-04_IDesireTree.mp3")</f>
        <v>2001-052_Damodar_Lila_Of_Krsna_Lecture_-_Radhanath_Swami_London_2001-11-04_IDesireTree.mp3</v>
      </c>
      <c r="D4050" s="24"/>
      <c r="E4050" s="24"/>
    </row>
    <row r="4051">
      <c r="A4051" s="25" t="s">
        <v>18392</v>
      </c>
      <c r="B4051" s="25" t="s">
        <v>18440</v>
      </c>
      <c r="C4051" s="26" t="str">
        <f>HYPERLINK("https://audio.iskcondesiretree.com/02_-_ISKCON_Swamis/ISKCON_Swamis_-_R_to_Y/His_Holiness_Radhanath_Swami/Lectures/01_-_Theme_wise/Krsna/Krsna%27s_Pastimes/2002-035_Pastime_of_Baby_Krsna_Lecture_-_Radhanath_Swami_Mumbai_2002-02-15_IDesireTree.mp3", "2002-035_Pastime_of_Baby_Krsna_Lecture_-_Radhanath_Swami_Mumbai_2002-02-15_IDesireTree.mp3")</f>
        <v>2002-035_Pastime_of_Baby_Krsna_Lecture_-_Radhanath_Swami_Mumbai_2002-02-15_IDesireTree.mp3</v>
      </c>
      <c r="D4051" s="24"/>
      <c r="E4051" s="24"/>
    </row>
    <row r="4052">
      <c r="A4052" s="25" t="s">
        <v>18392</v>
      </c>
      <c r="B4052" s="25" t="s">
        <v>18440</v>
      </c>
      <c r="C4052" s="26" t="str">
        <f>HYPERLINK("https://audio.iskcondesiretree.com/02_-_ISKCON_Swamis/ISKCON_Swamis_-_R_to_Y/His_Holiness_Radhanath_Swami/Lectures/01_-_Theme_wise/Krsna/Pleasing_Krsna/1989-036_How_To_Please_Krishna_SB_07-10-14_-_Radhanath_Swami_Mumbai_1989-08-28_IDesireTree.mp3", "1989-036_How_To_Please_Krishna_SB_07-10-14_-_Radhanath_Swami_Mumbai_1989-08-28_IDesireTree.mp3")</f>
        <v>1989-036_How_To_Please_Krishna_SB_07-10-14_-_Radhanath_Swami_Mumbai_1989-08-28_IDesireTree.mp3</v>
      </c>
      <c r="D4052" s="24"/>
      <c r="E4052" s="24"/>
    </row>
    <row r="4053">
      <c r="A4053" s="25" t="s">
        <v>18392</v>
      </c>
      <c r="B4053" s="25" t="s">
        <v>18440</v>
      </c>
      <c r="C4053" s="26" t="str">
        <f>HYPERLINK("https://audio.iskcondesiretree.com/02_-_ISKCON_Swamis/ISKCON_Swamis_-_R_to_Y/His_Holiness_Radhanath_Swami/Lectures/01_-_Theme_wise/Krsna/Pleasing_Krsna/1990-005_A_Leaf_a_Flower_a_Fruit_-_Radhanath_Swami_IDesireTree.mp3", "1990-005_A_Leaf_a_Flower_a_Fruit_-_Radhanath_Swami_IDesireTree.mp3")</f>
        <v>1990-005_A_Leaf_a_Flower_a_Fruit_-_Radhanath_Swami_IDesireTree.mp3</v>
      </c>
      <c r="D4053" s="24"/>
      <c r="E4053" s="24"/>
    </row>
    <row r="4054">
      <c r="A4054" s="25" t="s">
        <v>18392</v>
      </c>
      <c r="B4054" s="25" t="s">
        <v>18440</v>
      </c>
      <c r="C4054" s="26" t="str">
        <f>HYPERLINK("https://audio.iskcondesiretree.com/02_-_ISKCON_Swamis/ISKCON_Swamis_-_R_to_Y/His_Holiness_Radhanath_Swami/Lectures/01_-_Theme_wise/Krsna/Pleasing_Krsna/1991-119_Desire_To_Please_Krishna_BG_02-14_-_Radhanath_Swami_Mumbai_1991-11-20_IDesireTree.mp3", "1991-119_Desire_To_Please_Krishna_BG_02-14_-_Radhanath_Swami_Mumbai_1991-11-20_IDesireTree.mp3")</f>
        <v>1991-119_Desire_To_Please_Krishna_BG_02-14_-_Radhanath_Swami_Mumbai_1991-11-20_IDesireTree.mp3</v>
      </c>
      <c r="D4054" s="24"/>
      <c r="E4054" s="24"/>
    </row>
    <row r="4055">
      <c r="A4055" s="25" t="s">
        <v>18392</v>
      </c>
      <c r="B4055" s="25" t="s">
        <v>18440</v>
      </c>
      <c r="C4055" s="26" t="str">
        <f>HYPERLINK("https://audio.iskcondesiretree.com/02_-_ISKCON_Swamis/ISKCON_Swamis_-_R_to_Y/His_Holiness_Radhanath_Swami/Lectures/01_-_Theme_wise/Krsna/Pleasing_Krsna/1994-190_Give_Best_For_Krishna_SB_03-33-17_-_Pune_1994-10-13_IDesireTree.mp3", "1994-190_Give_Best_For_Krishna_SB_03-33-17_-_Pune_1994-10-13_IDesireTree.mp3")</f>
        <v>1994-190_Give_Best_For_Krishna_SB_03-33-17_-_Pune_1994-10-13_IDesireTree.mp3</v>
      </c>
      <c r="D4055" s="24"/>
      <c r="E4055" s="24"/>
    </row>
    <row r="4056">
      <c r="A4056" s="25" t="s">
        <v>18392</v>
      </c>
      <c r="B4056" s="25" t="s">
        <v>18440</v>
      </c>
      <c r="C4056" s="26" t="str">
        <f>HYPERLINK("https://audio.iskcondesiretree.com/02_-_ISKCON_Swamis/ISKCON_Swamis_-_R_to_Y/His_Holiness_Radhanath_Swami/Lectures/01_-_Theme_wise/Krsna/Pleasing_Krsna/1995-005_How_To_Please_Krishna_SB_01-02-28-29_-_Radhanath_Swami_Mumbai_1995-01-03.mp3", "1995-005_How_To_Please_Krishna_SB_01-02-28-29_-_Radhanath_Swami_Mumbai_1995-01-03.mp3")</f>
        <v>1995-005_How_To_Please_Krishna_SB_01-02-28-29_-_Radhanath_Swami_Mumbai_1995-01-03.mp3</v>
      </c>
      <c r="D4056" s="24"/>
      <c r="E4056" s="24"/>
    </row>
    <row r="4057">
      <c r="A4057" s="25" t="s">
        <v>18392</v>
      </c>
      <c r="B4057" s="25" t="s">
        <v>18440</v>
      </c>
      <c r="C4057" s="26" t="str">
        <f>HYPERLINK("https://audio.iskcondesiretree.com/02_-_ISKCON_Swamis/ISKCON_Swamis_-_R_to_Y/His_Holiness_Radhanath_Swami/Lectures/01_-_Theme_wise/Krsna/Pleasing_Krsna/1996-021_Making_Krishna_Happy_BG_12-16_-_Radhanath_Swami_Mumbai_1996-01-18_IDesireTree.mp3", "1996-021_Making_Krishna_Happy_BG_12-16_-_Radhanath_Swami_Mumbai_1996-01-18_IDesireTree.mp3")</f>
        <v>1996-021_Making_Krishna_Happy_BG_12-16_-_Radhanath_Swami_Mumbai_1996-01-18_IDesireTree.mp3</v>
      </c>
      <c r="D4057" s="24"/>
      <c r="E4057" s="24"/>
    </row>
    <row r="4058">
      <c r="A4058" s="25" t="s">
        <v>18392</v>
      </c>
      <c r="B4058" s="25" t="s">
        <v>18440</v>
      </c>
      <c r="C4058" s="26" t="str">
        <f>HYPERLINK("https://audio.iskcondesiretree.com/02_-_ISKCON_Swamis/ISKCON_Swamis_-_R_to_Y/His_Holiness_Radhanath_Swami/Lectures/01_-_Theme_wise/Krsna/Pleasing_Krsna/1996-095_Please_Krishna_According_To_Our_Capacity_BG_12-18_-_Mumbai_1996-04-26_IDesireTree.mp3", "1996-095_Please_Krishna_According_To_Our_Capacity_BG_12-18_-_Mumbai_1996-04-26_IDesireTree.mp3")</f>
        <v>1996-095_Please_Krishna_According_To_Our_Capacity_BG_12-18_-_Mumbai_1996-04-26_IDesireTree.mp3</v>
      </c>
      <c r="D4058" s="24"/>
      <c r="E4058" s="24"/>
    </row>
    <row r="4059">
      <c r="A4059" s="25" t="s">
        <v>18392</v>
      </c>
      <c r="B4059" s="25" t="s">
        <v>18440</v>
      </c>
      <c r="C4059" s="26" t="str">
        <f>HYPERLINK("https://audio.iskcondesiretree.com/02_-_ISKCON_Swamis/ISKCON_Swamis_-_R_to_Y/His_Holiness_Radhanath_Swami/Lectures/01_-_Theme_wise/Krsna/Pleasing_Krsna/1996-140_Pleasing_Krishna_Is_Our_Aim_BG_18-58_-_Radhanath_Swami_Pune_1996-09-24_IDesireTree.mp3", "1996-140_Pleasing_Krishna_Is_Our_Aim_BG_18-58_-_Radhanath_Swami_Pune_1996-09-24_IDesireTree.mp3")</f>
        <v>1996-140_Pleasing_Krishna_Is_Our_Aim_BG_18-58_-_Radhanath_Swami_Pune_1996-09-24_IDesireTree.mp3</v>
      </c>
      <c r="D4059" s="24"/>
      <c r="E4059" s="24"/>
    </row>
    <row r="4060">
      <c r="A4060" s="25" t="s">
        <v>18392</v>
      </c>
      <c r="B4060" s="25" t="s">
        <v>18440</v>
      </c>
      <c r="C4060" s="26" t="str">
        <f>HYPERLINK("https://audio.iskcondesiretree.com/02_-_ISKCON_Swamis/ISKCON_Swamis_-_R_to_Y/His_Holiness_Radhanath_Swami/Lectures/01_-_Theme_wise/Krsna/Pleasing_Krsna/1997-054_How_To_Please_Krishna_Lecture_-_Radhanath_Swami_Mumbai_1997-03-16_IDesireTree.mp3", "1997-054_How_To_Please_Krishna_Lecture_-_Radhanath_Swami_Mumbai_1997-03-16_IDesireTree.mp3")</f>
        <v>1997-054_How_To_Please_Krishna_Lecture_-_Radhanath_Swami_Mumbai_1997-03-16_IDesireTree.mp3</v>
      </c>
      <c r="D4060" s="24"/>
      <c r="E4060" s="24"/>
    </row>
    <row r="4061">
      <c r="A4061" s="25" t="s">
        <v>18392</v>
      </c>
      <c r="B4061" s="25" t="s">
        <v>18440</v>
      </c>
      <c r="C4061" s="26" t="str">
        <f>HYPERLINK("https://audio.iskcondesiretree.com/02_-_ISKCON_Swamis/ISKCON_Swamis_-_R_to_Y/His_Holiness_Radhanath_Swami/Lectures/01_-_Theme_wise/Krsna/Pleasing_Krsna/1997-078_Our_Eagerness_Attracts_Krishna_Lecture_-_Radhanath_Swami_London_1997-05-26_IDesireTree.mp3", "1997-078_Our_Eagerness_Attracts_Krishna_Lecture_-_Radhanath_Swami_London_1997-05-26_IDesireTree.mp3")</f>
        <v>1997-078_Our_Eagerness_Attracts_Krishna_Lecture_-_Radhanath_Swami_London_1997-05-26_IDesireTree.mp3</v>
      </c>
      <c r="D4061" s="24"/>
      <c r="E4061" s="24"/>
    </row>
    <row r="4062">
      <c r="A4062" s="25" t="s">
        <v>18392</v>
      </c>
      <c r="B4062" s="25" t="s">
        <v>18440</v>
      </c>
      <c r="C4062" s="26" t="str">
        <f>HYPERLINK("https://audio.iskcondesiretree.com/02_-_ISKCON_Swamis/ISKCON_Swamis_-_R_to_Y/His_Holiness_Radhanath_Swami/Lectures/01_-_Theme_wise/Krsna/Pleasing_Krsna/1997-089_Make_Krishna_The_Priority_Lecture_-_Radhanath_Swami_Mumbai_1997-08-25_IDesireTree.mp3", "1997-089_Make_Krishna_The_Priority_Lecture_-_Radhanath_Swami_Mumbai_1997-08-25_IDesireTree.mp3")</f>
        <v>1997-089_Make_Krishna_The_Priority_Lecture_-_Radhanath_Swami_Mumbai_1997-08-25_IDesireTree.mp3</v>
      </c>
      <c r="D4062" s="24"/>
      <c r="E4062" s="24"/>
    </row>
    <row r="4063">
      <c r="A4063" s="25" t="s">
        <v>18392</v>
      </c>
      <c r="B4063" s="25" t="s">
        <v>18440</v>
      </c>
      <c r="C4063" s="26" t="str">
        <f>HYPERLINK("https://audio.iskcondesiretree.com/02_-_ISKCON_Swamis/ISKCON_Swamis_-_R_to_Y/His_Holiness_Radhanath_Swami/Lectures/01_-_Theme_wise/Krsna/Pleasing_Krsna/1997-100_Eagerness_To_Please_Krsna_Lecture_-_Radhanath_Swami_Moscow_1997-09-13_IDesireTree.mp3", "1997-100_Eagerness_To_Please_Krsna_Lecture_-_Radhanath_Swami_Moscow_1997-09-13_IDesireTree.mp3")</f>
        <v>1997-100_Eagerness_To_Please_Krsna_Lecture_-_Radhanath_Swami_Moscow_1997-09-13_IDesireTree.mp3</v>
      </c>
      <c r="D4063" s="24"/>
      <c r="E4063" s="24"/>
    </row>
    <row r="4064">
      <c r="A4064" s="25" t="s">
        <v>18392</v>
      </c>
      <c r="B4064" s="25" t="s">
        <v>18440</v>
      </c>
      <c r="C4064" s="26" t="str">
        <f>HYPERLINK("https://audio.iskcondesiretree.com/02_-_ISKCON_Swamis/ISKCON_Swamis_-_R_to_Y/His_Holiness_Radhanath_Swami/Lectures/01_-_Theme_wise/Krsna/Pleasing_Krsna/1997-109_Simply_Please_Krishna_SB_03-02-25_-_Mumbai_1997-09-27_IDesireTree.mp3", "1997-109_Simply_Please_Krishna_SB_03-02-25_-_Mumbai_1997-09-27_IDesireTree.mp3")</f>
        <v>1997-109_Simply_Please_Krishna_SB_03-02-25_-_Mumbai_1997-09-27_IDesireTree.mp3</v>
      </c>
      <c r="D4064" s="24"/>
      <c r="E4064" s="24"/>
    </row>
    <row r="4065">
      <c r="A4065" s="25" t="s">
        <v>18392</v>
      </c>
      <c r="B4065" s="25" t="s">
        <v>18440</v>
      </c>
      <c r="C4065" s="26" t="str">
        <f>HYPERLINK("https://audio.iskcondesiretree.com/02_-_ISKCON_Swamis/ISKCON_Swamis_-_R_to_Y/His_Holiness_Radhanath_Swami/Lectures/01_-_Theme_wise/Krsna/Pleasing_Krsna/1998-062_Sincere_Desire_to_Serve_-_Please_Krishna_-_Radhanath_Swami_1998-05-05_IDesireTree.mp3", "1998-062_Sincere_Desire_to_Serve_-_Please_Krishna_-_Radhanath_Swami_1998-05-05_IDesireTree.mp3")</f>
        <v>1998-062_Sincere_Desire_to_Serve_-_Please_Krishna_-_Radhanath_Swami_1998-05-05_IDesireTree.mp3</v>
      </c>
      <c r="D4065" s="24"/>
      <c r="E4065" s="24"/>
    </row>
    <row r="4066">
      <c r="A4066" s="25" t="s">
        <v>18392</v>
      </c>
      <c r="B4066" s="25" t="s">
        <v>18440</v>
      </c>
      <c r="C4066" s="26" t="str">
        <f>HYPERLINK("https://audio.iskcondesiretree.com/02_-_ISKCON_Swamis/ISKCON_Swamis_-_R_to_Y/His_Holiness_Radhanath_Swami/Lectures/01_-_Theme_wise/Krsna/Taking_Shelter_of_Krsna%27s_Lotus_Feet/1995-045_How_Krishna_Protects_SB_01-08-11_-_Radhanath_Swami_Mumbai_1995-02-09.m"&amp;"p3", "1995-045_How_Krishna_Protects_SB_01-08-11_-_Radhanath_Swami_Mumbai_1995-02-09.mp3")</f>
        <v>1995-045_How_Krishna_Protects_SB_01-08-11_-_Radhanath_Swami_Mumbai_1995-02-09.mp3</v>
      </c>
      <c r="D4066" s="24"/>
      <c r="E4066" s="24"/>
    </row>
    <row r="4067">
      <c r="A4067" s="25" t="s">
        <v>18392</v>
      </c>
      <c r="B4067" s="25" t="s">
        <v>18441</v>
      </c>
      <c r="C4067" s="26" t="str">
        <f>HYPERLINK("https://audio.iskcondesiretree.com/02_-_ISKCON_Swamis/ISKCON_Swamis_-_R_to_Y/His_Holiness_Radhanath_Swami/Lectures/01_-_Theme_wise/Laws_of_God/1995-116_Laws_Of_God_SB_01-13-42_-_Radhanath_Swami_Mumbai_1995-10-06_IDesireTree.mp3", "1995-116_Laws_Of_God_SB_01-13-42_-_Radhanath_Swami_Mumbai_1995-10-06_IDesireTree.mp3")</f>
        <v>1995-116_Laws_Of_God_SB_01-13-42_-_Radhanath_Swami_Mumbai_1995-10-06_IDesireTree.mp3</v>
      </c>
      <c r="D4067" s="24"/>
      <c r="E4067" s="24"/>
    </row>
    <row r="4068">
      <c r="A4068" s="25" t="s">
        <v>18392</v>
      </c>
      <c r="B4068" s="25" t="s">
        <v>18441</v>
      </c>
      <c r="C4068" s="26" t="str">
        <f>HYPERLINK("https://audio.iskcondesiretree.com/02_-_ISKCON_Swamis/ISKCON_Swamis_-_R_to_Y/His_Holiness_Radhanath_Swami/Lectures/01_-_Theme_wise/Laws_of_God/1996-085_Laws_Of_God_Will_Surely_Act_BG_03-15_-_Radhanath_Swami_Mumbai_1996-04-18_IDesireTree.mp3", "1996-085_Laws_Of_God_Will_Surely_Act_BG_03-15_-_Radhanath_Swami_Mumbai_1996-04-18_IDesireTree.mp3")</f>
        <v>1996-085_Laws_Of_God_Will_Surely_Act_BG_03-15_-_Radhanath_Swami_Mumbai_1996-04-18_IDesireTree.mp3</v>
      </c>
      <c r="D4068" s="24"/>
      <c r="E4068" s="24"/>
    </row>
    <row r="4069">
      <c r="A4069" s="25" t="s">
        <v>18392</v>
      </c>
      <c r="B4069" s="25" t="s">
        <v>18441</v>
      </c>
      <c r="C4069" s="26" t="str">
        <f>HYPERLINK("https://audio.iskcondesiretree.com/02_-_ISKCON_Swamis/ISKCON_Swamis_-_R_to_Y/His_Holiness_Radhanath_Swami/Lectures/01_-_Theme_wise/Laws_of_God/1998-024_Understand_the_Laws_of_Nature_BG_04-06_-_Radhanath_Swami_Mumbai_1998-02-03_IDesireTree.mp3", "1998-024_Understand_the_Laws_of_Nature_BG_04-06_-_Radhanath_Swami_Mumbai_1998-02-03_IDesireTree.mp3")</f>
        <v>1998-024_Understand_the_Laws_of_Nature_BG_04-06_-_Radhanath_Swami_Mumbai_1998-02-03_IDesireTree.mp3</v>
      </c>
      <c r="D4069" s="24"/>
      <c r="E4069" s="24"/>
    </row>
    <row r="4070">
      <c r="A4070" s="25" t="s">
        <v>18392</v>
      </c>
      <c r="B4070" s="25" t="s">
        <v>18442</v>
      </c>
      <c r="C4070" s="26" t="str">
        <f>HYPERLINK("https://audio.iskcondesiretree.com/02_-_ISKCON_Swamis/ISKCON_Swamis_-_R_to_Y/His_Holiness_Radhanath_Swami/Lectures/01_-_Theme_wise/Laziness/1989-081_Never_Become_Lazy_SB_07-13-18-21_-_Radhanath_Swami_Mumbai_1989-12-24_IDesireTree.mp3", "1989-081_Never_Become_Lazy_SB_07-13-18-21_-_Radhanath_Swami_Mumbai_1989-12-24_IDesireTree.mp3")</f>
        <v>1989-081_Never_Become_Lazy_SB_07-13-18-21_-_Radhanath_Swami_Mumbai_1989-12-24_IDesireTree.mp3</v>
      </c>
      <c r="D4070" s="24"/>
      <c r="E4070" s="24"/>
    </row>
    <row r="4071">
      <c r="A4071" s="25" t="s">
        <v>18392</v>
      </c>
      <c r="B4071" s="25" t="s">
        <v>18442</v>
      </c>
      <c r="C4071" s="26" t="str">
        <f>HYPERLINK("https://audio.iskcondesiretree.com/02_-_ISKCON_Swamis/ISKCON_Swamis_-_R_to_Y/His_Holiness_Radhanath_Swami/Lectures/01_-_Theme_wise/Laziness/1992-021_Dhenukasura_Within_Us_BG_03-30_-_Radhanath_Swami_Mumbai_1992-02-03_IDesireTree.mp3", "1992-021_Dhenukasura_Within_Us_BG_03-30_-_Radhanath_Swami_Mumbai_1992-02-03_IDesireTree.mp3")</f>
        <v>1992-021_Dhenukasura_Within_Us_BG_03-30_-_Radhanath_Swami_Mumbai_1992-02-03_IDesireTree.mp3</v>
      </c>
      <c r="D4071" s="24"/>
      <c r="E4071" s="24"/>
    </row>
    <row r="4072">
      <c r="A4072" s="25" t="s">
        <v>18392</v>
      </c>
      <c r="B4072" s="25" t="s">
        <v>18442</v>
      </c>
      <c r="C4072" s="26" t="str">
        <f>HYPERLINK("https://audio.iskcondesiretree.com/02_-_ISKCON_Swamis/ISKCON_Swamis_-_R_to_Y/His_Holiness_Radhanath_Swami/Lectures/01_-_Theme_wise/Laziness/1992-073_Laziness_And_False_Ego_BG_03-30_-_Radhanath_Swami_Mumbai_1992-08-16_IDesireTree.mp3", "1992-073_Laziness_And_False_Ego_BG_03-30_-_Radhanath_Swami_Mumbai_1992-08-16_IDesireTree.mp3")</f>
        <v>1992-073_Laziness_And_False_Ego_BG_03-30_-_Radhanath_Swami_Mumbai_1992-08-16_IDesireTree.mp3</v>
      </c>
      <c r="D4072" s="24"/>
      <c r="E4072" s="24"/>
    </row>
    <row r="4073">
      <c r="A4073" s="25" t="s">
        <v>18392</v>
      </c>
      <c r="B4073" s="25" t="s">
        <v>18442</v>
      </c>
      <c r="C4073" s="26" t="str">
        <f>HYPERLINK("https://audio.iskcondesiretree.com/02_-_ISKCON_Swamis/ISKCON_Swamis_-_R_to_Y/His_Holiness_Radhanath_Swami/Lectures/01_-_Theme_wise/Laziness/1997-068_Overcome_Spiritual_Laziness_Lecture_-_Radhanath_Swami_Mumbai_1997-04-27_IDesireTree.mp3", "1997-068_Overcome_Spiritual_Laziness_Lecture_-_Radhanath_Swami_Mumbai_1997-04-27_IDesireTree.mp3")</f>
        <v>1997-068_Overcome_Spiritual_Laziness_Lecture_-_Radhanath_Swami_Mumbai_1997-04-27_IDesireTree.mp3</v>
      </c>
      <c r="D4073" s="24"/>
      <c r="E4073" s="24"/>
    </row>
    <row r="4074">
      <c r="A4074" s="25" t="s">
        <v>18392</v>
      </c>
      <c r="B4074" s="25" t="s">
        <v>18443</v>
      </c>
      <c r="C4074" s="26" t="str">
        <f>HYPERLINK("https://audio.iskcondesiretree.com/02_-_ISKCON_Swamis/ISKCON_Swamis_-_R_to_Y/His_Holiness_Radhanath_Swami/Lectures/01_-_Theme_wise/Leadership_and_Management/1989-032_Self_Management_Lecture_-_Radhanath_Swami_Mumbai_1989-08-23_IDesireTree.mp3", "1989-032_Self_Management_Lecture_-_Radhanath_Swami_Mumbai_1989-08-23_IDesireTree.mp3")</f>
        <v>1989-032_Self_Management_Lecture_-_Radhanath_Swami_Mumbai_1989-08-23_IDesireTree.mp3</v>
      </c>
      <c r="D4074" s="24"/>
      <c r="E4074" s="24"/>
    </row>
    <row r="4075">
      <c r="A4075" s="25" t="s">
        <v>18392</v>
      </c>
      <c r="B4075" s="25" t="s">
        <v>18443</v>
      </c>
      <c r="C4075" s="26" t="str">
        <f>HYPERLINK("https://audio.iskcondesiretree.com/02_-_ISKCON_Swamis/ISKCON_Swamis_-_R_to_Y/His_Holiness_Radhanath_Swami/Lectures/01_-_Theme_wise/Leadership_and_Management/1992-122_Spiritual_Vision_SB_10-16-17-18_-_Radhanath_Swami_Mumbai_1992-11-14_IDesireTree.mp3", "1992-122_Spiritual_Vision_SB_10-16-17-18_-_Radhanath_Swami_Mumbai_1992-11-14_IDesireTree.mp3")</f>
        <v>1992-122_Spiritual_Vision_SB_10-16-17-18_-_Radhanath_Swami_Mumbai_1992-11-14_IDesireTree.mp3</v>
      </c>
      <c r="D4075" s="24"/>
      <c r="E4075" s="24"/>
    </row>
    <row r="4076">
      <c r="A4076" s="25" t="s">
        <v>18392</v>
      </c>
      <c r="B4076" s="25" t="s">
        <v>18443</v>
      </c>
      <c r="C4076" s="26" t="str">
        <f>HYPERLINK("https://audio.iskcondesiretree.com/02_-_ISKCON_Swamis/ISKCON_Swamis_-_R_to_Y/His_Holiness_Radhanath_Swami/Lectures/01_-_Theme_wise/Leadership_and_Management/1993-112_Ideal_Leadership_SB_05-01-07_-_Radhanath_Swami_Mumbai_1993-06-09_IDesireTree.mp3", "1993-112_Ideal_Leadership_SB_05-01-07_-_Radhanath_Swami_Mumbai_1993-06-09_IDesireTree.mp3")</f>
        <v>1993-112_Ideal_Leadership_SB_05-01-07_-_Radhanath_Swami_Mumbai_1993-06-09_IDesireTree.mp3</v>
      </c>
      <c r="D4076" s="24"/>
      <c r="E4076" s="24"/>
    </row>
    <row r="4077">
      <c r="A4077" s="25" t="s">
        <v>18392</v>
      </c>
      <c r="B4077" s="25" t="s">
        <v>18443</v>
      </c>
      <c r="C4077" s="26" t="str">
        <f>HYPERLINK("https://audio.iskcondesiretree.com/02_-_ISKCON_Swamis/ISKCON_Swamis_-_R_to_Y/His_Holiness_Radhanath_Swami/Lectures/01_-_Theme_wise/Leadership_and_Management/1995-025_Blind_Leading_The_Blind_HT_-_SB_02-03-19_-_Radhanath_Swami_Belgaum_1995-01-17.mp3", "1995-025_Blind_Leading_The_Blind_HT_-_SB_02-03-19_-_Radhanath_Swami_Belgaum_1995-01-17.mp3")</f>
        <v>1995-025_Blind_Leading_The_Blind_HT_-_SB_02-03-19_-_Radhanath_Swami_Belgaum_1995-01-17.mp3</v>
      </c>
      <c r="D4077" s="24"/>
      <c r="E4077" s="24"/>
    </row>
    <row r="4078">
      <c r="A4078" s="25" t="s">
        <v>18392</v>
      </c>
      <c r="B4078" s="25" t="s">
        <v>18443</v>
      </c>
      <c r="C4078" s="26" t="str">
        <f>HYPERLINK("https://audio.iskcondesiretree.com/02_-_ISKCON_Swamis/ISKCON_Swamis_-_R_to_Y/His_Holiness_Radhanath_Swami/Lectures/01_-_Theme_wise/Leadership_and_Management/1996-008_Self_Management_Lecture_-_Radhanath_Swami_Mumbai_1996-01-04.mp3", "1996-008_Self_Management_Lecture_-_Radhanath_Swami_Mumbai_1996-01-04.mp3")</f>
        <v>1996-008_Self_Management_Lecture_-_Radhanath_Swami_Mumbai_1996-01-04.mp3</v>
      </c>
      <c r="D4078" s="24"/>
      <c r="E4078" s="24"/>
    </row>
    <row r="4079">
      <c r="A4079" s="25" t="s">
        <v>18392</v>
      </c>
      <c r="B4079" s="25" t="s">
        <v>18443</v>
      </c>
      <c r="C4079" s="26" t="str">
        <f>HYPERLINK("https://audio.iskcondesiretree.com/02_-_ISKCON_Swamis/ISKCON_Swamis_-_R_to_Y/His_Holiness_Radhanath_Swami/Lectures/01_-_Theme_wise/Leadership_and_Management/1998-046_Setting_an_Ideal_Example_BG_02-23_-_Radhanath_Swami_Mumbai_1998-03-06_IDesireTree.mp3", "1998-046_Setting_an_Ideal_Example_BG_02-23_-_Radhanath_Swami_Mumbai_1998-03-06_IDesireTree.mp3")</f>
        <v>1998-046_Setting_an_Ideal_Example_BG_02-23_-_Radhanath_Swami_Mumbai_1998-03-06_IDesireTree.mp3</v>
      </c>
      <c r="D4079" s="24"/>
      <c r="E4079" s="24"/>
    </row>
    <row r="4080">
      <c r="A4080" s="25" t="s">
        <v>18392</v>
      </c>
      <c r="B4080" s="25" t="s">
        <v>18443</v>
      </c>
      <c r="C4080" s="26" t="str">
        <f>HYPERLINK("https://audio.iskcondesiretree.com/02_-_ISKCON_Swamis/ISKCON_Swamis_-_R_to_Y/His_Holiness_Radhanath_Swami/Lectures/01_-_Theme_wise/Leadership_and_Management/2002-050_Stress_Management_Lecture_-_Radhanath_Swami_Mumbai_2002-04-12_IDesireTree.mp3", "2002-050_Stress_Management_Lecture_-_Radhanath_Swami_Mumbai_2002-04-12_IDesireTree.mp3")</f>
        <v>2002-050_Stress_Management_Lecture_-_Radhanath_Swami_Mumbai_2002-04-12_IDesireTree.mp3</v>
      </c>
      <c r="D4080" s="24"/>
      <c r="E4080" s="24"/>
    </row>
    <row r="4081">
      <c r="A4081" s="25" t="s">
        <v>18392</v>
      </c>
      <c r="B4081" s="25" t="s">
        <v>18444</v>
      </c>
      <c r="C4081" s="26" t="str">
        <f>HYPERLINK("https://audio.iskcondesiretree.com/02_-_ISKCON_Swamis/ISKCON_Swamis_-_R_to_Y/His_Holiness_Radhanath_Swami/Lectures/01_-_Theme_wise/Liberation/1991-026_Beyond_Liberation_CC_AL_01-35_-_Radhanath_Swami_Mumbai_1991-02-28_IDesireTree.mp3", "1991-026_Beyond_Liberation_CC_AL_01-35_-_Radhanath_Swami_Mumbai_1991-02-28_IDesireTree.mp3")</f>
        <v>1991-026_Beyond_Liberation_CC_AL_01-35_-_Radhanath_Swami_Mumbai_1991-02-28_IDesireTree.mp3</v>
      </c>
      <c r="D4081" s="24"/>
      <c r="E4081" s="24"/>
    </row>
    <row r="4082">
      <c r="A4082" s="25" t="s">
        <v>18392</v>
      </c>
      <c r="B4082" s="25" t="s">
        <v>18444</v>
      </c>
      <c r="C4082" s="26" t="str">
        <f>HYPERLINK("https://audio.iskcondesiretree.com/02_-_ISKCON_Swamis/ISKCON_Swamis_-_R_to_Y/His_Holiness_Radhanath_Swami/Lectures/01_-_Theme_wise/Liberation/1991-029_Liberation_Is_Useless_SB_09-05-25_-_Radhanath_Swami_Mumbai_1991-03-05_IDesireTree.mp3", "1991-029_Liberation_Is_Useless_SB_09-05-25_-_Radhanath_Swami_Mumbai_1991-03-05_IDesireTree.mp3")</f>
        <v>1991-029_Liberation_Is_Useless_SB_09-05-25_-_Radhanath_Swami_Mumbai_1991-03-05_IDesireTree.mp3</v>
      </c>
      <c r="D4082" s="24"/>
      <c r="E4082" s="24"/>
    </row>
    <row r="4083">
      <c r="A4083" s="25" t="s">
        <v>18392</v>
      </c>
      <c r="B4083" s="25" t="s">
        <v>18444</v>
      </c>
      <c r="C4083" s="26" t="str">
        <f>HYPERLINK("https://audio.iskcondesiretree.com/02_-_ISKCON_Swamis/ISKCON_Swamis_-_R_to_Y/His_Holiness_Radhanath_Swami/Lectures/01_-_Theme_wise/Liberation/1992-148_Free_Yourself_From_Material_Modes_BG_14-05_-_Radhanath_Swami_Mumbai_1992-12-20_IDesireTree.mp3", "1992-148_Free_Yourself_From_Material_Modes_BG_14-05_-_Radhanath_Swami_Mumbai_1992-12-20_IDesireTree.mp3")</f>
        <v>1992-148_Free_Yourself_From_Material_Modes_BG_14-05_-_Radhanath_Swami_Mumbai_1992-12-20_IDesireTree.mp3</v>
      </c>
      <c r="D4083" s="24"/>
      <c r="E4083" s="24"/>
    </row>
    <row r="4084">
      <c r="A4084" s="25" t="s">
        <v>18392</v>
      </c>
      <c r="B4084" s="25" t="s">
        <v>18445</v>
      </c>
      <c r="C4084" s="26" t="str">
        <f>HYPERLINK("https://audio.iskcondesiretree.com/02_-_ISKCON_Swamis/ISKCON_Swamis_-_R_to_Y/His_Holiness_Radhanath_Swami/Lectures/01_-_Theme_wise/Lord_Chaitanya/Glory_of_Lord_Chaitanya/1989-071_Fake_Godman_CC_-_Radhanath_Swami_IDesireTree.mp3", "1989-071_Fake_Godman_CC_-_Radhanath_Swami_IDesireTree.mp3")</f>
        <v>1989-071_Fake_Godman_CC_-_Radhanath_Swami_IDesireTree.mp3</v>
      </c>
      <c r="D4084" s="24"/>
      <c r="E4084" s="24"/>
    </row>
    <row r="4085">
      <c r="A4085" s="25" t="s">
        <v>18392</v>
      </c>
      <c r="B4085" s="25" t="s">
        <v>18445</v>
      </c>
      <c r="C4085" s="26" t="str">
        <f>HYPERLINK("https://audio.iskcondesiretree.com/02_-_ISKCON_Swamis/ISKCON_Swamis_-_R_to_Y/His_Holiness_Radhanath_Swami/Lectures/01_-_Theme_wise/Lord_Chaitanya/Glory_of_Lord_Chaitanya/1996-002_Pastimes_Of_Nimai_BG_10-40_-_Radhanath_Swami_Pune_1996-01-02.mp3", "1996-002_Pastimes_Of_Nimai_BG_10-40_-_Radhanath_Swami_Pune_1996-01-02.mp3")</f>
        <v>1996-002_Pastimes_Of_Nimai_BG_10-40_-_Radhanath_Swami_Pune_1996-01-02.mp3</v>
      </c>
      <c r="D4085" s="24"/>
      <c r="E4085" s="24"/>
    </row>
    <row r="4086">
      <c r="A4086" s="25" t="s">
        <v>18392</v>
      </c>
      <c r="B4086" s="25" t="s">
        <v>18445</v>
      </c>
      <c r="C4086" s="26" t="str">
        <f>HYPERLINK("https://audio.iskcondesiretree.com/02_-_ISKCON_Swamis/ISKCON_Swamis_-_R_to_Y/His_Holiness_Radhanath_Swami/Lectures/01_-_Theme_wise/Lord_Chaitanya/Life_and_Pastimes_of_Lord_Chaitanya/1992-069_Sri_Caitanya_Lila_Lecture_-_Radhanath_Swami_1992_IDesireTree.mp3", "1992-069_Sri_Caitanya_Lila_Lecture_-_Radhanath_Swami_1992_IDesireTree.mp3")</f>
        <v>1992-069_Sri_Caitanya_Lila_Lecture_-_Radhanath_Swami_1992_IDesireTree.mp3</v>
      </c>
      <c r="D4086" s="24"/>
      <c r="E4086" s="24"/>
    </row>
    <row r="4087">
      <c r="A4087" s="25" t="s">
        <v>18392</v>
      </c>
      <c r="B4087" s="25" t="s">
        <v>18445</v>
      </c>
      <c r="C4087" s="26" t="str">
        <f>HYPERLINK("https://audio.iskcondesiretree.com/02_-_ISKCON_Swamis/ISKCON_Swamis_-_R_to_Y/His_Holiness_Radhanath_Swami/Lectures/01_-_Theme_wise/Lord_Chaitanya/Life_and_Pastimes_of_Lord_Chaitanya/1996-005_Gaur_Nitai_Lecture_-_Radhanath_Swami_Pune_1996-01-03.mp3", "1996-005_Gaur_Nitai_Lecture_-_Radhanath_Swami_Pune_1996-01-03.mp3")</f>
        <v>1996-005_Gaur_Nitai_Lecture_-_Radhanath_Swami_Pune_1996-01-03.mp3</v>
      </c>
      <c r="D4087" s="24"/>
      <c r="E4087" s="24"/>
    </row>
    <row r="4088">
      <c r="A4088" s="25" t="s">
        <v>18392</v>
      </c>
      <c r="B4088" s="25" t="s">
        <v>18446</v>
      </c>
      <c r="C4088" s="26" t="str">
        <f>HYPERLINK("https://audio.iskcondesiretree.com/02_-_ISKCON_Swamis/ISKCON_Swamis_-_R_to_Y/His_Holiness_Radhanath_Swami/Lectures/01_-_Theme_wise/Lord_Nityananda/1990-022_Lord_Nityananda_Appearance_Day_VS_1-1-12_-_Radhanath_Swami_Mumbai_1990-02-17_IDesireTree.mp3", "1990-022_Lord_Nityananda_Appearance_Day_VS_1-1-12_-_Radhanath_Swami_Mumbai_1990-02-17_IDesireTree.mp3")</f>
        <v>1990-022_Lord_Nityananda_Appearance_Day_VS_1-1-12_-_Radhanath_Swami_Mumbai_1990-02-17_IDesireTree.mp3</v>
      </c>
      <c r="D4088" s="24"/>
      <c r="E4088" s="24"/>
    </row>
    <row r="4089">
      <c r="A4089" s="25" t="s">
        <v>18392</v>
      </c>
      <c r="B4089" s="25" t="s">
        <v>18446</v>
      </c>
      <c r="C4089" s="26" t="str">
        <f>HYPERLINK("https://audio.iskcondesiretree.com/02_-_ISKCON_Swamis/ISKCON_Swamis_-_R_to_Y/His_Holiness_Radhanath_Swami/Lectures/01_-_Theme_wise/Lord_Nityananda/1991-008_Lord_Nityananda-_Most_Merciful_SB_09-04-18-20_-_Radhanath_Swami_Mumbai_1991-01-28_IDesireTree.mp3", "1991-008_Lord_Nityananda-_Most_Merciful_SB_09-04-18-20_-_Radhanath_Swami_Mumbai_1991-01-28_IDesireTree.mp3")</f>
        <v>1991-008_Lord_Nityananda-_Most_Merciful_SB_09-04-18-20_-_Radhanath_Swami_Mumbai_1991-01-28_IDesireTree.mp3</v>
      </c>
      <c r="D4089" s="24"/>
      <c r="E4089" s="24"/>
    </row>
    <row r="4090">
      <c r="A4090" s="25" t="s">
        <v>18392</v>
      </c>
      <c r="B4090" s="25" t="s">
        <v>18446</v>
      </c>
      <c r="C4090" s="26" t="str">
        <f>HYPERLINK("https://audio.iskcondesiretree.com/02_-_ISKCON_Swamis/ISKCON_Swamis_-_R_to_Y/His_Holiness_Radhanath_Swami/Lectures/01_-_Theme_wise/Lord_Nityananda/1992-030_Lord_Nityananda_CC_AL_01-02_-_Radhanath_Swami_Mumbai_1992-02-16_IDesireTree.mp3", "1992-030_Lord_Nityananda_CC_AL_01-02_-_Radhanath_Swami_Mumbai_1992-02-16_IDesireTree.mp3")</f>
        <v>1992-030_Lord_Nityananda_CC_AL_01-02_-_Radhanath_Swami_Mumbai_1992-02-16_IDesireTree.mp3</v>
      </c>
      <c r="D4090" s="24"/>
      <c r="E4090" s="24"/>
    </row>
    <row r="4091">
      <c r="A4091" s="25" t="s">
        <v>18392</v>
      </c>
      <c r="B4091" s="25" t="s">
        <v>18446</v>
      </c>
      <c r="C4091" s="26" t="str">
        <f>HYPERLINK("https://audio.iskcondesiretree.com/02_-_ISKCON_Swamis/ISKCON_Swamis_-_R_to_Y/His_Holiness_Radhanath_Swami/Lectures/01_-_Theme_wise/Lord_Nityananda/1994-045_Lord_Nityananda_Prabhu%27s_Mercy_Lecture_-_Radhanath_Swami_Mumbai_1994-02-24_IDesireTree.mp3", "1994-045_Lord_Nityananda_Prabhu%27s_Mercy_Lecture_-_Radhanath_Swami_Mumbai_1994-02-24_IDesireTree.mp3")</f>
        <v>1994-045_Lord_Nityananda_Prabhu%27s_Mercy_Lecture_-_Radhanath_Swami_Mumbai_1994-02-24_IDesireTree.mp3</v>
      </c>
      <c r="D4091" s="24"/>
      <c r="E4091" s="24"/>
    </row>
    <row r="4092">
      <c r="A4092" s="25" t="s">
        <v>18392</v>
      </c>
      <c r="B4092" s="25" t="s">
        <v>18446</v>
      </c>
      <c r="C4092" s="26" t="str">
        <f>HYPERLINK("https://audio.iskcondesiretree.com/02_-_ISKCON_Swamis/ISKCON_Swamis_-_R_to_Y/His_Holiness_Radhanath_Swami/Lectures/01_-_Theme_wise/Lord_Nityananda/1994-116_The_Glory_of_Nityananda-Balaram_Lecture_-_Radhanath_Swami_1994-08_IDesireTree.mp3", "1994-116_The_Glory_of_Nityananda-Balaram_Lecture_-_Radhanath_Swami_1994-08_IDesireTree.mp3")</f>
        <v>1994-116_The_Glory_of_Nityananda-Balaram_Lecture_-_Radhanath_Swami_1994-08_IDesireTree.mp3</v>
      </c>
      <c r="D4092" s="24"/>
      <c r="E4092" s="24"/>
    </row>
    <row r="4093">
      <c r="A4093" s="25" t="s">
        <v>18392</v>
      </c>
      <c r="B4093" s="25" t="s">
        <v>18446</v>
      </c>
      <c r="C4093" s="26" t="str">
        <f>HYPERLINK("https://audio.iskcondesiretree.com/02_-_ISKCON_Swamis/ISKCON_Swamis_-_R_to_Y/His_Holiness_Radhanath_Swami/Lectures/01_-_Theme_wise/Lord_Nityananda/1994-129_Lord_Nityananda_Prabhu%27s_Mercy_Lecture_-_Radhanath_Swami_Mumbai_1994-09-03_IDesireTree.mp3", "1994-129_Lord_Nityananda_Prabhu%27s_Mercy_Lecture_-_Radhanath_Swami_Mumbai_1994-09-03_IDesireTree.mp3")</f>
        <v>1994-129_Lord_Nityananda_Prabhu%27s_Mercy_Lecture_-_Radhanath_Swami_Mumbai_1994-09-03_IDesireTree.mp3</v>
      </c>
      <c r="D4093" s="24"/>
      <c r="E4093" s="24"/>
    </row>
    <row r="4094">
      <c r="A4094" s="25" t="s">
        <v>18392</v>
      </c>
      <c r="B4094" s="25" t="s">
        <v>18446</v>
      </c>
      <c r="C4094" s="26" t="str">
        <f>HYPERLINK("https://audio.iskcondesiretree.com/02_-_ISKCON_Swamis/ISKCON_Swamis_-_R_to_Y/His_Holiness_Radhanath_Swami/Lectures/01_-_Theme_wise/Lord_Nityananda/1995-049_Merciful_Lord_Nityananda_CC_ML_01-08_-_Radhanath_Swami_Mumbai_1995-02-13.mp3", "1995-049_Merciful_Lord_Nityananda_CC_ML_01-08_-_Radhanath_Swami_Mumbai_1995-02-13.mp3")</f>
        <v>1995-049_Merciful_Lord_Nityananda_CC_ML_01-08_-_Radhanath_Swami_Mumbai_1995-02-13.mp3</v>
      </c>
      <c r="D4094" s="24"/>
      <c r="E4094" s="24"/>
    </row>
    <row r="4095">
      <c r="A4095" s="25" t="s">
        <v>18392</v>
      </c>
      <c r="B4095" s="25" t="s">
        <v>18446</v>
      </c>
      <c r="C4095" s="26" t="str">
        <f>HYPERLINK("https://audio.iskcondesiretree.com/02_-_ISKCON_Swamis/ISKCON_Swamis_-_R_to_Y/His_Holiness_Radhanath_Swami/Lectures/01_-_Theme_wise/Lord_Nityananda/1996-005_Gaur_Nitai_Lecture_-_Radhanath_Swami_Pune_1996-01-03.mp3", "1996-005_Gaur_Nitai_Lecture_-_Radhanath_Swami_Pune_1996-01-03.mp3")</f>
        <v>1996-005_Gaur_Nitai_Lecture_-_Radhanath_Swami_Pune_1996-01-03.mp3</v>
      </c>
      <c r="D4095" s="24"/>
      <c r="E4095" s="24"/>
    </row>
    <row r="4096">
      <c r="A4096" s="25" t="s">
        <v>18392</v>
      </c>
      <c r="B4096" s="25" t="s">
        <v>18446</v>
      </c>
      <c r="C4096" s="26" t="str">
        <f>HYPERLINK("https://audio.iskcondesiretree.com/02_-_ISKCON_Swamis/ISKCON_Swamis_-_R_to_Y/His_Holiness_Radhanath_Swami/Lectures/01_-_Theme_wise/Lord_Nityananda/1996-052_Mercy_Of_Lord_Nityananda_Lecture_-_Radhanath_Swami_Mumbai_1996-03-10_IDesireTree.mp3", "1996-052_Mercy_Of_Lord_Nityananda_Lecture_-_Radhanath_Swami_Mumbai_1996-03-10_IDesireTree.mp3")</f>
        <v>1996-052_Mercy_Of_Lord_Nityananda_Lecture_-_Radhanath_Swami_Mumbai_1996-03-10_IDesireTree.mp3</v>
      </c>
      <c r="D4096" s="24"/>
      <c r="E4096" s="24"/>
    </row>
    <row r="4097">
      <c r="A4097" s="25" t="s">
        <v>18392</v>
      </c>
      <c r="B4097" s="25" t="s">
        <v>18446</v>
      </c>
      <c r="C4097" s="26" t="str">
        <f>HYPERLINK("https://audio.iskcondesiretree.com/02_-_ISKCON_Swamis/ISKCON_Swamis_-_R_to_Y/His_Holiness_Radhanath_Swami/Lectures/01_-_Theme_wise/Lord_Nityananda/1996-083_Most_Merciful-_Nitai_Gaurachandra_Lecture_-_Radhanath_Swami_Mumbai_1996-04-14_IDesireTree.mp3", "1996-083_Most_Merciful-_Nitai_Gaurachandra_Lecture_-_Radhanath_Swami_Mumbai_1996-04-14_IDesireTree.mp3")</f>
        <v>1996-083_Most_Merciful-_Nitai_Gaurachandra_Lecture_-_Radhanath_Swami_Mumbai_1996-04-14_IDesireTree.mp3</v>
      </c>
      <c r="D4097" s="24"/>
      <c r="E4097" s="24"/>
    </row>
    <row r="4098">
      <c r="A4098" s="25" t="s">
        <v>18392</v>
      </c>
      <c r="B4098" s="25" t="s">
        <v>18446</v>
      </c>
      <c r="C4098" s="26" t="str">
        <f>HYPERLINK("https://audio.iskcondesiretree.com/02_-_ISKCON_Swamis/ISKCON_Swamis_-_R_to_Y/His_Holiness_Radhanath_Swami/Lectures/01_-_Theme_wise/Lord_Nityananda/1997-045_Lord_Nityananda_Lecture_-_Radhanath_Swami_Mumbai_1997-02-20_IDesireTree.mp3", "1997-045_Lord_Nityananda_Lecture_-_Radhanath_Swami_Mumbai_1997-02-20_IDesireTree.mp3")</f>
        <v>1997-045_Lord_Nityananda_Lecture_-_Radhanath_Swami_Mumbai_1997-02-20_IDesireTree.mp3</v>
      </c>
      <c r="D4098" s="24"/>
      <c r="E4098" s="24"/>
    </row>
    <row r="4099">
      <c r="A4099" s="25" t="s">
        <v>18392</v>
      </c>
      <c r="B4099" s="25" t="s">
        <v>18446</v>
      </c>
      <c r="C4099" s="26" t="str">
        <f>HYPERLINK("https://audio.iskcondesiretree.com/02_-_ISKCON_Swamis/ISKCON_Swamis_-_R_to_Y/His_Holiness_Radhanath_Swami/Lectures/01_-_Theme_wise/Lord_Nityananda/1997-046_Nitai_Delivers_Jagai_and_Madhai_Lecture_-_Radhanath_Swami_Mumbai_1997-02-20_IDesireTree.mp3", "1997-046_Nitai_Delivers_Jagai_and_Madhai_Lecture_-_Radhanath_Swami_Mumbai_1997-02-20_IDesireTree.mp3")</f>
        <v>1997-046_Nitai_Delivers_Jagai_and_Madhai_Lecture_-_Radhanath_Swami_Mumbai_1997-02-20_IDesireTree.mp3</v>
      </c>
      <c r="D4099" s="24"/>
      <c r="E4099" s="24"/>
    </row>
    <row r="4100">
      <c r="A4100" s="25" t="s">
        <v>18392</v>
      </c>
      <c r="B4100" s="25" t="s">
        <v>18446</v>
      </c>
      <c r="C4100" s="26" t="str">
        <f>HYPERLINK("https://audio.iskcondesiretree.com/02_-_ISKCON_Swamis/ISKCON_Swamis_-_R_to_Y/His_Holiness_Radhanath_Swami/Lectures/01_-_Theme_wise/Lord_Nityananda/1998-030_Pastimes_of_Lord_Nityananda_Prabhu_Lecture_-_Radhanath_Swami_Mumbai_1998-02-09_IDesireTree.mp3", "1998-030_Pastimes_of_Lord_Nityananda_Prabhu_Lecture_-_Radhanath_Swami_Mumbai_1998-02-09_IDesireTree.mp3")</f>
        <v>1998-030_Pastimes_of_Lord_Nityananda_Prabhu_Lecture_-_Radhanath_Swami_Mumbai_1998-02-09_IDesireTree.mp3</v>
      </c>
      <c r="D4100" s="24"/>
      <c r="E4100" s="24"/>
    </row>
    <row r="4101">
      <c r="A4101" s="25" t="s">
        <v>18392</v>
      </c>
      <c r="B4101" s="25" t="s">
        <v>18446</v>
      </c>
      <c r="C4101" s="26" t="str">
        <f>HYPERLINK("https://audio.iskcondesiretree.com/02_-_ISKCON_Swamis/ISKCON_Swamis_-_R_to_Y/His_Holiness_Radhanath_Swami/Lectures/01_-_Theme_wise/Lord_Nityananda/1998-031_Pastimes_of_Lord_Nityananda_Prabhu_eve_Lecture_-_Radhanath_Swami_Mumbai_1998-02-09_IDesireTree.mp3", "1998-031_Pastimes_of_Lord_Nityananda_Prabhu_eve_Lecture_-_Radhanath_Swami_Mumbai_1998-02-09_IDesireTree.mp3")</f>
        <v>1998-031_Pastimes_of_Lord_Nityananda_Prabhu_eve_Lecture_-_Radhanath_Swami_Mumbai_1998-02-09_IDesireTree.mp3</v>
      </c>
      <c r="D4101" s="24"/>
      <c r="E4101" s="24"/>
    </row>
    <row r="4102">
      <c r="A4102" s="25" t="s">
        <v>18392</v>
      </c>
      <c r="B4102" s="25" t="s">
        <v>18446</v>
      </c>
      <c r="C4102" s="26" t="str">
        <f>HYPERLINK("https://audio.iskcondesiretree.com/02_-_ISKCON_Swamis/ISKCON_Swamis_-_R_to_Y/His_Holiness_Radhanath_Swami/Lectures/01_-_Theme_wise/Lord_Nityananda/2000-033_Glories_of_Lord_Nityananda_Lecture_-_Radhanath_Swami_Mumbai_2000-02-17_IDesireTree.mp3", "2000-033_Glories_of_Lord_Nityananda_Lecture_-_Radhanath_Swami_Mumbai_2000-02-17_IDesireTree.mp3")</f>
        <v>2000-033_Glories_of_Lord_Nityananda_Lecture_-_Radhanath_Swami_Mumbai_2000-02-17_IDesireTree.mp3</v>
      </c>
      <c r="D4102" s="24"/>
      <c r="E4102" s="24"/>
    </row>
    <row r="4103">
      <c r="A4103" s="25" t="s">
        <v>18392</v>
      </c>
      <c r="B4103" s="25" t="s">
        <v>18446</v>
      </c>
      <c r="C4103" s="26" t="str">
        <f>HYPERLINK("https://audio.iskcondesiretree.com/02_-_ISKCON_Swamis/ISKCON_Swamis_-_R_to_Y/His_Holiness_Radhanath_Swami/Lectures/01_-_Theme_wise/Lord_Nityananda/2002-043_Pastimes_%26_Teachings_Of_Lord_Nityananda_Lecture_-_Radhanath_Swami_Mumbai_2002-02-25_IDesireTree.m"&amp;"p3", "2002-043_Pastimes_%26_Teachings_Of_Lord_Nityananda_Lecture_-_Radhanath_Swami_Mumbai_2002-02-25_IDesireTree.mp3")</f>
        <v>2002-043_Pastimes_%26_Teachings_Of_Lord_Nityananda_Lecture_-_Radhanath_Swami_Mumbai_2002-02-25_IDesireTree.mp3</v>
      </c>
      <c r="D4103" s="24"/>
      <c r="E4103" s="24"/>
    </row>
    <row r="4104">
      <c r="A4104" s="25" t="s">
        <v>18392</v>
      </c>
      <c r="B4104" s="25" t="s">
        <v>18446</v>
      </c>
      <c r="C4104" s="26" t="str">
        <f>HYPERLINK("https://audio.iskcondesiretree.com/02_-_ISKCON_Swamis/ISKCON_Swamis_-_R_to_Y/His_Holiness_Radhanath_Swami/Lectures/01_-_Theme_wise/Lord_Nityananda/2003-082_Lord_Nityananda%27s_Mercy_Lecture_-_Radhanath_Swami_New_Vrindavan_2003-10-31_IDesireTree.mp3", "2003-082_Lord_Nityananda%27s_Mercy_Lecture_-_Radhanath_Swami_New_Vrindavan_2003-10-31_IDesireTree.mp3")</f>
        <v>2003-082_Lord_Nityananda%27s_Mercy_Lecture_-_Radhanath_Swami_New_Vrindavan_2003-10-31_IDesireTree.mp3</v>
      </c>
      <c r="D4104" s="24"/>
      <c r="E4104" s="24"/>
    </row>
    <row r="4105">
      <c r="A4105" s="25" t="s">
        <v>18392</v>
      </c>
      <c r="B4105" s="25" t="s">
        <v>18447</v>
      </c>
      <c r="C4105" s="26" t="str">
        <f>HYPERLINK("https://audio.iskcondesiretree.com/02_-_ISKCON_Swamis/ISKCON_Swamis_-_R_to_Y/His_Holiness_Radhanath_Swami/Lectures/01_-_Theme_wise/Lord_Ramachandra/1990-041_Lord_Rama_BG-04_10_-_Radhanath_Swami_Mumbai_1990-04-18_IDesireTree.mp3", "1990-041_Lord_Rama_BG-04_10_-_Radhanath_Swami_Mumbai_1990-04-18_IDesireTree.mp3")</f>
        <v>1990-041_Lord_Rama_BG-04_10_-_Radhanath_Swami_Mumbai_1990-04-18_IDesireTree.mp3</v>
      </c>
      <c r="D4105" s="24"/>
      <c r="E4105" s="24"/>
    </row>
    <row r="4106">
      <c r="A4106" s="25" t="s">
        <v>18392</v>
      </c>
      <c r="B4106" s="25" t="s">
        <v>18447</v>
      </c>
      <c r="C4106" s="26" t="str">
        <f>HYPERLINK("https://audio.iskcondesiretree.com/02_-_ISKCON_Swamis/ISKCON_Swamis_-_R_to_Y/His_Holiness_Radhanath_Swami/Lectures/01_-_Theme_wise/Lord_Ramachandra/1992-078_Pastimes_Of_Lord_Ramachandra_Ht_-_SB_09-11-23_-_Radhanath_Swami_Mumbai_1992-04-11_IDesireTree.mp3", "1992-078_Pastimes_Of_Lord_Ramachandra_Ht_-_SB_09-11-23_-_Radhanath_Swami_Mumbai_1992-04-11_IDesireTree.mp3")</f>
        <v>1992-078_Pastimes_Of_Lord_Ramachandra_Ht_-_SB_09-11-23_-_Radhanath_Swami_Mumbai_1992-04-11_IDesireTree.mp3</v>
      </c>
      <c r="D4106" s="24"/>
      <c r="E4106" s="24"/>
    </row>
    <row r="4107">
      <c r="A4107" s="25" t="s">
        <v>18392</v>
      </c>
      <c r="B4107" s="25" t="s">
        <v>18447</v>
      </c>
      <c r="C4107" s="26" t="str">
        <f>HYPERLINK("https://audio.iskcondesiretree.com/02_-_ISKCON_Swamis/ISKCON_Swamis_-_R_to_Y/His_Holiness_Radhanath_Swami/Lectures/01_-_Theme_wise/Lord_Ramachandra/1992-137_Lord_Rama%27s_Pastimes_Lecture_-_Radhanath_Swami_Mumbai_1992-10-05_IDesireTree.mp3", "1992-137_Lord_Rama%27s_Pastimes_Lecture_-_Radhanath_Swami_Mumbai_1992-10-05_IDesireTree.mp3")</f>
        <v>1992-137_Lord_Rama%27s_Pastimes_Lecture_-_Radhanath_Swami_Mumbai_1992-10-05_IDesireTree.mp3</v>
      </c>
      <c r="D4107" s="24"/>
      <c r="E4107" s="24"/>
    </row>
    <row r="4108">
      <c r="A4108" s="25" t="s">
        <v>18392</v>
      </c>
      <c r="B4108" s="25" t="s">
        <v>18447</v>
      </c>
      <c r="C4108" s="26" t="str">
        <f>HYPERLINK("https://audio.iskcondesiretree.com/02_-_ISKCON_Swamis/ISKCON_Swamis_-_R_to_Y/His_Holiness_Radhanath_Swami/Lectures/01_-_Theme_wise/Lord_Ramachandra/1993-036_Glories_Of_lord_Ramachandra_SB_09-10-04_-_Radhanath_Swami_Mumbai_1993-04-01_IDesireTree.mp3", "1993-036_Glories_Of_lord_Ramachandra_SB_09-10-04_-_Radhanath_Swami_Mumbai_1993-04-01_IDesireTree.mp3")</f>
        <v>1993-036_Glories_Of_lord_Ramachandra_SB_09-10-04_-_Radhanath_Swami_Mumbai_1993-04-01_IDesireTree.mp3</v>
      </c>
      <c r="D4108" s="24"/>
      <c r="E4108" s="24"/>
    </row>
    <row r="4109">
      <c r="A4109" s="25" t="s">
        <v>18392</v>
      </c>
      <c r="B4109" s="25" t="s">
        <v>18447</v>
      </c>
      <c r="C4109" s="26" t="str">
        <f>HYPERLINK("https://audio.iskcondesiretree.com/02_-_ISKCON_Swamis/ISKCON_Swamis_-_R_to_Y/His_Holiness_Radhanath_Swami/Lectures/01_-_Theme_wise/Lord_Ramachandra/1993-037_Lord_Ramachandra%27s_Devotees_Lecture_-_Radhanath_Swami_Mumbai_1993-04-01_IDesireTree.mp3", "1993-037_Lord_Ramachandra%27s_Devotees_Lecture_-_Radhanath_Swami_Mumbai_1993-04-01_IDesireTree.mp3")</f>
        <v>1993-037_Lord_Ramachandra%27s_Devotees_Lecture_-_Radhanath_Swami_Mumbai_1993-04-01_IDesireTree.mp3</v>
      </c>
      <c r="D4109" s="24"/>
      <c r="E4109" s="24"/>
    </row>
    <row r="4110">
      <c r="A4110" s="25" t="s">
        <v>18392</v>
      </c>
      <c r="B4110" s="25" t="s">
        <v>18447</v>
      </c>
      <c r="C4110" s="26" t="str">
        <f>HYPERLINK("https://audio.iskcondesiretree.com/02_-_ISKCON_Swamis/ISKCON_Swamis_-_R_to_Y/His_Holiness_Radhanath_Swami/Lectures/01_-_Theme_wise/Lord_Ramachandra/1993-158_Lord_Rama%27s_Pastimes_SB_09-11-20_-_Radhanath_Swami_Mumbai_1993-10-24_IDesireTree.mp3", "1993-158_Lord_Rama%27s_Pastimes_SB_09-11-20_-_Radhanath_Swami_Mumbai_1993-10-24_IDesireTree.mp3")</f>
        <v>1993-158_Lord_Rama%27s_Pastimes_SB_09-11-20_-_Radhanath_Swami_Mumbai_1993-10-24_IDesireTree.mp3</v>
      </c>
      <c r="D4110" s="24"/>
      <c r="E4110" s="24"/>
    </row>
    <row r="4111">
      <c r="A4111" s="25" t="s">
        <v>18392</v>
      </c>
      <c r="B4111" s="25" t="s">
        <v>18447</v>
      </c>
      <c r="C4111" s="26" t="str">
        <f>HYPERLINK("https://audio.iskcondesiretree.com/02_-_ISKCON_Swamis/ISKCON_Swamis_-_R_to_Y/His_Holiness_Radhanath_Swami/Lectures/01_-_Theme_wise/Lord_Ramachandra/1995-114_Pastimes_Of_Lord_Rama_SB_09-10-23_-_Radhanath_Swami_Mumbai_1995-10-03_IDesireTree.mp3", "1995-114_Pastimes_Of_Lord_Rama_SB_09-10-23_-_Radhanath_Swami_Mumbai_1995-10-03_IDesireTree.mp3")</f>
        <v>1995-114_Pastimes_Of_Lord_Rama_SB_09-10-23_-_Radhanath_Swami_Mumbai_1995-10-03_IDesireTree.mp3</v>
      </c>
      <c r="D4111" s="24"/>
      <c r="E4111" s="24"/>
    </row>
    <row r="4112">
      <c r="A4112" s="25" t="s">
        <v>18392</v>
      </c>
      <c r="B4112" s="25" t="s">
        <v>18447</v>
      </c>
      <c r="C4112" s="26" t="str">
        <f>HYPERLINK("https://audio.iskcondesiretree.com/02_-_ISKCON_Swamis/ISKCON_Swamis_-_R_to_Y/His_Holiness_Radhanath_Swami/Lectures/01_-_Theme_wise/Lord_Ramachandra/1996-066_Teachings_Of_Lord_Rama_Lectures_-_Radhanath_Swami_Mumbai_1996-03-30_IDesireTree.mp3", "1996-066_Teachings_Of_Lord_Rama_Lectures_-_Radhanath_Swami_Mumbai_1996-03-30_IDesireTree.mp3")</f>
        <v>1996-066_Teachings_Of_Lord_Rama_Lectures_-_Radhanath_Swami_Mumbai_1996-03-30_IDesireTree.mp3</v>
      </c>
      <c r="D4112" s="24"/>
      <c r="E4112" s="24"/>
    </row>
    <row r="4113">
      <c r="A4113" s="25" t="s">
        <v>18392</v>
      </c>
      <c r="B4113" s="25" t="s">
        <v>18447</v>
      </c>
      <c r="C4113" s="26" t="str">
        <f>HYPERLINK("https://audio.iskcondesiretree.com/02_-_ISKCON_Swamis/ISKCON_Swamis_-_R_to_Y/His_Holiness_Radhanath_Swami/Lectures/01_-_Theme_wise/Lord_Ramachandra/1996-068_Pastimes_Of_Lord_Rama_SB_09-10-02_-_Radhanath_Swami_Mumbai_1996-03-29_IDesireTree.mp3", "1996-068_Pastimes_Of_Lord_Rama_SB_09-10-02_-_Radhanath_Swami_Mumbai_1996-03-29_IDesireTree.mp3")</f>
        <v>1996-068_Pastimes_Of_Lord_Rama_SB_09-10-02_-_Radhanath_Swami_Mumbai_1996-03-29_IDesireTree.mp3</v>
      </c>
      <c r="D4113" s="24"/>
      <c r="E4113" s="24"/>
    </row>
    <row r="4114">
      <c r="A4114" s="25" t="s">
        <v>18392</v>
      </c>
      <c r="B4114" s="25" t="s">
        <v>18447</v>
      </c>
      <c r="C4114" s="26" t="str">
        <f>HYPERLINK("https://audio.iskcondesiretree.com/02_-_ISKCON_Swamis/ISKCON_Swamis_-_R_to_Y/His_Holiness_Radhanath_Swami/Lectures/01_-_Theme_wise/Lord_Ramachandra/1999-023_Lecture_Ram_Lila_-_Radhanath_Swami_Mumbai_1999-03-25_IDesireTree.mp3", "1999-023_Lecture_Ram_Lila_-_Radhanath_Swami_Mumbai_1999-03-25_IDesireTree.mp3")</f>
        <v>1999-023_Lecture_Ram_Lila_-_Radhanath_Swami_Mumbai_1999-03-25_IDesireTree.mp3</v>
      </c>
      <c r="D4114" s="24"/>
      <c r="E4114" s="24"/>
    </row>
    <row r="4115">
      <c r="A4115" s="25" t="s">
        <v>18392</v>
      </c>
      <c r="B4115" s="25" t="s">
        <v>18447</v>
      </c>
      <c r="C4115" s="26" t="str">
        <f>HYPERLINK("https://audio.iskcondesiretree.com/02_-_ISKCON_Swamis/ISKCON_Swamis_-_R_to_Y/His_Holiness_Radhanath_Swami/Lectures/01_-_Theme_wise/Lord_Ramachandra/2003-069_Sri_Ramacandra_Vijayotsava_Sunday_Feast_-_Radhanath_Swami_Mumbai_2003-10-05_IDesireTree.mp3", "2003-069_Sri_Ramacandra_Vijayotsava_Sunday_Feast_-_Radhanath_Swami_Mumbai_2003-10-05_IDesireTree.mp3")</f>
        <v>2003-069_Sri_Ramacandra_Vijayotsava_Sunday_Feast_-_Radhanath_Swami_Mumbai_2003-10-05_IDesireTree.mp3</v>
      </c>
      <c r="D4115" s="24"/>
      <c r="E4115" s="24"/>
    </row>
    <row r="4116">
      <c r="A4116" s="25" t="s">
        <v>18392</v>
      </c>
      <c r="B4116" s="25" t="s">
        <v>18448</v>
      </c>
      <c r="C4116" s="26" t="str">
        <f>HYPERLINK("https://audio.iskcondesiretree.com/02_-_ISKCON_Swamis/ISKCON_Swamis_-_R_to_Y/His_Holiness_Radhanath_Swami/Lectures/01_-_Theme_wise/Love/1989-059_True_Parented_Love_SB_07-10-18_-_Radhanath_Swami_Mumbai_1989-09-30_IDesireTree.mp3", "1989-059_True_Parented_Love_SB_07-10-18_-_Radhanath_Swami_Mumbai_1989-09-30_IDesireTree.mp3")</f>
        <v>1989-059_True_Parented_Love_SB_07-10-18_-_Radhanath_Swami_Mumbai_1989-09-30_IDesireTree.mp3</v>
      </c>
      <c r="D4116" s="24"/>
      <c r="E4116" s="24"/>
    </row>
    <row r="4117">
      <c r="A4117" s="25" t="s">
        <v>18392</v>
      </c>
      <c r="B4117" s="25" t="s">
        <v>18448</v>
      </c>
      <c r="C4117" s="26" t="str">
        <f>HYPERLINK("https://audio.iskcondesiretree.com/02_-_ISKCON_Swamis/ISKCON_Swamis_-_R_to_Y/His_Holiness_Radhanath_Swami/Lectures/01_-_Theme_wise/Love/1989-068_God_Is_Love_Lecture_-_Radhanath_Swami_Mumbai_1989-10-15_IDesireTree.mp3", "1989-068_God_Is_Love_Lecture_-_Radhanath_Swami_Mumbai_1989-10-15_IDesireTree.mp3")</f>
        <v>1989-068_God_Is_Love_Lecture_-_Radhanath_Swami_Mumbai_1989-10-15_IDesireTree.mp3</v>
      </c>
      <c r="D4117" s="24"/>
      <c r="E4117" s="24"/>
    </row>
    <row r="4118">
      <c r="A4118" s="25" t="s">
        <v>18392</v>
      </c>
      <c r="B4118" s="25" t="s">
        <v>18448</v>
      </c>
      <c r="C4118" s="26" t="str">
        <f>HYPERLINK("https://audio.iskcondesiretree.com/02_-_ISKCON_Swamis/ISKCON_Swamis_-_R_to_Y/His_Holiness_Radhanath_Swami/Lectures/01_-_Theme_wise/Love/1990-074_Perfect_Love_Lecture_-_Radhanath_Swami_Mumbai_1990-08-28_IDesireTree.mp3", "1990-074_Perfect_Love_Lecture_-_Radhanath_Swami_Mumbai_1990-08-28_IDesireTree.mp3")</f>
        <v>1990-074_Perfect_Love_Lecture_-_Radhanath_Swami_Mumbai_1990-08-28_IDesireTree.mp3</v>
      </c>
      <c r="D4118" s="24"/>
      <c r="E4118" s="24"/>
    </row>
    <row r="4119">
      <c r="A4119" s="25" t="s">
        <v>18392</v>
      </c>
      <c r="B4119" s="25" t="s">
        <v>18448</v>
      </c>
      <c r="C4119" s="26" t="str">
        <f>HYPERLINK("https://audio.iskcondesiretree.com/02_-_ISKCON_Swamis/ISKCON_Swamis_-_R_to_Y/His_Holiness_Radhanath_Swami/Lectures/01_-_Theme_wise/Love/1991-023_Surrender_To_His_Love_And_Mercy_Lecture_-_Radhanath_Swami_Mumbai_1991-02-27_IDesireTree.mp3", "1991-023_Surrender_To_His_Love_And_Mercy_Lecture_-_Radhanath_Swami_Mumbai_1991-02-27_IDesireTree.mp3")</f>
        <v>1991-023_Surrender_To_His_Love_And_Mercy_Lecture_-_Radhanath_Swami_Mumbai_1991-02-27_IDesireTree.mp3</v>
      </c>
      <c r="D4119" s="24"/>
      <c r="E4119" s="24"/>
    </row>
    <row r="4120">
      <c r="A4120" s="25" t="s">
        <v>18392</v>
      </c>
      <c r="B4120" s="25" t="s">
        <v>18448</v>
      </c>
      <c r="C4120" s="26" t="str">
        <f>HYPERLINK("https://audio.iskcondesiretree.com/02_-_ISKCON_Swamis/ISKCON_Swamis_-_R_to_Y/His_Holiness_Radhanath_Swami/Lectures/01_-_Theme_wise/Love/1991-071_Unmotivated_Love_For_God_SB_09-13-09_-_Radhanath_Swami_Mumbai_1991-05-30_IDesireTree.mp3", "1991-071_Unmotivated_Love_For_God_SB_09-13-09_-_Radhanath_Swami_Mumbai_1991-05-30_IDesireTree.mp3")</f>
        <v>1991-071_Unmotivated_Love_For_God_SB_09-13-09_-_Radhanath_Swami_Mumbai_1991-05-30_IDesireTree.mp3</v>
      </c>
      <c r="D4120" s="24"/>
      <c r="E4120" s="24"/>
    </row>
    <row r="4121">
      <c r="A4121" s="25" t="s">
        <v>18392</v>
      </c>
      <c r="B4121" s="25" t="s">
        <v>18448</v>
      </c>
      <c r="C4121" s="26" t="str">
        <f>HYPERLINK("https://audio.iskcondesiretree.com/02_-_ISKCON_Swamis/ISKCON_Swamis_-_R_to_Y/His_Holiness_Radhanath_Swami/Lectures/01_-_Theme_wise/Love/1992-051_Misdirected_Love_SB_10-07-32_-_Radhanath_Swami_Mumbai_1992-04-04_IDesireTree.mp3", "1992-051_Misdirected_Love_SB_10-07-32_-_Radhanath_Swami_Mumbai_1992-04-04_IDesireTree.mp3")</f>
        <v>1992-051_Misdirected_Love_SB_10-07-32_-_Radhanath_Swami_Mumbai_1992-04-04_IDesireTree.mp3</v>
      </c>
      <c r="D4121" s="24"/>
      <c r="E4121" s="24"/>
    </row>
    <row r="4122">
      <c r="A4122" s="25" t="s">
        <v>18392</v>
      </c>
      <c r="B4122" s="25" t="s">
        <v>18448</v>
      </c>
      <c r="C4122" s="26" t="str">
        <f>HYPERLINK("https://audio.iskcondesiretree.com/02_-_ISKCON_Swamis/ISKCON_Swamis_-_R_to_Y/His_Holiness_Radhanath_Swami/Lectures/01_-_Theme_wise/Love/1992-072_Developing_Affection_SB_10_13-31-32_-_Radhanath_Swami_Mumbai_1992-08-15_IDesireTree.mp3", "1992-072_Developing_Affection_SB_10_13-31-32_-_Radhanath_Swami_Mumbai_1992-08-15_IDesireTree.mp3")</f>
        <v>1992-072_Developing_Affection_SB_10_13-31-32_-_Radhanath_Swami_Mumbai_1992-08-15_IDesireTree.mp3</v>
      </c>
      <c r="D4122" s="24"/>
      <c r="E4122" s="24"/>
    </row>
    <row r="4123">
      <c r="A4123" s="25" t="s">
        <v>18392</v>
      </c>
      <c r="B4123" s="25" t="s">
        <v>18448</v>
      </c>
      <c r="C4123" s="26" t="str">
        <f>HYPERLINK("https://audio.iskcondesiretree.com/02_-_ISKCON_Swamis/ISKCON_Swamis_-_R_to_Y/His_Holiness_Radhanath_Swami/Lectures/01_-_Theme_wise/Love/1992-102_Developing_Love_Lecture_-_Radhanath_Swami_Mumbai_1992-08-29_IDesireTree.mp3", "1992-102_Developing_Love_Lecture_-_Radhanath_Swami_Mumbai_1992-08-29_IDesireTree.mp3")</f>
        <v>1992-102_Developing_Love_Lecture_-_Radhanath_Swami_Mumbai_1992-08-29_IDesireTree.mp3</v>
      </c>
      <c r="D4123" s="24"/>
      <c r="E4123" s="24"/>
    </row>
    <row r="4124">
      <c r="A4124" s="25" t="s">
        <v>18392</v>
      </c>
      <c r="B4124" s="25" t="s">
        <v>18448</v>
      </c>
      <c r="C4124" s="26" t="str">
        <f>HYPERLINK("https://audio.iskcondesiretree.com/02_-_ISKCON_Swamis/ISKCON_Swamis_-_R_to_Y/His_Holiness_Radhanath_Swami/Lectures/01_-_Theme_wise/Love/1992-107_Love_Of_God_Ht_-_Lecture_-_Radhanath_Swami_Palghar_1992-09-22_IDesireTree.mp3", "1992-107_Love_Of_God_Ht_-_Lecture_-_Radhanath_Swami_Palghar_1992-09-22_IDesireTree.mp3")</f>
        <v>1992-107_Love_Of_God_Ht_-_Lecture_-_Radhanath_Swami_Palghar_1992-09-22_IDesireTree.mp3</v>
      </c>
      <c r="D4124" s="24"/>
      <c r="E4124" s="24"/>
    </row>
    <row r="4125">
      <c r="A4125" s="25" t="s">
        <v>18392</v>
      </c>
      <c r="B4125" s="25" t="s">
        <v>18448</v>
      </c>
      <c r="C4125" s="26" t="str">
        <f>HYPERLINK("https://audio.iskcondesiretree.com/02_-_ISKCON_Swamis/ISKCON_Swamis_-_R_to_Y/His_Holiness_Radhanath_Swami/Lectures/01_-_Theme_wise/Love/1992-132_Love_And_Compassion_SB_06-10-08-10_-_Radhanath_Swami_Mumbai_1992-11-28_IDesireTree.mp3", "1992-132_Love_And_Compassion_SB_06-10-08-10_-_Radhanath_Swami_Mumbai_1992-11-28_IDesireTree.mp3")</f>
        <v>1992-132_Love_And_Compassion_SB_06-10-08-10_-_Radhanath_Swami_Mumbai_1992-11-28_IDesireTree.mp3</v>
      </c>
      <c r="D4125" s="24"/>
      <c r="E4125" s="24"/>
    </row>
    <row r="4126">
      <c r="A4126" s="25" t="s">
        <v>18392</v>
      </c>
      <c r="B4126" s="25" t="s">
        <v>18448</v>
      </c>
      <c r="C4126" s="26" t="str">
        <f>HYPERLINK("https://audio.iskcondesiretree.com/02_-_ISKCON_Swamis/ISKCON_Swamis_-_R_to_Y/His_Holiness_Radhanath_Swami/Lectures/01_-_Theme_wise/Love/1992-163_Developing_Love_Lecture_-_Radhanath_Swami_Mumbai_1992-12-30_IDesireTree.mp3", "1992-163_Developing_Love_Lecture_-_Radhanath_Swami_Mumbai_1992-12-30_IDesireTree.mp3")</f>
        <v>1992-163_Developing_Love_Lecture_-_Radhanath_Swami_Mumbai_1992-12-30_IDesireTree.mp3</v>
      </c>
      <c r="D4126" s="24"/>
      <c r="E4126" s="24"/>
    </row>
    <row r="4127">
      <c r="A4127" s="25" t="s">
        <v>18392</v>
      </c>
      <c r="B4127" s="25" t="s">
        <v>18448</v>
      </c>
      <c r="C4127" s="26" t="str">
        <f>HYPERLINK("https://audio.iskcondesiretree.com/02_-_ISKCON_Swamis/ISKCON_Swamis_-_R_to_Y/His_Holiness_Radhanath_Swami/Lectures/01_-_Theme_wise/Love/1993-020_Valentines_Day_Lecture_-_Radhanath_Swami_Mumbai_1993-02-14_IDesireTree.mp3", "1993-020_Valentines_Day_Lecture_-_Radhanath_Swami_Mumbai_1993-02-14_IDesireTree.mp3")</f>
        <v>1993-020_Valentines_Day_Lecture_-_Radhanath_Swami_Mumbai_1993-02-14_IDesireTree.mp3</v>
      </c>
      <c r="D4127" s="24"/>
      <c r="E4127" s="24"/>
    </row>
    <row r="4128">
      <c r="A4128" s="25" t="s">
        <v>18392</v>
      </c>
      <c r="B4128" s="25" t="s">
        <v>18448</v>
      </c>
      <c r="C4128" s="26" t="str">
        <f>HYPERLINK("https://audio.iskcondesiretree.com/02_-_ISKCON_Swamis/ISKCON_Swamis_-_R_to_Y/His_Holiness_Radhanath_Swami/Lectures/01_-_Theme_wise/Love/1993-083_How_To_Attain_Love_Of_God_SB_03-01-04_-_Radhanath_Swami_Mumbai_1993-05-07_IDesireTree.mp3", "1993-083_How_To_Attain_Love_Of_God_SB_03-01-04_-_Radhanath_Swami_Mumbai_1993-05-07_IDesireTree.mp3")</f>
        <v>1993-083_How_To_Attain_Love_Of_God_SB_03-01-04_-_Radhanath_Swami_Mumbai_1993-05-07_IDesireTree.mp3</v>
      </c>
      <c r="D4128" s="24"/>
      <c r="E4128" s="24"/>
    </row>
    <row r="4129">
      <c r="A4129" s="25" t="s">
        <v>18392</v>
      </c>
      <c r="B4129" s="25" t="s">
        <v>18448</v>
      </c>
      <c r="C4129" s="26" t="str">
        <f>HYPERLINK("https://audio.iskcondesiretree.com/02_-_ISKCON_Swamis/ISKCON_Swamis_-_R_to_Y/His_Holiness_Radhanath_Swami/Lectures/01_-_Theme_wise/Love/1993-097_Selfless_Love_For_Others_SB_10-33-26-27_-_Radhanath_Swami_Mumbai_1993-05-24_IDesireTree.mp3", "1993-097_Selfless_Love_For_Others_SB_10-33-26-27_-_Radhanath_Swami_Mumbai_1993-05-24_IDesireTree.mp3")</f>
        <v>1993-097_Selfless_Love_For_Others_SB_10-33-26-27_-_Radhanath_Swami_Mumbai_1993-05-24_IDesireTree.mp3</v>
      </c>
      <c r="D4129" s="24"/>
      <c r="E4129" s="24"/>
    </row>
    <row r="4130">
      <c r="A4130" s="25" t="s">
        <v>18392</v>
      </c>
      <c r="B4130" s="25" t="s">
        <v>18448</v>
      </c>
      <c r="C4130" s="26" t="str">
        <f>HYPERLINK("https://audio.iskcondesiretree.com/02_-_ISKCON_Swamis/ISKCON_Swamis_-_R_to_Y/His_Holiness_Radhanath_Swami/Lectures/01_-_Theme_wise/Love/1993-124_Showing_Love_For_Each_Other_Lecture_-_Radhanath_Swami_Mumbai_1993-06-20_IDesireTree.mp3", "1993-124_Showing_Love_For_Each_Other_Lecture_-_Radhanath_Swami_Mumbai_1993-06-20_IDesireTree.mp3")</f>
        <v>1993-124_Showing_Love_For_Each_Other_Lecture_-_Radhanath_Swami_Mumbai_1993-06-20_IDesireTree.mp3</v>
      </c>
      <c r="D4130" s="24"/>
      <c r="E4130" s="24"/>
    </row>
    <row r="4131">
      <c r="A4131" s="25" t="s">
        <v>18392</v>
      </c>
      <c r="B4131" s="25" t="s">
        <v>18448</v>
      </c>
      <c r="C4131" s="26" t="str">
        <f>HYPERLINK("https://audio.iskcondesiretree.com/02_-_ISKCON_Swamis/ISKCON_Swamis_-_R_to_Y/His_Holiness_Radhanath_Swami/Lectures/01_-_Theme_wise/Love/1997-127_Burden_Of_Love_SB_03-03-14_-_Radhanath_Swami_Mumbai_1997-10-16_IDesireTree.mp3", "1997-127_Burden_Of_Love_SB_03-03-14_-_Radhanath_Swami_Mumbai_1997-10-16_IDesireTree.mp3")</f>
        <v>1997-127_Burden_Of_Love_SB_03-03-14_-_Radhanath_Swami_Mumbai_1997-10-16_IDesireTree.mp3</v>
      </c>
      <c r="D4131" s="24"/>
      <c r="E4131" s="24"/>
    </row>
    <row r="4132">
      <c r="A4132" s="25" t="s">
        <v>18392</v>
      </c>
      <c r="B4132" s="25" t="s">
        <v>18448</v>
      </c>
      <c r="C4132" s="26" t="str">
        <f>HYPERLINK("https://audio.iskcondesiretree.com/02_-_ISKCON_Swamis/ISKCON_Swamis_-_R_to_Y/His_Holiness_Radhanath_Swami/Lectures/01_-_Theme_wise/Love/1998-075_Real_Affection_SB_03-09-42_-_Radhanath_Swami_Mumbai_1998-07-26_IDesireTree.mp3", "1998-075_Real_Affection_SB_03-09-42_-_Radhanath_Swami_Mumbai_1998-07-26_IDesireTree.mp3")</f>
        <v>1998-075_Real_Affection_SB_03-09-42_-_Radhanath_Swami_Mumbai_1998-07-26_IDesireTree.mp3</v>
      </c>
      <c r="D4132" s="24"/>
      <c r="E4132" s="24"/>
    </row>
    <row r="4133">
      <c r="A4133" s="25" t="s">
        <v>18392</v>
      </c>
      <c r="B4133" s="25" t="s">
        <v>18448</v>
      </c>
      <c r="C4133" s="26" t="str">
        <f>HYPERLINK("https://audio.iskcondesiretree.com/02_-_ISKCON_Swamis/ISKCON_Swamis_-_R_to_Y/His_Holiness_Radhanath_Swami/Lectures/01_-_Theme_wise/Love/1999-021_Dying-_Giving_Our_Lives_for_Krishna_BG_-_Radhanath_Swami_Mumbai_1999-03-14_IDesireTree.mp3", "1999-021_Dying-_Giving_Our_Lives_for_Krishna_BG_-_Radhanath_Swami_Mumbai_1999-03-14_IDesireTree.mp3")</f>
        <v>1999-021_Dying-_Giving_Our_Lives_for_Krishna_BG_-_Radhanath_Swami_Mumbai_1999-03-14_IDesireTree.mp3</v>
      </c>
      <c r="D4133" s="24"/>
      <c r="E4133" s="24"/>
    </row>
    <row r="4134">
      <c r="A4134" s="25" t="s">
        <v>18392</v>
      </c>
      <c r="B4134" s="25" t="s">
        <v>18448</v>
      </c>
      <c r="C4134" s="26" t="str">
        <f>HYPERLINK("https://audio.iskcondesiretree.com/02_-_ISKCON_Swamis/ISKCON_Swamis_-_R_to_Y/His_Holiness_Radhanath_Swami/Lectures/01_-_Theme_wise/Love/1999-036_Soul_Searching_For_Krsna%27s_Love_Lecture_-_Radhanath_Swami_Mumbai_1999-07-03_IDesireTree.mp3", "1999-036_Soul_Searching_For_Krsna%27s_Love_Lecture_-_Radhanath_Swami_Mumbai_1999-07-03_IDesireTree.mp3")</f>
        <v>1999-036_Soul_Searching_For_Krsna%27s_Love_Lecture_-_Radhanath_Swami_Mumbai_1999-07-03_IDesireTree.mp3</v>
      </c>
      <c r="D4134" s="24"/>
      <c r="E4134" s="24"/>
    </row>
    <row r="4135">
      <c r="A4135" s="25" t="s">
        <v>18392</v>
      </c>
      <c r="B4135" s="25" t="s">
        <v>18448</v>
      </c>
      <c r="C4135" s="26" t="str">
        <f>HYPERLINK("https://audio.iskcondesiretree.com/02_-_ISKCON_Swamis/ISKCON_Swamis_-_R_to_Y/His_Holiness_Radhanath_Swami/Lectures/01_-_Theme_wise/Love/2002-021_Motherly_Love_Knows_No_Bounds_SB_04-09-51-52_-_Radhanath_Swami_Mumbai_2002-01-27_IDesireTree.mp3", "2002-021_Motherly_Love_Knows_No_Bounds_SB_04-09-51-52_-_Radhanath_Swami_Mumbai_2002-01-27_IDesireTree.mp3")</f>
        <v>2002-021_Motherly_Love_Knows_No_Bounds_SB_04-09-51-52_-_Radhanath_Swami_Mumbai_2002-01-27_IDesireTree.mp3</v>
      </c>
      <c r="D4135" s="24"/>
      <c r="E4135" s="24"/>
    </row>
    <row r="4136">
      <c r="A4136" s="25" t="s">
        <v>18392</v>
      </c>
      <c r="B4136" s="25" t="s">
        <v>18448</v>
      </c>
      <c r="C4136" s="26" t="str">
        <f>HYPERLINK("https://audio.iskcondesiretree.com/02_-_ISKCON_Swamis/ISKCON_Swamis_-_R_to_Y/His_Holiness_Radhanath_Swami/Lectures/01_-_Theme_wise/Love/2002-112_We_Want_To_Welcome_That_Wealth_Of_Love_Lecture_-_Radhanath_Swami_Mumbai_2002-11-23_IDesireTree.mp3", "2002-112_We_Want_To_Welcome_That_Wealth_Of_Love_Lecture_-_Radhanath_Swami_Mumbai_2002-11-23_IDesireTree.mp3")</f>
        <v>2002-112_We_Want_To_Welcome_That_Wealth_Of_Love_Lecture_-_Radhanath_Swami_Mumbai_2002-11-23_IDesireTree.mp3</v>
      </c>
      <c r="D4136" s="24"/>
      <c r="E4136" s="24"/>
    </row>
    <row r="4137">
      <c r="A4137" s="25" t="s">
        <v>18392</v>
      </c>
      <c r="B4137" s="25" t="s">
        <v>18448</v>
      </c>
      <c r="C4137" s="26" t="str">
        <f>HYPERLINK("https://audio.iskcondesiretree.com/02_-_ISKCON_Swamis/ISKCON_Swamis_-_R_to_Y/His_Holiness_Radhanath_Swami/Lectures/01_-_Theme_wise/Love/2002-113_Lord_Conquered_By_Devotees_Love_Lecture_-_Radhanath_Swami_Mumbai_2002-11-23_IDesireTree.mp3", "2002-113_Lord_Conquered_By_Devotees_Love_Lecture_-_Radhanath_Swami_Mumbai_2002-11-23_IDesireTree.mp3")</f>
        <v>2002-113_Lord_Conquered_By_Devotees_Love_Lecture_-_Radhanath_Swami_Mumbai_2002-11-23_IDesireTree.mp3</v>
      </c>
      <c r="D4137" s="24"/>
      <c r="E4137" s="24"/>
    </row>
    <row r="4138">
      <c r="A4138" s="25" t="s">
        <v>18392</v>
      </c>
      <c r="B4138" s="25" t="s">
        <v>18448</v>
      </c>
      <c r="C4138" s="26" t="str">
        <f>HYPERLINK("https://audio.iskcondesiretree.com/02_-_ISKCON_Swamis/ISKCON_Swamis_-_R_to_Y/His_Holiness_Radhanath_Swami/Lectures/01_-_Theme_wise/Love/2002-116_The_Power_Of_Love_Prerna_Lecture_-_Radhanath_Swami_Mumbai_2002-11-29_IDesireTree.mp3", "2002-116_The_Power_Of_Love_Prerna_Lecture_-_Radhanath_Swami_Mumbai_2002-11-29_IDesireTree.mp3")</f>
        <v>2002-116_The_Power_Of_Love_Prerna_Lecture_-_Radhanath_Swami_Mumbai_2002-11-29_IDesireTree.mp3</v>
      </c>
      <c r="D4138" s="24"/>
      <c r="E4138" s="24"/>
    </row>
    <row r="4139">
      <c r="A4139" s="25" t="s">
        <v>18392</v>
      </c>
      <c r="B4139" s="25" t="s">
        <v>18448</v>
      </c>
      <c r="C4139" s="26" t="str">
        <f>HYPERLINK("https://audio.iskcondesiretree.com/02_-_ISKCON_Swamis/ISKCON_Swamis_-_R_to_Y/His_Holiness_Radhanath_Swami/Lectures/01_-_Theme_wise/Love/2003-075_Supreme_Love_of_the_Vrajavasis_Sunday_Feast_-_Radhanath_Swami_Mumbai_2003-10-19_IDesireTree.mp3", "2003-075_Supreme_Love_of_the_Vrajavasis_Sunday_Feast_-_Radhanath_Swami_Mumbai_2003-10-19_IDesireTree.mp3")</f>
        <v>2003-075_Supreme_Love_of_the_Vrajavasis_Sunday_Feast_-_Radhanath_Swami_Mumbai_2003-10-19_IDesireTree.mp3</v>
      </c>
      <c r="D4139" s="24"/>
      <c r="E4139" s="24"/>
    </row>
    <row r="4140">
      <c r="A4140" s="25" t="s">
        <v>18392</v>
      </c>
      <c r="B4140" s="25" t="s">
        <v>18448</v>
      </c>
      <c r="C4140" s="26" t="str">
        <f>HYPERLINK("https://audio.iskcondesiretree.com/02_-_ISKCON_Swamis/ISKCON_Swamis_-_R_to_Y/His_Holiness_Radhanath_Swami/Lectures/01_-_Theme_wise/Love/2003-080_The_Nature_of_Prabhupada%27s_Love_Lecture_-_Radhanath_Swami_New_Vrindavan_2003-10-29_IDesireTree.mp3", "2003-080_The_Nature_of_Prabhupada%27s_Love_Lecture_-_Radhanath_Swami_New_Vrindavan_2003-10-29_IDesireTree.mp3")</f>
        <v>2003-080_The_Nature_of_Prabhupada%27s_Love_Lecture_-_Radhanath_Swami_New_Vrindavan_2003-10-29_IDesireTree.mp3</v>
      </c>
      <c r="D4140" s="24"/>
      <c r="E4140" s="24"/>
    </row>
    <row r="4141">
      <c r="A4141" s="25" t="s">
        <v>18392</v>
      </c>
      <c r="B4141" s="25" t="s">
        <v>18449</v>
      </c>
      <c r="C4141" s="26" t="str">
        <f>HYPERLINK("https://audio.iskcondesiretree.com/02_-_ISKCON_Swamis/ISKCON_Swamis_-_R_to_Y/His_Holiness_Radhanath_Swami/Lectures/01_-_Theme_wise/Marriage_and_Relationships/01.Balancing_Grhastha_Life_With_Spiritual_Life_-_Mumbai_12-03-04_IDesireTree.mp3", "01.Balancing_Grhastha_Life_With_Spiritual_Life_-_Mumbai_12-03-04_IDesireTree.mp3")</f>
        <v>01.Balancing_Grhastha_Life_With_Spiritual_Life_-_Mumbai_12-03-04_IDesireTree.mp3</v>
      </c>
      <c r="D4141" s="24"/>
      <c r="E4141" s="24"/>
    </row>
    <row r="4142">
      <c r="A4142" s="25" t="s">
        <v>18392</v>
      </c>
      <c r="B4142" s="25" t="s">
        <v>18449</v>
      </c>
      <c r="C4142" s="26" t="str">
        <f>HYPERLINK("https://audio.iskcondesiretree.com/02_-_ISKCON_Swamis/ISKCON_Swamis_-_R_to_Y/His_Holiness_Radhanath_Swami/Lectures/01_-_Theme_wise/Marriage_and_Relationships/02.Marriage_Address_-_Krishna_Kaniya_Pr_%26_Anjali_Mataji_-_07-02-06_IDesireTree.mp3", "02.Marriage_Address_-_Krishna_Kaniya_Pr_%26_Anjali_Mataji_-_07-02-06_IDesireTree.mp3")</f>
        <v>02.Marriage_Address_-_Krishna_Kaniya_Pr_%26_Anjali_Mataji_-_07-02-06_IDesireTree.mp3</v>
      </c>
      <c r="D4142" s="24"/>
      <c r="E4142" s="24"/>
    </row>
    <row r="4143">
      <c r="A4143" s="25" t="s">
        <v>18392</v>
      </c>
      <c r="B4143" s="25" t="s">
        <v>18449</v>
      </c>
      <c r="C4143" s="26" t="str">
        <f>HYPERLINK("https://audio.iskcondesiretree.com/02_-_ISKCON_Swamis/ISKCON_Swamis_-_R_to_Y/His_Holiness_Radhanath_Swami/Lectures/01_-_Theme_wise/Marriage_and_Relationships/03.Attachment_to_Krsna_in_Marriage_Life_-_09-12-2000_Mumbai_IDesireTree.mp3", "03.Attachment_to_Krsna_in_Marriage_Life_-_09-12-2000_Mumbai_IDesireTree.mp3")</f>
        <v>03.Attachment_to_Krsna_in_Marriage_Life_-_09-12-2000_Mumbai_IDesireTree.mp3</v>
      </c>
      <c r="D4143" s="24"/>
      <c r="E4143" s="24"/>
    </row>
    <row r="4144">
      <c r="A4144" s="25" t="s">
        <v>18392</v>
      </c>
      <c r="B4144" s="25" t="s">
        <v>18449</v>
      </c>
      <c r="C4144" s="26" t="str">
        <f>HYPERLINK("https://audio.iskcondesiretree.com/02_-_ISKCON_Swamis/ISKCON_Swamis_-_R_to_Y/His_Holiness_Radhanath_Swami/Lectures/01_-_Theme_wise/Marriage_and_Relationships/04.Centre_Marriage_Life_Around_Krsna_-_Radhanath_Swami_Mumbai_1996-04-25_Mumbai_IDesireTree.mp3", "04.Centre_Marriage_Life_Around_Krsna_-_Radhanath_Swami_Mumbai_1996-04-25_Mumbai_IDesireTree.mp3")</f>
        <v>04.Centre_Marriage_Life_Around_Krsna_-_Radhanath_Swami_Mumbai_1996-04-25_Mumbai_IDesireTree.mp3</v>
      </c>
      <c r="D4144" s="24"/>
      <c r="E4144" s="24"/>
    </row>
    <row r="4145">
      <c r="A4145" s="25" t="s">
        <v>18392</v>
      </c>
      <c r="B4145" s="25" t="s">
        <v>18449</v>
      </c>
      <c r="C4145" s="26" t="str">
        <f>HYPERLINK("https://audio.iskcondesiretree.com/02_-_ISKCON_Swamis/ISKCON_Swamis_-_R_to_Y/His_Holiness_Radhanath_Swami/Lectures/01_-_Theme_wise/Marriage_and_Relationships/05.Ideal_Grhastha_Ashram_-_Radhanath_Swami_Mumbai_2005-03-28_IDesireTree.mp3", "05.Ideal_Grhastha_Ashram_-_Radhanath_Swami_Mumbai_2005-03-28_IDesireTree.mp3")</f>
        <v>05.Ideal_Grhastha_Ashram_-_Radhanath_Swami_Mumbai_2005-03-28_IDesireTree.mp3</v>
      </c>
      <c r="D4145" s="24"/>
      <c r="E4145" s="24"/>
    </row>
    <row r="4146">
      <c r="A4146" s="25" t="s">
        <v>18392</v>
      </c>
      <c r="B4146" s="25" t="s">
        <v>18449</v>
      </c>
      <c r="C4146" s="26" t="str">
        <f>HYPERLINK("https://audio.iskcondesiretree.com/02_-_ISKCON_Swamis/ISKCON_Swamis_-_R_to_Y/His_Holiness_Radhanath_Swami/Lectures/01_-_Theme_wise/Marriage_and_Relationships/06.Grihasta_Life_Means_Sacrifice_for_Krishna_BG-03-28_-_Colonge_24-11-00_IDesireTree.mp3", "06.Grihasta_Life_Means_Sacrifice_for_Krishna_BG-03-28_-_Colonge_24-11-00_IDesireTree.mp3")</f>
        <v>06.Grihasta_Life_Means_Sacrifice_for_Krishna_BG-03-28_-_Colonge_24-11-00_IDesireTree.mp3</v>
      </c>
      <c r="D4146" s="24"/>
      <c r="E4146" s="24"/>
    </row>
    <row r="4147">
      <c r="A4147" s="25" t="s">
        <v>18392</v>
      </c>
      <c r="B4147" s="25" t="s">
        <v>18449</v>
      </c>
      <c r="C4147" s="26" t="str">
        <f>HYPERLINK("https://audio.iskcondesiretree.com/02_-_ISKCON_Swamis/ISKCON_Swamis_-_R_to_Y/His_Holiness_Radhanath_Swami/Lectures/01_-_Theme_wise/Marriage_and_Relationships/07.Thorns_And_Pebbles_on_the_Path_of_Grhastha_Ashram_SB-05-14-18_-_01-10-05_IDesireTree.MP3", "07.Thorns_And_Pebbles_on_the_Path_of_Grhastha_Ashram_SB-05-14-18_-_01-10-05_IDesireTree.MP3")</f>
        <v>07.Thorns_And_Pebbles_on_the_Path_of_Grhastha_Ashram_SB-05-14-18_-_01-10-05_IDesireTree.MP3</v>
      </c>
      <c r="D4147" s="24"/>
      <c r="E4147" s="24"/>
    </row>
    <row r="4148">
      <c r="A4148" s="25" t="s">
        <v>18392</v>
      </c>
      <c r="B4148" s="25" t="s">
        <v>18449</v>
      </c>
      <c r="C4148" s="26" t="str">
        <f>HYPERLINK("https://audio.iskcondesiretree.com/02_-_ISKCON_Swamis/ISKCON_Swamis_-_R_to_Y/His_Holiness_Radhanath_Swami/Lectures/01_-_Theme_wise/Marriage_and_Relationships/08.SB-06-19-18_Sincere_Husband_And_Chaste_Wife_Advance_Together_-_07-10-13_IDesireTree.mp3", "08.SB-06-19-18_Sincere_Husband_And_Chaste_Wife_Advance_Together_-_07-10-13_IDesireTree.mp3")</f>
        <v>08.SB-06-19-18_Sincere_Husband_And_Chaste_Wife_Advance_Together_-_07-10-13_IDesireTree.mp3</v>
      </c>
      <c r="D4148" s="24"/>
      <c r="E4148" s="24"/>
    </row>
    <row r="4149">
      <c r="A4149" s="25" t="s">
        <v>18392</v>
      </c>
      <c r="B4149" s="25" t="s">
        <v>18449</v>
      </c>
      <c r="C4149" s="26" t="str">
        <f>HYPERLINK("https://audio.iskcondesiretree.com/02_-_ISKCON_Swamis/ISKCON_Swamis_-_R_to_Y/His_Holiness_Radhanath_Swami/Lectures/01_-_Theme_wise/Marriage_and_Relationships/09.Resolving_Conflicts_in_Grhastha_Ashram_SB-05-14-19_-_Mumbai_02-10-05_IDesireTree.MP3", "09.Resolving_Conflicts_in_Grhastha_Ashram_SB-05-14-19_-_Mumbai_02-10-05_IDesireTree.MP3")</f>
        <v>09.Resolving_Conflicts_in_Grhastha_Ashram_SB-05-14-19_-_Mumbai_02-10-05_IDesireTree.MP3</v>
      </c>
      <c r="D4149" s="24"/>
      <c r="E4149" s="24"/>
    </row>
    <row r="4150">
      <c r="A4150" s="25" t="s">
        <v>18392</v>
      </c>
      <c r="B4150" s="25" t="s">
        <v>18449</v>
      </c>
      <c r="C4150" s="26" t="str">
        <f>HYPERLINK("https://audio.iskcondesiretree.com/02_-_ISKCON_Swamis/ISKCON_Swamis_-_R_to_Y/His_Holiness_Radhanath_Swami/Lectures/01_-_Theme_wise/Marriage_and_Relationships/1993-105_Attachment_To_Devotees_SB_03-25-24_-_Radhanath_Swami_Mumbai_1993-06-05_IDesireTree.mp3", "1993-105_Attachment_To_Devotees_SB_03-25-24_-_Radhanath_Swami_Mumbai_1993-06-05_IDesireTree.mp3")</f>
        <v>1993-105_Attachment_To_Devotees_SB_03-25-24_-_Radhanath_Swami_Mumbai_1993-06-05_IDesireTree.mp3</v>
      </c>
      <c r="D4150" s="24"/>
      <c r="E4150" s="24"/>
    </row>
    <row r="4151">
      <c r="A4151" s="25" t="s">
        <v>18392</v>
      </c>
      <c r="B4151" s="25" t="s">
        <v>18449</v>
      </c>
      <c r="C4151" s="26" t="str">
        <f>HYPERLINK("https://audio.iskcondesiretree.com/02_-_ISKCON_Swamis/ISKCON_Swamis_-_R_to_Y/His_Holiness_Radhanath_Swami/Lectures/01_-_Theme_wise/Marriage_and_Relationships/1993-124_Showing_Love_For_Each_Other_Lecture_-_Radhanath_Swami_Mumbai_1993-06-20_IDesireTree.mp3", "1993-124_Showing_Love_For_Each_Other_Lecture_-_Radhanath_Swami_Mumbai_1993-06-20_IDesireTree.mp3")</f>
        <v>1993-124_Showing_Love_For_Each_Other_Lecture_-_Radhanath_Swami_Mumbai_1993-06-20_IDesireTree.mp3</v>
      </c>
      <c r="D4151" s="24"/>
      <c r="E4151" s="24"/>
    </row>
    <row r="4152">
      <c r="A4152" s="25" t="s">
        <v>18392</v>
      </c>
      <c r="B4152" s="25" t="s">
        <v>18449</v>
      </c>
      <c r="C4152" s="26" t="str">
        <f>HYPERLINK("https://audio.iskcondesiretree.com/02_-_ISKCON_Swamis/ISKCON_Swamis_-_R_to_Y/His_Holiness_Radhanath_Swami/Lectures/01_-_Theme_wise/Marriage_and_Relationships/1995-040_Don%27t_Break_Others_Heart_SB_04-08-34_-_Radhanath_Swami_Mumbai_1995-02-01.mp3", "1995-040_Don%27t_Break_Others_Heart_SB_04-08-34_-_Radhanath_Swami_Mumbai_1995-02-01.mp3")</f>
        <v>1995-040_Don%27t_Break_Others_Heart_SB_04-08-34_-_Radhanath_Swami_Mumbai_1995-02-01.mp3</v>
      </c>
      <c r="D4152" s="24"/>
      <c r="E4152" s="24"/>
    </row>
    <row r="4153">
      <c r="A4153" s="25" t="s">
        <v>18392</v>
      </c>
      <c r="B4153" s="25" t="s">
        <v>18449</v>
      </c>
      <c r="C4153" s="26" t="str">
        <f>HYPERLINK("https://audio.iskcondesiretree.com/02_-_ISKCON_Swamis/ISKCON_Swamis_-_R_to_Y/His_Holiness_Radhanath_Swami/Lectures/01_-_Theme_wise/Marriage_and_Relationships/1995-051_Affection_Between_Devotees_SB_01-08-31_-_Radhanath_Swami_Mumbai_1995-03-05.mp3", "1995-051_Affection_Between_Devotees_SB_01-08-31_-_Radhanath_Swami_Mumbai_1995-03-05.mp3")</f>
        <v>1995-051_Affection_Between_Devotees_SB_01-08-31_-_Radhanath_Swami_Mumbai_1995-03-05.mp3</v>
      </c>
      <c r="D4153" s="24"/>
      <c r="E4153" s="24"/>
    </row>
    <row r="4154">
      <c r="A4154" s="25" t="s">
        <v>18392</v>
      </c>
      <c r="B4154" s="25" t="s">
        <v>18449</v>
      </c>
      <c r="C4154" s="26" t="str">
        <f>HYPERLINK("https://audio.iskcondesiretree.com/02_-_ISKCON_Swamis/ISKCON_Swamis_-_R_to_Y/His_Holiness_Radhanath_Swami/Lectures/01_-_Theme_wise/Marriage_and_Relationships/1996-017_Loving_Exchanges_Ht_-_Radhanath_Swami_Q%26A_Belgaum_1996-01-11_IDesireTree.mp3", "1996-017_Loving_Exchanges_Ht_-_Radhanath_Swami_Q%26A_Belgaum_1996-01-11_IDesireTree.mp3")</f>
        <v>1996-017_Loving_Exchanges_Ht_-_Radhanath_Swami_Q%26A_Belgaum_1996-01-11_IDesireTree.mp3</v>
      </c>
      <c r="D4154" s="24"/>
      <c r="E4154" s="24"/>
    </row>
    <row r="4155">
      <c r="A4155" s="25" t="s">
        <v>18392</v>
      </c>
      <c r="B4155" s="25" t="s">
        <v>18450</v>
      </c>
      <c r="C4155" s="26" t="str">
        <f>HYPERLINK("https://audio.iskcondesiretree.com/02_-_ISKCON_Swamis/ISKCON_Swamis_-_R_to_Y/His_Holiness_Radhanath_Swami/Lectures/01_-_Theme_wise/Material_Education/1989-049_Becoming_Peaceful_SB_08-05-47_-_Radhanath_Swami_Mumbai_1989-09-24_IDesireTree.mp3", "1989-049_Becoming_Peaceful_SB_08-05-47_-_Radhanath_Swami_Mumbai_1989-09-24_IDesireTree.mp3")</f>
        <v>1989-049_Becoming_Peaceful_SB_08-05-47_-_Radhanath_Swami_Mumbai_1989-09-24_IDesireTree.mp3</v>
      </c>
      <c r="D4155" s="24"/>
      <c r="E4155" s="24"/>
    </row>
    <row r="4156">
      <c r="A4156" s="25" t="s">
        <v>18392</v>
      </c>
      <c r="B4156" s="25" t="s">
        <v>18450</v>
      </c>
      <c r="C4156" s="26" t="str">
        <f>HYPERLINK("https://audio.iskcondesiretree.com/02_-_ISKCON_Swamis/ISKCON_Swamis_-_R_to_Y/His_Holiness_Radhanath_Swami/Lectures/01_-_Theme_wise/Material_Education/1991-003_Perfection_Of_All_Knowledge_SB_08-24-61_-_Radhanath_Swami_Mumbai_1991-01-25_IDesireTree.mp3", "1991-003_Perfection_Of_All_Knowledge_SB_08-24-61_-_Radhanath_Swami_Mumbai_1991-01-25_IDesireTree.mp3")</f>
        <v>1991-003_Perfection_Of_All_Knowledge_SB_08-24-61_-_Radhanath_Swami_Mumbai_1991-01-25_IDesireTree.mp3</v>
      </c>
      <c r="D4156" s="24"/>
      <c r="E4156" s="24"/>
    </row>
    <row r="4157">
      <c r="A4157" s="25" t="s">
        <v>18392</v>
      </c>
      <c r="B4157" s="25" t="s">
        <v>18450</v>
      </c>
      <c r="C4157" s="26" t="str">
        <f>HYPERLINK("https://audio.iskcondesiretree.com/02_-_ISKCON_Swamis/ISKCON_Swamis_-_R_to_Y/His_Holiness_Radhanath_Swami/Lectures/01_-_Theme_wise/Material_Education/1991-043_Lecture_To_College_Students_Lecture_-_Radhanath_Swami_Mumbai_1991-05-04_IDesireTree.mp3", "1991-043_Lecture_To_College_Students_Lecture_-_Radhanath_Swami_Mumbai_1991-05-04_IDesireTree.mp3")</f>
        <v>1991-043_Lecture_To_College_Students_Lecture_-_Radhanath_Swami_Mumbai_1991-05-04_IDesireTree.mp3</v>
      </c>
      <c r="D4157" s="24"/>
      <c r="E4157" s="24"/>
    </row>
    <row r="4158">
      <c r="A4158" s="25" t="s">
        <v>18392</v>
      </c>
      <c r="B4158" s="25" t="s">
        <v>18450</v>
      </c>
      <c r="C4158" s="26" t="str">
        <f>HYPERLINK("https://audio.iskcondesiretree.com/02_-_ISKCON_Swamis/ISKCON_Swamis_-_R_to_Y/His_Holiness_Radhanath_Swami/Lectures/01_-_Theme_wise/Material_Education/1996-022_What_Is_Real_Education_Lecture_-_Radhanath_Swami_Mumbai_1996-01-20_IDesireTree.mp3", "1996-022_What_Is_Real_Education_Lecture_-_Radhanath_Swami_Mumbai_1996-01-20_IDesireTree.mp3")</f>
        <v>1996-022_What_Is_Real_Education_Lecture_-_Radhanath_Swami_Mumbai_1996-01-20_IDesireTree.mp3</v>
      </c>
      <c r="D4158" s="24"/>
      <c r="E4158" s="24"/>
    </row>
    <row r="4159">
      <c r="A4159" s="25" t="s">
        <v>18392</v>
      </c>
      <c r="B4159" s="25" t="s">
        <v>18451</v>
      </c>
      <c r="C4159" s="26" t="str">
        <f>HYPERLINK("https://audio.iskcondesiretree.com/02_-_ISKCON_Swamis/ISKCON_Swamis_-_R_to_Y/His_Holiness_Radhanath_Swami/Lectures/01_-_Theme_wise/Material_world/1991-005_To_Be_In_The_World_But_Not_Of_It_SB_09-01-01-08_-_Radhanath_Swami_Mumbai_1991-01-26_IDesireTree.mp3", "1991-005_To_Be_In_The_World_But_Not_Of_It_SB_09-01-01-08_-_Radhanath_Swami_Mumbai_1991-01-26_IDesireTree.mp3")</f>
        <v>1991-005_To_Be_In_The_World_But_Not_Of_It_SB_09-01-01-08_-_Radhanath_Swami_Mumbai_1991-01-26_IDesireTree.mp3</v>
      </c>
      <c r="D4159" s="24"/>
      <c r="E4159" s="24"/>
    </row>
    <row r="4160">
      <c r="A4160" s="25" t="s">
        <v>18392</v>
      </c>
      <c r="B4160" s="25" t="s">
        <v>18451</v>
      </c>
      <c r="C4160" s="26" t="str">
        <f>HYPERLINK("https://audio.iskcondesiretree.com/02_-_ISKCON_Swamis/ISKCON_Swamis_-_R_to_Y/His_Holiness_Radhanath_Swami/Lectures/01_-_Theme_wise/Material_world/1993-096_Worst_Prison_House_SB_02-01-09_-_Radhanath_Swami_Mumbai_1993-05-24_IDesireTree.mp3", "1993-096_Worst_Prison_House_SB_02-01-09_-_Radhanath_Swami_Mumbai_1993-05-24_IDesireTree.mp3")</f>
        <v>1993-096_Worst_Prison_House_SB_02-01-09_-_Radhanath_Swami_Mumbai_1993-05-24_IDesireTree.mp3</v>
      </c>
      <c r="D4160" s="24"/>
      <c r="E4160" s="24"/>
    </row>
    <row r="4161">
      <c r="A4161" s="25" t="s">
        <v>18392</v>
      </c>
      <c r="B4161" s="25" t="s">
        <v>18451</v>
      </c>
      <c r="C4161" s="26" t="str">
        <f>HYPERLINK("https://audio.iskcondesiretree.com/02_-_ISKCON_Swamis/ISKCON_Swamis_-_R_to_Y/His_Holiness_Radhanath_Swami/Lectures/01_-_Theme_wise/Material_world/1993-153_We_Are_Homeless_Creature_SB-10_47_04_-_Radhanath_Swami_Mumbai_1993-10-21_IDesireTree.mp3", "1993-153_We_Are_Homeless_Creature_SB-10_47_04_-_Radhanath_Swami_Mumbai_1993-10-21_IDesireTree.mp3")</f>
        <v>1993-153_We_Are_Homeless_Creature_SB-10_47_04_-_Radhanath_Swami_Mumbai_1993-10-21_IDesireTree.mp3</v>
      </c>
      <c r="D4161" s="24"/>
      <c r="E4161" s="24"/>
    </row>
    <row r="4162">
      <c r="A4162" s="25" t="s">
        <v>18392</v>
      </c>
      <c r="B4162" s="25" t="s">
        <v>18451</v>
      </c>
      <c r="C4162" s="26" t="str">
        <f>HYPERLINK("https://audio.iskcondesiretree.com/02_-_ISKCON_Swamis/ISKCON_Swamis_-_R_to_Y/His_Holiness_Radhanath_Swami/Lectures/01_-_Theme_wise/Material_world/1993-156_Sinking_In_Material_Ocean_SB-01_03_22_-_Radhanath_Swami_Mumbai_1993-10-23_IDesireTree.mp3", "1993-156_Sinking_In_Material_Ocean_SB-01_03_22_-_Radhanath_Swami_Mumbai_1993-10-23_IDesireTree.mp3")</f>
        <v>1993-156_Sinking_In_Material_Ocean_SB-01_03_22_-_Radhanath_Swami_Mumbai_1993-10-23_IDesireTree.mp3</v>
      </c>
      <c r="D4162" s="24"/>
      <c r="E4162" s="24"/>
    </row>
    <row r="4163">
      <c r="A4163" s="25" t="s">
        <v>18392</v>
      </c>
      <c r="B4163" s="25" t="s">
        <v>18451</v>
      </c>
      <c r="C4163" s="26" t="str">
        <f>HYPERLINK("https://audio.iskcondesiretree.com/02_-_ISKCON_Swamis/ISKCON_Swamis_-_R_to_Y/His_Holiness_Radhanath_Swami/Lectures/01_-_Theme_wise/Material_world/1994-064_Material_World_On_Blazing_Fire_SB_01-03-38-39_-_Radhanath_Swami_Mumbai_1994-05-05_IDesireTree.mp3", "1994-064_Material_World_On_Blazing_Fire_SB_01-03-38-39_-_Radhanath_Swami_Mumbai_1994-05-05_IDesireTree.mp3")</f>
        <v>1994-064_Material_World_On_Blazing_Fire_SB_01-03-38-39_-_Radhanath_Swami_Mumbai_1994-05-05_IDesireTree.mp3</v>
      </c>
      <c r="D4163" s="24"/>
      <c r="E4163" s="24"/>
    </row>
    <row r="4164">
      <c r="A4164" s="25" t="s">
        <v>18392</v>
      </c>
      <c r="B4164" s="25" t="s">
        <v>18451</v>
      </c>
      <c r="C4164" s="26" t="str">
        <f>HYPERLINK("https://audio.iskcondesiretree.com/02_-_ISKCON_Swamis/ISKCON_Swamis_-_R_to_Y/His_Holiness_Radhanath_Swami/Lectures/01_-_Theme_wise/Material_world/1994-091_Nature_Of_Material_Existence_BG_18-25_-_Radhanath_Swami_Mumbai_1994-05-14_IDesireTree.mp3", "1994-091_Nature_Of_Material_Existence_BG_18-25_-_Radhanath_Swami_Mumbai_1994-05-14_IDesireTree.mp3")</f>
        <v>1994-091_Nature_Of_Material_Existence_BG_18-25_-_Radhanath_Swami_Mumbai_1994-05-14_IDesireTree.mp3</v>
      </c>
      <c r="D4164" s="24"/>
      <c r="E4164" s="24"/>
    </row>
    <row r="4165">
      <c r="A4165" s="25" t="s">
        <v>18392</v>
      </c>
      <c r="B4165" s="25" t="s">
        <v>18451</v>
      </c>
      <c r="C4165" s="26" t="str">
        <f>HYPERLINK("https://audio.iskcondesiretree.com/02_-_ISKCON_Swamis/ISKCON_Swamis_-_R_to_Y/His_Holiness_Radhanath_Swami/Lectures/01_-_Theme_wise/Material_world/1995-107_Materialistic_People_Material_Desire_SB_01-13-27_-_Radhanath_Swami_Mumbai_1995-09-23_IDesireTree.mp3", "1995-107_Materialistic_People_Material_Desire_SB_01-13-27_-_Radhanath_Swami_Mumbai_1995-09-23_IDesireTree.mp3")</f>
        <v>1995-107_Materialistic_People_Material_Desire_SB_01-13-27_-_Radhanath_Swami_Mumbai_1995-09-23_IDesireTree.mp3</v>
      </c>
      <c r="D4165" s="24"/>
      <c r="E4165" s="24"/>
    </row>
    <row r="4166">
      <c r="A4166" s="25" t="s">
        <v>18392</v>
      </c>
      <c r="B4166" s="25" t="s">
        <v>18451</v>
      </c>
      <c r="C4166" s="26" t="str">
        <f>HYPERLINK("https://audio.iskcondesiretree.com/02_-_ISKCON_Swamis/ISKCON_Swamis_-_R_to_Y/His_Holiness_Radhanath_Swami/Lectures/01_-_Theme_wise/Material_world/1995-117_Nature_Of_Material_Pleasure_BG_02-57_-_Radhanath_Swami_Mumbai_1995-10-07_IDesireTree.mp3", "1995-117_Nature_Of_Material_Pleasure_BG_02-57_-_Radhanath_Swami_Mumbai_1995-10-07_IDesireTree.mp3")</f>
        <v>1995-117_Nature_Of_Material_Pleasure_BG_02-57_-_Radhanath_Swami_Mumbai_1995-10-07_IDesireTree.mp3</v>
      </c>
      <c r="D4166" s="24"/>
      <c r="E4166" s="24"/>
    </row>
    <row r="4167">
      <c r="A4167" s="25" t="s">
        <v>18392</v>
      </c>
      <c r="B4167" s="25" t="s">
        <v>18451</v>
      </c>
      <c r="C4167" s="26" t="str">
        <f>HYPERLINK("https://audio.iskcondesiretree.com/02_-_ISKCON_Swamis/ISKCON_Swamis_-_R_to_Y/His_Holiness_Radhanath_Swami/Lectures/01_-_Theme_wise/Material_world/1996-104_Forest_of_Material_Enjoyment_SB_05-14-19_-_Radhanath_Swami_Mumbai_1996-06_IDesireTree.mp3", "1996-104_Forest_of_Material_Enjoyment_SB_05-14-19_-_Radhanath_Swami_Mumbai_1996-06_IDesireTree.mp3")</f>
        <v>1996-104_Forest_of_Material_Enjoyment_SB_05-14-19_-_Radhanath_Swami_Mumbai_1996-06_IDesireTree.mp3</v>
      </c>
      <c r="D4167" s="24"/>
      <c r="E4167" s="24"/>
    </row>
    <row r="4168">
      <c r="A4168" s="25" t="s">
        <v>18392</v>
      </c>
      <c r="B4168" s="25" t="s">
        <v>18451</v>
      </c>
      <c r="C4168" s="26" t="str">
        <f>HYPERLINK("https://audio.iskcondesiretree.com/02_-_ISKCON_Swamis/ISKCON_Swamis_-_R_to_Y/His_Holiness_Radhanath_Swami/Lectures/01_-_Theme_wise/Material_world/1997-016_Materialists_are_like_Rats_SB_04-24-66_-_Radhanath_Swami_Pune_1997-01-17_IDesireTree.mp3", "1997-016_Materialists_are_like_Rats_SB_04-24-66_-_Radhanath_Swami_Pune_1997-01-17_IDesireTree.mp3")</f>
        <v>1997-016_Materialists_are_like_Rats_SB_04-24-66_-_Radhanath_Swami_Pune_1997-01-17_IDesireTree.mp3</v>
      </c>
      <c r="D4168" s="24"/>
      <c r="E4168" s="24"/>
    </row>
    <row r="4169">
      <c r="A4169" s="25" t="s">
        <v>18392</v>
      </c>
      <c r="B4169" s="25" t="s">
        <v>18451</v>
      </c>
      <c r="C4169" s="26" t="str">
        <f>HYPERLINK("https://audio.iskcondesiretree.com/02_-_ISKCON_Swamis/ISKCON_Swamis_-_R_to_Y/His_Holiness_Radhanath_Swami/Lectures/01_-_Theme_wise/Material_world/1997-063_Material_Distress_BG_04-38_-_Radhanath_Swami_Mumbai_1997-04-19_IDesireTree.mp3", "1997-063_Material_Distress_BG_04-38_-_Radhanath_Swami_Mumbai_1997-04-19_IDesireTree.mp3")</f>
        <v>1997-063_Material_Distress_BG_04-38_-_Radhanath_Swami_Mumbai_1997-04-19_IDesireTree.mp3</v>
      </c>
      <c r="D4169" s="24"/>
      <c r="E4169" s="24"/>
    </row>
    <row r="4170">
      <c r="A4170" s="25" t="s">
        <v>18392</v>
      </c>
      <c r="B4170" s="25" t="s">
        <v>18451</v>
      </c>
      <c r="C4170" s="26" t="str">
        <f>HYPERLINK("https://audio.iskcondesiretree.com/02_-_ISKCON_Swamis/ISKCON_Swamis_-_R_to_Y/His_Holiness_Radhanath_Swami/Lectures/01_-_Theme_wise/Material_world/1997-067_Perverted_Reflection_SB_02-09-17_-_Radhanath_Swami_Mumbai_1997-04-24_IDesireTree.mp3", "1997-067_Perverted_Reflection_SB_02-09-17_-_Radhanath_Swami_Mumbai_1997-04-24_IDesireTree.mp3")</f>
        <v>1997-067_Perverted_Reflection_SB_02-09-17_-_Radhanath_Swami_Mumbai_1997-04-24_IDesireTree.mp3</v>
      </c>
      <c r="D4170" s="24"/>
      <c r="E4170" s="24"/>
    </row>
    <row r="4171">
      <c r="A4171" s="25" t="s">
        <v>18392</v>
      </c>
      <c r="B4171" s="25" t="s">
        <v>18451</v>
      </c>
      <c r="C4171" s="26" t="str">
        <f>HYPERLINK("https://audio.iskcondesiretree.com/02_-_ISKCON_Swamis/ISKCON_Swamis_-_R_to_Y/His_Holiness_Radhanath_Swami/Lectures/01_-_Theme_wise/Material_world/1999-037_Danger_at_Every_Step_BG_-_Radhanath_Swami_Mumbai_1999-07-04_IDesireTree.mp3", "1999-037_Danger_at_Every_Step_BG_-_Radhanath_Swami_Mumbai_1999-07-04_IDesireTree.mp3")</f>
        <v>1999-037_Danger_at_Every_Step_BG_-_Radhanath_Swami_Mumbai_1999-07-04_IDesireTree.mp3</v>
      </c>
      <c r="D4171" s="24"/>
      <c r="E4171" s="24"/>
    </row>
    <row r="4172">
      <c r="A4172" s="25" t="s">
        <v>18392</v>
      </c>
      <c r="B4172" s="25" t="s">
        <v>18451</v>
      </c>
      <c r="C4172" s="26" t="str">
        <f>HYPERLINK("https://audio.iskcondesiretree.com/02_-_ISKCON_Swamis/ISKCON_Swamis_-_R_to_Y/His_Holiness_Radhanath_Swami/Lectures/01_-_Theme_wise/Material_world/2000-020_Futility_of_Material_Pleasure_SB_03-25-13_-_Radhanath_Swami_Mumbai_2000-02-05_IDesireTree.mp3", "2000-020_Futility_of_Material_Pleasure_SB_03-25-13_-_Radhanath_Swami_Mumbai_2000-02-05_IDesireTree.mp3")</f>
        <v>2000-020_Futility_of_Material_Pleasure_SB_03-25-13_-_Radhanath_Swami_Mumbai_2000-02-05_IDesireTree.mp3</v>
      </c>
      <c r="D4172" s="24"/>
      <c r="E4172" s="24"/>
    </row>
    <row r="4173">
      <c r="A4173" s="25" t="s">
        <v>18392</v>
      </c>
      <c r="B4173" s="25" t="s">
        <v>18452</v>
      </c>
      <c r="C4173" s="26" t="str">
        <f>HYPERLINK("https://audio.iskcondesiretree.com/02_-_ISKCON_Swamis/ISKCON_Swamis_-_R_to_Y/His_Holiness_Radhanath_Swami/Lectures/01_-_Theme_wise/Maya_and_How_to_fight_Maya/1990-054_Maya_comes_in_Disguise_SB_-_Radhanath_Swami_NV_1990-06-20_IDesireTree.mp3", "1990-054_Maya_comes_in_Disguise_SB_-_Radhanath_Swami_NV_1990-06-20_IDesireTree.mp3")</f>
        <v>1990-054_Maya_comes_in_Disguise_SB_-_Radhanath_Swami_NV_1990-06-20_IDesireTree.mp3</v>
      </c>
      <c r="D4173" s="24"/>
      <c r="E4173" s="24"/>
    </row>
    <row r="4174">
      <c r="A4174" s="25" t="s">
        <v>18392</v>
      </c>
      <c r="B4174" s="25" t="s">
        <v>18452</v>
      </c>
      <c r="C4174" s="26" t="str">
        <f>HYPERLINK("https://audio.iskcondesiretree.com/02_-_ISKCON_Swamis/ISKCON_Swamis_-_R_to_Y/His_Holiness_Radhanath_Swami/Lectures/01_-_Theme_wise/Maya_and_How_to_fight_Maya/1990-082_Nothing_Is_Ours_Lecture_-_Radhanath_Swami_Mumbai_1990-09-29_IDesireTree.mp3", "1990-082_Nothing_Is_Ours_Lecture_-_Radhanath_Swami_Mumbai_1990-09-29_IDesireTree.mp3")</f>
        <v>1990-082_Nothing_Is_Ours_Lecture_-_Radhanath_Swami_Mumbai_1990-09-29_IDesireTree.mp3</v>
      </c>
      <c r="D4174" s="24"/>
      <c r="E4174" s="24"/>
    </row>
    <row r="4175">
      <c r="A4175" s="25" t="s">
        <v>18392</v>
      </c>
      <c r="B4175" s="25" t="s">
        <v>18452</v>
      </c>
      <c r="C4175" s="26" t="str">
        <f>HYPERLINK("https://audio.iskcondesiretree.com/02_-_ISKCON_Swamis/ISKCON_Swamis_-_R_to_Y/His_Holiness_Radhanath_Swami/Lectures/01_-_Theme_wise/Maya_and_How_to_fight_Maya/1991-033_The_Pitfall_Of_Maya_SB_09-06-39-46_-_Radhanath_Swami_Mumbai_1991-03-09_IDesireTree.mp3", "1991-033_The_Pitfall_Of_Maya_SB_09-06-39-46_-_Radhanath_Swami_Mumbai_1991-03-09_IDesireTree.mp3")</f>
        <v>1991-033_The_Pitfall_Of_Maya_SB_09-06-39-46_-_Radhanath_Swami_Mumbai_1991-03-09_IDesireTree.mp3</v>
      </c>
      <c r="D4175" s="24"/>
      <c r="E4175" s="24"/>
    </row>
    <row r="4176">
      <c r="A4176" s="25" t="s">
        <v>18392</v>
      </c>
      <c r="B4176" s="25" t="s">
        <v>18452</v>
      </c>
      <c r="C4176" s="26" t="str">
        <f>HYPERLINK("https://audio.iskcondesiretree.com/02_-_ISKCON_Swamis/ISKCON_Swamis_-_R_to_Y/His_Holiness_Radhanath_Swami/Lectures/01_-_Theme_wise/Maya_and_How_to_fight_Maya/1991-121_Relative_Truth_Is_Maya_Lecture_-_Radhanath_Swami_Mumbai_1991-11-23_IDesireTree.mp3", "1991-121_Relative_Truth_Is_Maya_Lecture_-_Radhanath_Swami_Mumbai_1991-11-23_IDesireTree.mp3")</f>
        <v>1991-121_Relative_Truth_Is_Maya_Lecture_-_Radhanath_Swami_Mumbai_1991-11-23_IDesireTree.mp3</v>
      </c>
      <c r="D4176" s="24"/>
      <c r="E4176" s="24"/>
    </row>
    <row r="4177">
      <c r="A4177" s="25" t="s">
        <v>18392</v>
      </c>
      <c r="B4177" s="25" t="s">
        <v>18452</v>
      </c>
      <c r="C4177" s="26" t="str">
        <f>HYPERLINK("https://audio.iskcondesiretree.com/02_-_ISKCON_Swamis/ISKCON_Swamis_-_R_to_Y/His_Holiness_Radhanath_Swami/Lectures/01_-_Theme_wise/Maya_and_How_to_fight_Maya/1991-123_Maya_Redefined_Lecture_-_Radhanath_Swami_Mumbai_1991-11-25_IDesireTree.mp3", "1991-123_Maya_Redefined_Lecture_-_Radhanath_Swami_Mumbai_1991-11-25_IDesireTree.mp3")</f>
        <v>1991-123_Maya_Redefined_Lecture_-_Radhanath_Swami_Mumbai_1991-11-25_IDesireTree.mp3</v>
      </c>
      <c r="D4177" s="24"/>
      <c r="E4177" s="24"/>
    </row>
    <row r="4178">
      <c r="A4178" s="25" t="s">
        <v>18392</v>
      </c>
      <c r="B4178" s="25" t="s">
        <v>18452</v>
      </c>
      <c r="C4178" s="26" t="str">
        <f>HYPERLINK("https://audio.iskcondesiretree.com/02_-_ISKCON_Swamis/ISKCON_Swamis_-_R_to_Y/His_Holiness_Radhanath_Swami/Lectures/01_-_Theme_wise/Maya_and_How_to_fight_Maya/1992-049_Cutting_The_Material_Roots_SB-17_27-30_Mumbai_-_29-03-92_-_IDesireTree.mp3", "1992-049_Cutting_The_Material_Roots_SB-17_27-30_Mumbai_-_29-03-92_-_IDesireTree.mp3")</f>
        <v>1992-049_Cutting_The_Material_Roots_SB-17_27-30_Mumbai_-_29-03-92_-_IDesireTree.mp3</v>
      </c>
      <c r="D4178" s="24"/>
      <c r="E4178" s="24"/>
    </row>
    <row r="4179">
      <c r="A4179" s="25" t="s">
        <v>18392</v>
      </c>
      <c r="B4179" s="25" t="s">
        <v>18452</v>
      </c>
      <c r="C4179" s="26" t="str">
        <f>HYPERLINK("https://audio.iskcondesiretree.com/02_-_ISKCON_Swamis/ISKCON_Swamis_-_R_to_Y/His_Holiness_Radhanath_Swami/Lectures/01_-_Theme_wise/Maya_and_How_to_fight_Maya/1992-087_Power_Of_Maya_SB_10-13-42_-_Radhanath_Swami_Mumbai_1992-08-24_IDesireTree.mp3", "1992-087_Power_Of_Maya_SB_10-13-42_-_Radhanath_Swami_Mumbai_1992-08-24_IDesireTree.mp3")</f>
        <v>1992-087_Power_Of_Maya_SB_10-13-42_-_Radhanath_Swami_Mumbai_1992-08-24_IDesireTree.mp3</v>
      </c>
      <c r="D4179" s="24"/>
      <c r="E4179" s="24"/>
    </row>
    <row r="4180">
      <c r="A4180" s="25" t="s">
        <v>18392</v>
      </c>
      <c r="B4180" s="25" t="s">
        <v>18452</v>
      </c>
      <c r="C4180" s="26" t="str">
        <f>HYPERLINK("https://audio.iskcondesiretree.com/02_-_ISKCON_Swamis/ISKCON_Swamis_-_R_to_Y/His_Holiness_Radhanath_Swami/Lectures/01_-_Theme_wise/Maya_and_How_to_fight_Maya/1993-077_Tricks_of_Maya_SB_10-27-21-23_-_Radhanath_Swami_Mumbai_1993-05-04_IDesireTree.mp3", "1993-077_Tricks_of_Maya_SB_10-27-21-23_-_Radhanath_Swami_Mumbai_1993-05-04_IDesireTree.mp3")</f>
        <v>1993-077_Tricks_of_Maya_SB_10-27-21-23_-_Radhanath_Swami_Mumbai_1993-05-04_IDesireTree.mp3</v>
      </c>
      <c r="D4180" s="24"/>
      <c r="E4180" s="24"/>
    </row>
    <row r="4181">
      <c r="A4181" s="25" t="s">
        <v>18392</v>
      </c>
      <c r="B4181" s="25" t="s">
        <v>18452</v>
      </c>
      <c r="C4181" s="26" t="str">
        <f>HYPERLINK("https://audio.iskcondesiretree.com/02_-_ISKCON_Swamis/ISKCON_Swamis_-_R_to_Y/His_Holiness_Radhanath_Swami/Lectures/01_-_Theme_wise/Maya_and_How_to_fight_Maya/1994-184_Go_Beyond_The_Three_Modes_BG_14-05_-_Radhanath_Swami_Mumbai_1994-10-09_IDesireTree.mp3", "1994-184_Go_Beyond_The_Three_Modes_BG_14-05_-_Radhanath_Swami_Mumbai_1994-10-09_IDesireTree.mp3")</f>
        <v>1994-184_Go_Beyond_The_Three_Modes_BG_14-05_-_Radhanath_Swami_Mumbai_1994-10-09_IDesireTree.mp3</v>
      </c>
      <c r="D4181" s="24"/>
      <c r="E4181" s="24"/>
    </row>
    <row r="4182">
      <c r="A4182" s="25" t="s">
        <v>18392</v>
      </c>
      <c r="B4182" s="25" t="s">
        <v>18452</v>
      </c>
      <c r="C4182" s="26" t="str">
        <f>HYPERLINK("https://audio.iskcondesiretree.com/02_-_ISKCON_Swamis/ISKCON_Swamis_-_R_to_Y/His_Holiness_Radhanath_Swami/Lectures/01_-_Theme_wise/Maya_and_How_to_fight_Maya/1999-064_Maya_Seizes_an_Offender_SB_06-09-43_-_Radhanath_Swami_Mumbai_1999-12-27_IDesireTree.mp3", "1999-064_Maya_Seizes_an_Offender_SB_06-09-43_-_Radhanath_Swami_Mumbai_1999-12-27_IDesireTree.mp3")</f>
        <v>1999-064_Maya_Seizes_an_Offender_SB_06-09-43_-_Radhanath_Swami_Mumbai_1999-12-27_IDesireTree.mp3</v>
      </c>
      <c r="D4182" s="24"/>
      <c r="E4182" s="24"/>
    </row>
    <row r="4183">
      <c r="A4183" s="25" t="s">
        <v>18392</v>
      </c>
      <c r="B4183" s="25" t="s">
        <v>18452</v>
      </c>
      <c r="C4183" s="26" t="str">
        <f>HYPERLINK("https://audio.iskcondesiretree.com/02_-_ISKCON_Swamis/ISKCON_Swamis_-_R_to_Y/His_Holiness_Radhanath_Swami/Lectures/01_-_Theme_wise/Maya_and_How_to_fight_Maya/2000-006_Beware_of_Maya%27s_Hijackers_Lecture_-_Radhanath_Swami_Mumbai_2000-01-12_IDesireTree.mp3", "2000-006_Beware_of_Maya%27s_Hijackers_Lecture_-_Radhanath_Swami_Mumbai_2000-01-12_IDesireTree.mp3")</f>
        <v>2000-006_Beware_of_Maya%27s_Hijackers_Lecture_-_Radhanath_Swami_Mumbai_2000-01-12_IDesireTree.mp3</v>
      </c>
      <c r="D4183" s="24"/>
      <c r="E4183" s="24"/>
    </row>
    <row r="4184">
      <c r="A4184" s="25" t="s">
        <v>18392</v>
      </c>
      <c r="B4184" s="25" t="s">
        <v>18452</v>
      </c>
      <c r="C4184" s="26" t="str">
        <f>HYPERLINK("https://audio.iskcondesiretree.com/02_-_ISKCON_Swamis/ISKCON_Swamis_-_R_to_Y/His_Holiness_Radhanath_Swami/Lectures/01_-_Theme_wise/Maya_and_How_to_fight_Maya/2003-044_Never_Trust_Maya%27s_Promises_SB_05-18-26_-_Radhanath_Swami_US_2003-07-25_IDesireTree.mp"&amp;"3", "2003-044_Never_Trust_Maya%27s_Promises_SB_05-18-26_-_Radhanath_Swami_US_2003-07-25_IDesireTree.mp3")</f>
        <v>2003-044_Never_Trust_Maya%27s_Promises_SB_05-18-26_-_Radhanath_Swami_US_2003-07-25_IDesireTree.mp3</v>
      </c>
      <c r="D4184" s="24"/>
      <c r="E4184" s="24"/>
    </row>
    <row r="4185">
      <c r="A4185" s="25" t="s">
        <v>18392</v>
      </c>
      <c r="B4185" s="25" t="s">
        <v>18453</v>
      </c>
      <c r="C4185" s="26" t="str">
        <f>HYPERLINK("https://audio.iskcondesiretree.com/02_-_ISKCON_Swamis/ISKCON_Swamis_-_R_to_Y/His_Holiness_Radhanath_Swami/Lectures/01_-_Theme_wise/Mercy/1989-048_Merciful_Like_Ganga_Jamuna_SB_07-10-36-38_-_Radhanath_Swami_Mumbai_1989-09-24_IDesireTree.mp3", "1989-048_Merciful_Like_Ganga_Jamuna_SB_07-10-36-38_-_Radhanath_Swami_Mumbai_1989-09-24_IDesireTree.mp3")</f>
        <v>1989-048_Merciful_Like_Ganga_Jamuna_SB_07-10-36-38_-_Radhanath_Swami_Mumbai_1989-09-24_IDesireTree.mp3</v>
      </c>
      <c r="D4185" s="24"/>
      <c r="E4185" s="24"/>
    </row>
    <row r="4186">
      <c r="A4186" s="25" t="s">
        <v>18392</v>
      </c>
      <c r="B4186" s="25" t="s">
        <v>18453</v>
      </c>
      <c r="C4186" s="26" t="str">
        <f>HYPERLINK("https://audio.iskcondesiretree.com/02_-_ISKCON_Swamis/ISKCON_Swamis_-_R_to_Y/His_Holiness_Radhanath_Swami/Lectures/01_-_Theme_wise/Mercy/1989-070_Without_Mercy_Of_Lord_We_Are_Hopeless_BG_08-15_-_Radhanath_Swami_Mumbai_1989-10-19_IDesireTree.mp3", "1989-070_Without_Mercy_Of_Lord_We_Are_Hopeless_BG_08-15_-_Radhanath_Swami_Mumbai_1989-10-19_IDesireTree.mp3")</f>
        <v>1989-070_Without_Mercy_Of_Lord_We_Are_Hopeless_BG_08-15_-_Radhanath_Swami_Mumbai_1989-10-19_IDesireTree.mp3</v>
      </c>
      <c r="D4186" s="24"/>
      <c r="E4186" s="24"/>
    </row>
    <row r="4187">
      <c r="A4187" s="25" t="s">
        <v>18392</v>
      </c>
      <c r="B4187" s="25" t="s">
        <v>18453</v>
      </c>
      <c r="C4187" s="26" t="str">
        <f>HYPERLINK("https://audio.iskcondesiretree.com/02_-_ISKCON_Swamis/ISKCON_Swamis_-_R_to_Y/His_Holiness_Radhanath_Swami/Lectures/01_-_Theme_wise/Mercy/1990-058_Trust_In_Mercy_Of_God_SB_08-06-14_-_Radhanath_Swami_Mumbai_1990-08-09_IDesireTree.mp3", "1990-058_Trust_In_Mercy_Of_God_SB_08-06-14_-_Radhanath_Swami_Mumbai_1990-08-09_IDesireTree.mp3")</f>
        <v>1990-058_Trust_In_Mercy_Of_God_SB_08-06-14_-_Radhanath_Swami_Mumbai_1990-08-09_IDesireTree.mp3</v>
      </c>
      <c r="D4187" s="24"/>
      <c r="E4187" s="24"/>
    </row>
    <row r="4188">
      <c r="A4188" s="25" t="s">
        <v>18392</v>
      </c>
      <c r="B4188" s="25" t="s">
        <v>18453</v>
      </c>
      <c r="C4188" s="26" t="str">
        <f>HYPERLINK("https://audio.iskcondesiretree.com/02_-_ISKCON_Swamis/ISKCON_Swamis_-_R_to_Y/His_Holiness_Radhanath_Swami/Lectures/01_-_Theme_wise/Mercy/1991-023_Surrender_To_His_Love_And_Mercy_Lecture_-_Radhanath_Swami_Mumbai_1991-02-27_IDesireTree.mp3", "1991-023_Surrender_To_His_Love_And_Mercy_Lecture_-_Radhanath_Swami_Mumbai_1991-02-27_IDesireTree.mp3")</f>
        <v>1991-023_Surrender_To_His_Love_And_Mercy_Lecture_-_Radhanath_Swami_Mumbai_1991-02-27_IDesireTree.mp3</v>
      </c>
      <c r="D4188" s="24"/>
      <c r="E4188" s="24"/>
    </row>
    <row r="4189">
      <c r="A4189" s="25" t="s">
        <v>18392</v>
      </c>
      <c r="B4189" s="25" t="s">
        <v>18453</v>
      </c>
      <c r="C4189" s="26" t="str">
        <f>HYPERLINK("https://audio.iskcondesiretree.com/02_-_ISKCON_Swamis/ISKCON_Swamis_-_R_to_Y/His_Holiness_Radhanath_Swami/Lectures/01_-_Theme_wise/Mercy/1991-151_Causeless_Mercy_SB_10-03-15-17_-_Radhanath_Swami_Mumbai_1991-12-26_IDesireTree.mp3", "1991-151_Causeless_Mercy_SB_10-03-15-17_-_Radhanath_Swami_Mumbai_1991-12-26_IDesireTree.mp3")</f>
        <v>1991-151_Causeless_Mercy_SB_10-03-15-17_-_Radhanath_Swami_Mumbai_1991-12-26_IDesireTree.mp3</v>
      </c>
      <c r="D4189" s="24"/>
      <c r="E4189" s="24"/>
    </row>
    <row r="4190">
      <c r="A4190" s="25" t="s">
        <v>18392</v>
      </c>
      <c r="B4190" s="25" t="s">
        <v>18453</v>
      </c>
      <c r="C4190" s="26" t="str">
        <f>HYPERLINK("https://audio.iskcondesiretree.com/02_-_ISKCON_Swamis/ISKCON_Swamis_-_R_to_Y/His_Holiness_Radhanath_Swami/Lectures/01_-_Theme_wise/Mercy/1991-154_Lord%27s_Merciful_Devotees_CC_AL_01-01_-_Radhanath_Swami_Mumbai_1991-12-12_IDesireTree.mp3", "1991-154_Lord%27s_Merciful_Devotees_CC_AL_01-01_-_Radhanath_Swami_Mumbai_1991-12-12_IDesireTree.mp3")</f>
        <v>1991-154_Lord%27s_Merciful_Devotees_CC_AL_01-01_-_Radhanath_Swami_Mumbai_1991-12-12_IDesireTree.mp3</v>
      </c>
      <c r="D4190" s="24"/>
      <c r="E4190" s="24"/>
    </row>
    <row r="4191">
      <c r="A4191" s="25" t="s">
        <v>18392</v>
      </c>
      <c r="B4191" s="25" t="s">
        <v>18453</v>
      </c>
      <c r="C4191" s="26" t="str">
        <f>HYPERLINK("https://audio.iskcondesiretree.com/02_-_ISKCON_Swamis/ISKCON_Swamis_-_R_to_Y/His_Holiness_Radhanath_Swami/Lectures/01_-_Theme_wise/Mercy/1992-099_Without_Mercy_Nothing_Is_Possible_SB_10-14-02_-_Radhanath_Swami_Mumbai_1992-09-11_IDesireTree.mp3", "1992-099_Without_Mercy_Nothing_Is_Possible_SB_10-14-02_-_Radhanath_Swami_Mumbai_1992-09-11_IDesireTree.mp3")</f>
        <v>1992-099_Without_Mercy_Nothing_Is_Possible_SB_10-14-02_-_Radhanath_Swami_Mumbai_1992-09-11_IDesireTree.mp3</v>
      </c>
      <c r="D4191" s="24"/>
      <c r="E4191" s="24"/>
    </row>
    <row r="4192">
      <c r="A4192" s="25" t="s">
        <v>18392</v>
      </c>
      <c r="B4192" s="25" t="s">
        <v>18453</v>
      </c>
      <c r="C4192" s="26" t="str">
        <f>HYPERLINK("https://audio.iskcondesiretree.com/02_-_ISKCON_Swamis/ISKCON_Swamis_-_R_to_Y/His_Holiness_Radhanath_Swami/Lectures/01_-_Theme_wise/Mercy/1992-118_Lord%27s_Special_Mercy_SB_10-14-08_-_Radhanath_Swami_Mumbai_1992-09-16_IDesireTree.mp3", "1992-118_Lord%27s_Special_Mercy_SB_10-14-08_-_Radhanath_Swami_Mumbai_1992-09-16_IDesireTree.mp3")</f>
        <v>1992-118_Lord%27s_Special_Mercy_SB_10-14-08_-_Radhanath_Swami_Mumbai_1992-09-16_IDesireTree.mp3</v>
      </c>
      <c r="D4192" s="24"/>
      <c r="E4192" s="24"/>
    </row>
    <row r="4193">
      <c r="A4193" s="25" t="s">
        <v>18392</v>
      </c>
      <c r="B4193" s="25" t="s">
        <v>18453</v>
      </c>
      <c r="C4193" s="26" t="str">
        <f>HYPERLINK("https://audio.iskcondesiretree.com/02_-_ISKCON_Swamis/ISKCON_Swamis_-_R_to_Y/His_Holiness_Radhanath_Swami/Lectures/01_-_Theme_wise/Mercy/1993-031_Accept_Lord_Krishna%27s_Mercy_SB_10-25-11-13_-_Radhanath_Swami_Mumbai_1993-03-27_IDesireTree.mp3", "1993-031_Accept_Lord_Krishna%27s_Mercy_SB_10-25-11-13_-_Radhanath_Swami_Mumbai_1993-03-27_IDesireTree.mp3")</f>
        <v>1993-031_Accept_Lord_Krishna%27s_Mercy_SB_10-25-11-13_-_Radhanath_Swami_Mumbai_1993-03-27_IDesireTree.mp3</v>
      </c>
      <c r="D4193" s="24"/>
      <c r="E4193" s="24"/>
    </row>
    <row r="4194">
      <c r="A4194" s="25" t="s">
        <v>18392</v>
      </c>
      <c r="B4194" s="25" t="s">
        <v>18453</v>
      </c>
      <c r="C4194" s="26" t="str">
        <f>HYPERLINK("https://audio.iskcondesiretree.com/02_-_ISKCON_Swamis/ISKCON_Swamis_-_R_to_Y/His_Holiness_Radhanath_Swami/Lectures/01_-_Theme_wise/Mercy/1993-115_Thank_for_Lord_Krsna%27s_Mercy_SB_01-08-38-39_-_Radhanath_Swami_Mumbai_1993-06-12_IDesireTree.mp3", "1993-115_Thank_for_Lord_Krsna%27s_Mercy_SB_01-08-38-39_-_Radhanath_Swami_Mumbai_1993-06-12_IDesireTree.mp3")</f>
        <v>1993-115_Thank_for_Lord_Krsna%27s_Mercy_SB_01-08-38-39_-_Radhanath_Swami_Mumbai_1993-06-12_IDesireTree.mp3</v>
      </c>
      <c r="D4194" s="24"/>
      <c r="E4194" s="24"/>
    </row>
    <row r="4195">
      <c r="A4195" s="25" t="s">
        <v>18392</v>
      </c>
      <c r="B4195" s="25" t="s">
        <v>18453</v>
      </c>
      <c r="C4195" s="26" t="str">
        <f>HYPERLINK("https://audio.iskcondesiretree.com/02_-_ISKCON_Swamis/ISKCON_Swamis_-_R_to_Y/His_Holiness_Radhanath_Swami/Lectures/01_-_Theme_wise/Mercy/1993-143_Empowerment_Through_Mercy_SB_10-46-16_-_Radhanath_Swami_Mumbai_1993-10-05_IDesireTree.mp3", "1993-143_Empowerment_Through_Mercy_SB_10-46-16_-_Radhanath_Swami_Mumbai_1993-10-05_IDesireTree.mp3")</f>
        <v>1993-143_Empowerment_Through_Mercy_SB_10-46-16_-_Radhanath_Swami_Mumbai_1993-10-05_IDesireTree.mp3</v>
      </c>
      <c r="D4195" s="24"/>
      <c r="E4195" s="24"/>
    </row>
    <row r="4196">
      <c r="A4196" s="25" t="s">
        <v>18392</v>
      </c>
      <c r="B4196" s="25" t="s">
        <v>18453</v>
      </c>
      <c r="C4196" s="26" t="str">
        <f>HYPERLINK("https://audio.iskcondesiretree.com/02_-_ISKCON_Swamis/ISKCON_Swamis_-_R_to_Y/His_Holiness_Radhanath_Swami/Lectures/01_-_Theme_wise/Mercy/1994-012_Accepting_Mercy_with_Humility-I_SB_02-03-21_-_Radhanath_Swami_Pune_1994-01-23_IDesireTree.mp3", "1994-012_Accepting_Mercy_with_Humility-I_SB_02-03-21_-_Radhanath_Swami_Pune_1994-01-23_IDesireTree.mp3")</f>
        <v>1994-012_Accepting_Mercy_with_Humility-I_SB_02-03-21_-_Radhanath_Swami_Pune_1994-01-23_IDesireTree.mp3</v>
      </c>
      <c r="D4196" s="24"/>
      <c r="E4196" s="24"/>
    </row>
    <row r="4197">
      <c r="A4197" s="25" t="s">
        <v>18392</v>
      </c>
      <c r="B4197" s="25" t="s">
        <v>18453</v>
      </c>
      <c r="C4197" s="26" t="str">
        <f>HYPERLINK("https://audio.iskcondesiretree.com/02_-_ISKCON_Swamis/ISKCON_Swamis_-_R_to_Y/His_Holiness_Radhanath_Swami/Lectures/01_-_Theme_wise/Mercy/1994-013_Accepting_Mercy_with_Humility-II_Lecture_-_Radhanath_Swami_Pune_1994-01-23_IDesireTree.mp3", "1994-013_Accepting_Mercy_with_Humility-II_Lecture_-_Radhanath_Swami_Pune_1994-01-23_IDesireTree.mp3")</f>
        <v>1994-013_Accepting_Mercy_with_Humility-II_Lecture_-_Radhanath_Swami_Pune_1994-01-23_IDesireTree.mp3</v>
      </c>
      <c r="D4197" s="24"/>
      <c r="E4197" s="24"/>
    </row>
    <row r="4198">
      <c r="A4198" s="25" t="s">
        <v>18392</v>
      </c>
      <c r="B4198" s="25" t="s">
        <v>18453</v>
      </c>
      <c r="C4198" s="26" t="str">
        <f>HYPERLINK("https://audio.iskcondesiretree.com/02_-_ISKCON_Swamis/ISKCON_Swamis_-_R_to_Y/His_Holiness_Radhanath_Swami/Lectures/01_-_Theme_wise/Mercy/1994-045_Lord_Nityananda_Prabhu%27s_Mercy_Lecture_-_Radhanath_Swami_Mumbai_1994-02-24_IDesireTree.mp3", "1994-045_Lord_Nityananda_Prabhu%27s_Mercy_Lecture_-_Radhanath_Swami_Mumbai_1994-02-24_IDesireTree.mp3")</f>
        <v>1994-045_Lord_Nityananda_Prabhu%27s_Mercy_Lecture_-_Radhanath_Swami_Mumbai_1994-02-24_IDesireTree.mp3</v>
      </c>
      <c r="D4198" s="24"/>
      <c r="E4198" s="24"/>
    </row>
    <row r="4199">
      <c r="A4199" s="25" t="s">
        <v>18392</v>
      </c>
      <c r="B4199" s="25" t="s">
        <v>18453</v>
      </c>
      <c r="C4199" s="26" t="str">
        <f>HYPERLINK("https://audio.iskcondesiretree.com/02_-_ISKCON_Swamis/ISKCON_Swamis_-_R_to_Y/His_Holiness_Radhanath_Swami/Lectures/01_-_Theme_wise/Mercy/1994-106_Lord_Balaram%27s_Mercy_Is_must_BG_10-08_-_Radhanath_Swami_Mumbai_1994-08-21_IDesireTree.mp3", "1994-106_Lord_Balaram%27s_Mercy_Is_must_BG_10-08_-_Radhanath_Swami_Mumbai_1994-08-21_IDesireTree.mp3")</f>
        <v>1994-106_Lord_Balaram%27s_Mercy_Is_must_BG_10-08_-_Radhanath_Swami_Mumbai_1994-08-21_IDesireTree.mp3</v>
      </c>
      <c r="D4199" s="24"/>
      <c r="E4199" s="24"/>
    </row>
    <row r="4200">
      <c r="A4200" s="25" t="s">
        <v>18392</v>
      </c>
      <c r="B4200" s="25" t="s">
        <v>18453</v>
      </c>
      <c r="C4200" s="26" t="str">
        <f>HYPERLINK("https://audio.iskcondesiretree.com/02_-_ISKCON_Swamis/ISKCON_Swamis_-_R_to_Y/His_Holiness_Radhanath_Swami/Lectures/01_-_Theme_wise/Mercy/1994-129_Lord_Nityananda_Prabhu%27s_Mercy_Lecture_-_Radhanath_Swami_Mumbai_1994-09-03_IDesireTree.mp3", "1994-129_Lord_Nityananda_Prabhu%27s_Mercy_Lecture_-_Radhanath_Swami_Mumbai_1994-09-03_IDesireTree.mp3")</f>
        <v>1994-129_Lord_Nityananda_Prabhu%27s_Mercy_Lecture_-_Radhanath_Swami_Mumbai_1994-09-03_IDesireTree.mp3</v>
      </c>
      <c r="D4200" s="24"/>
      <c r="E4200" s="24"/>
    </row>
    <row r="4201">
      <c r="A4201" s="25" t="s">
        <v>18392</v>
      </c>
      <c r="B4201" s="25" t="s">
        <v>18453</v>
      </c>
      <c r="C4201" s="26" t="str">
        <f>HYPERLINK("https://audio.iskcondesiretree.com/02_-_ISKCON_Swamis/ISKCON_Swamis_-_R_to_Y/His_Holiness_Radhanath_Swami/Lectures/01_-_Theme_wise/Mercy/1994-188_Mercy_In_Form_Of_Holy_Name_HT_-_BG_09-20_-_Radhanath_Swami_Pune_1994-10-12_IDesireTree.mp3", "1994-188_Mercy_In_Form_Of_Holy_Name_HT_-_BG_09-20_-_Radhanath_Swami_Pune_1994-10-12_IDesireTree.mp3")</f>
        <v>1994-188_Mercy_In_Form_Of_Holy_Name_HT_-_BG_09-20_-_Radhanath_Swami_Pune_1994-10-12_IDesireTree.mp3</v>
      </c>
      <c r="D4201" s="24"/>
      <c r="E4201" s="24"/>
    </row>
    <row r="4202">
      <c r="A4202" s="25" t="s">
        <v>18392</v>
      </c>
      <c r="B4202" s="25" t="s">
        <v>18453</v>
      </c>
      <c r="C4202" s="26" t="str">
        <f>HYPERLINK("https://audio.iskcondesiretree.com/02_-_ISKCON_Swamis/ISKCON_Swamis_-_R_to_Y/His_Holiness_Radhanath_Swami/Lectures/01_-_Theme_wise/Mercy/1995-042_We_Are_Completely_Dependent_On_Your_Mercy_SB_01-08-37_-_Radhanath_Swami_Allahabad_1995-02-03.mp3", "1995-042_We_Are_Completely_Dependent_On_Your_Mercy_SB_01-08-37_-_Radhanath_Swami_Allahabad_1995-02-03.mp3")</f>
        <v>1995-042_We_Are_Completely_Dependent_On_Your_Mercy_SB_01-08-37_-_Radhanath_Swami_Allahabad_1995-02-03.mp3</v>
      </c>
      <c r="D4202" s="24"/>
      <c r="E4202" s="24"/>
    </row>
    <row r="4203">
      <c r="A4203" s="25" t="s">
        <v>18392</v>
      </c>
      <c r="B4203" s="25" t="s">
        <v>18453</v>
      </c>
      <c r="C4203" s="26" t="str">
        <f>HYPERLINK("https://audio.iskcondesiretree.com/02_-_ISKCON_Swamis/ISKCON_Swamis_-_R_to_Y/His_Holiness_Radhanath_Swami/Lectures/01_-_Theme_wise/Mercy/1996-007_Krishna_Is_Supremely_Merciful_SB_03-02-23_-_Radhanath_Swami_Pune_1996-01-04.mp3", "1996-007_Krishna_Is_Supremely_Merciful_SB_03-02-23_-_Radhanath_Swami_Pune_1996-01-04.mp3")</f>
        <v>1996-007_Krishna_Is_Supremely_Merciful_SB_03-02-23_-_Radhanath_Swami_Pune_1996-01-04.mp3</v>
      </c>
      <c r="D4203" s="24"/>
      <c r="E4203" s="24"/>
    </row>
    <row r="4204">
      <c r="A4204" s="25" t="s">
        <v>18392</v>
      </c>
      <c r="B4204" s="25" t="s">
        <v>18453</v>
      </c>
      <c r="C4204" s="26" t="str">
        <f>HYPERLINK("https://audio.iskcondesiretree.com/02_-_ISKCON_Swamis/ISKCON_Swamis_-_R_to_Y/His_Holiness_Radhanath_Swami/Lectures/01_-_Theme_wise/Mercy/1997-062_Ocean_of_Mercy_Lecture_-_Radhanath_Swami_Mumbai_1997-04-14_IDesireTree.mp3", "1997-062_Ocean_of_Mercy_Lecture_-_Radhanath_Swami_Mumbai_1997-04-14_IDesireTree.mp3")</f>
        <v>1997-062_Ocean_of_Mercy_Lecture_-_Radhanath_Swami_Mumbai_1997-04-14_IDesireTree.mp3</v>
      </c>
      <c r="D4204" s="24"/>
      <c r="E4204" s="24"/>
    </row>
    <row r="4205">
      <c r="A4205" s="25" t="s">
        <v>18392</v>
      </c>
      <c r="B4205" s="25" t="s">
        <v>18453</v>
      </c>
      <c r="C4205" s="26" t="str">
        <f>HYPERLINK("https://audio.iskcondesiretree.com/02_-_ISKCON_Swamis/ISKCON_Swamis_-_R_to_Y/His_Holiness_Radhanath_Swami/Lectures/01_-_Theme_wise/Mercy/1998-037_Krishna%27s_Mercy_is_Required_SB_03-06-09_-_Radhanath_Swami_Mumbai_1998-02-15_IDesireTree.mp3", "1998-037_Krishna%27s_Mercy_is_Required_SB_03-06-09_-_Radhanath_Swami_Mumbai_1998-02-15_IDesireTree.mp3")</f>
        <v>1998-037_Krishna%27s_Mercy_is_Required_SB_03-06-09_-_Radhanath_Swami_Mumbai_1998-02-15_IDesireTree.mp3</v>
      </c>
      <c r="D4205" s="24"/>
      <c r="E4205" s="24"/>
    </row>
    <row r="4206">
      <c r="A4206" s="25" t="s">
        <v>18392</v>
      </c>
      <c r="B4206" s="25" t="s">
        <v>18453</v>
      </c>
      <c r="C4206" s="26" t="str">
        <f>HYPERLINK("https://audio.iskcondesiretree.com/02_-_ISKCON_Swamis/ISKCON_Swamis_-_R_to_Y/His_Holiness_Radhanath_Swami/Lectures/01_-_Theme_wise/Mercy/1999-055_Lords_Mercy_to_Cross_this_Material_World_BG_07-14_-_Radhanath_Swami_Kurukshetra_1999-11-26_IDesireTree.mp3", "1999-055_Lords_Mercy_to_Cross_this_Material_World_BG_07-14_-_Radhanath_Swami_Kurukshetra_1999-11-26_IDesireTree.mp3")</f>
        <v>1999-055_Lords_Mercy_to_Cross_this_Material_World_BG_07-14_-_Radhanath_Swami_Kurukshetra_1999-11-26_IDesireTree.mp3</v>
      </c>
      <c r="D4206" s="24"/>
      <c r="E4206" s="24"/>
    </row>
    <row r="4207">
      <c r="A4207" s="25" t="s">
        <v>18392</v>
      </c>
      <c r="B4207" s="25" t="s">
        <v>18453</v>
      </c>
      <c r="C4207" s="26" t="str">
        <f>HYPERLINK("https://audio.iskcondesiretree.com/02_-_ISKCON_Swamis/ISKCON_Swamis_-_R_to_Y/His_Holiness_Radhanath_Swami/Lectures/01_-_Theme_wise/Mercy/2000-099_Depending_Fully_upon_krsnas_Mercy_BG_03-30_-_Radhanath_Swami_Mumbai_2000-12-09_IDesireTree.mp3", "2000-099_Depending_Fully_upon_krsnas_Mercy_BG_03-30_-_Radhanath_Swami_Mumbai_2000-12-09_IDesireTree.mp3")</f>
        <v>2000-099_Depending_Fully_upon_krsnas_Mercy_BG_03-30_-_Radhanath_Swami_Mumbai_2000-12-09_IDesireTree.mp3</v>
      </c>
      <c r="D4207" s="24"/>
      <c r="E4207" s="24"/>
    </row>
    <row r="4208">
      <c r="A4208" s="25" t="s">
        <v>18392</v>
      </c>
      <c r="B4208" s="25" t="s">
        <v>18453</v>
      </c>
      <c r="C4208" s="26" t="str">
        <f>HYPERLINK("https://audio.iskcondesiretree.com/02_-_ISKCON_Swamis/ISKCON_Swamis_-_R_to_Y/His_Holiness_Radhanath_Swami/Lectures/01_-_Theme_wise/Mercy/2001-067_Power_Of_The_Mercy_Of_The_Holy_Name_SB_01-18-19_-_Radhanath_Swami_Mumbai_2001-12-27_IDesireTree.mp3", "2001-067_Power_Of_The_Mercy_Of_The_Holy_Name_SB_01-18-19_-_Radhanath_Swami_Mumbai_2001-12-27_IDesireTree.mp3")</f>
        <v>2001-067_Power_Of_The_Mercy_Of_The_Holy_Name_SB_01-18-19_-_Radhanath_Swami_Mumbai_2001-12-27_IDesireTree.mp3</v>
      </c>
      <c r="D4208" s="24"/>
      <c r="E4208" s="24"/>
    </row>
    <row r="4209">
      <c r="A4209" s="25" t="s">
        <v>18392</v>
      </c>
      <c r="B4209" s="25" t="s">
        <v>18453</v>
      </c>
      <c r="C4209" s="26" t="str">
        <f>HYPERLINK("https://audio.iskcondesiretree.com/02_-_ISKCON_Swamis/ISKCON_Swamis_-_R_to_Y/His_Holiness_Radhanath_Swami/Lectures/01_-_Theme_wise/Mercy/2001-068_Knowledge_%26_Realisation_By_The_Grace_Of_Lord_SB_04-09-14_-_Radhanath_Swami_Mumbai_2001-12-29_IDesireTree.mp"&amp;"3", "2001-068_Knowledge_%26_Realisation_By_The_Grace_Of_Lord_SB_04-09-14_-_Radhanath_Swami_Mumbai_2001-12-29_IDesireTree.mp3")</f>
        <v>2001-068_Knowledge_%26_Realisation_By_The_Grace_Of_Lord_SB_04-09-14_-_Radhanath_Swami_Mumbai_2001-12-29_IDesireTree.mp3</v>
      </c>
      <c r="D4209" s="24"/>
      <c r="E4209" s="24"/>
    </row>
    <row r="4210">
      <c r="A4210" s="25" t="s">
        <v>18392</v>
      </c>
      <c r="B4210" s="25" t="s">
        <v>18453</v>
      </c>
      <c r="C4210" s="26" t="str">
        <f>HYPERLINK("https://audio.iskcondesiretree.com/02_-_ISKCON_Swamis/ISKCON_Swamis_-_R_to_Y/His_Holiness_Radhanath_Swami/Lectures/01_-_Theme_wise/Mercy/2003-026_We_should_depend_only_on_the_mercy_of_Krsna_SB_Class_-_Radhanath_Swami_Mumbai_2003-04-06_IDesireTree.mp3", "2003-026_We_should_depend_only_on_the_mercy_of_Krsna_SB_Class_-_Radhanath_Swami_Mumbai_2003-04-06_IDesireTree.mp3")</f>
        <v>2003-026_We_should_depend_only_on_the_mercy_of_Krsna_SB_Class_-_Radhanath_Swami_Mumbai_2003-04-06_IDesireTree.mp3</v>
      </c>
      <c r="D4210" s="24"/>
      <c r="E4210" s="24"/>
    </row>
    <row r="4211">
      <c r="A4211" s="25" t="s">
        <v>18392</v>
      </c>
      <c r="B4211" s="25" t="s">
        <v>18453</v>
      </c>
      <c r="C4211" s="26" t="str">
        <f>HYPERLINK("https://audio.iskcondesiretree.com/02_-_ISKCON_Swamis/ISKCON_Swamis_-_R_to_Y/His_Holiness_Radhanath_Swami/Lectures/01_-_Theme_wise/Mercy/2003-047_Lord_Krishna%27s_Various_Forms_of_Mercy_SB_04-24-50_-_Radhanath_Swami_Mumbai_2003-08-17_IDesireTree.mp3", "2003-047_Lord_Krishna%27s_Various_Forms_of_Mercy_SB_04-24-50_-_Radhanath_Swami_Mumbai_2003-08-17_IDesireTree.mp3")</f>
        <v>2003-047_Lord_Krishna%27s_Various_Forms_of_Mercy_SB_04-24-50_-_Radhanath_Swami_Mumbai_2003-08-17_IDesireTree.mp3</v>
      </c>
      <c r="D4211" s="24"/>
      <c r="E4211" s="24"/>
    </row>
    <row r="4212">
      <c r="A4212" s="25" t="s">
        <v>18392</v>
      </c>
      <c r="B4212" s="25" t="s">
        <v>18453</v>
      </c>
      <c r="C4212" s="26" t="str">
        <f>HYPERLINK("https://audio.iskcondesiretree.com/02_-_ISKCON_Swamis/ISKCON_Swamis_-_R_to_Y/His_Holiness_Radhanath_Swami/Lectures/01_-_Theme_wise/Mercy/2003-082_Lord_Nityananda%27s_Mercy_Lecture_-_Radhanath_Swami_New_Vrindavan_2003-10-31_IDesireTree.mp3", "2003-082_Lord_Nityananda%27s_Mercy_Lecture_-_Radhanath_Swami_New_Vrindavan_2003-10-31_IDesireTree.mp3")</f>
        <v>2003-082_Lord_Nityananda%27s_Mercy_Lecture_-_Radhanath_Swami_New_Vrindavan_2003-10-31_IDesireTree.mp3</v>
      </c>
      <c r="D4212" s="24"/>
      <c r="E4212" s="24"/>
    </row>
    <row r="4213">
      <c r="A4213" s="25" t="s">
        <v>18392</v>
      </c>
      <c r="B4213" s="25" t="s">
        <v>18454</v>
      </c>
      <c r="C4213" s="26" t="str">
        <f>HYPERLINK("https://audio.iskcondesiretree.com/02_-_ISKCON_Swamis/ISKCON_Swamis_-_R_to_Y/His_Holiness_Radhanath_Swami/Lectures/01_-_Theme_wise/Mind_Control/1989-040_Stop_Trusting_Your_Mind_Lecture_-_Radhanath_Swami_Mumbai_1989-09-01_IDesireTree.mp3", "1989-040_Stop_Trusting_Your_Mind_Lecture_-_Radhanath_Swami_Mumbai_1989-09-01_IDesireTree.mp3")</f>
        <v>1989-040_Stop_Trusting_Your_Mind_Lecture_-_Radhanath_Swami_Mumbai_1989-09-01_IDesireTree.mp3</v>
      </c>
      <c r="D4213" s="24"/>
      <c r="E4213" s="24"/>
    </row>
    <row r="4214">
      <c r="A4214" s="25" t="s">
        <v>18392</v>
      </c>
      <c r="B4214" s="25" t="s">
        <v>18454</v>
      </c>
      <c r="C4214" s="26" t="str">
        <f>HYPERLINK("https://audio.iskcondesiretree.com/02_-_ISKCON_Swamis/ISKCON_Swamis_-_R_to_Y/His_Holiness_Radhanath_Swami/Lectures/01_-_Theme_wise/Mind_Control/1989-060_Controlling_The_Mind_BG_06-05_-_Radhanath_Swami_Mumbai_1989-10-01_IDesireTree.mp3", "1989-060_Controlling_The_Mind_BG_06-05_-_Radhanath_Swami_Mumbai_1989-10-01_IDesireTree.mp3")</f>
        <v>1989-060_Controlling_The_Mind_BG_06-05_-_Radhanath_Swami_Mumbai_1989-10-01_IDesireTree.mp3</v>
      </c>
      <c r="D4214" s="24"/>
      <c r="E4214" s="24"/>
    </row>
    <row r="4215">
      <c r="A4215" s="25" t="s">
        <v>18392</v>
      </c>
      <c r="B4215" s="25" t="s">
        <v>18454</v>
      </c>
      <c r="C4215" s="26" t="str">
        <f>HYPERLINK("https://audio.iskcondesiretree.com/02_-_ISKCON_Swamis/ISKCON_Swamis_-_R_to_Y/His_Holiness_Radhanath_Swami/Lectures/01_-_Theme_wise/Mind_Control/1991-115_Watch_Those_Thoughts_Of_The_Mind_SB_10-01-47_-_Radhanath_Swami_Mumbai_1991-11-02_IDesireTree.mp3", "1991-115_Watch_Those_Thoughts_Of_The_Mind_SB_10-01-47_-_Radhanath_Swami_Mumbai_1991-11-02_IDesireTree.mp3")</f>
        <v>1991-115_Watch_Those_Thoughts_Of_The_Mind_SB_10-01-47_-_Radhanath_Swami_Mumbai_1991-11-02_IDesireTree.mp3</v>
      </c>
      <c r="D4215" s="24"/>
      <c r="E4215" s="24"/>
    </row>
    <row r="4216">
      <c r="A4216" s="25" t="s">
        <v>18392</v>
      </c>
      <c r="B4216" s="25" t="s">
        <v>18454</v>
      </c>
      <c r="C4216" s="26" t="str">
        <f>HYPERLINK("https://audio.iskcondesiretree.com/02_-_ISKCON_Swamis/ISKCON_Swamis_-_R_to_Y/His_Holiness_Radhanath_Swami/Lectures/01_-_Theme_wise/Mind_Control/1991-150_Mind-_Friend_And_Enemy_BG_06-26_-_Radhanath_Swami_Mumbai_1991-12-15_IDesireTree.mp3", "1991-150_Mind-_Friend_And_Enemy_BG_06-26_-_Radhanath_Swami_Mumbai_1991-12-15_IDesireTree.mp3")</f>
        <v>1991-150_Mind-_Friend_And_Enemy_BG_06-26_-_Radhanath_Swami_Mumbai_1991-12-15_IDesireTree.mp3</v>
      </c>
      <c r="D4216" s="24"/>
      <c r="E4216" s="24"/>
    </row>
    <row r="4217">
      <c r="A4217" s="25" t="s">
        <v>18392</v>
      </c>
      <c r="B4217" s="25" t="s">
        <v>18454</v>
      </c>
      <c r="C4217" s="26" t="str">
        <f>HYPERLINK("https://audio.iskcondesiretree.com/02_-_ISKCON_Swamis/ISKCON_Swamis_-_R_to_Y/His_Holiness_Radhanath_Swami/Lectures/01_-_Theme_wise/Mind_Control/1996-119_Dualities_Of_Mind_SB_07-08-09_-_Radhanath_Swami_Mumbai_1996-09-10_IDesireTree.mp3", "1996-119_Dualities_Of_Mind_SB_07-08-09_-_Radhanath_Swami_Mumbai_1996-09-10_IDesireTree.mp3")</f>
        <v>1996-119_Dualities_Of_Mind_SB_07-08-09_-_Radhanath_Swami_Mumbai_1996-09-10_IDesireTree.mp3</v>
      </c>
      <c r="D4217" s="24"/>
      <c r="E4217" s="24"/>
    </row>
    <row r="4218">
      <c r="A4218" s="25" t="s">
        <v>18392</v>
      </c>
      <c r="B4218" s="25" t="s">
        <v>18454</v>
      </c>
      <c r="C4218" s="26" t="str">
        <f>HYPERLINK("https://audio.iskcondesiretree.com/02_-_ISKCON_Swamis/ISKCON_Swamis_-_R_to_Y/His_Holiness_Radhanath_Swami/Lectures/01_-_Theme_wise/Mind_Control/1996-148_Make_Mind_Your_Friend_Ht_-_BG_06-05_-_Radhanath_Swami_Kolhapur_1996-10-03_IDesireTree.mp3", "1996-148_Make_Mind_Your_Friend_Ht_-_BG_06-05_-_Radhanath_Swami_Kolhapur_1996-10-03_IDesireTree.mp3")</f>
        <v>1996-148_Make_Mind_Your_Friend_Ht_-_BG_06-05_-_Radhanath_Swami_Kolhapur_1996-10-03_IDesireTree.mp3</v>
      </c>
      <c r="D4218" s="24"/>
      <c r="E4218" s="24"/>
    </row>
    <row r="4219">
      <c r="A4219" s="25" t="s">
        <v>18392</v>
      </c>
      <c r="B4219" s="25" t="s">
        <v>18454</v>
      </c>
      <c r="C4219" s="26" t="str">
        <f>HYPERLINK("https://audio.iskcondesiretree.com/02_-_ISKCON_Swamis/ISKCON_Swamis_-_R_to_Y/His_Holiness_Radhanath_Swami/Lectures/01_-_Theme_wise/Mind_Control/1998-020_Spiritual_Life_Means_to_Control_Mind_BG_06-36_-_Radhanath_Swami_Mumbai_1998-01-27_IDesireTree.mp3", "1998-020_Spiritual_Life_Means_to_Control_Mind_BG_06-36_-_Radhanath_Swami_Mumbai_1998-01-27_IDesireTree.mp3")</f>
        <v>1998-020_Spiritual_Life_Means_to_Control_Mind_BG_06-36_-_Radhanath_Swami_Mumbai_1998-01-27_IDesireTree.mp3</v>
      </c>
      <c r="D4219" s="24"/>
      <c r="E4219" s="24"/>
    </row>
    <row r="4220">
      <c r="A4220" s="25" t="s">
        <v>18392</v>
      </c>
      <c r="B4220" s="25" t="s">
        <v>18454</v>
      </c>
      <c r="C4220" s="26" t="str">
        <f>HYPERLINK("https://audio.iskcondesiretree.com/02_-_ISKCON_Swamis/ISKCON_Swamis_-_R_to_Y/His_Holiness_Radhanath_Swami/Lectures/01_-_Theme_wise/Mind_Control/1998-032_Training_Our_Mind_Lecture_-_Radhanath_Swami_Mumbai_1998-02-10_IDesireTree.mp3", "1998-032_Training_Our_Mind_Lecture_-_Radhanath_Swami_Mumbai_1998-02-10_IDesireTree.mp3")</f>
        <v>1998-032_Training_Our_Mind_Lecture_-_Radhanath_Swami_Mumbai_1998-02-10_IDesireTree.mp3</v>
      </c>
      <c r="D4220" s="24"/>
      <c r="E4220" s="24"/>
    </row>
    <row r="4221">
      <c r="A4221" s="25" t="s">
        <v>18392</v>
      </c>
      <c r="B4221" s="25" t="s">
        <v>18454</v>
      </c>
      <c r="C4221" s="26" t="str">
        <f>HYPERLINK("https://audio.iskcondesiretree.com/02_-_ISKCON_Swamis/ISKCON_Swamis_-_R_to_Y/His_Holiness_Radhanath_Swami/Lectures/01_-_Theme_wise/Mind_Control/1998-040_Cunning_Mind_SB_05-11-17_-_Radhanath_Swami_Mumbai_1998-02-24_IDesireTree.mp3", "1998-040_Cunning_Mind_SB_05-11-17_-_Radhanath_Swami_Mumbai_1998-02-24_IDesireTree.mp3")</f>
        <v>1998-040_Cunning_Mind_SB_05-11-17_-_Radhanath_Swami_Mumbai_1998-02-24_IDesireTree.mp3</v>
      </c>
      <c r="D4221" s="24"/>
      <c r="E4221" s="24"/>
    </row>
    <row r="4222">
      <c r="A4222" s="25" t="s">
        <v>18392</v>
      </c>
      <c r="B4222" s="25" t="s">
        <v>18454</v>
      </c>
      <c r="C4222" s="26" t="str">
        <f>HYPERLINK("https://audio.iskcondesiretree.com/02_-_ISKCON_Swamis/ISKCON_Swamis_-_R_to_Y/His_Holiness_Radhanath_Swami/Lectures/01_-_Theme_wise/Mind_Control/1998-043_Just_Neglect_Your_Mind_SB_05_-_Radhanath_Swami_Mumbai_1998-03-01_IDesireTree.mp3", "1998-043_Just_Neglect_Your_Mind_SB_05_-_Radhanath_Swami_Mumbai_1998-03-01_IDesireTree.mp3")</f>
        <v>1998-043_Just_Neglect_Your_Mind_SB_05_-_Radhanath_Swami_Mumbai_1998-03-01_IDesireTree.mp3</v>
      </c>
      <c r="D4222" s="24"/>
      <c r="E4222" s="24"/>
    </row>
    <row r="4223">
      <c r="A4223" s="25" t="s">
        <v>18392</v>
      </c>
      <c r="B4223" s="25" t="s">
        <v>18454</v>
      </c>
      <c r="C4223" s="26" t="str">
        <f>HYPERLINK("https://audio.iskcondesiretree.com/02_-_ISKCON_Swamis/ISKCON_Swamis_-_R_to_Y/His_Holiness_Radhanath_Swami/Lectures/01_-_Theme_wise/Mind_Control/1998-054_Mind_the_Real_Cause_of_Suffering_BG_12-18-19_-_Radhanath_Swami_Mumbai_1998-03-29_IDesireTree.mp3", "1998-054_Mind_the_Real_Cause_of_Suffering_BG_12-18-19_-_Radhanath_Swami_Mumbai_1998-03-29_IDesireTree.mp3")</f>
        <v>1998-054_Mind_the_Real_Cause_of_Suffering_BG_12-18-19_-_Radhanath_Swami_Mumbai_1998-03-29_IDesireTree.mp3</v>
      </c>
      <c r="D4223" s="24"/>
      <c r="E4223" s="24"/>
    </row>
    <row r="4224">
      <c r="A4224" s="25" t="s">
        <v>18392</v>
      </c>
      <c r="B4224" s="25" t="s">
        <v>18454</v>
      </c>
      <c r="C4224" s="26" t="str">
        <f>HYPERLINK("https://audio.iskcondesiretree.com/02_-_ISKCON_Swamis/ISKCON_Swamis_-_R_to_Y/His_Holiness_Radhanath_Swami/Lectures/01_-_Theme_wise/Mind_Control/1998-059_Cleansing_the_Mirror_of_Mind_SB_05-14-05_-_Radhanath_Swami_Mayapur_1998-04-12_IDesireTree.mp3", "1998-059_Cleansing_the_Mirror_of_Mind_SB_05-14-05_-_Radhanath_Swami_Mayapur_1998-04-12_IDesireTree.mp3")</f>
        <v>1998-059_Cleansing_the_Mirror_of_Mind_SB_05-14-05_-_Radhanath_Swami_Mayapur_1998-04-12_IDesireTree.mp3</v>
      </c>
      <c r="D4224" s="24"/>
      <c r="E4224" s="24"/>
    </row>
    <row r="4225">
      <c r="A4225" s="25" t="s">
        <v>18392</v>
      </c>
      <c r="B4225" s="25" t="s">
        <v>18454</v>
      </c>
      <c r="C4225" s="26" t="str">
        <f>HYPERLINK("https://audio.iskcondesiretree.com/02_-_ISKCON_Swamis/ISKCON_Swamis_-_R_to_Y/His_Holiness_Radhanath_Swami/Lectures/01_-_Theme_wise/Mind_Control/2000-034_Real_Control_of_Mind_BG_06_-_Radhanath_Swami_Mumbai_IDesireTree.mp3", "2000-034_Real_Control_of_Mind_BG_06_-_Radhanath_Swami_Mumbai_IDesireTree.mp3")</f>
        <v>2000-034_Real_Control_of_Mind_BG_06_-_Radhanath_Swami_Mumbai_IDesireTree.mp3</v>
      </c>
      <c r="D4225" s="24"/>
      <c r="E4225" s="24"/>
    </row>
    <row r="4226">
      <c r="A4226" s="25" t="s">
        <v>18392</v>
      </c>
      <c r="B4226" s="25" t="s">
        <v>18454</v>
      </c>
      <c r="C4226" s="26" t="str">
        <f>HYPERLINK("https://audio.iskcondesiretree.com/02_-_ISKCON_Swamis/ISKCON_Swamis_-_R_to_Y/His_Holiness_Radhanath_Swami/Lectures/01_-_Theme_wise/Mind_Control/2002-099_Converting_the_mind_SB_04-10-08_-_Radhanath_Swami_Mumbai_2002-10-01_IDesireTree.mp3", "2002-099_Converting_the_mind_SB_04-10-08_-_Radhanath_Swami_Mumbai_2002-10-01_IDesireTree.mp3")</f>
        <v>2002-099_Converting_the_mind_SB_04-10-08_-_Radhanath_Swami_Mumbai_2002-10-01_IDesireTree.mp3</v>
      </c>
      <c r="D4226" s="24"/>
      <c r="E4226" s="24"/>
    </row>
    <row r="4227">
      <c r="A4227" s="25" t="s">
        <v>18392</v>
      </c>
      <c r="B4227" s="25" t="s">
        <v>18455</v>
      </c>
      <c r="C4227" s="26" t="str">
        <f>HYPERLINK("https://audio.iskcondesiretree.com/02_-_ISKCON_Swamis/ISKCON_Swamis_-_R_to_Y/His_Holiness_Radhanath_Swami/Lectures/01_-_Theme_wise/Modes_of_material_nature/1994-184_Go_Beyond_The_Three_Modes_BG_14-05_-_Radhanath_Swami_Mumbai_1994-10-09_IDesireTree.mp3", "1994-184_Go_Beyond_The_Three_Modes_BG_14-05_-_Radhanath_Swami_Mumbai_1994-10-09_IDesireTree.mp3")</f>
        <v>1994-184_Go_Beyond_The_Three_Modes_BG_14-05_-_Radhanath_Swami_Mumbai_1994-10-09_IDesireTree.mp3</v>
      </c>
      <c r="D4227" s="24"/>
      <c r="E4227" s="24"/>
    </row>
    <row r="4228">
      <c r="A4228" s="25" t="s">
        <v>18392</v>
      </c>
      <c r="B4228" s="25" t="s">
        <v>18455</v>
      </c>
      <c r="C4228" s="26" t="str">
        <f>HYPERLINK("https://audio.iskcondesiretree.com/02_-_ISKCON_Swamis/ISKCON_Swamis_-_R_to_Y/His_Holiness_Radhanath_Swami/Lectures/01_-_Theme_wise/Modes_of_material_nature/1998-044_Overcoming_the_Three_Modes_BG_13-24_-_Radhanath_Swami_Mumbai_1998-03-03_IDesireTree.mp3", "1998-044_Overcoming_the_Three_Modes_BG_13-24_-_Radhanath_Swami_Mumbai_1998-03-03_IDesireTree.mp3")</f>
        <v>1998-044_Overcoming_the_Three_Modes_BG_13-24_-_Radhanath_Swami_Mumbai_1998-03-03_IDesireTree.mp3</v>
      </c>
      <c r="D4228" s="24"/>
      <c r="E4228" s="24"/>
    </row>
    <row r="4229">
      <c r="A4229" s="25" t="s">
        <v>18392</v>
      </c>
      <c r="B4229" s="25" t="s">
        <v>18456</v>
      </c>
      <c r="C4229" s="26" t="str">
        <f>HYPERLINK("https://audio.iskcondesiretree.com/02_-_ISKCON_Swamis/ISKCON_Swamis_-_R_to_Y/His_Holiness_Radhanath_Swami/Lectures/01_-_Theme_wise/Nectar_Of_Instruction/1991-126_Nectar_Of_Instruction_NOI_01-02_-_Radhanath_Swami_Mumbai_1991-11-27_IDesireTree.mp3", "1991-126_Nectar_Of_Instruction_NOI_01-02_-_Radhanath_Swami_Mumbai_1991-11-27_IDesireTree.mp3")</f>
        <v>1991-126_Nectar_Of_Instruction_NOI_01-02_-_Radhanath_Swami_Mumbai_1991-11-27_IDesireTree.mp3</v>
      </c>
      <c r="D4229" s="24"/>
      <c r="E4229" s="24"/>
    </row>
    <row r="4230">
      <c r="A4230" s="25" t="s">
        <v>18392</v>
      </c>
      <c r="B4230" s="25" t="s">
        <v>18456</v>
      </c>
      <c r="C4230" s="26" t="str">
        <f>HYPERLINK("https://audio.iskcondesiretree.com/02_-_ISKCON_Swamis/ISKCON_Swamis_-_R_to_Y/His_Holiness_Radhanath_Swami/Lectures/01_-_Theme_wise/Nectar_Of_Instruction/1992-128_Controlling_The_Tongue_Lecture_-_Radhanath_Swami_Mumbai_1992-11-24_IDesireTree.mp3", "1992-128_Controlling_The_Tongue_Lecture_-_Radhanath_Swami_Mumbai_1992-11-24_IDesireTree.mp3")</f>
        <v>1992-128_Controlling_The_Tongue_Lecture_-_Radhanath_Swami_Mumbai_1992-11-24_IDesireTree.mp3</v>
      </c>
      <c r="D4230" s="24"/>
      <c r="E4230" s="24"/>
    </row>
    <row r="4231">
      <c r="A4231" s="25" t="s">
        <v>18392</v>
      </c>
      <c r="B4231" s="25" t="s">
        <v>18457</v>
      </c>
      <c r="C4231" s="26" t="str">
        <f>HYPERLINK("https://audio.iskcondesiretree.com/02_-_ISKCON_Swamis/ISKCON_Swamis_-_R_to_Y/His_Holiness_Radhanath_Swami/Lectures/01_-_Theme_wise/Obstacles_in_spiritual_life/1993-042_Pitfalls_on_the_path_Lecture_-_Radhanath_Swami_Mumbai_1993-04-06_IDesireTree.mp3", "1993-042_Pitfalls_on_the_path_Lecture_-_Radhanath_Swami_Mumbai_1993-04-06_IDesireTree.mp3")</f>
        <v>1993-042_Pitfalls_on_the_path_Lecture_-_Radhanath_Swami_Mumbai_1993-04-06_IDesireTree.mp3</v>
      </c>
      <c r="D4231" s="24"/>
      <c r="E4231" s="24"/>
    </row>
    <row r="4232">
      <c r="A4232" s="25" t="s">
        <v>18392</v>
      </c>
      <c r="B4232" s="25" t="s">
        <v>18457</v>
      </c>
      <c r="C4232" s="26" t="str">
        <f>HYPERLINK("https://audio.iskcondesiretree.com/02_-_ISKCON_Swamis/ISKCON_Swamis_-_R_to_Y/His_Holiness_Radhanath_Swami/Lectures/01_-_Theme_wise/Obstacles_in_spiritual_life/1994-067_Overcoming_Difficulties_SB_07-09-43_-_Radhanath_Swami_Mumbai_1994-05-06_IDesireTree.mp3", "1994-067_Overcoming_Difficulties_SB_07-09-43_-_Radhanath_Swami_Mumbai_1994-05-06_IDesireTree.mp3")</f>
        <v>1994-067_Overcoming_Difficulties_SB_07-09-43_-_Radhanath_Swami_Mumbai_1994-05-06_IDesireTree.mp3</v>
      </c>
      <c r="D4232" s="24"/>
      <c r="E4232" s="24"/>
    </row>
    <row r="4233">
      <c r="A4233" s="25" t="s">
        <v>18392</v>
      </c>
      <c r="B4233" s="25" t="s">
        <v>18457</v>
      </c>
      <c r="C4233" s="26" t="str">
        <f>HYPERLINK("https://audio.iskcondesiretree.com/02_-_ISKCON_Swamis/ISKCON_Swamis_-_R_to_Y/His_Holiness_Radhanath_Swami/Lectures/01_-_Theme_wise/Obstacles_in_spiritual_life/1994-085_Fire_Of_Tribulation_SB_10-58-05_-_Radhanath_Swami_Mumbai_1994-05-13_IDesireTree.mp3", "1994-085_Fire_Of_Tribulation_SB_10-58-05_-_Radhanath_Swami_Mumbai_1994-05-13_IDesireTree.mp3")</f>
        <v>1994-085_Fire_Of_Tribulation_SB_10-58-05_-_Radhanath_Swami_Mumbai_1994-05-13_IDesireTree.mp3</v>
      </c>
      <c r="D4233" s="24"/>
      <c r="E4233" s="24"/>
    </row>
    <row r="4234">
      <c r="A4234" s="25" t="s">
        <v>18392</v>
      </c>
      <c r="B4234" s="25" t="s">
        <v>18457</v>
      </c>
      <c r="C4234" s="26" t="str">
        <f>HYPERLINK("https://audio.iskcondesiretree.com/02_-_ISKCON_Swamis/ISKCON_Swamis_-_R_to_Y/His_Holiness_Radhanath_Swami/Lectures/01_-_Theme_wise/Obstacles_in_spiritual_life/1997-021_Never_Expect_Any_Glory_Lecture_-_Radhanath_Swami_Mumbai_1997-01-23_IDesireTree.mp3", "1997-021_Never_Expect_Any_Glory_Lecture_-_Radhanath_Swami_Mumbai_1997-01-23_IDesireTree.mp3")</f>
        <v>1997-021_Never_Expect_Any_Glory_Lecture_-_Radhanath_Swami_Mumbai_1997-01-23_IDesireTree.mp3</v>
      </c>
      <c r="D4234" s="24"/>
      <c r="E4234" s="24"/>
    </row>
    <row r="4235">
      <c r="A4235" s="25" t="s">
        <v>18392</v>
      </c>
      <c r="B4235" s="25" t="s">
        <v>18458</v>
      </c>
      <c r="C4235" s="26" t="str">
        <f>HYPERLINK("https://audio.iskcondesiretree.com/02_-_ISKCON_Swamis/ISKCON_Swamis_-_R_to_Y/His_Holiness_Radhanath_Swami/Lectures/01_-_Theme_wise/Occupational_duties/1989-049_Becoming_Peaceful_SB_08-05-47_-_Radhanath_Swami_Mumbai_1989-09-24_IDesireTree.mp3", "1989-049_Becoming_Peaceful_SB_08-05-47_-_Radhanath_Swami_Mumbai_1989-09-24_IDesireTree.mp3")</f>
        <v>1989-049_Becoming_Peaceful_SB_08-05-47_-_Radhanath_Swami_Mumbai_1989-09-24_IDesireTree.mp3</v>
      </c>
      <c r="D4235" s="24"/>
      <c r="E4235" s="24"/>
    </row>
    <row r="4236">
      <c r="A4236" s="25" t="s">
        <v>18392</v>
      </c>
      <c r="B4236" s="25" t="s">
        <v>18458</v>
      </c>
      <c r="C4236" s="26" t="str">
        <f>HYPERLINK("https://audio.iskcondesiretree.com/02_-_ISKCON_Swamis/ISKCON_Swamis_-_R_to_Y/His_Holiness_Radhanath_Swami/Lectures/01_-_Theme_wise/Occupational_duties/1993-048_Inaction_In_Action_BG_04-17_-_Radhanath_Swami_Mumbai_1993-04-11_IDesireTree.mp3", "1993-048_Inaction_In_Action_BG_04-17_-_Radhanath_Swami_Mumbai_1993-04-11_IDesireTree.mp3")</f>
        <v>1993-048_Inaction_In_Action_BG_04-17_-_Radhanath_Swami_Mumbai_1993-04-11_IDesireTree.mp3</v>
      </c>
      <c r="D4236" s="24"/>
      <c r="E4236" s="24"/>
    </row>
    <row r="4237">
      <c r="A4237" s="25" t="s">
        <v>18392</v>
      </c>
      <c r="B4237" s="25" t="s">
        <v>18458</v>
      </c>
      <c r="C4237" s="26" t="str">
        <f>HYPERLINK("https://audio.iskcondesiretree.com/02_-_ISKCON_Swamis/ISKCON_Swamis_-_R_to_Y/His_Holiness_Radhanath_Swami/Lectures/01_-_Theme_wise/Occupational_duties/1994-019_Fools_Are_Attached_To_Result_SB_06-12-07_-_Radhanath_Swami_Mumbai_1994-01-25_IDesireTree.mp3", "1994-019_Fools_Are_Attached_To_Result_SB_06-12-07_-_Radhanath_Swami_Mumbai_1994-01-25_IDesireTree.mp3")</f>
        <v>1994-019_Fools_Are_Attached_To_Result_SB_06-12-07_-_Radhanath_Swami_Mumbai_1994-01-25_IDesireTree.mp3</v>
      </c>
      <c r="D4237" s="24"/>
      <c r="E4237" s="24"/>
    </row>
    <row r="4238">
      <c r="A4238" s="25" t="s">
        <v>18392</v>
      </c>
      <c r="B4238" s="25" t="s">
        <v>18458</v>
      </c>
      <c r="C4238" s="26" t="str">
        <f>HYPERLINK("https://audio.iskcondesiretree.com/02_-_ISKCON_Swamis/ISKCON_Swamis_-_R_to_Y/His_Holiness_Radhanath_Swami/Lectures/01_-_Theme_wise/Occupational_duties/1997-013_Fruitive_Workers_are_Misers_Ht_-_BG_02_-_Radhanath_Swami_Mumbai_IDesireTree.mp3", "1997-013_Fruitive_Workers_are_Misers_Ht_-_BG_02_-_Radhanath_Swami_Mumbai_IDesireTree.mp3")</f>
        <v>1997-013_Fruitive_Workers_are_Misers_Ht_-_BG_02_-_Radhanath_Swami_Mumbai_IDesireTree.mp3</v>
      </c>
      <c r="D4238" s="24"/>
      <c r="E4238" s="24"/>
    </row>
    <row r="4239">
      <c r="A4239" s="25" t="s">
        <v>18392</v>
      </c>
      <c r="B4239" s="25" t="s">
        <v>18458</v>
      </c>
      <c r="C4239" s="26" t="str">
        <f>HYPERLINK("https://audio.iskcondesiretree.com/02_-_ISKCON_Swamis/ISKCON_Swamis_-_R_to_Y/His_Holiness_Radhanath_Swami/Lectures/01_-_Theme_wise/Occupational_duties/1997-040_Perform_Your_Duty_BG_03-08_-_Radhanath_Swami_Mumbai_1997-02-13_IDesireTree.mp3", "1997-040_Perform_Your_Duty_BG_03-08_-_Radhanath_Swami_Mumbai_1997-02-13_IDesireTree.mp3")</f>
        <v>1997-040_Perform_Your_Duty_BG_03-08_-_Radhanath_Swami_Mumbai_1997-02-13_IDesireTree.mp3</v>
      </c>
      <c r="D4239" s="24"/>
      <c r="E4239" s="24"/>
    </row>
    <row r="4240">
      <c r="A4240" s="25" t="s">
        <v>18392</v>
      </c>
      <c r="B4240" s="25" t="s">
        <v>18458</v>
      </c>
      <c r="C4240" s="26" t="str">
        <f>HYPERLINK("https://audio.iskcondesiretree.com/02_-_ISKCON_Swamis/ISKCON_Swamis_-_R_to_Y/His_Holiness_Radhanath_Swami/Lectures/01_-_Theme_wise/Occupational_duties/1997-060_The_Art_of_Working_Ht_-_BG_02-48-50_-_Radhanath_Swami_Mumbai_1997-04-12_IDesireTree.mp3", "1997-060_The_Art_of_Working_Ht_-_BG_02-48-50_-_Radhanath_Swami_Mumbai_1997-04-12_IDesireTree.mp3")</f>
        <v>1997-060_The_Art_of_Working_Ht_-_BG_02-48-50_-_Radhanath_Swami_Mumbai_1997-04-12_IDesireTree.mp3</v>
      </c>
      <c r="D4240" s="24"/>
      <c r="E4240" s="24"/>
    </row>
    <row r="4241">
      <c r="A4241" s="25" t="s">
        <v>18392</v>
      </c>
      <c r="B4241" s="25" t="s">
        <v>18459</v>
      </c>
      <c r="C4241" s="26" t="str">
        <f>HYPERLINK("https://audio.iskcondesiretree.com/02_-_ISKCON_Swamis/ISKCON_Swamis_-_R_to_Y/His_Holiness_Radhanath_Swami/Lectures/01_-_Theme_wise/Old_age_and_Retirement/2002-029_Beauty_Of_Old_Age_SB_04-09-67_-_Radhanath_Swami_Mumbai_2002-02-03_IDesireTree.mp3", "2002-029_Beauty_Of_Old_Age_SB_04-09-67_-_Radhanath_Swami_Mumbai_2002-02-03_IDesireTree.mp3")</f>
        <v>2002-029_Beauty_Of_Old_Age_SB_04-09-67_-_Radhanath_Swami_Mumbai_2002-02-03_IDesireTree.mp3</v>
      </c>
      <c r="D4241" s="24"/>
      <c r="E4241" s="24"/>
    </row>
    <row r="4242">
      <c r="A4242" s="25" t="s">
        <v>18392</v>
      </c>
      <c r="B4242" s="25" t="s">
        <v>18460</v>
      </c>
      <c r="C4242" s="26" t="str">
        <f>HYPERLINK("https://audio.iskcondesiretree.com/02_-_ISKCON_Swamis/ISKCON_Swamis_-_R_to_Y/His_Holiness_Radhanath_Swami/Lectures/01_-_Theme_wise/Overcoming_alchoholism/1989-073_Do_Not_Believe_In_This_World_Lecture_-_Radhanath_Swami_Mumbai_1989-10-21_IDesireTree.mp3", "1989-073_Do_Not_Believe_In_This_World_Lecture_-_Radhanath_Swami_Mumbai_1989-10-21_IDesireTree.mp3")</f>
        <v>1989-073_Do_Not_Believe_In_This_World_Lecture_-_Radhanath_Swami_Mumbai_1989-10-21_IDesireTree.mp3</v>
      </c>
      <c r="D4242" s="24"/>
      <c r="E4242" s="24"/>
    </row>
    <row r="4243">
      <c r="A4243" s="25" t="s">
        <v>18392</v>
      </c>
      <c r="B4243" s="25" t="s">
        <v>18461</v>
      </c>
      <c r="C4243" s="26" t="str">
        <f>HYPERLINK("https://audio.iskcondesiretree.com/02_-_ISKCON_Swamis/ISKCON_Swamis_-_R_to_Y/His_Holiness_Radhanath_Swami/Lectures/01_-_Theme_wise/Parents_Training_Children/1989-059_True_Parented_Love_SB_07-10-18_-_Radhanath_Swami_Mumbai_1989-09-30_IDesireTree.mp3", "1989-059_True_Parented_Love_SB_07-10-18_-_Radhanath_Swami_Mumbai_1989-09-30_IDesireTree.mp3")</f>
        <v>1989-059_True_Parented_Love_SB_07-10-18_-_Radhanath_Swami_Mumbai_1989-09-30_IDesireTree.mp3</v>
      </c>
      <c r="D4243" s="24"/>
      <c r="E4243" s="24"/>
    </row>
    <row r="4244">
      <c r="A4244" s="25" t="s">
        <v>18392</v>
      </c>
      <c r="B4244" s="25" t="s">
        <v>18462</v>
      </c>
      <c r="C4244" s="26" t="str">
        <f>HYPERLINK("https://audio.iskcondesiretree.com/02_-_ISKCON_Swamis/ISKCON_Swamis_-_R_to_Y/His_Holiness_Radhanath_Swami/Lectures/01_-_Theme_wise/Peace/1992-155_Peace_Formula_BG_05-17_-_Radhanath_Swami_Mumbai_1992-12-26_IDesireTree.mp3", "1992-155_Peace_Formula_BG_05-17_-_Radhanath_Swami_Mumbai_1992-12-26_IDesireTree.mp3")</f>
        <v>1992-155_Peace_Formula_BG_05-17_-_Radhanath_Swami_Mumbai_1992-12-26_IDesireTree.mp3</v>
      </c>
      <c r="D4244" s="24"/>
      <c r="E4244" s="24"/>
    </row>
    <row r="4245">
      <c r="A4245" s="25" t="s">
        <v>18392</v>
      </c>
      <c r="B4245" s="25" t="s">
        <v>18462</v>
      </c>
      <c r="C4245" s="26" t="str">
        <f>HYPERLINK("https://audio.iskcondesiretree.com/02_-_ISKCON_Swamis/ISKCON_Swamis_-_R_to_Y/His_Holiness_Radhanath_Swami/Lectures/01_-_Theme_wise/Peace/1993-074_Attaining_Peace_By_Spiritual_Quest_BG_03-12_-_Radhanath_Swami_Mumbai_1993-05-02_IDesireTree.mp3", "1993-074_Attaining_Peace_By_Spiritual_Quest_BG_03-12_-_Radhanath_Swami_Mumbai_1993-05-02_IDesireTree.mp3")</f>
        <v>1993-074_Attaining_Peace_By_Spiritual_Quest_BG_03-12_-_Radhanath_Swami_Mumbai_1993-05-02_IDesireTree.mp3</v>
      </c>
      <c r="D4245" s="24"/>
      <c r="E4245" s="24"/>
    </row>
    <row r="4246">
      <c r="A4246" s="25" t="s">
        <v>18392</v>
      </c>
      <c r="B4246" s="25" t="s">
        <v>18462</v>
      </c>
      <c r="C4246" s="26" t="str">
        <f>HYPERLINK("https://audio.iskcondesiretree.com/02_-_ISKCON_Swamis/ISKCON_Swamis_-_R_to_Y/His_Holiness_Radhanath_Swami/Lectures/01_-_Theme_wise/Peace/2002-011_Real_Solution_For_World_Peace_Juhu_Rath_Yatra_Lecture_-_Radhanath_Swami_Mumbai_2002-01-12_IDesireTree.mp3", "2002-011_Real_Solution_For_World_Peace_Juhu_Rath_Yatra_Lecture_-_Radhanath_Swami_Mumbai_2002-01-12_IDesireTree.mp3")</f>
        <v>2002-011_Real_Solution_For_World_Peace_Juhu_Rath_Yatra_Lecture_-_Radhanath_Swami_Mumbai_2002-01-12_IDesireTree.mp3</v>
      </c>
      <c r="D4246" s="24"/>
      <c r="E4246" s="24"/>
    </row>
    <row r="4247">
      <c r="A4247" s="25" t="s">
        <v>18392</v>
      </c>
      <c r="B4247" s="25" t="s">
        <v>18463</v>
      </c>
      <c r="C4247" s="26" t="str">
        <f>HYPERLINK("https://audio.iskcondesiretree.com/02_-_ISKCON_Swamis/ISKCON_Swamis_-_R_to_Y/His_Holiness_Radhanath_Swami/Lectures/01_-_Theme_wise/Personalism_vs_Impersonalism/1991-128_Impersonalism_Lamblasted_Lecture_-_Radhanath_Swami_Mumbai_1991-11-04_IDesireTree.mp3", "1991-128_Impersonalism_Lamblasted_Lecture_-_Radhanath_Swami_Mumbai_1991-11-04_IDesireTree.mp3")</f>
        <v>1991-128_Impersonalism_Lamblasted_Lecture_-_Radhanath_Swami_Mumbai_1991-11-04_IDesireTree.mp3</v>
      </c>
      <c r="D4247" s="24"/>
      <c r="E4247" s="24"/>
    </row>
    <row r="4248">
      <c r="A4248" s="25" t="s">
        <v>18392</v>
      </c>
      <c r="B4248" s="25" t="s">
        <v>18463</v>
      </c>
      <c r="C4248" s="26" t="str">
        <f>HYPERLINK("https://audio.iskcondesiretree.com/02_-_ISKCON_Swamis/ISKCON_Swamis_-_R_to_Y/His_Holiness_Radhanath_Swami/Lectures/01_-_Theme_wise/Personalism_vs_Impersonalism/1992-012_How_To_Defeat_Mayavadis_Lecture_-_Radhanath_Swami_Mumbai_1992-01-10_IDesireTree.mp3", "1992-012_How_To_Defeat_Mayavadis_Lecture_-_Radhanath_Swami_Mumbai_1992-01-10_IDesireTree.mp3")</f>
        <v>1992-012_How_To_Defeat_Mayavadis_Lecture_-_Radhanath_Swami_Mumbai_1992-01-10_IDesireTree.mp3</v>
      </c>
      <c r="D4248" s="24"/>
      <c r="E4248" s="24"/>
    </row>
    <row r="4249">
      <c r="A4249" s="25" t="s">
        <v>18392</v>
      </c>
      <c r="B4249" s="25" t="s">
        <v>18463</v>
      </c>
      <c r="C4249" s="26" t="str">
        <f>HYPERLINK("https://audio.iskcondesiretree.com/02_-_ISKCON_Swamis/ISKCON_Swamis_-_R_to_Y/His_Holiness_Radhanath_Swami/Lectures/01_-_Theme_wise/Personalism_vs_Impersonalism/1993-162_Defeating_Impersonalism_CC_ML-01_-_Radhanath_Swami_Mumbai_1993-10-29_IDesireTree.mp3", "1993-162_Defeating_Impersonalism_CC_ML-01_-_Radhanath_Swami_Mumbai_1993-10-29_IDesireTree.mp3")</f>
        <v>1993-162_Defeating_Impersonalism_CC_ML-01_-_Radhanath_Swami_Mumbai_1993-10-29_IDesireTree.mp3</v>
      </c>
      <c r="D4249" s="24"/>
      <c r="E4249" s="24"/>
    </row>
    <row r="4250">
      <c r="A4250" s="25" t="s">
        <v>18392</v>
      </c>
      <c r="B4250" s="25" t="s">
        <v>18463</v>
      </c>
      <c r="C4250" s="26" t="str">
        <f>HYPERLINK("https://audio.iskcondesiretree.com/02_-_ISKCON_Swamis/ISKCON_Swamis_-_R_to_Y/His_Holiness_Radhanath_Swami/Lectures/01_-_Theme_wise/Personalism_vs_Impersonalism/1996-049_Faults_Of_Impersonalism_Lecture_-_Radhanath_Swami_Mumbai_1996-03-06_IDesireTree.mp3", "1996-049_Faults_Of_Impersonalism_Lecture_-_Radhanath_Swami_Mumbai_1996-03-06_IDesireTree.mp3")</f>
        <v>1996-049_Faults_Of_Impersonalism_Lecture_-_Radhanath_Swami_Mumbai_1996-03-06_IDesireTree.mp3</v>
      </c>
      <c r="D4250" s="24"/>
      <c r="E4250" s="24"/>
    </row>
    <row r="4251">
      <c r="A4251" s="25" t="s">
        <v>18392</v>
      </c>
      <c r="B4251" s="25" t="s">
        <v>18464</v>
      </c>
      <c r="C4251" s="26" t="str">
        <f>HYPERLINK("https://audio.iskcondesiretree.com/02_-_ISKCON_Swamis/ISKCON_Swamis_-_R_to_Y/His_Holiness_Radhanath_Swami/Lectures/01_-_Theme_wise/Personality_Development/1989-046_Not_Bad_Not_Mad_But_Sick_Lecture_-_Radhanath_Swami_Mumbai_1989-09-23_IDesireTree.mp3", "1989-046_Not_Bad_Not_Mad_But_Sick_Lecture_-_Radhanath_Swami_Mumbai_1989-09-23_IDesireTree.mp3")</f>
        <v>1989-046_Not_Bad_Not_Mad_But_Sick_Lecture_-_Radhanath_Swami_Mumbai_1989-09-23_IDesireTree.mp3</v>
      </c>
      <c r="D4251" s="24"/>
      <c r="E4251" s="24"/>
    </row>
    <row r="4252">
      <c r="A4252" s="25" t="s">
        <v>18392</v>
      </c>
      <c r="B4252" s="25" t="s">
        <v>18464</v>
      </c>
      <c r="C4252" s="26" t="str">
        <f>HYPERLINK("https://audio.iskcondesiretree.com/02_-_ISKCON_Swamis/ISKCON_Swamis_-_R_to_Y/His_Holiness_Radhanath_Swami/Lectures/01_-_Theme_wise/Personality_Development/1989-078_Self_Management_-_BG_06_-_Radhanath_Swami_Mumbai_1989-10-25_IDesireTree.mp3", "1989-078_Self_Management_-_BG_06_-_Radhanath_Swami_Mumbai_1989-10-25_IDesireTree.mp3")</f>
        <v>1989-078_Self_Management_-_BG_06_-_Radhanath_Swami_Mumbai_1989-10-25_IDesireTree.mp3</v>
      </c>
      <c r="D4252" s="24"/>
      <c r="E4252" s="24"/>
    </row>
    <row r="4253">
      <c r="A4253" s="25" t="s">
        <v>18392</v>
      </c>
      <c r="B4253" s="25" t="s">
        <v>18464</v>
      </c>
      <c r="C4253" s="26" t="str">
        <f>HYPERLINK("https://audio.iskcondesiretree.com/02_-_ISKCON_Swamis/ISKCON_Swamis_-_R_to_Y/His_Holiness_Radhanath_Swami/Lectures/01_-_Theme_wise/Personality_Development/1993-038_The_Art_Of_Living_SB_09-10-08_-_Radhanath_Swami_Mumbai_1993-04-02_IDesireTree.mp3", "1993-038_The_Art_Of_Living_SB_09-10-08_-_Radhanath_Swami_Mumbai_1993-04-02_IDesireTree.mp3")</f>
        <v>1993-038_The_Art_Of_Living_SB_09-10-08_-_Radhanath_Swami_Mumbai_1993-04-02_IDesireTree.mp3</v>
      </c>
      <c r="D4253" s="24"/>
      <c r="E4253" s="24"/>
    </row>
    <row r="4254">
      <c r="A4254" s="25" t="s">
        <v>18392</v>
      </c>
      <c r="B4254" s="25" t="s">
        <v>18464</v>
      </c>
      <c r="C4254" s="26" t="str">
        <f>HYPERLINK("https://audio.iskcondesiretree.com/02_-_ISKCON_Swamis/ISKCON_Swamis_-_R_to_Y/His_Holiness_Radhanath_Swami/Lectures/01_-_Theme_wise/Personality_Development/1993-180_Most_Of_Us_Are_Uncivilized_SB_01-05-12_-_Radhanath_Swami_Mumbai_1993-12-12_IDesireTree.mp3", "1993-180_Most_Of_Us_Are_Uncivilized_SB_01-05-12_-_Radhanath_Swami_Mumbai_1993-12-12_IDesireTree.mp3")</f>
        <v>1993-180_Most_Of_Us_Are_Uncivilized_SB_01-05-12_-_Radhanath_Swami_Mumbai_1993-12-12_IDesireTree.mp3</v>
      </c>
      <c r="D4254" s="24"/>
      <c r="E4254" s="24"/>
    </row>
    <row r="4255">
      <c r="A4255" s="25" t="s">
        <v>18392</v>
      </c>
      <c r="B4255" s="25" t="s">
        <v>18465</v>
      </c>
      <c r="C4255" s="26" t="str">
        <f>HYPERLINK("https://audio.iskcondesiretree.com/02_-_ISKCON_Swamis/ISKCON_Swamis_-_R_to_Y/His_Holiness_Radhanath_Swami/Lectures/01_-_Theme_wise/Piety/1991-019_Being_Pious_BG-07-28_-_Radhnath_Swami_Mumbai_1991-02-13_IDesireTree.mp3", "1991-019_Being_Pious_BG-07-28_-_Radhnath_Swami_Mumbai_1991-02-13_IDesireTree.mp3")</f>
        <v>1991-019_Being_Pious_BG-07-28_-_Radhnath_Swami_Mumbai_1991-02-13_IDesireTree.mp3</v>
      </c>
      <c r="D4255" s="24"/>
      <c r="E4255" s="24"/>
    </row>
    <row r="4256">
      <c r="A4256" s="25" t="s">
        <v>18392</v>
      </c>
      <c r="B4256" s="25" t="s">
        <v>18465</v>
      </c>
      <c r="C4256" s="26" t="str">
        <f>HYPERLINK("https://audio.iskcondesiretree.com/02_-_ISKCON_Swamis/ISKCON_Swamis_-_R_to_Y/His_Holiness_Radhanath_Swami/Lectures/01_-_Theme_wise/Piety/1991-045_Being_Pious_BG_07-28_-_Radhnath_Swami_Mumbai_1991-05-10_IDesireTree.mp3", "1991-045_Being_Pious_BG_07-28_-_Radhnath_Swami_Mumbai_1991-05-10_IDesireTree.mp3")</f>
        <v>1991-045_Being_Pious_BG_07-28_-_Radhnath_Swami_Mumbai_1991-05-10_IDesireTree.mp3</v>
      </c>
      <c r="D4256" s="24"/>
      <c r="E4256" s="24"/>
    </row>
    <row r="4257">
      <c r="A4257" s="25" t="s">
        <v>18392</v>
      </c>
      <c r="B4257" s="25" t="s">
        <v>18466</v>
      </c>
      <c r="C4257" s="26" t="str">
        <f>HYPERLINK("https://audio.iskcondesiretree.com/02_-_ISKCON_Swamis/ISKCON_Swamis_-_R_to_Y/His_Holiness_Radhanath_Swami/Lectures/01_-_Theme_wise/Prayers/1992-034_Prayers_By_Advaita_Acharya_CC_AL-02_-_Radhnath_Swami_Mumbai_1992-02-20_IDesireTree.mp3", "1992-034_Prayers_By_Advaita_Acharya_CC_AL-02_-_Radhnath_Swami_Mumbai_1992-02-20_IDesireTree.mp3")</f>
        <v>1992-034_Prayers_By_Advaita_Acharya_CC_AL-02_-_Radhnath_Swami_Mumbai_1992-02-20_IDesireTree.mp3</v>
      </c>
      <c r="D4257" s="24"/>
      <c r="E4257" s="24"/>
    </row>
    <row r="4258">
      <c r="A4258" s="25" t="s">
        <v>18392</v>
      </c>
      <c r="B4258" s="25" t="s">
        <v>18466</v>
      </c>
      <c r="C4258" s="26" t="str">
        <f>HYPERLINK("https://audio.iskcondesiretree.com/02_-_ISKCON_Swamis/ISKCON_Swamis_-_R_to_Y/His_Holiness_Radhanath_Swami/Lectures/01_-_Theme_wise/Prayers/1992-139_Prayers_Of_Vaishnavas_Never_Go_In_Vain_SB_10_16_60-64_-_Radhnath_Swami_Mumbai_1992-12-12_IDesireTree.mp3", "1992-139_Prayers_Of_Vaishnavas_Never_Go_In_Vain_SB_10_16_60-64_-_Radhnath_Swami_Mumbai_1992-12-12_IDesireTree.mp3")</f>
        <v>1992-139_Prayers_Of_Vaishnavas_Never_Go_In_Vain_SB_10_16_60-64_-_Radhnath_Swami_Mumbai_1992-12-12_IDesireTree.mp3</v>
      </c>
      <c r="D4258" s="24"/>
      <c r="E4258" s="24"/>
    </row>
    <row r="4259">
      <c r="A4259" s="25" t="s">
        <v>18392</v>
      </c>
      <c r="B4259" s="25" t="s">
        <v>18466</v>
      </c>
      <c r="C4259" s="26" t="str">
        <f>HYPERLINK("https://audio.iskcondesiretree.com/02_-_ISKCON_Swamis/ISKCON_Swamis_-_R_to_Y/His_Holiness_Radhanath_Swami/Lectures/01_-_Theme_wise/Prayers/1998-045_Praying-_The_Way_Lord_Brahma_Did_SB-03_09_40_-_Radhnath_Swami_Mumbai_1998-03-04_DesireTree.mp3", "1998-045_Praying-_The_Way_Lord_Brahma_Did_SB-03_09_40_-_Radhnath_Swami_Mumbai_1998-03-04_DesireTree.mp3")</f>
        <v>1998-045_Praying-_The_Way_Lord_Brahma_Did_SB-03_09_40_-_Radhnath_Swami_Mumbai_1998-03-04_DesireTree.mp3</v>
      </c>
      <c r="D4259" s="24"/>
      <c r="E4259" s="24"/>
    </row>
    <row r="4260">
      <c r="A4260" s="25" t="s">
        <v>18392</v>
      </c>
      <c r="B4260" s="25" t="s">
        <v>18466</v>
      </c>
      <c r="C4260" s="26" t="str">
        <f>HYPERLINK("https://audio.iskcondesiretree.com/02_-_ISKCON_Swamis/ISKCON_Swamis_-_R_to_Y/His_Holiness_Radhanath_Swami/Lectures/01_-_Theme_wise/Prayers/2000-083_Lalashmayi_Prarthana-_I_Sun_Feast_-_Radhnath_Swami_Mumbai_2000-10-29-IDesireTree.mp3", "2000-083_Lalashmayi_Prarthana-_I_Sun_Feast_-_Radhnath_Swami_Mumbai_2000-10-29-IDesireTree.mp3")</f>
        <v>2000-083_Lalashmayi_Prarthana-_I_Sun_Feast_-_Radhnath_Swami_Mumbai_2000-10-29-IDesireTree.mp3</v>
      </c>
      <c r="D4260" s="24"/>
      <c r="E4260" s="24"/>
    </row>
    <row r="4261">
      <c r="A4261" s="25" t="s">
        <v>18392</v>
      </c>
      <c r="B4261" s="25" t="s">
        <v>18466</v>
      </c>
      <c r="C4261" s="26" t="str">
        <f>HYPERLINK("https://audio.iskcondesiretree.com/02_-_ISKCON_Swamis/ISKCON_Swamis_-_R_to_Y/His_Holiness_Radhanath_Swami/Lectures/01_-_Theme_wise/Prayers/2000-084_Lalashmayi_Prarthana-_II_Sun_Feast_-_Radhnath_Swami_Mumbai_1992-10-29_IDesireTree.mp3", "2000-084_Lalashmayi_Prarthana-_II_Sun_Feast_-_Radhnath_Swami_Mumbai_1992-10-29_IDesireTree.mp3")</f>
        <v>2000-084_Lalashmayi_Prarthana-_II_Sun_Feast_-_Radhnath_Swami_Mumbai_1992-10-29_IDesireTree.mp3</v>
      </c>
      <c r="D4261" s="24"/>
      <c r="E4261" s="24"/>
    </row>
    <row r="4262">
      <c r="A4262" s="25" t="s">
        <v>18392</v>
      </c>
      <c r="B4262" s="25" t="s">
        <v>18467</v>
      </c>
      <c r="C4262" s="26" t="str">
        <f>HYPERLINK("https://audio.iskcondesiretree.com/02_-_ISKCON_Swamis/ISKCON_Swamis_-_R_to_Y/His_Holiness_Radhanath_Swami/Lectures/01_-_Theme_wise/Preaching_is_the_essence/1991-160_Philosophy_First-_Pastimes_Later_-_Radhanath_Swami_Mumbai_1991-12-30_IDesireTree.mp3", "1991-160_Philosophy_First-_Pastimes_Later_-_Radhanath_Swami_Mumbai_1991-12-30_IDesireTree.mp3")</f>
        <v>1991-160_Philosophy_First-_Pastimes_Later_-_Radhanath_Swami_Mumbai_1991-12-30_IDesireTree.mp3</v>
      </c>
      <c r="D4262" s="24"/>
      <c r="E4262" s="24"/>
    </row>
    <row r="4263">
      <c r="A4263" s="25" t="s">
        <v>18392</v>
      </c>
      <c r="B4263" s="25" t="s">
        <v>18467</v>
      </c>
      <c r="C4263" s="26" t="str">
        <f>HYPERLINK("https://audio.iskcondesiretree.com/02_-_ISKCON_Swamis/ISKCON_Swamis_-_R_to_Y/His_Holiness_Radhanath_Swami/Lectures/01_-_Theme_wise/Preaching_is_the_essence/1992-012_How_To_Defeat_Mayavadis_-_Radhanath_Swami_Mumbai_1992-01-10_IDesireTree.mp3", "1992-012_How_To_Defeat_Mayavadis_-_Radhanath_Swami_Mumbai_1992-01-10_IDesireTree.mp3")</f>
        <v>1992-012_How_To_Defeat_Mayavadis_-_Radhanath_Swami_Mumbai_1992-01-10_IDesireTree.mp3</v>
      </c>
      <c r="D4263" s="24"/>
      <c r="E4263" s="24"/>
    </row>
    <row r="4264">
      <c r="A4264" s="25" t="s">
        <v>18392</v>
      </c>
      <c r="B4264" s="25" t="s">
        <v>18467</v>
      </c>
      <c r="C4264" s="26" t="str">
        <f>HYPERLINK("https://audio.iskcondesiretree.com/02_-_ISKCON_Swamis/ISKCON_Swamis_-_R_to_Y/His_Holiness_Radhanath_Swami/Lectures/01_-_Theme_wise/Preaching_is_the_essence/1993-040_Power_Of_Preacher_BG-04_15_-_Radhanath_Swami_Mumbai_1993-04-04_IDesireTree.mp3", "1993-040_Power_Of_Preacher_BG-04_15_-_Radhanath_Swami_Mumbai_1993-04-04_IDesireTree.mp3")</f>
        <v>1993-040_Power_Of_Preacher_BG-04_15_-_Radhanath_Swami_Mumbai_1993-04-04_IDesireTree.mp3</v>
      </c>
      <c r="D4264" s="24"/>
      <c r="E4264" s="24"/>
    </row>
    <row r="4265">
      <c r="A4265" s="25" t="s">
        <v>18392</v>
      </c>
      <c r="B4265" s="25" t="s">
        <v>18467</v>
      </c>
      <c r="C4265" s="26" t="str">
        <f>HYPERLINK("https://audio.iskcondesiretree.com/02_-_ISKCON_Swamis/ISKCON_Swamis_-_R_to_Y/His_Holiness_Radhanath_Swami/Lectures/01_-_Theme_wise/Preaching_is_the_essence/1993-069_Attracting_Our_Youth_Lecture_-_Radhanath_Swami_Mumbai_1993-04-29_IDesireTree.mp3", "1993-069_Attracting_Our_Youth_Lecture_-_Radhanath_Swami_Mumbai_1993-04-29_IDesireTree.mp3")</f>
        <v>1993-069_Attracting_Our_Youth_Lecture_-_Radhanath_Swami_Mumbai_1993-04-29_IDesireTree.mp3</v>
      </c>
      <c r="D4265" s="24"/>
      <c r="E4265" s="24"/>
    </row>
    <row r="4266">
      <c r="A4266" s="25" t="s">
        <v>18392</v>
      </c>
      <c r="B4266" s="25" t="s">
        <v>18467</v>
      </c>
      <c r="C4266" s="26" t="str">
        <f>HYPERLINK("https://audio.iskcondesiretree.com/02_-_ISKCON_Swamis/ISKCON_Swamis_-_R_to_Y/His_Holiness_Radhanath_Swami/Lectures/01_-_Theme_wise/Preaching_is_the_essence/1993-159_The_Greatest_Preaching_-_Radhanath_Swami_Mumbai_1993-10-25_IDesireTree.mp3", "1993-159_The_Greatest_Preaching_-_Radhanath_Swami_Mumbai_1993-10-25_IDesireTree.mp3")</f>
        <v>1993-159_The_Greatest_Preaching_-_Radhanath_Swami_Mumbai_1993-10-25_IDesireTree.mp3</v>
      </c>
      <c r="D4266" s="24"/>
      <c r="E4266" s="24"/>
    </row>
    <row r="4267">
      <c r="A4267" s="25" t="s">
        <v>18392</v>
      </c>
      <c r="B4267" s="25" t="s">
        <v>18467</v>
      </c>
      <c r="C4267" s="26" t="str">
        <f>HYPERLINK("https://audio.iskcondesiretree.com/02_-_ISKCON_Swamis/ISKCON_Swamis_-_R_to_Y/His_Holiness_Radhanath_Swami/Lectures/01_-_Theme_wise/Preaching_is_the_essence/1995-014_Talk_With_J_J_Medical_Students_-_Radhanath_Swami_Mumbai_1995-01-11.mp3", "1995-014_Talk_With_J_J_Medical_Students_-_Radhanath_Swami_Mumbai_1995-01-11.mp3")</f>
        <v>1995-014_Talk_With_J_J_Medical_Students_-_Radhanath_Swami_Mumbai_1995-01-11.mp3</v>
      </c>
      <c r="D4267" s="24"/>
      <c r="E4267" s="24"/>
    </row>
    <row r="4268">
      <c r="A4268" s="25" t="s">
        <v>18392</v>
      </c>
      <c r="B4268" s="25" t="s">
        <v>18467</v>
      </c>
      <c r="C4268" s="26" t="str">
        <f>HYPERLINK("https://audio.iskcondesiretree.com/02_-_ISKCON_Swamis/ISKCON_Swamis_-_R_to_Y/His_Holiness_Radhanath_Swami/Lectures/01_-_Theme_wise/Preaching_is_the_essence/1997-035_Preach_With_Compassion_Lecture_-_Radhanath_Swami_Mumbai_1997-02-09_IDesireTree.mp3", "1997-035_Preach_With_Compassion_Lecture_-_Radhanath_Swami_Mumbai_1997-02-09_IDesireTree.mp3")</f>
        <v>1997-035_Preach_With_Compassion_Lecture_-_Radhanath_Swami_Mumbai_1997-02-09_IDesireTree.mp3</v>
      </c>
      <c r="D4268" s="24"/>
      <c r="E4268" s="24"/>
    </row>
    <row r="4269">
      <c r="A4269" s="25" t="s">
        <v>18392</v>
      </c>
      <c r="B4269" s="25" t="s">
        <v>18467</v>
      </c>
      <c r="C4269" s="26" t="str">
        <f>HYPERLINK("https://audio.iskcondesiretree.com/02_-_ISKCON_Swamis/ISKCON_Swamis_-_R_to_Y/His_Holiness_Radhanath_Swami/Lectures/01_-_Theme_wise/Preaching_is_the_essence/1998-092_Preach_Only_When_You_Receive_the_Order_-_Radhanath_Swami_Mumbai_1997-09-28_IDesireTree.mp3", "1998-092_Preach_Only_When_You_Receive_the_Order_-_Radhanath_Swami_Mumbai_1997-09-28_IDesireTree.mp3")</f>
        <v>1998-092_Preach_Only_When_You_Receive_the_Order_-_Radhanath_Swami_Mumbai_1997-09-28_IDesireTree.mp3</v>
      </c>
      <c r="D4269" s="24"/>
      <c r="E4269" s="24"/>
    </row>
    <row r="4270">
      <c r="A4270" s="25" t="s">
        <v>18392</v>
      </c>
      <c r="B4270" s="25" t="s">
        <v>18468</v>
      </c>
      <c r="C4270" s="26" t="str">
        <f>HYPERLINK("https://audio.iskcondesiretree.com/02_-_ISKCON_Swamis/ISKCON_Swamis_-_R_to_Y/His_Holiness_Radhanath_Swami/Lectures/01_-_Theme_wise/Public_Addressings/1995-007_Arrival_Lecture_Lecture_-_Radhanath_Swami_Mumbai_1995-01-06.mp3", "1995-007_Arrival_Lecture_Lecture_-_Radhanath_Swami_Mumbai_1995-01-06.mp3")</f>
        <v>1995-007_Arrival_Lecture_Lecture_-_Radhanath_Swami_Mumbai_1995-01-06.mp3</v>
      </c>
      <c r="D4270" s="24"/>
      <c r="E4270" s="24"/>
    </row>
    <row r="4271">
      <c r="A4271" s="25" t="s">
        <v>18392</v>
      </c>
      <c r="B4271" s="25" t="s">
        <v>18468</v>
      </c>
      <c r="C4271" s="26" t="str">
        <f>HYPERLINK("https://audio.iskcondesiretree.com/02_-_ISKCON_Swamis/ISKCON_Swamis_-_R_to_Y/His_Holiness_Radhanath_Swami/Lectures/01_-_Theme_wise/Public_Addressings/1995-008_Centennial_Address_Lecture_-_Radhanath_Swami_Mumbai_1995-01-06_95.mp3", "1995-008_Centennial_Address_Lecture_-_Radhanath_Swami_Mumbai_1995-01-06_95.mp3")</f>
        <v>1995-008_Centennial_Address_Lecture_-_Radhanath_Swami_Mumbai_1995-01-06_95.mp3</v>
      </c>
      <c r="D4271" s="24"/>
      <c r="E4271" s="24"/>
    </row>
    <row r="4272">
      <c r="A4272" s="25" t="s">
        <v>18392</v>
      </c>
      <c r="B4272" s="25" t="s">
        <v>18468</v>
      </c>
      <c r="C4272" s="26" t="str">
        <f>HYPERLINK("https://audio.iskcondesiretree.com/02_-_ISKCON_Swamis/ISKCON_Swamis_-_R_to_Y/His_Holiness_Radhanath_Swami/Lectures/01_-_Theme_wise/Public_Addressings/1995-022_Arrival_Address_Ht_-_Lecture_-_Radhanath_Swami_Belgaum_1995-01-15.mp3", "1995-022_Arrival_Address_Ht_-_Lecture_-_Radhanath_Swami_Belgaum_1995-01-15.mp3")</f>
        <v>1995-022_Arrival_Address_Ht_-_Lecture_-_Radhanath_Swami_Belgaum_1995-01-15.mp3</v>
      </c>
      <c r="D4272" s="24"/>
      <c r="E4272" s="24"/>
    </row>
    <row r="4273">
      <c r="A4273" s="25" t="s">
        <v>18392</v>
      </c>
      <c r="B4273" s="25" t="s">
        <v>18468</v>
      </c>
      <c r="C4273" s="26" t="str">
        <f>HYPERLINK("https://audio.iskcondesiretree.com/02_-_ISKCON_Swamis/ISKCON_Swamis_-_R_to_Y/His_Holiness_Radhanath_Swami/Lectures/01_-_Theme_wise/Public_Addressings/1995-056_Lecture_To_Students_BG-04_23_-_Radhanath_Swami_Mumbai_1995-03-09.mp3", "1995-056_Lecture_To_Students_BG-04_23_-_Radhanath_Swami_Mumbai_1995-03-09.mp3")</f>
        <v>1995-056_Lecture_To_Students_BG-04_23_-_Radhanath_Swami_Mumbai_1995-03-09.mp3</v>
      </c>
      <c r="D4273" s="24"/>
      <c r="E4273" s="24"/>
    </row>
    <row r="4274">
      <c r="A4274" s="25" t="s">
        <v>18392</v>
      </c>
      <c r="B4274" s="25" t="s">
        <v>18468</v>
      </c>
      <c r="C4274" s="26" t="str">
        <f>HYPERLINK("https://audio.iskcondesiretree.com/02_-_ISKCON_Swamis/ISKCON_Swamis_-_R_to_Y/His_Holiness_Radhanath_Swami/Lectures/01_-_Theme_wise/Public_Addressings/1995-079_Arrival_Lecture_-_Radhanath_Swami_Mumbai_1995-08-09_IDesireTree.mp3", "1995-079_Arrival_Lecture_-_Radhanath_Swami_Mumbai_1995-08-09_IDesireTree.mp3")</f>
        <v>1995-079_Arrival_Lecture_-_Radhanath_Swami_Mumbai_1995-08-09_IDesireTree.mp3</v>
      </c>
      <c r="D4274" s="24"/>
      <c r="E4274" s="24"/>
    </row>
    <row r="4275">
      <c r="A4275" s="25" t="s">
        <v>18392</v>
      </c>
      <c r="B4275" s="25" t="s">
        <v>18468</v>
      </c>
      <c r="C4275" s="26" t="str">
        <f>HYPERLINK("https://audio.iskcondesiretree.com/02_-_ISKCON_Swamis/ISKCON_Swamis_-_R_to_Y/His_Holiness_Radhanath_Swami/Lectures/01_-_Theme_wise/Public_Addressings/1995-131_Arrival_Lecture__Radhanath_Swami_Mumbai_1995-12-16_IDesireTree.mp3", "1995-131_Arrival_Lecture__Radhanath_Swami_Mumbai_1995-12-16_IDesireTree.mp3")</f>
        <v>1995-131_Arrival_Lecture__Radhanath_Swami_Mumbai_1995-12-16_IDesireTree.mp3</v>
      </c>
      <c r="D4275" s="24"/>
      <c r="E4275" s="24"/>
    </row>
    <row r="4276">
      <c r="A4276" s="25" t="s">
        <v>18392</v>
      </c>
      <c r="B4276" s="25" t="s">
        <v>18468</v>
      </c>
      <c r="C4276" s="26" t="str">
        <f>HYPERLINK("https://audio.iskcondesiretree.com/02_-_ISKCON_Swamis/ISKCON_Swamis_-_R_to_Y/His_Holiness_Radhanath_Swami/Lectures/01_-_Theme_wise/Public_Addressings/1996-004_Arrival_Lecture_-_Radhanath_Swami_Pune_1996-01-03.mp3", "1996-004_Arrival_Lecture_-_Radhanath_Swami_Pune_1996-01-03.mp3")</f>
        <v>1996-004_Arrival_Lecture_-_Radhanath_Swami_Pune_1996-01-03.mp3</v>
      </c>
      <c r="D4276" s="24"/>
      <c r="E4276" s="24"/>
    </row>
    <row r="4277">
      <c r="A4277" s="25" t="s">
        <v>18392</v>
      </c>
      <c r="B4277" s="25" t="s">
        <v>18468</v>
      </c>
      <c r="C4277" s="26" t="str">
        <f>HYPERLINK("https://audio.iskcondesiretree.com/02_-_ISKCON_Swamis/ISKCON_Swamis_-_R_to_Y/His_Holiness_Radhanath_Swami/Lectures/01_-_Theme_wise/Public_Addressings/1996-027_Arrival_Lecture_-_Radhanath_Swami_Pune_1996-01-25_IDesireTree.mp3", "1996-027_Arrival_Lecture_-_Radhanath_Swami_Pune_1996-01-25_IDesireTree.mp3")</f>
        <v>1996-027_Arrival_Lecture_-_Radhanath_Swami_Pune_1996-01-25_IDesireTree.mp3</v>
      </c>
      <c r="D4277" s="24"/>
      <c r="E4277" s="24"/>
    </row>
    <row r="4278">
      <c r="A4278" s="25" t="s">
        <v>18392</v>
      </c>
      <c r="B4278" s="25" t="s">
        <v>18468</v>
      </c>
      <c r="C4278" s="26" t="str">
        <f>HYPERLINK("https://audio.iskcondesiretree.com/02_-_ISKCON_Swamis/ISKCON_Swamis_-_R_to_Y/His_Holiness_Radhanath_Swami/Lectures/01_-_Theme_wise/Public_Addressings/1996-030_Departure_Lecture_-_Radhanath_Swami_Pune_1996-01-27_IDesireTree.mp3", "1996-030_Departure_Lecture_-_Radhanath_Swami_Pune_1996-01-27_IDesireTree.mp3")</f>
        <v>1996-030_Departure_Lecture_-_Radhanath_Swami_Pune_1996-01-27_IDesireTree.mp3</v>
      </c>
      <c r="D4278" s="24"/>
      <c r="E4278" s="24"/>
    </row>
    <row r="4279">
      <c r="A4279" s="25" t="s">
        <v>18392</v>
      </c>
      <c r="B4279" s="25" t="s">
        <v>18468</v>
      </c>
      <c r="C4279" s="26" t="str">
        <f>HYPERLINK("https://audio.iskcondesiretree.com/02_-_ISKCON_Swamis/ISKCON_Swamis_-_R_to_Y/His_Holiness_Radhanath_Swami/Lectures/01_-_Theme_wise/Public_Addressings/1996-146_Arrival_Lecture_-_Radhanath_Swami_Belgaum_1996-09-30_IDesireTree.mp3", "1996-146_Arrival_Lecture_-_Radhanath_Swami_Belgaum_1996-09-30_IDesireTree.mp3")</f>
        <v>1996-146_Arrival_Lecture_-_Radhanath_Swami_Belgaum_1996-09-30_IDesireTree.mp3</v>
      </c>
      <c r="D4279" s="24"/>
      <c r="E4279" s="24"/>
    </row>
    <row r="4280">
      <c r="A4280" s="25" t="s">
        <v>18392</v>
      </c>
      <c r="B4280" s="25" t="s">
        <v>18468</v>
      </c>
      <c r="C4280" s="26" t="str">
        <f>HYPERLINK("https://audio.iskcondesiretree.com/02_-_ISKCON_Swamis/ISKCON_Swamis_-_R_to_Y/His_Holiness_Radhanath_Swami/Lectures/01_-_Theme_wise/Public_Addressings/1996-169_Departure_Meeting_-_Radhanath_Swami_Mumbai_1996-11-04_IDesireTree.mp3", "1996-169_Departure_Meeting_-_Radhanath_Swami_Mumbai_1996-11-04_IDesireTree.mp3")</f>
        <v>1996-169_Departure_Meeting_-_Radhanath_Swami_Mumbai_1996-11-04_IDesireTree.mp3</v>
      </c>
      <c r="D4280" s="24"/>
      <c r="E4280" s="24"/>
    </row>
    <row r="4281">
      <c r="A4281" s="25" t="s">
        <v>18392</v>
      </c>
      <c r="B4281" s="25" t="s">
        <v>18468</v>
      </c>
      <c r="C4281" s="26" t="str">
        <f>HYPERLINK("https://audio.iskcondesiretree.com/02_-_ISKCON_Swamis/ISKCON_Swamis_-_R_to_Y/His_Holiness_Radhanath_Swami/Lectures/01_-_Theme_wise/Public_Addressings/1996-171_Arrival_Lecture_SB-02_06_35_-_Radhanath_Swami_Mumbai_1996-12-19_IDesireTree.mp3", "1996-171_Arrival_Lecture_SB-02_06_35_-_Radhanath_Swami_Mumbai_1996-12-19_IDesireTree.mp3")</f>
        <v>1996-171_Arrival_Lecture_SB-02_06_35_-_Radhanath_Swami_Mumbai_1996-12-19_IDesireTree.mp3</v>
      </c>
      <c r="D4281" s="24"/>
      <c r="E4281" s="24"/>
    </row>
    <row r="4282">
      <c r="A4282" s="25" t="s">
        <v>18392</v>
      </c>
      <c r="B4282" s="25" t="s">
        <v>18468</v>
      </c>
      <c r="C4282" s="26" t="str">
        <f>HYPERLINK("https://audio.iskcondesiretree.com/02_-_ISKCON_Swamis/ISKCON_Swamis_-_R_to_Y/His_Holiness_Radhanath_Swami/Lectures/01_-_Theme_wise/Public_Addressings/1997-027_Arrival_Lecture_-_Radhanath_Swami_Pune_1997-30-01_IDesireTree.mp3", "1997-027_Arrival_Lecture_-_Radhanath_Swami_Pune_1997-30-01_IDesireTree.mp3")</f>
        <v>1997-027_Arrival_Lecture_-_Radhanath_Swami_Pune_1997-30-01_IDesireTree.mp3</v>
      </c>
      <c r="D4282" s="24"/>
      <c r="E4282" s="24"/>
    </row>
    <row r="4283">
      <c r="A4283" s="25" t="s">
        <v>18392</v>
      </c>
      <c r="B4283" s="25" t="s">
        <v>18468</v>
      </c>
      <c r="C4283" s="26" t="str">
        <f>HYPERLINK("https://audio.iskcondesiretree.com/02_-_ISKCON_Swamis/ISKCON_Swamis_-_R_to_Y/His_Holiness_Radhanath_Swami/Lectures/01_-_Theme_wise/Public_Addressings/1997-030_Departure_Lecture_-_Radhanath_Swami_Pune_1997-02-02_IDesireTree.mp3", "1997-030_Departure_Lecture_-_Radhanath_Swami_Pune_1997-02-02_IDesireTree.mp3")</f>
        <v>1997-030_Departure_Lecture_-_Radhanath_Swami_Pune_1997-02-02_IDesireTree.mp3</v>
      </c>
      <c r="D4283" s="24"/>
      <c r="E4283" s="24"/>
    </row>
    <row r="4284">
      <c r="A4284" s="25" t="s">
        <v>18392</v>
      </c>
      <c r="B4284" s="25" t="s">
        <v>18468</v>
      </c>
      <c r="C4284" s="26" t="str">
        <f>HYPERLINK("https://audio.iskcondesiretree.com/02_-_ISKCON_Swamis/ISKCON_Swamis_-_R_to_Y/His_Holiness_Radhanath_Swami/Lectures/01_-_Theme_wise/Public_Addressings/1997-069_Bangalore_Temple_Opening_Lecture_-_Radhanath_Swami_Bangalore_1997-04-30_IDesireTree.mp3", "1997-069_Bangalore_Temple_Opening_Lecture_-_Radhanath_Swami_Bangalore_1997-04-30_IDesireTree.mp3")</f>
        <v>1997-069_Bangalore_Temple_Opening_Lecture_-_Radhanath_Swami_Bangalore_1997-04-30_IDesireTree.mp3</v>
      </c>
      <c r="D4284" s="24"/>
      <c r="E4284" s="24"/>
    </row>
    <row r="4285">
      <c r="A4285" s="25" t="s">
        <v>18392</v>
      </c>
      <c r="B4285" s="25" t="s">
        <v>18468</v>
      </c>
      <c r="C4285" s="26" t="str">
        <f>HYPERLINK("https://audio.iskcondesiretree.com/02_-_ISKCON_Swamis/ISKCON_Swamis_-_R_to_Y/His_Holiness_Radhanath_Swami/Lectures/01_-_Theme_wise/Public_Addressings/1997-086__Lecture_Bhaktivedanta_Manor_-_Radhanath_Swami_London_1997-08-12_IDesireTree.mp3", "1997-086__Lecture_Bhaktivedanta_Manor_-_Radhanath_Swami_London_1997-08-12_IDesireTree.mp3")</f>
        <v>1997-086__Lecture_Bhaktivedanta_Manor_-_Radhanath_Swami_London_1997-08-12_IDesireTree.mp3</v>
      </c>
      <c r="D4285" s="24"/>
      <c r="E4285" s="24"/>
    </row>
    <row r="4286">
      <c r="A4286" s="25" t="s">
        <v>18392</v>
      </c>
      <c r="B4286" s="25" t="s">
        <v>18468</v>
      </c>
      <c r="C4286" s="26" t="str">
        <f>HYPERLINK("https://audio.iskcondesiretree.com/02_-_ISKCON_Swamis/ISKCON_Swamis_-_R_to_Y/His_Holiness_Radhanath_Swami/Lectures/01_-_Theme_wise/Public_Addressings/1997-110_Message_To_The_Congregation_Devotees_Lecture_-_Radhanath_Swami_Mumbai_1997-09-27_IDesireTree.mp3", "1997-110_Message_To_The_Congregation_Devotees_Lecture_-_Radhanath_Swami_Mumbai_1997-09-27_IDesireTree.mp3")</f>
        <v>1997-110_Message_To_The_Congregation_Devotees_Lecture_-_Radhanath_Swami_Mumbai_1997-09-27_IDesireTree.mp3</v>
      </c>
      <c r="D4286" s="24"/>
      <c r="E4286" s="24"/>
    </row>
    <row r="4287">
      <c r="A4287" s="25" t="s">
        <v>18392</v>
      </c>
      <c r="B4287" s="25" t="s">
        <v>18468</v>
      </c>
      <c r="C4287" s="26" t="str">
        <f>HYPERLINK("https://audio.iskcondesiretree.com/02_-_ISKCON_Swamis/ISKCON_Swamis_-_R_to_Y/His_Holiness_Radhanath_Swami/Lectures/01_-_Theme_wise/Public_Addressings/1998-009_Arrival_Address_Lecture_-_Radhanath_Swami_Pune_1998-01-23_IDesireTree.mp3", "1998-009_Arrival_Address_Lecture_-_Radhanath_Swami_Pune_1998-01-23_IDesireTree.mp3")</f>
        <v>1998-009_Arrival_Address_Lecture_-_Radhanath_Swami_Pune_1998-01-23_IDesireTree.mp3</v>
      </c>
      <c r="D4287" s="24"/>
      <c r="E4287" s="24"/>
    </row>
    <row r="4288">
      <c r="A4288" s="25" t="s">
        <v>18392</v>
      </c>
      <c r="B4288" s="25" t="s">
        <v>18468</v>
      </c>
      <c r="C4288" s="26" t="str">
        <f>HYPERLINK("https://audio.iskcondesiretree.com/02_-_ISKCON_Swamis/ISKCON_Swamis_-_R_to_Y/His_Holiness_Radhanath_Swami/Lectures/01_-_Theme_wise/Public_Addressings/1998-083_Arrival_Address_Lecture_-_Radhanath_Swami_Mumbai_1998-09-18_IDesireTree.mp3", "1998-083_Arrival_Address_Lecture_-_Radhanath_Swami_Mumbai_1998-09-18_IDesireTree.mp3")</f>
        <v>1998-083_Arrival_Address_Lecture_-_Radhanath_Swami_Mumbai_1998-09-18_IDesireTree.mp3</v>
      </c>
      <c r="D4288" s="24"/>
      <c r="E4288" s="24"/>
    </row>
    <row r="4289">
      <c r="A4289" s="25" t="s">
        <v>18392</v>
      </c>
      <c r="B4289" s="25" t="s">
        <v>18468</v>
      </c>
      <c r="C4289" s="26" t="str">
        <f>HYPERLINK("https://audio.iskcondesiretree.com/02_-_ISKCON_Swamis/ISKCON_Swamis_-_R_to_Y/His_Holiness_Radhanath_Swami/Lectures/01_-_Theme_wise/Public_Addressings/2000-028_Arrival_Address_Lecture_-_Radhanath_Swami_Pune_2000-02-10_IDesireTree.mp3", "2000-028_Arrival_Address_Lecture_-_Radhanath_Swami_Pune_2000-02-10_IDesireTree.mp3")</f>
        <v>2000-028_Arrival_Address_Lecture_-_Radhanath_Swami_Pune_2000-02-10_IDesireTree.mp3</v>
      </c>
      <c r="D4289" s="24"/>
      <c r="E4289" s="24"/>
    </row>
    <row r="4290">
      <c r="A4290" s="25" t="s">
        <v>18392</v>
      </c>
      <c r="B4290" s="25" t="s">
        <v>18468</v>
      </c>
      <c r="C4290" s="26" t="str">
        <f>HYPERLINK("https://audio.iskcondesiretree.com/02_-_ISKCON_Swamis/ISKCON_Swamis_-_R_to_Y/His_Holiness_Radhanath_Swami/Lectures/01_-_Theme_wise/Public_Addressings/2000-040_Condolence_Message_Mrs_Dalal_Lecture_-_Radhanath_Swami_Mumbai_2000-03-16_IDesireTree.mp3", "2000-040_Condolence_Message_Mrs_Dalal_Lecture_-_Radhanath_Swami_Mumbai_2000-03-16_IDesireTree.mp3")</f>
        <v>2000-040_Condolence_Message_Mrs_Dalal_Lecture_-_Radhanath_Swami_Mumbai_2000-03-16_IDesireTree.mp3</v>
      </c>
      <c r="D4290" s="24"/>
      <c r="E4290" s="24"/>
    </row>
    <row r="4291">
      <c r="A4291" s="25" t="s">
        <v>18392</v>
      </c>
      <c r="B4291" s="25" t="s">
        <v>18468</v>
      </c>
      <c r="C4291" s="26" t="str">
        <f>HYPERLINK("https://audio.iskcondesiretree.com/02_-_ISKCON_Swamis/ISKCON_Swamis_-_R_to_Y/His_Holiness_Radhanath_Swami/Lectures/01_-_Theme_wise/Public_Addressings/2001-047_Arrival_Lec_Lecture_-_Radhanath_Swami_Mumbai_2001-10-31_IDesireTree.mp3", "2001-047_Arrival_Lec_Lecture_-_Radhanath_Swami_Mumbai_2001-10-31_IDesireTree.mp3")</f>
        <v>2001-047_Arrival_Lec_Lecture_-_Radhanath_Swami_Mumbai_2001-10-31_IDesireTree.mp3</v>
      </c>
      <c r="D4291" s="24"/>
      <c r="E4291" s="24"/>
    </row>
    <row r="4292">
      <c r="A4292" s="25" t="s">
        <v>18392</v>
      </c>
      <c r="B4292" s="25" t="s">
        <v>18468</v>
      </c>
      <c r="C4292" s="26" t="str">
        <f>HYPERLINK("https://audio.iskcondesiretree.com/02_-_ISKCON_Swamis/ISKCON_Swamis_-_R_to_Y/His_Holiness_Radhanath_Swami/Lectures/01_-_Theme_wise/Public_Addressings/2002-100_Arrival_Address_Lecture_-_Radhanath_Swami_Mumbai_2002-10-02_IDesireTree.mp3", "2002-100_Arrival_Address_Lecture_-_Radhanath_Swami_Mumbai_2002-10-02_IDesireTree.mp3")</f>
        <v>2002-100_Arrival_Address_Lecture_-_Radhanath_Swami_Mumbai_2002-10-02_IDesireTree.mp3</v>
      </c>
      <c r="D4292" s="24"/>
      <c r="E4292" s="24"/>
    </row>
    <row r="4293">
      <c r="A4293" s="25" t="s">
        <v>18392</v>
      </c>
      <c r="B4293" s="25" t="s">
        <v>18469</v>
      </c>
      <c r="C4293" s="26" t="str">
        <f>HYPERLINK("https://audio.iskcondesiretree.com/02_-_ISKCON_Swamis/ISKCON_Swamis_-_R_to_Y/His_Holiness_Radhanath_Swami/Lectures/01_-_Theme_wise/Purity_is_the_force/1993-017_To_Purify_Our_Heart_SB-01_02_08_-_Radhanath_Swami_Mumbai_1993-01-17_IDesireTree.mp3", "1993-017_To_Purify_Our_Heart_SB-01_02_08_-_Radhanath_Swami_Mumbai_1993-01-17_IDesireTree.mp3")</f>
        <v>1993-017_To_Purify_Our_Heart_SB-01_02_08_-_Radhanath_Swami_Mumbai_1993-01-17_IDesireTree.mp3</v>
      </c>
      <c r="D4293" s="24"/>
      <c r="E4293" s="24"/>
    </row>
    <row r="4294">
      <c r="A4294" s="25" t="s">
        <v>18392</v>
      </c>
      <c r="B4294" s="25" t="s">
        <v>18469</v>
      </c>
      <c r="C4294" s="26" t="str">
        <f>HYPERLINK("https://audio.iskcondesiretree.com/02_-_ISKCON_Swamis/ISKCON_Swamis_-_R_to_Y/His_Holiness_Radhanath_Swami/Lectures/01_-_Theme_wise/Purity_is_the_force/1993-051_Purification_Means_SB-10_26_13_-_Radhanath_Swami_Mumbai_1993-04-13_IDesireTree.mp3", "1993-051_Purification_Means_SB-10_26_13_-_Radhanath_Swami_Mumbai_1993-04-13_IDesireTree.mp3")</f>
        <v>1993-051_Purification_Means_SB-10_26_13_-_Radhanath_Swami_Mumbai_1993-04-13_IDesireTree.mp3</v>
      </c>
      <c r="D4294" s="24"/>
      <c r="E4294" s="24"/>
    </row>
    <row r="4295">
      <c r="A4295" s="25" t="s">
        <v>18392</v>
      </c>
      <c r="B4295" s="25" t="s">
        <v>18469</v>
      </c>
      <c r="C4295" s="26" t="str">
        <f>HYPERLINK("https://audio.iskcondesiretree.com/02_-_ISKCON_Swamis/ISKCON_Swamis_-_R_to_Y/His_Holiness_Radhanath_Swami/Lectures/01_-_Theme_wise/Purity_is_the_force/1993-062_Prestige_To_Be_Purified_SB-10_27_01_-_Radhanath_Swami_Mumbai_1993-04-20_IDesireTree.mp3", "1993-062_Prestige_To_Be_Purified_SB-10_27_01_-_Radhanath_Swami_Mumbai_1993-04-20_IDesireTree.mp3")</f>
        <v>1993-062_Prestige_To_Be_Purified_SB-10_27_01_-_Radhanath_Swami_Mumbai_1993-04-20_IDesireTree.mp3</v>
      </c>
      <c r="D4295" s="24"/>
      <c r="E4295" s="24"/>
    </row>
    <row r="4296">
      <c r="A4296" s="25" t="s">
        <v>18392</v>
      </c>
      <c r="B4296" s="25" t="s">
        <v>18469</v>
      </c>
      <c r="C4296" s="26" t="str">
        <f>HYPERLINK("https://audio.iskcondesiretree.com/02_-_ISKCON_Swamis/ISKCON_Swamis_-_R_to_Y/His_Holiness_Radhanath_Swami/Lectures/01_-_Theme_wise/Purity_is_the_force/1993-065_Purifying_Ourselves_Lecture_-_Radhanath_Swami_Mumbai_1993-04-23_IDesireTree.mp3", "1993-065_Purifying_Ourselves_Lecture_-_Radhanath_Swami_Mumbai_1993-04-23_IDesireTree.mp3")</f>
        <v>1993-065_Purifying_Ourselves_Lecture_-_Radhanath_Swami_Mumbai_1993-04-23_IDesireTree.mp3</v>
      </c>
      <c r="D4296" s="24"/>
      <c r="E4296" s="24"/>
    </row>
    <row r="4297">
      <c r="A4297" s="25" t="s">
        <v>18392</v>
      </c>
      <c r="B4297" s="25" t="s">
        <v>18469</v>
      </c>
      <c r="C4297" s="26" t="str">
        <f>HYPERLINK("https://audio.iskcondesiretree.com/02_-_ISKCON_Swamis/ISKCON_Swamis_-_R_to_Y/His_Holiness_Radhanath_Swami/Lectures/01_-_Theme_wise/Purity_is_the_force/1994-119_First_Purify_Ourselves_Lecture_-_Radhanath_Swami_Mumbai_1994-08-28_IDesireTree.mp3", "1994-119_First_Purify_Ourselves_Lecture_-_Radhanath_Swami_Mumbai_1994-08-28_IDesireTree.mp3")</f>
        <v>1994-119_First_Purify_Ourselves_Lecture_-_Radhanath_Swami_Mumbai_1994-08-28_IDesireTree.mp3</v>
      </c>
      <c r="D4297" s="24"/>
      <c r="E4297" s="24"/>
    </row>
    <row r="4298">
      <c r="A4298" s="25" t="s">
        <v>18392</v>
      </c>
      <c r="B4298" s="25" t="s">
        <v>18469</v>
      </c>
      <c r="C4298" s="26" t="str">
        <f>HYPERLINK("https://audio.iskcondesiretree.com/02_-_ISKCON_Swamis/ISKCON_Swamis_-_R_to_Y/His_Holiness_Radhanath_Swami/Lectures/01_-_Theme_wise/Purity_is_the_force/1996-075_Purify_Our_Heart_BG-03_20_-_Radhanath_Swami_Pune_1996-04-09_IDesireTree.mp3", "1996-075_Purify_Our_Heart_BG-03_20_-_Radhanath_Swami_Pune_1996-04-09_IDesireTree.mp3")</f>
        <v>1996-075_Purify_Our_Heart_BG-03_20_-_Radhanath_Swami_Pune_1996-04-09_IDesireTree.mp3</v>
      </c>
      <c r="D4298" s="24"/>
      <c r="E4298" s="24"/>
    </row>
    <row r="4299">
      <c r="A4299" s="25" t="s">
        <v>18392</v>
      </c>
      <c r="B4299" s="25" t="s">
        <v>18469</v>
      </c>
      <c r="C4299" s="26" t="str">
        <f>HYPERLINK("https://audio.iskcondesiretree.com/02_-_ISKCON_Swamis/ISKCON_Swamis_-_R_to_Y/His_Holiness_Radhanath_Swami/Lectures/01_-_Theme_wise/Purity_is_the_force/2001-072_Getting_Purified_On_New_Years_Eve_Lecture_-_Radhanath_Swami_Mumbai_2001-12-31_IDesireTree.mp3", "2001-072_Getting_Purified_On_New_Years_Eve_Lecture_-_Radhanath_Swami_Mumbai_2001-12-31_IDesireTree.mp3")</f>
        <v>2001-072_Getting_Purified_On_New_Years_Eve_Lecture_-_Radhanath_Swami_Mumbai_2001-12-31_IDesireTree.mp3</v>
      </c>
      <c r="D4299" s="24"/>
      <c r="E4299" s="24"/>
    </row>
    <row r="4300">
      <c r="A4300" s="25" t="s">
        <v>18392</v>
      </c>
      <c r="B4300" s="25" t="s">
        <v>18469</v>
      </c>
      <c r="C4300" s="26" t="str">
        <f>HYPERLINK("https://audio.iskcondesiretree.com/02_-_ISKCON_Swamis/ISKCON_Swamis_-_R_to_Y/His_Holiness_Radhanath_Swami/Lectures/01_-_Theme_wise/Purity_is_the_force/2003-004_Surpassing_Material_Conditioning_Sunday_feast_-_Radhanath_Swami_Pune_2003-01-05_IDesireTree.mp3", "2003-004_Surpassing_Material_Conditioning_Sunday_feast_-_Radhanath_Swami_Pune_2003-01-05_IDesireTree.mp3")</f>
        <v>2003-004_Surpassing_Material_Conditioning_Sunday_feast_-_Radhanath_Swami_Pune_2003-01-05_IDesireTree.mp3</v>
      </c>
      <c r="D4300" s="24"/>
      <c r="E4300" s="24"/>
    </row>
    <row r="4301">
      <c r="A4301" s="25" t="s">
        <v>18392</v>
      </c>
      <c r="B4301" s="25" t="s">
        <v>18470</v>
      </c>
      <c r="C4301" s="26" t="str">
        <f>HYPERLINK("https://audio.iskcondesiretree.com/02_-_ISKCON_Swamis/ISKCON_Swamis_-_R_to_Y/His_Holiness_Radhanath_Swami/Lectures/01_-_Theme_wise/Question_and_Answers/1989-075_Spiritual_Life_Means_To_Give_Q%26A_-_Radhanath_Swami_Mumbai1989-10-30_IDesireTree.mp3", "1989-075_Spiritual_Life_Means_To_Give_Q%26A_-_Radhanath_Swami_Mumbai1989-10-30_IDesireTree.mp3")</f>
        <v>1989-075_Spiritual_Life_Means_To_Give_Q%26A_-_Radhanath_Swami_Mumbai1989-10-30_IDesireTree.mp3</v>
      </c>
      <c r="D4301" s="24"/>
      <c r="E4301" s="24"/>
    </row>
    <row r="4302">
      <c r="A4302" s="25" t="s">
        <v>18392</v>
      </c>
      <c r="B4302" s="25" t="s">
        <v>18470</v>
      </c>
      <c r="C4302" s="26" t="str">
        <f>HYPERLINK("https://audio.iskcondesiretree.com/02_-_ISKCON_Swamis/ISKCON_Swamis_-_R_to_Y/His_Holiness_Radhanath_Swami/Lectures/01_-_Theme_wise/Question_and_Answers/1990-045_Transcendental_Q%26A_-_Radhanath_Swami_Mumbai_1990-04-26_IDesireTree.mp3", "1990-045_Transcendental_Q%26A_-_Radhanath_Swami_Mumbai_1990-04-26_IDesireTree.mp3")</f>
        <v>1990-045_Transcendental_Q%26A_-_Radhanath_Swami_Mumbai_1990-04-26_IDesireTree.mp3</v>
      </c>
      <c r="D4302" s="24"/>
      <c r="E4302" s="24"/>
    </row>
    <row r="4303">
      <c r="A4303" s="25" t="s">
        <v>18392</v>
      </c>
      <c r="B4303" s="25" t="s">
        <v>18470</v>
      </c>
      <c r="C4303" s="26" t="str">
        <f>HYPERLINK("https://audio.iskcondesiretree.com/02_-_ISKCON_Swamis/ISKCON_Swamis_-_R_to_Y/His_Holiness_Radhanath_Swami/Lectures/01_-_Theme_wise/Question_and_Answers/1990-094_Questions_And_Answers_Lecture_-_Radhanath_Swami_Mumbai_1990-10-19_IDesireTree.mp3", "1990-094_Questions_And_Answers_Lecture_-_Radhanath_Swami_Mumbai_1990-10-19_IDesireTree.mp3")</f>
        <v>1990-094_Questions_And_Answers_Lecture_-_Radhanath_Swami_Mumbai_1990-10-19_IDesireTree.mp3</v>
      </c>
      <c r="D4303" s="24"/>
      <c r="E4303" s="24"/>
    </row>
    <row r="4304">
      <c r="A4304" s="25" t="s">
        <v>18392</v>
      </c>
      <c r="B4304" s="25" t="s">
        <v>18470</v>
      </c>
      <c r="C4304" s="26" t="str">
        <f>HYPERLINK("https://audio.iskcondesiretree.com/02_-_ISKCON_Swamis/ISKCON_Swamis_-_R_to_Y/His_Holiness_Radhanath_Swami/Lectures/01_-_Theme_wise/Question_and_Answers/1991-028_Questions_And_Answers_Lecture_-_Radhanath_Swami_Pune_1991-03-02_IDesireTree.mp3", "1991-028_Questions_And_Answers_Lecture_-_Radhanath_Swami_Pune_1991-03-02_IDesireTree.mp3")</f>
        <v>1991-028_Questions_And_Answers_Lecture_-_Radhanath_Swami_Pune_1991-03-02_IDesireTree.mp3</v>
      </c>
      <c r="D4304" s="24"/>
      <c r="E4304" s="24"/>
    </row>
    <row r="4305">
      <c r="A4305" s="25" t="s">
        <v>18392</v>
      </c>
      <c r="B4305" s="25" t="s">
        <v>18470</v>
      </c>
      <c r="C4305" s="26" t="str">
        <f>HYPERLINK("https://audio.iskcondesiretree.com/02_-_ISKCON_Swamis/ISKCON_Swamis_-_R_to_Y/His_Holiness_Radhanath_Swami/Lectures/01_-_Theme_wise/Question_and_Answers/1991-064_Questions_And_Answers_Q%26A_-_Radhanath_Swami_Mumbai_1991-06-08_IDesireTree.mp3", "1991-064_Questions_And_Answers_Q%26A_-_Radhanath_Swami_Mumbai_1991-06-08_IDesireTree.mp3")</f>
        <v>1991-064_Questions_And_Answers_Q%26A_-_Radhanath_Swami_Mumbai_1991-06-08_IDesireTree.mp3</v>
      </c>
      <c r="D4305" s="24"/>
      <c r="E4305" s="24"/>
    </row>
    <row r="4306">
      <c r="A4306" s="25" t="s">
        <v>18392</v>
      </c>
      <c r="B4306" s="25" t="s">
        <v>18470</v>
      </c>
      <c r="C4306" s="26" t="str">
        <f>HYPERLINK("https://audio.iskcondesiretree.com/02_-_ISKCON_Swamis/ISKCON_Swamis_-_R_to_Y/His_Holiness_Radhanath_Swami/Lectures/01_-_Theme_wise/Question_and_Answers/1992-006_Questions_And_Answers_Q%26A_-_Radhanath_Swami_Pune_1992-01-05_IDesireTree.mp3", "1992-006_Questions_And_Answers_Q%26A_-_Radhanath_Swami_Pune_1992-01-05_IDesireTree.mp3")</f>
        <v>1992-006_Questions_And_Answers_Q%26A_-_Radhanath_Swami_Pune_1992-01-05_IDesireTree.mp3</v>
      </c>
      <c r="D4306" s="24"/>
      <c r="E4306" s="24"/>
    </row>
    <row r="4307">
      <c r="A4307" s="25" t="s">
        <v>18392</v>
      </c>
      <c r="B4307" s="25" t="s">
        <v>18470</v>
      </c>
      <c r="C4307" s="26" t="str">
        <f>HYPERLINK("https://audio.iskcondesiretree.com/02_-_ISKCON_Swamis/ISKCON_Swamis_-_R_to_Y/His_Holiness_Radhanath_Swami/Lectures/01_-_Theme_wise/Question_and_Answers/1992-035_Questions_And_Answer_Q%26A_-_Radhanath_Swami_Mumbai_1992-02-01_IDesireTree.mp3", "1992-035_Questions_And_Answer_Q%26A_-_Radhanath_Swami_Mumbai_1992-02-01_IDesireTree.mp3")</f>
        <v>1992-035_Questions_And_Answer_Q%26A_-_Radhanath_Swami_Mumbai_1992-02-01_IDesireTree.mp3</v>
      </c>
      <c r="D4307" s="24"/>
      <c r="E4307" s="24"/>
    </row>
    <row r="4308">
      <c r="A4308" s="25" t="s">
        <v>18392</v>
      </c>
      <c r="B4308" s="25" t="s">
        <v>18470</v>
      </c>
      <c r="C4308" s="26" t="str">
        <f>HYPERLINK("https://audio.iskcondesiretree.com/02_-_ISKCON_Swamis/ISKCON_Swamis_-_R_to_Y/His_Holiness_Radhanath_Swami/Lectures/01_-_Theme_wise/Question_and_Answers/1993-114_Question_%26_Answers_Q%26A_-_Radhanath_Swami_Mumbai_1993-06-11_IDesireTree.mp3", "1993-114_Question_%26_Answers_Q%26A_-_Radhanath_Swami_Mumbai_1993-06-11_IDesireTree.mp3")</f>
        <v>1993-114_Question_%26_Answers_Q%26A_-_Radhanath_Swami_Mumbai_1993-06-11_IDesireTree.mp3</v>
      </c>
      <c r="D4308" s="24"/>
      <c r="E4308" s="24"/>
    </row>
    <row r="4309">
      <c r="A4309" s="25" t="s">
        <v>18392</v>
      </c>
      <c r="B4309" s="25" t="s">
        <v>18470</v>
      </c>
      <c r="C4309" s="26" t="str">
        <f>HYPERLINK("https://audio.iskcondesiretree.com/02_-_ISKCON_Swamis/ISKCON_Swamis_-_R_to_Y/His_Holiness_Radhanath_Swami/Lectures/01_-_Theme_wise/Question_and_Answers/1993-171_Question_And_Answer_Q%26A_-_Radhanath_Swami_Mumbai_1993-12-02_IDesireTree.mp3", "1993-171_Question_And_Answer_Q%26A_-_Radhanath_Swami_Mumbai_1993-12-02_IDesireTree.mp3")</f>
        <v>1993-171_Question_And_Answer_Q%26A_-_Radhanath_Swami_Mumbai_1993-12-02_IDesireTree.mp3</v>
      </c>
      <c r="D4309" s="24"/>
      <c r="E4309" s="24"/>
    </row>
    <row r="4310">
      <c r="A4310" s="25" t="s">
        <v>18392</v>
      </c>
      <c r="B4310" s="25" t="s">
        <v>18470</v>
      </c>
      <c r="C4310" s="26" t="str">
        <f>HYPERLINK("https://audio.iskcondesiretree.com/02_-_ISKCON_Swamis/ISKCON_Swamis_-_R_to_Y/His_Holiness_Radhanath_Swami/Lectures/01_-_Theme_wise/Question_and_Answers/1994-002_Question_And_Answer_Q%26A%20_-_Radhanath_Swami_Mayapur_1994-01-02_IDesireTree.mp3", "1994-002_Question_And_Answer_Q%26A%20_-_Radhanath_Swami_Mayapur_1994-01-02_IDesireTree.mp3")</f>
        <v>1994-002_Question_And_Answer_Q%26A%20_-_Radhanath_Swami_Mayapur_1994-01-02_IDesireTree.mp3</v>
      </c>
      <c r="D4310" s="24"/>
      <c r="E4310" s="24"/>
    </row>
    <row r="4311">
      <c r="A4311" s="25" t="s">
        <v>18392</v>
      </c>
      <c r="B4311" s="25" t="s">
        <v>18470</v>
      </c>
      <c r="C4311" s="26" t="str">
        <f>HYPERLINK("https://audio.iskcondesiretree.com/02_-_ISKCON_Swamis/ISKCON_Swamis_-_R_to_Y/His_Holiness_Radhanath_Swami/Lectures/01_-_Theme_wise/Question_and_Answers/1994-010_Question_And_Answer_Q%26A_-_Radhanath_Swami_Mumbai_1994-01-16_IDesireTree.mp3", "1994-010_Question_And_Answer_Q%26A_-_Radhanath_Swami_Mumbai_1994-01-16_IDesireTree.mp3")</f>
        <v>1994-010_Question_And_Answer_Q%26A_-_Radhanath_Swami_Mumbai_1994-01-16_IDesireTree.mp3</v>
      </c>
      <c r="D4311" s="24"/>
      <c r="E4311" s="24"/>
    </row>
    <row r="4312">
      <c r="A4312" s="25" t="s">
        <v>18392</v>
      </c>
      <c r="B4312" s="25" t="s">
        <v>18470</v>
      </c>
      <c r="C4312" s="26" t="str">
        <f>HYPERLINK("https://audio.iskcondesiretree.com/02_-_ISKCON_Swamis/ISKCON_Swamis_-_R_to_Y/His_Holiness_Radhanath_Swami/Lectures/01_-_Theme_wise/Question_and_Answers/1994-018_Questions_And_Answers_Q%26A_-_Radhanath_Swami_Pune_1994-01-21_IDesireTree.mp3", "1994-018_Questions_And_Answers_Q%26A_-_Radhanath_Swami_Pune_1994-01-21_IDesireTree.mp3")</f>
        <v>1994-018_Questions_And_Answers_Q%26A_-_Radhanath_Swami_Pune_1994-01-21_IDesireTree.mp3</v>
      </c>
      <c r="D4312" s="24"/>
      <c r="E4312" s="24"/>
    </row>
    <row r="4313">
      <c r="A4313" s="25" t="s">
        <v>18392</v>
      </c>
      <c r="B4313" s="25" t="s">
        <v>18470</v>
      </c>
      <c r="C4313" s="26" t="str">
        <f>HYPERLINK("https://audio.iskcondesiretree.com/02_-_ISKCON_Swamis/ISKCON_Swamis_-_R_to_Y/His_Holiness_Radhanath_Swami/Lectures/01_-_Theme_wise/Question_and_Answers/1994-045_Question_And_Answer_Q%26A_-_Radhanath_Swami_Mumbai_1994-02-25_IDesireTree.mp3", "1994-045_Question_And_Answer_Q%26A_-_Radhanath_Swami_Mumbai_1994-02-25_IDesireTree.mp3")</f>
        <v>1994-045_Question_And_Answer_Q%26A_-_Radhanath_Swami_Mumbai_1994-02-25_IDesireTree.mp3</v>
      </c>
      <c r="D4313" s="24"/>
      <c r="E4313" s="24"/>
    </row>
    <row r="4314">
      <c r="A4314" s="25" t="s">
        <v>18392</v>
      </c>
      <c r="B4314" s="25" t="s">
        <v>18470</v>
      </c>
      <c r="C4314" s="26" t="str">
        <f>HYPERLINK("https://audio.iskcondesiretree.com/02_-_ISKCON_Swamis/ISKCON_Swamis_-_R_to_Y/His_Holiness_Radhanath_Swami/Lectures/01_-_Theme_wise/Question_and_Answers/1994-088_Question_And_Answer_Q%26A_-_Radhanath_Swami_Mumbai_1994-05-13_IDesireTree.mp3", "1994-088_Question_And_Answer_Q%26A_-_Radhanath_Swami_Mumbai_1994-05-13_IDesireTree.mp3")</f>
        <v>1994-088_Question_And_Answer_Q%26A_-_Radhanath_Swami_Mumbai_1994-05-13_IDesireTree.mp3</v>
      </c>
      <c r="D4314" s="24"/>
      <c r="E4314" s="24"/>
    </row>
    <row r="4315">
      <c r="A4315" s="25" t="s">
        <v>18392</v>
      </c>
      <c r="B4315" s="25" t="s">
        <v>18470</v>
      </c>
      <c r="C4315" s="26" t="str">
        <f>HYPERLINK("https://audio.iskcondesiretree.com/02_-_ISKCON_Swamis/ISKCON_Swamis_-_R_to_Y/His_Holiness_Radhanath_Swami/Lectures/01_-_Theme_wise/Question_and_Answers/1994-204_Question_And_Answer_Q%26A_-_Radhanath_Swami_Mumbai_1994-10-21_IDesireTree.mp3", "1994-204_Question_And_Answer_Q%26A_-_Radhanath_Swami_Mumbai_1994-10-21_IDesireTree.mp3")</f>
        <v>1994-204_Question_And_Answer_Q%26A_-_Radhanath_Swami_Mumbai_1994-10-21_IDesireTree.mp3</v>
      </c>
      <c r="D4315" s="24"/>
      <c r="E4315" s="24"/>
    </row>
    <row r="4316">
      <c r="A4316" s="25" t="s">
        <v>18392</v>
      </c>
      <c r="B4316" s="25" t="s">
        <v>18470</v>
      </c>
      <c r="C4316" s="26" t="str">
        <f>HYPERLINK("https://audio.iskcondesiretree.com/02_-_ISKCON_Swamis/ISKCON_Swamis_-_R_to_Y/His_Holiness_Radhanath_Swami/Lectures/01_-_Theme_wise/Question_and_Answers/1995-019_Question_%26_Answere_Q_%26_A_-_Radhanath_Swami_Pune_1995-01-13_IDesireTree.mp3", "1995-019_Question_%26_Answere_Q_%26_A_-_Radhanath_Swami_Pune_1995-01-13_IDesireTree.mp3")</f>
        <v>1995-019_Question_%26_Answere_Q_%26_A_-_Radhanath_Swami_Pune_1995-01-13_IDesireTree.mp3</v>
      </c>
      <c r="D4316" s="24"/>
      <c r="E4316" s="24"/>
    </row>
    <row r="4317">
      <c r="A4317" s="25" t="s">
        <v>18392</v>
      </c>
      <c r="B4317" s="25" t="s">
        <v>18470</v>
      </c>
      <c r="C4317" s="26" t="str">
        <f>HYPERLINK("https://audio.iskcondesiretree.com/02_-_ISKCON_Swamis/ISKCON_Swamis_-_R_to_Y/His_Holiness_Radhanath_Swami/Lectures/01_-_Theme_wise/Question_and_Answers/1995-036_Question_%26_Answer_Q%26A_-_Radhanath_Swami_Pune_1995-01-27_IDesireTree.mp3", "1995-036_Question_%26_Answer_Q%26A_-_Radhanath_Swami_Pune_1995-01-27_IDesireTree.mp3")</f>
        <v>1995-036_Question_%26_Answer_Q%26A_-_Radhanath_Swami_Pune_1995-01-27_IDesireTree.mp3</v>
      </c>
      <c r="D4317" s="24"/>
      <c r="E4317" s="24"/>
    </row>
    <row r="4318">
      <c r="A4318" s="25" t="s">
        <v>18392</v>
      </c>
      <c r="B4318" s="25" t="s">
        <v>18470</v>
      </c>
      <c r="C4318" s="26" t="str">
        <f>HYPERLINK("https://audio.iskcondesiretree.com/02_-_ISKCON_Swamis/ISKCON_Swamis_-_R_to_Y/His_Holiness_Radhanath_Swami/Lectures/01_-_Theme_wise/Question_and_Answers/1995-077_Question_And_Answer_Q%26A_-_Radhanath_Swami_Massorie_1995-04-06_IDesireTree.mp3", "1995-077_Question_And_Answer_Q%26A_-_Radhanath_Swami_Massorie_1995-04-06_IDesireTree.mp3")</f>
        <v>1995-077_Question_And_Answer_Q%26A_-_Radhanath_Swami_Massorie_1995-04-06_IDesireTree.mp3</v>
      </c>
      <c r="D4318" s="24"/>
      <c r="E4318" s="24"/>
    </row>
    <row r="4319">
      <c r="A4319" s="25" t="s">
        <v>18392</v>
      </c>
      <c r="B4319" s="25" t="s">
        <v>18470</v>
      </c>
      <c r="C4319" s="26" t="str">
        <f>HYPERLINK("https://audio.iskcondesiretree.com/02_-_ISKCON_Swamis/ISKCON_Swamis_-_R_to_Y/His_Holiness_Radhanath_Swami/Lectures/01_-_Theme_wise/Question_and_Answers/1995-110_Question_And_Answers_Q%26A_-_Radhanath_Swami_Mumbai_1995-09-30_IDesireTree.mp3", "1995-110_Question_And_Answers_Q%26A_-_Radhanath_Swami_Mumbai_1995-09-30_IDesireTree.mp3")</f>
        <v>1995-110_Question_And_Answers_Q%26A_-_Radhanath_Swami_Mumbai_1995-09-30_IDesireTree.mp3</v>
      </c>
      <c r="D4319" s="24"/>
      <c r="E4319" s="24"/>
    </row>
    <row r="4320">
      <c r="A4320" s="25" t="s">
        <v>18392</v>
      </c>
      <c r="B4320" s="25" t="s">
        <v>18470</v>
      </c>
      <c r="C4320" s="26" t="str">
        <f>HYPERLINK("https://audio.iskcondesiretree.com/02_-_ISKCON_Swamis/ISKCON_Swamis_-_R_to_Y/His_Holiness_Radhanath_Swami/Lectures/01_-_Theme_wise/Question_and_Answers/1995-125_Question_And_Answers_Q%26A_-_Radhanath_Swami_Jaipur_1995-10-24_IDesireTree.mp3", "1995-125_Question_And_Answers_Q%26A_-_Radhanath_Swami_Jaipur_1995-10-24_IDesireTree.mp3")</f>
        <v>1995-125_Question_And_Answers_Q%26A_-_Radhanath_Swami_Jaipur_1995-10-24_IDesireTree.mp3</v>
      </c>
      <c r="D4320" s="24"/>
      <c r="E4320" s="24"/>
    </row>
    <row r="4321">
      <c r="A4321" s="25" t="s">
        <v>18392</v>
      </c>
      <c r="B4321" s="25" t="s">
        <v>18470</v>
      </c>
      <c r="C4321" s="26" t="str">
        <f>HYPERLINK("https://audio.iskcondesiretree.com/02_-_ISKCON_Swamis/ISKCON_Swamis_-_R_to_Y/His_Holiness_Radhanath_Swami/Lectures/01_-_Theme_wise/Question_and_Answers/1996-028_Question_And_Answer_Q%26A_-_Radhanath_Swami_Pune_1996-01-25_IDesireTree.mp3", "1996-028_Question_And_Answer_Q%26A_-_Radhanath_Swami_Pune_1996-01-25_IDesireTree.mp3")</f>
        <v>1996-028_Question_And_Answer_Q%26A_-_Radhanath_Swami_Pune_1996-01-25_IDesireTree.mp3</v>
      </c>
      <c r="D4321" s="24"/>
      <c r="E4321" s="24"/>
    </row>
    <row r="4322">
      <c r="A4322" s="25" t="s">
        <v>18392</v>
      </c>
      <c r="B4322" s="25" t="s">
        <v>18470</v>
      </c>
      <c r="C4322" s="26" t="str">
        <f>HYPERLINK("https://audio.iskcondesiretree.com/02_-_ISKCON_Swamis/ISKCON_Swamis_-_R_to_Y/His_Holiness_Radhanath_Swami/Lectures/01_-_Theme_wise/Question_and_Answers/1996-096_Question_And_Answer_Q%26A_-_Radhanath_Swami_Mumbai_1996-04-24_IDesireTree.mp3", "1996-096_Question_And_Answer_Q%26A_-_Radhanath_Swami_Mumbai_1996-04-24_IDesireTree.mp3")</f>
        <v>1996-096_Question_And_Answer_Q%26A_-_Radhanath_Swami_Mumbai_1996-04-24_IDesireTree.mp3</v>
      </c>
      <c r="D4322" s="24"/>
      <c r="E4322" s="24"/>
    </row>
    <row r="4323">
      <c r="A4323" s="25" t="s">
        <v>18392</v>
      </c>
      <c r="B4323" s="25" t="s">
        <v>18470</v>
      </c>
      <c r="C4323" s="26" t="str">
        <f>HYPERLINK("https://audio.iskcondesiretree.com/02_-_ISKCON_Swamis/ISKCON_Swamis_-_R_to_Y/His_Holiness_Radhanath_Swami/Lectures/01_-_Theme_wise/Question_and_Answers/1997-029_Question_And_Answer_Q%26A_-_Radhanath_Swami_Pune_1997-02-02_IDesireTree.mp3", "1997-029_Question_And_Answer_Q%26A_-_Radhanath_Swami_Pune_1997-02-02_IDesireTree.mp3")</f>
        <v>1997-029_Question_And_Answer_Q%26A_-_Radhanath_Swami_Pune_1997-02-02_IDesireTree.mp3</v>
      </c>
      <c r="D4323" s="24"/>
      <c r="E4323" s="24"/>
    </row>
    <row r="4324">
      <c r="A4324" s="25" t="s">
        <v>18392</v>
      </c>
      <c r="B4324" s="25" t="s">
        <v>18470</v>
      </c>
      <c r="C4324" s="26" t="str">
        <f>HYPERLINK("https://audio.iskcondesiretree.com/02_-_ISKCON_Swamis/ISKCON_Swamis_-_R_to_Y/His_Holiness_Radhanath_Swami/Lectures/01_-_Theme_wise/Question_and_Answers/1998-010_Questions_%26_Answers_Q%26A_-_Radhanath_Swami_Pune_1998-01-23_IDesireTree.mp3", "1998-010_Questions_%26_Answers_Q%26A_-_Radhanath_Swami_Pune_1998-01-23_IDesireTree.mp3")</f>
        <v>1998-010_Questions_%26_Answers_Q%26A_-_Radhanath_Swami_Pune_1998-01-23_IDesireTree.mp3</v>
      </c>
      <c r="D4324" s="24"/>
      <c r="E4324" s="24"/>
    </row>
    <row r="4325">
      <c r="A4325" s="25" t="s">
        <v>18392</v>
      </c>
      <c r="B4325" s="25" t="s">
        <v>18470</v>
      </c>
      <c r="C4325" s="26" t="str">
        <f>HYPERLINK("https://audio.iskcondesiretree.com/02_-_ISKCON_Swamis/ISKCON_Swamis_-_R_to_Y/His_Holiness_Radhanath_Swami/Lectures/01_-_Theme_wise/Question_and_Answers/1999-014_Questions_%26_Answers_Q%26A_-_Radhanath_Swami_Pune_1999-02-27_IDesireTree.mp3", "1999-014_Questions_%26_Answers_Q%26A_-_Radhanath_Swami_Pune_1999-02-27_IDesireTree.mp3")</f>
        <v>1999-014_Questions_%26_Answers_Q%26A_-_Radhanath_Swami_Pune_1999-02-27_IDesireTree.mp3</v>
      </c>
      <c r="D4325" s="24"/>
      <c r="E4325" s="24"/>
    </row>
    <row r="4326">
      <c r="A4326" s="25" t="s">
        <v>18392</v>
      </c>
      <c r="B4326" s="25" t="s">
        <v>18470</v>
      </c>
      <c r="C4326" s="26" t="str">
        <f>HYPERLINK("https://audio.iskcondesiretree.com/02_-_ISKCON_Swamis/ISKCON_Swamis_-_R_to_Y/His_Holiness_Radhanath_Swami/Lectures/01_-_Theme_wise/Question_and_Answers/2000-009_Questions_%26_Answers_Q%26A_-_Radhanath_Swami_Udipi_2000-01-18_IDesireTree.mp3", "2000-009_Questions_%26_Answers_Q%26A_-_Radhanath_Swami_Udipi_2000-01-18_IDesireTree.mp3")</f>
        <v>2000-009_Questions_%26_Answers_Q%26A_-_Radhanath_Swami_Udipi_2000-01-18_IDesireTree.mp3</v>
      </c>
      <c r="D4326" s="24"/>
      <c r="E4326" s="24"/>
    </row>
    <row r="4327">
      <c r="A4327" s="25" t="s">
        <v>18392</v>
      </c>
      <c r="B4327" s="25" t="s">
        <v>18470</v>
      </c>
      <c r="C4327" s="26" t="str">
        <f>HYPERLINK("https://audio.iskcondesiretree.com/02_-_ISKCON_Swamis/ISKCON_Swamis_-_R_to_Y/His_Holiness_Radhanath_Swami/Lectures/01_-_Theme_wise/Question_and_Answers/2000-031_Questions_%26_Answers-_I_Q%26A_-_Radhanath_Swami_Pune_2000-02-13_Part_1_IDesireTree.mp3", "2000-031_Questions_%26_Answers-_I_Q%26A_-_Radhanath_Swami_Pune_2000-02-13_Part_1_IDesireTree.mp3")</f>
        <v>2000-031_Questions_%26_Answers-_I_Q%26A_-_Radhanath_Swami_Pune_2000-02-13_Part_1_IDesireTree.mp3</v>
      </c>
      <c r="D4327" s="24"/>
      <c r="E4327" s="24"/>
    </row>
    <row r="4328">
      <c r="A4328" s="25" t="s">
        <v>18392</v>
      </c>
      <c r="B4328" s="25" t="s">
        <v>18470</v>
      </c>
      <c r="C4328" s="26" t="str">
        <f>HYPERLINK("https://audio.iskcondesiretree.com/02_-_ISKCON_Swamis/ISKCON_Swamis_-_R_to_Y/His_Holiness_Radhanath_Swami/Lectures/01_-_Theme_wise/Question_and_Answers/2000-032_Questions_%26_Answers_Q%26A_-_Radhanath_Swami_Pune_2000-02-13_Part_2_IDesireTree.mp3", "2000-032_Questions_%26_Answers_Q%26A_-_Radhanath_Swami_Pune_2000-02-13_Part_2_IDesireTree.mp3")</f>
        <v>2000-032_Questions_%26_Answers_Q%26A_-_Radhanath_Swami_Pune_2000-02-13_Part_2_IDesireTree.mp3</v>
      </c>
      <c r="D4328" s="24"/>
      <c r="E4328" s="24"/>
    </row>
    <row r="4329">
      <c r="A4329" s="25" t="s">
        <v>18392</v>
      </c>
      <c r="B4329" s="25" t="s">
        <v>18470</v>
      </c>
      <c r="C4329" s="26" t="str">
        <f>HYPERLINK("https://audio.iskcondesiretree.com/02_-_ISKCON_Swamis/ISKCON_Swamis_-_R_to_Y/His_Holiness_Radhanath_Swami/Lectures/01_-_Theme_wise/Question_and_Answers/2000-038_Questions_%26_Answers_Q%26A_-_Radhanath_Swami_Mumbai_2000-03-05_IDesireTree.mp3", "2000-038_Questions_%26_Answers_Q%26A_-_Radhanath_Swami_Mumbai_2000-03-05_IDesireTree.mp3")</f>
        <v>2000-038_Questions_%26_Answers_Q%26A_-_Radhanath_Swami_Mumbai_2000-03-05_IDesireTree.mp3</v>
      </c>
      <c r="D4329" s="24"/>
      <c r="E4329" s="24"/>
    </row>
    <row r="4330">
      <c r="A4330" s="25" t="s">
        <v>18392</v>
      </c>
      <c r="B4330" s="25" t="s">
        <v>18470</v>
      </c>
      <c r="C4330" s="26" t="str">
        <f>HYPERLINK("https://audio.iskcondesiretree.com/02_-_ISKCON_Swamis/ISKCON_Swamis_-_R_to_Y/His_Holiness_Radhanath_Swami/Lectures/01_-_Theme_wise/Question_and_Answers/2002-017_Q_and_A_With_Belgaum_Devotees_Q%26A_-_Radhanath_Swami_Belgaum_2002-01-21_IDesireTree.mp3", "2002-017_Q_and_A_With_Belgaum_Devotees_Q%26A_-_Radhanath_Swami_Belgaum_2002-01-21_IDesireTree.mp3")</f>
        <v>2002-017_Q_and_A_With_Belgaum_Devotees_Q%26A_-_Radhanath_Swami_Belgaum_2002-01-21_IDesireTree.mp3</v>
      </c>
      <c r="D4330" s="24"/>
      <c r="E4330" s="24"/>
    </row>
    <row r="4331">
      <c r="A4331" s="25" t="s">
        <v>18392</v>
      </c>
      <c r="B4331" s="25" t="s">
        <v>18470</v>
      </c>
      <c r="C4331" s="26" t="str">
        <f>HYPERLINK("https://audio.iskcondesiretree.com/02_-_ISKCON_Swamis/ISKCON_Swamis_-_R_to_Y/His_Holiness_Radhanath_Swami/Lectures/01_-_Theme_wise/Question_and_Answers/2003-029_Perfect_Questions_Perfect_Answers_Lecture_-_Radhanath_Swami_Mumbai_1993-04-08_IDesireTree.mp3", "2003-029_Perfect_Questions_Perfect_Answers_Lecture_-_Radhanath_Swami_Mumbai_1993-04-08_IDesireTree.mp3")</f>
        <v>2003-029_Perfect_Questions_Perfect_Answers_Lecture_-_Radhanath_Swami_Mumbai_1993-04-08_IDesireTree.mp3</v>
      </c>
      <c r="D4331" s="24"/>
      <c r="E4331" s="24"/>
    </row>
    <row r="4332">
      <c r="A4332" s="25" t="s">
        <v>18392</v>
      </c>
      <c r="B4332" s="25" t="s">
        <v>18471</v>
      </c>
      <c r="C4332" s="26" t="str">
        <f>HYPERLINK("https://audio.iskcondesiretree.com/02_-_ISKCON_Swamis/ISKCON_Swamis_-_R_to_Y/His_Holiness_Radhanath_Swami/Lectures/01_-_Theme_wise/Radhika_Krsna/Gopis/1993-150_Supreme_Morality_Of_Gopis_SB-10_46_04-06_-_Radhanath_Swami_Mumbai_1993-10-17_IDesireTree.mp3", "1993-150_Supreme_Morality_Of_Gopis_SB-10_46_04-06_-_Radhanath_Swami_Mumbai_1993-10-17_IDesireTree.mp3")</f>
        <v>1993-150_Supreme_Morality_Of_Gopis_SB-10_46_04-06_-_Radhanath_Swami_Mumbai_1993-10-17_IDesireTree.mp3</v>
      </c>
      <c r="D4332" s="24"/>
      <c r="E4332" s="24"/>
    </row>
    <row r="4333">
      <c r="A4333" s="25" t="s">
        <v>18392</v>
      </c>
      <c r="B4333" s="25" t="s">
        <v>18471</v>
      </c>
      <c r="C4333" s="26" t="str">
        <f>HYPERLINK("https://audio.iskcondesiretree.com/02_-_ISKCON_Swamis/ISKCON_Swamis_-_R_to_Y/His_Holiness_Radhanath_Swami/Lectures/01_-_Theme_wise/Radhika_Krsna/Gopis/1993-164_Renunciation_Of_The_Gopies_Lecture_-_Radhanath_Swami_Mumbai_1993-10-30_IDesireTree.mp3", "1993-164_Renunciation_Of_The_Gopies_Lecture_-_Radhanath_Swami_Mumbai_1993-10-30_IDesireTree.mp3")</f>
        <v>1993-164_Renunciation_Of_The_Gopies_Lecture_-_Radhanath_Swami_Mumbai_1993-10-30_IDesireTree.mp3</v>
      </c>
      <c r="D4333" s="24"/>
      <c r="E4333" s="24"/>
    </row>
    <row r="4334">
      <c r="A4334" s="25" t="s">
        <v>18392</v>
      </c>
      <c r="B4334" s="25" t="s">
        <v>18471</v>
      </c>
      <c r="C4334" s="26" t="str">
        <f>HYPERLINK("https://audio.iskcondesiretree.com/02_-_ISKCON_Swamis/ISKCON_Swamis_-_R_to_Y/His_Holiness_Radhanath_Swami/Lectures/01_-_Theme_wise/Radhika_Krsna/Gopis/1993-166_Learning_Through_The_Gopies_SB-10_47_38-39_-_Radhanath_Swami_Mumbai_1993-10-31_IDesireTree.mp3", "1993-166_Learning_Through_The_Gopies_SB-10_47_38-39_-_Radhanath_Swami_Mumbai_1993-10-31_IDesireTree.mp3")</f>
        <v>1993-166_Learning_Through_The_Gopies_SB-10_47_38-39_-_Radhanath_Swami_Mumbai_1993-10-31_IDesireTree.mp3</v>
      </c>
      <c r="D4334" s="24"/>
      <c r="E4334" s="24"/>
    </row>
    <row r="4335">
      <c r="A4335" s="25" t="s">
        <v>18392</v>
      </c>
      <c r="B4335" s="25" t="s">
        <v>18471</v>
      </c>
      <c r="C4335" s="26" t="str">
        <f>HYPERLINK("https://audio.iskcondesiretree.com/02_-_ISKCON_Swamis/ISKCON_Swamis_-_R_to_Y/His_Holiness_Radhanath_Swami/Lectures/01_-_Theme_wise/Radhika_Krsna/Gopis/1995-103_Gopis_Are_Supreme_Devotees_BG-12_20_-_Radhanath_Swami_Mumbai_1995-09-03_IDesireTree.mp3", "1995-103_Gopis_Are_Supreme_Devotees_BG-12_20_-_Radhanath_Swami_Mumbai_1995-09-03_IDesireTree.mp3")</f>
        <v>1995-103_Gopis_Are_Supreme_Devotees_BG-12_20_-_Radhanath_Swami_Mumbai_1995-09-03_IDesireTree.mp3</v>
      </c>
      <c r="D4335" s="24"/>
      <c r="E4335" s="24"/>
    </row>
    <row r="4336">
      <c r="A4336" s="25" t="s">
        <v>18392</v>
      </c>
      <c r="B4336" s="25" t="s">
        <v>18471</v>
      </c>
      <c r="C4336" s="26" t="str">
        <f>HYPERLINK("https://audio.iskcondesiretree.com/02_-_ISKCON_Swamis/ISKCON_Swamis_-_R_to_Y/His_Holiness_Radhanath_Swami/Lectures/01_-_Theme_wise/Radhika_Krsna/Pastimes_of_Radha_and_Krsna/1990-084_Rasa_Lila_CC_-_Radhanath_Swami_IDesireTree.mp3", "1990-084_Rasa_Lila_CC_-_Radhanath_Swami_IDesireTree.mp3")</f>
        <v>1990-084_Rasa_Lila_CC_-_Radhanath_Swami_IDesireTree.mp3</v>
      </c>
      <c r="D4336" s="24"/>
      <c r="E4336" s="24"/>
    </row>
    <row r="4337">
      <c r="A4337" s="25" t="s">
        <v>18392</v>
      </c>
      <c r="B4337" s="25" t="s">
        <v>18471</v>
      </c>
      <c r="C4337" s="26" t="str">
        <f>HYPERLINK("https://audio.iskcondesiretree.com/02_-_ISKCON_Swamis/ISKCON_Swamis_-_R_to_Y/His_Holiness_Radhanath_Swami/Lectures/01_-_Theme_wise/Radhika_Krsna/Srimati_Radharani/1993-128_The_gift_of_srimati_Radharani_Lecture_-_Radhanath_Swami_1993-09-23_IDesireTree.mp3", "1993-128_The_gift_of_srimati_Radharani_Lecture_-_Radhanath_Swami_1993-09-23_IDesireTree.mp3")</f>
        <v>1993-128_The_gift_of_srimati_Radharani_Lecture_-_Radhanath_Swami_1993-09-23_IDesireTree.mp3</v>
      </c>
      <c r="D4337" s="24"/>
      <c r="E4337" s="24"/>
    </row>
    <row r="4338">
      <c r="A4338" s="25" t="s">
        <v>18392</v>
      </c>
      <c r="B4338" s="25" t="s">
        <v>18471</v>
      </c>
      <c r="C4338" s="26" t="str">
        <f>HYPERLINK("https://audio.iskcondesiretree.com/02_-_ISKCON_Swamis/ISKCON_Swamis_-_R_to_Y/His_Holiness_Radhanath_Swami/Lectures/01_-_Theme_wise/Radhika_Krsna/Srimati_Radharani/1994-146_Glories_Of_Radharani_Lecture_-_Radhanath_Swami_Mumbai_1994-09-12_IDesireTree.mp3", "1994-146_Glories_Of_Radharani_Lecture_-_Radhanath_Swami_Mumbai_1994-09-12_IDesireTree.mp3")</f>
        <v>1994-146_Glories_Of_Radharani_Lecture_-_Radhanath_Swami_Mumbai_1994-09-12_IDesireTree.mp3</v>
      </c>
      <c r="D4338" s="24"/>
      <c r="E4338" s="24"/>
    </row>
    <row r="4339">
      <c r="A4339" s="25" t="s">
        <v>18392</v>
      </c>
      <c r="B4339" s="25" t="s">
        <v>18471</v>
      </c>
      <c r="C4339" s="26" t="str">
        <f>HYPERLINK("https://audio.iskcondesiretree.com/02_-_ISKCON_Swamis/ISKCON_Swamis_-_R_to_Y/His_Holiness_Radhanath_Swami/Lectures/01_-_Theme_wise/Radhika_Krsna/Srimati_Radharani/1996-134_Radhastami_Lecture_-_Radhanath_Swami_Mumbai_1996-09-20_IDesireTree.mp3", "1996-134_Radhastami_Lecture_-_Radhanath_Swami_Mumbai_1996-09-20_IDesireTree.mp3")</f>
        <v>1996-134_Radhastami_Lecture_-_Radhanath_Swami_Mumbai_1996-09-20_IDesireTree.mp3</v>
      </c>
      <c r="D4339" s="24"/>
      <c r="E4339" s="24"/>
    </row>
    <row r="4340">
      <c r="A4340" s="25" t="s">
        <v>18392</v>
      </c>
      <c r="B4340" s="25" t="s">
        <v>18471</v>
      </c>
      <c r="C4340" s="26" t="str">
        <f>HYPERLINK("https://audio.iskcondesiretree.com/02_-_ISKCON_Swamis/ISKCON_Swamis_-_R_to_Y/His_Holiness_Radhanath_Swami/Lectures/01_-_Theme_wise/Radhika_Krsna/Vrndavan/1991-050_Real_Vrindavan_SB-09_11_19_-_Radhanath_Swami_Mumbai_1991-05-21_IDesireTree.mp3", "1991-050_Real_Vrindavan_SB-09_11_19_-_Radhanath_Swami_Mumbai_1991-05-21_IDesireTree.mp3")</f>
        <v>1991-050_Real_Vrindavan_SB-09_11_19_-_Radhanath_Swami_Mumbai_1991-05-21_IDesireTree.mp3</v>
      </c>
      <c r="D4340" s="24"/>
      <c r="E4340" s="24"/>
    </row>
    <row r="4341">
      <c r="A4341" s="25" t="s">
        <v>18392</v>
      </c>
      <c r="B4341" s="25" t="s">
        <v>18471</v>
      </c>
      <c r="C4341" s="26" t="str">
        <f>HYPERLINK("https://audio.iskcondesiretree.com/02_-_ISKCON_Swamis/ISKCON_Swamis_-_R_to_Y/His_Holiness_Radhanath_Swami/Lectures/01_-_Theme_wise/Radhika_Krsna/Vrndavan/1991-078_Perceiving_Vrindavan_Lecture_-_Radhanath_Swami_Mumbai_1991-10-14_IDesireTree.mp3", "1991-078_Perceiving_Vrindavan_Lecture_-_Radhanath_Swami_Mumbai_1991-10-14_IDesireTree.mp3")</f>
        <v>1991-078_Perceiving_Vrindavan_Lecture_-_Radhanath_Swami_Mumbai_1991-10-14_IDesireTree.mp3</v>
      </c>
      <c r="D4341" s="24"/>
      <c r="E4341" s="24"/>
    </row>
    <row r="4342">
      <c r="A4342" s="25" t="s">
        <v>18392</v>
      </c>
      <c r="B4342" s="25" t="s">
        <v>18471</v>
      </c>
      <c r="C4342" s="26" t="str">
        <f>HYPERLINK("https://audio.iskcondesiretree.com/02_-_ISKCON_Swamis/ISKCON_Swamis_-_R_to_Y/His_Holiness_Radhanath_Swami/Lectures/01_-_Theme_wise/Radhika_Krsna/Vrndavan/1992-019_The_Rasas_In_Goloka_CC-01_02_-_Radhanath_Swami_Mumbai_1992-01-30_IDesireTree.mp3", "1992-019_The_Rasas_In_Goloka_CC-01_02_-_Radhanath_Swami_Mumbai_1992-01-30_IDesireTree.mp3")</f>
        <v>1992-019_The_Rasas_In_Goloka_CC-01_02_-_Radhanath_Swami_Mumbai_1992-01-30_IDesireTree.mp3</v>
      </c>
      <c r="D4342" s="24"/>
      <c r="E4342" s="24"/>
    </row>
    <row r="4343">
      <c r="A4343" s="25" t="s">
        <v>18392</v>
      </c>
      <c r="B4343" s="25" t="s">
        <v>18471</v>
      </c>
      <c r="C4343" s="26" t="str">
        <f>HYPERLINK("https://audio.iskcondesiretree.com/02_-_ISKCON_Swamis/ISKCON_Swamis_-_R_to_Y/His_Holiness_Radhanath_Swami/Lectures/01_-_Theme_wise/Radhika_Krsna/Vrndavan/1992-147_Vrajabasi_Spirits_SB-10_18_01-07_-_Radhanath_Swami_Mumbai_1992-12-20_IDesireTree.mp3", "1992-147_Vrajabasi_Spirits_SB-10_18_01-07_-_Radhanath_Swami_Mumbai_1992-12-20_IDesireTree.mp3")</f>
        <v>1992-147_Vrajabasi_Spirits_SB-10_18_01-07_-_Radhanath_Swami_Mumbai_1992-12-20_IDesireTree.mp3</v>
      </c>
      <c r="D4343" s="24"/>
      <c r="E4343" s="24"/>
    </row>
    <row r="4344">
      <c r="A4344" s="25" t="s">
        <v>18392</v>
      </c>
      <c r="B4344" s="25" t="s">
        <v>18471</v>
      </c>
      <c r="C4344" s="26" t="str">
        <f>HYPERLINK("https://audio.iskcondesiretree.com/02_-_ISKCON_Swamis/ISKCON_Swamis_-_R_to_Y/His_Holiness_Radhanath_Swami/Lectures/01_-_Theme_wise/Radhika_Krsna/Vrndavan/1993-046_Lord_Balaram_visit_vrindavan_SB_class_-_Radhanath_Swami_Mumbai_1993-04-10_IDesireTree.mp3", "1993-046_Lord_Balaram_visit_vrindavan_SB_class_-_Radhanath_Swami_Mumbai_1993-04-10_IDesireTree.mp3")</f>
        <v>1993-046_Lord_Balaram_visit_vrindavan_SB_class_-_Radhanath_Swami_Mumbai_1993-04-10_IDesireTree.mp3</v>
      </c>
      <c r="D4344" s="24"/>
      <c r="E4344" s="24"/>
    </row>
    <row r="4345">
      <c r="A4345" s="25" t="s">
        <v>18392</v>
      </c>
      <c r="B4345" s="25" t="s">
        <v>18471</v>
      </c>
      <c r="C4345" s="26" t="str">
        <f>HYPERLINK("https://audio.iskcondesiretree.com/02_-_ISKCON_Swamis/ISKCON_Swamis_-_R_to_Y/His_Holiness_Radhanath_Swami/Lectures/01_-_Theme_wise/Radhika_Krsna/Vrndavan/1997-018_Love_of_Brajbasis_SB-02_07_27_-_Radhanath_Swami_Khandala_1997-01-18_IDesireTree.mp3", "1997-018_Love_of_Brajbasis_SB-02_07_27_-_Radhanath_Swami_Khandala_1997-01-18_IDesireTree.mp3")</f>
        <v>1997-018_Love_of_Brajbasis_SB-02_07_27_-_Radhanath_Swami_Khandala_1997-01-18_IDesireTree.mp3</v>
      </c>
      <c r="D4345" s="24"/>
      <c r="E4345" s="24"/>
    </row>
    <row r="4346">
      <c r="A4346" s="25" t="s">
        <v>18392</v>
      </c>
      <c r="B4346" s="25" t="s">
        <v>18472</v>
      </c>
      <c r="C4346" s="26" t="str">
        <f>HYPERLINK("https://audio.iskcondesiretree.com/02_-_ISKCON_Swamis/ISKCON_Swamis_-_R_to_Y/His_Holiness_Radhanath_Swami/Lectures/01_-_Theme_wise/Religion/1989-030_The_Meaning_Of_Religion_BG-04_07-09_-_Radhanath_Swami_Mumbai_1989-08-22_IDesireTree.mp3", "1989-030_The_Meaning_Of_Religion_BG-04_07-09_-_Radhanath_Swami_Mumbai_1989-08-22_IDesireTree.mp3")</f>
        <v>1989-030_The_Meaning_Of_Religion_BG-04_07-09_-_Radhanath_Swami_Mumbai_1989-08-22_IDesireTree.mp3</v>
      </c>
      <c r="D4346" s="24"/>
      <c r="E4346" s="24"/>
    </row>
    <row r="4347">
      <c r="A4347" s="25" t="s">
        <v>18392</v>
      </c>
      <c r="B4347" s="25" t="s">
        <v>18472</v>
      </c>
      <c r="C4347" s="26" t="str">
        <f>HYPERLINK("https://audio.iskcondesiretree.com/02_-_ISKCON_Swamis/ISKCON_Swamis_-_R_to_Y/His_Holiness_Radhanath_Swami/Lectures/01_-_Theme_wise/Religion/1989-069_Bhagavad_Gita_Rejects_Piety_BG-02_45_-_Radhanath_Swami_Mumbai_1989-10-18_IDesireTree.mp3", "1989-069_Bhagavad_Gita_Rejects_Piety_BG-02_45_-_Radhanath_Swami_Mumbai_1989-10-18_IDesireTree.mp3")</f>
        <v>1989-069_Bhagavad_Gita_Rejects_Piety_BG-02_45_-_Radhanath_Swami_Mumbai_1989-10-18_IDesireTree.mp3</v>
      </c>
      <c r="D4347" s="24"/>
      <c r="E4347" s="24"/>
    </row>
    <row r="4348">
      <c r="A4348" s="25" t="s">
        <v>18392</v>
      </c>
      <c r="B4348" s="25" t="s">
        <v>18472</v>
      </c>
      <c r="C4348" s="26" t="str">
        <f>HYPERLINK("https://audio.iskcondesiretree.com/02_-_ISKCON_Swamis/ISKCON_Swamis_-_R_to_Y/His_Holiness_Radhanath_Swami/Lectures/01_-_Theme_wise/Religion/1991-027_True_Principles_Of_Religion_Lecture_-_Radhanath_Swami_Mumbai_1991-03-02_IDesireTree.mp3", "1991-027_True_Principles_Of_Religion_Lecture_-_Radhanath_Swami_Mumbai_1991-03-02_IDesireTree.mp3")</f>
        <v>1991-027_True_Principles_Of_Religion_Lecture_-_Radhanath_Swami_Mumbai_1991-03-02_IDesireTree.mp3</v>
      </c>
      <c r="D4348" s="24"/>
      <c r="E4348" s="24"/>
    </row>
    <row r="4349">
      <c r="A4349" s="25" t="s">
        <v>18392</v>
      </c>
      <c r="B4349" s="25" t="s">
        <v>18472</v>
      </c>
      <c r="C4349" s="26" t="str">
        <f>HYPERLINK("https://audio.iskcondesiretree.com/02_-_ISKCON_Swamis/ISKCON_Swamis_-_R_to_Y/His_Holiness_Radhanath_Swami/Lectures/01_-_Theme_wise/Religion/1991-077_Brahman_By_Quality_And_Not_By_Birth_SB-10_01_13_-_Radhanath_Swami_Mumbai_1991-10-14_IDesireTree.mp3", "1991-077_Brahman_By_Quality_And_Not_By_Birth_SB-10_01_13_-_Radhanath_Swami_Mumbai_1991-10-14_IDesireTree.mp3")</f>
        <v>1991-077_Brahman_By_Quality_And_Not_By_Birth_SB-10_01_13_-_Radhanath_Swami_Mumbai_1991-10-14_IDesireTree.mp3</v>
      </c>
      <c r="D4349" s="24"/>
      <c r="E4349" s="24"/>
    </row>
    <row r="4350">
      <c r="A4350" s="25" t="s">
        <v>18392</v>
      </c>
      <c r="B4350" s="25" t="s">
        <v>18472</v>
      </c>
      <c r="C4350" s="26" t="str">
        <f>HYPERLINK("https://audio.iskcondesiretree.com/02_-_ISKCON_Swamis/ISKCON_Swamis_-_R_to_Y/His_Holiness_Radhanath_Swami/Lectures/01_-_Theme_wise/Religion/1991-139_Pondering_About_Dharma_Lecture_-_Radhanath_Swami_Mumbai_1991-12-01_IDesireTree.mp3", "1991-139_Pondering_About_Dharma_Lecture_-_Radhanath_Swami_Mumbai_1991-12-01_IDesireTree.mp3")</f>
        <v>1991-139_Pondering_About_Dharma_Lecture_-_Radhanath_Swami_Mumbai_1991-12-01_IDesireTree.mp3</v>
      </c>
      <c r="D4350" s="24"/>
      <c r="E4350" s="24"/>
    </row>
    <row r="4351">
      <c r="A4351" s="25" t="s">
        <v>18392</v>
      </c>
      <c r="B4351" s="25" t="s">
        <v>18472</v>
      </c>
      <c r="C4351" s="26" t="str">
        <f>HYPERLINK("https://audio.iskcondesiretree.com/02_-_ISKCON_Swamis/ISKCON_Swamis_-_R_to_Y/His_Holiness_Radhanath_Swami/Lectures/01_-_Theme_wise/Religion/1991-146_Kaitava_Dharma_Lecture_-_Radhanath_Swami_Mumbai_1991-12-13_IDesireTree.mp3", "1991-146_Kaitava_Dharma_Lecture_-_Radhanath_Swami_Mumbai_1991-12-13_IDesireTree.mp3")</f>
        <v>1991-146_Kaitava_Dharma_Lecture_-_Radhanath_Swami_Mumbai_1991-12-13_IDesireTree.mp3</v>
      </c>
      <c r="D4351" s="24"/>
      <c r="E4351" s="24"/>
    </row>
    <row r="4352">
      <c r="A4352" s="25" t="s">
        <v>18392</v>
      </c>
      <c r="B4352" s="25" t="s">
        <v>18472</v>
      </c>
      <c r="C4352" s="26" t="str">
        <f>HYPERLINK("https://audio.iskcondesiretree.com/02_-_ISKCON_Swamis/ISKCON_Swamis_-_R_to_Y/His_Holiness_Radhanath_Swami/Lectures/01_-_Theme_wise/Religion/1994-212_Protector_Of_Real_Religion_BG-04_3_-_Radhanath_Swami_Mumbai_1994-12-22_IDesireTree.mp3", "1994-212_Protector_Of_Real_Religion_BG-04_3_-_Radhanath_Swami_Mumbai_1994-12-22_IDesireTree.mp3")</f>
        <v>1994-212_Protector_Of_Real_Religion_BG-04_3_-_Radhanath_Swami_Mumbai_1994-12-22_IDesireTree.mp3</v>
      </c>
      <c r="D4352" s="24"/>
      <c r="E4352" s="24"/>
    </row>
    <row r="4353">
      <c r="A4353" s="25" t="s">
        <v>18392</v>
      </c>
      <c r="B4353" s="25" t="s">
        <v>18472</v>
      </c>
      <c r="C4353" s="26" t="str">
        <f>HYPERLINK("https://audio.iskcondesiretree.com/02_-_ISKCON_Swamis/ISKCON_Swamis_-_R_to_Y/His_Holiness_Radhanath_Swami/Lectures/01_-_Theme_wise/Religion/1995-055_Real_Religion_Krishna_Consciouness_SB-01_08_35_-_Radhanath_Swami_Mumbai_1995-03-09.mp3", "1995-055_Real_Religion_Krishna_Consciouness_SB-01_08_35_-_Radhanath_Swami_Mumbai_1995-03-09.mp3")</f>
        <v>1995-055_Real_Religion_Krishna_Consciouness_SB-01_08_35_-_Radhanath_Swami_Mumbai_1995-03-09.mp3</v>
      </c>
      <c r="D4353" s="24"/>
      <c r="E4353" s="24"/>
    </row>
    <row r="4354">
      <c r="A4354" s="25" t="s">
        <v>18392</v>
      </c>
      <c r="B4354" s="25" t="s">
        <v>18472</v>
      </c>
      <c r="C4354" s="26" t="str">
        <f>HYPERLINK("https://audio.iskcondesiretree.com/02_-_ISKCON_Swamis/ISKCON_Swamis_-_R_to_Y/His_Holiness_Radhanath_Swami/Lectures/01_-_Theme_wise/Religion/1996-041_Four_Principle_of_Religion_SB-01_17_25_-_Radhanath_Swami_Mumbai_1996-02-29_IDesireTree.mp3", "1996-041_Four_Principle_of_Religion_SB-01_17_25_-_Radhanath_Swami_Mumbai_1996-02-29_IDesireTree.mp3")</f>
        <v>1996-041_Four_Principle_of_Religion_SB-01_17_25_-_Radhanath_Swami_Mumbai_1996-02-29_IDesireTree.mp3</v>
      </c>
      <c r="D4354" s="24"/>
      <c r="E4354" s="24"/>
    </row>
    <row r="4355">
      <c r="A4355" s="25" t="s">
        <v>18392</v>
      </c>
      <c r="B4355" s="25" t="s">
        <v>18473</v>
      </c>
      <c r="C4355" s="26" t="str">
        <f>HYPERLINK("https://audio.iskcondesiretree.com/02_-_ISKCON_Swamis/ISKCON_Swamis_-_R_to_Y/His_Holiness_Radhanath_Swami/Lectures/01_-_Theme_wise/Renunciation/1989-052_Real_Opulence_Is_Renunciation_SB-07_11_16_-_Radhanath_Swami_Mumbai_1989-09-26_IDesireTree.mp3", "1989-052_Real_Opulence_Is_Renunciation_SB-07_11_16_-_Radhanath_Swami_Mumbai_1989-09-26_IDesireTree.mp3")</f>
        <v>1989-052_Real_Opulence_Is_Renunciation_SB-07_11_16_-_Radhanath_Swami_Mumbai_1989-09-26_IDesireTree.mp3</v>
      </c>
      <c r="D4355" s="24"/>
      <c r="E4355" s="24"/>
    </row>
    <row r="4356">
      <c r="A4356" s="25" t="s">
        <v>18392</v>
      </c>
      <c r="B4356" s="25" t="s">
        <v>18473</v>
      </c>
      <c r="C4356" s="26" t="str">
        <f>HYPERLINK("https://audio.iskcondesiretree.com/02_-_ISKCON_Swamis/ISKCON_Swamis_-_R_to_Y/His_Holiness_Radhanath_Swami/Lectures/01_-_Theme_wise/Renunciation/1990-004_Perfection_Of_Renunciation_BG-18_46_-_Radhanath_Swami_Mumbai_1990-01-07_IDesireTree.mp3", "1990-004_Perfection_Of_Renunciation_BG-18_46_-_Radhanath_Swami_Mumbai_1990-01-07_IDesireTree.mp3")</f>
        <v>1990-004_Perfection_Of_Renunciation_BG-18_46_-_Radhanath_Swami_Mumbai_1990-01-07_IDesireTree.mp3</v>
      </c>
      <c r="D4356" s="24"/>
      <c r="E4356" s="24"/>
    </row>
    <row r="4357">
      <c r="A4357" s="25" t="s">
        <v>18392</v>
      </c>
      <c r="B4357" s="25" t="s">
        <v>18473</v>
      </c>
      <c r="C4357" s="26" t="str">
        <f>HYPERLINK("https://audio.iskcondesiretree.com/02_-_ISKCON_Swamis/ISKCON_Swamis_-_R_to_Y/His_Holiness_Radhanath_Swami/Lectures/01_-_Theme_wise/Renunciation/1990-031_The_Real_Vairagya_SB-07_14_46_-_Radhanath_Swami_Mumbai_1990-03-21_IDesireTree.mp3", "1990-031_The_Real_Vairagya_SB-07_14_46_-_Radhanath_Swami_Mumbai_1990-03-21_IDesireTree.mp3")</f>
        <v>1990-031_The_Real_Vairagya_SB-07_14_46_-_Radhanath_Swami_Mumbai_1990-03-21_IDesireTree.mp3</v>
      </c>
      <c r="D4357" s="24"/>
      <c r="E4357" s="24"/>
    </row>
    <row r="4358">
      <c r="A4358" s="25" t="s">
        <v>18392</v>
      </c>
      <c r="B4358" s="25" t="s">
        <v>18473</v>
      </c>
      <c r="C4358" s="26" t="str">
        <f>HYPERLINK("https://audio.iskcondesiretree.com/02_-_ISKCON_Swamis/ISKCON_Swamis_-_R_to_Y/His_Holiness_Radhanath_Swami/Lectures/01_-_Theme_wise/Renunciation/1990-082_Nothing_Is_Ours_Lecture_-_Radhanath_Swami_Mumbai_1990-09-29_IDesireTree.mp3", "1990-082_Nothing_Is_Ours_Lecture_-_Radhanath_Swami_Mumbai_1990-09-29_IDesireTree.mp3")</f>
        <v>1990-082_Nothing_Is_Ours_Lecture_-_Radhanath_Swami_Mumbai_1990-09-29_IDesireTree.mp3</v>
      </c>
      <c r="D4358" s="24"/>
      <c r="E4358" s="24"/>
    </row>
    <row r="4359">
      <c r="A4359" s="25" t="s">
        <v>18392</v>
      </c>
      <c r="B4359" s="25" t="s">
        <v>18473</v>
      </c>
      <c r="C4359" s="26" t="str">
        <f>HYPERLINK("https://audio.iskcondesiretree.com/02_-_ISKCON_Swamis/ISKCON_Swamis_-_R_to_Y/His_Holiness_Radhanath_Swami/Lectures/01_-_Theme_wise/Renunciation/1991-013_Perfect_Renunciation_SB-09_04_27_-_Radhanath_Swami_Mumbai_1991-02-05_IDesireTree.mp3", "1991-013_Perfect_Renunciation_SB-09_04_27_-_Radhanath_Swami_Mumbai_1991-02-05_IDesireTree.mp3")</f>
        <v>1991-013_Perfect_Renunciation_SB-09_04_27_-_Radhanath_Swami_Mumbai_1991-02-05_IDesireTree.mp3</v>
      </c>
      <c r="D4359" s="24"/>
      <c r="E4359" s="24"/>
    </row>
    <row r="4360">
      <c r="A4360" s="25" t="s">
        <v>18392</v>
      </c>
      <c r="B4360" s="25" t="s">
        <v>18473</v>
      </c>
      <c r="C4360" s="26" t="str">
        <f>HYPERLINK("https://audio.iskcondesiretree.com/02_-_ISKCON_Swamis/ISKCON_Swamis_-_R_to_Y/His_Holiness_Radhanath_Swami/Lectures/01_-_Theme_wise/Renunciation/1991-030_Renunciation_is_to_give_SB-09_05_26_-_Radhanath_Swami_Mumbai_1991-03-06_IDesireTree.mp3", "1991-030_Renunciation_is_to_give_SB-09_05_26_-_Radhanath_Swami_Mumbai_1991-03-06_IDesireTree.mp3")</f>
        <v>1991-030_Renunciation_is_to_give_SB-09_05_26_-_Radhanath_Swami_Mumbai_1991-03-06_IDesireTree.mp3</v>
      </c>
      <c r="D4360" s="24"/>
      <c r="E4360" s="24"/>
    </row>
    <row r="4361">
      <c r="A4361" s="25" t="s">
        <v>18392</v>
      </c>
      <c r="B4361" s="25" t="s">
        <v>18473</v>
      </c>
      <c r="C4361" s="26" t="str">
        <f>HYPERLINK("https://audio.iskcondesiretree.com/02_-_ISKCON_Swamis/ISKCON_Swamis_-_R_to_Y/His_Holiness_Radhanath_Swami/Lectures/01_-_Theme_wise/Renunciation/1992-141_What_Do_You_have_To_Renounce_SB-10_16_65-67_-_Radhanath_Swami_Mumbai_1992-12-13_IDesireTree.mp3", "1992-141_What_Do_You_have_To_Renounce_SB-10_16_65-67_-_Radhanath_Swami_Mumbai_1992-12-13_IDesireTree.mp3")</f>
        <v>1992-141_What_Do_You_have_To_Renounce_SB-10_16_65-67_-_Radhanath_Swami_Mumbai_1992-12-13_IDesireTree.mp3</v>
      </c>
      <c r="D4361" s="24"/>
      <c r="E4361" s="24"/>
    </row>
    <row r="4362">
      <c r="A4362" s="25" t="s">
        <v>18392</v>
      </c>
      <c r="B4362" s="25" t="s">
        <v>18473</v>
      </c>
      <c r="C4362" s="26" t="str">
        <f>HYPERLINK("https://audio.iskcondesiretree.com/02_-_ISKCON_Swamis/ISKCON_Swamis_-_R_to_Y/His_Holiness_Radhanath_Swami/Lectures/01_-_Theme_wise/Renunciation/1993-057_To_Be_Detached_SB-03_29_70-11_-_Radhanath_Swami_Mumbai_1993-04-17_IDesireTree.mp3", "1993-057_To_Be_Detached_SB-03_29_70-11_-_Radhanath_Swami_Mumbai_1993-04-17_IDesireTree.mp3")</f>
        <v>1993-057_To_Be_Detached_SB-03_29_70-11_-_Radhanath_Swami_Mumbai_1993-04-17_IDesireTree.mp3</v>
      </c>
      <c r="D4362" s="24"/>
      <c r="E4362" s="24"/>
    </row>
    <row r="4363">
      <c r="A4363" s="25" t="s">
        <v>18392</v>
      </c>
      <c r="B4363" s="25" t="s">
        <v>18473</v>
      </c>
      <c r="C4363" s="26" t="str">
        <f>HYPERLINK("https://audio.iskcondesiretree.com/02_-_ISKCON_Swamis/ISKCON_Swamis_-_R_to_Y/His_Holiness_Radhanath_Swami/Lectures/01_-_Theme_wise/Renunciation/1993-091_Knowledge_And_Renunciation_SB-03_27_21_-_Radhanath_Swami_Mumbai_1993-05-21_IDesireTree.mp3", "1993-091_Knowledge_And_Renunciation_SB-03_27_21_-_Radhanath_Swami_Mumbai_1993-05-21_IDesireTree.mp3")</f>
        <v>1993-091_Knowledge_And_Renunciation_SB-03_27_21_-_Radhanath_Swami_Mumbai_1993-05-21_IDesireTree.mp3</v>
      </c>
      <c r="D4363" s="24"/>
      <c r="E4363" s="24"/>
    </row>
    <row r="4364">
      <c r="A4364" s="25" t="s">
        <v>18392</v>
      </c>
      <c r="B4364" s="25" t="s">
        <v>18473</v>
      </c>
      <c r="C4364" s="26" t="str">
        <f>HYPERLINK("https://audio.iskcondesiretree.com/02_-_ISKCON_Swamis/ISKCON_Swamis_-_R_to_Y/His_Holiness_Radhanath_Swami/Lectures/01_-_Theme_wise/Renunciation/1993-098_Nothing_Is_Ours_BG-02_24_-_Radhanath_Swami_Mumbai_1993-05-25_IDesireTree.mp3", "1993-098_Nothing_Is_Ours_BG-02_24_-_Radhanath_Swami_Mumbai_1993-05-25_IDesireTree.mp3")</f>
        <v>1993-098_Nothing_Is_Ours_BG-02_24_-_Radhanath_Swami_Mumbai_1993-05-25_IDesireTree.mp3</v>
      </c>
      <c r="D4364" s="24"/>
      <c r="E4364" s="24"/>
    </row>
    <row r="4365">
      <c r="A4365" s="25" t="s">
        <v>18392</v>
      </c>
      <c r="B4365" s="25" t="s">
        <v>18473</v>
      </c>
      <c r="C4365" s="26" t="str">
        <f>HYPERLINK("https://audio.iskcondesiretree.com/02_-_ISKCON_Swamis/ISKCON_Swamis_-_R_to_Y/His_Holiness_Radhanath_Swami/Lectures/01_-_Theme_wise/Renunciation/1993-100_Highest_Form_Of_Renunciation_SB-10_29_14_-_Radhanath_Swami_Mumbai_1993-05-27_IDesireTree.mp3", "1993-100_Highest_Form_Of_Renunciation_SB-10_29_14_-_Radhanath_Swami_Mumbai_1993-05-27_IDesireTree.mp3")</f>
        <v>1993-100_Highest_Form_Of_Renunciation_SB-10_29_14_-_Radhanath_Swami_Mumbai_1993-05-27_IDesireTree.mp3</v>
      </c>
      <c r="D4365" s="24"/>
      <c r="E4365" s="24"/>
    </row>
    <row r="4366">
      <c r="A4366" s="25" t="s">
        <v>18392</v>
      </c>
      <c r="B4366" s="25" t="s">
        <v>18473</v>
      </c>
      <c r="C4366" s="26" t="str">
        <f>HYPERLINK("https://audio.iskcondesiretree.com/02_-_ISKCON_Swamis/ISKCON_Swamis_-_R_to_Y/His_Holiness_Radhanath_Swami/Lectures/01_-_Theme_wise/Renunciation/1993-164_Renunciation_Of_The_Gopies_Lecture_Mumbai_1993-10-30_IDesireTree.mp3", "1993-164_Renunciation_Of_The_Gopies_Lecture_Mumbai_1993-10-30_IDesireTree.mp3")</f>
        <v>1993-164_Renunciation_Of_The_Gopies_Lecture_Mumbai_1993-10-30_IDesireTree.mp3</v>
      </c>
      <c r="D4366" s="24"/>
      <c r="E4366" s="24"/>
    </row>
    <row r="4367">
      <c r="A4367" s="25" t="s">
        <v>18392</v>
      </c>
      <c r="B4367" s="25" t="s">
        <v>18473</v>
      </c>
      <c r="C4367" s="26" t="str">
        <f>HYPERLINK("https://audio.iskcondesiretree.com/02_-_ISKCON_Swamis/ISKCON_Swamis_-_R_to_Y/His_Holiness_Radhanath_Swami/Lectures/01_-_Theme_wise/Renunciation/1993-193_Essence_Of_True_Renunciation_BG-18_01_-_Radhanath_Swami_Mayapur_1993-12-28IDesireTree.mp3", "1993-193_Essence_Of_True_Renunciation_BG-18_01_-_Radhanath_Swami_Mayapur_1993-12-28IDesireTree.mp3")</f>
        <v>1993-193_Essence_Of_True_Renunciation_BG-18_01_-_Radhanath_Swami_Mayapur_1993-12-28IDesireTree.mp3</v>
      </c>
      <c r="D4367" s="24"/>
      <c r="E4367" s="24"/>
    </row>
    <row r="4368">
      <c r="A4368" s="25" t="s">
        <v>18392</v>
      </c>
      <c r="B4368" s="25" t="s">
        <v>18473</v>
      </c>
      <c r="C4368" s="26" t="str">
        <f>HYPERLINK("https://audio.iskcondesiretree.com/02_-_ISKCON_Swamis/ISKCON_Swamis_-_R_to_Y/His_Holiness_Radhanath_Swami/Lectures/01_-_Theme_wise/Renunciation/1994-145_Renunciation_Of_Sukhdev_Goswami_SB-01_04_05%20_-_Radhanath_Swami_Mumbai_1994-09-11_IDesireTree.mp3", "1994-145_Renunciation_Of_Sukhdev_Goswami_SB-01_04_05%20_-_Radhanath_Swami_Mumbai_1994-09-11_IDesireTree.mp3")</f>
        <v>1994-145_Renunciation_Of_Sukhdev_Goswami_SB-01_04_05%20_-_Radhanath_Swami_Mumbai_1994-09-11_IDesireTree.mp3</v>
      </c>
      <c r="D4368" s="24"/>
      <c r="E4368" s="24"/>
    </row>
    <row r="4369">
      <c r="A4369" s="25" t="s">
        <v>18392</v>
      </c>
      <c r="B4369" s="25" t="s">
        <v>18473</v>
      </c>
      <c r="C4369" s="26" t="str">
        <f>HYPERLINK("https://audio.iskcondesiretree.com/02_-_ISKCON_Swamis/ISKCON_Swamis_-_R_to_Y/His_Holiness_Radhanath_Swami/Lectures/01_-_Theme_wise/Renunciation/1998-074_What_is_Real_Renunciation_Lecture_-_Radhanath_Swami_Mumbai1998-07-21_IDesireTree.mp3", "1998-074_What_is_Real_Renunciation_Lecture_-_Radhanath_Swami_Mumbai1998-07-21_IDesireTree.mp3")</f>
        <v>1998-074_What_is_Real_Renunciation_Lecture_-_Radhanath_Swami_Mumbai1998-07-21_IDesireTree.mp3</v>
      </c>
      <c r="D4369" s="24"/>
      <c r="E4369" s="24"/>
    </row>
    <row r="4370">
      <c r="A4370" s="25" t="s">
        <v>18392</v>
      </c>
      <c r="B4370" s="25" t="s">
        <v>18474</v>
      </c>
      <c r="C4370" s="26" t="str">
        <f>HYPERLINK("https://audio.iskcondesiretree.com/02_-_ISKCON_Swamis/ISKCON_Swamis_-_R_to_Y/His_Holiness_Radhanath_Swami/Lectures/01_-_Theme_wise/Responsibility/1993-129_Responsibility_Of_Human_Life_SB-03_25_13_-_Radhanath_Swami_1993-9-24_IDesireTree.mp3", "1993-129_Responsibility_Of_Human_Life_SB-03_25_13_-_Radhanath_Swami_1993-9-24_IDesireTree.mp3")</f>
        <v>1993-129_Responsibility_Of_Human_Life_SB-03_25_13_-_Radhanath_Swami_1993-9-24_IDesireTree.mp3</v>
      </c>
      <c r="D4370" s="24"/>
      <c r="E4370" s="24"/>
    </row>
    <row r="4371">
      <c r="A4371" s="25" t="s">
        <v>18392</v>
      </c>
      <c r="B4371" s="25" t="s">
        <v>18474</v>
      </c>
      <c r="C4371" s="26" t="str">
        <f>HYPERLINK("https://audio.iskcondesiretree.com/02_-_ISKCON_Swamis/ISKCON_Swamis_-_R_to_Y/His_Holiness_Radhanath_Swami/Lectures/01_-_Theme_wise/Responsibility/1993-152_Dutiful_People_BG-03_22_-_Radhanath_Swami_Mumbai_1993-10-18_IDesireTree.mp3", "1993-152_Dutiful_People_BG-03_22_-_Radhanath_Swami_Mumbai_1993-10-18_IDesireTree.mp3")</f>
        <v>1993-152_Dutiful_People_BG-03_22_-_Radhanath_Swami_Mumbai_1993-10-18_IDesireTree.mp3</v>
      </c>
      <c r="D4371" s="24"/>
      <c r="E4371" s="24"/>
    </row>
    <row r="4372">
      <c r="A4372" s="25" t="s">
        <v>18392</v>
      </c>
      <c r="B4372" s="25" t="s">
        <v>18474</v>
      </c>
      <c r="C4372" s="26" t="str">
        <f>HYPERLINK("https://audio.iskcondesiretree.com/02_-_ISKCON_Swamis/ISKCON_Swamis_-_R_to_Y/His_Holiness_Radhanath_Swami/Lectures/01_-_Theme_wise/Responsibility/1997-052_What_Is_Responsibility_SB-02_08_21_-_Radhanath_Swami_Mumbai_1997-03-13_IDesireTree.mp3", "1997-052_What_Is_Responsibility_SB-02_08_21_-_Radhanath_Swami_Mumbai_1997-03-13_IDesireTree.mp3")</f>
        <v>1997-052_What_Is_Responsibility_SB-02_08_21_-_Radhanath_Swami_Mumbai_1997-03-13_IDesireTree.mp3</v>
      </c>
      <c r="D4372" s="24"/>
      <c r="E4372" s="24"/>
    </row>
    <row r="4373">
      <c r="A4373" s="25" t="s">
        <v>18392</v>
      </c>
      <c r="B4373" s="25" t="s">
        <v>18474</v>
      </c>
      <c r="C4373" s="26" t="str">
        <f>HYPERLINK("https://audio.iskcondesiretree.com/02_-_ISKCON_Swamis/ISKCON_Swamis_-_R_to_Y/His_Holiness_Radhanath_Swami/Lectures/01_-_Theme_wise/Responsibility/1999-032_Every_Power_Brings_Tremendous_Responsibilities_SB-04_04_27_Mumbai_-_20-06-99_IDesireTree.mp3", "1999-032_Every_Power_Brings_Tremendous_Responsibilities_SB-04_04_27_Mumbai_-_20-06-99_IDesireTree.mp3")</f>
        <v>1999-032_Every_Power_Brings_Tremendous_Responsibilities_SB-04_04_27_Mumbai_-_20-06-99_IDesireTree.mp3</v>
      </c>
      <c r="D4373" s="24"/>
      <c r="E4373" s="24"/>
    </row>
    <row r="4374">
      <c r="A4374" s="25" t="s">
        <v>18392</v>
      </c>
      <c r="B4374" s="25" t="s">
        <v>18474</v>
      </c>
      <c r="C4374" s="26" t="str">
        <f>HYPERLINK("https://audio.iskcondesiretree.com/02_-_ISKCON_Swamis/ISKCON_Swamis_-_R_to_Y/His_Holiness_Radhanath_Swami/Lectures/01_-_Theme_wise/Responsibility/2002-048_Devotee_Should_Be_Duty_Bound_SB-04_12_16_-_Radhanath_Swami_Mumbai_2002-04-07_IDesireTree.mp3", "2002-048_Devotee_Should_Be_Duty_Bound_SB-04_12_16_-_Radhanath_Swami_Mumbai_2002-04-07_IDesireTree.mp3")</f>
        <v>2002-048_Devotee_Should_Be_Duty_Bound_SB-04_12_16_-_Radhanath_Swami_Mumbai_2002-04-07_IDesireTree.mp3</v>
      </c>
      <c r="D4374" s="24"/>
      <c r="E4374" s="24"/>
    </row>
    <row r="4375">
      <c r="A4375" s="25" t="s">
        <v>18392</v>
      </c>
      <c r="B4375" s="25" t="s">
        <v>18474</v>
      </c>
      <c r="C4375" s="26" t="str">
        <f>HYPERLINK("https://audio.iskcondesiretree.com/02_-_ISKCON_Swamis/ISKCON_Swamis_-_R_to_Y/His_Holiness_Radhanath_Swami/Lectures/01_-_Theme_wise/Responsibility/2003-030_Responsibility_of_a_Disciple_Initiation_Lecture_-_Radhanath_Swami_Mumbai_2003-04-11_IDesireTree.mp3", "2003-030_Responsibility_of_a_Disciple_Initiation_Lecture_-_Radhanath_Swami_Mumbai_2003-04-11_IDesireTree.mp3")</f>
        <v>2003-030_Responsibility_of_a_Disciple_Initiation_Lecture_-_Radhanath_Swami_Mumbai_2003-04-11_IDesireTree.mp3</v>
      </c>
      <c r="D4375" s="24"/>
      <c r="E4375" s="24"/>
    </row>
    <row r="4376">
      <c r="A4376" s="25" t="s">
        <v>18392</v>
      </c>
      <c r="B4376" s="25" t="s">
        <v>18475</v>
      </c>
      <c r="C4376" s="26" t="str">
        <f>HYPERLINK("https://audio.iskcondesiretree.com/02_-_ISKCON_Swamis/ISKCON_Swamis_-_R_to_Y/His_Holiness_Radhanath_Swami/Lectures/01_-_Theme_wise/Sacrifice/1992-031_Sacrifice_CC_AL-02_-_Radhanath_Swami_Mumbai_1992-02-17_IDesireTree.mp3", "1992-031_Sacrifice_CC_AL-02_-_Radhanath_Swami_Mumbai_1992-02-17_IDesireTree.mp3")</f>
        <v>1992-031_Sacrifice_CC_AL-02_-_Radhanath_Swami_Mumbai_1992-02-17_IDesireTree.mp3</v>
      </c>
      <c r="D4376" s="24"/>
      <c r="E4376" s="24"/>
    </row>
    <row r="4377">
      <c r="A4377" s="25" t="s">
        <v>18392</v>
      </c>
      <c r="B4377" s="25" t="s">
        <v>18475</v>
      </c>
      <c r="C4377" s="26" t="str">
        <f>HYPERLINK("https://audio.iskcondesiretree.com/02_-_ISKCON_Swamis/ISKCON_Swamis_-_R_to_Y/His_Holiness_Radhanath_Swami/Lectures/01_-_Theme_wise/Sacrifice/1992-121_Real_Sacrifice_SB-10_40_06-12_-_Radhanath_Swami_Mumbai_1992-10-04_IDesireTree.mp3", "1992-121_Real_Sacrifice_SB-10_40_06-12_-_Radhanath_Swami_Mumbai_1992-10-04_IDesireTree.mp3")</f>
        <v>1992-121_Real_Sacrifice_SB-10_40_06-12_-_Radhanath_Swami_Mumbai_1992-10-04_IDesireTree.mp3</v>
      </c>
      <c r="D4377" s="24"/>
      <c r="E4377" s="24"/>
    </row>
    <row r="4378">
      <c r="A4378" s="25" t="s">
        <v>18392</v>
      </c>
      <c r="B4378" s="25" t="s">
        <v>18475</v>
      </c>
      <c r="C4378" s="26" t="str">
        <f>HYPERLINK("https://audio.iskcondesiretree.com/02_-_ISKCON_Swamis/ISKCON_Swamis_-_R_to_Y/His_Holiness_Radhanath_Swami/Lectures/01_-_Theme_wise/Sacrifice/1994-041_Pleasing_Guru_By_Sacrifice_SB-03_28_17_-_Radhanath_Swami_Mumbai_1994-02-22_IDesireTree.mp3", "1994-041_Pleasing_Guru_By_Sacrifice_SB-03_28_17_-_Radhanath_Swami_Mumbai_1994-02-22_IDesireTree.mp3")</f>
        <v>1994-041_Pleasing_Guru_By_Sacrifice_SB-03_28_17_-_Radhanath_Swami_Mumbai_1994-02-22_IDesireTree.mp3</v>
      </c>
      <c r="D4378" s="24"/>
      <c r="E4378" s="24"/>
    </row>
    <row r="4379">
      <c r="A4379" s="25" t="s">
        <v>18392</v>
      </c>
      <c r="B4379" s="25" t="s">
        <v>18475</v>
      </c>
      <c r="C4379" s="26" t="str">
        <f>HYPERLINK("https://audio.iskcondesiretree.com/02_-_ISKCON_Swamis/ISKCON_Swamis_-_R_to_Y/His_Holiness_Radhanath_Swami/Lectures/01_-_Theme_wise/Sacrifice/2002-110_Sacrifice_For_The_Welfare_Of_Others_SB-02_06_28_-_Radhanath_Swami_Mumbai_2002-10-24_IDesireTree.mp3", "2002-110_Sacrifice_For_The_Welfare_Of_Others_SB-02_06_28_-_Radhanath_Swami_Mumbai_2002-10-24_IDesireTree.mp3")</f>
        <v>2002-110_Sacrifice_For_The_Welfare_Of_Others_SB-02_06_28_-_Radhanath_Swami_Mumbai_2002-10-24_IDesireTree.mp3</v>
      </c>
      <c r="D4379" s="24"/>
      <c r="E4379" s="24"/>
    </row>
    <row r="4380">
      <c r="A4380" s="25" t="s">
        <v>18392</v>
      </c>
      <c r="B4380" s="25" t="s">
        <v>18476</v>
      </c>
      <c r="C4380" s="26" t="str">
        <f>HYPERLINK("https://audio.iskcondesiretree.com/02_-_ISKCON_Swamis/ISKCON_Swamis_-_R_to_Y/His_Holiness_Radhanath_Swami/Lectures/01_-_Theme_wise/Sadhu/1991-076_What_Is_Sadhu_SB-05_01_17_-_Radhanath_Swami_Mumbai_1991-10-13_IDesireTree.mp3", "1991-076_What_Is_Sadhu_SB-05_01_17_-_Radhanath_Swami_Mumbai_1991-10-13_IDesireTree.mp3")</f>
        <v>1991-076_What_Is_Sadhu_SB-05_01_17_-_Radhanath_Swami_Mumbai_1991-10-13_IDesireTree.mp3</v>
      </c>
      <c r="D4380" s="24"/>
      <c r="E4380" s="24"/>
    </row>
    <row r="4381">
      <c r="A4381" s="25" t="s">
        <v>18392</v>
      </c>
      <c r="B4381" s="25" t="s">
        <v>18476</v>
      </c>
      <c r="C4381" s="26" t="str">
        <f>HYPERLINK("https://audio.iskcondesiretree.com/02_-_ISKCON_Swamis/ISKCON_Swamis_-_R_to_Y/His_Holiness_Radhanath_Swami/Lectures/01_-_Theme_wise/Sadhu/1991-092_Quality_Of_A_Mahatma_BG-09_14_-_Radhanath_Swami_Mumbai_1991-10-20_IDesireTree.mp3", "1991-092_Quality_Of_A_Mahatma_BG-09_14_-_Radhanath_Swami_Mumbai_1991-10-20_IDesireTree.mp3")</f>
        <v>1991-092_Quality_Of_A_Mahatma_BG-09_14_-_Radhanath_Swami_Mumbai_1991-10-20_IDesireTree.mp3</v>
      </c>
      <c r="D4381" s="24"/>
      <c r="E4381" s="24"/>
    </row>
    <row r="4382">
      <c r="A4382" s="25" t="s">
        <v>18392</v>
      </c>
      <c r="B4382" s="25" t="s">
        <v>18476</v>
      </c>
      <c r="C4382" s="26" t="str">
        <f>HYPERLINK("https://audio.iskcondesiretree.com/02_-_ISKCON_Swamis/ISKCON_Swamis_-_R_to_Y/His_Holiness_Radhanath_Swami/Lectures/01_-_Theme_wise/Sadhu/1992-046_A_Moment%27s_Association_SB-07_13_42_-_Radhanath_Swami_Mumbai_1992-03-27_IDesireTree.mp3", "1992-046_A_Moment%27s_Association_SB-07_13_42_-_Radhanath_Swami_Mumbai_1992-03-27_IDesireTree.mp3")</f>
        <v>1992-046_A_Moment%27s_Association_SB-07_13_42_-_Radhanath_Swami_Mumbai_1992-03-27_IDesireTree.mp3</v>
      </c>
      <c r="D4382" s="24"/>
      <c r="E4382" s="24"/>
    </row>
    <row r="4383">
      <c r="A4383" s="25" t="s">
        <v>18392</v>
      </c>
      <c r="B4383" s="25" t="s">
        <v>18477</v>
      </c>
      <c r="C4383" s="26" t="str">
        <f>HYPERLINK("https://audio.iskcondesiretree.com/02_-_ISKCON_Swamis/ISKCON_Swamis_-_R_to_Y/His_Holiness_Radhanath_Swami/Lectures/01_-_Theme_wise/Sannyasi_Training/2001-040_Saniyas_Initiation_Lecture_-_Radhanath_Swami_Moscow_2001-08-04_IDesireTree.mp3", "2001-040_Saniyas_Initiation_Lecture_-_Radhanath_Swami_Moscow_2001-08-04_IDesireTree.mp3")</f>
        <v>2001-040_Saniyas_Initiation_Lecture_-_Radhanath_Swami_Moscow_2001-08-04_IDesireTree.mp3</v>
      </c>
      <c r="D4383" s="24"/>
      <c r="E4383" s="24"/>
    </row>
    <row r="4384">
      <c r="A4384" s="25" t="s">
        <v>18392</v>
      </c>
      <c r="B4384" s="25" t="s">
        <v>18478</v>
      </c>
      <c r="C4384" s="26" t="str">
        <f>HYPERLINK("https://audio.iskcondesiretree.com/02_-_ISKCON_Swamis/ISKCON_Swamis_-_R_to_Y/His_Holiness_Radhanath_Swami/Lectures/01_-_Theme_wise/Science_and_spirituality/1989-086_Evolution_SB-07_13_25_-_Radhanath_Swami_Mumbai_1989-12-28_IDesireTree.mp3", "1989-086_Evolution_SB-07_13_25_-_Radhanath_Swami_Mumbai_1989-12-28_IDesireTree.mp3")</f>
        <v>1989-086_Evolution_SB-07_13_25_-_Radhanath_Swami_Mumbai_1989-12-28_IDesireTree.mp3</v>
      </c>
      <c r="D4384" s="24"/>
      <c r="E4384" s="24"/>
    </row>
    <row r="4385">
      <c r="A4385" s="25" t="s">
        <v>18392</v>
      </c>
      <c r="B4385" s="25" t="s">
        <v>18478</v>
      </c>
      <c r="C4385" s="26" t="str">
        <f>HYPERLINK("https://audio.iskcondesiretree.com/02_-_ISKCON_Swamis/ISKCON_Swamis_-_R_to_Y/His_Holiness_Radhanath_Swami/Lectures/01_-_Theme_wise/Science_and_spirituality/1996-003_Science_And_Spirituality_Lecture_-_Radhanath_Swami_Pune_2001-02-01.mp3", "1996-003_Science_And_Spirituality_Lecture_-_Radhanath_Swami_Pune_2001-02-01.mp3")</f>
        <v>1996-003_Science_And_Spirituality_Lecture_-_Radhanath_Swami_Pune_2001-02-01.mp3</v>
      </c>
      <c r="D4385" s="24"/>
      <c r="E4385" s="24"/>
    </row>
    <row r="4386">
      <c r="A4386" s="25" t="s">
        <v>18392</v>
      </c>
      <c r="B4386" s="25" t="s">
        <v>18479</v>
      </c>
      <c r="C4386" s="26" t="str">
        <f>HYPERLINK("https://audio.iskcondesiretree.com/02_-_ISKCON_Swamis/ISKCON_Swamis_-_R_to_Y/His_Holiness_Radhanath_Swami/Lectures/01_-_Theme_wise/Self_Realization/1989-021_Honesty_Among_Thieves_Lecture_-_Radhanath_Swami_Mumbai_1989-07-23_IDesireTree.mp3", "1989-021_Honesty_Among_Thieves_Lecture_-_Radhanath_Swami_Mumbai_1989-07-23_IDesireTree.mp3")</f>
        <v>1989-021_Honesty_Among_Thieves_Lecture_-_Radhanath_Swami_Mumbai_1989-07-23_IDesireTree.mp3</v>
      </c>
      <c r="D4386" s="24"/>
      <c r="E4386" s="24"/>
    </row>
    <row r="4387">
      <c r="A4387" s="25" t="s">
        <v>18392</v>
      </c>
      <c r="B4387" s="25" t="s">
        <v>18479</v>
      </c>
      <c r="C4387" s="26" t="str">
        <f>HYPERLINK("https://audio.iskcondesiretree.com/02_-_ISKCON_Swamis/ISKCON_Swamis_-_R_to_Y/His_Holiness_Radhanath_Swami/Lectures/01_-_Theme_wise/Self_Realization/1994-015_How_To_Know_God_SB_02-06-34-35_-_Radhanath_Swami_Mumbai_1994-01-18_IDesireTree.mp3", "1994-015_How_To_Know_God_SB_02-06-34-35_-_Radhanath_Swami_Mumbai_1994-01-18_IDesireTree.mp3")</f>
        <v>1994-015_How_To_Know_God_SB_02-06-34-35_-_Radhanath_Swami_Mumbai_1994-01-18_IDesireTree.mp3</v>
      </c>
      <c r="D4387" s="24"/>
      <c r="E4387" s="24"/>
    </row>
    <row r="4388">
      <c r="A4388" s="25" t="s">
        <v>18392</v>
      </c>
      <c r="B4388" s="25" t="s">
        <v>18479</v>
      </c>
      <c r="C4388" s="26" t="str">
        <f>HYPERLINK("https://audio.iskcondesiretree.com/02_-_ISKCON_Swamis/ISKCON_Swamis_-_R_to_Y/His_Holiness_Radhanath_Swami/Lectures/01_-_Theme_wise/Self_Realization/1994-108_Uncovering_The_Soul_SB-01_03_31_-_Radhanath_Swami_Mumbai_1994-08-24_IDesireTree.mp3", "1994-108_Uncovering_The_Soul_SB-01_03_31_-_Radhanath_Swami_Mumbai_1994-08-24_IDesireTree.mp3")</f>
        <v>1994-108_Uncovering_The_Soul_SB-01_03_31_-_Radhanath_Swami_Mumbai_1994-08-24_IDesireTree.mp3</v>
      </c>
      <c r="D4388" s="24"/>
      <c r="E4388" s="24"/>
    </row>
    <row r="4389">
      <c r="A4389" s="25" t="s">
        <v>18392</v>
      </c>
      <c r="B4389" s="25" t="s">
        <v>18479</v>
      </c>
      <c r="C4389" s="26" t="str">
        <f>HYPERLINK("https://audio.iskcondesiretree.com/02_-_ISKCON_Swamis/ISKCON_Swamis_-_R_to_Y/His_Holiness_Radhanath_Swami/Lectures/01_-_Theme_wise/Self_Realization/1997-042_Realise_Your_Identity_Ht_-_BG-05-12_-_Radhanath_Swami_Mumbai_1997-02-15_IDesireTree.mp3", "1997-042_Realise_Your_Identity_Ht_-_BG-05-12_-_Radhanath_Swami_Mumbai_1997-02-15_IDesireTree.mp3")</f>
        <v>1997-042_Realise_Your_Identity_Ht_-_BG-05-12_-_Radhanath_Swami_Mumbai_1997-02-15_IDesireTree.mp3</v>
      </c>
      <c r="D4389" s="24"/>
      <c r="E4389" s="24"/>
    </row>
    <row r="4390">
      <c r="A4390" s="25" t="s">
        <v>18392</v>
      </c>
      <c r="B4390" s="25" t="s">
        <v>18479</v>
      </c>
      <c r="C4390" s="26" t="str">
        <f>HYPERLINK("https://audio.iskcondesiretree.com/02_-_ISKCON_Swamis/ISKCON_Swamis_-_R_to_Y/His_Holiness_Radhanath_Swami/Lectures/01_-_Theme_wise/Self_Realization/1997-119_Identify_Yourself_Properly_SB-04-29-60_-_Radhanath_Swami_Pune_-_07-10-97_IDesireTree.mp3", "1997-119_Identify_Yourself_Properly_SB-04-29-60_-_Radhanath_Swami_Pune_-_07-10-97_IDesireTree.mp3")</f>
        <v>1997-119_Identify_Yourself_Properly_SB-04-29-60_-_Radhanath_Swami_Pune_-_07-10-97_IDesireTree.mp3</v>
      </c>
      <c r="D4390" s="24"/>
      <c r="E4390" s="24"/>
    </row>
    <row r="4391">
      <c r="A4391" s="25" t="s">
        <v>18392</v>
      </c>
      <c r="B4391" s="25" t="s">
        <v>18479</v>
      </c>
      <c r="C4391" s="26" t="str">
        <f>HYPERLINK("https://audio.iskcondesiretree.com/02_-_ISKCON_Swamis/ISKCON_Swamis_-_R_to_Y/His_Holiness_Radhanath_Swami/Lectures/01_-_Theme_wise/Self_Realization/1998-096_Identify_Yourself_Properly_SB-03-02-29_-_Radhanath_Swami_Mumbai_1997-10-07_IDesireTree.mp3", "1998-096_Identify_Yourself_Properly_SB-03-02-29_-_Radhanath_Swami_Mumbai_1997-10-07_IDesireTree.mp3")</f>
        <v>1998-096_Identify_Yourself_Properly_SB-03-02-29_-_Radhanath_Swami_Mumbai_1997-10-07_IDesireTree.mp3</v>
      </c>
      <c r="D4391" s="24"/>
      <c r="E4391" s="24"/>
    </row>
    <row r="4392">
      <c r="A4392" s="25" t="s">
        <v>18392</v>
      </c>
      <c r="B4392" s="25" t="s">
        <v>18479</v>
      </c>
      <c r="C4392" s="26" t="str">
        <f>HYPERLINK("https://audio.iskcondesiretree.com/02_-_ISKCON_Swamis/ISKCON_Swamis_-_R_to_Y/His_Holiness_Radhanath_Swami/Lectures/01_-_Theme_wise/Self_Realization/2001-023_Durlabha_Manav_Janma_Lecture_-_Radhanath_Swami_Mumbai_2001-04-22_IDesireTree.mp3", "2001-023_Durlabha_Manav_Janma_Lecture_-_Radhanath_Swami_Mumbai_2001-04-22_IDesireTree.mp3")</f>
        <v>2001-023_Durlabha_Manav_Janma_Lecture_-_Radhanath_Swami_Mumbai_2001-04-22_IDesireTree.mp3</v>
      </c>
      <c r="D4392" s="24"/>
      <c r="E4392" s="24"/>
    </row>
    <row r="4393">
      <c r="A4393" s="25" t="s">
        <v>18392</v>
      </c>
      <c r="B4393" s="25" t="s">
        <v>18479</v>
      </c>
      <c r="C4393" s="26" t="str">
        <f>HYPERLINK("https://audio.iskcondesiretree.com/02_-_ISKCON_Swamis/ISKCON_Swamis_-_R_to_Y/His_Holiness_Radhanath_Swami/Lectures/01_-_Theme_wise/Self_Realization/2003-020_Deeply_Value_the_Rare_Human_Life_Lecture_-_Radhanath_Swami_Mumbai_2003-03-23_IDesireTree.mp3", "2003-020_Deeply_Value_the_Rare_Human_Life_Lecture_-_Radhanath_Swami_Mumbai_2003-03-23_IDesireTree.mp3")</f>
        <v>2003-020_Deeply_Value_the_Rare_Human_Life_Lecture_-_Radhanath_Swami_Mumbai_2003-03-23_IDesireTree.mp3</v>
      </c>
      <c r="D4393" s="24"/>
      <c r="E4393" s="24"/>
    </row>
    <row r="4394">
      <c r="A4394" s="25" t="s">
        <v>18392</v>
      </c>
      <c r="B4394" s="25" t="s">
        <v>18480</v>
      </c>
      <c r="C4394" s="26" t="str">
        <f>HYPERLINK("https://audio.iskcondesiretree.com/02_-_ISKCON_Swamis/ISKCON_Swamis_-_R_to_Y/His_Holiness_Radhanath_Swami/Lectures/01_-_Theme_wise/Sense_Control/1989-078_Self_Management_-_BG-06_06_-_Radhanath_Swami_Mumbai_1989-10-25_IDesireTree.mp3", "1989-078_Self_Management_-_BG-06_06_-_Radhanath_Swami_Mumbai_1989-10-25_IDesireTree.mp3")</f>
        <v>1989-078_Self_Management_-_BG-06_06_-_Radhanath_Swami_Mumbai_1989-10-25_IDesireTree.mp3</v>
      </c>
      <c r="D4394" s="24"/>
      <c r="E4394" s="24"/>
    </row>
    <row r="4395">
      <c r="A4395" s="25" t="s">
        <v>18392</v>
      </c>
      <c r="B4395" s="25" t="s">
        <v>18480</v>
      </c>
      <c r="C4395" s="26" t="str">
        <f>HYPERLINK("https://audio.iskcondesiretree.com/02_-_ISKCON_Swamis/ISKCON_Swamis_-_R_to_Y/His_Holiness_Radhanath_Swami/Lectures/01_-_Theme_wise/Sense_Control/1989-083_Krishnizing_The_Senses_BG-10_36_-_Radhanath_Swami_Mumbai_1989-12-26_IDesireTree.mp3", "1989-083_Krishnizing_The_Senses_BG-10_36_-_Radhanath_Swami_Mumbai_1989-12-26_IDesireTree.mp3")</f>
        <v>1989-083_Krishnizing_The_Senses_BG-10_36_-_Radhanath_Swami_Mumbai_1989-12-26_IDesireTree.mp3</v>
      </c>
      <c r="D4395" s="24"/>
      <c r="E4395" s="24"/>
    </row>
    <row r="4396">
      <c r="A4396" s="25" t="s">
        <v>18392</v>
      </c>
      <c r="B4396" s="25" t="s">
        <v>18480</v>
      </c>
      <c r="C4396" s="26" t="str">
        <f>HYPERLINK("https://audio.iskcondesiretree.com/02_-_ISKCON_Swamis/ISKCON_Swamis_-_R_to_Y/His_Holiness_Radhanath_Swami/Lectures/01_-_Theme_wise/Sense_Control/1992-013_Controlling_Senses_Lectire_-_Radhanath_Swami_Mumbai_1992-01-11_IDesireTree.mp3", "1992-013_Controlling_Senses_Lectire_-_Radhanath_Swami_Mumbai_1992-01-11_IDesireTree.mp3")</f>
        <v>1992-013_Controlling_Senses_Lectire_-_Radhanath_Swami_Mumbai_1992-01-11_IDesireTree.mp3</v>
      </c>
      <c r="D4396" s="24"/>
      <c r="E4396" s="24"/>
    </row>
    <row r="4397">
      <c r="A4397" s="25" t="s">
        <v>18392</v>
      </c>
      <c r="B4397" s="25" t="s">
        <v>18480</v>
      </c>
      <c r="C4397" s="26" t="str">
        <f>HYPERLINK("https://audio.iskcondesiretree.com/02_-_ISKCON_Swamis/ISKCON_Swamis_-_R_to_Y/His_Holiness_Radhanath_Swami/Lectures/01_-_Theme_wise/Sense_Control/1992-128_Controlling_The_Tongue_Lecture_-_Radhanath_Swami_Mumbai_1992-11-24_IDesireTree.mp3", "1992-128_Controlling_The_Tongue_Lecture_-_Radhanath_Swami_Mumbai_1992-11-24_IDesireTree.mp3")</f>
        <v>1992-128_Controlling_The_Tongue_Lecture_-_Radhanath_Swami_Mumbai_1992-11-24_IDesireTree.mp3</v>
      </c>
      <c r="D4397" s="24"/>
      <c r="E4397" s="24"/>
    </row>
    <row r="4398">
      <c r="A4398" s="25" t="s">
        <v>18392</v>
      </c>
      <c r="B4398" s="25" t="s">
        <v>18480</v>
      </c>
      <c r="C4398" s="26" t="str">
        <f>HYPERLINK("https://audio.iskcondesiretree.com/02_-_ISKCON_Swamis/ISKCON_Swamis_-_R_to_Y/His_Holiness_Radhanath_Swami/Lectures/01_-_Theme_wise/Sense_Control/1993-049_Between_Senses_And_Soul_BG-13_29_-_Radhanath_Swami_Mumbai_1993-04-11_IDesireTree.mp3", "1993-049_Between_Senses_And_Soul_BG-13_29_-_Radhanath_Swami_Mumbai_1993-04-11_IDesireTree.mp3")</f>
        <v>1993-049_Between_Senses_And_Soul_BG-13_29_-_Radhanath_Swami_Mumbai_1993-04-11_IDesireTree.mp3</v>
      </c>
      <c r="D4398" s="24"/>
      <c r="E4398" s="24"/>
    </row>
    <row r="4399">
      <c r="A4399" s="25" t="s">
        <v>18392</v>
      </c>
      <c r="B4399" s="25" t="s">
        <v>18480</v>
      </c>
      <c r="C4399" s="26" t="str">
        <f>HYPERLINK("https://audio.iskcondesiretree.com/02_-_ISKCON_Swamis/ISKCON_Swamis_-_R_to_Y/His_Holiness_Radhanath_Swami/Lectures/01_-_Theme_wise/Sense_Control/1993-147_Controlling_Senses_Through_Service_SB-10_46_30-31_-_Radhanath_Swami_Mumbai_1993-10-11_IDesireTree.mp3", "1993-147_Controlling_Senses_Through_Service_SB-10_46_30-31_-_Radhanath_Swami_Mumbai_1993-10-11_IDesireTree.mp3")</f>
        <v>1993-147_Controlling_Senses_Through_Service_SB-10_46_30-31_-_Radhanath_Swami_Mumbai_1993-10-11_IDesireTree.mp3</v>
      </c>
      <c r="D4399" s="24"/>
      <c r="E4399" s="24"/>
    </row>
    <row r="4400">
      <c r="A4400" s="25" t="s">
        <v>18392</v>
      </c>
      <c r="B4400" s="25" t="s">
        <v>18480</v>
      </c>
      <c r="C4400" s="26" t="str">
        <f>HYPERLINK("https://audio.iskcondesiretree.com/02_-_ISKCON_Swamis/ISKCON_Swamis_-_R_to_Y/His_Holiness_Radhanath_Swami/Lectures/01_-_Theme_wise/Sense_Control/1997-123_Using_The_Senses_In_Krishna%27s_Service_SB-03_06_18_-_Radhanath_Swami_Mumbai_1997-10-01_IDesireTree.m"&amp;"p3", "1997-123_Using_The_Senses_In_Krishna%27s_Service_SB-03_06_18_-_Radhanath_Swami_Mumbai_1997-10-01_IDesireTree.mp3")</f>
        <v>1997-123_Using_The_Senses_In_Krishna%27s_Service_SB-03_06_18_-_Radhanath_Swami_Mumbai_1997-10-01_IDesireTree.mp3</v>
      </c>
      <c r="D4400" s="24"/>
      <c r="E4400" s="24"/>
    </row>
    <row r="4401">
      <c r="A4401" s="25" t="s">
        <v>18392</v>
      </c>
      <c r="B4401" s="25" t="s">
        <v>18480</v>
      </c>
      <c r="C4401" s="26" t="str">
        <f>HYPERLINK("https://audio.iskcondesiretree.com/02_-_ISKCON_Swamis/ISKCON_Swamis_-_R_to_Y/His_Holiness_Radhanath_Swami/Lectures/01_-_Theme_wise/Sense_Control/1998-025_Tapasya-_Purpose_of_Human_Existence_SB-03_09_17_-_Radhanath_Swami_Mumbai_1998-02-04_IDesireTree.mp3", "1998-025_Tapasya-_Purpose_of_Human_Existence_SB-03_09_17_-_Radhanath_Swami_Mumbai_1998-02-04_IDesireTree.mp3")</f>
        <v>1998-025_Tapasya-_Purpose_of_Human_Existence_SB-03_09_17_-_Radhanath_Swami_Mumbai_1998-02-04_IDesireTree.mp3</v>
      </c>
      <c r="D4401" s="24"/>
      <c r="E4401" s="24"/>
    </row>
    <row r="4402">
      <c r="A4402" s="25" t="s">
        <v>18392</v>
      </c>
      <c r="B4402" s="25" t="s">
        <v>18480</v>
      </c>
      <c r="C4402" s="26" t="str">
        <f>HYPERLINK("https://audio.iskcondesiretree.com/02_-_ISKCON_Swamis/ISKCON_Swamis_-_R_to_Y/His_Holiness_Radhanath_Swami/Lectures/01_-_Theme_wise/Sense_Control/1998-051_Senses_Make_us_Miserable_SB-03_07_-_Radhanath_Swami_Mumbai_1998-03-22_IDesireTree.mp3", "1998-051_Senses_Make_us_Miserable_SB-03_07_-_Radhanath_Swami_Mumbai_1998-03-22_IDesireTree.mp3")</f>
        <v>1998-051_Senses_Make_us_Miserable_SB-03_07_-_Radhanath_Swami_Mumbai_1998-03-22_IDesireTree.mp3</v>
      </c>
      <c r="D4402" s="24"/>
      <c r="E4402" s="24"/>
    </row>
    <row r="4403">
      <c r="A4403" s="25" t="s">
        <v>18392</v>
      </c>
      <c r="B4403" s="25" t="s">
        <v>18481</v>
      </c>
      <c r="C4403" s="26" t="str">
        <f>HYPERLINK("https://audio.iskcondesiretree.com/02_-_ISKCON_Swamis/ISKCON_Swamis_-_R_to_Y/His_Holiness_Radhanath_Swami/Lectures/01_-_Theme_wise/Sense_Gratification/1991-103_Attachment_For_Sense_Enjoyment_SB-10_01_35_-_Radhanath_Swami_Mumbai_1991-10-28_IDesireTree.mp3", "1991-103_Attachment_For_Sense_Enjoyment_SB-10_01_35_-_Radhanath_Swami_Mumbai_1991-10-28_IDesireTree.mp3")</f>
        <v>1991-103_Attachment_For_Sense_Enjoyment_SB-10_01_35_-_Radhanath_Swami_Mumbai_1991-10-28_IDesireTree.mp3</v>
      </c>
      <c r="D4403" s="24"/>
      <c r="E4403" s="24"/>
    </row>
    <row r="4404">
      <c r="A4404" s="25" t="s">
        <v>18392</v>
      </c>
      <c r="B4404" s="25" t="s">
        <v>18482</v>
      </c>
      <c r="C4404" s="26" t="str">
        <f>HYPERLINK("https://audio.iskcondesiretree.com/02_-_ISKCON_Swamis/ISKCON_Swamis_-_R_to_Y/His_Holiness_Radhanath_Swami/Lectures/01_-_Theme_wise/Separation/1990-081_Seperation_BG-02_66_-_Radhanath_Swami_Mumbai_1990-09-17_IDesireTree.mp3", "1990-081_Seperation_BG-02_66_-_Radhanath_Swami_Mumbai_1990-09-17_IDesireTree.mp3")</f>
        <v>1990-081_Seperation_BG-02_66_-_Radhanath_Swami_Mumbai_1990-09-17_IDesireTree.mp3</v>
      </c>
      <c r="D4404" s="24"/>
      <c r="E4404" s="24"/>
    </row>
    <row r="4405">
      <c r="A4405" s="25" t="s">
        <v>18392</v>
      </c>
      <c r="B4405" s="25" t="s">
        <v>18483</v>
      </c>
      <c r="C4405" s="26" t="str">
        <f>HYPERLINK("https://audio.iskcondesiretree.com/02_-_ISKCON_Swamis/ISKCON_Swamis_-_R_to_Y/His_Holiness_Radhanath_Swami/Lectures/01_-_Theme_wise/Service_Attitude/1989-047_Servant_Of_Krishna_BG-02_44_-_Radhanath_Swami_Mumbai_1989-09-24_IDesireTree.mp3", "1989-047_Servant_Of_Krishna_BG-02_44_-_Radhanath_Swami_Mumbai_1989-09-24_IDesireTree.mp3")</f>
        <v>1989-047_Servant_Of_Krishna_BG-02_44_-_Radhanath_Swami_Mumbai_1989-09-24_IDesireTree.mp3</v>
      </c>
      <c r="D4405" s="24"/>
      <c r="E4405" s="24"/>
    </row>
    <row r="4406">
      <c r="A4406" s="25" t="s">
        <v>18392</v>
      </c>
      <c r="B4406" s="25" t="s">
        <v>18483</v>
      </c>
      <c r="C4406" s="26" t="str">
        <f>HYPERLINK("https://audio.iskcondesiretree.com/02_-_ISKCON_Swamis/ISKCON_Swamis_-_R_to_Y/His_Holiness_Radhanath_Swami/Lectures/01_-_Theme_wise/Service_Attitude/1989-089_No_Realization_Without_Service_BG-09_14_-_Radhanath_Swami_Mumbai_1989-12-30_IDesireTree.mp3", "1989-089_No_Realization_Without_Service_BG-09_14_-_Radhanath_Swami_Mumbai_1989-12-30_IDesireTree.mp3")</f>
        <v>1989-089_No_Realization_Without_Service_BG-09_14_-_Radhanath_Swami_Mumbai_1989-12-30_IDesireTree.mp3</v>
      </c>
      <c r="D4406" s="24"/>
      <c r="E4406" s="24"/>
    </row>
    <row r="4407">
      <c r="A4407" s="25" t="s">
        <v>18392</v>
      </c>
      <c r="B4407" s="25" t="s">
        <v>18483</v>
      </c>
      <c r="C4407" s="26" t="str">
        <f>HYPERLINK("https://audio.iskcondesiretree.com/02_-_ISKCON_Swamis/ISKCON_Swamis_-_R_to_Y/His_Holiness_Radhanath_Swami/Lectures/01_-_Theme_wise/Service_Attitude/1990-001_Servant_Of_Servant_Lecture_-_Radhanath_Swami_Mumbai_1990-01-02_IDesireTree.mp3", "1990-001_Servant_Of_Servant_Lecture_-_Radhanath_Swami_Mumbai_1990-01-02_IDesireTree.mp3")</f>
        <v>1990-001_Servant_Of_Servant_Lecture_-_Radhanath_Swami_Mumbai_1990-01-02_IDesireTree.mp3</v>
      </c>
      <c r="D4407" s="24"/>
      <c r="E4407" s="24"/>
    </row>
    <row r="4408">
      <c r="A4408" s="25" t="s">
        <v>18392</v>
      </c>
      <c r="B4408" s="25" t="s">
        <v>18483</v>
      </c>
      <c r="C4408" s="26" t="str">
        <f>HYPERLINK("https://audio.iskcondesiretree.com/02_-_ISKCON_Swamis/ISKCON_Swamis_-_R_to_Y/His_Holiness_Radhanath_Swami/Lectures/01_-_Theme_wise/Service_Attitude/1990-005_A_Leaf_a_Flower_A_fruit_-_Radhanath_Swami_IDesireTree.mp3", "1990-005_A_Leaf_a_Flower_A_fruit_-_Radhanath_Swami_IDesireTree.mp3")</f>
        <v>1990-005_A_Leaf_a_Flower_A_fruit_-_Radhanath_Swami_IDesireTree.mp3</v>
      </c>
      <c r="D4408" s="24"/>
      <c r="E4408" s="24"/>
    </row>
    <row r="4409">
      <c r="A4409" s="25" t="s">
        <v>18392</v>
      </c>
      <c r="B4409" s="25" t="s">
        <v>18483</v>
      </c>
      <c r="C4409" s="26" t="str">
        <f>HYPERLINK("https://audio.iskcondesiretree.com/02_-_ISKCON_Swamis/ISKCON_Swamis_-_R_to_Y/His_Holiness_Radhanath_Swami/Lectures/01_-_Theme_wise/Service_Attitude/1990-012_Greatest_Things_Is_To_Become_Servant_BG-06_47_-_Radhanath_Swami_1990-01-28_IDesireTree.mp3", "1990-012_Greatest_Things_Is_To_Become_Servant_BG-06_47_-_Radhanath_Swami_1990-01-28_IDesireTree.mp3")</f>
        <v>1990-012_Greatest_Things_Is_To_Become_Servant_BG-06_47_-_Radhanath_Swami_1990-01-28_IDesireTree.mp3</v>
      </c>
      <c r="D4409" s="24"/>
      <c r="E4409" s="24"/>
    </row>
    <row r="4410">
      <c r="A4410" s="25" t="s">
        <v>18392</v>
      </c>
      <c r="B4410" s="25" t="s">
        <v>18483</v>
      </c>
      <c r="C4410" s="26" t="str">
        <f>HYPERLINK("https://audio.iskcondesiretree.com/02_-_ISKCON_Swamis/ISKCON_Swamis_-_R_to_Y/His_Holiness_Radhanath_Swami/Lectures/01_-_Theme_wise/Service_Attitude/1990-079_Comitting_To_This_Great_Mission_SB-08_07_24_-_Radhanath_Swami_Mumbai_1990-09-05_IDesireTree.mp3", "1990-079_Comitting_To_This_Great_Mission_SB-08_07_24_-_Radhanath_Swami_Mumbai_1990-09-05_IDesireTree.mp3")</f>
        <v>1990-079_Comitting_To_This_Great_Mission_SB-08_07_24_-_Radhanath_Swami_Mumbai_1990-09-05_IDesireTree.mp3</v>
      </c>
      <c r="D4410" s="24"/>
      <c r="E4410" s="24"/>
    </row>
    <row r="4411">
      <c r="A4411" s="25" t="s">
        <v>18392</v>
      </c>
      <c r="B4411" s="25" t="s">
        <v>18483</v>
      </c>
      <c r="C4411" s="26" t="str">
        <f>HYPERLINK("https://audio.iskcondesiretree.com/02_-_ISKCON_Swamis/ISKCON_Swamis_-_R_to_Y/His_Holiness_Radhanath_Swami/Lectures/01_-_Theme_wise/Service_Attitude/1990-096_Aspiring_For_Nothing_But_Service_BG-10_01_-_Radhanath_Swami_Mumbai_1990-10-21_IDesireTree.mp3", "1990-096_Aspiring_For_Nothing_But_Service_BG-10_01_-_Radhanath_Swami_Mumbai_1990-10-21_IDesireTree.mp3")</f>
        <v>1990-096_Aspiring_For_Nothing_But_Service_BG-10_01_-_Radhanath_Swami_Mumbai_1990-10-21_IDesireTree.mp3</v>
      </c>
      <c r="D4411" s="24"/>
      <c r="E4411" s="24"/>
    </row>
    <row r="4412">
      <c r="A4412" s="25" t="s">
        <v>18392</v>
      </c>
      <c r="B4412" s="25" t="s">
        <v>18483</v>
      </c>
      <c r="C4412" s="26" t="str">
        <f>HYPERLINK("https://audio.iskcondesiretree.com/02_-_ISKCON_Swamis/ISKCON_Swamis_-_R_to_Y/His_Holiness_Radhanath_Swami/Lectures/01_-_Theme_wise/Service_Attitude/1991-011_Being_A_Humble_Servant_SB-09_04_24_-_Radhanath_Swami_Mumbai_1991-02-01_IDesireTree.mp3", "1991-011_Being_A_Humble_Servant_SB-09_04_24_-_Radhanath_Swami_Mumbai_1991-02-01_IDesireTree.mp3")</f>
        <v>1991-011_Being_A_Humble_Servant_SB-09_04_24_-_Radhanath_Swami_Mumbai_1991-02-01_IDesireTree.mp3</v>
      </c>
      <c r="D4412" s="24"/>
      <c r="E4412" s="24"/>
    </row>
    <row r="4413">
      <c r="A4413" s="25" t="s">
        <v>18392</v>
      </c>
      <c r="B4413" s="25" t="s">
        <v>18483</v>
      </c>
      <c r="C4413" s="26" t="str">
        <f>HYPERLINK("https://audio.iskcondesiretree.com/02_-_ISKCON_Swamis/ISKCON_Swamis_-_R_to_Y/His_Holiness_Radhanath_Swami/Lectures/01_-_Theme_wise/Service_Attitude/1992-027_No_Expectation_In_Service_SB-10_05_01-02_-_Radhanath_Swami_Mumbai_1992-02-14_IDesireTree.mp3", "1992-027_No_Expectation_In_Service_SB-10_05_01-02_-_Radhanath_Swami_Mumbai_1992-02-14_IDesireTree.mp3")</f>
        <v>1992-027_No_Expectation_In_Service_SB-10_05_01-02_-_Radhanath_Swami_Mumbai_1992-02-14_IDesireTree.mp3</v>
      </c>
      <c r="D4413" s="24"/>
      <c r="E4413" s="24"/>
    </row>
    <row r="4414">
      <c r="A4414" s="25" t="s">
        <v>18392</v>
      </c>
      <c r="B4414" s="25" t="s">
        <v>18483</v>
      </c>
      <c r="C4414" s="26" t="str">
        <f>HYPERLINK("https://audio.iskcondesiretree.com/02_-_ISKCON_Swamis/ISKCON_Swamis_-_R_to_Y/His_Holiness_Radhanath_Swami/Lectures/01_-_Theme_wise/Service_Attitude/1992-044_Becoming_Servant_Of_Servant_SB-01_02_16_-_Radhanath_Swami_Mumbai1992-03-15_IDesireTree.mp3", "1992-044_Becoming_Servant_Of_Servant_SB-01_02_16_-_Radhanath_Swami_Mumbai1992-03-15_IDesireTree.mp3")</f>
        <v>1992-044_Becoming_Servant_Of_Servant_SB-01_02_16_-_Radhanath_Swami_Mumbai1992-03-15_IDesireTree.mp3</v>
      </c>
      <c r="D4414" s="24"/>
      <c r="E4414" s="24"/>
    </row>
    <row r="4415">
      <c r="A4415" s="25" t="s">
        <v>18392</v>
      </c>
      <c r="B4415" s="25" t="s">
        <v>18483</v>
      </c>
      <c r="C4415" s="26" t="str">
        <f>HYPERLINK("https://audio.iskcondesiretree.com/02_-_ISKCON_Swamis/ISKCON_Swamis_-_R_to_Y/His_Holiness_Radhanath_Swami/Lectures/01_-_Theme_wise/Service_Attitude/1992-080_Importance_Of_Serving_Devotees_Lecture_-_Radhanath_Swami_Mumbai_1992-08-30_IDesireTree.mp3", "1992-080_Importance_Of_Serving_Devotees_Lecture_-_Radhanath_Swami_Mumbai_1992-08-30_IDesireTree.mp3")</f>
        <v>1992-080_Importance_Of_Serving_Devotees_Lecture_-_Radhanath_Swami_Mumbai_1992-08-30_IDesireTree.mp3</v>
      </c>
      <c r="D4415" s="24"/>
      <c r="E4415" s="24"/>
    </row>
    <row r="4416">
      <c r="A4416" s="25" t="s">
        <v>18392</v>
      </c>
      <c r="B4416" s="25" t="s">
        <v>18483</v>
      </c>
      <c r="C4416" s="26" t="str">
        <f>HYPERLINK("https://audio.iskcondesiretree.com/02_-_ISKCON_Swamis/ISKCON_Swamis_-_R_to_Y/His_Holiness_Radhanath_Swami/Lectures/01_-_Theme_wise/Service_Attitude/1992-115_Humble_Servant_Attitude_SB-10_14_56_-_Radhanath_Swami_Mumbai_1992-09-04_IDesireTree.mp3", "1992-115_Humble_Servant_Attitude_SB-10_14_56_-_Radhanath_Swami_Mumbai_1992-09-04_IDesireTree.mp3")</f>
        <v>1992-115_Humble_Servant_Attitude_SB-10_14_56_-_Radhanath_Swami_Mumbai_1992-09-04_IDesireTree.mp3</v>
      </c>
      <c r="D4416" s="24"/>
      <c r="E4416" s="24"/>
    </row>
    <row r="4417">
      <c r="A4417" s="25" t="s">
        <v>18392</v>
      </c>
      <c r="B4417" s="25" t="s">
        <v>18483</v>
      </c>
      <c r="C4417" s="26" t="str">
        <f>HYPERLINK("https://audio.iskcondesiretree.com/02_-_ISKCON_Swamis/ISKCON_Swamis_-_R_to_Y/His_Holiness_Radhanath_Swami/Lectures/01_-_Theme_wise/Service_Attitude/1993-022_Humble_Service_Attitude_SB-03_15_33_-_Radhanath_Swami_Vrindavan_1993-03-19_IDesireTree.mp3", "1993-022_Humble_Service_Attitude_SB-03_15_33_-_Radhanath_Swami_Vrindavan_1993-03-19_IDesireTree.mp3")</f>
        <v>1993-022_Humble_Service_Attitude_SB-03_15_33_-_Radhanath_Swami_Vrindavan_1993-03-19_IDesireTree.mp3</v>
      </c>
      <c r="D4417" s="24"/>
      <c r="E4417" s="24"/>
    </row>
    <row r="4418">
      <c r="A4418" s="25" t="s">
        <v>18392</v>
      </c>
      <c r="B4418" s="25" t="s">
        <v>18483</v>
      </c>
      <c r="C4418" s="26" t="str">
        <f>HYPERLINK("https://audio.iskcondesiretree.com/02_-_ISKCON_Swamis/ISKCON_Swamis_-_R_to_Y/His_Holiness_Radhanath_Swami/Lectures/01_-_Theme_wise/Service_Attitude/1994-020_Even_Krishna_Aspires_To_Be_Servant_Lecture_-_Radhanath_Swami_Mumbai_1994-01-30_IDesireTree.mp3", "1994-020_Even_Krishna_Aspires_To_Be_Servant_Lecture_-_Radhanath_Swami_Mumbai_1994-01-30_IDesireTree.mp3")</f>
        <v>1994-020_Even_Krishna_Aspires_To_Be_Servant_Lecture_-_Radhanath_Swami_Mumbai_1994-01-30_IDesireTree.mp3</v>
      </c>
      <c r="D4418" s="24"/>
      <c r="E4418" s="24"/>
    </row>
    <row r="4419">
      <c r="A4419" s="25" t="s">
        <v>18392</v>
      </c>
      <c r="B4419" s="25" t="s">
        <v>18483</v>
      </c>
      <c r="C4419" s="26" t="str">
        <f>HYPERLINK("https://audio.iskcondesiretree.com/02_-_ISKCON_Swamis/ISKCON_Swamis_-_R_to_Y/His_Holiness_Radhanath_Swami/Lectures/01_-_Theme_wise/Service_Attitude/1994-210_Serve_Without_Expectation_BG-02_49_-_Radhanath_Swami_Mumbai_1994-12-20_IDesireTree.mp3", "1994-210_Serve_Without_Expectation_BG-02_49_-_Radhanath_Swami_Mumbai_1994-12-20_IDesireTree.mp3")</f>
        <v>1994-210_Serve_Without_Expectation_BG-02_49_-_Radhanath_Swami_Mumbai_1994-12-20_IDesireTree.mp3</v>
      </c>
      <c r="D4419" s="24"/>
      <c r="E4419" s="24"/>
    </row>
    <row r="4420">
      <c r="A4420" s="25" t="s">
        <v>18392</v>
      </c>
      <c r="B4420" s="25" t="s">
        <v>18483</v>
      </c>
      <c r="C4420" s="26" t="str">
        <f>HYPERLINK("https://audio.iskcondesiretree.com/02_-_ISKCON_Swamis/ISKCON_Swamis_-_R_to_Y/His_Holiness_Radhanath_Swami/Lectures/01_-_Theme_wise/Service_Attitude/1995-039_Servant_Of_Servant_SB-09_04_63_-_Radhanath_Swami_Pune_2001-01-29_IDesireTree.mp3", "1995-039_Servant_Of_Servant_SB-09_04_63_-_Radhanath_Swami_Pune_2001-01-29_IDesireTree.mp3")</f>
        <v>1995-039_Servant_Of_Servant_SB-09_04_63_-_Radhanath_Swami_Pune_2001-01-29_IDesireTree.mp3</v>
      </c>
      <c r="D4420" s="24"/>
      <c r="E4420" s="24"/>
    </row>
    <row r="4421">
      <c r="A4421" s="25" t="s">
        <v>18392</v>
      </c>
      <c r="B4421" s="25" t="s">
        <v>18483</v>
      </c>
      <c r="C4421" s="26" t="str">
        <f>HYPERLINK("https://audio.iskcondesiretree.com/02_-_ISKCON_Swamis/ISKCON_Swamis_-_R_to_Y/His_Holiness_Radhanath_Swami/Lectures/01_-_Theme_wise/Service_Attitude/1995-108_Aspiring_For_Service_BG-02-52_-_Radhanath_Swami_Mumbai_1995-09-24_IDesireTree.mp3", "1995-108_Aspiring_For_Service_BG-02-52_-_Radhanath_Swami_Mumbai_1995-09-24_IDesireTree.mp3")</f>
        <v>1995-108_Aspiring_For_Service_BG-02-52_-_Radhanath_Swami_Mumbai_1995-09-24_IDesireTree.mp3</v>
      </c>
      <c r="D4421" s="24"/>
      <c r="E4421" s="24"/>
    </row>
    <row r="4422">
      <c r="A4422" s="25" t="s">
        <v>18392</v>
      </c>
      <c r="B4422" s="25" t="s">
        <v>18483</v>
      </c>
      <c r="C4422" s="26" t="str">
        <f>HYPERLINK("https://audio.iskcondesiretree.com/02_-_ISKCON_Swamis/ISKCON_Swamis_-_R_to_Y/His_Holiness_Radhanath_Swami/Lectures/01_-_Theme_wise/Service_Attitude/1997-021_Never_Expect_Any_Glory_Lecture_-_Radhanath_Swami_Mumbai_1997-01-23_IDesireTree.mp3", "1997-021_Never_Expect_Any_Glory_Lecture_-_Radhanath_Swami_Mumbai_1997-01-23_IDesireTree.mp3")</f>
        <v>1997-021_Never_Expect_Any_Glory_Lecture_-_Radhanath_Swami_Mumbai_1997-01-23_IDesireTree.mp3</v>
      </c>
      <c r="D4422" s="24"/>
      <c r="E4422" s="24"/>
    </row>
    <row r="4423">
      <c r="A4423" s="25" t="s">
        <v>18392</v>
      </c>
      <c r="B4423" s="25" t="s">
        <v>18483</v>
      </c>
      <c r="C4423" s="26" t="str">
        <f>HYPERLINK("https://audio.iskcondesiretree.com/02_-_ISKCON_Swamis/ISKCON_Swamis_-_R_to_Y/His_Holiness_Radhanath_Swami/Lectures/01_-_Theme_wise/Service_Attitude/1997-032_What_Is_Service_SB-02_07_42_-_Radhanath_Swami_Mumbai_1997-02-08_IDesireTree.mp3", "1997-032_What_Is_Service_SB-02_07_42_-_Radhanath_Swami_Mumbai_1997-02-08_IDesireTree.mp3")</f>
        <v>1997-032_What_Is_Service_SB-02_07_42_-_Radhanath_Swami_Mumbai_1997-02-08_IDesireTree.mp3</v>
      </c>
      <c r="D4423" s="24"/>
      <c r="E4423" s="24"/>
    </row>
    <row r="4424">
      <c r="A4424" s="25" t="s">
        <v>18392</v>
      </c>
      <c r="B4424" s="25" t="s">
        <v>18483</v>
      </c>
      <c r="C4424" s="26" t="str">
        <f>HYPERLINK("https://audio.iskcondesiretree.com/02_-_ISKCON_Swamis/ISKCON_Swamis_-_R_to_Y/His_Holiness_Radhanath_Swami/Lectures/01_-_Theme_wise/Service_Attitude/1997-043_Acharyas_Emphasise_Service_SB-02_07_50_-_Radhanath_Swami_Mumbai_1997-02-16_IDesireTree.mp3", "1997-043_Acharyas_Emphasise_Service_SB-02_07_50_-_Radhanath_Swami_Mumbai_1997-02-16_IDesireTree.mp3")</f>
        <v>1997-043_Acharyas_Emphasise_Service_SB-02_07_50_-_Radhanath_Swami_Mumbai_1997-02-16_IDesireTree.mp3</v>
      </c>
      <c r="D4424" s="24"/>
      <c r="E4424" s="24"/>
    </row>
    <row r="4425">
      <c r="A4425" s="25" t="s">
        <v>18392</v>
      </c>
      <c r="B4425" s="25" t="s">
        <v>18483</v>
      </c>
      <c r="C4425" s="26" t="str">
        <f>HYPERLINK("https://audio.iskcondesiretree.com/02_-_ISKCON_Swamis/ISKCON_Swamis_-_R_to_Y/His_Holiness_Radhanath_Swami/Lectures/01_-_Theme_wise/Service_Attitude/1997-140_Becoming_Servant_of_the_Servant_SB-03_04_18_-_Radhanath_Swami_Mumbai_1997-11-18_IDesireTree.mp3", "1997-140_Becoming_Servant_of_the_Servant_SB-03_04_18_-_Radhanath_Swami_Mumbai_1997-11-18_IDesireTree.mp3")</f>
        <v>1997-140_Becoming_Servant_of_the_Servant_SB-03_04_18_-_Radhanath_Swami_Mumbai_1997-11-18_IDesireTree.mp3</v>
      </c>
      <c r="D4425" s="24"/>
      <c r="E4425" s="24"/>
    </row>
    <row r="4426">
      <c r="A4426" s="25" t="s">
        <v>18392</v>
      </c>
      <c r="B4426" s="25" t="s">
        <v>18483</v>
      </c>
      <c r="C4426" s="26" t="str">
        <f>HYPERLINK("https://audio.iskcondesiretree.com/02_-_ISKCON_Swamis/ISKCON_Swamis_-_R_to_Y/His_Holiness_Radhanath_Swami/Lectures/01_-_Theme_wise/Service_Attitude/1998-038_Put_Your_Heart_in_Doing_Service_BG-09_13_-_Radhanath_Swami_Mumbai_1998-02-15_IDesireTree.mp3", "1998-038_Put_Your_Heart_in_Doing_Service_BG-09_13_-_Radhanath_Swami_Mumbai_1998-02-15_IDesireTree.mp3")</f>
        <v>1998-038_Put_Your_Heart_in_Doing_Service_BG-09_13_-_Radhanath_Swami_Mumbai_1998-02-15_IDesireTree.mp3</v>
      </c>
      <c r="D4426" s="24"/>
      <c r="E4426" s="24"/>
    </row>
    <row r="4427">
      <c r="A4427" s="25" t="s">
        <v>18392</v>
      </c>
      <c r="B4427" s="25" t="s">
        <v>18483</v>
      </c>
      <c r="C4427" s="26" t="str">
        <f>HYPERLINK("https://audio.iskcondesiretree.com/02_-_ISKCON_Swamis/ISKCON_Swamis_-_R_to_Y/His_Holiness_Radhanath_Swami/Lectures/01_-_Theme_wise/Service_Attitude/1998-057_To_Live_Without_Service_is_Impossible_Lecture_-_Radhanath_Swami_Mumbai_1998-04-03_IDesireTree.mp3", "1998-057_To_Live_Without_Service_is_Impossible_Lecture_-_Radhanath_Swami_Mumbai_1998-04-03_IDesireTree.mp3")</f>
        <v>1998-057_To_Live_Without_Service_is_Impossible_Lecture_-_Radhanath_Swami_Mumbai_1998-04-03_IDesireTree.mp3</v>
      </c>
      <c r="D4427" s="24"/>
      <c r="E4427" s="24"/>
    </row>
    <row r="4428">
      <c r="A4428" s="25" t="s">
        <v>18392</v>
      </c>
      <c r="B4428" s="25" t="s">
        <v>18483</v>
      </c>
      <c r="C4428" s="26" t="str">
        <f>HYPERLINK("https://audio.iskcondesiretree.com/02_-_ISKCON_Swamis/ISKCON_Swamis_-_R_to_Y/His_Holiness_Radhanath_Swami/Lectures/01_-_Theme_wise/Service_Attitude/1998-062_Sincere_Desire_to_Serve_-_Please_Krishna__-_Radhanath_Swami_1998-05-05_IDesireTree.mp3", "1998-062_Sincere_Desire_to_Serve_-_Please_Krishna__-_Radhanath_Swami_1998-05-05_IDesireTree.mp3")</f>
        <v>1998-062_Sincere_Desire_to_Serve_-_Please_Krishna__-_Radhanath_Swami_1998-05-05_IDesireTree.mp3</v>
      </c>
      <c r="D4428" s="24"/>
      <c r="E4428" s="24"/>
    </row>
    <row r="4429">
      <c r="A4429" s="25" t="s">
        <v>18392</v>
      </c>
      <c r="B4429" s="25" t="s">
        <v>18483</v>
      </c>
      <c r="C4429" s="26" t="str">
        <f>HYPERLINK("https://audio.iskcondesiretree.com/02_-_ISKCON_Swamis/ISKCON_Swamis_-_R_to_Y/His_Holiness_Radhanath_Swami/Lectures/01_-_Theme_wise/Service_Attitude/1998-110_Serving_the_Lord_with_Love_%26_Devotion_BG-08_15_-_Radhanath_Swami_Mumbai_1998-12-04_IDesireTree.m"&amp;"p3", "1998-110_Serving_the_Lord_with_Love_%26_Devotion_BG-08_15_-_Radhanath_Swami_Mumbai_1998-12-04_IDesireTree.mp3")</f>
        <v>1998-110_Serving_the_Lord_with_Love_%26_Devotion_BG-08_15_-_Radhanath_Swami_Mumbai_1998-12-04_IDesireTree.mp3</v>
      </c>
      <c r="D4429" s="24"/>
      <c r="E4429" s="24"/>
    </row>
    <row r="4430">
      <c r="A4430" s="25" t="s">
        <v>18392</v>
      </c>
      <c r="B4430" s="25" t="s">
        <v>18483</v>
      </c>
      <c r="C4430" s="26" t="str">
        <f>HYPERLINK("https://audio.iskcondesiretree.com/02_-_ISKCON_Swamis/ISKCON_Swamis_-_R_to_Y/His_Holiness_Radhanath_Swami/Lectures/01_-_Theme_wise/Service_Attitude/2002-006_Nature_of_spiritual_Anxiety_SB_04_09_22_-_Radhanath_Swami_Mumbai_2002-01-06_IDesireTree.mp3", "2002-006_Nature_of_spiritual_Anxiety_SB_04_09_22_-_Radhanath_Swami_Mumbai_2002-01-06_IDesireTree.mp3")</f>
        <v>2002-006_Nature_of_spiritual_Anxiety_SB_04_09_22_-_Radhanath_Swami_Mumbai_2002-01-06_IDesireTree.mp3</v>
      </c>
      <c r="D4430" s="24"/>
      <c r="E4430" s="24"/>
    </row>
    <row r="4431">
      <c r="A4431" s="25" t="s">
        <v>18392</v>
      </c>
      <c r="B4431" s="25" t="s">
        <v>18484</v>
      </c>
      <c r="C4431" s="26" t="str">
        <f>HYPERLINK("https://audio.iskcondesiretree.com/02_-_ISKCON_Swamis/ISKCON_Swamis_-_R_to_Y/His_Holiness_Radhanath_Swami/Lectures/01_-_Theme_wise/Simplicity/1992-048_Making_Life_Simple_BG-08_15_-_Radhanath_Swami_Mumbai_1992-03-28_IDesireTree.mp3", "1992-048_Making_Life_Simple_BG-08_15_-_Radhanath_Swami_Mumbai_1992-03-28_IDesireTree.mp3")</f>
        <v>1992-048_Making_Life_Simple_BG-08_15_-_Radhanath_Swami_Mumbai_1992-03-28_IDesireTree.mp3</v>
      </c>
      <c r="D4431" s="24"/>
      <c r="E4431" s="24"/>
    </row>
    <row r="4432">
      <c r="A4432" s="25" t="s">
        <v>18392</v>
      </c>
      <c r="B4432" s="25" t="s">
        <v>18484</v>
      </c>
      <c r="C4432" s="26" t="str">
        <f>HYPERLINK("https://audio.iskcondesiretree.com/02_-_ISKCON_Swamis/ISKCON_Swamis_-_R_to_Y/His_Holiness_Radhanath_Swami/Lectures/01_-_Theme_wise/Simplicity/1998-100_Becoming_Expert_With_Simplicity_SB-10_04_05_-_Radhanath_Swami_Mumbai_1998-11-05_IDesireTree.mp3", "1998-100_Becoming_Expert_With_Simplicity_SB-10_04_05_-_Radhanath_Swami_Mumbai_1998-11-05_IDesireTree.mp3")</f>
        <v>1998-100_Becoming_Expert_With_Simplicity_SB-10_04_05_-_Radhanath_Swami_Mumbai_1998-11-05_IDesireTree.mp3</v>
      </c>
      <c r="D4432" s="24"/>
      <c r="E4432" s="24"/>
    </row>
    <row r="4433">
      <c r="A4433" s="25" t="s">
        <v>18392</v>
      </c>
      <c r="B4433" s="25" t="s">
        <v>18485</v>
      </c>
      <c r="C4433" s="26" t="str">
        <f>HYPERLINK("https://audio.iskcondesiretree.com/02_-_ISKCON_Swamis/ISKCON_Swamis_-_R_to_Y/His_Holiness_Radhanath_Swami/Lectures/01_-_Theme_wise/Sincerity/1997-087_Becoming_Sincere_SB_03-01-40_-_Radhanath_Swami_Mumbai_1997-08-23_IDesireTree.mp3", "1997-087_Becoming_Sincere_SB_03-01-40_-_Radhanath_Swami_Mumbai_1997-08-23_IDesireTree.mp3")</f>
        <v>1997-087_Becoming_Sincere_SB_03-01-40_-_Radhanath_Swami_Mumbai_1997-08-23_IDesireTree.mp3</v>
      </c>
      <c r="D4433" s="24"/>
      <c r="E4433" s="24"/>
    </row>
    <row r="4434">
      <c r="A4434" s="25" t="s">
        <v>18392</v>
      </c>
      <c r="B4434" s="25" t="s">
        <v>18486</v>
      </c>
      <c r="C4434" s="26" t="str">
        <f>HYPERLINK("https://audio.iskcondesiretree.com/02_-_ISKCON_Swamis/ISKCON_Swamis_-_R_to_Y/His_Holiness_Radhanath_Swami/Lectures/01_-_Theme_wise/Smaranam_%28Remembrance%29/1989-012_The_Correct_Anchorage_BG-08_28_-_Radhanath_Swami_Mumbai_1989-07-09_IDesireTree.mp3", "1989-012_The_Correct_Anchorage_BG-08_28_-_Radhanath_Swami_Mumbai_1989-07-09_IDesireTree.mp3")</f>
        <v>1989-012_The_Correct_Anchorage_BG-08_28_-_Radhanath_Swami_Mumbai_1989-07-09_IDesireTree.mp3</v>
      </c>
      <c r="D4434" s="24"/>
      <c r="E4434" s="24"/>
    </row>
    <row r="4435">
      <c r="A4435" s="25" t="s">
        <v>18392</v>
      </c>
      <c r="B4435" s="25" t="s">
        <v>18486</v>
      </c>
      <c r="C4435" s="26" t="str">
        <f>HYPERLINK("https://audio.iskcondesiretree.com/02_-_ISKCON_Swamis/ISKCON_Swamis_-_R_to_Y/His_Holiness_Radhanath_Swami/Lectures/01_-_Theme_wise/Smaranam_%28Remembrance%29/1994-155_Think_Of_Krishna_BG-07_01_-_Radhanath_Swami_Mumbai_1994-20-09-94_IDesireTree.mp3", "1994-155_Think_Of_Krishna_BG-07_01_-_Radhanath_Swami_Mumbai_1994-20-09-94_IDesireTree.mp3")</f>
        <v>1994-155_Think_Of_Krishna_BG-07_01_-_Radhanath_Swami_Mumbai_1994-20-09-94_IDesireTree.mp3</v>
      </c>
      <c r="D4435" s="24"/>
      <c r="E4435" s="24"/>
    </row>
    <row r="4436">
      <c r="A4436" s="25" t="s">
        <v>18392</v>
      </c>
      <c r="B4436" s="25" t="s">
        <v>18487</v>
      </c>
      <c r="C4436" s="26" t="str">
        <f>HYPERLINK("https://audio.iskcondesiretree.com/02_-_ISKCON_Swamis/ISKCON_Swamis_-_R_to_Y/His_Holiness_Radhanath_Swami/Lectures/01_-_Theme_wise/Social_Aspects/1989-001_India-_The_Land_Of_Dharma_Lecture_-_Radhanath_Swami_Mumbai_1989-01-13_IDesireTree.mp3", "1989-001_India-_The_Land_Of_Dharma_Lecture_-_Radhanath_Swami_Mumbai_1989-01-13_IDesireTree.mp3")</f>
        <v>1989-001_India-_The_Land_Of_Dharma_Lecture_-_Radhanath_Swami_Mumbai_1989-01-13_IDesireTree.mp3</v>
      </c>
      <c r="D4436" s="24"/>
      <c r="E4436" s="24"/>
    </row>
    <row r="4437">
      <c r="A4437" s="25" t="s">
        <v>18392</v>
      </c>
      <c r="B4437" s="25" t="s">
        <v>18487</v>
      </c>
      <c r="C4437" s="26" t="str">
        <f>HYPERLINK("https://audio.iskcondesiretree.com/02_-_ISKCON_Swamis/ISKCON_Swamis_-_R_to_Y/His_Holiness_Radhanath_Swami/Lectures/01_-_Theme_wise/Social_Aspects/1989-024_Responsible_Citizens_Lecture_-_Radhanath_Swami_Mumbai_1989-07-31_IDesireTree.mp3", "1989-024_Responsible_Citizens_Lecture_-_Radhanath_Swami_Mumbai_1989-07-31_IDesireTree.mp3")</f>
        <v>1989-024_Responsible_Citizens_Lecture_-_Radhanath_Swami_Mumbai_1989-07-31_IDesireTree.mp3</v>
      </c>
      <c r="D4437" s="24"/>
      <c r="E4437" s="24"/>
    </row>
    <row r="4438">
      <c r="A4438" s="25" t="s">
        <v>18392</v>
      </c>
      <c r="B4438" s="25" t="s">
        <v>18487</v>
      </c>
      <c r="C4438" s="26" t="str">
        <f>HYPERLINK("https://audio.iskcondesiretree.com/02_-_ISKCON_Swamis/ISKCON_Swamis_-_R_to_Y/His_Holiness_Radhanath_Swami/Lectures/01_-_Theme_wise/Social_Aspects/1991-032_What_Is_Civilisation_BG_04-09_-_Radhanath_Swami_Mumbai_1991-03-09_IDesireTree.mp3", "1991-032_What_Is_Civilisation_BG_04-09_-_Radhanath_Swami_Mumbai_1991-03-09_IDesireTree.mp3")</f>
        <v>1991-032_What_Is_Civilisation_BG_04-09_-_Radhanath_Swami_Mumbai_1991-03-09_IDesireTree.mp3</v>
      </c>
      <c r="D4438" s="24"/>
      <c r="E4438" s="24"/>
    </row>
    <row r="4439">
      <c r="A4439" s="25" t="s">
        <v>18392</v>
      </c>
      <c r="B4439" s="25" t="s">
        <v>18487</v>
      </c>
      <c r="C4439" s="26" t="str">
        <f>HYPERLINK("https://audio.iskcondesiretree.com/02_-_ISKCON_Swamis/ISKCON_Swamis_-_R_to_Y/His_Holiness_Radhanath_Swami/Lectures/01_-_Theme_wise/Social_Aspects/1991-047_Bandaged_Society_SB_05-12-02_-_Radhanath_Swami_Mumbai_1991-05-12_IDesireTree.mp3", "1991-047_Bandaged_Society_SB_05-12-02_-_Radhanath_Swami_Mumbai_1991-05-12_IDesireTree.mp3")</f>
        <v>1991-047_Bandaged_Society_SB_05-12-02_-_Radhanath_Swami_Mumbai_1991-05-12_IDesireTree.mp3</v>
      </c>
      <c r="D4439" s="24"/>
      <c r="E4439" s="24"/>
    </row>
    <row r="4440">
      <c r="A4440" s="25" t="s">
        <v>18392</v>
      </c>
      <c r="B4440" s="25" t="s">
        <v>18487</v>
      </c>
      <c r="C4440" s="26" t="str">
        <f>HYPERLINK("https://audio.iskcondesiretree.com/02_-_ISKCON_Swamis/ISKCON_Swamis_-_R_to_Y/His_Holiness_Radhanath_Swami/Lectures/01_-_Theme_wise/Social_Aspects/1991-091_Harmony_With_Mother_Earth_SB-10_01_17_-_Radhanath_Swami_Mumbai_1991-10-18_IDesireTree.mp3", "1991-091_Harmony_With_Mother_Earth_SB-10_01_17_-_Radhanath_Swami_Mumbai_1991-10-18_IDesireTree.mp3")</f>
        <v>1991-091_Harmony_With_Mother_Earth_SB-10_01_17_-_Radhanath_Swami_Mumbai_1991-10-18_IDesireTree.mp3</v>
      </c>
      <c r="D4440" s="24"/>
      <c r="E4440" s="24"/>
    </row>
    <row r="4441">
      <c r="A4441" s="25" t="s">
        <v>18392</v>
      </c>
      <c r="B4441" s="25" t="s">
        <v>18487</v>
      </c>
      <c r="C4441" s="26" t="str">
        <f>HYPERLINK("https://audio.iskcondesiretree.com/02_-_ISKCON_Swamis/ISKCON_Swamis_-_R_to_Y/His_Holiness_Radhanath_Swami/Lectures/01_-_Theme_wise/Social_Aspects/1991-145_The_Duty_Of_Indians_SB-10-02-19_-_Radhanath_Swami_Mumbai_1991-11-28_IDesireTree.mp3", "1991-145_The_Duty_Of_Indians_SB-10-02-19_-_Radhanath_Swami_Mumbai_1991-11-28_IDesireTree.mp3")</f>
        <v>1991-145_The_Duty_Of_Indians_SB-10-02-19_-_Radhanath_Swami_Mumbai_1991-11-28_IDesireTree.mp3</v>
      </c>
      <c r="D4441" s="24"/>
      <c r="E4441" s="24"/>
    </row>
    <row r="4442">
      <c r="A4442" s="25" t="s">
        <v>18392</v>
      </c>
      <c r="B4442" s="25" t="s">
        <v>18487</v>
      </c>
      <c r="C4442" s="26" t="str">
        <f>HYPERLINK("https://audio.iskcondesiretree.com/02_-_ISKCON_Swamis/ISKCON_Swamis_-_R_to_Y/His_Holiness_Radhanath_Swami/Lectures/01_-_Theme_wise/Social_Aspects/1992-155_Peace_Formula_BG_05-17_-_Radhanath_Swami_Mumbai_1992-12-26_IDesireTree.mp3", "1992-155_Peace_Formula_BG_05-17_-_Radhanath_Swami_Mumbai_1992-12-26_IDesireTree.mp3")</f>
        <v>1992-155_Peace_Formula_BG_05-17_-_Radhanath_Swami_Mumbai_1992-12-26_IDesireTree.mp3</v>
      </c>
      <c r="D4442" s="24"/>
      <c r="E4442" s="24"/>
    </row>
    <row r="4443">
      <c r="A4443" s="25" t="s">
        <v>18392</v>
      </c>
      <c r="B4443" s="25" t="s">
        <v>18487</v>
      </c>
      <c r="C4443" s="26" t="str">
        <f>HYPERLINK("https://audio.iskcondesiretree.com/02_-_ISKCON_Swamis/ISKCON_Swamis_-_R_to_Y/His_Holiness_Radhanath_Swami/Lectures/01_-_Theme_wise/Social_Aspects/1992-156_Living_In_Harmony_With_Nature_SB-10-20-1-5_-_Radhanath_Swami_Mumbai_1992-12-27_IDesireTree.mp3", "1992-156_Living_In_Harmony_With_Nature_SB-10-20-1-5_-_Radhanath_Swami_Mumbai_1992-12-27_IDesireTree.mp3")</f>
        <v>1992-156_Living_In_Harmony_With_Nature_SB-10-20-1-5_-_Radhanath_Swami_Mumbai_1992-12-27_IDesireTree.mp3</v>
      </c>
      <c r="D4443" s="24"/>
      <c r="E4443" s="24"/>
    </row>
    <row r="4444">
      <c r="A4444" s="25" t="s">
        <v>18392</v>
      </c>
      <c r="B4444" s="25" t="s">
        <v>18487</v>
      </c>
      <c r="C4444" s="26" t="str">
        <f>HYPERLINK("https://audio.iskcondesiretree.com/02_-_ISKCON_Swamis/ISKCON_Swamis_-_R_to_Y/His_Holiness_Radhanath_Swami/Lectures/01_-_Theme_wise/Social_Aspects/1993-086_Crazy_Human_Society_SB_01-03-39_-_Radhanath_Swami_Mumbai_1993-09-05-93_IDesireTree.mp3", "1993-086_Crazy_Human_Society_SB_01-03-39_-_Radhanath_Swami_Mumbai_1993-09-05-93_IDesireTree.mp3")</f>
        <v>1993-086_Crazy_Human_Society_SB_01-03-39_-_Radhanath_Swami_Mumbai_1993-09-05-93_IDesireTree.mp3</v>
      </c>
      <c r="D4444" s="24"/>
      <c r="E4444" s="24"/>
    </row>
    <row r="4445">
      <c r="A4445" s="25" t="s">
        <v>18392</v>
      </c>
      <c r="B4445" s="25" t="s">
        <v>18487</v>
      </c>
      <c r="C4445" s="26" t="str">
        <f>HYPERLINK("https://audio.iskcondesiretree.com/02_-_ISKCON_Swamis/ISKCON_Swamis_-_R_to_Y/His_Holiness_Radhanath_Swami/Lectures/01_-_Theme_wise/Social_Aspects/1994-205_What_Is_Civilization_SB-01-05-16_Mumbai_-_22-10-94_IDesireTree.mp3", "1994-205_What_Is_Civilization_SB-01-05-16_Mumbai_-_22-10-94_IDesireTree.mp3")</f>
        <v>1994-205_What_Is_Civilization_SB-01-05-16_Mumbai_-_22-10-94_IDesireTree.mp3</v>
      </c>
      <c r="D4445" s="24"/>
      <c r="E4445" s="24"/>
    </row>
    <row r="4446">
      <c r="A4446" s="25" t="s">
        <v>18392</v>
      </c>
      <c r="B4446" s="25" t="s">
        <v>18487</v>
      </c>
      <c r="C4446" s="26" t="str">
        <f>HYPERLINK("https://audio.iskcondesiretree.com/02_-_ISKCON_Swamis/ISKCON_Swamis_-_R_to_Y/His_Holiness_Radhanath_Swami/Lectures/01_-_Theme_wise/Social_Aspects/1996-168_Precarious_Condition_Of_Indians_SB_02-05-15_Mumbai_-_03-11-96_IDesireTree.mp3", "1996-168_Precarious_Condition_Of_Indians_SB_02-05-15_Mumbai_-_03-11-96_IDesireTree.mp3")</f>
        <v>1996-168_Precarious_Condition_Of_Indians_SB_02-05-15_Mumbai_-_03-11-96_IDesireTree.mp3</v>
      </c>
      <c r="D4446" s="24"/>
      <c r="E4446" s="24"/>
    </row>
    <row r="4447">
      <c r="A4447" s="25" t="s">
        <v>18392</v>
      </c>
      <c r="B4447" s="25" t="s">
        <v>18487</v>
      </c>
      <c r="C4447" s="26" t="str">
        <f>HYPERLINK("https://audio.iskcondesiretree.com/02_-_ISKCON_Swamis/ISKCON_Swamis_-_R_to_Y/His_Holiness_Radhanath_Swami/Lectures/01_-_Theme_wise/Social_Aspects/1997-113_Preparing_For_The_21_Century_Lecture_-_Radhanath_Swami_Mumbai_1997-10-02_IDesireTree.mp3", "1997-113_Preparing_For_The_21_Century_Lecture_-_Radhanath_Swami_Mumbai_1997-10-02_IDesireTree.mp3")</f>
        <v>1997-113_Preparing_For_The_21_Century_Lecture_-_Radhanath_Swami_Mumbai_1997-10-02_IDesireTree.mp3</v>
      </c>
      <c r="D4447" s="24"/>
      <c r="E4447" s="24"/>
    </row>
    <row r="4448">
      <c r="A4448" s="25" t="s">
        <v>18392</v>
      </c>
      <c r="B4448" s="25" t="s">
        <v>18487</v>
      </c>
      <c r="C4448" s="26" t="str">
        <f>HYPERLINK("https://audio.iskcondesiretree.com/02_-_ISKCON_Swamis/ISKCON_Swamis_-_R_to_Y/His_Holiness_Radhanath_Swami/Lectures/01_-_Theme_wise/Social_Aspects/1998-097_Complexity_of_Modern_Civilization_Lecture_Pune_1998-10-07_IDesireTree.mp3", "1998-097_Complexity_of_Modern_Civilization_Lecture_Pune_1998-10-07_IDesireTree.mp3")</f>
        <v>1998-097_Complexity_of_Modern_Civilization_Lecture_Pune_1998-10-07_IDesireTree.mp3</v>
      </c>
      <c r="D4448" s="24"/>
      <c r="E4448" s="24"/>
    </row>
    <row r="4449">
      <c r="A4449" s="25" t="s">
        <v>18392</v>
      </c>
      <c r="B4449" s="25" t="s">
        <v>18487</v>
      </c>
      <c r="C4449" s="26" t="str">
        <f>HYPERLINK("https://audio.iskcondesiretree.com/02_-_ISKCON_Swamis/ISKCON_Swamis_-_R_to_Y/His_Holiness_Radhanath_Swami/Lectures/01_-_Theme_wise/Social_Aspects/2000-016_LNHO-A_Real_Example_of_True_Indians_Lecture_-_Radhanath_Swami_Mumbai_2000-01-26_IDesireTree.mp3", "2000-016_LNHO-A_Real_Example_of_True_Indians_Lecture_-_Radhanath_Swami_Mumbai_2000-01-26_IDesireTree.mp3")</f>
        <v>2000-016_LNHO-A_Real_Example_of_True_Indians_Lecture_-_Radhanath_Swami_Mumbai_2000-01-26_IDesireTree.mp3</v>
      </c>
      <c r="D4449" s="24"/>
      <c r="E4449" s="24"/>
    </row>
    <row r="4450">
      <c r="A4450" s="25" t="s">
        <v>18392</v>
      </c>
      <c r="B4450" s="25" t="s">
        <v>18487</v>
      </c>
      <c r="C4450" s="26" t="str">
        <f>HYPERLINK("https://audio.iskcondesiretree.com/02_-_ISKCON_Swamis/ISKCON_Swamis_-_R_to_Y/His_Holiness_Radhanath_Swami/Lectures/01_-_Theme_wise/Social_Aspects/2002-013_Preaching_History_of_Russia_Lecture_-_Radhanath_Swami_Mumbai_2002-01-13_IDesireTree.mp3", "2002-013_Preaching_History_of_Russia_Lecture_-_Radhanath_Swami_Mumbai_2002-01-13_IDesireTree.mp3")</f>
        <v>2002-013_Preaching_History_of_Russia_Lecture_-_Radhanath_Swami_Mumbai_2002-01-13_IDesireTree.mp3</v>
      </c>
      <c r="D4450" s="24"/>
      <c r="E4450" s="24"/>
    </row>
    <row r="4451">
      <c r="A4451" s="25" t="s">
        <v>18392</v>
      </c>
      <c r="B4451" s="25" t="s">
        <v>18487</v>
      </c>
      <c r="C4451" s="26" t="str">
        <f>HYPERLINK("https://audio.iskcondesiretree.com/02_-_ISKCON_Swamis/ISKCON_Swamis_-_R_to_Y/His_Holiness_Radhanath_Swami/Lectures/01_-_Theme_wise/Social_Aspects/2003-001_What_Exactly_is_Non_Violence_SB_02-07-37_-_Radhanath_Swami_Mumbai_2003-01-02_IDesireTree.mp3", "2003-001_What_Exactly_is_Non_Violence_SB_02-07-37_-_Radhanath_Swami_Mumbai_2003-01-02_IDesireTree.mp3")</f>
        <v>2003-001_What_Exactly_is_Non_Violence_SB_02-07-37_-_Radhanath_Swami_Mumbai_2003-01-02_IDesireTree.mp3</v>
      </c>
      <c r="D4451" s="24"/>
      <c r="E4451" s="24"/>
    </row>
    <row r="4452">
      <c r="A4452" s="25" t="s">
        <v>18392</v>
      </c>
      <c r="B4452" s="25" t="s">
        <v>18488</v>
      </c>
      <c r="C4452" s="26" t="str">
        <f>HYPERLINK("https://audio.iskcondesiretree.com/02_-_ISKCON_Swamis/ISKCON_Swamis_-_R_to_Y/His_Holiness_Radhanath_Swami/Lectures/01_-_Theme_wise/Spiritual_Master_and_Disciple/1989-044_Obey_Your_Spiritual_Master_Q%26A_-_Radhanath_Swami_Mumbai_1989-09-22_IDesireTree.mp3", "1989-044_Obey_Your_Spiritual_Master_Q%26A_-_Radhanath_Swami_Mumbai_1989-09-22_IDesireTree.mp3")</f>
        <v>1989-044_Obey_Your_Spiritual_Master_Q%26A_-_Radhanath_Swami_Mumbai_1989-09-22_IDesireTree.mp3</v>
      </c>
      <c r="D4452" s="24"/>
      <c r="E4452" s="24"/>
    </row>
    <row r="4453">
      <c r="A4453" s="25" t="s">
        <v>18392</v>
      </c>
      <c r="B4453" s="25" t="s">
        <v>18488</v>
      </c>
      <c r="C4453" s="26" t="str">
        <f>HYPERLINK("https://audio.iskcondesiretree.com/02_-_ISKCON_Swamis/ISKCON_Swamis_-_R_to_Y/His_Holiness_Radhanath_Swami/Lectures/01_-_Theme_wise/Spiritual_Master_and_Disciple/1990-063_Beg_For_Guru_Maharaj_SB_08-06-26-28_Mumbai_1990-08-16_IDesireTree.mp3", "1990-063_Beg_For_Guru_Maharaj_SB_08-06-26-28_Mumbai_1990-08-16_IDesireTree.mp3")</f>
        <v>1990-063_Beg_For_Guru_Maharaj_SB_08-06-26-28_Mumbai_1990-08-16_IDesireTree.mp3</v>
      </c>
      <c r="D4453" s="24"/>
      <c r="E4453" s="24"/>
    </row>
    <row r="4454">
      <c r="A4454" s="25" t="s">
        <v>18392</v>
      </c>
      <c r="B4454" s="25" t="s">
        <v>18488</v>
      </c>
      <c r="C4454" s="26" t="str">
        <f>HYPERLINK("https://audio.iskcondesiretree.com/02_-_ISKCON_Swamis/ISKCON_Swamis_-_R_to_Y/His_Holiness_Radhanath_Swami/Lectures/01_-_Theme_wise/Spiritual_Master_and_Disciple/1991-022_Pleasing_The_Spiritual_Master_BG_01-29_Mumbai_1991-02-24_IDesireTree.mp3", "1991-022_Pleasing_The_Spiritual_Master_BG_01-29_Mumbai_1991-02-24_IDesireTree.mp3")</f>
        <v>1991-022_Pleasing_The_Spiritual_Master_BG_01-29_Mumbai_1991-02-24_IDesireTree.mp3</v>
      </c>
      <c r="D4454" s="24"/>
      <c r="E4454" s="24"/>
    </row>
    <row r="4455">
      <c r="A4455" s="25" t="s">
        <v>18392</v>
      </c>
      <c r="B4455" s="25" t="s">
        <v>18488</v>
      </c>
      <c r="C4455" s="26" t="str">
        <f>HYPERLINK("https://audio.iskcondesiretree.com/02_-_ISKCON_Swamis/ISKCON_Swamis_-_R_to_Y/His_Holiness_Radhanath_Swami/Lectures/01_-_Theme_wise/Spiritual_Master_and_Disciple/1991-113_Under_One_Master_Lecture_-_Radhanath_Swami_Mumbai_1991-11-01_IDesireTree.mp3", "1991-113_Under_One_Master_Lecture_-_Radhanath_Swami_Mumbai_1991-11-01_IDesireTree.mp3")</f>
        <v>1991-113_Under_One_Master_Lecture_-_Radhanath_Swami_Mumbai_1991-11-01_IDesireTree.mp3</v>
      </c>
      <c r="D4455" s="24"/>
      <c r="E4455" s="24"/>
    </row>
    <row r="4456">
      <c r="A4456" s="25" t="s">
        <v>18392</v>
      </c>
      <c r="B4456" s="25" t="s">
        <v>18488</v>
      </c>
      <c r="C4456" s="26" t="str">
        <f>HYPERLINK("https://audio.iskcondesiretree.com/02_-_ISKCON_Swamis/ISKCON_Swamis_-_R_to_Y/His_Holiness_Radhanath_Swami/Lectures/01_-_Theme_wise/Spiritual_Master_and_Disciple/1991-114_Oneness_In_Guru_Lecture_-_Radhanath_Swami_Mumbai_1991-11-02_IDesireTree.mp3", "1991-114_Oneness_In_Guru_Lecture_-_Radhanath_Swami_Mumbai_1991-11-02_IDesireTree.mp3")</f>
        <v>1991-114_Oneness_In_Guru_Lecture_-_Radhanath_Swami_Mumbai_1991-11-02_IDesireTree.mp3</v>
      </c>
      <c r="D4456" s="24"/>
      <c r="E4456" s="24"/>
    </row>
    <row r="4457">
      <c r="A4457" s="25" t="s">
        <v>18392</v>
      </c>
      <c r="B4457" s="25" t="s">
        <v>18488</v>
      </c>
      <c r="C4457" s="26" t="str">
        <f>HYPERLINK("https://audio.iskcondesiretree.com/02_-_ISKCON_Swamis/ISKCON_Swamis_-_R_to_Y/His_Holiness_Radhanath_Swami/Lectures/01_-_Theme_wise/Spiritual_Master_and_Disciple/1991-141_Approaching_The_Guru_Lecture_-_Radhanath_Swami_Mumbai_1991-12-02_IDesireTree.mp3", "1991-141_Approaching_The_Guru_Lecture_-_Radhanath_Swami_Mumbai_1991-12-02_IDesireTree.mp3")</f>
        <v>1991-141_Approaching_The_Guru_Lecture_-_Radhanath_Swami_Mumbai_1991-12-02_IDesireTree.mp3</v>
      </c>
      <c r="D4457" s="24"/>
      <c r="E4457" s="24"/>
    </row>
    <row r="4458">
      <c r="A4458" s="25" t="s">
        <v>18392</v>
      </c>
      <c r="B4458" s="25" t="s">
        <v>18488</v>
      </c>
      <c r="C4458" s="26" t="str">
        <f>HYPERLINK("https://audio.iskcondesiretree.com/02_-_ISKCON_Swamis/ISKCON_Swamis_-_R_to_Y/His_Holiness_Radhanath_Swami/Lectures/01_-_Theme_wise/Spiritual_Master_and_Disciple/1992-066_Submissive_Approach_To_Guru_BG_02-45_-_Radhanath_Swami_1992-06-09_IDesireTree.mp3", "1992-066_Submissive_Approach_To_Guru_BG_02-45_-_Radhanath_Swami_1992-06-09_IDesireTree.mp3")</f>
        <v>1992-066_Submissive_Approach_To_Guru_BG_02-45_-_Radhanath_Swami_1992-06-09_IDesireTree.mp3</v>
      </c>
      <c r="D4458" s="24"/>
      <c r="E4458" s="24"/>
    </row>
    <row r="4459">
      <c r="A4459" s="25" t="s">
        <v>18392</v>
      </c>
      <c r="B4459" s="25" t="s">
        <v>18488</v>
      </c>
      <c r="C4459" s="26" t="str">
        <f>HYPERLINK("https://audio.iskcondesiretree.com/02_-_ISKCON_Swamis/ISKCON_Swamis_-_R_to_Y/His_Holiness_Radhanath_Swami/Lectures/01_-_Theme_wise/Spiritual_Master_and_Disciple/1992-086_Spiritual_Chastisement_BG_02-11_-_Radhanath_Swami_Mumbai_1992-08-23_IDesireTree.mp3", "1992-086_Spiritual_Chastisement_BG_02-11_-_Radhanath_Swami_Mumbai_1992-08-23_IDesireTree.mp3")</f>
        <v>1992-086_Spiritual_Chastisement_BG_02-11_-_Radhanath_Swami_Mumbai_1992-08-23_IDesireTree.mp3</v>
      </c>
      <c r="D4459" s="24"/>
      <c r="E4459" s="24"/>
    </row>
    <row r="4460">
      <c r="A4460" s="25" t="s">
        <v>18392</v>
      </c>
      <c r="B4460" s="25" t="s">
        <v>18489</v>
      </c>
      <c r="C4460" s="26" t="str">
        <f>HYPERLINK("https://audio.iskcondesiretree.com/02_-_ISKCON_Swamis/ISKCON_Swamis_-_R_to_Y/His_Holiness_Radhanath_Swami/Lectures/01_-_Theme_wise/Spiritual_world/1990-095_Spiritual_Life_-_As_It_Is_SB_08-10-01-06_-_Radhanath_Swami_Mumbai_1990-10-20_IDesireTree.mp3", "1990-095_Spiritual_Life_-_As_It_Is_SB_08-10-01-06_-_Radhanath_Swami_Mumbai_1990-10-20_IDesireTree.mp3")</f>
        <v>1990-095_Spiritual_Life_-_As_It_Is_SB_08-10-01-06_-_Radhanath_Swami_Mumbai_1990-10-20_IDesireTree.mp3</v>
      </c>
      <c r="D4460" s="24"/>
      <c r="E4460" s="24"/>
    </row>
    <row r="4461">
      <c r="A4461" s="25" t="s">
        <v>18392</v>
      </c>
      <c r="B4461" s="25" t="s">
        <v>18489</v>
      </c>
      <c r="C4461" s="26" t="str">
        <f>HYPERLINK("https://audio.iskcondesiretree.com/02_-_ISKCON_Swamis/ISKCON_Swamis_-_R_to_Y/His_Holiness_Radhanath_Swami/Lectures/01_-_Theme_wise/Spiritual_world/1991-012_Spiritual_Sentiments_BG_14-04_-_Radhanath_Swami_Mumbai_1991-02-01_IDesireTree.mp3", "1991-012_Spiritual_Sentiments_BG_14-04_-_Radhanath_Swami_Mumbai_1991-02-01_IDesireTree.mp3")</f>
        <v>1991-012_Spiritual_Sentiments_BG_14-04_-_Radhanath_Swami_Mumbai_1991-02-01_IDesireTree.mp3</v>
      </c>
      <c r="D4461" s="24"/>
      <c r="E4461" s="24"/>
    </row>
    <row r="4462">
      <c r="A4462" s="25" t="s">
        <v>18392</v>
      </c>
      <c r="B4462" s="25" t="s">
        <v>18489</v>
      </c>
      <c r="C4462" s="26" t="str">
        <f>HYPERLINK("https://audio.iskcondesiretree.com/02_-_ISKCON_Swamis/ISKCON_Swamis_-_R_to_Y/His_Holiness_Radhanath_Swami/Lectures/01_-_Theme_wise/Spiritual_world/1991-015_Eternal_Joy_Of_Soul_SB_09-04-46-47_-_Radhanath_Swami_Mumbai_1991-02-09_IDesireTree.mp3", "1991-015_Eternal_Joy_Of_Soul_SB_09-04-46-47_-_Radhanath_Swami_Mumbai_1991-02-09_IDesireTree.mp3")</f>
        <v>1991-015_Eternal_Joy_Of_Soul_SB_09-04-46-47_-_Radhanath_Swami_Mumbai_1991-02-09_IDesireTree.mp3</v>
      </c>
      <c r="D4462" s="24"/>
      <c r="E4462" s="24"/>
    </row>
    <row r="4463">
      <c r="A4463" s="25" t="s">
        <v>18392</v>
      </c>
      <c r="B4463" s="25" t="s">
        <v>18489</v>
      </c>
      <c r="C4463" s="26" t="str">
        <f>HYPERLINK("https://audio.iskcondesiretree.com/02_-_ISKCON_Swamis/ISKCON_Swamis_-_R_to_Y/His_Holiness_Radhanath_Swami/Lectures/01_-_Theme_wise/Spiritual_world/1991-065_Spiritual_Life_is_a_Necessity_Rainbow_Lecture_-_Radhanath_Swami_1991-07-01_IDesireTree.mp3", "1991-065_Spiritual_Life_is_a_Necessity_Rainbow_Lecture_-_Radhanath_Swami_1991-07-01_IDesireTree.mp3")</f>
        <v>1991-065_Spiritual_Life_is_a_Necessity_Rainbow_Lecture_-_Radhanath_Swami_1991-07-01_IDesireTree.mp3</v>
      </c>
      <c r="D4463" s="24"/>
      <c r="E4463" s="24"/>
    </row>
    <row r="4464">
      <c r="A4464" s="25" t="s">
        <v>18392</v>
      </c>
      <c r="B4464" s="25" t="s">
        <v>18489</v>
      </c>
      <c r="C4464" s="26" t="str">
        <f>HYPERLINK("https://audio.iskcondesiretree.com/02_-_ISKCON_Swamis/ISKCON_Swamis_-_R_to_Y/His_Holiness_Radhanath_Swami/Lectures/01_-_Theme_wise/Spiritual_world/1992-074_Spiritual_Attachments_SB_10-13-33-34_-_Radhanath_Swami_Mumbai_1992-08-16_IDesireTree.mp3", "1992-074_Spiritual_Attachments_SB_10-13-33-34_-_Radhanath_Swami_Mumbai_1992-08-16_IDesireTree.mp3")</f>
        <v>1992-074_Spiritual_Attachments_SB_10-13-33-34_-_Radhanath_Swami_Mumbai_1992-08-16_IDesireTree.mp3</v>
      </c>
      <c r="D4464" s="24"/>
      <c r="E4464" s="24"/>
    </row>
    <row r="4465">
      <c r="A4465" s="25" t="s">
        <v>18392</v>
      </c>
      <c r="B4465" s="25" t="s">
        <v>18489</v>
      </c>
      <c r="C4465" s="26" t="str">
        <f>HYPERLINK("https://audio.iskcondesiretree.com/02_-_ISKCON_Swamis/ISKCON_Swamis_-_R_to_Y/His_Holiness_Radhanath_Swami/Lectures/01_-_Theme_wise/Spiritual_world/1992-122_Spiritual_Vision_SB_10-16-17-18_-_Radhanath_Swami_Mumbai_1992-11-14_IDesireTree.mp3", "1992-122_Spiritual_Vision_SB_10-16-17-18_-_Radhanath_Swami_Mumbai_1992-11-14_IDesireTree.mp3")</f>
        <v>1992-122_Spiritual_Vision_SB_10-16-17-18_-_Radhanath_Swami_Mumbai_1992-11-14_IDesireTree.mp3</v>
      </c>
      <c r="D4465" s="24"/>
      <c r="E4465" s="24"/>
    </row>
    <row r="4466">
      <c r="A4466" s="25" t="s">
        <v>18392</v>
      </c>
      <c r="B4466" s="25" t="s">
        <v>18489</v>
      </c>
      <c r="C4466" s="26" t="str">
        <f>HYPERLINK("https://audio.iskcondesiretree.com/02_-_ISKCON_Swamis/ISKCON_Swamis_-_R_to_Y/His_Holiness_Radhanath_Swami/Lectures/01_-_Theme_wise/Spiritual_world/1992-126_Spiritual_Emotion_SB_10-16-16_-_Radhanath_Swami_Mumbai_1992-11-23_IDesireTree.mp3", "1992-126_Spiritual_Emotion_SB_10-16-16_-_Radhanath_Swami_Mumbai_1992-11-23_IDesireTree.mp3")</f>
        <v>1992-126_Spiritual_Emotion_SB_10-16-16_-_Radhanath_Swami_Mumbai_1992-11-23_IDesireTree.mp3</v>
      </c>
      <c r="D4466" s="24"/>
      <c r="E4466" s="24"/>
    </row>
    <row r="4467">
      <c r="A4467" s="25" t="s">
        <v>18392</v>
      </c>
      <c r="B4467" s="25" t="s">
        <v>18489</v>
      </c>
      <c r="C4467" s="26" t="str">
        <f>HYPERLINK("https://audio.iskcondesiretree.com/02_-_ISKCON_Swamis/ISKCON_Swamis_-_R_to_Y/His_Holiness_Radhanath_Swami/Lectures/01_-_Theme_wise/Spiritual_world/1992-144_Spiritual_Warfare_SB_10-17-21-22_-_Radhanath_Swami_Mumbai_1992-12-18_IDesireTree.mp3", "1992-144_Spiritual_Warfare_SB_10-17-21-22_-_Radhanath_Swami_Mumbai_1992-12-18_IDesireTree.mp3")</f>
        <v>1992-144_Spiritual_Warfare_SB_10-17-21-22_-_Radhanath_Swami_Mumbai_1992-12-18_IDesireTree.mp3</v>
      </c>
      <c r="D4467" s="24"/>
      <c r="E4467" s="24"/>
    </row>
    <row r="4468">
      <c r="A4468" s="25" t="s">
        <v>18392</v>
      </c>
      <c r="B4468" s="25" t="s">
        <v>18489</v>
      </c>
      <c r="C4468" s="26" t="str">
        <f>HYPERLINK("https://audio.iskcondesiretree.com/02_-_ISKCON_Swamis/ISKCON_Swamis_-_R_to_Y/His_Holiness_Radhanath_Swami/Lectures/01_-_Theme_wise/Spiritual_world/1995-105_Mahamaya_And_Yogamaya_BG-13-31-32_-_Radhanath_Swami_Mumbai_1995-09-15_IDesireTree.mp3", "1995-105_Mahamaya_And_Yogamaya_BG-13-31-32_-_Radhanath_Swami_Mumbai_1995-09-15_IDesireTree.mp3")</f>
        <v>1995-105_Mahamaya_And_Yogamaya_BG-13-31-32_-_Radhanath_Swami_Mumbai_1995-09-15_IDesireTree.mp3</v>
      </c>
      <c r="D4468" s="24"/>
      <c r="E4468" s="24"/>
    </row>
    <row r="4469">
      <c r="A4469" s="25" t="s">
        <v>18392</v>
      </c>
      <c r="B4469" s="25" t="s">
        <v>18489</v>
      </c>
      <c r="C4469" s="26" t="str">
        <f>HYPERLINK("https://audio.iskcondesiretree.com/02_-_ISKCON_Swamis/ISKCON_Swamis_-_R_to_Y/His_Holiness_Radhanath_Swami/Lectures/01_-_Theme_wise/Spiritual_world/1996-090_Fight_In_Spiritual_Life_Lecture_-_Radhanath_Swami_Mumbai_1996-04-21_IDesireTree.mp3", "1996-090_Fight_In_Spiritual_Life_Lecture_-_Radhanath_Swami_Mumbai_1996-04-21_IDesireTree.mp3")</f>
        <v>1996-090_Fight_In_Spiritual_Life_Lecture_-_Radhanath_Swami_Mumbai_1996-04-21_IDesireTree.mp3</v>
      </c>
      <c r="D4469" s="24"/>
      <c r="E4469" s="24"/>
    </row>
    <row r="4470">
      <c r="A4470" s="25" t="s">
        <v>18392</v>
      </c>
      <c r="B4470" s="25" t="s">
        <v>18489</v>
      </c>
      <c r="C4470" s="26" t="str">
        <f>HYPERLINK("https://audio.iskcondesiretree.com/02_-_ISKCON_Swamis/ISKCON_Swamis_-_R_to_Y/His_Holiness_Radhanath_Swami/Lectures/01_-_Theme_wise/Spiritual_world/1997-059_Trancendence_of_Vaikuntha_SB_02-09-10_-_Radhanath_Swami_Mumbai_1997-04-12_IDesireTree.mp3", "1997-059_Trancendence_of_Vaikuntha_SB_02-09-10_-_Radhanath_Swami_Mumbai_1997-04-12_IDesireTree.mp3")</f>
        <v>1997-059_Trancendence_of_Vaikuntha_SB_02-09-10_-_Radhanath_Swami_Mumbai_1997-04-12_IDesireTree.mp3</v>
      </c>
      <c r="D4470" s="24"/>
      <c r="E4470" s="24"/>
    </row>
    <row r="4471">
      <c r="A4471" s="25" t="s">
        <v>18392</v>
      </c>
      <c r="B4471" s="25" t="s">
        <v>18489</v>
      </c>
      <c r="C4471" s="26" t="str">
        <f>HYPERLINK("https://audio.iskcondesiretree.com/02_-_ISKCON_Swamis/ISKCON_Swamis_-_R_to_Y/His_Holiness_Radhanath_Swami/Lectures/01_-_Theme_wise/Spiritual_world/1998-099_No_Competition_in_Vaikuntha_SB_03-15-20_-_Radhanath_Swami_Mumbai_1998-11-04_IDesireTree.mp3", "1998-099_No_Competition_in_Vaikuntha_SB_03-15-20_-_Radhanath_Swami_Mumbai_1998-11-04_IDesireTree.mp3")</f>
        <v>1998-099_No_Competition_in_Vaikuntha_SB_03-15-20_-_Radhanath_Swami_Mumbai_1998-11-04_IDesireTree.mp3</v>
      </c>
      <c r="D4471" s="24"/>
      <c r="E4471" s="24"/>
    </row>
    <row r="4472">
      <c r="A4472" s="25" t="s">
        <v>18392</v>
      </c>
      <c r="B4472" s="25" t="s">
        <v>18490</v>
      </c>
      <c r="C4472" s="26" t="str">
        <f>HYPERLINK("https://audio.iskcondesiretree.com/02_-_ISKCON_Swamis/ISKCON_Swamis_-_R_to_Y/His_Holiness_Radhanath_Swami/Lectures/01_-_Theme_wise/Sravanam/1989-012_The_Correct_Anchorage_BG_08-28_-_Radhanath_Swami_Mumbai_1989-07-09_IDesireTree.mp3", "1989-012_The_Correct_Anchorage_BG_08-28_-_Radhanath_Swami_Mumbai_1989-07-09_IDesireTree.mp3")</f>
        <v>1989-012_The_Correct_Anchorage_BG_08-28_-_Radhanath_Swami_Mumbai_1989-07-09_IDesireTree.mp3</v>
      </c>
      <c r="D4472" s="24"/>
      <c r="E4472" s="24"/>
    </row>
    <row r="4473">
      <c r="A4473" s="25" t="s">
        <v>18392</v>
      </c>
      <c r="B4473" s="25" t="s">
        <v>18490</v>
      </c>
      <c r="C4473" s="26" t="str">
        <f>HYPERLINK("https://audio.iskcondesiretree.com/02_-_ISKCON_Swamis/ISKCON_Swamis_-_R_to_Y/His_Holiness_Radhanath_Swami/Lectures/01_-_Theme_wise/Sravanam/1989-090_Simply_For_Devotees_Pleasure_BG_12-02_-_Radhanath_Swami_Mumbai_1989-12-31_IDesireTree.mp3", "1989-090_Simply_For_Devotees_Pleasure_BG_12-02_-_Radhanath_Swami_Mumbai_1989-12-31_IDesireTree.mp3")</f>
        <v>1989-090_Simply_For_Devotees_Pleasure_BG_12-02_-_Radhanath_Swami_Mumbai_1989-12-31_IDesireTree.mp3</v>
      </c>
      <c r="D4473" s="24"/>
      <c r="E4473" s="24"/>
    </row>
    <row r="4474">
      <c r="A4474" s="25" t="s">
        <v>18392</v>
      </c>
      <c r="B4474" s="25" t="s">
        <v>18490</v>
      </c>
      <c r="C4474" s="26" t="str">
        <f>HYPERLINK("https://audio.iskcondesiretree.com/02_-_ISKCON_Swamis/ISKCON_Swamis_-_R_to_Y/His_Holiness_Radhanath_Swami/Lectures/01_-_Theme_wise/Sravanam/1991-074_Hearing_Is_Beginning_SB_10-01-08_-_Radhanath_Swami_Mumbai_1991-10-12_IDesireTree.mp3", "1991-074_Hearing_Is_Beginning_SB_10-01-08_-_Radhanath_Swami_Mumbai_1991-10-12_IDesireTree.mp3")</f>
        <v>1991-074_Hearing_Is_Beginning_SB_10-01-08_-_Radhanath_Swami_Mumbai_1991-10-12_IDesireTree.mp3</v>
      </c>
      <c r="D4474" s="24"/>
      <c r="E4474" s="24"/>
    </row>
    <row r="4475">
      <c r="A4475" s="25" t="s">
        <v>18392</v>
      </c>
      <c r="B4475" s="25" t="s">
        <v>18490</v>
      </c>
      <c r="C4475" s="26" t="str">
        <f>HYPERLINK("https://audio.iskcondesiretree.com/02_-_ISKCON_Swamis/ISKCON_Swamis_-_R_to_Y/His_Holiness_Radhanath_Swami/Lectures/01_-_Theme_wise/Sravanam/1991-080_Importance_Of_Krishna_Katha_SB_10-01-15_-_Radhanath_Swami_Mumbai_1991-10-16_IDesireTree.mp3", "1991-080_Importance_Of_Krishna_Katha_SB_10-01-15_-_Radhanath_Swami_Mumbai_1991-10-16_IDesireTree.mp3")</f>
        <v>1991-080_Importance_Of_Krishna_Katha_SB_10-01-15_-_Radhanath_Swami_Mumbai_1991-10-16_IDesireTree.mp3</v>
      </c>
      <c r="D4475" s="24"/>
      <c r="E4475" s="24"/>
    </row>
    <row r="4476">
      <c r="A4476" s="25" t="s">
        <v>18392</v>
      </c>
      <c r="B4476" s="25" t="s">
        <v>18490</v>
      </c>
      <c r="C4476" s="26" t="str">
        <f>HYPERLINK("https://audio.iskcondesiretree.com/02_-_ISKCON_Swamis/ISKCON_Swamis_-_R_to_Y/His_Holiness_Radhanath_Swami/Lectures/01_-_Theme_wise/Sravanam/1991-100_Relish_His_Messages_SB_10-01-48_-_Radhanath_Swami_Mumbai_1991-11-03_IDesireTree.mp3", "1991-100_Relish_His_Messages_SB_10-01-48_-_Radhanath_Swami_Mumbai_1991-11-03_IDesireTree.mp3")</f>
        <v>1991-100_Relish_His_Messages_SB_10-01-48_-_Radhanath_Swami_Mumbai_1991-11-03_IDesireTree.mp3</v>
      </c>
      <c r="D4476" s="24"/>
      <c r="E4476" s="24"/>
    </row>
    <row r="4477">
      <c r="A4477" s="25" t="s">
        <v>18392</v>
      </c>
      <c r="B4477" s="25" t="s">
        <v>18490</v>
      </c>
      <c r="C4477" s="26" t="str">
        <f>HYPERLINK("https://audio.iskcondesiretree.com/02_-_ISKCON_Swamis/ISKCON_Swamis_-_R_to_Y/His_Holiness_Radhanath_Swami/Lectures/01_-_Theme_wise/Sravanam/1991-116_Hearing-_Washes_All_Doubts_BG_04-38-39_-_Radhanath_Swami_Mumbai_1991-11-03_IDesireTree.mp3", "1991-116_Hearing-_Washes_All_Doubts_BG_04-38-39_-_Radhanath_Swami_Mumbai_1991-11-03_IDesireTree.mp3")</f>
        <v>1991-116_Hearing-_Washes_All_Doubts_BG_04-38-39_-_Radhanath_Swami_Mumbai_1991-11-03_IDesireTree.mp3</v>
      </c>
      <c r="D4477" s="24"/>
      <c r="E4477" s="24"/>
    </row>
    <row r="4478">
      <c r="A4478" s="25" t="s">
        <v>18392</v>
      </c>
      <c r="B4478" s="25" t="s">
        <v>18490</v>
      </c>
      <c r="C4478" s="26" t="str">
        <f>HYPERLINK("https://audio.iskcondesiretree.com/02_-_ISKCON_Swamis/ISKCON_Swamis_-_R_to_Y/His_Holiness_Radhanath_Swami/Lectures/01_-_Theme_wise/Sravanam/1992-136_Hearing_Means_To_Put_Into_Action_SB_10-16-56-57_-_Radhanath_Swami_Mumbai_1992-12-10_IDesireTree.mp3", "1992-136_Hearing_Means_To_Put_Into_Action_SB_10-16-56-57_-_Radhanath_Swami_Mumbai_1992-12-10_IDesireTree.mp3")</f>
        <v>1992-136_Hearing_Means_To_Put_Into_Action_SB_10-16-56-57_-_Radhanath_Swami_Mumbai_1992-12-10_IDesireTree.mp3</v>
      </c>
      <c r="D4478" s="24"/>
      <c r="E4478" s="24"/>
    </row>
    <row r="4479">
      <c r="A4479" s="25" t="s">
        <v>18392</v>
      </c>
      <c r="B4479" s="25" t="s">
        <v>18490</v>
      </c>
      <c r="C4479" s="26" t="str">
        <f>HYPERLINK("https://audio.iskcondesiretree.com/02_-_ISKCON_Swamis/ISKCON_Swamis_-_R_to_Y/His_Holiness_Radhanath_Swami/Lectures/01_-_Theme_wise/Sravanam/1992-153_Kill_The_Demon_Of_Doubt_SB_10-18-28-32_-_Radhanath_Swami_Mumbai_1991-12-25_IDesireTree.mp3", "1992-153_Kill_The_Demon_Of_Doubt_SB_10-18-28-32_-_Radhanath_Swami_Mumbai_1991-12-25_IDesireTree.mp3")</f>
        <v>1992-153_Kill_The_Demon_Of_Doubt_SB_10-18-28-32_-_Radhanath_Swami_Mumbai_1991-12-25_IDesireTree.mp3</v>
      </c>
      <c r="D4479" s="24"/>
      <c r="E4479" s="24"/>
    </row>
    <row r="4480">
      <c r="A4480" s="25" t="s">
        <v>18392</v>
      </c>
      <c r="B4480" s="25" t="s">
        <v>18490</v>
      </c>
      <c r="C4480" s="26" t="str">
        <f>HYPERLINK("https://audio.iskcondesiretree.com/02_-_ISKCON_Swamis/ISKCON_Swamis_-_R_to_Y/His_Holiness_Radhanath_Swami/Lectures/01_-_Theme_wise/Sravanam/1993-060_Hearing_And_Absorbing_BG_07-01-03_-_Radhanath_Swami_Mumbai_1993-04-18_IDesireTree.mp3", "1993-060_Hearing_And_Absorbing_BG_07-01-03_-_Radhanath_Swami_Mumbai_1993-04-18_IDesireTree.mp3")</f>
        <v>1993-060_Hearing_And_Absorbing_BG_07-01-03_-_Radhanath_Swami_Mumbai_1993-04-18_IDesireTree.mp3</v>
      </c>
      <c r="D4480" s="24"/>
      <c r="E4480" s="24"/>
    </row>
    <row r="4481">
      <c r="A4481" s="25" t="s">
        <v>18392</v>
      </c>
      <c r="B4481" s="25" t="s">
        <v>18490</v>
      </c>
      <c r="C4481" s="26" t="str">
        <f>HYPERLINK("https://audio.iskcondesiretree.com/02_-_ISKCON_Swamis/ISKCON_Swamis_-_R_to_Y/His_Holiness_Radhanath_Swami/Lectures/01_-_Theme_wise/Sravanam/1994-105_Hearing_Is_Necessary_Everyday_SB_01-03-29_-_Radhanath_Swami_Mumbai_1994-08-22_IDesireTree.mp3", "1994-105_Hearing_Is_Necessary_Everyday_SB_01-03-29_-_Radhanath_Swami_Mumbai_1994-08-22_IDesireTree.mp3")</f>
        <v>1994-105_Hearing_Is_Necessary_Everyday_SB_01-03-29_-_Radhanath_Swami_Mumbai_1994-08-22_IDesireTree.mp3</v>
      </c>
      <c r="D4481" s="24"/>
      <c r="E4481" s="24"/>
    </row>
    <row r="4482">
      <c r="A4482" s="25" t="s">
        <v>18392</v>
      </c>
      <c r="B4482" s="25" t="s">
        <v>18490</v>
      </c>
      <c r="C4482" s="26" t="str">
        <f>HYPERLINK("https://audio.iskcondesiretree.com/02_-_ISKCON_Swamis/ISKCON_Swamis_-_R_to_Y/His_Holiness_Radhanath_Swami/Lectures/01_-_Theme_wise/Sravanam/1994-142_Eagerness_To_Hear_SB_01-04-03_-_Radhanath_Swami_Mumbai_1994-09-09_IDesireTree.mp3", "1994-142_Eagerness_To_Hear_SB_01-04-03_-_Radhanath_Swami_Mumbai_1994-09-09_IDesireTree.mp3")</f>
        <v>1994-142_Eagerness_To_Hear_SB_01-04-03_-_Radhanath_Swami_Mumbai_1994-09-09_IDesireTree.mp3</v>
      </c>
      <c r="D4482" s="24"/>
      <c r="E4482" s="24"/>
    </row>
    <row r="4483">
      <c r="A4483" s="25" t="s">
        <v>18392</v>
      </c>
      <c r="B4483" s="25" t="s">
        <v>18490</v>
      </c>
      <c r="C4483" s="26" t="str">
        <f>HYPERLINK("https://audio.iskcondesiretree.com/02_-_ISKCON_Swamis/ISKCON_Swamis_-_R_to_Y/His_Holiness_Radhanath_Swami/Lectures/01_-_Theme_wise/Sravanam/1996-131_Hear_from_Guru_BG_07-01_-_Radhanath_Swami_Mumbai_1996-09-16_IDesireTree.mp3", "1996-131_Hear_from_Guru_BG_07-01_-_Radhanath_Swami_Mumbai_1996-09-16_IDesireTree.mp3")</f>
        <v>1996-131_Hear_from_Guru_BG_07-01_-_Radhanath_Swami_Mumbai_1996-09-16_IDesireTree.mp3</v>
      </c>
      <c r="D4483" s="24"/>
      <c r="E4483" s="24"/>
    </row>
    <row r="4484">
      <c r="A4484" s="25" t="s">
        <v>18392</v>
      </c>
      <c r="B4484" s="25" t="s">
        <v>18490</v>
      </c>
      <c r="C4484" s="26" t="str">
        <f>HYPERLINK("https://audio.iskcondesiretree.com/02_-_ISKCON_Swamis/ISKCON_Swamis_-_R_to_Y/His_Holiness_Radhanath_Swami/Lectures/01_-_Theme_wise/Sravanam/1996-173_Surrender_By_Hearing_And_Chanting_SB_02-06-38_-_Radhanath_Swami_Mumbai_1996-12-22_IDesireTree.mp3", "1996-173_Surrender_By_Hearing_And_Chanting_SB_02-06-38_-_Radhanath_Swami_Mumbai_1996-12-22_IDesireTree.mp3")</f>
        <v>1996-173_Surrender_By_Hearing_And_Chanting_SB_02-06-38_-_Radhanath_Swami_Mumbai_1996-12-22_IDesireTree.mp3</v>
      </c>
      <c r="D4484" s="24"/>
      <c r="E4484" s="24"/>
    </row>
    <row r="4485">
      <c r="A4485" s="25" t="s">
        <v>18392</v>
      </c>
      <c r="B4485" s="25" t="s">
        <v>18490</v>
      </c>
      <c r="C4485" s="26" t="str">
        <f>HYPERLINK("https://audio.iskcondesiretree.com/02_-_ISKCON_Swamis/ISKCON_Swamis_-_R_to_Y/His_Holiness_Radhanath_Swami/Lectures/01_-_Theme_wise/Sravanam/1998-048_Attentive_Hearing_%26_Chanting_SB_03-06-37_-_Radhanath_Swami_Mumbai_1998-03-08_IDesireTree.mp3", "1998-048_Attentive_Hearing_%26_Chanting_SB_03-06-37_-_Radhanath_Swami_Mumbai_1998-03-08_IDesireTree.mp3")</f>
        <v>1998-048_Attentive_Hearing_%26_Chanting_SB_03-06-37_-_Radhanath_Swami_Mumbai_1998-03-08_IDesireTree.mp3</v>
      </c>
      <c r="D4485" s="24"/>
      <c r="E4485" s="24"/>
    </row>
    <row r="4486">
      <c r="A4486" s="25" t="s">
        <v>18392</v>
      </c>
      <c r="B4486" s="25" t="s">
        <v>18490</v>
      </c>
      <c r="C4486" s="26" t="str">
        <f>HYPERLINK("https://audio.iskcondesiretree.com/02_-_ISKCON_Swamis/ISKCON_Swamis_-_R_to_Y/His_Holiness_Radhanath_Swami/Lectures/01_-_Theme_wise/Sravanam/1999-031_Benefits_of_Hearing_Srimad_Bhagavatam_SB_03-19-38_-_Radhanath_Swami_Mumbai_1999-06-20_IDesireTree.mp3", "1999-031_Benefits_of_Hearing_Srimad_Bhagavatam_SB_03-19-38_-_Radhanath_Swami_Mumbai_1999-06-20_IDesireTree.mp3")</f>
        <v>1999-031_Benefits_of_Hearing_Srimad_Bhagavatam_SB_03-19-38_-_Radhanath_Swami_Mumbai_1999-06-20_IDesireTree.mp3</v>
      </c>
      <c r="D4486" s="24"/>
      <c r="E4486" s="24"/>
    </row>
    <row r="4487">
      <c r="A4487" s="25" t="s">
        <v>18392</v>
      </c>
      <c r="B4487" s="25" t="s">
        <v>18491</v>
      </c>
      <c r="C4487" s="26" t="str">
        <f>HYPERLINK("https://audio.iskcondesiretree.com/02_-_ISKCON_Swamis/ISKCON_Swamis_-_R_to_Y/His_Holiness_Radhanath_Swami/Lectures/01_-_Theme_wise/Srila%20Prabhupada/1989-034_Your%27s_Ever_Well_Wisher_Lecture_-_Radhanath_Swami_Mumbai_1989-08-25_IDesireTree.mp3", "1989-034_Your%27s_Ever_Well_Wisher_Lecture_-_Radhanath_Swami_Mumbai_1989-08-25_IDesireTree.mp3")</f>
        <v>1989-034_Your%27s_Ever_Well_Wisher_Lecture_-_Radhanath_Swami_Mumbai_1989-08-25_IDesireTree.mp3</v>
      </c>
      <c r="D4487" s="24"/>
      <c r="E4487" s="24"/>
    </row>
    <row r="4488">
      <c r="A4488" s="25" t="s">
        <v>18392</v>
      </c>
      <c r="B4488" s="25" t="s">
        <v>18491</v>
      </c>
      <c r="C4488" s="26" t="str">
        <f>HYPERLINK("https://audio.iskcondesiretree.com/02_-_ISKCON_Swamis/ISKCON_Swamis_-_R_to_Y/His_Holiness_Radhanath_Swami/Lectures/01_-_Theme_wise/Srila%20Prabhupada/1990-062_Prabhupad_Lecture_-_Radhanath_Swami_Mumbai_1990-08-15_IDesireTree.mp3", "1990-062_Prabhupad_Lecture_-_Radhanath_Swami_Mumbai_1990-08-15_IDesireTree.mp3")</f>
        <v>1990-062_Prabhupad_Lecture_-_Radhanath_Swami_Mumbai_1990-08-15_IDesireTree.mp3</v>
      </c>
      <c r="D4488" s="24"/>
      <c r="E4488" s="24"/>
    </row>
    <row r="4489">
      <c r="A4489" s="25" t="s">
        <v>18392</v>
      </c>
      <c r="B4489" s="25" t="s">
        <v>18491</v>
      </c>
      <c r="C4489" s="26" t="str">
        <f>HYPERLINK("https://audio.iskcondesiretree.com/02_-_ISKCON_Swamis/ISKCON_Swamis_-_R_to_Y/His_Holiness_Radhanath_Swami/Lectures/01_-_Theme_wise/Srila%20Prabhupada/1991-118_Diaappearance_of_prabhupada_Lecture_-_Radhanath_Swami_Mumbai_1991-11-10_IDesireTree.mp3", "1991-118_Diaappearance_of_prabhupada_Lecture_-_Radhanath_Swami_Mumbai_1991-11-10_IDesireTree.mp3")</f>
        <v>1991-118_Diaappearance_of_prabhupada_Lecture_-_Radhanath_Swami_Mumbai_1991-11-10_IDesireTree.mp3</v>
      </c>
      <c r="D4489" s="24"/>
      <c r="E4489" s="24"/>
    </row>
    <row r="4490">
      <c r="A4490" s="25" t="s">
        <v>18392</v>
      </c>
      <c r="B4490" s="25" t="s">
        <v>18491</v>
      </c>
      <c r="C4490" s="26" t="str">
        <f>HYPERLINK("https://audio.iskcondesiretree.com/02_-_ISKCON_Swamis/ISKCON_Swamis_-_R_to_Y/His_Holiness_Radhanath_Swami/Lectures/01_-_Theme_wise/Srila%20Prabhupada/1992-068_Understanding_Prabhupada%27s_Mission_Lecture_-_Radhanath_Swami_Columbus_1992-07-12_IDesireTree.m"&amp;"p3", "1992-068_Understanding_Prabhupada%27s_Mission_Lecture_-_Radhanath_Swami_Columbus_1992-07-12_IDesireTree.mp3")</f>
        <v>1992-068_Understanding_Prabhupada%27s_Mission_Lecture_-_Radhanath_Swami_Columbus_1992-07-12_IDesireTree.mp3</v>
      </c>
      <c r="D4490" s="24"/>
      <c r="E4490" s="24"/>
    </row>
    <row r="4491">
      <c r="A4491" s="25" t="s">
        <v>18392</v>
      </c>
      <c r="B4491" s="25" t="s">
        <v>18491</v>
      </c>
      <c r="C4491" s="26" t="str">
        <f>HYPERLINK("https://audio.iskcondesiretree.com/02_-_ISKCON_Swamis/ISKCON_Swamis_-_R_to_Y/His_Holiness_Radhanath_Swami/Lectures/01_-_Theme_wise/Srila%20Prabhupada/1994-124_Offering_To_Srila_Prabhupada_-_Radhanath_Swami_Mumbai_1994-08-30_IDesireTree.mp3", "1994-124_Offering_To_Srila_Prabhupada_-_Radhanath_Swami_Mumbai_1994-08-30_IDesireTree.mp3")</f>
        <v>1994-124_Offering_To_Srila_Prabhupada_-_Radhanath_Swami_Mumbai_1994-08-30_IDesireTree.mp3</v>
      </c>
      <c r="D4491" s="24"/>
      <c r="E4491" s="24"/>
    </row>
    <row r="4492">
      <c r="A4492" s="25" t="s">
        <v>18392</v>
      </c>
      <c r="B4492" s="25" t="s">
        <v>18491</v>
      </c>
      <c r="C4492" s="26" t="str">
        <f>HYPERLINK("https://audio.iskcondesiretree.com/02_-_ISKCON_Swamis/ISKCON_Swamis_-_R_to_Y/His_Holiness_Radhanath_Swami/Lectures/01_-_Theme_wise/Srila%20Prabhupada/1995-064_Prabhupada_Pastimes_Lecture_-_Radhanath_Swami_Mumbai_1995-03-18.mp3", "1995-064_Prabhupada_Pastimes_Lecture_-_Radhanath_Swami_Mumbai_1995-03-18.mp3")</f>
        <v>1995-064_Prabhupada_Pastimes_Lecture_-_Radhanath_Swami_Mumbai_1995-03-18.mp3</v>
      </c>
      <c r="D4492" s="24"/>
      <c r="E4492" s="24"/>
    </row>
    <row r="4493">
      <c r="A4493" s="25" t="s">
        <v>18392</v>
      </c>
      <c r="B4493" s="25" t="s">
        <v>18491</v>
      </c>
      <c r="C4493" s="26" t="str">
        <f>HYPERLINK("https://audio.iskcondesiretree.com/02_-_ISKCON_Swamis/ISKCON_Swamis_-_R_to_Y/His_Holiness_Radhanath_Swami/Lectures/01_-_Theme_wise/Srila%20Prabhupada/1995-067_Prabhupada_Night_Lecture_-_Radhanath_Swami_Mumbai_1995-03-23.mp3", "1995-067_Prabhupada_Night_Lecture_-_Radhanath_Swami_Mumbai_1995-03-23.mp3")</f>
        <v>1995-067_Prabhupada_Night_Lecture_-_Radhanath_Swami_Mumbai_1995-03-23.mp3</v>
      </c>
      <c r="D4493" s="24"/>
      <c r="E4493" s="24"/>
    </row>
    <row r="4494">
      <c r="A4494" s="25" t="s">
        <v>18392</v>
      </c>
      <c r="B4494" s="25" t="s">
        <v>18491</v>
      </c>
      <c r="C4494" s="26" t="str">
        <f>HYPERLINK("https://audio.iskcondesiretree.com/02_-_ISKCON_Swamis/ISKCON_Swamis_-_R_to_Y/His_Holiness_Radhanath_Swami/Lectures/01_-_Theme_wise/Srila%20Prabhupada/1995-070_Glorification_Of_Srila_Prabhupada_Lecture_-_Radhanath_Swami_Kurukshetra_1995-03-26.mp3", "1995-070_Glorification_Of_Srila_Prabhupada_Lecture_-_Radhanath_Swami_Kurukshetra_1995-03-26.mp3")</f>
        <v>1995-070_Glorification_Of_Srila_Prabhupada_Lecture_-_Radhanath_Swami_Kurukshetra_1995-03-26.mp3</v>
      </c>
      <c r="D4494" s="24"/>
      <c r="E4494" s="24"/>
    </row>
    <row r="4495">
      <c r="A4495" s="25" t="s">
        <v>18392</v>
      </c>
      <c r="B4495" s="25" t="s">
        <v>18491</v>
      </c>
      <c r="C4495" s="26" t="str">
        <f>HYPERLINK("https://audio.iskcondesiretree.com/02_-_ISKCON_Swamis/ISKCON_Swamis_-_R_to_Y/His_Holiness_Radhanath_Swami/Lectures/01_-_Theme_wise/Srila%20Prabhupada/1995-089_Offring_To_Srila_Prabhupada_Lecture_-_Radhanath_Swami_Mumbai_1995-08-19_IDesireTree.mp3", "1995-089_Offring_To_Srila_Prabhupada_Lecture_-_Radhanath_Swami_Mumbai_1995-08-19_IDesireTree.mp3")</f>
        <v>1995-089_Offring_To_Srila_Prabhupada_Lecture_-_Radhanath_Swami_Mumbai_1995-08-19_IDesireTree.mp3</v>
      </c>
      <c r="D4495" s="24"/>
      <c r="E4495" s="24"/>
    </row>
    <row r="4496">
      <c r="A4496" s="25" t="s">
        <v>18392</v>
      </c>
      <c r="B4496" s="25" t="s">
        <v>18491</v>
      </c>
      <c r="C4496" s="26" t="str">
        <f>HYPERLINK("https://audio.iskcondesiretree.com/02_-_ISKCON_Swamis/ISKCON_Swamis_-_R_to_Y/His_Holiness_Radhanath_Swami/Lectures/01_-_Theme_wise/Srila%20Prabhupada/1995-091_Glories_Of_Srila_Prabhupada_Lecture_-_Radhanath_Swami_Mumbai_1995-08-20_IDesireTree.mp3", "1995-091_Glories_Of_Srila_Prabhupada_Lecture_-_Radhanath_Swami_Mumbai_1995-08-20_IDesireTree.mp3")</f>
        <v>1995-091_Glories_Of_Srila_Prabhupada_Lecture_-_Radhanath_Swami_Mumbai_1995-08-20_IDesireTree.mp3</v>
      </c>
      <c r="D4496" s="24"/>
      <c r="E4496" s="24"/>
    </row>
    <row r="4497">
      <c r="A4497" s="25" t="s">
        <v>18392</v>
      </c>
      <c r="B4497" s="25" t="s">
        <v>18491</v>
      </c>
      <c r="C4497" s="26" t="str">
        <f>HYPERLINK("https://audio.iskcondesiretree.com/02_-_ISKCON_Swamis/ISKCON_Swamis_-_R_to_Y/His_Holiness_Radhanath_Swami/Lectures/01_-_Theme_wise/Srila%20Prabhupada/1995-127_Offering_To_Srila_Prabhupad_Ht_-_Lecture_-_Radhanath_Swami_Mumbai_1995-10-25_IDesireTree.mp3", "1995-127_Offering_To_Srila_Prabhupad_Ht_-_Lecture_-_Radhanath_Swami_Mumbai_1995-10-25_IDesireTree.mp3")</f>
        <v>1995-127_Offering_To_Srila_Prabhupad_Ht_-_Lecture_-_Radhanath_Swami_Mumbai_1995-10-25_IDesireTree.mp3</v>
      </c>
      <c r="D4497" s="24"/>
      <c r="E4497" s="24"/>
    </row>
    <row r="4498">
      <c r="A4498" s="25" t="s">
        <v>18392</v>
      </c>
      <c r="B4498" s="25" t="s">
        <v>18491</v>
      </c>
      <c r="C4498" s="26" t="str">
        <f>HYPERLINK("https://audio.iskcondesiretree.com/02_-_ISKCON_Swamis/ISKCON_Swamis_-_R_to_Y/His_Holiness_Radhanath_Swami/Lectures/01_-_Theme_wise/Srila%20Prabhupada/1996-016_Prabhupada_Premanjali_MT_-_Lecture_-_Radhanath_Swami_Belgaum_1996-01-10_IDesireTree.mp3", "1996-016_Prabhupada_Premanjali_MT_-_Lecture_-_Radhanath_Swami_Belgaum_1996-01-10_IDesireTree.mp3")</f>
        <v>1996-016_Prabhupada_Premanjali_MT_-_Lecture_-_Radhanath_Swami_Belgaum_1996-01-10_IDesireTree.mp3</v>
      </c>
      <c r="D4498" s="24"/>
      <c r="E4498" s="24"/>
    </row>
    <row r="4499">
      <c r="A4499" s="25" t="s">
        <v>18392</v>
      </c>
      <c r="B4499" s="25" t="s">
        <v>18491</v>
      </c>
      <c r="C4499" s="26" t="str">
        <f>HYPERLINK("https://audio.iskcondesiretree.com/02_-_ISKCON_Swamis/ISKCON_Swamis_-_R_to_Y/His_Holiness_Radhanath_Swami/Lectures/01_-_Theme_wise/Srila%20Prabhupada/1996-106_Glories_Of_Srila_Prabhupada_Lecture_-_Radhanath_Swami_Mumbai_1996-08-04_IDesireTree.mp3", "1996-106_Glories_Of_Srila_Prabhupada_Lecture_-_Radhanath_Swami_Mumbai_1996-08-04_IDesireTree.mp3")</f>
        <v>1996-106_Glories_Of_Srila_Prabhupada_Lecture_-_Radhanath_Swami_Mumbai_1996-08-04_IDesireTree.mp3</v>
      </c>
      <c r="D4499" s="24"/>
      <c r="E4499" s="24"/>
    </row>
    <row r="4500">
      <c r="A4500" s="25" t="s">
        <v>18392</v>
      </c>
      <c r="B4500" s="25" t="s">
        <v>18491</v>
      </c>
      <c r="C4500" s="26" t="str">
        <f>HYPERLINK("https://audio.iskcondesiretree.com/02_-_ISKCON_Swamis/ISKCON_Swamis_-_R_to_Y/His_Holiness_Radhanath_Swami/Lectures/01_-_Theme_wise/Srila%20Prabhupada/1996-120_Glories_Of_Srila_Prabhupada_Lecture_-_Radhanath_Swami_Mumbai_1996-09-04_IDesireTree.mp3", "1996-120_Glories_Of_Srila_Prabhupada_Lecture_-_Radhanath_Swami_Mumbai_1996-09-04_IDesireTree.mp3")</f>
        <v>1996-120_Glories_Of_Srila_Prabhupada_Lecture_-_Radhanath_Swami_Mumbai_1996-09-04_IDesireTree.mp3</v>
      </c>
      <c r="D4500" s="24"/>
      <c r="E4500" s="24"/>
    </row>
    <row r="4501">
      <c r="A4501" s="25" t="s">
        <v>18392</v>
      </c>
      <c r="B4501" s="25" t="s">
        <v>18491</v>
      </c>
      <c r="C4501" s="26" t="str">
        <f>HYPERLINK("https://audio.iskcondesiretree.com/02_-_ISKCON_Swamis/ISKCON_Swamis_-_R_to_Y/His_Holiness_Radhanath_Swami/Lectures/01_-_Theme_wise/Srila%20Prabhupada/1996-125_Offering_To_Srila_Prabhupada_Lecture_-_Radhanath_Swami_Mumbai_1996-09-06_IDesireTree.mp3", "1996-125_Offering_To_Srila_Prabhupada_Lecture_-_Radhanath_Swami_Mumbai_1996-09-06_IDesireTree.mp3")</f>
        <v>1996-125_Offering_To_Srila_Prabhupada_Lecture_-_Radhanath_Swami_Mumbai_1996-09-06_IDesireTree.mp3</v>
      </c>
      <c r="D4501" s="24"/>
      <c r="E4501" s="24"/>
    </row>
    <row r="4502">
      <c r="A4502" s="25" t="s">
        <v>18392</v>
      </c>
      <c r="B4502" s="25" t="s">
        <v>18491</v>
      </c>
      <c r="C4502" s="26" t="str">
        <f>HYPERLINK("https://audio.iskcondesiretree.com/02_-_ISKCON_Swamis/ISKCON_Swamis_-_R_to_Y/His_Holiness_Radhanath_Swami/Lectures/01_-_Theme_wise/Srila%20Prabhupada/1996-126_Causeless_Mercy_Of_Srila_Prabhupada_BG_02-70_-_Radhanath_Swami_Mumbai_1996-09-07_IDesireTree.mp3", "1996-126_Causeless_Mercy_Of_Srila_Prabhupada_BG_02-70_-_Radhanath_Swami_Mumbai_1996-09-07_IDesireTree.mp3")</f>
        <v>1996-126_Causeless_Mercy_Of_Srila_Prabhupada_BG_02-70_-_Radhanath_Swami_Mumbai_1996-09-07_IDesireTree.mp3</v>
      </c>
      <c r="D4502" s="24"/>
      <c r="E4502" s="24"/>
    </row>
    <row r="4503">
      <c r="A4503" s="25" t="s">
        <v>18392</v>
      </c>
      <c r="B4503" s="25" t="s">
        <v>18491</v>
      </c>
      <c r="C4503" s="26" t="str">
        <f>HYPERLINK("https://audio.iskcondesiretree.com/02_-_ISKCON_Swamis/ISKCON_Swamis_-_R_to_Y/His_Holiness_Radhanath_Swami/Lectures/01_-_Theme_wise/Srila%20Prabhupada/1996-130_Pastimes_Of_Srila_Prabhupada_Lecture_-_Radhanath_Swami_Mumbai_1996-09-15_IDesireTree.mp3", "1996-130_Pastimes_Of_Srila_Prabhupada_Lecture_-_Radhanath_Swami_Mumbai_1996-09-15_IDesireTree.mp3")</f>
        <v>1996-130_Pastimes_Of_Srila_Prabhupada_Lecture_-_Radhanath_Swami_Mumbai_1996-09-15_IDesireTree.mp3</v>
      </c>
      <c r="D4503" s="24"/>
      <c r="E4503" s="24"/>
    </row>
    <row r="4504">
      <c r="A4504" s="25" t="s">
        <v>18392</v>
      </c>
      <c r="B4504" s="25" t="s">
        <v>18491</v>
      </c>
      <c r="C4504" s="26" t="str">
        <f>HYPERLINK("https://audio.iskcondesiretree.com/02_-_ISKCON_Swamis/ISKCON_Swamis_-_R_to_Y/His_Holiness_Radhanath_Swami/Lectures/01_-_Theme_wise/Srila%20Prabhupada/1997-050_Srila_Prabhupada_Lecture_-_Radhanath_Swami_Mumbai_1997-02-23_IDesireTree.mp3", "1997-050_Srila_Prabhupada_Lecture_-_Radhanath_Swami_Mumbai_1997-02-23_IDesireTree.mp3")</f>
        <v>1997-050_Srila_Prabhupada_Lecture_-_Radhanath_Swami_Mumbai_1997-02-23_IDesireTree.mp3</v>
      </c>
      <c r="D4504" s="24"/>
      <c r="E4504" s="24"/>
    </row>
    <row r="4505">
      <c r="A4505" s="25" t="s">
        <v>18392</v>
      </c>
      <c r="B4505" s="25" t="s">
        <v>18491</v>
      </c>
      <c r="C4505" s="26" t="str">
        <f>HYPERLINK("https://audio.iskcondesiretree.com/02_-_ISKCON_Swamis/ISKCON_Swamis_-_R_to_Y/His_Holiness_Radhanath_Swami/Lectures/01_-_Theme_wise/Srila%20Prabhupada/1997-072_Prabhupada_Nectar_Lecture_-_Radhanath_Swami_Mumbai_1997-05-05_IDesireTree.mp3", "1997-072_Prabhupada_Nectar_Lecture_-_Radhanath_Swami_Mumbai_1997-05-05_IDesireTree.mp3")</f>
        <v>1997-072_Prabhupada_Nectar_Lecture_-_Radhanath_Swami_Mumbai_1997-05-05_IDesireTree.mp3</v>
      </c>
      <c r="D4505" s="24"/>
      <c r="E4505" s="24"/>
    </row>
    <row r="4506">
      <c r="A4506" s="25" t="s">
        <v>18392</v>
      </c>
      <c r="B4506" s="25" t="s">
        <v>18491</v>
      </c>
      <c r="C4506" s="26" t="str">
        <f>HYPERLINK("https://audio.iskcondesiretree.com/02_-_ISKCON_Swamis/ISKCON_Swamis_-_R_to_Y/His_Holiness_Radhanath_Swami/Lectures/01_-_Theme_wise/Srila%20Prabhupada/1997-090_Offering_To_Srila_Prabhupada_Lecture_-_Radhanath_Swami_Mumbai_1997-08-28_IDesireTree.mp3", "1997-090_Offering_To_Srila_Prabhupada_Lecture_-_Radhanath_Swami_Mumbai_1997-08-28_IDesireTree.mp3")</f>
        <v>1997-090_Offering_To_Srila_Prabhupada_Lecture_-_Radhanath_Swami_Mumbai_1997-08-28_IDesireTree.mp3</v>
      </c>
      <c r="D4506" s="24"/>
      <c r="E4506" s="24"/>
    </row>
    <row r="4507">
      <c r="A4507" s="25" t="s">
        <v>18392</v>
      </c>
      <c r="B4507" s="25" t="s">
        <v>18491</v>
      </c>
      <c r="C4507" s="26" t="str">
        <f>HYPERLINK("https://audio.iskcondesiretree.com/02_-_ISKCON_Swamis/ISKCON_Swamis_-_R_to_Y/His_Holiness_Radhanath_Swami/Lectures/01_-_Theme_wise/Srila%20Prabhupada/1997-104_How_I_Meet_Srila_Prabhupada_Lecture_-_Radhanath_Swami_St_IDesireTree.mp3", "1997-104_How_I_Meet_Srila_Prabhupada_Lecture_-_Radhanath_Swami_St_IDesireTree.mp3")</f>
        <v>1997-104_How_I_Meet_Srila_Prabhupada_Lecture_-_Radhanath_Swami_St_IDesireTree.mp3</v>
      </c>
      <c r="D4507" s="24"/>
      <c r="E4507" s="24"/>
    </row>
    <row r="4508">
      <c r="A4508" s="25" t="s">
        <v>18392</v>
      </c>
      <c r="B4508" s="25" t="s">
        <v>18491</v>
      </c>
      <c r="C4508" s="26" t="str">
        <f>HYPERLINK("https://audio.iskcondesiretree.com/02_-_ISKCON_Swamis/ISKCON_Swamis_-_R_to_Y/His_Holiness_Radhanath_Swami/Lectures/01_-_Theme_wise/Srila%20Prabhupada/1998-063_Srila_Prabhupada_Pastimes_Lecture_-_Radhanath_Swami_Mumbai_1998-05-07_IDesireTree.mp3", "1998-063_Srila_Prabhupada_Pastimes_Lecture_-_Radhanath_Swami_Mumbai_1998-05-07_IDesireTree.mp3")</f>
        <v>1998-063_Srila_Prabhupada_Pastimes_Lecture_-_Radhanath_Swami_Mumbai_1998-05-07_IDesireTree.mp3</v>
      </c>
      <c r="D4508" s="24"/>
      <c r="E4508" s="24"/>
    </row>
    <row r="4509">
      <c r="A4509" s="25" t="s">
        <v>18392</v>
      </c>
      <c r="B4509" s="25" t="s">
        <v>18491</v>
      </c>
      <c r="C4509" s="26" t="str">
        <f>HYPERLINK("https://audio.iskcondesiretree.com/02_-_ISKCON_Swamis/ISKCON_Swamis_-_R_to_Y/His_Holiness_Radhanath_Swami/Lectures/01_-_Theme_wise/Srila%20Prabhupada/1998-082_Reading_Prabhupada_Lilamrita_Lecture_-_Radhanath_Swami_Mumbai_1998-09-16_IDesireTree.mp3", "1998-082_Reading_Prabhupada_Lilamrita_Lecture_-_Radhanath_Swami_Mumbai_1998-09-16_IDesireTree.mp3")</f>
        <v>1998-082_Reading_Prabhupada_Lilamrita_Lecture_-_Radhanath_Swami_Mumbai_1998-09-16_IDesireTree.mp3</v>
      </c>
      <c r="D4509" s="24"/>
      <c r="E4509" s="24"/>
    </row>
    <row r="4510">
      <c r="A4510" s="25" t="s">
        <v>18392</v>
      </c>
      <c r="B4510" s="25" t="s">
        <v>18491</v>
      </c>
      <c r="C4510" s="26" t="str">
        <f>HYPERLINK("https://audio.iskcondesiretree.com/02_-_ISKCON_Swamis/ISKCON_Swamis_-_R_to_Y/His_Holiness_Radhanath_Swami/Lectures/01_-_Theme_wise/Srila%20Prabhupada/1999-034_Srila_Prabhupada_Lilamrita_Reading_Lecture_-_Radhanath_Swami_Mumbai_1999-06-24_IDesireTree.mp3", "1999-034_Srila_Prabhupada_Lilamrita_Reading_Lecture_-_Radhanath_Swami_Mumbai_1999-06-24_IDesireTree.mp3")</f>
        <v>1999-034_Srila_Prabhupada_Lilamrita_Reading_Lecture_-_Radhanath_Swami_Mumbai_1999-06-24_IDesireTree.mp3</v>
      </c>
      <c r="D4510" s="24"/>
      <c r="E4510" s="24"/>
    </row>
    <row r="4511">
      <c r="A4511" s="25" t="s">
        <v>18392</v>
      </c>
      <c r="B4511" s="25" t="s">
        <v>18491</v>
      </c>
      <c r="C4511" s="26" t="str">
        <f>HYPERLINK("https://audio.iskcondesiretree.com/02_-_ISKCON_Swamis/ISKCON_Swamis_-_R_to_Y/His_Holiness_Radhanath_Swami/Lectures/01_-_Theme_wise/Srila%20Prabhupada/2000-085_Offering_to_Srila_Prabhupada_At_Radha_Gopinath_Temple_-_Radhanath_Swami_2000-10-31_IDesireTree.m"&amp;"p3", "2000-085_Offering_to_Srila_Prabhupada_At_Radha_Gopinath_Temple_-_Radhanath_Swami_2000-10-31_IDesireTree.mp3")</f>
        <v>2000-085_Offering_to_Srila_Prabhupada_At_Radha_Gopinath_Temple_-_Radhanath_Swami_2000-10-31_IDesireTree.mp3</v>
      </c>
      <c r="D4511" s="24"/>
      <c r="E4511" s="24"/>
    </row>
    <row r="4512">
      <c r="A4512" s="25" t="s">
        <v>18392</v>
      </c>
      <c r="B4512" s="25" t="s">
        <v>18491</v>
      </c>
      <c r="C4512" s="26" t="str">
        <f>HYPERLINK("https://audio.iskcondesiretree.com/02_-_ISKCON_Swamis/ISKCON_Swamis_-_R_to_Y/His_Holiness_Radhanath_Swami/Lectures/01_-_Theme_wise/Srila%20Prabhupada/2001-029_Become_Loyal_To_Srila_Prabhupad_lecture_-_Radhanath_Swami_Mumbai_2001-07-08_IDesireTree.mp3", "2001-029_Become_Loyal_To_Srila_Prabhupad_lecture_-_Radhanath_Swami_Mumbai_2001-07-08_IDesireTree.mp3")</f>
        <v>2001-029_Become_Loyal_To_Srila_Prabhupad_lecture_-_Radhanath_Swami_Mumbai_2001-07-08_IDesireTree.mp3</v>
      </c>
      <c r="D4512" s="24"/>
      <c r="E4512" s="24"/>
    </row>
    <row r="4513">
      <c r="A4513" s="25" t="s">
        <v>18392</v>
      </c>
      <c r="B4513" s="25" t="s">
        <v>18491</v>
      </c>
      <c r="C4513" s="26" t="str">
        <f>HYPERLINK("https://audio.iskcondesiretree.com/02_-_ISKCON_Swamis/ISKCON_Swamis_-_R_to_Y/His_Holiness_Radhanath_Swami/Lectures/01_-_Theme_wise/Srila%20Prabhupada/2001-035_Remember_Srila_Prabhupada_Lecture_-_Radhanath_Swami_Moscow_2001-07-30_IDesireTree.mp3", "2001-035_Remember_Srila_Prabhupada_Lecture_-_Radhanath_Swami_Moscow_2001-07-30_IDesireTree.mp3")</f>
        <v>2001-035_Remember_Srila_Prabhupada_Lecture_-_Radhanath_Swami_Moscow_2001-07-30_IDesireTree.mp3</v>
      </c>
      <c r="D4513" s="24"/>
      <c r="E4513" s="24"/>
    </row>
    <row r="4514">
      <c r="A4514" s="25" t="s">
        <v>18392</v>
      </c>
      <c r="B4514" s="25" t="s">
        <v>18491</v>
      </c>
      <c r="C4514" s="26" t="str">
        <f>HYPERLINK("https://audio.iskcondesiretree.com/02_-_ISKCON_Swamis/ISKCON_Swamis_-_R_to_Y/His_Holiness_Radhanath_Swami/Lectures/01_-_Theme_wise/Srila%20Prabhupada/2003-011_Srila_Prabhupada_Memories_Lecture_-_Radhanath_Swami_Mumbai_2003-01-19_IDesireTree.mp3", "2003-011_Srila_Prabhupada_Memories_Lecture_-_Radhanath_Swami_Mumbai_2003-01-19_IDesireTree.mp3")</f>
        <v>2003-011_Srila_Prabhupada_Memories_Lecture_-_Radhanath_Swami_Mumbai_2003-01-19_IDesireTree.mp3</v>
      </c>
      <c r="D4514" s="24"/>
      <c r="E4514" s="24"/>
    </row>
    <row r="4515">
      <c r="A4515" s="25" t="s">
        <v>18392</v>
      </c>
      <c r="B4515" s="25" t="s">
        <v>18491</v>
      </c>
      <c r="C4515" s="26" t="str">
        <f>HYPERLINK("https://audio.iskcondesiretree.com/02_-_ISKCON_Swamis/ISKCON_Swamis_-_R_to_Y/His_Holiness_Radhanath_Swami/Lectures/01_-_Theme_wise/Srila%20Prabhupada/2003-078_Offering_to_Srila_Prabhupad_Lecture_-_Radhanath_Swami_New_Vrindavan_2003-10-28_IDesireTree.mp3", "2003-078_Offering_to_Srila_Prabhupad_Lecture_-_Radhanath_Swami_New_Vrindavan_2003-10-28_IDesireTree.mp3")</f>
        <v>2003-078_Offering_to_Srila_Prabhupad_Lecture_-_Radhanath_Swami_New_Vrindavan_2003-10-28_IDesireTree.mp3</v>
      </c>
      <c r="D4515" s="24"/>
      <c r="E4515" s="24"/>
    </row>
    <row r="4516">
      <c r="A4516" s="25" t="s">
        <v>18392</v>
      </c>
      <c r="B4516" s="25" t="s">
        <v>18491</v>
      </c>
      <c r="C4516" s="26" t="str">
        <f>HYPERLINK("https://audio.iskcondesiretree.com/02_-_ISKCON_Swamis/ISKCON_Swamis_-_R_to_Y/His_Holiness_Radhanath_Swami/Lectures/01_-_Theme_wise/Srila%20Prabhupada/2003-079_Lilamrta_Lecture_-_Radhanath_Swami_New_Vrindavan_2003-10-29_IDesireTree.mp3", "2003-079_Lilamrta_Lecture_-_Radhanath_Swami_New_Vrindavan_2003-10-29_IDesireTree.mp3")</f>
        <v>2003-079_Lilamrta_Lecture_-_Radhanath_Swami_New_Vrindavan_2003-10-29_IDesireTree.mp3</v>
      </c>
      <c r="D4516" s="24"/>
      <c r="E4516" s="24"/>
    </row>
    <row r="4517">
      <c r="A4517" s="25" t="s">
        <v>18392</v>
      </c>
      <c r="B4517" s="25" t="s">
        <v>18491</v>
      </c>
      <c r="C4517" s="26" t="str">
        <f>HYPERLINK("https://audio.iskcondesiretree.com/02_-_ISKCON_Swamis/ISKCON_Swamis_-_R_to_Y/His_Holiness_Radhanath_Swami/Lectures/01_-_Theme_wise/Srila%20Prabhupada/2003-080_The_Nature_of_Prabhupada%27s_Love_Lecture_-_Radhanath_Swami_New_Vrindavan_2003-10-29_IDesireTree"&amp;".mp3", "2003-080_The_Nature_of_Prabhupada%27s_Love_Lecture_-_Radhanath_Swami_New_Vrindavan_2003-10-29_IDesireTree.mp3")</f>
        <v>2003-080_The_Nature_of_Prabhupada%27s_Love_Lecture_-_Radhanath_Swami_New_Vrindavan_2003-10-29_IDesireTree.mp3</v>
      </c>
      <c r="D4517" s="24"/>
      <c r="E4517" s="24"/>
    </row>
    <row r="4518">
      <c r="A4518" s="25" t="s">
        <v>18392</v>
      </c>
      <c r="B4518" s="25" t="s">
        <v>18492</v>
      </c>
      <c r="C4518" s="26" t="str">
        <f>HYPERLINK("https://audio.iskcondesiretree.com/02_-_ISKCON_Swamis/ISKCON_Swamis_-_R_to_Y/His_Holiness_Radhanath_Swami/Lectures/01_-_Theme_wise/Srimad_Bhagavatham/1989-055_Studying_Bhagavatam_SB_07-10-43-44_-_Radhanath_Swami_Mumbai_1989-09-28_IDesireTree.mp3", "1989-055_Studying_Bhagavatam_SB_07-10-43-44_-_Radhanath_Swami_Mumbai_1989-09-28_IDesireTree.mp3")</f>
        <v>1989-055_Studying_Bhagavatam_SB_07-10-43-44_-_Radhanath_Swami_Mumbai_1989-09-28_IDesireTree.mp3</v>
      </c>
      <c r="D4518" s="24"/>
      <c r="E4518" s="24"/>
    </row>
    <row r="4519">
      <c r="A4519" s="25" t="s">
        <v>18392</v>
      </c>
      <c r="B4519" s="25" t="s">
        <v>18492</v>
      </c>
      <c r="C4519" s="26" t="str">
        <f>HYPERLINK("https://audio.iskcondesiretree.com/02_-_ISKCON_Swamis/ISKCON_Swamis_-_R_to_Y/His_Holiness_Radhanath_Swami/Lectures/01_-_Theme_wise/Srimad_Bhagavatham/1991-079_Pure_Bhagavat_Philosophy_SB_10-01-14_-_Radhanath_Swami_Mumbai_1991-10-15_IDesireTree.mp3", "1991-079_Pure_Bhagavat_Philosophy_SB_10-01-14_-_Radhanath_Swami_Mumbai_1991-10-15_IDesireTree.mp3")</f>
        <v>1991-079_Pure_Bhagavat_Philosophy_SB_10-01-14_-_Radhanath_Swami_Mumbai_1991-10-15_IDesireTree.mp3</v>
      </c>
      <c r="D4519" s="24"/>
      <c r="E4519" s="24"/>
    </row>
    <row r="4520">
      <c r="A4520" s="25" t="s">
        <v>18392</v>
      </c>
      <c r="B4520" s="25" t="s">
        <v>18492</v>
      </c>
      <c r="C4520" s="26" t="str">
        <f>HYPERLINK("https://audio.iskcondesiretree.com/02_-_ISKCON_Swamis/ISKCON_Swamis_-_R_to_Y/His_Holiness_Radhanath_Swami/Lectures/01_-_Theme_wise/Srimad_Bhagavatham/1992-018_Reading_The_Bhagvatam_SB_10-04-20_-_Radhanath_Swami_Mumbai_1992-01-30_IDesireTree.mp3", "1992-018_Reading_The_Bhagvatam_SB_10-04-20_-_Radhanath_Swami_Mumbai_1992-01-30_IDesireTree.mp3")</f>
        <v>1992-018_Reading_The_Bhagvatam_SB_10-04-20_-_Radhanath_Swami_Mumbai_1992-01-30_IDesireTree.mp3</v>
      </c>
      <c r="D4520" s="24"/>
      <c r="E4520" s="24"/>
    </row>
    <row r="4521">
      <c r="A4521" s="25" t="s">
        <v>18392</v>
      </c>
      <c r="B4521" s="25" t="s">
        <v>18492</v>
      </c>
      <c r="C4521" s="26" t="str">
        <f>HYPERLINK("https://audio.iskcondesiretree.com/02_-_ISKCON_Swamis/ISKCON_Swamis_-_R_to_Y/His_Holiness_Radhanath_Swami/Lectures/01_-_Theme_wise/Srimad_Bhagavatham/1997-049_Glories_of_Srimad_Bhagavatam_SB_02-08-02_-_Radhanath_Swami_Mumbai_1997-02-23_IDesireTree.mp3", "1997-049_Glories_of_Srimad_Bhagavatam_SB_02-08-02_-_Radhanath_Swami_Mumbai_1997-02-23_IDesireTree.mp3")</f>
        <v>1997-049_Glories_of_Srimad_Bhagavatam_SB_02-08-02_-_Radhanath_Swami_Mumbai_1997-02-23_IDesireTree.mp3</v>
      </c>
      <c r="D4521" s="24"/>
      <c r="E4521" s="24"/>
    </row>
    <row r="4522">
      <c r="A4522" s="25" t="s">
        <v>18392</v>
      </c>
      <c r="B4522" s="25" t="s">
        <v>18492</v>
      </c>
      <c r="C4522" s="26" t="str">
        <f>HYPERLINK("https://audio.iskcondesiretree.com/02_-_ISKCON_Swamis/ISKCON_Swamis_-_R_to_Y/His_Holiness_Radhanath_Swami/Lectures/01_-_Theme_wise/Srimad_Bhagavatham/1997-076_Chatusshloki_Bhagavatam_SB_02-09-35-36_-_Radhanath_Swami_Mumbai_1997-05-14_IDesireTree.mp3", "1997-076_Chatusshloki_Bhagavatam_SB_02-09-35-36_-_Radhanath_Swami_Mumbai_1997-05-14_IDesireTree.mp3")</f>
        <v>1997-076_Chatusshloki_Bhagavatam_SB_02-09-35-36_-_Radhanath_Swami_Mumbai_1997-05-14_IDesireTree.mp3</v>
      </c>
      <c r="D4522" s="24"/>
      <c r="E4522" s="24"/>
    </row>
    <row r="4523">
      <c r="A4523" s="25" t="s">
        <v>18392</v>
      </c>
      <c r="B4523" s="25" t="s">
        <v>18492</v>
      </c>
      <c r="C4523" s="26" t="str">
        <f>HYPERLINK("https://audio.iskcondesiretree.com/02_-_ISKCON_Swamis/ISKCON_Swamis_-_R_to_Y/His_Holiness_Radhanath_Swami/Lectures/01_-_Theme_wise/Srimad_Bhagavatham/1997-132_Right_Approach_To_Bhagavatam_SB_05-04-08_-_Radhanath_Swami_Mayapur_1997-10-27_IDesireTree.mp3", "1997-132_Right_Approach_To_Bhagavatam_SB_05-04-08_-_Radhanath_Swami_Mayapur_1997-10-27_IDesireTree.mp3")</f>
        <v>1997-132_Right_Approach_To_Bhagavatam_SB_05-04-08_-_Radhanath_Swami_Mayapur_1997-10-27_IDesireTree.mp3</v>
      </c>
      <c r="D4523" s="24"/>
      <c r="E4523" s="24"/>
    </row>
    <row r="4524">
      <c r="A4524" s="25" t="s">
        <v>18392</v>
      </c>
      <c r="B4524" s="25" t="s">
        <v>18493</v>
      </c>
      <c r="C4524" s="26" t="str">
        <f>HYPERLINK("https://audio.iskcondesiretree.com/02_-_ISKCON_Swamis/ISKCON_Swamis_-_R_to_Y/His_Holiness_Radhanath_Swami/Lectures/01_-_Theme_wise/Submissiveness/1991-063_Obedience_To_Guru_Parampara_CC_AL_01-02_-_Radhanath_Swami_Mumbai_1991-06-08_IDesireTree.mp3", "1991-063_Obedience_To_Guru_Parampara_CC_AL_01-02_-_Radhanath_Swami_Mumbai_1991-06-08_IDesireTree.mp3")</f>
        <v>1991-063_Obedience_To_Guru_Parampara_CC_AL_01-02_-_Radhanath_Swami_Mumbai_1991-06-08_IDesireTree.mp3</v>
      </c>
      <c r="D4524" s="24"/>
      <c r="E4524" s="24"/>
    </row>
    <row r="4525">
      <c r="A4525" s="25" t="s">
        <v>18392</v>
      </c>
      <c r="B4525" s="25" t="s">
        <v>18493</v>
      </c>
      <c r="C4525" s="26" t="str">
        <f>HYPERLINK("https://audio.iskcondesiretree.com/02_-_ISKCON_Swamis/ISKCON_Swamis_-_R_to_Y/His_Holiness_Radhanath_Swami/Lectures/01_-_Theme_wise/Submissiveness/1992-066_Submissive_Approach_To_Guru_BG_02-45_-_Radhanath_Swami_1992-06-09_IDesireTree.mp3", "1992-066_Submissive_Approach_To_Guru_BG_02-45_-_Radhanath_Swami_1992-06-09_IDesireTree.mp3")</f>
        <v>1992-066_Submissive_Approach_To_Guru_BG_02-45_-_Radhanath_Swami_1992-06-09_IDesireTree.mp3</v>
      </c>
      <c r="D4525" s="24"/>
      <c r="E4525" s="24"/>
    </row>
    <row r="4526">
      <c r="A4526" s="25" t="s">
        <v>18392</v>
      </c>
      <c r="B4526" s="25" t="s">
        <v>18493</v>
      </c>
      <c r="C4526" s="26" t="str">
        <f>HYPERLINK("https://audio.iskcondesiretree.com/02_-_ISKCON_Swamis/ISKCON_Swamis_-_R_to_Y/His_Holiness_Radhanath_Swami/Lectures/01_-_Theme_wise/Submissiveness/1992-086_Spiritual_Chastisement_BG_02-11_-_Radhanath_Swami_Mumbai_1992-08-23_IDesireTree.mp3", "1992-086_Spiritual_Chastisement_BG_02-11_-_Radhanath_Swami_Mumbai_1992-08-23_IDesireTree.mp3")</f>
        <v>1992-086_Spiritual_Chastisement_BG_02-11_-_Radhanath_Swami_Mumbai_1992-08-23_IDesireTree.mp3</v>
      </c>
      <c r="D4526" s="24"/>
      <c r="E4526" s="24"/>
    </row>
    <row r="4527">
      <c r="A4527" s="25" t="s">
        <v>18392</v>
      </c>
      <c r="B4527" s="25" t="s">
        <v>18493</v>
      </c>
      <c r="C4527" s="26" t="str">
        <f>HYPERLINK("https://audio.iskcondesiretree.com/02_-_ISKCON_Swamis/ISKCON_Swamis_-_R_to_Y/His_Holiness_Radhanath_Swami/Lectures/01_-_Theme_wise/Submissiveness/1994-135_Submitting_To_The_Parampara_SB_01-04-01_-_Radhanath_Swami_Mumbai_1994-09-07_IDesireTree.mp3", "1994-135_Submitting_To_The_Parampara_SB_01-04-01_-_Radhanath_Swami_Mumbai_1994-09-07_IDesireTree.mp3")</f>
        <v>1994-135_Submitting_To_The_Parampara_SB_01-04-01_-_Radhanath_Swami_Mumbai_1994-09-07_IDesireTree.mp3</v>
      </c>
      <c r="D4527" s="24"/>
      <c r="E4527" s="24"/>
    </row>
    <row r="4528">
      <c r="A4528" s="25" t="s">
        <v>18392</v>
      </c>
      <c r="B4528" s="25" t="s">
        <v>18493</v>
      </c>
      <c r="C4528" s="26" t="str">
        <f>HYPERLINK("https://audio.iskcondesiretree.com/02_-_ISKCON_Swamis/ISKCON_Swamis_-_R_to_Y/His_Holiness_Radhanath_Swami/Lectures/01_-_Theme_wise/Submissiveness/1997-047_Become_Submissive_SB_02-08-01_-_Radhanath_Swami_Mumbai_1997-02-22_IDesireTree.mp3", "1997-047_Become_Submissive_SB_02-08-01_-_Radhanath_Swami_Mumbai_1997-02-22_IDesireTree.mp3")</f>
        <v>1997-047_Become_Submissive_SB_02-08-01_-_Radhanath_Swami_Mumbai_1997-02-22_IDesireTree.mp3</v>
      </c>
      <c r="D4528" s="24"/>
      <c r="E4528" s="24"/>
    </row>
    <row r="4529">
      <c r="A4529" s="25" t="s">
        <v>18392</v>
      </c>
      <c r="B4529" s="25" t="s">
        <v>18493</v>
      </c>
      <c r="C4529" s="26" t="str">
        <f>HYPERLINK("https://audio.iskcondesiretree.com/02_-_ISKCON_Swamis/ISKCON_Swamis_-_R_to_Y/His_Holiness_Radhanath_Swami/Lectures/01_-_Theme_wise/Submissiveness/1998-092_Preach_Only_When_You_Receive_the_Order_Lecture_-_Radhanath_Swami_Mumbai_1997-09-28_IDesireTree.mp3", "1998-092_Preach_Only_When_You_Receive_the_Order_Lecture_-_Radhanath_Swami_Mumbai_1997-09-28_IDesireTree.mp3")</f>
        <v>1998-092_Preach_Only_When_You_Receive_the_Order_Lecture_-_Radhanath_Swami_Mumbai_1997-09-28_IDesireTree.mp3</v>
      </c>
      <c r="D4529" s="24"/>
      <c r="E4529" s="24"/>
    </row>
    <row r="4530">
      <c r="A4530" s="25" t="s">
        <v>18392</v>
      </c>
      <c r="B4530" s="25" t="s">
        <v>18494</v>
      </c>
      <c r="C4530" s="26" t="str">
        <f>HYPERLINK("https://audio.iskcondesiretree.com/02_-_ISKCON_Swamis/ISKCON_Swamis_-_R_to_Y/His_Holiness_Radhanath_Swami/Lectures/01_-_Theme_wise/Suffering_How_to_handle/1989-004_Unfortunates_Are_Fortunates_SB_07-15-68_-_Radhanath_Swami_Mumbai_-_29-03-89_IDesireTree.mp3", "1989-004_Unfortunates_Are_Fortunates_SB_07-15-68_-_Radhanath_Swami_Mumbai_-_29-03-89_IDesireTree.mp3")</f>
        <v>1989-004_Unfortunates_Are_Fortunates_SB_07-15-68_-_Radhanath_Swami_Mumbai_-_29-03-89_IDesireTree.mp3</v>
      </c>
      <c r="D4530" s="24"/>
      <c r="E4530" s="24"/>
    </row>
    <row r="4531">
      <c r="A4531" s="25" t="s">
        <v>18392</v>
      </c>
      <c r="B4531" s="25" t="s">
        <v>18494</v>
      </c>
      <c r="C4531" s="26" t="str">
        <f>HYPERLINK("https://audio.iskcondesiretree.com/02_-_ISKCON_Swamis/ISKCON_Swamis_-_R_to_Y/His_Holiness_Radhanath_Swami/Lectures/01_-_Theme_wise/Suffering_How_to_handle/1991-093_Calling_With_Helplessness_SB_10-01-20_-_Radhanath_Swami_Mumbai_1991-10-20_IDesireTree.mp3", "1991-093_Calling_With_Helplessness_SB_10-01-20_-_Radhanath_Swami_Mumbai_1991-10-20_IDesireTree.mp3")</f>
        <v>1991-093_Calling_With_Helplessness_SB_10-01-20_-_Radhanath_Swami_Mumbai_1991-10-20_IDesireTree.mp3</v>
      </c>
      <c r="D4531" s="24"/>
      <c r="E4531" s="24"/>
    </row>
    <row r="4532">
      <c r="A4532" s="25" t="s">
        <v>18392</v>
      </c>
      <c r="B4532" s="25" t="s">
        <v>18494</v>
      </c>
      <c r="C4532" s="26" t="str">
        <f>HYPERLINK("https://audio.iskcondesiretree.com/02_-_ISKCON_Swamis/ISKCON_Swamis_-_R_to_Y/His_Holiness_Radhanath_Swami/Lectures/01_-_Theme_wise/Suffering_How_to_handle/1992-088_Real_Cause_Of_Suffering_SB_11-23-42-43_-_Radhanath_Swami_Mumbai_1992-08-24_IDesireTree.mp3", "1992-088_Real_Cause_Of_Suffering_SB_11-23-42-43_-_Radhanath_Swami_Mumbai_1992-08-24_IDesireTree.mp3")</f>
        <v>1992-088_Real_Cause_Of_Suffering_SB_11-23-42-43_-_Radhanath_Swami_Mumbai_1992-08-24_IDesireTree.mp3</v>
      </c>
      <c r="D4532" s="24"/>
      <c r="E4532" s="24"/>
    </row>
    <row r="4533">
      <c r="A4533" s="25" t="s">
        <v>18392</v>
      </c>
      <c r="B4533" s="25" t="s">
        <v>18494</v>
      </c>
      <c r="C4533" s="26" t="str">
        <f>HYPERLINK("https://audio.iskcondesiretree.com/02_-_ISKCON_Swamis/ISKCON_Swamis_-_R_to_Y/His_Holiness_Radhanath_Swami/Lectures/01_-_Theme_wise/Suffering_How_to_handle/1995-071_Material_Life_Means_Suffering_HT_-_BG_06-40_-_Radhanath_Swami_Kurukshetra_1995-03-27.mp3", "1995-071_Material_Life_Means_Suffering_HT_-_BG_06-40_-_Radhanath_Swami_Kurukshetra_1995-03-27.mp3")</f>
        <v>1995-071_Material_Life_Means_Suffering_HT_-_BG_06-40_-_Radhanath_Swami_Kurukshetra_1995-03-27.mp3</v>
      </c>
      <c r="D4533" s="24"/>
      <c r="E4533" s="24"/>
    </row>
    <row r="4534">
      <c r="A4534" s="25" t="s">
        <v>18392</v>
      </c>
      <c r="B4534" s="25" t="s">
        <v>18494</v>
      </c>
      <c r="C4534" s="26" t="str">
        <f>HYPERLINK("https://audio.iskcondesiretree.com/02_-_ISKCON_Swamis/ISKCON_Swamis_-_R_to_Y/His_Holiness_Radhanath_Swami/Lectures/01_-_Theme_wise/Suffering_How_to_handle/1997-031_Material_Problems_And_Spiritual_Solution_Lecture_Mumbai_-_07-02-97_IDesireTree.mp3", "1997-031_Material_Problems_And_Spiritual_Solution_Lecture_Mumbai_-_07-02-97_IDesireTree.mp3")</f>
        <v>1997-031_Material_Problems_And_Spiritual_Solution_Lecture_Mumbai_-_07-02-97_IDesireTree.mp3</v>
      </c>
      <c r="D4534" s="24"/>
      <c r="E4534" s="24"/>
    </row>
    <row r="4535">
      <c r="A4535" s="25" t="s">
        <v>18392</v>
      </c>
      <c r="B4535" s="25" t="s">
        <v>18494</v>
      </c>
      <c r="C4535" s="26" t="str">
        <f>HYPERLINK("https://audio.iskcondesiretree.com/02_-_ISKCON_Swamis/ISKCON_Swamis_-_R_to_Y/His_Holiness_Radhanath_Swami/Lectures/01_-_Theme_wise/Suffering_How_to_handle/1998-096_Identify_Yourself_Properly_SB_03-02-29_-_Radhanath_Swami_Mumbai_1997-10-07_IDesireTree.mp3", "1998-096_Identify_Yourself_Properly_SB_03-02-29_-_Radhanath_Swami_Mumbai_1997-10-07_IDesireTree.mp3")</f>
        <v>1998-096_Identify_Yourself_Properly_SB_03-02-29_-_Radhanath_Swami_Mumbai_1997-10-07_IDesireTree.mp3</v>
      </c>
      <c r="D4535" s="24"/>
      <c r="E4535" s="24"/>
    </row>
    <row r="4536">
      <c r="A4536" s="25" t="s">
        <v>18392</v>
      </c>
      <c r="B4536" s="25" t="s">
        <v>18495</v>
      </c>
      <c r="C4536" s="26" t="str">
        <f>HYPERLINK("https://audio.iskcondesiretree.com/02_-_ISKCON_Swamis/ISKCON_Swamis_-_R_to_Y/His_Holiness_Radhanath_Swami/Lectures/01_-_Theme_wise/Surrender/1990-049_Krsna_Needs_Your_Surrender_SB_08-01-15_-_Radhanath_Swami_Mumbai_1990-04-30_IDesireTree.mp3", "1990-049_Krsna_Needs_Your_Surrender_SB_08-01-15_-_Radhanath_Swami_Mumbai_1990-04-30_IDesireTree.mp3")</f>
        <v>1990-049_Krsna_Needs_Your_Surrender_SB_08-01-15_-_Radhanath_Swami_Mumbai_1990-04-30_IDesireTree.mp3</v>
      </c>
      <c r="D4536" s="24"/>
      <c r="E4536" s="24"/>
    </row>
    <row r="4537">
      <c r="A4537" s="25" t="s">
        <v>18392</v>
      </c>
      <c r="B4537" s="25" t="s">
        <v>18495</v>
      </c>
      <c r="C4537" s="26" t="str">
        <f>HYPERLINK("https://audio.iskcondesiretree.com/02_-_ISKCON_Swamis/ISKCON_Swamis_-_R_to_Y/His_Holiness_Radhanath_Swami/Lectures/01_-_Theme_wise/Surrender/1990-051_What_Surrender_Means_SB-08_02_31-32_-_Radhanath_Swami_Mumbai_1990-05-20_IDesireTree.mp3", "1990-051_What_Surrender_Means_SB-08_02_31-32_-_Radhanath_Swami_Mumbai_1990-05-20_IDesireTree.mp3")</f>
        <v>1990-051_What_Surrender_Means_SB-08_02_31-32_-_Radhanath_Swami_Mumbai_1990-05-20_IDesireTree.mp3</v>
      </c>
      <c r="D4537" s="24"/>
      <c r="E4537" s="24"/>
    </row>
    <row r="4538">
      <c r="A4538" s="25" t="s">
        <v>18392</v>
      </c>
      <c r="B4538" s="25" t="s">
        <v>18495</v>
      </c>
      <c r="C4538" s="26" t="str">
        <f>HYPERLINK("https://audio.iskcondesiretree.com/02_-_ISKCON_Swamis/ISKCON_Swamis_-_R_to_Y/His_Holiness_Radhanath_Swami/Lectures/01_-_Theme_wise/Surrender/1990-077_Surrendering_Everything_Lecture_-_Radhanath_Swami_Mumbai_1990-09-02_IDesireTree.mp3", "1990-077_Surrendering_Everything_Lecture_-_Radhanath_Swami_Mumbai_1990-09-02_IDesireTree.mp3")</f>
        <v>1990-077_Surrendering_Everything_Lecture_-_Radhanath_Swami_Mumbai_1990-09-02_IDesireTree.mp3</v>
      </c>
      <c r="D4538" s="24"/>
      <c r="E4538" s="24"/>
    </row>
    <row r="4539">
      <c r="A4539" s="25" t="s">
        <v>18392</v>
      </c>
      <c r="B4539" s="25" t="s">
        <v>18495</v>
      </c>
      <c r="C4539" s="26" t="str">
        <f>HYPERLINK("https://audio.iskcondesiretree.com/02_-_ISKCON_Swamis/ISKCON_Swamis_-_R_to_Y/His_Holiness_Radhanath_Swami/Lectures/01_-_Theme_wise/Surrender/1991-023_Surrender_To_His_Love_And_Mercy_Lecture_-_Radhanath_Swami_Mumbai_1991-02-27_IDesireTree.mp3", "1991-023_Surrender_To_His_Love_And_Mercy_Lecture_-_Radhanath_Swami_Mumbai_1991-02-27_IDesireTree.mp3")</f>
        <v>1991-023_Surrender_To_His_Love_And_Mercy_Lecture_-_Radhanath_Swami_Mumbai_1991-02-27_IDesireTree.mp3</v>
      </c>
      <c r="D4539" s="24"/>
      <c r="E4539" s="24"/>
    </row>
    <row r="4540">
      <c r="A4540" s="25" t="s">
        <v>18392</v>
      </c>
      <c r="B4540" s="25" t="s">
        <v>18495</v>
      </c>
      <c r="C4540" s="26" t="str">
        <f>HYPERLINK("https://audio.iskcondesiretree.com/02_-_ISKCON_Swamis/ISKCON_Swamis_-_R_to_Y/His_Holiness_Radhanath_Swami/Lectures/01_-_Theme_wise/Surrender/1991-031_Surrender_And_Faith_BG_11-30-32_-_Radhanath_Swami_Mumbai_1991-03-08_IDesireTree.mp3", "1991-031_Surrender_And_Faith_BG_11-30-32_-_Radhanath_Swami_Mumbai_1991-03-08_IDesireTree.mp3")</f>
        <v>1991-031_Surrender_And_Faith_BG_11-30-32_-_Radhanath_Swami_Mumbai_1991-03-08_IDesireTree.mp3</v>
      </c>
      <c r="D4540" s="24"/>
      <c r="E4540" s="24"/>
    </row>
    <row r="4541">
      <c r="A4541" s="25" t="s">
        <v>18392</v>
      </c>
      <c r="B4541" s="25" t="s">
        <v>18495</v>
      </c>
      <c r="C4541" s="26" t="str">
        <f>HYPERLINK("https://audio.iskcondesiretree.com/02_-_ISKCON_Swamis/ISKCON_Swamis_-_R_to_Y/His_Holiness_Radhanath_Swami/Lectures/01_-_Theme_wise/Surrender/1991-124_Exalted_Surrender_Of_Lord%27s_Pure_Devotees_SB_10-02-17_-_Radhanath_Swami_Mumbai_1991-11-26_IDesireTree.m"&amp;"p3", "1991-124_Exalted_Surrender_Of_Lord%27s_Pure_Devotees_SB_10-02-17_-_Radhanath_Swami_Mumbai_1991-11-26_IDesireTree.mp3")</f>
        <v>1991-124_Exalted_Surrender_Of_Lord%27s_Pure_Devotees_SB_10-02-17_-_Radhanath_Swami_Mumbai_1991-11-26_IDesireTree.mp3</v>
      </c>
      <c r="D4541" s="24"/>
      <c r="E4541" s="24"/>
    </row>
    <row r="4542">
      <c r="A4542" s="25" t="s">
        <v>18392</v>
      </c>
      <c r="B4542" s="25" t="s">
        <v>18495</v>
      </c>
      <c r="C4542" s="26" t="str">
        <f>HYPERLINK("https://audio.iskcondesiretree.com/02_-_ISKCON_Swamis/ISKCON_Swamis_-_R_to_Y/His_Holiness_Radhanath_Swami/Lectures/01_-_Theme_wise/Surrender/1992-124_The_Gift_Of_Surrendering_BG_18-78_-_Radhanath_Swami_Mumbai_1992-11-21_IDesireTree.mp3", "1992-124_The_Gift_Of_Surrendering_BG_18-78_-_Radhanath_Swami_Mumbai_1992-11-21_IDesireTree.mp3")</f>
        <v>1992-124_The_Gift_Of_Surrendering_BG_18-78_-_Radhanath_Swami_Mumbai_1992-11-21_IDesireTree.mp3</v>
      </c>
      <c r="D4542" s="24"/>
      <c r="E4542" s="24"/>
    </row>
    <row r="4543">
      <c r="A4543" s="25" t="s">
        <v>18392</v>
      </c>
      <c r="B4543" s="25" t="s">
        <v>18495</v>
      </c>
      <c r="C4543" s="26" t="str">
        <f>HYPERLINK("https://audio.iskcondesiretree.com/02_-_ISKCON_Swamis/ISKCON_Swamis_-_R_to_Y/His_Holiness_Radhanath_Swami/Lectures/01_-_Theme_wise/Surrender/1992-140_Only_Surrender_SB_02-04-21_-_Radhanath_Swami_Mumbai_1992-12-13_IDesireTree.mp3", "1992-140_Only_Surrender_SB_02-04-21_-_Radhanath_Swami_Mumbai_1992-12-13_IDesireTree.mp3")</f>
        <v>1992-140_Only_Surrender_SB_02-04-21_-_Radhanath_Swami_Mumbai_1992-12-13_IDesireTree.mp3</v>
      </c>
      <c r="D4543" s="24"/>
      <c r="E4543" s="24"/>
    </row>
    <row r="4544">
      <c r="A4544" s="25" t="s">
        <v>18392</v>
      </c>
      <c r="B4544" s="25" t="s">
        <v>18495</v>
      </c>
      <c r="C4544" s="26" t="str">
        <f>HYPERLINK("https://audio.iskcondesiretree.com/02_-_ISKCON_Swamis/ISKCON_Swamis_-_R_to_Y/His_Holiness_Radhanath_Swami/Lectures/01_-_Theme_wise/Surrender/1993-190_Dhritarashtra_Surrenders_SB_10-49-29-31_-_Radhanath_Swami_Mumbai_1993-12-20_IDesireTree.mp3", "1993-190_Dhritarashtra_Surrenders_SB_10-49-29-31_-_Radhanath_Swami_Mumbai_1993-12-20_IDesireTree.mp3")</f>
        <v>1993-190_Dhritarashtra_Surrenders_SB_10-49-29-31_-_Radhanath_Swami_Mumbai_1993-12-20_IDesireTree.mp3</v>
      </c>
      <c r="D4544" s="24"/>
      <c r="E4544" s="24"/>
    </row>
    <row r="4545">
      <c r="A4545" s="25" t="s">
        <v>18392</v>
      </c>
      <c r="B4545" s="25" t="s">
        <v>18495</v>
      </c>
      <c r="C4545" s="26" t="str">
        <f>HYPERLINK("https://audio.iskcondesiretree.com/02_-_ISKCON_Swamis/ISKCON_Swamis_-_R_to_Y/His_Holiness_Radhanath_Swami/Lectures/01_-_Theme_wise/Surrender/1994-022_Krishna_Protects_Those_Who_Surrender_BG_09-22_-_Radhanath_Swami_Kurukshetra_1994-02-08_IDesireTree.mp3", "1994-022_Krishna_Protects_Those_Who_Surrender_BG_09-22_-_Radhanath_Swami_Kurukshetra_1994-02-08_IDesireTree.mp3")</f>
        <v>1994-022_Krishna_Protects_Those_Who_Surrender_BG_09-22_-_Radhanath_Swami_Kurukshetra_1994-02-08_IDesireTree.mp3</v>
      </c>
      <c r="D4545" s="24"/>
      <c r="E4545" s="24"/>
    </row>
    <row r="4546">
      <c r="A4546" s="25" t="s">
        <v>18392</v>
      </c>
      <c r="B4546" s="25" t="s">
        <v>18495</v>
      </c>
      <c r="C4546" s="26" t="str">
        <f>HYPERLINK("https://audio.iskcondesiretree.com/02_-_ISKCON_Swamis/ISKCON_Swamis_-_R_to_Y/His_Holiness_Radhanath_Swami/Lectures/01_-_Theme_wise/Surrender/1994-039_Surrender-_By_Realisation_Lecture_-_Radhanath_Swami_Mumbai_1994-02-21_IDesireTree.mp3", "1994-039_Surrender-_By_Realisation_Lecture_-_Radhanath_Swami_Mumbai_1994-02-21_IDesireTree.mp3")</f>
        <v>1994-039_Surrender-_By_Realisation_Lecture_-_Radhanath_Swami_Mumbai_1994-02-21_IDesireTree.mp3</v>
      </c>
      <c r="D4546" s="24"/>
      <c r="E4546" s="24"/>
    </row>
    <row r="4547">
      <c r="A4547" s="25" t="s">
        <v>18392</v>
      </c>
      <c r="B4547" s="25" t="s">
        <v>18495</v>
      </c>
      <c r="C4547" s="26" t="str">
        <f>HYPERLINK("https://audio.iskcondesiretree.com/02_-_ISKCON_Swamis/ISKCON_Swamis_-_R_to_Y/His_Holiness_Radhanath_Swami/Lectures/01_-_Theme_wise/Surrender/1994-054_Surrendering_Everything_SB_08-18-23-25_-_Radhanath_Swami_Mumbai_1994-03-25_IDesireTree.mp3", "1994-054_Surrendering_Everything_SB_08-18-23-25_-_Radhanath_Swami_Mumbai_1994-03-25_IDesireTree.mp3")</f>
        <v>1994-054_Surrendering_Everything_SB_08-18-23-25_-_Radhanath_Swami_Mumbai_1994-03-25_IDesireTree.mp3</v>
      </c>
      <c r="D4547" s="24"/>
      <c r="E4547" s="24"/>
    </row>
    <row r="4548">
      <c r="A4548" s="25" t="s">
        <v>18392</v>
      </c>
      <c r="B4548" s="25" t="s">
        <v>18495</v>
      </c>
      <c r="C4548" s="26" t="str">
        <f>HYPERLINK("https://audio.iskcondesiretree.com/02_-_ISKCON_Swamis/ISKCON_Swamis_-_R_to_Y/His_Holiness_Radhanath_Swami/Lectures/01_-_Theme_wise/Surrender/1994-082_Importance_Of_Surrender_SB_07-01-07_-_Radhanath_Swami_Mumbai_1994-05-12_IDesireTree.mp3", "1994-082_Importance_Of_Surrender_SB_07-01-07_-_Radhanath_Swami_Mumbai_1994-05-12_IDesireTree.mp3")</f>
        <v>1994-082_Importance_Of_Surrender_SB_07-01-07_-_Radhanath_Swami_Mumbai_1994-05-12_IDesireTree.mp3</v>
      </c>
      <c r="D4548" s="24"/>
      <c r="E4548" s="24"/>
    </row>
    <row r="4549">
      <c r="A4549" s="25" t="s">
        <v>18392</v>
      </c>
      <c r="B4549" s="25" t="s">
        <v>18495</v>
      </c>
      <c r="C4549" s="26" t="str">
        <f>HYPERLINK("https://audio.iskcondesiretree.com/02_-_ISKCON_Swamis/ISKCON_Swamis_-_R_to_Y/His_Holiness_Radhanath_Swami/Lectures/01_-_Theme_wise/Surrender/1994-137_Surrender_To_the_Order_SB_01-03-42_-_Radhanath_Swami_Mumbai_1994-09-04_IDesireTree.mp3", "1994-137_Surrender_To_the_Order_SB_01-03-42_-_Radhanath_Swami_Mumbai_1994-09-04_IDesireTree.mp3")</f>
        <v>1994-137_Surrender_To_the_Order_SB_01-03-42_-_Radhanath_Swami_Mumbai_1994-09-04_IDesireTree.mp3</v>
      </c>
      <c r="D4549" s="24"/>
      <c r="E4549" s="24"/>
    </row>
    <row r="4550">
      <c r="A4550" s="25" t="s">
        <v>18392</v>
      </c>
      <c r="B4550" s="25" t="s">
        <v>18495</v>
      </c>
      <c r="C4550" s="26" t="str">
        <f>HYPERLINK("https://audio.iskcondesiretree.com/02_-_ISKCON_Swamis/ISKCON_Swamis_-_R_to_Y/His_Holiness_Radhanath_Swami/Lectures/01_-_Theme_wise/Surrender/1996-149_Surrender_With_Humility_BG_02-04-07_-_Radhanath_Swami_Mumbai_1996-10-06_IDesireTree.mp3", "1996-149_Surrender_With_Humility_BG_02-04-07_-_Radhanath_Swami_Mumbai_1996-10-06_IDesireTree.mp3")</f>
        <v>1996-149_Surrender_With_Humility_BG_02-04-07_-_Radhanath_Swami_Mumbai_1996-10-06_IDesireTree.mp3</v>
      </c>
      <c r="D4550" s="24"/>
      <c r="E4550" s="24"/>
    </row>
    <row r="4551">
      <c r="A4551" s="25" t="s">
        <v>18392</v>
      </c>
      <c r="B4551" s="25" t="s">
        <v>18495</v>
      </c>
      <c r="C4551" s="26" t="str">
        <f>HYPERLINK("https://audio.iskcondesiretree.com/02_-_ISKCON_Swamis/ISKCON_Swamis_-_R_to_Y/His_Holiness_Radhanath_Swami/Lectures/01_-_Theme_wise/Surrender/1996-155_Knowledge_By_Utter_Surrender_SB_02-04-23_-_Radhanath_Swami_Mumbai_1996-10-19_IDesireTree.mp3", "1996-155_Knowledge_By_Utter_Surrender_SB_02-04-23_-_Radhanath_Swami_Mumbai_1996-10-19_IDesireTree.mp3")</f>
        <v>1996-155_Knowledge_By_Utter_Surrender_SB_02-04-23_-_Radhanath_Swami_Mumbai_1996-10-19_IDesireTree.mp3</v>
      </c>
      <c r="D4551" s="24"/>
      <c r="E4551" s="24"/>
    </row>
    <row r="4552">
      <c r="A4552" s="25" t="s">
        <v>18392</v>
      </c>
      <c r="B4552" s="25" t="s">
        <v>18495</v>
      </c>
      <c r="C4552" s="26" t="str">
        <f>HYPERLINK("https://audio.iskcondesiretree.com/02_-_ISKCON_Swamis/ISKCON_Swamis_-_R_to_Y/His_Holiness_Radhanath_Swami/Lectures/01_-_Theme_wise/Surrender/1996-173_Surrender_By_Hearing_And_Chanting_SB_02-06-38_-_Radhanath_Swami_Mumbai_1996-12-22_IDesireTree.mp3", "1996-173_Surrender_By_Hearing_And_Chanting_SB_02-06-38_-_Radhanath_Swami_Mumbai_1996-12-22_IDesireTree.mp3")</f>
        <v>1996-173_Surrender_By_Hearing_And_Chanting_SB_02-06-38_-_Radhanath_Swami_Mumbai_1996-12-22_IDesireTree.mp3</v>
      </c>
      <c r="D4552" s="24"/>
      <c r="E4552" s="24"/>
    </row>
    <row r="4553">
      <c r="A4553" s="25" t="s">
        <v>18392</v>
      </c>
      <c r="B4553" s="25" t="s">
        <v>18495</v>
      </c>
      <c r="C4553" s="26" t="str">
        <f>HYPERLINK("https://audio.iskcondesiretree.com/02_-_ISKCON_Swamis/ISKCON_Swamis_-_R_to_Y/His_Holiness_Radhanath_Swami/Lectures/01_-_Theme_wise/Surrender/1997-034_Surrender_To_The_Surrendered_SB_02-07-43-45_-_Radhanath_Swami_Mumbai_1997-02-09_IDesireTree.mp3", "1997-034_Surrender_To_The_Surrendered_SB_02-07-43-45_-_Radhanath_Swami_Mumbai_1997-02-09_IDesireTree.mp3")</f>
        <v>1997-034_Surrender_To_The_Surrendered_SB_02-07-43-45_-_Radhanath_Swami_Mumbai_1997-02-09_IDesireTree.mp3</v>
      </c>
      <c r="D4553" s="24"/>
      <c r="E4553" s="24"/>
    </row>
    <row r="4554">
      <c r="A4554" s="25" t="s">
        <v>18392</v>
      </c>
      <c r="B4554" s="25" t="s">
        <v>18495</v>
      </c>
      <c r="C4554" s="26" t="str">
        <f>HYPERLINK("https://audio.iskcondesiretree.com/02_-_ISKCON_Swamis/ISKCON_Swamis_-_R_to_Y/His_Holiness_Radhanath_Swami/Lectures/01_-_Theme_wise/Surrender/1999-039_Surrendering_Krsna_With_Full_Devotion_Lecture_-_Radhanath_Swami_Nasik_1999-07-07_IDesireTree.mp3", "1999-039_Surrendering_Krsna_With_Full_Devotion_Lecture_-_Radhanath_Swami_Nasik_1999-07-07_IDesireTree.mp3")</f>
        <v>1999-039_Surrendering_Krsna_With_Full_Devotion_Lecture_-_Radhanath_Swami_Nasik_1999-07-07_IDesireTree.mp3</v>
      </c>
      <c r="D4554" s="24"/>
      <c r="E4554" s="24"/>
    </row>
    <row r="4555">
      <c r="A4555" s="25" t="s">
        <v>18392</v>
      </c>
      <c r="B4555" s="25" t="s">
        <v>18495</v>
      </c>
      <c r="C4555" s="26" t="str">
        <f>HYPERLINK("https://audio.iskcondesiretree.com/02_-_ISKCON_Swamis/ISKCON_Swamis_-_R_to_Y/His_Holiness_Radhanath_Swami/Lectures/01_-_Theme_wise/Surrender/2000-026_Unlimited_Happiness_by_Surrendering_to_Krsna_SB_1_-_Radhanath_Swami_IDesireTree.mp3", "2000-026_Unlimited_Happiness_by_Surrendering_to_Krsna_SB_1_-_Radhanath_Swami_IDesireTree.mp3")</f>
        <v>2000-026_Unlimited_Happiness_by_Surrendering_to_Krsna_SB_1_-_Radhanath_Swami_IDesireTree.mp3</v>
      </c>
      <c r="D4555" s="24"/>
      <c r="E4555" s="24"/>
    </row>
    <row r="4556">
      <c r="A4556" s="25" t="s">
        <v>18392</v>
      </c>
      <c r="B4556" s="25" t="s">
        <v>18495</v>
      </c>
      <c r="C4556" s="26" t="str">
        <f>HYPERLINK("https://audio.iskcondesiretree.com/02_-_ISKCON_Swamis/ISKCON_Swamis_-_R_to_Y/His_Holiness_Radhanath_Swami/Lectures/01_-_Theme_wise/Surrender/2001-064_Make_Your_Desire_One_With_Krsna_SB_Class_-_Radhanath_Swami_Mumbai_2001-12-22_IDesireTree.mp3", "2001-064_Make_Your_Desire_One_With_Krsna_SB_Class_-_Radhanath_Swami_Mumbai_2001-12-22_IDesireTree.mp3")</f>
        <v>2001-064_Make_Your_Desire_One_With_Krsna_SB_Class_-_Radhanath_Swami_Mumbai_2001-12-22_IDesireTree.mp3</v>
      </c>
      <c r="D4556" s="24"/>
      <c r="E4556" s="24"/>
    </row>
    <row r="4557">
      <c r="A4557" s="25" t="s">
        <v>18392</v>
      </c>
      <c r="B4557" s="25" t="s">
        <v>18495</v>
      </c>
      <c r="C4557" s="26" t="str">
        <f>HYPERLINK("https://audio.iskcondesiretree.com/02_-_ISKCON_Swamis/ISKCON_Swamis_-_R_to_Y/His_Holiness_Radhanath_Swami/Lectures/01_-_Theme_wise/Surrender/2002-034_Fearlessly_Surrender_Our_Lives_To_Krsna_SB_01-19-15_-_Radhanath_Swami_Mumbai_2002-02-14_IDesireTree.mp3", "2002-034_Fearlessly_Surrender_Our_Lives_To_Krsna_SB_01-19-15_-_Radhanath_Swami_Mumbai_2002-02-14_IDesireTree.mp3")</f>
        <v>2002-034_Fearlessly_Surrender_Our_Lives_To_Krsna_SB_01-19-15_-_Radhanath_Swami_Mumbai_2002-02-14_IDesireTree.mp3</v>
      </c>
      <c r="D4557" s="24"/>
      <c r="E4557" s="24"/>
    </row>
    <row r="4558">
      <c r="A4558" s="25" t="s">
        <v>18392</v>
      </c>
      <c r="B4558" s="25" t="s">
        <v>18496</v>
      </c>
      <c r="C4558" s="26" t="str">
        <f>HYPERLINK("https://audio.iskcondesiretree.com/02_-_ISKCON_Swamis/ISKCON_Swamis_-_R_to_Y/His_Holiness_Radhanath_Swami/Lectures/01_-_Theme_wise/Team_Work/1989-002_Constructive_Work_Lecture_-_Radhanath_Swami_Mumbai_1989-01-20_IDesireTree.mp3", "1989-002_Constructive_Work_Lecture_-_Radhanath_Swami_Mumbai_1989-01-20_IDesireTree.mp3")</f>
        <v>1989-002_Constructive_Work_Lecture_-_Radhanath_Swami_Mumbai_1989-01-20_IDesireTree.mp3</v>
      </c>
      <c r="D4558" s="24"/>
      <c r="E4558" s="24"/>
    </row>
    <row r="4559">
      <c r="A4559" s="25" t="s">
        <v>18392</v>
      </c>
      <c r="B4559" s="25" t="s">
        <v>18496</v>
      </c>
      <c r="C4559" s="26" t="str">
        <f>HYPERLINK("https://audio.iskcondesiretree.com/02_-_ISKCON_Swamis/ISKCON_Swamis_-_R_to_Y/His_Holiness_Radhanath_Swami/Lectures/01_-_Theme_wise/Team_Work/1992-024_Unified_In_Guru%27s_Service_BG_10-09_-_Radhanath_Swami_Mumbai_1992-02-12_IDesireTree.mp3", "1992-024_Unified_In_Guru%27s_Service_BG_10-09_-_Radhanath_Swami_Mumbai_1992-02-12_IDesireTree.mp3")</f>
        <v>1992-024_Unified_In_Guru%27s_Service_BG_10-09_-_Radhanath_Swami_Mumbai_1992-02-12_IDesireTree.mp3</v>
      </c>
      <c r="D4559" s="24"/>
      <c r="E4559" s="24"/>
    </row>
    <row r="4560">
      <c r="A4560" s="25" t="s">
        <v>18392</v>
      </c>
      <c r="B4560" s="25" t="s">
        <v>18496</v>
      </c>
      <c r="C4560" s="26" t="str">
        <f>HYPERLINK("https://audio.iskcondesiretree.com/02_-_ISKCON_Swamis/ISKCON_Swamis_-_R_to_Y/His_Holiness_Radhanath_Swami/Lectures/01_-_Theme_wise/Team_Work/1996-076_Give_Up_Envy_And_Cooperate_SB_04-19-01-02_-_Radhanath_Swami_Pune_1996-04-10_IDesireTree.mp3", "1996-076_Give_Up_Envy_And_Cooperate_SB_04-19-01-02_-_Radhanath_Swami_Pune_1996-04-10_IDesireTree.mp3")</f>
        <v>1996-076_Give_Up_Envy_And_Cooperate_SB_04-19-01-02_-_Radhanath_Swami_Pune_1996-04-10_IDesireTree.mp3</v>
      </c>
      <c r="D4560" s="24"/>
      <c r="E4560" s="24"/>
    </row>
    <row r="4561">
      <c r="A4561" s="25" t="s">
        <v>18392</v>
      </c>
      <c r="B4561" s="25" t="s">
        <v>18496</v>
      </c>
      <c r="C4561" s="26" t="str">
        <f>HYPERLINK("https://audio.iskcondesiretree.com/02_-_ISKCON_Swamis/ISKCON_Swamis_-_R_to_Y/His_Holiness_Radhanath_Swami/Lectures/01_-_Theme_wise/Team_Work/2001-016_Establishing_Unity_In_Diversity_SB_04-01-04_-_Radhanath_Swami_Mumbai_2001-03-03_IDesireTree.mp3", "2001-016_Establishing_Unity_In_Diversity_SB_04-01-04_-_Radhanath_Swami_Mumbai_2001-03-03_IDesireTree.mp3")</f>
        <v>2001-016_Establishing_Unity_In_Diversity_SB_04-01-04_-_Radhanath_Swami_Mumbai_2001-03-03_IDesireTree.mp3</v>
      </c>
      <c r="D4561" s="24"/>
      <c r="E4561" s="24"/>
    </row>
    <row r="4562">
      <c r="A4562" s="25" t="s">
        <v>18392</v>
      </c>
      <c r="B4562" s="25" t="s">
        <v>18497</v>
      </c>
      <c r="C4562" s="26" t="str">
        <f>HYPERLINK("https://audio.iskcondesiretree.com/02_-_ISKCON_Swamis/ISKCON_Swamis_-_R_to_Y/His_Holiness_Radhanath_Swami/Lectures/01_-_Theme_wise/Time/1993-050_Time_And_Tide_Wait_For_None_Lecture_-_Radhanath_Swami_Mumbai_1993-04-13_new_IDesireTree.mp3", "1993-050_Time_And_Tide_Wait_For_None_Lecture_-_Radhanath_Swami_Mumbai_1993-04-13_new_IDesireTree.mp3")</f>
        <v>1993-050_Time_And_Tide_Wait_For_None_Lecture_-_Radhanath_Swami_Mumbai_1993-04-13_new_IDesireTree.mp3</v>
      </c>
      <c r="D4562" s="24"/>
      <c r="E4562" s="24"/>
    </row>
    <row r="4563">
      <c r="A4563" s="25" t="s">
        <v>18392</v>
      </c>
      <c r="B4563" s="25" t="s">
        <v>18497</v>
      </c>
      <c r="C4563" s="26" t="str">
        <f>HYPERLINK("https://audio.iskcondesiretree.com/02_-_ISKCON_Swamis/ISKCON_Swamis_-_R_to_Y/His_Holiness_Radhanath_Swami/Lectures/01_-_Theme_wise/Time/1993-140_This_Is_The_Time_SB_01-06-35_-_Radhanath_Swami_Mumbai_1993-19-02_IDesireTree.mp3", "1993-140_This_Is_The_Time_SB_01-06-35_-_Radhanath_Swami_Mumbai_1993-19-02_IDesireTree.mp3")</f>
        <v>1993-140_This_Is_The_Time_SB_01-06-35_-_Radhanath_Swami_Mumbai_1993-19-02_IDesireTree.mp3</v>
      </c>
      <c r="D4563" s="24"/>
      <c r="E4563" s="24"/>
    </row>
    <row r="4564">
      <c r="A4564" s="25" t="s">
        <v>18392</v>
      </c>
      <c r="B4564" s="25" t="s">
        <v>18497</v>
      </c>
      <c r="C4564" s="26" t="str">
        <f>HYPERLINK("https://audio.iskcondesiretree.com/02_-_ISKCON_Swamis/ISKCON_Swamis_-_R_to_Y/His_Holiness_Radhanath_Swami/Lectures/01_-_Theme_wise/Time/1994-176_Time_Devours_Everything_BG_11-32-33_-_Radhanath_Swami_Mumbai_1994-10-04_IDesireTree.mp3", "1994-176_Time_Devours_Everything_BG_11-32-33_-_Radhanath_Swami_Mumbai_1994-10-04_IDesireTree.mp3")</f>
        <v>1994-176_Time_Devours_Everything_BG_11-32-33_-_Radhanath_Swami_Mumbai_1994-10-04_IDesireTree.mp3</v>
      </c>
      <c r="D4564" s="24"/>
      <c r="E4564" s="24"/>
    </row>
    <row r="4565">
      <c r="A4565" s="25" t="s">
        <v>18392</v>
      </c>
      <c r="B4565" s="25" t="s">
        <v>18497</v>
      </c>
      <c r="C4565" s="26" t="str">
        <f>HYPERLINK("https://audio.iskcondesiretree.com/02_-_ISKCON_Swamis/ISKCON_Swamis_-_R_to_Y/His_Holiness_Radhanath_Swami/Lectures/01_-_Theme_wise/Time/1995-120_Krishna_In_Form_Of_Kala_SB_01-13-49_-_Radhanath_Swami_Mumbai_1995-10-12_IDesireTree.mp3", "1995-120_Krishna_In_Form_Of_Kala_SB_01-13-49_-_Radhanath_Swami_Mumbai_1995-10-12_IDesireTree.mp3")</f>
        <v>1995-120_Krishna_In_Form_Of_Kala_SB_01-13-49_-_Radhanath_Swami_Mumbai_1995-10-12_IDesireTree.mp3</v>
      </c>
      <c r="D4565" s="24"/>
      <c r="E4565" s="24"/>
    </row>
    <row r="4566">
      <c r="A4566" s="25" t="s">
        <v>18392</v>
      </c>
      <c r="B4566" s="25" t="s">
        <v>18497</v>
      </c>
      <c r="C4566" s="26" t="str">
        <f>HYPERLINK("https://audio.iskcondesiretree.com/02_-_ISKCON_Swamis/ISKCON_Swamis_-_R_to_Y/His_Holiness_Radhanath_Swami/Lectures/01_-_Theme_wise/Time/1996-011_Don%27t_Waste_Valuable_Time_SB_01-16-6_-_Radhanath_Swami_Mumbai_1996-01-07_IDesireTree.mp3", "1996-011_Don%27t_Waste_Valuable_Time_SB_01-16-6_-_Radhanath_Swami_Mumbai_1996-01-07_IDesireTree.mp3")</f>
        <v>1996-011_Don%27t_Waste_Valuable_Time_SB_01-16-6_-_Radhanath_Swami_Mumbai_1996-01-07_IDesireTree.mp3</v>
      </c>
      <c r="D4566" s="24"/>
      <c r="E4566" s="24"/>
    </row>
    <row r="4567">
      <c r="A4567" s="25" t="s">
        <v>18392</v>
      </c>
      <c r="B4567" s="25" t="s">
        <v>18498</v>
      </c>
      <c r="C4567" s="26" t="str">
        <f>HYPERLINK("https://audio.iskcondesiretree.com/02_-_ISKCON_Swamis/ISKCON_Swamis_-_R_to_Y/His_Holiness_Radhanath_Swami/Lectures/01_-_Theme_wise/Tolerance/1989-025_Humble_And_Tolerant_SB_07-10-5_-_Radhanath_Swami_Mumbai_1989-08-03_IDesireTree.mp3", "1989-025_Humble_And_Tolerant_SB_07-10-5_-_Radhanath_Swami_Mumbai_1989-08-03_IDesireTree.mp3")</f>
        <v>1989-025_Humble_And_Tolerant_SB_07-10-5_-_Radhanath_Swami_Mumbai_1989-08-03_IDesireTree.mp3</v>
      </c>
      <c r="D4567" s="24"/>
      <c r="E4567" s="24"/>
    </row>
    <row r="4568">
      <c r="A4568" s="25" t="s">
        <v>18392</v>
      </c>
      <c r="B4568" s="25" t="s">
        <v>18498</v>
      </c>
      <c r="C4568" s="26" t="str">
        <f>HYPERLINK("https://audio.iskcondesiretree.com/02_-_ISKCON_Swamis/ISKCON_Swamis_-_R_to_Y/His_Holiness_Radhanath_Swami/Lectures/01_-_Theme_wise/Tolerance/2003-048_Tolerating_the_Porvoking_Situation_Sunday_Feast_-_Radhanath_Swami_Mumbai_2003-08-17_IDesireTree.mp3", "2003-048_Tolerating_the_Porvoking_Situation_Sunday_Feast_-_Radhanath_Swami_Mumbai_2003-08-17_IDesireTree.mp3")</f>
        <v>2003-048_Tolerating_the_Porvoking_Situation_Sunday_Feast_-_Radhanath_Swami_Mumbai_2003-08-17_IDesireTree.mp3</v>
      </c>
      <c r="D4568" s="24"/>
      <c r="E4568" s="24"/>
    </row>
    <row r="4569">
      <c r="A4569" s="25" t="s">
        <v>18392</v>
      </c>
      <c r="B4569" s="25" t="s">
        <v>18499</v>
      </c>
      <c r="C4569" s="26" t="str">
        <f>HYPERLINK("https://audio.iskcondesiretree.com/02_-_ISKCON_Swamis/ISKCON_Swamis_-_R_to_Y/His_Holiness_Radhanath_Swami/Lectures/01_-_Theme_wise/Training_at_ISKCON/1994-101_Talks_With_Padharpur_Camp_Volunteers_Lecture_-_Radhanath_Swami_Mumbai_1994-08-07_IDesireTree.mp3", "1994-101_Talks_With_Padharpur_Camp_Volunteers_Lecture_-_Radhanath_Swami_Mumbai_1994-08-07_IDesireTree.mp3")</f>
        <v>1994-101_Talks_With_Padharpur_Camp_Volunteers_Lecture_-_Radhanath_Swami_Mumbai_1994-08-07_IDesireTree.mp3</v>
      </c>
      <c r="D4569" s="24"/>
      <c r="E4569" s="24"/>
    </row>
    <row r="4570">
      <c r="A4570" s="25" t="s">
        <v>18392</v>
      </c>
      <c r="B4570" s="25" t="s">
        <v>18500</v>
      </c>
      <c r="C4570" s="26" t="str">
        <f>HYPERLINK("https://audio.iskcondesiretree.com/02_-_ISKCON_Swamis/ISKCON_Swamis_-_R_to_Y/His_Holiness_Radhanath_Swami/Lectures/01_-_Theme_wise/Utility_is_the_principle/1989-083_Krishnizing_The_Senses_BG_10-36_-_Radhanath_Swami_Mumbai_1989-12-26_IDesireTree.mp3", "1989-083_Krishnizing_The_Senses_BG_10-36_-_Radhanath_Swami_Mumbai_1989-12-26_IDesireTree.mp3")</f>
        <v>1989-083_Krishnizing_The_Senses_BG_10-36_-_Radhanath_Swami_Mumbai_1989-12-26_IDesireTree.mp3</v>
      </c>
      <c r="D4570" s="24"/>
      <c r="E4570" s="24"/>
    </row>
    <row r="4571">
      <c r="A4571" s="25" t="s">
        <v>18392</v>
      </c>
      <c r="B4571" s="25" t="s">
        <v>18500</v>
      </c>
      <c r="C4571" s="26" t="str">
        <f>HYPERLINK("https://audio.iskcondesiretree.com/02_-_ISKCON_Swamis/ISKCON_Swamis_-_R_to_Y/His_Holiness_Radhanath_Swami/Lectures/01_-_Theme_wise/Utility_is_the_principle/1995-085_What_Is_Yukta_Vairagya_BG_03-06_-_Radhanath_Swami_Mumbai_1995-08-13_IDesireTree.mp3", "1995-085_What_Is_Yukta_Vairagya_BG_03-06_-_Radhanath_Swami_Mumbai_1995-08-13_IDesireTree.mp3")</f>
        <v>1995-085_What_Is_Yukta_Vairagya_BG_03-06_-_Radhanath_Swami_Mumbai_1995-08-13_IDesireTree.mp3</v>
      </c>
      <c r="D4571" s="24"/>
      <c r="E4571" s="24"/>
    </row>
    <row r="4572">
      <c r="A4572" s="25" t="s">
        <v>18392</v>
      </c>
      <c r="B4572" s="25" t="s">
        <v>18500</v>
      </c>
      <c r="C4572" s="26" t="str">
        <f>HYPERLINK("https://audio.iskcondesiretree.com/02_-_ISKCON_Swamis/ISKCON_Swamis_-_R_to_Y/His_Holiness_Radhanath_Swami/Lectures/01_-_Theme_wise/Utility_is_the_principle/2003-002_Utilising_Human_Body_Lecture_-_Radhanath_Swami_Mumbai_2003-01-03_IDesireTree.mp3", "2003-002_Utilising_Human_Body_Lecture_-_Radhanath_Swami_Mumbai_2003-01-03_IDesireTree.mp3")</f>
        <v>2003-002_Utilising_Human_Body_Lecture_-_Radhanath_Swami_Mumbai_2003-01-03_IDesireTree.mp3</v>
      </c>
      <c r="D4572" s="24"/>
      <c r="E4572" s="24"/>
    </row>
    <row r="4573">
      <c r="A4573" s="25" t="s">
        <v>18392</v>
      </c>
      <c r="B4573" s="25" t="s">
        <v>18501</v>
      </c>
      <c r="C4573" s="26" t="str">
        <f>HYPERLINK("https://audio.iskcondesiretree.com/02_-_ISKCON_Swamis/ISKCON_Swamis_-_R_to_Y/His_Holiness_Radhanath_Swami/Lectures/01_-_Theme_wise/Vaishnava/1990-080_Vaishnava_Activities-_Incomprehensible_SB_08-07-23_-_Radhanath_Swami_Mumbai_1990-09-06_IDesireTree.mp3", "1990-080_Vaishnava_Activities-_Incomprehensible_SB_08-07-23_-_Radhanath_Swami_Mumbai_1990-09-06_IDesireTree.mp3")</f>
        <v>1990-080_Vaishnava_Activities-_Incomprehensible_SB_08-07-23_-_Radhanath_Swami_Mumbai_1990-09-06_IDesireTree.mp3</v>
      </c>
      <c r="D4573" s="24"/>
      <c r="E4573" s="24"/>
    </row>
    <row r="4574">
      <c r="A4574" s="25" t="s">
        <v>18392</v>
      </c>
      <c r="B4574" s="25" t="s">
        <v>18501</v>
      </c>
      <c r="C4574" s="26" t="str">
        <f>HYPERLINK("https://audio.iskcondesiretree.com/02_-_ISKCON_Swamis/ISKCON_Swamis_-_R_to_Y/His_Holiness_Radhanath_Swami/Lectures/01_-_Theme_wise/Vaishnava/1991-037_Why_Vaishnavas_Appear_To_Be_Defeated_SB_09-10-12_-_Radhanath_Swami_Mumbai_1991-04-29_IDesireTree.mp3", "1991-037_Why_Vaishnavas_Appear_To_Be_Defeated_SB_09-10-12_-_Radhanath_Swami_Mumbai_1991-04-29_IDesireTree.mp3")</f>
        <v>1991-037_Why_Vaishnavas_Appear_To_Be_Defeated_SB_09-10-12_-_Radhanath_Swami_Mumbai_1991-04-29_IDesireTree.mp3</v>
      </c>
      <c r="D4574" s="24"/>
      <c r="E4574" s="24"/>
    </row>
    <row r="4575">
      <c r="A4575" s="25" t="s">
        <v>18392</v>
      </c>
      <c r="B4575" s="25" t="s">
        <v>18501</v>
      </c>
      <c r="C4575" s="26" t="str">
        <f>HYPERLINK("https://audio.iskcondesiretree.com/02_-_ISKCON_Swamis/ISKCON_Swamis_-_R_to_Y/His_Holiness_Radhanath_Swami/Lectures/01_-_Theme_wise/Vaishnava/1991-077_Brahman_By_Quality_And_Not_By_Birth_SB_10-01-13_-_Radhanath_Swami_Mumbai_1991-10-14_IDesireTree.mp3", "1991-077_Brahman_By_Quality_And_Not_By_Birth_SB_10-01-13_-_Radhanath_Swami_Mumbai_1991-10-14_IDesireTree.mp3")</f>
        <v>1991-077_Brahman_By_Quality_And_Not_By_Birth_SB_10-01-13_-_Radhanath_Swami_Mumbai_1991-10-14_IDesireTree.mp3</v>
      </c>
      <c r="D4575" s="24"/>
      <c r="E4575" s="24"/>
    </row>
    <row r="4576">
      <c r="A4576" s="25" t="s">
        <v>18392</v>
      </c>
      <c r="B4576" s="25" t="s">
        <v>18501</v>
      </c>
      <c r="C4576" s="26" t="str">
        <f>HYPERLINK("https://audio.iskcondesiretree.com/02_-_ISKCON_Swamis/ISKCON_Swamis_-_R_to_Y/His_Holiness_Radhanath_Swami/Lectures/01_-_Theme_wise/Vaishnava/1992-023_Vaishnavism_%26_Sannyas_CC_AL-02_-_Radhanath_Swami_Mumbai_1992-02-12_IDesireTree.mp3", "1992-023_Vaishnavism_%26_Sannyas_CC_AL-02_-_Radhanath_Swami_Mumbai_1992-02-12_IDesireTree.mp3")</f>
        <v>1992-023_Vaishnavism_%26_Sannyas_CC_AL-02_-_Radhanath_Swami_Mumbai_1992-02-12_IDesireTree.mp3</v>
      </c>
      <c r="D4576" s="24"/>
      <c r="E4576" s="24"/>
    </row>
    <row r="4577">
      <c r="A4577" s="25" t="s">
        <v>18392</v>
      </c>
      <c r="B4577" s="25" t="s">
        <v>18501</v>
      </c>
      <c r="C4577" s="26" t="str">
        <f>HYPERLINK("https://audio.iskcondesiretree.com/02_-_ISKCON_Swamis/ISKCON_Swamis_-_R_to_Y/His_Holiness_Radhanath_Swami/Lectures/01_-_Theme_wise/Vaishnava/1992-076_Vaishnava_Is_Selfless_SB_10-08-07-09_-_Radhanath_Swami_Mumbai_1992-04-10_IDesireTree.mp3", "1992-076_Vaishnava_Is_Selfless_SB_10-08-07-09_-_Radhanath_Swami_Mumbai_1992-04-10_IDesireTree.mp3")</f>
        <v>1992-076_Vaishnava_Is_Selfless_SB_10-08-07-09_-_Radhanath_Swami_Mumbai_1992-04-10_IDesireTree.mp3</v>
      </c>
      <c r="D4577" s="24"/>
      <c r="E4577" s="24"/>
    </row>
    <row r="4578">
      <c r="A4578" s="25" t="s">
        <v>18392</v>
      </c>
      <c r="B4578" s="25" t="s">
        <v>18501</v>
      </c>
      <c r="C4578" s="26" t="str">
        <f>HYPERLINK("https://audio.iskcondesiretree.com/02_-_ISKCON_Swamis/ISKCON_Swamis_-_R_to_Y/His_Holiness_Radhanath_Swami/Lectures/01_-_Theme_wise/Vaishnava/1995-030_Vaishnavas_Forgive_Easily_SB_01-07-44_-_Radhanath_Swami_Mumbai_1995-01-21.mp3", "1995-030_Vaishnavas_Forgive_Easily_SB_01-07-44_-_Radhanath_Swami_Mumbai_1995-01-21.mp3")</f>
        <v>1995-030_Vaishnavas_Forgive_Easily_SB_01-07-44_-_Radhanath_Swami_Mumbai_1995-01-21.mp3</v>
      </c>
      <c r="D4578" s="24"/>
      <c r="E4578" s="24"/>
    </row>
    <row r="4579">
      <c r="A4579" s="25" t="s">
        <v>18392</v>
      </c>
      <c r="B4579" s="25" t="s">
        <v>18501</v>
      </c>
      <c r="C4579" s="26" t="str">
        <f>HYPERLINK("https://audio.iskcondesiretree.com/02_-_ISKCON_Swamis/ISKCON_Swamis_-_R_to_Y/His_Holiness_Radhanath_Swami/Lectures/01_-_Theme_wise/Vaishnava/1997-117_Even_An_Elephant_Can_Become_A_Vaishnava_BG_03-02_-_Radhanath_Swami_Mumbai_1997-10-05_IDesireTree.mp3", "1997-117_Even_An_Elephant_Can_Become_A_Vaishnava_BG_03-02_-_Radhanath_Swami_Mumbai_1997-10-05_IDesireTree.mp3")</f>
        <v>1997-117_Even_An_Elephant_Can_Become_A_Vaishnava_BG_03-02_-_Radhanath_Swami_Mumbai_1997-10-05_IDesireTree.mp3</v>
      </c>
      <c r="D4579" s="24"/>
      <c r="E4579" s="24"/>
    </row>
    <row r="4580">
      <c r="A4580" s="25" t="s">
        <v>18392</v>
      </c>
      <c r="B4580" s="25" t="s">
        <v>18501</v>
      </c>
      <c r="C4580" s="26" t="str">
        <f>HYPERLINK("https://audio.iskcondesiretree.com/02_-_ISKCON_Swamis/ISKCON_Swamis_-_R_to_Y/His_Holiness_Radhanath_Swami/Lectures/01_-_Theme_wise/Vaishnava/1999-064_Maya_Seizes_an_Offender_SB_06-09-43_-_Radhanath_Swami_Mumbai_1999-12-27_IDesireTree.mp3", "1999-064_Maya_Seizes_an_Offender_SB_06-09-43_-_Radhanath_Swami_Mumbai_1999-12-27_IDesireTree.mp3")</f>
        <v>1999-064_Maya_Seizes_an_Offender_SB_06-09-43_-_Radhanath_Swami_Mumbai_1999-12-27_IDesireTree.mp3</v>
      </c>
      <c r="D4580" s="24"/>
      <c r="E4580" s="24"/>
    </row>
    <row r="4581">
      <c r="A4581" s="25" t="s">
        <v>18392</v>
      </c>
      <c r="B4581" s="25" t="s">
        <v>18501</v>
      </c>
      <c r="C4581" s="26" t="str">
        <f>HYPERLINK("https://audio.iskcondesiretree.com/02_-_ISKCON_Swamis/ISKCON_Swamis_-_R_to_Y/His_Holiness_Radhanath_Swami/Lectures/01_-_Theme_wise/Vaishnava/2001-025_Living_By_The_Principle_Die_To_Live_SB_04-04-24_-_Radhanath_Swami_Mumbai_2001-06-17_IDesireTree.mp3", "2001-025_Living_By_The_Principle_Die_To_Live_SB_04-04-24_-_Radhanath_Swami_Mumbai_2001-06-17_IDesireTree.mp3")</f>
        <v>2001-025_Living_By_The_Principle_Die_To_Live_SB_04-04-24_-_Radhanath_Swami_Mumbai_2001-06-17_IDesireTree.mp3</v>
      </c>
      <c r="D4581" s="24"/>
      <c r="E4581" s="24"/>
    </row>
    <row r="4582">
      <c r="A4582" s="25" t="s">
        <v>18392</v>
      </c>
      <c r="B4582" s="25" t="s">
        <v>18501</v>
      </c>
      <c r="C4582" s="26" t="str">
        <f>HYPERLINK("https://audio.iskcondesiretree.com/02_-_ISKCON_Swamis/ISKCON_Swamis_-_R_to_Y/His_Holiness_Radhanath_Swami/Lectures/01_-_Theme_wise/Vaishnava/2002-012_True_Substance_Of_Vaishnava_SB_04_-_Radhanath_Swami_IDesireTree.mp3", "2002-012_True_Substance_Of_Vaishnava_SB_04_-_Radhanath_Swami_IDesireTree.mp3")</f>
        <v>2002-012_True_Substance_Of_Vaishnava_SB_04_-_Radhanath_Swami_IDesireTree.mp3</v>
      </c>
      <c r="D4582" s="24"/>
      <c r="E4582" s="24"/>
    </row>
    <row r="4583">
      <c r="A4583" s="25" t="s">
        <v>18392</v>
      </c>
      <c r="B4583" s="25" t="s">
        <v>18502</v>
      </c>
      <c r="C4583" s="26" t="str">
        <f>HYPERLINK("https://audio.iskcondesiretree.com/02_-_ISKCON_Swamis/ISKCON_Swamis_-_R_to_Y/His_Holiness_Radhanath_Swami/Lectures/01_-_Theme_wise/Vaishnava_Aparadha/1990-078_Gravity_Of_Offence_SB_08-07-22_-_Radhanath_Swami_Mumbai_1990-09-03_IDesireTree.mp3", "1990-078_Gravity_Of_Offence_SB_08-07-22_-_Radhanath_Swami_Mumbai_1990-09-03_IDesireTree.mp3")</f>
        <v>1990-078_Gravity_Of_Offence_SB_08-07-22_-_Radhanath_Swami_Mumbai_1990-09-03_IDesireTree.mp3</v>
      </c>
      <c r="D4583" s="24"/>
      <c r="E4583" s="24"/>
    </row>
    <row r="4584">
      <c r="A4584" s="25" t="s">
        <v>18392</v>
      </c>
      <c r="B4584" s="25" t="s">
        <v>18502</v>
      </c>
      <c r="C4584" s="26" t="str">
        <f>HYPERLINK("https://audio.iskcondesiretree.com/02_-_ISKCON_Swamis/ISKCON_Swamis_-_R_to_Y/His_Holiness_Radhanath_Swami/Lectures/01_-_Theme_wise/Vaishnava_Aparadha/1991-085_The_Dangers_of_Vaishnava_Aparadha_Lecture_-_Radhanath_Swami_NV_1991-07-18_IDesireTree.mp3", "1991-085_The_Dangers_of_Vaishnava_Aparadha_Lecture_-_Radhanath_Swami_NV_1991-07-18_IDesireTree.mp3")</f>
        <v>1991-085_The_Dangers_of_Vaishnava_Aparadha_Lecture_-_Radhanath_Swami_NV_1991-07-18_IDesireTree.mp3</v>
      </c>
      <c r="D4584" s="24"/>
      <c r="E4584" s="24"/>
    </row>
    <row r="4585">
      <c r="A4585" s="25" t="s">
        <v>18392</v>
      </c>
      <c r="B4585" s="25" t="s">
        <v>18502</v>
      </c>
      <c r="C4585" s="26" t="str">
        <f>HYPERLINK("https://audio.iskcondesiretree.com/02_-_ISKCON_Swamis/ISKCON_Swamis_-_R_to_Y/His_Holiness_Radhanath_Swami/Lectures/01_-_Theme_wise/Vaishnava_Aparadha/1992-143_Beware_Of_Mad_Elephant_Offence_SB_10-17-12_-_Radhanath_Swami_Mumbai_1992-12-17_IDesireTree.mp3", "1992-143_Beware_Of_Mad_Elephant_Offence_SB_10-17-12_-_Radhanath_Swami_Mumbai_1992-12-17_IDesireTree.mp3")</f>
        <v>1992-143_Beware_Of_Mad_Elephant_Offence_SB_10-17-12_-_Radhanath_Swami_Mumbai_1992-12-17_IDesireTree.mp3</v>
      </c>
      <c r="D4585" s="24"/>
      <c r="E4585" s="24"/>
    </row>
    <row r="4586">
      <c r="A4586" s="25" t="s">
        <v>18392</v>
      </c>
      <c r="B4586" s="25" t="s">
        <v>18502</v>
      </c>
      <c r="C4586" s="26" t="str">
        <f>HYPERLINK("https://audio.iskcondesiretree.com/02_-_ISKCON_Swamis/ISKCON_Swamis_-_R_to_Y/His_Holiness_Radhanath_Swami/Lectures/01_-_Theme_wise/Vaishnava_Aparadha/1994-180_Criticism_Ruins_Spiritual_Life_Lecture_-_Radhanath_Swami_Mumbai_1994-10-07_IDesireTree.mp3", "1994-180_Criticism_Ruins_Spiritual_Life_Lecture_-_Radhanath_Swami_Mumbai_1994-10-07_IDesireTree.mp3")</f>
        <v>1994-180_Criticism_Ruins_Spiritual_Life_Lecture_-_Radhanath_Swami_Mumbai_1994-10-07_IDesireTree.mp3</v>
      </c>
      <c r="D4586" s="24"/>
      <c r="E4586" s="24"/>
    </row>
    <row r="4587">
      <c r="A4587" s="25" t="s">
        <v>18392</v>
      </c>
      <c r="B4587" s="25" t="s">
        <v>18502</v>
      </c>
      <c r="C4587" s="26" t="str">
        <f>HYPERLINK("https://audio.iskcondesiretree.com/02_-_ISKCON_Swamis/ISKCON_Swamis_-_R_to_Y/His_Holiness_Radhanath_Swami/Lectures/01_-_Theme_wise/Vaishnava_Aparadha/1994-183_Pride_And_Criticism_SB_04-20-26_-_Radhanath_Swami_Mumbai_1994-10-08_IDesireTree.mp3", "1994-183_Pride_And_Criticism_SB_04-20-26_-_Radhanath_Swami_Mumbai_1994-10-08_IDesireTree.mp3")</f>
        <v>1994-183_Pride_And_Criticism_SB_04-20-26_-_Radhanath_Swami_Mumbai_1994-10-08_IDesireTree.mp3</v>
      </c>
      <c r="D4587" s="24"/>
      <c r="E4587" s="24"/>
    </row>
    <row r="4588">
      <c r="A4588" s="25" t="s">
        <v>18392</v>
      </c>
      <c r="B4588" s="25" t="s">
        <v>18502</v>
      </c>
      <c r="C4588" s="26" t="str">
        <f>HYPERLINK("https://audio.iskcondesiretree.com/02_-_ISKCON_Swamis/ISKCON_Swamis_-_R_to_Y/His_Holiness_Radhanath_Swami/Lectures/01_-_Theme_wise/Vaishnava_Aparadha/1995-047_Don%27t_Judge_Vaishnavas_By_Material_Bodies_BG_15-08_-_Radhanath_Swami_Mumbai_1995-02-11.mp3", "1995-047_Don%27t_Judge_Vaishnavas_By_Material_Bodies_BG_15-08_-_Radhanath_Swami_Mumbai_1995-02-11.mp3")</f>
        <v>1995-047_Don%27t_Judge_Vaishnavas_By_Material_Bodies_BG_15-08_-_Radhanath_Swami_Mumbai_1995-02-11.mp3</v>
      </c>
      <c r="D4588" s="24"/>
      <c r="E4588" s="24"/>
    </row>
    <row r="4589">
      <c r="A4589" s="25" t="s">
        <v>18392</v>
      </c>
      <c r="B4589" s="25" t="s">
        <v>18502</v>
      </c>
      <c r="C4589" s="26" t="str">
        <f>HYPERLINK("https://audio.iskcondesiretree.com/02_-_ISKCON_Swamis/ISKCON_Swamis_-_R_to_Y/His_Holiness_Radhanath_Swami/Lectures/01_-_Theme_wise/Vaishnava_Aparadha/1996-069_Glorify_Devotees_Inspite_Of_Our_Ego_Lecture_-_Radhanath_Swami_Mumbai_1996-03-31_IDesireTree.mp3", "1996-069_Glorify_Devotees_Inspite_Of_Our_Ego_Lecture_-_Radhanath_Swami_Mumbai_1996-03-31_IDesireTree.mp3")</f>
        <v>1996-069_Glorify_Devotees_Inspite_Of_Our_Ego_Lecture_-_Radhanath_Swami_Mumbai_1996-03-31_IDesireTree.mp3</v>
      </c>
      <c r="D4589" s="24"/>
      <c r="E4589" s="24"/>
    </row>
    <row r="4590">
      <c r="A4590" s="25" t="s">
        <v>18392</v>
      </c>
      <c r="B4590" s="25" t="s">
        <v>18502</v>
      </c>
      <c r="C4590" s="26" t="str">
        <f>HYPERLINK("https://audio.iskcondesiretree.com/02_-_ISKCON_Swamis/ISKCON_Swamis_-_R_to_Y/His_Holiness_Radhanath_Swami/Lectures/01_-_Theme_wise/Vaishnava_Aparadha/1997-020_Never_Offend_Devotees_SB_04-30-08_-_Radhanath_Swami_Mumbai_1997-01-23_IDesireTree.mp3", "1997-020_Never_Offend_Devotees_SB_04-30-08_-_Radhanath_Swami_Mumbai_1997-01-23_IDesireTree.mp3")</f>
        <v>1997-020_Never_Offend_Devotees_SB_04-30-08_-_Radhanath_Swami_Mumbai_1997-01-23_IDesireTree.mp3</v>
      </c>
      <c r="D4590" s="24"/>
      <c r="E4590" s="24"/>
    </row>
    <row r="4591">
      <c r="A4591" s="25" t="s">
        <v>18392</v>
      </c>
      <c r="B4591" s="25" t="s">
        <v>18503</v>
      </c>
      <c r="C4591" s="26" t="str">
        <f>HYPERLINK("https://audio.iskcondesiretree.com/02_-_ISKCON_Swamis/ISKCON_Swamis_-_R_to_Y/His_Holiness_Radhanath_Swami/Lectures/01_-_Theme_wise/Vaishnava_Etiquette_and_Relations/1989-011_An_Empty_Husk_Lecture_-_Radhanathh_Swami_Mumbai1_989-07-08_IDesireTree.mp3", "1989-011_An_Empty_Husk_Lecture_-_Radhanathh_Swami_Mumbai1_989-07-08_IDesireTree.mp3")</f>
        <v>1989-011_An_Empty_Husk_Lecture_-_Radhanathh_Swami_Mumbai1_989-07-08_IDesireTree.mp3</v>
      </c>
      <c r="D4591" s="24"/>
      <c r="E4591" s="24"/>
    </row>
    <row r="4592">
      <c r="A4592" s="25" t="s">
        <v>18392</v>
      </c>
      <c r="B4592" s="25" t="s">
        <v>18503</v>
      </c>
      <c r="C4592" s="26" t="str">
        <f>HYPERLINK("https://audio.iskcondesiretree.com/02_-_ISKCON_Swamis/ISKCON_Swamis_-_R_to_Y/His_Holiness_Radhanath_Swami/Lectures/01_-_Theme_wise/Vaishnava_Etiquette_and_Relations/1992-093_Vaishnava_Etiquette_Lecture_-_Radhanath_Swami_Mumbai_1992-08-27_IDesireTree.mp3", "1992-093_Vaishnava_Etiquette_Lecture_-_Radhanath_Swami_Mumbai_1992-08-27_IDesireTree.mp3")</f>
        <v>1992-093_Vaishnava_Etiquette_Lecture_-_Radhanath_Swami_Mumbai_1992-08-27_IDesireTree.mp3</v>
      </c>
      <c r="D4592" s="24"/>
      <c r="E4592" s="24"/>
    </row>
    <row r="4593">
      <c r="A4593" s="25" t="s">
        <v>18392</v>
      </c>
      <c r="B4593" s="25" t="s">
        <v>18504</v>
      </c>
      <c r="C4593" s="26" t="str">
        <f>HYPERLINK("https://audio.iskcondesiretree.com/02_-_ISKCON_Swamis/ISKCON_Swamis_-_R_to_Y/His_Holiness_Radhanath_Swami/Lectures/01_-_Theme_wise/Varnashrama/1991-137_Perfection_Of_Varnashram_Dharma_BG_04-13_-_Radhanath_Swami_Mumbai_1991-11-30_IDesireTree.mp3", "1991-137_Perfection_Of_Varnashram_Dharma_BG_04-13_-_Radhanath_Swami_Mumbai_1991-11-30_IDesireTree.mp3")</f>
        <v>1991-137_Perfection_Of_Varnashram_Dharma_BG_04-13_-_Radhanath_Swami_Mumbai_1991-11-30_IDesireTree.mp3</v>
      </c>
      <c r="D4593" s="24"/>
      <c r="E4593" s="24"/>
    </row>
    <row r="4594">
      <c r="A4594" s="25" t="s">
        <v>18392</v>
      </c>
      <c r="B4594" s="25" t="s">
        <v>18504</v>
      </c>
      <c r="C4594" s="26" t="str">
        <f>HYPERLINK("https://audio.iskcondesiretree.com/02_-_ISKCON_Swamis/ISKCON_Swamis_-_R_to_Y/His_Holiness_Radhanath_Swami/Lectures/01_-_Theme_wise/Varnashrama/1996-057_One%27s_Ashram_Is_Not_Important_SB_10-02-10_-_Radhanath_Swami_Mumbai_1996-06-17_IDesireTree.mp3", "1996-057_One%27s_Ashram_Is_Not_Important_SB_10-02-10_-_Radhanath_Swami_Mumbai_1996-06-17_IDesireTree.mp3")</f>
        <v>1996-057_One%27s_Ashram_Is_Not_Important_SB_10-02-10_-_Radhanath_Swami_Mumbai_1996-06-17_IDesireTree.mp3</v>
      </c>
      <c r="D4594" s="24"/>
      <c r="E4594" s="24"/>
    </row>
    <row r="4595">
      <c r="A4595" s="25" t="s">
        <v>18392</v>
      </c>
      <c r="B4595" s="25" t="s">
        <v>18504</v>
      </c>
      <c r="C4595" s="26" t="str">
        <f>HYPERLINK("https://audio.iskcondesiretree.com/02_-_ISKCON_Swamis/ISKCON_Swamis_-_R_to_Y/His_Holiness_Radhanath_Swami/Lectures/01_-_Theme_wise/Varnashrama/1996-087_Varnashram_System_Means_Acting_Together_SB_01-18-32_-_Radhanath_Swami_Mumbai_1996-04-20_IDesireTree.mp3", "1996-087_Varnashram_System_Means_Acting_Together_SB_01-18-32_-_Radhanath_Swami_Mumbai_1996-04-20_IDesireTree.mp3")</f>
        <v>1996-087_Varnashram_System_Means_Acting_Together_SB_01-18-32_-_Radhanath_Swami_Mumbai_1996-04-20_IDesireTree.mp3</v>
      </c>
      <c r="D4595" s="24"/>
      <c r="E4595" s="24"/>
    </row>
    <row r="4596">
      <c r="A4596" s="25" t="s">
        <v>18392</v>
      </c>
      <c r="B4596" s="25" t="s">
        <v>18504</v>
      </c>
      <c r="C4596" s="26" t="str">
        <f>HYPERLINK("https://audio.iskcondesiretree.com/02_-_ISKCON_Swamis/ISKCON_Swamis_-_R_to_Y/His_Holiness_Radhanath_Swami/Lectures/01_-_Theme_wise/Varnashrama/1996-091_How_Degradation_Of_Brahmanas_Began_SB_01-18-37_-_Radhanath_Swami_Mumbai_1996-04-24_IDesireTree.mp3", "1996-091_How_Degradation_Of_Brahmanas_Began_SB_01-18-37_-_Radhanath_Swami_Mumbai_1996-04-24_IDesireTree.mp3")</f>
        <v>1996-091_How_Degradation_Of_Brahmanas_Began_SB_01-18-37_-_Radhanath_Swami_Mumbai_1996-04-24_IDesireTree.mp3</v>
      </c>
      <c r="D4596" s="24"/>
      <c r="E4596" s="24"/>
    </row>
    <row r="4597">
      <c r="A4597" s="25" t="s">
        <v>18392</v>
      </c>
      <c r="B4597" s="25" t="s">
        <v>18504</v>
      </c>
      <c r="C4597" s="26" t="str">
        <f>HYPERLINK("https://audio.iskcondesiretree.com/02_-_ISKCON_Swamis/ISKCON_Swamis_-_R_to_Y/His_Holiness_Radhanath_Swami/Lectures/01_-_Theme_wise/Varnashrama/1998-042_Duties_in_Real_Varnashram_System_BG_03-06-32_-_Radhanath_Swami_Mumbai_1998-03-01_IDesireTree.mp3", "1998-042_Duties_in_Real_Varnashram_System_BG_03-06-32_-_Radhanath_Swami_Mumbai_1998-03-01_IDesireTree.mp3")</f>
        <v>1998-042_Duties_in_Real_Varnashram_System_BG_03-06-32_-_Radhanath_Swami_Mumbai_1998-03-01_IDesireTree.mp3</v>
      </c>
      <c r="D4597" s="24"/>
      <c r="E4597" s="24"/>
    </row>
    <row r="4598">
      <c r="A4598" s="25" t="s">
        <v>18392</v>
      </c>
      <c r="B4598" s="25" t="s">
        <v>18505</v>
      </c>
      <c r="C4598" s="26" t="str">
        <f>HYPERLINK("https://audio.iskcondesiretree.com/02_-_ISKCON_Swamis/ISKCON_Swamis_-_R_to_Y/His_Holiness_Radhanath_Swami/Lectures/01_-_Theme_wise/Vedas/1990-010_The_Essence_Of_Vedas_BNP_03-08-126_-_Radhanath_Swami_Pune_1990-01-19_IDesireTree.mp3", "1990-010_The_Essence_Of_Vedas_BNP_03-08-126_-_Radhanath_Swami_Pune_1990-01-19_IDesireTree.mp3")</f>
        <v>1990-010_The_Essence_Of_Vedas_BNP_03-08-126_-_Radhanath_Swami_Pune_1990-01-19_IDesireTree.mp3</v>
      </c>
      <c r="D4598" s="24"/>
      <c r="E4598" s="24"/>
    </row>
    <row r="4599">
      <c r="A4599" s="25" t="s">
        <v>18392</v>
      </c>
      <c r="B4599" s="25" t="s">
        <v>18505</v>
      </c>
      <c r="C4599" s="26" t="str">
        <f>HYPERLINK("https://audio.iskcondesiretree.com/02_-_ISKCON_Swamis/ISKCON_Swamis_-_R_to_Y/His_Holiness_Radhanath_Swami/Lectures/01_-_Theme_wise/Vedas/1993-144_Scriptures_Are_The_Eternal_Absolute_Truth_SB_10-08-47_-_Radhanath_Swami_Mumbai_1993-10-08_IDesireTree.mp3", "1993-144_Scriptures_Are_The_Eternal_Absolute_Truth_SB_10-08-47_-_Radhanath_Swami_Mumbai_1993-10-08_IDesireTree.mp3")</f>
        <v>1993-144_Scriptures_Are_The_Eternal_Absolute_Truth_SB_10-08-47_-_Radhanath_Swami_Mumbai_1993-10-08_IDesireTree.mp3</v>
      </c>
      <c r="D4599" s="24"/>
      <c r="E4599" s="24"/>
    </row>
    <row r="4600">
      <c r="A4600" s="25" t="s">
        <v>18392</v>
      </c>
      <c r="B4600" s="25" t="s">
        <v>18505</v>
      </c>
      <c r="C4600" s="26" t="str">
        <f>HYPERLINK("https://audio.iskcondesiretree.com/02_-_ISKCON_Swamis/ISKCON_Swamis_-_R_to_Y/His_Holiness_Radhanath_Swami/Lectures/01_-_Theme_wise/Vedas/1994-174_Essence_Of_The_Vedas_SB_01-04-13_-_Radhanath_Swami_Mumbai_1994-10-02_IDesireTree.mp3", "1994-174_Essence_Of_The_Vedas_SB_01-04-13_-_Radhanath_Swami_Mumbai_1994-10-02_IDesireTree.mp3")</f>
        <v>1994-174_Essence_Of_The_Vedas_SB_01-04-13_-_Radhanath_Swami_Mumbai_1994-10-02_IDesireTree.mp3</v>
      </c>
      <c r="D4600" s="24"/>
      <c r="E4600" s="24"/>
    </row>
    <row r="4601">
      <c r="A4601" s="25" t="s">
        <v>18392</v>
      </c>
      <c r="B4601" s="25" t="s">
        <v>18505</v>
      </c>
      <c r="C4601" s="26" t="str">
        <f>HYPERLINK("https://audio.iskcondesiretree.com/02_-_ISKCON_Swamis/ISKCON_Swamis_-_R_to_Y/His_Holiness_Radhanath_Swami/Lectures/01_-_Theme_wise/Vedas/1997-138_Eye_Of_Scriptures_Lecture_-_Radhanath_Swami_Mumbai_1997-11-16_IDesireTree.mp3", "1997-138_Eye_Of_Scriptures_Lecture_-_Radhanath_Swami_Mumbai_1997-11-16_IDesireTree.mp3")</f>
        <v>1997-138_Eye_Of_Scriptures_Lecture_-_Radhanath_Swami_Mumbai_1997-11-16_IDesireTree.mp3</v>
      </c>
      <c r="D4601" s="24"/>
      <c r="E4601" s="24"/>
    </row>
    <row r="4602">
      <c r="A4602" s="25" t="s">
        <v>18392</v>
      </c>
      <c r="B4602" s="25" t="s">
        <v>18505</v>
      </c>
      <c r="C4602" s="26" t="str">
        <f>HYPERLINK("https://audio.iskcondesiretree.com/02_-_ISKCON_Swamis/ISKCON_Swamis_-_R_to_Y/His_Holiness_Radhanath_Swami/Lectures/01_-_Theme_wise/Vedas/1998-073_Total_Faith_in_Scriptures_SB_03-09-37_-_Radhanath_Swami_Mumbai_1998-07-20_IDesireTree.mp3", "1998-073_Total_Faith_in_Scriptures_SB_03-09-37_-_Radhanath_Swami_Mumbai_1998-07-20_IDesireTree.mp3")</f>
        <v>1998-073_Total_Faith_in_Scriptures_SB_03-09-37_-_Radhanath_Swami_Mumbai_1998-07-20_IDesireTree.mp3</v>
      </c>
      <c r="D4602" s="24"/>
      <c r="E4602" s="24"/>
    </row>
    <row r="4603">
      <c r="A4603" s="25" t="s">
        <v>18392</v>
      </c>
      <c r="B4603" s="25" t="s">
        <v>18506</v>
      </c>
      <c r="C4603" s="26" t="str">
        <f>HYPERLINK("https://audio.iskcondesiretree.com/02_-_ISKCON_Swamis/ISKCON_Swamis_-_R_to_Y/His_Holiness_Radhanath_Swami/Lectures/01_-_Theme_wise/Vedic_Culture/1989-001_India-The_Land_Of_Dharma_Lecture_-_Radhanath_Swami_Mumbai_1989-01-13_IDesireTree.mp3", "1989-001_India-The_Land_Of_Dharma_Lecture_-_Radhanath_Swami_Mumbai_1989-01-13_IDesireTree.mp3")</f>
        <v>1989-001_India-The_Land_Of_Dharma_Lecture_-_Radhanath_Swami_Mumbai_1989-01-13_IDesireTree.mp3</v>
      </c>
      <c r="D4603" s="24"/>
      <c r="E4603" s="24"/>
    </row>
    <row r="4604">
      <c r="A4604" s="25" t="s">
        <v>18392</v>
      </c>
      <c r="B4604" s="25" t="s">
        <v>18506</v>
      </c>
      <c r="C4604" s="26" t="str">
        <f>HYPERLINK("https://audio.iskcondesiretree.com/02_-_ISKCON_Swamis/ISKCON_Swamis_-_R_to_Y/His_Holiness_Radhanath_Swami/Lectures/01_-_Theme_wise/Vedic_Culture/1993-099_The_Wealth_Of_Indian_Culture_SB_05-05-05_-_Radhanath_Swami_Mumbai_1993-05-27_IDesireTree.mp3", "1993-099_The_Wealth_Of_Indian_Culture_SB_05-05-05_-_Radhanath_Swami_Mumbai_1993-05-27_IDesireTree.mp3")</f>
        <v>1993-099_The_Wealth_Of_Indian_Culture_SB_05-05-05_-_Radhanath_Swami_Mumbai_1993-05-27_IDesireTree.mp3</v>
      </c>
      <c r="D4604" s="24"/>
      <c r="E4604" s="24"/>
    </row>
    <row r="4605">
      <c r="A4605" s="25" t="s">
        <v>18392</v>
      </c>
      <c r="B4605" s="25" t="s">
        <v>18506</v>
      </c>
      <c r="C4605" s="26" t="str">
        <f>HYPERLINK("https://audio.iskcondesiretree.com/02_-_ISKCON_Swamis/ISKCON_Swamis_-_R_to_Y/His_Holiness_Radhanath_Swami/Lectures/01_-_Theme_wise/Vedic_Culture/1993-108_Greatness_Of_Vedic_Culture_SB_01-02-25_-_Radhanath_Swami_Mumbai_1993-06-06_IDesireTree.mp3", "1993-108_Greatness_Of_Vedic_Culture_SB_01-02-25_-_Radhanath_Swami_Mumbai_1993-06-06_IDesireTree.mp3")</f>
        <v>1993-108_Greatness_Of_Vedic_Culture_SB_01-02-25_-_Radhanath_Swami_Mumbai_1993-06-06_IDesireTree.mp3</v>
      </c>
      <c r="D4605" s="24"/>
      <c r="E4605" s="24"/>
    </row>
    <row r="4606">
      <c r="A4606" s="25" t="s">
        <v>18392</v>
      </c>
      <c r="B4606" s="25" t="s">
        <v>18506</v>
      </c>
      <c r="C4606" s="26" t="str">
        <f>HYPERLINK("https://audio.iskcondesiretree.com/02_-_ISKCON_Swamis/ISKCON_Swamis_-_R_to_Y/His_Holiness_Radhanath_Swami/Lectures/01_-_Theme_wise/Vedic_Culture/1994-196_What_Are_Samskaras_Ht_-_Lecture_-_Radhanath_Swami_Mumbai_1994-10-16_IDesireTree.mp3", "1994-196_What_Are_Samskaras_Ht_-_Lecture_-_Radhanath_Swami_Mumbai_1994-10-16_IDesireTree.mp3")</f>
        <v>1994-196_What_Are_Samskaras_Ht_-_Lecture_-_Radhanath_Swami_Mumbai_1994-10-16_IDesireTree.mp3</v>
      </c>
      <c r="D4606" s="24"/>
      <c r="E4606" s="24"/>
    </row>
    <row r="4607">
      <c r="A4607" s="25" t="s">
        <v>18392</v>
      </c>
      <c r="B4607" s="25" t="s">
        <v>18506</v>
      </c>
      <c r="C4607" s="26" t="str">
        <f>HYPERLINK("https://audio.iskcondesiretree.com/02_-_ISKCON_Swamis/ISKCON_Swamis_-_R_to_Y/His_Holiness_Radhanath_Swami/Lectures/01_-_Theme_wise/Vedic_Culture/1996-038_Importance_Of_Cows_And_Bulls_SB_01-17-20_-_Radhanath_Swami_Mumbai_1996-02-25_IDesireTree.mp3", "1996-038_Importance_Of_Cows_And_Bulls_SB_01-17-20_-_Radhanath_Swami_Mumbai_1996-02-25_IDesireTree.mp3")</f>
        <v>1996-038_Importance_Of_Cows_And_Bulls_SB_01-17-20_-_Radhanath_Swami_Mumbai_1996-02-25_IDesireTree.mp3</v>
      </c>
      <c r="D4607" s="24"/>
      <c r="E4607" s="24"/>
    </row>
    <row r="4608">
      <c r="A4608" s="25" t="s">
        <v>18392</v>
      </c>
      <c r="B4608" s="25" t="s">
        <v>18506</v>
      </c>
      <c r="C4608" s="26" t="str">
        <f>HYPERLINK("https://audio.iskcondesiretree.com/02_-_ISKCON_Swamis/ISKCON_Swamis_-_R_to_Y/His_Holiness_Radhanath_Swami/Lectures/01_-_Theme_wise/Vedic_Culture/2003-008_The_Culture_of_how_to_Respect_Others_SB_04-21-14_-_Radhanath_Swami_Mumbai_2003-01-12_IDesireTree.mp3", "2003-008_The_Culture_of_how_to_Respect_Others_SB_04-21-14_-_Radhanath_Swami_Mumbai_2003-01-12_IDesireTree.mp3")</f>
        <v>2003-008_The_Culture_of_how_to_Respect_Others_SB_04-21-14_-_Radhanath_Swami_Mumbai_2003-01-12_IDesireTree.mp3</v>
      </c>
      <c r="D4608" s="24"/>
      <c r="E4608" s="24"/>
    </row>
    <row r="4609">
      <c r="A4609" s="25" t="s">
        <v>18392</v>
      </c>
      <c r="B4609" s="25" t="s">
        <v>18507</v>
      </c>
      <c r="C4609" s="26" t="str">
        <f>HYPERLINK("https://audio.iskcondesiretree.com/02_-_ISKCON_Swamis/ISKCON_Swamis_-_R_to_Y/His_Holiness_Radhanath_Swami/Lectures/01_-_Theme_wise/Vyas_Puja/1990-025_Vyasa_Puja_BVM_1_-_Radhanath_Swami_IDesireTree.mp3", "1990-025_Vyasa_Puja_BVM_1_-_Radhanath_Swami_IDesireTree.mp3")</f>
        <v>1990-025_Vyasa_Puja_BVM_1_-_Radhanath_Swami_IDesireTree.mp3</v>
      </c>
      <c r="D4609" s="24"/>
      <c r="E4609" s="24"/>
    </row>
    <row r="4610">
      <c r="A4610" s="25" t="s">
        <v>18392</v>
      </c>
      <c r="B4610" s="25" t="s">
        <v>18507</v>
      </c>
      <c r="C4610" s="26" t="str">
        <f>HYPERLINK("https://audio.iskcondesiretree.com/02_-_ISKCON_Swamis/ISKCON_Swamis_-_R_to_Y/His_Holiness_Radhanath_Swami/Lectures/01_-_Theme_wise/Vyas_Puja/1996-031_Vyas_Puja_Lecture_-_Radhanath_Swami_Pune_1996-01-27_IDesireTree.mp3", "1996-031_Vyas_Puja_Lecture_-_Radhanath_Swami_Pune_1996-01-27_IDesireTree.mp3")</f>
        <v>1996-031_Vyas_Puja_Lecture_-_Radhanath_Swami_Pune_1996-01-27_IDesireTree.mp3</v>
      </c>
      <c r="D4610" s="24"/>
      <c r="E4610" s="24"/>
    </row>
    <row r="4611">
      <c r="A4611" s="25" t="s">
        <v>18392</v>
      </c>
      <c r="B4611" s="25" t="s">
        <v>18507</v>
      </c>
      <c r="C4611" s="26" t="str">
        <f>HYPERLINK("https://audio.iskcondesiretree.com/02_-_ISKCON_Swamis/ISKCON_Swamis_-_R_to_Y/His_Holiness_Radhanath_Swami/Lectures/01_-_Theme_wise/Vyas_Puja/1996-107_Vyas_Puja_Offering_Lecture_-_Radhanath_Swami_Mumbai_1996-04-08_IDesireTree.mp3", "1996-107_Vyas_Puja_Offering_Lecture_-_Radhanath_Swami_Mumbai_1996-04-08_IDesireTree.mp3")</f>
        <v>1996-107_Vyas_Puja_Offering_Lecture_-_Radhanath_Swami_Mumbai_1996-04-08_IDesireTree.mp3</v>
      </c>
      <c r="D4611" s="24"/>
      <c r="E4611" s="24"/>
    </row>
    <row r="4612">
      <c r="A4612" s="25" t="s">
        <v>18392</v>
      </c>
      <c r="B4612" s="25" t="s">
        <v>18507</v>
      </c>
      <c r="C4612" s="26" t="str">
        <f>HYPERLINK("https://audio.iskcondesiretree.com/02_-_ISKCON_Swamis/ISKCON_Swamis_-_R_to_Y/His_Holiness_Radhanath_Swami/Lectures/01_-_Theme_wise/Vyas_Puja/1996-121_Vyas_Puja_Offering_Lecture_-_Radhanath_Swami_Mumbai_1996-04-09_IDesireTree.mp3", "1996-121_Vyas_Puja_Offering_Lecture_-_Radhanath_Swami_Mumbai_1996-04-09_IDesireTree.mp3")</f>
        <v>1996-121_Vyas_Puja_Offering_Lecture_-_Radhanath_Swami_Mumbai_1996-04-09_IDesireTree.mp3</v>
      </c>
      <c r="D4612" s="24"/>
      <c r="E4612" s="24"/>
    </row>
    <row r="4613">
      <c r="A4613" s="25" t="s">
        <v>18392</v>
      </c>
      <c r="B4613" s="25" t="s">
        <v>18507</v>
      </c>
      <c r="C4613" s="26" t="str">
        <f>HYPERLINK("https://audio.iskcondesiretree.com/02_-_ISKCON_Swamis/ISKCON_Swamis_-_R_to_Y/His_Holiness_Radhanath_Swami/Lectures/01_-_Theme_wise/Vyas_Puja/1996-125_Offering_To_Srila_Prabhupada_Lecture_-_Radhanath_Swami_Mumbai_1996-06-09_IDesireTree.mp3", "1996-125_Offering_To_Srila_Prabhupada_Lecture_-_Radhanath_Swami_Mumbai_1996-06-09_IDesireTree.mp3")</f>
        <v>1996-125_Offering_To_Srila_Prabhupada_Lecture_-_Radhanath_Swami_Mumbai_1996-06-09_IDesireTree.mp3</v>
      </c>
      <c r="D4613" s="24"/>
      <c r="E4613" s="24"/>
    </row>
    <row r="4614">
      <c r="A4614" s="25" t="s">
        <v>18392</v>
      </c>
      <c r="B4614" s="25" t="s">
        <v>18507</v>
      </c>
      <c r="C4614" s="26" t="str">
        <f>HYPERLINK("https://audio.iskcondesiretree.com/02_-_ISKCON_Swamis/ISKCON_Swamis_-_R_to_Y/His_Holiness_Radhanath_Swami/Lectures/01_-_Theme_wise/Vyas_Puja/2000-058_Vyas_Puja_Offering_Lecture_-_Radhanath_Swami_Mumbai_2000-08-24_IDesireTree.mp3", "2000-058_Vyas_Puja_Offering_Lecture_-_Radhanath_Swami_Mumbai_2000-08-24_IDesireTree.mp3")</f>
        <v>2000-058_Vyas_Puja_Offering_Lecture_-_Radhanath_Swami_Mumbai_2000-08-24_IDesireTree.mp3</v>
      </c>
      <c r="D4614" s="24"/>
      <c r="E4614" s="24"/>
    </row>
    <row r="4615">
      <c r="A4615" s="25" t="s">
        <v>18392</v>
      </c>
      <c r="B4615" s="25" t="s">
        <v>18507</v>
      </c>
      <c r="C4615" s="26" t="str">
        <f>HYPERLINK("https://audio.iskcondesiretree.com/02_-_ISKCON_Swamis/ISKCON_Swamis_-_R_to_Y/His_Holiness_Radhanath_Swami/Lectures/01_-_Theme_wise/Vyas_Puja/2001-059_Vyas_Puja_Add_Lecture_-_Radhanath_Swami_Mumbai_2001-12-13_IDesireTree.mp3", "2001-059_Vyas_Puja_Add_Lecture_-_Radhanath_Swami_Mumbai_2001-12-13_IDesireTree.mp3")</f>
        <v>2001-059_Vyas_Puja_Add_Lecture_-_Radhanath_Swami_Mumbai_2001-12-13_IDesireTree.mp3</v>
      </c>
      <c r="D4615" s="24"/>
      <c r="E4615" s="24"/>
    </row>
    <row r="4616">
      <c r="A4616" s="25" t="s">
        <v>18392</v>
      </c>
      <c r="B4616" s="25" t="s">
        <v>18507</v>
      </c>
      <c r="C4616" s="26" t="str">
        <f>HYPERLINK("https://audio.iskcondesiretree.com/02_-_ISKCON_Swamis/ISKCON_Swamis_-_R_to_Y/His_Holiness_Radhanath_Swami/Lectures/01_-_Theme_wise/Vyas_Puja/2002-120_Vyas_Puja_Address_Lecture_-_Radhanath_Swami_Mumbai_2002-03-13_IDesireTree.mp3", "2002-120_Vyas_Puja_Address_Lecture_-_Radhanath_Swami_Mumbai_2002-03-13_IDesireTree.mp3")</f>
        <v>2002-120_Vyas_Puja_Address_Lecture_-_Radhanath_Swami_Mumbai_2002-03-13_IDesireTree.mp3</v>
      </c>
      <c r="D4616" s="24"/>
      <c r="E4616" s="24"/>
    </row>
    <row r="4617">
      <c r="A4617" s="25" t="s">
        <v>18392</v>
      </c>
      <c r="B4617" s="25" t="s">
        <v>18507</v>
      </c>
      <c r="C4617" s="26" t="str">
        <f>HYPERLINK("https://audio.iskcondesiretree.com/02_-_ISKCON_Swamis/ISKCON_Swamis_-_R_to_Y/His_Holiness_Radhanath_Swami/Lectures/01_-_Theme_wise/Vyas_Puja/2003-051_Vyas_Puja_Offering_Lecture_-_Radhanath_Swami_Mumbai_2006-08-21_IDesireTree.mp3", "2003-051_Vyas_Puja_Offering_Lecture_-_Radhanath_Swami_Mumbai_2006-08-21_IDesireTree.mp3")</f>
        <v>2003-051_Vyas_Puja_Offering_Lecture_-_Radhanath_Swami_Mumbai_2006-08-21_IDesireTree.mp3</v>
      </c>
      <c r="D4617" s="24"/>
      <c r="E4617" s="24"/>
    </row>
    <row r="4618">
      <c r="A4618" s="25" t="s">
        <v>18392</v>
      </c>
      <c r="B4618" s="25" t="s">
        <v>18507</v>
      </c>
      <c r="C4618" s="26" t="str">
        <f>HYPERLINK("https://audio.iskcondesiretree.com/02_-_ISKCON_Swamis/ISKCON_Swamis_-_R_to_Y/His_Holiness_Radhanath_Swami/Lectures/01_-_Theme_wise/Vyas_Puja/2003-104_Vyas_Puja_Address_Lecture_-_Radhanath_Swami_Mumbai_-_2003-12-12_IDesireTree.mp3", "2003-104_Vyas_Puja_Address_Lecture_-_Radhanath_Swami_Mumbai_-_2003-12-12_IDesireTree.mp3")</f>
        <v>2003-104_Vyas_Puja_Address_Lecture_-_Radhanath_Swami_Mumbai_-_2003-12-12_IDesireTree.mp3</v>
      </c>
      <c r="D4618" s="24"/>
      <c r="E4618" s="24"/>
    </row>
    <row r="4619">
      <c r="A4619" s="25" t="s">
        <v>18392</v>
      </c>
      <c r="B4619" s="25" t="s">
        <v>18508</v>
      </c>
      <c r="C4619" s="26" t="str">
        <f>HYPERLINK("https://audio.iskcondesiretree.com/02_-_ISKCON_Swamis/ISKCON_Swamis_-_R_to_Y/His_Holiness_Radhanath_Swami/Lectures/01_-_Theme_wise/Youth_Preaching/1995-014_Talk_With_J_J_Medical_Students_-_Radhanath_Swami_Mumbai_1995-01-11.mp3", "1995-014_Talk_With_J_J_Medical_Students_-_Radhanath_Swami_Mumbai_1995-01-11.mp3")</f>
        <v>1995-014_Talk_With_J_J_Medical_Students_-_Radhanath_Swami_Mumbai_1995-01-11.mp3</v>
      </c>
      <c r="D4619" s="24"/>
      <c r="E4619" s="24"/>
    </row>
    <row r="4620">
      <c r="A4620" s="25" t="s">
        <v>18509</v>
      </c>
      <c r="B4620" s="25" t="s">
        <v>18510</v>
      </c>
      <c r="C4620" s="26" t="str">
        <f>HYPERLINK("https://audio.iskcondesiretree.com/02_-_ISKCON_Swamis/ISKCON_Swamis_-_R_to_Y/His_Holiness_Radhanath_Swami/Lectures/02_-_Yatra/1997_Mayapur/Mayapur_Yatra_1997_01_Childhood_Pastimes_of_Nimai_with_Sacinandana_Swami_Radhanath_Swami_.mp3", "Mayapur_Yatra_1997_01_Childhood_Pastimes_of_Nimai_with_Sacinandana_Swami_Radhanath_Swami_.mp3")</f>
        <v>Mayapur_Yatra_1997_01_Childhood_Pastimes_of_Nimai_with_Sacinandana_Swami_Radhanath_Swami_.mp3</v>
      </c>
      <c r="D4620" s="24"/>
      <c r="E4620" s="24"/>
    </row>
    <row r="4621">
      <c r="A4621" s="25" t="s">
        <v>18509</v>
      </c>
      <c r="B4621" s="25" t="s">
        <v>18510</v>
      </c>
      <c r="C4621" s="26" t="str">
        <f>HYPERLINK("https://audio.iskcondesiretree.com/02_-_ISKCON_Swamis/ISKCON_Swamis_-_R_to_Y/His_Holiness_Radhanath_Swami/Lectures/02_-_Yatra/1997_Mayapur/Mayapur_Yatra_1997_02_Radhanath_Swami_Pastimes_at_Srivas_Angan.mp3", "Mayapur_Yatra_1997_02_Radhanath_Swami_Pastimes_at_Srivas_Angan.mp3")</f>
        <v>Mayapur_Yatra_1997_02_Radhanath_Swami_Pastimes_at_Srivas_Angan.mp3</v>
      </c>
      <c r="D4621" s="24"/>
      <c r="E4621" s="24"/>
    </row>
    <row r="4622">
      <c r="A4622" s="25" t="s">
        <v>18509</v>
      </c>
      <c r="B4622" s="25" t="s">
        <v>18510</v>
      </c>
      <c r="C4622" s="26" t="str">
        <f>HYPERLINK("https://audio.iskcondesiretree.com/02_-_ISKCON_Swamis/ISKCON_Swamis_-_R_to_Y/His_Holiness_Radhanath_Swami/Lectures/02_-_Yatra/1997_Mayapur/Mayapur_Yatra_1997_03_Pastimes_at_the_House_of_Nandan_Acharya_Radhanath_Swami.mp3", "Mayapur_Yatra_1997_03_Pastimes_at_the_House_of_Nandan_Acharya_Radhanath_Swami.mp3")</f>
        <v>Mayapur_Yatra_1997_03_Pastimes_at_the_House_of_Nandan_Acharya_Radhanath_Swami.mp3</v>
      </c>
      <c r="D4622" s="24"/>
      <c r="E4622" s="24"/>
    </row>
    <row r="4623">
      <c r="A4623" s="25" t="s">
        <v>18509</v>
      </c>
      <c r="B4623" s="25" t="s">
        <v>18510</v>
      </c>
      <c r="C4623" s="26" t="str">
        <f>HYPERLINK("https://audio.iskcondesiretree.com/02_-_ISKCON_Swamis/ISKCON_Swamis_-_R_to_Y/His_Holiness_Radhanath_Swami/Lectures/02_-_Yatra/1997_Mayapur/Mayapur_Yatra_1997_04_House_of_Murari_Gupta_with_Sacinandana_Swami_Radhanath_Swami.mp3", "Mayapur_Yatra_1997_04_House_of_Murari_Gupta_with_Sacinandana_Swami_Radhanath_Swami.mp3")</f>
        <v>Mayapur_Yatra_1997_04_House_of_Murari_Gupta_with_Sacinandana_Swami_Radhanath_Swami.mp3</v>
      </c>
      <c r="D4623" s="24"/>
      <c r="E4623" s="24"/>
    </row>
    <row r="4624">
      <c r="A4624" s="25" t="s">
        <v>18509</v>
      </c>
      <c r="B4624" s="25" t="s">
        <v>18510</v>
      </c>
      <c r="C4624" s="26" t="str">
        <f>HYPERLINK("https://audio.iskcondesiretree.com/02_-_ISKCON_Swamis/ISKCON_Swamis_-_R_to_Y/His_Holiness_Radhanath_Swami/Lectures/02_-_Yatra/1997_Mayapur/Mayapur_Yatra_1997_05_Pastimes_at_the_House_of_Chandrashekhar_Acharya_Radhanath_Swami.mp3", "Mayapur_Yatra_1997_05_Pastimes_at_the_House_of_Chandrashekhar_Acharya_Radhanath_Swami.mp3")</f>
        <v>Mayapur_Yatra_1997_05_Pastimes_at_the_House_of_Chandrashekhar_Acharya_Radhanath_Swami.mp3</v>
      </c>
      <c r="D4624" s="24"/>
      <c r="E4624" s="24"/>
    </row>
    <row r="4625">
      <c r="A4625" s="25" t="s">
        <v>18509</v>
      </c>
      <c r="B4625" s="25" t="s">
        <v>18510</v>
      </c>
      <c r="C4625" s="26" t="str">
        <f>HYPERLINK("https://audio.iskcondesiretree.com/02_-_ISKCON_Swamis/ISKCON_Swamis_-_R_to_Y/His_Holiness_Radhanath_Swami/Lectures/02_-_Yatra/1997_Mayapur/Mayapur_Yatra_1997_06_Glorification_of_Srila_Bhaktisiddhanta_Saraswati_Thakur_Sacinandana%20Swami_Radhanath_Swami.mp"&amp;"3", "Mayapur_Yatra_1997_06_Glorification_of_Srila_Bhaktisiddhanta_Saraswati_Thakur_Sacinandana%20Swami_Radhanath_Swami.mp3")</f>
        <v>Mayapur_Yatra_1997_06_Glorification_of_Srila_Bhaktisiddhanta_Saraswati_Thakur_Sacinandana%20Swami_Radhanath_Swami.mp3</v>
      </c>
      <c r="D4625" s="24"/>
      <c r="E4625" s="24"/>
    </row>
    <row r="4626">
      <c r="A4626" s="25" t="s">
        <v>18509</v>
      </c>
      <c r="B4626" s="25" t="s">
        <v>18510</v>
      </c>
      <c r="C4626" s="26" t="str">
        <f>HYPERLINK("https://audio.iskcondesiretree.com/02_-_ISKCON_Swamis/ISKCON_Swamis_-_R_to_Y/His_Holiness_Radhanath_Swami/Lectures/02_-_Yatra/1997_Mayapur/Mayapur_Yatra_1997_07_-_Story_of_Simantadvipa_%26_Sridhar_Kolovecha_with_Jananivas_Pr_Radhanath_Swami_.mp3", "Mayapur_Yatra_1997_07_-_Story_of_Simantadvipa_%26_Sridhar_Kolovecha_with_Jananivas_Pr_Radhanath_Swami_.mp3")</f>
        <v>Mayapur_Yatra_1997_07_-_Story_of_Simantadvipa_%26_Sridhar_Kolovecha_with_Jananivas_Pr_Radhanath_Swami_.mp3</v>
      </c>
      <c r="D4626" s="24"/>
      <c r="E4626" s="24"/>
    </row>
    <row r="4627">
      <c r="A4627" s="25" t="s">
        <v>18509</v>
      </c>
      <c r="B4627" s="25" t="s">
        <v>18510</v>
      </c>
      <c r="C4627" s="26" t="str">
        <f>HYPERLINK("https://audio.iskcondesiretree.com/02_-_ISKCON_Swamis/ISKCON_Swamis_-_R_to_Y/His_Holiness_Radhanath_Swami/Lectures/02_-_Yatra/1997_Mayapur/Mayapur_Yatra_1997_08_-_Pastimes_of_Lord_Jagannath_Jananivas_Prabhu_Pankajanghri_Pr_Radhanath_Swami_.mp3", "Mayapur_Yatra_1997_08_-_Pastimes_of_Lord_Jagannath_Jananivas_Prabhu_Pankajanghri_Pr_Radhanath_Swami_.mp3")</f>
        <v>Mayapur_Yatra_1997_08_-_Pastimes_of_Lord_Jagannath_Jananivas_Prabhu_Pankajanghri_Pr_Radhanath_Swami_.mp3</v>
      </c>
      <c r="D4627" s="24"/>
      <c r="E4627" s="24"/>
    </row>
    <row r="4628">
      <c r="A4628" s="25" t="s">
        <v>18509</v>
      </c>
      <c r="B4628" s="25" t="s">
        <v>18510</v>
      </c>
      <c r="C4628" s="26" t="str">
        <f>HYPERLINK("https://audio.iskcondesiretree.com/02_-_ISKCON_Swamis/ISKCON_Swamis_-_R_to_Y/His_Holiness_Radhanath_Swami/Lectures/02_-_Yatra/1997_Mayapur/Mayapur_Yatra_1997_09_-_Deliverance_of_Chand_Kazi_Radhanath_Swami.mp3", "Mayapur_Yatra_1997_09_-_Deliverance_of_Chand_Kazi_Radhanath_Swami.mp3")</f>
        <v>Mayapur_Yatra_1997_09_-_Deliverance_of_Chand_Kazi_Radhanath_Swami.mp3</v>
      </c>
      <c r="D4628" s="24"/>
      <c r="E4628" s="24"/>
    </row>
    <row r="4629">
      <c r="A4629" s="25" t="s">
        <v>18509</v>
      </c>
      <c r="B4629" s="25" t="s">
        <v>18510</v>
      </c>
      <c r="C4629" s="26" t="str">
        <f>HYPERLINK("https://audio.iskcondesiretree.com/02_-_ISKCON_Swamis/ISKCON_Swamis_-_R_to_Y/His_Holiness_Radhanath_Swami/Lectures/02_-_Yatra/1997_Mayapur/Mayapur_Yatra_1997_10_-_Pastimes_at_Surabhi_Kunj_Radhanath_Swami.mp3", "Mayapur_Yatra_1997_10_-_Pastimes_at_Surabhi_Kunj_Radhanath_Swami.mp3")</f>
        <v>Mayapur_Yatra_1997_10_-_Pastimes_at_Surabhi_Kunj_Radhanath_Swami.mp3</v>
      </c>
      <c r="D4629" s="24"/>
      <c r="E4629" s="24"/>
    </row>
    <row r="4630">
      <c r="A4630" s="25" t="s">
        <v>18509</v>
      </c>
      <c r="B4630" s="25" t="s">
        <v>18510</v>
      </c>
      <c r="C4630" s="26" t="str">
        <f>HYPERLINK("https://audio.iskcondesiretree.com/02_-_ISKCON_Swamis/ISKCON_Swamis_-_R_to_Y/His_Holiness_Radhanath_Swami/Lectures/02_-_Yatra/1997_Mayapur/Mayapur_Yatra_1997_11_-_Glories_of_Srila_Bhaktivinod_Thakur_with_Sacinandana_Swami_Radhanath_Swami.mp3", "Mayapur_Yatra_1997_11_-_Glories_of_Srila_Bhaktivinod_Thakur_with_Sacinandana_Swami_Radhanath_Swami.mp3")</f>
        <v>Mayapur_Yatra_1997_11_-_Glories_of_Srila_Bhaktivinod_Thakur_with_Sacinandana_Swami_Radhanath_Swami.mp3</v>
      </c>
      <c r="D4630" s="24"/>
      <c r="E4630" s="24"/>
    </row>
    <row r="4631">
      <c r="A4631" s="25" t="s">
        <v>18509</v>
      </c>
      <c r="B4631" s="25" t="s">
        <v>18510</v>
      </c>
      <c r="C4631" s="26" t="str">
        <f>HYPERLINK("https://audio.iskcondesiretree.com/02_-_ISKCON_Swamis/ISKCON_Swamis_-_R_to_Y/His_Holiness_Radhanath_Swami/Lectures/02_-_Yatra/1997_Mayapur/Mayapur_Yatra_1997_12_Pastimes_at_Suvarna_Vihar_Aamghat_%26_Hari_Hara_Kshetra_Sacinandana_Swami_Radhanath%20Swami.mp"&amp;"3", "Mayapur_Yatra_1997_12_Pastimes_at_Suvarna_Vihar_Aamghat_%26_Hari_Hara_Kshetra_Sacinandana_Swami_Radhanath%20Swami.mp3")</f>
        <v>Mayapur_Yatra_1997_12_Pastimes_at_Suvarna_Vihar_Aamghat_%26_Hari_Hara_Kshetra_Sacinandana_Swami_Radhanath%20Swami.mp3</v>
      </c>
      <c r="D4631" s="24"/>
      <c r="E4631" s="24"/>
    </row>
    <row r="4632">
      <c r="A4632" s="25" t="s">
        <v>18509</v>
      </c>
      <c r="B4632" s="25" t="s">
        <v>18510</v>
      </c>
      <c r="C4632" s="26" t="str">
        <f>HYPERLINK("https://audio.iskcondesiretree.com/02_-_ISKCON_Swamis/ISKCON_Swamis_-_R_to_Y/His_Holiness_Radhanath_Swami/Lectures/02_-_Yatra/1997_Mayapur/Mayapur_Yatra_1997_13_Glorification_of_Vrindavan_Das_Thakur_Vasudev_Dutt_Sacinandana_Swami_Radhanath_Swami.mp3", "Mayapur_Yatra_1997_13_Glorification_of_Vrindavan_Das_Thakur_Vasudev_Dutt_Sacinandana_Swami_Radhanath_Swami.mp3")</f>
        <v>Mayapur_Yatra_1997_13_Glorification_of_Vrindavan_Das_Thakur_Vasudev_Dutt_Sacinandana_Swami_Radhanath_Swami.mp3</v>
      </c>
      <c r="D4632" s="24"/>
      <c r="E4632" s="24"/>
    </row>
    <row r="4633">
      <c r="A4633" s="25" t="s">
        <v>18509</v>
      </c>
      <c r="B4633" s="25" t="s">
        <v>18510</v>
      </c>
      <c r="C4633" s="26" t="str">
        <f>HYPERLINK("https://audio.iskcondesiretree.com/02_-_ISKCON_Swamis/ISKCON_Swamis_-_R_to_Y/His_Holiness_Radhanath_Swami/Lectures/02_-_Yatra/1997_Mayapur/Mayapur_Yatra_1997_14_Pastimes_at_Vidyanagar_Champahati_Radhanath_Swami.mp3", "Mayapur_Yatra_1997_14_Pastimes_at_Vidyanagar_Champahati_Radhanath_Swami.mp3")</f>
        <v>Mayapur_Yatra_1997_14_Pastimes_at_Vidyanagar_Champahati_Radhanath_Swami.mp3</v>
      </c>
      <c r="D4633" s="24"/>
      <c r="E4633" s="24"/>
    </row>
    <row r="4634">
      <c r="A4634" s="25" t="s">
        <v>18509</v>
      </c>
      <c r="B4634" s="25" t="s">
        <v>18510</v>
      </c>
      <c r="C4634" s="26" t="str">
        <f>HYPERLINK("https://audio.iskcondesiretree.com/02_-_ISKCON_Swamis/ISKCON_Swamis_-_R_to_Y/His_Holiness_Radhanath_Swami/Lectures/02_-_Yatra/1997_Mayapur/Mayapur_Yatra_1997_15_Glorification_of_Vishnu_Priya_Devi_Radhanath_Swami_Sacinandana_Swami.mp3", "Mayapur_Yatra_1997_15_Glorification_of_Vishnu_Priya_Devi_Radhanath_Swami_Sacinandana_Swami.mp3")</f>
        <v>Mayapur_Yatra_1997_15_Glorification_of_Vishnu_Priya_Devi_Radhanath_Swami_Sacinandana_Swami.mp3</v>
      </c>
      <c r="D4634" s="24"/>
      <c r="E4634" s="24"/>
    </row>
    <row r="4635">
      <c r="A4635" s="25" t="s">
        <v>18509</v>
      </c>
      <c r="B4635" s="25" t="s">
        <v>18510</v>
      </c>
      <c r="C4635" s="26" t="str">
        <f>HYPERLINK("https://audio.iskcondesiretree.com/02_-_ISKCON_Swamis/ISKCON_Swamis_-_R_to_Y/His_Holiness_Radhanath_Swami/Lectures/02_-_Yatra/1997_Mayapur/Mayapur_Yatra_1997_16_Pastimes_at_Ramkeli.mp3", "Mayapur_Yatra_1997_16_Pastimes_at_Ramkeli.mp3")</f>
        <v>Mayapur_Yatra_1997_16_Pastimes_at_Ramkeli.mp3</v>
      </c>
      <c r="D4635" s="24"/>
      <c r="E4635" s="24"/>
    </row>
    <row r="4636">
      <c r="A4636" s="25" t="s">
        <v>18509</v>
      </c>
      <c r="B4636" s="25" t="s">
        <v>18510</v>
      </c>
      <c r="C4636" s="26" t="str">
        <f>HYPERLINK("https://audio.iskcondesiretree.com/02_-_ISKCON_Swamis/ISKCON_Swamis_-_R_to_Y/His_Holiness_Radhanath_Swami/Lectures/02_-_Yatra/1997_Mayapur/Mayapur_Yatra_1997_17_Govardhan_Lila_Radhanath_Swami_Giriraj_Swami_Sacinandana_Swami.mp3", "Mayapur_Yatra_1997_17_Govardhan_Lila_Radhanath_Swami_Giriraj_Swami_Sacinandana_Swami.mp3")</f>
        <v>Mayapur_Yatra_1997_17_Govardhan_Lila_Radhanath_Swami_Giriraj_Swami_Sacinandana_Swami.mp3</v>
      </c>
      <c r="D4636" s="24"/>
      <c r="E4636" s="24"/>
    </row>
    <row r="4637">
      <c r="A4637" s="25" t="s">
        <v>18509</v>
      </c>
      <c r="B4637" s="25" t="s">
        <v>18510</v>
      </c>
      <c r="C4637" s="26" t="str">
        <f>HYPERLINK("https://audio.iskcondesiretree.com/02_-_ISKCON_Swamis/ISKCON_Swamis_-_R_to_Y/His_Holiness_Radhanath_Swami/Lectures/02_-_Yatra/1997_Mayapur/Mayapur_Yatra_1997_18_Pastimes_at_Kanainatashala_Radhanath_Swami.mp3", "Mayapur_Yatra_1997_18_Pastimes_at_Kanainatashala_Radhanath_Swami.mp3")</f>
        <v>Mayapur_Yatra_1997_18_Pastimes_at_Kanainatashala_Radhanath_Swami.mp3</v>
      </c>
      <c r="D4637" s="24"/>
      <c r="E4637" s="24"/>
    </row>
    <row r="4638">
      <c r="A4638" s="25" t="s">
        <v>18509</v>
      </c>
      <c r="B4638" s="25" t="s">
        <v>18510</v>
      </c>
      <c r="C4638" s="26" t="str">
        <f>HYPERLINK("https://audio.iskcondesiretree.com/02_-_ISKCON_Swamis/ISKCON_Swamis_-_R_to_Y/His_Holiness_Radhanath_Swami/Lectures/02_-_Yatra/1997_Mayapur/Mayapur_Yatra_1997_19_Glorification_of%20Govardhan%20Hill%20Radhanath%20Swami.mp3", "Mayapur_Yatra_1997_19_Glorification_of%20Govardhan%20Hill%20Radhanath%20Swami.mp3")</f>
        <v>Mayapur_Yatra_1997_19_Glorification_of%20Govardhan%20Hill%20Radhanath%20Swami.mp3</v>
      </c>
      <c r="D4638" s="24"/>
      <c r="E4638" s="24"/>
    </row>
    <row r="4639">
      <c r="A4639" s="25" t="s">
        <v>18509</v>
      </c>
      <c r="B4639" s="25" t="s">
        <v>18510</v>
      </c>
      <c r="C4639" s="26" t="str">
        <f>HYPERLINK("https://audio.iskcondesiretree.com/02_-_ISKCON_Swamis/ISKCON_Swamis_-_R_to_Y/His_Holiness_Radhanath_Swami/Lectures/02_-_Yatra/1997_Mayapur/Mayapur_Yatra_1997_20_Childhood_Pastimes_of_Nitai_Radhanath_Swami.mp3", "Mayapur_Yatra_1997_20_Childhood_Pastimes_of_Nitai_Radhanath_Swami.mp3")</f>
        <v>Mayapur_Yatra_1997_20_Childhood_Pastimes_of_Nitai_Radhanath_Swami.mp3</v>
      </c>
      <c r="D4639" s="24"/>
      <c r="E4639" s="24"/>
    </row>
    <row r="4640">
      <c r="A4640" s="25" t="s">
        <v>18509</v>
      </c>
      <c r="B4640" s="25" t="s">
        <v>18510</v>
      </c>
      <c r="C4640" s="26" t="str">
        <f>HYPERLINK("https://audio.iskcondesiretree.com/02_-_ISKCON_Swamis/ISKCON_Swamis_-_R_to_Y/His_Holiness_Radhanath_Swami/Lectures/02_-_Yatra/1997_Mayapur/Mayapur_Yatra_1997_21_Life_of_Nityananda_Prabhu_Radhanath_Swami_Giriraj_Swami_Sacinandana_Swam.mp3", "Mayapur_Yatra_1997_21_Life_of_Nityananda_Prabhu_Radhanath_Swami_Giriraj_Swami_Sacinandana_Swam.mp3")</f>
        <v>Mayapur_Yatra_1997_21_Life_of_Nityananda_Prabhu_Radhanath_Swami_Giriraj_Swami_Sacinandana_Swam.mp3</v>
      </c>
      <c r="D4640" s="24"/>
      <c r="E4640" s="24"/>
    </row>
    <row r="4641">
      <c r="A4641" s="25" t="s">
        <v>18509</v>
      </c>
      <c r="B4641" s="25" t="s">
        <v>18510</v>
      </c>
      <c r="C4641" s="26" t="str">
        <f>HYPERLINK("https://audio.iskcondesiretree.com/02_-_ISKCON_Swamis/ISKCON_Swamis_-_R_to_Y/His_Holiness_Radhanath_Swami/Lectures/02_-_Yatra/1997_Mayapur/Mayapur_Yatra_1997_22_Pastimes_at_Jajigrama_Radhanath_Swami.mp3", "Mayapur_Yatra_1997_22_Pastimes_at_Jajigrama_Radhanath_Swami.mp3")</f>
        <v>Mayapur_Yatra_1997_22_Pastimes_at_Jajigrama_Radhanath_Swami.mp3</v>
      </c>
      <c r="D4641" s="24"/>
      <c r="E4641" s="24"/>
    </row>
    <row r="4642">
      <c r="A4642" s="25" t="s">
        <v>18509</v>
      </c>
      <c r="B4642" s="25" t="s">
        <v>18510</v>
      </c>
      <c r="C4642" s="26" t="str">
        <f>HYPERLINK("https://audio.iskcondesiretree.com/02_-_ISKCON_Swamis/ISKCON_Swamis_-_R_to_Y/His_Holiness_Radhanath_Swami/Lectures/02_-_Yatra/1997_Mayapur/Mayapur_Yatra_1997_23_Pastimes_at_%20Srikhanda_Radhanath_Swami.mp3", "Mayapur_Yatra_1997_23_Pastimes_at_%20Srikhanda_Radhanath_Swami.mp3")</f>
        <v>Mayapur_Yatra_1997_23_Pastimes_at_%20Srikhanda_Radhanath_Swami.mp3</v>
      </c>
      <c r="D4642" s="24"/>
      <c r="E4642" s="24"/>
    </row>
    <row r="4643">
      <c r="A4643" s="25" t="s">
        <v>18509</v>
      </c>
      <c r="B4643" s="25" t="s">
        <v>18510</v>
      </c>
      <c r="C4643" s="26" t="str">
        <f>HYPERLINK("https://audio.iskcondesiretree.com/02_-_ISKCON_Swamis/ISKCON_Swamis_-_R_to_Y/His_Holiness_Radhanath_Swami/Lectures/02_-_Yatra/1997_Mayapur/Mayapur_Yatra_1997_24_Pastimes_at_Raghava_Pandit%27s_House_Panihati_Radhanath_Swami.mp3", "Mayapur_Yatra_1997_24_Pastimes_at_Raghava_Pandit%27s_House_Panihati_Radhanath_Swami.mp3")</f>
        <v>Mayapur_Yatra_1997_24_Pastimes_at_Raghava_Pandit%27s_House_Panihati_Radhanath_Swami.mp3</v>
      </c>
      <c r="D4643" s="24"/>
      <c r="E4643" s="24"/>
    </row>
    <row r="4644">
      <c r="A4644" s="25" t="s">
        <v>18509</v>
      </c>
      <c r="B4644" s="25" t="s">
        <v>18510</v>
      </c>
      <c r="C4644" s="26" t="str">
        <f>HYPERLINK("https://audio.iskcondesiretree.com/02_-_ISKCON_Swamis/ISKCON_Swamis_-_R_to_Y/His_Holiness_Radhanath_Swami/Lectures/02_-_Yatra/1997_Mayapur/Mayapur_Yatra_1997_25_Lecture_in_Kardaha_Radhanath_Swami.mp3", "Mayapur_Yatra_1997_25_Lecture_in_Kardaha_Radhanath_Swami.mp3")</f>
        <v>Mayapur_Yatra_1997_25_Lecture_in_Kardaha_Radhanath_Swami.mp3</v>
      </c>
      <c r="D4644" s="24"/>
      <c r="E4644" s="24"/>
    </row>
    <row r="4645">
      <c r="A4645" s="25" t="s">
        <v>18509</v>
      </c>
      <c r="B4645" s="25" t="s">
        <v>18511</v>
      </c>
      <c r="C4645" s="26" t="str">
        <f>HYPERLINK("https://audio.iskcondesiretree.com/02_-_ISKCON_Swamis/ISKCON_Swamis_-_R_to_Y/His_Holiness_Radhanath_Swami/Lectures/02_-_Yatra/1998_Vrindavan_yatra/Vrindavan_Yatra_1998_01_-_Kalia%20ghat_-_Radhanath_Swami.mp3", "Vrindavan_Yatra_1998_01_-_Kalia%20ghat_-_Radhanath_Swami.mp3")</f>
        <v>Vrindavan_Yatra_1998_01_-_Kalia%20ghat_-_Radhanath_Swami.mp3</v>
      </c>
      <c r="D4645" s="24"/>
      <c r="E4645" s="24"/>
    </row>
    <row r="4646">
      <c r="A4646" s="25" t="s">
        <v>18509</v>
      </c>
      <c r="B4646" s="25" t="s">
        <v>18511</v>
      </c>
      <c r="C4646" s="26" t="str">
        <f>HYPERLINK("https://audio.iskcondesiretree.com/02_-_ISKCON_Swamis/ISKCON_Swamis_-_R_to_Y/His_Holiness_Radhanath_Swami/Lectures/02_-_Yatra/1998_Vrindavan_yatra/Vrindavan_Yatra_1998_02_-_Various_Temples_Of_Vrindavan-01_-_Radhanath_Swami.mp3", "Vrindavan_Yatra_1998_02_-_Various_Temples_Of_Vrindavan-01_-_Radhanath_Swami.mp3")</f>
        <v>Vrindavan_Yatra_1998_02_-_Various_Temples_Of_Vrindavan-01_-_Radhanath_Swami.mp3</v>
      </c>
      <c r="D4646" s="24"/>
      <c r="E4646" s="24"/>
    </row>
    <row r="4647">
      <c r="A4647" s="25" t="s">
        <v>18509</v>
      </c>
      <c r="B4647" s="25" t="s">
        <v>18511</v>
      </c>
      <c r="C4647" s="26" t="str">
        <f>HYPERLINK("https://audio.iskcondesiretree.com/02_-_ISKCON_Swamis/ISKCON_Swamis_-_R_to_Y/His_Holiness_Radhanath_Swami/Lectures/02_-_Yatra/1998_Vrindavan_yatra/Vrindavan_Yatra_1998_03_-_Various_Temples_Of_Vrindavan-02_-_Radhanath_Swami.mp3", "Vrindavan_Yatra_1998_03_-_Various_Temples_Of_Vrindavan-02_-_Radhanath_Swami.mp3")</f>
        <v>Vrindavan_Yatra_1998_03_-_Various_Temples_Of_Vrindavan-02_-_Radhanath_Swami.mp3</v>
      </c>
      <c r="D4647" s="24"/>
      <c r="E4647" s="24"/>
    </row>
    <row r="4648">
      <c r="A4648" s="25" t="s">
        <v>18509</v>
      </c>
      <c r="B4648" s="25" t="s">
        <v>18511</v>
      </c>
      <c r="C4648" s="26" t="str">
        <f>HYPERLINK("https://audio.iskcondesiretree.com/02_-_ISKCON_Swamis/ISKCON_Swamis_-_R_to_Y/His_Holiness_Radhanath_Swami/Lectures/02_-_Yatra/1998_Vrindavan_yatra/Vrindavan_Yatra_1998_04_-_Raval_Dauji%20Temple_-_Radhanath_Swami.mp3", "Vrindavan_Yatra_1998_04_-_Raval_Dauji%20Temple_-_Radhanath_Swami.mp3")</f>
        <v>Vrindavan_Yatra_1998_04_-_Raval_Dauji%20Temple_-_Radhanath_Swami.mp3</v>
      </c>
      <c r="D4648" s="24"/>
      <c r="E4648" s="24"/>
    </row>
    <row r="4649">
      <c r="A4649" s="25" t="s">
        <v>18509</v>
      </c>
      <c r="B4649" s="25" t="s">
        <v>18511</v>
      </c>
      <c r="C4649" s="26" t="str">
        <f>HYPERLINK("https://audio.iskcondesiretree.com/02_-_ISKCON_Swamis/ISKCON_Swamis_-_R_to_Y/His_Holiness_Radhanath_Swami/Lectures/02_-_Yatra/1998_Vrindavan_yatra/Vrindavan_Yatra_1998_05_-_Govardhan_Parikrama-01_-_Radhanath_Swami.mp3", "Vrindavan_Yatra_1998_05_-_Govardhan_Parikrama-01_-_Radhanath_Swami.mp3")</f>
        <v>Vrindavan_Yatra_1998_05_-_Govardhan_Parikrama-01_-_Radhanath_Swami.mp3</v>
      </c>
      <c r="D4649" s="24"/>
      <c r="E4649" s="24"/>
    </row>
    <row r="4650">
      <c r="A4650" s="25" t="s">
        <v>18509</v>
      </c>
      <c r="B4650" s="25" t="s">
        <v>18511</v>
      </c>
      <c r="C4650" s="26" t="str">
        <f>HYPERLINK("https://audio.iskcondesiretree.com/02_-_ISKCON_Swamis/ISKCON_Swamis_-_R_to_Y/His_Holiness_Radhanath_Swami/Lectures/02_-_Yatra/1998_Vrindavan_yatra/Vrindavan_Yatra_1998_06_-_Govardhan_Parikrama-02_-_Radhanath_Swami.mp3", "Vrindavan_Yatra_1998_06_-_Govardhan_Parikrama-02_-_Radhanath_Swami.mp3")</f>
        <v>Vrindavan_Yatra_1998_06_-_Govardhan_Parikrama-02_-_Radhanath_Swami.mp3</v>
      </c>
      <c r="D4650" s="24"/>
      <c r="E4650" s="24"/>
    </row>
    <row r="4651">
      <c r="A4651" s="25" t="s">
        <v>18509</v>
      </c>
      <c r="B4651" s="25" t="s">
        <v>18511</v>
      </c>
      <c r="C4651" s="26" t="str">
        <f>HYPERLINK("https://audio.iskcondesiretree.com/02_-_ISKCON_Swamis/ISKCON_Swamis_-_R_to_Y/His_Holiness_Radhanath_Swami/Lectures/02_-_Yatra/1998_Vrindavan_yatra/Vrindavan_Yatra_1998_07_-_Radhakund_-_Radhanath_Swami.mp3", "Vrindavan_Yatra_1998_07_-_Radhakund_-_Radhanath_Swami.mp3")</f>
        <v>Vrindavan_Yatra_1998_07_-_Radhakund_-_Radhanath_Swami.mp3</v>
      </c>
      <c r="D4651" s="24"/>
      <c r="E4651" s="24"/>
    </row>
    <row r="4652">
      <c r="A4652" s="25" t="s">
        <v>18509</v>
      </c>
      <c r="B4652" s="25" t="s">
        <v>18511</v>
      </c>
      <c r="C4652" s="26" t="str">
        <f>HYPERLINK("https://audio.iskcondesiretree.com/02_-_ISKCON_Swamis/ISKCON_Swamis_-_R_to_Y/His_Holiness_Radhanath_Swami/Lectures/02_-_Yatra/1998_Vrindavan_yatra/Vrindavan_Yatra_1998_08_-_Bandiravan_-_Radhanath_Swami.mp3", "Vrindavan_Yatra_1998_08_-_Bandiravan_-_Radhanath_Swami.mp3")</f>
        <v>Vrindavan_Yatra_1998_08_-_Bandiravan_-_Radhanath_Swami.mp3</v>
      </c>
      <c r="D4652" s="24"/>
      <c r="E4652" s="24"/>
    </row>
    <row r="4653">
      <c r="A4653" s="25" t="s">
        <v>18509</v>
      </c>
      <c r="B4653" s="25" t="s">
        <v>18511</v>
      </c>
      <c r="C4653" s="26" t="str">
        <f>HYPERLINK("https://audio.iskcondesiretree.com/02_-_ISKCON_Swamis/ISKCON_Swamis_-_R_to_Y/His_Holiness_Radhanath_Swami/Lectures/02_-_Yatra/1998_Vrindavan_yatra/Vrindavan_Yatra_1998_09_-_Kamyavana_-_Radhanath_Swami.mp3", "Vrindavan_Yatra_1998_09_-_Kamyavana_-_Radhanath_Swami.mp3")</f>
        <v>Vrindavan_Yatra_1998_09_-_Kamyavana_-_Radhanath_Swami.mp3</v>
      </c>
      <c r="D4653" s="24"/>
      <c r="E4653" s="24"/>
    </row>
    <row r="4654">
      <c r="A4654" s="25" t="s">
        <v>18509</v>
      </c>
      <c r="B4654" s="25" t="s">
        <v>18511</v>
      </c>
      <c r="C4654" s="26" t="str">
        <f>HYPERLINK("https://audio.iskcondesiretree.com/02_-_ISKCON_Swamis/ISKCON_Swamis_-_R_to_Y/His_Holiness_Radhanath_Swami/Lectures/02_-_Yatra/1998_Vrindavan_yatra/Vrindavan_Yatra_1998_10_-_Barsana-01_-_Radhanath_Swami.mp3", "Vrindavan_Yatra_1998_10_-_Barsana-01_-_Radhanath_Swami.mp3")</f>
        <v>Vrindavan_Yatra_1998_10_-_Barsana-01_-_Radhanath_Swami.mp3</v>
      </c>
      <c r="D4654" s="24"/>
      <c r="E4654" s="24"/>
    </row>
    <row r="4655">
      <c r="A4655" s="25" t="s">
        <v>18509</v>
      </c>
      <c r="B4655" s="25" t="s">
        <v>18511</v>
      </c>
      <c r="C4655" s="26" t="str">
        <f>HYPERLINK("https://audio.iskcondesiretree.com/02_-_ISKCON_Swamis/ISKCON_Swamis_-_R_to_Y/His_Holiness_Radhanath_Swami/Lectures/02_-_Yatra/1998_Vrindavan_yatra/Vrindavan_Yatra_1998_11_-_Barsana-02_-_Radhanath_Swami.mp3", "Vrindavan_Yatra_1998_11_-_Barsana-02_-_Radhanath_Swami.mp3")</f>
        <v>Vrindavan_Yatra_1998_11_-_Barsana-02_-_Radhanath_Swami.mp3</v>
      </c>
      <c r="D4655" s="24"/>
      <c r="E4655" s="24"/>
    </row>
    <row r="4656">
      <c r="A4656" s="25" t="s">
        <v>18509</v>
      </c>
      <c r="B4656" s="25" t="s">
        <v>18511</v>
      </c>
      <c r="C4656" s="26" t="str">
        <f>HYPERLINK("https://audio.iskcondesiretree.com/02_-_ISKCON_Swamis/ISKCON_Swamis_-_R_to_Y/His_Holiness_Radhanath_Swami/Lectures/02_-_Yatra/1998_Vrindavan_yatra/Vrindavan_Yatra_1998_12_-_Barsana-03_-_Radhanath_Swami.mp3", "Vrindavan_Yatra_1998_12_-_Barsana-03_-_Radhanath_Swami.mp3")</f>
        <v>Vrindavan_Yatra_1998_12_-_Barsana-03_-_Radhanath_Swami.mp3</v>
      </c>
      <c r="D4656" s="24"/>
      <c r="E4656" s="24"/>
    </row>
    <row r="4657">
      <c r="A4657" s="25" t="s">
        <v>18509</v>
      </c>
      <c r="B4657" s="25" t="s">
        <v>18511</v>
      </c>
      <c r="C4657" s="26" t="str">
        <f>HYPERLINK("https://audio.iskcondesiretree.com/02_-_ISKCON_Swamis/ISKCON_Swamis_-_R_to_Y/His_Holiness_Radhanath_Swami/Lectures/02_-_Yatra/1998_Vrindavan_yatra/Vrindavan_Yatra_1998_13_-_Nand_Gaon_-_Radhanath_Swami.mp3", "Vrindavan_Yatra_1998_13_-_Nand_Gaon_-_Radhanath_Swami.mp3")</f>
        <v>Vrindavan_Yatra_1998_13_-_Nand_Gaon_-_Radhanath_Swami.mp3</v>
      </c>
      <c r="D4657" s="24"/>
      <c r="E4657" s="24"/>
    </row>
    <row r="4658">
      <c r="A4658" s="25" t="s">
        <v>18509</v>
      </c>
      <c r="B4658" s="25" t="s">
        <v>18511</v>
      </c>
      <c r="C4658" s="26" t="str">
        <f>HYPERLINK("https://audio.iskcondesiretree.com/02_-_ISKCON_Swamis/ISKCON_Swamis_-_R_to_Y/His_Holiness_Radhanath_Swami/Lectures/02_-_Yatra/1998_Vrindavan_yatra/Vrindavan_Yatra_1998_14_-_Pavan_Sarovar_-_Radhanath_Swami.mp3", "Vrindavan_Yatra_1998_14_-_Pavan_Sarovar_-_Radhanath_Swami.mp3")</f>
        <v>Vrindavan_Yatra_1998_14_-_Pavan_Sarovar_-_Radhanath_Swami.mp3</v>
      </c>
      <c r="D4658" s="24"/>
      <c r="E4658" s="24"/>
    </row>
    <row r="4659">
      <c r="A4659" s="25" t="s">
        <v>18509</v>
      </c>
      <c r="B4659" s="25" t="s">
        <v>18511</v>
      </c>
      <c r="C4659" s="26" t="str">
        <f>HYPERLINK("https://audio.iskcondesiretree.com/02_-_ISKCON_Swamis/ISKCON_Swamis_-_R_to_Y/His_Holiness_Radhanath_Swami/Lectures/02_-_Yatra/1998_Vrindavan_yatra/Vrindavan_Yatra_1998_15_-_Terakadamba_-_Radhanath_Swami.mp3", "Vrindavan_Yatra_1998_15_-_Terakadamba_-_Radhanath_Swami.mp3")</f>
        <v>Vrindavan_Yatra_1998_15_-_Terakadamba_-_Radhanath_Swami.mp3</v>
      </c>
      <c r="D4659" s="24"/>
      <c r="E4659" s="24"/>
    </row>
    <row r="4660">
      <c r="A4660" s="25" t="s">
        <v>18509</v>
      </c>
      <c r="B4660" s="25" t="s">
        <v>18511</v>
      </c>
      <c r="C4660" s="26" t="str">
        <f>HYPERLINK("https://audio.iskcondesiretree.com/02_-_ISKCON_Swamis/ISKCON_Swamis_-_R_to_Y/His_Holiness_Radhanath_Swami/Lectures/02_-_Yatra/1998_Vrindavan_yatra/Vrindavan_Yatra_1998_16_-_Talvan_Madhuban_-_Radhanath_Swami.mp3", "Vrindavan_Yatra_1998_16_-_Talvan_Madhuban_-_Radhanath_Swami.mp3")</f>
        <v>Vrindavan_Yatra_1998_16_-_Talvan_Madhuban_-_Radhanath_Swami.mp3</v>
      </c>
      <c r="D4660" s="24"/>
      <c r="E4660" s="24"/>
    </row>
    <row r="4661">
      <c r="A4661" s="25" t="s">
        <v>18509</v>
      </c>
      <c r="B4661" s="25" t="s">
        <v>18512</v>
      </c>
      <c r="C4661" s="26" t="str">
        <f>HYPERLINK("https://audio.iskcondesiretree.com/02_-_ISKCON_Swamis/ISKCON_Swamis_-_R_to_Y/His_Holiness_Radhanath_Swami/Lectures/02_-_Yatra/1999_Ayodhya_Naimisharanya/Naimisharanya_Yatra_-_Eve_Lecture_-_Radhanath_Swami_1999_Gupta_Kunda.mp3", "Naimisharanya_Yatra_-_Eve_Lecture_-_Radhanath_Swami_1999_Gupta_Kunda.mp3")</f>
        <v>Naimisharanya_Yatra_-_Eve_Lecture_-_Radhanath_Swami_1999_Gupta_Kunda.mp3</v>
      </c>
      <c r="D4661" s="24"/>
      <c r="E4661" s="24"/>
    </row>
    <row r="4662">
      <c r="A4662" s="25" t="s">
        <v>18509</v>
      </c>
      <c r="B4662" s="25" t="s">
        <v>18512</v>
      </c>
      <c r="C4662" s="26" t="str">
        <f>HYPERLINK("https://audio.iskcondesiretree.com/02_-_ISKCON_Swamis/ISKCON_Swamis_-_R_to_Y/His_Holiness_Radhanath_Swami/Lectures/02_-_Yatra/1999_Ayodhya_Naimisharanya/Naimisharanya_Yatra_-_kirtan_-_Radhanath_Swami_1999_Gupta_Kunda.mp3", "Naimisharanya_Yatra_-_kirtan_-_Radhanath_Swami_1999_Gupta_Kunda.mp3")</f>
        <v>Naimisharanya_Yatra_-_kirtan_-_Radhanath_Swami_1999_Gupta_Kunda.mp3</v>
      </c>
      <c r="D4662" s="24"/>
      <c r="E4662" s="24"/>
    </row>
    <row r="4663">
      <c r="A4663" s="25" t="s">
        <v>18509</v>
      </c>
      <c r="B4663" s="25" t="s">
        <v>18512</v>
      </c>
      <c r="C4663" s="26" t="str">
        <f>HYPERLINK("https://audio.iskcondesiretree.com/02_-_ISKCON_Swamis/ISKCON_Swamis_-_R_to_Y/His_Holiness_Radhanath_Swami/Lectures/02_-_Yatra/1999_Ayodhya_Naimisharanya/Naimisharanya_Yatra_-_kirtan_-_Radhanath_Swami_1999_Naimisharanya.mp3", "Naimisharanya_Yatra_-_kirtan_-_Radhanath_Swami_1999_Naimisharanya.mp3")</f>
        <v>Naimisharanya_Yatra_-_kirtan_-_Radhanath_Swami_1999_Naimisharanya.mp3</v>
      </c>
      <c r="D4663" s="24"/>
      <c r="E4663" s="24"/>
    </row>
    <row r="4664">
      <c r="A4664" s="25" t="s">
        <v>18509</v>
      </c>
      <c r="B4664" s="25" t="s">
        <v>18512</v>
      </c>
      <c r="C4664" s="26" t="str">
        <f>HYPERLINK("https://audio.iskcondesiretree.com/02_-_ISKCON_Swamis/ISKCON_Swamis_-_R_to_Y/His_Holiness_Radhanath_Swami/Lectures/02_-_Yatra/1999_Ayodhya_Naimisharanya/Naimisharanya_Yatra_-_kirtan_and_Lecture_-_Radhanath_Swami_1999_Naimisharanya.mp3", "Naimisharanya_Yatra_-_kirtan_and_Lecture_-_Radhanath_Swami_1999_Naimisharanya.mp3")</f>
        <v>Naimisharanya_Yatra_-_kirtan_and_Lecture_-_Radhanath_Swami_1999_Naimisharanya.mp3</v>
      </c>
      <c r="D4664" s="24"/>
      <c r="E4664" s="24"/>
    </row>
    <row r="4665">
      <c r="A4665" s="25" t="s">
        <v>18509</v>
      </c>
      <c r="B4665" s="25" t="s">
        <v>18512</v>
      </c>
      <c r="C4665" s="26" t="str">
        <f>HYPERLINK("https://audio.iskcondesiretree.com/02_-_ISKCON_Swamis/ISKCON_Swamis_-_R_to_Y/His_Holiness_Radhanath_Swami/Lectures/02_-_Yatra/1999_Ayodhya_Naimisharanya/Naimisharanya_Yatra_-_Lecture_01_-_Radhanath_Swami_1999_Gupta_Kunda.mp3", "Naimisharanya_Yatra_-_Lecture_01_-_Radhanath_Swami_1999_Gupta_Kunda.mp3")</f>
        <v>Naimisharanya_Yatra_-_Lecture_01_-_Radhanath_Swami_1999_Gupta_Kunda.mp3</v>
      </c>
      <c r="D4665" s="24"/>
      <c r="E4665" s="24"/>
    </row>
    <row r="4666">
      <c r="A4666" s="25" t="s">
        <v>18509</v>
      </c>
      <c r="B4666" s="25" t="s">
        <v>18512</v>
      </c>
      <c r="C4666" s="26" t="str">
        <f>HYPERLINK("https://audio.iskcondesiretree.com/02_-_ISKCON_Swamis/ISKCON_Swamis_-_R_to_Y/His_Holiness_Radhanath_Swami/Lectures/02_-_Yatra/1999_Ayodhya_Naimisharanya/Naimisharanya_Yatra_-_Lecture_01_-_Radhanath_Swami_1999_Nandigram.mp3", "Naimisharanya_Yatra_-_Lecture_01_-_Radhanath_Swami_1999_Nandigram.mp3")</f>
        <v>Naimisharanya_Yatra_-_Lecture_01_-_Radhanath_Swami_1999_Nandigram.mp3</v>
      </c>
      <c r="D4666" s="24"/>
      <c r="E4666" s="24"/>
    </row>
    <row r="4667">
      <c r="A4667" s="25" t="s">
        <v>18509</v>
      </c>
      <c r="B4667" s="25" t="s">
        <v>18512</v>
      </c>
      <c r="C4667" s="26" t="str">
        <f>HYPERLINK("https://audio.iskcondesiretree.com/02_-_ISKCON_Swamis/ISKCON_Swamis_-_R_to_Y/His_Holiness_Radhanath_Swami/Lectures/02_-_Yatra/1999_Ayodhya_Naimisharanya/Naimisharanya_Yatra_-_Lecture_02_-_Radhanath_Swami_1999_Gupta_Kunda.mp3", "Naimisharanya_Yatra_-_Lecture_02_-_Radhanath_Swami_1999_Gupta_Kunda.mp3")</f>
        <v>Naimisharanya_Yatra_-_Lecture_02_-_Radhanath_Swami_1999_Gupta_Kunda.mp3</v>
      </c>
      <c r="D4667" s="24"/>
      <c r="E4667" s="24"/>
    </row>
    <row r="4668">
      <c r="A4668" s="25" t="s">
        <v>18509</v>
      </c>
      <c r="B4668" s="25" t="s">
        <v>18512</v>
      </c>
      <c r="C4668" s="26" t="str">
        <f>HYPERLINK("https://audio.iskcondesiretree.com/02_-_ISKCON_Swamis/ISKCON_Swamis_-_R_to_Y/His_Holiness_Radhanath_Swami/Lectures/02_-_Yatra/1999_Ayodhya_Naimisharanya/Naimisharanya_Yatra_-_Lecture_02_-_Radhanath_Swami_1999_Naimisharanya.mp3", "Naimisharanya_Yatra_-_Lecture_02_-_Radhanath_Swami_1999_Naimisharanya.mp3")</f>
        <v>Naimisharanya_Yatra_-_Lecture_02_-_Radhanath_Swami_1999_Naimisharanya.mp3</v>
      </c>
      <c r="D4668" s="24"/>
      <c r="E4668" s="24"/>
    </row>
    <row r="4669">
      <c r="A4669" s="25" t="s">
        <v>18509</v>
      </c>
      <c r="B4669" s="25" t="s">
        <v>18513</v>
      </c>
      <c r="C4669" s="26" t="str">
        <f>HYPERLINK("https://audio.iskcondesiretree.com/02_-_ISKCON_Swamis/ISKCON_Swamis_-_R_to_Y/His_Holiness_Radhanath_Swami/Lectures/02_-_Yatra/1999_Naimisharanya_yatra/Essence_Of_Srimad_Bhagavatam_-_Radhanath_Swami_Naimisharanya.mp3", "Essence_Of_Srimad_Bhagavatam_-_Radhanath_Swami_Naimisharanya.mp3")</f>
        <v>Essence_Of_Srimad_Bhagavatam_-_Radhanath_Swami_Naimisharanya.mp3</v>
      </c>
      <c r="D4669" s="24"/>
      <c r="E4669" s="24"/>
    </row>
    <row r="4670">
      <c r="A4670" s="25" t="s">
        <v>18509</v>
      </c>
      <c r="B4670" s="25" t="s">
        <v>18513</v>
      </c>
      <c r="C4670" s="26" t="str">
        <f>HYPERLINK("https://audio.iskcondesiretree.com/02_-_ISKCON_Swamis/ISKCON_Swamis_-_R_to_Y/His_Holiness_Radhanath_Swami/Lectures/02_-_Yatra/1999_Naimisharanya_yatra/Kirtan_%26_Lecture_-_Radhanath_Swami_Naimisharanya.mp3", "Kirtan_%26_Lecture_-_Radhanath_Swami_Naimisharanya.mp3")</f>
        <v>Kirtan_%26_Lecture_-_Radhanath_Swami_Naimisharanya.mp3</v>
      </c>
      <c r="D4670" s="24"/>
      <c r="E4670" s="24"/>
    </row>
    <row r="4671">
      <c r="A4671" s="25" t="s">
        <v>18509</v>
      </c>
      <c r="B4671" s="25" t="s">
        <v>18513</v>
      </c>
      <c r="C4671" s="26" t="str">
        <f>HYPERLINK("https://audio.iskcondesiretree.com/02_-_ISKCON_Swamis/ISKCON_Swamis_-_R_to_Y/His_Holiness_Radhanath_Swami/Lectures/02_-_Yatra/1999_Naimisharanya_yatra/Naimisharanya_Yatra_-_kirtan_Radhanath_Swami_1999_Gupta_Kunda.mp3", "Naimisharanya_Yatra_-_kirtan_Radhanath_Swami_1999_Gupta_Kunda.mp3")</f>
        <v>Naimisharanya_Yatra_-_kirtan_Radhanath_Swami_1999_Gupta_Kunda.mp3</v>
      </c>
      <c r="D4671" s="24"/>
      <c r="E4671" s="24"/>
    </row>
    <row r="4672">
      <c r="A4672" s="25" t="s">
        <v>18509</v>
      </c>
      <c r="B4672" s="25" t="s">
        <v>18513</v>
      </c>
      <c r="C4672" s="26" t="str">
        <f>HYPERLINK("https://audio.iskcondesiretree.com/02_-_ISKCON_Swamis/ISKCON_Swamis_-_R_to_Y/His_Holiness_Radhanath_Swami/Lectures/02_-_Yatra/1999_Naimisharanya_yatra/Naimisharanya_Yatra_Eve_Lecture_Radhanath_Swami_1999_Gupta_Kunda.mp3", "Naimisharanya_Yatra_Eve_Lecture_Radhanath_Swami_1999_Gupta_Kunda.mp3")</f>
        <v>Naimisharanya_Yatra_Eve_Lecture_Radhanath_Swami_1999_Gupta_Kunda.mp3</v>
      </c>
      <c r="D4672" s="24"/>
      <c r="E4672" s="24"/>
    </row>
    <row r="4673">
      <c r="A4673" s="25" t="s">
        <v>18509</v>
      </c>
      <c r="B4673" s="25" t="s">
        <v>18513</v>
      </c>
      <c r="C4673" s="26" t="str">
        <f>HYPERLINK("https://audio.iskcondesiretree.com/02_-_ISKCON_Swamis/ISKCON_Swamis_-_R_to_Y/His_Holiness_Radhanath_Swami/Lectures/02_-_Yatra/1999_Naimisharanya_yatra/Naimisharanya_Yatra_kirtan_and_Lecture-_Radhanath_Swami_1999_Naimisharanya.mp3", "Naimisharanya_Yatra_kirtan_and_Lecture-_Radhanath_Swami_1999_Naimisharanya.mp3")</f>
        <v>Naimisharanya_Yatra_kirtan_and_Lecture-_Radhanath_Swami_1999_Naimisharanya.mp3</v>
      </c>
      <c r="D4673" s="24"/>
      <c r="E4673" s="24"/>
    </row>
    <row r="4674">
      <c r="A4674" s="25" t="s">
        <v>18509</v>
      </c>
      <c r="B4674" s="25" t="s">
        <v>18513</v>
      </c>
      <c r="C4674" s="26" t="str">
        <f>HYPERLINK("https://audio.iskcondesiretree.com/02_-_ISKCON_Swamis/ISKCON_Swamis_-_R_to_Y/His_Holiness_Radhanath_Swami/Lectures/02_-_Yatra/1999_Naimisharanya_yatra/Naimisharanya_Yatra_Lecture_01_Radhanath_Swami_1999_Nandigram.mp3", "Naimisharanya_Yatra_Lecture_01_Radhanath_Swami_1999_Nandigram.mp3")</f>
        <v>Naimisharanya_Yatra_Lecture_01_Radhanath_Swami_1999_Nandigram.mp3</v>
      </c>
      <c r="D4674" s="24"/>
      <c r="E4674" s="24"/>
    </row>
    <row r="4675">
      <c r="A4675" s="25" t="s">
        <v>18509</v>
      </c>
      <c r="B4675" s="25" t="s">
        <v>18513</v>
      </c>
      <c r="C4675" s="26" t="str">
        <f>HYPERLINK("https://audio.iskcondesiretree.com/02_-_ISKCON_Swamis/ISKCON_Swamis_-_R_to_Y/His_Holiness_Radhanath_Swami/Lectures/02_-_Yatra/1999_Naimisharanya_yatra/Naimisharanya_Yatra_Lecture_02-_Radhanath_Swami_1999_Gupta_Kunda.mp3", "Naimisharanya_Yatra_Lecture_02-_Radhanath_Swami_1999_Gupta_Kunda.mp3")</f>
        <v>Naimisharanya_Yatra_Lecture_02-_Radhanath_Swami_1999_Gupta_Kunda.mp3</v>
      </c>
      <c r="D4675" s="24"/>
      <c r="E4675" s="24"/>
    </row>
    <row r="4676">
      <c r="A4676" s="25" t="s">
        <v>18509</v>
      </c>
      <c r="B4676" s="25" t="s">
        <v>18513</v>
      </c>
      <c r="C4676" s="26" t="str">
        <f>HYPERLINK("https://audio.iskcondesiretree.com/02_-_ISKCON_Swamis/ISKCON_Swamis_-_R_to_Y/His_Holiness_Radhanath_Swami/Lectures/02_-_Yatra/1999_Naimisharanya_yatra/Naimisharanya_Yatra_Lecture_02_Radhanath_Swami_1999_Naimisharanya.mp3", "Naimisharanya_Yatra_Lecture_02_Radhanath_Swami_1999_Naimisharanya.mp3")</f>
        <v>Naimisharanya_Yatra_Lecture_02_Radhanath_Swami_1999_Naimisharanya.mp3</v>
      </c>
      <c r="D4676" s="24"/>
      <c r="E4676" s="24"/>
    </row>
    <row r="4677">
      <c r="A4677" s="25" t="s">
        <v>18509</v>
      </c>
      <c r="B4677" s="25" t="s">
        <v>18513</v>
      </c>
      <c r="C4677" s="26" t="str">
        <f>HYPERLINK("https://audio.iskcondesiretree.com/02_-_ISKCON_Swamis/ISKCON_Swamis_-_R_to_Y/His_Holiness_Radhanath_Swami/Lectures/02_-_Yatra/1999_Naimisharanya_yatra/Naimisharanya_Yatra_Radhanath_Swami_1999.mp3", "Naimisharanya_Yatra_Radhanath_Swami_1999.mp3")</f>
        <v>Naimisharanya_Yatra_Radhanath_Swami_1999.mp3</v>
      </c>
      <c r="D4677" s="24"/>
      <c r="E4677" s="24"/>
    </row>
    <row r="4678">
      <c r="A4678" s="25" t="s">
        <v>18509</v>
      </c>
      <c r="B4678" s="25" t="s">
        <v>18513</v>
      </c>
      <c r="C4678" s="26" t="str">
        <f>HYPERLINK("https://audio.iskcondesiretree.com/02_-_ISKCON_Swamis/ISKCON_Swamis_-_R_to_Y/His_Holiness_Radhanath_Swami/Lectures/02_-_Yatra/1999_Naimisharanya_yatra/Naimisharanya_Yatra_Radhanath_Swami_Lecture_01_1999_Gupta_Kunda.mp3", "Naimisharanya_Yatra_Radhanath_Swami_Lecture_01_1999_Gupta_Kunda.mp3")</f>
        <v>Naimisharanya_Yatra_Radhanath_Swami_Lecture_01_1999_Gupta_Kunda.mp3</v>
      </c>
      <c r="D4678" s="24"/>
      <c r="E4678" s="24"/>
    </row>
    <row r="4679">
      <c r="A4679" s="25" t="s">
        <v>18509</v>
      </c>
      <c r="B4679" s="25" t="s">
        <v>18514</v>
      </c>
      <c r="C4679" s="26" t="str">
        <f>HYPERLINK("https://audio.iskcondesiretree.com/02_-_ISKCON_Swamis/ISKCON_Swamis_-_R_to_Y/His_Holiness_Radhanath_Swami/Lectures/02_-_Yatra/1999_South_India_yatra/South_India_Yatra_Radhanath_Swami_1999_Part-01.mp3", "South_India_Yatra_Radhanath_Swami_1999_Part-01.mp3")</f>
        <v>South_India_Yatra_Radhanath_Swami_1999_Part-01.mp3</v>
      </c>
      <c r="D4679" s="24"/>
      <c r="E4679" s="24"/>
    </row>
    <row r="4680">
      <c r="A4680" s="25" t="s">
        <v>18509</v>
      </c>
      <c r="B4680" s="25" t="s">
        <v>18514</v>
      </c>
      <c r="C4680" s="26" t="str">
        <f>HYPERLINK("https://audio.iskcondesiretree.com/02_-_ISKCON_Swamis/ISKCON_Swamis_-_R_to_Y/His_Holiness_Radhanath_Swami/Lectures/02_-_Yatra/1999_South_India_yatra/South_India_Yatra_Radhanath_Swami_1999_Part-02.mp3", "South_India_Yatra_Radhanath_Swami_1999_Part-02.mp3")</f>
        <v>South_India_Yatra_Radhanath_Swami_1999_Part-02.mp3</v>
      </c>
      <c r="D4680" s="24"/>
      <c r="E4680" s="24"/>
    </row>
    <row r="4681">
      <c r="A4681" s="25" t="s">
        <v>18509</v>
      </c>
      <c r="B4681" s="25" t="s">
        <v>18514</v>
      </c>
      <c r="C4681" s="26" t="str">
        <f>HYPERLINK("https://audio.iskcondesiretree.com/02_-_ISKCON_Swamis/ISKCON_Swamis_-_R_to_Y/His_Holiness_Radhanath_Swami/Lectures/02_-_Yatra/1999_South_India_yatra/South_India_Yatra_Radhanath_Swami_1999_Part-03.mp3", "South_India_Yatra_Radhanath_Swami_1999_Part-03.mp3")</f>
        <v>South_India_Yatra_Radhanath_Swami_1999_Part-03.mp3</v>
      </c>
      <c r="D4681" s="24"/>
      <c r="E4681" s="24"/>
    </row>
    <row r="4682">
      <c r="A4682" s="25" t="s">
        <v>18509</v>
      </c>
      <c r="B4682" s="25" t="s">
        <v>18514</v>
      </c>
      <c r="C4682" s="26" t="str">
        <f>HYPERLINK("https://audio.iskcondesiretree.com/02_-_ISKCON_Swamis/ISKCON_Swamis_-_R_to_Y/His_Holiness_Radhanath_Swami/Lectures/02_-_Yatra/1999_South_India_yatra/South_India_Yatra_Radhanath_Swami_1999_Part-04.mp3", "South_India_Yatra_Radhanath_Swami_1999_Part-04.mp3")</f>
        <v>South_India_Yatra_Radhanath_Swami_1999_Part-04.mp3</v>
      </c>
      <c r="D4682" s="24"/>
      <c r="E4682" s="24"/>
    </row>
    <row r="4683">
      <c r="A4683" s="25" t="s">
        <v>18509</v>
      </c>
      <c r="B4683" s="25" t="s">
        <v>18514</v>
      </c>
      <c r="C4683" s="26" t="str">
        <f>HYPERLINK("https://audio.iskcondesiretree.com/02_-_ISKCON_Swamis/ISKCON_Swamis_-_R_to_Y/His_Holiness_Radhanath_Swami/Lectures/02_-_Yatra/1999_South_India_yatra/South_India_Yatra_Radhanath_Swami_1999_Part-05.mp3", "South_India_Yatra_Radhanath_Swami_1999_Part-05.mp3")</f>
        <v>South_India_Yatra_Radhanath_Swami_1999_Part-05.mp3</v>
      </c>
      <c r="D4683" s="24"/>
      <c r="E4683" s="24"/>
    </row>
    <row r="4684">
      <c r="A4684" s="25" t="s">
        <v>18509</v>
      </c>
      <c r="B4684" s="25" t="s">
        <v>18514</v>
      </c>
      <c r="C4684" s="26" t="str">
        <f>HYPERLINK("https://audio.iskcondesiretree.com/02_-_ISKCON_Swamis/ISKCON_Swamis_-_R_to_Y/His_Holiness_Radhanath_Swami/Lectures/02_-_Yatra/1999_South_India_yatra/South_India_Yatra_Radhanath_Swami_1999_Part-06.mp3", "South_India_Yatra_Radhanath_Swami_1999_Part-06.mp3")</f>
        <v>South_India_Yatra_Radhanath_Swami_1999_Part-06.mp3</v>
      </c>
      <c r="D4684" s="24"/>
      <c r="E4684" s="24"/>
    </row>
    <row r="4685">
      <c r="A4685" s="25" t="s">
        <v>18509</v>
      </c>
      <c r="B4685" s="25" t="s">
        <v>18514</v>
      </c>
      <c r="C4685" s="26" t="str">
        <f>HYPERLINK("https://audio.iskcondesiretree.com/02_-_ISKCON_Swamis/ISKCON_Swamis_-_R_to_Y/His_Holiness_Radhanath_Swami/Lectures/02_-_Yatra/1999_South_India_yatra/South_India_Yatra_Radhanath_Swami_1999_Part-07.mp3", "South_India_Yatra_Radhanath_Swami_1999_Part-07.mp3")</f>
        <v>South_India_Yatra_Radhanath_Swami_1999_Part-07.mp3</v>
      </c>
      <c r="D4685" s="24"/>
      <c r="E4685" s="24"/>
    </row>
    <row r="4686">
      <c r="A4686" s="25" t="s">
        <v>18509</v>
      </c>
      <c r="B4686" s="25" t="s">
        <v>18514</v>
      </c>
      <c r="C4686" s="26" t="str">
        <f>HYPERLINK("https://audio.iskcondesiretree.com/02_-_ISKCON_Swamis/ISKCON_Swamis_-_R_to_Y/His_Holiness_Radhanath_Swami/Lectures/02_-_Yatra/1999_South_India_yatra/South_India_Yatra_Radhanath_Swami_1999_Part-08.mp3", "South_India_Yatra_Radhanath_Swami_1999_Part-08.mp3")</f>
        <v>South_India_Yatra_Radhanath_Swami_1999_Part-08.mp3</v>
      </c>
      <c r="D4686" s="24"/>
      <c r="E4686" s="24"/>
    </row>
    <row r="4687">
      <c r="A4687" s="25" t="s">
        <v>18509</v>
      </c>
      <c r="B4687" s="25" t="s">
        <v>18514</v>
      </c>
      <c r="C4687" s="26" t="str">
        <f>HYPERLINK("https://audio.iskcondesiretree.com/02_-_ISKCON_Swamis/ISKCON_Swamis_-_R_to_Y/His_Holiness_Radhanath_Swami/Lectures/02_-_Yatra/1999_South_India_yatra/South_India_Yatra_Radhanath_Swami_1999_Part-09.mp3", "South_India_Yatra_Radhanath_Swami_1999_Part-09.mp3")</f>
        <v>South_India_Yatra_Radhanath_Swami_1999_Part-09.mp3</v>
      </c>
      <c r="D4687" s="24"/>
      <c r="E4687" s="24"/>
    </row>
    <row r="4688">
      <c r="A4688" s="25" t="s">
        <v>18509</v>
      </c>
      <c r="B4688" s="25" t="s">
        <v>18514</v>
      </c>
      <c r="C4688" s="26" t="str">
        <f>HYPERLINK("https://audio.iskcondesiretree.com/02_-_ISKCON_Swamis/ISKCON_Swamis_-_R_to_Y/His_Holiness_Radhanath_Swami/Lectures/02_-_Yatra/1999_South_India_yatra/South_India_Yatra_Radhanath_Swami_1999_Part-10.mp3", "South_India_Yatra_Radhanath_Swami_1999_Part-10.mp3")</f>
        <v>South_India_Yatra_Radhanath_Swami_1999_Part-10.mp3</v>
      </c>
      <c r="D4688" s="24"/>
      <c r="E4688" s="24"/>
    </row>
    <row r="4689">
      <c r="A4689" s="25" t="s">
        <v>18509</v>
      </c>
      <c r="B4689" s="25" t="s">
        <v>18514</v>
      </c>
      <c r="C4689" s="26" t="str">
        <f>HYPERLINK("https://audio.iskcondesiretree.com/02_-_ISKCON_Swamis/ISKCON_Swamis_-_R_to_Y/His_Holiness_Radhanath_Swami/Lectures/02_-_Yatra/1999_South_India_yatra/South_India_Yatra_Radhanath_Swami_1999_Part-11.mp3", "South_India_Yatra_Radhanath_Swami_1999_Part-11.mp3")</f>
        <v>South_India_Yatra_Radhanath_Swami_1999_Part-11.mp3</v>
      </c>
      <c r="D4689" s="24"/>
      <c r="E4689" s="24"/>
    </row>
    <row r="4690">
      <c r="A4690" s="25" t="s">
        <v>18509</v>
      </c>
      <c r="B4690" s="25" t="s">
        <v>18515</v>
      </c>
      <c r="C4690" s="26" t="str">
        <f>HYPERLINK("https://audio.iskcondesiretree.com/02_-_ISKCON_Swamis/ISKCON_Swamis_-_R_to_Y/His_Holiness_Radhanath_Swami/Lectures/02_-_Yatra/2000_Mayapur/Mayapur_Yatra_2000_-_Inaugural_Lecture_at_Prabhupad_Samadhi_-_Radhanath_Swami.mp3", "Mayapur_Yatra_2000_-_Inaugural_Lecture_at_Prabhupad_Samadhi_-_Radhanath_Swami.mp3")</f>
        <v>Mayapur_Yatra_2000_-_Inaugural_Lecture_at_Prabhupad_Samadhi_-_Radhanath_Swami.mp3</v>
      </c>
      <c r="D4690" s="24"/>
      <c r="E4690" s="24"/>
    </row>
    <row r="4691">
      <c r="A4691" s="25" t="s">
        <v>18509</v>
      </c>
      <c r="B4691" s="25" t="s">
        <v>18515</v>
      </c>
      <c r="C4691" s="26" t="str">
        <f>HYPERLINK("https://audio.iskcondesiretree.com/02_-_ISKCON_Swamis/ISKCON_Swamis_-_R_to_Y/His_Holiness_Radhanath_Swami/Lectures/02_-_Yatra/2000_Mayapur/Mayapur_Yatra_2000_-_Introduction_of_Shankarshan_Prabhu_-_Radhanath_Swami.mp3", "Mayapur_Yatra_2000_-_Introduction_of_Shankarshan_Prabhu_-_Radhanath_Swami.mp3")</f>
        <v>Mayapur_Yatra_2000_-_Introduction_of_Shankarshan_Prabhu_-_Radhanath_Swami.mp3</v>
      </c>
      <c r="D4691" s="24"/>
      <c r="E4691" s="24"/>
    </row>
    <row r="4692">
      <c r="A4692" s="25" t="s">
        <v>18509</v>
      </c>
      <c r="B4692" s="25" t="s">
        <v>18515</v>
      </c>
      <c r="C4692" s="26" t="str">
        <f>HYPERLINK("https://audio.iskcondesiretree.com/02_-_ISKCON_Swamis/ISKCON_Swamis_-_R_to_Y/His_Holiness_Radhanath_Swami/Lectures/02_-_Yatra/2000_Mayapur/Mayapur_Yatra_2000_-_Kirtan_and_Glorification_of_Bhakti_Vinod_Thakur_-_Radhanath_Swami.mp3", "Mayapur_Yatra_2000_-_Kirtan_and_Glorification_of_Bhakti_Vinod_Thakur_-_Radhanath_Swami.mp3")</f>
        <v>Mayapur_Yatra_2000_-_Kirtan_and_Glorification_of_Bhakti_Vinod_Thakur_-_Radhanath_Swami.mp3</v>
      </c>
      <c r="D4692" s="24"/>
      <c r="E4692" s="24"/>
    </row>
    <row r="4693">
      <c r="A4693" s="25" t="s">
        <v>18509</v>
      </c>
      <c r="B4693" s="25" t="s">
        <v>18515</v>
      </c>
      <c r="C4693" s="26" t="str">
        <f>HYPERLINK("https://audio.iskcondesiretree.com/02_-_ISKCON_Swamis/ISKCON_Swamis_-_R_to_Y/His_Holiness_Radhanath_Swami/Lectures/02_-_Yatra/2000_Mayapur/Mayapur_Yatra_2000_-_Lecture_at_Agradweep_-_Radhanath_Swami.mp3", "Mayapur_Yatra_2000_-_Lecture_at_Agradweep_-_Radhanath_Swami.mp3")</f>
        <v>Mayapur_Yatra_2000_-_Lecture_at_Agradweep_-_Radhanath_Swami.mp3</v>
      </c>
      <c r="D4693" s="24"/>
      <c r="E4693" s="24"/>
    </row>
    <row r="4694">
      <c r="A4694" s="25" t="s">
        <v>18509</v>
      </c>
      <c r="B4694" s="25" t="s">
        <v>18515</v>
      </c>
      <c r="C4694" s="26" t="str">
        <f>HYPERLINK("https://audio.iskcondesiretree.com/02_-_ISKCON_Swamis/ISKCON_Swamis_-_R_to_Y/His_Holiness_Radhanath_Swami/Lectures/02_-_Yatra/2000_Mayapur/Mayapur_Yatra_2000_-_Lecture_at_Antardweep_and_Yogapith_-_Radhanath_Swami.mp3", "Mayapur_Yatra_2000_-_Lecture_at_Antardweep_and_Yogapith_-_Radhanath_Swami.mp3")</f>
        <v>Mayapur_Yatra_2000_-_Lecture_at_Antardweep_and_Yogapith_-_Radhanath_Swami.mp3</v>
      </c>
      <c r="D4694" s="24"/>
      <c r="E4694" s="24"/>
    </row>
    <row r="4695">
      <c r="A4695" s="25" t="s">
        <v>18509</v>
      </c>
      <c r="B4695" s="25" t="s">
        <v>18515</v>
      </c>
      <c r="C4695" s="26" t="str">
        <f>HYPERLINK("https://audio.iskcondesiretree.com/02_-_ISKCON_Swamis/ISKCON_Swamis_-_R_to_Y/His_Holiness_Radhanath_Swami/Lectures/02_-_Yatra/2000_Mayapur/Mayapur_Yatra_2000_-_Lecture_at_Belpukura_-_Radhanath_Swami.mp3", "Mayapur_Yatra_2000_-_Lecture_at_Belpukura_-_Radhanath_Swami.mp3")</f>
        <v>Mayapur_Yatra_2000_-_Lecture_at_Belpukura_-_Radhanath_Swami.mp3</v>
      </c>
      <c r="D4695" s="24"/>
      <c r="E4695" s="24"/>
    </row>
    <row r="4696">
      <c r="A4696" s="25" t="s">
        <v>18509</v>
      </c>
      <c r="B4696" s="25" t="s">
        <v>18515</v>
      </c>
      <c r="C4696" s="26" t="str">
        <f>HYPERLINK("https://audio.iskcondesiretree.com/02_-_ISKCON_Swamis/ISKCON_Swamis_-_R_to_Y/His_Holiness_Radhanath_Swami/Lectures/02_-_Yatra/2000_Mayapur/Mayapur_Yatra_2000_-_Lecture_at_Chandrashekhar_Bhavan_-_Radhanath_Swami.mp3", "Mayapur_Yatra_2000_-_Lecture_at_Chandrashekhar_Bhavan_-_Radhanath_Swami.mp3")</f>
        <v>Mayapur_Yatra_2000_-_Lecture_at_Chandrashekhar_Bhavan_-_Radhanath_Swami.mp3</v>
      </c>
      <c r="D4696" s="24"/>
      <c r="E4696" s="24"/>
    </row>
    <row r="4697">
      <c r="A4697" s="25" t="s">
        <v>18509</v>
      </c>
      <c r="B4697" s="25" t="s">
        <v>18515</v>
      </c>
      <c r="C4697" s="26" t="str">
        <f>HYPERLINK("https://audio.iskcondesiretree.com/02_-_ISKCON_Swamis/ISKCON_Swamis_-_R_to_Y/His_Holiness_Radhanath_Swami/Lectures/02_-_Yatra/2000_Mayapur/Mayapur_Yatra_2000_-_Lecture_at_Ekachakra_-_Radhanath_Swami.mp3", "Mayapur_Yatra_2000_-_Lecture_at_Ekachakra_-_Radhanath_Swami.mp3")</f>
        <v>Mayapur_Yatra_2000_-_Lecture_at_Ekachakra_-_Radhanath_Swami.mp3</v>
      </c>
      <c r="D4697" s="24"/>
      <c r="E4697" s="24"/>
    </row>
    <row r="4698">
      <c r="A4698" s="25" t="s">
        <v>18509</v>
      </c>
      <c r="B4698" s="25" t="s">
        <v>18515</v>
      </c>
      <c r="C4698" s="26" t="str">
        <f>HYPERLINK("https://audio.iskcondesiretree.com/02_-_ISKCON_Swamis/ISKCON_Swamis_-_R_to_Y/His_Holiness_Radhanath_Swami/Lectures/02_-_Yatra/2000_Mayapur/Mayapur_Yatra_2000_-_Lecture_at_Jagannath_Das_Babaji_Samadhi_Mandir_-_Radhanath_Swami.mp3", "Mayapur_Yatra_2000_-_Lecture_at_Jagannath_Das_Babaji_Samadhi_Mandir_-_Radhanath_Swami.mp3")</f>
        <v>Mayapur_Yatra_2000_-_Lecture_at_Jagannath_Das_Babaji_Samadhi_Mandir_-_Radhanath_Swami.mp3</v>
      </c>
      <c r="D4698" s="24"/>
      <c r="E4698" s="24"/>
    </row>
    <row r="4699">
      <c r="A4699" s="25" t="s">
        <v>18509</v>
      </c>
      <c r="B4699" s="25" t="s">
        <v>18515</v>
      </c>
      <c r="C4699" s="26" t="str">
        <f>HYPERLINK("https://audio.iskcondesiretree.com/02_-_ISKCON_Swamis/ISKCON_Swamis_-_R_to_Y/His_Holiness_Radhanath_Swami/Lectures/02_-_Yatra/2000_Mayapur/Mayapur_Yatra_2000_-_Lecture_at_Jagannath_Temple_-_Radhe_Shyam_Prabhhu.mp3", "Mayapur_Yatra_2000_-_Lecture_at_Jagannath_Temple_-_Radhe_Shyam_Prabhhu.mp3")</f>
        <v>Mayapur_Yatra_2000_-_Lecture_at_Jagannath_Temple_-_Radhe_Shyam_Prabhhu.mp3</v>
      </c>
      <c r="D4699" s="24"/>
      <c r="E4699" s="24"/>
    </row>
    <row r="4700">
      <c r="A4700" s="25" t="s">
        <v>18509</v>
      </c>
      <c r="B4700" s="25" t="s">
        <v>18515</v>
      </c>
      <c r="C4700" s="26" t="str">
        <f>HYPERLINK("https://audio.iskcondesiretree.com/02_-_ISKCON_Swamis/ISKCON_Swamis_-_R_to_Y/His_Holiness_Radhanath_Swami/Lectures/02_-_Yatra/2000_Mayapur/Mayapur_Yatra_2000_-_Lecture_at_Koladweep_Glorification_of_Dhameshwar_Mahaprabhu_-_Radhanath_Swami.mp3", "Mayapur_Yatra_2000_-_Lecture_at_Koladweep_Glorification_of_Dhameshwar_Mahaprabhu_-_Radhanath_Swami.mp3")</f>
        <v>Mayapur_Yatra_2000_-_Lecture_at_Koladweep_Glorification_of_Dhameshwar_Mahaprabhu_-_Radhanath_Swami.mp3</v>
      </c>
      <c r="D4700" s="24"/>
      <c r="E4700" s="24"/>
    </row>
    <row r="4701">
      <c r="A4701" s="25" t="s">
        <v>18509</v>
      </c>
      <c r="B4701" s="25" t="s">
        <v>18515</v>
      </c>
      <c r="C4701" s="26" t="str">
        <f>HYPERLINK("https://audio.iskcondesiretree.com/02_-_ISKCON_Swamis/ISKCON_Swamis_-_R_to_Y/His_Holiness_Radhanath_Swami/Lectures/02_-_Yatra/2000_Mayapur/Mayapur_Yatra_2000_-_Lecture_at_Krsnapura_The_Birth_Place_of_Raghunath_Das_Goswami_-_Radhanath_Swami.mp3", "Mayapur_Yatra_2000_-_Lecture_at_Krsnapura_The_Birth_Place_of_Raghunath_Das_Goswami_-_Radhanath_Swami.mp3")</f>
        <v>Mayapur_Yatra_2000_-_Lecture_at_Krsnapura_The_Birth_Place_of_Raghunath_Das_Goswami_-_Radhanath_Swami.mp3</v>
      </c>
      <c r="D4701" s="24"/>
      <c r="E4701" s="24"/>
    </row>
    <row r="4702">
      <c r="A4702" s="25" t="s">
        <v>18509</v>
      </c>
      <c r="B4702" s="25" t="s">
        <v>18515</v>
      </c>
      <c r="C4702" s="26" t="str">
        <f>HYPERLINK("https://audio.iskcondesiretree.com/02_-_ISKCON_Swamis/ISKCON_Swamis_-_R_to_Y/His_Holiness_Radhanath_Swami/Lectures/02_-_Yatra/2000_Mayapur/Mayapur_Yatra_2000_-_Lecture_at_Kumarahatta_-_Radhanath_Swami.mp3", "Mayapur_Yatra_2000_-_Lecture_at_Kumarahatta_-_Radhanath_Swami.mp3")</f>
        <v>Mayapur_Yatra_2000_-_Lecture_at_Kumarahatta_-_Radhanath_Swami.mp3</v>
      </c>
      <c r="D4702" s="24"/>
      <c r="E4702" s="24"/>
    </row>
    <row r="4703">
      <c r="A4703" s="25" t="s">
        <v>18509</v>
      </c>
      <c r="B4703" s="25" t="s">
        <v>18515</v>
      </c>
      <c r="C4703" s="26" t="str">
        <f>HYPERLINK("https://audio.iskcondesiretree.com/02_-_ISKCON_Swamis/ISKCON_Swamis_-_R_to_Y/His_Holiness_Radhanath_Swami/Lectures/02_-_Yatra/2000_Mayapur/Mayapur_Yatra_2000_-_Lecture_at_Modrumdwip_at_Vrndavandas_Thakur%27s_House_-_Radhanath_Swami.mp3", "Mayapur_Yatra_2000_-_Lecture_at_Modrumdwip_at_Vrndavandas_Thakur%27s_House_-_Radhanath_Swami.mp3")</f>
        <v>Mayapur_Yatra_2000_-_Lecture_at_Modrumdwip_at_Vrndavandas_Thakur%27s_House_-_Radhanath_Swami.mp3</v>
      </c>
      <c r="D4703" s="24"/>
      <c r="E4703" s="24"/>
    </row>
    <row r="4704">
      <c r="A4704" s="25" t="s">
        <v>18509</v>
      </c>
      <c r="B4704" s="25" t="s">
        <v>18515</v>
      </c>
      <c r="C4704" s="26" t="str">
        <f>HYPERLINK("https://audio.iskcondesiretree.com/02_-_ISKCON_Swamis/ISKCON_Swamis_-_R_to_Y/His_Holiness_Radhanath_Swami/Lectures/02_-_Yatra/2000_Mayapur/Mayapur_Yatra_2000_-_Lecture_at_Modrumdwip_at_Vrndavandas_Thakur%27s_House_and_Sriranga_Thakur%27s_devotion_-_Radhan"&amp;"ath_Swami.mp3", "Mayapur_Yatra_2000_-_Lecture_at_Modrumdwip_at_Vrndavandas_Thakur%27s_House_and_Sriranga_Thakur%27s_devotion_-_Radhanath_Swami.mp3")</f>
        <v>Mayapur_Yatra_2000_-_Lecture_at_Modrumdwip_at_Vrndavandas_Thakur%27s_House_and_Sriranga_Thakur%27s_devotion_-_Radhanath_Swami.mp3</v>
      </c>
      <c r="D4704" s="24"/>
      <c r="E4704" s="24"/>
    </row>
    <row r="4705">
      <c r="A4705" s="25" t="s">
        <v>18509</v>
      </c>
      <c r="B4705" s="25" t="s">
        <v>18515</v>
      </c>
      <c r="C4705" s="26" t="str">
        <f>HYPERLINK("https://audio.iskcondesiretree.com/02_-_ISKCON_Swamis/ISKCON_Swamis_-_R_to_Y/His_Holiness_Radhanath_Swami/Lectures/02_-_Yatra/2000_Mayapur/Mayapur_Yatra_2000_-_Lecture_at_Naimisharnya_and_Hamsavahan_-_Radhanath_Swami.mp3", "Mayapur_Yatra_2000_-_Lecture_at_Naimisharnya_and_Hamsavahan_-_Radhanath_Swami.mp3")</f>
        <v>Mayapur_Yatra_2000_-_Lecture_at_Naimisharnya_and_Hamsavahan_-_Radhanath_Swami.mp3</v>
      </c>
      <c r="D4705" s="24"/>
      <c r="E4705" s="24"/>
    </row>
    <row r="4706">
      <c r="A4706" s="25" t="s">
        <v>18509</v>
      </c>
      <c r="B4706" s="25" t="s">
        <v>18515</v>
      </c>
      <c r="C4706" s="26" t="str">
        <f>HYPERLINK("https://audio.iskcondesiretree.com/02_-_ISKCON_Swamis/ISKCON_Swamis_-_R_to_Y/His_Holiness_Radhanath_Swami/Lectures/02_-_Yatra/2000_Mayapur/Mayapur_Yatra_2000_-_Lecture_at_Phuliya_Gram_-_Radhanath_Swami.mp3", "Mayapur_Yatra_2000_-_Lecture_at_Phuliya_Gram_-_Radhanath_Swami.mp3")</f>
        <v>Mayapur_Yatra_2000_-_Lecture_at_Phuliya_Gram_-_Radhanath_Swami.mp3</v>
      </c>
      <c r="D4706" s="24"/>
      <c r="E4706" s="24"/>
    </row>
    <row r="4707">
      <c r="A4707" s="25" t="s">
        <v>18509</v>
      </c>
      <c r="B4707" s="25" t="s">
        <v>18515</v>
      </c>
      <c r="C4707" s="26" t="str">
        <f>HYPERLINK("https://audio.iskcondesiretree.com/02_-_ISKCON_Swamis/ISKCON_Swamis_-_R_to_Y/His_Holiness_Radhanath_Swami/Lectures/02_-_Yatra/2000_Mayapur/Mayapur_Yatra_2000_-_Lecture_at_Samadhi_Mandir_of_Chand_Kazi_-_Radhanath_Swami.mp3", "Mayapur_Yatra_2000_-_Lecture_at_Samadhi_Mandir_of_Chand_Kazi_-_Radhanath_Swami.mp3")</f>
        <v>Mayapur_Yatra_2000_-_Lecture_at_Samadhi_Mandir_of_Chand_Kazi_-_Radhanath_Swami.mp3</v>
      </c>
      <c r="D4707" s="24"/>
      <c r="E4707" s="24"/>
    </row>
    <row r="4708">
      <c r="A4708" s="25" t="s">
        <v>18509</v>
      </c>
      <c r="B4708" s="25" t="s">
        <v>18515</v>
      </c>
      <c r="C4708" s="26" t="str">
        <f>HYPERLINK("https://audio.iskcondesiretree.com/02_-_ISKCON_Swamis/ISKCON_Swamis_-_R_to_Y/His_Holiness_Radhanath_Swami/Lectures/02_-_Yatra/2000_Mayapur/Mayapur_Yatra_2000_-_Lecture_at_Saptagram_Glorification_of_uddharan_Dutt_Thakur_-_Radhanath_Swami.mp3", "Mayapur_Yatra_2000_-_Lecture_at_Saptagram_Glorification_of_uddharan_Dutt_Thakur_-_Radhanath_Swami.mp3")</f>
        <v>Mayapur_Yatra_2000_-_Lecture_at_Saptagram_Glorification_of_uddharan_Dutt_Thakur_-_Radhanath_Swami.mp3</v>
      </c>
      <c r="D4708" s="24"/>
      <c r="E4708" s="24"/>
    </row>
    <row r="4709">
      <c r="A4709" s="25" t="s">
        <v>18509</v>
      </c>
      <c r="B4709" s="25" t="s">
        <v>18515</v>
      </c>
      <c r="C4709" s="26" t="str">
        <f>HYPERLINK("https://audio.iskcondesiretree.com/02_-_ISKCON_Swamis/ISKCON_Swamis_-_R_to_Y/His_Holiness_Radhanath_Swami/Lectures/02_-_Yatra/2000_Mayapur/Mayapur_Yatra_2000_-_Lecture_at_Shantipur.mp3", "Mayapur_Yatra_2000_-_Lecture_at_Shantipur.mp3")</f>
        <v>Mayapur_Yatra_2000_-_Lecture_at_Shantipur.mp3</v>
      </c>
      <c r="D4709" s="24"/>
      <c r="E4709" s="24"/>
    </row>
    <row r="4710">
      <c r="A4710" s="25" t="s">
        <v>18509</v>
      </c>
      <c r="B4710" s="25" t="s">
        <v>18515</v>
      </c>
      <c r="C4710" s="26" t="str">
        <f>HYPERLINK("https://audio.iskcondesiretree.com/02_-_ISKCON_Swamis/ISKCON_Swamis_-_R_to_Y/His_Holiness_Radhanath_Swami/Lectures/02_-_Yatra/2000_Mayapur/Mayapur_Yatra_2000_-_Lecture_at_Shivananda_Sen%27s_House_-_Radhanath_Swami.mp3", "Mayapur_Yatra_2000_-_Lecture_at_Shivananda_Sen%27s_House_-_Radhanath_Swami.mp3")</f>
        <v>Mayapur_Yatra_2000_-_Lecture_at_Shivananda_Sen%27s_House_-_Radhanath_Swami.mp3</v>
      </c>
      <c r="D4710" s="24"/>
      <c r="E4710" s="24"/>
    </row>
    <row r="4711">
      <c r="A4711" s="25" t="s">
        <v>18509</v>
      </c>
      <c r="B4711" s="25" t="s">
        <v>18515</v>
      </c>
      <c r="C4711" s="26" t="str">
        <f>HYPERLINK("https://audio.iskcondesiretree.com/02_-_ISKCON_Swamis/ISKCON_Swamis_-_R_to_Y/His_Holiness_Radhanath_Swami/Lectures/02_-_Yatra/2000_Mayapur/Mayapur_Yatra_2000_-_Lecture_at_Sridhar_Aangan_-_Radhanath_Swami.mp3", "Mayapur_Yatra_2000_-_Lecture_at_Sridhar_Aangan_-_Radhanath_Swami.mp3")</f>
        <v>Mayapur_Yatra_2000_-_Lecture_at_Sridhar_Aangan_-_Radhanath_Swami.mp3</v>
      </c>
      <c r="D4711" s="24"/>
      <c r="E4711" s="24"/>
    </row>
    <row r="4712">
      <c r="A4712" s="25" t="s">
        <v>18509</v>
      </c>
      <c r="B4712" s="25" t="s">
        <v>18515</v>
      </c>
      <c r="C4712" s="26" t="str">
        <f>HYPERLINK("https://audio.iskcondesiretree.com/02_-_ISKCON_Swamis/ISKCON_Swamis_-_R_to_Y/His_Holiness_Radhanath_Swami/Lectures/02_-_Yatra/2000_Mayapur/Mayapur_Yatra_2000_-_Lecture_at_Srivas_Aangan_-_Radhanath_Swami.mp3", "Mayapur_Yatra_2000_-_Lecture_at_Srivas_Aangan_-_Radhanath_Swami.mp3")</f>
        <v>Mayapur_Yatra_2000_-_Lecture_at_Srivas_Aangan_-_Radhanath_Swami.mp3</v>
      </c>
      <c r="D4712" s="24"/>
      <c r="E4712" s="24"/>
    </row>
    <row r="4713">
      <c r="A4713" s="25" t="s">
        <v>18509</v>
      </c>
      <c r="B4713" s="25" t="s">
        <v>18515</v>
      </c>
      <c r="C4713" s="26" t="str">
        <f>HYPERLINK("https://audio.iskcondesiretree.com/02_-_ISKCON_Swamis/ISKCON_Swamis_-_R_to_Y/His_Holiness_Radhanath_Swami/Lectures/02_-_Yatra/2000_Mayapur/Mayapur_Yatra_2000_-_Lecture_at_the_house_of_Raghav_Pandit_-_Radhanath_Swami.mp3", "Mayapur_Yatra_2000_-_Lecture_at_the_house_of_Raghav_Pandit_-_Radhanath_Swami.mp3")</f>
        <v>Mayapur_Yatra_2000_-_Lecture_at_the_house_of_Raghav_Pandit_-_Radhanath_Swami.mp3</v>
      </c>
      <c r="D4713" s="24"/>
      <c r="E4713" s="24"/>
    </row>
    <row r="4714">
      <c r="A4714" s="25" t="s">
        <v>18509</v>
      </c>
      <c r="B4714" s="25" t="s">
        <v>18515</v>
      </c>
      <c r="C4714" s="26" t="str">
        <f>HYPERLINK("https://audio.iskcondesiretree.com/02_-_ISKCON_Swamis/ISKCON_Swamis_-_R_to_Y/His_Holiness_Radhanath_Swami/Lectures/02_-_Yatra/2000_Mayapur/Mayapur_Yatra_2000_-_Lecture_at_Vidyanagar_-_Radhanath_Swami.mp3", "Mayapur_Yatra_2000_-_Lecture_at_Vidyanagar_-_Radhanath_Swami.mp3")</f>
        <v>Mayapur_Yatra_2000_-_Lecture_at_Vidyanagar_-_Radhanath_Swami.mp3</v>
      </c>
      <c r="D4714" s="24"/>
      <c r="E4714" s="24"/>
    </row>
    <row r="4715">
      <c r="A4715" s="25" t="s">
        <v>18509</v>
      </c>
      <c r="B4715" s="25" t="s">
        <v>18515</v>
      </c>
      <c r="C4715" s="26" t="str">
        <f>HYPERLINK("https://audio.iskcondesiretree.com/02_-_ISKCON_Swamis/ISKCON_Swamis_-_R_to_Y/His_Holiness_Radhanath_Swami/Lectures/02_-_Yatra/2000_Mayapur/Mayapur_Yatra_2000_-_Lecture_at_Vishram_Tal_-_Radhanath_Swami.mp3", "Mayapur_Yatra_2000_-_Lecture_at_Vishram_Tal_-_Radhanath_Swami.mp3")</f>
        <v>Mayapur_Yatra_2000_-_Lecture_at_Vishram_Tal_-_Radhanath_Swami.mp3</v>
      </c>
      <c r="D4715" s="24"/>
      <c r="E4715" s="24"/>
    </row>
    <row r="4716">
      <c r="A4716" s="25" t="s">
        <v>18509</v>
      </c>
      <c r="B4716" s="25" t="s">
        <v>18515</v>
      </c>
      <c r="C4716" s="26" t="str">
        <f>HYPERLINK("https://audio.iskcondesiretree.com/02_-_ISKCON_Swamis/ISKCON_Swamis_-_R_to_Y/His_Holiness_Radhanath_Swami/Lectures/02_-_Yatra/2000_Mayapur/Mayapur_Yatra_2000_-_Lecture_at_Vishram_Tal_Nityanand_Prabhu%27s_Pastimes_-_Radhanath_Swami.mp3", "Mayapur_Yatra_2000_-_Lecture_at_Vishram_Tal_Nityanand_Prabhu%27s_Pastimes_-_Radhanath_Swami.mp3")</f>
        <v>Mayapur_Yatra_2000_-_Lecture_at_Vishram_Tal_Nityanand_Prabhu%27s_Pastimes_-_Radhanath_Swami.mp3</v>
      </c>
      <c r="D4716" s="24"/>
      <c r="E4716" s="24"/>
    </row>
    <row r="4717">
      <c r="A4717" s="25" t="s">
        <v>18509</v>
      </c>
      <c r="B4717" s="25" t="s">
        <v>18515</v>
      </c>
      <c r="C4717" s="26" t="str">
        <f>HYPERLINK("https://audio.iskcondesiretree.com/02_-_ISKCON_Swamis/ISKCON_Swamis_-_R_to_Y/His_Holiness_Radhanath_Swami/Lectures/02_-_Yatra/2000_Mayapur/Mayapur_Yatra_2000_-_Lecture_on_Narsinghapally_-_Radhanath_Swami.mp3", "Mayapur_Yatra_2000_-_Lecture_on_Narsinghapally_-_Radhanath_Swami.mp3")</f>
        <v>Mayapur_Yatra_2000_-_Lecture_on_Narsinghapally_-_Radhanath_Swami.mp3</v>
      </c>
      <c r="D4717" s="24"/>
      <c r="E4717" s="24"/>
    </row>
    <row r="4718">
      <c r="A4718" s="25" t="s">
        <v>18509</v>
      </c>
      <c r="B4718" s="25" t="s">
        <v>18515</v>
      </c>
      <c r="C4718" s="26" t="str">
        <f>HYPERLINK("https://audio.iskcondesiretree.com/02_-_ISKCON_Swamis/ISKCON_Swamis_-_R_to_Y/His_Holiness_Radhanath_Swami/Lectures/02_-_Yatra/2000_Mayapur/Mayapur_Yatra_2000_-_SB_Class_at_Mayapur_Chandrodaya_Mandir_-_Radhanath_Swami.mp3", "Mayapur_Yatra_2000_-_SB_Class_at_Mayapur_Chandrodaya_Mandir_-_Radhanath_Swami.mp3")</f>
        <v>Mayapur_Yatra_2000_-_SB_Class_at_Mayapur_Chandrodaya_Mandir_-_Radhanath_Swami.mp3</v>
      </c>
      <c r="D4718" s="24"/>
      <c r="E4718" s="24"/>
    </row>
    <row r="4719">
      <c r="A4719" s="25" t="s">
        <v>18509</v>
      </c>
      <c r="B4719" s="25" t="s">
        <v>18515</v>
      </c>
      <c r="C4719" s="26" t="str">
        <f>HYPERLINK("https://audio.iskcondesiretree.com/02_-_ISKCON_Swamis/ISKCON_Swamis_-_R_to_Y/His_Holiness_Radhanath_Swami/Lectures/02_-_Yatra/2000_Mayapur/Mayapur_Yatra_2000_-_Vasudev_Dutta_Thakur%27s_house_-_Radhanath_Swami.mp3", "Mayapur_Yatra_2000_-_Vasudev_Dutta_Thakur%27s_house_-_Radhanath_Swami.mp3")</f>
        <v>Mayapur_Yatra_2000_-_Vasudev_Dutta_Thakur%27s_house_-_Radhanath_Swami.mp3</v>
      </c>
      <c r="D4719" s="24"/>
      <c r="E4719" s="24"/>
    </row>
    <row r="4720">
      <c r="A4720" s="25" t="s">
        <v>18509</v>
      </c>
      <c r="B4720" s="25" t="s">
        <v>18516</v>
      </c>
      <c r="C4720" s="26" t="str">
        <f>HYPERLINK("https://audio.iskcondesiretree.com/02_-_ISKCON_Swamis/ISKCON_Swamis_-_R_to_Y/His_Holiness_Radhanath_Swami/Lectures/02_-_Yatra/2002_Vrindavan_yatra/Vrindavan_Yatra_2002_01_Lecture_at_Raval_-_Radhanath_Swami.mp3", "Vrindavan_Yatra_2002_01_Lecture_at_Raval_-_Radhanath_Swami.mp3")</f>
        <v>Vrindavan_Yatra_2002_01_Lecture_at_Raval_-_Radhanath_Swami.mp3</v>
      </c>
      <c r="D4720" s="24"/>
      <c r="E4720" s="24"/>
    </row>
    <row r="4721">
      <c r="A4721" s="25" t="s">
        <v>18509</v>
      </c>
      <c r="B4721" s="25" t="s">
        <v>18516</v>
      </c>
      <c r="C4721" s="26" t="str">
        <f>HYPERLINK("https://audio.iskcondesiretree.com/02_-_ISKCON_Swamis/ISKCON_Swamis_-_R_to_Y/His_Holiness_Radhanath_Swami/Lectures/02_-_Yatra/2002_Vrindavan_yatra/Vrindavan_Yatra_2002_02_Prabhupada_Memories-01_-_Radhanath_Swami.mp3", "Vrindavan_Yatra_2002_02_Prabhupada_Memories-01_-_Radhanath_Swami.mp3")</f>
        <v>Vrindavan_Yatra_2002_02_Prabhupada_Memories-01_-_Radhanath_Swami.mp3</v>
      </c>
      <c r="D4721" s="24"/>
      <c r="E4721" s="24"/>
    </row>
    <row r="4722">
      <c r="A4722" s="25" t="s">
        <v>18509</v>
      </c>
      <c r="B4722" s="25" t="s">
        <v>18516</v>
      </c>
      <c r="C4722" s="26" t="str">
        <f>HYPERLINK("https://audio.iskcondesiretree.com/02_-_ISKCON_Swamis/ISKCON_Swamis_-_R_to_Y/His_Holiness_Radhanath_Swami/Lectures/02_-_Yatra/2002_Vrindavan_yatra/Vrindavan_Yatra_2002_03_Prabhupada_Memories-02_-_Radhanath_Swami.mp3", "Vrindavan_Yatra_2002_03_Prabhupada_Memories-02_-_Radhanath_Swami.mp3")</f>
        <v>Vrindavan_Yatra_2002_03_Prabhupada_Memories-02_-_Radhanath_Swami.mp3</v>
      </c>
      <c r="D4722" s="24"/>
      <c r="E4722" s="24"/>
    </row>
    <row r="4723">
      <c r="A4723" s="25" t="s">
        <v>18509</v>
      </c>
      <c r="B4723" s="25" t="s">
        <v>18516</v>
      </c>
      <c r="C4723" s="26" t="str">
        <f>HYPERLINK("https://audio.iskcondesiretree.com/02_-_ISKCON_Swamis/ISKCON_Swamis_-_R_to_Y/His_Holiness_Radhanath_Swami/Lectures/02_-_Yatra/2002_Vrindavan_yatra/Vrindavan_Yatra_2002_04_Prabhupada_Memories-03_-_Radhanath_Swami.mp3", "Vrindavan_Yatra_2002_04_Prabhupada_Memories-03_-_Radhanath_Swami.mp3")</f>
        <v>Vrindavan_Yatra_2002_04_Prabhupada_Memories-03_-_Radhanath_Swami.mp3</v>
      </c>
      <c r="D4723" s="24"/>
      <c r="E4723" s="24"/>
    </row>
    <row r="4724">
      <c r="A4724" s="25" t="s">
        <v>18509</v>
      </c>
      <c r="B4724" s="25" t="s">
        <v>18516</v>
      </c>
      <c r="C4724" s="26" t="str">
        <f>HYPERLINK("https://audio.iskcondesiretree.com/02_-_ISKCON_Swamis/ISKCON_Swamis_-_R_to_Y/His_Holiness_Radhanath_Swami/Lectures/02_-_Yatra/2002_Vrindavan_yatra/Vrindavan_Yatra_2002_06_Lecture_at_Brahmanda_Ghat_-_Radhanath_Swami.mp3", "Vrindavan_Yatra_2002_06_Lecture_at_Brahmanda_Ghat_-_Radhanath_Swami.mp3")</f>
        <v>Vrindavan_Yatra_2002_06_Lecture_at_Brahmanda_Ghat_-_Radhanath_Swami.mp3</v>
      </c>
      <c r="D4724" s="24"/>
      <c r="E4724" s="24"/>
    </row>
    <row r="4725">
      <c r="A4725" s="25" t="s">
        <v>18509</v>
      </c>
      <c r="B4725" s="25" t="s">
        <v>18516</v>
      </c>
      <c r="C4725" s="26" t="str">
        <f>HYPERLINK("https://audio.iskcondesiretree.com/02_-_ISKCON_Swamis/ISKCON_Swamis_-_R_to_Y/His_Holiness_Radhanath_Swami/Lectures/02_-_Yatra/2002_Vrindavan_yatra/Vrindavan_Yatra_2002_07_Lecture_at_Gokul-01_-_Radhanath_Swami.mp3", "Vrindavan_Yatra_2002_07_Lecture_at_Gokul-01_-_Radhanath_Swami.mp3")</f>
        <v>Vrindavan_Yatra_2002_07_Lecture_at_Gokul-01_-_Radhanath_Swami.mp3</v>
      </c>
      <c r="D4725" s="24"/>
      <c r="E4725" s="24"/>
    </row>
    <row r="4726">
      <c r="A4726" s="25" t="s">
        <v>18509</v>
      </c>
      <c r="B4726" s="25" t="s">
        <v>18516</v>
      </c>
      <c r="C4726" s="26" t="str">
        <f>HYPERLINK("https://audio.iskcondesiretree.com/02_-_ISKCON_Swamis/ISKCON_Swamis_-_R_to_Y/His_Holiness_Radhanath_Swami/Lectures/02_-_Yatra/2002_Vrindavan_yatra/Vrindavan_Yatra_2002_08_Lecture_at_Gokul-02_-_Radhanath_Swami.mp3", "Vrindavan_Yatra_2002_08_Lecture_at_Gokul-02_-_Radhanath_Swami.mp3")</f>
        <v>Vrindavan_Yatra_2002_08_Lecture_at_Gokul-02_-_Radhanath_Swami.mp3</v>
      </c>
      <c r="D4726" s="24"/>
      <c r="E4726" s="24"/>
    </row>
    <row r="4727">
      <c r="A4727" s="25" t="s">
        <v>18509</v>
      </c>
      <c r="B4727" s="25" t="s">
        <v>18516</v>
      </c>
      <c r="C4727" s="26" t="str">
        <f>HYPERLINK("https://audio.iskcondesiretree.com/02_-_ISKCON_Swamis/ISKCON_Swamis_-_R_to_Y/His_Holiness_Radhanath_Swami/Lectures/02_-_Yatra/2002_Vrindavan_yatra/Vrindavan_Yatra_2002_09_Lecture_at_Gokul-03_-_Radhanath_Swami.mp3", "Vrindavan_Yatra_2002_09_Lecture_at_Gokul-03_-_Radhanath_Swami.mp3")</f>
        <v>Vrindavan_Yatra_2002_09_Lecture_at_Gokul-03_-_Radhanath_Swami.mp3</v>
      </c>
      <c r="D4727" s="24"/>
      <c r="E4727" s="24"/>
    </row>
    <row r="4728">
      <c r="A4728" s="25" t="s">
        <v>18509</v>
      </c>
      <c r="B4728" s="25" t="s">
        <v>18516</v>
      </c>
      <c r="C4728" s="26" t="str">
        <f>HYPERLINK("https://audio.iskcondesiretree.com/02_-_ISKCON_Swamis/ISKCON_Swamis_-_R_to_Y/His_Holiness_Radhanath_Swami/Lectures/02_-_Yatra/2002_Vrindavan_yatra/Vrindavan_Yatra_2002_10_Lecture_at_Sreeji_Temple-01_-_Radhanath_Swami.mp3", "Vrindavan_Yatra_2002_10_Lecture_at_Sreeji_Temple-01_-_Radhanath_Swami.mp3")</f>
        <v>Vrindavan_Yatra_2002_10_Lecture_at_Sreeji_Temple-01_-_Radhanath_Swami.mp3</v>
      </c>
      <c r="D4728" s="24"/>
      <c r="E4728" s="24"/>
    </row>
    <row r="4729">
      <c r="A4729" s="25" t="s">
        <v>18509</v>
      </c>
      <c r="B4729" s="25" t="s">
        <v>18516</v>
      </c>
      <c r="C4729" s="26" t="str">
        <f>HYPERLINK("https://audio.iskcondesiretree.com/02_-_ISKCON_Swamis/ISKCON_Swamis_-_R_to_Y/His_Holiness_Radhanath_Swami/Lectures/02_-_Yatra/2002_Vrindavan_yatra/Vrindavan_Yatra_2002_11_Lecture_at_Sreeji_Temple-02_-_Radhanath_Swami.mp3", "Vrindavan_Yatra_2002_11_Lecture_at_Sreeji_Temple-02_-_Radhanath_Swami.mp3")</f>
        <v>Vrindavan_Yatra_2002_11_Lecture_at_Sreeji_Temple-02_-_Radhanath_Swami.mp3</v>
      </c>
      <c r="D4729" s="24"/>
      <c r="E4729" s="24"/>
    </row>
    <row r="4730">
      <c r="A4730" s="25" t="s">
        <v>18509</v>
      </c>
      <c r="B4730" s="25" t="s">
        <v>18516</v>
      </c>
      <c r="C4730" s="26" t="str">
        <f>HYPERLINK("https://audio.iskcondesiretree.com/02_-_ISKCON_Swamis/ISKCON_Swamis_-_R_to_Y/His_Holiness_Radhanath_Swami/Lectures/02_-_Yatra/2002_Vrindavan_yatra/Vrindavan_Yatra_2002_12_Lecture_at_Kushal_Bihari_Temple_-_Radhanath_Swami.mp3", "Vrindavan_Yatra_2002_12_Lecture_at_Kushal_Bihari_Temple_-_Radhanath_Swami.mp3")</f>
        <v>Vrindavan_Yatra_2002_12_Lecture_at_Kushal_Bihari_Temple_-_Radhanath_Swami.mp3</v>
      </c>
      <c r="D4730" s="24"/>
      <c r="E4730" s="24"/>
    </row>
    <row r="4731">
      <c r="A4731" s="25" t="s">
        <v>18509</v>
      </c>
      <c r="B4731" s="25" t="s">
        <v>18516</v>
      </c>
      <c r="C4731" s="26" t="str">
        <f>HYPERLINK("https://audio.iskcondesiretree.com/02_-_ISKCON_Swamis/ISKCON_Swamis_-_R_to_Y/His_Holiness_Radhanath_Swami/Lectures/02_-_Yatra/2002_Vrindavan_yatra/Vrindavan_Yatra_2002_13_-_Lecture_at_Krsna_Kunda_-_Radhanath_Swami.mp3", "Vrindavan_Yatra_2002_13_-_Lecture_at_Krsna_Kunda_-_Radhanath_Swami.mp3")</f>
        <v>Vrindavan_Yatra_2002_13_-_Lecture_at_Krsna_Kunda_-_Radhanath_Swami.mp3</v>
      </c>
      <c r="D4731" s="24"/>
      <c r="E4731" s="24"/>
    </row>
    <row r="4732">
      <c r="A4732" s="25" t="s">
        <v>18509</v>
      </c>
      <c r="B4732" s="25" t="s">
        <v>18516</v>
      </c>
      <c r="C4732" s="26" t="str">
        <f>HYPERLINK("https://audio.iskcondesiretree.com/02_-_ISKCON_Swamis/ISKCON_Swamis_-_R_to_Y/His_Holiness_Radhanath_Swami/Lectures/02_-_Yatra/2002_Vrindavan_yatra/Vrindavan_Yatra_2002_16_-_Lecture_at_Govind_Kunda-01_-_Radhanath_Swami.mp3", "Vrindavan_Yatra_2002_16_-_Lecture_at_Govind_Kunda-01_-_Radhanath_Swami.mp3")</f>
        <v>Vrindavan_Yatra_2002_16_-_Lecture_at_Govind_Kunda-01_-_Radhanath_Swami.mp3</v>
      </c>
      <c r="D4732" s="24"/>
      <c r="E4732" s="24"/>
    </row>
    <row r="4733">
      <c r="A4733" s="25" t="s">
        <v>18509</v>
      </c>
      <c r="B4733" s="25" t="s">
        <v>18516</v>
      </c>
      <c r="C4733" s="26" t="str">
        <f>HYPERLINK("https://audio.iskcondesiretree.com/02_-_ISKCON_Swamis/ISKCON_Swamis_-_R_to_Y/His_Holiness_Radhanath_Swami/Lectures/02_-_Yatra/2002_Vrindavan_yatra/Vrindavan_Yatra_2002_17_-_Lecture_at_Govind_Kunda-02_-_Radhanath_Swami.mp3", "Vrindavan_Yatra_2002_17_-_Lecture_at_Govind_Kunda-02_-_Radhanath_Swami.mp3")</f>
        <v>Vrindavan_Yatra_2002_17_-_Lecture_at_Govind_Kunda-02_-_Radhanath_Swami.mp3</v>
      </c>
      <c r="D4733" s="24"/>
      <c r="E4733" s="24"/>
    </row>
    <row r="4734">
      <c r="A4734" s="25" t="s">
        <v>18509</v>
      </c>
      <c r="B4734" s="25" t="s">
        <v>18516</v>
      </c>
      <c r="C4734" s="26" t="str">
        <f>HYPERLINK("https://audio.iskcondesiretree.com/02_-_ISKCON_Swamis/ISKCON_Swamis_-_R_to_Y/His_Holiness_Radhanath_Swami/Lectures/02_-_Yatra/2002_Vrindavan_yatra/Vrindavan_Yatra_2002_18_-_Lecture_at_Govind_Kunda-03_-_Radhanath_Swami.mp3", "Vrindavan_Yatra_2002_18_-_Lecture_at_Govind_Kunda-03_-_Radhanath_Swami.mp3")</f>
        <v>Vrindavan_Yatra_2002_18_-_Lecture_at_Govind_Kunda-03_-_Radhanath_Swami.mp3</v>
      </c>
      <c r="D4734" s="24"/>
      <c r="E4734" s="24"/>
    </row>
    <row r="4735">
      <c r="A4735" s="25" t="s">
        <v>18509</v>
      </c>
      <c r="B4735" s="25" t="s">
        <v>18516</v>
      </c>
      <c r="C4735" s="26" t="str">
        <f>HYPERLINK("https://audio.iskcondesiretree.com/02_-_ISKCON_Swamis/ISKCON_Swamis_-_R_to_Y/His_Holiness_Radhanath_Swami/Lectures/02_-_Yatra/2002_Vrindavan_yatra/Vrindavan_Yatra_2002_19_-_Lecture_at_Candra_Sarovar_-_Radhanath_Swami.mp3", "Vrindavan_Yatra_2002_19_-_Lecture_at_Candra_Sarovar_-_Radhanath_Swami.mp3")</f>
        <v>Vrindavan_Yatra_2002_19_-_Lecture_at_Candra_Sarovar_-_Radhanath_Swami.mp3</v>
      </c>
      <c r="D4735" s="24"/>
      <c r="E4735" s="24"/>
    </row>
    <row r="4736">
      <c r="A4736" s="25" t="s">
        <v>18509</v>
      </c>
      <c r="B4736" s="25" t="s">
        <v>18516</v>
      </c>
      <c r="C4736" s="26" t="str">
        <f>HYPERLINK("https://audio.iskcondesiretree.com/02_-_ISKCON_Swamis/ISKCON_Swamis_-_R_to_Y/His_Holiness_Radhanath_Swami/Lectures/02_-_Yatra/2002_Vrindavan_yatra/Vrindavan_Yatra_2002_20_-_Lecture_at_Kusum_Sarovar_Govardhan_Parikrama.mp3", "Vrindavan_Yatra_2002_20_-_Lecture_at_Kusum_Sarovar_Govardhan_Parikrama.mp3")</f>
        <v>Vrindavan_Yatra_2002_20_-_Lecture_at_Kusum_Sarovar_Govardhan_Parikrama.mp3</v>
      </c>
      <c r="D4736" s="24"/>
      <c r="E4736" s="24"/>
    </row>
    <row r="4737">
      <c r="A4737" s="25" t="s">
        <v>18509</v>
      </c>
      <c r="B4737" s="25" t="s">
        <v>18516</v>
      </c>
      <c r="C4737" s="26" t="str">
        <f>HYPERLINK("https://audio.iskcondesiretree.com/02_-_ISKCON_Swamis/ISKCON_Swamis_-_R_to_Y/His_Holiness_Radhanath_Swami/Lectures/02_-_Yatra/2002_Vrindavan_yatra/Vrindavan_Yatra_2002_21_-_Lecture_at_Shyamvan_Govardhan_Parikrama_-_Radhanath_Swami.mp3", "Vrindavan_Yatra_2002_21_-_Lecture_at_Shyamvan_Govardhan_Parikrama_-_Radhanath_Swami.mp3")</f>
        <v>Vrindavan_Yatra_2002_21_-_Lecture_at_Shyamvan_Govardhan_Parikrama_-_Radhanath_Swami.mp3</v>
      </c>
      <c r="D4737" s="24"/>
      <c r="E4737" s="24"/>
    </row>
    <row r="4738">
      <c r="A4738" s="25" t="s">
        <v>18509</v>
      </c>
      <c r="B4738" s="25" t="s">
        <v>18516</v>
      </c>
      <c r="C4738" s="26" t="str">
        <f>HYPERLINK("https://audio.iskcondesiretree.com/02_-_ISKCON_Swamis/ISKCON_Swamis_-_R_to_Y/His_Holiness_Radhanath_Swami/Lectures/02_-_Yatra/2002_Vrindavan_yatra/Vrindavan_Yatra_2002_23_-_Lecture_at_Govind_Kunda_Govardhan_Parikrama_-_Dinbandhu_Prabhu.mp3", "Vrindavan_Yatra_2002_23_-_Lecture_at_Govind_Kunda_Govardhan_Parikrama_-_Dinbandhu_Prabhu.mp3")</f>
        <v>Vrindavan_Yatra_2002_23_-_Lecture_at_Govind_Kunda_Govardhan_Parikrama_-_Dinbandhu_Prabhu.mp3</v>
      </c>
      <c r="D4738" s="24"/>
      <c r="E4738" s="24"/>
    </row>
    <row r="4739">
      <c r="A4739" s="25" t="s">
        <v>18509</v>
      </c>
      <c r="B4739" s="25" t="s">
        <v>18516</v>
      </c>
      <c r="C4739" s="26" t="str">
        <f>HYPERLINK("https://audio.iskcondesiretree.com/02_-_ISKCON_Swamis/ISKCON_Swamis_-_R_to_Y/His_Holiness_Radhanath_Swami/Lectures/02_-_Yatra/2002_Vrindavan_yatra/Vrindavan_Yatra_2002_24_-_Lecture_at_Puchari_Govardhan_Parikrama_-_Dinbandhu_Prabhu.mp3", "Vrindavan_Yatra_2002_24_-_Lecture_at_Puchari_Govardhan_Parikrama_-_Dinbandhu_Prabhu.mp3")</f>
        <v>Vrindavan_Yatra_2002_24_-_Lecture_at_Puchari_Govardhan_Parikrama_-_Dinbandhu_Prabhu.mp3</v>
      </c>
      <c r="D4739" s="24"/>
      <c r="E4739" s="24"/>
    </row>
    <row r="4740">
      <c r="A4740" s="25" t="s">
        <v>18509</v>
      </c>
      <c r="B4740" s="25" t="s">
        <v>18516</v>
      </c>
      <c r="C4740" s="26" t="str">
        <f>HYPERLINK("https://audio.iskcondesiretree.com/02_-_ISKCON_Swamis/ISKCON_Swamis_-_R_to_Y/His_Holiness_Radhanath_Swami/Lectures/02_-_Yatra/2002_Vrindavan_yatra/Vrindavan_Yatra_2002_25_-_Lecture_at_Surabhi_Kunda_Govardhan_Parikrama_-_Dinbandhu_Prabhu.mp3", "Vrindavan_Yatra_2002_25_-_Lecture_at_Surabhi_Kunda_Govardhan_Parikrama_-_Dinbandhu_Prabhu.mp3")</f>
        <v>Vrindavan_Yatra_2002_25_-_Lecture_at_Surabhi_Kunda_Govardhan_Parikrama_-_Dinbandhu_Prabhu.mp3</v>
      </c>
      <c r="D4740" s="24"/>
      <c r="E4740" s="24"/>
    </row>
    <row r="4741">
      <c r="A4741" s="25" t="s">
        <v>18509</v>
      </c>
      <c r="B4741" s="25" t="s">
        <v>18516</v>
      </c>
      <c r="C4741" s="26" t="str">
        <f>HYPERLINK("https://audio.iskcondesiretree.com/02_-_ISKCON_Swamis/ISKCON_Swamis_-_R_to_Y/His_Holiness_Radhanath_Swami/Lectures/02_-_Yatra/2002_Vrindavan_yatra/Vrindavan_Yatra_2002_26_-_Lecture_at_Uddhava_Kunda_Govardhan_Parikrama_-_Radhanath_Swami.mp3", "Vrindavan_Yatra_2002_26_-_Lecture_at_Uddhava_Kunda_Govardhan_Parikrama_-_Radhanath_Swami.mp3")</f>
        <v>Vrindavan_Yatra_2002_26_-_Lecture_at_Uddhava_Kunda_Govardhan_Parikrama_-_Radhanath_Swami.mp3</v>
      </c>
      <c r="D4741" s="24"/>
      <c r="E4741" s="24"/>
    </row>
    <row r="4742">
      <c r="A4742" s="25" t="s">
        <v>18509</v>
      </c>
      <c r="B4742" s="25" t="s">
        <v>18516</v>
      </c>
      <c r="C4742" s="26" t="str">
        <f>HYPERLINK("https://audio.iskcondesiretree.com/02_-_ISKCON_Swamis/ISKCON_Swamis_-_R_to_Y/His_Holiness_Radhanath_Swami/Lectures/02_-_Yatra/2002_Vrindavan_yatra/Vrindavan_Yatra_2002_27_-_Govardhan_Parikrama_Concluding_Speech_-_Radhanath_Swami.mp3", "Vrindavan_Yatra_2002_27_-_Govardhan_Parikrama_Concluding_Speech_-_Radhanath_Swami.mp3")</f>
        <v>Vrindavan_Yatra_2002_27_-_Govardhan_Parikrama_Concluding_Speech_-_Radhanath_Swami.mp3</v>
      </c>
      <c r="D4742" s="24"/>
      <c r="E4742" s="24"/>
    </row>
    <row r="4743">
      <c r="A4743" s="25" t="s">
        <v>18509</v>
      </c>
      <c r="B4743" s="25" t="s">
        <v>18516</v>
      </c>
      <c r="C4743" s="26" t="str">
        <f>HYPERLINK("https://audio.iskcondesiretree.com/02_-_ISKCON_Swamis/ISKCON_Swamis_-_R_to_Y/His_Holiness_Radhanath_Swami/Lectures/02_-_Yatra/2002_Vrindavan_yatra/Vrindavan_Yatra_2002_29_-_Lecture_at_Maan_Sarovar_-_Radhanath_Swami.mp3", "Vrindavan_Yatra_2002_29_-_Lecture_at_Maan_Sarovar_-_Radhanath_Swami.mp3")</f>
        <v>Vrindavan_Yatra_2002_29_-_Lecture_at_Maan_Sarovar_-_Radhanath_Swami.mp3</v>
      </c>
      <c r="D4743" s="24"/>
      <c r="E4743" s="24"/>
    </row>
    <row r="4744">
      <c r="A4744" s="25" t="s">
        <v>18509</v>
      </c>
      <c r="B4744" s="25" t="s">
        <v>18516</v>
      </c>
      <c r="C4744" s="26" t="str">
        <f>HYPERLINK("https://audio.iskcondesiretree.com/02_-_ISKCON_Swamis/ISKCON_Swamis_-_R_to_Y/His_Holiness_Radhanath_Swami/Lectures/02_-_Yatra/2002_Vrindavan_yatra/Vrindavan_Yatra_2002_31_-_Lecture_at_Bilvavana_-_Radhanath_Swami.mp3", "Vrindavan_Yatra_2002_31_-_Lecture_at_Bilvavana_-_Radhanath_Swami.mp3")</f>
        <v>Vrindavan_Yatra_2002_31_-_Lecture_at_Bilvavana_-_Radhanath_Swami.mp3</v>
      </c>
      <c r="D4744" s="24"/>
      <c r="E4744" s="24"/>
    </row>
    <row r="4745">
      <c r="A4745" s="25" t="s">
        <v>18509</v>
      </c>
      <c r="B4745" s="25" t="s">
        <v>18516</v>
      </c>
      <c r="C4745" s="26" t="str">
        <f>HYPERLINK("https://audio.iskcondesiretree.com/02_-_ISKCON_Swamis/ISKCON_Swamis_-_R_to_Y/His_Holiness_Radhanath_Swami/Lectures/02_-_Yatra/2002_Vrindavan_yatra/Vrindavan_Yatra_2002_32_-_Lecture_at_Surya_Kunda_Radhanath_Swami.mp3", "Vrindavan_Yatra_2002_32_-_Lecture_at_Surya_Kunda_Radhanath_Swami.mp3")</f>
        <v>Vrindavan_Yatra_2002_32_-_Lecture_at_Surya_Kunda_Radhanath_Swami.mp3</v>
      </c>
      <c r="D4745" s="24"/>
      <c r="E4745" s="24"/>
    </row>
    <row r="4746">
      <c r="A4746" s="25" t="s">
        <v>18509</v>
      </c>
      <c r="B4746" s="25" t="s">
        <v>18516</v>
      </c>
      <c r="C4746" s="26" t="str">
        <f>HYPERLINK("https://audio.iskcondesiretree.com/02_-_ISKCON_Swamis/ISKCON_Swamis_-_R_to_Y/His_Holiness_Radhanath_Swami/Lectures/02_-_Yatra/2002_Vrindavan_yatra/Vrindavan_Yatra_2002_33_-_Lecture_at_Surya_Kunda_-_Sacinanada_Swami.mp3", "Vrindavan_Yatra_2002_33_-_Lecture_at_Surya_Kunda_-_Sacinanada_Swami.mp3")</f>
        <v>Vrindavan_Yatra_2002_33_-_Lecture_at_Surya_Kunda_-_Sacinanada_Swami.mp3</v>
      </c>
      <c r="D4746" s="24"/>
      <c r="E4746" s="24"/>
    </row>
    <row r="4747">
      <c r="A4747" s="25" t="s">
        <v>18509</v>
      </c>
      <c r="B4747" s="25" t="s">
        <v>18516</v>
      </c>
      <c r="C4747" s="26" t="str">
        <f>HYPERLINK("https://audio.iskcondesiretree.com/02_-_ISKCON_Swamis/ISKCON_Swamis_-_R_to_Y/His_Holiness_Radhanath_Swami/Lectures/02_-_Yatra/2002_Vrindavan_yatra/Vrindavan_Yatra_2002_34_-_Lecture_at_Surya_Kunda_-_Dinbandhu_Prabhu.mp3", "Vrindavan_Yatra_2002_34_-_Lecture_at_Surya_Kunda_-_Dinbandhu_Prabhu.mp3")</f>
        <v>Vrindavan_Yatra_2002_34_-_Lecture_at_Surya_Kunda_-_Dinbandhu_Prabhu.mp3</v>
      </c>
      <c r="D4747" s="24"/>
      <c r="E4747" s="24"/>
    </row>
    <row r="4748">
      <c r="A4748" s="25" t="s">
        <v>18509</v>
      </c>
      <c r="B4748" s="25" t="s">
        <v>18516</v>
      </c>
      <c r="C4748" s="26" t="str">
        <f>HYPERLINK("https://audio.iskcondesiretree.com/02_-_ISKCON_Swamis/ISKCON_Swamis_-_R_to_Y/His_Holiness_Radhanath_Swami/Lectures/02_-_Yatra/2002_Vrindavan_yatra/Vrindavan_Yatra_2002_35_-_Lecture_at_Kusum_Sarova_-_Radhanath_Swamir.mp3", "Vrindavan_Yatra_2002_35_-_Lecture_at_Kusum_Sarova_-_Radhanath_Swamir.mp3")</f>
        <v>Vrindavan_Yatra_2002_35_-_Lecture_at_Kusum_Sarova_-_Radhanath_Swamir.mp3</v>
      </c>
      <c r="D4748" s="24"/>
      <c r="E4748" s="24"/>
    </row>
    <row r="4749">
      <c r="A4749" s="25" t="s">
        <v>18509</v>
      </c>
      <c r="B4749" s="25" t="s">
        <v>18516</v>
      </c>
      <c r="C4749" s="26" t="str">
        <f>HYPERLINK("https://audio.iskcondesiretree.com/02_-_ISKCON_Swamis/ISKCON_Swamis_-_R_to_Y/His_Holiness_Radhanath_Swami/Lectures/02_-_Yatra/2002_Vrindavan_yatra/Vrindavan_Yatra_2002_36_-_Lecture_at_Ter_Kadam-01_-_Radhanath_Swami.mp3", "Vrindavan_Yatra_2002_36_-_Lecture_at_Ter_Kadam-01_-_Radhanath_Swami.mp3")</f>
        <v>Vrindavan_Yatra_2002_36_-_Lecture_at_Ter_Kadam-01_-_Radhanath_Swami.mp3</v>
      </c>
      <c r="D4749" s="24"/>
      <c r="E4749" s="24"/>
    </row>
    <row r="4750">
      <c r="A4750" s="25" t="s">
        <v>18509</v>
      </c>
      <c r="B4750" s="25" t="s">
        <v>18516</v>
      </c>
      <c r="C4750" s="26" t="str">
        <f>HYPERLINK("https://audio.iskcondesiretree.com/02_-_ISKCON_Swamis/ISKCON_Swamis_-_R_to_Y/His_Holiness_Radhanath_Swami/Lectures/02_-_Yatra/2002_Vrindavan_yatra/Vrindavan_Yatra_2002_37_-_Lecture_at_Ter_Kadam-02_-_Radhanath_Swami.mp3", "Vrindavan_Yatra_2002_37_-_Lecture_at_Ter_Kadam-02_-_Radhanath_Swami.mp3")</f>
        <v>Vrindavan_Yatra_2002_37_-_Lecture_at_Ter_Kadam-02_-_Radhanath_Swami.mp3</v>
      </c>
      <c r="D4750" s="24"/>
      <c r="E4750" s="24"/>
    </row>
    <row r="4751">
      <c r="A4751" s="25" t="s">
        <v>18509</v>
      </c>
      <c r="B4751" s="25" t="s">
        <v>18516</v>
      </c>
      <c r="C4751" s="26" t="str">
        <f>HYPERLINK("https://audio.iskcondesiretree.com/02_-_ISKCON_Swamis/ISKCON_Swamis_-_R_to_Y/His_Holiness_Radhanath_Swami/Lectures/02_-_Yatra/2002_Vrindavan_yatra/Vrindavan_Yatra_2002_38_-_Lecture_at_Ter_Kadam-03_-_Birju_Babaji.mp3", "Vrindavan_Yatra_2002_38_-_Lecture_at_Ter_Kadam-03_-_Birju_Babaji.mp3")</f>
        <v>Vrindavan_Yatra_2002_38_-_Lecture_at_Ter_Kadam-03_-_Birju_Babaji.mp3</v>
      </c>
      <c r="D4751" s="24"/>
      <c r="E4751" s="24"/>
    </row>
    <row r="4752">
      <c r="A4752" s="25" t="s">
        <v>18509</v>
      </c>
      <c r="B4752" s="25" t="s">
        <v>18516</v>
      </c>
      <c r="C4752" s="26" t="str">
        <f>HYPERLINK("https://audio.iskcondesiretree.com/02_-_ISKCON_Swamis/ISKCON_Swamis_-_R_to_Y/His_Holiness_Radhanath_Swami/Lectures/02_-_Yatra/2002_Vrindavan_yatra/Vrindavan_Yatra_2002_39_-_Lecture_at_Pawan_Sarovar_-_Radhanath_Swami.mp3", "Vrindavan_Yatra_2002_39_-_Lecture_at_Pawan_Sarovar_-_Radhanath_Swami.mp3")</f>
        <v>Vrindavan_Yatra_2002_39_-_Lecture_at_Pawan_Sarovar_-_Radhanath_Swami.mp3</v>
      </c>
      <c r="D4752" s="24"/>
      <c r="E4752" s="24"/>
    </row>
    <row r="4753">
      <c r="A4753" s="25" t="s">
        <v>18509</v>
      </c>
      <c r="B4753" s="25" t="s">
        <v>18516</v>
      </c>
      <c r="C4753" s="26" t="str">
        <f>HYPERLINK("https://audio.iskcondesiretree.com/02_-_ISKCON_Swamis/ISKCON_Swamis_-_R_to_Y/His_Holiness_Radhanath_Swami/Lectures/02_-_Yatra/2002_Vrindavan_yatra/Vrindavan_Yatra_2002_40_-_Lecture_at_Vrinda_Kunda_-_Radhanath_Swami_and_Bhagavat_Prasad_Prabhu.mp3", "Vrindavan_Yatra_2002_40_-_Lecture_at_Vrinda_Kunda_-_Radhanath_Swami_and_Bhagavat_Prasad_Prabhu.mp3")</f>
        <v>Vrindavan_Yatra_2002_40_-_Lecture_at_Vrinda_Kunda_-_Radhanath_Swami_and_Bhagavat_Prasad_Prabhu.mp3</v>
      </c>
      <c r="D4753" s="24"/>
      <c r="E4753" s="24"/>
    </row>
    <row r="4754">
      <c r="A4754" s="25" t="s">
        <v>18509</v>
      </c>
      <c r="B4754" s="25" t="s">
        <v>18516</v>
      </c>
      <c r="C4754" s="26" t="str">
        <f>HYPERLINK("https://audio.iskcondesiretree.com/02_-_ISKCON_Swamis/ISKCON_Swamis_-_R_to_Y/His_Holiness_Radhanath_Swami/Lectures/02_-_Yatra/2002_Vrindavan_yatra/Vrindavan_Yatra_2002_41_-_Lecture_at_Uddhava_Kyari_-_Radhanath_Swami.mp3", "Vrindavan_Yatra_2002_41_-_Lecture_at_Uddhava_Kyari_-_Radhanath_Swami.mp3")</f>
        <v>Vrindavan_Yatra_2002_41_-_Lecture_at_Uddhava_Kyari_-_Radhanath_Swami.mp3</v>
      </c>
      <c r="D4754" s="24"/>
      <c r="E4754" s="24"/>
    </row>
    <row r="4755">
      <c r="A4755" s="25" t="s">
        <v>18509</v>
      </c>
      <c r="B4755" s="25" t="s">
        <v>18516</v>
      </c>
      <c r="C4755" s="26" t="str">
        <f>HYPERLINK("https://audio.iskcondesiretree.com/02_-_ISKCON_Swamis/ISKCON_Swamis_-_R_to_Y/His_Holiness_Radhanath_Swami/Lectures/02_-_Yatra/2002_Vrindavan_yatra/Vrindavan_Yatra_2002_42_-_Lecture_at_Kaliya_Ghat_-_Radhanath_Swami.mp3", "Vrindavan_Yatra_2002_42_-_Lecture_at_Kaliya_Ghat_-_Radhanath_Swami.mp3")</f>
        <v>Vrindavan_Yatra_2002_42_-_Lecture_at_Kaliya_Ghat_-_Radhanath_Swami.mp3</v>
      </c>
      <c r="D4755" s="24"/>
      <c r="E4755" s="24"/>
    </row>
    <row r="4756">
      <c r="A4756" s="25" t="s">
        <v>18509</v>
      </c>
      <c r="B4756" s="25" t="s">
        <v>18516</v>
      </c>
      <c r="C4756" s="26" t="str">
        <f>HYPERLINK("https://audio.iskcondesiretree.com/02_-_ISKCON_Swamis/ISKCON_Swamis_-_R_to_Y/His_Holiness_Radhanath_Swami/Lectures/02_-_Yatra/2002_Vrindavan_yatra/Vrindavan_Yatra_2002_43_-_Lecture_at_Radha_Damodar_Temple_-_Radhanath_Swami.mp3", "Vrindavan_Yatra_2002_43_-_Lecture_at_Radha_Damodar_Temple_-_Radhanath_Swami.mp3")</f>
        <v>Vrindavan_Yatra_2002_43_-_Lecture_at_Radha_Damodar_Temple_-_Radhanath_Swami.mp3</v>
      </c>
      <c r="D4756" s="24"/>
      <c r="E4756" s="24"/>
    </row>
    <row r="4757">
      <c r="A4757" s="25" t="s">
        <v>18509</v>
      </c>
      <c r="B4757" s="25" t="s">
        <v>18516</v>
      </c>
      <c r="C4757" s="26" t="str">
        <f>HYPERLINK("https://audio.iskcondesiretree.com/02_-_ISKCON_Swamis/ISKCON_Swamis_-_R_to_Y/His_Holiness_Radhanath_Swami/Lectures/02_-_Yatra/2002_Vrindavan_yatra/Vrindavan_Yatra_2002_45_-_Prabhupada_Memories_-_Narayani_Mataj_-_Radhanath_Swami.mp3", "Vrindavan_Yatra_2002_45_-_Prabhupada_Memories_-_Narayani_Mataj_-_Radhanath_Swami.mp3")</f>
        <v>Vrindavan_Yatra_2002_45_-_Prabhupada_Memories_-_Narayani_Mataj_-_Radhanath_Swami.mp3</v>
      </c>
      <c r="D4757" s="24"/>
      <c r="E4757" s="24"/>
    </row>
    <row r="4758">
      <c r="A4758" s="25" t="s">
        <v>18509</v>
      </c>
      <c r="B4758" s="25" t="s">
        <v>18516</v>
      </c>
      <c r="C4758" s="26" t="str">
        <f>HYPERLINK("https://audio.iskcondesiretree.com/02_-_ISKCON_Swamis/ISKCON_Swamis_-_R_to_Y/His_Holiness_Radhanath_Swami/Lectures/02_-_Yatra/2002_Vrindavan_yatra/Vrindavan_Yatra_2002_46_-_Lecture_at_Radha_Govindji_Temple_-_Radhanath_Swami.mp3", "Vrindavan_Yatra_2002_46_-_Lecture_at_Radha_Govindji_Temple_-_Radhanath_Swami.mp3")</f>
        <v>Vrindavan_Yatra_2002_46_-_Lecture_at_Radha_Govindji_Temple_-_Radhanath_Swami.mp3</v>
      </c>
      <c r="D4758" s="24"/>
      <c r="E4758" s="24"/>
    </row>
    <row r="4759">
      <c r="A4759" s="25" t="s">
        <v>18509</v>
      </c>
      <c r="B4759" s="25" t="s">
        <v>18516</v>
      </c>
      <c r="C4759" s="26" t="str">
        <f>HYPERLINK("https://audio.iskcondesiretree.com/02_-_ISKCON_Swamis/ISKCON_Swamis_-_R_to_Y/His_Holiness_Radhanath_Swami/Lectures/02_-_Yatra/2002_Vrindavan_yatra/Vrindavan_Yatra_2002_47_-_Lecture_at_Vamsi_Vata_-_Radhanath_Swami.mp3", "Vrindavan_Yatra_2002_47_-_Lecture_at_Vamsi_Vata_-_Radhanath_Swami.mp3")</f>
        <v>Vrindavan_Yatra_2002_47_-_Lecture_at_Vamsi_Vata_-_Radhanath_Swami.mp3</v>
      </c>
      <c r="D4759" s="24"/>
      <c r="E4759" s="24"/>
    </row>
    <row r="4760">
      <c r="A4760" s="25" t="s">
        <v>18509</v>
      </c>
      <c r="B4760" s="25" t="s">
        <v>18516</v>
      </c>
      <c r="C4760" s="26" t="str">
        <f>HYPERLINK("https://audio.iskcondesiretree.com/02_-_ISKCON_Swamis/ISKCON_Swamis_-_R_to_Y/His_Holiness_Radhanath_Swami/Lectures/02_-_Yatra/2002_Vrindavan_yatra/Vrindavan_Yatra_2002_48_-_Talk_at_Yajna_Sthali_-_Radhanath_Swami.mp3", "Vrindavan_Yatra_2002_48_-_Talk_at_Yajna_Sthali_-_Radhanath_Swami.mp3")</f>
        <v>Vrindavan_Yatra_2002_48_-_Talk_at_Yajna_Sthali_-_Radhanath_Swami.mp3</v>
      </c>
      <c r="D4760" s="24"/>
      <c r="E4760" s="24"/>
    </row>
    <row r="4761">
      <c r="A4761" s="25" t="s">
        <v>18509</v>
      </c>
      <c r="B4761" s="25" t="s">
        <v>18516</v>
      </c>
      <c r="C4761" s="26" t="str">
        <f>HYPERLINK("https://audio.iskcondesiretree.com/02_-_ISKCON_Swamis/ISKCON_Swamis_-_R_to_Y/His_Holiness_Radhanath_Swami/Lectures/02_-_Yatra/2002_Vrindavan_yatra/Vrindavan_Yatra_2002_50_-_Lecture_at_Akrura_Ghat-02_-_Purnacandra_Prabhu_and_Radhanath_Swami.mp3", "Vrindavan_Yatra_2002_50_-_Lecture_at_Akrura_Ghat-02_-_Purnacandra_Prabhu_and_Radhanath_Swami.mp3")</f>
        <v>Vrindavan_Yatra_2002_50_-_Lecture_at_Akrura_Ghat-02_-_Purnacandra_Prabhu_and_Radhanath_Swami.mp3</v>
      </c>
      <c r="D4761" s="24"/>
      <c r="E4761" s="24"/>
    </row>
    <row r="4762">
      <c r="A4762" s="25" t="s">
        <v>18509</v>
      </c>
      <c r="B4762" s="25" t="s">
        <v>18517</v>
      </c>
      <c r="C4762" s="26" t="str">
        <f>HYPERLINK("https://audio.iskcondesiretree.com/02_-_ISKCON_Swamis/ISKCON_Swamis_-_R_to_Y/His_Holiness_Radhanath_Swami/Lectures/02_-_Yatra/2003_Mayapur_yatra/Mayapur_Yatra_2003_01_-_Lecture_at_Yogapitha_Day-01_Jayapataka%20Swami.mp3", "Mayapur_Yatra_2003_01_-_Lecture_at_Yogapitha_Day-01_Jayapataka%20Swami.mp3")</f>
        <v>Mayapur_Yatra_2003_01_-_Lecture_at_Yogapitha_Day-01_Jayapataka%20Swami.mp3</v>
      </c>
      <c r="D4762" s="24"/>
      <c r="E4762" s="24"/>
    </row>
    <row r="4763">
      <c r="A4763" s="25" t="s">
        <v>18509</v>
      </c>
      <c r="B4763" s="25" t="s">
        <v>18517</v>
      </c>
      <c r="C4763" s="26" t="str">
        <f>HYPERLINK("https://audio.iskcondesiretree.com/02_-_ISKCON_Swamis/ISKCON_Swamis_-_R_to_Y/His_Holiness_Radhanath_Swami/Lectures/02_-_Yatra/2003_Mayapur_yatra/Mayapur_Yatra_2003_02_-_Lecture_at_Yogapitha_Day-01_Radhanath_Swami.mp3", "Mayapur_Yatra_2003_02_-_Lecture_at_Yogapitha_Day-01_Radhanath_Swami.mp3")</f>
        <v>Mayapur_Yatra_2003_02_-_Lecture_at_Yogapitha_Day-01_Radhanath_Swami.mp3</v>
      </c>
      <c r="D4763" s="24"/>
      <c r="E4763" s="24"/>
    </row>
    <row r="4764">
      <c r="A4764" s="25" t="s">
        <v>18509</v>
      </c>
      <c r="B4764" s="25" t="s">
        <v>18517</v>
      </c>
      <c r="C4764" s="26" t="str">
        <f>HYPERLINK("https://audio.iskcondesiretree.com/02_-_ISKCON_Swamis/ISKCON_Swamis_-_R_to_Y/His_Holiness_Radhanath_Swami/Lectures/02_-_Yatra/2003_Mayapur_yatra/Mayapur_Yatra_2003_03_-_Lecture_at_Gada_Garden_Day-01_Radhanath_Swami.mp3", "Mayapur_Yatra_2003_03_-_Lecture_at_Gada_Garden_Day-01_Radhanath_Swami.mp3")</f>
        <v>Mayapur_Yatra_2003_03_-_Lecture_at_Gada_Garden_Day-01_Radhanath_Swami.mp3</v>
      </c>
      <c r="D4764" s="24"/>
      <c r="E4764" s="24"/>
    </row>
    <row r="4765">
      <c r="A4765" s="25" t="s">
        <v>18509</v>
      </c>
      <c r="B4765" s="25" t="s">
        <v>18517</v>
      </c>
      <c r="C4765" s="26" t="str">
        <f>HYPERLINK("https://audio.iskcondesiretree.com/02_-_ISKCON_Swamis/ISKCON_Swamis_-_R_to_Y/His_Holiness_Radhanath_Swami/Lectures/02_-_Yatra/2003_Mayapur_yatra/Mayapur_Yatra_2003_04_-_Lecture_at_Jagannath_Das_Babaji%27s_Samadhi_Day-02_Jayapataka_Swami.mp3", "Mayapur_Yatra_2003_04_-_Lecture_at_Jagannath_Das_Babaji%27s_Samadhi_Day-02_Jayapataka_Swami.mp3")</f>
        <v>Mayapur_Yatra_2003_04_-_Lecture_at_Jagannath_Das_Babaji%27s_Samadhi_Day-02_Jayapataka_Swami.mp3</v>
      </c>
      <c r="D4765" s="24"/>
      <c r="E4765" s="24"/>
    </row>
    <row r="4766">
      <c r="A4766" s="25" t="s">
        <v>18509</v>
      </c>
      <c r="B4766" s="25" t="s">
        <v>18517</v>
      </c>
      <c r="C4766" s="26" t="str">
        <f>HYPERLINK("https://audio.iskcondesiretree.com/02_-_ISKCON_Swamis/ISKCON_Swamis_-_R_to_Y/His_Holiness_Radhanath_Swami/Lectures/02_-_Yatra/2003_Mayapur_yatra/Mayapur_Yatra_2003_05_-_Lecture_at_Dhameshwar_Mahaprabhu_Day-02_Jayapataka_Swami.mp3", "Mayapur_Yatra_2003_05_-_Lecture_at_Dhameshwar_Mahaprabhu_Day-02_Jayapataka_Swami.mp3")</f>
        <v>Mayapur_Yatra_2003_05_-_Lecture_at_Dhameshwar_Mahaprabhu_Day-02_Jayapataka_Swami.mp3</v>
      </c>
      <c r="D4766" s="24"/>
      <c r="E4766" s="24"/>
    </row>
    <row r="4767">
      <c r="A4767" s="25" t="s">
        <v>18509</v>
      </c>
      <c r="B4767" s="25" t="s">
        <v>18517</v>
      </c>
      <c r="C4767" s="26" t="str">
        <f>HYPERLINK("https://audio.iskcondesiretree.com/02_-_ISKCON_Swamis/ISKCON_Swamis_-_R_to_Y/His_Holiness_Radhanath_Swami/Lectures/02_-_Yatra/2003_Mayapur_yatra/Mayapur_Yatra_2003_06_-_Lecture_at_Gada_Garden_Day-02_Radhanath_Swami.mp3", "Mayapur_Yatra_2003_06_-_Lecture_at_Gada_Garden_Day-02_Radhanath_Swami.mp3")</f>
        <v>Mayapur_Yatra_2003_06_-_Lecture_at_Gada_Garden_Day-02_Radhanath_Swami.mp3</v>
      </c>
      <c r="D4767" s="24"/>
      <c r="E4767" s="24"/>
    </row>
    <row r="4768">
      <c r="A4768" s="25" t="s">
        <v>18509</v>
      </c>
      <c r="B4768" s="25" t="s">
        <v>18517</v>
      </c>
      <c r="C4768" s="26" t="str">
        <f>HYPERLINK("https://audio.iskcondesiretree.com/02_-_ISKCON_Swamis/ISKCON_Swamis_-_R_to_Y/His_Holiness_Radhanath_Swami/Lectures/02_-_Yatra/2003_Mayapur_yatra/Mayapur_Yatra_2003_07_-_Lecture_at_Bhaktivinod_Thakur%27s_House_Day-03_Jayapataka_Swami.mp3", "Mayapur_Yatra_2003_07_-_Lecture_at_Bhaktivinod_Thakur%27s_House_Day-03_Jayapataka_Swami.mp3")</f>
        <v>Mayapur_Yatra_2003_07_-_Lecture_at_Bhaktivinod_Thakur%27s_House_Day-03_Jayapataka_Swami.mp3</v>
      </c>
      <c r="D4768" s="24"/>
      <c r="E4768" s="24"/>
    </row>
    <row r="4769">
      <c r="A4769" s="25" t="s">
        <v>18509</v>
      </c>
      <c r="B4769" s="25" t="s">
        <v>18517</v>
      </c>
      <c r="C4769" s="26" t="str">
        <f>HYPERLINK("https://audio.iskcondesiretree.com/02_-_ISKCON_Swamis/ISKCON_Swamis_-_R_to_Y/His_Holiness_Radhanath_Swami/Lectures/02_-_Yatra/2003_Mayapur_yatra/Mayapur_Yatra_2003_08_-_Lecture_at_Bhaktivinod_Thakur%27s_House_Day-03_Radhanath_Swami.mp3", "Mayapur_Yatra_2003_08_-_Lecture_at_Bhaktivinod_Thakur%27s_House_Day-03_Radhanath_Swami.mp3")</f>
        <v>Mayapur_Yatra_2003_08_-_Lecture_at_Bhaktivinod_Thakur%27s_House_Day-03_Radhanath_Swami.mp3</v>
      </c>
      <c r="D4769" s="24"/>
      <c r="E4769" s="24"/>
    </row>
    <row r="4770">
      <c r="A4770" s="25" t="s">
        <v>18509</v>
      </c>
      <c r="B4770" s="25" t="s">
        <v>18517</v>
      </c>
      <c r="C4770" s="26" t="str">
        <f>HYPERLINK("https://audio.iskcondesiretree.com/02_-_ISKCON_Swamis/ISKCON_Swamis_-_R_to_Y/His_Holiness_Radhanath_Swami/Lectures/02_-_Yatra/2003_Mayapur_yatra/Mayapur_Yatra_2003_09_-_Lecture_at_Bhaktivinod%20Thakur%27s%20House%28Day%203%29%20Radhanath%20Swami.mp3", "Mayapur_Yatra_2003_09_-_Lecture_at_Bhaktivinod%20Thakur%27s%20House%28Day%203%29%20Radhanath%20Swami.mp3")</f>
        <v>Mayapur_Yatra_2003_09_-_Lecture_at_Bhaktivinod%20Thakur%27s%20House%28Day%203%29%20Radhanath%20Swami.mp3</v>
      </c>
      <c r="D4770" s="24"/>
      <c r="E4770" s="24"/>
    </row>
    <row r="4771">
      <c r="A4771" s="25" t="s">
        <v>18509</v>
      </c>
      <c r="B4771" s="25" t="s">
        <v>18517</v>
      </c>
      <c r="C4771" s="26" t="str">
        <f>HYPERLINK("https://audio.iskcondesiretree.com/02_-_ISKCON_Swamis/ISKCON_Swamis_-_R_to_Y/His_Holiness_Radhanath_Swami/Lectures/02_-_Yatra/2003_Mayapur_yatra/Mayapur_Yatra_2003_10_-_Lecture_at_Gaur_Doha_Day-03_Radhanath_Swami.mp3", "Mayapur_Yatra_2003_10_-_Lecture_at_Gaur_Doha_Day-03_Radhanath_Swami.mp3")</f>
        <v>Mayapur_Yatra_2003_10_-_Lecture_at_Gaur_Doha_Day-03_Radhanath_Swami.mp3</v>
      </c>
      <c r="D4771" s="24"/>
      <c r="E4771" s="24"/>
    </row>
    <row r="4772">
      <c r="A4772" s="25" t="s">
        <v>18509</v>
      </c>
      <c r="B4772" s="25" t="s">
        <v>18517</v>
      </c>
      <c r="C4772" s="26" t="str">
        <f>HYPERLINK("https://audio.iskcondesiretree.com/02_-_ISKCON_Swamis/ISKCON_Swamis_-_R_to_Y/His_Holiness_Radhanath_Swami/Lectures/02_-_Yatra/2003_Mayapur_yatra/Mayapur_Yatra_2003_11_-_Lecture_at_Aam_Ghat_Day-03_Radhanath_Swami.mp3", "Mayapur_Yatra_2003_11_-_Lecture_at_Aam_Ghat_Day-03_Radhanath_Swami.mp3")</f>
        <v>Mayapur_Yatra_2003_11_-_Lecture_at_Aam_Ghat_Day-03_Radhanath_Swami.mp3</v>
      </c>
      <c r="D4772" s="24"/>
      <c r="E4772" s="24"/>
    </row>
    <row r="4773">
      <c r="A4773" s="25" t="s">
        <v>18509</v>
      </c>
      <c r="B4773" s="25" t="s">
        <v>18517</v>
      </c>
      <c r="C4773" s="26" t="str">
        <f>HYPERLINK("https://audio.iskcondesiretree.com/02_-_ISKCON_Swamis/ISKCON_Swamis_-_R_to_Y/His_Holiness_Radhanath_Swami/Lectures/02_-_Yatra/2003_Mayapur_yatra/Mayapur_Yatra_2003_12_-_Lecture_at_Hari_Hara_Kshetra_Day-03_Radhanath_Swami.mp3", "Mayapur_Yatra_2003_12_-_Lecture_at_Hari_Hara_Kshetra_Day-03_Radhanath_Swami.mp3")</f>
        <v>Mayapur_Yatra_2003_12_-_Lecture_at_Hari_Hara_Kshetra_Day-03_Radhanath_Swami.mp3</v>
      </c>
      <c r="D4773" s="24"/>
      <c r="E4773" s="24"/>
    </row>
    <row r="4774">
      <c r="A4774" s="25" t="s">
        <v>18509</v>
      </c>
      <c r="B4774" s="25" t="s">
        <v>18517</v>
      </c>
      <c r="C4774" s="26" t="str">
        <f>HYPERLINK("https://audio.iskcondesiretree.com/02_-_ISKCON_Swamis/ISKCON_Swamis_-_R_to_Y/His_Holiness_Radhanath_Swami/Lectures/02_-_Yatra/2003_Mayapur_yatra/Mayapur_Yatra_2003_13_-_Childhood_Pastimes_of_Nimai-1_Day-04_Radhanath_Swami.mp3", "Mayapur_Yatra_2003_13_-_Childhood_Pastimes_of_Nimai-1_Day-04_Radhanath_Swami.mp3")</f>
        <v>Mayapur_Yatra_2003_13_-_Childhood_Pastimes_of_Nimai-1_Day-04_Radhanath_Swami.mp3</v>
      </c>
      <c r="D4774" s="24"/>
      <c r="E4774" s="24"/>
    </row>
    <row r="4775">
      <c r="A4775" s="25" t="s">
        <v>18509</v>
      </c>
      <c r="B4775" s="25" t="s">
        <v>18517</v>
      </c>
      <c r="C4775" s="26" t="str">
        <f>HYPERLINK("https://audio.iskcondesiretree.com/02_-_ISKCON_Swamis/ISKCON_Swamis_-_R_to_Y/His_Holiness_Radhanath_Swami/Lectures/02_-_Yatra/2003_Mayapur_yatra/Mayapur_Yatra_2003_14_-_Childhood_Pastimes_of_Nimai-2_Day-04_Radhanath_Swami.mp3", "Mayapur_Yatra_2003_14_-_Childhood_Pastimes_of_Nimai-2_Day-04_Radhanath_Swami.mp3")</f>
        <v>Mayapur_Yatra_2003_14_-_Childhood_Pastimes_of_Nimai-2_Day-04_Radhanath_Swami.mp3</v>
      </c>
      <c r="D4775" s="24"/>
      <c r="E4775" s="24"/>
    </row>
    <row r="4776">
      <c r="A4776" s="25" t="s">
        <v>18509</v>
      </c>
      <c r="B4776" s="25" t="s">
        <v>18517</v>
      </c>
      <c r="C4776" s="26" t="str">
        <f>HYPERLINK("https://audio.iskcondesiretree.com/02_-_ISKCON_Swamis/ISKCON_Swamis_-_R_to_Y/His_Holiness_Radhanath_Swami/Lectures/02_-_Yatra/2003_Mayapur_yatra/Mayapur_Yatra_2003_15_-_Childhood_Pastimes_of_Nimai-3_Day-04_Radhanath_Swami.mp3", "Mayapur_Yatra_2003_15_-_Childhood_Pastimes_of_Nimai-3_Day-04_Radhanath_Swami.mp3")</f>
        <v>Mayapur_Yatra_2003_15_-_Childhood_Pastimes_of_Nimai-3_Day-04_Radhanath_Swami.mp3</v>
      </c>
      <c r="D4776" s="24"/>
      <c r="E4776" s="24"/>
    </row>
    <row r="4777">
      <c r="A4777" s="25" t="s">
        <v>18509</v>
      </c>
      <c r="B4777" s="25" t="s">
        <v>18517</v>
      </c>
      <c r="C4777" s="26" t="str">
        <f>HYPERLINK("https://audio.iskcondesiretree.com/02_-_ISKCON_Swamis/ISKCON_Swamis_-_R_to_Y/His_Holiness_Radhanath_Swami/Lectures/02_-_Yatra/2003_Mayapur_yatra/Mayapur_Yatra_2003_16_-_Childhood_Pastimes_of_Nimai-4_Day-04_Radhanath_Swami.mp3", "Mayapur_Yatra_2003_16_-_Childhood_Pastimes_of_Nimai-4_Day-04_Radhanath_Swami.mp3")</f>
        <v>Mayapur_Yatra_2003_16_-_Childhood_Pastimes_of_Nimai-4_Day-04_Radhanath_Swami.mp3</v>
      </c>
      <c r="D4777" s="24"/>
      <c r="E4777" s="24"/>
    </row>
    <row r="4778">
      <c r="A4778" s="25" t="s">
        <v>18509</v>
      </c>
      <c r="B4778" s="25" t="s">
        <v>18517</v>
      </c>
      <c r="C4778" s="26" t="str">
        <f>HYPERLINK("https://audio.iskcondesiretree.com/02_-_ISKCON_Swamis/ISKCON_Swamis_-_R_to_Y/His_Holiness_Radhanath_Swami/Lectures/02_-_Yatra/2003_Mayapur_yatra/Mayapur_Yatra_2003_17_-_Lecture_at_Gada_Garden-1_Day-04_Radhanath_Swami.mp3", "Mayapur_Yatra_2003_17_-_Lecture_at_Gada_Garden-1_Day-04_Radhanath_Swami.mp3")</f>
        <v>Mayapur_Yatra_2003_17_-_Lecture_at_Gada_Garden-1_Day-04_Radhanath_Swami.mp3</v>
      </c>
      <c r="D4778" s="24"/>
      <c r="E4778" s="24"/>
    </row>
    <row r="4779">
      <c r="A4779" s="25" t="s">
        <v>18509</v>
      </c>
      <c r="B4779" s="25" t="s">
        <v>18517</v>
      </c>
      <c r="C4779" s="26" t="str">
        <f>HYPERLINK("https://audio.iskcondesiretree.com/02_-_ISKCON_Swamis/ISKCON_Swamis_-_R_to_Y/His_Holiness_Radhanath_Swami/Lectures/02_-_Yatra/2003_Mayapur_yatra/Mayapur_Yatra_2003_18_-_Lecture_at_Gada_Garden-2_Day-04_Radhanath_Swami.mp3", "Mayapur_Yatra_2003_18_-_Lecture_at_Gada_Garden-2_Day-04_Radhanath_Swami.mp3")</f>
        <v>Mayapur_Yatra_2003_18_-_Lecture_at_Gada_Garden-2_Day-04_Radhanath_Swami.mp3</v>
      </c>
      <c r="D4779" s="24"/>
      <c r="E4779" s="24"/>
    </row>
    <row r="4780">
      <c r="A4780" s="25" t="s">
        <v>18509</v>
      </c>
      <c r="B4780" s="25" t="s">
        <v>18517</v>
      </c>
      <c r="C4780" s="26" t="str">
        <f>HYPERLINK("https://audio.iskcondesiretree.com/02_-_ISKCON_Swamis/ISKCON_Swamis_-_R_to_Y/His_Holiness_Radhanath_Swami/Lectures/02_-_Yatra/2003_Mayapur_yatra/Mayapur_Yatra_2003_19_-_Deliverance_of_Jagai_%26_Madhai-1_Day-05_Radhanath_Swami.mp3", "Mayapur_Yatra_2003_19_-_Deliverance_of_Jagai_%26_Madhai-1_Day-05_Radhanath_Swami.mp3")</f>
        <v>Mayapur_Yatra_2003_19_-_Deliverance_of_Jagai_%26_Madhai-1_Day-05_Radhanath_Swami.mp3</v>
      </c>
      <c r="D4780" s="24"/>
      <c r="E4780" s="24"/>
    </row>
    <row r="4781">
      <c r="A4781" s="25" t="s">
        <v>18509</v>
      </c>
      <c r="B4781" s="25" t="s">
        <v>18517</v>
      </c>
      <c r="C4781" s="26" t="str">
        <f>HYPERLINK("https://audio.iskcondesiretree.com/02_-_ISKCON_Swamis/ISKCON_Swamis_-_R_to_Y/His_Holiness_Radhanath_Swami/Lectures/02_-_Yatra/2003_Mayapur_yatra/Mayapur_Yatra_2003_20_-_Deliverance_of_Jagai_%26_Madhai-2_Day-05_Radhanath_Swami.mp3", "Mayapur_Yatra_2003_20_-_Deliverance_of_Jagai_%26_Madhai-2_Day-05_Radhanath_Swami.mp3")</f>
        <v>Mayapur_Yatra_2003_20_-_Deliverance_of_Jagai_%26_Madhai-2_Day-05_Radhanath_Swami.mp3</v>
      </c>
      <c r="D4781" s="24"/>
      <c r="E4781" s="24"/>
    </row>
    <row r="4782">
      <c r="A4782" s="25" t="s">
        <v>18509</v>
      </c>
      <c r="B4782" s="25" t="s">
        <v>18517</v>
      </c>
      <c r="C4782" s="26" t="str">
        <f>HYPERLINK("https://audio.iskcondesiretree.com/02_-_ISKCON_Swamis/ISKCON_Swamis_-_R_to_Y/His_Holiness_Radhanath_Swami/Lectures/02_-_Yatra/2003_Mayapur_yatra/Mayapur_Yatra_2003_21_-_Deliverance_of_Jagai_%26_Madhai-2_Day-05_Radhanath_Swami.mp3", "Mayapur_Yatra_2003_21_-_Deliverance_of_Jagai_%26_Madhai-2_Day-05_Radhanath_Swami.mp3")</f>
        <v>Mayapur_Yatra_2003_21_-_Deliverance_of_Jagai_%26_Madhai-2_Day-05_Radhanath_Swami.mp3</v>
      </c>
      <c r="D4782" s="24"/>
      <c r="E4782" s="24"/>
    </row>
    <row r="4783">
      <c r="A4783" s="25" t="s">
        <v>18509</v>
      </c>
      <c r="B4783" s="25" t="s">
        <v>18517</v>
      </c>
      <c r="C4783" s="26" t="str">
        <f>HYPERLINK("https://audio.iskcondesiretree.com/02_-_ISKCON_Swamis/ISKCON_Swamis_-_R_to_Y/His_Holiness_Radhanath_Swami/Lectures/02_-_Yatra/2003_Mayapur_yatra/Mayapur_Yatra_2003_23_-_Lecture_at_Srikhanda-1_Day-05_Radhanath_Swami.mp3", "Mayapur_Yatra_2003_23_-_Lecture_at_Srikhanda-1_Day-05_Radhanath_Swami.mp3")</f>
        <v>Mayapur_Yatra_2003_23_-_Lecture_at_Srikhanda-1_Day-05_Radhanath_Swami.mp3</v>
      </c>
      <c r="D4783" s="24"/>
      <c r="E4783" s="24"/>
    </row>
    <row r="4784">
      <c r="A4784" s="25" t="s">
        <v>18509</v>
      </c>
      <c r="B4784" s="25" t="s">
        <v>18517</v>
      </c>
      <c r="C4784" s="26" t="str">
        <f>HYPERLINK("https://audio.iskcondesiretree.com/02_-_ISKCON_Swamis/ISKCON_Swamis_-_R_to_Y/His_Holiness_Radhanath_Swami/Lectures/02_-_Yatra/2003_Mayapur_yatra/Mayapur_Yatra_2003_24_-_Lecture_at_Srikhanda-2_Day-05_Radhanath_Swami.mp3", "Mayapur_Yatra_2003_24_-_Lecture_at_Srikhanda-2_Day-05_Radhanath_Swami.mp3")</f>
        <v>Mayapur_Yatra_2003_24_-_Lecture_at_Srikhanda-2_Day-05_Radhanath_Swami.mp3</v>
      </c>
      <c r="D4784" s="24"/>
      <c r="E4784" s="24"/>
    </row>
    <row r="4785">
      <c r="A4785" s="25" t="s">
        <v>18509</v>
      </c>
      <c r="B4785" s="25" t="s">
        <v>18517</v>
      </c>
      <c r="C4785" s="26" t="str">
        <f>HYPERLINK("https://audio.iskcondesiretree.com/02_-_ISKCON_Swamis/ISKCON_Swamis_-_R_to_Y/His_Holiness_Radhanath_Swami/Lectures/02_-_Yatra/2003_Mayapur_yatra/Mayapur_Yatra_2003_25_-_Lecture_at_Srikhanda_Day-05_Ramesh_Chandra_Goswamiji.mp3", "Mayapur_Yatra_2003_25_-_Lecture_at_Srikhanda_Day-05_Ramesh_Chandra_Goswamiji.mp3")</f>
        <v>Mayapur_Yatra_2003_25_-_Lecture_at_Srikhanda_Day-05_Ramesh_Chandra_Goswamiji.mp3</v>
      </c>
      <c r="D4785" s="24"/>
      <c r="E4785" s="24"/>
    </row>
    <row r="4786">
      <c r="A4786" s="25" t="s">
        <v>18509</v>
      </c>
      <c r="B4786" s="25" t="s">
        <v>18517</v>
      </c>
      <c r="C4786" s="26" t="str">
        <f>HYPERLINK("https://audio.iskcondesiretree.com/02_-_ISKCON_Swamis/ISKCON_Swamis_-_R_to_Y/His_Holiness_Radhanath_Swami/Lectures/02_-_Yatra/2003_Mayapur_yatra/Mayapur_Yatra_2003_26_-_Lecture_at_Gaudiya_Math_Day-06_Jananivas_Prabhu.mp3", "Mayapur_Yatra_2003_26_-_Lecture_at_Gaudiya_Math_Day-06_Jananivas_Prabhu.mp3")</f>
        <v>Mayapur_Yatra_2003_26_-_Lecture_at_Gaudiya_Math_Day-06_Jananivas_Prabhu.mp3</v>
      </c>
      <c r="D4786" s="24"/>
      <c r="E4786" s="24"/>
    </row>
    <row r="4787">
      <c r="A4787" s="25" t="s">
        <v>18509</v>
      </c>
      <c r="B4787" s="25" t="s">
        <v>18517</v>
      </c>
      <c r="C4787" s="26" t="str">
        <f>HYPERLINK("https://audio.iskcondesiretree.com/02_-_ISKCON_Swamis/ISKCON_Swamis_-_R_to_Y/His_Holiness_Radhanath_Swami/Lectures/02_-_Yatra/2003_Mayapur_yatra/Mayapur_Yatra_2003_27_-_Lecture_at_Gaudiya_Math_Day-06_Krishnananda_Prabhu.mp3", "Mayapur_Yatra_2003_27_-_Lecture_at_Gaudiya_Math_Day-06_Krishnananda_Prabhu.mp3")</f>
        <v>Mayapur_Yatra_2003_27_-_Lecture_at_Gaudiya_Math_Day-06_Krishnananda_Prabhu.mp3</v>
      </c>
      <c r="D4787" s="24"/>
      <c r="E4787" s="24"/>
    </row>
    <row r="4788">
      <c r="A4788" s="25" t="s">
        <v>18509</v>
      </c>
      <c r="B4788" s="25" t="s">
        <v>18517</v>
      </c>
      <c r="C4788" s="26" t="str">
        <f>HYPERLINK("https://audio.iskcondesiretree.com/02_-_ISKCON_Swamis/ISKCON_Swamis_-_R_to_Y/His_Holiness_Radhanath_Swami/Lectures/02_-_Yatra/2003_Mayapur_yatra/Mayapur_Yatra_2003_28_-_Lecture_at_Gaudiya_Math_Day-06_Govinda_Prabhu.mp3", "Mayapur_Yatra_2003_28_-_Lecture_at_Gaudiya_Math_Day-06_Govinda_Prabhu.mp3")</f>
        <v>Mayapur_Yatra_2003_28_-_Lecture_at_Gaudiya_Math_Day-06_Govinda_Prabhu.mp3</v>
      </c>
      <c r="D4788" s="24"/>
      <c r="E4788" s="24"/>
    </row>
    <row r="4789">
      <c r="A4789" s="25" t="s">
        <v>18509</v>
      </c>
      <c r="B4789" s="25" t="s">
        <v>18517</v>
      </c>
      <c r="C4789" s="26" t="str">
        <f>HYPERLINK("https://audio.iskcondesiretree.com/02_-_ISKCON_Swamis/ISKCON_Swamis_-_R_to_Y/His_Holiness_Radhanath_Swami/Lectures/02_-_Yatra/2003_Mayapur_yatra/Mayapur_Yatra_2003_29_-_Lecture_at_Gaudiya_Math_Day-06_Radha_Gopinath_Prabhu.mp3", "Mayapur_Yatra_2003_29_-_Lecture_at_Gaudiya_Math_Day-06_Radha_Gopinath_Prabhu.mp3")</f>
        <v>Mayapur_Yatra_2003_29_-_Lecture_at_Gaudiya_Math_Day-06_Radha_Gopinath_Prabhu.mp3</v>
      </c>
      <c r="D4789" s="24"/>
      <c r="E4789" s="24"/>
    </row>
    <row r="4790">
      <c r="A4790" s="25" t="s">
        <v>18509</v>
      </c>
      <c r="B4790" s="25" t="s">
        <v>18517</v>
      </c>
      <c r="C4790" s="26" t="str">
        <f>HYPERLINK("https://audio.iskcondesiretree.com/02_-_ISKCON_Swamis/ISKCON_Swamis_-_R_to_Y/His_Holiness_Radhanath_Swami/Lectures/02_-_Yatra/2003_Mayapur_yatra/Mayapur_Yatra_2003_30_-_Lecture_at_Gaudiya_Math_Day-06_Pankajanghri_Prabhu.mp3", "Mayapur_Yatra_2003_30_-_Lecture_at_Gaudiya_Math_Day-06_Pankajanghri_Prabhu.mp3")</f>
        <v>Mayapur_Yatra_2003_30_-_Lecture_at_Gaudiya_Math_Day-06_Pankajanghri_Prabhu.mp3</v>
      </c>
      <c r="D4790" s="24"/>
      <c r="E4790" s="24"/>
    </row>
    <row r="4791">
      <c r="A4791" s="25" t="s">
        <v>18509</v>
      </c>
      <c r="B4791" s="25" t="s">
        <v>18517</v>
      </c>
      <c r="C4791" s="26" t="str">
        <f>HYPERLINK("https://audio.iskcondesiretree.com/02_-_ISKCON_Swamis/ISKCON_Swamis_-_R_to_Y/His_Holiness_Radhanath_Swami/Lectures/02_-_Yatra/2003_Mayapur_yatra/Mayapur_Yatra_2003_31_-_Lecture_at_Srivas_Angan-1_Day-06_Radhanath_Swami.mp3", "Mayapur_Yatra_2003_31_-_Lecture_at_Srivas_Angan-1_Day-06_Radhanath_Swami.mp3")</f>
        <v>Mayapur_Yatra_2003_31_-_Lecture_at_Srivas_Angan-1_Day-06_Radhanath_Swami.mp3</v>
      </c>
      <c r="D4791" s="24"/>
      <c r="E4791" s="24"/>
    </row>
    <row r="4792">
      <c r="A4792" s="25" t="s">
        <v>18509</v>
      </c>
      <c r="B4792" s="25" t="s">
        <v>18517</v>
      </c>
      <c r="C4792" s="26" t="str">
        <f>HYPERLINK("https://audio.iskcondesiretree.com/02_-_ISKCON_Swamis/ISKCON_Swamis_-_R_to_Y/His_Holiness_Radhanath_Swami/Lectures/02_-_Yatra/2003_Mayapur_yatra/Mayapur_Yatra_2003_32_-_Lecture_at_Srivas_Angan-2_Day-06_Radhanath_Swami.mp3", "Mayapur_Yatra_2003_32_-_Lecture_at_Srivas_Angan-2_Day-06_Radhanath_Swami.mp3")</f>
        <v>Mayapur_Yatra_2003_32_-_Lecture_at_Srivas_Angan-2_Day-06_Radhanath_Swami.mp3</v>
      </c>
      <c r="D4792" s="24"/>
      <c r="E4792" s="24"/>
    </row>
    <row r="4793">
      <c r="A4793" s="25" t="s">
        <v>18509</v>
      </c>
      <c r="B4793" s="25" t="s">
        <v>18517</v>
      </c>
      <c r="C4793" s="26" t="str">
        <f>HYPERLINK("https://audio.iskcondesiretree.com/02_-_ISKCON_Swamis/ISKCON_Swamis_-_R_to_Y/His_Holiness_Radhanath_Swami/Lectures/02_-_Yatra/2003_Mayapur_yatra/Mayapur_Yatra_2003_33_-_Lecture_at_Srivas_Angan-3_Day-06_Radhanath_Swami.mp3", "Mayapur_Yatra_2003_33_-_Lecture_at_Srivas_Angan-3_Day-06_Radhanath_Swami.mp3")</f>
        <v>Mayapur_Yatra_2003_33_-_Lecture_at_Srivas_Angan-3_Day-06_Radhanath_Swami.mp3</v>
      </c>
      <c r="D4793" s="24"/>
      <c r="E4793" s="24"/>
    </row>
    <row r="4794">
      <c r="A4794" s="25" t="s">
        <v>18509</v>
      </c>
      <c r="B4794" s="25" t="s">
        <v>18517</v>
      </c>
      <c r="C4794" s="26" t="str">
        <f>HYPERLINK("https://audio.iskcondesiretree.com/02_-_ISKCON_Swamis/ISKCON_Swamis_-_R_to_Y/His_Holiness_Radhanath_Swami/Lectures/02_-_Yatra/2003_Mayapur_yatra/Mayapur_Yatra_2003_34_-_Lecture_at_Srivas_Angan-4_Day-06_Radhanath_Swami.mp3", "Mayapur_Yatra_2003_34_-_Lecture_at_Srivas_Angan-4_Day-06_Radhanath_Swami.mp3")</f>
        <v>Mayapur_Yatra_2003_34_-_Lecture_at_Srivas_Angan-4_Day-06_Radhanath_Swami.mp3</v>
      </c>
      <c r="D4794" s="24"/>
      <c r="E4794" s="24"/>
    </row>
    <row r="4795">
      <c r="A4795" s="25" t="s">
        <v>18509</v>
      </c>
      <c r="B4795" s="25" t="s">
        <v>18517</v>
      </c>
      <c r="C4795" s="26" t="str">
        <f>HYPERLINK("https://audio.iskcondesiretree.com/02_-_ISKCON_Swamis/ISKCON_Swamis_-_R_to_Y/His_Holiness_Radhanath_Swami/Lectures/02_-_Yatra/2003_Mayapur_yatra/Mayapur_Yatra_2003_35_-_Lecture_at_Candrodaya_Mandir-1_Day-07_Radhanath_Swami.mp3", "Mayapur_Yatra_2003_35_-_Lecture_at_Candrodaya_Mandir-1_Day-07_Radhanath_Swami.mp3")</f>
        <v>Mayapur_Yatra_2003_35_-_Lecture_at_Candrodaya_Mandir-1_Day-07_Radhanath_Swami.mp3</v>
      </c>
      <c r="D4795" s="24"/>
      <c r="E4795" s="24"/>
    </row>
    <row r="4796">
      <c r="A4796" s="25" t="s">
        <v>18509</v>
      </c>
      <c r="B4796" s="25" t="s">
        <v>18517</v>
      </c>
      <c r="C4796" s="26" t="str">
        <f>HYPERLINK("https://audio.iskcondesiretree.com/02_-_ISKCON_Swamis/ISKCON_Swamis_-_R_to_Y/His_Holiness_Radhanath_Swami/Lectures/02_-_Yatra/2003_Mayapur_yatra/Mayapur_Yatra_2003_36_-_Lecture_at_Candrodaya_Mandir-1_Day-07_Radhanath_Swami.mp3", "Mayapur_Yatra_2003_36_-_Lecture_at_Candrodaya_Mandir-1_Day-07_Radhanath_Swami.mp3")</f>
        <v>Mayapur_Yatra_2003_36_-_Lecture_at_Candrodaya_Mandir-1_Day-07_Radhanath_Swami.mp3</v>
      </c>
      <c r="D4796" s="24"/>
      <c r="E4796" s="24"/>
    </row>
    <row r="4797">
      <c r="A4797" s="25" t="s">
        <v>18509</v>
      </c>
      <c r="B4797" s="25" t="s">
        <v>18517</v>
      </c>
      <c r="C4797" s="26" t="str">
        <f>HYPERLINK("https://audio.iskcondesiretree.com/02_-_ISKCON_Swamis/ISKCON_Swamis_-_R_to_Y/His_Holiness_Radhanath_Swami/Lectures/02_-_Yatra/2003_Mayapur_yatra/Mayapur_Yatra_2003_37_-_Lecture_at_Candrodaya_Mandir-2_Day-07_Radhanath_Swami.mp3", "Mayapur_Yatra_2003_37_-_Lecture_at_Candrodaya_Mandir-2_Day-07_Radhanath_Swami.mp3")</f>
        <v>Mayapur_Yatra_2003_37_-_Lecture_at_Candrodaya_Mandir-2_Day-07_Radhanath_Swami.mp3</v>
      </c>
      <c r="D4797" s="24"/>
      <c r="E4797" s="24"/>
    </row>
    <row r="4798">
      <c r="A4798" s="25" t="s">
        <v>18509</v>
      </c>
      <c r="B4798" s="25" t="s">
        <v>18517</v>
      </c>
      <c r="C4798" s="26" t="str">
        <f>HYPERLINK("https://audio.iskcondesiretree.com/02_-_ISKCON_Swamis/ISKCON_Swamis_-_R_to_Y/His_Holiness_Radhanath_Swami/Lectures/02_-_Yatra/2003_Mayapur_yatra/Mayapur_Yatra_2003_38_-_Lecture_at_Gada_Garden_Day-07_Ramesh_Chandra_Goswamiji.mp3", "Mayapur_Yatra_2003_38_-_Lecture_at_Gada_Garden_Day-07_Ramesh_Chandra_Goswamiji.mp3")</f>
        <v>Mayapur_Yatra_2003_38_-_Lecture_at_Gada_Garden_Day-07_Ramesh_Chandra_Goswamiji.mp3</v>
      </c>
      <c r="D4798" s="24"/>
      <c r="E4798" s="24"/>
    </row>
    <row r="4799">
      <c r="A4799" s="25" t="s">
        <v>18509</v>
      </c>
      <c r="B4799" s="25" t="s">
        <v>18517</v>
      </c>
      <c r="C4799" s="26" t="str">
        <f>HYPERLINK("https://audio.iskcondesiretree.com/02_-_ISKCON_Swamis/ISKCON_Swamis_-_R_to_Y/His_Holiness_Radhanath_Swami/Lectures/02_-_Yatra/2003_Mayapur_yatra/Mayapur_Yatra_2003_39_-_Srimad_Bhagavatam_Class-01_-_2001-02-20_Day-08_Radhanath_Swami.mp3", "Mayapur_Yatra_2003_39_-_Srimad_Bhagavatam_Class-01_-_2001-02-20_Day-08_Radhanath_Swami.mp3")</f>
        <v>Mayapur_Yatra_2003_39_-_Srimad_Bhagavatam_Class-01_-_2001-02-20_Day-08_Radhanath_Swami.mp3</v>
      </c>
      <c r="D4799" s="24"/>
      <c r="E4799" s="24"/>
    </row>
    <row r="4800">
      <c r="A4800" s="25" t="s">
        <v>18509</v>
      </c>
      <c r="B4800" s="25" t="s">
        <v>18517</v>
      </c>
      <c r="C4800" s="26" t="str">
        <f>HYPERLINK("https://audio.iskcondesiretree.com/02_-_ISKCON_Swamis/ISKCON_Swamis_-_R_to_Y/His_Holiness_Radhanath_Swami/Lectures/02_-_Yatra/2003_Mayapur_yatra/Mayapur_Yatra_2003_40_-_Srimad_Bhagavatam_Class-02_-_2001-02-10_Day-08_Radhanath_Swami.mp3", "Mayapur_Yatra_2003_40_-_Srimad_Bhagavatam_Class-02_-_2001-02-10_Day-08_Radhanath_Swami.mp3")</f>
        <v>Mayapur_Yatra_2003_40_-_Srimad_Bhagavatam_Class-02_-_2001-02-10_Day-08_Radhanath_Swami.mp3</v>
      </c>
      <c r="D4800" s="24"/>
      <c r="E4800" s="24"/>
    </row>
    <row r="4801">
      <c r="A4801" s="25" t="s">
        <v>18509</v>
      </c>
      <c r="B4801" s="25" t="s">
        <v>18517</v>
      </c>
      <c r="C4801" s="26" t="str">
        <f>HYPERLINK("https://audio.iskcondesiretree.com/02_-_ISKCON_Swamis/ISKCON_Swamis_-_R_to_Y/His_Holiness_Radhanath_Swami/Lectures/02_-_Yatra/2003_Mayapur_yatra/Mayapur_Yatra_2003_41_-_Lecture_at_Jagannath_Temple-01_Day-08_Radhanath_Swami_Jananivas_Pr_Pankajanghri_Pr.mp3", "Mayapur_Yatra_2003_41_-_Lecture_at_Jagannath_Temple-01_Day-08_Radhanath_Swami_Jananivas_Pr_Pankajanghri_Pr.mp3")</f>
        <v>Mayapur_Yatra_2003_41_-_Lecture_at_Jagannath_Temple-01_Day-08_Radhanath_Swami_Jananivas_Pr_Pankajanghri_Pr.mp3</v>
      </c>
      <c r="D4801" s="24"/>
      <c r="E4801" s="24"/>
    </row>
    <row r="4802">
      <c r="A4802" s="25" t="s">
        <v>18509</v>
      </c>
      <c r="B4802" s="25" t="s">
        <v>18517</v>
      </c>
      <c r="C4802" s="26" t="str">
        <f>HYPERLINK("https://audio.iskcondesiretree.com/02_-_ISKCON_Swamis/ISKCON_Swamis_-_R_to_Y/His_Holiness_Radhanath_Swami/Lectures/02_-_Yatra/2003_Mayapur_yatra/Mayapur_Yatra_2003_42_-_Lecture_at_Jagannath_Temple-02_Day-08_Jananivas_Prabhu_%26_Pankajanghri_Prabhu.mp3", "Mayapur_Yatra_2003_42_-_Lecture_at_Jagannath_Temple-02_Day-08_Jananivas_Prabhu_%26_Pankajanghri_Prabhu.mp3")</f>
        <v>Mayapur_Yatra_2003_42_-_Lecture_at_Jagannath_Temple-02_Day-08_Jananivas_Prabhu_%26_Pankajanghri_Prabhu.mp3</v>
      </c>
      <c r="D4802" s="24"/>
      <c r="E4802" s="24"/>
    </row>
    <row r="4803">
      <c r="A4803" s="25" t="s">
        <v>18509</v>
      </c>
      <c r="B4803" s="25" t="s">
        <v>18517</v>
      </c>
      <c r="C4803" s="26" t="str">
        <f>HYPERLINK("https://audio.iskcondesiretree.com/02_-_ISKCON_Swamis/ISKCON_Swamis_-_R_to_Y/His_Holiness_Radhanath_Swami/Lectures/02_-_Yatra/2003_Mayapur_yatra/Mayapur_Yatra_2003_43_-_Lecture_at_Sridhar_Aangan_Day-08_Radhanath_Swami.mp3", "Mayapur_Yatra_2003_43_-_Lecture_at_Sridhar_Aangan_Day-08_Radhanath_Swami.mp3")</f>
        <v>Mayapur_Yatra_2003_43_-_Lecture_at_Sridhar_Aangan_Day-08_Radhanath_Swami.mp3</v>
      </c>
      <c r="D4803" s="24"/>
      <c r="E4803" s="24"/>
    </row>
    <row r="4804">
      <c r="A4804" s="25" t="s">
        <v>18509</v>
      </c>
      <c r="B4804" s="25" t="s">
        <v>18517</v>
      </c>
      <c r="C4804" s="26" t="str">
        <f>HYPERLINK("https://audio.iskcondesiretree.com/02_-_ISKCON_Swamis/ISKCON_Swamis_-_R_to_Y/His_Holiness_Radhanath_Swami/Lectures/02_-_Yatra/2003_Mayapur_yatra/Mayapur_Yatra_2003_44_-_Lecture_at_Chand_Kazi_Samadhi_Day-08_Radhanath_Swami.mp3", "Mayapur_Yatra_2003_44_-_Lecture_at_Chand_Kazi_Samadhi_Day-08_Radhanath_Swami.mp3")</f>
        <v>Mayapur_Yatra_2003_44_-_Lecture_at_Chand_Kazi_Samadhi_Day-08_Radhanath_Swami.mp3</v>
      </c>
      <c r="D4804" s="24"/>
      <c r="E4804" s="24"/>
    </row>
    <row r="4805">
      <c r="A4805" s="25" t="s">
        <v>18509</v>
      </c>
      <c r="B4805" s="25" t="s">
        <v>18517</v>
      </c>
      <c r="C4805" s="26" t="str">
        <f>HYPERLINK("https://audio.iskcondesiretree.com/02_-_ISKCON_Swamis/ISKCON_Swamis_-_R_to_Y/His_Holiness_Radhanath_Swami/Lectures/02_-_Yatra/2003_Mayapur_yatra/Mayapur_Yatra_2003_45_-_Lecture_at_Mamgacchi_Day-09_Bhakti_Caru_Swami.mp3", "Mayapur_Yatra_2003_45_-_Lecture_at_Mamgacchi_Day-09_Bhakti_Caru_Swami.mp3")</f>
        <v>Mayapur_Yatra_2003_45_-_Lecture_at_Mamgacchi_Day-09_Bhakti_Caru_Swami.mp3</v>
      </c>
      <c r="D4805" s="24"/>
      <c r="E4805" s="24"/>
    </row>
    <row r="4806">
      <c r="A4806" s="25" t="s">
        <v>18509</v>
      </c>
      <c r="B4806" s="25" t="s">
        <v>18517</v>
      </c>
      <c r="C4806" s="26" t="str">
        <f>HYPERLINK("https://audio.iskcondesiretree.com/02_-_ISKCON_Swamis/ISKCON_Swamis_-_R_to_Y/His_Holiness_Radhanath_Swami/Lectures/02_-_Yatra/2003_Mayapur_yatra/Mayapur_Yatra_2003_46_-_Lecture_at_Mamgacchi_Day-09_Radhanath_Swami.mp3", "Mayapur_Yatra_2003_46_-_Lecture_at_Mamgacchi_Day-09_Radhanath_Swami.mp3")</f>
        <v>Mayapur_Yatra_2003_46_-_Lecture_at_Mamgacchi_Day-09_Radhanath_Swami.mp3</v>
      </c>
      <c r="D4806" s="24"/>
      <c r="E4806" s="24"/>
    </row>
    <row r="4807">
      <c r="A4807" s="25" t="s">
        <v>18509</v>
      </c>
      <c r="B4807" s="25" t="s">
        <v>18517</v>
      </c>
      <c r="C4807" s="26" t="str">
        <f>HYPERLINK("https://audio.iskcondesiretree.com/02_-_ISKCON_Swamis/ISKCON_Swamis_-_R_to_Y/His_Holiness_Radhanath_Swami/Lectures/02_-_Yatra/2003_Mayapur_yatra/Mayapur_Yatra_2003_47_-_Lecture_at_Mamgacchi_Day-09_Bhakti_Caru_Swami.mp3", "Mayapur_Yatra_2003_47_-_Lecture_at_Mamgacchi_Day-09_Bhakti_Caru_Swami.mp3")</f>
        <v>Mayapur_Yatra_2003_47_-_Lecture_at_Mamgacchi_Day-09_Bhakti_Caru_Swami.mp3</v>
      </c>
      <c r="D4807" s="24"/>
      <c r="E4807" s="24"/>
    </row>
    <row r="4808">
      <c r="A4808" s="25" t="s">
        <v>18509</v>
      </c>
      <c r="B4808" s="25" t="s">
        <v>18517</v>
      </c>
      <c r="C4808" s="26" t="str">
        <f>HYPERLINK("https://audio.iskcondesiretree.com/02_-_ISKCON_Swamis/ISKCON_Swamis_-_R_to_Y/His_Holiness_Radhanath_Swami/Lectures/02_-_Yatra/2003_Mayapur_yatra/Mayapur_Yatra_2003_48_-_Lecture_at_Sarang_Thakur%27s_House_Day-09_Krishnananda_Prabhu.mp3", "Mayapur_Yatra_2003_48_-_Lecture_at_Sarang_Thakur%27s_House_Day-09_Krishnananda_Prabhu.mp3")</f>
        <v>Mayapur_Yatra_2003_48_-_Lecture_at_Sarang_Thakur%27s_House_Day-09_Krishnananda_Prabhu.mp3</v>
      </c>
      <c r="D4808" s="24"/>
      <c r="E4808" s="24"/>
    </row>
    <row r="4809">
      <c r="A4809" s="25" t="s">
        <v>18509</v>
      </c>
      <c r="B4809" s="25" t="s">
        <v>18517</v>
      </c>
      <c r="C4809" s="26" t="str">
        <f>HYPERLINK("https://audio.iskcondesiretree.com/02_-_ISKCON_Swamis/ISKCON_Swamis_-_R_to_Y/His_Holiness_Radhanath_Swami/Lectures/02_-_Yatra/2003_Mayapur_yatra/Mayapur_Yatra_2003_49_-_Lecture_at_Vidyanagar_Day-09_Krishnananda_Prabhu.mp3", "Mayapur_Yatra_2003_49_-_Lecture_at_Vidyanagar_Day-09_Krishnananda_Prabhu.mp3")</f>
        <v>Mayapur_Yatra_2003_49_-_Lecture_at_Vidyanagar_Day-09_Krishnananda_Prabhu.mp3</v>
      </c>
      <c r="D4809" s="24"/>
      <c r="E4809" s="24"/>
    </row>
    <row r="4810">
      <c r="A4810" s="25" t="s">
        <v>18509</v>
      </c>
      <c r="B4810" s="25" t="s">
        <v>18517</v>
      </c>
      <c r="C4810" s="26" t="str">
        <f>HYPERLINK("https://audio.iskcondesiretree.com/02_-_ISKCON_Swamis/ISKCON_Swamis_-_R_to_Y/His_Holiness_Radhanath_Swami/Lectures/02_-_Yatra/2003_Mayapur_yatra/Mayapur_Yatra_2003_50_-_Lecture_at_Champahati_Day-09_Radhanath_Swami_Jananivas_Prabhu_%26_Bhakti_Caru_Swami.mp"&amp;"3", "Mayapur_Yatra_2003_50_-_Lecture_at_Champahati_Day-09_Radhanath_Swami_Jananivas_Prabhu_%26_Bhakti_Caru_Swami.mp3")</f>
        <v>Mayapur_Yatra_2003_50_-_Lecture_at_Champahati_Day-09_Radhanath_Swami_Jananivas_Prabhu_%26_Bhakti_Caru_Swami.mp3</v>
      </c>
      <c r="D4810" s="24"/>
      <c r="E4810" s="24"/>
    </row>
    <row r="4811">
      <c r="A4811" s="25" t="s">
        <v>18509</v>
      </c>
      <c r="B4811" s="25" t="s">
        <v>18517</v>
      </c>
      <c r="C4811" s="26" t="str">
        <f>HYPERLINK("https://audio.iskcondesiretree.com/02_-_ISKCON_Swamis/ISKCON_Swamis_-_R_to_Y/His_Holiness_Radhanath_Swami/Lectures/02_-_Yatra/2003_Mayapur_yatra/Mayapur_Yatra_2003_51_-_Lecture_at_Bankim_Rai_Day-10_Radhanath_Swami.mp3", "Mayapur_Yatra_2003_51_-_Lecture_at_Bankim_Rai_Day-10_Radhanath_Swami.mp3")</f>
        <v>Mayapur_Yatra_2003_51_-_Lecture_at_Bankim_Rai_Day-10_Radhanath_Swami.mp3</v>
      </c>
      <c r="D4811" s="24"/>
      <c r="E4811" s="24"/>
    </row>
    <row r="4812">
      <c r="A4812" s="25" t="s">
        <v>18509</v>
      </c>
      <c r="B4812" s="25" t="s">
        <v>18517</v>
      </c>
      <c r="C4812" s="26" t="str">
        <f>HYPERLINK("https://audio.iskcondesiretree.com/02_-_ISKCON_Swamis/ISKCON_Swamis_-_R_to_Y/His_Holiness_Radhanath_Swami/Lectures/02_-_Yatra/2003_Mayapur_yatra/Mayapur_Yatra_2003_52_-_Lecture_at_Kadamba_Kanini_Day-10_Radhanath_Swami.mp3", "Mayapur_Yatra_2003_52_-_Lecture_at_Kadamba_Kanini_Day-10_Radhanath_Swami.mp3")</f>
        <v>Mayapur_Yatra_2003_52_-_Lecture_at_Kadamba_Kanini_Day-10_Radhanath_Swami.mp3</v>
      </c>
      <c r="D4812" s="24"/>
      <c r="E4812" s="24"/>
    </row>
    <row r="4813">
      <c r="A4813" s="25" t="s">
        <v>18509</v>
      </c>
      <c r="B4813" s="25" t="s">
        <v>18517</v>
      </c>
      <c r="C4813" s="26" t="str">
        <f>HYPERLINK("https://audio.iskcondesiretree.com/02_-_ISKCON_Swamis/ISKCON_Swamis_-_R_to_Y/His_Holiness_Radhanath_Swami/Lectures/02_-_Yatra/2003_Mayapur_yatra/Mayapur_Yatra_2003_53_-_Lecture_at_Ekchakra-1_Day-10_Radhanath_Swami.mp3", "Mayapur_Yatra_2003_53_-_Lecture_at_Ekchakra-1_Day-10_Radhanath_Swami.mp3")</f>
        <v>Mayapur_Yatra_2003_53_-_Lecture_at_Ekchakra-1_Day-10_Radhanath_Swami.mp3</v>
      </c>
      <c r="D4813" s="24"/>
      <c r="E4813" s="24"/>
    </row>
    <row r="4814">
      <c r="A4814" s="25" t="s">
        <v>18509</v>
      </c>
      <c r="B4814" s="25" t="s">
        <v>18517</v>
      </c>
      <c r="C4814" s="26" t="str">
        <f>HYPERLINK("https://audio.iskcondesiretree.com/02_-_ISKCON_Swamis/ISKCON_Swamis_-_R_to_Y/His_Holiness_Radhanath_Swami/Lectures/02_-_Yatra/2003_Mayapur_yatra/Mayapur_Yatra_2003_54_-_Lecture_at_Ekchakra-2_Day-10_Radhanath_Swami.mp3", "Mayapur_Yatra_2003_54_-_Lecture_at_Ekchakra-2_Day-10_Radhanath_Swami.mp3")</f>
        <v>Mayapur_Yatra_2003_54_-_Lecture_at_Ekchakra-2_Day-10_Radhanath_Swami.mp3</v>
      </c>
      <c r="D4814" s="24"/>
      <c r="E4814" s="24"/>
    </row>
    <row r="4815">
      <c r="A4815" s="25" t="s">
        <v>18509</v>
      </c>
      <c r="B4815" s="25" t="s">
        <v>18517</v>
      </c>
      <c r="C4815" s="26" t="str">
        <f>HYPERLINK("https://audio.iskcondesiretree.com/02_-_ISKCON_Swamis/ISKCON_Swamis_-_R_to_Y/His_Holiness_Radhanath_Swami/Lectures/02_-_Yatra/2003_Mayapur_yatra/Mayapur_Yatra_2003_55_-_Lecture_at_Ekchakra-3_Day-10_Radhanath_Swami.mp3", "Mayapur_Yatra_2003_55_-_Lecture_at_Ekchakra-3_Day-10_Radhanath_Swami.mp3")</f>
        <v>Mayapur_Yatra_2003_55_-_Lecture_at_Ekchakra-3_Day-10_Radhanath_Swami.mp3</v>
      </c>
      <c r="D4815" s="24"/>
      <c r="E4815" s="24"/>
    </row>
    <row r="4816">
      <c r="A4816" s="25" t="s">
        <v>18509</v>
      </c>
      <c r="B4816" s="25" t="s">
        <v>18517</v>
      </c>
      <c r="C4816" s="26" t="str">
        <f>HYPERLINK("https://audio.iskcondesiretree.com/02_-_ISKCON_Swamis/ISKCON_Swamis_-_R_to_Y/His_Holiness_Radhanath_Swami/Lectures/02_-_Yatra/2003_Mayapur_yatra/Mayapur_Yatra_2003_56_-_Lecture_at_Murari_Gupta%27s_House-1_Day-11_Krishnananda_Prabhu.mp3", "Mayapur_Yatra_2003_56_-_Lecture_at_Murari_Gupta%27s_House-1_Day-11_Krishnananda_Prabhu.mp3")</f>
        <v>Mayapur_Yatra_2003_56_-_Lecture_at_Murari_Gupta%27s_House-1_Day-11_Krishnananda_Prabhu.mp3</v>
      </c>
      <c r="D4816" s="24"/>
      <c r="E4816" s="24"/>
    </row>
    <row r="4817">
      <c r="A4817" s="25" t="s">
        <v>18509</v>
      </c>
      <c r="B4817" s="25" t="s">
        <v>18517</v>
      </c>
      <c r="C4817" s="26" t="str">
        <f>HYPERLINK("https://audio.iskcondesiretree.com/02_-_ISKCON_Swamis/ISKCON_Swamis_-_R_to_Y/His_Holiness_Radhanath_Swami/Lectures/02_-_Yatra/2003_Mayapur_yatra/Mayapur_Yatra_2003_57_-_Lecture_at_Murari_Gupta%27s_House-2_Day-11_Radhanath_Swami.mp3", "Mayapur_Yatra_2003_57_-_Lecture_at_Murari_Gupta%27s_House-2_Day-11_Radhanath_Swami.mp3")</f>
        <v>Mayapur_Yatra_2003_57_-_Lecture_at_Murari_Gupta%27s_House-2_Day-11_Radhanath_Swami.mp3</v>
      </c>
      <c r="D4817" s="24"/>
      <c r="E4817" s="24"/>
    </row>
    <row r="4818">
      <c r="A4818" s="25" t="s">
        <v>18509</v>
      </c>
      <c r="B4818" s="25" t="s">
        <v>18517</v>
      </c>
      <c r="C4818" s="26" t="str">
        <f>HYPERLINK("https://audio.iskcondesiretree.com/02_-_ISKCON_Swamis/ISKCON_Swamis_-_R_to_Y/His_Holiness_Radhanath_Swami/Lectures/02_-_Yatra/2003_Mayapur_yatra/Mayapur_Yatra_2003_58_-_Lecture_at_Gada_Garden-1_Day-11_Radhanath_Swami.mp3", "Mayapur_Yatra_2003_58_-_Lecture_at_Gada_Garden-1_Day-11_Radhanath_Swami.mp3")</f>
        <v>Mayapur_Yatra_2003_58_-_Lecture_at_Gada_Garden-1_Day-11_Radhanath_Swami.mp3</v>
      </c>
      <c r="D4818" s="24"/>
      <c r="E4818" s="24"/>
    </row>
    <row r="4819">
      <c r="A4819" s="25" t="s">
        <v>18509</v>
      </c>
      <c r="B4819" s="25" t="s">
        <v>18517</v>
      </c>
      <c r="C4819" s="26" t="str">
        <f>HYPERLINK("https://audio.iskcondesiretree.com/02_-_ISKCON_Swamis/ISKCON_Swamis_-_R_to_Y/His_Holiness_Radhanath_Swami/Lectures/02_-_Yatra/2003_Mayapur_yatra/Mayapur_Yatra_2003_59_-_Lecture_at_Gada_Garden-2_Day-11_Radhanath_Swami.mp3", "Mayapur_Yatra_2003_59_-_Lecture_at_Gada_Garden-2_Day-11_Radhanath_Swami.mp3")</f>
        <v>Mayapur_Yatra_2003_59_-_Lecture_at_Gada_Garden-2_Day-11_Radhanath_Swami.mp3</v>
      </c>
      <c r="D4819" s="24"/>
      <c r="E4819" s="24"/>
    </row>
    <row r="4820">
      <c r="A4820" s="25" t="s">
        <v>18509</v>
      </c>
      <c r="B4820" s="25" t="s">
        <v>18517</v>
      </c>
      <c r="C4820" s="26" t="str">
        <f>HYPERLINK("https://audio.iskcondesiretree.com/02_-_ISKCON_Swamis/ISKCON_Swamis_-_R_to_Y/His_Holiness_Radhanath_Swami/Lectures/02_-_Yatra/2003_Mayapur_yatra/Mayapur_Yatra_2003_60_-_Lecture_at_Phulia-1_Day-12_Radhanath_Swami.mp3", "Mayapur_Yatra_2003_60_-_Lecture_at_Phulia-1_Day-12_Radhanath_Swami.mp3")</f>
        <v>Mayapur_Yatra_2003_60_-_Lecture_at_Phulia-1_Day-12_Radhanath_Swami.mp3</v>
      </c>
      <c r="D4820" s="24"/>
      <c r="E4820" s="24"/>
    </row>
    <row r="4821">
      <c r="A4821" s="25" t="s">
        <v>18509</v>
      </c>
      <c r="B4821" s="25" t="s">
        <v>18517</v>
      </c>
      <c r="C4821" s="26" t="str">
        <f>HYPERLINK("https://audio.iskcondesiretree.com/02_-_ISKCON_Swamis/ISKCON_Swamis_-_R_to_Y/His_Holiness_Radhanath_Swami/Lectures/02_-_Yatra/2003_Mayapur_yatra/Mayapur_Yatra_2003_61_-_Lecture_at_Phulia-2_Day-12_-_Radhanath_Swami.mp3", "Mayapur_Yatra_2003_61_-_Lecture_at_Phulia-2_Day-12_-_Radhanath_Swami.mp3")</f>
        <v>Mayapur_Yatra_2003_61_-_Lecture_at_Phulia-2_Day-12_-_Radhanath_Swami.mp3</v>
      </c>
      <c r="D4821" s="24"/>
      <c r="E4821" s="24"/>
    </row>
    <row r="4822">
      <c r="A4822" s="25" t="s">
        <v>18509</v>
      </c>
      <c r="B4822" s="25" t="s">
        <v>18517</v>
      </c>
      <c r="C4822" s="26" t="str">
        <f>HYPERLINK("https://audio.iskcondesiretree.com/02_-_ISKCON_Swamis/ISKCON_Swamis_-_R_to_Y/His_Holiness_Radhanath_Swami/Lectures/02_-_Yatra/2003_Mayapur_yatra/Mayapur_Yatra_2003_62_-_Lecture_at_Ambika_Kalna_Day-12_Radhanath_Swami.mp3", "Mayapur_Yatra_2003_62_-_Lecture_at_Ambika_Kalna_Day-12_Radhanath_Swami.mp3")</f>
        <v>Mayapur_Yatra_2003_62_-_Lecture_at_Ambika_Kalna_Day-12_Radhanath_Swami.mp3</v>
      </c>
      <c r="D4822" s="24"/>
      <c r="E4822" s="24"/>
    </row>
    <row r="4823">
      <c r="A4823" s="25" t="s">
        <v>18509</v>
      </c>
      <c r="B4823" s="25" t="s">
        <v>18517</v>
      </c>
      <c r="C4823" s="26" t="str">
        <f>HYPERLINK("https://audio.iskcondesiretree.com/02_-_ISKCON_Swamis/ISKCON_Swamis_-_R_to_Y/His_Holiness_Radhanath_Swami/Lectures/02_-_Yatra/2003_Mayapur_yatra/Mayapur_Yatra_2003_63_-_Lecture_at_Shantipur-1_Day-12_Radhanath_Swami.mp3", "Mayapur_Yatra_2003_63_-_Lecture_at_Shantipur-1_Day-12_Radhanath_Swami.mp3")</f>
        <v>Mayapur_Yatra_2003_63_-_Lecture_at_Shantipur-1_Day-12_Radhanath_Swami.mp3</v>
      </c>
      <c r="D4823" s="24"/>
      <c r="E4823" s="24"/>
    </row>
    <row r="4824">
      <c r="A4824" s="25" t="s">
        <v>18509</v>
      </c>
      <c r="B4824" s="25" t="s">
        <v>18517</v>
      </c>
      <c r="C4824" s="26" t="str">
        <f>HYPERLINK("https://audio.iskcondesiretree.com/02_-_ISKCON_Swamis/ISKCON_Swamis_-_R_to_Y/His_Holiness_Radhanath_Swami/Lectures/02_-_Yatra/2003_Mayapur_yatra/Mayapur_Yatra_2003_64_-_Lecture_at_Shantipur-2_Day-12_Radhanath_Swami.mp3", "Mayapur_Yatra_2003_64_-_Lecture_at_Shantipur-2_Day-12_Radhanath_Swami.mp3")</f>
        <v>Mayapur_Yatra_2003_64_-_Lecture_at_Shantipur-2_Day-12_Radhanath_Swami.mp3</v>
      </c>
      <c r="D4824" s="24"/>
      <c r="E4824" s="24"/>
    </row>
    <row r="4825">
      <c r="A4825" s="25" t="s">
        <v>18509</v>
      </c>
      <c r="B4825" s="25" t="s">
        <v>18518</v>
      </c>
      <c r="C4825" s="26" t="str">
        <f>HYPERLINK("https://audio.iskcondesiretree.com/02_-_ISKCON_Swamis/ISKCON_Swamis_-_R_to_Y/His_Holiness_Radhanath_Swami/Lectures/02_-_Yatra/2004_Bangladesh/Bangladesh_2004_01_-_Lecture_at_Benapole_-_HH_Radhanath_Swami.mp3", "Bangladesh_2004_01_-_Lecture_at_Benapole_-_HH_Radhanath_Swami.mp3")</f>
        <v>Bangladesh_2004_01_-_Lecture_at_Benapole_-_HH_Radhanath_Swami.mp3</v>
      </c>
      <c r="D4825" s="24"/>
      <c r="E4825" s="24"/>
    </row>
    <row r="4826">
      <c r="A4826" s="25" t="s">
        <v>18509</v>
      </c>
      <c r="B4826" s="25" t="s">
        <v>18518</v>
      </c>
      <c r="C4826" s="26" t="str">
        <f>HYPERLINK("https://audio.iskcondesiretree.com/02_-_ISKCON_Swamis/ISKCON_Swamis_-_R_to_Y/His_Holiness_Radhanath_Swami/Lectures/02_-_Yatra/2004_Bangladesh/Bangladesh_2004_02_-_Lecture_at_Benapole_-_HH_Indradyumna_Swami.mp3", "Bangladesh_2004_02_-_Lecture_at_Benapole_-_HH_Indradyumna_Swami.mp3")</f>
        <v>Bangladesh_2004_02_-_Lecture_at_Benapole_-_HH_Indradyumna_Swami.mp3</v>
      </c>
      <c r="D4826" s="24"/>
      <c r="E4826" s="24"/>
    </row>
    <row r="4827">
      <c r="A4827" s="25" t="s">
        <v>18509</v>
      </c>
      <c r="B4827" s="25" t="s">
        <v>18518</v>
      </c>
      <c r="C4827" s="26" t="str">
        <f>HYPERLINK("https://audio.iskcondesiretree.com/02_-_ISKCON_Swamis/ISKCON_Swamis_-_R_to_Y/His_Holiness_Radhanath_Swami/Lectures/02_-_Yatra/2004_Bangladesh/Bangladesh_2004_03_-_Lecture_at_Chittagoan_-_HH_Radhanath_Swami.mp3", "Bangladesh_2004_03_-_Lecture_at_Chittagoan_-_HH_Radhanath_Swami.mp3")</f>
        <v>Bangladesh_2004_03_-_Lecture_at_Chittagoan_-_HH_Radhanath_Swami.mp3</v>
      </c>
      <c r="D4827" s="24"/>
      <c r="E4827" s="24"/>
    </row>
    <row r="4828">
      <c r="A4828" s="25" t="s">
        <v>18509</v>
      </c>
      <c r="B4828" s="25" t="s">
        <v>18518</v>
      </c>
      <c r="C4828" s="26" t="str">
        <f>HYPERLINK("https://audio.iskcondesiretree.com/02_-_ISKCON_Swamis/ISKCON_Swamis_-_R_to_Y/His_Holiness_Radhanath_Swami/Lectures/02_-_Yatra/2004_Bangladesh/Bangladesh_2004_04_-_Lecture_at_Chittagoan_-_HH_Radhanath_Swami.mp3", "Bangladesh_2004_04_-_Lecture_at_Chittagoan_-_HH_Radhanath_Swami.mp3")</f>
        <v>Bangladesh_2004_04_-_Lecture_at_Chittagoan_-_HH_Radhanath_Swami.mp3</v>
      </c>
      <c r="D4828" s="24"/>
      <c r="E4828" s="24"/>
    </row>
    <row r="4829">
      <c r="A4829" s="25" t="s">
        <v>18509</v>
      </c>
      <c r="B4829" s="25" t="s">
        <v>18518</v>
      </c>
      <c r="C4829" s="26" t="str">
        <f>HYPERLINK("https://audio.iskcondesiretree.com/02_-_ISKCON_Swamis/ISKCON_Swamis_-_R_to_Y/His_Holiness_Radhanath_Swami/Lectures/02_-_Yatra/2004_Bangladesh/Bangladesh_2004_05_-_Lecture_at_Kheturi_Part-01_-_HH_Radhanath_Swami.mp3", "Bangladesh_2004_05_-_Lecture_at_Kheturi_Part-01_-_HH_Radhanath_Swami.mp3")</f>
        <v>Bangladesh_2004_05_-_Lecture_at_Kheturi_Part-01_-_HH_Radhanath_Swami.mp3</v>
      </c>
      <c r="D4829" s="24"/>
      <c r="E4829" s="24"/>
    </row>
    <row r="4830">
      <c r="A4830" s="25" t="s">
        <v>18509</v>
      </c>
      <c r="B4830" s="25" t="s">
        <v>18518</v>
      </c>
      <c r="C4830" s="26" t="str">
        <f>HYPERLINK("https://audio.iskcondesiretree.com/02_-_ISKCON_Swamis/ISKCON_Swamis_-_R_to_Y/His_Holiness_Radhanath_Swami/Lectures/02_-_Yatra/2004_Bangladesh/Bangladesh_2004_06_-_Lecture_at_Kheturi_Part-02_-_HH_Radhanath_Swami.mp3", "Bangladesh_2004_06_-_Lecture_at_Kheturi_Part-02_-_HH_Radhanath_Swami.mp3")</f>
        <v>Bangladesh_2004_06_-_Lecture_at_Kheturi_Part-02_-_HH_Radhanath_Swami.mp3</v>
      </c>
      <c r="D4830" s="24"/>
      <c r="E4830" s="24"/>
    </row>
    <row r="4831">
      <c r="A4831" s="25" t="s">
        <v>18509</v>
      </c>
      <c r="B4831" s="25" t="s">
        <v>18518</v>
      </c>
      <c r="C4831" s="26" t="str">
        <f>HYPERLINK("https://audio.iskcondesiretree.com/02_-_ISKCON_Swamis/ISKCON_Swamis_-_R_to_Y/His_Holiness_Radhanath_Swami/Lectures/02_-_Yatra/2004_Bangladesh/Bangladesh_2004_07_-_Lecture_at_Kheturi_Part-03_-_HH_Radhanath_Swami.mp3", "Bangladesh_2004_07_-_Lecture_at_Kheturi_Part-03_-_HH_Radhanath_Swami.mp3")</f>
        <v>Bangladesh_2004_07_-_Lecture_at_Kheturi_Part-03_-_HH_Radhanath_Swami.mp3</v>
      </c>
      <c r="D4831" s="24"/>
      <c r="E4831" s="24"/>
    </row>
    <row r="4832">
      <c r="A4832" s="25" t="s">
        <v>18509</v>
      </c>
      <c r="B4832" s="25" t="s">
        <v>18518</v>
      </c>
      <c r="C4832" s="26" t="str">
        <f>HYPERLINK("https://audio.iskcondesiretree.com/02_-_ISKCON_Swamis/ISKCON_Swamis_-_R_to_Y/His_Holiness_Radhanath_Swami/Lectures/02_-_Yatra/2004_Bangladesh/Bangladesh_2004_08_-_Lecture_at_Kheturi_Part-04_-_HH_Radhanath_Swami.mp3", "Bangladesh_2004_08_-_Lecture_at_Kheturi_Part-04_-_HH_Radhanath_Swami.mp3")</f>
        <v>Bangladesh_2004_08_-_Lecture_at_Kheturi_Part-04_-_HH_Radhanath_Swami.mp3</v>
      </c>
      <c r="D4832" s="24"/>
      <c r="E4832" s="24"/>
    </row>
    <row r="4833">
      <c r="A4833" s="25" t="s">
        <v>18509</v>
      </c>
      <c r="B4833" s="25" t="s">
        <v>18518</v>
      </c>
      <c r="C4833" s="26" t="str">
        <f>HYPERLINK("https://audio.iskcondesiretree.com/02_-_ISKCON_Swamis/ISKCON_Swamis_-_R_to_Y/His_Holiness_Radhanath_Swami/Lectures/02_-_Yatra/2004_Bangladesh/Bangladesh_2004_09_-_Lecture_at_Kheturi_Part-05_-_HH_Radhanath_Swami.mp3", "Bangladesh_2004_09_-_Lecture_at_Kheturi_Part-05_-_HH_Radhanath_Swami.mp3")</f>
        <v>Bangladesh_2004_09_-_Lecture_at_Kheturi_Part-05_-_HH_Radhanath_Swami.mp3</v>
      </c>
      <c r="D4833" s="24"/>
      <c r="E4833" s="24"/>
    </row>
    <row r="4834">
      <c r="A4834" s="25" t="s">
        <v>18509</v>
      </c>
      <c r="B4834" s="25" t="s">
        <v>18518</v>
      </c>
      <c r="C4834" s="26" t="str">
        <f>HYPERLINK("https://audio.iskcondesiretree.com/02_-_ISKCON_Swamis/ISKCON_Swamis_-_R_to_Y/His_Holiness_Radhanath_Swami/Lectures/02_-_Yatra/2004_Bangladesh/Bangladesh_2004_10_-_Ei_Baro_Karuna_Karo_-_HH_Radhanath_Swami_-_Jessore.mp3", "Bangladesh_2004_10_-_Ei_Baro_Karuna_Karo_-_HH_Radhanath_Swami_-_Jessore.mp3")</f>
        <v>Bangladesh_2004_10_-_Ei_Baro_Karuna_Karo_-_HH_Radhanath_Swami_-_Jessore.mp3</v>
      </c>
      <c r="D4834" s="24"/>
      <c r="E4834" s="24"/>
    </row>
    <row r="4835">
      <c r="A4835" s="25" t="s">
        <v>18509</v>
      </c>
      <c r="B4835" s="25" t="s">
        <v>18518</v>
      </c>
      <c r="C4835" s="26" t="str">
        <f>HYPERLINK("https://audio.iskcondesiretree.com/02_-_ISKCON_Swamis/ISKCON_Swamis_-_R_to_Y/His_Holiness_Radhanath_Swami/Lectures/02_-_Yatra/2004_Bangladesh/Bangladesh_2004_11_-_Hari_Hari_Bifale_Janama_-_HH_Radhanath_Swami_Kheturi.mp3", "Bangladesh_2004_11_-_Hari_Hari_Bifale_Janama_-_HH_Radhanath_Swami_Kheturi.mp3")</f>
        <v>Bangladesh_2004_11_-_Hari_Hari_Bifale_Janama_-_HH_Radhanath_Swami_Kheturi.mp3</v>
      </c>
      <c r="D4835" s="24"/>
      <c r="E4835" s="24"/>
    </row>
    <row r="4836">
      <c r="A4836" s="25" t="s">
        <v>18509</v>
      </c>
      <c r="B4836" s="25" t="s">
        <v>18518</v>
      </c>
      <c r="C4836" s="26" t="str">
        <f>HYPERLINK("https://audio.iskcondesiretree.com/02_-_ISKCON_Swamis/ISKCON_Swamis_-_R_to_Y/His_Holiness_Radhanath_Swami/Lectures/02_-_Yatra/2004_Bangladesh/Bangladesh_2004_12_-_Sad_Goswamiastakam_-_HH_Radhanath_Swami_Jessore.mp3", "Bangladesh_2004_12_-_Sad_Goswamiastakam_-_HH_Radhanath_Swami_Jessore.mp3")</f>
        <v>Bangladesh_2004_12_-_Sad_Goswamiastakam_-_HH_Radhanath_Swami_Jessore.mp3</v>
      </c>
      <c r="D4836" s="24"/>
      <c r="E4836" s="24"/>
    </row>
    <row r="4837">
      <c r="A4837" s="25" t="s">
        <v>18509</v>
      </c>
      <c r="B4837" s="25" t="s">
        <v>18518</v>
      </c>
      <c r="C4837" s="26" t="str">
        <f>HYPERLINK("https://audio.iskcondesiretree.com/02_-_ISKCON_Swamis/ISKCON_Swamis_-_R_to_Y/His_Holiness_Radhanath_Swami/Lectures/02_-_Yatra/2004_Bangladesh/Bangladesh_2004_13_-_Sri_Krsna_Caitanya_Prabhu_-_HH_Radhanath_Swami_Chittagaon.mp3", "Bangladesh_2004_13_-_Sri_Krsna_Caitanya_Prabhu_-_HH_Radhanath_Swami_Chittagaon.mp3")</f>
        <v>Bangladesh_2004_13_-_Sri_Krsna_Caitanya_Prabhu_-_HH_Radhanath_Swami_Chittagaon.mp3</v>
      </c>
      <c r="D4837" s="24"/>
      <c r="E4837" s="24"/>
    </row>
    <row r="4838">
      <c r="A4838" s="25" t="s">
        <v>18509</v>
      </c>
      <c r="B4838" s="25" t="s">
        <v>18518</v>
      </c>
      <c r="C4838" s="26" t="str">
        <f>HYPERLINK("https://audio.iskcondesiretree.com/02_-_ISKCON_Swamis/ISKCON_Swamis_-_R_to_Y/His_Holiness_Radhanath_Swami/Lectures/02_-_Yatra/2004_Bangladesh/Bangladesh_2004_14_-_Sri_Rupa_Manjari_Pada_-_HH_Radhanath_Swami_Jessore.mp3", "Bangladesh_2004_14_-_Sri_Rupa_Manjari_Pada_-_HH_Radhanath_Swami_Jessore.mp3")</f>
        <v>Bangladesh_2004_14_-_Sri_Rupa_Manjari_Pada_-_HH_Radhanath_Swami_Jessore.mp3</v>
      </c>
      <c r="D4838" s="24"/>
      <c r="E4838" s="24"/>
    </row>
    <row r="4839">
      <c r="A4839" s="25" t="s">
        <v>18509</v>
      </c>
      <c r="B4839" s="25" t="s">
        <v>18518</v>
      </c>
      <c r="C4839" s="26" t="str">
        <f>HYPERLINK("https://audio.iskcondesiretree.com/02_-_ISKCON_Swamis/ISKCON_Swamis_-_R_to_Y/His_Holiness_Radhanath_Swami/Lectures/02_-_Yatra/2004_Bangladesh/Bangladesh_2004_15_-_Kirtan_-_HH_Indradyumna_Swami.mp3", "Bangladesh_2004_15_-_Kirtan_-_HH_Indradyumna_Swami.mp3")</f>
        <v>Bangladesh_2004_15_-_Kirtan_-_HH_Indradyumna_Swami.mp3</v>
      </c>
      <c r="D4839" s="24"/>
      <c r="E4839" s="24"/>
    </row>
    <row r="4840">
      <c r="A4840" s="25" t="s">
        <v>18509</v>
      </c>
      <c r="B4840" s="25" t="s">
        <v>18518</v>
      </c>
      <c r="C4840" s="26" t="str">
        <f>HYPERLINK("https://audio.iskcondesiretree.com/02_-_ISKCON_Swamis/ISKCON_Swamis_-_R_to_Y/His_Holiness_Radhanath_Swami/Lectures/02_-_Yatra/2004_Bangladesh/Bangladesh_2004_16_-_Lecture_at_Chittagoan_-_HH_Indradyumna_Swami.mp3", "Bangladesh_2004_16_-_Lecture_at_Chittagoan_-_HH_Indradyumna_Swami.mp3")</f>
        <v>Bangladesh_2004_16_-_Lecture_at_Chittagoan_-_HH_Indradyumna_Swami.mp3</v>
      </c>
      <c r="D4840" s="24"/>
      <c r="E4840" s="24"/>
    </row>
    <row r="4841">
      <c r="A4841" s="25" t="s">
        <v>18509</v>
      </c>
      <c r="B4841" s="25" t="s">
        <v>18518</v>
      </c>
      <c r="C4841" s="26" t="str">
        <f>HYPERLINK("https://audio.iskcondesiretree.com/02_-_ISKCON_Swamis/ISKCON_Swamis_-_R_to_Y/His_Holiness_Radhanath_Swami/Lectures/02_-_Yatra/2004_Bangladesh/Bangladesh_2004_17_-_Kirtan_-_HH_Indradyumana_Swami_Jessore.mp3", "Bangladesh_2004_17_-_Kirtan_-_HH_Indradyumana_Swami_Jessore.mp3")</f>
        <v>Bangladesh_2004_17_-_Kirtan_-_HH_Indradyumana_Swami_Jessore.mp3</v>
      </c>
      <c r="D4841" s="24"/>
      <c r="E4841" s="24"/>
    </row>
    <row r="4842">
      <c r="A4842" s="25" t="s">
        <v>18509</v>
      </c>
      <c r="B4842" s="25" t="s">
        <v>18518</v>
      </c>
      <c r="C4842" s="26" t="str">
        <f>HYPERLINK("https://audio.iskcondesiretree.com/02_-_ISKCON_Swamis/ISKCON_Swamis_-_R_to_Y/His_Holiness_Radhanath_Swami/Lectures/02_-_Yatra/2004_Bangladesh/Bangladesh_2004_18_-_Talks_by_devotees_-_Srihatta.mp3", "Bangladesh_2004_18_-_Talks_by_devotees_-_Srihatta.mp3")</f>
        <v>Bangladesh_2004_18_-_Talks_by_devotees_-_Srihatta.mp3</v>
      </c>
      <c r="D4842" s="24"/>
      <c r="E4842" s="24"/>
    </row>
    <row r="4843">
      <c r="A4843" s="25" t="s">
        <v>18509</v>
      </c>
      <c r="B4843" s="25" t="s">
        <v>18519</v>
      </c>
      <c r="C4843" s="26" t="str">
        <f>HYPERLINK("https://audio.iskcondesiretree.com/02_-_ISKCON_Swamis/ISKCON_Swamis_-_R_to_Y/His_Holiness_Radhanath_Swami/Lectures/02_-_Yatra/2004_Pune_yatra/01%20Day%203%20Memories%20of%20Srila%20Prabhupada%20in%20London-%20III.mp3", "01%20Day%203%20Memories%20of%20Srila%20Prabhupada%20in%20London-%20III.mp3")</f>
        <v>01%20Day%203%20Memories%20of%20Srila%20Prabhupada%20in%20London-%20III.mp3</v>
      </c>
      <c r="D4843" s="24"/>
      <c r="E4843" s="24"/>
    </row>
    <row r="4844">
      <c r="A4844" s="25" t="s">
        <v>18509</v>
      </c>
      <c r="B4844" s="25" t="s">
        <v>18519</v>
      </c>
      <c r="C4844" s="26" t="str">
        <f>HYPERLINK("https://audio.iskcondesiretree.com/02_-_ISKCON_Swamis/ISKCON_Swamis_-_R_to_Y/His_Holiness_Radhanath_Swami/Lectures/02_-_Yatra/2004_Pune_yatra/02%20Day%203%20Memories%20of%20Srila%20Prabhupada%20in%20London-%20IV.mp3", "02%20Day%203%20Memories%20of%20Srila%20Prabhupada%20in%20London-%20IV.mp3")</f>
        <v>02%20Day%203%20Memories%20of%20Srila%20Prabhupada%20in%20London-%20IV.mp3</v>
      </c>
      <c r="D4844" s="24"/>
      <c r="E4844" s="24"/>
    </row>
    <row r="4845">
      <c r="A4845" s="25" t="s">
        <v>18509</v>
      </c>
      <c r="B4845" s="25" t="s">
        <v>18519</v>
      </c>
      <c r="C4845" s="26" t="str">
        <f>HYPERLINK("https://audio.iskcondesiretree.com/02_-_ISKCON_Swamis/ISKCON_Swamis_-_R_to_Y/His_Holiness_Radhanath_Swami/Lectures/02_-_Yatra/2004_Pune_yatra/03%20Day%203%20Memories%20of%20Srila%20Prabhupada%20in%20London-%20V.mp3", "03%20Day%203%20Memories%20of%20Srila%20Prabhupada%20in%20London-%20V.mp3")</f>
        <v>03%20Day%203%20Memories%20of%20Srila%20Prabhupada%20in%20London-%20V.mp3</v>
      </c>
      <c r="D4845" s="24"/>
      <c r="E4845" s="24"/>
    </row>
    <row r="4846">
      <c r="A4846" s="25" t="s">
        <v>18509</v>
      </c>
      <c r="B4846" s="25" t="s">
        <v>18519</v>
      </c>
      <c r="C4846" s="26" t="str">
        <f>HYPERLINK("https://audio.iskcondesiretree.com/02_-_ISKCON_Swamis/ISKCON_Swamis_-_R_to_Y/His_Holiness_Radhanath_Swami/Lectures/02_-_Yatra/2004_Pune_yatra/Concluding_Speech-Part_1_Niranjana_Maharaj_Prahladananda_Maharaj_Candramauli_Maharaj_Gurudas_Pr_Shyamsundar_Pr.mp"&amp;"3", "Concluding_Speech-Part_1_Niranjana_Maharaj_Prahladananda_Maharaj_Candramauli_Maharaj_Gurudas_Pr_Shyamsundar_Pr.mp3")</f>
        <v>Concluding_Speech-Part_1_Niranjana_Maharaj_Prahladananda_Maharaj_Candramauli_Maharaj_Gurudas_Pr_Shyamsundar_Pr.mp3</v>
      </c>
      <c r="D4846" s="24"/>
      <c r="E4846" s="24"/>
    </row>
    <row r="4847">
      <c r="A4847" s="25" t="s">
        <v>18509</v>
      </c>
      <c r="B4847" s="25" t="s">
        <v>18519</v>
      </c>
      <c r="C4847" s="26" t="str">
        <f>HYPERLINK("https://audio.iskcondesiretree.com/02_-_ISKCON_Swamis/ISKCON_Swamis_-_R_to_Y/His_Holiness_Radhanath_Swami/Lectures/02_-_Yatra/2004_Pune_yatra/Pune_Yatra_2004_01_-_Arrival_Address_-_Radhanath_Swami.mp3", "Pune_Yatra_2004_01_-_Arrival_Address_-_Radhanath_Swami.mp3")</f>
        <v>Pune_Yatra_2004_01_-_Arrival_Address_-_Radhanath_Swami.mp3</v>
      </c>
      <c r="D4847" s="24"/>
      <c r="E4847" s="24"/>
    </row>
    <row r="4848">
      <c r="A4848" s="25" t="s">
        <v>18509</v>
      </c>
      <c r="B4848" s="25" t="s">
        <v>18519</v>
      </c>
      <c r="C4848" s="26" t="str">
        <f>HYPERLINK("https://audio.iskcondesiretree.com/02_-_ISKCON_Swamis/ISKCON_Swamis_-_R_to_Y/His_Holiness_Radhanath_Swami/Lectures/02_-_Yatra/2004_Pune_yatra/Pune_Yatra_2004_11_-_Srimad_Bhagavatam_-_Radhanath_Maharaj.mp3", "Pune_Yatra_2004_11_-_Srimad_Bhagavatam_-_Radhanath_Maharaj.mp3")</f>
        <v>Pune_Yatra_2004_11_-_Srimad_Bhagavatam_-_Radhanath_Maharaj.mp3</v>
      </c>
      <c r="D4848" s="24"/>
      <c r="E4848" s="24"/>
    </row>
    <row r="4849">
      <c r="A4849" s="25" t="s">
        <v>18509</v>
      </c>
      <c r="B4849" s="25" t="s">
        <v>18519</v>
      </c>
      <c r="C4849" s="26" t="str">
        <f>HYPERLINK("https://audio.iskcondesiretree.com/02_-_ISKCON_Swamis/ISKCON_Swamis_-_R_to_Y/His_Holiness_Radhanath_Swami/Lectures/02_-_Yatra/2004_Pune_yatra/Pune_Yatra_2004_12_-_Memories_of_Srila_Prabhupada_in_India-01_-_Gurudas_Pr_Shyamsundar_Pr_Malati_Mataji.mp3", "Pune_Yatra_2004_12_-_Memories_of_Srila_Prabhupada_in_India-01_-_Gurudas_Pr_Shyamsundar_Pr_Malati_Mataji.mp3")</f>
        <v>Pune_Yatra_2004_12_-_Memories_of_Srila_Prabhupada_in_India-01_-_Gurudas_Pr_Shyamsundar_Pr_Malati_Mataji.mp3</v>
      </c>
      <c r="D4849" s="24"/>
      <c r="E4849" s="24"/>
    </row>
    <row r="4850">
      <c r="A4850" s="25" t="s">
        <v>18509</v>
      </c>
      <c r="B4850" s="25" t="s">
        <v>18519</v>
      </c>
      <c r="C4850" s="26" t="str">
        <f>HYPERLINK("https://audio.iskcondesiretree.com/02_-_ISKCON_Swamis/ISKCON_Swamis_-_R_to_Y/His_Holiness_Radhanath_Swami/Lectures/02_-_Yatra/2004_Pune_yatra/Pune_Yatra_2004_15_-_Concluding_Speech-02_-_HG_Malati_Mataji_HG_Yadubar_Pr_HG_Vishakha_Mataji_HH_Radhanath_Sw.mp3", "Pune_Yatra_2004_15_-_Concluding_Speech-02_-_HG_Malati_Mataji_HG_Yadubar_Pr_HG_Vishakha_Mataji_HH_Radhanath_Sw.mp3")</f>
        <v>Pune_Yatra_2004_15_-_Concluding_Speech-02_-_HG_Malati_Mataji_HG_Yadubar_Pr_HG_Vishakha_Mataji_HH_Radhanath_Sw.mp3</v>
      </c>
      <c r="D4850" s="24"/>
      <c r="E4850" s="24"/>
    </row>
    <row r="4851">
      <c r="A4851" s="25" t="s">
        <v>18509</v>
      </c>
      <c r="B4851" s="25" t="s">
        <v>18519</v>
      </c>
      <c r="C4851" s="26" t="str">
        <f>HYPERLINK("https://audio.iskcondesiretree.com/02_-_ISKCON_Swamis/ISKCON_Swamis_-_R_to_Y/His_Holiness_Radhanath_Swami/Lectures/02_-_Yatra/2004_Pune_yatra/Y04PU01_Arrival_Address_Radhanath_Swami.mp3", "Y04PU01_Arrival_Address_Radhanath_Swami.mp3")</f>
        <v>Y04PU01_Arrival_Address_Radhanath_Swami.mp3</v>
      </c>
      <c r="D4851" s="24"/>
      <c r="E4851" s="24"/>
    </row>
    <row r="4852">
      <c r="A4852" s="25" t="s">
        <v>18509</v>
      </c>
      <c r="B4852" s="25" t="s">
        <v>18519</v>
      </c>
      <c r="C4852" s="26" t="str">
        <f>HYPERLINK("https://audio.iskcondesiretree.com/02_-_ISKCON_Swamis/ISKCON_Swamis_-_R_to_Y/His_Holiness_Radhanath_Swami/Lectures/02_-_Yatra/2004_Pune_yatra/Y04PU03%20_Memories_of_Srila_Prabhupada_in_San_Francisco_1_Gurudas_Prabhu_Shyamsundar_Prabhu_Malati_Mataji.mp3", "Y04PU03%20_Memories_of_Srila_Prabhupada_in_San_Francisco_1_Gurudas_Prabhu_Shyamsundar_Prabhu_Malati_Mataji.mp3")</f>
        <v>Y04PU03%20_Memories_of_Srila_Prabhupada_in_San_Francisco_1_Gurudas_Prabhu_Shyamsundar_Prabhu_Malati_Mataji.mp3</v>
      </c>
      <c r="D4852" s="24"/>
      <c r="E4852" s="24"/>
    </row>
    <row r="4853">
      <c r="A4853" s="25" t="s">
        <v>18509</v>
      </c>
      <c r="B4853" s="25" t="s">
        <v>18519</v>
      </c>
      <c r="C4853" s="26" t="str">
        <f>HYPERLINK("https://audio.iskcondesiretree.com/02_-_ISKCON_Swamis/ISKCON_Swamis_-_R_to_Y/His_Holiness_Radhanath_Swami/Lectures/02_-_Yatra/2004_Pune_yatra/Y04PU04%20_Memories_of_Srila_Prabhupada_in_San_Francisco_2_Gurudas_Prabhu_Shyamsundar_Prabhu_Malati_Mataji.mp3", "Y04PU04%20_Memories_of_Srila_Prabhupada_in_San_Francisco_2_Gurudas_Prabhu_Shyamsundar_Prabhu_Malati_Mataji.mp3")</f>
        <v>Y04PU04%20_Memories_of_Srila_Prabhupada_in_San_Francisco_2_Gurudas_Prabhu_Shyamsundar_Prabhu_Malati_Mataji.mp3</v>
      </c>
      <c r="D4853" s="24"/>
      <c r="E4853" s="24"/>
    </row>
    <row r="4854">
      <c r="A4854" s="25" t="s">
        <v>18509</v>
      </c>
      <c r="B4854" s="25" t="s">
        <v>18519</v>
      </c>
      <c r="C4854" s="26" t="str">
        <f>HYPERLINK("https://audio.iskcondesiretree.com/02_-_ISKCON_Swamis/ISKCON_Swamis_-_R_to_Y/His_Holiness_Radhanath_Swami/Lectures/02_-_Yatra/2004_Pune_yatra/Y04PU05%20_Memories_of_Srila_Prabhupada_in_San_Francisco_3_Gurudas_Prabhu_Shyamsundar_Prabhu_Malati_Mataji.mp3", "Y04PU05%20_Memories_of_Srila_Prabhupada_in_San_Francisco_3_Gurudas_Prabhu_Shyamsundar_Prabhu_Malati_Mataji.mp3")</f>
        <v>Y04PU05%20_Memories_of_Srila_Prabhupada_in_San_Francisco_3_Gurudas_Prabhu_Shyamsundar_Prabhu_Malati_Mataji.mp3</v>
      </c>
      <c r="D4854" s="24"/>
      <c r="E4854" s="24"/>
    </row>
    <row r="4855">
      <c r="A4855" s="25" t="s">
        <v>18509</v>
      </c>
      <c r="B4855" s="25" t="s">
        <v>18519</v>
      </c>
      <c r="C4855" s="26" t="str">
        <f>HYPERLINK("https://audio.iskcondesiretree.com/02_-_ISKCON_Swamis/ISKCON_Swamis_-_R_to_Y/His_Holiness_Radhanath_Swami/Lectures/02_-_Yatra/2004_Pune_yatra/Y04PU06_Memories_of_Srila_Prabhupada_in_London-2_Gurudas_Prabhu_Shyamsundar_Prabhu_Malati_Mataji.mp3", "Y04PU06_Memories_of_Srila_Prabhupada_in_London-2_Gurudas_Prabhu_Shyamsundar_Prabhu_Malati_Mataji.mp3")</f>
        <v>Y04PU06_Memories_of_Srila_Prabhupada_in_London-2_Gurudas_Prabhu_Shyamsundar_Prabhu_Malati_Mataji.mp3</v>
      </c>
      <c r="D4855" s="24"/>
      <c r="E4855" s="24"/>
    </row>
    <row r="4856">
      <c r="A4856" s="25" t="s">
        <v>18509</v>
      </c>
      <c r="B4856" s="25" t="s">
        <v>18519</v>
      </c>
      <c r="C4856" s="26" t="str">
        <f>HYPERLINK("https://audio.iskcondesiretree.com/02_-_ISKCON_Swamis/ISKCON_Swamis_-_R_to_Y/His_Holiness_Radhanath_Swami/Lectures/02_-_Yatra/2004_Pune_yatra/Y04PU08_Memories_of_Srila_Prabhupada_in_London-3_Gurudas_Prabhu_Shyamsundar_Prabhu_Malati_Mataji.mp3", "Y04PU08_Memories_of_Srila_Prabhupada_in_London-3_Gurudas_Prabhu_Shyamsundar_Prabhu_Malati_Mataji.mp3")</f>
        <v>Y04PU08_Memories_of_Srila_Prabhupada_in_London-3_Gurudas_Prabhu_Shyamsundar_Prabhu_Malati_Mataji.mp3</v>
      </c>
      <c r="D4856" s="24"/>
      <c r="E4856" s="24"/>
    </row>
    <row r="4857">
      <c r="A4857" s="25" t="s">
        <v>18509</v>
      </c>
      <c r="B4857" s="25" t="s">
        <v>18519</v>
      </c>
      <c r="C4857" s="26" t="str">
        <f>HYPERLINK("https://audio.iskcondesiretree.com/02_-_ISKCON_Swamis/ISKCON_Swamis_-_R_to_Y/His_Holiness_Radhanath_Swami/Lectures/02_-_Yatra/2004_Pune_yatra/Y04PU09_Memories_of_Srila_Prabhupada_in_London-4_Gurudas_Prabhu_Shyamsundar_Prabhu_Malati_Mataji.mp3", "Y04PU09_Memories_of_Srila_Prabhupada_in_London-4_Gurudas_Prabhu_Shyamsundar_Prabhu_Malati_Mataji.mp3")</f>
        <v>Y04PU09_Memories_of_Srila_Prabhupada_in_London-4_Gurudas_Prabhu_Shyamsundar_Prabhu_Malati_Mataji.mp3</v>
      </c>
      <c r="D4857" s="24"/>
      <c r="E4857" s="24"/>
    </row>
    <row r="4858">
      <c r="A4858" s="25" t="s">
        <v>18509</v>
      </c>
      <c r="B4858" s="25" t="s">
        <v>18519</v>
      </c>
      <c r="C4858" s="26" t="str">
        <f>HYPERLINK("https://audio.iskcondesiretree.com/02_-_ISKCON_Swamis/ISKCON_Swamis_-_R_to_Y/His_Holiness_Radhanath_Swami/Lectures/02_-_Yatra/2004_Pune_yatra/Y04PU10_Memories_of_Srila_Prabhupada_in_London-5_Gurudas_Prabhu_Shyamsundar_Prabhu_Malati_Mataji.mp3", "Y04PU10_Memories_of_Srila_Prabhupada_in_London-5_Gurudas_Prabhu_Shyamsundar_Prabhu_Malati_Mataji.mp3")</f>
        <v>Y04PU10_Memories_of_Srila_Prabhupada_in_London-5_Gurudas_Prabhu_Shyamsundar_Prabhu_Malati_Mataji.mp3</v>
      </c>
      <c r="D4858" s="24"/>
      <c r="E4858" s="24"/>
    </row>
    <row r="4859">
      <c r="A4859" s="25" t="s">
        <v>18509</v>
      </c>
      <c r="B4859" s="25" t="s">
        <v>18519</v>
      </c>
      <c r="C4859" s="26" t="str">
        <f>HYPERLINK("https://audio.iskcondesiretree.com/02_-_ISKCON_Swamis/ISKCON_Swamis_-_R_to_Y/His_Holiness_Radhanath_Swami/Lectures/02_-_Yatra/2004_Pune_yatra/Y04PU11_Srimad_Bhagavatam_Radhanath_Maharaj.mp3", "Y04PU11_Srimad_Bhagavatam_Radhanath_Maharaj.mp3")</f>
        <v>Y04PU11_Srimad_Bhagavatam_Radhanath_Maharaj.mp3</v>
      </c>
      <c r="D4859" s="24"/>
      <c r="E4859" s="24"/>
    </row>
    <row r="4860">
      <c r="A4860" s="25" t="s">
        <v>18509</v>
      </c>
      <c r="B4860" s="25" t="s">
        <v>18519</v>
      </c>
      <c r="C4860" s="26" t="str">
        <f>HYPERLINK("https://audio.iskcondesiretree.com/02_-_ISKCON_Swamis/ISKCON_Swamis_-_R_to_Y/His_Holiness_Radhanath_Swami/Lectures/02_-_Yatra/2004_Pune_yatra/Y04PU12_Memories_of_Srila_Prabhupada_in_India-1_Gurudas_Pr_Shyamsundar_Pr_Malati_Mataji.mp3", "Y04PU12_Memories_of_Srila_Prabhupada_in_India-1_Gurudas_Pr_Shyamsundar_Pr_Malati_Mataji.mp3")</f>
        <v>Y04PU12_Memories_of_Srila_Prabhupada_in_India-1_Gurudas_Pr_Shyamsundar_Pr_Malati_Mataji.mp3</v>
      </c>
      <c r="D4860" s="24"/>
      <c r="E4860" s="24"/>
    </row>
    <row r="4861">
      <c r="A4861" s="25" t="s">
        <v>18509</v>
      </c>
      <c r="B4861" s="25" t="s">
        <v>18519</v>
      </c>
      <c r="C4861" s="26" t="str">
        <f>HYPERLINK("https://audio.iskcondesiretree.com/02_-_ISKCON_Swamis/ISKCON_Swamis_-_R_to_Y/His_Holiness_Radhanath_Swami/Lectures/02_-_Yatra/2004_Pune_yatra/Y04PU15_Concluding_Speech-Part_2_H_G_Malati_Mataji_H_G_Yadubar_Prabhu_H_G_Vishakha_Mataji_H_H_Radhanath_Maharaj.m"&amp;"p3", "Y04PU15_Concluding_Speech-Part_2_H_G_Malati_Mataji_H_G_Yadubar_Prabhu_H_G_Vishakha_Mataji_H_H_Radhanath_Maharaj.mp3")</f>
        <v>Y04PU15_Concluding_Speech-Part_2_H_G_Malati_Mataji_H_G_Yadubar_Prabhu_H_G_Vishakha_Mataji_H_H_Radhanath_Maharaj.mp3</v>
      </c>
      <c r="D4861" s="24"/>
      <c r="E4861" s="24"/>
    </row>
    <row r="4862">
      <c r="A4862" s="25" t="s">
        <v>18509</v>
      </c>
      <c r="B4862" s="25" t="s">
        <v>18520</v>
      </c>
      <c r="C4862" s="26" t="str">
        <f>HYPERLINK("https://audio.iskcondesiretree.com/02_-_ISKCON_Swamis/ISKCON_Swamis_-_R_to_Y/His_Holiness_Radhanath_Swami/Lectures/02_-_Yatra/2004_Vrindavan_yatra/05_-_Vrindavan_Yatra_2004_-_Kirtan_-_Radhanath_Swami_-_ISKCON_Chowpatty.mp3", "05_-_Vrindavan_Yatra_2004_-_Kirtan_-_Radhanath_Swami_-_ISKCON_Chowpatty.mp3")</f>
        <v>05_-_Vrindavan_Yatra_2004_-_Kirtan_-_Radhanath_Swami_-_ISKCON_Chowpatty.mp3</v>
      </c>
      <c r="D4862" s="24"/>
      <c r="E4862" s="24"/>
    </row>
    <row r="4863">
      <c r="A4863" s="25" t="s">
        <v>18509</v>
      </c>
      <c r="B4863" s="25" t="s">
        <v>18520</v>
      </c>
      <c r="C4863" s="26" t="str">
        <f>HYPERLINK("https://audio.iskcondesiretree.com/02_-_ISKCON_Swamis/ISKCON_Swamis_-_R_to_Y/His_Holiness_Radhanath_Swami/Lectures/02_-_Yatra/2004_Vrindavan_yatra/06_-_Vrindavan_Yatra_2004_-_Krishna%27s_Pastimes_at_Sringara_Vata_-_Radhanath_Swami_-_ISKCON_Chowpatty.mp3", "06_-_Vrindavan_Yatra_2004_-_Krishna%27s_Pastimes_at_Sringara_Vata_-_Radhanath_Swami_-_ISKCON_Chowpatty.mp3")</f>
        <v>06_-_Vrindavan_Yatra_2004_-_Krishna%27s_Pastimes_at_Sringara_Vata_-_Radhanath_Swami_-_ISKCON_Chowpatty.mp3</v>
      </c>
      <c r="D4863" s="24"/>
      <c r="E4863" s="24"/>
    </row>
    <row r="4864">
      <c r="A4864" s="25" t="s">
        <v>18509</v>
      </c>
      <c r="B4864" s="25" t="s">
        <v>18520</v>
      </c>
      <c r="C4864" s="26" t="str">
        <f>HYPERLINK("https://audio.iskcondesiretree.com/02_-_ISKCON_Swamis/ISKCON_Swamis_-_R_to_Y/His_Holiness_Radhanath_Swami/Lectures/02_-_Yatra/2004_Vrindavan_yatra/07_-_Vrindavan_Yatra_2004_-_Keshi%27s_Pride_and_Yamuna%27s_Mercy_-_Radhanath_Swami_-_ISKCON_Chowpatty.mp3", "07_-_Vrindavan_Yatra_2004_-_Keshi%27s_Pride_and_Yamuna%27s_Mercy_-_Radhanath_Swami_-_ISKCON_Chowpatty.mp3")</f>
        <v>07_-_Vrindavan_Yatra_2004_-_Keshi%27s_Pride_and_Yamuna%27s_Mercy_-_Radhanath_Swami_-_ISKCON_Chowpatty.mp3</v>
      </c>
      <c r="D4864" s="24"/>
      <c r="E4864" s="24"/>
    </row>
    <row r="4865">
      <c r="A4865" s="25" t="s">
        <v>18509</v>
      </c>
      <c r="B4865" s="25" t="s">
        <v>18520</v>
      </c>
      <c r="C4865" s="26" t="str">
        <f>HYPERLINK("https://audio.iskcondesiretree.com/02_-_ISKCON_Swamis/ISKCON_Swamis_-_R_to_Y/His_Holiness_Radhanath_Swami/Lectures/02_-_Yatra/2004_Vrindavan_yatra/10_-_Vrindavan_Yatra_2004_-_Being_Conscious_of_the_Holy_Dhama_-_Radhanath_Swami_-_ISKCON_Chowpatty.mp3", "10_-_Vrindavan_Yatra_2004_-_Being_Conscious_of_the_Holy_Dhama_-_Radhanath_Swami_-_ISKCON_Chowpatty.mp3")</f>
        <v>10_-_Vrindavan_Yatra_2004_-_Being_Conscious_of_the_Holy_Dhama_-_Radhanath_Swami_-_ISKCON_Chowpatty.mp3</v>
      </c>
      <c r="D4865" s="24"/>
      <c r="E4865" s="24"/>
    </row>
    <row r="4866">
      <c r="A4866" s="25" t="s">
        <v>18509</v>
      </c>
      <c r="B4866" s="25" t="s">
        <v>18520</v>
      </c>
      <c r="C4866" s="26" t="str">
        <f>HYPERLINK("https://audio.iskcondesiretree.com/02_-_ISKCON_Swamis/ISKCON_Swamis_-_R_to_Y/His_Holiness_Radhanath_Swami/Lectures/02_-_Yatra/2004_Vrindavan_yatra/12_-_Vrindavan_Yatra_2004_-_Wonderful_Pastimes_of_Varsana_-_Radhanath_Swami_-_ISKCON_Chowpatty.mp3", "12_-_Vrindavan_Yatra_2004_-_Wonderful_Pastimes_of_Varsana_-_Radhanath_Swami_-_ISKCON_Chowpatty.mp3")</f>
        <v>12_-_Vrindavan_Yatra_2004_-_Wonderful_Pastimes_of_Varsana_-_Radhanath_Swami_-_ISKCON_Chowpatty.mp3</v>
      </c>
      <c r="D4866" s="24"/>
      <c r="E4866" s="24"/>
    </row>
    <row r="4867">
      <c r="A4867" s="25" t="s">
        <v>18509</v>
      </c>
      <c r="B4867" s="25" t="s">
        <v>18520</v>
      </c>
      <c r="C4867" s="26" t="str">
        <f>HYPERLINK("https://audio.iskcondesiretree.com/02_-_ISKCON_Swamis/ISKCON_Swamis_-_R_to_Y/His_Holiness_Radhanath_Swami/Lectures/02_-_Yatra/2004_Vrindavan_yatra/14_-_Vrindavan_Yatra_2004_-_Surrendering_with_Sincere_Prayers_-_Radhanath_Swami_-_ISKCON_Chowpatty.mp3", "14_-_Vrindavan_Yatra_2004_-_Surrendering_with_Sincere_Prayers_-_Radhanath_Swami_-_ISKCON_Chowpatty.mp3")</f>
        <v>14_-_Vrindavan_Yatra_2004_-_Surrendering_with_Sincere_Prayers_-_Radhanath_Swami_-_ISKCON_Chowpatty.mp3</v>
      </c>
      <c r="D4867" s="24"/>
      <c r="E4867" s="24"/>
    </row>
    <row r="4868">
      <c r="A4868" s="25" t="s">
        <v>18509</v>
      </c>
      <c r="B4868" s="25" t="s">
        <v>18520</v>
      </c>
      <c r="C4868" s="26" t="str">
        <f>HYPERLINK("https://audio.iskcondesiretree.com/02_-_ISKCON_Swamis/ISKCON_Swamis_-_R_to_Y/His_Holiness_Radhanath_Swami/Lectures/02_-_Yatra/2004_Vrindavan_yatra/15_-_Vrindavan_Yatra_2004_-_Sri_Rupa_Manjari_Pada_-_Radhanath_Swami_-_ISKCON_Chowpatty.mp3", "15_-_Vrindavan_Yatra_2004_-_Sri_Rupa_Manjari_Pada_-_Radhanath_Swami_-_ISKCON_Chowpatty.mp3")</f>
        <v>15_-_Vrindavan_Yatra_2004_-_Sri_Rupa_Manjari_Pada_-_Radhanath_Swami_-_ISKCON_Chowpatty.mp3</v>
      </c>
      <c r="D4868" s="24"/>
      <c r="E4868" s="24"/>
    </row>
    <row r="4869">
      <c r="A4869" s="25" t="s">
        <v>18509</v>
      </c>
      <c r="B4869" s="25" t="s">
        <v>18520</v>
      </c>
      <c r="C4869" s="26" t="str">
        <f>HYPERLINK("https://audio.iskcondesiretree.com/02_-_ISKCON_Swamis/ISKCON_Swamis_-_R_to_Y/His_Holiness_Radhanath_Swami/Lectures/02_-_Yatra/2004_Vrindavan_yatra/16_-_Vrindavan_Yatra_2004_-_Divine_Pastimes_of_the_Goswamis_-_Radhanath_Swami_-_ISKCON_Chowpatty.mp3", "16_-_Vrindavan_Yatra_2004_-_Divine_Pastimes_of_the_Goswamis_-_Radhanath_Swami_-_ISKCON_Chowpatty.mp3")</f>
        <v>16_-_Vrindavan_Yatra_2004_-_Divine_Pastimes_of_the_Goswamis_-_Radhanath_Swami_-_ISKCON_Chowpatty.mp3</v>
      </c>
      <c r="D4869" s="24"/>
      <c r="E4869" s="24"/>
    </row>
    <row r="4870">
      <c r="A4870" s="25" t="s">
        <v>18509</v>
      </c>
      <c r="B4870" s="25" t="s">
        <v>18520</v>
      </c>
      <c r="C4870" s="26" t="str">
        <f>HYPERLINK("https://audio.iskcondesiretree.com/02_-_ISKCON_Swamis/ISKCON_Swamis_-_R_to_Y/His_Holiness_Radhanath_Swami/Lectures/02_-_Yatra/2004_Vrindavan_yatra/17_-_Vrindavan_Yatra_2004_-_The_Seven_Main_Temples_of_Vrindavan_-_Radhanath_Swami_-_ISKCON_Chowpatty.mp3", "17_-_Vrindavan_Yatra_2004_-_The_Seven_Main_Temples_of_Vrindavan_-_Radhanath_Swami_-_ISKCON_Chowpatty.mp3")</f>
        <v>17_-_Vrindavan_Yatra_2004_-_The_Seven_Main_Temples_of_Vrindavan_-_Radhanath_Swami_-_ISKCON_Chowpatty.mp3</v>
      </c>
      <c r="D4870" s="24"/>
      <c r="E4870" s="24"/>
    </row>
    <row r="4871">
      <c r="A4871" s="25" t="s">
        <v>18509</v>
      </c>
      <c r="B4871" s="25" t="s">
        <v>18520</v>
      </c>
      <c r="C4871" s="26" t="str">
        <f>HYPERLINK("https://audio.iskcondesiretree.com/02_-_ISKCON_Swamis/ISKCON_Swamis_-_R_to_Y/His_Holiness_Radhanath_Swami/Lectures/02_-_Yatra/2004_Vrindavan_yatra/18_-_Vrindavan_Yatra_2004_-_Vamsivata_Kirtan_-_Radhanath_Swami_-_ISKCON_Chowpatty.mp3", "18_-_Vrindavan_Yatra_2004_-_Vamsivata_Kirtan_-_Radhanath_Swami_-_ISKCON_Chowpatty.mp3")</f>
        <v>18_-_Vrindavan_Yatra_2004_-_Vamsivata_Kirtan_-_Radhanath_Swami_-_ISKCON_Chowpatty.mp3</v>
      </c>
      <c r="D4871" s="24"/>
      <c r="E4871" s="24"/>
    </row>
    <row r="4872">
      <c r="A4872" s="25" t="s">
        <v>18509</v>
      </c>
      <c r="B4872" s="25" t="s">
        <v>18520</v>
      </c>
      <c r="C4872" s="26" t="str">
        <f>HYPERLINK("https://audio.iskcondesiretree.com/02_-_ISKCON_Swamis/ISKCON_Swamis_-_R_to_Y/His_Holiness_Radhanath_Swami/Lectures/02_-_Yatra/2004_Vrindavan_yatra/19_-_Vrindavan_Yatra_2004_-_Pastimes_at_Gokula_Mahavana_-_Radhanath_Swami_-_ISKCON_Chowpatty.mp3", "19_-_Vrindavan_Yatra_2004_-_Pastimes_at_Gokula_Mahavana_-_Radhanath_Swami_-_ISKCON_Chowpatty.mp3")</f>
        <v>19_-_Vrindavan_Yatra_2004_-_Pastimes_at_Gokula_Mahavana_-_Radhanath_Swami_-_ISKCON_Chowpatty.mp3</v>
      </c>
      <c r="D4872" s="24"/>
      <c r="E4872" s="24"/>
    </row>
    <row r="4873">
      <c r="A4873" s="25" t="s">
        <v>18509</v>
      </c>
      <c r="B4873" s="25" t="s">
        <v>18520</v>
      </c>
      <c r="C4873" s="26" t="str">
        <f>HYPERLINK("https://audio.iskcondesiretree.com/02_-_ISKCON_Swamis/ISKCON_Swamis_-_R_to_Y/His_Holiness_Radhanath_Swami/Lectures/02_-_Yatra/2004_Vrindavan_yatra/21_-_Vrindavan_Yatra_2004_-_Prayers_to_Begin_Govardhana_Parikrama_-_Radhanath_Swami_-_ISKCON_Chowpatty.mp3", "21_-_Vrindavan_Yatra_2004_-_Prayers_to_Begin_Govardhana_Parikrama_-_Radhanath_Swami_-_ISKCON_Chowpatty.mp3")</f>
        <v>21_-_Vrindavan_Yatra_2004_-_Prayers_to_Begin_Govardhana_Parikrama_-_Radhanath_Swami_-_ISKCON_Chowpatty.mp3</v>
      </c>
      <c r="D4873" s="24"/>
      <c r="E4873" s="24"/>
    </row>
    <row r="4874">
      <c r="A4874" s="25" t="s">
        <v>18509</v>
      </c>
      <c r="B4874" s="25" t="s">
        <v>18520</v>
      </c>
      <c r="C4874" s="26" t="str">
        <f>HYPERLINK("https://audio.iskcondesiretree.com/02_-_ISKCON_Swamis/ISKCON_Swamis_-_R_to_Y/His_Holiness_Radhanath_Swami/Lectures/02_-_Yatra/2004_Vrindavan_yatra/22_-_Vrindavan_Yatra_2004_-_The_Shyamantaka_Jewel_-_Radhanath_Swami_-_ISKCON_Chowpatty.mp3", "22_-_Vrindavan_Yatra_2004_-_The_Shyamantaka_Jewel_-_Radhanath_Swami_-_ISKCON_Chowpatty.mp3")</f>
        <v>22_-_Vrindavan_Yatra_2004_-_The_Shyamantaka_Jewel_-_Radhanath_Swami_-_ISKCON_Chowpatty.mp3</v>
      </c>
      <c r="D4874" s="24"/>
      <c r="E4874" s="24"/>
    </row>
    <row r="4875">
      <c r="A4875" s="25" t="s">
        <v>18509</v>
      </c>
      <c r="B4875" s="25" t="s">
        <v>18520</v>
      </c>
      <c r="C4875" s="26" t="str">
        <f>HYPERLINK("https://audio.iskcondesiretree.com/02_-_ISKCON_Swamis/ISKCON_Swamis_-_R_to_Y/His_Holiness_Radhanath_Swami/Lectures/02_-_Yatra/2004_Vrindavan_yatra/23_-_Vrindavan_Yatra_2004_-_The_Lilas_of_Manasi_Ganga_-_Radhanath_Swami_-_ISKCON_Chowpatty.mp3", "23_-_Vrindavan_Yatra_2004_-_The_Lilas_of_Manasi_Ganga_-_Radhanath_Swami_-_ISKCON_Chowpatty.mp3")</f>
        <v>23_-_Vrindavan_Yatra_2004_-_The_Lilas_of_Manasi_Ganga_-_Radhanath_Swami_-_ISKCON_Chowpatty.mp3</v>
      </c>
      <c r="D4875" s="24"/>
      <c r="E4875" s="24"/>
    </row>
    <row r="4876">
      <c r="A4876" s="25" t="s">
        <v>18509</v>
      </c>
      <c r="B4876" s="25" t="s">
        <v>18520</v>
      </c>
      <c r="C4876" s="26" t="str">
        <f>HYPERLINK("https://audio.iskcondesiretree.com/02_-_ISKCON_Swamis/ISKCON_Swamis_-_R_to_Y/His_Holiness_Radhanath_Swami/Lectures/02_-_Yatra/2004_Vrindavan_yatra/24_-_Vrindavan_Yatra_2004_-_Tax_Collection_Pastimes_-_Radhanath_Swami_-_ISKCON_Chowpatty.mp3", "24_-_Vrindavan_Yatra_2004_-_Tax_Collection_Pastimes_-_Radhanath_Swami_-_ISKCON_Chowpatty.mp3")</f>
        <v>24_-_Vrindavan_Yatra_2004_-_Tax_Collection_Pastimes_-_Radhanath_Swami_-_ISKCON_Chowpatty.mp3</v>
      </c>
      <c r="D4876" s="24"/>
      <c r="E4876" s="24"/>
    </row>
    <row r="4877">
      <c r="A4877" s="25" t="s">
        <v>18509</v>
      </c>
      <c r="B4877" s="25" t="s">
        <v>18520</v>
      </c>
      <c r="C4877" s="26" t="str">
        <f>HYPERLINK("https://audio.iskcondesiretree.com/02_-_ISKCON_Swamis/ISKCON_Swamis_-_R_to_Y/His_Holiness_Radhanath_Swami/Lectures/02_-_Yatra/2004_Vrindavan_yatra/25_-_Vrindavan_Yatra_2004_-_Taking_the_Prasadam_of_Srila_Prabhupada_-_Radhanath_Swami_-_ISKCON_Chowpatty.mp3", "25_-_Vrindavan_Yatra_2004_-_Taking_the_Prasadam_of_Srila_Prabhupada_-_Radhanath_Swami_-_ISKCON_Chowpatty.mp3")</f>
        <v>25_-_Vrindavan_Yatra_2004_-_Taking_the_Prasadam_of_Srila_Prabhupada_-_Radhanath_Swami_-_ISKCON_Chowpatty.mp3</v>
      </c>
      <c r="D4877" s="24"/>
      <c r="E4877" s="24"/>
    </row>
    <row r="4878">
      <c r="A4878" s="25" t="s">
        <v>18509</v>
      </c>
      <c r="B4878" s="25" t="s">
        <v>18520</v>
      </c>
      <c r="C4878" s="26" t="str">
        <f>HYPERLINK("https://audio.iskcondesiretree.com/02_-_ISKCON_Swamis/ISKCON_Swamis_-_R_to_Y/His_Holiness_Radhanath_Swami/Lectures/02_-_Yatra/2004_Vrindavan_yatra/26_-_Vrindavan_Yatra_2004_-_Krishna-The_King_of_Vraja_-_Radhanath_Swami_-_ISKCON_Chowpatty.mp3", "26_-_Vrindavan_Yatra_2004_-_Krishna-The_King_of_Vraja_-_Radhanath_Swami_-_ISKCON_Chowpatty.mp3")</f>
        <v>26_-_Vrindavan_Yatra_2004_-_Krishna-The_King_of_Vraja_-_Radhanath_Swami_-_ISKCON_Chowpatty.mp3</v>
      </c>
      <c r="D4878" s="24"/>
      <c r="E4878" s="24"/>
    </row>
    <row r="4879">
      <c r="A4879" s="25" t="s">
        <v>18509</v>
      </c>
      <c r="B4879" s="25" t="s">
        <v>18520</v>
      </c>
      <c r="C4879" s="26" t="str">
        <f>HYPERLINK("https://audio.iskcondesiretree.com/02_-_ISKCON_Swamis/ISKCON_Swamis_-_R_to_Y/His_Holiness_Radhanath_Swami/Lectures/02_-_Yatra/2004_Vrindavan_yatra/27_-_Vrindavan_Yatra_2004_-_Melting_Lords_Melting_Hearts_-_Radhanath_Swami_-_ISKCON_Chowpatty.mp3", "27_-_Vrindavan_Yatra_2004_-_Melting_Lords_Melting_Hearts_-_Radhanath_Swami_-_ISKCON_Chowpatty.mp3")</f>
        <v>27_-_Vrindavan_Yatra_2004_-_Melting_Lords_Melting_Hearts_-_Radhanath_Swami_-_ISKCON_Chowpatty.mp3</v>
      </c>
      <c r="D4879" s="24"/>
      <c r="E4879" s="24"/>
    </row>
    <row r="4880">
      <c r="A4880" s="25" t="s">
        <v>18509</v>
      </c>
      <c r="B4880" s="25" t="s">
        <v>18520</v>
      </c>
      <c r="C4880" s="26" t="str">
        <f>HYPERLINK("https://audio.iskcondesiretree.com/02_-_ISKCON_Swamis/ISKCON_Swamis_-_R_to_Y/His_Holiness_Radhanath_Swami/Lectures/02_-_Yatra/2004_Vrindavan_yatra/28_-_Vrindavan_Yatra_2004_-_The_Power_of_Forgiveness_-_Radhanath_Swami_-_ISKCON_Chowpatty.mp3", "28_-_Vrindavan_Yatra_2004_-_The_Power_of_Forgiveness_-_Radhanath_Swami_-_ISKCON_Chowpatty.mp3")</f>
        <v>28_-_Vrindavan_Yatra_2004_-_The_Power_of_Forgiveness_-_Radhanath_Swami_-_ISKCON_Chowpatty.mp3</v>
      </c>
      <c r="D4880" s="24"/>
      <c r="E4880" s="24"/>
    </row>
    <row r="4881">
      <c r="A4881" s="25" t="s">
        <v>18509</v>
      </c>
      <c r="B4881" s="25" t="s">
        <v>18520</v>
      </c>
      <c r="C4881" s="26" t="str">
        <f>HYPERLINK("https://audio.iskcondesiretree.com/02_-_ISKCON_Swamis/ISKCON_Swamis_-_R_to_Y/His_Holiness_Radhanath_Swami/Lectures/02_-_Yatra/2004_Vrindavan_yatra/29_-_Vrindavan_Yatra_2004_-_The_Lifting_of_Govardhana_Hill_-_Radhanath_Swami_-_ISKCON_Chowpatty.mp3", "29_-_Vrindavan_Yatra_2004_-_The_Lifting_of_Govardhana_Hill_-_Radhanath_Swami_-_ISKCON_Chowpatty.mp3")</f>
        <v>29_-_Vrindavan_Yatra_2004_-_The_Lifting_of_Govardhana_Hill_-_Radhanath_Swami_-_ISKCON_Chowpatty.mp3</v>
      </c>
      <c r="D4881" s="24"/>
      <c r="E4881" s="24"/>
    </row>
    <row r="4882">
      <c r="A4882" s="25" t="s">
        <v>18509</v>
      </c>
      <c r="B4882" s="25" t="s">
        <v>18520</v>
      </c>
      <c r="C4882" s="26" t="str">
        <f>HYPERLINK("https://audio.iskcondesiretree.com/02_-_ISKCON_Swamis/ISKCON_Swamis_-_R_to_Y/His_Holiness_Radhanath_Swami/Lectures/02_-_Yatra/2004_Vrindavan_yatra/30_-_Vrindavan_Yatra_2004_-_Serving_the_Mission_of_Srila_Prabhupada_-_Radhanath_Swami_-_ISKCON_Chowpatty.mp3", "30_-_Vrindavan_Yatra_2004_-_Serving_the_Mission_of_Srila_Prabhupada_-_Radhanath_Swami_-_ISKCON_Chowpatty.mp3")</f>
        <v>30_-_Vrindavan_Yatra_2004_-_Serving_the_Mission_of_Srila_Prabhupada_-_Radhanath_Swami_-_ISKCON_Chowpatty.mp3</v>
      </c>
      <c r="D4882" s="24"/>
      <c r="E4882" s="24"/>
    </row>
    <row r="4883">
      <c r="A4883" s="25" t="s">
        <v>18509</v>
      </c>
      <c r="B4883" s="25" t="s">
        <v>18520</v>
      </c>
      <c r="C4883" s="26" t="str">
        <f>HYPERLINK("https://audio.iskcondesiretree.com/02_-_ISKCON_Swamis/ISKCON_Swamis_-_R_to_Y/His_Holiness_Radhanath_Swami/Lectures/02_-_Yatra/2004_Vrindavan_yatra/31_-_Vrindavan_Yatra_2004_-_The_Mood_of_Uddhava_in_Vrindavan_-_Radhanath_Swami_-_ISKCON_Chowpatty.mp3", "31_-_Vrindavan_Yatra_2004_-_The_Mood_of_Uddhava_in_Vrindavan_-_Radhanath_Swami_-_ISKCON_Chowpatty.mp3")</f>
        <v>31_-_Vrindavan_Yatra_2004_-_The_Mood_of_Uddhava_in_Vrindavan_-_Radhanath_Swami_-_ISKCON_Chowpatty.mp3</v>
      </c>
      <c r="D4883" s="24"/>
      <c r="E4883" s="24"/>
    </row>
    <row r="4884">
      <c r="A4884" s="25" t="s">
        <v>18509</v>
      </c>
      <c r="B4884" s="25" t="s">
        <v>18520</v>
      </c>
      <c r="C4884" s="26" t="str">
        <f>HYPERLINK("https://audio.iskcondesiretree.com/02_-_ISKCON_Swamis/ISKCON_Swamis_-_R_to_Y/His_Holiness_Radhanath_Swami/Lectures/02_-_Yatra/2004_Vrindavan_yatra/32_-_Vrindavan_Yatra_2004_-_Sri_Mukta_Carita-The_Pearl_Pastime_-_Radhanath_Swami_-_ISKCON_Chowpatty.mp3", "32_-_Vrindavan_Yatra_2004_-_Sri_Mukta_Carita-The_Pearl_Pastime_-_Radhanath_Swami_-_ISKCON_Chowpatty.mp3")</f>
        <v>32_-_Vrindavan_Yatra_2004_-_Sri_Mukta_Carita-The_Pearl_Pastime_-_Radhanath_Swami_-_ISKCON_Chowpatty.mp3</v>
      </c>
      <c r="D4884" s="24"/>
      <c r="E4884" s="24"/>
    </row>
    <row r="4885">
      <c r="A4885" s="25" t="s">
        <v>18509</v>
      </c>
      <c r="B4885" s="25" t="s">
        <v>18520</v>
      </c>
      <c r="C4885" s="26" t="str">
        <f>HYPERLINK("https://audio.iskcondesiretree.com/02_-_ISKCON_Swamis/ISKCON_Swamis_-_R_to_Y/His_Holiness_Radhanath_Swami/Lectures/02_-_Yatra/2004_Vrindavan_yatra/33_-_Vrindavan_Yatra_2004_-_The_Identity_of_a_Devotee_-_Radhanath_Swami_-_ISKCON_Chowpatty.mp3", "33_-_Vrindavan_Yatra_2004_-_The_Identity_of_a_Devotee_-_Radhanath_Swami_-_ISKCON_Chowpatty.mp3")</f>
        <v>33_-_Vrindavan_Yatra_2004_-_The_Identity_of_a_Devotee_-_Radhanath_Swami_-_ISKCON_Chowpatty.mp3</v>
      </c>
      <c r="D4885" s="24"/>
      <c r="E4885" s="24"/>
    </row>
    <row r="4886">
      <c r="A4886" s="25" t="s">
        <v>18509</v>
      </c>
      <c r="B4886" s="25" t="s">
        <v>18520</v>
      </c>
      <c r="C4886" s="26" t="str">
        <f>HYPERLINK("https://audio.iskcondesiretree.com/02_-_ISKCON_Swamis/ISKCON_Swamis_-_R_to_Y/His_Holiness_Radhanath_Swami/Lectures/02_-_Yatra/2004_Vrindavan_yatra/34_-_Vrindavan_Yatra_2004_-_Parikrama_Completion_Prayers_-_Radhanath_Swami_-_ISKCON_Chowpatty.mp3", "34_-_Vrindavan_Yatra_2004_-_Parikrama_Completion_Prayers_-_Radhanath_Swami_-_ISKCON_Chowpatty.mp3")</f>
        <v>34_-_Vrindavan_Yatra_2004_-_Parikrama_Completion_Prayers_-_Radhanath_Swami_-_ISKCON_Chowpatty.mp3</v>
      </c>
      <c r="D4886" s="24"/>
      <c r="E4886" s="24"/>
    </row>
    <row r="4887">
      <c r="A4887" s="25" t="s">
        <v>18509</v>
      </c>
      <c r="B4887" s="25" t="s">
        <v>18520</v>
      </c>
      <c r="C4887" s="26" t="str">
        <f>HYPERLINK("https://audio.iskcondesiretree.com/02_-_ISKCON_Swamis/ISKCON_Swamis_-_R_to_Y/His_Holiness_Radhanath_Swami/Lectures/02_-_Yatra/2004_Vrindavan_yatra/35_-_Vrindavan_Yatra_2004_-_Gay_Goracand_Jiver_Tore_-_Radhanath_Swami_-_ISKCON_Chowpatty.mp3", "35_-_Vrindavan_Yatra_2004_-_Gay_Goracand_Jiver_Tore_-_Radhanath_Swami_-_ISKCON_Chowpatty.mp3")</f>
        <v>35_-_Vrindavan_Yatra_2004_-_Gay_Goracand_Jiver_Tore_-_Radhanath_Swami_-_ISKCON_Chowpatty.mp3</v>
      </c>
      <c r="D4887" s="24"/>
      <c r="E4887" s="24"/>
    </row>
    <row r="4888">
      <c r="A4888" s="25" t="s">
        <v>18509</v>
      </c>
      <c r="B4888" s="25" t="s">
        <v>18520</v>
      </c>
      <c r="C4888" s="26" t="str">
        <f>HYPERLINK("https://audio.iskcondesiretree.com/02_-_ISKCON_Swamis/ISKCON_Swamis_-_R_to_Y/His_Holiness_Radhanath_Swami/Lectures/02_-_Yatra/2004_Vrindavan_yatra/36_-_Vrindavan_Yatra_2004_-_Rupa_Goswami%27s_Beautiful_Bhajan_Kutir_-_Radhanath_Swami_-_ISKCON_Chowpatty.mp3", "36_-_Vrindavan_Yatra_2004_-_Rupa_Goswami%27s_Beautiful_Bhajan_Kutir_-_Radhanath_Swami_-_ISKCON_Chowpatty.mp3")</f>
        <v>36_-_Vrindavan_Yatra_2004_-_Rupa_Goswami%27s_Beautiful_Bhajan_Kutir_-_Radhanath_Swami_-_ISKCON_Chowpatty.mp3</v>
      </c>
      <c r="D4888" s="24"/>
      <c r="E4888" s="24"/>
    </row>
    <row r="4889">
      <c r="A4889" s="25" t="s">
        <v>18509</v>
      </c>
      <c r="B4889" s="25" t="s">
        <v>18520</v>
      </c>
      <c r="C4889" s="26" t="str">
        <f>HYPERLINK("https://audio.iskcondesiretree.com/02_-_ISKCON_Swamis/ISKCON_Swamis_-_R_to_Y/His_Holiness_Radhanath_Swami/Lectures/02_-_Yatra/2004_Vrindavan_yatra/37_-_Vrindavan_Yatra_2004_-_Brahma-Vimohana_Lila_-_Radhanath_Swami_-_ISKCON_Chowpatty.mp3", "37_-_Vrindavan_Yatra_2004_-_Brahma-Vimohana_Lila_-_Radhanath_Swami_-_ISKCON_Chowpatty.mp3")</f>
        <v>37_-_Vrindavan_Yatra_2004_-_Brahma-Vimohana_Lila_-_Radhanath_Swami_-_ISKCON_Chowpatty.mp3</v>
      </c>
      <c r="D4889" s="24"/>
      <c r="E4889" s="24"/>
    </row>
    <row r="4890">
      <c r="A4890" s="25" t="s">
        <v>18509</v>
      </c>
      <c r="B4890" s="25" t="s">
        <v>18520</v>
      </c>
      <c r="C4890" s="26" t="str">
        <f>HYPERLINK("https://audio.iskcondesiretree.com/02_-_ISKCON_Swamis/ISKCON_Swamis_-_R_to_Y/His_Holiness_Radhanath_Swami/Lectures/02_-_Yatra/2004_Vrindavan_yatra/38_-_Vrindavan_Yatra_2004_-_The_Wonderful_Lilas_at_Ter_Kadamba_-_Radhanath_Swami_-_ISKCON_Chowpatty.mp3", "38_-_Vrindavan_Yatra_2004_-_The_Wonderful_Lilas_at_Ter_Kadamba_-_Radhanath_Swami_-_ISKCON_Chowpatty.mp3")</f>
        <v>38_-_Vrindavan_Yatra_2004_-_The_Wonderful_Lilas_at_Ter_Kadamba_-_Radhanath_Swami_-_ISKCON_Chowpatty.mp3</v>
      </c>
      <c r="D4890" s="24"/>
      <c r="E4890" s="24"/>
    </row>
    <row r="4891">
      <c r="A4891" s="25" t="s">
        <v>18509</v>
      </c>
      <c r="B4891" s="25" t="s">
        <v>18520</v>
      </c>
      <c r="C4891" s="26" t="str">
        <f>HYPERLINK("https://audio.iskcondesiretree.com/02_-_ISKCON_Swamis/ISKCON_Swamis_-_R_to_Y/His_Holiness_Radhanath_Swami/Lectures/02_-_Yatra/2004_Vrindavan_yatra/39_-_Vrindavan_Yatra_2004_-_Giving_Krishna_Tilll_the_Last_Breath_-_Radhanath_Swami_-_ISKCON_Chowpatty.mp3", "39_-_Vrindavan_Yatra_2004_-_Giving_Krishna_Tilll_the_Last_Breath_-_Radhanath_Swami_-_ISKCON_Chowpatty.mp3")</f>
        <v>39_-_Vrindavan_Yatra_2004_-_Giving_Krishna_Tilll_the_Last_Breath_-_Radhanath_Swami_-_ISKCON_Chowpatty.mp3</v>
      </c>
      <c r="D4891" s="24"/>
      <c r="E4891" s="24"/>
    </row>
    <row r="4892">
      <c r="A4892" s="25" t="s">
        <v>18509</v>
      </c>
      <c r="B4892" s="25" t="s">
        <v>18520</v>
      </c>
      <c r="C4892" s="26" t="str">
        <f>HYPERLINK("https://audio.iskcondesiretree.com/02_-_ISKCON_Swamis/ISKCON_Swamis_-_R_to_Y/His_Holiness_Radhanath_Swami/Lectures/02_-_Yatra/2004_Vrindavan_yatra/40_-_Vrindavan_Yatra_2004_-_The_Braja_Lila_Planning_Commission_-_Radhanath_Swami_-_ISKCON_Chowpatty.mp3", "40_-_Vrindavan_Yatra_2004_-_The_Braja_Lila_Planning_Commission_-_Radhanath_Swami_-_ISKCON_Chowpatty.mp3")</f>
        <v>40_-_Vrindavan_Yatra_2004_-_The_Braja_Lila_Planning_Commission_-_Radhanath_Swami_-_ISKCON_Chowpatty.mp3</v>
      </c>
      <c r="D4892" s="24"/>
      <c r="E4892" s="24"/>
    </row>
    <row r="4893">
      <c r="A4893" s="25" t="s">
        <v>18509</v>
      </c>
      <c r="B4893" s="25" t="s">
        <v>18520</v>
      </c>
      <c r="C4893" s="26" t="str">
        <f>HYPERLINK("https://audio.iskcondesiretree.com/02_-_ISKCON_Swamis/ISKCON_Swamis_-_R_to_Y/His_Holiness_Radhanath_Swami/Lectures/02_-_Yatra/2004_Vrindavan_yatra/42_-_Vrindavan_Yatra_2004_-_The_Sacred_Lake_of_Nandagaon_-_Radhanath_Swami_-_ISKCON_Chowpatty.mp3", "42_-_Vrindavan_Yatra_2004_-_The_Sacred_Lake_of_Nandagaon_-_Radhanath_Swami_-_ISKCON_Chowpatty.mp3")</f>
        <v>42_-_Vrindavan_Yatra_2004_-_The_Sacred_Lake_of_Nandagaon_-_Radhanath_Swami_-_ISKCON_Chowpatty.mp3</v>
      </c>
      <c r="D4893" s="24"/>
      <c r="E4893" s="24"/>
    </row>
    <row r="4894">
      <c r="A4894" s="25" t="s">
        <v>18509</v>
      </c>
      <c r="B4894" s="25" t="s">
        <v>18520</v>
      </c>
      <c r="C4894" s="26" t="str">
        <f>HYPERLINK("https://audio.iskcondesiretree.com/02_-_ISKCON_Swamis/ISKCON_Swamis_-_R_to_Y/His_Holiness_Radhanath_Swami/Lectures/02_-_Yatra/2004_Vrindavan_yatra/43_-_Vrindavan_Yatra_2004_-_The_Mood_of_Entering_Vrindavan_-_Radhanath_Swami_-_ISKCON_Chowpatty.mp3", "43_-_Vrindavan_Yatra_2004_-_The_Mood_of_Entering_Vrindavan_-_Radhanath_Swami_-_ISKCON_Chowpatty.mp3")</f>
        <v>43_-_Vrindavan_Yatra_2004_-_The_Mood_of_Entering_Vrindavan_-_Radhanath_Swami_-_ISKCON_Chowpatty.mp3</v>
      </c>
      <c r="D4894" s="24"/>
      <c r="E4894" s="24"/>
    </row>
    <row r="4895">
      <c r="A4895" s="25" t="s">
        <v>18509</v>
      </c>
      <c r="B4895" s="25" t="s">
        <v>18520</v>
      </c>
      <c r="C4895" s="26" t="str">
        <f>HYPERLINK("https://audio.iskcondesiretree.com/02_-_ISKCON_Swamis/ISKCON_Swamis_-_R_to_Y/His_Holiness_Radhanath_Swami/Lectures/02_-_Yatra/2004_Vrindavan_yatra/44_-_Vrindavan_Yatra_2004_-_Vande_Krishna_Nanda_Kumara_-_Radhanath_Swami_-_ISKCON_Chowpatty.mp3", "44_-_Vrindavan_Yatra_2004_-_Vande_Krishna_Nanda_Kumara_-_Radhanath_Swami_-_ISKCON_Chowpatty.mp3")</f>
        <v>44_-_Vrindavan_Yatra_2004_-_Vande_Krishna_Nanda_Kumara_-_Radhanath_Swami_-_ISKCON_Chowpatty.mp3</v>
      </c>
      <c r="D4895" s="24"/>
      <c r="E4895" s="24"/>
    </row>
    <row r="4896">
      <c r="A4896" s="25" t="s">
        <v>18509</v>
      </c>
      <c r="B4896" s="25" t="s">
        <v>18520</v>
      </c>
      <c r="C4896" s="26" t="str">
        <f>HYPERLINK("https://audio.iskcondesiretree.com/02_-_ISKCON_Swamis/ISKCON_Swamis_-_R_to_Y/His_Holiness_Radhanath_Swami/Lectures/02_-_Yatra/2004_Vrindavan_yatra/45_-_Vrindavan_Yatra_2004_-_Ami_Yamuna_Puline_-_Radhanath_Swami_-_ISKCON_Chowpatty.mp3", "45_-_Vrindavan_Yatra_2004_-_Ami_Yamuna_Puline_-_Radhanath_Swami_-_ISKCON_Chowpatty.mp3")</f>
        <v>45_-_Vrindavan_Yatra_2004_-_Ami_Yamuna_Puline_-_Radhanath_Swami_-_ISKCON_Chowpatty.mp3</v>
      </c>
      <c r="D4896" s="24"/>
      <c r="E4896" s="24"/>
    </row>
    <row r="4897">
      <c r="A4897" s="25" t="s">
        <v>18509</v>
      </c>
      <c r="B4897" s="25" t="s">
        <v>18520</v>
      </c>
      <c r="C4897" s="26" t="str">
        <f>HYPERLINK("https://audio.iskcondesiretree.com/02_-_ISKCON_Swamis/ISKCON_Swamis_-_R_to_Y/His_Holiness_Radhanath_Swami/Lectures/02_-_Yatra/2004_Vrindavan_yatra/46_-_Vrindavan_Yatra_2004_-_Kirtan_at_Nandagaon_-_Radhanath_Swami_-_ISKCON_Chowpatty.mp3", "46_-_Vrindavan_Yatra_2004_-_Kirtan_at_Nandagaon_-_Radhanath_Swami_-_ISKCON_Chowpatty.mp3")</f>
        <v>46_-_Vrindavan_Yatra_2004_-_Kirtan_at_Nandagaon_-_Radhanath_Swami_-_ISKCON_Chowpatty.mp3</v>
      </c>
      <c r="D4897" s="24"/>
      <c r="E4897" s="24"/>
    </row>
    <row r="4898">
      <c r="A4898" s="25" t="s">
        <v>18509</v>
      </c>
      <c r="B4898" s="25" t="s">
        <v>18520</v>
      </c>
      <c r="C4898" s="26" t="str">
        <f>HYPERLINK("https://audio.iskcondesiretree.com/02_-_ISKCON_Swamis/ISKCON_Swamis_-_R_to_Y/His_Holiness_Radhanath_Swami/Lectures/02_-_Yatra/2004_Vrindavan_yatra/47_-_Vrindavan_Yatra_2004_-_Kirtan_at_Radha_Kunda_-_Radhanath_Swami_-_ISKCON_Chowpatty.mp3", "47_-_Vrindavan_Yatra_2004_-_Kirtan_at_Radha_Kunda_-_Radhanath_Swami_-_ISKCON_Chowpatty.mp3")</f>
        <v>47_-_Vrindavan_Yatra_2004_-_Kirtan_at_Radha_Kunda_-_Radhanath_Swami_-_ISKCON_Chowpatty.mp3</v>
      </c>
      <c r="D4898" s="24"/>
      <c r="E4898" s="24"/>
    </row>
    <row r="4899">
      <c r="A4899" s="25" t="s">
        <v>18509</v>
      </c>
      <c r="B4899" s="25" t="s">
        <v>18520</v>
      </c>
      <c r="C4899" s="26" t="str">
        <f>HYPERLINK("https://audio.iskcondesiretree.com/02_-_ISKCON_Swamis/ISKCON_Swamis_-_R_to_Y/His_Holiness_Radhanath_Swami/Lectures/02_-_Yatra/2004_Vrindavan_yatra/48_-_Vrindavan_Yatra_2004_-_The_Marriage_of_Radha_and_Krishna_-_Radhanath_Swami_-_ISKCON_Chowpatty.mp3", "48_-_Vrindavan_Yatra_2004_-_The_Marriage_of_Radha_and_Krishna_-_Radhanath_Swami_-_ISKCON_Chowpatty.mp3")</f>
        <v>48_-_Vrindavan_Yatra_2004_-_The_Marriage_of_Radha_and_Krishna_-_Radhanath_Swami_-_ISKCON_Chowpatty.mp3</v>
      </c>
      <c r="D4899" s="24"/>
      <c r="E4899" s="24"/>
    </row>
    <row r="4900">
      <c r="A4900" s="25" t="s">
        <v>18509</v>
      </c>
      <c r="B4900" s="25" t="s">
        <v>18520</v>
      </c>
      <c r="C4900" s="26" t="str">
        <f>HYPERLINK("https://audio.iskcondesiretree.com/02_-_ISKCON_Swamis/ISKCON_Swamis_-_R_to_Y/His_Holiness_Radhanath_Swami/Lectures/02_-_Yatra/2004_Vrindavan_yatra/49_-_Vrindavan_Yatra_2004_-_The_Glories_of_Radha_Kunda_-_Radhanath_Swami_-_ISKCON_Chowpatty.mp3", "49_-_Vrindavan_Yatra_2004_-_The_Glories_of_Radha_Kunda_-_Radhanath_Swami_-_ISKCON_Chowpatty.mp3")</f>
        <v>49_-_Vrindavan_Yatra_2004_-_The_Glories_of_Radha_Kunda_-_Radhanath_Swami_-_ISKCON_Chowpatty.mp3</v>
      </c>
      <c r="D4900" s="24"/>
      <c r="E4900" s="24"/>
    </row>
    <row r="4901">
      <c r="A4901" s="25" t="s">
        <v>18509</v>
      </c>
      <c r="B4901" s="25" t="s">
        <v>18520</v>
      </c>
      <c r="C4901" s="26" t="str">
        <f>HYPERLINK("https://audio.iskcondesiretree.com/02_-_ISKCON_Swamis/ISKCON_Swamis_-_R_to_Y/His_Holiness_Radhanath_Swami/Lectures/02_-_Yatra/2004_Vrindavan_yatra/50_-_Vrindavan_Yatra_2004_-_The_Killing_of_Pralambasura_-_Radhanath_Swami_-_ISKCON_Chowpatty.mp3", "50_-_Vrindavan_Yatra_2004_-_The_Killing_of_Pralambasura_-_Radhanath_Swami_-_ISKCON_Chowpatty.mp3")</f>
        <v>50_-_Vrindavan_Yatra_2004_-_The_Killing_of_Pralambasura_-_Radhanath_Swami_-_ISKCON_Chowpatty.mp3</v>
      </c>
      <c r="D4901" s="24"/>
      <c r="E4901" s="24"/>
    </row>
    <row r="4902">
      <c r="A4902" s="25" t="s">
        <v>18509</v>
      </c>
      <c r="B4902" s="25" t="s">
        <v>18520</v>
      </c>
      <c r="C4902" s="26" t="str">
        <f>HYPERLINK("https://audio.iskcondesiretree.com/02_-_ISKCON_Swamis/ISKCON_Swamis_-_R_to_Y/His_Holiness_Radhanath_Swami/Lectures/02_-_Yatra/2004_Vrindavan_yatra/51_-_Vrindavan_Yatra_2004_-_Repairing_the_Weak_Heart_-_Radhanath_Swami_-_ISKCON_Chowpatty.mp3", "51_-_Vrindavan_Yatra_2004_-_Repairing_the_Weak_Heart_-_Radhanath_Swami_-_ISKCON_Chowpatty.mp3")</f>
        <v>51_-_Vrindavan_Yatra_2004_-_Repairing_the_Weak_Heart_-_Radhanath_Swami_-_ISKCON_Chowpatty.mp3</v>
      </c>
      <c r="D4902" s="24"/>
      <c r="E4902" s="24"/>
    </row>
    <row r="4903">
      <c r="A4903" s="25" t="s">
        <v>18509</v>
      </c>
      <c r="B4903" s="25" t="s">
        <v>18520</v>
      </c>
      <c r="C4903" s="26" t="str">
        <f>HYPERLINK("https://audio.iskcondesiretree.com/02_-_ISKCON_Swamis/ISKCON_Swamis_-_R_to_Y/His_Holiness_Radhanath_Swami/Lectures/02_-_Yatra/2004_Vrindavan_yatra/52_-_Vrindavan_Yatra_2004_-_Trancendental_Youth_Tie_the_Knot_-_Radhanath_Swami_-_ISKCON_Chowpatty.mp3", "52_-_Vrindavan_Yatra_2004_-_Trancendental_Youth_Tie_the_Knot_-_Radhanath_Swami_-_ISKCON_Chowpatty.mp3")</f>
        <v>52_-_Vrindavan_Yatra_2004_-_Trancendental_Youth_Tie_the_Knot_-_Radhanath_Swami_-_ISKCON_Chowpatty.mp3</v>
      </c>
      <c r="D4903" s="24"/>
      <c r="E4903" s="24"/>
    </row>
    <row r="4904">
      <c r="A4904" s="25" t="s">
        <v>18509</v>
      </c>
      <c r="B4904" s="25" t="s">
        <v>18520</v>
      </c>
      <c r="C4904" s="26" t="str">
        <f>HYPERLINK("https://audio.iskcondesiretree.com/02_-_ISKCON_Swamis/ISKCON_Swamis_-_R_to_Y/His_Holiness_Radhanath_Swami/Lectures/02_-_Yatra/2004_Vrindavan_yatra/53_-_Vrindavan_Yatra_2004_-_Bathing_with_Strong_Faith_-_Radhanath_Swami_-_ISKCON_Chowpatty.mp3", "53_-_Vrindavan_Yatra_2004_-_Bathing_with_Strong_Faith_-_Radhanath_Swami_-_ISKCON_Chowpatty.mp3")</f>
        <v>53_-_Vrindavan_Yatra_2004_-_Bathing_with_Strong_Faith_-_Radhanath_Swami_-_ISKCON_Chowpatty.mp3</v>
      </c>
      <c r="D4904" s="24"/>
      <c r="E4904" s="24"/>
    </row>
    <row r="4905">
      <c r="A4905" s="25" t="s">
        <v>18509</v>
      </c>
      <c r="B4905" s="25" t="s">
        <v>18520</v>
      </c>
      <c r="C4905" s="26" t="str">
        <f>HYPERLINK("https://audio.iskcondesiretree.com/02_-_ISKCON_Swamis/ISKCON_Swamis_-_R_to_Y/His_Holiness_Radhanath_Swami/Lectures/02_-_Yatra/2004_Vrindavan_yatra/54_-_Vrindavan_Yatra_2004_-_Dancing_in_Small_Circles_Kirtan_-_Radhanath_Swami_-_ISKCON_Chowpatty.mp3", "54_-_Vrindavan_Yatra_2004_-_Dancing_in_Small_Circles_Kirtan_-_Radhanath_Swami_-_ISKCON_Chowpatty.mp3")</f>
        <v>54_-_Vrindavan_Yatra_2004_-_Dancing_in_Small_Circles_Kirtan_-_Radhanath_Swami_-_ISKCON_Chowpatty.mp3</v>
      </c>
      <c r="D4905" s="24"/>
      <c r="E4905" s="24"/>
    </row>
    <row r="4906">
      <c r="A4906" s="25" t="s">
        <v>18509</v>
      </c>
      <c r="B4906" s="25" t="s">
        <v>18520</v>
      </c>
      <c r="C4906" s="26" t="str">
        <f>HYPERLINK("https://audio.iskcondesiretree.com/02_-_ISKCON_Swamis/ISKCON_Swamis_-_R_to_Y/His_Holiness_Radhanath_Swami/Lectures/02_-_Yatra/2004_Vrindavan_yatra/55_-_Vrindavan_Yatra_2004_-_Lokanath_Goswami%27s_Simple_Nature_-_Radhanath_Swami_-_ISKCON_Chowpatty.mp3", "55_-_Vrindavan_Yatra_2004_-_Lokanath_Goswami%27s_Simple_Nature_-_Radhanath_Swami_-_ISKCON_Chowpatty.mp3")</f>
        <v>55_-_Vrindavan_Yatra_2004_-_Lokanath_Goswami%27s_Simple_Nature_-_Radhanath_Swami_-_ISKCON_Chowpatty.mp3</v>
      </c>
      <c r="D4906" s="24"/>
      <c r="E4906" s="24"/>
    </row>
    <row r="4907">
      <c r="A4907" s="25" t="s">
        <v>18509</v>
      </c>
      <c r="B4907" s="25" t="s">
        <v>18520</v>
      </c>
      <c r="C4907" s="26" t="str">
        <f>HYPERLINK("https://audio.iskcondesiretree.com/02_-_ISKCON_Swamis/ISKCON_Swamis_-_R_to_Y/His_Holiness_Radhanath_Swami/Lectures/02_-_Yatra/2004_Vrindavan_yatra/56_-_Vrindavan_Yatra_2004_-_The_Glories_of_Devamrta_Prabhu_-_Radhanath_Swami_-_ISKCON_Chowpatty.mp3", "56_-_Vrindavan_Yatra_2004_-_The_Glories_of_Devamrta_Prabhu_-_Radhanath_Swami_-_ISKCON_Chowpatty.mp3")</f>
        <v>56_-_Vrindavan_Yatra_2004_-_The_Glories_of_Devamrta_Prabhu_-_Radhanath_Swami_-_ISKCON_Chowpatty.mp3</v>
      </c>
      <c r="D4907" s="24"/>
      <c r="E4907" s="24"/>
    </row>
    <row r="4908">
      <c r="A4908" s="25" t="s">
        <v>18509</v>
      </c>
      <c r="B4908" s="25" t="s">
        <v>18520</v>
      </c>
      <c r="C4908" s="26" t="str">
        <f>HYPERLINK("https://audio.iskcondesiretree.com/02_-_ISKCON_Swamis/ISKCON_Swamis_-_R_to_Y/His_Holiness_Radhanath_Swami/Lectures/02_-_Yatra/2004_Vrindavan_yatra/57_-_Vrindavan_Yatra_2004_-_The_Deceptive_Mentality_of_Bakasura_-_Radhanath_Swami_-_ISKCON_Chowpatty.mp3", "57_-_Vrindavan_Yatra_2004_-_The_Deceptive_Mentality_of_Bakasura_-_Radhanath_Swami_-_ISKCON_Chowpatty.mp3")</f>
        <v>57_-_Vrindavan_Yatra_2004_-_The_Deceptive_Mentality_of_Bakasura_-_Radhanath_Swami_-_ISKCON_Chowpatty.mp3</v>
      </c>
      <c r="D4908" s="24"/>
      <c r="E4908" s="24"/>
    </row>
    <row r="4909">
      <c r="A4909" s="25" t="s">
        <v>18509</v>
      </c>
      <c r="B4909" s="25" t="s">
        <v>18520</v>
      </c>
      <c r="C4909" s="26" t="str">
        <f>HYPERLINK("https://audio.iskcondesiretree.com/02_-_ISKCON_Swamis/ISKCON_Swamis_-_R_to_Y/His_Holiness_Radhanath_Swami/Lectures/02_-_Yatra/2004_Vrindavan_yatra/58_-_Vrindavan_Yatra_2004_-_Your_day_in_Vrindavan_-_Radhanath_Swami_-_ISKCON_Chowpatty.mp3", "58_-_Vrindavan_Yatra_2004_-_Your_day_in_Vrindavan_-_Radhanath_Swami_-_ISKCON_Chowpatty.mp3")</f>
        <v>58_-_Vrindavan_Yatra_2004_-_Your_day_in_Vrindavan_-_Radhanath_Swami_-_ISKCON_Chowpatty.mp3</v>
      </c>
      <c r="D4909" s="24"/>
      <c r="E4909" s="24"/>
    </row>
    <row r="4910">
      <c r="A4910" s="25" t="s">
        <v>18509</v>
      </c>
      <c r="B4910" s="25" t="s">
        <v>18520</v>
      </c>
      <c r="C4910" s="26" t="str">
        <f>HYPERLINK("https://audio.iskcondesiretree.com/02_-_ISKCON_Swamis/ISKCON_Swamis_-_R_to_Y/His_Holiness_Radhanath_Swami/Lectures/02_-_Yatra/2004_Vrindavan_yatra/59_-_Vrindavan_Yatra_2004_-_Lalita_Sakhi%27s_Schemes_-_Radhanath_Swami_-_ISKCON_Chowpatty.mp3", "59_-_Vrindavan_Yatra_2004_-_Lalita_Sakhi%27s_Schemes_-_Radhanath_Swami_-_ISKCON_Chowpatty.mp3")</f>
        <v>59_-_Vrindavan_Yatra_2004_-_Lalita_Sakhi%27s_Schemes_-_Radhanath_Swami_-_ISKCON_Chowpatty.mp3</v>
      </c>
      <c r="D4910" s="24"/>
      <c r="E4910" s="24"/>
    </row>
    <row r="4911">
      <c r="A4911" s="25" t="s">
        <v>18509</v>
      </c>
      <c r="B4911" s="25" t="s">
        <v>18520</v>
      </c>
      <c r="C4911" s="26" t="str">
        <f>HYPERLINK("https://audio.iskcondesiretree.com/02_-_ISKCON_Swamis/ISKCON_Swamis_-_R_to_Y/His_Holiness_Radhanath_Swami/Lectures/02_-_Yatra/2004_Vrindavan_yatra/60_-_Vrindavan_Yatra_2004_-_The_Mood_of_a_Selfless_Servant_-_Radhanath_Swami_-_ISKCON_Chowpatty.mp3", "60_-_Vrindavan_Yatra_2004_-_The_Mood_of_a_Selfless_Servant_-_Radhanath_Swami_-_ISKCON_Chowpatty.mp3")</f>
        <v>60_-_Vrindavan_Yatra_2004_-_The_Mood_of_a_Selfless_Servant_-_Radhanath_Swami_-_ISKCON_Chowpatty.mp3</v>
      </c>
      <c r="D4911" s="24"/>
      <c r="E4911" s="24"/>
    </row>
    <row r="4912">
      <c r="A4912" s="25" t="s">
        <v>18509</v>
      </c>
      <c r="B4912" s="25" t="s">
        <v>18520</v>
      </c>
      <c r="C4912" s="26" t="str">
        <f>HYPERLINK("https://audio.iskcondesiretree.com/02_-_ISKCON_Swamis/ISKCON_Swamis_-_R_to_Y/His_Holiness_Radhanath_Swami/Lectures/02_-_Yatra/2004_Vrindavan_yatra/61_-_Vrindavan_Yatra_2004_-_Kirtan_at_Radha_Gopijanavallabha_Mandir_-_Radhanath_Swami_-_ISKCON_Chowpatty.mp3", "61_-_Vrindavan_Yatra_2004_-_Kirtan_at_Radha_Gopijanavallabha_Mandir_-_Radhanath_Swami_-_ISKCON_Chowpatty.mp3")</f>
        <v>61_-_Vrindavan_Yatra_2004_-_Kirtan_at_Radha_Gopijanavallabha_Mandir_-_Radhanath_Swami_-_ISKCON_Chowpatty.mp3</v>
      </c>
      <c r="D4912" s="24"/>
      <c r="E4912" s="24"/>
    </row>
    <row r="4913">
      <c r="A4913" s="25" t="s">
        <v>18509</v>
      </c>
      <c r="B4913" s="25" t="s">
        <v>18520</v>
      </c>
      <c r="C4913" s="26" t="str">
        <f>HYPERLINK("https://audio.iskcondesiretree.com/02_-_ISKCON_Swamis/ISKCON_Swamis_-_R_to_Y/His_Holiness_Radhanath_Swami/Lectures/02_-_Yatra/2004_Vrindavan_yatra/62_-_Vrindavan_Yatra_2004_-_Qualifications_to_Enter_the_Holy_Dhama_-_Radhanath_Swami_-_ISKCON_Chowpatty.mp3", "62_-_Vrindavan_Yatra_2004_-_Qualifications_to_Enter_the_Holy_Dhama_-_Radhanath_Swami_-_ISKCON_Chowpatty.mp3")</f>
        <v>62_-_Vrindavan_Yatra_2004_-_Qualifications_to_Enter_the_Holy_Dhama_-_Radhanath_Swami_-_ISKCON_Chowpatty.mp3</v>
      </c>
      <c r="D4913" s="24"/>
      <c r="E4913" s="24"/>
    </row>
    <row r="4914">
      <c r="A4914" s="25" t="s">
        <v>18509</v>
      </c>
      <c r="B4914" s="25" t="s">
        <v>18520</v>
      </c>
      <c r="C4914" s="26" t="str">
        <f>HYPERLINK("https://audio.iskcondesiretree.com/02_-_ISKCON_Swamis/ISKCON_Swamis_-_R_to_Y/His_Holiness_Radhanath_Swami/Lectures/02_-_Yatra/2004_Vrindavan_yatra/64_-_Vrindavan_Yatra_2004_-_The_Lilas_of_Lalita_Sakhi_-_Radhanath_Swami_-_ISKCON_Chowpatty.mp3", "64_-_Vrindavan_Yatra_2004_-_The_Lilas_of_Lalita_Sakhi_-_Radhanath_Swami_-_ISKCON_Chowpatty.mp3")</f>
        <v>64_-_Vrindavan_Yatra_2004_-_The_Lilas_of_Lalita_Sakhi_-_Radhanath_Swami_-_ISKCON_Chowpatty.mp3</v>
      </c>
      <c r="D4914" s="24"/>
      <c r="E4914" s="24"/>
    </row>
    <row r="4915">
      <c r="A4915" s="25" t="s">
        <v>18509</v>
      </c>
      <c r="B4915" s="25" t="s">
        <v>18520</v>
      </c>
      <c r="C4915" s="26" t="str">
        <f>HYPERLINK("https://audio.iskcondesiretree.com/02_-_ISKCON_Swamis/ISKCON_Swamis_-_R_to_Y/His_Holiness_Radhanath_Swami/Lectures/02_-_Yatra/2004_Vrindavan_yatra/67_-_Vrindavan_Yatra_2004_-_Compassion_of_Srimati_Radharani_-_Radhanath_Swami_-_ISKCON_Chowpatty.mp3", "67_-_Vrindavan_Yatra_2004_-_Compassion_of_Srimati_Radharani_-_Radhanath_Swami_-_ISKCON_Chowpatty.mp3")</f>
        <v>67_-_Vrindavan_Yatra_2004_-_Compassion_of_Srimati_Radharani_-_Radhanath_Swami_-_ISKCON_Chowpatty.mp3</v>
      </c>
      <c r="D4915" s="24"/>
      <c r="E4915" s="24"/>
    </row>
    <row r="4916">
      <c r="A4916" s="25" t="s">
        <v>18509</v>
      </c>
      <c r="B4916" s="25" t="s">
        <v>18520</v>
      </c>
      <c r="C4916" s="26" t="str">
        <f>HYPERLINK("https://audio.iskcondesiretree.com/02_-_ISKCON_Swamis/ISKCON_Swamis_-_R_to_Y/His_Holiness_Radhanath_Swami/Lectures/02_-_Yatra/2004_Vrindavan_yatra/68_-_Vrindavan_Yatra_2004_-_The_Greatest_Moment_of_Need_-_Radhanath_Swami_-_ISKCON_Chowpatty.mp3", "68_-_Vrindavan_Yatra_2004_-_The_Greatest_Moment_of_Need_-_Radhanath_Swami_-_ISKCON_Chowpatty.mp3")</f>
        <v>68_-_Vrindavan_Yatra_2004_-_The_Greatest_Moment_of_Need_-_Radhanath_Swami_-_ISKCON_Chowpatty.mp3</v>
      </c>
      <c r="D4916" s="24"/>
      <c r="E4916" s="24"/>
    </row>
    <row r="4917">
      <c r="A4917" s="25" t="s">
        <v>18509</v>
      </c>
      <c r="B4917" s="25" t="s">
        <v>18520</v>
      </c>
      <c r="C4917" s="26" t="str">
        <f>HYPERLINK("https://audio.iskcondesiretree.com/02_-_ISKCON_Swamis/ISKCON_Swamis_-_R_to_Y/His_Holiness_Radhanath_Swami/Lectures/02_-_Yatra/2004_Vrindavan_yatra/69_-_Vrindavan_Yatra_2004_-_Intoxicated_State_of_Prema_-_Radhanath_Swami_-_ISKCON_Chowpatty.mp3", "69_-_Vrindavan_Yatra_2004_-_Intoxicated_State_of_Prema_-_Radhanath_Swami_-_ISKCON_Chowpatty.mp3")</f>
        <v>69_-_Vrindavan_Yatra_2004_-_Intoxicated_State_of_Prema_-_Radhanath_Swami_-_ISKCON_Chowpatty.mp3</v>
      </c>
      <c r="D4917" s="24"/>
      <c r="E4917" s="24"/>
    </row>
    <row r="4918">
      <c r="A4918" s="25" t="s">
        <v>18509</v>
      </c>
      <c r="B4918" s="25" t="s">
        <v>18520</v>
      </c>
      <c r="C4918" s="26" t="str">
        <f>HYPERLINK("https://audio.iskcondesiretree.com/02_-_ISKCON_Swamis/ISKCON_Swamis_-_R_to_Y/His_Holiness_Radhanath_Swami/Lectures/02_-_Yatra/2004_Vrindavan_yatra/70_-_Vrindavan_Yatra_2004_-_Our_Hero_Balarama_-_Radhanath_Swami_-_ISKCON_Chowpatty.mp3", "70_-_Vrindavan_Yatra_2004_-_Our_Hero_Balarama_-_Radhanath_Swami_-_ISKCON_Chowpatty.mp3")</f>
        <v>70_-_Vrindavan_Yatra_2004_-_Our_Hero_Balarama_-_Radhanath_Swami_-_ISKCON_Chowpatty.mp3</v>
      </c>
      <c r="D4918" s="24"/>
      <c r="E4918" s="24"/>
    </row>
    <row r="4919">
      <c r="A4919" s="25" t="s">
        <v>18509</v>
      </c>
      <c r="B4919" s="25" t="s">
        <v>18520</v>
      </c>
      <c r="C4919" s="26" t="str">
        <f>HYPERLINK("https://audio.iskcondesiretree.com/02_-_ISKCON_Swamis/ISKCON_Swamis_-_R_to_Y/His_Holiness_Radhanath_Swami/Lectures/02_-_Yatra/2004_Vrindavan_yatra/71_-_Vrindavan_Yatra_2004_-_The_Glories_of_Lord_Balarama_-_Radhanath_Swami_-_ISKCON_Chowpatty.mp3", "71_-_Vrindavan_Yatra_2004_-_The_Glories_of_Lord_Balarama_-_Radhanath_Swami_-_ISKCON_Chowpatty.mp3")</f>
        <v>71_-_Vrindavan_Yatra_2004_-_The_Glories_of_Lord_Balarama_-_Radhanath_Swami_-_ISKCON_Chowpatty.mp3</v>
      </c>
      <c r="D4919" s="24"/>
      <c r="E4919" s="24"/>
    </row>
    <row r="4920">
      <c r="A4920" s="25" t="s">
        <v>18509</v>
      </c>
      <c r="B4920" s="25" t="s">
        <v>18520</v>
      </c>
      <c r="C4920" s="26" t="str">
        <f>HYPERLINK("https://audio.iskcondesiretree.com/02_-_ISKCON_Swamis/ISKCON_Swamis_-_R_to_Y/His_Holiness_Radhanath_Swami/Lectures/02_-_Yatra/2004_Vrindavan_yatra/72_-_Vrindavan_Yatra_2004_-_Gay_Goracand_Jiver_Tore_-_Radhanath_Swami_-_ISKCON_Chowpatty.mp3", "72_-_Vrindavan_Yatra_2004_-_Gay_Goracand_Jiver_Tore_-_Radhanath_Swami_-_ISKCON_Chowpatty.mp3")</f>
        <v>72_-_Vrindavan_Yatra_2004_-_Gay_Goracand_Jiver_Tore_-_Radhanath_Swami_-_ISKCON_Chowpatty.mp3</v>
      </c>
      <c r="D4920" s="24"/>
      <c r="E4920" s="24"/>
    </row>
    <row r="4921">
      <c r="A4921" s="25" t="s">
        <v>18509</v>
      </c>
      <c r="B4921" s="25" t="s">
        <v>18520</v>
      </c>
      <c r="C4921" s="26" t="str">
        <f>HYPERLINK("https://audio.iskcondesiretree.com/02_-_ISKCON_Swamis/ISKCON_Swamis_-_R_to_Y/His_Holiness_Radhanath_Swami/Lectures/02_-_Yatra/2004_Vrindavan_yatra/73_-_Vrindavan_Yatra_2004_-_Brahma-Vimohana_Lila_-_Radhanath_Swami_-_ISKCON_Chowpatty.mp3", "73_-_Vrindavan_Yatra_2004_-_Brahma-Vimohana_Lila_-_Radhanath_Swami_-_ISKCON_Chowpatty.mp3")</f>
        <v>73_-_Vrindavan_Yatra_2004_-_Brahma-Vimohana_Lila_-_Radhanath_Swami_-_ISKCON_Chowpatty.mp3</v>
      </c>
      <c r="D4921" s="24"/>
      <c r="E4921" s="24"/>
    </row>
    <row r="4922">
      <c r="A4922" s="25" t="s">
        <v>18509</v>
      </c>
      <c r="B4922" s="25" t="s">
        <v>18520</v>
      </c>
      <c r="C4922" s="26" t="str">
        <f>HYPERLINK("https://audio.iskcondesiretree.com/02_-_ISKCON_Swamis/ISKCON_Swamis_-_R_to_Y/His_Holiness_Radhanath_Swami/Lectures/02_-_Yatra/2004_Vrindavan_yatra/74_-_Vrindavan_Yatra_2004_-_Giving_Krishna_Tilll_the_Last_Breath_-_Radhanath_Swami_-_ISKCON_Chowpatty.mp3", "74_-_Vrindavan_Yatra_2004_-_Giving_Krishna_Tilll_the_Last_Breath_-_Radhanath_Swami_-_ISKCON_Chowpatty.mp3")</f>
        <v>74_-_Vrindavan_Yatra_2004_-_Giving_Krishna_Tilll_the_Last_Breath_-_Radhanath_Swami_-_ISKCON_Chowpatty.mp3</v>
      </c>
      <c r="D4922" s="24"/>
      <c r="E4922" s="24"/>
    </row>
    <row r="4923">
      <c r="A4923" s="25" t="s">
        <v>18509</v>
      </c>
      <c r="B4923" s="25" t="s">
        <v>18520</v>
      </c>
      <c r="C4923" s="26" t="str">
        <f>HYPERLINK("https://audio.iskcondesiretree.com/02_-_ISKCON_Swamis/ISKCON_Swamis_-_R_to_Y/His_Holiness_Radhanath_Swami/Lectures/02_-_Yatra/2004_Vrindavan_yatra/76_-_Vrindavan_Yatra_2004_-_The_Mood_of_Entering_Vrindavan_-_Radhanath_Swami_-_ISKCON_Chowpatty.mp3", "76_-_Vrindavan_Yatra_2004_-_The_Mood_of_Entering_Vrindavan_-_Radhanath_Swami_-_ISKCON_Chowpatty.mp3")</f>
        <v>76_-_Vrindavan_Yatra_2004_-_The_Mood_of_Entering_Vrindavan_-_Radhanath_Swami_-_ISKCON_Chowpatty.mp3</v>
      </c>
      <c r="D4923" s="24"/>
      <c r="E4923" s="24"/>
    </row>
    <row r="4924">
      <c r="A4924" s="25" t="s">
        <v>18509</v>
      </c>
      <c r="B4924" s="25" t="s">
        <v>18520</v>
      </c>
      <c r="C4924" s="26" t="str">
        <f>HYPERLINK("https://audio.iskcondesiretree.com/02_-_ISKCON_Swamis/ISKCON_Swamis_-_R_to_Y/His_Holiness_Radhanath_Swami/Lectures/02_-_Yatra/2004_Vrindavan_yatra/77_-_Vrindavan_Yatra_2004_-_Ami_Yamuna_Puline_-_Radhanath_Swami_-_ISKCON_Chowpatty.mp3", "77_-_Vrindavan_Yatra_2004_-_Ami_Yamuna_Puline_-_Radhanath_Swami_-_ISKCON_Chowpatty.mp3")</f>
        <v>77_-_Vrindavan_Yatra_2004_-_Ami_Yamuna_Puline_-_Radhanath_Swami_-_ISKCON_Chowpatty.mp3</v>
      </c>
      <c r="D4924" s="24"/>
      <c r="E4924" s="24"/>
    </row>
    <row r="4925">
      <c r="A4925" s="25" t="s">
        <v>18509</v>
      </c>
      <c r="B4925" s="25" t="s">
        <v>18520</v>
      </c>
      <c r="C4925" s="26" t="str">
        <f>HYPERLINK("https://audio.iskcondesiretree.com/02_-_ISKCON_Swamis/ISKCON_Swamis_-_R_to_Y/His_Holiness_Radhanath_Swami/Lectures/02_-_Yatra/2004_Vrindavan_yatra/78_-_Vrindavan_Yatra_2004_-_The_Marriage_of_Radha_and_Krishna_-_Radhanath_Swami_-_ISKCON_Chowpatty.mp3", "78_-_Vrindavan_Yatra_2004_-_The_Marriage_of_Radha_and_Krishna_-_Radhanath_Swami_-_ISKCON_Chowpatty.mp3")</f>
        <v>78_-_Vrindavan_Yatra_2004_-_The_Marriage_of_Radha_and_Krishna_-_Radhanath_Swami_-_ISKCON_Chowpatty.mp3</v>
      </c>
      <c r="D4925" s="24"/>
      <c r="E4925" s="24"/>
    </row>
    <row r="4926">
      <c r="A4926" s="25" t="s">
        <v>18509</v>
      </c>
      <c r="B4926" s="25" t="s">
        <v>18520</v>
      </c>
      <c r="C4926" s="26" t="str">
        <f>HYPERLINK("https://audio.iskcondesiretree.com/02_-_ISKCON_Swamis/ISKCON_Swamis_-_R_to_Y/His_Holiness_Radhanath_Swami/Lectures/02_-_Yatra/2004_Vrindavan_yatra/79_-_Vrindavan_Yatra_2004_-_The_Killing_of_Pralambasura_-_Radhanath_Swami_-_ISKCON_Chowpatty.mp3", "79_-_Vrindavan_Yatra_2004_-_The_Killing_of_Pralambasura_-_Radhanath_Swami_-_ISKCON_Chowpatty.mp3")</f>
        <v>79_-_Vrindavan_Yatra_2004_-_The_Killing_of_Pralambasura_-_Radhanath_Swami_-_ISKCON_Chowpatty.mp3</v>
      </c>
      <c r="D4926" s="24"/>
      <c r="E4926" s="24"/>
    </row>
    <row r="4927">
      <c r="A4927" s="25" t="s">
        <v>18509</v>
      </c>
      <c r="B4927" s="25" t="s">
        <v>18520</v>
      </c>
      <c r="C4927" s="26" t="str">
        <f>HYPERLINK("https://audio.iskcondesiretree.com/02_-_ISKCON_Swamis/ISKCON_Swamis_-_R_to_Y/His_Holiness_Radhanath_Swami/Lectures/02_-_Yatra/2004_Vrindavan_yatra/80_-_Vrindavan_Yatra_2004_-_Trancendental_Youth_Tie_the_Knot_-_Radhanath_Swami_-_ISKCON_Chowpatty.mp3", "80_-_Vrindavan_Yatra_2004_-_Trancendental_Youth_Tie_the_Knot_-_Radhanath_Swami_-_ISKCON_Chowpatty.mp3")</f>
        <v>80_-_Vrindavan_Yatra_2004_-_Trancendental_Youth_Tie_the_Knot_-_Radhanath_Swami_-_ISKCON_Chowpatty.mp3</v>
      </c>
      <c r="D4927" s="24"/>
      <c r="E4927" s="24"/>
    </row>
    <row r="4928">
      <c r="A4928" s="25" t="s">
        <v>18509</v>
      </c>
      <c r="B4928" s="25" t="s">
        <v>18520</v>
      </c>
      <c r="C4928" s="26" t="str">
        <f>HYPERLINK("https://audio.iskcondesiretree.com/02_-_ISKCON_Swamis/ISKCON_Swamis_-_R_to_Y/His_Holiness_Radhanath_Swami/Lectures/02_-_Yatra/2004_Vrindavan_yatra/81_-_Vrindavan_Yatra_2004_-_Dancing_in_Small_Circles_Kirtan_-_Radhanath_Swami_-_ISKCON_Chowpatty.mp3", "81_-_Vrindavan_Yatra_2004_-_Dancing_in_Small_Circles_Kirtan_-_Radhanath_Swami_-_ISKCON_Chowpatty.mp3")</f>
        <v>81_-_Vrindavan_Yatra_2004_-_Dancing_in_Small_Circles_Kirtan_-_Radhanath_Swami_-_ISKCON_Chowpatty.mp3</v>
      </c>
      <c r="D4928" s="24"/>
      <c r="E4928" s="24"/>
    </row>
    <row r="4929">
      <c r="A4929" s="25" t="s">
        <v>18509</v>
      </c>
      <c r="B4929" s="25" t="s">
        <v>18520</v>
      </c>
      <c r="C4929" s="26" t="str">
        <f>HYPERLINK("https://audio.iskcondesiretree.com/02_-_ISKCON_Swamis/ISKCON_Swamis_-_R_to_Y/His_Holiness_Radhanath_Swami/Lectures/02_-_Yatra/2004_Vrindavan_yatra/82_-_Vrindavan_Yatra_2004_-_The_Glories_of_Devamrta_Prabhu_-_Radhanath_Swami_-_ISKCON_Chowpatty.mp3", "82_-_Vrindavan_Yatra_2004_-_The_Glories_of_Devamrta_Prabhu_-_Radhanath_Swami_-_ISKCON_Chowpatty.mp3")</f>
        <v>82_-_Vrindavan_Yatra_2004_-_The_Glories_of_Devamrta_Prabhu_-_Radhanath_Swami_-_ISKCON_Chowpatty.mp3</v>
      </c>
      <c r="D4929" s="24"/>
      <c r="E4929" s="24"/>
    </row>
    <row r="4930">
      <c r="A4930" s="25" t="s">
        <v>18509</v>
      </c>
      <c r="B4930" s="25" t="s">
        <v>18520</v>
      </c>
      <c r="C4930" s="26" t="str">
        <f>HYPERLINK("https://audio.iskcondesiretree.com/02_-_ISKCON_Swamis/ISKCON_Swamis_-_R_to_Y/His_Holiness_Radhanath_Swami/Lectures/02_-_Yatra/2004_Vrindavan_yatra/83_-_Vrindavan_Yatra_2004_-_Your_day_in_Vrindavan_-_Radhanath_Swami_-_ISKCON_Chowpatty.mp3", "83_-_Vrindavan_Yatra_2004_-_Your_day_in_Vrindavan_-_Radhanath_Swami_-_ISKCON_Chowpatty.mp3")</f>
        <v>83_-_Vrindavan_Yatra_2004_-_Your_day_in_Vrindavan_-_Radhanath_Swami_-_ISKCON_Chowpatty.mp3</v>
      </c>
      <c r="D4930" s="24"/>
      <c r="E4930" s="24"/>
    </row>
    <row r="4931">
      <c r="A4931" s="25" t="s">
        <v>18509</v>
      </c>
      <c r="B4931" s="25" t="s">
        <v>18520</v>
      </c>
      <c r="C4931" s="26" t="str">
        <f>HYPERLINK("https://audio.iskcondesiretree.com/02_-_ISKCON_Swamis/ISKCON_Swamis_-_R_to_Y/His_Holiness_Radhanath_Swami/Lectures/02_-_Yatra/2004_Vrindavan_yatra/84_-_Vrindavan_Yatra_2004_-_The_Mood_of_a_Selfless_Servant_-_Radhanath_Swami_-_ISKCON_Chowpatty.mp3", "84_-_Vrindavan_Yatra_2004_-_The_Mood_of_a_Selfless_Servant_-_Radhanath_Swami_-_ISKCON_Chowpatty.mp3")</f>
        <v>84_-_Vrindavan_Yatra_2004_-_The_Mood_of_a_Selfless_Servant_-_Radhanath_Swami_-_ISKCON_Chowpatty.mp3</v>
      </c>
      <c r="D4931" s="24"/>
      <c r="E4931" s="24"/>
    </row>
    <row r="4932">
      <c r="A4932" s="25" t="s">
        <v>18509</v>
      </c>
      <c r="B4932" s="25" t="s">
        <v>18520</v>
      </c>
      <c r="C4932" s="26" t="str">
        <f>HYPERLINK("https://audio.iskcondesiretree.com/02_-_ISKCON_Swamis/ISKCON_Swamis_-_R_to_Y/His_Holiness_Radhanath_Swami/Lectures/02_-_Yatra/2004_Vrindavan_yatra/85_-_Vrindavan_Yatra_2004_-_Kirtan_at_Radha_Gopijanavallabha_Mandir_-_Radhanath_Swami_-_ISKCON_Chowpatty.mp3", "85_-_Vrindavan_Yatra_2004_-_Kirtan_at_Radha_Gopijanavallabha_Mandir_-_Radhanath_Swami_-_ISKCON_Chowpatty.mp3")</f>
        <v>85_-_Vrindavan_Yatra_2004_-_Kirtan_at_Radha_Gopijanavallabha_Mandir_-_Radhanath_Swami_-_ISKCON_Chowpatty.mp3</v>
      </c>
      <c r="D4932" s="24"/>
      <c r="E4932" s="24"/>
    </row>
    <row r="4933">
      <c r="A4933" s="25" t="s">
        <v>18509</v>
      </c>
      <c r="B4933" s="25" t="s">
        <v>18521</v>
      </c>
      <c r="C4933" s="26" t="str">
        <f>HYPERLINK("https://audio.iskcondesiretree.com/02_-_ISKCON_Swamis/ISKCON_Swamis_-_R_to_Y/His_Holiness_Radhanath_Swami/Lectures/02_-_Yatra/2005-2006_South_India_yatra/01_Tirupati/SIY_Tirupati_01_-_Mangalacharana_-_Radhanath_Swami.mp3", "SIY_Tirupati_01_-_Mangalacharana_-_Radhanath_Swami.mp3")</f>
        <v>SIY_Tirupati_01_-_Mangalacharana_-_Radhanath_Swami.mp3</v>
      </c>
      <c r="D4933" s="24"/>
      <c r="E4933" s="24"/>
    </row>
    <row r="4934">
      <c r="A4934" s="25" t="s">
        <v>18509</v>
      </c>
      <c r="B4934" s="25" t="s">
        <v>18521</v>
      </c>
      <c r="C4934" s="26" t="str">
        <f>HYPERLINK("https://audio.iskcondesiretree.com/02_-_ISKCON_Swamis/ISKCON_Swamis_-_R_to_Y/His_Holiness_Radhanath_Swami/Lectures/02_-_Yatra/2005-2006_South_India_yatra/01_Tirupati/SIY_Tirupati_02_-_Establishing_the_Spirit_of_Yatra_-_Radhanath_Swami.mp3", "SIY_Tirupati_02_-_Establishing_the_Spirit_of_Yatra_-_Radhanath_Swami.mp3")</f>
        <v>SIY_Tirupati_02_-_Establishing_the_Spirit_of_Yatra_-_Radhanath_Swami.mp3</v>
      </c>
      <c r="D4934" s="24"/>
      <c r="E4934" s="24"/>
    </row>
    <row r="4935">
      <c r="A4935" s="25" t="s">
        <v>18509</v>
      </c>
      <c r="B4935" s="25" t="s">
        <v>18521</v>
      </c>
      <c r="C4935" s="26" t="str">
        <f>HYPERLINK("https://audio.iskcondesiretree.com/02_-_ISKCON_Swamis/ISKCON_Swamis_-_R_to_Y/His_Holiness_Radhanath_Swami/Lectures/02_-_Yatra/2005-2006_South_India_yatra/01_Tirupati/SIY_Tirupati_03_-_Lord_Srinivas%27s_Separation_For_Lakshmi_Devi_-_Radhanath_Swami.mp3", "SIY_Tirupati_03_-_Lord_Srinivas%27s_Separation_For_Lakshmi_Devi_-_Radhanath_Swami.mp3")</f>
        <v>SIY_Tirupati_03_-_Lord_Srinivas%27s_Separation_For_Lakshmi_Devi_-_Radhanath_Swami.mp3</v>
      </c>
      <c r="D4935" s="24"/>
      <c r="E4935" s="24"/>
    </row>
    <row r="4936">
      <c r="A4936" s="25" t="s">
        <v>18509</v>
      </c>
      <c r="B4936" s="25" t="s">
        <v>18521</v>
      </c>
      <c r="C4936" s="26" t="str">
        <f>HYPERLINK("https://audio.iskcondesiretree.com/02_-_ISKCON_Swamis/ISKCON_Swamis_-_R_to_Y/His_Holiness_Radhanath_Swami/Lectures/02_-_Yatra/2005-2006_South_India_yatra/01_Tirupati/SIY_Tirupati_04_-_Vedavati_The_Emblem_of_Chastity_and_Patience_-_Radhanath_Swami.mp3", "SIY_Tirupati_04_-_Vedavati_The_Emblem_of_Chastity_and_Patience_-_Radhanath_Swami.mp3")</f>
        <v>SIY_Tirupati_04_-_Vedavati_The_Emblem_of_Chastity_and_Patience_-_Radhanath_Swami.mp3</v>
      </c>
      <c r="D4936" s="24"/>
      <c r="E4936" s="24"/>
    </row>
    <row r="4937">
      <c r="A4937" s="25" t="s">
        <v>18509</v>
      </c>
      <c r="B4937" s="25" t="s">
        <v>18521</v>
      </c>
      <c r="C4937" s="26" t="str">
        <f>HYPERLINK("https://audio.iskcondesiretree.com/02_-_ISKCON_Swamis/ISKCON_Swamis_-_R_to_Y/His_Holiness_Radhanath_Swami/Lectures/02_-_Yatra/2005-2006_South_India_yatra/01_Tirupati/SIY_Tirupati_05_-_Behaviour_of_An_Ideal_Disciple_-_Radhanath_Swami.mp3", "SIY_Tirupati_05_-_Behaviour_of_An_Ideal_Disciple_-_Radhanath_Swami.mp3")</f>
        <v>SIY_Tirupati_05_-_Behaviour_of_An_Ideal_Disciple_-_Radhanath_Swami.mp3</v>
      </c>
      <c r="D4937" s="24"/>
      <c r="E4937" s="24"/>
    </row>
    <row r="4938">
      <c r="A4938" s="25" t="s">
        <v>18509</v>
      </c>
      <c r="B4938" s="25" t="s">
        <v>18521</v>
      </c>
      <c r="C4938" s="26" t="str">
        <f>HYPERLINK("https://audio.iskcondesiretree.com/02_-_ISKCON_Swamis/ISKCON_Swamis_-_R_to_Y/His_Holiness_Radhanath_Swami/Lectures/02_-_Yatra/2005-2006_South_India_yatra/01_Tirupati/SIY_Tirupati_06_-_Qualities_of_a_True_Vaisnava_-_Radhanath_Swami.mp3", "SIY_Tirupati_06_-_Qualities_of_a_True_Vaisnava_-_Radhanath_Swami.mp3")</f>
        <v>SIY_Tirupati_06_-_Qualities_of_a_True_Vaisnava_-_Radhanath_Swami.mp3</v>
      </c>
      <c r="D4938" s="24"/>
      <c r="E4938" s="24"/>
    </row>
    <row r="4939">
      <c r="A4939" s="25" t="s">
        <v>18509</v>
      </c>
      <c r="B4939" s="25" t="s">
        <v>18521</v>
      </c>
      <c r="C4939" s="26" t="str">
        <f>HYPERLINK("https://audio.iskcondesiretree.com/02_-_ISKCON_Swamis/ISKCON_Swamis_-_R_to_Y/His_Holiness_Radhanath_Swami/Lectures/02_-_Yatra/2005-2006_South_India_yatra/02_Kanchipuram/SIY_Kanchipuram_04_-_Ramanuja_Accepts_Sannyas_-_Radhanath_Swami.mp3", "SIY_Kanchipuram_04_-_Ramanuja_Accepts_Sannyas_-_Radhanath_Swami.mp3")</f>
        <v>SIY_Kanchipuram_04_-_Ramanuja_Accepts_Sannyas_-_Radhanath_Swami.mp3</v>
      </c>
      <c r="D4939" s="24"/>
      <c r="E4939" s="24"/>
    </row>
    <row r="4940">
      <c r="A4940" s="25" t="s">
        <v>18509</v>
      </c>
      <c r="B4940" s="25" t="s">
        <v>18521</v>
      </c>
      <c r="C4940" s="26" t="str">
        <f>HYPERLINK("https://audio.iskcondesiretree.com/02_-_ISKCON_Swamis/ISKCON_Swamis_-_R_to_Y/His_Holiness_Radhanath_Swami/Lectures/02_-_Yatra/2005-2006_South_India_yatra/02_Kanchipuram/SIY_Kanchipuram_06_-_Ramanuja%27s_pastimes_-_Radhanath_Swami.mp3", "SIY_Kanchipuram_06_-_Ramanuja%27s_pastimes_-_Radhanath_Swami.mp3")</f>
        <v>SIY_Kanchipuram_06_-_Ramanuja%27s_pastimes_-_Radhanath_Swami.mp3</v>
      </c>
      <c r="D4940" s="24"/>
      <c r="E4940" s="24"/>
    </row>
    <row r="4941">
      <c r="A4941" s="25" t="s">
        <v>18509</v>
      </c>
      <c r="B4941" s="25" t="s">
        <v>18521</v>
      </c>
      <c r="C4941" s="26" t="str">
        <f>HYPERLINK("https://audio.iskcondesiretree.com/02_-_ISKCON_Swamis/ISKCON_Swamis_-_R_to_Y/His_Holiness_Radhanath_Swami/Lectures/02_-_Yatra/2005-2006_South_India_yatra/02_Kanchipuram/SIY_Kanchipuram_09_-_Glorious_Departure_of_Quresh_-_Radhanath_Swami.mp3", "SIY_Kanchipuram_09_-_Glorious_Departure_of_Quresh_-_Radhanath_Swami.mp3")</f>
        <v>SIY_Kanchipuram_09_-_Glorious_Departure_of_Quresh_-_Radhanath_Swami.mp3</v>
      </c>
      <c r="D4941" s="24"/>
      <c r="E4941" s="24"/>
    </row>
    <row r="4942">
      <c r="A4942" s="25" t="s">
        <v>18509</v>
      </c>
      <c r="B4942" s="25" t="s">
        <v>18521</v>
      </c>
      <c r="C4942" s="26" t="str">
        <f>HYPERLINK("https://audio.iskcondesiretree.com/02_-_ISKCON_Swamis/ISKCON_Swamis_-_R_to_Y/His_Holiness_Radhanath_Swami/Lectures/02_-_Yatra/2005-2006_South_India_yatra/03_Sri%20Rangam/SIY_Sri_Rangam_02_-_History_of_the_Sri_Rangam_Temple_-_Radhanath_Swami.mp3", "SIY_Sri_Rangam_02_-_History_of_the_Sri_Rangam_Temple_-_Radhanath_Swami.mp3")</f>
        <v>SIY_Sri_Rangam_02_-_History_of_the_Sri_Rangam_Temple_-_Radhanath_Swami.mp3</v>
      </c>
      <c r="D4942" s="24"/>
      <c r="E4942" s="24"/>
    </row>
    <row r="4943">
      <c r="A4943" s="25" t="s">
        <v>18509</v>
      </c>
      <c r="B4943" s="25" t="s">
        <v>18521</v>
      </c>
      <c r="C4943" s="26" t="str">
        <f>HYPERLINK("https://audio.iskcondesiretree.com/02_-_ISKCON_Swamis/ISKCON_Swamis_-_R_to_Y/His_Holiness_Radhanath_Swami/Lectures/02_-_Yatra/2005-2006_South_India_yatra/03_Sri%20Rangam/SIY_Sri_Rangam_03_-_Keeping_the_Spirit_of_the_Parampara_Alive_-_Radhanath_Swami.mp3", "SIY_Sri_Rangam_03_-_Keeping_the_Spirit_of_the_Parampara_Alive_-_Radhanath_Swami.mp3")</f>
        <v>SIY_Sri_Rangam_03_-_Keeping_the_Spirit_of_the_Parampara_Alive_-_Radhanath_Swami.mp3</v>
      </c>
      <c r="D4943" s="24"/>
      <c r="E4943" s="24"/>
    </row>
    <row r="4944">
      <c r="A4944" s="25" t="s">
        <v>18509</v>
      </c>
      <c r="B4944" s="25" t="s">
        <v>18521</v>
      </c>
      <c r="C4944" s="26" t="str">
        <f>HYPERLINK("https://audio.iskcondesiretree.com/02_-_ISKCON_Swamis/ISKCON_Swamis_-_R_to_Y/His_Holiness_Radhanath_Swami/Lectures/02_-_Yatra/2005-2006_South_India_yatra/03_Sri%20Rangam/SIY_Sri_Rangam_04_-_Mahaprabhu_Begins_his_South_India_Tour_-_Radhanath_Swami.mp3", "SIY_Sri_Rangam_04_-_Mahaprabhu_Begins_his_South_India_Tour_-_Radhanath_Swami.mp3")</f>
        <v>SIY_Sri_Rangam_04_-_Mahaprabhu_Begins_his_South_India_Tour_-_Radhanath_Swami.mp3</v>
      </c>
      <c r="D4944" s="24"/>
      <c r="E4944" s="24"/>
    </row>
    <row r="4945">
      <c r="A4945" s="25" t="s">
        <v>18509</v>
      </c>
      <c r="B4945" s="25" t="s">
        <v>18521</v>
      </c>
      <c r="C4945" s="26" t="str">
        <f>HYPERLINK("https://audio.iskcondesiretree.com/02_-_ISKCON_Swamis/ISKCON_Swamis_-_R_to_Y/His_Holiness_Radhanath_Swami/Lectures/02_-_Yatra/2005-2006_South_India_yatra/03_Sri%20Rangam/SIY_Sri_Rangam_05_-_Mahaprabhu_Delivers_Vasudeva_the_Leper_-_Radhanath_Swami.mp3", "SIY_Sri_Rangam_05_-_Mahaprabhu_Delivers_Vasudeva_the_Leper_-_Radhanath_Swami.mp3")</f>
        <v>SIY_Sri_Rangam_05_-_Mahaprabhu_Delivers_Vasudeva_the_Leper_-_Radhanath_Swami.mp3</v>
      </c>
      <c r="D4945" s="24"/>
      <c r="E4945" s="24"/>
    </row>
    <row r="4946">
      <c r="A4946" s="25" t="s">
        <v>18509</v>
      </c>
      <c r="B4946" s="25" t="s">
        <v>18521</v>
      </c>
      <c r="C4946" s="26" t="str">
        <f>HYPERLINK("https://audio.iskcondesiretree.com/02_-_ISKCON_Swamis/ISKCON_Swamis_-_R_to_Y/His_Holiness_Radhanath_Swami/Lectures/02_-_Yatra/2005-2006_South_India_yatra/03_Sri%20Rangam/SIY_Sri_Rangam_07_-_Mahaprabhu%27s_Stay_At_Venkata_Bhatt%27s_House_-_Radhanath_Swami."&amp;"mp3", "SIY_Sri_Rangam_07_-_Mahaprabhu%27s_Stay_At_Venkata_Bhatt%27s_House_-_Radhanath_Swami.mp3")</f>
        <v>SIY_Sri_Rangam_07_-_Mahaprabhu%27s_Stay_At_Venkata_Bhatt%27s_House_-_Radhanath_Swami.mp3</v>
      </c>
      <c r="D4946" s="24"/>
      <c r="E4946" s="24"/>
    </row>
    <row r="4947">
      <c r="A4947" s="25" t="s">
        <v>18509</v>
      </c>
      <c r="B4947" s="25" t="s">
        <v>18521</v>
      </c>
      <c r="C4947" s="26" t="str">
        <f>HYPERLINK("https://audio.iskcondesiretree.com/02_-_ISKCON_Swamis/ISKCON_Swamis_-_R_to_Y/His_Holiness_Radhanath_Swami/Lectures/02_-_Yatra/2005-2006_South_India_yatra/03_Sri%20Rangam/SIY_Sri_Rangam_08_-_Glorification_of_Gaudiya_Sampradaya_-_Radhanath_Swami.mp3", "SIY_Sri_Rangam_08_-_Glorification_of_Gaudiya_Sampradaya_-_Radhanath_Swami.mp3")</f>
        <v>SIY_Sri_Rangam_08_-_Glorification_of_Gaudiya_Sampradaya_-_Radhanath_Swami.mp3</v>
      </c>
      <c r="D4947" s="24"/>
      <c r="E4947" s="24"/>
    </row>
    <row r="4948">
      <c r="A4948" s="25" t="s">
        <v>18509</v>
      </c>
      <c r="B4948" s="25" t="s">
        <v>18521</v>
      </c>
      <c r="C4948" s="26" t="str">
        <f>HYPERLINK("https://audio.iskcondesiretree.com/02_-_ISKCON_Swamis/ISKCON_Swamis_-_R_to_Y/His_Holiness_Radhanath_Swami/Lectures/02_-_Yatra/2005-2006_South_India_yatra/03_Sri%20Rangam/SIY_Sri_Rangam_11_-_Lord_Nityananda_Prabhu%27s_Journey_to_Navadvipa_-_Radhanath_Swami"&amp;".mp3", "SIY_Sri_Rangam_11_-_Lord_Nityananda_Prabhu%27s_Journey_to_Navadvipa_-_Radhanath_Swami.mp3")</f>
        <v>SIY_Sri_Rangam_11_-_Lord_Nityananda_Prabhu%27s_Journey_to_Navadvipa_-_Radhanath_Swami.mp3</v>
      </c>
      <c r="D4948" s="24"/>
      <c r="E4948" s="24"/>
    </row>
    <row r="4949">
      <c r="A4949" s="25" t="s">
        <v>18509</v>
      </c>
      <c r="B4949" s="25" t="s">
        <v>18521</v>
      </c>
      <c r="C4949" s="26" t="str">
        <f>HYPERLINK("https://audio.iskcondesiretree.com/02_-_ISKCON_Swamis/ISKCON_Swamis_-_R_to_Y/His_Holiness_Radhanath_Swami/Lectures/02_-_Yatra/2005-2006_South_India_yatra/03_Sri%20Rangam/SIY_Sri_Rangam_13_-_Kirtan_at_Sri_Rangam_Temple-04_-_Radhanath_Swami.mp3", "SIY_Sri_Rangam_13_-_Kirtan_at_Sri_Rangam_Temple-04_-_Radhanath_Swami.mp3")</f>
        <v>SIY_Sri_Rangam_13_-_Kirtan_at_Sri_Rangam_Temple-04_-_Radhanath_Swami.mp3</v>
      </c>
      <c r="D4949" s="24"/>
      <c r="E4949" s="24"/>
    </row>
    <row r="4950">
      <c r="A4950" s="25" t="s">
        <v>18509</v>
      </c>
      <c r="B4950" s="25" t="s">
        <v>18521</v>
      </c>
      <c r="C4950" s="26" t="str">
        <f>HYPERLINK("https://audio.iskcondesiretree.com/02_-_ISKCON_Swamis/ISKCON_Swamis_-_R_to_Y/His_Holiness_Radhanath_Swami/Lectures/02_-_Yatra/2005-2006_South_India_yatra/04_Rameshwaram/SIY_Rameshwaram_02_-_%20Mighty_Hanuman%27s_Mighty_Deeds_-_Radhanath_Swami.mp3", "SIY_Rameshwaram_02_-_%20Mighty_Hanuman%27s_Mighty_Deeds_-_Radhanath_Swami.mp3")</f>
        <v>SIY_Rameshwaram_02_-_%20Mighty_Hanuman%27s_Mighty_Deeds_-_Radhanath_Swami.mp3</v>
      </c>
      <c r="D4950" s="24"/>
      <c r="E4950" s="24"/>
    </row>
    <row r="4951">
      <c r="A4951" s="25" t="s">
        <v>18509</v>
      </c>
      <c r="B4951" s="25" t="s">
        <v>18521</v>
      </c>
      <c r="C4951" s="26" t="str">
        <f>HYPERLINK("https://audio.iskcondesiretree.com/02_-_ISKCON_Swamis/ISKCON_Swamis_-_R_to_Y/His_Holiness_Radhanath_Swami/Lectures/02_-_Yatra/2005-2006_South_India_yatra/04_Rameshwaram/SIY_Rameshwaram_03_-_Vibhishana%27s_Advice_to_Ravana%27s_Plot_-_Radhanath_Swami.mp3", "SIY_Rameshwaram_03_-_Vibhishana%27s_Advice_to_Ravana%27s_Plot_-_Radhanath_Swami.mp3")</f>
        <v>SIY_Rameshwaram_03_-_Vibhishana%27s_Advice_to_Ravana%27s_Plot_-_Radhanath_Swami.mp3</v>
      </c>
      <c r="D4951" s="24"/>
      <c r="E4951" s="24"/>
    </row>
    <row r="4952">
      <c r="A4952" s="25" t="s">
        <v>18509</v>
      </c>
      <c r="B4952" s="25" t="s">
        <v>18521</v>
      </c>
      <c r="C4952" s="26" t="str">
        <f>HYPERLINK("https://audio.iskcondesiretree.com/02_-_ISKCON_Swamis/ISKCON_Swamis_-_R_to_Y/His_Holiness_Radhanath_Swami/Lectures/02_-_Yatra/2005-2006_South_India_yatra/04_Rameshwaram/SIY_Rameshwaram_04_-_Vibhishana_Surrenders_To_Lord_Rama_-_Radhanath_Swami.mp3", "SIY_Rameshwaram_04_-_Vibhishana_Surrenders_To_Lord_Rama_-_Radhanath_Swami.mp3")</f>
        <v>SIY_Rameshwaram_04_-_Vibhishana_Surrenders_To_Lord_Rama_-_Radhanath_Swami.mp3</v>
      </c>
      <c r="D4952" s="24"/>
      <c r="E4952" s="24"/>
    </row>
    <row r="4953">
      <c r="A4953" s="25" t="s">
        <v>18509</v>
      </c>
      <c r="B4953" s="25" t="s">
        <v>18521</v>
      </c>
      <c r="C4953" s="26" t="str">
        <f>HYPERLINK("https://audio.iskcondesiretree.com/02_-_ISKCON_Swamis/ISKCON_Swamis_-_R_to_Y/His_Holiness_Radhanath_Swami/Lectures/02_-_Yatra/2005-2006_South_India_yatra/04_Rameshwaram/SIY_Rameshwaram_05_-_Sacrifice_of_Lord_Laksman_-_Radhanath_Swami.mp3", "SIY_Rameshwaram_05_-_Sacrifice_of_Lord_Laksman_-_Radhanath_Swami.mp3")</f>
        <v>SIY_Rameshwaram_05_-_Sacrifice_of_Lord_Laksman_-_Radhanath_Swami.mp3</v>
      </c>
      <c r="D4953" s="24"/>
      <c r="E4953" s="24"/>
    </row>
    <row r="4954">
      <c r="A4954" s="25" t="s">
        <v>18509</v>
      </c>
      <c r="B4954" s="25" t="s">
        <v>18521</v>
      </c>
      <c r="C4954" s="26" t="str">
        <f>HYPERLINK("https://audio.iskcondesiretree.com/02_-_ISKCON_Swamis/ISKCON_Swamis_-_R_to_Y/His_Holiness_Radhanath_Swami/Lectures/02_-_Yatra/2005-2006_South_India_yatra/04_Rameshwaram/SIY_Rameshwaram_06_-_Glories_of_King_Kulashekar_and_Andal_Alwar_-_Radhanath_Swami.mp3", "SIY_Rameshwaram_06_-_Glories_of_King_Kulashekar_and_Andal_Alwar_-_Radhanath_Swami.mp3")</f>
        <v>SIY_Rameshwaram_06_-_Glories_of_King_Kulashekar_and_Andal_Alwar_-_Radhanath_Swami.mp3</v>
      </c>
      <c r="D4954" s="24"/>
      <c r="E4954" s="24"/>
    </row>
    <row r="4955">
      <c r="A4955" s="25" t="s">
        <v>18509</v>
      </c>
      <c r="B4955" s="25" t="s">
        <v>18521</v>
      </c>
      <c r="C4955" s="26" t="str">
        <f>HYPERLINK("https://audio.iskcondesiretree.com/02_-_ISKCON_Swamis/ISKCON_Swamis_-_R_to_Y/His_Holiness_Radhanath_Swami/Lectures/02_-_Yatra/2005-2006_South_India_yatra/05_Madurai/SIY_Madurai_01_-_Significance_of_Darbha_Shayana_-_Radhanath_Swami.mp3", "SIY_Madurai_01_-_Significance_of_Darbha_Shayana_-_Radhanath_Swami.mp3")</f>
        <v>SIY_Madurai_01_-_Significance_of_Darbha_Shayana_-_Radhanath_Swami.mp3</v>
      </c>
      <c r="D4955" s="24"/>
      <c r="E4955" s="24"/>
    </row>
    <row r="4956">
      <c r="A4956" s="25" t="s">
        <v>18509</v>
      </c>
      <c r="B4956" s="25" t="s">
        <v>18521</v>
      </c>
      <c r="C4956" s="26" t="str">
        <f>HYPERLINK("https://audio.iskcondesiretree.com/02_-_ISKCON_Swamis/ISKCON_Swamis_-_R_to_Y/His_Holiness_Radhanath_Swami/Lectures/02_-_Yatra/2005-2006_South_India_yatra/05_Madurai/SIY_Madurai_02_-_Realizations_at_Rshabh_Hill_-_Rameshchand_Goswami_Nityodita_Prabhu.mp3", "SIY_Madurai_02_-_Realizations_at_Rshabh_Hill_-_Rameshchand_Goswami_Nityodita_Prabhu.mp3")</f>
        <v>SIY_Madurai_02_-_Realizations_at_Rshabh_Hill_-_Rameshchand_Goswami_Nityodita_Prabhu.mp3</v>
      </c>
      <c r="D4956" s="24"/>
      <c r="E4956" s="24"/>
    </row>
    <row r="4957">
      <c r="A4957" s="25" t="s">
        <v>18509</v>
      </c>
      <c r="B4957" s="25" t="s">
        <v>18521</v>
      </c>
      <c r="C4957" s="26" t="str">
        <f>HYPERLINK("https://audio.iskcondesiretree.com/02_-_ISKCON_Swamis/ISKCON_Swamis_-_R_to_Y/His_Holiness_Radhanath_Swami/Lectures/02_-_Yatra/2005-2006_South_India_yatra/05_Madurai/SIY_Madurai_03_-_Realizations_of_-_Radhanath_Swami.mp3", "SIY_Madurai_03_-_Realizations_of_-_Radhanath_Swami.mp3")</f>
        <v>SIY_Madurai_03_-_Realizations_of_-_Radhanath_Swami.mp3</v>
      </c>
      <c r="D4957" s="24"/>
      <c r="E4957" s="24"/>
    </row>
    <row r="4958">
      <c r="A4958" s="25" t="s">
        <v>18509</v>
      </c>
      <c r="B4958" s="25" t="s">
        <v>18521</v>
      </c>
      <c r="C4958" s="26" t="str">
        <f>HYPERLINK("https://audio.iskcondesiretree.com/02_-_ISKCON_Swamis/ISKCON_Swamis_-_R_to_Y/His_Holiness_Radhanath_Swami/Lectures/02_-_Yatra/2005-2006_South_India_yatra/05_Madurai/SIY_Madurai_04_-_Realizations_of_HG_Shyamasundar_Prabhu.mp3", "SIY_Madurai_04_-_Realizations_of_HG_Shyamasundar_Prabhu.mp3")</f>
        <v>SIY_Madurai_04_-_Realizations_of_HG_Shyamasundar_Prabhu.mp3</v>
      </c>
      <c r="D4958" s="24"/>
      <c r="E4958" s="24"/>
    </row>
    <row r="4959">
      <c r="A4959" s="25" t="s">
        <v>18509</v>
      </c>
      <c r="B4959" s="25" t="s">
        <v>18521</v>
      </c>
      <c r="C4959" s="26" t="str">
        <f>HYPERLINK("https://audio.iskcondesiretree.com/02_-_ISKCON_Swamis/ISKCON_Swamis_-_R_to_Y/His_Holiness_Radhanath_Swami/Lectures/02_-_Yatra/2005-2006_South_India_yatra/05_Madurai/SIY_Madurai_05_-_Realizations_of_HG_Tribhangananda_Prabhu.mp3", "SIY_Madurai_05_-_Realizations_of_HG_Tribhangananda_Prabhu.mp3")</f>
        <v>SIY_Madurai_05_-_Realizations_of_HG_Tribhangananda_Prabhu.mp3</v>
      </c>
      <c r="D4959" s="24"/>
      <c r="E4959" s="24"/>
    </row>
    <row r="4960">
      <c r="A4960" s="25" t="s">
        <v>18509</v>
      </c>
      <c r="B4960" s="25" t="s">
        <v>18521</v>
      </c>
      <c r="C4960" s="26" t="str">
        <f>HYPERLINK("https://audio.iskcondesiretree.com/02_-_ISKCON_Swamis/ISKCON_Swamis_-_R_to_Y/His_Holiness_Radhanath_Swami/Lectures/02_-_Yatra/2005-2006_South_India_yatra/05_Madurai/SIY_Madurai_06_-_Realizations_of_HG_Yadavacarya_Prabhu.mp3", "SIY_Madurai_06_-_Realizations_of_HG_Yadavacarya_Prabhu.mp3")</f>
        <v>SIY_Madurai_06_-_Realizations_of_HG_Yadavacarya_Prabhu.mp3</v>
      </c>
      <c r="D4960" s="24"/>
      <c r="E4960" s="24"/>
    </row>
    <row r="4961">
      <c r="A4961" s="25" t="s">
        <v>18509</v>
      </c>
      <c r="B4961" s="25" t="s">
        <v>18521</v>
      </c>
      <c r="C4961" s="26" t="str">
        <f>HYPERLINK("https://audio.iskcondesiretree.com/02_-_ISKCON_Swamis/ISKCON_Swamis_-_R_to_Y/His_Holiness_Radhanath_Swami/Lectures/02_-_Yatra/2005-2006_South_India_yatra/05_Madurai/SIY_Madurai_07_-_Realizations_of_HG_Amohamoha_Mataji.mp3", "SIY_Madurai_07_-_Realizations_of_HG_Amohamoha_Mataji.mp3")</f>
        <v>SIY_Madurai_07_-_Realizations_of_HG_Amohamoha_Mataji.mp3</v>
      </c>
      <c r="D4961" s="24"/>
      <c r="E4961" s="24"/>
    </row>
    <row r="4962">
      <c r="A4962" s="25" t="s">
        <v>18509</v>
      </c>
      <c r="B4962" s="25" t="s">
        <v>18521</v>
      </c>
      <c r="C4962" s="26" t="str">
        <f>HYPERLINK("https://audio.iskcondesiretree.com/02_-_ISKCON_Swamis/ISKCON_Swamis_-_R_to_Y/His_Holiness_Radhanath_Swami/Lectures/02_-_Yatra/2005-2006_South_India_yatra/05_Madurai/SIY_Madurai_08_-_Realizations_of_HG_Nartaki_Mataji.mp3", "SIY_Madurai_08_-_Realizations_of_HG_Nartaki_Mataji.mp3")</f>
        <v>SIY_Madurai_08_-_Realizations_of_HG_Nartaki_Mataji.mp3</v>
      </c>
      <c r="D4962" s="24"/>
      <c r="E4962" s="24"/>
    </row>
    <row r="4963">
      <c r="A4963" s="25" t="s">
        <v>18509</v>
      </c>
      <c r="B4963" s="25" t="s">
        <v>18522</v>
      </c>
      <c r="C4963" s="26" t="str">
        <f>HYPERLINK("https://audio.iskcondesiretree.com/02_-_ISKCON_Swamis/ISKCON_Swamis_-_R_to_Y/His_Holiness_Radhanath_Swami/Lectures/02_-_Yatra/2005_Pune_yatra/Pune_yatra_2005_01_-_Inaugural_Class_Day-01_-_Radhanath_Swami.mp3", "Pune_yatra_2005_01_-_Inaugural_Class_Day-01_-_Radhanath_Swami.mp3")</f>
        <v>Pune_yatra_2005_01_-_Inaugural_Class_Day-01_-_Radhanath_Swami.mp3</v>
      </c>
      <c r="D4963" s="24"/>
      <c r="E4963" s="24"/>
    </row>
    <row r="4964">
      <c r="A4964" s="25" t="s">
        <v>18509</v>
      </c>
      <c r="B4964" s="25" t="s">
        <v>18522</v>
      </c>
      <c r="C4964" s="26" t="str">
        <f>HYPERLINK("https://audio.iskcondesiretree.com/02_-_ISKCON_Swamis/ISKCON_Swamis_-_R_to_Y/His_Holiness_Radhanath_Swami/Lectures/02_-_Yatra/2005_Pune_yatra/Pune_yatra_2005_02_-_Inaugural_Class_Day-01_-_Srila_Prabhupada%27s_various_Disciple.mp3", "Pune_yatra_2005_02_-_Inaugural_Class_Day-01_-_Srila_Prabhupada%27s_various_Disciple.mp3")</f>
        <v>Pune_yatra_2005_02_-_Inaugural_Class_Day-01_-_Srila_Prabhupada%27s_various_Disciple.mp3</v>
      </c>
      <c r="D4964" s="24"/>
      <c r="E4964" s="24"/>
    </row>
    <row r="4965">
      <c r="A4965" s="25" t="s">
        <v>18509</v>
      </c>
      <c r="B4965" s="25" t="s">
        <v>18522</v>
      </c>
      <c r="C4965" s="26" t="str">
        <f>HYPERLINK("https://audio.iskcondesiretree.com/02_-_ISKCON_Swamis/ISKCON_Swamis_-_R_to_Y/His_Holiness_Radhanath_Swami/Lectures/02_-_Yatra/2005_Pune_yatra/Pune_yatra_2005_03_-_Seeing_Krishna_Day-02_-_Devamrita_Swami.mp3", "Pune_yatra_2005_03_-_Seeing_Krishna_Day-02_-_Devamrita_Swami.mp3")</f>
        <v>Pune_yatra_2005_03_-_Seeing_Krishna_Day-02_-_Devamrita_Swami.mp3</v>
      </c>
      <c r="D4965" s="24"/>
      <c r="E4965" s="24"/>
    </row>
    <row r="4966">
      <c r="A4966" s="25" t="s">
        <v>18509</v>
      </c>
      <c r="B4966" s="25" t="s">
        <v>18522</v>
      </c>
      <c r="C4966" s="26" t="str">
        <f>HYPERLINK("https://audio.iskcondesiretree.com/02_-_ISKCON_Swamis/ISKCON_Swamis_-_R_to_Y/His_Holiness_Radhanath_Swami/Lectures/02_-_Yatra/2005_Pune_yatra/Pune_yatra_2005_04_-_Questions_and_Answers_Day-02_-_Srila_Prabhupada%27s_Various_Disciple.mp3", "Pune_yatra_2005_04_-_Questions_and_Answers_Day-02_-_Srila_Prabhupada%27s_Various_Disciple.mp3")</f>
        <v>Pune_yatra_2005_04_-_Questions_and_Answers_Day-02_-_Srila_Prabhupada%27s_Various_Disciple.mp3</v>
      </c>
      <c r="D4966" s="24"/>
      <c r="E4966" s="24"/>
    </row>
    <row r="4967">
      <c r="A4967" s="25" t="s">
        <v>18509</v>
      </c>
      <c r="B4967" s="25" t="s">
        <v>18522</v>
      </c>
      <c r="C4967" s="26" t="str">
        <f>HYPERLINK("https://audio.iskcondesiretree.com/02_-_ISKCON_Swamis/ISKCON_Swamis_-_R_to_Y/His_Holiness_Radhanath_Swami/Lectures/02_-_Yatra/2005_Pune_yatra/Pune_yatra_2005_07_-_Lecture_Day-03_-_Bhakti_Charu_Swami.mp3", "Pune_yatra_2005_07_-_Lecture_Day-03_-_Bhakti_Charu_Swami.mp3")</f>
        <v>Pune_yatra_2005_07_-_Lecture_Day-03_-_Bhakti_Charu_Swami.mp3</v>
      </c>
      <c r="D4967" s="24"/>
      <c r="E4967" s="24"/>
    </row>
    <row r="4968">
      <c r="A4968" s="25" t="s">
        <v>18509</v>
      </c>
      <c r="B4968" s="25" t="s">
        <v>18522</v>
      </c>
      <c r="C4968" s="26" t="str">
        <f>HYPERLINK("https://audio.iskcondesiretree.com/02_-_ISKCON_Swamis/ISKCON_Swamis_-_R_to_Y/His_Holiness_Radhanath_Swami/Lectures/02_-_Yatra/2005_Pune_yatra/Pune_yatra_2005_08_-_Questions_and_Answers_Day-03_Srila_Prabhupada%27s_Various_Disciple.mp3", "Pune_yatra_2005_08_-_Questions_and_Answers_Day-03_Srila_Prabhupada%27s_Various_Disciple.mp3")</f>
        <v>Pune_yatra_2005_08_-_Questions_and_Answers_Day-03_Srila_Prabhupada%27s_Various_Disciple.mp3</v>
      </c>
      <c r="D4968" s="24"/>
      <c r="E4968" s="24"/>
    </row>
    <row r="4969">
      <c r="A4969" s="25" t="s">
        <v>18509</v>
      </c>
      <c r="B4969" s="25" t="s">
        <v>18522</v>
      </c>
      <c r="C4969" s="26" t="str">
        <f>HYPERLINK("https://audio.iskcondesiretree.com/02_-_ISKCON_Swamis/ISKCON_Swamis_-_R_to_Y/His_Holiness_Radhanath_Swami/Lectures/02_-_Yatra/2005_Pune_yatra/Pune_yatra_2005_09_-_Association_of_Devotees_Day-04_-_Niranjana_Swami.mp3", "Pune_yatra_2005_09_-_Association_of_Devotees_Day-04_-_Niranjana_Swami.mp3")</f>
        <v>Pune_yatra_2005_09_-_Association_of_Devotees_Day-04_-_Niranjana_Swami.mp3</v>
      </c>
      <c r="D4969" s="24"/>
      <c r="E4969" s="24"/>
    </row>
    <row r="4970">
      <c r="A4970" s="25" t="s">
        <v>18509</v>
      </c>
      <c r="B4970" s="25" t="s">
        <v>18522</v>
      </c>
      <c r="C4970" s="26" t="str">
        <f>HYPERLINK("https://audio.iskcondesiretree.com/02_-_ISKCON_Swamis/ISKCON_Swamis_-_R_to_Y/His_Holiness_Radhanath_Swami/Lectures/02_-_Yatra/2005_Pune_yatra/Pune_yatra_2005_10_-_Lecture_Day-04_-_Lokanath_Swami.mp3", "Pune_yatra_2005_10_-_Lecture_Day-04_-_Lokanath_Swami.mp3")</f>
        <v>Pune_yatra_2005_10_-_Lecture_Day-04_-_Lokanath_Swami.mp3</v>
      </c>
      <c r="D4970" s="24"/>
      <c r="E4970" s="24"/>
    </row>
    <row r="4971">
      <c r="A4971" s="25" t="s">
        <v>18509</v>
      </c>
      <c r="B4971" s="25" t="s">
        <v>18522</v>
      </c>
      <c r="C4971" s="26" t="str">
        <f>HYPERLINK("https://audio.iskcondesiretree.com/02_-_ISKCON_Swamis/ISKCON_Swamis_-_R_to_Y/His_Holiness_Radhanath_Swami/Lectures/02_-_Yatra/2005_Pune_yatra/Pune_yatra_2005_11_-_Concluding_Speech_Day-04_-_Srila_Prabhupada%27s_Various_Disciple.mp3", "Pune_yatra_2005_11_-_Concluding_Speech_Day-04_-_Srila_Prabhupada%27s_Various_Disciple.mp3")</f>
        <v>Pune_yatra_2005_11_-_Concluding_Speech_Day-04_-_Srila_Prabhupada%27s_Various_Disciple.mp3</v>
      </c>
      <c r="D4971" s="24"/>
      <c r="E4971" s="24"/>
    </row>
    <row r="4972">
      <c r="A4972" s="25" t="s">
        <v>18509</v>
      </c>
      <c r="B4972" s="25" t="s">
        <v>18522</v>
      </c>
      <c r="C4972" s="26" t="str">
        <f>HYPERLINK("https://audio.iskcondesiretree.com/02_-_ISKCON_Swamis/ISKCON_Swamis_-_R_to_Y/His_Holiness_Radhanath_Swami/Lectures/02_-_Yatra/2005_Pune_yatra/Pune_yatra_2005_12_-_Concluding_Speech_Day-04_-_Radhanath_Swami.mp3", "Pune_yatra_2005_12_-_Concluding_Speech_Day-04_-_Radhanath_Swami.mp3")</f>
        <v>Pune_yatra_2005_12_-_Concluding_Speech_Day-04_-_Radhanath_Swami.mp3</v>
      </c>
      <c r="D4972" s="24"/>
      <c r="E4972" s="24"/>
    </row>
    <row r="4973">
      <c r="A4973" s="25" t="s">
        <v>18509</v>
      </c>
      <c r="B4973" s="25" t="s">
        <v>18523</v>
      </c>
      <c r="C4973" s="26" t="str">
        <f>HYPERLINK("https://audio.iskcondesiretree.com/02_-_ISKCON_Swamis/ISKCON_Swamis_-_R_to_Y/His_Holiness_Radhanath_Swami/Lectures/02_-_Yatra/2007_Mayapur_yatra/Mayapur_Yatra_2007-11-05_Birth_and_Childhood_pastimes_of_Nimai_Radhanath_Swami.MP3", "Mayapur_Yatra_2007-11-05_Birth_and_Childhood_pastimes_of_Nimai_Radhanath_Swami.MP3")</f>
        <v>Mayapur_Yatra_2007-11-05_Birth_and_Childhood_pastimes_of_Nimai_Radhanath_Swami.MP3</v>
      </c>
      <c r="D4973" s="24"/>
      <c r="E4973" s="24"/>
    </row>
    <row r="4974">
      <c r="A4974" s="25" t="s">
        <v>18509</v>
      </c>
      <c r="B4974" s="25" t="s">
        <v>18523</v>
      </c>
      <c r="C4974" s="26" t="str">
        <f>HYPERLINK("https://audio.iskcondesiretree.com/02_-_ISKCON_Swamis/ISKCON_Swamis_-_R_to_Y/His_Holiness_Radhanath_Swami/Lectures/02_-_Yatra/2007_Mayapur_yatra/Mayapur_Yatra_2007-11-05_Jagannath_Pastime_Simanta_Dwipa_Radhanath_Swami.MP3", "Mayapur_Yatra_2007-11-05_Jagannath_Pastime_Simanta_Dwipa_Radhanath_Swami.MP3")</f>
        <v>Mayapur_Yatra_2007-11-05_Jagannath_Pastime_Simanta_Dwipa_Radhanath_Swami.MP3</v>
      </c>
      <c r="D4974" s="24"/>
      <c r="E4974" s="24"/>
    </row>
    <row r="4975">
      <c r="A4975" s="25" t="s">
        <v>18509</v>
      </c>
      <c r="B4975" s="25" t="s">
        <v>18523</v>
      </c>
      <c r="C4975" s="26" t="str">
        <f>HYPERLINK("https://audio.iskcondesiretree.com/02_-_ISKCON_Swamis/ISKCON_Swamis_-_R_to_Y/His_Holiness_Radhanath_Swami/Lectures/02_-_Yatra/2007_Mayapur_yatra/Mayapur_Yatra_2007-11-05_SB_Class_CC_Conclusion_Srila_Prabhupada_Giriraj_Swami.MP3", "Mayapur_Yatra_2007-11-05_SB_Class_CC_Conclusion_Srila_Prabhupada_Giriraj_Swami.MP3")</f>
        <v>Mayapur_Yatra_2007-11-05_SB_Class_CC_Conclusion_Srila_Prabhupada_Giriraj_Swami.MP3</v>
      </c>
      <c r="D4975" s="24"/>
      <c r="E4975" s="24"/>
    </row>
    <row r="4976">
      <c r="A4976" s="25" t="s">
        <v>18509</v>
      </c>
      <c r="B4976" s="25" t="s">
        <v>18523</v>
      </c>
      <c r="C4976" s="26" t="str">
        <f>HYPERLINK("https://audio.iskcondesiretree.com/02_-_ISKCON_Swamis/ISKCON_Swamis_-_R_to_Y/His_Holiness_Radhanath_Swami/Lectures/02_-_Yatra/2007_Mayapur_yatra/Mayapur_Yatra_2007-11-06_Mahaprakasha_Lila_Mayapur_Iskcon_Radhanath_Swami.MP3", "Mayapur_Yatra_2007-11-06_Mahaprakasha_Lila_Mayapur_Iskcon_Radhanath_Swami.MP3")</f>
        <v>Mayapur_Yatra_2007-11-06_Mahaprakasha_Lila_Mayapur_Iskcon_Radhanath_Swami.MP3</v>
      </c>
      <c r="D4976" s="24"/>
      <c r="E4976" s="24"/>
    </row>
    <row r="4977">
      <c r="A4977" s="25" t="s">
        <v>18509</v>
      </c>
      <c r="B4977" s="25" t="s">
        <v>18523</v>
      </c>
      <c r="C4977" s="26" t="str">
        <f>HYPERLINK("https://audio.iskcondesiretree.com/02_-_ISKCON_Swamis/ISKCON_Swamis_-_R_to_Y/His_Holiness_Radhanath_Swami/Lectures/02_-_Yatra/2007_Mayapur_yatra/Mayapur_Yatra_2007-11-07_Chand_Kazi_Kolevech_Sridhar_Srivas_Son_Dying_lila_Radhanath_Swami.MP3", "Mayapur_Yatra_2007-11-07_Chand_Kazi_Kolevech_Sridhar_Srivas_Son_Dying_lila_Radhanath_Swami.MP3")</f>
        <v>Mayapur_Yatra_2007-11-07_Chand_Kazi_Kolevech_Sridhar_Srivas_Son_Dying_lila_Radhanath_Swami.MP3</v>
      </c>
      <c r="D4977" s="24"/>
      <c r="E4977" s="24"/>
    </row>
    <row r="4978">
      <c r="A4978" s="25" t="s">
        <v>18509</v>
      </c>
      <c r="B4978" s="25" t="s">
        <v>18523</v>
      </c>
      <c r="C4978" s="26" t="str">
        <f>HYPERLINK("https://audio.iskcondesiretree.com/02_-_ISKCON_Swamis/ISKCON_Swamis_-_R_to_Y/His_Holiness_Radhanath_Swami/Lectures/02_-_Yatra/2007_Mayapur_yatra/Mayapur_Yatra_2007-11-08_Bhakta_Sesa_prabhu_Madhyam_Dvip_Naimasaranya.MP3", "Mayapur_Yatra_2007-11-08_Bhakta_Sesa_prabhu_Madhyam_Dvip_Naimasaranya.MP3")</f>
        <v>Mayapur_Yatra_2007-11-08_Bhakta_Sesa_prabhu_Madhyam_Dvip_Naimasaranya.MP3</v>
      </c>
      <c r="D4978" s="24"/>
      <c r="E4978" s="24"/>
    </row>
    <row r="4979">
      <c r="A4979" s="25" t="s">
        <v>18509</v>
      </c>
      <c r="B4979" s="25" t="s">
        <v>18523</v>
      </c>
      <c r="C4979" s="26" t="str">
        <f>HYPERLINK("https://audio.iskcondesiretree.com/02_-_ISKCON_Swamis/ISKCON_Swamis_-_R_to_Y/His_Holiness_Radhanath_Swami/Lectures/02_-_Yatra/2007_Mayapur_yatra/Mayapur_Yatra_2007-11-08_Jagai_Madhai_Radhanath_Swami.MP3", "Mayapur_Yatra_2007-11-08_Jagai_Madhai_Radhanath_Swami.MP3")</f>
        <v>Mayapur_Yatra_2007-11-08_Jagai_Madhai_Radhanath_Swami.MP3</v>
      </c>
      <c r="D4979" s="24"/>
      <c r="E4979" s="24"/>
    </row>
    <row r="4980">
      <c r="A4980" s="25" t="s">
        <v>18509</v>
      </c>
      <c r="B4980" s="25" t="s">
        <v>18523</v>
      </c>
      <c r="C4980" s="26" t="str">
        <f>HYPERLINK("https://audio.iskcondesiretree.com/02_-_ISKCON_Swamis/ISKCON_Swamis_-_R_to_Y/His_Holiness_Radhanath_Swami/Lectures/02_-_Yatra/2007_Mayapur_yatra/Mayapur_Yatra_2007-11-08_Madhyam_Dvip_Radhanath_Swami.MP3", "Mayapur_Yatra_2007-11-08_Madhyam_Dvip_Radhanath_Swami.MP3")</f>
        <v>Mayapur_Yatra_2007-11-08_Madhyam_Dvip_Radhanath_Swami.MP3</v>
      </c>
      <c r="D4980" s="24"/>
      <c r="E4980" s="24"/>
    </row>
    <row r="4981">
      <c r="A4981" s="25" t="s">
        <v>18509</v>
      </c>
      <c r="B4981" s="25" t="s">
        <v>18523</v>
      </c>
      <c r="C4981" s="26" t="str">
        <f>HYPERLINK("https://audio.iskcondesiretree.com/02_-_ISKCON_Swamis/ISKCON_Swamis_-_R_to_Y/His_Holiness_Radhanath_Swami/Lectures/02_-_Yatra/2007_Mayapur_yatra/Mayapur_Yatra_2007-11-09_Kumar-Huta_Birth_Place_Iswar_Puri_Radhanath_Swami.MP3", "Mayapur_Yatra_2007-11-09_Kumar-Huta_Birth_Place_Iswar_Puri_Radhanath_Swami.MP3")</f>
        <v>Mayapur_Yatra_2007-11-09_Kumar-Huta_Birth_Place_Iswar_Puri_Radhanath_Swami.MP3</v>
      </c>
      <c r="D4981" s="24"/>
      <c r="E4981" s="24"/>
    </row>
    <row r="4982">
      <c r="A4982" s="25" t="s">
        <v>18509</v>
      </c>
      <c r="B4982" s="25" t="s">
        <v>18523</v>
      </c>
      <c r="C4982" s="26" t="str">
        <f>HYPERLINK("https://audio.iskcondesiretree.com/02_-_ISKCON_Swamis/ISKCON_Swamis_-_R_to_Y/His_Holiness_Radhanath_Swami/Lectures/02_-_Yatra/2007_Mayapur_yatra/Mayapur_Yatra_2007-11-12_Nityananda_Katha_Radhanath_Swami_Mayapur_Iskcon.MP3", "Mayapur_Yatra_2007-11-12_Nityananda_Katha_Radhanath_Swami_Mayapur_Iskcon.MP3")</f>
        <v>Mayapur_Yatra_2007-11-12_Nityananda_Katha_Radhanath_Swami_Mayapur_Iskcon.MP3</v>
      </c>
      <c r="D4982" s="24"/>
      <c r="E4982" s="24"/>
    </row>
    <row r="4983">
      <c r="A4983" s="25" t="s">
        <v>18509</v>
      </c>
      <c r="B4983" s="25" t="s">
        <v>18523</v>
      </c>
      <c r="C4983" s="26" t="str">
        <f>HYPERLINK("https://audio.iskcondesiretree.com/02_-_ISKCON_Swamis/ISKCON_Swamis_-_R_to_Y/His_Holiness_Radhanath_Swami/Lectures/02_-_Yatra/2007_Mayapur_yatra/Mayapur_Yatra_2007-11-12_SB_03_09_08_Indradyumna_Swami.MP3", "Mayapur_Yatra_2007-11-12_SB_03_09_08_Indradyumna_Swami.MP3")</f>
        <v>Mayapur_Yatra_2007-11-12_SB_03_09_08_Indradyumna_Swami.MP3</v>
      </c>
      <c r="D4983" s="24"/>
      <c r="E4983" s="24"/>
    </row>
    <row r="4984">
      <c r="A4984" s="25" t="s">
        <v>18509</v>
      </c>
      <c r="B4984" s="25" t="s">
        <v>18523</v>
      </c>
      <c r="C4984" s="26" t="str">
        <f>HYPERLINK("https://audio.iskcondesiretree.com/02_-_ISKCON_Swamis/ISKCON_Swamis_-_R_to_Y/His_Holiness_Radhanath_Swami/Lectures/02_-_Yatra/2007_Mayapur_yatra/Mayapur_Yatra_2007-11-13_Bhakti_Purushottam_Swami_Mayapur_Iskcon.MP3", "Mayapur_Yatra_2007-11-13_Bhakti_Purushottam_Swami_Mayapur_Iskcon.MP3")</f>
        <v>Mayapur_Yatra_2007-11-13_Bhakti_Purushottam_Swami_Mayapur_Iskcon.MP3</v>
      </c>
      <c r="D4984" s="24"/>
      <c r="E4984" s="24"/>
    </row>
    <row r="4985">
      <c r="A4985" s="25" t="s">
        <v>18509</v>
      </c>
      <c r="B4985" s="25" t="s">
        <v>18523</v>
      </c>
      <c r="C4985" s="26" t="str">
        <f>HYPERLINK("https://audio.iskcondesiretree.com/02_-_ISKCON_Swamis/ISKCON_Swamis_-_R_to_Y/His_Holiness_Radhanath_Swami/Lectures/02_-_Yatra/2007_Mayapur_yatra/Mayapur_Yatra_2007-11-13_Srila_Prabhupada_Jayapataka_Swami.MP3", "Mayapur_Yatra_2007-11-13_Srila_Prabhupada_Jayapataka_Swami.MP3")</f>
        <v>Mayapur_Yatra_2007-11-13_Srila_Prabhupada_Jayapataka_Swami.MP3</v>
      </c>
      <c r="D4985" s="24"/>
      <c r="E4985" s="24"/>
    </row>
    <row r="4986">
      <c r="A4986" s="25" t="s">
        <v>18509</v>
      </c>
      <c r="B4986" s="25" t="s">
        <v>18523</v>
      </c>
      <c r="C4986" s="26" t="str">
        <f>HYPERLINK("https://audio.iskcondesiretree.com/02_-_ISKCON_Swamis/ISKCON_Swamis_-_R_to_Y/His_Holiness_Radhanath_Swami/Lectures/02_-_Yatra/2007_Mayapur_yatra/Mayapur_Yatra_2007-11-13_Srila_Prabhupada_Katha_Indradyumna_Swami%2C%20UmaS%2CBhavaP%2CVayaP.MP3", "Mayapur_Yatra_2007-11-13_Srila_Prabhupada_Katha_Indradyumna_Swami%2C%20UmaS%2CBhavaP%2CVayaP.MP3")</f>
        <v>Mayapur_Yatra_2007-11-13_Srila_Prabhupada_Katha_Indradyumna_Swami%2C%20UmaS%2CBhavaP%2CVayaP.MP3</v>
      </c>
      <c r="D4986" s="24"/>
      <c r="E4986" s="24"/>
    </row>
    <row r="4987">
      <c r="A4987" s="25" t="s">
        <v>18509</v>
      </c>
      <c r="B4987" s="25" t="s">
        <v>18523</v>
      </c>
      <c r="C4987" s="26" t="str">
        <f>HYPERLINK("https://audio.iskcondesiretree.com/02_-_ISKCON_Swamis/ISKCON_Swamis_-_R_to_Y/His_Holiness_Radhanath_Swami/Lectures/02_-_Yatra/2007_Mayapur_yatra/Mayapur_Yatra_2007-11-13_Srila_Prabhupada_Katha_PankajP_JanP_AnuttaP_MalatiM.MP3", "Mayapur_Yatra_2007-11-13_Srila_Prabhupada_Katha_PankajP_JanP_AnuttaP_MalatiM.MP3")</f>
        <v>Mayapur_Yatra_2007-11-13_Srila_Prabhupada_Katha_PankajP_JanP_AnuttaP_MalatiM.MP3</v>
      </c>
      <c r="D4987" s="24"/>
      <c r="E4987" s="24"/>
    </row>
    <row r="4988">
      <c r="A4988" s="25" t="s">
        <v>18509</v>
      </c>
      <c r="B4988" s="25" t="s">
        <v>18523</v>
      </c>
      <c r="C4988" s="26" t="str">
        <f>HYPERLINK("https://audio.iskcondesiretree.com/02_-_ISKCON_Swamis/ISKCON_Swamis_-_R_to_Y/His_Holiness_Radhanath_Swami/Lectures/02_-_Yatra/2007_Mayapur_yatra/Mayapur_Yatra_2007-11-14_Srila_Prabhupada_Memories_Bhavananada_Prabhu.MP3", "Mayapur_Yatra_2007-11-14_Srila_Prabhupada_Memories_Bhavananada_Prabhu.MP3")</f>
        <v>Mayapur_Yatra_2007-11-14_Srila_Prabhupada_Memories_Bhavananada_Prabhu.MP3</v>
      </c>
      <c r="D4988" s="24"/>
      <c r="E4988" s="24"/>
    </row>
    <row r="4989">
      <c r="A4989" s="25" t="s">
        <v>18509</v>
      </c>
      <c r="B4989" s="25" t="s">
        <v>18523</v>
      </c>
      <c r="C4989" s="26" t="str">
        <f>HYPERLINK("https://audio.iskcondesiretree.com/02_-_ISKCON_Swamis/ISKCON_Swamis_-_R_to_Y/His_Holiness_Radhanath_Swami/Lectures/02_-_Yatra/2007_Mayapur_yatra/Mayapur_Yatra_2007-11-14_Srila_Prabhupada_Memories_Giriraj_Swami.MP3", "Mayapur_Yatra_2007-11-14_Srila_Prabhupada_Memories_Giriraj_Swami.MP3")</f>
        <v>Mayapur_Yatra_2007-11-14_Srila_Prabhupada_Memories_Giriraj_Swami.MP3</v>
      </c>
      <c r="D4989" s="24"/>
      <c r="E4989" s="24"/>
    </row>
    <row r="4990">
      <c r="A4990" s="25" t="s">
        <v>18509</v>
      </c>
      <c r="B4990" s="25" t="s">
        <v>18523</v>
      </c>
      <c r="C4990" s="26" t="str">
        <f>HYPERLINK("https://audio.iskcondesiretree.com/02_-_ISKCON_Swamis/ISKCON_Swamis_-_R_to_Y/His_Holiness_Radhanath_Swami/Lectures/02_-_Yatra/2007_Mayapur_yatra/Mayapur_Yatra_2007-11-14_Srila_Prabhupada_Memories_Grahila_Prabhu.MP3", "Mayapur_Yatra_2007-11-14_Srila_Prabhupada_Memories_Grahila_Prabhu.MP3")</f>
        <v>Mayapur_Yatra_2007-11-14_Srila_Prabhupada_Memories_Grahila_Prabhu.MP3</v>
      </c>
      <c r="D4990" s="24"/>
      <c r="E4990" s="24"/>
    </row>
    <row r="4991">
      <c r="A4991" s="25" t="s">
        <v>18509</v>
      </c>
      <c r="B4991" s="25" t="s">
        <v>18523</v>
      </c>
      <c r="C4991" s="26" t="str">
        <f>HYPERLINK("https://audio.iskcondesiretree.com/02_-_ISKCON_Swamis/ISKCON_Swamis_-_R_to_Y/His_Holiness_Radhanath_Swami/Lectures/02_-_Yatra/2007_Mayapur_yatra/Mayapur_Yatra_2007-11-14_Srila_Prabhupada_Memories_Kulshekhara_Prabhu.MP3", "Mayapur_Yatra_2007-11-14_Srila_Prabhupada_Memories_Kulshekhara_Prabhu.MP3")</f>
        <v>Mayapur_Yatra_2007-11-14_Srila_Prabhupada_Memories_Kulshekhara_Prabhu.MP3</v>
      </c>
      <c r="D4991" s="24"/>
      <c r="E4991" s="24"/>
    </row>
    <row r="4992">
      <c r="A4992" s="25" t="s">
        <v>18509</v>
      </c>
      <c r="B4992" s="25" t="s">
        <v>18523</v>
      </c>
      <c r="C4992" s="26" t="str">
        <f>HYPERLINK("https://audio.iskcondesiretree.com/02_-_ISKCON_Swamis/ISKCON_Swamis_-_R_to_Y/His_Holiness_Radhanath_Swami/Lectures/02_-_Yatra/2007_Mayapur_yatra/Mayapur_Yatra_2007-11-14_Srila_Prabhupada_Offerings_Hrishikesh_Prabhu%20Ambrish%20Prabhu.MP3", "Mayapur_Yatra_2007-11-14_Srila_Prabhupada_Offerings_Hrishikesh_Prabhu%20Ambrish%20Prabhu.MP3")</f>
        <v>Mayapur_Yatra_2007-11-14_Srila_Prabhupada_Offerings_Hrishikesh_Prabhu%20Ambrish%20Prabhu.MP3</v>
      </c>
      <c r="D4992" s="24"/>
      <c r="E4992" s="24"/>
    </row>
    <row r="4993">
      <c r="A4993" s="25" t="s">
        <v>18509</v>
      </c>
      <c r="B4993" s="25" t="s">
        <v>18523</v>
      </c>
      <c r="C4993" s="26" t="str">
        <f>HYPERLINK("https://audio.iskcondesiretree.com/02_-_ISKCON_Swamis/ISKCON_Swamis_-_R_to_Y/His_Holiness_Radhanath_Swami/Lectures/02_-_Yatra/2007_Mayapur_yatra/Mayapur_Yatra_2007-11-14_Srila_Prabhupada_Offerings_Indradyumna_Swami.MP3", "Mayapur_Yatra_2007-11-14_Srila_Prabhupada_Offerings_Indradyumna_Swami.MP3")</f>
        <v>Mayapur_Yatra_2007-11-14_Srila_Prabhupada_Offerings_Indradyumna_Swami.MP3</v>
      </c>
      <c r="D4993" s="24"/>
      <c r="E4993" s="24"/>
    </row>
    <row r="4994">
      <c r="A4994" s="25" t="s">
        <v>18509</v>
      </c>
      <c r="B4994" s="25" t="s">
        <v>18523</v>
      </c>
      <c r="C4994" s="26" t="str">
        <f>HYPERLINK("https://audio.iskcondesiretree.com/02_-_ISKCON_Swamis/ISKCON_Swamis_-_R_to_Y/His_Holiness_Radhanath_Swami/Lectures/02_-_Yatra/2007_Mayapur_yatra/Mayapur_Yatra_2007-11-14_Srila_Prabhupada_Offerings_Jayapataka_Swami.MP3", "Mayapur_Yatra_2007-11-14_Srila_Prabhupada_Offerings_Jayapataka_Swami.MP3")</f>
        <v>Mayapur_Yatra_2007-11-14_Srila_Prabhupada_Offerings_Jayapataka_Swami.MP3</v>
      </c>
      <c r="D4994" s="24"/>
      <c r="E4994" s="24"/>
    </row>
    <row r="4995">
      <c r="A4995" s="25" t="s">
        <v>18509</v>
      </c>
      <c r="B4995" s="25" t="s">
        <v>18523</v>
      </c>
      <c r="C4995" s="26" t="str">
        <f>HYPERLINK("https://audio.iskcondesiretree.com/02_-_ISKCON_Swamis/ISKCON_Swamis_-_R_to_Y/His_Holiness_Radhanath_Swami/Lectures/02_-_Yatra/2007_Mayapur_yatra/Mayapur_Yatra_2007-11-14_Srila_Prabhupada_Offerings_Malati_Mataji.MP3", "Mayapur_Yatra_2007-11-14_Srila_Prabhupada_Offerings_Malati_Mataji.MP3")</f>
        <v>Mayapur_Yatra_2007-11-14_Srila_Prabhupada_Offerings_Malati_Mataji.MP3</v>
      </c>
      <c r="D4995" s="24"/>
      <c r="E4995" s="24"/>
    </row>
    <row r="4996">
      <c r="A4996" s="25" t="s">
        <v>18509</v>
      </c>
      <c r="B4996" s="25" t="s">
        <v>18523</v>
      </c>
      <c r="C4996" s="26" t="str">
        <f>HYPERLINK("https://audio.iskcondesiretree.com/02_-_ISKCON_Swamis/ISKCON_Swamis_-_R_to_Y/His_Holiness_Radhanath_Swami/Lectures/02_-_Yatra/2007_Mayapur_yatra/Mayapur_Yatra_2007-11-14_Srila_Prabhupada_Offerings_Nartaki_Mataji.MP3", "Mayapur_Yatra_2007-11-14_Srila_Prabhupada_Offerings_Nartaki_Mataji.MP3")</f>
        <v>Mayapur_Yatra_2007-11-14_Srila_Prabhupada_Offerings_Nartaki_Mataji.MP3</v>
      </c>
      <c r="D4996" s="24"/>
      <c r="E4996" s="24"/>
    </row>
    <row r="4997">
      <c r="A4997" s="25" t="s">
        <v>18509</v>
      </c>
      <c r="B4997" s="25" t="s">
        <v>18523</v>
      </c>
      <c r="C4997" s="26" t="str">
        <f>HYPERLINK("https://audio.iskcondesiretree.com/02_-_ISKCON_Swamis/ISKCON_Swamis_-_R_to_Y/His_Holiness_Radhanath_Swami/Lectures/02_-_Yatra/2007_Mayapur_yatra/Mayapur_Yatra_2007-11-14_Srila_Prabhupada_Offerings_Nityodita_Prabhu.MP3", "Mayapur_Yatra_2007-11-14_Srila_Prabhupada_Offerings_Nityodita_Prabhu.MP3")</f>
        <v>Mayapur_Yatra_2007-11-14_Srila_Prabhupada_Offerings_Nityodita_Prabhu.MP3</v>
      </c>
      <c r="D4997" s="24"/>
      <c r="E4997" s="24"/>
    </row>
    <row r="4998">
      <c r="A4998" s="25" t="s">
        <v>18509</v>
      </c>
      <c r="B4998" s="25" t="s">
        <v>18523</v>
      </c>
      <c r="C4998" s="26" t="str">
        <f>HYPERLINK("https://audio.iskcondesiretree.com/02_-_ISKCON_Swamis/ISKCON_Swamis_-_R_to_Y/His_Holiness_Radhanath_Swami/Lectures/02_-_Yatra/2007_Mayapur_yatra/Mayapur_Yatra_2007-11-14_Srila_Prabhupada_Offerings_Radhanath_Swami.MP3", "Mayapur_Yatra_2007-11-14_Srila_Prabhupada_Offerings_Radhanath_Swami.MP3")</f>
        <v>Mayapur_Yatra_2007-11-14_Srila_Prabhupada_Offerings_Radhanath_Swami.MP3</v>
      </c>
      <c r="D4998" s="24"/>
      <c r="E4998" s="24"/>
    </row>
    <row r="4999">
      <c r="A4999" s="25" t="s">
        <v>18509</v>
      </c>
      <c r="B4999" s="25" t="s">
        <v>18523</v>
      </c>
      <c r="C4999" s="26" t="str">
        <f>HYPERLINK("https://audio.iskcondesiretree.com/02_-_ISKCON_Swamis/ISKCON_Swamis_-_R_to_Y/His_Holiness_Radhanath_Swami/Lectures/02_-_Yatra/2007_Mayapur_yatra/Mayapur_Yatra_2007-11-14_Srila_Prabhupada_Offerings_Rohinipriya_Mataji.MP3", "Mayapur_Yatra_2007-11-14_Srila_Prabhupada_Offerings_Rohinipriya_Mataji.MP3")</f>
        <v>Mayapur_Yatra_2007-11-14_Srila_Prabhupada_Offerings_Rohinipriya_Mataji.MP3</v>
      </c>
      <c r="D4999" s="24"/>
      <c r="E4999" s="24"/>
    </row>
    <row r="5000">
      <c r="A5000" s="25" t="s">
        <v>18509</v>
      </c>
      <c r="B5000" s="25" t="s">
        <v>18523</v>
      </c>
      <c r="C5000" s="26" t="str">
        <f>HYPERLINK("https://audio.iskcondesiretree.com/02_-_ISKCON_Swamis/ISKCON_Swamis_-_R_to_Y/His_Holiness_Radhanath_Swami/Lectures/02_-_Yatra/2007_Mayapur_yatra/Mayapur_Yatra_2007-11-14_Srila_Prabhupada_Offerings_Sri_Raga_Prabhu.MP3", "Mayapur_Yatra_2007-11-14_Srila_Prabhupada_Offerings_Sri_Raga_Prabhu.MP3")</f>
        <v>Mayapur_Yatra_2007-11-14_Srila_Prabhupada_Offerings_Sri_Raga_Prabhu.MP3</v>
      </c>
      <c r="D5000" s="24"/>
      <c r="E5000" s="24"/>
    </row>
    <row r="5001">
      <c r="A5001" s="25" t="s">
        <v>18509</v>
      </c>
      <c r="B5001" s="25" t="s">
        <v>18523</v>
      </c>
      <c r="C5001" s="26" t="str">
        <f>HYPERLINK("https://audio.iskcondesiretree.com/02_-_ISKCON_Swamis/ISKCON_Swamis_-_R_to_Y/His_Holiness_Radhanath_Swami/Lectures/02_-_Yatra/2007_Mayapur_yatra/Mayapur_Yatra_2007-11-14_Srila_Prabhupada_Offerings_Umapati_Swami.MP3", "Mayapur_Yatra_2007-11-14_Srila_Prabhupada_Offerings_Umapati_Swami.MP3")</f>
        <v>Mayapur_Yatra_2007-11-14_Srila_Prabhupada_Offerings_Umapati_Swami.MP3</v>
      </c>
      <c r="D5001" s="24"/>
      <c r="E5001" s="24"/>
    </row>
    <row r="5002">
      <c r="A5002" s="25" t="s">
        <v>18509</v>
      </c>
      <c r="B5002" s="25" t="s">
        <v>18523</v>
      </c>
      <c r="C5002" s="26" t="str">
        <f>HYPERLINK("https://audio.iskcondesiretree.com/02_-_ISKCON_Swamis/ISKCON_Swamis_-_R_to_Y/His_Holiness_Radhanath_Swami/Lectures/02_-_Yatra/2007_Mayapur_yatra/Mayapur_Yatra_2007-11-15_Jayapataka_Swami_Radhanath_Swami_Modrum_Dwip_Mamgacchi.MP3", "Mayapur_Yatra_2007-11-15_Jayapataka_Swami_Radhanath_Swami_Modrum_Dwip_Mamgacchi.MP3")</f>
        <v>Mayapur_Yatra_2007-11-15_Jayapataka_Swami_Radhanath_Swami_Modrum_Dwip_Mamgacchi.MP3</v>
      </c>
      <c r="D5002" s="24"/>
      <c r="E5002" s="24"/>
    </row>
    <row r="5003">
      <c r="A5003" s="25" t="s">
        <v>18509</v>
      </c>
      <c r="B5003" s="25" t="s">
        <v>18523</v>
      </c>
      <c r="C5003" s="26" t="str">
        <f>HYPERLINK("https://audio.iskcondesiretree.com/02_-_ISKCON_Swamis/ISKCON_Swamis_-_R_to_Y/His_Holiness_Radhanath_Swami/Lectures/02_-_Yatra/2007_Mayapur_yatra/Mayapur_Yatra_2007-11-15_Lord_Nityananda_Radhanath_Swami_Mayapur_Iskcon.MP3", "Mayapur_Yatra_2007-11-15_Lord_Nityananda_Radhanath_Swami_Mayapur_Iskcon.MP3")</f>
        <v>Mayapur_Yatra_2007-11-15_Lord_Nityananda_Radhanath_Swami_Mayapur_Iskcon.MP3</v>
      </c>
      <c r="D5003" s="24"/>
      <c r="E5003" s="24"/>
    </row>
    <row r="5004">
      <c r="A5004" s="25" t="s">
        <v>18509</v>
      </c>
      <c r="B5004" s="25" t="s">
        <v>18523</v>
      </c>
      <c r="C5004" s="26" t="str">
        <f>HYPERLINK("https://audio.iskcondesiretree.com/02_-_ISKCON_Swamis/ISKCON_Swamis_-_R_to_Y/His_Holiness_Radhanath_Swami/Lectures/02_-_Yatra/2007_Mayapur_yatra/Mayapur_Yatra_2007-11-16_Govinda_Prabhu%20Krishnananda_Prabhu_Caitanya_Math.MP3", "Mayapur_Yatra_2007-11-16_Govinda_Prabhu%20Krishnananda_Prabhu_Caitanya_Math.MP3")</f>
        <v>Mayapur_Yatra_2007-11-16_Govinda_Prabhu%20Krishnananda_Prabhu_Caitanya_Math.MP3</v>
      </c>
      <c r="D5004" s="24"/>
      <c r="E5004" s="24"/>
    </row>
    <row r="5005">
      <c r="A5005" s="25" t="s">
        <v>18509</v>
      </c>
      <c r="B5005" s="25" t="s">
        <v>18523</v>
      </c>
      <c r="C5005" s="26" t="str">
        <f>HYPERLINK("https://audio.iskcondesiretree.com/02_-_ISKCON_Swamis/ISKCON_Swamis_-_R_to_Y/His_Holiness_Radhanath_Swami/Lectures/02_-_Yatra/2007_Mayapur_yatra/Mayapur_Yatra_2007-11-16_SB_03_09_11_Indradyumna_Swami.MP3", "Mayapur_Yatra_2007-11-16_SB_03_09_11_Indradyumna_Swami.MP3")</f>
        <v>Mayapur_Yatra_2007-11-16_SB_03_09_11_Indradyumna_Swami.MP3</v>
      </c>
      <c r="D5005" s="24"/>
      <c r="E5005" s="24"/>
    </row>
    <row r="5006">
      <c r="A5006" s="25" t="s">
        <v>18509</v>
      </c>
      <c r="B5006" s="25" t="s">
        <v>18524</v>
      </c>
      <c r="C5006" s="26" t="str">
        <f>HYPERLINK("https://audio.iskcondesiretree.com/02_-_ISKCON_Swamis/ISKCON_Swamis_-_R_to_Y/His_Holiness_Radhanath_Swami/Lectures/02_-_Yatra/2007_Pune_yatra/Pune_Yatra_01_Pastimes_of_Advaita_Acharya_Radhanath_Swami_2007-01-25.mp3", "Pune_Yatra_01_Pastimes_of_Advaita_Acharya_Radhanath_Swami_2007-01-25.mp3")</f>
        <v>Pune_Yatra_01_Pastimes_of_Advaita_Acharya_Radhanath_Swami_2007-01-25.mp3</v>
      </c>
      <c r="D5006" s="24"/>
      <c r="E5006" s="24"/>
    </row>
    <row r="5007">
      <c r="A5007" s="25" t="s">
        <v>18509</v>
      </c>
      <c r="B5007" s="25" t="s">
        <v>18524</v>
      </c>
      <c r="C5007" s="26" t="str">
        <f>HYPERLINK("https://audio.iskcondesiretree.com/02_-_ISKCON_Swamis/ISKCON_Swamis_-_R_to_Y/His_Holiness_Radhanath_Swami/Lectures/02_-_Yatra/2007_Pune_yatra/Pune_Yatra_02_Gaur_Arati_%26_Kirtan_Gaurvani_Prabhu_2007-01-25.mp3", "Pune_Yatra_02_Gaur_Arati_%26_Kirtan_Gaurvani_Prabhu_2007-01-25.mp3")</f>
        <v>Pune_Yatra_02_Gaur_Arati_%26_Kirtan_Gaurvani_Prabhu_2007-01-25.mp3</v>
      </c>
      <c r="D5007" s="24"/>
      <c r="E5007" s="24"/>
    </row>
    <row r="5008">
      <c r="A5008" s="25" t="s">
        <v>18509</v>
      </c>
      <c r="B5008" s="25" t="s">
        <v>18524</v>
      </c>
      <c r="C5008" s="26" t="str">
        <f>HYPERLINK("https://audio.iskcondesiretree.com/02_-_ISKCON_Swamis/ISKCON_Swamis_-_R_to_Y/His_Holiness_Radhanath_Swami/Lectures/02_-_Yatra/2007_Pune_yatra/Pune_Yatra_03_Kirtan_Sivram_Prabhu_2007-01-26.mp3", "Pune_Yatra_03_Kirtan_Sivram_Prabhu_2007-01-26.mp3")</f>
        <v>Pune_Yatra_03_Kirtan_Sivram_Prabhu_2007-01-26.mp3</v>
      </c>
      <c r="D5008" s="24"/>
      <c r="E5008" s="24"/>
    </row>
    <row r="5009">
      <c r="A5009" s="25" t="s">
        <v>18509</v>
      </c>
      <c r="B5009" s="25" t="s">
        <v>18524</v>
      </c>
      <c r="C5009" s="26" t="str">
        <f>HYPERLINK("https://audio.iskcondesiretree.com/02_-_ISKCON_Swamis/ISKCON_Swamis_-_R_to_Y/His_Holiness_Radhanath_Swami/Lectures/02_-_Yatra/2007_Pune_yatra/Pune_Yatra_04_Parama_Koruna_Bhajan_Swaroop_Damodar_Prabhu_2007-01-26.mp3", "Pune_Yatra_04_Parama_Koruna_Bhajan_Swaroop_Damodar_Prabhu_2007-01-26.mp3")</f>
        <v>Pune_Yatra_04_Parama_Koruna_Bhajan_Swaroop_Damodar_Prabhu_2007-01-26.mp3</v>
      </c>
      <c r="D5009" s="24"/>
      <c r="E5009" s="24"/>
    </row>
    <row r="5010">
      <c r="A5010" s="25" t="s">
        <v>18509</v>
      </c>
      <c r="B5010" s="25" t="s">
        <v>18524</v>
      </c>
      <c r="C5010" s="26" t="str">
        <f>HYPERLINK("https://audio.iskcondesiretree.com/02_-_ISKCON_Swamis/ISKCON_Swamis_-_R_to_Y/His_Holiness_Radhanath_Swami/Lectures/02_-_Yatra/2007_Pune_yatra/Pune_Yatra_05_Hey_Govinda_Hey_Gopal_Bhajan_Swaroop_Damodar_Prabhu_2007-01-26.mp3", "Pune_Yatra_05_Hey_Govinda_Hey_Gopal_Bhajan_Swaroop_Damodar_Prabhu_2007-01-26.mp3")</f>
        <v>Pune_Yatra_05_Hey_Govinda_Hey_Gopal_Bhajan_Swaroop_Damodar_Prabhu_2007-01-26.mp3</v>
      </c>
      <c r="D5010" s="24"/>
      <c r="E5010" s="24"/>
    </row>
    <row r="5011">
      <c r="A5011" s="25" t="s">
        <v>18509</v>
      </c>
      <c r="B5011" s="25" t="s">
        <v>18524</v>
      </c>
      <c r="C5011" s="26" t="str">
        <f>HYPERLINK("https://audio.iskcondesiretree.com/02_-_ISKCON_Swamis/ISKCON_Swamis_-_R_to_Y/His_Holiness_Radhanath_Swami/Lectures/02_-_Yatra/2007_Pune_yatra/Pune_Yatra_06_Glories_of_Bhismadev_Radhanath_Swami_2007-01-26.mp3", "Pune_Yatra_06_Glories_of_Bhismadev_Radhanath_Swami_2007-01-26.mp3")</f>
        <v>Pune_Yatra_06_Glories_of_Bhismadev_Radhanath_Swami_2007-01-26.mp3</v>
      </c>
      <c r="D5011" s="24"/>
      <c r="E5011" s="24"/>
    </row>
    <row r="5012">
      <c r="A5012" s="25" t="s">
        <v>18509</v>
      </c>
      <c r="B5012" s="25" t="s">
        <v>18524</v>
      </c>
      <c r="C5012" s="26" t="str">
        <f>HYPERLINK("https://audio.iskcondesiretree.com/02_-_ISKCON_Swamis/ISKCON_Swamis_-_R_to_Y/His_Holiness_Radhanath_Swami/Lectures/02_-_Yatra/2007_Pune_yatra/Pune_Yatra_07_Welcome_Address_Appreciation_2007-01-26.mp3", "Pune_Yatra_07_Welcome_Address_Appreciation_2007-01-26.mp3")</f>
        <v>Pune_Yatra_07_Welcome_Address_Appreciation_2007-01-26.mp3</v>
      </c>
      <c r="D5012" s="24"/>
      <c r="E5012" s="24"/>
    </row>
    <row r="5013">
      <c r="A5013" s="25" t="s">
        <v>18509</v>
      </c>
      <c r="B5013" s="25" t="s">
        <v>18524</v>
      </c>
      <c r="C5013" s="26" t="str">
        <f>HYPERLINK("https://audio.iskcondesiretree.com/02_-_ISKCON_Swamis/ISKCON_Swamis_-_R_to_Y/His_Holiness_Radhanath_Swami/Lectures/02_-_Yatra/2007_Pune_yatra/Pune_Yatra_08_Gaur_Arat_iEvening_Kirtan_Gaurvani_Prabhu_2007-01-26.mp3", "Pune_Yatra_08_Gaur_Arat_iEvening_Kirtan_Gaurvani_Prabhu_2007-01-26.mp3")</f>
        <v>Pune_Yatra_08_Gaur_Arat_iEvening_Kirtan_Gaurvani_Prabhu_2007-01-26.mp3</v>
      </c>
      <c r="D5013" s="24"/>
      <c r="E5013" s="24"/>
    </row>
    <row r="5014">
      <c r="A5014" s="25" t="s">
        <v>18509</v>
      </c>
      <c r="B5014" s="25" t="s">
        <v>18524</v>
      </c>
      <c r="C5014" s="26" t="str">
        <f>HYPERLINK("https://audio.iskcondesiretree.com/02_-_ISKCON_Swamis/ISKCON_Swamis_-_R_to_Y/His_Holiness_Radhanath_Swami/Lectures/02_-_Yatra/2007_Pune_yatra/Pune_Yatra_09_Narsimha_Arati_Pankajangahi_Prabhu_2007-01-26.mp3", "Pune_Yatra_09_Narsimha_Arati_Pankajangahi_Prabhu_2007-01-26.mp3")</f>
        <v>Pune_Yatra_09_Narsimha_Arati_Pankajangahi_Prabhu_2007-01-26.mp3</v>
      </c>
      <c r="D5014" s="24"/>
      <c r="E5014" s="24"/>
    </row>
    <row r="5015">
      <c r="A5015" s="25" t="s">
        <v>18509</v>
      </c>
      <c r="B5015" s="25" t="s">
        <v>18524</v>
      </c>
      <c r="C5015" s="26" t="str">
        <f>HYPERLINK("https://audio.iskcondesiretree.com/02_-_ISKCON_Swamis/ISKCON_Swamis_-_R_to_Y/His_Holiness_Radhanath_Swami/Lectures/02_-_Yatra/2007_Pune_yatra/Pune_Yatra_10_Sripad_Madhvacarya_Radhanath_Swami_2007-01-27.mp3", "Pune_Yatra_10_Sripad_Madhvacarya_Radhanath_Swami_2007-01-27.mp3")</f>
        <v>Pune_Yatra_10_Sripad_Madhvacarya_Radhanath_Swami_2007-01-27.mp3</v>
      </c>
      <c r="D5015" s="24"/>
      <c r="E5015" s="24"/>
    </row>
    <row r="5016">
      <c r="A5016" s="25" t="s">
        <v>18509</v>
      </c>
      <c r="B5016" s="25" t="s">
        <v>18524</v>
      </c>
      <c r="C5016" s="26" t="str">
        <f>HYPERLINK("https://audio.iskcondesiretree.com/02_-_ISKCON_Swamis/ISKCON_Swamis_-_R_to_Y/His_Holiness_Radhanath_Swami/Lectures/02_-_Yatra/2007_Pune_yatra/Pune_Yatra_11_Mayapur_Experience_Realization_Jananivas_Prabhu_%26_Pankajanghari_Prabhu_2007-01-27.mp3", "Pune_Yatra_11_Mayapur_Experience_Realization_Jananivas_Prabhu_%26_Pankajanghari_Prabhu_2007-01-27.mp3")</f>
        <v>Pune_Yatra_11_Mayapur_Experience_Realization_Jananivas_Prabhu_%26_Pankajanghari_Prabhu_2007-01-27.mp3</v>
      </c>
      <c r="D5016" s="24"/>
      <c r="E5016" s="24"/>
    </row>
    <row r="5017">
      <c r="A5017" s="25" t="s">
        <v>18509</v>
      </c>
      <c r="B5017" s="25" t="s">
        <v>18524</v>
      </c>
      <c r="C5017" s="26" t="str">
        <f>HYPERLINK("https://audio.iskcondesiretree.com/02_-_ISKCON_Swamis/ISKCON_Swamis_-_R_to_Y/His_Holiness_Radhanath_Swami/Lectures/02_-_Yatra/2007_Pune_yatra/Pune_Yatra_12_Realizations_Chandramouli_Swami_2007-01-27.mp3", "Pune_Yatra_12_Realizations_Chandramouli_Swami_2007-01-27.mp3")</f>
        <v>Pune_Yatra_12_Realizations_Chandramouli_Swami_2007-01-27.mp3</v>
      </c>
      <c r="D5017" s="24"/>
      <c r="E5017" s="24"/>
    </row>
    <row r="5018">
      <c r="A5018" s="25" t="s">
        <v>18509</v>
      </c>
      <c r="B5018" s="25" t="s">
        <v>18524</v>
      </c>
      <c r="C5018" s="26" t="str">
        <f>HYPERLINK("https://audio.iskcondesiretree.com/02_-_ISKCON_Swamis/ISKCON_Swamis_-_R_to_Y/His_Holiness_Radhanath_Swami/Lectures/02_-_Yatra/2007_Pune_yatra/Pune_Yatra_13_Question_%26_Answers_Radhanath_Swami_Chandramouli_Swami_Jananivas_Prabhu_Pankajanghari_Prabhu.mp3", "Pune_Yatra_13_Question_%26_Answers_Radhanath_Swami_Chandramouli_Swami_Jananivas_Prabhu_Pankajanghari_Prabhu.mp3")</f>
        <v>Pune_Yatra_13_Question_%26_Answers_Radhanath_Swami_Chandramouli_Swami_Jananivas_Prabhu_Pankajanghari_Prabhu.mp3</v>
      </c>
      <c r="D5018" s="24"/>
      <c r="E5018" s="24"/>
    </row>
    <row r="5019">
      <c r="A5019" s="25" t="s">
        <v>18509</v>
      </c>
      <c r="B5019" s="25" t="s">
        <v>18524</v>
      </c>
      <c r="C5019" s="26" t="str">
        <f>HYPERLINK("https://audio.iskcondesiretree.com/02_-_ISKCON_Swamis/ISKCON_Swamis_-_R_to_Y/His_Holiness_Radhanath_Swami/Lectures/02_-_Yatra/2007_Pune_yatra/Pune_Yatra_14_Kirtan_Gaurvani_Prabhu_2007-01-27.mp3", "Pune_Yatra_14_Kirtan_Gaurvani_Prabhu_2007-01-27.mp3")</f>
        <v>Pune_Yatra_14_Kirtan_Gaurvani_Prabhu_2007-01-27.mp3</v>
      </c>
      <c r="D5019" s="24"/>
      <c r="E5019" s="24"/>
    </row>
    <row r="5020">
      <c r="A5020" s="25" t="s">
        <v>18509</v>
      </c>
      <c r="B5020" s="25" t="s">
        <v>18524</v>
      </c>
      <c r="C5020" s="26" t="str">
        <f>HYPERLINK("https://audio.iskcondesiretree.com/02_-_ISKCON_Swamis/ISKCON_Swamis_-_R_to_Y/His_Holiness_Radhanath_Swami/Lectures/02_-_Yatra/2007_Pune_yatra/Pune_Yatra_15_Question_%26_Answers_Radhanath_Swami_Chandramouli_Swami_Jananivas_Prabhu_Pankajanghari_Prabhu.mp3", "Pune_Yatra_15_Question_%26_Answers_Radhanath_Swami_Chandramouli_Swami_Jananivas_Prabhu_Pankajanghari_Prabhu.mp3")</f>
        <v>Pune_Yatra_15_Question_%26_Answers_Radhanath_Swami_Chandramouli_Swami_Jananivas_Prabhu_Pankajanghari_Prabhu.mp3</v>
      </c>
      <c r="D5020" s="24"/>
      <c r="E5020" s="24"/>
    </row>
    <row r="5021">
      <c r="A5021" s="25" t="s">
        <v>18509</v>
      </c>
      <c r="B5021" s="25" t="s">
        <v>18524</v>
      </c>
      <c r="C5021" s="26" t="str">
        <f>HYPERLINK("https://audio.iskcondesiretree.com/02_-_ISKCON_Swamis/ISKCON_Swamis_-_R_to_Y/His_Holiness_Radhanath_Swami/Lectures/02_-_Yatra/2007_Pune_yatra/Pune_Yatra_16_Glorifying_Bhakti_Swaroop_Damoda_rSwami_Radhanath_Swami_2007-01-28.mp3", "Pune_Yatra_16_Glorifying_Bhakti_Swaroop_Damoda_rSwami_Radhanath_Swami_2007-01-28.mp3")</f>
        <v>Pune_Yatra_16_Glorifying_Bhakti_Swaroop_Damoda_rSwami_Radhanath_Swami_2007-01-28.mp3</v>
      </c>
      <c r="D5021" s="24"/>
      <c r="E5021" s="24"/>
    </row>
    <row r="5022">
      <c r="A5022" s="25" t="s">
        <v>18509</v>
      </c>
      <c r="B5022" s="25" t="s">
        <v>18524</v>
      </c>
      <c r="C5022" s="26" t="str">
        <f>HYPERLINK("https://audio.iskcondesiretree.com/02_-_ISKCON_Swamis/ISKCON_Swamis_-_R_to_Y/His_Holiness_Radhanath_Swami/Lectures/02_-_Yatra/2007_Pune_yatra/Pune_Yatra_17_Concluding_Lecture_All_Speakers_2007-01-28.mp3", "Pune_Yatra_17_Concluding_Lecture_All_Speakers_2007-01-28.mp3")</f>
        <v>Pune_Yatra_17_Concluding_Lecture_All_Speakers_2007-01-28.mp3</v>
      </c>
      <c r="D5022" s="24"/>
      <c r="E5022" s="24"/>
    </row>
    <row r="5023">
      <c r="A5023" s="25" t="s">
        <v>18509</v>
      </c>
      <c r="B5023" s="25" t="s">
        <v>18525</v>
      </c>
      <c r="C5023" s="26" t="str">
        <f>HYPERLINK("https://audio.iskcondesiretree.com/02_-_ISKCON_Swamis/ISKCON_Swamis_-_R_to_Y/His_Holiness_Radhanath_Swami/Lectures/02_-_Yatra/2008_Pune_yatra/Yatra_Pune_2008-01-24_01_Inaugural_Kirtan_Radhanath_Swami.mp3", "Yatra_Pune_2008-01-24_01_Inaugural_Kirtan_Radhanath_Swami.mp3")</f>
        <v>Yatra_Pune_2008-01-24_01_Inaugural_Kirtan_Radhanath_Swami.mp3</v>
      </c>
      <c r="D5023" s="24"/>
      <c r="E5023" s="24"/>
    </row>
    <row r="5024">
      <c r="A5024" s="25" t="s">
        <v>18509</v>
      </c>
      <c r="B5024" s="25" t="s">
        <v>18525</v>
      </c>
      <c r="C5024" s="26" t="str">
        <f>HYPERLINK("https://audio.iskcondesiretree.com/02_-_ISKCON_Swamis/ISKCON_Swamis_-_R_to_Y/His_Holiness_Radhanath_Swami/Lectures/02_-_Yatra/2008_Pune_yatra/Yatra_Pune_2008-01-24_02_Inaugural_Lecture_For_Pune_Yatra_Radhanath_Swami.mp3", "Yatra_Pune_2008-01-24_02_Inaugural_Lecture_For_Pune_Yatra_Radhanath_Swami.mp3")</f>
        <v>Yatra_Pune_2008-01-24_02_Inaugural_Lecture_For_Pune_Yatra_Radhanath_Swami.mp3</v>
      </c>
      <c r="D5024" s="24"/>
      <c r="E5024" s="24"/>
    </row>
    <row r="5025">
      <c r="A5025" s="25" t="s">
        <v>18509</v>
      </c>
      <c r="B5025" s="25" t="s">
        <v>18525</v>
      </c>
      <c r="C5025" s="26" t="str">
        <f>HYPERLINK("https://audio.iskcondesiretree.com/02_-_ISKCON_Swamis/ISKCON_Swamis_-_R_to_Y/His_Holiness_Radhanath_Swami/Lectures/02_-_Yatra/2008_Pune_yatra/Yatra_Pune_2008-01-25_03_Do_Not_Become_A_Prisoner_Of_Success_SB-06-11-24-26_Radhanath_Swami.mp3", "Yatra_Pune_2008-01-25_03_Do_Not_Become_A_Prisoner_Of_Success_SB-06-11-24-26_Radhanath_Swami.mp3")</f>
        <v>Yatra_Pune_2008-01-25_03_Do_Not_Become_A_Prisoner_Of_Success_SB-06-11-24-26_Radhanath_Swami.mp3</v>
      </c>
      <c r="D5025" s="24"/>
      <c r="E5025" s="24"/>
    </row>
    <row r="5026">
      <c r="A5026" s="25" t="s">
        <v>18509</v>
      </c>
      <c r="B5026" s="25" t="s">
        <v>18525</v>
      </c>
      <c r="C5026" s="26" t="str">
        <f>HYPERLINK("https://audio.iskcondesiretree.com/02_-_ISKCON_Swamis/ISKCON_Swamis_-_R_to_Y/His_Holiness_Radhanath_Swami/Lectures/02_-_Yatra/2008_Pune_yatra/Yatra_Pune_2008-01-25_04_Q%26A_Session_Radhanath_Swami_Chandramauli_Swami_Mahamuni_Pr_Soma_Pr.mp3", "Yatra_Pune_2008-01-25_04_Q%26A_Session_Radhanath_Swami_Chandramauli_Swami_Mahamuni_Pr_Soma_Pr.mp3")</f>
        <v>Yatra_Pune_2008-01-25_04_Q%26A_Session_Radhanath_Swami_Chandramauli_Swami_Mahamuni_Pr_Soma_Pr.mp3</v>
      </c>
      <c r="D5026" s="24"/>
      <c r="E5026" s="24"/>
    </row>
    <row r="5027">
      <c r="A5027" s="25" t="s">
        <v>18509</v>
      </c>
      <c r="B5027" s="25" t="s">
        <v>18525</v>
      </c>
      <c r="C5027" s="26" t="str">
        <f>HYPERLINK("https://audio.iskcondesiretree.com/02_-_ISKCON_Swamis/ISKCON_Swamis_-_R_to_Y/His_Holiness_Radhanath_Swami/Lectures/02_-_Yatra/2008_Pune_yatra/Yatra_Pune_2008-01-26_05_Absorbing_Oneself_In_Hari_Katha_%26_Hari_Kirtan_SB-10-01-13_Radhanath_Swami.mp3", "Yatra_Pune_2008-01-26_05_Absorbing_Oneself_In_Hari_Katha_%26_Hari_Kirtan_SB-10-01-13_Radhanath_Swami.mp3")</f>
        <v>Yatra_Pune_2008-01-26_05_Absorbing_Oneself_In_Hari_Katha_%26_Hari_Kirtan_SB-10-01-13_Radhanath_Swami.mp3</v>
      </c>
      <c r="D5027" s="24"/>
      <c r="E5027" s="24"/>
    </row>
    <row r="5028">
      <c r="A5028" s="25" t="s">
        <v>18509</v>
      </c>
      <c r="B5028" s="25" t="s">
        <v>18525</v>
      </c>
      <c r="C5028" s="26" t="str">
        <f>HYPERLINK("https://audio.iskcondesiretree.com/02_-_ISKCON_Swamis/ISKCON_Swamis_-_R_to_Y/His_Holiness_Radhanath_Swami/Lectures/02_-_Yatra/2008_Pune_yatra/Yatra_Pune_2008-01-26_06_Prayers_Of_Lord_Caitanya_Chandramauli_Swami.mp3", "Yatra_Pune_2008-01-26_06_Prayers_Of_Lord_Caitanya_Chandramauli_Swami.mp3")</f>
        <v>Yatra_Pune_2008-01-26_06_Prayers_Of_Lord_Caitanya_Chandramauli_Swami.mp3</v>
      </c>
      <c r="D5028" s="24"/>
      <c r="E5028" s="24"/>
    </row>
    <row r="5029">
      <c r="A5029" s="25" t="s">
        <v>18509</v>
      </c>
      <c r="B5029" s="25" t="s">
        <v>18525</v>
      </c>
      <c r="C5029" s="26" t="str">
        <f>HYPERLINK("https://audio.iskcondesiretree.com/02_-_ISKCON_Swamis/ISKCON_Swamis_-_R_to_Y/His_Holiness_Radhanath_Swami/Lectures/02_-_Yatra/2008_Pune_yatra/Yatra_Pune_2008-01-26_07_Questions_%26_Answers_Session_Radhanath_Swami_Chandramauli_Swami.mp3", "Yatra_Pune_2008-01-26_07_Questions_%26_Answers_Session_Radhanath_Swami_Chandramauli_Swami.mp3")</f>
        <v>Yatra_Pune_2008-01-26_07_Questions_%26_Answers_Session_Radhanath_Swami_Chandramauli_Swami.mp3</v>
      </c>
      <c r="D5029" s="24"/>
      <c r="E5029" s="24"/>
    </row>
    <row r="5030">
      <c r="A5030" s="25" t="s">
        <v>18509</v>
      </c>
      <c r="B5030" s="25" t="s">
        <v>18525</v>
      </c>
      <c r="C5030" s="26" t="str">
        <f>HYPERLINK("https://audio.iskcondesiretree.com/02_-_ISKCON_Swamis/ISKCON_Swamis_-_R_to_Y/His_Holiness_Radhanath_Swami/Lectures/02_-_Yatra/2008_Pune_yatra/Yatra_Pune_2008-01-27_08_No_Mercy-No_Understanding_SB-01-08-29_Radhanath_Swami.mp3", "Yatra_Pune_2008-01-27_08_No_Mercy-No_Understanding_SB-01-08-29_Radhanath_Swami.mp3")</f>
        <v>Yatra_Pune_2008-01-27_08_No_Mercy-No_Understanding_SB-01-08-29_Radhanath_Swami.mp3</v>
      </c>
      <c r="D5030" s="24"/>
      <c r="E5030" s="24"/>
    </row>
    <row r="5031">
      <c r="A5031" s="25" t="s">
        <v>18509</v>
      </c>
      <c r="B5031" s="25" t="s">
        <v>18525</v>
      </c>
      <c r="C5031" s="26" t="str">
        <f>HYPERLINK("https://audio.iskcondesiretree.com/02_-_ISKCON_Swamis/ISKCON_Swamis_-_R_to_Y/His_Holiness_Radhanath_Swami/Lectures/02_-_Yatra/2008_Pune_yatra/Yatra_Pune_2008-01-27_09_Questions_%26_Answers_Session_Chandramauli_Swami_Radhanath_Swami.mp3", "Yatra_Pune_2008-01-27_09_Questions_%26_Answers_Session_Chandramauli_Swami_Radhanath_Swami.mp3")</f>
        <v>Yatra_Pune_2008-01-27_09_Questions_%26_Answers_Session_Chandramauli_Swami_Radhanath_Swami.mp3</v>
      </c>
      <c r="D5031" s="24"/>
      <c r="E5031" s="24"/>
    </row>
    <row r="5032">
      <c r="A5032" s="25" t="s">
        <v>18509</v>
      </c>
      <c r="B5032" s="25" t="s">
        <v>18525</v>
      </c>
      <c r="C5032" s="26" t="str">
        <f>HYPERLINK("https://audio.iskcondesiretree.com/02_-_ISKCON_Swamis/ISKCON_Swamis_-_R_to_Y/His_Holiness_Radhanath_Swami/Lectures/02_-_Yatra/2008_Pune_yatra/Yatra_Pune_2008-01-27_10_Closing_Session_Of_Pune_Yatra_Radhanath_Swami_Candramauli_Swami_Mahamuni_Pr.mp3", "Yatra_Pune_2008-01-27_10_Closing_Session_Of_Pune_Yatra_Radhanath_Swami_Candramauli_Swami_Mahamuni_Pr.mp3")</f>
        <v>Yatra_Pune_2008-01-27_10_Closing_Session_Of_Pune_Yatra_Radhanath_Swami_Candramauli_Swami_Mahamuni_Pr.mp3</v>
      </c>
      <c r="D5032" s="24"/>
      <c r="E5032" s="24"/>
    </row>
    <row r="5033">
      <c r="A5033" s="25" t="s">
        <v>18509</v>
      </c>
      <c r="B5033" s="25" t="s">
        <v>18526</v>
      </c>
      <c r="C5033" s="26" t="str">
        <f>HYPERLINK("https://audio.iskcondesiretree.com/02_-_ISKCON_Swamis/ISKCON_Swamis_-_R_to_Y/His_Holiness_Radhanath_Swami/Lectures/02_-_Yatra/2008_Vrindavan_Yatra/01_-_Vrindavan_Yatra_2008_-_Mood_In_The_Spiritual_World_Temples_Of_Vrindavan_Part-01_-_Radhanath_Swami.mp3", "01_-_Vrindavan_Yatra_2008_-_Mood_In_The_Spiritual_World_Temples_Of_Vrindavan_Part-01_-_Radhanath_Swami.mp3")</f>
        <v>01_-_Vrindavan_Yatra_2008_-_Mood_In_The_Spiritual_World_Temples_Of_Vrindavan_Part-01_-_Radhanath_Swami.mp3</v>
      </c>
      <c r="D5033" s="24"/>
      <c r="E5033" s="24"/>
    </row>
    <row r="5034">
      <c r="A5034" s="25" t="s">
        <v>18509</v>
      </c>
      <c r="B5034" s="25" t="s">
        <v>18526</v>
      </c>
      <c r="C5034" s="26" t="str">
        <f>HYPERLINK("https://audio.iskcondesiretree.com/02_-_ISKCON_Swamis/ISKCON_Swamis_-_R_to_Y/His_Holiness_Radhanath_Swami/Lectures/02_-_Yatra/2008_Vrindavan_Yatra/02_-_Vrindavan_Yatra_2008_-_Mood_In_The_Spiritual_World_Temples_Of_Vrindavan_Part-02_-_Radhanath_Swami.mp3", "02_-_Vrindavan_Yatra_2008_-_Mood_In_The_Spiritual_World_Temples_Of_Vrindavan_Part-02_-_Radhanath_Swami.mp3")</f>
        <v>02_-_Vrindavan_Yatra_2008_-_Mood_In_The_Spiritual_World_Temples_Of_Vrindavan_Part-02_-_Radhanath_Swami.mp3</v>
      </c>
      <c r="D5034" s="24"/>
      <c r="E5034" s="24"/>
    </row>
    <row r="5035">
      <c r="A5035" s="25" t="s">
        <v>18509</v>
      </c>
      <c r="B5035" s="25" t="s">
        <v>18526</v>
      </c>
      <c r="C5035" s="26" t="str">
        <f>HYPERLINK("https://audio.iskcondesiretree.com/02_-_ISKCON_Swamis/ISKCON_Swamis_-_R_to_Y/His_Holiness_Radhanath_Swami/Lectures/02_-_Yatra/2008_Vrindavan_Yatra/03_-_Vrindavan_Yatra_2008_-_Mood_In_The_Spiritual_World_Temples_Of_Vrindavan_Part-03_-_Radhanath_Swami.mp3", "03_-_Vrindavan_Yatra_2008_-_Mood_In_The_Spiritual_World_Temples_Of_Vrindavan_Part-03_-_Radhanath_Swami.mp3")</f>
        <v>03_-_Vrindavan_Yatra_2008_-_Mood_In_The_Spiritual_World_Temples_Of_Vrindavan_Part-03_-_Radhanath_Swami.mp3</v>
      </c>
      <c r="D5035" s="24"/>
      <c r="E5035" s="24"/>
    </row>
    <row r="5036">
      <c r="A5036" s="25" t="s">
        <v>18509</v>
      </c>
      <c r="B5036" s="25" t="s">
        <v>18526</v>
      </c>
      <c r="C5036" s="26" t="str">
        <f>HYPERLINK("https://audio.iskcondesiretree.com/02_-_ISKCON_Swamis/ISKCON_Swamis_-_R_to_Y/His_Holiness_Radhanath_Swami/Lectures/02_-_Yatra/2008_Vrindavan_Yatra/04_-_Vrindavan_Yatra_2008_-_Krsna%27s_Pastimes_In_Mahavan_Killing_Of_Putana_-_Radhanath_Swami.mp3", "04_-_Vrindavan_Yatra_2008_-_Krsna%27s_Pastimes_In_Mahavan_Killing_Of_Putana_-_Radhanath_Swami.mp3")</f>
        <v>04_-_Vrindavan_Yatra_2008_-_Krsna%27s_Pastimes_In_Mahavan_Killing_Of_Putana_-_Radhanath_Swami.mp3</v>
      </c>
      <c r="D5036" s="24"/>
      <c r="E5036" s="24"/>
    </row>
    <row r="5037">
      <c r="A5037" s="25" t="s">
        <v>18509</v>
      </c>
      <c r="B5037" s="25" t="s">
        <v>18526</v>
      </c>
      <c r="C5037" s="26" t="str">
        <f>HYPERLINK("https://audio.iskcondesiretree.com/02_-_ISKCON_Swamis/ISKCON_Swamis_-_R_to_Y/His_Holiness_Radhanath_Swami/Lectures/02_-_Yatra/2008_Vrindavan_Yatra/05_-_Vrindavan_Yatra_2008_-_Krsna%27s_Pastimes_In_Mahavan_Killing_Of_Sakatasura_-_Radhanath_Swami.mp3", "05_-_Vrindavan_Yatra_2008_-_Krsna%27s_Pastimes_In_Mahavan_Killing_Of_Sakatasura_-_Radhanath_Swami.mp3")</f>
        <v>05_-_Vrindavan_Yatra_2008_-_Krsna%27s_Pastimes_In_Mahavan_Killing_Of_Sakatasura_-_Radhanath_Swami.mp3</v>
      </c>
      <c r="D5037" s="24"/>
      <c r="E5037" s="24"/>
    </row>
    <row r="5038">
      <c r="A5038" s="25" t="s">
        <v>18509</v>
      </c>
      <c r="B5038" s="25" t="s">
        <v>18526</v>
      </c>
      <c r="C5038" s="26" t="str">
        <f>HYPERLINK("https://audio.iskcondesiretree.com/02_-_ISKCON_Swamis/ISKCON_Swamis_-_R_to_Y/His_Holiness_Radhanath_Swami/Lectures/02_-_Yatra/2008_Vrindavan_Yatra/07_-_Vrindavan_Yatra_2008_-_Govardhan_Pastimes_Part-01_-_Radhanath_Swami.mp3", "07_-_Vrindavan_Yatra_2008_-_Govardhan_Pastimes_Part-01_-_Radhanath_Swami.mp3")</f>
        <v>07_-_Vrindavan_Yatra_2008_-_Govardhan_Pastimes_Part-01_-_Radhanath_Swami.mp3</v>
      </c>
      <c r="D5038" s="24"/>
      <c r="E5038" s="24"/>
    </row>
    <row r="5039">
      <c r="A5039" s="25" t="s">
        <v>18509</v>
      </c>
      <c r="B5039" s="25" t="s">
        <v>18526</v>
      </c>
      <c r="C5039" s="26" t="str">
        <f>HYPERLINK("https://audio.iskcondesiretree.com/02_-_ISKCON_Swamis/ISKCON_Swamis_-_R_to_Y/His_Holiness_Radhanath_Swami/Lectures/02_-_Yatra/2008_Vrindavan_Yatra/08_-_Vrindavan_Yatra_2008_-_Govardhan_Pastimes_Part-02_-_Radhanath_Swami.mp3", "08_-_Vrindavan_Yatra_2008_-_Govardhan_Pastimes_Part-02_-_Radhanath_Swami.mp3")</f>
        <v>08_-_Vrindavan_Yatra_2008_-_Govardhan_Pastimes_Part-02_-_Radhanath_Swami.mp3</v>
      </c>
      <c r="D5039" s="24"/>
      <c r="E5039" s="24"/>
    </row>
    <row r="5040">
      <c r="A5040" s="25" t="s">
        <v>18509</v>
      </c>
      <c r="B5040" s="25" t="s">
        <v>18526</v>
      </c>
      <c r="C5040" s="26" t="str">
        <f>HYPERLINK("https://audio.iskcondesiretree.com/02_-_ISKCON_Swamis/ISKCON_Swamis_-_R_to_Y/His_Holiness_Radhanath_Swami/Lectures/02_-_Yatra/2008_Vrindavan_Yatra/09_-_Vrindavan_Yatra_2008_-_Pastime_of_Krishna_at_Bramhand_Kund_-_Radhanath_Swami.mp3", "09_-_Vrindavan_Yatra_2008_-_Pastime_of_Krishna_at_Bramhand_Kund_-_Radhanath_Swami.mp3")</f>
        <v>09_-_Vrindavan_Yatra_2008_-_Pastime_of_Krishna_at_Bramhand_Kund_-_Radhanath_Swami.mp3</v>
      </c>
      <c r="D5040" s="24"/>
      <c r="E5040" s="24"/>
    </row>
    <row r="5041">
      <c r="A5041" s="25" t="s">
        <v>18509</v>
      </c>
      <c r="B5041" s="25" t="s">
        <v>18526</v>
      </c>
      <c r="C5041" s="26" t="str">
        <f>HYPERLINK("https://audio.iskcondesiretree.com/02_-_ISKCON_Swamis/ISKCON_Swamis_-_R_to_Y/His_Holiness_Radhanath_Swami/Lectures/02_-_Yatra/2008_Vrindavan_Yatra/10_-_Vrindavan_Yatra_2008_-_Pastime_of_Krishna_at_Gokul_-_Radhanath_Swami.mp3", "10_-_Vrindavan_Yatra_2008_-_Pastime_of_Krishna_at_Gokul_-_Radhanath_Swami.mp3")</f>
        <v>10_-_Vrindavan_Yatra_2008_-_Pastime_of_Krishna_at_Gokul_-_Radhanath_Swami.mp3</v>
      </c>
      <c r="D5041" s="24"/>
      <c r="E5041" s="24"/>
    </row>
    <row r="5042">
      <c r="A5042" s="25" t="s">
        <v>18509</v>
      </c>
      <c r="B5042" s="25" t="s">
        <v>18526</v>
      </c>
      <c r="C5042" s="26" t="str">
        <f>HYPERLINK("https://audio.iskcondesiretree.com/02_-_ISKCON_Swamis/ISKCON_Swamis_-_R_to_Y/His_Holiness_Radhanath_Swami/Lectures/02_-_Yatra/2008_Vrindavan_Yatra/11_-_Vrindavan_Yatra_2008_-_Significance_Of_Mana_Sarovar_-_Radhanath_Swami.mp3", "11_-_Vrindavan_Yatra_2008_-_Significance_Of_Mana_Sarovar_-_Radhanath_Swami.mp3")</f>
        <v>11_-_Vrindavan_Yatra_2008_-_Significance_Of_Mana_Sarovar_-_Radhanath_Swami.mp3</v>
      </c>
      <c r="D5042" s="24"/>
      <c r="E5042" s="24"/>
    </row>
    <row r="5043">
      <c r="A5043" s="25" t="s">
        <v>18509</v>
      </c>
      <c r="B5043" s="25" t="s">
        <v>18526</v>
      </c>
      <c r="C5043" s="26" t="str">
        <f>HYPERLINK("https://audio.iskcondesiretree.com/02_-_ISKCON_Swamis/ISKCON_Swamis_-_R_to_Y/His_Holiness_Radhanath_Swami/Lectures/02_-_Yatra/2008_Vrindavan_Yatra/12_-_Vrindavan_Yatra_2008_-_Brahma_Vimohan_Lila_Part-01_-_Radhanath_Swami.mp3", "12_-_Vrindavan_Yatra_2008_-_Brahma_Vimohan_Lila_Part-01_-_Radhanath_Swami.mp3")</f>
        <v>12_-_Vrindavan_Yatra_2008_-_Brahma_Vimohan_Lila_Part-01_-_Radhanath_Swami.mp3</v>
      </c>
      <c r="D5043" s="24"/>
      <c r="E5043" s="24"/>
    </row>
    <row r="5044">
      <c r="A5044" s="25" t="s">
        <v>18509</v>
      </c>
      <c r="B5044" s="25" t="s">
        <v>18526</v>
      </c>
      <c r="C5044" s="26" t="str">
        <f>HYPERLINK("https://audio.iskcondesiretree.com/02_-_ISKCON_Swamis/ISKCON_Swamis_-_R_to_Y/His_Holiness_Radhanath_Swami/Lectures/02_-_Yatra/2008_Vrindavan_Yatra/13_-_Vrindavan_Yatra_2008_-_Brahma_Vimohan_Lila_Part-02_-_Radhanath_Swami.mp3", "13_-_Vrindavan_Yatra_2008_-_Brahma_Vimohan_Lila_Part-02_-_Radhanath_Swami.mp3")</f>
        <v>13_-_Vrindavan_Yatra_2008_-_Brahma_Vimohan_Lila_Part-02_-_Radhanath_Swami.mp3</v>
      </c>
      <c r="D5044" s="24"/>
      <c r="E5044" s="24"/>
    </row>
    <row r="5045">
      <c r="A5045" s="25" t="s">
        <v>18509</v>
      </c>
      <c r="B5045" s="25" t="s">
        <v>18526</v>
      </c>
      <c r="C5045" s="26" t="str">
        <f>HYPERLINK("https://audio.iskcondesiretree.com/02_-_ISKCON_Swamis/ISKCON_Swamis_-_R_to_Y/His_Holiness_Radhanath_Swami/Lectures/02_-_Yatra/2008_Vrindavan_Yatra/14_-_Vrindavan_Yatra_2008_-_Govardhan_Parikrama_Through_Sound_Vibration_Part-01_-_Radhanath_Swami.mp3", "14_-_Vrindavan_Yatra_2008_-_Govardhan_Parikrama_Through_Sound_Vibration_Part-01_-_Radhanath_Swami.mp3")</f>
        <v>14_-_Vrindavan_Yatra_2008_-_Govardhan_Parikrama_Through_Sound_Vibration_Part-01_-_Radhanath_Swami.mp3</v>
      </c>
      <c r="D5045" s="24"/>
      <c r="E5045" s="24"/>
    </row>
    <row r="5046">
      <c r="A5046" s="25" t="s">
        <v>18509</v>
      </c>
      <c r="B5046" s="25" t="s">
        <v>18526</v>
      </c>
      <c r="C5046" s="26" t="str">
        <f>HYPERLINK("https://audio.iskcondesiretree.com/02_-_ISKCON_Swamis/ISKCON_Swamis_-_R_to_Y/His_Holiness_Radhanath_Swami/Lectures/02_-_Yatra/2008_Vrindavan_Yatra/15_-_Vrindavan_Yatra_2008_-_Govardhan_Parikrama_Through_Sound_Vibration_Part-02_-_Radhanath_Swami.mp3", "15_-_Vrindavan_Yatra_2008_-_Govardhan_Parikrama_Through_Sound_Vibration_Part-02_-_Radhanath_Swami.mp3")</f>
        <v>15_-_Vrindavan_Yatra_2008_-_Govardhan_Parikrama_Through_Sound_Vibration_Part-02_-_Radhanath_Swami.mp3</v>
      </c>
      <c r="D5046" s="24"/>
      <c r="E5046" s="24"/>
    </row>
    <row r="5047">
      <c r="A5047" s="25" t="s">
        <v>18509</v>
      </c>
      <c r="B5047" s="25" t="s">
        <v>18526</v>
      </c>
      <c r="C5047" s="26" t="str">
        <f>HYPERLINK("https://audio.iskcondesiretree.com/02_-_ISKCON_Swamis/ISKCON_Swamis_-_R_to_Y/His_Holiness_Radhanath_Swami/Lectures/02_-_Yatra/2008_Vrindavan_Yatra/16_-_Vrindavan_Yatra_2008_-_Delivarance_Of_DhenukasurArishtasura_Part-01_-_Radhanath_Swami.mp3", "16_-_Vrindavan_Yatra_2008_-_Delivarance_Of_DhenukasurArishtasura_Part-01_-_Radhanath_Swami.mp3")</f>
        <v>16_-_Vrindavan_Yatra_2008_-_Delivarance_Of_DhenukasurArishtasura_Part-01_-_Radhanath_Swami.mp3</v>
      </c>
      <c r="D5047" s="24"/>
      <c r="E5047" s="24"/>
    </row>
    <row r="5048">
      <c r="A5048" s="25" t="s">
        <v>18509</v>
      </c>
      <c r="B5048" s="25" t="s">
        <v>18526</v>
      </c>
      <c r="C5048" s="26" t="str">
        <f>HYPERLINK("https://audio.iskcondesiretree.com/02_-_ISKCON_Swamis/ISKCON_Swamis_-_R_to_Y/His_Holiness_Radhanath_Swami/Lectures/02_-_Yatra/2008_Vrindavan_Yatra/17_-_Vrindavan_Yatra_2008_-_Delivarance_Of_DhenukasurArishtasura_Part-02_-_Radhanath_Swami.mp3", "17_-_Vrindavan_Yatra_2008_-_Delivarance_Of_DhenukasurArishtasura_Part-02_-_Radhanath_Swami.mp3")</f>
        <v>17_-_Vrindavan_Yatra_2008_-_Delivarance_Of_DhenukasurArishtasura_Part-02_-_Radhanath_Swami.mp3</v>
      </c>
      <c r="D5048" s="24"/>
      <c r="E5048" s="24"/>
    </row>
    <row r="5049">
      <c r="A5049" s="25" t="s">
        <v>18509</v>
      </c>
      <c r="B5049" s="25" t="s">
        <v>18526</v>
      </c>
      <c r="C5049" s="26" t="str">
        <f>HYPERLINK("https://audio.iskcondesiretree.com/02_-_ISKCON_Swamis/ISKCON_Swamis_-_R_to_Y/His_Holiness_Radhanath_Swami/Lectures/02_-_Yatra/2008_Vrindavan_Yatra/18_-_Vrindavan_Yatra_2008_-_Searching_For_Krishna_-_HH-Sachinandan_Swami.mp3", "18_-_Vrindavan_Yatra_2008_-_Searching_For_Krishna_-_HH-Sachinandan_Swami.mp3")</f>
        <v>18_-_Vrindavan_Yatra_2008_-_Searching_For_Krishna_-_HH-Sachinandan_Swami.mp3</v>
      </c>
      <c r="D5049" s="24"/>
      <c r="E5049" s="24"/>
    </row>
    <row r="5050">
      <c r="A5050" s="25" t="s">
        <v>18509</v>
      </c>
      <c r="B5050" s="25" t="s">
        <v>18526</v>
      </c>
      <c r="C5050" s="26" t="str">
        <f>HYPERLINK("https://audio.iskcondesiretree.com/02_-_ISKCON_Swamis/ISKCON_Swamis_-_R_to_Y/His_Holiness_Radhanath_Swami/Lectures/02_-_Yatra/2008_Vrindavan_Yatra/19_-_Vrindavan_Yatra_2008_-_Begging_For_the_Love_of_Krishna_-_HH-Radhanath_Swami_at.mp3", "19_-_Vrindavan_Yatra_2008_-_Begging_For_the_Love_of_Krishna_-_HH-Radhanath_Swami_at.mp3")</f>
        <v>19_-_Vrindavan_Yatra_2008_-_Begging_For_the_Love_of_Krishna_-_HH-Radhanath_Swami_at.mp3</v>
      </c>
      <c r="D5050" s="24"/>
      <c r="E5050" s="24"/>
    </row>
    <row r="5051">
      <c r="A5051" s="25" t="s">
        <v>18509</v>
      </c>
      <c r="B5051" s="25" t="s">
        <v>18526</v>
      </c>
      <c r="C5051" s="26" t="str">
        <f>HYPERLINK("https://audio.iskcondesiretree.com/02_-_ISKCON_Swamis/ISKCON_Swamis_-_R_to_Y/His_Holiness_Radhanath_Swami/Lectures/02_-_Yatra/2008_Vrindavan_Yatra/20_-_Vrindavan_Yatra_2008_-_Radha_%26_Krishna_Pastimes_-_HH-Sachinandan_Swami_at_Maan.mp3", "20_-_Vrindavan_Yatra_2008_-_Radha_%26_Krishna_Pastimes_-_HH-Sachinandan_Swami_at_Maan.mp3")</f>
        <v>20_-_Vrindavan_Yatra_2008_-_Radha_%26_Krishna_Pastimes_-_HH-Sachinandan_Swami_at_Maan.mp3</v>
      </c>
      <c r="D5051" s="24"/>
      <c r="E5051" s="24"/>
    </row>
    <row r="5052">
      <c r="A5052" s="25" t="s">
        <v>18509</v>
      </c>
      <c r="B5052" s="25" t="s">
        <v>18526</v>
      </c>
      <c r="C5052" s="26" t="str">
        <f>HYPERLINK("https://audio.iskcondesiretree.com/02_-_ISKCON_Swamis/ISKCON_Swamis_-_R_to_Y/His_Holiness_Radhanath_Swami/Lectures/02_-_Yatra/2008_Vrindavan_Yatra/21_-_Vrindavan_Yatra_2008_-_Expression_of_The_Love_From_the_Heart_-_HH-Radhanath_Swami.mp3", "21_-_Vrindavan_Yatra_2008_-_Expression_of_The_Love_From_the_Heart_-_HH-Radhanath_Swami.mp3")</f>
        <v>21_-_Vrindavan_Yatra_2008_-_Expression_of_The_Love_From_the_Heart_-_HH-Radhanath_Swami.mp3</v>
      </c>
      <c r="D5052" s="24"/>
      <c r="E5052" s="24"/>
    </row>
    <row r="5053">
      <c r="A5053" s="25" t="s">
        <v>18509</v>
      </c>
      <c r="B5053" s="25" t="s">
        <v>18526</v>
      </c>
      <c r="C5053" s="26" t="str">
        <f>HYPERLINK("https://audio.iskcondesiretree.com/02_-_ISKCON_Swamis/ISKCON_Swamis_-_R_to_Y/His_Holiness_Radhanath_Swami/Lectures/02_-_Yatra/2008_Vrindavan_Yatra/22_-_Vrindavan_Yatra_2008_-_Krishna_Talking_with_Birds_%26_Animals_-_HH-Sachinanadan_Swami.mp3", "22_-_Vrindavan_Yatra_2008_-_Krishna_Talking_with_Birds_%26_Animals_-_HH-Sachinanadan_Swami.mp3")</f>
        <v>22_-_Vrindavan_Yatra_2008_-_Krishna_Talking_with_Birds_%26_Animals_-_HH-Sachinanadan_Swami.mp3</v>
      </c>
      <c r="D5053" s="24"/>
      <c r="E5053" s="24"/>
    </row>
    <row r="5054">
      <c r="A5054" s="25" t="s">
        <v>18509</v>
      </c>
      <c r="B5054" s="25" t="s">
        <v>18526</v>
      </c>
      <c r="C5054" s="26" t="str">
        <f>HYPERLINK("https://audio.iskcondesiretree.com/02_-_ISKCON_Swamis/ISKCON_Swamis_-_R_to_Y/His_Holiness_Radhanath_Swami/Lectures/02_-_Yatra/2008_Vrindavan_Yatra/23_-_Vrindavan_Yatra_2008_-_Krishna%E2%80%99s_pastimes_in_Nandagram_-_HG-Deena_Bandhu_Dasa.mp3", "23_-_Vrindavan_Yatra_2008_-_Krishna%E2%80%99s_pastimes_in_Nandagram_-_HG-Deena_Bandhu_Dasa.mp3")</f>
        <v>23_-_Vrindavan_Yatra_2008_-_Krishna%E2%80%99s_pastimes_in_Nandagram_-_HG-Deena_Bandhu_Dasa.mp3</v>
      </c>
      <c r="D5054" s="24"/>
      <c r="E5054" s="24"/>
    </row>
    <row r="5055">
      <c r="A5055" s="25" t="s">
        <v>18509</v>
      </c>
      <c r="B5055" s="25" t="s">
        <v>18526</v>
      </c>
      <c r="C5055" s="26" t="str">
        <f>HYPERLINK("https://audio.iskcondesiretree.com/02_-_ISKCON_Swamis/ISKCON_Swamis_-_R_to_Y/His_Holiness_Radhanath_Swami/Lectures/02_-_Yatra/2008_Vrindavan_Yatra/24_-_Vrindavan_Yatra_2008_-_Concluding_Lecture_-_HG-Govind_Das.mp3", "24_-_Vrindavan_Yatra_2008_-_Concluding_Lecture_-_HG-Govind_Das.mp3")</f>
        <v>24_-_Vrindavan_Yatra_2008_-_Concluding_Lecture_-_HG-Govind_Das.mp3</v>
      </c>
      <c r="D5055" s="24"/>
      <c r="E5055" s="24"/>
    </row>
    <row r="5056">
      <c r="A5056" s="25" t="s">
        <v>18509</v>
      </c>
      <c r="B5056" s="25" t="s">
        <v>18526</v>
      </c>
      <c r="C5056" s="26" t="str">
        <f>HYPERLINK("https://audio.iskcondesiretree.com/02_-_ISKCON_Swamis/ISKCON_Swamis_-_R_to_Y/His_Holiness_Radhanath_Swami/Lectures/02_-_Yatra/2008_Vrindavan_Yatra/25_-_Vrindavan_Yatra_2008_-_Concluding_Lecture_-_HG-Radha_Gopinath_Das.mp3", "25_-_Vrindavan_Yatra_2008_-_Concluding_Lecture_-_HG-Radha_Gopinath_Das.mp3")</f>
        <v>25_-_Vrindavan_Yatra_2008_-_Concluding_Lecture_-_HG-Radha_Gopinath_Das.mp3</v>
      </c>
      <c r="D5056" s="24"/>
      <c r="E5056" s="24"/>
    </row>
    <row r="5057">
      <c r="A5057" s="25" t="s">
        <v>18509</v>
      </c>
      <c r="B5057" s="25" t="s">
        <v>18526</v>
      </c>
      <c r="C5057" s="26" t="str">
        <f>HYPERLINK("https://audio.iskcondesiretree.com/02_-_ISKCON_Swamis/ISKCON_Swamis_-_R_to_Y/His_Holiness_Radhanath_Swami/Lectures/02_-_Yatra/2008_Vrindavan_Yatra/26_-_Vrindavan_Yatra_2008_-_Concluding_Lecture_-_HH-Radhanath_Swami.mp3", "26_-_Vrindavan_Yatra_2008_-_Concluding_Lecture_-_HH-Radhanath_Swami.mp3")</f>
        <v>26_-_Vrindavan_Yatra_2008_-_Concluding_Lecture_-_HH-Radhanath_Swami.mp3</v>
      </c>
      <c r="D5057" s="24"/>
      <c r="E5057" s="24"/>
    </row>
    <row r="5058">
      <c r="A5058" s="25" t="s">
        <v>18509</v>
      </c>
      <c r="B5058" s="25" t="s">
        <v>18526</v>
      </c>
      <c r="C5058" s="26" t="str">
        <f>HYPERLINK("https://audio.iskcondesiretree.com/02_-_ISKCON_Swamis/ISKCON_Swamis_-_R_to_Y/His_Holiness_Radhanath_Swami/Lectures/02_-_Yatra/2008_Vrindavan_Yatra/27_-_Vrindavan_Yatra_2008_-_Hare_Krishna_HH-Radhanath_Swami.mp3", "27_-_Vrindavan_Yatra_2008_-_Hare_Krishna_HH-Radhanath_Swami.mp3")</f>
        <v>27_-_Vrindavan_Yatra_2008_-_Hare_Krishna_HH-Radhanath_Swami.mp3</v>
      </c>
      <c r="D5058" s="24"/>
      <c r="E5058" s="24"/>
    </row>
    <row r="5059">
      <c r="A5059" s="25" t="s">
        <v>18509</v>
      </c>
      <c r="B5059" s="25" t="s">
        <v>18527</v>
      </c>
      <c r="C5059" s="26" t="str">
        <f>HYPERLINK("https://audio.iskcondesiretree.com/02_-_ISKCON_Swamis/ISKCON_Swamis_-_R_to_Y/His_Holiness_Radhanath_Swami/Lectures/02_-_Yatra/2009_Mayapur_Yatra/2009-10-07_-_Damodarastakam_Flute_-_Radhanath_Swami_ISKCON_Chowpatty.MP3", "2009-10-07_-_Damodarastakam_Flute_-_Radhanath_Swami_ISKCON_Chowpatty.MP3")</f>
        <v>2009-10-07_-_Damodarastakam_Flute_-_Radhanath_Swami_ISKCON_Chowpatty.MP3</v>
      </c>
      <c r="D5059" s="24"/>
      <c r="E5059" s="24"/>
    </row>
    <row r="5060">
      <c r="A5060" s="25" t="s">
        <v>18509</v>
      </c>
      <c r="B5060" s="25" t="s">
        <v>18527</v>
      </c>
      <c r="C5060" s="26" t="str">
        <f>HYPERLINK("https://audio.iskcondesiretree.com/02_-_ISKCON_Swamis/ISKCON_Swamis_-_R_to_Y/His_Holiness_Radhanath_Swami/Lectures/02_-_Yatra/2009_Mayapur_Yatra/2009-10-08_-_Damodarastakam_Flute_%26_Tabla_-_Radhanath_Swami_ISKCON_Chowpatty.MP3", "2009-10-08_-_Damodarastakam_Flute_%26_Tabla_-_Radhanath_Swami_ISKCON_Chowpatty.MP3")</f>
        <v>2009-10-08_-_Damodarastakam_Flute_%26_Tabla_-_Radhanath_Swami_ISKCON_Chowpatty.MP3</v>
      </c>
      <c r="D5060" s="24"/>
      <c r="E5060" s="24"/>
    </row>
    <row r="5061">
      <c r="A5061" s="25" t="s">
        <v>18509</v>
      </c>
      <c r="B5061" s="25" t="s">
        <v>18527</v>
      </c>
      <c r="C5061" s="26" t="str">
        <f>HYPERLINK("https://audio.iskcondesiretree.com/02_-_ISKCON_Swamis/ISKCON_Swamis_-_R_to_Y/His_Holiness_Radhanath_Swami/Lectures/02_-_Yatra/2009_Mayapur_Yatra/2009-10-09_-_Damodarastakam_Flute_%26_Mridanga_-_Radhanath_Swami_ISKCON_Chowpatty.MP3", "2009-10-09_-_Damodarastakam_Flute_%26_Mridanga_-_Radhanath_Swami_ISKCON_Chowpatty.MP3")</f>
        <v>2009-10-09_-_Damodarastakam_Flute_%26_Mridanga_-_Radhanath_Swami_ISKCON_Chowpatty.MP3</v>
      </c>
      <c r="D5061" s="24"/>
      <c r="E5061" s="24"/>
    </row>
    <row r="5062">
      <c r="A5062" s="25" t="s">
        <v>18509</v>
      </c>
      <c r="B5062" s="25" t="s">
        <v>18527</v>
      </c>
      <c r="C5062" s="26" t="str">
        <f>HYPERLINK("https://audio.iskcondesiretree.com/02_-_ISKCON_Swamis/ISKCON_Swamis_-_R_to_Y/His_Holiness_Radhanath_Swami/Lectures/02_-_Yatra/2009_Mayapur_Yatra/2009-10-17_-_Glories_of_Navadwipa_Dhama_-_Jayapataka_Swamii_-_ISKCON_Mayapur.mp3", "2009-10-17_-_Glories_of_Navadwipa_Dhama_-_Jayapataka_Swamii_-_ISKCON_Mayapur.mp3")</f>
        <v>2009-10-17_-_Glories_of_Navadwipa_Dhama_-_Jayapataka_Swamii_-_ISKCON_Mayapur.mp3</v>
      </c>
      <c r="D5062" s="24"/>
      <c r="E5062" s="24"/>
    </row>
    <row r="5063">
      <c r="A5063" s="25" t="s">
        <v>18509</v>
      </c>
      <c r="B5063" s="25" t="s">
        <v>18527</v>
      </c>
      <c r="C5063" s="26" t="str">
        <f>HYPERLINK("https://audio.iskcondesiretree.com/02_-_ISKCON_Swamis/ISKCON_Swamis_-_R_to_Y/His_Holiness_Radhanath_Swami/Lectures/02_-_Yatra/2009_Mayapur_Yatra/2009-10-17_-_Inaugral_Lecture-Mood_In_The_Yatra_-_Radhanath_Swami_ISKCON_Mayapur.mp3", "2009-10-17_-_Inaugral_Lecture-Mood_In_The_Yatra_-_Radhanath_Swami_ISKCON_Mayapur.mp3")</f>
        <v>2009-10-17_-_Inaugral_Lecture-Mood_In_The_Yatra_-_Radhanath_Swami_ISKCON_Mayapur.mp3</v>
      </c>
      <c r="D5063" s="24"/>
      <c r="E5063" s="24"/>
    </row>
    <row r="5064">
      <c r="A5064" s="25" t="s">
        <v>18509</v>
      </c>
      <c r="B5064" s="25" t="s">
        <v>18527</v>
      </c>
      <c r="C5064" s="26" t="str">
        <f>HYPERLINK("https://audio.iskcondesiretree.com/02_-_ISKCON_Swamis/ISKCON_Swamis_-_R_to_Y/His_Holiness_Radhanath_Swami/Lectures/02_-_Yatra/2009_Mayapur_Yatra/2009-10-17_-_Inviting%20Jaya%20Pataka%20Swami_%20Radhanath_Swami.mp3", "2009-10-17_-_Inviting%20Jaya%20Pataka%20Swami_%20Radhanath_Swami.mp3")</f>
        <v>2009-10-17_-_Inviting%20Jaya%20Pataka%20Swami_%20Radhanath_Swami.mp3</v>
      </c>
      <c r="D5064" s="24"/>
      <c r="E5064" s="24"/>
    </row>
    <row r="5065">
      <c r="A5065" s="25" t="s">
        <v>18509</v>
      </c>
      <c r="B5065" s="25" t="s">
        <v>18527</v>
      </c>
      <c r="C5065" s="26" t="str">
        <f>HYPERLINK("https://audio.iskcondesiretree.com/02_-_ISKCON_Swamis/ISKCON_Swamis_-_R_to_Y/His_Holiness_Radhanath_Swami/Lectures/02_-_Yatra/2009_Mayapur_Yatra/2009-10-17_-_Kirtan_1_-_Radhanath_Swami_ISKCON_Chowpatty.mp3", "2009-10-17_-_Kirtan_1_-_Radhanath_Swami_ISKCON_Chowpatty.mp3")</f>
        <v>2009-10-17_-_Kirtan_1_-_Radhanath_Swami_ISKCON_Chowpatty.mp3</v>
      </c>
      <c r="D5065" s="24"/>
      <c r="E5065" s="24"/>
    </row>
    <row r="5066">
      <c r="A5066" s="25" t="s">
        <v>18509</v>
      </c>
      <c r="B5066" s="25" t="s">
        <v>18527</v>
      </c>
      <c r="C5066" s="26" t="str">
        <f>HYPERLINK("https://audio.iskcondesiretree.com/02_-_ISKCON_Swamis/ISKCON_Swamis_-_R_to_Y/His_Holiness_Radhanath_Swami/Lectures/02_-_Yatra/2009_Mayapur_Yatra/2009-10-17_-_Kirtan_2_-_Radhanath_Swami_ISKCON_Chowpatty.mp3", "2009-10-17_-_Kirtan_2_-_Radhanath_Swami_ISKCON_Chowpatty.mp3")</f>
        <v>2009-10-17_-_Kirtan_2_-_Radhanath_Swami_ISKCON_Chowpatty.mp3</v>
      </c>
      <c r="D5066" s="24"/>
      <c r="E5066" s="24"/>
    </row>
    <row r="5067">
      <c r="A5067" s="25" t="s">
        <v>18509</v>
      </c>
      <c r="B5067" s="25" t="s">
        <v>18527</v>
      </c>
      <c r="C5067" s="26" t="str">
        <f>HYPERLINK("https://audio.iskcondesiretree.com/02_-_ISKCON_Swamis/ISKCON_Swamis_-_R_to_Y/His_Holiness_Radhanath_Swami/Lectures/02_-_Yatra/2009_Mayapur_Yatra/2009-10-17_-_Significance_Of_Diwali_-_Radhanath_Swamii_-_ISKCON_Mayapur.mp3", "2009-10-17_-_Significance_Of_Diwali_-_Radhanath_Swamii_-_ISKCON_Mayapur.mp3")</f>
        <v>2009-10-17_-_Significance_Of_Diwali_-_Radhanath_Swamii_-_ISKCON_Mayapur.mp3</v>
      </c>
      <c r="D5067" s="24"/>
      <c r="E5067" s="24"/>
    </row>
    <row r="5068">
      <c r="A5068" s="25" t="s">
        <v>18509</v>
      </c>
      <c r="B5068" s="25" t="s">
        <v>18527</v>
      </c>
      <c r="C5068" s="26" t="str">
        <f>HYPERLINK("https://audio.iskcondesiretree.com/02_-_ISKCON_Swamis/ISKCON_Swamis_-_R_to_Y/His_Holiness_Radhanath_Swami/Lectures/02_-_Yatra/2009_Mayapur_Yatra/2009-10-18_-_Bhajan_Parama_karuna_-_Radhanath_Swami_ISKCON_Mayapur.mp3", "2009-10-18_-_Bhajan_Parama_karuna_-_Radhanath_Swami_ISKCON_Mayapur.mp3")</f>
        <v>2009-10-18_-_Bhajan_Parama_karuna_-_Radhanath_Swami_ISKCON_Mayapur.mp3</v>
      </c>
      <c r="D5068" s="24"/>
      <c r="E5068" s="24"/>
    </row>
    <row r="5069">
      <c r="A5069" s="25" t="s">
        <v>18509</v>
      </c>
      <c r="B5069" s="25" t="s">
        <v>18527</v>
      </c>
      <c r="C5069" s="26" t="str">
        <f>HYPERLINK("https://audio.iskcondesiretree.com/02_-_ISKCON_Swamis/ISKCON_Swamis_-_R_to_Y/His_Holiness_Radhanath_Swami/Lectures/02_-_Yatra/2009_Mayapur_Yatra/2009-10-18_-_Gaura_Leela_-_Radhanath_Swami%2CJayapataka_Swami_ISKCON_Mayapur.mp3", "2009-10-18_-_Gaura_Leela_-_Radhanath_Swami%2CJayapataka_Swami_ISKCON_Mayapur.mp3")</f>
        <v>2009-10-18_-_Gaura_Leela_-_Radhanath_Swami%2CJayapataka_Swami_ISKCON_Mayapur.mp3</v>
      </c>
      <c r="D5069" s="24"/>
      <c r="E5069" s="24"/>
    </row>
    <row r="5070">
      <c r="A5070" s="25" t="s">
        <v>18509</v>
      </c>
      <c r="B5070" s="25" t="s">
        <v>18527</v>
      </c>
      <c r="C5070" s="26" t="str">
        <f>HYPERLINK("https://audio.iskcondesiretree.com/02_-_ISKCON_Swamis/ISKCON_Swamis_-_R_to_Y/His_Holiness_Radhanath_Swami/Lectures/02_-_Yatra/2009_Mayapur_Yatra/2009-10-19_-_Damodar_Ashtakam_-_Naru_Gopal_Prabhu.mp3", "2009-10-19_-_Damodar_Ashtakam_-_Naru_Gopal_Prabhu.mp3")</f>
        <v>2009-10-19_-_Damodar_Ashtakam_-_Naru_Gopal_Prabhu.mp3</v>
      </c>
      <c r="D5070" s="24"/>
      <c r="E5070" s="24"/>
    </row>
    <row r="5071">
      <c r="A5071" s="25" t="s">
        <v>18509</v>
      </c>
      <c r="B5071" s="25" t="s">
        <v>18527</v>
      </c>
      <c r="C5071" s="26" t="str">
        <f>HYPERLINK("https://audio.iskcondesiretree.com/02_-_ISKCON_Swamis/ISKCON_Swamis_-_R_to_Y/His_Holiness_Radhanath_Swami/Lectures/02_-_Yatra/2009_Mayapur_Yatra/2009-10-19_-_Indra%C2%B4s_Reaction_To_Goverdhan_Puja_-_Radhanath_Swami_ISKCON_Mayapur.mp3", "2009-10-19_-_Indra%C2%B4s_Reaction_To_Goverdhan_Puja_-_Radhanath_Swami_ISKCON_Mayapur.mp3")</f>
        <v>2009-10-19_-_Indra%C2%B4s_Reaction_To_Goverdhan_Puja_-_Radhanath_Swami_ISKCON_Mayapur.mp3</v>
      </c>
      <c r="D5071" s="24"/>
      <c r="E5071" s="24"/>
    </row>
    <row r="5072">
      <c r="A5072" s="25" t="s">
        <v>18509</v>
      </c>
      <c r="B5072" s="25" t="s">
        <v>18527</v>
      </c>
      <c r="C5072" s="26" t="str">
        <f>HYPERLINK("https://audio.iskcondesiretree.com/02_-_ISKCON_Swamis/ISKCON_Swamis_-_R_to_Y/His_Holiness_Radhanath_Swami/Lectures/02_-_Yatra/2009_Mayapur_Yatra/2009-10-19_-_SB-10-24-35_Krsna_Worships_Sri_Goverdhan_-_Radhanath_Swami_-_ISKCON_Mayapur.mp3", "2009-10-19_-_SB-10-24-35_Krsna_Worships_Sri_Goverdhan_-_Radhanath_Swami_-_ISKCON_Mayapur.mp3")</f>
        <v>2009-10-19_-_SB-10-24-35_Krsna_Worships_Sri_Goverdhan_-_Radhanath_Swami_-_ISKCON_Mayapur.mp3</v>
      </c>
      <c r="D5072" s="24"/>
      <c r="E5072" s="24"/>
    </row>
    <row r="5073">
      <c r="A5073" s="25" t="s">
        <v>18509</v>
      </c>
      <c r="B5073" s="25" t="s">
        <v>18527</v>
      </c>
      <c r="C5073" s="26" t="str">
        <f>HYPERLINK("https://audio.iskcondesiretree.com/02_-_ISKCON_Swamis/ISKCON_Swamis_-_R_to_Y/His_Holiness_Radhanath_Swami/Lectures/02_-_Yatra/2009_Mayapur_Yatra/2009-10-20_-_Childhood_Pastimes_Of_Nimai_-_Radhanath_Swami_-_ISKCON_Mayapur.mp3", "2009-10-20_-_Childhood_Pastimes_Of_Nimai_-_Radhanath_Swami_-_ISKCON_Mayapur.mp3")</f>
        <v>2009-10-20_-_Childhood_Pastimes_Of_Nimai_-_Radhanath_Swami_-_ISKCON_Mayapur.mp3</v>
      </c>
      <c r="D5073" s="24"/>
      <c r="E5073" s="24"/>
    </row>
    <row r="5074">
      <c r="A5074" s="25" t="s">
        <v>18509</v>
      </c>
      <c r="B5074" s="25" t="s">
        <v>18527</v>
      </c>
      <c r="C5074" s="26" t="str">
        <f>HYPERLINK("https://audio.iskcondesiretree.com/02_-_ISKCON_Swamis/ISKCON_Swamis_-_R_to_Y/His_Holiness_Radhanath_Swami/Lectures/02_-_Yatra/2009_Mayapur_Yatra/2009-10-20_-_Damodar_Ashtakam_-_Radhanath_Swami.mp3", "2009-10-20_-_Damodar_Ashtakam_-_Radhanath_Swami.mp3")</f>
        <v>2009-10-20_-_Damodar_Ashtakam_-_Radhanath_Swami.mp3</v>
      </c>
      <c r="D5074" s="24"/>
      <c r="E5074" s="24"/>
    </row>
    <row r="5075">
      <c r="A5075" s="25" t="s">
        <v>18509</v>
      </c>
      <c r="B5075" s="25" t="s">
        <v>18527</v>
      </c>
      <c r="C5075" s="26" t="str">
        <f>HYPERLINK("https://audio.iskcondesiretree.com/02_-_ISKCON_Swamis/ISKCON_Swamis_-_R_to_Y/His_Holiness_Radhanath_Swami/Lectures/02_-_Yatra/2009_Mayapur_Yatra/2009-10-20_-_HK_Kirtan_-_Radhanath_Swami.mp3", "2009-10-20_-_HK_Kirtan_-_Radhanath_Swami.mp3")</f>
        <v>2009-10-20_-_HK_Kirtan_-_Radhanath_Swami.mp3</v>
      </c>
      <c r="D5075" s="24"/>
      <c r="E5075" s="24"/>
    </row>
    <row r="5076">
      <c r="A5076" s="25" t="s">
        <v>18509</v>
      </c>
      <c r="B5076" s="25" t="s">
        <v>18527</v>
      </c>
      <c r="C5076" s="26" t="str">
        <f>HYPERLINK("https://audio.iskcondesiretree.com/02_-_ISKCON_Swamis/ISKCON_Swamis_-_R_to_Y/His_Holiness_Radhanath_Swami/Lectures/02_-_Yatra/2009_Mayapur_Yatra/2009-10-21_-_Jaya_Jaya_Jagannath_-_Radhanath_Swami.mp3", "2009-10-21_-_Jaya_Jaya_Jagannath_-_Radhanath_Swami.mp3")</f>
        <v>2009-10-21_-_Jaya_Jaya_Jagannath_-_Radhanath_Swami.mp3</v>
      </c>
      <c r="D5076" s="24"/>
      <c r="E5076" s="24"/>
    </row>
    <row r="5077">
      <c r="A5077" s="25" t="s">
        <v>18509</v>
      </c>
      <c r="B5077" s="25" t="s">
        <v>18527</v>
      </c>
      <c r="C5077" s="26" t="str">
        <f>HYPERLINK("https://audio.iskcondesiretree.com/02_-_ISKCON_Swamis/ISKCON_Swamis_-_R_to_Y/His_Holiness_Radhanath_Swami/Lectures/02_-_Yatra/2009_Mayapur_Yatra/2009-10-21_-_Setting_The_Scene_For_Lord_Caitanya%27s_Sanyasa_-_Radhanath_Swami.mp3", "2009-10-21_-_Setting_The_Scene_For_Lord_Caitanya%27s_Sanyasa_-_Radhanath_Swami.mp3")</f>
        <v>2009-10-21_-_Setting_The_Scene_For_Lord_Caitanya%27s_Sanyasa_-_Radhanath_Swami.mp3</v>
      </c>
      <c r="D5077" s="24"/>
      <c r="E5077" s="24"/>
    </row>
    <row r="5078">
      <c r="A5078" s="25" t="s">
        <v>18509</v>
      </c>
      <c r="B5078" s="25" t="s">
        <v>18527</v>
      </c>
      <c r="C5078" s="26" t="str">
        <f>HYPERLINK("https://audio.iskcondesiretree.com/02_-_ISKCON_Swamis/ISKCON_Swamis_-_R_to_Y/His_Holiness_Radhanath_Swami/Lectures/02_-_Yatra/2009_Mayapur_Yatra/2009-10-22_-_Gurudev_Kripa_Bindu_Diya_-_Murari_Hari_Prabhu_ISKCON_Mayapur.mp3", "2009-10-22_-_Gurudev_Kripa_Bindu_Diya_-_Murari_Hari_Prabhu_ISKCON_Mayapur.mp3")</f>
        <v>2009-10-22_-_Gurudev_Kripa_Bindu_Diya_-_Murari_Hari_Prabhu_ISKCON_Mayapur.mp3</v>
      </c>
      <c r="D5078" s="24"/>
      <c r="E5078" s="24"/>
    </row>
    <row r="5079">
      <c r="A5079" s="25" t="s">
        <v>18509</v>
      </c>
      <c r="B5079" s="25" t="s">
        <v>18527</v>
      </c>
      <c r="C5079" s="26" t="str">
        <f>HYPERLINK("https://audio.iskcondesiretree.com/02_-_ISKCON_Swamis/ISKCON_Swamis_-_R_to_Y/His_Holiness_Radhanath_Swami/Lectures/02_-_Yatra/2009_Mayapur_Yatra/2009-10-22_-_HK_Kirtan_%26_Je_Anilo_Prema_Dhana_-_Radhanath_Swami_ISKCON_Mayapur.mp3", "2009-10-22_-_HK_Kirtan_%26_Je_Anilo_Prema_Dhana_-_Radhanath_Swami_ISKCON_Mayapur.mp3")</f>
        <v>2009-10-22_-_HK_Kirtan_%26_Je_Anilo_Prema_Dhana_-_Radhanath_Swami_ISKCON_Mayapur.mp3</v>
      </c>
      <c r="D5079" s="24"/>
      <c r="E5079" s="24"/>
    </row>
    <row r="5080">
      <c r="A5080" s="25" t="s">
        <v>18509</v>
      </c>
      <c r="B5080" s="25" t="s">
        <v>18527</v>
      </c>
      <c r="C5080" s="26" t="str">
        <f>HYPERLINK("https://audio.iskcondesiretree.com/02_-_ISKCON_Swamis/ISKCON_Swamis_-_R_to_Y/His_Holiness_Radhanath_Swami/Lectures/02_-_Yatra/2009_Mayapur_Yatra/2009-10-22_-_HK_Kirtan_-_Murari_Hari_Prabhu.mp3", "2009-10-22_-_HK_Kirtan_-_Murari_Hari_Prabhu.mp3")</f>
        <v>2009-10-22_-_HK_Kirtan_-_Murari_Hari_Prabhu.mp3</v>
      </c>
      <c r="D5080" s="24"/>
      <c r="E5080" s="24"/>
    </row>
    <row r="5081">
      <c r="A5081" s="25" t="s">
        <v>18509</v>
      </c>
      <c r="B5081" s="25" t="s">
        <v>18527</v>
      </c>
      <c r="C5081" s="26" t="str">
        <f>HYPERLINK("https://audio.iskcondesiretree.com/02_-_ISKCON_Swamis/ISKCON_Swamis_-_R_to_Y/His_Holiness_Radhanath_Swami/Lectures/02_-_Yatra/2009_Mayapur_Yatra/2009-10-22_-_HK_Kirtan_-_Murari_Hari_Prabhu_ISKCON_Mayapur.mp3", "2009-10-22_-_HK_Kirtan_-_Murari_Hari_Prabhu_ISKCON_Mayapur.mp3")</f>
        <v>2009-10-22_-_HK_Kirtan_-_Murari_Hari_Prabhu_ISKCON_Mayapur.mp3</v>
      </c>
      <c r="D5081" s="24"/>
      <c r="E5081" s="24"/>
    </row>
    <row r="5082">
      <c r="A5082" s="25" t="s">
        <v>18509</v>
      </c>
      <c r="B5082" s="25" t="s">
        <v>18527</v>
      </c>
      <c r="C5082" s="26" t="str">
        <f>HYPERLINK("https://audio.iskcondesiretree.com/02_-_ISKCON_Swamis/ISKCON_Swamis_-_R_to_Y/His_Holiness_Radhanath_Swami/Lectures/02_-_Yatra/2009_Mayapur_Yatra/2009-10-22_-_Offerings_To_Srila_Prabhupada-1_-_Prabhupada_Disciples_ISKCON_Mayapur.mp3", "2009-10-22_-_Offerings_To_Srila_Prabhupada-1_-_Prabhupada_Disciples_ISKCON_Mayapur.mp3")</f>
        <v>2009-10-22_-_Offerings_To_Srila_Prabhupada-1_-_Prabhupada_Disciples_ISKCON_Mayapur.mp3</v>
      </c>
      <c r="D5082" s="24"/>
      <c r="E5082" s="24"/>
    </row>
    <row r="5083">
      <c r="A5083" s="25" t="s">
        <v>18509</v>
      </c>
      <c r="B5083" s="25" t="s">
        <v>18527</v>
      </c>
      <c r="C5083" s="26" t="str">
        <f>HYPERLINK("https://audio.iskcondesiretree.com/02_-_ISKCON_Swamis/ISKCON_Swamis_-_R_to_Y/His_Holiness_Radhanath_Swami/Lectures/02_-_Yatra/2009_Mayapur_Yatra/2009-10-22_-_Offerings_To_Srila_Prabhupada-3_-_Prabhupada_Disciples_ISKCON_Mayapur.mp3", "2009-10-22_-_Offerings_To_Srila_Prabhupada-3_-_Prabhupada_Disciples_ISKCON_Mayapur.mp3")</f>
        <v>2009-10-22_-_Offerings_To_Srila_Prabhupada-3_-_Prabhupada_Disciples_ISKCON_Mayapur.mp3</v>
      </c>
      <c r="D5083" s="24"/>
      <c r="E5083" s="24"/>
    </row>
    <row r="5084">
      <c r="A5084" s="25" t="s">
        <v>18509</v>
      </c>
      <c r="B5084" s="25" t="s">
        <v>18527</v>
      </c>
      <c r="C5084" s="26" t="str">
        <f>HYPERLINK("https://audio.iskcondesiretree.com/02_-_ISKCON_Swamis/ISKCON_Swamis_-_R_to_Y/His_Holiness_Radhanath_Swami/Lectures/02_-_Yatra/2009_Mayapur_Yatra/2009-10-22_-_Offerings_To_Srila_Prabhupada_-_Prabhupada_Disciples_ISKCON_Mayapur.mp3", "2009-10-22_-_Offerings_To_Srila_Prabhupada_-_Prabhupada_Disciples_ISKCON_Mayapur.mp3")</f>
        <v>2009-10-22_-_Offerings_To_Srila_Prabhupada_-_Prabhupada_Disciples_ISKCON_Mayapur.mp3</v>
      </c>
      <c r="D5084" s="24"/>
      <c r="E5084" s="24"/>
    </row>
    <row r="5085">
      <c r="A5085" s="25" t="s">
        <v>18509</v>
      </c>
      <c r="B5085" s="25" t="s">
        <v>18527</v>
      </c>
      <c r="C5085" s="26" t="str">
        <f>HYPERLINK("https://audio.iskcondesiretree.com/02_-_ISKCON_Swamis/ISKCON_Swamis_-_R_to_Y/His_Holiness_Radhanath_Swami/Lectures/02_-_Yatra/2009_Mayapur_Yatra/2009-10-22_-_Offerings_To_Srila_Prabhupada_-_Umapati_Swami_ISKCON_Mayapur.mp3", "2009-10-22_-_Offerings_To_Srila_Prabhupada_-_Umapati_Swami_ISKCON_Mayapur.mp3")</f>
        <v>2009-10-22_-_Offerings_To_Srila_Prabhupada_-_Umapati_Swami_ISKCON_Mayapur.mp3</v>
      </c>
      <c r="D5085" s="24"/>
      <c r="E5085" s="24"/>
    </row>
    <row r="5086">
      <c r="A5086" s="25" t="s">
        <v>18509</v>
      </c>
      <c r="B5086" s="25" t="s">
        <v>18527</v>
      </c>
      <c r="C5086" s="26" t="str">
        <f>HYPERLINK("https://audio.iskcondesiretree.com/02_-_ISKCON_Swamis/ISKCON_Swamis_-_R_to_Y/His_Holiness_Radhanath_Swami/Lectures/02_-_Yatra/2009_Mayapur_Yatra/2009-10-22_-_Ohe_Vaishnava_Thakur_-_Murari_Hari_Prabhu_ISKCON_Mayapur.mp3", "2009-10-22_-_Ohe_Vaishnava_Thakur_-_Murari_Hari_Prabhu_ISKCON_Mayapur.mp3")</f>
        <v>2009-10-22_-_Ohe_Vaishnava_Thakur_-_Murari_Hari_Prabhu_ISKCON_Mayapur.mp3</v>
      </c>
      <c r="D5086" s="24"/>
      <c r="E5086" s="24"/>
    </row>
    <row r="5087">
      <c r="A5087" s="25" t="s">
        <v>18509</v>
      </c>
      <c r="B5087" s="25" t="s">
        <v>18527</v>
      </c>
      <c r="C5087" s="26" t="str">
        <f>HYPERLINK("https://audio.iskcondesiretree.com/02_-_ISKCON_Swamis/ISKCON_Swamis_-_R_to_Y/His_Holiness_Radhanath_Swami/Lectures/02_-_Yatra/2009_Mayapur_Yatra/2009-10-23_-_Sanyasa_Ceremony_Of_Mahaprabhu_-_Radhanath_Swami_ISKCON_Mayapur.mp3", "2009-10-23_-_Sanyasa_Ceremony_Of_Mahaprabhu_-_Radhanath_Swami_ISKCON_Mayapur.mp3")</f>
        <v>2009-10-23_-_Sanyasa_Ceremony_Of_Mahaprabhu_-_Radhanath_Swami_ISKCON_Mayapur.mp3</v>
      </c>
      <c r="D5087" s="24"/>
      <c r="E5087" s="24"/>
    </row>
    <row r="5088">
      <c r="A5088" s="25" t="s">
        <v>18509</v>
      </c>
      <c r="B5088" s="25" t="s">
        <v>18527</v>
      </c>
      <c r="C5088" s="26" t="str">
        <f>HYPERLINK("https://audio.iskcondesiretree.com/02_-_ISKCON_Swamis/ISKCON_Swamis_-_R_to_Y/His_Holiness_Radhanath_Swami/Lectures/02_-_Yatra/2009_Mayapur_Yatra/2009-10-23_-_Yadi_Gaur_Na_Hoite_-_Radhanath_Swami_ISKCON_Mayapur.mp3", "2009-10-23_-_Yadi_Gaur_Na_Hoite_-_Radhanath_Swami_ISKCON_Mayapur.mp3")</f>
        <v>2009-10-23_-_Yadi_Gaur_Na_Hoite_-_Radhanath_Swami_ISKCON_Mayapur.mp3</v>
      </c>
      <c r="D5088" s="24"/>
      <c r="E5088" s="24"/>
    </row>
    <row r="5089">
      <c r="A5089" s="25" t="s">
        <v>18509</v>
      </c>
      <c r="B5089" s="25" t="s">
        <v>18527</v>
      </c>
      <c r="C5089" s="26" t="str">
        <f>HYPERLINK("https://audio.iskcondesiretree.com/02_-_ISKCON_Swamis/ISKCON_Swamis_-_R_to_Y/His_Holiness_Radhanath_Swami/Lectures/02_-_Yatra/2009_Mayapur_Yatra/2009-10-24_-_Kali_Kukkur_-_Radhanath_Swami_ISKCON_Mayapur.mp3", "2009-10-24_-_Kali_Kukkur_-_Radhanath_Swami_ISKCON_Mayapur.mp3")</f>
        <v>2009-10-24_-_Kali_Kukkur_-_Radhanath_Swami_ISKCON_Mayapur.mp3</v>
      </c>
      <c r="D5089" s="24"/>
      <c r="E5089" s="24"/>
    </row>
    <row r="5090">
      <c r="A5090" s="25" t="s">
        <v>18509</v>
      </c>
      <c r="B5090" s="25" t="s">
        <v>18527</v>
      </c>
      <c r="C5090" s="26" t="str">
        <f>HYPERLINK("https://audio.iskcondesiretree.com/02_-_ISKCON_Swamis/ISKCON_Swamis_-_R_to_Y/His_Holiness_Radhanath_Swami/Lectures/02_-_Yatra/2009_Mayapur_Yatra/2009-10-24_-_Reunion_Of_Devotees_With_Lord_Caitanya_After_Sannyasa_ISKCON_Mayapur.mp3", "2009-10-24_-_Reunion_Of_Devotees_With_Lord_Caitanya_After_Sannyasa_ISKCON_Mayapur.mp3")</f>
        <v>2009-10-24_-_Reunion_Of_Devotees_With_Lord_Caitanya_After_Sannyasa_ISKCON_Mayapur.mp3</v>
      </c>
      <c r="D5090" s="24"/>
      <c r="E5090" s="24"/>
    </row>
    <row r="5091">
      <c r="A5091" s="25" t="s">
        <v>18509</v>
      </c>
      <c r="B5091" s="25" t="s">
        <v>18527</v>
      </c>
      <c r="C5091" s="26" t="str">
        <f>HYPERLINK("https://audio.iskcondesiretree.com/02_-_ISKCON_Swamis/ISKCON_Swamis_-_R_to_Y/His_Holiness_Radhanath_Swami/Lectures/02_-_Yatra/2009_Mayapur_Yatra/2009-10-25_-_Jayo_Jayo_Jagannath_Sacira_Nandana_-_Radhanath_Swami_ISKCON_Mayapur.mp3", "2009-10-25_-_Jayo_Jayo_Jagannath_Sacira_Nandana_-_Radhanath_Swami_ISKCON_Mayapur.mp3")</f>
        <v>2009-10-25_-_Jayo_Jayo_Jagannath_Sacira_Nandana_-_Radhanath_Swami_ISKCON_Mayapur.mp3</v>
      </c>
      <c r="D5091" s="24"/>
      <c r="E5091" s="24"/>
    </row>
    <row r="5092">
      <c r="A5092" s="25" t="s">
        <v>18509</v>
      </c>
      <c r="B5092" s="25" t="s">
        <v>18527</v>
      </c>
      <c r="C5092" s="26" t="str">
        <f>HYPERLINK("https://audio.iskcondesiretree.com/02_-_ISKCON_Swamis/ISKCON_Swamis_-_R_to_Y/His_Holiness_Radhanath_Swami/Lectures/02_-_Yatra/2009_Mayapur_Yatra/2009-10-25_-_Lord_Caitanya_Returns_To_Navadvip_-_Radhanath_Swami_ISKCON_Mayapur.mp3", "2009-10-25_-_Lord_Caitanya_Returns_To_Navadvip_-_Radhanath_Swami_ISKCON_Mayapur.mp3")</f>
        <v>2009-10-25_-_Lord_Caitanya_Returns_To_Navadvip_-_Radhanath_Swami_ISKCON_Mayapur.mp3</v>
      </c>
      <c r="D5092" s="24"/>
      <c r="E5092" s="24"/>
    </row>
    <row r="5093">
      <c r="A5093" s="25" t="s">
        <v>18509</v>
      </c>
      <c r="B5093" s="25" t="s">
        <v>18527</v>
      </c>
      <c r="C5093" s="26" t="str">
        <f>HYPERLINK("https://audio.iskcondesiretree.com/02_-_ISKCON_Swamis/ISKCON_Swamis_-_R_to_Y/His_Holiness_Radhanath_Swami/Lectures/02_-_Yatra/2009_Mayapur_Yatra/2009-10-26_-_Accessing_Lord_Caitanya%27s_Mercy_Through_Lord_Nityanand_-_Radhanath_Swami_ISKCON_Mayapur.mp3", "2009-10-26_-_Accessing_Lord_Caitanya%27s_Mercy_Through_Lord_Nityanand_-_Radhanath_Swami_ISKCON_Mayapur.mp3")</f>
        <v>2009-10-26_-_Accessing_Lord_Caitanya%27s_Mercy_Through_Lord_Nityanand_-_Radhanath_Swami_ISKCON_Mayapur.mp3</v>
      </c>
      <c r="D5093" s="24"/>
      <c r="E5093" s="24"/>
    </row>
    <row r="5094">
      <c r="A5094" s="25" t="s">
        <v>18509</v>
      </c>
      <c r="B5094" s="25" t="s">
        <v>18527</v>
      </c>
      <c r="C5094" s="26" t="str">
        <f>HYPERLINK("https://audio.iskcondesiretree.com/02_-_ISKCON_Swamis/ISKCON_Swamis_-_R_to_Y/His_Holiness_Radhanath_Swami/Lectures/02_-_Yatra/2009_Mayapur_Yatra/2009-10-26_-_Akaroda_Paramananda_Nityanand_Ram_-_Radhanath_Swami_ISKCON_Mayapur.mp3", "2009-10-26_-_Akaroda_Paramananda_Nityanand_Ram_-_Radhanath_Swami_ISKCON_Mayapur.mp3")</f>
        <v>2009-10-26_-_Akaroda_Paramananda_Nityanand_Ram_-_Radhanath_Swami_ISKCON_Mayapur.mp3</v>
      </c>
      <c r="D5094" s="24"/>
      <c r="E5094" s="24"/>
    </row>
    <row r="5095">
      <c r="A5095" s="25" t="s">
        <v>18509</v>
      </c>
      <c r="B5095" s="25" t="s">
        <v>18527</v>
      </c>
      <c r="C5095" s="26" t="str">
        <f>HYPERLINK("https://audio.iskcondesiretree.com/02_-_ISKCON_Swamis/ISKCON_Swamis_-_R_to_Y/His_Holiness_Radhanath_Swami/Lectures/02_-_Yatra/2009_Mayapur_Yatra/2009-10-26_-_Dhana_Mora_Nityanand_-_Radhanath_Swami_ISKCON_Mayapur.mp3", "2009-10-26_-_Dhana_Mora_Nityanand_-_Radhanath_Swami_ISKCON_Mayapur.mp3")</f>
        <v>2009-10-26_-_Dhana_Mora_Nityanand_-_Radhanath_Swami_ISKCON_Mayapur.mp3</v>
      </c>
      <c r="D5095" s="24"/>
      <c r="E5095" s="24"/>
    </row>
    <row r="5096">
      <c r="A5096" s="25" t="s">
        <v>18509</v>
      </c>
      <c r="B5096" s="25" t="s">
        <v>18527</v>
      </c>
      <c r="C5096" s="26" t="str">
        <f>HYPERLINK("https://audio.iskcondesiretree.com/02_-_ISKCON_Swamis/ISKCON_Swamis_-_R_to_Y/His_Holiness_Radhanath_Swami/Lectures/02_-_Yatra/2009_Mayapur_Yatra/2009-10-26_-_Doyal_Nitai_Caitanya_Bole_-_Radhanath_Swami_ISKCON_Mayapur.mp3", "2009-10-26_-_Doyal_Nitai_Caitanya_Bole_-_Radhanath_Swami_ISKCON_Mayapur.mp3")</f>
        <v>2009-10-26_-_Doyal_Nitai_Caitanya_Bole_-_Radhanath_Swami_ISKCON_Mayapur.mp3</v>
      </c>
      <c r="D5096" s="24"/>
      <c r="E5096" s="24"/>
    </row>
    <row r="5097">
      <c r="A5097" s="25" t="s">
        <v>18509</v>
      </c>
      <c r="B5097" s="25" t="s">
        <v>18527</v>
      </c>
      <c r="C5097" s="26" t="str">
        <f>HYPERLINK("https://audio.iskcondesiretree.com/02_-_ISKCON_Swamis/ISKCON_Swamis_-_R_to_Y/His_Holiness_Radhanath_Swami/Lectures/02_-_Yatra/2009_Mayapur_Yatra/2009-10-26_-_HK_Kirtan_-_Radhanath_Swami_ISKCON_Mayapur.mp3", "2009-10-26_-_HK_Kirtan_-_Radhanath_Swami_ISKCON_Mayapur.mp3")</f>
        <v>2009-10-26_-_HK_Kirtan_-_Radhanath_Swami_ISKCON_Mayapur.mp3</v>
      </c>
      <c r="D5097" s="24"/>
      <c r="E5097" s="24"/>
    </row>
    <row r="5098">
      <c r="A5098" s="25" t="s">
        <v>18509</v>
      </c>
      <c r="B5098" s="25" t="s">
        <v>18527</v>
      </c>
      <c r="C5098" s="26" t="str">
        <f>HYPERLINK("https://audio.iskcondesiretree.com/02_-_ISKCON_Swamis/ISKCON_Swamis_-_R_to_Y/His_Holiness_Radhanath_Swami/Lectures/02_-_Yatra/2009_Mayapur_Yatra/2009-10-26_-_Nadiya_Godruma_Nityanand_Mahajan_-_Radhanath_Swami_ISKCON_Mayapur.mp3", "2009-10-26_-_Nadiya_Godruma_Nityanand_Mahajan_-_Radhanath_Swami_ISKCON_Mayapur.mp3")</f>
        <v>2009-10-26_-_Nadiya_Godruma_Nityanand_Mahajan_-_Radhanath_Swami_ISKCON_Mayapur.mp3</v>
      </c>
      <c r="D5098" s="24"/>
      <c r="E5098" s="24"/>
    </row>
    <row r="5099">
      <c r="A5099" s="25" t="s">
        <v>18509</v>
      </c>
      <c r="B5099" s="25" t="s">
        <v>18527</v>
      </c>
      <c r="C5099" s="26" t="str">
        <f>HYPERLINK("https://audio.iskcondesiretree.com/02_-_ISKCON_Swamis/ISKCON_Swamis_-_R_to_Y/His_Holiness_Radhanath_Swami/Lectures/02_-_Yatra/2009_Mayapur_Yatra/2009-10-27_-_Concluding_Session_-_Radhanath_Swami_%26_Mayapur_Devotees_ISKCON_Mayapur.mp3", "2009-10-27_-_Concluding_Session_-_Radhanath_Swami_%26_Mayapur_Devotees_ISKCON_Mayapur.mp3")</f>
        <v>2009-10-27_-_Concluding_Session_-_Radhanath_Swami_%26_Mayapur_Devotees_ISKCON_Mayapur.mp3</v>
      </c>
      <c r="D5099" s="24"/>
      <c r="E5099" s="24"/>
    </row>
    <row r="5100">
      <c r="A5100" s="25" t="s">
        <v>18509</v>
      </c>
      <c r="B5100" s="25" t="s">
        <v>18527</v>
      </c>
      <c r="C5100" s="26" t="str">
        <f>HYPERLINK("https://audio.iskcondesiretree.com/02_-_ISKCON_Swamis/ISKCON_Swamis_-_R_to_Y/His_Holiness_Radhanath_Swami/Lectures/02_-_Yatra/2009_Mayapur_Yatra/2009-10-27_-_Damodarastakam_%26_HK_Kirtan_-_Radhanath_Swami.MP3", "2009-10-27_-_Damodarastakam_%26_HK_Kirtan_-_Radhanath_Swami.MP3")</f>
        <v>2009-10-27_-_Damodarastakam_%26_HK_Kirtan_-_Radhanath_Swami.MP3</v>
      </c>
      <c r="D5100" s="24"/>
      <c r="E5100" s="24"/>
    </row>
    <row r="5101">
      <c r="A5101" s="25" t="s">
        <v>18509</v>
      </c>
      <c r="B5101" s="25" t="s">
        <v>18527</v>
      </c>
      <c r="C5101" s="26" t="str">
        <f>HYPERLINK("https://audio.iskcondesiretree.com/02_-_ISKCON_Swamis/ISKCON_Swamis_-_R_to_Y/His_Holiness_Radhanath_Swami/Lectures/02_-_Yatra/2009_Mayapur_Yatra/2009-10-27_-_Gauranga_Bolite_Habe_-_Radhanath_Swami_ISKCON_Mayapur.mp3", "2009-10-27_-_Gauranga_Bolite_Habe_-_Radhanath_Swami_ISKCON_Mayapur.mp3")</f>
        <v>2009-10-27_-_Gauranga_Bolite_Habe_-_Radhanath_Swami_ISKCON_Mayapur.mp3</v>
      </c>
      <c r="D5101" s="24"/>
      <c r="E5101" s="24"/>
    </row>
    <row r="5102">
      <c r="A5102" s="25" t="s">
        <v>18509</v>
      </c>
      <c r="B5102" s="25" t="s">
        <v>18527</v>
      </c>
      <c r="C5102" s="26" t="str">
        <f>HYPERLINK("https://audio.iskcondesiretree.com/02_-_ISKCON_Swamis/ISKCON_Swamis_-_R_to_Y/His_Holiness_Radhanath_Swami/Lectures/02_-_Yatra/2009_Mayapur_Yatra/2009-10-27_-_Maan_Leela_Of_Radha_Maan_Bihari_-_Susheel_Goswami_ISKCON_Mayapur%28Hindi%29.mp3", "2009-10-27_-_Maan_Leela_Of_Radha_Maan_Bihari_-_Susheel_Goswami_ISKCON_Mayapur%28Hindi%29.mp3")</f>
        <v>2009-10-27_-_Maan_Leela_Of_Radha_Maan_Bihari_-_Susheel_Goswami_ISKCON_Mayapur%28Hindi%29.mp3</v>
      </c>
      <c r="D5102" s="24"/>
      <c r="E5102" s="24"/>
    </row>
    <row r="5103">
      <c r="A5103" s="25" t="s">
        <v>18509</v>
      </c>
      <c r="B5103" s="25" t="s">
        <v>18528</v>
      </c>
      <c r="C5103" s="26" t="str">
        <f>HYPERLINK("https://audio.iskcondesiretree.com/02_-_ISKCON_Swamis/ISKCON_Swamis_-_R_to_Y/His_Holiness_Radhanath_Swami/Lectures/02_-_Yatra/2009_Pune_Yatra/2009-01-23_Welcome_Address_-_Radhanath_Sw_Chandramauli_Sw_Bhakti_Vishrambha_Madhav_Sw_SukhaHava_Mataji.mp3", "2009-01-23_Welcome_Address_-_Radhanath_Sw_Chandramauli_Sw_Bhakti_Vishrambha_Madhav_Sw_SukhaHava_Mataji.mp3")</f>
        <v>2009-01-23_Welcome_Address_-_Radhanath_Sw_Chandramauli_Sw_Bhakti_Vishrambha_Madhav_Sw_SukhaHava_Mataji.mp3</v>
      </c>
      <c r="D5103" s="24"/>
      <c r="E5103" s="24"/>
    </row>
    <row r="5104">
      <c r="A5104" s="25" t="s">
        <v>18509</v>
      </c>
      <c r="B5104" s="25" t="s">
        <v>18528</v>
      </c>
      <c r="C5104" s="26" t="str">
        <f>HYPERLINK("https://audio.iskcondesiretree.com/02_-_ISKCON_Swamis/ISKCON_Swamis_-_R_to_Y/His_Holiness_Radhanath_Swami/Lectures/02_-_Yatra/2009_Pune_Yatra/2009-01-24_Eve%20Lecture_-_Jaya_Pataka_Swami.mp3", "2009-01-24_Eve%20Lecture_-_Jaya_Pataka_Swami.mp3")</f>
        <v>2009-01-24_Eve%20Lecture_-_Jaya_Pataka_Swami.mp3</v>
      </c>
      <c r="D5104" s="24"/>
      <c r="E5104" s="24"/>
    </row>
    <row r="5105">
      <c r="A5105" s="25" t="s">
        <v>18509</v>
      </c>
      <c r="B5105" s="25" t="s">
        <v>18528</v>
      </c>
      <c r="C5105" s="26" t="str">
        <f>HYPERLINK("https://audio.iskcondesiretree.com/02_-_ISKCON_Swamis/ISKCON_Swamis_-_R_to_Y/His_Holiness_Radhanath_Swami/Lectures/02_-_Yatra/2009_Pune_Yatra/2009-01-24_SB-2-3-22_Duty_Of_Householders_To_Worship_Deities_-_Radhanath_Swami.mp3", "2009-01-24_SB-2-3-22_Duty_Of_Householders_To_Worship_Deities_-_Radhanath_Swami.mp3")</f>
        <v>2009-01-24_SB-2-3-22_Duty_Of_Householders_To_Worship_Deities_-_Radhanath_Swami.mp3</v>
      </c>
      <c r="D5105" s="24"/>
      <c r="E5105" s="24"/>
    </row>
    <row r="5106">
      <c r="A5106" s="25" t="s">
        <v>18509</v>
      </c>
      <c r="B5106" s="25" t="s">
        <v>18528</v>
      </c>
      <c r="C5106" s="26" t="str">
        <f>HYPERLINK("https://audio.iskcondesiretree.com/02_-_ISKCON_Swamis/ISKCON_Swamis_-_R_to_Y/His_Holiness_Radhanath_Swami/Lectures/02_-_Yatra/2009_Pune_Yatra/2009-01-25_Glories_Of_Narottam_Das_Thakur_-_Jaya_Pataka_Swami.mp3", "2009-01-25_Glories_Of_Narottam_Das_Thakur_-_Jaya_Pataka_Swami.mp3")</f>
        <v>2009-01-25_Glories_Of_Narottam_Das_Thakur_-_Jaya_Pataka_Swami.mp3</v>
      </c>
      <c r="D5106" s="24"/>
      <c r="E5106" s="24"/>
    </row>
    <row r="5107">
      <c r="A5107" s="25" t="s">
        <v>18509</v>
      </c>
      <c r="B5107" s="25" t="s">
        <v>18528</v>
      </c>
      <c r="C5107" s="26" t="str">
        <f>HYPERLINK("https://audio.iskcondesiretree.com/02_-_ISKCON_Swamis/ISKCON_Swamis_-_R_to_Y/His_Holiness_Radhanath_Swami/Lectures/02_-_Yatra/2009_Pune_Yatra/2009-01-25_SB-5-13-25_Mundane_Philanthropy_Versus_Spiritual_Compassion_-_Radhanath_Swami.mp3", "2009-01-25_SB-5-13-25_Mundane_Philanthropy_Versus_Spiritual_Compassion_-_Radhanath_Swami.mp3")</f>
        <v>2009-01-25_SB-5-13-25_Mundane_Philanthropy_Versus_Spiritual_Compassion_-_Radhanath_Swami.mp3</v>
      </c>
      <c r="D5107" s="24"/>
      <c r="E5107" s="24"/>
    </row>
    <row r="5108">
      <c r="A5108" s="25" t="s">
        <v>18509</v>
      </c>
      <c r="B5108" s="25" t="s">
        <v>18528</v>
      </c>
      <c r="C5108" s="26" t="str">
        <f>HYPERLINK("https://audio.iskcondesiretree.com/02_-_ISKCON_Swamis/ISKCON_Swamis_-_R_to_Y/His_Holiness_Radhanath_Swami/Lectures/02_-_Yatra/2009_Pune_Yatra/2009-01-26_SB-5-13-23_Jada_Bharata-Extra_Cautious_In_His_Dealings_-_Radhanath_Swami.mp3", "2009-01-26_SB-5-13-23_Jada_Bharata-Extra_Cautious_In_His_Dealings_-_Radhanath_Swami.mp3")</f>
        <v>2009-01-26_SB-5-13-23_Jada_Bharata-Extra_Cautious_In_His_Dealings_-_Radhanath_Swami.mp3</v>
      </c>
      <c r="D5108" s="24"/>
      <c r="E5108" s="24"/>
    </row>
    <row r="5109">
      <c r="A5109" s="25" t="s">
        <v>18509</v>
      </c>
      <c r="B5109" s="25" t="s">
        <v>18529</v>
      </c>
      <c r="C5109" s="26" t="str">
        <f>HYPERLINK("https://audio.iskcondesiretree.com/02_-_ISKCON_Swamis/ISKCON_Swamis_-_R_to_Y/His_Holiness_Radhanath_Swami/Lectures/02_-_Yatra/2011_Vrindavan_Yatra/2011-10-22_Receiving_the_grace_of_Sri_Vrindavan_Dham_-_Radhanath_Swami_Vrindavan.mp3", "2011-10-22_Receiving_the_grace_of_Sri_Vrindavan_Dham_-_Radhanath_Swami_Vrindavan.mp3")</f>
        <v>2011-10-22_Receiving_the_grace_of_Sri_Vrindavan_Dham_-_Radhanath_Swami_Vrindavan.mp3</v>
      </c>
      <c r="D5109" s="24"/>
      <c r="E5109" s="24"/>
    </row>
    <row r="5110">
      <c r="A5110" s="25" t="s">
        <v>18509</v>
      </c>
      <c r="B5110" s="25" t="s">
        <v>18529</v>
      </c>
      <c r="C5110" s="26" t="str">
        <f>HYPERLINK("https://audio.iskcondesiretree.com/02_-_ISKCON_Swamis/ISKCON_Swamis_-_R_to_Y/His_Holiness_Radhanath_Swami/Lectures/02_-_Yatra/2011_Vrindavan_Yatra/2011-10-23_Pastimes_of_Vaisnava_Acharyas_-_Dwarkadish_Prabhu_Govardhana.mp3", "2011-10-23_Pastimes_of_Vaisnava_Acharyas_-_Dwarkadish_Prabhu_Govardhana.mp3")</f>
        <v>2011-10-23_Pastimes_of_Vaisnava_Acharyas_-_Dwarkadish_Prabhu_Govardhana.mp3</v>
      </c>
      <c r="D5110" s="24"/>
      <c r="E5110" s="24"/>
    </row>
    <row r="5111">
      <c r="A5111" s="25" t="s">
        <v>18509</v>
      </c>
      <c r="B5111" s="25" t="s">
        <v>18529</v>
      </c>
      <c r="C5111" s="26" t="str">
        <f>HYPERLINK("https://audio.iskcondesiretree.com/02_-_ISKCON_Swamis/ISKCON_Swamis_-_R_to_Y/His_Holiness_Radhanath_Swami/Lectures/02_-_Yatra/2011_Vrindavan_Yatra/2011-10-23_Reinstallation_of_Sri_Sri_Radha_Govindadji_-_Radhanath_Swami_Vrindavan.MP3", "2011-10-23_Reinstallation_of_Sri_Sri_Radha_Govindadji_-_Radhanath_Swami_Vrindavan.MP3")</f>
        <v>2011-10-23_Reinstallation_of_Sri_Sri_Radha_Govindadji_-_Radhanath_Swami_Vrindavan.MP3</v>
      </c>
      <c r="D5111" s="24"/>
      <c r="E5111" s="24"/>
    </row>
    <row r="5112">
      <c r="A5112" s="25" t="s">
        <v>18509</v>
      </c>
      <c r="B5112" s="25" t="s">
        <v>18529</v>
      </c>
      <c r="C5112" s="26" t="str">
        <f>HYPERLINK("https://audio.iskcondesiretree.com/02_-_ISKCON_Swamis/ISKCON_Swamis_-_R_to_Y/His_Holiness_Radhanath_Swami/Lectures/02_-_Yatra/2011_Vrindavan_Yatra/2011-10-24_Gopal_Bhatt_Goswami_meets_Lord_chaitanya_-_Radhanath_Swami_Vrindavan.mp3", "2011-10-24_Gopal_Bhatt_Goswami_meets_Lord_chaitanya_-_Radhanath_Swami_Vrindavan.mp3")</f>
        <v>2011-10-24_Gopal_Bhatt_Goswami_meets_Lord_chaitanya_-_Radhanath_Swami_Vrindavan.mp3</v>
      </c>
      <c r="D5112" s="24"/>
      <c r="E5112" s="24"/>
    </row>
    <row r="5113">
      <c r="A5113" s="25" t="s">
        <v>18509</v>
      </c>
      <c r="B5113" s="25" t="s">
        <v>18529</v>
      </c>
      <c r="C5113" s="26" t="str">
        <f>HYPERLINK("https://audio.iskcondesiretree.com/02_-_ISKCON_Swamis/ISKCON_Swamis_-_R_to_Y/His_Holiness_Radhanath_Swami/Lectures/02_-_Yatra/2011_Vrindavan_Yatra/2011-10-24_Jaya_Balaram_Drama_-_ISKCON_Pune_Devotees_Vrindavan.mp3", "2011-10-24_Jaya_Balaram_Drama_-_ISKCON_Pune_Devotees_Vrindavan.mp3")</f>
        <v>2011-10-24_Jaya_Balaram_Drama_-_ISKCON_Pune_Devotees_Vrindavan.mp3</v>
      </c>
      <c r="D5113" s="24"/>
      <c r="E5113" s="24"/>
    </row>
    <row r="5114">
      <c r="A5114" s="25" t="s">
        <v>18509</v>
      </c>
      <c r="B5114" s="25" t="s">
        <v>18529</v>
      </c>
      <c r="C5114" s="26" t="str">
        <f>HYPERLINK("https://audio.iskcondesiretree.com/02_-_ISKCON_Swamis/ISKCON_Swamis_-_R_to_Y/His_Holiness_Radhanath_Swami/Lectures/02_-_Yatra/2011_Vrindavan_Yatra/2011-10-24_Pastimes_of_Krishna_Balaram_and_Akrura_-_Bhakti_Rasamrita_Swami_Vrindavan.mp3", "2011-10-24_Pastimes_of_Krishna_Balaram_and_Akrura_-_Bhakti_Rasamrita_Swami_Vrindavan.mp3")</f>
        <v>2011-10-24_Pastimes_of_Krishna_Balaram_and_Akrura_-_Bhakti_Rasamrita_Swami_Vrindavan.mp3</v>
      </c>
      <c r="D5114" s="24"/>
      <c r="E5114" s="24"/>
    </row>
    <row r="5115">
      <c r="A5115" s="25" t="s">
        <v>18509</v>
      </c>
      <c r="B5115" s="25" t="s">
        <v>18529</v>
      </c>
      <c r="C5115" s="26" t="str">
        <f>HYPERLINK("https://audio.iskcondesiretree.com/02_-_ISKCON_Swamis/ISKCON_Swamis_-_R_to_Y/His_Holiness_Radhanath_Swami/Lectures/02_-_Yatra/2011_Vrindavan_Yatra/2011-10-24_Publishing_of_Sri_Chaitanya_Charitamrita_-_Giriraj_Swami_Vrindavan.mp3", "2011-10-24_Publishing_of_Sri_Chaitanya_Charitamrita_-_Giriraj_Swami_Vrindavan.mp3")</f>
        <v>2011-10-24_Publishing_of_Sri_Chaitanya_Charitamrita_-_Giriraj_Swami_Vrindavan.mp3</v>
      </c>
      <c r="D5115" s="24"/>
      <c r="E5115" s="24"/>
    </row>
    <row r="5116">
      <c r="A5116" s="25" t="s">
        <v>18509</v>
      </c>
      <c r="B5116" s="25" t="s">
        <v>18529</v>
      </c>
      <c r="C5116" s="26" t="str">
        <f>HYPERLINK("https://audio.iskcondesiretree.com/02_-_ISKCON_Swamis/ISKCON_Swamis_-_R_to_Y/His_Holiness_Radhanath_Swami/Lectures/02_-_Yatra/2011_Vrindavan_Yatra/2011-10-25_Pastimes_of_Radha_and_Krishna_-_Krishnanand_Prabhu_Vrindavan.mp3", "2011-10-25_Pastimes_of_Radha_and_Krishna_-_Krishnanand_Prabhu_Vrindavan.mp3")</f>
        <v>2011-10-25_Pastimes_of_Radha_and_Krishna_-_Krishnanand_Prabhu_Vrindavan.mp3</v>
      </c>
      <c r="D5116" s="24"/>
      <c r="E5116" s="24"/>
    </row>
    <row r="5117">
      <c r="A5117" s="25" t="s">
        <v>18509</v>
      </c>
      <c r="B5117" s="25" t="s">
        <v>18529</v>
      </c>
      <c r="C5117" s="26" t="str">
        <f>HYPERLINK("https://audio.iskcondesiretree.com/02_-_ISKCON_Swamis/ISKCON_Swamis_-_R_to_Y/His_Holiness_Radhanath_Swami/Lectures/02_-_Yatra/2011_Vrindavan_Yatra/2011-10-25_Srila_Jiva_Goswami_Seeks_shelter_of_Srila_Rupa_and_Sanatana_-_Radhanath_Swami_Vrindavan.MP3", "2011-10-25_Srila_Jiva_Goswami_Seeks_shelter_of_Srila_Rupa_and_Sanatana_-_Radhanath_Swami_Vrindavan.MP3")</f>
        <v>2011-10-25_Srila_Jiva_Goswami_Seeks_shelter_of_Srila_Rupa_and_Sanatana_-_Radhanath_Swami_Vrindavan.MP3</v>
      </c>
      <c r="D5117" s="24"/>
      <c r="E5117" s="24"/>
    </row>
    <row r="5118">
      <c r="A5118" s="25" t="s">
        <v>18509</v>
      </c>
      <c r="B5118" s="25" t="s">
        <v>18529</v>
      </c>
      <c r="C5118" s="26" t="str">
        <f>HYPERLINK("https://audio.iskcondesiretree.com/02_-_ISKCON_Swamis/ISKCON_Swamis_-_R_to_Y/His_Holiness_Radhanath_Swami/Lectures/02_-_Yatra/2011_Vrindavan_Yatra/2011-10-26_Krishna%27s_Childhood_Pastimes_at_Gokul_Mahavan_-_Radhanath_Swami_Vrindavan.MP3", "2011-10-26_Krishna%27s_Childhood_Pastimes_at_Gokul_Mahavan_-_Radhanath_Swami_Vrindavan.MP3")</f>
        <v>2011-10-26_Krishna%27s_Childhood_Pastimes_at_Gokul_Mahavan_-_Radhanath_Swami_Vrindavan.MP3</v>
      </c>
      <c r="D5118" s="24"/>
      <c r="E5118" s="24"/>
    </row>
    <row r="5119">
      <c r="A5119" s="25" t="s">
        <v>18509</v>
      </c>
      <c r="B5119" s="25" t="s">
        <v>18529</v>
      </c>
      <c r="C5119" s="26" t="str">
        <f>HYPERLINK("https://audio.iskcondesiretree.com/02_-_ISKCON_Swamis/ISKCON_Swamis_-_R_to_Y/His_Holiness_Radhanath_Swami/Lectures/02_-_Yatra/2011_Vrindavan_Yatra/2011-10-26_Pastimes_of_Srimati_Radharani_-_Rohini_Priya_Prabhu_Vrindavan.mp3", "2011-10-26_Pastimes_of_Srimati_Radharani_-_Rohini_Priya_Prabhu_Vrindavan.mp3")</f>
        <v>2011-10-26_Pastimes_of_Srimati_Radharani_-_Rohini_Priya_Prabhu_Vrindavan.mp3</v>
      </c>
      <c r="D5119" s="24"/>
      <c r="E5119" s="24"/>
    </row>
    <row r="5120">
      <c r="A5120" s="25" t="s">
        <v>18509</v>
      </c>
      <c r="B5120" s="25" t="s">
        <v>18529</v>
      </c>
      <c r="C5120" s="26" t="str">
        <f>HYPERLINK("https://audio.iskcondesiretree.com/02_-_ISKCON_Swamis/ISKCON_Swamis_-_R_to_Y/His_Holiness_Radhanath_Swami/Lectures/02_-_Yatra/2011_Vrindavan_Yatra/2011-10-26_Pastimes_of_Yashoda_and_Damodar_-_Govinda_Prabhu_Vrindavan.mp3", "2011-10-26_Pastimes_of_Yashoda_and_Damodar_-_Govinda_Prabhu_Vrindavan.mp3")</f>
        <v>2011-10-26_Pastimes_of_Yashoda_and_Damodar_-_Govinda_Prabhu_Vrindavan.mp3</v>
      </c>
      <c r="D5120" s="24"/>
      <c r="E5120" s="24"/>
    </row>
    <row r="5121">
      <c r="A5121" s="25" t="s">
        <v>18509</v>
      </c>
      <c r="B5121" s="25" t="s">
        <v>18529</v>
      </c>
      <c r="C5121" s="26" t="str">
        <f>HYPERLINK("https://audio.iskcondesiretree.com/02_-_ISKCON_Swamis/ISKCON_Swamis_-_R_to_Y/His_Holiness_Radhanath_Swami/Lectures/02_-_Yatra/2011_Vrindavan_Yatra/2011-10-27_Brajvasis_Perform_Govardhanpuja_-_Radhanath_Swami_Vrindavan.MP3", "2011-10-27_Brajvasis_Perform_Govardhanpuja_-_Radhanath_Swami_Vrindavan.MP3")</f>
        <v>2011-10-27_Brajvasis_Perform_Govardhanpuja_-_Radhanath_Swami_Vrindavan.MP3</v>
      </c>
      <c r="D5121" s="24"/>
      <c r="E5121" s="24"/>
    </row>
    <row r="5122">
      <c r="A5122" s="25" t="s">
        <v>18509</v>
      </c>
      <c r="B5122" s="25" t="s">
        <v>18529</v>
      </c>
      <c r="C5122" s="26" t="str">
        <f>HYPERLINK("https://audio.iskcondesiretree.com/02_-_ISKCON_Swamis/ISKCON_Swamis_-_R_to_Y/His_Holiness_Radhanath_Swami/Lectures/02_-_Yatra/2011_Vrindavan_Yatra/2011-10-27_Pastimes_of_Bramha_-_Radha_Gopinath_Prabhu_Vrindavan.mp3", "2011-10-27_Pastimes_of_Bramha_-_Radha_Gopinath_Prabhu_Vrindavan.mp3")</f>
        <v>2011-10-27_Pastimes_of_Bramha_-_Radha_Gopinath_Prabhu_Vrindavan.mp3</v>
      </c>
      <c r="D5122" s="24"/>
      <c r="E5122" s="24"/>
    </row>
    <row r="5123">
      <c r="A5123" s="25" t="s">
        <v>18509</v>
      </c>
      <c r="B5123" s="25" t="s">
        <v>18529</v>
      </c>
      <c r="C5123" s="26" t="str">
        <f>HYPERLINK("https://audio.iskcondesiretree.com/02_-_ISKCON_Swamis/ISKCON_Swamis_-_R_to_Y/His_Holiness_Radhanath_Swami/Lectures/02_-_Yatra/2011_Vrindavan_Yatra/2011-10-27_Sri_Giriraj_-_Embodiment_of_Servitorship_-_Giriraj_Swami_Vrindavan.MP3", "2011-10-27_Sri_Giriraj_-_Embodiment_of_Servitorship_-_Giriraj_Swami_Vrindavan.MP3")</f>
        <v>2011-10-27_Sri_Giriraj_-_Embodiment_of_Servitorship_-_Giriraj_Swami_Vrindavan.MP3</v>
      </c>
      <c r="D5123" s="24"/>
      <c r="E5123" s="24"/>
    </row>
    <row r="5124">
      <c r="A5124" s="25" t="s">
        <v>18509</v>
      </c>
      <c r="B5124" s="25" t="s">
        <v>18529</v>
      </c>
      <c r="C5124" s="26" t="str">
        <f>HYPERLINK("https://audio.iskcondesiretree.com/02_-_ISKCON_Swamis/ISKCON_Swamis_-_R_to_Y/His_Holiness_Radhanath_Swami/Lectures/02_-_Yatra/2011_Vrindavan_Yatra/2011-10-28_Killing_of_Aghasura_and_Brahma_Vimohan_Lila_-_Radhanath_Swami_Vrindavan.MP3", "2011-10-28_Killing_of_Aghasura_and_Brahma_Vimohan_Lila_-_Radhanath_Swami_Vrindavan.MP3")</f>
        <v>2011-10-28_Killing_of_Aghasura_and_Brahma_Vimohan_Lila_-_Radhanath_Swami_Vrindavan.MP3</v>
      </c>
      <c r="D5124" s="24"/>
      <c r="E5124" s="24"/>
    </row>
    <row r="5125">
      <c r="A5125" s="25" t="s">
        <v>18509</v>
      </c>
      <c r="B5125" s="25" t="s">
        <v>18529</v>
      </c>
      <c r="C5125" s="26" t="str">
        <f>HYPERLINK("https://audio.iskcondesiretree.com/02_-_ISKCON_Swamis/ISKCON_Swamis_-_R_to_Y/His_Holiness_Radhanath_Swami/Lectures/02_-_Yatra/2011_Vrindavan_Yatra/2011-10-28_Pastimes_of_Krishna_and_Balaram_-_Gaur_Gopal_Prabhu_Vrindavan.mp3", "2011-10-28_Pastimes_of_Krishna_and_Balaram_-_Gaur_Gopal_Prabhu_Vrindavan.mp3")</f>
        <v>2011-10-28_Pastimes_of_Krishna_and_Balaram_-_Gaur_Gopal_Prabhu_Vrindavan.mp3</v>
      </c>
      <c r="D5125" s="24"/>
      <c r="E5125" s="24"/>
    </row>
    <row r="5126">
      <c r="A5126" s="25" t="s">
        <v>18509</v>
      </c>
      <c r="B5126" s="25" t="s">
        <v>18529</v>
      </c>
      <c r="C5126" s="26" t="str">
        <f>HYPERLINK("https://audio.iskcondesiretree.com/02_-_ISKCON_Swamis/ISKCON_Swamis_-_R_to_Y/His_Holiness_Radhanath_Swami/Lectures/02_-_Yatra/2011_Vrindavan_Yatra/2011-10-29_Imbibe_Srila_Prabhupadas_Missionary_Spirit_-_Vaisesika_Prabhu_Govardhan.MP3", "2011-10-29_Imbibe_Srila_Prabhupadas_Missionary_Spirit_-_Vaisesika_Prabhu_Govardhan.MP3")</f>
        <v>2011-10-29_Imbibe_Srila_Prabhupadas_Missionary_Spirit_-_Vaisesika_Prabhu_Govardhan.MP3</v>
      </c>
      <c r="D5126" s="24"/>
      <c r="E5126" s="24"/>
    </row>
    <row r="5127">
      <c r="A5127" s="25" t="s">
        <v>18509</v>
      </c>
      <c r="B5127" s="25" t="s">
        <v>18529</v>
      </c>
      <c r="C5127" s="26" t="str">
        <f>HYPERLINK("https://audio.iskcondesiretree.com/02_-_ISKCON_Swamis/ISKCON_Swamis_-_R_to_Y/His_Holiness_Radhanath_Swami/Lectures/02_-_Yatra/2011_Vrindavan_Yatra/2011-10-29_Pleasing_Krishna_by_pleasing_His_Devotees_-_Radhanath_Swami_Govardhan.MP3", "2011-10-29_Pleasing_Krishna_by_pleasing_His_Devotees_-_Radhanath_Swami_Govardhan.MP3")</f>
        <v>2011-10-29_Pleasing_Krishna_by_pleasing_His_Devotees_-_Radhanath_Swami_Govardhan.MP3</v>
      </c>
      <c r="D5127" s="24"/>
      <c r="E5127" s="24"/>
    </row>
    <row r="5128">
      <c r="A5128" s="25" t="s">
        <v>18509</v>
      </c>
      <c r="B5128" s="25" t="s">
        <v>18529</v>
      </c>
      <c r="C5128" s="26" t="str">
        <f>HYPERLINK("https://audio.iskcondesiretree.com/02_-_ISKCON_Swamis/ISKCON_Swamis_-_R_to_Y/His_Holiness_Radhanath_Swami/Lectures/02_-_Yatra/2011_Vrindavan_Yatra/2011-10-30_Morning_Offerings_to_Srila_Prabhupada_-_Various_Devotees_Govardhan.MP3", "2011-10-30_Morning_Offerings_to_Srila_Prabhupada_-_Various_Devotees_Govardhan.MP3")</f>
        <v>2011-10-30_Morning_Offerings_to_Srila_Prabhupada_-_Various_Devotees_Govardhan.MP3</v>
      </c>
      <c r="D5128" s="24"/>
      <c r="E5128" s="24"/>
    </row>
    <row r="5129">
      <c r="A5129" s="25" t="s">
        <v>18509</v>
      </c>
      <c r="B5129" s="25" t="s">
        <v>18529</v>
      </c>
      <c r="C5129" s="26" t="str">
        <f>HYPERLINK("https://audio.iskcondesiretree.com/02_-_ISKCON_Swamis/ISKCON_Swamis_-_R_to_Y/His_Holiness_Radhanath_Swami/Lectures/02_-_Yatra/2011_Vrindavan_Yatra/2011-10-30_Offering_to_Srila_Prabhupada_-_Dhanurdhar_Swami_Govardhan.mp3", "2011-10-30_Offering_to_Srila_Prabhupada_-_Dhanurdhar_Swami_Govardhan.mp3")</f>
        <v>2011-10-30_Offering_to_Srila_Prabhupada_-_Dhanurdhar_Swami_Govardhan.mp3</v>
      </c>
      <c r="D5129" s="24"/>
      <c r="E5129" s="24"/>
    </row>
    <row r="5130">
      <c r="A5130" s="25" t="s">
        <v>18509</v>
      </c>
      <c r="B5130" s="25" t="s">
        <v>18529</v>
      </c>
      <c r="C5130" s="26" t="str">
        <f>HYPERLINK("https://audio.iskcondesiretree.com/02_-_ISKCON_Swamis/ISKCON_Swamis_-_R_to_Y/His_Holiness_Radhanath_Swami/Lectures/02_-_Yatra/2011_Vrindavan_Yatra/2011-10-30_Offering_to_Srila_Prabhupada_-_Jayadvaita_Swami_Govardhan.mp3", "2011-10-30_Offering_to_Srila_Prabhupada_-_Jayadvaita_Swami_Govardhan.mp3")</f>
        <v>2011-10-30_Offering_to_Srila_Prabhupada_-_Jayadvaita_Swami_Govardhan.mp3</v>
      </c>
      <c r="D5130" s="24"/>
      <c r="E5130" s="24"/>
    </row>
    <row r="5131">
      <c r="A5131" s="25" t="s">
        <v>18509</v>
      </c>
      <c r="B5131" s="25" t="s">
        <v>18529</v>
      </c>
      <c r="C5131" s="26" t="str">
        <f>HYPERLINK("https://audio.iskcondesiretree.com/02_-_ISKCON_Swamis/ISKCON_Swamis_-_R_to_Y/His_Holiness_Radhanath_Swami/Lectures/02_-_Yatra/2011_Vrindavan_Yatra/2011-10-30_Offering_to_Srila_Prabhupada_-_Kavichandra_Swami_Govardhan.MP3", "2011-10-30_Offering_to_Srila_Prabhupada_-_Kavichandra_Swami_Govardhan.MP3")</f>
        <v>2011-10-30_Offering_to_Srila_Prabhupada_-_Kavichandra_Swami_Govardhan.MP3</v>
      </c>
      <c r="D5131" s="24"/>
      <c r="E5131" s="24"/>
    </row>
    <row r="5132">
      <c r="A5132" s="25" t="s">
        <v>18509</v>
      </c>
      <c r="B5132" s="25" t="s">
        <v>18529</v>
      </c>
      <c r="C5132" s="26" t="str">
        <f>HYPERLINK("https://audio.iskcondesiretree.com/02_-_ISKCON_Swamis/ISKCON_Swamis_-_R_to_Y/His_Holiness_Radhanath_Swami/Lectures/02_-_Yatra/2011_Vrindavan_Yatra/2011-10-30_Offering_to_Srila_Prabhupada_-_Srutakirti_Prabhu_and_Sachinanadana_Swami_Govardhan.MP3", "2011-10-30_Offering_to_Srila_Prabhupada_-_Srutakirti_Prabhu_and_Sachinanadana_Swami_Govardhan.MP3")</f>
        <v>2011-10-30_Offering_to_Srila_Prabhupada_-_Srutakirti_Prabhu_and_Sachinanadana_Swami_Govardhan.MP3</v>
      </c>
      <c r="D5132" s="24"/>
      <c r="E5132" s="24"/>
    </row>
    <row r="5133">
      <c r="A5133" s="25" t="s">
        <v>18509</v>
      </c>
      <c r="B5133" s="25" t="s">
        <v>18529</v>
      </c>
      <c r="C5133" s="26" t="str">
        <f>HYPERLINK("https://audio.iskcondesiretree.com/02_-_ISKCON_Swamis/ISKCON_Swamis_-_R_to_Y/His_Holiness_Radhanath_Swami/Lectures/02_-_Yatra/2011_Vrindavan_Yatra/2011-11-01_Chanting_with_Affection_-_Sachinanadana_Swami_Govardhan.MP3", "2011-11-01_Chanting_with_Affection_-_Sachinanadana_Swami_Govardhan.MP3")</f>
        <v>2011-11-01_Chanting_with_Affection_-_Sachinanadana_Swami_Govardhan.MP3</v>
      </c>
      <c r="D5133" s="24"/>
      <c r="E5133" s="24"/>
    </row>
    <row r="5134">
      <c r="A5134" s="25" t="s">
        <v>18509</v>
      </c>
      <c r="B5134" s="25" t="s">
        <v>18529</v>
      </c>
      <c r="C5134" s="26" t="str">
        <f>HYPERLINK("https://audio.iskcondesiretree.com/02_-_ISKCON_Swamis/ISKCON_Swamis_-_R_to_Y/His_Holiness_Radhanath_Swami/Lectures/02_-_Yatra/2011_Vrindavan_Yatra/2011-11-01_Proper_mood_for_Yatra_and_Animals_of_Vraja_are_Special_Souls_-_Malati_Mataji.mp3", "2011-11-01_Proper_mood_for_Yatra_and_Animals_of_Vraja_are_Special_Souls_-_Malati_Mataji.mp3")</f>
        <v>2011-11-01_Proper_mood_for_Yatra_and_Animals_of_Vraja_are_Special_Souls_-_Malati_Mataji.mp3</v>
      </c>
      <c r="D5134" s="24"/>
      <c r="E5134" s="24"/>
    </row>
    <row r="5135">
      <c r="A5135" s="25" t="s">
        <v>18509</v>
      </c>
      <c r="B5135" s="25" t="s">
        <v>18529</v>
      </c>
      <c r="C5135" s="26" t="str">
        <f>HYPERLINK("https://audio.iskcondesiretree.com/02_-_ISKCON_Swamis/ISKCON_Swamis_-_R_to_Y/His_Holiness_Radhanath_Swami/Lectures/02_-_Yatra/2011_Vrindavan_Yatra/2011-11-01_Srila_Prabhupada_Katha_-_Radhanath_Swami_Govardhan.mp3", "2011-11-01_Srila_Prabhupada_Katha_-_Radhanath_Swami_Govardhan.mp3")</f>
        <v>2011-11-01_Srila_Prabhupada_Katha_-_Radhanath_Swami_Govardhan.mp3</v>
      </c>
      <c r="D5135" s="24"/>
      <c r="E5135" s="24"/>
    </row>
    <row r="5136">
      <c r="A5136" s="25" t="s">
        <v>18509</v>
      </c>
      <c r="B5136" s="25" t="s">
        <v>18529</v>
      </c>
      <c r="C5136" s="26" t="str">
        <f>HYPERLINK("https://audio.iskcondesiretree.com/02_-_ISKCON_Swamis/ISKCON_Swamis_-_R_to_Y/His_Holiness_Radhanath_Swami/Lectures/02_-_Yatra/2011_Vrindavan_Yatra/2011-11-02_Glories_of_Govardhan_Parikrama_-_Radhanath_Swami_Govardhan.MP3", "2011-11-02_Glories_of_Govardhan_Parikrama_-_Radhanath_Swami_Govardhan.MP3")</f>
        <v>2011-11-02_Glories_of_Govardhan_Parikrama_-_Radhanath_Swami_Govardhan.MP3</v>
      </c>
      <c r="D5136" s="24"/>
      <c r="E5136" s="24"/>
    </row>
    <row r="5137">
      <c r="A5137" s="25" t="s">
        <v>18509</v>
      </c>
      <c r="B5137" s="25" t="s">
        <v>18529</v>
      </c>
      <c r="C5137" s="26" t="str">
        <f>HYPERLINK("https://audio.iskcondesiretree.com/02_-_ISKCON_Swamis/ISKCON_Swamis_-_R_to_Y/His_Holiness_Radhanath_Swami/Lectures/02_-_Yatra/2011_Vrindavan_Yatra/2011-11-03_Glories_of_Govardhan_-_Giriraj_Swami_Govardhan.MP3", "2011-11-03_Glories_of_Govardhan_-_Giriraj_Swami_Govardhan.MP3")</f>
        <v>2011-11-03_Glories_of_Govardhan_-_Giriraj_Swami_Govardhan.MP3</v>
      </c>
      <c r="D5137" s="24"/>
      <c r="E5137" s="24"/>
    </row>
    <row r="5138">
      <c r="A5138" s="25" t="s">
        <v>18509</v>
      </c>
      <c r="B5138" s="25" t="s">
        <v>18529</v>
      </c>
      <c r="C5138" s="26" t="str">
        <f>HYPERLINK("https://audio.iskcondesiretree.com/02_-_ISKCON_Swamis/ISKCON_Swamis_-_R_to_Y/His_Holiness_Radhanath_Swami/Lectures/02_-_Yatra/2011_Vrindavan_Yatra/2011-11-03_Glories_of_Govardhan_Parikrama_Part-01_-_Radhanath_Swami_Govardhan.MP3", "2011-11-03_Glories_of_Govardhan_Parikrama_Part-01_-_Radhanath_Swami_Govardhan.MP3")</f>
        <v>2011-11-03_Glories_of_Govardhan_Parikrama_Part-01_-_Radhanath_Swami_Govardhan.MP3</v>
      </c>
      <c r="D5138" s="24"/>
      <c r="E5138" s="24"/>
    </row>
    <row r="5139">
      <c r="A5139" s="25" t="s">
        <v>18509</v>
      </c>
      <c r="B5139" s="25" t="s">
        <v>18529</v>
      </c>
      <c r="C5139" s="26" t="str">
        <f>HYPERLINK("https://audio.iskcondesiretree.com/02_-_ISKCON_Swamis/ISKCON_Swamis_-_R_to_Y/His_Holiness_Radhanath_Swami/Lectures/02_-_Yatra/2011_Vrindavan_Yatra/2011-11-04_Glories_of_Govardhan_Parikrama_Part-02_-_Radhanath_Swami_and_Others_Govardhan.MP3", "2011-11-04_Glories_of_Govardhan_Parikrama_Part-02_-_Radhanath_Swami_and_Others_Govardhan.MP3")</f>
        <v>2011-11-04_Glories_of_Govardhan_Parikrama_Part-02_-_Radhanath_Swami_and_Others_Govardhan.MP3</v>
      </c>
      <c r="D5139" s="24"/>
      <c r="E5139" s="24"/>
    </row>
    <row r="5140">
      <c r="A5140" s="25" t="s">
        <v>18509</v>
      </c>
      <c r="B5140" s="25" t="s">
        <v>18530</v>
      </c>
      <c r="C5140" s="26" t="str">
        <f>HYPERLINK("https://audio.iskcondesiretree.com/02_-_ISKCON_Swamis/ISKCON_Swamis_-_R_to_Y/His_Holiness_Radhanath_Swami/Lectures/02_-_Yatra/2012_Mayapur_Yatra/Audio/2012-11-13_Srila_Prabhupada%27s_Vision_about_Sri_Mayapur_Dham_-_Radhanath_Swami_ISKCON_Chowpatty.mp3", "2012-11-13_Srila_Prabhupada%27s_Vision_about_Sri_Mayapur_Dham_-_Radhanath_Swami_ISKCON_Chowpatty.mp3")</f>
        <v>2012-11-13_Srila_Prabhupada%27s_Vision_about_Sri_Mayapur_Dham_-_Radhanath_Swami_ISKCON_Chowpatty.mp3</v>
      </c>
      <c r="D5140" s="24"/>
      <c r="E5140" s="24"/>
    </row>
    <row r="5141">
      <c r="A5141" s="25" t="s">
        <v>18509</v>
      </c>
      <c r="B5141" s="25" t="s">
        <v>18530</v>
      </c>
      <c r="C5141" s="26" t="str">
        <f>HYPERLINK("https://audio.iskcondesiretree.com/02_-_ISKCON_Swamis/ISKCON_Swamis_-_R_to_Y/His_Holiness_Radhanath_Swami/Lectures/02_-_Yatra/2012_Mayapur_Yatra/Audio/2012-11-14_Invaluable_Lessons_from_Sri_Govardhana_Lila_-_Radhanath_Swami_ISKCON_Chowpatty.mp3", "2012-11-14_Invaluable_Lessons_from_Sri_Govardhana_Lila_-_Radhanath_Swami_ISKCON_Chowpatty.mp3")</f>
        <v>2012-11-14_Invaluable_Lessons_from_Sri_Govardhana_Lila_-_Radhanath_Swami_ISKCON_Chowpatty.mp3</v>
      </c>
      <c r="D5141" s="24"/>
      <c r="E5141" s="24"/>
    </row>
    <row r="5142">
      <c r="A5142" s="25" t="s">
        <v>18509</v>
      </c>
      <c r="B5142" s="25" t="s">
        <v>18530</v>
      </c>
      <c r="C5142" s="26" t="str">
        <f>HYPERLINK("https://audio.iskcondesiretree.com/02_-_ISKCON_Swamis/ISKCON_Swamis_-_R_to_Y/His_Holiness_Radhanath_Swami/Lectures/02_-_Yatra/2012_Mayapur_Yatra/Audio/2012-11-14_The_Divine_Nine_Islands_of_Sri_Navadvipa_Dham_-_Bhakti_Purushottam_Swami_ISKCON_Chowpatty.mp3", "2012-11-14_The_Divine_Nine_Islands_of_Sri_Navadvipa_Dham_-_Bhakti_Purushottam_Swami_ISKCON_Chowpatty.mp3")</f>
        <v>2012-11-14_The_Divine_Nine_Islands_of_Sri_Navadvipa_Dham_-_Bhakti_Purushottam_Swami_ISKCON_Chowpatty.mp3</v>
      </c>
      <c r="D5142" s="24"/>
      <c r="E5142" s="24"/>
    </row>
    <row r="5143">
      <c r="A5143" s="25" t="s">
        <v>18509</v>
      </c>
      <c r="B5143" s="25" t="s">
        <v>18530</v>
      </c>
      <c r="C5143" s="26" t="str">
        <f>HYPERLINK("https://audio.iskcondesiretree.com/02_-_ISKCON_Swamis/ISKCON_Swamis_-_R_to_Y/His_Holiness_Radhanath_Swami/Lectures/02_-_Yatra/2012_Mayapur_Yatra/Audio/2012-11-15_Appearance_of_the_Lord_Gaur_Chandra_-_Radhanath_Swami_ISKCON_Chowpatty.mp3", "2012-11-15_Appearance_of_the_Lord_Gaur_Chandra_-_Radhanath_Swami_ISKCON_Chowpatty.mp3")</f>
        <v>2012-11-15_Appearance_of_the_Lord_Gaur_Chandra_-_Radhanath_Swami_ISKCON_Chowpatty.mp3</v>
      </c>
      <c r="D5143" s="24"/>
      <c r="E5143" s="24"/>
    </row>
    <row r="5144">
      <c r="A5144" s="25" t="s">
        <v>18509</v>
      </c>
      <c r="B5144" s="25" t="s">
        <v>18530</v>
      </c>
      <c r="C5144" s="26" t="str">
        <f>HYPERLINK("https://audio.iskcondesiretree.com/02_-_ISKCON_Swamis/ISKCON_Swamis_-_R_to_Y/His_Holiness_Radhanath_Swami/Lectures/02_-_Yatra/2012_Mayapur_Yatra/Audio/2012-11-16_Enchanting_Pastimes_of_Child_Nimai-01_-_Radhanath_Swami_ISKCON_Chowpatty.mp3", "2012-11-16_Enchanting_Pastimes_of_Child_Nimai-01_-_Radhanath_Swami_ISKCON_Chowpatty.mp3")</f>
        <v>2012-11-16_Enchanting_Pastimes_of_Child_Nimai-01_-_Radhanath_Swami_ISKCON_Chowpatty.mp3</v>
      </c>
      <c r="D5144" s="24"/>
      <c r="E5144" s="24"/>
    </row>
    <row r="5145">
      <c r="A5145" s="25" t="s">
        <v>18509</v>
      </c>
      <c r="B5145" s="25" t="s">
        <v>18530</v>
      </c>
      <c r="C5145" s="26" t="str">
        <f>HYPERLINK("https://audio.iskcondesiretree.com/02_-_ISKCON_Swamis/ISKCON_Swamis_-_R_to_Y/His_Holiness_Radhanath_Swami/Lectures/02_-_Yatra/2012_Mayapur_Yatra/Audio/2012-11-17_Disappearance_Day_of_Srila_Prabhupada-01_-_SP_Disciples_ISKCON_Chowpatty.mp3", "2012-11-17_Disappearance_Day_of_Srila_Prabhupada-01_-_SP_Disciples_ISKCON_Chowpatty.mp3")</f>
        <v>2012-11-17_Disappearance_Day_of_Srila_Prabhupada-01_-_SP_Disciples_ISKCON_Chowpatty.mp3</v>
      </c>
      <c r="D5145" s="24"/>
      <c r="E5145" s="24"/>
    </row>
    <row r="5146">
      <c r="A5146" s="25" t="s">
        <v>18509</v>
      </c>
      <c r="B5146" s="25" t="s">
        <v>18530</v>
      </c>
      <c r="C5146" s="26" t="str">
        <f>HYPERLINK("https://audio.iskcondesiretree.com/02_-_ISKCON_Swamis/ISKCON_Swamis_-_R_to_Y/His_Holiness_Radhanath_Swami/Lectures/02_-_Yatra/2012_Mayapur_Yatra/Audio/2012-11-17_Disappearance_Day_of_Srila_Prabhupada-02_-_SP_Disciples_ISKCON_Chowpatty.mp3", "2012-11-17_Disappearance_Day_of_Srila_Prabhupada-02_-_SP_Disciples_ISKCON_Chowpatty.mp3")</f>
        <v>2012-11-17_Disappearance_Day_of_Srila_Prabhupada-02_-_SP_Disciples_ISKCON_Chowpatty.mp3</v>
      </c>
      <c r="D5146" s="24"/>
      <c r="E5146" s="24"/>
    </row>
    <row r="5147">
      <c r="A5147" s="25" t="s">
        <v>18509</v>
      </c>
      <c r="B5147" s="25" t="s">
        <v>18530</v>
      </c>
      <c r="C5147" s="26" t="str">
        <f>HYPERLINK("https://audio.iskcondesiretree.com/02_-_ISKCON_Swamis/ISKCON_Swamis_-_R_to_Y/His_Holiness_Radhanath_Swami/Lectures/02_-_Yatra/2012_Mayapur_Yatra/Audio/2012-11-18_Enchanting_Pastimes_of_Child_Nimai-02_-_Radhanath_Swami_ISKCON_Chowpatty.mp3", "2012-11-18_Enchanting_Pastimes_of_Child_Nimai-02_-_Radhanath_Swami_ISKCON_Chowpatty.mp3")</f>
        <v>2012-11-18_Enchanting_Pastimes_of_Child_Nimai-02_-_Radhanath_Swami_ISKCON_Chowpatty.mp3</v>
      </c>
      <c r="D5147" s="24"/>
      <c r="E5147" s="24"/>
    </row>
    <row r="5148">
      <c r="A5148" s="25" t="s">
        <v>18509</v>
      </c>
      <c r="B5148" s="25" t="s">
        <v>18530</v>
      </c>
      <c r="C5148" s="26" t="str">
        <f>HYPERLINK("https://audio.iskcondesiretree.com/02_-_ISKCON_Swamis/ISKCON_Swamis_-_R_to_Y/His_Holiness_Radhanath_Swami/Lectures/02_-_Yatra/2012_Mayapur_Yatra/Audio/2012-11-19_Nimai_Pandita_Charms-The_Inhabitants_of_Navadvipa_-_Radhanath_Swami_ISKCON_Chowpatty.mp3", "2012-11-19_Nimai_Pandita_Charms-The_Inhabitants_of_Navadvipa_-_Radhanath_Swami_ISKCON_Chowpatty.mp3")</f>
        <v>2012-11-19_Nimai_Pandita_Charms-The_Inhabitants_of_Navadvipa_-_Radhanath_Swami_ISKCON_Chowpatty.mp3</v>
      </c>
      <c r="D5148" s="24"/>
      <c r="E5148" s="24"/>
    </row>
    <row r="5149">
      <c r="A5149" s="25" t="s">
        <v>18509</v>
      </c>
      <c r="B5149" s="25" t="s">
        <v>18530</v>
      </c>
      <c r="C5149" s="26" t="str">
        <f>HYPERLINK("https://audio.iskcondesiretree.com/02_-_ISKCON_Swamis/ISKCON_Swamis_-_R_to_Y/His_Holiness_Radhanath_Swami/Lectures/02_-_Yatra/2012_Mayapur_Yatra/Audio/2012-11-20_The_Beginning_of_the_Sankirtan_Movement_-_Radhanath_Swami_ISKCON_Chowpatty.mp3", "2012-11-20_The_Beginning_of_the_Sankirtan_Movement_-_Radhanath_Swami_ISKCON_Chowpatty.mp3")</f>
        <v>2012-11-20_The_Beginning_of_the_Sankirtan_Movement_-_Radhanath_Swami_ISKCON_Chowpatty.mp3</v>
      </c>
      <c r="D5149" s="24"/>
      <c r="E5149" s="24"/>
    </row>
    <row r="5150">
      <c r="A5150" s="25" t="s">
        <v>18509</v>
      </c>
      <c r="B5150" s="25" t="s">
        <v>18530</v>
      </c>
      <c r="C5150" s="26" t="str">
        <f>HYPERLINK("https://audio.iskcondesiretree.com/02_-_ISKCON_Swamis/ISKCON_Swamis_-_R_to_Y/His_Holiness_Radhanath_Swami/Lectures/02_-_Yatra/2012_Mayapur_Yatra/Audio/2012-11-21_Lecture_At_Goshala-On_Occassion_of_Gopashtami_-_Radhanath_Swami_ISKCON_Chowpatty.mp3", "2012-11-21_Lecture_At_Goshala-On_Occassion_of_Gopashtami_-_Radhanath_Swami_ISKCON_Chowpatty.mp3")</f>
        <v>2012-11-21_Lecture_At_Goshala-On_Occassion_of_Gopashtami_-_Radhanath_Swami_ISKCON_Chowpatty.mp3</v>
      </c>
      <c r="D5150" s="24"/>
      <c r="E5150" s="24"/>
    </row>
    <row r="5151">
      <c r="A5151" s="25" t="s">
        <v>18509</v>
      </c>
      <c r="B5151" s="25" t="s">
        <v>18530</v>
      </c>
      <c r="C5151" s="26" t="str">
        <f>HYPERLINK("https://audio.iskcondesiretree.com/02_-_ISKCON_Swamis/ISKCON_Swamis_-_R_to_Y/His_Holiness_Radhanath_Swami/Lectures/02_-_Yatra/2012_Mayapur_Yatra/Audio/2012-11-21_Lord_Caitanya%27s_Mahaprakash_Lila_at_Srivas_Angan-01_-_Radhanath_Swami_ISKCON_Chowpatty.mp3", "2012-11-21_Lord_Caitanya%27s_Mahaprakash_Lila_at_Srivas_Angan-01_-_Radhanath_Swami_ISKCON_Chowpatty.mp3")</f>
        <v>2012-11-21_Lord_Caitanya%27s_Mahaprakash_Lila_at_Srivas_Angan-01_-_Radhanath_Swami_ISKCON_Chowpatty.mp3</v>
      </c>
      <c r="D5151" s="24"/>
      <c r="E5151" s="24"/>
    </row>
    <row r="5152">
      <c r="A5152" s="25" t="s">
        <v>18509</v>
      </c>
      <c r="B5152" s="25" t="s">
        <v>18530</v>
      </c>
      <c r="C5152" s="26" t="str">
        <f>HYPERLINK("https://audio.iskcondesiretree.com/02_-_ISKCON_Swamis/ISKCON_Swamis_-_R_to_Y/His_Holiness_Radhanath_Swami/Lectures/02_-_Yatra/2012_Mayapur_Yatra/Audio/2012-11-21_Receving_the_Divine_Grace_of_Lord_Caitanya_-_Jayapataka_Swami_ISKCON_Chowpatty.mp3", "2012-11-21_Receving_the_Divine_Grace_of_Lord_Caitanya_-_Jayapataka_Swami_ISKCON_Chowpatty.mp3")</f>
        <v>2012-11-21_Receving_the_Divine_Grace_of_Lord_Caitanya_-_Jayapataka_Swami_ISKCON_Chowpatty.mp3</v>
      </c>
      <c r="D5152" s="24"/>
      <c r="E5152" s="24"/>
    </row>
    <row r="5153">
      <c r="A5153" s="25" t="s">
        <v>18509</v>
      </c>
      <c r="B5153" s="25" t="s">
        <v>18530</v>
      </c>
      <c r="C5153" s="26" t="str">
        <f>HYPERLINK("https://audio.iskcondesiretree.com/02_-_ISKCON_Swamis/ISKCON_Swamis_-_R_to_Y/His_Holiness_Radhanath_Swami/Lectures/02_-_Yatra/2012_Mayapur_Yatra/Audio/2012-11-22_Caitanya_Lila_-_Jaypataka_Swami_ISKCON_Chowpatty.mp3", "2012-11-22_Caitanya_Lila_-_Jaypataka_Swami_ISKCON_Chowpatty.mp3")</f>
        <v>2012-11-22_Caitanya_Lila_-_Jaypataka_Swami_ISKCON_Chowpatty.mp3</v>
      </c>
      <c r="D5153" s="24"/>
      <c r="E5153" s="24"/>
    </row>
    <row r="5154">
      <c r="A5154" s="25" t="s">
        <v>18509</v>
      </c>
      <c r="B5154" s="25" t="s">
        <v>18530</v>
      </c>
      <c r="C5154" s="26" t="str">
        <f>HYPERLINK("https://audio.iskcondesiretree.com/02_-_ISKCON_Swamis/ISKCON_Swamis_-_R_to_Y/His_Holiness_Radhanath_Swami/Lectures/02_-_Yatra/2012_Mayapur_Yatra/Audio/2012-11-22_Lord_Caitanya%27s_Mahaprakash_Lila_at_Srivas_Angan-02_-_Radhanath_Swami_ISKCON_Chowpatty.mp3", "2012-11-22_Lord_Caitanya%27s_Mahaprakash_Lila_at_Srivas_Angan-02_-_Radhanath_Swami_ISKCON_Chowpatty.mp3")</f>
        <v>2012-11-22_Lord_Caitanya%27s_Mahaprakash_Lila_at_Srivas_Angan-02_-_Radhanath_Swami_ISKCON_Chowpatty.mp3</v>
      </c>
      <c r="D5154" s="24"/>
      <c r="E5154" s="24"/>
    </row>
    <row r="5155">
      <c r="A5155" s="25" t="s">
        <v>18509</v>
      </c>
      <c r="B5155" s="25" t="s">
        <v>18530</v>
      </c>
      <c r="C5155" s="26" t="str">
        <f>HYPERLINK("https://audio.iskcondesiretree.com/02_-_ISKCON_Swamis/ISKCON_Swamis_-_R_to_Y/His_Holiness_Radhanath_Swami/Lectures/02_-_Yatra/2012_Mayapur_Yatra/Audio/2012-11-23_Lecture_at_Ekachakra_Dham-Glories_of_Lord_Nityananda_-_Radhanath_Swami_ISKCON_Chowpatty.mp3", "2012-11-23_Lecture_at_Ekachakra_Dham-Glories_of_Lord_Nityananda_-_Radhanath_Swami_ISKCON_Chowpatty.mp3")</f>
        <v>2012-11-23_Lecture_at_Ekachakra_Dham-Glories_of_Lord_Nityananda_-_Radhanath_Swami_ISKCON_Chowpatty.mp3</v>
      </c>
      <c r="D5155" s="24"/>
      <c r="E5155" s="24"/>
    </row>
    <row r="5156">
      <c r="A5156" s="25" t="s">
        <v>18509</v>
      </c>
      <c r="B5156" s="25" t="s">
        <v>18531</v>
      </c>
      <c r="C5156" s="26" t="str">
        <f>HYPERLINK("https://audio.iskcondesiretree.com/02_-_ISKCON_Swamis/ISKCON_Swamis_-_R_to_Y/His_Holiness_Radhanath_Swami/Lectures/02_-_Yatra/2013_Vrindavan_Yatra/2013-10-31_Vrindavan_Yatra_2013_-_The_Exalted_Position_of_Gopis_-_Radhanath_Swami_Vrindavan.mp3", "2013-10-31_Vrindavan_Yatra_2013_-_The_Exalted_Position_of_Gopis_-_Radhanath_Swami_Vrindavan.mp3")</f>
        <v>2013-10-31_Vrindavan_Yatra_2013_-_The_Exalted_Position_of_Gopis_-_Radhanath_Swami_Vrindavan.mp3</v>
      </c>
      <c r="D5156" s="24"/>
      <c r="E5156" s="24"/>
    </row>
    <row r="5157">
      <c r="A5157" s="25" t="s">
        <v>18509</v>
      </c>
      <c r="B5157" s="25" t="s">
        <v>18531</v>
      </c>
      <c r="C5157" s="26" t="str">
        <f>HYPERLINK("https://audio.iskcondesiretree.com/02_-_ISKCON_Swamis/ISKCON_Swamis_-_R_to_Y/His_Holiness_Radhanath_Swami/Lectures/02_-_Yatra/2013_Vrindavan_Yatra/2013-11-01_Vrindavan_Yatra_2013_-_Brahma_Vimohan_Lila_Part_01_-_Radhanath_Swami_Vrindavan.mp3", "2013-11-01_Vrindavan_Yatra_2013_-_Brahma_Vimohan_Lila_Part_01_-_Radhanath_Swami_Vrindavan.mp3")</f>
        <v>2013-11-01_Vrindavan_Yatra_2013_-_Brahma_Vimohan_Lila_Part_01_-_Radhanath_Swami_Vrindavan.mp3</v>
      </c>
      <c r="D5157" s="24"/>
      <c r="E5157" s="24"/>
    </row>
    <row r="5158">
      <c r="A5158" s="25" t="s">
        <v>18509</v>
      </c>
      <c r="B5158" s="25" t="s">
        <v>18531</v>
      </c>
      <c r="C5158" s="26" t="str">
        <f>HYPERLINK("https://audio.iskcondesiretree.com/02_-_ISKCON_Swamis/ISKCON_Swamis_-_R_to_Y/His_Holiness_Radhanath_Swami/Lectures/02_-_Yatra/2013_Vrindavan_Yatra/2013-11-01_Vrindavan_Yatra_2013_-_Brahma_Vimohan_Lila_Part_02_-_Radhanath_Swami_Vrindavan.mp3", "2013-11-01_Vrindavan_Yatra_2013_-_Brahma_Vimohan_Lila_Part_02_-_Radhanath_Swami_Vrindavan.mp3")</f>
        <v>2013-11-01_Vrindavan_Yatra_2013_-_Brahma_Vimohan_Lila_Part_02_-_Radhanath_Swami_Vrindavan.mp3</v>
      </c>
      <c r="D5158" s="24"/>
      <c r="E5158" s="24"/>
    </row>
    <row r="5159">
      <c r="A5159" s="25" t="s">
        <v>18509</v>
      </c>
      <c r="B5159" s="25" t="s">
        <v>18531</v>
      </c>
      <c r="C5159" s="26" t="str">
        <f>HYPERLINK("https://audio.iskcondesiretree.com/02_-_ISKCON_Swamis/ISKCON_Swamis_-_R_to_Y/His_Holiness_Radhanath_Swami/Lectures/02_-_Yatra/2013_Vrindavan_Yatra/2013-11-03_Vrindavan_Yatra_2013_-_Conquered_by_his_devotees_Love_Day_06_-_Radhanath_Swami_Vrindavan.mp3", "2013-11-03_Vrindavan_Yatra_2013_-_Conquered_by_his_devotees_Love_Day_06_-_Radhanath_Swami_Vrindavan.mp3")</f>
        <v>2013-11-03_Vrindavan_Yatra_2013_-_Conquered_by_his_devotees_Love_Day_06_-_Radhanath_Swami_Vrindavan.mp3</v>
      </c>
      <c r="D5159" s="24"/>
      <c r="E5159" s="24"/>
    </row>
    <row r="5160">
      <c r="A5160" s="25" t="s">
        <v>18509</v>
      </c>
      <c r="B5160" s="25" t="s">
        <v>18531</v>
      </c>
      <c r="C5160" s="26" t="str">
        <f>HYPERLINK("https://audio.iskcondesiretree.com/02_-_ISKCON_Swamis/ISKCON_Swamis_-_R_to_Y/His_Holiness_Radhanath_Swami/Lectures/02_-_Yatra/2013_Vrindavan_Yatra/2013-11-04_Vrindavan_Yatra_2013_-_Glories_of_Govardhan_Day_07_-_Radhanath_Swami_Vrindavan.mp3", "2013-11-04_Vrindavan_Yatra_2013_-_Glories_of_Govardhan_Day_07_-_Radhanath_Swami_Vrindavan.mp3")</f>
        <v>2013-11-04_Vrindavan_Yatra_2013_-_Glories_of_Govardhan_Day_07_-_Radhanath_Swami_Vrindavan.mp3</v>
      </c>
      <c r="D5160" s="24"/>
      <c r="E5160" s="24"/>
    </row>
    <row r="5161">
      <c r="A5161" s="25" t="s">
        <v>18509</v>
      </c>
      <c r="B5161" s="25" t="s">
        <v>18531</v>
      </c>
      <c r="C5161" s="26" t="str">
        <f>HYPERLINK("https://audio.iskcondesiretree.com/02_-_ISKCON_Swamis/ISKCON_Swamis_-_R_to_Y/His_Holiness_Radhanath_Swami/Lectures/02_-_Yatra/2013_Vrindavan_Yatra/2013-11-05_Vrindavan_Yatra_2013_-_Good_fortune_of_Brijbasis_Day_08_-_Radhanath_Swami_Vrindavan.mp3", "2013-11-05_Vrindavan_Yatra_2013_-_Good_fortune_of_Brijbasis_Day_08_-_Radhanath_Swami_Vrindavan.mp3")</f>
        <v>2013-11-05_Vrindavan_Yatra_2013_-_Good_fortune_of_Brijbasis_Day_08_-_Radhanath_Swami_Vrindavan.mp3</v>
      </c>
      <c r="D5161" s="24"/>
      <c r="E5161" s="24"/>
    </row>
    <row r="5162">
      <c r="A5162" s="25" t="s">
        <v>18509</v>
      </c>
      <c r="B5162" s="25" t="s">
        <v>18531</v>
      </c>
      <c r="C5162" s="26" t="str">
        <f>HYPERLINK("https://audio.iskcondesiretree.com/02_-_ISKCON_Swamis/ISKCON_Swamis_-_R_to_Y/His_Holiness_Radhanath_Swami/Lectures/02_-_Yatra/2013_Vrindavan_Yatra/2013-11-06_Vrindavan_Yatra_2013_-_Govardhan_Lilas_Day_09_-_Radhanath_Swami_Vrindavan.mp3", "2013-11-06_Vrindavan_Yatra_2013_-_Govardhan_Lilas_Day_09_-_Radhanath_Swami_Vrindavan.mp3")</f>
        <v>2013-11-06_Vrindavan_Yatra_2013_-_Govardhan_Lilas_Day_09_-_Radhanath_Swami_Vrindavan.mp3</v>
      </c>
      <c r="D5162" s="24"/>
      <c r="E5162" s="24"/>
    </row>
    <row r="5163">
      <c r="A5163" s="25" t="s">
        <v>18509</v>
      </c>
      <c r="B5163" s="25" t="s">
        <v>18531</v>
      </c>
      <c r="C5163" s="26" t="str">
        <f>HYPERLINK("https://audio.iskcondesiretree.com/02_-_ISKCON_Swamis/ISKCON_Swamis_-_R_to_Y/His_Holiness_Radhanath_Swami/Lectures/02_-_Yatra/2013_Vrindavan_Yatra/2013-11-07_Vrindavan_Yatra_2013_-_Offerings_to_Srila_%20Prabhupada_-_Bhakti_Charu_Swami_Vrindavan.mp3", "2013-11-07_Vrindavan_Yatra_2013_-_Offerings_to_Srila_%20Prabhupada_-_Bhakti_Charu_Swami_Vrindavan.mp3")</f>
        <v>2013-11-07_Vrindavan_Yatra_2013_-_Offerings_to_Srila_%20Prabhupada_-_Bhakti_Charu_Swami_Vrindavan.mp3</v>
      </c>
      <c r="D5163" s="24"/>
      <c r="E5163" s="24"/>
    </row>
    <row r="5164">
      <c r="A5164" s="25" t="s">
        <v>18509</v>
      </c>
      <c r="B5164" s="25" t="s">
        <v>18531</v>
      </c>
      <c r="C5164" s="26" t="str">
        <f>HYPERLINK("https://audio.iskcondesiretree.com/02_-_ISKCON_Swamis/ISKCON_Swamis_-_R_to_Y/His_Holiness_Radhanath_Swami/Lectures/02_-_Yatra/2013_Vrindavan_Yatra/2013-11-07_Vrindavan_Yatra_2013_-_Offerings_to_Srila_Prabhupada_-_Arjun_Pr_Vrindavan.mp3", "2013-11-07_Vrindavan_Yatra_2013_-_Offerings_to_Srila_Prabhupada_-_Arjun_Pr_Vrindavan.mp3")</f>
        <v>2013-11-07_Vrindavan_Yatra_2013_-_Offerings_to_Srila_Prabhupada_-_Arjun_Pr_Vrindavan.mp3</v>
      </c>
      <c r="D5164" s="24"/>
      <c r="E5164" s="24"/>
    </row>
    <row r="5165">
      <c r="A5165" s="25" t="s">
        <v>18509</v>
      </c>
      <c r="B5165" s="25" t="s">
        <v>18531</v>
      </c>
      <c r="C5165" s="26" t="str">
        <f>HYPERLINK("https://audio.iskcondesiretree.com/02_-_ISKCON_Swamis/ISKCON_Swamis_-_R_to_Y/His_Holiness_Radhanath_Swami/Lectures/02_-_Yatra/2013_Vrindavan_Yatra/2013-11-07_Vrindavan_Yatra_2013_-_Offerings_to_Srila_Prabhupada_-_Bhurijana_Pr_Vrindavan.mp3", "2013-11-07_Vrindavan_Yatra_2013_-_Offerings_to_Srila_Prabhupada_-_Bhurijana_Pr_Vrindavan.mp3")</f>
        <v>2013-11-07_Vrindavan_Yatra_2013_-_Offerings_to_Srila_Prabhupada_-_Bhurijana_Pr_Vrindavan.mp3</v>
      </c>
      <c r="D5165" s="24"/>
      <c r="E5165" s="24"/>
    </row>
    <row r="5166">
      <c r="A5166" s="25" t="s">
        <v>18509</v>
      </c>
      <c r="B5166" s="25" t="s">
        <v>18531</v>
      </c>
      <c r="C5166" s="26" t="str">
        <f>HYPERLINK("https://audio.iskcondesiretree.com/02_-_ISKCON_Swamis/ISKCON_Swamis_-_R_to_Y/His_Holiness_Radhanath_Swami/Lectures/02_-_Yatra/2013_Vrindavan_Yatra/2013-11-07_Vrindavan_Yatra_2013_-_Offerings_to_Srila_Prabhupada_-_Dhanurdhar_Swami_Vrindavan.mp3", "2013-11-07_Vrindavan_Yatra_2013_-_Offerings_to_Srila_Prabhupada_-_Dhanurdhar_Swami_Vrindavan.mp3")</f>
        <v>2013-11-07_Vrindavan_Yatra_2013_-_Offerings_to_Srila_Prabhupada_-_Dhanurdhar_Swami_Vrindavan.mp3</v>
      </c>
      <c r="D5166" s="24"/>
      <c r="E5166" s="24"/>
    </row>
    <row r="5167">
      <c r="A5167" s="25" t="s">
        <v>18509</v>
      </c>
      <c r="B5167" s="25" t="s">
        <v>18531</v>
      </c>
      <c r="C5167" s="26" t="str">
        <f>HYPERLINK("https://audio.iskcondesiretree.com/02_-_ISKCON_Swamis/ISKCON_Swamis_-_R_to_Y/His_Holiness_Radhanath_Swami/Lectures/02_-_Yatra/2013_Vrindavan_Yatra/2013-11-07_Vrindavan_Yatra_2013_-_Offerings_to_Srila_Prabhupada_-_Radhanath_Swami_Vrindavan.mp3", "2013-11-07_Vrindavan_Yatra_2013_-_Offerings_to_Srila_Prabhupada_-_Radhanath_Swami_Vrindavan.mp3")</f>
        <v>2013-11-07_Vrindavan_Yatra_2013_-_Offerings_to_Srila_Prabhupada_-_Radhanath_Swami_Vrindavan.mp3</v>
      </c>
      <c r="D5167" s="24"/>
      <c r="E5167" s="24"/>
    </row>
    <row r="5168">
      <c r="A5168" s="25" t="s">
        <v>18509</v>
      </c>
      <c r="B5168" s="25" t="s">
        <v>18531</v>
      </c>
      <c r="C5168" s="26" t="str">
        <f>HYPERLINK("https://audio.iskcondesiretree.com/02_-_ISKCON_Swamis/ISKCON_Swamis_-_R_to_Y/His_Holiness_Radhanath_Swami/Lectures/02_-_Yatra/2013_Vrindavan_Yatra/2013-11-07_Vrindavan_Yatra_2013_-_Offerings_to_Srila_Prabhupada_-_Sacinandana_Sw_Vrindavan.mp3", "2013-11-07_Vrindavan_Yatra_2013_-_Offerings_to_Srila_Prabhupada_-_Sacinandana_Sw_Vrindavan.mp3")</f>
        <v>2013-11-07_Vrindavan_Yatra_2013_-_Offerings_to_Srila_Prabhupada_-_Sacinandana_Sw_Vrindavan.mp3</v>
      </c>
      <c r="D5168" s="24"/>
      <c r="E5168" s="24"/>
    </row>
    <row r="5169">
      <c r="A5169" s="25" t="s">
        <v>18509</v>
      </c>
      <c r="B5169" s="25" t="s">
        <v>18531</v>
      </c>
      <c r="C5169" s="26" t="str">
        <f>HYPERLINK("https://audio.iskcondesiretree.com/02_-_ISKCON_Swamis/ISKCON_Swamis_-_R_to_Y/His_Holiness_Radhanath_Swami/Lectures/02_-_Yatra/2013_Vrindavan_Yatra/2013-11-09_Vrindavan_Yatra_2013_-_Concluding_Session_-_Srila_Prabhupada_Disciples_Vrindavan.mp3", "2013-11-09_Vrindavan_Yatra_2013_-_Concluding_Session_-_Srila_Prabhupada_Disciples_Vrindavan.mp3")</f>
        <v>2013-11-09_Vrindavan_Yatra_2013_-_Concluding_Session_-_Srila_Prabhupada_Disciples_Vrindavan.mp3</v>
      </c>
      <c r="D5169" s="24"/>
      <c r="E5169" s="24"/>
    </row>
    <row r="5170">
      <c r="A5170" s="25" t="s">
        <v>18509</v>
      </c>
      <c r="B5170" s="25" t="s">
        <v>18531</v>
      </c>
      <c r="C5170" s="26" t="str">
        <f>HYPERLINK("https://audio.iskcondesiretree.com/02_-_ISKCON_Swamis/ISKCON_Swamis_-_R_to_Y/His_Holiness_Radhanath_Swami/Lectures/02_-_Yatra/2013_Vrindavan_Yatra/2013-11-09_Vrindavan_Yatra_2013_-_Pastimes_In_And_Around_Govardhan_-_Radhanath_Swami_Vrindavan.mp3", "2013-11-09_Vrindavan_Yatra_2013_-_Pastimes_In_And_Around_Govardhan_-_Radhanath_Swami_Vrindavan.mp3")</f>
        <v>2013-11-09_Vrindavan_Yatra_2013_-_Pastimes_In_And_Around_Govardhan_-_Radhanath_Swami_Vrindavan.mp3</v>
      </c>
      <c r="D5170" s="24"/>
      <c r="E5170" s="24"/>
    </row>
    <row r="5171">
      <c r="A5171" s="25" t="s">
        <v>18509</v>
      </c>
      <c r="B5171" s="25" t="s">
        <v>18531</v>
      </c>
      <c r="C5171" s="26" t="str">
        <f>HYPERLINK("https://audio.iskcondesiretree.com/02_-_ISKCON_Swamis/ISKCON_Swamis_-_R_to_Y/His_Holiness_Radhanath_Swami/Lectures/02_-_Yatra/2013_Vrindavan_Yatra/2013-11-09_Vrindavan_Yatra_2013_-_Question_and_Answer_Session_-_Senior_Devotees_Vrindavan.mp3", "2013-11-09_Vrindavan_Yatra_2013_-_Question_and_Answer_Session_-_Senior_Devotees_Vrindavan.mp3")</f>
        <v>2013-11-09_Vrindavan_Yatra_2013_-_Question_and_Answer_Session_-_Senior_Devotees_Vrindavan.mp3</v>
      </c>
      <c r="D5171" s="24"/>
      <c r="E5171" s="24"/>
    </row>
    <row r="5172">
      <c r="A5172" s="25" t="s">
        <v>18509</v>
      </c>
      <c r="B5172" s="25" t="s">
        <v>18531</v>
      </c>
      <c r="C5172" s="26" t="str">
        <f>HYPERLINK("https://audio.iskcondesiretree.com/02_-_ISKCON_Swamis/ISKCON_Swamis_-_R_to_Y/His_Holiness_Radhanath_Swami/Lectures/02_-_Yatra/2013_Vrindavan_Yatra/2013-11-09_Vrindavan_Yatra_2013_-_What_is_the_Goal_of_Human_Life_-_Shyamananda_Pr_Vrindavan.mp3", "2013-11-09_Vrindavan_Yatra_2013_-_What_is_the_Goal_of_Human_Life_-_Shyamananda_Pr_Vrindavan.mp3")</f>
        <v>2013-11-09_Vrindavan_Yatra_2013_-_What_is_the_Goal_of_Human_Life_-_Shyamananda_Pr_Vrindavan.mp3</v>
      </c>
      <c r="D5172" s="24"/>
      <c r="E5172" s="24"/>
    </row>
    <row r="5173">
      <c r="A5173" s="25" t="s">
        <v>18509</v>
      </c>
      <c r="B5173" s="25" t="s">
        <v>18531</v>
      </c>
      <c r="C5173" s="26" t="str">
        <f>HYPERLINK("https://audio.iskcondesiretree.com/02_-_ISKCON_Swamis/ISKCON_Swamis_-_R_to_Y/His_Holiness_Radhanath_Swami/Lectures/02_-_Yatra/2013_Vrindavan_Yatra/2013-11-09_Vrindavan_Yatra_2013_-_Why_Visit_a_Dham_-_Radha_Gopinath_Pr_Vrindavan.mp3", "2013-11-09_Vrindavan_Yatra_2013_-_Why_Visit_a_Dham_-_Radha_Gopinath_Pr_Vrindavan.mp3")</f>
        <v>2013-11-09_Vrindavan_Yatra_2013_-_Why_Visit_a_Dham_-_Radha_Gopinath_Pr_Vrindavan.mp3</v>
      </c>
      <c r="D5173" s="24"/>
      <c r="E5173" s="24"/>
    </row>
    <row r="5174">
      <c r="A5174" s="25" t="s">
        <v>18509</v>
      </c>
      <c r="B5174" s="25" t="s">
        <v>18532</v>
      </c>
      <c r="C5174" s="26" t="str">
        <f>HYPERLINK("https://audio.iskcondesiretree.com/02_-_ISKCON_Swamis/ISKCON_Swamis_-_R_to_Y/His_Holiness_Radhanath_Swami/Lectures/02_-_Yatra/2014_South_India_Yatra/06_-_2014-10-24_South_India_Yatra_2014_-_Govardhana_Puja%20_Day_03%28Evening%29_-_Radhanath_Swami.mp3", "06_-_2014-10-24_South_India_Yatra_2014_-_Govardhana_Puja%20_Day_03%28Evening%29_-_Radhanath_Swami.mp3")</f>
        <v>06_-_2014-10-24_South_India_Yatra_2014_-_Govardhana_Puja%20_Day_03%28Evening%29_-_Radhanath_Swami.mp3</v>
      </c>
      <c r="D5174" s="24"/>
      <c r="E5174" s="24"/>
    </row>
    <row r="5175">
      <c r="A5175" s="25" t="s">
        <v>18509</v>
      </c>
      <c r="B5175" s="25" t="s">
        <v>18532</v>
      </c>
      <c r="C5175" s="26" t="str">
        <f>HYPERLINK("https://audio.iskcondesiretree.com/02_-_ISKCON_Swamis/ISKCON_Swamis_-_R_to_Y/His_Holiness_Radhanath_Swami/Lectures/02_-_Yatra/2014_South_India_Yatra/08_-_2014-10-27_South_India_Yatra_2014_-_Srila_Prabhupada_Disappearance_Day_05_-_Radhanath_Swami_Udupi.mp3", "08_-_2014-10-27_South_India_Yatra_2014_-_Srila_Prabhupada_Disappearance_Day_05_-_Radhanath_Swami_Udupi.mp3")</f>
        <v>08_-_2014-10-27_South_India_Yatra_2014_-_Srila_Prabhupada_Disappearance_Day_05_-_Radhanath_Swami_Udupi.mp3</v>
      </c>
      <c r="D5175" s="24"/>
      <c r="E5175" s="24"/>
    </row>
    <row r="5176">
      <c r="A5176" s="25" t="s">
        <v>18509</v>
      </c>
      <c r="B5176" s="25" t="s">
        <v>18532</v>
      </c>
      <c r="C5176" s="26" t="str">
        <f>HYPERLINK("https://audio.iskcondesiretree.com/02_-_ISKCON_Swamis/ISKCON_Swamis_-_R_to_Y/His_Holiness_Radhanath_Swami/Lectures/02_-_Yatra/2014_South_India_Yatra/10_-_2014-10-29_South_India_Yatra_2014_-_What_Pleases_Krishna_Day_06_-_Radhanath_Swami_Udupi.mp3", "10_-_2014-10-29_South_India_Yatra_2014_-_What_Pleases_Krishna_Day_06_-_Radhanath_Swami_Udupi.mp3")</f>
        <v>10_-_2014-10-29_South_India_Yatra_2014_-_What_Pleases_Krishna_Day_06_-_Radhanath_Swami_Udupi.mp3</v>
      </c>
      <c r="D5176" s="24"/>
      <c r="E5176" s="24"/>
    </row>
    <row r="5177">
      <c r="A5177" s="25" t="s">
        <v>18509</v>
      </c>
      <c r="B5177" s="25" t="s">
        <v>18533</v>
      </c>
      <c r="C5177" s="26" t="str">
        <f>HYPERLINK("https://audio.iskcondesiretree.com/02_-_ISKCON_Swamis/ISKCON_Swamis_-_R_to_Y/His_Holiness_Radhanath_Swami/Lectures/02_-_Yatra/2015_Vrindavan_Yatra/2015-11-11_Vrindavan_Kartik_Yatra_2015_-_Childhood_pastimes_of_Lord_Krishna_and_Lord_Chaitanya_Day_04_-_Radh"&amp;"anath_Swami_Vrindavan.mp3", "2015-11-11_Vrindavan_Kartik_Yatra_2015_-_Childhood_pastimes_of_Lord_Krishna_and_Lord_Chaitanya_Day_04_-_Radhanath_Swami_Vrindavan.mp3")</f>
        <v>2015-11-11_Vrindavan_Kartik_Yatra_2015_-_Childhood_pastimes_of_Lord_Krishna_and_Lord_Chaitanya_Day_04_-_Radhanath_Swami_Vrindavan.mp3</v>
      </c>
      <c r="D5177" s="24"/>
      <c r="E5177" s="24"/>
    </row>
    <row r="5178">
      <c r="A5178" s="25" t="s">
        <v>18509</v>
      </c>
      <c r="B5178" s="25" t="s">
        <v>18533</v>
      </c>
      <c r="C5178" s="26" t="str">
        <f>HYPERLINK("https://audio.iskcondesiretree.com/02_-_ISKCON_Swamis/ISKCON_Swamis_-_R_to_Y/His_Holiness_Radhanath_Swami/Lectures/02_-_Yatra/2015_Vrindavan_Yatra/2015-11-12_Vrindavan_Kartik_Yatra_2015_-_Govardhana_Lila_Day_05_-_Radhanath_Swami_Vrindavan.mp3", "2015-11-12_Vrindavan_Kartik_Yatra_2015_-_Govardhana_Lila_Day_05_-_Radhanath_Swami_Vrindavan.mp3")</f>
        <v>2015-11-12_Vrindavan_Kartik_Yatra_2015_-_Govardhana_Lila_Day_05_-_Radhanath_Swami_Vrindavan.mp3</v>
      </c>
      <c r="D5178" s="24"/>
      <c r="E5178" s="24"/>
    </row>
    <row r="5179">
      <c r="A5179" s="25" t="s">
        <v>18509</v>
      </c>
      <c r="B5179" s="25" t="s">
        <v>18533</v>
      </c>
      <c r="C5179" s="26" t="str">
        <f>HYPERLINK("https://audio.iskcondesiretree.com/02_-_ISKCON_Swamis/ISKCON_Swamis_-_R_to_Y/His_Holiness_Radhanath_Swami/Lectures/02_-_Yatra/2015_Vrindavan_Yatra/2015-11-13_Vrindavan_Kartik_Yatra_2015_-_The_Best_of_Devotees_Hari_Das_Varya_Day_06_-_Radhanath_Swami_Vrinda"&amp;"van.mp3", "2015-11-13_Vrindavan_Kartik_Yatra_2015_-_The_Best_of_Devotees_Hari_Das_Varya_Day_06_-_Radhanath_Swami_Vrindavan.mp3")</f>
        <v>2015-11-13_Vrindavan_Kartik_Yatra_2015_-_The_Best_of_Devotees_Hari_Das_Varya_Day_06_-_Radhanath_Swami_Vrindavan.mp3</v>
      </c>
      <c r="D5179" s="24"/>
      <c r="E5179" s="24"/>
    </row>
    <row r="5180">
      <c r="A5180" s="25" t="s">
        <v>18509</v>
      </c>
      <c r="B5180" s="25" t="s">
        <v>18533</v>
      </c>
      <c r="C5180" s="26" t="str">
        <f>HYPERLINK("https://audio.iskcondesiretree.com/02_-_ISKCON_Swamis/ISKCON_Swamis_-_R_to_Y/His_Holiness_Radhanath_Swami/Lectures/02_-_Yatra/2015_Vrindavan_Yatra/2015-11-17_Vrindavan_Kartik_Yatra_2015_-_Govardhan_Puja_Day_09_-_Radhanath_Swami_Vrindavan.mp3", "2015-11-17_Vrindavan_Kartik_Yatra_2015_-_Govardhan_Puja_Day_09_-_Radhanath_Swami_Vrindavan.mp3")</f>
        <v>2015-11-17_Vrindavan_Kartik_Yatra_2015_-_Govardhan_Puja_Day_09_-_Radhanath_Swami_Vrindavan.mp3</v>
      </c>
      <c r="D5180" s="24"/>
      <c r="E5180" s="24"/>
    </row>
    <row r="5181">
      <c r="A5181" s="25" t="s">
        <v>18509</v>
      </c>
      <c r="B5181" s="25" t="s">
        <v>18533</v>
      </c>
      <c r="C5181" s="26" t="str">
        <f>HYPERLINK("https://audio.iskcondesiretree.com/02_-_ISKCON_Swamis/ISKCON_Swamis_-_R_to_Y/His_Holiness_Radhanath_Swami/Lectures/02_-_Yatra/2015_Vrindavan_Yatra/2015-11-17_Vrindavan_Kartik_Yatra_2015_-_Serving_Lord_Krishna_Day_10_-_Radhanath_Swami_Vrindavan.mp3", "2015-11-17_Vrindavan_Kartik_Yatra_2015_-_Serving_Lord_Krishna_Day_10_-_Radhanath_Swami_Vrindavan.mp3")</f>
        <v>2015-11-17_Vrindavan_Kartik_Yatra_2015_-_Serving_Lord_Krishna_Day_10_-_Radhanath_Swami_Vrindavan.mp3</v>
      </c>
      <c r="D5181" s="24"/>
      <c r="E5181" s="24"/>
    </row>
    <row r="5182">
      <c r="A5182" s="25" t="s">
        <v>18509</v>
      </c>
      <c r="B5182" s="25" t="s">
        <v>18533</v>
      </c>
      <c r="C5182" s="26" t="str">
        <f>HYPERLINK("https://audio.iskcondesiretree.com/02_-_ISKCON_Swamis/ISKCON_Swamis_-_R_to_Y/His_Holiness_Radhanath_Swami/Lectures/02_-_Yatra/2015_Vrindavan_Yatra/2015-11-17_Vrindavan_Kartik_Yatra_2015_-_Thanks_Giving_By_Mandakini_Mataji_Day_11_-_Radhanath_Swami_Vrindava"&amp;"n.mp3", "2015-11-17_Vrindavan_Kartik_Yatra_2015_-_Thanks_Giving_By_Mandakini_Mataji_Day_11_-_Radhanath_Swami_Vrindavan.mp3")</f>
        <v>2015-11-17_Vrindavan_Kartik_Yatra_2015_-_Thanks_Giving_By_Mandakini_Mataji_Day_11_-_Radhanath_Swami_Vrindavan.mp3</v>
      </c>
      <c r="D5182" s="24"/>
      <c r="E5182" s="24"/>
    </row>
    <row r="5183">
      <c r="A5183" s="25" t="s">
        <v>18509</v>
      </c>
      <c r="B5183" s="25" t="s">
        <v>18534</v>
      </c>
      <c r="C5183" s="26" t="str">
        <f>HYPERLINK("https://audio.iskcondesiretree.com/02_-_ISKCON_Swamis/ISKCON_Swamis_-_R_to_Y/His_Holiness_Radhanath_Swami/Lectures/02_-_Yatra/2017_Mayapur_Yatra/01_-_2017_Mayapur_Kartik_Yatra_-_Rain_Kirtan_-_Radhanath_Swami.mp3", "01_-_2017_Mayapur_Kartik_Yatra_-_Rain_Kirtan_-_Radhanath_Swami.mp3")</f>
        <v>01_-_2017_Mayapur_Kartik_Yatra_-_Rain_Kirtan_-_Radhanath_Swami.mp3</v>
      </c>
      <c r="D5183" s="24"/>
      <c r="E5183" s="24"/>
    </row>
    <row r="5184">
      <c r="A5184" s="25" t="s">
        <v>18509</v>
      </c>
      <c r="B5184" s="25" t="s">
        <v>18534</v>
      </c>
      <c r="C5184" s="26" t="str">
        <f>HYPERLINK("https://audio.iskcondesiretree.com/02_-_ISKCON_Swamis/ISKCON_Swamis_-_R_to_Y/His_Holiness_Radhanath_Swami/Lectures/02_-_Yatra/2017_Mayapur_Yatra/02_-_2017_Mayapur_Kartik_Yatra_-_Day-01-Inaugration_and_Setting_the_mood_for_Yatra_-_Radhanath_Swami.mp3", "02_-_2017_Mayapur_Kartik_Yatra_-_Day-01-Inaugration_and_Setting_the_mood_for_Yatra_-_Radhanath_Swami.mp3")</f>
        <v>02_-_2017_Mayapur_Kartik_Yatra_-_Day-01-Inaugration_and_Setting_the_mood_for_Yatra_-_Radhanath_Swami.mp3</v>
      </c>
      <c r="D5184" s="24"/>
      <c r="E5184" s="24"/>
    </row>
    <row r="5185">
      <c r="A5185" s="25" t="s">
        <v>18509</v>
      </c>
      <c r="B5185" s="25" t="s">
        <v>18534</v>
      </c>
      <c r="C5185" s="26" t="str">
        <f>HYPERLINK("https://audio.iskcondesiretree.com/02_-_ISKCON_Swamis/ISKCON_Swamis_-_R_to_Y/His_Holiness_Radhanath_Swami/Lectures/02_-_Yatra/2017_Mayapur_Yatra/03_-_2017_Mayapur_Kartik_Yatra_-_Day-02-Sweet_Childhood_Pastimes_of_Nimai_and_Krishna_-_Radhanath_Swami.mp3", "03_-_2017_Mayapur_Kartik_Yatra_-_Day-02-Sweet_Childhood_Pastimes_of_Nimai_and_Krishna_-_Radhanath_Swami.mp3")</f>
        <v>03_-_2017_Mayapur_Kartik_Yatra_-_Day-02-Sweet_Childhood_Pastimes_of_Nimai_and_Krishna_-_Radhanath_Swami.mp3</v>
      </c>
      <c r="D5185" s="24"/>
      <c r="E5185" s="24"/>
    </row>
    <row r="5186">
      <c r="A5186" s="25" t="s">
        <v>18509</v>
      </c>
      <c r="B5186" s="25" t="s">
        <v>18534</v>
      </c>
      <c r="C5186" s="26" t="str">
        <f>HYPERLINK("https://audio.iskcondesiretree.com/02_-_ISKCON_Swamis/ISKCON_Swamis_-_R_to_Y/His_Holiness_Radhanath_Swami/Lectures/02_-_Yatra/2017_Mayapur_Yatra/04_-_2017_Mayapur_Kartik_Yatra_-_Day-03-Marriage_Pastimes_of_Nimai_Pandit_-_Jayapataka_Swami.mp3", "04_-_2017_Mayapur_Kartik_Yatra_-_Day-03-Marriage_Pastimes_of_Nimai_Pandit_-_Jayapataka_Swami.mp3")</f>
        <v>04_-_2017_Mayapur_Kartik_Yatra_-_Day-03-Marriage_Pastimes_of_Nimai_Pandit_-_Jayapataka_Swami.mp3</v>
      </c>
      <c r="D5186" s="24"/>
      <c r="E5186" s="24"/>
    </row>
    <row r="5187">
      <c r="A5187" s="25" t="s">
        <v>18509</v>
      </c>
      <c r="B5187" s="25" t="s">
        <v>18534</v>
      </c>
      <c r="C5187" s="26" t="str">
        <f>HYPERLINK("https://audio.iskcondesiretree.com/02_-_ISKCON_Swamis/ISKCON_Swamis_-_R_to_Y/His_Holiness_Radhanath_Swami/Lectures/02_-_Yatra/2017_Mayapur_Yatra/05_-_2017_Mayapur_Kartik_Yatra_-_Day-03-Pastimes_of_Visvambhar_-_Radhanath_Swami.mp3", "05_-_2017_Mayapur_Kartik_Yatra_-_Day-03-Pastimes_of_Visvambhar_-_Radhanath_Swami.mp3")</f>
        <v>05_-_2017_Mayapur_Kartik_Yatra_-_Day-03-Pastimes_of_Visvambhar_-_Radhanath_Swami.mp3</v>
      </c>
      <c r="D5187" s="24"/>
      <c r="E5187" s="24"/>
    </row>
    <row r="5188">
      <c r="A5188" s="25" t="s">
        <v>18509</v>
      </c>
      <c r="B5188" s="25" t="s">
        <v>18534</v>
      </c>
      <c r="C5188" s="26" t="str">
        <f>HYPERLINK("https://audio.iskcondesiretree.com/02_-_ISKCON_Swamis/ISKCON_Swamis_-_R_to_Y/His_Holiness_Radhanath_Swami/Lectures/02_-_Yatra/2017_Mayapur_Yatra/06_-_2017_Mayapur_Kartik_Yatra_-_Day-04-Pastimes_of_Nimai_in_Nadia_-_Jayapataka_Swami.mp3", "06_-_2017_Mayapur_Kartik_Yatra_-_Day-04-Pastimes_of_Nimai_in_Nadia_-_Jayapataka_Swami.mp3")</f>
        <v>06_-_2017_Mayapur_Kartik_Yatra_-_Day-04-Pastimes_of_Nimai_in_Nadia_-_Jayapataka_Swami.mp3</v>
      </c>
      <c r="D5188" s="24"/>
      <c r="E5188" s="24"/>
    </row>
    <row r="5189">
      <c r="A5189" s="25" t="s">
        <v>18509</v>
      </c>
      <c r="B5189" s="25" t="s">
        <v>18534</v>
      </c>
      <c r="C5189" s="26" t="str">
        <f>HYPERLINK("https://audio.iskcondesiretree.com/02_-_ISKCON_Swamis/ISKCON_Swamis_-_R_to_Y/His_Holiness_Radhanath_Swami/Lectures/02_-_Yatra/2017_Mayapur_Yatra/07_-_2017_Mayapur_Kartik_Yatra_-_Day-04-Pastimes_of_Nimai_Pandit_-_Radhanath_Swami.mp3", "07_-_2017_Mayapur_Kartik_Yatra_-_Day-04-Pastimes_of_Nimai_Pandit_-_Radhanath_Swami.mp3")</f>
        <v>07_-_2017_Mayapur_Kartik_Yatra_-_Day-04-Pastimes_of_Nimai_Pandit_-_Radhanath_Swami.mp3</v>
      </c>
      <c r="D5189" s="24"/>
      <c r="E5189" s="24"/>
    </row>
    <row r="5190">
      <c r="A5190" s="25" t="s">
        <v>18509</v>
      </c>
      <c r="B5190" s="25" t="s">
        <v>18534</v>
      </c>
      <c r="C5190" s="26" t="str">
        <f>HYPERLINK("https://audio.iskcondesiretree.com/02_-_ISKCON_Swamis/ISKCON_Swamis_-_R_to_Y/His_Holiness_Radhanath_Swami/Lectures/02_-_Yatra/2017_Mayapur_Yatra/08_-_2017_Mayapur_Kartik_Yatra_-_Day-05_Vyasa_Puja_offering_by_Bhakti_Purushottam_Swami.mp3", "08_-_2017_Mayapur_Kartik_Yatra_-_Day-05_Vyasa_Puja_offering_by_Bhakti_Purushottam_Swami.mp3")</f>
        <v>08_-_2017_Mayapur_Kartik_Yatra_-_Day-05_Vyasa_Puja_offering_by_Bhakti_Purushottam_Swami.mp3</v>
      </c>
      <c r="D5190" s="24"/>
      <c r="E5190" s="24"/>
    </row>
    <row r="5191">
      <c r="A5191" s="25" t="s">
        <v>18509</v>
      </c>
      <c r="B5191" s="25" t="s">
        <v>18534</v>
      </c>
      <c r="C5191" s="26" t="str">
        <f>HYPERLINK("https://audio.iskcondesiretree.com/02_-_ISKCON_Swamis/ISKCON_Swamis_-_R_to_Y/His_Holiness_Radhanath_Swami/Lectures/02_-_Yatra/2017_Mayapur_Yatra/08_-_2017_Mayapur_Kartik_Yatra_-_Day-05_Vyasa_Puja_offering_by_Chandramauli_Swami.mp3", "08_-_2017_Mayapur_Kartik_Yatra_-_Day-05_Vyasa_Puja_offering_by_Chandramauli_Swami.mp3")</f>
        <v>08_-_2017_Mayapur_Kartik_Yatra_-_Day-05_Vyasa_Puja_offering_by_Chandramauli_Swami.mp3</v>
      </c>
      <c r="D5191" s="24"/>
      <c r="E5191" s="24"/>
    </row>
    <row r="5192">
      <c r="A5192" s="25" t="s">
        <v>18509</v>
      </c>
      <c r="B5192" s="25" t="s">
        <v>18534</v>
      </c>
      <c r="C5192" s="26" t="str">
        <f>HYPERLINK("https://audio.iskcondesiretree.com/02_-_ISKCON_Swamis/ISKCON_Swamis_-_R_to_Y/His_Holiness_Radhanath_Swami/Lectures/02_-_Yatra/2017_Mayapur_Yatra/08_-_2017_Mayapur_Kartik_Yatra_-_Day-05_Vyasa_Puja_offering_by_Jananivas_Prabhu.mp3", "08_-_2017_Mayapur_Kartik_Yatra_-_Day-05_Vyasa_Puja_offering_by_Jananivas_Prabhu.mp3")</f>
        <v>08_-_2017_Mayapur_Kartik_Yatra_-_Day-05_Vyasa_Puja_offering_by_Jananivas_Prabhu.mp3</v>
      </c>
      <c r="D5192" s="24"/>
      <c r="E5192" s="24"/>
    </row>
    <row r="5193">
      <c r="A5193" s="25" t="s">
        <v>18509</v>
      </c>
      <c r="B5193" s="25" t="s">
        <v>18534</v>
      </c>
      <c r="C5193" s="26" t="str">
        <f>HYPERLINK("https://audio.iskcondesiretree.com/02_-_ISKCON_Swamis/ISKCON_Swamis_-_R_to_Y/His_Holiness_Radhanath_Swami/Lectures/02_-_Yatra/2017_Mayapur_Yatra/08_-_2017_Mayapur_Kartik_Yatra_-_Day-05_Vyasa_Puja_offering_by_Mandakini_Mataji.mp3", "08_-_2017_Mayapur_Kartik_Yatra_-_Day-05_Vyasa_Puja_offering_by_Mandakini_Mataji.mp3")</f>
        <v>08_-_2017_Mayapur_Kartik_Yatra_-_Day-05_Vyasa_Puja_offering_by_Mandakini_Mataji.mp3</v>
      </c>
      <c r="D5193" s="24"/>
      <c r="E5193" s="24"/>
    </row>
    <row r="5194">
      <c r="A5194" s="25" t="s">
        <v>18509</v>
      </c>
      <c r="B5194" s="25" t="s">
        <v>18534</v>
      </c>
      <c r="C5194" s="26" t="str">
        <f>HYPERLINK("https://audio.iskcondesiretree.com/02_-_ISKCON_Swamis/ISKCON_Swamis_-_R_to_Y/His_Holiness_Radhanath_Swami/Lectures/02_-_Yatra/2017_Mayapur_Yatra/08_-_2017_Mayapur_Kartik_Yatra_-_Day-05_Vyasa_Puja_offering_by_Nartaki_Mataji.mp3", "08_-_2017_Mayapur_Kartik_Yatra_-_Day-05_Vyasa_Puja_offering_by_Nartaki_Mataji.mp3")</f>
        <v>08_-_2017_Mayapur_Kartik_Yatra_-_Day-05_Vyasa_Puja_offering_by_Nartaki_Mataji.mp3</v>
      </c>
      <c r="D5194" s="24"/>
      <c r="E5194" s="24"/>
    </row>
    <row r="5195">
      <c r="A5195" s="25" t="s">
        <v>18509</v>
      </c>
      <c r="B5195" s="25" t="s">
        <v>18534</v>
      </c>
      <c r="C5195" s="26" t="str">
        <f>HYPERLINK("https://audio.iskcondesiretree.com/02_-_ISKCON_Swamis/ISKCON_Swamis_-_R_to_Y/His_Holiness_Radhanath_Swami/Lectures/02_-_Yatra/2017_Mayapur_Yatra/08_-_2017_Mayapur_Kartik_Yatra_-_Day-05_Vyasa_Puja_offering_by_Niranjana_Swami.mp3", "08_-_2017_Mayapur_Kartik_Yatra_-_Day-05_Vyasa_Puja_offering_by_Niranjana_Swami.mp3")</f>
        <v>08_-_2017_Mayapur_Kartik_Yatra_-_Day-05_Vyasa_Puja_offering_by_Niranjana_Swami.mp3</v>
      </c>
      <c r="D5195" s="24"/>
      <c r="E5195" s="24"/>
    </row>
    <row r="5196">
      <c r="A5196" s="25" t="s">
        <v>18509</v>
      </c>
      <c r="B5196" s="25" t="s">
        <v>18534</v>
      </c>
      <c r="C5196" s="26" t="str">
        <f>HYPERLINK("https://audio.iskcondesiretree.com/02_-_ISKCON_Swamis/ISKCON_Swamis_-_R_to_Y/His_Holiness_Radhanath_Swami/Lectures/02_-_Yatra/2017_Mayapur_Yatra/08_-_2017_Mayapur_Kartik_Yatra_-_Day-05_Vyasa_Puja_offering_by_Pankajanghri_Prabhu.mp3", "08_-_2017_Mayapur_Kartik_Yatra_-_Day-05_Vyasa_Puja_offering_by_Pankajanghri_Prabhu.mp3")</f>
        <v>08_-_2017_Mayapur_Kartik_Yatra_-_Day-05_Vyasa_Puja_offering_by_Pankajanghri_Prabhu.mp3</v>
      </c>
      <c r="D5196" s="24"/>
      <c r="E5196" s="24"/>
    </row>
    <row r="5197">
      <c r="A5197" s="25" t="s">
        <v>18509</v>
      </c>
      <c r="B5197" s="25" t="s">
        <v>18534</v>
      </c>
      <c r="C5197" s="26" t="str">
        <f>HYPERLINK("https://audio.iskcondesiretree.com/02_-_ISKCON_Swamis/ISKCON_Swamis_-_R_to_Y/His_Holiness_Radhanath_Swami/Lectures/02_-_Yatra/2017_Mayapur_Yatra/08_-_2017_Mayapur_Kartik_Yatra_-_Day-05_Vyasa_Puja_offering_by_Radha_Gopinath_Prabhu.mp3", "08_-_2017_Mayapur_Kartik_Yatra_-_Day-05_Vyasa_Puja_offering_by_Radha_Gopinath_Prabhu.mp3")</f>
        <v>08_-_2017_Mayapur_Kartik_Yatra_-_Day-05_Vyasa_Puja_offering_by_Radha_Gopinath_Prabhu.mp3</v>
      </c>
      <c r="D5197" s="24"/>
      <c r="E5197" s="24"/>
    </row>
    <row r="5198">
      <c r="A5198" s="25" t="s">
        <v>18509</v>
      </c>
      <c r="B5198" s="25" t="s">
        <v>18534</v>
      </c>
      <c r="C5198" s="26" t="str">
        <f>HYPERLINK("https://audio.iskcondesiretree.com/02_-_ISKCON_Swamis/ISKCON_Swamis_-_R_to_Y/His_Holiness_Radhanath_Swami/Lectures/02_-_Yatra/2017_Mayapur_Yatra/08_-_2017_Mayapur_Kartik_Yatra_-_Day-05_Vyasa_Puja_offering_by_Radheshyam_Prabhu.mp3", "08_-_2017_Mayapur_Kartik_Yatra_-_Day-05_Vyasa_Puja_offering_by_Radheshyam_Prabhu.mp3")</f>
        <v>08_-_2017_Mayapur_Kartik_Yatra_-_Day-05_Vyasa_Puja_offering_by_Radheshyam_Prabhu.mp3</v>
      </c>
      <c r="D5198" s="24"/>
      <c r="E5198" s="24"/>
    </row>
    <row r="5199">
      <c r="A5199" s="25" t="s">
        <v>18509</v>
      </c>
      <c r="B5199" s="25" t="s">
        <v>18534</v>
      </c>
      <c r="C5199" s="26" t="str">
        <f>HYPERLINK("https://audio.iskcondesiretree.com/02_-_ISKCON_Swamis/ISKCON_Swamis_-_R_to_Y/His_Holiness_Radhanath_Swami/Lectures/02_-_Yatra/2017_Mayapur_Yatra/08_-_2017_Mayapur_Kartik_Yatra_-_Day-05_Vyasa_Puja_offering_by_Sesha_Prabhu.mp3", "08_-_2017_Mayapur_Kartik_Yatra_-_Day-05_Vyasa_Puja_offering_by_Sesha_Prabhu.mp3")</f>
        <v>08_-_2017_Mayapur_Kartik_Yatra_-_Day-05_Vyasa_Puja_offering_by_Sesha_Prabhu.mp3</v>
      </c>
      <c r="D5199" s="24"/>
      <c r="E5199" s="24"/>
    </row>
    <row r="5200">
      <c r="A5200" s="25" t="s">
        <v>18509</v>
      </c>
      <c r="B5200" s="25" t="s">
        <v>18534</v>
      </c>
      <c r="C5200" s="26" t="str">
        <f>HYPERLINK("https://audio.iskcondesiretree.com/02_-_ISKCON_Swamis/ISKCON_Swamis_-_R_to_Y/His_Holiness_Radhanath_Swami/Lectures/02_-_Yatra/2017_Mayapur_Yatra/08_-_2017_Mayapur_Kartik_Yatra_-_Day-05_Vyasa_Puja_offering_by_Shauri_Prabhu.mp3", "08_-_2017_Mayapur_Kartik_Yatra_-_Day-05_Vyasa_Puja_offering_by_Shauri_Prabhu.mp3")</f>
        <v>08_-_2017_Mayapur_Kartik_Yatra_-_Day-05_Vyasa_Puja_offering_by_Shauri_Prabhu.mp3</v>
      </c>
      <c r="D5200" s="24"/>
      <c r="E5200" s="24"/>
    </row>
    <row r="5201">
      <c r="A5201" s="25" t="s">
        <v>18509</v>
      </c>
      <c r="B5201" s="25" t="s">
        <v>18534</v>
      </c>
      <c r="C5201" s="26" t="str">
        <f>HYPERLINK("https://audio.iskcondesiretree.com/02_-_ISKCON_Swamis/ISKCON_Swamis_-_R_to_Y/His_Holiness_Radhanath_Swami/Lectures/02_-_Yatra/2017_Mayapur_Yatra/08_-_2017_Mayapur_Kartik_Yatra_-_Day-05_Vyasa_Puja_offering_by_Sivarama_Swami.mp3", "08_-_2017_Mayapur_Kartik_Yatra_-_Day-05_Vyasa_Puja_offering_by_Sivarama_Swami.mp3")</f>
        <v>08_-_2017_Mayapur_Kartik_Yatra_-_Day-05_Vyasa_Puja_offering_by_Sivarama_Swami.mp3</v>
      </c>
      <c r="D5201" s="24"/>
      <c r="E5201" s="24"/>
    </row>
    <row r="5202">
      <c r="A5202" s="25" t="s">
        <v>18509</v>
      </c>
      <c r="B5202" s="25" t="s">
        <v>18534</v>
      </c>
      <c r="C5202" s="26" t="str">
        <f>HYPERLINK("https://audio.iskcondesiretree.com/02_-_ISKCON_Swamis/ISKCON_Swamis_-_R_to_Y/His_Holiness_Radhanath_Swami/Lectures/02_-_Yatra/2017_Mayapur_Yatra/08_-_2017_Mayapur_Kartik_Yatra_-_Day-05_Vyasa_Puja_offering_by_Various_Devotees.mp3", "08_-_2017_Mayapur_Kartik_Yatra_-_Day-05_Vyasa_Puja_offering_by_Various_Devotees.mp3")</f>
        <v>08_-_2017_Mayapur_Kartik_Yatra_-_Day-05_Vyasa_Puja_offering_by_Various_Devotees.mp3</v>
      </c>
      <c r="D5202" s="24"/>
      <c r="E5202" s="24"/>
    </row>
    <row r="5203">
      <c r="A5203" s="25" t="s">
        <v>18509</v>
      </c>
      <c r="B5203" s="25" t="s">
        <v>18534</v>
      </c>
      <c r="C5203" s="26" t="str">
        <f>HYPERLINK("https://audio.iskcondesiretree.com/02_-_ISKCON_Swamis/ISKCON_Swamis_-_R_to_Y/His_Holiness_Radhanath_Swami/Lectures/02_-_Yatra/2017_Mayapur_Yatra/09_-_2017_Mayapur_Kartik_Yatra_-_Day-06-Lord_Chaitanya_inaugrating_Sankirtan_Movement_-_Radhanath_Swami.mp3", "09_-_2017_Mayapur_Kartik_Yatra_-_Day-06-Lord_Chaitanya_inaugrating_Sankirtan_Movement_-_Radhanath_Swami.mp3")</f>
        <v>09_-_2017_Mayapur_Kartik_Yatra_-_Day-06-Lord_Chaitanya_inaugrating_Sankirtan_Movement_-_Radhanath_Swami.mp3</v>
      </c>
      <c r="D5203" s="24"/>
      <c r="E5203" s="24"/>
    </row>
    <row r="5204">
      <c r="A5204" s="25" t="s">
        <v>18509</v>
      </c>
      <c r="B5204" s="25" t="s">
        <v>18534</v>
      </c>
      <c r="C5204" s="26" t="str">
        <f>HYPERLINK("https://audio.iskcondesiretree.com/02_-_ISKCON_Swamis/ISKCON_Swamis_-_R_to_Y/His_Holiness_Radhanath_Swami/Lectures/02_-_Yatra/2017_Mayapur_Yatra/10_-_2017_Mayapur_Kartik_Yatra_-_Day-07-Lord_Chaitanya%27s_meeting_Nityananda_Prabhu_-_Radhanath_Swami.mp3", "10_-_2017_Mayapur_Kartik_Yatra_-_Day-07-Lord_Chaitanya%27s_meeting_Nityananda_Prabhu_-_Radhanath_Swami.mp3")</f>
        <v>10_-_2017_Mayapur_Kartik_Yatra_-_Day-07-Lord_Chaitanya%27s_meeting_Nityananda_Prabhu_-_Radhanath_Swami.mp3</v>
      </c>
      <c r="D5204" s="24"/>
      <c r="E5204" s="24"/>
    </row>
    <row r="5205">
      <c r="A5205" s="25" t="s">
        <v>18509</v>
      </c>
      <c r="B5205" s="25" t="s">
        <v>18534</v>
      </c>
      <c r="C5205" s="26" t="str">
        <f>HYPERLINK("https://audio.iskcondesiretree.com/02_-_ISKCON_Swamis/ISKCON_Swamis_-_R_to_Y/His_Holiness_Radhanath_Swami/Lectures/02_-_Yatra/2017_Mayapur_Yatra/11_-_2017_Mayapur_Kartik_Yatra_-_Day-08_Class_-_Radhanath_Swami.mp3", "11_-_2017_Mayapur_Kartik_Yatra_-_Day-08_Class_-_Radhanath_Swami.mp3")</f>
        <v>11_-_2017_Mayapur_Kartik_Yatra_-_Day-08_Class_-_Radhanath_Swami.mp3</v>
      </c>
      <c r="D5205" s="24"/>
      <c r="E5205" s="24"/>
    </row>
    <row r="5206">
      <c r="A5206" s="25" t="s">
        <v>18509</v>
      </c>
      <c r="B5206" s="25" t="s">
        <v>18534</v>
      </c>
      <c r="C5206" s="26" t="str">
        <f>HYPERLINK("https://audio.iskcondesiretree.com/02_-_ISKCON_Swamis/ISKCON_Swamis_-_R_to_Y/His_Holiness_Radhanath_Swami/Lectures/02_-_Yatra/2017_Mayapur_Yatra/12_-_2017_Mayapur_Kartik_Yatra_-_Day-09_Class_-_Radhanath_Swami.mp3", "12_-_2017_Mayapur_Kartik_Yatra_-_Day-09_Class_-_Radhanath_Swami.mp3")</f>
        <v>12_-_2017_Mayapur_Kartik_Yatra_-_Day-09_Class_-_Radhanath_Swami.mp3</v>
      </c>
      <c r="D5206" s="24"/>
      <c r="E5206" s="24"/>
    </row>
    <row r="5207">
      <c r="A5207" s="25" t="s">
        <v>18509</v>
      </c>
      <c r="B5207" s="25" t="s">
        <v>18535</v>
      </c>
      <c r="C5207" s="26" t="str">
        <f>HYPERLINK("https://audio.iskcondesiretree.com/02_-_ISKCON_Swamis/ISKCON_Swamis_-_R_to_Y/His_Holiness_Radhanath_Swami/Lectures/02_-_Yatra/2018_Jagannath_Puri_Yatra/2018_Jagannath_Puri_Kartik_Yatra_-_Day-01_-_2018-11-07_Radhanath_Swami.mp3", "2018_Jagannath_Puri_Kartik_Yatra_-_Day-01_-_2018-11-07_Radhanath_Swami.mp3")</f>
        <v>2018_Jagannath_Puri_Kartik_Yatra_-_Day-01_-_2018-11-07_Radhanath_Swami.mp3</v>
      </c>
      <c r="D5207" s="24"/>
      <c r="E5207" s="24"/>
    </row>
    <row r="5208">
      <c r="A5208" s="25" t="s">
        <v>18509</v>
      </c>
      <c r="B5208" s="25" t="s">
        <v>18535</v>
      </c>
      <c r="C5208" s="26" t="str">
        <f>HYPERLINK("https://audio.iskcondesiretree.com/02_-_ISKCON_Swamis/ISKCON_Swamis_-_R_to_Y/His_Holiness_Radhanath_Swami/Lectures/02_-_Yatra/2018_Jagannath_Puri_Yatra/2018_Jagannath_Puri_Kartik_Yatra_-_Day-02_Part-01_-_2018-11-08_Radhanath_Swami.mp3", "2018_Jagannath_Puri_Kartik_Yatra_-_Day-02_Part-01_-_2018-11-08_Radhanath_Swami.mp3")</f>
        <v>2018_Jagannath_Puri_Kartik_Yatra_-_Day-02_Part-01_-_2018-11-08_Radhanath_Swami.mp3</v>
      </c>
      <c r="D5208" s="24"/>
      <c r="E5208" s="24"/>
    </row>
    <row r="5209">
      <c r="A5209" s="25" t="s">
        <v>18509</v>
      </c>
      <c r="B5209" s="25" t="s">
        <v>18535</v>
      </c>
      <c r="C5209" s="26" t="str">
        <f>HYPERLINK("https://audio.iskcondesiretree.com/02_-_ISKCON_Swamis/ISKCON_Swamis_-_R_to_Y/His_Holiness_Radhanath_Swami/Lectures/02_-_Yatra/2018_Jagannath_Puri_Yatra/2018_Jagannath_Puri_Kartik_Yatra_-_Day-02_Part-02_-_2018-11-08_Radhanath_Swami.mp3", "2018_Jagannath_Puri_Kartik_Yatra_-_Day-02_Part-02_-_2018-11-08_Radhanath_Swami.mp3")</f>
        <v>2018_Jagannath_Puri_Kartik_Yatra_-_Day-02_Part-02_-_2018-11-08_Radhanath_Swami.mp3</v>
      </c>
      <c r="D5209" s="24"/>
      <c r="E5209" s="24"/>
    </row>
    <row r="5210">
      <c r="A5210" s="25" t="s">
        <v>18509</v>
      </c>
      <c r="B5210" s="25" t="s">
        <v>18535</v>
      </c>
      <c r="C5210" s="26" t="str">
        <f>HYPERLINK("https://audio.iskcondesiretree.com/02_-_ISKCON_Swamis/ISKCON_Swamis_-_R_to_Y/His_Holiness_Radhanath_Swami/Lectures/02_-_Yatra/2018_Jagannath_Puri_Yatra/2018_Jagannath_Puri_Kartik_Yatra_-_Day-03_-_2018-11-09_Radhanath_Swami.mp3", "2018_Jagannath_Puri_Kartik_Yatra_-_Day-03_-_2018-11-09_Radhanath_Swami.mp3")</f>
        <v>2018_Jagannath_Puri_Kartik_Yatra_-_Day-03_-_2018-11-09_Radhanath_Swami.mp3</v>
      </c>
      <c r="D5210" s="24"/>
      <c r="E5210" s="24"/>
    </row>
    <row r="5211">
      <c r="A5211" s="25" t="s">
        <v>18509</v>
      </c>
      <c r="B5211" s="25" t="s">
        <v>18535</v>
      </c>
      <c r="C5211" s="26" t="str">
        <f>HYPERLINK("https://audio.iskcondesiretree.com/02_-_ISKCON_Swamis/ISKCON_Swamis_-_R_to_Y/His_Holiness_Radhanath_Swami/Lectures/02_-_Yatra/2018_Jagannath_Puri_Yatra/2018_Jagannath_Puri_Kartik_Yatra_-_Day-04_-_2018-11-10_Radhanath_Swami.mp3", "2018_Jagannath_Puri_Kartik_Yatra_-_Day-04_-_2018-11-10_Radhanath_Swami.mp3")</f>
        <v>2018_Jagannath_Puri_Kartik_Yatra_-_Day-04_-_2018-11-10_Radhanath_Swami.mp3</v>
      </c>
      <c r="D5211" s="24"/>
      <c r="E5211" s="24"/>
    </row>
    <row r="5212">
      <c r="A5212" s="25" t="s">
        <v>18509</v>
      </c>
      <c r="B5212" s="25" t="s">
        <v>18535</v>
      </c>
      <c r="C5212" s="26" t="str">
        <f>HYPERLINK("https://audio.iskcondesiretree.com/02_-_ISKCON_Swamis/ISKCON_Swamis_-_R_to_Y/His_Holiness_Radhanath_Swami/Lectures/02_-_Yatra/2018_Jagannath_Puri_Yatra/2018_Jagannath_Puri_Kartik_Yatra_-_Day-05_-_2018-11-11_Radhanath_Swami.mp3", "2018_Jagannath_Puri_Kartik_Yatra_-_Day-05_-_2018-11-11_Radhanath_Swami.mp3")</f>
        <v>2018_Jagannath_Puri_Kartik_Yatra_-_Day-05_-_2018-11-11_Radhanath_Swami.mp3</v>
      </c>
      <c r="D5212" s="24"/>
      <c r="E5212" s="24"/>
    </row>
    <row r="5213">
      <c r="A5213" s="25" t="s">
        <v>18509</v>
      </c>
      <c r="B5213" s="25" t="s">
        <v>18535</v>
      </c>
      <c r="C5213" s="26" t="str">
        <f>HYPERLINK("https://audio.iskcondesiretree.com/02_-_ISKCON_Swamis/ISKCON_Swamis_-_R_to_Y/His_Holiness_Radhanath_Swami/Lectures/02_-_Yatra/2018_Jagannath_Puri_Yatra/2018_Jagannath_Puri_Kartik_Yatra_-_Day-06_-_2018-11-12_Radhanath_Swami.mp3", "2018_Jagannath_Puri_Kartik_Yatra_-_Day-06_-_2018-11-12_Radhanath_Swami.mp3")</f>
        <v>2018_Jagannath_Puri_Kartik_Yatra_-_Day-06_-_2018-11-12_Radhanath_Swami.mp3</v>
      </c>
      <c r="D5213" s="24"/>
      <c r="E5213" s="24"/>
    </row>
    <row r="5214">
      <c r="A5214" s="25" t="s">
        <v>18509</v>
      </c>
      <c r="B5214" s="25" t="s">
        <v>18535</v>
      </c>
      <c r="C5214" s="26" t="str">
        <f>HYPERLINK("https://audio.iskcondesiretree.com/02_-_ISKCON_Swamis/ISKCON_Swamis_-_R_to_Y/His_Holiness_Radhanath_Swami/Lectures/02_-_Yatra/2018_Jagannath_Puri_Yatra/2018_Jagannath_Puri_Kartik_Yatra_-_Day-07_-_2018-11-13_Radhanath_Swami.mp3", "2018_Jagannath_Puri_Kartik_Yatra_-_Day-07_-_2018-11-13_Radhanath_Swami.mp3")</f>
        <v>2018_Jagannath_Puri_Kartik_Yatra_-_Day-07_-_2018-11-13_Radhanath_Swami.mp3</v>
      </c>
      <c r="D5214" s="24"/>
      <c r="E5214" s="24"/>
    </row>
    <row r="5215">
      <c r="A5215" s="25" t="s">
        <v>18509</v>
      </c>
      <c r="B5215" s="25" t="s">
        <v>18535</v>
      </c>
      <c r="C5215" s="26" t="str">
        <f>HYPERLINK("https://audio.iskcondesiretree.com/02_-_ISKCON_Swamis/ISKCON_Swamis_-_R_to_Y/His_Holiness_Radhanath_Swami/Lectures/02_-_Yatra/2018_Jagannath_Puri_Yatra/2018_Jagannath_Puri_Kartik_Yatra_-_Day-08_-_2018-11-14_Radhanath_Swami.mp3", "2018_Jagannath_Puri_Kartik_Yatra_-_Day-08_-_2018-11-14_Radhanath_Swami.mp3")</f>
        <v>2018_Jagannath_Puri_Kartik_Yatra_-_Day-08_-_2018-11-14_Radhanath_Swami.mp3</v>
      </c>
      <c r="D5215" s="24"/>
      <c r="E5215" s="24"/>
    </row>
    <row r="5216">
      <c r="A5216" s="25" t="s">
        <v>18509</v>
      </c>
      <c r="B5216" s="25" t="s">
        <v>18536</v>
      </c>
      <c r="C5216" s="26" t="str">
        <f>HYPERLINK("https://audio.iskcondesiretree.com/02_-_ISKCON_Swamis/ISKCON_Swamis_-_R_to_Y/His_Holiness_Radhanath_Swami/Lectures/02_-_Yatra/2019_Vrindavan_Yatra/01_-_2019_Vrindavan_Kartik_Yatra_-_Spirit_of_Gratitude_Day-01_-_2019-10-27_Radhanath_Swami.mp3", "01_-_2019_Vrindavan_Kartik_Yatra_-_Spirit_of_Gratitude_Day-01_-_2019-10-27_Radhanath_Swami.mp3")</f>
        <v>01_-_2019_Vrindavan_Kartik_Yatra_-_Spirit_of_Gratitude_Day-01_-_2019-10-27_Radhanath_Swami.mp3</v>
      </c>
      <c r="D5216" s="24"/>
      <c r="E5216" s="24"/>
    </row>
    <row r="5217">
      <c r="A5217" s="25" t="s">
        <v>18509</v>
      </c>
      <c r="B5217" s="25" t="s">
        <v>18536</v>
      </c>
      <c r="C5217" s="26" t="str">
        <f>HYPERLINK("https://audio.iskcondesiretree.com/02_-_ISKCON_Swamis/ISKCON_Swamis_-_R_to_Y/His_Holiness_Radhanath_Swami/Lectures/02_-_Yatra/2019_Vrindavan_Yatra/02_-_2019_Vrindavan_Kartik_Yatra_-_Damodar_Lila_Day-02_-_2019-10-28_Radhanath_Swami.mp3", "02_-_2019_Vrindavan_Kartik_Yatra_-_Damodar_Lila_Day-02_-_2019-10-28_Radhanath_Swami.mp3")</f>
        <v>02_-_2019_Vrindavan_Kartik_Yatra_-_Damodar_Lila_Day-02_-_2019-10-28_Radhanath_Swami.mp3</v>
      </c>
      <c r="D5217" s="24"/>
      <c r="E5217" s="24"/>
    </row>
    <row r="5218">
      <c r="A5218" s="25" t="s">
        <v>18509</v>
      </c>
      <c r="B5218" s="25" t="s">
        <v>18536</v>
      </c>
      <c r="C5218" s="26" t="str">
        <f>HYPERLINK("https://audio.iskcondesiretree.com/02_-_ISKCON_Swamis/ISKCON_Swamis_-_R_to_Y/His_Holiness_Radhanath_Swami/Lectures/02_-_Yatra/2019_Vrindavan_Yatra/03_-_2019_Vrindavan_Kartik_Yatra_-_Govardhan_Lila_Day-03_-_2019-10-29_Radhanath_Swami.mp3", "03_-_2019_Vrindavan_Kartik_Yatra_-_Govardhan_Lila_Day-03_-_2019-10-29_Radhanath_Swami.mp3")</f>
        <v>03_-_2019_Vrindavan_Kartik_Yatra_-_Govardhan_Lila_Day-03_-_2019-10-29_Radhanath_Swami.mp3</v>
      </c>
      <c r="D5218" s="24"/>
      <c r="E5218" s="24"/>
    </row>
    <row r="5219">
      <c r="A5219" s="25" t="s">
        <v>18509</v>
      </c>
      <c r="B5219" s="25" t="s">
        <v>18536</v>
      </c>
      <c r="C5219" s="26" t="str">
        <f>HYPERLINK("https://audio.iskcondesiretree.com/02_-_ISKCON_Swamis/ISKCON_Swamis_-_R_to_Y/His_Holiness_Radhanath_Swami/Lectures/02_-_Yatra/2019_Vrindavan_Yatra/04_-_2019_Vrindavan_Kartik_Yatra_-_Brahma_Vimohana_Lila_Day-04_-_2019-10-30_Radhanath_Swami.mp3", "04_-_2019_Vrindavan_Kartik_Yatra_-_Brahma_Vimohana_Lila_Day-04_-_2019-10-30_Radhanath_Swami.mp3")</f>
        <v>04_-_2019_Vrindavan_Kartik_Yatra_-_Brahma_Vimohana_Lila_Day-04_-_2019-10-30_Radhanath_Swami.mp3</v>
      </c>
      <c r="D5219" s="24"/>
      <c r="E5219" s="24"/>
    </row>
    <row r="5220">
      <c r="A5220" s="25" t="s">
        <v>18509</v>
      </c>
      <c r="B5220" s="25" t="s">
        <v>18536</v>
      </c>
      <c r="C5220" s="26" t="str">
        <f>HYPERLINK("https://audio.iskcondesiretree.com/02_-_ISKCON_Swamis/ISKCON_Swamis_-_R_to_Y/His_Holiness_Radhanath_Swami/Lectures/02_-_Yatra/2019_Vrindavan_Yatra/05_-_2019_Vrindavan_Kartik_Yatra_-_Srila_Prabhupada_Disappearance_Lecture_Day-05_-_2019-10-31_Radhanath_Swam"&amp;"i.mp3", "05_-_2019_Vrindavan_Kartik_Yatra_-_Srila_Prabhupada_Disappearance_Lecture_Day-05_-_2019-10-31_Radhanath_Swami.mp3")</f>
        <v>05_-_2019_Vrindavan_Kartik_Yatra_-_Srila_Prabhupada_Disappearance_Lecture_Day-05_-_2019-10-31_Radhanath_Swami.mp3</v>
      </c>
      <c r="D5220" s="24"/>
      <c r="E5220" s="24"/>
    </row>
    <row r="5221">
      <c r="A5221" s="25" t="s">
        <v>18509</v>
      </c>
      <c r="B5221" s="25" t="s">
        <v>18536</v>
      </c>
      <c r="C5221" s="26" t="str">
        <f>HYPERLINK("https://audio.iskcondesiretree.com/02_-_ISKCON_Swamis/ISKCON_Swamis_-_R_to_Y/His_Holiness_Radhanath_Swami/Lectures/02_-_Yatra/2019_Vrindavan_Yatra/06_-_2019_Vrindavan_Kartik_Yatra_-_Subduing_Kaliya_Day-06_-_2019-11-01_Radhanath_Swami.mp3", "06_-_2019_Vrindavan_Kartik_Yatra_-_Subduing_Kaliya_Day-06_-_2019-11-01_Radhanath_Swami.mp3")</f>
        <v>06_-_2019_Vrindavan_Kartik_Yatra_-_Subduing_Kaliya_Day-06_-_2019-11-01_Radhanath_Swami.mp3</v>
      </c>
      <c r="D5221" s="24"/>
      <c r="E5221" s="24"/>
    </row>
    <row r="5222">
      <c r="A5222" s="25" t="s">
        <v>18509</v>
      </c>
      <c r="B5222" s="25" t="s">
        <v>18536</v>
      </c>
      <c r="C5222" s="26" t="str">
        <f>HYPERLINK("https://audio.iskcondesiretree.com/02_-_ISKCON_Swamis/ISKCON_Swamis_-_R_to_Y/His_Holiness_Radhanath_Swami/Lectures/02_-_Yatra/2019_Vrindavan_Yatra/07_-_2019_Vrindavan_Kartik_Yatra_-_Understanding_Gopi%27s_Love_for_Krishna_Day-07_-_2019-11-02_Radhanath_Swa"&amp;"mi.mp3", "07_-_2019_Vrindavan_Kartik_Yatra_-_Understanding_Gopi%27s_Love_for_Krishna_Day-07_-_2019-11-02_Radhanath_Swami.mp3")</f>
        <v>07_-_2019_Vrindavan_Kartik_Yatra_-_Understanding_Gopi%27s_Love_for_Krishna_Day-07_-_2019-11-02_Radhanath_Swami.mp3</v>
      </c>
      <c r="D5222" s="24"/>
      <c r="E5222" s="24"/>
    </row>
    <row r="5223">
      <c r="A5223" s="25" t="s">
        <v>18509</v>
      </c>
      <c r="B5223" s="25" t="s">
        <v>18536</v>
      </c>
      <c r="C5223" s="26" t="str">
        <f>HYPERLINK("https://audio.iskcondesiretree.com/02_-_ISKCON_Swamis/ISKCON_Swamis_-_R_to_Y/His_Holiness_Radhanath_Swami/Lectures/02_-_Yatra/2019_Vrindavan_Yatra/08_-_2019_Vrindavan_Kartik_Yatra_-_Understanding_Gopi%27s_Love_for_Krishna_Day-08_-_2019-11-03_Radhanath_Swa"&amp;"mi.mp3", "08_-_2019_Vrindavan_Kartik_Yatra_-_Understanding_Gopi%27s_Love_for_Krishna_Day-08_-_2019-11-03_Radhanath_Swami.mp3")</f>
        <v>08_-_2019_Vrindavan_Kartik_Yatra_-_Understanding_Gopi%27s_Love_for_Krishna_Day-08_-_2019-11-03_Radhanath_Swami.mp3</v>
      </c>
      <c r="D5223" s="24"/>
      <c r="E5223" s="24"/>
    </row>
    <row r="5224">
      <c r="A5224" s="25" t="s">
        <v>18509</v>
      </c>
      <c r="B5224" s="25" t="s">
        <v>18537</v>
      </c>
      <c r="C5224" s="26" t="str">
        <f>HYPERLINK("https://audio.iskcondesiretree.com/02_-_ISKCON_Swamis/ISKCON_Swamis_-_R_to_Y/His_Holiness_Radhanath_Swami/Lectures/02_-_Yatra/2023_Jagannath_Puri_Yatra/2023_Jagannath_Puri_Kartik_Yatra_-_Day-01_-_2023-11_Radhanath_Swami.mp3", "2023_Jagannath_Puri_Kartik_Yatra_-_Day-01_-_2023-11_Radhanath_Swami.mp3")</f>
        <v>2023_Jagannath_Puri_Kartik_Yatra_-_Day-01_-_2023-11_Radhanath_Swami.mp3</v>
      </c>
      <c r="D5224" s="24"/>
      <c r="E5224" s="24"/>
    </row>
    <row r="5225">
      <c r="A5225" s="25" t="s">
        <v>18509</v>
      </c>
      <c r="B5225" s="25" t="s">
        <v>18537</v>
      </c>
      <c r="C5225" s="26" t="str">
        <f>HYPERLINK("https://audio.iskcondesiretree.com/02_-_ISKCON_Swamis/ISKCON_Swamis_-_R_to_Y/His_Holiness_Radhanath_Swami/Lectures/02_-_Yatra/2023_Jagannath_Puri_Yatra/2023_Jagannath_Puri_Kartik_Yatra_-_Day-02_-_2023-11_Radhanath_Swami.mp3", "2023_Jagannath_Puri_Kartik_Yatra_-_Day-02_-_2023-11_Radhanath_Swami.mp3")</f>
        <v>2023_Jagannath_Puri_Kartik_Yatra_-_Day-02_-_2023-11_Radhanath_Swami.mp3</v>
      </c>
      <c r="D5225" s="24"/>
      <c r="E5225" s="24"/>
    </row>
    <row r="5226">
      <c r="A5226" s="25" t="s">
        <v>18509</v>
      </c>
      <c r="B5226" s="25" t="s">
        <v>18537</v>
      </c>
      <c r="C5226" s="26" t="str">
        <f>HYPERLINK("https://audio.iskcondesiretree.com/02_-_ISKCON_Swamis/ISKCON_Swamis_-_R_to_Y/His_Holiness_Radhanath_Swami/Lectures/02_-_Yatra/2023_Jagannath_Puri_Yatra/2023_Jagannath_Puri_Kartik_Yatra_-_Day-03_-_2023-11_Radhanath_Swami.mp3", "2023_Jagannath_Puri_Kartik_Yatra_-_Day-03_-_2023-11_Radhanath_Swami.mp3")</f>
        <v>2023_Jagannath_Puri_Kartik_Yatra_-_Day-03_-_2023-11_Radhanath_Swami.mp3</v>
      </c>
      <c r="D5226" s="24"/>
      <c r="E5226" s="24"/>
    </row>
    <row r="5227">
      <c r="A5227" s="25" t="s">
        <v>18509</v>
      </c>
      <c r="B5227" s="25" t="s">
        <v>18537</v>
      </c>
      <c r="C5227" s="26" t="str">
        <f>HYPERLINK("https://audio.iskcondesiretree.com/02_-_ISKCON_Swamis/ISKCON_Swamis_-_R_to_Y/His_Holiness_Radhanath_Swami/Lectures/02_-_Yatra/2023_Jagannath_Puri_Yatra/2023_Jagannath_Puri_Kartik_Yatra_-_Day-05_-_2023-11_Radhanath_Swami.mp3", "2023_Jagannath_Puri_Kartik_Yatra_-_Day-05_-_2023-11_Radhanath_Swami.mp3")</f>
        <v>2023_Jagannath_Puri_Kartik_Yatra_-_Day-05_-_2023-11_Radhanath_Swami.mp3</v>
      </c>
      <c r="D5227" s="24"/>
      <c r="E5227" s="24"/>
    </row>
    <row r="5228">
      <c r="A5228" s="25" t="s">
        <v>18509</v>
      </c>
      <c r="B5228" s="25" t="s">
        <v>18537</v>
      </c>
      <c r="C5228" s="26" t="str">
        <f>HYPERLINK("https://audio.iskcondesiretree.com/02_-_ISKCON_Swamis/ISKCON_Swamis_-_R_to_Y/His_Holiness_Radhanath_Swami/Lectures/02_-_Yatra/2023_Jagannath_Puri_Yatra/2023_Jagannath_Puri_Kartik_Yatra_-_Day-06_-_2023-11_Radhanath_Swami.mp3", "2023_Jagannath_Puri_Kartik_Yatra_-_Day-06_-_2023-11_Radhanath_Swami.mp3")</f>
        <v>2023_Jagannath_Puri_Kartik_Yatra_-_Day-06_-_2023-11_Radhanath_Swami.mp3</v>
      </c>
      <c r="D5228" s="24"/>
      <c r="E5228" s="24"/>
    </row>
    <row r="5229">
      <c r="A5229" s="25" t="s">
        <v>18509</v>
      </c>
      <c r="B5229" s="25" t="s">
        <v>18538</v>
      </c>
      <c r="C5229" s="26" t="str">
        <f>HYPERLINK("https://audio.iskcondesiretree.com/02_-_ISKCON_Swamis/ISKCON_Swamis_-_R_to_Y/His_Holiness_Radhanath_Swami/Lectures/02_-_Yatra/2024_Mayapur_Dham_Yatra/2024_Mayapur_Dham_Kartik_Yatra_-_Day-01_-_2024-10_Radhanath_Swami.mp3", "2024_Mayapur_Dham_Kartik_Yatra_-_Day-01_-_2024-10_Radhanath_Swami.mp3")</f>
        <v>2024_Mayapur_Dham_Kartik_Yatra_-_Day-01_-_2024-10_Radhanath_Swami.mp3</v>
      </c>
      <c r="D5229" s="24"/>
      <c r="E5229" s="24"/>
    </row>
    <row r="5230">
      <c r="A5230" s="25" t="s">
        <v>18509</v>
      </c>
      <c r="B5230" s="25" t="s">
        <v>18538</v>
      </c>
      <c r="C5230" s="26" t="str">
        <f>HYPERLINK("https://audio.iskcondesiretree.com/02_-_ISKCON_Swamis/ISKCON_Swamis_-_R_to_Y/His_Holiness_Radhanath_Swami/Lectures/02_-_Yatra/2024_Mayapur_Dham_Yatra/2024_Mayapur_Dham_Kartik_Yatra_-_Day-02_-_2024-10_Radhanath_Swami.mp3", "2024_Mayapur_Dham_Kartik_Yatra_-_Day-02_-_2024-10_Radhanath_Swami.mp3")</f>
        <v>2024_Mayapur_Dham_Kartik_Yatra_-_Day-02_-_2024-10_Radhanath_Swami.mp3</v>
      </c>
      <c r="D5230" s="24"/>
      <c r="E5230" s="24"/>
    </row>
    <row r="5231">
      <c r="A5231" s="25" t="s">
        <v>18509</v>
      </c>
      <c r="B5231" s="25" t="s">
        <v>18538</v>
      </c>
      <c r="C5231" s="26" t="str">
        <f>HYPERLINK("https://audio.iskcondesiretree.com/02_-_ISKCON_Swamis/ISKCON_Swamis_-_R_to_Y/His_Holiness_Radhanath_Swami/Lectures/02_-_Yatra/2024_Mayapur_Dham_Yatra/2024_Mayapur_Dham_Kartik_Yatra_-_Day-03_-_2024-10_Radhanath_Swami.mp3", "2024_Mayapur_Dham_Kartik_Yatra_-_Day-03_-_2024-10_Radhanath_Swami.mp3")</f>
        <v>2024_Mayapur_Dham_Kartik_Yatra_-_Day-03_-_2024-10_Radhanath_Swami.mp3</v>
      </c>
      <c r="D5231" s="24"/>
      <c r="E5231" s="24"/>
    </row>
    <row r="5232">
      <c r="A5232" s="25" t="s">
        <v>18509</v>
      </c>
      <c r="B5232" s="25" t="s">
        <v>18538</v>
      </c>
      <c r="C5232" s="26" t="str">
        <f>HYPERLINK("https://audio.iskcondesiretree.com/02_-_ISKCON_Swamis/ISKCON_Swamis_-_R_to_Y/His_Holiness_Radhanath_Swami/Lectures/02_-_Yatra/2024_Mayapur_Dham_Yatra/2024_Mayapur_Dham_Kartik_Yatra_-_Day-04_-_2024-10_Radhanath_Swami.mp3", "2024_Mayapur_Dham_Kartik_Yatra_-_Day-04_-_2024-10_Radhanath_Swami.mp3")</f>
        <v>2024_Mayapur_Dham_Kartik_Yatra_-_Day-04_-_2024-10_Radhanath_Swami.mp3</v>
      </c>
      <c r="D5232" s="24"/>
      <c r="E5232" s="24"/>
    </row>
    <row r="5233">
      <c r="A5233" s="25" t="s">
        <v>18509</v>
      </c>
      <c r="B5233" s="25" t="s">
        <v>18538</v>
      </c>
      <c r="C5233" s="26" t="str">
        <f>HYPERLINK("https://audio.iskcondesiretree.com/02_-_ISKCON_Swamis/ISKCON_Swamis_-_R_to_Y/His_Holiness_Radhanath_Swami/Lectures/02_-_Yatra/2024_Mayapur_Dham_Yatra/2024_Mayapur_Dham_Kartik_Yatra_-_Day-05_-_2024-10_Radhanath_Swami.mp3", "2024_Mayapur_Dham_Kartik_Yatra_-_Day-05_-_2024-10_Radhanath_Swami.mp3")</f>
        <v>2024_Mayapur_Dham_Kartik_Yatra_-_Day-05_-_2024-10_Radhanath_Swami.mp3</v>
      </c>
      <c r="D5233" s="24"/>
      <c r="E5233" s="24"/>
    </row>
    <row r="5234">
      <c r="A5234" s="25" t="s">
        <v>18509</v>
      </c>
      <c r="B5234" s="25" t="s">
        <v>18538</v>
      </c>
      <c r="C5234" s="26" t="str">
        <f>HYPERLINK("https://audio.iskcondesiretree.com/02_-_ISKCON_Swamis/ISKCON_Swamis_-_R_to_Y/His_Holiness_Radhanath_Swami/Lectures/02_-_Yatra/2024_Mayapur_Dham_Yatra/2024_Mayapur_Dham_Kartik_Yatra_-_Day-06_-_2024-10_Radhanath_Swami.mp3", "2024_Mayapur_Dham_Kartik_Yatra_-_Day-06_-_2024-10_Radhanath_Swami.mp3")</f>
        <v>2024_Mayapur_Dham_Kartik_Yatra_-_Day-06_-_2024-10_Radhanath_Swami.mp3</v>
      </c>
      <c r="D5234" s="24"/>
      <c r="E5234" s="24"/>
    </row>
    <row r="5235">
      <c r="A5235" s="25" t="s">
        <v>18509</v>
      </c>
      <c r="B5235" s="25" t="s">
        <v>18538</v>
      </c>
      <c r="C5235" s="26" t="str">
        <f>HYPERLINK("https://audio.iskcondesiretree.com/02_-_ISKCON_Swamis/ISKCON_Swamis_-_R_to_Y/His_Holiness_Radhanath_Swami/Lectures/02_-_Yatra/2024_Mayapur_Dham_Yatra/2024_Mayapur_Dham_Kartik_Yatra_-_Srila_Prabhupada_Disappearance_Day_-_2024-11_Senior_Devotees.mp3", "2024_Mayapur_Dham_Kartik_Yatra_-_Srila_Prabhupada_Disappearance_Day_-_2024-11_Senior_Devotees.mp3")</f>
        <v>2024_Mayapur_Dham_Kartik_Yatra_-_Srila_Prabhupada_Disappearance_Day_-_2024-11_Senior_Devotees.mp3</v>
      </c>
      <c r="D5235" s="24"/>
      <c r="E5235" s="24"/>
    </row>
    <row r="5236">
      <c r="A5236" s="25" t="s">
        <v>18509</v>
      </c>
      <c r="B5236" s="25" t="s">
        <v>18539</v>
      </c>
      <c r="C5236" s="26" t="str">
        <f>HYPERLINK("https://audio.iskcondesiretree.com/02_-_ISKCON_Swamis/ISKCON_Swamis_-_R_to_Y/His_Holiness_Radhanath_Swami/Lectures/02_-_Yatra/Dwaraka/Dwaraka_-_Beyt_Dwarka_-_Radhanath_Swami.mp3", "Dwaraka_-_Beyt_Dwarka_-_Radhanath_Swami.mp3")</f>
        <v>Dwaraka_-_Beyt_Dwarka_-_Radhanath_Swami.mp3</v>
      </c>
      <c r="D5236" s="24"/>
      <c r="E5236" s="24"/>
    </row>
    <row r="5237">
      <c r="A5237" s="25" t="s">
        <v>18509</v>
      </c>
      <c r="B5237" s="25" t="s">
        <v>18539</v>
      </c>
      <c r="C5237" s="26" t="str">
        <f>HYPERLINK("https://audio.iskcondesiretree.com/02_-_ISKCON_Swamis/ISKCON_Swamis_-_R_to_Y/His_Holiness_Radhanath_Swami/Lectures/02_-_Yatra/Dwaraka/Dwaraka_-_Geeta_Mandir_-_Radhanath_Swami.mp3", "Dwaraka_-_Geeta_Mandir_-_Radhanath_Swami.mp3")</f>
        <v>Dwaraka_-_Geeta_Mandir_-_Radhanath_Swami.mp3</v>
      </c>
      <c r="D5237" s="24"/>
      <c r="E5237" s="24"/>
    </row>
    <row r="5238">
      <c r="A5238" s="25" t="s">
        <v>18509</v>
      </c>
      <c r="B5238" s="25" t="s">
        <v>18539</v>
      </c>
      <c r="C5238" s="26" t="str">
        <f>HYPERLINK("https://audio.iskcondesiretree.com/02_-_ISKCON_Swamis/ISKCON_Swamis_-_R_to_Y/His_Holiness_Radhanath_Swami/Lectures/02_-_Yatra/Dwaraka/Dwaraka_-_Gopi_Talao_Ghat_-_Radhanath_Swami.mp3", "Dwaraka_-_Gopi_Talao_Ghat_-_Radhanath_Swami.mp3")</f>
        <v>Dwaraka_-_Gopi_Talao_Ghat_-_Radhanath_Swami.mp3</v>
      </c>
      <c r="D5238" s="24"/>
      <c r="E5238" s="24"/>
    </row>
    <row r="5239">
      <c r="A5239" s="25" t="s">
        <v>18509</v>
      </c>
      <c r="B5239" s="25" t="s">
        <v>18539</v>
      </c>
      <c r="C5239" s="26" t="str">
        <f>HYPERLINK("https://audio.iskcondesiretree.com/02_-_ISKCON_Swamis/ISKCON_Swamis_-_R_to_Y/His_Holiness_Radhanath_Swami/Lectures/02_-_Yatra/Dwaraka/Dwaraka_-_Nageshwar_Madhav_Temple_-_Radhanath_Swami.mp3", "Dwaraka_-_Nageshwar_Madhav_Temple_-_Radhanath_Swami.mp3")</f>
        <v>Dwaraka_-_Nageshwar_Madhav_Temple_-_Radhanath_Swami.mp3</v>
      </c>
      <c r="D5239" s="24"/>
      <c r="E5239" s="24"/>
    </row>
    <row r="5240">
      <c r="A5240" s="25" t="s">
        <v>18509</v>
      </c>
      <c r="B5240" s="25" t="s">
        <v>18539</v>
      </c>
      <c r="C5240" s="26" t="str">
        <f>HYPERLINK("https://audio.iskcondesiretree.com/02_-_ISKCON_Swamis/ISKCON_Swamis_-_R_to_Y/His_Holiness_Radhanath_Swami/Lectures/02_-_Yatra/Dwaraka/Dwaraka_-_Ranchod_Rai_Temple_-_Radhanath_Swami.mp3", "Dwaraka_-_Ranchod_Rai_Temple_-_Radhanath_Swami.mp3")</f>
        <v>Dwaraka_-_Ranchod_Rai_Temple_-_Radhanath_Swami.mp3</v>
      </c>
      <c r="D5240" s="24"/>
      <c r="E5240" s="24"/>
    </row>
    <row r="5241">
      <c r="A5241" s="25" t="s">
        <v>18509</v>
      </c>
      <c r="B5241" s="25" t="s">
        <v>18539</v>
      </c>
      <c r="C5241" s="26" t="str">
        <f>HYPERLINK("https://audio.iskcondesiretree.com/02_-_ISKCON_Swamis/ISKCON_Swamis_-_R_to_Y/His_Holiness_Radhanath_Swami/Lectures/02_-_Yatra/Dwaraka/Dwaraka_-_Somnath_mandir_-_Radhanath_Swami.mp3", "Dwaraka_-_Somnath_mandir_-_Radhanath_Swami.mp3")</f>
        <v>Dwaraka_-_Somnath_mandir_-_Radhanath_Swami.mp3</v>
      </c>
      <c r="D5241" s="24"/>
      <c r="E5241" s="24"/>
    </row>
    <row r="5242">
      <c r="A5242" s="25" t="s">
        <v>18509</v>
      </c>
      <c r="B5242" s="25" t="s">
        <v>18539</v>
      </c>
      <c r="C5242" s="26" t="str">
        <f>HYPERLINK("https://audio.iskcondesiretree.com/02_-_ISKCON_Swamis/ISKCON_Swamis_-_R_to_Y/His_Holiness_Radhanath_Swami/Lectures/02_-_Yatra/Dwaraka/Dwaraka_-_Sudama_Kutir_-_Radhanath_Swami.mp3", "Dwaraka_-_Sudama_Kutir_-_Radhanath_Swami.mp3")</f>
        <v>Dwaraka_-_Sudama_Kutir_-_Radhanath_Swami.mp3</v>
      </c>
      <c r="D5242" s="24"/>
      <c r="E5242" s="24"/>
    </row>
    <row r="5243">
      <c r="A5243" s="25" t="s">
        <v>18509</v>
      </c>
      <c r="B5243" s="25" t="s">
        <v>18539</v>
      </c>
      <c r="C5243" s="26" t="str">
        <f>HYPERLINK("https://audio.iskcondesiretree.com/02_-_ISKCON_Swamis/ISKCON_Swamis_-_R_to_Y/His_Holiness_Radhanath_Swami/Lectures/02_-_Yatra/Dwaraka/Dwaraka_-_Sudama_Temple_-_Radhanath_Swami.mp3", "Dwaraka_-_Sudama_Temple_-_Radhanath_Swami.mp3")</f>
        <v>Dwaraka_-_Sudama_Temple_-_Radhanath_Swami.mp3</v>
      </c>
      <c r="D5243" s="24"/>
      <c r="E5243" s="24"/>
    </row>
    <row r="5244">
      <c r="A5244" s="25" t="s">
        <v>18509</v>
      </c>
      <c r="B5244" s="25" t="s">
        <v>18540</v>
      </c>
      <c r="C5244" s="26" t="str">
        <f>HYPERLINK("https://audio.iskcondesiretree.com/02_-_ISKCON_Swamis/ISKCON_Swamis_-_R_to_Y/His_Holiness_Radhanath_Swami/Lectures/02_-_Yatra/Jaganath_Puri_yatra/1994/Jagannath_Puri_Yatra_1994_01_-_Jagannath_Temple_simha_dwara_-_Radhanath_Swami.mp3", "Jagannath_Puri_Yatra_1994_01_-_Jagannath_Temple_simha_dwara_-_Radhanath_Swami.mp3")</f>
        <v>Jagannath_Puri_Yatra_1994_01_-_Jagannath_Temple_simha_dwara_-_Radhanath_Swami.mp3</v>
      </c>
      <c r="D5244" s="24"/>
      <c r="E5244" s="24"/>
    </row>
    <row r="5245">
      <c r="A5245" s="25" t="s">
        <v>18509</v>
      </c>
      <c r="B5245" s="25" t="s">
        <v>18540</v>
      </c>
      <c r="C5245" s="26" t="str">
        <f>HYPERLINK("https://audio.iskcondesiretree.com/02_-_ISKCON_Swamis/ISKCON_Swamis_-_R_to_Y/His_Holiness_Radhanath_Swami/Lectures/02_-_Yatra/Jaganath_Puri_yatra/1994/Jagannath_Puri_Yatra_1994_02_-_Jagannath_Temple_Southern_Gate_-_Radhanath_Swami.mp3", "Jagannath_Puri_Yatra_1994_02_-_Jagannath_Temple_Southern_Gate_-_Radhanath_Swami.mp3")</f>
        <v>Jagannath_Puri_Yatra_1994_02_-_Jagannath_Temple_Southern_Gate_-_Radhanath_Swami.mp3</v>
      </c>
      <c r="D5245" s="24"/>
      <c r="E5245" s="24"/>
    </row>
    <row r="5246">
      <c r="A5246" s="25" t="s">
        <v>18509</v>
      </c>
      <c r="B5246" s="25" t="s">
        <v>18540</v>
      </c>
      <c r="C5246" s="26" t="str">
        <f>HYPERLINK("https://audio.iskcondesiretree.com/02_-_ISKCON_Swamis/ISKCON_Swamis_-_R_to_Y/His_Holiness_Radhanath_Swami/Lectures/02_-_Yatra/Jaganath_Puri_yatra/1994/Jagannath_Puri_Yatra_1994_03_-_Jagannath_Temple_Nouthern_Gate_-_Radhanath_Swami.mp3", "Jagannath_Puri_Yatra_1994_03_-_Jagannath_Temple_Nouthern_Gate_-_Radhanath_Swami.mp3")</f>
        <v>Jagannath_Puri_Yatra_1994_03_-_Jagannath_Temple_Nouthern_Gate_-_Radhanath_Swami.mp3</v>
      </c>
      <c r="D5246" s="24"/>
      <c r="E5246" s="24"/>
    </row>
    <row r="5247">
      <c r="A5247" s="25" t="s">
        <v>18509</v>
      </c>
      <c r="B5247" s="25" t="s">
        <v>18540</v>
      </c>
      <c r="C5247" s="26" t="str">
        <f>HYPERLINK("https://audio.iskcondesiretree.com/02_-_ISKCON_Swamis/ISKCON_Swamis_-_R_to_Y/His_Holiness_Radhanath_Swami/Lectures/02_-_Yatra/Jaganath_Puri_yatra/1994/Jagannath_Puri_Yatra_1994_04_-_Sarvabhauma_Bhattacharya%27s_House_-_Radhanath_Swami.mp3", "Jagannath_Puri_Yatra_1994_04_-_Sarvabhauma_Bhattacharya%27s_House_-_Radhanath_Swami.mp3")</f>
        <v>Jagannath_Puri_Yatra_1994_04_-_Sarvabhauma_Bhattacharya%27s_House_-_Radhanath_Swami.mp3</v>
      </c>
      <c r="D5247" s="24"/>
      <c r="E5247" s="24"/>
    </row>
    <row r="5248">
      <c r="A5248" s="25" t="s">
        <v>18509</v>
      </c>
      <c r="B5248" s="25" t="s">
        <v>18540</v>
      </c>
      <c r="C5248" s="26" t="str">
        <f>HYPERLINK("https://audio.iskcondesiretree.com/02_-_ISKCON_Swamis/ISKCON_Swamis_-_R_to_Y/His_Holiness_Radhanath_Swami/Lectures/02_-_Yatra/Jaganath_Puri_yatra/1994/Jagannath_Puri_Yatra_1994_05_-_Gaudiya_Math-house_of_Bhaktivinod_Thakur_-_Radhanath_Swami.mp3", "Jagannath_Puri_Yatra_1994_05_-_Gaudiya_Math-house_of_Bhaktivinod_Thakur_-_Radhanath_Swami.mp3")</f>
        <v>Jagannath_Puri_Yatra_1994_05_-_Gaudiya_Math-house_of_Bhaktivinod_Thakur_-_Radhanath_Swami.mp3</v>
      </c>
      <c r="D5248" s="24"/>
      <c r="E5248" s="24"/>
    </row>
    <row r="5249">
      <c r="A5249" s="25" t="s">
        <v>18509</v>
      </c>
      <c r="B5249" s="25" t="s">
        <v>18540</v>
      </c>
      <c r="C5249" s="26" t="str">
        <f>HYPERLINK("https://audio.iskcondesiretree.com/02_-_ISKCON_Swamis/ISKCON_Swamis_-_R_to_Y/His_Holiness_Radhanath_Swami/Lectures/02_-_Yatra/Jaganath_Puri_yatra/1994/Jagannath_Puri_Yatra_1994_06_-_Gambhira-house_of_kashi_mishra_-_Radhanath_Swami.mp3", "Jagannath_Puri_Yatra_1994_06_-_Gambhira-house_of_kashi_mishra_-_Radhanath_Swami.mp3")</f>
        <v>Jagannath_Puri_Yatra_1994_06_-_Gambhira-house_of_kashi_mishra_-_Radhanath_Swami.mp3</v>
      </c>
      <c r="D5249" s="24"/>
      <c r="E5249" s="24"/>
    </row>
    <row r="5250">
      <c r="A5250" s="25" t="s">
        <v>18509</v>
      </c>
      <c r="B5250" s="25" t="s">
        <v>18540</v>
      </c>
      <c r="C5250" s="26" t="str">
        <f>HYPERLINK("https://audio.iskcondesiretree.com/02_-_ISKCON_Swamis/ISKCON_Swamis_-_R_to_Y/His_Holiness_Radhanath_Swami/Lectures/02_-_Yatra/Jaganath_Puri_yatra/1994/Jagannath_Puri_Yatra_1994_07_-_Tota_Gopinath_-_Radhanath_Swami.mp3", "Jagannath_Puri_Yatra_1994_07_-_Tota_Gopinath_-_Radhanath_Swami.mp3")</f>
        <v>Jagannath_Puri_Yatra_1994_07_-_Tota_Gopinath_-_Radhanath_Swami.mp3</v>
      </c>
      <c r="D5250" s="24"/>
      <c r="E5250" s="24"/>
    </row>
    <row r="5251">
      <c r="A5251" s="25" t="s">
        <v>18509</v>
      </c>
      <c r="B5251" s="25" t="s">
        <v>18540</v>
      </c>
      <c r="C5251" s="26" t="str">
        <f>HYPERLINK("https://audio.iskcondesiretree.com/02_-_ISKCON_Swamis/ISKCON_Swamis_-_R_to_Y/His_Holiness_Radhanath_Swami/Lectures/02_-_Yatra/Jaganath_Puri_yatra/1994/Jagannath_Puri_Yatra_1994_08_-_Srila_haridas_thakur_Samadhi_Mandir_-_Radhanath_Swami.mp3", "Jagannath_Puri_Yatra_1994_08_-_Srila_haridas_thakur_Samadhi_Mandir_-_Radhanath_Swami.mp3")</f>
        <v>Jagannath_Puri_Yatra_1994_08_-_Srila_haridas_thakur_Samadhi_Mandir_-_Radhanath_Swami.mp3</v>
      </c>
      <c r="D5251" s="24"/>
      <c r="E5251" s="24"/>
    </row>
    <row r="5252">
      <c r="A5252" s="25" t="s">
        <v>18509</v>
      </c>
      <c r="B5252" s="25" t="s">
        <v>18540</v>
      </c>
      <c r="C5252" s="26" t="str">
        <f>HYPERLINK("https://audio.iskcondesiretree.com/02_-_ISKCON_Swamis/ISKCON_Swamis_-_R_to_Y/His_Holiness_Radhanath_Swami/Lectures/02_-_Yatra/Jaganath_Puri_yatra/1994/Jagannath_Puri_Yatra_1994_09_-_Bedi_Hanuman_Temple_-_Radhanath_Swami.mp3", "Jagannath_Puri_Yatra_1994_09_-_Bedi_Hanuman_Temple_-_Radhanath_Swami.mp3")</f>
        <v>Jagannath_Puri_Yatra_1994_09_-_Bedi_Hanuman_Temple_-_Radhanath_Swami.mp3</v>
      </c>
      <c r="D5252" s="24"/>
      <c r="E5252" s="24"/>
    </row>
    <row r="5253">
      <c r="A5253" s="25" t="s">
        <v>18509</v>
      </c>
      <c r="B5253" s="25" t="s">
        <v>18540</v>
      </c>
      <c r="C5253" s="26" t="str">
        <f>HYPERLINK("https://audio.iskcondesiretree.com/02_-_ISKCON_Swamis/ISKCON_Swamis_-_R_to_Y/His_Holiness_Radhanath_Swami/Lectures/02_-_Yatra/Jaganath_Puri_yatra/1994/Jagannath_Puri_Yatra_1994_10_-_Chakra_tirtha_-_Radhanath_Swami.mp3", "Jagannath_Puri_Yatra_1994_10_-_Chakra_tirtha_-_Radhanath_Swami.mp3")</f>
        <v>Jagannath_Puri_Yatra_1994_10_-_Chakra_tirtha_-_Radhanath_Swami.mp3</v>
      </c>
      <c r="D5253" s="24"/>
      <c r="E5253" s="24"/>
    </row>
    <row r="5254">
      <c r="A5254" s="25" t="s">
        <v>18509</v>
      </c>
      <c r="B5254" s="25" t="s">
        <v>18540</v>
      </c>
      <c r="C5254" s="26" t="str">
        <f>HYPERLINK("https://audio.iskcondesiretree.com/02_-_ISKCON_Swamis/ISKCON_Swamis_-_R_to_Y/His_Holiness_Radhanath_Swami/Lectures/02_-_Yatra/Jaganath_Puri_yatra/1994/Jagannath_Puri_Yatra_1994_11_-_Paramananda_puri_well_-_Radhanath_Swami.mp3", "Jagannath_Puri_Yatra_1994_11_-_Paramananda_puri_well_-_Radhanath_Swami.mp3")</f>
        <v>Jagannath_Puri_Yatra_1994_11_-_Paramananda_puri_well_-_Radhanath_Swami.mp3</v>
      </c>
      <c r="D5254" s="24"/>
      <c r="E5254" s="24"/>
    </row>
    <row r="5255">
      <c r="A5255" s="25" t="s">
        <v>18509</v>
      </c>
      <c r="B5255" s="25" t="s">
        <v>18540</v>
      </c>
      <c r="C5255" s="26" t="str">
        <f>HYPERLINK("https://audio.iskcondesiretree.com/02_-_ISKCON_Swamis/ISKCON_Swamis_-_R_to_Y/His_Holiness_Radhanath_Swami/Lectures/02_-_Yatra/Jaganath_Puri_yatra/1994/Jagannath_Puri_Yatra_1994_13_-_Route_of_Ratha_Yatra-Jagannath_Gardens_Narendra_Sarovar.mp3", "Jagannath_Puri_Yatra_1994_13_-_Route_of_Ratha_Yatra-Jagannath_Gardens_Narendra_Sarovar.mp3")</f>
        <v>Jagannath_Puri_Yatra_1994_13_-_Route_of_Ratha_Yatra-Jagannath_Gardens_Narendra_Sarovar.mp3</v>
      </c>
      <c r="D5255" s="24"/>
      <c r="E5255" s="24"/>
    </row>
    <row r="5256">
      <c r="A5256" s="25" t="s">
        <v>18509</v>
      </c>
      <c r="B5256" s="25" t="s">
        <v>18540</v>
      </c>
      <c r="C5256" s="26" t="str">
        <f>HYPERLINK("https://audio.iskcondesiretree.com/02_-_ISKCON_Swamis/ISKCON_Swamis_-_R_to_Y/His_Holiness_Radhanath_Swami/Lectures/02_-_Yatra/Jaganath_Puri_yatra/1994/Jagannath_Puri_Yatra_1994_14_-_Narasimha_arati_-_Radhanath_Swami.mp3", "Jagannath_Puri_Yatra_1994_14_-_Narasimha_arati_-_Radhanath_Swami.mp3")</f>
        <v>Jagannath_Puri_Yatra_1994_14_-_Narasimha_arati_-_Radhanath_Swami.mp3</v>
      </c>
      <c r="D5256" s="24"/>
      <c r="E5256" s="24"/>
    </row>
    <row r="5257">
      <c r="A5257" s="25" t="s">
        <v>18509</v>
      </c>
      <c r="B5257" s="25" t="s">
        <v>18540</v>
      </c>
      <c r="C5257" s="26" t="str">
        <f>HYPERLINK("https://audio.iskcondesiretree.com/02_-_ISKCON_Swamis/ISKCON_Swamis_-_R_to_Y/His_Holiness_Radhanath_Swami/Lectures/02_-_Yatra/Jaganath_Puri_yatra/1994/Jagannath_Puri_Yatra_1994_15_-_Sakshi_Gopal_Temple_-_Radhanath_Swami.mp3", "Jagannath_Puri_Yatra_1994_15_-_Sakshi_Gopal_Temple_-_Radhanath_Swami.mp3")</f>
        <v>Jagannath_Puri_Yatra_1994_15_-_Sakshi_Gopal_Temple_-_Radhanath_Swami.mp3</v>
      </c>
      <c r="D5257" s="24"/>
      <c r="E5257" s="24"/>
    </row>
    <row r="5258">
      <c r="A5258" s="25" t="s">
        <v>18509</v>
      </c>
      <c r="B5258" s="25" t="s">
        <v>18540</v>
      </c>
      <c r="C5258" s="26" t="str">
        <f>HYPERLINK("https://audio.iskcondesiretree.com/02_-_ISKCON_Swamis/ISKCON_Swamis_-_R_to_Y/His_Holiness_Radhanath_Swami/Lectures/02_-_Yatra/Jaganath_Puri_yatra/1994/Jagannath_Puri_Yatra_1994_16_-_Radhanath_Swami_Kirtan.mp3", "Jagannath_Puri_Yatra_1994_16_-_Radhanath_Swami_Kirtan.mp3")</f>
        <v>Jagannath_Puri_Yatra_1994_16_-_Radhanath_Swami_Kirtan.mp3</v>
      </c>
      <c r="D5258" s="24"/>
      <c r="E5258" s="24"/>
    </row>
    <row r="5259">
      <c r="A5259" s="25" t="s">
        <v>18509</v>
      </c>
      <c r="B5259" s="25" t="s">
        <v>18540</v>
      </c>
      <c r="C5259" s="26" t="str">
        <f>HYPERLINK("https://audio.iskcondesiretree.com/02_-_ISKCON_Swamis/ISKCON_Swamis_-_R_to_Y/His_Holiness_Radhanath_Swami/Lectures/02_-_Yatra/Jaganath_Puri_yatra/1998/Jagannath_Puri_Yatra_1998_-_Atharanala_-_Radhanath_Swami.mp3", "Jagannath_Puri_Yatra_1998_-_Atharanala_-_Radhanath_Swami.mp3")</f>
        <v>Jagannath_Puri_Yatra_1998_-_Atharanala_-_Radhanath_Swami.mp3</v>
      </c>
      <c r="D5259" s="24"/>
      <c r="E5259" s="24"/>
    </row>
    <row r="5260">
      <c r="A5260" s="25" t="s">
        <v>18509</v>
      </c>
      <c r="B5260" s="25" t="s">
        <v>18540</v>
      </c>
      <c r="C5260" s="26" t="str">
        <f>HYPERLINK("https://audio.iskcondesiretree.com/02_-_ISKCON_Swamis/ISKCON_Swamis_-_R_to_Y/His_Holiness_Radhanath_Swami/Lectures/02_-_Yatra/Jaganath_Puri_yatra/1998/Jagannath_Puri_Yatra_1998_-_Bedi_Hanuman_-_Radhanath_Swami.mp3", "Jagannath_Puri_Yatra_1998_-_Bedi_Hanuman_-_Radhanath_Swami.mp3")</f>
        <v>Jagannath_Puri_Yatra_1998_-_Bedi_Hanuman_-_Radhanath_Swami.mp3</v>
      </c>
      <c r="D5260" s="24"/>
      <c r="E5260" s="24"/>
    </row>
    <row r="5261">
      <c r="A5261" s="25" t="s">
        <v>18509</v>
      </c>
      <c r="B5261" s="25" t="s">
        <v>18540</v>
      </c>
      <c r="C5261" s="26" t="str">
        <f>HYPERLINK("https://audio.iskcondesiretree.com/02_-_ISKCON_Swamis/ISKCON_Swamis_-_R_to_Y/His_Holiness_Radhanath_Swami/Lectures/02_-_Yatra/Jaganath_Puri_yatra/1998/Jagannath_Puri_Yatra_1998_-_Bindu_Sarovar-bhuvaneshwar_-_Radhanath_Swami.mp3", "Jagannath_Puri_Yatra_1998_-_Bindu_Sarovar-bhuvaneshwar_-_Radhanath_Swami.mp3")</f>
        <v>Jagannath_Puri_Yatra_1998_-_Bindu_Sarovar-bhuvaneshwar_-_Radhanath_Swami.mp3</v>
      </c>
      <c r="D5261" s="24"/>
      <c r="E5261" s="24"/>
    </row>
    <row r="5262">
      <c r="A5262" s="25" t="s">
        <v>18509</v>
      </c>
      <c r="B5262" s="25" t="s">
        <v>18540</v>
      </c>
      <c r="C5262" s="26" t="str">
        <f>HYPERLINK("https://audio.iskcondesiretree.com/02_-_ISKCON_Swamis/ISKCON_Swamis_-_R_to_Y/His_Holiness_Radhanath_Swami/Lectures/02_-_Yatra/Jaganath_Puri_yatra/1998/Jagannath_Puri_Yatra_1998_-_Chataka_Parvat_-_Radhanath_Swami.mp3", "Jagannath_Puri_Yatra_1998_-_Chataka_Parvat_-_Radhanath_Swami.mp3")</f>
        <v>Jagannath_Puri_Yatra_1998_-_Chataka_Parvat_-_Radhanath_Swami.mp3</v>
      </c>
      <c r="D5262" s="24"/>
      <c r="E5262" s="24"/>
    </row>
    <row r="5263">
      <c r="A5263" s="25" t="s">
        <v>18509</v>
      </c>
      <c r="B5263" s="25" t="s">
        <v>18540</v>
      </c>
      <c r="C5263" s="26" t="str">
        <f>HYPERLINK("https://audio.iskcondesiretree.com/02_-_ISKCON_Swamis/ISKCON_Swamis_-_R_to_Y/His_Holiness_Radhanath_Swami/Lectures/02_-_Yatra/Jaganath_Puri_yatra/1998/Jagannath_Puri_Yatra_1998_-_Danda_Bhanga_Nadi-Kamalapur_-_Radhanath_Swami.mp3", "Jagannath_Puri_Yatra_1998_-_Danda_Bhanga_Nadi-Kamalapur_-_Radhanath_Swami.mp3")</f>
        <v>Jagannath_Puri_Yatra_1998_-_Danda_Bhanga_Nadi-Kamalapur_-_Radhanath_Swami.mp3</v>
      </c>
      <c r="D5263" s="24"/>
      <c r="E5263" s="24"/>
    </row>
    <row r="5264">
      <c r="A5264" s="25" t="s">
        <v>18509</v>
      </c>
      <c r="B5264" s="25" t="s">
        <v>18540</v>
      </c>
      <c r="C5264" s="26" t="str">
        <f>HYPERLINK("https://audio.iskcondesiretree.com/02_-_ISKCON_Swamis/ISKCON_Swamis_-_R_to_Y/His_Holiness_Radhanath_Swami/Lectures/02_-_Yatra/Jaganath_Puri_yatra/1998/Jagannath_Puri_Yatra_1998_-_Gambhira_-_Radhanath_Swami.mp3", "Jagannath_Puri_Yatra_1998_-_Gambhira_-_Radhanath_Swami.mp3")</f>
        <v>Jagannath_Puri_Yatra_1998_-_Gambhira_-_Radhanath_Swami.mp3</v>
      </c>
      <c r="D5264" s="24"/>
      <c r="E5264" s="24"/>
    </row>
    <row r="5265">
      <c r="A5265" s="25" t="s">
        <v>18509</v>
      </c>
      <c r="B5265" s="25" t="s">
        <v>18540</v>
      </c>
      <c r="C5265" s="26" t="str">
        <f>HYPERLINK("https://audio.iskcondesiretree.com/02_-_ISKCON_Swamis/ISKCON_Swamis_-_R_to_Y/His_Holiness_Radhanath_Swami/Lectures/02_-_Yatra/Jaganath_Puri_yatra/1998/Jagannath_Puri_Yatra_1998_-_Gundicha_Temple_-_Radhanath_Swami.mp3", "Jagannath_Puri_Yatra_1998_-_Gundicha_Temple_-_Radhanath_Swami.mp3")</f>
        <v>Jagannath_Puri_Yatra_1998_-_Gundicha_Temple_-_Radhanath_Swami.mp3</v>
      </c>
      <c r="D5265" s="24"/>
      <c r="E5265" s="24"/>
    </row>
    <row r="5266">
      <c r="A5266" s="25" t="s">
        <v>18509</v>
      </c>
      <c r="B5266" s="25" t="s">
        <v>18540</v>
      </c>
      <c r="C5266" s="26" t="str">
        <f>HYPERLINK("https://audio.iskcondesiretree.com/02_-_ISKCON_Swamis/ISKCON_Swamis_-_R_to_Y/His_Holiness_Radhanath_Swami/Lectures/02_-_Yatra/Jaganath_Puri_yatra/1998/Jagannath_Puri_Yatra_1998_-_House_of_Bhaktivinode_thakur_-_Radhanath_Swami.mp3", "Jagannath_Puri_Yatra_1998_-_House_of_Bhaktivinode_thakur_-_Radhanath_Swami.mp3")</f>
        <v>Jagannath_Puri_Yatra_1998_-_House_of_Bhaktivinode_thakur_-_Radhanath_Swami.mp3</v>
      </c>
      <c r="D5266" s="24"/>
      <c r="E5266" s="24"/>
    </row>
    <row r="5267">
      <c r="A5267" s="25" t="s">
        <v>18509</v>
      </c>
      <c r="B5267" s="25" t="s">
        <v>18540</v>
      </c>
      <c r="C5267" s="26" t="str">
        <f>HYPERLINK("https://audio.iskcondesiretree.com/02_-_ISKCON_Swamis/ISKCON_Swamis_-_R_to_Y/His_Holiness_Radhanath_Swami/Lectures/02_-_Yatra/Jaganath_Puri_yatra/1998/Jagannath_Puri_Yatra_1998_-_House_Of_Sarvabhuma_Bhattacharya_-_Radhanath_Swami.mp3", "Jagannath_Puri_Yatra_1998_-_House_Of_Sarvabhuma_Bhattacharya_-_Radhanath_Swami.mp3")</f>
        <v>Jagannath_Puri_Yatra_1998_-_House_Of_Sarvabhuma_Bhattacharya_-_Radhanath_Swami.mp3</v>
      </c>
      <c r="D5267" s="24"/>
      <c r="E5267" s="24"/>
    </row>
    <row r="5268">
      <c r="A5268" s="25" t="s">
        <v>18509</v>
      </c>
      <c r="B5268" s="25" t="s">
        <v>18540</v>
      </c>
      <c r="C5268" s="26" t="str">
        <f>HYPERLINK("https://audio.iskcondesiretree.com/02_-_ISKCON_Swamis/ISKCON_Swamis_-_R_to_Y/His_Holiness_Radhanath_Swami/Lectures/02_-_Yatra/Jaganath_Puri_yatra/1998/Jagannath_Puri_Yatra_1998_-_Indradyumna_sarovar_-_Radhanath_Swami.mp3", "Jagannath_Puri_Yatra_1998_-_Indradyumna_sarovar_-_Radhanath_Swami.mp3")</f>
        <v>Jagannath_Puri_Yatra_1998_-_Indradyumna_sarovar_-_Radhanath_Swami.mp3</v>
      </c>
      <c r="D5268" s="24"/>
      <c r="E5268" s="24"/>
    </row>
    <row r="5269">
      <c r="A5269" s="25" t="s">
        <v>18509</v>
      </c>
      <c r="B5269" s="25" t="s">
        <v>18540</v>
      </c>
      <c r="C5269" s="26" t="str">
        <f>HYPERLINK("https://audio.iskcondesiretree.com/02_-_ISKCON_Swamis/ISKCON_Swamis_-_R_to_Y/His_Holiness_Radhanath_Swami/Lectures/02_-_Yatra/Jaganath_Puri_yatra/1998/Jagannath_Puri_Yatra_1998_-_Jagannath_temple_-_Radhanath_Swami.mp3", "Jagannath_Puri_Yatra_1998_-_Jagannath_temple_-_Radhanath_Swami.mp3")</f>
        <v>Jagannath_Puri_Yatra_1998_-_Jagannath_temple_-_Radhanath_Swami.mp3</v>
      </c>
      <c r="D5269" s="24"/>
      <c r="E5269" s="24"/>
    </row>
    <row r="5270">
      <c r="A5270" s="25" t="s">
        <v>18509</v>
      </c>
      <c r="B5270" s="25" t="s">
        <v>18540</v>
      </c>
      <c r="C5270" s="26" t="str">
        <f>HYPERLINK("https://audio.iskcondesiretree.com/02_-_ISKCON_Swamis/ISKCON_Swamis_-_R_to_Y/His_Holiness_Radhanath_Swami/Lectures/02_-_Yatra/Jaganath_Puri_yatra/1998/Jagannath_Puri_Yatra_1998_-_Jagannath_Vallabh_Garden-1_-_Radhanath_Swami.mp3", "Jagannath_Puri_Yatra_1998_-_Jagannath_Vallabh_Garden-1_-_Radhanath_Swami.mp3")</f>
        <v>Jagannath_Puri_Yatra_1998_-_Jagannath_Vallabh_Garden-1_-_Radhanath_Swami.mp3</v>
      </c>
      <c r="D5270" s="24"/>
      <c r="E5270" s="24"/>
    </row>
    <row r="5271">
      <c r="A5271" s="25" t="s">
        <v>18509</v>
      </c>
      <c r="B5271" s="25" t="s">
        <v>18540</v>
      </c>
      <c r="C5271" s="26" t="str">
        <f>HYPERLINK("https://audio.iskcondesiretree.com/02_-_ISKCON_Swamis/ISKCON_Swamis_-_R_to_Y/His_Holiness_Radhanath_Swami/Lectures/02_-_Yatra/Jaganath_Puri_yatra/1998/Jagannath_Puri_Yatra_1998_-_Jagannath_Vallabh_Garden-2_-_Radhanath_Swami.mp3", "Jagannath_Puri_Yatra_1998_-_Jagannath_Vallabh_Garden-2_-_Radhanath_Swami.mp3")</f>
        <v>Jagannath_Puri_Yatra_1998_-_Jagannath_Vallabh_Garden-2_-_Radhanath_Swami.mp3</v>
      </c>
      <c r="D5271" s="24"/>
      <c r="E5271" s="24"/>
    </row>
    <row r="5272">
      <c r="A5272" s="25" t="s">
        <v>18509</v>
      </c>
      <c r="B5272" s="25" t="s">
        <v>18540</v>
      </c>
      <c r="C5272" s="26" t="str">
        <f>HYPERLINK("https://audio.iskcondesiretree.com/02_-_ISKCON_Swamis/ISKCON_Swamis_-_R_to_Y/His_Holiness_Radhanath_Swami/Lectures/02_-_Yatra/Jaganath_Puri_yatra/1998/Jagannath_Puri_Yatra_1998_-_Krsna_Caitanya_math-Bhakti_Vallabh_Puri_Maharaj_-_Radhanath_Swami.mp3", "Jagannath_Puri_Yatra_1998_-_Krsna_Caitanya_math-Bhakti_Vallabh_Puri_Maharaj_-_Radhanath_Swami.mp3")</f>
        <v>Jagannath_Puri_Yatra_1998_-_Krsna_Caitanya_math-Bhakti_Vallabh_Puri_Maharaj_-_Radhanath_Swami.mp3</v>
      </c>
      <c r="D5272" s="24"/>
      <c r="E5272" s="24"/>
    </row>
    <row r="5273">
      <c r="A5273" s="25" t="s">
        <v>18509</v>
      </c>
      <c r="B5273" s="25" t="s">
        <v>18540</v>
      </c>
      <c r="C5273" s="26" t="str">
        <f>HYPERLINK("https://audio.iskcondesiretree.com/02_-_ISKCON_Swamis/ISKCON_Swamis_-_R_to_Y/His_Holiness_Radhanath_Swami/Lectures/02_-_Yatra/Jaganath_Puri_yatra/1998/Jagannath_Puri_Yatra_1998_-_Ksira_Chor_Gopinath-Remuna_-_Radhanath_Swami.mp3", "Jagannath_Puri_Yatra_1998_-_Ksira_Chor_Gopinath-Remuna_-_Radhanath_Swami.mp3")</f>
        <v>Jagannath_Puri_Yatra_1998_-_Ksira_Chor_Gopinath-Remuna_-_Radhanath_Swami.mp3</v>
      </c>
      <c r="D5273" s="24"/>
      <c r="E5273" s="24"/>
    </row>
    <row r="5274">
      <c r="A5274" s="25" t="s">
        <v>18509</v>
      </c>
      <c r="B5274" s="25" t="s">
        <v>18540</v>
      </c>
      <c r="C5274" s="26" t="str">
        <f>HYPERLINK("https://audio.iskcondesiretree.com/02_-_ISKCON_Swamis/ISKCON_Swamis_-_R_to_Y/His_Holiness_Radhanath_Swami/Lectures/02_-_Yatra/Jaganath_Puri_yatra/1998/Jagannath_Puri_Yatra_1998_-_Narendra_Sarovar_-_Radhanath_Swami.mp3", "Jagannath_Puri_Yatra_1998_-_Narendra_Sarovar_-_Radhanath_Swami.mp3")</f>
        <v>Jagannath_Puri_Yatra_1998_-_Narendra_Sarovar_-_Radhanath_Swami.mp3</v>
      </c>
      <c r="D5274" s="24"/>
      <c r="E5274" s="24"/>
    </row>
    <row r="5275">
      <c r="A5275" s="25" t="s">
        <v>18509</v>
      </c>
      <c r="B5275" s="25" t="s">
        <v>18540</v>
      </c>
      <c r="C5275" s="26" t="str">
        <f>HYPERLINK("https://audio.iskcondesiretree.com/02_-_ISKCON_Swamis/ISKCON_Swamis_-_R_to_Y/His_Holiness_Radhanath_Swami/Lectures/02_-_Yatra/Jaganath_Puri_yatra/1998/Jagannath_Puri_Yatra_1998_-_Paramananda_puri_well_-_Radhanath_Swami.mp3", "Jagannath_Puri_Yatra_1998_-_Paramananda_puri_well_-_Radhanath_Swami.mp3")</f>
        <v>Jagannath_Puri_Yatra_1998_-_Paramananda_puri_well_-_Radhanath_Swami.mp3</v>
      </c>
      <c r="D5275" s="24"/>
      <c r="E5275" s="24"/>
    </row>
    <row r="5276">
      <c r="A5276" s="25" t="s">
        <v>18509</v>
      </c>
      <c r="B5276" s="25" t="s">
        <v>18540</v>
      </c>
      <c r="C5276" s="26" t="str">
        <f>HYPERLINK("https://audio.iskcondesiretree.com/02_-_ISKCON_Swamis/ISKCON_Swamis_-_R_to_Y/His_Holiness_Radhanath_Swami/Lectures/02_-_Yatra/Jaganath_Puri_yatra/1998/Jagannath_Puri_Yatra_1998_-_Parikrama_Of_jagannath_Temple_-_Radhanath_Swami.mp3", "Jagannath_Puri_Yatra_1998_-_Parikrama_Of_jagannath_Temple_-_Radhanath_Swami.mp3")</f>
        <v>Jagannath_Puri_Yatra_1998_-_Parikrama_Of_jagannath_Temple_-_Radhanath_Swami.mp3</v>
      </c>
      <c r="D5276" s="24"/>
      <c r="E5276" s="24"/>
    </row>
    <row r="5277">
      <c r="A5277" s="25" t="s">
        <v>18509</v>
      </c>
      <c r="B5277" s="25" t="s">
        <v>18540</v>
      </c>
      <c r="C5277" s="26" t="str">
        <f>HYPERLINK("https://audio.iskcondesiretree.com/02_-_ISKCON_Swamis/ISKCON_Swamis_-_R_to_Y/His_Holiness_Radhanath_Swami/Lectures/02_-_Yatra/Jaganath_Puri_yatra/1998/Jagannath_Puri_Yatra_1998_-_Siddha_bakul_-_Radhanath_Swami.mp3", "Jagannath_Puri_Yatra_1998_-_Siddha_bakul_-_Radhanath_Swami.mp3")</f>
        <v>Jagannath_Puri_Yatra_1998_-_Siddha_bakul_-_Radhanath_Swami.mp3</v>
      </c>
      <c r="D5277" s="24"/>
      <c r="E5277" s="24"/>
    </row>
    <row r="5278">
      <c r="A5278" s="25" t="s">
        <v>18509</v>
      </c>
      <c r="B5278" s="25" t="s">
        <v>18540</v>
      </c>
      <c r="C5278" s="26" t="str">
        <f>HYPERLINK("https://audio.iskcondesiretree.com/02_-_ISKCON_Swamis/ISKCON_Swamis_-_R_to_Y/His_Holiness_Radhanath_Swami/Lectures/02_-_Yatra/Jaganath_Puri_yatra/1998/Jagannath_Puri_Yatra_1998_-_Srila_Raghunath_Das_Goswami_took_spoiled_prasad.mp3", "Jagannath_Puri_Yatra_1998_-_Srila_Raghunath_Das_Goswami_took_spoiled_prasad.mp3")</f>
        <v>Jagannath_Puri_Yatra_1998_-_Srila_Raghunath_Das_Goswami_took_spoiled_prasad.mp3</v>
      </c>
      <c r="D5278" s="24"/>
      <c r="E5278" s="24"/>
    </row>
    <row r="5279">
      <c r="A5279" s="25" t="s">
        <v>18509</v>
      </c>
      <c r="B5279" s="25" t="s">
        <v>18540</v>
      </c>
      <c r="C5279" s="26" t="str">
        <f>HYPERLINK("https://audio.iskcondesiretree.com/02_-_ISKCON_Swamis/ISKCON_Swamis_-_R_to_Y/His_Holiness_Radhanath_Swami/Lectures/02_-_Yatra/Jaganath_Puri_yatra/1998/Jagannath_Puri_Yatra_1998_-_Tota_Gopinath_-_Radhanath_Swami.mp3", "Jagannath_Puri_Yatra_1998_-_Tota_Gopinath_-_Radhanath_Swami.mp3")</f>
        <v>Jagannath_Puri_Yatra_1998_-_Tota_Gopinath_-_Radhanath_Swami.mp3</v>
      </c>
      <c r="D5279" s="24"/>
      <c r="E5279" s="24"/>
    </row>
    <row r="5280">
      <c r="A5280" s="25" t="s">
        <v>18509</v>
      </c>
      <c r="B5280" s="25" t="s">
        <v>18540</v>
      </c>
      <c r="C5280" s="26" t="str">
        <f>HYPERLINK("https://audio.iskcondesiretree.com/02_-_ISKCON_Swamis/ISKCON_Swamis_-_R_to_Y/His_Holiness_Radhanath_Swami/Lectures/02_-_Yatra/Jaganath_Puri_yatra/1999/Jagannath_Puri_Yatra_1999_01_-_Siddha_bakul_-_Radhanath_Swami.mp3", "Jagannath_Puri_Yatra_1999_01_-_Siddha_bakul_-_Radhanath_Swami.mp3")</f>
        <v>Jagannath_Puri_Yatra_1999_01_-_Siddha_bakul_-_Radhanath_Swami.mp3</v>
      </c>
      <c r="D5280" s="24"/>
      <c r="E5280" s="24"/>
    </row>
    <row r="5281">
      <c r="A5281" s="25" t="s">
        <v>18509</v>
      </c>
      <c r="B5281" s="25" t="s">
        <v>18540</v>
      </c>
      <c r="C5281" s="26" t="str">
        <f>HYPERLINK("https://audio.iskcondesiretree.com/02_-_ISKCON_Swamis/ISKCON_Swamis_-_R_to_Y/His_Holiness_Radhanath_Swami/Lectures/02_-_Yatra/Jaganath_Puri_yatra/1999/Jagannath_Puri_Yatra_1999_02_-_Gaudiya_Math_-_Radhanath_Swami.mp3", "Jagannath_Puri_Yatra_1999_02_-_Gaudiya_Math_-_Radhanath_Swami.mp3")</f>
        <v>Jagannath_Puri_Yatra_1999_02_-_Gaudiya_Math_-_Radhanath_Swami.mp3</v>
      </c>
      <c r="D5281" s="24"/>
      <c r="E5281" s="24"/>
    </row>
    <row r="5282">
      <c r="A5282" s="25" t="s">
        <v>18509</v>
      </c>
      <c r="B5282" s="25" t="s">
        <v>18540</v>
      </c>
      <c r="C5282" s="26" t="str">
        <f>HYPERLINK("https://audio.iskcondesiretree.com/02_-_ISKCON_Swamis/ISKCON_Swamis_-_R_to_Y/His_Holiness_Radhanath_Swami/Lectures/02_-_Yatra/Jaganath_Puri_yatra/1999/Jagannath_Puri_Yatra_1999_03_-_Gambhira_-_Radhanath_Swami.mp3", "Jagannath_Puri_Yatra_1999_03_-_Gambhira_-_Radhanath_Swami.mp3")</f>
        <v>Jagannath_Puri_Yatra_1999_03_-_Gambhira_-_Radhanath_Swami.mp3</v>
      </c>
      <c r="D5282" s="24"/>
      <c r="E5282" s="24"/>
    </row>
    <row r="5283">
      <c r="A5283" s="25" t="s">
        <v>18509</v>
      </c>
      <c r="B5283" s="25" t="s">
        <v>18540</v>
      </c>
      <c r="C5283" s="26" t="str">
        <f>HYPERLINK("https://audio.iskcondesiretree.com/02_-_ISKCON_Swamis/ISKCON_Swamis_-_R_to_Y/His_Holiness_Radhanath_Swami/Lectures/02_-_Yatra/Jaganath_Puri_yatra/1999/Jagannath_Puri_Yatra_1999_04_-_Tota_Gopinath_-_Radhanath_Swami.mp3", "Jagannath_Puri_Yatra_1999_04_-_Tota_Gopinath_-_Radhanath_Swami.mp3")</f>
        <v>Jagannath_Puri_Yatra_1999_04_-_Tota_Gopinath_-_Radhanath_Swami.mp3</v>
      </c>
      <c r="D5283" s="24"/>
      <c r="E5283" s="24"/>
    </row>
    <row r="5284">
      <c r="A5284" s="25" t="s">
        <v>18509</v>
      </c>
      <c r="B5284" s="25" t="s">
        <v>18540</v>
      </c>
      <c r="C5284" s="26" t="str">
        <f>HYPERLINK("https://audio.iskcondesiretree.com/02_-_ISKCON_Swamis/ISKCON_Swamis_-_R_to_Y/His_Holiness_Radhanath_Swami/Lectures/02_-_Yatra/Jaganath_Puri_yatra/1999/Jagannath_Puri_Yatra_1999_05_-_Alarnath_-_Radhanath_Swami.mp3", "Jagannath_Puri_Yatra_1999_05_-_Alarnath_-_Radhanath_Swami.mp3")</f>
        <v>Jagannath_Puri_Yatra_1999_05_-_Alarnath_-_Radhanath_Swami.mp3</v>
      </c>
      <c r="D5284" s="24"/>
      <c r="E5284" s="24"/>
    </row>
    <row r="5285">
      <c r="A5285" s="25" t="s">
        <v>18509</v>
      </c>
      <c r="B5285" s="25" t="s">
        <v>18540</v>
      </c>
      <c r="C5285" s="26" t="str">
        <f>HYPERLINK("https://audio.iskcondesiretree.com/02_-_ISKCON_Swamis/ISKCON_Swamis_-_R_to_Y/His_Holiness_Radhanath_Swami/Lectures/02_-_Yatra/Jaganath_Puri_yatra/2001/Jagannath_Puri_Yatra_2001_01_-_Lec_At_Kalyan_Mandapa_-_Radhanath_Swami.mp3", "Jagannath_Puri_Yatra_2001_01_-_Lec_At_Kalyan_Mandapa_-_Radhanath_Swami.mp3")</f>
        <v>Jagannath_Puri_Yatra_2001_01_-_Lec_At_Kalyan_Mandapa_-_Radhanath_Swami.mp3</v>
      </c>
      <c r="D5285" s="24"/>
      <c r="E5285" s="24"/>
    </row>
    <row r="5286">
      <c r="A5286" s="25" t="s">
        <v>18509</v>
      </c>
      <c r="B5286" s="25" t="s">
        <v>18540</v>
      </c>
      <c r="C5286" s="26" t="str">
        <f>HYPERLINK("https://audio.iskcondesiretree.com/02_-_ISKCON_Swamis/ISKCON_Swamis_-_R_to_Y/His_Holiness_Radhanath_Swami/Lectures/02_-_Yatra/Jaganath_Puri_yatra/2001/Jagannath_Puri_Yatra_2001_02_-_Lec_At_Kalyan_Mandapa_-_Radhanath_Swami.mp3", "Jagannath_Puri_Yatra_2001_02_-_Lec_At_Kalyan_Mandapa_-_Radhanath_Swami.mp3")</f>
        <v>Jagannath_Puri_Yatra_2001_02_-_Lec_At_Kalyan_Mandapa_-_Radhanath_Swami.mp3</v>
      </c>
      <c r="D5286" s="24"/>
      <c r="E5286" s="24"/>
    </row>
    <row r="5287">
      <c r="A5287" s="25" t="s">
        <v>18509</v>
      </c>
      <c r="B5287" s="25" t="s">
        <v>18540</v>
      </c>
      <c r="C5287" s="26" t="str">
        <f>HYPERLINK("https://audio.iskcondesiretree.com/02_-_ISKCON_Swamis/ISKCON_Swamis_-_R_to_Y/His_Holiness_Radhanath_Swami/Lectures/02_-_Yatra/Jaganath_Puri_yatra/2001/Jagannath_Puri_Yatra_2001_03_-_Lec_At_Kalyan_Mandapa_-_Radhanath_Swami.mp3", "Jagannath_Puri_Yatra_2001_03_-_Lec_At_Kalyan_Mandapa_-_Radhanath_Swami.mp3")</f>
        <v>Jagannath_Puri_Yatra_2001_03_-_Lec_At_Kalyan_Mandapa_-_Radhanath_Swami.mp3</v>
      </c>
      <c r="D5287" s="24"/>
      <c r="E5287" s="24"/>
    </row>
    <row r="5288">
      <c r="A5288" s="25" t="s">
        <v>18509</v>
      </c>
      <c r="B5288" s="25" t="s">
        <v>18540</v>
      </c>
      <c r="C5288" s="26" t="str">
        <f>HYPERLINK("https://audio.iskcondesiretree.com/02_-_ISKCON_Swamis/ISKCON_Swamis_-_R_to_Y/His_Holiness_Radhanath_Swami/Lectures/02_-_Yatra/Jaganath_Puri_yatra/2006/Jaganath_Puri_Yatra_2006_01_-_Appearance_of_Lord_Jagannath_-_Radhanath_Swami.mp3", "Jaganath_Puri_Yatra_2006_01_-_Appearance_of_Lord_Jagannath_-_Radhanath_Swami.mp3")</f>
        <v>Jaganath_Puri_Yatra_2006_01_-_Appearance_of_Lord_Jagannath_-_Radhanath_Swami.mp3</v>
      </c>
      <c r="D5288" s="24"/>
      <c r="E5288" s="24"/>
    </row>
    <row r="5289">
      <c r="A5289" s="25" t="s">
        <v>18509</v>
      </c>
      <c r="B5289" s="25" t="s">
        <v>18540</v>
      </c>
      <c r="C5289" s="26" t="str">
        <f>HYPERLINK("https://audio.iskcondesiretree.com/02_-_ISKCON_Swamis/ISKCON_Swamis_-_R_to_Y/His_Holiness_Radhanath_Swami/Lectures/02_-_Yatra/Jaganath_Puri_yatra/2006/Jaganath_Puri_Yatra_2006_02_-_The_Simha_Guru_Jananivas_Prabhu_Devamrita_Swami_-_Radhanath_Swami.mp3", "Jaganath_Puri_Yatra_2006_02_-_The_Simha_Guru_Jananivas_Prabhu_Devamrita_Swami_-_Radhanath_Swami.mp3")</f>
        <v>Jaganath_Puri_Yatra_2006_02_-_The_Simha_Guru_Jananivas_Prabhu_Devamrita_Swami_-_Radhanath_Swami.mp3</v>
      </c>
      <c r="D5289" s="24"/>
      <c r="E5289" s="24"/>
    </row>
    <row r="5290">
      <c r="A5290" s="25" t="s">
        <v>18509</v>
      </c>
      <c r="B5290" s="25" t="s">
        <v>18540</v>
      </c>
      <c r="C5290" s="26" t="str">
        <f>HYPERLINK("https://audio.iskcondesiretree.com/02_-_ISKCON_Swamis/ISKCON_Swamis_-_R_to_Y/His_Holiness_Radhanath_Swami/Lectures/02_-_Yatra/Jaganath_Puri_yatra/2006/Jaganath_Puri_Yatra_2006_03_-_Begging_Humility_from_Haridas_Thakur_Indradyumna_Swami.mp3", "Jaganath_Puri_Yatra_2006_03_-_Begging_Humility_from_Haridas_Thakur_Indradyumna_Swami.mp3")</f>
        <v>Jaganath_Puri_Yatra_2006_03_-_Begging_Humility_from_Haridas_Thakur_Indradyumna_Swami.mp3</v>
      </c>
      <c r="D5290" s="24"/>
      <c r="E5290" s="24"/>
    </row>
    <row r="5291">
      <c r="A5291" s="25" t="s">
        <v>18509</v>
      </c>
      <c r="B5291" s="25" t="s">
        <v>18540</v>
      </c>
      <c r="C5291" s="26" t="str">
        <f>HYPERLINK("https://audio.iskcondesiretree.com/02_-_ISKCON_Swamis/ISKCON_Swamis_-_R_to_Y/His_Holiness_Radhanath_Swami/Lectures/02_-_Yatra/Jaganath_Puri_yatra/2006/Jaganath_Puri_Yatra_2006_04_-_Chanting_in_the_Footsteps_of_Haridas_Thakur_Sacinandan_Swami.mp3", "Jaganath_Puri_Yatra_2006_04_-_Chanting_in_the_Footsteps_of_Haridas_Thakur_Sacinandan_Swami.mp3")</f>
        <v>Jaganath_Puri_Yatra_2006_04_-_Chanting_in_the_Footsteps_of_Haridas_Thakur_Sacinandan_Swami.mp3</v>
      </c>
      <c r="D5291" s="24"/>
      <c r="E5291" s="24"/>
    </row>
    <row r="5292">
      <c r="A5292" s="25" t="s">
        <v>18509</v>
      </c>
      <c r="B5292" s="25" t="s">
        <v>18540</v>
      </c>
      <c r="C5292" s="26" t="str">
        <f>HYPERLINK("https://audio.iskcondesiretree.com/02_-_ISKCON_Swamis/ISKCON_Swamis_-_R_to_Y/His_Holiness_Radhanath_Swami/Lectures/02_-_Yatra/Jaganath_Puri_yatra/2006/Jaganath_Puri_Yatra_2006_05_-_Life_%26_Teachings_of_Srila_Haridas_Thakur_-_Radhanath_Swami.mp3", "Jaganath_Puri_Yatra_2006_05_-_Life_%26_Teachings_of_Srila_Haridas_Thakur_-_Radhanath_Swami.mp3")</f>
        <v>Jaganath_Puri_Yatra_2006_05_-_Life_%26_Teachings_of_Srila_Haridas_Thakur_-_Radhanath_Swami.mp3</v>
      </c>
      <c r="D5292" s="24"/>
      <c r="E5292" s="24"/>
    </row>
    <row r="5293">
      <c r="A5293" s="25" t="s">
        <v>18509</v>
      </c>
      <c r="B5293" s="25" t="s">
        <v>18540</v>
      </c>
      <c r="C5293" s="26" t="str">
        <f>HYPERLINK("https://audio.iskcondesiretree.com/02_-_ISKCON_Swamis/ISKCON_Swamis_-_R_to_Y/His_Holiness_Radhanath_Swami/Lectures/02_-_Yatra/Jaganath_Puri_yatra/2006/Jaganath_Puri_Yatra_2006_06_-_The_Blazing_Fear_of_Separation_from_Lord_Caitanya_Devamrita_Swami.mp3", "Jaganath_Puri_Yatra_2006_06_-_The_Blazing_Fear_of_Separation_from_Lord_Caitanya_Devamrita_Swami.mp3")</f>
        <v>Jaganath_Puri_Yatra_2006_06_-_The_Blazing_Fear_of_Separation_from_Lord_Caitanya_Devamrita_Swami.mp3</v>
      </c>
      <c r="D5293" s="24"/>
      <c r="E5293" s="24"/>
    </row>
    <row r="5294">
      <c r="A5294" s="25" t="s">
        <v>18509</v>
      </c>
      <c r="B5294" s="25" t="s">
        <v>18540</v>
      </c>
      <c r="C5294" s="26" t="str">
        <f>HYPERLINK("https://audio.iskcondesiretree.com/02_-_ISKCON_Swamis/ISKCON_Swamis_-_R_to_Y/His_Holiness_Radhanath_Swami/Lectures/02_-_Yatra/Jaganath_Puri_yatra/2006/Jaganath_Puri_Yatra_2006_07_-_Humility_%26_Tolerance_of_Gadadhar_Pandit_Chandramouli_Swami.mp3", "Jaganath_Puri_Yatra_2006_07_-_Humility_%26_Tolerance_of_Gadadhar_Pandit_Chandramouli_Swami.mp3")</f>
        <v>Jaganath_Puri_Yatra_2006_07_-_Humility_%26_Tolerance_of_Gadadhar_Pandit_Chandramouli_Swami.mp3</v>
      </c>
      <c r="D5294" s="24"/>
      <c r="E5294" s="24"/>
    </row>
    <row r="5295">
      <c r="A5295" s="25" t="s">
        <v>18509</v>
      </c>
      <c r="B5295" s="25" t="s">
        <v>18540</v>
      </c>
      <c r="C5295" s="26" t="str">
        <f>HYPERLINK("https://audio.iskcondesiretree.com/02_-_ISKCON_Swamis/ISKCON_Swamis_-_R_to_Y/His_Holiness_Radhanath_Swami/Lectures/02_-_Yatra/Jaganath_Puri_yatra/2006/Jaganath_Puri_Yatra_2006_08_-_The_Glories_of_Gadadhar_Pandit_-_Radhanath_Swami.mp3", "Jaganath_Puri_Yatra_2006_08_-_The_Glories_of_Gadadhar_Pandit_-_Radhanath_Swami.mp3")</f>
        <v>Jaganath_Puri_Yatra_2006_08_-_The_Glories_of_Gadadhar_Pandit_-_Radhanath_Swami.mp3</v>
      </c>
      <c r="D5295" s="24"/>
      <c r="E5295" s="24"/>
    </row>
    <row r="5296">
      <c r="A5296" s="25" t="s">
        <v>18509</v>
      </c>
      <c r="B5296" s="25" t="s">
        <v>18540</v>
      </c>
      <c r="C5296" s="26" t="str">
        <f>HYPERLINK("https://audio.iskcondesiretree.com/02_-_ISKCON_Swamis/ISKCON_Swamis_-_R_to_Y/His_Holiness_Radhanath_Swami/Lectures/02_-_Yatra/Jaganath_Puri_yatra/2006/Jaganath_Puri_Yatra_2006_09_-_Spiritual_Emotions_of_Lord_Caitanya_Mahaprabhu_Pankajangari_Prabhu.mp3", "Jaganath_Puri_Yatra_2006_09_-_Spiritual_Emotions_of_Lord_Caitanya_Mahaprabhu_Pankajangari_Prabhu.mp3")</f>
        <v>Jaganath_Puri_Yatra_2006_09_-_Spiritual_Emotions_of_Lord_Caitanya_Mahaprabhu_Pankajangari_Prabhu.mp3</v>
      </c>
      <c r="D5296" s="24"/>
      <c r="E5296" s="24"/>
    </row>
    <row r="5297">
      <c r="A5297" s="25" t="s">
        <v>18509</v>
      </c>
      <c r="B5297" s="25" t="s">
        <v>18540</v>
      </c>
      <c r="C5297" s="26" t="str">
        <f>HYPERLINK("https://audio.iskcondesiretree.com/02_-_ISKCON_Swamis/ISKCON_Swamis_-_R_to_Y/His_Holiness_Radhanath_Swami/Lectures/02_-_Yatra/Jaganath_Puri_yatra/2006/Jaganath_Puri_Yatra_2006_10_-_Lord_Caitanya%27s_Pastimes_at_Gambira_-_Radhanath_Swami.mp3", "Jaganath_Puri_Yatra_2006_10_-_Lord_Caitanya%27s_Pastimes_at_Gambira_-_Radhanath_Swami.mp3")</f>
        <v>Jaganath_Puri_Yatra_2006_10_-_Lord_Caitanya%27s_Pastimes_at_Gambira_-_Radhanath_Swami.mp3</v>
      </c>
      <c r="D5297" s="24"/>
      <c r="E5297" s="24"/>
    </row>
    <row r="5298">
      <c r="A5298" s="25" t="s">
        <v>18509</v>
      </c>
      <c r="B5298" s="25" t="s">
        <v>18540</v>
      </c>
      <c r="C5298" s="26" t="str">
        <f>HYPERLINK("https://audio.iskcondesiretree.com/02_-_ISKCON_Swamis/ISKCON_Swamis_-_R_to_Y/His_Holiness_Radhanath_Swami/Lectures/02_-_Yatra/Jaganath_Puri_yatra/2006/Jaganath_Puri_Yatra_2006_11_-_Yatra_Realizations_Sacinandan_Swami.mp3", "Jaganath_Puri_Yatra_2006_11_-_Yatra_Realizations_Sacinandan_Swami.mp3")</f>
        <v>Jaganath_Puri_Yatra_2006_11_-_Yatra_Realizations_Sacinandan_Swami.mp3</v>
      </c>
      <c r="D5298" s="24"/>
      <c r="E5298" s="24"/>
    </row>
    <row r="5299">
      <c r="A5299" s="25" t="s">
        <v>18509</v>
      </c>
      <c r="B5299" s="25" t="s">
        <v>18540</v>
      </c>
      <c r="C5299" s="26" t="str">
        <f>HYPERLINK("https://audio.iskcondesiretree.com/02_-_ISKCON_Swamis/ISKCON_Swamis_-_R_to_Y/His_Holiness_Radhanath_Swami/Lectures/02_-_Yatra/Jaganath_Puri_yatra/2006/Jaganath_Puri_Yatra_2006_12_-_Yatra_Realizations_Jananivas_Prabhu.mp3", "Jaganath_Puri_Yatra_2006_12_-_Yatra_Realizations_Jananivas_Prabhu.mp3")</f>
        <v>Jaganath_Puri_Yatra_2006_12_-_Yatra_Realizations_Jananivas_Prabhu.mp3</v>
      </c>
      <c r="D5299" s="24"/>
      <c r="E5299" s="24"/>
    </row>
    <row r="5300">
      <c r="A5300" s="25" t="s">
        <v>18509</v>
      </c>
      <c r="B5300" s="25" t="s">
        <v>18540</v>
      </c>
      <c r="C5300" s="26" t="str">
        <f>HYPERLINK("https://audio.iskcondesiretree.com/02_-_ISKCON_Swamis/ISKCON_Swamis_-_R_to_Y/His_Holiness_Radhanath_Swami/Lectures/02_-_Yatra/Jaganath_Puri_yatra/2006/Jaganath_Puri_Yatra_2006_13_-_Yatra_Realizations_Chandramouli_Swami.mp3", "Jaganath_Puri_Yatra_2006_13_-_Yatra_Realizations_Chandramouli_Swami.mp3")</f>
        <v>Jaganath_Puri_Yatra_2006_13_-_Yatra_Realizations_Chandramouli_Swami.mp3</v>
      </c>
      <c r="D5300" s="24"/>
      <c r="E5300" s="24"/>
    </row>
    <row r="5301">
      <c r="A5301" s="25" t="s">
        <v>18509</v>
      </c>
      <c r="B5301" s="25" t="s">
        <v>18540</v>
      </c>
      <c r="C5301" s="26" t="str">
        <f>HYPERLINK("https://audio.iskcondesiretree.com/02_-_ISKCON_Swamis/ISKCON_Swamis_-_R_to_Y/His_Holiness_Radhanath_Swami/Lectures/02_-_Yatra/Jaganath_Puri_yatra/2006/Jaganath_Puri_Yatra_2006_14_-_Yatra_Realizations_-_Radhanath_Swami.mp3", "Jaganath_Puri_Yatra_2006_14_-_Yatra_Realizations_-_Radhanath_Swami.mp3")</f>
        <v>Jaganath_Puri_Yatra_2006_14_-_Yatra_Realizations_-_Radhanath_Swami.mp3</v>
      </c>
      <c r="D5301" s="24"/>
      <c r="E5301" s="24"/>
    </row>
    <row r="5302">
      <c r="A5302" s="25" t="s">
        <v>18509</v>
      </c>
      <c r="B5302" s="25" t="s">
        <v>18540</v>
      </c>
      <c r="C5302" s="26" t="str">
        <f>HYPERLINK("https://audio.iskcondesiretree.com/02_-_ISKCON_Swamis/ISKCON_Swamis_-_R_to_Y/His_Holiness_Radhanath_Swami/Lectures/02_-_Yatra/Jaganath_Puri_yatra/2013/Jagannath_Puri_Yatra_2013-07-07_-_Hare_Krishna_Kirtan_-_Radhanath_Swami.mp3", "Jagannath_Puri_Yatra_2013-07-07_-_Hare_Krishna_Kirtan_-_Radhanath_Swami.mp3")</f>
        <v>Jagannath_Puri_Yatra_2013-07-07_-_Hare_Krishna_Kirtan_-_Radhanath_Swami.mp3</v>
      </c>
      <c r="D5302" s="24"/>
      <c r="E5302" s="24"/>
    </row>
    <row r="5303">
      <c r="A5303" s="25" t="s">
        <v>18509</v>
      </c>
      <c r="B5303" s="25" t="s">
        <v>18540</v>
      </c>
      <c r="C5303" s="26" t="str">
        <f>HYPERLINK("https://audio.iskcondesiretree.com/02_-_ISKCON_Swamis/ISKCON_Swamis_-_R_to_Y/His_Holiness_Radhanath_Swami/Lectures/02_-_Yatra/Jaganath_Puri_yatra/2013/Jagannath_Puri_Yatra_2013-09-09_-_The_Process_of_Rath_Yatra_%28Morning_Lecture%29_-_Radhanath_Swami.mp3", "Jagannath_Puri_Yatra_2013-09-09_-_The_Process_of_Rath_Yatra_%28Morning_Lecture%29_-_Radhanath_Swami.mp3")</f>
        <v>Jagannath_Puri_Yatra_2013-09-09_-_The_Process_of_Rath_Yatra_%28Morning_Lecture%29_-_Radhanath_Swami.mp3</v>
      </c>
      <c r="D5303" s="24"/>
      <c r="E5303" s="24"/>
    </row>
    <row r="5304">
      <c r="A5304" s="25" t="s">
        <v>18509</v>
      </c>
      <c r="B5304" s="25" t="s">
        <v>18541</v>
      </c>
      <c r="C5304" s="26" t="str">
        <f>HYPERLINK("https://audio.iskcondesiretree.com/02_-_ISKCON_Swamis/ISKCON_Swamis_-_R_to_Y/His_Holiness_Radhanath_Swami/Lectures/02_-_Yatra/Jaipur_yatra/Jaipur_Yatra_01_-_Pastimes_of_Radha_Govinda_-_Radhanath_Swami.mp3", "Jaipur_Yatra_01_-_Pastimes_of_Radha_Govinda_-_Radhanath_Swami.mp3")</f>
        <v>Jaipur_Yatra_01_-_Pastimes_of_Radha_Govinda_-_Radhanath_Swami.mp3</v>
      </c>
      <c r="D5304" s="24"/>
      <c r="E5304" s="24"/>
    </row>
    <row r="5305">
      <c r="A5305" s="25" t="s">
        <v>18509</v>
      </c>
      <c r="B5305" s="25" t="s">
        <v>18541</v>
      </c>
      <c r="C5305" s="26" t="str">
        <f>HYPERLINK("https://audio.iskcondesiretree.com/02_-_ISKCON_Swamis/ISKCON_Swamis_-_R_to_Y/His_Holiness_Radhanath_Swami/Lectures/02_-_Yatra/Jaipur_yatra/Jaipur_Yatra_02_-_Pastimes_of_Radha_Gopinath_-_Radhanath_Swami.mp3", "Jaipur_Yatra_02_-_Pastimes_of_Radha_Gopinath_-_Radhanath_Swami.mp3")</f>
        <v>Jaipur_Yatra_02_-_Pastimes_of_Radha_Gopinath_-_Radhanath_Swami.mp3</v>
      </c>
      <c r="D5305" s="24"/>
      <c r="E5305" s="24"/>
    </row>
    <row r="5306">
      <c r="A5306" s="25" t="s">
        <v>18509</v>
      </c>
      <c r="B5306" s="25" t="s">
        <v>18541</v>
      </c>
      <c r="C5306" s="26" t="str">
        <f>HYPERLINK("https://audio.iskcondesiretree.com/02_-_ISKCON_Swamis/ISKCON_Swamis_-_R_to_Y/His_Holiness_Radhanath_Swami/Lectures/02_-_Yatra/Jaipur_yatra/Jaipur_Yatra_03_-_Pastimes_of_Radha_Vinoda_-_Radhanath_Swami.mp3", "Jaipur_Yatra_03_-_Pastimes_of_Radha_Vinoda_-_Radhanath_Swami.mp3")</f>
        <v>Jaipur_Yatra_03_-_Pastimes_of_Radha_Vinoda_-_Radhanath_Swami.mp3</v>
      </c>
      <c r="D5306" s="24"/>
      <c r="E5306" s="24"/>
    </row>
    <row r="5307">
      <c r="A5307" s="25" t="s">
        <v>18509</v>
      </c>
      <c r="B5307" s="25" t="s">
        <v>18541</v>
      </c>
      <c r="C5307" s="26" t="str">
        <f>HYPERLINK("https://audio.iskcondesiretree.com/02_-_ISKCON_Swamis/ISKCON_Swamis_-_R_to_Y/His_Holiness_Radhanath_Swami/Lectures/02_-_Yatra/Jaipur_yatra/Jaipur_Yatra_04_-_Pastimes_of_Radha_Damodar_-_Radhanath_Swami.mp3", "Jaipur_Yatra_04_-_Pastimes_of_Radha_Damodar_-_Radhanath_Swami.mp3")</f>
        <v>Jaipur_Yatra_04_-_Pastimes_of_Radha_Damodar_-_Radhanath_Swami.mp3</v>
      </c>
      <c r="D5307" s="24"/>
      <c r="E5307" s="24"/>
    </row>
    <row r="5308">
      <c r="A5308" s="25" t="s">
        <v>18509</v>
      </c>
      <c r="B5308" s="25" t="s">
        <v>18541</v>
      </c>
      <c r="C5308" s="26" t="str">
        <f>HYPERLINK("https://audio.iskcondesiretree.com/02_-_ISKCON_Swamis/ISKCON_Swamis_-_R_to_Y/His_Holiness_Radhanath_Swami/Lectures/02_-_Yatra/Jaipur_yatra/Jaipur_Yatra_05_-_Pastimes_of_Radha_Madan_Mohan_-_Radhanath_Swami.mp3", "Jaipur_Yatra_05_-_Pastimes_of_Radha_Madan_Mohan_-_Radhanath_Swami.mp3")</f>
        <v>Jaipur_Yatra_05_-_Pastimes_of_Radha_Madan_Mohan_-_Radhanath_Swami.mp3</v>
      </c>
      <c r="D5308" s="24"/>
      <c r="E5308" s="24"/>
    </row>
    <row r="5309">
      <c r="A5309" s="25" t="s">
        <v>18509</v>
      </c>
      <c r="B5309" s="25" t="s">
        <v>18541</v>
      </c>
      <c r="C5309" s="26" t="str">
        <f>HYPERLINK("https://audio.iskcondesiretree.com/02_-_ISKCON_Swamis/ISKCON_Swamis_-_R_to_Y/His_Holiness_Radhanath_Swami/Lectures/02_-_Yatra/Jaipur_yatra/Jaipur_Yatra_06_-_Glorification_of_Jaydev_Goswami_-_Radhanath_Swami.mp3", "Jaipur_Yatra_06_-_Glorification_of_Jaydev_Goswami_-_Radhanath_Swami.mp3")</f>
        <v>Jaipur_Yatra_06_-_Glorification_of_Jaydev_Goswami_-_Radhanath_Swami.mp3</v>
      </c>
      <c r="D5309" s="24"/>
      <c r="E5309" s="24"/>
    </row>
    <row r="5310">
      <c r="A5310" s="25" t="s">
        <v>18509</v>
      </c>
      <c r="B5310" s="25" t="s">
        <v>18541</v>
      </c>
      <c r="C5310" s="26" t="str">
        <f>HYPERLINK("https://audio.iskcondesiretree.com/02_-_ISKCON_Swamis/ISKCON_Swamis_-_R_to_Y/His_Holiness_Radhanath_Swami/Lectures/02_-_Yatra/Jaipur_yatra/Jaipur_Yatra_07_-_Baldev_Vidyabhushan_defeating_Mayavadis_-_Radhanath_Swami.mp3", "Jaipur_Yatra_07_-_Baldev_Vidyabhushan_defeating_Mayavadis_-_Radhanath_Swami.mp3")</f>
        <v>Jaipur_Yatra_07_-_Baldev_Vidyabhushan_defeating_Mayavadis_-_Radhanath_Swami.mp3</v>
      </c>
      <c r="D5310" s="24"/>
      <c r="E5310" s="24"/>
    </row>
    <row r="5311">
      <c r="A5311" s="25" t="s">
        <v>18509</v>
      </c>
      <c r="B5311" s="25" t="s">
        <v>18541</v>
      </c>
      <c r="C5311" s="26" t="str">
        <f>HYPERLINK("https://audio.iskcondesiretree.com/02_-_ISKCON_Swamis/ISKCON_Swamis_-_R_to_Y/His_Holiness_Radhanath_Swami/Lectures/02_-_Yatra/Jaipur_yatra/Jaipur_Yatra_08_-_Radha_Krsna_Gati_-_Radhanath_Swami.mp3", "Jaipur_Yatra_08_-_Radha_Krsna_Gati_-_Radhanath_Swami.mp3")</f>
        <v>Jaipur_Yatra_08_-_Radha_Krsna_Gati_-_Radhanath_Swami.mp3</v>
      </c>
      <c r="D5311" s="24"/>
      <c r="E5311" s="24"/>
    </row>
    <row r="5312">
      <c r="A5312" s="25" t="s">
        <v>18509</v>
      </c>
      <c r="B5312" s="25" t="s">
        <v>18542</v>
      </c>
      <c r="C5312" s="26" t="str">
        <f>HYPERLINK("https://audio.iskcondesiretree.com/02_-_ISKCON_Swamis/ISKCON_Swamis_-_R_to_Y/His_Holiness_Radhanath_Swami/Lectures/02_-_Yatra/Kurukshetra_Yatra/1994/Kurukshetra_Yatra_1994_01_-_Jyotisar-Place_where_BG_was_spoken_-_Radhanath_Swami.mp3", "Kurukshetra_Yatra_1994_01_-_Jyotisar-Place_where_BG_was_spoken_-_Radhanath_Swami.mp3")</f>
        <v>Kurukshetra_Yatra_1994_01_-_Jyotisar-Place_where_BG_was_spoken_-_Radhanath_Swami.mp3</v>
      </c>
      <c r="D5312" s="24"/>
      <c r="E5312" s="24"/>
    </row>
    <row r="5313">
      <c r="A5313" s="25" t="s">
        <v>18509</v>
      </c>
      <c r="B5313" s="25" t="s">
        <v>18542</v>
      </c>
      <c r="C5313" s="26" t="str">
        <f>HYPERLINK("https://audio.iskcondesiretree.com/02_-_ISKCON_Swamis/ISKCON_Swamis_-_R_to_Y/His_Holiness_Radhanath_Swami/Lectures/02_-_Yatra/Kurukshetra_Yatra/1994/Kurukshetra_Yatra_1994_02_-_Bana_Shaiya-Place_where_Bhisma_Lay_on_Arrows_-_Radhanath_Swami.mp3", "Kurukshetra_Yatra_1994_02_-_Bana_Shaiya-Place_where_Bhisma_Lay_on_Arrows_-_Radhanath_Swami.mp3")</f>
        <v>Kurukshetra_Yatra_1994_02_-_Bana_Shaiya-Place_where_Bhisma_Lay_on_Arrows_-_Radhanath_Swami.mp3</v>
      </c>
      <c r="D5313" s="24"/>
      <c r="E5313" s="24"/>
    </row>
    <row r="5314">
      <c r="A5314" s="25" t="s">
        <v>18509</v>
      </c>
      <c r="B5314" s="25" t="s">
        <v>18542</v>
      </c>
      <c r="C5314" s="26" t="str">
        <f>HYPERLINK("https://audio.iskcondesiretree.com/02_-_ISKCON_Swamis/ISKCON_Swamis_-_R_to_Y/His_Holiness_Radhanath_Swami/Lectures/02_-_Yatra/Kurukshetra_Yatra/1994/Kurukshetra_Yatra_1994_03_-_Surya_kund-Place_where_Duryodhan_was_killed_-_Radhanath_Swami.mp3", "Kurukshetra_Yatra_1994_03_-_Surya_kund-Place_where_Duryodhan_was_killed_-_Radhanath_Swami.mp3")</f>
        <v>Kurukshetra_Yatra_1994_03_-_Surya_kund-Place_where_Duryodhan_was_killed_-_Radhanath_Swami.mp3</v>
      </c>
      <c r="D5314" s="24"/>
      <c r="E5314" s="24"/>
    </row>
    <row r="5315">
      <c r="A5315" s="25" t="s">
        <v>18509</v>
      </c>
      <c r="B5315" s="25" t="s">
        <v>18542</v>
      </c>
      <c r="C5315" s="26" t="str">
        <f>HYPERLINK("https://audio.iskcondesiretree.com/02_-_ISKCON_Swamis/ISKCON_Swamis_-_R_to_Y/His_Holiness_Radhanath_Swami/Lectures/02_-_Yatra/Kurukshetra_Yatra/1994/Kurukshetra_Yatra_1994_04_-_Amin-Place_Where_Abhimanyu_Was_Killed_-_Radhanath_Swami.mp3", "Kurukshetra_Yatra_1994_04_-_Amin-Place_Where_Abhimanyu_Was_Killed_-_Radhanath_Swami.mp3")</f>
        <v>Kurukshetra_Yatra_1994_04_-_Amin-Place_Where_Abhimanyu_Was_Killed_-_Radhanath_Swami.mp3</v>
      </c>
      <c r="D5315" s="24"/>
      <c r="E5315" s="24"/>
    </row>
    <row r="5316">
      <c r="A5316" s="25" t="s">
        <v>18509</v>
      </c>
      <c r="B5316" s="25" t="s">
        <v>18542</v>
      </c>
      <c r="C5316" s="26" t="str">
        <f>HYPERLINK("https://audio.iskcondesiretree.com/02_-_ISKCON_Swamis/ISKCON_Swamis_-_R_to_Y/His_Holiness_Radhanath_Swami/Lectures/02_-_Yatra/Kurukshetra_Yatra/1995/Kurukshetra_Yatra_1995_01_-_Bhishma_Kund_-_Radhanath_Swami.mp3", "Kurukshetra_Yatra_1995_01_-_Bhishma_Kund_-_Radhanath_Swami.mp3")</f>
        <v>Kurukshetra_Yatra_1995_01_-_Bhishma_Kund_-_Radhanath_Swami.mp3</v>
      </c>
      <c r="D5316" s="24"/>
      <c r="E5316" s="24"/>
    </row>
    <row r="5317">
      <c r="A5317" s="25" t="s">
        <v>18509</v>
      </c>
      <c r="B5317" s="25" t="s">
        <v>18542</v>
      </c>
      <c r="C5317" s="26" t="str">
        <f>HYPERLINK("https://audio.iskcondesiretree.com/02_-_ISKCON_Swamis/ISKCON_Swamis_-_R_to_Y/His_Holiness_Radhanath_Swami/Lectures/02_-_Yatra/Kurukshetra_Yatra/1995/Kurukshetra_Yatra_1995_02_-_Sannihit_Sarovar_-_Radhanath_Swami.mp3", "Kurukshetra_Yatra_1995_02_-_Sannihit_Sarovar_-_Radhanath_Swami.mp3")</f>
        <v>Kurukshetra_Yatra_1995_02_-_Sannihit_Sarovar_-_Radhanath_Swami.mp3</v>
      </c>
      <c r="D5317" s="24"/>
      <c r="E5317" s="24"/>
    </row>
    <row r="5318">
      <c r="A5318" s="25" t="s">
        <v>18509</v>
      </c>
      <c r="B5318" s="25" t="s">
        <v>18542</v>
      </c>
      <c r="C5318" s="26" t="str">
        <f>HYPERLINK("https://audio.iskcondesiretree.com/02_-_ISKCON_Swamis/ISKCON_Swamis_-_R_to_Y/His_Holiness_Radhanath_Swami/Lectures/02_-_Yatra/Kurukshetra_Yatra/1995/Kurukshetra_Yatra_1995_03_-_Bhadra_kali_mandir_-_Radhanath_Swami.mp3", "Kurukshetra_Yatra_1995_03_-_Bhadra_kali_mandir_-_Radhanath_Swami.mp3")</f>
        <v>Kurukshetra_Yatra_1995_03_-_Bhadra_kali_mandir_-_Radhanath_Swami.mp3</v>
      </c>
      <c r="D5318" s="24"/>
      <c r="E5318" s="24"/>
    </row>
    <row r="5319">
      <c r="A5319" s="25" t="s">
        <v>18509</v>
      </c>
      <c r="B5319" s="25" t="s">
        <v>18542</v>
      </c>
      <c r="C5319" s="26" t="str">
        <f>HYPERLINK("https://audio.iskcondesiretree.com/02_-_ISKCON_Swamis/ISKCON_Swamis_-_R_to_Y/His_Holiness_Radhanath_Swami/Lectures/02_-_Yatra/Kurukshetra_Yatra/1995/Kurukshetra_Yatra_1995_04_-_Jyoti_sar_-_Radhanath_Swami.mp3", "Kurukshetra_Yatra_1995_04_-_Jyoti_sar_-_Radhanath_Swami.mp3")</f>
        <v>Kurukshetra_Yatra_1995_04_-_Jyoti_sar_-_Radhanath_Swami.mp3</v>
      </c>
      <c r="D5319" s="24"/>
      <c r="E5319" s="24"/>
    </row>
    <row r="5320">
      <c r="A5320" s="25" t="s">
        <v>18509</v>
      </c>
      <c r="B5320" s="25" t="s">
        <v>18543</v>
      </c>
      <c r="C5320" s="26" t="str">
        <f>HYPERLINK("https://audio.iskcondesiretree.com/02_-_ISKCON_Swamis/ISKCON_Swamis_-_R_to_Y/His_Holiness_Radhanath_Swami/Lectures/02_-_Yatra/Nashik/1995/Nashik_Yatra_1995_01_-_Tapovan_-_Radhanath_Swami.mp3", "Nashik_Yatra_1995_01_-_Tapovan_-_Radhanath_Swami.mp3")</f>
        <v>Nashik_Yatra_1995_01_-_Tapovan_-_Radhanath_Swami.mp3</v>
      </c>
      <c r="D5320" s="24"/>
      <c r="E5320" s="24"/>
    </row>
    <row r="5321">
      <c r="A5321" s="25" t="s">
        <v>18509</v>
      </c>
      <c r="B5321" s="25" t="s">
        <v>18543</v>
      </c>
      <c r="C5321" s="26" t="str">
        <f>HYPERLINK("https://audio.iskcondesiretree.com/02_-_ISKCON_Swamis/ISKCON_Swamis_-_R_to_Y/His_Holiness_Radhanath_Swami/Lectures/02_-_Yatra/Nashik/1995/Nashik_Yatra_1995_02_-_Confluence_of_river_Godavari_%26_Kapila_-_Radhanath_Swami.mp3", "Nashik_Yatra_1995_02_-_Confluence_of_river_Godavari_%26_Kapila_-_Radhanath_Swami.mp3")</f>
        <v>Nashik_Yatra_1995_02_-_Confluence_of_river_Godavari_%26_Kapila_-_Radhanath_Swami.mp3</v>
      </c>
      <c r="D5321" s="24"/>
      <c r="E5321" s="24"/>
    </row>
    <row r="5322">
      <c r="A5322" s="25" t="s">
        <v>18509</v>
      </c>
      <c r="B5322" s="25" t="s">
        <v>18543</v>
      </c>
      <c r="C5322" s="26" t="str">
        <f>HYPERLINK("https://audio.iskcondesiretree.com/02_-_ISKCON_Swamis/ISKCON_Swamis_-_R_to_Y/His_Holiness_Radhanath_Swami/Lectures/02_-_Yatra/Nashik/1995/Nashik_Yatra_1995_03_-_Place_where_Sita_devi_was_kidnapped_-_Radhanath_Swami.mp3", "Nashik_Yatra_1995_03_-_Place_where_Sita_devi_was_kidnapped_-_Radhanath_Swami.mp3")</f>
        <v>Nashik_Yatra_1995_03_-_Place_where_Sita_devi_was_kidnapped_-_Radhanath_Swami.mp3</v>
      </c>
      <c r="D5322" s="24"/>
      <c r="E5322" s="24"/>
    </row>
    <row r="5323">
      <c r="A5323" s="25" t="s">
        <v>18509</v>
      </c>
      <c r="B5323" s="25" t="s">
        <v>18543</v>
      </c>
      <c r="C5323" s="26" t="str">
        <f>HYPERLINK("https://audio.iskcondesiretree.com/02_-_ISKCON_Swamis/ISKCON_Swamis_-_R_to_Y/His_Holiness_Radhanath_Swami/Lectures/02_-_Yatra/Nashik/1995/Nashik_Yatra_1995_04_-_Sita_cave_-_Radhanath_Swami.mp3", "Nashik_Yatra_1995_04_-_Sita_cave_-_Radhanath_Swami.mp3")</f>
        <v>Nashik_Yatra_1995_04_-_Sita_cave_-_Radhanath_Swami.mp3</v>
      </c>
      <c r="D5323" s="24"/>
      <c r="E5323" s="24"/>
    </row>
    <row r="5324">
      <c r="A5324" s="25" t="s">
        <v>18509</v>
      </c>
      <c r="B5324" s="25" t="s">
        <v>18543</v>
      </c>
      <c r="C5324" s="26" t="str">
        <f>HYPERLINK("https://audio.iskcondesiretree.com/02_-_ISKCON_Swamis/ISKCON_Swamis_-_R_to_Y/His_Holiness_Radhanath_Swami/Lectures/02_-_Yatra/Nashik/1995/Nashik_Yatra_1995_05_-_Rama_Kunda_%26_Kapoleshwar_Mahadev_-_Radhanath_Swami.mp3", "Nashik_Yatra_1995_05_-_Rama_Kunda_%26_Kapoleshwar_Mahadev_-_Radhanath_Swami.mp3")</f>
        <v>Nashik_Yatra_1995_05_-_Rama_Kunda_%26_Kapoleshwar_Mahadev_-_Radhanath_Swami.mp3</v>
      </c>
      <c r="D5324" s="24"/>
      <c r="E5324" s="24"/>
    </row>
    <row r="5325">
      <c r="A5325" s="25" t="s">
        <v>18509</v>
      </c>
      <c r="B5325" s="25" t="s">
        <v>18543</v>
      </c>
      <c r="C5325" s="26" t="str">
        <f>HYPERLINK("https://audio.iskcondesiretree.com/02_-_ISKCON_Swamis/ISKCON_Swamis_-_R_to_Y/His_Holiness_Radhanath_Swami/Lectures/02_-_Yatra/Nashik/1995/Nashik_Yatra_1995_06_-_Triambakeswar_%26_Brahmagiri_-_Radhanath_Swami.mp3", "Nashik_Yatra_1995_06_-_Triambakeswar_%26_Brahmagiri_-_Radhanath_Swami.mp3")</f>
        <v>Nashik_Yatra_1995_06_-_Triambakeswar_%26_Brahmagiri_-_Radhanath_Swami.mp3</v>
      </c>
      <c r="D5325" s="24"/>
      <c r="E5325" s="24"/>
    </row>
    <row r="5326">
      <c r="A5326" s="25" t="s">
        <v>18509</v>
      </c>
      <c r="B5326" s="25" t="s">
        <v>18543</v>
      </c>
      <c r="C5326" s="26" t="str">
        <f>HYPERLINK("https://audio.iskcondesiretree.com/02_-_ISKCON_Swamis/ISKCON_Swamis_-_R_to_Y/His_Holiness_Radhanath_Swami/Lectures/02_-_Yatra/Nashik/1998/Nashik_Yatra_1998_01_-_Raam_Kund_-_Radhanath_Swami.mp3", "Nashik_Yatra_1998_01_-_Raam_Kund_-_Radhanath_Swami.mp3")</f>
        <v>Nashik_Yatra_1998_01_-_Raam_Kund_-_Radhanath_Swami.mp3</v>
      </c>
      <c r="D5326" s="24"/>
      <c r="E5326" s="24"/>
    </row>
    <row r="5327">
      <c r="A5327" s="25" t="s">
        <v>18509</v>
      </c>
      <c r="B5327" s="25" t="s">
        <v>18543</v>
      </c>
      <c r="C5327" s="26" t="str">
        <f>HYPERLINK("https://audio.iskcondesiretree.com/02_-_ISKCON_Swamis/ISKCON_Swamis_-_R_to_Y/His_Holiness_Radhanath_Swami/Lectures/02_-_Yatra/Nashik/1998/Nashik_Yatra_1998_02_-_Kalaram_Mandir_-_About%20Panchavati.mp3", "Nashik_Yatra_1998_02_-_Kalaram_Mandir_-_About%20Panchavati.mp3")</f>
        <v>Nashik_Yatra_1998_02_-_Kalaram_Mandir_-_About%20Panchavati.mp3</v>
      </c>
      <c r="D5327" s="24"/>
      <c r="E5327" s="24"/>
    </row>
    <row r="5328">
      <c r="A5328" s="25" t="s">
        <v>18509</v>
      </c>
      <c r="B5328" s="25" t="s">
        <v>18543</v>
      </c>
      <c r="C5328" s="26" t="str">
        <f>HYPERLINK("https://audio.iskcondesiretree.com/02_-_ISKCON_Swamis/ISKCON_Swamis_-_R_to_Y/His_Holiness_Radhanath_Swami/Lectures/02_-_Yatra/Nashik/1998/Nashik_Yatra_1998_03_-_Sita_Haran_-_Radhanath_Swami.mp3", "Nashik_Yatra_1998_03_-_Sita_Haran_-_Radhanath_Swami.mp3")</f>
        <v>Nashik_Yatra_1998_03_-_Sita_Haran_-_Radhanath_Swami.mp3</v>
      </c>
      <c r="D5328" s="24"/>
      <c r="E5328" s="24"/>
    </row>
    <row r="5329">
      <c r="A5329" s="25" t="s">
        <v>18509</v>
      </c>
      <c r="B5329" s="25" t="s">
        <v>18543</v>
      </c>
      <c r="C5329" s="26" t="str">
        <f>HYPERLINK("https://audio.iskcondesiretree.com/02_-_ISKCON_Swamis/ISKCON_Swamis_-_R_to_Y/His_Holiness_Radhanath_Swami/Lectures/02_-_Yatra/Nashik/1998/Nashik_Yatra_1998_04_-_Tapovan_-_Radhanath_Swami.mp3", "Nashik_Yatra_1998_04_-_Tapovan_-_Radhanath_Swami.mp3")</f>
        <v>Nashik_Yatra_1998_04_-_Tapovan_-_Radhanath_Swami.mp3</v>
      </c>
      <c r="D5329" s="24"/>
      <c r="E5329" s="24"/>
    </row>
    <row r="5330">
      <c r="A5330" s="25" t="s">
        <v>18509</v>
      </c>
      <c r="B5330" s="25" t="s">
        <v>18543</v>
      </c>
      <c r="C5330" s="26" t="str">
        <f>HYPERLINK("https://audio.iskcondesiretree.com/02_-_ISKCON_Swamis/ISKCON_Swamis_-_R_to_Y/His_Holiness_Radhanath_Swami/Lectures/02_-_Yatra/Nashik/1998/Nashik_Yatra_1998_05_-_Trambakeshwar_%26_Kusbarth_Tirth_-_Radhanath_Swami.mp3", "Nashik_Yatra_1998_05_-_Trambakeshwar_%26_Kusbarth_Tirth_-_Radhanath_Swami.mp3")</f>
        <v>Nashik_Yatra_1998_05_-_Trambakeshwar_%26_Kusbarth_Tirth_-_Radhanath_Swami.mp3</v>
      </c>
      <c r="D5330" s="24"/>
      <c r="E5330" s="24"/>
    </row>
    <row r="5331">
      <c r="A5331" s="25" t="s">
        <v>18509</v>
      </c>
      <c r="B5331" s="25" t="s">
        <v>18543</v>
      </c>
      <c r="C5331" s="26" t="str">
        <f>HYPERLINK("https://audio.iskcondesiretree.com/02_-_ISKCON_Swamis/ISKCON_Swamis_-_R_to_Y/His_Holiness_Radhanath_Swami/Lectures/02_-_Yatra/Nashik/1998/Nashik_Yatra_1998_06_-_Sundarnaryan_Temple.mp3", "Nashik_Yatra_1998_06_-_Sundarnaryan_Temple.mp3")</f>
        <v>Nashik_Yatra_1998_06_-_Sundarnaryan_Temple.mp3</v>
      </c>
      <c r="D5331" s="24"/>
      <c r="E5331" s="24"/>
    </row>
    <row r="5332">
      <c r="A5332" s="25" t="s">
        <v>18509</v>
      </c>
      <c r="B5332" s="25" t="s">
        <v>18543</v>
      </c>
      <c r="C5332" s="26" t="str">
        <f>HYPERLINK("https://audio.iskcondesiretree.com/02_-_ISKCON_Swamis/ISKCON_Swamis_-_R_to_Y/His_Holiness_Radhanath_Swami/Lectures/02_-_Yatra/Nashik/1998/Nashik_Yatra_1998_07_-_Jatayu_Tirth_-_Radhanath_Swami.mp3", "Nashik_Yatra_1998_07_-_Jatayu_Tirth_-_Radhanath_Swami.mp3")</f>
        <v>Nashik_Yatra_1998_07_-_Jatayu_Tirth_-_Radhanath_Swami.mp3</v>
      </c>
      <c r="D5332" s="24"/>
      <c r="E5332" s="24"/>
    </row>
    <row r="5333">
      <c r="A5333" s="25" t="s">
        <v>18509</v>
      </c>
      <c r="B5333" s="25" t="s">
        <v>18544</v>
      </c>
      <c r="C5333" s="26" t="str">
        <f>HYPERLINK("https://audio.iskcondesiretree.com/02_-_ISKCON_Swamis/ISKCON_Swamis_-_R_to_Y/His_Holiness_Radhanath_Swami/Lectures/02_-_Yatra/Nilachala_yatra/Nilachala_Yatra_-_Glories_of_Haridas_Thakur_-_Radhanath_Swami.mp3", "Nilachala_Yatra_-_Glories_of_Haridas_Thakur_-_Radhanath_Swami.mp3")</f>
        <v>Nilachala_Yatra_-_Glories_of_Haridas_Thakur_-_Radhanath_Swami.mp3</v>
      </c>
      <c r="D5333" s="24"/>
      <c r="E5333" s="24"/>
    </row>
    <row r="5334">
      <c r="A5334" s="25" t="s">
        <v>18509</v>
      </c>
      <c r="B5334" s="25" t="s">
        <v>18544</v>
      </c>
      <c r="C5334" s="26" t="str">
        <f>HYPERLINK("https://audio.iskcondesiretree.com/02_-_ISKCON_Swamis/ISKCON_Swamis_-_R_to_Y/His_Holiness_Radhanath_Swami/Lectures/02_-_Yatra/Nilachala_yatra/Nilachala_Yatra_-_Glorifying_A_Ray_of_Vishnu_-_Radhanath_Swami.mp3", "Nilachala_Yatra_-_Glorifying_A_Ray_of_Vishnu_-_Radhanath_Swami.mp3")</f>
        <v>Nilachala_Yatra_-_Glorifying_A_Ray_of_Vishnu_-_Radhanath_Swami.mp3</v>
      </c>
      <c r="D5334" s="24"/>
      <c r="E5334" s="24"/>
    </row>
    <row r="5335">
      <c r="A5335" s="25" t="s">
        <v>18509</v>
      </c>
      <c r="B5335" s="25" t="s">
        <v>18544</v>
      </c>
      <c r="C5335" s="26" t="str">
        <f>HYPERLINK("https://audio.iskcondesiretree.com/02_-_ISKCON_Swamis/ISKCON_Swamis_-_R_to_Y/His_Holiness_Radhanath_Swami/Lectures/02_-_Yatra/Nilachala_yatra/Nilachala_Yatra_-_Lord_Performing_Pastimes_at_Kamalpur_and_Attarnala_-_Radhanath_Swami.mp3", "Nilachala_Yatra_-_Lord_Performing_Pastimes_at_Kamalpur_and_Attarnala_-_Radhanath_Swami.mp3")</f>
        <v>Nilachala_Yatra_-_Lord_Performing_Pastimes_at_Kamalpur_and_Attarnala_-_Radhanath_Swami.mp3</v>
      </c>
      <c r="D5335" s="24"/>
      <c r="E5335" s="24"/>
    </row>
    <row r="5336">
      <c r="A5336" s="25" t="s">
        <v>18509</v>
      </c>
      <c r="B5336" s="25" t="s">
        <v>18544</v>
      </c>
      <c r="C5336" s="26" t="str">
        <f>HYPERLINK("https://audio.iskcondesiretree.com/02_-_ISKCON_Swamis/ISKCON_Swamis_-_R_to_Y/His_Holiness_Radhanath_Swami/Lectures/02_-_Yatra/Nilachala_yatra/Nilachala_Yatra_-_Pastimes_at_Chataka_parvat_-_Radhanath_Swami.mp3", "Nilachala_Yatra_-_Pastimes_at_Chataka_parvat_-_Radhanath_Swami.mp3")</f>
        <v>Nilachala_Yatra_-_Pastimes_at_Chataka_parvat_-_Radhanath_Swami.mp3</v>
      </c>
      <c r="D5336" s="24"/>
      <c r="E5336" s="24"/>
    </row>
    <row r="5337">
      <c r="A5337" s="25" t="s">
        <v>18509</v>
      </c>
      <c r="B5337" s="25" t="s">
        <v>18544</v>
      </c>
      <c r="C5337" s="26" t="str">
        <f>HYPERLINK("https://audio.iskcondesiretree.com/02_-_ISKCON_Swamis/ISKCON_Swamis_-_R_to_Y/His_Holiness_Radhanath_Swami/Lectures/02_-_Yatra/Nilachala_yatra/Nilachala_Yatra_-_Pastimes_at_Indradumna_Sarovar_-_Radhanath_Swami.mp3", "Nilachala_Yatra_-_Pastimes_at_Indradumna_Sarovar_-_Radhanath_Swami.mp3")</f>
        <v>Nilachala_Yatra_-_Pastimes_at_Indradumna_Sarovar_-_Radhanath_Swami.mp3</v>
      </c>
      <c r="D5337" s="24"/>
      <c r="E5337" s="24"/>
    </row>
    <row r="5338">
      <c r="A5338" s="25" t="s">
        <v>18509</v>
      </c>
      <c r="B5338" s="25" t="s">
        <v>18544</v>
      </c>
      <c r="C5338" s="26" t="str">
        <f>HYPERLINK("https://audio.iskcondesiretree.com/02_-_ISKCON_Swamis/ISKCON_Swamis_-_R_to_Y/His_Holiness_Radhanath_Swami/Lectures/02_-_Yatra/Nilachala_yatra/Nilachala_Yatra_-_Pastimes_at_Jagannath_Vallabh_Garden_%26_Gundicha_Temple_-_Radhanath_Swami.mp3", "Nilachala_Yatra_-_Pastimes_at_Jagannath_Vallabh_Garden_%26_Gundicha_Temple_-_Radhanath_Swami.mp3")</f>
        <v>Nilachala_Yatra_-_Pastimes_at_Jagannath_Vallabh_Garden_%26_Gundicha_Temple_-_Radhanath_Swami.mp3</v>
      </c>
      <c r="D5338" s="24"/>
      <c r="E5338" s="24"/>
    </row>
    <row r="5339">
      <c r="A5339" s="25" t="s">
        <v>18509</v>
      </c>
      <c r="B5339" s="25" t="s">
        <v>18544</v>
      </c>
      <c r="C5339" s="26" t="str">
        <f>HYPERLINK("https://audio.iskcondesiretree.com/02_-_ISKCON_Swamis/ISKCON_Swamis_-_R_to_Y/His_Holiness_Radhanath_Swami/Lectures/02_-_Yatra/Nilachala_yatra/Nilachala_Yatra_-_Pastimes_at_Narendra_Sarovar_-_Radhanath_Swami.mp3", "Nilachala_Yatra_-_Pastimes_at_Narendra_Sarovar_-_Radhanath_Swami.mp3")</f>
        <v>Nilachala_Yatra_-_Pastimes_at_Narendra_Sarovar_-_Radhanath_Swami.mp3</v>
      </c>
      <c r="D5339" s="24"/>
      <c r="E5339" s="24"/>
    </row>
    <row r="5340">
      <c r="A5340" s="25" t="s">
        <v>18509</v>
      </c>
      <c r="B5340" s="25" t="s">
        <v>18544</v>
      </c>
      <c r="C5340" s="26" t="str">
        <f>HYPERLINK("https://audio.iskcondesiretree.com/02_-_ISKCON_Swamis/ISKCON_Swamis_-_R_to_Y/His_Holiness_Radhanath_Swami/Lectures/02_-_Yatra/Nilachala_yatra/Nilachala_Yatra_-_Pastimes_at_the_House_of_Sarvabhauma_Bhattacarya_-_Radhanath_Swami.mp3", "Nilachala_Yatra_-_Pastimes_at_the_House_of_Sarvabhauma_Bhattacarya_-_Radhanath_Swami.mp3")</f>
        <v>Nilachala_Yatra_-_Pastimes_at_the_House_of_Sarvabhauma_Bhattacarya_-_Radhanath_Swami.mp3</v>
      </c>
      <c r="D5340" s="24"/>
      <c r="E5340" s="24"/>
    </row>
    <row r="5341">
      <c r="A5341" s="25" t="s">
        <v>18509</v>
      </c>
      <c r="B5341" s="25" t="s">
        <v>18544</v>
      </c>
      <c r="C5341" s="26" t="str">
        <f>HYPERLINK("https://audio.iskcondesiretree.com/02_-_ISKCON_Swamis/ISKCON_Swamis_-_R_to_Y/His_Holiness_Radhanath_Swami/Lectures/02_-_Yatra/Nilachala_yatra/Nilachala_Yatra_-_Renunciation_of_Raghunath_das_Goswami_-_Radhanath_Swami.mp3", "Nilachala_Yatra_-_Renunciation_of_Raghunath_das_Goswami_-_Radhanath_Swami.mp3")</f>
        <v>Nilachala_Yatra_-_Renunciation_of_Raghunath_das_Goswami_-_Radhanath_Swami.mp3</v>
      </c>
      <c r="D5341" s="24"/>
      <c r="E5341" s="24"/>
    </row>
    <row r="5342">
      <c r="A5342" s="25" t="s">
        <v>18509</v>
      </c>
      <c r="B5342" s="25" t="s">
        <v>18544</v>
      </c>
      <c r="C5342" s="26" t="str">
        <f>HYPERLINK("https://audio.iskcondesiretree.com/02_-_ISKCON_Swamis/ISKCON_Swamis_-_R_to_Y/His_Holiness_Radhanath_Swami/Lectures/02_-_Yatra/Nilachala_yatra/Nilachala_Yatra_-_Stories_of_Lord_Jagannath_-_Radhanath_Swami.mp3", "Nilachala_Yatra_-_Stories_of_Lord_Jagannath_-_Radhanath_Swami.mp3")</f>
        <v>Nilachala_Yatra_-_Stories_of_Lord_Jagannath_-_Radhanath_Swami.mp3</v>
      </c>
      <c r="D5342" s="24"/>
      <c r="E5342" s="24"/>
    </row>
    <row r="5343">
      <c r="A5343" s="25" t="s">
        <v>18509</v>
      </c>
      <c r="B5343" s="25" t="s">
        <v>18544</v>
      </c>
      <c r="C5343" s="26" t="str">
        <f>HYPERLINK("https://audio.iskcondesiretree.com/02_-_ISKCON_Swamis/ISKCON_Swamis_-_R_to_Y/His_Holiness_Radhanath_Swami/Lectures/02_-_Yatra/Nilachala_yatra/Nilachala_Yatra_-_Story_of_Bhuvaneswar_Mahadev_-_Radhanath_Swami.mp3", "Nilachala_Yatra_-_Story_of_Bhuvaneswar_Mahadev_-_Radhanath_Swami.mp3")</f>
        <v>Nilachala_Yatra_-_Story_of_Bhuvaneswar_Mahadev_-_Radhanath_Swami.mp3</v>
      </c>
      <c r="D5343" s="24"/>
      <c r="E5343" s="24"/>
    </row>
    <row r="5344">
      <c r="A5344" s="25" t="s">
        <v>18509</v>
      </c>
      <c r="B5344" s="25" t="s">
        <v>18544</v>
      </c>
      <c r="C5344" s="26" t="str">
        <f>HYPERLINK("https://audio.iskcondesiretree.com/02_-_ISKCON_Swamis/ISKCON_Swamis_-_R_to_Y/His_Holiness_Radhanath_Swami/Lectures/02_-_Yatra/Nilachala_yatra/Nilachala_Yatra_-_Story_of_Kshir_Chor_Gopinath_-_Radhanath_Swami.mp3", "Nilachala_Yatra_-_Story_of_Kshir_Chor_Gopinath_-_Radhanath_Swami.mp3")</f>
        <v>Nilachala_Yatra_-_Story_of_Kshir_Chor_Gopinath_-_Radhanath_Swami.mp3</v>
      </c>
      <c r="D5344" s="24"/>
      <c r="E5344" s="24"/>
    </row>
    <row r="5345">
      <c r="A5345" s="25" t="s">
        <v>18509</v>
      </c>
      <c r="B5345" s="25" t="s">
        <v>18544</v>
      </c>
      <c r="C5345" s="26" t="str">
        <f>HYPERLINK("https://audio.iskcondesiretree.com/02_-_ISKCON_Swamis/ISKCON_Swamis_-_R_to_Y/His_Holiness_Radhanath_Swami/Lectures/02_-_Yatra/Nilachala_yatra/Nilachala_Yatra_-_The_Residence_of_Lord_Chaitanya_-_Gambhira_-_Radhanath_Swami.mp3", "Nilachala_Yatra_-_The_Residence_of_Lord_Chaitanya_-_Gambhira_-_Radhanath_Swami.mp3")</f>
        <v>Nilachala_Yatra_-_The_Residence_of_Lord_Chaitanya_-_Gambhira_-_Radhanath_Swami.mp3</v>
      </c>
      <c r="D5345" s="24"/>
      <c r="E5345" s="24"/>
    </row>
    <row r="5346">
      <c r="A5346" s="25" t="s">
        <v>18509</v>
      </c>
      <c r="B5346" s="25" t="s">
        <v>18544</v>
      </c>
      <c r="C5346" s="26" t="str">
        <f>HYPERLINK("https://audio.iskcondesiretree.com/02_-_ISKCON_Swamis/ISKCON_Swamis_-_R_to_Y/His_Holiness_Radhanath_Swami/Lectures/02_-_Yatra/Nilachala_yatra/Nilachala_Yatra_-_Totagopinath_-_Radhanath_Swami.mp3", "Nilachala_Yatra_-_Totagopinath_-_Radhanath_Swami.mp3")</f>
        <v>Nilachala_Yatra_-_Totagopinath_-_Radhanath_Swami.mp3</v>
      </c>
      <c r="D5346" s="24"/>
      <c r="E5346" s="24"/>
    </row>
    <row r="5347">
      <c r="A5347" s="25" t="s">
        <v>18545</v>
      </c>
      <c r="B5347" s="25" t="s">
        <v>18546</v>
      </c>
      <c r="C5347" s="26" t="str">
        <f>HYPERLINK("https://audio.iskcondesiretree.com/02_-_ISKCON_Swamis/ISKCON_Swamis_-_R_to_Y/His_Holiness_Radhanath_Swami/Lectures/03_-_From_devotees/05-02-EYE-CAMP_-_Radhanath_Swami.mp3", "05-02-EYE-CAMP_-_Radhanath_Swami.mp3")</f>
        <v>05-02-EYE-CAMP_-_Radhanath_Swami.mp3</v>
      </c>
      <c r="D5347" s="24"/>
      <c r="E5347" s="24"/>
    </row>
    <row r="5348">
      <c r="A5348" s="25" t="s">
        <v>18545</v>
      </c>
      <c r="B5348" s="25" t="s">
        <v>18547</v>
      </c>
      <c r="C5348" s="26" t="str">
        <f>HYPERLINK("https://audio.iskcondesiretree.com/02_-_ISKCON_Swamis/ISKCON_Swamis_-_R_to_Y/His_Holiness_Radhanath_Swami/Lectures/03_-_From_devotees/2005-01-29_SB_-_Radhanath_Swami.mp3", "2005-01-29_SB_-_Radhanath_Swami.mp3")</f>
        <v>2005-01-29_SB_-_Radhanath_Swami.mp3</v>
      </c>
      <c r="D5348" s="24"/>
      <c r="E5348" s="24"/>
    </row>
    <row r="5349">
      <c r="A5349" s="25" t="s">
        <v>18545</v>
      </c>
      <c r="B5349" s="25" t="s">
        <v>18548</v>
      </c>
      <c r="C5349" s="26" t="str">
        <f>HYPERLINK("https://audio.iskcondesiretree.com/02_-_ISKCON_Swamis/ISKCON_Swamis_-_R_to_Y/His_Holiness_Radhanath_Swami/Lectures/03_-_From_devotees/2005-01-30_SB_-_Radhanath_Swami.mp3", "2005-01-30_SB_-_Radhanath_Swami.mp3")</f>
        <v>2005-01-30_SB_-_Radhanath_Swami.mp3</v>
      </c>
      <c r="D5349" s="24"/>
      <c r="E5349" s="24"/>
    </row>
    <row r="5350">
      <c r="A5350" s="25" t="s">
        <v>18545</v>
      </c>
      <c r="B5350" s="25" t="s">
        <v>18549</v>
      </c>
      <c r="C5350" s="26" t="str">
        <f>HYPERLINK("https://audio.iskcondesiretree.com/02_-_ISKCON_Swamis/ISKCON_Swamis_-_R_to_Y/His_Holiness_Radhanath_Swami/Lectures/03_-_From_devotees/2005-02-05_SB_-_Radhanath_Swami.mp3", "2005-02-05_SB_-_Radhanath_Swami.mp3")</f>
        <v>2005-02-05_SB_-_Radhanath_Swami.mp3</v>
      </c>
      <c r="D5350" s="24"/>
      <c r="E5350" s="24"/>
    </row>
    <row r="5351">
      <c r="A5351" s="25" t="s">
        <v>18545</v>
      </c>
      <c r="B5351" s="25" t="s">
        <v>18550</v>
      </c>
      <c r="C5351" s="26" t="str">
        <f>HYPERLINK("https://audio.iskcondesiretree.com/02_-_ISKCON_Swamis/ISKCON_Swamis_-_R_to_Y/His_Holiness_Radhanath_Swami/Lectures/03_-_From_devotees/2005-11-25_Prerana_-_Radhanath_Swami.mp3", "2005-11-25_Prerana_-_Radhanath_Swami.mp3")</f>
        <v>2005-11-25_Prerana_-_Radhanath_Swami.mp3</v>
      </c>
      <c r="D5351" s="24"/>
      <c r="E5351" s="24"/>
    </row>
    <row r="5352">
      <c r="A5352" s="25" t="s">
        <v>18545</v>
      </c>
      <c r="B5352" s="25" t="s">
        <v>18551</v>
      </c>
      <c r="C5352" s="26" t="str">
        <f>HYPERLINK("https://audio.iskcondesiretree.com/02_-_ISKCON_Swamis/ISKCON_Swamis_-_R_to_Y/His_Holiness_Radhanath_Swami/Lectures/03_-_From_devotees/2007-04-29_-_Radhanath_Swami.mp3", "2007-04-29_-_Radhanath_Swami.mp3")</f>
        <v>2007-04-29_-_Radhanath_Swami.mp3</v>
      </c>
      <c r="D5352" s="24"/>
      <c r="E5352" s="24"/>
    </row>
    <row r="5353">
      <c r="A5353" s="25" t="s">
        <v>18545</v>
      </c>
      <c r="B5353" s="25" t="s">
        <v>18552</v>
      </c>
      <c r="C5353" s="26" t="str">
        <f>HYPERLINK("https://audio.iskcondesiretree.com/02_-_ISKCON_Swamis/ISKCON_Swamis_-_R_to_Y/His_Holiness_Radhanath_Swami/Lectures/03_-_From_devotees/2007-06-10_Columbus_-_Radhanath_Swami.mp3", "2007-06-10_Columbus_-_Radhanath_Swami.mp3")</f>
        <v>2007-06-10_Columbus_-_Radhanath_Swami.mp3</v>
      </c>
      <c r="D5353" s="24"/>
      <c r="E5353" s="24"/>
    </row>
    <row r="5354">
      <c r="A5354" s="25" t="s">
        <v>18545</v>
      </c>
      <c r="B5354" s="25" t="s">
        <v>18553</v>
      </c>
      <c r="C5354" s="26" t="str">
        <f>HYPERLINK("https://audio.iskcondesiretree.com/02_-_ISKCON_Swamis/ISKCON_Swamis_-_R_to_Y/His_Holiness_Radhanath_Swami/Lectures/03_-_From_devotees/2008-05-11_-_Radhanath_Swami.mp3", "2008-05-11_-_Radhanath_Swami.mp3")</f>
        <v>2008-05-11_-_Radhanath_Swami.mp3</v>
      </c>
      <c r="D5354" s="24"/>
      <c r="E5354" s="24"/>
    </row>
    <row r="5355">
      <c r="A5355" s="25" t="s">
        <v>18545</v>
      </c>
      <c r="B5355" s="25" t="s">
        <v>18554</v>
      </c>
      <c r="C5355" s="26" t="str">
        <f>HYPERLINK("https://audio.iskcondesiretree.com/02_-_ISKCON_Swamis/ISKCON_Swamis_-_R_to_Y/His_Holiness_Radhanath_Swami/Lectures/03_-_From_devotees/2008-06-22_-_Radhanath_Swami.mp3", "2008-06-22_-_Radhanath_Swami.mp3")</f>
        <v>2008-06-22_-_Radhanath_Swami.mp3</v>
      </c>
      <c r="D5355" s="24"/>
      <c r="E5355" s="24"/>
    </row>
    <row r="5356">
      <c r="A5356" s="25" t="s">
        <v>18545</v>
      </c>
      <c r="B5356" s="25" t="s">
        <v>18555</v>
      </c>
      <c r="C5356" s="26" t="str">
        <f>HYPERLINK("https://audio.iskcondesiretree.com/02_-_ISKCON_Swamis/ISKCON_Swamis_-_R_to_Y/His_Holiness_Radhanath_Swami/Lectures/03_-_From_devotees/CC_Caitanya_Lila_-_2007-07-28_Los_Angeles_-_Radhanath_Swami.mp3", "CC_Caitanya_Lila_-_2007-07-28_Los_Angeles_-_Radhanath_Swami.mp3")</f>
        <v>CC_Caitanya_Lila_-_2007-07-28_Los_Angeles_-_Radhanath_Swami.mp3</v>
      </c>
      <c r="D5356" s="24"/>
      <c r="E5356" s="24"/>
    </row>
    <row r="5357">
      <c r="A5357" s="25" t="s">
        <v>18545</v>
      </c>
      <c r="B5357" s="25" t="s">
        <v>18556</v>
      </c>
      <c r="C5357" s="26" t="str">
        <f>HYPERLINK("https://audio.iskcondesiretree.com/02_-_ISKCON_Swamis/ISKCON_Swamis_-_R_to_Y/His_Holiness_Radhanath_Swami/Lectures/03_-_From_devotees/Initiation_-_Radhanath_Swami_2006-08-09.mp3", "Initiation_-_Radhanath_Swami_2006-08-09.mp3")</f>
        <v>Initiation_-_Radhanath_Swami_2006-08-09.mp3</v>
      </c>
      <c r="D5357" s="24"/>
      <c r="E5357" s="24"/>
    </row>
    <row r="5358">
      <c r="A5358" s="25" t="s">
        <v>18545</v>
      </c>
      <c r="B5358" s="25" t="s">
        <v>18557</v>
      </c>
      <c r="C5358" s="26" t="str">
        <f>HYPERLINK("https://audio.iskcondesiretree.com/02_-_ISKCON_Swamis/ISKCON_Swamis_-_R_to_Y/His_Holiness_Radhanath_Swami/Lectures/03_-_From_devotees/Lord_Balaram_appearance_day_-_Radhanath_Swami_2006-08-09.mp3", "Lord_Balaram_appearance_day_-_Radhanath_Swami_2006-08-09.mp3")</f>
        <v>Lord_Balaram_appearance_day_-_Radhanath_Swami_2006-08-09.mp3</v>
      </c>
      <c r="D5358" s="24"/>
      <c r="E5358" s="24"/>
    </row>
    <row r="5359">
      <c r="A5359" s="25" t="s">
        <v>18545</v>
      </c>
      <c r="B5359" s="25" t="s">
        <v>18558</v>
      </c>
      <c r="C5359" s="26" t="str">
        <f>HYPERLINK("https://audio.iskcondesiretree.com/02_-_ISKCON_Swamis/ISKCON_Swamis_-_R_to_Y/His_Holiness_Radhanath_Swami/Lectures/03_-_From_devotees/PR_OvercomingfearI_-_Radhanath_Swami.mp3", "PR_OvercomingfearI_-_Radhanath_Swami.mp3")</f>
        <v>PR_OvercomingfearI_-_Radhanath_Swami.mp3</v>
      </c>
      <c r="D5359" s="24"/>
      <c r="E5359" s="24"/>
    </row>
    <row r="5360">
      <c r="A5360" s="25" t="s">
        <v>18545</v>
      </c>
      <c r="B5360" s="25" t="s">
        <v>18559</v>
      </c>
      <c r="C5360" s="26" t="str">
        <f>HYPERLINK("https://audio.iskcondesiretree.com/02_-_ISKCON_Swamis/ISKCON_Swamis_-_R_to_Y/His_Holiness_Radhanath_Swami/Lectures/03_-_From_devotees/PR_OvercomingfearII_-_Radhanath_Swami.mp3", "PR_OvercomingfearII_-_Radhanath_Swami.mp3")</f>
        <v>PR_OvercomingfearII_-_Radhanath_Swami.mp3</v>
      </c>
      <c r="D5360" s="24"/>
      <c r="E5360" s="24"/>
    </row>
    <row r="5361">
      <c r="A5361" s="25" t="s">
        <v>18545</v>
      </c>
      <c r="B5361" s="25" t="s">
        <v>18560</v>
      </c>
      <c r="C5361" s="26" t="str">
        <f>HYPERLINK("https://audio.iskcondesiretree.com/02_-_ISKCON_Swamis/ISKCON_Swamis_-_R_to_Y/His_Holiness_Radhanath_Swami/Lectures/03_-_From_devotees/PR_Power_of_Habits_Part-01_-_Radhanath_Swami.mp3", "PR_Power_of_Habits_Part-01_-_Radhanath_Swami.mp3")</f>
        <v>PR_Power_of_Habits_Part-01_-_Radhanath_Swami.mp3</v>
      </c>
      <c r="D5361" s="24"/>
      <c r="E5361" s="24"/>
    </row>
    <row r="5362">
      <c r="A5362" s="25" t="s">
        <v>18545</v>
      </c>
      <c r="B5362" s="25" t="s">
        <v>18561</v>
      </c>
      <c r="C5362" s="26" t="str">
        <f>HYPERLINK("https://audio.iskcondesiretree.com/02_-_ISKCON_Swamis/ISKCON_Swamis_-_R_to_Y/His_Holiness_Radhanath_Swami/Lectures/03_-_From_devotees/PR_Power_of_Habits_Part-02_-_Radhanath_Swami.mp3", "PR_Power_of_Habits_Part-02_-_Radhanath_Swami.mp3")</f>
        <v>PR_Power_of_Habits_Part-02_-_Radhanath_Swami.mp3</v>
      </c>
      <c r="D5362" s="24"/>
      <c r="E5362" s="24"/>
    </row>
    <row r="5363">
      <c r="A5363" s="25" t="s">
        <v>18545</v>
      </c>
      <c r="B5363" s="25" t="s">
        <v>18562</v>
      </c>
      <c r="C5363" s="26" t="str">
        <f>HYPERLINK("https://audio.iskcondesiretree.com/02_-_ISKCON_Swamis/ISKCON_Swamis_-_R_to_Y/His_Holiness_Radhanath_Swami/Lectures/03_-_From_devotees/PR_Principles_of_satisfaction_Part-01_-_Radhanath_Swami.mp3", "PR_Principles_of_satisfaction_Part-01_-_Radhanath_Swami.mp3")</f>
        <v>PR_Principles_of_satisfaction_Part-01_-_Radhanath_Swami.mp3</v>
      </c>
      <c r="D5363" s="24"/>
      <c r="E5363" s="24"/>
    </row>
    <row r="5364">
      <c r="A5364" s="25" t="s">
        <v>18545</v>
      </c>
      <c r="B5364" s="25" t="s">
        <v>18563</v>
      </c>
      <c r="C5364" s="26" t="str">
        <f>HYPERLINK("https://audio.iskcondesiretree.com/02_-_ISKCON_Swamis/ISKCON_Swamis_-_R_to_Y/His_Holiness_Radhanath_Swami/Lectures/03_-_From_devotees/PR_Principles_of_satisfaction_Part-02_-_Radhanath_Swami.mp3", "PR_Principles_of_satisfaction_Part-02_-_Radhanath_Swami.mp3")</f>
        <v>PR_Principles_of_satisfaction_Part-02_-_Radhanath_Swami.mp3</v>
      </c>
      <c r="D5364" s="24"/>
      <c r="E5364" s="24"/>
    </row>
    <row r="5365">
      <c r="A5365" s="25" t="s">
        <v>18545</v>
      </c>
      <c r="B5365" s="25" t="s">
        <v>18564</v>
      </c>
      <c r="C5365" s="26" t="str">
        <f>HYPERLINK("https://audio.iskcondesiretree.com/02_-_ISKCON_Swamis/ISKCON_Swamis_-_R_to_Y/His_Holiness_Radhanath_Swami/Lectures/03_-_From_devotees/Prerana_-_Power_of_renunciation_-_2007-04-28_-_Radhanath_Swami.mp3", "Prerana_-_Power_of_renunciation_-_2007-04-28_-_Radhanath_Swami.mp3")</f>
        <v>Prerana_-_Power_of_renunciation_-_2007-04-28_-_Radhanath_Swami.mp3</v>
      </c>
      <c r="D5365" s="24"/>
      <c r="E5365" s="24"/>
    </row>
    <row r="5366">
      <c r="A5366" s="25" t="s">
        <v>18545</v>
      </c>
      <c r="B5366" s="25" t="s">
        <v>18565</v>
      </c>
      <c r="C5366" s="26" t="str">
        <f>HYPERLINK("https://audio.iskcondesiretree.com/02_-_ISKCON_Swamis/ISKCON_Swamis_-_R_to_Y/His_Holiness_Radhanath_Swami/Lectures/03_-_From_devotees/Rama_Lecture_2009-04-05_Radha_Govinda_Mandir_-_Radhanath_Swami.mp3", "Rama_Lecture_2009-04-05_Radha_Govinda_Mandir_-_Radhanath_Swami.mp3")</f>
        <v>Rama_Lecture_2009-04-05_Radha_Govinda_Mandir_-_Radhanath_Swami.mp3</v>
      </c>
      <c r="D5366" s="24"/>
      <c r="E5366" s="24"/>
    </row>
    <row r="5367">
      <c r="A5367" s="25" t="s">
        <v>18545</v>
      </c>
      <c r="B5367" s="25" t="s">
        <v>18566</v>
      </c>
      <c r="C5367" s="26" t="str">
        <f>HYPERLINK("https://audio.iskcondesiretree.com/02_-_ISKCON_Swamis/ISKCON_Swamis_-_R_to_Y/His_Holiness_Radhanath_Swami/Lectures/03_-_From_devotees/RNS_08-08-22_How_To_Know_Krsna_-_Seattle.mp3", "RNS_08-08-22_How_To_Know_Krsna_-_Seattle.mp3")</f>
        <v>RNS_08-08-22_How_To_Know_Krsna_-_Seattle.mp3</v>
      </c>
      <c r="D5367" s="24"/>
      <c r="E5367" s="24"/>
    </row>
    <row r="5368">
      <c r="A5368" s="25" t="s">
        <v>18545</v>
      </c>
      <c r="B5368" s="25" t="s">
        <v>18567</v>
      </c>
      <c r="C5368" s="26" t="str">
        <f>HYPERLINK("https://audio.iskcondesiretree.com/02_-_ISKCON_Swamis/ISKCON_Swamis_-_R_to_Y/His_Holiness_Radhanath_Swami/Lectures/03_-_From_devotees/RNS_08-08-22_Real_foundation_of_the_temple_-_Seattle.mp3", "RNS_08-08-22_Real_foundation_of_the_temple_-_Seattle.mp3")</f>
        <v>RNS_08-08-22_Real_foundation_of_the_temple_-_Seattle.mp3</v>
      </c>
      <c r="D5368" s="24"/>
      <c r="E5368" s="24"/>
    </row>
    <row r="5369">
      <c r="A5369" s="25" t="s">
        <v>18545</v>
      </c>
      <c r="B5369" s="25" t="s">
        <v>18568</v>
      </c>
      <c r="C5369" s="26" t="str">
        <f>HYPERLINK("https://audio.iskcondesiretree.com/02_-_ISKCON_Swamis/ISKCON_Swamis_-_R_to_Y/His_Holiness_Radhanath_Swami/Lectures/03_-_From_devotees/RNS_08-08-23_Krsnas_birth_pastime_-_Seattle.mp3", "RNS_08-08-23_Krsnas_birth_pastime_-_Seattle.mp3")</f>
        <v>RNS_08-08-23_Krsnas_birth_pastime_-_Seattle.mp3</v>
      </c>
      <c r="D5369" s="24"/>
      <c r="E5369" s="24"/>
    </row>
    <row r="5370">
      <c r="A5370" s="25" t="s">
        <v>18545</v>
      </c>
      <c r="B5370" s="25" t="s">
        <v>18569</v>
      </c>
      <c r="C5370" s="26" t="str">
        <f>HYPERLINK("https://audio.iskcondesiretree.com/02_-_ISKCON_Swamis/ISKCON_Swamis_-_R_to_Y/His_Holiness_Radhanath_Swami/Lectures/03_-_From_devotees/RNS_08-08-24_Offering_of_love_-_Seattle.mp3", "RNS_08-08-24_Offering_of_love_-_Seattle.mp3")</f>
        <v>RNS_08-08-24_Offering_of_love_-_Seattle.mp3</v>
      </c>
      <c r="D5370" s="24"/>
      <c r="E5370" s="24"/>
    </row>
    <row r="5371">
      <c r="A5371" s="25" t="s">
        <v>18545</v>
      </c>
      <c r="B5371" s="25" t="s">
        <v>18570</v>
      </c>
      <c r="C5371" s="26" t="str">
        <f>HYPERLINK("https://audio.iskcondesiretree.com/02_-_ISKCON_Swamis/ISKCON_Swamis_-_R_to_Y/His_Holiness_Radhanath_Swami/Lectures/03_-_From_devotees/RNS_08-08-24_Srila_Prabhupada_Vyasa_Puja_Offering_-_Seattle.mp3", "RNS_08-08-24_Srila_Prabhupada_Vyasa_Puja_Offering_-_Seattle.mp3")</f>
        <v>RNS_08-08-24_Srila_Prabhupada_Vyasa_Puja_Offering_-_Seattle.mp3</v>
      </c>
      <c r="D5371" s="24"/>
      <c r="E5371" s="24"/>
    </row>
    <row r="5372">
      <c r="A5372" s="25" t="s">
        <v>18545</v>
      </c>
      <c r="B5372" s="25" t="s">
        <v>18571</v>
      </c>
      <c r="C5372" s="26" t="str">
        <f>HYPERLINK("https://audio.iskcondesiretree.com/02_-_ISKCON_Swamis/ISKCON_Swamis_-_R_to_Y/His_Holiness_Radhanath_Swami/Lectures/03_-_From_devotees/RNS_Arrival_address_-_07-10-05.mp3", "RNS_Arrival_address_-_07-10-05.mp3")</f>
        <v>RNS_Arrival_address_-_07-10-05.mp3</v>
      </c>
      <c r="D5372" s="24"/>
      <c r="E5372" s="24"/>
    </row>
    <row r="5373">
      <c r="A5373" s="25" t="s">
        <v>18545</v>
      </c>
      <c r="B5373" s="25" t="s">
        <v>18572</v>
      </c>
      <c r="C5373" s="26" t="str">
        <f>HYPERLINK("https://audio.iskcondesiretree.com/02_-_ISKCON_Swamis/ISKCON_Swamis_-_R_to_Y/His_Holiness_Radhanath_Swami/Lectures/03_-_From_devotees/RNS_Balarama_Appearance_-_Evening_Lecture_-_07-08-28_Alachua_Temple.mp3", "RNS_Balarama_Appearance_-_Evening_Lecture_-_07-08-28_Alachua_Temple.mp3")</f>
        <v>RNS_Balarama_Appearance_-_Evening_Lecture_-_07-08-28_Alachua_Temple.mp3</v>
      </c>
      <c r="D5373" s="24"/>
      <c r="E5373" s="24"/>
    </row>
    <row r="5374">
      <c r="A5374" s="25" t="s">
        <v>18545</v>
      </c>
      <c r="B5374" s="25" t="s">
        <v>18573</v>
      </c>
      <c r="C5374" s="26" t="str">
        <f>HYPERLINK("https://audio.iskcondesiretree.com/02_-_ISKCON_Swamis/ISKCON_Swamis_-_R_to_Y/His_Holiness_Radhanath_Swami/Lectures/03_-_From_devotees/RNS_Balarama_Appearance_-_Morning_Lecture_-_07-08-28_Alachua_Temple.mp3", "RNS_Balarama_Appearance_-_Morning_Lecture_-_07-08-28_Alachua_Temple.mp3")</f>
        <v>RNS_Balarama_Appearance_-_Morning_Lecture_-_07-08-28_Alachua_Temple.mp3</v>
      </c>
      <c r="D5374" s="24"/>
      <c r="E5374" s="24"/>
    </row>
    <row r="5375">
      <c r="A5375" s="25" t="s">
        <v>18545</v>
      </c>
      <c r="B5375" s="25" t="s">
        <v>18574</v>
      </c>
      <c r="C5375" s="26" t="str">
        <f>HYPERLINK("https://audio.iskcondesiretree.com/02_-_ISKCON_Swamis/ISKCON_Swamis_-_R_to_Y/His_Holiness_Radhanath_Swami/Lectures/03_-_From_devotees/RNS_CC_Caitanya_Lila_-_07-07-28_Los_Angeles.mp3", "RNS_CC_Caitanya_Lila_-_07-07-28_Los_Angeles.mp3")</f>
        <v>RNS_CC_Caitanya_Lila_-_07-07-28_Los_Angeles.mp3</v>
      </c>
      <c r="D5375" s="24"/>
      <c r="E5375" s="24"/>
    </row>
    <row r="5376">
      <c r="A5376" s="25" t="s">
        <v>18545</v>
      </c>
      <c r="B5376" s="25" t="s">
        <v>18575</v>
      </c>
      <c r="C5376" s="26" t="str">
        <f>HYPERLINK("https://audio.iskcondesiretree.com/02_-_ISKCON_Swamis/ISKCON_Swamis_-_R_to_Y/His_Holiness_Radhanath_Swami/Lectures/03_-_From_devotees/RNS_CC_Reading_-_04-07-20_Los_Angeles.mp3", "RNS_CC_Reading_-_04-07-20_Los_Angeles.mp3")</f>
        <v>RNS_CC_Reading_-_04-07-20_Los_Angeles.mp3</v>
      </c>
      <c r="D5376" s="24"/>
      <c r="E5376" s="24"/>
    </row>
    <row r="5377">
      <c r="A5377" s="25" t="s">
        <v>18545</v>
      </c>
      <c r="B5377" s="25" t="s">
        <v>18576</v>
      </c>
      <c r="C5377" s="26" t="str">
        <f>HYPERLINK("https://audio.iskcondesiretree.com/02_-_ISKCON_Swamis/ISKCON_Swamis_-_R_to_Y/His_Holiness_Radhanath_Swami/Lectures/03_-_From_devotees/RNS_CC_Reading_-_04-07-21_Los_Angeles.mp3", "RNS_CC_Reading_-_04-07-21_Los_Angeles.mp3")</f>
        <v>RNS_CC_Reading_-_04-07-21_Los_Angeles.mp3</v>
      </c>
      <c r="D5377" s="24"/>
      <c r="E5377" s="24"/>
    </row>
    <row r="5378">
      <c r="A5378" s="25" t="s">
        <v>18545</v>
      </c>
      <c r="B5378" s="25" t="s">
        <v>18577</v>
      </c>
      <c r="C5378" s="26" t="str">
        <f>HYPERLINK("https://audio.iskcondesiretree.com/02_-_ISKCON_Swamis/ISKCON_Swamis_-_R_to_Y/His_Holiness_Radhanath_Swami/Lectures/03_-_From_devotees/RNS_CC_Reading_-_04-07-23_Los_Angeles.mp3", "RNS_CC_Reading_-_04-07-23_Los_Angeles.mp3")</f>
        <v>RNS_CC_Reading_-_04-07-23_Los_Angeles.mp3</v>
      </c>
      <c r="D5378" s="24"/>
      <c r="E5378" s="24"/>
    </row>
    <row r="5379">
      <c r="A5379" s="25" t="s">
        <v>18545</v>
      </c>
      <c r="B5379" s="25" t="s">
        <v>18578</v>
      </c>
      <c r="C5379" s="26" t="str">
        <f>HYPERLINK("https://audio.iskcondesiretree.com/02_-_ISKCON_Swamis/ISKCON_Swamis_-_R_to_Y/His_Holiness_Radhanath_Swami/Lectures/03_-_From_devotees/RNS_CC_Reading_-_07-07-27_Los_Angeles.mp3", "RNS_CC_Reading_-_07-07-27_Los_Angeles.mp3")</f>
        <v>RNS_CC_Reading_-_07-07-27_Los_Angeles.mp3</v>
      </c>
      <c r="D5379" s="24"/>
      <c r="E5379" s="24"/>
    </row>
    <row r="5380">
      <c r="A5380" s="25" t="s">
        <v>18545</v>
      </c>
      <c r="B5380" s="25" t="s">
        <v>18579</v>
      </c>
      <c r="C5380" s="26" t="str">
        <f>HYPERLINK("https://audio.iskcondesiretree.com/02_-_ISKCON_Swamis/ISKCON_Swamis_-_R_to_Y/His_Holiness_Radhanath_Swami/Lectures/03_-_From_devotees/RNS_CC_Reading_-_07-07-29_Los_Angeles.mp3", "RNS_CC_Reading_-_07-07-29_Los_Angeles.mp3")</f>
        <v>RNS_CC_Reading_-_07-07-29_Los_Angeles.mp3</v>
      </c>
      <c r="D5380" s="24"/>
      <c r="E5380" s="24"/>
    </row>
    <row r="5381">
      <c r="A5381" s="25" t="s">
        <v>18545</v>
      </c>
      <c r="B5381" s="25" t="s">
        <v>18580</v>
      </c>
      <c r="C5381" s="26" t="str">
        <f>HYPERLINK("https://audio.iskcondesiretree.com/02_-_ISKCON_Swamis/ISKCON_Swamis_-_R_to_Y/His_Holiness_Radhanath_Swami/Lectures/03_-_From_devotees/RNS_Chicago_-_08-12-21.mp3", "RNS_Chicago_-_08-12-21.mp3")</f>
        <v>RNS_Chicago_-_08-12-21.mp3</v>
      </c>
      <c r="D5381" s="24"/>
      <c r="E5381" s="24"/>
    </row>
    <row r="5382">
      <c r="A5382" s="25" t="s">
        <v>18545</v>
      </c>
      <c r="B5382" s="25" t="s">
        <v>18581</v>
      </c>
      <c r="C5382" s="26" t="str">
        <f>HYPERLINK("https://audio.iskcondesiretree.com/02_-_ISKCON_Swamis/ISKCON_Swamis_-_R_to_Y/His_Holiness_Radhanath_Swami/Lectures/03_-_From_devotees/RNS_Festivals_-_Sacred_sounds_festivals_-_09-06-07.mp3", "RNS_Festivals_-_Sacred_sounds_festivals_-_09-06-07.mp3")</f>
        <v>RNS_Festivals_-_Sacred_sounds_festivals_-_09-06-07.mp3</v>
      </c>
      <c r="D5382" s="24"/>
      <c r="E5382" s="24"/>
    </row>
    <row r="5383">
      <c r="A5383" s="25" t="s">
        <v>18545</v>
      </c>
      <c r="B5383" s="25" t="s">
        <v>18582</v>
      </c>
      <c r="C5383" s="26" t="str">
        <f>HYPERLINK("https://audio.iskcondesiretree.com/02_-_ISKCON_Swamis/ISKCON_Swamis_-_R_to_Y/His_Holiness_Radhanath_Swami/Lectures/03_-_From_devotees/RNS_Initiations_-_03-11-30_Los_Angeles.mp3", "RNS_Initiations_-_03-11-30_Los_Angeles.mp3")</f>
        <v>RNS_Initiations_-_03-11-30_Los_Angeles.mp3</v>
      </c>
      <c r="D5383" s="24"/>
      <c r="E5383" s="24"/>
    </row>
    <row r="5384">
      <c r="A5384" s="25" t="s">
        <v>18545</v>
      </c>
      <c r="B5384" s="25" t="s">
        <v>18583</v>
      </c>
      <c r="C5384" s="26" t="str">
        <f>HYPERLINK("https://audio.iskcondesiretree.com/02_-_ISKCON_Swamis/ISKCON_Swamis_-_R_to_Y/His_Holiness_Radhanath_Swami/Lectures/03_-_From_devotees/RNS_Initiations_-_04-07-19_Los_Angeles.mp3", "RNS_Initiations_-_04-07-19_Los_Angeles.mp3")</f>
        <v>RNS_Initiations_-_04-07-19_Los_Angeles.mp3</v>
      </c>
      <c r="D5384" s="24"/>
      <c r="E5384" s="24"/>
    </row>
    <row r="5385">
      <c r="A5385" s="25" t="s">
        <v>18545</v>
      </c>
      <c r="B5385" s="25" t="s">
        <v>18584</v>
      </c>
      <c r="C5385" s="26" t="str">
        <f>HYPERLINK("https://audio.iskcondesiretree.com/02_-_ISKCON_Swamis/ISKCON_Swamis_-_R_to_Y/His_Holiness_Radhanath_Swami/Lectures/03_-_From_devotees/RNS_PR_From_Ritual_To_Spiritual_-_08-02-09.mp3", "RNS_PR_From_Ritual_To_Spiritual_-_08-02-09.mp3")</f>
        <v>RNS_PR_From_Ritual_To_Spiritual_-_08-02-09.mp3</v>
      </c>
      <c r="D5385" s="24"/>
      <c r="E5385" s="24"/>
    </row>
    <row r="5386">
      <c r="A5386" s="25" t="s">
        <v>18545</v>
      </c>
      <c r="B5386" s="25" t="s">
        <v>18585</v>
      </c>
      <c r="C5386" s="26" t="str">
        <f>HYPERLINK("https://audio.iskcondesiretree.com/02_-_ISKCON_Swamis/ISKCON_Swamis_-_R_to_Y/His_Holiness_Radhanath_Swami/Lectures/03_-_From_devotees/RNS_Prerna_Being_A_True_Friend_08-04-22.mp3", "RNS_Prerna_Being_A_True_Friend_08-04-22.mp3")</f>
        <v>RNS_Prerna_Being_A_True_Friend_08-04-22.mp3</v>
      </c>
      <c r="D5386" s="24"/>
      <c r="E5386" s="24"/>
    </row>
    <row r="5387">
      <c r="A5387" s="25" t="s">
        <v>18545</v>
      </c>
      <c r="B5387" s="25" t="s">
        <v>18586</v>
      </c>
      <c r="C5387" s="26" t="str">
        <f>HYPERLINK("https://audio.iskcondesiretree.com/02_-_ISKCON_Swamis/ISKCON_Swamis_-_R_to_Y/His_Holiness_Radhanath_Swami/Lectures/03_-_From_devotees/RNS_Ram_Navami_-_Exemplary_Character_Of_Lord_Ramchandra_-_08-04-14_Juhu.mp3", "RNS_Ram_Navami_-_Exemplary_Character_Of_Lord_Ramchandra_-_08-04-14_Juhu.mp3")</f>
        <v>RNS_Ram_Navami_-_Exemplary_Character_Of_Lord_Ramchandra_-_08-04-14_Juhu.mp3</v>
      </c>
      <c r="D5387" s="24"/>
      <c r="E5387" s="24"/>
    </row>
    <row r="5388">
      <c r="A5388" s="25" t="s">
        <v>18545</v>
      </c>
      <c r="B5388" s="25" t="s">
        <v>18587</v>
      </c>
      <c r="C5388" s="26" t="str">
        <f>HYPERLINK("https://audio.iskcondesiretree.com/02_-_ISKCON_Swamis/ISKCON_Swamis_-_R_to_Y/His_Holiness_Radhanath_Swami/Lectures/03_-_From_devotees/RNS_Ram_Navami_-_Lord_Rama_Ehibits_Ideal_Behaviour_For_Humanity_-_08-04-14.mp3", "RNS_Ram_Navami_-_Lord_Rama_Ehibits_Ideal_Behaviour_For_Humanity_-_08-04-14.mp3")</f>
        <v>RNS_Ram_Navami_-_Lord_Rama_Ehibits_Ideal_Behaviour_For_Humanity_-_08-04-14.mp3</v>
      </c>
      <c r="D5388" s="24"/>
      <c r="E5388" s="24"/>
    </row>
    <row r="5389">
      <c r="A5389" s="25" t="s">
        <v>18545</v>
      </c>
      <c r="B5389" s="25" t="s">
        <v>18588</v>
      </c>
      <c r="C5389" s="26" t="str">
        <f>HYPERLINK("https://audio.iskcondesiretree.com/02_-_ISKCON_Swamis/ISKCON_Swamis_-_R_to_Y/His_Holiness_Radhanath_Swami/Lectures/03_-_From_devotees/RNS_Saving_India%27s_Future_Generations_-_Gopal%27s_Fun_Sch_Annual_Day_-_07-12-16.mp3", "RNS_Saving_India%27s_Future_Generations_-_Gopal%27s_Fun_Sch_Annual_Day_-_07-12-16.mp3")</f>
        <v>RNS_Saving_India%27s_Future_Generations_-_Gopal%27s_Fun_Sch_Annual_Day_-_07-12-16.mp3</v>
      </c>
      <c r="D5389" s="24"/>
      <c r="E5389" s="24"/>
    </row>
    <row r="5390">
      <c r="A5390" s="25" t="s">
        <v>18545</v>
      </c>
      <c r="B5390" s="25" t="s">
        <v>18589</v>
      </c>
      <c r="C5390" s="26" t="str">
        <f>HYPERLINK("https://audio.iskcondesiretree.com/02_-_ISKCON_Swamis/ISKCON_Swamis_-_R_to_Y/His_Holiness_Radhanath_Swami/Lectures/03_-_From_devotees/RNS_SB_03-15-39_-_02-12-22_Los_Angeles.mp3", "RNS_SB_03-15-39_-_02-12-22_Los_Angeles.mp3")</f>
        <v>RNS_SB_03-15-39_-_02-12-22_Los_Angeles.mp3</v>
      </c>
      <c r="D5390" s="24"/>
      <c r="E5390" s="24"/>
    </row>
    <row r="5391">
      <c r="A5391" s="25" t="s">
        <v>18545</v>
      </c>
      <c r="B5391" s="25" t="s">
        <v>18590</v>
      </c>
      <c r="C5391" s="26" t="str">
        <f>HYPERLINK("https://audio.iskcondesiretree.com/02_-_ISKCON_Swamis/ISKCON_Swamis_-_R_to_Y/His_Holiness_Radhanath_Swami/Lectures/03_-_From_devotees/RNS_SB_03-24-40_-_03-11-26_Los_Angeles.mp3", "RNS_SB_03-24-40_-_03-11-26_Los_Angeles.mp3")</f>
        <v>RNS_SB_03-24-40_-_03-11-26_Los_Angeles.mp3</v>
      </c>
      <c r="D5391" s="24"/>
      <c r="E5391" s="24"/>
    </row>
    <row r="5392">
      <c r="A5392" s="25" t="s">
        <v>18545</v>
      </c>
      <c r="B5392" s="25" t="s">
        <v>18591</v>
      </c>
      <c r="C5392" s="26" t="str">
        <f>HYPERLINK("https://audio.iskcondesiretree.com/02_-_ISKCON_Swamis/ISKCON_Swamis_-_R_to_Y/His_Holiness_Radhanath_Swami/Lectures/03_-_From_devotees/RNS_SB_03-24-41_-_03-11-27_Los_Angeles.mp3", "RNS_SB_03-24-41_-_03-11-27_Los_Angeles.mp3")</f>
        <v>RNS_SB_03-24-41_-_03-11-27_Los_Angeles.mp3</v>
      </c>
      <c r="D5392" s="24"/>
      <c r="E5392" s="24"/>
    </row>
    <row r="5393">
      <c r="A5393" s="25" t="s">
        <v>18545</v>
      </c>
      <c r="B5393" s="25" t="s">
        <v>18592</v>
      </c>
      <c r="C5393" s="26" t="str">
        <f>HYPERLINK("https://audio.iskcondesiretree.com/02_-_ISKCON_Swamis/ISKCON_Swamis_-_R_to_Y/His_Holiness_Radhanath_Swami/Lectures/03_-_From_devotees/RNS_SB_03-24-42_-_03-11-28_Los_Angeles.mp3", "RNS_SB_03-24-42_-_03-11-28_Los_Angeles.mp3")</f>
        <v>RNS_SB_03-24-42_-_03-11-28_Los_Angeles.mp3</v>
      </c>
      <c r="D5393" s="24"/>
      <c r="E5393" s="24"/>
    </row>
    <row r="5394">
      <c r="A5394" s="25" t="s">
        <v>18545</v>
      </c>
      <c r="B5394" s="25" t="s">
        <v>18593</v>
      </c>
      <c r="C5394" s="26" t="str">
        <f>HYPERLINK("https://audio.iskcondesiretree.com/02_-_ISKCON_Swamis/ISKCON_Swamis_-_R_to_Y/His_Holiness_Radhanath_Swami/Lectures/03_-_From_devotees/RNS_SB_03-24-43_-_03-11-29_Los_Angeles.mp3", "RNS_SB_03-24-43_-_03-11-29_Los_Angeles.mp3")</f>
        <v>RNS_SB_03-24-43_-_03-11-29_Los_Angeles.mp3</v>
      </c>
      <c r="D5394" s="24"/>
      <c r="E5394" s="24"/>
    </row>
    <row r="5395">
      <c r="A5395" s="25" t="s">
        <v>18545</v>
      </c>
      <c r="B5395" s="25" t="s">
        <v>18594</v>
      </c>
      <c r="C5395" s="26" t="str">
        <f>HYPERLINK("https://audio.iskcondesiretree.com/02_-_ISKCON_Swamis/ISKCON_Swamis_-_R_to_Y/His_Holiness_Radhanath_Swami/Lectures/03_-_From_devotees/RNS_SB_03-24-44_-_03-12-01_Los_Angeles.mp3", "RNS_SB_03-24-44_-_03-12-01_Los_Angeles.mp3")</f>
        <v>RNS_SB_03-24-44_-_03-12-01_Los_Angeles.mp3</v>
      </c>
      <c r="D5395" s="24"/>
      <c r="E5395" s="24"/>
    </row>
    <row r="5396">
      <c r="A5396" s="25" t="s">
        <v>18545</v>
      </c>
      <c r="B5396" s="25" t="s">
        <v>18595</v>
      </c>
      <c r="C5396" s="26" t="str">
        <f>HYPERLINK("https://audio.iskcondesiretree.com/02_-_ISKCON_Swamis/ISKCON_Swamis_-_R_to_Y/His_Holiness_Radhanath_Swami/Lectures/03_-_From_devotees/RNS_SB_03-29-15_-_04-07-17_Los_Angeles.mp3", "RNS_SB_03-29-15_-_04-07-17_Los_Angeles.mp3")</f>
        <v>RNS_SB_03-29-15_-_04-07-17_Los_Angeles.mp3</v>
      </c>
      <c r="D5396" s="24"/>
      <c r="E5396" s="24"/>
    </row>
    <row r="5397">
      <c r="A5397" s="25" t="s">
        <v>18545</v>
      </c>
      <c r="B5397" s="25" t="s">
        <v>18596</v>
      </c>
      <c r="C5397" s="26" t="str">
        <f>HYPERLINK("https://audio.iskcondesiretree.com/02_-_ISKCON_Swamis/ISKCON_Swamis_-_R_to_Y/His_Holiness_Radhanath_Swami/Lectures/03_-_From_devotees/RNS_SB_04-06-37_-_05-07-14_Los_Angeles.mp3", "RNS_SB_04-06-37_-_05-07-14_Los_Angeles.mp3")</f>
        <v>RNS_SB_04-06-37_-_05-07-14_Los_Angeles.mp3</v>
      </c>
      <c r="D5397" s="24"/>
      <c r="E5397" s="24"/>
    </row>
    <row r="5398">
      <c r="A5398" s="25" t="s">
        <v>18545</v>
      </c>
      <c r="B5398" s="25" t="s">
        <v>18597</v>
      </c>
      <c r="C5398" s="26" t="str">
        <f>HYPERLINK("https://audio.iskcondesiretree.com/02_-_ISKCON_Swamis/ISKCON_Swamis_-_R_to_Y/His_Holiness_Radhanath_Swami/Lectures/03_-_From_devotees/RNS_SB_04-06-41_-_05-07-17_Los_Angeles.mp3", "RNS_SB_04-06-41_-_05-07-17_Los_Angeles.mp3")</f>
        <v>RNS_SB_04-06-41_-_05-07-17_Los_Angeles.mp3</v>
      </c>
      <c r="D5398" s="24"/>
      <c r="E5398" s="24"/>
    </row>
    <row r="5399">
      <c r="A5399" s="25" t="s">
        <v>18545</v>
      </c>
      <c r="B5399" s="25" t="s">
        <v>18598</v>
      </c>
      <c r="C5399" s="26" t="str">
        <f>HYPERLINK("https://audio.iskcondesiretree.com/02_-_ISKCON_Swamis/ISKCON_Swamis_-_R_to_Y/His_Holiness_Radhanath_Swami/Lectures/03_-_From_devotees/RNS_SB_04-06-42_-_05-07-20_Los_Angeles.mp3", "RNS_SB_04-06-42_-_05-07-20_Los_Angeles.mp3")</f>
        <v>RNS_SB_04-06-42_-_05-07-20_Los_Angeles.mp3</v>
      </c>
      <c r="D5399" s="24"/>
      <c r="E5399" s="24"/>
    </row>
    <row r="5400">
      <c r="A5400" s="25" t="s">
        <v>18545</v>
      </c>
      <c r="B5400" s="25" t="s">
        <v>18599</v>
      </c>
      <c r="C5400" s="26" t="str">
        <f>HYPERLINK("https://audio.iskcondesiretree.com/02_-_ISKCON_Swamis/ISKCON_Swamis_-_R_to_Y/His_Holiness_Radhanath_Swami/Lectures/03_-_From_devotees/RNS_SB_04-06-44_-_05-07-22_Los_Angeles.mp3", "RNS_SB_04-06-44_-_05-07-22_Los_Angeles.mp3")</f>
        <v>RNS_SB_04-06-44_-_05-07-22_Los_Angeles.mp3</v>
      </c>
      <c r="D5400" s="24"/>
      <c r="E5400" s="24"/>
    </row>
    <row r="5401">
      <c r="A5401" s="25" t="s">
        <v>18545</v>
      </c>
      <c r="B5401" s="25" t="s">
        <v>18600</v>
      </c>
      <c r="C5401" s="26" t="str">
        <f>HYPERLINK("https://audio.iskcondesiretree.com/02_-_ISKCON_Swamis/ISKCON_Swamis_-_R_to_Y/His_Holiness_Radhanath_Swami/Lectures/03_-_From_devotees/RNS_SB_04-18-03_-_06-11-14_Los_Angeles.mp3", "RNS_SB_04-18-03_-_06-11-14_Los_Angeles.mp3")</f>
        <v>RNS_SB_04-18-03_-_06-11-14_Los_Angeles.mp3</v>
      </c>
      <c r="D5401" s="24"/>
      <c r="E5401" s="24"/>
    </row>
    <row r="5402">
      <c r="A5402" s="25" t="s">
        <v>18545</v>
      </c>
      <c r="B5402" s="25" t="s">
        <v>18601</v>
      </c>
      <c r="C5402" s="26" t="str">
        <f>HYPERLINK("https://audio.iskcondesiretree.com/02_-_ISKCON_Swamis/ISKCON_Swamis_-_R_to_Y/His_Holiness_Radhanath_Swami/Lectures/03_-_From_devotees/RNS_SB_04-18-04_-_06-11-15_Los_Angeles.mp3", "RNS_SB_04-18-04_-_06-11-15_Los_Angeles.mp3")</f>
        <v>RNS_SB_04-18-04_-_06-11-15_Los_Angeles.mp3</v>
      </c>
      <c r="D5402" s="24"/>
      <c r="E5402" s="24"/>
    </row>
    <row r="5403">
      <c r="A5403" s="25" t="s">
        <v>18545</v>
      </c>
      <c r="B5403" s="25" t="s">
        <v>18602</v>
      </c>
      <c r="C5403" s="26" t="str">
        <f>HYPERLINK("https://audio.iskcondesiretree.com/02_-_ISKCON_Swamis/ISKCON_Swamis_-_R_to_Y/His_Holiness_Radhanath_Swami/Lectures/03_-_From_devotees/RNS_SB_06-19-18_Sincere_Husband_And_Chaste_Wife_Advance_Together_-_07-10-13.mp3", "RNS_SB_06-19-18_Sincere_Husband_And_Chaste_Wife_Advance_Together_-_07-10-13.mp3")</f>
        <v>RNS_SB_06-19-18_Sincere_Husband_And_Chaste_Wife_Advance_Together_-_07-10-13.mp3</v>
      </c>
      <c r="D5403" s="24"/>
      <c r="E5403" s="24"/>
    </row>
    <row r="5404">
      <c r="A5404" s="25" t="s">
        <v>18545</v>
      </c>
      <c r="B5404" s="25" t="s">
        <v>18603</v>
      </c>
      <c r="C5404" s="26" t="str">
        <f>HYPERLINK("https://audio.iskcondesiretree.com/02_-_ISKCON_Swamis/ISKCON_Swamis_-_R_to_Y/His_Holiness_Radhanath_Swami/Lectures/03_-_From_devotees/RNS_SB_07-01-44-46_Hate_The_Sin_But_Love_The_Sinner_-_07-11-25.mp3", "RNS_SB_07-01-44-46_Hate_The_Sin_But_Love_The_Sinner_-_07-11-25.mp3")</f>
        <v>RNS_SB_07-01-44-46_Hate_The_Sin_But_Love_The_Sinner_-_07-11-25.mp3</v>
      </c>
      <c r="D5404" s="24"/>
      <c r="E5404" s="24"/>
    </row>
    <row r="5405">
      <c r="A5405" s="25" t="s">
        <v>18545</v>
      </c>
      <c r="B5405" s="25" t="s">
        <v>18604</v>
      </c>
      <c r="C5405" s="26" t="str">
        <f>HYPERLINK("https://audio.iskcondesiretree.com/02_-_ISKCON_Swamis/ISKCON_Swamis_-_R_to_Y/His_Holiness_Radhanath_Swami/Lectures/03_-_From_devotees/RNS_SB_07-02-14_Taking_Care_Of_Details_-_07-12-09.mp3", "RNS_SB_07-02-14_Taking_Care_Of_Details_-_07-12-09.mp3")</f>
        <v>RNS_SB_07-02-14_Taking_Care_Of_Details_-_07-12-09.mp3</v>
      </c>
      <c r="D5405" s="24"/>
      <c r="E5405" s="24"/>
    </row>
    <row r="5406">
      <c r="A5406" s="25" t="s">
        <v>18545</v>
      </c>
      <c r="B5406" s="25" t="s">
        <v>18605</v>
      </c>
      <c r="C5406" s="26" t="str">
        <f>HYPERLINK("https://audio.iskcondesiretree.com/02_-_ISKCON_Swamis/ISKCON_Swamis_-_R_to_Y/His_Holiness_Radhanath_Swami/Lectures/03_-_From_devotees/RNS_SB_07-02-23_Krishna_sees_the_purpose_-_07-12-14.mp3", "RNS_SB_07-02-23_Krishna_sees_the_purpose_-_07-12-14.mp3")</f>
        <v>RNS_SB_07-02-23_Krishna_sees_the_purpose_-_07-12-14.mp3</v>
      </c>
      <c r="D5406" s="24"/>
      <c r="E5406" s="24"/>
    </row>
    <row r="5407">
      <c r="A5407" s="25" t="s">
        <v>18545</v>
      </c>
      <c r="B5407" s="25" t="s">
        <v>18606</v>
      </c>
      <c r="C5407" s="26" t="str">
        <f>HYPERLINK("https://audio.iskcondesiretree.com/02_-_ISKCON_Swamis/ISKCON_Swamis_-_R_to_Y/His_Holiness_Radhanath_Swami/Lectures/03_-_From_devotees/RNS_SB_07-04-33_Who_Is_A_Vaisnava_-_08-03-08.mp3", "RNS_SB_07-04-33_Who_Is_A_Vaisnava_-_08-03-08.mp3")</f>
        <v>RNS_SB_07-04-33_Who_Is_A_Vaisnava_-_08-03-08.mp3</v>
      </c>
      <c r="D5407" s="24"/>
      <c r="E5407" s="24"/>
    </row>
    <row r="5408">
      <c r="A5408" s="25" t="s">
        <v>18545</v>
      </c>
      <c r="B5408" s="25" t="s">
        <v>18607</v>
      </c>
      <c r="C5408" s="26" t="str">
        <f>HYPERLINK("https://audio.iskcondesiretree.com/02_-_ISKCON_Swamis/ISKCON_Swamis_-_R_to_Y/His_Holiness_Radhanath_Swami/Lectures/03_-_From_devotees/RNS_SB_07-04-34_Antidote_Of_Envy_Is_Appreciation_-_08-03-09.mp3", "RNS_SB_07-04-34_Antidote_Of_Envy_Is_Appreciation_-_08-03-09.mp3")</f>
        <v>RNS_SB_07-04-34_Antidote_Of_Envy_Is_Appreciation_-_08-03-09.mp3</v>
      </c>
      <c r="D5408" s="24"/>
      <c r="E5408" s="24"/>
    </row>
    <row r="5409">
      <c r="A5409" s="25" t="s">
        <v>18545</v>
      </c>
      <c r="B5409" s="25" t="s">
        <v>18608</v>
      </c>
      <c r="C5409" s="26" t="str">
        <f>HYPERLINK("https://audio.iskcondesiretree.com/02_-_ISKCON_Swamis/ISKCON_Swamis_-_R_to_Y/His_Holiness_Radhanath_Swami/Lectures/03_-_From_devotees/RNS_SB_07-05-03_Devotees_Do_not_Create_Enemies_-_08-03-26.mp3", "RNS_SB_07-05-03_Devotees_Do_not_Create_Enemies_-_08-03-26.mp3")</f>
        <v>RNS_SB_07-05-03_Devotees_Do_not_Create_Enemies_-_08-03-26.mp3</v>
      </c>
      <c r="D5409" s="24"/>
      <c r="E5409" s="24"/>
    </row>
    <row r="5410">
      <c r="A5410" s="25" t="s">
        <v>18545</v>
      </c>
      <c r="B5410" s="25" t="s">
        <v>18609</v>
      </c>
      <c r="C5410" s="26" t="str">
        <f>HYPERLINK("https://audio.iskcondesiretree.com/02_-_ISKCON_Swamis/ISKCON_Swamis_-_R_to_Y/His_Holiness_Radhanath_Swami/Lectures/03_-_From_devotees/RNS_SB_07-06-11-13_-_07-08-27_Alachua_Temple.mp3", "RNS_SB_07-06-11-13_-_07-08-27_Alachua_Temple.mp3")</f>
        <v>RNS_SB_07-06-11-13_-_07-08-27_Alachua_Temple.mp3</v>
      </c>
      <c r="D5410" s="24"/>
      <c r="E5410" s="24"/>
    </row>
    <row r="5411">
      <c r="A5411" s="25" t="s">
        <v>18545</v>
      </c>
      <c r="B5411" s="25" t="s">
        <v>18610</v>
      </c>
      <c r="C5411" s="26" t="str">
        <f>HYPERLINK("https://audio.iskcondesiretree.com/02_-_ISKCON_Swamis/ISKCON_Swamis_-_R_to_Y/His_Holiness_Radhanath_Swami/Lectures/03_-_From_devotees/RNS_SB_07-06-14_-_07-08-29_Alachua_Temple.mp3", "RNS_SB_07-06-14_-_07-08-29_Alachua_Temple.mp3")</f>
        <v>RNS_SB_07-06-14_-_07-08-29_Alachua_Temple.mp3</v>
      </c>
      <c r="D5411" s="24"/>
      <c r="E5411" s="24"/>
    </row>
    <row r="5412">
      <c r="A5412" s="25" t="s">
        <v>18545</v>
      </c>
      <c r="B5412" s="25" t="s">
        <v>18611</v>
      </c>
      <c r="C5412" s="26" t="str">
        <f>HYPERLINK("https://audio.iskcondesiretree.com/02_-_ISKCON_Swamis/ISKCON_Swamis_-_R_to_Y/His_Holiness_Radhanath_Swami/Lectures/03_-_From_devotees/RNS_SB_08-08-12-14_-_09-06-09_Alachua_Temple.mp3", "RNS_SB_08-08-12-14_-_09-06-09_Alachua_Temple.mp3")</f>
        <v>RNS_SB_08-08-12-14_-_09-06-09_Alachua_Temple.mp3</v>
      </c>
      <c r="D5412" s="24"/>
      <c r="E5412" s="24"/>
    </row>
    <row r="5413">
      <c r="A5413" s="25" t="s">
        <v>18545</v>
      </c>
      <c r="B5413" s="25" t="s">
        <v>18612</v>
      </c>
      <c r="C5413" s="26" t="str">
        <f>HYPERLINK("https://audio.iskcondesiretree.com/02_-_ISKCON_Swamis/ISKCON_Swamis_-_R_to_Y/His_Holiness_Radhanath_Swami/Lectures/03_-_From_devotees/RNS_SB_08-08-15-19_-_09-06-10_Alachua_Temple.mp3", "RNS_SB_08-08-15-19_-_09-06-10_Alachua_Temple.mp3")</f>
        <v>RNS_SB_08-08-15-19_-_09-06-10_Alachua_Temple.mp3</v>
      </c>
      <c r="D5413" s="24"/>
      <c r="E5413" s="24"/>
    </row>
    <row r="5414">
      <c r="A5414" s="25" t="s">
        <v>18545</v>
      </c>
      <c r="B5414" s="25" t="s">
        <v>18613</v>
      </c>
      <c r="C5414" s="26" t="str">
        <f>HYPERLINK("https://audio.iskcondesiretree.com/02_-_ISKCON_Swamis/ISKCON_Swamis_-_R_to_Y/His_Holiness_Radhanath_Swami/Lectures/03_-_From_devotees/RNS_SB_09-04-47_-_07-05-18_London.mp3", "RNS_SB_09-04-47_-_07-05-18_London.mp3")</f>
        <v>RNS_SB_09-04-47_-_07-05-18_London.mp3</v>
      </c>
      <c r="D5414" s="24"/>
      <c r="E5414" s="24"/>
    </row>
    <row r="5415">
      <c r="A5415" s="25" t="s">
        <v>18545</v>
      </c>
      <c r="B5415" s="25" t="s">
        <v>18614</v>
      </c>
      <c r="C5415" s="26" t="str">
        <f>HYPERLINK("https://audio.iskcondesiretree.com/02_-_ISKCON_Swamis/ISKCON_Swamis_-_R_to_Y/His_Holiness_Radhanath_Swami/Lectures/03_-_From_devotees/RNS_Shelter_of_Krsna%27s_Love_-_KK_Temple_-_08-12-21.mp3", "RNS_Shelter_of_Krsna%27s_Love_-_KK_Temple_-_08-12-21.mp3")</f>
        <v>RNS_Shelter_of_Krsna%27s_Love_-_KK_Temple_-_08-12-21.mp3</v>
      </c>
      <c r="D5415" s="24"/>
      <c r="E5415" s="24"/>
    </row>
    <row r="5416">
      <c r="A5416" s="25" t="s">
        <v>18545</v>
      </c>
      <c r="B5416" s="25" t="s">
        <v>18615</v>
      </c>
      <c r="C5416" s="26" t="str">
        <f>HYPERLINK("https://audio.iskcondesiretree.com/02_-_ISKCON_Swamis/ISKCON_Swamis_-_R_to_Y/His_Holiness_Radhanath_Swami/Lectures/03_-_From_devotees/RNS_Sunday_Feast_-_03-11-30_Los_Angeles.mp3", "RNS_Sunday_Feast_-_03-11-30_Los_Angeles.mp3")</f>
        <v>RNS_Sunday_Feast_-_03-11-30_Los_Angeles.mp3</v>
      </c>
      <c r="D5416" s="24"/>
      <c r="E5416" s="24"/>
    </row>
    <row r="5417">
      <c r="A5417" s="25" t="s">
        <v>18545</v>
      </c>
      <c r="B5417" s="25" t="s">
        <v>18616</v>
      </c>
      <c r="C5417" s="26" t="str">
        <f>HYPERLINK("https://audio.iskcondesiretree.com/02_-_ISKCON_Swamis/ISKCON_Swamis_-_R_to_Y/His_Holiness_Radhanath_Swami/Lectures/03_-_From_devotees/RNS_Sunday_Feast_-_04-07-18_Los_Angeles.mp3", "RNS_Sunday_Feast_-_04-07-18_Los_Angeles.mp3")</f>
        <v>RNS_Sunday_Feast_-_04-07-18_Los_Angeles.mp3</v>
      </c>
      <c r="D5417" s="24"/>
      <c r="E5417" s="24"/>
    </row>
    <row r="5418">
      <c r="A5418" s="25" t="s">
        <v>18545</v>
      </c>
      <c r="B5418" s="25" t="s">
        <v>18617</v>
      </c>
      <c r="C5418" s="26" t="str">
        <f>HYPERLINK("https://audio.iskcondesiretree.com/02_-_ISKCON_Swamis/ISKCON_Swamis_-_R_to_Y/His_Holiness_Radhanath_Swami/Lectures/03_-_From_devotees/RNS_Sunday_Feast_-_Fortune_Of_A_Genuine_Beggar_-_08-03-23.mp3", "RNS_Sunday_Feast_-_Fortune_Of_A_Genuine_Beggar_-_08-03-23.mp3")</f>
        <v>RNS_Sunday_Feast_-_Fortune_Of_A_Genuine_Beggar_-_08-03-23.mp3</v>
      </c>
      <c r="D5418" s="24"/>
      <c r="E5418" s="24"/>
    </row>
    <row r="5419">
      <c r="A5419" s="25" t="s">
        <v>18545</v>
      </c>
      <c r="B5419" s="25" t="s">
        <v>18618</v>
      </c>
      <c r="C5419" s="26" t="str">
        <f>HYPERLINK("https://audio.iskcondesiretree.com/02_-_ISKCON_Swamis/ISKCON_Swamis_-_R_to_Y/His_Holiness_Radhanath_Swami/Lectures/03_-_From_devotees/RNS_Sunday_Feast_Lecture_-_07-08-26_Alachua_Temple.mp3", "RNS_Sunday_Feast_Lecture_-_07-08-26_Alachua_Temple.mp3")</f>
        <v>RNS_Sunday_Feast_Lecture_-_07-08-26_Alachua_Temple.mp3</v>
      </c>
      <c r="D5419" s="24"/>
      <c r="E5419" s="24"/>
    </row>
    <row r="5420">
      <c r="A5420" s="25" t="s">
        <v>18545</v>
      </c>
      <c r="B5420" s="25" t="s">
        <v>18619</v>
      </c>
      <c r="C5420" s="26" t="str">
        <f>HYPERLINK("https://audio.iskcondesiretree.com/02_-_ISKCON_Swamis/ISKCON_Swamis_-_R_to_Y/His_Holiness_Radhanath_Swami/Lectures/03_-_From_devotees/RNS_Various_-_Black_Lotus_Affair_SB_Class_-_05-24-2009.mp3", "RNS_Various_-_Black_Lotus_Affair_SB_Class_-_05-24-2009.mp3")</f>
        <v>RNS_Various_-_Black_Lotus_Affair_SB_Class_-_05-24-2009.mp3</v>
      </c>
      <c r="D5420" s="24"/>
      <c r="E5420" s="24"/>
    </row>
    <row r="5421">
      <c r="A5421" s="25" t="s">
        <v>18545</v>
      </c>
      <c r="B5421" s="25" t="s">
        <v>18620</v>
      </c>
      <c r="C5421" s="26" t="str">
        <f>HYPERLINK("https://audio.iskcondesiretree.com/02_-_ISKCON_Swamis/ISKCON_Swamis_-_R_to_Y/His_Holiness_Radhanath_Swami/Lectures/03_-_From_devotees/RNS_Various_-_Christmas_Lecture_-_06-12-24_London.mp3", "RNS_Various_-_Christmas_Lecture_-_06-12-24_London.mp3")</f>
        <v>RNS_Various_-_Christmas_Lecture_-_06-12-24_London.mp3</v>
      </c>
      <c r="D5421" s="24"/>
      <c r="E5421" s="24"/>
    </row>
    <row r="5422">
      <c r="A5422" s="25" t="s">
        <v>18545</v>
      </c>
      <c r="B5422" s="25" t="s">
        <v>18621</v>
      </c>
      <c r="C5422" s="26" t="str">
        <f>HYPERLINK("https://audio.iskcondesiretree.com/02_-_ISKCON_Swamis/ISKCON_Swamis_-_R_to_Y/His_Holiness_Radhanath_Swami/Lectures/03_-_From_devotees/RNS_Various_-_Evening_Class_-_09-06-08_Alachua_Temple.mp3", "RNS_Various_-_Evening_Class_-_09-06-08_Alachua_Temple.mp3")</f>
        <v>RNS_Various_-_Evening_Class_-_09-06-08_Alachua_Temple.mp3</v>
      </c>
      <c r="D5422" s="24"/>
      <c r="E5422" s="24"/>
    </row>
    <row r="5423">
      <c r="A5423" s="25" t="s">
        <v>18545</v>
      </c>
      <c r="B5423" s="25" t="s">
        <v>18622</v>
      </c>
      <c r="C5423" s="26" t="str">
        <f>HYPERLINK("https://audio.iskcondesiretree.com/02_-_ISKCON_Swamis/ISKCON_Swamis_-_R_to_Y/His_Holiness_Radhanath_Swami/Lectures/03_-_From_devotees/RNS_Various_-_Love_Is_Fundemental_-_Sacred_Sounds_-_09-06-06.mp3", "RNS_Various_-_Love_Is_Fundemental_-_Sacred_Sounds_-_09-06-06.mp3")</f>
        <v>RNS_Various_-_Love_Is_Fundemental_-_Sacred_Sounds_-_09-06-06.mp3</v>
      </c>
      <c r="D5423" s="24"/>
      <c r="E5423" s="24"/>
    </row>
    <row r="5424">
      <c r="A5424" s="25" t="s">
        <v>18545</v>
      </c>
      <c r="B5424" s="25" t="s">
        <v>18623</v>
      </c>
      <c r="C5424" s="26" t="str">
        <f>HYPERLINK("https://audio.iskcondesiretree.com/02_-_ISKCON_Swamis/ISKCON_Swamis_-_R_to_Y/His_Holiness_Radhanath_Swami/Lectures/03_-_From_devotees/RNS_Various_-_Malhotra_Home_-_09-06-05.mp3", "RNS_Various_-_Malhotra_Home_-_09-06-05.mp3")</f>
        <v>RNS_Various_-_Malhotra_Home_-_09-06-05.mp3</v>
      </c>
      <c r="D5424" s="24"/>
      <c r="E5424" s="24"/>
    </row>
    <row r="5425">
      <c r="A5425" s="25" t="s">
        <v>18545</v>
      </c>
      <c r="B5425" s="25" t="s">
        <v>18624</v>
      </c>
      <c r="C5425" s="26" t="str">
        <f>HYPERLINK("https://audio.iskcondesiretree.com/02_-_ISKCON_Swamis/ISKCON_Swamis_-_R_to_Y/His_Holiness_Radhanath_Swami/Lectures/03_-_From_devotees/RNS_Various_-_Sanatan_Goswami_And_The_Touch_stone_-_09-06-04_Radha_Madan_Mohan_Mandir.mp3", "RNS_Various_-_Sanatan_Goswami_And_The_Touch_stone_-_09-06-04_Radha_Madan_Mohan_Mandir.mp3")</f>
        <v>RNS_Various_-_Sanatan_Goswami_And_The_Touch_stone_-_09-06-04_Radha_Madan_Mohan_Mandir.mp3</v>
      </c>
      <c r="D5425" s="24"/>
      <c r="E5425" s="24"/>
    </row>
    <row r="5426">
      <c r="A5426" s="25" t="s">
        <v>18545</v>
      </c>
      <c r="B5426" s="25" t="s">
        <v>18625</v>
      </c>
      <c r="C5426" s="26" t="str">
        <f>HYPERLINK("https://audio.iskcondesiretree.com/02_-_ISKCON_Swamis/ISKCON_Swamis_-_R_to_Y/His_Holiness_Radhanath_Swami/Lectures/03_-_From_devotees/SB_-_Do_not_mistreat_anyone_-_2007-04-28_-_Radhanath_Swami.mp3", "SB_-_Do_not_mistreat_anyone_-_2007-04-28_-_Radhanath_Swami.mp3")</f>
        <v>SB_-_Do_not_mistreat_anyone_-_2007-04-28_-_Radhanath_Swami.mp3</v>
      </c>
      <c r="D5426" s="24"/>
      <c r="E5426" s="24"/>
    </row>
    <row r="5427">
      <c r="A5427" s="25" t="s">
        <v>18626</v>
      </c>
      <c r="B5427" s="25" t="s">
        <v>18627</v>
      </c>
      <c r="C5427" s="26" t="str">
        <f>HYPERLINK("https://audio.iskcondesiretree.com/02_-_ISKCON_Swamis/ISKCON_Swamis_-_R_to_Y/His_Holiness_Radhanath_Swami/Lectures/04_-_Brihad_Bhagavatamrata/RNS_-_An_Introduction_to_Bhagavatamrit_-_1999-12-29.mp3", "RNS_-_An_Introduction_to_Bhagavatamrit_-_1999-12-29.mp3")</f>
        <v>RNS_-_An_Introduction_to_Bhagavatamrit_-_1999-12-29.mp3</v>
      </c>
      <c r="D5427" s="24"/>
      <c r="E5427" s="24"/>
    </row>
    <row r="5428">
      <c r="A5428" s="25" t="s">
        <v>18626</v>
      </c>
      <c r="B5428" s="25" t="s">
        <v>18628</v>
      </c>
      <c r="C5428" s="26" t="str">
        <f>HYPERLINK("https://audio.iskcondesiretree.com/02_-_ISKCON_Swamis/ISKCON_Swamis_-_R_to_Y/His_Holiness_Radhanath_Swami/Lectures/04_-_Brihad_Bhagavatamrata/RNS_-_Narada_Muni%27s_Search_for_the_Greatest_Devotee_-_1999-12-29.mp3", "RNS_-_Narada_Muni%27s_Search_for_the_Greatest_Devotee_-_1999-12-29.mp3")</f>
        <v>RNS_-_Narada_Muni%27s_Search_for_the_Greatest_Devotee_-_1999-12-29.mp3</v>
      </c>
      <c r="D5428" s="24"/>
      <c r="E5428" s="24"/>
    </row>
    <row r="5429">
      <c r="A5429" s="25" t="s">
        <v>18626</v>
      </c>
      <c r="B5429" s="25" t="s">
        <v>18629</v>
      </c>
      <c r="C5429" s="26" t="str">
        <f>HYPERLINK("https://audio.iskcondesiretree.com/02_-_ISKCON_Swamis/ISKCON_Swamis_-_R_to_Y/His_Holiness_Radhanath_Swami/Lectures/04_-_Brihad_Bhagavatamrata/RNS_-_Narada_Muni_Meets_Hanuman_-_1999-12-30.mp3", "RNS_-_Narada_Muni_Meets_Hanuman_-_1999-12-30.mp3")</f>
        <v>RNS_-_Narada_Muni_Meets_Hanuman_-_1999-12-30.mp3</v>
      </c>
      <c r="D5429" s="24"/>
      <c r="E5429" s="24"/>
    </row>
    <row r="5430">
      <c r="A5430" s="25" t="s">
        <v>18626</v>
      </c>
      <c r="B5430" s="25" t="s">
        <v>18630</v>
      </c>
      <c r="C5430" s="26" t="str">
        <f>HYPERLINK("https://audio.iskcondesiretree.com/02_-_ISKCON_Swamis/ISKCON_Swamis_-_R_to_Y/His_Holiness_Radhanath_Swami/Lectures/04_-_Brihad_Bhagavatamrata/RNS_-_Narada_Muni_Meets_Prahlad_Maharaja_-_1999-12-30.mp3", "RNS_-_Narada_Muni_Meets_Prahlad_Maharaja_-_1999-12-30.mp3")</f>
        <v>RNS_-_Narada_Muni_Meets_Prahlad_Maharaja_-_1999-12-30.mp3</v>
      </c>
      <c r="D5430" s="24"/>
      <c r="E5430" s="24"/>
    </row>
    <row r="5431">
      <c r="A5431" s="25" t="s">
        <v>18626</v>
      </c>
      <c r="B5431" s="25" t="s">
        <v>18631</v>
      </c>
      <c r="C5431" s="26" t="str">
        <f>HYPERLINK("https://audio.iskcondesiretree.com/02_-_ISKCON_Swamis/ISKCON_Swamis_-_R_to_Y/His_Holiness_Radhanath_Swami/Lectures/04_-_Brihad_Bhagavatamrata/RNS_-_Narada_Muni_Meets_the_King_and_Indra_-_1999-12-29.mp3", "RNS_-_Narada_Muni_Meets_the_King_and_Indra_-_1999-12-29.mp3")</f>
        <v>RNS_-_Narada_Muni_Meets_the_King_and_Indra_-_1999-12-29.mp3</v>
      </c>
      <c r="D5431" s="24"/>
      <c r="E5431" s="24"/>
    </row>
    <row r="5432">
      <c r="A5432" s="25" t="s">
        <v>18626</v>
      </c>
      <c r="B5432" s="25" t="s">
        <v>18632</v>
      </c>
      <c r="C5432" s="26" t="str">
        <f>HYPERLINK("https://audio.iskcondesiretree.com/02_-_ISKCON_Swamis/ISKCON_Swamis_-_R_to_Y/His_Holiness_Radhanath_Swami/Lectures/04_-_Brihad_Bhagavatamrata/RNS_-_Narada_Muni_Meets_the_Yadus_Uddhava_and_the_Queens_of_Dwarka_-_1999-12-31.mp3", "RNS_-_Narada_Muni_Meets_the_Yadus_Uddhava_and_the_Queens_of_Dwarka_-_1999-12-31.mp3")</f>
        <v>RNS_-_Narada_Muni_Meets_the_Yadus_Uddhava_and_the_Queens_of_Dwarka_-_1999-12-31.mp3</v>
      </c>
      <c r="D5432" s="24"/>
      <c r="E5432" s="24"/>
    </row>
    <row r="5433">
      <c r="A5433" s="25" t="s">
        <v>18626</v>
      </c>
      <c r="B5433" s="25" t="s">
        <v>18633</v>
      </c>
      <c r="C5433" s="26" t="str">
        <f>HYPERLINK("https://audio.iskcondesiretree.com/02_-_ISKCON_Swamis/ISKCON_Swamis_-_R_to_Y/His_Holiness_Radhanath_Swami/Lectures/04_-_Brihad_Bhagavatamrata/RNS_-_Narada_Muni_Travels_to_Brahmaloka_-_1999-12-30.mp3", "RNS_-_Narada_Muni_Travels_to_Brahmaloka_-_1999-12-30.mp3")</f>
        <v>RNS_-_Narada_Muni_Travels_to_Brahmaloka_-_1999-12-30.mp3</v>
      </c>
      <c r="D5433" s="24"/>
      <c r="E5433" s="24"/>
    </row>
    <row r="5434">
      <c r="A5434" s="25" t="s">
        <v>18626</v>
      </c>
      <c r="B5434" s="25" t="s">
        <v>18634</v>
      </c>
      <c r="C5434" s="26" t="str">
        <f>HYPERLINK("https://audio.iskcondesiretree.com/02_-_ISKCON_Swamis/ISKCON_Swamis_-_R_to_Y/His_Holiness_Radhanath_Swami/Lectures/04_-_Brihad_Bhagavatamrata/RNS_-_Narada_Muni_Travels_to_Shivaloka_-_1999-12-30.mp3", "RNS_-_Narada_Muni_Travels_to_Shivaloka_-_1999-12-30.mp3")</f>
        <v>RNS_-_Narada_Muni_Travels_to_Shivaloka_-_1999-12-30.mp3</v>
      </c>
      <c r="D5434" s="24"/>
      <c r="E5434" s="24"/>
    </row>
    <row r="5435">
      <c r="A5435" s="25" t="s">
        <v>18626</v>
      </c>
      <c r="B5435" s="25" t="s">
        <v>18635</v>
      </c>
      <c r="C5435" s="26" t="str">
        <f>HYPERLINK("https://audio.iskcondesiretree.com/02_-_ISKCON_Swamis/ISKCON_Swamis_-_R_to_Y/His_Holiness_Radhanath_Swami/Lectures/04_-_Brihad_Bhagavatamrata/RNS_-_Narada_Muni_Visits_the_Pandavas_-_1999-12-30.mp3", "RNS_-_Narada_Muni_Visits_the_Pandavas_-_1999-12-30.mp3")</f>
        <v>RNS_-_Narada_Muni_Visits_the_Pandavas_-_1999-12-30.mp3</v>
      </c>
      <c r="D5435" s="24"/>
      <c r="E5435" s="24"/>
    </row>
    <row r="5436">
      <c r="A5436" s="25" t="s">
        <v>18626</v>
      </c>
      <c r="B5436" s="25" t="s">
        <v>18636</v>
      </c>
      <c r="C5436" s="26" t="str">
        <f>HYPERLINK("https://audio.iskcondesiretree.com/02_-_ISKCON_Swamis/ISKCON_Swamis_-_R_to_Y/His_Holiness_Radhanath_Swami/Lectures/04_-_Brihad_Bhagavatamrata/RNS_-_Sunday_Feast-Teachings_From_Sri_Brihat_Bhagvatamrta_-_2007-10-14.mp3", "RNS_-_Sunday_Feast-Teachings_From_Sri_Brihat_Bhagvatamrta_-_2007-10-14.mp3")</f>
        <v>RNS_-_Sunday_Feast-Teachings_From_Sri_Brihat_Bhagvatamrta_-_2007-10-14.mp3</v>
      </c>
      <c r="D5436" s="24"/>
      <c r="E5436" s="24"/>
    </row>
    <row r="5437">
      <c r="A5437" s="25" t="s">
        <v>18637</v>
      </c>
      <c r="B5437" s="25" t="s">
        <v>18638</v>
      </c>
      <c r="C5437" s="26" t="str">
        <f>HYPERLINK("https://audio.iskcondesiretree.com/02_-_ISKCON_Swamis/ISKCON_Swamis_-_R_to_Y/His_Holiness_Radhanath_Swami/Lectures/04_-_Brihad_Bhagavatamrata_Hindi_translation/Hindi_-_01-Introduction_new_-_Radhanath_Swami.mp3", "Hindi_-_01-Introduction_new_-_Radhanath_Swami.mp3")</f>
        <v>Hindi_-_01-Introduction_new_-_Radhanath_Swami.mp3</v>
      </c>
      <c r="D5437" s="24"/>
      <c r="E5437" s="24"/>
    </row>
    <row r="5438">
      <c r="A5438" s="25" t="s">
        <v>18637</v>
      </c>
      <c r="B5438" s="25" t="s">
        <v>18639</v>
      </c>
      <c r="C5438" s="26" t="str">
        <f>HYPERLINK("https://audio.iskcondesiretree.com/02_-_ISKCON_Swamis/ISKCON_Swamis_-_R_to_Y/His_Holiness_Radhanath_Swami/Lectures/04_-_Brihad_Bhagavatamrata_Hindi_translation/Hindi_-_02-Narada_Munis_search_for_the_greatest_devotee_-_Radhanath_Swami.mp3", "Hindi_-_02-Narada_Munis_search_for_the_greatest_devotee_-_Radhanath_Swami.mp3")</f>
        <v>Hindi_-_02-Narada_Munis_search_for_the_greatest_devotee_-_Radhanath_Swami.mp3</v>
      </c>
      <c r="D5438" s="24"/>
      <c r="E5438" s="24"/>
    </row>
    <row r="5439">
      <c r="A5439" s="25" t="s">
        <v>18637</v>
      </c>
      <c r="B5439" s="25" t="s">
        <v>18640</v>
      </c>
      <c r="C5439" s="26" t="str">
        <f>HYPERLINK("https://audio.iskcondesiretree.com/02_-_ISKCON_Swamis/ISKCON_Swamis_-_R_to_Y/His_Holiness_Radhanath_Swami/Lectures/04_-_Brihad_Bhagavatamrata_Hindi_translation/Hindi_-_03-Naradamuni_meets_the_King_and_Indrav_-_Radhanath_Swami.mp3", "Hindi_-_03-Naradamuni_meets_the_King_and_Indrav_-_Radhanath_Swami.mp3")</f>
        <v>Hindi_-_03-Naradamuni_meets_the_King_and_Indrav_-_Radhanath_Swami.mp3</v>
      </c>
      <c r="D5439" s="24"/>
      <c r="E5439" s="24"/>
    </row>
    <row r="5440">
      <c r="A5440" s="25" t="s">
        <v>18637</v>
      </c>
      <c r="B5440" s="25" t="s">
        <v>18641</v>
      </c>
      <c r="C5440" s="26" t="str">
        <f>HYPERLINK("https://audio.iskcondesiretree.com/02_-_ISKCON_Swamis/ISKCON_Swamis_-_R_to_Y/His_Holiness_Radhanath_Swami/Lectures/04_-_Brihad_Bhagavatamrata_Hindi_translation/Hindi_-_04-Naradamuni_travels_to_Brahmaloka_-_Radhanath_Swami.mp3", "Hindi_-_04-Naradamuni_travels_to_Brahmaloka_-_Radhanath_Swami.mp3")</f>
        <v>Hindi_-_04-Naradamuni_travels_to_Brahmaloka_-_Radhanath_Swami.mp3</v>
      </c>
      <c r="D5440" s="24"/>
      <c r="E5440" s="24"/>
    </row>
    <row r="5441">
      <c r="A5441" s="25" t="s">
        <v>18637</v>
      </c>
      <c r="B5441" s="25" t="s">
        <v>18642</v>
      </c>
      <c r="C5441" s="26" t="str">
        <f>HYPERLINK("https://audio.iskcondesiretree.com/02_-_ISKCON_Swamis/ISKCON_Swamis_-_R_to_Y/His_Holiness_Radhanath_Swami/Lectures/04_-_Brihad_Bhagavatamrata_Hindi_translation/Hindi_-_05-Naradamuni_comes_to_Shiva_loka_-_Radhanath_Swami.mp3", "Hindi_-_05-Naradamuni_comes_to_Shiva_loka_-_Radhanath_Swami.mp3")</f>
        <v>Hindi_-_05-Naradamuni_comes_to_Shiva_loka_-_Radhanath_Swami.mp3</v>
      </c>
      <c r="D5441" s="24"/>
      <c r="E5441" s="24"/>
    </row>
    <row r="5442">
      <c r="A5442" s="25" t="s">
        <v>18637</v>
      </c>
      <c r="B5442" s="25" t="s">
        <v>18643</v>
      </c>
      <c r="C5442" s="26" t="str">
        <f>HYPERLINK("https://audio.iskcondesiretree.com/02_-_ISKCON_Swamis/ISKCON_Swamis_-_R_to_Y/His_Holiness_Radhanath_Swami/Lectures/04_-_Brihad_Bhagavatamrata_Hindi_translation/Hindi_-_06-Naradamuni_meets_Prahalad_-_Radhanath_Swami.mp3", "Hindi_-_06-Naradamuni_meets_Prahalad_-_Radhanath_Swami.mp3")</f>
        <v>Hindi_-_06-Naradamuni_meets_Prahalad_-_Radhanath_Swami.mp3</v>
      </c>
      <c r="D5442" s="24"/>
      <c r="E5442" s="24"/>
    </row>
    <row r="5443">
      <c r="A5443" s="25" t="s">
        <v>18637</v>
      </c>
      <c r="B5443" s="25" t="s">
        <v>18644</v>
      </c>
      <c r="C5443" s="26" t="str">
        <f>HYPERLINK("https://audio.iskcondesiretree.com/02_-_ISKCON_Swamis/ISKCON_Swamis_-_R_to_Y/His_Holiness_Radhanath_Swami/Lectures/04_-_Brihad_Bhagavatamrata_Hindi_translation/Hindi_-_07-Naradamuni_meets_Hanuman_-_Radhanath_Swami.mp3", "Hindi_-_07-Naradamuni_meets_Hanuman_-_Radhanath_Swami.mp3")</f>
        <v>Hindi_-_07-Naradamuni_meets_Hanuman_-_Radhanath_Swami.mp3</v>
      </c>
      <c r="D5443" s="24"/>
      <c r="E5443" s="24"/>
    </row>
    <row r="5444">
      <c r="A5444" s="25" t="s">
        <v>18637</v>
      </c>
      <c r="B5444" s="25" t="s">
        <v>18645</v>
      </c>
      <c r="C5444" s="26" t="str">
        <f>HYPERLINK("https://audio.iskcondesiretree.com/02_-_ISKCON_Swamis/ISKCON_Swamis_-_R_to_Y/His_Holiness_Radhanath_Swami/Lectures/04_-_Brihad_Bhagavatamrata_Hindi_translation/Hindi_-_08-Naradamuni_visits_the_Pandavas_-_Radhanath_Swami.mp3", "Hindi_-_08-Naradamuni_visits_the_Pandavas_-_Radhanath_Swami.mp3")</f>
        <v>Hindi_-_08-Naradamuni_visits_the_Pandavas_-_Radhanath_Swami.mp3</v>
      </c>
      <c r="D5444" s="24"/>
      <c r="E5444" s="24"/>
    </row>
    <row r="5445">
      <c r="A5445" s="25" t="s">
        <v>18637</v>
      </c>
      <c r="B5445" s="25" t="s">
        <v>18646</v>
      </c>
      <c r="C5445" s="26" t="str">
        <f>HYPERLINK("https://audio.iskcondesiretree.com/02_-_ISKCON_Swamis/ISKCON_Swamis_-_R_to_Y/His_Holiness_Radhanath_Swami/Lectures/04_-_Brihad_Bhagavatamrata_Hindi_translation/Hindi_-_09-Naradamuni_meets_Yadus%2C_Uddhav_and_the_queens_of_Dwarka_-_Radhanath_Swami.mp3", "Hindi_-_09-Naradamuni_meets_Yadus%2C_Uddhav_and_the_queens_of_Dwarka_-_Radhanath_Swami.mp3")</f>
        <v>Hindi_-_09-Naradamuni_meets_Yadus%2C_Uddhav_and_the_queens_of_Dwarka_-_Radhanath_Swami.mp3</v>
      </c>
      <c r="D5445" s="24"/>
      <c r="E5445" s="24"/>
    </row>
    <row r="5446">
      <c r="A5446" s="25" t="s">
        <v>18647</v>
      </c>
      <c r="B5446" s="25" t="s">
        <v>18648</v>
      </c>
      <c r="C5446" s="26" t="str">
        <f>HYPERLINK("https://audio.iskcondesiretree.com/02_-_ISKCON_Swamis/ISKCON_Swamis_-_R_to_Y/His_Holiness_Radhanath_Swami/Lectures/05_-_Amrit_Droplets/Amrit_Droplets_-_0176_-_Q_n_A_-_How_to_test_whether_not_coming_to_temple_is_due_to_genuine_bodily_problem.mp3", "Amrit_Droplets_-_0176_-_Q_n_A_-_How_to_test_whether_not_coming_to_temple_is_due_to_genuine_bodily_problem.mp3")</f>
        <v>Amrit_Droplets_-_0176_-_Q_n_A_-_How_to_test_whether_not_coming_to_temple_is_due_to_genuine_bodily_problem.mp3</v>
      </c>
      <c r="D5446" s="24"/>
      <c r="E5446" s="24"/>
    </row>
    <row r="5447">
      <c r="A5447" s="25" t="s">
        <v>18647</v>
      </c>
      <c r="B5447" s="25" t="s">
        <v>18649</v>
      </c>
      <c r="C5447" s="26" t="str">
        <f>HYPERLINK("https://audio.iskcondesiretree.com/02_-_ISKCON_Swamis/ISKCON_Swamis_-_R_to_Y/His_Holiness_Radhanath_Swami/Lectures/05_-_Amrit_Droplets/Amrit_Droplets_-_0183_-_Short_Stories_-_Abhiram_Thakur_decides_to_give_obeisances_to_Little_Gopal_Guru_-_IDesireTree.mp3", "Amrit_Droplets_-_0183_-_Short_Stories_-_Abhiram_Thakur_decides_to_give_obeisances_to_Little_Gopal_Guru_-_IDesireTree.mp3")</f>
        <v>Amrit_Droplets_-_0183_-_Short_Stories_-_Abhiram_Thakur_decides_to_give_obeisances_to_Little_Gopal_Guru_-_IDesireTree.mp3</v>
      </c>
      <c r="D5447" s="24"/>
      <c r="E5447" s="24"/>
    </row>
    <row r="5448">
      <c r="A5448" s="25" t="s">
        <v>18647</v>
      </c>
      <c r="B5448" s="25" t="s">
        <v>18650</v>
      </c>
      <c r="C5448" s="26" t="str">
        <f>HYPERLINK("https://audio.iskcondesiretree.com/02_-_ISKCON_Swamis/ISKCON_Swamis_-_R_to_Y/His_Holiness_Radhanath_Swami/Lectures/05_-_Amrit_Droplets/Amrit_Droplets_-_0184_-_Short_Stories_-_How_Parikshit_Maharaj_was_cursed_%26_Srimad_Bhagavatam_was_spoken_-_IDesireTree."&amp;"mp3", "Amrit_Droplets_-_0184_-_Short_Stories_-_How_Parikshit_Maharaj_was_cursed_%26_Srimad_Bhagavatam_was_spoken_-_IDesireTree.mp3")</f>
        <v>Amrit_Droplets_-_0184_-_Short_Stories_-_How_Parikshit_Maharaj_was_cursed_%26_Srimad_Bhagavatam_was_spoken_-_IDesireTree.mp3</v>
      </c>
      <c r="D5448" s="24"/>
      <c r="E5448" s="24"/>
    </row>
    <row r="5449">
      <c r="A5449" s="25" t="s">
        <v>18647</v>
      </c>
      <c r="B5449" s="25" t="s">
        <v>18651</v>
      </c>
      <c r="C5449" s="26" t="str">
        <f>HYPERLINK("https://audio.iskcondesiretree.com/02_-_ISKCON_Swamis/ISKCON_Swamis_-_R_to_Y/His_Holiness_Radhanath_Swami/Lectures/05_-_Amrit_Droplets/HHRNSM_-_Amrit_Droplets_-_0001_-_Request_to_all_of_us_-_IDesireTree.mp3", "HHRNSM_-_Amrit_Droplets_-_0001_-_Request_to_all_of_us_-_IDesireTree.mp3")</f>
        <v>HHRNSM_-_Amrit_Droplets_-_0001_-_Request_to_all_of_us_-_IDesireTree.mp3</v>
      </c>
      <c r="D5449" s="24"/>
      <c r="E5449" s="24"/>
    </row>
    <row r="5450">
      <c r="A5450" s="25" t="s">
        <v>18647</v>
      </c>
      <c r="B5450" s="25" t="s">
        <v>18652</v>
      </c>
      <c r="C5450" s="26" t="str">
        <f>HYPERLINK("https://audio.iskcondesiretree.com/02_-_ISKCON_Swamis/ISKCON_Swamis_-_R_to_Y/His_Holiness_Radhanath_Swami/Lectures/05_-_Amrit_Droplets/HHRNSM_-_Amrit_Droplets_-_0002_-_Always_be_busy_in_positive_%26_don%27t_leave_time_for_negative_-_IDesireTree.mp3", "HHRNSM_-_Amrit_Droplets_-_0002_-_Always_be_busy_in_positive_%26_don%27t_leave_time_for_negative_-_IDesireTree.mp3")</f>
        <v>HHRNSM_-_Amrit_Droplets_-_0002_-_Always_be_busy_in_positive_%26_don%27t_leave_time_for_negative_-_IDesireTree.mp3</v>
      </c>
      <c r="D5450" s="24"/>
      <c r="E5450" s="24"/>
    </row>
    <row r="5451">
      <c r="A5451" s="25" t="s">
        <v>18647</v>
      </c>
      <c r="B5451" s="25" t="s">
        <v>18653</v>
      </c>
      <c r="C5451" s="26" t="str">
        <f>HYPERLINK("https://audio.iskcondesiretree.com/02_-_ISKCON_Swamis/ISKCON_Swamis_-_R_to_Y/His_Holiness_Radhanath_Swami/Lectures/05_-_Amrit_Droplets/HHRNSM_-_Amrit_Droplets_-_0003_-_Charity_comes_from_Compassion_-_IDesireTree.mp3", "HHRNSM_-_Amrit_Droplets_-_0003_-_Charity_comes_from_Compassion_-_IDesireTree.mp3")</f>
        <v>HHRNSM_-_Amrit_Droplets_-_0003_-_Charity_comes_from_Compassion_-_IDesireTree.mp3</v>
      </c>
      <c r="D5451" s="24"/>
      <c r="E5451" s="24"/>
    </row>
    <row r="5452">
      <c r="A5452" s="25" t="s">
        <v>18647</v>
      </c>
      <c r="B5452" s="25" t="s">
        <v>18654</v>
      </c>
      <c r="C5452" s="26" t="str">
        <f>HYPERLINK("https://audio.iskcondesiretree.com/02_-_ISKCON_Swamis/ISKCON_Swamis_-_R_to_Y/His_Holiness_Radhanath_Swami/Lectures/05_-_Amrit_Droplets/HHRNSM_-_Amrit_Droplets_-_0004_-_Definition_of_Goswami_-_IDesireTree.mp3", "HHRNSM_-_Amrit_Droplets_-_0004_-_Definition_of_Goswami_-_IDesireTree.mp3")</f>
        <v>HHRNSM_-_Amrit_Droplets_-_0004_-_Definition_of_Goswami_-_IDesireTree.mp3</v>
      </c>
      <c r="D5452" s="24"/>
      <c r="E5452" s="24"/>
    </row>
    <row r="5453">
      <c r="A5453" s="25" t="s">
        <v>18647</v>
      </c>
      <c r="B5453" s="25" t="s">
        <v>18655</v>
      </c>
      <c r="C5453" s="26" t="str">
        <f>HYPERLINK("https://audio.iskcondesiretree.com/02_-_ISKCON_Swamis/ISKCON_Swamis_-_R_to_Y/His_Holiness_Radhanath_Swami/Lectures/05_-_Amrit_Droplets/HHRNSM_-_Amrit_Droplets_-_0005_-_Don%27t_be_surprised_of_envious_people_-_IDesireTree.mp3", "HHRNSM_-_Amrit_Droplets_-_0005_-_Don%27t_be_surprised_of_envious_people_-_IDesireTree.mp3")</f>
        <v>HHRNSM_-_Amrit_Droplets_-_0005_-_Don%27t_be_surprised_of_envious_people_-_IDesireTree.mp3</v>
      </c>
      <c r="D5453" s="24"/>
      <c r="E5453" s="24"/>
    </row>
    <row r="5454">
      <c r="A5454" s="25" t="s">
        <v>18647</v>
      </c>
      <c r="B5454" s="25" t="s">
        <v>18656</v>
      </c>
      <c r="C5454" s="26" t="str">
        <f>HYPERLINK("https://audio.iskcondesiretree.com/02_-_ISKCON_Swamis/ISKCON_Swamis_-_R_to_Y/His_Holiness_Radhanath_Swami/Lectures/05_-_Amrit_Droplets/HHRNSM_-_Amrit_Droplets_-_0006_-_How_principle_of_Discipline_works_-_IDesireTree.mp3", "HHRNSM_-_Amrit_Droplets_-_0006_-_How_principle_of_Discipline_works_-_IDesireTree.mp3")</f>
        <v>HHRNSM_-_Amrit_Droplets_-_0006_-_How_principle_of_Discipline_works_-_IDesireTree.mp3</v>
      </c>
      <c r="D5454" s="24"/>
      <c r="E5454" s="24"/>
    </row>
    <row r="5455">
      <c r="A5455" s="25" t="s">
        <v>18647</v>
      </c>
      <c r="B5455" s="25" t="s">
        <v>18657</v>
      </c>
      <c r="C5455" s="26" t="str">
        <f>HYPERLINK("https://audio.iskcondesiretree.com/02_-_ISKCON_Swamis/ISKCON_Swamis_-_R_to_Y/His_Holiness_Radhanath_Swami/Lectures/05_-_Amrit_Droplets/HHRNSM_-_Amrit_Droplets_-_0007_-_How_to_develop_taste_for_Srimad_Bhagavatam_-_IDesireTree.mp3", "HHRNSM_-_Amrit_Droplets_-_0007_-_How_to_develop_taste_for_Srimad_Bhagavatam_-_IDesireTree.mp3")</f>
        <v>HHRNSM_-_Amrit_Droplets_-_0007_-_How_to_develop_taste_for_Srimad_Bhagavatam_-_IDesireTree.mp3</v>
      </c>
      <c r="D5455" s="24"/>
      <c r="E5455" s="24"/>
    </row>
    <row r="5456">
      <c r="A5456" s="25" t="s">
        <v>18647</v>
      </c>
      <c r="B5456" s="25" t="s">
        <v>18658</v>
      </c>
      <c r="C5456" s="26" t="str">
        <f>HYPERLINK("https://audio.iskcondesiretree.com/02_-_ISKCON_Swamis/ISKCON_Swamis_-_R_to_Y/His_Holiness_Radhanath_Swami/Lectures/05_-_Amrit_Droplets/HHRNSM_-_Amrit_Droplets_-_0008_-_No_Gain_Without_Pain_-_IDesireTree.mp3", "HHRNSM_-_Amrit_Droplets_-_0008_-_No_Gain_Without_Pain_-_IDesireTree.mp3")</f>
        <v>HHRNSM_-_Amrit_Droplets_-_0008_-_No_Gain_Without_Pain_-_IDesireTree.mp3</v>
      </c>
      <c r="D5456" s="24"/>
      <c r="E5456" s="24"/>
    </row>
    <row r="5457">
      <c r="A5457" s="25" t="s">
        <v>18647</v>
      </c>
      <c r="B5457" s="25" t="s">
        <v>18659</v>
      </c>
      <c r="C5457" s="26" t="str">
        <f>HYPERLINK("https://audio.iskcondesiretree.com/02_-_ISKCON_Swamis/ISKCON_Swamis_-_R_to_Y/His_Holiness_Radhanath_Swami/Lectures/05_-_Amrit_Droplets/HHRNSM_-_Amrit_Droplets_-_0009_-_Pleasing_Krsna_by_Discipline_-_IDesireTree.mp3", "HHRNSM_-_Amrit_Droplets_-_0009_-_Pleasing_Krsna_by_Discipline_-_IDesireTree.mp3")</f>
        <v>HHRNSM_-_Amrit_Droplets_-_0009_-_Pleasing_Krsna_by_Discipline_-_IDesireTree.mp3</v>
      </c>
      <c r="D5457" s="24"/>
      <c r="E5457" s="24"/>
    </row>
    <row r="5458">
      <c r="A5458" s="25" t="s">
        <v>18647</v>
      </c>
      <c r="B5458" s="25" t="s">
        <v>18660</v>
      </c>
      <c r="C5458" s="26" t="str">
        <f>HYPERLINK("https://audio.iskcondesiretree.com/02_-_ISKCON_Swamis/ISKCON_Swamis_-_R_to_Y/His_Holiness_Radhanath_Swami/Lectures/05_-_Amrit_Droplets/HHRNSM_-_Amrit_Droplets_-_0010_-_Spritual_Life_is_holistic_-_IDesireTree.mp3", "HHRNSM_-_Amrit_Droplets_-_0010_-_Spritual_Life_is_holistic_-_IDesireTree.mp3")</f>
        <v>HHRNSM_-_Amrit_Droplets_-_0010_-_Spritual_Life_is_holistic_-_IDesireTree.mp3</v>
      </c>
      <c r="D5458" s="24"/>
      <c r="E5458" s="24"/>
    </row>
    <row r="5459">
      <c r="A5459" s="25" t="s">
        <v>18647</v>
      </c>
      <c r="B5459" s="25" t="s">
        <v>18661</v>
      </c>
      <c r="C5459" s="26" t="str">
        <f>HYPERLINK("https://audio.iskcondesiretree.com/02_-_ISKCON_Swamis/ISKCON_Swamis_-_R_to_Y/His_Holiness_Radhanath_Swami/Lectures/05_-_Amrit_Droplets/HHRNSM_-_Amrit_Droplets_-_0011_-_Taste_for_Bhagavatam_is_important_-_IDesireTree.mp3", "HHRNSM_-_Amrit_Droplets_-_0011_-_Taste_for_Bhagavatam_is_important_-_IDesireTree.mp3")</f>
        <v>HHRNSM_-_Amrit_Droplets_-_0011_-_Taste_for_Bhagavatam_is_important_-_IDesireTree.mp3</v>
      </c>
      <c r="D5459" s="24"/>
      <c r="E5459" s="24"/>
    </row>
    <row r="5460">
      <c r="A5460" s="25" t="s">
        <v>18647</v>
      </c>
      <c r="B5460" s="25" t="s">
        <v>18662</v>
      </c>
      <c r="C5460" s="26" t="str">
        <f>HYPERLINK("https://audio.iskcondesiretree.com/02_-_ISKCON_Swamis/ISKCON_Swamis_-_R_to_Y/His_Holiness_Radhanath_Swami/Lectures/05_-_Amrit_Droplets/HHRNSM_-_Amrit_Droplets_-_0012_-_Eligibility_for_understanding_Srimad_Bhagavatam_-_IDesireTree.mp3", "HHRNSM_-_Amrit_Droplets_-_0012_-_Eligibility_for_understanding_Srimad_Bhagavatam_-_IDesireTree.mp3")</f>
        <v>HHRNSM_-_Amrit_Droplets_-_0012_-_Eligibility_for_understanding_Srimad_Bhagavatam_-_IDesireTree.mp3</v>
      </c>
      <c r="D5460" s="24"/>
      <c r="E5460" s="24"/>
    </row>
    <row r="5461">
      <c r="A5461" s="25" t="s">
        <v>18647</v>
      </c>
      <c r="B5461" s="25" t="s">
        <v>18663</v>
      </c>
      <c r="C5461" s="26" t="str">
        <f>HYPERLINK("https://audio.iskcondesiretree.com/02_-_ISKCON_Swamis/ISKCON_Swamis_-_R_to_Y/His_Holiness_Radhanath_Swami/Lectures/05_-_Amrit_Droplets/HHRNSM_-_Amrit_Droplets_-_0013_-_Free_Will_comes_with_Responsibility_-_IDesireTree.mp3", "HHRNSM_-_Amrit_Droplets_-_0013_-_Free_Will_comes_with_Responsibility_-_IDesireTree.mp3")</f>
        <v>HHRNSM_-_Amrit_Droplets_-_0013_-_Free_Will_comes_with_Responsibility_-_IDesireTree.mp3</v>
      </c>
      <c r="D5461" s="24"/>
      <c r="E5461" s="24"/>
    </row>
    <row r="5462">
      <c r="A5462" s="25" t="s">
        <v>18647</v>
      </c>
      <c r="B5462" s="25" t="s">
        <v>18664</v>
      </c>
      <c r="C5462" s="26" t="str">
        <f>HYPERLINK("https://audio.iskcondesiretree.com/02_-_ISKCON_Swamis/ISKCON_Swamis_-_R_to_Y/His_Holiness_Radhanath_Swami/Lectures/05_-_Amrit_Droplets/HHRNSM_-_Amrit_Droplets_-_0014_-_How_to_get_taste_in_Srimad_Bhagavatam_-_IDesireTree.mp3", "HHRNSM_-_Amrit_Droplets_-_0014_-_How_to_get_taste_in_Srimad_Bhagavatam_-_IDesireTree.mp3")</f>
        <v>HHRNSM_-_Amrit_Droplets_-_0014_-_How_to_get_taste_in_Srimad_Bhagavatam_-_IDesireTree.mp3</v>
      </c>
      <c r="D5462" s="24"/>
      <c r="E5462" s="24"/>
    </row>
    <row r="5463">
      <c r="A5463" s="25" t="s">
        <v>18647</v>
      </c>
      <c r="B5463" s="25" t="s">
        <v>18665</v>
      </c>
      <c r="C5463" s="26" t="str">
        <f>HYPERLINK("https://audio.iskcondesiretree.com/02_-_ISKCON_Swamis/ISKCON_Swamis_-_R_to_Y/His_Holiness_Radhanath_Swami/Lectures/05_-_Amrit_Droplets/HHRNSM_-_Amrit_Droplets_-_0015_-_Nature_of_Material_Desire_-_IDesireTree.mp3", "HHRNSM_-_Amrit_Droplets_-_0015_-_Nature_of_Material_Desire_-_IDesireTree.mp3")</f>
        <v>HHRNSM_-_Amrit_Droplets_-_0015_-_Nature_of_Material_Desire_-_IDesireTree.mp3</v>
      </c>
      <c r="D5463" s="24"/>
      <c r="E5463" s="24"/>
    </row>
    <row r="5464">
      <c r="A5464" s="25" t="s">
        <v>18647</v>
      </c>
      <c r="B5464" s="25" t="s">
        <v>18666</v>
      </c>
      <c r="C5464" s="26" t="str">
        <f>HYPERLINK("https://audio.iskcondesiretree.com/02_-_ISKCON_Swamis/ISKCON_Swamis_-_R_to_Y/His_Holiness_Radhanath_Swami/Lectures/05_-_Amrit_Droplets/HHRNSM_-_Amrit_Droplets_-_0016_-_Philosophy_without_character_has_no_meaning_-_IDesireTree.mp3", "HHRNSM_-_Amrit_Droplets_-_0016_-_Philosophy_without_character_has_no_meaning_-_IDesireTree.mp3")</f>
        <v>HHRNSM_-_Amrit_Droplets_-_0016_-_Philosophy_without_character_has_no_meaning_-_IDesireTree.mp3</v>
      </c>
      <c r="D5464" s="24"/>
      <c r="E5464" s="24"/>
    </row>
    <row r="5465">
      <c r="A5465" s="25" t="s">
        <v>18647</v>
      </c>
      <c r="B5465" s="25" t="s">
        <v>18667</v>
      </c>
      <c r="C5465" s="26" t="str">
        <f>HYPERLINK("https://audio.iskcondesiretree.com/02_-_ISKCON_Swamis/ISKCON_Swamis_-_R_to_Y/His_Holiness_Radhanath_Swami/Lectures/05_-_Amrit_Droplets/HHRNSM_-_Amrit_Droplets_-_0017_-_Realisation_is_a_gift_of_Krsna_-_IDesireTree.mp3", "HHRNSM_-_Amrit_Droplets_-_0017_-_Realisation_is_a_gift_of_Krsna_-_IDesireTree.mp3")</f>
        <v>HHRNSM_-_Amrit_Droplets_-_0017_-_Realisation_is_a_gift_of_Krsna_-_IDesireTree.mp3</v>
      </c>
      <c r="D5465" s="24"/>
      <c r="E5465" s="24"/>
    </row>
    <row r="5466">
      <c r="A5466" s="25" t="s">
        <v>18647</v>
      </c>
      <c r="B5466" s="25" t="s">
        <v>18668</v>
      </c>
      <c r="C5466" s="26" t="str">
        <f>HYPERLINK("https://audio.iskcondesiretree.com/02_-_ISKCON_Swamis/ISKCON_Swamis_-_R_to_Y/His_Holiness_Radhanath_Swami/Lectures/05_-_Amrit_Droplets/HHRNSM_-_Amrit_Droplets_-_0018_-_Srimad_Bhagavatam_is_an_incarnation_of_Krsna_-_IDesireTree.mp3", "HHRNSM_-_Amrit_Droplets_-_0018_-_Srimad_Bhagavatam_is_an_incarnation_of_Krsna_-_IDesireTree.mp3")</f>
        <v>HHRNSM_-_Amrit_Droplets_-_0018_-_Srimad_Bhagavatam_is_an_incarnation_of_Krsna_-_IDesireTree.mp3</v>
      </c>
      <c r="D5466" s="24"/>
      <c r="E5466" s="24"/>
    </row>
    <row r="5467">
      <c r="A5467" s="25" t="s">
        <v>18647</v>
      </c>
      <c r="B5467" s="25" t="s">
        <v>18669</v>
      </c>
      <c r="C5467" s="26" t="str">
        <f>HYPERLINK("https://audio.iskcondesiretree.com/02_-_ISKCON_Swamis/ISKCON_Swamis_-_R_to_Y/His_Holiness_Radhanath_Swami/Lectures/05_-_Amrit_Droplets/HHRNSM_-_Amrit_Droplets_-_0019_-_Why_don%27t_animals_produce_karma_-_IDesireTree.mp3", "HHRNSM_-_Amrit_Droplets_-_0019_-_Why_don%27t_animals_produce_karma_-_IDesireTree.mp3")</f>
        <v>HHRNSM_-_Amrit_Droplets_-_0019_-_Why_don%27t_animals_produce_karma_-_IDesireTree.mp3</v>
      </c>
      <c r="D5467" s="24"/>
      <c r="E5467" s="24"/>
    </row>
    <row r="5468">
      <c r="A5468" s="25" t="s">
        <v>18647</v>
      </c>
      <c r="B5468" s="25" t="s">
        <v>18670</v>
      </c>
      <c r="C5468" s="26" t="str">
        <f>HYPERLINK("https://audio.iskcondesiretree.com/02_-_ISKCON_Swamis/ISKCON_Swamis_-_R_to_Y/His_Holiness_Radhanath_Swami/Lectures/05_-_Amrit_Droplets/HHRNSM_-_Amrit_Droplets_-_0020_-_Purpose_of_temple_-_IDesireTree.mp3", "HHRNSM_-_Amrit_Droplets_-_0020_-_Purpose_of_temple_-_IDesireTree.mp3")</f>
        <v>HHRNSM_-_Amrit_Droplets_-_0020_-_Purpose_of_temple_-_IDesireTree.mp3</v>
      </c>
      <c r="D5468" s="24"/>
      <c r="E5468" s="24"/>
    </row>
    <row r="5469">
      <c r="A5469" s="25" t="s">
        <v>18647</v>
      </c>
      <c r="B5469" s="25" t="s">
        <v>18671</v>
      </c>
      <c r="C5469" s="26" t="str">
        <f>HYPERLINK("https://audio.iskcondesiretree.com/02_-_ISKCON_Swamis/ISKCON_Swamis_-_R_to_Y/His_Holiness_Radhanath_Swami/Lectures/05_-_Amrit_Droplets/HHRNSM_-_Amrit_Droplets_-_0021_-_Whom_to_associate_with_-_IDesireTree.mp3", "HHRNSM_-_Amrit_Droplets_-_0021_-_Whom_to_associate_with_-_IDesireTree.mp3")</f>
        <v>HHRNSM_-_Amrit_Droplets_-_0021_-_Whom_to_associate_with_-_IDesireTree.mp3</v>
      </c>
      <c r="D5469" s="24"/>
      <c r="E5469" s="24"/>
    </row>
    <row r="5470">
      <c r="A5470" s="25" t="s">
        <v>18647</v>
      </c>
      <c r="B5470" s="25" t="s">
        <v>18672</v>
      </c>
      <c r="C5470" s="26" t="str">
        <f>HYPERLINK("https://audio.iskcondesiretree.com/02_-_ISKCON_Swamis/ISKCON_Swamis_-_R_to_Y/His_Holiness_Radhanath_Swami/Lectures/05_-_Amrit_Droplets/HHRNSM_-_Amrit_Droplets_-_0022_-_How_to_attract_Lakshmi_-_IDesireTree.mp3", "HHRNSM_-_Amrit_Droplets_-_0022_-_How_to_attract_Lakshmi_-_IDesireTree.mp3")</f>
        <v>HHRNSM_-_Amrit_Droplets_-_0022_-_How_to_attract_Lakshmi_-_IDesireTree.mp3</v>
      </c>
      <c r="D5470" s="24"/>
      <c r="E5470" s="24"/>
    </row>
    <row r="5471">
      <c r="A5471" s="25" t="s">
        <v>18647</v>
      </c>
      <c r="B5471" s="25" t="s">
        <v>18673</v>
      </c>
      <c r="C5471" s="26" t="str">
        <f>HYPERLINK("https://audio.iskcondesiretree.com/02_-_ISKCON_Swamis/ISKCON_Swamis_-_R_to_Y/His_Holiness_Radhanath_Swami/Lectures/05_-_Amrit_Droplets/HHRNSM_-_Amrit_Droplets_-_0023_-_Helping_our_Godbrothers_-_IDesireTree.mp3", "HHRNSM_-_Amrit_Droplets_-_0023_-_Helping_our_Godbrothers_-_IDesireTree.mp3")</f>
        <v>HHRNSM_-_Amrit_Droplets_-_0023_-_Helping_our_Godbrothers_-_IDesireTree.mp3</v>
      </c>
      <c r="D5471" s="24"/>
      <c r="E5471" s="24"/>
    </row>
    <row r="5472">
      <c r="A5472" s="25" t="s">
        <v>18647</v>
      </c>
      <c r="B5472" s="25" t="s">
        <v>18674</v>
      </c>
      <c r="C5472" s="26" t="str">
        <f>HYPERLINK("https://audio.iskcondesiretree.com/02_-_ISKCON_Swamis/ISKCON_Swamis_-_R_to_Y/His_Holiness_Radhanath_Swami/Lectures/05_-_Amrit_Droplets/HHRNSM_-_Amrit_Droplets_-_0024_-_Honouring_great_souls_-_IDesireTree.mp3", "HHRNSM_-_Amrit_Droplets_-_0024_-_Honouring_great_souls_-_IDesireTree.mp3")</f>
        <v>HHRNSM_-_Amrit_Droplets_-_0024_-_Honouring_great_souls_-_IDesireTree.mp3</v>
      </c>
      <c r="D5472" s="24"/>
      <c r="E5472" s="24"/>
    </row>
    <row r="5473">
      <c r="A5473" s="25" t="s">
        <v>18647</v>
      </c>
      <c r="B5473" s="25" t="s">
        <v>18675</v>
      </c>
      <c r="C5473" s="26" t="str">
        <f>HYPERLINK("https://audio.iskcondesiretree.com/02_-_ISKCON_Swamis/ISKCON_Swamis_-_R_to_Y/His_Holiness_Radhanath_Swami/Lectures/05_-_Amrit_Droplets/HHRNSM_-_Amrit_Droplets_-_0025_-_How_to_become_fearless_-_IDesireTree.mp3", "HHRNSM_-_Amrit_Droplets_-_0025_-_How_to_become_fearless_-_IDesireTree.mp3")</f>
        <v>HHRNSM_-_Amrit_Droplets_-_0025_-_How_to_become_fearless_-_IDesireTree.mp3</v>
      </c>
      <c r="D5473" s="24"/>
      <c r="E5473" s="24"/>
    </row>
    <row r="5474">
      <c r="A5474" s="25" t="s">
        <v>18647</v>
      </c>
      <c r="B5474" s="25" t="s">
        <v>18676</v>
      </c>
      <c r="C5474" s="26" t="str">
        <f>HYPERLINK("https://audio.iskcondesiretree.com/02_-_ISKCON_Swamis/ISKCON_Swamis_-_R_to_Y/His_Holiness_Radhanath_Swami/Lectures/05_-_Amrit_Droplets/HHRNSM_-_Amrit_Droplets_-_0026_-_Reveal_power_of_soul_-_IDesireTree.mp3", "HHRNSM_-_Amrit_Droplets_-_0026_-_Reveal_power_of_soul_-_IDesireTree.mp3")</f>
        <v>HHRNSM_-_Amrit_Droplets_-_0026_-_Reveal_power_of_soul_-_IDesireTree.mp3</v>
      </c>
      <c r="D5474" s="24"/>
      <c r="E5474" s="24"/>
    </row>
    <row r="5475">
      <c r="A5475" s="25" t="s">
        <v>18647</v>
      </c>
      <c r="B5475" s="25" t="s">
        <v>18677</v>
      </c>
      <c r="C5475" s="26" t="str">
        <f>HYPERLINK("https://audio.iskcondesiretree.com/02_-_ISKCON_Swamis/ISKCON_Swamis_-_R_to_Y/His_Holiness_Radhanath_Swami/Lectures/05_-_Amrit_Droplets/HHRNSM_-_Amrit_Droplets_-_0027_-_What_does_humility_mean_-_IDesireTree.mp3", "HHRNSM_-_Amrit_Droplets_-_0027_-_What_does_humility_mean_-_IDesireTree.mp3")</f>
        <v>HHRNSM_-_Amrit_Droplets_-_0027_-_What_does_humility_mean_-_IDesireTree.mp3</v>
      </c>
      <c r="D5475" s="24"/>
      <c r="E5475" s="24"/>
    </row>
    <row r="5476">
      <c r="A5476" s="25" t="s">
        <v>18647</v>
      </c>
      <c r="B5476" s="25" t="s">
        <v>18678</v>
      </c>
      <c r="C5476" s="26" t="str">
        <f>HYPERLINK("https://audio.iskcondesiretree.com/02_-_ISKCON_Swamis/ISKCON_Swamis_-_R_to_Y/His_Holiness_Radhanath_Swami/Lectures/05_-_Amrit_Droplets/HHRNSM_-_Amrit_Droplets_-_0028_-_Acting_under_superior_guidance_-_IDesireTree.mp3", "HHRNSM_-_Amrit_Droplets_-_0028_-_Acting_under_superior_guidance_-_IDesireTree.mp3")</f>
        <v>HHRNSM_-_Amrit_Droplets_-_0028_-_Acting_under_superior_guidance_-_IDesireTree.mp3</v>
      </c>
      <c r="D5476" s="24"/>
      <c r="E5476" s="24"/>
    </row>
    <row r="5477">
      <c r="A5477" s="25" t="s">
        <v>18647</v>
      </c>
      <c r="B5477" s="25" t="s">
        <v>18679</v>
      </c>
      <c r="C5477" s="26" t="str">
        <f>HYPERLINK("https://audio.iskcondesiretree.com/02_-_ISKCON_Swamis/ISKCON_Swamis_-_R_to_Y/His_Holiness_Radhanath_Swami/Lectures/05_-_Amrit_Droplets/HHRNSM_-_Amrit_Droplets_-_0029_-_Being_fearful_of_commiting_Vaisnava_offense_-_IDesireTree.mp3", "HHRNSM_-_Amrit_Droplets_-_0029_-_Being_fearful_of_commiting_Vaisnava_offense_-_IDesireTree.mp3")</f>
        <v>HHRNSM_-_Amrit_Droplets_-_0029_-_Being_fearful_of_commiting_Vaisnava_offense_-_IDesireTree.mp3</v>
      </c>
      <c r="D5477" s="24"/>
      <c r="E5477" s="24"/>
    </row>
    <row r="5478">
      <c r="A5478" s="25" t="s">
        <v>18647</v>
      </c>
      <c r="B5478" s="25" t="s">
        <v>18680</v>
      </c>
      <c r="C5478" s="26" t="str">
        <f>HYPERLINK("https://audio.iskcondesiretree.com/02_-_ISKCON_Swamis/ISKCON_Swamis_-_R_to_Y/His_Holiness_Radhanath_Swami/Lectures/05_-_Amrit_Droplets/HHRNSM_-_Amrit_Droplets_-_0030_-_Parents%27_Responsibility_-_IDesireTree.mp3", "HHRNSM_-_Amrit_Droplets_-_0030_-_Parents%27_Responsibility_-_IDesireTree.mp3")</f>
        <v>HHRNSM_-_Amrit_Droplets_-_0030_-_Parents%27_Responsibility_-_IDesireTree.mp3</v>
      </c>
      <c r="D5478" s="24"/>
      <c r="E5478" s="24"/>
    </row>
    <row r="5479">
      <c r="A5479" s="25" t="s">
        <v>18647</v>
      </c>
      <c r="B5479" s="25" t="s">
        <v>18681</v>
      </c>
      <c r="C5479" s="26" t="str">
        <f>HYPERLINK("https://audio.iskcondesiretree.com/02_-_ISKCON_Swamis/ISKCON_Swamis_-_R_to_Y/His_Holiness_Radhanath_Swami/Lectures/05_-_Amrit_Droplets/HHRNSM_-_Amrit_Droplets_-_0031_-_We_must_fight_-_IDesireTree.mp3", "HHRNSM_-_Amrit_Droplets_-_0031_-_We_must_fight_-_IDesireTree.mp3")</f>
        <v>HHRNSM_-_Amrit_Droplets_-_0031_-_We_must_fight_-_IDesireTree.mp3</v>
      </c>
      <c r="D5479" s="24"/>
      <c r="E5479" s="24"/>
    </row>
    <row r="5480">
      <c r="A5480" s="25" t="s">
        <v>18647</v>
      </c>
      <c r="B5480" s="25" t="s">
        <v>18682</v>
      </c>
      <c r="C5480" s="26" t="str">
        <f>HYPERLINK("https://audio.iskcondesiretree.com/02_-_ISKCON_Swamis/ISKCON_Swamis_-_R_to_Y/His_Holiness_Radhanath_Swami/Lectures/05_-_Amrit_Droplets/HHRNSM_-_Amrit_Droplets_-_0032_-_How_parents_can_show_real_love_for_their_children_-_IDesireTree.mp3", "HHRNSM_-_Amrit_Droplets_-_0032_-_How_parents_can_show_real_love_for_their_children_-_IDesireTree.mp3")</f>
        <v>HHRNSM_-_Amrit_Droplets_-_0032_-_How_parents_can_show_real_love_for_their_children_-_IDesireTree.mp3</v>
      </c>
      <c r="D5480" s="24"/>
      <c r="E5480" s="24"/>
    </row>
    <row r="5481">
      <c r="A5481" s="25" t="s">
        <v>18647</v>
      </c>
      <c r="B5481" s="25" t="s">
        <v>18683</v>
      </c>
      <c r="C5481" s="26" t="str">
        <f>HYPERLINK("https://audio.iskcondesiretree.com/02_-_ISKCON_Swamis/ISKCON_Swamis_-_R_to_Y/His_Holiness_Radhanath_Swami/Lectures/05_-_Amrit_Droplets/HHRNSM_-_Amrit_Droplets_-_0033_-_How_to_Progress_without_falling_victim_to_material_energy_-_IDesireTree.mp3", "HHRNSM_-_Amrit_Droplets_-_0033_-_How_to_Progress_without_falling_victim_to_material_energy_-_IDesireTree.mp3")</f>
        <v>HHRNSM_-_Amrit_Droplets_-_0033_-_How_to_Progress_without_falling_victim_to_material_energy_-_IDesireTree.mp3</v>
      </c>
      <c r="D5481" s="24"/>
      <c r="E5481" s="24"/>
    </row>
    <row r="5482">
      <c r="A5482" s="25" t="s">
        <v>18647</v>
      </c>
      <c r="B5482" s="25" t="s">
        <v>18684</v>
      </c>
      <c r="C5482" s="26" t="str">
        <f>HYPERLINK("https://audio.iskcondesiretree.com/02_-_ISKCON_Swamis/ISKCON_Swamis_-_R_to_Y/His_Holiness_Radhanath_Swami/Lectures/05_-_Amrit_Droplets/HHRNSM_-_Amrit_Droplets_-_0035_-_Conclusion_of_scriptures_cannot_be_found_by_reading_scriptures_-_IDesireTree.mp3", "HHRNSM_-_Amrit_Droplets_-_0035_-_Conclusion_of_scriptures_cannot_be_found_by_reading_scriptures_-_IDesireTree.mp3")</f>
        <v>HHRNSM_-_Amrit_Droplets_-_0035_-_Conclusion_of_scriptures_cannot_be_found_by_reading_scriptures_-_IDesireTree.mp3</v>
      </c>
      <c r="D5482" s="24"/>
      <c r="E5482" s="24"/>
    </row>
    <row r="5483">
      <c r="A5483" s="25" t="s">
        <v>18647</v>
      </c>
      <c r="B5483" s="25" t="s">
        <v>18685</v>
      </c>
      <c r="C5483" s="26" t="str">
        <f>HYPERLINK("https://audio.iskcondesiretree.com/02_-_ISKCON_Swamis/ISKCON_Swamis_-_R_to_Y/His_Holiness_Radhanath_Swami/Lectures/05_-_Amrit_Droplets/HHRNSM_-_Amrit_Droplets_-_0036_-_Problem_with_Material_progress_-_IDesireTree.mp3", "HHRNSM_-_Amrit_Droplets_-_0036_-_Problem_with_Material_progress_-_IDesireTree.mp3")</f>
        <v>HHRNSM_-_Amrit_Droplets_-_0036_-_Problem_with_Material_progress_-_IDesireTree.mp3</v>
      </c>
      <c r="D5483" s="24"/>
      <c r="E5483" s="24"/>
    </row>
    <row r="5484">
      <c r="A5484" s="25" t="s">
        <v>18647</v>
      </c>
      <c r="B5484" s="25" t="s">
        <v>18686</v>
      </c>
      <c r="C5484" s="26" t="str">
        <f>HYPERLINK("https://audio.iskcondesiretree.com/02_-_ISKCON_Swamis/ISKCON_Swamis_-_R_to_Y/His_Holiness_Radhanath_Swami/Lectures/05_-_Amrit_Droplets/HHRNSM_-_Amrit_Droplets_-_0037_-_Safest_place_in_this_material_world_is_where_devotees_loudly_chant_-_IDesireTree.mp3", "HHRNSM_-_Amrit_Droplets_-_0037_-_Safest_place_in_this_material_world_is_where_devotees_loudly_chant_-_IDesireTree.mp3")</f>
        <v>HHRNSM_-_Amrit_Droplets_-_0037_-_Safest_place_in_this_material_world_is_where_devotees_loudly_chant_-_IDesireTree.mp3</v>
      </c>
      <c r="D5484" s="24"/>
      <c r="E5484" s="24"/>
    </row>
    <row r="5485">
      <c r="A5485" s="25" t="s">
        <v>18647</v>
      </c>
      <c r="B5485" s="25" t="s">
        <v>18687</v>
      </c>
      <c r="C5485" s="26" t="str">
        <f>HYPERLINK("https://audio.iskcondesiretree.com/02_-_ISKCON_Swamis/ISKCON_Swamis_-_R_to_Y/His_Holiness_Radhanath_Swami/Lectures/05_-_Amrit_Droplets/HHRNSM_-_Amrit_Droplets_-_0038_-_Why_some_see_Krishna_in_the_Diety_while_others_see_it_as_stone_-_IDesireTree.mp3", "HHRNSM_-_Amrit_Droplets_-_0038_-_Why_some_see_Krishna_in_the_Diety_while_others_see_it_as_stone_-_IDesireTree.mp3")</f>
        <v>HHRNSM_-_Amrit_Droplets_-_0038_-_Why_some_see_Krishna_in_the_Diety_while_others_see_it_as_stone_-_IDesireTree.mp3</v>
      </c>
      <c r="D5485" s="24"/>
      <c r="E5485" s="24"/>
    </row>
    <row r="5486">
      <c r="A5486" s="25" t="s">
        <v>18647</v>
      </c>
      <c r="B5486" s="25" t="s">
        <v>18688</v>
      </c>
      <c r="C5486" s="26" t="str">
        <f>HYPERLINK("https://audio.iskcondesiretree.com/02_-_ISKCON_Swamis/ISKCON_Swamis_-_R_to_Y/His_Holiness_Radhanath_Swami/Lectures/05_-_Amrit_Droplets/HHRNSM_-_Amrit_Droplets_-_0039_-_All_differences_end_at_death_-_IDesireTree.mp3", "HHRNSM_-_Amrit_Droplets_-_0039_-_All_differences_end_at_death_-_IDesireTree.mp3")</f>
        <v>HHRNSM_-_Amrit_Droplets_-_0039_-_All_differences_end_at_death_-_IDesireTree.mp3</v>
      </c>
      <c r="D5486" s="24"/>
      <c r="E5486" s="24"/>
    </row>
    <row r="5487">
      <c r="A5487" s="25" t="s">
        <v>18647</v>
      </c>
      <c r="B5487" s="25" t="s">
        <v>18689</v>
      </c>
      <c r="C5487" s="26" t="str">
        <f>HYPERLINK("https://audio.iskcondesiretree.com/02_-_ISKCON_Swamis/ISKCON_Swamis_-_R_to_Y/His_Holiness_Radhanath_Swami/Lectures/05_-_Amrit_Droplets/HHRNSM_-_Amrit_Droplets_-_0040_-_Greatest_charity_-_IDesireTree.mp3", "HHRNSM_-_Amrit_Droplets_-_0040_-_Greatest_charity_-_IDesireTree.mp3")</f>
        <v>HHRNSM_-_Amrit_Droplets_-_0040_-_Greatest_charity_-_IDesireTree.mp3</v>
      </c>
      <c r="D5487" s="24"/>
      <c r="E5487" s="24"/>
    </row>
    <row r="5488">
      <c r="A5488" s="25" t="s">
        <v>18647</v>
      </c>
      <c r="B5488" s="25" t="s">
        <v>18690</v>
      </c>
      <c r="C5488" s="26" t="str">
        <f>HYPERLINK("https://audio.iskcondesiretree.com/02_-_ISKCON_Swamis/ISKCON_Swamis_-_R_to_Y/His_Holiness_Radhanath_Swami/Lectures/05_-_Amrit_Droplets/HHRNSM_-_Amrit_Droplets_-_0041_-_Arjuna_is_representing_human_society_-_IDesireTree.mp3", "HHRNSM_-_Amrit_Droplets_-_0041_-_Arjuna_is_representing_human_society_-_IDesireTree.mp3")</f>
        <v>HHRNSM_-_Amrit_Droplets_-_0041_-_Arjuna_is_representing_human_society_-_IDesireTree.mp3</v>
      </c>
      <c r="D5488" s="24"/>
      <c r="E5488" s="24"/>
    </row>
    <row r="5489">
      <c r="A5489" s="25" t="s">
        <v>18647</v>
      </c>
      <c r="B5489" s="25" t="s">
        <v>18691</v>
      </c>
      <c r="C5489" s="26" t="str">
        <f>HYPERLINK("https://audio.iskcondesiretree.com/02_-_ISKCON_Swamis/ISKCON_Swamis_-_R_to_Y/His_Holiness_Radhanath_Swami/Lectures/05_-_Amrit_Droplets/HHRNSM_-_Amrit_Droplets_-_0042_-_How_to_participate_in_congregational_chanting_-_IDesireTree.mp3", "HHRNSM_-_Amrit_Droplets_-_0042_-_How_to_participate_in_congregational_chanting_-_IDesireTree.mp3")</f>
        <v>HHRNSM_-_Amrit_Droplets_-_0042_-_How_to_participate_in_congregational_chanting_-_IDesireTree.mp3</v>
      </c>
      <c r="D5489" s="24"/>
      <c r="E5489" s="24"/>
    </row>
    <row r="5490">
      <c r="A5490" s="25" t="s">
        <v>18647</v>
      </c>
      <c r="B5490" s="25" t="s">
        <v>18692</v>
      </c>
      <c r="C5490" s="26" t="str">
        <f>HYPERLINK("https://audio.iskcondesiretree.com/02_-_ISKCON_Swamis/ISKCON_Swamis_-_R_to_Y/His_Holiness_Radhanath_Swami/Lectures/05_-_Amrit_Droplets/HHRNSM_-_Amrit_Droplets_-_0043_-_How_to_surrender_unto_Krishna_-_IDesireTree.mp3", "HHRNSM_-_Amrit_Droplets_-_0043_-_How_to_surrender_unto_Krishna_-_IDesireTree.mp3")</f>
        <v>HHRNSM_-_Amrit_Droplets_-_0043_-_How_to_surrender_unto_Krishna_-_IDesireTree.mp3</v>
      </c>
      <c r="D5490" s="24"/>
      <c r="E5490" s="24"/>
    </row>
    <row r="5491">
      <c r="A5491" s="25" t="s">
        <v>18647</v>
      </c>
      <c r="B5491" s="25" t="s">
        <v>18693</v>
      </c>
      <c r="C5491" s="26" t="str">
        <f>HYPERLINK("https://audio.iskcondesiretree.com/02_-_ISKCON_Swamis/ISKCON_Swamis_-_R_to_Y/His_Holiness_Radhanath_Swami/Lectures/05_-_Amrit_Droplets/HHRNSM_-_Amrit_Droplets_-_0044_-_The_most_valuable_thing_we_are_having_-_IDesireTree.mp3", "HHRNSM_-_Amrit_Droplets_-_0044_-_The_most_valuable_thing_we_are_having_-_IDesireTree.mp3")</f>
        <v>HHRNSM_-_Amrit_Droplets_-_0044_-_The_most_valuable_thing_we_are_having_-_IDesireTree.mp3</v>
      </c>
      <c r="D5491" s="24"/>
      <c r="E5491" s="24"/>
    </row>
    <row r="5492">
      <c r="A5492" s="25" t="s">
        <v>18647</v>
      </c>
      <c r="B5492" s="25" t="s">
        <v>18694</v>
      </c>
      <c r="C5492" s="26" t="str">
        <f>HYPERLINK("https://audio.iskcondesiretree.com/02_-_ISKCON_Swamis/ISKCON_Swamis_-_R_to_Y/His_Holiness_Radhanath_Swami/Lectures/05_-_Amrit_Droplets/HHRNSM_-_Amrit_Droplets_-_0045_-_No_material_arrangement_can_give_real_happiness_-_IDesireTree.mp3", "HHRNSM_-_Amrit_Droplets_-_0045_-_No_material_arrangement_can_give_real_happiness_-_IDesireTree.mp3")</f>
        <v>HHRNSM_-_Amrit_Droplets_-_0045_-_No_material_arrangement_can_give_real_happiness_-_IDesireTree.mp3</v>
      </c>
      <c r="D5492" s="24"/>
      <c r="E5492" s="24"/>
    </row>
    <row r="5493">
      <c r="A5493" s="25" t="s">
        <v>18647</v>
      </c>
      <c r="B5493" s="25" t="s">
        <v>18695</v>
      </c>
      <c r="C5493" s="26" t="str">
        <f>HYPERLINK("https://audio.iskcondesiretree.com/02_-_ISKCON_Swamis/ISKCON_Swamis_-_R_to_Y/His_Holiness_Radhanath_Swami/Lectures/05_-_Amrit_Droplets/HHRNSM_-_Amrit_Droplets_-_0046_-_Love_is_the_greatest_power_on_Earth_-_IDesireTree.mp3", "HHRNSM_-_Amrit_Droplets_-_0046_-_Love_is_the_greatest_power_on_Earth_-_IDesireTree.mp3")</f>
        <v>HHRNSM_-_Amrit_Droplets_-_0046_-_Love_is_the_greatest_power_on_Earth_-_IDesireTree.mp3</v>
      </c>
      <c r="D5493" s="24"/>
      <c r="E5493" s="24"/>
    </row>
    <row r="5494">
      <c r="A5494" s="25" t="s">
        <v>18647</v>
      </c>
      <c r="B5494" s="25" t="s">
        <v>18696</v>
      </c>
      <c r="C5494" s="26" t="str">
        <f>HYPERLINK("https://audio.iskcondesiretree.com/02_-_ISKCON_Swamis/ISKCON_Swamis_-_R_to_Y/His_Holiness_Radhanath_Swami/Lectures/05_-_Amrit_Droplets/HHRNSM_-_Amrit_Droplets_-_0047_-_Two_ways_of_chanting_Hare_Krishna_Mahamantra_-_IDesireTree.mp3", "HHRNSM_-_Amrit_Droplets_-_0047_-_Two_ways_of_chanting_Hare_Krishna_Mahamantra_-_IDesireTree.mp3")</f>
        <v>HHRNSM_-_Amrit_Droplets_-_0047_-_Two_ways_of_chanting_Hare_Krishna_Mahamantra_-_IDesireTree.mp3</v>
      </c>
      <c r="D5494" s="24"/>
      <c r="E5494" s="24"/>
    </row>
    <row r="5495">
      <c r="A5495" s="25" t="s">
        <v>18647</v>
      </c>
      <c r="B5495" s="25" t="s">
        <v>18697</v>
      </c>
      <c r="C5495" s="26" t="str">
        <f>HYPERLINK("https://audio.iskcondesiretree.com/02_-_ISKCON_Swamis/ISKCON_Swamis_-_R_to_Y/His_Holiness_Radhanath_Swami/Lectures/05_-_Amrit_Droplets/HHRNSM_-_Amrit_Droplets_-_0048_-_Chastisement_by_Spiritual_master_is_relishable_-_IDesireTree.mp3", "HHRNSM_-_Amrit_Droplets_-_0048_-_Chastisement_by_Spiritual_master_is_relishable_-_IDesireTree.mp3")</f>
        <v>HHRNSM_-_Amrit_Droplets_-_0048_-_Chastisement_by_Spiritual_master_is_relishable_-_IDesireTree.mp3</v>
      </c>
      <c r="D5495" s="24"/>
      <c r="E5495" s="24"/>
    </row>
    <row r="5496">
      <c r="A5496" s="25" t="s">
        <v>18647</v>
      </c>
      <c r="B5496" s="25" t="s">
        <v>18698</v>
      </c>
      <c r="C5496" s="26" t="str">
        <f>HYPERLINK("https://audio.iskcondesiretree.com/02_-_ISKCON_Swamis/ISKCON_Swamis_-_R_to_Y/His_Holiness_Radhanath_Swami/Lectures/05_-_Amrit_Droplets/HHRNSM_-_Amrit_Droplets_-_0049_-_Grateful_for_being_chastised_-_IDesireTree.mp3", "HHRNSM_-_Amrit_Droplets_-_0049_-_Grateful_for_being_chastised_-_IDesireTree.mp3")</f>
        <v>HHRNSM_-_Amrit_Droplets_-_0049_-_Grateful_for_being_chastised_-_IDesireTree.mp3</v>
      </c>
      <c r="D5496" s="24"/>
      <c r="E5496" s="24"/>
    </row>
    <row r="5497">
      <c r="A5497" s="25" t="s">
        <v>18647</v>
      </c>
      <c r="B5497" s="25" t="s">
        <v>18699</v>
      </c>
      <c r="C5497" s="26" t="str">
        <f>HYPERLINK("https://audio.iskcondesiretree.com/02_-_ISKCON_Swamis/ISKCON_Swamis_-_R_to_Y/His_Holiness_Radhanath_Swami/Lectures/05_-_Amrit_Droplets/HHRNSM_-_Amrit_Droplets_-_0050_-_Human_body_is_a_chariot_to_cross_the_battlefield_of_material_world_-_IDesireTree.mp3", "HHRNSM_-_Amrit_Droplets_-_0050_-_Human_body_is_a_chariot_to_cross_the_battlefield_of_material_world_-_IDesireTree.mp3")</f>
        <v>HHRNSM_-_Amrit_Droplets_-_0050_-_Human_body_is_a_chariot_to_cross_the_battlefield_of_material_world_-_IDesireTree.mp3</v>
      </c>
      <c r="D5497" s="24"/>
      <c r="E5497" s="24"/>
    </row>
    <row r="5498">
      <c r="A5498" s="25" t="s">
        <v>18647</v>
      </c>
      <c r="B5498" s="25" t="s">
        <v>18700</v>
      </c>
      <c r="C5498" s="26" t="str">
        <f>HYPERLINK("https://audio.iskcondesiretree.com/02_-_ISKCON_Swamis/ISKCON_Swamis_-_R_to_Y/His_Holiness_Radhanath_Swami/Lectures/05_-_Amrit_Droplets/HHRNSM_-_Amrit_Droplets_-_0051_-_Offering_back_to_Krishna_with_Love_-_IDesireTree.mp3", "HHRNSM_-_Amrit_Droplets_-_0051_-_Offering_back_to_Krishna_with_Love_-_IDesireTree.mp3")</f>
        <v>HHRNSM_-_Amrit_Droplets_-_0051_-_Offering_back_to_Krishna_with_Love_-_IDesireTree.mp3</v>
      </c>
      <c r="D5498" s="24"/>
      <c r="E5498" s="24"/>
    </row>
    <row r="5499">
      <c r="A5499" s="25" t="s">
        <v>18647</v>
      </c>
      <c r="B5499" s="25" t="s">
        <v>18701</v>
      </c>
      <c r="C5499" s="26" t="str">
        <f>HYPERLINK("https://audio.iskcondesiretree.com/02_-_ISKCON_Swamis/ISKCON_Swamis_-_R_to_Y/His_Holiness_Radhanath_Swami/Lectures/05_-_Amrit_Droplets/HHRNSM_-_Amrit_Droplets_-_0052_-_Supersoul_speaks_to_us_through_Guru_-_IDesireTree.mp3", "HHRNSM_-_Amrit_Droplets_-_0052_-_Supersoul_speaks_to_us_through_Guru_-_IDesireTree.mp3")</f>
        <v>HHRNSM_-_Amrit_Droplets_-_0052_-_Supersoul_speaks_to_us_through_Guru_-_IDesireTree.mp3</v>
      </c>
      <c r="D5499" s="24"/>
      <c r="E5499" s="24"/>
    </row>
    <row r="5500">
      <c r="A5500" s="25" t="s">
        <v>18647</v>
      </c>
      <c r="B5500" s="25" t="s">
        <v>18702</v>
      </c>
      <c r="C5500" s="26" t="str">
        <f>HYPERLINK("https://audio.iskcondesiretree.com/02_-_ISKCON_Swamis/ISKCON_Swamis_-_R_to_Y/His_Holiness_Radhanath_Swami/Lectures/05_-_Amrit_Droplets/HHRNSM_-_Amrit_Droplets_-_0053_-_The_Lord%27s_Anger_is_not_like_our_anger_-_IDesireTree.mp3", "HHRNSM_-_Amrit_Droplets_-_0053_-_The_Lord%27s_Anger_is_not_like_our_anger_-_IDesireTree.mp3")</f>
        <v>HHRNSM_-_Amrit_Droplets_-_0053_-_The_Lord%27s_Anger_is_not_like_our_anger_-_IDesireTree.mp3</v>
      </c>
      <c r="D5500" s="24"/>
      <c r="E5500" s="24"/>
    </row>
    <row r="5501">
      <c r="A5501" s="25" t="s">
        <v>18647</v>
      </c>
      <c r="B5501" s="25" t="s">
        <v>18703</v>
      </c>
      <c r="C5501" s="26" t="str">
        <f>HYPERLINK("https://audio.iskcondesiretree.com/02_-_ISKCON_Swamis/ISKCON_Swamis_-_R_to_Y/His_Holiness_Radhanath_Swami/Lectures/05_-_Amrit_Droplets/HHRNSM_-_Amrit_Droplets_-_0054_-_Spiritual_master_is_the_transparent_via-medium_-_IDesireTree.mp3", "HHRNSM_-_Amrit_Droplets_-_0054_-_Spiritual_master_is_the_transparent_via-medium_-_IDesireTree.mp3")</f>
        <v>HHRNSM_-_Amrit_Droplets_-_0054_-_Spiritual_master_is_the_transparent_via-medium_-_IDesireTree.mp3</v>
      </c>
      <c r="D5501" s="24"/>
      <c r="E5501" s="24"/>
    </row>
    <row r="5502">
      <c r="A5502" s="25" t="s">
        <v>18647</v>
      </c>
      <c r="B5502" s="25" t="s">
        <v>18704</v>
      </c>
      <c r="C5502" s="26" t="str">
        <f>HYPERLINK("https://audio.iskcondesiretree.com/02_-_ISKCON_Swamis/ISKCON_Swamis_-_R_to_Y/His_Holiness_Radhanath_Swami/Lectures/05_-_Amrit_Droplets/HHRNSM_-_Amrit_Droplets_-_0055_-_Politics_are_always_changing_%26_will_keep_on_changing_-_IDesireTree.mp3", "HHRNSM_-_Amrit_Droplets_-_0055_-_Politics_are_always_changing_%26_will_keep_on_changing_-_IDesireTree.mp3")</f>
        <v>HHRNSM_-_Amrit_Droplets_-_0055_-_Politics_are_always_changing_%26_will_keep_on_changing_-_IDesireTree.mp3</v>
      </c>
      <c r="D5502" s="24"/>
      <c r="E5502" s="24"/>
    </row>
    <row r="5503">
      <c r="A5503" s="25" t="s">
        <v>18647</v>
      </c>
      <c r="B5503" s="25" t="s">
        <v>18705</v>
      </c>
      <c r="C5503" s="26" t="str">
        <f>HYPERLINK("https://audio.iskcondesiretree.com/02_-_ISKCON_Swamis/ISKCON_Swamis_-_R_to_Y/His_Holiness_Radhanath_Swami/Lectures/05_-_Amrit_Droplets/HHRNSM_-_Amrit_Droplets_-_0056_-_Greatest_gift_of_God_-_IDesireTree.mp3", "HHRNSM_-_Amrit_Droplets_-_0056_-_Greatest_gift_of_God_-_IDesireTree.mp3")</f>
        <v>HHRNSM_-_Amrit_Droplets_-_0056_-_Greatest_gift_of_God_-_IDesireTree.mp3</v>
      </c>
      <c r="D5503" s="24"/>
      <c r="E5503" s="24"/>
    </row>
    <row r="5504">
      <c r="A5504" s="25" t="s">
        <v>18647</v>
      </c>
      <c r="B5504" s="25" t="s">
        <v>18706</v>
      </c>
      <c r="C5504" s="26" t="str">
        <f>HYPERLINK("https://audio.iskcondesiretree.com/02_-_ISKCON_Swamis/ISKCON_Swamis_-_R_to_Y/His_Holiness_Radhanath_Swami/Lectures/05_-_Amrit_Droplets/HHRNSM_-_Amrit_Droplets_-_0057_-_Guru_Sadhu_Shastra_-_IDesireTree.mp3", "HHRNSM_-_Amrit_Droplets_-_0057_-_Guru_Sadhu_Shastra_-_IDesireTree.mp3")</f>
        <v>HHRNSM_-_Amrit_Droplets_-_0057_-_Guru_Sadhu_Shastra_-_IDesireTree.mp3</v>
      </c>
      <c r="D5504" s="24"/>
      <c r="E5504" s="24"/>
    </row>
    <row r="5505">
      <c r="A5505" s="25" t="s">
        <v>18647</v>
      </c>
      <c r="B5505" s="25" t="s">
        <v>18707</v>
      </c>
      <c r="C5505" s="26" t="str">
        <f>HYPERLINK("https://audio.iskcondesiretree.com/02_-_ISKCON_Swamis/ISKCON_Swamis_-_R_to_Y/His_Holiness_Radhanath_Swami/Lectures/05_-_Amrit_Droplets/HHRNSM_-_Amrit_Droplets_-_0058_-_Human_life_is_more_valuable_than_most_precious_diamond_-_IDesireTree.mp3", "HHRNSM_-_Amrit_Droplets_-_0058_-_Human_life_is_more_valuable_than_most_precious_diamond_-_IDesireTree.mp3")</f>
        <v>HHRNSM_-_Amrit_Droplets_-_0058_-_Human_life_is_more_valuable_than_most_precious_diamond_-_IDesireTree.mp3</v>
      </c>
      <c r="D5505" s="24"/>
      <c r="E5505" s="24"/>
    </row>
    <row r="5506">
      <c r="A5506" s="25" t="s">
        <v>18647</v>
      </c>
      <c r="B5506" s="25" t="s">
        <v>18708</v>
      </c>
      <c r="C5506" s="26" t="str">
        <f>HYPERLINK("https://audio.iskcondesiretree.com/02_-_ISKCON_Swamis/ISKCON_Swamis_-_R_to_Y/His_Holiness_Radhanath_Swami/Lectures/05_-_Amrit_Droplets/HHRNSM_-_Amrit_Droplets_-_0059_-_Our_opinion_is_worth_nothing_-_IDesireTree.mp3", "HHRNSM_-_Amrit_Droplets_-_0059_-_Our_opinion_is_worth_nothing_-_IDesireTree.mp3")</f>
        <v>HHRNSM_-_Amrit_Droplets_-_0059_-_Our_opinion_is_worth_nothing_-_IDesireTree.mp3</v>
      </c>
      <c r="D5506" s="24"/>
      <c r="E5506" s="24"/>
    </row>
    <row r="5507">
      <c r="A5507" s="25" t="s">
        <v>18647</v>
      </c>
      <c r="B5507" s="25" t="s">
        <v>18709</v>
      </c>
      <c r="C5507" s="26" t="str">
        <f>HYPERLINK("https://audio.iskcondesiretree.com/02_-_ISKCON_Swamis/ISKCON_Swamis_-_R_to_Y/His_Holiness_Radhanath_Swami/Lectures/05_-_Amrit_Droplets/HHRNSM_-_Amrit_Droplets_-_0060_-_Secret_of_how_to_free_ourselves_from_anxiety_-_IDesireTree.mp3", "HHRNSM_-_Amrit_Droplets_-_0060_-_Secret_of_how_to_free_ourselves_from_anxiety_-_IDesireTree.mp3")</f>
        <v>HHRNSM_-_Amrit_Droplets_-_0060_-_Secret_of_how_to_free_ourselves_from_anxiety_-_IDesireTree.mp3</v>
      </c>
      <c r="D5507" s="24"/>
      <c r="E5507" s="24"/>
    </row>
    <row r="5508">
      <c r="A5508" s="25" t="s">
        <v>18647</v>
      </c>
      <c r="B5508" s="25" t="s">
        <v>18710</v>
      </c>
      <c r="C5508" s="26" t="str">
        <f>HYPERLINK("https://audio.iskcondesiretree.com/02_-_ISKCON_Swamis/ISKCON_Swamis_-_R_to_Y/His_Holiness_Radhanath_Swami/Lectures/05_-_Amrit_Droplets/HHRNSM_-_Amrit_Droplets_-_0061_-_Spiritual_discourses_are_not_meant_for_entertainment_-_IDesireTree.mp3", "HHRNSM_-_Amrit_Droplets_-_0061_-_Spiritual_discourses_are_not_meant_for_entertainment_-_IDesireTree.mp3")</f>
        <v>HHRNSM_-_Amrit_Droplets_-_0061_-_Spiritual_discourses_are_not_meant_for_entertainment_-_IDesireTree.mp3</v>
      </c>
      <c r="D5508" s="24"/>
      <c r="E5508" s="24"/>
    </row>
    <row r="5509">
      <c r="A5509" s="25" t="s">
        <v>18647</v>
      </c>
      <c r="B5509" s="25" t="s">
        <v>18711</v>
      </c>
      <c r="C5509" s="26" t="str">
        <f>HYPERLINK("https://audio.iskcondesiretree.com/02_-_ISKCON_Swamis/ISKCON_Swamis_-_R_to_Y/His_Holiness_Radhanath_Swami/Lectures/05_-_Amrit_Droplets/HHRNSM_-_Amrit_Droplets_-_0063_-_Transcending_happiness_and_distress_-_IDesireTree.mp3", "HHRNSM_-_Amrit_Droplets_-_0063_-_Transcending_happiness_and_distress_-_IDesireTree.mp3")</f>
        <v>HHRNSM_-_Amrit_Droplets_-_0063_-_Transcending_happiness_and_distress_-_IDesireTree.mp3</v>
      </c>
      <c r="D5509" s="24"/>
      <c r="E5509" s="24"/>
    </row>
    <row r="5510">
      <c r="A5510" s="25" t="s">
        <v>18647</v>
      </c>
      <c r="B5510" s="25" t="s">
        <v>18712</v>
      </c>
      <c r="C5510" s="26" t="str">
        <f>HYPERLINK("https://audio.iskcondesiretree.com/02_-_ISKCON_Swamis/ISKCON_Swamis_-_R_to_Y/His_Holiness_Radhanath_Swami/Lectures/05_-_Amrit_Droplets/HHRNSM_-_Amrit_Droplets_-_0064_-_A_real_preacher_should_have_genuine_compassion_-_IDesireTree.mp3", "HHRNSM_-_Amrit_Droplets_-_0064_-_A_real_preacher_should_have_genuine_compassion_-_IDesireTree.mp3")</f>
        <v>HHRNSM_-_Amrit_Droplets_-_0064_-_A_real_preacher_should_have_genuine_compassion_-_IDesireTree.mp3</v>
      </c>
      <c r="D5510" s="24"/>
      <c r="E5510" s="24"/>
    </row>
    <row r="5511">
      <c r="A5511" s="25" t="s">
        <v>18647</v>
      </c>
      <c r="B5511" s="25" t="s">
        <v>18713</v>
      </c>
      <c r="C5511" s="26" t="str">
        <f>HYPERLINK("https://audio.iskcondesiretree.com/02_-_ISKCON_Swamis/ISKCON_Swamis_-_R_to_Y/His_Holiness_Radhanath_Swami/Lectures/05_-_Amrit_Droplets/HHRNSM_-_Amrit_Droplets_-_0065_-_Silent_chanting_or_loud_chanting_-_IDesireTree.mp3", "HHRNSM_-_Amrit_Droplets_-_0065_-_Silent_chanting_or_loud_chanting_-_IDesireTree.mp3")</f>
        <v>HHRNSM_-_Amrit_Droplets_-_0065_-_Silent_chanting_or_loud_chanting_-_IDesireTree.mp3</v>
      </c>
      <c r="D5511" s="24"/>
      <c r="E5511" s="24"/>
    </row>
    <row r="5512">
      <c r="A5512" s="25" t="s">
        <v>18647</v>
      </c>
      <c r="B5512" s="25" t="s">
        <v>18714</v>
      </c>
      <c r="C5512" s="26" t="str">
        <f>HYPERLINK("https://audio.iskcondesiretree.com/02_-_ISKCON_Swamis/ISKCON_Swamis_-_R_to_Y/His_Holiness_Radhanath_Swami/Lectures/05_-_Amrit_Droplets/HHRNSM_-_Amrit_Droplets_-_0066_-_The_Greatest_sacrifice_-_IDesireTree.mp3", "HHRNSM_-_Amrit_Droplets_-_0066_-_The_Greatest_sacrifice_-_IDesireTree.mp3")</f>
        <v>HHRNSM_-_Amrit_Droplets_-_0066_-_The_Greatest_sacrifice_-_IDesireTree.mp3</v>
      </c>
      <c r="D5512" s="24"/>
      <c r="E5512" s="24"/>
    </row>
    <row r="5513">
      <c r="A5513" s="25" t="s">
        <v>18647</v>
      </c>
      <c r="B5513" s="25" t="s">
        <v>18715</v>
      </c>
      <c r="C5513" s="26" t="str">
        <f>HYPERLINK("https://audio.iskcondesiretree.com/02_-_ISKCON_Swamis/ISKCON_Swamis_-_R_to_Y/His_Holiness_Radhanath_Swami/Lectures/05_-_Amrit_Droplets/HHRNSM_-_Amrit_Droplets_-_0067_-_The_Supreme_Austerity_-_IDesireTree.mp3", "HHRNSM_-_Amrit_Droplets_-_0067_-_The_Supreme_Austerity_-_IDesireTree.mp3")</f>
        <v>HHRNSM_-_Amrit_Droplets_-_0067_-_The_Supreme_Austerity_-_IDesireTree.mp3</v>
      </c>
      <c r="D5513" s="24"/>
      <c r="E5513" s="24"/>
    </row>
    <row r="5514">
      <c r="A5514" s="25" t="s">
        <v>18647</v>
      </c>
      <c r="B5514" s="25" t="s">
        <v>18716</v>
      </c>
      <c r="C5514" s="26" t="str">
        <f>HYPERLINK("https://audio.iskcondesiretree.com/02_-_ISKCON_Swamis/ISKCON_Swamis_-_R_to_Y/His_Holiness_Radhanath_Swami/Lectures/05_-_Amrit_Droplets/HHRNSM_-_Amrit_Droplets_-_0068_-_This_material_world_is_a_prison_-_IDesireTree.mp3", "HHRNSM_-_Amrit_Droplets_-_0068_-_This_material_world_is_a_prison_-_IDesireTree.mp3")</f>
        <v>HHRNSM_-_Amrit_Droplets_-_0068_-_This_material_world_is_a_prison_-_IDesireTree.mp3</v>
      </c>
      <c r="D5514" s="24"/>
      <c r="E5514" s="24"/>
    </row>
    <row r="5515">
      <c r="A5515" s="25" t="s">
        <v>18647</v>
      </c>
      <c r="B5515" s="25" t="s">
        <v>18717</v>
      </c>
      <c r="C5515" s="26" t="str">
        <f>HYPERLINK("https://audio.iskcondesiretree.com/02_-_ISKCON_Swamis/ISKCON_Swamis_-_R_to_Y/His_Holiness_Radhanath_Swami/Lectures/05_-_Amrit_Droplets/HHRNSM_-_Amrit_Droplets_-_0069_-_What_does_it_mean_to_rise_above_dualities_-_IDesireTree.mp3", "HHRNSM_-_Amrit_Droplets_-_0069_-_What_does_it_mean_to_rise_above_dualities_-_IDesireTree.mp3")</f>
        <v>HHRNSM_-_Amrit_Droplets_-_0069_-_What_does_it_mean_to_rise_above_dualities_-_IDesireTree.mp3</v>
      </c>
      <c r="D5515" s="24"/>
      <c r="E5515" s="24"/>
    </row>
    <row r="5516">
      <c r="A5516" s="25" t="s">
        <v>18647</v>
      </c>
      <c r="B5516" s="25" t="s">
        <v>18718</v>
      </c>
      <c r="C5516" s="26" t="str">
        <f>HYPERLINK("https://audio.iskcondesiretree.com/02_-_ISKCON_Swamis/ISKCON_Swamis_-_R_to_Y/His_Holiness_Radhanath_Swami/Lectures/05_-_Amrit_Droplets/HHRNSM_-_Amrit_Droplets_-_0070_-_Effect_of_Blaspheming_the_Holy_Names_-_IDesireTree.mp3", "HHRNSM_-_Amrit_Droplets_-_0070_-_Effect_of_Blaspheming_the_Holy_Names_-_IDesireTree.mp3")</f>
        <v>HHRNSM_-_Amrit_Droplets_-_0070_-_Effect_of_Blaspheming_the_Holy_Names_-_IDesireTree.mp3</v>
      </c>
      <c r="D5516" s="24"/>
      <c r="E5516" s="24"/>
    </row>
    <row r="5517">
      <c r="A5517" s="25" t="s">
        <v>18647</v>
      </c>
      <c r="B5517" s="25" t="s">
        <v>18719</v>
      </c>
      <c r="C5517" s="26" t="str">
        <f>HYPERLINK("https://audio.iskcondesiretree.com/02_-_ISKCON_Swamis/ISKCON_Swamis_-_R_to_Y/His_Holiness_Radhanath_Swami/Lectures/05_-_Amrit_Droplets/HHRNSM_-_Amrit_Droplets_-_0071_-_Power_of_Mahamantra_-_IDesireTree.mp3", "HHRNSM_-_Amrit_Droplets_-_0071_-_Power_of_Mahamantra_-_IDesireTree.mp3")</f>
        <v>HHRNSM_-_Amrit_Droplets_-_0071_-_Power_of_Mahamantra_-_IDesireTree.mp3</v>
      </c>
      <c r="D5517" s="24"/>
      <c r="E5517" s="24"/>
    </row>
    <row r="5518">
      <c r="A5518" s="25" t="s">
        <v>18647</v>
      </c>
      <c r="B5518" s="25" t="s">
        <v>18720</v>
      </c>
      <c r="C5518" s="26" t="str">
        <f>HYPERLINK("https://audio.iskcondesiretree.com/02_-_ISKCON_Swamis/ISKCON_Swamis_-_R_to_Y/His_Holiness_Radhanath_Swami/Lectures/05_-_Amrit_Droplets/HHRNSM_-_Amrit_Droplets_-_0072_-_Purpose_of_knowledge_IDesireTree.mp3", "HHRNSM_-_Amrit_Droplets_-_0072_-_Purpose_of_knowledge_IDesireTree.mp3")</f>
        <v>HHRNSM_-_Amrit_Droplets_-_0072_-_Purpose_of_knowledge_IDesireTree.mp3</v>
      </c>
      <c r="D5518" s="24"/>
      <c r="E5518" s="24"/>
    </row>
    <row r="5519">
      <c r="A5519" s="25" t="s">
        <v>18647</v>
      </c>
      <c r="B5519" s="25" t="s">
        <v>18721</v>
      </c>
      <c r="C5519" s="26" t="str">
        <f>HYPERLINK("https://audio.iskcondesiretree.com/02_-_ISKCON_Swamis/ISKCON_Swamis_-_R_to_Y/His_Holiness_Radhanath_Swami/Lectures/05_-_Amrit_Droplets/HHRNSM_-_Amrit_Droplets_-_0073_-_How_can_we_expect_to_see_the_soul_-_IDesireTree.mp3", "HHRNSM_-_Amrit_Droplets_-_0073_-_How_can_we_expect_to_see_the_soul_-_IDesireTree.mp3")</f>
        <v>HHRNSM_-_Amrit_Droplets_-_0073_-_How_can_we_expect_to_see_the_soul_-_IDesireTree.mp3</v>
      </c>
      <c r="D5519" s="24"/>
      <c r="E5519" s="24"/>
    </row>
    <row r="5520">
      <c r="A5520" s="25" t="s">
        <v>18647</v>
      </c>
      <c r="B5520" s="25" t="s">
        <v>18722</v>
      </c>
      <c r="C5520" s="26" t="str">
        <f>HYPERLINK("https://audio.iskcondesiretree.com/02_-_ISKCON_Swamis/ISKCON_Swamis_-_R_to_Y/His_Holiness_Radhanath_Swami/Lectures/05_-_Amrit_Droplets/HHRNSM_-_Amrit_Droplets_-_0074_-_Importance_of_Prabhupad_books_and_appeal_to_devotees_-_IDesireTree.mp3", "HHRNSM_-_Amrit_Droplets_-_0074_-_Importance_of_Prabhupad_books_and_appeal_to_devotees_-_IDesireTree.mp3")</f>
        <v>HHRNSM_-_Amrit_Droplets_-_0074_-_Importance_of_Prabhupad_books_and_appeal_to_devotees_-_IDesireTree.mp3</v>
      </c>
      <c r="D5520" s="24"/>
      <c r="E5520" s="24"/>
    </row>
    <row r="5521">
      <c r="A5521" s="25" t="s">
        <v>18647</v>
      </c>
      <c r="B5521" s="25" t="s">
        <v>18723</v>
      </c>
      <c r="C5521" s="26" t="str">
        <f>HYPERLINK("https://audio.iskcondesiretree.com/02_-_ISKCON_Swamis/ISKCON_Swamis_-_R_to_Y/His_Holiness_Radhanath_Swami/Lectures/05_-_Amrit_Droplets/HHRNSM_-_Amrit_Droplets_-_0075_-_Proof_of_God%27s_Existence_-_IDesireTree.mp3", "HHRNSM_-_Amrit_Droplets_-_0075_-_Proof_of_God%27s_Existence_-_IDesireTree.mp3")</f>
        <v>HHRNSM_-_Amrit_Droplets_-_0075_-_Proof_of_God%27s_Existence_-_IDesireTree.mp3</v>
      </c>
      <c r="D5521" s="24"/>
      <c r="E5521" s="24"/>
    </row>
    <row r="5522">
      <c r="A5522" s="25" t="s">
        <v>18647</v>
      </c>
      <c r="B5522" s="25" t="s">
        <v>18724</v>
      </c>
      <c r="C5522" s="26" t="str">
        <f>HYPERLINK("https://audio.iskcondesiretree.com/02_-_ISKCON_Swamis/ISKCON_Swamis_-_R_to_Y/His_Holiness_Radhanath_Swami/Lectures/05_-_Amrit_Droplets/HHRNSM_-_Amrit_Droplets_-_0076_-_Significance_of_raising_arms_while_chanting_-_IDesireTree.mp3", "HHRNSM_-_Amrit_Droplets_-_0076_-_Significance_of_raising_arms_while_chanting_-_IDesireTree.mp3")</f>
        <v>HHRNSM_-_Amrit_Droplets_-_0076_-_Significance_of_raising_arms_while_chanting_-_IDesireTree.mp3</v>
      </c>
      <c r="D5522" s="24"/>
      <c r="E5522" s="24"/>
    </row>
    <row r="5523">
      <c r="A5523" s="25" t="s">
        <v>18647</v>
      </c>
      <c r="B5523" s="25" t="s">
        <v>18725</v>
      </c>
      <c r="C5523" s="26" t="str">
        <f>HYPERLINK("https://audio.iskcondesiretree.com/02_-_ISKCON_Swamis/ISKCON_Swamis_-_R_to_Y/His_Holiness_Radhanath_Swami/Lectures/05_-_Amrit_Droplets/HHRNSM_-_Amrit_Droplets_-_0077_-_We_are_building_sand_castles_-_IDesireTree.mp3", "HHRNSM_-_Amrit_Droplets_-_0077_-_We_are_building_sand_castles_-_IDesireTree.mp3")</f>
        <v>HHRNSM_-_Amrit_Droplets_-_0077_-_We_are_building_sand_castles_-_IDesireTree.mp3</v>
      </c>
      <c r="D5523" s="24"/>
      <c r="E5523" s="24"/>
    </row>
    <row r="5524">
      <c r="A5524" s="25" t="s">
        <v>18647</v>
      </c>
      <c r="B5524" s="25" t="s">
        <v>18726</v>
      </c>
      <c r="C5524" s="26" t="str">
        <f>HYPERLINK("https://audio.iskcondesiretree.com/02_-_ISKCON_Swamis/ISKCON_Swamis_-_R_to_Y/His_Holiness_Radhanath_Swami/Lectures/05_-_Amrit_Droplets/HHRNSM_-_Amrit_Droplets_-_0078_-_We_are_so_dull_headed_-_IDesireTree.mp3", "HHRNSM_-_Amrit_Droplets_-_0078_-_We_are_so_dull_headed_-_IDesireTree.mp3")</f>
        <v>HHRNSM_-_Amrit_Droplets_-_0078_-_We_are_so_dull_headed_-_IDesireTree.mp3</v>
      </c>
      <c r="D5524" s="24"/>
      <c r="E5524" s="24"/>
    </row>
    <row r="5525">
      <c r="A5525" s="25" t="s">
        <v>18647</v>
      </c>
      <c r="B5525" s="25" t="s">
        <v>18727</v>
      </c>
      <c r="C5525" s="26" t="str">
        <f>HYPERLINK("https://audio.iskcondesiretree.com/02_-_ISKCON_Swamis/ISKCON_Swamis_-_R_to_Y/His_Holiness_Radhanath_Swami/Lectures/05_-_Amrit_Droplets/HHRNSM_-_Amrit_Droplets_-_0079_-_What_is_the_prime_duty_of_a_person_who_is_about_to_die_-_IDesireTree.mp3", "HHRNSM_-_Amrit_Droplets_-_0079_-_What_is_the_prime_duty_of_a_person_who_is_about_to_die_-_IDesireTree.mp3")</f>
        <v>HHRNSM_-_Amrit_Droplets_-_0079_-_What_is_the_prime_duty_of_a_person_who_is_about_to_die_-_IDesireTree.mp3</v>
      </c>
      <c r="D5525" s="24"/>
      <c r="E5525" s="24"/>
    </row>
    <row r="5526">
      <c r="A5526" s="25" t="s">
        <v>18647</v>
      </c>
      <c r="B5526" s="25" t="s">
        <v>18728</v>
      </c>
      <c r="C5526" s="26" t="str">
        <f>HYPERLINK("https://audio.iskcondesiretree.com/02_-_ISKCON_Swamis/ISKCON_Swamis_-_R_to_Y/His_Holiness_Radhanath_Swami/Lectures/05_-_Amrit_Droplets/HHRNSM_-_Amrit_Droplets_-_0080_-_All_we_do_is_chanting_dancing_and_feasting_-_IDesireTree.mp3", "HHRNSM_-_Amrit_Droplets_-_0080_-_All_we_do_is_chanting_dancing_and_feasting_-_IDesireTree.mp3")</f>
        <v>HHRNSM_-_Amrit_Droplets_-_0080_-_All_we_do_is_chanting_dancing_and_feasting_-_IDesireTree.mp3</v>
      </c>
      <c r="D5526" s="24"/>
      <c r="E5526" s="24"/>
    </row>
    <row r="5527">
      <c r="A5527" s="25" t="s">
        <v>18647</v>
      </c>
      <c r="B5527" s="25" t="s">
        <v>18729</v>
      </c>
      <c r="C5527" s="26" t="str">
        <f>HYPERLINK("https://audio.iskcondesiretree.com/02_-_ISKCON_Swamis/ISKCON_Swamis_-_R_to_Y/His_Holiness_Radhanath_Swami/Lectures/05_-_Amrit_Droplets/HHRNSM_-_Amrit_Droplets_-_0081_-_Being_grateful_in_every_condition_-_IDesireTree.mp3", "HHRNSM_-_Amrit_Droplets_-_0081_-_Being_grateful_in_every_condition_-_IDesireTree.mp3")</f>
        <v>HHRNSM_-_Amrit_Droplets_-_0081_-_Being_grateful_in_every_condition_-_IDesireTree.mp3</v>
      </c>
      <c r="D5527" s="24"/>
      <c r="E5527" s="24"/>
    </row>
    <row r="5528">
      <c r="A5528" s="25" t="s">
        <v>18647</v>
      </c>
      <c r="B5528" s="25" t="s">
        <v>18730</v>
      </c>
      <c r="C5528" s="26" t="str">
        <f>HYPERLINK("https://audio.iskcondesiretree.com/02_-_ISKCON_Swamis/ISKCON_Swamis_-_R_to_Y/His_Holiness_Radhanath_Swami/Lectures/05_-_Amrit_Droplets/HHRNSM_-_Amrit_Droplets_-_0082_-_How_to_become_resolute_in_purpose_-_IDesireTree.mp3", "HHRNSM_-_Amrit_Droplets_-_0082_-_How_to_become_resolute_in_purpose_-_IDesireTree.mp3")</f>
        <v>HHRNSM_-_Amrit_Droplets_-_0082_-_How_to_become_resolute_in_purpose_-_IDesireTree.mp3</v>
      </c>
      <c r="D5528" s="24"/>
      <c r="E5528" s="24"/>
    </row>
    <row r="5529">
      <c r="A5529" s="25" t="s">
        <v>18647</v>
      </c>
      <c r="B5529" s="25" t="s">
        <v>18731</v>
      </c>
      <c r="C5529" s="26" t="str">
        <f>HYPERLINK("https://audio.iskcondesiretree.com/02_-_ISKCON_Swamis/ISKCON_Swamis_-_R_to_Y/His_Holiness_Radhanath_Swami/Lectures/05_-_Amrit_Droplets/HHRNSM_-_Amrit_Droplets_-_0083_-_Mad_Elephant_offense_-_IDesireTree.mp3", "HHRNSM_-_Amrit_Droplets_-_0083_-_Mad_Elephant_offense_-_IDesireTree.mp3")</f>
        <v>HHRNSM_-_Amrit_Droplets_-_0083_-_Mad_Elephant_offense_-_IDesireTree.mp3</v>
      </c>
      <c r="D5529" s="24"/>
      <c r="E5529" s="24"/>
    </row>
    <row r="5530">
      <c r="A5530" s="25" t="s">
        <v>18647</v>
      </c>
      <c r="B5530" s="25" t="s">
        <v>18732</v>
      </c>
      <c r="C5530" s="26" t="str">
        <f>HYPERLINK("https://audio.iskcondesiretree.com/02_-_ISKCON_Swamis/ISKCON_Swamis_-_R_to_Y/His_Holiness_Radhanath_Swami/Lectures/05_-_Amrit_Droplets/HHRNSM_-_Amrit_Droplets_-_0084_-_Meaning_of_Krishna_consciousness_-_IDesireTree.mp3", "HHRNSM_-_Amrit_Droplets_-_0084_-_Meaning_of_Krishna_consciousness_-_IDesireTree.mp3")</f>
        <v>HHRNSM_-_Amrit_Droplets_-_0084_-_Meaning_of_Krishna_consciousness_-_IDesireTree.mp3</v>
      </c>
      <c r="D5530" s="24"/>
      <c r="E5530" s="24"/>
    </row>
    <row r="5531">
      <c r="A5531" s="25" t="s">
        <v>18647</v>
      </c>
      <c r="B5531" s="25" t="s">
        <v>18733</v>
      </c>
      <c r="C5531" s="26" t="str">
        <f>HYPERLINK("https://audio.iskcondesiretree.com/02_-_ISKCON_Swamis/ISKCON_Swamis_-_R_to_Y/His_Holiness_Radhanath_Swami/Lectures/05_-_Amrit_Droplets/HHRNSM_-_Amrit_Droplets_-_0085_-_Not_necessary_to_give_up_occupational_duties_-_IDesireTree.mp3", "HHRNSM_-_Amrit_Droplets_-_0085_-_Not_necessary_to_give_up_occupational_duties_-_IDesireTree.mp3")</f>
        <v>HHRNSM_-_Amrit_Droplets_-_0085_-_Not_necessary_to_give_up_occupational_duties_-_IDesireTree.mp3</v>
      </c>
      <c r="D5531" s="24"/>
      <c r="E5531" s="24"/>
    </row>
    <row r="5532">
      <c r="A5532" s="25" t="s">
        <v>18647</v>
      </c>
      <c r="B5532" s="25" t="s">
        <v>18734</v>
      </c>
      <c r="C5532" s="26" t="str">
        <f>HYPERLINK("https://audio.iskcondesiretree.com/02_-_ISKCON_Swamis/ISKCON_Swamis_-_R_to_Y/His_Holiness_Radhanath_Swami/Lectures/05_-_Amrit_Droplets/HHRNSM_-_Amrit_Droplets_-_0086_-_Price_for_getting_love_of_Krishna_-_IDesireTree.mp3", "HHRNSM_-_Amrit_Droplets_-_0086_-_Price_for_getting_love_of_Krishna_-_IDesireTree.mp3")</f>
        <v>HHRNSM_-_Amrit_Droplets_-_0086_-_Price_for_getting_love_of_Krishna_-_IDesireTree.mp3</v>
      </c>
      <c r="D5532" s="24"/>
      <c r="E5532" s="24"/>
    </row>
    <row r="5533">
      <c r="A5533" s="25" t="s">
        <v>18647</v>
      </c>
      <c r="B5533" s="25" t="s">
        <v>18735</v>
      </c>
      <c r="C5533" s="26" t="str">
        <f>HYPERLINK("https://audio.iskcondesiretree.com/02_-_ISKCON_Swamis/ISKCON_Swamis_-_R_to_Y/His_Holiness_Radhanath_Swami/Lectures/05_-_Amrit_Droplets/HHRNSM_-_Amrit_Droplets_-_0087_-_Rejecting_what_is_unfavourable_-_IDesireTree.mp3", "HHRNSM_-_Amrit_Droplets_-_0087_-_Rejecting_what_is_unfavourable_-_IDesireTree.mp3")</f>
        <v>HHRNSM_-_Amrit_Droplets_-_0087_-_Rejecting_what_is_unfavourable_-_IDesireTree.mp3</v>
      </c>
      <c r="D5533" s="24"/>
      <c r="E5533" s="24"/>
    </row>
    <row r="5534">
      <c r="A5534" s="25" t="s">
        <v>18647</v>
      </c>
      <c r="B5534" s="25" t="s">
        <v>18736</v>
      </c>
      <c r="C5534" s="26" t="str">
        <f>HYPERLINK("https://audio.iskcondesiretree.com/02_-_ISKCON_Swamis/ISKCON_Swamis_-_R_to_Y/His_Holiness_Radhanath_Swami/Lectures/05_-_Amrit_Droplets/HHRNSM_-_Amrit_Droplets_-_0088_-_The_way_we_should_approach_scriptures_-_IDesireTree.mp3", "HHRNSM_-_Amrit_Droplets_-_0088_-_The_way_we_should_approach_scriptures_-_IDesireTree.mp3")</f>
        <v>HHRNSM_-_Amrit_Droplets_-_0088_-_The_way_we_should_approach_scriptures_-_IDesireTree.mp3</v>
      </c>
      <c r="D5534" s="24"/>
      <c r="E5534" s="24"/>
    </row>
    <row r="5535">
      <c r="A5535" s="25" t="s">
        <v>18647</v>
      </c>
      <c r="B5535" s="25" t="s">
        <v>18737</v>
      </c>
      <c r="C5535" s="26" t="str">
        <f>HYPERLINK("https://audio.iskcondesiretree.com/02_-_ISKCON_Swamis/ISKCON_Swamis_-_R_to_Y/His_Holiness_Radhanath_Swami/Lectures/05_-_Amrit_Droplets/HHRNSM_-_Amrit_Droplets_-_0089_-_Why_do_we_not_see_Krishna_everywhere_-_IDesireTree.mp3", "HHRNSM_-_Amrit_Droplets_-_0089_-_Why_do_we_not_see_Krishna_everywhere_-_IDesireTree.mp3")</f>
        <v>HHRNSM_-_Amrit_Droplets_-_0089_-_Why_do_we_not_see_Krishna_everywhere_-_IDesireTree.mp3</v>
      </c>
      <c r="D5535" s="24"/>
      <c r="E5535" s="24"/>
    </row>
    <row r="5536">
      <c r="A5536" s="25" t="s">
        <v>18647</v>
      </c>
      <c r="B5536" s="25" t="s">
        <v>18738</v>
      </c>
      <c r="C5536" s="26" t="str">
        <f>HYPERLINK("https://audio.iskcondesiretree.com/02_-_ISKCON_Swamis/ISKCON_Swamis_-_R_to_Y/His_Holiness_Radhanath_Swami/Lectures/05_-_Amrit_Droplets/HHRNSM_-_Amrit_Droplets_-_0090_-_Chanting_with_enthusiasm_is_great_service_-_IDesireTree.mp3", "HHRNSM_-_Amrit_Droplets_-_0090_-_Chanting_with_enthusiasm_is_great_service_-_IDesireTree.mp3")</f>
        <v>HHRNSM_-_Amrit_Droplets_-_0090_-_Chanting_with_enthusiasm_is_great_service_-_IDesireTree.mp3</v>
      </c>
      <c r="D5536" s="24"/>
      <c r="E5536" s="24"/>
    </row>
    <row r="5537">
      <c r="A5537" s="25" t="s">
        <v>18647</v>
      </c>
      <c r="B5537" s="25" t="s">
        <v>18739</v>
      </c>
      <c r="C5537" s="26" t="str">
        <f>HYPERLINK("https://audio.iskcondesiretree.com/02_-_ISKCON_Swamis/ISKCON_Swamis_-_R_to_Y/His_Holiness_Radhanath_Swami/Lectures/05_-_Amrit_Droplets/HHRNSM_-_Amrit_Droplets_-_0091_-_Following_in_the_footsteps_of_Bharat_Maharaj_-_IDesireTree.mp3", "HHRNSM_-_Amrit_Droplets_-_0091_-_Following_in_the_footsteps_of_Bharat_Maharaj_-_IDesireTree.mp3")</f>
        <v>HHRNSM_-_Amrit_Droplets_-_0091_-_Following_in_the_footsteps_of_Bharat_Maharaj_-_IDesireTree.mp3</v>
      </c>
      <c r="D5537" s="24"/>
      <c r="E5537" s="24"/>
    </row>
    <row r="5538">
      <c r="A5538" s="25" t="s">
        <v>18647</v>
      </c>
      <c r="B5538" s="25" t="s">
        <v>18740</v>
      </c>
      <c r="C5538" s="26" t="str">
        <f>HYPERLINK("https://audio.iskcondesiretree.com/02_-_ISKCON_Swamis/ISKCON_Swamis_-_R_to_Y/His_Holiness_Radhanath_Swami/Lectures/05_-_Amrit_Droplets/HHRNSM_-_Amrit_Droplets_-_0092_-_Essence_of_scriptures_can_only_be_understood_from_Acharya_-_IDesireTree.mp3", "HHRNSM_-_Amrit_Droplets_-_0092_-_Essence_of_scriptures_can_only_be_understood_from_Acharya_-_IDesireTree.mp3")</f>
        <v>HHRNSM_-_Amrit_Droplets_-_0092_-_Essence_of_scriptures_can_only_be_understood_from_Acharya_-_IDesireTree.mp3</v>
      </c>
      <c r="D5538" s="24"/>
      <c r="E5538" s="24"/>
    </row>
    <row r="5539">
      <c r="A5539" s="25" t="s">
        <v>18647</v>
      </c>
      <c r="B5539" s="25" t="s">
        <v>18741</v>
      </c>
      <c r="C5539" s="26" t="str">
        <f>HYPERLINK("https://audio.iskcondesiretree.com/02_-_ISKCON_Swamis/ISKCON_Swamis_-_R_to_Y/His_Holiness_Radhanath_Swami/Lectures/05_-_Amrit_Droplets/HHRNSM_-_Amrit_Droplets_-_0093_-_Die_to_live_-_IDesireTree.mp3", "HHRNSM_-_Amrit_Droplets_-_0093_-_Die_to_live_-_IDesireTree.mp3")</f>
        <v>HHRNSM_-_Amrit_Droplets_-_0093_-_Die_to_live_-_IDesireTree.mp3</v>
      </c>
      <c r="D5539" s="24"/>
      <c r="E5539" s="24"/>
    </row>
    <row r="5540">
      <c r="A5540" s="25" t="s">
        <v>18647</v>
      </c>
      <c r="B5540" s="25" t="s">
        <v>18742</v>
      </c>
      <c r="C5540" s="26" t="str">
        <f>HYPERLINK("https://audio.iskcondesiretree.com/02_-_ISKCON_Swamis/ISKCON_Swamis_-_R_to_Y/His_Holiness_Radhanath_Swami/Lectures/05_-_Amrit_Droplets/HHRNSM_-_Amrit_Droplets_-_0094_-_Devotees_are_not_hard_hearted_-_IDesireTree.mp3", "HHRNSM_-_Amrit_Droplets_-_0094_-_Devotees_are_not_hard_hearted_-_IDesireTree.mp3")</f>
        <v>HHRNSM_-_Amrit_Droplets_-_0094_-_Devotees_are_not_hard_hearted_-_IDesireTree.mp3</v>
      </c>
      <c r="D5540" s="24"/>
      <c r="E5540" s="24"/>
    </row>
    <row r="5541">
      <c r="A5541" s="25" t="s">
        <v>18647</v>
      </c>
      <c r="B5541" s="25" t="s">
        <v>18743</v>
      </c>
      <c r="C5541" s="26" t="str">
        <f>HYPERLINK("https://audio.iskcondesiretree.com/02_-_ISKCON_Swamis/ISKCON_Swamis_-_R_to_Y/His_Holiness_Radhanath_Swami/Lectures/05_-_Amrit_Droplets/HHRNSM_-_Amrit_Droplets_-_0095_-_You_can_feed_stomach_only_through_the_mouth_-_IDesireTree.mp3", "HHRNSM_-_Amrit_Droplets_-_0095_-_You_can_feed_stomach_only_through_the_mouth_-_IDesireTree.mp3")</f>
        <v>HHRNSM_-_Amrit_Droplets_-_0095_-_You_can_feed_stomach_only_through_the_mouth_-_IDesireTree.mp3</v>
      </c>
      <c r="D5541" s="24"/>
      <c r="E5541" s="24"/>
    </row>
    <row r="5542">
      <c r="A5542" s="25" t="s">
        <v>18647</v>
      </c>
      <c r="B5542" s="25" t="s">
        <v>18744</v>
      </c>
      <c r="C5542" s="26" t="str">
        <f>HYPERLINK("https://audio.iskcondesiretree.com/02_-_ISKCON_Swamis/ISKCON_Swamis_-_R_to_Y/His_Holiness_Radhanath_Swami/Lectures/05_-_Amrit_Droplets/HHRNSM_-_Amrit_Droplets_-_0096_-_Only_criteria_for_making_decisions_in_life_-_IDesireTree.mp3", "HHRNSM_-_Amrit_Droplets_-_0096_-_Only_criteria_for_making_decisions_in_life_-_IDesireTree.mp3")</f>
        <v>HHRNSM_-_Amrit_Droplets_-_0096_-_Only_criteria_for_making_decisions_in_life_-_IDesireTree.mp3</v>
      </c>
      <c r="D5542" s="24"/>
      <c r="E5542" s="24"/>
    </row>
    <row r="5543">
      <c r="A5543" s="25" t="s">
        <v>18647</v>
      </c>
      <c r="B5543" s="25" t="s">
        <v>18745</v>
      </c>
      <c r="C5543" s="26" t="str">
        <f>HYPERLINK("https://audio.iskcondesiretree.com/02_-_ISKCON_Swamis/ISKCON_Swamis_-_R_to_Y/His_Holiness_Radhanath_Swami/Lectures/05_-_Amrit_Droplets/HHRNSM_-_Amrit_Droplets_-_0097_-_Friction_in_the_automobile_of_material_existence_-_IDesireTree.mp3", "HHRNSM_-_Amrit_Droplets_-_0097_-_Friction_in_the_automobile_of_material_existence_-_IDesireTree.mp3")</f>
        <v>HHRNSM_-_Amrit_Droplets_-_0097_-_Friction_in_the_automobile_of_material_existence_-_IDesireTree.mp3</v>
      </c>
      <c r="D5543" s="24"/>
      <c r="E5543" s="24"/>
    </row>
    <row r="5544">
      <c r="A5544" s="25" t="s">
        <v>18647</v>
      </c>
      <c r="B5544" s="25" t="s">
        <v>18746</v>
      </c>
      <c r="C5544" s="26" t="str">
        <f>HYPERLINK("https://audio.iskcondesiretree.com/02_-_ISKCON_Swamis/ISKCON_Swamis_-_R_to_Y/His_Holiness_Radhanath_Swami/Lectures/05_-_Amrit_Droplets/HHRNSM_-_Amrit_Droplets_-_0098_-_How_do_we_purify_our_hearts_-_IDesireTree.mp3", "HHRNSM_-_Amrit_Droplets_-_0098_-_How_do_we_purify_our_hearts_-_IDesireTree.mp3")</f>
        <v>HHRNSM_-_Amrit_Droplets_-_0098_-_How_do_we_purify_our_hearts_-_IDesireTree.mp3</v>
      </c>
      <c r="D5544" s="24"/>
      <c r="E5544" s="24"/>
    </row>
    <row r="5545">
      <c r="A5545" s="25" t="s">
        <v>18647</v>
      </c>
      <c r="B5545" s="25" t="s">
        <v>18747</v>
      </c>
      <c r="C5545" s="26" t="str">
        <f>HYPERLINK("https://audio.iskcondesiretree.com/02_-_ISKCON_Swamis/ISKCON_Swamis_-_R_to_Y/His_Holiness_Radhanath_Swami/Lectures/05_-_Amrit_Droplets/HHRNSM_-_Amrit_Droplets_-_0099_-_Love_is_realisation_of_knowledge_-_IDesireTree.mp3", "HHRNSM_-_Amrit_Droplets_-_0099_-_Love_is_realisation_of_knowledge_-_IDesireTree.mp3")</f>
        <v>HHRNSM_-_Amrit_Droplets_-_0099_-_Love_is_realisation_of_knowledge_-_IDesireTree.mp3</v>
      </c>
      <c r="D5545" s="24"/>
      <c r="E5545" s="24"/>
    </row>
    <row r="5546">
      <c r="A5546" s="25" t="s">
        <v>18647</v>
      </c>
      <c r="B5546" s="25" t="s">
        <v>18748</v>
      </c>
      <c r="C5546" s="26" t="str">
        <f>HYPERLINK("https://audio.iskcondesiretree.com/02_-_ISKCON_Swamis/ISKCON_Swamis_-_R_to_Y/His_Holiness_Radhanath_Swami/Lectures/05_-_Amrit_Droplets/HHRNSM_-_Amrit_Droplets_-_0100_-_Real_love_is_love_for_the_soul_-_IDesireTree.mp3", "HHRNSM_-_Amrit_Droplets_-_0100_-_Real_love_is_love_for_the_soul_-_IDesireTree.mp3")</f>
        <v>HHRNSM_-_Amrit_Droplets_-_0100_-_Real_love_is_love_for_the_soul_-_IDesireTree.mp3</v>
      </c>
      <c r="D5546" s="24"/>
      <c r="E5546" s="24"/>
    </row>
    <row r="5547">
      <c r="A5547" s="25" t="s">
        <v>18647</v>
      </c>
      <c r="B5547" s="25" t="s">
        <v>18749</v>
      </c>
      <c r="C5547" s="26" t="str">
        <f>HYPERLINK("https://audio.iskcondesiretree.com/02_-_ISKCON_Swamis/ISKCON_Swamis_-_R_to_Y/His_Holiness_Radhanath_Swami/Lectures/05_-_Amrit_Droplets/HHRNSM_-_Amrit_Droplets_-_0101_-_Without_loving_God_one_cannot_love_anyone_else_-_IDesireTree.mp3", "HHRNSM_-_Amrit_Droplets_-_0101_-_Without_loving_God_one_cannot_love_anyone_else_-_IDesireTree.mp3")</f>
        <v>HHRNSM_-_Amrit_Droplets_-_0101_-_Without_loving_God_one_cannot_love_anyone_else_-_IDesireTree.mp3</v>
      </c>
      <c r="D5547" s="24"/>
      <c r="E5547" s="24"/>
    </row>
    <row r="5548">
      <c r="A5548" s="25" t="s">
        <v>18647</v>
      </c>
      <c r="B5548" s="25" t="s">
        <v>18750</v>
      </c>
      <c r="C5548" s="26" t="str">
        <f>HYPERLINK("https://audio.iskcondesiretree.com/02_-_ISKCON_Swamis/ISKCON_Swamis_-_R_to_Y/His_Holiness_Radhanath_Swami/Lectures/05_-_Amrit_Droplets/HHRNSM_-_Amrit_Droplets_-_0102_-_Our_near_and_dear_ones_achieve_benefits_of_our_spiritual_wealth_-_IDesireTree.mp3", "HHRNSM_-_Amrit_Droplets_-_0102_-_Our_near_and_dear_ones_achieve_benefits_of_our_spiritual_wealth_-_IDesireTree.mp3")</f>
        <v>HHRNSM_-_Amrit_Droplets_-_0102_-_Our_near_and_dear_ones_achieve_benefits_of_our_spiritual_wealth_-_IDesireTree.mp3</v>
      </c>
      <c r="D5548" s="24"/>
      <c r="E5548" s="24"/>
    </row>
    <row r="5549">
      <c r="A5549" s="25" t="s">
        <v>18647</v>
      </c>
      <c r="B5549" s="25" t="s">
        <v>18751</v>
      </c>
      <c r="C5549" s="26" t="str">
        <f>HYPERLINK("https://audio.iskcondesiretree.com/02_-_ISKCON_Swamis/ISKCON_Swamis_-_R_to_Y/His_Holiness_Radhanath_Swami/Lectures/05_-_Amrit_Droplets/HHRNSM_-_Amrit_Droplets_-_0103_-_Greatest_gift_we_can_give_anyone_-_IDesireTree.mp3", "HHRNSM_-_Amrit_Droplets_-_0103_-_Greatest_gift_we_can_give_anyone_-_IDesireTree.mp3")</f>
        <v>HHRNSM_-_Amrit_Droplets_-_0103_-_Greatest_gift_we_can_give_anyone_-_IDesireTree.mp3</v>
      </c>
      <c r="D5549" s="24"/>
      <c r="E5549" s="24"/>
    </row>
    <row r="5550">
      <c r="A5550" s="25" t="s">
        <v>18647</v>
      </c>
      <c r="B5550" s="25" t="s">
        <v>18752</v>
      </c>
      <c r="C5550" s="26" t="str">
        <f>HYPERLINK("https://audio.iskcondesiretree.com/02_-_ISKCON_Swamis/ISKCON_Swamis_-_R_to_Y/His_Holiness_Radhanath_Swami/Lectures/05_-_Amrit_Droplets/HHRNSM_-_Amrit_Droplets_-_0104_-_Lubricant_to_avoid_friction_in_material_society_-_IDesireTree.mp3", "HHRNSM_-_Amrit_Droplets_-_0104_-_Lubricant_to_avoid_friction_in_material_society_-_IDesireTree.mp3")</f>
        <v>HHRNSM_-_Amrit_Droplets_-_0104_-_Lubricant_to_avoid_friction_in_material_society_-_IDesireTree.mp3</v>
      </c>
      <c r="D5550" s="24"/>
      <c r="E5550" s="24"/>
    </row>
    <row r="5551">
      <c r="A5551" s="25" t="s">
        <v>18647</v>
      </c>
      <c r="B5551" s="25" t="s">
        <v>18753</v>
      </c>
      <c r="C5551" s="26" t="str">
        <f>HYPERLINK("https://audio.iskcondesiretree.com/02_-_ISKCON_Swamis/ISKCON_Swamis_-_R_to_Y/His_Holiness_Radhanath_Swami/Lectures/05_-_Amrit_Droplets/HHRNSM_-_Amrit_Droplets_-_0105_-_Don%27t_take_material_life_very_seriously_-_IDesireTree.mp3", "HHRNSM_-_Amrit_Droplets_-_0105_-_Don%27t_take_material_life_very_seriously_-_IDesireTree.mp3")</f>
        <v>HHRNSM_-_Amrit_Droplets_-_0105_-_Don%27t_take_material_life_very_seriously_-_IDesireTree.mp3</v>
      </c>
      <c r="D5551" s="24"/>
      <c r="E5551" s="24"/>
    </row>
    <row r="5552">
      <c r="A5552" s="25" t="s">
        <v>18647</v>
      </c>
      <c r="B5552" s="25" t="s">
        <v>18754</v>
      </c>
      <c r="C5552" s="26" t="str">
        <f>HYPERLINK("https://audio.iskcondesiretree.com/02_-_ISKCON_Swamis/ISKCON_Swamis_-_R_to_Y/His_Holiness_Radhanath_Swami/Lectures/05_-_Amrit_Droplets/HHRNSM_-_Amrit_Droplets_-_0106_-_Why_do_devotees_put_Tilak_-_IDesireTree.mp3", "HHRNSM_-_Amrit_Droplets_-_0106_-_Why_do_devotees_put_Tilak_-_IDesireTree.mp3")</f>
        <v>HHRNSM_-_Amrit_Droplets_-_0106_-_Why_do_devotees_put_Tilak_-_IDesireTree.mp3</v>
      </c>
      <c r="D5552" s="24"/>
      <c r="E5552" s="24"/>
    </row>
    <row r="5553">
      <c r="A5553" s="25" t="s">
        <v>18647</v>
      </c>
      <c r="B5553" s="25" t="s">
        <v>18755</v>
      </c>
      <c r="C5553" s="26" t="str">
        <f>HYPERLINK("https://audio.iskcondesiretree.com/02_-_ISKCON_Swamis/ISKCON_Swamis_-_R_to_Y/His_Holiness_Radhanath_Swami/Lectures/05_-_Amrit_Droplets/HHRNSM_-_Amrit_Droplets_-_0107_-_There_is_no_such_thing_as_death_-_IDesireTree.mp3", "HHRNSM_-_Amrit_Droplets_-_0107_-_There_is_no_such_thing_as_death_-_IDesireTree.mp3")</f>
        <v>HHRNSM_-_Amrit_Droplets_-_0107_-_There_is_no_such_thing_as_death_-_IDesireTree.mp3</v>
      </c>
      <c r="D5553" s="24"/>
      <c r="E5553" s="24"/>
    </row>
    <row r="5554">
      <c r="A5554" s="25" t="s">
        <v>18647</v>
      </c>
      <c r="B5554" s="25" t="s">
        <v>18756</v>
      </c>
      <c r="C5554" s="26" t="str">
        <f>HYPERLINK("https://audio.iskcondesiretree.com/02_-_ISKCON_Swamis/ISKCON_Swamis_-_R_to_Y/His_Holiness_Radhanath_Swami/Lectures/05_-_Amrit_Droplets/HHRNSM_-_Amrit_Droplets_-_0108_-_Bombs_you_built_in_last_life_are_attacking_you_now_-_IDesireTree.mp3", "HHRNSM_-_Amrit_Droplets_-_0108_-_Bombs_you_built_in_last_life_are_attacking_you_now_-_IDesireTree.mp3")</f>
        <v>HHRNSM_-_Amrit_Droplets_-_0108_-_Bombs_you_built_in_last_life_are_attacking_you_now_-_IDesireTree.mp3</v>
      </c>
      <c r="D5554" s="24"/>
      <c r="E5554" s="24"/>
    </row>
    <row r="5555">
      <c r="A5555" s="25" t="s">
        <v>18647</v>
      </c>
      <c r="B5555" s="25" t="s">
        <v>18757</v>
      </c>
      <c r="C5555" s="26" t="str">
        <f>HYPERLINK("https://audio.iskcondesiretree.com/02_-_ISKCON_Swamis/ISKCON_Swamis_-_R_to_Y/His_Holiness_Radhanath_Swami/Lectures/05_-_Amrit_Droplets/HHRNSM_-_Amrit_Droplets_-_0109_-_99_percent_spiritual_advancement_comes_from_chanting_-_IDesireTree.mp3", "HHRNSM_-_Amrit_Droplets_-_0109_-_99_percent_spiritual_advancement_comes_from_chanting_-_IDesireTree.mp3")</f>
        <v>HHRNSM_-_Amrit_Droplets_-_0109_-_99_percent_spiritual_advancement_comes_from_chanting_-_IDesireTree.mp3</v>
      </c>
      <c r="D5555" s="24"/>
      <c r="E5555" s="24"/>
    </row>
    <row r="5556">
      <c r="A5556" s="25" t="s">
        <v>18647</v>
      </c>
      <c r="B5556" s="25" t="s">
        <v>18758</v>
      </c>
      <c r="C5556" s="26" t="str">
        <f>HYPERLINK("https://audio.iskcondesiretree.com/02_-_ISKCON_Swamis/ISKCON_Swamis_-_R_to_Y/His_Holiness_Radhanath_Swami/Lectures/05_-_Amrit_Droplets/HHRNSM_-_Amrit_Droplets_-_0110_-_A_Preacher_is_one_who_preaches_by_his_example_-_IDesireTree.mp3", "HHRNSM_-_Amrit_Droplets_-_0110_-_A_Preacher_is_one_who_preaches_by_his_example_-_IDesireTree.mp3")</f>
        <v>HHRNSM_-_Amrit_Droplets_-_0110_-_A_Preacher_is_one_who_preaches_by_his_example_-_IDesireTree.mp3</v>
      </c>
      <c r="D5556" s="24"/>
      <c r="E5556" s="24"/>
    </row>
    <row r="5557">
      <c r="A5557" s="25" t="s">
        <v>18647</v>
      </c>
      <c r="B5557" s="25" t="s">
        <v>18759</v>
      </c>
      <c r="C5557" s="26" t="str">
        <f>HYPERLINK("https://audio.iskcondesiretree.com/02_-_ISKCON_Swamis/ISKCON_Swamis_-_R_to_Y/His_Holiness_Radhanath_Swami/Lectures/05_-_Amrit_Droplets/HHRNSM_-_Amrit_Droplets_-_0114_-_Bhagavatam_says_that_Mind_is_the_only_enemy_-_IDesireTree.mp3", "HHRNSM_-_Amrit_Droplets_-_0114_-_Bhagavatam_says_that_Mind_is_the_only_enemy_-_IDesireTree.mp3")</f>
        <v>HHRNSM_-_Amrit_Droplets_-_0114_-_Bhagavatam_says_that_Mind_is_the_only_enemy_-_IDesireTree.mp3</v>
      </c>
      <c r="D5557" s="24"/>
      <c r="E5557" s="24"/>
    </row>
    <row r="5558">
      <c r="A5558" s="25" t="s">
        <v>18647</v>
      </c>
      <c r="B5558" s="25" t="s">
        <v>18760</v>
      </c>
      <c r="C5558" s="26" t="str">
        <f>HYPERLINK("https://audio.iskcondesiretree.com/02_-_ISKCON_Swamis/ISKCON_Swamis_-_R_to_Y/His_Holiness_Radhanath_Swami/Lectures/05_-_Amrit_Droplets/HHRNSM_-_Amrit_Droplets_-_0115_-_Chanting_is_our_first_responsibility_-_IDesireTree.mp3", "HHRNSM_-_Amrit_Droplets_-_0115_-_Chanting_is_our_first_responsibility_-_IDesireTree.mp3")</f>
        <v>HHRNSM_-_Amrit_Droplets_-_0115_-_Chanting_is_our_first_responsibility_-_IDesireTree.mp3</v>
      </c>
      <c r="D5558" s="24"/>
      <c r="E5558" s="24"/>
    </row>
    <row r="5559">
      <c r="A5559" s="25" t="s">
        <v>18647</v>
      </c>
      <c r="B5559" s="25" t="s">
        <v>18761</v>
      </c>
      <c r="C5559" s="26" t="str">
        <f>HYPERLINK("https://audio.iskcondesiretree.com/02_-_ISKCON_Swamis/ISKCON_Swamis_-_R_to_Y/His_Holiness_Radhanath_Swami/Lectures/05_-_Amrit_Droplets/HHRNSM_-_Amrit_Droplets_-_0116_-_Description_of_Krishna%27s_form_-_IDesireTree.mp3", "HHRNSM_-_Amrit_Droplets_-_0116_-_Description_of_Krishna%27s_form_-_IDesireTree.mp3")</f>
        <v>HHRNSM_-_Amrit_Droplets_-_0116_-_Description_of_Krishna%27s_form_-_IDesireTree.mp3</v>
      </c>
      <c r="D5559" s="24"/>
      <c r="E5559" s="24"/>
    </row>
    <row r="5560">
      <c r="A5560" s="25" t="s">
        <v>18647</v>
      </c>
      <c r="B5560" s="25" t="s">
        <v>18762</v>
      </c>
      <c r="C5560" s="26" t="str">
        <f>HYPERLINK("https://audio.iskcondesiretree.com/02_-_ISKCON_Swamis/ISKCON_Swamis_-_R_to_Y/His_Holiness_Radhanath_Swami/Lectures/05_-_Amrit_Droplets/HHRNSM_-_Amrit_Droplets_-_0117_-_Design_your_life_in_a_way_to_develop_more_faith_on_holy_name_-_IDesireTree.mp3", "HHRNSM_-_Amrit_Droplets_-_0117_-_Design_your_life_in_a_way_to_develop_more_faith_on_holy_name_-_IDesireTree.mp3")</f>
        <v>HHRNSM_-_Amrit_Droplets_-_0117_-_Design_your_life_in_a_way_to_develop_more_faith_on_holy_name_-_IDesireTree.mp3</v>
      </c>
      <c r="D5560" s="24"/>
      <c r="E5560" s="24"/>
    </row>
    <row r="5561">
      <c r="A5561" s="25" t="s">
        <v>18647</v>
      </c>
      <c r="B5561" s="25" t="s">
        <v>18763</v>
      </c>
      <c r="C5561" s="26" t="str">
        <f>HYPERLINK("https://audio.iskcondesiretree.com/02_-_ISKCON_Swamis/ISKCON_Swamis_-_R_to_Y/His_Holiness_Radhanath_Swami/Lectures/05_-_Amrit_Droplets/HHRNSM_-_Amrit_Droplets_-_0118_-_Development_of_character_is_the_intrical_part_of_our_Sadhana_-_IDesireTree.mp3", "HHRNSM_-_Amrit_Droplets_-_0118_-_Development_of_character_is_the_intrical_part_of_our_Sadhana_-_IDesireTree.mp3")</f>
        <v>HHRNSM_-_Amrit_Droplets_-_0118_-_Development_of_character_is_the_intrical_part_of_our_Sadhana_-_IDesireTree.mp3</v>
      </c>
      <c r="D5561" s="24"/>
      <c r="E5561" s="24"/>
    </row>
    <row r="5562">
      <c r="A5562" s="25" t="s">
        <v>18647</v>
      </c>
      <c r="B5562" s="25" t="s">
        <v>18764</v>
      </c>
      <c r="C5562" s="26" t="str">
        <f>HYPERLINK("https://audio.iskcondesiretree.com/02_-_ISKCON_Swamis/ISKCON_Swamis_-_R_to_Y/His_Holiness_Radhanath_Swami/Lectures/05_-_Amrit_Droplets/HHRNSM_-_Amrit_Droplets_-_0119_-_Devotional_Service_is_like_a_double_edged_sword_-_IDesireTree.mp3", "HHRNSM_-_Amrit_Droplets_-_0119_-_Devotional_Service_is_like_a_double_edged_sword_-_IDesireTree.mp3")</f>
        <v>HHRNSM_-_Amrit_Droplets_-_0119_-_Devotional_Service_is_like_a_double_edged_sword_-_IDesireTree.mp3</v>
      </c>
      <c r="D5562" s="24"/>
      <c r="E5562" s="24"/>
    </row>
    <row r="5563">
      <c r="A5563" s="25" t="s">
        <v>18647</v>
      </c>
      <c r="B5563" s="25" t="s">
        <v>18765</v>
      </c>
      <c r="C5563" s="26" t="str">
        <f>HYPERLINK("https://audio.iskcondesiretree.com/02_-_ISKCON_Swamis/ISKCON_Swamis_-_R_to_Y/His_Holiness_Radhanath_Swami/Lectures/05_-_Amrit_Droplets/HHRNSM_-_Amrit_Droplets_-_0120_-_Devotional_service_is_not_a_burdensome_activity_-_IDesireTree.mp3", "HHRNSM_-_Amrit_Droplets_-_0120_-_Devotional_service_is_not_a_burdensome_activity_-_IDesireTree.mp3")</f>
        <v>HHRNSM_-_Amrit_Droplets_-_0120_-_Devotional_service_is_not_a_burdensome_activity_-_IDesireTree.mp3</v>
      </c>
      <c r="D5563" s="24"/>
      <c r="E5563" s="24"/>
    </row>
    <row r="5564">
      <c r="A5564" s="25" t="s">
        <v>18647</v>
      </c>
      <c r="B5564" s="25" t="s">
        <v>18766</v>
      </c>
      <c r="C5564" s="26" t="str">
        <f>HYPERLINK("https://audio.iskcondesiretree.com/02_-_ISKCON_Swamis/ISKCON_Swamis_-_R_to_Y/His_Holiness_Radhanath_Swami/Lectures/05_-_Amrit_Droplets/HHRNSM_-_Amrit_Droplets_-_0122_-_Don%27t_jump_directly_on_tenth_canto_of_Srimad_Bhagavatam_-_IDesireTree.mp3", "HHRNSM_-_Amrit_Droplets_-_0122_-_Don%27t_jump_directly_on_tenth_canto_of_Srimad_Bhagavatam_-_IDesireTree.mp3")</f>
        <v>HHRNSM_-_Amrit_Droplets_-_0122_-_Don%27t_jump_directly_on_tenth_canto_of_Srimad_Bhagavatam_-_IDesireTree.mp3</v>
      </c>
      <c r="D5564" s="24"/>
      <c r="E5564" s="24"/>
    </row>
    <row r="5565">
      <c r="A5565" s="25" t="s">
        <v>18647</v>
      </c>
      <c r="B5565" s="25" t="s">
        <v>18767</v>
      </c>
      <c r="C5565" s="26" t="str">
        <f>HYPERLINK("https://audio.iskcondesiretree.com/02_-_ISKCON_Swamis/ISKCON_Swamis_-_R_to_Y/His_Holiness_Radhanath_Swami/Lectures/05_-_Amrit_Droplets/HHRNSM_-_Amrit_Droplets_-_0123_-_Don%27t_make_False_Ego_as_your_worshippable_deity_-_IDesireTree.mp3", "HHRNSM_-_Amrit_Droplets_-_0123_-_Don%27t_make_False_Ego_as_your_worshippable_deity_-_IDesireTree.mp3")</f>
        <v>HHRNSM_-_Amrit_Droplets_-_0123_-_Don%27t_make_False_Ego_as_your_worshippable_deity_-_IDesireTree.mp3</v>
      </c>
      <c r="D5565" s="24"/>
      <c r="E5565" s="24"/>
    </row>
    <row r="5566">
      <c r="A5566" s="25" t="s">
        <v>18647</v>
      </c>
      <c r="B5566" s="25" t="s">
        <v>18768</v>
      </c>
      <c r="C5566" s="26" t="str">
        <f>HYPERLINK("https://audio.iskcondesiretree.com/02_-_ISKCON_Swamis/ISKCON_Swamis_-_R_to_Y/His_Holiness_Radhanath_Swami/Lectures/05_-_Amrit_Droplets/HHRNSM_-_Amrit_Droplets_-_0124_-_Hearing_the_holy_name_while_chanting_is_very_important_-_IDesireTree.mp3", "HHRNSM_-_Amrit_Droplets_-_0124_-_Hearing_the_holy_name_while_chanting_is_very_important_-_IDesireTree.mp3")</f>
        <v>HHRNSM_-_Amrit_Droplets_-_0124_-_Hearing_the_holy_name_while_chanting_is_very_important_-_IDesireTree.mp3</v>
      </c>
      <c r="D5566" s="24"/>
      <c r="E5566" s="24"/>
    </row>
    <row r="5567">
      <c r="A5567" s="25" t="s">
        <v>18647</v>
      </c>
      <c r="B5567" s="25" t="s">
        <v>18769</v>
      </c>
      <c r="C5567" s="26" t="str">
        <f>HYPERLINK("https://audio.iskcondesiretree.com/02_-_ISKCON_Swamis/ISKCON_Swamis_-_R_to_Y/His_Holiness_Radhanath_Swami/Lectures/05_-_Amrit_Droplets/HHRNSM_-_Amrit_Droplets_-_0125_-_Greatness_of_Prahalad_maharaj_-_IDesireTree.mp3", "HHRNSM_-_Amrit_Droplets_-_0125_-_Greatness_of_Prahalad_maharaj_-_IDesireTree.mp3")</f>
        <v>HHRNSM_-_Amrit_Droplets_-_0125_-_Greatness_of_Prahalad_maharaj_-_IDesireTree.mp3</v>
      </c>
      <c r="D5567" s="24"/>
      <c r="E5567" s="24"/>
    </row>
    <row r="5568">
      <c r="A5568" s="25" t="s">
        <v>18647</v>
      </c>
      <c r="B5568" s="25" t="s">
        <v>18770</v>
      </c>
      <c r="C5568" s="26" t="str">
        <f>HYPERLINK("https://audio.iskcondesiretree.com/02_-_ISKCON_Swamis/ISKCON_Swamis_-_R_to_Y/His_Holiness_Radhanath_Swami/Lectures/05_-_Amrit_Droplets/HHRNSM_-_Amrit_Droplets_-_0126_-_Give_your_credits_to_other_devotees_-_IDesireTree.mp3", "HHRNSM_-_Amrit_Droplets_-_0126_-_Give_your_credits_to_other_devotees_-_IDesireTree.mp3")</f>
        <v>HHRNSM_-_Amrit_Droplets_-_0126_-_Give_your_credits_to_other_devotees_-_IDesireTree.mp3</v>
      </c>
      <c r="D5568" s="24"/>
      <c r="E5568" s="24"/>
    </row>
    <row r="5569">
      <c r="A5569" s="25" t="s">
        <v>18647</v>
      </c>
      <c r="B5569" s="25" t="s">
        <v>18771</v>
      </c>
      <c r="C5569" s="26" t="str">
        <f>HYPERLINK("https://audio.iskcondesiretree.com/02_-_ISKCON_Swamis/ISKCON_Swamis_-_R_to_Y/His_Holiness_Radhanath_Swami/Lectures/05_-_Amrit_Droplets/HHRNSM_-_Amrit_Droplets_-_0127_-_Greatness_of_Haridas_Thakur_-_IDesireTree.mp3", "HHRNSM_-_Amrit_Droplets_-_0127_-_Greatness_of_Haridas_Thakur_-_IDesireTree.mp3")</f>
        <v>HHRNSM_-_Amrit_Droplets_-_0127_-_Greatness_of_Haridas_Thakur_-_IDesireTree.mp3</v>
      </c>
      <c r="D5569" s="24"/>
      <c r="E5569" s="24"/>
    </row>
    <row r="5570">
      <c r="A5570" s="25" t="s">
        <v>18647</v>
      </c>
      <c r="B5570" s="25" t="s">
        <v>18772</v>
      </c>
      <c r="C5570" s="26" t="str">
        <f>HYPERLINK("https://audio.iskcondesiretree.com/02_-_ISKCON_Swamis/ISKCON_Swamis_-_R_to_Y/His_Holiness_Radhanath_Swami/Lectures/05_-_Amrit_Droplets/HHRNSM_-_Amrit_Droplets_-_0128_-_Even_little_sense_gratification_takes_away_our_determination_-_IDesireTree.mp3", "HHRNSM_-_Amrit_Droplets_-_0128_-_Even_little_sense_gratification_takes_away_our_determination_-_IDesireTree.mp3")</f>
        <v>HHRNSM_-_Amrit_Droplets_-_0128_-_Even_little_sense_gratification_takes_away_our_determination_-_IDesireTree.mp3</v>
      </c>
      <c r="D5570" s="24"/>
      <c r="E5570" s="24"/>
    </row>
    <row r="5571">
      <c r="A5571" s="25" t="s">
        <v>18647</v>
      </c>
      <c r="B5571" s="25" t="s">
        <v>18773</v>
      </c>
      <c r="C5571" s="26" t="str">
        <f>HYPERLINK("https://audio.iskcondesiretree.com/02_-_ISKCON_Swamis/ISKCON_Swamis_-_R_to_Y/His_Holiness_Radhanath_Swami/Lectures/05_-_Amrit_Droplets/HHRNSM_-_Amrit_Droplets_-_0131_-_How_to_come_out_from_False_Pride_-_IDesireTree.mp3", "HHRNSM_-_Amrit_Droplets_-_0131_-_How_to_come_out_from_False_Pride_-_IDesireTree.mp3")</f>
        <v>HHRNSM_-_Amrit_Droplets_-_0131_-_How_to_come_out_from_False_Pride_-_IDesireTree.mp3</v>
      </c>
      <c r="D5571" s="24"/>
      <c r="E5571" s="24"/>
    </row>
    <row r="5572">
      <c r="A5572" s="25" t="s">
        <v>18647</v>
      </c>
      <c r="B5572" s="25" t="s">
        <v>18774</v>
      </c>
      <c r="C5572" s="26" t="str">
        <f>HYPERLINK("https://audio.iskcondesiretree.com/02_-_ISKCON_Swamis/ISKCON_Swamis_-_R_to_Y/His_Holiness_Radhanath_Swami/Lectures/05_-_Amrit_Droplets/HHRNSM_-_Amrit_Droplets_-_0132_-_How_to_enjoy_a_devotional_activity_-_IDesireTree.mp3", "HHRNSM_-_Amrit_Droplets_-_0132_-_How_to_enjoy_a_devotional_activity_-_IDesireTree.mp3")</f>
        <v>HHRNSM_-_Amrit_Droplets_-_0132_-_How_to_enjoy_a_devotional_activity_-_IDesireTree.mp3</v>
      </c>
      <c r="D5572" s="24"/>
      <c r="E5572" s="24"/>
    </row>
    <row r="5573">
      <c r="A5573" s="25" t="s">
        <v>18647</v>
      </c>
      <c r="B5573" s="25" t="s">
        <v>18775</v>
      </c>
      <c r="C5573" s="26" t="str">
        <f>HYPERLINK("https://audio.iskcondesiretree.com/02_-_ISKCON_Swamis/ISKCON_Swamis_-_R_to_Y/His_Holiness_Radhanath_Swami/Lectures/05_-_Amrit_Droplets/HHRNSM_-_Amrit_Droplets_-_0133_-_How_to_maintain_harmonious_association_with_other_devotees_-_IDesireTree.mp3", "HHRNSM_-_Amrit_Droplets_-_0133_-_How_to_maintain_harmonious_association_with_other_devotees_-_IDesireTree.mp3")</f>
        <v>HHRNSM_-_Amrit_Droplets_-_0133_-_How_to_maintain_harmonious_association_with_other_devotees_-_IDesireTree.mp3</v>
      </c>
      <c r="D5573" s="24"/>
      <c r="E5573" s="24"/>
    </row>
    <row r="5574">
      <c r="A5574" s="25" t="s">
        <v>18647</v>
      </c>
      <c r="B5574" s="25" t="s">
        <v>18776</v>
      </c>
      <c r="C5574" s="26" t="str">
        <f>HYPERLINK("https://audio.iskcondesiretree.com/02_-_ISKCON_Swamis/ISKCON_Swamis_-_R_to_Y/His_Holiness_Radhanath_Swami/Lectures/05_-_Amrit_Droplets/HHRNSM_-_Amrit_Droplets_-_0134_-_How_to_take_darshan_of_deities_in_the_temple_-_IDesireTree.mp3", "HHRNSM_-_Amrit_Droplets_-_0134_-_How_to_take_darshan_of_deities_in_the_temple_-_IDesireTree.mp3")</f>
        <v>HHRNSM_-_Amrit_Droplets_-_0134_-_How_to_take_darshan_of_deities_in_the_temple_-_IDesireTree.mp3</v>
      </c>
      <c r="D5574" s="24"/>
      <c r="E5574" s="24"/>
    </row>
    <row r="5575">
      <c r="A5575" s="25" t="s">
        <v>18647</v>
      </c>
      <c r="B5575" s="25" t="s">
        <v>18777</v>
      </c>
      <c r="C5575" s="26" t="str">
        <f>HYPERLINK("https://audio.iskcondesiretree.com/02_-_ISKCON_Swamis/ISKCON_Swamis_-_R_to_Y/His_Holiness_Radhanath_Swami/Lectures/05_-_Amrit_Droplets/HHRNSM_-_Amrit_Droplets_-_0136_-_It_is_our_choice_whether_to_see_Krishna_as_Shyamsunder_or_as_Death_-_IDesireTree.mp3", "HHRNSM_-_Amrit_Droplets_-_0136_-_It_is_our_choice_whether_to_see_Krishna_as_Shyamsunder_or_as_Death_-_IDesireTree.mp3")</f>
        <v>HHRNSM_-_Amrit_Droplets_-_0136_-_It_is_our_choice_whether_to_see_Krishna_as_Shyamsunder_or_as_Death_-_IDesireTree.mp3</v>
      </c>
      <c r="D5575" s="24"/>
      <c r="E5575" s="24"/>
    </row>
    <row r="5576">
      <c r="A5576" s="25" t="s">
        <v>18647</v>
      </c>
      <c r="B5576" s="25" t="s">
        <v>18778</v>
      </c>
      <c r="C5576" s="26" t="str">
        <f>HYPERLINK("https://audio.iskcondesiretree.com/02_-_ISKCON_Swamis/ISKCON_Swamis_-_R_to_Y/His_Holiness_Radhanath_Swami/Lectures/05_-_Amrit_Droplets/HHRNSM_-_Amrit_Droplets_-_0140_-_Living_in_such_a_way_that_people_trust_us_-_IDesireTree.mp3", "HHRNSM_-_Amrit_Droplets_-_0140_-_Living_in_such_a_way_that_people_trust_us_-_IDesireTree.mp3")</f>
        <v>HHRNSM_-_Amrit_Droplets_-_0140_-_Living_in_such_a_way_that_people_trust_us_-_IDesireTree.mp3</v>
      </c>
      <c r="D5576" s="24"/>
      <c r="E5576" s="24"/>
    </row>
    <row r="5577">
      <c r="A5577" s="25" t="s">
        <v>18647</v>
      </c>
      <c r="B5577" s="25" t="s">
        <v>18779</v>
      </c>
      <c r="C5577" s="26" t="str">
        <f>HYPERLINK("https://audio.iskcondesiretree.com/02_-_ISKCON_Swamis/ISKCON_Swamis_-_R_to_Y/His_Holiness_Radhanath_Swami/Lectures/05_-_Amrit_Droplets/HHRNSM_-_Amrit_Droplets_-_0141_-_Love_among_devotees_is_actually_Krishna%27s_love_-_IDesireTree.mp3", "HHRNSM_-_Amrit_Droplets_-_0141_-_Love_among_devotees_is_actually_Krishna%27s_love_-_IDesireTree.mp3")</f>
        <v>HHRNSM_-_Amrit_Droplets_-_0141_-_Love_among_devotees_is_actually_Krishna%27s_love_-_IDesireTree.mp3</v>
      </c>
      <c r="D5577" s="24"/>
      <c r="E5577" s="24"/>
    </row>
    <row r="5578">
      <c r="A5578" s="25" t="s">
        <v>18647</v>
      </c>
      <c r="B5578" s="25" t="s">
        <v>18780</v>
      </c>
      <c r="C5578" s="26" t="str">
        <f>HYPERLINK("https://audio.iskcondesiretree.com/02_-_ISKCON_Swamis/ISKCON_Swamis_-_R_to_Y/His_Holiness_Radhanath_Swami/Lectures/05_-_Amrit_Droplets/HHRNSM_-_Amrit_Droplets_-_0142_-_Making_spiritual_progress_is_like_fighting_a_battle_against_maya-_IDesireTree.mp3", "HHRNSM_-_Amrit_Droplets_-_0142_-_Making_spiritual_progress_is_like_fighting_a_battle_against_maya-_IDesireTree.mp3")</f>
        <v>HHRNSM_-_Amrit_Droplets_-_0142_-_Making_spiritual_progress_is_like_fighting_a_battle_against_maya-_IDesireTree.mp3</v>
      </c>
      <c r="D5578" s="24"/>
      <c r="E5578" s="24"/>
    </row>
    <row r="5579">
      <c r="A5579" s="25" t="s">
        <v>18647</v>
      </c>
      <c r="B5579" s="25" t="s">
        <v>18781</v>
      </c>
      <c r="C5579" s="26" t="str">
        <f>HYPERLINK("https://audio.iskcondesiretree.com/02_-_ISKCON_Swamis/ISKCON_Swamis_-_R_to_Y/His_Holiness_Radhanath_Swami/Lectures/05_-_Amrit_Droplets/HHRNSM_-_Amrit_Droplets_-_0143_-_Maya%27s_strategy_against_us_-_IDesireTree.mp3", "HHRNSM_-_Amrit_Droplets_-_0143_-_Maya%27s_strategy_against_us_-_IDesireTree.mp3")</f>
        <v>HHRNSM_-_Amrit_Droplets_-_0143_-_Maya%27s_strategy_against_us_-_IDesireTree.mp3</v>
      </c>
      <c r="D5579" s="24"/>
      <c r="E5579" s="24"/>
    </row>
    <row r="5580">
      <c r="A5580" s="25" t="s">
        <v>18647</v>
      </c>
      <c r="B5580" s="25" t="s">
        <v>18782</v>
      </c>
      <c r="C5580" s="26" t="str">
        <f>HYPERLINK("https://audio.iskcondesiretree.com/02_-_ISKCON_Swamis/ISKCON_Swamis_-_R_to_Y/His_Holiness_Radhanath_Swami/Lectures/05_-_Amrit_Droplets/HHRNSM_-_Amrit_Droplets_-_0144_-_Meaning_of_taking_Shelter_-_IDesireTree.mp3", "HHRNSM_-_Amrit_Droplets_-_0144_-_Meaning_of_taking_Shelter_-_IDesireTree.mp3")</f>
        <v>HHRNSM_-_Amrit_Droplets_-_0144_-_Meaning_of_taking_Shelter_-_IDesireTree.mp3</v>
      </c>
      <c r="D5580" s="24"/>
      <c r="E5580" s="24"/>
    </row>
    <row r="5581">
      <c r="A5581" s="25" t="s">
        <v>18647</v>
      </c>
      <c r="B5581" s="25" t="s">
        <v>18783</v>
      </c>
      <c r="C5581" s="26" t="str">
        <f>HYPERLINK("https://audio.iskcondesiretree.com/02_-_ISKCON_Swamis/ISKCON_Swamis_-_R_to_Y/His_Holiness_Radhanath_Swami/Lectures/05_-_Amrit_Droplets/HHRNSM_-_Amrit_Droplets_-_0145_-_Money_must_be_used_in_harmony_with_the_will_of_God_-_IDesireTree.mp3", "HHRNSM_-_Amrit_Droplets_-_0145_-_Money_must_be_used_in_harmony_with_the_will_of_God_-_IDesireTree.mp3")</f>
        <v>HHRNSM_-_Amrit_Droplets_-_0145_-_Money_must_be_used_in_harmony_with_the_will_of_God_-_IDesireTree.mp3</v>
      </c>
      <c r="D5581" s="24"/>
      <c r="E5581" s="24"/>
    </row>
    <row r="5582">
      <c r="A5582" s="25" t="s">
        <v>18647</v>
      </c>
      <c r="B5582" s="25" t="s">
        <v>18784</v>
      </c>
      <c r="C5582" s="26" t="str">
        <f>HYPERLINK("https://audio.iskcondesiretree.com/02_-_ISKCON_Swamis/ISKCON_Swamis_-_R_to_Y/His_Holiness_Radhanath_Swami/Lectures/05_-_Amrit_Droplets/HHRNSM_-_Amrit_Droplets_-_0146_-_Moral_activities_alone_will_not_make_us_humble_-_IDesireTree.mp3", "HHRNSM_-_Amrit_Droplets_-_0146_-_Moral_activities_alone_will_not_make_us_humble_-_IDesireTree.mp3")</f>
        <v>HHRNSM_-_Amrit_Droplets_-_0146_-_Moral_activities_alone_will_not_make_us_humble_-_IDesireTree.mp3</v>
      </c>
      <c r="D5582" s="24"/>
      <c r="E5582" s="24"/>
    </row>
    <row r="5583">
      <c r="A5583" s="25" t="s">
        <v>18647</v>
      </c>
      <c r="B5583" s="25" t="s">
        <v>18785</v>
      </c>
      <c r="C5583" s="26" t="str">
        <f>HYPERLINK("https://audio.iskcondesiretree.com/02_-_ISKCON_Swamis/ISKCON_Swamis_-_R_to_Y/His_Holiness_Radhanath_Swami/Lectures/05_-_Amrit_Droplets/HHRNSM_-_Amrit_Droplets_-_0147_-_No_rules_in_chanting_Hare_Krishna_-_IDesireTree.mp3", "HHRNSM_-_Amrit_Droplets_-_0147_-_No_rules_in_chanting_Hare_Krishna_-_IDesireTree.mp3")</f>
        <v>HHRNSM_-_Amrit_Droplets_-_0147_-_No_rules_in_chanting_Hare_Krishna_-_IDesireTree.mp3</v>
      </c>
      <c r="D5583" s="24"/>
      <c r="E5583" s="24"/>
    </row>
    <row r="5584">
      <c r="A5584" s="25" t="s">
        <v>18647</v>
      </c>
      <c r="B5584" s="25" t="s">
        <v>18786</v>
      </c>
      <c r="C5584" s="26" t="str">
        <f>HYPERLINK("https://audio.iskcondesiretree.com/02_-_ISKCON_Swamis/ISKCON_Swamis_-_R_to_Y/His_Holiness_Radhanath_Swami/Lectures/05_-_Amrit_Droplets/HHRNSM_-_Amrit_Droplets_-_0149_-_One_common_defect_in_Kamsa_%26_in_Hiranyakashipu_-_IDesireTree.mp3", "HHRNSM_-_Amrit_Droplets_-_0149_-_One_common_defect_in_Kamsa_%26_in_Hiranyakashipu_-_IDesireTree.mp3")</f>
        <v>HHRNSM_-_Amrit_Droplets_-_0149_-_One_common_defect_in_Kamsa_%26_in_Hiranyakashipu_-_IDesireTree.mp3</v>
      </c>
      <c r="D5584" s="24"/>
      <c r="E5584" s="24"/>
    </row>
    <row r="5585">
      <c r="A5585" s="25" t="s">
        <v>18647</v>
      </c>
      <c r="B5585" s="25" t="s">
        <v>18787</v>
      </c>
      <c r="C5585" s="26" t="str">
        <f>HYPERLINK("https://audio.iskcondesiretree.com/02_-_ISKCON_Swamis/ISKCON_Swamis_-_R_to_Y/His_Holiness_Radhanath_Swami/Lectures/05_-_Amrit_Droplets/HHRNSM_-_Amrit_Droplets_-_0150_-_Our_intention_behind_asking_a_question_-_IDesireTree.mp3", "HHRNSM_-_Amrit_Droplets_-_0150_-_Our_intention_behind_asking_a_question_-_IDesireTree.mp3")</f>
        <v>HHRNSM_-_Amrit_Droplets_-_0150_-_Our_intention_behind_asking_a_question_-_IDesireTree.mp3</v>
      </c>
      <c r="D5585" s="24"/>
      <c r="E5585" s="24"/>
    </row>
    <row r="5586">
      <c r="A5586" s="25" t="s">
        <v>18647</v>
      </c>
      <c r="B5586" s="25" t="s">
        <v>18788</v>
      </c>
      <c r="C5586" s="26" t="str">
        <f>HYPERLINK("https://audio.iskcondesiretree.com/02_-_ISKCON_Swamis/ISKCON_Swamis_-_R_to_Y/His_Holiness_Radhanath_Swami/Lectures/05_-_Amrit_Droplets/HHRNSM_-_Amrit_Droplets_-_0151_-_Our_loving_cheaters_are_cheating_us_-_IDesireTree.mp3", "HHRNSM_-_Amrit_Droplets_-_0151_-_Our_loving_cheaters_are_cheating_us_-_IDesireTree.mp3")</f>
        <v>HHRNSM_-_Amrit_Droplets_-_0151_-_Our_loving_cheaters_are_cheating_us_-_IDesireTree.mp3</v>
      </c>
      <c r="D5586" s="24"/>
      <c r="E5586" s="24"/>
    </row>
    <row r="5587">
      <c r="A5587" s="25" t="s">
        <v>18647</v>
      </c>
      <c r="B5587" s="25" t="s">
        <v>18789</v>
      </c>
      <c r="C5587" s="26" t="str">
        <f>HYPERLINK("https://audio.iskcondesiretree.com/02_-_ISKCON_Swamis/ISKCON_Swamis_-_R_to_Y/His_Holiness_Radhanath_Swami/Lectures/05_-_Amrit_Droplets/HHRNSM_-_Amrit_Droplets_-_0152_-_Oversleeping_Overeating_causes_spiritual_lethargy_-_IDesireTree.mp3", "HHRNSM_-_Amrit_Droplets_-_0152_-_Oversleeping_Overeating_causes_spiritual_lethargy_-_IDesireTree.mp3")</f>
        <v>HHRNSM_-_Amrit_Droplets_-_0152_-_Oversleeping_Overeating_causes_spiritual_lethargy_-_IDesireTree.mp3</v>
      </c>
      <c r="D5587" s="24"/>
      <c r="E5587" s="24"/>
    </row>
    <row r="5588">
      <c r="A5588" s="25" t="s">
        <v>18647</v>
      </c>
      <c r="B5588" s="25" t="s">
        <v>18790</v>
      </c>
      <c r="C5588" s="26" t="str">
        <f>HYPERLINK("https://audio.iskcondesiretree.com/02_-_ISKCON_Swamis/ISKCON_Swamis_-_R_to_Y/His_Holiness_Radhanath_Swami/Lectures/05_-_Amrit_Droplets/HHRNSM_-_Amrit_Droplets_-_0153_-_Path_of_Bhakti_is_to_seek_pleasure_in_pleasing_Krishna_-_IDesireTree.mp3", "HHRNSM_-_Amrit_Droplets_-_0153_-_Path_of_Bhakti_is_to_seek_pleasure_in_pleasing_Krishna_-_IDesireTree.mp3")</f>
        <v>HHRNSM_-_Amrit_Droplets_-_0153_-_Path_of_Bhakti_is_to_seek_pleasure_in_pleasing_Krishna_-_IDesireTree.mp3</v>
      </c>
      <c r="D5588" s="24"/>
      <c r="E5588" s="24"/>
    </row>
    <row r="5589">
      <c r="A5589" s="25" t="s">
        <v>18647</v>
      </c>
      <c r="B5589" s="25" t="s">
        <v>18791</v>
      </c>
      <c r="C5589" s="26" t="str">
        <f>HYPERLINK("https://audio.iskcondesiretree.com/02_-_ISKCON_Swamis/ISKCON_Swamis_-_R_to_Y/His_Holiness_Radhanath_Swami/Lectures/05_-_Amrit_Droplets/HHRNSM_-_Amrit_Droplets_-_0154_-_Peace_Formula_-_IDesireTree.mp3", "HHRNSM_-_Amrit_Droplets_-_0154_-_Peace_Formula_-_IDesireTree.mp3")</f>
        <v>HHRNSM_-_Amrit_Droplets_-_0154_-_Peace_Formula_-_IDesireTree.mp3</v>
      </c>
      <c r="D5589" s="24"/>
      <c r="E5589" s="24"/>
    </row>
    <row r="5590">
      <c r="A5590" s="25" t="s">
        <v>18647</v>
      </c>
      <c r="B5590" s="25" t="s">
        <v>18792</v>
      </c>
      <c r="C5590" s="26" t="str">
        <f>HYPERLINK("https://audio.iskcondesiretree.com/02_-_ISKCON_Swamis/ISKCON_Swamis_-_R_to_Y/His_Holiness_Radhanath_Swami/Lectures/05_-_Amrit_Droplets/HHRNSM_-_Amrit_Droplets_-_0155_-_Philosophy_contained_in_a_fascinating_factual_story_is_liked_by_all_-_IDesireTree.mp3", "HHRNSM_-_Amrit_Droplets_-_0155_-_Philosophy_contained_in_a_fascinating_factual_story_is_liked_by_all_-_IDesireTree.mp3")</f>
        <v>HHRNSM_-_Amrit_Droplets_-_0155_-_Philosophy_contained_in_a_fascinating_factual_story_is_liked_by_all_-_IDesireTree.mp3</v>
      </c>
      <c r="D5590" s="24"/>
      <c r="E5590" s="24"/>
    </row>
    <row r="5591">
      <c r="A5591" s="25" t="s">
        <v>18647</v>
      </c>
      <c r="B5591" s="25" t="s">
        <v>18793</v>
      </c>
      <c r="C5591" s="26" t="str">
        <f>HYPERLINK("https://audio.iskcondesiretree.com/02_-_ISKCON_Swamis/ISKCON_Swamis_-_R_to_Y/His_Holiness_Radhanath_Swami/Lectures/05_-_Amrit_Droplets/HHRNSM_-_Amrit_Droplets_-_0156_-_Please_repeat_after_me_this_important_statement_-_IDesireTree.mp3", "HHRNSM_-_Amrit_Droplets_-_0156_-_Please_repeat_after_me_this_important_statement_-_IDesireTree.mp3")</f>
        <v>HHRNSM_-_Amrit_Droplets_-_0156_-_Please_repeat_after_me_this_important_statement_-_IDesireTree.mp3</v>
      </c>
      <c r="D5591" s="24"/>
      <c r="E5591" s="24"/>
    </row>
    <row r="5592">
      <c r="A5592" s="25" t="s">
        <v>18647</v>
      </c>
      <c r="B5592" s="25" t="s">
        <v>18794</v>
      </c>
      <c r="C5592" s="26" t="str">
        <f>HYPERLINK("https://audio.iskcondesiretree.com/02_-_ISKCON_Swamis/ISKCON_Swamis_-_R_to_Y/His_Holiness_Radhanath_Swami/Lectures/05_-_Amrit_Droplets/HHRNSM_-_Amrit_Droplets_-_0157_-_Prabhupad_had_faith_in_his_spiritual_master_%26_the_holy_name_-_IDesireTree.mp3", "HHRNSM_-_Amrit_Droplets_-_0157_-_Prabhupad_had_faith_in_his_spiritual_master_%26_the_holy_name_-_IDesireTree.mp3")</f>
        <v>HHRNSM_-_Amrit_Droplets_-_0157_-_Prabhupad_had_faith_in_his_spiritual_master_%26_the_holy_name_-_IDesireTree.mp3</v>
      </c>
      <c r="D5592" s="24"/>
      <c r="E5592" s="24"/>
    </row>
    <row r="5593">
      <c r="A5593" s="25" t="s">
        <v>18647</v>
      </c>
      <c r="B5593" s="25" t="s">
        <v>18795</v>
      </c>
      <c r="C5593" s="26" t="str">
        <f>HYPERLINK("https://audio.iskcondesiretree.com/02_-_ISKCON_Swamis/ISKCON_Swamis_-_R_to_Y/His_Holiness_Radhanath_Swami/Lectures/05_-_Amrit_Droplets/HHRNSM_-_Amrit_Droplets_-_0158_-_Practical_test_to_know_whether_we_are_neophytes_-_IDesireTree.mp3", "HHRNSM_-_Amrit_Droplets_-_0158_-_Practical_test_to_know_whether_we_are_neophytes_-_IDesireTree.mp3")</f>
        <v>HHRNSM_-_Amrit_Droplets_-_0158_-_Practical_test_to_know_whether_we_are_neophytes_-_IDesireTree.mp3</v>
      </c>
      <c r="D5593" s="24"/>
      <c r="E5593" s="24"/>
    </row>
    <row r="5594">
      <c r="A5594" s="25" t="s">
        <v>18647</v>
      </c>
      <c r="B5594" s="25" t="s">
        <v>18796</v>
      </c>
      <c r="C5594" s="26" t="str">
        <f>HYPERLINK("https://audio.iskcondesiretree.com/02_-_ISKCON_Swamis/ISKCON_Swamis_-_R_to_Y/His_Holiness_Radhanath_Swami/Lectures/05_-_Amrit_Droplets/HHRNSM_-_Amrit_Droplets_-_0159_-_Principle_of_Gundicha_Marjanam_-_IDesireTree.mp3", "HHRNSM_-_Amrit_Droplets_-_0159_-_Principle_of_Gundicha_Marjanam_-_IDesireTree.mp3")</f>
        <v>HHRNSM_-_Amrit_Droplets_-_0159_-_Principle_of_Gundicha_Marjanam_-_IDesireTree.mp3</v>
      </c>
      <c r="D5594" s="24"/>
      <c r="E5594" s="24"/>
    </row>
    <row r="5595">
      <c r="A5595" s="25" t="s">
        <v>18647</v>
      </c>
      <c r="B5595" s="25" t="s">
        <v>18797</v>
      </c>
      <c r="C5595" s="26" t="str">
        <f>HYPERLINK("https://audio.iskcondesiretree.com/02_-_ISKCON_Swamis/ISKCON_Swamis_-_R_to_Y/His_Holiness_Radhanath_Swami/Lectures/05_-_Amrit_Droplets/HHRNSM_-_Amrit_Droplets_-_0160_-_Provoking_situations_give_us_opportunity_to_become_great_-_IDesireTree.mp3", "HHRNSM_-_Amrit_Droplets_-_0160_-_Provoking_situations_give_us_opportunity_to_become_great_-_IDesireTree.mp3")</f>
        <v>HHRNSM_-_Amrit_Droplets_-_0160_-_Provoking_situations_give_us_opportunity_to_become_great_-_IDesireTree.mp3</v>
      </c>
      <c r="D5595" s="24"/>
      <c r="E5595" s="24"/>
    </row>
    <row r="5596">
      <c r="A5596" s="25" t="s">
        <v>18647</v>
      </c>
      <c r="B5596" s="25" t="s">
        <v>18798</v>
      </c>
      <c r="C5596" s="26" t="str">
        <f>HYPERLINK("https://audio.iskcondesiretree.com/02_-_ISKCON_Swamis/ISKCON_Swamis_-_R_to_Y/His_Holiness_Radhanath_Swami/Lectures/05_-_Amrit_Droplets/HHRNSM_-_Amrit_Droplets_-_0162_-_Realization%2C_not_intellectualization_is_impressive_to_a_sadhu_-_IDesireTree.mp3", "HHRNSM_-_Amrit_Droplets_-_0162_-_Realization%2C_not_intellectualization_is_impressive_to_a_sadhu_-_IDesireTree.mp3")</f>
        <v>HHRNSM_-_Amrit_Droplets_-_0162_-_Realization%2C_not_intellectualization_is_impressive_to_a_sadhu_-_IDesireTree.mp3</v>
      </c>
      <c r="D5596" s="24"/>
      <c r="E5596" s="24"/>
    </row>
    <row r="5597">
      <c r="A5597" s="25" t="s">
        <v>18647</v>
      </c>
      <c r="B5597" s="25" t="s">
        <v>18799</v>
      </c>
      <c r="C5597" s="26" t="str">
        <f>HYPERLINK("https://audio.iskcondesiretree.com/02_-_ISKCON_Swamis/ISKCON_Swamis_-_R_to_Y/His_Holiness_Radhanath_Swami/Lectures/05_-_Amrit_Droplets/HHRNSM_-_Amrit_Droplets_-_0163_-_Root_cause_of_all_disharmony_-_IDesireTree.mp3", "HHRNSM_-_Amrit_Droplets_-_0163_-_Root_cause_of_all_disharmony_-_IDesireTree.mp3")</f>
        <v>HHRNSM_-_Amrit_Droplets_-_0163_-_Root_cause_of_all_disharmony_-_IDesireTree.mp3</v>
      </c>
      <c r="D5597" s="24"/>
      <c r="E5597" s="24"/>
    </row>
    <row r="5598">
      <c r="A5598" s="25" t="s">
        <v>18647</v>
      </c>
      <c r="B5598" s="25" t="s">
        <v>18800</v>
      </c>
      <c r="C5598" s="26" t="str">
        <f>HYPERLINK("https://audio.iskcondesiretree.com/02_-_ISKCON_Swamis/ISKCON_Swamis_-_R_to_Y/His_Holiness_Radhanath_Swami/Lectures/05_-_Amrit_Droplets/HHRNSM_-_Amrit_Droplets_-_0164_-_Sense_gratification_%26_Krsna_Consciousness_go_ill_together_-_IDesireTree.mp3", "HHRNSM_-_Amrit_Droplets_-_0164_-_Sense_gratification_%26_Krsna_Consciousness_go_ill_together_-_IDesireTree.mp3")</f>
        <v>HHRNSM_-_Amrit_Droplets_-_0164_-_Sense_gratification_%26_Krsna_Consciousness_go_ill_together_-_IDesireTree.mp3</v>
      </c>
      <c r="D5598" s="24"/>
      <c r="E5598" s="24"/>
    </row>
    <row r="5599">
      <c r="A5599" s="25" t="s">
        <v>18647</v>
      </c>
      <c r="B5599" s="25" t="s">
        <v>18801</v>
      </c>
      <c r="C5599" s="26" t="str">
        <f>HYPERLINK("https://audio.iskcondesiretree.com/02_-_ISKCON_Swamis/ISKCON_Swamis_-_R_to_Y/His_Holiness_Radhanath_Swami/Lectures/05_-_Amrit_Droplets/HHRNSM_-_Amrit_Droplets_-_0165_-_Serpent_with_a_jewel_is_more_dangerous_than_a_normal_serpent_-_IDesireTree.mp3", "HHRNSM_-_Amrit_Droplets_-_0165_-_Serpent_with_a_jewel_is_more_dangerous_than_a_normal_serpent_-_IDesireTree.mp3")</f>
        <v>HHRNSM_-_Amrit_Droplets_-_0165_-_Serpent_with_a_jewel_is_more_dangerous_than_a_normal_serpent_-_IDesireTree.mp3</v>
      </c>
      <c r="D5599" s="24"/>
      <c r="E5599" s="24"/>
    </row>
    <row r="5600">
      <c r="A5600" s="25" t="s">
        <v>18647</v>
      </c>
      <c r="B5600" s="25" t="s">
        <v>18802</v>
      </c>
      <c r="C5600" s="26" t="str">
        <f>HYPERLINK("https://audio.iskcondesiretree.com/02_-_ISKCON_Swamis/ISKCON_Swamis_-_R_to_Y/His_Holiness_Radhanath_Swami/Lectures/05_-_Amrit_Droplets/HHRNSM_-_Amrit_Droplets_-_0167_-_Simplicity_is_the_first_principle_of_spiritual_life_-_IDesireTree.mp3", "HHRNSM_-_Amrit_Droplets_-_0167_-_Simplicity_is_the_first_principle_of_spiritual_life_-_IDesireTree.mp3")</f>
        <v>HHRNSM_-_Amrit_Droplets_-_0167_-_Simplicity_is_the_first_principle_of_spiritual_life_-_IDesireTree.mp3</v>
      </c>
      <c r="D5600" s="24"/>
      <c r="E5600" s="24"/>
    </row>
    <row r="5601">
      <c r="A5601" s="25" t="s">
        <v>18647</v>
      </c>
      <c r="B5601" s="25" t="s">
        <v>18803</v>
      </c>
      <c r="C5601" s="26" t="str">
        <f>HYPERLINK("https://audio.iskcondesiretree.com/02_-_ISKCON_Swamis/ISKCON_Swamis_-_R_to_Y/His_Holiness_Radhanath_Swami/Lectures/05_-_Amrit_Droplets/HHRNSM_-_Amrit_Droplets_-_0168_-_Srila_Prabhupad_defining_tolerance_-_IDesireTree.mp3", "HHRNSM_-_Amrit_Droplets_-_0168_-_Srila_Prabhupad_defining_tolerance_-_IDesireTree.mp3")</f>
        <v>HHRNSM_-_Amrit_Droplets_-_0168_-_Srila_Prabhupad_defining_tolerance_-_IDesireTree.mp3</v>
      </c>
      <c r="D5601" s="24"/>
      <c r="E5601" s="24"/>
    </row>
    <row r="5602">
      <c r="A5602" s="25" t="s">
        <v>18647</v>
      </c>
      <c r="B5602" s="25" t="s">
        <v>18804</v>
      </c>
      <c r="C5602" s="26" t="str">
        <f>HYPERLINK("https://audio.iskcondesiretree.com/02_-_ISKCON_Swamis/ISKCON_Swamis_-_R_to_Y/His_Holiness_Radhanath_Swami/Lectures/05_-_Amrit_Droplets/HHRNSM_-_Amrit_Droplets_-_0170_-_Srimad_Bhagavatam_is_a_deity_of_Krishna_-_IDesireTree.mp3", "HHRNSM_-_Amrit_Droplets_-_0170_-_Srimad_Bhagavatam_is_a_deity_of_Krishna_-_IDesireTree.mp3")</f>
        <v>HHRNSM_-_Amrit_Droplets_-_0170_-_Srimad_Bhagavatam_is_a_deity_of_Krishna_-_IDesireTree.mp3</v>
      </c>
      <c r="D5602" s="24"/>
      <c r="E5602" s="24"/>
    </row>
    <row r="5603">
      <c r="A5603" s="25" t="s">
        <v>18647</v>
      </c>
      <c r="B5603" s="25" t="s">
        <v>18805</v>
      </c>
      <c r="C5603" s="26" t="str">
        <f>HYPERLINK("https://audio.iskcondesiretree.com/02_-_ISKCON_Swamis/ISKCON_Swamis_-_R_to_Y/His_Holiness_Radhanath_Swami/Lectures/05_-_Amrit_Droplets/HHRNSM_-_Amrit_Droplets_-_0171_-_Systematic_understanding_of_Maya_-_IDesireTree.mp3", "HHRNSM_-_Amrit_Droplets_-_0171_-_Systematic_understanding_of_Maya_-_IDesireTree.mp3")</f>
        <v>HHRNSM_-_Amrit_Droplets_-_0171_-_Systematic_understanding_of_Maya_-_IDesireTree.mp3</v>
      </c>
      <c r="D5603" s="24"/>
      <c r="E5603" s="24"/>
    </row>
    <row r="5604">
      <c r="A5604" s="25" t="s">
        <v>18647</v>
      </c>
      <c r="B5604" s="25" t="s">
        <v>18806</v>
      </c>
      <c r="C5604" s="26" t="str">
        <f>HYPERLINK("https://audio.iskcondesiretree.com/02_-_ISKCON_Swamis/ISKCON_Swamis_-_R_to_Y/His_Holiness_Radhanath_Swami/Lectures/05_-_Amrit_Droplets/HHRNSM_-_Amrit_Droplets_-_0173_-_Tolerate_the_provoking_situation_of_Lust_-_IDesireTree.mp3", "HHRNSM_-_Amrit_Droplets_-_0173_-_Tolerate_the_provoking_situation_of_Lust_-_IDesireTree.mp3")</f>
        <v>HHRNSM_-_Amrit_Droplets_-_0173_-_Tolerate_the_provoking_situation_of_Lust_-_IDesireTree.mp3</v>
      </c>
      <c r="D5604" s="24"/>
      <c r="E5604" s="24"/>
    </row>
    <row r="5605">
      <c r="A5605" s="25" t="s">
        <v>18647</v>
      </c>
      <c r="B5605" s="25" t="s">
        <v>18807</v>
      </c>
      <c r="C5605" s="26" t="str">
        <f>HYPERLINK("https://audio.iskcondesiretree.com/02_-_ISKCON_Swamis/ISKCON_Swamis_-_R_to_Y/His_Holiness_Radhanath_Swami/Lectures/05_-_Amrit_Droplets/HHRNSM_-_Amrit_Droplets_-_0174_-_Tolerate_the_provoking_situations_of_marriage_-_IDesireTree.mp3", "HHRNSM_-_Amrit_Droplets_-_0174_-_Tolerate_the_provoking_situations_of_marriage_-_IDesireTree.mp3")</f>
        <v>HHRNSM_-_Amrit_Droplets_-_0174_-_Tolerate_the_provoking_situations_of_marriage_-_IDesireTree.mp3</v>
      </c>
      <c r="D5605" s="24"/>
      <c r="E5605" s="24"/>
    </row>
    <row r="5606">
      <c r="A5606" s="25" t="s">
        <v>18647</v>
      </c>
      <c r="B5606" s="25" t="s">
        <v>18808</v>
      </c>
      <c r="C5606" s="26" t="str">
        <f>HYPERLINK("https://audio.iskcondesiretree.com/02_-_ISKCON_Swamis/ISKCON_Swamis_-_R_to_Y/His_Holiness_Radhanath_Swami/Lectures/05_-_Amrit_Droplets/HHRNSM_-_Amrit_Droplets_-_0175_-_Two_types_of_glorious_deaths_-_IDesireTree.mp3", "HHRNSM_-_Amrit_Droplets_-_0175_-_Two_types_of_glorious_deaths_-_IDesireTree.mp3")</f>
        <v>HHRNSM_-_Amrit_Droplets_-_0175_-_Two_types_of_glorious_deaths_-_IDesireTree.mp3</v>
      </c>
      <c r="D5606" s="24"/>
      <c r="E5606" s="24"/>
    </row>
    <row r="5607">
      <c r="A5607" s="25" t="s">
        <v>18647</v>
      </c>
      <c r="B5607" s="25" t="s">
        <v>18809</v>
      </c>
      <c r="C5607" s="26" t="str">
        <f>HYPERLINK("https://audio.iskcondesiretree.com/02_-_ISKCON_Swamis/ISKCON_Swamis_-_R_to_Y/His_Holiness_Radhanath_Swami/Lectures/05_-_Amrit_Droplets/HHRNSM_-_Amrit_Droplets_-_0180_-_Q_n_A_-_What_is_a_most_popular_belief_in_West_-_IDesireTree.mp3", "HHRNSM_-_Amrit_Droplets_-_0180_-_Q_n_A_-_What_is_a_most_popular_belief_in_West_-_IDesireTree.mp3")</f>
        <v>HHRNSM_-_Amrit_Droplets_-_0180_-_Q_n_A_-_What_is_a_most_popular_belief_in_West_-_IDesireTree.mp3</v>
      </c>
      <c r="D5607" s="24"/>
      <c r="E5607" s="24"/>
    </row>
    <row r="5608">
      <c r="A5608" s="25" t="s">
        <v>18647</v>
      </c>
      <c r="B5608" s="25" t="s">
        <v>18810</v>
      </c>
      <c r="C5608" s="26" t="str">
        <f>HYPERLINK("https://audio.iskcondesiretree.com/02_-_ISKCON_Swamis/ISKCON_Swamis_-_R_to_Y/His_Holiness_Radhanath_Swami/Lectures/05_-_Amrit_Droplets/HHRNSM_-_Amrit_Droplets_-_0182_-_Short_Stories_-_Durvasa_Muni_becoming_angry_on_Ambrish_maharaj_-_IDesireTree.mp3", "HHRNSM_-_Amrit_Droplets_-_0182_-_Short_Stories_-_Durvasa_Muni_becoming_angry_on_Ambrish_maharaj_-_IDesireTree.mp3")</f>
        <v>HHRNSM_-_Amrit_Droplets_-_0182_-_Short_Stories_-_Durvasa_Muni_becoming_angry_on_Ambrish_maharaj_-_IDesireTree.mp3</v>
      </c>
      <c r="D5608" s="24"/>
      <c r="E5608" s="24"/>
    </row>
    <row r="5609">
      <c r="A5609" s="25" t="s">
        <v>18647</v>
      </c>
      <c r="B5609" s="25" t="s">
        <v>18811</v>
      </c>
      <c r="C5609" s="26" t="str">
        <f>HYPERLINK("https://audio.iskcondesiretree.com/02_-_ISKCON_Swamis/ISKCON_Swamis_-_R_to_Y/His_Holiness_Radhanath_Swami/Lectures/05_-_Amrit_Droplets/HHRNSM_-_Amrit_Droplets_-_0185_-_Short_Stories_-_Gopal_Guru_explaining_the_glory_of_Holy_Name_-_IDesireTree.mp3", "HHRNSM_-_Amrit_Droplets_-_0185_-_Short_Stories_-_Gopal_Guru_explaining_the_glory_of_Holy_Name_-_IDesireTree.mp3")</f>
        <v>HHRNSM_-_Amrit_Droplets_-_0185_-_Short_Stories_-_Gopal_Guru_explaining_the_glory_of_Holy_Name_-_IDesireTree.mp3</v>
      </c>
      <c r="D5609" s="24"/>
      <c r="E5609" s="24"/>
    </row>
    <row r="5610">
      <c r="A5610" s="25" t="s">
        <v>18647</v>
      </c>
      <c r="B5610" s="25" t="s">
        <v>18812</v>
      </c>
      <c r="C5610" s="26" t="str">
        <f>HYPERLINK("https://audio.iskcondesiretree.com/02_-_ISKCON_Swamis/ISKCON_Swamis_-_R_to_Y/His_Holiness_Radhanath_Swami/Lectures/05_-_Amrit_Droplets/HHRNSM_-_Amrit_Droplets_-_0186_-_Short_Stories_-_Gopal_Chapal_trying_to_defame_Srivas_Thakur_-_IDesireTree.mp3", "HHRNSM_-_Amrit_Droplets_-_0186_-_Short_Stories_-_Gopal_Chapal_trying_to_defame_Srivas_Thakur_-_IDesireTree.mp3")</f>
        <v>HHRNSM_-_Amrit_Droplets_-_0186_-_Short_Stories_-_Gopal_Chapal_trying_to_defame_Srivas_Thakur_-_IDesireTree.mp3</v>
      </c>
      <c r="D5610" s="24"/>
      <c r="E5610" s="24"/>
    </row>
    <row r="5611">
      <c r="A5611" s="25" t="s">
        <v>18647</v>
      </c>
      <c r="B5611" s="25" t="s">
        <v>18813</v>
      </c>
      <c r="C5611" s="26" t="str">
        <f>HYPERLINK("https://audio.iskcondesiretree.com/02_-_ISKCON_Swamis/ISKCON_Swamis_-_R_to_Y/His_Holiness_Radhanath_Swami/Lectures/05_-_Amrit_Droplets/HHRNSM_-_Amrit_Droplets_-_0187_-_Short_Stories_-_Gajendra_story_in_short_-_IDesireTree.mp3", "HHRNSM_-_Amrit_Droplets_-_0187_-_Short_Stories_-_Gajendra_story_in_short_-_IDesireTree.mp3")</f>
        <v>HHRNSM_-_Amrit_Droplets_-_0187_-_Short_Stories_-_Gajendra_story_in_short_-_IDesireTree.mp3</v>
      </c>
      <c r="D5611" s="24"/>
      <c r="E5611" s="24"/>
    </row>
    <row r="5612">
      <c r="A5612" s="25" t="s">
        <v>18647</v>
      </c>
      <c r="B5612" s="25" t="s">
        <v>18814</v>
      </c>
      <c r="C5612" s="26" t="str">
        <f>HYPERLINK("https://audio.iskcondesiretree.com/02_-_ISKCON_Swamis/ISKCON_Swamis_-_R_to_Y/His_Holiness_Radhanath_Swami/Lectures/05_-_Amrit_Droplets/HHRNSM_-_Amrit_Droplets_-_0188_-_Short_Stories_-_Bhrigu_Muni_testing_Brahma_Vishnu_Mahesh_-_IDesireTree.mp3", "HHRNSM_-_Amrit_Droplets_-_0188_-_Short_Stories_-_Bhrigu_Muni_testing_Brahma_Vishnu_Mahesh_-_IDesireTree.mp3")</f>
        <v>HHRNSM_-_Amrit_Droplets_-_0188_-_Short_Stories_-_Bhrigu_Muni_testing_Brahma_Vishnu_Mahesh_-_IDesireTree.mp3</v>
      </c>
      <c r="D5612" s="24"/>
      <c r="E5612" s="24"/>
    </row>
    <row r="5613">
      <c r="A5613" s="25" t="s">
        <v>18647</v>
      </c>
      <c r="B5613" s="25" t="s">
        <v>18815</v>
      </c>
      <c r="C5613" s="26" t="str">
        <f>HYPERLINK("https://audio.iskcondesiretree.com/02_-_ISKCON_Swamis/ISKCON_Swamis_-_R_to_Y/His_Holiness_Radhanath_Swami/Lectures/05_-_Amrit_Droplets/HHRNSM_-_Amrit_Droplets_-_0190_-_We_are_accessing_Krishna_because_great_saints_have_prayed_for_us_-_IDesireTree.mp3", "HHRNSM_-_Amrit_Droplets_-_0190_-_We_are_accessing_Krishna_because_great_saints_have_prayed_for_us_-_IDesireTree.mp3")</f>
        <v>HHRNSM_-_Amrit_Droplets_-_0190_-_We_are_accessing_Krishna_because_great_saints_have_prayed_for_us_-_IDesireTree.mp3</v>
      </c>
      <c r="D5613" s="24"/>
      <c r="E5613" s="24"/>
    </row>
    <row r="5614">
      <c r="A5614" s="25" t="s">
        <v>18647</v>
      </c>
      <c r="B5614" s="25" t="s">
        <v>18816</v>
      </c>
      <c r="C5614" s="26" t="str">
        <f>HYPERLINK("https://audio.iskcondesiretree.com/02_-_ISKCON_Swamis/ISKCON_Swamis_-_R_to_Y/His_Holiness_Radhanath_Swami/Lectures/05_-_Amrit_Droplets/HHRNSM_-_Amrit_Droplets_-_0191_-_We_should_know_the_difference_between_Pure_%26_Mixed_Bhakti_-_IDesireTree.mp3", "HHRNSM_-_Amrit_Droplets_-_0191_-_We_should_know_the_difference_between_Pure_%26_Mixed_Bhakti_-_IDesireTree.mp3")</f>
        <v>HHRNSM_-_Amrit_Droplets_-_0191_-_We_should_know_the_difference_between_Pure_%26_Mixed_Bhakti_-_IDesireTree.mp3</v>
      </c>
      <c r="D5614" s="24"/>
      <c r="E5614" s="24"/>
    </row>
    <row r="5615">
      <c r="A5615" s="25" t="s">
        <v>18647</v>
      </c>
      <c r="B5615" s="25" t="s">
        <v>18817</v>
      </c>
      <c r="C5615" s="26" t="str">
        <f>HYPERLINK("https://audio.iskcondesiretree.com/02_-_ISKCON_Swamis/ISKCON_Swamis_-_R_to_Y/His_Holiness_Radhanath_Swami/Lectures/05_-_Amrit_Droplets/HHRNSM_-_Amrit_Droplets_-_0192_-_We_will_fall_down_if_we_are_not_doing_chanting_with_priority_-_IDesireTree.mp3", "HHRNSM_-_Amrit_Droplets_-_0192_-_We_will_fall_down_if_we_are_not_doing_chanting_with_priority_-_IDesireTree.mp3")</f>
        <v>HHRNSM_-_Amrit_Droplets_-_0192_-_We_will_fall_down_if_we_are_not_doing_chanting_with_priority_-_IDesireTree.mp3</v>
      </c>
      <c r="D5615" s="24"/>
      <c r="E5615" s="24"/>
    </row>
    <row r="5616">
      <c r="A5616" s="25" t="s">
        <v>18647</v>
      </c>
      <c r="B5616" s="25" t="s">
        <v>18818</v>
      </c>
      <c r="C5616" s="26" t="str">
        <f>HYPERLINK("https://audio.iskcondesiretree.com/02_-_ISKCON_Swamis/ISKCON_Swamis_-_R_to_Y/His_Holiness_Radhanath_Swami/Lectures/05_-_Amrit_Droplets/HHRNSM_-_Amrit_Droplets_-_0193_-_What_does_speaking_truth_mean_-_IDesireTree.mp3", "HHRNSM_-_Amrit_Droplets_-_0193_-_What_does_speaking_truth_mean_-_IDesireTree.mp3")</f>
        <v>HHRNSM_-_Amrit_Droplets_-_0193_-_What_does_speaking_truth_mean_-_IDesireTree.mp3</v>
      </c>
      <c r="D5616" s="24"/>
      <c r="E5616" s="24"/>
    </row>
    <row r="5617">
      <c r="A5617" s="25" t="s">
        <v>18647</v>
      </c>
      <c r="B5617" s="25" t="s">
        <v>18819</v>
      </c>
      <c r="C5617" s="26" t="str">
        <f>HYPERLINK("https://audio.iskcondesiretree.com/02_-_ISKCON_Swamis/ISKCON_Swamis_-_R_to_Y/His_Holiness_Radhanath_Swami/Lectures/05_-_Amrit_Droplets/HHRNSM_-_Amrit_Droplets_-_0194_-_What_does_it_mean_to_control_the_mind_-_IDesireTree.mp3", "HHRNSM_-_Amrit_Droplets_-_0194_-_What_does_it_mean_to_control_the_mind_-_IDesireTree.mp3")</f>
        <v>HHRNSM_-_Amrit_Droplets_-_0194_-_What_does_it_mean_to_control_the_mind_-_IDesireTree.mp3</v>
      </c>
      <c r="D5617" s="24"/>
      <c r="E5617" s="24"/>
    </row>
    <row r="5618">
      <c r="A5618" s="25" t="s">
        <v>18647</v>
      </c>
      <c r="B5618" s="25" t="s">
        <v>18820</v>
      </c>
      <c r="C5618" s="26" t="str">
        <f>HYPERLINK("https://audio.iskcondesiretree.com/02_-_ISKCON_Swamis/ISKCON_Swamis_-_R_to_Y/His_Holiness_Radhanath_Swami/Lectures/05_-_Amrit_Droplets/HHRNSM_-_Amrit_Droplets_-_0195_-_What_does_tolerance_mean_-_IDesireTree.mp3", "HHRNSM_-_Amrit_Droplets_-_0195_-_What_does_tolerance_mean_-_IDesireTree.mp3")</f>
        <v>HHRNSM_-_Amrit_Droplets_-_0195_-_What_does_tolerance_mean_-_IDesireTree.mp3</v>
      </c>
      <c r="D5618" s="24"/>
      <c r="E5618" s="24"/>
    </row>
    <row r="5619">
      <c r="A5619" s="25" t="s">
        <v>18647</v>
      </c>
      <c r="B5619" s="25" t="s">
        <v>18821</v>
      </c>
      <c r="C5619" s="26" t="str">
        <f>HYPERLINK("https://audio.iskcondesiretree.com/02_-_ISKCON_Swamis/ISKCON_Swamis_-_R_to_Y/His_Holiness_Radhanath_Swami/Lectures/05_-_Amrit_Droplets/HHRNSM_-_Amrit_Droplets_-_0196_-_What_is_Victory_for_a_devotee_-_IDesireTree.mp3", "HHRNSM_-_Amrit_Droplets_-_0196_-_What_is_Victory_for_a_devotee_-_IDesireTree.mp3")</f>
        <v>HHRNSM_-_Amrit_Droplets_-_0196_-_What_is_Victory_for_a_devotee_-_IDesireTree.mp3</v>
      </c>
      <c r="D5619" s="24"/>
      <c r="E5619" s="24"/>
    </row>
    <row r="5620">
      <c r="A5620" s="25" t="s">
        <v>18647</v>
      </c>
      <c r="B5620" s="25" t="s">
        <v>18822</v>
      </c>
      <c r="C5620" s="26" t="str">
        <f>HYPERLINK("https://audio.iskcondesiretree.com/02_-_ISKCON_Swamis/ISKCON_Swamis_-_R_to_Y/His_Holiness_Radhanath_Swami/Lectures/05_-_Amrit_Droplets/HHRNSM_-_Amrit_Droplets_-_0197_-_What_it_means_to_experience_Higher_taste_-_IDesireTree.mp3", "HHRNSM_-_Amrit_Droplets_-_0197_-_What_it_means_to_experience_Higher_taste_-_IDesireTree.mp3")</f>
        <v>HHRNSM_-_Amrit_Droplets_-_0197_-_What_it_means_to_experience_Higher_taste_-_IDesireTree.mp3</v>
      </c>
      <c r="D5620" s="24"/>
      <c r="E5620" s="24"/>
    </row>
    <row r="5621">
      <c r="A5621" s="25" t="s">
        <v>18647</v>
      </c>
      <c r="B5621" s="25" t="s">
        <v>18823</v>
      </c>
      <c r="C5621" s="26" t="str">
        <f>HYPERLINK("https://audio.iskcondesiretree.com/02_-_ISKCON_Swamis/ISKCON_Swamis_-_R_to_Y/His_Holiness_Radhanath_Swami/Lectures/05_-_Amrit_Droplets/HHRNSM_-_Amrit_Droplets_-_0198_-_When_we_are_talking_about_mind%2C_we_are_actually_talking_about_heart_-_IDesireTree.mp3", "HHRNSM_-_Amrit_Droplets_-_0198_-_When_we_are_talking_about_mind%2C_we_are_actually_talking_about_heart_-_IDesireTree.mp3")</f>
        <v>HHRNSM_-_Amrit_Droplets_-_0198_-_When_we_are_talking_about_mind%2C_we_are_actually_talking_about_heart_-_IDesireTree.mp3</v>
      </c>
      <c r="D5621" s="24"/>
      <c r="E5621" s="24"/>
    </row>
    <row r="5622">
      <c r="A5622" s="25" t="s">
        <v>18647</v>
      </c>
      <c r="B5622" s="25" t="s">
        <v>18824</v>
      </c>
      <c r="C5622" s="26" t="str">
        <f>HYPERLINK("https://audio.iskcondesiretree.com/02_-_ISKCON_Swamis/ISKCON_Swamis_-_R_to_Y/His_Holiness_Radhanath_Swami/Lectures/05_-_Amrit_Droplets/HHRNSM_-_Amrit_Droplets_-_0199_-_Why_conflicts_among_vaishnavas_arise_-_IDesireTree.mp3", "HHRNSM_-_Amrit_Droplets_-_0199_-_Why_conflicts_among_vaishnavas_arise_-_IDesireTree.mp3")</f>
        <v>HHRNSM_-_Amrit_Droplets_-_0199_-_Why_conflicts_among_vaishnavas_arise_-_IDesireTree.mp3</v>
      </c>
      <c r="D5622" s="24"/>
      <c r="E5622" s="24"/>
    </row>
    <row r="5623">
      <c r="A5623" s="25" t="s">
        <v>18647</v>
      </c>
      <c r="B5623" s="25" t="s">
        <v>18825</v>
      </c>
      <c r="C5623" s="26" t="str">
        <f>HYPERLINK("https://audio.iskcondesiretree.com/02_-_ISKCON_Swamis/ISKCON_Swamis_-_R_to_Y/His_Holiness_Radhanath_Swami/Lectures/05_-_Amrit_Droplets/HHRNSM_-_Amrit_Droplets_-_0200_-_What_should_we_pray_while_doing_any_devotional_activity_-_IDesireTree.mp3", "HHRNSM_-_Amrit_Droplets_-_0200_-_What_should_we_pray_while_doing_any_devotional_activity_-_IDesireTree.mp3")</f>
        <v>HHRNSM_-_Amrit_Droplets_-_0200_-_What_should_we_pray_while_doing_any_devotional_activity_-_IDesireTree.mp3</v>
      </c>
      <c r="D5623" s="24"/>
      <c r="E5623" s="24"/>
    </row>
    <row r="5624">
      <c r="A5624" s="25" t="s">
        <v>18826</v>
      </c>
      <c r="B5624" s="25" t="s">
        <v>18827</v>
      </c>
      <c r="C5624" s="26" t="str">
        <f>HYPERLINK("https://audio.iskcondesiretree.com/02_-_ISKCON_Swamis/ISKCON_Swamis_-_R_to_Y/His_Holiness_Radhanath_Swami/Lectures/Disciples_Meeting/Disciples_Meeting_-_Radhanath_Swami_2009-05-23_UK.mp3", "Disciples_Meeting_-_Radhanath_Swami_2009-05-23_UK.mp3")</f>
        <v>Disciples_Meeting_-_Radhanath_Swami_2009-05-23_UK.mp3</v>
      </c>
      <c r="D5624" s="24"/>
      <c r="E5624" s="24"/>
    </row>
    <row r="5625">
      <c r="A5625" s="25" t="s">
        <v>18826</v>
      </c>
      <c r="B5625" s="25" t="s">
        <v>18828</v>
      </c>
      <c r="C5625" s="26" t="str">
        <f>HYPERLINK("https://audio.iskcondesiretree.com/02_-_ISKCON_Swamis/ISKCON_Swamis_-_R_to_Y/His_Holiness_Radhanath_Swami/Lectures/Disciples_Meeting/Disciples_Meeting_-_Radhanath_Swami_2009-07-10_UK.mp3", "Disciples_Meeting_-_Radhanath_Swami_2009-07-10_UK.mp3")</f>
        <v>Disciples_Meeting_-_Radhanath_Swami_2009-07-10_UK.mp3</v>
      </c>
      <c r="D5625" s="24"/>
      <c r="E5625" s="24"/>
    </row>
    <row r="5626">
      <c r="A5626" s="25" t="s">
        <v>18826</v>
      </c>
      <c r="B5626" s="25" t="s">
        <v>18829</v>
      </c>
      <c r="C5626" s="26" t="str">
        <f>HYPERLINK("https://audio.iskcondesiretree.com/02_-_ISKCON_Swamis/ISKCON_Swamis_-_R_to_Y/His_Holiness_Radhanath_Swami/Lectures/Disciples_Meeting/Disciples_Meeting_at_Sanjeev_Agarwal%27s_With_HH_GRS_-_Radhanath_Swami_2010-01-03_UK.mp3", "Disciples_Meeting_at_Sanjeev_Agarwal%27s_With_HH_GRS_-_Radhanath_Swami_2010-01-03_UK.mp3")</f>
        <v>Disciples_Meeting_at_Sanjeev_Agarwal%27s_With_HH_GRS_-_Radhanath_Swami_2010-01-03_UK.mp3</v>
      </c>
      <c r="D5626" s="24"/>
      <c r="E5626" s="24"/>
    </row>
    <row r="5627">
      <c r="A5627" s="25" t="s">
        <v>18830</v>
      </c>
      <c r="B5627" s="25" t="s">
        <v>18831</v>
      </c>
      <c r="C5627" s="26" t="str">
        <f>HYPERLINK("https://audio.iskcondesiretree.com/02_-_ISKCON_Swamis/ISKCON_Swamis_-_R_to_Y/His_Holiness_Radhanath_Swami/Lectures/Gaura_Lila/Gaura_Lila_01/Gaura_Lila_01_-_Lord_Caitanya%27s_Mercy_On_Various_Devotees_-_Radhanath_Swami.mp3", "Gaura_Lila_01_-_Lord_Caitanya%27s_Mercy_On_Various_Devotees_-_Radhanath_Swami.mp3")</f>
        <v>Gaura_Lila_01_-_Lord_Caitanya%27s_Mercy_On_Various_Devotees_-_Radhanath_Swami.mp3</v>
      </c>
      <c r="D5627" s="24"/>
      <c r="E5627" s="24"/>
    </row>
    <row r="5628">
      <c r="A5628" s="25" t="s">
        <v>18830</v>
      </c>
      <c r="B5628" s="25" t="s">
        <v>18831</v>
      </c>
      <c r="C5628" s="26" t="str">
        <f>HYPERLINK("https://audio.iskcondesiretree.com/02_-_ISKCON_Swamis/ISKCON_Swamis_-_R_to_Y/His_Holiness_Radhanath_Swami/Lectures/Gaura_Lila/Gaura_Lila_01/Gaura_Lila_01_-_Lord_Caitanya_taking_Sannyas_-_Radhanath_Swami.mp3", "Gaura_Lila_01_-_Lord_Caitanya_taking_Sannyas_-_Radhanath_Swami.mp3")</f>
        <v>Gaura_Lila_01_-_Lord_Caitanya_taking_Sannyas_-_Radhanath_Swami.mp3</v>
      </c>
      <c r="D5628" s="24"/>
      <c r="E5628" s="24"/>
    </row>
    <row r="5629">
      <c r="A5629" s="25" t="s">
        <v>18830</v>
      </c>
      <c r="B5629" s="25" t="s">
        <v>18831</v>
      </c>
      <c r="C5629" s="26" t="str">
        <f>HYPERLINK("https://audio.iskcondesiretree.com/02_-_ISKCON_Swamis/ISKCON_Swamis_-_R_to_Y/His_Holiness_Radhanath_Swami/Lectures/Gaura_Lila/Gaura_Lila_01/Gaura_Lila_01_-_Lord_Nityananda_Delivers_Jagai_and_Madhai_-_Radhanath_Swami.mp3", "Gaura_Lila_01_-_Lord_Nityananda_Delivers_Jagai_and_Madhai_-_Radhanath_Swami.mp3")</f>
        <v>Gaura_Lila_01_-_Lord_Nityananda_Delivers_Jagai_and_Madhai_-_Radhanath_Swami.mp3</v>
      </c>
      <c r="D5629" s="24"/>
      <c r="E5629" s="24"/>
    </row>
    <row r="5630">
      <c r="A5630" s="25" t="s">
        <v>18830</v>
      </c>
      <c r="B5630" s="25" t="s">
        <v>18831</v>
      </c>
      <c r="C5630" s="26" t="str">
        <f>HYPERLINK("https://audio.iskcondesiretree.com/02_-_ISKCON_Swamis/ISKCON_Swamis_-_R_to_Y/His_Holiness_Radhanath_Swami/Lectures/Gaura_Lila/Gaura_Lila_01/Gaura_Lila_01_-_Nimai%27s_Appearance_and_Early_Childhood_Pastimes_-_Radhanath_Swami.mp3", "Gaura_Lila_01_-_Nimai%27s_Appearance_and_Early_Childhood_Pastimes_-_Radhanath_Swami.mp3")</f>
        <v>Gaura_Lila_01_-_Nimai%27s_Appearance_and_Early_Childhood_Pastimes_-_Radhanath_Swami.mp3</v>
      </c>
      <c r="D5630" s="24"/>
      <c r="E5630" s="24"/>
    </row>
    <row r="5631">
      <c r="A5631" s="25" t="s">
        <v>18830</v>
      </c>
      <c r="B5631" s="25" t="s">
        <v>18831</v>
      </c>
      <c r="C5631" s="26" t="str">
        <f>HYPERLINK("https://audio.iskcondesiretree.com/02_-_ISKCON_Swamis/ISKCON_Swamis_-_R_to_Y/His_Holiness_Radhanath_Swami/Lectures/Gaura_Lila/Gaura_Lila_01/Gaura_Lila_01_-_Nimai_Pandit_Becomes_a_Devotee-01_-_Radhanath_Swami.mp3", "Gaura_Lila_01_-_Nimai_Pandit_Becomes_a_Devotee-01_-_Radhanath_Swami.mp3")</f>
        <v>Gaura_Lila_01_-_Nimai_Pandit_Becomes_a_Devotee-01_-_Radhanath_Swami.mp3</v>
      </c>
      <c r="D5631" s="24"/>
      <c r="E5631" s="24"/>
    </row>
    <row r="5632">
      <c r="A5632" s="25" t="s">
        <v>18830</v>
      </c>
      <c r="B5632" s="25" t="s">
        <v>18831</v>
      </c>
      <c r="C5632" s="26" t="str">
        <f>HYPERLINK("https://audio.iskcondesiretree.com/02_-_ISKCON_Swamis/ISKCON_Swamis_-_R_to_Y/His_Holiness_Radhanath_Swami/Lectures/Gaura_Lila/Gaura_Lila_01/Gaura_Lila_01_-_Nimai_Pandit_Becomes_a_Devotee-02_-_Radhanath_Swami.mp3", "Gaura_Lila_01_-_Nimai_Pandit_Becomes_a_Devotee-02_-_Radhanath_Swami.mp3")</f>
        <v>Gaura_Lila_01_-_Nimai_Pandit_Becomes_a_Devotee-02_-_Radhanath_Swami.mp3</v>
      </c>
      <c r="D5632" s="24"/>
      <c r="E5632" s="24"/>
    </row>
    <row r="5633">
      <c r="A5633" s="25" t="s">
        <v>18830</v>
      </c>
      <c r="B5633" s="25" t="s">
        <v>18831</v>
      </c>
      <c r="C5633" s="26" t="str">
        <f>HYPERLINK("https://audio.iskcondesiretree.com/02_-_ISKCON_Swamis/ISKCON_Swamis_-_R_to_Y/His_Holiness_Radhanath_Swami/Lectures/Gaura_Lila/Gaura_Lila_01/Gaura_Lila_01_-_Nimai_Pandit_the_Expert_Logician_-_Radhanath_Swami.mp3", "Gaura_Lila_01_-_Nimai_Pandit_the_Expert_Logician_-_Radhanath_Swami.mp3")</f>
        <v>Gaura_Lila_01_-_Nimai_Pandit_the_Expert_Logician_-_Radhanath_Swami.mp3</v>
      </c>
      <c r="D5633" s="24"/>
      <c r="E5633" s="24"/>
    </row>
    <row r="5634">
      <c r="A5634" s="25" t="s">
        <v>18830</v>
      </c>
      <c r="B5634" s="25" t="s">
        <v>18831</v>
      </c>
      <c r="C5634" s="26" t="str">
        <f>HYPERLINK("https://audio.iskcondesiretree.com/02_-_ISKCON_Swamis/ISKCON_Swamis_-_R_to_Y/His_Holiness_Radhanath_Swami/Lectures/Gaura_Lila/Gaura_Lila_01/Gaura_Lila_01_-_Story_of_Chand_Kazi_and_Sridhar_Kolavecha_-_Radhanath_Swami.mp3", "Gaura_Lila_01_-_Story_of_Chand_Kazi_and_Sridhar_Kolavecha_-_Radhanath_Swami.mp3")</f>
        <v>Gaura_Lila_01_-_Story_of_Chand_Kazi_and_Sridhar_Kolavecha_-_Radhanath_Swami.mp3</v>
      </c>
      <c r="D5634" s="24"/>
      <c r="E5634" s="24"/>
    </row>
    <row r="5635">
      <c r="A5635" s="25" t="s">
        <v>18830</v>
      </c>
      <c r="B5635" s="25" t="s">
        <v>18831</v>
      </c>
      <c r="C5635" s="26" t="str">
        <f>HYPERLINK("https://audio.iskcondesiretree.com/02_-_ISKCON_Swamis/ISKCON_Swamis_-_R_to_Y/His_Holiness_Radhanath_Swami/Lectures/Gaura_Lila/Gaura_Lila_01/Gaura_Lila_01_-_The_Beginning_of_the_Sankirtan_Movement_-_Radhanath_Swami.mp3", "Gaura_Lila_01_-_The_Beginning_of_the_Sankirtan_Movement_-_Radhanath_Swami.mp3")</f>
        <v>Gaura_Lila_01_-_The_Beginning_of_the_Sankirtan_Movement_-_Radhanath_Swami.mp3</v>
      </c>
      <c r="D5635" s="24"/>
      <c r="E5635" s="24"/>
    </row>
    <row r="5636">
      <c r="A5636" s="25" t="s">
        <v>18830</v>
      </c>
      <c r="B5636" s="25" t="s">
        <v>18831</v>
      </c>
      <c r="C5636" s="26" t="str">
        <f>HYPERLINK("https://audio.iskcondesiretree.com/02_-_ISKCON_Swamis/ISKCON_Swamis_-_R_to_Y/His_Holiness_Radhanath_Swami/Lectures/Gaura_Lila/Gaura_Lila_01/Gaura_Lila_01_-_The_Mahaprakash_Lila-01_-_Radhanath_Swami.mp3", "Gaura_Lila_01_-_The_Mahaprakash_Lila-01_-_Radhanath_Swami.mp3")</f>
        <v>Gaura_Lila_01_-_The_Mahaprakash_Lila-01_-_Radhanath_Swami.mp3</v>
      </c>
      <c r="D5636" s="24"/>
      <c r="E5636" s="24"/>
    </row>
    <row r="5637">
      <c r="A5637" s="25" t="s">
        <v>18830</v>
      </c>
      <c r="B5637" s="25" t="s">
        <v>18831</v>
      </c>
      <c r="C5637" s="26" t="str">
        <f>HYPERLINK("https://audio.iskcondesiretree.com/02_-_ISKCON_Swamis/ISKCON_Swamis_-_R_to_Y/His_Holiness_Radhanath_Swami/Lectures/Gaura_Lila/Gaura_Lila_01/Gaura_Lila_01_-_The_Mahaprakash_Lila-02_-_Radhanath_Swami.mp3", "Gaura_Lila_01_-_The_Mahaprakash_Lila-02_-_Radhanath_Swami.mp3")</f>
        <v>Gaura_Lila_01_-_The_Mahaprakash_Lila-02_-_Radhanath_Swami.mp3</v>
      </c>
      <c r="D5637" s="24"/>
      <c r="E5637" s="24"/>
    </row>
    <row r="5638">
      <c r="A5638" s="25" t="s">
        <v>18830</v>
      </c>
      <c r="B5638" s="25" t="s">
        <v>18832</v>
      </c>
      <c r="C5638" s="26" t="str">
        <f>HYPERLINK("https://audio.iskcondesiretree.com/02_-_ISKCON_Swamis/ISKCON_Swamis_-_R_to_Y/His_Holiness_Radhanath_Swami/Lectures/Gaura_Lila/Gaura_Lila_02/Gaura_Lila-02_-_Deliverance_of_Sarvabhauma_Bhattacarya_-_Radhanath_Swami.mp3", "Gaura_Lila-02_-_Deliverance_of_Sarvabhauma_Bhattacarya_-_Radhanath_Swami.mp3")</f>
        <v>Gaura_Lila-02_-_Deliverance_of_Sarvabhauma_Bhattacarya_-_Radhanath_Swami.mp3</v>
      </c>
      <c r="D5638" s="24"/>
      <c r="E5638" s="24"/>
    </row>
    <row r="5639">
      <c r="A5639" s="25" t="s">
        <v>18830</v>
      </c>
      <c r="B5639" s="25" t="s">
        <v>18832</v>
      </c>
      <c r="C5639" s="26" t="str">
        <f>HYPERLINK("https://audio.iskcondesiretree.com/02_-_ISKCON_Swamis/ISKCON_Swamis_-_R_to_Y/His_Holiness_Radhanath_Swami/Lectures/Gaura_Lila/Gaura_Lila_02/Gaura_Lila-02_-_Lord_Caitanya%27s_Meeting_with_Ramananda_Raya_-_Radhanath_Swami.mp3", "Gaura_Lila-02_-_Lord_Caitanya%27s_Meeting_with_Ramananda_Raya_-_Radhanath_Swami.mp3")</f>
        <v>Gaura_Lila-02_-_Lord_Caitanya%27s_Meeting_with_Ramananda_Raya_-_Radhanath_Swami.mp3</v>
      </c>
      <c r="D5639" s="24"/>
      <c r="E5639" s="24"/>
    </row>
    <row r="5640">
      <c r="A5640" s="25" t="s">
        <v>18830</v>
      </c>
      <c r="B5640" s="25" t="s">
        <v>18832</v>
      </c>
      <c r="C5640" s="26" t="str">
        <f>HYPERLINK("https://audio.iskcondesiretree.com/02_-_ISKCON_Swamis/ISKCON_Swamis_-_R_to_Y/His_Holiness_Radhanath_Swami/Lectures/Gaura_Lila/Gaura_Lila_02/Gaura_Lila-02_-_Lord_Caitanya_on_His_Way_to_Jagannath_Puri_-_Radhanath_Swami.mp3", "Gaura_Lila-02_-_Lord_Caitanya_on_His_Way_to_Jagannath_Puri_-_Radhanath_Swami.mp3")</f>
        <v>Gaura_Lila-02_-_Lord_Caitanya_on_His_Way_to_Jagannath_Puri_-_Radhanath_Swami.mp3</v>
      </c>
      <c r="D5640" s="24"/>
      <c r="E5640" s="24"/>
    </row>
    <row r="5641">
      <c r="A5641" s="25" t="s">
        <v>18830</v>
      </c>
      <c r="B5641" s="25" t="s">
        <v>18832</v>
      </c>
      <c r="C5641" s="26" t="str">
        <f>HYPERLINK("https://audio.iskcondesiretree.com/02_-_ISKCON_Swamis/ISKCON_Swamis_-_R_to_Y/His_Holiness_Radhanath_Swami/Lectures/Gaura_Lila/Gaura_Lila_02/Gaura_Lila-02_-_Lord_Caitanya_travels_to_Various_Places_-_Radhanath_Swami.mp3", "Gaura_Lila-02_-_Lord_Caitanya_travels_to_Various_Places_-_Radhanath_Swami.mp3")</f>
        <v>Gaura_Lila-02_-_Lord_Caitanya_travels_to_Various_Places_-_Radhanath_Swami.mp3</v>
      </c>
      <c r="D5641" s="24"/>
      <c r="E5641" s="24"/>
    </row>
    <row r="5642">
      <c r="A5642" s="25" t="s">
        <v>18830</v>
      </c>
      <c r="B5642" s="25" t="s">
        <v>18832</v>
      </c>
      <c r="C5642" s="26" t="str">
        <f>HYPERLINK("https://audio.iskcondesiretree.com/02_-_ISKCON_Swamis/ISKCON_Swamis_-_R_to_Y/His_Holiness_Radhanath_Swami/Lectures/Gaura_Lila/Gaura_Lila_02/Gaura_Lila-02_-_Lord_Caitanya_Visits_Kurmakshetra_and_Simhachalam_-_Radhanath_Swami.mp3", "Gaura_Lila-02_-_Lord_Caitanya_Visits_Kurmakshetra_and_Simhachalam_-_Radhanath_Swami.mp3")</f>
        <v>Gaura_Lila-02_-_Lord_Caitanya_Visits_Kurmakshetra_and_Simhachalam_-_Radhanath_Swami.mp3</v>
      </c>
      <c r="D5642" s="24"/>
      <c r="E5642" s="24"/>
    </row>
    <row r="5643">
      <c r="A5643" s="25" t="s">
        <v>18830</v>
      </c>
      <c r="B5643" s="25" t="s">
        <v>18832</v>
      </c>
      <c r="C5643" s="26" t="str">
        <f>HYPERLINK("https://audio.iskcondesiretree.com/02_-_ISKCON_Swamis/ISKCON_Swamis_-_R_to_Y/His_Holiness_Radhanath_Swami/Lectures/Gaura_Lila/Gaura_Lila_02/Gaura_Lila-02_-_Story_of_Ksira_Cora_Gopinatha_and_Sakshi_Gopal_-_Radhanath_Swami.mp3", "Gaura_Lila-02_-_Story_of_Ksira_Cora_Gopinatha_and_Sakshi_Gopal_-_Radhanath_Swami.mp3")</f>
        <v>Gaura_Lila-02_-_Story_of_Ksira_Cora_Gopinatha_and_Sakshi_Gopal_-_Radhanath_Swami.mp3</v>
      </c>
      <c r="D5643" s="24"/>
      <c r="E5643" s="24"/>
    </row>
    <row r="5644">
      <c r="A5644" s="25" t="s">
        <v>18830</v>
      </c>
      <c r="B5644" s="25" t="s">
        <v>18833</v>
      </c>
      <c r="C5644" s="26" t="str">
        <f>HYPERLINK("https://audio.iskcondesiretree.com/02_-_ISKCON_Swamis/ISKCON_Swamis_-_R_to_Y/His_Holiness_Radhanath_Swami/Lectures/Gaura_Lila/Gaura_Lila_03/Gaura_Lila-03_-_Glories_of_Haridas_Thakur_and_Sanatana_Goswami_-_Radhanath_Swami.mp3", "Gaura_Lila-03_-_Glories_of_Haridas_Thakur_and_Sanatana_Goswami_-_Radhanath_Swami.mp3")</f>
        <v>Gaura_Lila-03_-_Glories_of_Haridas_Thakur_and_Sanatana_Goswami_-_Radhanath_Swami.mp3</v>
      </c>
      <c r="D5644" s="24"/>
      <c r="E5644" s="24"/>
    </row>
    <row r="5645">
      <c r="A5645" s="25" t="s">
        <v>18830</v>
      </c>
      <c r="B5645" s="25" t="s">
        <v>18833</v>
      </c>
      <c r="C5645" s="26" t="str">
        <f>HYPERLINK("https://audio.iskcondesiretree.com/02_-_ISKCON_Swamis/ISKCON_Swamis_-_R_to_Y/His_Holiness_Radhanath_Swami/Lectures/Gaura_Lila/Gaura_Lila_03/Gaura_Lila-03_-_Glorification_of_Rupa_Goswami_-_Radhanath_Swami.mp3", "Gaura_Lila-03_-_Glorification_of_Rupa_Goswami_-_Radhanath_Swami.mp3")</f>
        <v>Gaura_Lila-03_-_Glorification_of_Rupa_Goswami_-_Radhanath_Swami.mp3</v>
      </c>
      <c r="D5645" s="24"/>
      <c r="E5645" s="24"/>
    </row>
    <row r="5646">
      <c r="A5646" s="25" t="s">
        <v>18830</v>
      </c>
      <c r="B5646" s="25" t="s">
        <v>18833</v>
      </c>
      <c r="C5646" s="26" t="str">
        <f>HYPERLINK("https://audio.iskcondesiretree.com/02_-_ISKCON_Swamis/ISKCON_Swamis_-_R_to_Y/His_Holiness_Radhanath_Swami/Lectures/Gaura_Lila/Gaura_Lila_03/Gaura_Lila-03_-_Lord_Caitanya%27s_Pastimes_at_Jagannath_Puri_l_-_Radhanath_Swami.mp3", "Gaura_Lila-03_-_Lord_Caitanya%27s_Pastimes_at_Jagannath_Puri_l_-_Radhanath_Swami.mp3")</f>
        <v>Gaura_Lila-03_-_Lord_Caitanya%27s_Pastimes_at_Jagannath_Puri_l_-_Radhanath_Swami.mp3</v>
      </c>
      <c r="D5646" s="24"/>
      <c r="E5646" s="24"/>
    </row>
    <row r="5647">
      <c r="A5647" s="25" t="s">
        <v>18830</v>
      </c>
      <c r="B5647" s="25" t="s">
        <v>18833</v>
      </c>
      <c r="C5647" s="26" t="str">
        <f>HYPERLINK("https://audio.iskcondesiretree.com/02_-_ISKCON_Swamis/ISKCON_Swamis_-_R_to_Y/His_Holiness_Radhanath_Swami/Lectures/Gaura_Lila/Gaura_Lila_03/Gaura_Lila-03_-_Lord_Caitanya%27s_Pastimes_at_Jagannath_Puri_ll_-_Radhanath_Swami.mp3", "Gaura_Lila-03_-_Lord_Caitanya%27s_Pastimes_at_Jagannath_Puri_ll_-_Radhanath_Swami.mp3")</f>
        <v>Gaura_Lila-03_-_Lord_Caitanya%27s_Pastimes_at_Jagannath_Puri_ll_-_Radhanath_Swami.mp3</v>
      </c>
      <c r="D5647" s="24"/>
      <c r="E5647" s="24"/>
    </row>
    <row r="5648">
      <c r="A5648" s="25" t="s">
        <v>18830</v>
      </c>
      <c r="B5648" s="25" t="s">
        <v>18833</v>
      </c>
      <c r="C5648" s="26" t="str">
        <f>HYPERLINK("https://audio.iskcondesiretree.com/02_-_ISKCON_Swamis/ISKCON_Swamis_-_R_to_Y/His_Holiness_Radhanath_Swami/Lectures/Gaura_Lila/Gaura_Lila_03/Gaura_Lila-03_-_Lord_Caitanya_Empowers_Sanatana_Goswami_-_Radhanath_Swami.mp3", "Gaura_Lila-03_-_Lord_Caitanya_Empowers_Sanatana_Goswami_-_Radhanath_Swami.mp3")</f>
        <v>Gaura_Lila-03_-_Lord_Caitanya_Empowers_Sanatana_Goswami_-_Radhanath_Swami.mp3</v>
      </c>
      <c r="D5648" s="24"/>
      <c r="E5648" s="24"/>
    </row>
    <row r="5649">
      <c r="A5649" s="25" t="s">
        <v>18830</v>
      </c>
      <c r="B5649" s="25" t="s">
        <v>18833</v>
      </c>
      <c r="C5649" s="26" t="str">
        <f>HYPERLINK("https://audio.iskcondesiretree.com/02_-_ISKCON_Swamis/ISKCON_Swamis_-_R_to_Y/His_Holiness_Radhanath_Swami/Lectures/Gaura_Lila/Gaura_Lila_03/Gaura_Lila-03_-_Lord_Caitanya_Performing_Pastimes_with_Various_Devotees_-_Radhanath_Swami.mp3", "Gaura_Lila-03_-_Lord_Caitanya_Performing_Pastimes_with_Various_Devotees_-_Radhanath_Swami.mp3")</f>
        <v>Gaura_Lila-03_-_Lord_Caitanya_Performing_Pastimes_with_Various_Devotees_-_Radhanath_Swami.mp3</v>
      </c>
      <c r="D5649" s="24"/>
      <c r="E5649" s="24"/>
    </row>
    <row r="5650">
      <c r="A5650" s="25" t="s">
        <v>18830</v>
      </c>
      <c r="B5650" s="25" t="s">
        <v>18833</v>
      </c>
      <c r="C5650" s="26" t="str">
        <f>HYPERLINK("https://audio.iskcondesiretree.com/02_-_ISKCON_Swamis/ISKCON_Swamis_-_R_to_Y/His_Holiness_Radhanath_Swami/Lectures/Gaura_Lila/Gaura_Lila_03/Gaura_Lila-03_-_The_Lord%27s_Pastimes_on_His_Way_back_to_Puri_-_Radhanath_Swami.mp3", "Gaura_Lila-03_-_The_Lord%27s_Pastimes_on_His_Way_back_to_Puri_-_Radhanath_Swami.mp3")</f>
        <v>Gaura_Lila-03_-_The_Lord%27s_Pastimes_on_His_Way_back_to_Puri_-_Radhanath_Swami.mp3</v>
      </c>
      <c r="D5650" s="24"/>
      <c r="E5650" s="24"/>
    </row>
    <row r="5651">
      <c r="A5651" s="25" t="s">
        <v>18830</v>
      </c>
      <c r="B5651" s="25" t="s">
        <v>18833</v>
      </c>
      <c r="C5651" s="26" t="str">
        <f>HYPERLINK("https://audio.iskcondesiretree.com/02_-_ISKCON_Swamis/ISKCON_Swamis_-_R_to_Y/His_Holiness_Radhanath_Swami/Lectures/Gaura_Lila/Gaura_Lila_03/Gaura_Lila-03_-_The_Lord_Showers_His_Mercy_on_Various_Devotees_-_Radhanath_Swami.mp3", "Gaura_Lila-03_-_The_Lord_Showers_His_Mercy_on_Various_Devotees_-_Radhanath_Swami.mp3")</f>
        <v>Gaura_Lila-03_-_The_Lord_Showers_His_Mercy_on_Various_Devotees_-_Radhanath_Swami.mp3</v>
      </c>
      <c r="D5651" s="24"/>
      <c r="E5651" s="24"/>
    </row>
    <row r="5652">
      <c r="A5652" s="25" t="s">
        <v>18834</v>
      </c>
      <c r="B5652" s="25" t="s">
        <v>18397</v>
      </c>
      <c r="C5652" s="26" t="str">
        <f>HYPERLINK("https://audio.iskcondesiretree.com/02_-_ISKCON_Swamis/ISKCON_Swamis_-_R_to_Y/His_Holiness_Radhanath_Swami/Lectures/Hindi_Translation/Bhagavad_Gita/Chapter-02/Hindi_BG_02-47_-_Jivan_ka_lakshya_-_1989-02-17_Mumbai_-_Radhanath_Swami.mp3", "Hindi_BG_02-47_-_Jivan_ka_lakshya_-_1989-02-17_Mumbai_-_Radhanath_Swami.mp3")</f>
        <v>Hindi_BG_02-47_-_Jivan_ka_lakshya_-_1989-02-17_Mumbai_-_Radhanath_Swami.mp3</v>
      </c>
      <c r="D5652" s="24"/>
      <c r="E5652" s="24"/>
    </row>
    <row r="5653">
      <c r="A5653" s="25" t="s">
        <v>18834</v>
      </c>
      <c r="B5653" s="25" t="s">
        <v>18397</v>
      </c>
      <c r="C5653" s="26" t="str">
        <f>HYPERLINK("https://audio.iskcondesiretree.com/02_-_ISKCON_Swamis/ISKCON_Swamis_-_R_to_Y/His_Holiness_Radhanath_Swami/Lectures/Hindi_Translation/Bhagavad_Gita/Chapter-09/Hindi_BG_09-33_-_Rachnatmak_Karya_-_1989-01-20_-_Radhanath_Swami_Mumbai.mp3", "Hindi_BG_09-33_-_Rachnatmak_Karya_-_1989-01-20_-_Radhanath_Swami_Mumbai.mp3")</f>
        <v>Hindi_BG_09-33_-_Rachnatmak_Karya_-_1989-01-20_-_Radhanath_Swami_Mumbai.mp3</v>
      </c>
      <c r="D5653" s="24"/>
      <c r="E5653" s="24"/>
    </row>
    <row r="5654">
      <c r="A5654" s="25" t="s">
        <v>18834</v>
      </c>
      <c r="B5654" s="25" t="s">
        <v>18835</v>
      </c>
      <c r="C5654" s="26" t="str">
        <f>HYPERLINK("https://audio.iskcondesiretree.com/02_-_ISKCON_Swamis/ISKCON_Swamis_-_R_to_Y/His_Holiness_Radhanath_Swami/Lectures/Hindi_Translation/Srimad_Bhagavatam/2013-02-06_SB_01-02-06_Hindi_Translation_-_Radhanath_Swami_Barsana.mp3", "2013-02-06_SB_01-02-06_Hindi_Translation_-_Radhanath_Swami_Barsana.mp3")</f>
        <v>2013-02-06_SB_01-02-06_Hindi_Translation_-_Radhanath_Swami_Barsana.mp3</v>
      </c>
      <c r="D5654" s="24"/>
      <c r="E5654" s="24"/>
    </row>
    <row r="5655">
      <c r="A5655" s="25" t="s">
        <v>18834</v>
      </c>
      <c r="B5655" s="25" t="s">
        <v>18835</v>
      </c>
      <c r="C5655" s="26" t="str">
        <f>HYPERLINK("https://audio.iskcondesiretree.com/02_-_ISKCON_Swamis/ISKCON_Swamis_-_R_to_Y/His_Holiness_Radhanath_Swami/Lectures/Hindi_Translation/Srimad_Bhagavatam/Hindi_SB_07-15-68_-_Durbhagyashali_bhagyashali_hain_-_Radhanath_Swami_1989-03-29_Mumbai.mp3", "Hindi_SB_07-15-68_-_Durbhagyashali_bhagyashali_hain_-_Radhanath_Swami_1989-03-29_Mumbai.mp3")</f>
        <v>Hindi_SB_07-15-68_-_Durbhagyashali_bhagyashali_hain_-_Radhanath_Swami_1989-03-29_Mumbai.mp3</v>
      </c>
      <c r="D5655" s="24"/>
      <c r="E5655" s="24"/>
    </row>
    <row r="5656">
      <c r="A5656" s="25" t="s">
        <v>18834</v>
      </c>
      <c r="B5656" s="25" t="s">
        <v>18835</v>
      </c>
      <c r="C5656" s="26" t="str">
        <f>HYPERLINK("https://audio.iskcondesiretree.com/02_-_ISKCON_Swamis/ISKCON_Swamis_-_R_to_Y/His_Holiness_Radhanath_Swami/Lectures/Hindi_Translation/Srimad_Bhagavatam/Hindi_SB_08-01-01-02_-_Bhakta_jadugar_se_prabhavit_nahi_hote_89-04-18_Mumbai.mp3", "Hindi_SB_08-01-01-02_-_Bhakta_jadugar_se_prabhavit_nahi_hote_89-04-18_Mumbai.mp3")</f>
        <v>Hindi_SB_08-01-01-02_-_Bhakta_jadugar_se_prabhavit_nahi_hote_89-04-18_Mumbai.mp3</v>
      </c>
      <c r="D5656" s="24"/>
      <c r="E5656" s="24"/>
    </row>
    <row r="5657">
      <c r="A5657" s="25" t="s">
        <v>18834</v>
      </c>
      <c r="B5657" s="25" t="s">
        <v>18836</v>
      </c>
      <c r="C5657" s="26" t="str">
        <f>HYPERLINK("https://audio.iskcondesiretree.com/02_-_ISKCON_Swamis/ISKCON_Swamis_-_R_to_Y/His_Holiness_Radhanath_Swami/Lectures/Hindi_Translation/Yatra/South_India_Yatra_2010/2010_South_India_Yatra_Lecture_Hindi_Translation_01_-_By_Krishnananda_Prabhu.mp3", "2010_South_India_Yatra_Lecture_Hindi_Translation_01_-_By_Krishnananda_Prabhu.mp3")</f>
        <v>2010_South_India_Yatra_Lecture_Hindi_Translation_01_-_By_Krishnananda_Prabhu.mp3</v>
      </c>
      <c r="D5657" s="24"/>
      <c r="E5657" s="24"/>
    </row>
    <row r="5658">
      <c r="A5658" s="25" t="s">
        <v>18834</v>
      </c>
      <c r="B5658" s="25" t="s">
        <v>18836</v>
      </c>
      <c r="C5658" s="26" t="str">
        <f>HYPERLINK("https://audio.iskcondesiretree.com/02_-_ISKCON_Swamis/ISKCON_Swamis_-_R_to_Y/His_Holiness_Radhanath_Swami/Lectures/Hindi_Translation/Yatra/South_India_Yatra_2010/2010_South_India_Yatra_Lecture_Hindi_Translation_02_-_By_Krishnananda_Prabhu.mp3", "2010_South_India_Yatra_Lecture_Hindi_Translation_02_-_By_Krishnananda_Prabhu.mp3")</f>
        <v>2010_South_India_Yatra_Lecture_Hindi_Translation_02_-_By_Krishnananda_Prabhu.mp3</v>
      </c>
      <c r="D5658" s="24"/>
      <c r="E5658" s="24"/>
    </row>
    <row r="5659">
      <c r="A5659" s="25" t="s">
        <v>18834</v>
      </c>
      <c r="B5659" s="25" t="s">
        <v>18836</v>
      </c>
      <c r="C5659" s="26" t="str">
        <f>HYPERLINK("https://audio.iskcondesiretree.com/02_-_ISKCON_Swamis/ISKCON_Swamis_-_R_to_Y/His_Holiness_Radhanath_Swami/Lectures/Hindi_Translation/Yatra/South_India_Yatra_2010/2010_South_India_Yatra_Lecture_Hindi_Translation_03_-_By_Krishnananda_Prabhu.mp3", "2010_South_India_Yatra_Lecture_Hindi_Translation_03_-_By_Krishnananda_Prabhu.mp3")</f>
        <v>2010_South_India_Yatra_Lecture_Hindi_Translation_03_-_By_Krishnananda_Prabhu.mp3</v>
      </c>
      <c r="D5659" s="24"/>
      <c r="E5659" s="24"/>
    </row>
    <row r="5660">
      <c r="A5660" s="25" t="s">
        <v>18834</v>
      </c>
      <c r="B5660" s="25" t="s">
        <v>18836</v>
      </c>
      <c r="C5660" s="26" t="str">
        <f>HYPERLINK("https://audio.iskcondesiretree.com/02_-_ISKCON_Swamis/ISKCON_Swamis_-_R_to_Y/His_Holiness_Radhanath_Swami/Lectures/Hindi_Translation/Yatra/South_India_Yatra_2010/2010_South_India_Yatra_Lecture_Hindi_Translation_04_-_By_Krishnananda_Prabhu.mp3", "2010_South_India_Yatra_Lecture_Hindi_Translation_04_-_By_Krishnananda_Prabhu.mp3")</f>
        <v>2010_South_India_Yatra_Lecture_Hindi_Translation_04_-_By_Krishnananda_Prabhu.mp3</v>
      </c>
      <c r="D5660" s="24"/>
      <c r="E5660" s="24"/>
    </row>
    <row r="5661">
      <c r="A5661" s="25" t="s">
        <v>18834</v>
      </c>
      <c r="B5661" s="25" t="s">
        <v>18836</v>
      </c>
      <c r="C5661" s="26" t="str">
        <f>HYPERLINK("https://audio.iskcondesiretree.com/02_-_ISKCON_Swamis/ISKCON_Swamis_-_R_to_Y/His_Holiness_Radhanath_Swami/Lectures/Hindi_Translation/Yatra/South_India_Yatra_2010/2010_South_India_Yatra_Lecture_Hindi_Translation_05_-_By_Krishnananda_Prabhu.mp3", "2010_South_India_Yatra_Lecture_Hindi_Translation_05_-_By_Krishnananda_Prabhu.mp3")</f>
        <v>2010_South_India_Yatra_Lecture_Hindi_Translation_05_-_By_Krishnananda_Prabhu.mp3</v>
      </c>
      <c r="D5661" s="24"/>
      <c r="E5661" s="24"/>
    </row>
    <row r="5662">
      <c r="A5662" s="25" t="s">
        <v>18834</v>
      </c>
      <c r="B5662" s="25" t="s">
        <v>18836</v>
      </c>
      <c r="C5662" s="26" t="str">
        <f>HYPERLINK("https://audio.iskcondesiretree.com/02_-_ISKCON_Swamis/ISKCON_Swamis_-_R_to_Y/His_Holiness_Radhanath_Swami/Lectures/Hindi_Translation/Yatra/South_India_Yatra_2010/2010_South_India_Yatra_Lecture_Hindi_Translation_06_-_By_Krishnananda_Prabhu.mp3", "2010_South_India_Yatra_Lecture_Hindi_Translation_06_-_By_Krishnananda_Prabhu.mp3")</f>
        <v>2010_South_India_Yatra_Lecture_Hindi_Translation_06_-_By_Krishnananda_Prabhu.mp3</v>
      </c>
      <c r="D5662" s="24"/>
      <c r="E5662" s="24"/>
    </row>
    <row r="5663">
      <c r="A5663" s="25" t="s">
        <v>18834</v>
      </c>
      <c r="B5663" s="25" t="s">
        <v>18836</v>
      </c>
      <c r="C5663" s="26" t="str">
        <f>HYPERLINK("https://audio.iskcondesiretree.com/02_-_ISKCON_Swamis/ISKCON_Swamis_-_R_to_Y/His_Holiness_Radhanath_Swami/Lectures/Hindi_Translation/Yatra/South_India_Yatra_2010/2010_South_India_Yatra_Lecture_Hindi_Translation_07_-_By_Krishnananda_Prabhu.mp3", "2010_South_India_Yatra_Lecture_Hindi_Translation_07_-_By_Krishnananda_Prabhu.mp3")</f>
        <v>2010_South_India_Yatra_Lecture_Hindi_Translation_07_-_By_Krishnananda_Prabhu.mp3</v>
      </c>
      <c r="D5663" s="24"/>
      <c r="E5663" s="24"/>
    </row>
    <row r="5664">
      <c r="A5664" s="25" t="s">
        <v>18834</v>
      </c>
      <c r="B5664" s="25" t="s">
        <v>18836</v>
      </c>
      <c r="C5664" s="26" t="str">
        <f>HYPERLINK("https://audio.iskcondesiretree.com/02_-_ISKCON_Swamis/ISKCON_Swamis_-_R_to_Y/His_Holiness_Radhanath_Swami/Lectures/Hindi_Translation/Yatra/South_India_Yatra_2010/2010_South_India_Yatra_Lecture_Hindi_Translation_08_-_By_Krishnananda_Prabhu.mp3", "2010_South_India_Yatra_Lecture_Hindi_Translation_08_-_By_Krishnananda_Prabhu.mp3")</f>
        <v>2010_South_India_Yatra_Lecture_Hindi_Translation_08_-_By_Krishnananda_Prabhu.mp3</v>
      </c>
      <c r="D5664" s="24"/>
      <c r="E5664" s="24"/>
    </row>
    <row r="5665">
      <c r="A5665" s="25" t="s">
        <v>18834</v>
      </c>
      <c r="B5665" s="25" t="s">
        <v>18836</v>
      </c>
      <c r="C5665" s="26" t="str">
        <f>HYPERLINK("https://audio.iskcondesiretree.com/02_-_ISKCON_Swamis/ISKCON_Swamis_-_R_to_Y/His_Holiness_Radhanath_Swami/Lectures/Hindi_Translation/Yatra/South_India_Yatra_2010/2010_South_India_Yatra_Lecture_Hindi_Translation_09_-_By_Krishnananda_Prabhu.mp3", "2010_South_India_Yatra_Lecture_Hindi_Translation_09_-_By_Krishnananda_Prabhu.mp3")</f>
        <v>2010_South_India_Yatra_Lecture_Hindi_Translation_09_-_By_Krishnananda_Prabhu.mp3</v>
      </c>
      <c r="D5665" s="24"/>
      <c r="E5665" s="24"/>
    </row>
    <row r="5666">
      <c r="A5666" s="25" t="s">
        <v>18834</v>
      </c>
      <c r="B5666" s="25" t="s">
        <v>18836</v>
      </c>
      <c r="C5666" s="26" t="str">
        <f>HYPERLINK("https://audio.iskcondesiretree.com/02_-_ISKCON_Swamis/ISKCON_Swamis_-_R_to_Y/His_Holiness_Radhanath_Swami/Lectures/Hindi_Translation/Yatra/South_India_Yatra_2010/2010_South_India_Yatra_Lecture_Hindi_Translation_10_-_By_Krishnananda_Prabhu.mp3", "2010_South_India_Yatra_Lecture_Hindi_Translation_10_-_By_Krishnananda_Prabhu.mp3")</f>
        <v>2010_South_India_Yatra_Lecture_Hindi_Translation_10_-_By_Krishnananda_Prabhu.mp3</v>
      </c>
      <c r="D5666" s="24"/>
      <c r="E5666" s="24"/>
    </row>
    <row r="5667">
      <c r="A5667" s="25" t="s">
        <v>18834</v>
      </c>
      <c r="B5667" s="25" t="s">
        <v>18836</v>
      </c>
      <c r="C5667" s="26" t="str">
        <f>HYPERLINK("https://audio.iskcondesiretree.com/02_-_ISKCON_Swamis/ISKCON_Swamis_-_R_to_Y/His_Holiness_Radhanath_Swami/Lectures/Hindi_Translation/Yatra/Vrindavan_Yatra/Vrindavan_Yatra_2011_-_Hare_Krishna_Kirtan_-_2011-10-27_Radhanath_Swami.mp3", "Vrindavan_Yatra_2011_-_Hare_Krishna_Kirtan_-_2011-10-27_Radhanath_Swami.mp3")</f>
        <v>Vrindavan_Yatra_2011_-_Hare_Krishna_Kirtan_-_2011-10-27_Radhanath_Swami.mp3</v>
      </c>
      <c r="D5667" s="24"/>
      <c r="E5667" s="24"/>
    </row>
    <row r="5668">
      <c r="A5668" s="25" t="s">
        <v>18834</v>
      </c>
      <c r="B5668" s="25" t="s">
        <v>18836</v>
      </c>
      <c r="C5668" s="26" t="str">
        <f>HYPERLINK("https://audio.iskcondesiretree.com/02_-_ISKCON_Swamis/ISKCON_Swamis_-_R_to_Y/His_Holiness_Radhanath_Swami/Lectures/Hindi_Translation/Yatra/Vrindavan_Yatra/Vrindavan_Yatra_2011_-_Hare_Krishna_Kirtan_-_2011-10-28_Radhanath_Swami.mp3", "Vrindavan_Yatra_2011_-_Hare_Krishna_Kirtan_-_2011-10-28_Radhanath_Swami.mp3")</f>
        <v>Vrindavan_Yatra_2011_-_Hare_Krishna_Kirtan_-_2011-10-28_Radhanath_Swami.mp3</v>
      </c>
      <c r="D5668" s="24"/>
      <c r="E5668" s="24"/>
    </row>
    <row r="5669">
      <c r="A5669" s="25" t="s">
        <v>18834</v>
      </c>
      <c r="B5669" s="25" t="s">
        <v>18836</v>
      </c>
      <c r="C5669" s="26" t="str">
        <f>HYPERLINK("https://audio.iskcondesiretree.com/02_-_ISKCON_Swamis/ISKCON_Swamis_-_R_to_Y/His_Holiness_Radhanath_Swami/Lectures/Hindi_Translation/Yatra/Vrindavan_Yatra/Vrindavan_Yatra_2011_-_Jaya_Yashoda_Jaya_Gopa_Gana_-_Gaur_Gopal_Pr_-_2011-10-26.mp3", "Vrindavan_Yatra_2011_-_Jaya_Yashoda_Jaya_Gopa_Gana_-_Gaur_Gopal_Pr_-_2011-10-26.mp3")</f>
        <v>Vrindavan_Yatra_2011_-_Jaya_Yashoda_Jaya_Gopa_Gana_-_Gaur_Gopal_Pr_-_2011-10-26.mp3</v>
      </c>
      <c r="D5669" s="24"/>
      <c r="E5669" s="24"/>
    </row>
    <row r="5670">
      <c r="A5670" s="25" t="s">
        <v>18834</v>
      </c>
      <c r="B5670" s="25" t="s">
        <v>18836</v>
      </c>
      <c r="C5670" s="26" t="str">
        <f>HYPERLINK("https://audio.iskcondesiretree.com/02_-_ISKCON_Swamis/ISKCON_Swamis_-_R_to_Y/His_Holiness_Radhanath_Swami/Lectures/Hindi_Translation/Yatra/Vrindavan_Yatra/Vrindavan_Yatra_2011_-_Je_Anilo_Prema_Dhana_-_2011-10-30_Radhanath_Swami.mp3", "Vrindavan_Yatra_2011_-_Je_Anilo_Prema_Dhana_-_2011-10-30_Radhanath_Swami.mp3")</f>
        <v>Vrindavan_Yatra_2011_-_Je_Anilo_Prema_Dhana_-_2011-10-30_Radhanath_Swami.mp3</v>
      </c>
      <c r="D5670" s="24"/>
      <c r="E5670" s="24"/>
    </row>
    <row r="5671">
      <c r="A5671" s="25" t="s">
        <v>18834</v>
      </c>
      <c r="B5671" s="25" t="s">
        <v>18836</v>
      </c>
      <c r="C5671" s="26" t="str">
        <f>HYPERLINK("https://audio.iskcondesiretree.com/02_-_ISKCON_Swamis/ISKCON_Swamis_-_R_to_Y/His_Holiness_Radhanath_Swami/Lectures/Hindi_Translation/Yatra/Vrindavan_Yatra/Vrindavan_Yatra_2011_Hindi_Translation_-_Brajvasisyo_ne_Govardhan_puja_kiya_-_2011-10-27_RNS.mp3", "Vrindavan_Yatra_2011_Hindi_Translation_-_Brajvasisyo_ne_Govardhan_puja_kiya_-_2011-10-27_RNS.mp3")</f>
        <v>Vrindavan_Yatra_2011_Hindi_Translation_-_Brajvasisyo_ne_Govardhan_puja_kiya_-_2011-10-27_RNS.mp3</v>
      </c>
      <c r="D5671" s="24"/>
      <c r="E5671" s="24"/>
    </row>
    <row r="5672">
      <c r="A5672" s="25" t="s">
        <v>18834</v>
      </c>
      <c r="B5672" s="25" t="s">
        <v>18836</v>
      </c>
      <c r="C5672" s="26" t="str">
        <f>HYPERLINK("https://audio.iskcondesiretree.com/02_-_ISKCON_Swamis/ISKCON_Swamis_-_R_to_Y/His_Holiness_Radhanath_Swami/Lectures/Hindi_Translation/Yatra/Vrindavan_Yatra/Vrindavan_Yatra_2011_Hindi_Translation_-_Gokul_Mahavan_me_Krishna_ki_Bal_Lilaye_-_2011-10-26_RNS.mp3", "Vrindavan_Yatra_2011_Hindi_Translation_-_Gokul_Mahavan_me_Krishna_ki_Bal_Lilaye_-_2011-10-26_RNS.mp3")</f>
        <v>Vrindavan_Yatra_2011_Hindi_Translation_-_Gokul_Mahavan_me_Krishna_ki_Bal_Lilaye_-_2011-10-26_RNS.mp3</v>
      </c>
      <c r="D5672" s="24"/>
      <c r="E5672" s="24"/>
    </row>
    <row r="5673">
      <c r="A5673" s="25" t="s">
        <v>18834</v>
      </c>
      <c r="B5673" s="25" t="s">
        <v>18836</v>
      </c>
      <c r="C5673" s="26" t="str">
        <f>HYPERLINK("https://audio.iskcondesiretree.com/02_-_ISKCON_Swamis/ISKCON_Swamis_-_R_to_Y/His_Holiness_Radhanath_Swami/Lectures/Hindi_Translation/Yatra/Vrindavan_Yatra/Vrindavan_Yatra_2011_Hindi_Translation_-_Govardhan_ka_Gungan_-_2011-11-03_Giriraj_Swami.mp3", "Vrindavan_Yatra_2011_Hindi_Translation_-_Govardhan_ka_Gungan_-_2011-11-03_Giriraj_Swami.mp3")</f>
        <v>Vrindavan_Yatra_2011_Hindi_Translation_-_Govardhan_ka_Gungan_-_2011-11-03_Giriraj_Swami.mp3</v>
      </c>
      <c r="D5673" s="24"/>
      <c r="E5673" s="24"/>
    </row>
    <row r="5674">
      <c r="A5674" s="25" t="s">
        <v>18834</v>
      </c>
      <c r="B5674" s="25" t="s">
        <v>18836</v>
      </c>
      <c r="C5674" s="26" t="str">
        <f>HYPERLINK("https://audio.iskcondesiretree.com/02_-_ISKCON_Swamis/ISKCON_Swamis_-_R_to_Y/His_Holiness_Radhanath_Swami/Lectures/Hindi_Translation/Yatra/Vrindavan_Yatra/Vrindavan_Yatra_2011_Hindi_Translation_-_Govardhan_Parikrama_ka_Mahtava_-_2011-11-02_RNS.mp3", "Vrindavan_Yatra_2011_Hindi_Translation_-_Govardhan_Parikrama_ka_Mahtava_-_2011-11-02_RNS.mp3")</f>
        <v>Vrindavan_Yatra_2011_Hindi_Translation_-_Govardhan_Parikrama_ka_Mahtava_-_2011-11-02_RNS.mp3</v>
      </c>
      <c r="D5674" s="24"/>
      <c r="E5674" s="24"/>
    </row>
    <row r="5675">
      <c r="A5675" s="25" t="s">
        <v>18834</v>
      </c>
      <c r="B5675" s="25" t="s">
        <v>18836</v>
      </c>
      <c r="C5675" s="26" t="str">
        <f>HYPERLINK("https://audio.iskcondesiretree.com/02_-_ISKCON_Swamis/ISKCON_Swamis_-_R_to_Y/His_Holiness_Radhanath_Swami/Lectures/Hindi_Translation/Yatra/Vrindavan_Yatra/Vrindavan_Yatra_2011_Hindi_Translation_-_Govardhan_Parikrama_ka_Mahtava_Part-01_-_2011-11-03_RNS.mp3", "Vrindavan_Yatra_2011_Hindi_Translation_-_Govardhan_Parikrama_ka_Mahtava_Part-01_-_2011-11-03_RNS.mp3")</f>
        <v>Vrindavan_Yatra_2011_Hindi_Translation_-_Govardhan_Parikrama_ka_Mahtava_Part-01_-_2011-11-03_RNS.mp3</v>
      </c>
      <c r="D5675" s="24"/>
      <c r="E5675" s="24"/>
    </row>
    <row r="5676">
      <c r="A5676" s="25" t="s">
        <v>18834</v>
      </c>
      <c r="B5676" s="25" t="s">
        <v>18836</v>
      </c>
      <c r="C5676" s="26" t="str">
        <f>HYPERLINK("https://audio.iskcondesiretree.com/02_-_ISKCON_Swamis/ISKCON_Swamis_-_R_to_Y/His_Holiness_Radhanath_Swami/Lectures/Hindi_Translation/Yatra/Vrindavan_Yatra/Vrndavan_Yatra_2011_Hindi_Translation_-_Sri_Vrindavan_Dham_ki_Kripa_Prapt_karna_-_2011-10-22_RNS.mp3", "Vrndavan_Yatra_2011_Hindi_Translation_-_Sri_Vrindavan_Dham_ki_Kripa_Prapt_karna_-_2011-10-22_RNS.mp3")</f>
        <v>Vrndavan_Yatra_2011_Hindi_Translation_-_Sri_Vrindavan_Dham_ki_Kripa_Prapt_karna_-_2011-10-22_RNS.mp3</v>
      </c>
      <c r="D5676" s="24"/>
      <c r="E5676" s="24"/>
    </row>
    <row r="5677">
      <c r="A5677" s="25" t="s">
        <v>18834</v>
      </c>
      <c r="B5677" s="25" t="s">
        <v>18836</v>
      </c>
      <c r="C5677" s="26" t="str">
        <f>HYPERLINK("https://audio.iskcondesiretree.com/02_-_ISKCON_Swamis/ISKCON_Swamis_-_R_to_Y/His_Holiness_Radhanath_Swami/Lectures/Hindi_Translation/Yatra/Vrindavan_Yatra/VY_2011_Hindi_Translation_-_Aghasura_ka_vadh_aur_Brahma_Vimohan_Lila_-_2011-10-28_RNS.mp3", "VY_2011_Hindi_Translation_-_Aghasura_ka_vadh_aur_Brahma_Vimohan_Lila_-_2011-10-28_RNS.mp3")</f>
        <v>VY_2011_Hindi_Translation_-_Aghasura_ka_vadh_aur_Brahma_Vimohan_Lila_-_2011-10-28_RNS.mp3</v>
      </c>
      <c r="D5677" s="24"/>
      <c r="E5677" s="24"/>
    </row>
    <row r="5678">
      <c r="A5678" s="25" t="s">
        <v>18834</v>
      </c>
      <c r="B5678" s="25" t="s">
        <v>18836</v>
      </c>
      <c r="C5678" s="26" t="str">
        <f>HYPERLINK("https://audio.iskcondesiretree.com/02_-_ISKCON_Swamis/ISKCON_Swamis_-_R_to_Y/His_Holiness_Radhanath_Swami/Lectures/Hindi_Translation/Yatra/Vrindavan_Yatra/VY_2011_Hindi_Translation_-_Evening_Offerings_to_Srila_Prabhupada_-_2011-10-30_Devotees.mp3", "VY_2011_Hindi_Translation_-_Evening_Offerings_to_Srila_Prabhupada_-_2011-10-30_Devotees.mp3")</f>
        <v>VY_2011_Hindi_Translation_-_Evening_Offerings_to_Srila_Prabhupada_-_2011-10-30_Devotees.mp3</v>
      </c>
      <c r="D5678" s="24"/>
      <c r="E5678" s="24"/>
    </row>
    <row r="5679">
      <c r="A5679" s="25" t="s">
        <v>18834</v>
      </c>
      <c r="B5679" s="25" t="s">
        <v>18836</v>
      </c>
      <c r="C5679" s="26" t="str">
        <f>HYPERLINK("https://audio.iskcondesiretree.com/02_-_ISKCON_Swamis/ISKCON_Swamis_-_R_to_Y/His_Holiness_Radhanath_Swami/Lectures/Hindi_Translation/Yatra/Vrindavan_Yatra/VY_2011_Hindi_Translation_-_Morning_Offerings_to_Srila_Prabhupada_-_2011-10-30_Devotees.mp3", "VY_2011_Hindi_Translation_-_Morning_Offerings_to_Srila_Prabhupada_-_2011-10-30_Devotees.mp3")</f>
        <v>VY_2011_Hindi_Translation_-_Morning_Offerings_to_Srila_Prabhupada_-_2011-10-30_Devotees.mp3</v>
      </c>
      <c r="D5679" s="24"/>
      <c r="E5679" s="24"/>
    </row>
    <row r="5680">
      <c r="A5680" s="25" t="s">
        <v>18834</v>
      </c>
      <c r="B5680" s="25" t="s">
        <v>18836</v>
      </c>
      <c r="C5680" s="26" t="str">
        <f>HYPERLINK("https://audio.iskcondesiretree.com/02_-_ISKCON_Swamis/ISKCON_Swamis_-_R_to_Y/His_Holiness_Radhanath_Swami/Lectures/Hindi_Translation/Yatra/Vrindavan_Yatra/VY_2011_Hindi_Translation_-_Sri_Giriraj-Haridas_Varya_Sarvottam_Sevak_-_2011-10-27_Giriraj_Sw.mp3", "VY_2011_Hindi_Translation_-_Sri_Giriraj-Haridas_Varya_Sarvottam_Sevak_-_2011-10-27_Giriraj_Sw.mp3")</f>
        <v>VY_2011_Hindi_Translation_-_Sri_Giriraj-Haridas_Varya_Sarvottam_Sevak_-_2011-10-27_Giriraj_Sw.mp3</v>
      </c>
      <c r="D5680" s="24"/>
      <c r="E5680" s="24"/>
    </row>
    <row r="5681">
      <c r="A5681" s="25" t="s">
        <v>18834</v>
      </c>
      <c r="B5681" s="25" t="s">
        <v>18836</v>
      </c>
      <c r="C5681" s="26" t="str">
        <f>HYPERLINK("https://audio.iskcondesiretree.com/02_-_ISKCON_Swamis/ISKCON_Swamis_-_R_to_Y/His_Holiness_Radhanath_Swami/Lectures/Hindi_Translation/Yatra/Vrindavan_Yatra/VY_2011_HT_-_Bhakto_ko_Prasanna_karne_se_Krsna_prasanna_hote_hai_-_11-10-29_RNS_and_Vaisesika_Pr.mp3", "VY_2011_HT_-_Bhakto_ko_Prasanna_karne_se_Krsna_prasanna_hote_hai_-_11-10-29_RNS_and_Vaisesika_Pr.mp3")</f>
        <v>VY_2011_HT_-_Bhakto_ko_Prasanna_karne_se_Krsna_prasanna_hote_hai_-_11-10-29_RNS_and_Vaisesika_Pr.mp3</v>
      </c>
      <c r="D5681" s="24"/>
      <c r="E5681" s="24"/>
    </row>
    <row r="5682">
      <c r="A5682" s="25" t="s">
        <v>18834</v>
      </c>
      <c r="B5682" s="25" t="s">
        <v>18836</v>
      </c>
      <c r="C5682" s="26" t="str">
        <f>HYPERLINK("https://audio.iskcondesiretree.com/02_-_ISKCON_Swamis/ISKCON_Swamis_-_R_to_Y/His_Holiness_Radhanath_Swami/Lectures/Hindi_Translation/Yatra/Vrindavan_Yatra/VY_2011_HT_-_Sri_Sri_Radha_Govindadji_and_Sri_Sri_Madanmohanji_ki_Punarsthapna_-_2011-10-23_RNS.mp3", "VY_2011_HT_-_Sri_Sri_Radha_Govindadji_and_Sri_Sri_Madanmohanji_ki_Punarsthapna_-_2011-10-23_RNS.mp3")</f>
        <v>VY_2011_HT_-_Sri_Sri_Radha_Govindadji_and_Sri_Sri_Madanmohanji_ki_Punarsthapna_-_2011-10-23_RNS.mp3</v>
      </c>
      <c r="D5682" s="24"/>
      <c r="E5682" s="24"/>
    </row>
    <row r="5683">
      <c r="A5683" s="25" t="s">
        <v>18834</v>
      </c>
      <c r="B5683" s="25" t="s">
        <v>18836</v>
      </c>
      <c r="C5683" s="26" t="str">
        <f>HYPERLINK("https://audio.iskcondesiretree.com/02_-_ISKCON_Swamis/ISKCON_Swamis_-_R_to_Y/His_Holiness_Radhanath_Swami/Lectures/Hindi_Translation/Yatra/Vrindavan_Yatra/VY_2011_HT_-_Srila_Jiva_Goswami_ne_Srila_Rupa_and_Sanatana_ka_sharan_liya_-_2011-10-25_RNS.mp3", "VY_2011_HT_-_Srila_Jiva_Goswami_ne_Srila_Rupa_and_Sanatana_ka_sharan_liya_-_2011-10-25_RNS.mp3")</f>
        <v>VY_2011_HT_-_Srila_Jiva_Goswami_ne_Srila_Rupa_and_Sanatana_ka_sharan_liya_-_2011-10-25_RNS.mp3</v>
      </c>
      <c r="D5683" s="24"/>
      <c r="E5683" s="24"/>
    </row>
    <row r="5684">
      <c r="A5684" s="25" t="s">
        <v>18834</v>
      </c>
      <c r="B5684" s="25" t="s">
        <v>18836</v>
      </c>
      <c r="C5684" s="26" t="str">
        <f>HYPERLINK("https://audio.iskcondesiretree.com/02_-_ISKCON_Swamis/ISKCON_Swamis_-_R_to_Y/His_Holiness_Radhanath_Swami/Lectures/Hindi_Translation/Yatra/Vrindavan_Yatra/VY_2011_HT_-_Yatra_ka_Sahi_Bhav_aur_Vraja_ke_Pashu_vishesh_atma_hai_-_2011-11-01_MM.mp3", "VY_2011_HT_-_Yatra_ka_Sahi_Bhav_aur_Vraja_ke_Pashu_vishesh_atma_hai_-_2011-11-01_MM.mp3")</f>
        <v>VY_2011_HT_-_Yatra_ka_Sahi_Bhav_aur_Vraja_ke_Pashu_vishesh_atma_hai_-_2011-11-01_MM.mp3</v>
      </c>
      <c r="D5684" s="24"/>
      <c r="E5684" s="24"/>
    </row>
    <row r="5685">
      <c r="A5685" s="25" t="s">
        <v>18834</v>
      </c>
      <c r="B5685" s="25" t="s">
        <v>18836</v>
      </c>
      <c r="C5685" s="26" t="str">
        <f>HYPERLINK("https://audio.iskcondesiretree.com/02_-_ISKCON_Swamis/ISKCON_Swamis_-_R_to_Y/His_Holiness_Radhanath_Swami/Lectures/Hindi_Translation/Yatra/Vrindavan_Yatra/VY_2011_HT_-_Yatra_ka_Sahi_Bhav_aur_Vraja_ke_Pashu_vishesh_atma_hai_-_2011-11-01_RNS.mp3", "VY_2011_HT_-_Yatra_ka_Sahi_Bhav_aur_Vraja_ke_Pashu_vishesh_atma_hai_-_2011-11-01_RNS.mp3")</f>
        <v>VY_2011_HT_-_Yatra_ka_Sahi_Bhav_aur_Vraja_ke_Pashu_vishesh_atma_hai_-_2011-11-01_RNS.mp3</v>
      </c>
      <c r="D5685" s="24"/>
      <c r="E5685" s="24"/>
    </row>
    <row r="5686">
      <c r="A5686" s="25" t="s">
        <v>18834</v>
      </c>
      <c r="B5686" s="25" t="s">
        <v>18837</v>
      </c>
      <c r="C5686" s="26" t="str">
        <f>HYPERLINK("https://audio.iskcondesiretree.com/02_-_ISKCON_Swamis/ISKCON_Swamis_-_R_to_Y/His_Holiness_Radhanath_Swami/Lectures/Hindi_Translation/Yearwise/2013/2013-02-06_SB_01-02-06_Hindi_Translation_-_Radhanath_Swami_Barsana.mp3", "2013-02-06_SB_01-02-06_Hindi_Translation_-_Radhanath_Swami_Barsana.mp3")</f>
        <v>2013-02-06_SB_01-02-06_Hindi_Translation_-_Radhanath_Swami_Barsana.mp3</v>
      </c>
      <c r="D5686" s="24"/>
      <c r="E5686" s="24"/>
    </row>
    <row r="5687">
      <c r="A5687" s="25" t="s">
        <v>18834</v>
      </c>
      <c r="B5687" s="25" t="s">
        <v>18837</v>
      </c>
      <c r="C5687" s="26" t="str">
        <f>HYPERLINK("https://audio.iskcondesiretree.com/02_-_ISKCON_Swamis/ISKCON_Swamis_-_R_to_Y/His_Holiness_Radhanath_Swami/Lectures/Hindi_Translation/Yearwise/2014/2014-02-04_Various_Hindi_Translation_-_Sacred_Path_of_Grhastha_Ashram_-_Radhanath_Swami_Mumbai.mp3", "2014-02-04_Various_Hindi_Translation_-_Sacred_Path_of_Grhastha_Ashram_-_Radhanath_Swami_Mumbai.mp3")</f>
        <v>2014-02-04_Various_Hindi_Translation_-_Sacred_Path_of_Grhastha_Ashram_-_Radhanath_Swami_Mumbai.mp3</v>
      </c>
      <c r="D5687" s="24"/>
      <c r="E5687" s="24"/>
    </row>
    <row r="5688">
      <c r="A5688" s="25" t="s">
        <v>18834</v>
      </c>
      <c r="B5688" s="25" t="s">
        <v>18837</v>
      </c>
      <c r="C5688" s="26" t="str">
        <f>HYPERLINK("https://audio.iskcondesiretree.com/02_-_ISKCON_Swamis/ISKCON_Swamis_-_R_to_Y/His_Holiness_Radhanath_Swami/Lectures/Hindi_Translation/Yearwise/2014/2014-03-08_SB_10-40-04-05_Hindi_Translation_-_Separation_From_Krishna_-_Radhanath_Swami_ISKCON_Chowpatty.mp3", "2014-03-08_SB_10-40-04-05_Hindi_Translation_-_Separation_From_Krishna_-_Radhanath_Swami_ISKCON_Chowpatty.mp3")</f>
        <v>2014-03-08_SB_10-40-04-05_Hindi_Translation_-_Separation_From_Krishna_-_Radhanath_Swami_ISKCON_Chowpatty.mp3</v>
      </c>
      <c r="D5688" s="24"/>
      <c r="E5688" s="24"/>
    </row>
    <row r="5689">
      <c r="A5689" s="25" t="s">
        <v>18838</v>
      </c>
      <c r="B5689" s="25" t="s">
        <v>18839</v>
      </c>
      <c r="C5689" s="26" t="str">
        <f>HYPERLINK("https://audio.iskcondesiretree.com/02_-_ISKCON_Swamis/ISKCON_Swamis_-_R_to_Y/His_Holiness_Radhanath_Swami/Lectures/Ramayana/Ramayana_-_01_The_Great_Demon_Ravana_-_Radhanath_Swami.mp3", "Ramayana_-_01_The_Great_Demon_Ravana_-_Radhanath_Swami.mp3")</f>
        <v>Ramayana_-_01_The_Great_Demon_Ravana_-_Radhanath_Swami.mp3</v>
      </c>
      <c r="D5689" s="24"/>
      <c r="E5689" s="24"/>
    </row>
    <row r="5690">
      <c r="A5690" s="25" t="s">
        <v>18838</v>
      </c>
      <c r="B5690" s="25" t="s">
        <v>18840</v>
      </c>
      <c r="C5690" s="26" t="str">
        <f>HYPERLINK("https://audio.iskcondesiretree.com/02_-_ISKCON_Swamis/ISKCON_Swamis_-_R_to_Y/His_Holiness_Radhanath_Swami/Lectures/Ramayana/Ramayana_-_02_The_Glorious_Kingdom_of_Ayodhya_-_Radhanath_Swami.mp3", "Ramayana_-_02_The_Glorious_Kingdom_of_Ayodhya_-_Radhanath_Swami.mp3")</f>
        <v>Ramayana_-_02_The_Glorious_Kingdom_of_Ayodhya_-_Radhanath_Swami.mp3</v>
      </c>
      <c r="D5690" s="24"/>
      <c r="E5690" s="24"/>
    </row>
    <row r="5691">
      <c r="A5691" s="25" t="s">
        <v>18838</v>
      </c>
      <c r="B5691" s="25" t="s">
        <v>18841</v>
      </c>
      <c r="C5691" s="26" t="str">
        <f>HYPERLINK("https://audio.iskcondesiretree.com/02_-_ISKCON_Swamis/ISKCON_Swamis_-_R_to_Y/His_Holiness_Radhanath_Swami/Lectures/Ramayana/Ramayana_-_03_The_Descent_of_Lord_Rama_-_Radhanath_Swami.mp3", "Ramayana_-_03_The_Descent_of_Lord_Rama_-_Radhanath_Swami.mp3")</f>
        <v>Ramayana_-_03_The_Descent_of_Lord_Rama_-_Radhanath_Swami.mp3</v>
      </c>
      <c r="D5691" s="24"/>
      <c r="E5691" s="24"/>
    </row>
    <row r="5692">
      <c r="A5692" s="25" t="s">
        <v>18838</v>
      </c>
      <c r="B5692" s="25" t="s">
        <v>18842</v>
      </c>
      <c r="C5692" s="26" t="str">
        <f>HYPERLINK("https://audio.iskcondesiretree.com/02_-_ISKCON_Swamis/ISKCON_Swamis_-_R_to_Y/His_Holiness_Radhanath_Swami/Lectures/Ramayana/Ramayana_-_04_Lord_Ramachandra_Assists_Visvamitra_Muni_-_Radhanath_Swami.mp3", "Ramayana_-_04_Lord_Ramachandra_Assists_Visvamitra_Muni_-_Radhanath_Swami.mp3")</f>
        <v>Ramayana_-_04_Lord_Ramachandra_Assists_Visvamitra_Muni_-_Radhanath_Swami.mp3</v>
      </c>
      <c r="D5692" s="24"/>
      <c r="E5692" s="24"/>
    </row>
    <row r="5693">
      <c r="A5693" s="25" t="s">
        <v>18838</v>
      </c>
      <c r="B5693" s="25" t="s">
        <v>18843</v>
      </c>
      <c r="C5693" s="26" t="str">
        <f>HYPERLINK("https://audio.iskcondesiretree.com/02_-_ISKCON_Swamis/ISKCON_Swamis_-_R_to_Y/His_Holiness_Radhanath_Swami/Lectures/Ramayana/Ramayana_-_05_The_Deliverance_of_Ahalya_-_Radhanath_Swami.mp3", "Ramayana_-_05_The_Deliverance_of_Ahalya_-_Radhanath_Swami.mp3")</f>
        <v>Ramayana_-_05_The_Deliverance_of_Ahalya_-_Radhanath_Swami.mp3</v>
      </c>
      <c r="D5693" s="24"/>
      <c r="E5693" s="24"/>
    </row>
    <row r="5694">
      <c r="A5694" s="25" t="s">
        <v>18838</v>
      </c>
      <c r="B5694" s="25" t="s">
        <v>18844</v>
      </c>
      <c r="C5694" s="26" t="str">
        <f>HYPERLINK("https://audio.iskcondesiretree.com/02_-_ISKCON_Swamis/ISKCON_Swamis_-_R_to_Y/His_Holiness_Radhanath_Swami/Lectures/Ramayana/Ramayana_-_06_The_Marriage_of_Sita_and_Rama_-_Radhanath_Swami.mp3", "Ramayana_-_06_The_Marriage_of_Sita_and_Rama_-_Radhanath_Swami.mp3")</f>
        <v>Ramayana_-_06_The_Marriage_of_Sita_and_Rama_-_Radhanath_Swami.mp3</v>
      </c>
      <c r="D5694" s="24"/>
      <c r="E5694" s="24"/>
    </row>
    <row r="5695">
      <c r="A5695" s="25" t="s">
        <v>18838</v>
      </c>
      <c r="B5695" s="25" t="s">
        <v>18845</v>
      </c>
      <c r="C5695" s="26" t="str">
        <f>HYPERLINK("https://audio.iskcondesiretree.com/02_-_ISKCON_Swamis/ISKCON_Swamis_-_R_to_Y/His_Holiness_Radhanath_Swami/Lectures/Ramayana/Ramayana_-_07_The_Conspiracy_-_Radhanath_Swami.mp3", "Ramayana_-_07_The_Conspiracy_-_Radhanath_Swami.mp3")</f>
        <v>Ramayana_-_07_The_Conspiracy_-_Radhanath_Swami.mp3</v>
      </c>
      <c r="D5695" s="24"/>
      <c r="E5695" s="24"/>
    </row>
    <row r="5696">
      <c r="A5696" s="25" t="s">
        <v>18838</v>
      </c>
      <c r="B5696" s="25" t="s">
        <v>18846</v>
      </c>
      <c r="C5696" s="26" t="str">
        <f>HYPERLINK("https://audio.iskcondesiretree.com/02_-_ISKCON_Swamis/ISKCON_Swamis_-_R_to_Y/His_Holiness_Radhanath_Swami/Lectures/Ramayana/Ramayana_-_08_Sri_Rama%27s_Banishment_to_the_Forest_-_Radhanath_Swami.mp3", "Ramayana_-_08_Sri_Rama%27s_Banishment_to_the_Forest_-_Radhanath_Swami.mp3")</f>
        <v>Ramayana_-_08_Sri_Rama%27s_Banishment_to_the_Forest_-_Radhanath_Swami.mp3</v>
      </c>
      <c r="D5696" s="24"/>
      <c r="E5696" s="24"/>
    </row>
    <row r="5697">
      <c r="A5697" s="25" t="s">
        <v>18838</v>
      </c>
      <c r="B5697" s="25" t="s">
        <v>18847</v>
      </c>
      <c r="C5697" s="26" t="str">
        <f>HYPERLINK("https://audio.iskcondesiretree.com/02_-_ISKCON_Swamis/ISKCON_Swamis_-_R_to_Y/His_Holiness_Radhanath_Swami/Lectures/Ramayana/Ramayana_-_09_A_Simple_Life_in_the_Forest_-_Radhanath_Swami.mp3", "Ramayana_-_09_A_Simple_Life_in_the_Forest_-_Radhanath_Swami.mp3")</f>
        <v>Ramayana_-_09_A_Simple_Life_in_the_Forest_-_Radhanath_Swami.mp3</v>
      </c>
      <c r="D5697" s="24"/>
      <c r="E5697" s="24"/>
    </row>
    <row r="5698">
      <c r="A5698" s="25" t="s">
        <v>18838</v>
      </c>
      <c r="B5698" s="25" t="s">
        <v>18848</v>
      </c>
      <c r="C5698" s="26" t="str">
        <f>HYPERLINK("https://audio.iskcondesiretree.com/02_-_ISKCON_Swamis/ISKCON_Swamis_-_R_to_Y/His_Holiness_Radhanath_Swami/Lectures/Ramayana/Ramayana_-_10_Killing_Demons_in_the_Dandakaranya_Forest_-_Radhanath_Swami.mp3", "Ramayana_-_10_Killing_Demons_in_the_Dandakaranya_Forest_-_Radhanath_Swami.mp3")</f>
        <v>Ramayana_-_10_Killing_Demons_in_the_Dandakaranya_Forest_-_Radhanath_Swami.mp3</v>
      </c>
      <c r="D5698" s="24"/>
      <c r="E5698" s="24"/>
    </row>
    <row r="5699">
      <c r="A5699" s="25" t="s">
        <v>18838</v>
      </c>
      <c r="B5699" s="25" t="s">
        <v>18849</v>
      </c>
      <c r="C5699" s="26" t="str">
        <f>HYPERLINK("https://audio.iskcondesiretree.com/02_-_ISKCON_Swamis/ISKCON_Swamis_-_R_to_Y/His_Holiness_Radhanath_Swami/Lectures/Ramayana/Ramayana_-_11_Encounter_with_the_Demoness_Surpanakha_-_Radhanath_Swami.mp3", "Ramayana_-_11_Encounter_with_the_Demoness_Surpanakha_-_Radhanath_Swami.mp3")</f>
        <v>Ramayana_-_11_Encounter_with_the_Demoness_Surpanakha_-_Radhanath_Swami.mp3</v>
      </c>
      <c r="D5699" s="24"/>
      <c r="E5699" s="24"/>
    </row>
    <row r="5700">
      <c r="A5700" s="25" t="s">
        <v>18838</v>
      </c>
      <c r="B5700" s="25" t="s">
        <v>18850</v>
      </c>
      <c r="C5700" s="26" t="str">
        <f>HYPERLINK("https://audio.iskcondesiretree.com/02_-_ISKCON_Swamis/ISKCON_Swamis_-_R_to_Y/His_Holiness_Radhanath_Swami/Lectures/Ramayana/Ramayana_-_12_The_Kidnapping_of_Sita_-_Radhanath_Swami.mp3", "Ramayana_-_12_The_Kidnapping_of_Sita_-_Radhanath_Swami.mp3")</f>
        <v>Ramayana_-_12_The_Kidnapping_of_Sita_-_Radhanath_Swami.mp3</v>
      </c>
      <c r="D5700" s="24"/>
      <c r="E5700" s="24"/>
    </row>
    <row r="5701">
      <c r="A5701" s="25" t="s">
        <v>18838</v>
      </c>
      <c r="B5701" s="25" t="s">
        <v>18851</v>
      </c>
      <c r="C5701" s="26" t="str">
        <f>HYPERLINK("https://audio.iskcondesiretree.com/02_-_ISKCON_Swamis/ISKCON_Swamis_-_R_to_Y/His_Holiness_Radhanath_Swami/Lectures/Ramayana/Ramayana_-_13_Jatayu%27s_Great_Sacrifice_-_Radhanath_Swami.mp3", "Ramayana_-_13_Jatayu%27s_Great_Sacrifice_-_Radhanath_Swami.mp3")</f>
        <v>Ramayana_-_13_Jatayu%27s_Great_Sacrifice_-_Radhanath_Swami.mp3</v>
      </c>
      <c r="D5701" s="24"/>
      <c r="E5701" s="24"/>
    </row>
    <row r="5702">
      <c r="A5702" s="25" t="s">
        <v>18838</v>
      </c>
      <c r="B5702" s="25" t="s">
        <v>18852</v>
      </c>
      <c r="C5702" s="26" t="str">
        <f>HYPERLINK("https://audio.iskcondesiretree.com/02_-_ISKCON_Swamis/ISKCON_Swamis_-_R_to_Y/His_Holiness_Radhanath_Swami/Lectures/Ramayana/Ramayana_-_14_Pastimes_of_Sri_Hanuman_-_Radhanath_Swami.mp3", "Ramayana_-_14_Pastimes_of_Sri_Hanuman_-_Radhanath_Swami.mp3")</f>
        <v>Ramayana_-_14_Pastimes_of_Sri_Hanuman_-_Radhanath_Swami.mp3</v>
      </c>
      <c r="D5702" s="24"/>
      <c r="E5702" s="24"/>
    </row>
    <row r="5703">
      <c r="A5703" s="25" t="s">
        <v>18838</v>
      </c>
      <c r="B5703" s="25" t="s">
        <v>18853</v>
      </c>
      <c r="C5703" s="26" t="str">
        <f>HYPERLINK("https://audio.iskcondesiretree.com/02_-_ISKCON_Swamis/ISKCON_Swamis_-_R_to_Y/His_Holiness_Radhanath_Swami/Lectures/Ramayana/Ramayana_-_15_Lord_Rama_Makes_Allies_with_Sugriva_-_Radhanath_Swami.mp3", "Ramayana_-_15_Lord_Rama_Makes_Allies_with_Sugriva_-_Radhanath_Swami.mp3")</f>
        <v>Ramayana_-_15_Lord_Rama_Makes_Allies_with_Sugriva_-_Radhanath_Swami.mp3</v>
      </c>
      <c r="D5703" s="24"/>
      <c r="E5703" s="24"/>
    </row>
    <row r="5704">
      <c r="A5704" s="25" t="s">
        <v>18838</v>
      </c>
      <c r="B5704" s="25" t="s">
        <v>18854</v>
      </c>
      <c r="C5704" s="26" t="str">
        <f>HYPERLINK("https://audio.iskcondesiretree.com/02_-_ISKCON_Swamis/ISKCON_Swamis_-_R_to_Y/His_Holiness_Radhanath_Swami/Lectures/Ramayana/Ramayana_-_16_The_Search_for_Sitadevi_-_Radhanath_Swami.mp3", "Ramayana_-_16_The_Search_for_Sitadevi_-_Radhanath_Swami.mp3")</f>
        <v>Ramayana_-_16_The_Search_for_Sitadevi_-_Radhanath_Swami.mp3</v>
      </c>
      <c r="D5704" s="24"/>
      <c r="E5704" s="24"/>
    </row>
    <row r="5705">
      <c r="A5705" s="25" t="s">
        <v>18838</v>
      </c>
      <c r="B5705" s="25" t="s">
        <v>18855</v>
      </c>
      <c r="C5705" s="26" t="str">
        <f>HYPERLINK("https://audio.iskcondesiretree.com/02_-_ISKCON_Swamis/ISKCON_Swamis_-_R_to_Y/His_Holiness_Radhanath_Swami/Lectures/Ramayana/Ramayana_-_17_The_Rescue_of_Sitadevi_-_Radhanath_Swami.mp3", "Ramayana_-_17_The_Rescue_of_Sitadevi_-_Radhanath_Swami.mp3")</f>
        <v>Ramayana_-_17_The_Rescue_of_Sitadevi_-_Radhanath_Swami.mp3</v>
      </c>
      <c r="D5705" s="24"/>
      <c r="E5705" s="24"/>
    </row>
    <row r="5706">
      <c r="A5706" s="25" t="s">
        <v>18838</v>
      </c>
      <c r="B5706" s="25" t="s">
        <v>18856</v>
      </c>
      <c r="C5706" s="26" t="str">
        <f>HYPERLINK("https://audio.iskcondesiretree.com/02_-_ISKCON_Swamis/ISKCON_Swamis_-_R_to_Y/His_Holiness_Radhanath_Swami/Lectures/Ramayana/Ramayana_-_18_Hanuman_Finds_Sitadevi_-_Radhanath_Swami.mp3", "Ramayana_-_18_Hanuman_Finds_Sitadevi_-_Radhanath_Swami.mp3")</f>
        <v>Ramayana_-_18_Hanuman_Finds_Sitadevi_-_Radhanath_Swami.mp3</v>
      </c>
      <c r="D5706" s="24"/>
      <c r="E5706" s="24"/>
    </row>
    <row r="5707">
      <c r="A5707" s="25" t="s">
        <v>18838</v>
      </c>
      <c r="B5707" s="25" t="s">
        <v>18857</v>
      </c>
      <c r="C5707" s="26" t="str">
        <f>HYPERLINK("https://audio.iskcondesiretree.com/02_-_ISKCON_Swamis/ISKCON_Swamis_-_R_to_Y/His_Holiness_Radhanath_Swami/Lectures/Ramayana/Ramayana_-_19_The_Battle_of_Sri_Lanka_-_Radhanath_Swami.mp3", "Ramayana_-_19_The_Battle_of_Sri_Lanka_-_Radhanath_Swami.mp3")</f>
        <v>Ramayana_-_19_The_Battle_of_Sri_Lanka_-_Radhanath_Swami.mp3</v>
      </c>
      <c r="D5707" s="24"/>
      <c r="E5707" s="24"/>
    </row>
    <row r="5708">
      <c r="A5708" s="25" t="s">
        <v>18838</v>
      </c>
      <c r="B5708" s="25" t="s">
        <v>18858</v>
      </c>
      <c r="C5708" s="26" t="str">
        <f>HYPERLINK("https://audio.iskcondesiretree.com/02_-_ISKCON_Swamis/ISKCON_Swamis_-_R_to_Y/His_Holiness_Radhanath_Swami/Lectures/Ramayana/Ramayana_-_20_Lord_Rama_Returns_to_Ayodhya_-_Radhanath_Swami.mp3", "Ramayana_-_20_Lord_Rama_Returns_to_Ayodhya_-_Radhanath_Swami.mp3")</f>
        <v>Ramayana_-_20_Lord_Rama_Returns_to_Ayodhya_-_Radhanath_Swami.mp3</v>
      </c>
      <c r="D5708" s="24"/>
      <c r="E5708" s="24"/>
    </row>
    <row r="5709">
      <c r="A5709" s="25" t="s">
        <v>18838</v>
      </c>
      <c r="B5709" s="25" t="s">
        <v>18859</v>
      </c>
      <c r="C5709" s="26" t="str">
        <f>HYPERLINK("https://audio.iskcondesiretree.com/02_-_ISKCON_Swamis/ISKCON_Swamis_-_R_to_Y/His_Holiness_Radhanath_Swami/Lectures/Ramayana/Ramayana_-_21_Sri_Rama%2C_the_Eternal_King_of_Ayodhya_-_Radhanath_Swami.mp3", "Ramayana_-_21_Sri_Rama%2C_the_Eternal_King_of_Ayodhya_-_Radhanath_Swami.mp3")</f>
        <v>Ramayana_-_21_Sri_Rama%2C_the_Eternal_King_of_Ayodhya_-_Radhanath_Swami.mp3</v>
      </c>
      <c r="D5709" s="24"/>
      <c r="E5709" s="24"/>
    </row>
    <row r="5710">
      <c r="A5710" s="25" t="s">
        <v>18860</v>
      </c>
      <c r="B5710" s="25" t="s">
        <v>18861</v>
      </c>
      <c r="C5710" s="26" t="str">
        <f>HYPERLINK("https://audio.iskcondesiretree.com/02_-_ISKCON_Swamis/ISKCON_Swamis_-_R_to_Y/His_Holiness_Radhanath_Swami/Lectures/Russian_Translation/Brihad_Bhagvatmrita/1999_Day-01_Part-01_-_Brihad_Bhagvatmrita_Introduction_-_Radhanath_Swami.mp3", "1999_Day-01_Part-01_-_Brihad_Bhagvatmrita_Introduction_-_Radhanath_Swami.mp3")</f>
        <v>1999_Day-01_Part-01_-_Brihad_Bhagvatmrita_Introduction_-_Radhanath_Swami.mp3</v>
      </c>
      <c r="D5710" s="24"/>
      <c r="E5710" s="24"/>
    </row>
    <row r="5711">
      <c r="A5711" s="25" t="s">
        <v>18860</v>
      </c>
      <c r="B5711" s="25" t="s">
        <v>18861</v>
      </c>
      <c r="C5711" s="26" t="str">
        <f>HYPERLINK("https://audio.iskcondesiretree.com/02_-_ISKCON_Swamis/ISKCON_Swamis_-_R_to_Y/His_Holiness_Radhanath_Swami/Lectures/Russian_Translation/Brihad_Bhagvatmrita/1999_Day-01_Part-02_-_Brihad_Bhagvatmrita_Narada_Muni_is_looking_great_bhakta_-_Radhanath_Swami.mp3", "1999_Day-01_Part-02_-_Brihad_Bhagvatmrita_Narada_Muni_is_looking_great_bhakta_-_Radhanath_Swami.mp3")</f>
        <v>1999_Day-01_Part-02_-_Brihad_Bhagvatmrita_Narada_Muni_is_looking_great_bhakta_-_Radhanath_Swami.mp3</v>
      </c>
      <c r="D5711" s="24"/>
      <c r="E5711" s="24"/>
    </row>
    <row r="5712">
      <c r="A5712" s="25" t="s">
        <v>18860</v>
      </c>
      <c r="B5712" s="25" t="s">
        <v>18861</v>
      </c>
      <c r="C5712" s="26" t="str">
        <f>HYPERLINK("https://audio.iskcondesiretree.com/02_-_ISKCON_Swamis/ISKCON_Swamis_-_R_to_Y/His_Holiness_Radhanath_Swami/Lectures/Russian_Translation/Brihad_Bhagvatmrita/1999_Day-01_Part-03_-_Brihad_Bhagvatmrita_King_on_earth_and_King_Indra_in_heaven_-_Radhanath_swami.m"&amp;"p3", "1999_Day-01_Part-03_-_Brihad_Bhagvatmrita_King_on_earth_and_King_Indra_in_heaven_-_Radhanath_swami.mp3")</f>
        <v>1999_Day-01_Part-03_-_Brihad_Bhagvatmrita_King_on_earth_and_King_Indra_in_heaven_-_Radhanath_swami.mp3</v>
      </c>
      <c r="D5712" s="24"/>
      <c r="E5712" s="24"/>
    </row>
    <row r="5713">
      <c r="A5713" s="25" t="s">
        <v>18860</v>
      </c>
      <c r="B5713" s="25" t="s">
        <v>18861</v>
      </c>
      <c r="C5713" s="26" t="str">
        <f>HYPERLINK("https://audio.iskcondesiretree.com/02_-_ISKCON_Swamis/ISKCON_Swamis_-_R_to_Y/His_Holiness_Radhanath_Swami/Lectures/Russian_Translation/Brihad_Bhagvatmrita/1999_Day-02_Part-01_-_Brihad_Bhagvatmrita_Brahmaloka_-_Radhanath_Swami.mp3", "1999_Day-02_Part-01_-_Brihad_Bhagvatmrita_Brahmaloka_-_Radhanath_Swami.mp3")</f>
        <v>1999_Day-02_Part-01_-_Brihad_Bhagvatmrita_Brahmaloka_-_Radhanath_Swami.mp3</v>
      </c>
      <c r="D5713" s="24"/>
      <c r="E5713" s="24"/>
    </row>
    <row r="5714">
      <c r="A5714" s="25" t="s">
        <v>18860</v>
      </c>
      <c r="B5714" s="25" t="s">
        <v>18861</v>
      </c>
      <c r="C5714" s="26" t="str">
        <f>HYPERLINK("https://audio.iskcondesiretree.com/02_-_ISKCON_Swamis/ISKCON_Swamis_-_R_to_Y/His_Holiness_Radhanath_Swami/Lectures/Russian_Translation/Brihad_Bhagvatmrita/1999_Day-02_Part-02_-_Brihad_Bhagvatmrita_Shivaloka_-_Radhanath_Swami.mp3", "1999_Day-02_Part-02_-_Brihad_Bhagvatmrita_Shivaloka_-_Radhanath_Swami.mp3")</f>
        <v>1999_Day-02_Part-02_-_Brihad_Bhagvatmrita_Shivaloka_-_Radhanath_Swami.mp3</v>
      </c>
      <c r="D5714" s="24"/>
      <c r="E5714" s="24"/>
    </row>
    <row r="5715">
      <c r="A5715" s="25" t="s">
        <v>18860</v>
      </c>
      <c r="B5715" s="25" t="s">
        <v>18861</v>
      </c>
      <c r="C5715" s="26" t="str">
        <f>HYPERLINK("https://audio.iskcondesiretree.com/02_-_ISKCON_Swamis/ISKCON_Swamis_-_R_to_Y/His_Holiness_Radhanath_Swami/Lectures/Russian_Translation/Brihad_Bhagvatmrita/1999_Day-03_Part-01_-_Brihad_Bhagvatmrita_Meeting_with_Prahlada_-_Radhanath_Swami.mp3", "1999_Day-03_Part-01_-_Brihad_Bhagvatmrita_Meeting_with_Prahlada_-_Radhanath_Swami.mp3")</f>
        <v>1999_Day-03_Part-01_-_Brihad_Bhagvatmrita_Meeting_with_Prahlada_-_Radhanath_Swami.mp3</v>
      </c>
      <c r="D5715" s="24"/>
      <c r="E5715" s="24"/>
    </row>
    <row r="5716">
      <c r="A5716" s="25" t="s">
        <v>18860</v>
      </c>
      <c r="B5716" s="25" t="s">
        <v>18861</v>
      </c>
      <c r="C5716" s="26" t="str">
        <f>HYPERLINK("https://audio.iskcondesiretree.com/02_-_ISKCON_Swamis/ISKCON_Swamis_-_R_to_Y/His_Holiness_Radhanath_Swami/Lectures/Russian_Translation/Brihad_Bhagvatmrita/1999_Day-03_Part-02_-_Brihad_Bhagvatmrita_History_of_Hanuman_-_Radhanath_Swami.mp3", "1999_Day-03_Part-02_-_Brihad_Bhagvatmrita_History_of_Hanuman_-_Radhanath_Swami.mp3")</f>
        <v>1999_Day-03_Part-02_-_Brihad_Bhagvatmrita_History_of_Hanuman_-_Radhanath_Swami.mp3</v>
      </c>
      <c r="D5716" s="24"/>
      <c r="E5716" s="24"/>
    </row>
    <row r="5717">
      <c r="A5717" s="25" t="s">
        <v>18860</v>
      </c>
      <c r="B5717" s="25" t="s">
        <v>18861</v>
      </c>
      <c r="C5717" s="26" t="str">
        <f>HYPERLINK("https://audio.iskcondesiretree.com/02_-_ISKCON_Swamis/ISKCON_Swamis_-_R_to_Y/His_Holiness_Radhanath_Swami/Lectures/Russian_Translation/Brihad_Bhagvatmrita/1999_Day-04_Part-01_-_Brihad_Bhagvatmrita_The_importance_of_hearing_-_Radhanath_Swami.mp3", "1999_Day-04_Part-01_-_Brihad_Bhagvatmrita_The_importance_of_hearing_-_Radhanath_Swami.mp3")</f>
        <v>1999_Day-04_Part-01_-_Brihad_Bhagvatmrita_The_importance_of_hearing_-_Radhanath_Swami.mp3</v>
      </c>
      <c r="D5717" s="24"/>
      <c r="E5717" s="24"/>
    </row>
    <row r="5718">
      <c r="A5718" s="25" t="s">
        <v>18860</v>
      </c>
      <c r="B5718" s="25" t="s">
        <v>18861</v>
      </c>
      <c r="C5718" s="26" t="str">
        <f>HYPERLINK("https://audio.iskcondesiretree.com/02_-_ISKCON_Swamis/ISKCON_Swamis_-_R_to_Y/His_Holiness_Radhanath_Swami/Lectures/Russian_Translation/Brihad_Bhagvatmrita/1999_Day-04_Part-02_-_Brihad_Bhagvatmrita_Meeting_with_Hanuman_-_Radhanath_Swami.mp3", "1999_Day-04_Part-02_-_Brihad_Bhagvatmrita_Meeting_with_Hanuman_-_Radhanath_Swami.mp3")</f>
        <v>1999_Day-04_Part-02_-_Brihad_Bhagvatmrita_Meeting_with_Hanuman_-_Radhanath_Swami.mp3</v>
      </c>
      <c r="D5718" s="24"/>
      <c r="E5718" s="24"/>
    </row>
    <row r="5719">
      <c r="A5719" s="25" t="s">
        <v>18860</v>
      </c>
      <c r="B5719" s="25" t="s">
        <v>18861</v>
      </c>
      <c r="C5719" s="26" t="str">
        <f>HYPERLINK("https://audio.iskcondesiretree.com/02_-_ISKCON_Swamis/ISKCON_Swamis_-_R_to_Y/His_Holiness_Radhanath_Swami/Lectures/Russian_Translation/Brihad_Bhagvatmrita/1999_Day-04_Part-03_-_Brihad_Bhagvatmrita_Hanuman_glorifies_the_Pandavas_-_Radhanath_Swami.mp3", "1999_Day-04_Part-03_-_Brihad_Bhagvatmrita_Hanuman_glorifies_the_Pandavas_-_Radhanath_Swami.mp3")</f>
        <v>1999_Day-04_Part-03_-_Brihad_Bhagvatmrita_Hanuman_glorifies_the_Pandavas_-_Radhanath_Swami.mp3</v>
      </c>
      <c r="D5719" s="24"/>
      <c r="E5719" s="24"/>
    </row>
    <row r="5720">
      <c r="A5720" s="25" t="s">
        <v>18860</v>
      </c>
      <c r="B5720" s="25" t="s">
        <v>18861</v>
      </c>
      <c r="C5720" s="26" t="str">
        <f>HYPERLINK("https://audio.iskcondesiretree.com/02_-_ISKCON_Swamis/ISKCON_Swamis_-_R_to_Y/His_Holiness_Radhanath_Swami/Lectures/Russian_Translation/Brihad_Bhagvatmrita/1999_Day-05_Part-01_-_Brihad_Bhagvatmrita_Description_of_Fame_Pandavas_-_Radhanath_Swami.mp3", "1999_Day-05_Part-01_-_Brihad_Bhagvatmrita_Description_of_Fame_Pandavas_-_Radhanath_Swami.mp3")</f>
        <v>1999_Day-05_Part-01_-_Brihad_Bhagvatmrita_Description_of_Fame_Pandavas_-_Radhanath_Swami.mp3</v>
      </c>
      <c r="D5720" s="24"/>
      <c r="E5720" s="24"/>
    </row>
    <row r="5721">
      <c r="A5721" s="25" t="s">
        <v>18860</v>
      </c>
      <c r="B5721" s="25" t="s">
        <v>18861</v>
      </c>
      <c r="C5721" s="26" t="str">
        <f>HYPERLINK("https://audio.iskcondesiretree.com/02_-_ISKCON_Swamis/ISKCON_Swamis_-_R_to_Y/His_Holiness_Radhanath_Swami/Lectures/Russian_Translation/Brihad_Bhagvatmrita/1999_Day-06_Part-01_-_Brihad_Bhagvatmrita_About_Sanatana_Goswami_-_Radhanath_Swami.mp3", "1999_Day-06_Part-01_-_Brihad_Bhagvatmrita_About_Sanatana_Goswami_-_Radhanath_Swami.mp3")</f>
        <v>1999_Day-06_Part-01_-_Brihad_Bhagvatmrita_About_Sanatana_Goswami_-_Radhanath_Swami.mp3</v>
      </c>
      <c r="D5721" s="24"/>
      <c r="E5721" s="24"/>
    </row>
    <row r="5722">
      <c r="A5722" s="25" t="s">
        <v>18860</v>
      </c>
      <c r="B5722" s="25" t="s">
        <v>18861</v>
      </c>
      <c r="C5722" s="26" t="str">
        <f>HYPERLINK("https://audio.iskcondesiretree.com/02_-_ISKCON_Swamis/ISKCON_Swamis_-_R_to_Y/His_Holiness_Radhanath_Swami/Lectures/Russian_Translation/Brihad_Bhagvatmrita/1999_Day-06_Part-02_-_Brihad_Bhagvatmrita_Message_from_the_audience_-_Radhanath_Swami.mp3", "1999_Day-06_Part-02_-_Brihad_Bhagvatmrita_Message_from_the_audience_-_Radhanath_Swami.mp3")</f>
        <v>1999_Day-06_Part-02_-_Brihad_Bhagvatmrita_Message_from_the_audience_-_Radhanath_Swami.mp3</v>
      </c>
      <c r="D5722" s="24"/>
      <c r="E5722" s="24"/>
    </row>
    <row r="5723">
      <c r="A5723" s="25" t="s">
        <v>18860</v>
      </c>
      <c r="B5723" s="25" t="s">
        <v>18861</v>
      </c>
      <c r="C5723" s="26" t="str">
        <f>HYPERLINK("https://audio.iskcondesiretree.com/02_-_ISKCON_Swamis/ISKCON_Swamis_-_R_to_Y/His_Holiness_Radhanath_Swami/Lectures/Russian_Translation/Brihad_Bhagvatmrita/1999_Day-06_Part-03_-_Brihad_Bhagvatmrita_Fame_and_fortune_Yadavov_-_Radhanath_Swami.mp3", "1999_Day-06_Part-03_-_Brihad_Bhagvatmrita_Fame_and_fortune_Yadavov_-_Radhanath_Swami.mp3")</f>
        <v>1999_Day-06_Part-03_-_Brihad_Bhagvatmrita_Fame_and_fortune_Yadavov_-_Radhanath_Swami.mp3</v>
      </c>
      <c r="D5723" s="24"/>
      <c r="E5723" s="24"/>
    </row>
    <row r="5724">
      <c r="A5724" s="25" t="s">
        <v>18860</v>
      </c>
      <c r="B5724" s="25" t="s">
        <v>18861</v>
      </c>
      <c r="C5724" s="26" t="str">
        <f>HYPERLINK("https://audio.iskcondesiretree.com/02_-_ISKCON_Swamis/ISKCON_Swamis_-_R_to_Y/His_Holiness_Radhanath_Swami/Lectures/Russian_Translation/Brihad_Bhagvatmrita/1999_Day-06_Part-04_-_Brihad_Bhagvatmrita_Glory_Vrad%C5%BEa_yours_-_Radhanath_Swami.mp3", "1999_Day-06_Part-04_-_Brihad_Bhagvatmrita_Glory_Vrad%C5%BEa_yours_-_Radhanath_Swami.mp3")</f>
        <v>1999_Day-06_Part-04_-_Brihad_Bhagvatmrita_Glory_Vrad%C5%BEa_yours_-_Radhanath_Swami.mp3</v>
      </c>
      <c r="D5724" s="24"/>
      <c r="E5724" s="24"/>
    </row>
    <row r="5725">
      <c r="A5725" s="25" t="s">
        <v>18860</v>
      </c>
      <c r="B5725" s="25" t="s">
        <v>18861</v>
      </c>
      <c r="C5725" s="26" t="str">
        <f>HYPERLINK("https://audio.iskcondesiretree.com/02_-_ISKCON_Swamis/ISKCON_Swamis_-_R_to_Y/His_Holiness_Radhanath_Swami/Lectures/Russian_Translation/Brihad_Bhagvatmrita/1999_Day-06_Part-05_-_Brihad_Bhagvatmrita_Glory_Uddhava_-_Radhanath_Swami.mp3", "1999_Day-06_Part-05_-_Brihad_Bhagvatmrita_Glory_Uddhava_-_Radhanath_Swami.mp3")</f>
        <v>1999_Day-06_Part-05_-_Brihad_Bhagvatmrita_Glory_Uddhava_-_Radhanath_Swami.mp3</v>
      </c>
      <c r="D5725" s="24"/>
      <c r="E5725" s="24"/>
    </row>
    <row r="5726">
      <c r="A5726" s="25" t="s">
        <v>18860</v>
      </c>
      <c r="B5726" s="25" t="s">
        <v>18861</v>
      </c>
      <c r="C5726" s="26" t="str">
        <f>HYPERLINK("https://audio.iskcondesiretree.com/02_-_ISKCON_Swamis/ISKCON_Swamis_-_R_to_Y/His_Holiness_Radhanath_Swami/Lectures/Russian_Translation/Brihad_Bhagvatmrita/1999_Day-06_Part-06_-_Brihad_Bhagvatmrita_Glory_Vraja_Vashi_from_the_perspective_of_Dwaraka_-_RNS.mp"&amp;"3", "1999_Day-06_Part-06_-_Brihad_Bhagvatmrita_Glory_Vraja_Vashi_from_the_perspective_of_Dwaraka_-_RNS.mp3")</f>
        <v>1999_Day-06_Part-06_-_Brihad_Bhagvatmrita_Glory_Vraja_Vashi_from_the_perspective_of_Dwaraka_-_RNS.mp3</v>
      </c>
      <c r="D5726" s="24"/>
      <c r="E5726" s="24"/>
    </row>
    <row r="5727">
      <c r="A5727" s="25" t="s">
        <v>18860</v>
      </c>
      <c r="B5727" s="25" t="s">
        <v>18861</v>
      </c>
      <c r="C5727" s="26" t="str">
        <f>HYPERLINK("https://audio.iskcondesiretree.com/02_-_ISKCON_Swamis/ISKCON_Swamis_-_R_to_Y/His_Holiness_Radhanath_Swami/Lectures/Russian_Translation/Brihad_Bhagvatmrita/1999_Day-06_Part-07_-_Brihad_Bhagvatmrita_Vraja_pastimes_of_Krishna_and_Dvaraka_-_Radhanath_swami.mp"&amp;"3", "1999_Day-06_Part-07_-_Brihad_Bhagvatmrita_Vraja_pastimes_of_Krishna_and_Dvaraka_-_Radhanath_swami.mp3")</f>
        <v>1999_Day-06_Part-07_-_Brihad_Bhagvatmrita_Vraja_pastimes_of_Krishna_and_Dvaraka_-_Radhanath_swami.mp3</v>
      </c>
      <c r="D5727" s="24"/>
      <c r="E5727" s="24"/>
    </row>
    <row r="5728">
      <c r="A5728" s="25" t="s">
        <v>18860</v>
      </c>
      <c r="B5728" s="25" t="s">
        <v>18862</v>
      </c>
      <c r="C5728" s="26" t="str">
        <f>HYPERLINK("https://audio.iskcondesiretree.com/02_-_ISKCON_Swamis/ISKCON_Swamis_-_R_to_Y/His_Holiness_Radhanath_Swami/Lectures/Russian_Translation/Goswamis/Srila_Gopala_Bhatta_Goswami_%26_Ramachandra_Kaviraj_-_Radhanath_Swami_Vrindavan.mp3", "Srila_Gopala_Bhatta_Goswami_%26_Ramachandra_Kaviraj_-_Radhanath_Swami_Vrindavan.mp3")</f>
        <v>Srila_Gopala_Bhatta_Goswami_%26_Ramachandra_Kaviraj_-_Radhanath_Swami_Vrindavan.mp3</v>
      </c>
      <c r="D5728" s="24"/>
      <c r="E5728" s="24"/>
    </row>
    <row r="5729">
      <c r="A5729" s="25" t="s">
        <v>18860</v>
      </c>
      <c r="B5729" s="25" t="s">
        <v>18862</v>
      </c>
      <c r="C5729" s="26" t="str">
        <f>HYPERLINK("https://audio.iskcondesiretree.com/02_-_ISKCON_Swamis/ISKCON_Swamis_-_R_to_Y/His_Holiness_Radhanath_Swami/Lectures/Russian_Translation/Goswamis/Srila_Jiva_Goswami_-_Radhanath_Swami_Vrindavan.mp3", "Srila_Jiva_Goswami_-_Radhanath_Swami_Vrindavan.mp3")</f>
        <v>Srila_Jiva_Goswami_-_Radhanath_Swami_Vrindavan.mp3</v>
      </c>
      <c r="D5729" s="24"/>
      <c r="E5729" s="24"/>
    </row>
    <row r="5730">
      <c r="A5730" s="25" t="s">
        <v>18860</v>
      </c>
      <c r="B5730" s="25" t="s">
        <v>18862</v>
      </c>
      <c r="C5730" s="26" t="str">
        <f>HYPERLINK("https://audio.iskcondesiretree.com/02_-_ISKCON_Swamis/ISKCON_Swamis_-_R_to_Y/His_Holiness_Radhanath_Swami/Lectures/Russian_Translation/Goswamis/Srila_Raghunatha_Bhatta_Goswami_-_Radhanath_Swami_Vrindavan.mp3", "Srila_Raghunatha_Bhatta_Goswami_-_Radhanath_Swami_Vrindavan.mp3")</f>
        <v>Srila_Raghunatha_Bhatta_Goswami_-_Radhanath_Swami_Vrindavan.mp3</v>
      </c>
      <c r="D5730" s="24"/>
      <c r="E5730" s="24"/>
    </row>
    <row r="5731">
      <c r="A5731" s="25" t="s">
        <v>18860</v>
      </c>
      <c r="B5731" s="25" t="s">
        <v>18862</v>
      </c>
      <c r="C5731" s="26" t="str">
        <f>HYPERLINK("https://audio.iskcondesiretree.com/02_-_ISKCON_Swamis/ISKCON_Swamis_-_R_to_Y/His_Holiness_Radhanath_Swami/Lectures/Russian_Translation/Goswamis/Srila_Raghunatha_das_Goswami_-_Radhanath_Swami_Vrindavan.mp3", "Srila_Raghunatha_das_Goswami_-_Radhanath_Swami_Vrindavan.mp3")</f>
        <v>Srila_Raghunatha_das_Goswami_-_Radhanath_Swami_Vrindavan.mp3</v>
      </c>
      <c r="D5731" s="24"/>
      <c r="E5731" s="24"/>
    </row>
    <row r="5732">
      <c r="A5732" s="25" t="s">
        <v>18860</v>
      </c>
      <c r="B5732" s="25" t="s">
        <v>18862</v>
      </c>
      <c r="C5732" s="26" t="str">
        <f>HYPERLINK("https://audio.iskcondesiretree.com/02_-_ISKCON_Swamis/ISKCON_Swamis_-_R_to_Y/His_Holiness_Radhanath_Swami/Lectures/Russian_Translation/Goswamis/Srila_Rupa_Goswami_Part-01_-_Radhanath_Swami_Vrindavan.mp3", "Srila_Rupa_Goswami_Part-01_-_Radhanath_Swami_Vrindavan.mp3")</f>
        <v>Srila_Rupa_Goswami_Part-01_-_Radhanath_Swami_Vrindavan.mp3</v>
      </c>
      <c r="D5732" s="24"/>
      <c r="E5732" s="24"/>
    </row>
    <row r="5733">
      <c r="A5733" s="25" t="s">
        <v>18860</v>
      </c>
      <c r="B5733" s="25" t="s">
        <v>18862</v>
      </c>
      <c r="C5733" s="26" t="str">
        <f>HYPERLINK("https://audio.iskcondesiretree.com/02_-_ISKCON_Swamis/ISKCON_Swamis_-_R_to_Y/His_Holiness_Radhanath_Swami/Lectures/Russian_Translation/Goswamis/Srila_Rupa_Goswami_Part-02_-_Radhanath_Swami.mp3", "Srila_Rupa_Goswami_Part-02_-_Radhanath_Swami.mp3")</f>
        <v>Srila_Rupa_Goswami_Part-02_-_Radhanath_Swami.mp3</v>
      </c>
      <c r="D5733" s="24"/>
      <c r="E5733" s="24"/>
    </row>
    <row r="5734">
      <c r="A5734" s="25" t="s">
        <v>18860</v>
      </c>
      <c r="B5734" s="25" t="s">
        <v>18862</v>
      </c>
      <c r="C5734" s="26" t="str">
        <f>HYPERLINK("https://audio.iskcondesiretree.com/02_-_ISKCON_Swamis/ISKCON_Swamis_-_R_to_Y/His_Holiness_Radhanath_Swami/Lectures/Russian_Translation/Goswamis/Srila_Sanatana_das_Goswami_-_Radhanath_Swami.mp3", "Srila_Sanatana_das_Goswami_-_Radhanath_Swami.mp3")</f>
        <v>Srila_Sanatana_das_Goswami_-_Radhanath_Swami.mp3</v>
      </c>
      <c r="D5734" s="24"/>
      <c r="E5734" s="24"/>
    </row>
    <row r="5735">
      <c r="A5735" s="25" t="s">
        <v>18860</v>
      </c>
      <c r="B5735" s="25" t="s">
        <v>18863</v>
      </c>
      <c r="C5735" s="26" t="str">
        <f>HYPERLINK("https://audio.iskcondesiretree.com/02_-_ISKCON_Swamis/ISKCON_Swamis_-_R_to_Y/His_Holiness_Radhanath_Swami/Lectures/Russian_Translation/Parikramas/2009_Mayapur_Yatra/2009-10-17_Glory_Navadwip_Dham_-_Radhanath_Sw.mp3", "2009-10-17_Glory_Navadwip_Dham_-_Radhanath_Sw.mp3")</f>
        <v>2009-10-17_Glory_Navadwip_Dham_-_Radhanath_Sw.mp3</v>
      </c>
      <c r="D5735" s="24"/>
      <c r="E5735" s="24"/>
    </row>
    <row r="5736">
      <c r="A5736" s="25" t="s">
        <v>18860</v>
      </c>
      <c r="B5736" s="25" t="s">
        <v>18863</v>
      </c>
      <c r="C5736" s="26" t="str">
        <f>HYPERLINK("https://audio.iskcondesiretree.com/02_-_ISKCON_Swamis/ISKCON_Swamis_-_R_to_Y/His_Holiness_Radhanath_Swami/Lectures/Russian_Translation/Parikramas/2009_Mayapur_Yatra/2009-10-17_Glory_Navadwip_Dham_-_Radhanath_Swami.mp3", "2009-10-17_Glory_Navadwip_Dham_-_Radhanath_Swami.mp3")</f>
        <v>2009-10-17_Glory_Navadwip_Dham_-_Radhanath_Swami.mp3</v>
      </c>
      <c r="D5736" s="24"/>
      <c r="E5736" s="24"/>
    </row>
    <row r="5737">
      <c r="A5737" s="25" t="s">
        <v>18860</v>
      </c>
      <c r="B5737" s="25" t="s">
        <v>18863</v>
      </c>
      <c r="C5737" s="26" t="str">
        <f>HYPERLINK("https://audio.iskcondesiretree.com/02_-_ISKCON_Swamis/ISKCON_Swamis_-_R_to_Y/His_Holiness_Radhanath_Swami/Lectures/Russian_Translation/Parikramas/2009_Mayapur_Yatra/2009-10-17_Introductory_lecture_-_Radhanath_Sw.mp3", "2009-10-17_Introductory_lecture_-_Radhanath_Sw.mp3")</f>
        <v>2009-10-17_Introductory_lecture_-_Radhanath_Sw.mp3</v>
      </c>
      <c r="D5737" s="24"/>
      <c r="E5737" s="24"/>
    </row>
    <row r="5738">
      <c r="A5738" s="25" t="s">
        <v>18860</v>
      </c>
      <c r="B5738" s="25" t="s">
        <v>18863</v>
      </c>
      <c r="C5738" s="26" t="str">
        <f>HYPERLINK("https://audio.iskcondesiretree.com/02_-_ISKCON_Swamis/ISKCON_Swamis_-_R_to_Y/His_Holiness_Radhanath_Swami/Lectures/Russian_Translation/Parikramas/2009_Mayapur_Yatra/2009-10-17_Introductory_lecture_-_Radhanath_Swami.mp3", "2009-10-17_Introductory_lecture_-_Radhanath_Swami.mp3")</f>
        <v>2009-10-17_Introductory_lecture_-_Radhanath_Swami.mp3</v>
      </c>
      <c r="D5738" s="24"/>
      <c r="E5738" s="24"/>
    </row>
    <row r="5739">
      <c r="A5739" s="25" t="s">
        <v>18860</v>
      </c>
      <c r="B5739" s="25" t="s">
        <v>18863</v>
      </c>
      <c r="C5739" s="26" t="str">
        <f>HYPERLINK("https://audio.iskcondesiretree.com/02_-_ISKCON_Swamis/ISKCON_Swamis_-_R_to_Y/His_Holiness_Radhanath_Swami/Lectures/Russian_Translation/Parikramas/2009_Mayapur_Yatra/2009-10-17_Invite_EU_-_Jayapataka_Sw.mp3", "2009-10-17_Invite_EU_-_Jayapataka_Sw.mp3")</f>
        <v>2009-10-17_Invite_EU_-_Jayapataka_Sw.mp3</v>
      </c>
      <c r="D5739" s="24"/>
      <c r="E5739" s="24"/>
    </row>
    <row r="5740">
      <c r="A5740" s="25" t="s">
        <v>18860</v>
      </c>
      <c r="B5740" s="25" t="s">
        <v>18863</v>
      </c>
      <c r="C5740" s="26" t="str">
        <f>HYPERLINK("https://audio.iskcondesiretree.com/02_-_ISKCON_Swamis/ISKCON_Swamis_-_R_to_Y/His_Holiness_Radhanath_Swami/Lectures/Russian_Translation/Parikramas/2009_Mayapur_Yatra/2009-10-17_Invite_EU_-_Jayapataka_Swami.mp3", "2009-10-17_Invite_EU_-_Jayapataka_Swami.mp3")</f>
        <v>2009-10-17_Invite_EU_-_Jayapataka_Swami.mp3</v>
      </c>
      <c r="D5740" s="24"/>
      <c r="E5740" s="24"/>
    </row>
    <row r="5741">
      <c r="A5741" s="25" t="s">
        <v>18860</v>
      </c>
      <c r="B5741" s="25" t="s">
        <v>18863</v>
      </c>
      <c r="C5741" s="26" t="str">
        <f>HYPERLINK("https://audio.iskcondesiretree.com/02_-_ISKCON_Swamis/ISKCON_Swamis_-_R_to_Y/His_Holiness_Radhanath_Swami/Lectures/Russian_Translation/Parikramas/2009_Mayapur_Yatra/2009-10-17_Significance_of_Diwali_-_Radhanath_Sw.mp3", "2009-10-17_Significance_of_Diwali_-_Radhanath_Sw.mp3")</f>
        <v>2009-10-17_Significance_of_Diwali_-_Radhanath_Sw.mp3</v>
      </c>
      <c r="D5741" s="24"/>
      <c r="E5741" s="24"/>
    </row>
    <row r="5742">
      <c r="A5742" s="25" t="s">
        <v>18860</v>
      </c>
      <c r="B5742" s="25" t="s">
        <v>18863</v>
      </c>
      <c r="C5742" s="26" t="str">
        <f>HYPERLINK("https://audio.iskcondesiretree.com/02_-_ISKCON_Swamis/ISKCON_Swamis_-_R_to_Y/His_Holiness_Radhanath_Swami/Lectures/Russian_Translation/Parikramas/2009_Mayapur_Yatra/2009-10-17_Significance_of_Diwali_-_Radhanath_Swami.mp3", "2009-10-17_Significance_of_Diwali_-_Radhanath_Swami.mp3")</f>
        <v>2009-10-17_Significance_of_Diwali_-_Radhanath_Swami.mp3</v>
      </c>
      <c r="D5742" s="24"/>
      <c r="E5742" s="24"/>
    </row>
    <row r="5743">
      <c r="A5743" s="25" t="s">
        <v>18860</v>
      </c>
      <c r="B5743" s="25" t="s">
        <v>18863</v>
      </c>
      <c r="C5743" s="26" t="str">
        <f>HYPERLINK("https://audio.iskcondesiretree.com/02_-_ISKCON_Swamis/ISKCON_Swamis_-_R_to_Y/His_Holiness_Radhanath_Swami/Lectures/Russian_Translation/Parikramas/2009_Mayapur_Yatra/2009-10-18_Gaura_Lila_-_Radhanath_Sw.mp3", "2009-10-18_Gaura_Lila_-_Radhanath_Sw.mp3")</f>
        <v>2009-10-18_Gaura_Lila_-_Radhanath_Sw.mp3</v>
      </c>
      <c r="D5743" s="24"/>
      <c r="E5743" s="24"/>
    </row>
    <row r="5744">
      <c r="A5744" s="25" t="s">
        <v>18860</v>
      </c>
      <c r="B5744" s="25" t="s">
        <v>18863</v>
      </c>
      <c r="C5744" s="26" t="str">
        <f>HYPERLINK("https://audio.iskcondesiretree.com/02_-_ISKCON_Swamis/ISKCON_Swamis_-_R_to_Y/His_Holiness_Radhanath_Swami/Lectures/Russian_Translation/Parikramas/2009_Mayapur_Yatra/2009-10-18_Gaura_Lila_-_Radhanath_Swami.mp3", "2009-10-18_Gaura_Lila_-_Radhanath_Swami.mp3")</f>
        <v>2009-10-18_Gaura_Lila_-_Radhanath_Swami.mp3</v>
      </c>
      <c r="D5744" s="24"/>
      <c r="E5744" s="24"/>
    </row>
    <row r="5745">
      <c r="A5745" s="25" t="s">
        <v>18860</v>
      </c>
      <c r="B5745" s="25" t="s">
        <v>18863</v>
      </c>
      <c r="C5745" s="26" t="str">
        <f>HYPERLINK("https://audio.iskcondesiretree.com/02_-_ISKCON_Swamis/ISKCON_Swamis_-_R_to_Y/His_Holiness_Radhanath_Swami/Lectures/Russian_Translation/Parikramas/2009_Mayapur_Yatra/2009-10-19_SB_10-24-35_Sri_Krishna_worships_Govardhana_-_Radhanath_Sw.mp3", "2009-10-19_SB_10-24-35_Sri_Krishna_worships_Govardhana_-_Radhanath_Sw.mp3")</f>
        <v>2009-10-19_SB_10-24-35_Sri_Krishna_worships_Govardhana_-_Radhanath_Sw.mp3</v>
      </c>
      <c r="D5745" s="24"/>
      <c r="E5745" s="24"/>
    </row>
    <row r="5746">
      <c r="A5746" s="25" t="s">
        <v>18860</v>
      </c>
      <c r="B5746" s="25" t="s">
        <v>18863</v>
      </c>
      <c r="C5746" s="26" t="str">
        <f>HYPERLINK("https://audio.iskcondesiretree.com/02_-_ISKCON_Swamis/ISKCON_Swamis_-_R_to_Y/His_Holiness_Radhanath_Swami/Lectures/Russian_Translation/Parikramas/2009_Mayapur_Yatra/2009-10-19_SB_10-24-35_Sri_Krishna_worships_Govardhana_-_Radhanath_Swami.mp3", "2009-10-19_SB_10-24-35_Sri_Krishna_worships_Govardhana_-_Radhanath_Swami.mp3")</f>
        <v>2009-10-19_SB_10-24-35_Sri_Krishna_worships_Govardhana_-_Radhanath_Swami.mp3</v>
      </c>
      <c r="D5746" s="24"/>
      <c r="E5746" s="24"/>
    </row>
    <row r="5747">
      <c r="A5747" s="25" t="s">
        <v>18860</v>
      </c>
      <c r="B5747" s="25" t="s">
        <v>18863</v>
      </c>
      <c r="C5747" s="26" t="str">
        <f>HYPERLINK("https://audio.iskcondesiretree.com/02_-_ISKCON_Swamis/ISKCON_Swamis_-_R_to_Y/His_Holiness_Radhanath_Swami/Lectures/Russian_Translation/Parikramas/2009_Mayapur_Yatra/2009-10-19_The_reaction_of_Indra_on_Govardhan_Puja_-_Radhanath_Sw.mp3", "2009-10-19_The_reaction_of_Indra_on_Govardhan_Puja_-_Radhanath_Sw.mp3")</f>
        <v>2009-10-19_The_reaction_of_Indra_on_Govardhan_Puja_-_Radhanath_Sw.mp3</v>
      </c>
      <c r="D5747" s="24"/>
      <c r="E5747" s="24"/>
    </row>
    <row r="5748">
      <c r="A5748" s="25" t="s">
        <v>18860</v>
      </c>
      <c r="B5748" s="25" t="s">
        <v>18863</v>
      </c>
      <c r="C5748" s="26" t="str">
        <f>HYPERLINK("https://audio.iskcondesiretree.com/02_-_ISKCON_Swamis/ISKCON_Swamis_-_R_to_Y/His_Holiness_Radhanath_Swami/Lectures/Russian_Translation/Parikramas/2009_Mayapur_Yatra/2009-10-19_The_reaction_of_Indra_on_Govardhan_Puja_-_Radhanath_Swami.mp3", "2009-10-19_The_reaction_of_Indra_on_Govardhan_Puja_-_Radhanath_Swami.mp3")</f>
        <v>2009-10-19_The_reaction_of_Indra_on_Govardhan_Puja_-_Radhanath_Swami.mp3</v>
      </c>
      <c r="D5748" s="24"/>
      <c r="E5748" s="24"/>
    </row>
    <row r="5749">
      <c r="A5749" s="25" t="s">
        <v>18860</v>
      </c>
      <c r="B5749" s="25" t="s">
        <v>18863</v>
      </c>
      <c r="C5749" s="26" t="str">
        <f>HYPERLINK("https://audio.iskcondesiretree.com/02_-_ISKCON_Swamis/ISKCON_Swamis_-_R_to_Y/His_Holiness_Radhanath_Swami/Lectures/Russian_Translation/Parikramas/2009_Mayapur_Yatra/2009-10-20_Kids_Games_Nimai_-_Radhanath_Sw.mp3", "2009-10-20_Kids_Games_Nimai_-_Radhanath_Sw.mp3")</f>
        <v>2009-10-20_Kids_Games_Nimai_-_Radhanath_Sw.mp3</v>
      </c>
      <c r="D5749" s="24"/>
      <c r="E5749" s="24"/>
    </row>
    <row r="5750">
      <c r="A5750" s="25" t="s">
        <v>18860</v>
      </c>
      <c r="B5750" s="25" t="s">
        <v>18863</v>
      </c>
      <c r="C5750" s="26" t="str">
        <f>HYPERLINK("https://audio.iskcondesiretree.com/02_-_ISKCON_Swamis/ISKCON_Swamis_-_R_to_Y/His_Holiness_Radhanath_Swami/Lectures/Russian_Translation/Parikramas/2009_Mayapur_Yatra/2009-10-20_Kids_Games_Nimai_-_Radhanath_Swami.mp3", "2009-10-20_Kids_Games_Nimai_-_Radhanath_Swami.mp3")</f>
        <v>2009-10-20_Kids_Games_Nimai_-_Radhanath_Swami.mp3</v>
      </c>
      <c r="D5750" s="24"/>
      <c r="E5750" s="24"/>
    </row>
    <row r="5751">
      <c r="A5751" s="25" t="s">
        <v>18860</v>
      </c>
      <c r="B5751" s="25" t="s">
        <v>18863</v>
      </c>
      <c r="C5751" s="26" t="str">
        <f>HYPERLINK("https://audio.iskcondesiretree.com/02_-_ISKCON_Swamis/ISKCON_Swamis_-_R_to_Y/His_Holiness_Radhanath_Swami/Lectures/Russian_Translation/Parikramas/2009_Mayapur_Yatra/2009-10-21_Preparing_to_take_sannyasa_-_Radhanath_Sw.mp3", "2009-10-21_Preparing_to_take_sannyasa_-_Radhanath_Sw.mp3")</f>
        <v>2009-10-21_Preparing_to_take_sannyasa_-_Radhanath_Sw.mp3</v>
      </c>
      <c r="D5751" s="24"/>
      <c r="E5751" s="24"/>
    </row>
    <row r="5752">
      <c r="A5752" s="25" t="s">
        <v>18860</v>
      </c>
      <c r="B5752" s="25" t="s">
        <v>18863</v>
      </c>
      <c r="C5752" s="26" t="str">
        <f>HYPERLINK("https://audio.iskcondesiretree.com/02_-_ISKCON_Swamis/ISKCON_Swamis_-_R_to_Y/His_Holiness_Radhanath_Swami/Lectures/Russian_Translation/Parikramas/2009_Mayapur_Yatra/2009-10-21_Preparing_to_take_sannyasa_-_Radhanath_Swami.mp3", "2009-10-21_Preparing_to_take_sannyasa_-_Radhanath_Swami.mp3")</f>
        <v>2009-10-21_Preparing_to_take_sannyasa_-_Radhanath_Swami.mp3</v>
      </c>
      <c r="D5752" s="24"/>
      <c r="E5752" s="24"/>
    </row>
    <row r="5753">
      <c r="A5753" s="25" t="s">
        <v>18860</v>
      </c>
      <c r="B5753" s="25" t="s">
        <v>18863</v>
      </c>
      <c r="C5753" s="26" t="str">
        <f>HYPERLINK("https://audio.iskcondesiretree.com/02_-_ISKCON_Swamis/ISKCON_Swamis_-_R_to_Y/His_Holiness_Radhanath_Swami/Lectures/Russian_Translation/Parikramas/2009_Mayapur_Yatra/2009-10-22_Offering_to_Srila_Prabhupada_EU_-_Bodhayan_Maharaj.mp3", "2009-10-22_Offering_to_Srila_Prabhupada_EU_-_Bodhayan_Maharaj.mp3")</f>
        <v>2009-10-22_Offering_to_Srila_Prabhupada_EU_-_Bodhayan_Maharaj.mp3</v>
      </c>
      <c r="D5753" s="24"/>
      <c r="E5753" s="24"/>
    </row>
    <row r="5754">
      <c r="A5754" s="25" t="s">
        <v>18860</v>
      </c>
      <c r="B5754" s="25" t="s">
        <v>18863</v>
      </c>
      <c r="C5754" s="26" t="str">
        <f>HYPERLINK("https://audio.iskcondesiretree.com/02_-_ISKCON_Swamis/ISKCON_Swamis_-_R_to_Y/His_Holiness_Radhanath_Swami/Lectures/Russian_Translation/Parikramas/2009_Mayapur_Yatra/2009-10-22_Offering_to_Srila_Prabhupada_EU_-_Radhanath_Sw.mp3", "2009-10-22_Offering_to_Srila_Prabhupada_EU_-_Radhanath_Sw.mp3")</f>
        <v>2009-10-22_Offering_to_Srila_Prabhupada_EU_-_Radhanath_Sw.mp3</v>
      </c>
      <c r="D5754" s="24"/>
      <c r="E5754" s="24"/>
    </row>
    <row r="5755">
      <c r="A5755" s="25" t="s">
        <v>18860</v>
      </c>
      <c r="B5755" s="25" t="s">
        <v>18863</v>
      </c>
      <c r="C5755" s="26" t="str">
        <f>HYPERLINK("https://audio.iskcondesiretree.com/02_-_ISKCON_Swamis/ISKCON_Swamis_-_R_to_Y/His_Holiness_Radhanath_Swami/Lectures/Russian_Translation/Parikramas/2009_Mayapur_Yatra/2009-10-22_Offering_to_Srila_Prabhupada_EU_-_Radhanath_Swami.mp3", "2009-10-22_Offering_to_Srila_Prabhupada_EU_-_Radhanath_Swami.mp3")</f>
        <v>2009-10-22_Offering_to_Srila_Prabhupada_EU_-_Radhanath_Swami.mp3</v>
      </c>
      <c r="D5755" s="24"/>
      <c r="E5755" s="24"/>
    </row>
    <row r="5756">
      <c r="A5756" s="25" t="s">
        <v>18860</v>
      </c>
      <c r="B5756" s="25" t="s">
        <v>18863</v>
      </c>
      <c r="C5756" s="26" t="str">
        <f>HYPERLINK("https://audio.iskcondesiretree.com/02_-_ISKCON_Swamis/ISKCON_Swamis_-_R_to_Y/His_Holiness_Radhanath_Swami/Lectures/Russian_Translation/Parikramas/2009_Mayapur_Yatra/2009-10-23_Sannyasa_ceremony_Mahaprabhu_-_Radhanath_Sw.mp3", "2009-10-23_Sannyasa_ceremony_Mahaprabhu_-_Radhanath_Sw.mp3")</f>
        <v>2009-10-23_Sannyasa_ceremony_Mahaprabhu_-_Radhanath_Sw.mp3</v>
      </c>
      <c r="D5756" s="24"/>
      <c r="E5756" s="24"/>
    </row>
    <row r="5757">
      <c r="A5757" s="25" t="s">
        <v>18860</v>
      </c>
      <c r="B5757" s="25" t="s">
        <v>18863</v>
      </c>
      <c r="C5757" s="26" t="str">
        <f>HYPERLINK("https://audio.iskcondesiretree.com/02_-_ISKCON_Swamis/ISKCON_Swamis_-_R_to_Y/His_Holiness_Radhanath_Swami/Lectures/Russian_Translation/Parikramas/2009_Mayapur_Yatra/2009-10-23_Sannyasa_ceremony_Mahaprabhu_-_Radhanath_Swami.mp3", "2009-10-23_Sannyasa_ceremony_Mahaprabhu_-_Radhanath_Swami.mp3")</f>
        <v>2009-10-23_Sannyasa_ceremony_Mahaprabhu_-_Radhanath_Swami.mp3</v>
      </c>
      <c r="D5757" s="24"/>
      <c r="E5757" s="24"/>
    </row>
    <row r="5758">
      <c r="A5758" s="25" t="s">
        <v>18860</v>
      </c>
      <c r="B5758" s="25" t="s">
        <v>18863</v>
      </c>
      <c r="C5758" s="26" t="str">
        <f>HYPERLINK("https://audio.iskcondesiretree.com/02_-_ISKCON_Swamis/ISKCON_Swamis_-_R_to_Y/His_Holiness_Radhanath_Swami/Lectures/Russian_Translation/Parikramas/2009_Mayapur_Yatra/2009-10-24_The_Reunification_of_the_devotees_with_Lord_Caitanya_-_Radhanath_Sw.mp3", "2009-10-24_The_Reunification_of_the_devotees_with_Lord_Caitanya_-_Radhanath_Sw.mp3")</f>
        <v>2009-10-24_The_Reunification_of_the_devotees_with_Lord_Caitanya_-_Radhanath_Sw.mp3</v>
      </c>
      <c r="D5758" s="24"/>
      <c r="E5758" s="24"/>
    </row>
    <row r="5759">
      <c r="A5759" s="25" t="s">
        <v>18860</v>
      </c>
      <c r="B5759" s="25" t="s">
        <v>18863</v>
      </c>
      <c r="C5759" s="26" t="str">
        <f>HYPERLINK("https://audio.iskcondesiretree.com/02_-_ISKCON_Swamis/ISKCON_Swamis_-_R_to_Y/His_Holiness_Radhanath_Swami/Lectures/Russian_Translation/Parikramas/2009_Mayapur_Yatra/2009-10-24_The_Reunification_of_the_devotees_with_Lord_Caitanya_-_Radhanath_Swami.mp3", "2009-10-24_The_Reunification_of_the_devotees_with_Lord_Caitanya_-_Radhanath_Swami.mp3")</f>
        <v>2009-10-24_The_Reunification_of_the_devotees_with_Lord_Caitanya_-_Radhanath_Swami.mp3</v>
      </c>
      <c r="D5759" s="24"/>
      <c r="E5759" s="24"/>
    </row>
    <row r="5760">
      <c r="A5760" s="25" t="s">
        <v>18860</v>
      </c>
      <c r="B5760" s="25" t="s">
        <v>18863</v>
      </c>
      <c r="C5760" s="26" t="str">
        <f>HYPERLINK("https://audio.iskcondesiretree.com/02_-_ISKCON_Swamis/ISKCON_Swamis_-_R_to_Y/His_Holiness_Radhanath_Swami/Lectures/Russian_Translation/Parikramas/2009_Mayapur_Yatra/2009-10-25_Lord_Caitanya_returned_to_Navadwipa_-_Radhanath_Sw.mp3", "2009-10-25_Lord_Caitanya_returned_to_Navadwipa_-_Radhanath_Sw.mp3")</f>
        <v>2009-10-25_Lord_Caitanya_returned_to_Navadwipa_-_Radhanath_Sw.mp3</v>
      </c>
      <c r="D5760" s="24"/>
      <c r="E5760" s="24"/>
    </row>
    <row r="5761">
      <c r="A5761" s="25" t="s">
        <v>18860</v>
      </c>
      <c r="B5761" s="25" t="s">
        <v>18863</v>
      </c>
      <c r="C5761" s="26" t="str">
        <f>HYPERLINK("https://audio.iskcondesiretree.com/02_-_ISKCON_Swamis/ISKCON_Swamis_-_R_to_Y/His_Holiness_Radhanath_Swami/Lectures/Russian_Translation/Parikramas/2009_Mayapur_Yatra/2009-10-25_Lord_Caitanya_returned_to_Navadwipa_-_Radhanath_Swami.mp3", "2009-10-25_Lord_Caitanya_returned_to_Navadwipa_-_Radhanath_Swami.mp3")</f>
        <v>2009-10-25_Lord_Caitanya_returned_to_Navadwipa_-_Radhanath_Swami.mp3</v>
      </c>
      <c r="D5761" s="24"/>
      <c r="E5761" s="24"/>
    </row>
    <row r="5762">
      <c r="A5762" s="25" t="s">
        <v>18860</v>
      </c>
      <c r="B5762" s="25" t="s">
        <v>18863</v>
      </c>
      <c r="C5762" s="26" t="str">
        <f>HYPERLINK("https://audio.iskcondesiretree.com/02_-_ISKCON_Swamis/ISKCON_Swamis_-_R_to_Y/His_Holiness_Radhanath_Swami/Lectures/Russian_Translation/Parikramas/2009_Mayapur_Yatra/2009-10-26_Adoption_of_Mercy_of_Lord_Chaitanya_by_Lord_Nityananda_-_Radhanath_Sw.mp3", "2009-10-26_Adoption_of_Mercy_of_Lord_Chaitanya_by_Lord_Nityananda_-_Radhanath_Sw.mp3")</f>
        <v>2009-10-26_Adoption_of_Mercy_of_Lord_Chaitanya_by_Lord_Nityananda_-_Radhanath_Sw.mp3</v>
      </c>
      <c r="D5762" s="24"/>
      <c r="E5762" s="24"/>
    </row>
    <row r="5763">
      <c r="A5763" s="25" t="s">
        <v>18860</v>
      </c>
      <c r="B5763" s="25" t="s">
        <v>18863</v>
      </c>
      <c r="C5763" s="26" t="str">
        <f>HYPERLINK("https://audio.iskcondesiretree.com/02_-_ISKCON_Swamis/ISKCON_Swamis_-_R_to_Y/His_Holiness_Radhanath_Swami/Lectures/Russian_Translation/Parikramas/2009_Mayapur_Yatra/2009-10-26_Adoption_of_Mercy_of_Lord_Chaitanya_by_Lord_Nityananda_-_Radhanath_Swami.mp3", "2009-10-26_Adoption_of_Mercy_of_Lord_Chaitanya_by_Lord_Nityananda_-_Radhanath_Swami.mp3")</f>
        <v>2009-10-26_Adoption_of_Mercy_of_Lord_Chaitanya_by_Lord_Nityananda_-_Radhanath_Swami.mp3</v>
      </c>
      <c r="D5763" s="24"/>
      <c r="E5763" s="24"/>
    </row>
    <row r="5764">
      <c r="A5764" s="25" t="s">
        <v>18860</v>
      </c>
      <c r="B5764" s="25" t="s">
        <v>18863</v>
      </c>
      <c r="C5764" s="26" t="str">
        <f>HYPERLINK("https://audio.iskcondesiretree.com/02_-_ISKCON_Swamis/ISKCON_Swamis_-_R_to_Y/His_Holiness_Radhanath_Swami/Lectures/Russian_Translation/Parikramas/2009_Mayapur_Yatra/2009-10-27_Closing_Yatra_-_Radhanath_Sw.mp3", "2009-10-27_Closing_Yatra_-_Radhanath_Sw.mp3")</f>
        <v>2009-10-27_Closing_Yatra_-_Radhanath_Sw.mp3</v>
      </c>
      <c r="D5764" s="24"/>
      <c r="E5764" s="24"/>
    </row>
    <row r="5765">
      <c r="A5765" s="25" t="s">
        <v>18860</v>
      </c>
      <c r="B5765" s="25" t="s">
        <v>18863</v>
      </c>
      <c r="C5765" s="26" t="str">
        <f>HYPERLINK("https://audio.iskcondesiretree.com/02_-_ISKCON_Swamis/ISKCON_Swamis_-_R_to_Y/His_Holiness_Radhanath_Swami/Lectures/Russian_Translation/Parikramas/2009_Mayapur_Yatra/2009-10-27_Closing_Yatra_-_Radhanath_Swami.mp3", "2009-10-27_Closing_Yatra_-_Radhanath_Swami.mp3")</f>
        <v>2009-10-27_Closing_Yatra_-_Radhanath_Swami.mp3</v>
      </c>
      <c r="D5765" s="24"/>
      <c r="E5765" s="24"/>
    </row>
    <row r="5766">
      <c r="A5766" s="25" t="s">
        <v>18860</v>
      </c>
      <c r="B5766" s="25" t="s">
        <v>18863</v>
      </c>
      <c r="C5766" s="26" t="str">
        <f>HYPERLINK("https://audio.iskcondesiretree.com/02_-_ISKCON_Swamis/ISKCON_Swamis_-_R_to_Y/His_Holiness_Radhanath_Swami/Lectures/Russian_Translation/Parikramas/Gaur_mandal_parikrama-01/1997_Day-01_Part-01_Start_of_Yatra_-_Radhanath_Swami_Mayapur.mp3", "1997_Day-01_Part-01_Start_of_Yatra_-_Radhanath_Swami_Mayapur.mp3")</f>
        <v>1997_Day-01_Part-01_Start_of_Yatra_-_Radhanath_Swami_Mayapur.mp3</v>
      </c>
      <c r="D5766" s="24"/>
      <c r="E5766" s="24"/>
    </row>
    <row r="5767">
      <c r="A5767" s="25" t="s">
        <v>18860</v>
      </c>
      <c r="B5767" s="25" t="s">
        <v>18863</v>
      </c>
      <c r="C5767" s="26" t="str">
        <f>HYPERLINK("https://audio.iskcondesiretree.com/02_-_ISKCON_Swamis/ISKCON_Swamis_-_R_to_Y/His_Holiness_Radhanath_Swami/Lectures/Russian_Translation/Parikramas/Gaur_mandal_parikrama-01/1997_Day-01_Part-02_Appearence_of_Lord_Gauranga_-_Radhanath_Swami_Mayapur.mp3", "1997_Day-01_Part-02_Appearence_of_Lord_Gauranga_-_Radhanath_Swami_Mayapur.mp3")</f>
        <v>1997_Day-01_Part-02_Appearence_of_Lord_Gauranga_-_Radhanath_Swami_Mayapur.mp3</v>
      </c>
      <c r="D5767" s="24"/>
      <c r="E5767" s="24"/>
    </row>
    <row r="5768">
      <c r="A5768" s="25" t="s">
        <v>18860</v>
      </c>
      <c r="B5768" s="25" t="s">
        <v>18863</v>
      </c>
      <c r="C5768" s="26" t="str">
        <f>HYPERLINK("https://audio.iskcondesiretree.com/02_-_ISKCON_Swamis/ISKCON_Swamis_-_R_to_Y/His_Holiness_Radhanath_Swami/Lectures/Russian_Translation/Parikramas/Gaur_mandal_parikrama-01/1997_Day-01_Part-03_%20Lilas_of_Nimai_-_Sacinandana_Swami_Mayapur.mp3", "1997_Day-01_Part-03_%20Lilas_of_Nimai_-_Sacinandana_Swami_Mayapur.mp3")</f>
        <v>1997_Day-01_Part-03_%20Lilas_of_Nimai_-_Sacinandana_Swami_Mayapur.mp3</v>
      </c>
      <c r="D5768" s="24"/>
      <c r="E5768" s="24"/>
    </row>
    <row r="5769">
      <c r="A5769" s="25" t="s">
        <v>18860</v>
      </c>
      <c r="B5769" s="25" t="s">
        <v>18863</v>
      </c>
      <c r="C5769" s="26" t="str">
        <f>HYPERLINK("https://audio.iskcondesiretree.com/02_-_ISKCON_Swamis/ISKCON_Swamis_-_R_to_Y/His_Holiness_Radhanath_Swami/Lectures/Russian_Translation/Parikramas/Gaur_mandal_parikrama-01/1997_Day-01_Part-04_Lilas_-_Gopiparanadhana_Prabhu_Mayapur.mp3", "1997_Day-01_Part-04_Lilas_-_Gopiparanadhana_Prabhu_Mayapur.mp3")</f>
        <v>1997_Day-01_Part-04_Lilas_-_Gopiparanadhana_Prabhu_Mayapur.mp3</v>
      </c>
      <c r="D5769" s="24"/>
      <c r="E5769" s="24"/>
    </row>
    <row r="5770">
      <c r="A5770" s="25" t="s">
        <v>18860</v>
      </c>
      <c r="B5770" s="25" t="s">
        <v>18863</v>
      </c>
      <c r="C5770" s="26" t="str">
        <f>HYPERLINK("https://audio.iskcondesiretree.com/02_-_ISKCON_Swamis/ISKCON_Swamis_-_R_to_Y/His_Holiness_Radhanath_Swami/Lectures/Russian_Translation/Parikramas/Gaur_mandal_parikrama-01/1997_Day-01_Part-05_Lilas_in_Yogapith_-_Radhanath_Swami_Mayapur.mp3", "1997_Day-01_Part-05_Lilas_in_Yogapith_-_Radhanath_Swami_Mayapur.mp3")</f>
        <v>1997_Day-01_Part-05_Lilas_in_Yogapith_-_Radhanath_Swami_Mayapur.mp3</v>
      </c>
      <c r="D5770" s="24"/>
      <c r="E5770" s="24"/>
    </row>
    <row r="5771">
      <c r="A5771" s="25" t="s">
        <v>18860</v>
      </c>
      <c r="B5771" s="25" t="s">
        <v>18863</v>
      </c>
      <c r="C5771" s="26" t="str">
        <f>HYPERLINK("https://audio.iskcondesiretree.com/02_-_ISKCON_Swamis/ISKCON_Swamis_-_R_to_Y/His_Holiness_Radhanath_Swami/Lectures/Russian_Translation/Parikramas/Gaur_mandal_parikrama-01/1997_Day-02_Part-01_Kirtans_in_Srivas_Angam_-_Radhanath_Swami_Mayapur.mp3", "1997_Day-02_Part-01_Kirtans_in_Srivas_Angam_-_Radhanath_Swami_Mayapur.mp3")</f>
        <v>1997_Day-02_Part-01_Kirtans_in_Srivas_Angam_-_Radhanath_Swami_Mayapur.mp3</v>
      </c>
      <c r="D5771" s="24"/>
      <c r="E5771" s="24"/>
    </row>
    <row r="5772">
      <c r="A5772" s="25" t="s">
        <v>18860</v>
      </c>
      <c r="B5772" s="25" t="s">
        <v>18863</v>
      </c>
      <c r="C5772" s="26" t="str">
        <f>HYPERLINK("https://audio.iskcondesiretree.com/02_-_ISKCON_Swamis/ISKCON_Swamis_-_R_to_Y/His_Holiness_Radhanath_Swami/Lectures/Russian_Translation/Parikramas/Gaur_mandal_parikrama-01/1997_Day-02_Part-02_Mahaprakas_01_-_Radhanath_Swami_Mayapur.mp3", "1997_Day-02_Part-02_Mahaprakas_01_-_Radhanath_Swami_Mayapur.mp3")</f>
        <v>1997_Day-02_Part-02_Mahaprakas_01_-_Radhanath_Swami_Mayapur.mp3</v>
      </c>
      <c r="D5772" s="24"/>
      <c r="E5772" s="24"/>
    </row>
    <row r="5773">
      <c r="A5773" s="25" t="s">
        <v>18860</v>
      </c>
      <c r="B5773" s="25" t="s">
        <v>18863</v>
      </c>
      <c r="C5773" s="26" t="str">
        <f>HYPERLINK("https://audio.iskcondesiretree.com/02_-_ISKCON_Swamis/ISKCON_Swamis_-_R_to_Y/His_Holiness_Radhanath_Swami/Lectures/Russian_Translation/Parikramas/Gaur_mandal_parikrama-01/1997_Day-02_Part-02_Mahaprakas_01_Radhanath_swami_Mayapur.mp3", "1997_Day-02_Part-02_Mahaprakas_01_Radhanath_swami_Mayapur.mp3")</f>
        <v>1997_Day-02_Part-02_Mahaprakas_01_Radhanath_swami_Mayapur.mp3</v>
      </c>
      <c r="D5773" s="24"/>
      <c r="E5773" s="24"/>
    </row>
    <row r="5774">
      <c r="A5774" s="25" t="s">
        <v>18860</v>
      </c>
      <c r="B5774" s="25" t="s">
        <v>18863</v>
      </c>
      <c r="C5774" s="26" t="str">
        <f>HYPERLINK("https://audio.iskcondesiretree.com/02_-_ISKCON_Swamis/ISKCON_Swamis_-_R_to_Y/His_Holiness_Radhanath_Swami/Lectures/Russian_Translation/Parikramas/Gaur_mandal_parikrama-01/1997_Day-02_Part-03_Mahaprakas_02_-_Radhanath_Swami_Mayapur.mp3", "1997_Day-02_Part-03_Mahaprakas_02_-_Radhanath_Swami_Mayapur.mp3")</f>
        <v>1997_Day-02_Part-03_Mahaprakas_02_-_Radhanath_Swami_Mayapur.mp3</v>
      </c>
      <c r="D5774" s="24"/>
      <c r="E5774" s="24"/>
    </row>
    <row r="5775">
      <c r="A5775" s="25" t="s">
        <v>18860</v>
      </c>
      <c r="B5775" s="25" t="s">
        <v>18863</v>
      </c>
      <c r="C5775" s="26" t="str">
        <f>HYPERLINK("https://audio.iskcondesiretree.com/02_-_ISKCON_Swamis/ISKCON_Swamis_-_R_to_Y/His_Holiness_Radhanath_Swami/Lectures/Russian_Translation/Parikramas/Gaur_mandal_parikrama-01/1997_Day-02_Part-03_Mahaprakas_02_Radhanath_swami_Mayapur.mp3", "1997_Day-02_Part-03_Mahaprakas_02_Radhanath_swami_Mayapur.mp3")</f>
        <v>1997_Day-02_Part-03_Mahaprakas_02_Radhanath_swami_Mayapur.mp3</v>
      </c>
      <c r="D5775" s="24"/>
      <c r="E5775" s="24"/>
    </row>
    <row r="5776">
      <c r="A5776" s="25" t="s">
        <v>18860</v>
      </c>
      <c r="B5776" s="25" t="s">
        <v>18863</v>
      </c>
      <c r="C5776" s="26" t="str">
        <f>HYPERLINK("https://audio.iskcondesiretree.com/02_-_ISKCON_Swamis/ISKCON_Swamis_-_R_to_Y/His_Holiness_Radhanath_Swami/Lectures/Russian_Translation/Parikramas/Gaur_mandal_parikrama-01/1997_Day-03_Part-01_Nandana_acarya_-_Radhanath_Swami_Mayapur.mp3", "1997_Day-03_Part-01_Nandana_acarya_-_Radhanath_Swami_Mayapur.mp3")</f>
        <v>1997_Day-03_Part-01_Nandana_acarya_-_Radhanath_Swami_Mayapur.mp3</v>
      </c>
      <c r="D5776" s="24"/>
      <c r="E5776" s="24"/>
    </row>
    <row r="5777">
      <c r="A5777" s="25" t="s">
        <v>18860</v>
      </c>
      <c r="B5777" s="25" t="s">
        <v>18863</v>
      </c>
      <c r="C5777" s="26" t="str">
        <f>HYPERLINK("https://audio.iskcondesiretree.com/02_-_ISKCON_Swamis/ISKCON_Swamis_-_R_to_Y/His_Holiness_Radhanath_Swami/Lectures/Russian_Translation/Parikramas/Gaur_mandal_parikrama-01/1997_Day-03Part-01_Nandana_acarya_Radhanath_swami_Mayapur.mp3", "1997_Day-03Part-01_Nandana_acarya_Radhanath_swami_Mayapur.mp3")</f>
        <v>1997_Day-03Part-01_Nandana_acarya_Radhanath_swami_Mayapur.mp3</v>
      </c>
      <c r="D5777" s="24"/>
      <c r="E5777" s="24"/>
    </row>
    <row r="5778">
      <c r="A5778" s="25" t="s">
        <v>18860</v>
      </c>
      <c r="B5778" s="25" t="s">
        <v>18863</v>
      </c>
      <c r="C5778" s="26" t="str">
        <f>HYPERLINK("https://audio.iskcondesiretree.com/02_-_ISKCON_Swamis/ISKCON_Swamis_-_R_to_Y/His_Holiness_Radhanath_Swami/Lectures/Russian_Translation/Parikramas/Gaur_mandal_parikrama-01/1997_Day-04_Part-01_Murari_gupta_-_Radhanath_Swami_Mayapur.mp3", "1997_Day-04_Part-01_Murari_gupta_-_Radhanath_Swami_Mayapur.mp3")</f>
        <v>1997_Day-04_Part-01_Murari_gupta_-_Radhanath_Swami_Mayapur.mp3</v>
      </c>
      <c r="D5778" s="24"/>
      <c r="E5778" s="24"/>
    </row>
    <row r="5779">
      <c r="A5779" s="25" t="s">
        <v>18860</v>
      </c>
      <c r="B5779" s="25" t="s">
        <v>18863</v>
      </c>
      <c r="C5779" s="26" t="str">
        <f>HYPERLINK("https://audio.iskcondesiretree.com/02_-_ISKCON_Swamis/ISKCON_Swamis_-_R_to_Y/His_Holiness_Radhanath_Swami/Lectures/Russian_Translation/Parikramas/Gaur_mandal_parikrama-01/1997_Day-04_Part-01_Murari_gupta_Radhanath_swami_Mayapur.mp3", "1997_Day-04_Part-01_Murari_gupta_Radhanath_swami_Mayapur.mp3")</f>
        <v>1997_Day-04_Part-01_Murari_gupta_Radhanath_swami_Mayapur.mp3</v>
      </c>
      <c r="D5779" s="24"/>
      <c r="E5779" s="24"/>
    </row>
    <row r="5780">
      <c r="A5780" s="25" t="s">
        <v>18860</v>
      </c>
      <c r="B5780" s="25" t="s">
        <v>18863</v>
      </c>
      <c r="C5780" s="26" t="str">
        <f>HYPERLINK("https://audio.iskcondesiretree.com/02_-_ISKCON_Swamis/ISKCON_Swamis_-_R_to_Y/His_Holiness_Radhanath_Swami/Lectures/Russian_Translation/Parikramas/Gaur_mandal_parikrama-01/1997_Day-04_Part-02_Glory_of_Mayapur_dhamas_Sacinandana_Radhanath_swami_Mayapur.mp3", "1997_Day-04_Part-02_Glory_of_Mayapur_dhamas_Sacinandana_Radhanath_swami_Mayapur.mp3")</f>
        <v>1997_Day-04_Part-02_Glory_of_Mayapur_dhamas_Sacinandana_Radhanath_swami_Mayapur.mp3</v>
      </c>
      <c r="D5780" s="24"/>
      <c r="E5780" s="24"/>
    </row>
    <row r="5781">
      <c r="A5781" s="25" t="s">
        <v>18860</v>
      </c>
      <c r="B5781" s="25" t="s">
        <v>18863</v>
      </c>
      <c r="C5781" s="26" t="str">
        <f>HYPERLINK("https://audio.iskcondesiretree.com/02_-_ISKCON_Swamis/ISKCON_Swamis_-_R_to_Y/His_Holiness_Radhanath_Swami/Lectures/Russian_Translation/Parikramas/Gaur_mandal_parikrama-01/1997_Day-04_Part-03_Murari_Gupta_-_Radhanath_Swami_Mayapur.mp3", "1997_Day-04_Part-03_Murari_Gupta_-_Radhanath_Swami_Mayapur.mp3")</f>
        <v>1997_Day-04_Part-03_Murari_Gupta_-_Radhanath_Swami_Mayapur.mp3</v>
      </c>
      <c r="D5781" s="24"/>
      <c r="E5781" s="24"/>
    </row>
    <row r="5782">
      <c r="A5782" s="25" t="s">
        <v>18860</v>
      </c>
      <c r="B5782" s="25" t="s">
        <v>18863</v>
      </c>
      <c r="C5782" s="26" t="str">
        <f>HYPERLINK("https://audio.iskcondesiretree.com/02_-_ISKCON_Swamis/ISKCON_Swamis_-_R_to_Y/His_Holiness_Radhanath_Swami/Lectures/Russian_Translation/Parikramas/Gaur_mandal_parikrama-01/1997_Day-04_Part-03_Murari_Gupta_Radhanath_swami_Mayapur.mp3", "1997_Day-04_Part-03_Murari_Gupta_Radhanath_swami_Mayapur.mp3")</f>
        <v>1997_Day-04_Part-03_Murari_Gupta_Radhanath_swami_Mayapur.mp3</v>
      </c>
      <c r="D5782" s="24"/>
      <c r="E5782" s="24"/>
    </row>
    <row r="5783">
      <c r="A5783" s="25" t="s">
        <v>18860</v>
      </c>
      <c r="B5783" s="25" t="s">
        <v>18863</v>
      </c>
      <c r="C5783" s="26" t="str">
        <f>HYPERLINK("https://audio.iskcondesiretree.com/02_-_ISKCON_Swamis/ISKCON_Swamis_-_R_to_Y/His_Holiness_Radhanath_Swami/Lectures/Russian_Translation/Parikramas/Gaur_mandal_parikrama-01/1997_Day-06_Part-01_Samadhi_mandir_of_BSST_Sacinandana_swami_Mayapur.mp3", "1997_Day-06_Part-01_Samadhi_mandir_of_BSST_Sacinandana_swami_Mayapur.mp3")</f>
        <v>1997_Day-06_Part-01_Samadhi_mandir_of_BSST_Sacinandana_swami_Mayapur.mp3</v>
      </c>
      <c r="D5783" s="24"/>
      <c r="E5783" s="24"/>
    </row>
    <row r="5784">
      <c r="A5784" s="25" t="s">
        <v>18860</v>
      </c>
      <c r="B5784" s="25" t="s">
        <v>18863</v>
      </c>
      <c r="C5784" s="26" t="str">
        <f>HYPERLINK("https://audio.iskcondesiretree.com/02_-_ISKCON_Swamis/ISKCON_Swamis_-_R_to_Y/His_Holiness_Radhanath_Swami/Lectures/Russian_Translation/Parikramas/Gaur_mandal_parikrama-01/1997_Day-07_Part-01_Simantadvip_-_Radhanath_Swami_Mayapur.mp3", "1997_Day-07_Part-01_Simantadvip_-_Radhanath_Swami_Mayapur.mp3")</f>
        <v>1997_Day-07_Part-01_Simantadvip_-_Radhanath_Swami_Mayapur.mp3</v>
      </c>
      <c r="D5784" s="24"/>
      <c r="E5784" s="24"/>
    </row>
    <row r="5785">
      <c r="A5785" s="25" t="s">
        <v>18860</v>
      </c>
      <c r="B5785" s="25" t="s">
        <v>18863</v>
      </c>
      <c r="C5785" s="26" t="str">
        <f>HYPERLINK("https://audio.iskcondesiretree.com/02_-_ISKCON_Swamis/ISKCON_Swamis_-_R_to_Y/His_Holiness_Radhanath_Swami/Lectures/Russian_Translation/Parikramas/Gaur_mandal_parikrama-01/1997_Day-07_Part-02_Kolaveca_Sridhara_-_Radhanath_Swami_Mayapur.mp3", "1997_Day-07_Part-02_Kolaveca_Sridhara_-_Radhanath_Swami_Mayapur.mp3")</f>
        <v>1997_Day-07_Part-02_Kolaveca_Sridhara_-_Radhanath_Swami_Mayapur.mp3</v>
      </c>
      <c r="D5785" s="24"/>
      <c r="E5785" s="24"/>
    </row>
    <row r="5786">
      <c r="A5786" s="25" t="s">
        <v>18860</v>
      </c>
      <c r="B5786" s="25" t="s">
        <v>18863</v>
      </c>
      <c r="C5786" s="26" t="str">
        <f>HYPERLINK("https://audio.iskcondesiretree.com/02_-_ISKCON_Swamis/ISKCON_Swamis_-_R_to_Y/His_Holiness_Radhanath_Swami/Lectures/Russian_Translation/Parikramas/Gaur_mandal_parikrama-01/1997_Day-07_Part-03_Kolaveca_Sridhara_-_Jananivas_Prabhu_Mayapur.mp3", "1997_Day-07_Part-03_Kolaveca_Sridhara_-_Jananivas_Prabhu_Mayapur.mp3")</f>
        <v>1997_Day-07_Part-03_Kolaveca_Sridhara_-_Jananivas_Prabhu_Mayapur.mp3</v>
      </c>
      <c r="D5786" s="24"/>
      <c r="E5786" s="24"/>
    </row>
    <row r="5787">
      <c r="A5787" s="25" t="s">
        <v>18860</v>
      </c>
      <c r="B5787" s="25" t="s">
        <v>18863</v>
      </c>
      <c r="C5787" s="26" t="str">
        <f>HYPERLINK("https://audio.iskcondesiretree.com/02_-_ISKCON_Swamis/ISKCON_Swamis_-_R_to_Y/His_Holiness_Radhanath_Swami/Lectures/Russian_Translation/Parikramas/Gaur_mandal_parikrama-01/1997_Day-08_Part-01_Jagannatha_Appearence_-_Jananivas_Prabhu_Mayapur.mp3", "1997_Day-08_Part-01_Jagannatha_Appearence_-_Jananivas_Prabhu_Mayapur.mp3")</f>
        <v>1997_Day-08_Part-01_Jagannatha_Appearence_-_Jananivas_Prabhu_Mayapur.mp3</v>
      </c>
      <c r="D5787" s="24"/>
      <c r="E5787" s="24"/>
    </row>
    <row r="5788">
      <c r="A5788" s="25" t="s">
        <v>18860</v>
      </c>
      <c r="B5788" s="25" t="s">
        <v>18863</v>
      </c>
      <c r="C5788" s="26" t="str">
        <f>HYPERLINK("https://audio.iskcondesiretree.com/02_-_ISKCON_Swamis/ISKCON_Swamis_-_R_to_Y/His_Holiness_Radhanath_Swami/Lectures/Russian_Translation/Parikramas/Gaur_mandal_parikrama-01/1997_Day-08_Part-01_Jagannatha_appearence_Jana_Nivas_Pr_Mayapur.mp3", "1997_Day-08_Part-01_Jagannatha_appearence_Jana_Nivas_Pr_Mayapur.mp3")</f>
        <v>1997_Day-08_Part-01_Jagannatha_appearence_Jana_Nivas_Pr_Mayapur.mp3</v>
      </c>
      <c r="D5788" s="24"/>
      <c r="E5788" s="24"/>
    </row>
    <row r="5789">
      <c r="A5789" s="25" t="s">
        <v>18860</v>
      </c>
      <c r="B5789" s="25" t="s">
        <v>18863</v>
      </c>
      <c r="C5789" s="26" t="str">
        <f>HYPERLINK("https://audio.iskcondesiretree.com/02_-_ISKCON_Swamis/ISKCON_Swamis_-_R_to_Y/His_Holiness_Radhanath_Swami/Lectures/Russian_Translation/Parikramas/Gaur_mandal_parikrama-01/1997_Day-09_Part-01_Cand_Kazi_Radhanath_swami_Mayapur.mp3", "1997_Day-09_Part-01_Cand_Kazi_Radhanath_swami_Mayapur.mp3")</f>
        <v>1997_Day-09_Part-01_Cand_Kazi_Radhanath_swami_Mayapur.mp3</v>
      </c>
      <c r="D5789" s="24"/>
      <c r="E5789" s="24"/>
    </row>
    <row r="5790">
      <c r="A5790" s="25" t="s">
        <v>18860</v>
      </c>
      <c r="B5790" s="25" t="s">
        <v>18863</v>
      </c>
      <c r="C5790" s="26" t="str">
        <f>HYPERLINK("https://audio.iskcondesiretree.com/02_-_ISKCON_Swamis/ISKCON_Swamis_-_R_to_Y/His_Holiness_Radhanath_Swami/Lectures/Russian_Translation/Parikramas/Gaur_mandal_parikrama-01/1997_Day-09_Part-01_Chand_Kazi_-_Radhanath_Swami_Mayapur.mp3", "1997_Day-09_Part-01_Chand_Kazi_-_Radhanath_Swami_Mayapur.mp3")</f>
        <v>1997_Day-09_Part-01_Chand_Kazi_-_Radhanath_Swami_Mayapur.mp3</v>
      </c>
      <c r="D5790" s="24"/>
      <c r="E5790" s="24"/>
    </row>
    <row r="5791">
      <c r="A5791" s="25" t="s">
        <v>18860</v>
      </c>
      <c r="B5791" s="25" t="s">
        <v>18863</v>
      </c>
      <c r="C5791" s="26" t="str">
        <f>HYPERLINK("https://audio.iskcondesiretree.com/02_-_ISKCON_Swamis/ISKCON_Swamis_-_R_to_Y/His_Holiness_Radhanath_Swami/Lectures/Russian_Translation/Parikramas/Gaur_mandal_parikrama-01/1997_Day-10_Part-01_Surabhi_kunda_-_Radhanath_Swami_Mayapur.mp3", "1997_Day-10_Part-01_Surabhi_kunda_-_Radhanath_Swami_Mayapur.mp3")</f>
        <v>1997_Day-10_Part-01_Surabhi_kunda_-_Radhanath_Swami_Mayapur.mp3</v>
      </c>
      <c r="D5791" s="24"/>
      <c r="E5791" s="24"/>
    </row>
    <row r="5792">
      <c r="A5792" s="25" t="s">
        <v>18860</v>
      </c>
      <c r="B5792" s="25" t="s">
        <v>18863</v>
      </c>
      <c r="C5792" s="26" t="str">
        <f>HYPERLINK("https://audio.iskcondesiretree.com/02_-_ISKCON_Swamis/ISKCON_Swamis_-_R_to_Y/His_Holiness_Radhanath_Swami/Lectures/Russian_Translation/Parikramas/Gaur_mandal_parikrama-01/1997_Day-10_Part-01_Surabhi_kunj_Radhanath_swami_Mayapur.mp3", "1997_Day-10_Part-01_Surabhi_kunj_Radhanath_swami_Mayapur.mp3")</f>
        <v>1997_Day-10_Part-01_Surabhi_kunj_Radhanath_swami_Mayapur.mp3</v>
      </c>
      <c r="D5792" s="24"/>
      <c r="E5792" s="24"/>
    </row>
    <row r="5793">
      <c r="A5793" s="25" t="s">
        <v>18860</v>
      </c>
      <c r="B5793" s="25" t="s">
        <v>18863</v>
      </c>
      <c r="C5793" s="26" t="str">
        <f>HYPERLINK("https://audio.iskcondesiretree.com/02_-_ISKCON_Swamis/ISKCON_Swamis_-_R_to_Y/His_Holiness_Radhanath_Swami/Lectures/Russian_Translation/Parikramas/Gaur_mandal_parikrama-01/1997_Day-11_Part-01_Bhaktivinoda_Thakur%27s_House_-_Sacinandana_Swami_Mayapur.mp3", "1997_Day-11_Part-01_Bhaktivinoda_Thakur%27s_House_-_Sacinandana_Swami_Mayapur.mp3")</f>
        <v>1997_Day-11_Part-01_Bhaktivinoda_Thakur%27s_House_-_Sacinandana_Swami_Mayapur.mp3</v>
      </c>
      <c r="D5793" s="24"/>
      <c r="E5793" s="24"/>
    </row>
    <row r="5794">
      <c r="A5794" s="25" t="s">
        <v>18860</v>
      </c>
      <c r="B5794" s="25" t="s">
        <v>18863</v>
      </c>
      <c r="C5794" s="26" t="str">
        <f>HYPERLINK("https://audio.iskcondesiretree.com/02_-_ISKCON_Swamis/ISKCON_Swamis_-_R_to_Y/His_Holiness_Radhanath_Swami/Lectures/Russian_Translation/Parikramas/Gaur_mandal_parikrama-01/1997_Day-11_Part-01_Bhaktivinoda_Thakur_House_Sacinandana_swami_Mayapur.mp3", "1997_Day-11_Part-01_Bhaktivinoda_Thakur_House_Sacinandana_swami_Mayapur.mp3")</f>
        <v>1997_Day-11_Part-01_Bhaktivinoda_Thakur_House_Sacinandana_swami_Mayapur.mp3</v>
      </c>
      <c r="D5794" s="24"/>
      <c r="E5794" s="24"/>
    </row>
    <row r="5795">
      <c r="A5795" s="25" t="s">
        <v>18860</v>
      </c>
      <c r="B5795" s="25" t="s">
        <v>18863</v>
      </c>
      <c r="C5795" s="26" t="str">
        <f>HYPERLINK("https://audio.iskcondesiretree.com/02_-_ISKCON_Swamis/ISKCON_Swamis_-_R_to_Y/His_Holiness_Radhanath_Swami/Lectures/Russian_Translation/Parikramas/Gaur_mandal_parikrama-01/1997_Day-11_Part-02_Bhaktivinoda_Thakur%27s_House_-_Radhanath_Swami_Mayapur.mp3", "1997_Day-11_Part-02_Bhaktivinoda_Thakur%27s_House_-_Radhanath_Swami_Mayapur.mp3")</f>
        <v>1997_Day-11_Part-02_Bhaktivinoda_Thakur%27s_House_-_Radhanath_Swami_Mayapur.mp3</v>
      </c>
      <c r="D5795" s="24"/>
      <c r="E5795" s="24"/>
    </row>
    <row r="5796">
      <c r="A5796" s="25" t="s">
        <v>18860</v>
      </c>
      <c r="B5796" s="25" t="s">
        <v>18863</v>
      </c>
      <c r="C5796" s="26" t="str">
        <f>HYPERLINK("https://audio.iskcondesiretree.com/02_-_ISKCON_Swamis/ISKCON_Swamis_-_R_to_Y/His_Holiness_Radhanath_Swami/Lectures/Russian_Translation/Parikramas/Gaur_mandal_parikrama-01/1997_Day-11_Part-02_Bhaktivinoda_Thakur_House_Radhanath_swami_Mayapur.mp3", "1997_Day-11_Part-02_Bhaktivinoda_Thakur_House_Radhanath_swami_Mayapur.mp3")</f>
        <v>1997_Day-11_Part-02_Bhaktivinoda_Thakur_House_Radhanath_swami_Mayapur.mp3</v>
      </c>
      <c r="D5796" s="24"/>
      <c r="E5796" s="24"/>
    </row>
    <row r="5797">
      <c r="A5797" s="25" t="s">
        <v>18860</v>
      </c>
      <c r="B5797" s="25" t="s">
        <v>18863</v>
      </c>
      <c r="C5797" s="26" t="str">
        <f>HYPERLINK("https://audio.iskcondesiretree.com/02_-_ISKCON_Swamis/ISKCON_Swamis_-_R_to_Y/His_Holiness_Radhanath_Swami/Lectures/Russian_Translation/Parikramas/Gaur_mandal_parikrama-01/1997_Day-12_Part-01_Suvarna_vihar_-_Sacinandana_Swami_Mayapur.mp3", "1997_Day-12_Part-01_Suvarna_vihar_-_Sacinandana_Swami_Mayapur.mp3")</f>
        <v>1997_Day-12_Part-01_Suvarna_vihar_-_Sacinandana_Swami_Mayapur.mp3</v>
      </c>
      <c r="D5797" s="24"/>
      <c r="E5797" s="24"/>
    </row>
    <row r="5798">
      <c r="A5798" s="25" t="s">
        <v>18860</v>
      </c>
      <c r="B5798" s="25" t="s">
        <v>18863</v>
      </c>
      <c r="C5798" s="26" t="str">
        <f>HYPERLINK("https://audio.iskcondesiretree.com/02_-_ISKCON_Swamis/ISKCON_Swamis_-_R_to_Y/His_Holiness_Radhanath_Swami/Lectures/Russian_Translation/Parikramas/Gaur_mandal_parikrama-01/1997_Day-12_Part-01_Suvarna_vihar_Sacinandana_swami_Mayapur.mp3", "1997_Day-12_Part-01_Suvarna_vihar_Sacinandana_swami_Mayapur.mp3")</f>
        <v>1997_Day-12_Part-01_Suvarna_vihar_Sacinandana_swami_Mayapur.mp3</v>
      </c>
      <c r="D5798" s="24"/>
      <c r="E5798" s="24"/>
    </row>
    <row r="5799">
      <c r="A5799" s="25" t="s">
        <v>18860</v>
      </c>
      <c r="B5799" s="25" t="s">
        <v>18863</v>
      </c>
      <c r="C5799" s="26" t="str">
        <f>HYPERLINK("https://audio.iskcondesiretree.com/02_-_ISKCON_Swamis/ISKCON_Swamis_-_R_to_Y/His_Holiness_Radhanath_Swami/Lectures/Russian_Translation/Parikramas/Gaur_mandal_parikrama-01/1997_Day-12_Part-02_Amghat_-_Radhanath_Swami_Mayapur.mp3", "1997_Day-12_Part-02_Amghat_-_Radhanath_Swami_Mayapur.mp3")</f>
        <v>1997_Day-12_Part-02_Amghat_-_Radhanath_Swami_Mayapur.mp3</v>
      </c>
      <c r="D5799" s="24"/>
      <c r="E5799" s="24"/>
    </row>
    <row r="5800">
      <c r="A5800" s="25" t="s">
        <v>18860</v>
      </c>
      <c r="B5800" s="25" t="s">
        <v>18863</v>
      </c>
      <c r="C5800" s="26" t="str">
        <f>HYPERLINK("https://audio.iskcondesiretree.com/02_-_ISKCON_Swamis/ISKCON_Swamis_-_R_to_Y/His_Holiness_Radhanath_Swami/Lectures/Russian_Translation/Parikramas/Gaur_mandal_parikrama-01/1997_Day-12_Part-02_Amghat_Radhanath_swami_Mayapur.mp3", "1997_Day-12_Part-02_Amghat_Radhanath_swami_Mayapur.mp3")</f>
        <v>1997_Day-12_Part-02_Amghat_Radhanath_swami_Mayapur.mp3</v>
      </c>
      <c r="D5800" s="24"/>
      <c r="E5800" s="24"/>
    </row>
    <row r="5801">
      <c r="A5801" s="25" t="s">
        <v>18860</v>
      </c>
      <c r="B5801" s="25" t="s">
        <v>18863</v>
      </c>
      <c r="C5801" s="26" t="str">
        <f>HYPERLINK("https://audio.iskcondesiretree.com/02_-_ISKCON_Swamis/ISKCON_Swamis_-_R_to_Y/His_Holiness_Radhanath_Swami/Lectures/Russian_Translation/Parikramas/Gaur_mandal_parikrama-01/1997_Day-12_Part-03_Harihara_Ksetra_-_Radhanath_Swami_Mayapur.mp3", "1997_Day-12_Part-03_Harihara_Ksetra_-_Radhanath_Swami_Mayapur.mp3")</f>
        <v>1997_Day-12_Part-03_Harihara_Ksetra_-_Radhanath_Swami_Mayapur.mp3</v>
      </c>
      <c r="D5801" s="24"/>
      <c r="E5801" s="24"/>
    </row>
    <row r="5802">
      <c r="A5802" s="25" t="s">
        <v>18860</v>
      </c>
      <c r="B5802" s="25" t="s">
        <v>18863</v>
      </c>
      <c r="C5802" s="26" t="str">
        <f>HYPERLINK("https://audio.iskcondesiretree.com/02_-_ISKCON_Swamis/ISKCON_Swamis_-_R_to_Y/His_Holiness_Radhanath_Swami/Lectures/Russian_Translation/Parikramas/Gaur_mandal_parikrama-01/1997_Day-12_Part-03_Harihara_ksetra_Radhanath_swami_Mayapur.mp3", "1997_Day-12_Part-03_Harihara_ksetra_Radhanath_swami_Mayapur.mp3")</f>
        <v>1997_Day-12_Part-03_Harihara_ksetra_Radhanath_swami_Mayapur.mp3</v>
      </c>
      <c r="D5802" s="24"/>
      <c r="E5802" s="24"/>
    </row>
    <row r="5803">
      <c r="A5803" s="25" t="s">
        <v>18860</v>
      </c>
      <c r="B5803" s="25" t="s">
        <v>18863</v>
      </c>
      <c r="C5803" s="26" t="str">
        <f>HYPERLINK("https://audio.iskcondesiretree.com/02_-_ISKCON_Swamis/ISKCON_Swamis_-_R_to_Y/His_Holiness_Radhanath_Swami/Lectures/Russian_Translation/Parikramas/Gaur_mandal_parikrama-01/1997_Day-12_Part-04_Bhaja_Gauranga_-_Radhanaath_Swami_Mayapur.mp3", "1997_Day-12_Part-04_Bhaja_Gauranga_-_Radhanaath_Swami_Mayapur.mp3")</f>
        <v>1997_Day-12_Part-04_Bhaja_Gauranga_-_Radhanaath_Swami_Mayapur.mp3</v>
      </c>
      <c r="D5803" s="24"/>
      <c r="E5803" s="24"/>
    </row>
    <row r="5804">
      <c r="A5804" s="25" t="s">
        <v>18860</v>
      </c>
      <c r="B5804" s="25" t="s">
        <v>18863</v>
      </c>
      <c r="C5804" s="26" t="str">
        <f>HYPERLINK("https://audio.iskcondesiretree.com/02_-_ISKCON_Swamis/ISKCON_Swamis_-_R_to_Y/His_Holiness_Radhanath_Swami/Lectures/Russian_Translation/Parikramas/Gaur_mandal_parikrama-01/1997_Day-12_Part-04_Bhaja_Gauranga_Radhanaath_swami_Mayapur.mp3", "1997_Day-12_Part-04_Bhaja_Gauranga_Radhanaath_swami_Mayapur.mp3")</f>
        <v>1997_Day-12_Part-04_Bhaja_Gauranga_Radhanaath_swami_Mayapur.mp3</v>
      </c>
      <c r="D5804" s="24"/>
      <c r="E5804" s="24"/>
    </row>
    <row r="5805">
      <c r="A5805" s="25" t="s">
        <v>18860</v>
      </c>
      <c r="B5805" s="25" t="s">
        <v>18863</v>
      </c>
      <c r="C5805" s="26" t="str">
        <f>HYPERLINK("https://audio.iskcondesiretree.com/02_-_ISKCON_Swamis/ISKCON_Swamis_-_R_to_Y/His_Holiness_Radhanath_Swami/Lectures/Russian_Translation/Parikramas/Gaur_mandal_parikrama-01/1997_Day-13_Part-01_Mamgaci_-_Radhanath_Swami_Mayapur.mp3", "1997_Day-13_Part-01_Mamgaci_-_Radhanath_Swami_Mayapur.mp3")</f>
        <v>1997_Day-13_Part-01_Mamgaci_-_Radhanath_Swami_Mayapur.mp3</v>
      </c>
      <c r="D5805" s="24"/>
      <c r="E5805" s="24"/>
    </row>
    <row r="5806">
      <c r="A5806" s="25" t="s">
        <v>18860</v>
      </c>
      <c r="B5806" s="25" t="s">
        <v>18863</v>
      </c>
      <c r="C5806" s="26" t="str">
        <f>HYPERLINK("https://audio.iskcondesiretree.com/02_-_ISKCON_Swamis/ISKCON_Swamis_-_R_to_Y/His_Holiness_Radhanath_Swami/Lectures/Russian_Translation/Parikramas/Gaur_mandal_parikrama-01/1997_Day-13_Part-01_Mamgaci_Radhanath_swami_Mayapur.mp3", "1997_Day-13_Part-01_Mamgaci_Radhanath_swami_Mayapur.mp3")</f>
        <v>1997_Day-13_Part-01_Mamgaci_Radhanath_swami_Mayapur.mp3</v>
      </c>
      <c r="D5806" s="24"/>
      <c r="E5806" s="24"/>
    </row>
    <row r="5807">
      <c r="A5807" s="25" t="s">
        <v>18860</v>
      </c>
      <c r="B5807" s="25" t="s">
        <v>18863</v>
      </c>
      <c r="C5807" s="26" t="str">
        <f>HYPERLINK("https://audio.iskcondesiretree.com/02_-_ISKCON_Swamis/ISKCON_Swamis_-_R_to_Y/His_Holiness_Radhanath_Swami/Lectures/Russian_Translation/Parikramas/Gaur_mandal_parikrama-01/1997_Day-13_Part-02_Vasudeva_0datta_-_Radhanath_Swami_Mayapur.mp3", "1997_Day-13_Part-02_Vasudeva_0datta_-_Radhanath_Swami_Mayapur.mp3")</f>
        <v>1997_Day-13_Part-02_Vasudeva_0datta_-_Radhanath_Swami_Mayapur.mp3</v>
      </c>
      <c r="D5807" s="24"/>
      <c r="E5807" s="24"/>
    </row>
    <row r="5808">
      <c r="A5808" s="25" t="s">
        <v>18860</v>
      </c>
      <c r="B5808" s="25" t="s">
        <v>18863</v>
      </c>
      <c r="C5808" s="26" t="str">
        <f>HYPERLINK("https://audio.iskcondesiretree.com/02_-_ISKCON_Swamis/ISKCON_Swamis_-_R_to_Y/His_Holiness_Radhanath_Swami/Lectures/Russian_Translation/Parikramas/Gaur_mandal_parikrama-01/1997_Day-13_Part-03_Destroy_of_Ego_-_Sacinandana_Swami_Mayapur.mp3", "1997_Day-13_Part-03_Destroy_of_Ego_-_Sacinandana_Swami_Mayapur.mp3")</f>
        <v>1997_Day-13_Part-03_Destroy_of_Ego_-_Sacinandana_Swami_Mayapur.mp3</v>
      </c>
      <c r="D5808" s="24"/>
      <c r="E5808" s="24"/>
    </row>
    <row r="5809">
      <c r="A5809" s="25" t="s">
        <v>18860</v>
      </c>
      <c r="B5809" s="25" t="s">
        <v>18863</v>
      </c>
      <c r="C5809" s="26" t="str">
        <f>HYPERLINK("https://audio.iskcondesiretree.com/02_-_ISKCON_Swamis/ISKCON_Swamis_-_R_to_Y/His_Holiness_Radhanath_Swami/Lectures/Russian_Translation/Parikramas/Gaur_mandal_parikrama-01/1997_Day-14_Part-01_Saranga_Murari_-_Radhanath_Swami_Mayapur.mp3", "1997_Day-14_Part-01_Saranga_Murari_-_Radhanath_Swami_Mayapur.mp3")</f>
        <v>1997_Day-14_Part-01_Saranga_Murari_-_Radhanath_Swami_Mayapur.mp3</v>
      </c>
      <c r="D5809" s="24"/>
      <c r="E5809" s="24"/>
    </row>
    <row r="5810">
      <c r="A5810" s="25" t="s">
        <v>18860</v>
      </c>
      <c r="B5810" s="25" t="s">
        <v>18863</v>
      </c>
      <c r="C5810" s="26" t="str">
        <f>HYPERLINK("https://audio.iskcondesiretree.com/02_-_ISKCON_Swamis/ISKCON_Swamis_-_R_to_Y/His_Holiness_Radhanath_Swami/Lectures/Russian_Translation/Parikramas/Gaur_mandal_parikrama-01/1997_Day-14_Part-01_Saranga_Murari_radhanath_swami_Mayapur.mp3", "1997_Day-14_Part-01_Saranga_Murari_radhanath_swami_Mayapur.mp3")</f>
        <v>1997_Day-14_Part-01_Saranga_Murari_radhanath_swami_Mayapur.mp3</v>
      </c>
      <c r="D5810" s="24"/>
      <c r="E5810" s="24"/>
    </row>
    <row r="5811">
      <c r="A5811" s="25" t="s">
        <v>18860</v>
      </c>
      <c r="B5811" s="25" t="s">
        <v>18863</v>
      </c>
      <c r="C5811" s="26" t="str">
        <f>HYPERLINK("https://audio.iskcondesiretree.com/02_-_ISKCON_Swamis/ISKCON_Swamis_-_R_to_Y/His_Holiness_Radhanath_Swami/Lectures/Russian_Translation/Parikramas/Gaur_mandal_parikrama-01/1997_Day-14_Part-02_Vidyanagar_-_Radhanath_Swami_Mayapur.mp3", "1997_Day-14_Part-02_Vidyanagar_-_Radhanath_Swami_Mayapur.mp3")</f>
        <v>1997_Day-14_Part-02_Vidyanagar_-_Radhanath_Swami_Mayapur.mp3</v>
      </c>
      <c r="D5811" s="24"/>
      <c r="E5811" s="24"/>
    </row>
    <row r="5812">
      <c r="A5812" s="25" t="s">
        <v>18860</v>
      </c>
      <c r="B5812" s="25" t="s">
        <v>18863</v>
      </c>
      <c r="C5812" s="26" t="str">
        <f>HYPERLINK("https://audio.iskcondesiretree.com/02_-_ISKCON_Swamis/ISKCON_Swamis_-_R_to_Y/His_Holiness_Radhanath_Swami/Lectures/Russian_Translation/Parikramas/Gaur_mandal_parikrama-01/1997_Day-14_Part-02_Vidyanagar_Radhanath_swami_Mayapur.mp3", "1997_Day-14_Part-02_Vidyanagar_Radhanath_swami_Mayapur.mp3")</f>
        <v>1997_Day-14_Part-02_Vidyanagar_Radhanath_swami_Mayapur.mp3</v>
      </c>
      <c r="D5812" s="24"/>
      <c r="E5812" s="24"/>
    </row>
    <row r="5813">
      <c r="A5813" s="25" t="s">
        <v>18860</v>
      </c>
      <c r="B5813" s="25" t="s">
        <v>18863</v>
      </c>
      <c r="C5813" s="26" t="str">
        <f>HYPERLINK("https://audio.iskcondesiretree.com/02_-_ISKCON_Swamis/ISKCON_Swamis_-_R_to_Y/His_Holiness_Radhanath_Swami/Lectures/Russian_Translation/Parikramas/Gaur_mandal_parikrama-01/1997_Day-14_Part-03_Glories_of_Sri_Caitanya_Mahaprabhu_-_Mayapur.mp3", "1997_Day-14_Part-03_Glories_of_Sri_Caitanya_Mahaprabhu_-_Mayapur.mp3")</f>
        <v>1997_Day-14_Part-03_Glories_of_Sri_Caitanya_Mahaprabhu_-_Mayapur.mp3</v>
      </c>
      <c r="D5813" s="24"/>
      <c r="E5813" s="24"/>
    </row>
    <row r="5814">
      <c r="A5814" s="25" t="s">
        <v>18860</v>
      </c>
      <c r="B5814" s="25" t="s">
        <v>18863</v>
      </c>
      <c r="C5814" s="26" t="str">
        <f>HYPERLINK("https://audio.iskcondesiretree.com/02_-_ISKCON_Swamis/ISKCON_Swamis_-_R_to_Y/His_Holiness_Radhanath_Swami/Lectures/Russian_Translation/Parikramas/Gaur_mandal_parikrama-01/1997_Day-14_Part-03_Prabhu_Glories_of_Sri_Caitanya_Mayapur.mp3", "1997_Day-14_Part-03_Prabhu_Glories_of_Sri_Caitanya_Mayapur.mp3")</f>
        <v>1997_Day-14_Part-03_Prabhu_Glories_of_Sri_Caitanya_Mayapur.mp3</v>
      </c>
      <c r="D5814" s="24"/>
      <c r="E5814" s="24"/>
    </row>
    <row r="5815">
      <c r="A5815" s="25" t="s">
        <v>18860</v>
      </c>
      <c r="B5815" s="25" t="s">
        <v>18863</v>
      </c>
      <c r="C5815" s="26" t="str">
        <f>HYPERLINK("https://audio.iskcondesiretree.com/02_-_ISKCON_Swamis/ISKCON_Swamis_-_R_to_Y/His_Holiness_Radhanath_Swami/Lectures/Russian_Translation/Parikramas/Gaur_mandal_parikrama-01/1997_Day-14_Part-04_Campahati_-_Radhanath_Swami_Mayapur.mp3", "1997_Day-14_Part-04_Campahati_-_Radhanath_Swami_Mayapur.mp3")</f>
        <v>1997_Day-14_Part-04_Campahati_-_Radhanath_Swami_Mayapur.mp3</v>
      </c>
      <c r="D5815" s="24"/>
      <c r="E5815" s="24"/>
    </row>
    <row r="5816">
      <c r="A5816" s="25" t="s">
        <v>18860</v>
      </c>
      <c r="B5816" s="25" t="s">
        <v>18863</v>
      </c>
      <c r="C5816" s="26" t="str">
        <f>HYPERLINK("https://audio.iskcondesiretree.com/02_-_ISKCON_Swamis/ISKCON_Swamis_-_R_to_Y/His_Holiness_Radhanath_Swami/Lectures/Russian_Translation/Parikramas/Gaur_mandal_parikrama-01/1997_Day-14_Part-04_Campahati_Radhanath_swami_Mayapur.mp3", "1997_Day-14_Part-04_Campahati_Radhanath_swami_Mayapur.mp3")</f>
        <v>1997_Day-14_Part-04_Campahati_Radhanath_swami_Mayapur.mp3</v>
      </c>
      <c r="D5816" s="24"/>
      <c r="E5816" s="24"/>
    </row>
    <row r="5817">
      <c r="A5817" s="25" t="s">
        <v>18860</v>
      </c>
      <c r="B5817" s="25" t="s">
        <v>18863</v>
      </c>
      <c r="C5817" s="26" t="str">
        <f>HYPERLINK("https://audio.iskcondesiretree.com/02_-_ISKCON_Swamis/ISKCON_Swamis_-_R_to_Y/His_Holiness_Radhanath_Swami/Lectures/Russian_Translation/Parikramas/Gaur_mandal_parikrama-01/1997_Day-15_Part-01_Vishnupriya_Devi_-_Radhanath_Swami_Mayapur.mp3", "1997_Day-15_Part-01_Vishnupriya_Devi_-_Radhanath_Swami_Mayapur.mp3")</f>
        <v>1997_Day-15_Part-01_Vishnupriya_Devi_-_Radhanath_Swami_Mayapur.mp3</v>
      </c>
      <c r="D5817" s="24"/>
      <c r="E5817" s="24"/>
    </row>
    <row r="5818">
      <c r="A5818" s="25" t="s">
        <v>18860</v>
      </c>
      <c r="B5818" s="25" t="s">
        <v>18863</v>
      </c>
      <c r="C5818" s="26" t="str">
        <f>HYPERLINK("https://audio.iskcondesiretree.com/02_-_ISKCON_Swamis/ISKCON_Swamis_-_R_to_Y/His_Holiness_Radhanath_Swami/Lectures/Russian_Translation/Parikramas/Gaur_mandal_parikrama-01/1997_Day-15_Part-01_Visnupriya_devi_Radhanath_swami_Mayapur.mp3", "1997_Day-15_Part-01_Visnupriya_devi_Radhanath_swami_Mayapur.mp3")</f>
        <v>1997_Day-15_Part-01_Visnupriya_devi_Radhanath_swami_Mayapur.mp3</v>
      </c>
      <c r="D5818" s="24"/>
      <c r="E5818" s="24"/>
    </row>
    <row r="5819">
      <c r="A5819" s="25" t="s">
        <v>18860</v>
      </c>
      <c r="B5819" s="25" t="s">
        <v>18863</v>
      </c>
      <c r="C5819" s="26" t="str">
        <f>HYPERLINK("https://audio.iskcondesiretree.com/02_-_ISKCON_Swamis/ISKCON_Swamis_-_R_to_Y/His_Holiness_Radhanath_Swami/Lectures/Russian_Translation/Parikramas/Gaur_mandal_parikrama-01/1997_Day-15_Part-02_Praudha_Maya_-_Sacinandana_Swami_Mayapur.mp3", "1997_Day-15_Part-02_Praudha_Maya_-_Sacinandana_Swami_Mayapur.mp3")</f>
        <v>1997_Day-15_Part-02_Praudha_Maya_-_Sacinandana_Swami_Mayapur.mp3</v>
      </c>
      <c r="D5819" s="24"/>
      <c r="E5819" s="24"/>
    </row>
    <row r="5820">
      <c r="A5820" s="25" t="s">
        <v>18860</v>
      </c>
      <c r="B5820" s="25" t="s">
        <v>18863</v>
      </c>
      <c r="C5820" s="26" t="str">
        <f>HYPERLINK("https://audio.iskcondesiretree.com/02_-_ISKCON_Swamis/ISKCON_Swamis_-_R_to_Y/His_Holiness_Radhanath_Swami/Lectures/Russian_Translation/Parikramas/Gaur_mandal_parikrama-01/1997_Day-15_Part-02_Praudha_maya_Sacinandana_swami_Mayapur.mp3", "1997_Day-15_Part-02_Praudha_maya_Sacinandana_swami_Mayapur.mp3")</f>
        <v>1997_Day-15_Part-02_Praudha_maya_Sacinandana_swami_Mayapur.mp3</v>
      </c>
      <c r="D5820" s="24"/>
      <c r="E5820" s="24"/>
    </row>
    <row r="5821">
      <c r="A5821" s="25" t="s">
        <v>18860</v>
      </c>
      <c r="B5821" s="25" t="s">
        <v>18863</v>
      </c>
      <c r="C5821" s="26" t="str">
        <f>HYPERLINK("https://audio.iskcondesiretree.com/02_-_ISKCON_Swamis/ISKCON_Swamis_-_R_to_Y/His_Holiness_Radhanath_Swami/Lectures/Russian_Translation/Parikramas/Gaur_mandal_parikrama-01/1997_Day-15_Part-03_Govinda_Jaya_Jaya_-_Radhanath_Swami_Mayapur.mp3", "1997_Day-15_Part-03_Govinda_Jaya_Jaya_-_Radhanath_Swami_Mayapur.mp3")</f>
        <v>1997_Day-15_Part-03_Govinda_Jaya_Jaya_-_Radhanath_Swami_Mayapur.mp3</v>
      </c>
      <c r="D5821" s="24"/>
      <c r="E5821" s="24"/>
    </row>
    <row r="5822">
      <c r="A5822" s="25" t="s">
        <v>18860</v>
      </c>
      <c r="B5822" s="25" t="s">
        <v>18863</v>
      </c>
      <c r="C5822" s="26" t="str">
        <f>HYPERLINK("https://audio.iskcondesiretree.com/02_-_ISKCON_Swamis/ISKCON_Swamis_-_R_to_Y/His_Holiness_Radhanath_Swami/Lectures/Russian_Translation/Parikramas/Gaur_mandal_parikrama-01/1997_Day-15_Part-03_Govinda_Jaya_Jaya_Radhanath_swami_Mayapur.mp3", "1997_Day-15_Part-03_Govinda_Jaya_Jaya_Radhanath_swami_Mayapur.mp3")</f>
        <v>1997_Day-15_Part-03_Govinda_Jaya_Jaya_Radhanath_swami_Mayapur.mp3</v>
      </c>
      <c r="D5822" s="24"/>
      <c r="E5822" s="24"/>
    </row>
    <row r="5823">
      <c r="A5823" s="25" t="s">
        <v>18860</v>
      </c>
      <c r="B5823" s="25" t="s">
        <v>18863</v>
      </c>
      <c r="C5823" s="26" t="str">
        <f>HYPERLINK("https://audio.iskcondesiretree.com/02_-_ISKCON_Swamis/ISKCON_Swamis_-_R_to_Y/His_Holiness_Radhanath_Swami/Lectures/Russian_Translation/Parikramas/Gaur_mandal_parikrama-02/1997_Day-01_Part-01_Ramakeli_-_Radhanath_Swami_Mayapur.mp3", "1997_Day-01_Part-01_Ramakeli_-_Radhanath_Swami_Mayapur.mp3")</f>
        <v>1997_Day-01_Part-01_Ramakeli_-_Radhanath_Swami_Mayapur.mp3</v>
      </c>
      <c r="D5823" s="24"/>
      <c r="E5823" s="24"/>
    </row>
    <row r="5824">
      <c r="A5824" s="25" t="s">
        <v>18860</v>
      </c>
      <c r="B5824" s="25" t="s">
        <v>18863</v>
      </c>
      <c r="C5824" s="26" t="str">
        <f>HYPERLINK("https://audio.iskcondesiretree.com/02_-_ISKCON_Swamis/ISKCON_Swamis_-_R_to_Y/His_Holiness_Radhanath_Swami/Lectures/Russian_Translation/Parikramas/Gaur_mandal_parikrama-02/1997_Day-01_Part-02_Bhajans_-_Radhanath_Swami_Mayapur.mp3", "1997_Day-01_Part-02_Bhajans_-_Radhanath_Swami_Mayapur.mp3")</f>
        <v>1997_Day-01_Part-02_Bhajans_-_Radhanath_Swami_Mayapur.mp3</v>
      </c>
      <c r="D5824" s="24"/>
      <c r="E5824" s="24"/>
    </row>
    <row r="5825">
      <c r="A5825" s="25" t="s">
        <v>18860</v>
      </c>
      <c r="B5825" s="25" t="s">
        <v>18863</v>
      </c>
      <c r="C5825" s="26" t="str">
        <f>HYPERLINK("https://audio.iskcondesiretree.com/02_-_ISKCON_Swamis/ISKCON_Swamis_-_R_to_Y/His_Holiness_Radhanath_Swami/Lectures/Russian_Translation/Parikramas/Gaur_mandal_parikrama-02/1997_Day-01_Part-02_Bhajans_Radhanath_swami_Mayapur.mp3", "1997_Day-01_Part-02_Bhajans_Radhanath_swami_Mayapur.mp3")</f>
        <v>1997_Day-01_Part-02_Bhajans_Radhanath_swami_Mayapur.mp3</v>
      </c>
      <c r="D5825" s="24"/>
      <c r="E5825" s="24"/>
    </row>
    <row r="5826">
      <c r="A5826" s="25" t="s">
        <v>18860</v>
      </c>
      <c r="B5826" s="25" t="s">
        <v>18863</v>
      </c>
      <c r="C5826" s="26" t="str">
        <f>HYPERLINK("https://audio.iskcondesiretree.com/02_-_ISKCON_Swamis/ISKCON_Swamis_-_R_to_Y/His_Holiness_Radhanath_Swami/Lectures/Russian_Translation/Parikramas/Gaur_mandal_parikrama-02/1997_Day-01_Part-03_Prabhu_Sanatana_Goswami_Mayapur.mp3", "1997_Day-01_Part-03_Prabhu_Sanatana_Goswami_Mayapur.mp3")</f>
        <v>1997_Day-01_Part-03_Prabhu_Sanatana_Goswami_Mayapur.mp3</v>
      </c>
      <c r="D5826" s="24"/>
      <c r="E5826" s="24"/>
    </row>
    <row r="5827">
      <c r="A5827" s="25" t="s">
        <v>18860</v>
      </c>
      <c r="B5827" s="25" t="s">
        <v>18863</v>
      </c>
      <c r="C5827" s="26" t="str">
        <f>HYPERLINK("https://audio.iskcondesiretree.com/02_-_ISKCON_Swamis/ISKCON_Swamis_-_R_to_Y/His_Holiness_Radhanath_Swami/Lectures/Russian_Translation/Parikramas/Gaur_mandal_parikrama-02/1997_Day-01_Part-03_Sanatana_Goswami_-_Radhanath_Swami_Mayapur.mp3", "1997_Day-01_Part-03_Sanatana_Goswami_-_Radhanath_Swami_Mayapur.mp3")</f>
        <v>1997_Day-01_Part-03_Sanatana_Goswami_-_Radhanath_Swami_Mayapur.mp3</v>
      </c>
      <c r="D5827" s="24"/>
      <c r="E5827" s="24"/>
    </row>
    <row r="5828">
      <c r="A5828" s="25" t="s">
        <v>18860</v>
      </c>
      <c r="B5828" s="25" t="s">
        <v>18863</v>
      </c>
      <c r="C5828" s="26" t="str">
        <f>HYPERLINK("https://audio.iskcondesiretree.com/02_-_ISKCON_Swamis/ISKCON_Swamis_-_R_to_Y/His_Holiness_Radhanath_Swami/Lectures/Russian_Translation/Parikramas/Gaur_mandal_parikrama-02/1997_Day-02_Part-01_Govardhana_kirtan_-_Radhanath_Swami_Mayapur.mp3", "1997_Day-02_Part-01_Govardhana_kirtan_-_Radhanath_Swami_Mayapur.mp3")</f>
        <v>1997_Day-02_Part-01_Govardhana_kirtan_-_Radhanath_Swami_Mayapur.mp3</v>
      </c>
      <c r="D5828" s="24"/>
      <c r="E5828" s="24"/>
    </row>
    <row r="5829">
      <c r="A5829" s="25" t="s">
        <v>18860</v>
      </c>
      <c r="B5829" s="25" t="s">
        <v>18863</v>
      </c>
      <c r="C5829" s="26" t="str">
        <f>HYPERLINK("https://audio.iskcondesiretree.com/02_-_ISKCON_Swamis/ISKCON_Swamis_-_R_to_Y/His_Holiness_Radhanath_Swami/Lectures/Russian_Translation/Parikramas/Gaur_mandal_parikrama-02/1997_Day-02_Part-01_Govardhana_kirtan_Radhanath_swami_Mayapur.mp3", "1997_Day-02_Part-01_Govardhana_kirtan_Radhanath_swami_Mayapur.mp3")</f>
        <v>1997_Day-02_Part-01_Govardhana_kirtan_Radhanath_swami_Mayapur.mp3</v>
      </c>
      <c r="D5829" s="24"/>
      <c r="E5829" s="24"/>
    </row>
    <row r="5830">
      <c r="A5830" s="25" t="s">
        <v>18860</v>
      </c>
      <c r="B5830" s="25" t="s">
        <v>18863</v>
      </c>
      <c r="C5830" s="26" t="str">
        <f>HYPERLINK("https://audio.iskcondesiretree.com/02_-_ISKCON_Swamis/ISKCON_Swamis_-_R_to_Y/His_Holiness_Radhanath_Swami/Lectures/Russian_Translation/Parikramas/Gaur_mandal_parikrama-02/1997_Day-02_Part-01_Govardhana_lila_-_Radhanath_Swami_Mayapur.mp3", "1997_Day-02_Part-01_Govardhana_lila_-_Radhanath_Swami_Mayapur.mp3")</f>
        <v>1997_Day-02_Part-01_Govardhana_lila_-_Radhanath_Swami_Mayapur.mp3</v>
      </c>
      <c r="D5830" s="24"/>
      <c r="E5830" s="24"/>
    </row>
    <row r="5831">
      <c r="A5831" s="25" t="s">
        <v>18860</v>
      </c>
      <c r="B5831" s="25" t="s">
        <v>18863</v>
      </c>
      <c r="C5831" s="26" t="str">
        <f>HYPERLINK("https://audio.iskcondesiretree.com/02_-_ISKCON_Swamis/ISKCON_Swamis_-_R_to_Y/His_Holiness_Radhanath_Swami/Lectures/Russian_Translation/Parikramas/Gaur_mandal_parikrama-02/1997_Day-02_Part-01_Govardhana_lila_Radhanath_swami_Mayapur.mp3", "1997_Day-02_Part-01_Govardhana_lila_Radhanath_swami_Mayapur.mp3")</f>
        <v>1997_Day-02_Part-01_Govardhana_lila_Radhanath_swami_Mayapur.mp3</v>
      </c>
      <c r="D5831" s="24"/>
      <c r="E5831" s="24"/>
    </row>
    <row r="5832">
      <c r="A5832" s="25" t="s">
        <v>18860</v>
      </c>
      <c r="B5832" s="25" t="s">
        <v>18863</v>
      </c>
      <c r="C5832" s="26" t="str">
        <f>HYPERLINK("https://audio.iskcondesiretree.com/02_-_ISKCON_Swamis/ISKCON_Swamis_-_R_to_Y/His_Holiness_Radhanath_Swami/Lectures/Russian_Translation/Parikramas/Gaur_mandal_parikrama-02/1997_Day-02_Part-02_Govardhana_lila_-_Radhanath_Swami_Mayapur.mp3", "1997_Day-02_Part-02_Govardhana_lila_-_Radhanath_Swami_Mayapur.mp3")</f>
        <v>1997_Day-02_Part-02_Govardhana_lila_-_Radhanath_Swami_Mayapur.mp3</v>
      </c>
      <c r="D5832" s="24"/>
      <c r="E5832" s="24"/>
    </row>
    <row r="5833">
      <c r="A5833" s="25" t="s">
        <v>18860</v>
      </c>
      <c r="B5833" s="25" t="s">
        <v>18863</v>
      </c>
      <c r="C5833" s="26" t="str">
        <f>HYPERLINK("https://audio.iskcondesiretree.com/02_-_ISKCON_Swamis/ISKCON_Swamis_-_R_to_Y/His_Holiness_Radhanath_Swami/Lectures/Russian_Translation/Parikramas/Gaur_mandal_parikrama-02/1997_Day-02_Part-02_Govardhana_lila_Radhanath_swami_Mayapur.mp3", "1997_Day-02_Part-02_Govardhana_lila_Radhanath_swami_Mayapur.mp3")</f>
        <v>1997_Day-02_Part-02_Govardhana_lila_Radhanath_swami_Mayapur.mp3</v>
      </c>
      <c r="D5833" s="24"/>
      <c r="E5833" s="24"/>
    </row>
    <row r="5834">
      <c r="A5834" s="25" t="s">
        <v>18860</v>
      </c>
      <c r="B5834" s="25" t="s">
        <v>18863</v>
      </c>
      <c r="C5834" s="26" t="str">
        <f>HYPERLINK("https://audio.iskcondesiretree.com/02_-_ISKCON_Swamis/ISKCON_Swamis_-_R_to_Y/His_Holiness_Radhanath_Swami/Lectures/Russian_Translation/Parikramas/Gaur_mandal_parikrama-02/1997_Day-03_Part-01_kirtan_in_Kanainatshala_-_Sacinandana_Swami_Mayapur.mp3", "1997_Day-03_Part-01_kirtan_in_Kanainatshala_-_Sacinandana_Swami_Mayapur.mp3")</f>
        <v>1997_Day-03_Part-01_kirtan_in_Kanainatshala_-_Sacinandana_Swami_Mayapur.mp3</v>
      </c>
      <c r="D5834" s="24"/>
      <c r="E5834" s="24"/>
    </row>
    <row r="5835">
      <c r="A5835" s="25" t="s">
        <v>18860</v>
      </c>
      <c r="B5835" s="25" t="s">
        <v>18863</v>
      </c>
      <c r="C5835" s="26" t="str">
        <f>HYPERLINK("https://audio.iskcondesiretree.com/02_-_ISKCON_Swamis/ISKCON_Swamis_-_R_to_Y/His_Holiness_Radhanath_Swami/Lectures/Russian_Translation/Parikramas/Gaur_mandal_parikrama-02/1997_Day-03_Part-01_kirtan_in_Kanainatshala_Sacinandana_swami_Mayapur.mp3", "1997_Day-03_Part-01_kirtan_in_Kanainatshala_Sacinandana_swami_Mayapur.mp3")</f>
        <v>1997_Day-03_Part-01_kirtan_in_Kanainatshala_Sacinandana_swami_Mayapur.mp3</v>
      </c>
      <c r="D5835" s="24"/>
      <c r="E5835" s="24"/>
    </row>
    <row r="5836">
      <c r="A5836" s="25" t="s">
        <v>18860</v>
      </c>
      <c r="B5836" s="25" t="s">
        <v>18863</v>
      </c>
      <c r="C5836" s="26" t="str">
        <f>HYPERLINK("https://audio.iskcondesiretree.com/02_-_ISKCON_Swamis/ISKCON_Swamis_-_R_to_Y/His_Holiness_Radhanath_Swami/Lectures/Russian_Translation/Parikramas/Gaur_mandal_parikrama-02/1997_Day-03_Part-02_Kanainatshala_-_Radhanath_Swami_Mayapur.mp3", "1997_Day-03_Part-02_Kanainatshala_-_Radhanath_Swami_Mayapur.mp3")</f>
        <v>1997_Day-03_Part-02_Kanainatshala_-_Radhanath_Swami_Mayapur.mp3</v>
      </c>
      <c r="D5836" s="24"/>
      <c r="E5836" s="24"/>
    </row>
    <row r="5837">
      <c r="A5837" s="25" t="s">
        <v>18860</v>
      </c>
      <c r="B5837" s="25" t="s">
        <v>18863</v>
      </c>
      <c r="C5837" s="26" t="str">
        <f>HYPERLINK("https://audio.iskcondesiretree.com/02_-_ISKCON_Swamis/ISKCON_Swamis_-_R_to_Y/His_Holiness_Radhanath_Swami/Lectures/Russian_Translation/Parikramas/Gaur_mandal_parikrama-02/1997_Day-03_Part-02_Kanainatshala_Radhanath_swami_Mayapur.mp3", "1997_Day-03_Part-02_Kanainatshala_Radhanath_swami_Mayapur.mp3")</f>
        <v>1997_Day-03_Part-02_Kanainatshala_Radhanath_swami_Mayapur.mp3</v>
      </c>
      <c r="D5837" s="24"/>
      <c r="E5837" s="24"/>
    </row>
    <row r="5838">
      <c r="A5838" s="25" t="s">
        <v>18860</v>
      </c>
      <c r="B5838" s="25" t="s">
        <v>18863</v>
      </c>
      <c r="C5838" s="26" t="str">
        <f>HYPERLINK("https://audio.iskcondesiretree.com/02_-_ISKCON_Swamis/ISKCON_Swamis_-_R_to_Y/His_Holiness_Radhanath_Swami/Lectures/Russian_Translation/Parikramas/Gaur_mandal_parikrama-02/1997_Day-04_Part-02_Govardhan_-_Radhanath_Swami_Mayapur.mp3", "1997_Day-04_Part-02_Govardhan_-_Radhanath_Swami_Mayapur.mp3")</f>
        <v>1997_Day-04_Part-02_Govardhan_-_Radhanath_Swami_Mayapur.mp3</v>
      </c>
      <c r="D5838" s="24"/>
      <c r="E5838" s="24"/>
    </row>
    <row r="5839">
      <c r="A5839" s="25" t="s">
        <v>18860</v>
      </c>
      <c r="B5839" s="25" t="s">
        <v>18863</v>
      </c>
      <c r="C5839" s="26" t="str">
        <f>HYPERLINK("https://audio.iskcondesiretree.com/02_-_ISKCON_Swamis/ISKCON_Swamis_-_R_to_Y/His_Holiness_Radhanath_Swami/Lectures/Russian_Translation/Parikramas/Gaur_mandal_parikrama-02/1997_Day-04_Part-02_Govardhan_Radhanath_swami_Mayapur.mp3", "1997_Day-04_Part-02_Govardhan_Radhanath_swami_Mayapur.mp3")</f>
        <v>1997_Day-04_Part-02_Govardhan_Radhanath_swami_Mayapur.mp3</v>
      </c>
      <c r="D5839" s="24"/>
      <c r="E5839" s="24"/>
    </row>
    <row r="5840">
      <c r="A5840" s="25" t="s">
        <v>18860</v>
      </c>
      <c r="B5840" s="25" t="s">
        <v>18863</v>
      </c>
      <c r="C5840" s="26" t="str">
        <f>HYPERLINK("https://audio.iskcondesiretree.com/02_-_ISKCON_Swamis/ISKCON_Swamis_-_R_to_Y/His_Holiness_Radhanath_Swami/Lectures/Russian_Translation/Parikramas/Gaur_mandal_parikrama-02/1997_Day-05_Part-01_Games_Nitai_-_Radhanath_Swami_Mayapur.mp3", "1997_Day-05_Part-01_Games_Nitai_-_Radhanath_Swami_Mayapur.mp3")</f>
        <v>1997_Day-05_Part-01_Games_Nitai_-_Radhanath_Swami_Mayapur.mp3</v>
      </c>
      <c r="D5840" s="24"/>
      <c r="E5840" s="24"/>
    </row>
    <row r="5841">
      <c r="A5841" s="25" t="s">
        <v>18860</v>
      </c>
      <c r="B5841" s="25" t="s">
        <v>18863</v>
      </c>
      <c r="C5841" s="26" t="str">
        <f>HYPERLINK("https://audio.iskcondesiretree.com/02_-_ISKCON_Swamis/ISKCON_Swamis_-_R_to_Y/His_Holiness_Radhanath_Swami/Lectures/Russian_Translation/Parikramas/Gaur_mandal_parikrama-02/1997_Day-05_Part-01_Games_Nitai_Radhanath_swami_Mayapur.mp3", "1997_Day-05_Part-01_Games_Nitai_Radhanath_swami_Mayapur.mp3")</f>
        <v>1997_Day-05_Part-01_Games_Nitai_Radhanath_swami_Mayapur.mp3</v>
      </c>
      <c r="D5841" s="24"/>
      <c r="E5841" s="24"/>
    </row>
    <row r="5842">
      <c r="A5842" s="25" t="s">
        <v>18860</v>
      </c>
      <c r="B5842" s="25" t="s">
        <v>18863</v>
      </c>
      <c r="C5842" s="26" t="str">
        <f>HYPERLINK("https://audio.iskcondesiretree.com/02_-_ISKCON_Swamis/ISKCON_Swamis_-_R_to_Y/His_Holiness_Radhanath_Swami/Lectures/Russian_Translation/Parikramas/Gaur_mandal_parikrama-02/1997_Day-05_Part-02_Games_Nitai_-_Radhanath_Swami_Mayapur.mp3", "1997_Day-05_Part-02_Games_Nitai_-_Radhanath_Swami_Mayapur.mp3")</f>
        <v>1997_Day-05_Part-02_Games_Nitai_-_Radhanath_Swami_Mayapur.mp3</v>
      </c>
      <c r="D5842" s="24"/>
      <c r="E5842" s="24"/>
    </row>
    <row r="5843">
      <c r="A5843" s="25" t="s">
        <v>18860</v>
      </c>
      <c r="B5843" s="25" t="s">
        <v>18863</v>
      </c>
      <c r="C5843" s="26" t="str">
        <f>HYPERLINK("https://audio.iskcondesiretree.com/02_-_ISKCON_Swamis/ISKCON_Swamis_-_R_to_Y/His_Holiness_Radhanath_Swami/Lectures/Russian_Translation/Parikramas/Gaur_mandal_parikrama-02/1997_Day-05_Part-02_Games_Nitai_Radhanath_swami_Mayapur.mp3", "1997_Day-05_Part-02_Games_Nitai_Radhanath_swami_Mayapur.mp3")</f>
        <v>1997_Day-05_Part-02_Games_Nitai_Radhanath_swami_Mayapur.mp3</v>
      </c>
      <c r="D5843" s="24"/>
      <c r="E5843" s="24"/>
    </row>
    <row r="5844">
      <c r="A5844" s="25" t="s">
        <v>18860</v>
      </c>
      <c r="B5844" s="25" t="s">
        <v>18863</v>
      </c>
      <c r="C5844" s="26" t="str">
        <f>HYPERLINK("https://audio.iskcondesiretree.com/02_-_ISKCON_Swamis/ISKCON_Swamis_-_R_to_Y/His_Holiness_Radhanath_Swami/Lectures/Russian_Translation/Parikramas/Gaur_mandal_parikrama-02/1997_Day-06_Part-01_Life_Nityananda_-_Radhanath_Swami_Mayapur.mp3", "1997_Day-06_Part-01_Life_Nityananda_-_Radhanath_Swami_Mayapur.mp3")</f>
        <v>1997_Day-06_Part-01_Life_Nityananda_-_Radhanath_Swami_Mayapur.mp3</v>
      </c>
      <c r="D5844" s="24"/>
      <c r="E5844" s="24"/>
    </row>
    <row r="5845">
      <c r="A5845" s="25" t="s">
        <v>18860</v>
      </c>
      <c r="B5845" s="25" t="s">
        <v>18863</v>
      </c>
      <c r="C5845" s="26" t="str">
        <f>HYPERLINK("https://audio.iskcondesiretree.com/02_-_ISKCON_Swamis/ISKCON_Swamis_-_R_to_Y/His_Holiness_Radhanath_Swami/Lectures/Russian_Translation/Parikramas/Gaur_mandal_parikrama-02/1997_Day-06_Part-01_Life_Nityananda_Radhanath_swami_Mayapur.mp3", "1997_Day-06_Part-01_Life_Nityananda_Radhanath_swami_Mayapur.mp3")</f>
        <v>1997_Day-06_Part-01_Life_Nityananda_Radhanath_swami_Mayapur.mp3</v>
      </c>
      <c r="D5845" s="24"/>
      <c r="E5845" s="24"/>
    </row>
    <row r="5846">
      <c r="A5846" s="25" t="s">
        <v>18860</v>
      </c>
      <c r="B5846" s="25" t="s">
        <v>18863</v>
      </c>
      <c r="C5846" s="26" t="str">
        <f>HYPERLINK("https://audio.iskcondesiretree.com/02_-_ISKCON_Swamis/ISKCON_Swamis_-_R_to_Y/His_Holiness_Radhanath_Swami/Lectures/Russian_Translation/Parikramas/Gaur_mandal_parikrama-02/1997_Day-06_Part-02_Exemption_Dzhagaya_and_Madhaya_Sacinandana_swami_Mayapur.mp3", "1997_Day-06_Part-02_Exemption_Dzhagaya_and_Madhaya_Sacinandana_swami_Mayapur.mp3")</f>
        <v>1997_Day-06_Part-02_Exemption_Dzhagaya_and_Madhaya_Sacinandana_swami_Mayapur.mp3</v>
      </c>
      <c r="D5846" s="24"/>
      <c r="E5846" s="24"/>
    </row>
    <row r="5847">
      <c r="A5847" s="25" t="s">
        <v>18860</v>
      </c>
      <c r="B5847" s="25" t="s">
        <v>18863</v>
      </c>
      <c r="C5847" s="26" t="str">
        <f>HYPERLINK("https://audio.iskcondesiretree.com/02_-_ISKCON_Swamis/ISKCON_Swamis_-_R_to_Y/His_Holiness_Radhanath_Swami/Lectures/Russian_Translation/Parikramas/Gaur_mandal_parikrama-02/1997_Day-06_Part-02_Exemption_Jaghai_and_Madhai_-_Sacinandana_Swami_Mayapur.mp3", "1997_Day-06_Part-02_Exemption_Jaghai_and_Madhai_-_Sacinandana_Swami_Mayapur.mp3")</f>
        <v>1997_Day-06_Part-02_Exemption_Jaghai_and_Madhai_-_Sacinandana_Swami_Mayapur.mp3</v>
      </c>
      <c r="D5847" s="24"/>
      <c r="E5847" s="24"/>
    </row>
    <row r="5848">
      <c r="A5848" s="25" t="s">
        <v>18860</v>
      </c>
      <c r="B5848" s="25" t="s">
        <v>18863</v>
      </c>
      <c r="C5848" s="26" t="str">
        <f>HYPERLINK("https://audio.iskcondesiretree.com/02_-_ISKCON_Swamis/ISKCON_Swamis_-_R_to_Y/His_Holiness_Radhanath_Swami/Lectures/Russian_Translation/Parikramas/Gaur_mandal_parikrama-02/1997_Day-06_Part-03_Nityananda_Rama_kirtan_-_Sacinandana_Swami_Mayapur.mp3", "1997_Day-06_Part-03_Nityananda_Rama_kirtan_-_Sacinandana_Swami_Mayapur.mp3")</f>
        <v>1997_Day-06_Part-03_Nityananda_Rama_kirtan_-_Sacinandana_Swami_Mayapur.mp3</v>
      </c>
      <c r="D5848" s="24"/>
      <c r="E5848" s="24"/>
    </row>
    <row r="5849">
      <c r="A5849" s="25" t="s">
        <v>18860</v>
      </c>
      <c r="B5849" s="25" t="s">
        <v>18863</v>
      </c>
      <c r="C5849" s="26" t="str">
        <f>HYPERLINK("https://audio.iskcondesiretree.com/02_-_ISKCON_Swamis/ISKCON_Swamis_-_R_to_Y/His_Holiness_Radhanath_Swami/Lectures/Russian_Translation/Parikramas/Gaur_mandal_parikrama-02/1997_Day-06_Part-03_Nityananda_Rama_kirtan_Sacinandana_swami_Mayapur.mp3", "1997_Day-06_Part-03_Nityananda_Rama_kirtan_Sacinandana_swami_Mayapur.mp3")</f>
        <v>1997_Day-06_Part-03_Nityananda_Rama_kirtan_Sacinandana_swami_Mayapur.mp3</v>
      </c>
      <c r="D5849" s="24"/>
      <c r="E5849" s="24"/>
    </row>
    <row r="5850">
      <c r="A5850" s="25" t="s">
        <v>18860</v>
      </c>
      <c r="B5850" s="25" t="s">
        <v>18863</v>
      </c>
      <c r="C5850" s="26" t="str">
        <f>HYPERLINK("https://audio.iskcondesiretree.com/02_-_ISKCON_Swamis/ISKCON_Swamis_-_R_to_Y/His_Holiness_Radhanath_Swami/Lectures/Russian_Translation/Parikramas/Gaur_mandal_parikrama-02/1997_Day-06_Part-04_The_Mercy_of_Nityananda_-_Sacinandana_Swami_Mayapur.mp3", "1997_Day-06_Part-04_The_Mercy_of_Nityananda_-_Sacinandana_Swami_Mayapur.mp3")</f>
        <v>1997_Day-06_Part-04_The_Mercy_of_Nityananda_-_Sacinandana_Swami_Mayapur.mp3</v>
      </c>
      <c r="D5850" s="24"/>
      <c r="E5850" s="24"/>
    </row>
    <row r="5851">
      <c r="A5851" s="25" t="s">
        <v>18860</v>
      </c>
      <c r="B5851" s="25" t="s">
        <v>18863</v>
      </c>
      <c r="C5851" s="26" t="str">
        <f>HYPERLINK("https://audio.iskcondesiretree.com/02_-_ISKCON_Swamis/ISKCON_Swamis_-_R_to_Y/His_Holiness_Radhanath_Swami/Lectures/Russian_Translation/Parikramas/Gaur_mandal_parikrama-02/1997_Day-06_Part-04_The_mercy_of_Nityananda_Sacinandana_swami_Mayapur.mp3", "1997_Day-06_Part-04_The_mercy_of_Nityananda_Sacinandana_swami_Mayapur.mp3")</f>
        <v>1997_Day-06_Part-04_The_mercy_of_Nityananda_Sacinandana_swami_Mayapur.mp3</v>
      </c>
      <c r="D5851" s="24"/>
      <c r="E5851" s="24"/>
    </row>
    <row r="5852">
      <c r="A5852" s="25" t="s">
        <v>18860</v>
      </c>
      <c r="B5852" s="25" t="s">
        <v>18863</v>
      </c>
      <c r="C5852" s="26" t="str">
        <f>HYPERLINK("https://audio.iskcondesiretree.com/02_-_ISKCON_Swamis/ISKCON_Swamis_-_R_to_Y/His_Holiness_Radhanath_Swami/Lectures/Russian_Translation/Parikramas/Gaur_mandal_parikrama-02/1997_Day-06_Part-05_Games_Nityananda_Radhanath_swami_Mayapur.mp3", "1997_Day-06_Part-05_Games_Nityananda_Radhanath_swami_Mayapur.mp3")</f>
        <v>1997_Day-06_Part-05_Games_Nityananda_Radhanath_swami_Mayapur.mp3</v>
      </c>
      <c r="D5852" s="24"/>
      <c r="E5852" s="24"/>
    </row>
    <row r="5853">
      <c r="A5853" s="25" t="s">
        <v>18860</v>
      </c>
      <c r="B5853" s="25" t="s">
        <v>18863</v>
      </c>
      <c r="C5853" s="26" t="str">
        <f>HYPERLINK("https://audio.iskcondesiretree.com/02_-_ISKCON_Swamis/ISKCON_Swamis_-_R_to_Y/His_Holiness_Radhanath_Swami/Lectures/Russian_Translation/Parikramas/Gaur_mandal_parikrama-02/1997_Day-06_Part-05_Games_of_Nityananda_-_Radhanath_Swami_Mayapur.mp3", "1997_Day-06_Part-05_Games_of_Nityananda_-_Radhanath_Swami_Mayapur.mp3")</f>
        <v>1997_Day-06_Part-05_Games_of_Nityananda_-_Radhanath_Swami_Mayapur.mp3</v>
      </c>
      <c r="D5853" s="24"/>
      <c r="E5853" s="24"/>
    </row>
    <row r="5854">
      <c r="A5854" s="25" t="s">
        <v>18860</v>
      </c>
      <c r="B5854" s="25" t="s">
        <v>18863</v>
      </c>
      <c r="C5854" s="26" t="str">
        <f>HYPERLINK("https://audio.iskcondesiretree.com/02_-_ISKCON_Swamis/ISKCON_Swamis_-_R_to_Y/His_Holiness_Radhanath_Swami/Lectures/Russian_Translation/Parikramas/Gaur_mandal_parikrama-02/1997_Day-06_Part-06_Nitai_Pada_Kamala_kirtan_-_Radhanath_Swami_Mayapur.mp3", "1997_Day-06_Part-06_Nitai_Pada_Kamala_kirtan_-_Radhanath_Swami_Mayapur.mp3")</f>
        <v>1997_Day-06_Part-06_Nitai_Pada_Kamala_kirtan_-_Radhanath_Swami_Mayapur.mp3</v>
      </c>
      <c r="D5854" s="24"/>
      <c r="E5854" s="24"/>
    </row>
    <row r="5855">
      <c r="A5855" s="25" t="s">
        <v>18860</v>
      </c>
      <c r="B5855" s="25" t="s">
        <v>18863</v>
      </c>
      <c r="C5855" s="26" t="str">
        <f>HYPERLINK("https://audio.iskcondesiretree.com/02_-_ISKCON_Swamis/ISKCON_Swamis_-_R_to_Y/His_Holiness_Radhanath_Swami/Lectures/Russian_Translation/Parikramas/Gaur_mandal_parikrama-02/1997_Day-06_Part-06_Nitay_Pada_kamala_kirtan_Radhanath_swami_Mayapur.mp3", "1997_Day-06_Part-06_Nitay_Pada_kamala_kirtan_Radhanath_swami_Mayapur.mp3")</f>
        <v>1997_Day-06_Part-06_Nitay_Pada_kamala_kirtan_Radhanath_swami_Mayapur.mp3</v>
      </c>
      <c r="D5855" s="24"/>
      <c r="E5855" s="24"/>
    </row>
    <row r="5856">
      <c r="A5856" s="25" t="s">
        <v>18860</v>
      </c>
      <c r="B5856" s="25" t="s">
        <v>18863</v>
      </c>
      <c r="C5856" s="26" t="str">
        <f>HYPERLINK("https://audio.iskcondesiretree.com/02_-_ISKCON_Swamis/ISKCON_Swamis_-_R_to_Y/His_Holiness_Radhanath_Swami/Lectures/Russian_Translation/Parikramas/Gaur_mandal_parikrama-02/1997_Day-07_Part-01_Jajigram_-_Radhanath_Swami_Mayapur.mp3", "1997_Day-07_Part-01_Jajigram_-_Radhanath_Swami_Mayapur.mp3")</f>
        <v>1997_Day-07_Part-01_Jajigram_-_Radhanath_Swami_Mayapur.mp3</v>
      </c>
      <c r="D5856" s="24"/>
      <c r="E5856" s="24"/>
    </row>
    <row r="5857">
      <c r="A5857" s="25" t="s">
        <v>18860</v>
      </c>
      <c r="B5857" s="25" t="s">
        <v>18863</v>
      </c>
      <c r="C5857" s="26" t="str">
        <f>HYPERLINK("https://audio.iskcondesiretree.com/02_-_ISKCON_Swamis/ISKCON_Swamis_-_R_to_Y/His_Holiness_Radhanath_Swami/Lectures/Russian_Translation/Parikramas/Gaur_mandal_parikrama-02/1997_Day-07_Part-01_Jajigram_Radhanath_swami_Mayapur.mp3", "1997_Day-07_Part-01_Jajigram_Radhanath_swami_Mayapur.mp3")</f>
        <v>1997_Day-07_Part-01_Jajigram_Radhanath_swami_Mayapur.mp3</v>
      </c>
      <c r="D5857" s="24"/>
      <c r="E5857" s="24"/>
    </row>
    <row r="5858">
      <c r="A5858" s="25" t="s">
        <v>18860</v>
      </c>
      <c r="B5858" s="25" t="s">
        <v>18863</v>
      </c>
      <c r="C5858" s="26" t="str">
        <f>HYPERLINK("https://audio.iskcondesiretree.com/02_-_ISKCON_Swamis/ISKCON_Swamis_-_R_to_Y/His_Holiness_Radhanath_Swami/Lectures/Russian_Translation/Parikramas/Gaur_mandal_parikrama-02/1997_Day-08_Part-01_Srikhanta_-_Radhanath_Swami_Mayapur.mp3", "1997_Day-08_Part-01_Srikhanta_-_Radhanath_Swami_Mayapur.mp3")</f>
        <v>1997_Day-08_Part-01_Srikhanta_-_Radhanath_Swami_Mayapur.mp3</v>
      </c>
      <c r="D5858" s="24"/>
      <c r="E5858" s="24"/>
    </row>
    <row r="5859">
      <c r="A5859" s="25" t="s">
        <v>18860</v>
      </c>
      <c r="B5859" s="25" t="s">
        <v>18863</v>
      </c>
      <c r="C5859" s="26" t="str">
        <f>HYPERLINK("https://audio.iskcondesiretree.com/02_-_ISKCON_Swamis/ISKCON_Swamis_-_R_to_Y/His_Holiness_Radhanath_Swami/Lectures/Russian_Translation/Parikramas/Gaur_mandal_parikrama-02/1997_Day-08_Part-01_Srikhanta_Radhanath_swami_Mayapur.mp3", "1997_Day-08_Part-01_Srikhanta_Radhanath_swami_Mayapur.mp3")</f>
        <v>1997_Day-08_Part-01_Srikhanta_Radhanath_swami_Mayapur.mp3</v>
      </c>
      <c r="D5859" s="24"/>
      <c r="E5859" s="24"/>
    </row>
    <row r="5860">
      <c r="A5860" s="25" t="s">
        <v>18860</v>
      </c>
      <c r="B5860" s="25" t="s">
        <v>18863</v>
      </c>
      <c r="C5860" s="26" t="str">
        <f>HYPERLINK("https://audio.iskcondesiretree.com/02_-_ISKCON_Swamis/ISKCON_Swamis_-_R_to_Y/His_Holiness_Radhanath_Swami/Lectures/Russian_Translation/Parikramas/Gaur_mandal_parikrama-02/1997_Day-09_Part-01_Raghava_Pandit_-_Radhanath_Swami_Mayapur.mp3", "1997_Day-09_Part-01_Raghava_Pandit_-_Radhanath_Swami_Mayapur.mp3")</f>
        <v>1997_Day-09_Part-01_Raghava_Pandit_-_Radhanath_Swami_Mayapur.mp3</v>
      </c>
      <c r="D5860" s="24"/>
      <c r="E5860" s="24"/>
    </row>
    <row r="5861">
      <c r="A5861" s="25" t="s">
        <v>18860</v>
      </c>
      <c r="B5861" s="25" t="s">
        <v>18863</v>
      </c>
      <c r="C5861" s="26" t="str">
        <f>HYPERLINK("https://audio.iskcondesiretree.com/02_-_ISKCON_Swamis/ISKCON_Swamis_-_R_to_Y/His_Holiness_Radhanath_Swami/Lectures/Russian_Translation/Parikramas/Gaur_mandal_parikrama-02/1997_Day-09_Part-01_Raghava_Pandit_Radhanath_swami_Mayapur.mp3", "1997_Day-09_Part-01_Raghava_Pandit_Radhanath_swami_Mayapur.mp3")</f>
        <v>1997_Day-09_Part-01_Raghava_Pandit_Radhanath_swami_Mayapur.mp3</v>
      </c>
      <c r="D5861" s="24"/>
      <c r="E5861" s="24"/>
    </row>
    <row r="5862">
      <c r="A5862" s="25" t="s">
        <v>18860</v>
      </c>
      <c r="B5862" s="25" t="s">
        <v>18863</v>
      </c>
      <c r="C5862" s="26" t="str">
        <f>HYPERLINK("https://audio.iskcondesiretree.com/02_-_ISKCON_Swamis/ISKCON_Swamis_-_R_to_Y/His_Holiness_Radhanath_Swami/Lectures/Russian_Translation/Parikramas/Gaur_mandal_parikrama-02/1997_Day-09_Part-02_Kirtan_-_Radhanath_Swami_Mayapur.mp3", "1997_Day-09_Part-02_Kirtan_-_Radhanath_Swami_Mayapur.mp3")</f>
        <v>1997_Day-09_Part-02_Kirtan_-_Radhanath_Swami_Mayapur.mp3</v>
      </c>
      <c r="D5862" s="24"/>
      <c r="E5862" s="24"/>
    </row>
    <row r="5863">
      <c r="A5863" s="25" t="s">
        <v>18860</v>
      </c>
      <c r="B5863" s="25" t="s">
        <v>18863</v>
      </c>
      <c r="C5863" s="26" t="str">
        <f>HYPERLINK("https://audio.iskcondesiretree.com/02_-_ISKCON_Swamis/ISKCON_Swamis_-_R_to_Y/His_Holiness_Radhanath_Swami/Lectures/Russian_Translation/Parikramas/Gaur_mandal_parikrama-02/1997_Day-09_Part-02_kirtan_Radhanath_swami_Mayapur.mp3", "1997_Day-09_Part-02_kirtan_Radhanath_swami_Mayapur.mp3")</f>
        <v>1997_Day-09_Part-02_kirtan_Radhanath_swami_Mayapur.mp3</v>
      </c>
      <c r="D5863" s="24"/>
      <c r="E5863" s="24"/>
    </row>
    <row r="5864">
      <c r="A5864" s="25" t="s">
        <v>18860</v>
      </c>
      <c r="B5864" s="25" t="s">
        <v>18863</v>
      </c>
      <c r="C5864" s="26" t="str">
        <f>HYPERLINK("https://audio.iskcondesiretree.com/02_-_ISKCON_Swamis/ISKCON_Swamis_-_R_to_Y/His_Holiness_Radhanath_Swami/Lectures/Russian_Translation/Parikramas/Gaur_mandal_parikrama-02/1997_Day-09_Part-03_Panihati_Gram_-_Radhanath_Swami_Mayapur.mp3", "1997_Day-09_Part-03_Panihati_Gram_-_Radhanath_Swami_Mayapur.mp3")</f>
        <v>1997_Day-09_Part-03_Panihati_Gram_-_Radhanath_Swami_Mayapur.mp3</v>
      </c>
      <c r="D5864" s="24"/>
      <c r="E5864" s="24"/>
    </row>
    <row r="5865">
      <c r="A5865" s="25" t="s">
        <v>18860</v>
      </c>
      <c r="B5865" s="25" t="s">
        <v>18863</v>
      </c>
      <c r="C5865" s="26" t="str">
        <f>HYPERLINK("https://audio.iskcondesiretree.com/02_-_ISKCON_Swamis/ISKCON_Swamis_-_R_to_Y/His_Holiness_Radhanath_Swami/Lectures/Russian_Translation/Parikramas/Gaur_mandal_parikrama-02/1997_Day-09_Part-03_Panihati_Gram_Radhanath_swami_Mayapur.mp3", "1997_Day-09_Part-03_Panihati_Gram_Radhanath_swami_Mayapur.mp3")</f>
        <v>1997_Day-09_Part-03_Panihati_Gram_Radhanath_swami_Mayapur.mp3</v>
      </c>
      <c r="D5865" s="24"/>
      <c r="E5865" s="24"/>
    </row>
    <row r="5866">
      <c r="A5866" s="25" t="s">
        <v>18860</v>
      </c>
      <c r="B5866" s="25" t="s">
        <v>18863</v>
      </c>
      <c r="C5866" s="26" t="str">
        <f>HYPERLINK("https://audio.iskcondesiretree.com/02_-_ISKCON_Swamis/ISKCON_Swamis_-_R_to_Y/His_Holiness_Radhanath_Swami/Lectures/Russian_Translation/Parikramas/Gaur_mandal_parikrama-02/1997_Day-10_Part-01_Kardaha_-_Radhanath_Swami_Mayapur.mp3", "1997_Day-10_Part-01_Kardaha_-_Radhanath_Swami_Mayapur.mp3")</f>
        <v>1997_Day-10_Part-01_Kardaha_-_Radhanath_Swami_Mayapur.mp3</v>
      </c>
      <c r="D5866" s="24"/>
      <c r="E5866" s="24"/>
    </row>
    <row r="5867">
      <c r="A5867" s="25" t="s">
        <v>18860</v>
      </c>
      <c r="B5867" s="25" t="s">
        <v>18863</v>
      </c>
      <c r="C5867" s="26" t="str">
        <f>HYPERLINK("https://audio.iskcondesiretree.com/02_-_ISKCON_Swamis/ISKCON_Swamis_-_R_to_Y/His_Holiness_Radhanath_Swami/Lectures/Russian_Translation/Parikramas/Gaur_mandal_parikrama-02/1997_Day-10_Part-01_Kardaha_Radhanath_swami_Mayapur.mp3", "1997_Day-10_Part-01_Kardaha_Radhanath_swami_Mayapur.mp3")</f>
        <v>1997_Day-10_Part-01_Kardaha_Radhanath_swami_Mayapur.mp3</v>
      </c>
      <c r="D5867" s="24"/>
      <c r="E5867" s="24"/>
    </row>
    <row r="5868">
      <c r="A5868" s="25" t="s">
        <v>18860</v>
      </c>
      <c r="B5868" s="25" t="s">
        <v>18863</v>
      </c>
      <c r="C5868" s="26" t="str">
        <f>HYPERLINK("https://audio.iskcondesiretree.com/02_-_ISKCON_Swamis/ISKCON_Swamis_-_R_to_Y/His_Holiness_Radhanath_Swami/Lectures/Russian_Translation/Parikramas/Gaur_mandal_parikrama-02/1997_Day-10_Part-02_Radhanath_Swami_Mayapur.mp3", "1997_Day-10_Part-02_Radhanath_Swami_Mayapur.mp3")</f>
        <v>1997_Day-10_Part-02_Radhanath_Swami_Mayapur.mp3</v>
      </c>
      <c r="D5868" s="24"/>
      <c r="E5868" s="24"/>
    </row>
    <row r="5869">
      <c r="A5869" s="25" t="s">
        <v>18860</v>
      </c>
      <c r="B5869" s="25" t="s">
        <v>18863</v>
      </c>
      <c r="C5869" s="26" t="str">
        <f>HYPERLINK("https://audio.iskcondesiretree.com/02_-_ISKCON_Swamis/ISKCON_Swamis_-_R_to_Y/His_Holiness_Radhanath_Swami/Lectures/Russian_Translation/Parikramas/Jagannath_Puri/1998_Day-01_Instructions_before_Parikrama_-_Radhanath_Swami_Jagannath_Puri.mp3", "1998_Day-01_Instructions_before_Parikrama_-_Radhanath_Swami_Jagannath_Puri.mp3")</f>
        <v>1998_Day-01_Instructions_before_Parikrama_-_Radhanath_Swami_Jagannath_Puri.mp3</v>
      </c>
      <c r="D5869" s="24"/>
      <c r="E5869" s="24"/>
    </row>
    <row r="5870">
      <c r="A5870" s="25" t="s">
        <v>18860</v>
      </c>
      <c r="B5870" s="25" t="s">
        <v>18863</v>
      </c>
      <c r="C5870" s="26" t="str">
        <f>HYPERLINK("https://audio.iskcondesiretree.com/02_-_ISKCON_Swamis/ISKCON_Swamis_-_R_to_Y/His_Holiness_Radhanath_Swami/Lectures/Russian_Translation/Parikramas/Jagannath_Puri/1998_Day-02_History_Bhuvaneshvara_-_Radhanath_Swami_Jagannath_Puri.mp3", "1998_Day-02_History_Bhuvaneshvara_-_Radhanath_Swami_Jagannath_Puri.mp3")</f>
        <v>1998_Day-02_History_Bhuvaneshvara_-_Radhanath_Swami_Jagannath_Puri.mp3</v>
      </c>
      <c r="D5870" s="24"/>
      <c r="E5870" s="24"/>
    </row>
    <row r="5871">
      <c r="A5871" s="25" t="s">
        <v>18860</v>
      </c>
      <c r="B5871" s="25" t="s">
        <v>18863</v>
      </c>
      <c r="C5871" s="26" t="str">
        <f>HYPERLINK("https://audio.iskcondesiretree.com/02_-_ISKCON_Swamis/ISKCON_Swamis_-_R_to_Y/His_Holiness_Radhanath_Swami/Lectures/Russian_Translation/Parikramas/Jagannath_Puri/1998_Day-03_Game_of_the_Lord_in_Kamalpure_and_Attaranale_-_Radhanath_Swami_Jagannath_Puri.mp3", "1998_Day-03_Game_of_the_Lord_in_Kamalpure_and_Attaranale_-_Radhanath_Swami_Jagannath_Puri.mp3")</f>
        <v>1998_Day-03_Game_of_the_Lord_in_Kamalpure_and_Attaranale_-_Radhanath_Swami_Jagannath_Puri.mp3</v>
      </c>
      <c r="D5871" s="24"/>
      <c r="E5871" s="24"/>
    </row>
    <row r="5872">
      <c r="A5872" s="25" t="s">
        <v>18860</v>
      </c>
      <c r="B5872" s="25" t="s">
        <v>18863</v>
      </c>
      <c r="C5872" s="26" t="str">
        <f>HYPERLINK("https://audio.iskcondesiretree.com/02_-_ISKCON_Swamis/ISKCON_Swamis_-_R_to_Y/His_Holiness_Radhanath_Swami/Lectures/Russian_Translation/Parikramas/Jagannath_Puri/1998_Day-04_Game_of_the_Lord_in_Attaranale_continued_-_Radhanath_Swami_Jagannath_Puri.mp3", "1998_Day-04_Game_of_the_Lord_in_Attaranale_continued_-_Radhanath_Swami_Jagannath_Puri.mp3")</f>
        <v>1998_Day-04_Game_of_the_Lord_in_Attaranale_continued_-_Radhanath_Swami_Jagannath_Puri.mp3</v>
      </c>
      <c r="D5872" s="24"/>
      <c r="E5872" s="24"/>
    </row>
    <row r="5873">
      <c r="A5873" s="25" t="s">
        <v>18860</v>
      </c>
      <c r="B5873" s="25" t="s">
        <v>18863</v>
      </c>
      <c r="C5873" s="26" t="str">
        <f>HYPERLINK("https://audio.iskcondesiretree.com/02_-_ISKCON_Swamis/ISKCON_Swamis_-_R_to_Y/His_Holiness_Radhanath_Swami/Lectures/Russian_Translation/Parikramas/Jagannath_Puri/1998_Day-05_The_Path_of_Lord_Caitanya_in_Jagannath_Puri_-_Radhanath_Swami_Jagannath_Puri.mp3", "1998_Day-05_The_Path_of_Lord_Caitanya_in_Jagannath_Puri_-_Radhanath_Swami_Jagannath_Puri.mp3")</f>
        <v>1998_Day-05_The_Path_of_Lord_Caitanya_in_Jagannath_Puri_-_Radhanath_Swami_Jagannath_Puri.mp3</v>
      </c>
      <c r="D5873" s="24"/>
      <c r="E5873" s="24"/>
    </row>
    <row r="5874">
      <c r="A5874" s="25" t="s">
        <v>18860</v>
      </c>
      <c r="B5874" s="25" t="s">
        <v>18863</v>
      </c>
      <c r="C5874" s="26" t="str">
        <f>HYPERLINK("https://audio.iskcondesiretree.com/02_-_ISKCON_Swamis/ISKCON_Swamis_-_R_to_Y/His_Holiness_Radhanath_Swami/Lectures/Russian_Translation/Parikramas/Jagannath_Puri/1998_Day-06_Lord_Chaitanya_and_Sarvabhauma_Bhattacharya_-_Radhanath_Swami_Jagannath_Puri.mp3", "1998_Day-06_Lord_Chaitanya_and_Sarvabhauma_Bhattacharya_-_Radhanath_Swami_Jagannath_Puri.mp3")</f>
        <v>1998_Day-06_Lord_Chaitanya_and_Sarvabhauma_Bhattacharya_-_Radhanath_Swami_Jagannath_Puri.mp3</v>
      </c>
      <c r="D5874" s="24"/>
      <c r="E5874" s="24"/>
    </row>
    <row r="5875">
      <c r="A5875" s="25" t="s">
        <v>18860</v>
      </c>
      <c r="B5875" s="25" t="s">
        <v>18863</v>
      </c>
      <c r="C5875" s="26" t="str">
        <f>HYPERLINK("https://audio.iskcondesiretree.com/02_-_ISKCON_Swamis/ISKCON_Swamis_-_R_to_Y/His_Holiness_Radhanath_Swami/Lectures/Russian_Translation/Parikramas/Jagannath_Puri/1998_Day-07_Game_of_the_Lord_on_Narendra_Sarovar_-_Radhanath_Swami_Jagannath_Puri.mp3", "1998_Day-07_Game_of_the_Lord_on_Narendra_Sarovar_-_Radhanath_Swami_Jagannath_Puri.mp3")</f>
        <v>1998_Day-07_Game_of_the_Lord_on_Narendra_Sarovar_-_Radhanath_Swami_Jagannath_Puri.mp3</v>
      </c>
      <c r="D5875" s="24"/>
      <c r="E5875" s="24"/>
    </row>
    <row r="5876">
      <c r="A5876" s="25" t="s">
        <v>18860</v>
      </c>
      <c r="B5876" s="25" t="s">
        <v>18863</v>
      </c>
      <c r="C5876" s="26" t="str">
        <f>HYPERLINK("https://audio.iskcondesiretree.com/02_-_ISKCON_Swamis/ISKCON_Swamis_-_R_to_Y/His_Holiness_Radhanath_Swami/Lectures/Russian_Translation/Parikramas/Jagannath_Puri/1998_Day-08_Glory_Raghunatha_dasa_Goswami_-_Radhanath_Swami_Jagannath_Puri.mp3", "1998_Day-08_Glory_Raghunatha_dasa_Goswami_-_Radhanath_Swami_Jagannath_Puri.mp3")</f>
        <v>1998_Day-08_Glory_Raghunatha_dasa_Goswami_-_Radhanath_Swami_Jagannath_Puri.mp3</v>
      </c>
      <c r="D5876" s="24"/>
      <c r="E5876" s="24"/>
    </row>
    <row r="5877">
      <c r="A5877" s="25" t="s">
        <v>18860</v>
      </c>
      <c r="B5877" s="25" t="s">
        <v>18863</v>
      </c>
      <c r="C5877" s="26" t="str">
        <f>HYPERLINK("https://audio.iskcondesiretree.com/02_-_ISKCON_Swamis/ISKCON_Swamis_-_R_to_Y/His_Holiness_Radhanath_Swami/Lectures/Russian_Translation/Parikramas/Jagannath_Puri/1998_Day-09_Part-01_Sri_Chaitanya_in_Gambier_-_Radhanath_Swami_Jagannath_Puri.mp3", "1998_Day-09_Part-01_Sri_Chaitanya_in_Gambier_-_Radhanath_Swami_Jagannath_Puri.mp3")</f>
        <v>1998_Day-09_Part-01_Sri_Chaitanya_in_Gambier_-_Radhanath_Swami_Jagannath_Puri.mp3</v>
      </c>
      <c r="D5877" s="24"/>
      <c r="E5877" s="24"/>
    </row>
    <row r="5878">
      <c r="A5878" s="25" t="s">
        <v>18860</v>
      </c>
      <c r="B5878" s="25" t="s">
        <v>18863</v>
      </c>
      <c r="C5878" s="26" t="str">
        <f>HYPERLINK("https://audio.iskcondesiretree.com/02_-_ISKCON_Swamis/ISKCON_Swamis_-_R_to_Y/His_Holiness_Radhanath_Swami/Lectures/Russian_Translation/Parikramas/Jagannath_Puri/1998_Day-09_Part-02_Sri_Chaitanya_in_Gambier_-_Radhanath_Swami_Jagannath_Puri.mp3", "1998_Day-09_Part-02_Sri_Chaitanya_in_Gambier_-_Radhanath_Swami_Jagannath_Puri.mp3")</f>
        <v>1998_Day-09_Part-02_Sri_Chaitanya_in_Gambier_-_Radhanath_Swami_Jagannath_Puri.mp3</v>
      </c>
      <c r="D5878" s="24"/>
      <c r="E5878" s="24"/>
    </row>
    <row r="5879">
      <c r="A5879" s="25" t="s">
        <v>18860</v>
      </c>
      <c r="B5879" s="25" t="s">
        <v>18863</v>
      </c>
      <c r="C5879" s="26" t="str">
        <f>HYPERLINK("https://audio.iskcondesiretree.com/02_-_ISKCON_Swamis/ISKCON_Swamis_-_R_to_Y/His_Holiness_Radhanath_Swami/Lectures/Russian_Translation/Parikramas/Jagannath_Puri/1998_Day-10_Pit_Paramananda_Puri_-_Radhanath_Swami_Jagannath_Puri.mp3", "1998_Day-10_Pit_Paramananda_Puri_-_Radhanath_Swami_Jagannath_Puri.mp3")</f>
        <v>1998_Day-10_Pit_Paramananda_Puri_-_Radhanath_Swami_Jagannath_Puri.mp3</v>
      </c>
      <c r="D5879" s="24"/>
      <c r="E5879" s="24"/>
    </row>
    <row r="5880">
      <c r="A5880" s="25" t="s">
        <v>18860</v>
      </c>
      <c r="B5880" s="25" t="s">
        <v>18863</v>
      </c>
      <c r="C5880" s="26" t="str">
        <f>HYPERLINK("https://audio.iskcondesiretree.com/02_-_ISKCON_Swamis/ISKCON_Swamis_-_R_to_Y/His_Holiness_Radhanath_Swami/Lectures/Russian_Translation/Parikramas/Jagannath_Puri/1998_Day-11_Chatak_Parvati_-_Radhanath_Swami_Jagannath_Puri.mp3", "1998_Day-11_Chatak_Parvati_-_Radhanath_Swami_Jagannath_Puri.mp3")</f>
        <v>1998_Day-11_Chatak_Parvati_-_Radhanath_Swami_Jagannath_Puri.mp3</v>
      </c>
      <c r="D5880" s="24"/>
      <c r="E5880" s="24"/>
    </row>
    <row r="5881">
      <c r="A5881" s="25" t="s">
        <v>18860</v>
      </c>
      <c r="B5881" s="25" t="s">
        <v>18863</v>
      </c>
      <c r="C5881" s="26" t="str">
        <f>HYPERLINK("https://audio.iskcondesiretree.com/02_-_ISKCON_Swamis/ISKCON_Swamis_-_R_to_Y/His_Holiness_Radhanath_Swami/Lectures/Russian_Translation/Parikramas/Jagannath_Puri/1998_Day-12_Part-01_Tota_Gopinath_Mandir_-_Radhanath_Swami_Jagannath_Puri.mp3", "1998_Day-12_Part-01_Tota_Gopinath_Mandir_-_Radhanath_Swami_Jagannath_Puri.mp3")</f>
        <v>1998_Day-12_Part-01_Tota_Gopinath_Mandir_-_Radhanath_Swami_Jagannath_Puri.mp3</v>
      </c>
      <c r="D5881" s="24"/>
      <c r="E5881" s="24"/>
    </row>
    <row r="5882">
      <c r="A5882" s="25" t="s">
        <v>18860</v>
      </c>
      <c r="B5882" s="25" t="s">
        <v>18863</v>
      </c>
      <c r="C5882" s="26" t="str">
        <f>HYPERLINK("https://audio.iskcondesiretree.com/02_-_ISKCON_Swamis/ISKCON_Swamis_-_R_to_Y/His_Holiness_Radhanath_Swami/Lectures/Russian_Translation/Parikramas/Jagannath_Puri/1998_Day-12_Part-02_Tota_Gopinath_Mandir_-_Radhanath_Swami_Jagannath_Puri.mp3", "1998_Day-12_Part-02_Tota_Gopinath_Mandir_-_Radhanath_Swami_Jagannath_Puri.mp3")</f>
        <v>1998_Day-12_Part-02_Tota_Gopinath_Mandir_-_Radhanath_Swami_Jagannath_Puri.mp3</v>
      </c>
      <c r="D5882" s="24"/>
      <c r="E5882" s="24"/>
    </row>
    <row r="5883">
      <c r="A5883" s="25" t="s">
        <v>18860</v>
      </c>
      <c r="B5883" s="25" t="s">
        <v>18863</v>
      </c>
      <c r="C5883" s="26" t="str">
        <f>HYPERLINK("https://audio.iskcondesiretree.com/02_-_ISKCON_Swamis/ISKCON_Swamis_-_R_to_Y/His_Holiness_Radhanath_Swami/Lectures/Russian_Translation/Parikramas/Jagannath_Puri/1998_Day-12_Part-03_Nimai_takes_sannyasi_-_Radhanath_Swami_Jagannath_Puri.mp3", "1998_Day-12_Part-03_Nimai_takes_sannyasi_-_Radhanath_Swami_Jagannath_Puri.mp3")</f>
        <v>1998_Day-12_Part-03_Nimai_takes_sannyasi_-_Radhanath_Swami_Jagannath_Puri.mp3</v>
      </c>
      <c r="D5883" s="24"/>
      <c r="E5883" s="24"/>
    </row>
    <row r="5884">
      <c r="A5884" s="25" t="s">
        <v>18860</v>
      </c>
      <c r="B5884" s="25" t="s">
        <v>18863</v>
      </c>
      <c r="C5884" s="26" t="str">
        <f>HYPERLINK("https://audio.iskcondesiretree.com/02_-_ISKCON_Swamis/ISKCON_Swamis_-_R_to_Y/His_Holiness_Radhanath_Swami/Lectures/Russian_Translation/Parikramas/Jagannath_Puri/1998_Day-13_Part-01_Glory_to_Srila_Haridas_Thakur_-_Radhanath_Swami_Jagannath_Puri.mp3", "1998_Day-13_Part-01_Glory_to_Srila_Haridas_Thakur_-_Radhanath_Swami_Jagannath_Puri.mp3")</f>
        <v>1998_Day-13_Part-01_Glory_to_Srila_Haridas_Thakur_-_Radhanath_Swami_Jagannath_Puri.mp3</v>
      </c>
      <c r="D5884" s="24"/>
      <c r="E5884" s="24"/>
    </row>
    <row r="5885">
      <c r="A5885" s="25" t="s">
        <v>18860</v>
      </c>
      <c r="B5885" s="25" t="s">
        <v>18863</v>
      </c>
      <c r="C5885" s="26" t="str">
        <f>HYPERLINK("https://audio.iskcondesiretree.com/02_-_ISKCON_Swamis/ISKCON_Swamis_-_R_to_Y/His_Holiness_Radhanath_Swami/Lectures/Russian_Translation/Parikramas/Jagannath_Puri/1998_Day-13_Part-02_Glory_to_Srila_Haridas_Thakur_-_Radhanath_Swami_Jagannath_Puri.mp3", "1998_Day-13_Part-02_Glory_to_Srila_Haridas_Thakur_-_Radhanath_Swami_Jagannath_Puri.mp3")</f>
        <v>1998_Day-13_Part-02_Glory_to_Srila_Haridas_Thakur_-_Radhanath_Swami_Jagannath_Puri.mp3</v>
      </c>
      <c r="D5885" s="24"/>
      <c r="E5885" s="24"/>
    </row>
    <row r="5886">
      <c r="A5886" s="25" t="s">
        <v>18860</v>
      </c>
      <c r="B5886" s="25" t="s">
        <v>18863</v>
      </c>
      <c r="C5886" s="26" t="str">
        <f>HYPERLINK("https://audio.iskcondesiretree.com/02_-_ISKCON_Swamis/ISKCON_Swamis_-_R_to_Y/His_Holiness_Radhanath_Swami/Lectures/Russian_Translation/Parikramas/Jagannath_Puri/1998_Day-13_Part-03_Haridas_Thakur_-_Radhanath_Swami_Jagannath_Puri.mp3", "1998_Day-13_Part-03_Haridas_Thakur_-_Radhanath_Swami_Jagannath_Puri.mp3")</f>
        <v>1998_Day-13_Part-03_Haridas_Thakur_-_Radhanath_Swami_Jagannath_Puri.mp3</v>
      </c>
      <c r="D5886" s="24"/>
      <c r="E5886" s="24"/>
    </row>
    <row r="5887">
      <c r="A5887" s="25" t="s">
        <v>18860</v>
      </c>
      <c r="B5887" s="25" t="s">
        <v>18863</v>
      </c>
      <c r="C5887" s="26" t="str">
        <f>HYPERLINK("https://audio.iskcondesiretree.com/02_-_ISKCON_Swamis/ISKCON_Swamis_-_R_to_Y/His_Holiness_Radhanath_Swami/Lectures/Russian_Translation/Parikramas/Jagannath_Puri/1998_Day-14_Proslvlenie_Bhaktisiddhanta_Saraswati_-_Radhanath_Swami_Jagannath_Puri.mp3", "1998_Day-14_Proslvlenie_Bhaktisiddhanta_Saraswati_-_Radhanath_Swami_Jagannath_Puri.mp3")</f>
        <v>1998_Day-14_Proslvlenie_Bhaktisiddhanta_Saraswati_-_Radhanath_Swami_Jagannath_Puri.mp3</v>
      </c>
      <c r="D5887" s="24"/>
      <c r="E5887" s="24"/>
    </row>
    <row r="5888">
      <c r="A5888" s="25" t="s">
        <v>18860</v>
      </c>
      <c r="B5888" s="25" t="s">
        <v>18863</v>
      </c>
      <c r="C5888" s="26" t="str">
        <f>HYPERLINK("https://audio.iskcondesiretree.com/02_-_ISKCON_Swamis/ISKCON_Swamis_-_R_to_Y/His_Holiness_Radhanath_Swami/Lectures/Russian_Translation/Parikramas/Jagannath_Puri/1998_Day-15_Lord_Chaitanya_in_ecstasy_-_Radhanath_Swami_Jagannath_Puri.mp3", "1998_Day-15_Lord_Chaitanya_in_ecstasy_-_Radhanath_Swami_Jagannath_Puri.mp3")</f>
        <v>1998_Day-15_Lord_Chaitanya_in_ecstasy_-_Radhanath_Swami_Jagannath_Puri.mp3</v>
      </c>
      <c r="D5888" s="24"/>
      <c r="E5888" s="24"/>
    </row>
    <row r="5889">
      <c r="A5889" s="25" t="s">
        <v>18860</v>
      </c>
      <c r="B5889" s="25" t="s">
        <v>18863</v>
      </c>
      <c r="C5889" s="26" t="str">
        <f>HYPERLINK("https://audio.iskcondesiretree.com/02_-_ISKCON_Swamis/ISKCON_Swamis_-_R_to_Y/His_Holiness_Radhanath_Swami/Lectures/Russian_Translation/Parikramas/Jagannath_Puri/1998_Day-16_History_of_Lord_Jagannath_-_Radhanath_Swami_Jagannath_Puri.mp3", "1998_Day-16_History_of_Lord_Jagannath_-_Radhanath_Swami_Jagannath_Puri.mp3")</f>
        <v>1998_Day-16_History_of_Lord_Jagannath_-_Radhanath_Swami_Jagannath_Puri.mp3</v>
      </c>
      <c r="D5889" s="24"/>
      <c r="E5889" s="24"/>
    </row>
    <row r="5890">
      <c r="A5890" s="25" t="s">
        <v>18860</v>
      </c>
      <c r="B5890" s="25" t="s">
        <v>18863</v>
      </c>
      <c r="C5890" s="26" t="str">
        <f>HYPERLINK("https://audio.iskcondesiretree.com/02_-_ISKCON_Swamis/ISKCON_Swamis_-_R_to_Y/His_Holiness_Radhanath_Swami/Lectures/Russian_Translation/Parikramas/Jagannath_Puri/1998_Day-17_History_Indradumn_Maharaj_-_Radhanath_Swami_Jagannath_Puri.mp3", "1998_Day-17_History_Indradumn_Maharaj_-_Radhanath_Swami_Jagannath_Puri.mp3")</f>
        <v>1998_Day-17_History_Indradumn_Maharaj_-_Radhanath_Swami_Jagannath_Puri.mp3</v>
      </c>
      <c r="D5890" s="24"/>
      <c r="E5890" s="24"/>
    </row>
    <row r="5891">
      <c r="A5891" s="25" t="s">
        <v>18860</v>
      </c>
      <c r="B5891" s="25" t="s">
        <v>18863</v>
      </c>
      <c r="C5891" s="26" t="str">
        <f>HYPERLINK("https://audio.iskcondesiretree.com/02_-_ISKCON_Swamis/ISKCON_Swamis_-_R_to_Y/His_Holiness_Radhanath_Swami/Lectures/Russian_Translation/Parikramas/Jagannath_Puri/1998_Day-18_Games_of_Lord_Jagannath_-_Radhanath_Swami_Jagannath_Puri.mp3", "1998_Day-18_Games_of_Lord_Jagannath_-_Radhanath_Swami_Jagannath_Puri.mp3")</f>
        <v>1998_Day-18_Games_of_Lord_Jagannath_-_Radhanath_Swami_Jagannath_Puri.mp3</v>
      </c>
      <c r="D5891" s="24"/>
      <c r="E5891" s="24"/>
    </row>
    <row r="5892">
      <c r="A5892" s="25" t="s">
        <v>18860</v>
      </c>
      <c r="B5892" s="25" t="s">
        <v>18863</v>
      </c>
      <c r="C5892" s="26" t="str">
        <f>HYPERLINK("https://audio.iskcondesiretree.com/02_-_ISKCON_Swamis/ISKCON_Swamis_-_R_to_Y/His_Holiness_Radhanath_Swami/Lectures/Russian_Translation/Parikramas/Jagannath_Puri/1998_Day-19_Jagannatha_Vallabha_Garden_-_Radhanath_Swami_Jagannath_Puri.mp3", "1998_Day-19_Jagannatha_Vallabha_Garden_-_Radhanath_Swami_Jagannath_Puri.mp3")</f>
        <v>1998_Day-19_Jagannatha_Vallabha_Garden_-_Radhanath_Swami_Jagannath_Puri.mp3</v>
      </c>
      <c r="D5892" s="24"/>
      <c r="E5892" s="24"/>
    </row>
    <row r="5893">
      <c r="A5893" s="25" t="s">
        <v>18860</v>
      </c>
      <c r="B5893" s="25" t="s">
        <v>18863</v>
      </c>
      <c r="C5893" s="26" t="str">
        <f>HYPERLINK("https://audio.iskcondesiretree.com/02_-_ISKCON_Swamis/ISKCON_Swamis_-_R_to_Y/His_Holiness_Radhanath_Swami/Lectures/Russian_Translation/Parikramas/Jagannath_Puri/1998_Day-20_Games_at_Jagannath_Rath_Yatra_-_Radhanath_Swami_Jagannath_Puri.mp3", "1998_Day-20_Games_at_Jagannath_Rath_Yatra_-_Radhanath_Swami_Jagannath_Puri.mp3")</f>
        <v>1998_Day-20_Games_at_Jagannath_Rath_Yatra_-_Radhanath_Swami_Jagannath_Puri.mp3</v>
      </c>
      <c r="D5893" s="24"/>
      <c r="E5893" s="24"/>
    </row>
    <row r="5894">
      <c r="A5894" s="25" t="s">
        <v>18860</v>
      </c>
      <c r="B5894" s="25" t="s">
        <v>18863</v>
      </c>
      <c r="C5894" s="26" t="str">
        <f>HYPERLINK("https://audio.iskcondesiretree.com/02_-_ISKCON_Swamis/ISKCON_Swamis_-_R_to_Y/His_Holiness_Radhanath_Swami/Lectures/Russian_Translation/Parikramas/Jagannath_Puri/1998_Day-21_Purification_Gundicha_Radhanath_swami_Jagannath_Puri.mp3", "1998_Day-21_Purification_Gundicha_Radhanath_swami_Jagannath_Puri.mp3")</f>
        <v>1998_Day-21_Purification_Gundicha_Radhanath_swami_Jagannath_Puri.mp3</v>
      </c>
      <c r="D5894" s="24"/>
      <c r="E5894" s="24"/>
    </row>
    <row r="5895">
      <c r="A5895" s="25" t="s">
        <v>18860</v>
      </c>
      <c r="B5895" s="25" t="s">
        <v>18863</v>
      </c>
      <c r="C5895" s="26" t="str">
        <f>HYPERLINK("https://audio.iskcondesiretree.com/02_-_ISKCON_Swamis/ISKCON_Swamis_-_R_to_Y/His_Holiness_Radhanath_Swami/Lectures/Russian_Translation/Parikramas/Jagannath_Puri/1998_Day-22_Games_at_Lake_Indradyumna_Sarovar_-_Radhanath_Swami_Jagannath_Puri.mp3", "1998_Day-22_Games_at_Lake_Indradyumna_Sarovar_-_Radhanath_Swami_Jagannath_Puri.mp3")</f>
        <v>1998_Day-22_Games_at_Lake_Indradyumna_Sarovar_-_Radhanath_Swami_Jagannath_Puri.mp3</v>
      </c>
      <c r="D5895" s="24"/>
      <c r="E5895" s="24"/>
    </row>
    <row r="5896">
      <c r="A5896" s="25" t="s">
        <v>18860</v>
      </c>
      <c r="B5896" s="25" t="s">
        <v>18863</v>
      </c>
      <c r="C5896" s="26" t="str">
        <f>HYPERLINK("https://audio.iskcondesiretree.com/02_-_ISKCON_Swamis/ISKCON_Swamis_-_R_to_Y/His_Holiness_Radhanath_Swami/Lectures/Russian_Translation/Parikramas/Jagannath_Puri/1998_Day-23_Background_to_the_Deity_in_Remune_-_Radhanath_Swami_Jagannath_Puri.mp3", "1998_Day-23_Background_to_the_Deity_in_Remune_-_Radhanath_Swami_Jagannath_Puri.mp3")</f>
        <v>1998_Day-23_Background_to_the_Deity_in_Remune_-_Radhanath_Swami_Jagannath_Puri.mp3</v>
      </c>
      <c r="D5896" s="24"/>
      <c r="E5896" s="24"/>
    </row>
    <row r="5897">
      <c r="A5897" s="25" t="s">
        <v>18860</v>
      </c>
      <c r="B5897" s="25" t="s">
        <v>18863</v>
      </c>
      <c r="C5897" s="26" t="str">
        <f>HYPERLINK("https://audio.iskcondesiretree.com/02_-_ISKCON_Swamis/ISKCON_Swamis_-_R_to_Y/His_Holiness_Radhanath_Swami/Lectures/Russian_Translation/Parikramas/Jagannath_Puri/1998_Day-24_History_Kshira_Chor_Gopinath_-_Radhanath_Swami_Jagannath_Puri.mp3", "1998_Day-24_History_Kshira_Chor_Gopinath_-_Radhanath_Swami_Jagannath_Puri.mp3")</f>
        <v>1998_Day-24_History_Kshira_Chor_Gopinath_-_Radhanath_Swami_Jagannath_Puri.mp3</v>
      </c>
      <c r="D5897" s="24"/>
      <c r="E5897" s="24"/>
    </row>
    <row r="5898">
      <c r="A5898" s="25" t="s">
        <v>18860</v>
      </c>
      <c r="B5898" s="25" t="s">
        <v>18863</v>
      </c>
      <c r="C5898" s="26" t="str">
        <f>HYPERLINK("https://audio.iskcondesiretree.com/02_-_ISKCON_Swamis/ISKCON_Swamis_-_R_to_Y/His_Holiness_Radhanath_Swami/Lectures/Russian_Translation/Parikramas/Jagannath_Puri/1998_Day-25_The_story_of_the_deities%20Gopinath_-_Radhanath_Swami_Jagannath_Puri.mp3", "1998_Day-25_The_story_of_the_deities%20Gopinath_-_Radhanath_Swami_Jagannath_Puri.mp3")</f>
        <v>1998_Day-25_The_story_of_the_deities%20Gopinath_-_Radhanath_Swami_Jagannath_Puri.mp3</v>
      </c>
      <c r="D5898" s="24"/>
      <c r="E5898" s="24"/>
    </row>
    <row r="5899">
      <c r="A5899" s="25" t="s">
        <v>18860</v>
      </c>
      <c r="B5899" s="25" t="s">
        <v>18863</v>
      </c>
      <c r="C5899" s="26" t="str">
        <f>HYPERLINK("https://audio.iskcondesiretree.com/02_-_ISKCON_Swamis/ISKCON_Swamis_-_R_to_Y/His_Holiness_Radhanath_Swami/Lectures/Russian_Translation/Parikramas/Jaipur/1995_Day-01_Part-01_Govinda_ji_Radhanath_Swami_Jaipur.mp3", "1995_Day-01_Part-01_Govinda_ji_Radhanath_Swami_Jaipur.mp3")</f>
        <v>1995_Day-01_Part-01_Govinda_ji_Radhanath_Swami_Jaipur.mp3</v>
      </c>
      <c r="D5899" s="24"/>
      <c r="E5899" s="24"/>
    </row>
    <row r="5900">
      <c r="A5900" s="25" t="s">
        <v>18860</v>
      </c>
      <c r="B5900" s="25" t="s">
        <v>18863</v>
      </c>
      <c r="C5900" s="26" t="str">
        <f>HYPERLINK("https://audio.iskcondesiretree.com/02_-_ISKCON_Swamis/ISKCON_Swamis_-_R_to_Y/His_Holiness_Radhanath_Swami/Lectures/Russian_Translation/Parikramas/Jaipur/1995_Day-01_Part-02_Govinda_ji_Giriraj_Swami_Jaipur.mp3", "1995_Day-01_Part-02_Govinda_ji_Giriraj_Swami_Jaipur.mp3")</f>
        <v>1995_Day-01_Part-02_Govinda_ji_Giriraj_Swami_Jaipur.mp3</v>
      </c>
      <c r="D5900" s="24"/>
      <c r="E5900" s="24"/>
    </row>
    <row r="5901">
      <c r="A5901" s="25" t="s">
        <v>18860</v>
      </c>
      <c r="B5901" s="25" t="s">
        <v>18863</v>
      </c>
      <c r="C5901" s="26" t="str">
        <f>HYPERLINK("https://audio.iskcondesiretree.com/02_-_ISKCON_Swamis/ISKCON_Swamis_-_R_to_Y/His_Holiness_Radhanath_Swami/Lectures/Russian_Translation/Parikramas/Jaipur/1995_Day-02_Part-01_Jaya_Radhe_Jaya_Krishna_Radhanath_Swami_Jaipur.mp3", "1995_Day-02_Part-01_Jaya_Radhe_Jaya_Krishna_Radhanath_Swami_Jaipur.mp3")</f>
        <v>1995_Day-02_Part-01_Jaya_Radhe_Jaya_Krishna_Radhanath_Swami_Jaipur.mp3</v>
      </c>
      <c r="D5901" s="24"/>
      <c r="E5901" s="24"/>
    </row>
    <row r="5902">
      <c r="A5902" s="25" t="s">
        <v>18860</v>
      </c>
      <c r="B5902" s="25" t="s">
        <v>18863</v>
      </c>
      <c r="C5902" s="26" t="str">
        <f>HYPERLINK("https://audio.iskcondesiretree.com/02_-_ISKCON_Swamis/ISKCON_Swamis_-_R_to_Y/His_Holiness_Radhanath_Swami/Lectures/Russian_Translation/Parikramas/Jaipur/1995_Day-02_Part-02_Gopinatha_Radhanath_Swami_Jaipur.mp3", "1995_Day-02_Part-02_Gopinatha_Radhanath_Swami_Jaipur.mp3")</f>
        <v>1995_Day-02_Part-02_Gopinatha_Radhanath_Swami_Jaipur.mp3</v>
      </c>
      <c r="D5902" s="24"/>
      <c r="E5902" s="24"/>
    </row>
    <row r="5903">
      <c r="A5903" s="25" t="s">
        <v>18860</v>
      </c>
      <c r="B5903" s="25" t="s">
        <v>18863</v>
      </c>
      <c r="C5903" s="26" t="str">
        <f>HYPERLINK("https://audio.iskcondesiretree.com/02_-_ISKCON_Swamis/ISKCON_Swamis_-_R_to_Y/His_Holiness_Radhanath_Swami/Lectures/Russian_Translation/Parikramas/Jaipur/1995_Day-02_Part-03_Madhu_Pandit%27s_Darsan_Jayadvaita_Swami_Jaipur.mp3", "1995_Day-02_Part-03_Madhu_Pandit%27s_Darsan_Jayadvaita_Swami_Jaipur.mp3")</f>
        <v>1995_Day-02_Part-03_Madhu_Pandit%27s_Darsan_Jayadvaita_Swami_Jaipur.mp3</v>
      </c>
      <c r="D5903" s="24"/>
      <c r="E5903" s="24"/>
    </row>
    <row r="5904">
      <c r="A5904" s="25" t="s">
        <v>18860</v>
      </c>
      <c r="B5904" s="25" t="s">
        <v>18863</v>
      </c>
      <c r="C5904" s="26" t="str">
        <f>HYPERLINK("https://audio.iskcondesiretree.com/02_-_ISKCON_Swamis/ISKCON_Swamis_-_R_to_Y/His_Holiness_Radhanath_Swami/Lectures/Russian_Translation/Parikramas/Jaipur/1995_Day-02_Part-04_Vaisnava_aparadha_Giriraj_Swami_Jaipur.mp3", "1995_Day-02_Part-04_Vaisnava_aparadha_Giriraj_Swami_Jaipur.mp3")</f>
        <v>1995_Day-02_Part-04_Vaisnava_aparadha_Giriraj_Swami_Jaipur.mp3</v>
      </c>
      <c r="D5904" s="24"/>
      <c r="E5904" s="24"/>
    </row>
    <row r="5905">
      <c r="A5905" s="25" t="s">
        <v>18860</v>
      </c>
      <c r="B5905" s="25" t="s">
        <v>18863</v>
      </c>
      <c r="C5905" s="26" t="str">
        <f>HYPERLINK("https://audio.iskcondesiretree.com/02_-_ISKCON_Swamis/ISKCON_Swamis_-_R_to_Y/His_Holiness_Radhanath_Swami/Lectures/Russian_Translation/Parikramas/Jaipur/1995_Day-03_Part-01_Jaya_Radha_Vinoda_kirtan_Radhanath_Swami_Jaipur.mp3", "1995_Day-03_Part-01_Jaya_Radha_Vinoda_kirtan_Radhanath_Swami_Jaipur.mp3")</f>
        <v>1995_Day-03_Part-01_Jaya_Radha_Vinoda_kirtan_Radhanath_Swami_Jaipur.mp3</v>
      </c>
      <c r="D5905" s="24"/>
      <c r="E5905" s="24"/>
    </row>
    <row r="5906">
      <c r="A5906" s="25" t="s">
        <v>18860</v>
      </c>
      <c r="B5906" s="25" t="s">
        <v>18863</v>
      </c>
      <c r="C5906" s="26" t="str">
        <f>HYPERLINK("https://audio.iskcondesiretree.com/02_-_ISKCON_Swamis/ISKCON_Swamis_-_R_to_Y/His_Holiness_Radhanath_Swami/Lectures/Russian_Translation/Parikramas/Jaipur/1995_Day-03_Part-02_Sri_Sri_Radha_Vinoda_Radhanath_Swami_Jaipur.mp3", "1995_Day-03_Part-02_Sri_Sri_Radha_Vinoda_Radhanath_Swami_Jaipur.mp3")</f>
        <v>1995_Day-03_Part-02_Sri_Sri_Radha_Vinoda_Radhanath_Swami_Jaipur.mp3</v>
      </c>
      <c r="D5906" s="24"/>
      <c r="E5906" s="24"/>
    </row>
    <row r="5907">
      <c r="A5907" s="25" t="s">
        <v>18860</v>
      </c>
      <c r="B5907" s="25" t="s">
        <v>18863</v>
      </c>
      <c r="C5907" s="26" t="str">
        <f>HYPERLINK("https://audio.iskcondesiretree.com/02_-_ISKCON_Swamis/ISKCON_Swamis_-_R_to_Y/His_Holiness_Radhanath_Swami/Lectures/Russian_Translation/Parikramas/Jaipur/1995_Day-04_Part-01_Jaya_Radha_Damodar_kirtan_Radhanath_Swami_Jaipur.mp3", "1995_Day-04_Part-01_Jaya_Radha_Damodar_kirtan_Radhanath_Swami_Jaipur.mp3")</f>
        <v>1995_Day-04_Part-01_Jaya_Radha_Damodar_kirtan_Radhanath_Swami_Jaipur.mp3</v>
      </c>
      <c r="D5907" s="24"/>
      <c r="E5907" s="24"/>
    </row>
    <row r="5908">
      <c r="A5908" s="25" t="s">
        <v>18860</v>
      </c>
      <c r="B5908" s="25" t="s">
        <v>18863</v>
      </c>
      <c r="C5908" s="26" t="str">
        <f>HYPERLINK("https://audio.iskcondesiretree.com/02_-_ISKCON_Swamis/ISKCON_Swamis_-_R_to_Y/His_Holiness_Radhanath_Swami/Lectures/Russian_Translation/Parikramas/Jaipur/1995_Day-04_Part-02_Pastimes_of_Radha_Damodar_Radhanath_Swami_jaipur.mp3", "1995_Day-04_Part-02_Pastimes_of_Radha_Damodar_Radhanath_Swami_jaipur.mp3")</f>
        <v>1995_Day-04_Part-02_Pastimes_of_Radha_Damodar_Radhanath_Swami_jaipur.mp3</v>
      </c>
      <c r="D5908" s="24"/>
      <c r="E5908" s="24"/>
    </row>
    <row r="5909">
      <c r="A5909" s="25" t="s">
        <v>18860</v>
      </c>
      <c r="B5909" s="25" t="s">
        <v>18863</v>
      </c>
      <c r="C5909" s="26" t="str">
        <f>HYPERLINK("https://audio.iskcondesiretree.com/02_-_ISKCON_Swamis/ISKCON_Swamis_-_R_to_Y/His_Holiness_Radhanath_Swami/Lectures/Russian_Translation/Parikramas/Jaipur/1995_Day-04_Part-03_Pastimes_of_Radha_Damodar_Giriraj_Swami_Jaipur.mp3", "1995_Day-04_Part-03_Pastimes_of_Radha_Damodar_Giriraj_Swami_Jaipur.mp3")</f>
        <v>1995_Day-04_Part-03_Pastimes_of_Radha_Damodar_Giriraj_Swami_Jaipur.mp3</v>
      </c>
      <c r="D5909" s="24"/>
      <c r="E5909" s="24"/>
    </row>
    <row r="5910">
      <c r="A5910" s="25" t="s">
        <v>18860</v>
      </c>
      <c r="B5910" s="25" t="s">
        <v>18863</v>
      </c>
      <c r="C5910" s="26" t="str">
        <f>HYPERLINK("https://audio.iskcondesiretree.com/02_-_ISKCON_Swamis/ISKCON_Swamis_-_R_to_Y/His_Holiness_Radhanath_Swami/Lectures/Russian_Translation/Parikramas/Jaipur/1995_Day-04_Part-04_Damodarastaka_Kirtan_Radhanath_Swami%20.mp3", "1995_Day-04_Part-04_Damodarastaka_Kirtan_Radhanath_Swami%20.mp3")</f>
        <v>1995_Day-04_Part-04_Damodarastaka_Kirtan_Radhanath_Swami%20.mp3</v>
      </c>
      <c r="D5910" s="24"/>
      <c r="E5910" s="24"/>
    </row>
    <row r="5911">
      <c r="A5911" s="25" t="s">
        <v>18860</v>
      </c>
      <c r="B5911" s="25" t="s">
        <v>18863</v>
      </c>
      <c r="C5911" s="26" t="str">
        <f>HYPERLINK("https://audio.iskcondesiretree.com/02_-_ISKCON_Swamis/ISKCON_Swamis_-_R_to_Y/His_Holiness_Radhanath_Swami/Lectures/Russian_Translation/Parikramas/Jaipur/1995_Day-05_Part-01_Madana_Mohanji_radhanath_Swami_Jaipur.mp3", "1995_Day-05_Part-01_Madana_Mohanji_radhanath_Swami_Jaipur.mp3")</f>
        <v>1995_Day-05_Part-01_Madana_Mohanji_radhanath_Swami_Jaipur.mp3</v>
      </c>
      <c r="D5911" s="24"/>
      <c r="E5911" s="24"/>
    </row>
    <row r="5912">
      <c r="A5912" s="25" t="s">
        <v>18860</v>
      </c>
      <c r="B5912" s="25" t="s">
        <v>18863</v>
      </c>
      <c r="C5912" s="26" t="str">
        <f>HYPERLINK("https://audio.iskcondesiretree.com/02_-_ISKCON_Swamis/ISKCON_Swamis_-_R_to_Y/His_Holiness_Radhanath_Swami/Lectures/Russian_Translation/Parikramas/Jaipur/1995_Day-06_Part-01_Jaya_Radha_Madhava_Radhanath_Swami_Jaipur.mp3", "1995_Day-06_Part-01_Jaya_Radha_Madhava_Radhanath_Swami_Jaipur.mp3")</f>
        <v>1995_Day-06_Part-01_Jaya_Radha_Madhava_Radhanath_Swami_Jaipur.mp3</v>
      </c>
      <c r="D5912" s="24"/>
      <c r="E5912" s="24"/>
    </row>
    <row r="5913">
      <c r="A5913" s="25" t="s">
        <v>18860</v>
      </c>
      <c r="B5913" s="25" t="s">
        <v>18863</v>
      </c>
      <c r="C5913" s="26" t="str">
        <f>HYPERLINK("https://audio.iskcondesiretree.com/02_-_ISKCON_Swamis/ISKCON_Swamis_-_R_to_Y/His_Holiness_Radhanath_Swami/Lectures/Russian_Translation/Parikramas/Jaipur/1995_Day-06_Part-02_Jayadeva_Gosvami_Radhanath_Swami_Jaipur.mp3", "1995_Day-06_Part-02_Jayadeva_Gosvami_Radhanath_Swami_Jaipur.mp3")</f>
        <v>1995_Day-06_Part-02_Jayadeva_Gosvami_Radhanath_Swami_Jaipur.mp3</v>
      </c>
      <c r="D5913" s="24"/>
      <c r="E5913" s="24"/>
    </row>
    <row r="5914">
      <c r="A5914" s="25" t="s">
        <v>18860</v>
      </c>
      <c r="B5914" s="25" t="s">
        <v>18863</v>
      </c>
      <c r="C5914" s="26" t="str">
        <f>HYPERLINK("https://audio.iskcondesiretree.com/02_-_ISKCON_Swamis/ISKCON_Swamis_-_R_to_Y/His_Holiness_Radhanath_Swami/Lectures/Russian_Translation/Parikramas/Jaipur/1995_Day-06_Part-03_Jayadeva_Gosvami_Giriraj_Swami_Jaipur.mp3", "1995_Day-06_Part-03_Jayadeva_Gosvami_Giriraj_Swami_Jaipur.mp3")</f>
        <v>1995_Day-06_Part-03_Jayadeva_Gosvami_Giriraj_Swami_Jaipur.mp3</v>
      </c>
      <c r="D5914" s="24"/>
      <c r="E5914" s="24"/>
    </row>
    <row r="5915">
      <c r="A5915" s="25" t="s">
        <v>18860</v>
      </c>
      <c r="B5915" s="25" t="s">
        <v>18863</v>
      </c>
      <c r="C5915" s="26" t="str">
        <f>HYPERLINK("https://audio.iskcondesiretree.com/02_-_ISKCON_Swamis/ISKCON_Swamis_-_R_to_Y/His_Holiness_Radhanath_Swami/Lectures/Russian_Translation/Parikramas/Jaipur/1995_Day-07_Part-01_Baladeva_Vidyabhusana_Radhanath_Swami_Jaipur.mp3", "1995_Day-07_Part-01_Baladeva_Vidyabhusana_Radhanath_Swami_Jaipur.mp3")</f>
        <v>1995_Day-07_Part-01_Baladeva_Vidyabhusana_Radhanath_Swami_Jaipur.mp3</v>
      </c>
      <c r="D5915" s="24"/>
      <c r="E5915" s="24"/>
    </row>
    <row r="5916">
      <c r="A5916" s="25" t="s">
        <v>18860</v>
      </c>
      <c r="B5916" s="25" t="s">
        <v>18863</v>
      </c>
      <c r="C5916" s="26" t="str">
        <f>HYPERLINK("https://audio.iskcondesiretree.com/02_-_ISKCON_Swamis/ISKCON_Swamis_-_R_to_Y/His_Holiness_Radhanath_Swami/Lectures/Russian_Translation/Parikramas/Jaipur/1995_Day-08_Part-01_Jaya_Radha_Krishna_Giti_Radhanath_Swami_Jaipur.mp3", "1995_Day-08_Part-01_Jaya_Radha_Krishna_Giti_Radhanath_Swami_Jaipur.mp3")</f>
        <v>1995_Day-08_Part-01_Jaya_Radha_Krishna_Giti_Radhanath_Swami_Jaipur.mp3</v>
      </c>
      <c r="D5916" s="24"/>
      <c r="E5916" s="24"/>
    </row>
    <row r="5917">
      <c r="A5917" s="25" t="s">
        <v>18860</v>
      </c>
      <c r="B5917" s="25" t="s">
        <v>18863</v>
      </c>
      <c r="C5917" s="26" t="str">
        <f>HYPERLINK("https://audio.iskcondesiretree.com/02_-_ISKCON_Swamis/ISKCON_Swamis_-_R_to_Y/His_Holiness_Radhanath_Swami/Lectures/Russian_Translation/Parikramas/Jaipur/1995_Day-8_Part-2_Jaya_Radha_Krishna_Giti_cont_Radhanath_Swami_Jaipur.mp3", "1995_Day-8_Part-2_Jaya_Radha_Krishna_Giti_cont_Radhanath_Swami_Jaipur.mp3")</f>
        <v>1995_Day-8_Part-2_Jaya_Radha_Krishna_Giti_cont_Radhanath_Swami_Jaipur.mp3</v>
      </c>
      <c r="D5917" s="24"/>
      <c r="E5917" s="24"/>
    </row>
    <row r="5918">
      <c r="A5918" s="25" t="s">
        <v>18860</v>
      </c>
      <c r="B5918" s="25" t="s">
        <v>18863</v>
      </c>
      <c r="C5918" s="26" t="str">
        <f>HYPERLINK("https://audio.iskcondesiretree.com/02_-_ISKCON_Swamis/ISKCON_Swamis_-_R_to_Y/His_Holiness_Radhanath_Swami/Lectures/Russian_Translation/Parikramas/South_India/1999_Day-01_Part-01_Kurma_ksetra_Radhanath_Swami_1999-06-02_South_India.mp3", "1999_Day-01_Part-01_Kurma_ksetra_Radhanath_Swami_1999-06-02_South_India.mp3")</f>
        <v>1999_Day-01_Part-01_Kurma_ksetra_Radhanath_Swami_1999-06-02_South_India.mp3</v>
      </c>
      <c r="D5918" s="24"/>
      <c r="E5918" s="24"/>
    </row>
    <row r="5919">
      <c r="A5919" s="25" t="s">
        <v>18860</v>
      </c>
      <c r="B5919" s="25" t="s">
        <v>18863</v>
      </c>
      <c r="C5919" s="26" t="str">
        <f>HYPERLINK("https://audio.iskcondesiretree.com/02_-_ISKCON_Swamis/ISKCON_Swamis_-_R_to_Y/His_Holiness_Radhanath_Swami/Lectures/Russian_Translation/Parikramas/South_India/1999_Day-02_Part-01_Simhacalam_Radhanath_Swami_1999-06-03_South_India.mp3", "1999_Day-02_Part-01_Simhacalam_Radhanath_Swami_1999-06-03_South_India.mp3")</f>
        <v>1999_Day-02_Part-01_Simhacalam_Radhanath_Swami_1999-06-03_South_India.mp3</v>
      </c>
      <c r="D5919" s="24"/>
      <c r="E5919" s="24"/>
    </row>
    <row r="5920">
      <c r="A5920" s="25" t="s">
        <v>18860</v>
      </c>
      <c r="B5920" s="25" t="s">
        <v>18863</v>
      </c>
      <c r="C5920" s="26" t="str">
        <f>HYPERLINK("https://audio.iskcondesiretree.com/02_-_ISKCON_Swamis/ISKCON_Swamis_-_R_to_Y/His_Holiness_Radhanath_Swami/Lectures/Russian_Translation/Parikramas/South_India/1999_Day-03_part-01_Kabur_Radhanath_Swami_1999-06-04_South_India.mp3", "1999_Day-03_part-01_Kabur_Radhanath_Swami_1999-06-04_South_India.mp3")</f>
        <v>1999_Day-03_part-01_Kabur_Radhanath_Swami_1999-06-04_South_India.mp3</v>
      </c>
      <c r="D5920" s="24"/>
      <c r="E5920" s="24"/>
    </row>
    <row r="5921">
      <c r="A5921" s="25" t="s">
        <v>18860</v>
      </c>
      <c r="B5921" s="25" t="s">
        <v>18863</v>
      </c>
      <c r="C5921" s="26" t="str">
        <f>HYPERLINK("https://audio.iskcondesiretree.com/02_-_ISKCON_Swamis/ISKCON_Swamis_-_R_to_Y/His_Holiness_Radhanath_Swami/Lectures/Russian_Translation/Parikramas/South_India/1999_Day-03_Part-02_Kabur_Radhanath_Swami_1999-06-04_South_India.mp3", "1999_Day-03_Part-02_Kabur_Radhanath_Swami_1999-06-04_South_India.mp3")</f>
        <v>1999_Day-03_Part-02_Kabur_Radhanath_Swami_1999-06-04_South_India.mp3</v>
      </c>
      <c r="D5921" s="24"/>
      <c r="E5921" s="24"/>
    </row>
    <row r="5922">
      <c r="A5922" s="25" t="s">
        <v>18860</v>
      </c>
      <c r="B5922" s="25" t="s">
        <v>18863</v>
      </c>
      <c r="C5922" s="26" t="str">
        <f>HYPERLINK("https://audio.iskcondesiretree.com/02_-_ISKCON_Swamis/ISKCON_Swamis_-_R_to_Y/His_Holiness_Radhanath_Swami/Lectures/Russian_Translation/Parikramas/South_India/1999_Day-04_Part-01_Mangalagiri_Radhanath_Swami_1999-06-05_South_India.mp3", "1999_Day-04_Part-01_Mangalagiri_Radhanath_Swami_1999-06-05_South_India.mp3")</f>
        <v>1999_Day-04_Part-01_Mangalagiri_Radhanath_Swami_1999-06-05_South_India.mp3</v>
      </c>
      <c r="D5922" s="24"/>
      <c r="E5922" s="24"/>
    </row>
    <row r="5923">
      <c r="A5923" s="25" t="s">
        <v>18860</v>
      </c>
      <c r="B5923" s="25" t="s">
        <v>18863</v>
      </c>
      <c r="C5923" s="26" t="str">
        <f>HYPERLINK("https://audio.iskcondesiretree.com/02_-_ISKCON_Swamis/ISKCON_Swamis_-_R_to_Y/His_Holiness_Radhanath_Swami/Lectures/Russian_Translation/Parikramas/South_India/1999_Day-05_Part-01_Ahovalam_Glories_of_Prahlada_Radhanath_Swami_1999-06-07_South_India.mp3", "1999_Day-05_Part-01_Ahovalam_Glories_of_Prahlada_Radhanath_Swami_1999-06-07_South_India.mp3")</f>
        <v>1999_Day-05_Part-01_Ahovalam_Glories_of_Prahlada_Radhanath_Swami_1999-06-07_South_India.mp3</v>
      </c>
      <c r="D5923" s="24"/>
      <c r="E5923" s="24"/>
    </row>
    <row r="5924">
      <c r="A5924" s="25" t="s">
        <v>18860</v>
      </c>
      <c r="B5924" s="25" t="s">
        <v>18863</v>
      </c>
      <c r="C5924" s="26" t="str">
        <f>HYPERLINK("https://audio.iskcondesiretree.com/02_-_ISKCON_Swamis/ISKCON_Swamis_-_R_to_Y/His_Holiness_Radhanath_Swami/Lectures/Russian_Translation/Parikramas/South_India/1999_Day-06_Part-01_Ahovalam_Radhanath_Swami_1999-06-09_South_India.mp3", "1999_Day-06_Part-01_Ahovalam_Radhanath_Swami_1999-06-09_South_India.mp3")</f>
        <v>1999_Day-06_Part-01_Ahovalam_Radhanath_Swami_1999-06-09_South_India.mp3</v>
      </c>
      <c r="D5924" s="24"/>
      <c r="E5924" s="24"/>
    </row>
    <row r="5925">
      <c r="A5925" s="25" t="s">
        <v>18860</v>
      </c>
      <c r="B5925" s="25" t="s">
        <v>18863</v>
      </c>
      <c r="C5925" s="26" t="str">
        <f>HYPERLINK("https://audio.iskcondesiretree.com/02_-_ISKCON_Swamis/ISKCON_Swamis_-_R_to_Y/His_Holiness_Radhanath_Swami/Lectures/Russian_Translation/Parikramas/South_India/1999_Day-07_Part-01_Ahovalam_Radhanath_Swami_1999-06-09_South_India.mp3", "1999_Day-07_Part-01_Ahovalam_Radhanath_Swami_1999-06-09_South_India.mp3")</f>
        <v>1999_Day-07_Part-01_Ahovalam_Radhanath_Swami_1999-06-09_South_India.mp3</v>
      </c>
      <c r="D5925" s="24"/>
      <c r="E5925" s="24"/>
    </row>
    <row r="5926">
      <c r="A5926" s="25" t="s">
        <v>18860</v>
      </c>
      <c r="B5926" s="25" t="s">
        <v>18863</v>
      </c>
      <c r="C5926" s="26" t="str">
        <f>HYPERLINK("https://audio.iskcondesiretree.com/02_-_ISKCON_Swamis/ISKCON_Swamis_-_R_to_Y/His_Holiness_Radhanath_Swami/Lectures/Russian_Translation/Parikramas/South_India/1999_Day-08_Part-01_Tirupati_Radhanath_Swami_1999-06-11_South_India.mp3", "1999_Day-08_Part-01_Tirupati_Radhanath_Swami_1999-06-11_South_India.mp3")</f>
        <v>1999_Day-08_Part-01_Tirupati_Radhanath_Swami_1999-06-11_South_India.mp3</v>
      </c>
      <c r="D5926" s="24"/>
      <c r="E5926" s="24"/>
    </row>
    <row r="5927">
      <c r="A5927" s="25" t="s">
        <v>18860</v>
      </c>
      <c r="B5927" s="25" t="s">
        <v>18863</v>
      </c>
      <c r="C5927" s="26" t="str">
        <f>HYPERLINK("https://audio.iskcondesiretree.com/02_-_ISKCON_Swamis/ISKCON_Swamis_-_R_to_Y/His_Holiness_Radhanath_Swami/Lectures/Russian_Translation/Parikramas/South_India/1999_Day-08_Part-02_Tirupati_Radhanath_Swami_1999-06-11_South_India.mp3", "1999_Day-08_Part-02_Tirupati_Radhanath_Swami_1999-06-11_South_India.mp3")</f>
        <v>1999_Day-08_Part-02_Tirupati_Radhanath_Swami_1999-06-11_South_India.mp3</v>
      </c>
      <c r="D5927" s="24"/>
      <c r="E5927" s="24"/>
    </row>
    <row r="5928">
      <c r="A5928" s="25" t="s">
        <v>18860</v>
      </c>
      <c r="B5928" s="25" t="s">
        <v>18863</v>
      </c>
      <c r="C5928" s="26" t="str">
        <f>HYPERLINK("https://audio.iskcondesiretree.com/02_-_ISKCON_Swamis/ISKCON_Swamis_-_R_to_Y/His_Holiness_Radhanath_Swami/Lectures/Russian_Translation/Parikramas/Vrindavan/1999_01_Nandagram_Radhanath_Swami_-_1999-11-10.mp3", "1999_01_Nandagram_Radhanath_Swami_-_1999-11-10.mp3")</f>
        <v>1999_01_Nandagram_Radhanath_Swami_-_1999-11-10.mp3</v>
      </c>
      <c r="D5928" s="24"/>
      <c r="E5928" s="24"/>
    </row>
    <row r="5929">
      <c r="A5929" s="25" t="s">
        <v>18860</v>
      </c>
      <c r="B5929" s="25" t="s">
        <v>18863</v>
      </c>
      <c r="C5929" s="26" t="str">
        <f>HYPERLINK("https://audio.iskcondesiretree.com/02_-_ISKCON_Swamis/ISKCON_Swamis_-_R_to_Y/His_Holiness_Radhanath_Swami/Lectures/Russian_Translation/Parikramas/Vrindavan/1999_01_Varshana_Radhanath_Swami_-_1999-11-07.mp3", "1999_01_Varshana_Radhanath_Swami_-_1999-11-07.mp3")</f>
        <v>1999_01_Varshana_Radhanath_Swami_-_1999-11-07.mp3</v>
      </c>
      <c r="D5929" s="24"/>
      <c r="E5929" s="24"/>
    </row>
    <row r="5930">
      <c r="A5930" s="25" t="s">
        <v>18860</v>
      </c>
      <c r="B5930" s="25" t="s">
        <v>18863</v>
      </c>
      <c r="C5930" s="26" t="str">
        <f>HYPERLINK("https://audio.iskcondesiretree.com/02_-_ISKCON_Swamis/ISKCON_Swamis_-_R_to_Y/His_Holiness_Radhanath_Swami/Lectures/Russian_Translation/Parikramas/Vrindavan/1999_01_Vrindavan_Radhanath_Swami_1999-11-06.mp3", "1999_01_Vrindavan_Radhanath_Swami_1999-11-06.mp3")</f>
        <v>1999_01_Vrindavan_Radhanath_Swami_1999-11-06.mp3</v>
      </c>
      <c r="D5930" s="24"/>
      <c r="E5930" s="24"/>
    </row>
    <row r="5931">
      <c r="A5931" s="25" t="s">
        <v>18860</v>
      </c>
      <c r="B5931" s="25" t="s">
        <v>18863</v>
      </c>
      <c r="C5931" s="26" t="str">
        <f>HYPERLINK("https://audio.iskcondesiretree.com/02_-_ISKCON_Swamis/ISKCON_Swamis_-_R_to_Y/His_Holiness_Radhanath_Swami/Lectures/Russian_Translation/Parikramas/Vrindavan/1999_02_Nandagram_Talavan_Radhanath_Swami_-_1999-11-10.mp3", "1999_02_Nandagram_Talavan_Radhanath_Swami_-_1999-11-10.mp3")</f>
        <v>1999_02_Nandagram_Talavan_Radhanath_Swami_-_1999-11-10.mp3</v>
      </c>
      <c r="D5931" s="24"/>
      <c r="E5931" s="24"/>
    </row>
    <row r="5932">
      <c r="A5932" s="25" t="s">
        <v>18860</v>
      </c>
      <c r="B5932" s="25" t="s">
        <v>18863</v>
      </c>
      <c r="C5932" s="26" t="str">
        <f>HYPERLINK("https://audio.iskcondesiretree.com/02_-_ISKCON_Swamis/ISKCON_Swamis_-_R_to_Y/His_Holiness_Radhanath_Swami/Lectures/Russian_Translation/Parikramas/Vrindavan/1999_02_Varshana_Radhanath_Swami_-_1999-11-07.mp3", "1999_02_Varshana_Radhanath_Swami_-_1999-11-07.mp3")</f>
        <v>1999_02_Varshana_Radhanath_Swami_-_1999-11-07.mp3</v>
      </c>
      <c r="D5932" s="24"/>
      <c r="E5932" s="24"/>
    </row>
    <row r="5933">
      <c r="A5933" s="25" t="s">
        <v>18860</v>
      </c>
      <c r="B5933" s="25" t="s">
        <v>18863</v>
      </c>
      <c r="C5933" s="26" t="str">
        <f>HYPERLINK("https://audio.iskcondesiretree.com/02_-_ISKCON_Swamis/ISKCON_Swamis_-_R_to_Y/His_Holiness_Radhanath_Swami/Lectures/Russian_Translation/Parikramas/Vrindavan/1999_02_Vrindavan_Radhanath_Swami_-_1999-11-06.mp3", "1999_02_Vrindavan_Radhanath_Swami_-_1999-11-06.mp3")</f>
        <v>1999_02_Vrindavan_Radhanath_Swami_-_1999-11-06.mp3</v>
      </c>
      <c r="D5933" s="24"/>
      <c r="E5933" s="24"/>
    </row>
    <row r="5934">
      <c r="A5934" s="25" t="s">
        <v>18860</v>
      </c>
      <c r="B5934" s="25" t="s">
        <v>18863</v>
      </c>
      <c r="C5934" s="26" t="str">
        <f>HYPERLINK("https://audio.iskcondesiretree.com/02_-_ISKCON_Swamis/ISKCON_Swamis_-_R_to_Y/His_Holiness_Radhanath_Swami/Lectures/Russian_Translation/Parikramas/Vrindavan/1999_03_Varshana_Radhanath_Swami_-_1999-11-07.mp3", "1999_03_Varshana_Radhanath_Swami_-_1999-11-07.mp3")</f>
        <v>1999_03_Varshana_Radhanath_Swami_-_1999-11-07.mp3</v>
      </c>
      <c r="D5934" s="24"/>
      <c r="E5934" s="24"/>
    </row>
    <row r="5935">
      <c r="A5935" s="25" t="s">
        <v>18860</v>
      </c>
      <c r="B5935" s="25" t="s">
        <v>18863</v>
      </c>
      <c r="C5935" s="26" t="str">
        <f>HYPERLINK("https://audio.iskcondesiretree.com/02_-_ISKCON_Swamis/ISKCON_Swamis_-_R_to_Y/His_Holiness_Radhanath_Swami/Lectures/Russian_Translation/Parikramas/Vrindavan/1999_03_Vrindavan_Radhanath_Swami_-_1999-11-06.mp3", "1999_03_Vrindavan_Radhanath_Swami_-_1999-11-06.mp3")</f>
        <v>1999_03_Vrindavan_Radhanath_Swami_-_1999-11-06.mp3</v>
      </c>
      <c r="D5935" s="24"/>
      <c r="E5935" s="24"/>
    </row>
    <row r="5936">
      <c r="A5936" s="25" t="s">
        <v>18860</v>
      </c>
      <c r="B5936" s="25" t="s">
        <v>18863</v>
      </c>
      <c r="C5936" s="26" t="str">
        <f>HYPERLINK("https://audio.iskcondesiretree.com/02_-_ISKCON_Swamis/ISKCON_Swamis_-_R_to_Y/His_Holiness_Radhanath_Swami/Lectures/Russian_Translation/Parikramas/Vrindavan/1999_Brahma_lila_vimohana_Radhanath_swami_-_1999.11.xx.mp3", "1999_Brahma_lila_vimohana_Radhanath_swami_-_1999.11.xx.mp3")</f>
        <v>1999_Brahma_lila_vimohana_Radhanath_swami_-_1999.11.xx.mp3</v>
      </c>
      <c r="D5936" s="24"/>
      <c r="E5936" s="24"/>
    </row>
    <row r="5937">
      <c r="A5937" s="25" t="s">
        <v>18860</v>
      </c>
      <c r="B5937" s="25" t="s">
        <v>18863</v>
      </c>
      <c r="C5937" s="26" t="str">
        <f>HYPERLINK("https://audio.iskcondesiretree.com/02_-_ISKCON_Swamis/ISKCON_Swamis_-_R_to_Y/His_Holiness_Radhanath_Swami/Lectures/Russian_Translation/Parikramas/Vrindavan/1999_Govardhana_Radhanath_Swami_-_1999-11-08.mp3", "1999_Govardhana_Radhanath_Swami_-_1999-11-08.mp3")</f>
        <v>1999_Govardhana_Radhanath_Swami_-_1999-11-08.mp3</v>
      </c>
      <c r="D5937" s="24"/>
      <c r="E5937" s="24"/>
    </row>
    <row r="5938">
      <c r="A5938" s="25" t="s">
        <v>18860</v>
      </c>
      <c r="B5938" s="25" t="s">
        <v>18863</v>
      </c>
      <c r="C5938" s="26" t="str">
        <f>HYPERLINK("https://audio.iskcondesiretree.com/02_-_ISKCON_Swamis/ISKCON_Swamis_-_R_to_Y/His_Holiness_Radhanath_Swami/Lectures/Russian_Translation/Parikramas/Vrindavan/1999_Radha_Kunda_Radhanath_Swami_-_1999-11-11.mp3", "1999_Radha_Kunda_Radhanath_Swami_-_1999-11-11.mp3")</f>
        <v>1999_Radha_Kunda_Radhanath_Swami_-_1999-11-11.mp3</v>
      </c>
      <c r="D5938" s="24"/>
      <c r="E5938" s="24"/>
    </row>
    <row r="5939">
      <c r="A5939" s="25" t="s">
        <v>18860</v>
      </c>
      <c r="B5939" s="25" t="s">
        <v>18863</v>
      </c>
      <c r="C5939" s="26" t="str">
        <f>HYPERLINK("https://audio.iskcondesiretree.com/02_-_ISKCON_Swamis/ISKCON_Swamis_-_R_to_Y/His_Holiness_Radhanath_Swami/Lectures/Russian_Translation/Parikramas/Vrindavan_Jaipur_Yatra/2002_%26_2004_Day-02_Part-01_Kaliya_ghat_continue_-_Radhanath_Swami.mp3", "2002_%26_2004_Day-02_Part-01_Kaliya_ghat_continue_-_Radhanath_Swami.mp3")</f>
        <v>2002_%26_2004_Day-02_Part-01_Kaliya_ghat_continue_-_Radhanath_Swami.mp3</v>
      </c>
      <c r="D5939" s="24"/>
      <c r="E5939" s="24"/>
    </row>
    <row r="5940">
      <c r="A5940" s="25" t="s">
        <v>18860</v>
      </c>
      <c r="B5940" s="25" t="s">
        <v>18863</v>
      </c>
      <c r="C5940" s="26" t="str">
        <f>HYPERLINK("https://audio.iskcondesiretree.com/02_-_ISKCON_Swamis/ISKCON_Swamis_-_R_to_Y/His_Holiness_Radhanath_Swami/Lectures/Russian_Translation/Parikramas/Vrindavan_Jaipur_Yatra/2002_%26_2004_Day-02_Part-02_Madana_Mohan_deity_-_Radhanath_Swami.mp3", "2002_%26_2004_Day-02_Part-02_Madana_Mohan_deity_-_Radhanath_Swami.mp3")</f>
        <v>2002_%26_2004_Day-02_Part-02_Madana_Mohan_deity_-_Radhanath_Swami.mp3</v>
      </c>
      <c r="D5940" s="24"/>
      <c r="E5940" s="24"/>
    </row>
    <row r="5941">
      <c r="A5941" s="25" t="s">
        <v>18860</v>
      </c>
      <c r="B5941" s="25" t="s">
        <v>18863</v>
      </c>
      <c r="C5941" s="26" t="str">
        <f>HYPERLINK("https://audio.iskcondesiretree.com/02_-_ISKCON_Swamis/ISKCON_Swamis_-_R_to_Y/His_Holiness_Radhanath_Swami/Lectures/Russian_Translation/Parikramas/Vrindavan_Jaipur_Yatra/2002_%26_2004_Day-02_Part-03_Akrura_ghat_Imli_tal_-_Radhanath_Swami.mp3", "2002_%26_2004_Day-02_Part-03_Akrura_ghat_Imli_tal_-_Radhanath_Swami.mp3")</f>
        <v>2002_%26_2004_Day-02_Part-03_Akrura_ghat_Imli_tal_-_Radhanath_Swami.mp3</v>
      </c>
      <c r="D5941" s="24"/>
      <c r="E5941" s="24"/>
    </row>
    <row r="5942">
      <c r="A5942" s="25" t="s">
        <v>18860</v>
      </c>
      <c r="B5942" s="25" t="s">
        <v>18863</v>
      </c>
      <c r="C5942" s="26" t="str">
        <f>HYPERLINK("https://audio.iskcondesiretree.com/02_-_ISKCON_Swamis/ISKCON_Swamis_-_R_to_Y/His_Holiness_Radhanath_Swami/Lectures/Russian_Translation/Parikramas/Vrindavan_Jaipur_Yatra/2002_%26_2004_Day-02_Part-04_Nityananda_Shringara_vat_Chir_ghat_-_Radhanath_Swami.mp3", "2002_%26_2004_Day-02_Part-04_Nityananda_Shringara_vat_Chir_ghat_-_Radhanath_Swami.mp3")</f>
        <v>2002_%26_2004_Day-02_Part-04_Nityananda_Shringara_vat_Chir_ghat_-_Radhanath_Swami.mp3</v>
      </c>
      <c r="D5942" s="24"/>
      <c r="E5942" s="24"/>
    </row>
    <row r="5943">
      <c r="A5943" s="25" t="s">
        <v>18860</v>
      </c>
      <c r="B5943" s="25" t="s">
        <v>18863</v>
      </c>
      <c r="C5943" s="26" t="str">
        <f>HYPERLINK("https://audio.iskcondesiretree.com/02_-_ISKCON_Swamis/ISKCON_Swamis_-_R_to_Y/His_Holiness_Radhanath_Swami/Lectures/Russian_Translation/Parikramas/Vrindavan_Jaipur_Yatra/2002_%26_2004_Day-02_Part-07_Kaliya_in_Heart_-_Jana_Nivas_Prabhu.mp3", "2002_%26_2004_Day-02_Part-07_Kaliya_in_Heart_-_Jana_Nivas_Prabhu.mp3")</f>
        <v>2002_%26_2004_Day-02_Part-07_Kaliya_in_Heart_-_Jana_Nivas_Prabhu.mp3</v>
      </c>
      <c r="D5943" s="24"/>
      <c r="E5943" s="24"/>
    </row>
    <row r="5944">
      <c r="A5944" s="25" t="s">
        <v>18860</v>
      </c>
      <c r="B5944" s="25" t="s">
        <v>18863</v>
      </c>
      <c r="C5944" s="26" t="str">
        <f>HYPERLINK("https://audio.iskcondesiretree.com/02_-_ISKCON_Swamis/ISKCON_Swamis_-_R_to_Y/His_Holiness_Radhanath_Swami/Lectures/Russian_Translation/Parikramas/Vrindavan_Jaipur_Yatra/2002_%26_2004_Day-03_Part-01_Srila_Prabhupada_in_Radha_Domodara_-_Radhanath_Swami.mp3", "2002_%26_2004_Day-03_Part-01_Srila_Prabhupada_in_Radha_Domodara_-_Radhanath_Swami.mp3")</f>
        <v>2002_%26_2004_Day-03_Part-01_Srila_Prabhupada_in_Radha_Domodara_-_Radhanath_Swami.mp3</v>
      </c>
      <c r="D5944" s="24"/>
      <c r="E5944" s="24"/>
    </row>
    <row r="5945">
      <c r="A5945" s="25" t="s">
        <v>18860</v>
      </c>
      <c r="B5945" s="25" t="s">
        <v>18863</v>
      </c>
      <c r="C5945" s="26" t="str">
        <f>HYPERLINK("https://audio.iskcondesiretree.com/02_-_ISKCON_Swamis/ISKCON_Swamis_-_R_to_Y/His_Holiness_Radhanath_Swami/Lectures/Russian_Translation/Parikramas/Vrindavan_Jaipur_Yatra/2002_%26_2004_Day-03_Part-02%20_Srila_Prabhupada_in_Radha_Domodara_-_Malati_Devi_Dasi."&amp;"mp3", "2002_%26_2004_Day-03_Part-02%20_Srila_Prabhupada_in_Radha_Domodara_-_Malati_Devi_Dasi.mp3")</f>
        <v>2002_%26_2004_Day-03_Part-02%20_Srila_Prabhupada_in_Radha_Domodara_-_Malati_Devi_Dasi.mp3</v>
      </c>
      <c r="D5945" s="24"/>
      <c r="E5945" s="24"/>
    </row>
    <row r="5946">
      <c r="A5946" s="25" t="s">
        <v>18860</v>
      </c>
      <c r="B5946" s="25" t="s">
        <v>18863</v>
      </c>
      <c r="C5946" s="26" t="str">
        <f>HYPERLINK("https://audio.iskcondesiretree.com/02_-_ISKCON_Swamis/ISKCON_Swamis_-_R_to_Y/His_Holiness_Radhanath_Swami/Lectures/Russian_Translation/Parikramas/Vrindavan_Jaipur_Yatra/2002_%26_2004_Day-04_Part-01_Varsana_-_Prabhu.mp3", "2002_%26_2004_Day-04_Part-01_Varsana_-_Prabhu.mp3")</f>
        <v>2002_%26_2004_Day-04_Part-01_Varsana_-_Prabhu.mp3</v>
      </c>
      <c r="D5946" s="24"/>
      <c r="E5946" s="24"/>
    </row>
    <row r="5947">
      <c r="A5947" s="25" t="s">
        <v>18860</v>
      </c>
      <c r="B5947" s="25" t="s">
        <v>18863</v>
      </c>
      <c r="C5947" s="26" t="str">
        <f>HYPERLINK("https://audio.iskcondesiretree.com/02_-_ISKCON_Swamis/ISKCON_Swamis_-_R_to_Y/His_Holiness_Radhanath_Swami/Lectures/Russian_Translation/Parikramas/Vrindavan_Jaipur_Yatra/2002_%26_2004_Day-04_Part-02_Krishna_Lila_-_Radhanath_Swami_Varsana.mp3", "2002_%26_2004_Day-04_Part-02_Krishna_Lila_-_Radhanath_Swami_Varsana.mp3")</f>
        <v>2002_%26_2004_Day-04_Part-02_Krishna_Lila_-_Radhanath_Swami_Varsana.mp3</v>
      </c>
      <c r="D5947" s="24"/>
      <c r="E5947" s="24"/>
    </row>
    <row r="5948">
      <c r="A5948" s="25" t="s">
        <v>18860</v>
      </c>
      <c r="B5948" s="25" t="s">
        <v>18863</v>
      </c>
      <c r="C5948" s="26" t="str">
        <f>HYPERLINK("https://audio.iskcondesiretree.com/02_-_ISKCON_Swamis/ISKCON_Swamis_-_R_to_Y/His_Holiness_Radhanath_Swami/Lectures/Russian_Translation/Parikramas/Vrindavan_Jaipur_Yatra/2002_%26_2004_Day-07_Part-01_Brahma_Vimohan_Lila_-_Radhanath_Swami.mp3", "2002_%26_2004_Day-07_Part-01_Brahma_Vimohan_Lila_-_Radhanath_Swami.mp3")</f>
        <v>2002_%26_2004_Day-07_Part-01_Brahma_Vimohan_Lila_-_Radhanath_Swami.mp3</v>
      </c>
      <c r="D5948" s="24"/>
      <c r="E5948" s="24"/>
    </row>
    <row r="5949">
      <c r="A5949" s="25" t="s">
        <v>18860</v>
      </c>
      <c r="B5949" s="25" t="s">
        <v>18863</v>
      </c>
      <c r="C5949" s="26" t="str">
        <f>HYPERLINK("https://audio.iskcondesiretree.com/02_-_ISKCON_Swamis/ISKCON_Swamis_-_R_to_Y/His_Holiness_Radhanath_Swami/Lectures/Russian_Translation/Parikramas/Vrindavan_Jaipur_Yatra/2002_%26_2004_Day-07_Part-02_Brahma_became_Haridas_-_Radhanath_Swami.mp3", "2002_%26_2004_Day-07_Part-02_Brahma_became_Haridas_-_Radhanath_Swami.mp3")</f>
        <v>2002_%26_2004_Day-07_Part-02_Brahma_became_Haridas_-_Radhanath_Swami.mp3</v>
      </c>
      <c r="D5949" s="24"/>
      <c r="E5949" s="24"/>
    </row>
    <row r="5950">
      <c r="A5950" s="25" t="s">
        <v>18860</v>
      </c>
      <c r="B5950" s="25" t="s">
        <v>18863</v>
      </c>
      <c r="C5950" s="26" t="str">
        <f>HYPERLINK("https://audio.iskcondesiretree.com/02_-_ISKCON_Swamis/ISKCON_Swamis_-_R_to_Y/His_Holiness_Radhanath_Swami/Lectures/Russian_Translation/Parikramas/Vrindavan_Jaipur_Yatra/2002_%26_2004_Day-07_Part-03_Bhajan_from_Gitavali_Sri_Nama_05_-_Radhanath_Swami.mp3", "2002_%26_2004_Day-07_Part-03_Bhajan_from_Gitavali_Sri_Nama_05_-_Radhanath_Swami.mp3")</f>
        <v>2002_%26_2004_Day-07_Part-03_Bhajan_from_Gitavali_Sri_Nama_05_-_Radhanath_Swami.mp3</v>
      </c>
      <c r="D5950" s="24"/>
      <c r="E5950" s="24"/>
    </row>
    <row r="5951">
      <c r="A5951" s="25" t="s">
        <v>18860</v>
      </c>
      <c r="B5951" s="25" t="s">
        <v>18863</v>
      </c>
      <c r="C5951" s="26" t="str">
        <f>HYPERLINK("https://audio.iskcondesiretree.com/02_-_ISKCON_Swamis/ISKCON_Swamis_-_R_to_Y/His_Holiness_Radhanath_Swami/Lectures/Russian_Translation/Parikramas/Vrindavan_Jaipur_Yatra/2002_%26_2004_Day-08_Part-01_Raval_-_Radhanath_Swami.mp3", "2002_%26_2004_Day-08_Part-01_Raval_-_Radhanath_Swami.mp3")</f>
        <v>2002_%26_2004_Day-08_Part-01_Raval_-_Radhanath_Swami.mp3</v>
      </c>
      <c r="D5951" s="24"/>
      <c r="E5951" s="24"/>
    </row>
    <row r="5952">
      <c r="A5952" s="25" t="s">
        <v>18860</v>
      </c>
      <c r="B5952" s="25" t="s">
        <v>18863</v>
      </c>
      <c r="C5952" s="26" t="str">
        <f>HYPERLINK("https://audio.iskcondesiretree.com/02_-_ISKCON_Swamis/ISKCON_Swamis_-_R_to_Y/His_Holiness_Radhanath_Swami/Lectures/Russian_Translation/Parikramas/Vrindavan_Jaipur_Yatra/2002_%26_2004_Day-08_Part-02_-_Krishna_Kshetra_Prabhu_Raval.mp3", "2002_%26_2004_Day-08_Part-02_-_Krishna_Kshetra_Prabhu_Raval.mp3")</f>
        <v>2002_%26_2004_Day-08_Part-02_-_Krishna_Kshetra_Prabhu_Raval.mp3</v>
      </c>
      <c r="D5952" s="24"/>
      <c r="E5952" s="24"/>
    </row>
    <row r="5953">
      <c r="A5953" s="25" t="s">
        <v>18860</v>
      </c>
      <c r="B5953" s="25" t="s">
        <v>18863</v>
      </c>
      <c r="C5953" s="26" t="str">
        <f>HYPERLINK("https://audio.iskcondesiretree.com/02_-_ISKCON_Swamis/ISKCON_Swamis_-_R_to_Y/His_Holiness_Radhanath_Swami/Lectures/Russian_Translation/Parikramas/Vrindavan_Jaipur_Yatra/2002_%26_2004_Day-08_Part-03_Raval_-_Jananivas_Prabhu.mp3", "2002_%26_2004_Day-08_Part-03_Raval_-_Jananivas_Prabhu.mp3")</f>
        <v>2002_%26_2004_Day-08_Part-03_Raval_-_Jananivas_Prabhu.mp3</v>
      </c>
      <c r="D5953" s="24"/>
      <c r="E5953" s="24"/>
    </row>
    <row r="5954">
      <c r="A5954" s="25" t="s">
        <v>18860</v>
      </c>
      <c r="B5954" s="25" t="s">
        <v>18863</v>
      </c>
      <c r="C5954" s="26" t="str">
        <f>HYPERLINK("https://audio.iskcondesiretree.com/02_-_ISKCON_Swamis/ISKCON_Swamis_-_R_to_Y/His_Holiness_Radhanath_Swami/Lectures/Russian_Translation/Parikramas/Vrindavan_Jaipur_Yatra/2002_%26_2004_Day-08_Part-04_Raval_History_of_Radharani_-_Radhanath_Swami.mp3", "2002_%26_2004_Day-08_Part-04_Raval_History_of_Radharani_-_Radhanath_Swami.mp3")</f>
        <v>2002_%26_2004_Day-08_Part-04_Raval_History_of_Radharani_-_Radhanath_Swami.mp3</v>
      </c>
      <c r="D5954" s="24"/>
      <c r="E5954" s="24"/>
    </row>
    <row r="5955">
      <c r="A5955" s="25" t="s">
        <v>18860</v>
      </c>
      <c r="B5955" s="25" t="s">
        <v>18863</v>
      </c>
      <c r="C5955" s="26" t="str">
        <f>HYPERLINK("https://audio.iskcondesiretree.com/02_-_ISKCON_Swamis/ISKCON_Swamis_-_R_to_Y/His_Holiness_Radhanath_Swami/Lectures/Russian_Translation/Parikramas/Vrindavan_Jaipur_Yatra/2002_%26_2004_Day-09_Part-01_Gokula_Damodara_Lila_-_Dina_Bandhu_Prabhu.mp3", "2002_%26_2004_Day-09_Part-01_Gokula_Damodara_Lila_-_Dina_Bandhu_Prabhu.mp3")</f>
        <v>2002_%26_2004_Day-09_Part-01_Gokula_Damodara_Lila_-_Dina_Bandhu_Prabhu.mp3</v>
      </c>
      <c r="D5955" s="24"/>
      <c r="E5955" s="24"/>
    </row>
    <row r="5956">
      <c r="A5956" s="25" t="s">
        <v>18860</v>
      </c>
      <c r="B5956" s="25" t="s">
        <v>18863</v>
      </c>
      <c r="C5956" s="26" t="str">
        <f>HYPERLINK("https://audio.iskcondesiretree.com/02_-_ISKCON_Swamis/ISKCON_Swamis_-_R_to_Y/His_Holiness_Radhanath_Swami/Lectures/Russian_Translation/Parikramas/Vrindavan_Jaipur_Yatra/2002_%26_2004_Day-10_Part-01_Bhandiravan_Krishna_Lilas_-_Radhanath_Swami.mp3", "2002_%26_2004_Day-10_Part-01_Bhandiravan_Krishna_Lilas_-_Radhanath_Swami.mp3")</f>
        <v>2002_%26_2004_Day-10_Part-01_Bhandiravan_Krishna_Lilas_-_Radhanath_Swami.mp3</v>
      </c>
      <c r="D5956" s="24"/>
      <c r="E5956" s="24"/>
    </row>
    <row r="5957">
      <c r="A5957" s="25" t="s">
        <v>18860</v>
      </c>
      <c r="B5957" s="25" t="s">
        <v>18863</v>
      </c>
      <c r="C5957" s="26" t="str">
        <f>HYPERLINK("https://audio.iskcondesiretree.com/02_-_ISKCON_Swamis/ISKCON_Swamis_-_R_to_Y/His_Holiness_Radhanath_Swami/Lectures/Russian_Translation/Parikramas/Vrindavan_Jaipur_Yatra/2002_%26_2004_Day-11_Part-01_PS_a_great_devotee_of_Radharani_-_Dina_Bandhu_Prabhu.mp3", "2002_%26_2004_Day-11_Part-01_PS_a_great_devotee_of_Radharani_-_Dina_Bandhu_Prabhu.mp3")</f>
        <v>2002_%26_2004_Day-11_Part-01_PS_a_great_devotee_of_Radharani_-_Dina_Bandhu_Prabhu.mp3</v>
      </c>
      <c r="D5957" s="24"/>
      <c r="E5957" s="24"/>
    </row>
    <row r="5958">
      <c r="A5958" s="25" t="s">
        <v>18860</v>
      </c>
      <c r="B5958" s="25" t="s">
        <v>18863</v>
      </c>
      <c r="C5958" s="26" t="str">
        <f>HYPERLINK("https://audio.iskcondesiretree.com/02_-_ISKCON_Swamis/ISKCON_Swamis_-_R_to_Y/His_Holiness_Radhanath_Swami/Lectures/Russian_Translation/Parikramas/Vrindavan_Jaipur_Yatra/2002_%26_2004_Day-11_Part-02_Bhajans_-_Nanda_Ke_Ananda_Bhayo_-_Dina_Bandhu_Prabhu.mp3", "2002_%26_2004_Day-11_Part-02_Bhajans_-_Nanda_Ke_Ananda_Bhayo_-_Dina_Bandhu_Prabhu.mp3")</f>
        <v>2002_%26_2004_Day-11_Part-02_Bhajans_-_Nanda_Ke_Ananda_Bhayo_-_Dina_Bandhu_Prabhu.mp3</v>
      </c>
      <c r="D5958" s="24"/>
      <c r="E5958" s="24"/>
    </row>
    <row r="5959">
      <c r="A5959" s="25" t="s">
        <v>18860</v>
      </c>
      <c r="B5959" s="25" t="s">
        <v>18863</v>
      </c>
      <c r="C5959" s="26" t="str">
        <f>HYPERLINK("https://audio.iskcondesiretree.com/02_-_ISKCON_Swamis/ISKCON_Swamis_-_R_to_Y/His_Holiness_Radhanath_Swami/Lectures/Russian_Translation/Parikramas/Vrindavan_Jaipur_Yatra/2002_%26_2004_Day-12_Part-01_History_of_Govardhan_-_Radhanath_Swami.mp3", "2002_%26_2004_Day-12_Part-01_History_of_Govardhan_-_Radhanath_Swami.mp3")</f>
        <v>2002_%26_2004_Day-12_Part-01_History_of_Govardhan_-_Radhanath_Swami.mp3</v>
      </c>
      <c r="D5959" s="24"/>
      <c r="E5959" s="24"/>
    </row>
    <row r="5960">
      <c r="A5960" s="25" t="s">
        <v>18860</v>
      </c>
      <c r="B5960" s="25" t="s">
        <v>18863</v>
      </c>
      <c r="C5960" s="26" t="str">
        <f>HYPERLINK("https://audio.iskcondesiretree.com/02_-_ISKCON_Swamis/ISKCON_Swamis_-_R_to_Y/His_Holiness_Radhanath_Swami/Lectures/Russian_Translation/Parikramas/Vrindavan_Jaipur_Yatra/2002_%26_2004_Day-12_Part-02_Lord_Chaitanya_in_Yu_India_and_Vrindavan_-_Radhanath_Sw.m"&amp;"p3", "2002_%26_2004_Day-12_Part-02_Lord_Chaitanya_in_Yu_India_and_Vrindavan_-_Radhanath_Sw.mp3")</f>
        <v>2002_%26_2004_Day-12_Part-02_Lord_Chaitanya_in_Yu_India_and_Vrindavan_-_Radhanath_Sw.mp3</v>
      </c>
      <c r="D5960" s="24"/>
      <c r="E5960" s="24"/>
    </row>
    <row r="5961">
      <c r="A5961" s="25" t="s">
        <v>18860</v>
      </c>
      <c r="B5961" s="25" t="s">
        <v>18863</v>
      </c>
      <c r="C5961" s="26" t="str">
        <f>HYPERLINK("https://audio.iskcondesiretree.com/02_-_ISKCON_Swamis/ISKCON_Swamis_-_R_to_Y/His_Holiness_Radhanath_Swami/Lectures/Russian_Translation/Parikramas/Vrindavan_Jaipur_Yatra/2002_%26_2004_Day-12_Part-03_From_Gokul_in_Vrindavan_-_Dina_Bandhu_Prabhu.mp3", "2002_%26_2004_Day-12_Part-03_From_Gokul_in_Vrindavan_-_Dina_Bandhu_Prabhu.mp3")</f>
        <v>2002_%26_2004_Day-12_Part-03_From_Gokul_in_Vrindavan_-_Dina_Bandhu_Prabhu.mp3</v>
      </c>
      <c r="D5961" s="24"/>
      <c r="E5961" s="24"/>
    </row>
    <row r="5962">
      <c r="A5962" s="25" t="s">
        <v>18860</v>
      </c>
      <c r="B5962" s="25" t="s">
        <v>18863</v>
      </c>
      <c r="C5962" s="26" t="str">
        <f>HYPERLINK("https://audio.iskcondesiretree.com/02_-_ISKCON_Swamis/ISKCON_Swamis_-_R_to_Y/His_Holiness_Radhanath_Swami/Lectures/Russian_Translation/Parikramas/Vrindavan_Jaipur_Yatra/2002_%26_2004_Day-12_Part-04_Sanatana_GoSw_to_Manasi_Ganga_-_Radhanath_Swami.mp3", "2002_%26_2004_Day-12_Part-04_Sanatana_GoSw_to_Manasi_Ganga_-_Radhanath_Swami.mp3")</f>
        <v>2002_%26_2004_Day-12_Part-04_Sanatana_GoSw_to_Manasi_Ganga_-_Radhanath_Swami.mp3</v>
      </c>
      <c r="D5962" s="24"/>
      <c r="E5962" s="24"/>
    </row>
    <row r="5963">
      <c r="A5963" s="25" t="s">
        <v>18860</v>
      </c>
      <c r="B5963" s="25" t="s">
        <v>18863</v>
      </c>
      <c r="C5963" s="26" t="str">
        <f>HYPERLINK("https://audio.iskcondesiretree.com/02_-_ISKCON_Swamis/ISKCON_Swamis_-_R_to_Y/His_Holiness_Radhanath_Swami/Lectures/Russian_Translation/Parikramas/Vrindavan_Jaipur_Yatra/2002_%26_2004_Day-12_Part-05_Dan_Ghat_Dana_Kelly_Lila_-_Radhanath_Swami.mp3", "2002_%26_2004_Day-12_Part-05_Dan_Ghat_Dana_Kelly_Lila_-_Radhanath_Swami.mp3")</f>
        <v>2002_%26_2004_Day-12_Part-05_Dan_Ghat_Dana_Kelly_Lila_-_Radhanath_Swami.mp3</v>
      </c>
      <c r="D5963" s="24"/>
      <c r="E5963" s="24"/>
    </row>
    <row r="5964">
      <c r="A5964" s="25" t="s">
        <v>18860</v>
      </c>
      <c r="B5964" s="25" t="s">
        <v>18863</v>
      </c>
      <c r="C5964" s="26" t="str">
        <f>HYPERLINK("https://audio.iskcondesiretree.com/02_-_ISKCON_Swamis/ISKCON_Swamis_-_R_to_Y/His_Holiness_Radhanath_Swami/Lectures/Russian_Translation/Parikramas/Vrindavan_Jaipur_Yatra/2002_%26_2004_Day-12_Part-06_On_nivartna_Kund_Radha_Krishna_lila_-_Radhanath_Swami.mp3", "2002_%26_2004_Day-12_Part-06_On_nivartna_Kund_Radha_Krishna_lila_-_Radhanath_Swami.mp3")</f>
        <v>2002_%26_2004_Day-12_Part-06_On_nivartna_Kund_Radha_Krishna_lila_-_Radhanath_Swami.mp3</v>
      </c>
      <c r="D5964" s="24"/>
      <c r="E5964" s="24"/>
    </row>
    <row r="5965">
      <c r="A5965" s="25" t="s">
        <v>18860</v>
      </c>
      <c r="B5965" s="25" t="s">
        <v>18863</v>
      </c>
      <c r="C5965" s="26" t="str">
        <f>HYPERLINK("https://audio.iskcondesiretree.com/02_-_ISKCON_Swamis/ISKCON_Swamis_-_R_to_Y/His_Holiness_Radhanath_Swami/Lectures/Russian_Translation/Parikramas/Vrindavan_Jaipur_Yatra/2002_%26_2004_Day-12_Part-07_Anakuta_k%C5%A1etra_Surabhi_Kunda_Govinda_Kunda_-_Radhana"&amp;"th_Sw%20.mp3", "2002_%26_2004_Day-12_Part-07_Anakuta_k%C5%A1etra_Surabhi_Kunda_Govinda_Kunda_-_Radhanath_Sw%20.mp3")</f>
        <v>2002_%26_2004_Day-12_Part-07_Anakuta_k%C5%A1etra_Surabhi_Kunda_Govinda_Kunda_-_Radhanath_Sw%20.mp3</v>
      </c>
      <c r="D5965" s="24"/>
      <c r="E5965" s="24"/>
    </row>
    <row r="5966">
      <c r="A5966" s="25" t="s">
        <v>18860</v>
      </c>
      <c r="B5966" s="25" t="s">
        <v>18863</v>
      </c>
      <c r="C5966" s="26" t="str">
        <f>HYPERLINK("https://audio.iskcondesiretree.com/02_-_ISKCON_Swamis/ISKCON_Swamis_-_R_to_Y/His_Holiness_Radhanath_Swami/Lectures/Russian_Translation/Parikramas/Vrindavan_Jaipur_Yatra/2002_%26_2004_Day-12_Part-07_Gour_Kunda_How_to_save_Abhimanyu_-_Radhanath_Swami.mp3", "2002_%26_2004_Day-12_Part-07_Gour_Kunda_How_to_save_Abhimanyu_-_Radhanath_Swami.mp3")</f>
        <v>2002_%26_2004_Day-12_Part-07_Gour_Kunda_How_to_save_Abhimanyu_-_Radhanath_Swami.mp3</v>
      </c>
      <c r="D5966" s="24"/>
      <c r="E5966" s="24"/>
    </row>
    <row r="5967">
      <c r="A5967" s="25" t="s">
        <v>18860</v>
      </c>
      <c r="B5967" s="25" t="s">
        <v>18863</v>
      </c>
      <c r="C5967" s="26" t="str">
        <f>HYPERLINK("https://audio.iskcondesiretree.com/02_-_ISKCON_Swamis/ISKCON_Swamis_-_R_to_Y/His_Holiness_Radhanath_Swami/Lectures/Russian_Translation/Parikramas/Vrindavan_Jaipur_Yatra/2002_%26_2004_Day-12_Part-08_Nipa_kunda_Apsara_Kund%20_Lot_baba_Raghava_Pandit_-_Radha"&amp;"nath_Sw.mp3", "2002_%26_2004_Day-12_Part-08_Nipa_kunda_Apsara_Kund%20_Lot_baba_Raghava_Pandit_-_Radhanath_Sw.mp3")</f>
        <v>2002_%26_2004_Day-12_Part-08_Nipa_kunda_Apsara_Kund%20_Lot_baba_Raghava_Pandit_-_Radhanath_Sw.mp3</v>
      </c>
      <c r="D5967" s="24"/>
      <c r="E5967" s="24"/>
    </row>
    <row r="5968">
      <c r="A5968" s="25" t="s">
        <v>18860</v>
      </c>
      <c r="B5968" s="25" t="s">
        <v>18863</v>
      </c>
      <c r="C5968" s="26" t="str">
        <f>HYPERLINK("https://audio.iskcondesiretree.com/02_-_ISKCON_Swamis/ISKCON_Swamis_-_R_to_Y/His_Holiness_Radhanath_Swami/Lectures/Russian_Translation/Parikramas/Vrindavan_Jaipur_Yatra/2002_%26_2004_Day-12_Partr-09_Instructions_-_Radhanath_Swami.mp3", "2002_%26_2004_Day-12_Partr-09_Instructions_-_Radhanath_Swami.mp3")</f>
        <v>2002_%26_2004_Day-12_Partr-09_Instructions_-_Radhanath_Swami.mp3</v>
      </c>
      <c r="D5968" s="24"/>
      <c r="E5968" s="24"/>
    </row>
    <row r="5969">
      <c r="A5969" s="25" t="s">
        <v>18860</v>
      </c>
      <c r="B5969" s="25" t="s">
        <v>18863</v>
      </c>
      <c r="C5969" s="26" t="str">
        <f>HYPERLINK("https://audio.iskcondesiretree.com/02_-_ISKCON_Swamis/ISKCON_Swamis_-_R_to_Y/His_Holiness_Radhanath_Swami/Lectures/Russian_Translation/Parikramas/Vrindavan_Jaipur_Yatra/2002_%26_2004_Day-13_Part-01_Nandagram_Eternal_home_of_Krishna_-_Radhanath_Swami.mp3", "2002_%26_2004_Day-13_Part-01_Nandagram_Eternal_home_of_Krishna_-_Radhanath_Swami.mp3")</f>
        <v>2002_%26_2004_Day-13_Part-01_Nandagram_Eternal_home_of_Krishna_-_Radhanath_Swami.mp3</v>
      </c>
      <c r="D5969" s="24"/>
      <c r="E5969" s="24"/>
    </row>
    <row r="5970">
      <c r="A5970" s="25" t="s">
        <v>18860</v>
      </c>
      <c r="B5970" s="25" t="s">
        <v>18863</v>
      </c>
      <c r="C5970" s="26" t="str">
        <f>HYPERLINK("https://audio.iskcondesiretree.com/02_-_ISKCON_Swamis/ISKCON_Swamis_-_R_to_Y/His_Holiness_Radhanath_Swami/Lectures/Russian_Translation/Parikramas/Vrindavan_Jaipur_Yatra/2002_%26_2004_Day-13_Part-03_Slasa_Vrad%C5%BEavasi_lil_Kri%C5%A1ny_and_dhamy_-_Jana_Ni"&amp;"vas_Prabhu.mp3", "2002_%26_2004_Day-13_Part-03_Slasa_Vrad%C5%BEavasi_lil_Kri%C5%A1ny_and_dhamy_-_Jana_Nivas_Prabhu.mp3")</f>
        <v>2002_%26_2004_Day-13_Part-03_Slasa_Vrad%C5%BEavasi_lil_Kri%C5%A1ny_and_dhamy_-_Jana_Nivas_Prabhu.mp3</v>
      </c>
      <c r="D5970" s="24"/>
      <c r="E5970" s="24"/>
    </row>
    <row r="5971">
      <c r="A5971" s="25" t="s">
        <v>18860</v>
      </c>
      <c r="B5971" s="25" t="s">
        <v>18863</v>
      </c>
      <c r="C5971" s="26" t="str">
        <f>HYPERLINK("https://audio.iskcondesiretree.com/02_-_ISKCON_Swamis/ISKCON_Swamis_-_R_to_Y/His_Holiness_Radhanath_Swami/Lectures/Russian_Translation/Parikramas/Vrindavan_Jaipur_Yatra/2002_%26_2004_Day-13_Part-04_Sing_and_dance_-_Radhanath_Swami.mp3", "2002_%26_2004_Day-13_Part-04_Sing_and_dance_-_Radhanath_Swami.mp3")</f>
        <v>2002_%26_2004_Day-13_Part-04_Sing_and_dance_-_Radhanath_Swami.mp3</v>
      </c>
      <c r="D5971" s="24"/>
      <c r="E5971" s="24"/>
    </row>
    <row r="5972">
      <c r="A5972" s="25" t="s">
        <v>18860</v>
      </c>
      <c r="B5972" s="25" t="s">
        <v>18863</v>
      </c>
      <c r="C5972" s="26" t="str">
        <f>HYPERLINK("https://audio.iskcondesiretree.com/02_-_ISKCON_Swamis/ISKCON_Swamis_-_R_to_Y/His_Holiness_Radhanath_Swami/Lectures/Russian_Translation/Parikramas/Vrindavan_Jaipur_Yatra/2002_%26_2004_Day-14_Part-01_Gaura_Krishna_lila_-_Radhanath_Sw_Radha_Kunda.mp3", "2002_%26_2004_Day-14_Part-01_Gaura_Krishna_lila_-_Radhanath_Sw_Radha_Kunda.mp3")</f>
        <v>2002_%26_2004_Day-14_Part-01_Gaura_Krishna_lila_-_Radhanath_Sw_Radha_Kunda.mp3</v>
      </c>
      <c r="D5972" s="24"/>
      <c r="E5972" s="24"/>
    </row>
    <row r="5973">
      <c r="A5973" s="25" t="s">
        <v>18860</v>
      </c>
      <c r="B5973" s="25" t="s">
        <v>18863</v>
      </c>
      <c r="C5973" s="26" t="str">
        <f>HYPERLINK("https://audio.iskcondesiretree.com/02_-_ISKCON_Swamis/ISKCON_Swamis_-_R_to_Y/His_Holiness_Radhanath_Swami/Lectures/Russian_Translation/Parikramas/Vrindavan_Jaipur_Yatra/2002_%26_2004_Day-14_Part-02_About_Dr_Raghunatha_GoSw_-_Radhanath_Sw_Radha_Kunda.mp3", "2002_%26_2004_Day-14_Part-02_About_Dr_Raghunatha_GoSw_-_Radhanath_Sw_Radha_Kunda.mp3")</f>
        <v>2002_%26_2004_Day-14_Part-02_About_Dr_Raghunatha_GoSw_-_Radhanath_Sw_Radha_Kunda.mp3</v>
      </c>
      <c r="D5973" s="24"/>
      <c r="E5973" s="24"/>
    </row>
    <row r="5974">
      <c r="A5974" s="25" t="s">
        <v>18860</v>
      </c>
      <c r="B5974" s="25" t="s">
        <v>18863</v>
      </c>
      <c r="C5974" s="26" t="str">
        <f>HYPERLINK("https://audio.iskcondesiretree.com/02_-_ISKCON_Swamis/ISKCON_Swamis_-_R_to_Y/His_Holiness_Radhanath_Swami/Lectures/Russian_Translation/Parikramas/Vrindavan_Jaipur_Yatra/2002_%26_2004_Day-14_Part-03_Vishwanath_Cakravarti_Thakur_-_Radhanath_Sw_Radha_Kunda.m"&amp;"p3", "2002_%26_2004_Day-14_Part-03_Vishwanath_Cakravarti_Thakur_-_Radhanath_Sw_Radha_Kunda.mp3")</f>
        <v>2002_%26_2004_Day-14_Part-03_Vishwanath_Cakravarti_Thakur_-_Radhanath_Sw_Radha_Kunda.mp3</v>
      </c>
      <c r="D5974" s="24"/>
      <c r="E5974" s="24"/>
    </row>
    <row r="5975">
      <c r="A5975" s="25" t="s">
        <v>18860</v>
      </c>
      <c r="B5975" s="25" t="s">
        <v>18863</v>
      </c>
      <c r="C5975" s="26" t="str">
        <f>HYPERLINK("https://audio.iskcondesiretree.com/02_-_ISKCON_Swamis/ISKCON_Swamis_-_R_to_Y/His_Holiness_Radhanath_Swami/Lectures/Russian_Translation/Parikramas/Vrindavan_Jaipur_Yatra/2002_%26_2004_Day-14_Part-04_ISKCON_at_Radha_Kunda_-_Radhanath_Sw.mp3", "2002_%26_2004_Day-14_Part-04_ISKCON_at_Radha_Kunda_-_Radhanath_Sw.mp3")</f>
        <v>2002_%26_2004_Day-14_Part-04_ISKCON_at_Radha_Kunda_-_Radhanath_Sw.mp3</v>
      </c>
      <c r="D5975" s="24"/>
      <c r="E5975" s="24"/>
    </row>
    <row r="5976">
      <c r="A5976" s="25" t="s">
        <v>18860</v>
      </c>
      <c r="B5976" s="25" t="s">
        <v>18863</v>
      </c>
      <c r="C5976" s="26" t="str">
        <f>HYPERLINK("https://audio.iskcondesiretree.com/02_-_ISKCON_Swamis/ISKCON_Swamis_-_R_to_Y/His_Holiness_Radhanath_Swami/Lectures/Russian_Translation/Parikramas/Vrindavan_Jaipur_Yatra/2002_%26_2004_Day-14_Part-04_ISKCON_at_Radha_Kunda_-_Radhanath_Swami.mp3", "2002_%26_2004_Day-14_Part-04_ISKCON_at_Radha_Kunda_-_Radhanath_Swami.mp3")</f>
        <v>2002_%26_2004_Day-14_Part-04_ISKCON_at_Radha_Kunda_-_Radhanath_Swami.mp3</v>
      </c>
      <c r="D5976" s="24"/>
      <c r="E5976" s="24"/>
    </row>
    <row r="5977">
      <c r="A5977" s="25" t="s">
        <v>18860</v>
      </c>
      <c r="B5977" s="25" t="s">
        <v>18863</v>
      </c>
      <c r="C5977" s="26" t="str">
        <f>HYPERLINK("https://audio.iskcondesiretree.com/02_-_ISKCON_Swamis/ISKCON_Swamis_-_R_to_Y/His_Holiness_Radhanath_Swami/Lectures/Russian_Translation/Parikramas/Vrindavan_Jaipur_Yatra/2002_%26_2004_Day-15_Part-01_On_the_fall_in_Mailloux_-_RNS_Karoli_Madana_Mohan_Mandir."&amp;"mp3", "2002_%26_2004_Day-15_Part-01_On_the_fall_in_Mailloux_-_RNS_Karoli_Madana_Mohan_Mandir.mp3")</f>
        <v>2002_%26_2004_Day-15_Part-01_On_the_fall_in_Mailloux_-_RNS_Karoli_Madana_Mohan_Mandir.mp3</v>
      </c>
      <c r="D5977" s="24"/>
      <c r="E5977" s="24"/>
    </row>
    <row r="5978">
      <c r="A5978" s="25" t="s">
        <v>18860</v>
      </c>
      <c r="B5978" s="25" t="s">
        <v>18863</v>
      </c>
      <c r="C5978" s="26" t="str">
        <f>HYPERLINK("https://audio.iskcondesiretree.com/02_-_ISKCON_Swamis/ISKCON_Swamis_-_R_to_Y/His_Holiness_Radhanath_Swami/Lectures/Russian_Translation/Parikramas/Vrindavan_Jaipur_Yatra/2002_%26_2004_Day-15_Part-02_History_deities_Madan_Mohan_-_Radhanath_Swami_Karoli.mp3", "2002_%26_2004_Day-15_Part-02_History_deities_Madan_Mohan_-_Radhanath_Swami_Karoli.mp3")</f>
        <v>2002_%26_2004_Day-15_Part-02_History_deities_Madan_Mohan_-_Radhanath_Swami_Karoli.mp3</v>
      </c>
      <c r="D5978" s="24"/>
      <c r="E5978" s="24"/>
    </row>
    <row r="5979">
      <c r="A5979" s="25" t="s">
        <v>18860</v>
      </c>
      <c r="B5979" s="25" t="s">
        <v>18863</v>
      </c>
      <c r="C5979" s="26" t="str">
        <f>HYPERLINK("https://audio.iskcondesiretree.com/02_-_ISKCON_Swamis/ISKCON_Swamis_-_R_to_Y/His_Holiness_Radhanath_Swami/Lectures/Russian_Translation/Parikramas/Vrindavan_Jaipur_Yatra/2002_%26_2004_Day-15_Part-02_Organizational_issues_please_-_Radhanath_Swami_Karoli.mp3", "2002_%26_2004_Day-15_Part-02_Organizational_issues_please_-_Radhanath_Swami_Karoli.mp3")</f>
        <v>2002_%26_2004_Day-15_Part-02_Organizational_issues_please_-_Radhanath_Swami_Karoli.mp3</v>
      </c>
      <c r="D5979" s="24"/>
      <c r="E5979" s="24"/>
    </row>
    <row r="5980">
      <c r="A5980" s="25" t="s">
        <v>18860</v>
      </c>
      <c r="B5980" s="25" t="s">
        <v>18863</v>
      </c>
      <c r="C5980" s="26" t="str">
        <f>HYPERLINK("https://audio.iskcondesiretree.com/02_-_ISKCON_Swamis/ISKCON_Swamis_-_R_to_Y/His_Holiness_Radhanath_Swami/Lectures/Russian_Translation/Parikramas/Vrindavan_Jaipur_Yatra/2002_%26_2004_Day-16_Part-01_Kirtan_in_the_temple_of_Radha_Damodara_-_Radhanath_Sw.mp3", "2002_%26_2004_Day-16_Part-01_Kirtan_in_the_temple_of_Radha_Damodara_-_Radhanath_Sw.mp3")</f>
        <v>2002_%26_2004_Day-16_Part-01_Kirtan_in_the_temple_of_Radha_Damodara_-_Radhanath_Sw.mp3</v>
      </c>
      <c r="D5980" s="24"/>
      <c r="E5980" s="24"/>
    </row>
    <row r="5981">
      <c r="A5981" s="25" t="s">
        <v>18860</v>
      </c>
      <c r="B5981" s="25" t="s">
        <v>18863</v>
      </c>
      <c r="C5981" s="26" t="str">
        <f>HYPERLINK("https://audio.iskcondesiretree.com/02_-_ISKCON_Swamis/ISKCON_Swamis_-_R_to_Y/His_Holiness_Radhanath_Swami/Lectures/Russian_Translation/Parikramas/Vrindavan_Jaipur_Yatra/2002_%26_2004_Day-17_Part-01_Radha_Govinda_Mandir_History_Deities_-_Radhanath_Sw_Jaipu"&amp;"r.mp3", "2002_%26_2004_Day-17_Part-01_Radha_Govinda_Mandir_History_Deities_-_Radhanath_Sw_Jaipur.mp3")</f>
        <v>2002_%26_2004_Day-17_Part-01_Radha_Govinda_Mandir_History_Deities_-_Radhanath_Sw_Jaipur.mp3</v>
      </c>
      <c r="D5981" s="24"/>
      <c r="E5981" s="24"/>
    </row>
    <row r="5982">
      <c r="A5982" s="25" t="s">
        <v>18860</v>
      </c>
      <c r="B5982" s="25" t="s">
        <v>18863</v>
      </c>
      <c r="C5982" s="26" t="str">
        <f>HYPERLINK("https://audio.iskcondesiretree.com/02_-_ISKCON_Swamis/ISKCON_Swamis_-_R_to_Y/His_Holiness_Radhanath_Swami/Lectures/Russian_Translation/Parikramas/Vrindavan_Jaipur_Yatra/2002_%26_2004_Day-17_Part-02_History_deities_Gopinath_-_Radhanath_Swami_Jaipur.mp3", "2002_%26_2004_Day-17_Part-02_History_deities_Gopinath_-_Radhanath_Swami_Jaipur.mp3")</f>
        <v>2002_%26_2004_Day-17_Part-02_History_deities_Gopinath_-_Radhanath_Swami_Jaipur.mp3</v>
      </c>
      <c r="D5982" s="24"/>
      <c r="E5982" s="24"/>
    </row>
    <row r="5983">
      <c r="A5983" s="25" t="s">
        <v>18860</v>
      </c>
      <c r="B5983" s="25" t="s">
        <v>18863</v>
      </c>
      <c r="C5983" s="26" t="str">
        <f>HYPERLINK("https://audio.iskcondesiretree.com/02_-_ISKCON_Swamis/ISKCON_Swamis_-_R_to_Y/His_Holiness_Radhanath_Swami/Lectures/Russian_Translation/Parikramas/Vrindavan_Jaipur_Yatra/2002_%26_2004_Day-17_Part-02_History_deities_Govindaji_-_Radhanath_Swami_Jaipur.mp3", "2002_%26_2004_Day-17_Part-02_History_deities_Govindaji_-_Radhanath_Swami_Jaipur.mp3")</f>
        <v>2002_%26_2004_Day-17_Part-02_History_deities_Govindaji_-_Radhanath_Swami_Jaipur.mp3</v>
      </c>
      <c r="D5983" s="24"/>
      <c r="E5983" s="24"/>
    </row>
    <row r="5984">
      <c r="A5984" s="25" t="s">
        <v>18860</v>
      </c>
      <c r="B5984" s="25" t="s">
        <v>18863</v>
      </c>
      <c r="C5984" s="26" t="str">
        <f>HYPERLINK("https://audio.iskcondesiretree.com/02_-_ISKCON_Swamis/ISKCON_Swamis_-_R_to_Y/His_Holiness_Radhanath_Swami/Lectures/Russian_Translation/Parikramas/Vrindavan_Jaipur_Yatra/2002_%26_2004_Day-17_Part-03_History_of_the_deities_of_Radha_Damodara_-_Radhanath_Sw_J"&amp;"aipur.mp3", "2002_%26_2004_Day-17_Part-03_History_of_the_deities_of_Radha_Damodara_-_Radhanath_Sw_Jaipur.mp3")</f>
        <v>2002_%26_2004_Day-17_Part-03_History_of_the_deities_of_Radha_Damodara_-_Radhanath_Sw_Jaipur.mp3</v>
      </c>
      <c r="D5984" s="24"/>
      <c r="E5984" s="24"/>
    </row>
    <row r="5985">
      <c r="A5985" s="25" t="s">
        <v>18860</v>
      </c>
      <c r="B5985" s="25" t="s">
        <v>18863</v>
      </c>
      <c r="C5985" s="26" t="str">
        <f>HYPERLINK("https://audio.iskcondesiretree.com/02_-_ISKCON_Swamis/ISKCON_Swamis_-_R_to_Y/His_Holiness_Radhanath_Swami/Lectures/Russian_Translation/Parikramas/Vrindavan_Jaipur_Yatra/2002_%26_2004_Day-17_Part-04_Deities_Radha_Vrindavan_Chandra_-_Radhanath_Sw_Jaipur.mp3", "2002_%26_2004_Day-17_Part-04_Deities_Radha_Vrindavan_Chandra_-_Radhanath_Sw_Jaipur.mp3")</f>
        <v>2002_%26_2004_Day-17_Part-04_Deities_Radha_Vrindavan_Chandra_-_Radhanath_Sw_Jaipur.mp3</v>
      </c>
      <c r="D5985" s="24"/>
      <c r="E5985" s="24"/>
    </row>
    <row r="5986">
      <c r="A5986" s="25" t="s">
        <v>18860</v>
      </c>
      <c r="B5986" s="25" t="s">
        <v>18863</v>
      </c>
      <c r="C5986" s="26" t="str">
        <f>HYPERLINK("https://audio.iskcondesiretree.com/02_-_ISKCON_Swamis/ISKCON_Swamis_-_R_to_Y/His_Holiness_Radhanath_Swami/Lectures/Russian_Translation/Parikramas/Vrindavan_Jaipur_Yatra/2002_%26_2004_Day-17_Part-05_About_Lokanatha_GoSw_-_Radhanath_Swami_Jaipur.mp3", "2002_%26_2004_Day-17_Part-05_About_Lokanatha_GoSw_-_Radhanath_Swami_Jaipur.mp3")</f>
        <v>2002_%26_2004_Day-17_Part-05_About_Lokanatha_GoSw_-_Radhanath_Swami_Jaipur.mp3</v>
      </c>
      <c r="D5986" s="24"/>
      <c r="E5986" s="24"/>
    </row>
    <row r="5987">
      <c r="A5987" s="25" t="s">
        <v>18860</v>
      </c>
      <c r="B5987" s="25" t="s">
        <v>18863</v>
      </c>
      <c r="C5987" s="26" t="str">
        <f>HYPERLINK("https://audio.iskcondesiretree.com/02_-_ISKCON_Swamis/ISKCON_Swamis_-_R_to_Y/His_Holiness_Radhanath_Swami/Lectures/Russian_Translation/Parikramas/Vrindavan_Jaipur_Yatra/2002_%26_2004_Day-17_Part-06_Srila_Prabhupada_in_Jaipur_-_Malati_Mataji_Jaipur.mp3", "2002_%26_2004_Day-17_Part-06_Srila_Prabhupada_in_Jaipur_-_Malati_Mataji_Jaipur.mp3")</f>
        <v>2002_%26_2004_Day-17_Part-06_Srila_Prabhupada_in_Jaipur_-_Malati_Mataji_Jaipur.mp3</v>
      </c>
      <c r="D5987" s="24"/>
      <c r="E5987" s="24"/>
    </row>
    <row r="5988">
      <c r="A5988" s="25" t="s">
        <v>18860</v>
      </c>
      <c r="B5988" s="25" t="s">
        <v>18863</v>
      </c>
      <c r="C5988" s="26" t="str">
        <f>HYPERLINK("https://audio.iskcondesiretree.com/02_-_ISKCON_Swamis/ISKCON_Swamis_-_R_to_Y/His_Holiness_Radhanath_Swami/Lectures/Russian_Translation/Parikramas/Vrindavan_Jaipur_Yatra/2002_%26_2004_Day-17_Part-07_ISKCON_it_Abhideya_-_Jana_Nivas_Prabhu.mp3", "2002_%26_2004_Day-17_Part-07_ISKCON_it_Abhideya_-_Jana_Nivas_Prabhu.mp3")</f>
        <v>2002_%26_2004_Day-17_Part-07_ISKCON_it_Abhideya_-_Jana_Nivas_Prabhu.mp3</v>
      </c>
      <c r="D5988" s="24"/>
      <c r="E5988" s="24"/>
    </row>
    <row r="5989">
      <c r="A5989" s="25" t="s">
        <v>18860</v>
      </c>
      <c r="B5989" s="25" t="s">
        <v>18863</v>
      </c>
      <c r="C5989" s="26" t="str">
        <f>HYPERLINK("https://audio.iskcondesiretree.com/02_-_ISKCON_Swamis/ISKCON_Swamis_-_R_to_Y/His_Holiness_Radhanath_Swami/Lectures/Russian_Translation/Parikramas/Vrindavan_Jaipur_Yatra/2002_%26_2004_Day-17_Part-08_Thanks_and_wishes_-_Radhanath_Swami.mp3", "2002_%26_2004_Day-17_Part-08_Thanks_and_wishes_-_Radhanath_Swami.mp3")</f>
        <v>2002_%26_2004_Day-17_Part-08_Thanks_and_wishes_-_Radhanath_Swami.mp3</v>
      </c>
      <c r="D5989" s="24"/>
      <c r="E5989" s="24"/>
    </row>
    <row r="5990">
      <c r="A5990" s="25" t="s">
        <v>18860</v>
      </c>
      <c r="B5990" s="25" t="s">
        <v>18863</v>
      </c>
      <c r="C5990" s="26" t="str">
        <f>HYPERLINK("https://audio.iskcondesiretree.com/02_-_ISKCON_Swamis/ISKCON_Swamis_-_R_to_Y/His_Holiness_Radhanath_Swami/Lectures/Russian_Translation/Parikramas/Vrindavan_Jaipur_Yatra/2002_%26_2004_Day_Part-01-01_Raman_Reti_-_Prabhu.mp3", "2002_%26_2004_Day_Part-01-01_Raman_Reti_-_Prabhu.mp3")</f>
        <v>2002_%26_2004_Day_Part-01-01_Raman_Reti_-_Prabhu.mp3</v>
      </c>
      <c r="D5990" s="24"/>
      <c r="E5990" s="24"/>
    </row>
    <row r="5991">
      <c r="A5991" s="25" t="s">
        <v>18860</v>
      </c>
      <c r="B5991" s="25" t="s">
        <v>18863</v>
      </c>
      <c r="C5991" s="26" t="str">
        <f>HYPERLINK("https://audio.iskcondesiretree.com/02_-_ISKCON_Swamis/ISKCON_Swamis_-_R_to_Y/His_Holiness_Radhanath_Swami/Lectures/Russian_Translation/Parikramas/Vrindavan_Jaipur_Yatra/2002_%26_2004_Day_Part-01-02_Sri_Caitanya_in_Vrindavan_-_Radhanath_Swami.mp3", "2002_%26_2004_Day_Part-01-02_Sri_Caitanya_in_Vrindavan_-_Radhanath_Swami.mp3")</f>
        <v>2002_%26_2004_Day_Part-01-02_Sri_Caitanya_in_Vrindavan_-_Radhanath_Swami.mp3</v>
      </c>
      <c r="D5991" s="24"/>
      <c r="E5991" s="24"/>
    </row>
    <row r="5992">
      <c r="A5992" s="25" t="s">
        <v>18860</v>
      </c>
      <c r="B5992" s="25" t="s">
        <v>18837</v>
      </c>
      <c r="C5992" s="26" t="str">
        <f>HYPERLINK("https://audio.iskcondesiretree.com/02_-_ISKCON_Swamis/ISKCON_Swamis_-_R_to_Y/His_Holiness_Radhanath_Swami/Lectures/Russian_Translation/Yearwise/1997/1997-12-02_Seminars_-_Serves_Vaisnavas-01_-_Radhanath_Swami.mp3", "1997-12-02_Seminars_-_Serves_Vaisnavas-01_-_Radhanath_Swami.mp3")</f>
        <v>1997-12-02_Seminars_-_Serves_Vaisnavas-01_-_Radhanath_Swami.mp3</v>
      </c>
      <c r="D5992" s="24"/>
      <c r="E5992" s="24"/>
    </row>
    <row r="5993">
      <c r="A5993" s="25" t="s">
        <v>18860</v>
      </c>
      <c r="B5993" s="25" t="s">
        <v>18837</v>
      </c>
      <c r="C5993" s="26" t="str">
        <f>HYPERLINK("https://audio.iskcondesiretree.com/02_-_ISKCON_Swamis/ISKCON_Swamis_-_R_to_Y/His_Holiness_Radhanath_Swami/Lectures/Russian_Translation/Yearwise/1997/1997-12-03_Seminars_-_Serves_Vaisnavas-02_-_Radhanath_Swami.mp3", "1997-12-03_Seminars_-_Serves_Vaisnavas-02_-_Radhanath_Swami.mp3")</f>
        <v>1997-12-03_Seminars_-_Serves_Vaisnavas-02_-_Radhanath_Swami.mp3</v>
      </c>
      <c r="D5993" s="24"/>
      <c r="E5993" s="24"/>
    </row>
    <row r="5994">
      <c r="A5994" s="25" t="s">
        <v>18860</v>
      </c>
      <c r="B5994" s="25" t="s">
        <v>18837</v>
      </c>
      <c r="C5994" s="26" t="str">
        <f>HYPERLINK("https://audio.iskcondesiretree.com/02_-_ISKCON_Swamis/ISKCON_Swamis_-_R_to_Y/His_Holiness_Radhanath_Swami/Lectures/Russian_Translation/Yearwise/1997/1997-12-04_Seminars_-_Serves_Vaisnavas-03_-_Radhanath_Swami.mp3", "1997-12-04_Seminars_-_Serves_Vaisnavas-03_-_Radhanath_Swami.mp3")</f>
        <v>1997-12-04_Seminars_-_Serves_Vaisnavas-03_-_Radhanath_Swami.mp3</v>
      </c>
      <c r="D5994" s="24"/>
      <c r="E5994" s="24"/>
    </row>
    <row r="5995">
      <c r="A5995" s="25" t="s">
        <v>18860</v>
      </c>
      <c r="B5995" s="25" t="s">
        <v>18837</v>
      </c>
      <c r="C5995" s="26" t="str">
        <f>HYPERLINK("https://audio.iskcondesiretree.com/02_-_ISKCON_Swamis/ISKCON_Swamis_-_R_to_Y/His_Holiness_Radhanath_Swami/Lectures/Russian_Translation/Yearwise/1997/1997_2_Evening_lecture_Radhanath_Swami_-_1997-09-13_Moscow.mp3", "1997_2_Evening_lecture_Radhanath_Swami_-_1997-09-13_Moscow.mp3")</f>
        <v>1997_2_Evening_lecture_Radhanath_Swami_-_1997-09-13_Moscow.mp3</v>
      </c>
      <c r="D5995" s="24"/>
      <c r="E5995" s="24"/>
    </row>
    <row r="5996">
      <c r="A5996" s="25" t="s">
        <v>18860</v>
      </c>
      <c r="B5996" s="25" t="s">
        <v>18837</v>
      </c>
      <c r="C5996" s="26" t="str">
        <f>HYPERLINK("https://audio.iskcondesiretree.com/02_-_ISKCON_Swamis/ISKCON_Swamis_-_R_to_Y/His_Holiness_Radhanath_Swami/Lectures/Russian_Translation/Yearwise/1997/1997_BG_08-20_Radhanth_Swami_-_1997-09-19_Moscow.mp3", "1997_BG_08-20_Radhanth_Swami_-_1997-09-19_Moscow.mp3")</f>
        <v>1997_BG_08-20_Radhanth_Swami_-_1997-09-19_Moscow.mp3</v>
      </c>
      <c r="D5996" s="24"/>
      <c r="E5996" s="24"/>
    </row>
    <row r="5997">
      <c r="A5997" s="25" t="s">
        <v>18860</v>
      </c>
      <c r="B5997" s="25" t="s">
        <v>18837</v>
      </c>
      <c r="C5997" s="26" t="str">
        <f>HYPERLINK("https://audio.iskcondesiretree.com/02_-_ISKCON_Swamis/ISKCON_Swamis_-_R_to_Y/His_Holiness_Radhanath_Swami/Lectures/Russian_Translation/Yearwise/1997/1997_BG_11-03_-_Radhanath_Swami_-_1997-09-12_Moscow.mp3", "1997_BG_11-03_-_Radhanath_Swami_-_1997-09-12_Moscow.mp3")</f>
        <v>1997_BG_11-03_-_Radhanath_Swami_-_1997-09-12_Moscow.mp3</v>
      </c>
      <c r="D5997" s="24"/>
      <c r="E5997" s="24"/>
    </row>
    <row r="5998">
      <c r="A5998" s="25" t="s">
        <v>18860</v>
      </c>
      <c r="B5998" s="25" t="s">
        <v>18837</v>
      </c>
      <c r="C5998" s="26" t="str">
        <f>HYPERLINK("https://audio.iskcondesiretree.com/02_-_ISKCON_Swamis/ISKCON_Swamis_-_R_to_Y/His_Holiness_Radhanath_Swami/Lectures/Russian_Translation/Yearwise/1997/1997_BG_18-64_Radhanath_Swami_1997-12-03_Moscow.mp3", "1997_BG_18-64_Radhanath_Swami_1997-12-03_Moscow.mp3")</f>
        <v>1997_BG_18-64_Radhanath_Swami_1997-12-03_Moscow.mp3</v>
      </c>
      <c r="D5998" s="24"/>
      <c r="E5998" s="24"/>
    </row>
    <row r="5999">
      <c r="A5999" s="25" t="s">
        <v>18860</v>
      </c>
      <c r="B5999" s="25" t="s">
        <v>18837</v>
      </c>
      <c r="C5999" s="26" t="str">
        <f>HYPERLINK("https://audio.iskcondesiretree.com/02_-_ISKCON_Swamis/ISKCON_Swamis_-_R_to_Y/His_Holiness_Radhanath_Swami/Lectures/Russian_Translation/Yearwise/1997/1997_BG_18-68_Radhanath_Swami_1997-12-04_Moscow.mp3", "1997_BG_18-68_Radhanath_Swami_1997-12-04_Moscow.mp3")</f>
        <v>1997_BG_18-68_Radhanath_Swami_1997-12-04_Moscow.mp3</v>
      </c>
      <c r="D5999" s="24"/>
      <c r="E5999" s="24"/>
    </row>
    <row r="6000">
      <c r="A6000" s="25" t="s">
        <v>18860</v>
      </c>
      <c r="B6000" s="25" t="s">
        <v>18837</v>
      </c>
      <c r="C6000" s="26" t="str">
        <f>HYPERLINK("https://audio.iskcondesiretree.com/02_-_ISKCON_Swamis/ISKCON_Swamis_-_R_to_Y/His_Holiness_Radhanath_Swami/Lectures/Russian_Translation/Yearwise/1997/1997_Lecture_in_St._Petersburg_Radhanath_Swami_-_1997-09-17_Moscow.mp3", "1997_Lecture_in_St._Petersburg_Radhanath_Swami_-_1997-09-17_Moscow.mp3")</f>
        <v>1997_Lecture_in_St._Petersburg_Radhanath_Swami_-_1997-09-17_Moscow.mp3</v>
      </c>
      <c r="D6000" s="24"/>
      <c r="E6000" s="24"/>
    </row>
    <row r="6001">
      <c r="A6001" s="25" t="s">
        <v>18860</v>
      </c>
      <c r="B6001" s="25" t="s">
        <v>18837</v>
      </c>
      <c r="C6001" s="26" t="str">
        <f>HYPERLINK("https://audio.iskcondesiretree.com/02_-_ISKCON_Swamis/ISKCON_Swamis_-_R_to_Y/His_Holiness_Radhanath_Swami/Lectures/Russian_Translation/Yearwise/1997/1997_SB-04-12-05_Radhanath_Swami_-_1997-09-13_Moscow.mp3", "1997_SB-04-12-05_Radhanath_Swami_-_1997-09-13_Moscow.mp3")</f>
        <v>1997_SB-04-12-05_Radhanath_Swami_-_1997-09-13_Moscow.mp3</v>
      </c>
      <c r="D6001" s="24"/>
      <c r="E6001" s="24"/>
    </row>
    <row r="6002">
      <c r="A6002" s="25" t="s">
        <v>18860</v>
      </c>
      <c r="B6002" s="25" t="s">
        <v>18837</v>
      </c>
      <c r="C6002" s="26" t="str">
        <f>HYPERLINK("https://audio.iskcondesiretree.com/02_-_ISKCON_Swamis/ISKCON_Swamis_-_R_to_Y/His_Holiness_Radhanath_Swami/Lectures/Russian_Translation/Yearwise/1997/1997_SB_03-28-42_Radhanath_Swami_-_1997-09-18_%28St.Petersburg%29_Moscow.mp3", "1997_SB_03-28-42_Radhanath_Swami_-_1997-09-18_%28St.Petersburg%29_Moscow.mp3")</f>
        <v>1997_SB_03-28-42_Radhanath_Swami_-_1997-09-18_%28St.Petersburg%29_Moscow.mp3</v>
      </c>
      <c r="D6002" s="24"/>
      <c r="E6002" s="24"/>
    </row>
    <row r="6003">
      <c r="A6003" s="25" t="s">
        <v>18860</v>
      </c>
      <c r="B6003" s="25" t="s">
        <v>18837</v>
      </c>
      <c r="C6003" s="26" t="str">
        <f>HYPERLINK("https://audio.iskcondesiretree.com/02_-_ISKCON_Swamis/ISKCON_Swamis_-_R_to_Y/His_Holiness_Radhanath_Swami/Lectures/Russian_Translation/Yearwise/1997/1997_SB_04-12-07_Radhanath_Swami_-_1997-09-15_Moscow.mp3", "1997_SB_04-12-07_Radhanath_Swami_-_1997-09-15_Moscow.mp3")</f>
        <v>1997_SB_04-12-07_Radhanath_Swami_-_1997-09-15_Moscow.mp3</v>
      </c>
      <c r="D6003" s="24"/>
      <c r="E6003" s="24"/>
    </row>
    <row r="6004">
      <c r="A6004" s="25" t="s">
        <v>18860</v>
      </c>
      <c r="B6004" s="25" t="s">
        <v>18837</v>
      </c>
      <c r="C6004" s="26" t="str">
        <f>HYPERLINK("https://audio.iskcondesiretree.com/02_-_ISKCON_Swamis/ISKCON_Swamis_-_R_to_Y/His_Holiness_Radhanath_Swami/Lectures/Russian_Translation/Yearwise/1997/1997_SB_04-12-08_Radhanath_Swami_1997-09-16_Moscow.mp3", "1997_SB_04-12-08_Radhanath_Swami_1997-09-16_Moscow.mp3")</f>
        <v>1997_SB_04-12-08_Radhanath_Swami_1997-09-16_Moscow.mp3</v>
      </c>
      <c r="D6004" s="24"/>
      <c r="E6004" s="24"/>
    </row>
    <row r="6005">
      <c r="A6005" s="25" t="s">
        <v>18860</v>
      </c>
      <c r="B6005" s="25" t="s">
        <v>18837</v>
      </c>
      <c r="C6005" s="26" t="str">
        <f>HYPERLINK("https://audio.iskcondesiretree.com/02_-_ISKCON_Swamis/ISKCON_Swamis_-_R_to_Y/His_Holiness_Radhanath_Swami/Lectures/Russian_Translation/Yearwise/1997/1997_SB_04-13-38_Radhanath_Swami_-_1997-12-02_Moscow.mp3", "1997_SB_04-13-38_Radhanath_Swami_-_1997-12-02_Moscow.mp3")</f>
        <v>1997_SB_04-13-38_Radhanath_Swami_-_1997-12-02_Moscow.mp3</v>
      </c>
      <c r="D6005" s="24"/>
      <c r="E6005" s="24"/>
    </row>
    <row r="6006">
      <c r="A6006" s="25" t="s">
        <v>18860</v>
      </c>
      <c r="B6006" s="25" t="s">
        <v>18837</v>
      </c>
      <c r="C6006" s="26" t="str">
        <f>HYPERLINK("https://audio.iskcondesiretree.com/02_-_ISKCON_Swamis/ISKCON_Swamis_-_R_to_Y/His_Holiness_Radhanath_Swami/Lectures/Russian_Translation/Yearwise/1997/1997_SB_04-13-39_Radhanath_Swami_1997-12-03_Moscow.mp3", "1997_SB_04-13-39_Radhanath_Swami_1997-12-03_Moscow.mp3")</f>
        <v>1997_SB_04-13-39_Radhanath_Swami_1997-12-03_Moscow.mp3</v>
      </c>
      <c r="D6006" s="24"/>
      <c r="E6006" s="24"/>
    </row>
    <row r="6007">
      <c r="A6007" s="25" t="s">
        <v>18860</v>
      </c>
      <c r="B6007" s="25" t="s">
        <v>18837</v>
      </c>
      <c r="C6007" s="26" t="str">
        <f>HYPERLINK("https://audio.iskcondesiretree.com/02_-_ISKCON_Swamis/ISKCON_Swamis_-_R_to_Y/His_Holiness_Radhanath_Swami/Lectures/Russian_Translation/Yearwise/1997/1997_SB_04-13-40_Radhanath_Swami_1997-12-04_Moscow.mp3", "1997_SB_04-13-40_Radhanath_Swami_1997-12-04_Moscow.mp3")</f>
        <v>1997_SB_04-13-40_Radhanath_Swami_1997-12-04_Moscow.mp3</v>
      </c>
      <c r="D6007" s="24"/>
      <c r="E6007" s="24"/>
    </row>
    <row r="6008">
      <c r="A6008" s="25" t="s">
        <v>18860</v>
      </c>
      <c r="B6008" s="25" t="s">
        <v>18837</v>
      </c>
      <c r="C6008" s="26" t="str">
        <f>HYPERLINK("https://audio.iskcondesiretree.com/02_-_ISKCON_Swamis/ISKCON_Swamis_-_R_to_Y/His_Holiness_Radhanath_Swami/Lectures/Russian_Translation/Yearwise/1997/1997_SB_05-11-06_Radhanath_Swami_Kiev.mp3", "1997_SB_05-11-06_Radhanath_Swami_Kiev.mp3")</f>
        <v>1997_SB_05-11-06_Radhanath_Swami_Kiev.mp3</v>
      </c>
      <c r="D6008" s="24"/>
      <c r="E6008" s="24"/>
    </row>
    <row r="6009">
      <c r="A6009" s="25" t="s">
        <v>18860</v>
      </c>
      <c r="B6009" s="25" t="s">
        <v>18837</v>
      </c>
      <c r="C6009" s="26" t="str">
        <f>HYPERLINK("https://audio.iskcondesiretree.com/02_-_ISKCON_Swamis/ISKCON_Swamis_-_R_to_Y/His_Holiness_Radhanath_Swami/Lectures/Russian_Translation/Yearwise/1997/1997_Seminars_-_Hari_Katha-01_-_Radhanath_Swami_Kiev.mp3", "1997_Seminars_-_Hari_Katha-01_-_Radhanath_Swami_Kiev.mp3")</f>
        <v>1997_Seminars_-_Hari_Katha-01_-_Radhanath_Swami_Kiev.mp3</v>
      </c>
      <c r="D6009" s="24"/>
      <c r="E6009" s="24"/>
    </row>
    <row r="6010">
      <c r="A6010" s="25" t="s">
        <v>18860</v>
      </c>
      <c r="B6010" s="25" t="s">
        <v>18837</v>
      </c>
      <c r="C6010" s="26" t="str">
        <f>HYPERLINK("https://audio.iskcondesiretree.com/02_-_ISKCON_Swamis/ISKCON_Swamis_-_R_to_Y/His_Holiness_Radhanath_Swami/Lectures/Russian_Translation/Yearwise/1997/1997_Seminars_-_Hari_Katha-02_-_Radhanath_Swami_Kiev.mp3", "1997_Seminars_-_Hari_Katha-02_-_Radhanath_Swami_Kiev.mp3")</f>
        <v>1997_Seminars_-_Hari_Katha-02_-_Radhanath_Swami_Kiev.mp3</v>
      </c>
      <c r="D6010" s="24"/>
      <c r="E6010" s="24"/>
    </row>
    <row r="6011">
      <c r="A6011" s="25" t="s">
        <v>18860</v>
      </c>
      <c r="B6011" s="25" t="s">
        <v>18837</v>
      </c>
      <c r="C6011" s="26" t="str">
        <f>HYPERLINK("https://audio.iskcondesiretree.com/02_-_ISKCON_Swamis/ISKCON_Swamis_-_R_to_Y/His_Holiness_Radhanath_Swami/Lectures/Russian_Translation/Yearwise/1997/1997_Seminars_-_Hari_Katha-03_-_Radhanath_Swami_Kiev.mp3", "1997_Seminars_-_Hari_Katha-03_-_Radhanath_Swami_Kiev.mp3")</f>
        <v>1997_Seminars_-_Hari_Katha-03_-_Radhanath_Swami_Kiev.mp3</v>
      </c>
      <c r="D6011" s="24"/>
      <c r="E6011" s="24"/>
    </row>
    <row r="6012">
      <c r="A6012" s="25" t="s">
        <v>18860</v>
      </c>
      <c r="B6012" s="25" t="s">
        <v>18837</v>
      </c>
      <c r="C6012" s="26" t="str">
        <f>HYPERLINK("https://audio.iskcondesiretree.com/02_-_ISKCON_Swamis/ISKCON_Swamis_-_R_to_Y/His_Holiness_Radhanath_Swami/Lectures/Russian_Translation/Yearwise/1997/1997_Vamana_Dvadasi_%28Sukharevo%29_Radhanath_Swami_1997-09-14_Moscow.mp3", "1997_Vamana_Dvadasi_%28Sukharevo%29_Radhanath_Swami_1997-09-14_Moscow.mp3")</f>
        <v>1997_Vamana_Dvadasi_%28Sukharevo%29_Radhanath_Swami_1997-09-14_Moscow.mp3</v>
      </c>
      <c r="D6012" s="24"/>
      <c r="E6012" s="24"/>
    </row>
    <row r="6013">
      <c r="A6013" s="25" t="s">
        <v>18860</v>
      </c>
      <c r="B6013" s="25" t="s">
        <v>18837</v>
      </c>
      <c r="C6013" s="26" t="str">
        <f>HYPERLINK("https://audio.iskcondesiretree.com/02_-_ISKCON_Swamis/ISKCON_Swamis_-_R_to_Y/His_Holiness_Radhanath_Swami/Lectures/Russian_Translation/Yearwise/1998/1998_%20Q_%26_A_Radhanath_Swami_-_1998-09-10_Kiev.mp3", "1998_%20Q_%26_A_Radhanath_Swami_-_1998-09-10_Kiev.mp3")</f>
        <v>1998_%20Q_%26_A_Radhanath_Swami_-_1998-09-10_Kiev.mp3</v>
      </c>
      <c r="D6013" s="24"/>
      <c r="E6013" s="24"/>
    </row>
    <row r="6014">
      <c r="A6014" s="25" t="s">
        <v>18860</v>
      </c>
      <c r="B6014" s="25" t="s">
        <v>18837</v>
      </c>
      <c r="C6014" s="26" t="str">
        <f>HYPERLINK("https://audio.iskcondesiretree.com/02_-_ISKCON_Swamis/ISKCON_Swamis_-_R_to_Y/His_Holiness_Radhanath_Swami/Lectures/Russian_Translation/Yearwise/1998/1998_BG_08-07_Radhanath_Swami_-_1998-08-27_Moscow.mp3", "1998_BG_08-07_Radhanath_Swami_-_1998-08-27_Moscow.mp3")</f>
        <v>1998_BG_08-07_Radhanath_Swami_-_1998-08-27_Moscow.mp3</v>
      </c>
      <c r="D6014" s="24"/>
      <c r="E6014" s="24"/>
    </row>
    <row r="6015">
      <c r="A6015" s="25" t="s">
        <v>18860</v>
      </c>
      <c r="B6015" s="25" t="s">
        <v>18837</v>
      </c>
      <c r="C6015" s="26" t="str">
        <f>HYPERLINK("https://audio.iskcondesiretree.com/02_-_ISKCON_Swamis/ISKCON_Swamis_-_R_to_Y/His_Holiness_Radhanath_Swami/Lectures/Russian_Translation/Yearwise/1998/1998_CC_Madhya_15-111_Radhanath_Swami_-_1998-08-29_%28St.Petersburg%29_Moscow.mp3", "1998_CC_Madhya_15-111_Radhanath_Swami_-_1998-08-29_%28St.Petersburg%29_Moscow.mp3")</f>
        <v>1998_CC_Madhya_15-111_Radhanath_Swami_-_1998-08-29_%28St.Petersburg%29_Moscow.mp3</v>
      </c>
      <c r="D6015" s="24"/>
      <c r="E6015" s="24"/>
    </row>
    <row r="6016">
      <c r="A6016" s="25" t="s">
        <v>18860</v>
      </c>
      <c r="B6016" s="25" t="s">
        <v>18837</v>
      </c>
      <c r="C6016" s="26" t="str">
        <f>HYPERLINK("https://audio.iskcondesiretree.com/02_-_ISKCON_Swamis/ISKCON_Swamis_-_R_to_Y/His_Holiness_Radhanath_Swami/Lectures/Russian_Translation/Yearwise/1998/1998_Curator_lecture_Radhanath_Swami_-_1998-09-07_Kiev.mp3", "1998_Curator_lecture_Radhanath_Swami_-_1998-09-07_Kiev.mp3")</f>
        <v>1998_Curator_lecture_Radhanath_Swami_-_1998-09-07_Kiev.mp3</v>
      </c>
      <c r="D6016" s="24"/>
      <c r="E6016" s="24"/>
    </row>
    <row r="6017">
      <c r="A6017" s="25" t="s">
        <v>18860</v>
      </c>
      <c r="B6017" s="25" t="s">
        <v>18837</v>
      </c>
      <c r="C6017" s="26" t="str">
        <f>HYPERLINK("https://audio.iskcondesiretree.com/02_-_ISKCON_Swamis/ISKCON_Swamis_-_R_to_Y/His_Holiness_Radhanath_Swami/Lectures/Russian_Translation/Yearwise/1998/1998_Evening_lecture_Radhanath_Swami_-_1998-09-11_Kiev.mp3", "1998_Evening_lecture_Radhanath_Swami_-_1998-09-11_Kiev.mp3")</f>
        <v>1998_Evening_lecture_Radhanath_Swami_-_1998-09-11_Kiev.mp3</v>
      </c>
      <c r="D6017" s="24"/>
      <c r="E6017" s="24"/>
    </row>
    <row r="6018">
      <c r="A6018" s="25" t="s">
        <v>18860</v>
      </c>
      <c r="B6018" s="25" t="s">
        <v>18837</v>
      </c>
      <c r="C6018" s="26" t="str">
        <f>HYPERLINK("https://audio.iskcondesiretree.com/02_-_ISKCON_Swamis/ISKCON_Swamis_-_R_to_Y/His_Holiness_Radhanath_Swami/Lectures/Russian_Translation/Yearwise/1998/1998_First_meeting_Radhanath_Swami_-_1998-09-06_Kiev.mp3", "1998_First_meeting_Radhanath_Swami_-_1998-09-06_Kiev.mp3")</f>
        <v>1998_First_meeting_Radhanath_Swami_-_1998-09-06_Kiev.mp3</v>
      </c>
      <c r="D6018" s="24"/>
      <c r="E6018" s="24"/>
    </row>
    <row r="6019">
      <c r="A6019" s="25" t="s">
        <v>18860</v>
      </c>
      <c r="B6019" s="25" t="s">
        <v>18837</v>
      </c>
      <c r="C6019" s="26" t="str">
        <f>HYPERLINK("https://audio.iskcondesiretree.com/02_-_ISKCON_Swamis/ISKCON_Swamis_-_R_to_Y/His_Holiness_Radhanath_Swami/Lectures/Russian_Translation/Yearwise/1998/1998_Haridasa_Thakura_Tirobhava_01_Radhaanath_Swami_-_1998-09-05_Moscow.mp3", "1998_Haridasa_Thakura_Tirobhava_01_Radhaanath_Swami_-_1998-09-05_Moscow.mp3")</f>
        <v>1998_Haridasa_Thakura_Tirobhava_01_Radhaanath_Swami_-_1998-09-05_Moscow.mp3</v>
      </c>
      <c r="D6019" s="24"/>
      <c r="E6019" s="24"/>
    </row>
    <row r="6020">
      <c r="A6020" s="25" t="s">
        <v>18860</v>
      </c>
      <c r="B6020" s="25" t="s">
        <v>18837</v>
      </c>
      <c r="C6020" s="26" t="str">
        <f>HYPERLINK("https://audio.iskcondesiretree.com/02_-_ISKCON_Swamis/ISKCON_Swamis_-_R_to_Y/His_Holiness_Radhanath_Swami/Lectures/Russian_Translation/Yearwise/1998/1998_Haridasa_Thakura_Tirobhava_02_Radhanath_Swami_-_1998-09-05_Moscow.mp3", "1998_Haridasa_Thakura_Tirobhava_02_Radhanath_Swami_-_1998-09-05_Moscow.mp3")</f>
        <v>1998_Haridasa_Thakura_Tirobhava_02_Radhanath_Swami_-_1998-09-05_Moscow.mp3</v>
      </c>
      <c r="D6020" s="24"/>
      <c r="E6020" s="24"/>
    </row>
    <row r="6021">
      <c r="A6021" s="25" t="s">
        <v>18860</v>
      </c>
      <c r="B6021" s="25" t="s">
        <v>18837</v>
      </c>
      <c r="C6021" s="26" t="str">
        <f>HYPERLINK("https://audio.iskcondesiretree.com/02_-_ISKCON_Swamis/ISKCON_Swamis_-_R_to_Y/His_Holiness_Radhanath_Swami/Lectures/Russian_Translation/Yearwise/1998/1998_Lecture_in_St._Petersburg_Radhanath_Swami_-_1998-08-28_Moscow.mp3", "1998_Lecture_in_St._Petersburg_Radhanath_Swami_-_1998-08-28_Moscow.mp3")</f>
        <v>1998_Lecture_in_St._Petersburg_Radhanath_Swami_-_1998-08-28_Moscow.mp3</v>
      </c>
      <c r="D6021" s="24"/>
      <c r="E6021" s="24"/>
    </row>
    <row r="6022">
      <c r="A6022" s="25" t="s">
        <v>18860</v>
      </c>
      <c r="B6022" s="25" t="s">
        <v>18837</v>
      </c>
      <c r="C6022" s="26" t="str">
        <f>HYPERLINK("https://audio.iskcondesiretree.com/02_-_ISKCON_Swamis/ISKCON_Swamis_-_R_to_Y/His_Holiness_Radhanath_Swami/Lectures/Russian_Translation/Yearwise/1998/1998_Q_%26_A_with_%20temple_presidents_Radhanath_Swami_-_1998-09-11_Kiev.mp3", "1998_Q_%26_A_with_%20temple_presidents_Radhanath_Swami_-_1998-09-11_Kiev.mp3")</f>
        <v>1998_Q_%26_A_with_%20temple_presidents_Radhanath_Swami_-_1998-09-11_Kiev.mp3</v>
      </c>
      <c r="D6022" s="24"/>
      <c r="E6022" s="24"/>
    </row>
    <row r="6023">
      <c r="A6023" s="25" t="s">
        <v>18860</v>
      </c>
      <c r="B6023" s="25" t="s">
        <v>18837</v>
      </c>
      <c r="C6023" s="26" t="str">
        <f>HYPERLINK("https://audio.iskcondesiretree.com/02_-_ISKCON_Swamis/ISKCON_Swamis_-_R_to_Y/His_Holiness_Radhanath_Swami/Lectures/Russian_Translation/Yearwise/1998/1998_Realisations_with_my_Parents_Radhanath_Swami_-_1998-12-02_Mumbai.mp3", "1998_Realisations_with_my_Parents_Radhanath_Swami_-_1998-12-02_Mumbai.mp3")</f>
        <v>1998_Realisations_with_my_Parents_Radhanath_Swami_-_1998-12-02_Mumbai.mp3</v>
      </c>
      <c r="D6023" s="24"/>
      <c r="E6023" s="24"/>
    </row>
    <row r="6024">
      <c r="A6024" s="25" t="s">
        <v>18860</v>
      </c>
      <c r="B6024" s="25" t="s">
        <v>18837</v>
      </c>
      <c r="C6024" s="26" t="str">
        <f>HYPERLINK("https://audio.iskcondesiretree.com/02_-_ISKCON_Swamis/ISKCON_Swamis_-_R_to_Y/His_Holiness_Radhanath_Swami/Lectures/Russian_Translation/Yearwise/1998/1998_SB_03-13-01_Let_nothing_be_done_mechanically_-_1998-09-26_Radhanath_Swami_Mumbai.mp3", "1998_SB_03-13-01_Let_nothing_be_done_mechanically_-_1998-09-26_Radhanath_Swami_Mumbai.mp3")</f>
        <v>1998_SB_03-13-01_Let_nothing_be_done_mechanically_-_1998-09-26_Radhanath_Swami_Mumbai.mp3</v>
      </c>
      <c r="D6024" s="24"/>
      <c r="E6024" s="24"/>
    </row>
    <row r="6025">
      <c r="A6025" s="25" t="s">
        <v>18860</v>
      </c>
      <c r="B6025" s="25" t="s">
        <v>18837</v>
      </c>
      <c r="C6025" s="26" t="str">
        <f>HYPERLINK("https://audio.iskcondesiretree.com/02_-_ISKCON_Swamis/ISKCON_Swamis_-_R_to_Y/His_Holiness_Radhanath_Swami/Lectures/Russian_Translation/Yearwise/1998/1998_SB_04-22-50_Radhanath_Swami_-_1998-09-01_Moscow.mp3", "1998_SB_04-22-50_Radhanath_Swami_-_1998-09-01_Moscow.mp3")</f>
        <v>1998_SB_04-22-50_Radhanath_Swami_-_1998-09-01_Moscow.mp3</v>
      </c>
      <c r="D6025" s="24"/>
      <c r="E6025" s="24"/>
    </row>
    <row r="6026">
      <c r="A6026" s="25" t="s">
        <v>18860</v>
      </c>
      <c r="B6026" s="25" t="s">
        <v>18837</v>
      </c>
      <c r="C6026" s="26" t="str">
        <f>HYPERLINK("https://audio.iskcondesiretree.com/02_-_ISKCON_Swamis/ISKCON_Swamis_-_R_to_Y/His_Holiness_Radhanath_Swami/Lectures/Russian_Translation/Yearwise/1998/1998_SB_05-11-04_Radhanath_Swami_-_1998-09-07_Kiev.mp3", "1998_SB_05-11-04_Radhanath_Swami_-_1998-09-07_Kiev.mp3")</f>
        <v>1998_SB_05-11-04_Radhanath_Swami_-_1998-09-07_Kiev.mp3</v>
      </c>
      <c r="D6026" s="24"/>
      <c r="E6026" s="24"/>
    </row>
    <row r="6027">
      <c r="A6027" s="25" t="s">
        <v>18860</v>
      </c>
      <c r="B6027" s="25" t="s">
        <v>18837</v>
      </c>
      <c r="C6027" s="26" t="str">
        <f>HYPERLINK("https://audio.iskcondesiretree.com/02_-_ISKCON_Swamis/ISKCON_Swamis_-_R_to_Y/His_Holiness_Radhanath_Swami/Lectures/Russian_Translation/Yearwise/1998/1998_SB_05-11-06_Radhanath_Swami_-_1998-09-09_Kiev.mp3", "1998_SB_05-11-06_Radhanath_Swami_-_1998-09-09_Kiev.mp3")</f>
        <v>1998_SB_05-11-06_Radhanath_Swami_-_1998-09-09_Kiev.mp3</v>
      </c>
      <c r="D6027" s="24"/>
      <c r="E6027" s="24"/>
    </row>
    <row r="6028">
      <c r="A6028" s="25" t="s">
        <v>18860</v>
      </c>
      <c r="B6028" s="25" t="s">
        <v>18837</v>
      </c>
      <c r="C6028" s="26" t="str">
        <f>HYPERLINK("https://audio.iskcondesiretree.com/02_-_ISKCON_Swamis/ISKCON_Swamis_-_R_to_Y/His_Holiness_Radhanath_Swami/Lectures/Russian_Translation/Yearwise/1998/1998_SB_08-18-01_Vamana_%20Dvadasi_Radhanath_Swami_01_1998-09-03_Moscow.mp3", "1998_SB_08-18-01_Vamana_%20Dvadasi_Radhanath_Swami_01_1998-09-03_Moscow.mp3")</f>
        <v>1998_SB_08-18-01_Vamana_%20Dvadasi_Radhanath_Swami_01_1998-09-03_Moscow.mp3</v>
      </c>
      <c r="D6028" s="24"/>
      <c r="E6028" s="24"/>
    </row>
    <row r="6029">
      <c r="A6029" s="25" t="s">
        <v>18860</v>
      </c>
      <c r="B6029" s="25" t="s">
        <v>18837</v>
      </c>
      <c r="C6029" s="26" t="str">
        <f>HYPERLINK("https://audio.iskcondesiretree.com/02_-_ISKCON_Swamis/ISKCON_Swamis_-_R_to_Y/His_Holiness_Radhanath_Swami/Lectures/Russian_Translation/Yearwise/1998/1998_SB_08-18-01_Vamana_Dvadasi_02_Radhanath-Swami_1998-09-03_Moscow.mp3", "1998_SB_08-18-01_Vamana_Dvadasi_02_Radhanath-Swami_1998-09-03_Moscow.mp3")</f>
        <v>1998_SB_08-18-01_Vamana_Dvadasi_02_Radhanath-Swami_1998-09-03_Moscow.mp3</v>
      </c>
      <c r="D6029" s="24"/>
      <c r="E6029" s="24"/>
    </row>
    <row r="6030">
      <c r="A6030" s="25" t="s">
        <v>18860</v>
      </c>
      <c r="B6030" s="25" t="s">
        <v>18837</v>
      </c>
      <c r="C6030" s="26" t="str">
        <f>HYPERLINK("https://audio.iskcondesiretree.com/02_-_ISKCON_Swamis/ISKCON_Swamis_-_R_to_Y/His_Holiness_Radhanath_Swami/Lectures/Russian_Translation/Yearwise/1998/1998_Story_about_Himself_Part-02_Radhanath_Swami_-_1998-09-10_Kiev.mp3", "1998_Story_about_Himself_Part-02_Radhanath_Swami_-_1998-09-10_Kiev.mp3")</f>
        <v>1998_Story_about_Himself_Part-02_Radhanath_Swami_-_1998-09-10_Kiev.mp3</v>
      </c>
      <c r="D6030" s="24"/>
      <c r="E6030" s="24"/>
    </row>
    <row r="6031">
      <c r="A6031" s="25" t="s">
        <v>18860</v>
      </c>
      <c r="B6031" s="25" t="s">
        <v>18837</v>
      </c>
      <c r="C6031" s="26" t="str">
        <f>HYPERLINK("https://audio.iskcondesiretree.com/02_-_ISKCON_Swamis/ISKCON_Swamis_-_R_to_Y/His_Holiness_Radhanath_Swami/Lectures/Russian_Translation/Yearwise/1999/1999_BG_12-02_Radhanath_Swami_-_1999-07-28_Moscow.mp3", "1999_BG_12-02_Radhanath_Swami_-_1999-07-28_Moscow.mp3")</f>
        <v>1999_BG_12-02_Radhanath_Swami_-_1999-07-28_Moscow.mp3</v>
      </c>
      <c r="D6031" s="24"/>
      <c r="E6031" s="24"/>
    </row>
    <row r="6032">
      <c r="A6032" s="25" t="s">
        <v>18860</v>
      </c>
      <c r="B6032" s="25" t="s">
        <v>18837</v>
      </c>
      <c r="C6032" s="26" t="str">
        <f>HYPERLINK("https://audio.iskcondesiretree.com/02_-_ISKCON_Swamis/ISKCON_Swamis_-_R_to_Y/His_Holiness_Radhanath_Swami/Lectures/Russian_Translation/Yearwise/1999/1999_Darshan_Radhanath_Swami_-_1999-07-30_Moscow.mp3", "1999_Darshan_Radhanath_Swami_-_1999-07-30_Moscow.mp3")</f>
        <v>1999_Darshan_Radhanath_Swami_-_1999-07-30_Moscow.mp3</v>
      </c>
      <c r="D6032" s="24"/>
      <c r="E6032" s="24"/>
    </row>
    <row r="6033">
      <c r="A6033" s="25" t="s">
        <v>18860</v>
      </c>
      <c r="B6033" s="25" t="s">
        <v>18837</v>
      </c>
      <c r="C6033" s="26" t="str">
        <f>HYPERLINK("https://audio.iskcondesiretree.com/02_-_ISKCON_Swamis/ISKCON_Swamis_-_R_to_Y/His_Holiness_Radhanath_Swami/Lectures/Russian_Translation/Yearwise/1999/1999_Darshan_Radhanath_Swami_-_1999-08-01_Moscow.mp3", "1999_Darshan_Radhanath_Swami_-_1999-08-01_Moscow.mp3")</f>
        <v>1999_Darshan_Radhanath_Swami_-_1999-08-01_Moscow.mp3</v>
      </c>
      <c r="D6033" s="24"/>
      <c r="E6033" s="24"/>
    </row>
    <row r="6034">
      <c r="A6034" s="25" t="s">
        <v>18860</v>
      </c>
      <c r="B6034" s="25" t="s">
        <v>18837</v>
      </c>
      <c r="C6034" s="26" t="str">
        <f>HYPERLINK("https://audio.iskcondesiretree.com/02_-_ISKCON_Swamis/ISKCON_Swamis_-_R_to_Y/His_Holiness_Radhanath_Swami/Lectures/Russian_Translation/Yearwise/1999/1999_Moscow_Ratha_yatra_Radhanath_Swami_-_1999-07-31_Moscow.mp3", "1999_Moscow_Ratha_yatra_Radhanath_Swami_-_1999-07-31_Moscow.mp3")</f>
        <v>1999_Moscow_Ratha_yatra_Radhanath_Swami_-_1999-07-31_Moscow.mp3</v>
      </c>
      <c r="D6034" s="24"/>
      <c r="E6034" s="24"/>
    </row>
    <row r="6035">
      <c r="A6035" s="25" t="s">
        <v>18860</v>
      </c>
      <c r="B6035" s="25" t="s">
        <v>18837</v>
      </c>
      <c r="C6035" s="26" t="str">
        <f>HYPERLINK("https://audio.iskcondesiretree.com/02_-_ISKCON_Swamis/ISKCON_Swamis_-_R_to_Y/His_Holiness_Radhanath_Swami/Lectures/Russian_Translation/Yearwise/1999/1999_Moscow_Sunday_Program_Radhanath_Swami_-_1999-08-01_Moscow.mp3", "1999_Moscow_Sunday_Program_Radhanath_Swami_-_1999-08-01_Moscow.mp3")</f>
        <v>1999_Moscow_Sunday_Program_Radhanath_Swami_-_1999-08-01_Moscow.mp3</v>
      </c>
      <c r="D6035" s="24"/>
      <c r="E6035" s="24"/>
    </row>
    <row r="6036">
      <c r="A6036" s="25" t="s">
        <v>18860</v>
      </c>
      <c r="B6036" s="25" t="s">
        <v>18837</v>
      </c>
      <c r="C6036" s="26" t="str">
        <f>HYPERLINK("https://audio.iskcondesiretree.com/02_-_ISKCON_Swamis/ISKCON_Swamis_-_R_to_Y/His_Holiness_Radhanath_Swami/Lectures/Russian_Translation/Yearwise/1999/1999_Q%26A_01_Radhanath_Swami_-_1999-07-23_Odessa.mp3", "1999_Q%26A_01_Radhanath_Swami_-_1999-07-23_Odessa.mp3")</f>
        <v>1999_Q%26A_01_Radhanath_Swami_-_1999-07-23_Odessa.mp3</v>
      </c>
      <c r="D6036" s="24"/>
      <c r="E6036" s="24"/>
    </row>
    <row r="6037">
      <c r="A6037" s="25" t="s">
        <v>18860</v>
      </c>
      <c r="B6037" s="25" t="s">
        <v>18837</v>
      </c>
      <c r="C6037" s="26" t="str">
        <f>HYPERLINK("https://audio.iskcondesiretree.com/02_-_ISKCON_Swamis/ISKCON_Swamis_-_R_to_Y/His_Holiness_Radhanath_Swami/Lectures/Russian_Translation/Yearwise/1999/1999_Q%26A_02_Radhanath_Swami_-_1999-07-24_Odessa.mp3", "1999_Q%26A_02_Radhanath_Swami_-_1999-07-24_Odessa.mp3")</f>
        <v>1999_Q%26A_02_Radhanath_Swami_-_1999-07-24_Odessa.mp3</v>
      </c>
      <c r="D6037" s="24"/>
      <c r="E6037" s="24"/>
    </row>
    <row r="6038">
      <c r="A6038" s="25" t="s">
        <v>18860</v>
      </c>
      <c r="B6038" s="25" t="s">
        <v>18837</v>
      </c>
      <c r="C6038" s="26" t="str">
        <f>HYPERLINK("https://audio.iskcondesiretree.com/02_-_ISKCON_Swamis/ISKCON_Swamis_-_R_to_Y/His_Holiness_Radhanath_Swami/Lectures/Russian_Translation/Yearwise/1999/1999_Q%26A_03_Radhanath_Swami_-_1999-07-25_Odessa.mp3", "1999_Q%26A_03_Radhanath_Swami_-_1999-07-25_Odessa.mp3")</f>
        <v>1999_Q%26A_03_Radhanath_Swami_-_1999-07-25_Odessa.mp3</v>
      </c>
      <c r="D6038" s="24"/>
      <c r="E6038" s="24"/>
    </row>
    <row r="6039">
      <c r="A6039" s="25" t="s">
        <v>18860</v>
      </c>
      <c r="B6039" s="25" t="s">
        <v>18837</v>
      </c>
      <c r="C6039" s="26" t="str">
        <f>HYPERLINK("https://audio.iskcondesiretree.com/02_-_ISKCON_Swamis/ISKCON_Swamis_-_R_to_Y/His_Holiness_Radhanath_Swami/Lectures/Russian_Translation/Yearwise/1999/1999_Q%26A_04_Radhanath_Swami_-_1999-07-26_Odessa.mp3", "1999_Q%26A_04_Radhanath_Swami_-_1999-07-26_Odessa.mp3")</f>
        <v>1999_Q%26A_04_Radhanath_Swami_-_1999-07-26_Odessa.mp3</v>
      </c>
      <c r="D6039" s="24"/>
      <c r="E6039" s="24"/>
    </row>
    <row r="6040">
      <c r="A6040" s="25" t="s">
        <v>18860</v>
      </c>
      <c r="B6040" s="25" t="s">
        <v>18837</v>
      </c>
      <c r="C6040" s="26" t="str">
        <f>HYPERLINK("https://audio.iskcondesiretree.com/02_-_ISKCON_Swamis/ISKCON_Swamis_-_R_to_Y/His_Holiness_Radhanath_Swami/Lectures/Russian_Translation/Yearwise/1999/1999_Sanatana_Goswami_Radhanath_Swami_-_1999-07-30_Moscow.mp3", "1999_Sanatana_Goswami_Radhanath_Swami_-_1999-07-30_Moscow.mp3")</f>
        <v>1999_Sanatana_Goswami_Radhanath_Swami_-_1999-07-30_Moscow.mp3</v>
      </c>
      <c r="D6040" s="24"/>
      <c r="E6040" s="24"/>
    </row>
    <row r="6041">
      <c r="A6041" s="25" t="s">
        <v>18860</v>
      </c>
      <c r="B6041" s="25" t="s">
        <v>18837</v>
      </c>
      <c r="C6041" s="26" t="str">
        <f>HYPERLINK("https://audio.iskcondesiretree.com/02_-_ISKCON_Swamis/ISKCON_Swamis_-_R_to_Y/His_Holiness_Radhanath_Swami/Lectures/Russian_Translation/Yearwise/1999/1999_SB_04-22-20_Radhanath_Swami_-_1999-07-22_Odessa.mp3", "1999_SB_04-22-20_Radhanath_Swami_-_1999-07-22_Odessa.mp3")</f>
        <v>1999_SB_04-22-20_Radhanath_Swami_-_1999-07-22_Odessa.mp3</v>
      </c>
      <c r="D6041" s="24"/>
      <c r="E6041" s="24"/>
    </row>
    <row r="6042">
      <c r="A6042" s="25" t="s">
        <v>18860</v>
      </c>
      <c r="B6042" s="25" t="s">
        <v>18837</v>
      </c>
      <c r="C6042" s="26" t="str">
        <f>HYPERLINK("https://audio.iskcondesiretree.com/02_-_ISKCON_Swamis/ISKCON_Swamis_-_R_to_Y/His_Holiness_Radhanath_Swami/Lectures/Russian_Translation/Yearwise/1999/1999_SB_04-22-25_Radhanath_Swami_-_1999-07-27_Odessa.mp3", "1999_SB_04-22-25_Radhanath_Swami_-_1999-07-27_Odessa.mp3")</f>
        <v>1999_SB_04-22-25_Radhanath_Swami_-_1999-07-27_Odessa.mp3</v>
      </c>
      <c r="D6042" s="24"/>
      <c r="E6042" s="24"/>
    </row>
    <row r="6043">
      <c r="A6043" s="25" t="s">
        <v>18860</v>
      </c>
      <c r="B6043" s="25" t="s">
        <v>18837</v>
      </c>
      <c r="C6043" s="26" t="str">
        <f>HYPERLINK("https://audio.iskcondesiretree.com/02_-_ISKCON_Swamis/ISKCON_Swamis_-_R_to_Y/His_Holiness_Radhanath_Swami/Lectures/Russian_Translation/Yearwise/1999/1999_SB_04-29-11_Radhanth_Swami_-_1999-07-28_Moscow.mp3", "1999_SB_04-29-11_Radhanth_Swami_-_1999-07-28_Moscow.mp3")</f>
        <v>1999_SB_04-29-11_Radhanth_Swami_-_1999-07-28_Moscow.mp3</v>
      </c>
      <c r="D6043" s="24"/>
      <c r="E6043" s="24"/>
    </row>
    <row r="6044">
      <c r="A6044" s="25" t="s">
        <v>18860</v>
      </c>
      <c r="B6044" s="25" t="s">
        <v>18837</v>
      </c>
      <c r="C6044" s="26" t="str">
        <f>HYPERLINK("https://audio.iskcondesiretree.com/02_-_ISKCON_Swamis/ISKCON_Swamis_-_R_to_Y/His_Holiness_Radhanath_Swami/Lectures/Russian_Translation/Yearwise/1999/1999_SB_04-29-13_Radhanath_Swami_-_1999-07-29_Moscow.mp3", "1999_SB_04-29-13_Radhanath_Swami_-_1999-07-29_Moscow.mp3")</f>
        <v>1999_SB_04-29-13_Radhanath_Swami_-_1999-07-29_Moscow.mp3</v>
      </c>
      <c r="D6044" s="24"/>
      <c r="E6044" s="24"/>
    </row>
    <row r="6045">
      <c r="A6045" s="25" t="s">
        <v>18860</v>
      </c>
      <c r="B6045" s="25" t="s">
        <v>18837</v>
      </c>
      <c r="C6045" s="26" t="str">
        <f>HYPERLINK("https://audio.iskcondesiretree.com/02_-_ISKCON_Swamis/ISKCON_Swamis_-_R_to_Y/His_Holiness_Radhanath_Swami/Lectures/Russian_Translation/Yearwise/1999/1999_SB_04-29-13_Radhanath_Swami_-_1999-07-30_Moscow.mp3", "1999_SB_04-29-13_Radhanath_Swami_-_1999-07-30_Moscow.mp3")</f>
        <v>1999_SB_04-29-13_Radhanath_Swami_-_1999-07-30_Moscow.mp3</v>
      </c>
      <c r="D6045" s="24"/>
      <c r="E6045" s="24"/>
    </row>
    <row r="6046">
      <c r="A6046" s="25" t="s">
        <v>18860</v>
      </c>
      <c r="B6046" s="25" t="s">
        <v>18837</v>
      </c>
      <c r="C6046" s="26" t="str">
        <f>HYPERLINK("https://audio.iskcondesiretree.com/02_-_ISKCON_Swamis/ISKCON_Swamis_-_R_to_Y/His_Holiness_Radhanath_Swami/Lectures/Russian_Translation/Yearwise/1999/1999_SB_04-29-14_Radhanath_Swami_-_1999-07-31_Moscow.mp3", "1999_SB_04-29-14_Radhanath_Swami_-_1999-07-31_Moscow.mp3")</f>
        <v>1999_SB_04-29-14_Radhanath_Swami_-_1999-07-31_Moscow.mp3</v>
      </c>
      <c r="D6046" s="24"/>
      <c r="E6046" s="24"/>
    </row>
    <row r="6047">
      <c r="A6047" s="25" t="s">
        <v>18860</v>
      </c>
      <c r="B6047" s="25" t="s">
        <v>18837</v>
      </c>
      <c r="C6047" s="26" t="str">
        <f>HYPERLINK("https://audio.iskcondesiretree.com/02_-_ISKCON_Swamis/ISKCON_Swamis_-_R_to_Y/His_Holiness_Radhanath_Swami/Lectures/Russian_Translation/Yearwise/1999/1999_SB_04-29-15_Radhanatn_Swami_-_1999-08-02_Moscow.mp3", "1999_SB_04-29-15_Radhanatn_Swami_-_1999-08-02_Moscow.mp3")</f>
        <v>1999_SB_04-29-15_Radhanatn_Swami_-_1999-08-02_Moscow.mp3</v>
      </c>
      <c r="D6047" s="24"/>
      <c r="E6047" s="24"/>
    </row>
    <row r="6048">
      <c r="A6048" s="25" t="s">
        <v>18860</v>
      </c>
      <c r="B6048" s="25" t="s">
        <v>18837</v>
      </c>
      <c r="C6048" s="26" t="str">
        <f>HYPERLINK("https://audio.iskcondesiretree.com/02_-_ISKCON_Swamis/ISKCON_Swamis_-_R_to_Y/His_Holiness_Radhanath_Swami/Lectures/Russian_Translation/Yearwise/1999/1999_SB_05-04-06_Radhanath_Swami_-_1999-07-29_Moscow.mp3", "1999_SB_05-04-06_Radhanath_Swami_-_1999-07-29_Moscow.mp3")</f>
        <v>1999_SB_05-04-06_Radhanath_Swami_-_1999-07-29_Moscow.mp3</v>
      </c>
      <c r="D6048" s="24"/>
      <c r="E6048" s="24"/>
    </row>
    <row r="6049">
      <c r="A6049" s="25" t="s">
        <v>18860</v>
      </c>
      <c r="B6049" s="25" t="s">
        <v>18837</v>
      </c>
      <c r="C6049" s="26" t="str">
        <f>HYPERLINK("https://audio.iskcondesiretree.com/02_-_ISKCON_Swamis/ISKCON_Swamis_-_R_to_Y/His_Holiness_Radhanath_Swami/Lectures/Russian_Translation/Yearwise/2000/2000_Beseda_Radhanath_Swami_-_2000-10-14_Moscow.mp3", "2000_Beseda_Radhanath_Swami_-_2000-10-14_Moscow.mp3")</f>
        <v>2000_Beseda_Radhanath_Swami_-_2000-10-14_Moscow.mp3</v>
      </c>
      <c r="D6049" s="24"/>
      <c r="E6049" s="24"/>
    </row>
    <row r="6050">
      <c r="A6050" s="25" t="s">
        <v>18860</v>
      </c>
      <c r="B6050" s="25" t="s">
        <v>18837</v>
      </c>
      <c r="C6050" s="26" t="str">
        <f>HYPERLINK("https://audio.iskcondesiretree.com/02_-_ISKCON_Swamis/ISKCON_Swamis_-_R_to_Y/His_Holiness_Radhanath_Swami/Lectures/Russian_Translation/Yearwise/2000/2000_BG_03-13_Radhanath_Swami_-_2000-10-12_Moscow.mp3", "2000_BG_03-13_Radhanath_Swami_-_2000-10-12_Moscow.mp3")</f>
        <v>2000_BG_03-13_Radhanath_Swami_-_2000-10-12_Moscow.mp3</v>
      </c>
      <c r="D6050" s="24"/>
      <c r="E6050" s="24"/>
    </row>
    <row r="6051">
      <c r="A6051" s="25" t="s">
        <v>18860</v>
      </c>
      <c r="B6051" s="25" t="s">
        <v>18837</v>
      </c>
      <c r="C6051" s="26" t="str">
        <f>HYPERLINK("https://audio.iskcondesiretree.com/02_-_ISKCON_Swamis/ISKCON_Swamis_-_R_to_Y/His_Holiness_Radhanath_Swami/Lectures/Russian_Translation/Yearwise/2000/2000_Darsan_Before_%20Iniciation_Radhanath_Swami_Ukraine_%28Kiev%29.mp3", "2000_Darsan_Before_%20Iniciation_Radhanath_Swami_Ukraine_%28Kiev%29.mp3")</f>
        <v>2000_Darsan_Before_%20Iniciation_Radhanath_Swami_Ukraine_%28Kiev%29.mp3</v>
      </c>
      <c r="D6051" s="24"/>
      <c r="E6051" s="24"/>
    </row>
    <row r="6052">
      <c r="A6052" s="25" t="s">
        <v>18860</v>
      </c>
      <c r="B6052" s="25" t="s">
        <v>18837</v>
      </c>
      <c r="C6052" s="26" t="str">
        <f>HYPERLINK("https://audio.iskcondesiretree.com/02_-_ISKCON_Swamis/ISKCON_Swamis_-_R_to_Y/His_Holiness_Radhanath_Swami/Lectures/Russian_Translation/Yearwise/2000/2000_Darsan_Radhanath_Swami_-_2000-10-24_Ukraine_%28Kiev%29.mp3", "2000_Darsan_Radhanath_Swami_-_2000-10-24_Ukraine_%28Kiev%29.mp3")</f>
        <v>2000_Darsan_Radhanath_Swami_-_2000-10-24_Ukraine_%28Kiev%29.mp3</v>
      </c>
      <c r="D6052" s="24"/>
      <c r="E6052" s="24"/>
    </row>
    <row r="6053">
      <c r="A6053" s="25" t="s">
        <v>18860</v>
      </c>
      <c r="B6053" s="25" t="s">
        <v>18837</v>
      </c>
      <c r="C6053" s="26" t="str">
        <f>HYPERLINK("https://audio.iskcondesiretree.com/02_-_ISKCON_Swamis/ISKCON_Swamis_-_R_to_Y/His_Holiness_Radhanath_Swami/Lectures/Russian_Translation/Yearwise/2000/2000_Darshan_Radhanath_Swami_-_2000-10-15_Moscow.mp3", "2000_Darshan_Radhanath_Swami_-_2000-10-15_Moscow.mp3")</f>
        <v>2000_Darshan_Radhanath_Swami_-_2000-10-15_Moscow.mp3</v>
      </c>
      <c r="D6053" s="24"/>
      <c r="E6053" s="24"/>
    </row>
    <row r="6054">
      <c r="A6054" s="25" t="s">
        <v>18860</v>
      </c>
      <c r="B6054" s="25" t="s">
        <v>18837</v>
      </c>
      <c r="C6054" s="26" t="str">
        <f>HYPERLINK("https://audio.iskcondesiretree.com/02_-_ISKCON_Swamis/ISKCON_Swamis_-_R_to_Y/His_Holiness_Radhanath_Swami/Lectures/Russian_Translation/Yearwise/2000/2000_Initiation_%20Lecture-%28Dnepropetrovsk%29_Radhanath_Swami_-_2000-10-21_Ukraine.mp3", "2000_Initiation_%20Lecture-%28Dnepropetrovsk%29_Radhanath_Swami_-_2000-10-21_Ukraine.mp3")</f>
        <v>2000_Initiation_%20Lecture-%28Dnepropetrovsk%29_Radhanath_Swami_-_2000-10-21_Ukraine.mp3</v>
      </c>
      <c r="D6054" s="24"/>
      <c r="E6054" s="24"/>
    </row>
    <row r="6055">
      <c r="A6055" s="25" t="s">
        <v>18860</v>
      </c>
      <c r="B6055" s="25" t="s">
        <v>18837</v>
      </c>
      <c r="C6055" s="26" t="str">
        <f>HYPERLINK("https://audio.iskcondesiretree.com/02_-_ISKCON_Swamis/ISKCON_Swamis_-_R_to_Y/His_Holiness_Radhanath_Swami/Lectures/Russian_Translation/Yearwise/2000/2000_Narottam_Das_Thakur_01_Radhanath_Swami_-_2000-10-17_Moscow.mp3", "2000_Narottam_Das_Thakur_01_Radhanath_Swami_-_2000-10-17_Moscow.mp3")</f>
        <v>2000_Narottam_Das_Thakur_01_Radhanath_Swami_-_2000-10-17_Moscow.mp3</v>
      </c>
      <c r="D6055" s="24"/>
      <c r="E6055" s="24"/>
    </row>
    <row r="6056">
      <c r="A6056" s="25" t="s">
        <v>18860</v>
      </c>
      <c r="B6056" s="25" t="s">
        <v>18837</v>
      </c>
      <c r="C6056" s="26" t="str">
        <f>HYPERLINK("https://audio.iskcondesiretree.com/02_-_ISKCON_Swamis/ISKCON_Swamis_-_R_to_Y/His_Holiness_Radhanath_Swami/Lectures/Russian_Translation/Yearwise/2000/2000_Narottam_Das_Thakur_02_Radhanath_Swami_-_2000-10-17_Moscow.mp3", "2000_Narottam_Das_Thakur_02_Radhanath_Swami_-_2000-10-17_Moscow.mp3")</f>
        <v>2000_Narottam_Das_Thakur_02_Radhanath_Swami_-_2000-10-17_Moscow.mp3</v>
      </c>
      <c r="D6056" s="24"/>
      <c r="E6056" s="24"/>
    </row>
    <row r="6057">
      <c r="A6057" s="25" t="s">
        <v>18860</v>
      </c>
      <c r="B6057" s="25" t="s">
        <v>18837</v>
      </c>
      <c r="C6057" s="26" t="str">
        <f>HYPERLINK("https://audio.iskcondesiretree.com/02_-_ISKCON_Swamis/ISKCON_Swamis_-_R_to_Y/His_Holiness_Radhanath_Swami/Lectures/Russian_Translation/Yearwise/2000/2000_NRS_%26_RNS_before_Iniciation_Radhanath_Swami_-_2000-10-18_Moscow.mp3", "2000_NRS_%26_RNS_before_Iniciation_Radhanath_Swami_-_2000-10-18_Moscow.mp3")</f>
        <v>2000_NRS_%26_RNS_before_Iniciation_Radhanath_Swami_-_2000-10-18_Moscow.mp3</v>
      </c>
      <c r="D6057" s="24"/>
      <c r="E6057" s="24"/>
    </row>
    <row r="6058">
      <c r="A6058" s="25" t="s">
        <v>18860</v>
      </c>
      <c r="B6058" s="25" t="s">
        <v>18837</v>
      </c>
      <c r="C6058" s="26" t="str">
        <f>HYPERLINK("https://audio.iskcondesiretree.com/02_-_ISKCON_Swamis/ISKCON_Swamis_-_R_to_Y/His_Holiness_Radhanath_Swami/Lectures/Russian_Translation/Yearwise/2000/2000_Oskorblenie_Predannogo_Radhanath_Swami_2000-10-14_Moscow.mp3", "2000_Oskorblenie_Predannogo_Radhanath_Swami_2000-10-14_Moscow.mp3")</f>
        <v>2000_Oskorblenie_Predannogo_Radhanath_Swami_2000-10-14_Moscow.mp3</v>
      </c>
      <c r="D6058" s="24"/>
      <c r="E6058" s="24"/>
    </row>
    <row r="6059">
      <c r="A6059" s="25" t="s">
        <v>18860</v>
      </c>
      <c r="B6059" s="25" t="s">
        <v>18837</v>
      </c>
      <c r="C6059" s="26" t="str">
        <f>HYPERLINK("https://audio.iskcondesiretree.com/02_-_ISKCON_Swamis/ISKCON_Swamis_-_R_to_Y/His_Holiness_Radhanath_Swami/Lectures/Russian_Translation/Yearwise/2000/2000_SB_05-14-01_Radhanath_Swami_-_2000-10-13_Moscow.mp3", "2000_SB_05-14-01_Radhanath_Swami_-_2000-10-13_Moscow.mp3")</f>
        <v>2000_SB_05-14-01_Radhanath_Swami_-_2000-10-13_Moscow.mp3</v>
      </c>
      <c r="D6059" s="24"/>
      <c r="E6059" s="24"/>
    </row>
    <row r="6060">
      <c r="A6060" s="25" t="s">
        <v>18860</v>
      </c>
      <c r="B6060" s="25" t="s">
        <v>18837</v>
      </c>
      <c r="C6060" s="26" t="str">
        <f>HYPERLINK("https://audio.iskcondesiretree.com/02_-_ISKCON_Swamis/ISKCON_Swamis_-_R_to_Y/His_Holiness_Radhanath_Swami/Lectures/Russian_Translation/Yearwise/2000/2000_SB_05-14-02_Radhanath_Swami_-_2000-10-14_Moscow.mp3", "2000_SB_05-14-02_Radhanath_Swami_-_2000-10-14_Moscow.mp3")</f>
        <v>2000_SB_05-14-02_Radhanath_Swami_-_2000-10-14_Moscow.mp3</v>
      </c>
      <c r="D6060" s="24"/>
      <c r="E6060" s="24"/>
    </row>
    <row r="6061">
      <c r="A6061" s="25" t="s">
        <v>18860</v>
      </c>
      <c r="B6061" s="25" t="s">
        <v>18837</v>
      </c>
      <c r="C6061" s="26" t="str">
        <f>HYPERLINK("https://audio.iskcondesiretree.com/02_-_ISKCON_Swamis/ISKCON_Swamis_-_R_to_Y/His_Holiness_Radhanath_Swami/Lectures/Russian_Translation/Yearwise/2000/2000_SB_05-14-04_Radhanath_Swami_-_2000-10-16_Moscow.mp3", "2000_SB_05-14-04_Radhanath_Swami_-_2000-10-16_Moscow.mp3")</f>
        <v>2000_SB_05-14-04_Radhanath_Swami_-_2000-10-16_Moscow.mp3</v>
      </c>
      <c r="D6061" s="24"/>
      <c r="E6061" s="24"/>
    </row>
    <row r="6062">
      <c r="A6062" s="25" t="s">
        <v>18860</v>
      </c>
      <c r="B6062" s="25" t="s">
        <v>18837</v>
      </c>
      <c r="C6062" s="26" t="str">
        <f>HYPERLINK("https://audio.iskcondesiretree.com/02_-_ISKCON_Swamis/ISKCON_Swamis_-_R_to_Y/His_Holiness_Radhanath_Swami/Lectures/Russian_Translation/Yearwise/2000/2000_SB_Radhanath_Swami_-_2000-10-28_Ukraine_%28Kiev%29.mp3", "2000_SB_Radhanath_Swami_-_2000-10-28_Ukraine_%28Kiev%29.mp3")</f>
        <v>2000_SB_Radhanath_Swami_-_2000-10-28_Ukraine_%28Kiev%29.mp3</v>
      </c>
      <c r="D6062" s="24"/>
      <c r="E6062" s="24"/>
    </row>
    <row r="6063">
      <c r="A6063" s="25" t="s">
        <v>18860</v>
      </c>
      <c r="B6063" s="25" t="s">
        <v>18837</v>
      </c>
      <c r="C6063" s="26" t="str">
        <f>HYPERLINK("https://audio.iskcondesiretree.com/02_-_ISKCON_Swamis/ISKCON_Swamis_-_R_to_Y/His_Holiness_Radhanath_Swami/Lectures/Russian_Translation/Yearwise/2000/2000_Sunday_Lecture_Radhanath_Swami_-_2000-10-15_Moscow.mp3", "2000_Sunday_Lecture_Radhanath_Swami_-_2000-10-15_Moscow.mp3")</f>
        <v>2000_Sunday_Lecture_Radhanath_Swami_-_2000-10-15_Moscow.mp3</v>
      </c>
      <c r="D6063" s="24"/>
      <c r="E6063" s="24"/>
    </row>
    <row r="6064">
      <c r="A6064" s="25" t="s">
        <v>18860</v>
      </c>
      <c r="B6064" s="25" t="s">
        <v>18837</v>
      </c>
      <c r="C6064" s="26" t="str">
        <f>HYPERLINK("https://audio.iskcondesiretree.com/02_-_ISKCON_Swamis/ISKCON_Swamis_-_R_to_Y/His_Holiness_Radhanath_Swami/Lectures/Russian_Translation/Yearwise/2001/2001_01_Rupa_Goswami_Radhanath_Swami_-_2001-07-31_Moscow.mp3", "2001_01_Rupa_Goswami_Radhanath_Swami_-_2001-07-31_Moscow.mp3")</f>
        <v>2001_01_Rupa_Goswami_Radhanath_Swami_-_2001-07-31_Moscow.mp3</v>
      </c>
      <c r="D6064" s="24"/>
      <c r="E6064" s="24"/>
    </row>
    <row r="6065">
      <c r="A6065" s="25" t="s">
        <v>18860</v>
      </c>
      <c r="B6065" s="25" t="s">
        <v>18837</v>
      </c>
      <c r="C6065" s="26" t="str">
        <f>HYPERLINK("https://audio.iskcondesiretree.com/02_-_ISKCON_Swamis/ISKCON_Swamis_-_R_to_Y/His_Holiness_Radhanath_Swami/Lectures/Russian_Translation/Yearwise/2001/2001_02_Rupa_Goswami_Radhanath_Swami_-_2001-07-31_Moscow.mp3", "2001_02_Rupa_Goswami_Radhanath_Swami_-_2001-07-31_Moscow.mp3")</f>
        <v>2001_02_Rupa_Goswami_Radhanath_Swami_-_2001-07-31_Moscow.mp3</v>
      </c>
      <c r="D6065" s="24"/>
      <c r="E6065" s="24"/>
    </row>
    <row r="6066">
      <c r="A6066" s="25" t="s">
        <v>18860</v>
      </c>
      <c r="B6066" s="25" t="s">
        <v>18837</v>
      </c>
      <c r="C6066" s="26" t="str">
        <f>HYPERLINK("https://audio.iskcondesiretree.com/02_-_ISKCON_Swamis/ISKCON_Swamis_-_R_to_Y/His_Holiness_Radhanath_Swami/Lectures/Russian_Translation/Yearwise/2001/2001_03_Rupa_Goswami_Radhanath_Swami_-_2001-08-01_Moscow.mp3", "2001_03_Rupa_Goswami_Radhanath_Swami_-_2001-08-01_Moscow.mp3")</f>
        <v>2001_03_Rupa_Goswami_Radhanath_Swami_-_2001-08-01_Moscow.mp3</v>
      </c>
      <c r="D6066" s="24"/>
      <c r="E6066" s="24"/>
    </row>
    <row r="6067">
      <c r="A6067" s="25" t="s">
        <v>18860</v>
      </c>
      <c r="B6067" s="25" t="s">
        <v>18837</v>
      </c>
      <c r="C6067" s="26" t="str">
        <f>HYPERLINK("https://audio.iskcondesiretree.com/02_-_ISKCON_Swamis/ISKCON_Swamis_-_R_to_Y/His_Holiness_Radhanath_Swami/Lectures/Russian_Translation/Yearwise/2001/2001_Badarik_ashram_Radhanath_Swami_-_2001-xx-xx_Moscow.mp3", "2001_Badarik_ashram_Radhanath_Swami_-_2001-xx-xx_Moscow.mp3")</f>
        <v>2001_Badarik_ashram_Radhanath_Swami_-_2001-xx-xx_Moscow.mp3</v>
      </c>
      <c r="D6067" s="24"/>
      <c r="E6067" s="24"/>
    </row>
    <row r="6068">
      <c r="A6068" s="25" t="s">
        <v>18860</v>
      </c>
      <c r="B6068" s="25" t="s">
        <v>18837</v>
      </c>
      <c r="C6068" s="26" t="str">
        <f>HYPERLINK("https://audio.iskcondesiretree.com/02_-_ISKCON_Swamis/ISKCON_Swamis_-_R_to_Y/His_Holiness_Radhanath_Swami/Lectures/Russian_Translation/Yearwise/2001/2001_Darsan_%20Radhanath_Swami_-_2001-08-01_Moscow.mp3", "2001_Darsan_%20Radhanath_Swami_-_2001-08-01_Moscow.mp3")</f>
        <v>2001_Darsan_%20Radhanath_Swami_-_2001-08-01_Moscow.mp3</v>
      </c>
      <c r="D6068" s="24"/>
      <c r="E6068" s="24"/>
    </row>
    <row r="6069">
      <c r="A6069" s="25" t="s">
        <v>18860</v>
      </c>
      <c r="B6069" s="25" t="s">
        <v>18837</v>
      </c>
      <c r="C6069" s="26" t="str">
        <f>HYPERLINK("https://audio.iskcondesiretree.com/02_-_ISKCON_Swamis/ISKCON_Swamis_-_R_to_Y/His_Holiness_Radhanath_Swami/Lectures/Russian_Translation/Yearwise/2001/2001_Darsan_%20Radhanath_Swami_-_2001-08-05_Moscow.mp3", "2001_Darsan_%20Radhanath_Swami_-_2001-08-05_Moscow.mp3")</f>
        <v>2001_Darsan_%20Radhanath_Swami_-_2001-08-05_Moscow.mp3</v>
      </c>
      <c r="D6069" s="24"/>
      <c r="E6069" s="24"/>
    </row>
    <row r="6070">
      <c r="A6070" s="25" t="s">
        <v>18860</v>
      </c>
      <c r="B6070" s="25" t="s">
        <v>18837</v>
      </c>
      <c r="C6070" s="26" t="str">
        <f>HYPERLINK("https://audio.iskcondesiretree.com/02_-_ISKCON_Swamis/ISKCON_Swamis_-_R_to_Y/His_Holiness_Radhanath_Swami/Lectures/Russian_Translation/Yearwise/2001/2001_Evening_Lecture_Radhanath_Swami_-_2001-08-06_Kiev.mp3", "2001_Evening_Lecture_Radhanath_Swami_-_2001-08-06_Kiev.mp3")</f>
        <v>2001_Evening_Lecture_Radhanath_Swami_-_2001-08-06_Kiev.mp3</v>
      </c>
      <c r="D6070" s="24"/>
      <c r="E6070" s="24"/>
    </row>
    <row r="6071">
      <c r="A6071" s="25" t="s">
        <v>18860</v>
      </c>
      <c r="B6071" s="25" t="s">
        <v>18837</v>
      </c>
      <c r="C6071" s="26" t="str">
        <f>HYPERLINK("https://audio.iskcondesiretree.com/02_-_ISKCON_Swamis/ISKCON_Swamis_-_R_to_Y/His_Holiness_Radhanath_Swami/Lectures/Russian_Translation/Yearwise/2001/2001_Evening_Lecture_Radhanath_Swami_-_2001-08-07_Kiev.mp3", "2001_Evening_Lecture_Radhanath_Swami_-_2001-08-07_Kiev.mp3")</f>
        <v>2001_Evening_Lecture_Radhanath_Swami_-_2001-08-07_Kiev.mp3</v>
      </c>
      <c r="D6071" s="24"/>
      <c r="E6071" s="24"/>
    </row>
    <row r="6072">
      <c r="A6072" s="25" t="s">
        <v>18860</v>
      </c>
      <c r="B6072" s="25" t="s">
        <v>18837</v>
      </c>
      <c r="C6072" s="26" t="str">
        <f>HYPERLINK("https://audio.iskcondesiretree.com/02_-_ISKCON_Swamis/ISKCON_Swamis_-_R_to_Y/His_Holiness_Radhanath_Swami/Lectures/Russian_Translation/Yearwise/2001/2001_Evening_Lecture_Radhanath_Swami_-_2001-08-08_Kiev.mp3", "2001_Evening_Lecture_Radhanath_Swami_-_2001-08-08_Kiev.mp3")</f>
        <v>2001_Evening_Lecture_Radhanath_Swami_-_2001-08-08_Kiev.mp3</v>
      </c>
      <c r="D6072" s="24"/>
      <c r="E6072" s="24"/>
    </row>
    <row r="6073">
      <c r="A6073" s="25" t="s">
        <v>18860</v>
      </c>
      <c r="B6073" s="25" t="s">
        <v>18837</v>
      </c>
      <c r="C6073" s="26" t="str">
        <f>HYPERLINK("https://audio.iskcondesiretree.com/02_-_ISKCON_Swamis/ISKCON_Swamis_-_R_to_Y/His_Holiness_Radhanath_Swami/Lectures/Russian_Translation/Yearwise/2001/2001_Introduction_Radhanath_Swami_-_2001-08-06_Kiev.mp3", "2001_Introduction_Radhanath_Swami_-_2001-08-06_Kiev.mp3")</f>
        <v>2001_Introduction_Radhanath_Swami_-_2001-08-06_Kiev.mp3</v>
      </c>
      <c r="D6073" s="24"/>
      <c r="E6073" s="24"/>
    </row>
    <row r="6074">
      <c r="A6074" s="25" t="s">
        <v>18860</v>
      </c>
      <c r="B6074" s="25" t="s">
        <v>18837</v>
      </c>
      <c r="C6074" s="26" t="str">
        <f>HYPERLINK("https://audio.iskcondesiretree.com/02_-_ISKCON_Swamis/ISKCON_Swamis_-_R_to_Y/His_Holiness_Radhanath_Swami/Lectures/Russian_Translation/Yearwise/2001/2001_Recollections_of_New_Vrindavan_and_silk_Rasdhanath_Swami_New_Vrindavan.mp3", "2001_Recollections_of_New_Vrindavan_and_silk_Rasdhanath_Swami_New_Vrindavan.mp3")</f>
        <v>2001_Recollections_of_New_Vrindavan_and_silk_Rasdhanath_Swami_New_Vrindavan.mp3</v>
      </c>
      <c r="D6074" s="24"/>
      <c r="E6074" s="24"/>
    </row>
    <row r="6075">
      <c r="A6075" s="25" t="s">
        <v>18860</v>
      </c>
      <c r="B6075" s="25" t="s">
        <v>18837</v>
      </c>
      <c r="C6075" s="26" t="str">
        <f>HYPERLINK("https://audio.iskcondesiretree.com/02_-_ISKCON_Swamis/ISKCON_Swamis_-_R_to_Y/His_Holiness_Radhanath_Swami/Lectures/Russian_Translation/Yearwise/2001/2001_Relief_fund_Garuda_Radhanath_Swami_-_2001-08-03_Moscow.mp3", "2001_Relief_fund_Garuda_Radhanath_Swami_-_2001-08-03_Moscow.mp3")</f>
        <v>2001_Relief_fund_Garuda_Radhanath_Swami_-_2001-08-03_Moscow.mp3</v>
      </c>
      <c r="D6075" s="24"/>
      <c r="E6075" s="24"/>
    </row>
    <row r="6076">
      <c r="A6076" s="25" t="s">
        <v>18860</v>
      </c>
      <c r="B6076" s="25" t="s">
        <v>18837</v>
      </c>
      <c r="C6076" s="26" t="str">
        <f>HYPERLINK("https://audio.iskcondesiretree.com/02_-_ISKCON_Swamis/ISKCON_Swamis_-_R_to_Y/His_Holiness_Radhanath_Swami/Lectures/Russian_Translation/Yearwise/2001/2001_Rememberance_of_Srila_Prabhupada_Radhanath_Swami_-_2001-07-30_Moscow.mp3", "2001_Rememberance_of_Srila_Prabhupada_Radhanath_Swami_-_2001-07-30_Moscow.mp3")</f>
        <v>2001_Rememberance_of_Srila_Prabhupada_Radhanath_Swami_-_2001-07-30_Moscow.mp3</v>
      </c>
      <c r="D6076" s="24"/>
      <c r="E6076" s="24"/>
    </row>
    <row r="6077">
      <c r="A6077" s="25" t="s">
        <v>18860</v>
      </c>
      <c r="B6077" s="25" t="s">
        <v>18837</v>
      </c>
      <c r="C6077" s="26" t="str">
        <f>HYPERLINK("https://audio.iskcondesiretree.com/02_-_ISKCON_Swamis/ISKCON_Swamis_-_R_to_Y/His_Holiness_Radhanath_Swami/Lectures/Russian_Translation/Yearwise/2001/2001_Sannyasa_Initiation_Radhanath_Swami_-_2001-08-04_Moscow.mp3", "2001_Sannyasa_Initiation_Radhanath_Swami_-_2001-08-04_Moscow.mp3")</f>
        <v>2001_Sannyasa_Initiation_Radhanath_Swami_-_2001-08-04_Moscow.mp3</v>
      </c>
      <c r="D6077" s="24"/>
      <c r="E6077" s="24"/>
    </row>
    <row r="6078">
      <c r="A6078" s="25" t="s">
        <v>18860</v>
      </c>
      <c r="B6078" s="25" t="s">
        <v>18837</v>
      </c>
      <c r="C6078" s="26" t="str">
        <f>HYPERLINK("https://audio.iskcondesiretree.com/02_-_ISKCON_Swamis/ISKCON_Swamis_-_R_to_Y/His_Holiness_Radhanath_Swami/Lectures/Russian_Translation/Yearwise/2001/2001_SB_06-01-44_Radhanath_Swami_-_2001-07-30_Moscow.mp3", "2001_SB_06-01-44_Radhanath_Swami_-_2001-07-30_Moscow.mp3")</f>
        <v>2001_SB_06-01-44_Radhanath_Swami_-_2001-07-30_Moscow.mp3</v>
      </c>
      <c r="D6078" s="24"/>
      <c r="E6078" s="24"/>
    </row>
    <row r="6079">
      <c r="A6079" s="25" t="s">
        <v>18860</v>
      </c>
      <c r="B6079" s="25" t="s">
        <v>18837</v>
      </c>
      <c r="C6079" s="26" t="str">
        <f>HYPERLINK("https://audio.iskcondesiretree.com/02_-_ISKCON_Swamis/ISKCON_Swamis_-_R_to_Y/His_Holiness_Radhanath_Swami/Lectures/Russian_Translation/Yearwise/2001/2001_SB_06-01-47_Radhanath_Swami_-_2001-08-05_Moscow.mp3", "2001_SB_06-01-47_Radhanath_Swami_-_2001-08-05_Moscow.mp3")</f>
        <v>2001_SB_06-01-47_Radhanath_Swami_-_2001-08-05_Moscow.mp3</v>
      </c>
      <c r="D6079" s="24"/>
      <c r="E6079" s="24"/>
    </row>
    <row r="6080">
      <c r="A6080" s="25" t="s">
        <v>18860</v>
      </c>
      <c r="B6080" s="25" t="s">
        <v>18837</v>
      </c>
      <c r="C6080" s="26" t="str">
        <f>HYPERLINK("https://audio.iskcondesiretree.com/02_-_ISKCON_Swamis/ISKCON_Swamis_-_R_to_Y/His_Holiness_Radhanath_Swami/Lectures/Russian_Translation/Yearwise/2001/2001_SB_07-04-31_Narasimha_Caturdasi_Radhanath_Swami_-_2001-05-06_New_Vrindavan.mp3", "2001_SB_07-04-31_Narasimha_Caturdasi_Radhanath_Swami_-_2001-05-06_New_Vrindavan.mp3")</f>
        <v>2001_SB_07-04-31_Narasimha_Caturdasi_Radhanath_Swami_-_2001-05-06_New_Vrindavan.mp3</v>
      </c>
      <c r="D6080" s="24"/>
      <c r="E6080" s="24"/>
    </row>
    <row r="6081">
      <c r="A6081" s="25" t="s">
        <v>18860</v>
      </c>
      <c r="B6081" s="25" t="s">
        <v>18837</v>
      </c>
      <c r="C6081" s="26" t="str">
        <f>HYPERLINK("https://audio.iskcondesiretree.com/02_-_ISKCON_Swamis/ISKCON_Swamis_-_R_to_Y/His_Holiness_Radhanath_Swami/Lectures/Russian_Translation/Yearwise/2001/2001_SB_07-09-19_Radhanath_Swami_-_2001-08-08_Kiev.mp3", "2001_SB_07-09-19_Radhanath_Swami_-_2001-08-08_Kiev.mp3")</f>
        <v>2001_SB_07-09-19_Radhanath_Swami_-_2001-08-08_Kiev.mp3</v>
      </c>
      <c r="D6081" s="24"/>
      <c r="E6081" s="24"/>
    </row>
    <row r="6082">
      <c r="A6082" s="25" t="s">
        <v>18860</v>
      </c>
      <c r="B6082" s="25" t="s">
        <v>18837</v>
      </c>
      <c r="C6082" s="26" t="str">
        <f>HYPERLINK("https://audio.iskcondesiretree.com/02_-_ISKCON_Swamis/ISKCON_Swamis_-_R_to_Y/His_Holiness_Radhanath_Swami/Lectures/Russian_Translation/Yearwise/2001/2001_SB_07-09-20_Radhanath_Swami_-_2001-08-09_Kiev.mp3", "2001_SB_07-09-20_Radhanath_Swami_-_2001-08-09_Kiev.mp3")</f>
        <v>2001_SB_07-09-20_Radhanath_Swami_-_2001-08-09_Kiev.mp3</v>
      </c>
      <c r="D6082" s="24"/>
      <c r="E6082" s="24"/>
    </row>
    <row r="6083">
      <c r="A6083" s="25" t="s">
        <v>18860</v>
      </c>
      <c r="B6083" s="25" t="s">
        <v>18837</v>
      </c>
      <c r="C6083" s="26" t="str">
        <f>HYPERLINK("https://audio.iskcondesiretree.com/02_-_ISKCON_Swamis/ISKCON_Swamis_-_R_to_Y/His_Holiness_Radhanath_Swami/Lectures/Russian_Translation/Yearwise/2002/2002-02-23_SB_01-13-10_Simplicity_-_Radhanth_Swami_Pune.mp3", "2002-02-23_SB_01-13-10_Simplicity_-_Radhanth_Swami_Pune.mp3")</f>
        <v>2002-02-23_SB_01-13-10_Simplicity_-_Radhanth_Swami_Pune.mp3</v>
      </c>
      <c r="D6083" s="24"/>
      <c r="E6083" s="24"/>
    </row>
    <row r="6084">
      <c r="A6084" s="25" t="s">
        <v>18860</v>
      </c>
      <c r="B6084" s="25" t="s">
        <v>18837</v>
      </c>
      <c r="C6084" s="26" t="str">
        <f>HYPERLINK("https://audio.iskcondesiretree.com/02_-_ISKCON_Swamis/ISKCON_Swamis_-_R_to_Y/His_Holiness_Radhanath_Swami/Lectures/Russian_Translation/Yearwise/2002/2002-02-24_Various_-_Titiksha_Patience_-_Radhanath_Swami_Pune.mp3", "2002-02-24_Various_-_Titiksha_Patience_-_Radhanath_Swami_Pune.mp3")</f>
        <v>2002-02-24_Various_-_Titiksha_Patience_-_Radhanath_Swami_Pune.mp3</v>
      </c>
      <c r="D6084" s="24"/>
      <c r="E6084" s="24"/>
    </row>
    <row r="6085">
      <c r="A6085" s="25" t="s">
        <v>18860</v>
      </c>
      <c r="B6085" s="25" t="s">
        <v>18837</v>
      </c>
      <c r="C6085" s="26" t="str">
        <f>HYPERLINK("https://audio.iskcondesiretree.com/02_-_ISKCON_Swamis/ISKCON_Swamis_-_R_to_Y/His_Holiness_Radhanath_Swami/Lectures/Russian_Translation/Yearwise/2002/2002-02-25_Various_-_Humility_-_Radhanath_Swami_Pune.mp3", "2002-02-25_Various_-_Humility_-_Radhanath_Swami_Pune.mp3")</f>
        <v>2002-02-25_Various_-_Humility_-_Radhanath_Swami_Pune.mp3</v>
      </c>
      <c r="D6085" s="24"/>
      <c r="E6085" s="24"/>
    </row>
    <row r="6086">
      <c r="A6086" s="25" t="s">
        <v>18860</v>
      </c>
      <c r="B6086" s="25" t="s">
        <v>18837</v>
      </c>
      <c r="C6086" s="26" t="str">
        <f>HYPERLINK("https://audio.iskcondesiretree.com/02_-_ISKCON_Swamis/ISKCON_Swamis_-_R_to_Y/His_Holiness_Radhanath_Swami/Lectures/Russian_Translation/Yearwise/2002/2002_-_Meeting_in_Sridhars_house_Radhanath_Swami_Moscow.mp3", "2002_-_Meeting_in_Sridhars_house_Radhanath_Swami_Moscow.mp3")</f>
        <v>2002_-_Meeting_in_Sridhars_house_Radhanath_Swami_Moscow.mp3</v>
      </c>
      <c r="D6086" s="24"/>
      <c r="E6086" s="24"/>
    </row>
    <row r="6087">
      <c r="A6087" s="25" t="s">
        <v>18860</v>
      </c>
      <c r="B6087" s="25" t="s">
        <v>18837</v>
      </c>
      <c r="C6087" s="26" t="str">
        <f>HYPERLINK("https://audio.iskcondesiretree.com/02_-_ISKCON_Swamis/ISKCON_Swamis_-_R_to_Y/His_Holiness_Radhanath_Swami/Lectures/Russian_Translation/Yearwise/2002/2002_Darsan_01_Radhanath_Swami_-_2002-09-26_Moscow.mp3", "2002_Darsan_01_Radhanath_Swami_-_2002-09-26_Moscow.mp3")</f>
        <v>2002_Darsan_01_Radhanath_Swami_-_2002-09-26_Moscow.mp3</v>
      </c>
      <c r="D6087" s="24"/>
      <c r="E6087" s="24"/>
    </row>
    <row r="6088">
      <c r="A6088" s="25" t="s">
        <v>18860</v>
      </c>
      <c r="B6088" s="25" t="s">
        <v>18837</v>
      </c>
      <c r="C6088" s="26" t="str">
        <f>HYPERLINK("https://audio.iskcondesiretree.com/02_-_ISKCON_Swamis/ISKCON_Swamis_-_R_to_Y/His_Holiness_Radhanath_Swami/Lectures/Russian_Translation/Yearwise/2002/2002_Darsan_02_Radhanath_Swami_-_2002-09-27_Moscow.mp3", "2002_Darsan_02_Radhanath_Swami_-_2002-09-27_Moscow.mp3")</f>
        <v>2002_Darsan_02_Radhanath_Swami_-_2002-09-27_Moscow.mp3</v>
      </c>
      <c r="D6088" s="24"/>
      <c r="E6088" s="24"/>
    </row>
    <row r="6089">
      <c r="A6089" s="25" t="s">
        <v>18860</v>
      </c>
      <c r="B6089" s="25" t="s">
        <v>18837</v>
      </c>
      <c r="C6089" s="26" t="str">
        <f>HYPERLINK("https://audio.iskcondesiretree.com/02_-_ISKCON_Swamis/ISKCON_Swamis_-_R_to_Y/His_Holiness_Radhanath_Swami/Lectures/Russian_Translation/Yearwise/2002/2002_Darsan_03_Radhanath_Swami_-_2002-09-28_Moscow.mp3", "2002_Darsan_03_Radhanath_Swami_-_2002-09-28_Moscow.mp3")</f>
        <v>2002_Darsan_03_Radhanath_Swami_-_2002-09-28_Moscow.mp3</v>
      </c>
      <c r="D6089" s="24"/>
      <c r="E6089" s="24"/>
    </row>
    <row r="6090">
      <c r="A6090" s="25" t="s">
        <v>18860</v>
      </c>
      <c r="B6090" s="25" t="s">
        <v>18837</v>
      </c>
      <c r="C6090" s="26" t="str">
        <f>HYPERLINK("https://audio.iskcondesiretree.com/02_-_ISKCON_Swamis/ISKCON_Swamis_-_R_to_Y/His_Holiness_Radhanath_Swami/Lectures/Russian_Translation/Yearwise/2002/2002_Darsan_04_Radhanath_Swami_-_2002-09-30_Moscow.mp3", "2002_Darsan_04_Radhanath_Swami_-_2002-09-30_Moscow.mp3")</f>
        <v>2002_Darsan_04_Radhanath_Swami_-_2002-09-30_Moscow.mp3</v>
      </c>
      <c r="D6090" s="24"/>
      <c r="E6090" s="24"/>
    </row>
    <row r="6091">
      <c r="A6091" s="25" t="s">
        <v>18860</v>
      </c>
      <c r="B6091" s="25" t="s">
        <v>18837</v>
      </c>
      <c r="C6091" s="26" t="str">
        <f>HYPERLINK("https://audio.iskcondesiretree.com/02_-_ISKCON_Swamis/ISKCON_Swamis_-_R_to_Y/His_Holiness_Radhanath_Swami/Lectures/Russian_Translation/Yearwise/2002/2002_Darsan_Radhanath_Swami_-_2002-10-02_Kiev.mp3", "2002_Darsan_Radhanath_Swami_-_2002-10-02_Kiev.mp3")</f>
        <v>2002_Darsan_Radhanath_Swami_-_2002-10-02_Kiev.mp3</v>
      </c>
      <c r="D6091" s="24"/>
      <c r="E6091" s="24"/>
    </row>
    <row r="6092">
      <c r="A6092" s="25" t="s">
        <v>18860</v>
      </c>
      <c r="B6092" s="25" t="s">
        <v>18837</v>
      </c>
      <c r="C6092" s="26" t="str">
        <f>HYPERLINK("https://audio.iskcondesiretree.com/02_-_ISKCON_Swamis/ISKCON_Swamis_-_R_to_Y/His_Holiness_Radhanath_Swami/Lectures/Russian_Translation/Yearwise/2002/2002_Darsan_Radhanath_Swami_-_2002-10-03_Kiev.mp3", "2002_Darsan_Radhanath_Swami_-_2002-10-03_Kiev.mp3")</f>
        <v>2002_Darsan_Radhanath_Swami_-_2002-10-03_Kiev.mp3</v>
      </c>
      <c r="D6092" s="24"/>
      <c r="E6092" s="24"/>
    </row>
    <row r="6093">
      <c r="A6093" s="25" t="s">
        <v>18860</v>
      </c>
      <c r="B6093" s="25" t="s">
        <v>18837</v>
      </c>
      <c r="C6093" s="26" t="str">
        <f>HYPERLINK("https://audio.iskcondesiretree.com/02_-_ISKCON_Swamis/ISKCON_Swamis_-_R_to_Y/His_Holiness_Radhanath_Swami/Lectures/Russian_Translation/Yearwise/2002/2002_Darsan_Radhanath_Swami_-_2002-10-04_Kiev.mp3", "2002_Darsan_Radhanath_Swami_-_2002-10-04_Kiev.mp3")</f>
        <v>2002_Darsan_Radhanath_Swami_-_2002-10-04_Kiev.mp3</v>
      </c>
      <c r="D6093" s="24"/>
      <c r="E6093" s="24"/>
    </row>
    <row r="6094">
      <c r="A6094" s="25" t="s">
        <v>18860</v>
      </c>
      <c r="B6094" s="25" t="s">
        <v>18837</v>
      </c>
      <c r="C6094" s="26" t="str">
        <f>HYPERLINK("https://audio.iskcondesiretree.com/02_-_ISKCON_Swamis/ISKCON_Swamis_-_R_to_Y/His_Holiness_Radhanath_Swami/Lectures/Russian_Translation/Yearwise/2002/2002_Darshan_with_students_Radhanath_Swami_-_2002-10-08_Divnomorsk.mp3", "2002_Darshan_with_students_Radhanath_Swami_-_2002-10-08_Divnomorsk.mp3")</f>
        <v>2002_Darshan_with_students_Radhanath_Swami_-_2002-10-08_Divnomorsk.mp3</v>
      </c>
      <c r="D6094" s="24"/>
      <c r="E6094" s="24"/>
    </row>
    <row r="6095">
      <c r="A6095" s="25" t="s">
        <v>18860</v>
      </c>
      <c r="B6095" s="25" t="s">
        <v>18837</v>
      </c>
      <c r="C6095" s="26" t="str">
        <f>HYPERLINK("https://audio.iskcondesiretree.com/02_-_ISKCON_Swamis/ISKCON_Swamis_-_R_to_Y/His_Holiness_Radhanath_Swami/Lectures/Russian_Translation/Yearwise/2002/2002_End_of_the_Lecture_Radhanath_Swami_-_2002-10-07_Divnomorsk.mp3", "2002_End_of_the_Lecture_Radhanath_Swami_-_2002-10-07_Divnomorsk.mp3")</f>
        <v>2002_End_of_the_Lecture_Radhanath_Swami_-_2002-10-07_Divnomorsk.mp3</v>
      </c>
      <c r="D6095" s="24"/>
      <c r="E6095" s="24"/>
    </row>
    <row r="6096">
      <c r="A6096" s="25" t="s">
        <v>18860</v>
      </c>
      <c r="B6096" s="25" t="s">
        <v>18837</v>
      </c>
      <c r="C6096" s="26" t="str">
        <f>HYPERLINK("https://audio.iskcondesiretree.com/02_-_ISKCON_Swamis/ISKCON_Swamis_-_R_to_Y/His_Holiness_Radhanath_Swami/Lectures/Russian_Translation/Yearwise/2002/2002_Evening_Lecture_Radahanath_Swami_-_2002-09-28_Moscow.mp3", "2002_Evening_Lecture_Radahanath_Swami_-_2002-09-28_Moscow.mp3")</f>
        <v>2002_Evening_Lecture_Radahanath_Swami_-_2002-09-28_Moscow.mp3</v>
      </c>
      <c r="D6096" s="24"/>
      <c r="E6096" s="24"/>
    </row>
    <row r="6097">
      <c r="A6097" s="25" t="s">
        <v>18860</v>
      </c>
      <c r="B6097" s="25" t="s">
        <v>18837</v>
      </c>
      <c r="C6097" s="26" t="str">
        <f>HYPERLINK("https://audio.iskcondesiretree.com/02_-_ISKCON_Swamis/ISKCON_Swamis_-_R_to_Y/His_Holiness_Radhanath_Swami/Lectures/Russian_Translation/Yearwise/2002/2002_Evening_Lecture_Radahanath_Swami_-_2002-09-30_Moscow.mp3", "2002_Evening_Lecture_Radahanath_Swami_-_2002-09-30_Moscow.mp3")</f>
        <v>2002_Evening_Lecture_Radahanath_Swami_-_2002-09-30_Moscow.mp3</v>
      </c>
      <c r="D6097" s="24"/>
      <c r="E6097" s="24"/>
    </row>
    <row r="6098">
      <c r="A6098" s="25" t="s">
        <v>18860</v>
      </c>
      <c r="B6098" s="25" t="s">
        <v>18837</v>
      </c>
      <c r="C6098" s="26" t="str">
        <f>HYPERLINK("https://audio.iskcondesiretree.com/02_-_ISKCON_Swamis/ISKCON_Swamis_-_R_to_Y/His_Holiness_Radhanath_Swami/Lectures/Russian_Translation/Yearwise/2002/2002_Evening_Lecture_Radhanath_Swami_-_2002-10-01_Kiev.mp3", "2002_Evening_Lecture_Radhanath_Swami_-_2002-10-01_Kiev.mp3")</f>
        <v>2002_Evening_Lecture_Radhanath_Swami_-_2002-10-01_Kiev.mp3</v>
      </c>
      <c r="D6098" s="24"/>
      <c r="E6098" s="24"/>
    </row>
    <row r="6099">
      <c r="A6099" s="25" t="s">
        <v>18860</v>
      </c>
      <c r="B6099" s="25" t="s">
        <v>18837</v>
      </c>
      <c r="C6099" s="26" t="str">
        <f>HYPERLINK("https://audio.iskcondesiretree.com/02_-_ISKCON_Swamis/ISKCON_Swamis_-_R_to_Y/His_Holiness_Radhanath_Swami/Lectures/Russian_Translation/Yearwise/2002/2002_Initiation_Radhanath_Swami_-_2002-09-30_Moscow.mp3", "2002_Initiation_Radhanath_Swami_-_2002-09-30_Moscow.mp3")</f>
        <v>2002_Initiation_Radhanath_Swami_-_2002-09-30_Moscow.mp3</v>
      </c>
      <c r="D6099" s="24"/>
      <c r="E6099" s="24"/>
    </row>
    <row r="6100">
      <c r="A6100" s="25" t="s">
        <v>18860</v>
      </c>
      <c r="B6100" s="25" t="s">
        <v>18837</v>
      </c>
      <c r="C6100" s="26" t="str">
        <f>HYPERLINK("https://audio.iskcondesiretree.com/02_-_ISKCON_Swamis/ISKCON_Swamis_-_R_to_Y/His_Holiness_Radhanath_Swami/Lectures/Russian_Translation/Yearwise/2002/2002_Lecture_Radhanath_Swami_-_2002-10-05_Divnomorsk.mp3", "2002_Lecture_Radhanath_Swami_-_2002-10-05_Divnomorsk.mp3")</f>
        <v>2002_Lecture_Radhanath_Swami_-_2002-10-05_Divnomorsk.mp3</v>
      </c>
      <c r="D6100" s="24"/>
      <c r="E6100" s="24"/>
    </row>
    <row r="6101">
      <c r="A6101" s="25" t="s">
        <v>18860</v>
      </c>
      <c r="B6101" s="25" t="s">
        <v>18837</v>
      </c>
      <c r="C6101" s="26" t="str">
        <f>HYPERLINK("https://audio.iskcondesiretree.com/02_-_ISKCON_Swamis/ISKCON_Swamis_-_R_to_Y/His_Holiness_Radhanath_Swami/Lectures/Russian_Translation/Yearwise/2002/2002_Lecture_Srila_Prabhupada_in_America_Radhanath_Swami_-_2002-10-06_Divnomorsk.mp3", "2002_Lecture_Srila_Prabhupada_in_America_Radhanath_Swami_-_2002-10-06_Divnomorsk.mp3")</f>
        <v>2002_Lecture_Srila_Prabhupada_in_America_Radhanath_Swami_-_2002-10-06_Divnomorsk.mp3</v>
      </c>
      <c r="D6101" s="24"/>
      <c r="E6101" s="24"/>
    </row>
    <row r="6102">
      <c r="A6102" s="25" t="s">
        <v>18860</v>
      </c>
      <c r="B6102" s="25" t="s">
        <v>18837</v>
      </c>
      <c r="C6102" s="26" t="str">
        <f>HYPERLINK("https://audio.iskcondesiretree.com/02_-_ISKCON_Swamis/ISKCON_Swamis_-_R_to_Y/His_Holiness_Radhanath_Swami/Lectures/Russian_Translation/Yearwise/2002/2002_Lecture_Srila_Prabhupada_in_America_Radhanath_Swami_-_2002-10-07_Divnomorsk.mp3", "2002_Lecture_Srila_Prabhupada_in_America_Radhanath_Swami_-_2002-10-07_Divnomorsk.mp3")</f>
        <v>2002_Lecture_Srila_Prabhupada_in_America_Radhanath_Swami_-_2002-10-07_Divnomorsk.mp3</v>
      </c>
      <c r="D6102" s="24"/>
      <c r="E6102" s="24"/>
    </row>
    <row r="6103">
      <c r="A6103" s="25" t="s">
        <v>18860</v>
      </c>
      <c r="B6103" s="25" t="s">
        <v>18837</v>
      </c>
      <c r="C6103" s="26" t="str">
        <f>HYPERLINK("https://audio.iskcondesiretree.com/02_-_ISKCON_Swamis/ISKCON_Swamis_-_R_to_Y/His_Holiness_Radhanath_Swami/Lectures/Russian_Translation/Yearwise/2002/2002_SB_03-25-20_Radhanath_Swami_-_2002-09-26_Moscow.mp3", "2002_SB_03-25-20_Radhanath_Swami_-_2002-09-26_Moscow.mp3")</f>
        <v>2002_SB_03-25-20_Radhanath_Swami_-_2002-09-26_Moscow.mp3</v>
      </c>
      <c r="D6103" s="24"/>
      <c r="E6103" s="24"/>
    </row>
    <row r="6104">
      <c r="A6104" s="25" t="s">
        <v>18860</v>
      </c>
      <c r="B6104" s="25" t="s">
        <v>18837</v>
      </c>
      <c r="C6104" s="26" t="str">
        <f>HYPERLINK("https://audio.iskcondesiretree.com/02_-_ISKCON_Swamis/ISKCON_Swamis_-_R_to_Y/His_Holiness_Radhanath_Swami/Lectures/Russian_Translation/Yearwise/2002/2002_SB_03-25-21_Radhanath_Swami_-_2002-09-27_Moscow.mp3", "2002_SB_03-25-21_Radhanath_Swami_-_2002-09-27_Moscow.mp3")</f>
        <v>2002_SB_03-25-21_Radhanath_Swami_-_2002-09-27_Moscow.mp3</v>
      </c>
      <c r="D6104" s="24"/>
      <c r="E6104" s="24"/>
    </row>
    <row r="6105">
      <c r="A6105" s="25" t="s">
        <v>18860</v>
      </c>
      <c r="B6105" s="25" t="s">
        <v>18837</v>
      </c>
      <c r="C6105" s="26" t="str">
        <f>HYPERLINK("https://audio.iskcondesiretree.com/02_-_ISKCON_Swamis/ISKCON_Swamis_-_R_to_Y/His_Holiness_Radhanath_Swami/Lectures/Russian_Translation/Yearwise/2002/2002_SB_03-25-22_Radhanath_Swami_-_2002-09-28_Moscow.mp3", "2002_SB_03-25-22_Radhanath_Swami_-_2002-09-28_Moscow.mp3")</f>
        <v>2002_SB_03-25-22_Radhanath_Swami_-_2002-09-28_Moscow.mp3</v>
      </c>
      <c r="D6105" s="24"/>
      <c r="E6105" s="24"/>
    </row>
    <row r="6106">
      <c r="A6106" s="25" t="s">
        <v>18860</v>
      </c>
      <c r="B6106" s="25" t="s">
        <v>18837</v>
      </c>
      <c r="C6106" s="26" t="str">
        <f>HYPERLINK("https://audio.iskcondesiretree.com/02_-_ISKCON_Swamis/ISKCON_Swamis_-_R_to_Y/His_Holiness_Radhanath_Swami/Lectures/Russian_Translation/Yearwise/2002/2002_SB_03-25-23_Radhanath_Swami_-_2002-09-29_Moscow.mp3", "2002_SB_03-25-23_Radhanath_Swami_-_2002-09-29_Moscow.mp3")</f>
        <v>2002_SB_03-25-23_Radhanath_Swami_-_2002-09-29_Moscow.mp3</v>
      </c>
      <c r="D6106" s="24"/>
      <c r="E6106" s="24"/>
    </row>
    <row r="6107">
      <c r="A6107" s="25" t="s">
        <v>18860</v>
      </c>
      <c r="B6107" s="25" t="s">
        <v>18837</v>
      </c>
      <c r="C6107" s="26" t="str">
        <f>HYPERLINK("https://audio.iskcondesiretree.com/02_-_ISKCON_Swamis/ISKCON_Swamis_-_R_to_Y/His_Holiness_Radhanath_Swami/Lectures/Russian_Translation/Yearwise/2002/2002_SB_03-25-24_Radhanath_Swami_-_2002-09-30_Moscow.mp3", "2002_SB_03-25-24_Radhanath_Swami_-_2002-09-30_Moscow.mp3")</f>
        <v>2002_SB_03-25-24_Radhanath_Swami_-_2002-09-30_Moscow.mp3</v>
      </c>
      <c r="D6107" s="24"/>
      <c r="E6107" s="24"/>
    </row>
    <row r="6108">
      <c r="A6108" s="25" t="s">
        <v>18860</v>
      </c>
      <c r="B6108" s="25" t="s">
        <v>18837</v>
      </c>
      <c r="C6108" s="26" t="str">
        <f>HYPERLINK("https://audio.iskcondesiretree.com/02_-_ISKCON_Swamis/ISKCON_Swamis_-_R_to_Y/His_Holiness_Radhanath_Swami/Lectures/Russian_Translation/Yearwise/2002/2002_SB_03-25-25_Radhanath_Swami_-_2002-10-03_Kiev.mp3", "2002_SB_03-25-25_Radhanath_Swami_-_2002-10-03_Kiev.mp3")</f>
        <v>2002_SB_03-25-25_Radhanath_Swami_-_2002-10-03_Kiev.mp3</v>
      </c>
      <c r="D6108" s="24"/>
      <c r="E6108" s="24"/>
    </row>
    <row r="6109">
      <c r="A6109" s="25" t="s">
        <v>18860</v>
      </c>
      <c r="B6109" s="25" t="s">
        <v>18837</v>
      </c>
      <c r="C6109" s="26" t="str">
        <f>HYPERLINK("https://audio.iskcondesiretree.com/02_-_ISKCON_Swamis/ISKCON_Swamis_-_R_to_Y/His_Holiness_Radhanath_Swami/Lectures/Russian_Translation/Yearwise/2002/2002_SB_03-25-26_Radhanath_Swami_-_2002-10-04_Kiev.mp3", "2002_SB_03-25-26_Radhanath_Swami_-_2002-10-04_Kiev.mp3")</f>
        <v>2002_SB_03-25-26_Radhanath_Swami_-_2002-10-04_Kiev.mp3</v>
      </c>
      <c r="D6109" s="24"/>
      <c r="E6109" s="24"/>
    </row>
    <row r="6110">
      <c r="A6110" s="25" t="s">
        <v>18860</v>
      </c>
      <c r="B6110" s="25" t="s">
        <v>18837</v>
      </c>
      <c r="C6110" s="26" t="str">
        <f>HYPERLINK("https://audio.iskcondesiretree.com/02_-_ISKCON_Swamis/ISKCON_Swamis_-_R_to_Y/His_Holiness_Radhanath_Swami/Lectures/Russian_Translation/Yearwise/2002/2002_SB_08-07-24_Radhanath_Swami_-_2002-10-02_Kiev.mp3", "2002_SB_08-07-24_Radhanath_Swami_-_2002-10-02_Kiev.mp3")</f>
        <v>2002_SB_08-07-24_Radhanath_Swami_-_2002-10-02_Kiev.mp3</v>
      </c>
      <c r="D6110" s="24"/>
      <c r="E6110" s="24"/>
    </row>
    <row r="6111">
      <c r="A6111" s="25" t="s">
        <v>18860</v>
      </c>
      <c r="B6111" s="25" t="s">
        <v>18837</v>
      </c>
      <c r="C6111" s="26" t="str">
        <f>HYPERLINK("https://audio.iskcondesiretree.com/02_-_ISKCON_Swamis/ISKCON_Swamis_-_R_to_Y/His_Holiness_Radhanath_Swami/Lectures/Russian_Translation/Yearwise/2003/2003-10-17_Various_-_About_the_temple_in_Moscow_-_Radhanath_Swami_Moscow.MP3", "2003-10-17_Various_-_About_the_temple_in_Moscow_-_Radhanath_Swami_Moscow.MP3")</f>
        <v>2003-10-17_Various_-_About_the_temple_in_Moscow_-_Radhanath_Swami_Moscow.MP3</v>
      </c>
      <c r="D6111" s="24"/>
      <c r="E6111" s="24"/>
    </row>
    <row r="6112">
      <c r="A6112" s="25" t="s">
        <v>18860</v>
      </c>
      <c r="B6112" s="25" t="s">
        <v>18837</v>
      </c>
      <c r="C6112" s="26" t="str">
        <f>HYPERLINK("https://audio.iskcondesiretree.com/02_-_ISKCON_Swamis/ISKCON_Swamis_-_R_to_Y/His_Holiness_Radhanath_Swami/Lectures/Russian_Translation/Yearwise/2003/2003_BG_02-60_Radhanath_Swami_-_2003-10-14_Moscow.mp3", "2003_BG_02-60_Radhanath_Swami_-_2003-10-14_Moscow.mp3")</f>
        <v>2003_BG_02-60_Radhanath_Swami_-_2003-10-14_Moscow.mp3</v>
      </c>
      <c r="D6112" s="24"/>
      <c r="E6112" s="24"/>
    </row>
    <row r="6113">
      <c r="A6113" s="25" t="s">
        <v>18860</v>
      </c>
      <c r="B6113" s="25" t="s">
        <v>18837</v>
      </c>
      <c r="C6113" s="26" t="str">
        <f>HYPERLINK("https://audio.iskcondesiretree.com/02_-_ISKCON_Swamis/ISKCON_Swamis_-_R_to_Y/His_Holiness_Radhanath_Swami/Lectures/Russian_Translation/Yearwise/2003/2003_Darsan_Damodara_lila_Radhanath_Swami_-_2003-10-13_Moscow.MP3", "2003_Darsan_Damodara_lila_Radhanath_Swami_-_2003-10-13_Moscow.MP3")</f>
        <v>2003_Darsan_Damodara_lila_Radhanath_Swami_-_2003-10-13_Moscow.MP3</v>
      </c>
      <c r="D6113" s="24"/>
      <c r="E6113" s="24"/>
    </row>
    <row r="6114">
      <c r="A6114" s="25" t="s">
        <v>18860</v>
      </c>
      <c r="B6114" s="25" t="s">
        <v>18837</v>
      </c>
      <c r="C6114" s="26" t="str">
        <f>HYPERLINK("https://audio.iskcondesiretree.com/02_-_ISKCON_Swamis/ISKCON_Swamis_-_R_to_Y/His_Holiness_Radhanath_Swami/Lectures/Russian_Translation/Yearwise/2003/2003_Glorification_Ambarisa_prabhu_Radhanath_Swami_-_2003-10-17_Moscow.mp3", "2003_Glorification_Ambarisa_prabhu_Radhanath_Swami_-_2003-10-17_Moscow.mp3")</f>
        <v>2003_Glorification_Ambarisa_prabhu_Radhanath_Swami_-_2003-10-17_Moscow.mp3</v>
      </c>
      <c r="D6114" s="24"/>
      <c r="E6114" s="24"/>
    </row>
    <row r="6115">
      <c r="A6115" s="25" t="s">
        <v>18860</v>
      </c>
      <c r="B6115" s="25" t="s">
        <v>18837</v>
      </c>
      <c r="C6115" s="26" t="str">
        <f>HYPERLINK("https://audio.iskcondesiretree.com/02_-_ISKCON_Swamis/ISKCON_Swamis_-_R_to_Y/His_Holiness_Radhanath_Swami/Lectures/Russian_Translation/Yearwise/2003/2003_Lecture_on_iniciation_Radhanath_Swami_-_2003-10-17_Moscow.mp3", "2003_Lecture_on_iniciation_Radhanath_Swami_-_2003-10-17_Moscow.mp3")</f>
        <v>2003_Lecture_on_iniciation_Radhanath_Swami_-_2003-10-17_Moscow.mp3</v>
      </c>
      <c r="D6115" s="24"/>
      <c r="E6115" s="24"/>
    </row>
    <row r="6116">
      <c r="A6116" s="25" t="s">
        <v>18860</v>
      </c>
      <c r="B6116" s="25" t="s">
        <v>18837</v>
      </c>
      <c r="C6116" s="26" t="str">
        <f>HYPERLINK("https://audio.iskcondesiretree.com/02_-_ISKCON_Swamis/ISKCON_Swamis_-_R_to_Y/His_Holiness_Radhanath_Swami/Lectures/Russian_Translation/Yearwise/2003/2003_Narottama_das_Thakur_Radhanath_Swami_-_2003-10-15_Moscow.mp3", "2003_Narottama_das_Thakur_Radhanath_Swami_-_2003-10-15_Moscow.mp3")</f>
        <v>2003_Narottama_das_Thakur_Radhanath_Swami_-_2003-10-15_Moscow.mp3</v>
      </c>
      <c r="D6116" s="24"/>
      <c r="E6116" s="24"/>
    </row>
    <row r="6117">
      <c r="A6117" s="25" t="s">
        <v>18860</v>
      </c>
      <c r="B6117" s="25" t="s">
        <v>18837</v>
      </c>
      <c r="C6117" s="26" t="str">
        <f>HYPERLINK("https://audio.iskcondesiretree.com/02_-_ISKCON_Swamis/ISKCON_Swamis_-_R_to_Y/His_Holiness_Radhanath_Swami/Lectures/Russian_Translation/Yearwise/2003/2003_NRS_%26_RNS_Q_%26_A_Radhanath_Swami_-_2003-10-16_Moscow.mp3", "2003_NRS_%26_RNS_Q_%26_A_Radhanath_Swami_-_2003-10-16_Moscow.mp3")</f>
        <v>2003_NRS_%26_RNS_Q_%26_A_Radhanath_Swami_-_2003-10-16_Moscow.mp3</v>
      </c>
      <c r="D6117" s="24"/>
      <c r="E6117" s="24"/>
    </row>
    <row r="6118">
      <c r="A6118" s="25" t="s">
        <v>18860</v>
      </c>
      <c r="B6118" s="25" t="s">
        <v>18837</v>
      </c>
      <c r="C6118" s="26" t="str">
        <f>HYPERLINK("https://audio.iskcondesiretree.com/02_-_ISKCON_Swamis/ISKCON_Swamis_-_R_to_Y/His_Holiness_Radhanath_Swami/Lectures/Russian_Translation/Yearwise/2003/2003_SB_07-09-38_Predicting_the_arrival_of_Sri_Caitanya_Radhanath_Swami_-_2003-10-14_Moscow.mp3", "2003_SB_07-09-38_Predicting_the_arrival_of_Sri_Caitanya_Radhanath_Swami_-_2003-10-14_Moscow.mp3")</f>
        <v>2003_SB_07-09-38_Predicting_the_arrival_of_Sri_Caitanya_Radhanath_Swami_-_2003-10-14_Moscow.mp3</v>
      </c>
      <c r="D6118" s="24"/>
      <c r="E6118" s="24"/>
    </row>
    <row r="6119">
      <c r="A6119" s="25" t="s">
        <v>18860</v>
      </c>
      <c r="B6119" s="25" t="s">
        <v>18837</v>
      </c>
      <c r="C6119" s="26" t="str">
        <f>HYPERLINK("https://audio.iskcondesiretree.com/02_-_ISKCON_Swamis/ISKCON_Swamis_-_R_to_Y/His_Holiness_Radhanath_Swami/Lectures/Russian_Translation/Yearwise/2003/2003_SB_07-09-39_Radhanath_Swami_-_2003-10-15_Moscow.mp3", "2003_SB_07-09-39_Radhanath_Swami_-_2003-10-15_Moscow.mp3")</f>
        <v>2003_SB_07-09-39_Radhanath_Swami_-_2003-10-15_Moscow.mp3</v>
      </c>
      <c r="D6119" s="24"/>
      <c r="E6119" s="24"/>
    </row>
    <row r="6120">
      <c r="A6120" s="25" t="s">
        <v>18860</v>
      </c>
      <c r="B6120" s="25" t="s">
        <v>18837</v>
      </c>
      <c r="C6120" s="26" t="str">
        <f>HYPERLINK("https://audio.iskcondesiretree.com/02_-_ISKCON_Swamis/ISKCON_Swamis_-_R_to_Y/His_Holiness_Radhanath_Swami/Lectures/Russian_Translation/Yearwise/2003/2003_SB_07-09-40_Radhanath_Swami_-_2003-10-16_Moscow.MP3", "2003_SB_07-09-40_Radhanath_Swami_-_2003-10-16_Moscow.MP3")</f>
        <v>2003_SB_07-09-40_Radhanath_Swami_-_2003-10-16_Moscow.MP3</v>
      </c>
      <c r="D6120" s="24"/>
      <c r="E6120" s="24"/>
    </row>
    <row r="6121">
      <c r="A6121" s="25" t="s">
        <v>18860</v>
      </c>
      <c r="B6121" s="25" t="s">
        <v>18837</v>
      </c>
      <c r="C6121" s="26" t="str">
        <f>HYPERLINK("https://audio.iskcondesiretree.com/02_-_ISKCON_Swamis/ISKCON_Swamis_-_R_to_Y/His_Holiness_Radhanath_Swami/Lectures/Russian_Translation/Yearwise/2003/2003_SB_07-09-41_Compassion_for_Prahlada_and_Sri_Chaitanya_Radhanath_swami_-_2003-10-17_Moscow.MP3", "2003_SB_07-09-41_Compassion_for_Prahlada_and_Sri_Chaitanya_Radhanath_swami_-_2003-10-17_Moscow.MP3")</f>
        <v>2003_SB_07-09-41_Compassion_for_Prahlada_and_Sri_Chaitanya_Radhanath_swami_-_2003-10-17_Moscow.MP3</v>
      </c>
      <c r="D6121" s="24"/>
      <c r="E6121" s="24"/>
    </row>
    <row r="6122">
      <c r="A6122" s="25" t="s">
        <v>18860</v>
      </c>
      <c r="B6122" s="25" t="s">
        <v>18837</v>
      </c>
      <c r="C6122" s="26" t="str">
        <f>HYPERLINK("https://audio.iskcondesiretree.com/02_-_ISKCON_Swamis/ISKCON_Swamis_-_R_to_Y/His_Holiness_Radhanath_Swami/Lectures/Russian_Translation/Yearwise/2004/2004-11-22_-_Ghana_Shyam_Baba%27s_story_-_Radhanath_Swami.mp3", "2004-11-22_-_Ghana_Shyam_Baba%27s_story_-_Radhanath_Swami.mp3")</f>
        <v>2004-11-22_-_Ghana_Shyam_Baba%27s_story_-_Radhanath_Swami.mp3</v>
      </c>
      <c r="D6122" s="24"/>
      <c r="E6122" s="24"/>
    </row>
    <row r="6123">
      <c r="A6123" s="25" t="s">
        <v>18860</v>
      </c>
      <c r="B6123" s="25" t="s">
        <v>18837</v>
      </c>
      <c r="C6123" s="26" t="str">
        <f>HYPERLINK("https://audio.iskcondesiretree.com/02_-_ISKCON_Swamis/ISKCON_Swamis_-_R_to_Y/His_Holiness_Radhanath_Swami/Lectures/Russian_Translation/Yearwise/2004/2004_-_Darshan_Radhanath_Swami_2004-10-03_Divnomorsk.mp3", "2004_-_Darshan_Radhanath_Swami_2004-10-03_Divnomorsk.mp3")</f>
        <v>2004_-_Darshan_Radhanath_Swami_2004-10-03_Divnomorsk.mp3</v>
      </c>
      <c r="D6123" s="24"/>
      <c r="E6123" s="24"/>
    </row>
    <row r="6124">
      <c r="A6124" s="25" t="s">
        <v>18860</v>
      </c>
      <c r="B6124" s="25" t="s">
        <v>18837</v>
      </c>
      <c r="C6124" s="26" t="str">
        <f>HYPERLINK("https://audio.iskcondesiretree.com/02_-_ISKCON_Swamis/ISKCON_Swamis_-_R_to_Y/His_Holiness_Radhanath_Swami/Lectures/Russian_Translation/Yearwise/2004/2004_01_Lecture_in_Moscow_Radhanath_Swami_-_2004-10-07.mp3", "2004_01_Lecture_in_Moscow_Radhanath_Swami_-_2004-10-07.mp3")</f>
        <v>2004_01_Lecture_in_Moscow_Radhanath_Swami_-_2004-10-07.mp3</v>
      </c>
      <c r="D6124" s="24"/>
      <c r="E6124" s="24"/>
    </row>
    <row r="6125">
      <c r="A6125" s="25" t="s">
        <v>18860</v>
      </c>
      <c r="B6125" s="25" t="s">
        <v>18837</v>
      </c>
      <c r="C6125" s="26" t="str">
        <f>HYPERLINK("https://audio.iskcondesiretree.com/02_-_ISKCON_Swamis/ISKCON_Swamis_-_R_to_Y/His_Holiness_Radhanath_Swami/Lectures/Russian_Translation/Yearwise/2004/2004_01_Leela_Krishna_in_Vrindavan_Radhanath_Swami_-_2004-10-05_Divnomorsk.mp3", "2004_01_Leela_Krishna_in_Vrindavan_Radhanath_Swami_-_2004-10-05_Divnomorsk.mp3")</f>
        <v>2004_01_Leela_Krishna_in_Vrindavan_Radhanath_Swami_-_2004-10-05_Divnomorsk.mp3</v>
      </c>
      <c r="D6125" s="24"/>
      <c r="E6125" s="24"/>
    </row>
    <row r="6126">
      <c r="A6126" s="25" t="s">
        <v>18860</v>
      </c>
      <c r="B6126" s="25" t="s">
        <v>18837</v>
      </c>
      <c r="C6126" s="26" t="str">
        <f>HYPERLINK("https://audio.iskcondesiretree.com/02_-_ISKCON_Swamis/ISKCON_Swamis_-_R_to_Y/His_Holiness_Radhanath_Swami/Lectures/Russian_Translation/Yearwise/2004/2004_02_Lecture_about_the_importance_of_SK_Radhanath_Swami_-_2004-10-07_Moscow.mp3", "2004_02_Lecture_about_the_importance_of_SK_Radhanath_Swami_-_2004-10-07_Moscow.mp3")</f>
        <v>2004_02_Lecture_about_the_importance_of_SK_Radhanath_Swami_-_2004-10-07_Moscow.mp3</v>
      </c>
      <c r="D6126" s="24"/>
      <c r="E6126" s="24"/>
    </row>
    <row r="6127">
      <c r="A6127" s="25" t="s">
        <v>18860</v>
      </c>
      <c r="B6127" s="25" t="s">
        <v>18837</v>
      </c>
      <c r="C6127" s="26" t="str">
        <f>HYPERLINK("https://audio.iskcondesiretree.com/02_-_ISKCON_Swamis/ISKCON_Swamis_-_R_to_Y/His_Holiness_Radhanath_Swami/Lectures/Russian_Translation/Yearwise/2004/2004_02_Story_of_a_meeting_with_Srila_Prabhupada_in_Vrindavan_Radhanath_Swami_-_2004-10-05_Divnomorsk.mp3", "2004_02_Story_of_a_meeting_with_Srila_Prabhupada_in_Vrindavan_Radhanath_Swami_-_2004-10-05_Divnomorsk.mp3")</f>
        <v>2004_02_Story_of_a_meeting_with_Srila_Prabhupada_in_Vrindavan_Radhanath_Swami_-_2004-10-05_Divnomorsk.mp3</v>
      </c>
      <c r="D6127" s="24"/>
      <c r="E6127" s="24"/>
    </row>
    <row r="6128">
      <c r="A6128" s="25" t="s">
        <v>18860</v>
      </c>
      <c r="B6128" s="25" t="s">
        <v>18837</v>
      </c>
      <c r="C6128" s="26" t="str">
        <f>HYPERLINK("https://audio.iskcondesiretree.com/02_-_ISKCON_Swamis/ISKCON_Swamis_-_R_to_Y/His_Holiness_Radhanath_Swami/Lectures/Russian_Translation/Yearwise/2004/2004_Before_Nam_yagey_Radhanath_Swami_-_2004-10-05_Divnomorsk.mp3", "2004_Before_Nam_yagey_Radhanath_Swami_-_2004-10-05_Divnomorsk.mp3")</f>
        <v>2004_Before_Nam_yagey_Radhanath_Swami_-_2004-10-05_Divnomorsk.mp3</v>
      </c>
      <c r="D6128" s="24"/>
      <c r="E6128" s="24"/>
    </row>
    <row r="6129">
      <c r="A6129" s="25" t="s">
        <v>18860</v>
      </c>
      <c r="B6129" s="25" t="s">
        <v>18837</v>
      </c>
      <c r="C6129" s="26" t="str">
        <f>HYPERLINK("https://audio.iskcondesiretree.com/02_-_ISKCON_Swamis/ISKCON_Swamis_-_R_to_Y/His_Holiness_Radhanath_Swami/Lectures/Russian_Translation/Yearwise/2004/2004_BG_03-31_The_history_of_the_airport_Radhanath_Swami_-_2004-10-08_Moscow.mp3", "2004_BG_03-31_The_history_of_the_airport_Radhanath_Swami_-_2004-10-08_Moscow.mp3")</f>
        <v>2004_BG_03-31_The_history_of_the_airport_Radhanath_Swami_-_2004-10-08_Moscow.mp3</v>
      </c>
      <c r="D6129" s="24"/>
      <c r="E6129" s="24"/>
    </row>
    <row r="6130">
      <c r="A6130" s="25" t="s">
        <v>18860</v>
      </c>
      <c r="B6130" s="25" t="s">
        <v>18837</v>
      </c>
      <c r="C6130" s="26" t="str">
        <f>HYPERLINK("https://audio.iskcondesiretree.com/02_-_ISKCON_Swamis/ISKCON_Swamis_-_R_to_Y/His_Holiness_Radhanath_Swami/Lectures/Russian_Translation/Yearwise/2004/2004_Bhaktivinoda_Thakura_Radhanath_Swami_-_2004-09-26_Kiev.mp3", "2004_Bhaktivinoda_Thakura_Radhanath_Swami_-_2004-09-26_Kiev.mp3")</f>
        <v>2004_Bhaktivinoda_Thakura_Radhanath_Swami_-_2004-09-26_Kiev.mp3</v>
      </c>
      <c r="D6130" s="24"/>
      <c r="E6130" s="24"/>
    </row>
    <row r="6131">
      <c r="A6131" s="25" t="s">
        <v>18860</v>
      </c>
      <c r="B6131" s="25" t="s">
        <v>18837</v>
      </c>
      <c r="C6131" s="26" t="str">
        <f>HYPERLINK("https://audio.iskcondesiretree.com/02_-_ISKCON_Swamis/ISKCON_Swamis_-_R_to_Y/His_Holiness_Radhanath_Swami/Lectures/Russian_Translation/Yearwise/2004/2004_Darshan_01_Appreciate_family_Vaishnava_Radhanath_Swami_-_2004-09-27_Kiev.mp3", "2004_Darshan_01_Appreciate_family_Vaishnava_Radhanath_Swami_-_2004-09-27_Kiev.mp3")</f>
        <v>2004_Darshan_01_Appreciate_family_Vaishnava_Radhanath_Swami_-_2004-09-27_Kiev.mp3</v>
      </c>
      <c r="D6131" s="24"/>
      <c r="E6131" s="24"/>
    </row>
    <row r="6132">
      <c r="A6132" s="25" t="s">
        <v>18860</v>
      </c>
      <c r="B6132" s="25" t="s">
        <v>18837</v>
      </c>
      <c r="C6132" s="26" t="str">
        <f>HYPERLINK("https://audio.iskcondesiretree.com/02_-_ISKCON_Swamis/ISKCON_Swamis_-_R_to_Y/His_Holiness_Radhanath_Swami/Lectures/Russian_Translation/Yearwise/2004/2004_Darshan_01_History_and_Qureshi_and_Raghunatha_Radhanath_Swami_-_2004-10-04_Divnomorsk.mp3", "2004_Darshan_01_History_and_Qureshi_and_Raghunatha_Radhanath_Swami_-_2004-10-04_Divnomorsk.mp3")</f>
        <v>2004_Darshan_01_History_and_Qureshi_and_Raghunatha_Radhanath_Swami_-_2004-10-04_Divnomorsk.mp3</v>
      </c>
      <c r="D6132" s="24"/>
      <c r="E6132" s="24"/>
    </row>
    <row r="6133">
      <c r="A6133" s="25" t="s">
        <v>18860</v>
      </c>
      <c r="B6133" s="25" t="s">
        <v>18837</v>
      </c>
      <c r="C6133" s="26" t="str">
        <f>HYPERLINK("https://audio.iskcondesiretree.com/02_-_ISKCON_Swamis/ISKCON_Swamis_-_R_to_Y/His_Holiness_Radhanath_Swami/Lectures/Russian_Translation/Yearwise/2004/2004_Darshan_02_Continuation_of_answers_Radhanath_Swami_-_2004-09-27_Kiev.mp3", "2004_Darshan_02_Continuation_of_answers_Radhanath_Swami_-_2004-09-27_Kiev.mp3")</f>
        <v>2004_Darshan_02_Continuation_of_answers_Radhanath_Swami_-_2004-09-27_Kiev.mp3</v>
      </c>
      <c r="D6133" s="24"/>
      <c r="E6133" s="24"/>
    </row>
    <row r="6134">
      <c r="A6134" s="25" t="s">
        <v>18860</v>
      </c>
      <c r="B6134" s="25" t="s">
        <v>18837</v>
      </c>
      <c r="C6134" s="26" t="str">
        <f>HYPERLINK("https://audio.iskcondesiretree.com/02_-_ISKCON_Swamis/ISKCON_Swamis_-_R_to_Y/His_Holiness_Radhanath_Swami/Lectures/Russian_Translation/Yearwise/2004/2004_Darshan_02_The_answer_to_the_question_Navin_Ave_N_Radhanath_Swami_-_2004-10-04_Divnomorsk.mp3", "2004_Darshan_02_The_answer_to_the_question_Navin_Ave_N_Radhanath_Swami_-_2004-10-04_Divnomorsk.mp3")</f>
        <v>2004_Darshan_02_The_answer_to_the_question_Navin_Ave_N_Radhanath_Swami_-_2004-10-04_Divnomorsk.mp3</v>
      </c>
      <c r="D6134" s="24"/>
      <c r="E6134" s="24"/>
    </row>
    <row r="6135">
      <c r="A6135" s="25" t="s">
        <v>18860</v>
      </c>
      <c r="B6135" s="25" t="s">
        <v>18837</v>
      </c>
      <c r="C6135" s="26" t="str">
        <f>HYPERLINK("https://audio.iskcondesiretree.com/02_-_ISKCON_Swamis/ISKCON_Swamis_-_R_to_Y/His_Holiness_Radhanath_Swami/Lectures/Russian_Translation/Yearwise/2004/2004_Darshan_Great_blind_Vaishnavas_Radhanath_Swami_-_2004-10-02_Divnomorsk.mp3", "2004_Darshan_Great_blind_Vaishnavas_Radhanath_Swami_-_2004-10-02_Divnomorsk.mp3")</f>
        <v>2004_Darshan_Great_blind_Vaishnavas_Radhanath_Swami_-_2004-10-02_Divnomorsk.mp3</v>
      </c>
      <c r="D6135" s="24"/>
      <c r="E6135" s="24"/>
    </row>
    <row r="6136">
      <c r="A6136" s="25" t="s">
        <v>18860</v>
      </c>
      <c r="B6136" s="25" t="s">
        <v>18837</v>
      </c>
      <c r="C6136" s="26" t="str">
        <f>HYPERLINK("https://audio.iskcondesiretree.com/02_-_ISKCON_Swamis/ISKCON_Swamis_-_R_to_Y/His_Holiness_Radhanath_Swami/Lectures/Russian_Translation/Yearwise/2004/2004_Glory_to_Srila_Prabhupada_Radhanath_Swami_-_2004-10-04_Divnomorsk.mp3", "2004_Glory_to_Srila_Prabhupada_Radhanath_Swami_-_2004-10-04_Divnomorsk.mp3")</f>
        <v>2004_Glory_to_Srila_Prabhupada_Radhanath_Swami_-_2004-10-04_Divnomorsk.mp3</v>
      </c>
      <c r="D6136" s="24"/>
      <c r="E6136" s="24"/>
    </row>
    <row r="6137">
      <c r="A6137" s="25" t="s">
        <v>18860</v>
      </c>
      <c r="B6137" s="25" t="s">
        <v>18837</v>
      </c>
      <c r="C6137" s="26" t="str">
        <f>HYPERLINK("https://audio.iskcondesiretree.com/02_-_ISKCON_Swamis/ISKCON_Swamis_-_R_to_Y/His_Holiness_Radhanath_Swami/Lectures/Russian_Translation/Yearwise/2004/2004_Krishna_lila_in_vrindavan_Radhanath_Swami_-_2004-10-01_Divnomorsk.mp3", "2004_Krishna_lila_in_vrindavan_Radhanath_Swami_-_2004-10-01_Divnomorsk.mp3")</f>
        <v>2004_Krishna_lila_in_vrindavan_Radhanath_Swami_-_2004-10-01_Divnomorsk.mp3</v>
      </c>
      <c r="D6137" s="24"/>
      <c r="E6137" s="24"/>
    </row>
    <row r="6138">
      <c r="A6138" s="25" t="s">
        <v>18860</v>
      </c>
      <c r="B6138" s="25" t="s">
        <v>18837</v>
      </c>
      <c r="C6138" s="26" t="str">
        <f>HYPERLINK("https://audio.iskcondesiretree.com/02_-_ISKCON_Swamis/ISKCON_Swamis_-_R_to_Y/His_Holiness_Radhanath_Swami/Lectures/Russian_Translation/Yearwise/2004/2004_LDC_talks_about_the_qualities_of_PHC_Radhanath_Swami_-_2004-09-26_Kiev.mp3", "2004_LDC_talks_about_the_qualities_of_PHC_Radhanath_Swami_-_2004-09-26_Kiev.mp3")</f>
        <v>2004_LDC_talks_about_the_qualities_of_PHC_Radhanath_Swami_-_2004-09-26_Kiev.mp3</v>
      </c>
      <c r="D6138" s="24"/>
      <c r="E6138" s="24"/>
    </row>
    <row r="6139">
      <c r="A6139" s="25" t="s">
        <v>18860</v>
      </c>
      <c r="B6139" s="25" t="s">
        <v>18837</v>
      </c>
      <c r="C6139" s="26" t="str">
        <f>HYPERLINK("https://audio.iskcondesiretree.com/02_-_ISKCON_Swamis/ISKCON_Swamis_-_R_to_Y/His_Holiness_Radhanath_Swami/Lectures/Russian_Translation/Yearwise/2004/2004_Lecture_at_the_initiation_Radhanath_Swami_-_2004-10-08_Moscow.mp3", "2004_Lecture_at_the_initiation_Radhanath_Swami_-_2004-10-08_Moscow.mp3")</f>
        <v>2004_Lecture_at_the_initiation_Radhanath_Swami_-_2004-10-08_Moscow.mp3</v>
      </c>
      <c r="D6139" s="24"/>
      <c r="E6139" s="24"/>
    </row>
    <row r="6140">
      <c r="A6140" s="25" t="s">
        <v>18860</v>
      </c>
      <c r="B6140" s="25" t="s">
        <v>18837</v>
      </c>
      <c r="C6140" s="26" t="str">
        <f>HYPERLINK("https://audio.iskcondesiretree.com/02_-_ISKCON_Swamis/ISKCON_Swamis_-_R_to_Y/His_Holiness_Radhanath_Swami/Lectures/Russian_Translation/Yearwise/2004/2004_Lecture_before_initiating_Radhanath_Swami_-_2004-09-28_Kiev.mp3", "2004_Lecture_before_initiating_Radhanath_Swami_-_2004-09-28_Kiev.mp3")</f>
        <v>2004_Lecture_before_initiating_Radhanath_Swami_-_2004-09-28_Kiev.mp3</v>
      </c>
      <c r="D6140" s="24"/>
      <c r="E6140" s="24"/>
    </row>
    <row r="6141">
      <c r="A6141" s="25" t="s">
        <v>18860</v>
      </c>
      <c r="B6141" s="25" t="s">
        <v>18837</v>
      </c>
      <c r="C6141" s="26" t="str">
        <f>HYPERLINK("https://audio.iskcondesiretree.com/02_-_ISKCON_Swamis/ISKCON_Swamis_-_R_to_Y/His_Holiness_Radhanath_Swami/Lectures/Russian_Translation/Yearwise/2004/2004_Leela_Krishna_and_Yashoda_Radhanath_Swami_-_2004-10-02_Divnomorsk.mp3", "2004_Leela_Krishna_and_Yashoda_Radhanath_Swami_-_2004-10-02_Divnomorsk.mp3")</f>
        <v>2004_Leela_Krishna_and_Yashoda_Radhanath_Swami_-_2004-10-02_Divnomorsk.mp3</v>
      </c>
      <c r="D6141" s="24"/>
      <c r="E6141" s="24"/>
    </row>
    <row r="6142">
      <c r="A6142" s="25" t="s">
        <v>18860</v>
      </c>
      <c r="B6142" s="25" t="s">
        <v>18837</v>
      </c>
      <c r="C6142" s="26" t="str">
        <f>HYPERLINK("https://audio.iskcondesiretree.com/02_-_ISKCON_Swamis/ISKCON_Swamis_-_R_to_Y/His_Holiness_Radhanath_Swami/Lectures/Russian_Translation/Yearwise/2004/2004_Lila_of_Krishna_Gopi_and_Yashoda_Radhanath_Swami_-_2004-10-03_Divnomorsk.mp3", "2004_Lila_of_Krishna_Gopi_and_Yashoda_Radhanath_Swami_-_2004-10-03_Divnomorsk.mp3")</f>
        <v>2004_Lila_of_Krishna_Gopi_and_Yashoda_Radhanath_Swami_-_2004-10-03_Divnomorsk.mp3</v>
      </c>
      <c r="D6142" s="24"/>
      <c r="E6142" s="24"/>
    </row>
    <row r="6143">
      <c r="A6143" s="25" t="s">
        <v>18860</v>
      </c>
      <c r="B6143" s="25" t="s">
        <v>18837</v>
      </c>
      <c r="C6143" s="26" t="str">
        <f>HYPERLINK("https://audio.iskcondesiretree.com/02_-_ISKCON_Swamis/ISKCON_Swamis_-_R_to_Y/His_Holiness_Radhanath_Swami/Lectures/Russian_Translation/Yearwise/2004/2004_O_Lord_Caitanya_Radhanath_Swami_-_2004-10-10_Moscow.mp3", "2004_O_Lord_Caitanya_Radhanath_Swami_-_2004-10-10_Moscow.mp3")</f>
        <v>2004_O_Lord_Caitanya_Radhanath_Swami_-_2004-10-10_Moscow.mp3</v>
      </c>
      <c r="D6143" s="24"/>
      <c r="E6143" s="24"/>
    </row>
    <row r="6144">
      <c r="A6144" s="25" t="s">
        <v>18860</v>
      </c>
      <c r="B6144" s="25" t="s">
        <v>18837</v>
      </c>
      <c r="C6144" s="26" t="str">
        <f>HYPERLINK("https://audio.iskcondesiretree.com/02_-_ISKCON_Swamis/ISKCON_Swamis_-_R_to_Y/His_Holiness_Radhanath_Swami/Lectures/Russian_Translation/Yearwise/2004/2004_SB_01-04-06_History_Sukadeva_Goswami_Radhanath_Swami_-_2004-10-09_Moscow.mp3", "2004_SB_01-04-06_History_Sukadeva_Goswami_Radhanath_Swami_-_2004-10-09_Moscow.mp3")</f>
        <v>2004_SB_01-04-06_History_Sukadeva_Goswami_Radhanath_Swami_-_2004-10-09_Moscow.mp3</v>
      </c>
      <c r="D6144" s="24"/>
      <c r="E6144" s="24"/>
    </row>
    <row r="6145">
      <c r="A6145" s="25" t="s">
        <v>18860</v>
      </c>
      <c r="B6145" s="25" t="s">
        <v>18837</v>
      </c>
      <c r="C6145" s="26" t="str">
        <f>HYPERLINK("https://audio.iskcondesiretree.com/02_-_ISKCON_Swamis/ISKCON_Swamis_-_R_to_Y/His_Holiness_Radhanath_Swami/Lectures/Russian_Translation/Yearwise/2004/2004_SB_01-04-07_Radhanath_Swami_-_2004-10-10_Moscow.mp3", "2004_SB_01-04-07_Radhanath_Swami_-_2004-10-10_Moscow.mp3")</f>
        <v>2004_SB_01-04-07_Radhanath_Swami_-_2004-10-10_Moscow.mp3</v>
      </c>
      <c r="D6145" s="24"/>
      <c r="E6145" s="24"/>
    </row>
    <row r="6146">
      <c r="A6146" s="25" t="s">
        <v>18860</v>
      </c>
      <c r="B6146" s="25" t="s">
        <v>18837</v>
      </c>
      <c r="C6146" s="26" t="str">
        <f>HYPERLINK("https://audio.iskcondesiretree.com/02_-_ISKCON_Swamis/ISKCON_Swamis_-_R_to_Y/His_Holiness_Radhanath_Swami/Lectures/Russian_Translation/Yearwise/2004/2004_SB_10-03-13_KAMS_Vasudeva_and_Devaki_Radhanath_Swami_-_2004-09-25_Kiev.mp3", "2004_SB_10-03-13_KAMS_Vasudeva_and_Devaki_Radhanath_Swami_-_2004-09-25_Kiev.mp3")</f>
        <v>2004_SB_10-03-13_KAMS_Vasudeva_and_Devaki_Radhanath_Swami_-_2004-09-25_Kiev.mp3</v>
      </c>
      <c r="D6146" s="24"/>
      <c r="E6146" s="24"/>
    </row>
    <row r="6147">
      <c r="A6147" s="25" t="s">
        <v>18860</v>
      </c>
      <c r="B6147" s="25" t="s">
        <v>18837</v>
      </c>
      <c r="C6147" s="26" t="str">
        <f>HYPERLINK("https://audio.iskcondesiretree.com/02_-_ISKCON_Swamis/ISKCON_Swamis_-_R_to_Y/His_Holiness_Radhanath_Swami/Lectures/Russian_Translation/Yearwise/2004/2004_SB_10-03-14_The_birth_of_Krishna_and_Vrindavan_Radhanath_Swami_-_2004-09-26_Kiev.mp3", "2004_SB_10-03-14_The_birth_of_Krishna_and_Vrindavan_Radhanath_Swami_-_2004-09-26_Kiev.mp3")</f>
        <v>2004_SB_10-03-14_The_birth_of_Krishna_and_Vrindavan_Radhanath_Swami_-_2004-09-26_Kiev.mp3</v>
      </c>
      <c r="D6147" s="24"/>
      <c r="E6147" s="24"/>
    </row>
    <row r="6148">
      <c r="A6148" s="25" t="s">
        <v>18860</v>
      </c>
      <c r="B6148" s="25" t="s">
        <v>18837</v>
      </c>
      <c r="C6148" s="26" t="str">
        <f>HYPERLINK("https://audio.iskcondesiretree.com/02_-_ISKCON_Swamis/ISKCON_Swamis_-_R_to_Y/His_Holiness_Radhanath_Swami/Lectures/Russian_Translation/Yearwise/2004/2004_SB_10-03-15_Let_Krishna_notice_you_Radhanath_Swami_-_2004-09-27_Kiev.mp3", "2004_SB_10-03-15_Let_Krishna_notice_you_Radhanath_Swami_-_2004-09-27_Kiev.mp3")</f>
        <v>2004_SB_10-03-15_Let_Krishna_notice_you_Radhanath_Swami_-_2004-09-27_Kiev.mp3</v>
      </c>
      <c r="D6148" s="24"/>
      <c r="E6148" s="24"/>
    </row>
    <row r="6149">
      <c r="A6149" s="25" t="s">
        <v>18860</v>
      </c>
      <c r="B6149" s="25" t="s">
        <v>18837</v>
      </c>
      <c r="C6149" s="26" t="str">
        <f>HYPERLINK("https://audio.iskcondesiretree.com/02_-_ISKCON_Swamis/ISKCON_Swamis_-_R_to_Y/His_Holiness_Radhanath_Swami/Lectures/Russian_Translation/Yearwise/2004/2004_SB_10-03-18_Radhanath_Swami_-_2004-09-28_Kiev.mp3", "2004_SB_10-03-18_Radhanath_Swami_-_2004-09-28_Kiev.mp3")</f>
        <v>2004_SB_10-03-18_Radhanath_Swami_-_2004-09-28_Kiev.mp3</v>
      </c>
      <c r="D6149" s="24"/>
      <c r="E6149" s="24"/>
    </row>
    <row r="6150">
      <c r="A6150" s="25" t="s">
        <v>18860</v>
      </c>
      <c r="B6150" s="25" t="s">
        <v>18837</v>
      </c>
      <c r="C6150" s="26" t="str">
        <f>HYPERLINK("https://audio.iskcondesiretree.com/02_-_ISKCON_Swamis/ISKCON_Swamis_-_R_to_Y/His_Holiness_Radhanath_Swami/Lectures/Russian_Translation/Yearwise/2004/2004_Sivananda_of_the_Seine_Radhanath_Swami_-_2004-09-27_Kiev.mp3", "2004_Sivananda_of_the_Seine_Radhanath_Swami_-_2004-09-27_Kiev.mp3")</f>
        <v>2004_Sivananda_of_the_Seine_Radhanath_Swami_-_2004-09-27_Kiev.mp3</v>
      </c>
      <c r="D6150" s="24"/>
      <c r="E6150" s="24"/>
    </row>
    <row r="6151">
      <c r="A6151" s="25" t="s">
        <v>18860</v>
      </c>
      <c r="B6151" s="25" t="s">
        <v>18837</v>
      </c>
      <c r="C6151" s="26" t="str">
        <f>HYPERLINK("https://audio.iskcondesiretree.com/02_-_ISKCON_Swamis/ISKCON_Swamis_-_R_to_Y/His_Holiness_Radhanath_Swami/Lectures/Russian_Translation/Yearwise/2004/2004_Sunday_feasts_Radhanath_Swami%20_-_2004-09-26_Kiev.mp3", "2004_Sunday_feasts_Radhanath_Swami%20_-_2004-09-26_Kiev.mp3")</f>
        <v>2004_Sunday_feasts_Radhanath_Swami%20_-_2004-09-26_Kiev.mp3</v>
      </c>
      <c r="D6151" s="24"/>
      <c r="E6151" s="24"/>
    </row>
    <row r="6152">
      <c r="A6152" s="25" t="s">
        <v>18860</v>
      </c>
      <c r="B6152" s="25" t="s">
        <v>18837</v>
      </c>
      <c r="C6152" s="26" t="str">
        <f>HYPERLINK("https://audio.iskcondesiretree.com/02_-_ISKCON_Swamis/ISKCON_Swamis_-_R_to_Y/His_Holiness_Radhanath_Swami/Lectures/Russian_Translation/Yearwise/2004/2004_The_importance_of_forgiving_%20slushaniya_Radhanath_Swami_-_2004-09-30_Divnomorsk_Umenie.mp3", "2004_The_importance_of_forgiving_%20slushaniya_Radhanath_Swami_-_2004-09-30_Divnomorsk_Umenie.mp3")</f>
        <v>2004_The_importance_of_forgiving_%20slushaniya_Radhanath_Swami_-_2004-09-30_Divnomorsk_Umenie.mp3</v>
      </c>
      <c r="D6152" s="24"/>
      <c r="E6152" s="24"/>
    </row>
    <row r="6153">
      <c r="A6153" s="25" t="s">
        <v>18860</v>
      </c>
      <c r="B6153" s="25" t="s">
        <v>18837</v>
      </c>
      <c r="C6153" s="26" t="str">
        <f>HYPERLINK("https://audio.iskcondesiretree.com/02_-_ISKCON_Swamis/ISKCON_Swamis_-_R_to_Y/His_Holiness_Radhanath_Swami/Lectures/Russian_Translation/Yearwise/2004/2004_Vamana_Dvadasi_Radhanath_Swami_-_2004-09-25_Kiev.mp3", "2004_Vamana_Dvadasi_Radhanath_Swami_-_2004-09-25_Kiev.mp3")</f>
        <v>2004_Vamana_Dvadasi_Radhanath_Swami_-_2004-09-25_Kiev.mp3</v>
      </c>
      <c r="D6153" s="24"/>
      <c r="E6153" s="24"/>
    </row>
    <row r="6154">
      <c r="A6154" s="25" t="s">
        <v>18860</v>
      </c>
      <c r="B6154" s="25" t="s">
        <v>18837</v>
      </c>
      <c r="C6154" s="26" t="str">
        <f>HYPERLINK("https://audio.iskcondesiretree.com/02_-_ISKCON_Swamis/ISKCON_Swamis_-_R_to_Y/His_Holiness_Radhanath_Swami/Lectures/Russian_Translation/Yearwise/2005/2005_Appearance_Day_of_Lord_Balaram_Radhanath_Swami_-_2005-08-19_Kiev.mp3", "2005_Appearance_Day_of_Lord_Balaram_Radhanath_Swami_-_2005-08-19_Kiev.mp3")</f>
        <v>2005_Appearance_Day_of_Lord_Balaram_Radhanath_Swami_-_2005-08-19_Kiev.mp3</v>
      </c>
      <c r="D6154" s="24"/>
      <c r="E6154" s="24"/>
    </row>
    <row r="6155">
      <c r="A6155" s="25" t="s">
        <v>18860</v>
      </c>
      <c r="B6155" s="25" t="s">
        <v>18837</v>
      </c>
      <c r="C6155" s="26" t="str">
        <f>HYPERLINK("https://audio.iskcondesiretree.com/02_-_ISKCON_Swamis/ISKCON_Swamis_-_R_to_Y/His_Holiness_Radhanath_Swami/Lectures/Russian_Translation/Yearwise/2005/2005_Appearance_of_Srila_Prabhupada_Radhanath_Swami_-_2005-08-28_Moscow.mp3", "2005_Appearance_of_Srila_Prabhupada_Radhanath_Swami_-_2005-08-28_Moscow.mp3")</f>
        <v>2005_Appearance_of_Srila_Prabhupada_Radhanath_Swami_-_2005-08-28_Moscow.mp3</v>
      </c>
      <c r="D6155" s="24"/>
      <c r="E6155" s="24"/>
    </row>
    <row r="6156">
      <c r="A6156" s="25" t="s">
        <v>18860</v>
      </c>
      <c r="B6156" s="25" t="s">
        <v>18837</v>
      </c>
      <c r="C6156" s="26" t="str">
        <f>HYPERLINK("https://audio.iskcondesiretree.com/02_-_ISKCON_Swamis/ISKCON_Swamis_-_R_to_Y/His_Holiness_Radhanath_Swami/Lectures/Russian_Translation/Yearwise/2005/2005_Before_Janmashtami_Radhanath_Swami_-_2005-08-26_Moscow.mp3", "2005_Before_Janmashtami_Radhanath_Swami_-_2005-08-26_Moscow.mp3")</f>
        <v>2005_Before_Janmashtami_Radhanath_Swami_-_2005-08-26_Moscow.mp3</v>
      </c>
      <c r="D6156" s="24"/>
      <c r="E6156" s="24"/>
    </row>
    <row r="6157">
      <c r="A6157" s="25" t="s">
        <v>18860</v>
      </c>
      <c r="B6157" s="25" t="s">
        <v>18837</v>
      </c>
      <c r="C6157" s="26" t="str">
        <f>HYPERLINK("https://audio.iskcondesiretree.com/02_-_ISKCON_Swamis/ISKCON_Swamis_-_R_to_Y/His_Holiness_Radhanath_Swami/Lectures/Russian_Translation/Yearwise/2005/2005_Darshan_Radhanath_Swami_-_2005-08-22_Kiev.mp3", "2005_Darshan_Radhanath_Swami_-_2005-08-22_Kiev.mp3")</f>
        <v>2005_Darshan_Radhanath_Swami_-_2005-08-22_Kiev.mp3</v>
      </c>
      <c r="D6157" s="24"/>
      <c r="E6157" s="24"/>
    </row>
    <row r="6158">
      <c r="A6158" s="25" t="s">
        <v>18860</v>
      </c>
      <c r="B6158" s="25" t="s">
        <v>18837</v>
      </c>
      <c r="C6158" s="26" t="str">
        <f>HYPERLINK("https://audio.iskcondesiretree.com/02_-_ISKCON_Swamis/ISKCON_Swamis_-_R_to_Y/His_Holiness_Radhanath_Swami/Lectures/Russian_Translation/Yearwise/2005/2005_Devotees_gives_up_many_things_Radhanath_Swami_-_2005-08-29_Moscow.mp3", "2005_Devotees_gives_up_many_things_Radhanath_Swami_-_2005-08-29_Moscow.mp3")</f>
        <v>2005_Devotees_gives_up_many_things_Radhanath_Swami_-_2005-08-29_Moscow.mp3</v>
      </c>
      <c r="D6158" s="24"/>
      <c r="E6158" s="24"/>
    </row>
    <row r="6159">
      <c r="A6159" s="25" t="s">
        <v>18860</v>
      </c>
      <c r="B6159" s="25" t="s">
        <v>18837</v>
      </c>
      <c r="C6159" s="26" t="str">
        <f>HYPERLINK("https://audio.iskcondesiretree.com/02_-_ISKCON_Swamis/ISKCON_Swamis_-_R_to_Y/His_Holiness_Radhanath_Swami/Lectures/Russian_Translation/Yearwise/2005/2005_Evening_Lecture_Radhanath_Swami_-_2005-08-17_Kiev.mp3", "2005_Evening_Lecture_Radhanath_Swami_-_2005-08-17_Kiev.mp3")</f>
        <v>2005_Evening_Lecture_Radhanath_Swami_-_2005-08-17_Kiev.mp3</v>
      </c>
      <c r="D6159" s="24"/>
      <c r="E6159" s="24"/>
    </row>
    <row r="6160">
      <c r="A6160" s="25" t="s">
        <v>18860</v>
      </c>
      <c r="B6160" s="25" t="s">
        <v>18837</v>
      </c>
      <c r="C6160" s="26" t="str">
        <f>HYPERLINK("https://audio.iskcondesiretree.com/02_-_ISKCON_Swamis/ISKCON_Swamis_-_R_to_Y/His_Holiness_Radhanath_Swami/Lectures/Russian_Translation/Yearwise/2005/2005_Evening_Lecture_Radhanath_Swami_-_2005-08-25_Moscow.mp3", "2005_Evening_Lecture_Radhanath_Swami_-_2005-08-25_Moscow.mp3")</f>
        <v>2005_Evening_Lecture_Radhanath_Swami_-_2005-08-25_Moscow.mp3</v>
      </c>
      <c r="D6160" s="24"/>
      <c r="E6160" s="24"/>
    </row>
    <row r="6161">
      <c r="A6161" s="25" t="s">
        <v>18860</v>
      </c>
      <c r="B6161" s="25" t="s">
        <v>18837</v>
      </c>
      <c r="C6161" s="26" t="str">
        <f>HYPERLINK("https://audio.iskcondesiretree.com/02_-_ISKCON_Swamis/ISKCON_Swamis_-_R_to_Y/His_Holiness_Radhanath_Swami/Lectures/Russian_Translation/Yearwise/2005/2005_Initiation_Lecture_Radhanath_Swami_-_2005-08-22_Kiev.mp3", "2005_Initiation_Lecture_Radhanath_Swami_-_2005-08-22_Kiev.mp3")</f>
        <v>2005_Initiation_Lecture_Radhanath_Swami_-_2005-08-22_Kiev.mp3</v>
      </c>
      <c r="D6161" s="24"/>
      <c r="E6161" s="24"/>
    </row>
    <row r="6162">
      <c r="A6162" s="25" t="s">
        <v>18860</v>
      </c>
      <c r="B6162" s="25" t="s">
        <v>18837</v>
      </c>
      <c r="C6162" s="26" t="str">
        <f>HYPERLINK("https://audio.iskcondesiretree.com/02_-_ISKCON_Swamis/ISKCON_Swamis_-_R_to_Y/His_Holiness_Radhanath_Swami/Lectures/Russian_Translation/Yearwise/2005/2005_Janmashtami_Radhanath_Swami_-_2005-08-27_Moscow.mp3", "2005_Janmashtami_Radhanath_Swami_-_2005-08-27_Moscow.mp3")</f>
        <v>2005_Janmashtami_Radhanath_Swami_-_2005-08-27_Moscow.mp3</v>
      </c>
      <c r="D6162" s="24"/>
      <c r="E6162" s="24"/>
    </row>
    <row r="6163">
      <c r="A6163" s="25" t="s">
        <v>18860</v>
      </c>
      <c r="B6163" s="25" t="s">
        <v>18837</v>
      </c>
      <c r="C6163" s="26" t="str">
        <f>HYPERLINK("https://audio.iskcondesiretree.com/02_-_ISKCON_Swamis/ISKCON_Swamis_-_R_to_Y/His_Holiness_Radhanath_Swami/Lectures/Russian_Translation/Yearwise/2005/2005_Lecture_%20before_%20Departure_Radhanath_Swami_-_2005-08-23_Kiev.mp3", "2005_Lecture_%20before_%20Departure_Radhanath_Swami_-_2005-08-23_Kiev.mp3")</f>
        <v>2005_Lecture_%20before_%20Departure_Radhanath_Swami_-_2005-08-23_Kiev.mp3</v>
      </c>
      <c r="D6163" s="24"/>
      <c r="E6163" s="24"/>
    </row>
    <row r="6164">
      <c r="A6164" s="25" t="s">
        <v>18860</v>
      </c>
      <c r="B6164" s="25" t="s">
        <v>18837</v>
      </c>
      <c r="C6164" s="26" t="str">
        <f>HYPERLINK("https://audio.iskcondesiretree.com/02_-_ISKCON_Swamis/ISKCON_Swamis_-_R_to_Y/His_Holiness_Radhanath_Swami/Lectures/Russian_Translation/Yearwise/2005/2005_Recollection_of_Bhakti_Tirtha_Swami_Radhanth_Swami_-_2005-08-24_Moscow.mp3", "2005_Recollection_of_Bhakti_Tirtha_Swami_Radhanth_Swami_-_2005-08-24_Moscow.mp3")</f>
        <v>2005_Recollection_of_Bhakti_Tirtha_Swami_Radhanth_Swami_-_2005-08-24_Moscow.mp3</v>
      </c>
      <c r="D6164" s="24"/>
      <c r="E6164" s="24"/>
    </row>
    <row r="6165">
      <c r="A6165" s="25" t="s">
        <v>18860</v>
      </c>
      <c r="B6165" s="25" t="s">
        <v>18837</v>
      </c>
      <c r="C6165" s="26" t="str">
        <f>HYPERLINK("https://audio.iskcondesiretree.com/02_-_ISKCON_Swamis/ISKCON_Swamis_-_R_to_Y/His_Holiness_Radhanath_Swami/Lectures/Russian_Translation/Yearwise/2005/2005_SB_10-13-50_Radhanath_Swami_-_2005-08-18_Kiev.mp3", "2005_SB_10-13-50_Radhanath_Swami_-_2005-08-18_Kiev.mp3")</f>
        <v>2005_SB_10-13-50_Radhanath_Swami_-_2005-08-18_Kiev.mp3</v>
      </c>
      <c r="D6165" s="24"/>
      <c r="E6165" s="24"/>
    </row>
    <row r="6166">
      <c r="A6166" s="25" t="s">
        <v>18860</v>
      </c>
      <c r="B6166" s="25" t="s">
        <v>18837</v>
      </c>
      <c r="C6166" s="26" t="str">
        <f>HYPERLINK("https://audio.iskcondesiretree.com/02_-_ISKCON_Swamis/ISKCON_Swamis_-_R_to_Y/His_Holiness_Radhanath_Swami/Lectures/Russian_Translation/Yearwise/2005/2005_SB_10-13-51_Radhanath_Swami_-_2005-08-20_Kiev.mp3", "2005_SB_10-13-51_Radhanath_Swami_-_2005-08-20_Kiev.mp3")</f>
        <v>2005_SB_10-13-51_Radhanath_Swami_-_2005-08-20_Kiev.mp3</v>
      </c>
      <c r="D6166" s="24"/>
      <c r="E6166" s="24"/>
    </row>
    <row r="6167">
      <c r="A6167" s="25" t="s">
        <v>18860</v>
      </c>
      <c r="B6167" s="25" t="s">
        <v>18837</v>
      </c>
      <c r="C6167" s="26" t="str">
        <f>HYPERLINK("https://audio.iskcondesiretree.com/02_-_ISKCON_Swamis/ISKCON_Swamis_-_R_to_Y/His_Holiness_Radhanath_Swami/Lectures/Russian_Translation/Yearwise/2005/2005_SB_10-13-52_Radhanath_Swami_-_2005-08-22_Kiev.mp3", "2005_SB_10-13-52_Radhanath_Swami_-_2005-08-22_Kiev.mp3")</f>
        <v>2005_SB_10-13-52_Radhanath_Swami_-_2005-08-22_Kiev.mp3</v>
      </c>
      <c r="D6167" s="24"/>
      <c r="E6167" s="24"/>
    </row>
    <row r="6168">
      <c r="A6168" s="25" t="s">
        <v>18860</v>
      </c>
      <c r="B6168" s="25" t="s">
        <v>18837</v>
      </c>
      <c r="C6168" s="26" t="str">
        <f>HYPERLINK("https://audio.iskcondesiretree.com/02_-_ISKCON_Swamis/ISKCON_Swamis_-_R_to_Y/His_Holiness_Radhanath_Swami/Lectures/Russian_Translation/Yearwise/2005/2005_Speech_before_evening_Kirtan_Radhanath_Swami_-_2005-08-21_Kiev.mp3", "2005_Speech_before_evening_Kirtan_Radhanath_Swami_-_2005-08-21_Kiev.mp3")</f>
        <v>2005_Speech_before_evening_Kirtan_Radhanath_Swami_-_2005-08-21_Kiev.mp3</v>
      </c>
      <c r="D6168" s="24"/>
      <c r="E6168" s="24"/>
    </row>
    <row r="6169">
      <c r="A6169" s="25" t="s">
        <v>18860</v>
      </c>
      <c r="B6169" s="25" t="s">
        <v>18837</v>
      </c>
      <c r="C6169" s="26" t="str">
        <f>HYPERLINK("https://audio.iskcondesiretree.com/02_-_ISKCON_Swamis/ISKCON_Swamis_-_R_to_Y/His_Holiness_Radhanath_Swami/Lectures/Russian_Translation/Yearwise/2005/2005_Sukharava_Radhanath_Swami_-_2005-08-30_Moscow.mp3", "2005_Sukharava_Radhanath_Swami_-_2005-08-30_Moscow.mp3")</f>
        <v>2005_Sukharava_Radhanath_Swami_-_2005-08-30_Moscow.mp3</v>
      </c>
      <c r="D6169" s="24"/>
      <c r="E6169" s="24"/>
    </row>
    <row r="6170">
      <c r="A6170" s="25" t="s">
        <v>18860</v>
      </c>
      <c r="B6170" s="25" t="s">
        <v>18837</v>
      </c>
      <c r="C6170" s="26" t="str">
        <f>HYPERLINK("https://audio.iskcondesiretree.com/02_-_ISKCON_Swamis/ISKCON_Swamis_-_R_to_Y/His_Holiness_Radhanath_Swami/Lectures/Russian_Translation/Yearwise/2005/2005_Sunday_Feast_Program_after_Kirtan_Radhanath_Swami_-_2005-08-21_Kiev.mp3", "2005_Sunday_Feast_Program_after_Kirtan_Radhanath_Swami_-_2005-08-21_Kiev.mp3")</f>
        <v>2005_Sunday_Feast_Program_after_Kirtan_Radhanath_Swami_-_2005-08-21_Kiev.mp3</v>
      </c>
      <c r="D6170" s="24"/>
      <c r="E6170" s="24"/>
    </row>
    <row r="6171">
      <c r="A6171" s="25" t="s">
        <v>18860</v>
      </c>
      <c r="B6171" s="25" t="s">
        <v>18837</v>
      </c>
      <c r="C6171" s="26" t="str">
        <f>HYPERLINK("https://audio.iskcondesiretree.com/02_-_ISKCON_Swamis/ISKCON_Swamis_-_R_to_Y/His_Holiness_Radhanath_Swami/Lectures/Russian_Translation/Yearwise/2005/2005_Sunday_Feast_Program_Radhanath_Swami_-_2005-08-21_Kiev.mp3", "2005_Sunday_Feast_Program_Radhanath_Swami_-_2005-08-21_Kiev.mp3")</f>
        <v>2005_Sunday_Feast_Program_Radhanath_Swami_-_2005-08-21_Kiev.mp3</v>
      </c>
      <c r="D6171" s="24"/>
      <c r="E6171" s="24"/>
    </row>
    <row r="6172">
      <c r="A6172" s="25" t="s">
        <v>18860</v>
      </c>
      <c r="B6172" s="25" t="s">
        <v>18837</v>
      </c>
      <c r="C6172" s="26" t="str">
        <f>HYPERLINK("https://audio.iskcondesiretree.com/02_-_ISKCON_Swamis/ISKCON_Swamis_-_R_to_Y/His_Holiness_Radhanath_Swami/Lectures/Russian_Translation/Yearwise/2006/2006_Gaura_Poornima_evening_Radhanath_Swami_Chowpatty.MP3", "2006_Gaura_Poornima_evening_Radhanath_Swami_Chowpatty.MP3")</f>
        <v>2006_Gaura_Poornima_evening_Radhanath_Swami_Chowpatty.MP3</v>
      </c>
      <c r="D6172" s="24"/>
      <c r="E6172" s="24"/>
    </row>
    <row r="6173">
      <c r="A6173" s="25" t="s">
        <v>18860</v>
      </c>
      <c r="B6173" s="25" t="s">
        <v>18837</v>
      </c>
      <c r="C6173" s="26" t="str">
        <f>HYPERLINK("https://audio.iskcondesiretree.com/02_-_ISKCON_Swamis/ISKCON_Swamis_-_R_to_Y/His_Holiness_Radhanath_Swami/Lectures/Russian_Translation/Yearwise/2006/2006_Gaura_Poornima_Radhanath_Swami_Chowpatty.MP3", "2006_Gaura_Poornima_Radhanath_Swami_Chowpatty.MP3")</f>
        <v>2006_Gaura_Poornima_Radhanath_Swami_Chowpatty.MP3</v>
      </c>
      <c r="D6173" s="24"/>
      <c r="E6173" s="24"/>
    </row>
    <row r="6174">
      <c r="A6174" s="25" t="s">
        <v>18860</v>
      </c>
      <c r="B6174" s="25" t="s">
        <v>18837</v>
      </c>
      <c r="C6174" s="26" t="str">
        <f>HYPERLINK("https://audio.iskcondesiretree.com/02_-_ISKCON_Swamis/ISKCON_Swamis_-_R_to_Y/His_Holiness_Radhanath_Swami/Lectures/Russian_Translation/Yearwise/2006/2006_Gaura_purnima_evening_Radhanath_swami_Chowpatty.MP3", "2006_Gaura_purnima_evening_Radhanath_swami_Chowpatty.MP3")</f>
        <v>2006_Gaura_purnima_evening_Radhanath_swami_Chowpatty.MP3</v>
      </c>
      <c r="D6174" s="24"/>
      <c r="E6174" s="24"/>
    </row>
    <row r="6175">
      <c r="A6175" s="25" t="s">
        <v>18860</v>
      </c>
      <c r="B6175" s="25" t="s">
        <v>18837</v>
      </c>
      <c r="C6175" s="26" t="str">
        <f>HYPERLINK("https://audio.iskcondesiretree.com/02_-_ISKCON_Swamis/ISKCON_Swamis_-_R_to_Y/His_Holiness_Radhanath_Swami/Lectures/Russian_Translation/Yearwise/2006/2006_Gaura_purnima_Radhanath_swami_Chowpatty.MP3", "2006_Gaura_purnima_Radhanath_swami_Chowpatty.MP3")</f>
        <v>2006_Gaura_purnima_Radhanath_swami_Chowpatty.MP3</v>
      </c>
      <c r="D6175" s="24"/>
      <c r="E6175" s="24"/>
    </row>
    <row r="6176">
      <c r="A6176" s="25" t="s">
        <v>18860</v>
      </c>
      <c r="B6176" s="25" t="s">
        <v>18837</v>
      </c>
      <c r="C6176" s="26" t="str">
        <f>HYPERLINK("https://audio.iskcondesiretree.com/02_-_ISKCON_Swamis/ISKCON_Swamis_-_R_to_Y/His_Holiness_Radhanath_Swami/Lectures/Russian_Translation/Yearwise/2006/2006_March_Radhanath_Swami_Chowpatty.MP3", "2006_March_Radhanath_Swami_Chowpatty.MP3")</f>
        <v>2006_March_Radhanath_Swami_Chowpatty.MP3</v>
      </c>
      <c r="D6176" s="24"/>
      <c r="E6176" s="24"/>
    </row>
    <row r="6177">
      <c r="A6177" s="25" t="s">
        <v>18860</v>
      </c>
      <c r="B6177" s="25" t="s">
        <v>18837</v>
      </c>
      <c r="C6177" s="26" t="str">
        <f>HYPERLINK("https://audio.iskcondesiretree.com/02_-_ISKCON_Swamis/ISKCON_Swamis_-_R_to_Y/His_Holiness_Radhanath_Swami/Lectures/Russian_Translation/Yearwise/2006/2006_SB_05-21_Radhanth_Swami_Chowpatty.MP3", "2006_SB_05-21_Radhanth_Swami_Chowpatty.MP3")</f>
        <v>2006_SB_05-21_Radhanth_Swami_Chowpatty.MP3</v>
      </c>
      <c r="D6177" s="24"/>
      <c r="E6177" s="24"/>
    </row>
    <row r="6178">
      <c r="A6178" s="25" t="s">
        <v>18860</v>
      </c>
      <c r="B6178" s="25" t="s">
        <v>18837</v>
      </c>
      <c r="C6178" s="26" t="str">
        <f>HYPERLINK("https://audio.iskcondesiretree.com/02_-_ISKCON_Swamis/ISKCON_Swamis_-_R_to_Y/His_Holiness_Radhanath_Swami/Lectures/Russian_Translation/Yearwise/2006/2006_Sunday_Program_Radhanath_Swami_Chowpatty.MP3", "2006_Sunday_Program_Radhanath_Swami_Chowpatty.MP3")</f>
        <v>2006_Sunday_Program_Radhanath_Swami_Chowpatty.MP3</v>
      </c>
      <c r="D6178" s="24"/>
      <c r="E6178" s="24"/>
    </row>
    <row r="6179">
      <c r="A6179" s="25" t="s">
        <v>18860</v>
      </c>
      <c r="B6179" s="25" t="s">
        <v>18837</v>
      </c>
      <c r="C6179" s="26" t="str">
        <f>HYPERLINK("https://audio.iskcondesiretree.com/02_-_ISKCON_Swamis/ISKCON_Swamis_-_R_to_Y/His_Holiness_Radhanath_Swami/Lectures/Russian_Translation/Yearwise/2008/2008_01_General_darshan_Radhanath_Swami_-_2008-05-01_Kiev.mp3", "2008_01_General_darshan_Radhanath_Swami_-_2008-05-01_Kiev.mp3")</f>
        <v>2008_01_General_darshan_Radhanath_Swami_-_2008-05-01_Kiev.mp3</v>
      </c>
      <c r="D6179" s="24"/>
      <c r="E6179" s="24"/>
    </row>
    <row r="6180">
      <c r="A6180" s="25" t="s">
        <v>18860</v>
      </c>
      <c r="B6180" s="25" t="s">
        <v>18837</v>
      </c>
      <c r="C6180" s="26" t="str">
        <f>HYPERLINK("https://audio.iskcondesiretree.com/02_-_ISKCON_Swamis/ISKCON_Swamis_-_R_to_Y/His_Holiness_Radhanath_Swami/Lectures/Russian_Translation/Yearwise/2008/2008_01_Opening_Ceremony_Radhanath_Swami_-_2008-01-24_Pune_Yatra.mp3", "2008_01_Opening_Ceremony_Radhanath_Swami_-_2008-01-24_Pune_Yatra.mp3")</f>
        <v>2008_01_Opening_Ceremony_Radhanath_Swami_-_2008-01-24_Pune_Yatra.mp3</v>
      </c>
      <c r="D6180" s="24"/>
      <c r="E6180" s="24"/>
    </row>
    <row r="6181">
      <c r="A6181" s="25" t="s">
        <v>18860</v>
      </c>
      <c r="B6181" s="25" t="s">
        <v>18837</v>
      </c>
      <c r="C6181" s="26" t="str">
        <f>HYPERLINK("https://audio.iskcondesiretree.com/02_-_ISKCON_Swamis/ISKCON_Swamis_-_R_to_Y/His_Holiness_Radhanath_Swami/Lectures/Russian_Translation/Yearwise/2008/2008_02_Lecture_LDC_-_Radhanath_Swami_-_2008-05-01_Kiev.mp3", "2008_02_Lecture_LDC_-_Radhanath_Swami_-_2008-05-01_Kiev.mp3")</f>
        <v>2008_02_Lecture_LDC_-_Radhanath_Swami_-_2008-05-01_Kiev.mp3</v>
      </c>
      <c r="D6181" s="24"/>
      <c r="E6181" s="24"/>
    </row>
    <row r="6182">
      <c r="A6182" s="25" t="s">
        <v>18860</v>
      </c>
      <c r="B6182" s="25" t="s">
        <v>18837</v>
      </c>
      <c r="C6182" s="26" t="str">
        <f>HYPERLINK("https://audio.iskcondesiretree.com/02_-_ISKCON_Swamis/ISKCON_Swamis_-_R_to_Y/His_Holiness_Radhanath_Swami/Lectures/Russian_Translation/Yearwise/2008/2008_02_Opening_Ceremony_Radhanath_Swami_-_2008-01-24_Pune_Yatra.mp3", "2008_02_Opening_Ceremony_Radhanath_Swami_-_2008-01-24_Pune_Yatra.mp3")</f>
        <v>2008_02_Opening_Ceremony_Radhanath_Swami_-_2008-01-24_Pune_Yatra.mp3</v>
      </c>
      <c r="D6182" s="24"/>
      <c r="E6182" s="24"/>
    </row>
    <row r="6183">
      <c r="A6183" s="25" t="s">
        <v>18860</v>
      </c>
      <c r="B6183" s="25" t="s">
        <v>18837</v>
      </c>
      <c r="C6183" s="26" t="str">
        <f>HYPERLINK("https://audio.iskcondesiretree.com/02_-_ISKCON_Swamis/ISKCON_Swamis_-_R_to_Y/His_Holiness_Radhanath_Swami/Lectures/Russian_Translation/Yearwise/2008/2008_Close_Radhanath_Swami_-_2008-01-26_Pune_Yatra.mp3", "2008_Close_Radhanath_Swami_-_2008-01-26_Pune_Yatra.mp3")</f>
        <v>2008_Close_Radhanath_Swami_-_2008-01-26_Pune_Yatra.mp3</v>
      </c>
      <c r="D6183" s="24"/>
      <c r="E6183" s="24"/>
    </row>
    <row r="6184">
      <c r="A6184" s="25" t="s">
        <v>18860</v>
      </c>
      <c r="B6184" s="25" t="s">
        <v>18837</v>
      </c>
      <c r="C6184" s="26" t="str">
        <f>HYPERLINK("https://audio.iskcondesiretree.com/02_-_ISKCON_Swamis/ISKCON_Swamis_-_R_to_Y/His_Holiness_Radhanath_Swami/Lectures/Russian_Translation/Yearwise/2008/2008_Devotional_Service_Radhanath_Swami_-_2008-01-26_Pune_Yatra.mp3", "2008_Devotional_Service_Radhanath_Swami_-_2008-01-26_Pune_Yatra.mp3")</f>
        <v>2008_Devotional_Service_Radhanath_Swami_-_2008-01-26_Pune_Yatra.mp3</v>
      </c>
      <c r="D6184" s="24"/>
      <c r="E6184" s="24"/>
    </row>
    <row r="6185">
      <c r="A6185" s="25" t="s">
        <v>18860</v>
      </c>
      <c r="B6185" s="25" t="s">
        <v>18837</v>
      </c>
      <c r="C6185" s="26" t="str">
        <f>HYPERLINK("https://audio.iskcondesiretree.com/02_-_ISKCON_Swamis/ISKCON_Swamis_-_R_to_Y/His_Holiness_Radhanath_Swami/Lectures/Russian_Translation/Yearwise/2008/2008_Evening_lecture_NRS_RNS_Radhanath_Swami_-_2008-04-25_Moscow.mp3", "2008_Evening_lecture_NRS_RNS_Radhanath_Swami_-_2008-04-25_Moscow.mp3")</f>
        <v>2008_Evening_lecture_NRS_RNS_Radhanath_Swami_-_2008-04-25_Moscow.mp3</v>
      </c>
      <c r="D6185" s="24"/>
      <c r="E6185" s="24"/>
    </row>
    <row r="6186">
      <c r="A6186" s="25" t="s">
        <v>18860</v>
      </c>
      <c r="B6186" s="25" t="s">
        <v>18837</v>
      </c>
      <c r="C6186" s="26" t="str">
        <f>HYPERLINK("https://audio.iskcondesiretree.com/02_-_ISKCON_Swamis/ISKCON_Swamis_-_R_to_Y/His_Holiness_Radhanath_Swami/Lectures/Russian_Translation/Yearwise/2008/2008_Evening_Lecture_Radhanath_Swami_-_2008-04-24_Moscow.mp3", "2008_Evening_Lecture_Radhanath_Swami_-_2008-04-24_Moscow.mp3")</f>
        <v>2008_Evening_Lecture_Radhanath_Swami_-_2008-04-24_Moscow.mp3</v>
      </c>
      <c r="D6186" s="24"/>
      <c r="E6186" s="24"/>
    </row>
    <row r="6187">
      <c r="A6187" s="25" t="s">
        <v>18860</v>
      </c>
      <c r="B6187" s="25" t="s">
        <v>18837</v>
      </c>
      <c r="C6187" s="26" t="str">
        <f>HYPERLINK("https://audio.iskcondesiretree.com/02_-_ISKCON_Swamis/ISKCON_Swamis_-_R_to_Y/His_Holiness_Radhanath_Swami/Lectures/Russian_Translation/Yearwise/2008/2008_Evening_Lecture_Radhanath_Swami_-_2008-04-30_Kiev.mp3", "2008_Evening_Lecture_Radhanath_Swami_-_2008-04-30_Kiev.mp3")</f>
        <v>2008_Evening_Lecture_Radhanath_Swami_-_2008-04-30_Kiev.mp3</v>
      </c>
      <c r="D6187" s="24"/>
      <c r="E6187" s="24"/>
    </row>
    <row r="6188">
      <c r="A6188" s="25" t="s">
        <v>18860</v>
      </c>
      <c r="B6188" s="25" t="s">
        <v>18837</v>
      </c>
      <c r="C6188" s="26" t="str">
        <f>HYPERLINK("https://audio.iskcondesiretree.com/02_-_ISKCON_Swamis/ISKCON_Swamis_-_R_to_Y/His_Holiness_Radhanath_Swami/Lectures/Russian_Translation/Yearwise/2008/2008_Iniciation_Radhanath_Swami_-_2008-04-27_Moscow.MP3", "2008_Iniciation_Radhanath_Swami_-_2008-04-27_Moscow.MP3")</f>
        <v>2008_Iniciation_Radhanath_Swami_-_2008-04-27_Moscow.MP3</v>
      </c>
      <c r="D6188" s="24"/>
      <c r="E6188" s="24"/>
    </row>
    <row r="6189">
      <c r="A6189" s="25" t="s">
        <v>18860</v>
      </c>
      <c r="B6189" s="25" t="s">
        <v>18837</v>
      </c>
      <c r="C6189" s="26" t="str">
        <f>HYPERLINK("https://audio.iskcondesiretree.com/02_-_ISKCON_Swamis/ISKCON_Swamis_-_R_to_Y/His_Holiness_Radhanath_Swami/Lectures/Russian_Translation/Yearwise/2008/2008_Initiation_Radhanath_Swami_-_2008-05-05_Kiev.mp3", "2008_Initiation_Radhanath_Swami_-_2008-05-05_Kiev.mp3")</f>
        <v>2008_Initiation_Radhanath_Swami_-_2008-05-05_Kiev.mp3</v>
      </c>
      <c r="D6189" s="24"/>
      <c r="E6189" s="24"/>
    </row>
    <row r="6190">
      <c r="A6190" s="25" t="s">
        <v>18860</v>
      </c>
      <c r="B6190" s="25" t="s">
        <v>18837</v>
      </c>
      <c r="C6190" s="26" t="str">
        <f>HYPERLINK("https://audio.iskcondesiretree.com/02_-_ISKCON_Swamis/ISKCON_Swamis_-_R_to_Y/His_Holiness_Radhanath_Swami/Lectures/Russian_Translation/Yearwise/2008/2008_Lecture_%20NRS_-_Radhanath_Swami_-_2008-04-27_Moscow.mp3", "2008_Lecture_%20NRS_-_Radhanath_Swami_-_2008-04-27_Moscow.mp3")</f>
        <v>2008_Lecture_%20NRS_-_Radhanath_Swami_-_2008-04-27_Moscow.mp3</v>
      </c>
      <c r="D6190" s="24"/>
      <c r="E6190" s="24"/>
    </row>
    <row r="6191">
      <c r="A6191" s="25" t="s">
        <v>18860</v>
      </c>
      <c r="B6191" s="25" t="s">
        <v>18837</v>
      </c>
      <c r="C6191" s="26" t="str">
        <f>HYPERLINK("https://audio.iskcondesiretree.com/02_-_ISKCON_Swamis/ISKCON_Swamis_-_R_to_Y/His_Holiness_Radhanath_Swami/Lectures/Russian_Translation/Yearwise/2008/2008_Lecture_LDC_-_Radhanath_Swami_-_2008-05-02_Kiev.mp3", "2008_Lecture_LDC_-_Radhanath_Swami_-_2008-05-02_Kiev.mp3")</f>
        <v>2008_Lecture_LDC_-_Radhanath_Swami_-_2008-05-02_Kiev.mp3</v>
      </c>
      <c r="D6191" s="24"/>
      <c r="E6191" s="24"/>
    </row>
    <row r="6192">
      <c r="A6192" s="25" t="s">
        <v>18860</v>
      </c>
      <c r="B6192" s="25" t="s">
        <v>18837</v>
      </c>
      <c r="C6192" s="26" t="str">
        <f>HYPERLINK("https://audio.iskcondesiretree.com/02_-_ISKCON_Swamis/ISKCON_Swamis_-_R_to_Y/His_Holiness_Radhanath_Swami/Lectures/Russian_Translation/Yearwise/2008/2008_Lecture_Radhanath_Swami_-_2008-04-26_Moscow.mp3", "2008_Lecture_Radhanath_Swami_-_2008-04-26_Moscow.mp3")</f>
        <v>2008_Lecture_Radhanath_Swami_-_2008-04-26_Moscow.mp3</v>
      </c>
      <c r="D6192" s="24"/>
      <c r="E6192" s="24"/>
    </row>
    <row r="6193">
      <c r="A6193" s="25" t="s">
        <v>18860</v>
      </c>
      <c r="B6193" s="25" t="s">
        <v>18837</v>
      </c>
      <c r="C6193" s="26" t="str">
        <f>HYPERLINK("https://audio.iskcondesiretree.com/02_-_ISKCON_Swamis/ISKCON_Swamis_-_R_to_Y/His_Holiness_Radhanath_Swami/Lectures/Russian_Translation/Yearwise/2008/2008_Lecture_Radhanath_Swami_-_2008-04-28_Moscow.mp3", "2008_Lecture_Radhanath_Swami_-_2008-04-28_Moscow.mp3")</f>
        <v>2008_Lecture_Radhanath_Swami_-_2008-04-28_Moscow.mp3</v>
      </c>
      <c r="D6193" s="24"/>
      <c r="E6193" s="24"/>
    </row>
    <row r="6194">
      <c r="A6194" s="25" t="s">
        <v>18860</v>
      </c>
      <c r="B6194" s="25" t="s">
        <v>18837</v>
      </c>
      <c r="C6194" s="26" t="str">
        <f>HYPERLINK("https://audio.iskcondesiretree.com/02_-_ISKCON_Swamis/ISKCON_Swamis_-_R_to_Y/His_Holiness_Radhanath_Swami/Lectures/Russian_Translation/Yearwise/2008/2008_Lecture_Radhanath_Swami_-_2008-04-29_Moscow.mp3", "2008_Lecture_Radhanath_Swami_-_2008-04-29_Moscow.mp3")</f>
        <v>2008_Lecture_Radhanath_Swami_-_2008-04-29_Moscow.mp3</v>
      </c>
      <c r="D6194" s="24"/>
      <c r="E6194" s="24"/>
    </row>
    <row r="6195">
      <c r="A6195" s="25" t="s">
        <v>18860</v>
      </c>
      <c r="B6195" s="25" t="s">
        <v>18837</v>
      </c>
      <c r="C6195" s="26" t="str">
        <f>HYPERLINK("https://audio.iskcondesiretree.com/02_-_ISKCON_Swamis/ISKCON_Swamis_-_R_to_Y/His_Holiness_Radhanath_Swami/Lectures/Russian_Translation/Yearwise/2008/2008_Radhanath_Swami_-_2008-04-25_Yurlovo.mp3", "2008_Radhanath_Swami_-_2008-04-25_Yurlovo.mp3")</f>
        <v>2008_Radhanath_Swami_-_2008-04-25_Yurlovo.mp3</v>
      </c>
      <c r="D6195" s="24"/>
      <c r="E6195" s="24"/>
    </row>
    <row r="6196">
      <c r="A6196" s="25" t="s">
        <v>18860</v>
      </c>
      <c r="B6196" s="25" t="s">
        <v>18837</v>
      </c>
      <c r="C6196" s="26" t="str">
        <f>HYPERLINK("https://audio.iskcondesiretree.com/02_-_ISKCON_Swamis/ISKCON_Swamis_-_R_to_Y/His_Holiness_Radhanath_Swami/Lectures/Russian_Translation/Yearwise/2008/2008_SB_06-11-24-26_Do_not_become_a_prisoner_of_success_Radhanath_Swami%20_-_2008-01-25_Pune_Yatra.mp3", "2008_SB_06-11-24-26_Do_not_become_a_prisoner_of_success_Radhanath_Swami%20_-_2008-01-25_Pune_Yatra.mp3")</f>
        <v>2008_SB_06-11-24-26_Do_not_become_a_prisoner_of_success_Radhanath_Swami%20_-_2008-01-25_Pune_Yatra.mp3</v>
      </c>
      <c r="D6196" s="24"/>
      <c r="E6196" s="24"/>
    </row>
    <row r="6197">
      <c r="A6197" s="25" t="s">
        <v>18860</v>
      </c>
      <c r="B6197" s="25" t="s">
        <v>18837</v>
      </c>
      <c r="C6197" s="26" t="str">
        <f>HYPERLINK("https://audio.iskcondesiretree.com/02_-_ISKCON_Swamis/ISKCON_Swamis_-_R_to_Y/His_Holiness_Radhanath_Swami/Lectures/Russian_Translation/Yearwise/2008/2008_SB_10-01-13_Radhanath_Swami%20_-_2008-01-26_.mp3", "2008_SB_10-01-13_Radhanath_Swami%20_-_2008-01-26_.mp3")</f>
        <v>2008_SB_10-01-13_Radhanath_Swami%20_-_2008-01-26_.mp3</v>
      </c>
      <c r="D6197" s="24"/>
      <c r="E6197" s="24"/>
    </row>
    <row r="6198">
      <c r="A6198" s="25" t="s">
        <v>18860</v>
      </c>
      <c r="B6198" s="25" t="s">
        <v>18837</v>
      </c>
      <c r="C6198" s="26" t="str">
        <f>HYPERLINK("https://audio.iskcondesiretree.com/02_-_ISKCON_Swamis/ISKCON_Swamis_-_R_to_Y/His_Holiness_Radhanath_Swami/Lectures/Russian_Translation/Yearwise/2008/2008_Sunday_Lecture_Radhanath_Swami_-_2008-05-04_Kiev.mp3", "2008_Sunday_Lecture_Radhanath_Swami_-_2008-05-04_Kiev.mp3")</f>
        <v>2008_Sunday_Lecture_Radhanath_Swami_-_2008-05-04_Kiev.mp3</v>
      </c>
      <c r="D6198" s="24"/>
      <c r="E6198" s="24"/>
    </row>
    <row r="6199">
      <c r="A6199" s="25" t="s">
        <v>18860</v>
      </c>
      <c r="B6199" s="25" t="s">
        <v>18837</v>
      </c>
      <c r="C6199" s="26" t="str">
        <f>HYPERLINK("https://audio.iskcondesiretree.com/02_-_ISKCON_Swamis/ISKCON_Swamis_-_R_to_Y/His_Holiness_Radhanath_Swami/Lectures/Russian_Translation/Yearwise/2013/2013-09-29_SB_01-18-13_Russian_Translation_-_Radhanath_Swami.mp3", "2013-09-29_SB_01-18-13_Russian_Translation_-_Radhanath_Swami.mp3")</f>
        <v>2013-09-29_SB_01-18-13_Russian_Translation_-_Radhanath_Swami.mp3</v>
      </c>
      <c r="D6199" s="24"/>
      <c r="E6199" s="24"/>
    </row>
    <row r="6200">
      <c r="A6200" s="25" t="s">
        <v>18864</v>
      </c>
      <c r="B6200" s="25" t="s">
        <v>18865</v>
      </c>
      <c r="C6200" s="26" t="str">
        <f>HYPERLINK("https://audio.iskcondesiretree.com/02_-_ISKCON_Swamis/ISKCON_Swamis_-_R_to_Y/His_Holiness_Radhanath_Swami/Lectures/Short_Clips/A_Domestic_Quarrel_In_Gandhiji%27s_Household_-_Radhanath_Swami.mp3", "A_Domestic_Quarrel_In_Gandhiji%27s_Household_-_Radhanath_Swami.mp3")</f>
        <v>A_Domestic_Quarrel_In_Gandhiji%27s_Household_-_Radhanath_Swami.mp3</v>
      </c>
      <c r="D6200" s="24"/>
      <c r="E6200" s="24"/>
    </row>
    <row r="6201">
      <c r="A6201" s="25" t="s">
        <v>18864</v>
      </c>
      <c r="B6201" s="25" t="s">
        <v>18866</v>
      </c>
      <c r="C6201" s="26" t="str">
        <f>HYPERLINK("https://audio.iskcondesiretree.com/02_-_ISKCON_Swamis/ISKCON_Swamis_-_R_to_Y/His_Holiness_Radhanath_Swami/Lectures/Short_Clips/A_Standard_Of_Compassion_We_Can_Strive_For_-_Radhanath_Swami.mp3", "A_Standard_Of_Compassion_We_Can_Strive_For_-_Radhanath_Swami.mp3")</f>
        <v>A_Standard_Of_Compassion_We_Can_Strive_For_-_Radhanath_Swami.mp3</v>
      </c>
      <c r="D6201" s="24"/>
      <c r="E6201" s="24"/>
    </row>
    <row r="6202">
      <c r="A6202" s="25" t="s">
        <v>18864</v>
      </c>
      <c r="B6202" s="25" t="s">
        <v>18867</v>
      </c>
      <c r="C6202" s="26" t="str">
        <f>HYPERLINK("https://audio.iskcondesiretree.com/02_-_ISKCON_Swamis/ISKCON_Swamis_-_R_to_Y/His_Holiness_Radhanath_Swami/Lectures/Short_Clips/A_Very_Little_Old_Bengali_Widow_-_Radhanath_Swami.mp3", "A_Very_Little_Old_Bengali_Widow_-_Radhanath_Swami.mp3")</f>
        <v>A_Very_Little_Old_Bengali_Widow_-_Radhanath_Swami.mp3</v>
      </c>
      <c r="D6202" s="24"/>
      <c r="E6202" s="24"/>
    </row>
    <row r="6203">
      <c r="A6203" s="25" t="s">
        <v>18864</v>
      </c>
      <c r="B6203" s="25" t="s">
        <v>18868</v>
      </c>
      <c r="C6203" s="26" t="str">
        <f>HYPERLINK("https://audio.iskcondesiretree.com/02_-_ISKCON_Swamis/ISKCON_Swamis_-_R_to_Y/His_Holiness_Radhanath_Swami/Lectures/Short_Clips/Adjust_And_Harmonize_Keeping_In_Mind_The_Higher_Principles_-_Radhanath_Swami.mp3", "Adjust_And_Harmonize_Keeping_In_Mind_The_Higher_Principles_-_Radhanath_Swami.mp3")</f>
        <v>Adjust_And_Harmonize_Keeping_In_Mind_The_Higher_Principles_-_Radhanath_Swami.mp3</v>
      </c>
      <c r="D6203" s="24"/>
      <c r="E6203" s="24"/>
    </row>
    <row r="6204">
      <c r="A6204" s="25" t="s">
        <v>18864</v>
      </c>
      <c r="B6204" s="25" t="s">
        <v>18869</v>
      </c>
      <c r="C6204" s="26" t="str">
        <f>HYPERLINK("https://audio.iskcondesiretree.com/02_-_ISKCON_Swamis/ISKCON_Swamis_-_R_to_Y/His_Holiness_Radhanath_Swami/Lectures/Short_Clips/Are_we_Using_Technology_Or_Is_Technology_Using_Us_-_Radhanath_Swami.mp3", "Are_we_Using_Technology_Or_Is_Technology_Using_Us_-_Radhanath_Swami.mp3")</f>
        <v>Are_we_Using_Technology_Or_Is_Technology_Using_Us_-_Radhanath_Swami.mp3</v>
      </c>
      <c r="D6204" s="24"/>
      <c r="E6204" s="24"/>
    </row>
    <row r="6205">
      <c r="A6205" s="25" t="s">
        <v>18864</v>
      </c>
      <c r="B6205" s="25" t="s">
        <v>18870</v>
      </c>
      <c r="C6205" s="26" t="str">
        <f>HYPERLINK("https://audio.iskcondesiretree.com/02_-_ISKCON_Swamis/ISKCON_Swamis_-_R_to_Y/His_Holiness_Radhanath_Swami/Lectures/Short_Clips/Are_you_reading_black_or_white_-_Radhanath_Swami.mp3", "Are_you_reading_black_or_white_-_Radhanath_Swami.mp3")</f>
        <v>Are_you_reading_black_or_white_-_Radhanath_Swami.mp3</v>
      </c>
      <c r="D6205" s="24"/>
      <c r="E6205" s="24"/>
    </row>
    <row r="6206">
      <c r="A6206" s="25" t="s">
        <v>18864</v>
      </c>
      <c r="B6206" s="25" t="s">
        <v>18871</v>
      </c>
      <c r="C6206" s="26" t="str">
        <f>HYPERLINK("https://audio.iskcondesiretree.com/02_-_ISKCON_Swamis/ISKCON_Swamis_-_R_to_Y/His_Holiness_Radhanath_Swami/Lectures/Short_Clips/Art_Of_Tolerance_-_Radhanath_Swami.mp3", "Art_Of_Tolerance_-_Radhanath_Swami.mp3")</f>
        <v>Art_Of_Tolerance_-_Radhanath_Swami.mp3</v>
      </c>
      <c r="D6206" s="24"/>
      <c r="E6206" s="24"/>
    </row>
    <row r="6207">
      <c r="A6207" s="25" t="s">
        <v>18864</v>
      </c>
      <c r="B6207" s="25" t="s">
        <v>18872</v>
      </c>
      <c r="C6207" s="26" t="str">
        <f>HYPERLINK("https://audio.iskcondesiretree.com/02_-_ISKCON_Swamis/ISKCON_Swamis_-_R_to_Y/His_Holiness_Radhanath_Swami/Lectures/Short_Clips/Association_Is_Contagious_-_Radhanath_Swami.mp3", "Association_Is_Contagious_-_Radhanath_Swami.mp3")</f>
        <v>Association_Is_Contagious_-_Radhanath_Swami.mp3</v>
      </c>
      <c r="D6207" s="24"/>
      <c r="E6207" s="24"/>
    </row>
    <row r="6208">
      <c r="A6208" s="25" t="s">
        <v>18864</v>
      </c>
      <c r="B6208" s="25" t="s">
        <v>18873</v>
      </c>
      <c r="C6208" s="26" t="str">
        <f>HYPERLINK("https://audio.iskcondesiretree.com/02_-_ISKCON_Swamis/ISKCON_Swamis_-_R_to_Y/His_Holiness_Radhanath_Swami/Lectures/Short_Clips/Attachment_To_Devotees_Is_Attachment_To_Krishna_-_Radhanath_Swami.mp3", "Attachment_To_Devotees_Is_Attachment_To_Krishna_-_Radhanath_Swami.mp3")</f>
        <v>Attachment_To_Devotees_Is_Attachment_To_Krishna_-_Radhanath_Swami.mp3</v>
      </c>
      <c r="D6208" s="24"/>
      <c r="E6208" s="24"/>
    </row>
    <row r="6209">
      <c r="A6209" s="25" t="s">
        <v>18864</v>
      </c>
      <c r="B6209" s="25" t="s">
        <v>18874</v>
      </c>
      <c r="C6209" s="26" t="str">
        <f>HYPERLINK("https://audio.iskcondesiretree.com/02_-_ISKCON_Swamis/ISKCON_Swamis_-_R_to_Y/His_Holiness_Radhanath_Swami/Lectures/Short_Clips/Balance_Is_The_Key_To_Success_-_Radhanath_Swami.mp3", "Balance_Is_The_Key_To_Success_-_Radhanath_Swami.mp3")</f>
        <v>Balance_Is_The_Key_To_Success_-_Radhanath_Swami.mp3</v>
      </c>
      <c r="D6209" s="24"/>
      <c r="E6209" s="24"/>
    </row>
    <row r="6210">
      <c r="A6210" s="25" t="s">
        <v>18864</v>
      </c>
      <c r="B6210" s="25" t="s">
        <v>18875</v>
      </c>
      <c r="C6210" s="26" t="str">
        <f>HYPERLINK("https://audio.iskcondesiretree.com/02_-_ISKCON_Swamis/ISKCON_Swamis_-_R_to_Y/His_Holiness_Radhanath_Swami/Lectures/Short_Clips/Being_attracted_to_Krishna_-_Radhanath_Swami.mp3", "Being_attracted_to_Krishna_-_Radhanath_Swami.mp3")</f>
        <v>Being_attracted_to_Krishna_-_Radhanath_Swami.mp3</v>
      </c>
      <c r="D6210" s="24"/>
      <c r="E6210" s="24"/>
    </row>
    <row r="6211">
      <c r="A6211" s="25" t="s">
        <v>18864</v>
      </c>
      <c r="B6211" s="25" t="s">
        <v>18876</v>
      </c>
      <c r="C6211" s="26" t="str">
        <f>HYPERLINK("https://audio.iskcondesiretree.com/02_-_ISKCON_Swamis/ISKCON_Swamis_-_R_to_Y/His_Holiness_Radhanath_Swami/Lectures/Short_Clips/Berries_Of_Affection_-_Radhanath_Swami.mp3", "Berries_Of_Affection_-_Radhanath_Swami.mp3")</f>
        <v>Berries_Of_Affection_-_Radhanath_Swami.mp3</v>
      </c>
      <c r="D6211" s="24"/>
      <c r="E6211" s="24"/>
    </row>
    <row r="6212">
      <c r="A6212" s="25" t="s">
        <v>18864</v>
      </c>
      <c r="B6212" s="25" t="s">
        <v>18877</v>
      </c>
      <c r="C6212" s="26" t="str">
        <f>HYPERLINK("https://audio.iskcondesiretree.com/02_-_ISKCON_Swamis/ISKCON_Swamis_-_R_to_Y/His_Holiness_Radhanath_Swami/Lectures/Short_Clips/Bhakti_Is_To_Turn_Our_Attention_Back_To_The_Lord_-_Radhanath_Swami.mp3", "Bhakti_Is_To_Turn_Our_Attention_Back_To_The_Lord_-_Radhanath_Swami.mp3")</f>
        <v>Bhakti_Is_To_Turn_Our_Attention_Back_To_The_Lord_-_Radhanath_Swami.mp3</v>
      </c>
      <c r="D6212" s="24"/>
      <c r="E6212" s="24"/>
    </row>
    <row r="6213">
      <c r="A6213" s="25" t="s">
        <v>18864</v>
      </c>
      <c r="B6213" s="25" t="s">
        <v>18878</v>
      </c>
      <c r="C6213" s="26" t="str">
        <f>HYPERLINK("https://audio.iskcondesiretree.com/02_-_ISKCON_Swamis/ISKCON_Swamis_-_R_to_Y/His_Holiness_Radhanath_Swami/Lectures/Short_Clips/Bhakti_The_Yoga_Of_Love_-_Radhanath_Swami.mp3", "Bhakti_The_Yoga_Of_Love_-_Radhanath_Swami.mp3")</f>
        <v>Bhakti_The_Yoga_Of_Love_-_Radhanath_Swami.mp3</v>
      </c>
      <c r="D6213" s="24"/>
      <c r="E6213" s="24"/>
    </row>
    <row r="6214">
      <c r="A6214" s="25" t="s">
        <v>18864</v>
      </c>
      <c r="B6214" s="25" t="s">
        <v>18879</v>
      </c>
      <c r="C6214" s="26" t="str">
        <f>HYPERLINK("https://audio.iskcondesiretree.com/02_-_ISKCON_Swamis/ISKCON_Swamis_-_R_to_Y/His_Holiness_Radhanath_Swami/Lectures/Short_Clips/Bhakti_Yoga_Is_About_Tuning_Into_Grace_-_Radhanath_Swami.mp3", "Bhakti_Yoga_Is_About_Tuning_Into_Grace_-_Radhanath_Swami.mp3")</f>
        <v>Bhakti_Yoga_Is_About_Tuning_Into_Grace_-_Radhanath_Swami.mp3</v>
      </c>
      <c r="D6214" s="24"/>
      <c r="E6214" s="24"/>
    </row>
    <row r="6215">
      <c r="A6215" s="25" t="s">
        <v>18864</v>
      </c>
      <c r="B6215" s="25" t="s">
        <v>18880</v>
      </c>
      <c r="C6215" s="26" t="str">
        <f>HYPERLINK("https://audio.iskcondesiretree.com/02_-_ISKCON_Swamis/ISKCON_Swamis_-_R_to_Y/His_Holiness_Radhanath_Swami/Lectures/Short_Clips/Bhakti_Yoga_Is_Beautiful_-_Radhanath_Swami.mp3", "Bhakti_Yoga_Is_Beautiful_-_Radhanath_Swami.mp3")</f>
        <v>Bhakti_Yoga_Is_Beautiful_-_Radhanath_Swami.mp3</v>
      </c>
      <c r="D6215" s="24"/>
      <c r="E6215" s="24"/>
    </row>
    <row r="6216">
      <c r="A6216" s="25" t="s">
        <v>18864</v>
      </c>
      <c r="B6216" s="25" t="s">
        <v>18881</v>
      </c>
      <c r="C6216" s="26" t="str">
        <f>HYPERLINK("https://audio.iskcondesiretree.com/02_-_ISKCON_Swamis/ISKCON_Swamis_-_R_to_Y/His_Holiness_Radhanath_Swami/Lectures/Short_Clips/Breaking_Bad_Habits_-_Radhanath_Swami.mp3", "Breaking_Bad_Habits_-_Radhanath_Swami.mp3")</f>
        <v>Breaking_Bad_Habits_-_Radhanath_Swami.mp3</v>
      </c>
      <c r="D6216" s="24"/>
      <c r="E6216" s="24"/>
    </row>
    <row r="6217">
      <c r="A6217" s="25" t="s">
        <v>18864</v>
      </c>
      <c r="B6217" s="25" t="s">
        <v>18882</v>
      </c>
      <c r="C6217" s="26" t="str">
        <f>HYPERLINK("https://audio.iskcondesiretree.com/02_-_ISKCON_Swamis/ISKCON_Swamis_-_R_to_Y/His_Holiness_Radhanath_Swami/Lectures/Short_Clips/Building_Self_Confidence_In_Children_-_Radhanath_Swami.mp3", "Building_Self_Confidence_In_Children_-_Radhanath_Swami.mp3")</f>
        <v>Building_Self_Confidence_In_Children_-_Radhanath_Swami.mp3</v>
      </c>
      <c r="D6217" s="24"/>
      <c r="E6217" s="24"/>
    </row>
    <row r="6218">
      <c r="A6218" s="25" t="s">
        <v>18864</v>
      </c>
      <c r="B6218" s="25" t="s">
        <v>18883</v>
      </c>
      <c r="C6218" s="26" t="str">
        <f>HYPERLINK("https://audio.iskcondesiretree.com/02_-_ISKCON_Swamis/ISKCON_Swamis_-_R_to_Y/His_Holiness_Radhanath_Swami/Lectures/Short_Clips/Can%27t_we_make_the_connection_-_Radhanath_Swami.mp3", "Can%27t_we_make_the_connection_-_Radhanath_Swami.mp3")</f>
        <v>Can%27t_we_make_the_connection_-_Radhanath_Swami.mp3</v>
      </c>
      <c r="D6218" s="24"/>
      <c r="E6218" s="24"/>
    </row>
    <row r="6219">
      <c r="A6219" s="25" t="s">
        <v>18864</v>
      </c>
      <c r="B6219" s="25" t="s">
        <v>18884</v>
      </c>
      <c r="C6219" s="26" t="str">
        <f>HYPERLINK("https://audio.iskcondesiretree.com/02_-_ISKCON_Swamis/ISKCON_Swamis_-_R_to_Y/His_Holiness_Radhanath_Swami/Lectures/Short_Clips/Choose_The_Hurricane_Or_The_Harinaam_-_Radhanath_Swami.mp3", "Choose_The_Hurricane_Or_The_Harinaam_-_Radhanath_Swami.mp3")</f>
        <v>Choose_The_Hurricane_Or_The_Harinaam_-_Radhanath_Swami.mp3</v>
      </c>
      <c r="D6219" s="24"/>
      <c r="E6219" s="24"/>
    </row>
    <row r="6220">
      <c r="A6220" s="25" t="s">
        <v>18864</v>
      </c>
      <c r="B6220" s="25" t="s">
        <v>18885</v>
      </c>
      <c r="C6220" s="26" t="str">
        <f>HYPERLINK("https://audio.iskcondesiretree.com/02_-_ISKCON_Swamis/ISKCON_Swamis_-_R_to_Y/His_Holiness_Radhanath_Swami/Lectures/Short_Clips/Cleaning_The_Dust_On_Mirror_-_Radhanath_Swami.mp3", "Cleaning_The_Dust_On_Mirror_-_Radhanath_Swami.mp3")</f>
        <v>Cleaning_The_Dust_On_Mirror_-_Radhanath_Swami.mp3</v>
      </c>
      <c r="D6220" s="24"/>
      <c r="E6220" s="24"/>
    </row>
    <row r="6221">
      <c r="A6221" s="25" t="s">
        <v>18864</v>
      </c>
      <c r="B6221" s="25" t="s">
        <v>18886</v>
      </c>
      <c r="C6221" s="26" t="str">
        <f>HYPERLINK("https://audio.iskcondesiretree.com/02_-_ISKCON_Swamis/ISKCON_Swamis_-_R_to_Y/His_Holiness_Radhanath_Swami/Lectures/Short_Clips/Consiousness_Really_Matters_-_Radhanath_Swami.mp3", "Consiousness_Really_Matters_-_Radhanath_Swami.mp3")</f>
        <v>Consiousness_Really_Matters_-_Radhanath_Swami.mp3</v>
      </c>
      <c r="D6221" s="24"/>
      <c r="E6221" s="24"/>
    </row>
    <row r="6222">
      <c r="A6222" s="25" t="s">
        <v>18864</v>
      </c>
      <c r="B6222" s="25" t="s">
        <v>18887</v>
      </c>
      <c r="C6222" s="26" t="str">
        <f>HYPERLINK("https://audio.iskcondesiretree.com/02_-_ISKCON_Swamis/ISKCON_Swamis_-_R_to_Y/His_Holiness_Radhanath_Swami/Lectures/Short_Clips/Conviction_and_Inner_Realization_Brings_Satisfaction_-_Radhanath_Swami.mp3", "Conviction_and_Inner_Realization_Brings_Satisfaction_-_Radhanath_Swami.mp3")</f>
        <v>Conviction_and_Inner_Realization_Brings_Satisfaction_-_Radhanath_Swami.mp3</v>
      </c>
      <c r="D6222" s="24"/>
      <c r="E6222" s="24"/>
    </row>
    <row r="6223">
      <c r="A6223" s="25" t="s">
        <v>18864</v>
      </c>
      <c r="B6223" s="25" t="s">
        <v>18888</v>
      </c>
      <c r="C6223" s="26" t="str">
        <f>HYPERLINK("https://audio.iskcondesiretree.com/02_-_ISKCON_Swamis/ISKCON_Swamis_-_R_to_Y/His_Holiness_Radhanath_Swami/Lectures/Short_Clips/Cows_Love_for_Krishna_in_Vrindavan_-_Radhanath_Swami.mp3", "Cows_Love_for_Krishna_in_Vrindavan_-_Radhanath_Swami.mp3")</f>
        <v>Cows_Love_for_Krishna_in_Vrindavan_-_Radhanath_Swami.mp3</v>
      </c>
      <c r="D6223" s="24"/>
      <c r="E6223" s="24"/>
    </row>
    <row r="6224">
      <c r="A6224" s="25" t="s">
        <v>18864</v>
      </c>
      <c r="B6224" s="25" t="s">
        <v>18889</v>
      </c>
      <c r="C6224" s="26" t="str">
        <f>HYPERLINK("https://audio.iskcondesiretree.com/02_-_ISKCON_Swamis/ISKCON_Swamis_-_R_to_Y/His_Holiness_Radhanath_Swami/Lectures/Short_Clips/Creating_Foundation_In_Children_-_Radhanath_Swami.mp3", "Creating_Foundation_In_Children_-_Radhanath_Swami.mp3")</f>
        <v>Creating_Foundation_In_Children_-_Radhanath_Swami.mp3</v>
      </c>
      <c r="D6224" s="24"/>
      <c r="E6224" s="24"/>
    </row>
    <row r="6225">
      <c r="A6225" s="25" t="s">
        <v>18864</v>
      </c>
      <c r="B6225" s="25" t="s">
        <v>18890</v>
      </c>
      <c r="C6225" s="26" t="str">
        <f>HYPERLINK("https://audio.iskcondesiretree.com/02_-_ISKCON_Swamis/ISKCON_Swamis_-_R_to_Y/His_Holiness_Radhanath_Swami/Lectures/Short_Clips/Cultivating_Strong_Intelligence_and_Conviction_-_Radhanath_Swami.mp3", "Cultivating_Strong_Intelligence_and_Conviction_-_Radhanath_Swami.mp3")</f>
        <v>Cultivating_Strong_Intelligence_and_Conviction_-_Radhanath_Swami.mp3</v>
      </c>
      <c r="D6225" s="24"/>
      <c r="E6225" s="24"/>
    </row>
    <row r="6226">
      <c r="A6226" s="25" t="s">
        <v>18864</v>
      </c>
      <c r="B6226" s="25" t="s">
        <v>18891</v>
      </c>
      <c r="C6226" s="26" t="str">
        <f>HYPERLINK("https://audio.iskcondesiretree.com/02_-_ISKCON_Swamis/ISKCON_Swamis_-_R_to_Y/His_Holiness_Radhanath_Swami/Lectures/Short_Clips/Damodarashtakam_-_Radhanath_Swami.mp3", "Damodarashtakam_-_Radhanath_Swami.mp3")</f>
        <v>Damodarashtakam_-_Radhanath_Swami.mp3</v>
      </c>
      <c r="D6226" s="24"/>
      <c r="E6226" s="24"/>
    </row>
    <row r="6227">
      <c r="A6227" s="25" t="s">
        <v>18864</v>
      </c>
      <c r="B6227" s="25" t="s">
        <v>18892</v>
      </c>
      <c r="C6227" s="26" t="str">
        <f>HYPERLINK("https://audio.iskcondesiretree.com/02_-_ISKCON_Swamis/ISKCON_Swamis_-_R_to_Y/His_Holiness_Radhanath_Swami/Lectures/Short_Clips/Deep_Inside_Everyone_Is_Beautiful_-_Radhanath_Swami.mp3", "Deep_Inside_Everyone_Is_Beautiful_-_Radhanath_Swami.mp3")</f>
        <v>Deep_Inside_Everyone_Is_Beautiful_-_Radhanath_Swami.mp3</v>
      </c>
      <c r="D6227" s="24"/>
      <c r="E6227" s="24"/>
    </row>
    <row r="6228">
      <c r="A6228" s="25" t="s">
        <v>18864</v>
      </c>
      <c r="B6228" s="25" t="s">
        <v>18893</v>
      </c>
      <c r="C6228" s="26" t="str">
        <f>HYPERLINK("https://audio.iskcondesiretree.com/02_-_ISKCON_Swamis/ISKCON_Swamis_-_R_to_Y/His_Holiness_Radhanath_Swami/Lectures/Short_Clips/Defining_Yoga_From_Vedic_Perspective.mp3", "Defining_Yoga_From_Vedic_Perspective.mp3")</f>
        <v>Defining_Yoga_From_Vedic_Perspective.mp3</v>
      </c>
      <c r="D6228" s="24"/>
      <c r="E6228" s="24"/>
    </row>
    <row r="6229">
      <c r="A6229" s="25" t="s">
        <v>18864</v>
      </c>
      <c r="B6229" s="25" t="s">
        <v>18894</v>
      </c>
      <c r="C6229" s="26" t="str">
        <f>HYPERLINK("https://audio.iskcondesiretree.com/02_-_ISKCON_Swamis/ISKCON_Swamis_-_R_to_Y/His_Holiness_Radhanath_Swami/Lectures/Short_Clips/Detachment_And_Compassion_-_Radhanath_Swami.mp3", "Detachment_And_Compassion_-_Radhanath_Swami.mp3")</f>
        <v>Detachment_And_Compassion_-_Radhanath_Swami.mp3</v>
      </c>
      <c r="D6229" s="24"/>
      <c r="E6229" s="24"/>
    </row>
    <row r="6230">
      <c r="A6230" s="25" t="s">
        <v>18864</v>
      </c>
      <c r="B6230" s="25" t="s">
        <v>18895</v>
      </c>
      <c r="C6230" s="26" t="str">
        <f>HYPERLINK("https://audio.iskcondesiretree.com/02_-_ISKCON_Swamis/ISKCON_Swamis_-_R_to_Y/His_Holiness_Radhanath_Swami/Lectures/Short_Clips/Devoted_To_Each_Other_-_Radhanath_Swami.mp3", "Devoted_To_Each_Other_-_Radhanath_Swami.mp3")</f>
        <v>Devoted_To_Each_Other_-_Radhanath_Swami.mp3</v>
      </c>
      <c r="D6230" s="24"/>
      <c r="E6230" s="24"/>
    </row>
    <row r="6231">
      <c r="A6231" s="25" t="s">
        <v>18864</v>
      </c>
      <c r="B6231" s="25" t="s">
        <v>18896</v>
      </c>
      <c r="C6231" s="26" t="str">
        <f>HYPERLINK("https://audio.iskcondesiretree.com/02_-_ISKCON_Swamis/ISKCON_Swamis_-_R_to_Y/His_Holiness_Radhanath_Swami/Lectures/Short_Clips/Different_Levels_Of_Perception_-_Radhanath_Swami%20%282%29.mp3", "Different_Levels_Of_Perception_-_Radhanath_Swami%20%282%29.mp3")</f>
        <v>Different_Levels_Of_Perception_-_Radhanath_Swami%20%282%29.mp3</v>
      </c>
      <c r="D6231" s="24"/>
      <c r="E6231" s="24"/>
    </row>
    <row r="6232">
      <c r="A6232" s="25" t="s">
        <v>18864</v>
      </c>
      <c r="B6232" s="25" t="s">
        <v>18897</v>
      </c>
      <c r="C6232" s="26" t="str">
        <f>HYPERLINK("https://audio.iskcondesiretree.com/02_-_ISKCON_Swamis/ISKCON_Swamis_-_R_to_Y/His_Holiness_Radhanath_Swami/Lectures/Short_Clips/Different_Levels_Of_Perception_-_Radhanath_Swami.mp3", "Different_Levels_Of_Perception_-_Radhanath_Swami.mp3")</f>
        <v>Different_Levels_Of_Perception_-_Radhanath_Swami.mp3</v>
      </c>
      <c r="D6232" s="24"/>
      <c r="E6232" s="24"/>
    </row>
    <row r="6233">
      <c r="A6233" s="25" t="s">
        <v>18864</v>
      </c>
      <c r="B6233" s="25" t="s">
        <v>18898</v>
      </c>
      <c r="C6233" s="26" t="str">
        <f>HYPERLINK("https://audio.iskcondesiretree.com/02_-_ISKCON_Swamis/ISKCON_Swamis_-_R_to_Y/His_Holiness_Radhanath_Swami/Lectures/Short_Clips/Dive_Deeper_Into_The_River_Of_Life_-_Radhanath_Swami.mp3", "Dive_Deeper_Into_The_River_Of_Life_-_Radhanath_Swami.mp3")</f>
        <v>Dive_Deeper_Into_The_River_Of_Life_-_Radhanath_Swami.mp3</v>
      </c>
      <c r="D6233" s="24"/>
      <c r="E6233" s="24"/>
    </row>
    <row r="6234">
      <c r="A6234" s="25" t="s">
        <v>18864</v>
      </c>
      <c r="B6234" s="25" t="s">
        <v>18899</v>
      </c>
      <c r="C6234" s="26" t="str">
        <f>HYPERLINK("https://audio.iskcondesiretree.com/02_-_ISKCON_Swamis/ISKCON_Swamis_-_R_to_Y/His_Holiness_Radhanath_Swami/Lectures/Short_Clips/Don%E2%80%99t_Lose_Faith_If_You_Don%E2%80%99t_See_Immediate_Results_-_Radhanath_Swami.mp3", "Don%E2%80%99t_Lose_Faith_If_You_Don%E2%80%99t_See_Immediate_Results_-_Radhanath_Swami.mp3")</f>
        <v>Don%E2%80%99t_Lose_Faith_If_You_Don%E2%80%99t_See_Immediate_Results_-_Radhanath_Swami.mp3</v>
      </c>
      <c r="D6234" s="24"/>
      <c r="E6234" s="24"/>
    </row>
    <row r="6235">
      <c r="A6235" s="25" t="s">
        <v>18864</v>
      </c>
      <c r="B6235" s="25" t="s">
        <v>18900</v>
      </c>
      <c r="C6235" s="26" t="str">
        <f>HYPERLINK("https://audio.iskcondesiretree.com/02_-_ISKCON_Swamis/ISKCON_Swamis_-_R_to_Y/His_Holiness_Radhanath_Swami/Lectures/Short_Clips/Dying_To_Live_-_Radhanath_Swami.mp3", "Dying_To_Live_-_Radhanath_Swami.mp3")</f>
        <v>Dying_To_Live_-_Radhanath_Swami.mp3</v>
      </c>
      <c r="D6235" s="24"/>
      <c r="E6235" s="24"/>
    </row>
    <row r="6236">
      <c r="A6236" s="25" t="s">
        <v>18864</v>
      </c>
      <c r="B6236" s="25" t="s">
        <v>18901</v>
      </c>
      <c r="C6236" s="26" t="str">
        <f>HYPERLINK("https://audio.iskcondesiretree.com/02_-_ISKCON_Swamis/ISKCON_Swamis_-_R_to_Y/His_Holiness_Radhanath_Swami/Lectures/Short_Clips/Even_Good_Intentions_Should_Be_In_Harmony_With_Divine_Plan_-_Radhanath_Swami.mp3", "Even_Good_Intentions_Should_Be_In_Harmony_With_Divine_Plan_-_Radhanath_Swami.mp3")</f>
        <v>Even_Good_Intentions_Should_Be_In_Harmony_With_Divine_Plan_-_Radhanath_Swami.mp3</v>
      </c>
      <c r="D6236" s="24"/>
      <c r="E6236" s="24"/>
    </row>
    <row r="6237">
      <c r="A6237" s="25" t="s">
        <v>18864</v>
      </c>
      <c r="B6237" s="25" t="s">
        <v>18902</v>
      </c>
      <c r="C6237" s="26" t="str">
        <f>HYPERLINK("https://audio.iskcondesiretree.com/02_-_ISKCON_Swamis/ISKCON_Swamis_-_R_to_Y/His_Holiness_Radhanath_Swami/Lectures/Short_Clips/Every_Living_Being_Is_Our_Neighbour_-_Radhanath_Swami.mp3", "Every_Living_Being_Is_Our_Neighbour_-_Radhanath_Swami.mp3")</f>
        <v>Every_Living_Being_Is_Our_Neighbour_-_Radhanath_Swami.mp3</v>
      </c>
      <c r="D6237" s="24"/>
      <c r="E6237" s="24"/>
    </row>
    <row r="6238">
      <c r="A6238" s="25" t="s">
        <v>18864</v>
      </c>
      <c r="B6238" s="25" t="s">
        <v>18903</v>
      </c>
      <c r="C6238" s="26" t="str">
        <f>HYPERLINK("https://audio.iskcondesiretree.com/02_-_ISKCON_Swamis/ISKCON_Swamis_-_R_to_Y/His_Holiness_Radhanath_Swami/Lectures/Short_Clips/Every_Religious_Path_Is_To_Clean_Our_Heart_-_Radhanath_Swami.mp3", "Every_Religious_Path_Is_To_Clean_Our_Heart_-_Radhanath_Swami.mp3")</f>
        <v>Every_Religious_Path_Is_To_Clean_Our_Heart_-_Radhanath_Swami.mp3</v>
      </c>
      <c r="D6238" s="24"/>
      <c r="E6238" s="24"/>
    </row>
    <row r="6239">
      <c r="A6239" s="25" t="s">
        <v>18864</v>
      </c>
      <c r="B6239" s="25" t="s">
        <v>18904</v>
      </c>
      <c r="C6239" s="26" t="str">
        <f>HYPERLINK("https://audio.iskcondesiretree.com/02_-_ISKCON_Swamis/ISKCON_Swamis_-_R_to_Y/His_Holiness_Radhanath_Swami/Lectures/Short_Clips/Every_Situation_Is_An_Opportunity_To_Express_Love_For_Krishna_-_Radhanath_Swami.mp3", "Every_Situation_Is_An_Opportunity_To_Express_Love_For_Krishna_-_Radhanath_Swami.mp3")</f>
        <v>Every_Situation_Is_An_Opportunity_To_Express_Love_For_Krishna_-_Radhanath_Swami.mp3</v>
      </c>
      <c r="D6239" s="24"/>
      <c r="E6239" s="24"/>
    </row>
    <row r="6240">
      <c r="A6240" s="25" t="s">
        <v>18864</v>
      </c>
      <c r="B6240" s="25" t="s">
        <v>18905</v>
      </c>
      <c r="C6240" s="26" t="str">
        <f>HYPERLINK("https://audio.iskcondesiretree.com/02_-_ISKCON_Swamis/ISKCON_Swamis_-_R_to_Y/His_Holiness_Radhanath_Swami/Lectures/Short_Clips/Experience_the_Higher_Taste_-_Radhanath_Swami.mp3", "Experience_the_Higher_Taste_-_Radhanath_Swami.mp3")</f>
        <v>Experience_the_Higher_Taste_-_Radhanath_Swami.mp3</v>
      </c>
      <c r="D6240" s="24"/>
      <c r="E6240" s="24"/>
    </row>
    <row r="6241">
      <c r="A6241" s="25" t="s">
        <v>18864</v>
      </c>
      <c r="B6241" s="25" t="s">
        <v>18906</v>
      </c>
      <c r="C6241" s="26" t="str">
        <f>HYPERLINK("https://audio.iskcondesiretree.com/02_-_ISKCON_Swamis/ISKCON_Swamis_-_R_to_Y/His_Holiness_Radhanath_Swami/Lectures/Short_Clips/Failures_Are_Stepping_Stones_To_Success_-_Radhanath_Swami.mp3", "Failures_Are_Stepping_Stones_To_Success_-_Radhanath_Swami.mp3")</f>
        <v>Failures_Are_Stepping_Stones_To_Success_-_Radhanath_Swami.mp3</v>
      </c>
      <c r="D6241" s="24"/>
      <c r="E6241" s="24"/>
    </row>
    <row r="6242">
      <c r="A6242" s="25" t="s">
        <v>18864</v>
      </c>
      <c r="B6242" s="25" t="s">
        <v>18907</v>
      </c>
      <c r="C6242" s="26" t="str">
        <f>HYPERLINK("https://audio.iskcondesiretree.com/02_-_ISKCON_Swamis/ISKCON_Swamis_-_R_to_Y/His_Holiness_Radhanath_Swami/Lectures/Short_Clips/Fear_And_The_Way_Out_Of_It_-_Radhanath_Swami.mp3", "Fear_And_The_Way_Out_Of_It_-_Radhanath_Swami.mp3")</f>
        <v>Fear_And_The_Way_Out_Of_It_-_Radhanath_Swami.mp3</v>
      </c>
      <c r="D6242" s="24"/>
      <c r="E6242" s="24"/>
    </row>
    <row r="6243">
      <c r="A6243" s="25" t="s">
        <v>18864</v>
      </c>
      <c r="B6243" s="25" t="s">
        <v>18908</v>
      </c>
      <c r="C6243" s="26" t="str">
        <f>HYPERLINK("https://audio.iskcondesiretree.com/02_-_ISKCON_Swamis/ISKCON_Swamis_-_R_to_Y/His_Holiness_Radhanath_Swami/Lectures/Short_Clips/For_Relationships_To_Have_Deep_Substance_Meaning_And_Fulfillment_-_Radhanath_Swami.mp3", "For_Relationships_To_Have_Deep_Substance_Meaning_And_Fulfillment_-_Radhanath_Swami.mp3")</f>
        <v>For_Relationships_To_Have_Deep_Substance_Meaning_And_Fulfillment_-_Radhanath_Swami.mp3</v>
      </c>
      <c r="D6243" s="24"/>
      <c r="E6243" s="24"/>
    </row>
    <row r="6244">
      <c r="A6244" s="25" t="s">
        <v>18864</v>
      </c>
      <c r="B6244" s="25" t="s">
        <v>18909</v>
      </c>
      <c r="C6244" s="26" t="str">
        <f>HYPERLINK("https://audio.iskcondesiretree.com/02_-_ISKCON_Swamis/ISKCON_Swamis_-_R_to_Y/His_Holiness_Radhanath_Swami/Lectures/Short_Clips/Forgiveness-The_Basis_Of_All_Relatinoships_-_Radhanath_Swami.mp3", "Forgiveness-The_Basis_Of_All_Relatinoships_-_Radhanath_Swami.mp3")</f>
        <v>Forgiveness-The_Basis_Of_All_Relatinoships_-_Radhanath_Swami.mp3</v>
      </c>
      <c r="D6244" s="24"/>
      <c r="E6244" s="24"/>
    </row>
    <row r="6245">
      <c r="A6245" s="25" t="s">
        <v>18864</v>
      </c>
      <c r="B6245" s="25" t="s">
        <v>18910</v>
      </c>
      <c r="C6245" s="26" t="str">
        <f>HYPERLINK("https://audio.iskcondesiretree.com/02_-_ISKCON_Swamis/ISKCON_Swamis_-_R_to_Y/His_Holiness_Radhanath_Swami/Lectures/Short_Clips/From_Low_Self_Esteem_To_Self_Confidence_-_Radhanath_Swami.mp3", "From_Low_Self_Esteem_To_Self_Confidence_-_Radhanath_Swami.mp3")</f>
        <v>From_Low_Self_Esteem_To_Self_Confidence_-_Radhanath_Swami.mp3</v>
      </c>
      <c r="D6245" s="24"/>
      <c r="E6245" s="24"/>
    </row>
    <row r="6246">
      <c r="A6246" s="25" t="s">
        <v>18864</v>
      </c>
      <c r="B6246" s="25" t="s">
        <v>18911</v>
      </c>
      <c r="C6246" s="26" t="str">
        <f>HYPERLINK("https://audio.iskcondesiretree.com/02_-_ISKCON_Swamis/ISKCON_Swamis_-_R_to_Y/His_Holiness_Radhanath_Swami/Lectures/Short_Clips/From_Ritual_to_Spiritual_-_Radhanath_Swami.mp3", "From_Ritual_to_Spiritual_-_Radhanath_Swami.mp3")</f>
        <v>From_Ritual_to_Spiritual_-_Radhanath_Swami.mp3</v>
      </c>
      <c r="D6246" s="24"/>
      <c r="E6246" s="24"/>
    </row>
    <row r="6247">
      <c r="A6247" s="25" t="s">
        <v>18864</v>
      </c>
      <c r="B6247" s="25" t="s">
        <v>18912</v>
      </c>
      <c r="C6247" s="26" t="str">
        <f>HYPERLINK("https://audio.iskcondesiretree.com/02_-_ISKCON_Swamis/ISKCON_Swamis_-_R_to_Y/His_Holiness_Radhanath_Swami/Lectures/Short_Clips/Fundamental_Need_Of_The_World_-_Radhanath_Swami.mp3", "Fundamental_Need_Of_The_World_-_Radhanath_Swami.mp3")</f>
        <v>Fundamental_Need_Of_The_World_-_Radhanath_Swami.mp3</v>
      </c>
      <c r="D6247" s="24"/>
      <c r="E6247" s="24"/>
    </row>
    <row r="6248">
      <c r="A6248" s="25" t="s">
        <v>18864</v>
      </c>
      <c r="B6248" s="25" t="s">
        <v>18913</v>
      </c>
      <c r="C6248" s="26" t="str">
        <f>HYPERLINK("https://audio.iskcondesiretree.com/02_-_ISKCON_Swamis/ISKCON_Swamis_-_R_to_Y/His_Holiness_Radhanath_Swami/Lectures/Short_Clips/Glory_Of_The_Holy_Names_-_Radhanath_Swami.mp3", "Glory_Of_The_Holy_Names_-_Radhanath_Swami.mp3")</f>
        <v>Glory_Of_The_Holy_Names_-_Radhanath_Swami.mp3</v>
      </c>
      <c r="D6248" s="24"/>
      <c r="E6248" s="24"/>
    </row>
    <row r="6249">
      <c r="A6249" s="25" t="s">
        <v>18864</v>
      </c>
      <c r="B6249" s="25" t="s">
        <v>18914</v>
      </c>
      <c r="C6249" s="26" t="str">
        <f>HYPERLINK("https://audio.iskcondesiretree.com/02_-_ISKCON_Swamis/ISKCON_Swamis_-_R_to_Y/His_Holiness_Radhanath_Swami/Lectures/Short_Clips/Go_Deep_Connect_To_Your_Real_Self_-_Radhanath_Swami.mp3", "Go_Deep_Connect_To_Your_Real_Self_-_Radhanath_Swami.mp3")</f>
        <v>Go_Deep_Connect_To_Your_Real_Self_-_Radhanath_Swami.mp3</v>
      </c>
      <c r="D6249" s="24"/>
      <c r="E6249" s="24"/>
    </row>
    <row r="6250">
      <c r="A6250" s="25" t="s">
        <v>18864</v>
      </c>
      <c r="B6250" s="25" t="s">
        <v>18915</v>
      </c>
      <c r="C6250" s="26" t="str">
        <f>HYPERLINK("https://audio.iskcondesiretree.com/02_-_ISKCON_Swamis/ISKCON_Swamis_-_R_to_Y/His_Holiness_Radhanath_Swami/Lectures/Short_Clips/God%2C_The_Original_Power_House_-_Radhanath_Swami.mp3", "God%2C_The_Original_Power_House_-_Radhanath_Swami.mp3")</f>
        <v>God%2C_The_Original_Power_House_-_Radhanath_Swami.mp3</v>
      </c>
      <c r="D6250" s="24"/>
      <c r="E6250" s="24"/>
    </row>
    <row r="6251">
      <c r="A6251" s="25" t="s">
        <v>18864</v>
      </c>
      <c r="B6251" s="25" t="s">
        <v>18916</v>
      </c>
      <c r="C6251" s="26" t="str">
        <f>HYPERLINK("https://audio.iskcondesiretree.com/02_-_ISKCON_Swamis/ISKCON_Swamis_-_R_to_Y/His_Holiness_Radhanath_Swami/Lectures/Short_Clips/God_And_Terrorism_-_Radhanath_Swami.mp3", "God_And_Terrorism_-_Radhanath_Swami.mp3")</f>
        <v>God_And_Terrorism_-_Radhanath_Swami.mp3</v>
      </c>
      <c r="D6251" s="24"/>
      <c r="E6251" s="24"/>
    </row>
    <row r="6252">
      <c r="A6252" s="25" t="s">
        <v>18864</v>
      </c>
      <c r="B6252" s="25" t="s">
        <v>18917</v>
      </c>
      <c r="C6252" s="26" t="str">
        <f>HYPERLINK("https://audio.iskcondesiretree.com/02_-_ISKCON_Swamis/ISKCON_Swamis_-_R_to_Y/His_Holiness_Radhanath_Swami/Lectures/Short_Clips/Golden_rule_for_kirtan_-_Radhanath_Swami.mp3", "Golden_rule_for_kirtan_-_Radhanath_Swami.mp3")</f>
        <v>Golden_rule_for_kirtan_-_Radhanath_Swami.mp3</v>
      </c>
      <c r="D6252" s="24"/>
      <c r="E6252" s="24"/>
    </row>
    <row r="6253">
      <c r="A6253" s="25" t="s">
        <v>18864</v>
      </c>
      <c r="B6253" s="25" t="s">
        <v>18918</v>
      </c>
      <c r="C6253" s="26" t="str">
        <f>HYPERLINK("https://audio.iskcondesiretree.com/02_-_ISKCON_Swamis/ISKCON_Swamis_-_R_to_Y/His_Holiness_Radhanath_Swami/Lectures/Short_Clips/Gratitude_And_Ingratitude_-_Radhanath_Swami.mp3", "Gratitude_And_Ingratitude_-_Radhanath_Swami.mp3")</f>
        <v>Gratitude_And_Ingratitude_-_Radhanath_Swami.mp3</v>
      </c>
      <c r="D6253" s="24"/>
      <c r="E6253" s="24"/>
    </row>
    <row r="6254">
      <c r="A6254" s="25" t="s">
        <v>18864</v>
      </c>
      <c r="B6254" s="25" t="s">
        <v>18919</v>
      </c>
      <c r="C6254" s="26" t="str">
        <f>HYPERLINK("https://audio.iskcondesiretree.com/02_-_ISKCON_Swamis/ISKCON_Swamis_-_R_to_Y/His_Holiness_Radhanath_Swami/Lectures/Short_Clips/Greatest_Need_In_Today%E2%80%99s_Society_Is_People_Who_Live_By_A_Good_Example_-_Radhanath_Swami.mp3", "Greatest_Need_In_Today%E2%80%99s_Society_Is_People_Who_Live_By_A_Good_Example_-_Radhanath_Swami.mp3")</f>
        <v>Greatest_Need_In_Today%E2%80%99s_Society_Is_People_Who_Live_By_A_Good_Example_-_Radhanath_Swami.mp3</v>
      </c>
      <c r="D6254" s="24"/>
      <c r="E6254" s="24"/>
    </row>
    <row r="6255">
      <c r="A6255" s="25" t="s">
        <v>18864</v>
      </c>
      <c r="B6255" s="25" t="s">
        <v>18920</v>
      </c>
      <c r="C6255" s="26" t="str">
        <f>HYPERLINK("https://audio.iskcondesiretree.com/02_-_ISKCON_Swamis/ISKCON_Swamis_-_R_to_Y/His_Holiness_Radhanath_Swami/Lectures/Short_Clips/Greatest_Need_Of_Today_is_to_Tolerate_Sectarianism_-_Radhanath_Swami.mp3", "Greatest_Need_Of_Today_is_to_Tolerate_Sectarianism_-_Radhanath_Swami.mp3")</f>
        <v>Greatest_Need_Of_Today_is_to_Tolerate_Sectarianism_-_Radhanath_Swami.mp3</v>
      </c>
      <c r="D6255" s="24"/>
      <c r="E6255" s="24"/>
    </row>
    <row r="6256">
      <c r="A6256" s="25" t="s">
        <v>18864</v>
      </c>
      <c r="B6256" s="25" t="s">
        <v>18921</v>
      </c>
      <c r="C6256" s="26" t="str">
        <f>HYPERLINK("https://audio.iskcondesiretree.com/02_-_ISKCON_Swamis/ISKCON_Swamis_-_R_to_Y/His_Holiness_Radhanath_Swami/Lectures/Short_Clips/Greatness_is_Ability_To_Tolerate_Provoking_Situations_-_Radhanath_Swami.mp3", "Greatness_is_Ability_To_Tolerate_Provoking_Situations_-_Radhanath_Swami.mp3")</f>
        <v>Greatness_is_Ability_To_Tolerate_Provoking_Situations_-_Radhanath_Swami.mp3</v>
      </c>
      <c r="D6256" s="24"/>
      <c r="E6256" s="24"/>
    </row>
    <row r="6257">
      <c r="A6257" s="25" t="s">
        <v>18864</v>
      </c>
      <c r="B6257" s="25" t="s">
        <v>18922</v>
      </c>
      <c r="C6257" s="26" t="str">
        <f>HYPERLINK("https://audio.iskcondesiretree.com/02_-_ISKCON_Swamis/ISKCON_Swamis_-_R_to_Y/His_Holiness_Radhanath_Swami/Lectures/Short_Clips/Habits_Cover_Our_Logic_And_Intelligence_-_Radhanath_Swami.mp3", "Habits_Cover_Our_Logic_And_Intelligence_-_Radhanath_Swami.mp3")</f>
        <v>Habits_Cover_Our_Logic_And_Intelligence_-_Radhanath_Swami.mp3</v>
      </c>
      <c r="D6257" s="24"/>
      <c r="E6257" s="24"/>
    </row>
    <row r="6258">
      <c r="A6258" s="25" t="s">
        <v>18864</v>
      </c>
      <c r="B6258" s="25" t="s">
        <v>18923</v>
      </c>
      <c r="C6258" s="26" t="str">
        <f>HYPERLINK("https://audio.iskcondesiretree.com/02_-_ISKCON_Swamis/ISKCON_Swamis_-_R_to_Y/His_Holiness_Radhanath_Swami/Lectures/Short_Clips/Hanuman%27s_Yoga_-_Radhanath_Swami.mp3", "Hanuman%27s_Yoga_-_Radhanath_Swami.mp3")</f>
        <v>Hanuman%27s_Yoga_-_Radhanath_Swami.mp3</v>
      </c>
      <c r="D6258" s="24"/>
      <c r="E6258" s="24"/>
    </row>
    <row r="6259">
      <c r="A6259" s="25" t="s">
        <v>18864</v>
      </c>
      <c r="B6259" s="25" t="s">
        <v>18924</v>
      </c>
      <c r="C6259" s="26" t="str">
        <f>HYPERLINK("https://audio.iskcondesiretree.com/02_-_ISKCON_Swamis/ISKCON_Swamis_-_R_to_Y/His_Holiness_Radhanath_Swami/Lectures/Short_Clips/Have_Faith_In_The_Power_Glory_And_Grace_Of_The_Supreme_-_Radhanath_Swami.mp3", "Have_Faith_In_The_Power_Glory_And_Grace_Of_The_Supreme_-_Radhanath_Swami.mp3")</f>
        <v>Have_Faith_In_The_Power_Glory_And_Grace_Of_The_Supreme_-_Radhanath_Swami.mp3</v>
      </c>
      <c r="D6259" s="24"/>
      <c r="E6259" s="24"/>
    </row>
    <row r="6260">
      <c r="A6260" s="25" t="s">
        <v>18864</v>
      </c>
      <c r="B6260" s="25" t="s">
        <v>18925</v>
      </c>
      <c r="C6260" s="26" t="str">
        <f>HYPERLINK("https://audio.iskcondesiretree.com/02_-_ISKCON_Swamis/ISKCON_Swamis_-_R_to_Y/His_Holiness_Radhanath_Swami/Lectures/Short_Clips/Hell_into_Heaven_and_Heaven_into_Hell_-_Radhanath_Swami.mp3", "Hell_into_Heaven_and_Heaven_into_Hell_-_Radhanath_Swami.mp3")</f>
        <v>Hell_into_Heaven_and_Heaven_into_Hell_-_Radhanath_Swami.mp3</v>
      </c>
      <c r="D6260" s="24"/>
      <c r="E6260" s="24"/>
    </row>
    <row r="6261">
      <c r="A6261" s="25" t="s">
        <v>18864</v>
      </c>
      <c r="B6261" s="25" t="s">
        <v>18926</v>
      </c>
      <c r="C6261" s="26" t="str">
        <f>HYPERLINK("https://audio.iskcondesiretree.com/02_-_ISKCON_Swamis/ISKCON_Swamis_-_R_to_Y/His_Holiness_Radhanath_Swami/Lectures/Short_Clips/Here_is_the_holy_name_-_Radhanath_Swami.mp3", "Here_is_the_holy_name_-_Radhanath_Swami.mp3")</f>
        <v>Here_is_the_holy_name_-_Radhanath_Swami.mp3</v>
      </c>
      <c r="D6261" s="24"/>
      <c r="E6261" s="24"/>
    </row>
    <row r="6262">
      <c r="A6262" s="25" t="s">
        <v>18864</v>
      </c>
      <c r="B6262" s="25" t="s">
        <v>18927</v>
      </c>
      <c r="C6262" s="26" t="str">
        <f>HYPERLINK("https://audio.iskcondesiretree.com/02_-_ISKCON_Swamis/ISKCON_Swamis_-_R_to_Y/His_Holiness_Radhanath_Swami/Lectures/Short_Clips/How_Rich_Are_You_-_Radhanath_Swami.mp3", "How_Rich_Are_You_-_Radhanath_Swami.mp3")</f>
        <v>How_Rich_Are_You_-_Radhanath_Swami.mp3</v>
      </c>
      <c r="D6262" s="24"/>
      <c r="E6262" s="24"/>
    </row>
    <row r="6263">
      <c r="A6263" s="25" t="s">
        <v>18864</v>
      </c>
      <c r="B6263" s="25" t="s">
        <v>18928</v>
      </c>
      <c r="C6263" s="26" t="str">
        <f>HYPERLINK("https://audio.iskcondesiretree.com/02_-_ISKCON_Swamis/ISKCON_Swamis_-_R_to_Y/His_Holiness_Radhanath_Swami/Lectures/Short_Clips/How_Spirituality_Can_Solve_All_World_Problems_-_Radhanath_Swami.mp3", "How_Spirituality_Can_Solve_All_World_Problems_-_Radhanath_Swami.mp3")</f>
        <v>How_Spirituality_Can_Solve_All_World_Problems_-_Radhanath_Swami.mp3</v>
      </c>
      <c r="D6263" s="24"/>
      <c r="E6263" s="24"/>
    </row>
    <row r="6264">
      <c r="A6264" s="25" t="s">
        <v>18864</v>
      </c>
      <c r="B6264" s="25" t="s">
        <v>18929</v>
      </c>
      <c r="C6264" s="26" t="str">
        <f>HYPERLINK("https://audio.iskcondesiretree.com/02_-_ISKCON_Swamis/ISKCON_Swamis_-_R_to_Y/His_Holiness_Radhanath_Swami/Lectures/Short_Clips/How_To_Deal_With_Ecological_Disease_-_Radhanath_Swami.mp3", "How_To_Deal_With_Ecological_Disease_-_Radhanath_Swami.mp3")</f>
        <v>How_To_Deal_With_Ecological_Disease_-_Radhanath_Swami.mp3</v>
      </c>
      <c r="D6264" s="24"/>
      <c r="E6264" s="24"/>
    </row>
    <row r="6265">
      <c r="A6265" s="25" t="s">
        <v>18864</v>
      </c>
      <c r="B6265" s="25" t="s">
        <v>18930</v>
      </c>
      <c r="C6265" s="26" t="str">
        <f>HYPERLINK("https://audio.iskcondesiretree.com/02_-_ISKCON_Swamis/ISKCON_Swamis_-_R_to_Y/His_Holiness_Radhanath_Swami/Lectures/Short_Clips/How_To_Deal_With_Frustrations_-_Radhanath_Swami.mp3", "How_To_Deal_With_Frustrations_-_Radhanath_Swami.mp3")</f>
        <v>How_To_Deal_With_Frustrations_-_Radhanath_Swami.mp3</v>
      </c>
      <c r="D6265" s="24"/>
      <c r="E6265" s="24"/>
    </row>
    <row r="6266">
      <c r="A6266" s="25" t="s">
        <v>18864</v>
      </c>
      <c r="B6266" s="25" t="s">
        <v>18931</v>
      </c>
      <c r="C6266" s="26" t="str">
        <f>HYPERLINK("https://audio.iskcondesiretree.com/02_-_ISKCON_Swamis/ISKCON_Swamis_-_R_to_Y/His_Holiness_Radhanath_Swami/Lectures/Short_Clips/How_To_Transform_Every_Situation_Into_An_Opportunity_For_Devotional_Service_-_Radhanath_Swami.mp3", "How_To_Transform_Every_Situation_Into_An_Opportunity_For_Devotional_Service_-_Radhanath_Swami.mp3")</f>
        <v>How_To_Transform_Every_Situation_Into_An_Opportunity_For_Devotional_Service_-_Radhanath_Swami.mp3</v>
      </c>
      <c r="D6266" s="24"/>
      <c r="E6266" s="24"/>
    </row>
    <row r="6267">
      <c r="A6267" s="25" t="s">
        <v>18864</v>
      </c>
      <c r="B6267" s="25" t="s">
        <v>18932</v>
      </c>
      <c r="C6267" s="26" t="str">
        <f>HYPERLINK("https://audio.iskcondesiretree.com/02_-_ISKCON_Swamis/ISKCON_Swamis_-_R_to_Y/His_Holiness_Radhanath_Swami/Lectures/Short_Clips/Humility_-_Radhanath_Swami.mp3", "Humility_-_Radhanath_Swami.mp3")</f>
        <v>Humility_-_Radhanath_Swami.mp3</v>
      </c>
      <c r="D6267" s="24"/>
      <c r="E6267" s="24"/>
    </row>
    <row r="6268">
      <c r="A6268" s="25" t="s">
        <v>18864</v>
      </c>
      <c r="B6268" s="25" t="s">
        <v>18933</v>
      </c>
      <c r="C6268" s="26" t="str">
        <f>HYPERLINK("https://audio.iskcondesiretree.com/02_-_ISKCON_Swamis/ISKCON_Swamis_-_R_to_Y/His_Holiness_Radhanath_Swami/Lectures/Short_Clips/Humility_Of_Lord_Chaitanya_-_Radhanath_Swami.mp3", "Humility_Of_Lord_Chaitanya_-_Radhanath_Swami.mp3")</f>
        <v>Humility_Of_Lord_Chaitanya_-_Radhanath_Swami.mp3</v>
      </c>
      <c r="D6268" s="24"/>
      <c r="E6268" s="24"/>
    </row>
    <row r="6269">
      <c r="A6269" s="25" t="s">
        <v>18864</v>
      </c>
      <c r="B6269" s="25" t="s">
        <v>18934</v>
      </c>
      <c r="C6269" s="26" t="str">
        <f>HYPERLINK("https://audio.iskcondesiretree.com/02_-_ISKCON_Swamis/ISKCON_Swamis_-_R_to_Y/His_Holiness_Radhanath_Swami/Lectures/Short_Clips/Hungry_Heart_Of_A_Child_-_Radhanath_Swami.mp3", "Hungry_Heart_Of_A_Child_-_Radhanath_Swami.mp3")</f>
        <v>Hungry_Heart_Of_A_Child_-_Radhanath_Swami.mp3</v>
      </c>
      <c r="D6269" s="24"/>
      <c r="E6269" s="24"/>
    </row>
    <row r="6270">
      <c r="A6270" s="25" t="s">
        <v>18864</v>
      </c>
      <c r="B6270" s="25" t="s">
        <v>18935</v>
      </c>
      <c r="C6270" s="26" t="str">
        <f>HYPERLINK("https://audio.iskcondesiretree.com/02_-_ISKCON_Swamis/ISKCON_Swamis_-_R_to_Y/His_Holiness_Radhanath_Swami/Lectures/Short_Clips/Hurricanes_Of_The_Mind_-_Radhanath_Swami.mp3", "Hurricanes_Of_The_Mind_-_Radhanath_Swami.mp3")</f>
        <v>Hurricanes_Of_The_Mind_-_Radhanath_Swami.mp3</v>
      </c>
      <c r="D6270" s="24"/>
      <c r="E6270" s="24"/>
    </row>
    <row r="6271">
      <c r="A6271" s="25" t="s">
        <v>18864</v>
      </c>
      <c r="B6271" s="25" t="s">
        <v>18936</v>
      </c>
      <c r="C6271" s="26" t="str">
        <f>HYPERLINK("https://audio.iskcondesiretree.com/02_-_ISKCON_Swamis/ISKCON_Swamis_-_R_to_Y/His_Holiness_Radhanath_Swami/Lectures/Short_Clips/Hurt_Yourself_By_Holding_Hatred_-_Radhanath_Swami.mp3", "Hurt_Yourself_By_Holding_Hatred_-_Radhanath_Swami.mp3")</f>
        <v>Hurt_Yourself_By_Holding_Hatred_-_Radhanath_Swami.mp3</v>
      </c>
      <c r="D6271" s="24"/>
      <c r="E6271" s="24"/>
    </row>
    <row r="6272">
      <c r="A6272" s="25" t="s">
        <v>18864</v>
      </c>
      <c r="B6272" s="25" t="s">
        <v>18937</v>
      </c>
      <c r="C6272" s="26" t="str">
        <f>HYPERLINK("https://audio.iskcondesiretree.com/02_-_ISKCON_Swamis/ISKCON_Swamis_-_R_to_Y/His_Holiness_Radhanath_Swami/Lectures/Short_Clips/Impact_Of_Technology_And_A_Solution_-_Radhanath_Swami.mp3", "Impact_Of_Technology_And_A_Solution_-_Radhanath_Swami.mp3")</f>
        <v>Impact_Of_Technology_And_A_Solution_-_Radhanath_Swami.mp3</v>
      </c>
      <c r="D6272" s="24"/>
      <c r="E6272" s="24"/>
    </row>
    <row r="6273">
      <c r="A6273" s="25" t="s">
        <v>18864</v>
      </c>
      <c r="B6273" s="25" t="s">
        <v>18938</v>
      </c>
      <c r="C6273" s="26" t="str">
        <f>HYPERLINK("https://audio.iskcondesiretree.com/02_-_ISKCON_Swamis/ISKCON_Swamis_-_R_to_Y/His_Holiness_Radhanath_Swami/Lectures/Short_Clips/Impossible_Is_A_Word_In_A_Fools_Dictionary_-_Radhanath_Swami.mp3", "Impossible_Is_A_Word_In_A_Fools_Dictionary_-_Radhanath_Swami.mp3")</f>
        <v>Impossible_Is_A_Word_In_A_Fools_Dictionary_-_Radhanath_Swami.mp3</v>
      </c>
      <c r="D6273" s="24"/>
      <c r="E6273" s="24"/>
    </row>
    <row r="6274">
      <c r="A6274" s="25" t="s">
        <v>18864</v>
      </c>
      <c r="B6274" s="25" t="s">
        <v>18939</v>
      </c>
      <c r="C6274" s="26" t="str">
        <f>HYPERLINK("https://audio.iskcondesiretree.com/02_-_ISKCON_Swamis/ISKCON_Swamis_-_R_to_Y/His_Holiness_Radhanath_Swami/Lectures/Short_Clips/Inspiration_From_Baseball_Player_-_Radhanath_Swami.mp3", "Inspiration_From_Baseball_Player_-_Radhanath_Swami.mp3")</f>
        <v>Inspiration_From_Baseball_Player_-_Radhanath_Swami.mp3</v>
      </c>
      <c r="D6274" s="24"/>
      <c r="E6274" s="24"/>
    </row>
    <row r="6275">
      <c r="A6275" s="25" t="s">
        <v>18864</v>
      </c>
      <c r="B6275" s="25" t="s">
        <v>18940</v>
      </c>
      <c r="C6275" s="26" t="str">
        <f>HYPERLINK("https://audio.iskcondesiretree.com/02_-_ISKCON_Swamis/ISKCON_Swamis_-_R_to_Y/His_Holiness_Radhanath_Swami/Lectures/Short_Clips/Integrity_Always_Wins_-_Radhanath_Swami.mp3", "Integrity_Always_Wins_-_Radhanath_Swami.mp3")</f>
        <v>Integrity_Always_Wins_-_Radhanath_Swami.mp3</v>
      </c>
      <c r="D6275" s="24"/>
      <c r="E6275" s="24"/>
    </row>
    <row r="6276">
      <c r="A6276" s="25" t="s">
        <v>18864</v>
      </c>
      <c r="B6276" s="25" t="s">
        <v>18941</v>
      </c>
      <c r="C6276" s="26" t="str">
        <f>HYPERLINK("https://audio.iskcondesiretree.com/02_-_ISKCON_Swamis/ISKCON_Swamis_-_R_to_Y/His_Holiness_Radhanath_Swami/Lectures/Short_Clips/Is_Technology_Good_Or_Bad_-_Radhanath_Swami.mp3", "Is_Technology_Good_Or_Bad_-_Radhanath_Swami.mp3")</f>
        <v>Is_Technology_Good_Or_Bad_-_Radhanath_Swami.mp3</v>
      </c>
      <c r="D6276" s="24"/>
      <c r="E6276" s="24"/>
    </row>
    <row r="6277">
      <c r="A6277" s="25" t="s">
        <v>18864</v>
      </c>
      <c r="B6277" s="25" t="s">
        <v>18942</v>
      </c>
      <c r="C6277" s="26" t="str">
        <f>HYPERLINK("https://audio.iskcondesiretree.com/02_-_ISKCON_Swamis/ISKCON_Swamis_-_R_to_Y/His_Holiness_Radhanath_Swami/Lectures/Short_Clips/Is_your_mind_your_friend_or_enemy_-_Radhanath_Swami.mp3", "Is_your_mind_your_friend_or_enemy_-_Radhanath_Swami.mp3")</f>
        <v>Is_your_mind_your_friend_or_enemy_-_Radhanath_Swami.mp3</v>
      </c>
      <c r="D6277" s="24"/>
      <c r="E6277" s="24"/>
    </row>
    <row r="6278">
      <c r="A6278" s="25" t="s">
        <v>18864</v>
      </c>
      <c r="B6278" s="25" t="s">
        <v>18943</v>
      </c>
      <c r="C6278" s="26" t="str">
        <f>HYPERLINK("https://audio.iskcondesiretree.com/02_-_ISKCON_Swamis/ISKCON_Swamis_-_R_to_Y/His_Holiness_Radhanath_Swami/Lectures/Short_Clips/It%27s_Beautiful_How_Saintly_People_Think_-_Radhanath_Swami.mp3", "It%27s_Beautiful_How_Saintly_People_Think_-_Radhanath_Swami.mp3")</f>
        <v>It%27s_Beautiful_How_Saintly_People_Think_-_Radhanath_Swami.mp3</v>
      </c>
      <c r="D6278" s="24"/>
      <c r="E6278" s="24"/>
    </row>
    <row r="6279">
      <c r="A6279" s="25" t="s">
        <v>18864</v>
      </c>
      <c r="B6279" s="25" t="s">
        <v>18944</v>
      </c>
      <c r="C6279" s="26" t="str">
        <f>HYPERLINK("https://audio.iskcondesiretree.com/02_-_ISKCON_Swamis/ISKCON_Swamis_-_R_to_Y/His_Holiness_Radhanath_Swami/Lectures/Short_Clips/It_doesnt_get_any_better_than_this_-_Radhanath_Swami.mp3", "It_doesnt_get_any_better_than_this_-_Radhanath_Swami.mp3")</f>
        <v>It_doesnt_get_any_better_than_this_-_Radhanath_Swami.mp3</v>
      </c>
      <c r="D6279" s="24"/>
      <c r="E6279" s="24"/>
    </row>
    <row r="6280">
      <c r="A6280" s="25" t="s">
        <v>18864</v>
      </c>
      <c r="B6280" s="25" t="s">
        <v>18945</v>
      </c>
      <c r="C6280" s="26" t="str">
        <f>HYPERLINK("https://audio.iskcondesiretree.com/02_-_ISKCON_Swamis/ISKCON_Swamis_-_R_to_Y/His_Holiness_Radhanath_Swami/Lectures/Short_Clips/It_doesn%E2%80%99t_matter_where_you_stay_-_Radhanath_Swami.mp3", "It_doesn%E2%80%99t_matter_where_you_stay_-_Radhanath_Swami.mp3")</f>
        <v>It_doesn%E2%80%99t_matter_where_you_stay_-_Radhanath_Swami.mp3</v>
      </c>
      <c r="D6280" s="24"/>
      <c r="E6280" s="24"/>
    </row>
    <row r="6281">
      <c r="A6281" s="25" t="s">
        <v>18864</v>
      </c>
      <c r="B6281" s="25" t="s">
        <v>18946</v>
      </c>
      <c r="C6281" s="26" t="str">
        <f>HYPERLINK("https://audio.iskcondesiretree.com/02_-_ISKCON_Swamis/ISKCON_Swamis_-_R_to_Y/His_Holiness_Radhanath_Swami/Lectures/Short_Clips/It%E2%80%99s_Crucial_To_Have_Spiritual_Foundation_-_Radhanath_Swami.mp3", "It%E2%80%99s_Crucial_To_Have_Spiritual_Foundation_-_Radhanath_Swami.mp3")</f>
        <v>It%E2%80%99s_Crucial_To_Have_Spiritual_Foundation_-_Radhanath_Swami.mp3</v>
      </c>
      <c r="D6281" s="24"/>
      <c r="E6281" s="24"/>
    </row>
    <row r="6282">
      <c r="A6282" s="25" t="s">
        <v>18864</v>
      </c>
      <c r="B6282" s="25" t="s">
        <v>18947</v>
      </c>
      <c r="C6282" s="26" t="str">
        <f>HYPERLINK("https://audio.iskcondesiretree.com/02_-_ISKCON_Swamis/ISKCON_Swamis_-_R_to_Y/His_Holiness_Radhanath_Swami/Lectures/Short_Clips/I%E2%80%99ve_Come_To_Give_You_What_You_Forgot_To_Take_-_Radhanath_Swami.mp3", "I%E2%80%99ve_Come_To_Give_You_What_You_Forgot_To_Take_-_Radhanath_Swami.mp3")</f>
        <v>I%E2%80%99ve_Come_To_Give_You_What_You_Forgot_To_Take_-_Radhanath_Swami.mp3</v>
      </c>
      <c r="D6282" s="24"/>
      <c r="E6282" s="24"/>
    </row>
    <row r="6283">
      <c r="A6283" s="25" t="s">
        <v>18864</v>
      </c>
      <c r="B6283" s="25" t="s">
        <v>18948</v>
      </c>
      <c r="C6283" s="26" t="str">
        <f>HYPERLINK("https://audio.iskcondesiretree.com/02_-_ISKCON_Swamis/ISKCON_Swamis_-_R_to_Y/His_Holiness_Radhanath_Swami/Lectures/Short_Clips/Key_To_Success_-_Radhanath_Swami.mp3", "Key_To_Success_-_Radhanath_Swami.mp3")</f>
        <v>Key_To_Success_-_Radhanath_Swami.mp3</v>
      </c>
      <c r="D6283" s="24"/>
      <c r="E6283" s="24"/>
    </row>
    <row r="6284">
      <c r="A6284" s="25" t="s">
        <v>18864</v>
      </c>
      <c r="B6284" s="25" t="s">
        <v>18949</v>
      </c>
      <c r="C6284" s="26" t="str">
        <f>HYPERLINK("https://audio.iskcondesiretree.com/02_-_ISKCON_Swamis/ISKCON_Swamis_-_R_to_Y/His_Holiness_Radhanath_Swami/Lectures/Short_Clips/King_Rantidev_Exemplifies_How_to_Tolerate_Provoking_Situations_-_Radhanath_Swami.mp3", "King_Rantidev_Exemplifies_How_to_Tolerate_Provoking_Situations_-_Radhanath_Swami.mp3")</f>
        <v>King_Rantidev_Exemplifies_How_to_Tolerate_Provoking_Situations_-_Radhanath_Swami.mp3</v>
      </c>
      <c r="D6284" s="24"/>
      <c r="E6284" s="24"/>
    </row>
    <row r="6285">
      <c r="A6285" s="25" t="s">
        <v>18864</v>
      </c>
      <c r="B6285" s="25" t="s">
        <v>18950</v>
      </c>
      <c r="C6285" s="26" t="str">
        <f>HYPERLINK("https://audio.iskcondesiretree.com/02_-_ISKCON_Swamis/ISKCON_Swamis_-_R_to_Y/His_Holiness_Radhanath_Swami/Lectures/Short_Clips/Knowledge_can_transform_the_way_we_live_-_Radhanath_Swami.mp3", "Knowledge_can_transform_the_way_we_live_-_Radhanath_Swami.mp3")</f>
        <v>Knowledge_can_transform_the_way_we_live_-_Radhanath_Swami.mp3</v>
      </c>
      <c r="D6285" s="24"/>
      <c r="E6285" s="24"/>
    </row>
    <row r="6286">
      <c r="A6286" s="25" t="s">
        <v>18864</v>
      </c>
      <c r="B6286" s="25" t="s">
        <v>18951</v>
      </c>
      <c r="C6286" s="26" t="str">
        <f>HYPERLINK("https://audio.iskcondesiretree.com/02_-_ISKCON_Swamis/ISKCON_Swamis_-_R_to_Y/His_Holiness_Radhanath_Swami/Lectures/Short_Clips/Krishna_Bhakti_In_Vrindavan_-_Radhanath_Swami.mp3", "Krishna_Bhakti_In_Vrindavan_-_Radhanath_Swami.mp3")</f>
        <v>Krishna_Bhakti_In_Vrindavan_-_Radhanath_Swami.mp3</v>
      </c>
      <c r="D6286" s="24"/>
      <c r="E6286" s="24"/>
    </row>
    <row r="6287">
      <c r="A6287" s="25" t="s">
        <v>18864</v>
      </c>
      <c r="B6287" s="25" t="s">
        <v>18952</v>
      </c>
      <c r="C6287" s="26" t="str">
        <f>HYPERLINK("https://audio.iskcondesiretree.com/02_-_ISKCON_Swamis/ISKCON_Swamis_-_R_to_Y/His_Holiness_Radhanath_Swami/Lectures/Short_Clips/Krishna_Comes_As_Bhagavatam_-_Radhanath_Swami.mp3", "Krishna_Comes_As_Bhagavatam_-_Radhanath_Swami.mp3")</f>
        <v>Krishna_Comes_As_Bhagavatam_-_Radhanath_Swami.mp3</v>
      </c>
      <c r="D6287" s="24"/>
      <c r="E6287" s="24"/>
    </row>
    <row r="6288">
      <c r="A6288" s="25" t="s">
        <v>18864</v>
      </c>
      <c r="B6288" s="25" t="s">
        <v>18953</v>
      </c>
      <c r="C6288" s="26" t="str">
        <f>HYPERLINK("https://audio.iskcondesiretree.com/02_-_ISKCON_Swamis/ISKCON_Swamis_-_R_to_Y/His_Holiness_Radhanath_Swami/Lectures/Short_Clips/Krishna_is_everywhere_waiting_for_us_-_Radhanath_Swami.mp3", "Krishna_is_everywhere_waiting_for_us_-_Radhanath_Swami.mp3")</f>
        <v>Krishna_is_everywhere_waiting_for_us_-_Radhanath_Swami.mp3</v>
      </c>
      <c r="D6288" s="24"/>
      <c r="E6288" s="24"/>
    </row>
    <row r="6289">
      <c r="A6289" s="25" t="s">
        <v>18864</v>
      </c>
      <c r="B6289" s="25" t="s">
        <v>18954</v>
      </c>
      <c r="C6289" s="26" t="str">
        <f>HYPERLINK("https://audio.iskcondesiretree.com/02_-_ISKCON_Swamis/ISKCON_Swamis_-_R_to_Y/His_Holiness_Radhanath_Swami/Lectures/Short_Clips/Krishna_Reciprocates_With_Everyone_-_Radhanath_Swami.mp3", "Krishna_Reciprocates_With_Everyone_-_Radhanath_Swami.mp3")</f>
        <v>Krishna_Reciprocates_With_Everyone_-_Radhanath_Swami.mp3</v>
      </c>
      <c r="D6289" s="24"/>
      <c r="E6289" s="24"/>
    </row>
    <row r="6290">
      <c r="A6290" s="25" t="s">
        <v>18864</v>
      </c>
      <c r="B6290" s="25" t="s">
        <v>18955</v>
      </c>
      <c r="C6290" s="26" t="str">
        <f>HYPERLINK("https://audio.iskcondesiretree.com/02_-_ISKCON_Swamis/ISKCON_Swamis_-_R_to_Y/His_Holiness_Radhanath_Swami/Lectures/Short_Clips/Life_With_Foundation_Of_Principles_-_Radhanath_Swami.mp3", "Life_With_Foundation_Of_Principles_-_Radhanath_Swami.mp3")</f>
        <v>Life_With_Foundation_Of_Principles_-_Radhanath_Swami.mp3</v>
      </c>
      <c r="D6290" s="24"/>
      <c r="E6290" s="24"/>
    </row>
    <row r="6291">
      <c r="A6291" s="25" t="s">
        <v>18864</v>
      </c>
      <c r="B6291" s="25" t="s">
        <v>18956</v>
      </c>
      <c r="C6291" s="26" t="str">
        <f>HYPERLINK("https://audio.iskcondesiretree.com/02_-_ISKCON_Swamis/ISKCON_Swamis_-_R_to_Y/His_Holiness_Radhanath_Swami/Lectures/Short_Clips/Like_A_Rolling_Stone_-_Radhanath_Swami.mp3", "Like_A_Rolling_Stone_-_Radhanath_Swami.mp3")</f>
        <v>Like_A_Rolling_Stone_-_Radhanath_Swami.mp3</v>
      </c>
      <c r="D6291" s="24"/>
      <c r="E6291" s="24"/>
    </row>
    <row r="6292">
      <c r="A6292" s="25" t="s">
        <v>18864</v>
      </c>
      <c r="B6292" s="25" t="s">
        <v>18957</v>
      </c>
      <c r="C6292" s="26" t="str">
        <f>HYPERLINK("https://audio.iskcondesiretree.com/02_-_ISKCON_Swamis/ISKCON_Swamis_-_R_to_Y/His_Holiness_Radhanath_Swami/Lectures/Short_Clips/Lord_Sees_The_Sincerity_And_Integrity_In_Our_Efforts_-_Radhanath_Swami.mp3", "Lord_Sees_The_Sincerity_And_Integrity_In_Our_Efforts_-_Radhanath_Swami.mp3")</f>
        <v>Lord_Sees_The_Sincerity_And_Integrity_In_Our_Efforts_-_Radhanath_Swami.mp3</v>
      </c>
      <c r="D6292" s="24"/>
      <c r="E6292" s="24"/>
    </row>
    <row r="6293">
      <c r="A6293" s="25" t="s">
        <v>18864</v>
      </c>
      <c r="B6293" s="25" t="s">
        <v>18958</v>
      </c>
      <c r="C6293" s="26" t="str">
        <f>HYPERLINK("https://audio.iskcondesiretree.com/02_-_ISKCON_Swamis/ISKCON_Swamis_-_R_to_Y/His_Holiness_Radhanath_Swami/Lectures/Short_Clips/Love_In_Gods_Home_-_Radhanath_Swami.mp3", "Love_In_Gods_Home_-_Radhanath_Swami.mp3")</f>
        <v>Love_In_Gods_Home_-_Radhanath_Swami.mp3</v>
      </c>
      <c r="D6293" s="24"/>
      <c r="E6293" s="24"/>
    </row>
    <row r="6294">
      <c r="A6294" s="25" t="s">
        <v>18864</v>
      </c>
      <c r="B6294" s="25" t="s">
        <v>18959</v>
      </c>
      <c r="C6294" s="26" t="str">
        <f>HYPERLINK("https://audio.iskcondesiretree.com/02_-_ISKCON_Swamis/ISKCON_Swamis_-_R_to_Y/His_Holiness_Radhanath_Swami/Lectures/Short_Clips/Love_Of_God_Our_Essential_Nature_-_Radhanath_Swami.mp3", "Love_Of_God_Our_Essential_Nature_-_Radhanath_Swami.mp3")</f>
        <v>Love_Of_God_Our_Essential_Nature_-_Radhanath_Swami.mp3</v>
      </c>
      <c r="D6294" s="24"/>
      <c r="E6294" s="24"/>
    </row>
    <row r="6295">
      <c r="A6295" s="25" t="s">
        <v>18864</v>
      </c>
      <c r="B6295" s="25" t="s">
        <v>18960</v>
      </c>
      <c r="C6295" s="26" t="str">
        <f>HYPERLINK("https://audio.iskcondesiretree.com/02_-_ISKCON_Swamis/ISKCON_Swamis_-_R_to_Y/His_Holiness_Radhanath_Swami/Lectures/Short_Clips/Maintaining_Integrity_Despite_Dualities_-_Radhanath_Swami.mp3", "Maintaining_Integrity_Despite_Dualities_-_Radhanath_Swami.mp3")</f>
        <v>Maintaining_Integrity_Despite_Dualities_-_Radhanath_Swami.mp3</v>
      </c>
      <c r="D6295" s="24"/>
      <c r="E6295" s="24"/>
    </row>
    <row r="6296">
      <c r="A6296" s="25" t="s">
        <v>18864</v>
      </c>
      <c r="B6296" s="25" t="s">
        <v>18961</v>
      </c>
      <c r="C6296" s="26" t="str">
        <f>HYPERLINK("https://audio.iskcondesiretree.com/02_-_ISKCON_Swamis/ISKCON_Swamis_-_R_to_Y/His_Holiness_Radhanath_Swami/Lectures/Short_Clips/Marriage_Can_Be_The_Path_To_Perfection_-_Radhanath_Swami.mp3", "Marriage_Can_Be_The_Path_To_Perfection_-_Radhanath_Swami.mp3")</f>
        <v>Marriage_Can_Be_The_Path_To_Perfection_-_Radhanath_Swami.mp3</v>
      </c>
      <c r="D6296" s="24"/>
      <c r="E6296" s="24"/>
    </row>
    <row r="6297">
      <c r="A6297" s="25" t="s">
        <v>18864</v>
      </c>
      <c r="B6297" s="25" t="s">
        <v>18962</v>
      </c>
      <c r="C6297" s="26" t="str">
        <f>HYPERLINK("https://audio.iskcondesiretree.com/02_-_ISKCON_Swamis/ISKCON_Swamis_-_R_to_Y/His_Holiness_Radhanath_Swami/Lectures/Short_Clips/Married_Life_-_Radhanath_Swami.mp3", "Married_Life_-_Radhanath_Swami.mp3")</f>
        <v>Married_Life_-_Radhanath_Swami.mp3</v>
      </c>
      <c r="D6297" s="24"/>
      <c r="E6297" s="24"/>
    </row>
    <row r="6298">
      <c r="A6298" s="25" t="s">
        <v>18864</v>
      </c>
      <c r="B6298" s="25" t="s">
        <v>18963</v>
      </c>
      <c r="C6298" s="26" t="str">
        <f>HYPERLINK("https://audio.iskcondesiretree.com/02_-_ISKCON_Swamis/ISKCON_Swamis_-_R_to_Y/His_Holiness_Radhanath_Swami/Lectures/Short_Clips/Money_Cannot_Buy_Happiness_-_Radhanath_Swami.mp3", "Money_Cannot_Buy_Happiness_-_Radhanath_Swami.mp3")</f>
        <v>Money_Cannot_Buy_Happiness_-_Radhanath_Swami.mp3</v>
      </c>
      <c r="D6298" s="24"/>
      <c r="E6298" s="24"/>
    </row>
    <row r="6299">
      <c r="A6299" s="25" t="s">
        <v>18864</v>
      </c>
      <c r="B6299" s="25" t="s">
        <v>18964</v>
      </c>
      <c r="C6299" s="26" t="str">
        <f>HYPERLINK("https://audio.iskcondesiretree.com/02_-_ISKCON_Swamis/ISKCON_Swamis_-_R_to_Y/His_Holiness_Radhanath_Swami/Lectures/Short_Clips/Mother_Nature_Teaches_-_Radhanath_Swami.mp3", "Mother_Nature_Teaches_-_Radhanath_Swami.mp3")</f>
        <v>Mother_Nature_Teaches_-_Radhanath_Swami.mp3</v>
      </c>
      <c r="D6299" s="24"/>
      <c r="E6299" s="24"/>
    </row>
    <row r="6300">
      <c r="A6300" s="25" t="s">
        <v>18864</v>
      </c>
      <c r="B6300" s="25" t="s">
        <v>18965</v>
      </c>
      <c r="C6300" s="26" t="str">
        <f>HYPERLINK("https://audio.iskcondesiretree.com/02_-_ISKCON_Swamis/ISKCON_Swamis_-_R_to_Y/His_Holiness_Radhanath_Swami/Lectures/Short_Clips/Mutual_Respect_Love_And_Appreciation_In_A_Relationship_-_Radhanath_Swami.mp3", "Mutual_Respect_Love_And_Appreciation_In_A_Relationship_-_Radhanath_Swami.mp3")</f>
        <v>Mutual_Respect_Love_And_Appreciation_In_A_Relationship_-_Radhanath_Swami.mp3</v>
      </c>
      <c r="D6300" s="24"/>
      <c r="E6300" s="24"/>
    </row>
    <row r="6301">
      <c r="A6301" s="25" t="s">
        <v>18864</v>
      </c>
      <c r="B6301" s="25" t="s">
        <v>18966</v>
      </c>
      <c r="C6301" s="26" t="str">
        <f>HYPERLINK("https://audio.iskcondesiretree.com/02_-_ISKCON_Swamis/ISKCON_Swamis_-_R_to_Y/His_Holiness_Radhanath_Swami/Lectures/Short_Clips/My_first_day_in_India_-_Radhanath_Swami.mp3", "My_first_day_in_India_-_Radhanath_Swami.mp3")</f>
        <v>My_first_day_in_India_-_Radhanath_Swami.mp3</v>
      </c>
      <c r="D6301" s="24"/>
      <c r="E6301" s="24"/>
    </row>
    <row r="6302">
      <c r="A6302" s="25" t="s">
        <v>18864</v>
      </c>
      <c r="B6302" s="25" t="s">
        <v>18967</v>
      </c>
      <c r="C6302" s="26" t="str">
        <f>HYPERLINK("https://audio.iskcondesiretree.com/02_-_ISKCON_Swamis/ISKCON_Swamis_-_R_to_Y/His_Holiness_Radhanath_Swami/Lectures/Short_Clips/No%21_Spirituality_is_not_about_escaping_the_world_-_Radhanath_Swami.mp3", "No%21_Spirituality_is_not_about_escaping_the_world_-_Radhanath_Swami.mp3")</f>
        <v>No%21_Spirituality_is_not_about_escaping_the_world_-_Radhanath_Swami.mp3</v>
      </c>
      <c r="D6302" s="24"/>
      <c r="E6302" s="24"/>
    </row>
    <row r="6303">
      <c r="A6303" s="25" t="s">
        <v>18864</v>
      </c>
      <c r="B6303" s="25" t="s">
        <v>18968</v>
      </c>
      <c r="C6303" s="26" t="str">
        <f>HYPERLINK("https://audio.iskcondesiretree.com/02_-_ISKCON_Swamis/ISKCON_Swamis_-_R_to_Y/His_Holiness_Radhanath_Swami/Lectures/Short_Clips/No_Spirituality_is_not_about_escaping_the_world_-_Radhanath_Swami.mp3", "No_Spirituality_is_not_about_escaping_the_world_-_Radhanath_Swami.mp3")</f>
        <v>No_Spirituality_is_not_about_escaping_the_world_-_Radhanath_Swami.mp3</v>
      </c>
      <c r="D6303" s="24"/>
      <c r="E6303" s="24"/>
    </row>
    <row r="6304">
      <c r="A6304" s="25" t="s">
        <v>18864</v>
      </c>
      <c r="B6304" s="25" t="s">
        <v>18969</v>
      </c>
      <c r="C6304" s="26" t="str">
        <f>HYPERLINK("https://audio.iskcondesiretree.com/02_-_ISKCON_Swamis/ISKCON_Swamis_-_R_to_Y/His_Holiness_Radhanath_Swami/Lectures/Short_Clips/Offer_The_Best_You_Have_-_Radhanath_Swami.mp3", "Offer_The_Best_You_Have_-_Radhanath_Swami.mp3")</f>
        <v>Offer_The_Best_You_Have_-_Radhanath_Swami.mp3</v>
      </c>
      <c r="D6304" s="24"/>
      <c r="E6304" s="24"/>
    </row>
    <row r="6305">
      <c r="A6305" s="25" t="s">
        <v>18864</v>
      </c>
      <c r="B6305" s="25" t="s">
        <v>18970</v>
      </c>
      <c r="C6305" s="26" t="str">
        <f>HYPERLINK("https://audio.iskcondesiretree.com/02_-_ISKCON_Swamis/ISKCON_Swamis_-_R_to_Y/His_Holiness_Radhanath_Swami/Lectures/Short_Clips/One_Common_Source_-_Radhanath_Swami.mp3", "One_Common_Source_-_Radhanath_Swami.mp3")</f>
        <v>One_Common_Source_-_Radhanath_Swami.mp3</v>
      </c>
      <c r="D6305" s="24"/>
      <c r="E6305" s="24"/>
    </row>
    <row r="6306">
      <c r="A6306" s="25" t="s">
        <v>18864</v>
      </c>
      <c r="B6306" s="25" t="s">
        <v>18971</v>
      </c>
      <c r="C6306" s="26" t="str">
        <f>HYPERLINK("https://audio.iskcondesiretree.com/02_-_ISKCON_Swamis/ISKCON_Swamis_-_R_to_Y/His_Holiness_Radhanath_Swami/Lectures/Short_Clips/Our_Perception_of_Reality_-_Radhanath_Swami.mp3", "Our_Perception_of_Reality_-_Radhanath_Swami.mp3")</f>
        <v>Our_Perception_of_Reality_-_Radhanath_Swami.mp3</v>
      </c>
      <c r="D6306" s="24"/>
      <c r="E6306" s="24"/>
    </row>
    <row r="6307">
      <c r="A6307" s="25" t="s">
        <v>18864</v>
      </c>
      <c r="B6307" s="25" t="s">
        <v>18972</v>
      </c>
      <c r="C6307" s="26" t="str">
        <f>HYPERLINK("https://audio.iskcondesiretree.com/02_-_ISKCON_Swamis/ISKCON_Swamis_-_R_to_Y/His_Holiness_Radhanath_Swami/Lectures/Short_Clips/Our_Sweet_Lord_Gopal_-_Radhanath_Swami.mp3", "Our_Sweet_Lord_Gopal_-_Radhanath_Swami.mp3")</f>
        <v>Our_Sweet_Lord_Gopal_-_Radhanath_Swami.mp3</v>
      </c>
      <c r="D6307" s="24"/>
      <c r="E6307" s="24"/>
    </row>
    <row r="6308">
      <c r="A6308" s="25" t="s">
        <v>18864</v>
      </c>
      <c r="B6308" s="25" t="s">
        <v>18973</v>
      </c>
      <c r="C6308" s="26" t="str">
        <f>HYPERLINK("https://audio.iskcondesiretree.com/02_-_ISKCON_Swamis/ISKCON_Swamis_-_R_to_Y/His_Holiness_Radhanath_Swami/Lectures/Short_Clips/Our_Yearning_For_Love_-_Radhanath_Swami.mp3", "Our_Yearning_For_Love_-_Radhanath_Swami.mp3")</f>
        <v>Our_Yearning_For_Love_-_Radhanath_Swami.mp3</v>
      </c>
      <c r="D6308" s="24"/>
      <c r="E6308" s="24"/>
    </row>
    <row r="6309">
      <c r="A6309" s="25" t="s">
        <v>18864</v>
      </c>
      <c r="B6309" s="25" t="s">
        <v>18974</v>
      </c>
      <c r="C6309" s="26" t="str">
        <f>HYPERLINK("https://audio.iskcondesiretree.com/02_-_ISKCON_Swamis/ISKCON_Swamis_-_R_to_Y/His_Holiness_Radhanath_Swami/Lectures/Short_Clips/Pain_Maybe_Inevitable_But_Suffering_Is_Optional_-_Radhanath_Swami.mp3", "Pain_Maybe_Inevitable_But_Suffering_Is_Optional_-_Radhanath_Swami.mp3")</f>
        <v>Pain_Maybe_Inevitable_But_Suffering_Is_Optional_-_Radhanath_Swami.mp3</v>
      </c>
      <c r="D6309" s="24"/>
      <c r="E6309" s="24"/>
    </row>
    <row r="6310">
      <c r="A6310" s="25" t="s">
        <v>18864</v>
      </c>
      <c r="B6310" s="25" t="s">
        <v>18975</v>
      </c>
      <c r="C6310" s="26" t="str">
        <f>HYPERLINK("https://audio.iskcondesiretree.com/02_-_ISKCON_Swamis/ISKCON_Swamis_-_R_to_Y/His_Holiness_Radhanath_Swami/Lectures/Short_Clips/People_Take_Shelter_of_Anxieties_Due_To_Conditioning_-_Radhanath_Swami.mp3", "People_Take_Shelter_of_Anxieties_Due_To_Conditioning_-_Radhanath_Swami.mp3")</f>
        <v>People_Take_Shelter_of_Anxieties_Due_To_Conditioning_-_Radhanath_Swami.mp3</v>
      </c>
      <c r="D6310" s="24"/>
      <c r="E6310" s="24"/>
    </row>
    <row r="6311">
      <c r="A6311" s="25" t="s">
        <v>18864</v>
      </c>
      <c r="B6311" s="25" t="s">
        <v>18976</v>
      </c>
      <c r="C6311" s="26" t="str">
        <f>HYPERLINK("https://audio.iskcondesiretree.com/02_-_ISKCON_Swamis/ISKCON_Swamis_-_R_to_Y/His_Holiness_Radhanath_Swami/Lectures/Short_Clips/Positive_Attitude_Is_Incomplete_Without_Spirituality_-_Radhanath_Swami.mp3", "Positive_Attitude_Is_Incomplete_Without_Spirituality_-_Radhanath_Swami.mp3")</f>
        <v>Positive_Attitude_Is_Incomplete_Without_Spirituality_-_Radhanath_Swami.mp3</v>
      </c>
      <c r="D6311" s="24"/>
      <c r="E6311" s="24"/>
    </row>
    <row r="6312">
      <c r="A6312" s="25" t="s">
        <v>18864</v>
      </c>
      <c r="B6312" s="25" t="s">
        <v>18977</v>
      </c>
      <c r="C6312" s="26" t="str">
        <f>HYPERLINK("https://audio.iskcondesiretree.com/02_-_ISKCON_Swamis/ISKCON_Swamis_-_R_to_Y/His_Holiness_Radhanath_Swami/Lectures/Short_Clips/Positive_Outlook_Even_While_Dying_-_Radhanath_Swami.mp3", "Positive_Outlook_Even_While_Dying_-_Radhanath_Swami.mp3")</f>
        <v>Positive_Outlook_Even_While_Dying_-_Radhanath_Swami.mp3</v>
      </c>
      <c r="D6312" s="24"/>
      <c r="E6312" s="24"/>
    </row>
    <row r="6313">
      <c r="A6313" s="25" t="s">
        <v>18864</v>
      </c>
      <c r="B6313" s="25" t="s">
        <v>18978</v>
      </c>
      <c r="C6313" s="26" t="str">
        <f>HYPERLINK("https://audio.iskcondesiretree.com/02_-_ISKCON_Swamis/ISKCON_Swamis_-_R_to_Y/His_Holiness_Radhanath_Swami/Lectures/Short_Clips/Power_Of_Forgiveness_Exemplified_-_Radhanath_Swami.mp3", "Power_Of_Forgiveness_Exemplified_-_Radhanath_Swami.mp3")</f>
        <v>Power_Of_Forgiveness_Exemplified_-_Radhanath_Swami.mp3</v>
      </c>
      <c r="D6313" s="24"/>
      <c r="E6313" s="24"/>
    </row>
    <row r="6314">
      <c r="A6314" s="25" t="s">
        <v>18864</v>
      </c>
      <c r="B6314" s="25" t="s">
        <v>18979</v>
      </c>
      <c r="C6314" s="26" t="str">
        <f>HYPERLINK("https://audio.iskcondesiretree.com/02_-_ISKCON_Swamis/ISKCON_Swamis_-_R_to_Y/His_Holiness_Radhanath_Swami/Lectures/Short_Clips/Power_Of_Unity_-_Radhanath_Swami.mp3", "Power_Of_Unity_-_Radhanath_Swami.mp3")</f>
        <v>Power_Of_Unity_-_Radhanath_Swami.mp3</v>
      </c>
      <c r="D6314" s="24"/>
      <c r="E6314" s="24"/>
    </row>
    <row r="6315">
      <c r="A6315" s="25" t="s">
        <v>18864</v>
      </c>
      <c r="B6315" s="25" t="s">
        <v>18980</v>
      </c>
      <c r="C6315" s="26" t="str">
        <f>HYPERLINK("https://audio.iskcondesiretree.com/02_-_ISKCON_Swamis/ISKCON_Swamis_-_R_to_Y/His_Holiness_Radhanath_Swami/Lectures/Short_Clips/Propaganda_Influences_Our_Perceptions_-_Radhanath_Swami.mp3", "Propaganda_Influences_Our_Perceptions_-_Radhanath_Swami.mp3")</f>
        <v>Propaganda_Influences_Our_Perceptions_-_Radhanath_Swami.mp3</v>
      </c>
      <c r="D6315" s="24"/>
      <c r="E6315" s="24"/>
    </row>
    <row r="6316">
      <c r="A6316" s="25" t="s">
        <v>18864</v>
      </c>
      <c r="B6316" s="25" t="s">
        <v>18981</v>
      </c>
      <c r="C6316" s="26" t="str">
        <f>HYPERLINK("https://audio.iskcondesiretree.com/02_-_ISKCON_Swamis/ISKCON_Swamis_-_R_to_Y/His_Holiness_Radhanath_Swami/Lectures/Short_Clips/Radhe_Jaya_Jaya_Madhava_Daiyte_-_Radhanath_Swami.mp3", "Radhe_Jaya_Jaya_Madhava_Daiyte_-_Radhanath_Swami.mp3")</f>
        <v>Radhe_Jaya_Jaya_Madhava_Daiyte_-_Radhanath_Swami.mp3</v>
      </c>
      <c r="D6316" s="24"/>
      <c r="E6316" s="24"/>
    </row>
    <row r="6317">
      <c r="A6317" s="25" t="s">
        <v>18864</v>
      </c>
      <c r="B6317" s="25" t="s">
        <v>18982</v>
      </c>
      <c r="C6317" s="26" t="str">
        <f>HYPERLINK("https://audio.iskcondesiretree.com/02_-_ISKCON_Swamis/ISKCON_Swamis_-_R_to_Y/His_Holiness_Radhanath_Swami/Lectures/Short_Clips/Ramayana%2C_From_An_Ecological_Perspective_-_Radhanath_Swami.mp3", "Ramayana%2C_From_An_Ecological_Perspective_-_Radhanath_Swami.mp3")</f>
        <v>Ramayana%2C_From_An_Ecological_Perspective_-_Radhanath_Swami.mp3</v>
      </c>
      <c r="D6317" s="24"/>
      <c r="E6317" s="24"/>
    </row>
    <row r="6318">
      <c r="A6318" s="25" t="s">
        <v>18864</v>
      </c>
      <c r="B6318" s="25" t="s">
        <v>18983</v>
      </c>
      <c r="C6318" s="26" t="str">
        <f>HYPERLINK("https://audio.iskcondesiretree.com/02_-_ISKCON_Swamis/ISKCON_Swamis_-_R_to_Y/His_Holiness_Radhanath_Swami/Lectures/Short_Clips/Ramayana_From_An_Ecological_Perspective_-_Radhanath_Swami.mp3", "Ramayana_From_An_Ecological_Perspective_-_Radhanath_Swami.mp3")</f>
        <v>Ramayana_From_An_Ecological_Perspective_-_Radhanath_Swami.mp3</v>
      </c>
      <c r="D6318" s="24"/>
      <c r="E6318" s="24"/>
    </row>
    <row r="6319">
      <c r="A6319" s="25" t="s">
        <v>18864</v>
      </c>
      <c r="B6319" s="25" t="s">
        <v>18984</v>
      </c>
      <c r="C6319" s="26" t="str">
        <f>HYPERLINK("https://audio.iskcondesiretree.com/02_-_ISKCON_Swamis/ISKCON_Swamis_-_R_to_Y/His_Holiness_Radhanath_Swami/Lectures/Short_Clips/Real_Compassion_-_Radhanath_Swami.mp3", "Real_Compassion_-_Radhanath_Swami.mp3")</f>
        <v>Real_Compassion_-_Radhanath_Swami.mp3</v>
      </c>
      <c r="D6319" s="24"/>
      <c r="E6319" s="24"/>
    </row>
    <row r="6320">
      <c r="A6320" s="25" t="s">
        <v>18864</v>
      </c>
      <c r="B6320" s="25" t="s">
        <v>18985</v>
      </c>
      <c r="C6320" s="26" t="str">
        <f>HYPERLINK("https://audio.iskcondesiretree.com/02_-_ISKCON_Swamis/ISKCON_Swamis_-_R_to_Y/His_Holiness_Radhanath_Swami/Lectures/Short_Clips/Real_inner_strength_real_success_-_Radhanath_Swami.mp3", "Real_inner_strength_real_success_-_Radhanath_Swami.mp3")</f>
        <v>Real_inner_strength_real_success_-_Radhanath_Swami.mp3</v>
      </c>
      <c r="D6320" s="24"/>
      <c r="E6320" s="24"/>
    </row>
    <row r="6321">
      <c r="A6321" s="25" t="s">
        <v>18864</v>
      </c>
      <c r="B6321" s="25" t="s">
        <v>18986</v>
      </c>
      <c r="C6321" s="26" t="str">
        <f>HYPERLINK("https://audio.iskcondesiretree.com/02_-_ISKCON_Swamis/ISKCON_Swamis_-_R_to_Y/His_Holiness_Radhanath_Swami/Lectures/Short_Clips/Real_Poverty_is_of_The_Heart_-_Radhanath_Swami.mp3", "Real_Poverty_is_of_The_Heart_-_Radhanath_Swami.mp3")</f>
        <v>Real_Poverty_is_of_The_Heart_-_Radhanath_Swami.mp3</v>
      </c>
      <c r="D6321" s="24"/>
      <c r="E6321" s="24"/>
    </row>
    <row r="6322">
      <c r="A6322" s="25" t="s">
        <v>18864</v>
      </c>
      <c r="B6322" s="25" t="s">
        <v>18987</v>
      </c>
      <c r="C6322" s="26" t="str">
        <f>HYPERLINK("https://audio.iskcondesiretree.com/02_-_ISKCON_Swamis/ISKCON_Swamis_-_R_to_Y/His_Holiness_Radhanath_Swami/Lectures/Short_Clips/Real_Renunciation_Through_Humility_-_Radhanath_Swami.mp3", "Real_Renunciation_Through_Humility_-_Radhanath_Swami.mp3")</f>
        <v>Real_Renunciation_Through_Humility_-_Radhanath_Swami.mp3</v>
      </c>
      <c r="D6322" s="24"/>
      <c r="E6322" s="24"/>
    </row>
    <row r="6323">
      <c r="A6323" s="25" t="s">
        <v>18864</v>
      </c>
      <c r="B6323" s="25" t="s">
        <v>18988</v>
      </c>
      <c r="C6323" s="26" t="str">
        <f>HYPERLINK("https://audio.iskcondesiretree.com/02_-_ISKCON_Swamis/ISKCON_Swamis_-_R_to_Y/His_Holiness_Radhanath_Swami/Lectures/Short_Clips/Real_spiritual_enlightenment_-_Radhanath_Swami.mp3", "Real_spiritual_enlightenment_-_Radhanath_Swami.mp3")</f>
        <v>Real_spiritual_enlightenment_-_Radhanath_Swami.mp3</v>
      </c>
      <c r="D6323" s="24"/>
      <c r="E6323" s="24"/>
    </row>
    <row r="6324">
      <c r="A6324" s="25" t="s">
        <v>18864</v>
      </c>
      <c r="B6324" s="25" t="s">
        <v>18989</v>
      </c>
      <c r="C6324" s="26" t="str">
        <f>HYPERLINK("https://audio.iskcondesiretree.com/02_-_ISKCON_Swamis/ISKCON_Swamis_-_R_to_Y/His_Holiness_Radhanath_Swami/Lectures/Short_Clips/Real_Success_In_Life_Is_To_Please_God_-_Radhanath_Swami.mp3", "Real_Success_In_Life_Is_To_Please_God_-_Radhanath_Swami.mp3")</f>
        <v>Real_Success_In_Life_Is_To_Please_God_-_Radhanath_Swami.mp3</v>
      </c>
      <c r="D6324" s="24"/>
      <c r="E6324" s="24"/>
    </row>
    <row r="6325">
      <c r="A6325" s="25" t="s">
        <v>18864</v>
      </c>
      <c r="B6325" s="25" t="s">
        <v>18990</v>
      </c>
      <c r="C6325" s="26" t="str">
        <f>HYPERLINK("https://audio.iskcondesiretree.com/02_-_ISKCON_Swamis/ISKCON_Swamis_-_R_to_Y/His_Holiness_Radhanath_Swami/Lectures/Short_Clips/Recognizing_The_Sacredness_Of_Our_Life_Leads_to_Compassion_for_others_-_Radhanath_Swami.mp3", "Recognizing_The_Sacredness_Of_Our_Life_Leads_to_Compassion_for_others_-_Radhanath_Swami.mp3")</f>
        <v>Recognizing_The_Sacredness_Of_Our_Life_Leads_to_Compassion_for_others_-_Radhanath_Swami.mp3</v>
      </c>
      <c r="D6325" s="24"/>
      <c r="E6325" s="24"/>
    </row>
    <row r="6326">
      <c r="A6326" s="25" t="s">
        <v>18864</v>
      </c>
      <c r="B6326" s="25" t="s">
        <v>18991</v>
      </c>
      <c r="C6326" s="26" t="str">
        <f>HYPERLINK("https://audio.iskcondesiretree.com/02_-_ISKCON_Swamis/ISKCON_Swamis_-_R_to_Y/His_Holiness_Radhanath_Swami/Lectures/Short_Clips/Relationships_-_Radhanath_Swami.mp3", "Relationships_-_Radhanath_Swami.mp3")</f>
        <v>Relationships_-_Radhanath_Swami.mp3</v>
      </c>
      <c r="D6326" s="24"/>
      <c r="E6326" s="24"/>
    </row>
    <row r="6327">
      <c r="A6327" s="25" t="s">
        <v>18864</v>
      </c>
      <c r="B6327" s="25" t="s">
        <v>18992</v>
      </c>
      <c r="C6327" s="26" t="str">
        <f>HYPERLINK("https://audio.iskcondesiretree.com/02_-_ISKCON_Swamis/ISKCON_Swamis_-_R_to_Y/His_Holiness_Radhanath_Swami/Lectures/Short_Clips/Religion_Is_Not_About_Cutting_Another%27s_Throat_-_Radhanath_Swami.mp3", "Religion_Is_Not_About_Cutting_Another%27s_Throat_-_Radhanath_Swami.mp3")</f>
        <v>Religion_Is_Not_About_Cutting_Another%27s_Throat_-_Radhanath_Swami.mp3</v>
      </c>
      <c r="D6327" s="24"/>
      <c r="E6327" s="24"/>
    </row>
    <row r="6328">
      <c r="A6328" s="25" t="s">
        <v>18864</v>
      </c>
      <c r="B6328" s="25" t="s">
        <v>18993</v>
      </c>
      <c r="C6328" s="26" t="str">
        <f>HYPERLINK("https://audio.iskcondesiretree.com/02_-_ISKCON_Swamis/ISKCON_Swamis_-_R_to_Y/His_Holiness_Radhanath_Swami/Lectures/Short_Clips/Renounce_Your_Ego_-_Radhanath_Swami.mp3", "Renounce_Your_Ego_-_Radhanath_Swami.mp3")</f>
        <v>Renounce_Your_Ego_-_Radhanath_Swami.mp3</v>
      </c>
      <c r="D6328" s="24"/>
      <c r="E6328" s="24"/>
    </row>
    <row r="6329">
      <c r="A6329" s="25" t="s">
        <v>18864</v>
      </c>
      <c r="B6329" s="25" t="s">
        <v>18994</v>
      </c>
      <c r="C6329" s="26" t="str">
        <f>HYPERLINK("https://audio.iskcondesiretree.com/02_-_ISKCON_Swamis/ISKCON_Swamis_-_R_to_Y/His_Holiness_Radhanath_Swami/Lectures/Short_Clips/Revelation_Of_The_Holy_Name_-_Radhanath_Swami.mp3", "Revelation_Of_The_Holy_Name_-_Radhanath_Swami.mp3")</f>
        <v>Revelation_Of_The_Holy_Name_-_Radhanath_Swami.mp3</v>
      </c>
      <c r="D6329" s="24"/>
      <c r="E6329" s="24"/>
    </row>
    <row r="6330">
      <c r="A6330" s="25" t="s">
        <v>18864</v>
      </c>
      <c r="B6330" s="25" t="s">
        <v>18995</v>
      </c>
      <c r="C6330" s="26" t="str">
        <f>HYPERLINK("https://audio.iskcondesiretree.com/02_-_ISKCON_Swamis/ISKCON_Swamis_-_R_to_Y/His_Holiness_Radhanath_Swami/Lectures/Short_Clips/Root_Cause_Of_Envy_-_Radhanath_Swami.mp3", "Root_Cause_Of_Envy_-_Radhanath_Swami.mp3")</f>
        <v>Root_Cause_Of_Envy_-_Radhanath_Swami.mp3</v>
      </c>
      <c r="D6330" s="24"/>
      <c r="E6330" s="24"/>
    </row>
    <row r="6331">
      <c r="A6331" s="25" t="s">
        <v>18864</v>
      </c>
      <c r="B6331" s="25" t="s">
        <v>18996</v>
      </c>
      <c r="C6331" s="26" t="str">
        <f>HYPERLINK("https://audio.iskcondesiretree.com/02_-_ISKCON_Swamis/ISKCON_Swamis_-_R_to_Y/His_Holiness_Radhanath_Swami/Lectures/Short_Clips/Sacisutashtakam_-_Radhanath_Swami.mp3", "Sacisutashtakam_-_Radhanath_Swami.mp3")</f>
        <v>Sacisutashtakam_-_Radhanath_Swami.mp3</v>
      </c>
      <c r="D6331" s="24"/>
      <c r="E6331" s="24"/>
    </row>
    <row r="6332">
      <c r="A6332" s="25" t="s">
        <v>18864</v>
      </c>
      <c r="B6332" s="25" t="s">
        <v>18997</v>
      </c>
      <c r="C6332" s="26" t="str">
        <f>HYPERLINK("https://audio.iskcondesiretree.com/02_-_ISKCON_Swamis/ISKCON_Swamis_-_R_to_Y/His_Holiness_Radhanath_Swami/Lectures/Short_Clips/Seeing_The_Potential_-_Radhanath_Swami.mp3", "Seeing_The_Potential_-_Radhanath_Swami.mp3")</f>
        <v>Seeing_The_Potential_-_Radhanath_Swami.mp3</v>
      </c>
      <c r="D6332" s="24"/>
      <c r="E6332" s="24"/>
    </row>
    <row r="6333">
      <c r="A6333" s="25" t="s">
        <v>18864</v>
      </c>
      <c r="B6333" s="25" t="s">
        <v>18998</v>
      </c>
      <c r="C6333" s="26" t="str">
        <f>HYPERLINK("https://audio.iskcondesiretree.com/02_-_ISKCON_Swamis/ISKCON_Swamis_-_R_to_Y/His_Holiness_Radhanath_Swami/Lectures/Short_Clips/Simple_Living_High_Thinking_-_Radhanath_Swami.mp3", "Simple_Living_High_Thinking_-_Radhanath_Swami.mp3")</f>
        <v>Simple_Living_High_Thinking_-_Radhanath_Swami.mp3</v>
      </c>
      <c r="D6333" s="24"/>
      <c r="E6333" s="24"/>
    </row>
    <row r="6334">
      <c r="A6334" s="25" t="s">
        <v>18864</v>
      </c>
      <c r="B6334" s="25" t="s">
        <v>18999</v>
      </c>
      <c r="C6334" s="26" t="str">
        <f>HYPERLINK("https://audio.iskcondesiretree.com/02_-_ISKCON_Swamis/ISKCON_Swamis_-_R_to_Y/His_Holiness_Radhanath_Swami/Lectures/Short_Clips/Sincere_Prayers_Never_go_in_Vain_-_Radhanath_Swami.mp3", "Sincere_Prayers_Never_go_in_Vain_-_Radhanath_Swami.mp3")</f>
        <v>Sincere_Prayers_Never_go_in_Vain_-_Radhanath_Swami.mp3</v>
      </c>
      <c r="D6334" s="24"/>
      <c r="E6334" s="24"/>
    </row>
    <row r="6335">
      <c r="A6335" s="25" t="s">
        <v>18864</v>
      </c>
      <c r="B6335" s="25" t="s">
        <v>19000</v>
      </c>
      <c r="C6335" s="26" t="str">
        <f>HYPERLINK("https://audio.iskcondesiretree.com/02_-_ISKCON_Swamis/ISKCON_Swamis_-_R_to_Y/His_Holiness_Radhanath_Swami/Lectures/Short_Clips/So_Many_Miracles_-_Radhanath_Swami.mp3", "So_Many_Miracles_-_Radhanath_Swami.mp3")</f>
        <v>So_Many_Miracles_-_Radhanath_Swami.mp3</v>
      </c>
      <c r="D6335" s="24"/>
      <c r="E6335" s="24"/>
    </row>
    <row r="6336">
      <c r="A6336" s="25" t="s">
        <v>18864</v>
      </c>
      <c r="B6336" s="25" t="s">
        <v>19001</v>
      </c>
      <c r="C6336" s="26" t="str">
        <f>HYPERLINK("https://audio.iskcondesiretree.com/02_-_ISKCON_Swamis/ISKCON_Swamis_-_R_to_Y/His_Holiness_Radhanath_Swami/Lectures/Short_Clips/Spiritual_Globalization_-_Radhanath_Swami.mp3", "Spiritual_Globalization_-_Radhanath_Swami.mp3")</f>
        <v>Spiritual_Globalization_-_Radhanath_Swami.mp3</v>
      </c>
      <c r="D6336" s="24"/>
      <c r="E6336" s="24"/>
    </row>
    <row r="6337">
      <c r="A6337" s="25" t="s">
        <v>18864</v>
      </c>
      <c r="B6337" s="25" t="s">
        <v>19002</v>
      </c>
      <c r="C6337" s="26" t="str">
        <f>HYPERLINK("https://audio.iskcondesiretree.com/02_-_ISKCON_Swamis/ISKCON_Swamis_-_R_to_Y/His_Holiness_Radhanath_Swami/Lectures/Short_Clips/Srila_Prabhupada-The_Perfect_Example_of_Renunciation_-_Radhanath_Swami.mp3", "Srila_Prabhupada-The_Perfect_Example_of_Renunciation_-_Radhanath_Swami.mp3")</f>
        <v>Srila_Prabhupada-The_Perfect_Example_of_Renunciation_-_Radhanath_Swami.mp3</v>
      </c>
      <c r="D6337" s="24"/>
      <c r="E6337" s="24"/>
    </row>
    <row r="6338">
      <c r="A6338" s="25" t="s">
        <v>18864</v>
      </c>
      <c r="B6338" s="25" t="s">
        <v>19003</v>
      </c>
      <c r="C6338" s="26" t="str">
        <f>HYPERLINK("https://audio.iskcondesiretree.com/02_-_ISKCON_Swamis/ISKCON_Swamis_-_R_to_Y/His_Holiness_Radhanath_Swami/Lectures/Short_Clips/Stop_Worrying_Start_Living_-_Radhanath_Swami.mp3", "Stop_Worrying_Start_Living_-_Radhanath_Swami.mp3")</f>
        <v>Stop_Worrying_Start_Living_-_Radhanath_Swami.mp3</v>
      </c>
      <c r="D6338" s="24"/>
      <c r="E6338" s="24"/>
    </row>
    <row r="6339">
      <c r="A6339" s="25" t="s">
        <v>18864</v>
      </c>
      <c r="B6339" s="25" t="s">
        <v>19004</v>
      </c>
      <c r="C6339" s="26" t="str">
        <f>HYPERLINK("https://audio.iskcondesiretree.com/02_-_ISKCON_Swamis/ISKCON_Swamis_-_R_to_Y/His_Holiness_Radhanath_Swami/Lectures/Short_Clips/Striving_For_The_Highest_Ideals_-_Radhanath_Swami.mp3", "Striving_For_The_Highest_Ideals_-_Radhanath_Swami.mp3")</f>
        <v>Striving_For_The_Highest_Ideals_-_Radhanath_Swami.mp3</v>
      </c>
      <c r="D6339" s="24"/>
      <c r="E6339" s="24"/>
    </row>
    <row r="6340">
      <c r="A6340" s="25" t="s">
        <v>18864</v>
      </c>
      <c r="B6340" s="25" t="s">
        <v>19005</v>
      </c>
      <c r="C6340" s="26" t="str">
        <f>HYPERLINK("https://audio.iskcondesiretree.com/02_-_ISKCON_Swamis/ISKCON_Swamis_-_R_to_Y/His_Holiness_Radhanath_Swami/Lectures/Short_Clips/Surrender_Perhaps_Thats_The_Sacry_Part_-_Radhanath_Swami.mp3", "Surrender_Perhaps_Thats_The_Sacry_Part_-_Radhanath_Swami.mp3")</f>
        <v>Surrender_Perhaps_Thats_The_Sacry_Part_-_Radhanath_Swami.mp3</v>
      </c>
      <c r="D6340" s="24"/>
      <c r="E6340" s="24"/>
    </row>
    <row r="6341">
      <c r="A6341" s="25" t="s">
        <v>18864</v>
      </c>
      <c r="B6341" s="25" t="s">
        <v>19006</v>
      </c>
      <c r="C6341" s="26" t="str">
        <f>HYPERLINK("https://audio.iskcondesiretree.com/02_-_ISKCON_Swamis/ISKCON_Swamis_-_R_to_Y/His_Holiness_Radhanath_Swami/Lectures/Short_Clips/That_Gives_Us_Life_Enthusiasm_And_Happiness_-_Radhanath_Swami.mp3", "That_Gives_Us_Life_Enthusiasm_And_Happiness_-_Radhanath_Swami.mp3")</f>
        <v>That_Gives_Us_Life_Enthusiasm_And_Happiness_-_Radhanath_Swami.mp3</v>
      </c>
      <c r="D6341" s="24"/>
      <c r="E6341" s="24"/>
    </row>
    <row r="6342">
      <c r="A6342" s="25" t="s">
        <v>18864</v>
      </c>
      <c r="B6342" s="25" t="s">
        <v>19007</v>
      </c>
      <c r="C6342" s="26" t="str">
        <f>HYPERLINK("https://audio.iskcondesiretree.com/02_-_ISKCON_Swamis/ISKCON_Swamis_-_R_to_Y/His_Holiness_Radhanath_Swami/Lectures/Short_Clips/That_Is_The_Power_Of_The_Name_-_Radhanath_Swami.mp3", "That_Is_The_Power_Of_The_Name_-_Radhanath_Swami.mp3")</f>
        <v>That_Is_The_Power_Of_The_Name_-_Radhanath_Swami.mp3</v>
      </c>
      <c r="D6342" s="24"/>
      <c r="E6342" s="24"/>
    </row>
    <row r="6343">
      <c r="A6343" s="25" t="s">
        <v>18864</v>
      </c>
      <c r="B6343" s="25" t="s">
        <v>19008</v>
      </c>
      <c r="C6343" s="26" t="str">
        <f>HYPERLINK("https://audio.iskcondesiretree.com/02_-_ISKCON_Swamis/ISKCON_Swamis_-_R_to_Y/His_Holiness_Radhanath_Swami/Lectures/Short_Clips/That_Is_Victory_-_Radhanath_Swami.mp3", "That_Is_Victory_-_Radhanath_Swami.mp3")</f>
        <v>That_Is_Victory_-_Radhanath_Swami.mp3</v>
      </c>
      <c r="D6343" s="24"/>
      <c r="E6343" s="24"/>
    </row>
    <row r="6344">
      <c r="A6344" s="25" t="s">
        <v>18864</v>
      </c>
      <c r="B6344" s="25" t="s">
        <v>19009</v>
      </c>
      <c r="C6344" s="26" t="str">
        <f>HYPERLINK("https://audio.iskcondesiretree.com/02_-_ISKCON_Swamis/ISKCON_Swamis_-_R_to_Y/His_Holiness_Radhanath_Swami/Lectures/Short_Clips/Thats_what_it_means_to_be_an_advanced_devotee_-_Radhanath_Swami.mp3", "Thats_what_it_means_to_be_an_advanced_devotee_-_Radhanath_Swami.mp3")</f>
        <v>Thats_what_it_means_to_be_an_advanced_devotee_-_Radhanath_Swami.mp3</v>
      </c>
      <c r="D6344" s="24"/>
      <c r="E6344" s="24"/>
    </row>
    <row r="6345">
      <c r="A6345" s="25" t="s">
        <v>18864</v>
      </c>
      <c r="B6345" s="25" t="s">
        <v>19010</v>
      </c>
      <c r="C6345" s="26" t="str">
        <f>HYPERLINK("https://audio.iskcondesiretree.com/02_-_ISKCON_Swamis/ISKCON_Swamis_-_R_to_Y/His_Holiness_Radhanath_Swami/Lectures/Short_Clips/The_Art_Of_Self_Confidence_-_Radhanath_Swami.mp3", "The_Art_Of_Self_Confidence_-_Radhanath_Swami.mp3")</f>
        <v>The_Art_Of_Self_Confidence_-_Radhanath_Swami.mp3</v>
      </c>
      <c r="D6345" s="24"/>
      <c r="E6345" s="24"/>
    </row>
    <row r="6346">
      <c r="A6346" s="25" t="s">
        <v>18864</v>
      </c>
      <c r="B6346" s="25" t="s">
        <v>19011</v>
      </c>
      <c r="C6346" s="26" t="str">
        <f>HYPERLINK("https://audio.iskcondesiretree.com/02_-_ISKCON_Swamis/ISKCON_Swamis_-_R_to_Y/His_Holiness_Radhanath_Swami/Lectures/Short_Clips/The_Challenges_To_Bhakti_In_a_City_-_Radhanath_Swami.mp3", "The_Challenges_To_Bhakti_In_a_City_-_Radhanath_Swami.mp3")</f>
        <v>The_Challenges_To_Bhakti_In_a_City_-_Radhanath_Swami.mp3</v>
      </c>
      <c r="D6346" s="24"/>
      <c r="E6346" s="24"/>
    </row>
    <row r="6347">
      <c r="A6347" s="25" t="s">
        <v>18864</v>
      </c>
      <c r="B6347" s="25" t="s">
        <v>19012</v>
      </c>
      <c r="C6347" s="26" t="str">
        <f>HYPERLINK("https://audio.iskcondesiretree.com/02_-_ISKCON_Swamis/ISKCON_Swamis_-_R_to_Y/His_Holiness_Radhanath_Swami/Lectures/Short_Clips/The_Connection_Between_Cleaning_Heart_And_Cleaning_Habits_-_Radhanath_Swami.mp3", "The_Connection_Between_Cleaning_Heart_And_Cleaning_Habits_-_Radhanath_Swami.mp3")</f>
        <v>The_Connection_Between_Cleaning_Heart_And_Cleaning_Habits_-_Radhanath_Swami.mp3</v>
      </c>
      <c r="D6347" s="24"/>
      <c r="E6347" s="24"/>
    </row>
    <row r="6348">
      <c r="A6348" s="25" t="s">
        <v>18864</v>
      </c>
      <c r="B6348" s="25" t="s">
        <v>19013</v>
      </c>
      <c r="C6348" s="26" t="str">
        <f>HYPERLINK("https://audio.iskcondesiretree.com/02_-_ISKCON_Swamis/ISKCON_Swamis_-_R_to_Y/His_Holiness_Radhanath_Swami/Lectures/Short_Clips/The_Desire_To_Love_And_Be_Loved_-_Radhanath_Swami.mp3", "The_Desire_To_Love_And_Be_Loved_-_Radhanath_Swami.mp3")</f>
        <v>The_Desire_To_Love_And_Be_Loved_-_Radhanath_Swami.mp3</v>
      </c>
      <c r="D6348" s="24"/>
      <c r="E6348" s="24"/>
    </row>
    <row r="6349">
      <c r="A6349" s="25" t="s">
        <v>18864</v>
      </c>
      <c r="B6349" s="25" t="s">
        <v>19014</v>
      </c>
      <c r="C6349" s="26" t="str">
        <f>HYPERLINK("https://audio.iskcondesiretree.com/02_-_ISKCON_Swamis/ISKCON_Swamis_-_R_to_Y/His_Holiness_Radhanath_Swami/Lectures/Short_Clips/The_Essential_Quality_Of_Renunciation_Is_Humility_-_Radhanath_Swami.mp3", "The_Essential_Quality_Of_Renunciation_Is_Humility_-_Radhanath_Swami.mp3")</f>
        <v>The_Essential_Quality_Of_Renunciation_Is_Humility_-_Radhanath_Swami.mp3</v>
      </c>
      <c r="D6349" s="24"/>
      <c r="E6349" s="24"/>
    </row>
    <row r="6350">
      <c r="A6350" s="25" t="s">
        <v>18864</v>
      </c>
      <c r="B6350" s="25" t="s">
        <v>19015</v>
      </c>
      <c r="C6350" s="26" t="str">
        <f>HYPERLINK("https://audio.iskcondesiretree.com/02_-_ISKCON_Swamis/ISKCON_Swamis_-_R_to_Y/His_Holiness_Radhanath_Swami/Lectures/Short_Clips/The_Greatest_Problem_Is_The_Hungry_Heart_-_Radhanath_Swami.mp3", "The_Greatest_Problem_Is_The_Hungry_Heart_-_Radhanath_Swami.mp3")</f>
        <v>The_Greatest_Problem_Is_The_Hungry_Heart_-_Radhanath_Swami.mp3</v>
      </c>
      <c r="D6350" s="24"/>
      <c r="E6350" s="24"/>
    </row>
    <row r="6351">
      <c r="A6351" s="25" t="s">
        <v>18864</v>
      </c>
      <c r="B6351" s="25" t="s">
        <v>19016</v>
      </c>
      <c r="C6351" s="26" t="str">
        <f>HYPERLINK("https://audio.iskcondesiretree.com/02_-_ISKCON_Swamis/ISKCON_Swamis_-_R_to_Y/His_Holiness_Radhanath_Swami/Lectures/Short_Clips/The_Hope_To_Be_An_Instrument_Of_God_Is_Incredibly_Wonderful_-_Radhanath_Swami.mp3", "The_Hope_To_Be_An_Instrument_Of_God_Is_Incredibly_Wonderful_-_Radhanath_Swami.mp3")</f>
        <v>The_Hope_To_Be_An_Instrument_Of_God_Is_Incredibly_Wonderful_-_Radhanath_Swami.mp3</v>
      </c>
      <c r="D6351" s="24"/>
      <c r="E6351" s="24"/>
    </row>
    <row r="6352">
      <c r="A6352" s="25" t="s">
        <v>18864</v>
      </c>
      <c r="B6352" s="25" t="s">
        <v>19017</v>
      </c>
      <c r="C6352" s="26" t="str">
        <f>HYPERLINK("https://audio.iskcondesiretree.com/02_-_ISKCON_Swamis/ISKCON_Swamis_-_R_to_Y/His_Holiness_Radhanath_Swami/Lectures/Short_Clips/The_Medicine_Of_Holy_Name_-_Radhanath_Swami.mp3", "The_Medicine_Of_Holy_Name_-_Radhanath_Swami.mp3")</f>
        <v>The_Medicine_Of_Holy_Name_-_Radhanath_Swami.mp3</v>
      </c>
      <c r="D6352" s="24"/>
      <c r="E6352" s="24"/>
    </row>
    <row r="6353">
      <c r="A6353" s="25" t="s">
        <v>18864</v>
      </c>
      <c r="B6353" s="25" t="s">
        <v>19018</v>
      </c>
      <c r="C6353" s="26" t="str">
        <f>HYPERLINK("https://audio.iskcondesiretree.com/02_-_ISKCON_Swamis/ISKCON_Swamis_-_R_to_Y/His_Holiness_Radhanath_Swami/Lectures/Short_Clips/The_Mind_Is_Like_A_Monkey_-_Radhanath_Swami.mp3", "The_Mind_Is_Like_A_Monkey_-_Radhanath_Swami.mp3")</f>
        <v>The_Mind_Is_Like_A_Monkey_-_Radhanath_Swami.mp3</v>
      </c>
      <c r="D6353" s="24"/>
      <c r="E6353" s="24"/>
    </row>
    <row r="6354">
      <c r="A6354" s="25" t="s">
        <v>18864</v>
      </c>
      <c r="B6354" s="25" t="s">
        <v>19019</v>
      </c>
      <c r="C6354" s="26" t="str">
        <f>HYPERLINK("https://audio.iskcondesiretree.com/02_-_ISKCON_Swamis/ISKCON_Swamis_-_R_to_Y/His_Holiness_Radhanath_Swami/Lectures/Short_Clips/The_Power_To_Change_-_Radhanath_Swami.mp3", "The_Power_To_Change_-_Radhanath_Swami.mp3")</f>
        <v>The_Power_To_Change_-_Radhanath_Swami.mp3</v>
      </c>
      <c r="D6354" s="24"/>
      <c r="E6354" s="24"/>
    </row>
    <row r="6355">
      <c r="A6355" s="25" t="s">
        <v>18864</v>
      </c>
      <c r="B6355" s="25" t="s">
        <v>19020</v>
      </c>
      <c r="C6355" s="26" t="str">
        <f>HYPERLINK("https://audio.iskcondesiretree.com/02_-_ISKCON_Swamis/ISKCON_Swamis_-_R_to_Y/His_Holiness_Radhanath_Swami/Lectures/Short_Clips/The_principle_of_Karma_-_Radhanath_Swami.mp3", "The_principle_of_Karma_-_Radhanath_Swami.mp3")</f>
        <v>The_principle_of_Karma_-_Radhanath_Swami.mp3</v>
      </c>
      <c r="D6355" s="24"/>
      <c r="E6355" s="24"/>
    </row>
    <row r="6356">
      <c r="A6356" s="25" t="s">
        <v>18864</v>
      </c>
      <c r="B6356" s="25" t="s">
        <v>19021</v>
      </c>
      <c r="C6356" s="26" t="str">
        <f>HYPERLINK("https://audio.iskcondesiretree.com/02_-_ISKCON_Swamis/ISKCON_Swamis_-_R_to_Y/His_Holiness_Radhanath_Swami/Lectures/Short_Clips/The_reasons_behind_natural_calamities_-_Radhanath_Swami.mp3", "The_reasons_behind_natural_calamities_-_Radhanath_Swami.mp3")</f>
        <v>The_reasons_behind_natural_calamities_-_Radhanath_Swami.mp3</v>
      </c>
      <c r="D6356" s="24"/>
      <c r="E6356" s="24"/>
    </row>
    <row r="6357">
      <c r="A6357" s="25" t="s">
        <v>18864</v>
      </c>
      <c r="B6357" s="25" t="s">
        <v>19022</v>
      </c>
      <c r="C6357" s="26" t="str">
        <f>HYPERLINK("https://audio.iskcondesiretree.com/02_-_ISKCON_Swamis/ISKCON_Swamis_-_R_to_Y/His_Holiness_Radhanath_Swami/Lectures/Short_Clips/The_Root_Cause_Of_Fear_-_Radhanath_Swami.mp3", "The_Root_Cause_Of_Fear_-_Radhanath_Swami.mp3")</f>
        <v>The_Root_Cause_Of_Fear_-_Radhanath_Swami.mp3</v>
      </c>
      <c r="D6357" s="24"/>
      <c r="E6357" s="24"/>
    </row>
    <row r="6358">
      <c r="A6358" s="25" t="s">
        <v>18864</v>
      </c>
      <c r="B6358" s="25" t="s">
        <v>19023</v>
      </c>
      <c r="C6358" s="26" t="str">
        <f>HYPERLINK("https://audio.iskcondesiretree.com/02_-_ISKCON_Swamis/ISKCON_Swamis_-_R_to_Y/His_Holiness_Radhanath_Swami/Lectures/Short_Clips/The_Secret_Of_Enthusiasm_And_Happiness_-_Radhanath_Swami.mp3", "The_Secret_Of_Enthusiasm_And_Happiness_-_Radhanath_Swami.mp3")</f>
        <v>The_Secret_Of_Enthusiasm_And_Happiness_-_Radhanath_Swami.mp3</v>
      </c>
      <c r="D6358" s="24"/>
      <c r="E6358" s="24"/>
    </row>
    <row r="6359">
      <c r="A6359" s="25" t="s">
        <v>18864</v>
      </c>
      <c r="B6359" s="25" t="s">
        <v>19024</v>
      </c>
      <c r="C6359" s="26" t="str">
        <f>HYPERLINK("https://audio.iskcondesiretree.com/02_-_ISKCON_Swamis/ISKCON_Swamis_-_R_to_Y/His_Holiness_Radhanath_Swami/Lectures/Short_Clips/The_Spoilt_Child_-_Radhanath_Swami.mp3", "The_Spoilt_Child_-_Radhanath_Swami.mp3")</f>
        <v>The_Spoilt_Child_-_Radhanath_Swami.mp3</v>
      </c>
      <c r="D6359" s="24"/>
      <c r="E6359" s="24"/>
    </row>
    <row r="6360">
      <c r="A6360" s="25" t="s">
        <v>18864</v>
      </c>
      <c r="B6360" s="25" t="s">
        <v>19025</v>
      </c>
      <c r="C6360" s="26" t="str">
        <f>HYPERLINK("https://audio.iskcondesiretree.com/02_-_ISKCON_Swamis/ISKCON_Swamis_-_R_to_Y/His_Holiness_Radhanath_Swami/Lectures/Short_Clips/The_Ultimate_Prayer_-_Radhanath_Swami.mp3", "The_Ultimate_Prayer_-_Radhanath_Swami.mp3")</f>
        <v>The_Ultimate_Prayer_-_Radhanath_Swami.mp3</v>
      </c>
      <c r="D6360" s="24"/>
      <c r="E6360" s="24"/>
    </row>
    <row r="6361">
      <c r="A6361" s="25" t="s">
        <v>18864</v>
      </c>
      <c r="B6361" s="25" t="s">
        <v>19026</v>
      </c>
      <c r="C6361" s="26" t="str">
        <f>HYPERLINK("https://audio.iskcondesiretree.com/02_-_ISKCON_Swamis/ISKCON_Swamis_-_R_to_Y/His_Holiness_Radhanath_Swami/Lectures/Short_Clips/The_Way_To_Complete_Confidence_Enthusiasm_and_Preseverance_-_Radhanath_Swami.mp3", "The_Way_To_Complete_Confidence_Enthusiasm_and_Preseverance_-_Radhanath_Swami.mp3")</f>
        <v>The_Way_To_Complete_Confidence_Enthusiasm_and_Preseverance_-_Radhanath_Swami.mp3</v>
      </c>
      <c r="D6361" s="24"/>
      <c r="E6361" s="24"/>
    </row>
    <row r="6362">
      <c r="A6362" s="25" t="s">
        <v>18864</v>
      </c>
      <c r="B6362" s="25" t="s">
        <v>19027</v>
      </c>
      <c r="C6362" s="26" t="str">
        <f>HYPERLINK("https://audio.iskcondesiretree.com/02_-_ISKCON_Swamis/ISKCON_Swamis_-_R_to_Y/His_Holiness_Radhanath_Swami/Lectures/Short_Clips/The_Yuga_Avatar_-_Radhanath_Swami.mp3", "The_Yuga_Avatar_-_Radhanath_Swami.mp3")</f>
        <v>The_Yuga_Avatar_-_Radhanath_Swami.mp3</v>
      </c>
      <c r="D6362" s="24"/>
      <c r="E6362" s="24"/>
    </row>
    <row r="6363">
      <c r="A6363" s="25" t="s">
        <v>18864</v>
      </c>
      <c r="B6363" s="25" t="s">
        <v>19028</v>
      </c>
      <c r="C6363" s="26" t="str">
        <f>HYPERLINK("https://audio.iskcondesiretree.com/02_-_ISKCON_Swamis/ISKCON_Swamis_-_R_to_Y/His_Holiness_Radhanath_Swami/Lectures/Short_Clips/There_Is_No_Environmental_Crisis._-_Radhanath_Swami.mp3", "There_Is_No_Environmental_Crisis._-_Radhanath_Swami.mp3")</f>
        <v>There_Is_No_Environmental_Crisis._-_Radhanath_Swami.mp3</v>
      </c>
      <c r="D6363" s="24"/>
      <c r="E6363" s="24"/>
    </row>
    <row r="6364">
      <c r="A6364" s="25" t="s">
        <v>18864</v>
      </c>
      <c r="B6364" s="25" t="s">
        <v>19029</v>
      </c>
      <c r="C6364" s="26" t="str">
        <f>HYPERLINK("https://audio.iskcondesiretree.com/02_-_ISKCON_Swamis/ISKCON_Swamis_-_R_to_Y/His_Holiness_Radhanath_Swami/Lectures/Short_Clips/This_Is_Real_Kirtan_-_Radhanath_Swami.mp3", "This_Is_Real_Kirtan_-_Radhanath_Swami.mp3")</f>
        <v>This_Is_Real_Kirtan_-_Radhanath_Swami.mp3</v>
      </c>
      <c r="D6364" s="24"/>
      <c r="E6364" s="24"/>
    </row>
    <row r="6365">
      <c r="A6365" s="25" t="s">
        <v>18864</v>
      </c>
      <c r="B6365" s="25" t="s">
        <v>19030</v>
      </c>
      <c r="C6365" s="26" t="str">
        <f>HYPERLINK("https://audio.iskcondesiretree.com/02_-_ISKCON_Swamis/ISKCON_Swamis_-_R_to_Y/His_Holiness_Radhanath_Swami/Lectures/Short_Clips/This_world_is_a_mirror_of_our_own_consiousness_-_Radhanath_Swami.mp3", "This_world_is_a_mirror_of_our_own_consiousness_-_Radhanath_Swami.mp3")</f>
        <v>This_world_is_a_mirror_of_our_own_consiousness_-_Radhanath_Swami.mp3</v>
      </c>
      <c r="D6365" s="24"/>
      <c r="E6365" s="24"/>
    </row>
    <row r="6366">
      <c r="A6366" s="25" t="s">
        <v>18864</v>
      </c>
      <c r="B6366" s="25" t="s">
        <v>19031</v>
      </c>
      <c r="C6366" s="26" t="str">
        <f>HYPERLINK("https://audio.iskcondesiretree.com/02_-_ISKCON_Swamis/ISKCON_Swamis_-_R_to_Y/His_Holiness_Radhanath_Swami/Lectures/Short_Clips/Three_Types_Of_Persons_Performing_their_Duties_-_Radhanath_Swami.mp3", "Three_Types_Of_Persons_Performing_their_Duties_-_Radhanath_Swami.mp3")</f>
        <v>Three_Types_Of_Persons_Performing_their_Duties_-_Radhanath_Swami.mp3</v>
      </c>
      <c r="D6366" s="24"/>
      <c r="E6366" s="24"/>
    </row>
    <row r="6367">
      <c r="A6367" s="25" t="s">
        <v>18864</v>
      </c>
      <c r="B6367" s="25" t="s">
        <v>19032</v>
      </c>
      <c r="C6367" s="26" t="str">
        <f>HYPERLINK("https://audio.iskcondesiretree.com/02_-_ISKCON_Swamis/ISKCON_Swamis_-_R_to_Y/His_Holiness_Radhanath_Swami/Lectures/Short_Clips/Three_Views_Of_The_World_-_Radhanath_Swami.mp3", "Three_Views_Of_The_World_-_Radhanath_Swami.mp3")</f>
        <v>Three_Views_Of_The_World_-_Radhanath_Swami.mp3</v>
      </c>
      <c r="D6367" s="24"/>
      <c r="E6367" s="24"/>
    </row>
    <row r="6368">
      <c r="A6368" s="25" t="s">
        <v>18864</v>
      </c>
      <c r="B6368" s="25" t="s">
        <v>19033</v>
      </c>
      <c r="C6368" s="26" t="str">
        <f>HYPERLINK("https://audio.iskcondesiretree.com/02_-_ISKCON_Swamis/ISKCON_Swamis_-_R_to_Y/His_Holiness_Radhanath_Swami/Lectures/Short_Clips/Thus_Spake_An_American_Indian_-_Radhanath_Swami.mp3", "Thus_Spake_An_American_Indian_-_Radhanath_Swami.mp3")</f>
        <v>Thus_Spake_An_American_Indian_-_Radhanath_Swami.mp3</v>
      </c>
      <c r="D6368" s="24"/>
      <c r="E6368" s="24"/>
    </row>
    <row r="6369">
      <c r="A6369" s="25" t="s">
        <v>18864</v>
      </c>
      <c r="B6369" s="25" t="s">
        <v>19034</v>
      </c>
      <c r="C6369" s="26" t="str">
        <f>HYPERLINK("https://audio.iskcondesiretree.com/02_-_ISKCON_Swamis/ISKCON_Swamis_-_R_to_Y/His_Holiness_Radhanath_Swami/Lectures/Short_Clips/Time_is_so_Precious_01_-_Radhanath_Swami.mp3", "Time_is_so_Precious_01_-_Radhanath_Swami.mp3")</f>
        <v>Time_is_so_Precious_01_-_Radhanath_Swami.mp3</v>
      </c>
      <c r="D6369" s="24"/>
      <c r="E6369" s="24"/>
    </row>
    <row r="6370">
      <c r="A6370" s="25" t="s">
        <v>18864</v>
      </c>
      <c r="B6370" s="25" t="s">
        <v>19035</v>
      </c>
      <c r="C6370" s="26" t="str">
        <f>HYPERLINK("https://audio.iskcondesiretree.com/02_-_ISKCON_Swamis/ISKCON_Swamis_-_R_to_Y/His_Holiness_Radhanath_Swami/Lectures/Short_Clips/Time_is_so_Precious_02_-_Radhanath_Swami.mp3", "Time_is_so_Precious_02_-_Radhanath_Swami.mp3")</f>
        <v>Time_is_so_Precious_02_-_Radhanath_Swami.mp3</v>
      </c>
      <c r="D6370" s="24"/>
      <c r="E6370" s="24"/>
    </row>
    <row r="6371">
      <c r="A6371" s="25" t="s">
        <v>18864</v>
      </c>
      <c r="B6371" s="25" t="s">
        <v>19036</v>
      </c>
      <c r="C6371" s="26" t="str">
        <f>HYPERLINK("https://audio.iskcondesiretree.com/02_-_ISKCON_Swamis/ISKCON_Swamis_-_R_to_Y/His_Holiness_Radhanath_Swami/Lectures/Short_Clips/To_fail_is_not_much_of_a_loss_-_Radhanath_Swami.mp3", "To_fail_is_not_much_of_a_loss_-_Radhanath_Swami.mp3")</f>
        <v>To_fail_is_not_much_of_a_loss_-_Radhanath_Swami.mp3</v>
      </c>
      <c r="D6371" s="24"/>
      <c r="E6371" s="24"/>
    </row>
    <row r="6372">
      <c r="A6372" s="25" t="s">
        <v>18864</v>
      </c>
      <c r="B6372" s="25" t="s">
        <v>19037</v>
      </c>
      <c r="C6372" s="26" t="str">
        <f>HYPERLINK("https://audio.iskcondesiretree.com/02_-_ISKCON_Swamis/ISKCON_Swamis_-_R_to_Y/His_Holiness_Radhanath_Swami/Lectures/Short_Clips/Tolerate_Honor_without_Becoming_Arrogant_-_Radhanath_Swami.mp3", "Tolerate_Honor_without_Becoming_Arrogant_-_Radhanath_Swami.mp3")</f>
        <v>Tolerate_Honor_without_Becoming_Arrogant_-_Radhanath_Swami.mp3</v>
      </c>
      <c r="D6372" s="24"/>
      <c r="E6372" s="24"/>
    </row>
    <row r="6373">
      <c r="A6373" s="25" t="s">
        <v>18864</v>
      </c>
      <c r="B6373" s="25" t="s">
        <v>19038</v>
      </c>
      <c r="C6373" s="26" t="str">
        <f>HYPERLINK("https://audio.iskcondesiretree.com/02_-_ISKCON_Swamis/ISKCON_Swamis_-_R_to_Y/His_Holiness_Radhanath_Swami/Lectures/Short_Clips/True_Greatness_-_Radhanath_Swami.mp3", "True_Greatness_-_Radhanath_Swami.mp3")</f>
        <v>True_Greatness_-_Radhanath_Swami.mp3</v>
      </c>
      <c r="D6373" s="24"/>
      <c r="E6373" s="24"/>
    </row>
    <row r="6374">
      <c r="A6374" s="25" t="s">
        <v>18864</v>
      </c>
      <c r="B6374" s="25" t="s">
        <v>19039</v>
      </c>
      <c r="C6374" s="26" t="str">
        <f>HYPERLINK("https://audio.iskcondesiretree.com/02_-_ISKCON_Swamis/ISKCON_Swamis_-_R_to_Y/His_Holiness_Radhanath_Swami/Lectures/Short_Clips/Unity_Is_Strength_-_Radhanath_Swami.mp3", "Unity_Is_Strength_-_Radhanath_Swami.mp3")</f>
        <v>Unity_Is_Strength_-_Radhanath_Swami.mp3</v>
      </c>
      <c r="D6374" s="24"/>
      <c r="E6374" s="24"/>
    </row>
    <row r="6375">
      <c r="A6375" s="25" t="s">
        <v>18864</v>
      </c>
      <c r="B6375" s="25" t="s">
        <v>19040</v>
      </c>
      <c r="C6375" s="26" t="str">
        <f>HYPERLINK("https://audio.iskcondesiretree.com/02_-_ISKCON_Swamis/ISKCON_Swamis_-_R_to_Y/His_Holiness_Radhanath_Swami/Lectures/Short_Clips/Uprooting_The_Weeds_Of_Bad_Habits_-_Radhanath_Swami.mp3", "Uprooting_The_Weeds_Of_Bad_Habits_-_Radhanath_Swami.mp3")</f>
        <v>Uprooting_The_Weeds_Of_Bad_Habits_-_Radhanath_Swami.mp3</v>
      </c>
      <c r="D6375" s="24"/>
      <c r="E6375" s="24"/>
    </row>
    <row r="6376">
      <c r="A6376" s="25" t="s">
        <v>18864</v>
      </c>
      <c r="B6376" s="25" t="s">
        <v>19041</v>
      </c>
      <c r="C6376" s="26" t="str">
        <f>HYPERLINK("https://audio.iskcondesiretree.com/02_-_ISKCON_Swamis/ISKCON_Swamis_-_R_to_Y/His_Holiness_Radhanath_Swami/Lectures/Short_Clips/Utilizing_Technology_for_a_Higher_Cause_-_Radhanath_Swami.mp3", "Utilizing_Technology_for_a_Higher_Cause_-_Radhanath_Swami.mp3")</f>
        <v>Utilizing_Technology_for_a_Higher_Cause_-_Radhanath_Swami.mp3</v>
      </c>
      <c r="D6376" s="24"/>
      <c r="E6376" s="24"/>
    </row>
    <row r="6377">
      <c r="A6377" s="25" t="s">
        <v>18864</v>
      </c>
      <c r="B6377" s="25" t="s">
        <v>19042</v>
      </c>
      <c r="C6377" s="26" t="str">
        <f>HYPERLINK("https://audio.iskcondesiretree.com/02_-_ISKCON_Swamis/ISKCON_Swamis_-_R_to_Y/His_Holiness_Radhanath_Swami/Lectures/Short_Clips/Vedas_Teach_Us_the_Ultimate_Goal_of_Life_-_Radhanath_Swami.mp3", "Vedas_Teach_Us_the_Ultimate_Goal_of_Life_-_Radhanath_Swami.mp3")</f>
        <v>Vedas_Teach_Us_the_Ultimate_Goal_of_Life_-_Radhanath_Swami.mp3</v>
      </c>
      <c r="D6377" s="24"/>
      <c r="E6377" s="24"/>
    </row>
    <row r="6378">
      <c r="A6378" s="25" t="s">
        <v>18864</v>
      </c>
      <c r="B6378" s="25" t="s">
        <v>19043</v>
      </c>
      <c r="C6378" s="26" t="str">
        <f>HYPERLINK("https://audio.iskcondesiretree.com/02_-_ISKCON_Swamis/ISKCON_Swamis_-_R_to_Y/His_Holiness_Radhanath_Swami/Lectures/Short_Clips/Vedic_Perspective_On_Climatic_Change_-_Radhanath_Swami.mp3", "Vedic_Perspective_On_Climatic_Change_-_Radhanath_Swami.mp3")</f>
        <v>Vedic_Perspective_On_Climatic_Change_-_Radhanath_Swami.mp3</v>
      </c>
      <c r="D6378" s="24"/>
      <c r="E6378" s="24"/>
    </row>
    <row r="6379">
      <c r="A6379" s="25" t="s">
        <v>18864</v>
      </c>
      <c r="B6379" s="25" t="s">
        <v>19044</v>
      </c>
      <c r="C6379" s="26" t="str">
        <f>HYPERLINK("https://audio.iskcondesiretree.com/02_-_ISKCON_Swamis/ISKCON_Swamis_-_R_to_Y/His_Holiness_Radhanath_Swami/Lectures/Short_Clips/Vision_means_seeing_the_invisible_-_Radhanath_Swami.mp3", "Vision_means_seeing_the_invisible_-_Radhanath_Swami.mp3")</f>
        <v>Vision_means_seeing_the_invisible_-_Radhanath_Swami.mp3</v>
      </c>
      <c r="D6379" s="24"/>
      <c r="E6379" s="24"/>
    </row>
    <row r="6380">
      <c r="A6380" s="25" t="s">
        <v>18864</v>
      </c>
      <c r="B6380" s="25" t="s">
        <v>19045</v>
      </c>
      <c r="C6380" s="26" t="str">
        <f>HYPERLINK("https://audio.iskcondesiretree.com/02_-_ISKCON_Swamis/ISKCON_Swamis_-_R_to_Y/His_Holiness_Radhanath_Swami/Lectures/Short_Clips/We_All_Have_An_Opportunity_To_Do_Something_Wonderful_-_Radhanath_Swami.mp3", "We_All_Have_An_Opportunity_To_Do_Something_Wonderful_-_Radhanath_Swami.mp3")</f>
        <v>We_All_Have_An_Opportunity_To_Do_Something_Wonderful_-_Radhanath_Swami.mp3</v>
      </c>
      <c r="D6380" s="24"/>
      <c r="E6380" s="24"/>
    </row>
    <row r="6381">
      <c r="A6381" s="25" t="s">
        <v>18864</v>
      </c>
      <c r="B6381" s="25" t="s">
        <v>19046</v>
      </c>
      <c r="C6381" s="26" t="str">
        <f>HYPERLINK("https://audio.iskcondesiretree.com/02_-_ISKCON_Swamis/ISKCON_Swamis_-_R_to_Y/His_Holiness_Radhanath_Swami/Lectures/Short_Clips/We_Always_Have_The_Free_Will_Power_To_Choose_-_Radhanath_Swami.mp3", "We_Always_Have_The_Free_Will_Power_To_Choose_-_Radhanath_Swami.mp3")</f>
        <v>We_Always_Have_The_Free_Will_Power_To_Choose_-_Radhanath_Swami.mp3</v>
      </c>
      <c r="D6381" s="24"/>
      <c r="E6381" s="24"/>
    </row>
    <row r="6382">
      <c r="A6382" s="25" t="s">
        <v>18864</v>
      </c>
      <c r="B6382" s="25" t="s">
        <v>19047</v>
      </c>
      <c r="C6382" s="26" t="str">
        <f>HYPERLINK("https://audio.iskcondesiretree.com/02_-_ISKCON_Swamis/ISKCON_Swamis_-_R_to_Y/His_Holiness_Radhanath_Swami/Lectures/Short_Clips/We_Become_One_With_The_Supreme_Through_Our_Love_-_Radhanath_Swami.mp3", "We_Become_One_With_The_Supreme_Through_Our_Love_-_Radhanath_Swami.mp3")</f>
        <v>We_Become_One_With_The_Supreme_Through_Our_Love_-_Radhanath_Swami.mp3</v>
      </c>
      <c r="D6382" s="24"/>
      <c r="E6382" s="24"/>
    </row>
    <row r="6383">
      <c r="A6383" s="25" t="s">
        <v>18864</v>
      </c>
      <c r="B6383" s="25" t="s">
        <v>19048</v>
      </c>
      <c r="C6383" s="26" t="str">
        <f>HYPERLINK("https://audio.iskcondesiretree.com/02_-_ISKCON_Swamis/ISKCON_Swamis_-_R_to_Y/His_Holiness_Radhanath_Swami/Lectures/Short_Clips/What_is_Death_-_Radhanath_Swami.mp3", "What_is_Death_-_Radhanath_Swami.mp3")</f>
        <v>What_is_Death_-_Radhanath_Swami.mp3</v>
      </c>
      <c r="D6383" s="24"/>
      <c r="E6383" s="24"/>
    </row>
    <row r="6384">
      <c r="A6384" s="25" t="s">
        <v>18864</v>
      </c>
      <c r="B6384" s="25" t="s">
        <v>19049</v>
      </c>
      <c r="C6384" s="26" t="str">
        <f>HYPERLINK("https://audio.iskcondesiretree.com/02_-_ISKCON_Swamis/ISKCON_Swamis_-_R_to_Y/His_Holiness_Radhanath_Swami/Lectures/Short_Clips/What_Is_Real_Self_Confidence_-_Radhanath_Swami.mp3", "What_Is_Real_Self_Confidence_-_Radhanath_Swami.mp3")</f>
        <v>What_Is_Real_Self_Confidence_-_Radhanath_Swami.mp3</v>
      </c>
      <c r="D6384" s="24"/>
      <c r="E6384" s="24"/>
    </row>
    <row r="6385">
      <c r="A6385" s="25" t="s">
        <v>18864</v>
      </c>
      <c r="B6385" s="25" t="s">
        <v>19050</v>
      </c>
      <c r="C6385" s="26" t="str">
        <f>HYPERLINK("https://audio.iskcondesiretree.com/02_-_ISKCON_Swamis/ISKCON_Swamis_-_R_to_Y/His_Holiness_Radhanath_Swami/Lectures/Short_Clips/What_Makes_a_Person_Great_-_Radhanath_Swami.mp3", "What_Makes_a_Person_Great_-_Radhanath_Swami.mp3")</f>
        <v>What_Makes_a_Person_Great_-_Radhanath_Swami.mp3</v>
      </c>
      <c r="D6385" s="24"/>
      <c r="E6385" s="24"/>
    </row>
    <row r="6386">
      <c r="A6386" s="25" t="s">
        <v>18864</v>
      </c>
      <c r="B6386" s="25" t="s">
        <v>19051</v>
      </c>
      <c r="C6386" s="26" t="str">
        <f>HYPERLINK("https://audio.iskcondesiretree.com/02_-_ISKCON_Swamis/ISKCON_Swamis_-_R_to_Y/His_Holiness_Radhanath_Swami/Lectures/Short_Clips/What_Should_Be_Our_Consciousness_While_Helping_Others_-_Radhanath_Swami.mp3", "What_Should_Be_Our_Consciousness_While_Helping_Others_-_Radhanath_Swami.mp3")</f>
        <v>What_Should_Be_Our_Consciousness_While_Helping_Others_-_Radhanath_Swami.mp3</v>
      </c>
      <c r="D6386" s="24"/>
      <c r="E6386" s="24"/>
    </row>
    <row r="6387">
      <c r="A6387" s="25" t="s">
        <v>18864</v>
      </c>
      <c r="B6387" s="25" t="s">
        <v>19052</v>
      </c>
      <c r="C6387" s="26" t="str">
        <f>HYPERLINK("https://audio.iskcondesiretree.com/02_-_ISKCON_Swamis/ISKCON_Swamis_-_R_to_Y/His_Holiness_Radhanath_Swami/Lectures/Short_Clips/What_We_Should_Be_Striving_For_At_Each_Moment_-_Radhanath_Swami.mp3", "What_We_Should_Be_Striving_For_At_Each_Moment_-_Radhanath_Swami.mp3")</f>
        <v>What_We_Should_Be_Striving_For_At_Each_Moment_-_Radhanath_Swami.mp3</v>
      </c>
      <c r="D6387" s="24"/>
      <c r="E6387" s="24"/>
    </row>
    <row r="6388">
      <c r="A6388" s="25" t="s">
        <v>18864</v>
      </c>
      <c r="B6388" s="25" t="s">
        <v>19053</v>
      </c>
      <c r="C6388" s="26" t="str">
        <f>HYPERLINK("https://audio.iskcondesiretree.com/02_-_ISKCON_Swamis/ISKCON_Swamis_-_R_to_Y/His_Holiness_Radhanath_Swami/Lectures/Short_Clips/When_A_Devotee_Prays_For_Us_-_Radhanath_Swami.mp3", "When_A_Devotee_Prays_For_Us_-_Radhanath_Swami.mp3")</f>
        <v>When_A_Devotee_Prays_For_Us_-_Radhanath_Swami.mp3</v>
      </c>
      <c r="D6388" s="24"/>
      <c r="E6388" s="24"/>
    </row>
    <row r="6389">
      <c r="A6389" s="25" t="s">
        <v>18864</v>
      </c>
      <c r="B6389" s="25" t="s">
        <v>19054</v>
      </c>
      <c r="C6389" s="26" t="str">
        <f>HYPERLINK("https://audio.iskcondesiretree.com/02_-_ISKCON_Swamis/ISKCON_Swamis_-_R_to_Y/His_Holiness_Radhanath_Swami/Lectures/Short_Clips/When_Agitated_Lonely_Or_Bored_-_Radhanath_Swami.mp3", "When_Agitated_Lonely_Or_Bored_-_Radhanath_Swami.mp3")</f>
        <v>When_Agitated_Lonely_Or_Bored_-_Radhanath_Swami.mp3</v>
      </c>
      <c r="D6389" s="24"/>
      <c r="E6389" s="24"/>
    </row>
    <row r="6390">
      <c r="A6390" s="25" t="s">
        <v>18864</v>
      </c>
      <c r="B6390" s="25" t="s">
        <v>19055</v>
      </c>
      <c r="C6390" s="26" t="str">
        <f>HYPERLINK("https://audio.iskcondesiretree.com/02_-_ISKCON_Swamis/ISKCON_Swamis_-_R_to_Y/His_Holiness_Radhanath_Swami/Lectures/Short_Clips/When_Hell_Became_Heaven_For_Me_-_Radhanath_Swami.mp3", "When_Hell_Became_Heaven_For_Me_-_Radhanath_Swami.mp3")</f>
        <v>When_Hell_Became_Heaven_For_Me_-_Radhanath_Swami.mp3</v>
      </c>
      <c r="D6390" s="24"/>
      <c r="E6390" s="24"/>
    </row>
    <row r="6391">
      <c r="A6391" s="25" t="s">
        <v>18864</v>
      </c>
      <c r="B6391" s="25" t="s">
        <v>19056</v>
      </c>
      <c r="C6391" s="26" t="str">
        <f>HYPERLINK("https://audio.iskcondesiretree.com/02_-_ISKCON_Swamis/ISKCON_Swamis_-_R_to_Y/His_Holiness_Radhanath_Swami/Lectures/Short_Clips/When_You_Taste_The_Nectar_Of_Krishna_-_Radhanath_Swami.mp3", "When_You_Taste_The_Nectar_Of_Krishna_-_Radhanath_Swami.mp3")</f>
        <v>When_You_Taste_The_Nectar_Of_Krishna_-_Radhanath_Swami.mp3</v>
      </c>
      <c r="D6391" s="24"/>
      <c r="E6391" s="24"/>
    </row>
    <row r="6392">
      <c r="A6392" s="25" t="s">
        <v>18864</v>
      </c>
      <c r="B6392" s="25" t="s">
        <v>19057</v>
      </c>
      <c r="C6392" s="26" t="str">
        <f>HYPERLINK("https://audio.iskcondesiretree.com/02_-_ISKCON_Swamis/ISKCON_Swamis_-_R_to_Y/His_Holiness_Radhanath_Swami/Lectures/Short_Clips/Where_Is_God_-_Radhanath_Swami.mp3", "Where_Is_God_-_Radhanath_Swami.mp3")</f>
        <v>Where_Is_God_-_Radhanath_Swami.mp3</v>
      </c>
      <c r="D6392" s="24"/>
      <c r="E6392" s="24"/>
    </row>
    <row r="6393">
      <c r="A6393" s="25" t="s">
        <v>18864</v>
      </c>
      <c r="B6393" s="25" t="s">
        <v>19058</v>
      </c>
      <c r="C6393" s="26" t="str">
        <f>HYPERLINK("https://audio.iskcondesiretree.com/02_-_ISKCON_Swamis/ISKCON_Swamis_-_R_to_Y/His_Holiness_Radhanath_Swami/Lectures/Short_Clips/Wheres_the_Bhava_-_Radhanath_Swami.mp3", "Wheres_the_Bhava_-_Radhanath_Swami.mp3")</f>
        <v>Wheres_the_Bhava_-_Radhanath_Swami.mp3</v>
      </c>
      <c r="D6393" s="24"/>
      <c r="E6393" s="24"/>
    </row>
    <row r="6394">
      <c r="A6394" s="25" t="s">
        <v>18864</v>
      </c>
      <c r="B6394" s="25" t="s">
        <v>19059</v>
      </c>
      <c r="C6394" s="26" t="str">
        <f>HYPERLINK("https://audio.iskcondesiretree.com/02_-_ISKCON_Swamis/ISKCON_Swamis_-_R_to_Y/His_Holiness_Radhanath_Swami/Lectures/Short_Clips/Whether_I_Win_Or_Lose_Let_It_Be_But_I%E2%80%99m_Going_To_Try_-_Radhanath_Swami.mp3", "Whether_I_Win_Or_Lose_Let_It_Be_But_I%E2%80%99m_Going_To_Try_-_Radhanath_Swami.mp3")</f>
        <v>Whether_I_Win_Or_Lose_Let_It_Be_But_I%E2%80%99m_Going_To_Try_-_Radhanath_Swami.mp3</v>
      </c>
      <c r="D6394" s="24"/>
      <c r="E6394" s="24"/>
    </row>
    <row r="6395">
      <c r="A6395" s="25" t="s">
        <v>18864</v>
      </c>
      <c r="B6395" s="25" t="s">
        <v>19060</v>
      </c>
      <c r="C6395" s="26" t="str">
        <f>HYPERLINK("https://audio.iskcondesiretree.com/02_-_ISKCON_Swamis/ISKCON_Swamis_-_R_to_Y/His_Holiness_Radhanath_Swami/Lectures/Short_Clips/Whom_To_Associate_With_-_Radhanath_Swami.mp3", "Whom_To_Associate_With_-_Radhanath_Swami.mp3")</f>
        <v>Whom_To_Associate_With_-_Radhanath_Swami.mp3</v>
      </c>
      <c r="D6395" s="24"/>
      <c r="E6395" s="24"/>
    </row>
    <row r="6396">
      <c r="A6396" s="25" t="s">
        <v>18864</v>
      </c>
      <c r="B6396" s="25" t="s">
        <v>19061</v>
      </c>
      <c r="C6396" s="26" t="str">
        <f>HYPERLINK("https://audio.iskcondesiretree.com/02_-_ISKCON_Swamis/ISKCON_Swamis_-_R_to_Y/His_Holiness_Radhanath_Swami/Lectures/Short_Clips/Why_common_sense_is_so_uncommon_-_Radhanath_Swami.mp3", "Why_common_sense_is_so_uncommon_-_Radhanath_Swami.mp3")</f>
        <v>Why_common_sense_is_so_uncommon_-_Radhanath_Swami.mp3</v>
      </c>
      <c r="D6396" s="24"/>
      <c r="E6396" s="24"/>
    </row>
    <row r="6397">
      <c r="A6397" s="25" t="s">
        <v>18864</v>
      </c>
      <c r="B6397" s="25" t="s">
        <v>19062</v>
      </c>
      <c r="C6397" s="26" t="str">
        <f>HYPERLINK("https://audio.iskcondesiretree.com/02_-_ISKCON_Swamis/ISKCON_Swamis_-_R_to_Y/His_Holiness_Radhanath_Swami/Lectures/Short_Clips/Why_Do_We_Offer_A_Garland_-_Radhanath_Swami.mp3", "Why_Do_We_Offer_A_Garland_-_Radhanath_Swami.mp3")</f>
        <v>Why_Do_We_Offer_A_Garland_-_Radhanath_Swami.mp3</v>
      </c>
      <c r="D6397" s="24"/>
      <c r="E6397" s="24"/>
    </row>
    <row r="6398">
      <c r="A6398" s="25" t="s">
        <v>18864</v>
      </c>
      <c r="B6398" s="25" t="s">
        <v>19063</v>
      </c>
      <c r="C6398" s="26" t="str">
        <f>HYPERLINK("https://audio.iskcondesiretree.com/02_-_ISKCON_Swamis/ISKCON_Swamis_-_R_to_Y/His_Holiness_Radhanath_Swami/Lectures/Short_Clips/Why_Is_It_Called_Mahamantra_-_Radhanath_Swami.mp3", "Why_Is_It_Called_Mahamantra_-_Radhanath_Swami.mp3")</f>
        <v>Why_Is_It_Called_Mahamantra_-_Radhanath_Swami.mp3</v>
      </c>
      <c r="D6398" s="24"/>
      <c r="E6398" s="24"/>
    </row>
    <row r="6399">
      <c r="A6399" s="25" t="s">
        <v>18864</v>
      </c>
      <c r="B6399" s="25" t="s">
        <v>19064</v>
      </c>
      <c r="C6399" s="26" t="str">
        <f>HYPERLINK("https://audio.iskcondesiretree.com/02_-_ISKCON_Swamis/ISKCON_Swamis_-_R_to_Y/His_Holiness_Radhanath_Swami/Lectures/Short_Clips/Why_Should_We_Pray_-_Radhanath_Swami.mp3", "Why_Should_We_Pray_-_Radhanath_Swami.mp3")</f>
        <v>Why_Should_We_Pray_-_Radhanath_Swami.mp3</v>
      </c>
      <c r="D6399" s="24"/>
      <c r="E6399" s="24"/>
    </row>
    <row r="6400">
      <c r="A6400" s="25" t="s">
        <v>18864</v>
      </c>
      <c r="B6400" s="25" t="s">
        <v>19065</v>
      </c>
      <c r="C6400" s="26" t="str">
        <f>HYPERLINK("https://audio.iskcondesiretree.com/02_-_ISKCON_Swamis/ISKCON_Swamis_-_R_to_Y/His_Holiness_Radhanath_Swami/Lectures/Short_Clips/Winning_The_Game_Of_Life_-_Radhanath_Swami.mp3", "Winning_The_Game_Of_Life_-_Radhanath_Swami.mp3")</f>
        <v>Winning_The_Game_Of_Life_-_Radhanath_Swami.mp3</v>
      </c>
      <c r="D6400" s="24"/>
      <c r="E6400" s="24"/>
    </row>
    <row r="6401">
      <c r="A6401" s="25" t="s">
        <v>18864</v>
      </c>
      <c r="B6401" s="25" t="s">
        <v>19066</v>
      </c>
      <c r="C6401" s="26" t="str">
        <f>HYPERLINK("https://audio.iskcondesiretree.com/02_-_ISKCON_Swamis/ISKCON_Swamis_-_R_to_Y/His_Holiness_Radhanath_Swami/Lectures/Short_Clips/With_Inner_Peace_We_Can_Tolerate_Anger_-_Radhanath_Swami.mp3", "With_Inner_Peace_We_Can_Tolerate_Anger_-_Radhanath_Swami.mp3")</f>
        <v>With_Inner_Peace_We_Can_Tolerate_Anger_-_Radhanath_Swami.mp3</v>
      </c>
      <c r="D6401" s="24"/>
      <c r="E6401" s="24"/>
    </row>
    <row r="6402">
      <c r="A6402" s="25" t="s">
        <v>18864</v>
      </c>
      <c r="B6402" s="25" t="s">
        <v>19067</v>
      </c>
      <c r="C6402" s="26" t="str">
        <f>HYPERLINK("https://audio.iskcondesiretree.com/02_-_ISKCON_Swamis/ISKCON_Swamis_-_R_to_Y/His_Holiness_Radhanath_Swami/Lectures/Short_Clips/Yoga_Of_Marriage_-_Radhanath_Swami.mp3", "Yoga_Of_Marriage_-_Radhanath_Swami.mp3")</f>
        <v>Yoga_Of_Marriage_-_Radhanath_Swami.mp3</v>
      </c>
      <c r="D6402" s="24"/>
      <c r="E6402" s="24"/>
    </row>
    <row r="6403">
      <c r="A6403" s="25" t="s">
        <v>18864</v>
      </c>
      <c r="B6403" s="25" t="s">
        <v>19068</v>
      </c>
      <c r="C6403" s="26" t="str">
        <f>HYPERLINK("https://audio.iskcondesiretree.com/02_-_ISKCON_Swamis/ISKCON_Swamis_-_R_to_Y/His_Holiness_Radhanath_Swami/Lectures/Short_Clips/Yoga_Of_The_Ocean_and_The_Drop_-_Radhanath_Swami.mp3", "Yoga_Of_The_Ocean_and_The_Drop_-_Radhanath_Swami.mp3")</f>
        <v>Yoga_Of_The_Ocean_and_The_Drop_-_Radhanath_Swami.mp3</v>
      </c>
      <c r="D6403" s="24"/>
      <c r="E6403" s="24"/>
    </row>
    <row r="6404">
      <c r="A6404" s="25" t="s">
        <v>18864</v>
      </c>
      <c r="B6404" s="25" t="s">
        <v>19069</v>
      </c>
      <c r="C6404" s="26" t="str">
        <f>HYPERLINK("https://audio.iskcondesiretree.com/02_-_ISKCON_Swamis/ISKCON_Swamis_-_R_to_Y/His_Holiness_Radhanath_Swami/Lectures/Short_Clips/You%E2%80%99ve_Got_The_Boat_Get_The_Compass_And_Captain_-_Radhanath_Swami.mp3", "You%E2%80%99ve_Got_The_Boat_Get_The_Compass_And_Captain_-_Radhanath_Swami.mp3")</f>
        <v>You%E2%80%99ve_Got_The_Boat_Get_The_Compass_And_Captain_-_Radhanath_Swami.mp3</v>
      </c>
      <c r="D6404" s="24"/>
      <c r="E6404" s="24"/>
    </row>
    <row r="6405">
      <c r="A6405" s="25" t="s">
        <v>19070</v>
      </c>
      <c r="B6405" s="25" t="s">
        <v>19071</v>
      </c>
      <c r="C6405" s="26" t="str">
        <f>HYPERLINK("https://audio.iskcondesiretree.com/02_-_ISKCON_Swamis/ISKCON_Swamis_-_R_to_Y/His_Holiness_Radhanath_Swami/Lectures/The_Journey_Home-Audio_Book/01_-_Before_Start-Prology/The_Journey_Home_-_Prology_-_Radhanath_Swami.mp3", "The_Journey_Home_-_Prology_-_Radhanath_Swami.mp3")</f>
        <v>The_Journey_Home_-_Prology_-_Radhanath_Swami.mp3</v>
      </c>
      <c r="D6405" s="24"/>
      <c r="E6405" s="24"/>
    </row>
    <row r="6406">
      <c r="A6406" s="25" t="s">
        <v>19070</v>
      </c>
      <c r="B6406" s="25" t="s">
        <v>19072</v>
      </c>
      <c r="C6406" s="26" t="str">
        <f>HYPERLINK("https://audio.iskcondesiretree.com/02_-_ISKCON_Swamis/ISKCON_Swamis_-_R_to_Y/His_Holiness_Radhanath_Swami/Lectures/The_Journey_Home-Audio_Book/02_-_Journey_to_the_East/The_Journey_Home_-_Journey_to_the_East_Chapter-01_-_Radhanath_Swami.mp3", "The_Journey_Home_-_Journey_to_the_East_Chapter-01_-_Radhanath_Swami.mp3")</f>
        <v>The_Journey_Home_-_Journey_to_the_East_Chapter-01_-_Radhanath_Swami.mp3</v>
      </c>
      <c r="D6406" s="24"/>
      <c r="E6406" s="24"/>
    </row>
    <row r="6407">
      <c r="A6407" s="25" t="s">
        <v>19070</v>
      </c>
      <c r="B6407" s="25" t="s">
        <v>19072</v>
      </c>
      <c r="C6407" s="26" t="str">
        <f>HYPERLINK("https://audio.iskcondesiretree.com/02_-_ISKCON_Swamis/ISKCON_Swamis_-_R_to_Y/His_Holiness_Radhanath_Swami/Lectures/The_Journey_Home-Audio_Book/02_-_Journey_to_the_East/The_Journey_Home_-_Journey_to_the_East_Chapter-02_-_Radhanath_Swami.mp3", "The_Journey_Home_-_Journey_to_the_East_Chapter-02_-_Radhanath_Swami.mp3")</f>
        <v>The_Journey_Home_-_Journey_to_the_East_Chapter-02_-_Radhanath_Swami.mp3</v>
      </c>
      <c r="D6407" s="24"/>
      <c r="E6407" s="24"/>
    </row>
    <row r="6408">
      <c r="A6408" s="25" t="s">
        <v>19070</v>
      </c>
      <c r="B6408" s="25" t="s">
        <v>19072</v>
      </c>
      <c r="C6408" s="26" t="str">
        <f>HYPERLINK("https://audio.iskcondesiretree.com/02_-_ISKCON_Swamis/ISKCON_Swamis_-_R_to_Y/His_Holiness_Radhanath_Swami/Lectures/The_Journey_Home-Audio_Book/02_-_Journey_to_the_East/The_Journey_Home_-_Journey_to_the_East_Chapter-03_-_Radhanath_Swami.mp3", "The_Journey_Home_-_Journey_to_the_East_Chapter-03_-_Radhanath_Swami.mp3")</f>
        <v>The_Journey_Home_-_Journey_to_the_East_Chapter-03_-_Radhanath_Swami.mp3</v>
      </c>
      <c r="D6408" s="24"/>
      <c r="E6408" s="24"/>
    </row>
    <row r="6409">
      <c r="A6409" s="25" t="s">
        <v>19070</v>
      </c>
      <c r="B6409" s="25" t="s">
        <v>19072</v>
      </c>
      <c r="C6409" s="26" t="str">
        <f>HYPERLINK("https://audio.iskcondesiretree.com/02_-_ISKCON_Swamis/ISKCON_Swamis_-_R_to_Y/His_Holiness_Radhanath_Swami/Lectures/The_Journey_Home-Audio_Book/02_-_Journey_to_the_East/The_Journey_Home_-_Journey_to_the_East_Chapter-04_-_Radhanath_Swami.mp3", "The_Journey_Home_-_Journey_to_the_East_Chapter-04_-_Radhanath_Swami.mp3")</f>
        <v>The_Journey_Home_-_Journey_to_the_East_Chapter-04_-_Radhanath_Swami.mp3</v>
      </c>
      <c r="D6409" s="24"/>
      <c r="E6409" s="24"/>
    </row>
    <row r="6410">
      <c r="A6410" s="25" t="s">
        <v>19070</v>
      </c>
      <c r="B6410" s="25" t="s">
        <v>19072</v>
      </c>
      <c r="C6410" s="26" t="str">
        <f>HYPERLINK("https://audio.iskcondesiretree.com/02_-_ISKCON_Swamis/ISKCON_Swamis_-_R_to_Y/His_Holiness_Radhanath_Swami/Lectures/The_Journey_Home-Audio_Book/02_-_Journey_to_the_East/The_Journey_Home_-_Journey_to_the_East_Chapter-05_-_Radhanath_Swami.mp3", "The_Journey_Home_-_Journey_to_the_East_Chapter-05_-_Radhanath_Swami.mp3")</f>
        <v>The_Journey_Home_-_Journey_to_the_East_Chapter-05_-_Radhanath_Swami.mp3</v>
      </c>
      <c r="D6410" s="24"/>
      <c r="E6410" s="24"/>
    </row>
    <row r="6411">
      <c r="A6411" s="25" t="s">
        <v>19070</v>
      </c>
      <c r="B6411" s="25" t="s">
        <v>19072</v>
      </c>
      <c r="C6411" s="26" t="str">
        <f>HYPERLINK("https://audio.iskcondesiretree.com/02_-_ISKCON_Swamis/ISKCON_Swamis_-_R_to_Y/His_Holiness_Radhanath_Swami/Lectures/The_Journey_Home-Audio_Book/02_-_Journey_to_the_East/The_Journey_Home_-_Journey_to_the_East_Chapter-06_-_Radhanath_Swami.mp3", "The_Journey_Home_-_Journey_to_the_East_Chapter-06_-_Radhanath_Swami.mp3")</f>
        <v>The_Journey_Home_-_Journey_to_the_East_Chapter-06_-_Radhanath_Swami.mp3</v>
      </c>
      <c r="D6411" s="24"/>
      <c r="E6411" s="24"/>
    </row>
    <row r="6412">
      <c r="A6412" s="25" t="s">
        <v>19070</v>
      </c>
      <c r="B6412" s="25" t="s">
        <v>19072</v>
      </c>
      <c r="C6412" s="26" t="str">
        <f>HYPERLINK("https://audio.iskcondesiretree.com/02_-_ISKCON_Swamis/ISKCON_Swamis_-_R_to_Y/His_Holiness_Radhanath_Swami/Lectures/The_Journey_Home-Audio_Book/02_-_Journey_to_the_East/The_Journey_Home_-_Journey_to_the_East_Chapter-07_-_Radhanath_Swami.mp3", "The_Journey_Home_-_Journey_to_the_East_Chapter-07_-_Radhanath_Swami.mp3")</f>
        <v>The_Journey_Home_-_Journey_to_the_East_Chapter-07_-_Radhanath_Swami.mp3</v>
      </c>
      <c r="D6412" s="24"/>
      <c r="E6412" s="24"/>
    </row>
    <row r="6413">
      <c r="A6413" s="25" t="s">
        <v>19070</v>
      </c>
      <c r="B6413" s="25" t="s">
        <v>19072</v>
      </c>
      <c r="C6413" s="26" t="str">
        <f>HYPERLINK("https://audio.iskcondesiretree.com/02_-_ISKCON_Swamis/ISKCON_Swamis_-_R_to_Y/His_Holiness_Radhanath_Swami/Lectures/The_Journey_Home-Audio_Book/02_-_Journey_to_the_East/The_Journey_Home_-_Journey_to_the_East_Chapter-08_-_Radhanath_Swami.mp3", "The_Journey_Home_-_Journey_to_the_East_Chapter-08_-_Radhanath_Swami.mp3")</f>
        <v>The_Journey_Home_-_Journey_to_the_East_Chapter-08_-_Radhanath_Swami.mp3</v>
      </c>
      <c r="D6413" s="24"/>
      <c r="E6413" s="24"/>
    </row>
    <row r="6414">
      <c r="A6414" s="25" t="s">
        <v>19070</v>
      </c>
      <c r="B6414" s="25" t="s">
        <v>19072</v>
      </c>
      <c r="C6414" s="26" t="str">
        <f>HYPERLINK("https://audio.iskcondesiretree.com/02_-_ISKCON_Swamis/ISKCON_Swamis_-_R_to_Y/His_Holiness_Radhanath_Swami/Lectures/The_Journey_Home-Audio_Book/02_-_Journey_to_the_East/The_Journey_Home_-_Journey_to_the_East_Chapter-09_-_Radhanath_Swami.mp3", "The_Journey_Home_-_Journey_to_the_East_Chapter-09_-_Radhanath_Swami.mp3")</f>
        <v>The_Journey_Home_-_Journey_to_the_East_Chapter-09_-_Radhanath_Swami.mp3</v>
      </c>
      <c r="D6414" s="24"/>
      <c r="E6414" s="24"/>
    </row>
    <row r="6415">
      <c r="A6415" s="25" t="s">
        <v>19070</v>
      </c>
      <c r="B6415" s="25" t="s">
        <v>19072</v>
      </c>
      <c r="C6415" s="26" t="str">
        <f>HYPERLINK("https://audio.iskcondesiretree.com/02_-_ISKCON_Swamis/ISKCON_Swamis_-_R_to_Y/His_Holiness_Radhanath_Swami/Lectures/The_Journey_Home-Audio_Book/02_-_Journey_to_the_East/The_Journey_Home_-_Journey_to_the_East_Chapter-10_-_Radhanath_Swami.mp3", "The_Journey_Home_-_Journey_to_the_East_Chapter-10_-_Radhanath_Swami.mp3")</f>
        <v>The_Journey_Home_-_Journey_to_the_East_Chapter-10_-_Radhanath_Swami.mp3</v>
      </c>
      <c r="D6415" s="24"/>
      <c r="E6415" s="24"/>
    </row>
    <row r="6416">
      <c r="A6416" s="25" t="s">
        <v>19070</v>
      </c>
      <c r="B6416" s="25" t="s">
        <v>19072</v>
      </c>
      <c r="C6416" s="26" t="str">
        <f>HYPERLINK("https://audio.iskcondesiretree.com/02_-_ISKCON_Swamis/ISKCON_Swamis_-_R_to_Y/His_Holiness_Radhanath_Swami/Lectures/The_Journey_Home-Audio_Book/02_-_Journey_to_the_East/The_Journey_Home_-_Journey_to_the_East_Chapter-11_-_Radhanath_Swami.mp3", "The_Journey_Home_-_Journey_to_the_East_Chapter-11_-_Radhanath_Swami.mp3")</f>
        <v>The_Journey_Home_-_Journey_to_the_East_Chapter-11_-_Radhanath_Swami.mp3</v>
      </c>
      <c r="D6416" s="24"/>
      <c r="E6416" s="24"/>
    </row>
    <row r="6417">
      <c r="A6417" s="25" t="s">
        <v>19070</v>
      </c>
      <c r="B6417" s="25" t="s">
        <v>19072</v>
      </c>
      <c r="C6417" s="26" t="str">
        <f>HYPERLINK("https://audio.iskcondesiretree.com/02_-_ISKCON_Swamis/ISKCON_Swamis_-_R_to_Y/His_Holiness_Radhanath_Swami/Lectures/The_Journey_Home-Audio_Book/02_-_Journey_to_the_East/The_Journey_Home_-_Journey_to_the_East_Chapter-12_-_Radhanath_Swami.mp3", "The_Journey_Home_-_Journey_to_the_East_Chapter-12_-_Radhanath_Swami.mp3")</f>
        <v>The_Journey_Home_-_Journey_to_the_East_Chapter-12_-_Radhanath_Swami.mp3</v>
      </c>
      <c r="D6417" s="24"/>
      <c r="E6417" s="24"/>
    </row>
    <row r="6418">
      <c r="A6418" s="25" t="s">
        <v>19070</v>
      </c>
      <c r="B6418" s="25" t="s">
        <v>19073</v>
      </c>
      <c r="C6418" s="26" t="str">
        <f>HYPERLINK("https://audio.iskcondesiretree.com/02_-_ISKCON_Swamis/ISKCON_Swamis_-_R_to_Y/His_Holiness_Radhanath_Swami/Lectures/The_Journey_Home-Audio_Book/03_-_Mother_India/The_Journey_Home_-_Mother_India_Chapter-01_-_Radhanath_Swami.mp3", "The_Journey_Home_-_Mother_India_Chapter-01_-_Radhanath_Swami.mp3")</f>
        <v>The_Journey_Home_-_Mother_India_Chapter-01_-_Radhanath_Swami.mp3</v>
      </c>
      <c r="D6418" s="24"/>
      <c r="E6418" s="24"/>
    </row>
    <row r="6419">
      <c r="A6419" s="25" t="s">
        <v>19070</v>
      </c>
      <c r="B6419" s="25" t="s">
        <v>19073</v>
      </c>
      <c r="C6419" s="26" t="str">
        <f>HYPERLINK("https://audio.iskcondesiretree.com/02_-_ISKCON_Swamis/ISKCON_Swamis_-_R_to_Y/His_Holiness_Radhanath_Swami/Lectures/The_Journey_Home-Audio_Book/03_-_Mother_India/The_Journey_Home_-_Mother_India_Chapter-02_-_Radhanath_Swami.mp3", "The_Journey_Home_-_Mother_India_Chapter-02_-_Radhanath_Swami.mp3")</f>
        <v>The_Journey_Home_-_Mother_India_Chapter-02_-_Radhanath_Swami.mp3</v>
      </c>
      <c r="D6419" s="24"/>
      <c r="E6419" s="24"/>
    </row>
    <row r="6420">
      <c r="A6420" s="25" t="s">
        <v>19070</v>
      </c>
      <c r="B6420" s="25" t="s">
        <v>19073</v>
      </c>
      <c r="C6420" s="26" t="str">
        <f>HYPERLINK("https://audio.iskcondesiretree.com/02_-_ISKCON_Swamis/ISKCON_Swamis_-_R_to_Y/His_Holiness_Radhanath_Swami/Lectures/The_Journey_Home-Audio_Book/03_-_Mother_India/The_Journey_Home_-_Mother_India_Chapter-03_-_Radhanath_Swami.mp3", "The_Journey_Home_-_Mother_India_Chapter-03_-_Radhanath_Swami.mp3")</f>
        <v>The_Journey_Home_-_Mother_India_Chapter-03_-_Radhanath_Swami.mp3</v>
      </c>
      <c r="D6420" s="24"/>
      <c r="E6420" s="24"/>
    </row>
    <row r="6421">
      <c r="A6421" s="25" t="s">
        <v>19070</v>
      </c>
      <c r="B6421" s="25" t="s">
        <v>19073</v>
      </c>
      <c r="C6421" s="26" t="str">
        <f>HYPERLINK("https://audio.iskcondesiretree.com/02_-_ISKCON_Swamis/ISKCON_Swamis_-_R_to_Y/His_Holiness_Radhanath_Swami/Lectures/The_Journey_Home-Audio_Book/03_-_Mother_India/The_Journey_Home_-_Mother_India_Chapter-04_-_Radhanath_Swami.mp3", "The_Journey_Home_-_Mother_India_Chapter-04_-_Radhanath_Swami.mp3")</f>
        <v>The_Journey_Home_-_Mother_India_Chapter-04_-_Radhanath_Swami.mp3</v>
      </c>
      <c r="D6421" s="24"/>
      <c r="E6421" s="24"/>
    </row>
    <row r="6422">
      <c r="A6422" s="25" t="s">
        <v>19070</v>
      </c>
      <c r="B6422" s="25" t="s">
        <v>19073</v>
      </c>
      <c r="C6422" s="26" t="str">
        <f>HYPERLINK("https://audio.iskcondesiretree.com/02_-_ISKCON_Swamis/ISKCON_Swamis_-_R_to_Y/His_Holiness_Radhanath_Swami/Lectures/The_Journey_Home-Audio_Book/03_-_Mother_India/The_Journey_Home_-_Mother_India_Chapter-05_-_Radhanath_Swami.mp3", "The_Journey_Home_-_Mother_India_Chapter-05_-_Radhanath_Swami.mp3")</f>
        <v>The_Journey_Home_-_Mother_India_Chapter-05_-_Radhanath_Swami.mp3</v>
      </c>
      <c r="D6422" s="24"/>
      <c r="E6422" s="24"/>
    </row>
    <row r="6423">
      <c r="A6423" s="25" t="s">
        <v>19070</v>
      </c>
      <c r="B6423" s="25" t="s">
        <v>19073</v>
      </c>
      <c r="C6423" s="26" t="str">
        <f>HYPERLINK("https://audio.iskcondesiretree.com/02_-_ISKCON_Swamis/ISKCON_Swamis_-_R_to_Y/His_Holiness_Radhanath_Swami/Lectures/The_Journey_Home-Audio_Book/03_-_Mother_India/The_Journey_Home_-_Mother_India_Chapter-06_-_Radhanath_Swami.mp3", "The_Journey_Home_-_Mother_India_Chapter-06_-_Radhanath_Swami.mp3")</f>
        <v>The_Journey_Home_-_Mother_India_Chapter-06_-_Radhanath_Swami.mp3</v>
      </c>
      <c r="D6423" s="24"/>
      <c r="E6423" s="24"/>
    </row>
    <row r="6424">
      <c r="A6424" s="25" t="s">
        <v>19070</v>
      </c>
      <c r="B6424" s="25" t="s">
        <v>19073</v>
      </c>
      <c r="C6424" s="26" t="str">
        <f>HYPERLINK("https://audio.iskcondesiretree.com/02_-_ISKCON_Swamis/ISKCON_Swamis_-_R_to_Y/His_Holiness_Radhanath_Swami/Lectures/The_Journey_Home-Audio_Book/03_-_Mother_India/The_Journey_Home_-_Mother_India_Chapter-07_-_Radhanath_Swami.mp3", "The_Journey_Home_-_Mother_India_Chapter-07_-_Radhanath_Swami.mp3")</f>
        <v>The_Journey_Home_-_Mother_India_Chapter-07_-_Radhanath_Swami.mp3</v>
      </c>
      <c r="D6424" s="24"/>
      <c r="E6424" s="24"/>
    </row>
    <row r="6425">
      <c r="A6425" s="25" t="s">
        <v>19070</v>
      </c>
      <c r="B6425" s="25" t="s">
        <v>19073</v>
      </c>
      <c r="C6425" s="26" t="str">
        <f>HYPERLINK("https://audio.iskcondesiretree.com/02_-_ISKCON_Swamis/ISKCON_Swamis_-_R_to_Y/His_Holiness_Radhanath_Swami/Lectures/The_Journey_Home-Audio_Book/03_-_Mother_India/The_Journey_Home_-_Mother_India_Chapter-08_-_Radhanath_Swami.mp3", "The_Journey_Home_-_Mother_India_Chapter-08_-_Radhanath_Swami.mp3")</f>
        <v>The_Journey_Home_-_Mother_India_Chapter-08_-_Radhanath_Swami.mp3</v>
      </c>
      <c r="D6425" s="24"/>
      <c r="E6425" s="24"/>
    </row>
    <row r="6426">
      <c r="A6426" s="25" t="s">
        <v>19070</v>
      </c>
      <c r="B6426" s="25" t="s">
        <v>19074</v>
      </c>
      <c r="C6426" s="26" t="str">
        <f>HYPERLINK("https://audio.iskcondesiretree.com/02_-_ISKCON_Swamis/ISKCON_Swamis_-_R_to_Y/His_Holiness_Radhanath_Swami/Lectures/The_Journey_Home-Audio_Book/04_-_Himalayan_Pilgrimage/The_Journey_Home_-_Himalayan_Pilgrimage_Chapter-01_-_Radhanath_Swami.mp3", "The_Journey_Home_-_Himalayan_Pilgrimage_Chapter-01_-_Radhanath_Swami.mp3")</f>
        <v>The_Journey_Home_-_Himalayan_Pilgrimage_Chapter-01_-_Radhanath_Swami.mp3</v>
      </c>
      <c r="D6426" s="24"/>
      <c r="E6426" s="24"/>
    </row>
    <row r="6427">
      <c r="A6427" s="25" t="s">
        <v>19070</v>
      </c>
      <c r="B6427" s="25" t="s">
        <v>19074</v>
      </c>
      <c r="C6427" s="26" t="str">
        <f>HYPERLINK("https://audio.iskcondesiretree.com/02_-_ISKCON_Swamis/ISKCON_Swamis_-_R_to_Y/His_Holiness_Radhanath_Swami/Lectures/The_Journey_Home-Audio_Book/04_-_Himalayan_Pilgrimage/The_Journey_Home_-_Himalayan_Pilgrimage_Chapter-02_-_Radhanath_Swami.mp3", "The_Journey_Home_-_Himalayan_Pilgrimage_Chapter-02_-_Radhanath_Swami.mp3")</f>
        <v>The_Journey_Home_-_Himalayan_Pilgrimage_Chapter-02_-_Radhanath_Swami.mp3</v>
      </c>
      <c r="D6427" s="24"/>
      <c r="E6427" s="24"/>
    </row>
    <row r="6428">
      <c r="A6428" s="25" t="s">
        <v>19070</v>
      </c>
      <c r="B6428" s="25" t="s">
        <v>19074</v>
      </c>
      <c r="C6428" s="26" t="str">
        <f>HYPERLINK("https://audio.iskcondesiretree.com/02_-_ISKCON_Swamis/ISKCON_Swamis_-_R_to_Y/His_Holiness_Radhanath_Swami/Lectures/The_Journey_Home-Audio_Book/04_-_Himalayan_Pilgrimage/The_Journey_Home_-_Himalayan_Pilgrimage_Chapter-03_-_Radhanath_Swami.mp3", "The_Journey_Home_-_Himalayan_Pilgrimage_Chapter-03_-_Radhanath_Swami.mp3")</f>
        <v>The_Journey_Home_-_Himalayan_Pilgrimage_Chapter-03_-_Radhanath_Swami.mp3</v>
      </c>
      <c r="D6428" s="24"/>
      <c r="E6428" s="24"/>
    </row>
    <row r="6429">
      <c r="A6429" s="25" t="s">
        <v>19070</v>
      </c>
      <c r="B6429" s="25" t="s">
        <v>19074</v>
      </c>
      <c r="C6429" s="26" t="str">
        <f>HYPERLINK("https://audio.iskcondesiretree.com/02_-_ISKCON_Swamis/ISKCON_Swamis_-_R_to_Y/His_Holiness_Radhanath_Swami/Lectures/The_Journey_Home-Audio_Book/04_-_Himalayan_Pilgrimage/The_Journey_Home_-_Himalayan_Pilgrimage_Chapter-04_-_Radhanath_Swami.mp3", "The_Journey_Home_-_Himalayan_Pilgrimage_Chapter-04_-_Radhanath_Swami.mp3")</f>
        <v>The_Journey_Home_-_Himalayan_Pilgrimage_Chapter-04_-_Radhanath_Swami.mp3</v>
      </c>
      <c r="D6429" s="24"/>
      <c r="E6429" s="24"/>
    </row>
    <row r="6430">
      <c r="A6430" s="25" t="s">
        <v>19070</v>
      </c>
      <c r="B6430" s="25" t="s">
        <v>19074</v>
      </c>
      <c r="C6430" s="26" t="str">
        <f>HYPERLINK("https://audio.iskcondesiretree.com/02_-_ISKCON_Swamis/ISKCON_Swamis_-_R_to_Y/His_Holiness_Radhanath_Swami/Lectures/The_Journey_Home-Audio_Book/04_-_Himalayan_Pilgrimage/The_Journey_Home_-_Himalayan_Pilgrimage_Chapter-05_-_Radhanath_Swami.mp3", "The_Journey_Home_-_Himalayan_Pilgrimage_Chapter-05_-_Radhanath_Swami.mp3")</f>
        <v>The_Journey_Home_-_Himalayan_Pilgrimage_Chapter-05_-_Radhanath_Swami.mp3</v>
      </c>
      <c r="D6430" s="24"/>
      <c r="E6430" s="24"/>
    </row>
    <row r="6431">
      <c r="A6431" s="25" t="s">
        <v>19070</v>
      </c>
      <c r="B6431" s="25" t="s">
        <v>19074</v>
      </c>
      <c r="C6431" s="26" t="str">
        <f>HYPERLINK("https://audio.iskcondesiretree.com/02_-_ISKCON_Swamis/ISKCON_Swamis_-_R_to_Y/His_Holiness_Radhanath_Swami/Lectures/The_Journey_Home-Audio_Book/04_-_Himalayan_Pilgrimage/The_Journey_Home_-_Himalayan_Pilgrimage_Chapter-06_-_Radhanath_Swami.mp3", "The_Journey_Home_-_Himalayan_Pilgrimage_Chapter-06_-_Radhanath_Swami.mp3")</f>
        <v>The_Journey_Home_-_Himalayan_Pilgrimage_Chapter-06_-_Radhanath_Swami.mp3</v>
      </c>
      <c r="D6431" s="24"/>
      <c r="E6431" s="24"/>
    </row>
    <row r="6432">
      <c r="A6432" s="25" t="s">
        <v>19070</v>
      </c>
      <c r="B6432" s="25" t="s">
        <v>19074</v>
      </c>
      <c r="C6432" s="26" t="str">
        <f>HYPERLINK("https://audio.iskcondesiretree.com/02_-_ISKCON_Swamis/ISKCON_Swamis_-_R_to_Y/His_Holiness_Radhanath_Swami/Lectures/The_Journey_Home-Audio_Book/04_-_Himalayan_Pilgrimage/The_Journey_Home_-_Himalayan_Pilgrimage_Chapter-07_-_Radhanath_Swami.mp3", "The_Journey_Home_-_Himalayan_Pilgrimage_Chapter-07_-_Radhanath_Swami.mp3")</f>
        <v>The_Journey_Home_-_Himalayan_Pilgrimage_Chapter-07_-_Radhanath_Swami.mp3</v>
      </c>
      <c r="D6432" s="24"/>
      <c r="E6432" s="24"/>
    </row>
    <row r="6433">
      <c r="A6433" s="25" t="s">
        <v>19070</v>
      </c>
      <c r="B6433" s="25" t="s">
        <v>19074</v>
      </c>
      <c r="C6433" s="26" t="str">
        <f>HYPERLINK("https://audio.iskcondesiretree.com/02_-_ISKCON_Swamis/ISKCON_Swamis_-_R_to_Y/His_Holiness_Radhanath_Swami/Lectures/The_Journey_Home-Audio_Book/04_-_Himalayan_Pilgrimage/The_Journey_Home_-_Himalayan_Pilgrimage_Chapter-08_-_Radhanath_Swami.mp3", "The_Journey_Home_-_Himalayan_Pilgrimage_Chapter-08_-_Radhanath_Swami.mp3")</f>
        <v>The_Journey_Home_-_Himalayan_Pilgrimage_Chapter-08_-_Radhanath_Swami.mp3</v>
      </c>
      <c r="D6433" s="24"/>
      <c r="E6433" s="24"/>
    </row>
    <row r="6434">
      <c r="A6434" s="25" t="s">
        <v>19070</v>
      </c>
      <c r="B6434" s="25" t="s">
        <v>19074</v>
      </c>
      <c r="C6434" s="26" t="str">
        <f>HYPERLINK("https://audio.iskcondesiretree.com/02_-_ISKCON_Swamis/ISKCON_Swamis_-_R_to_Y/His_Holiness_Radhanath_Swami/Lectures/The_Journey_Home-Audio_Book/04_-_Himalayan_Pilgrimage/The_Journey_Home_-_Himalayan_Pilgrimage_Chapter-09_-_Radhanath_Swami.mp3", "The_Journey_Home_-_Himalayan_Pilgrimage_Chapter-09_-_Radhanath_Swami.mp3")</f>
        <v>The_Journey_Home_-_Himalayan_Pilgrimage_Chapter-09_-_Radhanath_Swami.mp3</v>
      </c>
      <c r="D6434" s="24"/>
      <c r="E6434" s="24"/>
    </row>
    <row r="6435">
      <c r="A6435" s="25" t="s">
        <v>19070</v>
      </c>
      <c r="B6435" s="25" t="s">
        <v>19075</v>
      </c>
      <c r="C6435" s="26" t="str">
        <f>HYPERLINK("https://audio.iskcondesiretree.com/02_-_ISKCON_Swamis/ISKCON_Swamis_-_R_to_Y/His_Holiness_Radhanath_Swami/Lectures/The_Journey_Home-Audio_Book/05_-_Forest_of_Grace/The_Journey_Home_-_Forest_of_Grace_Chapter-01_-_Radhanath_Swami.mp3", "The_Journey_Home_-_Forest_of_Grace_Chapter-01_-_Radhanath_Swami.mp3")</f>
        <v>The_Journey_Home_-_Forest_of_Grace_Chapter-01_-_Radhanath_Swami.mp3</v>
      </c>
      <c r="D6435" s="24"/>
      <c r="E6435" s="24"/>
    </row>
    <row r="6436">
      <c r="A6436" s="25" t="s">
        <v>19070</v>
      </c>
      <c r="B6436" s="25" t="s">
        <v>19075</v>
      </c>
      <c r="C6436" s="26" t="str">
        <f>HYPERLINK("https://audio.iskcondesiretree.com/02_-_ISKCON_Swamis/ISKCON_Swamis_-_R_to_Y/His_Holiness_Radhanath_Swami/Lectures/The_Journey_Home-Audio_Book/05_-_Forest_of_Grace/The_Journey_Home_-_Forest_of_Grace_Chapter-02_-_Radhanath_Swami.mp3", "The_Journey_Home_-_Forest_of_Grace_Chapter-02_-_Radhanath_Swami.mp3")</f>
        <v>The_Journey_Home_-_Forest_of_Grace_Chapter-02_-_Radhanath_Swami.mp3</v>
      </c>
      <c r="D6436" s="24"/>
      <c r="E6436" s="24"/>
    </row>
    <row r="6437">
      <c r="A6437" s="25" t="s">
        <v>19070</v>
      </c>
      <c r="B6437" s="25" t="s">
        <v>19075</v>
      </c>
      <c r="C6437" s="26" t="str">
        <f>HYPERLINK("https://audio.iskcondesiretree.com/02_-_ISKCON_Swamis/ISKCON_Swamis_-_R_to_Y/His_Holiness_Radhanath_Swami/Lectures/The_Journey_Home-Audio_Book/05_-_Forest_of_Grace/The_Journey_Home_-_Forest_of_Grace_Chapter-03_-_Radhanath_Swami.mp3", "The_Journey_Home_-_Forest_of_Grace_Chapter-03_-_Radhanath_Swami.mp3")</f>
        <v>The_Journey_Home_-_Forest_of_Grace_Chapter-03_-_Radhanath_Swami.mp3</v>
      </c>
      <c r="D6437" s="24"/>
      <c r="E6437" s="24"/>
    </row>
    <row r="6438">
      <c r="A6438" s="25" t="s">
        <v>19070</v>
      </c>
      <c r="B6438" s="25" t="s">
        <v>19075</v>
      </c>
      <c r="C6438" s="26" t="str">
        <f>HYPERLINK("https://audio.iskcondesiretree.com/02_-_ISKCON_Swamis/ISKCON_Swamis_-_R_to_Y/His_Holiness_Radhanath_Swami/Lectures/The_Journey_Home-Audio_Book/05_-_Forest_of_Grace/The_Journey_Home_-_Forest_of_Grace_Chapter-04_-_Radhanath_Swami.mp3", "The_Journey_Home_-_Forest_of_Grace_Chapter-04_-_Radhanath_Swami.mp3")</f>
        <v>The_Journey_Home_-_Forest_of_Grace_Chapter-04_-_Radhanath_Swami.mp3</v>
      </c>
      <c r="D6438" s="24"/>
      <c r="E6438" s="24"/>
    </row>
    <row r="6439">
      <c r="A6439" s="25" t="s">
        <v>19070</v>
      </c>
      <c r="B6439" s="25" t="s">
        <v>19075</v>
      </c>
      <c r="C6439" s="26" t="str">
        <f>HYPERLINK("https://audio.iskcondesiretree.com/02_-_ISKCON_Swamis/ISKCON_Swamis_-_R_to_Y/His_Holiness_Radhanath_Swami/Lectures/The_Journey_Home-Audio_Book/05_-_Forest_of_Grace/The_Journey_Home_-_Forest_of_Grace_Chapter-05_-_Radhanath_Swami.mp3", "The_Journey_Home_-_Forest_of_Grace_Chapter-05_-_Radhanath_Swami.mp3")</f>
        <v>The_Journey_Home_-_Forest_of_Grace_Chapter-05_-_Radhanath_Swami.mp3</v>
      </c>
      <c r="D6439" s="24"/>
      <c r="E6439" s="24"/>
    </row>
    <row r="6440">
      <c r="A6440" s="25" t="s">
        <v>19070</v>
      </c>
      <c r="B6440" s="25" t="s">
        <v>19075</v>
      </c>
      <c r="C6440" s="26" t="str">
        <f>HYPERLINK("https://audio.iskcondesiretree.com/02_-_ISKCON_Swamis/ISKCON_Swamis_-_R_to_Y/His_Holiness_Radhanath_Swami/Lectures/The_Journey_Home-Audio_Book/05_-_Forest_of_Grace/The_Journey_Home_-_Forest_of_Grace_Chapter-06_-_Radhanath_Swami.mp3", "The_Journey_Home_-_Forest_of_Grace_Chapter-06_-_Radhanath_Swami.mp3")</f>
        <v>The_Journey_Home_-_Forest_of_Grace_Chapter-06_-_Radhanath_Swami.mp3</v>
      </c>
      <c r="D6440" s="24"/>
      <c r="E6440" s="24"/>
    </row>
    <row r="6441">
      <c r="A6441" s="25" t="s">
        <v>19070</v>
      </c>
      <c r="B6441" s="25" t="s">
        <v>19075</v>
      </c>
      <c r="C6441" s="26" t="str">
        <f>HYPERLINK("https://audio.iskcondesiretree.com/02_-_ISKCON_Swamis/ISKCON_Swamis_-_R_to_Y/His_Holiness_Radhanath_Swami/Lectures/The_Journey_Home-Audio_Book/05_-_Forest_of_Grace/The_Journey_Home_-_Forest_of_Grace_Chapter-07_-_Radhanath_Swami.mp3", "The_Journey_Home_-_Forest_of_Grace_Chapter-07_-_Radhanath_Swami.mp3")</f>
        <v>The_Journey_Home_-_Forest_of_Grace_Chapter-07_-_Radhanath_Swami.mp3</v>
      </c>
      <c r="D6441" s="24"/>
      <c r="E6441" s="24"/>
    </row>
    <row r="6442">
      <c r="A6442" s="25" t="s">
        <v>19070</v>
      </c>
      <c r="B6442" s="25" t="s">
        <v>19075</v>
      </c>
      <c r="C6442" s="26" t="str">
        <f>HYPERLINK("https://audio.iskcondesiretree.com/02_-_ISKCON_Swamis/ISKCON_Swamis_-_R_to_Y/His_Holiness_Radhanath_Swami/Lectures/The_Journey_Home-Audio_Book/05_-_Forest_of_Grace/The_Journey_Home_-_Forest_of_Grace_Chapter-08_-_Radhanath_Swami.mp3", "The_Journey_Home_-_Forest_of_Grace_Chapter-08_-_Radhanath_Swami.mp3")</f>
        <v>The_Journey_Home_-_Forest_of_Grace_Chapter-08_-_Radhanath_Swami.mp3</v>
      </c>
      <c r="D6442" s="24"/>
      <c r="E6442" s="24"/>
    </row>
    <row r="6443">
      <c r="A6443" s="25" t="s">
        <v>19070</v>
      </c>
      <c r="B6443" s="25" t="s">
        <v>19075</v>
      </c>
      <c r="C6443" s="26" t="str">
        <f>HYPERLINK("https://audio.iskcondesiretree.com/02_-_ISKCON_Swamis/ISKCON_Swamis_-_R_to_Y/His_Holiness_Radhanath_Swami/Lectures/The_Journey_Home-Audio_Book/05_-_Forest_of_Grace/The_Journey_Home_-_Forest_of_Grace_Chapter-09_-_Radhanath_Swami.mp3", "The_Journey_Home_-_Forest_of_Grace_Chapter-09_-_Radhanath_Swami.mp3")</f>
        <v>The_Journey_Home_-_Forest_of_Grace_Chapter-09_-_Radhanath_Swami.mp3</v>
      </c>
      <c r="D6443" s="24"/>
      <c r="E6443" s="24"/>
    </row>
    <row r="6444">
      <c r="A6444" s="25" t="s">
        <v>19070</v>
      </c>
      <c r="B6444" s="25" t="s">
        <v>19075</v>
      </c>
      <c r="C6444" s="26" t="str">
        <f>HYPERLINK("https://audio.iskcondesiretree.com/02_-_ISKCON_Swamis/ISKCON_Swamis_-_R_to_Y/His_Holiness_Radhanath_Swami/Lectures/The_Journey_Home-Audio_Book/05_-_Forest_of_Grace/The_Journey_Home_-_Forest_of_Grace_Chapter-10_-_Radhanath_Swami.mp3", "The_Journey_Home_-_Forest_of_Grace_Chapter-10_-_Radhanath_Swami.mp3")</f>
        <v>The_Journey_Home_-_Forest_of_Grace_Chapter-10_-_Radhanath_Swami.mp3</v>
      </c>
      <c r="D6444" s="24"/>
      <c r="E6444" s="24"/>
    </row>
    <row r="6445">
      <c r="A6445" s="25" t="s">
        <v>19070</v>
      </c>
      <c r="B6445" s="25" t="s">
        <v>19075</v>
      </c>
      <c r="C6445" s="26" t="str">
        <f>HYPERLINK("https://audio.iskcondesiretree.com/02_-_ISKCON_Swamis/ISKCON_Swamis_-_R_to_Y/His_Holiness_Radhanath_Swami/Lectures/The_Journey_Home-Audio_Book/05_-_Forest_of_Grace/The_Journey_Home_-_Forest_of_Grace_Chapter-11_-_Radhanath_Swami.mp3", "The_Journey_Home_-_Forest_of_Grace_Chapter-11_-_Radhanath_Swami.mp3")</f>
        <v>The_Journey_Home_-_Forest_of_Grace_Chapter-11_-_Radhanath_Swami.mp3</v>
      </c>
      <c r="D6445" s="24"/>
      <c r="E6445" s="24"/>
    </row>
    <row r="6446">
      <c r="A6446" s="25" t="s">
        <v>19070</v>
      </c>
      <c r="B6446" s="25" t="s">
        <v>19075</v>
      </c>
      <c r="C6446" s="26" t="str">
        <f>HYPERLINK("https://audio.iskcondesiretree.com/02_-_ISKCON_Swamis/ISKCON_Swamis_-_R_to_Y/His_Holiness_Radhanath_Swami/Lectures/The_Journey_Home-Audio_Book/05_-_Forest_of_Grace/The_Journey_Home_-_Forest_of_Grace_Chapter-12_-_Radhanath_Swami.mp3", "The_Journey_Home_-_Forest_of_Grace_Chapter-12_-_Radhanath_Swami.mp3")</f>
        <v>The_Journey_Home_-_Forest_of_Grace_Chapter-12_-_Radhanath_Swami.mp3</v>
      </c>
      <c r="D6446" s="24"/>
      <c r="E6446" s="24"/>
    </row>
    <row r="6447">
      <c r="A6447" s="25" t="s">
        <v>19070</v>
      </c>
      <c r="B6447" s="25" t="s">
        <v>19075</v>
      </c>
      <c r="C6447" s="26" t="str">
        <f>HYPERLINK("https://audio.iskcondesiretree.com/02_-_ISKCON_Swamis/ISKCON_Swamis_-_R_to_Y/His_Holiness_Radhanath_Swami/Lectures/The_Journey_Home-Audio_Book/05_-_Forest_of_Grace/The_Journey_Home_-_Forest_of_Grace_Chapter-13_-_Radhanath_Swami.mp3", "The_Journey_Home_-_Forest_of_Grace_Chapter-13_-_Radhanath_Swami.mp3")</f>
        <v>The_Journey_Home_-_Forest_of_Grace_Chapter-13_-_Radhanath_Swami.mp3</v>
      </c>
      <c r="D6447" s="24"/>
      <c r="E6447" s="24"/>
    </row>
    <row r="6448">
      <c r="A6448" s="25" t="s">
        <v>19070</v>
      </c>
      <c r="B6448" s="25" t="s">
        <v>19075</v>
      </c>
      <c r="C6448" s="26" t="str">
        <f>HYPERLINK("https://audio.iskcondesiretree.com/02_-_ISKCON_Swamis/ISKCON_Swamis_-_R_to_Y/His_Holiness_Radhanath_Swami/Lectures/The_Journey_Home-Audio_Book/05_-_Forest_of_Grace/The_Journey_Home_-_Forest_of_Grace_Chapter-14_-_Radhanath_Swami.mp3", "The_Journey_Home_-_Forest_of_Grace_Chapter-14_-_Radhanath_Swami.mp3")</f>
        <v>The_Journey_Home_-_Forest_of_Grace_Chapter-14_-_Radhanath_Swami.mp3</v>
      </c>
      <c r="D6448" s="24"/>
      <c r="E6448" s="24"/>
    </row>
    <row r="6449">
      <c r="A6449" s="25" t="s">
        <v>19070</v>
      </c>
      <c r="B6449" s="25" t="s">
        <v>19076</v>
      </c>
      <c r="C6449" s="26" t="str">
        <f>HYPERLINK("https://audio.iskcondesiretree.com/02_-_ISKCON_Swamis/ISKCON_Swamis_-_R_to_Y/His_Holiness_Radhanath_Swami/Lectures/The_Journey_Home-Audio_Book/06_-_Part_End-Afterword/The_Journey_Home_-_Afterword_-_Radhanath_Swami.mp3", "The_Journey_Home_-_Afterword_-_Radhanath_Swami.mp3")</f>
        <v>The_Journey_Home_-_Afterword_-_Radhanath_Swami.mp3</v>
      </c>
      <c r="D6449" s="24"/>
      <c r="E6449" s="24"/>
    </row>
    <row r="6450">
      <c r="A6450" s="25" t="s">
        <v>19070</v>
      </c>
      <c r="B6450" s="25" t="s">
        <v>19077</v>
      </c>
      <c r="C6450" s="26" t="str">
        <f>HYPERLINK("https://audio.iskcondesiretree.com/02_-_ISKCON_Swamis/ISKCON_Swamis_-_R_to_Y/His_Holiness_Radhanath_Swami/Lectures/The_Journey_Home-Audio_Book/07_-_Part_End-Authors_Note/The_Journey_Home_-_Authors_Note_-_Radhanath_Swami.mp3", "The_Journey_Home_-_Authors_Note_-_Radhanath_Swami.mp3")</f>
        <v>The_Journey_Home_-_Authors_Note_-_Radhanath_Swami.mp3</v>
      </c>
      <c r="D6450" s="24"/>
      <c r="E6450" s="24"/>
    </row>
    <row r="6451">
      <c r="A6451" s="25" t="s">
        <v>19078</v>
      </c>
      <c r="B6451" s="25" t="s">
        <v>19079</v>
      </c>
      <c r="C6451" s="26" t="str">
        <f t="shared" ref="C6451:C6452" si="1">HYPERLINK("https://audio.iskcondesiretree.com/02_-_ISKCON_Swamis/ISKCON_Swamis_-_R_to_Y/His_Holiness_Radhanath_Swami/Bhajans/Hare_Krishna_Dhun/2012-02-22_Bhajans_-_Kirtan_Mela_2012_-_Hare_Krishna_Kirtan_Day-01_-_Radhanath_Swami_ISKCON_Mayapur.mp3", "2012-02-22_Bhajans_-_Kirtan_Mela_2012_-_Hare_Krishna_Kirtan_Day-01_-_Radhanath_Swami_ISKCON_Mayapur.mp3")</f>
        <v>2012-02-22_Bhajans_-_Kirtan_Mela_2012_-_Hare_Krishna_Kirtan_Day-01_-_Radhanath_Swami_ISKCON_Mayapur.mp3</v>
      </c>
      <c r="D6451" s="24"/>
      <c r="E6451" s="24"/>
    </row>
    <row r="6452">
      <c r="A6452" s="25" t="s">
        <v>19078</v>
      </c>
      <c r="B6452" s="25" t="s">
        <v>19079</v>
      </c>
      <c r="C6452" s="26" t="str">
        <f t="shared" si="1"/>
        <v>2012-02-22_Bhajans_-_Kirtan_Mela_2012_-_Hare_Krishna_Kirtan_Day-01_-_Radhanath_Swami_ISKCON_Mayapur.mp3</v>
      </c>
      <c r="D6452" s="24"/>
      <c r="E6452" s="24"/>
    </row>
    <row r="6453">
      <c r="A6453" s="25" t="s">
        <v>19078</v>
      </c>
      <c r="B6453" s="25" t="s">
        <v>19079</v>
      </c>
      <c r="C6453" s="26" t="str">
        <f t="shared" ref="C6453:C6454" si="2">HYPERLINK("https://audio.iskcondesiretree.com/02_-_ISKCON_Swamis/ISKCON_Swamis_-_R_to_Y/His_Holiness_Radhanath_Swami/Bhajans/Hare_Krishna_Dhun/2013-02-06_Bhajans_-_Hare_Krishna_Kirtan_-_Radhanath_Swami_Barsana.mp3", "2013-02-06_Bhajans_-_Hare_Krishna_Kirtan_-_Radhanath_Swami_Barsana.mp3")</f>
        <v>2013-02-06_Bhajans_-_Hare_Krishna_Kirtan_-_Radhanath_Swami_Barsana.mp3</v>
      </c>
      <c r="D6453" s="24"/>
      <c r="E6453" s="24"/>
    </row>
    <row r="6454">
      <c r="A6454" s="25" t="s">
        <v>19078</v>
      </c>
      <c r="B6454" s="25" t="s">
        <v>19079</v>
      </c>
      <c r="C6454" s="26" t="str">
        <f t="shared" si="2"/>
        <v>2013-02-06_Bhajans_-_Hare_Krishna_Kirtan_-_Radhanath_Swami_Barsana.mp3</v>
      </c>
      <c r="D6454" s="24"/>
      <c r="E6454" s="24"/>
    </row>
    <row r="6455">
      <c r="A6455" s="25" t="s">
        <v>19078</v>
      </c>
      <c r="B6455" s="25" t="s">
        <v>19079</v>
      </c>
      <c r="C6455" s="26" t="str">
        <f t="shared" ref="C6455:C6456" si="3">HYPERLINK("https://audio.iskcondesiretree.com/02_-_ISKCON_Swamis/ISKCON_Swamis_-_R_to_Y/His_Holiness_Radhanath_Swami/Bhajans/Hare_Krishna_Dhun/2013-03-11_Bhajans_-_Kirtan_Mela_2013_Hare_Krishna_Kirtan_Day-01_-_Radhanath_Swami_ISKCON_Mayapur.mp3", "2013-03-11_Bhajans_-_Kirtan_Mela_2013_Hare_Krishna_Kirtan_Day-01_-_Radhanath_Swami_ISKCON_Mayapur.mp3")</f>
        <v>2013-03-11_Bhajans_-_Kirtan_Mela_2013_Hare_Krishna_Kirtan_Day-01_-_Radhanath_Swami_ISKCON_Mayapur.mp3</v>
      </c>
      <c r="D6455" s="24"/>
      <c r="E6455" s="24"/>
    </row>
    <row r="6456">
      <c r="A6456" s="25" t="s">
        <v>19078</v>
      </c>
      <c r="B6456" s="25" t="s">
        <v>19079</v>
      </c>
      <c r="C6456" s="26" t="str">
        <f t="shared" si="3"/>
        <v>2013-03-11_Bhajans_-_Kirtan_Mela_2013_Hare_Krishna_Kirtan_Day-01_-_Radhanath_Swami_ISKCON_Mayapur.mp3</v>
      </c>
      <c r="D6456" s="24"/>
      <c r="E6456" s="24"/>
    </row>
    <row r="6457">
      <c r="A6457" s="25" t="s">
        <v>19078</v>
      </c>
      <c r="B6457" s="25" t="s">
        <v>19079</v>
      </c>
      <c r="C6457" s="26" t="str">
        <f t="shared" ref="C6457:C6458" si="4">HYPERLINK("https://audio.iskcondesiretree.com/02_-_ISKCON_Swamis/ISKCON_Swamis_-_R_to_Y/His_Holiness_Radhanath_Swami/Bhajans/Hare_Krishna_Dhun/2013-12-31_Bhajans_-_Hare_Krishna_Kirtan_-_Radhanath_Swami_ISKCON_Chowpatty.mp3", "2013-12-31_Bhajans_-_Hare_Krishna_Kirtan_-_Radhanath_Swami_ISKCON_Chowpatty.mp3")</f>
        <v>2013-12-31_Bhajans_-_Hare_Krishna_Kirtan_-_Radhanath_Swami_ISKCON_Chowpatty.mp3</v>
      </c>
      <c r="D6457" s="24"/>
      <c r="E6457" s="24"/>
    </row>
    <row r="6458">
      <c r="A6458" s="25" t="s">
        <v>19078</v>
      </c>
      <c r="B6458" s="25" t="s">
        <v>19079</v>
      </c>
      <c r="C6458" s="26" t="str">
        <f t="shared" si="4"/>
        <v>2013-12-31_Bhajans_-_Hare_Krishna_Kirtan_-_Radhanath_Swami_ISKCON_Chowpatty.mp3</v>
      </c>
      <c r="D6458" s="24"/>
      <c r="E6458" s="24"/>
    </row>
    <row r="6459">
      <c r="A6459" s="25" t="s">
        <v>19078</v>
      </c>
      <c r="B6459" s="25" t="s">
        <v>19079</v>
      </c>
      <c r="C6459" s="26" t="str">
        <f t="shared" ref="C6459:C6460" si="5">HYPERLINK("https://audio.iskcondesiretree.com/02_-_ISKCON_Swamis/ISKCON_Swamis_-_R_to_Y/His_Holiness_Radhanath_Swami/Bhajans/Hare_Krishna_Dhun/2014-02-28_Kirtan_Mela_2014_-_Hare_Krishna_Kirtan_Day-01_-_Radhanath_Swami_ISKCON_Mayapur.mp3", "2014-02-28_Kirtan_Mela_2014_-_Hare_Krishna_Kirtan_Day-01_-_Radhanath_Swami_ISKCON_Mayapur.mp3")</f>
        <v>2014-02-28_Kirtan_Mela_2014_-_Hare_Krishna_Kirtan_Day-01_-_Radhanath_Swami_ISKCON_Mayapur.mp3</v>
      </c>
      <c r="D6459" s="24"/>
      <c r="E6459" s="24"/>
    </row>
    <row r="6460">
      <c r="A6460" s="25" t="s">
        <v>19078</v>
      </c>
      <c r="B6460" s="25" t="s">
        <v>19079</v>
      </c>
      <c r="C6460" s="26" t="str">
        <f t="shared" si="5"/>
        <v>2014-02-28_Kirtan_Mela_2014_-_Hare_Krishna_Kirtan_Day-01_-_Radhanath_Swami_ISKCON_Mayapur.mp3</v>
      </c>
      <c r="D6460" s="24"/>
      <c r="E6460" s="24"/>
    </row>
    <row r="6461">
      <c r="A6461" s="25" t="s">
        <v>19078</v>
      </c>
      <c r="B6461" s="25" t="s">
        <v>19079</v>
      </c>
      <c r="C6461" s="26" t="str">
        <f t="shared" ref="C6461:C6462" si="6">HYPERLINK("https://audio.iskcondesiretree.com/02_-_ISKCON_Swamis/ISKCON_Swamis_-_R_to_Y/His_Holiness_Radhanath_Swami/Bhajans/Hare_Krishna_Dhun/2014-05-15_Bhajans_-_Hare_Krishna_Kirtan_-_Radhanath_Swami.mp3", "2014-05-15_Bhajans_-_Hare_Krishna_Kirtan_-_Radhanath_Swami.mp3")</f>
        <v>2014-05-15_Bhajans_-_Hare_Krishna_Kirtan_-_Radhanath_Swami.mp3</v>
      </c>
      <c r="D6461" s="24"/>
      <c r="E6461" s="24"/>
    </row>
    <row r="6462">
      <c r="A6462" s="25" t="s">
        <v>19078</v>
      </c>
      <c r="B6462" s="25" t="s">
        <v>19079</v>
      </c>
      <c r="C6462" s="26" t="str">
        <f t="shared" si="6"/>
        <v>2014-05-15_Bhajans_-_Hare_Krishna_Kirtan_-_Radhanath_Swami.mp3</v>
      </c>
      <c r="D6462" s="24"/>
      <c r="E6462" s="24"/>
    </row>
    <row r="6463">
      <c r="A6463" s="25" t="s">
        <v>19078</v>
      </c>
      <c r="B6463" s="25" t="s">
        <v>19079</v>
      </c>
      <c r="C6463" s="26" t="str">
        <f t="shared" ref="C6463:C6464" si="7">HYPERLINK("https://audio.iskcondesiretree.com/02_-_ISKCON_Swamis/ISKCON_Swamis_-_R_to_Y/His_Holiness_Radhanath_Swami/Bhajans/Hare_Krishna_Dhun/2014-07-01_Bhajans_-_Hare_Krishna_Kirtan_-_Radhanath_Swami_Govardha_Eco_Village.mp3", "2014-07-01_Bhajans_-_Hare_Krishna_Kirtan_-_Radhanath_Swami_Govardha_Eco_Village.mp3")</f>
        <v>2014-07-01_Bhajans_-_Hare_Krishna_Kirtan_-_Radhanath_Swami_Govardha_Eco_Village.mp3</v>
      </c>
      <c r="D6463" s="24"/>
      <c r="E6463" s="24"/>
    </row>
    <row r="6464">
      <c r="A6464" s="25" t="s">
        <v>19078</v>
      </c>
      <c r="B6464" s="25" t="s">
        <v>19079</v>
      </c>
      <c r="C6464" s="26" t="str">
        <f t="shared" si="7"/>
        <v>2014-07-01_Bhajans_-_Hare_Krishna_Kirtan_-_Radhanath_Swami_Govardha_Eco_Village.mp3</v>
      </c>
      <c r="D6464" s="24"/>
      <c r="E6464" s="24"/>
    </row>
    <row r="6465">
      <c r="A6465" s="25" t="s">
        <v>19078</v>
      </c>
      <c r="B6465" s="25" t="s">
        <v>19079</v>
      </c>
      <c r="C6465" s="26" t="str">
        <f t="shared" ref="C6465:C6466" si="8">HYPERLINK("https://audio.iskcondesiretree.com/02_-_ISKCON_Swamis/ISKCON_Swamis_-_R_to_Y/His_Holiness_Radhanath_Swami/Bhajans/Hare_Krishna_Dhun/2014-07-19_Bhajans_-_Hare_Krishna_Kirtan_-_Radhanath_Swami_TBC.mp3", "2014-07-19_Bhajans_-_Hare_Krishna_Kirtan_-_Radhanath_Swami_TBC.mp3")</f>
        <v>2014-07-19_Bhajans_-_Hare_Krishna_Kirtan_-_Radhanath_Swami_TBC.mp3</v>
      </c>
      <c r="D6465" s="24"/>
      <c r="E6465" s="24"/>
    </row>
    <row r="6466">
      <c r="A6466" s="25" t="s">
        <v>19078</v>
      </c>
      <c r="B6466" s="25" t="s">
        <v>19079</v>
      </c>
      <c r="C6466" s="26" t="str">
        <f t="shared" si="8"/>
        <v>2014-07-19_Bhajans_-_Hare_Krishna_Kirtan_-_Radhanath_Swami_TBC.mp3</v>
      </c>
      <c r="D6466" s="24"/>
      <c r="E6466" s="24"/>
    </row>
    <row r="6467">
      <c r="A6467" s="25" t="s">
        <v>19078</v>
      </c>
      <c r="B6467" s="25" t="s">
        <v>19079</v>
      </c>
      <c r="C6467" s="26" t="str">
        <f t="shared" ref="C6467:C6468" si="9">HYPERLINK("https://audio.iskcondesiretree.com/02_-_ISKCON_Swamis/ISKCON_Swamis_-_R_to_Y/His_Holiness_Radhanath_Swami/Bhajans/Hare_Krishna_Dhun/2014-08-04_Bhajans_-_Hare_Krishna_Kirtan_-_Radhanath_Swami.mp3", "2014-08-04_Bhajans_-_Hare_Krishna_Kirtan_-_Radhanath_Swami.mp3")</f>
        <v>2014-08-04_Bhajans_-_Hare_Krishna_Kirtan_-_Radhanath_Swami.mp3</v>
      </c>
      <c r="D6467" s="24"/>
      <c r="E6467" s="24"/>
    </row>
    <row r="6468">
      <c r="A6468" s="25" t="s">
        <v>19078</v>
      </c>
      <c r="B6468" s="25" t="s">
        <v>19079</v>
      </c>
      <c r="C6468" s="26" t="str">
        <f t="shared" si="9"/>
        <v>2014-08-04_Bhajans_-_Hare_Krishna_Kirtan_-_Radhanath_Swami.mp3</v>
      </c>
      <c r="D6468" s="24"/>
      <c r="E6468" s="24"/>
    </row>
    <row r="6469">
      <c r="A6469" s="25" t="s">
        <v>19078</v>
      </c>
      <c r="B6469" s="25" t="s">
        <v>19079</v>
      </c>
      <c r="C6469" s="26" t="str">
        <f t="shared" ref="C6469:C6470" si="10">HYPERLINK("https://audio.iskcondesiretree.com/02_-_ISKCON_Swamis/ISKCON_Swamis_-_R_to_Y/His_Holiness_Radhanath_Swami/Bhajans/Hare_Krishna_Dhun/2014-08-15_Bhajans_-_Hare_Krishna_Kirtan_-_Radhanath_Swami_Bhakti_Center.mp3", "2014-08-15_Bhajans_-_Hare_Krishna_Kirtan_-_Radhanath_Swami_Bhakti_Center.mp3")</f>
        <v>2014-08-15_Bhajans_-_Hare_Krishna_Kirtan_-_Radhanath_Swami_Bhakti_Center.mp3</v>
      </c>
      <c r="D6469" s="24"/>
      <c r="E6469" s="24"/>
    </row>
    <row r="6470">
      <c r="A6470" s="25" t="s">
        <v>19078</v>
      </c>
      <c r="B6470" s="25" t="s">
        <v>19079</v>
      </c>
      <c r="C6470" s="26" t="str">
        <f t="shared" si="10"/>
        <v>2014-08-15_Bhajans_-_Hare_Krishna_Kirtan_-_Radhanath_Swami_Bhakti_Center.mp3</v>
      </c>
      <c r="D6470" s="24"/>
      <c r="E6470" s="24"/>
    </row>
    <row r="6471">
      <c r="A6471" s="25" t="s">
        <v>19078</v>
      </c>
      <c r="B6471" s="25" t="s">
        <v>19079</v>
      </c>
      <c r="C6471" s="26" t="str">
        <f t="shared" ref="C6471:C6472" si="11">HYPERLINK("https://audio.iskcondesiretree.com/02_-_ISKCON_Swamis/ISKCON_Swamis_-_R_to_Y/His_Holiness_Radhanath_Swami/Bhajans/Hare_Krishna_Dhun/2014-08-17_Bhajans_-_Hare_Krishna_Kirtan_-_Radhanath_Swami_Bhakti_Center.mp3", "2014-08-17_Bhajans_-_Hare_Krishna_Kirtan_-_Radhanath_Swami_Bhakti_Center.mp3")</f>
        <v>2014-08-17_Bhajans_-_Hare_Krishna_Kirtan_-_Radhanath_Swami_Bhakti_Center.mp3</v>
      </c>
      <c r="D6471" s="24"/>
      <c r="E6471" s="24"/>
    </row>
    <row r="6472">
      <c r="A6472" s="25" t="s">
        <v>19078</v>
      </c>
      <c r="B6472" s="25" t="s">
        <v>19079</v>
      </c>
      <c r="C6472" s="26" t="str">
        <f t="shared" si="11"/>
        <v>2014-08-17_Bhajans_-_Hare_Krishna_Kirtan_-_Radhanath_Swami_Bhakti_Center.mp3</v>
      </c>
      <c r="D6472" s="24"/>
      <c r="E6472" s="24"/>
    </row>
    <row r="6473">
      <c r="A6473" s="25" t="s">
        <v>19078</v>
      </c>
      <c r="B6473" s="25" t="s">
        <v>19079</v>
      </c>
      <c r="C6473" s="26" t="str">
        <f t="shared" ref="C6473:C6474" si="12">HYPERLINK("https://audio.iskcondesiretree.com/02_-_ISKCON_Swamis/ISKCON_Swamis_-_R_to_Y/His_Holiness_Radhanath_Swami/Bhajans/Hare_Krishna_Dhun/2015-02-16_Bhajans_-_Kirtan_Mela_2015-Hare_Krishna_Kirtan_Day-01_-_Radhanath_Swami_ISKCON_Mayapur.mp3", "2015-02-16_Bhajans_-_Kirtan_Mela_2015-Hare_Krishna_Kirtan_Day-01_-_Radhanath_Swami_ISKCON_Mayapur.mp3")</f>
        <v>2015-02-16_Bhajans_-_Kirtan_Mela_2015-Hare_Krishna_Kirtan_Day-01_-_Radhanath_Swami_ISKCON_Mayapur.mp3</v>
      </c>
      <c r="D6473" s="24"/>
      <c r="E6473" s="24"/>
    </row>
    <row r="6474">
      <c r="A6474" s="25" t="s">
        <v>19078</v>
      </c>
      <c r="B6474" s="25" t="s">
        <v>19079</v>
      </c>
      <c r="C6474" s="26" t="str">
        <f t="shared" si="12"/>
        <v>2015-02-16_Bhajans_-_Kirtan_Mela_2015-Hare_Krishna_Kirtan_Day-01_-_Radhanath_Swami_ISKCON_Mayapur.mp3</v>
      </c>
      <c r="D6474" s="24"/>
      <c r="E6474" s="24"/>
    </row>
    <row r="6475">
      <c r="A6475" s="25" t="s">
        <v>19078</v>
      </c>
      <c r="B6475" s="25" t="s">
        <v>19079</v>
      </c>
      <c r="C6475" s="26" t="str">
        <f t="shared" ref="C6475:C6476" si="13">HYPERLINK("https://audio.iskcondesiretree.com/02_-_ISKCON_Swamis/ISKCON_Swamis_-_R_to_Y/His_Holiness_Radhanath_Swami/Bhajans/Hare_Krishna_Dhun/IDT_001-Hare_Krishna_-_Radhanath_Swami.mp3", "IDT_001-Hare_Krishna_-_Radhanath_Swami.mp3")</f>
        <v>IDT_001-Hare_Krishna_-_Radhanath_Swami.mp3</v>
      </c>
      <c r="D6475" s="24"/>
      <c r="E6475" s="24"/>
    </row>
    <row r="6476">
      <c r="A6476" s="25" t="s">
        <v>19078</v>
      </c>
      <c r="B6476" s="25" t="s">
        <v>19079</v>
      </c>
      <c r="C6476" s="26" t="str">
        <f t="shared" si="13"/>
        <v>IDT_001-Hare_Krishna_-_Radhanath_Swami.mp3</v>
      </c>
      <c r="D6476" s="24"/>
      <c r="E6476" s="24"/>
    </row>
    <row r="6477">
      <c r="A6477" s="25" t="s">
        <v>19078</v>
      </c>
      <c r="B6477" s="25" t="s">
        <v>19079</v>
      </c>
      <c r="C6477" s="26" t="str">
        <f t="shared" ref="C6477:C6478" si="14">HYPERLINK("https://audio.iskcondesiretree.com/02_-_ISKCON_Swamis/ISKCON_Swamis_-_R_to_Y/His_Holiness_Radhanath_Swami/Bhajans/Hare_Krishna_Dhun/IDT_002-Hare_Krishna_-_Radhanath_Swami.mp3", "IDT_002-Hare_Krishna_-_Radhanath_Swami.mp3")</f>
        <v>IDT_002-Hare_Krishna_-_Radhanath_Swami.mp3</v>
      </c>
      <c r="D6477" s="24"/>
      <c r="E6477" s="24"/>
    </row>
    <row r="6478">
      <c r="A6478" s="25" t="s">
        <v>19078</v>
      </c>
      <c r="B6478" s="25" t="s">
        <v>19079</v>
      </c>
      <c r="C6478" s="26" t="str">
        <f t="shared" si="14"/>
        <v>IDT_002-Hare_Krishna_-_Radhanath_Swami.mp3</v>
      </c>
      <c r="D6478" s="24"/>
      <c r="E6478" s="24"/>
    </row>
    <row r="6479">
      <c r="A6479" s="25" t="s">
        <v>19078</v>
      </c>
      <c r="B6479" s="25" t="s">
        <v>19079</v>
      </c>
      <c r="C6479" s="26" t="str">
        <f t="shared" ref="C6479:C6480" si="15">HYPERLINK("https://audio.iskcondesiretree.com/02_-_ISKCON_Swamis/ISKCON_Swamis_-_R_to_Y/His_Holiness_Radhanath_Swami/Bhajans/Hare_Krishna_Dhun/IDT_003-Hare_Krishna_-_Radhanath_Swami.MP3", "IDT_003-Hare_Krishna_-_Radhanath_Swami.MP3")</f>
        <v>IDT_003-Hare_Krishna_-_Radhanath_Swami.MP3</v>
      </c>
      <c r="D6479" s="24"/>
      <c r="E6479" s="24"/>
    </row>
    <row r="6480">
      <c r="A6480" s="25" t="s">
        <v>19078</v>
      </c>
      <c r="B6480" s="25" t="s">
        <v>19079</v>
      </c>
      <c r="C6480" s="26" t="str">
        <f t="shared" si="15"/>
        <v>IDT_003-Hare_Krishna_-_Radhanath_Swami.MP3</v>
      </c>
      <c r="D6480" s="24"/>
      <c r="E6480" s="24"/>
    </row>
    <row r="6481">
      <c r="A6481" s="25" t="s">
        <v>19078</v>
      </c>
      <c r="B6481" s="25" t="s">
        <v>19079</v>
      </c>
      <c r="C6481" s="26" t="str">
        <f t="shared" ref="C6481:C6482" si="16">HYPERLINK("https://audio.iskcondesiretree.com/02_-_ISKCON_Swamis/ISKCON_Swamis_-_R_to_Y/His_Holiness_Radhanath_Swami/Bhajans/Hare_Krishna_Dhun/IDT_004-Hare_Krishna_-_Radhanath_Swami.mp3", "IDT_004-Hare_Krishna_-_Radhanath_Swami.mp3")</f>
        <v>IDT_004-Hare_Krishna_-_Radhanath_Swami.mp3</v>
      </c>
      <c r="D6481" s="24"/>
      <c r="E6481" s="24"/>
    </row>
    <row r="6482">
      <c r="A6482" s="25" t="s">
        <v>19078</v>
      </c>
      <c r="B6482" s="25" t="s">
        <v>19079</v>
      </c>
      <c r="C6482" s="26" t="str">
        <f t="shared" si="16"/>
        <v>IDT_004-Hare_Krishna_-_Radhanath_Swami.mp3</v>
      </c>
      <c r="D6482" s="24"/>
      <c r="E6482" s="24"/>
    </row>
    <row r="6483">
      <c r="A6483" s="25" t="s">
        <v>19078</v>
      </c>
      <c r="B6483" s="25" t="s">
        <v>19079</v>
      </c>
      <c r="C6483" s="26" t="str">
        <f t="shared" ref="C6483:C6484" si="17">HYPERLINK("https://audio.iskcondesiretree.com/02_-_ISKCON_Swamis/ISKCON_Swamis_-_R_to_Y/His_Holiness_Radhanath_Swami/Bhajans/Hare_Krishna_Dhun/IDT_005-Hare_Krishna_-_Radhanath_Swami.MP3", "IDT_005-Hare_Krishna_-_Radhanath_Swami.MP3")</f>
        <v>IDT_005-Hare_Krishna_-_Radhanath_Swami.MP3</v>
      </c>
      <c r="D6483" s="24"/>
      <c r="E6483" s="24"/>
    </row>
    <row r="6484">
      <c r="A6484" s="25" t="s">
        <v>19078</v>
      </c>
      <c r="B6484" s="25" t="s">
        <v>19079</v>
      </c>
      <c r="C6484" s="26" t="str">
        <f t="shared" si="17"/>
        <v>IDT_005-Hare_Krishna_-_Radhanath_Swami.MP3</v>
      </c>
      <c r="D6484" s="24"/>
      <c r="E6484" s="24"/>
    </row>
    <row r="6485">
      <c r="A6485" s="25" t="s">
        <v>19078</v>
      </c>
      <c r="B6485" s="25" t="s">
        <v>19079</v>
      </c>
      <c r="C6485" s="26" t="str">
        <f t="shared" ref="C6485:C6486" si="18">HYPERLINK("https://audio.iskcondesiretree.com/02_-_ISKCON_Swamis/ISKCON_Swamis_-_R_to_Y/His_Holiness_Radhanath_Swami/Bhajans/Hare_Krishna_Dhun/IDT_006-Hare_Krishna_-_Radhanath_Swami.MP3", "IDT_006-Hare_Krishna_-_Radhanath_Swami.MP3")</f>
        <v>IDT_006-Hare_Krishna_-_Radhanath_Swami.MP3</v>
      </c>
      <c r="D6485" s="24"/>
      <c r="E6485" s="24"/>
    </row>
    <row r="6486">
      <c r="A6486" s="25" t="s">
        <v>19078</v>
      </c>
      <c r="B6486" s="25" t="s">
        <v>19079</v>
      </c>
      <c r="C6486" s="26" t="str">
        <f t="shared" si="18"/>
        <v>IDT_006-Hare_Krishna_-_Radhanath_Swami.MP3</v>
      </c>
      <c r="D6486" s="24"/>
      <c r="E6486" s="24"/>
    </row>
    <row r="6487">
      <c r="A6487" s="25" t="s">
        <v>19078</v>
      </c>
      <c r="B6487" s="25" t="s">
        <v>19079</v>
      </c>
      <c r="C6487" s="26" t="str">
        <f t="shared" ref="C6487:C6488" si="19">HYPERLINK("https://audio.iskcondesiretree.com/02_-_ISKCON_Swamis/ISKCON_Swamis_-_R_to_Y/His_Holiness_Radhanath_Swami/Bhajans/Hare_Krishna_Dhun/IDT_007-Hare_Krishna_-_Radhanath_Swami.MP3", "IDT_007-Hare_Krishna_-_Radhanath_Swami.MP3")</f>
        <v>IDT_007-Hare_Krishna_-_Radhanath_Swami.MP3</v>
      </c>
      <c r="D6487" s="24"/>
      <c r="E6487" s="24"/>
    </row>
    <row r="6488">
      <c r="A6488" s="25" t="s">
        <v>19078</v>
      </c>
      <c r="B6488" s="25" t="s">
        <v>19079</v>
      </c>
      <c r="C6488" s="26" t="str">
        <f t="shared" si="19"/>
        <v>IDT_007-Hare_Krishna_-_Radhanath_Swami.MP3</v>
      </c>
      <c r="D6488" s="24"/>
      <c r="E6488" s="24"/>
    </row>
    <row r="6489">
      <c r="A6489" s="25" t="s">
        <v>19078</v>
      </c>
      <c r="B6489" s="25" t="s">
        <v>19079</v>
      </c>
      <c r="C6489" s="26" t="str">
        <f t="shared" ref="C6489:C6490" si="20">HYPERLINK("https://audio.iskcondesiretree.com/02_-_ISKCON_Swamis/ISKCON_Swamis_-_R_to_Y/His_Holiness_Radhanath_Swami/Bhajans/Hare_Krishna_Dhun/IDT_008-Hare_Krishna_-_Radhanath_Swami.MP3", "IDT_008-Hare_Krishna_-_Radhanath_Swami.MP3")</f>
        <v>IDT_008-Hare_Krishna_-_Radhanath_Swami.MP3</v>
      </c>
      <c r="D6489" s="24"/>
      <c r="E6489" s="24"/>
    </row>
    <row r="6490">
      <c r="A6490" s="25" t="s">
        <v>19078</v>
      </c>
      <c r="B6490" s="25" t="s">
        <v>19079</v>
      </c>
      <c r="C6490" s="26" t="str">
        <f t="shared" si="20"/>
        <v>IDT_008-Hare_Krishna_-_Radhanath_Swami.MP3</v>
      </c>
      <c r="D6490" s="24"/>
      <c r="E6490" s="24"/>
    </row>
    <row r="6491">
      <c r="A6491" s="25" t="s">
        <v>19078</v>
      </c>
      <c r="B6491" s="25" t="s">
        <v>19079</v>
      </c>
      <c r="C6491" s="26" t="str">
        <f t="shared" ref="C6491:C6492" si="21">HYPERLINK("https://audio.iskcondesiretree.com/02_-_ISKCON_Swamis/ISKCON_Swamis_-_R_to_Y/His_Holiness_Radhanath_Swami/Bhajans/Hare_Krishna_Dhun/IDT_009-Hare_Krishna_-_Radhanath_Swami.MP3", "IDT_009-Hare_Krishna_-_Radhanath_Swami.MP3")</f>
        <v>IDT_009-Hare_Krishna_-_Radhanath_Swami.MP3</v>
      </c>
      <c r="D6491" s="24"/>
      <c r="E6491" s="24"/>
    </row>
    <row r="6492">
      <c r="A6492" s="25" t="s">
        <v>19078</v>
      </c>
      <c r="B6492" s="25" t="s">
        <v>19079</v>
      </c>
      <c r="C6492" s="26" t="str">
        <f t="shared" si="21"/>
        <v>IDT_009-Hare_Krishna_-_Radhanath_Swami.MP3</v>
      </c>
      <c r="D6492" s="24"/>
      <c r="E6492" s="24"/>
    </row>
    <row r="6493">
      <c r="A6493" s="25" t="s">
        <v>19078</v>
      </c>
      <c r="B6493" s="25" t="s">
        <v>19079</v>
      </c>
      <c r="C6493" s="26" t="str">
        <f t="shared" ref="C6493:C6494" si="22">HYPERLINK("https://audio.iskcondesiretree.com/02_-_ISKCON_Swamis/ISKCON_Swamis_-_R_to_Y/His_Holiness_Radhanath_Swami/Bhajans/Hare_Krishna_Dhun/IDT_010-Hare_Krishna_-_Radhanath_Swami.MP3", "IDT_010-Hare_Krishna_-_Radhanath_Swami.MP3")</f>
        <v>IDT_010-Hare_Krishna_-_Radhanath_Swami.MP3</v>
      </c>
      <c r="D6493" s="24"/>
      <c r="E6493" s="24"/>
    </row>
    <row r="6494">
      <c r="A6494" s="25" t="s">
        <v>19078</v>
      </c>
      <c r="B6494" s="25" t="s">
        <v>19079</v>
      </c>
      <c r="C6494" s="26" t="str">
        <f t="shared" si="22"/>
        <v>IDT_010-Hare_Krishna_-_Radhanath_Swami.MP3</v>
      </c>
      <c r="D6494" s="24"/>
      <c r="E6494" s="24"/>
    </row>
    <row r="6495">
      <c r="A6495" s="25" t="s">
        <v>19078</v>
      </c>
      <c r="B6495" s="25" t="s">
        <v>19079</v>
      </c>
      <c r="C6495" s="26" t="str">
        <f t="shared" ref="C6495:C6496" si="23">HYPERLINK("https://audio.iskcondesiretree.com/02_-_ISKCON_Swamis/ISKCON_Swamis_-_R_to_Y/His_Holiness_Radhanath_Swami/Bhajans/Hare_Krishna_Dhun/IDT_011-Hare_Krishna_-_Radhanath_Swami.MP3", "IDT_011-Hare_Krishna_-_Radhanath_Swami.MP3")</f>
        <v>IDT_011-Hare_Krishna_-_Radhanath_Swami.MP3</v>
      </c>
      <c r="D6495" s="24"/>
      <c r="E6495" s="24"/>
    </row>
    <row r="6496">
      <c r="A6496" s="25" t="s">
        <v>19078</v>
      </c>
      <c r="B6496" s="25" t="s">
        <v>19079</v>
      </c>
      <c r="C6496" s="26" t="str">
        <f t="shared" si="23"/>
        <v>IDT_011-Hare_Krishna_-_Radhanath_Swami.MP3</v>
      </c>
      <c r="D6496" s="24"/>
      <c r="E6496" s="24"/>
    </row>
    <row r="6497">
      <c r="A6497" s="25" t="s">
        <v>19078</v>
      </c>
      <c r="B6497" s="25" t="s">
        <v>19079</v>
      </c>
      <c r="C6497" s="26" t="str">
        <f t="shared" ref="C6497:C6498" si="24">HYPERLINK("https://audio.iskcondesiretree.com/02_-_ISKCON_Swamis/ISKCON_Swamis_-_R_to_Y/His_Holiness_Radhanath_Swami/Bhajans/Hare_Krishna_Dhun/IDT_012-Hare_Krishna_-_Radhanath_Swami.MP3", "IDT_012-Hare_Krishna_-_Radhanath_Swami.MP3")</f>
        <v>IDT_012-Hare_Krishna_-_Radhanath_Swami.MP3</v>
      </c>
      <c r="D6497" s="24"/>
      <c r="E6497" s="24"/>
    </row>
    <row r="6498">
      <c r="A6498" s="25" t="s">
        <v>19078</v>
      </c>
      <c r="B6498" s="25" t="s">
        <v>19079</v>
      </c>
      <c r="C6498" s="26" t="str">
        <f t="shared" si="24"/>
        <v>IDT_012-Hare_Krishna_-_Radhanath_Swami.MP3</v>
      </c>
      <c r="D6498" s="24"/>
      <c r="E6498" s="24"/>
    </row>
    <row r="6499">
      <c r="A6499" s="25" t="s">
        <v>19078</v>
      </c>
      <c r="B6499" s="25" t="s">
        <v>19079</v>
      </c>
      <c r="C6499" s="26" t="str">
        <f t="shared" ref="C6499:C6500" si="25">HYPERLINK("https://audio.iskcondesiretree.com/02_-_ISKCON_Swamis/ISKCON_Swamis_-_R_to_Y/His_Holiness_Radhanath_Swami/Bhajans/Hare_Krishna_Dhun/IDT_013-Hare_Krishna_-_Radhanath_Swami.MP3", "IDT_013-Hare_Krishna_-_Radhanath_Swami.MP3")</f>
        <v>IDT_013-Hare_Krishna_-_Radhanath_Swami.MP3</v>
      </c>
      <c r="D6499" s="24"/>
      <c r="E6499" s="24"/>
    </row>
    <row r="6500">
      <c r="A6500" s="25" t="s">
        <v>19078</v>
      </c>
      <c r="B6500" s="25" t="s">
        <v>19079</v>
      </c>
      <c r="C6500" s="26" t="str">
        <f t="shared" si="25"/>
        <v>IDT_013-Hare_Krishna_-_Radhanath_Swami.MP3</v>
      </c>
      <c r="D6500" s="24"/>
      <c r="E6500" s="24"/>
    </row>
    <row r="6501">
      <c r="A6501" s="25" t="s">
        <v>19078</v>
      </c>
      <c r="B6501" s="25" t="s">
        <v>19079</v>
      </c>
      <c r="C6501" s="26" t="str">
        <f t="shared" ref="C6501:C6502" si="26">HYPERLINK("https://audio.iskcondesiretree.com/02_-_ISKCON_Swamis/ISKCON_Swamis_-_R_to_Y/His_Holiness_Radhanath_Swami/Bhajans/Hare_Krishna_Dhun/IDT_014-Hare_Krishna_-_Radhanath_Swami.MP3", "IDT_014-Hare_Krishna_-_Radhanath_Swami.MP3")</f>
        <v>IDT_014-Hare_Krishna_-_Radhanath_Swami.MP3</v>
      </c>
      <c r="D6501" s="24"/>
      <c r="E6501" s="24"/>
    </row>
    <row r="6502">
      <c r="A6502" s="25" t="s">
        <v>19078</v>
      </c>
      <c r="B6502" s="25" t="s">
        <v>19079</v>
      </c>
      <c r="C6502" s="26" t="str">
        <f t="shared" si="26"/>
        <v>IDT_014-Hare_Krishna_-_Radhanath_Swami.MP3</v>
      </c>
      <c r="D6502" s="24"/>
      <c r="E6502" s="24"/>
    </row>
    <row r="6503">
      <c r="A6503" s="25" t="s">
        <v>19078</v>
      </c>
      <c r="B6503" s="25" t="s">
        <v>19079</v>
      </c>
      <c r="C6503" s="26" t="str">
        <f t="shared" ref="C6503:C6504" si="27">HYPERLINK("https://audio.iskcondesiretree.com/02_-_ISKCON_Swamis/ISKCON_Swamis_-_R_to_Y/His_Holiness_Radhanath_Swami/Bhajans/Hare_Krishna_Dhun/IDT_015-Hare_Krishna_-_Radhanath_Swami.MP3", "IDT_015-Hare_Krishna_-_Radhanath_Swami.MP3")</f>
        <v>IDT_015-Hare_Krishna_-_Radhanath_Swami.MP3</v>
      </c>
      <c r="D6503" s="24"/>
      <c r="E6503" s="24"/>
    </row>
    <row r="6504">
      <c r="A6504" s="25" t="s">
        <v>19078</v>
      </c>
      <c r="B6504" s="25" t="s">
        <v>19079</v>
      </c>
      <c r="C6504" s="26" t="str">
        <f t="shared" si="27"/>
        <v>IDT_015-Hare_Krishna_-_Radhanath_Swami.MP3</v>
      </c>
      <c r="D6504" s="24"/>
      <c r="E6504" s="24"/>
    </row>
    <row r="6505">
      <c r="A6505" s="25" t="s">
        <v>19078</v>
      </c>
      <c r="B6505" s="25" t="s">
        <v>19079</v>
      </c>
      <c r="C6505" s="26" t="str">
        <f t="shared" ref="C6505:C6506" si="28">HYPERLINK("https://audio.iskcondesiretree.com/02_-_ISKCON_Swamis/ISKCON_Swamis_-_R_to_Y/His_Holiness_Radhanath_Swami/Bhajans/Hare_Krishna_Dhun/IDT_016-Hare_Krishna_-_Radhanath_Swami.MP3", "IDT_016-Hare_Krishna_-_Radhanath_Swami.MP3")</f>
        <v>IDT_016-Hare_Krishna_-_Radhanath_Swami.MP3</v>
      </c>
      <c r="D6505" s="24"/>
      <c r="E6505" s="24"/>
    </row>
    <row r="6506">
      <c r="A6506" s="25" t="s">
        <v>19078</v>
      </c>
      <c r="B6506" s="25" t="s">
        <v>19079</v>
      </c>
      <c r="C6506" s="26" t="str">
        <f t="shared" si="28"/>
        <v>IDT_016-Hare_Krishna_-_Radhanath_Swami.MP3</v>
      </c>
      <c r="D6506" s="24"/>
      <c r="E6506" s="24"/>
    </row>
    <row r="6507">
      <c r="A6507" s="25" t="s">
        <v>19078</v>
      </c>
      <c r="B6507" s="25" t="s">
        <v>19079</v>
      </c>
      <c r="C6507" s="26" t="str">
        <f t="shared" ref="C6507:C6508" si="29">HYPERLINK("https://audio.iskcondesiretree.com/02_-_ISKCON_Swamis/ISKCON_Swamis_-_R_to_Y/His_Holiness_Radhanath_Swami/Bhajans/Hare_Krishna_Dhun/IDT_017-Hare_Krishna_-_Radhanath_Swami.MP3", "IDT_017-Hare_Krishna_-_Radhanath_Swami.MP3")</f>
        <v>IDT_017-Hare_Krishna_-_Radhanath_Swami.MP3</v>
      </c>
      <c r="D6507" s="24"/>
      <c r="E6507" s="24"/>
    </row>
    <row r="6508">
      <c r="A6508" s="25" t="s">
        <v>19078</v>
      </c>
      <c r="B6508" s="25" t="s">
        <v>19079</v>
      </c>
      <c r="C6508" s="26" t="str">
        <f t="shared" si="29"/>
        <v>IDT_017-Hare_Krishna_-_Radhanath_Swami.MP3</v>
      </c>
      <c r="D6508" s="24"/>
      <c r="E6508" s="24"/>
    </row>
    <row r="6509">
      <c r="A6509" s="25" t="s">
        <v>19078</v>
      </c>
      <c r="B6509" s="25" t="s">
        <v>19079</v>
      </c>
      <c r="C6509" s="26" t="str">
        <f t="shared" ref="C6509:C6510" si="30">HYPERLINK("https://audio.iskcondesiretree.com/02_-_ISKCON_Swamis/ISKCON_Swamis_-_R_to_Y/His_Holiness_Radhanath_Swami/Bhajans/Hare_Krishna_Dhun/IDT_018-Hare_Krishna_-_Radhanath_Swami.MP3", "IDT_018-Hare_Krishna_-_Radhanath_Swami.MP3")</f>
        <v>IDT_018-Hare_Krishna_-_Radhanath_Swami.MP3</v>
      </c>
      <c r="D6509" s="24"/>
      <c r="E6509" s="24"/>
    </row>
    <row r="6510">
      <c r="A6510" s="25" t="s">
        <v>19078</v>
      </c>
      <c r="B6510" s="25" t="s">
        <v>19079</v>
      </c>
      <c r="C6510" s="26" t="str">
        <f t="shared" si="30"/>
        <v>IDT_018-Hare_Krishna_-_Radhanath_Swami.MP3</v>
      </c>
      <c r="D6510" s="24"/>
      <c r="E6510" s="24"/>
    </row>
    <row r="6511">
      <c r="A6511" s="25" t="s">
        <v>19078</v>
      </c>
      <c r="B6511" s="25" t="s">
        <v>19079</v>
      </c>
      <c r="C6511" s="26" t="str">
        <f t="shared" ref="C6511:C6512" si="31">HYPERLINK("https://audio.iskcondesiretree.com/02_-_ISKCON_Swamis/ISKCON_Swamis_-_R_to_Y/His_Holiness_Radhanath_Swami/Bhajans/Hare_Krishna_Dhun/IDT_019-Hare_Krishna_-_Radhanath_Swami.MP3", "IDT_019-Hare_Krishna_-_Radhanath_Swami.MP3")</f>
        <v>IDT_019-Hare_Krishna_-_Radhanath_Swami.MP3</v>
      </c>
      <c r="D6511" s="24"/>
      <c r="E6511" s="24"/>
    </row>
    <row r="6512">
      <c r="A6512" s="25" t="s">
        <v>19078</v>
      </c>
      <c r="B6512" s="25" t="s">
        <v>19079</v>
      </c>
      <c r="C6512" s="26" t="str">
        <f t="shared" si="31"/>
        <v>IDT_019-Hare_Krishna_-_Radhanath_Swami.MP3</v>
      </c>
      <c r="D6512" s="24"/>
      <c r="E6512" s="24"/>
    </row>
    <row r="6513">
      <c r="A6513" s="25" t="s">
        <v>19078</v>
      </c>
      <c r="B6513" s="25" t="s">
        <v>19079</v>
      </c>
      <c r="C6513" s="26" t="str">
        <f t="shared" ref="C6513:C6514" si="32">HYPERLINK("https://audio.iskcondesiretree.com/02_-_ISKCON_Swamis/ISKCON_Swamis_-_R_to_Y/His_Holiness_Radhanath_Swami/Bhajans/Hare_Krishna_Dhun/IDT_020-Hare_Krishna_-_Radhanath_Swami.MP3", "IDT_020-Hare_Krishna_-_Radhanath_Swami.MP3")</f>
        <v>IDT_020-Hare_Krishna_-_Radhanath_Swami.MP3</v>
      </c>
      <c r="D6513" s="24"/>
      <c r="E6513" s="24"/>
    </row>
    <row r="6514">
      <c r="A6514" s="25" t="s">
        <v>19078</v>
      </c>
      <c r="B6514" s="25" t="s">
        <v>19079</v>
      </c>
      <c r="C6514" s="26" t="str">
        <f t="shared" si="32"/>
        <v>IDT_020-Hare_Krishna_-_Radhanath_Swami.MP3</v>
      </c>
      <c r="D6514" s="24"/>
      <c r="E6514" s="24"/>
    </row>
    <row r="6515">
      <c r="A6515" s="25" t="s">
        <v>19078</v>
      </c>
      <c r="B6515" s="25" t="s">
        <v>19079</v>
      </c>
      <c r="C6515" s="26" t="str">
        <f t="shared" ref="C6515:C6516" si="33">HYPERLINK("https://audio.iskcondesiretree.com/02_-_ISKCON_Swamis/ISKCON_Swamis_-_R_to_Y/His_Holiness_Radhanath_Swami/Bhajans/Hare_Krishna_Dhun/IDT_021-Hare_Krishna_-_Radhanath_Swami.MP3", "IDT_021-Hare_Krishna_-_Radhanath_Swami.MP3")</f>
        <v>IDT_021-Hare_Krishna_-_Radhanath_Swami.MP3</v>
      </c>
      <c r="D6515" s="24"/>
      <c r="E6515" s="24"/>
    </row>
    <row r="6516">
      <c r="A6516" s="25" t="s">
        <v>19078</v>
      </c>
      <c r="B6516" s="25" t="s">
        <v>19079</v>
      </c>
      <c r="C6516" s="26" t="str">
        <f t="shared" si="33"/>
        <v>IDT_021-Hare_Krishna_-_Radhanath_Swami.MP3</v>
      </c>
      <c r="D6516" s="24"/>
      <c r="E6516" s="24"/>
    </row>
    <row r="6517">
      <c r="A6517" s="25" t="s">
        <v>19078</v>
      </c>
      <c r="B6517" s="25" t="s">
        <v>19079</v>
      </c>
      <c r="C6517" s="26" t="str">
        <f t="shared" ref="C6517:C6518" si="34">HYPERLINK("https://audio.iskcondesiretree.com/02_-_ISKCON_Swamis/ISKCON_Swamis_-_R_to_Y/His_Holiness_Radhanath_Swami/Bhajans/Hare_Krishna_Dhun/IDT_022-Hare_Krishna_-_Radhanath_Swami.MP3", "IDT_022-Hare_Krishna_-_Radhanath_Swami.MP3")</f>
        <v>IDT_022-Hare_Krishna_-_Radhanath_Swami.MP3</v>
      </c>
      <c r="D6517" s="24"/>
      <c r="E6517" s="24"/>
    </row>
    <row r="6518">
      <c r="A6518" s="25" t="s">
        <v>19078</v>
      </c>
      <c r="B6518" s="25" t="s">
        <v>19079</v>
      </c>
      <c r="C6518" s="26" t="str">
        <f t="shared" si="34"/>
        <v>IDT_022-Hare_Krishna_-_Radhanath_Swami.MP3</v>
      </c>
      <c r="D6518" s="24"/>
      <c r="E6518" s="24"/>
    </row>
    <row r="6519">
      <c r="A6519" s="25" t="s">
        <v>19078</v>
      </c>
      <c r="B6519" s="25" t="s">
        <v>19079</v>
      </c>
      <c r="C6519" s="26" t="str">
        <f t="shared" ref="C6519:C6520" si="35">HYPERLINK("https://audio.iskcondesiretree.com/02_-_ISKCON_Swamis/ISKCON_Swamis_-_R_to_Y/His_Holiness_Radhanath_Swami/Bhajans/Hare_Krishna_Dhun/IDT_023-Hare_Krishna_-_Radhanath_Swami.MP3", "IDT_023-Hare_Krishna_-_Radhanath_Swami.MP3")</f>
        <v>IDT_023-Hare_Krishna_-_Radhanath_Swami.MP3</v>
      </c>
      <c r="D6519" s="24"/>
      <c r="E6519" s="24"/>
    </row>
    <row r="6520">
      <c r="A6520" s="25" t="s">
        <v>19078</v>
      </c>
      <c r="B6520" s="25" t="s">
        <v>19079</v>
      </c>
      <c r="C6520" s="26" t="str">
        <f t="shared" si="35"/>
        <v>IDT_023-Hare_Krishna_-_Radhanath_Swami.MP3</v>
      </c>
      <c r="D6520" s="24"/>
      <c r="E6520" s="24"/>
    </row>
    <row r="6521">
      <c r="A6521" s="25" t="s">
        <v>19078</v>
      </c>
      <c r="B6521" s="25" t="s">
        <v>19079</v>
      </c>
      <c r="C6521" s="26" t="str">
        <f t="shared" ref="C6521:C6522" si="36">HYPERLINK("https://audio.iskcondesiretree.com/02_-_ISKCON_Swamis/ISKCON_Swamis_-_R_to_Y/His_Holiness_Radhanath_Swami/Bhajans/Hare_Krishna_Dhun/IDT_024-Hare_Krishna_-_Radhanath_Swami.MP3", "IDT_024-Hare_Krishna_-_Radhanath_Swami.MP3")</f>
        <v>IDT_024-Hare_Krishna_-_Radhanath_Swami.MP3</v>
      </c>
      <c r="D6521" s="24"/>
      <c r="E6521" s="24"/>
    </row>
    <row r="6522">
      <c r="A6522" s="25" t="s">
        <v>19078</v>
      </c>
      <c r="B6522" s="25" t="s">
        <v>19079</v>
      </c>
      <c r="C6522" s="26" t="str">
        <f t="shared" si="36"/>
        <v>IDT_024-Hare_Krishna_-_Radhanath_Swami.MP3</v>
      </c>
      <c r="D6522" s="24"/>
      <c r="E6522" s="24"/>
    </row>
    <row r="6523">
      <c r="A6523" s="25" t="s">
        <v>19078</v>
      </c>
      <c r="B6523" s="25" t="s">
        <v>19079</v>
      </c>
      <c r="C6523" s="26" t="str">
        <f t="shared" ref="C6523:C6524" si="37">HYPERLINK("https://audio.iskcondesiretree.com/02_-_ISKCON_Swamis/ISKCON_Swamis_-_R_to_Y/His_Holiness_Radhanath_Swami/Bhajans/Hare_Krishna_Dhun/IDT_025-Hare_Krishna_-_Radhanath_Swami.mp3", "IDT_025-Hare_Krishna_-_Radhanath_Swami.mp3")</f>
        <v>IDT_025-Hare_Krishna_-_Radhanath_Swami.mp3</v>
      </c>
      <c r="D6523" s="24"/>
      <c r="E6523" s="24"/>
    </row>
    <row r="6524">
      <c r="A6524" s="25" t="s">
        <v>19078</v>
      </c>
      <c r="B6524" s="25" t="s">
        <v>19079</v>
      </c>
      <c r="C6524" s="26" t="str">
        <f t="shared" si="37"/>
        <v>IDT_025-Hare_Krishna_-_Radhanath_Swami.mp3</v>
      </c>
      <c r="D6524" s="24"/>
      <c r="E6524" s="24"/>
    </row>
    <row r="6525">
      <c r="A6525" s="25" t="s">
        <v>19078</v>
      </c>
      <c r="B6525" s="25" t="s">
        <v>19079</v>
      </c>
      <c r="C6525" s="26" t="str">
        <f t="shared" ref="C6525:C6526" si="38">HYPERLINK("https://audio.iskcondesiretree.com/02_-_ISKCON_Swamis/ISKCON_Swamis_-_R_to_Y/His_Holiness_Radhanath_Swami/Bhajans/Hare_Krishna_Dhun/IDT_026-Hare_Krishna_-_Radhanath_Swami.mp3", "IDT_026-Hare_Krishna_-_Radhanath_Swami.mp3")</f>
        <v>IDT_026-Hare_Krishna_-_Radhanath_Swami.mp3</v>
      </c>
      <c r="D6525" s="24"/>
      <c r="E6525" s="24"/>
    </row>
    <row r="6526">
      <c r="A6526" s="25" t="s">
        <v>19078</v>
      </c>
      <c r="B6526" s="25" t="s">
        <v>19079</v>
      </c>
      <c r="C6526" s="26" t="str">
        <f t="shared" si="38"/>
        <v>IDT_026-Hare_Krishna_-_Radhanath_Swami.mp3</v>
      </c>
      <c r="D6526" s="24"/>
      <c r="E6526" s="24"/>
    </row>
    <row r="6527">
      <c r="A6527" s="25" t="s">
        <v>19078</v>
      </c>
      <c r="B6527" s="25" t="s">
        <v>19079</v>
      </c>
      <c r="C6527" s="26" t="str">
        <f t="shared" ref="C6527:C6528" si="39">HYPERLINK("https://audio.iskcondesiretree.com/02_-_ISKCON_Swamis/ISKCON_Swamis_-_R_to_Y/His_Holiness_Radhanath_Swami/Bhajans/Hare_Krishna_Dhun/IDT_027-Hare_Krishna_-_Radhanath_Swami.MP3", "IDT_027-Hare_Krishna_-_Radhanath_Swami.MP3")</f>
        <v>IDT_027-Hare_Krishna_-_Radhanath_Swami.MP3</v>
      </c>
      <c r="D6527" s="24"/>
      <c r="E6527" s="24"/>
    </row>
    <row r="6528">
      <c r="A6528" s="25" t="s">
        <v>19078</v>
      </c>
      <c r="B6528" s="25" t="s">
        <v>19079</v>
      </c>
      <c r="C6528" s="26" t="str">
        <f t="shared" si="39"/>
        <v>IDT_027-Hare_Krishna_-_Radhanath_Swami.MP3</v>
      </c>
      <c r="D6528" s="24"/>
      <c r="E6528" s="24"/>
    </row>
    <row r="6529">
      <c r="A6529" s="25" t="s">
        <v>19078</v>
      </c>
      <c r="B6529" s="25" t="s">
        <v>19079</v>
      </c>
      <c r="C6529" s="26" t="str">
        <f t="shared" ref="C6529:C6530" si="40">HYPERLINK("https://audio.iskcondesiretree.com/02_-_ISKCON_Swamis/ISKCON_Swamis_-_R_to_Y/His_Holiness_Radhanath_Swami/Bhajans/Hare_Krishna_Dhun/IDT_028-Hare_Krishna_-_Radhanath_Swami%20.mp3", "IDT_028-Hare_Krishna_-_Radhanath_Swami%20.mp3")</f>
        <v>IDT_028-Hare_Krishna_-_Radhanath_Swami%20.mp3</v>
      </c>
      <c r="D6529" s="24"/>
      <c r="E6529" s="24"/>
    </row>
    <row r="6530">
      <c r="A6530" s="25" t="s">
        <v>19078</v>
      </c>
      <c r="B6530" s="25" t="s">
        <v>19079</v>
      </c>
      <c r="C6530" s="26" t="str">
        <f t="shared" si="40"/>
        <v>IDT_028-Hare_Krishna_-_Radhanath_Swami%20.mp3</v>
      </c>
      <c r="D6530" s="24"/>
      <c r="E6530" s="24"/>
    </row>
    <row r="6531">
      <c r="A6531" s="25" t="s">
        <v>19078</v>
      </c>
      <c r="B6531" s="25" t="s">
        <v>19079</v>
      </c>
      <c r="C6531" s="26" t="str">
        <f t="shared" ref="C6531:C6532" si="41">HYPERLINK("https://audio.iskcondesiretree.com/02_-_ISKCON_Swamis/ISKCON_Swamis_-_R_to_Y/His_Holiness_Radhanath_Swami/Bhajans/Hare_Krishna_Dhun/IDT_029-Hare_Krishna_-_Radhanath_Swami.mp3", "IDT_029-Hare_Krishna_-_Radhanath_Swami.mp3")</f>
        <v>IDT_029-Hare_Krishna_-_Radhanath_Swami.mp3</v>
      </c>
      <c r="D6531" s="24"/>
      <c r="E6531" s="24"/>
    </row>
    <row r="6532">
      <c r="A6532" s="25" t="s">
        <v>19078</v>
      </c>
      <c r="B6532" s="25" t="s">
        <v>19079</v>
      </c>
      <c r="C6532" s="26" t="str">
        <f t="shared" si="41"/>
        <v>IDT_029-Hare_Krishna_-_Radhanath_Swami.mp3</v>
      </c>
      <c r="D6532" s="24"/>
      <c r="E6532" s="24"/>
    </row>
    <row r="6533">
      <c r="A6533" s="25" t="s">
        <v>19078</v>
      </c>
      <c r="B6533" s="25" t="s">
        <v>19079</v>
      </c>
      <c r="C6533" s="26" t="str">
        <f t="shared" ref="C6533:C6534" si="42">HYPERLINK("https://audio.iskcondesiretree.com/02_-_ISKCON_Swamis/ISKCON_Swamis_-_R_to_Y/His_Holiness_Radhanath_Swami/Bhajans/Hare_Krishna_Dhun/IDT_030-Hare_Krishna_-_Radhanath_Swami.mp3", "IDT_030-Hare_Krishna_-_Radhanath_Swami.mp3")</f>
        <v>IDT_030-Hare_Krishna_-_Radhanath_Swami.mp3</v>
      </c>
      <c r="D6533" s="24"/>
      <c r="E6533" s="24"/>
    </row>
    <row r="6534">
      <c r="A6534" s="25" t="s">
        <v>19078</v>
      </c>
      <c r="B6534" s="25" t="s">
        <v>19079</v>
      </c>
      <c r="C6534" s="26" t="str">
        <f t="shared" si="42"/>
        <v>IDT_030-Hare_Krishna_-_Radhanath_Swami.mp3</v>
      </c>
      <c r="D6534" s="24"/>
      <c r="E6534" s="24"/>
    </row>
    <row r="6535">
      <c r="A6535" s="25" t="s">
        <v>19078</v>
      </c>
      <c r="B6535" s="25" t="s">
        <v>19079</v>
      </c>
      <c r="C6535" s="26" t="str">
        <f t="shared" ref="C6535:C6536" si="43">HYPERLINK("https://audio.iskcondesiretree.com/02_-_ISKCON_Swamis/ISKCON_Swamis_-_R_to_Y/His_Holiness_Radhanath_Swami/Bhajans/Hare_Krishna_Dhun/IDT_031-Hare_Krishna_-_Radhanath_Swami.mp3", "IDT_031-Hare_Krishna_-_Radhanath_Swami.mp3")</f>
        <v>IDT_031-Hare_Krishna_-_Radhanath_Swami.mp3</v>
      </c>
      <c r="D6535" s="24"/>
      <c r="E6535" s="24"/>
    </row>
    <row r="6536">
      <c r="A6536" s="25" t="s">
        <v>19078</v>
      </c>
      <c r="B6536" s="25" t="s">
        <v>19079</v>
      </c>
      <c r="C6536" s="26" t="str">
        <f t="shared" si="43"/>
        <v>IDT_031-Hare_Krishna_-_Radhanath_Swami.mp3</v>
      </c>
      <c r="D6536" s="24"/>
      <c r="E6536" s="24"/>
    </row>
    <row r="6537">
      <c r="A6537" s="25" t="s">
        <v>19078</v>
      </c>
      <c r="B6537" s="25" t="s">
        <v>19079</v>
      </c>
      <c r="C6537" s="26" t="str">
        <f t="shared" ref="C6537:C6538" si="44">HYPERLINK("https://audio.iskcondesiretree.com/02_-_ISKCON_Swamis/ISKCON_Swamis_-_R_to_Y/His_Holiness_Radhanath_Swami/Bhajans/Hare_Krishna_Dhun/IDT_032-Hare_Krishna_-_Radhanath_Swami.MP3", "IDT_032-Hare_Krishna_-_Radhanath_Swami.MP3")</f>
        <v>IDT_032-Hare_Krishna_-_Radhanath_Swami.MP3</v>
      </c>
      <c r="D6537" s="24"/>
      <c r="E6537" s="24"/>
    </row>
    <row r="6538">
      <c r="A6538" s="25" t="s">
        <v>19078</v>
      </c>
      <c r="B6538" s="25" t="s">
        <v>19079</v>
      </c>
      <c r="C6538" s="26" t="str">
        <f t="shared" si="44"/>
        <v>IDT_032-Hare_Krishna_-_Radhanath_Swami.MP3</v>
      </c>
      <c r="D6538" s="24"/>
      <c r="E6538" s="24"/>
    </row>
    <row r="6539">
      <c r="A6539" s="25" t="s">
        <v>19078</v>
      </c>
      <c r="B6539" s="25" t="s">
        <v>19079</v>
      </c>
      <c r="C6539" s="26" t="str">
        <f t="shared" ref="C6539:C6540" si="45">HYPERLINK("https://audio.iskcondesiretree.com/02_-_ISKCON_Swamis/ISKCON_Swamis_-_R_to_Y/His_Holiness_Radhanath_Swami/Bhajans/Hare_Krishna_Dhun/IDT_033-Hare_Krishna_-_Radhanath_Swami.mp3", "IDT_033-Hare_Krishna_-_Radhanath_Swami.mp3")</f>
        <v>IDT_033-Hare_Krishna_-_Radhanath_Swami.mp3</v>
      </c>
      <c r="D6539" s="24"/>
      <c r="E6539" s="24"/>
    </row>
    <row r="6540">
      <c r="A6540" s="25" t="s">
        <v>19078</v>
      </c>
      <c r="B6540" s="25" t="s">
        <v>19079</v>
      </c>
      <c r="C6540" s="26" t="str">
        <f t="shared" si="45"/>
        <v>IDT_033-Hare_Krishna_-_Radhanath_Swami.mp3</v>
      </c>
      <c r="D6540" s="24"/>
      <c r="E6540" s="24"/>
    </row>
    <row r="6541">
      <c r="A6541" s="25" t="s">
        <v>19078</v>
      </c>
      <c r="B6541" s="25" t="s">
        <v>19079</v>
      </c>
      <c r="C6541" s="26" t="str">
        <f t="shared" ref="C6541:C6542" si="46">HYPERLINK("https://audio.iskcondesiretree.com/02_-_ISKCON_Swamis/ISKCON_Swamis_-_R_to_Y/His_Holiness_Radhanath_Swami/Bhajans/Hare_Krishna_Dhun/IDT_033-Hare_Krishna_-_Radhanath_Swamii.mp3", "IDT_033-Hare_Krishna_-_Radhanath_Swamii.mp3")</f>
        <v>IDT_033-Hare_Krishna_-_Radhanath_Swamii.mp3</v>
      </c>
      <c r="D6541" s="24"/>
      <c r="E6541" s="24"/>
    </row>
    <row r="6542">
      <c r="A6542" s="25" t="s">
        <v>19078</v>
      </c>
      <c r="B6542" s="25" t="s">
        <v>19079</v>
      </c>
      <c r="C6542" s="26" t="str">
        <f t="shared" si="46"/>
        <v>IDT_033-Hare_Krishna_-_Radhanath_Swamii.mp3</v>
      </c>
      <c r="D6542" s="24"/>
      <c r="E6542" s="24"/>
    </row>
    <row r="6543">
      <c r="A6543" s="25" t="s">
        <v>19078</v>
      </c>
      <c r="B6543" s="25" t="s">
        <v>19079</v>
      </c>
      <c r="C6543" s="26" t="str">
        <f t="shared" ref="C6543:C6544" si="47">HYPERLINK("https://audio.iskcondesiretree.com/02_-_ISKCON_Swamis/ISKCON_Swamis_-_R_to_Y/His_Holiness_Radhanath_Swami/Bhajans/Hare_Krishna_Dhun/IDT_034-Hare_Krishna_-_Radhanath_Swami.mp3", "IDT_034-Hare_Krishna_-_Radhanath_Swami.mp3")</f>
        <v>IDT_034-Hare_Krishna_-_Radhanath_Swami.mp3</v>
      </c>
      <c r="D6543" s="24"/>
      <c r="E6543" s="24"/>
    </row>
    <row r="6544">
      <c r="A6544" s="25" t="s">
        <v>19078</v>
      </c>
      <c r="B6544" s="25" t="s">
        <v>19079</v>
      </c>
      <c r="C6544" s="26" t="str">
        <f t="shared" si="47"/>
        <v>IDT_034-Hare_Krishna_-_Radhanath_Swami.mp3</v>
      </c>
      <c r="D6544" s="24"/>
      <c r="E6544" s="24"/>
    </row>
    <row r="6545">
      <c r="A6545" s="25" t="s">
        <v>19078</v>
      </c>
      <c r="B6545" s="25" t="s">
        <v>19079</v>
      </c>
      <c r="C6545" s="26" t="str">
        <f t="shared" ref="C6545:C6546" si="48">HYPERLINK("https://audio.iskcondesiretree.com/02_-_ISKCON_Swamis/ISKCON_Swamis_-_R_to_Y/His_Holiness_Radhanath_Swami/Bhajans/Hare_Krishna_Dhun/IDT_035-Hare_Krishna_-_Radhanath_Swami.MP3", "IDT_035-Hare_Krishna_-_Radhanath_Swami.MP3")</f>
        <v>IDT_035-Hare_Krishna_-_Radhanath_Swami.MP3</v>
      </c>
      <c r="D6545" s="24"/>
      <c r="E6545" s="24"/>
    </row>
    <row r="6546">
      <c r="A6546" s="25" t="s">
        <v>19078</v>
      </c>
      <c r="B6546" s="25" t="s">
        <v>19079</v>
      </c>
      <c r="C6546" s="26" t="str">
        <f t="shared" si="48"/>
        <v>IDT_035-Hare_Krishna_-_Radhanath_Swami.MP3</v>
      </c>
      <c r="D6546" s="24"/>
      <c r="E6546" s="24"/>
    </row>
    <row r="6547">
      <c r="A6547" s="25" t="s">
        <v>19078</v>
      </c>
      <c r="B6547" s="25" t="s">
        <v>19079</v>
      </c>
      <c r="C6547" s="26" t="str">
        <f t="shared" ref="C6547:C6548" si="49">HYPERLINK("https://audio.iskcondesiretree.com/02_-_ISKCON_Swamis/ISKCON_Swamis_-_R_to_Y/His_Holiness_Radhanath_Swami/Bhajans/Hare_Krishna_Dhun/IDT_036-Hare_Krishna_-_Radhanath_Swami.MP3", "IDT_036-Hare_Krishna_-_Radhanath_Swami.MP3")</f>
        <v>IDT_036-Hare_Krishna_-_Radhanath_Swami.MP3</v>
      </c>
      <c r="D6547" s="24"/>
      <c r="E6547" s="24"/>
    </row>
    <row r="6548">
      <c r="A6548" s="25" t="s">
        <v>19078</v>
      </c>
      <c r="B6548" s="25" t="s">
        <v>19079</v>
      </c>
      <c r="C6548" s="26" t="str">
        <f t="shared" si="49"/>
        <v>IDT_036-Hare_Krishna_-_Radhanath_Swami.MP3</v>
      </c>
      <c r="D6548" s="24"/>
      <c r="E6548" s="24"/>
    </row>
    <row r="6549">
      <c r="A6549" s="25" t="s">
        <v>19078</v>
      </c>
      <c r="B6549" s="25" t="s">
        <v>19079</v>
      </c>
      <c r="C6549" s="26" t="str">
        <f t="shared" ref="C6549:C6550" si="50">HYPERLINK("https://audio.iskcondesiretree.com/02_-_ISKCON_Swamis/ISKCON_Swamis_-_R_to_Y/His_Holiness_Radhanath_Swami/Bhajans/Hare_Krishna_Dhun/IDT_037-Hare_Krishna_-_Radhanath_Swami.MP3", "IDT_037-Hare_Krishna_-_Radhanath_Swami.MP3")</f>
        <v>IDT_037-Hare_Krishna_-_Radhanath_Swami.MP3</v>
      </c>
      <c r="D6549" s="24"/>
      <c r="E6549" s="24"/>
    </row>
    <row r="6550">
      <c r="A6550" s="25" t="s">
        <v>19078</v>
      </c>
      <c r="B6550" s="25" t="s">
        <v>19079</v>
      </c>
      <c r="C6550" s="26" t="str">
        <f t="shared" si="50"/>
        <v>IDT_037-Hare_Krishna_-_Radhanath_Swami.MP3</v>
      </c>
      <c r="D6550" s="24"/>
      <c r="E6550" s="24"/>
    </row>
    <row r="6551">
      <c r="A6551" s="25" t="s">
        <v>19078</v>
      </c>
      <c r="B6551" s="25" t="s">
        <v>19079</v>
      </c>
      <c r="C6551" s="26" t="str">
        <f t="shared" ref="C6551:C6552" si="51">HYPERLINK("https://audio.iskcondesiretree.com/02_-_ISKCON_Swamis/ISKCON_Swamis_-_R_to_Y/His_Holiness_Radhanath_Swami/Bhajans/Hare_Krishna_Dhun/IDT_038-Hare_Krishna_-_Radhanath_Swami.MP3", "IDT_038-Hare_Krishna_-_Radhanath_Swami.MP3")</f>
        <v>IDT_038-Hare_Krishna_-_Radhanath_Swami.MP3</v>
      </c>
      <c r="D6551" s="24"/>
      <c r="E6551" s="24"/>
    </row>
    <row r="6552">
      <c r="A6552" s="25" t="s">
        <v>19078</v>
      </c>
      <c r="B6552" s="25" t="s">
        <v>19079</v>
      </c>
      <c r="C6552" s="26" t="str">
        <f t="shared" si="51"/>
        <v>IDT_038-Hare_Krishna_-_Radhanath_Swami.MP3</v>
      </c>
      <c r="D6552" s="24"/>
      <c r="E6552" s="24"/>
    </row>
    <row r="6553">
      <c r="A6553" s="25" t="s">
        <v>19078</v>
      </c>
      <c r="B6553" s="25" t="s">
        <v>19079</v>
      </c>
      <c r="C6553" s="26" t="str">
        <f t="shared" ref="C6553:C6554" si="52">HYPERLINK("https://audio.iskcondesiretree.com/02_-_ISKCON_Swamis/ISKCON_Swamis_-_R_to_Y/His_Holiness_Radhanath_Swami/Bhajans/Hare_Krishna_Dhun/IDT_039-Hare_Krishna_-_Radhanath_Swami.MP3", "IDT_039-Hare_Krishna_-_Radhanath_Swami.MP3")</f>
        <v>IDT_039-Hare_Krishna_-_Radhanath_Swami.MP3</v>
      </c>
      <c r="D6553" s="24"/>
      <c r="E6553" s="24"/>
    </row>
    <row r="6554">
      <c r="A6554" s="25" t="s">
        <v>19078</v>
      </c>
      <c r="B6554" s="25" t="s">
        <v>19079</v>
      </c>
      <c r="C6554" s="26" t="str">
        <f t="shared" si="52"/>
        <v>IDT_039-Hare_Krishna_-_Radhanath_Swami.MP3</v>
      </c>
      <c r="D6554" s="24"/>
      <c r="E6554" s="24"/>
    </row>
    <row r="6555">
      <c r="A6555" s="25" t="s">
        <v>19078</v>
      </c>
      <c r="B6555" s="25" t="s">
        <v>19079</v>
      </c>
      <c r="C6555" s="26" t="str">
        <f t="shared" ref="C6555:C6556" si="53">HYPERLINK("https://audio.iskcondesiretree.com/02_-_ISKCON_Swamis/ISKCON_Swamis_-_R_to_Y/His_Holiness_Radhanath_Swami/Bhajans/Hare_Krishna_Dhun/IDT_040-Hare_Krishna_-_Radhanath_Swami.MP3", "IDT_040-Hare_Krishna_-_Radhanath_Swami.MP3")</f>
        <v>IDT_040-Hare_Krishna_-_Radhanath_Swami.MP3</v>
      </c>
      <c r="D6555" s="24"/>
      <c r="E6555" s="24"/>
    </row>
    <row r="6556">
      <c r="A6556" s="25" t="s">
        <v>19078</v>
      </c>
      <c r="B6556" s="25" t="s">
        <v>19079</v>
      </c>
      <c r="C6556" s="26" t="str">
        <f t="shared" si="53"/>
        <v>IDT_040-Hare_Krishna_-_Radhanath_Swami.MP3</v>
      </c>
      <c r="D6556" s="24"/>
      <c r="E6556" s="24"/>
    </row>
    <row r="6557">
      <c r="A6557" s="25" t="s">
        <v>19078</v>
      </c>
      <c r="B6557" s="25" t="s">
        <v>19079</v>
      </c>
      <c r="C6557" s="26" t="str">
        <f t="shared" ref="C6557:C6558" si="54">HYPERLINK("https://audio.iskcondesiretree.com/02_-_ISKCON_Swamis/ISKCON_Swamis_-_R_to_Y/His_Holiness_Radhanath_Swami/Bhajans/Hare_Krishna_Dhun/IDT_041-Hare_Krishna_-_Radhanath_Swami.MP3", "IDT_041-Hare_Krishna_-_Radhanath_Swami.MP3")</f>
        <v>IDT_041-Hare_Krishna_-_Radhanath_Swami.MP3</v>
      </c>
      <c r="D6557" s="24"/>
      <c r="E6557" s="24"/>
    </row>
    <row r="6558">
      <c r="A6558" s="25" t="s">
        <v>19078</v>
      </c>
      <c r="B6558" s="25" t="s">
        <v>19079</v>
      </c>
      <c r="C6558" s="26" t="str">
        <f t="shared" si="54"/>
        <v>IDT_041-Hare_Krishna_-_Radhanath_Swami.MP3</v>
      </c>
      <c r="D6558" s="24"/>
      <c r="E6558" s="24"/>
    </row>
    <row r="6559">
      <c r="A6559" s="25" t="s">
        <v>19078</v>
      </c>
      <c r="B6559" s="25" t="s">
        <v>19079</v>
      </c>
      <c r="C6559" s="26" t="str">
        <f t="shared" ref="C6559:C6560" si="55">HYPERLINK("https://audio.iskcondesiretree.com/02_-_ISKCON_Swamis/ISKCON_Swamis_-_R_to_Y/His_Holiness_Radhanath_Swami/Bhajans/Hare_Krishna_Dhun/IDT_042-Hare_Krishna_-_Radhanath_Swami.MP3", "IDT_042-Hare_Krishna_-_Radhanath_Swami.MP3")</f>
        <v>IDT_042-Hare_Krishna_-_Radhanath_Swami.MP3</v>
      </c>
      <c r="D6559" s="24"/>
      <c r="E6559" s="24"/>
    </row>
    <row r="6560">
      <c r="A6560" s="25" t="s">
        <v>19078</v>
      </c>
      <c r="B6560" s="25" t="s">
        <v>19079</v>
      </c>
      <c r="C6560" s="26" t="str">
        <f t="shared" si="55"/>
        <v>IDT_042-Hare_Krishna_-_Radhanath_Swami.MP3</v>
      </c>
      <c r="D6560" s="24"/>
      <c r="E6560" s="24"/>
    </row>
    <row r="6561">
      <c r="A6561" s="25" t="s">
        <v>19078</v>
      </c>
      <c r="B6561" s="25" t="s">
        <v>19079</v>
      </c>
      <c r="C6561" s="26" t="str">
        <f t="shared" ref="C6561:C6562" si="56">HYPERLINK("https://audio.iskcondesiretree.com/02_-_ISKCON_Swamis/ISKCON_Swamis_-_R_to_Y/His_Holiness_Radhanath_Swami/Bhajans/Hare_Krishna_Dhun/IDT_043-Hare_Krishna_-_Radhanath_Swami.MP3", "IDT_043-Hare_Krishna_-_Radhanath_Swami.MP3")</f>
        <v>IDT_043-Hare_Krishna_-_Radhanath_Swami.MP3</v>
      </c>
      <c r="D6561" s="24"/>
      <c r="E6561" s="24"/>
    </row>
    <row r="6562">
      <c r="A6562" s="25" t="s">
        <v>19078</v>
      </c>
      <c r="B6562" s="25" t="s">
        <v>19079</v>
      </c>
      <c r="C6562" s="26" t="str">
        <f t="shared" si="56"/>
        <v>IDT_043-Hare_Krishna_-_Radhanath_Swami.MP3</v>
      </c>
      <c r="D6562" s="24"/>
      <c r="E6562" s="24"/>
    </row>
    <row r="6563">
      <c r="A6563" s="25" t="s">
        <v>19078</v>
      </c>
      <c r="B6563" s="25" t="s">
        <v>19079</v>
      </c>
      <c r="C6563" s="26" t="str">
        <f t="shared" ref="C6563:C6564" si="57">HYPERLINK("https://audio.iskcondesiretree.com/02_-_ISKCON_Swamis/ISKCON_Swamis_-_R_to_Y/His_Holiness_Radhanath_Swami/Bhajans/Hare_Krishna_Dhun/IDT_044-Hare_Krishna_-_Radhanath_Swami.MP3", "IDT_044-Hare_Krishna_-_Radhanath_Swami.MP3")</f>
        <v>IDT_044-Hare_Krishna_-_Radhanath_Swami.MP3</v>
      </c>
      <c r="D6563" s="24"/>
      <c r="E6563" s="24"/>
    </row>
    <row r="6564">
      <c r="A6564" s="25" t="s">
        <v>19078</v>
      </c>
      <c r="B6564" s="25" t="s">
        <v>19079</v>
      </c>
      <c r="C6564" s="26" t="str">
        <f t="shared" si="57"/>
        <v>IDT_044-Hare_Krishna_-_Radhanath_Swami.MP3</v>
      </c>
      <c r="D6564" s="24"/>
      <c r="E6564" s="24"/>
    </row>
    <row r="6565">
      <c r="A6565" s="25" t="s">
        <v>19078</v>
      </c>
      <c r="B6565" s="25" t="s">
        <v>19079</v>
      </c>
      <c r="C6565" s="26" t="str">
        <f t="shared" ref="C6565:C6566" si="58">HYPERLINK("https://audio.iskcondesiretree.com/02_-_ISKCON_Swamis/ISKCON_Swamis_-_R_to_Y/His_Holiness_Radhanath_Swami/Bhajans/Hare_Krishna_Dhun/IDT_045-Hare_Krishna_-_Radhanath_Swami.MP3", "IDT_045-Hare_Krishna_-_Radhanath_Swami.MP3")</f>
        <v>IDT_045-Hare_Krishna_-_Radhanath_Swami.MP3</v>
      </c>
      <c r="D6565" s="24"/>
      <c r="E6565" s="24"/>
    </row>
    <row r="6566">
      <c r="A6566" s="25" t="s">
        <v>19078</v>
      </c>
      <c r="B6566" s="25" t="s">
        <v>19079</v>
      </c>
      <c r="C6566" s="26" t="str">
        <f t="shared" si="58"/>
        <v>IDT_045-Hare_Krishna_-_Radhanath_Swami.MP3</v>
      </c>
      <c r="D6566" s="24"/>
      <c r="E6566" s="24"/>
    </row>
    <row r="6567">
      <c r="A6567" s="25" t="s">
        <v>19078</v>
      </c>
      <c r="B6567" s="25" t="s">
        <v>19079</v>
      </c>
      <c r="C6567" s="26" t="str">
        <f t="shared" ref="C6567:C6568" si="59">HYPERLINK("https://audio.iskcondesiretree.com/02_-_ISKCON_Swamis/ISKCON_Swamis_-_R_to_Y/His_Holiness_Radhanath_Swami/Bhajans/Hare_Krishna_Dhun/IDT_046-Hare_Krishna_-_Radhanath_Swami.MP3", "IDT_046-Hare_Krishna_-_Radhanath_Swami.MP3")</f>
        <v>IDT_046-Hare_Krishna_-_Radhanath_Swami.MP3</v>
      </c>
      <c r="D6567" s="24"/>
      <c r="E6567" s="24"/>
    </row>
    <row r="6568">
      <c r="A6568" s="25" t="s">
        <v>19078</v>
      </c>
      <c r="B6568" s="25" t="s">
        <v>19079</v>
      </c>
      <c r="C6568" s="26" t="str">
        <f t="shared" si="59"/>
        <v>IDT_046-Hare_Krishna_-_Radhanath_Swami.MP3</v>
      </c>
      <c r="D6568" s="24"/>
      <c r="E6568" s="24"/>
    </row>
    <row r="6569">
      <c r="A6569" s="25" t="s">
        <v>19078</v>
      </c>
      <c r="B6569" s="25" t="s">
        <v>19079</v>
      </c>
      <c r="C6569" s="26" t="str">
        <f t="shared" ref="C6569:C6570" si="60">HYPERLINK("https://audio.iskcondesiretree.com/02_-_ISKCON_Swamis/ISKCON_Swamis_-_R_to_Y/His_Holiness_Radhanath_Swami/Bhajans/Hare_Krishna_Dhun/IDT_047-Hare_Krishna_-_Radhanath_Swami.MP3", "IDT_047-Hare_Krishna_-_Radhanath_Swami.MP3")</f>
        <v>IDT_047-Hare_Krishna_-_Radhanath_Swami.MP3</v>
      </c>
      <c r="D6569" s="24"/>
      <c r="E6569" s="24"/>
    </row>
    <row r="6570">
      <c r="A6570" s="25" t="s">
        <v>19078</v>
      </c>
      <c r="B6570" s="25" t="s">
        <v>19079</v>
      </c>
      <c r="C6570" s="26" t="str">
        <f t="shared" si="60"/>
        <v>IDT_047-Hare_Krishna_-_Radhanath_Swami.MP3</v>
      </c>
      <c r="D6570" s="24"/>
      <c r="E6570" s="24"/>
    </row>
    <row r="6571">
      <c r="A6571" s="25" t="s">
        <v>19078</v>
      </c>
      <c r="B6571" s="25" t="s">
        <v>19079</v>
      </c>
      <c r="C6571" s="26" t="str">
        <f t="shared" ref="C6571:C6572" si="61">HYPERLINK("https://audio.iskcondesiretree.com/02_-_ISKCON_Swamis/ISKCON_Swamis_-_R_to_Y/His_Holiness_Radhanath_Swami/Bhajans/Hare_Krishna_Dhun/IDT_048-Hare_Krishna_-_Radhanath_Swami.MP3", "IDT_048-Hare_Krishna_-_Radhanath_Swami.MP3")</f>
        <v>IDT_048-Hare_Krishna_-_Radhanath_Swami.MP3</v>
      </c>
      <c r="D6571" s="24"/>
      <c r="E6571" s="24"/>
    </row>
    <row r="6572">
      <c r="A6572" s="25" t="s">
        <v>19078</v>
      </c>
      <c r="B6572" s="25" t="s">
        <v>19079</v>
      </c>
      <c r="C6572" s="26" t="str">
        <f t="shared" si="61"/>
        <v>IDT_048-Hare_Krishna_-_Radhanath_Swami.MP3</v>
      </c>
      <c r="D6572" s="24"/>
      <c r="E6572" s="24"/>
    </row>
    <row r="6573">
      <c r="A6573" s="25" t="s">
        <v>19078</v>
      </c>
      <c r="B6573" s="25" t="s">
        <v>19079</v>
      </c>
      <c r="C6573" s="26" t="str">
        <f t="shared" ref="C6573:C6574" si="62">HYPERLINK("https://audio.iskcondesiretree.com/02_-_ISKCON_Swamis/ISKCON_Swamis_-_R_to_Y/His_Holiness_Radhanath_Swami/Bhajans/Hare_Krishna_Dhun/IDT_049-Hare_Krishna_-_Radhanath_Swami.mp3", "IDT_049-Hare_Krishna_-_Radhanath_Swami.mp3")</f>
        <v>IDT_049-Hare_Krishna_-_Radhanath_Swami.mp3</v>
      </c>
      <c r="D6573" s="24"/>
      <c r="E6573" s="24"/>
    </row>
    <row r="6574">
      <c r="A6574" s="25" t="s">
        <v>19078</v>
      </c>
      <c r="B6574" s="25" t="s">
        <v>19079</v>
      </c>
      <c r="C6574" s="26" t="str">
        <f t="shared" si="62"/>
        <v>IDT_049-Hare_Krishna_-_Radhanath_Swami.mp3</v>
      </c>
      <c r="D6574" s="24"/>
      <c r="E6574" s="24"/>
    </row>
    <row r="6575">
      <c r="A6575" s="25" t="s">
        <v>19078</v>
      </c>
      <c r="B6575" s="25" t="s">
        <v>19079</v>
      </c>
      <c r="C6575" s="26" t="str">
        <f t="shared" ref="C6575:C6576" si="63">HYPERLINK("https://audio.iskcondesiretree.com/02_-_ISKCON_Swamis/ISKCON_Swamis_-_R_to_Y/His_Holiness_Radhanath_Swami/Bhajans/Hare_Krishna_Dhun/IDT_050-Hare_Krishna_-_Radhanath_Swami.mp3", "IDT_050-Hare_Krishna_-_Radhanath_Swami.mp3")</f>
        <v>IDT_050-Hare_Krishna_-_Radhanath_Swami.mp3</v>
      </c>
      <c r="D6575" s="24"/>
      <c r="E6575" s="24"/>
    </row>
    <row r="6576">
      <c r="A6576" s="25" t="s">
        <v>19078</v>
      </c>
      <c r="B6576" s="25" t="s">
        <v>19079</v>
      </c>
      <c r="C6576" s="26" t="str">
        <f t="shared" si="63"/>
        <v>IDT_050-Hare_Krishna_-_Radhanath_Swami.mp3</v>
      </c>
      <c r="D6576" s="24"/>
      <c r="E6576" s="24"/>
    </row>
    <row r="6577">
      <c r="A6577" s="25" t="s">
        <v>19078</v>
      </c>
      <c r="B6577" s="25" t="s">
        <v>19079</v>
      </c>
      <c r="C6577" s="26" t="str">
        <f t="shared" ref="C6577:C6578" si="64">HYPERLINK("https://audio.iskcondesiretree.com/02_-_ISKCON_Swamis/ISKCON_Swamis_-_R_to_Y/His_Holiness_Radhanath_Swami/Bhajans/Hare_Krishna_Dhun/IDT_051-Hare_Krishna_-_Radhanath_Swami.mp3", "IDT_051-Hare_Krishna_-_Radhanath_Swami.mp3")</f>
        <v>IDT_051-Hare_Krishna_-_Radhanath_Swami.mp3</v>
      </c>
      <c r="D6577" s="24"/>
      <c r="E6577" s="24"/>
    </row>
    <row r="6578">
      <c r="A6578" s="25" t="s">
        <v>19078</v>
      </c>
      <c r="B6578" s="25" t="s">
        <v>19079</v>
      </c>
      <c r="C6578" s="26" t="str">
        <f t="shared" si="64"/>
        <v>IDT_051-Hare_Krishna_-_Radhanath_Swami.mp3</v>
      </c>
      <c r="D6578" s="24"/>
      <c r="E6578" s="24"/>
    </row>
    <row r="6579">
      <c r="A6579" s="25" t="s">
        <v>19078</v>
      </c>
      <c r="B6579" s="25" t="s">
        <v>19079</v>
      </c>
      <c r="C6579" s="26" t="str">
        <f t="shared" ref="C6579:C6580" si="65">HYPERLINK("https://audio.iskcondesiretree.com/02_-_ISKCON_Swamis/ISKCON_Swamis_-_R_to_Y/His_Holiness_Radhanath_Swami/Bhajans/Hare_Krishna_Dhun/IDT_052-Hare_Krishna_-_Radhanath_Swami.mp3", "IDT_052-Hare_Krishna_-_Radhanath_Swami.mp3")</f>
        <v>IDT_052-Hare_Krishna_-_Radhanath_Swami.mp3</v>
      </c>
      <c r="D6579" s="24"/>
      <c r="E6579" s="24"/>
    </row>
    <row r="6580">
      <c r="A6580" s="25" t="s">
        <v>19078</v>
      </c>
      <c r="B6580" s="25" t="s">
        <v>19079</v>
      </c>
      <c r="C6580" s="26" t="str">
        <f t="shared" si="65"/>
        <v>IDT_052-Hare_Krishna_-_Radhanath_Swami.mp3</v>
      </c>
      <c r="D6580" s="24"/>
      <c r="E6580" s="24"/>
    </row>
    <row r="6581">
      <c r="A6581" s="25" t="s">
        <v>19078</v>
      </c>
      <c r="B6581" s="25" t="s">
        <v>19079</v>
      </c>
      <c r="C6581" s="26" t="str">
        <f t="shared" ref="C6581:C6582" si="66">HYPERLINK("https://audio.iskcondesiretree.com/02_-_ISKCON_Swamis/ISKCON_Swamis_-_R_to_Y/His_Holiness_Radhanath_Swami/Bhajans/Hare_Krishna_Dhun/IDT_053-Hare_Krishna_-_Radhanath_Swami.mp3", "IDT_053-Hare_Krishna_-_Radhanath_Swami.mp3")</f>
        <v>IDT_053-Hare_Krishna_-_Radhanath_Swami.mp3</v>
      </c>
      <c r="D6581" s="24"/>
      <c r="E6581" s="24"/>
    </row>
    <row r="6582">
      <c r="A6582" s="25" t="s">
        <v>19078</v>
      </c>
      <c r="B6582" s="25" t="s">
        <v>19079</v>
      </c>
      <c r="C6582" s="26" t="str">
        <f t="shared" si="66"/>
        <v>IDT_053-Hare_Krishna_-_Radhanath_Swami.mp3</v>
      </c>
      <c r="D6582" s="24"/>
      <c r="E6582" s="24"/>
    </row>
    <row r="6583">
      <c r="A6583" s="25" t="s">
        <v>19078</v>
      </c>
      <c r="B6583" s="25" t="s">
        <v>19079</v>
      </c>
      <c r="C6583" s="26" t="str">
        <f t="shared" ref="C6583:C6584" si="67">HYPERLINK("https://audio.iskcondesiretree.com/02_-_ISKCON_Swamis/ISKCON_Swamis_-_R_to_Y/His_Holiness_Radhanath_Swami/Bhajans/Hare_Krishna_Dhun/IDT_054-Hare_Krishna_-_Radhanath_Swami.mp3", "IDT_054-Hare_Krishna_-_Radhanath_Swami.mp3")</f>
        <v>IDT_054-Hare_Krishna_-_Radhanath_Swami.mp3</v>
      </c>
      <c r="D6583" s="24"/>
      <c r="E6583" s="24"/>
    </row>
    <row r="6584">
      <c r="A6584" s="25" t="s">
        <v>19078</v>
      </c>
      <c r="B6584" s="25" t="s">
        <v>19079</v>
      </c>
      <c r="C6584" s="26" t="str">
        <f t="shared" si="67"/>
        <v>IDT_054-Hare_Krishna_-_Radhanath_Swami.mp3</v>
      </c>
      <c r="D6584" s="24"/>
      <c r="E6584" s="24"/>
    </row>
    <row r="6585">
      <c r="A6585" s="25" t="s">
        <v>19078</v>
      </c>
      <c r="B6585" s="25" t="s">
        <v>19079</v>
      </c>
      <c r="C6585" s="26" t="str">
        <f t="shared" ref="C6585:C6586" si="68">HYPERLINK("https://audio.iskcondesiretree.com/02_-_ISKCON_Swamis/ISKCON_Swamis_-_R_to_Y/His_Holiness_Radhanath_Swami/Bhajans/Hare_Krishna_Dhun/IDT_055-Hare_Krishna_-_Radhanath_Swami.mp3", "IDT_055-Hare_Krishna_-_Radhanath_Swami.mp3")</f>
        <v>IDT_055-Hare_Krishna_-_Radhanath_Swami.mp3</v>
      </c>
      <c r="D6585" s="24"/>
      <c r="E6585" s="24"/>
    </row>
    <row r="6586">
      <c r="A6586" s="25" t="s">
        <v>19078</v>
      </c>
      <c r="B6586" s="25" t="s">
        <v>19079</v>
      </c>
      <c r="C6586" s="26" t="str">
        <f t="shared" si="68"/>
        <v>IDT_055-Hare_Krishna_-_Radhanath_Swami.mp3</v>
      </c>
      <c r="D6586" s="24"/>
      <c r="E6586" s="24"/>
    </row>
    <row r="6587">
      <c r="A6587" s="25" t="s">
        <v>19078</v>
      </c>
      <c r="B6587" s="25" t="s">
        <v>19079</v>
      </c>
      <c r="C6587" s="26" t="str">
        <f t="shared" ref="C6587:C6588" si="69">HYPERLINK("https://audio.iskcondesiretree.com/02_-_ISKCON_Swamis/ISKCON_Swamis_-_R_to_Y/His_Holiness_Radhanath_Swami/Bhajans/Hare_Krishna_Dhun/IDT_056-Hare_Krishna_-_Radhanath_Swami.mp3", "IDT_056-Hare_Krishna_-_Radhanath_Swami.mp3")</f>
        <v>IDT_056-Hare_Krishna_-_Radhanath_Swami.mp3</v>
      </c>
      <c r="D6587" s="24"/>
      <c r="E6587" s="24"/>
    </row>
    <row r="6588">
      <c r="A6588" s="25" t="s">
        <v>19078</v>
      </c>
      <c r="B6588" s="25" t="s">
        <v>19079</v>
      </c>
      <c r="C6588" s="26" t="str">
        <f t="shared" si="69"/>
        <v>IDT_056-Hare_Krishna_-_Radhanath_Swami.mp3</v>
      </c>
      <c r="D6588" s="24"/>
      <c r="E6588" s="24"/>
    </row>
    <row r="6589">
      <c r="A6589" s="25" t="s">
        <v>19078</v>
      </c>
      <c r="B6589" s="25" t="s">
        <v>19079</v>
      </c>
      <c r="C6589" s="26" t="str">
        <f t="shared" ref="C6589:C6590" si="70">HYPERLINK("https://audio.iskcondesiretree.com/02_-_ISKCON_Swamis/ISKCON_Swamis_-_R_to_Y/His_Holiness_Radhanath_Swami/Bhajans/Hare_Krishna_Dhun/IDT_057-Hare_Krishna_-_Radhanath_Swami.mp3", "IDT_057-Hare_Krishna_-_Radhanath_Swami.mp3")</f>
        <v>IDT_057-Hare_Krishna_-_Radhanath_Swami.mp3</v>
      </c>
      <c r="D6589" s="24"/>
      <c r="E6589" s="24"/>
    </row>
    <row r="6590">
      <c r="A6590" s="25" t="s">
        <v>19078</v>
      </c>
      <c r="B6590" s="25" t="s">
        <v>19079</v>
      </c>
      <c r="C6590" s="26" t="str">
        <f t="shared" si="70"/>
        <v>IDT_057-Hare_Krishna_-_Radhanath_Swami.mp3</v>
      </c>
      <c r="D6590" s="24"/>
      <c r="E6590" s="24"/>
    </row>
    <row r="6591">
      <c r="A6591" s="25" t="s">
        <v>19078</v>
      </c>
      <c r="B6591" s="25" t="s">
        <v>19079</v>
      </c>
      <c r="C6591" s="26" t="str">
        <f t="shared" ref="C6591:C6592" si="71">HYPERLINK("https://audio.iskcondesiretree.com/02_-_ISKCON_Swamis/ISKCON_Swamis_-_R_to_Y/His_Holiness_Radhanath_Swami/Bhajans/Hare_Krishna_Dhun/IDT_058-Hare_Krishna_-_Radhanath_Swami.mp3", "IDT_058-Hare_Krishna_-_Radhanath_Swami.mp3")</f>
        <v>IDT_058-Hare_Krishna_-_Radhanath_Swami.mp3</v>
      </c>
      <c r="D6591" s="24"/>
      <c r="E6591" s="24"/>
    </row>
    <row r="6592">
      <c r="A6592" s="25" t="s">
        <v>19078</v>
      </c>
      <c r="B6592" s="25" t="s">
        <v>19079</v>
      </c>
      <c r="C6592" s="26" t="str">
        <f t="shared" si="71"/>
        <v>IDT_058-Hare_Krishna_-_Radhanath_Swami.mp3</v>
      </c>
      <c r="D6592" s="24"/>
      <c r="E6592" s="24"/>
    </row>
    <row r="6593">
      <c r="A6593" s="25" t="s">
        <v>19078</v>
      </c>
      <c r="B6593" s="25" t="s">
        <v>19079</v>
      </c>
      <c r="C6593" s="26" t="str">
        <f t="shared" ref="C6593:C6594" si="72">HYPERLINK("https://audio.iskcondesiretree.com/02_-_ISKCON_Swamis/ISKCON_Swamis_-_R_to_Y/His_Holiness_Radhanath_Swami/Bhajans/Hare_Krishna_Dhun/IDT_059-Hare_Krishna_-_Radhanath_Swami.mp3", "IDT_059-Hare_Krishna_-_Radhanath_Swami.mp3")</f>
        <v>IDT_059-Hare_Krishna_-_Radhanath_Swami.mp3</v>
      </c>
      <c r="D6593" s="24"/>
      <c r="E6593" s="24"/>
    </row>
    <row r="6594">
      <c r="A6594" s="25" t="s">
        <v>19078</v>
      </c>
      <c r="B6594" s="25" t="s">
        <v>19079</v>
      </c>
      <c r="C6594" s="26" t="str">
        <f t="shared" si="72"/>
        <v>IDT_059-Hare_Krishna_-_Radhanath_Swami.mp3</v>
      </c>
      <c r="D6594" s="24"/>
      <c r="E6594" s="24"/>
    </row>
    <row r="6595">
      <c r="A6595" s="25" t="s">
        <v>19078</v>
      </c>
      <c r="B6595" s="25" t="s">
        <v>19079</v>
      </c>
      <c r="C6595" s="26" t="str">
        <f t="shared" ref="C6595:C6596" si="73">HYPERLINK("https://audio.iskcondesiretree.com/02_-_ISKCON_Swamis/ISKCON_Swamis_-_R_to_Y/His_Holiness_Radhanath_Swami/Bhajans/Hare_Krishna_Dhun/IDT_060-Hare_Krishna_-_Radhanath_Swami.mp3", "IDT_060-Hare_Krishna_-_Radhanath_Swami.mp3")</f>
        <v>IDT_060-Hare_Krishna_-_Radhanath_Swami.mp3</v>
      </c>
      <c r="D6595" s="24"/>
      <c r="E6595" s="24"/>
    </row>
    <row r="6596">
      <c r="A6596" s="25" t="s">
        <v>19078</v>
      </c>
      <c r="B6596" s="25" t="s">
        <v>19079</v>
      </c>
      <c r="C6596" s="26" t="str">
        <f t="shared" si="73"/>
        <v>IDT_060-Hare_Krishna_-_Radhanath_Swami.mp3</v>
      </c>
      <c r="D6596" s="24"/>
      <c r="E6596" s="24"/>
    </row>
    <row r="6597">
      <c r="A6597" s="25" t="s">
        <v>19078</v>
      </c>
      <c r="B6597" s="25" t="s">
        <v>19079</v>
      </c>
      <c r="C6597" s="26" t="str">
        <f t="shared" ref="C6597:C6598" si="74">HYPERLINK("https://audio.iskcondesiretree.com/02_-_ISKCON_Swamis/ISKCON_Swamis_-_R_to_Y/His_Holiness_Radhanath_Swami/Bhajans/Hare_Krishna_Dhun/IDT_061-Hare_Krishna_-_Radhanath_Swami.mp3", "IDT_061-Hare_Krishna_-_Radhanath_Swami.mp3")</f>
        <v>IDT_061-Hare_Krishna_-_Radhanath_Swami.mp3</v>
      </c>
      <c r="D6597" s="24"/>
      <c r="E6597" s="24"/>
    </row>
    <row r="6598">
      <c r="A6598" s="25" t="s">
        <v>19078</v>
      </c>
      <c r="B6598" s="25" t="s">
        <v>19079</v>
      </c>
      <c r="C6598" s="26" t="str">
        <f t="shared" si="74"/>
        <v>IDT_061-Hare_Krishna_-_Radhanath_Swami.mp3</v>
      </c>
      <c r="D6598" s="24"/>
      <c r="E6598" s="24"/>
    </row>
    <row r="6599">
      <c r="A6599" s="25" t="s">
        <v>19078</v>
      </c>
      <c r="B6599" s="25" t="s">
        <v>19079</v>
      </c>
      <c r="C6599" s="26" t="str">
        <f t="shared" ref="C6599:C6600" si="75">HYPERLINK("https://audio.iskcondesiretree.com/02_-_ISKCON_Swamis/ISKCON_Swamis_-_R_to_Y/His_Holiness_Radhanath_Swami/Bhajans/Hare_Krishna_Dhun/IDT_062-Hare_Krishna_-_Radhanath_Swami.mp3", "IDT_062-Hare_Krishna_-_Radhanath_Swami.mp3")</f>
        <v>IDT_062-Hare_Krishna_-_Radhanath_Swami.mp3</v>
      </c>
      <c r="D6599" s="24"/>
      <c r="E6599" s="24"/>
    </row>
    <row r="6600">
      <c r="A6600" s="25" t="s">
        <v>19078</v>
      </c>
      <c r="B6600" s="25" t="s">
        <v>19079</v>
      </c>
      <c r="C6600" s="26" t="str">
        <f t="shared" si="75"/>
        <v>IDT_062-Hare_Krishna_-_Radhanath_Swami.mp3</v>
      </c>
      <c r="D6600" s="24"/>
      <c r="E6600" s="24"/>
    </row>
    <row r="6601">
      <c r="A6601" s="25" t="s">
        <v>19078</v>
      </c>
      <c r="B6601" s="25" t="s">
        <v>19079</v>
      </c>
      <c r="C6601" s="26" t="str">
        <f t="shared" ref="C6601:C6602" si="76">HYPERLINK("https://audio.iskcondesiretree.com/02_-_ISKCON_Swamis/ISKCON_Swamis_-_R_to_Y/His_Holiness_Radhanath_Swami/Bhajans/Hare_Krishna_Dhun/IDT_063-Hare_Krishna_-_Radhanath_Swami.mp3", "IDT_063-Hare_Krishna_-_Radhanath_Swami.mp3")</f>
        <v>IDT_063-Hare_Krishna_-_Radhanath_Swami.mp3</v>
      </c>
      <c r="D6601" s="24"/>
      <c r="E6601" s="24"/>
    </row>
    <row r="6602">
      <c r="A6602" s="25" t="s">
        <v>19078</v>
      </c>
      <c r="B6602" s="25" t="s">
        <v>19079</v>
      </c>
      <c r="C6602" s="26" t="str">
        <f t="shared" si="76"/>
        <v>IDT_063-Hare_Krishna_-_Radhanath_Swami.mp3</v>
      </c>
      <c r="D6602" s="24"/>
      <c r="E6602" s="24"/>
    </row>
    <row r="6603">
      <c r="A6603" s="25" t="s">
        <v>19078</v>
      </c>
      <c r="B6603" s="25" t="s">
        <v>19079</v>
      </c>
      <c r="C6603" s="26" t="str">
        <f t="shared" ref="C6603:C6604" si="77">HYPERLINK("https://audio.iskcondesiretree.com/02_-_ISKCON_Swamis/ISKCON_Swamis_-_R_to_Y/His_Holiness_Radhanath_Swami/Bhajans/Hare_Krishna_Dhun/IDT_064-Hare_Krishna_-_Radhanath_Swami.mp3", "IDT_064-Hare_Krishna_-_Radhanath_Swami.mp3")</f>
        <v>IDT_064-Hare_Krishna_-_Radhanath_Swami.mp3</v>
      </c>
      <c r="D6603" s="24"/>
      <c r="E6603" s="24"/>
    </row>
    <row r="6604">
      <c r="A6604" s="25" t="s">
        <v>19078</v>
      </c>
      <c r="B6604" s="25" t="s">
        <v>19079</v>
      </c>
      <c r="C6604" s="26" t="str">
        <f t="shared" si="77"/>
        <v>IDT_064-Hare_Krishna_-_Radhanath_Swami.mp3</v>
      </c>
      <c r="D6604" s="24"/>
      <c r="E6604" s="24"/>
    </row>
    <row r="6605">
      <c r="A6605" s="25" t="s">
        <v>19078</v>
      </c>
      <c r="B6605" s="25" t="s">
        <v>19079</v>
      </c>
      <c r="C6605" s="26" t="str">
        <f t="shared" ref="C6605:C6606" si="78">HYPERLINK("https://audio.iskcondesiretree.com/02_-_ISKCON_Swamis/ISKCON_Swamis_-_R_to_Y/His_Holiness_Radhanath_Swami/Bhajans/Hare_Krishna_Dhun/IDT_065-Hare_Krishna_-_Radhanath_Swami.mp3", "IDT_065-Hare_Krishna_-_Radhanath_Swami.mp3")</f>
        <v>IDT_065-Hare_Krishna_-_Radhanath_Swami.mp3</v>
      </c>
      <c r="D6605" s="24"/>
      <c r="E6605" s="24"/>
    </row>
    <row r="6606">
      <c r="A6606" s="25" t="s">
        <v>19078</v>
      </c>
      <c r="B6606" s="25" t="s">
        <v>19079</v>
      </c>
      <c r="C6606" s="26" t="str">
        <f t="shared" si="78"/>
        <v>IDT_065-Hare_Krishna_-_Radhanath_Swami.mp3</v>
      </c>
      <c r="D6606" s="24"/>
      <c r="E6606" s="24"/>
    </row>
    <row r="6607">
      <c r="A6607" s="25" t="s">
        <v>19078</v>
      </c>
      <c r="B6607" s="25" t="s">
        <v>19079</v>
      </c>
      <c r="C6607" s="26" t="str">
        <f t="shared" ref="C6607:C6608" si="79">HYPERLINK("https://audio.iskcondesiretree.com/02_-_ISKCON_Swamis/ISKCON_Swamis_-_R_to_Y/His_Holiness_Radhanath_Swami/Bhajans/Hare_Krishna_Dhun/IDT_066-Hare_Krishna_-_Radhanath_Swami.MP3", "IDT_066-Hare_Krishna_-_Radhanath_Swami.MP3")</f>
        <v>IDT_066-Hare_Krishna_-_Radhanath_Swami.MP3</v>
      </c>
      <c r="D6607" s="24"/>
      <c r="E6607" s="24"/>
    </row>
    <row r="6608">
      <c r="A6608" s="25" t="s">
        <v>19078</v>
      </c>
      <c r="B6608" s="25" t="s">
        <v>19079</v>
      </c>
      <c r="C6608" s="26" t="str">
        <f t="shared" si="79"/>
        <v>IDT_066-Hare_Krishna_-_Radhanath_Swami.MP3</v>
      </c>
      <c r="D6608" s="24"/>
      <c r="E6608" s="24"/>
    </row>
    <row r="6609">
      <c r="A6609" s="25" t="s">
        <v>19078</v>
      </c>
      <c r="B6609" s="25" t="s">
        <v>19079</v>
      </c>
      <c r="C6609" s="26" t="str">
        <f t="shared" ref="C6609:C6610" si="80">HYPERLINK("https://audio.iskcondesiretree.com/02_-_ISKCON_Swamis/ISKCON_Swamis_-_R_to_Y/His_Holiness_Radhanath_Swami/Bhajans/Hare_Krishna_Dhun/IDT_067-Hare_Krishna_-_Radhanath_Swami.MP3", "IDT_067-Hare_Krishna_-_Radhanath_Swami.MP3")</f>
        <v>IDT_067-Hare_Krishna_-_Radhanath_Swami.MP3</v>
      </c>
      <c r="D6609" s="24"/>
      <c r="E6609" s="24"/>
    </row>
    <row r="6610">
      <c r="A6610" s="25" t="s">
        <v>19078</v>
      </c>
      <c r="B6610" s="25" t="s">
        <v>19079</v>
      </c>
      <c r="C6610" s="26" t="str">
        <f t="shared" si="80"/>
        <v>IDT_067-Hare_Krishna_-_Radhanath_Swami.MP3</v>
      </c>
      <c r="D6610" s="24"/>
      <c r="E6610" s="24"/>
    </row>
    <row r="6611">
      <c r="A6611" s="25" t="s">
        <v>19078</v>
      </c>
      <c r="B6611" s="25" t="s">
        <v>19079</v>
      </c>
      <c r="C6611" s="26" t="str">
        <f t="shared" ref="C6611:C6612" si="81">HYPERLINK("https://audio.iskcondesiretree.com/02_-_ISKCON_Swamis/ISKCON_Swamis_-_R_to_Y/His_Holiness_Radhanath_Swami/Bhajans/Hare_Krishna_Dhun/IDT_068-Hare_Krishna_-_Radhanath_Swami.mp3", "IDT_068-Hare_Krishna_-_Radhanath_Swami.mp3")</f>
        <v>IDT_068-Hare_Krishna_-_Radhanath_Swami.mp3</v>
      </c>
      <c r="D6611" s="24"/>
      <c r="E6611" s="24"/>
    </row>
    <row r="6612">
      <c r="A6612" s="25" t="s">
        <v>19078</v>
      </c>
      <c r="B6612" s="25" t="s">
        <v>19079</v>
      </c>
      <c r="C6612" s="26" t="str">
        <f t="shared" si="81"/>
        <v>IDT_068-Hare_Krishna_-_Radhanath_Swami.mp3</v>
      </c>
      <c r="D6612" s="24"/>
      <c r="E6612" s="24"/>
    </row>
    <row r="6613">
      <c r="A6613" s="25" t="s">
        <v>19078</v>
      </c>
      <c r="B6613" s="25" t="s">
        <v>19079</v>
      </c>
      <c r="C6613" s="26" t="str">
        <f t="shared" ref="C6613:C6614" si="82">HYPERLINK("https://audio.iskcondesiretree.com/02_-_ISKCON_Swamis/ISKCON_Swamis_-_R_to_Y/His_Holiness_Radhanath_Swami/Bhajans/Hare_Krishna_Dhun/IDT_069-Hare_Krishna_-_Radhanath_Swami.mp3", "IDT_069-Hare_Krishna_-_Radhanath_Swami.mp3")</f>
        <v>IDT_069-Hare_Krishna_-_Radhanath_Swami.mp3</v>
      </c>
      <c r="D6613" s="24"/>
      <c r="E6613" s="24"/>
    </row>
    <row r="6614">
      <c r="A6614" s="25" t="s">
        <v>19078</v>
      </c>
      <c r="B6614" s="25" t="s">
        <v>19079</v>
      </c>
      <c r="C6614" s="26" t="str">
        <f t="shared" si="82"/>
        <v>IDT_069-Hare_Krishna_-_Radhanath_Swami.mp3</v>
      </c>
      <c r="D6614" s="24"/>
      <c r="E6614" s="24"/>
    </row>
    <row r="6615">
      <c r="A6615" s="25" t="s">
        <v>19078</v>
      </c>
      <c r="B6615" s="25" t="s">
        <v>19079</v>
      </c>
      <c r="C6615" s="26" t="str">
        <f t="shared" ref="C6615:C6616" si="83">HYPERLINK("https://audio.iskcondesiretree.com/02_-_ISKCON_Swamis/ISKCON_Swamis_-_R_to_Y/His_Holiness_Radhanath_Swami/Bhajans/Hare_Krishna_Dhun/IDT_070-Hare_Krishna_-_Radhanath_Swami.mp3", "IDT_070-Hare_Krishna_-_Radhanath_Swami.mp3")</f>
        <v>IDT_070-Hare_Krishna_-_Radhanath_Swami.mp3</v>
      </c>
      <c r="D6615" s="24"/>
      <c r="E6615" s="24"/>
    </row>
    <row r="6616">
      <c r="A6616" s="25" t="s">
        <v>19078</v>
      </c>
      <c r="B6616" s="25" t="s">
        <v>19079</v>
      </c>
      <c r="C6616" s="26" t="str">
        <f t="shared" si="83"/>
        <v>IDT_070-Hare_Krishna_-_Radhanath_Swami.mp3</v>
      </c>
      <c r="D6616" s="24"/>
      <c r="E6616" s="24"/>
    </row>
    <row r="6617">
      <c r="A6617" s="25" t="s">
        <v>19078</v>
      </c>
      <c r="B6617" s="25" t="s">
        <v>19079</v>
      </c>
      <c r="C6617" s="26" t="str">
        <f t="shared" ref="C6617:C6618" si="84">HYPERLINK("https://audio.iskcondesiretree.com/02_-_ISKCON_Swamis/ISKCON_Swamis_-_R_to_Y/His_Holiness_Radhanath_Swami/Bhajans/Hare_Krishna_Dhun/IDT_071-Hare_Krishna_-_Radhanath_Swami.mp3", "IDT_071-Hare_Krishna_-_Radhanath_Swami.mp3")</f>
        <v>IDT_071-Hare_Krishna_-_Radhanath_Swami.mp3</v>
      </c>
      <c r="D6617" s="24"/>
      <c r="E6617" s="24"/>
    </row>
    <row r="6618">
      <c r="A6618" s="25" t="s">
        <v>19078</v>
      </c>
      <c r="B6618" s="25" t="s">
        <v>19079</v>
      </c>
      <c r="C6618" s="26" t="str">
        <f t="shared" si="84"/>
        <v>IDT_071-Hare_Krishna_-_Radhanath_Swami.mp3</v>
      </c>
      <c r="D6618" s="24"/>
      <c r="E6618" s="24"/>
    </row>
    <row r="6619">
      <c r="A6619" s="25" t="s">
        <v>19078</v>
      </c>
      <c r="B6619" s="25" t="s">
        <v>19079</v>
      </c>
      <c r="C6619" s="26" t="str">
        <f t="shared" ref="C6619:C6620" si="85">HYPERLINK("https://audio.iskcondesiretree.com/02_-_ISKCON_Swamis/ISKCON_Swamis_-_R_to_Y/His_Holiness_Radhanath_Swami/Bhajans/Hare_Krishna_Dhun/IDT_071-Hare_Krishna_-_Radhanath_Swami_Brooklyn.mp3", "IDT_071-Hare_Krishna_-_Radhanath_Swami_Brooklyn.mp3")</f>
        <v>IDT_071-Hare_Krishna_-_Radhanath_Swami_Brooklyn.mp3</v>
      </c>
      <c r="D6619" s="24"/>
      <c r="E6619" s="24"/>
    </row>
    <row r="6620">
      <c r="A6620" s="25" t="s">
        <v>19078</v>
      </c>
      <c r="B6620" s="25" t="s">
        <v>19079</v>
      </c>
      <c r="C6620" s="26" t="str">
        <f t="shared" si="85"/>
        <v>IDT_071-Hare_Krishna_-_Radhanath_Swami_Brooklyn.mp3</v>
      </c>
      <c r="D6620" s="24"/>
      <c r="E6620" s="24"/>
    </row>
    <row r="6621">
      <c r="A6621" s="25" t="s">
        <v>19078</v>
      </c>
      <c r="B6621" s="25" t="s">
        <v>19079</v>
      </c>
      <c r="C6621" s="26" t="str">
        <f t="shared" ref="C6621:C6622" si="86">HYPERLINK("https://audio.iskcondesiretree.com/02_-_ISKCON_Swamis/ISKCON_Swamis_-_R_to_Y/His_Holiness_Radhanath_Swami/Bhajans/Hare_Krishna_Dhun/IDT_072-Hare_Krishna_-_Radhanath_Swami.mp3", "IDT_072-Hare_Krishna_-_Radhanath_Swami.mp3")</f>
        <v>IDT_072-Hare_Krishna_-_Radhanath_Swami.mp3</v>
      </c>
      <c r="D6621" s="24"/>
      <c r="E6621" s="24"/>
    </row>
    <row r="6622">
      <c r="A6622" s="25" t="s">
        <v>19078</v>
      </c>
      <c r="B6622" s="25" t="s">
        <v>19079</v>
      </c>
      <c r="C6622" s="26" t="str">
        <f t="shared" si="86"/>
        <v>IDT_072-Hare_Krishna_-_Radhanath_Swami.mp3</v>
      </c>
      <c r="D6622" s="24"/>
      <c r="E6622" s="24"/>
    </row>
    <row r="6623">
      <c r="A6623" s="25" t="s">
        <v>19078</v>
      </c>
      <c r="B6623" s="25" t="s">
        <v>19079</v>
      </c>
      <c r="C6623" s="26" t="str">
        <f t="shared" ref="C6623:C6624" si="87">HYPERLINK("https://audio.iskcondesiretree.com/02_-_ISKCON_Swamis/ISKCON_Swamis_-_R_to_Y/His_Holiness_Radhanath_Swami/Bhajans/Hare_Krishna_Dhun/IDT_073-Hare_Krishna_-_Radhanath_Swami.mp3", "IDT_073-Hare_Krishna_-_Radhanath_Swami.mp3")</f>
        <v>IDT_073-Hare_Krishna_-_Radhanath_Swami.mp3</v>
      </c>
      <c r="D6623" s="24"/>
      <c r="E6623" s="24"/>
    </row>
    <row r="6624">
      <c r="A6624" s="25" t="s">
        <v>19078</v>
      </c>
      <c r="B6624" s="25" t="s">
        <v>19079</v>
      </c>
      <c r="C6624" s="26" t="str">
        <f t="shared" si="87"/>
        <v>IDT_073-Hare_Krishna_-_Radhanath_Swami.mp3</v>
      </c>
      <c r="D6624" s="24"/>
      <c r="E6624" s="24"/>
    </row>
    <row r="6625">
      <c r="A6625" s="25" t="s">
        <v>19078</v>
      </c>
      <c r="B6625" s="25" t="s">
        <v>19079</v>
      </c>
      <c r="C6625" s="26" t="str">
        <f t="shared" ref="C6625:C6626" si="88">HYPERLINK("https://audio.iskcondesiretree.com/02_-_ISKCON_Swamis/ISKCON_Swamis_-_R_to_Y/His_Holiness_Radhanath_Swami/Bhajans/Hare_Krishna_Dhun/IDT_074-Hare_Krishna_-_Radhanath_Swami.mp3", "IDT_074-Hare_Krishna_-_Radhanath_Swami.mp3")</f>
        <v>IDT_074-Hare_Krishna_-_Radhanath_Swami.mp3</v>
      </c>
      <c r="D6625" s="24"/>
      <c r="E6625" s="24"/>
    </row>
    <row r="6626">
      <c r="A6626" s="25" t="s">
        <v>19078</v>
      </c>
      <c r="B6626" s="25" t="s">
        <v>19079</v>
      </c>
      <c r="C6626" s="26" t="str">
        <f t="shared" si="88"/>
        <v>IDT_074-Hare_Krishna_-_Radhanath_Swami.mp3</v>
      </c>
      <c r="D6626" s="24"/>
      <c r="E6626" s="24"/>
    </row>
    <row r="6627">
      <c r="A6627" s="25" t="s">
        <v>19078</v>
      </c>
      <c r="B6627" s="25" t="s">
        <v>19079</v>
      </c>
      <c r="C6627" s="26" t="str">
        <f t="shared" ref="C6627:C6628" si="89">HYPERLINK("https://audio.iskcondesiretree.com/02_-_ISKCON_Swamis/ISKCON_Swamis_-_R_to_Y/His_Holiness_Radhanath_Swami/Bhajans/Hare_Krishna_Dhun/IDT_075-Hare_Krishna_-_Radhanath_Swami.mp3", "IDT_075-Hare_Krishna_-_Radhanath_Swami.mp3")</f>
        <v>IDT_075-Hare_Krishna_-_Radhanath_Swami.mp3</v>
      </c>
      <c r="D6627" s="24"/>
      <c r="E6627" s="24"/>
    </row>
    <row r="6628">
      <c r="A6628" s="25" t="s">
        <v>19078</v>
      </c>
      <c r="B6628" s="25" t="s">
        <v>19079</v>
      </c>
      <c r="C6628" s="26" t="str">
        <f t="shared" si="89"/>
        <v>IDT_075-Hare_Krishna_-_Radhanath_Swami.mp3</v>
      </c>
      <c r="D6628" s="24"/>
      <c r="E6628" s="24"/>
    </row>
    <row r="6629">
      <c r="A6629" s="25" t="s">
        <v>19078</v>
      </c>
      <c r="B6629" s="25" t="s">
        <v>19079</v>
      </c>
      <c r="C6629" s="26" t="str">
        <f t="shared" ref="C6629:C6630" si="90">HYPERLINK("https://audio.iskcondesiretree.com/02_-_ISKCON_Swamis/ISKCON_Swamis_-_R_to_Y/His_Holiness_Radhanath_Swami/Bhajans/Hare_Krishna_Dhun/IDT_076-Hare_Krishna_-_Radhanath_Swami.mp3", "IDT_076-Hare_Krishna_-_Radhanath_Swami.mp3")</f>
        <v>IDT_076-Hare_Krishna_-_Radhanath_Swami.mp3</v>
      </c>
      <c r="D6629" s="24"/>
      <c r="E6629" s="24"/>
    </row>
    <row r="6630">
      <c r="A6630" s="25" t="s">
        <v>19078</v>
      </c>
      <c r="B6630" s="25" t="s">
        <v>19079</v>
      </c>
      <c r="C6630" s="26" t="str">
        <f t="shared" si="90"/>
        <v>IDT_076-Hare_Krishna_-_Radhanath_Swami.mp3</v>
      </c>
      <c r="D6630" s="24"/>
      <c r="E6630" s="24"/>
    </row>
    <row r="6631">
      <c r="A6631" s="25" t="s">
        <v>19078</v>
      </c>
      <c r="B6631" s="25" t="s">
        <v>19079</v>
      </c>
      <c r="C6631" s="26" t="str">
        <f t="shared" ref="C6631:C6632" si="91">HYPERLINK("https://audio.iskcondesiretree.com/02_-_ISKCON_Swamis/ISKCON_Swamis_-_R_to_Y/His_Holiness_Radhanath_Swami/Bhajans/Hare_Krishna_Dhun/IDT_077-Hare_Krishna_-_Radhanath_Swami.mp3", "IDT_077-Hare_Krishna_-_Radhanath_Swami.mp3")</f>
        <v>IDT_077-Hare_Krishna_-_Radhanath_Swami.mp3</v>
      </c>
      <c r="D6631" s="24"/>
      <c r="E6631" s="24"/>
    </row>
    <row r="6632">
      <c r="A6632" s="25" t="s">
        <v>19078</v>
      </c>
      <c r="B6632" s="25" t="s">
        <v>19079</v>
      </c>
      <c r="C6632" s="26" t="str">
        <f t="shared" si="91"/>
        <v>IDT_077-Hare_Krishna_-_Radhanath_Swami.mp3</v>
      </c>
      <c r="D6632" s="24"/>
      <c r="E6632" s="24"/>
    </row>
    <row r="6633">
      <c r="A6633" s="25" t="s">
        <v>19078</v>
      </c>
      <c r="B6633" s="25" t="s">
        <v>19079</v>
      </c>
      <c r="C6633" s="26" t="str">
        <f t="shared" ref="C6633:C6634" si="92">HYPERLINK("https://audio.iskcondesiretree.com/02_-_ISKCON_Swamis/ISKCON_Swamis_-_R_to_Y/His_Holiness_Radhanath_Swami/Bhajans/Hare_Krishna_Dhun/IDT_078-Hare_Krishna_-_Radhanath_Swami.mp3", "IDT_078-Hare_Krishna_-_Radhanath_Swami.mp3")</f>
        <v>IDT_078-Hare_Krishna_-_Radhanath_Swami.mp3</v>
      </c>
      <c r="D6633" s="24"/>
      <c r="E6633" s="24"/>
    </row>
    <row r="6634">
      <c r="A6634" s="25" t="s">
        <v>19078</v>
      </c>
      <c r="B6634" s="25" t="s">
        <v>19079</v>
      </c>
      <c r="C6634" s="26" t="str">
        <f t="shared" si="92"/>
        <v>IDT_078-Hare_Krishna_-_Radhanath_Swami.mp3</v>
      </c>
      <c r="D6634" s="24"/>
      <c r="E6634" s="24"/>
    </row>
    <row r="6635">
      <c r="A6635" s="25" t="s">
        <v>19078</v>
      </c>
      <c r="B6635" s="25" t="s">
        <v>19079</v>
      </c>
      <c r="C6635" s="26" t="str">
        <f t="shared" ref="C6635:C6636" si="93">HYPERLINK("https://audio.iskcondesiretree.com/02_-_ISKCON_Swamis/ISKCON_Swamis_-_R_to_Y/His_Holiness_Radhanath_Swami/Bhajans/Hare_Krishna_Dhun/IDT_079-Hare_Krishna_-_Radhanath_Swami.mp3", "IDT_079-Hare_Krishna_-_Radhanath_Swami.mp3")</f>
        <v>IDT_079-Hare_Krishna_-_Radhanath_Swami.mp3</v>
      </c>
      <c r="D6635" s="24"/>
      <c r="E6635" s="24"/>
    </row>
    <row r="6636">
      <c r="A6636" s="25" t="s">
        <v>19078</v>
      </c>
      <c r="B6636" s="25" t="s">
        <v>19079</v>
      </c>
      <c r="C6636" s="26" t="str">
        <f t="shared" si="93"/>
        <v>IDT_079-Hare_Krishna_-_Radhanath_Swami.mp3</v>
      </c>
      <c r="D6636" s="24"/>
      <c r="E6636" s="24"/>
    </row>
    <row r="6637">
      <c r="A6637" s="25" t="s">
        <v>19078</v>
      </c>
      <c r="B6637" s="25" t="s">
        <v>19079</v>
      </c>
      <c r="C6637" s="26" t="str">
        <f t="shared" ref="C6637:C6638" si="94">HYPERLINK("https://audio.iskcondesiretree.com/02_-_ISKCON_Swamis/ISKCON_Swamis_-_R_to_Y/His_Holiness_Radhanath_Swami/Bhajans/Hare_Krishna_Dhun/IDT_080-Hare_Krishna_-_Radhanath_Swami_Cross_Maidan.mp3", "IDT_080-Hare_Krishna_-_Radhanath_Swami_Cross_Maidan.mp3")</f>
        <v>IDT_080-Hare_Krishna_-_Radhanath_Swami_Cross_Maidan.mp3</v>
      </c>
      <c r="D6637" s="24"/>
      <c r="E6637" s="24"/>
    </row>
    <row r="6638">
      <c r="A6638" s="25" t="s">
        <v>19078</v>
      </c>
      <c r="B6638" s="25" t="s">
        <v>19079</v>
      </c>
      <c r="C6638" s="26" t="str">
        <f t="shared" si="94"/>
        <v>IDT_080-Hare_Krishna_-_Radhanath_Swami_Cross_Maidan.mp3</v>
      </c>
      <c r="D6638" s="24"/>
      <c r="E6638" s="24"/>
    </row>
    <row r="6639">
      <c r="A6639" s="25" t="s">
        <v>19078</v>
      </c>
      <c r="B6639" s="25" t="s">
        <v>19079</v>
      </c>
      <c r="C6639" s="26" t="str">
        <f t="shared" ref="C6639:C6640" si="95">HYPERLINK("https://audio.iskcondesiretree.com/02_-_ISKCON_Swamis/ISKCON_Swamis_-_R_to_Y/His_Holiness_Radhanath_Swami/Bhajans/Hare_Krishna_Dhun/IDT_081-Hare_Krishna_-_Radhanath_Swami.mp3", "IDT_081-Hare_Krishna_-_Radhanath_Swami.mp3")</f>
        <v>IDT_081-Hare_Krishna_-_Radhanath_Swami.mp3</v>
      </c>
      <c r="D6639" s="24"/>
      <c r="E6639" s="24"/>
    </row>
    <row r="6640">
      <c r="A6640" s="25" t="s">
        <v>19078</v>
      </c>
      <c r="B6640" s="25" t="s">
        <v>19079</v>
      </c>
      <c r="C6640" s="26" t="str">
        <f t="shared" si="95"/>
        <v>IDT_081-Hare_Krishna_-_Radhanath_Swami.mp3</v>
      </c>
      <c r="D6640" s="24"/>
      <c r="E6640" s="24"/>
    </row>
    <row r="6641">
      <c r="A6641" s="25" t="s">
        <v>19078</v>
      </c>
      <c r="B6641" s="25" t="s">
        <v>19079</v>
      </c>
      <c r="C6641" s="26" t="str">
        <f t="shared" ref="C6641:C6642" si="96">HYPERLINK("https://audio.iskcondesiretree.com/02_-_ISKCON_Swamis/ISKCON_Swamis_-_R_to_Y/His_Holiness_Radhanath_Swami/Bhajans/Hare_Krishna_Dhun/IDT_082-Hare_Krishna_-_Radhanath_Swami_Tirupati.mp3", "IDT_082-Hare_Krishna_-_Radhanath_Swami_Tirupati.mp3")</f>
        <v>IDT_082-Hare_Krishna_-_Radhanath_Swami_Tirupati.mp3</v>
      </c>
      <c r="D6641" s="24"/>
      <c r="E6641" s="24"/>
    </row>
    <row r="6642">
      <c r="A6642" s="25" t="s">
        <v>19078</v>
      </c>
      <c r="B6642" s="25" t="s">
        <v>19079</v>
      </c>
      <c r="C6642" s="26" t="str">
        <f t="shared" si="96"/>
        <v>IDT_082-Hare_Krishna_-_Radhanath_Swami_Tirupati.mp3</v>
      </c>
      <c r="D6642" s="24"/>
      <c r="E6642" s="24"/>
    </row>
    <row r="6643">
      <c r="A6643" s="25" t="s">
        <v>19078</v>
      </c>
      <c r="B6643" s="25" t="s">
        <v>19079</v>
      </c>
      <c r="C6643" s="26" t="str">
        <f t="shared" ref="C6643:C6644" si="97">HYPERLINK("https://audio.iskcondesiretree.com/02_-_ISKCON_Swamis/ISKCON_Swamis_-_R_to_Y/His_Holiness_Radhanath_Swami/Bhajans/Hare_Krishna_Dhun/IDT_083-Hare_Krishna_-_Radhanath_Swami.mp3", "IDT_083-Hare_Krishna_-_Radhanath_Swami.mp3")</f>
        <v>IDT_083-Hare_Krishna_-_Radhanath_Swami.mp3</v>
      </c>
      <c r="D6643" s="24"/>
      <c r="E6643" s="24"/>
    </row>
    <row r="6644">
      <c r="A6644" s="25" t="s">
        <v>19078</v>
      </c>
      <c r="B6644" s="25" t="s">
        <v>19079</v>
      </c>
      <c r="C6644" s="26" t="str">
        <f t="shared" si="97"/>
        <v>IDT_083-Hare_Krishna_-_Radhanath_Swami.mp3</v>
      </c>
      <c r="D6644" s="24"/>
      <c r="E6644" s="24"/>
    </row>
    <row r="6645">
      <c r="A6645" s="25" t="s">
        <v>19078</v>
      </c>
      <c r="B6645" s="25" t="s">
        <v>19079</v>
      </c>
      <c r="C6645" s="26" t="str">
        <f t="shared" ref="C6645:C6646" si="98">HYPERLINK("https://audio.iskcondesiretree.com/02_-_ISKCON_Swamis/ISKCON_Swamis_-_R_to_Y/His_Holiness_Radhanath_Swami/Bhajans/Hare_Krishna_Dhun/IDT_084-Hare_Krishna_-_Radhanath_Swami.mp3", "IDT_084-Hare_Krishna_-_Radhanath_Swami.mp3")</f>
        <v>IDT_084-Hare_Krishna_-_Radhanath_Swami.mp3</v>
      </c>
      <c r="D6645" s="24"/>
      <c r="E6645" s="24"/>
    </row>
    <row r="6646">
      <c r="A6646" s="25" t="s">
        <v>19078</v>
      </c>
      <c r="B6646" s="25" t="s">
        <v>19079</v>
      </c>
      <c r="C6646" s="26" t="str">
        <f t="shared" si="98"/>
        <v>IDT_084-Hare_Krishna_-_Radhanath_Swami.mp3</v>
      </c>
      <c r="D6646" s="24"/>
      <c r="E6646" s="24"/>
    </row>
    <row r="6647">
      <c r="A6647" s="25" t="s">
        <v>19078</v>
      </c>
      <c r="B6647" s="25" t="s">
        <v>19079</v>
      </c>
      <c r="C6647" s="26" t="str">
        <f t="shared" ref="C6647:C6648" si="99">HYPERLINK("https://audio.iskcondesiretree.com/02_-_ISKCON_Swamis/ISKCON_Swamis_-_R_to_Y/His_Holiness_Radhanath_Swami/Bhajans/Hare_Krishna_Dhun/IDT_085-Hare_Krishna_-_Radhanath_Swami.mp3", "IDT_085-Hare_Krishna_-_Radhanath_Swami.mp3")</f>
        <v>IDT_085-Hare_Krishna_-_Radhanath_Swami.mp3</v>
      </c>
      <c r="D6647" s="24"/>
      <c r="E6647" s="24"/>
    </row>
    <row r="6648">
      <c r="A6648" s="25" t="s">
        <v>19078</v>
      </c>
      <c r="B6648" s="25" t="s">
        <v>19079</v>
      </c>
      <c r="C6648" s="26" t="str">
        <f t="shared" si="99"/>
        <v>IDT_085-Hare_Krishna_-_Radhanath_Swami.mp3</v>
      </c>
      <c r="D6648" s="24"/>
      <c r="E6648" s="24"/>
    </row>
    <row r="6649">
      <c r="A6649" s="25" t="s">
        <v>19078</v>
      </c>
      <c r="B6649" s="25" t="s">
        <v>19079</v>
      </c>
      <c r="C6649" s="26" t="str">
        <f t="shared" ref="C6649:C6650" si="100">HYPERLINK("https://audio.iskcondesiretree.com/02_-_ISKCON_Swamis/ISKCON_Swamis_-_R_to_Y/His_Holiness_Radhanath_Swami/Bhajans/Hare_Krishna_Dhun/IDT_086-Hare_Krishna_-_2011-10-25_Radhanath_Swami_Vrindavan.MP3", "IDT_086-Hare_Krishna_-_2011-10-25_Radhanath_Swami_Vrindavan.MP3")</f>
        <v>IDT_086-Hare_Krishna_-_2011-10-25_Radhanath_Swami_Vrindavan.MP3</v>
      </c>
      <c r="D6649" s="24"/>
      <c r="E6649" s="24"/>
    </row>
    <row r="6650">
      <c r="A6650" s="25" t="s">
        <v>19078</v>
      </c>
      <c r="B6650" s="25" t="s">
        <v>19079</v>
      </c>
      <c r="C6650" s="26" t="str">
        <f t="shared" si="100"/>
        <v>IDT_086-Hare_Krishna_-_2011-10-25_Radhanath_Swami_Vrindavan.MP3</v>
      </c>
      <c r="D6650" s="24"/>
      <c r="E6650" s="24"/>
    </row>
    <row r="6651">
      <c r="A6651" s="25" t="s">
        <v>19078</v>
      </c>
      <c r="B6651" s="25" t="s">
        <v>19079</v>
      </c>
      <c r="C6651" s="26" t="str">
        <f t="shared" ref="C6651:C6652" si="101">HYPERLINK("https://audio.iskcondesiretree.com/02_-_ISKCON_Swamis/ISKCON_Swamis_-_R_to_Y/His_Holiness_Radhanath_Swami/Bhajans/Hare_Krishna_Dhun/IDT_087-Hare_Krishna_-_2011-10-26_Radhanath_Swami_Vrindavan.MP3", "IDT_087-Hare_Krishna_-_2011-10-26_Radhanath_Swami_Vrindavan.MP3")</f>
        <v>IDT_087-Hare_Krishna_-_2011-10-26_Radhanath_Swami_Vrindavan.MP3</v>
      </c>
      <c r="D6651" s="24"/>
      <c r="E6651" s="24"/>
    </row>
    <row r="6652">
      <c r="A6652" s="25" t="s">
        <v>19078</v>
      </c>
      <c r="B6652" s="25" t="s">
        <v>19079</v>
      </c>
      <c r="C6652" s="26" t="str">
        <f t="shared" si="101"/>
        <v>IDT_087-Hare_Krishna_-_2011-10-26_Radhanath_Swami_Vrindavan.MP3</v>
      </c>
      <c r="D6652" s="24"/>
      <c r="E6652" s="24"/>
    </row>
    <row r="6653">
      <c r="A6653" s="25" t="s">
        <v>19078</v>
      </c>
      <c r="B6653" s="25" t="s">
        <v>19079</v>
      </c>
      <c r="C6653" s="26" t="str">
        <f t="shared" ref="C6653:C6654" si="102">HYPERLINK("https://audio.iskcondesiretree.com/02_-_ISKCON_Swamis/ISKCON_Swamis_-_R_to_Y/His_Holiness_Radhanath_Swami/Bhajans/Hare_Krishna_Dhun/IDT_088-Hare_Krishna_-_2011-10-27_Radhanath_Swami_Vrindavan.MP3", "IDT_088-Hare_Krishna_-_2011-10-27_Radhanath_Swami_Vrindavan.MP3")</f>
        <v>IDT_088-Hare_Krishna_-_2011-10-27_Radhanath_Swami_Vrindavan.MP3</v>
      </c>
      <c r="D6653" s="24"/>
      <c r="E6653" s="24"/>
    </row>
    <row r="6654">
      <c r="A6654" s="25" t="s">
        <v>19078</v>
      </c>
      <c r="B6654" s="25" t="s">
        <v>19079</v>
      </c>
      <c r="C6654" s="26" t="str">
        <f t="shared" si="102"/>
        <v>IDT_088-Hare_Krishna_-_2011-10-27_Radhanath_Swami_Vrindavan.MP3</v>
      </c>
      <c r="D6654" s="24"/>
      <c r="E6654" s="24"/>
    </row>
    <row r="6655">
      <c r="A6655" s="25" t="s">
        <v>19078</v>
      </c>
      <c r="B6655" s="25" t="s">
        <v>19079</v>
      </c>
      <c r="C6655" s="26" t="str">
        <f t="shared" ref="C6655:C6656" si="103">HYPERLINK("https://audio.iskcondesiretree.com/02_-_ISKCON_Swamis/ISKCON_Swamis_-_R_to_Y/His_Holiness_Radhanath_Swami/Bhajans/Hare_Krishna_Dhun/IDT_089-Hare_Krishna_-_2011-10-28_Radhanath_Swami_Vrindavan.MP3", "IDT_089-Hare_Krishna_-_2011-10-28_Radhanath_Swami_Vrindavan.MP3")</f>
        <v>IDT_089-Hare_Krishna_-_2011-10-28_Radhanath_Swami_Vrindavan.MP3</v>
      </c>
      <c r="D6655" s="24"/>
      <c r="E6655" s="24"/>
    </row>
    <row r="6656">
      <c r="A6656" s="25" t="s">
        <v>19078</v>
      </c>
      <c r="B6656" s="25" t="s">
        <v>19079</v>
      </c>
      <c r="C6656" s="26" t="str">
        <f t="shared" si="103"/>
        <v>IDT_089-Hare_Krishna_-_2011-10-28_Radhanath_Swami_Vrindavan.MP3</v>
      </c>
      <c r="D6656" s="24"/>
      <c r="E6656" s="24"/>
    </row>
    <row r="6657">
      <c r="A6657" s="25" t="s">
        <v>19078</v>
      </c>
      <c r="B6657" s="25" t="s">
        <v>19079</v>
      </c>
      <c r="C6657" s="26" t="str">
        <f t="shared" ref="C6657:C6658" si="104">HYPERLINK("https://audio.iskcondesiretree.com/02_-_ISKCON_Swamis/ISKCON_Swamis_-_R_to_Y/His_Holiness_Radhanath_Swami/Bhajans/Hare_Krishna_Dhun/IDT_090-Hare_Krishna_-_2011-10-29_Radhanath_Swami_Govardhan.MP3", "IDT_090-Hare_Krishna_-_2011-10-29_Radhanath_Swami_Govardhan.MP3")</f>
        <v>IDT_090-Hare_Krishna_-_2011-10-29_Radhanath_Swami_Govardhan.MP3</v>
      </c>
      <c r="D6657" s="24"/>
      <c r="E6657" s="24"/>
    </row>
    <row r="6658">
      <c r="A6658" s="25" t="s">
        <v>19078</v>
      </c>
      <c r="B6658" s="25" t="s">
        <v>19079</v>
      </c>
      <c r="C6658" s="26" t="str">
        <f t="shared" si="104"/>
        <v>IDT_090-Hare_Krishna_-_2011-10-29_Radhanath_Swami_Govardhan.MP3</v>
      </c>
      <c r="D6658" s="24"/>
      <c r="E6658" s="24"/>
    </row>
    <row r="6659">
      <c r="A6659" s="25" t="s">
        <v>19078</v>
      </c>
      <c r="B6659" s="25" t="s">
        <v>19079</v>
      </c>
      <c r="C6659" s="26" t="str">
        <f t="shared" ref="C6659:C6660" si="105">HYPERLINK("https://audio.iskcondesiretree.com/02_-_ISKCON_Swamis/ISKCON_Swamis_-_R_to_Y/His_Holiness_Radhanath_Swami/Bhajans/Hare_Krishna_Dhun/IDT_091-Hare_Krishna_-_1997-12-04_Radhanath_Swami.mp3", "IDT_091-Hare_Krishna_-_1997-12-04_Radhanath_Swami.mp3")</f>
        <v>IDT_091-Hare_Krishna_-_1997-12-04_Radhanath_Swami.mp3</v>
      </c>
      <c r="D6659" s="24"/>
      <c r="E6659" s="24"/>
    </row>
    <row r="6660">
      <c r="A6660" s="25" t="s">
        <v>19078</v>
      </c>
      <c r="B6660" s="25" t="s">
        <v>19079</v>
      </c>
      <c r="C6660" s="26" t="str">
        <f t="shared" si="105"/>
        <v>IDT_091-Hare_Krishna_-_1997-12-04_Radhanath_Swami.mp3</v>
      </c>
      <c r="D6660" s="24"/>
      <c r="E6660" s="24"/>
    </row>
    <row r="6661">
      <c r="A6661" s="25" t="s">
        <v>19078</v>
      </c>
      <c r="B6661" s="25" t="s">
        <v>19079</v>
      </c>
      <c r="C6661" s="26" t="str">
        <f t="shared" ref="C6661:C6662" si="106">HYPERLINK("https://audio.iskcondesiretree.com/02_-_ISKCON_Swamis/ISKCON_Swamis_-_R_to_Y/His_Holiness_Radhanath_Swami/Bhajans/Hare_Krishna_Dhun/IDT_092-Hare_Krishna_-_2010-06-24_Radhanath_Swami.mp3", "IDT_092-Hare_Krishna_-_2010-06-24_Radhanath_Swami.mp3")</f>
        <v>IDT_092-Hare_Krishna_-_2010-06-24_Radhanath_Swami.mp3</v>
      </c>
      <c r="D6661" s="24"/>
      <c r="E6661" s="24"/>
    </row>
    <row r="6662">
      <c r="A6662" s="25" t="s">
        <v>19078</v>
      </c>
      <c r="B6662" s="25" t="s">
        <v>19079</v>
      </c>
      <c r="C6662" s="26" t="str">
        <f t="shared" si="106"/>
        <v>IDT_092-Hare_Krishna_-_2010-06-24_Radhanath_Swami.mp3</v>
      </c>
      <c r="D6662" s="24"/>
      <c r="E6662" s="24"/>
    </row>
    <row r="6663">
      <c r="A6663" s="25" t="s">
        <v>19078</v>
      </c>
      <c r="B6663" s="25" t="s">
        <v>19079</v>
      </c>
      <c r="C6663" s="26" t="str">
        <f t="shared" ref="C6663:C6664" si="107">HYPERLINK("https://audio.iskcondesiretree.com/02_-_ISKCON_Swamis/ISKCON_Swamis_-_R_to_Y/His_Holiness_Radhanath_Swami/Bhajans/Hare_Krishna_Dhun/IDT_093-Hare_Krishna_-_2010-06-25_Radhanath_Swami.mp3", "IDT_093-Hare_Krishna_-_2010-06-25_Radhanath_Swami.mp3")</f>
        <v>IDT_093-Hare_Krishna_-_2010-06-25_Radhanath_Swami.mp3</v>
      </c>
      <c r="D6663" s="24"/>
      <c r="E6663" s="24"/>
    </row>
    <row r="6664">
      <c r="A6664" s="25" t="s">
        <v>19078</v>
      </c>
      <c r="B6664" s="25" t="s">
        <v>19079</v>
      </c>
      <c r="C6664" s="26" t="str">
        <f t="shared" si="107"/>
        <v>IDT_093-Hare_Krishna_-_2010-06-25_Radhanath_Swami.mp3</v>
      </c>
      <c r="D6664" s="24"/>
      <c r="E6664" s="24"/>
    </row>
    <row r="6665">
      <c r="A6665" s="25" t="s">
        <v>19078</v>
      </c>
      <c r="B6665" s="25" t="s">
        <v>19079</v>
      </c>
      <c r="C6665" s="26" t="str">
        <f t="shared" ref="C6665:C6666" si="108">HYPERLINK("https://audio.iskcondesiretree.com/02_-_ISKCON_Swamis/ISKCON_Swamis_-_R_to_Y/His_Holiness_Radhanath_Swami/Bhajans/Hare_Krishna_Dhun/IDT_095-Hare_Krishna_-_2010-06-28_Radhanath_Swami.mp3", "IDT_095-Hare_Krishna_-_2010-06-28_Radhanath_Swami.mp3")</f>
        <v>IDT_095-Hare_Krishna_-_2010-06-28_Radhanath_Swami.mp3</v>
      </c>
      <c r="D6665" s="24"/>
      <c r="E6665" s="24"/>
    </row>
    <row r="6666">
      <c r="A6666" s="25" t="s">
        <v>19078</v>
      </c>
      <c r="B6666" s="25" t="s">
        <v>19079</v>
      </c>
      <c r="C6666" s="26" t="str">
        <f t="shared" si="108"/>
        <v>IDT_095-Hare_Krishna_-_2010-06-28_Radhanath_Swami.mp3</v>
      </c>
      <c r="D6666" s="24"/>
      <c r="E6666" s="24"/>
    </row>
    <row r="6667">
      <c r="A6667" s="25" t="s">
        <v>19078</v>
      </c>
      <c r="B6667" s="25" t="s">
        <v>19079</v>
      </c>
      <c r="C6667" s="26" t="str">
        <f t="shared" ref="C6667:C6668" si="109">HYPERLINK("https://audio.iskcondesiretree.com/02_-_ISKCON_Swamis/ISKCON_Swamis_-_R_to_Y/His_Holiness_Radhanath_Swami/Bhajans/Hare_Krishna_Dhun/IDT_096-Hare_Krishna_-_2009-09-25_Radhanath_Swami_Mumbai.MP3", "IDT_096-Hare_Krishna_-_2009-09-25_Radhanath_Swami_Mumbai.MP3")</f>
        <v>IDT_096-Hare_Krishna_-_2009-09-25_Radhanath_Swami_Mumbai.MP3</v>
      </c>
      <c r="D6667" s="24"/>
      <c r="E6667" s="24"/>
    </row>
    <row r="6668">
      <c r="A6668" s="25" t="s">
        <v>19078</v>
      </c>
      <c r="B6668" s="25" t="s">
        <v>19079</v>
      </c>
      <c r="C6668" s="26" t="str">
        <f t="shared" si="109"/>
        <v>IDT_096-Hare_Krishna_-_2009-09-25_Radhanath_Swami_Mumbai.MP3</v>
      </c>
      <c r="D6668" s="24"/>
      <c r="E6668" s="24"/>
    </row>
    <row r="6669">
      <c r="A6669" s="25" t="s">
        <v>19078</v>
      </c>
      <c r="B6669" s="25" t="s">
        <v>19079</v>
      </c>
      <c r="C6669" s="26" t="str">
        <f t="shared" ref="C6669:C6670" si="110">HYPERLINK("https://audio.iskcondesiretree.com/02_-_ISKCON_Swamis/ISKCON_Swamis_-_R_to_Y/His_Holiness_Radhanath_Swami/Bhajans/Hare_Krishna_Dhun/IDT_097-Hare_Krishna_-_Radhanath_Swami.mp3", "IDT_097-Hare_Krishna_-_Radhanath_Swami.mp3")</f>
        <v>IDT_097-Hare_Krishna_-_Radhanath_Swami.mp3</v>
      </c>
      <c r="D6669" s="24"/>
      <c r="E6669" s="24"/>
    </row>
    <row r="6670">
      <c r="A6670" s="25" t="s">
        <v>19078</v>
      </c>
      <c r="B6670" s="25" t="s">
        <v>19079</v>
      </c>
      <c r="C6670" s="26" t="str">
        <f t="shared" si="110"/>
        <v>IDT_097-Hare_Krishna_-_Radhanath_Swami.mp3</v>
      </c>
      <c r="D6670" s="24"/>
      <c r="E6670" s="24"/>
    </row>
    <row r="6671">
      <c r="A6671" s="25" t="s">
        <v>19078</v>
      </c>
      <c r="B6671" s="25" t="s">
        <v>19079</v>
      </c>
      <c r="C6671" s="26" t="str">
        <f t="shared" ref="C6671:C6672" si="111">HYPERLINK("https://audio.iskcondesiretree.com/02_-_ISKCON_Swamis/ISKCON_Swamis_-_R_to_Y/His_Holiness_Radhanath_Swami/Bhajans/Hare_Krishna_Dhun/IDT_098-Hare_Krishna_-_Radhanath_Swami.mp3", "IDT_098-Hare_Krishna_-_Radhanath_Swami.mp3")</f>
        <v>IDT_098-Hare_Krishna_-_Radhanath_Swami.mp3</v>
      </c>
      <c r="D6671" s="24"/>
      <c r="E6671" s="24"/>
    </row>
    <row r="6672">
      <c r="A6672" s="25" t="s">
        <v>19078</v>
      </c>
      <c r="B6672" s="25" t="s">
        <v>19079</v>
      </c>
      <c r="C6672" s="26" t="str">
        <f t="shared" si="111"/>
        <v>IDT_098-Hare_Krishna_-_Radhanath_Swami.mp3</v>
      </c>
      <c r="D6672" s="24"/>
      <c r="E6672" s="24"/>
    </row>
    <row r="6673">
      <c r="A6673" s="25" t="s">
        <v>19078</v>
      </c>
      <c r="B6673" s="25" t="s">
        <v>19079</v>
      </c>
      <c r="C6673" s="26" t="str">
        <f t="shared" ref="C6673:C6674" si="112">HYPERLINK("https://audio.iskcondesiretree.com/02_-_ISKCON_Swamis/ISKCON_Swamis_-_R_to_Y/His_Holiness_Radhanath_Swami/Bhajans/Hare_Krishna_Dhun/IDT_099-Hare_Krishna_Sunday_Feast_Kirtan_-_2012-01-15_Radhanath_Swami_ISKCON_Chowpatty.mp3", "IDT_099-Hare_Krishna_Sunday_Feast_Kirtan_-_2012-01-15_Radhanath_Swami_ISKCON_Chowpatty.mp3")</f>
        <v>IDT_099-Hare_Krishna_Sunday_Feast_Kirtan_-_2012-01-15_Radhanath_Swami_ISKCON_Chowpatty.mp3</v>
      </c>
      <c r="D6673" s="24"/>
      <c r="E6673" s="24"/>
    </row>
    <row r="6674">
      <c r="A6674" s="25" t="s">
        <v>19078</v>
      </c>
      <c r="B6674" s="25" t="s">
        <v>19079</v>
      </c>
      <c r="C6674" s="26" t="str">
        <f t="shared" si="112"/>
        <v>IDT_099-Hare_Krishna_Sunday_Feast_Kirtan_-_2012-01-15_Radhanath_Swami_ISKCON_Chowpatty.mp3</v>
      </c>
      <c r="D6674" s="24"/>
      <c r="E6674" s="24"/>
    </row>
    <row r="6675">
      <c r="A6675" s="25" t="s">
        <v>19078</v>
      </c>
      <c r="B6675" s="25" t="s">
        <v>19079</v>
      </c>
      <c r="C6675" s="26" t="str">
        <f t="shared" ref="C6675:C6676" si="113">HYPERLINK("https://audio.iskcondesiretree.com/02_-_ISKCON_Swamis/ISKCON_Swamis_-_R_to_Y/His_Holiness_Radhanath_Swami/Bhajans/Hare_Krishna_Dhun/IDT_100-Hare_Krishna_Pushya_Abhishek_Kirtan_-_2012-01-28_Radhanath_Swami_ISKCON_Chowpatty.mp3", "IDT_100-Hare_Krishna_Pushya_Abhishek_Kirtan_-_2012-01-28_Radhanath_Swami_ISKCON_Chowpatty.mp3")</f>
        <v>IDT_100-Hare_Krishna_Pushya_Abhishek_Kirtan_-_2012-01-28_Radhanath_Swami_ISKCON_Chowpatty.mp3</v>
      </c>
      <c r="D6675" s="24"/>
      <c r="E6675" s="24"/>
    </row>
    <row r="6676">
      <c r="A6676" s="25" t="s">
        <v>19078</v>
      </c>
      <c r="B6676" s="25" t="s">
        <v>19079</v>
      </c>
      <c r="C6676" s="26" t="str">
        <f t="shared" si="113"/>
        <v>IDT_100-Hare_Krishna_Pushya_Abhishek_Kirtan_-_2012-01-28_Radhanath_Swami_ISKCON_Chowpatty.mp3</v>
      </c>
      <c r="D6676" s="24"/>
      <c r="E6676" s="24"/>
    </row>
    <row r="6677">
      <c r="A6677" s="25" t="s">
        <v>19078</v>
      </c>
      <c r="B6677" s="25" t="s">
        <v>19079</v>
      </c>
      <c r="C6677" s="26" t="str">
        <f t="shared" ref="C6677:C6678" si="114">HYPERLINK("https://audio.iskcondesiretree.com/02_-_ISKCON_Swamis/ISKCON_Swamis_-_R_to_Y/His_Holiness_Radhanath_Swami/Bhajans/Hare_Krishna_Dhun/IDT_101-Hare_Krishna_-_Radhanath_Swami.mp3", "IDT_101-Hare_Krishna_-_Radhanath_Swami.mp3")</f>
        <v>IDT_101-Hare_Krishna_-_Radhanath_Swami.mp3</v>
      </c>
      <c r="D6677" s="24"/>
      <c r="E6677" s="24"/>
    </row>
    <row r="6678">
      <c r="A6678" s="25" t="s">
        <v>19078</v>
      </c>
      <c r="B6678" s="25" t="s">
        <v>19079</v>
      </c>
      <c r="C6678" s="26" t="str">
        <f t="shared" si="114"/>
        <v>IDT_101-Hare_Krishna_-_Radhanath_Swami.mp3</v>
      </c>
      <c r="D6678" s="24"/>
      <c r="E6678" s="24"/>
    </row>
    <row r="6679">
      <c r="A6679" s="25" t="s">
        <v>19078</v>
      </c>
      <c r="B6679" s="25" t="s">
        <v>19079</v>
      </c>
      <c r="C6679" s="26" t="str">
        <f t="shared" ref="C6679:C6680" si="115">HYPERLINK("https://audio.iskcondesiretree.com/02_-_ISKCON_Swamis/ISKCON_Swamis_-_R_to_Y/His_Holiness_Radhanath_Swami/Bhajans/Hare_Krishna_Dhun/IDT_102-Hare_Krishna_-_Radhanath_Swami.mp3", "IDT_102-Hare_Krishna_-_Radhanath_Swami.mp3")</f>
        <v>IDT_102-Hare_Krishna_-_Radhanath_Swami.mp3</v>
      </c>
      <c r="D6679" s="24"/>
      <c r="E6679" s="24"/>
    </row>
    <row r="6680">
      <c r="A6680" s="25" t="s">
        <v>19078</v>
      </c>
      <c r="B6680" s="25" t="s">
        <v>19079</v>
      </c>
      <c r="C6680" s="26" t="str">
        <f t="shared" si="115"/>
        <v>IDT_102-Hare_Krishna_-_Radhanath_Swami.mp3</v>
      </c>
      <c r="D6680" s="24"/>
      <c r="E6680" s="24"/>
    </row>
    <row r="6681">
      <c r="A6681" s="25" t="s">
        <v>19078</v>
      </c>
      <c r="B6681" s="25" t="s">
        <v>19079</v>
      </c>
      <c r="C6681" s="26" t="str">
        <f t="shared" ref="C6681:C6682" si="116">HYPERLINK("https://audio.iskcondesiretree.com/02_-_ISKCON_Swamis/ISKCON_Swamis_-_R_to_Y/His_Holiness_Radhanath_Swami/Bhajans/Hare_Krishna_Dhun/IDT_102-Jaya_Radhe_Jaye_Radhe_Radhe_-_2012-02-01_Radhanath_Swami_Barsana.mp3", "IDT_102-Jaya_Radhe_Jaye_Radhe_Radhe_-_2012-02-01_Radhanath_Swami_Barsana.mp3")</f>
        <v>IDT_102-Jaya_Radhe_Jaye_Radhe_Radhe_-_2012-02-01_Radhanath_Swami_Barsana.mp3</v>
      </c>
      <c r="D6681" s="24"/>
      <c r="E6681" s="24"/>
    </row>
    <row r="6682">
      <c r="A6682" s="25" t="s">
        <v>19078</v>
      </c>
      <c r="B6682" s="25" t="s">
        <v>19079</v>
      </c>
      <c r="C6682" s="26" t="str">
        <f t="shared" si="116"/>
        <v>IDT_102-Jaya_Radhe_Jaye_Radhe_Radhe_-_2012-02-01_Radhanath_Swami_Barsana.mp3</v>
      </c>
      <c r="D6682" s="24"/>
      <c r="E6682" s="24"/>
    </row>
    <row r="6683">
      <c r="A6683" s="25" t="s">
        <v>19078</v>
      </c>
      <c r="B6683" s="25" t="s">
        <v>19079</v>
      </c>
      <c r="C6683" s="26" t="str">
        <f t="shared" ref="C6683:C6684" si="117">HYPERLINK("https://audio.iskcondesiretree.com/02_-_ISKCON_Swamis/ISKCON_Swamis_-_R_to_Y/His_Holiness_Radhanath_Swami/Bhajans/Hare_Krishna_Dhun/IDT_103-Hare_Krishna_Kirtan_-_Radhanath_Swami_-_2008.mp3", "IDT_103-Hare_Krishna_Kirtan_-_Radhanath_Swami_-_2008.mp3")</f>
        <v>IDT_103-Hare_Krishna_Kirtan_-_Radhanath_Swami_-_2008.mp3</v>
      </c>
      <c r="D6683" s="24"/>
      <c r="E6683" s="24"/>
    </row>
    <row r="6684">
      <c r="A6684" s="25" t="s">
        <v>19078</v>
      </c>
      <c r="B6684" s="25" t="s">
        <v>19079</v>
      </c>
      <c r="C6684" s="26" t="str">
        <f t="shared" si="117"/>
        <v>IDT_103-Hare_Krishna_Kirtan_-_Radhanath_Swami_-_2008.mp3</v>
      </c>
      <c r="D6684" s="24"/>
      <c r="E6684" s="24"/>
    </row>
    <row r="6685">
      <c r="A6685" s="25" t="s">
        <v>19078</v>
      </c>
      <c r="B6685" s="25" t="s">
        <v>19079</v>
      </c>
      <c r="C6685" s="26" t="str">
        <f t="shared" ref="C6685:C6686" si="118">HYPERLINK("https://audio.iskcondesiretree.com/02_-_ISKCON_Swamis/ISKCON_Swamis_-_R_to_Y/His_Holiness_Radhanath_Swami/Bhajans/Hare_Krishna_Dhun/IDT_104-Hare_Krishna_Kirtan_-_Radhanath_Swami_-_2008.mp3", "IDT_104-Hare_Krishna_Kirtan_-_Radhanath_Swami_-_2008.mp3")</f>
        <v>IDT_104-Hare_Krishna_Kirtan_-_Radhanath_Swami_-_2008.mp3</v>
      </c>
      <c r="D6685" s="24"/>
      <c r="E6685" s="24"/>
    </row>
    <row r="6686">
      <c r="A6686" s="25" t="s">
        <v>19078</v>
      </c>
      <c r="B6686" s="25" t="s">
        <v>19079</v>
      </c>
      <c r="C6686" s="26" t="str">
        <f t="shared" si="118"/>
        <v>IDT_104-Hare_Krishna_Kirtan_-_Radhanath_Swami_-_2008.mp3</v>
      </c>
      <c r="D6686" s="24"/>
      <c r="E6686" s="24"/>
    </row>
    <row r="6687">
      <c r="A6687" s="25" t="s">
        <v>19078</v>
      </c>
      <c r="B6687" s="25" t="s">
        <v>19079</v>
      </c>
      <c r="C6687" s="26" t="str">
        <f t="shared" ref="C6687:C6688" si="119">HYPERLINK("https://audio.iskcondesiretree.com/02_-_ISKCON_Swamis/ISKCON_Swamis_-_R_to_Y/His_Holiness_Radhanath_Swami/Bhajans/Hare_Krishna_Dhun/IDT_105-Hare_Krishna_-_Radhanath_Swami.mp3", "IDT_105-Hare_Krishna_-_Radhanath_Swami.mp3")</f>
        <v>IDT_105-Hare_Krishna_-_Radhanath_Swami.mp3</v>
      </c>
      <c r="D6687" s="24"/>
      <c r="E6687" s="24"/>
    </row>
    <row r="6688">
      <c r="A6688" s="25" t="s">
        <v>19078</v>
      </c>
      <c r="B6688" s="25" t="s">
        <v>19079</v>
      </c>
      <c r="C6688" s="26" t="str">
        <f t="shared" si="119"/>
        <v>IDT_105-Hare_Krishna_-_Radhanath_Swami.mp3</v>
      </c>
      <c r="D6688" s="24"/>
      <c r="E6688" s="24"/>
    </row>
    <row r="6689">
      <c r="A6689" s="25" t="s">
        <v>19078</v>
      </c>
      <c r="B6689" s="25" t="s">
        <v>19079</v>
      </c>
      <c r="C6689" s="26" t="str">
        <f t="shared" ref="C6689:C6690" si="120">HYPERLINK("https://audio.iskcondesiretree.com/02_-_ISKCON_Swamis/ISKCON_Swamis_-_R_to_Y/His_Holiness_Radhanath_Swami/Bhajans/Hare_Krishna_Dhun/IDT_106-Hare_Krishna_-_Radhanath_Swami.mp3", "IDT_106-Hare_Krishna_-_Radhanath_Swami.mp3")</f>
        <v>IDT_106-Hare_Krishna_-_Radhanath_Swami.mp3</v>
      </c>
      <c r="D6689" s="24"/>
      <c r="E6689" s="24"/>
    </row>
    <row r="6690">
      <c r="A6690" s="25" t="s">
        <v>19078</v>
      </c>
      <c r="B6690" s="25" t="s">
        <v>19079</v>
      </c>
      <c r="C6690" s="26" t="str">
        <f t="shared" si="120"/>
        <v>IDT_106-Hare_Krishna_-_Radhanath_Swami.mp3</v>
      </c>
      <c r="D6690" s="24"/>
      <c r="E6690" s="24"/>
    </row>
    <row r="6691">
      <c r="A6691" s="25" t="s">
        <v>19078</v>
      </c>
      <c r="B6691" s="25" t="s">
        <v>19079</v>
      </c>
      <c r="C6691" s="26" t="str">
        <f t="shared" ref="C6691:C6692" si="121">HYPERLINK("https://audio.iskcondesiretree.com/02_-_ISKCON_Swamis/ISKCON_Swamis_-_R_to_Y/His_Holiness_Radhanath_Swami/Bhajans/Hare_Krishna_Dhun/IDT_107-Hare_Krishna_-_Radhanath_Swami.mp3", "IDT_107-Hare_Krishna_-_Radhanath_Swami.mp3")</f>
        <v>IDT_107-Hare_Krishna_-_Radhanath_Swami.mp3</v>
      </c>
      <c r="D6691" s="24"/>
      <c r="E6691" s="24"/>
    </row>
    <row r="6692">
      <c r="A6692" s="25" t="s">
        <v>19078</v>
      </c>
      <c r="B6692" s="25" t="s">
        <v>19079</v>
      </c>
      <c r="C6692" s="26" t="str">
        <f t="shared" si="121"/>
        <v>IDT_107-Hare_Krishna_-_Radhanath_Swami.mp3</v>
      </c>
      <c r="D6692" s="24"/>
      <c r="E6692" s="24"/>
    </row>
    <row r="6693">
      <c r="A6693" s="25" t="s">
        <v>19078</v>
      </c>
      <c r="B6693" s="25" t="s">
        <v>19079</v>
      </c>
      <c r="C6693" s="26" t="str">
        <f t="shared" ref="C6693:C6694" si="122">HYPERLINK("https://audio.iskcondesiretree.com/02_-_ISKCON_Swamis/ISKCON_Swamis_-_R_to_Y/His_Holiness_Radhanath_Swami/Bhajans/Hare_Krishna_Dhun/IDT_108-Hare_Krishna_Kirtan_-_Radhanath_Sw_-_2010_New_York.mp3", "IDT_108-Hare_Krishna_Kirtan_-_Radhanath_Sw_-_2010_New_York.mp3")</f>
        <v>IDT_108-Hare_Krishna_Kirtan_-_Radhanath_Sw_-_2010_New_York.mp3</v>
      </c>
      <c r="D6693" s="24"/>
      <c r="E6693" s="24"/>
    </row>
    <row r="6694">
      <c r="A6694" s="25" t="s">
        <v>19078</v>
      </c>
      <c r="B6694" s="25" t="s">
        <v>19079</v>
      </c>
      <c r="C6694" s="26" t="str">
        <f t="shared" si="122"/>
        <v>IDT_108-Hare_Krishna_Kirtan_-_Radhanath_Sw_-_2010_New_York.mp3</v>
      </c>
      <c r="D6694" s="24"/>
      <c r="E6694" s="24"/>
    </row>
    <row r="6695">
      <c r="A6695" s="25" t="s">
        <v>19078</v>
      </c>
      <c r="B6695" s="25" t="s">
        <v>19079</v>
      </c>
      <c r="C6695" s="26" t="str">
        <f t="shared" ref="C6695:C6696" si="123">HYPERLINK("https://audio.iskcondesiretree.com/02_-_ISKCON_Swamis/ISKCON_Swamis_-_R_to_Y/His_Holiness_Radhanath_Swami/Bhajans/Hare_Krishna_Dhun/IDT_109_Hare_Krishna_Kirtan_Mela_Day-01_-_2012-02-22_Radhanath_Swami_ISKCON_Mayapur.mp3", "IDT_109_Hare_Krishna_Kirtan_Mela_Day-01_-_2012-02-22_Radhanath_Swami_ISKCON_Mayapur.mp3")</f>
        <v>IDT_109_Hare_Krishna_Kirtan_Mela_Day-01_-_2012-02-22_Radhanath_Swami_ISKCON_Mayapur.mp3</v>
      </c>
      <c r="D6695" s="24"/>
      <c r="E6695" s="24"/>
    </row>
    <row r="6696">
      <c r="A6696" s="25" t="s">
        <v>19078</v>
      </c>
      <c r="B6696" s="25" t="s">
        <v>19079</v>
      </c>
      <c r="C6696" s="26" t="str">
        <f t="shared" si="123"/>
        <v>IDT_109_Hare_Krishna_Kirtan_Mela_Day-01_-_2012-02-22_Radhanath_Swami_ISKCON_Mayapur.mp3</v>
      </c>
      <c r="D6696" s="24"/>
      <c r="E6696" s="24"/>
    </row>
    <row r="6697">
      <c r="A6697" s="25" t="s">
        <v>19078</v>
      </c>
      <c r="B6697" s="25" t="s">
        <v>19079</v>
      </c>
      <c r="C6697" s="26" t="str">
        <f t="shared" ref="C6697:C6698" si="124">HYPERLINK("https://audio.iskcondesiretree.com/02_-_ISKCON_Swamis/ISKCON_Swamis_-_R_to_Y/His_Holiness_Radhanath_Swami/Bhajans/Hare_Krishna_Dhun/IDT_110_-_Hare_Krishna_Kirtan_-_Radhanath_Swami_2013-09-17.mp3", "IDT_110_-_Hare_Krishna_Kirtan_-_Radhanath_Swami_2013-09-17.mp3")</f>
        <v>IDT_110_-_Hare_Krishna_Kirtan_-_Radhanath_Swami_2013-09-17.mp3</v>
      </c>
      <c r="D6697" s="24"/>
      <c r="E6697" s="24"/>
    </row>
    <row r="6698">
      <c r="A6698" s="25" t="s">
        <v>19078</v>
      </c>
      <c r="B6698" s="25" t="s">
        <v>19079</v>
      </c>
      <c r="C6698" s="26" t="str">
        <f t="shared" si="124"/>
        <v>IDT_110_-_Hare_Krishna_Kirtan_-_Radhanath_Swami_2013-09-17.mp3</v>
      </c>
      <c r="D6698" s="24"/>
      <c r="E6698" s="24"/>
    </row>
    <row r="6699">
      <c r="A6699" s="25" t="s">
        <v>19078</v>
      </c>
      <c r="B6699" s="25" t="s">
        <v>19079</v>
      </c>
      <c r="C6699" s="26" t="str">
        <f t="shared" ref="C6699:C6700" si="125">HYPERLINK("https://audio.iskcondesiretree.com/02_-_ISKCON_Swamis/ISKCON_Swamis_-_R_to_Y/His_Holiness_Radhanath_Swami/Bhajans/Hare_Krishna_Dhun/IDT_111_-_Hare_Krishna_Kirtan_-_2013-02-06_Radhanath_Swami_Barsana.mp3", "IDT_111_-_Hare_Krishna_Kirtan_-_2013-02-06_Radhanath_Swami_Barsana.mp3")</f>
        <v>IDT_111_-_Hare_Krishna_Kirtan_-_2013-02-06_Radhanath_Swami_Barsana.mp3</v>
      </c>
      <c r="D6699" s="24"/>
      <c r="E6699" s="24"/>
    </row>
    <row r="6700">
      <c r="A6700" s="25" t="s">
        <v>19078</v>
      </c>
      <c r="B6700" s="25" t="s">
        <v>19079</v>
      </c>
      <c r="C6700" s="26" t="str">
        <f t="shared" si="125"/>
        <v>IDT_111_-_Hare_Krishna_Kirtan_-_2013-02-06_Radhanath_Swami_Barsana.mp3</v>
      </c>
      <c r="D6700" s="24"/>
      <c r="E6700" s="24"/>
    </row>
    <row r="6701">
      <c r="A6701" s="25" t="s">
        <v>19078</v>
      </c>
      <c r="B6701" s="25" t="s">
        <v>19079</v>
      </c>
      <c r="C6701" s="26" t="str">
        <f t="shared" ref="C6701:C6702" si="126">HYPERLINK("https://audio.iskcondesiretree.com/02_-_ISKCON_Swamis/ISKCON_Swamis_-_R_to_Y/His_Holiness_Radhanath_Swami/Bhajans/Hare_Krishna_Dhun/IDT_112_-_Kirtan_Mela_2013_Hare_Krishna_Kirtan_Day-01_-_2013-03-11_Radhanath_Swami_ISKCON_Mayapur.mp3", "IDT_112_-_Kirtan_Mela_2013_Hare_Krishna_Kirtan_Day-01_-_2013-03-11_Radhanath_Swami_ISKCON_Mayapur.mp3")</f>
        <v>IDT_112_-_Kirtan_Mela_2013_Hare_Krishna_Kirtan_Day-01_-_2013-03-11_Radhanath_Swami_ISKCON_Mayapur.mp3</v>
      </c>
      <c r="D6701" s="24"/>
      <c r="E6701" s="24"/>
    </row>
    <row r="6702">
      <c r="A6702" s="25" t="s">
        <v>19078</v>
      </c>
      <c r="B6702" s="25" t="s">
        <v>19079</v>
      </c>
      <c r="C6702" s="26" t="str">
        <f t="shared" si="126"/>
        <v>IDT_112_-_Kirtan_Mela_2013_Hare_Krishna_Kirtan_Day-01_-_2013-03-11_Radhanath_Swami_ISKCON_Mayapur.mp3</v>
      </c>
      <c r="D6702" s="24"/>
      <c r="E6702" s="24"/>
    </row>
    <row r="6703">
      <c r="A6703" s="25" t="s">
        <v>19078</v>
      </c>
      <c r="B6703" s="25" t="s">
        <v>19079</v>
      </c>
      <c r="C6703" s="26" t="str">
        <f t="shared" ref="C6703:C6704" si="127">HYPERLINK("https://audio.iskcondesiretree.com/02_-_ISKCON_Swamis/ISKCON_Swamis_-_R_to_Y/His_Holiness_Radhanath_Swami/Bhajans/Hare_Krishna_Dhun/IDT_113_-_Sadhu_Sanga_2013-Hare_Krishna_Kirtan_-_2013-09-24_Radhanath_Swami.mp3", "IDT_113_-_Sadhu_Sanga_2013-Hare_Krishna_Kirtan_-_2013-09-24_Radhanath_Swami.mp3")</f>
        <v>IDT_113_-_Sadhu_Sanga_2013-Hare_Krishna_Kirtan_-_2013-09-24_Radhanath_Swami.mp3</v>
      </c>
      <c r="D6703" s="24"/>
      <c r="E6703" s="24"/>
    </row>
    <row r="6704">
      <c r="A6704" s="25" t="s">
        <v>19078</v>
      </c>
      <c r="B6704" s="25" t="s">
        <v>19079</v>
      </c>
      <c r="C6704" s="26" t="str">
        <f t="shared" si="127"/>
        <v>IDT_113_-_Sadhu_Sanga_2013-Hare_Krishna_Kirtan_-_2013-09-24_Radhanath_Swami.mp3</v>
      </c>
      <c r="D6704" s="24"/>
      <c r="E6704" s="24"/>
    </row>
    <row r="6705">
      <c r="A6705" s="25" t="s">
        <v>19078</v>
      </c>
      <c r="B6705" s="25" t="s">
        <v>19079</v>
      </c>
      <c r="C6705" s="26" t="str">
        <f t="shared" ref="C6705:C6706" si="128">HYPERLINK("https://audio.iskcondesiretree.com/02_-_ISKCON_Swamis/ISKCON_Swamis_-_R_to_Y/His_Holiness_Radhanath_Swami/Bhajans/Hare_Krishna_Dhun/IDT_114_-_Sadhu_Sanga_2013-Hare_Krishna_Kirtan_01_-_2013-09-26_-_Radhanath_Swami.mp3", "IDT_114_-_Sadhu_Sanga_2013-Hare_Krishna_Kirtan_01_-_2013-09-26_-_Radhanath_Swami.mp3")</f>
        <v>IDT_114_-_Sadhu_Sanga_2013-Hare_Krishna_Kirtan_01_-_2013-09-26_-_Radhanath_Swami.mp3</v>
      </c>
      <c r="D6705" s="24"/>
      <c r="E6705" s="24"/>
    </row>
    <row r="6706">
      <c r="A6706" s="25" t="s">
        <v>19078</v>
      </c>
      <c r="B6706" s="25" t="s">
        <v>19079</v>
      </c>
      <c r="C6706" s="26" t="str">
        <f t="shared" si="128"/>
        <v>IDT_114_-_Sadhu_Sanga_2013-Hare_Krishna_Kirtan_01_-_2013-09-26_-_Radhanath_Swami.mp3</v>
      </c>
      <c r="D6706" s="24"/>
      <c r="E6706" s="24"/>
    </row>
    <row r="6707">
      <c r="A6707" s="25" t="s">
        <v>19078</v>
      </c>
      <c r="B6707" s="25" t="s">
        <v>19079</v>
      </c>
      <c r="C6707" s="26" t="str">
        <f t="shared" ref="C6707:C6708" si="129">HYPERLINK("https://audio.iskcondesiretree.com/02_-_ISKCON_Swamis/ISKCON_Swamis_-_R_to_Y/His_Holiness_Radhanath_Swami/Bhajans/Hare_Krishna_Dhun/IDT_115_-_Sadhu_Sanga_2013-Hare_Krishna_Kirtan_02_-_2013-09-26_Radhanath_Swami.mp3", "IDT_115_-_Sadhu_Sanga_2013-Hare_Krishna_Kirtan_02_-_2013-09-26_Radhanath_Swami.mp3")</f>
        <v>IDT_115_-_Sadhu_Sanga_2013-Hare_Krishna_Kirtan_02_-_2013-09-26_Radhanath_Swami.mp3</v>
      </c>
      <c r="D6707" s="24"/>
      <c r="E6707" s="24"/>
    </row>
    <row r="6708">
      <c r="A6708" s="25" t="s">
        <v>19078</v>
      </c>
      <c r="B6708" s="25" t="s">
        <v>19079</v>
      </c>
      <c r="C6708" s="26" t="str">
        <f t="shared" si="129"/>
        <v>IDT_115_-_Sadhu_Sanga_2013-Hare_Krishna_Kirtan_02_-_2013-09-26_Radhanath_Swami.mp3</v>
      </c>
      <c r="D6708" s="24"/>
      <c r="E6708" s="24"/>
    </row>
    <row r="6709">
      <c r="A6709" s="25" t="s">
        <v>19078</v>
      </c>
      <c r="B6709" s="25" t="s">
        <v>19079</v>
      </c>
      <c r="C6709" s="26" t="str">
        <f t="shared" ref="C6709:C6710" si="130">HYPERLINK("https://audio.iskcondesiretree.com/02_-_ISKCON_Swamis/ISKCON_Swamis_-_R_to_Y/His_Holiness_Radhanath_Swami/Bhajans/Hare_Krishna_Dhun/IDT_116-Hare_Krishna_-_Radhanath_Swami.mp3", "IDT_116-Hare_Krishna_-_Radhanath_Swami.mp3")</f>
        <v>IDT_116-Hare_Krishna_-_Radhanath_Swami.mp3</v>
      </c>
      <c r="D6709" s="24"/>
      <c r="E6709" s="24"/>
    </row>
    <row r="6710">
      <c r="A6710" s="25" t="s">
        <v>19078</v>
      </c>
      <c r="B6710" s="25" t="s">
        <v>19079</v>
      </c>
      <c r="C6710" s="26" t="str">
        <f t="shared" si="130"/>
        <v>IDT_116-Hare_Krishna_-_Radhanath_Swami.mp3</v>
      </c>
      <c r="D6710" s="24"/>
      <c r="E6710" s="24"/>
    </row>
    <row r="6711">
      <c r="A6711" s="25" t="s">
        <v>19078</v>
      </c>
      <c r="B6711" s="25" t="s">
        <v>19079</v>
      </c>
      <c r="C6711" s="26" t="str">
        <f t="shared" ref="C6711:C6712" si="131">HYPERLINK("https://audio.iskcondesiretree.com/02_-_ISKCON_Swamis/ISKCON_Swamis_-_R_to_Y/His_Holiness_Radhanath_Swami/Bhajans/Hare_Krishna_Dhun/IDT_117-Hare_Krishna_-_Radhanath_Swami.mp3", "IDT_117-Hare_Krishna_-_Radhanath_Swami.mp3")</f>
        <v>IDT_117-Hare_Krishna_-_Radhanath_Swami.mp3</v>
      </c>
      <c r="D6711" s="24"/>
      <c r="E6711" s="24"/>
    </row>
    <row r="6712">
      <c r="A6712" s="25" t="s">
        <v>19078</v>
      </c>
      <c r="B6712" s="25" t="s">
        <v>19079</v>
      </c>
      <c r="C6712" s="26" t="str">
        <f t="shared" si="131"/>
        <v>IDT_117-Hare_Krishna_-_Radhanath_Swami.mp3</v>
      </c>
      <c r="D6712" s="24"/>
      <c r="E6712" s="24"/>
    </row>
    <row r="6713">
      <c r="A6713" s="25" t="s">
        <v>19078</v>
      </c>
      <c r="B6713" s="25" t="s">
        <v>19079</v>
      </c>
      <c r="C6713" s="26" t="str">
        <f t="shared" ref="C6713:C6714" si="132">HYPERLINK("https://audio.iskcondesiretree.com/02_-_ISKCON_Swamis/ISKCON_Swamis_-_R_to_Y/His_Holiness_Radhanath_Swami/Bhajans/Hare_Krishna_Dhun/IDT_118-Hare_Krishna_-_Radhanath_Swami.mp3", "IDT_118-Hare_Krishna_-_Radhanath_Swami.mp3")</f>
        <v>IDT_118-Hare_Krishna_-_Radhanath_Swami.mp3</v>
      </c>
      <c r="D6713" s="24"/>
      <c r="E6713" s="24"/>
    </row>
    <row r="6714">
      <c r="A6714" s="25" t="s">
        <v>19078</v>
      </c>
      <c r="B6714" s="25" t="s">
        <v>19079</v>
      </c>
      <c r="C6714" s="26" t="str">
        <f t="shared" si="132"/>
        <v>IDT_118-Hare_Krishna_-_Radhanath_Swami.mp3</v>
      </c>
      <c r="D6714" s="24"/>
      <c r="E6714" s="24"/>
    </row>
    <row r="6715">
      <c r="A6715" s="25" t="s">
        <v>19078</v>
      </c>
      <c r="B6715" s="25" t="s">
        <v>19079</v>
      </c>
      <c r="C6715" s="26" t="str">
        <f t="shared" ref="C6715:C6716" si="133">HYPERLINK("https://audio.iskcondesiretree.com/02_-_ISKCON_Swamis/ISKCON_Swamis_-_R_to_Y/His_Holiness_Radhanath_Swami/Bhajans/Hare_Krishna_Dhun/IDT_119-Hare_Krishna_-_Radhanath_Swami.mp3", "IDT_119-Hare_Krishna_-_Radhanath_Swami.mp3")</f>
        <v>IDT_119-Hare_Krishna_-_Radhanath_Swami.mp3</v>
      </c>
      <c r="D6715" s="24"/>
      <c r="E6715" s="24"/>
    </row>
    <row r="6716">
      <c r="A6716" s="25" t="s">
        <v>19078</v>
      </c>
      <c r="B6716" s="25" t="s">
        <v>19079</v>
      </c>
      <c r="C6716" s="26" t="str">
        <f t="shared" si="133"/>
        <v>IDT_119-Hare_Krishna_-_Radhanath_Swami.mp3</v>
      </c>
      <c r="D6716" s="24"/>
      <c r="E6716" s="24"/>
    </row>
    <row r="6717">
      <c r="A6717" s="25" t="s">
        <v>19078</v>
      </c>
      <c r="B6717" s="25" t="s">
        <v>19079</v>
      </c>
      <c r="C6717" s="26" t="str">
        <f t="shared" ref="C6717:C6718" si="134">HYPERLINK("https://audio.iskcondesiretree.com/02_-_ISKCON_Swamis/ISKCON_Swamis_-_R_to_Y/His_Holiness_Radhanath_Swami/Bhajans/Hare_Krishna_Dhun/IDT_120-Hare_Krishna_-_Radhanath_Swami.mp3", "IDT_120-Hare_Krishna_-_Radhanath_Swami.mp3")</f>
        <v>IDT_120-Hare_Krishna_-_Radhanath_Swami.mp3</v>
      </c>
      <c r="D6717" s="24"/>
      <c r="E6717" s="24"/>
    </row>
    <row r="6718">
      <c r="A6718" s="25" t="s">
        <v>19078</v>
      </c>
      <c r="B6718" s="25" t="s">
        <v>19079</v>
      </c>
      <c r="C6718" s="26" t="str">
        <f t="shared" si="134"/>
        <v>IDT_120-Hare_Krishna_-_Radhanath_Swami.mp3</v>
      </c>
      <c r="D6718" s="24"/>
      <c r="E6718" s="24"/>
    </row>
    <row r="6719">
      <c r="A6719" s="25" t="s">
        <v>19078</v>
      </c>
      <c r="B6719" s="25" t="s">
        <v>19079</v>
      </c>
      <c r="C6719" s="26" t="str">
        <f t="shared" ref="C6719:C6720" si="135">HYPERLINK("https://audio.iskcondesiretree.com/02_-_ISKCON_Swamis/ISKCON_Swamis_-_R_to_Y/His_Holiness_Radhanath_Swami/Bhajans/Hare_Krishna_Dhun/IDT_121-Hare_Krishna_-_Radhanath_Swami.mp3", "IDT_121-Hare_Krishna_-_Radhanath_Swami.mp3")</f>
        <v>IDT_121-Hare_Krishna_-_Radhanath_Swami.mp3</v>
      </c>
      <c r="D6719" s="24"/>
      <c r="E6719" s="24"/>
    </row>
    <row r="6720">
      <c r="A6720" s="25" t="s">
        <v>19078</v>
      </c>
      <c r="B6720" s="25" t="s">
        <v>19079</v>
      </c>
      <c r="C6720" s="26" t="str">
        <f t="shared" si="135"/>
        <v>IDT_121-Hare_Krishna_-_Radhanath_Swami.mp3</v>
      </c>
      <c r="D6720" s="24"/>
      <c r="E6720" s="24"/>
    </row>
    <row r="6721">
      <c r="A6721" s="25" t="s">
        <v>19078</v>
      </c>
      <c r="B6721" s="25" t="s">
        <v>19079</v>
      </c>
      <c r="C6721" s="26" t="str">
        <f t="shared" ref="C6721:C6722" si="136">HYPERLINK("https://audio.iskcondesiretree.com/02_-_ISKCON_Swamis/ISKCON_Swamis_-_R_to_Y/His_Holiness_Radhanath_Swami/Bhajans/Hare_Krishna_Dhun/IDT_94-Hare_Krishna_Kirtan_-_2010-06-28_Radhanath_Swami.mp3", "IDT_94-Hare_Krishna_Kirtan_-_2010-06-28_Radhanath_Swami.mp3")</f>
        <v>IDT_94-Hare_Krishna_Kirtan_-_2010-06-28_Radhanath_Swami.mp3</v>
      </c>
      <c r="D6721" s="24"/>
      <c r="E6721" s="24"/>
    </row>
    <row r="6722">
      <c r="A6722" s="25" t="s">
        <v>19078</v>
      </c>
      <c r="B6722" s="25" t="s">
        <v>19079</v>
      </c>
      <c r="C6722" s="26" t="str">
        <f t="shared" si="136"/>
        <v>IDT_94-Hare_Krishna_Kirtan_-_2010-06-28_Radhanath_Swami.mp3</v>
      </c>
      <c r="D6722" s="24"/>
      <c r="E6722" s="24"/>
    </row>
    <row r="6723">
      <c r="A6723" s="25" t="s">
        <v>19078</v>
      </c>
      <c r="B6723" s="25" t="s">
        <v>19079</v>
      </c>
      <c r="C6723" s="26" t="str">
        <f t="shared" ref="C6723:C6724" si="137">HYPERLINK("https://audio.iskcondesiretree.com/02_-_ISKCON_Swamis/ISKCON_Swamis_-_R_to_Y/His_Holiness_Radhanath_Swami/Bhajans/Hare_Krishna_Dhun/Kirtan_-_Radhanath_Swami.mp3", "Kirtan_-_Radhanath_Swami.mp3")</f>
        <v>Kirtan_-_Radhanath_Swami.mp3</v>
      </c>
      <c r="D6723" s="24"/>
      <c r="E6723" s="24"/>
    </row>
    <row r="6724">
      <c r="A6724" s="25" t="s">
        <v>19078</v>
      </c>
      <c r="B6724" s="25" t="s">
        <v>19079</v>
      </c>
      <c r="C6724" s="26" t="str">
        <f t="shared" si="137"/>
        <v>Kirtan_-_Radhanath_Swami.mp3</v>
      </c>
      <c r="D6724" s="24"/>
      <c r="E6724" s="24"/>
    </row>
    <row r="6725">
      <c r="A6725" s="25" t="s">
        <v>19078</v>
      </c>
      <c r="B6725" s="25" t="s">
        <v>19080</v>
      </c>
      <c r="C6725" s="26" t="str">
        <f t="shared" ref="C6725:C6726" si="138">HYPERLINK("https://audio.iskcondesiretree.com/02_-_ISKCON_Swamis/ISKCON_Swamis_-_R_to_Y/His_Holiness_Radhanath_Swami/Bhajans/Vaishnava_Bhajans/2014-08-17_Bhajans_-_Vande_Krishna_Nanda_Kumara_-_Radhanath_Swami_Bhakti_Center.mp3", "2014-08-17_Bhajans_-_Vande_Krishna_Nanda_Kumara_-_Radhanath_Swami_Bhakti_Center.mp3")</f>
        <v>2014-08-17_Bhajans_-_Vande_Krishna_Nanda_Kumara_-_Radhanath_Swami_Bhakti_Center.mp3</v>
      </c>
      <c r="D6725" s="24"/>
      <c r="E6725" s="24"/>
    </row>
    <row r="6726">
      <c r="A6726" s="25" t="s">
        <v>19078</v>
      </c>
      <c r="B6726" s="25" t="s">
        <v>19080</v>
      </c>
      <c r="C6726" s="26" t="str">
        <f t="shared" si="138"/>
        <v>2014-08-17_Bhajans_-_Vande_Krishna_Nanda_Kumara_-_Radhanath_Swami_Bhakti_Center.mp3</v>
      </c>
      <c r="D6726" s="24"/>
      <c r="E6726" s="24"/>
    </row>
    <row r="6727">
      <c r="A6727" s="25" t="s">
        <v>19078</v>
      </c>
      <c r="B6727" s="25" t="s">
        <v>19080</v>
      </c>
      <c r="C6727" s="26" t="str">
        <f t="shared" ref="C6727:C6728" si="139">HYPERLINK("https://audio.iskcondesiretree.com/02_-_ISKCON_Swamis/ISKCON_Swamis_-_R_to_Y/His_Holiness_Radhanath_Swami/Bhajans/Vaishnava_Bhajans/Bhajans_-_Narsimha_Arti_-_Radhanath_Swami_ISKCON_Brooklyn.mp3", "Bhajans_-_Narsimha_Arti_-_Radhanath_Swami_ISKCON_Brooklyn.mp3")</f>
        <v>Bhajans_-_Narsimha_Arti_-_Radhanath_Swami_ISKCON_Brooklyn.mp3</v>
      </c>
      <c r="D6727" s="24"/>
      <c r="E6727" s="24"/>
    </row>
    <row r="6728">
      <c r="A6728" s="25" t="s">
        <v>19078</v>
      </c>
      <c r="B6728" s="25" t="s">
        <v>19080</v>
      </c>
      <c r="C6728" s="26" t="str">
        <f t="shared" si="139"/>
        <v>Bhajans_-_Narsimha_Arti_-_Radhanath_Swami_ISKCON_Brooklyn.mp3</v>
      </c>
      <c r="D6728" s="24"/>
      <c r="E6728" s="24"/>
    </row>
    <row r="6729">
      <c r="A6729" s="25" t="s">
        <v>19078</v>
      </c>
      <c r="B6729" s="25" t="s">
        <v>19080</v>
      </c>
      <c r="C6729" s="26" t="str">
        <f t="shared" ref="C6729:C6730" si="140">HYPERLINK("https://audio.iskcondesiretree.com/02_-_ISKCON_Swamis/ISKCON_Swamis_-_R_to_Y/His_Holiness_Radhanath_Swami/Bhajans/Vaishnava_Bhajans/IDT_102-Jaya_Radhe_Jaye_Radhe_Radhe_-_2012-02-01_Barsana.mp3", "IDT_102-Jaya_Radhe_Jaye_Radhe_Radhe_-_2012-02-01_Barsana.mp3")</f>
        <v>IDT_102-Jaya_Radhe_Jaye_Radhe_Radhe_-_2012-02-01_Barsana.mp3</v>
      </c>
      <c r="D6729" s="24"/>
      <c r="E6729" s="24"/>
    </row>
    <row r="6730">
      <c r="A6730" s="25" t="s">
        <v>19078</v>
      </c>
      <c r="B6730" s="25" t="s">
        <v>19080</v>
      </c>
      <c r="C6730" s="26" t="str">
        <f t="shared" si="140"/>
        <v>IDT_102-Jaya_Radhe_Jaye_Radhe_Radhe_-_2012-02-01_Barsana.mp3</v>
      </c>
      <c r="D6730" s="24"/>
      <c r="E6730" s="24"/>
    </row>
    <row r="6731">
      <c r="A6731" s="25" t="s">
        <v>19078</v>
      </c>
      <c r="B6731" s="25" t="s">
        <v>19080</v>
      </c>
      <c r="C6731" s="26" t="str">
        <f t="shared" ref="C6731:C6732" si="141">HYPERLINK("https://audio.iskcondesiretree.com/02_-_ISKCON_Swamis/ISKCON_Swamis_-_R_to_Y/His_Holiness_Radhanath_Swami/Bhajans/Vaishnava_Bhajans/IDT_Bhajans_-_Akrodha_Paramananda_Nityananda_Rai_-_Radhanath_Swami.mp3", "IDT_Bhajans_-_Akrodha_Paramananda_Nityananda_Rai_-_Radhanath_Swami.mp3")</f>
        <v>IDT_Bhajans_-_Akrodha_Paramananda_Nityananda_Rai_-_Radhanath_Swami.mp3</v>
      </c>
      <c r="D6731" s="24"/>
      <c r="E6731" s="24"/>
    </row>
    <row r="6732">
      <c r="A6732" s="25" t="s">
        <v>19078</v>
      </c>
      <c r="B6732" s="25" t="s">
        <v>19080</v>
      </c>
      <c r="C6732" s="26" t="str">
        <f t="shared" si="141"/>
        <v>IDT_Bhajans_-_Akrodha_Paramananda_Nityananda_Rai_-_Radhanath_Swami.mp3</v>
      </c>
      <c r="D6732" s="24"/>
      <c r="E6732" s="24"/>
    </row>
    <row r="6733">
      <c r="A6733" s="25" t="s">
        <v>19078</v>
      </c>
      <c r="B6733" s="25" t="s">
        <v>19080</v>
      </c>
      <c r="C6733" s="26" t="str">
        <f t="shared" ref="C6733:C6734" si="142">HYPERLINK("https://audio.iskcondesiretree.com/02_-_ISKCON_Swamis/ISKCON_Swamis_-_R_to_Y/His_Holiness_Radhanath_Swami/Bhajans/Vaishnava_Bhajans/IDT_Bhajans_-_Ami_Jamuna_Puline_-_Radhanath_Swami.mp3", "IDT_Bhajans_-_Ami_Jamuna_Puline_-_Radhanath_Swami.mp3")</f>
        <v>IDT_Bhajans_-_Ami_Jamuna_Puline_-_Radhanath_Swami.mp3</v>
      </c>
      <c r="D6733" s="24"/>
      <c r="E6733" s="24"/>
    </row>
    <row r="6734">
      <c r="A6734" s="25" t="s">
        <v>19078</v>
      </c>
      <c r="B6734" s="25" t="s">
        <v>19080</v>
      </c>
      <c r="C6734" s="26" t="str">
        <f t="shared" si="142"/>
        <v>IDT_Bhajans_-_Ami_Jamuna_Puline_-_Radhanath_Swami.mp3</v>
      </c>
      <c r="D6734" s="24"/>
      <c r="E6734" s="24"/>
    </row>
    <row r="6735">
      <c r="A6735" s="25" t="s">
        <v>19078</v>
      </c>
      <c r="B6735" s="25" t="s">
        <v>19080</v>
      </c>
      <c r="C6735" s="26" t="str">
        <f t="shared" ref="C6735:C6736" si="143">HYPERLINK("https://audio.iskcondesiretree.com/02_-_ISKCON_Swamis/ISKCON_Swamis_-_R_to_Y/His_Holiness_Radhanath_Swami/Bhajans/Vaishnava_Bhajans/IDT_Bhajans_-_Boro_Krpa_Koile_Krsna_-_Sung_by_HH_Radhanath_Swami_IDT_-_Radhanath_Swami.mp3", "IDT_Bhajans_-_Boro_Krpa_Koile_Krsna_-_Sung_by_HH_Radhanath_Swami_IDT_-_Radhanath_Swami.mp3")</f>
        <v>IDT_Bhajans_-_Boro_Krpa_Koile_Krsna_-_Sung_by_HH_Radhanath_Swami_IDT_-_Radhanath_Swami.mp3</v>
      </c>
      <c r="D6735" s="24"/>
      <c r="E6735" s="24"/>
    </row>
    <row r="6736">
      <c r="A6736" s="25" t="s">
        <v>19078</v>
      </c>
      <c r="B6736" s="25" t="s">
        <v>19080</v>
      </c>
      <c r="C6736" s="26" t="str">
        <f t="shared" si="143"/>
        <v>IDT_Bhajans_-_Boro_Krpa_Koile_Krsna_-_Sung_by_HH_Radhanath_Swami_IDT_-_Radhanath_Swami.mp3</v>
      </c>
      <c r="D6736" s="24"/>
      <c r="E6736" s="24"/>
    </row>
    <row r="6737">
      <c r="A6737" s="25" t="s">
        <v>19078</v>
      </c>
      <c r="B6737" s="25" t="s">
        <v>19080</v>
      </c>
      <c r="C6737" s="26" t="str">
        <f t="shared" ref="C6737:C6738" si="144">HYPERLINK("https://audio.iskcondesiretree.com/02_-_ISKCON_Swamis/ISKCON_Swamis_-_R_to_Y/His_Holiness_Radhanath_Swami/Bhajans/Vaishnava_Bhajans/IDT_Bhajans_-_Boro_Sukher_Khabor_Gai_-_Radhanath_Swami.mp3", "IDT_Bhajans_-_Boro_Sukher_Khabor_Gai_-_Radhanath_Swami.mp3")</f>
        <v>IDT_Bhajans_-_Boro_Sukher_Khabor_Gai_-_Radhanath_Swami.mp3</v>
      </c>
      <c r="D6737" s="24"/>
      <c r="E6737" s="24"/>
    </row>
    <row r="6738">
      <c r="A6738" s="25" t="s">
        <v>19078</v>
      </c>
      <c r="B6738" s="25" t="s">
        <v>19080</v>
      </c>
      <c r="C6738" s="26" t="str">
        <f t="shared" si="144"/>
        <v>IDT_Bhajans_-_Boro_Sukher_Khabor_Gai_-_Radhanath_Swami.mp3</v>
      </c>
      <c r="D6738" s="24"/>
      <c r="E6738" s="24"/>
    </row>
    <row r="6739">
      <c r="A6739" s="25" t="s">
        <v>19078</v>
      </c>
      <c r="B6739" s="25" t="s">
        <v>19080</v>
      </c>
      <c r="C6739" s="26" t="str">
        <f t="shared" ref="C6739:C6740" si="145">HYPERLINK("https://audio.iskcondesiretree.com/02_-_ISKCON_Swamis/ISKCON_Swamis_-_R_to_Y/His_Holiness_Radhanath_Swami/Bhajans/Vaishnava_Bhajans/IDT_Bhajans_-_Damodarastakam-01_-_Radhanath_Swami.MP3", "IDT_Bhajans_-_Damodarastakam-01_-_Radhanath_Swami.MP3")</f>
        <v>IDT_Bhajans_-_Damodarastakam-01_-_Radhanath_Swami.MP3</v>
      </c>
      <c r="D6739" s="24"/>
      <c r="E6739" s="24"/>
    </row>
    <row r="6740">
      <c r="A6740" s="25" t="s">
        <v>19078</v>
      </c>
      <c r="B6740" s="25" t="s">
        <v>19080</v>
      </c>
      <c r="C6740" s="26" t="str">
        <f t="shared" si="145"/>
        <v>IDT_Bhajans_-_Damodarastakam-01_-_Radhanath_Swami.MP3</v>
      </c>
      <c r="D6740" s="24"/>
      <c r="E6740" s="24"/>
    </row>
    <row r="6741">
      <c r="A6741" s="25" t="s">
        <v>19078</v>
      </c>
      <c r="B6741" s="25" t="s">
        <v>19080</v>
      </c>
      <c r="C6741" s="26" t="str">
        <f t="shared" ref="C6741:C6742" si="146">HYPERLINK("https://audio.iskcondesiretree.com/02_-_ISKCON_Swamis/ISKCON_Swamis_-_R_to_Y/His_Holiness_Radhanath_Swami/Bhajans/Vaishnava_Bhajans/IDT_Bhajans_-_Damodarastakam-02_-_Radhanath_Swami.mp3", "IDT_Bhajans_-_Damodarastakam-02_-_Radhanath_Swami.mp3")</f>
        <v>IDT_Bhajans_-_Damodarastakam-02_-_Radhanath_Swami.mp3</v>
      </c>
      <c r="D6741" s="24"/>
      <c r="E6741" s="24"/>
    </row>
    <row r="6742">
      <c r="A6742" s="25" t="s">
        <v>19078</v>
      </c>
      <c r="B6742" s="25" t="s">
        <v>19080</v>
      </c>
      <c r="C6742" s="26" t="str">
        <f t="shared" si="146"/>
        <v>IDT_Bhajans_-_Damodarastakam-02_-_Radhanath_Swami.mp3</v>
      </c>
      <c r="D6742" s="24"/>
      <c r="E6742" s="24"/>
    </row>
    <row r="6743">
      <c r="A6743" s="25" t="s">
        <v>19078</v>
      </c>
      <c r="B6743" s="25" t="s">
        <v>19080</v>
      </c>
      <c r="C6743" s="26" t="str">
        <f t="shared" ref="C6743:C6744" si="147">HYPERLINK("https://audio.iskcondesiretree.com/02_-_ISKCON_Swamis/ISKCON_Swamis_-_R_to_Y/His_Holiness_Radhanath_Swami/Bhajans/Vaishnava_Bhajans/IDT_Bhajans_-_Damodarastakam-03_-_Radhanath_Swami.mp3", "IDT_Bhajans_-_Damodarastakam-03_-_Radhanath_Swami.mp3")</f>
        <v>IDT_Bhajans_-_Damodarastakam-03_-_Radhanath_Swami.mp3</v>
      </c>
      <c r="D6743" s="24"/>
      <c r="E6743" s="24"/>
    </row>
    <row r="6744">
      <c r="A6744" s="25" t="s">
        <v>19078</v>
      </c>
      <c r="B6744" s="25" t="s">
        <v>19080</v>
      </c>
      <c r="C6744" s="26" t="str">
        <f t="shared" si="147"/>
        <v>IDT_Bhajans_-_Damodarastakam-03_-_Radhanath_Swami.mp3</v>
      </c>
      <c r="D6744" s="24"/>
      <c r="E6744" s="24"/>
    </row>
    <row r="6745">
      <c r="A6745" s="25" t="s">
        <v>19078</v>
      </c>
      <c r="B6745" s="25" t="s">
        <v>19080</v>
      </c>
      <c r="C6745" s="26" t="str">
        <f t="shared" ref="C6745:C6746" si="148">HYPERLINK("https://audio.iskcondesiretree.com/02_-_ISKCON_Swamis/ISKCON_Swamis_-_R_to_Y/His_Holiness_Radhanath_Swami/Bhajans/Vaishnava_Bhajans/IDT_Bhajans_-_Damodarastakam_-_2001_Radhanath_Sw_Vrindavan.mp3", "IDT_Bhajans_-_Damodarastakam_-_2001_Radhanath_Sw_Vrindavan.mp3")</f>
        <v>IDT_Bhajans_-_Damodarastakam_-_2001_Radhanath_Sw_Vrindavan.mp3</v>
      </c>
      <c r="D6745" s="24"/>
      <c r="E6745" s="24"/>
    </row>
    <row r="6746">
      <c r="A6746" s="25" t="s">
        <v>19078</v>
      </c>
      <c r="B6746" s="25" t="s">
        <v>19080</v>
      </c>
      <c r="C6746" s="26" t="str">
        <f t="shared" si="148"/>
        <v>IDT_Bhajans_-_Damodarastakam_-_2001_Radhanath_Sw_Vrindavan.mp3</v>
      </c>
      <c r="D6746" s="24"/>
      <c r="E6746" s="24"/>
    </row>
    <row r="6747">
      <c r="A6747" s="25" t="s">
        <v>19078</v>
      </c>
      <c r="B6747" s="25" t="s">
        <v>19080</v>
      </c>
      <c r="C6747" s="26" t="str">
        <f t="shared" ref="C6747:C6748" si="149">HYPERLINK("https://audio.iskcondesiretree.com/02_-_ISKCON_Swamis/ISKCON_Swamis_-_R_to_Y/His_Holiness_Radhanath_Swami/Bhajans/Vaishnava_Bhajans/IDT_Bhajans_-_Damodarastakam_-_2011-10-26_Radhanath_Swami_Vrindavan.MP3", "IDT_Bhajans_-_Damodarastakam_-_2011-10-26_Radhanath_Swami_Vrindavan.MP3")</f>
        <v>IDT_Bhajans_-_Damodarastakam_-_2011-10-26_Radhanath_Swami_Vrindavan.MP3</v>
      </c>
      <c r="D6747" s="24"/>
      <c r="E6747" s="24"/>
    </row>
    <row r="6748">
      <c r="A6748" s="25" t="s">
        <v>19078</v>
      </c>
      <c r="B6748" s="25" t="s">
        <v>19080</v>
      </c>
      <c r="C6748" s="26" t="str">
        <f t="shared" si="149"/>
        <v>IDT_Bhajans_-_Damodarastakam_-_2011-10-26_Radhanath_Swami_Vrindavan.MP3</v>
      </c>
      <c r="D6748" s="24"/>
      <c r="E6748" s="24"/>
    </row>
    <row r="6749">
      <c r="A6749" s="25" t="s">
        <v>19078</v>
      </c>
      <c r="B6749" s="25" t="s">
        <v>19080</v>
      </c>
      <c r="C6749" s="26" t="str">
        <f t="shared" ref="C6749:C6750" si="150">HYPERLINK("https://audio.iskcondesiretree.com/02_-_ISKCON_Swamis/ISKCON_Swamis_-_R_to_Y/His_Holiness_Radhanath_Swami/Bhajans/Vaishnava_Bhajans/IDT_Bhajans_-_Damodarastakam_-_Radhanath_Swami_2007-10-27.mp3", "IDT_Bhajans_-_Damodarastakam_-_Radhanath_Swami_2007-10-27.mp3")</f>
        <v>IDT_Bhajans_-_Damodarastakam_-_Radhanath_Swami_2007-10-27.mp3</v>
      </c>
      <c r="D6749" s="24"/>
      <c r="E6749" s="24"/>
    </row>
    <row r="6750">
      <c r="A6750" s="25" t="s">
        <v>19078</v>
      </c>
      <c r="B6750" s="25" t="s">
        <v>19080</v>
      </c>
      <c r="C6750" s="26" t="str">
        <f t="shared" si="150"/>
        <v>IDT_Bhajans_-_Damodarastakam_-_Radhanath_Swami_2007-10-27.mp3</v>
      </c>
      <c r="D6750" s="24"/>
      <c r="E6750" s="24"/>
    </row>
    <row r="6751">
      <c r="A6751" s="25" t="s">
        <v>19078</v>
      </c>
      <c r="B6751" s="25" t="s">
        <v>19080</v>
      </c>
      <c r="C6751" s="26" t="str">
        <f t="shared" ref="C6751:C6752" si="151">HYPERLINK("https://audio.iskcondesiretree.com/02_-_ISKCON_Swamis/ISKCON_Swamis_-_R_to_Y/His_Holiness_Radhanath_Swami/Bhajans/Vaishnava_Bhajans/IDT_Bhajans_-_Damodarastakam_-_Radhanath_Swami_2007-10-28.mp3", "IDT_Bhajans_-_Damodarastakam_-_Radhanath_Swami_2007-10-28.mp3")</f>
        <v>IDT_Bhajans_-_Damodarastakam_-_Radhanath_Swami_2007-10-28.mp3</v>
      </c>
      <c r="D6751" s="24"/>
      <c r="E6751" s="24"/>
    </row>
    <row r="6752">
      <c r="A6752" s="25" t="s">
        <v>19078</v>
      </c>
      <c r="B6752" s="25" t="s">
        <v>19080</v>
      </c>
      <c r="C6752" s="26" t="str">
        <f t="shared" si="151"/>
        <v>IDT_Bhajans_-_Damodarastakam_-_Radhanath_Swami_2007-10-28.mp3</v>
      </c>
      <c r="D6752" s="24"/>
      <c r="E6752" s="24"/>
    </row>
    <row r="6753">
      <c r="A6753" s="25" t="s">
        <v>19078</v>
      </c>
      <c r="B6753" s="25" t="s">
        <v>19080</v>
      </c>
      <c r="C6753" s="26" t="str">
        <f t="shared" ref="C6753:C6754" si="152">HYPERLINK("https://audio.iskcondesiretree.com/02_-_ISKCON_Swamis/ISKCON_Swamis_-_R_to_Y/His_Holiness_Radhanath_Swami/Bhajans/Vaishnava_Bhajans/IDT_Bhajans_-_Dashavatara_Stotra_-_Radhanath_Swami.mp3", "IDT_Bhajans_-_Dashavatara_Stotra_-_Radhanath_Swami.mp3")</f>
        <v>IDT_Bhajans_-_Dashavatara_Stotra_-_Radhanath_Swami.mp3</v>
      </c>
      <c r="D6753" s="24"/>
      <c r="E6753" s="24"/>
    </row>
    <row r="6754">
      <c r="A6754" s="25" t="s">
        <v>19078</v>
      </c>
      <c r="B6754" s="25" t="s">
        <v>19080</v>
      </c>
      <c r="C6754" s="26" t="str">
        <f t="shared" si="152"/>
        <v>IDT_Bhajans_-_Dashavatara_Stotra_-_Radhanath_Swami.mp3</v>
      </c>
      <c r="D6754" s="24"/>
      <c r="E6754" s="24"/>
    </row>
    <row r="6755">
      <c r="A6755" s="25" t="s">
        <v>19078</v>
      </c>
      <c r="B6755" s="25" t="s">
        <v>19080</v>
      </c>
      <c r="C6755" s="26" t="str">
        <f t="shared" ref="C6755:C6756" si="153">HYPERLINK("https://audio.iskcondesiretree.com/02_-_ISKCON_Swamis/ISKCON_Swamis_-_R_to_Y/His_Holiness_Radhanath_Swami/Bhajans/Vaishnava_Bhajans/IDT_Bhajans_-_Doyal_Nitai_Caitanya_Bole_-_Radhanath_Swami.mp3", "IDT_Bhajans_-_Doyal_Nitai_Caitanya_Bole_-_Radhanath_Swami.mp3")</f>
        <v>IDT_Bhajans_-_Doyal_Nitai_Caitanya_Bole_-_Radhanath_Swami.mp3</v>
      </c>
      <c r="D6755" s="24"/>
      <c r="E6755" s="24"/>
    </row>
    <row r="6756">
      <c r="A6756" s="25" t="s">
        <v>19078</v>
      </c>
      <c r="B6756" s="25" t="s">
        <v>19080</v>
      </c>
      <c r="C6756" s="26" t="str">
        <f t="shared" si="153"/>
        <v>IDT_Bhajans_-_Doyal_Nitai_Caitanya_Bole_-_Radhanath_Swami.mp3</v>
      </c>
      <c r="D6756" s="24"/>
      <c r="E6756" s="24"/>
    </row>
    <row r="6757">
      <c r="A6757" s="25" t="s">
        <v>19078</v>
      </c>
      <c r="B6757" s="25" t="s">
        <v>19080</v>
      </c>
      <c r="C6757" s="26" t="str">
        <f t="shared" ref="C6757:C6758" si="154">HYPERLINK("https://audio.iskcondesiretree.com/02_-_ISKCON_Swamis/ISKCON_Swamis_-_R_to_Y/His_Holiness_Radhanath_Swami/Bhajans/Vaishnava_Bhajans/IDT_Bhajans_-_Durlabh_Manava_Janma_-_Radhanath_Swami.mp3", "IDT_Bhajans_-_Durlabh_Manava_Janma_-_Radhanath_Swami.mp3")</f>
        <v>IDT_Bhajans_-_Durlabh_Manava_Janma_-_Radhanath_Swami.mp3</v>
      </c>
      <c r="D6757" s="24"/>
      <c r="E6757" s="24"/>
    </row>
    <row r="6758">
      <c r="A6758" s="25" t="s">
        <v>19078</v>
      </c>
      <c r="B6758" s="25" t="s">
        <v>19080</v>
      </c>
      <c r="C6758" s="26" t="str">
        <f t="shared" si="154"/>
        <v>IDT_Bhajans_-_Durlabh_Manava_Janma_-_Radhanath_Swami.mp3</v>
      </c>
      <c r="D6758" s="24"/>
      <c r="E6758" s="24"/>
    </row>
    <row r="6759">
      <c r="A6759" s="25" t="s">
        <v>19078</v>
      </c>
      <c r="B6759" s="25" t="s">
        <v>19080</v>
      </c>
      <c r="C6759" s="26" t="str">
        <f t="shared" ref="C6759:C6760" si="155">HYPERLINK("https://audio.iskcondesiretree.com/02_-_ISKCON_Swamis/ISKCON_Swamis_-_R_to_Y/His_Holiness_Radhanath_Swami/Bhajans/Vaishnava_Bhajans/IDT_Bhajans_-_Durlabha_Manava_Janma_-_Radhanath_Swami.mp3", "IDT_Bhajans_-_Durlabha_Manava_Janma_-_Radhanath_Swami.mp3")</f>
        <v>IDT_Bhajans_-_Durlabha_Manava_Janma_-_Radhanath_Swami.mp3</v>
      </c>
      <c r="D6759" s="24"/>
      <c r="E6759" s="24"/>
    </row>
    <row r="6760">
      <c r="A6760" s="25" t="s">
        <v>19078</v>
      </c>
      <c r="B6760" s="25" t="s">
        <v>19080</v>
      </c>
      <c r="C6760" s="26" t="str">
        <f t="shared" si="155"/>
        <v>IDT_Bhajans_-_Durlabha_Manava_Janma_-_Radhanath_Swami.mp3</v>
      </c>
      <c r="D6760" s="24"/>
      <c r="E6760" s="24"/>
    </row>
    <row r="6761">
      <c r="A6761" s="25" t="s">
        <v>19078</v>
      </c>
      <c r="B6761" s="25" t="s">
        <v>19080</v>
      </c>
      <c r="C6761" s="26" t="str">
        <f t="shared" ref="C6761:C6762" si="156">HYPERLINK("https://audio.iskcondesiretree.com/02_-_ISKCON_Swamis/ISKCON_Swamis_-_R_to_Y/His_Holiness_Radhanath_Swami/Bhajans/Vaishnava_Bhajans/IDT_Bhajans_-_Ekhona_Bujhinu-01_-_Radhanath_Swami.mp3", "IDT_Bhajans_-_Ekhona_Bujhinu-01_-_Radhanath_Swami.mp3")</f>
        <v>IDT_Bhajans_-_Ekhona_Bujhinu-01_-_Radhanath_Swami.mp3</v>
      </c>
      <c r="D6761" s="24"/>
      <c r="E6761" s="24"/>
    </row>
    <row r="6762">
      <c r="A6762" s="25" t="s">
        <v>19078</v>
      </c>
      <c r="B6762" s="25" t="s">
        <v>19080</v>
      </c>
      <c r="C6762" s="26" t="str">
        <f t="shared" si="156"/>
        <v>IDT_Bhajans_-_Ekhona_Bujhinu-01_-_Radhanath_Swami.mp3</v>
      </c>
      <c r="D6762" s="24"/>
      <c r="E6762" s="24"/>
    </row>
    <row r="6763">
      <c r="A6763" s="25" t="s">
        <v>19078</v>
      </c>
      <c r="B6763" s="25" t="s">
        <v>19080</v>
      </c>
      <c r="C6763" s="26" t="str">
        <f t="shared" ref="C6763:C6764" si="157">HYPERLINK("https://audio.iskcondesiretree.com/02_-_ISKCON_Swamis/ISKCON_Swamis_-_R_to_Y/His_Holiness_Radhanath_Swami/Bhajans/Vaishnava_Bhajans/IDT_Bhajans_-_Gaur_Purnima_Bhajan_Sachisutashtakam_-_Radhanath_Swami_-_2011-03-19_ISKCON_Chowpatty.mp3", "IDT_Bhajans_-_Gaur_Purnima_Bhajan_Sachisutashtakam_-_Radhanath_Swami_-_2011-03-19_ISKCON_Chowpatty.mp3")</f>
        <v>IDT_Bhajans_-_Gaur_Purnima_Bhajan_Sachisutashtakam_-_Radhanath_Swami_-_2011-03-19_ISKCON_Chowpatty.mp3</v>
      </c>
      <c r="D6763" s="24"/>
      <c r="E6763" s="24"/>
    </row>
    <row r="6764">
      <c r="A6764" s="25" t="s">
        <v>19078</v>
      </c>
      <c r="B6764" s="25" t="s">
        <v>19080</v>
      </c>
      <c r="C6764" s="26" t="str">
        <f t="shared" si="157"/>
        <v>IDT_Bhajans_-_Gaur_Purnima_Bhajan_Sachisutashtakam_-_Radhanath_Swami_-_2011-03-19_ISKCON_Chowpatty.mp3</v>
      </c>
      <c r="D6764" s="24"/>
      <c r="E6764" s="24"/>
    </row>
    <row r="6765">
      <c r="A6765" s="25" t="s">
        <v>19078</v>
      </c>
      <c r="B6765" s="25" t="s">
        <v>19080</v>
      </c>
      <c r="C6765" s="26" t="str">
        <f t="shared" ref="C6765:C6766" si="158">HYPERLINK("https://audio.iskcondesiretree.com/02_-_ISKCON_Swamis/ISKCON_Swamis_-_R_to_Y/His_Holiness_Radhanath_Swami/Bhajans/Vaishnava_Bhajans/IDT_Bhajans_-_Gauranga_Bolite_Habe-01_-_Radhanath_Swami.mp3", "IDT_Bhajans_-_Gauranga_Bolite_Habe-01_-_Radhanath_Swami.mp3")</f>
        <v>IDT_Bhajans_-_Gauranga_Bolite_Habe-01_-_Radhanath_Swami.mp3</v>
      </c>
      <c r="D6765" s="24"/>
      <c r="E6765" s="24"/>
    </row>
    <row r="6766">
      <c r="A6766" s="25" t="s">
        <v>19078</v>
      </c>
      <c r="B6766" s="25" t="s">
        <v>19080</v>
      </c>
      <c r="C6766" s="26" t="str">
        <f t="shared" si="158"/>
        <v>IDT_Bhajans_-_Gauranga_Bolite_Habe-01_-_Radhanath_Swami.mp3</v>
      </c>
      <c r="D6766" s="24"/>
      <c r="E6766" s="24"/>
    </row>
    <row r="6767">
      <c r="A6767" s="25" t="s">
        <v>19078</v>
      </c>
      <c r="B6767" s="25" t="s">
        <v>19080</v>
      </c>
      <c r="C6767" s="26" t="str">
        <f t="shared" ref="C6767:C6768" si="159">HYPERLINK("https://audio.iskcondesiretree.com/02_-_ISKCON_Swamis/ISKCON_Swamis_-_R_to_Y/His_Holiness_Radhanath_Swami/Bhajans/Vaishnava_Bhajans/IDT_Bhajans_-_Gauranga_Bolite_Habe-02_-_Radhanath_Swami.mp3", "IDT_Bhajans_-_Gauranga_Bolite_Habe-02_-_Radhanath_Swami.mp3")</f>
        <v>IDT_Bhajans_-_Gauranga_Bolite_Habe-02_-_Radhanath_Swami.mp3</v>
      </c>
      <c r="D6767" s="24"/>
      <c r="E6767" s="24"/>
    </row>
    <row r="6768">
      <c r="A6768" s="25" t="s">
        <v>19078</v>
      </c>
      <c r="B6768" s="25" t="s">
        <v>19080</v>
      </c>
      <c r="C6768" s="26" t="str">
        <f t="shared" si="159"/>
        <v>IDT_Bhajans_-_Gauranga_Bolite_Habe-02_-_Radhanath_Swami.mp3</v>
      </c>
      <c r="D6768" s="24"/>
      <c r="E6768" s="24"/>
    </row>
    <row r="6769">
      <c r="A6769" s="25" t="s">
        <v>19078</v>
      </c>
      <c r="B6769" s="25" t="s">
        <v>19080</v>
      </c>
      <c r="C6769" s="26" t="str">
        <f t="shared" ref="C6769:C6770" si="160">HYPERLINK("https://audio.iskcondesiretree.com/02_-_ISKCON_Swamis/ISKCON_Swamis_-_R_to_Y/His_Holiness_Radhanath_Swami/Bhajans/Vaishnava_Bhajans/IDT_Bhajans_-_Gauranga_Bolite_Habe-03_-_Radhanath_Swami.mp3", "IDT_Bhajans_-_Gauranga_Bolite_Habe-03_-_Radhanath_Swami.mp3")</f>
        <v>IDT_Bhajans_-_Gauranga_Bolite_Habe-03_-_Radhanath_Swami.mp3</v>
      </c>
      <c r="D6769" s="24"/>
      <c r="E6769" s="24"/>
    </row>
    <row r="6770">
      <c r="A6770" s="25" t="s">
        <v>19078</v>
      </c>
      <c r="B6770" s="25" t="s">
        <v>19080</v>
      </c>
      <c r="C6770" s="26" t="str">
        <f t="shared" si="160"/>
        <v>IDT_Bhajans_-_Gauranga_Bolite_Habe-03_-_Radhanath_Swami.mp3</v>
      </c>
      <c r="D6770" s="24"/>
      <c r="E6770" s="24"/>
    </row>
    <row r="6771">
      <c r="A6771" s="25" t="s">
        <v>19078</v>
      </c>
      <c r="B6771" s="25" t="s">
        <v>19080</v>
      </c>
      <c r="C6771" s="26" t="str">
        <f t="shared" ref="C6771:C6772" si="161">HYPERLINK("https://audio.iskcondesiretree.com/02_-_ISKCON_Swamis/ISKCON_Swamis_-_R_to_Y/His_Holiness_Radhanath_Swami/Bhajans/Vaishnava_Bhajans/IDT_Bhajans_-_Gauranga_Bolite_Habe_-_Radhanath_Swami_-_2008-03-23.mp3", "IDT_Bhajans_-_Gauranga_Bolite_Habe_-_Radhanath_Swami_-_2008-03-23.mp3")</f>
        <v>IDT_Bhajans_-_Gauranga_Bolite_Habe_-_Radhanath_Swami_-_2008-03-23.mp3</v>
      </c>
      <c r="D6771" s="24"/>
      <c r="E6771" s="24"/>
    </row>
    <row r="6772">
      <c r="A6772" s="25" t="s">
        <v>19078</v>
      </c>
      <c r="B6772" s="25" t="s">
        <v>19080</v>
      </c>
      <c r="C6772" s="26" t="str">
        <f t="shared" si="161"/>
        <v>IDT_Bhajans_-_Gauranga_Bolite_Habe_-_Radhanath_Swami_-_2008-03-23.mp3</v>
      </c>
      <c r="D6772" s="24"/>
      <c r="E6772" s="24"/>
    </row>
    <row r="6773">
      <c r="A6773" s="25" t="s">
        <v>19078</v>
      </c>
      <c r="B6773" s="25" t="s">
        <v>19080</v>
      </c>
      <c r="C6773" s="26" t="str">
        <f t="shared" ref="C6773:C6774" si="162">HYPERLINK("https://audio.iskcondesiretree.com/02_-_ISKCON_Swamis/ISKCON_Swamis_-_R_to_Y/His_Holiness_Radhanath_Swami/Bhajans/Vaishnava_Bhajans/IDT_Bhajans_-_Gauranga_Tumi_More-01_-_Radhanath_Swami.mp3", "IDT_Bhajans_-_Gauranga_Tumi_More-01_-_Radhanath_Swami.mp3")</f>
        <v>IDT_Bhajans_-_Gauranga_Tumi_More-01_-_Radhanath_Swami.mp3</v>
      </c>
      <c r="D6773" s="24"/>
      <c r="E6773" s="24"/>
    </row>
    <row r="6774">
      <c r="A6774" s="25" t="s">
        <v>19078</v>
      </c>
      <c r="B6774" s="25" t="s">
        <v>19080</v>
      </c>
      <c r="C6774" s="26" t="str">
        <f t="shared" si="162"/>
        <v>IDT_Bhajans_-_Gauranga_Tumi_More-01_-_Radhanath_Swami.mp3</v>
      </c>
      <c r="D6774" s="24"/>
      <c r="E6774" s="24"/>
    </row>
    <row r="6775">
      <c r="A6775" s="25" t="s">
        <v>19078</v>
      </c>
      <c r="B6775" s="25" t="s">
        <v>19080</v>
      </c>
      <c r="C6775" s="26" t="str">
        <f t="shared" ref="C6775:C6776" si="163">HYPERLINK("https://audio.iskcondesiretree.com/02_-_ISKCON_Swamis/ISKCON_Swamis_-_R_to_Y/His_Holiness_Radhanath_Swami/Bhajans/Vaishnava_Bhajans/IDT_Bhajans_-_Gauranga_Tumi_More-02_-_Radhanath_Swami.mp3", "IDT_Bhajans_-_Gauranga_Tumi_More-02_-_Radhanath_Swami.mp3")</f>
        <v>IDT_Bhajans_-_Gauranga_Tumi_More-02_-_Radhanath_Swami.mp3</v>
      </c>
      <c r="D6775" s="24"/>
      <c r="E6775" s="24"/>
    </row>
    <row r="6776">
      <c r="A6776" s="25" t="s">
        <v>19078</v>
      </c>
      <c r="B6776" s="25" t="s">
        <v>19080</v>
      </c>
      <c r="C6776" s="26" t="str">
        <f t="shared" si="163"/>
        <v>IDT_Bhajans_-_Gauranga_Tumi_More-02_-_Radhanath_Swami.mp3</v>
      </c>
      <c r="D6776" s="24"/>
      <c r="E6776" s="24"/>
    </row>
    <row r="6777">
      <c r="A6777" s="25" t="s">
        <v>19078</v>
      </c>
      <c r="B6777" s="25" t="s">
        <v>19080</v>
      </c>
      <c r="C6777" s="26" t="str">
        <f t="shared" ref="C6777:C6778" si="164">HYPERLINK("https://audio.iskcondesiretree.com/02_-_ISKCON_Swamis/ISKCON_Swamis_-_R_to_Y/His_Holiness_Radhanath_Swami/Bhajans/Vaishnava_Bhajans/IDT_Bhajans_-_Gay_Gaur_Madhur_Sware_-_Radhanath_Swami.mp3", "IDT_Bhajans_-_Gay_Gaur_Madhur_Sware_-_Radhanath_Swami.mp3")</f>
        <v>IDT_Bhajans_-_Gay_Gaur_Madhur_Sware_-_Radhanath_Swami.mp3</v>
      </c>
      <c r="D6777" s="24"/>
      <c r="E6777" s="24"/>
    </row>
    <row r="6778">
      <c r="A6778" s="25" t="s">
        <v>19078</v>
      </c>
      <c r="B6778" s="25" t="s">
        <v>19080</v>
      </c>
      <c r="C6778" s="26" t="str">
        <f t="shared" si="164"/>
        <v>IDT_Bhajans_-_Gay_Gaur_Madhur_Sware_-_Radhanath_Swami.mp3</v>
      </c>
      <c r="D6778" s="24"/>
      <c r="E6778" s="24"/>
    </row>
    <row r="6779">
      <c r="A6779" s="25" t="s">
        <v>19078</v>
      </c>
      <c r="B6779" s="25" t="s">
        <v>19080</v>
      </c>
      <c r="C6779" s="26" t="str">
        <f t="shared" ref="C6779:C6780" si="165">HYPERLINK("https://audio.iskcondesiretree.com/02_-_ISKCON_Swamis/ISKCON_Swamis_-_R_to_Y/His_Holiness_Radhanath_Swami/Bhajans/Vaishnava_Bhajans/IDT_Bhajans_-_Gopinath-01_-_Radhanath_Swami.mp3", "IDT_Bhajans_-_Gopinath-01_-_Radhanath_Swami.mp3")</f>
        <v>IDT_Bhajans_-_Gopinath-01_-_Radhanath_Swami.mp3</v>
      </c>
      <c r="D6779" s="24"/>
      <c r="E6779" s="24"/>
    </row>
    <row r="6780">
      <c r="A6780" s="25" t="s">
        <v>19078</v>
      </c>
      <c r="B6780" s="25" t="s">
        <v>19080</v>
      </c>
      <c r="C6780" s="26" t="str">
        <f t="shared" si="165"/>
        <v>IDT_Bhajans_-_Gopinath-01_-_Radhanath_Swami.mp3</v>
      </c>
      <c r="D6780" s="24"/>
      <c r="E6780" s="24"/>
    </row>
    <row r="6781">
      <c r="A6781" s="25" t="s">
        <v>19078</v>
      </c>
      <c r="B6781" s="25" t="s">
        <v>19080</v>
      </c>
      <c r="C6781" s="26" t="str">
        <f t="shared" ref="C6781:C6782" si="166">HYPERLINK("https://audio.iskcondesiretree.com/02_-_ISKCON_Swamis/ISKCON_Swamis_-_R_to_Y/His_Holiness_Radhanath_Swami/Bhajans/Vaishnava_Bhajans/IDT_Bhajans_-_Gopinath-02_-_Radhanath_Swami.mp3", "IDT_Bhajans_-_Gopinath-02_-_Radhanath_Swami.mp3")</f>
        <v>IDT_Bhajans_-_Gopinath-02_-_Radhanath_Swami.mp3</v>
      </c>
      <c r="D6781" s="24"/>
      <c r="E6781" s="24"/>
    </row>
    <row r="6782">
      <c r="A6782" s="25" t="s">
        <v>19078</v>
      </c>
      <c r="B6782" s="25" t="s">
        <v>19080</v>
      </c>
      <c r="C6782" s="26" t="str">
        <f t="shared" si="166"/>
        <v>IDT_Bhajans_-_Gopinath-02_-_Radhanath_Swami.mp3</v>
      </c>
      <c r="D6782" s="24"/>
      <c r="E6782" s="24"/>
    </row>
    <row r="6783">
      <c r="A6783" s="25" t="s">
        <v>19078</v>
      </c>
      <c r="B6783" s="25" t="s">
        <v>19080</v>
      </c>
      <c r="C6783" s="26" t="str">
        <f t="shared" ref="C6783:C6784" si="167">HYPERLINK("https://audio.iskcondesiretree.com/02_-_ISKCON_Swamis/ISKCON_Swamis_-_R_to_Y/His_Holiness_Radhanath_Swami/Bhajans/Vaishnava_Bhajans/IDT_Bhajans_-_Gopinath-03_-_Radhanath_Swami.mp3", "IDT_Bhajans_-_Gopinath-03_-_Radhanath_Swami.mp3")</f>
        <v>IDT_Bhajans_-_Gopinath-03_-_Radhanath_Swami.mp3</v>
      </c>
      <c r="D6783" s="24"/>
      <c r="E6783" s="24"/>
    </row>
    <row r="6784">
      <c r="A6784" s="25" t="s">
        <v>19078</v>
      </c>
      <c r="B6784" s="25" t="s">
        <v>19080</v>
      </c>
      <c r="C6784" s="26" t="str">
        <f t="shared" si="167"/>
        <v>IDT_Bhajans_-_Gopinath-03_-_Radhanath_Swami.mp3</v>
      </c>
      <c r="D6784" s="24"/>
      <c r="E6784" s="24"/>
    </row>
    <row r="6785">
      <c r="A6785" s="25" t="s">
        <v>19078</v>
      </c>
      <c r="B6785" s="25" t="s">
        <v>19080</v>
      </c>
      <c r="C6785" s="26" t="str">
        <f t="shared" ref="C6785:C6786" si="168">HYPERLINK("https://audio.iskcondesiretree.com/02_-_ISKCON_Swamis/ISKCON_Swamis_-_R_to_Y/His_Holiness_Radhanath_Swami/Bhajans/Vaishnava_Bhajans/IDT_Bhajans_-_Govind_Hari_Gopal_Hari_-_Radhanath_Swami.mp3", "IDT_Bhajans_-_Govind_Hari_Gopal_Hari_-_Radhanath_Swami.mp3")</f>
        <v>IDT_Bhajans_-_Govind_Hari_Gopal_Hari_-_Radhanath_Swami.mp3</v>
      </c>
      <c r="D6785" s="24"/>
      <c r="E6785" s="24"/>
    </row>
    <row r="6786">
      <c r="A6786" s="25" t="s">
        <v>19078</v>
      </c>
      <c r="B6786" s="25" t="s">
        <v>19080</v>
      </c>
      <c r="C6786" s="26" t="str">
        <f t="shared" si="168"/>
        <v>IDT_Bhajans_-_Govind_Hari_Gopal_Hari_-_Radhanath_Swami.mp3</v>
      </c>
      <c r="D6786" s="24"/>
      <c r="E6786" s="24"/>
    </row>
    <row r="6787">
      <c r="A6787" s="25" t="s">
        <v>19078</v>
      </c>
      <c r="B6787" s="25" t="s">
        <v>19080</v>
      </c>
      <c r="C6787" s="26" t="str">
        <f t="shared" ref="C6787:C6788" si="169">HYPERLINK("https://audio.iskcondesiretree.com/02_-_ISKCON_Swamis/ISKCON_Swamis_-_R_to_Y/His_Holiness_Radhanath_Swami/Bhajans/Vaishnava_Bhajans/IDT_Bhajans_-_Hari_He_Doyala_Mora_-_Radhanath_Swami.mp3", "IDT_Bhajans_-_Hari_He_Doyala_Mora_-_Radhanath_Swami.mp3")</f>
        <v>IDT_Bhajans_-_Hari_He_Doyala_Mora_-_Radhanath_Swami.mp3</v>
      </c>
      <c r="D6787" s="24"/>
      <c r="E6787" s="24"/>
    </row>
    <row r="6788">
      <c r="A6788" s="25" t="s">
        <v>19078</v>
      </c>
      <c r="B6788" s="25" t="s">
        <v>19080</v>
      </c>
      <c r="C6788" s="26" t="str">
        <f t="shared" si="169"/>
        <v>IDT_Bhajans_-_Hari_He_Doyala_Mora_-_Radhanath_Swami.mp3</v>
      </c>
      <c r="D6788" s="24"/>
      <c r="E6788" s="24"/>
    </row>
    <row r="6789">
      <c r="A6789" s="25" t="s">
        <v>19078</v>
      </c>
      <c r="B6789" s="25" t="s">
        <v>19080</v>
      </c>
      <c r="C6789" s="26" t="str">
        <f t="shared" ref="C6789:C6790" si="170">HYPERLINK("https://audio.iskcondesiretree.com/02_-_ISKCON_Swamis/ISKCON_Swamis_-_R_to_Y/His_Holiness_Radhanath_Swami/Bhajans/Vaishnava_Bhajans/IDT_Bhajans_-_Jay_Jay_Radhe_Jay_Jay_Shyam_-_Radhanath_Swami.mp3", "IDT_Bhajans_-_Jay_Jay_Radhe_Jay_Jay_Shyam_-_Radhanath_Swami.mp3")</f>
        <v>IDT_Bhajans_-_Jay_Jay_Radhe_Jay_Jay_Shyam_-_Radhanath_Swami.mp3</v>
      </c>
      <c r="D6789" s="24"/>
      <c r="E6789" s="24"/>
    </row>
    <row r="6790">
      <c r="A6790" s="25" t="s">
        <v>19078</v>
      </c>
      <c r="B6790" s="25" t="s">
        <v>19080</v>
      </c>
      <c r="C6790" s="26" t="str">
        <f t="shared" si="170"/>
        <v>IDT_Bhajans_-_Jay_Jay_Radhe_Jay_Jay_Shyam_-_Radhanath_Swami.mp3</v>
      </c>
      <c r="D6790" s="24"/>
      <c r="E6790" s="24"/>
    </row>
    <row r="6791">
      <c r="A6791" s="25" t="s">
        <v>19078</v>
      </c>
      <c r="B6791" s="25" t="s">
        <v>19080</v>
      </c>
      <c r="C6791" s="26" t="str">
        <f t="shared" ref="C6791:C6792" si="171">HYPERLINK("https://audio.iskcondesiretree.com/02_-_ISKCON_Swamis/ISKCON_Swamis_-_R_to_Y/His_Holiness_Radhanath_Swami/Bhajans/Vaishnava_Bhajans/IDT_Bhajans_-_Jay_Radhe_Jay_Radhe_Radhe_-_Radhanath_Swami_Hyderabad_2011-03-28.mp3", "IDT_Bhajans_-_Jay_Radhe_Jay_Radhe_Radhe_-_Radhanath_Swami_Hyderabad_2011-03-28.mp3")</f>
        <v>IDT_Bhajans_-_Jay_Radhe_Jay_Radhe_Radhe_-_Radhanath_Swami_Hyderabad_2011-03-28.mp3</v>
      </c>
      <c r="D6791" s="24"/>
      <c r="E6791" s="24"/>
    </row>
    <row r="6792">
      <c r="A6792" s="25" t="s">
        <v>19078</v>
      </c>
      <c r="B6792" s="25" t="s">
        <v>19080</v>
      </c>
      <c r="C6792" s="26" t="str">
        <f t="shared" si="171"/>
        <v>IDT_Bhajans_-_Jay_Radhe_Jay_Radhe_Radhe_-_Radhanath_Swami_Hyderabad_2011-03-28.mp3</v>
      </c>
      <c r="D6792" s="24"/>
      <c r="E6792" s="24"/>
    </row>
    <row r="6793">
      <c r="A6793" s="25" t="s">
        <v>19078</v>
      </c>
      <c r="B6793" s="25" t="s">
        <v>19080</v>
      </c>
      <c r="C6793" s="26" t="str">
        <f t="shared" ref="C6793:C6794" si="172">HYPERLINK("https://audio.iskcondesiretree.com/02_-_ISKCON_Swamis/ISKCON_Swamis_-_R_to_Y/His_Holiness_Radhanath_Swami/Bhajans/Vaishnava_Bhajans/IDT_Bhajans_-_Jaya_Jaya_Jagannath-01_-_Radhanath_Swami.mp3", "IDT_Bhajans_-_Jaya_Jaya_Jagannath-01_-_Radhanath_Swami.mp3")</f>
        <v>IDT_Bhajans_-_Jaya_Jaya_Jagannath-01_-_Radhanath_Swami.mp3</v>
      </c>
      <c r="D6793" s="24"/>
      <c r="E6793" s="24"/>
    </row>
    <row r="6794">
      <c r="A6794" s="25" t="s">
        <v>19078</v>
      </c>
      <c r="B6794" s="25" t="s">
        <v>19080</v>
      </c>
      <c r="C6794" s="26" t="str">
        <f t="shared" si="172"/>
        <v>IDT_Bhajans_-_Jaya_Jaya_Jagannath-01_-_Radhanath_Swami.mp3</v>
      </c>
      <c r="D6794" s="24"/>
      <c r="E6794" s="24"/>
    </row>
    <row r="6795">
      <c r="A6795" s="25" t="s">
        <v>19078</v>
      </c>
      <c r="B6795" s="25" t="s">
        <v>19080</v>
      </c>
      <c r="C6795" s="26" t="str">
        <f t="shared" ref="C6795:C6796" si="173">HYPERLINK("https://audio.iskcondesiretree.com/02_-_ISKCON_Swamis/ISKCON_Swamis_-_R_to_Y/His_Holiness_Radhanath_Swami/Bhajans/Vaishnava_Bhajans/IDT_Bhajans_-_Jaya_Jaya_Jagannath-02_-_Radhanath_Swami.mp3", "IDT_Bhajans_-_Jaya_Jaya_Jagannath-02_-_Radhanath_Swami.mp3")</f>
        <v>IDT_Bhajans_-_Jaya_Jaya_Jagannath-02_-_Radhanath_Swami.mp3</v>
      </c>
      <c r="D6795" s="24"/>
      <c r="E6795" s="24"/>
    </row>
    <row r="6796">
      <c r="A6796" s="25" t="s">
        <v>19078</v>
      </c>
      <c r="B6796" s="25" t="s">
        <v>19080</v>
      </c>
      <c r="C6796" s="26" t="str">
        <f t="shared" si="173"/>
        <v>IDT_Bhajans_-_Jaya_Jaya_Jagannath-02_-_Radhanath_Swami.mp3</v>
      </c>
      <c r="D6796" s="24"/>
      <c r="E6796" s="24"/>
    </row>
    <row r="6797">
      <c r="A6797" s="25" t="s">
        <v>19078</v>
      </c>
      <c r="B6797" s="25" t="s">
        <v>19080</v>
      </c>
      <c r="C6797" s="26" t="str">
        <f t="shared" ref="C6797:C6798" si="174">HYPERLINK("https://audio.iskcondesiretree.com/02_-_ISKCON_Swamis/ISKCON_Swamis_-_R_to_Y/His_Holiness_Radhanath_Swami/Bhajans/Vaishnava_Bhajans/IDT_Bhajans_-_Jaya_Jaya_Jagannath-03_-_Radhanath_Swami.mp3", "IDT_Bhajans_-_Jaya_Jaya_Jagannath-03_-_Radhanath_Swami.mp3")</f>
        <v>IDT_Bhajans_-_Jaya_Jaya_Jagannath-03_-_Radhanath_Swami.mp3</v>
      </c>
      <c r="D6797" s="24"/>
      <c r="E6797" s="24"/>
    </row>
    <row r="6798">
      <c r="A6798" s="25" t="s">
        <v>19078</v>
      </c>
      <c r="B6798" s="25" t="s">
        <v>19080</v>
      </c>
      <c r="C6798" s="26" t="str">
        <f t="shared" si="174"/>
        <v>IDT_Bhajans_-_Jaya_Jaya_Jagannath-03_-_Radhanath_Swami.mp3</v>
      </c>
      <c r="D6798" s="24"/>
      <c r="E6798" s="24"/>
    </row>
    <row r="6799">
      <c r="A6799" s="25" t="s">
        <v>19078</v>
      </c>
      <c r="B6799" s="25" t="s">
        <v>19080</v>
      </c>
      <c r="C6799" s="26" t="str">
        <f t="shared" ref="C6799:C6800" si="175">HYPERLINK("https://audio.iskcondesiretree.com/02_-_ISKCON_Swamis/ISKCON_Swamis_-_R_to_Y/His_Holiness_Radhanath_Swami/Bhajans/Vaishnava_Bhajans/IDT_Bhajans_-_Jaya_Jaya_Radha_Krishna_Yugal_Milan-01_-_Radhanath_Swami.mp3", "IDT_Bhajans_-_Jaya_Jaya_Radha_Krishna_Yugal_Milan-01_-_Radhanath_Swami.mp3")</f>
        <v>IDT_Bhajans_-_Jaya_Jaya_Radha_Krishna_Yugal_Milan-01_-_Radhanath_Swami.mp3</v>
      </c>
      <c r="D6799" s="24"/>
      <c r="E6799" s="24"/>
    </row>
    <row r="6800">
      <c r="A6800" s="25" t="s">
        <v>19078</v>
      </c>
      <c r="B6800" s="25" t="s">
        <v>19080</v>
      </c>
      <c r="C6800" s="26" t="str">
        <f t="shared" si="175"/>
        <v>IDT_Bhajans_-_Jaya_Jaya_Radha_Krishna_Yugal_Milan-01_-_Radhanath_Swami.mp3</v>
      </c>
      <c r="D6800" s="24"/>
      <c r="E6800" s="24"/>
    </row>
    <row r="6801">
      <c r="A6801" s="25" t="s">
        <v>19078</v>
      </c>
      <c r="B6801" s="25" t="s">
        <v>19080</v>
      </c>
      <c r="C6801" s="26" t="str">
        <f t="shared" ref="C6801:C6802" si="176">HYPERLINK("https://audio.iskcondesiretree.com/02_-_ISKCON_Swamis/ISKCON_Swamis_-_R_to_Y/His_Holiness_Radhanath_Swami/Bhajans/Vaishnava_Bhajans/IDT_Bhajans_-_Jaya_Jaya_Radha_Krishna_Yugal_Milan-02_-_Radhanath_Swami.mp3", "IDT_Bhajans_-_Jaya_Jaya_Radha_Krishna_Yugal_Milan-02_-_Radhanath_Swami.mp3")</f>
        <v>IDT_Bhajans_-_Jaya_Jaya_Radha_Krishna_Yugal_Milan-02_-_Radhanath_Swami.mp3</v>
      </c>
      <c r="D6801" s="24"/>
      <c r="E6801" s="24"/>
    </row>
    <row r="6802">
      <c r="A6802" s="25" t="s">
        <v>19078</v>
      </c>
      <c r="B6802" s="25" t="s">
        <v>19080</v>
      </c>
      <c r="C6802" s="26" t="str">
        <f t="shared" si="176"/>
        <v>IDT_Bhajans_-_Jaya_Jaya_Radha_Krishna_Yugal_Milan-02_-_Radhanath_Swami.mp3</v>
      </c>
      <c r="D6802" s="24"/>
      <c r="E6802" s="24"/>
    </row>
    <row r="6803">
      <c r="A6803" s="25" t="s">
        <v>19078</v>
      </c>
      <c r="B6803" s="25" t="s">
        <v>19080</v>
      </c>
      <c r="C6803" s="26" t="str">
        <f t="shared" ref="C6803:C6804" si="177">HYPERLINK("https://audio.iskcondesiretree.com/02_-_ISKCON_Swamis/ISKCON_Swamis_-_R_to_Y/His_Holiness_Radhanath_Swami/Bhajans/Vaishnava_Bhajans/IDT_Bhajans_-_Jaya_Radha_Govind_Radhe_-_Radhanath_Swami.mp3", "IDT_Bhajans_-_Jaya_Radha_Govind_Radhe_-_Radhanath_Swami.mp3")</f>
        <v>IDT_Bhajans_-_Jaya_Radha_Govind_Radhe_-_Radhanath_Swami.mp3</v>
      </c>
      <c r="D6803" s="24"/>
      <c r="E6803" s="24"/>
    </row>
    <row r="6804">
      <c r="A6804" s="25" t="s">
        <v>19078</v>
      </c>
      <c r="B6804" s="25" t="s">
        <v>19080</v>
      </c>
      <c r="C6804" s="26" t="str">
        <f t="shared" si="177"/>
        <v>IDT_Bhajans_-_Jaya_Radha_Govind_Radhe_-_Radhanath_Swami.mp3</v>
      </c>
      <c r="D6804" s="24"/>
      <c r="E6804" s="24"/>
    </row>
    <row r="6805">
      <c r="A6805" s="25" t="s">
        <v>19078</v>
      </c>
      <c r="B6805" s="25" t="s">
        <v>19080</v>
      </c>
      <c r="C6805" s="26" t="str">
        <f t="shared" ref="C6805:C6806" si="178">HYPERLINK("https://audio.iskcondesiretree.com/02_-_ISKCON_Swamis/ISKCON_Swamis_-_R_to_Y/His_Holiness_Radhanath_Swami/Bhajans/Vaishnava_Bhajans/IDT_Bhajans_-_Jaya_Radha_Madhava-01_-_Radhanath_Swami.mp3", "IDT_Bhajans_-_Jaya_Radha_Madhava-01_-_Radhanath_Swami.mp3")</f>
        <v>IDT_Bhajans_-_Jaya_Radha_Madhava-01_-_Radhanath_Swami.mp3</v>
      </c>
      <c r="D6805" s="24"/>
      <c r="E6805" s="24"/>
    </row>
    <row r="6806">
      <c r="A6806" s="25" t="s">
        <v>19078</v>
      </c>
      <c r="B6806" s="25" t="s">
        <v>19080</v>
      </c>
      <c r="C6806" s="26" t="str">
        <f t="shared" si="178"/>
        <v>IDT_Bhajans_-_Jaya_Radha_Madhava-01_-_Radhanath_Swami.mp3</v>
      </c>
      <c r="D6806" s="24"/>
      <c r="E6806" s="24"/>
    </row>
    <row r="6807">
      <c r="A6807" s="25" t="s">
        <v>19078</v>
      </c>
      <c r="B6807" s="25" t="s">
        <v>19080</v>
      </c>
      <c r="C6807" s="26" t="str">
        <f t="shared" ref="C6807:C6808" si="179">HYPERLINK("https://audio.iskcondesiretree.com/02_-_ISKCON_Swamis/ISKCON_Swamis_-_R_to_Y/His_Holiness_Radhanath_Swami/Bhajans/Vaishnava_Bhajans/IDT_Bhajans_-_Jaya_Radha_Madhava-02_-_Radhanath_Swami.mp3", "IDT_Bhajans_-_Jaya_Radha_Madhava-02_-_Radhanath_Swami.mp3")</f>
        <v>IDT_Bhajans_-_Jaya_Radha_Madhava-02_-_Radhanath_Swami.mp3</v>
      </c>
      <c r="D6807" s="24"/>
      <c r="E6807" s="24"/>
    </row>
    <row r="6808">
      <c r="A6808" s="25" t="s">
        <v>19078</v>
      </c>
      <c r="B6808" s="25" t="s">
        <v>19080</v>
      </c>
      <c r="C6808" s="26" t="str">
        <f t="shared" si="179"/>
        <v>IDT_Bhajans_-_Jaya_Radha_Madhava-02_-_Radhanath_Swami.mp3</v>
      </c>
      <c r="D6808" s="24"/>
      <c r="E6808" s="24"/>
    </row>
    <row r="6809">
      <c r="A6809" s="25" t="s">
        <v>19078</v>
      </c>
      <c r="B6809" s="25" t="s">
        <v>19080</v>
      </c>
      <c r="C6809" s="26" t="str">
        <f t="shared" ref="C6809:C6810" si="180">HYPERLINK("https://audio.iskcondesiretree.com/02_-_ISKCON_Swamis/ISKCON_Swamis_-_R_to_Y/His_Holiness_Radhanath_Swami/Bhajans/Vaishnava_Bhajans/IDT_Bhajans_-_Jaya_Radha_Madhava_-_1997_Radhanath_Sw.mp3", "IDT_Bhajans_-_Jaya_Radha_Madhava_-_1997_Radhanath_Sw.mp3")</f>
        <v>IDT_Bhajans_-_Jaya_Radha_Madhava_-_1997_Radhanath_Sw.mp3</v>
      </c>
      <c r="D6809" s="24"/>
      <c r="E6809" s="24"/>
    </row>
    <row r="6810">
      <c r="A6810" s="25" t="s">
        <v>19078</v>
      </c>
      <c r="B6810" s="25" t="s">
        <v>19080</v>
      </c>
      <c r="C6810" s="26" t="str">
        <f t="shared" si="180"/>
        <v>IDT_Bhajans_-_Jaya_Radha_Madhava_-_1997_Radhanath_Sw.mp3</v>
      </c>
      <c r="D6810" s="24"/>
      <c r="E6810" s="24"/>
    </row>
    <row r="6811">
      <c r="A6811" s="25" t="s">
        <v>19078</v>
      </c>
      <c r="B6811" s="25" t="s">
        <v>19080</v>
      </c>
      <c r="C6811" s="26" t="str">
        <f t="shared" ref="C6811:C6812" si="181">HYPERLINK("https://audio.iskcondesiretree.com/02_-_ISKCON_Swamis/ISKCON_Swamis_-_R_to_Y/His_Holiness_Radhanath_Swami/Bhajans/Vaishnava_Bhajans/IDT_Bhajans_-_Jaya_Radha_Madhava_-_2010-06-24_-_Radhanath_Swami.mp3", "IDT_Bhajans_-_Jaya_Radha_Madhava_-_2010-06-24_-_Radhanath_Swami.mp3")</f>
        <v>IDT_Bhajans_-_Jaya_Radha_Madhava_-_2010-06-24_-_Radhanath_Swami.mp3</v>
      </c>
      <c r="D6811" s="24"/>
      <c r="E6811" s="24"/>
    </row>
    <row r="6812">
      <c r="A6812" s="25" t="s">
        <v>19078</v>
      </c>
      <c r="B6812" s="25" t="s">
        <v>19080</v>
      </c>
      <c r="C6812" s="26" t="str">
        <f t="shared" si="181"/>
        <v>IDT_Bhajans_-_Jaya_Radha_Madhava_-_2010-06-24_-_Radhanath_Swami.mp3</v>
      </c>
      <c r="D6812" s="24"/>
      <c r="E6812" s="24"/>
    </row>
    <row r="6813">
      <c r="A6813" s="25" t="s">
        <v>19078</v>
      </c>
      <c r="B6813" s="25" t="s">
        <v>19080</v>
      </c>
      <c r="C6813" s="26" t="str">
        <f t="shared" ref="C6813:C6814" si="182">HYPERLINK("https://audio.iskcondesiretree.com/02_-_ISKCON_Swamis/ISKCON_Swamis_-_R_to_Y/His_Holiness_Radhanath_Swami/Bhajans/Vaishnava_Bhajans/IDT_Bhajans_-_Jaya_Radha_Madhava_-_2010-06-28_Radhanath_Swami.mp3", "IDT_Bhajans_-_Jaya_Radha_Madhava_-_2010-06-28_Radhanath_Swami.mp3")</f>
        <v>IDT_Bhajans_-_Jaya_Radha_Madhava_-_2010-06-28_Radhanath_Swami.mp3</v>
      </c>
      <c r="D6813" s="24"/>
      <c r="E6813" s="24"/>
    </row>
    <row r="6814">
      <c r="A6814" s="25" t="s">
        <v>19078</v>
      </c>
      <c r="B6814" s="25" t="s">
        <v>19080</v>
      </c>
      <c r="C6814" s="26" t="str">
        <f t="shared" si="182"/>
        <v>IDT_Bhajans_-_Jaya_Radha_Madhava_-_2010-06-28_Radhanath_Swami.mp3</v>
      </c>
      <c r="D6814" s="24"/>
      <c r="E6814" s="24"/>
    </row>
    <row r="6815">
      <c r="A6815" s="25" t="s">
        <v>19078</v>
      </c>
      <c r="B6815" s="25" t="s">
        <v>19080</v>
      </c>
      <c r="C6815" s="26" t="str">
        <f t="shared" ref="C6815:C6816" si="183">HYPERLINK("https://audio.iskcondesiretree.com/02_-_ISKCON_Swamis/ISKCON_Swamis_-_R_to_Y/His_Holiness_Radhanath_Swami/Bhajans/Vaishnava_Bhajans/IDT_Bhajans_-_Jaya_Radha_Madhava_-_Radhanath_Swami_ISKCON_Secunderabad_30-03-2011.mp3", "IDT_Bhajans_-_Jaya_Radha_Madhava_-_Radhanath_Swami_ISKCON_Secunderabad_30-03-2011.mp3")</f>
        <v>IDT_Bhajans_-_Jaya_Radha_Madhava_-_Radhanath_Swami_ISKCON_Secunderabad_30-03-2011.mp3</v>
      </c>
      <c r="D6815" s="24"/>
      <c r="E6815" s="24"/>
    </row>
    <row r="6816">
      <c r="A6816" s="25" t="s">
        <v>19078</v>
      </c>
      <c r="B6816" s="25" t="s">
        <v>19080</v>
      </c>
      <c r="C6816" s="26" t="str">
        <f t="shared" si="183"/>
        <v>IDT_Bhajans_-_Jaya_Radha_Madhava_-_Radhanath_Swami_ISKCON_Secunderabad_30-03-2011.mp3</v>
      </c>
      <c r="D6816" s="24"/>
      <c r="E6816" s="24"/>
    </row>
    <row r="6817">
      <c r="A6817" s="25" t="s">
        <v>19078</v>
      </c>
      <c r="B6817" s="25" t="s">
        <v>19080</v>
      </c>
      <c r="C6817" s="26" t="str">
        <f t="shared" ref="C6817:C6818" si="184">HYPERLINK("https://audio.iskcondesiretree.com/02_-_ISKCON_Swamis/ISKCON_Swamis_-_R_to_Y/His_Holiness_Radhanath_Swami/Bhajans/Vaishnava_Bhajans/IDT_Bhajans_-_Jaya_Radha_Madhava_at_-_Radhanath_Swami_ISKCON_Hyderabad_-_2011-03-29.mp3", "IDT_Bhajans_-_Jaya_Radha_Madhava_at_-_Radhanath_Swami_ISKCON_Hyderabad_-_2011-03-29.mp3")</f>
        <v>IDT_Bhajans_-_Jaya_Radha_Madhava_at_-_Radhanath_Swami_ISKCON_Hyderabad_-_2011-03-29.mp3</v>
      </c>
      <c r="D6817" s="24"/>
      <c r="E6817" s="24"/>
    </row>
    <row r="6818">
      <c r="A6818" s="25" t="s">
        <v>19078</v>
      </c>
      <c r="B6818" s="25" t="s">
        <v>19080</v>
      </c>
      <c r="C6818" s="26" t="str">
        <f t="shared" si="184"/>
        <v>IDT_Bhajans_-_Jaya_Radha_Madhava_at_-_Radhanath_Swami_ISKCON_Hyderabad_-_2011-03-29.mp3</v>
      </c>
      <c r="D6818" s="24"/>
      <c r="E6818" s="24"/>
    </row>
    <row r="6819">
      <c r="A6819" s="25" t="s">
        <v>19078</v>
      </c>
      <c r="B6819" s="25" t="s">
        <v>19080</v>
      </c>
      <c r="C6819" s="26" t="str">
        <f t="shared" ref="C6819:C6820" si="185">HYPERLINK("https://audio.iskcondesiretree.com/02_-_ISKCON_Swamis/ISKCON_Swamis_-_R_to_Y/His_Holiness_Radhanath_Swami/Bhajans/Vaishnava_Bhajans/IDT_Bhajans_-_Jaya_Radhe_Jaya_Krishna-01_-_Radhanath_Swami.mp3", "IDT_Bhajans_-_Jaya_Radhe_Jaya_Krishna-01_-_Radhanath_Swami.mp3")</f>
        <v>IDT_Bhajans_-_Jaya_Radhe_Jaya_Krishna-01_-_Radhanath_Swami.mp3</v>
      </c>
      <c r="D6819" s="24"/>
      <c r="E6819" s="24"/>
    </row>
    <row r="6820">
      <c r="A6820" s="25" t="s">
        <v>19078</v>
      </c>
      <c r="B6820" s="25" t="s">
        <v>19080</v>
      </c>
      <c r="C6820" s="26" t="str">
        <f t="shared" si="185"/>
        <v>IDT_Bhajans_-_Jaya_Radhe_Jaya_Krishna-01_-_Radhanath_Swami.mp3</v>
      </c>
      <c r="D6820" s="24"/>
      <c r="E6820" s="24"/>
    </row>
    <row r="6821">
      <c r="A6821" s="25" t="s">
        <v>19078</v>
      </c>
      <c r="B6821" s="25" t="s">
        <v>19080</v>
      </c>
      <c r="C6821" s="26" t="str">
        <f t="shared" ref="C6821:C6822" si="186">HYPERLINK("https://audio.iskcondesiretree.com/02_-_ISKCON_Swamis/ISKCON_Swamis_-_R_to_Y/His_Holiness_Radhanath_Swami/Bhajans/Vaishnava_Bhajans/IDT_Bhajans_-_Jaya_Radhe_Jaya_Krishna-02_-_Radhanath_Swami.mp3", "IDT_Bhajans_-_Jaya_Radhe_Jaya_Krishna-02_-_Radhanath_Swami.mp3")</f>
        <v>IDT_Bhajans_-_Jaya_Radhe_Jaya_Krishna-02_-_Radhanath_Swami.mp3</v>
      </c>
      <c r="D6821" s="24"/>
      <c r="E6821" s="24"/>
    </row>
    <row r="6822">
      <c r="A6822" s="25" t="s">
        <v>19078</v>
      </c>
      <c r="B6822" s="25" t="s">
        <v>19080</v>
      </c>
      <c r="C6822" s="26" t="str">
        <f t="shared" si="186"/>
        <v>IDT_Bhajans_-_Jaya_Radhe_Jaya_Krishna-02_-_Radhanath_Swami.mp3</v>
      </c>
      <c r="D6822" s="24"/>
      <c r="E6822" s="24"/>
    </row>
    <row r="6823">
      <c r="A6823" s="25" t="s">
        <v>19078</v>
      </c>
      <c r="B6823" s="25" t="s">
        <v>19080</v>
      </c>
      <c r="C6823" s="26" t="str">
        <f t="shared" ref="C6823:C6824" si="187">HYPERLINK("https://audio.iskcondesiretree.com/02_-_ISKCON_Swamis/ISKCON_Swamis_-_R_to_Y/His_Holiness_Radhanath_Swami/Bhajans/Vaishnava_Bhajans/IDT_Bhajans_-_Jaya_Radhey_Jaya_Radhey_Radhey_-_Radhanath_Swami_-_2005-10-01.mp3", "IDT_Bhajans_-_Jaya_Radhey_Jaya_Radhey_Radhey_-_Radhanath_Swami_-_2005-10-01.mp3")</f>
        <v>IDT_Bhajans_-_Jaya_Radhey_Jaya_Radhey_Radhey_-_Radhanath_Swami_-_2005-10-01.mp3</v>
      </c>
      <c r="D6823" s="24"/>
      <c r="E6823" s="24"/>
    </row>
    <row r="6824">
      <c r="A6824" s="25" t="s">
        <v>19078</v>
      </c>
      <c r="B6824" s="25" t="s">
        <v>19080</v>
      </c>
      <c r="C6824" s="26" t="str">
        <f t="shared" si="187"/>
        <v>IDT_Bhajans_-_Jaya_Radhey_Jaya_Radhey_Radhey_-_Radhanath_Swami_-_2005-10-01.mp3</v>
      </c>
      <c r="D6824" s="24"/>
      <c r="E6824" s="24"/>
    </row>
    <row r="6825">
      <c r="A6825" s="25" t="s">
        <v>19078</v>
      </c>
      <c r="B6825" s="25" t="s">
        <v>19080</v>
      </c>
      <c r="C6825" s="26" t="str">
        <f t="shared" ref="C6825:C6826" si="188">HYPERLINK("https://audio.iskcondesiretree.com/02_-_ISKCON_Swamis/ISKCON_Swamis_-_R_to_Y/His_Holiness_Radhanath_Swami/Bhajans/Vaishnava_Bhajans/IDT_Bhajans_-_Je_Anilo_Prema_Dhana_-_Radhanath_Swami.mp3", "IDT_Bhajans_-_Je_Anilo_Prema_Dhana_-_Radhanath_Swami.mp3")</f>
        <v>IDT_Bhajans_-_Je_Anilo_Prema_Dhana_-_Radhanath_Swami.mp3</v>
      </c>
      <c r="D6825" s="24"/>
      <c r="E6825" s="24"/>
    </row>
    <row r="6826">
      <c r="A6826" s="25" t="s">
        <v>19078</v>
      </c>
      <c r="B6826" s="25" t="s">
        <v>19080</v>
      </c>
      <c r="C6826" s="26" t="str">
        <f t="shared" si="188"/>
        <v>IDT_Bhajans_-_Je_Anilo_Prema_Dhana_-_Radhanath_Swami.mp3</v>
      </c>
      <c r="D6826" s="24"/>
      <c r="E6826" s="24"/>
    </row>
    <row r="6827">
      <c r="A6827" s="25" t="s">
        <v>19078</v>
      </c>
      <c r="B6827" s="25" t="s">
        <v>19080</v>
      </c>
      <c r="C6827" s="26" t="str">
        <f t="shared" ref="C6827:C6828" si="189">HYPERLINK("https://audio.iskcondesiretree.com/02_-_ISKCON_Swamis/ISKCON_Swamis_-_R_to_Y/His_Holiness_Radhanath_Swami/Bhajans/Vaishnava_Bhajans/IDT_Bhajans_-_Je_Anilo_Premadhan_-_2011-10-30_Radhanath_Swami_Govardhan.MP3", "IDT_Bhajans_-_Je_Anilo_Premadhan_-_2011-10-30_Radhanath_Swami_Govardhan.MP3")</f>
        <v>IDT_Bhajans_-_Je_Anilo_Premadhan_-_2011-10-30_Radhanath_Swami_Govardhan.MP3</v>
      </c>
      <c r="D6827" s="24"/>
      <c r="E6827" s="24"/>
    </row>
    <row r="6828">
      <c r="A6828" s="25" t="s">
        <v>19078</v>
      </c>
      <c r="B6828" s="25" t="s">
        <v>19080</v>
      </c>
      <c r="C6828" s="26" t="str">
        <f t="shared" si="189"/>
        <v>IDT_Bhajans_-_Je_Anilo_Premadhan_-_2011-10-30_Radhanath_Swami_Govardhan.MP3</v>
      </c>
      <c r="D6828" s="24"/>
      <c r="E6828" s="24"/>
    </row>
    <row r="6829">
      <c r="A6829" s="25" t="s">
        <v>19078</v>
      </c>
      <c r="B6829" s="25" t="s">
        <v>19080</v>
      </c>
      <c r="C6829" s="26" t="str">
        <f t="shared" ref="C6829:C6830" si="190">HYPERLINK("https://audio.iskcondesiretree.com/02_-_ISKCON_Swamis/ISKCON_Swamis_-_R_to_Y/His_Holiness_Radhanath_Swami/Bhajans/Vaishnava_Bhajans/IDT_Bhajans_-_Kadacit_Kalindi_Tata_Vipina-01_-_Radhanath_Swami.mp3", "IDT_Bhajans_-_Kadacit_Kalindi_Tata_Vipina-01_-_Radhanath_Swami.mp3")</f>
        <v>IDT_Bhajans_-_Kadacit_Kalindi_Tata_Vipina-01_-_Radhanath_Swami.mp3</v>
      </c>
      <c r="D6829" s="24"/>
      <c r="E6829" s="24"/>
    </row>
    <row r="6830">
      <c r="A6830" s="25" t="s">
        <v>19078</v>
      </c>
      <c r="B6830" s="25" t="s">
        <v>19080</v>
      </c>
      <c r="C6830" s="26" t="str">
        <f t="shared" si="190"/>
        <v>IDT_Bhajans_-_Kadacit_Kalindi_Tata_Vipina-01_-_Radhanath_Swami.mp3</v>
      </c>
      <c r="D6830" s="24"/>
      <c r="E6830" s="24"/>
    </row>
    <row r="6831">
      <c r="A6831" s="25" t="s">
        <v>19078</v>
      </c>
      <c r="B6831" s="25" t="s">
        <v>19080</v>
      </c>
      <c r="C6831" s="26" t="str">
        <f t="shared" ref="C6831:C6832" si="191">HYPERLINK("https://audio.iskcondesiretree.com/02_-_ISKCON_Swamis/ISKCON_Swamis_-_R_to_Y/His_Holiness_Radhanath_Swami/Bhajans/Vaishnava_Bhajans/IDT_Bhajans_-_Kadacit_Kalindi_Tata_Vipina-02_-_Radhanath_Swami.mp3", "IDT_Bhajans_-_Kadacit_Kalindi_Tata_Vipina-02_-_Radhanath_Swami.mp3")</f>
        <v>IDT_Bhajans_-_Kadacit_Kalindi_Tata_Vipina-02_-_Radhanath_Swami.mp3</v>
      </c>
      <c r="D6831" s="24"/>
      <c r="E6831" s="24"/>
    </row>
    <row r="6832">
      <c r="A6832" s="25" t="s">
        <v>19078</v>
      </c>
      <c r="B6832" s="25" t="s">
        <v>19080</v>
      </c>
      <c r="C6832" s="26" t="str">
        <f t="shared" si="191"/>
        <v>IDT_Bhajans_-_Kadacit_Kalindi_Tata_Vipina-02_-_Radhanath_Swami.mp3</v>
      </c>
      <c r="D6832" s="24"/>
      <c r="E6832" s="24"/>
    </row>
    <row r="6833">
      <c r="A6833" s="25" t="s">
        <v>19078</v>
      </c>
      <c r="B6833" s="25" t="s">
        <v>19080</v>
      </c>
      <c r="C6833" s="26" t="str">
        <f t="shared" ref="C6833:C6834" si="192">HYPERLINK("https://audio.iskcondesiretree.com/02_-_ISKCON_Swamis/ISKCON_Swamis_-_R_to_Y/His_Holiness_Radhanath_Swami/Bhajans/Vaishnava_Bhajans/IDT_Bhajans_-_Kali_Kukkur_Kadan_-_Radhanath_Swami.mp3", "IDT_Bhajans_-_Kali_Kukkur_Kadan_-_Radhanath_Swami.mp3")</f>
        <v>IDT_Bhajans_-_Kali_Kukkur_Kadan_-_Radhanath_Swami.mp3</v>
      </c>
      <c r="D6833" s="24"/>
      <c r="E6833" s="24"/>
    </row>
    <row r="6834">
      <c r="A6834" s="25" t="s">
        <v>19078</v>
      </c>
      <c r="B6834" s="25" t="s">
        <v>19080</v>
      </c>
      <c r="C6834" s="26" t="str">
        <f t="shared" si="192"/>
        <v>IDT_Bhajans_-_Kali_Kukkur_Kadan_-_Radhanath_Swami.mp3</v>
      </c>
      <c r="D6834" s="24"/>
      <c r="E6834" s="24"/>
    </row>
    <row r="6835">
      <c r="A6835" s="25" t="s">
        <v>19078</v>
      </c>
      <c r="B6835" s="25" t="s">
        <v>19080</v>
      </c>
      <c r="C6835" s="26" t="str">
        <f t="shared" ref="C6835:C6836" si="193">HYPERLINK("https://audio.iskcondesiretree.com/02_-_ISKCON_Swamis/ISKCON_Swamis_-_R_to_Y/His_Holiness_Radhanath_Swami/Bhajans/Vaishnava_Bhajans/IDT_Bhajans_-_Kali_Kukkura_-_2009_Radhanath_Sw_Mayapur.mp3", "IDT_Bhajans_-_Kali_Kukkura_-_2009_Radhanath_Sw_Mayapur.mp3")</f>
        <v>IDT_Bhajans_-_Kali_Kukkura_-_2009_Radhanath_Sw_Mayapur.mp3</v>
      </c>
      <c r="D6835" s="24"/>
      <c r="E6835" s="24"/>
    </row>
    <row r="6836">
      <c r="A6836" s="25" t="s">
        <v>19078</v>
      </c>
      <c r="B6836" s="25" t="s">
        <v>19080</v>
      </c>
      <c r="C6836" s="26" t="str">
        <f t="shared" si="193"/>
        <v>IDT_Bhajans_-_Kali_Kukkura_-_2009_Radhanath_Sw_Mayapur.mp3</v>
      </c>
      <c r="D6836" s="24"/>
      <c r="E6836" s="24"/>
    </row>
    <row r="6837">
      <c r="A6837" s="25" t="s">
        <v>19078</v>
      </c>
      <c r="B6837" s="25" t="s">
        <v>19080</v>
      </c>
      <c r="C6837" s="26" t="str">
        <f t="shared" ref="C6837:C6838" si="194">HYPERLINK("https://audio.iskcondesiretree.com/02_-_ISKCON_Swamis/ISKCON_Swamis_-_R_to_Y/His_Holiness_Radhanath_Swami/Bhajans/Vaishnava_Bhajans/IDT_Bhajans_-_Nadiya_Godrume_Nityanand_Mahajan_-_Radhanath_Swami.mp3", "IDT_Bhajans_-_Nadiya_Godrume_Nityanand_Mahajan_-_Radhanath_Swami.mp3")</f>
        <v>IDT_Bhajans_-_Nadiya_Godrume_Nityanand_Mahajan_-_Radhanath_Swami.mp3</v>
      </c>
      <c r="D6837" s="24"/>
      <c r="E6837" s="24"/>
    </row>
    <row r="6838">
      <c r="A6838" s="25" t="s">
        <v>19078</v>
      </c>
      <c r="B6838" s="25" t="s">
        <v>19080</v>
      </c>
      <c r="C6838" s="26" t="str">
        <f t="shared" si="194"/>
        <v>IDT_Bhajans_-_Nadiya_Godrume_Nityanand_Mahajan_-_Radhanath_Swami.mp3</v>
      </c>
      <c r="D6838" s="24"/>
      <c r="E6838" s="24"/>
    </row>
    <row r="6839">
      <c r="A6839" s="25" t="s">
        <v>19078</v>
      </c>
      <c r="B6839" s="25" t="s">
        <v>19080</v>
      </c>
      <c r="C6839" s="26" t="str">
        <f t="shared" ref="C6839:C6840" si="195">HYPERLINK("https://audio.iskcondesiretree.com/02_-_ISKCON_Swamis/ISKCON_Swamis_-_R_to_Y/His_Holiness_Radhanath_Swami/Bhajans/Vaishnava_Bhajans/IDT_Bhajans_-_Nadiya_Godrume_Nityanand_Mahajana_-_Radhanath_Swami.mp3", "IDT_Bhajans_-_Nadiya_Godrume_Nityanand_Mahajana_-_Radhanath_Swami.mp3")</f>
        <v>IDT_Bhajans_-_Nadiya_Godrume_Nityanand_Mahajana_-_Radhanath_Swami.mp3</v>
      </c>
      <c r="D6839" s="24"/>
      <c r="E6839" s="24"/>
    </row>
    <row r="6840">
      <c r="A6840" s="25" t="s">
        <v>19078</v>
      </c>
      <c r="B6840" s="25" t="s">
        <v>19080</v>
      </c>
      <c r="C6840" s="26" t="str">
        <f t="shared" si="195"/>
        <v>IDT_Bhajans_-_Nadiya_Godrume_Nityanand_Mahajana_-_Radhanath_Swami.mp3</v>
      </c>
      <c r="D6840" s="24"/>
      <c r="E6840" s="24"/>
    </row>
    <row r="6841">
      <c r="A6841" s="25" t="s">
        <v>19078</v>
      </c>
      <c r="B6841" s="25" t="s">
        <v>19080</v>
      </c>
      <c r="C6841" s="26" t="str">
        <f t="shared" ref="C6841:C6842" si="196">HYPERLINK("https://audio.iskcondesiretree.com/02_-_ISKCON_Swamis/ISKCON_Swamis_-_R_to_Y/His_Holiness_Radhanath_Swami/Bhajans/Vaishnava_Bhajans/IDT_Bhajans_-_Nadiya_Godrume_Nityananda_Mahajan_-_2009_Radhanath_Sw_Mayapur.mp3", "IDT_Bhajans_-_Nadiya_Godrume_Nityananda_Mahajan_-_2009_Radhanath_Sw_Mayapur.mp3")</f>
        <v>IDT_Bhajans_-_Nadiya_Godrume_Nityananda_Mahajan_-_2009_Radhanath_Sw_Mayapur.mp3</v>
      </c>
      <c r="D6841" s="24"/>
      <c r="E6841" s="24"/>
    </row>
    <row r="6842">
      <c r="A6842" s="25" t="s">
        <v>19078</v>
      </c>
      <c r="B6842" s="25" t="s">
        <v>19080</v>
      </c>
      <c r="C6842" s="26" t="str">
        <f t="shared" si="196"/>
        <v>IDT_Bhajans_-_Nadiya_Godrume_Nityananda_Mahajan_-_2009_Radhanath_Sw_Mayapur.mp3</v>
      </c>
      <c r="D6842" s="24"/>
      <c r="E6842" s="24"/>
    </row>
    <row r="6843">
      <c r="A6843" s="25" t="s">
        <v>19078</v>
      </c>
      <c r="B6843" s="25" t="s">
        <v>19080</v>
      </c>
      <c r="C6843" s="26" t="str">
        <f t="shared" ref="C6843:C6844" si="197">HYPERLINK("https://audio.iskcondesiretree.com/02_-_ISKCON_Swamis/ISKCON_Swamis_-_R_to_Y/His_Holiness_Radhanath_Swami/Bhajans/Vaishnava_Bhajans/IDT_Bhajans_-_Param_Karuna_Nityananda_Trayodashi_Festivals_-_2012-02-05_Radhanath_Swami_ISKCON_Kolkata.mp3", "IDT_Bhajans_-_Param_Karuna_Nityananda_Trayodashi_Festivals_-_2012-02-05_Radhanath_Swami_ISKCON_Kolkata.mp3")</f>
        <v>IDT_Bhajans_-_Param_Karuna_Nityananda_Trayodashi_Festivals_-_2012-02-05_Radhanath_Swami_ISKCON_Kolkata.mp3</v>
      </c>
      <c r="D6843" s="24"/>
      <c r="E6843" s="24"/>
    </row>
    <row r="6844">
      <c r="A6844" s="25" t="s">
        <v>19078</v>
      </c>
      <c r="B6844" s="25" t="s">
        <v>19080</v>
      </c>
      <c r="C6844" s="26" t="str">
        <f t="shared" si="197"/>
        <v>IDT_Bhajans_-_Param_Karuna_Nityananda_Trayodashi_Festivals_-_2012-02-05_Radhanath_Swami_ISKCON_Kolkata.mp3</v>
      </c>
      <c r="D6844" s="24"/>
      <c r="E6844" s="24"/>
    </row>
    <row r="6845">
      <c r="A6845" s="25" t="s">
        <v>19078</v>
      </c>
      <c r="B6845" s="25" t="s">
        <v>19080</v>
      </c>
      <c r="C6845" s="26" t="str">
        <f t="shared" ref="C6845:C6846" si="198">HYPERLINK("https://audio.iskcondesiretree.com/02_-_ISKCON_Swamis/ISKCON_Swamis_-_R_to_Y/His_Holiness_Radhanath_Swami/Bhajans/Vaishnava_Bhajans/IDT_Bhajans_-_Radha_Krishna_Praan_Mora_-_Radhanath_Swami.mp3", "IDT_Bhajans_-_Radha_Krishna_Praan_Mora_-_Radhanath_Swami.mp3")</f>
        <v>IDT_Bhajans_-_Radha_Krishna_Praan_Mora_-_Radhanath_Swami.mp3</v>
      </c>
      <c r="D6845" s="24"/>
      <c r="E6845" s="24"/>
    </row>
    <row r="6846">
      <c r="A6846" s="25" t="s">
        <v>19078</v>
      </c>
      <c r="B6846" s="25" t="s">
        <v>19080</v>
      </c>
      <c r="C6846" s="26" t="str">
        <f t="shared" si="198"/>
        <v>IDT_Bhajans_-_Radha_Krishna_Praan_Mora_-_Radhanath_Swami.mp3</v>
      </c>
      <c r="D6846" s="24"/>
      <c r="E6846" s="24"/>
    </row>
    <row r="6847">
      <c r="A6847" s="25" t="s">
        <v>19078</v>
      </c>
      <c r="B6847" s="25" t="s">
        <v>19080</v>
      </c>
      <c r="C6847" s="26" t="str">
        <f t="shared" ref="C6847:C6848" si="199">HYPERLINK("https://audio.iskcondesiretree.com/02_-_ISKCON_Swamis/ISKCON_Swamis_-_R_to_Y/His_Holiness_Radhanath_Swami/Bhajans/Vaishnava_Bhajans/IDT_Bhajans_-_Radhanath_Sw_Bhajans_-_Ami_jamuna_puline_kadamba-kanane_-_Radhanath_Swami.mp3", "IDT_Bhajans_-_Radhanath_Sw_Bhajans_-_Ami_jamuna_puline_kadamba-kanane_-_Radhanath_Swami.mp3")</f>
        <v>IDT_Bhajans_-_Radhanath_Sw_Bhajans_-_Ami_jamuna_puline_kadamba-kanane_-_Radhanath_Swami.mp3</v>
      </c>
      <c r="D6847" s="24"/>
      <c r="E6847" s="24"/>
    </row>
    <row r="6848">
      <c r="A6848" s="25" t="s">
        <v>19078</v>
      </c>
      <c r="B6848" s="25" t="s">
        <v>19080</v>
      </c>
      <c r="C6848" s="26" t="str">
        <f t="shared" si="199"/>
        <v>IDT_Bhajans_-_Radhanath_Sw_Bhajans_-_Ami_jamuna_puline_kadamba-kanane_-_Radhanath_Swami.mp3</v>
      </c>
      <c r="D6848" s="24"/>
      <c r="E6848" s="24"/>
    </row>
    <row r="6849">
      <c r="A6849" s="25" t="s">
        <v>19078</v>
      </c>
      <c r="B6849" s="25" t="s">
        <v>19080</v>
      </c>
      <c r="C6849" s="26" t="str">
        <f t="shared" ref="C6849:C6850" si="200">HYPERLINK("https://audio.iskcondesiretree.com/02_-_ISKCON_Swamis/ISKCON_Swamis_-_R_to_Y/His_Holiness_Radhanath_Swami/Bhajans/Vaishnava_Bhajans/IDT_Bhajans_-_Radhe_Jaya_Jaya_Madhava_Dayite_-_Radhanath_Swami.mp3", "IDT_Bhajans_-_Radhe_Jaya_Jaya_Madhava_Dayite_-_Radhanath_Swami.mp3")</f>
        <v>IDT_Bhajans_-_Radhe_Jaya_Jaya_Madhava_Dayite_-_Radhanath_Swami.mp3</v>
      </c>
      <c r="D6849" s="24"/>
      <c r="E6849" s="24"/>
    </row>
    <row r="6850">
      <c r="A6850" s="25" t="s">
        <v>19078</v>
      </c>
      <c r="B6850" s="25" t="s">
        <v>19080</v>
      </c>
      <c r="C6850" s="26" t="str">
        <f t="shared" si="200"/>
        <v>IDT_Bhajans_-_Radhe_Jaya_Jaya_Madhava_Dayite_-_Radhanath_Swami.mp3</v>
      </c>
      <c r="D6850" s="24"/>
      <c r="E6850" s="24"/>
    </row>
    <row r="6851">
      <c r="A6851" s="25" t="s">
        <v>19078</v>
      </c>
      <c r="B6851" s="25" t="s">
        <v>19080</v>
      </c>
      <c r="C6851" s="26" t="str">
        <f t="shared" ref="C6851:C6852" si="201">HYPERLINK("https://audio.iskcondesiretree.com/02_-_ISKCON_Swamis/ISKCON_Swamis_-_R_to_Y/His_Holiness_Radhanath_Swami/Bhajans/Vaishnava_Bhajans/IDT_Bhajans_-_Radhe_Radhe_Govinda_Govinda_Radhe_-_Radhanath_Swami.mp3", "IDT_Bhajans_-_Radhe_Radhe_Govinda_Govinda_Radhe_-_Radhanath_Swami.mp3")</f>
        <v>IDT_Bhajans_-_Radhe_Radhe_Govinda_Govinda_Radhe_-_Radhanath_Swami.mp3</v>
      </c>
      <c r="D6851" s="24"/>
      <c r="E6851" s="24"/>
    </row>
    <row r="6852">
      <c r="A6852" s="25" t="s">
        <v>19078</v>
      </c>
      <c r="B6852" s="25" t="s">
        <v>19080</v>
      </c>
      <c r="C6852" s="26" t="str">
        <f t="shared" si="201"/>
        <v>IDT_Bhajans_-_Radhe_Radhe_Govinda_Govinda_Radhe_-_Radhanath_Swami.mp3</v>
      </c>
      <c r="D6852" s="24"/>
      <c r="E6852" s="24"/>
    </row>
    <row r="6853">
      <c r="A6853" s="25" t="s">
        <v>19078</v>
      </c>
      <c r="B6853" s="25" t="s">
        <v>19080</v>
      </c>
      <c r="C6853" s="26" t="str">
        <f t="shared" ref="C6853:C6854" si="202">HYPERLINK("https://audio.iskcondesiretree.com/02_-_ISKCON_Swamis/ISKCON_Swamis_-_R_to_Y/His_Holiness_Radhanath_Swami/Bhajans/Vaishnava_Bhajans/IDT_Bhajans_-_Sachisutastakam_-_Radhanath_Swami_-_2012-03-08_ISKCON_Chowpatty.mp3", "IDT_Bhajans_-_Sachisutastakam_-_Radhanath_Swami_-_2012-03-08_ISKCON_Chowpatty.mp3")</f>
        <v>IDT_Bhajans_-_Sachisutastakam_-_Radhanath_Swami_-_2012-03-08_ISKCON_Chowpatty.mp3</v>
      </c>
      <c r="D6853" s="24"/>
      <c r="E6853" s="24"/>
    </row>
    <row r="6854">
      <c r="A6854" s="25" t="s">
        <v>19078</v>
      </c>
      <c r="B6854" s="25" t="s">
        <v>19080</v>
      </c>
      <c r="C6854" s="26" t="str">
        <f t="shared" si="202"/>
        <v>IDT_Bhajans_-_Sachisutastakam_-_Radhanath_Swami_-_2012-03-08_ISKCON_Chowpatty.mp3</v>
      </c>
      <c r="D6854" s="24"/>
      <c r="E6854" s="24"/>
    </row>
    <row r="6855">
      <c r="A6855" s="25" t="s">
        <v>19078</v>
      </c>
      <c r="B6855" s="25" t="s">
        <v>19080</v>
      </c>
      <c r="C6855" s="26" t="str">
        <f t="shared" ref="C6855:C6856" si="203">HYPERLINK("https://audio.iskcondesiretree.com/02_-_ISKCON_Swamis/ISKCON_Swamis_-_R_to_Y/His_Holiness_Radhanath_Swami/Bhajans/Vaishnava_Bhajans/IDT_Bhajans_-_Sri_Krishna_Caitanya_Doya_Koro_More_-_Radhanath_Swami.mp3", "IDT_Bhajans_-_Sri_Krishna_Caitanya_Doya_Koro_More_-_Radhanath_Swami.mp3")</f>
        <v>IDT_Bhajans_-_Sri_Krishna_Caitanya_Doya_Koro_More_-_Radhanath_Swami.mp3</v>
      </c>
      <c r="D6855" s="24"/>
      <c r="E6855" s="24"/>
    </row>
    <row r="6856">
      <c r="A6856" s="25" t="s">
        <v>19078</v>
      </c>
      <c r="B6856" s="25" t="s">
        <v>19080</v>
      </c>
      <c r="C6856" s="26" t="str">
        <f t="shared" si="203"/>
        <v>IDT_Bhajans_-_Sri_Krishna_Caitanya_Doya_Koro_More_-_Radhanath_Swami.mp3</v>
      </c>
      <c r="D6856" s="24"/>
      <c r="E6856" s="24"/>
    </row>
    <row r="6857">
      <c r="A6857" s="25" t="s">
        <v>19078</v>
      </c>
      <c r="B6857" s="25" t="s">
        <v>19080</v>
      </c>
      <c r="C6857" s="26" t="str">
        <f t="shared" ref="C6857:C6858" si="204">HYPERLINK("https://audio.iskcondesiretree.com/02_-_ISKCON_Swamis/ISKCON_Swamis_-_R_to_Y/His_Holiness_Radhanath_Swami/Bhajans/Vaishnava_Bhajans/IDT_Bhajans_-_Sri_Sacisuta_Astakam_-_Radhanath_Swami.mp3", "IDT_Bhajans_-_Sri_Sacisuta_Astakam_-_Radhanath_Swami.mp3")</f>
        <v>IDT_Bhajans_-_Sri_Sacisuta_Astakam_-_Radhanath_Swami.mp3</v>
      </c>
      <c r="D6857" s="24"/>
      <c r="E6857" s="24"/>
    </row>
    <row r="6858">
      <c r="A6858" s="25" t="s">
        <v>19078</v>
      </c>
      <c r="B6858" s="25" t="s">
        <v>19080</v>
      </c>
      <c r="C6858" s="26" t="str">
        <f t="shared" si="204"/>
        <v>IDT_Bhajans_-_Sri_Sacisuta_Astakam_-_Radhanath_Swami.mp3</v>
      </c>
      <c r="D6858" s="24"/>
      <c r="E6858" s="24"/>
    </row>
    <row r="6859">
      <c r="A6859" s="25" t="s">
        <v>19078</v>
      </c>
      <c r="B6859" s="25" t="s">
        <v>19080</v>
      </c>
      <c r="C6859" s="26" t="str">
        <f t="shared" ref="C6859:C6860" si="205">HYPERLINK("https://audio.iskcondesiretree.com/02_-_ISKCON_Swamis/ISKCON_Swamis_-_R_to_Y/His_Holiness_Radhanath_Swami/Bhajans/Vaishnava_Bhajans/IDT_Bhajans_-_Sundara_Kundala_Naina_Visala-01_-_Radhanath_Swami.mp3", "IDT_Bhajans_-_Sundara_Kundala_Naina_Visala-01_-_Radhanath_Swami.mp3")</f>
        <v>IDT_Bhajans_-_Sundara_Kundala_Naina_Visala-01_-_Radhanath_Swami.mp3</v>
      </c>
      <c r="D6859" s="24"/>
      <c r="E6859" s="24"/>
    </row>
    <row r="6860">
      <c r="A6860" s="25" t="s">
        <v>19078</v>
      </c>
      <c r="B6860" s="25" t="s">
        <v>19080</v>
      </c>
      <c r="C6860" s="26" t="str">
        <f t="shared" si="205"/>
        <v>IDT_Bhajans_-_Sundara_Kundala_Naina_Visala-01_-_Radhanath_Swami.mp3</v>
      </c>
      <c r="D6860" s="24"/>
      <c r="E6860" s="24"/>
    </row>
    <row r="6861">
      <c r="A6861" s="25" t="s">
        <v>19078</v>
      </c>
      <c r="B6861" s="25" t="s">
        <v>19080</v>
      </c>
      <c r="C6861" s="26" t="str">
        <f t="shared" ref="C6861:C6862" si="206">HYPERLINK("https://audio.iskcondesiretree.com/02_-_ISKCON_Swamis/ISKCON_Swamis_-_R_to_Y/His_Holiness_Radhanath_Swami/Bhajans/Vaishnava_Bhajans/IDT_Bhajans_-_Vande_Krishna_Nanda_-_Radhanath_Swami.mp3", "IDT_Bhajans_-_Vande_Krishna_Nanda_-_Radhanath_Swami.mp3")</f>
        <v>IDT_Bhajans_-_Vande_Krishna_Nanda_-_Radhanath_Swami.mp3</v>
      </c>
      <c r="D6861" s="24"/>
      <c r="E6861" s="24"/>
    </row>
    <row r="6862">
      <c r="A6862" s="25" t="s">
        <v>19078</v>
      </c>
      <c r="B6862" s="25" t="s">
        <v>19080</v>
      </c>
      <c r="C6862" s="26" t="str">
        <f t="shared" si="206"/>
        <v>IDT_Bhajans_-_Vande_Krishna_Nanda_-_Radhanath_Swami.mp3</v>
      </c>
      <c r="D6862" s="24"/>
      <c r="E6862" s="24"/>
    </row>
    <row r="6863">
      <c r="A6863" s="25" t="s">
        <v>19078</v>
      </c>
      <c r="B6863" s="25" t="s">
        <v>19080</v>
      </c>
      <c r="C6863" s="26" t="str">
        <f t="shared" ref="C6863:C6864" si="207">HYPERLINK("https://audio.iskcondesiretree.com/02_-_ISKCON_Swamis/ISKCON_Swamis_-_R_to_Y/His_Holiness_Radhanath_Swami/Bhajans/Vaishnava_Bhajans/IDT_Bhajans_-_Vande_Krsna_Nanda_Kumara_-_Radhanath_Swami.mp3", "IDT_Bhajans_-_Vande_Krsna_Nanda_Kumara_-_Radhanath_Swami.mp3")</f>
        <v>IDT_Bhajans_-_Vande_Krsna_Nanda_Kumara_-_Radhanath_Swami.mp3</v>
      </c>
      <c r="D6863" s="24"/>
      <c r="E6863" s="24"/>
    </row>
    <row r="6864">
      <c r="A6864" s="25" t="s">
        <v>19078</v>
      </c>
      <c r="B6864" s="25" t="s">
        <v>19080</v>
      </c>
      <c r="C6864" s="26" t="str">
        <f t="shared" si="207"/>
        <v>IDT_Bhajans_-_Vande_Krsna_Nanda_Kumara_-_Radhanath_Swami.mp3</v>
      </c>
      <c r="D6864" s="24"/>
      <c r="E6864" s="24"/>
    </row>
    <row r="6865">
      <c r="A6865" s="25" t="s">
        <v>19078</v>
      </c>
      <c r="B6865" s="25" t="s">
        <v>19080</v>
      </c>
      <c r="C6865" s="26" t="str">
        <f t="shared" ref="C6865:C6866" si="208">HYPERLINK("https://audio.iskcondesiretree.com/02_-_ISKCON_Swamis/ISKCON_Swamis_-_R_to_Y/His_Holiness_Radhanath_Swami/Bhajans/Vaishnava_Bhajans/IDT_Bhajans_-_Yashomati_Nandan_-_Radhanath_Swami.mp3", "IDT_Bhajans_-_Yashomati_Nandan_-_Radhanath_Swami.mp3")</f>
        <v>IDT_Bhajans_-_Yashomati_Nandan_-_Radhanath_Swami.mp3</v>
      </c>
      <c r="D6865" s="24"/>
      <c r="E6865" s="24"/>
    </row>
    <row r="6866">
      <c r="A6866" s="25" t="s">
        <v>19078</v>
      </c>
      <c r="B6866" s="25" t="s">
        <v>19080</v>
      </c>
      <c r="C6866" s="26" t="str">
        <f t="shared" si="208"/>
        <v>IDT_Bhajans_-_Yashomati_Nandan_-_Radhanath_Swami.mp3</v>
      </c>
      <c r="D6866" s="24"/>
      <c r="E6866" s="24"/>
    </row>
    <row r="6867">
      <c r="A6867" s="25" t="s">
        <v>19078</v>
      </c>
      <c r="B6867" s="25" t="s">
        <v>19080</v>
      </c>
      <c r="C6867" s="26" t="str">
        <f t="shared" ref="C6867:C6868" si="209">HYPERLINK("https://audio.iskcondesiretree.com/02_-_ISKCON_Swamis/ISKCON_Swamis_-_R_to_Y/His_Holiness_Radhanath_Swami/Bhajans/Vaishnava_Bhajans/IDT_Bhajans_-_Yashomati_Nandana_-_Radhanath_Swami.mp3", "IDT_Bhajans_-_Yashomati_Nandana_-_Radhanath_Swami.mp3")</f>
        <v>IDT_Bhajans_-_Yashomati_Nandana_-_Radhanath_Swami.mp3</v>
      </c>
      <c r="D6867" s="24"/>
      <c r="E6867" s="24"/>
    </row>
    <row r="6868">
      <c r="A6868" s="25" t="s">
        <v>19078</v>
      </c>
      <c r="B6868" s="25" t="s">
        <v>19080</v>
      </c>
      <c r="C6868" s="26" t="str">
        <f t="shared" si="209"/>
        <v>IDT_Bhajans_-_Yashomati_Nandana_-_Radhanath_Swami.mp3</v>
      </c>
      <c r="D6868" s="24"/>
      <c r="E6868" s="24"/>
    </row>
    <row r="6869">
      <c r="A6869" s="25" t="s">
        <v>19078</v>
      </c>
      <c r="B6869" s="25" t="s">
        <v>19080</v>
      </c>
      <c r="C6869" s="26" t="str">
        <f t="shared" ref="C6869:C6870" si="210">HYPERLINK("https://audio.iskcondesiretree.com/02_-_ISKCON_Swamis/ISKCON_Swamis_-_R_to_Y/His_Holiness_Radhanath_Swami/Bhajans/Vaishnava_Bhajans/IDT_Bhajans_-_Yashomatnandan_-_Radhanath_Swami.mp3", "IDT_Bhajans_-_Yashomatnandan_-_Radhanath_Swami.mp3")</f>
        <v>IDT_Bhajans_-_Yashomatnandan_-_Radhanath_Swami.mp3</v>
      </c>
      <c r="D6869" s="24"/>
      <c r="E6869" s="24"/>
    </row>
    <row r="6870">
      <c r="A6870" s="25" t="s">
        <v>19078</v>
      </c>
      <c r="B6870" s="25" t="s">
        <v>19080</v>
      </c>
      <c r="C6870" s="26" t="str">
        <f t="shared" si="210"/>
        <v>IDT_Bhajans_-_Yashomatnandan_-_Radhanath_Swami.mp3</v>
      </c>
      <c r="D6870" s="24"/>
      <c r="E6870" s="24"/>
    </row>
    <row r="6871">
      <c r="A6871" s="25" t="s">
        <v>19078</v>
      </c>
      <c r="B6871" s="25" t="s">
        <v>19080</v>
      </c>
      <c r="C6871" s="26" t="str">
        <f t="shared" ref="C6871:C6872" si="211">HYPERLINK("https://audio.iskcondesiretree.com/02_-_ISKCON_Swamis/ISKCON_Swamis_-_R_to_Y/His_Holiness_Radhanath_Swami/Bhajans/Vaishnava_Bhajans/Jagannathashtakam_-_Radhanath_Swami.mp3", "Jagannathashtakam_-_Radhanath_Swami.mp3")</f>
        <v>Jagannathashtakam_-_Radhanath_Swami.mp3</v>
      </c>
      <c r="D6871" s="24"/>
      <c r="E6871" s="24"/>
    </row>
    <row r="6872">
      <c r="A6872" s="25" t="s">
        <v>19078</v>
      </c>
      <c r="B6872" s="25" t="s">
        <v>19080</v>
      </c>
      <c r="C6872" s="26" t="str">
        <f t="shared" si="211"/>
        <v>Jagannathashtakam_-_Radhanath_Swami.mp3</v>
      </c>
      <c r="D6872" s="24"/>
      <c r="E6872" s="24"/>
    </row>
    <row r="6873">
      <c r="A6873" s="25" t="s">
        <v>19078</v>
      </c>
      <c r="B6873" s="25" t="s">
        <v>19080</v>
      </c>
      <c r="C6873" s="26" t="str">
        <f t="shared" ref="C6873:C6874" si="212">HYPERLINK("https://audio.iskcondesiretree.com/02_-_ISKCON_Swamis/ISKCON_Swamis_-_R_to_Y/His_Holiness_Radhanath_Swami/Bhajans/Vaishnava_Bhajans/Jaya_Jaya_Jagannatha_Sacira_Nandan_-_Radhanath_Swami.mp3", "Jaya_Jaya_Jagannatha_Sacira_Nandan_-_Radhanath_Swami.mp3")</f>
        <v>Jaya_Jaya_Jagannatha_Sacira_Nandan_-_Radhanath_Swami.mp3</v>
      </c>
      <c r="D6873" s="24"/>
      <c r="E6873" s="24"/>
    </row>
    <row r="6874">
      <c r="A6874" s="25" t="s">
        <v>19078</v>
      </c>
      <c r="B6874" s="25" t="s">
        <v>19080</v>
      </c>
      <c r="C6874" s="26" t="str">
        <f t="shared" si="212"/>
        <v>Jaya_Jaya_Jagannatha_Sacira_Nandan_-_Radhanath_Swami.mp3</v>
      </c>
      <c r="D6874" s="24"/>
      <c r="E6874" s="24"/>
    </row>
    <row r="6875">
      <c r="A6875" s="25" t="s">
        <v>19078</v>
      </c>
      <c r="B6875" s="25" t="s">
        <v>19080</v>
      </c>
      <c r="C6875" s="26" t="str">
        <f t="shared" ref="C6875:C6876" si="213">HYPERLINK("https://audio.iskcondesiretree.com/02_-_ISKCON_Swamis/ISKCON_Swamis_-_R_to_Y/His_Holiness_Radhanath_Swami/Bhajans/Vaishnava_Bhajans/Jaya_Radha_Madhava_-_Radhanath_Swami.mp3", "Jaya_Radha_Madhava_-_Radhanath_Swami.mp3")</f>
        <v>Jaya_Radha_Madhava_-_Radhanath_Swami.mp3</v>
      </c>
      <c r="D6875" s="24"/>
      <c r="E6875" s="24"/>
    </row>
    <row r="6876">
      <c r="A6876" s="25" t="s">
        <v>19078</v>
      </c>
      <c r="B6876" s="25" t="s">
        <v>19080</v>
      </c>
      <c r="C6876" s="26" t="str">
        <f t="shared" si="213"/>
        <v>Jaya_Radha_Madhava_-_Radhanath_Swami.mp3</v>
      </c>
      <c r="D6876" s="24"/>
      <c r="E6876" s="24"/>
    </row>
    <row r="6877">
      <c r="A6877" s="25" t="s">
        <v>19078</v>
      </c>
      <c r="B6877" s="25" t="s">
        <v>19080</v>
      </c>
      <c r="C6877" s="26" t="str">
        <f t="shared" ref="C6877:C6878" si="214">HYPERLINK("https://audio.iskcondesiretree.com/02_-_ISKCON_Swamis/ISKCON_Swamis_-_R_to_Y/His_Holiness_Radhanath_Swami/Bhajans/Vaishnava_Bhajans/Jaya_Radhe_Jaya_Krishna_Jaya_Vrindavana_-_Radhanath_Swami.mp3", "Jaya_Radhe_Jaya_Krishna_Jaya_Vrindavana_-_Radhanath_Swami.mp3")</f>
        <v>Jaya_Radhe_Jaya_Krishna_Jaya_Vrindavana_-_Radhanath_Swami.mp3</v>
      </c>
      <c r="D6877" s="24"/>
      <c r="E6877" s="24"/>
    </row>
    <row r="6878">
      <c r="A6878" s="25" t="s">
        <v>19078</v>
      </c>
      <c r="B6878" s="25" t="s">
        <v>19080</v>
      </c>
      <c r="C6878" s="26" t="str">
        <f t="shared" si="214"/>
        <v>Jaya_Radhe_Jaya_Krishna_Jaya_Vrindavana_-_Radhanath_Swami.mp3</v>
      </c>
      <c r="D6878" s="24"/>
      <c r="E6878" s="24"/>
    </row>
    <row r="6879">
      <c r="A6879" s="25" t="s">
        <v>19078</v>
      </c>
      <c r="B6879" s="25" t="s">
        <v>19080</v>
      </c>
      <c r="C6879" s="26" t="str">
        <f t="shared" ref="C6879:C6880" si="215">HYPERLINK("https://audio.iskcondesiretree.com/02_-_ISKCON_Swamis/ISKCON_Swamis_-_R_to_Y/His_Holiness_Radhanath_Swami/Bhajans/Vaishnava_Bhajans/Narasimha_Arati_-_Radhanath_Swami.mp3", "Narasimha_Arati_-_Radhanath_Swami.mp3")</f>
        <v>Narasimha_Arati_-_Radhanath_Swami.mp3</v>
      </c>
      <c r="D6879" s="24"/>
      <c r="E6879" s="24"/>
    </row>
    <row r="6880">
      <c r="A6880" s="25" t="s">
        <v>19078</v>
      </c>
      <c r="B6880" s="25" t="s">
        <v>19080</v>
      </c>
      <c r="C6880" s="26" t="str">
        <f t="shared" si="215"/>
        <v>Narasimha_Arati_-_Radhanath_Swami.mp3</v>
      </c>
      <c r="D6880" s="24"/>
      <c r="E6880" s="24"/>
    </row>
    <row r="6881">
      <c r="A6881" s="25" t="s">
        <v>19078</v>
      </c>
      <c r="B6881" s="25" t="s">
        <v>19080</v>
      </c>
      <c r="C6881" s="26" t="str">
        <f t="shared" ref="C6881:C6882" si="216">HYPERLINK("https://audio.iskcondesiretree.com/02_-_ISKCON_Swamis/ISKCON_Swamis_-_R_to_Y/His_Holiness_Radhanath_Swami/Bhajans/Vaishnava_Bhajans/Parama_Karuna_-_Radhanath_Swami.mp3", "Parama_Karuna_-_Radhanath_Swami.mp3")</f>
        <v>Parama_Karuna_-_Radhanath_Swami.mp3</v>
      </c>
      <c r="D6881" s="24"/>
      <c r="E6881" s="24"/>
    </row>
    <row r="6882">
      <c r="A6882" s="25" t="s">
        <v>19078</v>
      </c>
      <c r="B6882" s="25" t="s">
        <v>19080</v>
      </c>
      <c r="C6882" s="26" t="str">
        <f t="shared" si="216"/>
        <v>Parama_Karuna_-_Radhanath_Swami.mp3</v>
      </c>
      <c r="D6882" s="24"/>
      <c r="E6882" s="24"/>
    </row>
    <row r="6883">
      <c r="A6883" s="24"/>
      <c r="B6883" s="24"/>
      <c r="C6883" s="24"/>
      <c r="D6883" s="24"/>
      <c r="E6883" s="24"/>
    </row>
    <row r="6884">
      <c r="A6884" s="24"/>
      <c r="B6884" s="24"/>
      <c r="C6884" s="24"/>
      <c r="D6884" s="24"/>
      <c r="E6884" s="2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6.0"/>
  </cols>
  <sheetData>
    <row r="1">
      <c r="A1" s="27" t="s">
        <v>2</v>
      </c>
      <c r="B1" s="27" t="s">
        <v>3</v>
      </c>
      <c r="C1" s="27" t="s">
        <v>19081</v>
      </c>
    </row>
    <row r="2">
      <c r="A2" s="28" t="s">
        <v>19082</v>
      </c>
      <c r="B2" s="29" t="s">
        <v>19083</v>
      </c>
      <c r="C2" s="30" t="s">
        <v>19084</v>
      </c>
    </row>
    <row r="3">
      <c r="A3" s="30" t="s">
        <v>19085</v>
      </c>
      <c r="B3" s="31" t="s">
        <v>19086</v>
      </c>
      <c r="C3" s="30" t="s">
        <v>19084</v>
      </c>
    </row>
    <row r="4">
      <c r="A4" s="30" t="s">
        <v>19087</v>
      </c>
      <c r="B4" s="31" t="s">
        <v>19088</v>
      </c>
      <c r="C4" s="30" t="s">
        <v>19084</v>
      </c>
    </row>
    <row r="5">
      <c r="A5" s="30" t="s">
        <v>19089</v>
      </c>
      <c r="B5" s="31" t="s">
        <v>19090</v>
      </c>
      <c r="C5" s="30" t="s">
        <v>19084</v>
      </c>
    </row>
    <row r="6">
      <c r="A6" s="30" t="s">
        <v>19091</v>
      </c>
      <c r="B6" s="31" t="s">
        <v>19092</v>
      </c>
      <c r="C6" s="30" t="s">
        <v>19093</v>
      </c>
    </row>
    <row r="7">
      <c r="A7" s="30" t="s">
        <v>19094</v>
      </c>
      <c r="B7" s="31" t="s">
        <v>19095</v>
      </c>
      <c r="C7" s="30" t="s">
        <v>19093</v>
      </c>
    </row>
    <row r="8">
      <c r="A8" s="30" t="s">
        <v>19096</v>
      </c>
      <c r="B8" s="31" t="s">
        <v>19097</v>
      </c>
      <c r="C8" s="30" t="s">
        <v>19093</v>
      </c>
    </row>
    <row r="9">
      <c r="A9" s="28" t="s">
        <v>19098</v>
      </c>
      <c r="B9" s="31" t="s">
        <v>19099</v>
      </c>
      <c r="C9" s="30" t="s">
        <v>19093</v>
      </c>
    </row>
    <row r="10">
      <c r="A10" s="28" t="s">
        <v>19100</v>
      </c>
      <c r="B10" s="31" t="s">
        <v>19101</v>
      </c>
      <c r="C10" s="30" t="s">
        <v>19093</v>
      </c>
    </row>
    <row r="11">
      <c r="A11" s="30" t="s">
        <v>19102</v>
      </c>
      <c r="B11" s="31" t="s">
        <v>19103</v>
      </c>
      <c r="C11" s="30" t="s">
        <v>19093</v>
      </c>
    </row>
    <row r="12">
      <c r="A12" s="30" t="s">
        <v>19104</v>
      </c>
      <c r="B12" s="31" t="s">
        <v>19105</v>
      </c>
      <c r="C12" s="30" t="s">
        <v>19093</v>
      </c>
    </row>
    <row r="13">
      <c r="A13" s="30" t="s">
        <v>19106</v>
      </c>
      <c r="B13" s="31" t="s">
        <v>19107</v>
      </c>
      <c r="C13" s="30" t="s">
        <v>19093</v>
      </c>
    </row>
    <row r="14">
      <c r="A14" s="30" t="s">
        <v>19108</v>
      </c>
      <c r="B14" s="31" t="s">
        <v>19109</v>
      </c>
      <c r="C14" s="30" t="s">
        <v>19093</v>
      </c>
    </row>
    <row r="15">
      <c r="A15" s="28" t="s">
        <v>19110</v>
      </c>
      <c r="B15" s="31" t="s">
        <v>19111</v>
      </c>
      <c r="C15" s="30" t="s">
        <v>19093</v>
      </c>
    </row>
    <row r="16">
      <c r="A16" s="30" t="s">
        <v>19112</v>
      </c>
      <c r="B16" s="31" t="s">
        <v>19113</v>
      </c>
      <c r="C16" s="30" t="s">
        <v>19093</v>
      </c>
    </row>
    <row r="17">
      <c r="A17" s="30" t="s">
        <v>19114</v>
      </c>
      <c r="B17" s="31" t="s">
        <v>19115</v>
      </c>
      <c r="C17" s="30" t="s">
        <v>19093</v>
      </c>
    </row>
    <row r="18">
      <c r="A18" s="30" t="s">
        <v>19116</v>
      </c>
      <c r="B18" s="31" t="s">
        <v>19117</v>
      </c>
      <c r="C18" s="30" t="s">
        <v>19093</v>
      </c>
    </row>
    <row r="19">
      <c r="A19" s="30" t="s">
        <v>19118</v>
      </c>
      <c r="B19" s="31" t="s">
        <v>19119</v>
      </c>
      <c r="C19" s="30" t="s">
        <v>19120</v>
      </c>
    </row>
    <row r="20">
      <c r="A20" s="30" t="s">
        <v>19121</v>
      </c>
      <c r="B20" s="31" t="s">
        <v>19122</v>
      </c>
      <c r="C20" s="30" t="s">
        <v>19120</v>
      </c>
    </row>
    <row r="21">
      <c r="A21" s="30" t="s">
        <v>19123</v>
      </c>
      <c r="B21" s="31" t="s">
        <v>19124</v>
      </c>
      <c r="C21" s="30" t="s">
        <v>19120</v>
      </c>
    </row>
    <row r="22">
      <c r="A22" s="30" t="s">
        <v>19125</v>
      </c>
      <c r="B22" s="31" t="s">
        <v>19126</v>
      </c>
      <c r="C22" s="30" t="s">
        <v>19120</v>
      </c>
    </row>
    <row r="23">
      <c r="A23" s="30" t="s">
        <v>19127</v>
      </c>
      <c r="B23" s="31" t="s">
        <v>19128</v>
      </c>
      <c r="C23" s="30" t="s">
        <v>19120</v>
      </c>
    </row>
    <row r="24">
      <c r="A24" s="30" t="s">
        <v>19129</v>
      </c>
      <c r="B24" s="31" t="s">
        <v>19130</v>
      </c>
      <c r="C24" s="30" t="s">
        <v>19120</v>
      </c>
    </row>
    <row r="25">
      <c r="A25" s="30" t="s">
        <v>19131</v>
      </c>
      <c r="B25" s="31" t="s">
        <v>19132</v>
      </c>
      <c r="C25" s="30" t="s">
        <v>19120</v>
      </c>
    </row>
    <row r="26">
      <c r="A26" s="30" t="s">
        <v>19133</v>
      </c>
      <c r="B26" s="31" t="s">
        <v>19134</v>
      </c>
      <c r="C26" s="30" t="s">
        <v>19120</v>
      </c>
    </row>
    <row r="27">
      <c r="A27" s="30" t="s">
        <v>19135</v>
      </c>
      <c r="B27" s="31" t="s">
        <v>19136</v>
      </c>
      <c r="C27" s="30" t="s">
        <v>19120</v>
      </c>
    </row>
    <row r="28">
      <c r="A28" s="30" t="s">
        <v>19137</v>
      </c>
      <c r="B28" s="31" t="s">
        <v>19138</v>
      </c>
      <c r="C28" s="30" t="s">
        <v>19120</v>
      </c>
    </row>
    <row r="29">
      <c r="A29" s="30" t="s">
        <v>19139</v>
      </c>
      <c r="B29" s="31" t="s">
        <v>19140</v>
      </c>
      <c r="C29" s="30" t="s">
        <v>19120</v>
      </c>
    </row>
    <row r="30">
      <c r="A30" s="30" t="s">
        <v>19141</v>
      </c>
      <c r="B30" s="31" t="s">
        <v>19142</v>
      </c>
      <c r="C30" s="30" t="s">
        <v>19120</v>
      </c>
    </row>
    <row r="31">
      <c r="A31" s="30" t="s">
        <v>19143</v>
      </c>
      <c r="B31" s="31" t="s">
        <v>19144</v>
      </c>
      <c r="C31" s="30" t="s">
        <v>19120</v>
      </c>
    </row>
    <row r="32">
      <c r="A32" s="30" t="s">
        <v>19145</v>
      </c>
      <c r="B32" s="31" t="s">
        <v>19146</v>
      </c>
      <c r="C32" s="30" t="s">
        <v>19147</v>
      </c>
    </row>
    <row r="33">
      <c r="A33" s="30" t="s">
        <v>19148</v>
      </c>
      <c r="B33" s="31" t="s">
        <v>19149</v>
      </c>
      <c r="C33" s="30" t="s">
        <v>19147</v>
      </c>
    </row>
    <row r="34">
      <c r="A34" s="30" t="s">
        <v>19150</v>
      </c>
      <c r="B34" s="31" t="s">
        <v>19151</v>
      </c>
      <c r="C34" s="30" t="s">
        <v>19147</v>
      </c>
    </row>
    <row r="35">
      <c r="A35" s="30" t="s">
        <v>19152</v>
      </c>
      <c r="B35" s="31" t="s">
        <v>19153</v>
      </c>
      <c r="C35" s="30" t="s">
        <v>19147</v>
      </c>
    </row>
    <row r="36">
      <c r="A36" s="30" t="s">
        <v>19154</v>
      </c>
      <c r="B36" s="31" t="s">
        <v>19155</v>
      </c>
      <c r="C36" s="30" t="s">
        <v>19147</v>
      </c>
    </row>
    <row r="37">
      <c r="A37" s="30" t="s">
        <v>19156</v>
      </c>
      <c r="B37" s="31" t="s">
        <v>19157</v>
      </c>
      <c r="C37" s="30" t="s">
        <v>19147</v>
      </c>
    </row>
    <row r="38">
      <c r="A38" s="30" t="s">
        <v>19158</v>
      </c>
      <c r="B38" s="31" t="s">
        <v>19159</v>
      </c>
      <c r="C38" s="30" t="s">
        <v>19147</v>
      </c>
    </row>
    <row r="39">
      <c r="A39" s="30" t="s">
        <v>19160</v>
      </c>
      <c r="B39" s="31" t="s">
        <v>19161</v>
      </c>
      <c r="C39" s="30" t="s">
        <v>19147</v>
      </c>
    </row>
    <row r="40">
      <c r="A40" s="30" t="s">
        <v>19162</v>
      </c>
      <c r="B40" s="31" t="s">
        <v>19163</v>
      </c>
      <c r="C40" s="30" t="s">
        <v>19147</v>
      </c>
    </row>
    <row r="41">
      <c r="A41" s="30" t="s">
        <v>19164</v>
      </c>
      <c r="B41" s="31" t="s">
        <v>19165</v>
      </c>
      <c r="C41" s="30" t="s">
        <v>19166</v>
      </c>
    </row>
    <row r="42">
      <c r="A42" s="30" t="s">
        <v>19167</v>
      </c>
      <c r="B42" s="31" t="s">
        <v>19168</v>
      </c>
      <c r="C42" s="30" t="s">
        <v>19169</v>
      </c>
    </row>
    <row r="43">
      <c r="A43" s="30" t="s">
        <v>19170</v>
      </c>
      <c r="B43" s="31" t="s">
        <v>19171</v>
      </c>
      <c r="C43" s="30" t="s">
        <v>19169</v>
      </c>
    </row>
    <row r="44">
      <c r="A44" s="30" t="s">
        <v>19172</v>
      </c>
      <c r="B44" s="31" t="s">
        <v>19173</v>
      </c>
      <c r="C44" s="30" t="s">
        <v>19174</v>
      </c>
    </row>
    <row r="45">
      <c r="A45" s="30" t="s">
        <v>19175</v>
      </c>
      <c r="B45" s="31" t="s">
        <v>19176</v>
      </c>
      <c r="C45" s="30" t="s">
        <v>19177</v>
      </c>
    </row>
    <row r="46">
      <c r="A46" s="30" t="s">
        <v>19178</v>
      </c>
      <c r="B46" s="31" t="s">
        <v>19179</v>
      </c>
      <c r="C46" s="30" t="s">
        <v>19177</v>
      </c>
    </row>
    <row r="47">
      <c r="A47" s="30" t="s">
        <v>19180</v>
      </c>
      <c r="B47" s="31" t="s">
        <v>19181</v>
      </c>
      <c r="C47" s="30" t="s">
        <v>19182</v>
      </c>
    </row>
    <row r="48">
      <c r="A48" s="30" t="s">
        <v>19170</v>
      </c>
      <c r="B48" s="31" t="s">
        <v>19183</v>
      </c>
      <c r="C48" s="30" t="s">
        <v>19184</v>
      </c>
    </row>
    <row r="49">
      <c r="A49" s="30" t="s">
        <v>19185</v>
      </c>
      <c r="B49" s="31" t="s">
        <v>19186</v>
      </c>
      <c r="C49" s="30" t="s">
        <v>19184</v>
      </c>
    </row>
    <row r="50">
      <c r="A50" s="30" t="s">
        <v>19187</v>
      </c>
      <c r="B50" s="31" t="s">
        <v>19188</v>
      </c>
      <c r="C50" s="30" t="s">
        <v>19184</v>
      </c>
    </row>
    <row r="51">
      <c r="A51" s="30" t="s">
        <v>19189</v>
      </c>
      <c r="B51" s="31" t="s">
        <v>19190</v>
      </c>
      <c r="C51" s="30" t="s">
        <v>19184</v>
      </c>
    </row>
    <row r="52">
      <c r="A52" s="30" t="s">
        <v>19191</v>
      </c>
      <c r="B52" s="31" t="s">
        <v>19192</v>
      </c>
      <c r="C52" s="30" t="s">
        <v>19184</v>
      </c>
    </row>
    <row r="53">
      <c r="A53" s="30" t="s">
        <v>19193</v>
      </c>
      <c r="B53" s="31" t="s">
        <v>19194</v>
      </c>
      <c r="C53" s="30" t="s">
        <v>19184</v>
      </c>
    </row>
    <row r="54">
      <c r="A54" s="30" t="s">
        <v>19195</v>
      </c>
      <c r="B54" s="31" t="s">
        <v>19196</v>
      </c>
      <c r="C54" s="30" t="s">
        <v>19184</v>
      </c>
    </row>
    <row r="55">
      <c r="A55" s="30" t="s">
        <v>19197</v>
      </c>
      <c r="B55" s="31" t="s">
        <v>19198</v>
      </c>
      <c r="C55" s="30" t="s">
        <v>19184</v>
      </c>
    </row>
    <row r="56">
      <c r="A56" s="30" t="s">
        <v>19199</v>
      </c>
      <c r="B56" s="31" t="s">
        <v>19200</v>
      </c>
      <c r="C56" s="30" t="s">
        <v>19184</v>
      </c>
    </row>
    <row r="57">
      <c r="A57" s="30" t="s">
        <v>19201</v>
      </c>
      <c r="B57" s="31" t="s">
        <v>19202</v>
      </c>
      <c r="C57" s="30" t="s">
        <v>19184</v>
      </c>
    </row>
    <row r="58">
      <c r="A58" s="30" t="s">
        <v>19203</v>
      </c>
      <c r="B58" s="31" t="s">
        <v>19204</v>
      </c>
      <c r="C58" s="30" t="s">
        <v>19184</v>
      </c>
    </row>
    <row r="59">
      <c r="A59" s="30" t="s">
        <v>19205</v>
      </c>
      <c r="B59" s="31" t="s">
        <v>19206</v>
      </c>
      <c r="C59" s="30" t="s">
        <v>19184</v>
      </c>
    </row>
    <row r="60">
      <c r="A60" s="30" t="s">
        <v>19207</v>
      </c>
      <c r="B60" s="31" t="s">
        <v>19208</v>
      </c>
      <c r="C60" s="30" t="s">
        <v>19184</v>
      </c>
    </row>
    <row r="61">
      <c r="A61" s="30" t="s">
        <v>19209</v>
      </c>
      <c r="B61" s="31" t="s">
        <v>19210</v>
      </c>
      <c r="C61" s="30" t="s">
        <v>19211</v>
      </c>
    </row>
    <row r="62">
      <c r="A62" s="30" t="s">
        <v>19170</v>
      </c>
      <c r="B62" s="31" t="s">
        <v>19212</v>
      </c>
      <c r="C62" s="30" t="s">
        <v>19211</v>
      </c>
    </row>
    <row r="63">
      <c r="A63" s="30" t="s">
        <v>19213</v>
      </c>
      <c r="B63" s="31" t="s">
        <v>19214</v>
      </c>
      <c r="C63" s="30" t="s">
        <v>19211</v>
      </c>
    </row>
    <row r="64">
      <c r="A64" s="30" t="s">
        <v>19215</v>
      </c>
      <c r="B64" s="31" t="s">
        <v>19216</v>
      </c>
      <c r="C64" s="30" t="s">
        <v>19211</v>
      </c>
    </row>
    <row r="65">
      <c r="A65" s="30" t="s">
        <v>19217</v>
      </c>
      <c r="B65" s="31" t="s">
        <v>19218</v>
      </c>
      <c r="C65" s="30" t="s">
        <v>19211</v>
      </c>
    </row>
    <row r="66">
      <c r="A66" s="30" t="s">
        <v>19219</v>
      </c>
      <c r="B66" s="31" t="s">
        <v>19220</v>
      </c>
      <c r="C66" s="30" t="s">
        <v>19221</v>
      </c>
    </row>
    <row r="67">
      <c r="A67" s="30" t="s">
        <v>19222</v>
      </c>
      <c r="B67" s="31" t="s">
        <v>19223</v>
      </c>
      <c r="C67" s="30" t="s">
        <v>19221</v>
      </c>
    </row>
    <row r="68">
      <c r="A68" s="30" t="s">
        <v>19224</v>
      </c>
      <c r="B68" s="31" t="s">
        <v>19225</v>
      </c>
      <c r="C68" s="30" t="s">
        <v>19221</v>
      </c>
    </row>
    <row r="69">
      <c r="A69" s="30" t="s">
        <v>19226</v>
      </c>
      <c r="B69" s="31" t="s">
        <v>19227</v>
      </c>
      <c r="C69" s="30" t="s">
        <v>19221</v>
      </c>
    </row>
    <row r="70">
      <c r="A70" s="30" t="s">
        <v>19228</v>
      </c>
      <c r="B70" s="31" t="s">
        <v>19229</v>
      </c>
      <c r="C70" s="30" t="s">
        <v>19221</v>
      </c>
    </row>
    <row r="71">
      <c r="A71" s="30" t="s">
        <v>19230</v>
      </c>
      <c r="B71" s="31" t="s">
        <v>19231</v>
      </c>
      <c r="C71" s="30" t="s">
        <v>19232</v>
      </c>
    </row>
    <row r="72">
      <c r="A72" s="30" t="s">
        <v>19233</v>
      </c>
      <c r="B72" s="31" t="s">
        <v>19234</v>
      </c>
      <c r="C72" s="30" t="s">
        <v>19232</v>
      </c>
    </row>
    <row r="73">
      <c r="A73" s="30" t="s">
        <v>19235</v>
      </c>
      <c r="B73" s="31" t="s">
        <v>19236</v>
      </c>
      <c r="C73" s="30" t="s">
        <v>19232</v>
      </c>
    </row>
    <row r="74">
      <c r="A74" s="30" t="s">
        <v>19237</v>
      </c>
      <c r="B74" s="31" t="s">
        <v>19238</v>
      </c>
      <c r="C74" s="30" t="s">
        <v>19232</v>
      </c>
    </row>
    <row r="75">
      <c r="A75" s="30" t="s">
        <v>19239</v>
      </c>
      <c r="B75" s="31" t="s">
        <v>19240</v>
      </c>
      <c r="C75" s="30" t="s">
        <v>19241</v>
      </c>
    </row>
    <row r="76">
      <c r="A76" s="30" t="s">
        <v>19242</v>
      </c>
      <c r="B76" s="31" t="s">
        <v>19243</v>
      </c>
      <c r="C76" s="30" t="s">
        <v>19241</v>
      </c>
    </row>
    <row r="77">
      <c r="A77" s="30" t="s">
        <v>19244</v>
      </c>
      <c r="B77" s="31" t="s">
        <v>19245</v>
      </c>
      <c r="C77" s="30" t="s">
        <v>19241</v>
      </c>
    </row>
    <row r="78">
      <c r="A78" s="30" t="s">
        <v>19246</v>
      </c>
      <c r="B78" s="31" t="s">
        <v>19247</v>
      </c>
      <c r="C78" s="30" t="s">
        <v>19248</v>
      </c>
    </row>
    <row r="79">
      <c r="A79" s="30" t="s">
        <v>19249</v>
      </c>
      <c r="B79" s="31" t="s">
        <v>19250</v>
      </c>
      <c r="C79" s="30" t="s">
        <v>19251</v>
      </c>
    </row>
    <row r="80">
      <c r="A80" s="30" t="s">
        <v>19252</v>
      </c>
      <c r="B80" s="31" t="s">
        <v>19253</v>
      </c>
      <c r="C80" s="30" t="s">
        <v>19251</v>
      </c>
    </row>
    <row r="81">
      <c r="A81" s="30" t="s">
        <v>19254</v>
      </c>
      <c r="B81" s="31" t="s">
        <v>19255</v>
      </c>
      <c r="C81" s="30" t="s">
        <v>19251</v>
      </c>
    </row>
    <row r="82">
      <c r="A82" s="30" t="s">
        <v>19256</v>
      </c>
      <c r="B82" s="31" t="s">
        <v>19257</v>
      </c>
      <c r="C82" s="30" t="s">
        <v>19251</v>
      </c>
    </row>
    <row r="83">
      <c r="A83" s="30" t="s">
        <v>19258</v>
      </c>
      <c r="B83" s="31" t="s">
        <v>19259</v>
      </c>
      <c r="C83" s="30" t="s">
        <v>19251</v>
      </c>
    </row>
    <row r="84">
      <c r="A84" s="30" t="s">
        <v>19260</v>
      </c>
      <c r="B84" s="31" t="s">
        <v>19261</v>
      </c>
      <c r="C84" s="30" t="s">
        <v>19262</v>
      </c>
    </row>
    <row r="85">
      <c r="A85" s="30" t="s">
        <v>19263</v>
      </c>
      <c r="B85" s="31" t="s">
        <v>19264</v>
      </c>
      <c r="C85" s="30" t="s">
        <v>19262</v>
      </c>
    </row>
    <row r="86">
      <c r="A86" s="30" t="s">
        <v>19265</v>
      </c>
      <c r="B86" s="31" t="s">
        <v>19266</v>
      </c>
      <c r="C86" s="30" t="s">
        <v>19262</v>
      </c>
    </row>
    <row r="87">
      <c r="A87" s="30" t="s">
        <v>19267</v>
      </c>
      <c r="B87" s="31" t="s">
        <v>19268</v>
      </c>
      <c r="C87" s="30" t="s">
        <v>19262</v>
      </c>
    </row>
    <row r="88">
      <c r="A88" s="30" t="s">
        <v>19269</v>
      </c>
      <c r="B88" s="31" t="s">
        <v>19270</v>
      </c>
      <c r="C88" s="30" t="s">
        <v>19262</v>
      </c>
    </row>
    <row r="89">
      <c r="A89" s="30" t="s">
        <v>19271</v>
      </c>
      <c r="B89" s="31" t="s">
        <v>19272</v>
      </c>
      <c r="C89" s="30" t="s">
        <v>19262</v>
      </c>
    </row>
    <row r="90">
      <c r="A90" s="30" t="s">
        <v>19273</v>
      </c>
      <c r="B90" s="31" t="s">
        <v>19274</v>
      </c>
      <c r="C90" s="30" t="s">
        <v>19262</v>
      </c>
    </row>
    <row r="91">
      <c r="A91" s="30" t="s">
        <v>19275</v>
      </c>
      <c r="B91" s="31" t="s">
        <v>19276</v>
      </c>
      <c r="C91" s="30" t="s">
        <v>19262</v>
      </c>
    </row>
    <row r="92">
      <c r="A92" s="30" t="s">
        <v>19277</v>
      </c>
      <c r="B92" s="31" t="s">
        <v>19278</v>
      </c>
      <c r="C92" s="30" t="s">
        <v>19262</v>
      </c>
    </row>
    <row r="93">
      <c r="A93" s="30" t="s">
        <v>19279</v>
      </c>
      <c r="B93" s="31" t="s">
        <v>19280</v>
      </c>
      <c r="C93" s="30" t="s">
        <v>19281</v>
      </c>
    </row>
    <row r="94">
      <c r="A94" s="30" t="s">
        <v>19282</v>
      </c>
      <c r="B94" s="31" t="s">
        <v>19283</v>
      </c>
      <c r="C94" s="30" t="s">
        <v>19281</v>
      </c>
    </row>
    <row r="95">
      <c r="A95" s="30" t="s">
        <v>19284</v>
      </c>
      <c r="B95" s="31" t="s">
        <v>19285</v>
      </c>
      <c r="C95" s="30" t="s">
        <v>19281</v>
      </c>
    </row>
    <row r="96">
      <c r="A96" s="30" t="s">
        <v>19286</v>
      </c>
      <c r="B96" s="31" t="s">
        <v>19287</v>
      </c>
      <c r="C96" s="30" t="s">
        <v>19281</v>
      </c>
    </row>
    <row r="97">
      <c r="A97" s="30" t="s">
        <v>19288</v>
      </c>
      <c r="B97" s="31" t="s">
        <v>19289</v>
      </c>
      <c r="C97" s="30" t="s">
        <v>19281</v>
      </c>
    </row>
    <row r="98">
      <c r="A98" s="30" t="s">
        <v>19290</v>
      </c>
      <c r="B98" s="31" t="s">
        <v>19291</v>
      </c>
      <c r="C98" s="30" t="s">
        <v>19281</v>
      </c>
    </row>
    <row r="99">
      <c r="A99" s="30" t="s">
        <v>19292</v>
      </c>
      <c r="B99" s="31" t="s">
        <v>19293</v>
      </c>
      <c r="C99" s="30" t="s">
        <v>19294</v>
      </c>
    </row>
    <row r="100">
      <c r="A100" s="30" t="s">
        <v>19295</v>
      </c>
      <c r="B100" s="31" t="s">
        <v>19296</v>
      </c>
      <c r="C100" s="30" t="s">
        <v>19294</v>
      </c>
    </row>
    <row r="101">
      <c r="A101" s="30" t="s">
        <v>19297</v>
      </c>
      <c r="B101" s="31" t="s">
        <v>19298</v>
      </c>
      <c r="C101" s="30" t="s">
        <v>19294</v>
      </c>
    </row>
    <row r="102">
      <c r="A102" s="30" t="s">
        <v>19299</v>
      </c>
      <c r="B102" s="31" t="s">
        <v>19300</v>
      </c>
      <c r="C102" s="30" t="s">
        <v>19294</v>
      </c>
    </row>
    <row r="103">
      <c r="A103" s="30" t="s">
        <v>19301</v>
      </c>
      <c r="B103" s="31" t="s">
        <v>19302</v>
      </c>
      <c r="C103" s="30" t="s">
        <v>19294</v>
      </c>
    </row>
    <row r="104">
      <c r="A104" s="30" t="s">
        <v>19303</v>
      </c>
      <c r="B104" s="31" t="s">
        <v>19304</v>
      </c>
      <c r="C104" s="30" t="s">
        <v>19294</v>
      </c>
    </row>
    <row r="105">
      <c r="A105" s="30" t="s">
        <v>19305</v>
      </c>
      <c r="B105" s="31" t="s">
        <v>19306</v>
      </c>
      <c r="C105" s="30" t="s">
        <v>19307</v>
      </c>
    </row>
    <row r="106">
      <c r="A106" s="30" t="s">
        <v>19308</v>
      </c>
      <c r="B106" s="31" t="s">
        <v>19309</v>
      </c>
      <c r="C106" s="30" t="s">
        <v>19307</v>
      </c>
    </row>
    <row r="107">
      <c r="A107" s="30" t="s">
        <v>19310</v>
      </c>
      <c r="B107" s="31" t="s">
        <v>19311</v>
      </c>
      <c r="C107" s="30" t="s">
        <v>19307</v>
      </c>
    </row>
    <row r="108">
      <c r="A108" s="30" t="s">
        <v>19312</v>
      </c>
      <c r="B108" s="31" t="s">
        <v>19313</v>
      </c>
      <c r="C108" s="30" t="s">
        <v>19314</v>
      </c>
    </row>
    <row r="109">
      <c r="A109" s="30" t="s">
        <v>19315</v>
      </c>
      <c r="B109" s="31" t="s">
        <v>19316</v>
      </c>
      <c r="C109" s="30" t="s">
        <v>19314</v>
      </c>
    </row>
    <row r="110">
      <c r="A110" s="30" t="s">
        <v>19317</v>
      </c>
      <c r="B110" s="31" t="s">
        <v>19318</v>
      </c>
      <c r="C110" s="30" t="s">
        <v>19314</v>
      </c>
    </row>
    <row r="111">
      <c r="A111" s="30" t="s">
        <v>19319</v>
      </c>
      <c r="B111" s="31" t="s">
        <v>19320</v>
      </c>
      <c r="C111" s="30" t="s">
        <v>19314</v>
      </c>
    </row>
    <row r="112">
      <c r="A112" s="30" t="s">
        <v>19321</v>
      </c>
      <c r="B112" s="31" t="s">
        <v>19322</v>
      </c>
      <c r="C112" s="30" t="s">
        <v>19314</v>
      </c>
    </row>
    <row r="113">
      <c r="A113" s="30" t="s">
        <v>19323</v>
      </c>
      <c r="B113" s="31" t="s">
        <v>19324</v>
      </c>
      <c r="C113" s="30" t="s">
        <v>19314</v>
      </c>
    </row>
    <row r="114">
      <c r="A114" s="30" t="s">
        <v>19325</v>
      </c>
      <c r="B114" s="31" t="s">
        <v>19326</v>
      </c>
      <c r="C114" s="30" t="s">
        <v>19314</v>
      </c>
    </row>
    <row r="115">
      <c r="A115" s="30" t="s">
        <v>19327</v>
      </c>
      <c r="B115" s="31" t="s">
        <v>19328</v>
      </c>
      <c r="C115" s="30" t="s">
        <v>19314</v>
      </c>
    </row>
    <row r="116">
      <c r="A116" s="30" t="s">
        <v>19329</v>
      </c>
      <c r="B116" s="31" t="s">
        <v>19330</v>
      </c>
      <c r="C116" s="30" t="s">
        <v>19314</v>
      </c>
    </row>
    <row r="117">
      <c r="A117" s="30" t="s">
        <v>19331</v>
      </c>
      <c r="B117" s="31" t="s">
        <v>19332</v>
      </c>
      <c r="C117" s="30" t="s">
        <v>19333</v>
      </c>
    </row>
    <row r="118">
      <c r="A118" s="30" t="s">
        <v>19288</v>
      </c>
      <c r="B118" s="31" t="s">
        <v>19334</v>
      </c>
      <c r="C118" s="30" t="s">
        <v>19333</v>
      </c>
    </row>
    <row r="119">
      <c r="A119" s="30" t="s">
        <v>19335</v>
      </c>
      <c r="B119" s="31" t="s">
        <v>19336</v>
      </c>
      <c r="C119" s="30" t="s">
        <v>19333</v>
      </c>
    </row>
    <row r="120">
      <c r="A120" s="30" t="s">
        <v>19337</v>
      </c>
      <c r="B120" s="31" t="s">
        <v>19338</v>
      </c>
      <c r="C120" s="30" t="s">
        <v>19333</v>
      </c>
    </row>
    <row r="121">
      <c r="A121" s="30" t="s">
        <v>19339</v>
      </c>
      <c r="B121" s="31" t="s">
        <v>19340</v>
      </c>
      <c r="C121" s="30" t="s">
        <v>19333</v>
      </c>
    </row>
    <row r="122">
      <c r="A122" s="30" t="s">
        <v>19341</v>
      </c>
      <c r="B122" s="31" t="s">
        <v>19342</v>
      </c>
      <c r="C122" s="30" t="s">
        <v>19343</v>
      </c>
    </row>
    <row r="123">
      <c r="A123" s="30" t="s">
        <v>19344</v>
      </c>
      <c r="B123" s="31" t="s">
        <v>19345</v>
      </c>
      <c r="C123" s="30" t="s">
        <v>19343</v>
      </c>
    </row>
    <row r="124">
      <c r="A124" s="30" t="s">
        <v>19346</v>
      </c>
      <c r="B124" s="31" t="s">
        <v>19347</v>
      </c>
      <c r="C124" s="30" t="s">
        <v>19343</v>
      </c>
    </row>
    <row r="125">
      <c r="A125" s="30" t="s">
        <v>19348</v>
      </c>
      <c r="B125" s="31" t="s">
        <v>19349</v>
      </c>
      <c r="C125" s="30" t="s">
        <v>19343</v>
      </c>
    </row>
    <row r="126">
      <c r="A126" s="30" t="s">
        <v>19350</v>
      </c>
      <c r="B126" s="31" t="s">
        <v>19351</v>
      </c>
      <c r="C126" s="30" t="s">
        <v>19343</v>
      </c>
    </row>
    <row r="127">
      <c r="A127" s="30" t="s">
        <v>19352</v>
      </c>
      <c r="B127" s="31" t="s">
        <v>19353</v>
      </c>
      <c r="C127" s="30" t="s">
        <v>19343</v>
      </c>
    </row>
    <row r="128">
      <c r="A128" s="30" t="s">
        <v>19354</v>
      </c>
      <c r="B128" s="31" t="s">
        <v>19355</v>
      </c>
      <c r="C128" s="30" t="s">
        <v>19356</v>
      </c>
    </row>
    <row r="129">
      <c r="A129" s="30" t="s">
        <v>19357</v>
      </c>
      <c r="B129" s="31" t="s">
        <v>19358</v>
      </c>
      <c r="C129" s="30" t="s">
        <v>19356</v>
      </c>
    </row>
    <row r="130">
      <c r="A130" s="30" t="s">
        <v>19359</v>
      </c>
      <c r="B130" s="31" t="s">
        <v>19360</v>
      </c>
      <c r="C130" s="30" t="s">
        <v>19356</v>
      </c>
    </row>
    <row r="131">
      <c r="A131" s="30" t="s">
        <v>19361</v>
      </c>
      <c r="B131" s="31" t="s">
        <v>19362</v>
      </c>
      <c r="C131" s="30" t="s">
        <v>19356</v>
      </c>
    </row>
    <row r="132">
      <c r="A132" s="30" t="s">
        <v>19363</v>
      </c>
      <c r="B132" s="31" t="s">
        <v>19364</v>
      </c>
      <c r="C132" s="30" t="s">
        <v>19356</v>
      </c>
    </row>
    <row r="133">
      <c r="A133" s="30" t="s">
        <v>19365</v>
      </c>
      <c r="B133" s="31" t="s">
        <v>19366</v>
      </c>
      <c r="C133" s="30" t="s">
        <v>19356</v>
      </c>
    </row>
    <row r="134">
      <c r="A134" s="30" t="s">
        <v>19367</v>
      </c>
      <c r="B134" s="31" t="s">
        <v>19368</v>
      </c>
      <c r="C134" s="30" t="s">
        <v>19356</v>
      </c>
    </row>
    <row r="135">
      <c r="A135" s="30" t="s">
        <v>19369</v>
      </c>
      <c r="B135" s="31" t="s">
        <v>19370</v>
      </c>
      <c r="C135" s="30" t="s">
        <v>19356</v>
      </c>
    </row>
    <row r="136">
      <c r="A136" s="30" t="s">
        <v>19371</v>
      </c>
      <c r="B136" s="31" t="s">
        <v>19372</v>
      </c>
      <c r="C136" s="30" t="s">
        <v>19356</v>
      </c>
    </row>
    <row r="137">
      <c r="A137" s="30" t="s">
        <v>19373</v>
      </c>
      <c r="B137" s="31" t="s">
        <v>19374</v>
      </c>
      <c r="C137" s="30" t="s">
        <v>19356</v>
      </c>
    </row>
    <row r="138">
      <c r="A138" s="30" t="s">
        <v>19375</v>
      </c>
      <c r="B138" s="31" t="s">
        <v>19376</v>
      </c>
      <c r="C138" s="30" t="s">
        <v>19356</v>
      </c>
    </row>
    <row r="139">
      <c r="A139" s="30" t="s">
        <v>19377</v>
      </c>
      <c r="B139" s="31" t="s">
        <v>19378</v>
      </c>
      <c r="C139" s="30" t="s">
        <v>19356</v>
      </c>
    </row>
    <row r="140">
      <c r="A140" s="30" t="s">
        <v>19379</v>
      </c>
      <c r="B140" s="31" t="s">
        <v>19380</v>
      </c>
      <c r="C140" s="30" t="s">
        <v>19356</v>
      </c>
    </row>
    <row r="141">
      <c r="A141" s="30" t="s">
        <v>19381</v>
      </c>
      <c r="B141" s="31" t="s">
        <v>19382</v>
      </c>
      <c r="C141" s="30" t="s">
        <v>19356</v>
      </c>
    </row>
    <row r="142">
      <c r="A142" s="30" t="s">
        <v>19383</v>
      </c>
      <c r="B142" s="31" t="s">
        <v>19384</v>
      </c>
      <c r="C142" s="30" t="s">
        <v>19356</v>
      </c>
    </row>
    <row r="143">
      <c r="A143" s="30" t="s">
        <v>19385</v>
      </c>
      <c r="B143" s="31" t="s">
        <v>19386</v>
      </c>
      <c r="C143" s="30" t="s">
        <v>19356</v>
      </c>
    </row>
    <row r="144">
      <c r="A144" s="30" t="s">
        <v>19387</v>
      </c>
      <c r="B144" s="31" t="s">
        <v>19388</v>
      </c>
      <c r="C144" s="30" t="s">
        <v>19389</v>
      </c>
    </row>
    <row r="145">
      <c r="A145" s="30" t="s">
        <v>19390</v>
      </c>
      <c r="B145" s="31" t="s">
        <v>19391</v>
      </c>
      <c r="C145" s="30" t="s">
        <v>19389</v>
      </c>
    </row>
    <row r="146">
      <c r="A146" s="30" t="s">
        <v>19369</v>
      </c>
      <c r="B146" s="31" t="s">
        <v>19392</v>
      </c>
      <c r="C146" s="30" t="s">
        <v>19389</v>
      </c>
    </row>
    <row r="147">
      <c r="A147" s="30" t="s">
        <v>19393</v>
      </c>
      <c r="B147" s="31" t="s">
        <v>19394</v>
      </c>
      <c r="C147" s="30" t="s">
        <v>19389</v>
      </c>
    </row>
    <row r="148">
      <c r="A148" s="30" t="s">
        <v>19395</v>
      </c>
      <c r="B148" s="31" t="s">
        <v>19396</v>
      </c>
      <c r="C148" s="30" t="s">
        <v>19389</v>
      </c>
    </row>
    <row r="149">
      <c r="A149" s="30" t="s">
        <v>19397</v>
      </c>
      <c r="B149" s="31" t="s">
        <v>19398</v>
      </c>
      <c r="C149" s="30" t="s">
        <v>19389</v>
      </c>
    </row>
    <row r="150">
      <c r="A150" s="30" t="s">
        <v>19399</v>
      </c>
      <c r="B150" s="31" t="s">
        <v>19400</v>
      </c>
      <c r="C150" s="30" t="s">
        <v>19389</v>
      </c>
    </row>
    <row r="151">
      <c r="A151" s="30" t="s">
        <v>19401</v>
      </c>
      <c r="B151" s="31" t="s">
        <v>19402</v>
      </c>
      <c r="C151" s="30" t="s">
        <v>19403</v>
      </c>
    </row>
    <row r="152">
      <c r="A152" s="30" t="s">
        <v>19369</v>
      </c>
      <c r="B152" s="31" t="s">
        <v>19404</v>
      </c>
      <c r="C152" s="30" t="s">
        <v>19403</v>
      </c>
    </row>
    <row r="153">
      <c r="A153" s="30" t="s">
        <v>19387</v>
      </c>
      <c r="B153" s="31" t="s">
        <v>19405</v>
      </c>
      <c r="C153" s="30" t="s">
        <v>19403</v>
      </c>
    </row>
    <row r="154">
      <c r="A154" s="30" t="s">
        <v>19406</v>
      </c>
      <c r="B154" s="31" t="s">
        <v>19407</v>
      </c>
      <c r="C154" s="30" t="s">
        <v>19403</v>
      </c>
    </row>
    <row r="155">
      <c r="A155" s="30" t="s">
        <v>19408</v>
      </c>
      <c r="B155" s="31" t="s">
        <v>19409</v>
      </c>
      <c r="C155" s="30" t="s">
        <v>19403</v>
      </c>
    </row>
    <row r="156">
      <c r="A156" s="30" t="s">
        <v>19410</v>
      </c>
      <c r="B156" s="31" t="s">
        <v>19411</v>
      </c>
      <c r="C156" s="30" t="s">
        <v>19403</v>
      </c>
    </row>
    <row r="157">
      <c r="A157" s="30" t="s">
        <v>19412</v>
      </c>
      <c r="B157" s="31" t="s">
        <v>19413</v>
      </c>
      <c r="C157" s="30" t="s">
        <v>19414</v>
      </c>
    </row>
    <row r="158">
      <c r="A158" s="30" t="s">
        <v>19415</v>
      </c>
      <c r="B158" s="31" t="s">
        <v>19416</v>
      </c>
      <c r="C158" s="30" t="s">
        <v>19414</v>
      </c>
    </row>
    <row r="159">
      <c r="A159" s="30" t="s">
        <v>19417</v>
      </c>
      <c r="B159" s="31" t="s">
        <v>19418</v>
      </c>
      <c r="C159" s="30" t="s">
        <v>19414</v>
      </c>
    </row>
    <row r="160">
      <c r="A160" s="30" t="s">
        <v>19419</v>
      </c>
      <c r="B160" s="31" t="s">
        <v>19420</v>
      </c>
      <c r="C160" s="30" t="s">
        <v>19414</v>
      </c>
    </row>
    <row r="161">
      <c r="A161" s="30" t="s">
        <v>19421</v>
      </c>
      <c r="B161" s="31" t="s">
        <v>19422</v>
      </c>
      <c r="C161" s="30" t="s">
        <v>19414</v>
      </c>
    </row>
    <row r="162">
      <c r="A162" s="30" t="s">
        <v>19423</v>
      </c>
      <c r="B162" s="31" t="s">
        <v>19424</v>
      </c>
      <c r="C162" s="30" t="s">
        <v>19414</v>
      </c>
    </row>
    <row r="163">
      <c r="A163" s="30" t="s">
        <v>19425</v>
      </c>
      <c r="B163" s="31" t="s">
        <v>19426</v>
      </c>
      <c r="C163" s="30" t="s">
        <v>19414</v>
      </c>
    </row>
    <row r="164">
      <c r="A164" s="30" t="s">
        <v>19387</v>
      </c>
      <c r="B164" s="31" t="s">
        <v>19427</v>
      </c>
      <c r="C164" s="30" t="s">
        <v>19414</v>
      </c>
    </row>
    <row r="165">
      <c r="A165" s="30" t="s">
        <v>19428</v>
      </c>
      <c r="B165" s="31" t="s">
        <v>19429</v>
      </c>
      <c r="C165" s="30" t="s">
        <v>19414</v>
      </c>
    </row>
    <row r="166">
      <c r="A166" s="30" t="s">
        <v>19430</v>
      </c>
      <c r="B166" s="31" t="s">
        <v>19431</v>
      </c>
      <c r="C166" s="30" t="s">
        <v>19414</v>
      </c>
    </row>
    <row r="167">
      <c r="A167" s="30" t="s">
        <v>19432</v>
      </c>
      <c r="B167" s="31" t="s">
        <v>19433</v>
      </c>
      <c r="C167" s="30" t="s">
        <v>19414</v>
      </c>
    </row>
    <row r="168">
      <c r="A168" s="30" t="s">
        <v>19434</v>
      </c>
      <c r="B168" s="31" t="s">
        <v>19435</v>
      </c>
      <c r="C168" s="30" t="s">
        <v>19414</v>
      </c>
    </row>
    <row r="169">
      <c r="A169" s="30" t="s">
        <v>19436</v>
      </c>
      <c r="B169" s="31" t="s">
        <v>19437</v>
      </c>
      <c r="C169" s="30" t="s">
        <v>19414</v>
      </c>
    </row>
    <row r="170">
      <c r="A170" s="30" t="s">
        <v>19438</v>
      </c>
      <c r="B170" s="31" t="s">
        <v>19439</v>
      </c>
      <c r="C170" s="30" t="s">
        <v>19440</v>
      </c>
    </row>
    <row r="171">
      <c r="A171" s="30" t="s">
        <v>19441</v>
      </c>
      <c r="B171" s="31" t="s">
        <v>19442</v>
      </c>
      <c r="C171" s="30" t="s">
        <v>19440</v>
      </c>
    </row>
    <row r="172">
      <c r="A172" s="30" t="s">
        <v>19443</v>
      </c>
      <c r="B172" s="31" t="s">
        <v>19444</v>
      </c>
      <c r="C172" s="30" t="s">
        <v>19440</v>
      </c>
    </row>
    <row r="173">
      <c r="A173" s="30" t="s">
        <v>19445</v>
      </c>
      <c r="B173" s="31" t="s">
        <v>19446</v>
      </c>
      <c r="C173" s="30" t="s">
        <v>19440</v>
      </c>
    </row>
    <row r="174">
      <c r="A174" s="30" t="s">
        <v>19447</v>
      </c>
      <c r="B174" s="31" t="s">
        <v>19448</v>
      </c>
      <c r="C174" s="30" t="s">
        <v>19449</v>
      </c>
    </row>
    <row r="175">
      <c r="A175" s="30" t="s">
        <v>19450</v>
      </c>
      <c r="B175" s="31" t="s">
        <v>19451</v>
      </c>
      <c r="C175" s="30" t="s">
        <v>19449</v>
      </c>
    </row>
    <row r="176">
      <c r="A176" s="30" t="s">
        <v>19452</v>
      </c>
      <c r="B176" s="31" t="s">
        <v>19453</v>
      </c>
      <c r="C176" s="30" t="s">
        <v>19454</v>
      </c>
    </row>
    <row r="177">
      <c r="A177" s="30" t="s">
        <v>19455</v>
      </c>
      <c r="B177" s="31" t="s">
        <v>19456</v>
      </c>
      <c r="C177" s="30" t="s">
        <v>19454</v>
      </c>
    </row>
    <row r="178">
      <c r="A178" s="30" t="s">
        <v>19457</v>
      </c>
      <c r="B178" s="31" t="s">
        <v>19458</v>
      </c>
      <c r="C178" s="30" t="s">
        <v>19454</v>
      </c>
    </row>
    <row r="179">
      <c r="A179" s="30" t="s">
        <v>19459</v>
      </c>
      <c r="B179" s="31" t="s">
        <v>19460</v>
      </c>
      <c r="C179" s="30" t="s">
        <v>19454</v>
      </c>
    </row>
    <row r="180">
      <c r="A180" s="30" t="s">
        <v>19461</v>
      </c>
      <c r="B180" s="31" t="s">
        <v>19462</v>
      </c>
      <c r="C180" s="30" t="s">
        <v>19463</v>
      </c>
    </row>
    <row r="181">
      <c r="A181" s="30" t="s">
        <v>19464</v>
      </c>
      <c r="B181" s="31" t="s">
        <v>19465</v>
      </c>
      <c r="C181" s="30" t="s">
        <v>19463</v>
      </c>
    </row>
    <row r="182">
      <c r="A182" s="30" t="s">
        <v>19466</v>
      </c>
      <c r="B182" s="31" t="s">
        <v>19467</v>
      </c>
      <c r="C182" s="30" t="s">
        <v>19463</v>
      </c>
    </row>
    <row r="183">
      <c r="A183" s="30" t="s">
        <v>19468</v>
      </c>
      <c r="B183" s="31" t="s">
        <v>19469</v>
      </c>
      <c r="C183" s="30" t="s">
        <v>19470</v>
      </c>
    </row>
    <row r="184">
      <c r="A184" s="30" t="s">
        <v>19471</v>
      </c>
      <c r="B184" s="31" t="s">
        <v>19472</v>
      </c>
      <c r="C184" s="30" t="s">
        <v>19470</v>
      </c>
    </row>
    <row r="185">
      <c r="A185" s="30" t="s">
        <v>19473</v>
      </c>
      <c r="B185" s="31" t="s">
        <v>19474</v>
      </c>
      <c r="C185" s="30" t="s">
        <v>19470</v>
      </c>
    </row>
    <row r="186">
      <c r="A186" s="30" t="s">
        <v>19475</v>
      </c>
      <c r="B186" s="31" t="s">
        <v>19476</v>
      </c>
      <c r="C186" s="30" t="s">
        <v>19477</v>
      </c>
    </row>
    <row r="187">
      <c r="A187" s="30" t="s">
        <v>19478</v>
      </c>
      <c r="B187" s="31" t="s">
        <v>19479</v>
      </c>
      <c r="C187" s="30" t="s">
        <v>19477</v>
      </c>
    </row>
    <row r="188">
      <c r="A188" s="30" t="s">
        <v>19480</v>
      </c>
      <c r="B188" s="31" t="s">
        <v>19481</v>
      </c>
      <c r="C188" s="30" t="s">
        <v>19477</v>
      </c>
    </row>
    <row r="189">
      <c r="A189" s="30" t="s">
        <v>19482</v>
      </c>
      <c r="B189" s="31" t="s">
        <v>19483</v>
      </c>
      <c r="C189" s="30" t="s">
        <v>19477</v>
      </c>
    </row>
    <row r="190">
      <c r="A190" s="30" t="s">
        <v>19484</v>
      </c>
      <c r="B190" s="31" t="s">
        <v>19485</v>
      </c>
      <c r="C190" s="30" t="s">
        <v>19477</v>
      </c>
    </row>
    <row r="191">
      <c r="A191" s="30" t="s">
        <v>19486</v>
      </c>
      <c r="B191" s="31" t="s">
        <v>19487</v>
      </c>
      <c r="C191" s="30" t="s">
        <v>19477</v>
      </c>
    </row>
    <row r="192">
      <c r="A192" s="30" t="s">
        <v>19488</v>
      </c>
      <c r="B192" s="31" t="s">
        <v>19489</v>
      </c>
      <c r="C192" s="30" t="s">
        <v>19490</v>
      </c>
    </row>
    <row r="193">
      <c r="A193" s="30" t="s">
        <v>19491</v>
      </c>
      <c r="B193" s="31" t="s">
        <v>19492</v>
      </c>
      <c r="C193" s="30" t="s">
        <v>19490</v>
      </c>
    </row>
    <row r="194">
      <c r="A194" s="30" t="s">
        <v>19493</v>
      </c>
      <c r="B194" s="31" t="s">
        <v>19494</v>
      </c>
      <c r="C194" s="30" t="s">
        <v>19490</v>
      </c>
    </row>
    <row r="195">
      <c r="A195" s="30" t="s">
        <v>19495</v>
      </c>
      <c r="B195" s="31" t="s">
        <v>19496</v>
      </c>
      <c r="C195" s="30" t="s">
        <v>19490</v>
      </c>
    </row>
    <row r="196">
      <c r="A196" s="30" t="s">
        <v>19497</v>
      </c>
      <c r="B196" s="31" t="s">
        <v>19498</v>
      </c>
      <c r="C196" s="30" t="s">
        <v>19490</v>
      </c>
    </row>
    <row r="197">
      <c r="A197" s="30" t="s">
        <v>19499</v>
      </c>
      <c r="B197" s="31" t="s">
        <v>19500</v>
      </c>
      <c r="C197" s="30" t="s">
        <v>19490</v>
      </c>
    </row>
    <row r="198">
      <c r="A198" s="30" t="s">
        <v>19501</v>
      </c>
      <c r="B198" s="31" t="s">
        <v>19502</v>
      </c>
      <c r="C198" s="30" t="s">
        <v>19490</v>
      </c>
    </row>
    <row r="199">
      <c r="A199" s="30" t="s">
        <v>19503</v>
      </c>
      <c r="B199" s="31" t="s">
        <v>19504</v>
      </c>
      <c r="C199" s="30" t="s">
        <v>19490</v>
      </c>
    </row>
    <row r="200">
      <c r="A200" s="30" t="s">
        <v>19505</v>
      </c>
      <c r="B200" s="31" t="s">
        <v>19506</v>
      </c>
      <c r="C200" s="30" t="s">
        <v>19507</v>
      </c>
    </row>
    <row r="201">
      <c r="A201" s="30" t="s">
        <v>19508</v>
      </c>
      <c r="B201" s="31" t="s">
        <v>19509</v>
      </c>
      <c r="C201" s="30" t="s">
        <v>19507</v>
      </c>
    </row>
    <row r="202">
      <c r="A202" s="30" t="s">
        <v>19510</v>
      </c>
      <c r="B202" s="31" t="s">
        <v>19511</v>
      </c>
      <c r="C202" s="30" t="s">
        <v>19507</v>
      </c>
    </row>
    <row r="203">
      <c r="A203" s="30" t="s">
        <v>19512</v>
      </c>
      <c r="B203" s="31" t="s">
        <v>19513</v>
      </c>
      <c r="C203" s="30" t="s">
        <v>19507</v>
      </c>
    </row>
    <row r="204">
      <c r="A204" s="30" t="s">
        <v>19514</v>
      </c>
      <c r="B204" s="31" t="s">
        <v>19515</v>
      </c>
      <c r="C204" s="30" t="s">
        <v>19507</v>
      </c>
    </row>
    <row r="205">
      <c r="A205" s="30" t="s">
        <v>19516</v>
      </c>
      <c r="B205" s="31" t="s">
        <v>19517</v>
      </c>
      <c r="C205" s="30" t="s">
        <v>19507</v>
      </c>
    </row>
    <row r="206">
      <c r="A206" s="30" t="s">
        <v>19518</v>
      </c>
      <c r="B206" s="31" t="s">
        <v>19519</v>
      </c>
      <c r="C206" s="30" t="s">
        <v>19507</v>
      </c>
    </row>
    <row r="207">
      <c r="A207" s="30" t="s">
        <v>19520</v>
      </c>
      <c r="B207" s="31" t="s">
        <v>19521</v>
      </c>
      <c r="C207" s="30" t="s">
        <v>19507</v>
      </c>
    </row>
    <row r="208">
      <c r="A208" s="30" t="s">
        <v>19522</v>
      </c>
      <c r="B208" s="31" t="s">
        <v>19523</v>
      </c>
      <c r="C208" s="30" t="s">
        <v>19507</v>
      </c>
    </row>
    <row r="209">
      <c r="A209" s="30" t="s">
        <v>19524</v>
      </c>
      <c r="B209" s="31" t="s">
        <v>19525</v>
      </c>
      <c r="C209" s="30" t="s">
        <v>19507</v>
      </c>
    </row>
    <row r="210">
      <c r="A210" s="30" t="s">
        <v>19526</v>
      </c>
      <c r="B210" s="31" t="s">
        <v>19527</v>
      </c>
      <c r="C210" s="30" t="s">
        <v>19528</v>
      </c>
    </row>
    <row r="211">
      <c r="A211" s="30" t="s">
        <v>19529</v>
      </c>
      <c r="B211" s="31" t="s">
        <v>19530</v>
      </c>
      <c r="C211" s="30" t="s">
        <v>19528</v>
      </c>
    </row>
    <row r="212">
      <c r="A212" s="30" t="s">
        <v>19531</v>
      </c>
      <c r="B212" s="31" t="s">
        <v>19532</v>
      </c>
      <c r="C212" s="30" t="s">
        <v>19528</v>
      </c>
    </row>
    <row r="213">
      <c r="A213" s="30" t="s">
        <v>19486</v>
      </c>
      <c r="B213" s="31" t="s">
        <v>19533</v>
      </c>
      <c r="C213" s="30" t="s">
        <v>19528</v>
      </c>
    </row>
    <row r="214">
      <c r="A214" s="30" t="s">
        <v>19534</v>
      </c>
      <c r="B214" s="31" t="s">
        <v>19535</v>
      </c>
      <c r="C214" s="30" t="s">
        <v>19528</v>
      </c>
    </row>
    <row r="215">
      <c r="A215" s="30" t="s">
        <v>19536</v>
      </c>
      <c r="B215" s="31" t="s">
        <v>19537</v>
      </c>
      <c r="C215" s="30" t="s">
        <v>19528</v>
      </c>
    </row>
    <row r="216">
      <c r="A216" s="30" t="s">
        <v>19170</v>
      </c>
      <c r="B216" s="31" t="s">
        <v>19538</v>
      </c>
      <c r="C216" s="30" t="s">
        <v>19528</v>
      </c>
    </row>
    <row r="217">
      <c r="A217" s="30" t="s">
        <v>19539</v>
      </c>
      <c r="B217" s="31" t="s">
        <v>19540</v>
      </c>
      <c r="C217" s="30" t="s">
        <v>19528</v>
      </c>
    </row>
    <row r="218">
      <c r="A218" s="30" t="s">
        <v>19541</v>
      </c>
      <c r="B218" s="31" t="s">
        <v>19542</v>
      </c>
      <c r="C218" s="30" t="s">
        <v>19528</v>
      </c>
    </row>
    <row r="219">
      <c r="A219" s="30" t="s">
        <v>19543</v>
      </c>
      <c r="B219" s="31" t="s">
        <v>19544</v>
      </c>
      <c r="C219" s="30" t="s">
        <v>19545</v>
      </c>
    </row>
    <row r="220">
      <c r="A220" s="30" t="s">
        <v>19546</v>
      </c>
      <c r="B220" s="31" t="s">
        <v>19547</v>
      </c>
      <c r="C220" s="30" t="s">
        <v>19545</v>
      </c>
    </row>
    <row r="221">
      <c r="A221" s="30" t="s">
        <v>19548</v>
      </c>
      <c r="B221" s="31" t="s">
        <v>19549</v>
      </c>
      <c r="C221" s="30" t="s">
        <v>19545</v>
      </c>
    </row>
    <row r="222">
      <c r="A222" s="30" t="s">
        <v>19550</v>
      </c>
      <c r="B222" s="31" t="s">
        <v>19551</v>
      </c>
      <c r="C222" s="30" t="s">
        <v>19545</v>
      </c>
    </row>
    <row r="223">
      <c r="A223" s="30" t="s">
        <v>19552</v>
      </c>
      <c r="B223" s="31" t="s">
        <v>19553</v>
      </c>
      <c r="C223" s="30" t="s">
        <v>19545</v>
      </c>
    </row>
    <row r="224">
      <c r="A224" s="30" t="s">
        <v>19554</v>
      </c>
      <c r="B224" s="31" t="s">
        <v>19555</v>
      </c>
      <c r="C224" s="30" t="s">
        <v>19545</v>
      </c>
    </row>
    <row r="225">
      <c r="A225" s="30" t="s">
        <v>19556</v>
      </c>
      <c r="B225" s="31" t="s">
        <v>19557</v>
      </c>
      <c r="C225" s="30" t="s">
        <v>19545</v>
      </c>
    </row>
    <row r="226">
      <c r="A226" s="30" t="s">
        <v>19558</v>
      </c>
      <c r="B226" s="31" t="s">
        <v>19559</v>
      </c>
      <c r="C226" s="30" t="s">
        <v>19545</v>
      </c>
    </row>
    <row r="227">
      <c r="A227" s="30" t="s">
        <v>19560</v>
      </c>
      <c r="B227" s="31" t="s">
        <v>19561</v>
      </c>
      <c r="C227" s="30" t="s">
        <v>19545</v>
      </c>
    </row>
    <row r="228">
      <c r="A228" s="30" t="s">
        <v>19562</v>
      </c>
      <c r="B228" s="31" t="s">
        <v>19563</v>
      </c>
      <c r="C228" s="30" t="s">
        <v>19545</v>
      </c>
    </row>
    <row r="229">
      <c r="A229" s="30" t="s">
        <v>19564</v>
      </c>
      <c r="B229" s="31" t="s">
        <v>19565</v>
      </c>
      <c r="C229" s="30" t="s">
        <v>19545</v>
      </c>
    </row>
    <row r="230">
      <c r="A230" s="30" t="s">
        <v>19566</v>
      </c>
      <c r="B230" s="31" t="s">
        <v>19567</v>
      </c>
      <c r="C230" s="30" t="s">
        <v>19545</v>
      </c>
    </row>
    <row r="231">
      <c r="A231" s="30" t="s">
        <v>19568</v>
      </c>
      <c r="B231" s="31" t="s">
        <v>19569</v>
      </c>
      <c r="C231" s="30" t="s">
        <v>19545</v>
      </c>
    </row>
    <row r="232">
      <c r="A232" s="30" t="s">
        <v>19570</v>
      </c>
      <c r="B232" s="31" t="s">
        <v>19571</v>
      </c>
      <c r="C232" s="30" t="s">
        <v>19545</v>
      </c>
    </row>
    <row r="233">
      <c r="A233" s="30" t="s">
        <v>19572</v>
      </c>
      <c r="B233" s="31" t="s">
        <v>19573</v>
      </c>
      <c r="C233" s="30" t="s">
        <v>19574</v>
      </c>
    </row>
    <row r="234">
      <c r="A234" s="30" t="s">
        <v>19575</v>
      </c>
      <c r="B234" s="31" t="s">
        <v>19576</v>
      </c>
      <c r="C234" s="30" t="s">
        <v>19574</v>
      </c>
    </row>
    <row r="235">
      <c r="A235" s="30" t="s">
        <v>19577</v>
      </c>
      <c r="B235" s="31" t="s">
        <v>19578</v>
      </c>
      <c r="C235" s="30" t="s">
        <v>19574</v>
      </c>
    </row>
    <row r="236">
      <c r="A236" s="30" t="s">
        <v>19579</v>
      </c>
      <c r="B236" s="31" t="s">
        <v>19580</v>
      </c>
      <c r="C236" s="30" t="s">
        <v>19581</v>
      </c>
    </row>
    <row r="237">
      <c r="A237" s="30" t="s">
        <v>19582</v>
      </c>
      <c r="B237" s="31" t="s">
        <v>19583</v>
      </c>
      <c r="C237" s="30" t="s">
        <v>19581</v>
      </c>
    </row>
    <row r="238">
      <c r="A238" s="30" t="s">
        <v>19584</v>
      </c>
      <c r="B238" s="31" t="s">
        <v>19585</v>
      </c>
      <c r="C238" s="30" t="s">
        <v>19581</v>
      </c>
    </row>
    <row r="239">
      <c r="A239" s="30" t="s">
        <v>19586</v>
      </c>
      <c r="B239" s="31" t="s">
        <v>19587</v>
      </c>
      <c r="C239" s="30" t="s">
        <v>19581</v>
      </c>
    </row>
    <row r="240">
      <c r="A240" s="30" t="s">
        <v>19588</v>
      </c>
      <c r="B240" s="31" t="s">
        <v>19589</v>
      </c>
      <c r="C240" s="30" t="s">
        <v>19581</v>
      </c>
    </row>
    <row r="241">
      <c r="A241" s="30" t="s">
        <v>19590</v>
      </c>
      <c r="B241" s="31" t="s">
        <v>19591</v>
      </c>
      <c r="C241" s="30" t="s">
        <v>19581</v>
      </c>
    </row>
    <row r="242">
      <c r="A242" s="30" t="s">
        <v>19592</v>
      </c>
      <c r="B242" s="31" t="s">
        <v>19593</v>
      </c>
      <c r="C242" s="30" t="s">
        <v>19581</v>
      </c>
    </row>
    <row r="243">
      <c r="A243" s="30" t="s">
        <v>19594</v>
      </c>
      <c r="B243" s="31" t="s">
        <v>19595</v>
      </c>
      <c r="C243" s="30" t="s">
        <v>19596</v>
      </c>
    </row>
    <row r="244">
      <c r="A244" s="30" t="s">
        <v>19597</v>
      </c>
      <c r="B244" s="31" t="s">
        <v>19598</v>
      </c>
      <c r="C244" s="30" t="s">
        <v>19596</v>
      </c>
    </row>
    <row r="245">
      <c r="A245" s="30" t="s">
        <v>19599</v>
      </c>
      <c r="B245" s="31" t="s">
        <v>19600</v>
      </c>
      <c r="C245" s="30" t="s">
        <v>19596</v>
      </c>
    </row>
    <row r="246">
      <c r="A246" s="30" t="s">
        <v>19381</v>
      </c>
      <c r="B246" s="31" t="s">
        <v>19601</v>
      </c>
      <c r="C246" s="30" t="s">
        <v>19596</v>
      </c>
    </row>
    <row r="247">
      <c r="A247" s="30" t="s">
        <v>19602</v>
      </c>
      <c r="B247" s="31" t="s">
        <v>19603</v>
      </c>
      <c r="C247" s="30" t="s">
        <v>19604</v>
      </c>
    </row>
    <row r="248">
      <c r="A248" s="30" t="s">
        <v>19605</v>
      </c>
      <c r="B248" s="31" t="s">
        <v>19606</v>
      </c>
      <c r="C248" s="30" t="s">
        <v>19604</v>
      </c>
    </row>
    <row r="249">
      <c r="A249" s="30" t="s">
        <v>19607</v>
      </c>
      <c r="B249" s="31" t="s">
        <v>19608</v>
      </c>
      <c r="C249" s="30" t="s">
        <v>19604</v>
      </c>
    </row>
    <row r="250">
      <c r="A250" s="30" t="s">
        <v>19609</v>
      </c>
      <c r="B250" s="31" t="s">
        <v>19610</v>
      </c>
      <c r="C250" s="30" t="s">
        <v>19604</v>
      </c>
    </row>
    <row r="251">
      <c r="A251" s="30" t="s">
        <v>19611</v>
      </c>
      <c r="B251" s="31" t="s">
        <v>19612</v>
      </c>
      <c r="C251" s="30" t="s">
        <v>19604</v>
      </c>
    </row>
    <row r="252">
      <c r="A252" s="30" t="s">
        <v>19613</v>
      </c>
      <c r="B252" s="31" t="s">
        <v>19614</v>
      </c>
      <c r="C252" s="30" t="s">
        <v>19604</v>
      </c>
    </row>
    <row r="253">
      <c r="A253" s="30" t="s">
        <v>19615</v>
      </c>
      <c r="B253" s="31" t="s">
        <v>19616</v>
      </c>
      <c r="C253" s="30" t="s">
        <v>19604</v>
      </c>
    </row>
    <row r="254">
      <c r="A254" s="30" t="s">
        <v>19617</v>
      </c>
      <c r="B254" s="31" t="s">
        <v>19618</v>
      </c>
      <c r="C254" s="30" t="s">
        <v>19619</v>
      </c>
    </row>
    <row r="255">
      <c r="A255" s="30" t="s">
        <v>19620</v>
      </c>
      <c r="B255" s="31" t="s">
        <v>19621</v>
      </c>
      <c r="C255" s="30" t="s">
        <v>19619</v>
      </c>
    </row>
    <row r="256">
      <c r="A256" s="30" t="s">
        <v>19622</v>
      </c>
      <c r="B256" s="31" t="s">
        <v>19623</v>
      </c>
      <c r="C256" s="30" t="s">
        <v>19619</v>
      </c>
    </row>
    <row r="257">
      <c r="A257" s="30" t="s">
        <v>19624</v>
      </c>
      <c r="B257" s="31" t="s">
        <v>19625</v>
      </c>
      <c r="C257" s="30" t="s">
        <v>19619</v>
      </c>
    </row>
    <row r="258">
      <c r="A258" s="30" t="s">
        <v>19626</v>
      </c>
      <c r="B258" s="31" t="s">
        <v>19627</v>
      </c>
      <c r="C258" s="30" t="s">
        <v>19628</v>
      </c>
    </row>
    <row r="259">
      <c r="A259" s="30" t="s">
        <v>19629</v>
      </c>
      <c r="B259" s="31" t="s">
        <v>19630</v>
      </c>
      <c r="C259" s="30" t="s">
        <v>19628</v>
      </c>
    </row>
    <row r="260">
      <c r="A260" s="30" t="s">
        <v>19189</v>
      </c>
      <c r="B260" s="31" t="s">
        <v>19631</v>
      </c>
      <c r="C260" s="30" t="s">
        <v>19628</v>
      </c>
    </row>
    <row r="261">
      <c r="A261" s="30" t="s">
        <v>19632</v>
      </c>
      <c r="B261" s="31" t="s">
        <v>19633</v>
      </c>
      <c r="C261" s="30" t="s">
        <v>19634</v>
      </c>
    </row>
    <row r="262">
      <c r="A262" s="30" t="s">
        <v>19635</v>
      </c>
      <c r="B262" s="31" t="s">
        <v>19636</v>
      </c>
      <c r="C262" s="30" t="s">
        <v>19634</v>
      </c>
    </row>
    <row r="263">
      <c r="A263" s="30" t="s">
        <v>19637</v>
      </c>
      <c r="B263" s="31" t="s">
        <v>19638</v>
      </c>
      <c r="C263" s="30" t="s">
        <v>19639</v>
      </c>
    </row>
    <row r="264">
      <c r="A264" s="30" t="s">
        <v>19640</v>
      </c>
      <c r="B264" s="31" t="s">
        <v>19641</v>
      </c>
      <c r="C264" s="30" t="s">
        <v>19639</v>
      </c>
    </row>
    <row r="265">
      <c r="A265" s="30" t="s">
        <v>19642</v>
      </c>
      <c r="B265" s="31" t="s">
        <v>19643</v>
      </c>
      <c r="C265" s="30" t="s">
        <v>19639</v>
      </c>
    </row>
    <row r="266">
      <c r="A266" s="30" t="s">
        <v>19644</v>
      </c>
      <c r="B266" s="31" t="s">
        <v>19645</v>
      </c>
      <c r="C266" s="30" t="s">
        <v>19639</v>
      </c>
    </row>
    <row r="267">
      <c r="A267" s="30" t="s">
        <v>19646</v>
      </c>
      <c r="B267" s="31" t="s">
        <v>19647</v>
      </c>
      <c r="C267" s="30" t="s">
        <v>19639</v>
      </c>
    </row>
    <row r="268">
      <c r="A268" s="30" t="s">
        <v>19219</v>
      </c>
      <c r="B268" s="31" t="s">
        <v>19648</v>
      </c>
      <c r="C268" s="30" t="s">
        <v>19649</v>
      </c>
    </row>
    <row r="269">
      <c r="A269" s="30" t="s">
        <v>19457</v>
      </c>
      <c r="B269" s="31" t="s">
        <v>19650</v>
      </c>
      <c r="C269" s="30" t="s">
        <v>19649</v>
      </c>
    </row>
    <row r="270">
      <c r="A270" s="30" t="s">
        <v>19651</v>
      </c>
      <c r="B270" s="31" t="s">
        <v>19652</v>
      </c>
      <c r="C270" s="30" t="s">
        <v>19649</v>
      </c>
    </row>
    <row r="271">
      <c r="A271" s="30" t="s">
        <v>19653</v>
      </c>
      <c r="B271" s="31" t="s">
        <v>19654</v>
      </c>
      <c r="C271" s="30" t="s">
        <v>19649</v>
      </c>
    </row>
    <row r="272">
      <c r="A272" s="30" t="s">
        <v>19655</v>
      </c>
      <c r="B272" s="31" t="s">
        <v>19656</v>
      </c>
      <c r="C272" s="30" t="s">
        <v>19649</v>
      </c>
    </row>
    <row r="273">
      <c r="A273" s="30" t="s">
        <v>19657</v>
      </c>
      <c r="B273" s="31" t="s">
        <v>19658</v>
      </c>
      <c r="C273" s="30" t="s">
        <v>19649</v>
      </c>
    </row>
    <row r="274">
      <c r="A274" s="30" t="s">
        <v>19659</v>
      </c>
      <c r="B274" s="31" t="s">
        <v>19660</v>
      </c>
      <c r="C274" s="30" t="s">
        <v>19649</v>
      </c>
    </row>
    <row r="275">
      <c r="A275" s="30" t="s">
        <v>19661</v>
      </c>
      <c r="B275" s="31" t="s">
        <v>19662</v>
      </c>
      <c r="C275" s="30" t="s">
        <v>19649</v>
      </c>
    </row>
    <row r="276">
      <c r="A276" s="30" t="s">
        <v>19663</v>
      </c>
      <c r="B276" s="31" t="s">
        <v>19664</v>
      </c>
      <c r="C276" s="30" t="s">
        <v>19649</v>
      </c>
    </row>
    <row r="277">
      <c r="A277" s="30" t="s">
        <v>19665</v>
      </c>
      <c r="B277" s="31" t="s">
        <v>19666</v>
      </c>
      <c r="C277" s="30" t="s">
        <v>19649</v>
      </c>
    </row>
    <row r="278">
      <c r="A278" s="30" t="s">
        <v>19667</v>
      </c>
      <c r="B278" s="31" t="s">
        <v>19668</v>
      </c>
      <c r="C278" s="30" t="s">
        <v>19649</v>
      </c>
    </row>
    <row r="279">
      <c r="A279" s="30" t="s">
        <v>19669</v>
      </c>
      <c r="B279" s="31" t="s">
        <v>19670</v>
      </c>
      <c r="C279" s="30" t="s">
        <v>19649</v>
      </c>
    </row>
    <row r="280">
      <c r="A280" s="30" t="s">
        <v>19671</v>
      </c>
      <c r="B280" s="31" t="s">
        <v>19672</v>
      </c>
      <c r="C280" s="30" t="s">
        <v>19673</v>
      </c>
    </row>
    <row r="281">
      <c r="A281" s="30" t="s">
        <v>19674</v>
      </c>
      <c r="B281" s="31" t="s">
        <v>19675</v>
      </c>
      <c r="C281" s="30" t="s">
        <v>19673</v>
      </c>
    </row>
    <row r="282">
      <c r="A282" s="30" t="s">
        <v>19676</v>
      </c>
      <c r="B282" s="31" t="s">
        <v>19677</v>
      </c>
      <c r="C282" s="30" t="s">
        <v>19673</v>
      </c>
    </row>
    <row r="283">
      <c r="A283" s="30" t="s">
        <v>19678</v>
      </c>
      <c r="B283" s="31" t="s">
        <v>19679</v>
      </c>
      <c r="C283" s="30" t="s">
        <v>19673</v>
      </c>
    </row>
    <row r="284">
      <c r="A284" s="30" t="s">
        <v>19680</v>
      </c>
      <c r="B284" s="31" t="s">
        <v>19681</v>
      </c>
      <c r="C284" s="30" t="s">
        <v>19673</v>
      </c>
    </row>
    <row r="285">
      <c r="A285" s="30" t="s">
        <v>19682</v>
      </c>
      <c r="B285" s="31" t="s">
        <v>19683</v>
      </c>
      <c r="C285" s="30" t="s">
        <v>19673</v>
      </c>
    </row>
    <row r="286">
      <c r="A286" s="30" t="s">
        <v>19684</v>
      </c>
      <c r="B286" s="31" t="s">
        <v>19685</v>
      </c>
      <c r="C286" s="30" t="s">
        <v>19673</v>
      </c>
    </row>
    <row r="287">
      <c r="A287" s="30" t="s">
        <v>19686</v>
      </c>
      <c r="B287" s="31" t="s">
        <v>19687</v>
      </c>
      <c r="C287" s="30" t="s">
        <v>19673</v>
      </c>
    </row>
    <row r="288">
      <c r="A288" s="30" t="s">
        <v>19688</v>
      </c>
      <c r="B288" s="31" t="s">
        <v>19689</v>
      </c>
      <c r="C288" s="30" t="s">
        <v>19673</v>
      </c>
    </row>
    <row r="289">
      <c r="A289" s="30" t="s">
        <v>19690</v>
      </c>
      <c r="B289" s="31" t="s">
        <v>19691</v>
      </c>
      <c r="C289" s="30" t="s">
        <v>19673</v>
      </c>
    </row>
    <row r="290">
      <c r="A290" s="30" t="s">
        <v>19692</v>
      </c>
      <c r="B290" s="31" t="s">
        <v>19693</v>
      </c>
      <c r="C290" s="30" t="s">
        <v>19673</v>
      </c>
    </row>
    <row r="291">
      <c r="A291" s="30" t="s">
        <v>19694</v>
      </c>
      <c r="B291" s="31" t="s">
        <v>19695</v>
      </c>
      <c r="C291" s="30" t="s">
        <v>19673</v>
      </c>
    </row>
    <row r="292">
      <c r="A292" s="30" t="s">
        <v>19696</v>
      </c>
      <c r="B292" s="31" t="s">
        <v>19697</v>
      </c>
      <c r="C292" s="30" t="s">
        <v>19673</v>
      </c>
    </row>
    <row r="293">
      <c r="A293" s="30" t="s">
        <v>19698</v>
      </c>
      <c r="B293" s="31" t="s">
        <v>19699</v>
      </c>
      <c r="C293" s="30" t="s">
        <v>19673</v>
      </c>
    </row>
    <row r="294">
      <c r="A294" s="30" t="s">
        <v>19700</v>
      </c>
      <c r="B294" s="31" t="s">
        <v>19701</v>
      </c>
      <c r="C294" s="30" t="s">
        <v>19673</v>
      </c>
    </row>
    <row r="295">
      <c r="A295" s="30" t="s">
        <v>19702</v>
      </c>
      <c r="B295" s="31" t="s">
        <v>19703</v>
      </c>
      <c r="C295" s="30" t="s">
        <v>19704</v>
      </c>
    </row>
    <row r="296">
      <c r="A296" s="30" t="s">
        <v>19705</v>
      </c>
      <c r="B296" s="31" t="s">
        <v>19706</v>
      </c>
      <c r="C296" s="30" t="s">
        <v>19704</v>
      </c>
    </row>
    <row r="297">
      <c r="A297" s="30" t="s">
        <v>19707</v>
      </c>
      <c r="B297" s="31" t="s">
        <v>19708</v>
      </c>
      <c r="C297" s="30" t="s">
        <v>19704</v>
      </c>
    </row>
    <row r="298">
      <c r="A298" s="30" t="s">
        <v>19709</v>
      </c>
      <c r="B298" s="31" t="s">
        <v>19710</v>
      </c>
      <c r="C298" s="30" t="s">
        <v>19704</v>
      </c>
    </row>
    <row r="299">
      <c r="A299" s="30" t="s">
        <v>19711</v>
      </c>
      <c r="B299" s="31" t="s">
        <v>19712</v>
      </c>
      <c r="C299" s="30" t="s">
        <v>19704</v>
      </c>
    </row>
    <row r="300">
      <c r="A300" s="30" t="s">
        <v>19713</v>
      </c>
      <c r="B300" s="31" t="s">
        <v>19714</v>
      </c>
      <c r="C300" s="30" t="s">
        <v>19715</v>
      </c>
    </row>
    <row r="301">
      <c r="A301" s="30" t="s">
        <v>19716</v>
      </c>
      <c r="B301" s="31" t="s">
        <v>19717</v>
      </c>
      <c r="C301" s="30" t="s">
        <v>19715</v>
      </c>
    </row>
    <row r="302">
      <c r="A302" s="30" t="s">
        <v>19718</v>
      </c>
      <c r="B302" s="31" t="s">
        <v>19719</v>
      </c>
      <c r="C302" s="30" t="s">
        <v>19715</v>
      </c>
    </row>
    <row r="303">
      <c r="A303" s="30" t="s">
        <v>19720</v>
      </c>
      <c r="B303" s="31" t="s">
        <v>19721</v>
      </c>
      <c r="C303" s="30" t="s">
        <v>19715</v>
      </c>
    </row>
    <row r="304">
      <c r="A304" s="30" t="s">
        <v>19722</v>
      </c>
      <c r="B304" s="31" t="s">
        <v>19723</v>
      </c>
      <c r="C304" s="30" t="s">
        <v>19715</v>
      </c>
    </row>
    <row r="305">
      <c r="A305" s="30" t="s">
        <v>19724</v>
      </c>
      <c r="B305" s="31" t="s">
        <v>19725</v>
      </c>
      <c r="C305" s="30" t="s">
        <v>19715</v>
      </c>
    </row>
    <row r="306">
      <c r="A306" s="30" t="s">
        <v>19726</v>
      </c>
      <c r="B306" s="31" t="s">
        <v>19727</v>
      </c>
      <c r="C306" s="30" t="s">
        <v>19715</v>
      </c>
    </row>
    <row r="307">
      <c r="A307" s="30" t="s">
        <v>19728</v>
      </c>
      <c r="B307" s="31" t="s">
        <v>19729</v>
      </c>
      <c r="C307" s="30" t="s">
        <v>19715</v>
      </c>
    </row>
    <row r="308">
      <c r="A308" s="30" t="s">
        <v>19730</v>
      </c>
      <c r="B308" s="31" t="s">
        <v>19731</v>
      </c>
      <c r="C308" s="30" t="s">
        <v>19715</v>
      </c>
    </row>
    <row r="309">
      <c r="A309" s="30" t="s">
        <v>19732</v>
      </c>
      <c r="B309" s="31" t="s">
        <v>19733</v>
      </c>
      <c r="C309" s="30" t="s">
        <v>19715</v>
      </c>
    </row>
    <row r="310">
      <c r="A310" s="30" t="s">
        <v>19734</v>
      </c>
      <c r="B310" s="31" t="s">
        <v>19735</v>
      </c>
      <c r="C310" s="30" t="s">
        <v>19715</v>
      </c>
    </row>
    <row r="311">
      <c r="A311" s="30" t="s">
        <v>19736</v>
      </c>
      <c r="B311" s="31" t="s">
        <v>19737</v>
      </c>
      <c r="C311" s="30" t="s">
        <v>19715</v>
      </c>
    </row>
    <row r="312">
      <c r="A312" s="30" t="s">
        <v>19738</v>
      </c>
      <c r="B312" s="31" t="s">
        <v>19739</v>
      </c>
      <c r="C312" s="30" t="s">
        <v>19715</v>
      </c>
    </row>
    <row r="313">
      <c r="A313" s="30" t="s">
        <v>19740</v>
      </c>
      <c r="B313" s="31" t="s">
        <v>19741</v>
      </c>
      <c r="C313" s="30" t="s">
        <v>19742</v>
      </c>
    </row>
    <row r="314">
      <c r="A314" s="30" t="s">
        <v>19743</v>
      </c>
      <c r="B314" s="31" t="s">
        <v>19744</v>
      </c>
      <c r="C314" s="30" t="s">
        <v>19742</v>
      </c>
    </row>
    <row r="315">
      <c r="A315" s="30" t="s">
        <v>19745</v>
      </c>
      <c r="B315" s="31" t="s">
        <v>19746</v>
      </c>
      <c r="C315" s="30" t="s">
        <v>19742</v>
      </c>
    </row>
    <row r="316">
      <c r="A316" s="30" t="s">
        <v>19747</v>
      </c>
      <c r="B316" s="31" t="s">
        <v>19748</v>
      </c>
      <c r="C316" s="30" t="s">
        <v>19742</v>
      </c>
    </row>
    <row r="317">
      <c r="A317" s="30" t="s">
        <v>19749</v>
      </c>
      <c r="B317" s="31" t="s">
        <v>19750</v>
      </c>
      <c r="C317" s="30" t="s">
        <v>19742</v>
      </c>
    </row>
    <row r="318">
      <c r="A318" s="30" t="s">
        <v>19751</v>
      </c>
      <c r="B318" s="31" t="s">
        <v>19752</v>
      </c>
      <c r="C318" s="30" t="s">
        <v>19742</v>
      </c>
    </row>
    <row r="319">
      <c r="A319" s="30" t="s">
        <v>19753</v>
      </c>
      <c r="B319" s="31" t="s">
        <v>19754</v>
      </c>
      <c r="C319" s="30" t="s">
        <v>19742</v>
      </c>
    </row>
    <row r="320">
      <c r="A320" s="30" t="s">
        <v>19755</v>
      </c>
      <c r="B320" s="31" t="s">
        <v>19756</v>
      </c>
      <c r="C320" s="30" t="s">
        <v>19742</v>
      </c>
    </row>
    <row r="321">
      <c r="A321" s="30" t="s">
        <v>19757</v>
      </c>
      <c r="B321" s="31" t="s">
        <v>19758</v>
      </c>
      <c r="C321" s="30" t="s">
        <v>19742</v>
      </c>
    </row>
    <row r="322">
      <c r="A322" s="30" t="s">
        <v>19759</v>
      </c>
      <c r="B322" s="31" t="s">
        <v>19760</v>
      </c>
      <c r="C322" s="30" t="s">
        <v>19742</v>
      </c>
    </row>
    <row r="323">
      <c r="A323" s="30" t="s">
        <v>19761</v>
      </c>
      <c r="B323" s="31" t="s">
        <v>19762</v>
      </c>
      <c r="C323" s="30" t="s">
        <v>19742</v>
      </c>
    </row>
    <row r="324">
      <c r="A324" s="30" t="s">
        <v>19763</v>
      </c>
      <c r="B324" s="31" t="s">
        <v>19764</v>
      </c>
      <c r="C324" s="30" t="s">
        <v>19742</v>
      </c>
    </row>
    <row r="325">
      <c r="A325" s="30" t="s">
        <v>19765</v>
      </c>
      <c r="B325" s="31" t="s">
        <v>19766</v>
      </c>
      <c r="C325" s="30" t="s">
        <v>19742</v>
      </c>
    </row>
    <row r="326">
      <c r="A326" s="30" t="s">
        <v>19767</v>
      </c>
      <c r="B326" s="31" t="s">
        <v>19768</v>
      </c>
      <c r="C326" s="30" t="s">
        <v>19769</v>
      </c>
    </row>
    <row r="327">
      <c r="A327" s="30" t="s">
        <v>19770</v>
      </c>
      <c r="B327" s="31" t="s">
        <v>19771</v>
      </c>
      <c r="C327" s="30" t="s">
        <v>19769</v>
      </c>
    </row>
    <row r="328">
      <c r="A328" s="30" t="s">
        <v>19772</v>
      </c>
      <c r="B328" s="31" t="s">
        <v>19773</v>
      </c>
      <c r="C328" s="30" t="s">
        <v>19769</v>
      </c>
    </row>
    <row r="329">
      <c r="A329" s="30" t="s">
        <v>19774</v>
      </c>
      <c r="B329" s="31" t="s">
        <v>19775</v>
      </c>
      <c r="C329" s="30" t="s">
        <v>19769</v>
      </c>
    </row>
    <row r="330">
      <c r="A330" s="30" t="s">
        <v>19776</v>
      </c>
      <c r="B330" s="31" t="s">
        <v>19777</v>
      </c>
      <c r="C330" s="30" t="s">
        <v>19769</v>
      </c>
    </row>
    <row r="331">
      <c r="A331" s="30" t="s">
        <v>19778</v>
      </c>
      <c r="B331" s="31" t="s">
        <v>19779</v>
      </c>
      <c r="C331" s="30" t="s">
        <v>19769</v>
      </c>
    </row>
    <row r="332">
      <c r="A332" s="30" t="s">
        <v>19780</v>
      </c>
      <c r="B332" s="31" t="s">
        <v>19781</v>
      </c>
      <c r="C332" s="30" t="s">
        <v>19769</v>
      </c>
    </row>
    <row r="333">
      <c r="A333" s="30" t="s">
        <v>19782</v>
      </c>
      <c r="B333" s="31" t="s">
        <v>19783</v>
      </c>
      <c r="C333" s="30" t="s">
        <v>19769</v>
      </c>
    </row>
    <row r="334">
      <c r="A334" s="30" t="s">
        <v>19784</v>
      </c>
      <c r="B334" s="31" t="s">
        <v>19785</v>
      </c>
      <c r="C334" s="30" t="s">
        <v>19769</v>
      </c>
    </row>
    <row r="335">
      <c r="A335" s="30" t="s">
        <v>19786</v>
      </c>
      <c r="B335" s="31" t="s">
        <v>19787</v>
      </c>
      <c r="C335" s="30" t="s">
        <v>19769</v>
      </c>
    </row>
    <row r="336">
      <c r="A336" s="30" t="s">
        <v>19788</v>
      </c>
      <c r="B336" s="31" t="s">
        <v>19789</v>
      </c>
      <c r="C336" s="30" t="s">
        <v>19769</v>
      </c>
    </row>
    <row r="337">
      <c r="A337" s="30" t="s">
        <v>19790</v>
      </c>
      <c r="B337" s="31" t="s">
        <v>19791</v>
      </c>
      <c r="C337" s="30" t="s">
        <v>19769</v>
      </c>
    </row>
    <row r="338">
      <c r="A338" s="30" t="s">
        <v>19792</v>
      </c>
      <c r="B338" s="31" t="s">
        <v>19793</v>
      </c>
      <c r="C338" s="30" t="s">
        <v>19769</v>
      </c>
    </row>
    <row r="339">
      <c r="A339" s="30" t="s">
        <v>19794</v>
      </c>
      <c r="B339" s="31" t="s">
        <v>19795</v>
      </c>
      <c r="C339" s="30" t="s">
        <v>19769</v>
      </c>
    </row>
    <row r="340">
      <c r="A340" s="30" t="s">
        <v>19796</v>
      </c>
      <c r="B340" s="31" t="s">
        <v>19797</v>
      </c>
      <c r="C340" s="30" t="s">
        <v>19798</v>
      </c>
    </row>
    <row r="341">
      <c r="A341" s="30" t="s">
        <v>19799</v>
      </c>
      <c r="B341" s="31" t="s">
        <v>19800</v>
      </c>
      <c r="C341" s="30" t="s">
        <v>19798</v>
      </c>
    </row>
    <row r="342">
      <c r="A342" s="30" t="s">
        <v>19801</v>
      </c>
      <c r="B342" s="31" t="s">
        <v>19802</v>
      </c>
      <c r="C342" s="30" t="s">
        <v>19798</v>
      </c>
    </row>
    <row r="343">
      <c r="A343" s="30" t="s">
        <v>19803</v>
      </c>
      <c r="B343" s="31" t="s">
        <v>19804</v>
      </c>
      <c r="C343" s="30" t="s">
        <v>19798</v>
      </c>
    </row>
    <row r="344">
      <c r="A344" s="30" t="s">
        <v>19805</v>
      </c>
      <c r="B344" s="31" t="s">
        <v>19806</v>
      </c>
      <c r="C344" s="30" t="s">
        <v>19798</v>
      </c>
    </row>
    <row r="345">
      <c r="A345" s="30" t="s">
        <v>19807</v>
      </c>
      <c r="B345" s="31" t="s">
        <v>19808</v>
      </c>
      <c r="C345" s="30" t="s">
        <v>19798</v>
      </c>
    </row>
    <row r="346">
      <c r="A346" s="30" t="s">
        <v>19809</v>
      </c>
      <c r="B346" s="31" t="s">
        <v>19810</v>
      </c>
      <c r="C346" s="30" t="s">
        <v>19798</v>
      </c>
    </row>
    <row r="347">
      <c r="A347" s="30" t="s">
        <v>19811</v>
      </c>
      <c r="B347" s="31" t="s">
        <v>19812</v>
      </c>
      <c r="C347" s="30" t="s">
        <v>19798</v>
      </c>
    </row>
    <row r="348">
      <c r="A348" s="30" t="s">
        <v>19813</v>
      </c>
      <c r="B348" s="31" t="s">
        <v>19814</v>
      </c>
      <c r="C348" s="30" t="s">
        <v>19798</v>
      </c>
    </row>
    <row r="349">
      <c r="A349" s="30" t="s">
        <v>19815</v>
      </c>
      <c r="B349" s="31" t="s">
        <v>19816</v>
      </c>
      <c r="C349" s="30" t="s">
        <v>19798</v>
      </c>
    </row>
    <row r="350">
      <c r="A350" s="30" t="s">
        <v>19817</v>
      </c>
      <c r="B350" s="31" t="s">
        <v>19818</v>
      </c>
      <c r="C350" s="30" t="s">
        <v>19798</v>
      </c>
    </row>
    <row r="351">
      <c r="A351" s="30" t="s">
        <v>19819</v>
      </c>
      <c r="B351" s="31" t="s">
        <v>19820</v>
      </c>
      <c r="C351" s="30" t="s">
        <v>19798</v>
      </c>
    </row>
    <row r="352">
      <c r="A352" s="30" t="s">
        <v>19821</v>
      </c>
      <c r="B352" s="31" t="s">
        <v>19822</v>
      </c>
      <c r="C352" s="30" t="s">
        <v>19798</v>
      </c>
    </row>
    <row r="353">
      <c r="A353" s="30" t="s">
        <v>19823</v>
      </c>
      <c r="B353" s="31" t="s">
        <v>19824</v>
      </c>
      <c r="C353" s="30" t="s">
        <v>19798</v>
      </c>
    </row>
    <row r="354">
      <c r="A354" s="30" t="s">
        <v>19825</v>
      </c>
      <c r="B354" s="31" t="s">
        <v>19826</v>
      </c>
      <c r="C354" s="30" t="s">
        <v>19798</v>
      </c>
    </row>
    <row r="355">
      <c r="A355" s="30" t="s">
        <v>19827</v>
      </c>
      <c r="B355" s="31" t="s">
        <v>19828</v>
      </c>
      <c r="C355" s="30" t="s">
        <v>19798</v>
      </c>
    </row>
    <row r="356">
      <c r="A356" s="30" t="s">
        <v>19829</v>
      </c>
      <c r="B356" s="31" t="s">
        <v>19830</v>
      </c>
      <c r="C356" s="30" t="s">
        <v>19798</v>
      </c>
    </row>
    <row r="357">
      <c r="A357" s="30" t="s">
        <v>19831</v>
      </c>
      <c r="B357" s="31" t="s">
        <v>19832</v>
      </c>
      <c r="C357" s="30" t="s">
        <v>19798</v>
      </c>
    </row>
    <row r="358">
      <c r="A358" s="30" t="s">
        <v>19833</v>
      </c>
      <c r="B358" s="31" t="s">
        <v>19834</v>
      </c>
      <c r="C358" s="30" t="s">
        <v>19835</v>
      </c>
    </row>
    <row r="359">
      <c r="A359" s="30" t="s">
        <v>19836</v>
      </c>
      <c r="B359" s="31" t="s">
        <v>19837</v>
      </c>
      <c r="C359" s="30" t="s">
        <v>19835</v>
      </c>
    </row>
    <row r="360">
      <c r="A360" s="30" t="s">
        <v>19838</v>
      </c>
      <c r="B360" s="31" t="s">
        <v>19839</v>
      </c>
      <c r="C360" s="30" t="s">
        <v>19835</v>
      </c>
    </row>
    <row r="361">
      <c r="A361" s="30" t="s">
        <v>19840</v>
      </c>
      <c r="B361" s="31" t="s">
        <v>19841</v>
      </c>
      <c r="C361" s="30" t="s">
        <v>19835</v>
      </c>
    </row>
    <row r="362">
      <c r="A362" s="30" t="s">
        <v>19842</v>
      </c>
      <c r="B362" s="31" t="s">
        <v>19843</v>
      </c>
      <c r="C362" s="30" t="s">
        <v>19835</v>
      </c>
    </row>
    <row r="363">
      <c r="A363" s="30" t="s">
        <v>19844</v>
      </c>
      <c r="B363" s="31" t="s">
        <v>19845</v>
      </c>
      <c r="C363" s="30" t="s">
        <v>19835</v>
      </c>
    </row>
    <row r="364">
      <c r="A364" s="30" t="s">
        <v>19846</v>
      </c>
      <c r="B364" s="31" t="s">
        <v>19847</v>
      </c>
      <c r="C364" s="30" t="s">
        <v>19835</v>
      </c>
    </row>
    <row r="365">
      <c r="A365" s="30" t="s">
        <v>19848</v>
      </c>
      <c r="B365" s="31" t="s">
        <v>19849</v>
      </c>
      <c r="C365" s="30" t="s">
        <v>19835</v>
      </c>
    </row>
    <row r="366">
      <c r="A366" s="30" t="s">
        <v>19850</v>
      </c>
      <c r="B366" s="31" t="s">
        <v>19851</v>
      </c>
      <c r="C366" s="30" t="s">
        <v>19835</v>
      </c>
    </row>
    <row r="367">
      <c r="A367" s="30" t="s">
        <v>19852</v>
      </c>
      <c r="B367" s="31" t="s">
        <v>19853</v>
      </c>
      <c r="C367" s="30" t="s">
        <v>19835</v>
      </c>
    </row>
    <row r="368">
      <c r="A368" s="30" t="s">
        <v>19854</v>
      </c>
      <c r="B368" s="31" t="s">
        <v>19855</v>
      </c>
      <c r="C368" s="30" t="s">
        <v>19856</v>
      </c>
    </row>
    <row r="369">
      <c r="A369" s="30" t="s">
        <v>19857</v>
      </c>
      <c r="B369" s="31" t="s">
        <v>19858</v>
      </c>
      <c r="C369" s="30" t="s">
        <v>19856</v>
      </c>
    </row>
    <row r="370">
      <c r="A370" s="30" t="s">
        <v>19859</v>
      </c>
      <c r="B370" s="31" t="s">
        <v>19860</v>
      </c>
      <c r="C370" s="30" t="s">
        <v>19856</v>
      </c>
    </row>
    <row r="371">
      <c r="A371" s="30" t="s">
        <v>19861</v>
      </c>
      <c r="B371" s="31" t="s">
        <v>19862</v>
      </c>
      <c r="C371" s="30" t="s">
        <v>19856</v>
      </c>
    </row>
    <row r="372">
      <c r="A372" s="30" t="s">
        <v>19863</v>
      </c>
      <c r="B372" s="31" t="s">
        <v>19864</v>
      </c>
      <c r="C372" s="30" t="s">
        <v>19856</v>
      </c>
    </row>
    <row r="373">
      <c r="A373" s="30" t="s">
        <v>19865</v>
      </c>
      <c r="B373" s="31" t="s">
        <v>19866</v>
      </c>
      <c r="C373" s="30" t="s">
        <v>19856</v>
      </c>
    </row>
    <row r="374">
      <c r="A374" s="30" t="s">
        <v>19867</v>
      </c>
      <c r="B374" s="31" t="s">
        <v>19868</v>
      </c>
      <c r="C374" s="30" t="s">
        <v>19856</v>
      </c>
    </row>
    <row r="375">
      <c r="A375" s="30" t="s">
        <v>19869</v>
      </c>
      <c r="B375" s="31" t="s">
        <v>19870</v>
      </c>
      <c r="C375" s="30" t="s">
        <v>19871</v>
      </c>
    </row>
    <row r="376">
      <c r="A376" s="30" t="s">
        <v>19872</v>
      </c>
      <c r="B376" s="31" t="s">
        <v>19873</v>
      </c>
      <c r="C376" s="30" t="s">
        <v>19871</v>
      </c>
    </row>
    <row r="377">
      <c r="A377" s="30" t="s">
        <v>19874</v>
      </c>
      <c r="B377" s="31" t="s">
        <v>19875</v>
      </c>
      <c r="C377" s="30" t="s">
        <v>19871</v>
      </c>
    </row>
    <row r="378">
      <c r="A378" s="30" t="s">
        <v>19876</v>
      </c>
      <c r="B378" s="31" t="s">
        <v>19877</v>
      </c>
      <c r="C378" s="30" t="s">
        <v>19871</v>
      </c>
    </row>
    <row r="379">
      <c r="A379" s="30" t="s">
        <v>19878</v>
      </c>
      <c r="B379" s="31" t="s">
        <v>19879</v>
      </c>
      <c r="C379" s="30" t="s">
        <v>19871</v>
      </c>
    </row>
    <row r="380">
      <c r="A380" s="30" t="s">
        <v>19880</v>
      </c>
      <c r="B380" s="31" t="s">
        <v>19881</v>
      </c>
      <c r="C380" s="30" t="s">
        <v>19871</v>
      </c>
    </row>
    <row r="381">
      <c r="A381" s="30" t="s">
        <v>19882</v>
      </c>
      <c r="B381" s="31" t="s">
        <v>19883</v>
      </c>
      <c r="C381" s="30" t="s">
        <v>19871</v>
      </c>
    </row>
    <row r="382">
      <c r="A382" s="30" t="s">
        <v>19884</v>
      </c>
      <c r="B382" s="31" t="s">
        <v>19885</v>
      </c>
      <c r="C382" s="30" t="s">
        <v>19871</v>
      </c>
    </row>
    <row r="383">
      <c r="A383" s="30" t="s">
        <v>19886</v>
      </c>
      <c r="B383" s="31" t="s">
        <v>19887</v>
      </c>
      <c r="C383" s="30" t="s">
        <v>19871</v>
      </c>
    </row>
    <row r="384">
      <c r="A384" s="30" t="s">
        <v>19888</v>
      </c>
      <c r="B384" s="31" t="s">
        <v>19889</v>
      </c>
      <c r="C384" s="30" t="s">
        <v>19871</v>
      </c>
    </row>
    <row r="385">
      <c r="A385" s="30" t="s">
        <v>19890</v>
      </c>
      <c r="B385" s="31" t="s">
        <v>19891</v>
      </c>
      <c r="C385" s="30" t="s">
        <v>19871</v>
      </c>
    </row>
    <row r="386">
      <c r="A386" s="30" t="s">
        <v>19892</v>
      </c>
      <c r="B386" s="31" t="s">
        <v>19893</v>
      </c>
      <c r="C386" s="30" t="s">
        <v>19894</v>
      </c>
    </row>
    <row r="387">
      <c r="A387" s="30" t="s">
        <v>19895</v>
      </c>
      <c r="B387" s="31" t="s">
        <v>19896</v>
      </c>
      <c r="C387" s="30" t="s">
        <v>19894</v>
      </c>
    </row>
    <row r="388">
      <c r="A388" s="30" t="s">
        <v>19897</v>
      </c>
      <c r="B388" s="31" t="s">
        <v>19898</v>
      </c>
      <c r="C388" s="30" t="s">
        <v>19894</v>
      </c>
    </row>
    <row r="389">
      <c r="A389" s="30" t="s">
        <v>19899</v>
      </c>
      <c r="B389" s="31" t="s">
        <v>19900</v>
      </c>
      <c r="C389" s="30" t="s">
        <v>19894</v>
      </c>
    </row>
    <row r="390">
      <c r="A390" s="30" t="s">
        <v>19901</v>
      </c>
      <c r="B390" s="31" t="s">
        <v>19902</v>
      </c>
      <c r="C390" s="30" t="s">
        <v>19894</v>
      </c>
    </row>
    <row r="391">
      <c r="A391" s="30" t="s">
        <v>19903</v>
      </c>
      <c r="B391" s="31" t="s">
        <v>19904</v>
      </c>
      <c r="C391" s="30" t="s">
        <v>19894</v>
      </c>
    </row>
    <row r="392">
      <c r="A392" s="30" t="s">
        <v>19905</v>
      </c>
      <c r="B392" s="31" t="s">
        <v>19906</v>
      </c>
      <c r="C392" s="30" t="s">
        <v>19894</v>
      </c>
    </row>
    <row r="393">
      <c r="A393" s="30" t="s">
        <v>19907</v>
      </c>
      <c r="B393" s="31" t="s">
        <v>19908</v>
      </c>
      <c r="C393" s="30" t="s">
        <v>19894</v>
      </c>
    </row>
    <row r="394">
      <c r="A394" s="30" t="s">
        <v>19909</v>
      </c>
      <c r="B394" s="31" t="s">
        <v>19910</v>
      </c>
      <c r="C394" s="30" t="s">
        <v>19894</v>
      </c>
    </row>
    <row r="395">
      <c r="A395" s="30" t="s">
        <v>19911</v>
      </c>
      <c r="B395" s="31" t="s">
        <v>19912</v>
      </c>
      <c r="C395" s="30" t="s">
        <v>19894</v>
      </c>
    </row>
    <row r="396">
      <c r="A396" s="30" t="s">
        <v>19913</v>
      </c>
      <c r="B396" s="31" t="s">
        <v>19914</v>
      </c>
      <c r="C396" s="30" t="s">
        <v>19894</v>
      </c>
    </row>
    <row r="397">
      <c r="A397" s="30" t="s">
        <v>19915</v>
      </c>
      <c r="B397" s="31" t="s">
        <v>19916</v>
      </c>
      <c r="C397" s="30" t="s">
        <v>19894</v>
      </c>
    </row>
    <row r="398">
      <c r="A398" s="30" t="s">
        <v>19917</v>
      </c>
      <c r="B398" s="31" t="s">
        <v>19918</v>
      </c>
      <c r="C398" s="30" t="s">
        <v>19894</v>
      </c>
    </row>
    <row r="399">
      <c r="A399" s="30" t="s">
        <v>19919</v>
      </c>
      <c r="B399" s="31" t="s">
        <v>19920</v>
      </c>
      <c r="C399" s="30" t="s">
        <v>19894</v>
      </c>
    </row>
    <row r="400">
      <c r="A400" s="30" t="s">
        <v>19921</v>
      </c>
      <c r="B400" s="31" t="s">
        <v>19922</v>
      </c>
      <c r="C400" s="30" t="s">
        <v>19894</v>
      </c>
    </row>
    <row r="401">
      <c r="A401" s="30" t="s">
        <v>19923</v>
      </c>
      <c r="B401" s="31" t="s">
        <v>19924</v>
      </c>
      <c r="C401" s="30" t="s">
        <v>19894</v>
      </c>
    </row>
    <row r="402">
      <c r="A402" s="30" t="s">
        <v>19925</v>
      </c>
      <c r="B402" s="31" t="s">
        <v>19926</v>
      </c>
      <c r="C402" s="30" t="s">
        <v>19894</v>
      </c>
    </row>
    <row r="403">
      <c r="A403" s="30" t="s">
        <v>19927</v>
      </c>
      <c r="B403" s="31" t="s">
        <v>19928</v>
      </c>
      <c r="C403" s="30" t="s">
        <v>19894</v>
      </c>
    </row>
    <row r="404">
      <c r="A404" s="30" t="s">
        <v>19929</v>
      </c>
      <c r="B404" s="31" t="s">
        <v>19930</v>
      </c>
      <c r="C404" s="30" t="s">
        <v>19894</v>
      </c>
    </row>
    <row r="405">
      <c r="A405" s="30" t="s">
        <v>19931</v>
      </c>
      <c r="B405" s="31" t="s">
        <v>19932</v>
      </c>
      <c r="C405" s="30" t="s">
        <v>19894</v>
      </c>
    </row>
    <row r="406">
      <c r="A406" s="30" t="s">
        <v>19933</v>
      </c>
      <c r="B406" s="31" t="s">
        <v>19934</v>
      </c>
      <c r="C406" s="30" t="s">
        <v>19894</v>
      </c>
    </row>
    <row r="407">
      <c r="A407" s="30" t="s">
        <v>19935</v>
      </c>
      <c r="B407" s="31" t="s">
        <v>19936</v>
      </c>
      <c r="C407" s="30" t="s">
        <v>19894</v>
      </c>
    </row>
    <row r="408">
      <c r="A408" s="30" t="s">
        <v>19937</v>
      </c>
      <c r="B408" s="31" t="s">
        <v>19938</v>
      </c>
      <c r="C408" s="30" t="s">
        <v>19894</v>
      </c>
    </row>
    <row r="409">
      <c r="A409" s="30" t="s">
        <v>19939</v>
      </c>
      <c r="B409" s="31" t="s">
        <v>19940</v>
      </c>
      <c r="C409" s="30" t="s">
        <v>19894</v>
      </c>
    </row>
    <row r="410">
      <c r="A410" s="30" t="s">
        <v>19941</v>
      </c>
      <c r="B410" s="31" t="s">
        <v>19942</v>
      </c>
      <c r="C410" s="30" t="s">
        <v>19943</v>
      </c>
    </row>
    <row r="411">
      <c r="A411" s="30" t="s">
        <v>19305</v>
      </c>
      <c r="B411" s="31" t="s">
        <v>19944</v>
      </c>
      <c r="C411" s="30" t="s">
        <v>19943</v>
      </c>
    </row>
    <row r="412">
      <c r="A412" s="30" t="s">
        <v>19945</v>
      </c>
      <c r="B412" s="31" t="s">
        <v>19946</v>
      </c>
      <c r="C412" s="30" t="s">
        <v>19943</v>
      </c>
    </row>
    <row r="413">
      <c r="A413" s="30" t="s">
        <v>19947</v>
      </c>
      <c r="B413" s="31" t="s">
        <v>19948</v>
      </c>
      <c r="C413" s="30" t="s">
        <v>19943</v>
      </c>
    </row>
    <row r="414">
      <c r="A414" s="30" t="s">
        <v>19219</v>
      </c>
      <c r="B414" s="31" t="s">
        <v>19949</v>
      </c>
      <c r="C414" s="30" t="s">
        <v>19943</v>
      </c>
    </row>
    <row r="415">
      <c r="A415" s="30" t="s">
        <v>19950</v>
      </c>
      <c r="B415" s="31" t="s">
        <v>19951</v>
      </c>
      <c r="C415" s="30" t="s">
        <v>19943</v>
      </c>
    </row>
    <row r="416">
      <c r="A416" s="30" t="s">
        <v>19952</v>
      </c>
      <c r="B416" s="31" t="s">
        <v>19953</v>
      </c>
      <c r="C416" s="30" t="s">
        <v>19943</v>
      </c>
    </row>
    <row r="417">
      <c r="A417" s="30" t="s">
        <v>19954</v>
      </c>
      <c r="B417" s="31" t="s">
        <v>19955</v>
      </c>
      <c r="C417" s="30" t="s">
        <v>19943</v>
      </c>
    </row>
    <row r="418">
      <c r="A418" s="30" t="s">
        <v>19341</v>
      </c>
      <c r="B418" s="31" t="s">
        <v>19956</v>
      </c>
      <c r="C418" s="30" t="s">
        <v>19957</v>
      </c>
    </row>
    <row r="419">
      <c r="A419" s="30" t="s">
        <v>19958</v>
      </c>
      <c r="B419" s="31" t="s">
        <v>19959</v>
      </c>
      <c r="C419" s="30" t="s">
        <v>19957</v>
      </c>
    </row>
    <row r="420">
      <c r="A420" s="30" t="s">
        <v>19960</v>
      </c>
      <c r="B420" s="31" t="s">
        <v>19961</v>
      </c>
      <c r="C420" s="30" t="s">
        <v>19957</v>
      </c>
    </row>
    <row r="421">
      <c r="A421" s="30" t="s">
        <v>19962</v>
      </c>
      <c r="B421" s="31" t="s">
        <v>19963</v>
      </c>
      <c r="C421" s="30" t="s">
        <v>19957</v>
      </c>
    </row>
    <row r="422">
      <c r="A422" s="30" t="s">
        <v>19964</v>
      </c>
      <c r="B422" s="31" t="s">
        <v>19965</v>
      </c>
      <c r="C422" s="30" t="s">
        <v>19957</v>
      </c>
    </row>
    <row r="423">
      <c r="A423" s="30" t="s">
        <v>19348</v>
      </c>
      <c r="B423" s="31" t="s">
        <v>19966</v>
      </c>
      <c r="C423" s="30" t="s">
        <v>19957</v>
      </c>
    </row>
    <row r="424">
      <c r="A424" s="30" t="s">
        <v>19967</v>
      </c>
      <c r="B424" s="31" t="s">
        <v>19968</v>
      </c>
      <c r="C424" s="30" t="s">
        <v>19957</v>
      </c>
    </row>
    <row r="425">
      <c r="A425" s="30" t="s">
        <v>19425</v>
      </c>
      <c r="B425" s="31" t="s">
        <v>19969</v>
      </c>
      <c r="C425" s="30" t="s">
        <v>19957</v>
      </c>
    </row>
    <row r="426">
      <c r="A426" s="30" t="s">
        <v>19970</v>
      </c>
      <c r="B426" s="31" t="s">
        <v>19971</v>
      </c>
      <c r="C426" s="30" t="s">
        <v>19957</v>
      </c>
    </row>
    <row r="427">
      <c r="A427" s="30" t="s">
        <v>19972</v>
      </c>
      <c r="B427" s="31" t="s">
        <v>19973</v>
      </c>
      <c r="C427" s="30" t="s">
        <v>19957</v>
      </c>
    </row>
    <row r="428">
      <c r="A428" s="30" t="s">
        <v>19974</v>
      </c>
      <c r="B428" s="31" t="s">
        <v>19975</v>
      </c>
      <c r="C428" s="30" t="s">
        <v>19957</v>
      </c>
    </row>
    <row r="429">
      <c r="A429" s="30" t="s">
        <v>19602</v>
      </c>
      <c r="B429" s="31" t="s">
        <v>19976</v>
      </c>
      <c r="C429" s="30" t="s">
        <v>19957</v>
      </c>
    </row>
    <row r="430">
      <c r="A430" s="30" t="s">
        <v>19486</v>
      </c>
      <c r="B430" s="31" t="s">
        <v>19977</v>
      </c>
      <c r="C430" s="30" t="s">
        <v>19957</v>
      </c>
    </row>
    <row r="431">
      <c r="A431" s="30" t="s">
        <v>19434</v>
      </c>
      <c r="B431" s="31" t="s">
        <v>19978</v>
      </c>
      <c r="C431" s="30" t="s">
        <v>19957</v>
      </c>
    </row>
    <row r="432">
      <c r="A432" s="30" t="s">
        <v>19979</v>
      </c>
      <c r="B432" s="31" t="s">
        <v>19980</v>
      </c>
      <c r="C432" s="30" t="s">
        <v>19957</v>
      </c>
    </row>
    <row r="433">
      <c r="A433" s="30" t="s">
        <v>19981</v>
      </c>
      <c r="B433" s="31" t="s">
        <v>19982</v>
      </c>
      <c r="C433" s="30" t="s">
        <v>19957</v>
      </c>
    </row>
    <row r="434">
      <c r="A434" s="30" t="s">
        <v>19203</v>
      </c>
      <c r="B434" s="31" t="s">
        <v>19983</v>
      </c>
      <c r="C434" s="30" t="s">
        <v>19957</v>
      </c>
    </row>
    <row r="435">
      <c r="A435" s="30" t="s">
        <v>19984</v>
      </c>
      <c r="B435" s="31" t="s">
        <v>19985</v>
      </c>
      <c r="C435" s="30" t="s">
        <v>19957</v>
      </c>
    </row>
    <row r="436">
      <c r="A436" s="30" t="s">
        <v>19986</v>
      </c>
      <c r="B436" s="31" t="s">
        <v>19987</v>
      </c>
      <c r="C436" s="30" t="s">
        <v>19957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  <hyperlink r:id="rId22" ref="B23"/>
    <hyperlink r:id="rId23" ref="B24"/>
    <hyperlink r:id="rId24" ref="B25"/>
    <hyperlink r:id="rId25" ref="B26"/>
    <hyperlink r:id="rId26" ref="B27"/>
    <hyperlink r:id="rId27" ref="B28"/>
    <hyperlink r:id="rId28" ref="B29"/>
    <hyperlink r:id="rId29" ref="B30"/>
    <hyperlink r:id="rId30" ref="B31"/>
    <hyperlink r:id="rId31" ref="B32"/>
    <hyperlink r:id="rId32" ref="B33"/>
    <hyperlink r:id="rId33" ref="B34"/>
    <hyperlink r:id="rId34" ref="B35"/>
    <hyperlink r:id="rId35" ref="B36"/>
    <hyperlink r:id="rId36" ref="B37"/>
    <hyperlink r:id="rId37" ref="B38"/>
    <hyperlink r:id="rId38" ref="B39"/>
    <hyperlink r:id="rId39" ref="B40"/>
    <hyperlink r:id="rId40" ref="B41"/>
    <hyperlink r:id="rId41" ref="B42"/>
    <hyperlink r:id="rId42" ref="B43"/>
    <hyperlink r:id="rId43" ref="B44"/>
    <hyperlink r:id="rId44" ref="B45"/>
    <hyperlink r:id="rId45" ref="B46"/>
    <hyperlink r:id="rId46" ref="B47"/>
    <hyperlink r:id="rId47" ref="B48"/>
    <hyperlink r:id="rId48" ref="B49"/>
    <hyperlink r:id="rId49" ref="B50"/>
    <hyperlink r:id="rId50" ref="B51"/>
    <hyperlink r:id="rId51" ref="B52"/>
    <hyperlink r:id="rId52" ref="B53"/>
    <hyperlink r:id="rId53" ref="B54"/>
    <hyperlink r:id="rId54" ref="B55"/>
    <hyperlink r:id="rId55" ref="B56"/>
    <hyperlink r:id="rId56" ref="B57"/>
    <hyperlink r:id="rId57" ref="B58"/>
    <hyperlink r:id="rId58" ref="B59"/>
    <hyperlink r:id="rId59" ref="B60"/>
    <hyperlink r:id="rId60" ref="B61"/>
    <hyperlink r:id="rId61" ref="B62"/>
    <hyperlink r:id="rId62" ref="B63"/>
    <hyperlink r:id="rId63" ref="B64"/>
    <hyperlink r:id="rId64" ref="B65"/>
    <hyperlink r:id="rId65" ref="B66"/>
    <hyperlink r:id="rId66" ref="B67"/>
    <hyperlink r:id="rId67" ref="B68"/>
    <hyperlink r:id="rId68" ref="B69"/>
    <hyperlink r:id="rId69" ref="B70"/>
    <hyperlink r:id="rId70" ref="B71"/>
    <hyperlink r:id="rId71" ref="B72"/>
    <hyperlink r:id="rId72" ref="B73"/>
    <hyperlink r:id="rId73" ref="B74"/>
    <hyperlink r:id="rId74" ref="B75"/>
    <hyperlink r:id="rId75" ref="B76"/>
    <hyperlink r:id="rId76" ref="B77"/>
    <hyperlink r:id="rId77" ref="B78"/>
    <hyperlink r:id="rId78" ref="B79"/>
    <hyperlink r:id="rId79" ref="B80"/>
    <hyperlink r:id="rId80" ref="B81"/>
    <hyperlink r:id="rId81" ref="B82"/>
    <hyperlink r:id="rId82" ref="B83"/>
    <hyperlink r:id="rId83" ref="B84"/>
    <hyperlink r:id="rId84" ref="B85"/>
    <hyperlink r:id="rId85" ref="B86"/>
    <hyperlink r:id="rId86" ref="B87"/>
    <hyperlink r:id="rId87" ref="B88"/>
    <hyperlink r:id="rId88" ref="B89"/>
    <hyperlink r:id="rId89" ref="B90"/>
    <hyperlink r:id="rId90" ref="B91"/>
    <hyperlink r:id="rId91" ref="B92"/>
    <hyperlink r:id="rId92" ref="B93"/>
    <hyperlink r:id="rId93" ref="B94"/>
    <hyperlink r:id="rId94" ref="B95"/>
    <hyperlink r:id="rId95" ref="B96"/>
    <hyperlink r:id="rId96" ref="B97"/>
    <hyperlink r:id="rId97" ref="B98"/>
    <hyperlink r:id="rId98" ref="B99"/>
    <hyperlink r:id="rId99" ref="B100"/>
    <hyperlink r:id="rId100" ref="B101"/>
    <hyperlink r:id="rId101" ref="B102"/>
    <hyperlink r:id="rId102" ref="B103"/>
    <hyperlink r:id="rId103" ref="B104"/>
    <hyperlink r:id="rId104" ref="B105"/>
    <hyperlink r:id="rId105" ref="B106"/>
    <hyperlink r:id="rId106" ref="B107"/>
    <hyperlink r:id="rId107" ref="B108"/>
    <hyperlink r:id="rId108" ref="B109"/>
    <hyperlink r:id="rId109" ref="B110"/>
    <hyperlink r:id="rId110" ref="B111"/>
    <hyperlink r:id="rId111" ref="B112"/>
    <hyperlink r:id="rId112" ref="B113"/>
    <hyperlink r:id="rId113" ref="B114"/>
    <hyperlink r:id="rId114" ref="B115"/>
    <hyperlink r:id="rId115" ref="B116"/>
    <hyperlink r:id="rId116" ref="B117"/>
    <hyperlink r:id="rId117" ref="B118"/>
    <hyperlink r:id="rId118" ref="B119"/>
    <hyperlink r:id="rId119" ref="B120"/>
    <hyperlink r:id="rId120" ref="B121"/>
    <hyperlink r:id="rId121" ref="B122"/>
    <hyperlink r:id="rId122" ref="B123"/>
    <hyperlink r:id="rId123" ref="B124"/>
    <hyperlink r:id="rId124" ref="B125"/>
    <hyperlink r:id="rId125" ref="B126"/>
    <hyperlink r:id="rId126" ref="B127"/>
    <hyperlink r:id="rId127" ref="B128"/>
    <hyperlink r:id="rId128" ref="B129"/>
    <hyperlink r:id="rId129" ref="B130"/>
    <hyperlink r:id="rId130" ref="B131"/>
    <hyperlink r:id="rId131" ref="B132"/>
    <hyperlink r:id="rId132" ref="B133"/>
    <hyperlink r:id="rId133" ref="B134"/>
    <hyperlink r:id="rId134" ref="B135"/>
    <hyperlink r:id="rId135" ref="B136"/>
    <hyperlink r:id="rId136" ref="B137"/>
    <hyperlink r:id="rId137" ref="B138"/>
    <hyperlink r:id="rId138" ref="B139"/>
    <hyperlink r:id="rId139" ref="B140"/>
    <hyperlink r:id="rId140" ref="B141"/>
    <hyperlink r:id="rId141" ref="B142"/>
    <hyperlink r:id="rId142" ref="B143"/>
    <hyperlink r:id="rId143" ref="B144"/>
    <hyperlink r:id="rId144" ref="B145"/>
    <hyperlink r:id="rId145" ref="B146"/>
    <hyperlink r:id="rId146" ref="B147"/>
    <hyperlink r:id="rId147" ref="B148"/>
    <hyperlink r:id="rId148" ref="B149"/>
    <hyperlink r:id="rId149" ref="B150"/>
    <hyperlink r:id="rId150" ref="B151"/>
    <hyperlink r:id="rId151" ref="B152"/>
    <hyperlink r:id="rId152" ref="B153"/>
    <hyperlink r:id="rId153" ref="B154"/>
    <hyperlink r:id="rId154" ref="B155"/>
    <hyperlink r:id="rId155" ref="B156"/>
    <hyperlink r:id="rId156" ref="B157"/>
    <hyperlink r:id="rId157" ref="B158"/>
    <hyperlink r:id="rId158" ref="B159"/>
    <hyperlink r:id="rId159" ref="B160"/>
    <hyperlink r:id="rId160" ref="B161"/>
    <hyperlink r:id="rId161" ref="B162"/>
    <hyperlink r:id="rId162" ref="B163"/>
    <hyperlink r:id="rId163" ref="B164"/>
    <hyperlink r:id="rId164" ref="B165"/>
    <hyperlink r:id="rId165" ref="B166"/>
    <hyperlink r:id="rId166" ref="B167"/>
    <hyperlink r:id="rId167" ref="B168"/>
    <hyperlink r:id="rId168" ref="B169"/>
    <hyperlink r:id="rId169" ref="B170"/>
    <hyperlink r:id="rId170" ref="B171"/>
    <hyperlink r:id="rId171" ref="B172"/>
    <hyperlink r:id="rId172" ref="B173"/>
    <hyperlink r:id="rId173" ref="B174"/>
    <hyperlink r:id="rId174" ref="B175"/>
    <hyperlink r:id="rId175" ref="B176"/>
    <hyperlink r:id="rId176" ref="B177"/>
    <hyperlink r:id="rId177" ref="B178"/>
    <hyperlink r:id="rId178" ref="B179"/>
    <hyperlink r:id="rId179" ref="B180"/>
    <hyperlink r:id="rId180" ref="B181"/>
    <hyperlink r:id="rId181" ref="B182"/>
    <hyperlink r:id="rId182" ref="B183"/>
    <hyperlink r:id="rId183" ref="B184"/>
    <hyperlink r:id="rId184" ref="B185"/>
    <hyperlink r:id="rId185" ref="B186"/>
    <hyperlink r:id="rId186" ref="B187"/>
    <hyperlink r:id="rId187" ref="B188"/>
    <hyperlink r:id="rId188" ref="B189"/>
    <hyperlink r:id="rId189" ref="B190"/>
    <hyperlink r:id="rId190" ref="B191"/>
    <hyperlink r:id="rId191" ref="B192"/>
    <hyperlink r:id="rId192" ref="B193"/>
    <hyperlink r:id="rId193" ref="B194"/>
    <hyperlink r:id="rId194" ref="B195"/>
    <hyperlink r:id="rId195" ref="B196"/>
    <hyperlink r:id="rId196" ref="B197"/>
    <hyperlink r:id="rId197" ref="B198"/>
    <hyperlink r:id="rId198" ref="B199"/>
    <hyperlink r:id="rId199" ref="B200"/>
    <hyperlink r:id="rId200" ref="B201"/>
    <hyperlink r:id="rId201" ref="B202"/>
    <hyperlink r:id="rId202" ref="B203"/>
    <hyperlink r:id="rId203" ref="B204"/>
    <hyperlink r:id="rId204" ref="B205"/>
    <hyperlink r:id="rId205" ref="B206"/>
    <hyperlink r:id="rId206" ref="B207"/>
    <hyperlink r:id="rId207" ref="B208"/>
    <hyperlink r:id="rId208" ref="B209"/>
    <hyperlink r:id="rId209" ref="B210"/>
    <hyperlink r:id="rId210" ref="B211"/>
    <hyperlink r:id="rId211" ref="B212"/>
    <hyperlink r:id="rId212" ref="B213"/>
    <hyperlink r:id="rId213" ref="B214"/>
    <hyperlink r:id="rId214" ref="B215"/>
    <hyperlink r:id="rId215" ref="B216"/>
    <hyperlink r:id="rId216" ref="B217"/>
    <hyperlink r:id="rId217" ref="B218"/>
    <hyperlink r:id="rId218" ref="B219"/>
    <hyperlink r:id="rId219" ref="B220"/>
    <hyperlink r:id="rId220" ref="B221"/>
    <hyperlink r:id="rId221" ref="B222"/>
    <hyperlink r:id="rId222" ref="B223"/>
    <hyperlink r:id="rId223" ref="B224"/>
    <hyperlink r:id="rId224" ref="B225"/>
    <hyperlink r:id="rId225" ref="B226"/>
    <hyperlink r:id="rId226" ref="B227"/>
    <hyperlink r:id="rId227" ref="B228"/>
    <hyperlink r:id="rId228" ref="B229"/>
    <hyperlink r:id="rId229" ref="B230"/>
    <hyperlink r:id="rId230" ref="B231"/>
    <hyperlink r:id="rId231" ref="B232"/>
    <hyperlink r:id="rId232" ref="B233"/>
    <hyperlink r:id="rId233" ref="B234"/>
    <hyperlink r:id="rId234" ref="B235"/>
    <hyperlink r:id="rId235" ref="B236"/>
    <hyperlink r:id="rId236" ref="B237"/>
    <hyperlink r:id="rId237" ref="B238"/>
    <hyperlink r:id="rId238" ref="B239"/>
    <hyperlink r:id="rId239" ref="B240"/>
    <hyperlink r:id="rId240" ref="B241"/>
    <hyperlink r:id="rId241" ref="B242"/>
    <hyperlink r:id="rId242" ref="B243"/>
    <hyperlink r:id="rId243" ref="B244"/>
    <hyperlink r:id="rId244" ref="B245"/>
    <hyperlink r:id="rId245" ref="B246"/>
    <hyperlink r:id="rId246" ref="B247"/>
    <hyperlink r:id="rId247" ref="B248"/>
    <hyperlink r:id="rId248" ref="B249"/>
    <hyperlink r:id="rId249" ref="B250"/>
    <hyperlink r:id="rId250" ref="B251"/>
    <hyperlink r:id="rId251" ref="B252"/>
    <hyperlink r:id="rId252" ref="B253"/>
    <hyperlink r:id="rId253" ref="B254"/>
    <hyperlink r:id="rId254" ref="B255"/>
    <hyperlink r:id="rId255" ref="B256"/>
    <hyperlink r:id="rId256" ref="B257"/>
    <hyperlink r:id="rId257" ref="B258"/>
    <hyperlink r:id="rId258" ref="B259"/>
    <hyperlink r:id="rId259" ref="B260"/>
    <hyperlink r:id="rId260" ref="B261"/>
    <hyperlink r:id="rId261" ref="B262"/>
    <hyperlink r:id="rId262" ref="B263"/>
    <hyperlink r:id="rId263" ref="B264"/>
    <hyperlink r:id="rId264" ref="B265"/>
    <hyperlink r:id="rId265" ref="B266"/>
    <hyperlink r:id="rId266" ref="B267"/>
    <hyperlink r:id="rId267" ref="B268"/>
    <hyperlink r:id="rId268" ref="B269"/>
    <hyperlink r:id="rId269" ref="B270"/>
    <hyperlink r:id="rId270" ref="B271"/>
    <hyperlink r:id="rId271" ref="B272"/>
    <hyperlink r:id="rId272" ref="B273"/>
    <hyperlink r:id="rId273" ref="B274"/>
    <hyperlink r:id="rId274" ref="B275"/>
    <hyperlink r:id="rId275" ref="B276"/>
    <hyperlink r:id="rId276" ref="B277"/>
    <hyperlink r:id="rId277" ref="B278"/>
    <hyperlink r:id="rId278" ref="B279"/>
    <hyperlink r:id="rId279" ref="B280"/>
    <hyperlink r:id="rId280" ref="B281"/>
    <hyperlink r:id="rId281" ref="B282"/>
    <hyperlink r:id="rId282" ref="B283"/>
    <hyperlink r:id="rId283" ref="B284"/>
    <hyperlink r:id="rId284" ref="B285"/>
    <hyperlink r:id="rId285" ref="B286"/>
    <hyperlink r:id="rId286" ref="B287"/>
    <hyperlink r:id="rId287" ref="B288"/>
    <hyperlink r:id="rId288" ref="B289"/>
    <hyperlink r:id="rId289" ref="B290"/>
    <hyperlink r:id="rId290" ref="B291"/>
    <hyperlink r:id="rId291" ref="B292"/>
    <hyperlink r:id="rId292" ref="B293"/>
    <hyperlink r:id="rId293" ref="B294"/>
    <hyperlink r:id="rId294" ref="B295"/>
    <hyperlink r:id="rId295" ref="B296"/>
    <hyperlink r:id="rId296" ref="B297"/>
    <hyperlink r:id="rId297" ref="B298"/>
    <hyperlink r:id="rId298" ref="B299"/>
    <hyperlink r:id="rId299" ref="B300"/>
    <hyperlink r:id="rId300" ref="B301"/>
    <hyperlink r:id="rId301" ref="B302"/>
    <hyperlink r:id="rId302" ref="B303"/>
    <hyperlink r:id="rId303" ref="B304"/>
    <hyperlink r:id="rId304" ref="B305"/>
    <hyperlink r:id="rId305" ref="B306"/>
    <hyperlink r:id="rId306" ref="B307"/>
    <hyperlink r:id="rId307" ref="B308"/>
    <hyperlink r:id="rId308" ref="B309"/>
    <hyperlink r:id="rId309" ref="B310"/>
    <hyperlink r:id="rId310" ref="B311"/>
    <hyperlink r:id="rId311" ref="B312"/>
    <hyperlink r:id="rId312" ref="B313"/>
    <hyperlink r:id="rId313" ref="B314"/>
    <hyperlink r:id="rId314" ref="B315"/>
    <hyperlink r:id="rId315" ref="B316"/>
    <hyperlink r:id="rId316" ref="B317"/>
    <hyperlink r:id="rId317" ref="B318"/>
    <hyperlink r:id="rId318" ref="B319"/>
    <hyperlink r:id="rId319" ref="B320"/>
    <hyperlink r:id="rId320" ref="B321"/>
    <hyperlink r:id="rId321" ref="B322"/>
    <hyperlink r:id="rId322" ref="B323"/>
    <hyperlink r:id="rId323" ref="B324"/>
    <hyperlink r:id="rId324" ref="B325"/>
    <hyperlink r:id="rId325" ref="B326"/>
    <hyperlink r:id="rId326" ref="B327"/>
    <hyperlink r:id="rId327" ref="B328"/>
    <hyperlink r:id="rId328" ref="B329"/>
    <hyperlink r:id="rId329" ref="B330"/>
    <hyperlink r:id="rId330" ref="B331"/>
    <hyperlink r:id="rId331" ref="B332"/>
    <hyperlink r:id="rId332" ref="B333"/>
    <hyperlink r:id="rId333" ref="B334"/>
    <hyperlink r:id="rId334" ref="B335"/>
    <hyperlink r:id="rId335" ref="B336"/>
    <hyperlink r:id="rId336" ref="B337"/>
    <hyperlink r:id="rId337" ref="B338"/>
    <hyperlink r:id="rId338" ref="B339"/>
    <hyperlink r:id="rId339" ref="B340"/>
    <hyperlink r:id="rId340" ref="B341"/>
    <hyperlink r:id="rId341" ref="B342"/>
    <hyperlink r:id="rId342" ref="B343"/>
    <hyperlink r:id="rId343" ref="B344"/>
    <hyperlink r:id="rId344" ref="B345"/>
    <hyperlink r:id="rId345" ref="B346"/>
    <hyperlink r:id="rId346" ref="B347"/>
    <hyperlink r:id="rId347" ref="B348"/>
    <hyperlink r:id="rId348" ref="B349"/>
    <hyperlink r:id="rId349" ref="B350"/>
    <hyperlink r:id="rId350" ref="B351"/>
    <hyperlink r:id="rId351" ref="B352"/>
    <hyperlink r:id="rId352" ref="B353"/>
    <hyperlink r:id="rId353" ref="B354"/>
    <hyperlink r:id="rId354" ref="B355"/>
    <hyperlink r:id="rId355" ref="B356"/>
    <hyperlink r:id="rId356" ref="B357"/>
    <hyperlink r:id="rId357" ref="B358"/>
    <hyperlink r:id="rId358" ref="B359"/>
    <hyperlink r:id="rId359" ref="B360"/>
    <hyperlink r:id="rId360" ref="B361"/>
    <hyperlink r:id="rId361" ref="B362"/>
    <hyperlink r:id="rId362" ref="B363"/>
    <hyperlink r:id="rId363" ref="B364"/>
    <hyperlink r:id="rId364" ref="B365"/>
    <hyperlink r:id="rId365" ref="B366"/>
    <hyperlink r:id="rId366" ref="B367"/>
    <hyperlink r:id="rId367" ref="B368"/>
    <hyperlink r:id="rId368" ref="B369"/>
    <hyperlink r:id="rId369" ref="B370"/>
    <hyperlink r:id="rId370" ref="B371"/>
    <hyperlink r:id="rId371" ref="B372"/>
    <hyperlink r:id="rId372" ref="B373"/>
    <hyperlink r:id="rId373" ref="B374"/>
    <hyperlink r:id="rId374" ref="B375"/>
    <hyperlink r:id="rId375" ref="B376"/>
    <hyperlink r:id="rId376" ref="B377"/>
    <hyperlink r:id="rId377" ref="B378"/>
    <hyperlink r:id="rId378" ref="B379"/>
    <hyperlink r:id="rId379" ref="B380"/>
    <hyperlink r:id="rId380" ref="B381"/>
    <hyperlink r:id="rId381" ref="B382"/>
    <hyperlink r:id="rId382" ref="B383"/>
    <hyperlink r:id="rId383" ref="B384"/>
    <hyperlink r:id="rId384" ref="B385"/>
    <hyperlink r:id="rId385" ref="B386"/>
    <hyperlink r:id="rId386" ref="B387"/>
    <hyperlink r:id="rId387" ref="B388"/>
    <hyperlink r:id="rId388" ref="B389"/>
    <hyperlink r:id="rId389" ref="B390"/>
    <hyperlink r:id="rId390" ref="B391"/>
    <hyperlink r:id="rId391" ref="B392"/>
    <hyperlink r:id="rId392" ref="B393"/>
    <hyperlink r:id="rId393" ref="B394"/>
    <hyperlink r:id="rId394" ref="B395"/>
    <hyperlink r:id="rId395" ref="B396"/>
    <hyperlink r:id="rId396" ref="B397"/>
    <hyperlink r:id="rId397" ref="B398"/>
    <hyperlink r:id="rId398" ref="B399"/>
    <hyperlink r:id="rId399" ref="B400"/>
    <hyperlink r:id="rId400" ref="B401"/>
    <hyperlink r:id="rId401" ref="B402"/>
    <hyperlink r:id="rId402" ref="B403"/>
    <hyperlink r:id="rId403" ref="B404"/>
    <hyperlink r:id="rId404" ref="B405"/>
    <hyperlink r:id="rId405" ref="B406"/>
    <hyperlink r:id="rId406" ref="B407"/>
    <hyperlink r:id="rId407" ref="B408"/>
    <hyperlink r:id="rId408" ref="B409"/>
    <hyperlink r:id="rId409" ref="B410"/>
    <hyperlink r:id="rId410" ref="B411"/>
    <hyperlink r:id="rId411" ref="B412"/>
    <hyperlink r:id="rId412" ref="B413"/>
    <hyperlink r:id="rId413" ref="B414"/>
    <hyperlink r:id="rId414" ref="B415"/>
    <hyperlink r:id="rId415" ref="B416"/>
    <hyperlink r:id="rId416" ref="B417"/>
    <hyperlink r:id="rId417" ref="B418"/>
    <hyperlink r:id="rId418" ref="B419"/>
    <hyperlink r:id="rId419" ref="B420"/>
    <hyperlink r:id="rId420" ref="B421"/>
    <hyperlink r:id="rId421" ref="B422"/>
    <hyperlink r:id="rId422" ref="B423"/>
    <hyperlink r:id="rId423" ref="B424"/>
    <hyperlink r:id="rId424" ref="B425"/>
    <hyperlink r:id="rId425" ref="B426"/>
    <hyperlink r:id="rId426" ref="B427"/>
    <hyperlink r:id="rId427" ref="B428"/>
    <hyperlink r:id="rId428" ref="B429"/>
    <hyperlink r:id="rId429" ref="B430"/>
    <hyperlink r:id="rId430" ref="B431"/>
    <hyperlink r:id="rId431" ref="B432"/>
    <hyperlink r:id="rId432" ref="B433"/>
    <hyperlink r:id="rId433" ref="B434"/>
    <hyperlink r:id="rId434" ref="B435"/>
    <hyperlink r:id="rId435" ref="B436"/>
  </hyperlinks>
  <drawing r:id="rId436"/>
</worksheet>
</file>